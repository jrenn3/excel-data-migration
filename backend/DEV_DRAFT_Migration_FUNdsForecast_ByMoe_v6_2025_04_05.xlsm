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Projects\excel-data-migration\backend\"/>
    </mc:Choice>
  </mc:AlternateContent>
  <xr:revisionPtr revIDLastSave="0" documentId="13_ncr:1_{BC0FF4D5-1E96-43F4-A4A5-0BF362AD8C33}" xr6:coauthVersionLast="47" xr6:coauthVersionMax="47" xr10:uidLastSave="{00000000-0000-0000-0000-000000000000}"/>
  <bookViews>
    <workbookView xWindow="-120" yWindow="-120" windowWidth="29040" windowHeight="15720" xr2:uid="{97CD3200-4BEF-4BD2-AAD5-53A1934118DE}"/>
  </bookViews>
  <sheets>
    <sheet name="README" sheetId="14" r:id="rId1"/>
    <sheet name="SUMMARIES→" sheetId="19" r:id="rId2"/>
    <sheet name="NTM" sheetId="5" r:id="rId3"/>
    <sheet name="Balances &amp; Actions" sheetId="50" r:id="rId4"/>
    <sheet name="Visuals" sheetId="83" r:id="rId5"/>
    <sheet name="Archive" sheetId="46" r:id="rId6"/>
    <sheet name="WORKING→" sheetId="18" r:id="rId7"/>
    <sheet name="Assets" sheetId="34" r:id="rId8"/>
    <sheet name="Credit Cards" sheetId="20" r:id="rId9"/>
    <sheet name="Loans" sheetId="15" r:id="rId10"/>
    <sheet name="Loyalty Points &amp; Miles" sheetId="38" r:id="rId11"/>
    <sheet name="Recurring" sheetId="8" r:id="rId12"/>
    <sheet name="Precedents" sheetId="31" r:id="rId13"/>
    <sheet name="Changes" sheetId="23" r:id="rId14"/>
    <sheet name="Planned" sheetId="4" r:id="rId15"/>
    <sheet name="Blanket" sheetId="30" r:id="rId16"/>
    <sheet name="OPTIONAL→" sheetId="84" r:id="rId17"/>
    <sheet name="Ref Data" sheetId="86" r:id="rId18"/>
    <sheet name="Raw" sheetId="85" r:id="rId19"/>
    <sheet name="AD HOC→" sheetId="17" r:id="rId20"/>
    <sheet name="FOOTNOTES→" sheetId="58" r:id="rId21"/>
    <sheet name="Version Change Notes" sheetId="57" r:id="rId22"/>
    <sheet name="DEV STEPS FOR PROD" sheetId="56" r:id="rId23"/>
    <sheet name="INTERMEDIATES→" sheetId="41" r:id="rId24"/>
    <sheet name="recurring1_based on steps" sheetId="24" r:id="rId25"/>
    <sheet name="recurring2_based on steps" sheetId="63" r:id="rId26"/>
    <sheet name="changes1_based on steps" sheetId="80" r:id="rId27"/>
    <sheet name="changes2_based on steps" sheetId="81" r:id="rId28"/>
    <sheet name="recurring_master" sheetId="65" r:id="rId29"/>
    <sheet name="HELPERS→" sheetId="82" r:id="rId30"/>
    <sheet name="Categorized Inputs" sheetId="32" r:id="rId31"/>
    <sheet name="Data Validation" sheetId="55" r:id="rId32"/>
    <sheet name="VBA" sheetId="87" r:id="rId33"/>
    <sheet name="←DEV HIDE ALL FOR PROD" sheetId="59" r:id="rId34"/>
  </sheets>
  <definedNames>
    <definedName name="_xlnm._FilterDatabase" localSheetId="7" hidden="1">Assets!$B$3:$E$15</definedName>
    <definedName name="_xlnm._FilterDatabase" localSheetId="30" hidden="1">'Categorized Inputs'!$A$1:$E$87</definedName>
    <definedName name="_xlnm._FilterDatabase" localSheetId="13" hidden="1">Changes!$B$3:$G$6</definedName>
    <definedName name="_xlnm._FilterDatabase" localSheetId="8" hidden="1">'Credit Cards'!$B$3:$J$6</definedName>
    <definedName name="_xlnm._FilterDatabase" localSheetId="9" hidden="1">Loans!$B$3:$C$5</definedName>
    <definedName name="_xlnm._FilterDatabase" localSheetId="10" hidden="1">'Loyalty Points &amp; Miles'!$B$3:$I$7</definedName>
    <definedName name="_xlnm._FilterDatabase" localSheetId="14" hidden="1">Planned!$B$3:$F$5</definedName>
    <definedName name="_xlnm._FilterDatabase" localSheetId="18" hidden="1">Raw!$A$3:$F$3</definedName>
    <definedName name="_xlnm._FilterDatabase" localSheetId="11" hidden="1">Recurring!$B$3:$I$53</definedName>
    <definedName name="_xlnm._FilterDatabase" localSheetId="17" hidden="1">'Ref Data'!$A$1:$H$22</definedName>
    <definedName name="_xleta.INDEX" hidden="1" xlm="1">#NAME?</definedName>
    <definedName name="_xlpm.a" hidden="1" xlm="1">#NAME?</definedName>
    <definedName name="_xlpm.account" hidden="1" xlm="1">#NAME?</definedName>
    <definedName name="_xlpm.amt" hidden="1" xlm="1">#NAME?</definedName>
    <definedName name="_xlpm.an" hidden="1" xlm="1">#NAME?</definedName>
    <definedName name="_xlpm.ann" hidden="1" xlm="1">#NAME?</definedName>
    <definedName name="_xlpm.annu" hidden="1" xlm="1">#NAME?</definedName>
    <definedName name="_xlpm.annua" hidden="1" xlm="1">#NAME?</definedName>
    <definedName name="_xlpm.annual" hidden="1" xlm="1">#NAME?</definedName>
    <definedName name="_xlpm.annuall" hidden="1" xlm="1">#NAME?</definedName>
    <definedName name="_xlpm.annually" hidden="1" xlm="1">#NAME?</definedName>
    <definedName name="_xlpm.avil_range_sum" hidden="1" xlm="1">#NAME?</definedName>
    <definedName name="_xlpm.b" hidden="1" xlm="1">#NAME?</definedName>
    <definedName name="_xlpm.base_mult" hidden="1" xlm="1">#NAME?</definedName>
    <definedName name="_xlpm.bi" hidden="1" xlm="1">#NAME?</definedName>
    <definedName name="_xlpm.biw" hidden="1" xlm="1">#NAME?</definedName>
    <definedName name="_xlpm.biwe" hidden="1" xlm="1">#NAME?</definedName>
    <definedName name="_xlpm.biwee" hidden="1" xlm="1">#NAME?</definedName>
    <definedName name="_xlpm.biweek" hidden="1" xlm="1">#NAME?</definedName>
    <definedName name="_xlpm.biweekl" hidden="1" xlm="1">#NAME?</definedName>
    <definedName name="_xlpm.biweekly" hidden="1" xlm="1">#NAME?</definedName>
    <definedName name="_xlpm.calc" hidden="1" xlm="1">#NAME?</definedName>
    <definedName name="_xlpm.category" hidden="1" xlm="1">#NAME?</definedName>
    <definedName name="_xlpm.change" hidden="1" xlm="1">#NAME?</definedName>
    <definedName name="_xlpm.changes" hidden="1" xlm="1">#NAME?</definedName>
    <definedName name="_xlpm.cmonthly_card_payment" hidden="1" xlm="1">#NAME?</definedName>
    <definedName name="_xlpm.columns" hidden="1" xlm="1">#NAME?</definedName>
    <definedName name="_xlpm.cumonthly_card_payment" hidden="1" xlm="1">#NAME?</definedName>
    <definedName name="_xlpm.curmonthly_card_payment" hidden="1" xlm="1">#NAME?</definedName>
    <definedName name="_xlpm.curremonthly_card_payment" hidden="1" xlm="1">#NAME?</definedName>
    <definedName name="_xlpm.currenmonthly_card_payment" hidden="1" xlm="1">#NAME?</definedName>
    <definedName name="_xlpm.current" hidden="1" xlm="1">#NAME?</definedName>
    <definedName name="_xlpm.current__card_payment" hidden="1" xlm="1">#NAME?</definedName>
    <definedName name="_xlpm.current_card_payment" hidden="1" xlm="1">#NAME?</definedName>
    <definedName name="_xlpm.current_h_card_payment" hidden="1" xlm="1">#NAME?</definedName>
    <definedName name="_xlpm.current_month_card_payment" hidden="1" xlm="1">#NAME?</definedName>
    <definedName name="_xlpm.current_monthly_card_payment" hidden="1" xlm="1">#NAME?</definedName>
    <definedName name="_xlpm.current_monthy_card_payment" hidden="1" xlm="1">#NAME?</definedName>
    <definedName name="_xlpm.current_nth_card_payment" hidden="1" xlm="1">#NAME?</definedName>
    <definedName name="_xlpm.current_onth_card_payment" hidden="1" xlm="1">#NAME?</definedName>
    <definedName name="_xlpm.current_th_card_payment" hidden="1" xlm="1">#NAME?</definedName>
    <definedName name="_xlpm.currentmonthly_card_payment" hidden="1" xlm="1">#NAME?</definedName>
    <definedName name="_xlpm.currmonthly_card_payment" hidden="1" xlm="1">#NAME?</definedName>
    <definedName name="_xlpm.daily" hidden="1" xlm="1">#NAME?</definedName>
    <definedName name="_xlpm.Date" hidden="1" xlm="1">#NAME?</definedName>
    <definedName name="_xlpm.dates" hidden="1" xlm="1">#NAME?</definedName>
    <definedName name="_xlpm.day" hidden="1" xlm="1">#NAME?</definedName>
    <definedName name="_xlpm.day_number" hidden="1" xlm="1">#NAME?</definedName>
    <definedName name="_xlpm.day_steps" hidden="1" xlm="1">#NAME?</definedName>
    <definedName name="_xlpm.days" hidden="1" xlm="1">#NAME?</definedName>
    <definedName name="_xlpm.end_date" hidden="1" xlm="1">#NAME?</definedName>
    <definedName name="_xlpm.f" hidden="1" xlm="1">#NAME?</definedName>
    <definedName name="_xlpm.Factor" hidden="1" xlm="1">#NAME?</definedName>
    <definedName name="_xlpm.first_day" hidden="1" xlm="1">#NAME?</definedName>
    <definedName name="_xlpm.first_o" hidden="1" xlm="1">#NAME?</definedName>
    <definedName name="_xlpm.first_oc" hidden="1" xlm="1">#NAME?</definedName>
    <definedName name="_xlpm.first_occ" hidden="1" xlm="1">#NAME?</definedName>
    <definedName name="_xlpm.first_occu" hidden="1" xlm="1">#NAME?</definedName>
    <definedName name="_xlpm.first_occur" hidden="1" xlm="1">#NAME?</definedName>
    <definedName name="_xlpm.first_occura" hidden="1" xlm="1">#NAME?</definedName>
    <definedName name="_xlpm.first_occuran" hidden="1" xlm="1">#NAME?</definedName>
    <definedName name="_xlpm.first_occuranc" hidden="1" xlm="1">#NAME?</definedName>
    <definedName name="_xlpm.first_occurance" hidden="1" xlm="1">#NAME?</definedName>
    <definedName name="_xlpm.first_of_month" hidden="1" xlm="1">#NAME?</definedName>
    <definedName name="_xlpm.first_slash_position" hidden="1" xlm="1">#NAME?</definedName>
    <definedName name="_xlpm.first_target_day" hidden="1" xlm="1">#NAME?</definedName>
    <definedName name="_xlpm.fr" hidden="1" xlm="1">#NAME?</definedName>
    <definedName name="_xlpm.frequency_type" hidden="1" xlm="1">#NAME?</definedName>
    <definedName name="_xlpm.frequency_value" hidden="1" xlm="1">#NAME?</definedName>
    <definedName name="_xlpm.fri" hidden="1" xlm="1">#NAME?</definedName>
    <definedName name="_xlpm.frid" hidden="1" xlm="1">#NAME?</definedName>
    <definedName name="_xlpm.frida" hidden="1" xlm="1">#NAME?</definedName>
    <definedName name="_xlpm.friday" hidden="1" xlm="1">#NAME?</definedName>
    <definedName name="_xlpm.fridays" hidden="1" xlm="1">#NAME?</definedName>
    <definedName name="_xlpm.i" hidden="1" xlm="1">#NAME?</definedName>
    <definedName name="_xlpm.in" hidden="1" xlm="1">#NAME?</definedName>
    <definedName name="_xlpm.index" hidden="1" xlm="1">#NAME?</definedName>
    <definedName name="_xlpm.int" hidden="1" xlm="1">#NAME?</definedName>
    <definedName name="_xlpm.inte" hidden="1" xlm="1">#NAME?</definedName>
    <definedName name="_xlpm.inter" hidden="1" xlm="1">#NAME?</definedName>
    <definedName name="_xlpm.interv" hidden="1" xlm="1">#NAME?</definedName>
    <definedName name="_xlpm.interva" hidden="1" xlm="1">#NAME?</definedName>
    <definedName name="_xlpm.interval" hidden="1" xlm="1">#NAME?</definedName>
    <definedName name="_xlpm.l" hidden="1" xlm="1">#NAME?</definedName>
    <definedName name="_xlpm.last_of_month" hidden="1" xlm="1">#NAME?</definedName>
    <definedName name="_xlpm.LineItem" hidden="1" xlm="1">#NAME?</definedName>
    <definedName name="_xlpm.LineItemType" hidden="1" xlm="1">#NAME?</definedName>
    <definedName name="_xlpm.lo" hidden="1" xlm="1">#NAME?</definedName>
    <definedName name="_xlpm.loa" hidden="1" xlm="1">#NAME?</definedName>
    <definedName name="_xlpm.loan" hidden="1" xlm="1">#NAME?</definedName>
    <definedName name="_xlpm.ltm_spend" hidden="1" xlm="1">#NAME?</definedName>
    <definedName name="_xlpm.m" hidden="1" xlm="1">#NAME?</definedName>
    <definedName name="_xlpm.mo" hidden="1" xlm="1">#NAME?</definedName>
    <definedName name="_xlpm.mon" hidden="1" xlm="1">#NAME?</definedName>
    <definedName name="_xlpm.mond" hidden="1" xlm="1">#NAME?</definedName>
    <definedName name="_xlpm.monda" hidden="1" xlm="1">#NAME?</definedName>
    <definedName name="_xlpm.monday" hidden="1" xlm="1">#NAME?</definedName>
    <definedName name="_xlpm.mondays" hidden="1" xlm="1">#NAME?</definedName>
    <definedName name="_xlpm.mont" hidden="1" xlm="1">#NAME?</definedName>
    <definedName name="_xlpm.month" hidden="1" xlm="1">#NAME?</definedName>
    <definedName name="_xlpm.month_offset" hidden="1" xlm="1">#NAME?</definedName>
    <definedName name="_xlpm.monthl" hidden="1" xlm="1">#NAME?</definedName>
    <definedName name="_xlpm.monthly" hidden="1" xlm="1">#NAME?</definedName>
    <definedName name="_xlpm.monthly_card_payment" hidden="1" xlm="1">#NAME?</definedName>
    <definedName name="_xlpm.months" hidden="1" xlm="1">#NAME?</definedName>
    <definedName name="_xlpm.n" hidden="1" xlm="1">#NAME?</definedName>
    <definedName name="_xlpm.n_card_payment" hidden="1" xlm="1">#NAME?</definedName>
    <definedName name="_xlpm.nb" hidden="1" xlm="1">#NAME?</definedName>
    <definedName name="_xlpm.nbr" hidden="1" xlm="1">#NAME?</definedName>
    <definedName name="_xlpm.nbr_" hidden="1" xlm="1">#NAME?</definedName>
    <definedName name="_xlpm.nbr_days" hidden="1" xlm="1">#NAME?</definedName>
    <definedName name="_xlpm.nbr_o" hidden="1" xlm="1">#NAME?</definedName>
    <definedName name="_xlpm.nbr_of" hidden="1" xlm="1">#NAME?</definedName>
    <definedName name="_xlpm.nbr_of_" hidden="1" xlm="1">#NAME?</definedName>
    <definedName name="_xlpm.nbr_of_s" hidden="1" xlm="1">#NAME?</definedName>
    <definedName name="_xlpm.nbr_of_st" hidden="1" xlm="1">#NAME?</definedName>
    <definedName name="_xlpm.nbr_of_ste" hidden="1" xlm="1">#NAME?</definedName>
    <definedName name="_xlpm.nbr_of_step" hidden="1" xlm="1">#NAME?</definedName>
    <definedName name="_xlpm.nbr_of_steps" hidden="1" xlm="1">#NAME?</definedName>
    <definedName name="_xlpm.ne_card_payment" hidden="1" xlm="1">#NAME?</definedName>
    <definedName name="_xlpm.nex_card_payment" hidden="1" xlm="1">#NAME?</definedName>
    <definedName name="_xlpm.next_card_payment" hidden="1" xlm="1">#NAME?</definedName>
    <definedName name="_xlpm.nth" hidden="1" xlm="1">#NAME?</definedName>
    <definedName name="_xlpm.nth_day" hidden="1" xlm="1">#NAME?</definedName>
    <definedName name="_xlpm.nth_occurance" hidden="1" xlm="1">#NAME?</definedName>
    <definedName name="_xlpm.nth_occurrence" hidden="1" xlm="1">#NAME?</definedName>
    <definedName name="_xlpm.nth_target_day" hidden="1" xlm="1">#NAME?</definedName>
    <definedName name="_xlpm.NTM_day_count" hidden="1" xlm="1">#NAME?</definedName>
    <definedName name="_xlpm.nu" hidden="1" xlm="1">#NAME?</definedName>
    <definedName name="_xlpm.num" hidden="1" xlm="1">#NAME?</definedName>
    <definedName name="_xlpm.numb" hidden="1" xlm="1">#NAME?</definedName>
    <definedName name="_xlpm.numbe" hidden="1" xlm="1">#NAME?</definedName>
    <definedName name="_xlpm.number" hidden="1" xlm="1">#NAME?</definedName>
    <definedName name="_xlpm.occurance" hidden="1" xlm="1">#NAME?</definedName>
    <definedName name="_xlpm.one_day_spend" hidden="1" xlm="1">#NAME?</definedName>
    <definedName name="_xlpm.p" hidden="1" xlm="1">#NAME?</definedName>
    <definedName name="_xlpm.paydays" hidden="1" xlm="1">#NAME?</definedName>
    <definedName name="_xlpm.pe" hidden="1" xlm="1">#NAME?</definedName>
    <definedName name="_xlpm.per" hidden="1" xlm="1">#NAME?</definedName>
    <definedName name="_xlpm.peri" hidden="1" xlm="1">#NAME?</definedName>
    <definedName name="_xlpm.perio" hidden="1" xlm="1">#NAME?</definedName>
    <definedName name="_xlpm.period" hidden="1" xlm="1">#NAME?</definedName>
    <definedName name="_xlpm.periods" hidden="1" xlm="1">#NAME?</definedName>
    <definedName name="_xlpm.planned" hidden="1" xlm="1">#NAME?</definedName>
    <definedName name="_xlpm.precedents" hidden="1" xlm="1">#NAME?</definedName>
    <definedName name="_xlpm.r" hidden="1" xlm="1">#NAME?</definedName>
    <definedName name="_xlpm.re" hidden="1" xlm="1">#NAME?</definedName>
    <definedName name="_xlpm.rec" hidden="1" xlm="1">#NAME?</definedName>
    <definedName name="_xlpm.recu" hidden="1" xlm="1">#NAME?</definedName>
    <definedName name="_xlpm.recur" hidden="1" xlm="1">#NAME?</definedName>
    <definedName name="_xlpm.recurr" hidden="1" xlm="1">#NAME?</definedName>
    <definedName name="_xlpm.recurrance" hidden="1" xlm="1">#NAME?</definedName>
    <definedName name="_xlpm.recurri" hidden="1" xlm="1">#NAME?</definedName>
    <definedName name="_xlpm.recurrin" hidden="1" xlm="1">#NAME?</definedName>
    <definedName name="_xlpm.recurring" hidden="1" xlm="1">#NAME?</definedName>
    <definedName name="_xlpm.result_sequence" hidden="1" xlm="1">#NAME?</definedName>
    <definedName name="_xlpm.s" hidden="1" xlm="1">#NAME?</definedName>
    <definedName name="_xlpm.saturdays" hidden="1" xlm="1">#NAME?</definedName>
    <definedName name="_xlpm.second_slash_position" hidden="1" xlm="1">#NAME?</definedName>
    <definedName name="_xlpm.start_date" hidden="1" xlm="1">#NAME?</definedName>
    <definedName name="_xlpm.step_days" hidden="1" xlm="1">#NAME?</definedName>
    <definedName name="_xlpm.step_value" hidden="1" xlm="1">#NAME?</definedName>
    <definedName name="_xlpm.step_weeks" hidden="1" xlm="1">#NAME?</definedName>
    <definedName name="_xlpm.step_y" hidden="1" xlm="1">#NAME?</definedName>
    <definedName name="_xlpm.step_ye" hidden="1" xlm="1">#NAME?</definedName>
    <definedName name="_xlpm.step_yea" hidden="1" xlm="1">#NAME?</definedName>
    <definedName name="_xlpm.step_year" hidden="1" xlm="1">#NAME?</definedName>
    <definedName name="_xlpm.step_years" hidden="1" xlm="1">#NAME?</definedName>
    <definedName name="_xlpm.su" hidden="1" xlm="1">#NAME?</definedName>
    <definedName name="_xlpm.sun" hidden="1" xlm="1">#NAME?</definedName>
    <definedName name="_xlpm.sund" hidden="1" xlm="1">#NAME?</definedName>
    <definedName name="_xlpm.sunda" hidden="1" xlm="1">#NAME?</definedName>
    <definedName name="_xlpm.sunday" hidden="1" xlm="1">#NAME?</definedName>
    <definedName name="_xlpm.sundays" hidden="1" xlm="1">#NAME?</definedName>
    <definedName name="_xlpm.T" hidden="1" xlm="1">#NAME?</definedName>
    <definedName name="_xlpm.tab" hidden="1" xlm="1">#NAME?</definedName>
    <definedName name="_xlpm.target_day" hidden="1" xlm="1">#NAME?</definedName>
    <definedName name="_xlpm.th" hidden="1" xlm="1">#NAME?</definedName>
    <definedName name="_xlpm.thu" hidden="1" xlm="1">#NAME?</definedName>
    <definedName name="_xlpm.thur" hidden="1" xlm="1">#NAME?</definedName>
    <definedName name="_xlpm.thurs" hidden="1" xlm="1">#NAME?</definedName>
    <definedName name="_xlpm.thursd" hidden="1" xlm="1">#NAME?</definedName>
    <definedName name="_xlpm.thursda" hidden="1" xlm="1">#NAME?</definedName>
    <definedName name="_xlpm.thursday" hidden="1" xlm="1">#NAME?</definedName>
    <definedName name="_xlpm.thursdays" hidden="1" xlm="1">#NAME?</definedName>
    <definedName name="_xlpm.to" hidden="1" xlm="1">#NAME?</definedName>
    <definedName name="_xlpm.tot" hidden="1" xlm="1">#NAME?</definedName>
    <definedName name="_xlpm.tota" hidden="1" xlm="1">#NAME?</definedName>
    <definedName name="_xlpm.total" hidden="1" xlm="1">#NAME?</definedName>
    <definedName name="_xlpm.total_" hidden="1" xlm="1">#NAME?</definedName>
    <definedName name="_xlpm.total_periods" hidden="1" xlm="1">#NAME?</definedName>
    <definedName name="_xlpm.total_s" hidden="1" xlm="1">#NAME?</definedName>
    <definedName name="_xlpm.total_sp" hidden="1" xlm="1">#NAME?</definedName>
    <definedName name="_xlpm.total_spe" hidden="1" xlm="1">#NAME?</definedName>
    <definedName name="_xlpm.total_spen" hidden="1" xlm="1">#NAME?</definedName>
    <definedName name="_xlpm.total_spend" hidden="1" xlm="1">#NAME?</definedName>
    <definedName name="_xlpm.tu" hidden="1" xlm="1">#NAME?</definedName>
    <definedName name="_xlpm.tue" hidden="1" xlm="1">#NAME?</definedName>
    <definedName name="_xlpm.tues" hidden="1" xlm="1">#NAME?</definedName>
    <definedName name="_xlpm.tuesd" hidden="1" xlm="1">#NAME?</definedName>
    <definedName name="_xlpm.tuesda" hidden="1" xlm="1">#NAME?</definedName>
    <definedName name="_xlpm.tuesday" hidden="1" xlm="1">#NAME?</definedName>
    <definedName name="_xlpm.tuesdays" hidden="1" xlm="1">#NAME?</definedName>
    <definedName name="_xlpm.Type" hidden="1" xlm="1">#NAME?</definedName>
    <definedName name="_xlpm.w" hidden="1" xlm="1">#NAME?</definedName>
    <definedName name="_xlpm.w_steps" hidden="1" xlm="1">#NAME?</definedName>
    <definedName name="_xlpm.we" hidden="1" xlm="1">#NAME?</definedName>
    <definedName name="_xlpm.we_steps" hidden="1" xlm="1">#NAME?</definedName>
    <definedName name="_xlpm.wed" hidden="1" xlm="1">#NAME?</definedName>
    <definedName name="_xlpm.wedn" hidden="1" xlm="1">#NAME?</definedName>
    <definedName name="_xlpm.wedne" hidden="1" xlm="1">#NAME?</definedName>
    <definedName name="_xlpm.wednes" hidden="1" xlm="1">#NAME?</definedName>
    <definedName name="_xlpm.wednesd" hidden="1" xlm="1">#NAME?</definedName>
    <definedName name="_xlpm.wednesda" hidden="1" xlm="1">#NAME?</definedName>
    <definedName name="_xlpm.wednesday" hidden="1" xlm="1">#NAME?</definedName>
    <definedName name="_xlpm.wednesdays" hidden="1" xlm="1">#NAME?</definedName>
    <definedName name="_xlpm.wee" hidden="1" xlm="1">#NAME?</definedName>
    <definedName name="_xlpm.wee_steps" hidden="1" xlm="1">#NAME?</definedName>
    <definedName name="_xlpm.week" hidden="1" xlm="1">#NAME?</definedName>
    <definedName name="_xlpm.week_base" hidden="1" xlm="1">#NAME?</definedName>
    <definedName name="_xlpm.week_steps" hidden="1" xlm="1">#NAME?</definedName>
    <definedName name="_xlpm.weekdays" hidden="1" xlm="1">#NAME?</definedName>
    <definedName name="_xlpm.weekl" hidden="1" xlm="1">#NAME?</definedName>
    <definedName name="_xlpm.weekly" hidden="1" xlm="1">#NAME?</definedName>
    <definedName name="_xlpm.weeks_per_year" hidden="1" xlm="1">#NAME?</definedName>
    <definedName name="_xlpm.y" hidden="1" xlm="1">#NAME?</definedName>
    <definedName name="_xlpm.ye" hidden="1" xlm="1">#NAME?</definedName>
    <definedName name="_xlpm.yea" hidden="1" xlm="1">#NAME?</definedName>
    <definedName name="_xlpm.year" hidden="1" xlm="1">#NAME?</definedName>
    <definedName name="_xlpm.year_" hidden="1" xlm="1">#NAME?</definedName>
    <definedName name="_xlpm.year_i" hidden="1" xlm="1">#NAME?</definedName>
    <definedName name="_xlpm.year_in" hidden="1" xlm="1">#NAME?</definedName>
    <definedName name="_xlpm.year_in_" hidden="1" xlm="1">#NAME?</definedName>
    <definedName name="_xlpm.year_in_d" hidden="1" xlm="1">#NAME?</definedName>
    <definedName name="_xlpm.year_in_da" hidden="1" xlm="1">#NAME?</definedName>
    <definedName name="_xlpm.year_in_day" hidden="1" xlm="1">#NAME?</definedName>
    <definedName name="_xlpm.year_in_days" hidden="1" xlm="1">#NAME?</definedName>
    <definedName name="_xlpm.year_in_w" hidden="1" xlm="1">#NAME?</definedName>
    <definedName name="_xlpm.year_in_wk" hidden="1" xlm="1">#NAME?</definedName>
    <definedName name="_xlpm.year_in_wks" hidden="1" xlm="1">#NAME?</definedName>
    <definedName name="_xlpm.year_s" hidden="1" xlm="1">#NAME?</definedName>
    <definedName name="_xlpm.year_st" hidden="1" xlm="1">#NAME?</definedName>
    <definedName name="_xlpm.year_ste" hidden="1" xlm="1">#NAME?</definedName>
    <definedName name="_xlpm.year_step" hidden="1" xlm="1">#NAME?</definedName>
    <definedName name="_xlpm.year_steps" hidden="1" xlm="1">#NAME?</definedName>
    <definedName name="_xlpm.year_steps_" hidden="1" xlm="1">#NAME?</definedName>
    <definedName name="_xlpm.year_steps_f" hidden="1" xlm="1">#NAME?</definedName>
    <definedName name="_xlpm.year_steps_fo" hidden="1" xlm="1">#NAME?</definedName>
    <definedName name="_xlpm.year_steps_for" hidden="1" xlm="1">#NAME?</definedName>
    <definedName name="_xlpm.year_steps_for_" hidden="1" xlm="1">#NAME?</definedName>
    <definedName name="_xlpm.year_steps_for_w" hidden="1" xlm="1">#NAME?</definedName>
    <definedName name="_xlpm.year_steps_for_we" hidden="1" xlm="1">#NAME?</definedName>
    <definedName name="_xlpm.year_steps_for_wee" hidden="1" xlm="1">#NAME?</definedName>
    <definedName name="_xlpm.year_steps_for_week" hidden="1" xlm="1">#NAME?</definedName>
    <definedName name="_xlpm.year_steps_for_weeks" hidden="1" xlm="1">#NAME?</definedName>
    <definedName name="CurrentDueDate">_xlfn.LAMBDA(_xlpm.account,VLOOKUP(_xlpm.account,'Credit Cards'!$B:$J,MATCH("Current (T) Due Date",'Credit Cards'!$B$3:$J$3,0),0))</definedName>
    <definedName name="CurrentPayment">_xlfn.LAMBDA(_xlpm.account,VLOOKUP(_xlpm.account,'Credit Cards'!$B:$J,MATCH("Current (T) Payment",'Credit Cards'!$B$3:$J$3,0),0))</definedName>
    <definedName name="Empower">_xlfn.LAMBDA(_xlpm.calc,     _xlfn.LET(_xlpm.category,INDEX(Recurring!$C$1:$C$50,ROW()),     _xlpm.recurrance,INDEX(Recurring!$E$1:$E$50,ROW()),    -INDEX('Ref Data'!$A$1:$N$33,       MATCH(_xlpm.category,'Ref Data'!$B$1:$B$33,0),       MATCH(_xlpm.recurrance&amp;"_"&amp;_xlpm.calc,'Ref Data'!$A$1:$N$1,0))) )</definedName>
    <definedName name="EndOfCurrentMonth">_xlfn.LET(_xlpm.date,EOMONTH(TODAY(),0), _xlpm.day,DAY(EOMONTH(TODAY(),0)), _xlpm.tab,MID(CELL("filename",INDIRECT("A1")),FIND("]",CELL("filename",INDIRECT("A1")))+1,255), _xlpm.index,MATCH(_xlpm.tab,{"Recurring","Credit Cards"},0), CHOOSE(_xlpm.index,_xlpm.date,_xlpm.day))</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NextDueDate">_xlfn.LAMBDA(_xlpm.account,VLOOKUP(_xlpm.account,'Credit Cards'!$B:$J,MATCH("T+1 Due Date",'Credit Cards'!$B$3:$J$3,0),0))</definedName>
    <definedName name="NextPayment">_xlfn.LAMBDA(_xlpm.account,VLOOKUP(_xlpm.account,'Credit Cards'!$B:$J,MATCH("T+1 Payment",'Credit Cards'!$B$3:$J$3,0),0))</definedName>
  </definedName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30" l="1"/>
  <c r="C13" i="30"/>
  <c r="D2" i="55" a="1"/>
  <c r="D2" i="55" s="1"/>
  <c r="I4" i="20" l="1" a="1"/>
  <c r="H4" i="20" a="1"/>
  <c r="H4" i="20" s="1"/>
  <c r="I4" i="20" l="1"/>
  <c r="I14" i="8" a="1"/>
  <c r="I14" i="8" s="1"/>
  <c r="H4" i="85" a="1"/>
  <c r="H4" i="85" s="1"/>
  <c r="B1" i="65" a="1"/>
  <c r="B1" i="65" s="1"/>
  <c r="B2" i="81" a="1"/>
  <c r="B2" i="81" s="1"/>
  <c r="B1" i="81" a="1"/>
  <c r="B1" i="81" s="1"/>
  <c r="B4" i="80" a="1"/>
  <c r="B4" i="80" s="1"/>
  <c r="B3" i="80" a="1"/>
  <c r="B3" i="80" s="1"/>
  <c r="B2" i="80" a="1"/>
  <c r="B2" i="80" s="1"/>
  <c r="B1" i="63" a="1"/>
  <c r="B1" i="63" s="1"/>
  <c r="B4" i="24" a="1"/>
  <c r="B4" i="24" s="1"/>
  <c r="B3" i="24" a="1"/>
  <c r="B3" i="24" s="1"/>
  <c r="B2" i="24" a="1"/>
  <c r="B2" i="24" s="1"/>
  <c r="I4" i="8" a="1"/>
  <c r="I4" i="8" s="1"/>
  <c r="I5" i="8" a="1"/>
  <c r="I5" i="8" s="1"/>
  <c r="I6" i="8" a="1"/>
  <c r="I6" i="8" s="1"/>
  <c r="I7" i="8" a="1"/>
  <c r="I7" i="8" s="1"/>
  <c r="I8" i="8" a="1"/>
  <c r="I8" i="8" s="1"/>
  <c r="I9" i="8" a="1"/>
  <c r="I9" i="8" s="1"/>
  <c r="I11" i="8" a="1"/>
  <c r="I11" i="8" s="1"/>
  <c r="I12" i="8" a="1"/>
  <c r="I12" i="8" s="1"/>
  <c r="I13" i="8" a="1"/>
  <c r="I13" i="8" s="1"/>
  <c r="I15" i="8" a="1"/>
  <c r="I15" i="8" s="1"/>
  <c r="I16" i="8" a="1"/>
  <c r="I16" i="8" s="1"/>
  <c r="I17" i="8" a="1"/>
  <c r="I17" i="8" s="1"/>
  <c r="I18" i="8" a="1"/>
  <c r="I18" i="8" s="1"/>
  <c r="I19" i="8" a="1"/>
  <c r="I19" i="8" s="1"/>
  <c r="I20" i="8" a="1"/>
  <c r="I20" i="8" s="1"/>
  <c r="I21" i="8" a="1"/>
  <c r="I21" i="8" s="1"/>
  <c r="I22" i="8" a="1"/>
  <c r="I22" i="8" s="1"/>
  <c r="I23" i="8" a="1"/>
  <c r="I23" i="8" s="1"/>
  <c r="I24" i="8" a="1"/>
  <c r="I24" i="8" s="1"/>
  <c r="I25" i="8" a="1"/>
  <c r="I25" i="8" s="1"/>
  <c r="I26" i="8" a="1"/>
  <c r="I26" i="8" s="1"/>
  <c r="I27" i="8" a="1"/>
  <c r="I27" i="8" s="1"/>
  <c r="I28" i="8" a="1"/>
  <c r="I28" i="8" s="1"/>
  <c r="I29" i="8" a="1"/>
  <c r="I29" i="8" s="1"/>
  <c r="I30" i="8" a="1"/>
  <c r="I30" i="8" s="1"/>
  <c r="I31" i="8" a="1"/>
  <c r="I31" i="8" s="1"/>
  <c r="I32" i="8" a="1"/>
  <c r="I32" i="8" s="1"/>
  <c r="I33" i="8" a="1"/>
  <c r="I33" i="8" s="1"/>
  <c r="I34" i="8" a="1"/>
  <c r="I34" i="8" s="1"/>
  <c r="I35" i="8" a="1"/>
  <c r="I35" i="8" s="1"/>
  <c r="I36" i="8" a="1"/>
  <c r="I36" i="8" s="1"/>
  <c r="I37" i="8" a="1"/>
  <c r="I37" i="8" s="1"/>
  <c r="I38" i="8" a="1"/>
  <c r="I38" i="8" s="1"/>
  <c r="I39" i="8" a="1"/>
  <c r="I39" i="8" s="1"/>
  <c r="I40" i="8" a="1"/>
  <c r="I40" i="8" s="1"/>
  <c r="I41" i="8" a="1"/>
  <c r="I41" i="8" s="1"/>
  <c r="I42" i="8" a="1"/>
  <c r="I42" i="8" s="1"/>
  <c r="I43" i="8" a="1"/>
  <c r="I43" i="8" s="1"/>
  <c r="I44" i="8" a="1"/>
  <c r="I44" i="8" s="1"/>
  <c r="I45" i="8" a="1"/>
  <c r="I45" i="8" s="1"/>
  <c r="I46" i="8" a="1"/>
  <c r="I46" i="8" s="1"/>
  <c r="I47" i="8" a="1"/>
  <c r="I47" i="8" s="1"/>
  <c r="I48" i="8" a="1"/>
  <c r="I48" i="8" s="1"/>
  <c r="I49" i="8" a="1"/>
  <c r="I49" i="8" s="1"/>
  <c r="I50" i="8" a="1"/>
  <c r="I50" i="8" s="1"/>
  <c r="I51" i="8" a="1"/>
  <c r="I51" i="8" s="1"/>
  <c r="I52" i="8" a="1"/>
  <c r="I52" i="8" s="1"/>
  <c r="I53" i="8" a="1"/>
  <c r="I53" i="8" s="1"/>
  <c r="B2" i="55" a="1"/>
  <c r="B2" i="55" s="1"/>
  <c r="C12" i="50"/>
  <c r="C91" i="5" s="1"/>
  <c r="D91" i="5" s="1"/>
  <c r="E91" i="5" s="1"/>
  <c r="F91" i="5" s="1"/>
  <c r="G91" i="5" s="1"/>
  <c r="H91" i="5" s="1"/>
  <c r="I91" i="5" s="1"/>
  <c r="J91" i="5" s="1"/>
  <c r="K91" i="5" s="1"/>
  <c r="L91" i="5" s="1"/>
  <c r="M91" i="5" s="1"/>
  <c r="N91" i="5" s="1"/>
  <c r="D12" i="50" s="1"/>
  <c r="J4" i="20" l="1" a="1"/>
  <c r="C16" i="86"/>
  <c r="C32" i="86"/>
  <c r="E15" i="86"/>
  <c r="E31" i="86"/>
  <c r="D16" i="86"/>
  <c r="D32" i="86"/>
  <c r="K20" i="86"/>
  <c r="K4" i="86"/>
  <c r="J20" i="86"/>
  <c r="J4" i="86"/>
  <c r="I20" i="86"/>
  <c r="I4" i="86"/>
  <c r="N20" i="86"/>
  <c r="N4" i="86"/>
  <c r="M20" i="86"/>
  <c r="M4" i="86"/>
  <c r="L20" i="86"/>
  <c r="L4" i="86"/>
  <c r="C17" i="86"/>
  <c r="E16" i="86"/>
  <c r="D17" i="86"/>
  <c r="D33" i="86"/>
  <c r="K19" i="86"/>
  <c r="J19" i="86"/>
  <c r="J3" i="86"/>
  <c r="I19" i="86"/>
  <c r="I3" i="86"/>
  <c r="N19" i="86"/>
  <c r="M19" i="86"/>
  <c r="M3" i="86"/>
  <c r="L3" i="86"/>
  <c r="J18" i="86"/>
  <c r="J2" i="86"/>
  <c r="I18" i="86"/>
  <c r="I2" i="86"/>
  <c r="N2" i="86"/>
  <c r="I33" i="86"/>
  <c r="N17" i="86"/>
  <c r="M15" i="86"/>
  <c r="C18" i="86"/>
  <c r="C2" i="86"/>
  <c r="E17" i="86"/>
  <c r="E33" i="86"/>
  <c r="D18" i="86"/>
  <c r="D2" i="86"/>
  <c r="K18" i="86"/>
  <c r="K2" i="86"/>
  <c r="M18" i="86"/>
  <c r="M2" i="86"/>
  <c r="L18" i="86"/>
  <c r="L2" i="86"/>
  <c r="L31" i="86"/>
  <c r="C3" i="86"/>
  <c r="C19" i="86"/>
  <c r="E2" i="86"/>
  <c r="C4" i="86"/>
  <c r="C20" i="86"/>
  <c r="E3" i="86"/>
  <c r="E19" i="86"/>
  <c r="L15" i="86"/>
  <c r="C5" i="86"/>
  <c r="C21" i="86"/>
  <c r="E4" i="86"/>
  <c r="E20" i="86"/>
  <c r="D5" i="86"/>
  <c r="D21" i="86"/>
  <c r="K31" i="86"/>
  <c r="K15" i="86"/>
  <c r="J31" i="86"/>
  <c r="J15" i="86"/>
  <c r="I31" i="86"/>
  <c r="I15" i="86"/>
  <c r="N31" i="86"/>
  <c r="N15" i="86"/>
  <c r="C6" i="86"/>
  <c r="C22" i="86"/>
  <c r="E5" i="86"/>
  <c r="E21" i="86"/>
  <c r="D6" i="86"/>
  <c r="D22" i="86"/>
  <c r="K30" i="86"/>
  <c r="K14" i="86"/>
  <c r="J30" i="86"/>
  <c r="J14" i="86"/>
  <c r="I30" i="86"/>
  <c r="I14" i="86"/>
  <c r="N30" i="86"/>
  <c r="N14" i="86"/>
  <c r="M30" i="86"/>
  <c r="M14" i="86"/>
  <c r="L30" i="86"/>
  <c r="L14" i="86"/>
  <c r="C7" i="86"/>
  <c r="C23" i="86"/>
  <c r="E6" i="86"/>
  <c r="E22" i="86"/>
  <c r="D7" i="86"/>
  <c r="D23" i="86"/>
  <c r="K29" i="86"/>
  <c r="K13" i="86"/>
  <c r="J29" i="86"/>
  <c r="J13" i="86"/>
  <c r="I29" i="86"/>
  <c r="I13" i="86"/>
  <c r="N29" i="86"/>
  <c r="N13" i="86"/>
  <c r="M29" i="86"/>
  <c r="M13" i="86"/>
  <c r="L29" i="86"/>
  <c r="L13" i="86"/>
  <c r="C8" i="86"/>
  <c r="C24" i="86"/>
  <c r="E7" i="86"/>
  <c r="E23" i="86"/>
  <c r="D8" i="86"/>
  <c r="D24" i="86"/>
  <c r="K28" i="86"/>
  <c r="K12" i="86"/>
  <c r="J28" i="86"/>
  <c r="J12" i="86"/>
  <c r="I28" i="86"/>
  <c r="I12" i="86"/>
  <c r="N28" i="86"/>
  <c r="N12" i="86"/>
  <c r="M28" i="86"/>
  <c r="M12" i="86"/>
  <c r="L28" i="86"/>
  <c r="L12" i="86"/>
  <c r="K11" i="86"/>
  <c r="N11" i="86"/>
  <c r="N10" i="86"/>
  <c r="N6" i="86"/>
  <c r="M33" i="86"/>
  <c r="M17" i="86"/>
  <c r="L33" i="86"/>
  <c r="L17" i="86"/>
  <c r="D20" i="86"/>
  <c r="J32" i="86"/>
  <c r="J16" i="86"/>
  <c r="I32" i="86"/>
  <c r="I16" i="86"/>
  <c r="N32" i="86"/>
  <c r="C9" i="86"/>
  <c r="C25" i="86"/>
  <c r="E8" i="86"/>
  <c r="E24" i="86"/>
  <c r="D9" i="86"/>
  <c r="D25" i="86"/>
  <c r="K27" i="86"/>
  <c r="J27" i="86"/>
  <c r="J11" i="86"/>
  <c r="I27" i="86"/>
  <c r="I11" i="86"/>
  <c r="N27" i="86"/>
  <c r="M27" i="86"/>
  <c r="M11" i="86"/>
  <c r="L27" i="86"/>
  <c r="L11" i="86"/>
  <c r="M26" i="86"/>
  <c r="M10" i="86"/>
  <c r="L26" i="86"/>
  <c r="L10" i="86"/>
  <c r="M22" i="86"/>
  <c r="M6" i="86"/>
  <c r="L22" i="86"/>
  <c r="L6" i="86"/>
  <c r="E18" i="86"/>
  <c r="K32" i="86"/>
  <c r="C10" i="86"/>
  <c r="C26" i="86"/>
  <c r="E9" i="86"/>
  <c r="E25" i="86"/>
  <c r="D10" i="86"/>
  <c r="D26" i="86"/>
  <c r="K26" i="86"/>
  <c r="K10" i="86"/>
  <c r="J26" i="86"/>
  <c r="J10" i="86"/>
  <c r="I26" i="86"/>
  <c r="I10" i="86"/>
  <c r="N26" i="86"/>
  <c r="J17" i="86"/>
  <c r="M31" i="86"/>
  <c r="C11" i="86"/>
  <c r="C27" i="86"/>
  <c r="E10" i="86"/>
  <c r="E26" i="86"/>
  <c r="D11" i="86"/>
  <c r="D27" i="86"/>
  <c r="K25" i="86"/>
  <c r="K9" i="86"/>
  <c r="J25" i="86"/>
  <c r="J9" i="86"/>
  <c r="I25" i="86"/>
  <c r="I9" i="86"/>
  <c r="N25" i="86"/>
  <c r="N9" i="86"/>
  <c r="M25" i="86"/>
  <c r="M9" i="86"/>
  <c r="L25" i="86"/>
  <c r="L9" i="86"/>
  <c r="J23" i="86"/>
  <c r="I23" i="86"/>
  <c r="I7" i="86"/>
  <c r="N23" i="86"/>
  <c r="C14" i="86"/>
  <c r="E13" i="86"/>
  <c r="K6" i="86"/>
  <c r="K17" i="86"/>
  <c r="M16" i="86"/>
  <c r="C12" i="86"/>
  <c r="C28" i="86"/>
  <c r="E11" i="86"/>
  <c r="E27" i="86"/>
  <c r="D12" i="86"/>
  <c r="D28" i="86"/>
  <c r="K24" i="86"/>
  <c r="K8" i="86"/>
  <c r="J24" i="86"/>
  <c r="J8" i="86"/>
  <c r="I24" i="86"/>
  <c r="I8" i="86"/>
  <c r="N24" i="86"/>
  <c r="N8" i="86"/>
  <c r="M24" i="86"/>
  <c r="M8" i="86"/>
  <c r="L24" i="86"/>
  <c r="L8" i="86"/>
  <c r="J7" i="86"/>
  <c r="N7" i="86"/>
  <c r="C30" i="86"/>
  <c r="E29" i="86"/>
  <c r="J22" i="86"/>
  <c r="J6" i="86"/>
  <c r="I22" i="86"/>
  <c r="I6" i="86"/>
  <c r="N22" i="86"/>
  <c r="D3" i="86"/>
  <c r="D19" i="86"/>
  <c r="K33" i="86"/>
  <c r="K16" i="86"/>
  <c r="C13" i="86"/>
  <c r="C29" i="86"/>
  <c r="E12" i="86"/>
  <c r="E28" i="86"/>
  <c r="D13" i="86"/>
  <c r="D29" i="86"/>
  <c r="K23" i="86"/>
  <c r="K7" i="86"/>
  <c r="M23" i="86"/>
  <c r="M7" i="86"/>
  <c r="L23" i="86"/>
  <c r="L7" i="86"/>
  <c r="D14" i="86"/>
  <c r="D30" i="86"/>
  <c r="K22" i="86"/>
  <c r="D4" i="86"/>
  <c r="N16" i="86"/>
  <c r="C15" i="86"/>
  <c r="C31" i="86"/>
  <c r="E14" i="86"/>
  <c r="E30" i="86"/>
  <c r="D15" i="86"/>
  <c r="D31" i="86"/>
  <c r="K21" i="86"/>
  <c r="K5" i="86"/>
  <c r="J21" i="86"/>
  <c r="J5" i="86"/>
  <c r="I21" i="86"/>
  <c r="I5" i="86"/>
  <c r="N21" i="86"/>
  <c r="N5" i="86"/>
  <c r="M21" i="86"/>
  <c r="M5" i="86"/>
  <c r="L21" i="86"/>
  <c r="L5" i="86"/>
  <c r="C33" i="86"/>
  <c r="E32" i="86"/>
  <c r="K3" i="86"/>
  <c r="N3" i="86"/>
  <c r="L19" i="86"/>
  <c r="N18" i="86"/>
  <c r="J33" i="86"/>
  <c r="I17" i="86"/>
  <c r="N33" i="86"/>
  <c r="M32" i="86"/>
  <c r="L32" i="86"/>
  <c r="L16" i="86"/>
  <c r="F262" i="65"/>
  <c r="E365" i="65"/>
  <c r="C364" i="65"/>
  <c r="C369" i="65"/>
  <c r="F368" i="65"/>
  <c r="E314" i="65"/>
  <c r="E368" i="65"/>
  <c r="E3" i="65"/>
  <c r="C368" i="65"/>
  <c r="F361" i="65"/>
  <c r="E361" i="65"/>
  <c r="E366" i="65"/>
  <c r="E359" i="65"/>
  <c r="C3" i="65"/>
  <c r="F367" i="65"/>
  <c r="C363" i="65"/>
  <c r="F360" i="65"/>
  <c r="E367" i="65"/>
  <c r="F364" i="65"/>
  <c r="E357" i="65"/>
  <c r="E351" i="65"/>
  <c r="E306" i="65"/>
  <c r="C256" i="65"/>
  <c r="C367" i="65"/>
  <c r="E364" i="65"/>
  <c r="C360" i="65"/>
  <c r="C357" i="65"/>
  <c r="E355" i="65"/>
  <c r="C305" i="65"/>
  <c r="E322" i="65"/>
  <c r="C355" i="65"/>
  <c r="C353" i="65"/>
  <c r="C321" i="65"/>
  <c r="E241" i="65"/>
  <c r="F365" i="65"/>
  <c r="C361" i="65"/>
  <c r="E358" i="65"/>
  <c r="C350" i="65"/>
  <c r="E338" i="65"/>
  <c r="F279" i="65"/>
  <c r="C337" i="65"/>
  <c r="F188" i="65"/>
  <c r="C365" i="65"/>
  <c r="C358" i="65"/>
  <c r="F369" i="65"/>
  <c r="E362" i="65"/>
  <c r="F356" i="65"/>
  <c r="E298" i="65"/>
  <c r="E369" i="65"/>
  <c r="C362" i="65"/>
  <c r="F359" i="65"/>
  <c r="E356" i="65"/>
  <c r="C297" i="65"/>
  <c r="C271" i="65"/>
  <c r="C356" i="65"/>
  <c r="C313" i="65"/>
  <c r="E354" i="65"/>
  <c r="C366" i="65"/>
  <c r="E363" i="65"/>
  <c r="C359" i="65"/>
  <c r="C354" i="65"/>
  <c r="F352" i="65"/>
  <c r="E348" i="65"/>
  <c r="E330" i="65"/>
  <c r="C329" i="65"/>
  <c r="F292" i="65"/>
  <c r="C266" i="65"/>
  <c r="E346" i="65"/>
  <c r="E264" i="65"/>
  <c r="E360" i="65"/>
  <c r="F357" i="65"/>
  <c r="F351" i="65"/>
  <c r="C345" i="65"/>
  <c r="E289" i="65"/>
  <c r="F10" i="65"/>
  <c r="C8" i="65"/>
  <c r="E9" i="65"/>
  <c r="C16" i="65"/>
  <c r="F9" i="65"/>
  <c r="C7" i="65"/>
  <c r="E8" i="65"/>
  <c r="C15" i="65"/>
  <c r="E16" i="65"/>
  <c r="C23" i="65"/>
  <c r="E24" i="65"/>
  <c r="C31" i="65"/>
  <c r="E32" i="65"/>
  <c r="C39" i="65"/>
  <c r="E40" i="65"/>
  <c r="C47" i="65"/>
  <c r="E48" i="65"/>
  <c r="F8" i="65"/>
  <c r="C6" i="65"/>
  <c r="E7" i="65"/>
  <c r="C14" i="65"/>
  <c r="E15" i="65"/>
  <c r="F7" i="65"/>
  <c r="C5" i="65"/>
  <c r="E6" i="65"/>
  <c r="C13" i="65"/>
  <c r="E14" i="65"/>
  <c r="F6" i="65"/>
  <c r="F14" i="65"/>
  <c r="F22" i="65"/>
  <c r="F30" i="65"/>
  <c r="F38" i="65"/>
  <c r="F46" i="65"/>
  <c r="F54" i="65"/>
  <c r="F62" i="65"/>
  <c r="F70" i="65"/>
  <c r="F78" i="65"/>
  <c r="F86" i="65"/>
  <c r="F94" i="65"/>
  <c r="C4" i="65"/>
  <c r="E5" i="65"/>
  <c r="C12" i="65"/>
  <c r="E13" i="65"/>
  <c r="F5" i="65"/>
  <c r="F13" i="65"/>
  <c r="E4" i="65"/>
  <c r="C11" i="65"/>
  <c r="E12" i="65"/>
  <c r="F4" i="65"/>
  <c r="F12" i="65"/>
  <c r="F20" i="65"/>
  <c r="F28" i="65"/>
  <c r="F36" i="65"/>
  <c r="F44" i="65"/>
  <c r="C10" i="65"/>
  <c r="E11" i="65"/>
  <c r="C9" i="65"/>
  <c r="E10" i="65"/>
  <c r="C17" i="65"/>
  <c r="E18" i="65"/>
  <c r="C25" i="65"/>
  <c r="E26" i="65"/>
  <c r="C33" i="65"/>
  <c r="E34" i="65"/>
  <c r="C41" i="65"/>
  <c r="E42" i="65"/>
  <c r="C49" i="65"/>
  <c r="E50" i="65"/>
  <c r="C57" i="65"/>
  <c r="E58" i="65"/>
  <c r="C65" i="65"/>
  <c r="E66" i="65"/>
  <c r="C73" i="65"/>
  <c r="E74" i="65"/>
  <c r="C81" i="65"/>
  <c r="E82" i="65"/>
  <c r="C89" i="65"/>
  <c r="E90" i="65"/>
  <c r="C97" i="65"/>
  <c r="E98" i="65"/>
  <c r="F18" i="65"/>
  <c r="F21" i="65"/>
  <c r="C38" i="65"/>
  <c r="E47" i="65"/>
  <c r="C54" i="65"/>
  <c r="C32" i="65"/>
  <c r="C35" i="65"/>
  <c r="E41" i="65"/>
  <c r="E44" i="65"/>
  <c r="F47" i="65"/>
  <c r="F50" i="65"/>
  <c r="C26" i="65"/>
  <c r="C29" i="65"/>
  <c r="E35" i="65"/>
  <c r="E38" i="65"/>
  <c r="F41" i="65"/>
  <c r="C20" i="65"/>
  <c r="E29" i="65"/>
  <c r="F32" i="65"/>
  <c r="F35" i="65"/>
  <c r="F58" i="65"/>
  <c r="C66" i="65"/>
  <c r="F71" i="65"/>
  <c r="E75" i="65"/>
  <c r="C83" i="65"/>
  <c r="F88" i="65"/>
  <c r="E92" i="65"/>
  <c r="C100" i="65"/>
  <c r="C107" i="65"/>
  <c r="E108" i="65"/>
  <c r="E23" i="65"/>
  <c r="F26" i="65"/>
  <c r="F29" i="65"/>
  <c r="E20" i="65"/>
  <c r="F23" i="65"/>
  <c r="C40" i="65"/>
  <c r="C43" i="65"/>
  <c r="E17" i="65"/>
  <c r="C34" i="65"/>
  <c r="C37" i="65"/>
  <c r="E43" i="65"/>
  <c r="E46" i="65"/>
  <c r="F49" i="65"/>
  <c r="F53" i="65"/>
  <c r="E57" i="65"/>
  <c r="C61" i="65"/>
  <c r="E70" i="65"/>
  <c r="C78" i="65"/>
  <c r="F83" i="65"/>
  <c r="E87" i="65"/>
  <c r="F17" i="65"/>
  <c r="C28" i="65"/>
  <c r="E37" i="65"/>
  <c r="F40" i="65"/>
  <c r="F43" i="65"/>
  <c r="C52" i="65"/>
  <c r="F57" i="65"/>
  <c r="E61" i="65"/>
  <c r="F74" i="65"/>
  <c r="C82" i="65"/>
  <c r="F15" i="65"/>
  <c r="C22" i="65"/>
  <c r="E31" i="65"/>
  <c r="F34" i="65"/>
  <c r="F37" i="65"/>
  <c r="C56" i="65"/>
  <c r="F61" i="65"/>
  <c r="E65" i="65"/>
  <c r="C69" i="65"/>
  <c r="E78" i="65"/>
  <c r="C86" i="65"/>
  <c r="F91" i="65"/>
  <c r="E95" i="65"/>
  <c r="F106" i="65"/>
  <c r="F114" i="65"/>
  <c r="F122" i="65"/>
  <c r="F130" i="65"/>
  <c r="F138" i="65"/>
  <c r="F146" i="65"/>
  <c r="F154" i="65"/>
  <c r="F162" i="65"/>
  <c r="F170" i="65"/>
  <c r="F178" i="65"/>
  <c r="F186" i="65"/>
  <c r="F194" i="65"/>
  <c r="F202" i="65"/>
  <c r="F210" i="65"/>
  <c r="F218" i="65"/>
  <c r="C19" i="65"/>
  <c r="E25" i="65"/>
  <c r="E28" i="65"/>
  <c r="F31" i="65"/>
  <c r="C48" i="65"/>
  <c r="E52" i="65"/>
  <c r="E19" i="65"/>
  <c r="E22" i="65"/>
  <c r="F25" i="65"/>
  <c r="C42" i="65"/>
  <c r="C45" i="65"/>
  <c r="F52" i="65"/>
  <c r="E56" i="65"/>
  <c r="F19" i="65"/>
  <c r="C36" i="65"/>
  <c r="E45" i="65"/>
  <c r="F48" i="65"/>
  <c r="C51" i="65"/>
  <c r="C30" i="65"/>
  <c r="E39" i="65"/>
  <c r="F42" i="65"/>
  <c r="F45" i="65"/>
  <c r="C55" i="65"/>
  <c r="F60" i="65"/>
  <c r="E64" i="65"/>
  <c r="C72" i="65"/>
  <c r="F77" i="65"/>
  <c r="E81" i="65"/>
  <c r="C85" i="65"/>
  <c r="E94" i="65"/>
  <c r="F104" i="65"/>
  <c r="F112" i="65"/>
  <c r="F11" i="65"/>
  <c r="E21" i="65"/>
  <c r="F24" i="65"/>
  <c r="F27" i="65"/>
  <c r="C44" i="65"/>
  <c r="C50" i="65"/>
  <c r="F55" i="65"/>
  <c r="E59" i="65"/>
  <c r="C67" i="65"/>
  <c r="F72" i="65"/>
  <c r="E76" i="65"/>
  <c r="C84" i="65"/>
  <c r="F89" i="65"/>
  <c r="E93" i="65"/>
  <c r="E102" i="65"/>
  <c r="C109" i="65"/>
  <c r="E110" i="65"/>
  <c r="C117" i="65"/>
  <c r="E118" i="65"/>
  <c r="C125" i="65"/>
  <c r="E126" i="65"/>
  <c r="C133" i="65"/>
  <c r="E134" i="65"/>
  <c r="C141" i="65"/>
  <c r="E142" i="65"/>
  <c r="C149" i="65"/>
  <c r="E150" i="65"/>
  <c r="C157" i="65"/>
  <c r="E158" i="65"/>
  <c r="C165" i="65"/>
  <c r="E166" i="65"/>
  <c r="C173" i="65"/>
  <c r="E174" i="65"/>
  <c r="C181" i="65"/>
  <c r="E182" i="65"/>
  <c r="C189" i="65"/>
  <c r="E190" i="65"/>
  <c r="C197" i="65"/>
  <c r="E198" i="65"/>
  <c r="C205" i="65"/>
  <c r="E206" i="65"/>
  <c r="C213" i="65"/>
  <c r="E214" i="65"/>
  <c r="C221" i="65"/>
  <c r="E222" i="65"/>
  <c r="F51" i="65"/>
  <c r="C77" i="65"/>
  <c r="C79" i="65"/>
  <c r="F81" i="65"/>
  <c r="E83" i="65"/>
  <c r="E85" i="65"/>
  <c r="C87" i="65"/>
  <c r="E101" i="65"/>
  <c r="E104" i="65"/>
  <c r="F107" i="65"/>
  <c r="C116" i="65"/>
  <c r="F121" i="65"/>
  <c r="E125" i="65"/>
  <c r="C129" i="65"/>
  <c r="E138" i="65"/>
  <c r="C146" i="65"/>
  <c r="F151" i="65"/>
  <c r="E155" i="65"/>
  <c r="C163" i="65"/>
  <c r="F168" i="65"/>
  <c r="E33" i="65"/>
  <c r="C75" i="65"/>
  <c r="E77" i="65"/>
  <c r="E79" i="65"/>
  <c r="F85" i="65"/>
  <c r="C96" i="65"/>
  <c r="F101" i="65"/>
  <c r="C21" i="65"/>
  <c r="F33" i="65"/>
  <c r="C71" i="65"/>
  <c r="E73" i="65"/>
  <c r="F79" i="65"/>
  <c r="F87" i="65"/>
  <c r="E89" i="65"/>
  <c r="E96" i="65"/>
  <c r="C112" i="65"/>
  <c r="E116" i="65"/>
  <c r="C46" i="65"/>
  <c r="F56" i="65"/>
  <c r="E69" i="65"/>
  <c r="F73" i="65"/>
  <c r="F75" i="65"/>
  <c r="C91" i="65"/>
  <c r="F96" i="65"/>
  <c r="F69" i="65"/>
  <c r="E71" i="65"/>
  <c r="C98" i="65"/>
  <c r="C103" i="65"/>
  <c r="C24" i="65"/>
  <c r="E36" i="65"/>
  <c r="C53" i="65"/>
  <c r="C63" i="65"/>
  <c r="F65" i="65"/>
  <c r="E67" i="65"/>
  <c r="E91" i="65"/>
  <c r="F98" i="65"/>
  <c r="E103" i="65"/>
  <c r="E106" i="65"/>
  <c r="F109" i="65"/>
  <c r="C119" i="65"/>
  <c r="F124" i="65"/>
  <c r="E128" i="65"/>
  <c r="C136" i="65"/>
  <c r="E53" i="65"/>
  <c r="C59" i="65"/>
  <c r="E63" i="65"/>
  <c r="F67" i="65"/>
  <c r="C93" i="65"/>
  <c r="F103" i="65"/>
  <c r="E115" i="65"/>
  <c r="C123" i="65"/>
  <c r="F128" i="65"/>
  <c r="E132" i="65"/>
  <c r="C140" i="65"/>
  <c r="F63" i="65"/>
  <c r="C80" i="65"/>
  <c r="F82" i="65"/>
  <c r="F93" i="65"/>
  <c r="E100" i="65"/>
  <c r="F59" i="65"/>
  <c r="C76" i="65"/>
  <c r="E80" i="65"/>
  <c r="E84" i="65"/>
  <c r="C88" i="65"/>
  <c r="C95" i="65"/>
  <c r="F100" i="65"/>
  <c r="C108" i="65"/>
  <c r="C111" i="65"/>
  <c r="C114" i="65"/>
  <c r="F119" i="65"/>
  <c r="E123" i="65"/>
  <c r="C131" i="65"/>
  <c r="F136" i="65"/>
  <c r="E140" i="65"/>
  <c r="C148" i="65"/>
  <c r="F153" i="65"/>
  <c r="E157" i="65"/>
  <c r="C161" i="65"/>
  <c r="C27" i="65"/>
  <c r="F39" i="65"/>
  <c r="F80" i="65"/>
  <c r="F84" i="65"/>
  <c r="E86" i="65"/>
  <c r="C102" i="65"/>
  <c r="C105" i="65"/>
  <c r="E111" i="65"/>
  <c r="E27" i="65"/>
  <c r="E49" i="65"/>
  <c r="E54" i="65"/>
  <c r="C74" i="65"/>
  <c r="F76" i="65"/>
  <c r="E88" i="65"/>
  <c r="C90" i="65"/>
  <c r="F95" i="65"/>
  <c r="E105" i="65"/>
  <c r="F108" i="65"/>
  <c r="F111" i="65"/>
  <c r="E114" i="65"/>
  <c r="F16" i="65"/>
  <c r="C68" i="65"/>
  <c r="C70" i="65"/>
  <c r="E72" i="65"/>
  <c r="E97" i="65"/>
  <c r="F102" i="65"/>
  <c r="C64" i="65"/>
  <c r="E68" i="65"/>
  <c r="F90" i="65"/>
  <c r="C92" i="65"/>
  <c r="F97" i="65"/>
  <c r="E122" i="65"/>
  <c r="C130" i="65"/>
  <c r="F135" i="65"/>
  <c r="E139" i="65"/>
  <c r="C147" i="65"/>
  <c r="F152" i="65"/>
  <c r="E156" i="65"/>
  <c r="C164" i="65"/>
  <c r="F169" i="65"/>
  <c r="E173" i="65"/>
  <c r="C177" i="65"/>
  <c r="C60" i="65"/>
  <c r="F68" i="65"/>
  <c r="C99" i="65"/>
  <c r="C110" i="65"/>
  <c r="C113" i="65"/>
  <c r="F126" i="65"/>
  <c r="C134" i="65"/>
  <c r="F139" i="65"/>
  <c r="E143" i="65"/>
  <c r="C151" i="65"/>
  <c r="F156" i="65"/>
  <c r="E160" i="65"/>
  <c r="C168" i="65"/>
  <c r="F173" i="65"/>
  <c r="E177" i="65"/>
  <c r="E51" i="65"/>
  <c r="C101" i="65"/>
  <c r="C124" i="65"/>
  <c r="C126" i="65"/>
  <c r="E144" i="65"/>
  <c r="E151" i="65"/>
  <c r="C170" i="65"/>
  <c r="E180" i="65"/>
  <c r="C188" i="65"/>
  <c r="C120" i="65"/>
  <c r="C122" i="65"/>
  <c r="F144" i="65"/>
  <c r="F158" i="65"/>
  <c r="E165" i="65"/>
  <c r="C167" i="65"/>
  <c r="E176" i="65"/>
  <c r="F180" i="65"/>
  <c r="E184" i="65"/>
  <c r="C192" i="65"/>
  <c r="E55" i="65"/>
  <c r="E112" i="65"/>
  <c r="C118" i="65"/>
  <c r="E124" i="65"/>
  <c r="E146" i="65"/>
  <c r="C153" i="65"/>
  <c r="C160" i="65"/>
  <c r="F165" i="65"/>
  <c r="E170" i="65"/>
  <c r="F176" i="65"/>
  <c r="C179" i="65"/>
  <c r="F184" i="65"/>
  <c r="E188" i="65"/>
  <c r="C196" i="65"/>
  <c r="E120" i="65"/>
  <c r="E153" i="65"/>
  <c r="C155" i="65"/>
  <c r="F160" i="65"/>
  <c r="E167" i="65"/>
  <c r="C183" i="65"/>
  <c r="C58" i="65"/>
  <c r="C104" i="65"/>
  <c r="F118" i="65"/>
  <c r="F120" i="65"/>
  <c r="C135" i="65"/>
  <c r="C137" i="65"/>
  <c r="C162" i="65"/>
  <c r="F167" i="65"/>
  <c r="C172" i="65"/>
  <c r="E179" i="65"/>
  <c r="C187" i="65"/>
  <c r="F92" i="65"/>
  <c r="E113" i="65"/>
  <c r="F116" i="65"/>
  <c r="E137" i="65"/>
  <c r="C139" i="65"/>
  <c r="E148" i="65"/>
  <c r="C150" i="65"/>
  <c r="F155" i="65"/>
  <c r="C175" i="65"/>
  <c r="F179" i="65"/>
  <c r="E183" i="65"/>
  <c r="C191" i="65"/>
  <c r="F196" i="65"/>
  <c r="E200" i="65"/>
  <c r="C208" i="65"/>
  <c r="F213" i="65"/>
  <c r="E217" i="65"/>
  <c r="C226" i="65"/>
  <c r="E227" i="65"/>
  <c r="C234" i="65"/>
  <c r="E60" i="65"/>
  <c r="E109" i="65"/>
  <c r="F113" i="65"/>
  <c r="E133" i="65"/>
  <c r="E135" i="65"/>
  <c r="F137" i="65"/>
  <c r="F148" i="65"/>
  <c r="E162" i="65"/>
  <c r="C169" i="65"/>
  <c r="E172" i="65"/>
  <c r="C178" i="65"/>
  <c r="F183" i="65"/>
  <c r="E187" i="65"/>
  <c r="C195" i="65"/>
  <c r="F200" i="65"/>
  <c r="E204" i="65"/>
  <c r="C212" i="65"/>
  <c r="F217" i="65"/>
  <c r="E221" i="65"/>
  <c r="F227" i="65"/>
  <c r="C62" i="65"/>
  <c r="F105" i="65"/>
  <c r="C127" i="65"/>
  <c r="E129" i="65"/>
  <c r="E131" i="65"/>
  <c r="F133" i="65"/>
  <c r="E141" i="65"/>
  <c r="C143" i="65"/>
  <c r="F150" i="65"/>
  <c r="E164" i="65"/>
  <c r="E169" i="65"/>
  <c r="F172" i="65"/>
  <c r="E175" i="65"/>
  <c r="C182" i="65"/>
  <c r="F187" i="65"/>
  <c r="E191" i="65"/>
  <c r="E62" i="65"/>
  <c r="C94" i="65"/>
  <c r="E127" i="65"/>
  <c r="F129" i="65"/>
  <c r="F131" i="65"/>
  <c r="F141" i="65"/>
  <c r="F143" i="65"/>
  <c r="C145" i="65"/>
  <c r="C152" i="65"/>
  <c r="F157" i="65"/>
  <c r="C159" i="65"/>
  <c r="F164" i="65"/>
  <c r="F175" i="65"/>
  <c r="E178" i="65"/>
  <c r="C186" i="65"/>
  <c r="C18" i="65"/>
  <c r="F64" i="65"/>
  <c r="C121" i="65"/>
  <c r="F125" i="65"/>
  <c r="F127" i="65"/>
  <c r="E145" i="65"/>
  <c r="E159" i="65"/>
  <c r="C166" i="65"/>
  <c r="F182" i="65"/>
  <c r="C190" i="65"/>
  <c r="C106" i="65"/>
  <c r="F110" i="65"/>
  <c r="E121" i="65"/>
  <c r="F123" i="65"/>
  <c r="F145" i="65"/>
  <c r="E152" i="65"/>
  <c r="C154" i="65"/>
  <c r="F159" i="65"/>
  <c r="C171" i="65"/>
  <c r="E186" i="65"/>
  <c r="E30" i="65"/>
  <c r="F66" i="65"/>
  <c r="E117" i="65"/>
  <c r="E119" i="65"/>
  <c r="E147" i="65"/>
  <c r="F166" i="65"/>
  <c r="C174" i="65"/>
  <c r="F190" i="65"/>
  <c r="C198" i="65"/>
  <c r="F203" i="65"/>
  <c r="E207" i="65"/>
  <c r="C215" i="65"/>
  <c r="F220" i="65"/>
  <c r="E224" i="65"/>
  <c r="C231" i="65"/>
  <c r="E232" i="65"/>
  <c r="F117" i="65"/>
  <c r="C138" i="65"/>
  <c r="F147" i="65"/>
  <c r="E154" i="65"/>
  <c r="E161" i="65"/>
  <c r="E168" i="65"/>
  <c r="E171" i="65"/>
  <c r="F177" i="65"/>
  <c r="E181" i="65"/>
  <c r="C185" i="65"/>
  <c r="E99" i="65"/>
  <c r="E136" i="65"/>
  <c r="C156" i="65"/>
  <c r="F161" i="65"/>
  <c r="F171" i="65"/>
  <c r="F174" i="65"/>
  <c r="F181" i="65"/>
  <c r="E185" i="65"/>
  <c r="F198" i="65"/>
  <c r="C206" i="65"/>
  <c r="F211" i="65"/>
  <c r="E215" i="65"/>
  <c r="C223" i="65"/>
  <c r="C230" i="65"/>
  <c r="E231" i="65"/>
  <c r="F99" i="65"/>
  <c r="E107" i="65"/>
  <c r="C115" i="65"/>
  <c r="C180" i="65"/>
  <c r="E189" i="65"/>
  <c r="E205" i="65"/>
  <c r="E212" i="65"/>
  <c r="E219" i="65"/>
  <c r="F233" i="65"/>
  <c r="C239" i="65"/>
  <c r="E240" i="65"/>
  <c r="C247" i="65"/>
  <c r="E248" i="65"/>
  <c r="C255" i="65"/>
  <c r="E256" i="65"/>
  <c r="F140" i="65"/>
  <c r="F189" i="65"/>
  <c r="C200" i="65"/>
  <c r="F205" i="65"/>
  <c r="C207" i="65"/>
  <c r="F212" i="65"/>
  <c r="C214" i="65"/>
  <c r="F219" i="65"/>
  <c r="C229" i="65"/>
  <c r="F240" i="65"/>
  <c r="F248" i="65"/>
  <c r="F256" i="65"/>
  <c r="F264" i="65"/>
  <c r="C142" i="65"/>
  <c r="C232" i="65"/>
  <c r="C238" i="65"/>
  <c r="E239" i="65"/>
  <c r="C246" i="65"/>
  <c r="E247" i="65"/>
  <c r="C254" i="65"/>
  <c r="E255" i="65"/>
  <c r="C262" i="65"/>
  <c r="F142" i="65"/>
  <c r="C193" i="65"/>
  <c r="C202" i="65"/>
  <c r="F207" i="65"/>
  <c r="F214" i="65"/>
  <c r="C216" i="65"/>
  <c r="F221" i="65"/>
  <c r="E226" i="65"/>
  <c r="E229" i="65"/>
  <c r="F239" i="65"/>
  <c r="E193" i="65"/>
  <c r="E202" i="65"/>
  <c r="C209" i="65"/>
  <c r="F226" i="65"/>
  <c r="F229" i="65"/>
  <c r="F232" i="65"/>
  <c r="C237" i="65"/>
  <c r="E238" i="65"/>
  <c r="C245" i="65"/>
  <c r="E246" i="65"/>
  <c r="C253" i="65"/>
  <c r="E254" i="65"/>
  <c r="C261" i="65"/>
  <c r="E262" i="65"/>
  <c r="C269" i="65"/>
  <c r="E270" i="65"/>
  <c r="C277" i="65"/>
  <c r="E278" i="65"/>
  <c r="C285" i="65"/>
  <c r="E286" i="65"/>
  <c r="C128" i="65"/>
  <c r="C144" i="65"/>
  <c r="C158" i="65"/>
  <c r="F193" i="65"/>
  <c r="E195" i="65"/>
  <c r="E209" i="65"/>
  <c r="E216" i="65"/>
  <c r="E223" i="65"/>
  <c r="F238" i="65"/>
  <c r="F195" i="65"/>
  <c r="E197" i="65"/>
  <c r="C204" i="65"/>
  <c r="F209" i="65"/>
  <c r="C211" i="65"/>
  <c r="F216" i="65"/>
  <c r="C218" i="65"/>
  <c r="F223" i="65"/>
  <c r="C236" i="65"/>
  <c r="E237" i="65"/>
  <c r="C244" i="65"/>
  <c r="E245" i="65"/>
  <c r="E130" i="65"/>
  <c r="C184" i="65"/>
  <c r="F197" i="65"/>
  <c r="C199" i="65"/>
  <c r="F204" i="65"/>
  <c r="E211" i="65"/>
  <c r="C225" i="65"/>
  <c r="C228" i="65"/>
  <c r="F237" i="65"/>
  <c r="F245" i="65"/>
  <c r="F253" i="65"/>
  <c r="F261" i="65"/>
  <c r="F269" i="65"/>
  <c r="F277" i="65"/>
  <c r="F285" i="65"/>
  <c r="F293" i="65"/>
  <c r="C132" i="65"/>
  <c r="F185" i="65"/>
  <c r="E218" i="65"/>
  <c r="C220" i="65"/>
  <c r="F231" i="65"/>
  <c r="C235" i="65"/>
  <c r="E236" i="65"/>
  <c r="C243" i="65"/>
  <c r="E244" i="65"/>
  <c r="C251" i="65"/>
  <c r="E252" i="65"/>
  <c r="C259" i="65"/>
  <c r="E260" i="65"/>
  <c r="C267" i="65"/>
  <c r="E268" i="65"/>
  <c r="C275" i="65"/>
  <c r="E276" i="65"/>
  <c r="C283" i="65"/>
  <c r="E284" i="65"/>
  <c r="C291" i="65"/>
  <c r="E292" i="65"/>
  <c r="F132" i="65"/>
  <c r="F191" i="65"/>
  <c r="E199" i="65"/>
  <c r="F206" i="65"/>
  <c r="E225" i="65"/>
  <c r="E228" i="65"/>
  <c r="F236" i="65"/>
  <c r="F244" i="65"/>
  <c r="F252" i="65"/>
  <c r="F260" i="65"/>
  <c r="F134" i="65"/>
  <c r="E149" i="65"/>
  <c r="E163" i="65"/>
  <c r="F199" i="65"/>
  <c r="C201" i="65"/>
  <c r="E213" i="65"/>
  <c r="E220" i="65"/>
  <c r="F225" i="65"/>
  <c r="F228" i="65"/>
  <c r="E235" i="65"/>
  <c r="C242" i="65"/>
  <c r="E243" i="65"/>
  <c r="C250" i="65"/>
  <c r="E251" i="65"/>
  <c r="C258" i="65"/>
  <c r="E259" i="65"/>
  <c r="F149" i="65"/>
  <c r="F163" i="65"/>
  <c r="C176" i="65"/>
  <c r="E201" i="65"/>
  <c r="E208" i="65"/>
  <c r="C222" i="65"/>
  <c r="F235" i="65"/>
  <c r="F243" i="65"/>
  <c r="F251" i="65"/>
  <c r="C194" i="65"/>
  <c r="F201" i="65"/>
  <c r="C203" i="65"/>
  <c r="F208" i="65"/>
  <c r="C210" i="65"/>
  <c r="F215" i="65"/>
  <c r="E234" i="65"/>
  <c r="C241" i="65"/>
  <c r="E242" i="65"/>
  <c r="E194" i="65"/>
  <c r="F222" i="65"/>
  <c r="C224" i="65"/>
  <c r="C227" i="65"/>
  <c r="E230" i="65"/>
  <c r="C233" i="65"/>
  <c r="F234" i="65"/>
  <c r="F242" i="65"/>
  <c r="F250" i="65"/>
  <c r="F258" i="65"/>
  <c r="F266" i="65"/>
  <c r="F274" i="65"/>
  <c r="F282" i="65"/>
  <c r="F115" i="65"/>
  <c r="F192" i="65"/>
  <c r="C219" i="65"/>
  <c r="F224" i="65"/>
  <c r="E233" i="65"/>
  <c r="F241" i="65"/>
  <c r="F249" i="65"/>
  <c r="F257" i="65"/>
  <c r="F265" i="65"/>
  <c r="F273" i="65"/>
  <c r="F281" i="65"/>
  <c r="F289" i="65"/>
  <c r="F3" i="65"/>
  <c r="F362" i="65"/>
  <c r="F354" i="65"/>
  <c r="F346" i="65"/>
  <c r="F338" i="65"/>
  <c r="F330" i="65"/>
  <c r="F322" i="65"/>
  <c r="F314" i="65"/>
  <c r="F306" i="65"/>
  <c r="F298" i="65"/>
  <c r="C286" i="65"/>
  <c r="C281" i="65"/>
  <c r="C276" i="65"/>
  <c r="C249" i="65"/>
  <c r="E192" i="65"/>
  <c r="F363" i="65"/>
  <c r="F355" i="65"/>
  <c r="F347" i="65"/>
  <c r="F339" i="65"/>
  <c r="F331" i="65"/>
  <c r="F323" i="65"/>
  <c r="F315" i="65"/>
  <c r="F307" i="65"/>
  <c r="F299" i="65"/>
  <c r="C292" i="65"/>
  <c r="F284" i="65"/>
  <c r="E279" i="65"/>
  <c r="E274" i="65"/>
  <c r="E269" i="65"/>
  <c r="C264" i="65"/>
  <c r="C252" i="65"/>
  <c r="C240" i="65"/>
  <c r="C217" i="65"/>
  <c r="E347" i="65"/>
  <c r="C346" i="65"/>
  <c r="E339" i="65"/>
  <c r="C338" i="65"/>
  <c r="E331" i="65"/>
  <c r="C330" i="65"/>
  <c r="E323" i="65"/>
  <c r="C322" i="65"/>
  <c r="E315" i="65"/>
  <c r="C314" i="65"/>
  <c r="E307" i="65"/>
  <c r="C306" i="65"/>
  <c r="E299" i="65"/>
  <c r="C298" i="65"/>
  <c r="C289" i="65"/>
  <c r="C284" i="65"/>
  <c r="F259" i="65"/>
  <c r="F348" i="65"/>
  <c r="F340" i="65"/>
  <c r="F332" i="65"/>
  <c r="F324" i="65"/>
  <c r="F316" i="65"/>
  <c r="F308" i="65"/>
  <c r="F300" i="65"/>
  <c r="E293" i="65"/>
  <c r="F287" i="65"/>
  <c r="C279" i="65"/>
  <c r="C274" i="65"/>
  <c r="C248" i="65"/>
  <c r="C347" i="65"/>
  <c r="E340" i="65"/>
  <c r="C339" i="65"/>
  <c r="E332" i="65"/>
  <c r="C331" i="65"/>
  <c r="E324" i="65"/>
  <c r="C323" i="65"/>
  <c r="E316" i="65"/>
  <c r="C315" i="65"/>
  <c r="E308" i="65"/>
  <c r="C307" i="65"/>
  <c r="E300" i="65"/>
  <c r="C299" i="65"/>
  <c r="E287" i="65"/>
  <c r="E282" i="65"/>
  <c r="E277" i="65"/>
  <c r="F272" i="65"/>
  <c r="F267" i="65"/>
  <c r="F255" i="65"/>
  <c r="F349" i="65"/>
  <c r="F341" i="65"/>
  <c r="F333" i="65"/>
  <c r="F325" i="65"/>
  <c r="F317" i="65"/>
  <c r="F309" i="65"/>
  <c r="F301" i="65"/>
  <c r="F294" i="65"/>
  <c r="C293" i="65"/>
  <c r="F290" i="65"/>
  <c r="E272" i="65"/>
  <c r="E267" i="65"/>
  <c r="E210" i="65"/>
  <c r="E349" i="65"/>
  <c r="C348" i="65"/>
  <c r="E341" i="65"/>
  <c r="C340" i="65"/>
  <c r="E333" i="65"/>
  <c r="C332" i="65"/>
  <c r="E325" i="65"/>
  <c r="C324" i="65"/>
  <c r="E317" i="65"/>
  <c r="C316" i="65"/>
  <c r="E309" i="65"/>
  <c r="C308" i="65"/>
  <c r="E301" i="65"/>
  <c r="C300" i="65"/>
  <c r="E294" i="65"/>
  <c r="E290" i="65"/>
  <c r="C287" i="65"/>
  <c r="C282" i="65"/>
  <c r="C272" i="65"/>
  <c r="F247" i="65"/>
  <c r="F366" i="65"/>
  <c r="F358" i="65"/>
  <c r="F350" i="65"/>
  <c r="F342" i="65"/>
  <c r="F334" i="65"/>
  <c r="F326" i="65"/>
  <c r="F318" i="65"/>
  <c r="F310" i="65"/>
  <c r="F302" i="65"/>
  <c r="E285" i="65"/>
  <c r="F280" i="65"/>
  <c r="F275" i="65"/>
  <c r="F270" i="65"/>
  <c r="E265" i="65"/>
  <c r="E261" i="65"/>
  <c r="E258" i="65"/>
  <c r="E350" i="65"/>
  <c r="C349" i="65"/>
  <c r="E342" i="65"/>
  <c r="C341" i="65"/>
  <c r="E334" i="65"/>
  <c r="C333" i="65"/>
  <c r="E326" i="65"/>
  <c r="C325" i="65"/>
  <c r="E318" i="65"/>
  <c r="C317" i="65"/>
  <c r="E310" i="65"/>
  <c r="C309" i="65"/>
  <c r="E302" i="65"/>
  <c r="C301" i="65"/>
  <c r="F295" i="65"/>
  <c r="C294" i="65"/>
  <c r="C290" i="65"/>
  <c r="E280" i="65"/>
  <c r="E275" i="65"/>
  <c r="C265" i="65"/>
  <c r="F263" i="65"/>
  <c r="F254" i="65"/>
  <c r="F343" i="65"/>
  <c r="F335" i="65"/>
  <c r="F327" i="65"/>
  <c r="F319" i="65"/>
  <c r="F311" i="65"/>
  <c r="F303" i="65"/>
  <c r="E295" i="65"/>
  <c r="C280" i="65"/>
  <c r="C270" i="65"/>
  <c r="E263" i="65"/>
  <c r="F246" i="65"/>
  <c r="F230" i="65"/>
  <c r="E203" i="65"/>
  <c r="E343" i="65"/>
  <c r="C342" i="65"/>
  <c r="E335" i="65"/>
  <c r="C334" i="65"/>
  <c r="E327" i="65"/>
  <c r="C326" i="65"/>
  <c r="E319" i="65"/>
  <c r="C318" i="65"/>
  <c r="E311" i="65"/>
  <c r="C310" i="65"/>
  <c r="E303" i="65"/>
  <c r="C302" i="65"/>
  <c r="F288" i="65"/>
  <c r="F283" i="65"/>
  <c r="F278" i="65"/>
  <c r="C263" i="65"/>
  <c r="E250" i="65"/>
  <c r="F344" i="65"/>
  <c r="F336" i="65"/>
  <c r="F328" i="65"/>
  <c r="F320" i="65"/>
  <c r="F312" i="65"/>
  <c r="F304" i="65"/>
  <c r="F296" i="65"/>
  <c r="C295" i="65"/>
  <c r="F291" i="65"/>
  <c r="E288" i="65"/>
  <c r="E283" i="65"/>
  <c r="E273" i="65"/>
  <c r="F268" i="65"/>
  <c r="E257" i="65"/>
  <c r="E352" i="65"/>
  <c r="C351" i="65"/>
  <c r="E344" i="65"/>
  <c r="C343" i="65"/>
  <c r="E336" i="65"/>
  <c r="C335" i="65"/>
  <c r="E328" i="65"/>
  <c r="C327" i="65"/>
  <c r="E320" i="65"/>
  <c r="C319" i="65"/>
  <c r="E312" i="65"/>
  <c r="C311" i="65"/>
  <c r="E304" i="65"/>
  <c r="C303" i="65"/>
  <c r="E296" i="65"/>
  <c r="E291" i="65"/>
  <c r="C288" i="65"/>
  <c r="C278" i="65"/>
  <c r="C273" i="65"/>
  <c r="C268" i="65"/>
  <c r="C257" i="65"/>
  <c r="E253" i="65"/>
  <c r="F353" i="65"/>
  <c r="F345" i="65"/>
  <c r="F337" i="65"/>
  <c r="F329" i="65"/>
  <c r="F321" i="65"/>
  <c r="F313" i="65"/>
  <c r="F305" i="65"/>
  <c r="F297" i="65"/>
  <c r="F286" i="65"/>
  <c r="F271" i="65"/>
  <c r="C260" i="65"/>
  <c r="E196" i="65"/>
  <c r="E353" i="65"/>
  <c r="C352" i="65"/>
  <c r="E345" i="65"/>
  <c r="C344" i="65"/>
  <c r="E337" i="65"/>
  <c r="C336" i="65"/>
  <c r="E329" i="65"/>
  <c r="C328" i="65"/>
  <c r="E321" i="65"/>
  <c r="C320" i="65"/>
  <c r="E313" i="65"/>
  <c r="C312" i="65"/>
  <c r="E305" i="65"/>
  <c r="C304" i="65"/>
  <c r="E297" i="65"/>
  <c r="C296" i="65"/>
  <c r="E281" i="65"/>
  <c r="F276" i="65"/>
  <c r="E271" i="65"/>
  <c r="E266" i="65"/>
  <c r="E249" i="65"/>
  <c r="H27" i="86"/>
  <c r="F18" i="86"/>
  <c r="H8" i="86"/>
  <c r="H22" i="86"/>
  <c r="F3" i="86"/>
  <c r="G8" i="86"/>
  <c r="H13" i="86"/>
  <c r="F27" i="86"/>
  <c r="G32" i="86"/>
  <c r="H17" i="86"/>
  <c r="F4" i="86"/>
  <c r="G9" i="86"/>
  <c r="H14" i="86"/>
  <c r="F28" i="86"/>
  <c r="G23" i="86"/>
  <c r="H18" i="86"/>
  <c r="G3" i="86"/>
  <c r="G4" i="86"/>
  <c r="H9" i="86"/>
  <c r="F15" i="86"/>
  <c r="G28" i="86"/>
  <c r="H23" i="86"/>
  <c r="F19" i="86"/>
  <c r="G27" i="86"/>
  <c r="H4" i="86"/>
  <c r="F10" i="86"/>
  <c r="G15" i="86"/>
  <c r="H28" i="86"/>
  <c r="F33" i="86"/>
  <c r="G19" i="86"/>
  <c r="H32" i="86"/>
  <c r="H3" i="86"/>
  <c r="G18" i="86"/>
  <c r="F5" i="86"/>
  <c r="G10" i="86"/>
  <c r="H15" i="86"/>
  <c r="F29" i="86"/>
  <c r="G33" i="86"/>
  <c r="H19" i="86"/>
  <c r="F14" i="86"/>
  <c r="F9" i="86"/>
  <c r="G5" i="86"/>
  <c r="H10" i="86"/>
  <c r="F24" i="86"/>
  <c r="G29" i="86"/>
  <c r="H33" i="86"/>
  <c r="F20" i="86"/>
  <c r="G14" i="86"/>
  <c r="H5" i="86"/>
  <c r="F11" i="86"/>
  <c r="G24" i="86"/>
  <c r="H29" i="86"/>
  <c r="F2" i="86"/>
  <c r="G20" i="86"/>
  <c r="F23" i="86"/>
  <c r="F6" i="86"/>
  <c r="G11" i="86"/>
  <c r="H24" i="86"/>
  <c r="F30" i="86"/>
  <c r="G2" i="86"/>
  <c r="H20" i="86"/>
  <c r="G6" i="86"/>
  <c r="H11" i="86"/>
  <c r="F25" i="86"/>
  <c r="G30" i="86"/>
  <c r="H2" i="86"/>
  <c r="F21" i="86"/>
  <c r="H6" i="86"/>
  <c r="F12" i="86"/>
  <c r="G25" i="86"/>
  <c r="H30" i="86"/>
  <c r="F16" i="86"/>
  <c r="G21" i="86"/>
  <c r="F7" i="86"/>
  <c r="G12" i="86"/>
  <c r="H25" i="86"/>
  <c r="F31" i="86"/>
  <c r="G16" i="86"/>
  <c r="H21" i="86"/>
  <c r="G7" i="86"/>
  <c r="H12" i="86"/>
  <c r="F26" i="86"/>
  <c r="G31" i="86"/>
  <c r="H16" i="86"/>
  <c r="F22" i="86"/>
  <c r="H7" i="86"/>
  <c r="F13" i="86"/>
  <c r="G26" i="86"/>
  <c r="H31" i="86"/>
  <c r="F17" i="86"/>
  <c r="G22" i="86"/>
  <c r="F8" i="86"/>
  <c r="G13" i="86"/>
  <c r="H26" i="86"/>
  <c r="F32" i="86"/>
  <c r="G17" i="86"/>
  <c r="J4" i="20" l="1"/>
  <c r="I4" i="23" a="1"/>
  <c r="I4" i="23" s="1"/>
  <c r="B5" i="80" a="1"/>
  <c r="B5" i="80" s="1"/>
  <c r="C1" i="80"/>
  <c r="D1" i="80" s="1"/>
  <c r="E1" i="80" s="1"/>
  <c r="F1" i="80" s="1"/>
  <c r="G1" i="80" s="1"/>
  <c r="H1" i="80" s="1"/>
  <c r="I1" i="80" s="1"/>
  <c r="J1" i="80" s="1"/>
  <c r="K1" i="80" s="1"/>
  <c r="L1" i="80" s="1"/>
  <c r="M1" i="80" s="1"/>
  <c r="N1" i="80" s="1"/>
  <c r="O1" i="80" s="1"/>
  <c r="P1" i="80" s="1"/>
  <c r="Q1" i="80" s="1"/>
  <c r="R1" i="80" s="1"/>
  <c r="S1" i="80" s="1"/>
  <c r="T1" i="80" s="1"/>
  <c r="U1" i="80" s="1"/>
  <c r="H4" i="38" l="1" a="1"/>
  <c r="H4" i="38" s="1"/>
  <c r="I4" i="38" l="1" a="1"/>
  <c r="I4" i="38" s="1"/>
  <c r="C26" i="50"/>
  <c r="C23" i="50"/>
  <c r="C1" i="24"/>
  <c r="D1" i="24" s="1"/>
  <c r="E1" i="24" s="1"/>
  <c r="F1" i="24" s="1"/>
  <c r="G1" i="24" s="1"/>
  <c r="H1" i="24" s="1"/>
  <c r="I1" i="24" s="1"/>
  <c r="J1" i="24" s="1"/>
  <c r="K1" i="24" s="1"/>
  <c r="L1" i="24" s="1"/>
  <c r="M1" i="24" s="1"/>
  <c r="N1" i="24" s="1"/>
  <c r="O1" i="24" s="1"/>
  <c r="P1" i="24" s="1"/>
  <c r="Q1" i="24" s="1"/>
  <c r="R1" i="24" s="1"/>
  <c r="S1" i="24" s="1"/>
  <c r="T1" i="24" s="1"/>
  <c r="U1" i="24" s="1"/>
  <c r="V1" i="24" s="1"/>
  <c r="W1" i="24" s="1"/>
  <c r="X1" i="24" s="1"/>
  <c r="Y1" i="24" s="1"/>
  <c r="Z1" i="24" s="1"/>
  <c r="AA1" i="24" s="1"/>
  <c r="AB1" i="24" s="1"/>
  <c r="AC1" i="24" s="1"/>
  <c r="AD1" i="24" s="1"/>
  <c r="AE1" i="24" s="1"/>
  <c r="AF1" i="24" s="1"/>
  <c r="AG1" i="24" s="1"/>
  <c r="AH1" i="24" s="1"/>
  <c r="AI1" i="24" s="1"/>
  <c r="AJ1" i="24" s="1"/>
  <c r="AK1" i="24" s="1"/>
  <c r="AL1" i="24" s="1"/>
  <c r="AM1" i="24" s="1"/>
  <c r="AN1" i="24" s="1"/>
  <c r="AO1" i="24" s="1"/>
  <c r="AP1" i="24" s="1"/>
  <c r="AQ1" i="24" s="1"/>
  <c r="AR1" i="24" s="1"/>
  <c r="AS1" i="24" s="1"/>
  <c r="AT1" i="24" s="1"/>
  <c r="AU1" i="24" s="1"/>
  <c r="AV1" i="24" s="1"/>
  <c r="AW1" i="24" s="1"/>
  <c r="AX1" i="24" s="1"/>
  <c r="AY1" i="24" s="1"/>
  <c r="C24" i="50" l="1"/>
  <c r="A3" i="81"/>
  <c r="I10" i="8" l="1" a="1"/>
  <c r="I10" i="8" s="1"/>
  <c r="B5" i="24" s="1" a="1"/>
  <c r="H7" i="24" s="1" a="1"/>
  <c r="H7" i="24" s="1"/>
  <c r="C25" i="50"/>
  <c r="C27" i="50" s="1"/>
  <c r="B7" i="80" a="1"/>
  <c r="B7" i="80" s="1"/>
  <c r="B3" i="81" s="1"/>
  <c r="A4" i="81"/>
  <c r="C7" i="80" a="1"/>
  <c r="C7" i="80" s="1"/>
  <c r="C3" i="81" s="1"/>
  <c r="K7" i="80" a="1"/>
  <c r="K7" i="80" s="1"/>
  <c r="K3" i="81" s="1"/>
  <c r="S7" i="80" a="1"/>
  <c r="S7" i="80" s="1"/>
  <c r="S3" i="81" s="1"/>
  <c r="D7" i="80" a="1"/>
  <c r="D7" i="80" s="1"/>
  <c r="D3" i="81" s="1"/>
  <c r="L7" i="80" a="1"/>
  <c r="L7" i="80" s="1"/>
  <c r="L3" i="81" s="1"/>
  <c r="T7" i="80" a="1"/>
  <c r="T7" i="80" s="1"/>
  <c r="T3" i="81" s="1"/>
  <c r="U7" i="80" a="1"/>
  <c r="U7" i="80" s="1"/>
  <c r="U3" i="81" s="1"/>
  <c r="E7" i="80" a="1"/>
  <c r="E7" i="80" s="1"/>
  <c r="E3" i="81" s="1"/>
  <c r="L3" i="65" s="1"/>
  <c r="M7" i="80" a="1"/>
  <c r="M7" i="80" s="1"/>
  <c r="M3" i="81" s="1"/>
  <c r="F7" i="80" a="1"/>
  <c r="F7" i="80" s="1"/>
  <c r="F3" i="81" s="1"/>
  <c r="N7" i="80" a="1"/>
  <c r="N7" i="80" s="1"/>
  <c r="N3" i="81" s="1"/>
  <c r="G7" i="80" a="1"/>
  <c r="G7" i="80" s="1"/>
  <c r="G3" i="81" s="1"/>
  <c r="O7" i="80" a="1"/>
  <c r="O7" i="80" s="1"/>
  <c r="O3" i="81" s="1"/>
  <c r="H7" i="80" a="1"/>
  <c r="H7" i="80" s="1"/>
  <c r="H3" i="81" s="1"/>
  <c r="P7" i="80" a="1"/>
  <c r="P7" i="80" s="1"/>
  <c r="P3" i="81" s="1"/>
  <c r="I7" i="80" a="1"/>
  <c r="I7" i="80" s="1"/>
  <c r="I3" i="81" s="1"/>
  <c r="Q7" i="80" a="1"/>
  <c r="Q7" i="80" s="1"/>
  <c r="Q3" i="81" s="1"/>
  <c r="J7" i="80" a="1"/>
  <c r="J7" i="80" s="1"/>
  <c r="J3" i="81" s="1"/>
  <c r="R7" i="80" a="1"/>
  <c r="R7" i="80" s="1"/>
  <c r="R3" i="81" s="1"/>
  <c r="B5" i="24" l="1"/>
  <c r="B7" i="24" s="1" a="1"/>
  <c r="B7" i="24" s="1"/>
  <c r="B4" i="81"/>
  <c r="R4" i="81"/>
  <c r="C4" i="81"/>
  <c r="S4" i="81"/>
  <c r="D4" i="81"/>
  <c r="T4" i="81"/>
  <c r="E4" i="81"/>
  <c r="L4" i="65" s="1"/>
  <c r="U4" i="81"/>
  <c r="F4" i="81"/>
  <c r="G4" i="81"/>
  <c r="H4" i="81"/>
  <c r="I4" i="81"/>
  <c r="J4" i="81"/>
  <c r="K4" i="81"/>
  <c r="L4" i="81"/>
  <c r="M4" i="81"/>
  <c r="N4" i="81"/>
  <c r="Q4" i="81"/>
  <c r="O4" i="81"/>
  <c r="P4" i="81"/>
  <c r="A5" i="81"/>
  <c r="N5" i="81" l="1"/>
  <c r="O5" i="81"/>
  <c r="P5" i="81"/>
  <c r="Q5" i="81"/>
  <c r="B5" i="81"/>
  <c r="R5" i="81"/>
  <c r="C5" i="81"/>
  <c r="S5" i="81"/>
  <c r="D5" i="81"/>
  <c r="T5" i="81"/>
  <c r="E5" i="81"/>
  <c r="L5" i="65" s="1"/>
  <c r="U5" i="81"/>
  <c r="F5" i="81"/>
  <c r="G5" i="81"/>
  <c r="H5" i="81"/>
  <c r="J5" i="81"/>
  <c r="M5" i="81"/>
  <c r="I5" i="81"/>
  <c r="K5" i="81"/>
  <c r="L5" i="81"/>
  <c r="D7" i="24" a="1"/>
  <c r="D7" i="24" s="1"/>
  <c r="H4" i="4" a="1"/>
  <c r="H4" i="4" s="1"/>
  <c r="A6" i="81"/>
  <c r="J6" i="81" l="1"/>
  <c r="K6" i="81"/>
  <c r="L6" i="81"/>
  <c r="M6" i="81"/>
  <c r="N6" i="81"/>
  <c r="O6" i="81"/>
  <c r="P6" i="81"/>
  <c r="Q6" i="81"/>
  <c r="B6" i="81"/>
  <c r="R6" i="81"/>
  <c r="C6" i="81"/>
  <c r="S6" i="81"/>
  <c r="D6" i="81"/>
  <c r="T6" i="81"/>
  <c r="F6" i="81"/>
  <c r="I6" i="81"/>
  <c r="E6" i="81"/>
  <c r="L6" i="65" s="1"/>
  <c r="G6" i="81"/>
  <c r="H6" i="81"/>
  <c r="U6" i="81"/>
  <c r="A7" i="81"/>
  <c r="F7" i="81" l="1"/>
  <c r="G7" i="81"/>
  <c r="H7" i="81"/>
  <c r="I7" i="81"/>
  <c r="J7" i="81"/>
  <c r="K7" i="81"/>
  <c r="L7" i="81"/>
  <c r="M7" i="81"/>
  <c r="N7" i="81"/>
  <c r="O7" i="81"/>
  <c r="P7" i="81"/>
  <c r="B7" i="81"/>
  <c r="R7" i="81"/>
  <c r="E7" i="81"/>
  <c r="L7" i="65" s="1"/>
  <c r="U7" i="81"/>
  <c r="C7" i="81"/>
  <c r="Q7" i="81"/>
  <c r="T7" i="81"/>
  <c r="D7" i="81"/>
  <c r="S7" i="81"/>
  <c r="A8" i="81"/>
  <c r="B8" i="81" l="1"/>
  <c r="R8" i="81"/>
  <c r="C8" i="81"/>
  <c r="S8" i="81"/>
  <c r="D8" i="81"/>
  <c r="T8" i="81"/>
  <c r="E8" i="81"/>
  <c r="L8" i="65" s="1"/>
  <c r="U8" i="81"/>
  <c r="F8" i="81"/>
  <c r="G8" i="81"/>
  <c r="H8" i="81"/>
  <c r="I8" i="81"/>
  <c r="J8" i="81"/>
  <c r="K8" i="81"/>
  <c r="L8" i="81"/>
  <c r="N8" i="81"/>
  <c r="Q8" i="81"/>
  <c r="P8" i="81"/>
  <c r="O8" i="81"/>
  <c r="M8" i="81"/>
  <c r="A9" i="81"/>
  <c r="N9" i="81" l="1"/>
  <c r="O9" i="81"/>
  <c r="P9" i="81"/>
  <c r="Q9" i="81"/>
  <c r="B9" i="81"/>
  <c r="R9" i="81"/>
  <c r="C9" i="81"/>
  <c r="S9" i="81"/>
  <c r="D9" i="81"/>
  <c r="T9" i="81"/>
  <c r="E9" i="81"/>
  <c r="L9" i="65" s="1"/>
  <c r="U9" i="81"/>
  <c r="F9" i="81"/>
  <c r="G9" i="81"/>
  <c r="H9" i="81"/>
  <c r="J9" i="81"/>
  <c r="M9" i="81"/>
  <c r="I9" i="81"/>
  <c r="K9" i="81"/>
  <c r="L9" i="81"/>
  <c r="A10" i="81"/>
  <c r="J10" i="81" l="1"/>
  <c r="K10" i="81"/>
  <c r="L10" i="81"/>
  <c r="M10" i="81"/>
  <c r="N10" i="81"/>
  <c r="O10" i="81"/>
  <c r="P10" i="81"/>
  <c r="Q10" i="81"/>
  <c r="B10" i="81"/>
  <c r="R10" i="81"/>
  <c r="C10" i="81"/>
  <c r="S10" i="81"/>
  <c r="D10" i="81"/>
  <c r="T10" i="81"/>
  <c r="F10" i="81"/>
  <c r="I10" i="81"/>
  <c r="E10" i="81"/>
  <c r="L10" i="65" s="1"/>
  <c r="G10" i="81"/>
  <c r="H10" i="81"/>
  <c r="U10" i="81"/>
  <c r="A11" i="81"/>
  <c r="F11" i="81" l="1"/>
  <c r="G11" i="81"/>
  <c r="H11" i="81"/>
  <c r="I11" i="81"/>
  <c r="J11" i="81"/>
  <c r="K11" i="81"/>
  <c r="L11" i="81"/>
  <c r="M11" i="81"/>
  <c r="N11" i="81"/>
  <c r="O11" i="81"/>
  <c r="P11" i="81"/>
  <c r="B11" i="81"/>
  <c r="R11" i="81"/>
  <c r="E11" i="81"/>
  <c r="L11" i="65" s="1"/>
  <c r="U11" i="81"/>
  <c r="C11" i="81"/>
  <c r="D11" i="81"/>
  <c r="Q11" i="81"/>
  <c r="T11" i="81"/>
  <c r="S11" i="81"/>
  <c r="A12" i="81"/>
  <c r="B12" i="81" l="1"/>
  <c r="R12" i="81"/>
  <c r="C12" i="81"/>
  <c r="S12" i="81"/>
  <c r="D12" i="81"/>
  <c r="T12" i="81"/>
  <c r="E12" i="81"/>
  <c r="L12" i="65" s="1"/>
  <c r="U12" i="81"/>
  <c r="F12" i="81"/>
  <c r="G12" i="81"/>
  <c r="H12" i="81"/>
  <c r="I12" i="81"/>
  <c r="J12" i="81"/>
  <c r="K12" i="81"/>
  <c r="L12" i="81"/>
  <c r="N12" i="81"/>
  <c r="Q12" i="81"/>
  <c r="P12" i="81"/>
  <c r="M12" i="81"/>
  <c r="O12" i="81"/>
  <c r="A13" i="81"/>
  <c r="N13" i="81" l="1"/>
  <c r="O13" i="81"/>
  <c r="P13" i="81"/>
  <c r="Q13" i="81"/>
  <c r="B13" i="81"/>
  <c r="R13" i="81"/>
  <c r="C13" i="81"/>
  <c r="S13" i="81"/>
  <c r="D13" i="81"/>
  <c r="T13" i="81"/>
  <c r="E13" i="81"/>
  <c r="L13" i="65" s="1"/>
  <c r="U13" i="81"/>
  <c r="F13" i="81"/>
  <c r="G13" i="81"/>
  <c r="H13" i="81"/>
  <c r="J13" i="81"/>
  <c r="M13" i="81"/>
  <c r="I13" i="81"/>
  <c r="K13" i="81"/>
  <c r="L13" i="81"/>
  <c r="A14" i="81"/>
  <c r="J14" i="81" l="1"/>
  <c r="K14" i="81"/>
  <c r="L14" i="81"/>
  <c r="M14" i="81"/>
  <c r="N14" i="81"/>
  <c r="O14" i="81"/>
  <c r="P14" i="81"/>
  <c r="Q14" i="81"/>
  <c r="B14" i="81"/>
  <c r="R14" i="81"/>
  <c r="C14" i="81"/>
  <c r="S14" i="81"/>
  <c r="D14" i="81"/>
  <c r="T14" i="81"/>
  <c r="F14" i="81"/>
  <c r="I14" i="81"/>
  <c r="E14" i="81"/>
  <c r="L14" i="65" s="1"/>
  <c r="G14" i="81"/>
  <c r="H14" i="81"/>
  <c r="U14" i="81"/>
  <c r="A15" i="81"/>
  <c r="F15" i="81" l="1"/>
  <c r="G15" i="81"/>
  <c r="H15" i="81"/>
  <c r="I15" i="81"/>
  <c r="J15" i="81"/>
  <c r="K15" i="81"/>
  <c r="L15" i="81"/>
  <c r="M15" i="81"/>
  <c r="N15" i="81"/>
  <c r="O15" i="81"/>
  <c r="P15" i="81"/>
  <c r="B15" i="81"/>
  <c r="R15" i="81"/>
  <c r="E15" i="81"/>
  <c r="L15" i="65" s="1"/>
  <c r="U15" i="81"/>
  <c r="C15" i="81"/>
  <c r="D15" i="81"/>
  <c r="Q15" i="81"/>
  <c r="S15" i="81"/>
  <c r="T15" i="81"/>
  <c r="A16" i="81"/>
  <c r="B16" i="81" l="1"/>
  <c r="R16" i="81"/>
  <c r="C16" i="81"/>
  <c r="S16" i="81"/>
  <c r="D16" i="81"/>
  <c r="T16" i="81"/>
  <c r="E16" i="81"/>
  <c r="L16" i="65" s="1"/>
  <c r="U16" i="81"/>
  <c r="F16" i="81"/>
  <c r="G16" i="81"/>
  <c r="H16" i="81"/>
  <c r="I16" i="81"/>
  <c r="J16" i="81"/>
  <c r="K16" i="81"/>
  <c r="L16" i="81"/>
  <c r="N16" i="81"/>
  <c r="Q16" i="81"/>
  <c r="M16" i="81"/>
  <c r="O16" i="81"/>
  <c r="P16" i="81"/>
  <c r="A17" i="81"/>
  <c r="N17" i="81" l="1"/>
  <c r="O17" i="81"/>
  <c r="P17" i="81"/>
  <c r="Q17" i="81"/>
  <c r="B17" i="81"/>
  <c r="R17" i="81"/>
  <c r="C17" i="81"/>
  <c r="S17" i="81"/>
  <c r="D17" i="81"/>
  <c r="T17" i="81"/>
  <c r="E17" i="81"/>
  <c r="L17" i="65" s="1"/>
  <c r="U17" i="81"/>
  <c r="F17" i="81"/>
  <c r="G17" i="81"/>
  <c r="H17" i="81"/>
  <c r="J17" i="81"/>
  <c r="M17" i="81"/>
  <c r="K17" i="81"/>
  <c r="L17" i="81"/>
  <c r="I17" i="81"/>
  <c r="A18" i="81"/>
  <c r="J18" i="81" l="1"/>
  <c r="K18" i="81"/>
  <c r="L18" i="81"/>
  <c r="M18" i="81"/>
  <c r="N18" i="81"/>
  <c r="O18" i="81"/>
  <c r="P18" i="81"/>
  <c r="Q18" i="81"/>
  <c r="B18" i="81"/>
  <c r="R18" i="81"/>
  <c r="C18" i="81"/>
  <c r="S18" i="81"/>
  <c r="D18" i="81"/>
  <c r="T18" i="81"/>
  <c r="F18" i="81"/>
  <c r="I18" i="81"/>
  <c r="E18" i="81"/>
  <c r="L18" i="65" s="1"/>
  <c r="G18" i="81"/>
  <c r="H18" i="81"/>
  <c r="U18" i="81"/>
  <c r="A19" i="81"/>
  <c r="F19" i="81" l="1"/>
  <c r="G19" i="81"/>
  <c r="H19" i="81"/>
  <c r="I19" i="81"/>
  <c r="J19" i="81"/>
  <c r="K19" i="81"/>
  <c r="L19" i="81"/>
  <c r="M19" i="81"/>
  <c r="N19" i="81"/>
  <c r="O19" i="81"/>
  <c r="P19" i="81"/>
  <c r="B19" i="81"/>
  <c r="R19" i="81"/>
  <c r="E19" i="81"/>
  <c r="L19" i="65" s="1"/>
  <c r="U19" i="81"/>
  <c r="C19" i="81"/>
  <c r="D19" i="81"/>
  <c r="Q19" i="81"/>
  <c r="T19" i="81"/>
  <c r="S19" i="81"/>
  <c r="A20" i="81"/>
  <c r="B20" i="81" l="1"/>
  <c r="R20" i="81"/>
  <c r="C20" i="81"/>
  <c r="S20" i="81"/>
  <c r="D20" i="81"/>
  <c r="T20" i="81"/>
  <c r="E20" i="81"/>
  <c r="L20" i="65" s="1"/>
  <c r="U20" i="81"/>
  <c r="F20" i="81"/>
  <c r="G20" i="81"/>
  <c r="H20" i="81"/>
  <c r="I20" i="81"/>
  <c r="J20" i="81"/>
  <c r="K20" i="81"/>
  <c r="L20" i="81"/>
  <c r="N20" i="81"/>
  <c r="Q20" i="81"/>
  <c r="O20" i="81"/>
  <c r="P20" i="81"/>
  <c r="M20" i="81"/>
  <c r="A21" i="81"/>
  <c r="N21" i="81" l="1"/>
  <c r="O21" i="81"/>
  <c r="P21" i="81"/>
  <c r="Q21" i="81"/>
  <c r="B21" i="81"/>
  <c r="R21" i="81"/>
  <c r="C21" i="81"/>
  <c r="S21" i="81"/>
  <c r="D21" i="81"/>
  <c r="T21" i="81"/>
  <c r="E21" i="81"/>
  <c r="L21" i="65" s="1"/>
  <c r="U21" i="81"/>
  <c r="F21" i="81"/>
  <c r="G21" i="81"/>
  <c r="H21" i="81"/>
  <c r="J21" i="81"/>
  <c r="M21" i="81"/>
  <c r="L21" i="81"/>
  <c r="K21" i="81"/>
  <c r="I21" i="81"/>
  <c r="A22" i="81"/>
  <c r="J22" i="81" l="1"/>
  <c r="K22" i="81"/>
  <c r="L22" i="81"/>
  <c r="M22" i="81"/>
  <c r="N22" i="81"/>
  <c r="O22" i="81"/>
  <c r="P22" i="81"/>
  <c r="Q22" i="81"/>
  <c r="B22" i="81"/>
  <c r="R22" i="81"/>
  <c r="D22" i="81"/>
  <c r="T22" i="81"/>
  <c r="F22" i="81"/>
  <c r="I22" i="81"/>
  <c r="C22" i="81"/>
  <c r="E22" i="81"/>
  <c r="L22" i="65" s="1"/>
  <c r="G22" i="81"/>
  <c r="H22" i="81"/>
  <c r="S22" i="81"/>
  <c r="U22" i="81"/>
  <c r="A23" i="81"/>
  <c r="F23" i="81" l="1"/>
  <c r="G23" i="81"/>
  <c r="H23" i="81"/>
  <c r="I23" i="81"/>
  <c r="J23" i="81"/>
  <c r="K23" i="81"/>
  <c r="L23" i="81"/>
  <c r="M23" i="81"/>
  <c r="N23" i="81"/>
  <c r="P23" i="81"/>
  <c r="B23" i="81"/>
  <c r="R23" i="81"/>
  <c r="E23" i="81"/>
  <c r="L23" i="65" s="1"/>
  <c r="U23" i="81"/>
  <c r="C23" i="81"/>
  <c r="D23" i="81"/>
  <c r="Q23" i="81"/>
  <c r="S23" i="81"/>
  <c r="T23" i="81"/>
  <c r="O23" i="81"/>
  <c r="A24" i="81"/>
  <c r="B24" i="81" l="1"/>
  <c r="R24" i="81"/>
  <c r="C24" i="81"/>
  <c r="S24" i="81"/>
  <c r="D24" i="81"/>
  <c r="T24" i="81"/>
  <c r="E24" i="81"/>
  <c r="L24" i="65" s="1"/>
  <c r="U24" i="81"/>
  <c r="G24" i="81"/>
  <c r="H24" i="81"/>
  <c r="I24" i="81"/>
  <c r="J24" i="81"/>
  <c r="L24" i="81"/>
  <c r="N24" i="81"/>
  <c r="Q24" i="81"/>
  <c r="O24" i="81"/>
  <c r="P24" i="81"/>
  <c r="M24" i="81"/>
  <c r="F24" i="81"/>
  <c r="K24" i="81"/>
  <c r="A25" i="81"/>
  <c r="N25" i="81" l="1"/>
  <c r="O25" i="81"/>
  <c r="P25" i="81"/>
  <c r="Q25" i="81"/>
  <c r="C25" i="81"/>
  <c r="S25" i="81"/>
  <c r="D25" i="81"/>
  <c r="T25" i="81"/>
  <c r="E25" i="81"/>
  <c r="L25" i="65" s="1"/>
  <c r="U25" i="81"/>
  <c r="F25" i="81"/>
  <c r="H25" i="81"/>
  <c r="J25" i="81"/>
  <c r="M25" i="81"/>
  <c r="B25" i="81"/>
  <c r="G25" i="81"/>
  <c r="I25" i="81"/>
  <c r="K25" i="81"/>
  <c r="L25" i="81"/>
  <c r="R25" i="81"/>
  <c r="A26" i="81"/>
  <c r="J26" i="81" l="1"/>
  <c r="K26" i="81"/>
  <c r="L26" i="81"/>
  <c r="M26" i="81"/>
  <c r="O26" i="81"/>
  <c r="P26" i="81"/>
  <c r="Q26" i="81"/>
  <c r="B26" i="81"/>
  <c r="R26" i="81"/>
  <c r="D26" i="81"/>
  <c r="T26" i="81"/>
  <c r="F26" i="81"/>
  <c r="I26" i="81"/>
  <c r="C26" i="81"/>
  <c r="U26" i="81"/>
  <c r="E26" i="81"/>
  <c r="L26" i="65" s="1"/>
  <c r="G26" i="81"/>
  <c r="S26" i="81"/>
  <c r="H26" i="81"/>
  <c r="N26" i="81"/>
  <c r="A27" i="81"/>
  <c r="F27" i="81" l="1"/>
  <c r="G27" i="81"/>
  <c r="H27" i="81"/>
  <c r="I27" i="81"/>
  <c r="K27" i="81"/>
  <c r="L27" i="81"/>
  <c r="M27" i="81"/>
  <c r="N27" i="81"/>
  <c r="P27" i="81"/>
  <c r="B27" i="81"/>
  <c r="R27" i="81"/>
  <c r="E27" i="81"/>
  <c r="L27" i="65" s="1"/>
  <c r="U27" i="81"/>
  <c r="D27" i="81"/>
  <c r="J27" i="81"/>
  <c r="O27" i="81"/>
  <c r="Q27" i="81"/>
  <c r="S27" i="81"/>
  <c r="T27" i="81"/>
  <c r="C27" i="81"/>
  <c r="A28" i="81"/>
  <c r="B28" i="81" l="1"/>
  <c r="R28" i="81"/>
  <c r="C28" i="81"/>
  <c r="S28" i="81"/>
  <c r="D28" i="81"/>
  <c r="T28" i="81"/>
  <c r="G28" i="81"/>
  <c r="H28" i="81"/>
  <c r="I28" i="81"/>
  <c r="J28" i="81"/>
  <c r="L28" i="81"/>
  <c r="N28" i="81"/>
  <c r="Q28" i="81"/>
  <c r="E28" i="81"/>
  <c r="L28" i="65" s="1"/>
  <c r="F28" i="81"/>
  <c r="K28" i="81"/>
  <c r="O28" i="81"/>
  <c r="P28" i="81"/>
  <c r="U28" i="81"/>
  <c r="M28" i="81"/>
  <c r="A29" i="81"/>
  <c r="N29" i="81" l="1"/>
  <c r="O29" i="81"/>
  <c r="P29" i="81"/>
  <c r="C29" i="81"/>
  <c r="S29" i="81"/>
  <c r="D29" i="81"/>
  <c r="T29" i="81"/>
  <c r="E29" i="81"/>
  <c r="L29" i="65" s="1"/>
  <c r="U29" i="81"/>
  <c r="F29" i="81"/>
  <c r="H29" i="81"/>
  <c r="J29" i="81"/>
  <c r="M29" i="81"/>
  <c r="K29" i="81"/>
  <c r="L29" i="81"/>
  <c r="Q29" i="81"/>
  <c r="R29" i="81"/>
  <c r="I29" i="81"/>
  <c r="G29" i="81"/>
  <c r="B29" i="81"/>
  <c r="A30" i="81"/>
  <c r="J30" i="81" l="1"/>
  <c r="K30" i="81"/>
  <c r="L30" i="81"/>
  <c r="O30" i="81"/>
  <c r="P30" i="81"/>
  <c r="Q30" i="81"/>
  <c r="B30" i="81"/>
  <c r="R30" i="81"/>
  <c r="D30" i="81"/>
  <c r="T30" i="81"/>
  <c r="F30" i="81"/>
  <c r="I30" i="81"/>
  <c r="C30" i="81"/>
  <c r="E30" i="81"/>
  <c r="L30" i="65" s="1"/>
  <c r="G30" i="81"/>
  <c r="H30" i="81"/>
  <c r="M30" i="81"/>
  <c r="N30" i="81"/>
  <c r="S30" i="81"/>
  <c r="U30" i="81"/>
  <c r="A31" i="81"/>
  <c r="F31" i="81" l="1"/>
  <c r="G31" i="81"/>
  <c r="H31" i="81"/>
  <c r="K31" i="81"/>
  <c r="L31" i="81"/>
  <c r="M31" i="81"/>
  <c r="N31" i="81"/>
  <c r="P31" i="81"/>
  <c r="B31" i="81"/>
  <c r="R31" i="81"/>
  <c r="E31" i="81"/>
  <c r="L31" i="65" s="1"/>
  <c r="U31" i="81"/>
  <c r="O31" i="81"/>
  <c r="Q31" i="81"/>
  <c r="S31" i="81"/>
  <c r="T31" i="81"/>
  <c r="C31" i="81"/>
  <c r="D31" i="81"/>
  <c r="I31" i="81"/>
  <c r="J31" i="81"/>
  <c r="A32" i="81"/>
  <c r="B32" i="81" l="1"/>
  <c r="R32" i="81"/>
  <c r="C32" i="81"/>
  <c r="S32" i="81"/>
  <c r="D32" i="81"/>
  <c r="T32" i="81"/>
  <c r="G32" i="81"/>
  <c r="H32" i="81"/>
  <c r="I32" i="81"/>
  <c r="J32" i="81"/>
  <c r="L32" i="81"/>
  <c r="N32" i="81"/>
  <c r="Q32" i="81"/>
  <c r="E32" i="81"/>
  <c r="L32" i="65" s="1"/>
  <c r="F32" i="81"/>
  <c r="K32" i="81"/>
  <c r="M32" i="81"/>
  <c r="O32" i="81"/>
  <c r="U32" i="81"/>
  <c r="P32" i="81"/>
  <c r="A33" i="81"/>
  <c r="N33" i="81" l="1"/>
  <c r="O33" i="81"/>
  <c r="P33" i="81"/>
  <c r="C33" i="81"/>
  <c r="S33" i="81"/>
  <c r="D33" i="81"/>
  <c r="T33" i="81"/>
  <c r="E33" i="81"/>
  <c r="L33" i="65" s="1"/>
  <c r="U33" i="81"/>
  <c r="F33" i="81"/>
  <c r="H33" i="81"/>
  <c r="J33" i="81"/>
  <c r="M33" i="81"/>
  <c r="Q33" i="81"/>
  <c r="R33" i="81"/>
  <c r="B33" i="81"/>
  <c r="I33" i="81"/>
  <c r="K33" i="81"/>
  <c r="L33" i="81"/>
  <c r="G33" i="81"/>
  <c r="A34" i="81"/>
  <c r="J34" i="81" l="1"/>
  <c r="K34" i="81"/>
  <c r="L34" i="81"/>
  <c r="O34" i="81"/>
  <c r="P34" i="81"/>
  <c r="Q34" i="81"/>
  <c r="B34" i="81"/>
  <c r="R34" i="81"/>
  <c r="D34" i="81"/>
  <c r="T34" i="81"/>
  <c r="F34" i="81"/>
  <c r="I34" i="81"/>
  <c r="C34" i="81"/>
  <c r="E34" i="81"/>
  <c r="L34" i="65" s="1"/>
  <c r="G34" i="81"/>
  <c r="H34" i="81"/>
  <c r="M34" i="81"/>
  <c r="N34" i="81"/>
  <c r="S34" i="81"/>
  <c r="U34" i="81"/>
  <c r="A35" i="81"/>
  <c r="F35" i="81" l="1"/>
  <c r="G35" i="81"/>
  <c r="H35" i="81"/>
  <c r="K35" i="81"/>
  <c r="L35" i="81"/>
  <c r="M35" i="81"/>
  <c r="N35" i="81"/>
  <c r="P35" i="81"/>
  <c r="B35" i="81"/>
  <c r="R35" i="81"/>
  <c r="E35" i="81"/>
  <c r="L35" i="65" s="1"/>
  <c r="U35" i="81"/>
  <c r="S35" i="81"/>
  <c r="T35" i="81"/>
  <c r="C35" i="81"/>
  <c r="D35" i="81"/>
  <c r="I35" i="81"/>
  <c r="J35" i="81"/>
  <c r="O35" i="81"/>
  <c r="Q35" i="81"/>
  <c r="A36" i="81"/>
  <c r="B36" i="81" l="1"/>
  <c r="R36" i="81"/>
  <c r="C36" i="81"/>
  <c r="S36" i="81"/>
  <c r="D36" i="81"/>
  <c r="T36" i="81"/>
  <c r="G36" i="81"/>
  <c r="H36" i="81"/>
  <c r="I36" i="81"/>
  <c r="J36" i="81"/>
  <c r="L36" i="81"/>
  <c r="E36" i="81"/>
  <c r="L36" i="65" s="1"/>
  <c r="F36" i="81"/>
  <c r="K36" i="81"/>
  <c r="M36" i="81"/>
  <c r="N36" i="81"/>
  <c r="O36" i="81"/>
  <c r="P36" i="81"/>
  <c r="Q36" i="81"/>
  <c r="U36" i="81"/>
  <c r="A37" i="81"/>
  <c r="N37" i="81" l="1"/>
  <c r="O37" i="81"/>
  <c r="P37" i="81"/>
  <c r="C37" i="81"/>
  <c r="S37" i="81"/>
  <c r="D37" i="81"/>
  <c r="T37" i="81"/>
  <c r="E37" i="81"/>
  <c r="L37" i="65" s="1"/>
  <c r="U37" i="81"/>
  <c r="F37" i="81"/>
  <c r="H37" i="81"/>
  <c r="L37" i="81"/>
  <c r="M37" i="81"/>
  <c r="Q37" i="81"/>
  <c r="R37" i="81"/>
  <c r="I37" i="81"/>
  <c r="K37" i="81"/>
  <c r="G37" i="81"/>
  <c r="B37" i="81"/>
  <c r="J37" i="81"/>
  <c r="A38" i="81"/>
  <c r="J38" i="81" l="1"/>
  <c r="K38" i="81"/>
  <c r="L38" i="81"/>
  <c r="O38" i="81"/>
  <c r="P38" i="81"/>
  <c r="Q38" i="81"/>
  <c r="B38" i="81"/>
  <c r="R38" i="81"/>
  <c r="D38" i="81"/>
  <c r="T38" i="81"/>
  <c r="C38" i="81"/>
  <c r="E38" i="81"/>
  <c r="L38" i="65" s="1"/>
  <c r="F38" i="81"/>
  <c r="G38" i="81"/>
  <c r="H38" i="81"/>
  <c r="I38" i="81"/>
  <c r="M38" i="81"/>
  <c r="S38" i="81"/>
  <c r="U38" i="81"/>
  <c r="N38" i="81"/>
  <c r="A39" i="81"/>
  <c r="F39" i="81" l="1"/>
  <c r="G39" i="81"/>
  <c r="H39" i="81"/>
  <c r="K39" i="81"/>
  <c r="L39" i="81"/>
  <c r="M39" i="81"/>
  <c r="N39" i="81"/>
  <c r="P39" i="81"/>
  <c r="D39" i="81"/>
  <c r="E39" i="81"/>
  <c r="L39" i="65" s="1"/>
  <c r="I39" i="81"/>
  <c r="J39" i="81"/>
  <c r="O39" i="81"/>
  <c r="Q39" i="81"/>
  <c r="R39" i="81"/>
  <c r="S39" i="81"/>
  <c r="T39" i="81"/>
  <c r="B39" i="81"/>
  <c r="C39" i="81"/>
  <c r="U39" i="81"/>
  <c r="A40" i="81"/>
  <c r="B40" i="81" l="1"/>
  <c r="R40" i="81"/>
  <c r="C40" i="81"/>
  <c r="S40" i="81"/>
  <c r="D40" i="81"/>
  <c r="T40" i="81"/>
  <c r="G40" i="81"/>
  <c r="H40" i="81"/>
  <c r="I40" i="81"/>
  <c r="J40" i="81"/>
  <c r="L40" i="81"/>
  <c r="P40" i="81"/>
  <c r="Q40" i="81"/>
  <c r="U40" i="81"/>
  <c r="O40" i="81"/>
  <c r="E40" i="81"/>
  <c r="L40" i="65" s="1"/>
  <c r="F40" i="81"/>
  <c r="N40" i="81"/>
  <c r="K40" i="81"/>
  <c r="M40" i="81"/>
  <c r="A41" i="81"/>
  <c r="N41" i="81" l="1"/>
  <c r="O41" i="81"/>
  <c r="P41" i="81"/>
  <c r="C41" i="81"/>
  <c r="S41" i="81"/>
  <c r="D41" i="81"/>
  <c r="T41" i="81"/>
  <c r="E41" i="81"/>
  <c r="L41" i="65" s="1"/>
  <c r="U41" i="81"/>
  <c r="F41" i="81"/>
  <c r="H41" i="81"/>
  <c r="B41" i="81"/>
  <c r="G41" i="81"/>
  <c r="I41" i="81"/>
  <c r="J41" i="81"/>
  <c r="K41" i="81"/>
  <c r="L41" i="81"/>
  <c r="Q41" i="81"/>
  <c r="R41" i="81"/>
  <c r="M41" i="81"/>
  <c r="A42" i="81"/>
  <c r="J42" i="81" l="1"/>
  <c r="K42" i="81"/>
  <c r="L42" i="81"/>
  <c r="O42" i="81"/>
  <c r="P42" i="81"/>
  <c r="Q42" i="81"/>
  <c r="B42" i="81"/>
  <c r="R42" i="81"/>
  <c r="D42" i="81"/>
  <c r="H42" i="81"/>
  <c r="I42" i="81"/>
  <c r="M42" i="81"/>
  <c r="N42" i="81"/>
  <c r="S42" i="81"/>
  <c r="T42" i="81"/>
  <c r="U42" i="81"/>
  <c r="C42" i="81"/>
  <c r="F42" i="81"/>
  <c r="G42" i="81"/>
  <c r="E42" i="81"/>
  <c r="L42" i="65" s="1"/>
  <c r="A43" i="81"/>
  <c r="F43" i="81" l="1"/>
  <c r="G43" i="81"/>
  <c r="H43" i="81"/>
  <c r="K43" i="81"/>
  <c r="L43" i="81"/>
  <c r="M43" i="81"/>
  <c r="N43" i="81"/>
  <c r="R43" i="81"/>
  <c r="S43" i="81"/>
  <c r="T43" i="81"/>
  <c r="U43" i="81"/>
  <c r="B43" i="81"/>
  <c r="C43" i="81"/>
  <c r="D43" i="81"/>
  <c r="E43" i="81"/>
  <c r="L43" i="65" s="1"/>
  <c r="I43" i="81"/>
  <c r="J43" i="81"/>
  <c r="O43" i="81"/>
  <c r="P43" i="81"/>
  <c r="Q43" i="81"/>
  <c r="A44" i="81"/>
  <c r="B44" i="81" l="1"/>
  <c r="R44" i="81"/>
  <c r="C44" i="81"/>
  <c r="S44" i="81"/>
  <c r="D44" i="81"/>
  <c r="T44" i="81"/>
  <c r="G44" i="81"/>
  <c r="H44" i="81"/>
  <c r="I44" i="81"/>
  <c r="J44" i="81"/>
  <c r="E44" i="81"/>
  <c r="L44" i="65" s="1"/>
  <c r="F44" i="81"/>
  <c r="K44" i="81"/>
  <c r="L44" i="81"/>
  <c r="M44" i="81"/>
  <c r="O44" i="81"/>
  <c r="Q44" i="81"/>
  <c r="U44" i="81"/>
  <c r="N44" i="81"/>
  <c r="P44" i="81"/>
  <c r="A45" i="81"/>
  <c r="N45" i="81" l="1"/>
  <c r="O45" i="81"/>
  <c r="P45" i="81"/>
  <c r="C45" i="81"/>
  <c r="S45" i="81"/>
  <c r="D45" i="81"/>
  <c r="T45" i="81"/>
  <c r="E45" i="81"/>
  <c r="L45" i="65" s="1"/>
  <c r="U45" i="81"/>
  <c r="F45" i="81"/>
  <c r="H45" i="81"/>
  <c r="I45" i="81"/>
  <c r="J45" i="81"/>
  <c r="K45" i="81"/>
  <c r="L45" i="81"/>
  <c r="M45" i="81"/>
  <c r="Q45" i="81"/>
  <c r="R45" i="81"/>
  <c r="B45" i="81"/>
  <c r="G45" i="81"/>
  <c r="A46" i="81"/>
  <c r="J46" i="81" l="1"/>
  <c r="K46" i="81"/>
  <c r="L46" i="81"/>
  <c r="O46" i="81"/>
  <c r="P46" i="81"/>
  <c r="Q46" i="81"/>
  <c r="B46" i="81"/>
  <c r="R46" i="81"/>
  <c r="N46" i="81"/>
  <c r="S46" i="81"/>
  <c r="T46" i="81"/>
  <c r="U46" i="81"/>
  <c r="C46" i="81"/>
  <c r="D46" i="81"/>
  <c r="E46" i="81"/>
  <c r="L46" i="65" s="1"/>
  <c r="F46" i="81"/>
  <c r="G46" i="81"/>
  <c r="H46" i="81"/>
  <c r="I46" i="81"/>
  <c r="M46" i="81"/>
  <c r="A47" i="81"/>
  <c r="F47" i="81" l="1"/>
  <c r="G47" i="81"/>
  <c r="H47" i="81"/>
  <c r="K47" i="81"/>
  <c r="L47" i="81"/>
  <c r="M47" i="81"/>
  <c r="N47" i="81"/>
  <c r="U47" i="81"/>
  <c r="B47" i="81"/>
  <c r="C47" i="81"/>
  <c r="D47" i="81"/>
  <c r="E47" i="81"/>
  <c r="L47" i="65" s="1"/>
  <c r="I47" i="81"/>
  <c r="Q47" i="81"/>
  <c r="S47" i="81"/>
  <c r="T47" i="81"/>
  <c r="P47" i="81"/>
  <c r="J47" i="81"/>
  <c r="O47" i="81"/>
  <c r="R47" i="81"/>
  <c r="A48" i="81"/>
  <c r="B48" i="81" l="1"/>
  <c r="R48" i="81"/>
  <c r="C48" i="81"/>
  <c r="S48" i="81"/>
  <c r="D48" i="81"/>
  <c r="T48" i="81"/>
  <c r="G48" i="81"/>
  <c r="H48" i="81"/>
  <c r="I48" i="81"/>
  <c r="J48" i="81"/>
  <c r="E48" i="81"/>
  <c r="L48" i="65" s="1"/>
  <c r="F48" i="81"/>
  <c r="K48" i="81"/>
  <c r="L48" i="81"/>
  <c r="M48" i="81"/>
  <c r="N48" i="81"/>
  <c r="O48" i="81"/>
  <c r="P48" i="81"/>
  <c r="U48" i="81"/>
  <c r="Q48" i="81"/>
  <c r="A49" i="81"/>
  <c r="N49" i="81" l="1"/>
  <c r="O49" i="81"/>
  <c r="P49" i="81"/>
  <c r="C49" i="81"/>
  <c r="S49" i="81"/>
  <c r="D49" i="81"/>
  <c r="T49" i="81"/>
  <c r="E49" i="81"/>
  <c r="L49" i="65" s="1"/>
  <c r="U49" i="81"/>
  <c r="F49" i="81"/>
  <c r="K49" i="81"/>
  <c r="L49" i="81"/>
  <c r="M49" i="81"/>
  <c r="Q49" i="81"/>
  <c r="R49" i="81"/>
  <c r="B49" i="81"/>
  <c r="G49" i="81"/>
  <c r="H49" i="81"/>
  <c r="I49" i="81"/>
  <c r="J49" i="81"/>
  <c r="A50" i="81"/>
  <c r="J50" i="81" l="1"/>
  <c r="K50" i="81"/>
  <c r="L50" i="81"/>
  <c r="O50" i="81"/>
  <c r="P50" i="81"/>
  <c r="Q50" i="81"/>
  <c r="B50" i="81"/>
  <c r="R50" i="81"/>
  <c r="U50" i="81"/>
  <c r="C50" i="81"/>
  <c r="D50" i="81"/>
  <c r="E50" i="81"/>
  <c r="L50" i="65" s="1"/>
  <c r="M50" i="81"/>
  <c r="S50" i="81"/>
  <c r="T50" i="81"/>
  <c r="F50" i="81"/>
  <c r="I50" i="81"/>
  <c r="N50" i="81"/>
  <c r="G50" i="81"/>
  <c r="H50" i="81"/>
  <c r="A51" i="81"/>
  <c r="F51" i="81" l="1"/>
  <c r="G51" i="81"/>
  <c r="H51" i="81"/>
  <c r="K51" i="81"/>
  <c r="L51" i="81"/>
  <c r="M51" i="81"/>
  <c r="N51" i="81"/>
  <c r="B51" i="81"/>
  <c r="C51" i="81"/>
  <c r="D51" i="81"/>
  <c r="E51" i="81"/>
  <c r="L51" i="65" s="1"/>
  <c r="I51" i="81"/>
  <c r="J51" i="81"/>
  <c r="O51" i="81"/>
  <c r="Q51" i="81"/>
  <c r="R51" i="81"/>
  <c r="S51" i="81"/>
  <c r="T51" i="81"/>
  <c r="U51" i="81"/>
  <c r="P51" i="81"/>
  <c r="A52" i="81"/>
  <c r="B52" i="81" l="1"/>
  <c r="R52" i="81"/>
  <c r="C52" i="81"/>
  <c r="S52" i="81"/>
  <c r="D52" i="81"/>
  <c r="T52" i="81"/>
  <c r="G52" i="81"/>
  <c r="I52" i="81"/>
  <c r="J52" i="81"/>
  <c r="H52" i="81"/>
  <c r="K52" i="81"/>
  <c r="L52" i="81"/>
  <c r="M52" i="81"/>
  <c r="N52" i="81"/>
  <c r="O52" i="81"/>
  <c r="P52" i="81"/>
  <c r="E52" i="81"/>
  <c r="L52" i="65" s="1"/>
  <c r="F52" i="81"/>
  <c r="Q52" i="81"/>
  <c r="U52" i="81"/>
  <c r="A53" i="81"/>
  <c r="N53" i="81" l="1"/>
  <c r="O53" i="81"/>
  <c r="P53" i="81"/>
  <c r="C53" i="81"/>
  <c r="S53" i="81"/>
  <c r="E53" i="81"/>
  <c r="L53" i="65" s="1"/>
  <c r="U53" i="81"/>
  <c r="F53" i="81"/>
  <c r="L53" i="81"/>
  <c r="M53" i="81"/>
  <c r="Q53" i="81"/>
  <c r="R53" i="81"/>
  <c r="T53" i="81"/>
  <c r="D53" i="81"/>
  <c r="H53" i="81"/>
  <c r="I53" i="81"/>
  <c r="J53" i="81"/>
  <c r="B53" i="81"/>
  <c r="K53" i="81"/>
  <c r="G53" i="81"/>
  <c r="A54" i="81"/>
  <c r="J54" i="81" l="1"/>
  <c r="K54" i="81"/>
  <c r="L54" i="81"/>
  <c r="O54" i="81"/>
  <c r="Q54" i="81"/>
  <c r="B54" i="81"/>
  <c r="R54" i="81"/>
  <c r="T54" i="81"/>
  <c r="U54" i="81"/>
  <c r="C54" i="81"/>
  <c r="D54" i="81"/>
  <c r="E54" i="81"/>
  <c r="L54" i="65" s="1"/>
  <c r="F54" i="81"/>
  <c r="G54" i="81"/>
  <c r="H54" i="81"/>
  <c r="I54" i="81"/>
  <c r="M54" i="81"/>
  <c r="N54" i="81"/>
  <c r="P54" i="81"/>
  <c r="S54" i="81"/>
  <c r="A55" i="81"/>
  <c r="F55" i="81" l="1"/>
  <c r="G55" i="81"/>
  <c r="H55" i="81"/>
  <c r="K55" i="81"/>
  <c r="M55" i="81"/>
  <c r="N55" i="81"/>
  <c r="B55" i="81"/>
  <c r="C55" i="81"/>
  <c r="D55" i="81"/>
  <c r="E55" i="81"/>
  <c r="L55" i="65" s="1"/>
  <c r="I55" i="81"/>
  <c r="L55" i="81"/>
  <c r="P55" i="81"/>
  <c r="Q55" i="81"/>
  <c r="R55" i="81"/>
  <c r="T55" i="81"/>
  <c r="U55" i="81"/>
  <c r="J55" i="81"/>
  <c r="O55" i="81"/>
  <c r="S55" i="81"/>
  <c r="A56" i="81"/>
  <c r="B56" i="81" l="1"/>
  <c r="R56" i="81"/>
  <c r="D56" i="81"/>
  <c r="T56" i="81"/>
  <c r="G56" i="81"/>
  <c r="I56" i="81"/>
  <c r="J56" i="81"/>
  <c r="C56" i="81"/>
  <c r="E56" i="81"/>
  <c r="L56" i="65" s="1"/>
  <c r="F56" i="81"/>
  <c r="H56" i="81"/>
  <c r="K56" i="81"/>
  <c r="L56" i="81"/>
  <c r="M56" i="81"/>
  <c r="N56" i="81"/>
  <c r="O56" i="81"/>
  <c r="P56" i="81"/>
  <c r="Q56" i="81"/>
  <c r="S56" i="81"/>
  <c r="U56" i="81"/>
  <c r="A57" i="81"/>
  <c r="N57" i="81" l="1"/>
  <c r="P57" i="81"/>
  <c r="C57" i="81"/>
  <c r="S57" i="81"/>
  <c r="E57" i="81"/>
  <c r="L57" i="65" s="1"/>
  <c r="U57" i="81"/>
  <c r="F57" i="81"/>
  <c r="H57" i="81"/>
  <c r="I57" i="81"/>
  <c r="J57" i="81"/>
  <c r="K57" i="81"/>
  <c r="L57" i="81"/>
  <c r="M57" i="81"/>
  <c r="O57" i="81"/>
  <c r="G57" i="81"/>
  <c r="R57" i="81"/>
  <c r="T57" i="81"/>
  <c r="D57" i="81"/>
  <c r="B57" i="81"/>
  <c r="Q57" i="81"/>
  <c r="A58" i="81"/>
  <c r="J58" i="81" l="1"/>
  <c r="L58" i="81"/>
  <c r="O58" i="81"/>
  <c r="Q58" i="81"/>
  <c r="B58" i="81"/>
  <c r="R58" i="81"/>
  <c r="I58" i="81"/>
  <c r="K58" i="81"/>
  <c r="M58" i="81"/>
  <c r="N58" i="81"/>
  <c r="P58" i="81"/>
  <c r="S58" i="81"/>
  <c r="T58" i="81"/>
  <c r="C58" i="81"/>
  <c r="E58" i="81"/>
  <c r="L58" i="65" s="1"/>
  <c r="F58" i="81"/>
  <c r="G58" i="81"/>
  <c r="H58" i="81"/>
  <c r="U58" i="81"/>
  <c r="D58" i="81"/>
  <c r="A59" i="81"/>
  <c r="F59" i="81" l="1"/>
  <c r="H59" i="81"/>
  <c r="K59" i="81"/>
  <c r="M59" i="81"/>
  <c r="N59" i="81"/>
  <c r="O59" i="81"/>
  <c r="P59" i="81"/>
  <c r="Q59" i="81"/>
  <c r="R59" i="81"/>
  <c r="S59" i="81"/>
  <c r="T59" i="81"/>
  <c r="U59" i="81"/>
  <c r="I59" i="81"/>
  <c r="L59" i="81"/>
  <c r="B59" i="81"/>
  <c r="G59" i="81"/>
  <c r="C59" i="81"/>
  <c r="D59" i="81"/>
  <c r="E59" i="81"/>
  <c r="L59" i="65" s="1"/>
  <c r="J59" i="81"/>
  <c r="A60" i="81"/>
  <c r="B60" i="81" l="1"/>
  <c r="R60" i="81"/>
  <c r="D60" i="81"/>
  <c r="T60" i="81"/>
  <c r="G60" i="81"/>
  <c r="I60" i="81"/>
  <c r="J60" i="81"/>
  <c r="P60" i="81"/>
  <c r="Q60" i="81"/>
  <c r="S60" i="81"/>
  <c r="U60" i="81"/>
  <c r="C60" i="81"/>
  <c r="E60" i="81"/>
  <c r="L60" i="65" s="1"/>
  <c r="H60" i="81"/>
  <c r="K60" i="81"/>
  <c r="L60" i="81"/>
  <c r="M60" i="81"/>
  <c r="N60" i="81"/>
  <c r="O60" i="81"/>
  <c r="F60" i="81"/>
  <c r="A61" i="81"/>
  <c r="N61" i="81" l="1"/>
  <c r="P61" i="81"/>
  <c r="C61" i="81"/>
  <c r="S61" i="81"/>
  <c r="E61" i="81"/>
  <c r="L61" i="65" s="1"/>
  <c r="U61" i="81"/>
  <c r="F61" i="81"/>
  <c r="T61" i="81"/>
  <c r="B61" i="81"/>
  <c r="D61" i="81"/>
  <c r="G61" i="81"/>
  <c r="L61" i="81"/>
  <c r="O61" i="81"/>
  <c r="Q61" i="81"/>
  <c r="R61" i="81"/>
  <c r="H61" i="81"/>
  <c r="I61" i="81"/>
  <c r="J61" i="81"/>
  <c r="K61" i="81"/>
  <c r="M61" i="81"/>
  <c r="A62" i="81"/>
  <c r="J62" i="81" l="1"/>
  <c r="L62" i="81"/>
  <c r="O62" i="81"/>
  <c r="Q62" i="81"/>
  <c r="B62" i="81"/>
  <c r="R62" i="81"/>
  <c r="C62" i="81"/>
  <c r="D62" i="81"/>
  <c r="E62" i="81"/>
  <c r="L62" i="65" s="1"/>
  <c r="F62" i="81"/>
  <c r="G62" i="81"/>
  <c r="H62" i="81"/>
  <c r="K62" i="81"/>
  <c r="M62" i="81"/>
  <c r="N62" i="81"/>
  <c r="P62" i="81"/>
  <c r="S62" i="81"/>
  <c r="T62" i="81"/>
  <c r="I62" i="81"/>
  <c r="U62" i="81"/>
  <c r="A63" i="81"/>
  <c r="F63" i="81" l="1"/>
  <c r="H63" i="81"/>
  <c r="K63" i="81"/>
  <c r="M63" i="81"/>
  <c r="N63" i="81"/>
  <c r="C63" i="81"/>
  <c r="D63" i="81"/>
  <c r="E63" i="81"/>
  <c r="L63" i="65" s="1"/>
  <c r="G63" i="81"/>
  <c r="I63" i="81"/>
  <c r="J63" i="81"/>
  <c r="L63" i="81"/>
  <c r="Q63" i="81"/>
  <c r="S63" i="81"/>
  <c r="T63" i="81"/>
  <c r="U63" i="81"/>
  <c r="R63" i="81"/>
  <c r="B63" i="81"/>
  <c r="O63" i="81"/>
  <c r="P63" i="81"/>
  <c r="A64" i="81"/>
  <c r="B64" i="81" l="1"/>
  <c r="R64" i="81"/>
  <c r="D64" i="81"/>
  <c r="T64" i="81"/>
  <c r="G64" i="81"/>
  <c r="I64" i="81"/>
  <c r="J64" i="81"/>
  <c r="F64" i="81"/>
  <c r="H64" i="81"/>
  <c r="K64" i="81"/>
  <c r="L64" i="81"/>
  <c r="M64" i="81"/>
  <c r="N64" i="81"/>
  <c r="O64" i="81"/>
  <c r="E64" i="81"/>
  <c r="L64" i="65" s="1"/>
  <c r="P64" i="81"/>
  <c r="Q64" i="81"/>
  <c r="S64" i="81"/>
  <c r="U64" i="81"/>
  <c r="C64" i="81"/>
  <c r="A65" i="81"/>
  <c r="N65" i="81" l="1"/>
  <c r="P65" i="81"/>
  <c r="C65" i="81"/>
  <c r="S65" i="81"/>
  <c r="E65" i="81"/>
  <c r="L65" i="65" s="1"/>
  <c r="U65" i="81"/>
  <c r="F65" i="81"/>
  <c r="J65" i="81"/>
  <c r="K65" i="81"/>
  <c r="L65" i="81"/>
  <c r="M65" i="81"/>
  <c r="O65" i="81"/>
  <c r="Q65" i="81"/>
  <c r="R65" i="81"/>
  <c r="T65" i="81"/>
  <c r="B65" i="81"/>
  <c r="D65" i="81"/>
  <c r="G65" i="81"/>
  <c r="H65" i="81"/>
  <c r="I65" i="81"/>
  <c r="A66" i="81"/>
  <c r="J66" i="81" l="1"/>
  <c r="L66" i="81"/>
  <c r="O66" i="81"/>
  <c r="Q66" i="81"/>
  <c r="B66" i="81"/>
  <c r="R66" i="81"/>
  <c r="M66" i="81"/>
  <c r="N66" i="81"/>
  <c r="P66" i="81"/>
  <c r="S66" i="81"/>
  <c r="T66" i="81"/>
  <c r="U66" i="81"/>
  <c r="D66" i="81"/>
  <c r="E66" i="81"/>
  <c r="L66" i="65" s="1"/>
  <c r="F66" i="81"/>
  <c r="H66" i="81"/>
  <c r="I66" i="81"/>
  <c r="K66" i="81"/>
  <c r="C66" i="81"/>
  <c r="G66" i="81"/>
  <c r="A67" i="81"/>
  <c r="F67" i="81" l="1"/>
  <c r="H67" i="81"/>
  <c r="K67" i="81"/>
  <c r="M67" i="81"/>
  <c r="N67" i="81"/>
  <c r="Q67" i="81"/>
  <c r="R67" i="81"/>
  <c r="S67" i="81"/>
  <c r="T67" i="81"/>
  <c r="U67" i="81"/>
  <c r="B67" i="81"/>
  <c r="O67" i="81"/>
  <c r="C67" i="81"/>
  <c r="D67" i="81"/>
  <c r="E67" i="81"/>
  <c r="L67" i="65" s="1"/>
  <c r="G67" i="81"/>
  <c r="I67" i="81"/>
  <c r="J67" i="81"/>
  <c r="L67" i="81"/>
  <c r="P67" i="81"/>
  <c r="A68" i="81"/>
  <c r="B68" i="81" l="1"/>
  <c r="R68" i="81"/>
  <c r="D68" i="81"/>
  <c r="T68" i="81"/>
  <c r="I68" i="81"/>
  <c r="J68" i="81"/>
  <c r="Q68" i="81"/>
  <c r="S68" i="81"/>
  <c r="U68" i="81"/>
  <c r="C68" i="81"/>
  <c r="E68" i="81"/>
  <c r="L68" i="65" s="1"/>
  <c r="F68" i="81"/>
  <c r="G68" i="81"/>
  <c r="H68" i="81"/>
  <c r="L68" i="81"/>
  <c r="M68" i="81"/>
  <c r="N68" i="81"/>
  <c r="O68" i="81"/>
  <c r="P68" i="81"/>
  <c r="K68" i="81"/>
  <c r="A69" i="81"/>
  <c r="N69" i="81" l="1"/>
  <c r="P69" i="81"/>
  <c r="E69" i="81"/>
  <c r="L69" i="65" s="1"/>
  <c r="F69" i="81"/>
  <c r="S69" i="81"/>
  <c r="T69" i="81"/>
  <c r="U69" i="81"/>
  <c r="B69" i="81"/>
  <c r="C69" i="81"/>
  <c r="D69" i="81"/>
  <c r="G69" i="81"/>
  <c r="M69" i="81"/>
  <c r="Q69" i="81"/>
  <c r="R69" i="81"/>
  <c r="H69" i="81"/>
  <c r="L69" i="81"/>
  <c r="O69" i="81"/>
  <c r="I69" i="81"/>
  <c r="J69" i="81"/>
  <c r="K69" i="81"/>
  <c r="A70" i="81"/>
  <c r="J70" i="81" l="1"/>
  <c r="L70" i="81"/>
  <c r="B70" i="81"/>
  <c r="R70" i="81"/>
  <c r="S70" i="81"/>
  <c r="T70" i="81"/>
  <c r="U70" i="81"/>
  <c r="C70" i="81"/>
  <c r="D70" i="81"/>
  <c r="E70" i="81"/>
  <c r="L70" i="65" s="1"/>
  <c r="F70" i="81"/>
  <c r="G70" i="81"/>
  <c r="I70" i="81"/>
  <c r="K70" i="81"/>
  <c r="M70" i="81"/>
  <c r="N70" i="81"/>
  <c r="O70" i="81"/>
  <c r="P70" i="81"/>
  <c r="H70" i="81"/>
  <c r="Q70" i="81"/>
  <c r="A71" i="81"/>
  <c r="F71" i="81" l="1"/>
  <c r="H71" i="81"/>
  <c r="N71" i="81"/>
  <c r="R71" i="81"/>
  <c r="S71" i="81"/>
  <c r="T71" i="81"/>
  <c r="B71" i="81"/>
  <c r="U71" i="81"/>
  <c r="C71" i="81"/>
  <c r="D71" i="81"/>
  <c r="E71" i="81"/>
  <c r="L71" i="65" s="1"/>
  <c r="K71" i="81"/>
  <c r="M71" i="81"/>
  <c r="O71" i="81"/>
  <c r="P71" i="81"/>
  <c r="I71" i="81"/>
  <c r="J71" i="81"/>
  <c r="L71" i="81"/>
  <c r="Q71" i="81"/>
  <c r="G71" i="81"/>
  <c r="A72" i="81"/>
  <c r="N72" i="81" l="1"/>
  <c r="O72" i="81"/>
  <c r="P72" i="81"/>
  <c r="Q72" i="81"/>
  <c r="B72" i="81"/>
  <c r="R72" i="81"/>
  <c r="C72" i="81"/>
  <c r="S72" i="81"/>
  <c r="D72" i="81"/>
  <c r="T72" i="81"/>
  <c r="E72" i="81"/>
  <c r="L72" i="65" s="1"/>
  <c r="F72" i="81"/>
  <c r="G72" i="81"/>
  <c r="H72" i="81"/>
  <c r="I72" i="81"/>
  <c r="J72" i="81"/>
  <c r="K72" i="81"/>
  <c r="L72" i="81"/>
  <c r="M72" i="81"/>
  <c r="U72" i="81"/>
  <c r="A73" i="81"/>
  <c r="J73" i="81" l="1"/>
  <c r="K73" i="81"/>
  <c r="L73" i="81"/>
  <c r="M73" i="81"/>
  <c r="N73" i="81"/>
  <c r="O73" i="81"/>
  <c r="P73" i="81"/>
  <c r="B73" i="81"/>
  <c r="D73" i="81"/>
  <c r="E73" i="81"/>
  <c r="L73" i="65" s="1"/>
  <c r="F73" i="81"/>
  <c r="H73" i="81"/>
  <c r="I73" i="81"/>
  <c r="Q73" i="81"/>
  <c r="R73" i="81"/>
  <c r="S73" i="81"/>
  <c r="T73" i="81"/>
  <c r="U73" i="81"/>
  <c r="C73" i="81"/>
  <c r="G73" i="81"/>
  <c r="A74" i="81"/>
  <c r="F74" i="81" l="1"/>
  <c r="G74" i="81"/>
  <c r="H74" i="81"/>
  <c r="I74" i="81"/>
  <c r="J74" i="81"/>
  <c r="K74" i="81"/>
  <c r="L74" i="81"/>
  <c r="E74" i="81"/>
  <c r="L74" i="65" s="1"/>
  <c r="N74" i="81"/>
  <c r="O74" i="81"/>
  <c r="P74" i="81"/>
  <c r="R74" i="81"/>
  <c r="S74" i="81"/>
  <c r="T74" i="81"/>
  <c r="U74" i="81"/>
  <c r="B74" i="81"/>
  <c r="C74" i="81"/>
  <c r="D74" i="81"/>
  <c r="M74" i="81"/>
  <c r="Q74" i="81"/>
  <c r="A75" i="81"/>
  <c r="B75" i="81" l="1"/>
  <c r="R75" i="81"/>
  <c r="C75" i="81"/>
  <c r="S75" i="81"/>
  <c r="D75" i="81"/>
  <c r="T75" i="81"/>
  <c r="E75" i="81"/>
  <c r="L75" i="65" s="1"/>
  <c r="U75" i="81"/>
  <c r="F75" i="81"/>
  <c r="G75" i="81"/>
  <c r="H75" i="81"/>
  <c r="O75" i="81"/>
  <c r="Q75" i="81"/>
  <c r="I75" i="81"/>
  <c r="J75" i="81"/>
  <c r="K75" i="81"/>
  <c r="L75" i="81"/>
  <c r="M75" i="81"/>
  <c r="N75" i="81"/>
  <c r="P75" i="81"/>
  <c r="A76" i="81"/>
  <c r="N76" i="81" l="1"/>
  <c r="O76" i="81"/>
  <c r="P76" i="81"/>
  <c r="Q76" i="81"/>
  <c r="B76" i="81"/>
  <c r="R76" i="81"/>
  <c r="C76" i="81"/>
  <c r="S76" i="81"/>
  <c r="D76" i="81"/>
  <c r="T76" i="81"/>
  <c r="E76" i="81"/>
  <c r="L76" i="65" s="1"/>
  <c r="F76" i="81"/>
  <c r="H76" i="81"/>
  <c r="I76" i="81"/>
  <c r="J76" i="81"/>
  <c r="K76" i="81"/>
  <c r="L76" i="81"/>
  <c r="M76" i="81"/>
  <c r="G76" i="81"/>
  <c r="U76" i="81"/>
  <c r="A77" i="81"/>
  <c r="J77" i="81" l="1"/>
  <c r="K77" i="81"/>
  <c r="L77" i="81"/>
  <c r="M77" i="81"/>
  <c r="N77" i="81"/>
  <c r="O77" i="81"/>
  <c r="P77" i="81"/>
  <c r="E77" i="81"/>
  <c r="L77" i="65" s="1"/>
  <c r="G77" i="81"/>
  <c r="H77" i="81"/>
  <c r="I77" i="81"/>
  <c r="R77" i="81"/>
  <c r="S77" i="81"/>
  <c r="T77" i="81"/>
  <c r="U77" i="81"/>
  <c r="Q77" i="81"/>
  <c r="B77" i="81"/>
  <c r="C77" i="81"/>
  <c r="D77" i="81"/>
  <c r="F77" i="81"/>
  <c r="A78" i="81"/>
  <c r="F78" i="81" l="1"/>
  <c r="G78" i="81"/>
  <c r="H78" i="81"/>
  <c r="I78" i="81"/>
  <c r="J78" i="81"/>
  <c r="K78" i="81"/>
  <c r="L78" i="81"/>
  <c r="O78" i="81"/>
  <c r="Q78" i="81"/>
  <c r="R78" i="81"/>
  <c r="S78" i="81"/>
  <c r="U78" i="81"/>
  <c r="B78" i="81"/>
  <c r="C78" i="81"/>
  <c r="D78" i="81"/>
  <c r="E78" i="81"/>
  <c r="L78" i="65" s="1"/>
  <c r="N78" i="81"/>
  <c r="P78" i="81"/>
  <c r="T78" i="81"/>
  <c r="M78" i="81"/>
  <c r="A79" i="81"/>
  <c r="B79" i="81" l="1"/>
  <c r="R79" i="81"/>
  <c r="C79" i="81"/>
  <c r="S79" i="81"/>
  <c r="D79" i="81"/>
  <c r="T79" i="81"/>
  <c r="E79" i="81"/>
  <c r="L79" i="65" s="1"/>
  <c r="U79" i="81"/>
  <c r="F79" i="81"/>
  <c r="G79" i="81"/>
  <c r="H79" i="81"/>
  <c r="I79" i="81"/>
  <c r="J79" i="81"/>
  <c r="K79" i="81"/>
  <c r="L79" i="81"/>
  <c r="M79" i="81"/>
  <c r="N79" i="81"/>
  <c r="O79" i="81"/>
  <c r="P79" i="81"/>
  <c r="Q79" i="81"/>
  <c r="A80" i="81"/>
  <c r="N80" i="81" l="1"/>
  <c r="O80" i="81"/>
  <c r="P80" i="81"/>
  <c r="Q80" i="81"/>
  <c r="B80" i="81"/>
  <c r="R80" i="81"/>
  <c r="C80" i="81"/>
  <c r="S80" i="81"/>
  <c r="D80" i="81"/>
  <c r="T80" i="81"/>
  <c r="E80" i="81"/>
  <c r="L80" i="65" s="1"/>
  <c r="G80" i="81"/>
  <c r="H80" i="81"/>
  <c r="I80" i="81"/>
  <c r="K80" i="81"/>
  <c r="L80" i="81"/>
  <c r="M80" i="81"/>
  <c r="U80" i="81"/>
  <c r="F80" i="81"/>
  <c r="J80" i="81"/>
  <c r="A81" i="81"/>
  <c r="J81" i="81" l="1"/>
  <c r="K81" i="81"/>
  <c r="L81" i="81"/>
  <c r="M81" i="81"/>
  <c r="N81" i="81"/>
  <c r="O81" i="81"/>
  <c r="P81" i="81"/>
  <c r="H81" i="81"/>
  <c r="Q81" i="81"/>
  <c r="R81" i="81"/>
  <c r="S81" i="81"/>
  <c r="U81" i="81"/>
  <c r="B81" i="81"/>
  <c r="D81" i="81"/>
  <c r="E81" i="81"/>
  <c r="L81" i="65" s="1"/>
  <c r="F81" i="81"/>
  <c r="G81" i="81"/>
  <c r="T81" i="81"/>
  <c r="I81" i="81"/>
  <c r="C81" i="81"/>
  <c r="A82" i="81"/>
  <c r="F82" i="81" l="1"/>
  <c r="G82" i="81"/>
  <c r="H82" i="81"/>
  <c r="I82" i="81"/>
  <c r="J82" i="81"/>
  <c r="K82" i="81"/>
  <c r="L82" i="81"/>
  <c r="R82" i="81"/>
  <c r="T82" i="81"/>
  <c r="U82" i="81"/>
  <c r="B82" i="81"/>
  <c r="C82" i="81"/>
  <c r="D82" i="81"/>
  <c r="E82" i="81"/>
  <c r="L82" i="65" s="1"/>
  <c r="M82" i="81"/>
  <c r="N82" i="81"/>
  <c r="O82" i="81"/>
  <c r="P82" i="81"/>
  <c r="Q82" i="81"/>
  <c r="S82" i="81"/>
  <c r="A83" i="81"/>
  <c r="B83" i="81" l="1"/>
  <c r="R83" i="81"/>
  <c r="C83" i="81"/>
  <c r="S83" i="81"/>
  <c r="D83" i="81"/>
  <c r="T83" i="81"/>
  <c r="G83" i="81"/>
  <c r="H83" i="81"/>
  <c r="E83" i="81"/>
  <c r="L83" i="65" s="1"/>
  <c r="I83" i="81"/>
  <c r="J83" i="81"/>
  <c r="K83" i="81"/>
  <c r="L83" i="81"/>
  <c r="M83" i="81"/>
  <c r="Q83" i="81"/>
  <c r="U83" i="81"/>
  <c r="F83" i="81"/>
  <c r="N83" i="81"/>
  <c r="O83" i="81"/>
  <c r="P83" i="81"/>
  <c r="A84" i="81"/>
  <c r="N84" i="81" l="1"/>
  <c r="O84" i="81"/>
  <c r="P84" i="81"/>
  <c r="C84" i="81"/>
  <c r="S84" i="81"/>
  <c r="D84" i="81"/>
  <c r="T84" i="81"/>
  <c r="B84" i="81"/>
  <c r="F84" i="81"/>
  <c r="G84" i="81"/>
  <c r="H84" i="81"/>
  <c r="J84" i="81"/>
  <c r="K84" i="81"/>
  <c r="L84" i="81"/>
  <c r="M84" i="81"/>
  <c r="Q84" i="81"/>
  <c r="E84" i="81"/>
  <c r="L84" i="65" s="1"/>
  <c r="I84" i="81"/>
  <c r="U84" i="81"/>
  <c r="R84" i="81"/>
  <c r="A85" i="81"/>
  <c r="J85" i="81" l="1"/>
  <c r="K85" i="81"/>
  <c r="L85" i="81"/>
  <c r="O85" i="81"/>
  <c r="P85" i="81"/>
  <c r="E85" i="81"/>
  <c r="L85" i="65" s="1"/>
  <c r="G85" i="81"/>
  <c r="H85" i="81"/>
  <c r="I85" i="81"/>
  <c r="N85" i="81"/>
  <c r="Q85" i="81"/>
  <c r="R85" i="81"/>
  <c r="S85" i="81"/>
  <c r="B85" i="81"/>
  <c r="C85" i="81"/>
  <c r="D85" i="81"/>
  <c r="F85" i="81"/>
  <c r="M85" i="81"/>
  <c r="T85" i="81"/>
  <c r="U85" i="81"/>
  <c r="A86" i="81"/>
  <c r="F86" i="81" l="1"/>
  <c r="G86" i="81"/>
  <c r="H86" i="81"/>
  <c r="K86" i="81"/>
  <c r="L86" i="81"/>
  <c r="I86" i="81"/>
  <c r="M86" i="81"/>
  <c r="N86" i="81"/>
  <c r="O86" i="81"/>
  <c r="Q86" i="81"/>
  <c r="R86" i="81"/>
  <c r="S86" i="81"/>
  <c r="T86" i="81"/>
  <c r="E86" i="81"/>
  <c r="L86" i="65" s="1"/>
  <c r="J86" i="81"/>
  <c r="P86" i="81"/>
  <c r="U86" i="81"/>
  <c r="D86" i="81"/>
  <c r="B86" i="81"/>
  <c r="C86" i="81"/>
  <c r="A87" i="81"/>
  <c r="B87" i="81" l="1"/>
  <c r="R87" i="81"/>
  <c r="C87" i="81"/>
  <c r="S87" i="81"/>
  <c r="D87" i="81"/>
  <c r="G87" i="81"/>
  <c r="H87" i="81"/>
  <c r="L87" i="81"/>
  <c r="N87" i="81"/>
  <c r="O87" i="81"/>
  <c r="P87" i="81"/>
  <c r="T87" i="81"/>
  <c r="U87" i="81"/>
  <c r="F87" i="81"/>
  <c r="I87" i="81"/>
  <c r="J87" i="81"/>
  <c r="K87" i="81"/>
  <c r="E87" i="81"/>
  <c r="L87" i="65" s="1"/>
  <c r="M87" i="81"/>
  <c r="Q87" i="81"/>
  <c r="A88" i="81"/>
  <c r="N88" i="81" l="1"/>
  <c r="O88" i="81"/>
  <c r="C88" i="81"/>
  <c r="S88" i="81"/>
  <c r="D88" i="81"/>
  <c r="L88" i="81"/>
  <c r="P88" i="81"/>
  <c r="Q88" i="81"/>
  <c r="R88" i="81"/>
  <c r="U88" i="81"/>
  <c r="B88" i="81"/>
  <c r="E88" i="81"/>
  <c r="L88" i="65" s="1"/>
  <c r="K88" i="81"/>
  <c r="M88" i="81"/>
  <c r="T88" i="81"/>
  <c r="F88" i="81"/>
  <c r="G88" i="81"/>
  <c r="H88" i="81"/>
  <c r="I88" i="81"/>
  <c r="J88" i="81"/>
  <c r="A89" i="81"/>
  <c r="J89" i="81" l="1"/>
  <c r="K89" i="81"/>
  <c r="O89" i="81"/>
  <c r="M89" i="81"/>
  <c r="P89" i="81"/>
  <c r="Q89" i="81"/>
  <c r="R89" i="81"/>
  <c r="T89" i="81"/>
  <c r="B89" i="81"/>
  <c r="U89" i="81"/>
  <c r="C89" i="81"/>
  <c r="D89" i="81"/>
  <c r="E89" i="81"/>
  <c r="L89" i="65" s="1"/>
  <c r="G89" i="81"/>
  <c r="H89" i="81"/>
  <c r="I89" i="81"/>
  <c r="L89" i="81"/>
  <c r="F89" i="81"/>
  <c r="N89" i="81"/>
  <c r="S89" i="81"/>
  <c r="A90" i="81"/>
  <c r="F90" i="81" l="1"/>
  <c r="G90" i="81"/>
  <c r="K90" i="81"/>
  <c r="M90" i="81"/>
  <c r="O90" i="81"/>
  <c r="P90" i="81"/>
  <c r="Q90" i="81"/>
  <c r="S90" i="81"/>
  <c r="T90" i="81"/>
  <c r="B90" i="81"/>
  <c r="U90" i="81"/>
  <c r="C90" i="81"/>
  <c r="L90" i="81"/>
  <c r="N90" i="81"/>
  <c r="R90" i="81"/>
  <c r="J90" i="81"/>
  <c r="D90" i="81"/>
  <c r="E90" i="81"/>
  <c r="L90" i="65" s="1"/>
  <c r="H90" i="81"/>
  <c r="I90" i="81"/>
  <c r="A91" i="81"/>
  <c r="B91" i="81" l="1"/>
  <c r="R91" i="81"/>
  <c r="C91" i="81"/>
  <c r="G91" i="81"/>
  <c r="L91" i="81"/>
  <c r="N91" i="81"/>
  <c r="O91" i="81"/>
  <c r="P91" i="81"/>
  <c r="S91" i="81"/>
  <c r="T91" i="81"/>
  <c r="U91" i="81"/>
  <c r="D91" i="81"/>
  <c r="E91" i="81"/>
  <c r="L91" i="65" s="1"/>
  <c r="H91" i="81"/>
  <c r="I91" i="81"/>
  <c r="J91" i="81"/>
  <c r="K91" i="81"/>
  <c r="F91" i="81"/>
  <c r="M91" i="81"/>
  <c r="Q91" i="81"/>
  <c r="A92" i="81"/>
  <c r="N92" i="81" l="1"/>
  <c r="C92" i="81"/>
  <c r="S92" i="81"/>
  <c r="J92" i="81"/>
  <c r="L92" i="81"/>
  <c r="M92" i="81"/>
  <c r="O92" i="81"/>
  <c r="Q92" i="81"/>
  <c r="R92" i="81"/>
  <c r="T92" i="81"/>
  <c r="B92" i="81"/>
  <c r="U92" i="81"/>
  <c r="I92" i="81"/>
  <c r="K92" i="81"/>
  <c r="P92" i="81"/>
  <c r="D92" i="81"/>
  <c r="E92" i="81"/>
  <c r="L92" i="65" s="1"/>
  <c r="F92" i="81"/>
  <c r="G92" i="81"/>
  <c r="H92" i="81"/>
  <c r="A93" i="81"/>
  <c r="J93" i="81" l="1"/>
  <c r="O93" i="81"/>
  <c r="H93" i="81"/>
  <c r="K93" i="81"/>
  <c r="L93" i="81"/>
  <c r="M93" i="81"/>
  <c r="P93" i="81"/>
  <c r="Q93" i="81"/>
  <c r="R93" i="81"/>
  <c r="S93" i="81"/>
  <c r="B93" i="81"/>
  <c r="D93" i="81"/>
  <c r="E93" i="81"/>
  <c r="L93" i="65" s="1"/>
  <c r="F93" i="81"/>
  <c r="G93" i="81"/>
  <c r="C93" i="81"/>
  <c r="I93" i="81"/>
  <c r="N93" i="81"/>
  <c r="T93" i="81"/>
  <c r="U93" i="81"/>
  <c r="A94" i="81"/>
  <c r="F94" i="81" l="1"/>
  <c r="K94" i="81"/>
  <c r="G94" i="81"/>
  <c r="I94" i="81"/>
  <c r="J94" i="81"/>
  <c r="L94" i="81"/>
  <c r="N94" i="81"/>
  <c r="O94" i="81"/>
  <c r="P94" i="81"/>
  <c r="Q94" i="81"/>
  <c r="E94" i="81"/>
  <c r="L94" i="65" s="1"/>
  <c r="H94" i="81"/>
  <c r="M94" i="81"/>
  <c r="R94" i="81"/>
  <c r="T94" i="81"/>
  <c r="U94" i="81"/>
  <c r="S94" i="81"/>
  <c r="D94" i="81"/>
  <c r="B94" i="81"/>
  <c r="C94" i="81"/>
  <c r="A95" i="81"/>
  <c r="B95" i="81" l="1"/>
  <c r="R95" i="81"/>
  <c r="G95" i="81"/>
  <c r="E95" i="81"/>
  <c r="L95" i="65" s="1"/>
  <c r="H95" i="81"/>
  <c r="I95" i="81"/>
  <c r="J95" i="81"/>
  <c r="L95" i="81"/>
  <c r="M95" i="81"/>
  <c r="N95" i="81"/>
  <c r="O95" i="81"/>
  <c r="C95" i="81"/>
  <c r="D95" i="81"/>
  <c r="F95" i="81"/>
  <c r="K95" i="81"/>
  <c r="P95" i="81"/>
  <c r="Q95" i="81"/>
  <c r="S95" i="81"/>
  <c r="T95" i="81"/>
  <c r="U95" i="81"/>
  <c r="A96" i="81"/>
  <c r="N96" i="81" l="1"/>
  <c r="C96" i="81"/>
  <c r="S96" i="81"/>
  <c r="D96" i="81"/>
  <c r="F96" i="81"/>
  <c r="G96" i="81"/>
  <c r="H96" i="81"/>
  <c r="J96" i="81"/>
  <c r="K96" i="81"/>
  <c r="L96" i="81"/>
  <c r="M96" i="81"/>
  <c r="B96" i="81"/>
  <c r="E96" i="81"/>
  <c r="L96" i="65" s="1"/>
  <c r="I96" i="81"/>
  <c r="O96" i="81"/>
  <c r="Q96" i="81"/>
  <c r="R96" i="81"/>
  <c r="T96" i="81"/>
  <c r="U96" i="81"/>
  <c r="P96" i="81"/>
  <c r="A97" i="81"/>
  <c r="J97" i="81" l="1"/>
  <c r="O97" i="81"/>
  <c r="B97" i="81"/>
  <c r="T97" i="81"/>
  <c r="D97" i="81"/>
  <c r="E97" i="81"/>
  <c r="L97" i="65" s="1"/>
  <c r="F97" i="81"/>
  <c r="H97" i="81"/>
  <c r="I97" i="81"/>
  <c r="K97" i="81"/>
  <c r="L97" i="81"/>
  <c r="S97" i="81"/>
  <c r="U97" i="81"/>
  <c r="C97" i="81"/>
  <c r="G97" i="81"/>
  <c r="R97" i="81"/>
  <c r="M97" i="81"/>
  <c r="N97" i="81"/>
  <c r="P97" i="81"/>
  <c r="Q97" i="81"/>
  <c r="A98" i="81"/>
  <c r="F98" i="81" l="1"/>
  <c r="K98" i="81"/>
  <c r="R98" i="81"/>
  <c r="B98" i="81"/>
  <c r="T98" i="81"/>
  <c r="C98" i="81"/>
  <c r="U98" i="81"/>
  <c r="D98" i="81"/>
  <c r="G98" i="81"/>
  <c r="H98" i="81"/>
  <c r="I98" i="81"/>
  <c r="J98" i="81"/>
  <c r="E98" i="81"/>
  <c r="L98" i="65" s="1"/>
  <c r="L98" i="81"/>
  <c r="N98" i="81"/>
  <c r="O98" i="81"/>
  <c r="P98" i="81"/>
  <c r="Q98" i="81"/>
  <c r="M98" i="81"/>
  <c r="S98" i="81"/>
  <c r="A99" i="81"/>
  <c r="B99" i="81" l="1"/>
  <c r="R99" i="81"/>
  <c r="G99" i="81"/>
  <c r="P99" i="81"/>
  <c r="S99" i="81"/>
  <c r="T99" i="81"/>
  <c r="C99" i="81"/>
  <c r="U99" i="81"/>
  <c r="E99" i="81"/>
  <c r="L99" i="65" s="1"/>
  <c r="F99" i="81"/>
  <c r="H99" i="81"/>
  <c r="I99" i="81"/>
  <c r="O99" i="81"/>
  <c r="Q99" i="81"/>
  <c r="D99" i="81"/>
  <c r="J99" i="81"/>
  <c r="K99" i="81"/>
  <c r="L99" i="81"/>
  <c r="M99" i="81"/>
  <c r="N99" i="81"/>
  <c r="A100" i="81"/>
  <c r="N100" i="81" l="1"/>
  <c r="C100" i="81"/>
  <c r="S100" i="81"/>
  <c r="O100" i="81"/>
  <c r="Q100" i="81"/>
  <c r="R100" i="81"/>
  <c r="T100" i="81"/>
  <c r="D100" i="81"/>
  <c r="E100" i="81"/>
  <c r="L100" i="65" s="1"/>
  <c r="F100" i="81"/>
  <c r="G100" i="81"/>
  <c r="B100" i="81"/>
  <c r="H100" i="81"/>
  <c r="J100" i="81"/>
  <c r="K100" i="81"/>
  <c r="L100" i="81"/>
  <c r="I100" i="81"/>
  <c r="M100" i="81"/>
  <c r="P100" i="81"/>
  <c r="U100" i="81"/>
  <c r="A101" i="81"/>
  <c r="J101" i="81" l="1"/>
  <c r="O101" i="81"/>
  <c r="M101" i="81"/>
  <c r="P101" i="81"/>
  <c r="Q101" i="81"/>
  <c r="R101" i="81"/>
  <c r="B101" i="81"/>
  <c r="T101" i="81"/>
  <c r="C101" i="81"/>
  <c r="U101" i="81"/>
  <c r="D101" i="81"/>
  <c r="E101" i="81"/>
  <c r="L101" i="65" s="1"/>
  <c r="L101" i="81"/>
  <c r="N101" i="81"/>
  <c r="S101" i="81"/>
  <c r="K101" i="81"/>
  <c r="I101" i="81"/>
  <c r="F101" i="81"/>
  <c r="G101" i="81"/>
  <c r="H101" i="81"/>
  <c r="A102" i="81"/>
  <c r="F102" i="81" l="1"/>
  <c r="K102" i="81"/>
  <c r="L102" i="81"/>
  <c r="N102" i="81"/>
  <c r="O102" i="81"/>
  <c r="P102" i="81"/>
  <c r="R102" i="81"/>
  <c r="S102" i="81"/>
  <c r="B102" i="81"/>
  <c r="T102" i="81"/>
  <c r="C102" i="81"/>
  <c r="U102" i="81"/>
  <c r="D102" i="81"/>
  <c r="G102" i="81"/>
  <c r="H102" i="81"/>
  <c r="I102" i="81"/>
  <c r="E102" i="81"/>
  <c r="L102" i="65" s="1"/>
  <c r="J102" i="81"/>
  <c r="M102" i="81"/>
  <c r="Q102" i="81"/>
  <c r="A103" i="81"/>
  <c r="B103" i="81" l="1"/>
  <c r="R103" i="81"/>
  <c r="G103" i="81"/>
  <c r="J103" i="81"/>
  <c r="L103" i="81"/>
  <c r="M103" i="81"/>
  <c r="N103" i="81"/>
  <c r="P103" i="81"/>
  <c r="Q103" i="81"/>
  <c r="S103" i="81"/>
  <c r="T103" i="81"/>
  <c r="I103" i="81"/>
  <c r="K103" i="81"/>
  <c r="O103" i="81"/>
  <c r="U103" i="81"/>
  <c r="C103" i="81"/>
  <c r="D103" i="81"/>
  <c r="E103" i="81"/>
  <c r="L103" i="65" s="1"/>
  <c r="F103" i="81"/>
  <c r="H103" i="81"/>
  <c r="A104" i="81"/>
  <c r="N104" i="81" l="1"/>
  <c r="C104" i="81"/>
  <c r="S104" i="81"/>
  <c r="H104" i="81"/>
  <c r="J104" i="81"/>
  <c r="K104" i="81"/>
  <c r="L104" i="81"/>
  <c r="O104" i="81"/>
  <c r="P104" i="81"/>
  <c r="Q104" i="81"/>
  <c r="R104" i="81"/>
  <c r="D104" i="81"/>
  <c r="E104" i="81"/>
  <c r="L104" i="65" s="1"/>
  <c r="F104" i="81"/>
  <c r="B104" i="81"/>
  <c r="U104" i="81"/>
  <c r="G104" i="81"/>
  <c r="I104" i="81"/>
  <c r="M104" i="81"/>
  <c r="T104" i="81"/>
  <c r="A105" i="81"/>
  <c r="J105" i="81" l="1"/>
  <c r="O105" i="81"/>
  <c r="F105" i="81"/>
  <c r="H105" i="81"/>
  <c r="I105" i="81"/>
  <c r="K105" i="81"/>
  <c r="M105" i="81"/>
  <c r="N105" i="81"/>
  <c r="P105" i="81"/>
  <c r="Q105" i="81"/>
  <c r="E105" i="81"/>
  <c r="L105" i="65" s="1"/>
  <c r="G105" i="81"/>
  <c r="L105" i="81"/>
  <c r="R105" i="81"/>
  <c r="T105" i="81"/>
  <c r="U105" i="81"/>
  <c r="B105" i="81"/>
  <c r="C105" i="81"/>
  <c r="D105" i="81"/>
  <c r="S105" i="81"/>
  <c r="A106" i="81"/>
  <c r="F106" i="81" l="1"/>
  <c r="K106" i="81"/>
  <c r="D106" i="81"/>
  <c r="G106" i="81"/>
  <c r="H106" i="81"/>
  <c r="I106" i="81"/>
  <c r="L106" i="81"/>
  <c r="M106" i="81"/>
  <c r="N106" i="81"/>
  <c r="O106" i="81"/>
  <c r="U106" i="81"/>
  <c r="B106" i="81"/>
  <c r="C106" i="81"/>
  <c r="E106" i="81"/>
  <c r="L106" i="65" s="1"/>
  <c r="J106" i="81"/>
  <c r="P106" i="81"/>
  <c r="Q106" i="81"/>
  <c r="R106" i="81"/>
  <c r="S106" i="81"/>
  <c r="T106" i="81"/>
  <c r="A107" i="81"/>
  <c r="B107" i="81" l="1"/>
  <c r="R107" i="81"/>
  <c r="G107" i="81"/>
  <c r="C107" i="81"/>
  <c r="U107" i="81"/>
  <c r="E107" i="81"/>
  <c r="L107" i="65" s="1"/>
  <c r="F107" i="81"/>
  <c r="H107" i="81"/>
  <c r="J107" i="81"/>
  <c r="K107" i="81"/>
  <c r="L107" i="81"/>
  <c r="M107" i="81"/>
  <c r="D107" i="81"/>
  <c r="I107" i="81"/>
  <c r="N107" i="81"/>
  <c r="P107" i="81"/>
  <c r="Q107" i="81"/>
  <c r="S107" i="81"/>
  <c r="O107" i="81"/>
  <c r="T107" i="81"/>
  <c r="A108" i="81"/>
  <c r="N108" i="81" l="1"/>
  <c r="C108" i="81"/>
  <c r="S108" i="81"/>
  <c r="T108" i="81"/>
  <c r="D108" i="81"/>
  <c r="E108" i="81"/>
  <c r="L108" i="65" s="1"/>
  <c r="F108" i="81"/>
  <c r="H108" i="81"/>
  <c r="I108" i="81"/>
  <c r="J108" i="81"/>
  <c r="K108" i="81"/>
  <c r="R108" i="81"/>
  <c r="U108" i="81"/>
  <c r="L108" i="81"/>
  <c r="M108" i="81"/>
  <c r="O108" i="81"/>
  <c r="P108" i="81"/>
  <c r="Q108" i="81"/>
  <c r="G108" i="81"/>
  <c r="B108" i="81"/>
  <c r="A109" i="81"/>
  <c r="J109" i="81" l="1"/>
  <c r="Q109" i="81"/>
  <c r="B109" i="81"/>
  <c r="S109" i="81"/>
  <c r="C109" i="81"/>
  <c r="T109" i="81"/>
  <c r="D109" i="81"/>
  <c r="U109" i="81"/>
  <c r="F109" i="81"/>
  <c r="G109" i="81"/>
  <c r="H109" i="81"/>
  <c r="E109" i="81"/>
  <c r="L109" i="65" s="1"/>
  <c r="I109" i="81"/>
  <c r="L109" i="81"/>
  <c r="M109" i="81"/>
  <c r="N109" i="81"/>
  <c r="K109" i="81"/>
  <c r="O109" i="81"/>
  <c r="P109" i="81"/>
  <c r="R109" i="81"/>
  <c r="A110" i="81"/>
  <c r="F110" i="81" l="1"/>
  <c r="N110" i="81"/>
  <c r="P110" i="81"/>
  <c r="Q110" i="81"/>
  <c r="R110" i="81"/>
  <c r="C110" i="81"/>
  <c r="T110" i="81"/>
  <c r="D110" i="81"/>
  <c r="U110" i="81"/>
  <c r="E110" i="81"/>
  <c r="L110" i="65" s="1"/>
  <c r="K110" i="81"/>
  <c r="L110" i="81"/>
  <c r="M110" i="81"/>
  <c r="O110" i="81"/>
  <c r="B110" i="81"/>
  <c r="G110" i="81"/>
  <c r="H110" i="81"/>
  <c r="I110" i="81"/>
  <c r="J110" i="81"/>
  <c r="S110" i="81"/>
  <c r="A111" i="81"/>
  <c r="B111" i="81" l="1"/>
  <c r="R111" i="81"/>
  <c r="K111" i="81"/>
  <c r="M111" i="81"/>
  <c r="N111" i="81"/>
  <c r="O111" i="81"/>
  <c r="Q111" i="81"/>
  <c r="S111" i="81"/>
  <c r="C111" i="81"/>
  <c r="T111" i="81"/>
  <c r="D111" i="81"/>
  <c r="E111" i="81"/>
  <c r="L111" i="65" s="1"/>
  <c r="G111" i="81"/>
  <c r="H111" i="81"/>
  <c r="I111" i="81"/>
  <c r="J111" i="81"/>
  <c r="L111" i="81"/>
  <c r="P111" i="81"/>
  <c r="U111" i="81"/>
  <c r="F111" i="81"/>
  <c r="A112" i="81"/>
  <c r="N112" i="81" l="1"/>
  <c r="H112" i="81"/>
  <c r="J112" i="81"/>
  <c r="K112" i="81"/>
  <c r="L112" i="81"/>
  <c r="O112" i="81"/>
  <c r="P112" i="81"/>
  <c r="Q112" i="81"/>
  <c r="C112" i="81"/>
  <c r="D112" i="81"/>
  <c r="E112" i="81"/>
  <c r="L112" i="65" s="1"/>
  <c r="F112" i="81"/>
  <c r="I112" i="81"/>
  <c r="M112" i="81"/>
  <c r="B112" i="81"/>
  <c r="G112" i="81"/>
  <c r="R112" i="81"/>
  <c r="S112" i="81"/>
  <c r="T112" i="81"/>
  <c r="U112" i="81"/>
  <c r="A113" i="81"/>
  <c r="J113" i="81" l="1"/>
  <c r="E113" i="81"/>
  <c r="L113" i="65" s="1"/>
  <c r="G113" i="81"/>
  <c r="H113" i="81"/>
  <c r="I113" i="81"/>
  <c r="L113" i="81"/>
  <c r="M113" i="81"/>
  <c r="N113" i="81"/>
  <c r="O113" i="81"/>
  <c r="P113" i="81"/>
  <c r="Q113" i="81"/>
  <c r="R113" i="81"/>
  <c r="T113" i="81"/>
  <c r="U113" i="81"/>
  <c r="F113" i="81"/>
  <c r="K113" i="81"/>
  <c r="S113" i="81"/>
  <c r="D113" i="81"/>
  <c r="B113" i="81"/>
  <c r="C113" i="81"/>
  <c r="A114" i="81"/>
  <c r="F114" i="81" l="1"/>
  <c r="B114" i="81"/>
  <c r="S114" i="81"/>
  <c r="D114" i="81"/>
  <c r="U114" i="81"/>
  <c r="E114" i="81"/>
  <c r="L114" i="65" s="1"/>
  <c r="G114" i="81"/>
  <c r="I114" i="81"/>
  <c r="J114" i="81"/>
  <c r="K114" i="81"/>
  <c r="T114" i="81"/>
  <c r="C114" i="81"/>
  <c r="H114" i="81"/>
  <c r="L114" i="81"/>
  <c r="M114" i="81"/>
  <c r="N114" i="81"/>
  <c r="O114" i="81"/>
  <c r="P114" i="81"/>
  <c r="Q114" i="81"/>
  <c r="R114" i="81"/>
  <c r="A115" i="81"/>
  <c r="B115" i="81" l="1"/>
  <c r="R115" i="81"/>
  <c r="P115" i="81"/>
  <c r="S115" i="81"/>
  <c r="C115" i="81"/>
  <c r="T115" i="81"/>
  <c r="D115" i="81"/>
  <c r="U115" i="81"/>
  <c r="F115" i="81"/>
  <c r="G115" i="81"/>
  <c r="H115" i="81"/>
  <c r="E115" i="81"/>
  <c r="L115" i="65" s="1"/>
  <c r="I115" i="81"/>
  <c r="J115" i="81"/>
  <c r="L115" i="81"/>
  <c r="M115" i="81"/>
  <c r="Q115" i="81"/>
  <c r="K115" i="81"/>
  <c r="N115" i="81"/>
  <c r="O115" i="81"/>
  <c r="A116" i="81"/>
  <c r="N116" i="81" l="1"/>
  <c r="M116" i="81"/>
  <c r="P116" i="81"/>
  <c r="Q116" i="81"/>
  <c r="C116" i="81"/>
  <c r="T116" i="81"/>
  <c r="D116" i="81"/>
  <c r="U116" i="81"/>
  <c r="E116" i="81"/>
  <c r="L116" i="65" s="1"/>
  <c r="K116" i="81"/>
  <c r="L116" i="81"/>
  <c r="O116" i="81"/>
  <c r="R116" i="81"/>
  <c r="B116" i="81"/>
  <c r="F116" i="81"/>
  <c r="G116" i="81"/>
  <c r="H116" i="81"/>
  <c r="I116" i="81"/>
  <c r="J116" i="81"/>
  <c r="S116" i="81"/>
  <c r="A117" i="81"/>
  <c r="J117" i="81" l="1"/>
  <c r="K117" i="81"/>
  <c r="M117" i="81"/>
  <c r="Q117" i="81"/>
  <c r="R117" i="81"/>
  <c r="P117" i="81"/>
  <c r="S117" i="81"/>
  <c r="T117" i="81"/>
  <c r="U117" i="81"/>
  <c r="B117" i="81"/>
  <c r="C117" i="81"/>
  <c r="D117" i="81"/>
  <c r="E117" i="81"/>
  <c r="L117" i="65" s="1"/>
  <c r="F117" i="81"/>
  <c r="G117" i="81"/>
  <c r="O117" i="81"/>
  <c r="H117" i="81"/>
  <c r="I117" i="81"/>
  <c r="L117" i="81"/>
  <c r="N117" i="81"/>
  <c r="A118" i="81"/>
  <c r="F118" i="81" l="1"/>
  <c r="H118" i="81"/>
  <c r="J118" i="81"/>
  <c r="N118" i="81"/>
  <c r="O118" i="81"/>
  <c r="S118" i="81"/>
  <c r="T118" i="81"/>
  <c r="U118" i="81"/>
  <c r="C118" i="81"/>
  <c r="D118" i="81"/>
  <c r="B118" i="81"/>
  <c r="E118" i="81"/>
  <c r="L118" i="65" s="1"/>
  <c r="G118" i="81"/>
  <c r="I118" i="81"/>
  <c r="K118" i="81"/>
  <c r="L118" i="81"/>
  <c r="M118" i="81"/>
  <c r="P118" i="81"/>
  <c r="Q118" i="81"/>
  <c r="R118" i="81"/>
  <c r="A119" i="81"/>
  <c r="B119" i="81" l="1"/>
  <c r="R119" i="81"/>
  <c r="E119" i="81"/>
  <c r="L119" i="65" s="1"/>
  <c r="G119" i="81"/>
  <c r="K119" i="81"/>
  <c r="L119" i="81"/>
  <c r="U119" i="81"/>
  <c r="C119" i="81"/>
  <c r="F119" i="81"/>
  <c r="H119" i="81"/>
  <c r="P119" i="81"/>
  <c r="Q119" i="81"/>
  <c r="S119" i="81"/>
  <c r="T119" i="81"/>
  <c r="D119" i="81"/>
  <c r="O119" i="81"/>
  <c r="I119" i="81"/>
  <c r="J119" i="81"/>
  <c r="M119" i="81"/>
  <c r="N119" i="81"/>
  <c r="A120" i="81"/>
  <c r="N120" i="81" l="1"/>
  <c r="B120" i="81"/>
  <c r="S120" i="81"/>
  <c r="D120" i="81"/>
  <c r="U120" i="81"/>
  <c r="H120" i="81"/>
  <c r="I120" i="81"/>
  <c r="C120" i="81"/>
  <c r="E120" i="81"/>
  <c r="L120" i="65" s="1"/>
  <c r="F120" i="81"/>
  <c r="J120" i="81"/>
  <c r="K120" i="81"/>
  <c r="G120" i="81"/>
  <c r="L120" i="81"/>
  <c r="M120" i="81"/>
  <c r="O120" i="81"/>
  <c r="P120" i="81"/>
  <c r="Q120" i="81"/>
  <c r="R120" i="81"/>
  <c r="T120" i="81"/>
  <c r="A121" i="81"/>
  <c r="J121" i="81" l="1"/>
  <c r="P121" i="81"/>
  <c r="R121" i="81"/>
  <c r="E121" i="81"/>
  <c r="L121" i="65" s="1"/>
  <c r="F121" i="81"/>
  <c r="D121" i="81"/>
  <c r="G121" i="81"/>
  <c r="H121" i="81"/>
  <c r="I121" i="81"/>
  <c r="L121" i="81"/>
  <c r="M121" i="81"/>
  <c r="O121" i="81"/>
  <c r="Q121" i="81"/>
  <c r="S121" i="81"/>
  <c r="T121" i="81"/>
  <c r="U121" i="81"/>
  <c r="N121" i="81"/>
  <c r="B121" i="81"/>
  <c r="C121" i="81"/>
  <c r="K121" i="81"/>
  <c r="A122" i="81"/>
  <c r="F122" i="81" l="1"/>
  <c r="M122" i="81"/>
  <c r="O122" i="81"/>
  <c r="B122" i="81"/>
  <c r="S122" i="81"/>
  <c r="C122" i="81"/>
  <c r="T122" i="81"/>
  <c r="H122" i="81"/>
  <c r="I122" i="81"/>
  <c r="J122" i="81"/>
  <c r="K122" i="81"/>
  <c r="N122" i="81"/>
  <c r="P122" i="81"/>
  <c r="D122" i="81"/>
  <c r="E122" i="81"/>
  <c r="L122" i="65" s="1"/>
  <c r="G122" i="81"/>
  <c r="L122" i="81"/>
  <c r="Q122" i="81"/>
  <c r="R122" i="81"/>
  <c r="U122" i="81"/>
  <c r="A123" i="81"/>
  <c r="B123" i="81" l="1"/>
  <c r="R123" i="81"/>
  <c r="J123" i="81"/>
  <c r="L123" i="81"/>
  <c r="P123" i="81"/>
  <c r="Q123" i="81"/>
  <c r="I123" i="81"/>
  <c r="K123" i="81"/>
  <c r="M123" i="81"/>
  <c r="N123" i="81"/>
  <c r="S123" i="81"/>
  <c r="T123" i="81"/>
  <c r="G123" i="81"/>
  <c r="H123" i="81"/>
  <c r="O123" i="81"/>
  <c r="U123" i="81"/>
  <c r="F123" i="81"/>
  <c r="C123" i="81"/>
  <c r="D123" i="81"/>
  <c r="E123" i="81"/>
  <c r="L123" i="65" s="1"/>
  <c r="A124" i="81"/>
  <c r="N124" i="81" l="1"/>
  <c r="G124" i="81"/>
  <c r="I124" i="81"/>
  <c r="M124" i="81"/>
  <c r="O124" i="81"/>
  <c r="L124" i="81"/>
  <c r="P124" i="81"/>
  <c r="Q124" i="81"/>
  <c r="R124" i="81"/>
  <c r="T124" i="81"/>
  <c r="U124" i="81"/>
  <c r="B124" i="81"/>
  <c r="C124" i="81"/>
  <c r="D124" i="81"/>
  <c r="E124" i="81"/>
  <c r="L124" i="65" s="1"/>
  <c r="F124" i="81"/>
  <c r="H124" i="81"/>
  <c r="J124" i="81"/>
  <c r="K124" i="81"/>
  <c r="S124" i="81"/>
  <c r="A125" i="81"/>
  <c r="J125" i="81" l="1"/>
  <c r="D125" i="81"/>
  <c r="U125" i="81"/>
  <c r="F125" i="81"/>
  <c r="K125" i="81"/>
  <c r="L125" i="81"/>
  <c r="P125" i="81"/>
  <c r="Q125" i="81"/>
  <c r="R125" i="81"/>
  <c r="S125" i="81"/>
  <c r="G125" i="81"/>
  <c r="H125" i="81"/>
  <c r="I125" i="81"/>
  <c r="M125" i="81"/>
  <c r="N125" i="81"/>
  <c r="O125" i="81"/>
  <c r="T125" i="81"/>
  <c r="E125" i="81"/>
  <c r="L125" i="65" s="1"/>
  <c r="B125" i="81"/>
  <c r="C125" i="81"/>
  <c r="A126" i="81"/>
  <c r="F126" i="81" l="1"/>
  <c r="R126" i="81"/>
  <c r="C126" i="81"/>
  <c r="T126" i="81"/>
  <c r="H126" i="81"/>
  <c r="I126" i="81"/>
  <c r="Q126" i="81"/>
  <c r="S126" i="81"/>
  <c r="U126" i="81"/>
  <c r="B126" i="81"/>
  <c r="D126" i="81"/>
  <c r="E126" i="81"/>
  <c r="L126" i="65" s="1"/>
  <c r="G126" i="81"/>
  <c r="J126" i="81"/>
  <c r="K126" i="81"/>
  <c r="P126" i="81"/>
  <c r="L126" i="81"/>
  <c r="M126" i="81"/>
  <c r="N126" i="81"/>
  <c r="O126" i="81"/>
  <c r="A127" i="81"/>
  <c r="B127" i="81" l="1"/>
  <c r="R127" i="81"/>
  <c r="O127" i="81"/>
  <c r="Q127" i="81"/>
  <c r="E127" i="81"/>
  <c r="L127" i="65" s="1"/>
  <c r="F127" i="81"/>
  <c r="U127" i="81"/>
  <c r="C127" i="81"/>
  <c r="G127" i="81"/>
  <c r="H127" i="81"/>
  <c r="D127" i="81"/>
  <c r="I127" i="81"/>
  <c r="J127" i="81"/>
  <c r="K127" i="81"/>
  <c r="L127" i="81"/>
  <c r="M127" i="81"/>
  <c r="N127" i="81"/>
  <c r="P127" i="81"/>
  <c r="S127" i="81"/>
  <c r="T127" i="81"/>
  <c r="A128" i="81"/>
  <c r="N128" i="81" l="1"/>
  <c r="L128" i="81"/>
  <c r="O128" i="81"/>
  <c r="B128" i="81"/>
  <c r="S128" i="81"/>
  <c r="C128" i="81"/>
  <c r="T128" i="81"/>
  <c r="D128" i="81"/>
  <c r="E128" i="81"/>
  <c r="L128" i="65" s="1"/>
  <c r="F128" i="81"/>
  <c r="H128" i="81"/>
  <c r="I128" i="81"/>
  <c r="R128" i="81"/>
  <c r="U128" i="81"/>
  <c r="G128" i="81"/>
  <c r="Q128" i="81"/>
  <c r="J128" i="81"/>
  <c r="K128" i="81"/>
  <c r="M128" i="81"/>
  <c r="P128" i="81"/>
  <c r="A129" i="81"/>
  <c r="J129" i="81" l="1"/>
  <c r="I129" i="81"/>
  <c r="L129" i="81"/>
  <c r="P129" i="81"/>
  <c r="Q129" i="81"/>
  <c r="D129" i="81"/>
  <c r="E129" i="81"/>
  <c r="L129" i="65" s="1"/>
  <c r="F129" i="81"/>
  <c r="G129" i="81"/>
  <c r="K129" i="81"/>
  <c r="M129" i="81"/>
  <c r="B129" i="81"/>
  <c r="C129" i="81"/>
  <c r="H129" i="81"/>
  <c r="N129" i="81"/>
  <c r="O129" i="81"/>
  <c r="R129" i="81"/>
  <c r="S129" i="81"/>
  <c r="T129" i="81"/>
  <c r="U129" i="81"/>
  <c r="A130" i="81"/>
  <c r="F130" i="81" l="1"/>
  <c r="G130" i="81"/>
  <c r="I130" i="81"/>
  <c r="M130" i="81"/>
  <c r="N130" i="81"/>
  <c r="E130" i="81"/>
  <c r="L130" i="65" s="1"/>
  <c r="H130" i="81"/>
  <c r="J130" i="81"/>
  <c r="K130" i="81"/>
  <c r="O130" i="81"/>
  <c r="P130" i="81"/>
  <c r="R130" i="81"/>
  <c r="S130" i="81"/>
  <c r="T130" i="81"/>
  <c r="U130" i="81"/>
  <c r="Q130" i="81"/>
  <c r="B130" i="81"/>
  <c r="C130" i="81"/>
  <c r="D130" i="81"/>
  <c r="L130" i="81"/>
  <c r="A131" i="81"/>
  <c r="B131" i="81" l="1"/>
  <c r="D131" i="81"/>
  <c r="T131" i="81"/>
  <c r="F131" i="81"/>
  <c r="J131" i="81"/>
  <c r="I131" i="81"/>
  <c r="K131" i="81"/>
  <c r="L131" i="81"/>
  <c r="O131" i="81"/>
  <c r="C131" i="81"/>
  <c r="E131" i="81"/>
  <c r="L131" i="65" s="1"/>
  <c r="G131" i="81"/>
  <c r="H131" i="81"/>
  <c r="M131" i="81"/>
  <c r="N131" i="81"/>
  <c r="P131" i="81"/>
  <c r="Q131" i="81"/>
  <c r="R131" i="81"/>
  <c r="S131" i="81"/>
  <c r="U131" i="81"/>
  <c r="A132" i="81"/>
  <c r="P132" i="81" l="1"/>
  <c r="B132" i="81"/>
  <c r="R132" i="81"/>
  <c r="F132" i="81"/>
  <c r="I132" i="81"/>
  <c r="J132" i="81"/>
  <c r="N132" i="81"/>
  <c r="D132" i="81"/>
  <c r="E132" i="81"/>
  <c r="L132" i="65" s="1"/>
  <c r="G132" i="81"/>
  <c r="H132" i="81"/>
  <c r="K132" i="81"/>
  <c r="L132" i="81"/>
  <c r="M132" i="81"/>
  <c r="O132" i="81"/>
  <c r="Q132" i="81"/>
  <c r="S132" i="81"/>
  <c r="T132" i="81"/>
  <c r="C132" i="81"/>
  <c r="U132" i="81"/>
  <c r="A133" i="81"/>
  <c r="L133" i="81" l="1"/>
  <c r="N133" i="81"/>
  <c r="B133" i="81"/>
  <c r="R133" i="81"/>
  <c r="H133" i="81"/>
  <c r="I133" i="81"/>
  <c r="O133" i="81"/>
  <c r="G133" i="81"/>
  <c r="J133" i="81"/>
  <c r="K133" i="81"/>
  <c r="M133" i="81"/>
  <c r="P133" i="81"/>
  <c r="Q133" i="81"/>
  <c r="S133" i="81"/>
  <c r="T133" i="81"/>
  <c r="U133" i="81"/>
  <c r="F133" i="81"/>
  <c r="E133" i="81"/>
  <c r="L133" i="65" s="1"/>
  <c r="C133" i="81"/>
  <c r="D133" i="81"/>
  <c r="A134" i="81"/>
  <c r="H134" i="81" l="1"/>
  <c r="J134" i="81"/>
  <c r="N134" i="81"/>
  <c r="G134" i="81"/>
  <c r="I134" i="81"/>
  <c r="O134" i="81"/>
  <c r="M134" i="81"/>
  <c r="P134" i="81"/>
  <c r="Q134" i="81"/>
  <c r="R134" i="81"/>
  <c r="S134" i="81"/>
  <c r="T134" i="81"/>
  <c r="U134" i="81"/>
  <c r="B134" i="81"/>
  <c r="C134" i="81"/>
  <c r="L134" i="81"/>
  <c r="D134" i="81"/>
  <c r="E134" i="81"/>
  <c r="L134" i="65" s="1"/>
  <c r="F134" i="81"/>
  <c r="K134" i="81"/>
  <c r="A135" i="81"/>
  <c r="D135" i="81" l="1"/>
  <c r="T135" i="81"/>
  <c r="F135" i="81"/>
  <c r="J135" i="81"/>
  <c r="H135" i="81"/>
  <c r="I135" i="81"/>
  <c r="N135" i="81"/>
  <c r="Q135" i="81"/>
  <c r="R135" i="81"/>
  <c r="S135" i="81"/>
  <c r="U135" i="81"/>
  <c r="B135" i="81"/>
  <c r="C135" i="81"/>
  <c r="E135" i="81"/>
  <c r="L135" i="65" s="1"/>
  <c r="G135" i="81"/>
  <c r="P135" i="81"/>
  <c r="K135" i="81"/>
  <c r="L135" i="81"/>
  <c r="M135" i="81"/>
  <c r="O135" i="81"/>
  <c r="A136" i="81"/>
  <c r="P136" i="81" l="1"/>
  <c r="B136" i="81"/>
  <c r="R136" i="81"/>
  <c r="G136" i="81"/>
  <c r="H136" i="81"/>
  <c r="L136" i="81"/>
  <c r="T136" i="81"/>
  <c r="U136" i="81"/>
  <c r="C136" i="81"/>
  <c r="D136" i="81"/>
  <c r="E136" i="81"/>
  <c r="L136" i="65" s="1"/>
  <c r="F136" i="81"/>
  <c r="I136" i="81"/>
  <c r="J136" i="81"/>
  <c r="K136" i="81"/>
  <c r="S136" i="81"/>
  <c r="M136" i="81"/>
  <c r="N136" i="81"/>
  <c r="O136" i="81"/>
  <c r="Q136" i="81"/>
  <c r="A137" i="81"/>
  <c r="L137" i="81" l="1"/>
  <c r="N137" i="81"/>
  <c r="E137" i="81"/>
  <c r="L137" i="65" s="1"/>
  <c r="F137" i="81"/>
  <c r="T137" i="81"/>
  <c r="U137" i="81"/>
  <c r="B137" i="81"/>
  <c r="C137" i="81"/>
  <c r="D137" i="81"/>
  <c r="G137" i="81"/>
  <c r="H137" i="81"/>
  <c r="I137" i="81"/>
  <c r="J137" i="81"/>
  <c r="K137" i="81"/>
  <c r="M137" i="81"/>
  <c r="S137" i="81"/>
  <c r="O137" i="81"/>
  <c r="P137" i="81"/>
  <c r="Q137" i="81"/>
  <c r="R137" i="81"/>
  <c r="A138" i="81"/>
  <c r="H138" i="81" l="1"/>
  <c r="J138" i="81"/>
  <c r="C138" i="81"/>
  <c r="U138" i="81"/>
  <c r="D138" i="81"/>
  <c r="T138" i="81"/>
  <c r="B138" i="81"/>
  <c r="E138" i="81"/>
  <c r="L138" i="65" s="1"/>
  <c r="F138" i="81"/>
  <c r="G138" i="81"/>
  <c r="I138" i="81"/>
  <c r="K138" i="81"/>
  <c r="L138" i="81"/>
  <c r="M138" i="81"/>
  <c r="N138" i="81"/>
  <c r="S138" i="81"/>
  <c r="O138" i="81"/>
  <c r="P138" i="81"/>
  <c r="Q138" i="81"/>
  <c r="R138" i="81"/>
  <c r="A139" i="81"/>
  <c r="D139" i="81" l="1"/>
  <c r="T139" i="81"/>
  <c r="F139" i="81"/>
  <c r="S139" i="81"/>
  <c r="B139" i="81"/>
  <c r="U139" i="81"/>
  <c r="C139" i="81"/>
  <c r="E139" i="81"/>
  <c r="L139" i="65" s="1"/>
  <c r="G139" i="81"/>
  <c r="H139" i="81"/>
  <c r="I139" i="81"/>
  <c r="J139" i="81"/>
  <c r="K139" i="81"/>
  <c r="L139" i="81"/>
  <c r="M139" i="81"/>
  <c r="N139" i="81"/>
  <c r="O139" i="81"/>
  <c r="P139" i="81"/>
  <c r="Q139" i="81"/>
  <c r="R139" i="81"/>
  <c r="A140" i="81"/>
  <c r="P140" i="81" l="1"/>
  <c r="B140" i="81"/>
  <c r="R140" i="81"/>
  <c r="S140" i="81"/>
  <c r="T140" i="81"/>
  <c r="D140" i="81"/>
  <c r="E140" i="81"/>
  <c r="L140" i="65" s="1"/>
  <c r="F140" i="81"/>
  <c r="G140" i="81"/>
  <c r="H140" i="81"/>
  <c r="I140" i="81"/>
  <c r="J140" i="81"/>
  <c r="K140" i="81"/>
  <c r="L140" i="81"/>
  <c r="M140" i="81"/>
  <c r="N140" i="81"/>
  <c r="C140" i="81"/>
  <c r="O140" i="81"/>
  <c r="Q140" i="81"/>
  <c r="U140" i="81"/>
  <c r="A141" i="81"/>
  <c r="L141" i="81" l="1"/>
  <c r="N141" i="81"/>
  <c r="Q141" i="81"/>
  <c r="R141" i="81"/>
  <c r="D141" i="81"/>
  <c r="E141" i="81"/>
  <c r="L141" i="65" s="1"/>
  <c r="F141" i="81"/>
  <c r="G141" i="81"/>
  <c r="H141" i="81"/>
  <c r="I141" i="81"/>
  <c r="J141" i="81"/>
  <c r="K141" i="81"/>
  <c r="M141" i="81"/>
  <c r="O141" i="81"/>
  <c r="P141" i="81"/>
  <c r="C141" i="81"/>
  <c r="B141" i="81"/>
  <c r="S141" i="81"/>
  <c r="T141" i="81"/>
  <c r="U141" i="81"/>
  <c r="A142" i="81"/>
  <c r="H142" i="81" l="1"/>
  <c r="J142" i="81"/>
  <c r="O142" i="81"/>
  <c r="P142" i="81"/>
  <c r="D142" i="81"/>
  <c r="E142" i="81"/>
  <c r="L142" i="65" s="1"/>
  <c r="F142" i="81"/>
  <c r="G142" i="81"/>
  <c r="I142" i="81"/>
  <c r="K142" i="81"/>
  <c r="L142" i="81"/>
  <c r="M142" i="81"/>
  <c r="N142" i="81"/>
  <c r="Q142" i="81"/>
  <c r="R142" i="81"/>
  <c r="C142" i="81"/>
  <c r="S142" i="81"/>
  <c r="T142" i="81"/>
  <c r="U142" i="81"/>
  <c r="B142" i="81"/>
  <c r="A143" i="81"/>
  <c r="D143" i="81" l="1"/>
  <c r="T143" i="81"/>
  <c r="F143" i="81"/>
  <c r="M143" i="81"/>
  <c r="N143" i="81"/>
  <c r="E143" i="81"/>
  <c r="L143" i="65" s="1"/>
  <c r="G143" i="81"/>
  <c r="H143" i="81"/>
  <c r="I143" i="81"/>
  <c r="J143" i="81"/>
  <c r="K143" i="81"/>
  <c r="L143" i="81"/>
  <c r="O143" i="81"/>
  <c r="P143" i="81"/>
  <c r="Q143" i="81"/>
  <c r="R143" i="81"/>
  <c r="C143" i="81"/>
  <c r="B143" i="81"/>
  <c r="S143" i="81"/>
  <c r="U143" i="81"/>
  <c r="A144" i="81"/>
  <c r="P144" i="81" l="1"/>
  <c r="B144" i="81"/>
  <c r="R144" i="81"/>
  <c r="K144" i="81"/>
  <c r="L144" i="81"/>
  <c r="F144" i="81"/>
  <c r="G144" i="81"/>
  <c r="H144" i="81"/>
  <c r="I144" i="81"/>
  <c r="J144" i="81"/>
  <c r="M144" i="81"/>
  <c r="N144" i="81"/>
  <c r="O144" i="81"/>
  <c r="Q144" i="81"/>
  <c r="S144" i="81"/>
  <c r="T144" i="81"/>
  <c r="E144" i="81"/>
  <c r="L144" i="65" s="1"/>
  <c r="C144" i="81"/>
  <c r="D144" i="81"/>
  <c r="U144" i="81"/>
  <c r="A145" i="81"/>
  <c r="L145" i="81" l="1"/>
  <c r="N145" i="81"/>
  <c r="I145" i="81"/>
  <c r="J145" i="81"/>
  <c r="F145" i="81"/>
  <c r="G145" i="81"/>
  <c r="H145" i="81"/>
  <c r="K145" i="81"/>
  <c r="M145" i="81"/>
  <c r="P145" i="81"/>
  <c r="Q145" i="81"/>
  <c r="R145" i="81"/>
  <c r="S145" i="81"/>
  <c r="T145" i="81"/>
  <c r="E145" i="81"/>
  <c r="L145" i="65" s="1"/>
  <c r="O145" i="81"/>
  <c r="U145" i="81"/>
  <c r="D145" i="81"/>
  <c r="B145" i="81"/>
  <c r="C145" i="81"/>
  <c r="A146" i="81"/>
  <c r="H146" i="81" l="1"/>
  <c r="J146" i="81"/>
  <c r="G146" i="81"/>
  <c r="I146" i="81"/>
  <c r="F146" i="81"/>
  <c r="K146" i="81"/>
  <c r="L146" i="81"/>
  <c r="M146" i="81"/>
  <c r="N146" i="81"/>
  <c r="P146" i="81"/>
  <c r="Q146" i="81"/>
  <c r="R146" i="81"/>
  <c r="S146" i="81"/>
  <c r="T146" i="81"/>
  <c r="E146" i="81"/>
  <c r="L146" i="65" s="1"/>
  <c r="D146" i="81"/>
  <c r="O146" i="81"/>
  <c r="U146" i="81"/>
  <c r="B146" i="81"/>
  <c r="C146" i="81"/>
  <c r="A147" i="81"/>
  <c r="D147" i="81" l="1"/>
  <c r="T147" i="81"/>
  <c r="F147" i="81"/>
  <c r="G147" i="81"/>
  <c r="H147" i="81"/>
  <c r="J147" i="81"/>
  <c r="K147" i="81"/>
  <c r="L147" i="81"/>
  <c r="M147" i="81"/>
  <c r="N147" i="81"/>
  <c r="P147" i="81"/>
  <c r="Q147" i="81"/>
  <c r="R147" i="81"/>
  <c r="S147" i="81"/>
  <c r="U147" i="81"/>
  <c r="I147" i="81"/>
  <c r="B147" i="81"/>
  <c r="C147" i="81"/>
  <c r="E147" i="81"/>
  <c r="L147" i="65" s="1"/>
  <c r="O147" i="81"/>
  <c r="A148" i="81"/>
  <c r="P148" i="81" l="1"/>
  <c r="B148" i="81"/>
  <c r="R148" i="81"/>
  <c r="E148" i="81"/>
  <c r="L148" i="65" s="1"/>
  <c r="F148" i="81"/>
  <c r="J148" i="81"/>
  <c r="K148" i="81"/>
  <c r="L148" i="81"/>
  <c r="M148" i="81"/>
  <c r="N148" i="81"/>
  <c r="Q148" i="81"/>
  <c r="S148" i="81"/>
  <c r="T148" i="81"/>
  <c r="U148" i="81"/>
  <c r="I148" i="81"/>
  <c r="C148" i="81"/>
  <c r="D148" i="81"/>
  <c r="G148" i="81"/>
  <c r="H148" i="81"/>
  <c r="O148" i="81"/>
  <c r="A149" i="81"/>
  <c r="L149" i="81" l="1"/>
  <c r="N149" i="81"/>
  <c r="C149" i="81"/>
  <c r="U149" i="81"/>
  <c r="D149" i="81"/>
  <c r="K149" i="81"/>
  <c r="M149" i="81"/>
  <c r="O149" i="81"/>
  <c r="P149" i="81"/>
  <c r="R149" i="81"/>
  <c r="S149" i="81"/>
  <c r="T149" i="81"/>
  <c r="B149" i="81"/>
  <c r="I149" i="81"/>
  <c r="J149" i="81"/>
  <c r="Q149" i="81"/>
  <c r="E149" i="81"/>
  <c r="L149" i="65" s="1"/>
  <c r="F149" i="81"/>
  <c r="G149" i="81"/>
  <c r="H149" i="81"/>
  <c r="A150" i="81"/>
  <c r="H150" i="81" l="1"/>
  <c r="J150" i="81"/>
  <c r="S150" i="81"/>
  <c r="B150" i="81"/>
  <c r="T150" i="81"/>
  <c r="M150" i="81"/>
  <c r="N150" i="81"/>
  <c r="O150" i="81"/>
  <c r="P150" i="81"/>
  <c r="R150" i="81"/>
  <c r="U150" i="81"/>
  <c r="C150" i="81"/>
  <c r="D150" i="81"/>
  <c r="K150" i="81"/>
  <c r="E150" i="81"/>
  <c r="L150" i="65" s="1"/>
  <c r="F150" i="81"/>
  <c r="G150" i="81"/>
  <c r="I150" i="81"/>
  <c r="L150" i="81"/>
  <c r="Q150" i="81"/>
  <c r="A151" i="81"/>
  <c r="D151" i="81" l="1"/>
  <c r="T151" i="81"/>
  <c r="F151" i="81"/>
  <c r="Q151" i="81"/>
  <c r="R151" i="81"/>
  <c r="M151" i="81"/>
  <c r="N151" i="81"/>
  <c r="O151" i="81"/>
  <c r="P151" i="81"/>
  <c r="U151" i="81"/>
  <c r="B151" i="81"/>
  <c r="C151" i="81"/>
  <c r="E151" i="81"/>
  <c r="L151" i="65" s="1"/>
  <c r="K151" i="81"/>
  <c r="G151" i="81"/>
  <c r="H151" i="81"/>
  <c r="S151" i="81"/>
  <c r="I151" i="81"/>
  <c r="J151" i="81"/>
  <c r="L151" i="81"/>
  <c r="A152" i="81"/>
  <c r="P152" i="81" l="1"/>
  <c r="B152" i="81"/>
  <c r="R152" i="81"/>
  <c r="O152" i="81"/>
  <c r="Q152" i="81"/>
  <c r="M152" i="81"/>
  <c r="N152" i="81"/>
  <c r="S152" i="81"/>
  <c r="T152" i="81"/>
  <c r="C152" i="81"/>
  <c r="D152" i="81"/>
  <c r="E152" i="81"/>
  <c r="L152" i="65" s="1"/>
  <c r="F152" i="81"/>
  <c r="K152" i="81"/>
  <c r="I152" i="81"/>
  <c r="J152" i="81"/>
  <c r="L152" i="81"/>
  <c r="U152" i="81"/>
  <c r="G152" i="81"/>
  <c r="H152" i="81"/>
  <c r="A153" i="81"/>
  <c r="L153" i="81" l="1"/>
  <c r="N153" i="81"/>
  <c r="O153" i="81"/>
  <c r="P153" i="81"/>
  <c r="Q153" i="81"/>
  <c r="R153" i="81"/>
  <c r="S153" i="81"/>
  <c r="T153" i="81"/>
  <c r="B153" i="81"/>
  <c r="C153" i="81"/>
  <c r="D153" i="81"/>
  <c r="E153" i="81"/>
  <c r="L153" i="65" s="1"/>
  <c r="F153" i="81"/>
  <c r="K153" i="81"/>
  <c r="G153" i="81"/>
  <c r="I153" i="81"/>
  <c r="J153" i="81"/>
  <c r="M153" i="81"/>
  <c r="H153" i="81"/>
  <c r="U153" i="81"/>
  <c r="A154" i="81"/>
  <c r="H154" i="81" l="1"/>
  <c r="J154" i="81"/>
  <c r="M154" i="81"/>
  <c r="N154" i="81"/>
  <c r="Q154" i="81"/>
  <c r="R154" i="81"/>
  <c r="S154" i="81"/>
  <c r="T154" i="81"/>
  <c r="B154" i="81"/>
  <c r="C154" i="81"/>
  <c r="D154" i="81"/>
  <c r="E154" i="81"/>
  <c r="L154" i="65" s="1"/>
  <c r="F154" i="81"/>
  <c r="O154" i="81"/>
  <c r="G154" i="81"/>
  <c r="I154" i="81"/>
  <c r="K154" i="81"/>
  <c r="L154" i="81"/>
  <c r="P154" i="81"/>
  <c r="U154" i="81"/>
  <c r="A155" i="81"/>
  <c r="D155" i="81" l="1"/>
  <c r="T155" i="81"/>
  <c r="F155" i="81"/>
  <c r="K155" i="81"/>
  <c r="L155" i="81"/>
  <c r="Q155" i="81"/>
  <c r="R155" i="81"/>
  <c r="S155" i="81"/>
  <c r="U155" i="81"/>
  <c r="B155" i="81"/>
  <c r="C155" i="81"/>
  <c r="E155" i="81"/>
  <c r="L155" i="65" s="1"/>
  <c r="G155" i="81"/>
  <c r="H155" i="81"/>
  <c r="O155" i="81"/>
  <c r="I155" i="81"/>
  <c r="J155" i="81"/>
  <c r="M155" i="81"/>
  <c r="N155" i="81"/>
  <c r="P155" i="81"/>
  <c r="A156" i="81"/>
  <c r="P156" i="81" l="1"/>
  <c r="B156" i="81"/>
  <c r="R156" i="81"/>
  <c r="I156" i="81"/>
  <c r="J156" i="81"/>
  <c r="S156" i="81"/>
  <c r="T156" i="81"/>
  <c r="D156" i="81"/>
  <c r="E156" i="81"/>
  <c r="L156" i="65" s="1"/>
  <c r="F156" i="81"/>
  <c r="G156" i="81"/>
  <c r="H156" i="81"/>
  <c r="O156" i="81"/>
  <c r="K156" i="81"/>
  <c r="L156" i="81"/>
  <c r="M156" i="81"/>
  <c r="C156" i="81"/>
  <c r="N156" i="81"/>
  <c r="Q156" i="81"/>
  <c r="U156" i="81"/>
  <c r="A157" i="81"/>
  <c r="L157" i="81" l="1"/>
  <c r="N157" i="81"/>
  <c r="G157" i="81"/>
  <c r="H157" i="81"/>
  <c r="S157" i="81"/>
  <c r="T157" i="81"/>
  <c r="B157" i="81"/>
  <c r="D157" i="81"/>
  <c r="E157" i="81"/>
  <c r="L157" i="65" s="1"/>
  <c r="F157" i="81"/>
  <c r="I157" i="81"/>
  <c r="J157" i="81"/>
  <c r="Q157" i="81"/>
  <c r="P157" i="81"/>
  <c r="R157" i="81"/>
  <c r="U157" i="81"/>
  <c r="M157" i="81"/>
  <c r="O157" i="81"/>
  <c r="K157" i="81"/>
  <c r="C157" i="81"/>
  <c r="A158" i="81"/>
  <c r="H158" i="81" l="1"/>
  <c r="J158" i="81"/>
  <c r="E158" i="81"/>
  <c r="L158" i="65" s="1"/>
  <c r="F158" i="81"/>
  <c r="S158" i="81"/>
  <c r="T158" i="81"/>
  <c r="B158" i="81"/>
  <c r="D158" i="81"/>
  <c r="G158" i="81"/>
  <c r="I158" i="81"/>
  <c r="K158" i="81"/>
  <c r="Q158" i="81"/>
  <c r="C158" i="81"/>
  <c r="L158" i="81"/>
  <c r="N158" i="81"/>
  <c r="O158" i="81"/>
  <c r="P158" i="81"/>
  <c r="M158" i="81"/>
  <c r="R158" i="81"/>
  <c r="U158" i="81"/>
  <c r="A159" i="81"/>
  <c r="D159" i="81" l="1"/>
  <c r="T159" i="81"/>
  <c r="F159" i="81"/>
  <c r="C159" i="81"/>
  <c r="E159" i="81"/>
  <c r="L159" i="65" s="1"/>
  <c r="S159" i="81"/>
  <c r="U159" i="81"/>
  <c r="B159" i="81"/>
  <c r="H159" i="81"/>
  <c r="I159" i="81"/>
  <c r="J159" i="81"/>
  <c r="K159" i="81"/>
  <c r="P159" i="81"/>
  <c r="Q159" i="81"/>
  <c r="R159" i="81"/>
  <c r="G159" i="81"/>
  <c r="L159" i="81"/>
  <c r="M159" i="81"/>
  <c r="N159" i="81"/>
  <c r="O159" i="81"/>
  <c r="A160" i="81"/>
  <c r="P160" i="81" l="1"/>
  <c r="B160" i="81"/>
  <c r="R160" i="81"/>
  <c r="C160" i="81"/>
  <c r="U160" i="81"/>
  <c r="D160" i="81"/>
  <c r="F160" i="81"/>
  <c r="H160" i="81"/>
  <c r="I160" i="81"/>
  <c r="J160" i="81"/>
  <c r="K160" i="81"/>
  <c r="E160" i="81"/>
  <c r="L160" i="65" s="1"/>
  <c r="G160" i="81"/>
  <c r="M160" i="81"/>
  <c r="N160" i="81"/>
  <c r="O160" i="81"/>
  <c r="L160" i="81"/>
  <c r="Q160" i="81"/>
  <c r="T160" i="81"/>
  <c r="S160" i="81"/>
  <c r="A161" i="81"/>
  <c r="L161" i="81" l="1"/>
  <c r="N161" i="81"/>
  <c r="S161" i="81"/>
  <c r="B161" i="81"/>
  <c r="T161" i="81"/>
  <c r="C161" i="81"/>
  <c r="D161" i="81"/>
  <c r="F161" i="81"/>
  <c r="H161" i="81"/>
  <c r="I161" i="81"/>
  <c r="J161" i="81"/>
  <c r="K161" i="81"/>
  <c r="P161" i="81"/>
  <c r="Q161" i="81"/>
  <c r="R161" i="81"/>
  <c r="U161" i="81"/>
  <c r="M161" i="81"/>
  <c r="O161" i="81"/>
  <c r="G161" i="81"/>
  <c r="E161" i="81"/>
  <c r="L161" i="65" s="1"/>
  <c r="A162" i="81"/>
  <c r="H162" i="81" l="1"/>
  <c r="J162" i="81"/>
  <c r="Q162" i="81"/>
  <c r="R162" i="81"/>
  <c r="C162" i="81"/>
  <c r="D162" i="81"/>
  <c r="F162" i="81"/>
  <c r="I162" i="81"/>
  <c r="K162" i="81"/>
  <c r="L162" i="81"/>
  <c r="M162" i="81"/>
  <c r="B162" i="81"/>
  <c r="G162" i="81"/>
  <c r="N162" i="81"/>
  <c r="O162" i="81"/>
  <c r="E162" i="81"/>
  <c r="L162" i="65" s="1"/>
  <c r="P162" i="81"/>
  <c r="S162" i="81"/>
  <c r="T162" i="81"/>
  <c r="U162" i="81"/>
  <c r="A163" i="81"/>
  <c r="D163" i="81" l="1"/>
  <c r="T163" i="81"/>
  <c r="F163" i="81"/>
  <c r="O163" i="81"/>
  <c r="P163" i="81"/>
  <c r="C163" i="81"/>
  <c r="E163" i="81"/>
  <c r="L163" i="65" s="1"/>
  <c r="H163" i="81"/>
  <c r="J163" i="81"/>
  <c r="K163" i="81"/>
  <c r="L163" i="81"/>
  <c r="M163" i="81"/>
  <c r="N163" i="81"/>
  <c r="Q163" i="81"/>
  <c r="R163" i="81"/>
  <c r="S163" i="81"/>
  <c r="U163" i="81"/>
  <c r="B163" i="81"/>
  <c r="G163" i="81"/>
  <c r="I163" i="81"/>
  <c r="A164" i="81"/>
  <c r="P164" i="81" l="1"/>
  <c r="B164" i="81"/>
  <c r="R164" i="81"/>
  <c r="M164" i="81"/>
  <c r="N164" i="81"/>
  <c r="E164" i="81"/>
  <c r="L164" i="65" s="1"/>
  <c r="F164" i="81"/>
  <c r="H164" i="81"/>
  <c r="J164" i="81"/>
  <c r="K164" i="81"/>
  <c r="L164" i="81"/>
  <c r="O164" i="81"/>
  <c r="D164" i="81"/>
  <c r="G164" i="81"/>
  <c r="I164" i="81"/>
  <c r="C164" i="81"/>
  <c r="Q164" i="81"/>
  <c r="S164" i="81"/>
  <c r="T164" i="81"/>
  <c r="U164" i="81"/>
  <c r="A165" i="81"/>
  <c r="L165" i="81" l="1"/>
  <c r="N165" i="81"/>
  <c r="K165" i="81"/>
  <c r="M165" i="81"/>
  <c r="E165" i="81"/>
  <c r="L165" i="65" s="1"/>
  <c r="F165" i="81"/>
  <c r="H165" i="81"/>
  <c r="J165" i="81"/>
  <c r="O165" i="81"/>
  <c r="P165" i="81"/>
  <c r="Q165" i="81"/>
  <c r="G165" i="81"/>
  <c r="I165" i="81"/>
  <c r="R165" i="81"/>
  <c r="S165" i="81"/>
  <c r="T165" i="81"/>
  <c r="C165" i="81"/>
  <c r="D165" i="81"/>
  <c r="U165" i="81"/>
  <c r="B165" i="81"/>
  <c r="A166" i="81"/>
  <c r="H166" i="81" l="1"/>
  <c r="J166" i="81"/>
  <c r="K166" i="81"/>
  <c r="L166" i="81"/>
  <c r="E166" i="81"/>
  <c r="L166" i="65" s="1"/>
  <c r="F166" i="81"/>
  <c r="I166" i="81"/>
  <c r="N166" i="81"/>
  <c r="O166" i="81"/>
  <c r="P166" i="81"/>
  <c r="Q166" i="81"/>
  <c r="B166" i="81"/>
  <c r="C166" i="81"/>
  <c r="D166" i="81"/>
  <c r="G166" i="81"/>
  <c r="M166" i="81"/>
  <c r="R166" i="81"/>
  <c r="S166" i="81"/>
  <c r="T166" i="81"/>
  <c r="U166" i="81"/>
  <c r="A167" i="81"/>
  <c r="D167" i="81" l="1"/>
  <c r="T167" i="81"/>
  <c r="F167" i="81"/>
  <c r="I167" i="81"/>
  <c r="J167" i="81"/>
  <c r="G167" i="81"/>
  <c r="H167" i="81"/>
  <c r="L167" i="81"/>
  <c r="N167" i="81"/>
  <c r="O167" i="81"/>
  <c r="P167" i="81"/>
  <c r="Q167" i="81"/>
  <c r="C167" i="81"/>
  <c r="E167" i="81"/>
  <c r="L167" i="65" s="1"/>
  <c r="K167" i="81"/>
  <c r="M167" i="81"/>
  <c r="R167" i="81"/>
  <c r="U167" i="81"/>
  <c r="B167" i="81"/>
  <c r="S167" i="81"/>
  <c r="A168" i="81"/>
  <c r="P168" i="81" l="1"/>
  <c r="B168" i="81"/>
  <c r="R168" i="81"/>
  <c r="G168" i="81"/>
  <c r="H168" i="81"/>
  <c r="I168" i="81"/>
  <c r="J168" i="81"/>
  <c r="L168" i="81"/>
  <c r="N168" i="81"/>
  <c r="O168" i="81"/>
  <c r="Q168" i="81"/>
  <c r="S168" i="81"/>
  <c r="C168" i="81"/>
  <c r="D168" i="81"/>
  <c r="U168" i="81"/>
  <c r="E168" i="81"/>
  <c r="L168" i="65" s="1"/>
  <c r="T168" i="81"/>
  <c r="F168" i="81"/>
  <c r="K168" i="81"/>
  <c r="M168" i="81"/>
  <c r="A169" i="81"/>
  <c r="L169" i="81" l="1"/>
  <c r="N169" i="81"/>
  <c r="E169" i="81"/>
  <c r="L169" i="65" s="1"/>
  <c r="F169" i="81"/>
  <c r="I169" i="81"/>
  <c r="J169" i="81"/>
  <c r="P169" i="81"/>
  <c r="Q169" i="81"/>
  <c r="R169" i="81"/>
  <c r="S169" i="81"/>
  <c r="C169" i="81"/>
  <c r="D169" i="81"/>
  <c r="G169" i="81"/>
  <c r="H169" i="81"/>
  <c r="K169" i="81"/>
  <c r="O169" i="81"/>
  <c r="T169" i="81"/>
  <c r="U169" i="81"/>
  <c r="B169" i="81"/>
  <c r="M169" i="81"/>
  <c r="A170" i="81"/>
  <c r="H170" i="81" l="1"/>
  <c r="J170" i="81"/>
  <c r="C170" i="81"/>
  <c r="U170" i="81"/>
  <c r="D170" i="81"/>
  <c r="K170" i="81"/>
  <c r="L170" i="81"/>
  <c r="P170" i="81"/>
  <c r="Q170" i="81"/>
  <c r="R170" i="81"/>
  <c r="S170" i="81"/>
  <c r="O170" i="81"/>
  <c r="T170" i="81"/>
  <c r="B170" i="81"/>
  <c r="E170" i="81"/>
  <c r="L170" i="65" s="1"/>
  <c r="F170" i="81"/>
  <c r="G170" i="81"/>
  <c r="I170" i="81"/>
  <c r="M170" i="81"/>
  <c r="N170" i="81"/>
  <c r="A171" i="81"/>
  <c r="D171" i="81" l="1"/>
  <c r="T171" i="81"/>
  <c r="F171" i="81"/>
  <c r="S171" i="81"/>
  <c r="B171" i="81"/>
  <c r="U171" i="81"/>
  <c r="K171" i="81"/>
  <c r="L171" i="81"/>
  <c r="P171" i="81"/>
  <c r="Q171" i="81"/>
  <c r="R171" i="81"/>
  <c r="C171" i="81"/>
  <c r="E171" i="81"/>
  <c r="L171" i="65" s="1"/>
  <c r="G171" i="81"/>
  <c r="I171" i="81"/>
  <c r="J171" i="81"/>
  <c r="M171" i="81"/>
  <c r="H171" i="81"/>
  <c r="N171" i="81"/>
  <c r="O171" i="81"/>
  <c r="A172" i="81"/>
  <c r="P172" i="81" l="1"/>
  <c r="B172" i="81"/>
  <c r="R172" i="81"/>
  <c r="T172" i="81"/>
  <c r="K172" i="81"/>
  <c r="L172" i="81"/>
  <c r="Q172" i="81"/>
  <c r="S172" i="81"/>
  <c r="U172" i="81"/>
  <c r="C172" i="81"/>
  <c r="I172" i="81"/>
  <c r="J172" i="81"/>
  <c r="M172" i="81"/>
  <c r="N172" i="81"/>
  <c r="O172" i="81"/>
  <c r="F172" i="81"/>
  <c r="G172" i="81"/>
  <c r="H172" i="81"/>
  <c r="E172" i="81"/>
  <c r="L172" i="65" s="1"/>
  <c r="D172" i="81"/>
  <c r="A173" i="81"/>
  <c r="L173" i="81" l="1"/>
  <c r="N173" i="81"/>
  <c r="R173" i="81"/>
  <c r="J173" i="81"/>
  <c r="K173" i="81"/>
  <c r="Q173" i="81"/>
  <c r="S173" i="81"/>
  <c r="T173" i="81"/>
  <c r="B173" i="81"/>
  <c r="U173" i="81"/>
  <c r="D173" i="81"/>
  <c r="E173" i="81"/>
  <c r="L173" i="65" s="1"/>
  <c r="C173" i="81"/>
  <c r="F173" i="81"/>
  <c r="G173" i="81"/>
  <c r="H173" i="81"/>
  <c r="I173" i="81"/>
  <c r="M173" i="81"/>
  <c r="O173" i="81"/>
  <c r="P173" i="81"/>
  <c r="A174" i="81"/>
  <c r="H174" i="81" l="1"/>
  <c r="J174" i="81"/>
  <c r="P174" i="81"/>
  <c r="K174" i="81"/>
  <c r="L174" i="81"/>
  <c r="Q174" i="81"/>
  <c r="R174" i="81"/>
  <c r="S174" i="81"/>
  <c r="T174" i="81"/>
  <c r="C174" i="81"/>
  <c r="D174" i="81"/>
  <c r="E174" i="81"/>
  <c r="L174" i="65" s="1"/>
  <c r="F174" i="81"/>
  <c r="G174" i="81"/>
  <c r="M174" i="81"/>
  <c r="N174" i="81"/>
  <c r="B174" i="81"/>
  <c r="U174" i="81"/>
  <c r="O174" i="81"/>
  <c r="I174" i="81"/>
  <c r="A175" i="81"/>
  <c r="L175" i="81" l="1"/>
  <c r="H175" i="81"/>
  <c r="I175" i="81"/>
  <c r="N175" i="81"/>
  <c r="O175" i="81"/>
  <c r="P175" i="81"/>
  <c r="Q175" i="81"/>
  <c r="J175" i="81"/>
  <c r="K175" i="81"/>
  <c r="M175" i="81"/>
  <c r="R175" i="81"/>
  <c r="S175" i="81"/>
  <c r="U175" i="81"/>
  <c r="C175" i="81"/>
  <c r="D175" i="81"/>
  <c r="E175" i="81"/>
  <c r="L175" i="65" s="1"/>
  <c r="F175" i="81"/>
  <c r="G175" i="81"/>
  <c r="T175" i="81"/>
  <c r="B175" i="81"/>
  <c r="A176" i="81"/>
  <c r="E176" i="81" l="1"/>
  <c r="L176" i="65" s="1"/>
  <c r="U176" i="81"/>
  <c r="F176" i="81"/>
  <c r="J176" i="81"/>
  <c r="K176" i="81"/>
  <c r="L176" i="81"/>
  <c r="M176" i="81"/>
  <c r="Q176" i="81"/>
  <c r="R176" i="81"/>
  <c r="S176" i="81"/>
  <c r="T176" i="81"/>
  <c r="B176" i="81"/>
  <c r="C176" i="81"/>
  <c r="D176" i="81"/>
  <c r="G176" i="81"/>
  <c r="H176" i="81"/>
  <c r="N176" i="81"/>
  <c r="I176" i="81"/>
  <c r="O176" i="81"/>
  <c r="P176" i="81"/>
  <c r="A177" i="81"/>
  <c r="Q177" i="81" l="1"/>
  <c r="B177" i="81"/>
  <c r="R177" i="81"/>
  <c r="F177" i="81"/>
  <c r="G177" i="81"/>
  <c r="H177" i="81"/>
  <c r="I177" i="81"/>
  <c r="U177" i="81"/>
  <c r="C177" i="81"/>
  <c r="E177" i="81"/>
  <c r="L177" i="65" s="1"/>
  <c r="J177" i="81"/>
  <c r="L177" i="81"/>
  <c r="M177" i="81"/>
  <c r="N177" i="81"/>
  <c r="O177" i="81"/>
  <c r="P177" i="81"/>
  <c r="S177" i="81"/>
  <c r="T177" i="81"/>
  <c r="K177" i="81"/>
  <c r="D177" i="81"/>
  <c r="A178" i="81"/>
  <c r="M178" i="81" l="1"/>
  <c r="N178" i="81"/>
  <c r="B178" i="81"/>
  <c r="R178" i="81"/>
  <c r="C178" i="81"/>
  <c r="S178" i="81"/>
  <c r="D178" i="81"/>
  <c r="T178" i="81"/>
  <c r="E178" i="81"/>
  <c r="L178" i="65" s="1"/>
  <c r="U178" i="81"/>
  <c r="F178" i="81"/>
  <c r="G178" i="81"/>
  <c r="H178" i="81"/>
  <c r="I178" i="81"/>
  <c r="K178" i="81"/>
  <c r="L178" i="81"/>
  <c r="J178" i="81"/>
  <c r="O178" i="81"/>
  <c r="P178" i="81"/>
  <c r="Q178" i="81"/>
  <c r="A179" i="81"/>
  <c r="I179" i="81" l="1"/>
  <c r="J179" i="81"/>
  <c r="N179" i="81"/>
  <c r="O179" i="81"/>
  <c r="P179" i="81"/>
  <c r="G179" i="81"/>
  <c r="H179" i="81"/>
  <c r="K179" i="81"/>
  <c r="L179" i="81"/>
  <c r="M179" i="81"/>
  <c r="R179" i="81"/>
  <c r="S179" i="81"/>
  <c r="Q179" i="81"/>
  <c r="T179" i="81"/>
  <c r="U179" i="81"/>
  <c r="B179" i="81"/>
  <c r="F179" i="81"/>
  <c r="C179" i="81"/>
  <c r="D179" i="81"/>
  <c r="E179" i="81"/>
  <c r="L179" i="65" s="1"/>
  <c r="A180" i="81"/>
  <c r="E180" i="81" l="1"/>
  <c r="L180" i="65" s="1"/>
  <c r="U180" i="81"/>
  <c r="F180" i="81"/>
  <c r="J180" i="81"/>
  <c r="K180" i="81"/>
  <c r="L180" i="81"/>
  <c r="M180" i="81"/>
  <c r="N180" i="81"/>
  <c r="O180" i="81"/>
  <c r="P180" i="81"/>
  <c r="Q180" i="81"/>
  <c r="S180" i="81"/>
  <c r="T180" i="81"/>
  <c r="B180" i="81"/>
  <c r="C180" i="81"/>
  <c r="D180" i="81"/>
  <c r="G180" i="81"/>
  <c r="H180" i="81"/>
  <c r="I180" i="81"/>
  <c r="R180" i="81"/>
  <c r="A181" i="81"/>
  <c r="Q181" i="81" l="1"/>
  <c r="B181" i="81"/>
  <c r="R181" i="81"/>
  <c r="F181" i="81"/>
  <c r="G181" i="81"/>
  <c r="H181" i="81"/>
  <c r="N181" i="81"/>
  <c r="O181" i="81"/>
  <c r="P181" i="81"/>
  <c r="S181" i="81"/>
  <c r="T181" i="81"/>
  <c r="L181" i="81"/>
  <c r="M181" i="81"/>
  <c r="U181" i="81"/>
  <c r="D181" i="81"/>
  <c r="K181" i="81"/>
  <c r="C181" i="81"/>
  <c r="E181" i="81"/>
  <c r="L181" i="65" s="1"/>
  <c r="I181" i="81"/>
  <c r="J181" i="81"/>
  <c r="A182" i="81"/>
  <c r="M182" i="81" l="1"/>
  <c r="N182" i="81"/>
  <c r="B182" i="81"/>
  <c r="R182" i="81"/>
  <c r="C182" i="81"/>
  <c r="S182" i="81"/>
  <c r="D182" i="81"/>
  <c r="T182" i="81"/>
  <c r="Q182" i="81"/>
  <c r="U182" i="81"/>
  <c r="E182" i="81"/>
  <c r="L182" i="65" s="1"/>
  <c r="F182" i="81"/>
  <c r="G182" i="81"/>
  <c r="H182" i="81"/>
  <c r="I182" i="81"/>
  <c r="J182" i="81"/>
  <c r="K182" i="81"/>
  <c r="L182" i="81"/>
  <c r="O182" i="81"/>
  <c r="P182" i="81"/>
  <c r="A183" i="81"/>
  <c r="I183" i="81" l="1"/>
  <c r="J183" i="81"/>
  <c r="N183" i="81"/>
  <c r="O183" i="81"/>
  <c r="P183" i="81"/>
  <c r="U183" i="81"/>
  <c r="B183" i="81"/>
  <c r="C183" i="81"/>
  <c r="D183" i="81"/>
  <c r="F183" i="81"/>
  <c r="G183" i="81"/>
  <c r="Q183" i="81"/>
  <c r="R183" i="81"/>
  <c r="S183" i="81"/>
  <c r="T183" i="81"/>
  <c r="E183" i="81"/>
  <c r="L183" i="65" s="1"/>
  <c r="M183" i="81"/>
  <c r="L183" i="81"/>
  <c r="K183" i="81"/>
  <c r="H183" i="81"/>
  <c r="A184" i="81"/>
  <c r="E184" i="81" l="1"/>
  <c r="L184" i="65" s="1"/>
  <c r="U184" i="81"/>
  <c r="F184" i="81"/>
  <c r="J184" i="81"/>
  <c r="K184" i="81"/>
  <c r="B184" i="81"/>
  <c r="C184" i="81"/>
  <c r="D184" i="81"/>
  <c r="G184" i="81"/>
  <c r="I184" i="81"/>
  <c r="L184" i="81"/>
  <c r="H184" i="81"/>
  <c r="M184" i="81"/>
  <c r="N184" i="81"/>
  <c r="O184" i="81"/>
  <c r="P184" i="81"/>
  <c r="Q184" i="81"/>
  <c r="S184" i="81"/>
  <c r="R184" i="81"/>
  <c r="T184" i="81"/>
  <c r="A185" i="81"/>
  <c r="Q185" i="81" l="1"/>
  <c r="B185" i="81"/>
  <c r="R185" i="81"/>
  <c r="F185" i="81"/>
  <c r="G185" i="81"/>
  <c r="C185" i="81"/>
  <c r="D185" i="81"/>
  <c r="E185" i="81"/>
  <c r="L185" i="65" s="1"/>
  <c r="H185" i="81"/>
  <c r="I185" i="81"/>
  <c r="K185" i="81"/>
  <c r="L185" i="81"/>
  <c r="O185" i="81"/>
  <c r="P185" i="81"/>
  <c r="S185" i="81"/>
  <c r="T185" i="81"/>
  <c r="U185" i="81"/>
  <c r="N185" i="81"/>
  <c r="J185" i="81"/>
  <c r="M185" i="81"/>
  <c r="A186" i="81"/>
  <c r="M186" i="81" l="1"/>
  <c r="N186" i="81"/>
  <c r="B186" i="81"/>
  <c r="R186" i="81"/>
  <c r="C186" i="81"/>
  <c r="S186" i="81"/>
  <c r="E186" i="81"/>
  <c r="L186" i="65" s="1"/>
  <c r="F186" i="81"/>
  <c r="G186" i="81"/>
  <c r="H186" i="81"/>
  <c r="I186" i="81"/>
  <c r="K186" i="81"/>
  <c r="L186" i="81"/>
  <c r="D186" i="81"/>
  <c r="J186" i="81"/>
  <c r="O186" i="81"/>
  <c r="P186" i="81"/>
  <c r="Q186" i="81"/>
  <c r="U186" i="81"/>
  <c r="T186" i="81"/>
  <c r="A187" i="81"/>
  <c r="I187" i="81" l="1"/>
  <c r="J187" i="81"/>
  <c r="N187" i="81"/>
  <c r="O187" i="81"/>
  <c r="E187" i="81"/>
  <c r="L187" i="65" s="1"/>
  <c r="F187" i="81"/>
  <c r="G187" i="81"/>
  <c r="H187" i="81"/>
  <c r="K187" i="81"/>
  <c r="M187" i="81"/>
  <c r="P187" i="81"/>
  <c r="Q187" i="81"/>
  <c r="R187" i="81"/>
  <c r="S187" i="81"/>
  <c r="T187" i="81"/>
  <c r="U187" i="81"/>
  <c r="L187" i="81"/>
  <c r="B187" i="81"/>
  <c r="C187" i="81"/>
  <c r="D187" i="81"/>
  <c r="A188" i="81"/>
  <c r="E188" i="81" l="1"/>
  <c r="L188" i="65" s="1"/>
  <c r="U188" i="81"/>
  <c r="F188" i="81"/>
  <c r="J188" i="81"/>
  <c r="K188" i="81"/>
  <c r="G188" i="81"/>
  <c r="H188" i="81"/>
  <c r="I188" i="81"/>
  <c r="L188" i="81"/>
  <c r="M188" i="81"/>
  <c r="O188" i="81"/>
  <c r="P188" i="81"/>
  <c r="B188" i="81"/>
  <c r="C188" i="81"/>
  <c r="D188" i="81"/>
  <c r="N188" i="81"/>
  <c r="Q188" i="81"/>
  <c r="S188" i="81"/>
  <c r="R188" i="81"/>
  <c r="T188" i="81"/>
  <c r="A189" i="81"/>
  <c r="Q189" i="81" l="1"/>
  <c r="B189" i="81"/>
  <c r="R189" i="81"/>
  <c r="F189" i="81"/>
  <c r="G189" i="81"/>
  <c r="I189" i="81"/>
  <c r="J189" i="81"/>
  <c r="K189" i="81"/>
  <c r="L189" i="81"/>
  <c r="M189" i="81"/>
  <c r="O189" i="81"/>
  <c r="P189" i="81"/>
  <c r="H189" i="81"/>
  <c r="N189" i="81"/>
  <c r="S189" i="81"/>
  <c r="T189" i="81"/>
  <c r="U189" i="81"/>
  <c r="E189" i="81"/>
  <c r="L189" i="65" s="1"/>
  <c r="D189" i="81"/>
  <c r="C189" i="81"/>
  <c r="A190" i="81"/>
  <c r="M190" i="81" l="1"/>
  <c r="N190" i="81"/>
  <c r="B190" i="81"/>
  <c r="R190" i="81"/>
  <c r="C190" i="81"/>
  <c r="S190" i="81"/>
  <c r="I190" i="81"/>
  <c r="J190" i="81"/>
  <c r="K190" i="81"/>
  <c r="L190" i="81"/>
  <c r="O190" i="81"/>
  <c r="Q190" i="81"/>
  <c r="T190" i="81"/>
  <c r="D190" i="81"/>
  <c r="E190" i="81"/>
  <c r="L190" i="65" s="1"/>
  <c r="F190" i="81"/>
  <c r="G190" i="81"/>
  <c r="H190" i="81"/>
  <c r="U190" i="81"/>
  <c r="P190" i="81"/>
  <c r="A191" i="81"/>
  <c r="I191" i="81" l="1"/>
  <c r="J191" i="81"/>
  <c r="N191" i="81"/>
  <c r="O191" i="81"/>
  <c r="K191" i="81"/>
  <c r="L191" i="81"/>
  <c r="M191" i="81"/>
  <c r="P191" i="81"/>
  <c r="Q191" i="81"/>
  <c r="S191" i="81"/>
  <c r="T191" i="81"/>
  <c r="F191" i="81"/>
  <c r="G191" i="81"/>
  <c r="H191" i="81"/>
  <c r="R191" i="81"/>
  <c r="U191" i="81"/>
  <c r="E191" i="81"/>
  <c r="L191" i="65" s="1"/>
  <c r="D191" i="81"/>
  <c r="C191" i="81"/>
  <c r="B191" i="81"/>
  <c r="A192" i="81"/>
  <c r="E192" i="81" l="1"/>
  <c r="L192" i="65" s="1"/>
  <c r="U192" i="81"/>
  <c r="F192" i="81"/>
  <c r="J192" i="81"/>
  <c r="L192" i="81"/>
  <c r="M192" i="81"/>
  <c r="N192" i="81"/>
  <c r="O192" i="81"/>
  <c r="P192" i="81"/>
  <c r="R192" i="81"/>
  <c r="B192" i="81"/>
  <c r="C192" i="81"/>
  <c r="D192" i="81"/>
  <c r="G192" i="81"/>
  <c r="H192" i="81"/>
  <c r="K192" i="81"/>
  <c r="I192" i="81"/>
  <c r="Q192" i="81"/>
  <c r="S192" i="81"/>
  <c r="T192" i="81"/>
  <c r="A193" i="81"/>
  <c r="Q193" i="81" l="1"/>
  <c r="B193" i="81"/>
  <c r="R193" i="81"/>
  <c r="F193" i="81"/>
  <c r="K193" i="81"/>
  <c r="L193" i="81"/>
  <c r="M193" i="81"/>
  <c r="O193" i="81"/>
  <c r="S193" i="81"/>
  <c r="D193" i="81"/>
  <c r="E193" i="81"/>
  <c r="L193" i="65" s="1"/>
  <c r="G193" i="81"/>
  <c r="H193" i="81"/>
  <c r="I193" i="81"/>
  <c r="J193" i="81"/>
  <c r="N193" i="81"/>
  <c r="P193" i="81"/>
  <c r="T193" i="81"/>
  <c r="U193" i="81"/>
  <c r="C193" i="81"/>
  <c r="A194" i="81"/>
  <c r="M194" i="81" l="1"/>
  <c r="N194" i="81"/>
  <c r="B194" i="81"/>
  <c r="R194" i="81"/>
  <c r="J194" i="81"/>
  <c r="K194" i="81"/>
  <c r="L194" i="81"/>
  <c r="P194" i="81"/>
  <c r="S194" i="81"/>
  <c r="I194" i="81"/>
  <c r="O194" i="81"/>
  <c r="Q194" i="81"/>
  <c r="T194" i="81"/>
  <c r="U194" i="81"/>
  <c r="D194" i="81"/>
  <c r="H194" i="81"/>
  <c r="C194" i="81"/>
  <c r="E194" i="81"/>
  <c r="L194" i="65" s="1"/>
  <c r="F194" i="81"/>
  <c r="G194" i="81"/>
  <c r="A195" i="81"/>
  <c r="I195" i="81" l="1"/>
  <c r="J195" i="81"/>
  <c r="N195" i="81"/>
  <c r="K195" i="81"/>
  <c r="L195" i="81"/>
  <c r="M195" i="81"/>
  <c r="P195" i="81"/>
  <c r="R195" i="81"/>
  <c r="U195" i="81"/>
  <c r="B195" i="81"/>
  <c r="C195" i="81"/>
  <c r="D195" i="81"/>
  <c r="E195" i="81"/>
  <c r="L195" i="65" s="1"/>
  <c r="F195" i="81"/>
  <c r="H195" i="81"/>
  <c r="T195" i="81"/>
  <c r="G195" i="81"/>
  <c r="O195" i="81"/>
  <c r="Q195" i="81"/>
  <c r="S195" i="81"/>
  <c r="A196" i="81"/>
  <c r="E196" i="81" l="1"/>
  <c r="L196" i="65" s="1"/>
  <c r="U196" i="81"/>
  <c r="F196" i="81"/>
  <c r="J196" i="81"/>
  <c r="K196" i="81"/>
  <c r="L196" i="81"/>
  <c r="M196" i="81"/>
  <c r="O196" i="81"/>
  <c r="Q196" i="81"/>
  <c r="B196" i="81"/>
  <c r="C196" i="81"/>
  <c r="D196" i="81"/>
  <c r="G196" i="81"/>
  <c r="H196" i="81"/>
  <c r="I196" i="81"/>
  <c r="N196" i="81"/>
  <c r="P196" i="81"/>
  <c r="R196" i="81"/>
  <c r="T196" i="81"/>
  <c r="S196" i="81"/>
  <c r="A197" i="81"/>
  <c r="Q197" i="81" l="1"/>
  <c r="B197" i="81"/>
  <c r="R197" i="81"/>
  <c r="F197" i="81"/>
  <c r="J197" i="81"/>
  <c r="K197" i="81"/>
  <c r="L197" i="81"/>
  <c r="N197" i="81"/>
  <c r="P197" i="81"/>
  <c r="H197" i="81"/>
  <c r="I197" i="81"/>
  <c r="M197" i="81"/>
  <c r="O197" i="81"/>
  <c r="S197" i="81"/>
  <c r="T197" i="81"/>
  <c r="U197" i="81"/>
  <c r="G197" i="81"/>
  <c r="E197" i="81"/>
  <c r="L197" i="65" s="1"/>
  <c r="D197" i="81"/>
  <c r="C197" i="81"/>
  <c r="A198" i="81"/>
  <c r="M198" i="81" l="1"/>
  <c r="N198" i="81"/>
  <c r="B198" i="81"/>
  <c r="R198" i="81"/>
  <c r="I198" i="81"/>
  <c r="J198" i="81"/>
  <c r="K198" i="81"/>
  <c r="O198" i="81"/>
  <c r="Q198" i="81"/>
  <c r="T198" i="81"/>
  <c r="U198" i="81"/>
  <c r="C198" i="81"/>
  <c r="D198" i="81"/>
  <c r="E198" i="81"/>
  <c r="L198" i="65" s="1"/>
  <c r="G198" i="81"/>
  <c r="S198" i="81"/>
  <c r="F198" i="81"/>
  <c r="H198" i="81"/>
  <c r="L198" i="81"/>
  <c r="P198" i="81"/>
  <c r="A199" i="81"/>
  <c r="I199" i="81" l="1"/>
  <c r="J199" i="81"/>
  <c r="N199" i="81"/>
  <c r="H199" i="81"/>
  <c r="K199" i="81"/>
  <c r="L199" i="81"/>
  <c r="O199" i="81"/>
  <c r="Q199" i="81"/>
  <c r="B199" i="81"/>
  <c r="C199" i="81"/>
  <c r="D199" i="81"/>
  <c r="E199" i="81"/>
  <c r="L199" i="65" s="1"/>
  <c r="F199" i="81"/>
  <c r="G199" i="81"/>
  <c r="M199" i="81"/>
  <c r="P199" i="81"/>
  <c r="S199" i="81"/>
  <c r="R199" i="81"/>
  <c r="T199" i="81"/>
  <c r="U199" i="81"/>
  <c r="A200" i="81"/>
  <c r="E200" i="81" l="1"/>
  <c r="L200" i="65" s="1"/>
  <c r="U200" i="81"/>
  <c r="F200" i="81"/>
  <c r="J200" i="81"/>
  <c r="I200" i="81"/>
  <c r="K200" i="81"/>
  <c r="N200" i="81"/>
  <c r="P200" i="81"/>
  <c r="D200" i="81"/>
  <c r="G200" i="81"/>
  <c r="H200" i="81"/>
  <c r="L200" i="81"/>
  <c r="M200" i="81"/>
  <c r="O200" i="81"/>
  <c r="Q200" i="81"/>
  <c r="R200" i="81"/>
  <c r="S200" i="81"/>
  <c r="T200" i="81"/>
  <c r="C200" i="81"/>
  <c r="B200" i="81"/>
  <c r="A201" i="81"/>
  <c r="Q201" i="81" l="1"/>
  <c r="B201" i="81"/>
  <c r="R201" i="81"/>
  <c r="F201" i="81"/>
  <c r="I201" i="81"/>
  <c r="J201" i="81"/>
  <c r="M201" i="81"/>
  <c r="O201" i="81"/>
  <c r="L201" i="81"/>
  <c r="N201" i="81"/>
  <c r="P201" i="81"/>
  <c r="S201" i="81"/>
  <c r="T201" i="81"/>
  <c r="U201" i="81"/>
  <c r="D201" i="81"/>
  <c r="K201" i="81"/>
  <c r="C201" i="81"/>
  <c r="E201" i="81"/>
  <c r="L201" i="65" s="1"/>
  <c r="G201" i="81"/>
  <c r="H201" i="81"/>
  <c r="A202" i="81"/>
  <c r="M202" i="81" l="1"/>
  <c r="N202" i="81"/>
  <c r="B202" i="81"/>
  <c r="R202" i="81"/>
  <c r="H202" i="81"/>
  <c r="I202" i="81"/>
  <c r="L202" i="81"/>
  <c r="S202" i="81"/>
  <c r="T202" i="81"/>
  <c r="U202" i="81"/>
  <c r="C202" i="81"/>
  <c r="D202" i="81"/>
  <c r="E202" i="81"/>
  <c r="L202" i="65" s="1"/>
  <c r="F202" i="81"/>
  <c r="J202" i="81"/>
  <c r="Q202" i="81"/>
  <c r="P202" i="81"/>
  <c r="O202" i="81"/>
  <c r="G202" i="81"/>
  <c r="K202" i="81"/>
  <c r="A203" i="81"/>
  <c r="I203" i="81" l="1"/>
  <c r="J203" i="81"/>
  <c r="N203" i="81"/>
  <c r="G203" i="81"/>
  <c r="H203" i="81"/>
  <c r="M203" i="81"/>
  <c r="U203" i="81"/>
  <c r="B203" i="81"/>
  <c r="C203" i="81"/>
  <c r="D203" i="81"/>
  <c r="E203" i="81"/>
  <c r="L203" i="65" s="1"/>
  <c r="F203" i="81"/>
  <c r="K203" i="81"/>
  <c r="L203" i="81"/>
  <c r="P203" i="81"/>
  <c r="T203" i="81"/>
  <c r="O203" i="81"/>
  <c r="Q203" i="81"/>
  <c r="R203" i="81"/>
  <c r="S203" i="81"/>
  <c r="A204" i="81"/>
  <c r="E204" i="81" l="1"/>
  <c r="L204" i="65" s="1"/>
  <c r="U204" i="81"/>
  <c r="F204" i="81"/>
  <c r="H204" i="81"/>
  <c r="I204" i="81"/>
  <c r="L204" i="81"/>
  <c r="B204" i="81"/>
  <c r="C204" i="81"/>
  <c r="D204" i="81"/>
  <c r="G204" i="81"/>
  <c r="J204" i="81"/>
  <c r="K204" i="81"/>
  <c r="M204" i="81"/>
  <c r="N204" i="81"/>
  <c r="O204" i="81"/>
  <c r="Q204" i="81"/>
  <c r="P204" i="81"/>
  <c r="R204" i="81"/>
  <c r="S204" i="81"/>
  <c r="T204" i="81"/>
  <c r="A205" i="81"/>
  <c r="Q205" i="81" l="1"/>
  <c r="B205" i="81"/>
  <c r="R205" i="81"/>
  <c r="F205" i="81"/>
  <c r="G205" i="81"/>
  <c r="J205" i="81"/>
  <c r="D205" i="81"/>
  <c r="E205" i="81"/>
  <c r="L205" i="65" s="1"/>
  <c r="H205" i="81"/>
  <c r="I205" i="81"/>
  <c r="K205" i="81"/>
  <c r="L205" i="81"/>
  <c r="M205" i="81"/>
  <c r="N205" i="81"/>
  <c r="O205" i="81"/>
  <c r="P205" i="81"/>
  <c r="T205" i="81"/>
  <c r="C205" i="81"/>
  <c r="S205" i="81"/>
  <c r="U205" i="81"/>
  <c r="A206" i="81"/>
  <c r="M206" i="81" l="1"/>
  <c r="N206" i="81"/>
  <c r="D206" i="81"/>
  <c r="E206" i="81"/>
  <c r="L206" i="65" s="1"/>
  <c r="H206" i="81"/>
  <c r="G206" i="81"/>
  <c r="I206" i="81"/>
  <c r="J206" i="81"/>
  <c r="K206" i="81"/>
  <c r="L206" i="81"/>
  <c r="O206" i="81"/>
  <c r="P206" i="81"/>
  <c r="Q206" i="81"/>
  <c r="R206" i="81"/>
  <c r="S206" i="81"/>
  <c r="U206" i="81"/>
  <c r="F206" i="81"/>
  <c r="B206" i="81"/>
  <c r="C206" i="81"/>
  <c r="T206" i="81"/>
  <c r="A207" i="81"/>
  <c r="I207" i="81" l="1"/>
  <c r="J207" i="81"/>
  <c r="B207" i="81"/>
  <c r="T207" i="81"/>
  <c r="C207" i="81"/>
  <c r="U207" i="81"/>
  <c r="F207" i="81"/>
  <c r="K207" i="81"/>
  <c r="L207" i="81"/>
  <c r="M207" i="81"/>
  <c r="N207" i="81"/>
  <c r="O207" i="81"/>
  <c r="P207" i="81"/>
  <c r="Q207" i="81"/>
  <c r="R207" i="81"/>
  <c r="S207" i="81"/>
  <c r="H207" i="81"/>
  <c r="G207" i="81"/>
  <c r="E207" i="81"/>
  <c r="L207" i="65" s="1"/>
  <c r="D207" i="81"/>
  <c r="A208" i="81"/>
  <c r="E208" i="81" l="1"/>
  <c r="L208" i="65" s="1"/>
  <c r="U208" i="81"/>
  <c r="F208" i="81"/>
  <c r="R208" i="81"/>
  <c r="S208" i="81"/>
  <c r="D208" i="81"/>
  <c r="L208" i="81"/>
  <c r="M208" i="81"/>
  <c r="N208" i="81"/>
  <c r="O208" i="81"/>
  <c r="P208" i="81"/>
  <c r="Q208" i="81"/>
  <c r="T208" i="81"/>
  <c r="B208" i="81"/>
  <c r="K208" i="81"/>
  <c r="C208" i="81"/>
  <c r="G208" i="81"/>
  <c r="H208" i="81"/>
  <c r="I208" i="81"/>
  <c r="J208" i="81"/>
  <c r="A209" i="81"/>
  <c r="B209" i="81" l="1"/>
  <c r="P209" i="81"/>
  <c r="Q209" i="81"/>
  <c r="D209" i="81"/>
  <c r="T209" i="81"/>
  <c r="M209" i="81"/>
  <c r="N209" i="81"/>
  <c r="O209" i="81"/>
  <c r="R209" i="81"/>
  <c r="S209" i="81"/>
  <c r="C209" i="81"/>
  <c r="E209" i="81"/>
  <c r="L209" i="65" s="1"/>
  <c r="F209" i="81"/>
  <c r="L209" i="81"/>
  <c r="G209" i="81"/>
  <c r="H209" i="81"/>
  <c r="I209" i="81"/>
  <c r="J209" i="81"/>
  <c r="K209" i="81"/>
  <c r="U209" i="81"/>
  <c r="A210" i="81"/>
  <c r="L210" i="81" l="1"/>
  <c r="M210" i="81"/>
  <c r="P210" i="81"/>
  <c r="N210" i="81"/>
  <c r="O210" i="81"/>
  <c r="Q210" i="81"/>
  <c r="R210" i="81"/>
  <c r="S210" i="81"/>
  <c r="B210" i="81"/>
  <c r="U210" i="81"/>
  <c r="C210" i="81"/>
  <c r="D210" i="81"/>
  <c r="E210" i="81"/>
  <c r="L210" i="65" s="1"/>
  <c r="K210" i="81"/>
  <c r="J210" i="81"/>
  <c r="T210" i="81"/>
  <c r="I210" i="81"/>
  <c r="F210" i="81"/>
  <c r="G210" i="81"/>
  <c r="H210" i="81"/>
  <c r="A211" i="81"/>
  <c r="H211" i="81" l="1"/>
  <c r="I211" i="81"/>
  <c r="L211" i="81"/>
  <c r="N211" i="81"/>
  <c r="O211" i="81"/>
  <c r="P211" i="81"/>
  <c r="Q211" i="81"/>
  <c r="R211" i="81"/>
  <c r="T211" i="81"/>
  <c r="B211" i="81"/>
  <c r="U211" i="81"/>
  <c r="C211" i="81"/>
  <c r="D211" i="81"/>
  <c r="M211" i="81"/>
  <c r="E211" i="81"/>
  <c r="L211" i="65" s="1"/>
  <c r="F211" i="81"/>
  <c r="G211" i="81"/>
  <c r="J211" i="81"/>
  <c r="K211" i="81"/>
  <c r="S211" i="81"/>
  <c r="A212" i="81"/>
  <c r="D212" i="81" l="1"/>
  <c r="T212" i="81"/>
  <c r="E212" i="81"/>
  <c r="L212" i="65" s="1"/>
  <c r="U212" i="81"/>
  <c r="H212" i="81"/>
  <c r="M212" i="81"/>
  <c r="N212" i="81"/>
  <c r="O212" i="81"/>
  <c r="P212" i="81"/>
  <c r="Q212" i="81"/>
  <c r="S212" i="81"/>
  <c r="B212" i="81"/>
  <c r="C212" i="81"/>
  <c r="L212" i="81"/>
  <c r="F212" i="81"/>
  <c r="G212" i="81"/>
  <c r="I212" i="81"/>
  <c r="J212" i="81"/>
  <c r="K212" i="81"/>
  <c r="R212" i="81"/>
  <c r="A213" i="81"/>
  <c r="P213" i="81" l="1"/>
  <c r="Q213" i="81"/>
  <c r="D213" i="81"/>
  <c r="T213" i="81"/>
  <c r="L213" i="81"/>
  <c r="M213" i="81"/>
  <c r="N213" i="81"/>
  <c r="O213" i="81"/>
  <c r="R213" i="81"/>
  <c r="U213" i="81"/>
  <c r="B213" i="81"/>
  <c r="C213" i="81"/>
  <c r="E213" i="81"/>
  <c r="L213" i="65" s="1"/>
  <c r="K213" i="81"/>
  <c r="H213" i="81"/>
  <c r="I213" i="81"/>
  <c r="J213" i="81"/>
  <c r="S213" i="81"/>
  <c r="G213" i="81"/>
  <c r="F213" i="81"/>
  <c r="A214" i="81"/>
  <c r="L214" i="81" l="1"/>
  <c r="M214" i="81"/>
  <c r="P214" i="81"/>
  <c r="K214" i="81"/>
  <c r="N214" i="81"/>
  <c r="O214" i="81"/>
  <c r="Q214" i="81"/>
  <c r="R214" i="81"/>
  <c r="T214" i="81"/>
  <c r="B214" i="81"/>
  <c r="U214" i="81"/>
  <c r="C214" i="81"/>
  <c r="D214" i="81"/>
  <c r="J214" i="81"/>
  <c r="E214" i="81"/>
  <c r="L214" i="65" s="1"/>
  <c r="F214" i="81"/>
  <c r="G214" i="81"/>
  <c r="H214" i="81"/>
  <c r="I214" i="81"/>
  <c r="S214" i="81"/>
  <c r="A215" i="81"/>
  <c r="H215" i="81" l="1"/>
  <c r="I215" i="81"/>
  <c r="L215" i="81"/>
  <c r="M215" i="81"/>
  <c r="N215" i="81"/>
  <c r="O215" i="81"/>
  <c r="P215" i="81"/>
  <c r="Q215" i="81"/>
  <c r="S215" i="81"/>
  <c r="T215" i="81"/>
  <c r="B215" i="81"/>
  <c r="U215" i="81"/>
  <c r="C215" i="81"/>
  <c r="K215" i="81"/>
  <c r="D215" i="81"/>
  <c r="R215" i="81"/>
  <c r="E215" i="81"/>
  <c r="L215" i="65" s="1"/>
  <c r="F215" i="81"/>
  <c r="G215" i="81"/>
  <c r="J215" i="81"/>
  <c r="A216" i="81"/>
  <c r="D216" i="81" l="1"/>
  <c r="T216" i="81"/>
  <c r="E216" i="81"/>
  <c r="L216" i="65" s="1"/>
  <c r="U216" i="81"/>
  <c r="H216" i="81"/>
  <c r="L216" i="81"/>
  <c r="M216" i="81"/>
  <c r="N216" i="81"/>
  <c r="O216" i="81"/>
  <c r="P216" i="81"/>
  <c r="R216" i="81"/>
  <c r="S216" i="81"/>
  <c r="B216" i="81"/>
  <c r="K216" i="81"/>
  <c r="C216" i="81"/>
  <c r="F216" i="81"/>
  <c r="G216" i="81"/>
  <c r="I216" i="81"/>
  <c r="J216" i="81"/>
  <c r="Q216" i="81"/>
  <c r="A217" i="81"/>
  <c r="P217" i="81" l="1"/>
  <c r="Q217" i="81"/>
  <c r="D217" i="81"/>
  <c r="T217" i="81"/>
  <c r="K217" i="81"/>
  <c r="L217" i="81"/>
  <c r="M217" i="81"/>
  <c r="N217" i="81"/>
  <c r="O217" i="81"/>
  <c r="S217" i="81"/>
  <c r="U217" i="81"/>
  <c r="B217" i="81"/>
  <c r="C217" i="81"/>
  <c r="J217" i="81"/>
  <c r="E217" i="81"/>
  <c r="L217" i="65" s="1"/>
  <c r="F217" i="81"/>
  <c r="G217" i="81"/>
  <c r="H217" i="81"/>
  <c r="I217" i="81"/>
  <c r="R217" i="81"/>
  <c r="A218" i="81"/>
  <c r="L218" i="81" l="1"/>
  <c r="M218" i="81"/>
  <c r="P218" i="81"/>
  <c r="J218" i="81"/>
  <c r="K218" i="81"/>
  <c r="N218" i="81"/>
  <c r="O218" i="81"/>
  <c r="Q218" i="81"/>
  <c r="S218" i="81"/>
  <c r="T218" i="81"/>
  <c r="B218" i="81"/>
  <c r="U218" i="81"/>
  <c r="C218" i="81"/>
  <c r="I218" i="81"/>
  <c r="H218" i="81"/>
  <c r="R218" i="81"/>
  <c r="G218" i="81"/>
  <c r="D218" i="81"/>
  <c r="E218" i="81"/>
  <c r="L218" i="65" s="1"/>
  <c r="F218" i="81"/>
  <c r="A219" i="81"/>
  <c r="H219" i="81" l="1"/>
  <c r="I219" i="81"/>
  <c r="L219" i="81"/>
  <c r="K219" i="81"/>
  <c r="M219" i="81"/>
  <c r="N219" i="81"/>
  <c r="O219" i="81"/>
  <c r="P219" i="81"/>
  <c r="R219" i="81"/>
  <c r="S219" i="81"/>
  <c r="T219" i="81"/>
  <c r="B219" i="81"/>
  <c r="U219" i="81"/>
  <c r="J219" i="81"/>
  <c r="C219" i="81"/>
  <c r="D219" i="81"/>
  <c r="E219" i="81"/>
  <c r="L219" i="65" s="1"/>
  <c r="F219" i="81"/>
  <c r="G219" i="81"/>
  <c r="Q219" i="81"/>
  <c r="A220" i="81"/>
  <c r="D220" i="81" l="1"/>
  <c r="T220" i="81"/>
  <c r="E220" i="81"/>
  <c r="L220" i="65" s="1"/>
  <c r="U220" i="81"/>
  <c r="H220" i="81"/>
  <c r="K220" i="81"/>
  <c r="L220" i="81"/>
  <c r="M220" i="81"/>
  <c r="N220" i="81"/>
  <c r="O220" i="81"/>
  <c r="Q220" i="81"/>
  <c r="R220" i="81"/>
  <c r="S220" i="81"/>
  <c r="J220" i="81"/>
  <c r="B220" i="81"/>
  <c r="C220" i="81"/>
  <c r="F220" i="81"/>
  <c r="I220" i="81"/>
  <c r="G220" i="81"/>
  <c r="P220" i="81"/>
  <c r="A221" i="81"/>
  <c r="P221" i="81" l="1"/>
  <c r="Q221" i="81"/>
  <c r="D221" i="81"/>
  <c r="T221" i="81"/>
  <c r="J221" i="81"/>
  <c r="K221" i="81"/>
  <c r="L221" i="81"/>
  <c r="M221" i="81"/>
  <c r="N221" i="81"/>
  <c r="R221" i="81"/>
  <c r="S221" i="81"/>
  <c r="U221" i="81"/>
  <c r="B221" i="81"/>
  <c r="I221" i="81"/>
  <c r="F221" i="81"/>
  <c r="G221" i="81"/>
  <c r="H221" i="81"/>
  <c r="O221" i="81"/>
  <c r="E221" i="81"/>
  <c r="L221" i="65" s="1"/>
  <c r="C221" i="81"/>
  <c r="A222" i="81"/>
  <c r="L222" i="81" l="1"/>
  <c r="M222" i="81"/>
  <c r="P222" i="81"/>
  <c r="I222" i="81"/>
  <c r="J222" i="81"/>
  <c r="K222" i="81"/>
  <c r="N222" i="81"/>
  <c r="O222" i="81"/>
  <c r="R222" i="81"/>
  <c r="S222" i="81"/>
  <c r="T222" i="81"/>
  <c r="B222" i="81"/>
  <c r="U222" i="81"/>
  <c r="H222" i="81"/>
  <c r="C222" i="81"/>
  <c r="D222" i="81"/>
  <c r="E222" i="81"/>
  <c r="L222" i="65" s="1"/>
  <c r="F222" i="81"/>
  <c r="G222" i="81"/>
  <c r="Q222" i="81"/>
  <c r="A223" i="81"/>
  <c r="H223" i="81" l="1"/>
  <c r="I223" i="81"/>
  <c r="L223" i="81"/>
  <c r="J223" i="81"/>
  <c r="K223" i="81"/>
  <c r="M223" i="81"/>
  <c r="N223" i="81"/>
  <c r="O223" i="81"/>
  <c r="Q223" i="81"/>
  <c r="R223" i="81"/>
  <c r="S223" i="81"/>
  <c r="T223" i="81"/>
  <c r="G223" i="81"/>
  <c r="U223" i="81"/>
  <c r="B223" i="81"/>
  <c r="P223" i="81"/>
  <c r="C223" i="81"/>
  <c r="D223" i="81"/>
  <c r="E223" i="81"/>
  <c r="L223" i="65" s="1"/>
  <c r="F223" i="81"/>
  <c r="A224" i="81"/>
  <c r="D224" i="81" l="1"/>
  <c r="T224" i="81"/>
  <c r="E224" i="81"/>
  <c r="L224" i="65" s="1"/>
  <c r="U224" i="81"/>
  <c r="H224" i="81"/>
  <c r="J224" i="81"/>
  <c r="K224" i="81"/>
  <c r="L224" i="81"/>
  <c r="M224" i="81"/>
  <c r="N224" i="81"/>
  <c r="P224" i="81"/>
  <c r="Q224" i="81"/>
  <c r="R224" i="81"/>
  <c r="S224" i="81"/>
  <c r="I224" i="81"/>
  <c r="B224" i="81"/>
  <c r="C224" i="81"/>
  <c r="F224" i="81"/>
  <c r="G224" i="81"/>
  <c r="O224" i="81"/>
  <c r="A225" i="81"/>
  <c r="P225" i="81" l="1"/>
  <c r="Q225" i="81"/>
  <c r="D225" i="81"/>
  <c r="T225" i="81"/>
  <c r="I225" i="81"/>
  <c r="J225" i="81"/>
  <c r="K225" i="81"/>
  <c r="L225" i="81"/>
  <c r="M225" i="81"/>
  <c r="O225" i="81"/>
  <c r="R225" i="81"/>
  <c r="S225" i="81"/>
  <c r="U225" i="81"/>
  <c r="H225" i="81"/>
  <c r="B225" i="81"/>
  <c r="C225" i="81"/>
  <c r="E225" i="81"/>
  <c r="L225" i="65" s="1"/>
  <c r="F225" i="81"/>
  <c r="G225" i="81"/>
  <c r="N225" i="81"/>
  <c r="A226" i="81"/>
  <c r="L226" i="81" l="1"/>
  <c r="M226" i="81"/>
  <c r="P226" i="81"/>
  <c r="H226" i="81"/>
  <c r="I226" i="81"/>
  <c r="J226" i="81"/>
  <c r="K226" i="81"/>
  <c r="N226" i="81"/>
  <c r="Q226" i="81"/>
  <c r="R226" i="81"/>
  <c r="S226" i="81"/>
  <c r="T226" i="81"/>
  <c r="G226" i="81"/>
  <c r="F226" i="81"/>
  <c r="O226" i="81"/>
  <c r="U226" i="81"/>
  <c r="E226" i="81"/>
  <c r="L226" i="65" s="1"/>
  <c r="B226" i="81"/>
  <c r="C226" i="81"/>
  <c r="D226" i="81"/>
  <c r="A227" i="81"/>
  <c r="H227" i="81" l="1"/>
  <c r="I227" i="81"/>
  <c r="L227" i="81"/>
  <c r="G227" i="81"/>
  <c r="J227" i="81"/>
  <c r="K227" i="81"/>
  <c r="M227" i="81"/>
  <c r="N227" i="81"/>
  <c r="P227" i="81"/>
  <c r="Q227" i="81"/>
  <c r="R227" i="81"/>
  <c r="S227" i="81"/>
  <c r="F227" i="81"/>
  <c r="B227" i="81"/>
  <c r="C227" i="81"/>
  <c r="D227" i="81"/>
  <c r="E227" i="81"/>
  <c r="L227" i="65" s="1"/>
  <c r="O227" i="81"/>
  <c r="T227" i="81"/>
  <c r="U227" i="81"/>
  <c r="A228" i="81"/>
  <c r="D228" i="81" l="1"/>
  <c r="T228" i="81"/>
  <c r="E228" i="81"/>
  <c r="L228" i="65" s="1"/>
  <c r="U228" i="81"/>
  <c r="H228" i="81"/>
  <c r="I228" i="81"/>
  <c r="J228" i="81"/>
  <c r="K228" i="81"/>
  <c r="L228" i="81"/>
  <c r="M228" i="81"/>
  <c r="O228" i="81"/>
  <c r="P228" i="81"/>
  <c r="Q228" i="81"/>
  <c r="R228" i="81"/>
  <c r="G228" i="81"/>
  <c r="B228" i="81"/>
  <c r="C228" i="81"/>
  <c r="F228" i="81"/>
  <c r="N228" i="81"/>
  <c r="S228" i="81"/>
  <c r="A229" i="81"/>
  <c r="P229" i="81" l="1"/>
  <c r="Q229" i="81"/>
  <c r="D229" i="81"/>
  <c r="T229" i="81"/>
  <c r="H229" i="81"/>
  <c r="I229" i="81"/>
  <c r="J229" i="81"/>
  <c r="K229" i="81"/>
  <c r="L229" i="81"/>
  <c r="N229" i="81"/>
  <c r="O229" i="81"/>
  <c r="R229" i="81"/>
  <c r="S229" i="81"/>
  <c r="G229" i="81"/>
  <c r="C229" i="81"/>
  <c r="E229" i="81"/>
  <c r="L229" i="65" s="1"/>
  <c r="F229" i="81"/>
  <c r="M229" i="81"/>
  <c r="U229" i="81"/>
  <c r="B229" i="81"/>
  <c r="A230" i="81"/>
  <c r="L230" i="81" l="1"/>
  <c r="M230" i="81"/>
  <c r="P230" i="81"/>
  <c r="G230" i="81"/>
  <c r="H230" i="81"/>
  <c r="I230" i="81"/>
  <c r="J230" i="81"/>
  <c r="K230" i="81"/>
  <c r="O230" i="81"/>
  <c r="Q230" i="81"/>
  <c r="R230" i="81"/>
  <c r="S230" i="81"/>
  <c r="F230" i="81"/>
  <c r="B230" i="81"/>
  <c r="C230" i="81"/>
  <c r="D230" i="81"/>
  <c r="E230" i="81"/>
  <c r="L230" i="65" s="1"/>
  <c r="N230" i="81"/>
  <c r="T230" i="81"/>
  <c r="U230" i="81"/>
  <c r="A231" i="81"/>
  <c r="H231" i="81" l="1"/>
  <c r="I231" i="81"/>
  <c r="L231" i="81"/>
  <c r="F231" i="81"/>
  <c r="G231" i="81"/>
  <c r="J231" i="81"/>
  <c r="K231" i="81"/>
  <c r="M231" i="81"/>
  <c r="O231" i="81"/>
  <c r="P231" i="81"/>
  <c r="Q231" i="81"/>
  <c r="R231" i="81"/>
  <c r="E231" i="81"/>
  <c r="L231" i="65" s="1"/>
  <c r="S231" i="81"/>
  <c r="T231" i="81"/>
  <c r="U231" i="81"/>
  <c r="N231" i="81"/>
  <c r="B231" i="81"/>
  <c r="C231" i="81"/>
  <c r="D231" i="81"/>
  <c r="A232" i="81"/>
  <c r="D232" i="81" l="1"/>
  <c r="T232" i="81"/>
  <c r="E232" i="81"/>
  <c r="L232" i="65" s="1"/>
  <c r="U232" i="81"/>
  <c r="H232" i="81"/>
  <c r="G232" i="81"/>
  <c r="I232" i="81"/>
  <c r="J232" i="81"/>
  <c r="K232" i="81"/>
  <c r="L232" i="81"/>
  <c r="N232" i="81"/>
  <c r="O232" i="81"/>
  <c r="P232" i="81"/>
  <c r="Q232" i="81"/>
  <c r="B232" i="81"/>
  <c r="C232" i="81"/>
  <c r="F232" i="81"/>
  <c r="M232" i="81"/>
  <c r="R232" i="81"/>
  <c r="S232" i="81"/>
  <c r="A233" i="81"/>
  <c r="P233" i="81" l="1"/>
  <c r="F233" i="81"/>
  <c r="G233" i="81"/>
  <c r="H233" i="81"/>
  <c r="I233" i="81"/>
  <c r="J233" i="81"/>
  <c r="L233" i="81"/>
  <c r="M233" i="81"/>
  <c r="N233" i="81"/>
  <c r="O233" i="81"/>
  <c r="S233" i="81"/>
  <c r="T233" i="81"/>
  <c r="U233" i="81"/>
  <c r="B233" i="81"/>
  <c r="C233" i="81"/>
  <c r="R233" i="81"/>
  <c r="D233" i="81"/>
  <c r="E233" i="81"/>
  <c r="L233" i="65" s="1"/>
  <c r="K233" i="81"/>
  <c r="Q233" i="81"/>
  <c r="A234" i="81"/>
  <c r="L234" i="81" l="1"/>
  <c r="C234" i="81"/>
  <c r="T234" i="81"/>
  <c r="D234" i="81"/>
  <c r="U234" i="81"/>
  <c r="E234" i="81"/>
  <c r="L234" i="65" s="1"/>
  <c r="F234" i="81"/>
  <c r="G234" i="81"/>
  <c r="I234" i="81"/>
  <c r="J234" i="81"/>
  <c r="K234" i="81"/>
  <c r="M234" i="81"/>
  <c r="B234" i="81"/>
  <c r="H234" i="81"/>
  <c r="N234" i="81"/>
  <c r="O234" i="81"/>
  <c r="P234" i="81"/>
  <c r="Q234" i="81"/>
  <c r="R234" i="81"/>
  <c r="S234" i="81"/>
  <c r="A235" i="81"/>
  <c r="H235" i="81" l="1"/>
  <c r="Q235" i="81"/>
  <c r="R235" i="81"/>
  <c r="B235" i="81"/>
  <c r="S235" i="81"/>
  <c r="C235" i="81"/>
  <c r="T235" i="81"/>
  <c r="D235" i="81"/>
  <c r="U235" i="81"/>
  <c r="F235" i="81"/>
  <c r="G235" i="81"/>
  <c r="I235" i="81"/>
  <c r="J235" i="81"/>
  <c r="O235" i="81"/>
  <c r="P235" i="81"/>
  <c r="N235" i="81"/>
  <c r="E235" i="81"/>
  <c r="L235" i="65" s="1"/>
  <c r="K235" i="81"/>
  <c r="L235" i="81"/>
  <c r="M235" i="81"/>
  <c r="A236" i="81"/>
  <c r="D236" i="81" l="1"/>
  <c r="T236" i="81"/>
  <c r="N236" i="81"/>
  <c r="O236" i="81"/>
  <c r="P236" i="81"/>
  <c r="Q236" i="81"/>
  <c r="R236" i="81"/>
  <c r="C236" i="81"/>
  <c r="U236" i="81"/>
  <c r="E236" i="81"/>
  <c r="L236" i="65" s="1"/>
  <c r="F236" i="81"/>
  <c r="G236" i="81"/>
  <c r="B236" i="81"/>
  <c r="H236" i="81"/>
  <c r="I236" i="81"/>
  <c r="J236" i="81"/>
  <c r="K236" i="81"/>
  <c r="L236" i="81"/>
  <c r="M236" i="81"/>
  <c r="S236" i="81"/>
  <c r="A237" i="81"/>
  <c r="P237" i="81" l="1"/>
  <c r="K237" i="81"/>
  <c r="L237" i="81"/>
  <c r="M237" i="81"/>
  <c r="N237" i="81"/>
  <c r="O237" i="81"/>
  <c r="R237" i="81"/>
  <c r="B237" i="81"/>
  <c r="S237" i="81"/>
  <c r="C237" i="81"/>
  <c r="T237" i="81"/>
  <c r="D237" i="81"/>
  <c r="U237" i="81"/>
  <c r="Q237" i="81"/>
  <c r="E237" i="81"/>
  <c r="L237" i="65" s="1"/>
  <c r="J237" i="81"/>
  <c r="F237" i="81"/>
  <c r="G237" i="81"/>
  <c r="H237" i="81"/>
  <c r="I237" i="81"/>
  <c r="A238" i="81"/>
  <c r="L238" i="81" l="1"/>
  <c r="H238" i="81"/>
  <c r="I238" i="81"/>
  <c r="J238" i="81"/>
  <c r="K238" i="81"/>
  <c r="M238" i="81"/>
  <c r="O238" i="81"/>
  <c r="P238" i="81"/>
  <c r="Q238" i="81"/>
  <c r="R238" i="81"/>
  <c r="B238" i="81"/>
  <c r="C238" i="81"/>
  <c r="D238" i="81"/>
  <c r="E238" i="81"/>
  <c r="L238" i="65" s="1"/>
  <c r="F238" i="81"/>
  <c r="G238" i="81"/>
  <c r="N238" i="81"/>
  <c r="S238" i="81"/>
  <c r="T238" i="81"/>
  <c r="U238" i="81"/>
  <c r="A239" i="81"/>
  <c r="H239" i="81" l="1"/>
  <c r="E239" i="81"/>
  <c r="L239" i="65" s="1"/>
  <c r="F239" i="81"/>
  <c r="G239" i="81"/>
  <c r="I239" i="81"/>
  <c r="J239" i="81"/>
  <c r="L239" i="81"/>
  <c r="M239" i="81"/>
  <c r="N239" i="81"/>
  <c r="O239" i="81"/>
  <c r="Q239" i="81"/>
  <c r="R239" i="81"/>
  <c r="S239" i="81"/>
  <c r="T239" i="81"/>
  <c r="U239" i="81"/>
  <c r="P239" i="81"/>
  <c r="C239" i="81"/>
  <c r="B239" i="81"/>
  <c r="D239" i="81"/>
  <c r="K239" i="81"/>
  <c r="A240" i="81"/>
  <c r="D240" i="81" l="1"/>
  <c r="B240" i="81"/>
  <c r="S240" i="81"/>
  <c r="C240" i="81"/>
  <c r="T240" i="81"/>
  <c r="E240" i="81"/>
  <c r="L240" i="65" s="1"/>
  <c r="U240" i="81"/>
  <c r="F240" i="81"/>
  <c r="G240" i="81"/>
  <c r="I240" i="81"/>
  <c r="J240" i="81"/>
  <c r="K240" i="81"/>
  <c r="L240" i="81"/>
  <c r="H240" i="81"/>
  <c r="M240" i="81"/>
  <c r="N240" i="81"/>
  <c r="O240" i="81"/>
  <c r="P240" i="81"/>
  <c r="Q240" i="81"/>
  <c r="R240" i="81"/>
  <c r="A241" i="81"/>
  <c r="O241" i="81" l="1"/>
  <c r="P241" i="81"/>
  <c r="Q241" i="81"/>
  <c r="B241" i="81"/>
  <c r="R241" i="81"/>
  <c r="C241" i="81"/>
  <c r="S241" i="81"/>
  <c r="E241" i="81"/>
  <c r="L241" i="65" s="1"/>
  <c r="U241" i="81"/>
  <c r="F241" i="81"/>
  <c r="G241" i="81"/>
  <c r="H241" i="81"/>
  <c r="L241" i="81"/>
  <c r="M241" i="81"/>
  <c r="N241" i="81"/>
  <c r="T241" i="81"/>
  <c r="K241" i="81"/>
  <c r="D241" i="81"/>
  <c r="I241" i="81"/>
  <c r="J241" i="81"/>
  <c r="A242" i="81"/>
  <c r="K242" i="81" l="1"/>
  <c r="L242" i="81"/>
  <c r="M242" i="81"/>
  <c r="N242" i="81"/>
  <c r="O242" i="81"/>
  <c r="Q242" i="81"/>
  <c r="B242" i="81"/>
  <c r="R242" i="81"/>
  <c r="C242" i="81"/>
  <c r="S242" i="81"/>
  <c r="D242" i="81"/>
  <c r="T242" i="81"/>
  <c r="E242" i="81"/>
  <c r="L242" i="65" s="1"/>
  <c r="F242" i="81"/>
  <c r="G242" i="81"/>
  <c r="H242" i="81"/>
  <c r="I242" i="81"/>
  <c r="J242" i="81"/>
  <c r="P242" i="81"/>
  <c r="U242" i="81"/>
  <c r="A243" i="81"/>
  <c r="G243" i="81" l="1"/>
  <c r="H243" i="81"/>
  <c r="I243" i="81"/>
  <c r="J243" i="81"/>
  <c r="K243" i="81"/>
  <c r="M243" i="81"/>
  <c r="N243" i="81"/>
  <c r="O243" i="81"/>
  <c r="P243" i="81"/>
  <c r="F243" i="81"/>
  <c r="L243" i="81"/>
  <c r="Q243" i="81"/>
  <c r="R243" i="81"/>
  <c r="S243" i="81"/>
  <c r="T243" i="81"/>
  <c r="U243" i="81"/>
  <c r="E243" i="81"/>
  <c r="L243" i="65" s="1"/>
  <c r="B243" i="81"/>
  <c r="C243" i="81"/>
  <c r="D243" i="81"/>
  <c r="A244" i="81"/>
  <c r="C244" i="81" l="1"/>
  <c r="S244" i="81"/>
  <c r="D244" i="81"/>
  <c r="T244" i="81"/>
  <c r="E244" i="81"/>
  <c r="L244" i="65" s="1"/>
  <c r="U244" i="81"/>
  <c r="F244" i="81"/>
  <c r="G244" i="81"/>
  <c r="I244" i="81"/>
  <c r="J244" i="81"/>
  <c r="K244" i="81"/>
  <c r="L244" i="81"/>
  <c r="B244" i="81"/>
  <c r="H244" i="81"/>
  <c r="M244" i="81"/>
  <c r="N244" i="81"/>
  <c r="O244" i="81"/>
  <c r="P244" i="81"/>
  <c r="Q244" i="81"/>
  <c r="R244" i="81"/>
  <c r="A245" i="81"/>
  <c r="O245" i="81" l="1"/>
  <c r="P245" i="81"/>
  <c r="Q245" i="81"/>
  <c r="B245" i="81"/>
  <c r="R245" i="81"/>
  <c r="C245" i="81"/>
  <c r="S245" i="81"/>
  <c r="E245" i="81"/>
  <c r="L245" i="65" s="1"/>
  <c r="U245" i="81"/>
  <c r="F245" i="81"/>
  <c r="G245" i="81"/>
  <c r="H245" i="81"/>
  <c r="I245" i="81"/>
  <c r="J245" i="81"/>
  <c r="K245" i="81"/>
  <c r="L245" i="81"/>
  <c r="M245" i="81"/>
  <c r="N245" i="81"/>
  <c r="T245" i="81"/>
  <c r="D245" i="81"/>
  <c r="A246" i="81"/>
  <c r="K246" i="81" l="1"/>
  <c r="L246" i="81"/>
  <c r="M246" i="81"/>
  <c r="N246" i="81"/>
  <c r="O246" i="81"/>
  <c r="Q246" i="81"/>
  <c r="B246" i="81"/>
  <c r="R246" i="81"/>
  <c r="C246" i="81"/>
  <c r="S246" i="81"/>
  <c r="D246" i="81"/>
  <c r="T246" i="81"/>
  <c r="E246" i="81"/>
  <c r="L246" i="65" s="1"/>
  <c r="F246" i="81"/>
  <c r="G246" i="81"/>
  <c r="H246" i="81"/>
  <c r="J246" i="81"/>
  <c r="I246" i="81"/>
  <c r="P246" i="81"/>
  <c r="U246" i="81"/>
  <c r="A247" i="81"/>
  <c r="G247" i="81" l="1"/>
  <c r="H247" i="81"/>
  <c r="I247" i="81"/>
  <c r="J247" i="81"/>
  <c r="K247" i="81"/>
  <c r="M247" i="81"/>
  <c r="N247" i="81"/>
  <c r="O247" i="81"/>
  <c r="P247" i="81"/>
  <c r="C247" i="81"/>
  <c r="D247" i="81"/>
  <c r="E247" i="81"/>
  <c r="L247" i="65" s="1"/>
  <c r="F247" i="81"/>
  <c r="L247" i="81"/>
  <c r="Q247" i="81"/>
  <c r="R247" i="81"/>
  <c r="S247" i="81"/>
  <c r="T247" i="81"/>
  <c r="U247" i="81"/>
  <c r="B247" i="81"/>
  <c r="A248" i="81"/>
  <c r="C248" i="81" l="1"/>
  <c r="S248" i="81"/>
  <c r="D248" i="81"/>
  <c r="T248" i="81"/>
  <c r="E248" i="81"/>
  <c r="L248" i="65" s="1"/>
  <c r="U248" i="81"/>
  <c r="F248" i="81"/>
  <c r="G248" i="81"/>
  <c r="I248" i="81"/>
  <c r="J248" i="81"/>
  <c r="K248" i="81"/>
  <c r="L248" i="81"/>
  <c r="Q248" i="81"/>
  <c r="R248" i="81"/>
  <c r="B248" i="81"/>
  <c r="P248" i="81"/>
  <c r="H248" i="81"/>
  <c r="M248" i="81"/>
  <c r="N248" i="81"/>
  <c r="O248" i="81"/>
  <c r="A249" i="81"/>
  <c r="O249" i="81" l="1"/>
  <c r="P249" i="81"/>
  <c r="Q249" i="81"/>
  <c r="B249" i="81"/>
  <c r="R249" i="81"/>
  <c r="C249" i="81"/>
  <c r="S249" i="81"/>
  <c r="E249" i="81"/>
  <c r="L249" i="65" s="1"/>
  <c r="U249" i="81"/>
  <c r="F249" i="81"/>
  <c r="G249" i="81"/>
  <c r="H249" i="81"/>
  <c r="D249" i="81"/>
  <c r="I249" i="81"/>
  <c r="J249" i="81"/>
  <c r="K249" i="81"/>
  <c r="L249" i="81"/>
  <c r="M249" i="81"/>
  <c r="N249" i="81"/>
  <c r="T249" i="81"/>
  <c r="A250" i="81"/>
  <c r="K250" i="81" l="1"/>
  <c r="L250" i="81"/>
  <c r="M250" i="81"/>
  <c r="N250" i="81"/>
  <c r="O250" i="81"/>
  <c r="Q250" i="81"/>
  <c r="B250" i="81"/>
  <c r="R250" i="81"/>
  <c r="C250" i="81"/>
  <c r="S250" i="81"/>
  <c r="D250" i="81"/>
  <c r="T250" i="81"/>
  <c r="P250" i="81"/>
  <c r="U250" i="81"/>
  <c r="E250" i="81"/>
  <c r="L250" i="65" s="1"/>
  <c r="J250" i="81"/>
  <c r="F250" i="81"/>
  <c r="G250" i="81"/>
  <c r="H250" i="81"/>
  <c r="I250" i="81"/>
  <c r="A251" i="81"/>
  <c r="G251" i="81" l="1"/>
  <c r="H251" i="81"/>
  <c r="I251" i="81"/>
  <c r="K251" i="81"/>
  <c r="M251" i="81"/>
  <c r="N251" i="81"/>
  <c r="O251" i="81"/>
  <c r="P251" i="81"/>
  <c r="B251" i="81"/>
  <c r="C251" i="81"/>
  <c r="D251" i="81"/>
  <c r="E251" i="81"/>
  <c r="L251" i="65" s="1"/>
  <c r="F251" i="81"/>
  <c r="J251" i="81"/>
  <c r="L251" i="81"/>
  <c r="Q251" i="81"/>
  <c r="R251" i="81"/>
  <c r="S251" i="81"/>
  <c r="T251" i="81"/>
  <c r="U251" i="81"/>
  <c r="A252" i="81"/>
  <c r="C252" i="81" l="1"/>
  <c r="S252" i="81"/>
  <c r="D252" i="81"/>
  <c r="T252" i="81"/>
  <c r="E252" i="81"/>
  <c r="L252" i="65" s="1"/>
  <c r="U252" i="81"/>
  <c r="G252" i="81"/>
  <c r="I252" i="81"/>
  <c r="J252" i="81"/>
  <c r="K252" i="81"/>
  <c r="L252" i="81"/>
  <c r="H252" i="81"/>
  <c r="M252" i="81"/>
  <c r="N252" i="81"/>
  <c r="O252" i="81"/>
  <c r="P252" i="81"/>
  <c r="Q252" i="81"/>
  <c r="R252" i="81"/>
  <c r="F252" i="81"/>
  <c r="B252" i="81"/>
  <c r="A253" i="81"/>
  <c r="O253" i="81" l="1"/>
  <c r="P253" i="81"/>
  <c r="Q253" i="81"/>
  <c r="C253" i="81"/>
  <c r="S253" i="81"/>
  <c r="E253" i="81"/>
  <c r="L253" i="65" s="1"/>
  <c r="U253" i="81"/>
  <c r="F253" i="81"/>
  <c r="G253" i="81"/>
  <c r="H253" i="81"/>
  <c r="T253" i="81"/>
  <c r="B253" i="81"/>
  <c r="D253" i="81"/>
  <c r="I253" i="81"/>
  <c r="J253" i="81"/>
  <c r="R253" i="81"/>
  <c r="L253" i="81"/>
  <c r="K253" i="81"/>
  <c r="M253" i="81"/>
  <c r="N253" i="81"/>
  <c r="A254" i="81"/>
  <c r="K254" i="81" l="1"/>
  <c r="L254" i="81"/>
  <c r="M254" i="81"/>
  <c r="O254" i="81"/>
  <c r="Q254" i="81"/>
  <c r="B254" i="81"/>
  <c r="R254" i="81"/>
  <c r="C254" i="81"/>
  <c r="S254" i="81"/>
  <c r="D254" i="81"/>
  <c r="T254" i="81"/>
  <c r="E254" i="81"/>
  <c r="L254" i="65" s="1"/>
  <c r="F254" i="81"/>
  <c r="G254" i="81"/>
  <c r="H254" i="81"/>
  <c r="I254" i="81"/>
  <c r="J254" i="81"/>
  <c r="N254" i="81"/>
  <c r="P254" i="81"/>
  <c r="U254" i="81"/>
  <c r="A255" i="81"/>
  <c r="G255" i="81" l="1"/>
  <c r="H255" i="81"/>
  <c r="I255" i="81"/>
  <c r="K255" i="81"/>
  <c r="M255" i="81"/>
  <c r="N255" i="81"/>
  <c r="O255" i="81"/>
  <c r="P255" i="81"/>
  <c r="L255" i="81"/>
  <c r="Q255" i="81"/>
  <c r="R255" i="81"/>
  <c r="S255" i="81"/>
  <c r="T255" i="81"/>
  <c r="U255" i="81"/>
  <c r="B255" i="81"/>
  <c r="J255" i="81"/>
  <c r="C255" i="81"/>
  <c r="D255" i="81"/>
  <c r="E255" i="81"/>
  <c r="L255" i="65" s="1"/>
  <c r="F255" i="81"/>
  <c r="A256" i="81"/>
  <c r="C256" i="81" l="1"/>
  <c r="S256" i="81"/>
  <c r="D256" i="81"/>
  <c r="T256" i="81"/>
  <c r="E256" i="81"/>
  <c r="L256" i="65" s="1"/>
  <c r="U256" i="81"/>
  <c r="G256" i="81"/>
  <c r="I256" i="81"/>
  <c r="J256" i="81"/>
  <c r="K256" i="81"/>
  <c r="L256" i="81"/>
  <c r="B256" i="81"/>
  <c r="F256" i="81"/>
  <c r="H256" i="81"/>
  <c r="M256" i="81"/>
  <c r="N256" i="81"/>
  <c r="O256" i="81"/>
  <c r="P256" i="81"/>
  <c r="Q256" i="81"/>
  <c r="R256" i="81"/>
  <c r="A257" i="81"/>
  <c r="O257" i="81" l="1"/>
  <c r="P257" i="81"/>
  <c r="Q257" i="81"/>
  <c r="C257" i="81"/>
  <c r="S257" i="81"/>
  <c r="E257" i="81"/>
  <c r="L257" i="65" s="1"/>
  <c r="U257" i="81"/>
  <c r="F257" i="81"/>
  <c r="G257" i="81"/>
  <c r="D257" i="81"/>
  <c r="H257" i="81"/>
  <c r="I257" i="81"/>
  <c r="J257" i="81"/>
  <c r="K257" i="81"/>
  <c r="L257" i="81"/>
  <c r="M257" i="81"/>
  <c r="N257" i="81"/>
  <c r="R257" i="81"/>
  <c r="T257" i="81"/>
  <c r="B257" i="81"/>
  <c r="A258" i="81"/>
  <c r="K258" i="81" l="1"/>
  <c r="L258" i="81"/>
  <c r="M258" i="81"/>
  <c r="Q258" i="81"/>
  <c r="B258" i="81"/>
  <c r="R258" i="81"/>
  <c r="C258" i="81"/>
  <c r="S258" i="81"/>
  <c r="J258" i="81"/>
  <c r="N258" i="81"/>
  <c r="O258" i="81"/>
  <c r="P258" i="81"/>
  <c r="T258" i="81"/>
  <c r="U258" i="81"/>
  <c r="D258" i="81"/>
  <c r="I258" i="81"/>
  <c r="E258" i="81"/>
  <c r="L258" i="65" s="1"/>
  <c r="F258" i="81"/>
  <c r="G258" i="81"/>
  <c r="H258" i="81"/>
  <c r="A259" i="81"/>
  <c r="G259" i="81" l="1"/>
  <c r="H259" i="81"/>
  <c r="I259" i="81"/>
  <c r="M259" i="81"/>
  <c r="N259" i="81"/>
  <c r="O259" i="81"/>
  <c r="R259" i="81"/>
  <c r="S259" i="81"/>
  <c r="T259" i="81"/>
  <c r="U259" i="81"/>
  <c r="B259" i="81"/>
  <c r="C259" i="81"/>
  <c r="D259" i="81"/>
  <c r="E259" i="81"/>
  <c r="L259" i="65" s="1"/>
  <c r="F259" i="81"/>
  <c r="Q259" i="81"/>
  <c r="K259" i="81"/>
  <c r="J259" i="81"/>
  <c r="L259" i="81"/>
  <c r="P259" i="81"/>
  <c r="A260" i="81"/>
  <c r="C260" i="81" l="1"/>
  <c r="S260" i="81"/>
  <c r="D260" i="81"/>
  <c r="T260" i="81"/>
  <c r="E260" i="81"/>
  <c r="L260" i="65" s="1"/>
  <c r="U260" i="81"/>
  <c r="I260" i="81"/>
  <c r="J260" i="81"/>
  <c r="K260" i="81"/>
  <c r="B260" i="81"/>
  <c r="F260" i="81"/>
  <c r="G260" i="81"/>
  <c r="H260" i="81"/>
  <c r="L260" i="81"/>
  <c r="M260" i="81"/>
  <c r="N260" i="81"/>
  <c r="O260" i="81"/>
  <c r="P260" i="81"/>
  <c r="Q260" i="81"/>
  <c r="R260" i="81"/>
  <c r="A261" i="81"/>
  <c r="O261" i="81" l="1"/>
  <c r="P261" i="81"/>
  <c r="Q261" i="81"/>
  <c r="E261" i="81"/>
  <c r="L261" i="65" s="1"/>
  <c r="U261" i="81"/>
  <c r="F261" i="81"/>
  <c r="G261" i="81"/>
  <c r="C261" i="81"/>
  <c r="D261" i="81"/>
  <c r="H261" i="81"/>
  <c r="I261" i="81"/>
  <c r="J261" i="81"/>
  <c r="K261" i="81"/>
  <c r="L261" i="81"/>
  <c r="M261" i="81"/>
  <c r="N261" i="81"/>
  <c r="R261" i="81"/>
  <c r="S261" i="81"/>
  <c r="B261" i="81"/>
  <c r="T261" i="81"/>
  <c r="A262" i="81"/>
  <c r="K262" i="81" l="1"/>
  <c r="L262" i="81"/>
  <c r="M262" i="81"/>
  <c r="Q262" i="81"/>
  <c r="B262" i="81"/>
  <c r="R262" i="81"/>
  <c r="C262" i="81"/>
  <c r="S262" i="81"/>
  <c r="H262" i="81"/>
  <c r="I262" i="81"/>
  <c r="J262" i="81"/>
  <c r="N262" i="81"/>
  <c r="O262" i="81"/>
  <c r="T262" i="81"/>
  <c r="U262" i="81"/>
  <c r="G262" i="81"/>
  <c r="D262" i="81"/>
  <c r="E262" i="81"/>
  <c r="L262" i="65" s="1"/>
  <c r="F262" i="81"/>
  <c r="P262" i="81"/>
  <c r="A263" i="81"/>
  <c r="G263" i="81" l="1"/>
  <c r="H263" i="81"/>
  <c r="I263" i="81"/>
  <c r="M263" i="81"/>
  <c r="N263" i="81"/>
  <c r="O263" i="81"/>
  <c r="P263" i="81"/>
  <c r="Q263" i="81"/>
  <c r="R263" i="81"/>
  <c r="S263" i="81"/>
  <c r="U263" i="81"/>
  <c r="B263" i="81"/>
  <c r="C263" i="81"/>
  <c r="D263" i="81"/>
  <c r="L263" i="81"/>
  <c r="E263" i="81"/>
  <c r="L263" i="65" s="1"/>
  <c r="F263" i="81"/>
  <c r="T263" i="81"/>
  <c r="J263" i="81"/>
  <c r="K263" i="81"/>
  <c r="A264" i="81"/>
  <c r="C264" i="81" l="1"/>
  <c r="S264" i="81"/>
  <c r="D264" i="81"/>
  <c r="T264" i="81"/>
  <c r="E264" i="81"/>
  <c r="L264" i="65" s="1"/>
  <c r="U264" i="81"/>
  <c r="I264" i="81"/>
  <c r="J264" i="81"/>
  <c r="P264" i="81"/>
  <c r="Q264" i="81"/>
  <c r="R264" i="81"/>
  <c r="B264" i="81"/>
  <c r="F264" i="81"/>
  <c r="G264" i="81"/>
  <c r="H264" i="81"/>
  <c r="O264" i="81"/>
  <c r="M264" i="81"/>
  <c r="N264" i="81"/>
  <c r="K264" i="81"/>
  <c r="L264" i="81"/>
  <c r="A265" i="81"/>
  <c r="O265" i="81" l="1"/>
  <c r="P265" i="81"/>
  <c r="Q265" i="81"/>
  <c r="E265" i="81"/>
  <c r="L265" i="65" s="1"/>
  <c r="U265" i="81"/>
  <c r="F265" i="81"/>
  <c r="T265" i="81"/>
  <c r="B265" i="81"/>
  <c r="C265" i="81"/>
  <c r="G265" i="81"/>
  <c r="H265" i="81"/>
  <c r="I265" i="81"/>
  <c r="J265" i="81"/>
  <c r="K265" i="81"/>
  <c r="S265" i="81"/>
  <c r="D265" i="81"/>
  <c r="L265" i="81"/>
  <c r="M265" i="81"/>
  <c r="N265" i="81"/>
  <c r="R265" i="81"/>
  <c r="A266" i="81"/>
  <c r="K266" i="81" l="1"/>
  <c r="L266" i="81"/>
  <c r="M266" i="81"/>
  <c r="Q266" i="81"/>
  <c r="B266" i="81"/>
  <c r="R266" i="81"/>
  <c r="C266" i="81"/>
  <c r="D266" i="81"/>
  <c r="E266" i="81"/>
  <c r="L266" i="65" s="1"/>
  <c r="F266" i="81"/>
  <c r="H266" i="81"/>
  <c r="I266" i="81"/>
  <c r="J266" i="81"/>
  <c r="N266" i="81"/>
  <c r="O266" i="81"/>
  <c r="G266" i="81"/>
  <c r="P266" i="81"/>
  <c r="S266" i="81"/>
  <c r="T266" i="81"/>
  <c r="U266" i="81"/>
  <c r="A267" i="81"/>
  <c r="G267" i="81" l="1"/>
  <c r="H267" i="81"/>
  <c r="I267" i="81"/>
  <c r="M267" i="81"/>
  <c r="N267" i="81"/>
  <c r="C267" i="81"/>
  <c r="D267" i="81"/>
  <c r="E267" i="81"/>
  <c r="L267" i="65" s="1"/>
  <c r="F267" i="81"/>
  <c r="J267" i="81"/>
  <c r="L267" i="81"/>
  <c r="O267" i="81"/>
  <c r="P267" i="81"/>
  <c r="Q267" i="81"/>
  <c r="R267" i="81"/>
  <c r="B267" i="81"/>
  <c r="S267" i="81"/>
  <c r="K267" i="81"/>
  <c r="T267" i="81"/>
  <c r="U267" i="81"/>
  <c r="A268" i="81"/>
  <c r="C268" i="81" l="1"/>
  <c r="S268" i="81"/>
  <c r="D268" i="81"/>
  <c r="T268" i="81"/>
  <c r="E268" i="81"/>
  <c r="L268" i="65" s="1"/>
  <c r="U268" i="81"/>
  <c r="I268" i="81"/>
  <c r="J268" i="81"/>
  <c r="G268" i="81"/>
  <c r="H268" i="81"/>
  <c r="K268" i="81"/>
  <c r="L268" i="81"/>
  <c r="M268" i="81"/>
  <c r="O268" i="81"/>
  <c r="P268" i="81"/>
  <c r="Q268" i="81"/>
  <c r="R268" i="81"/>
  <c r="F268" i="81"/>
  <c r="B268" i="81"/>
  <c r="N268" i="81"/>
  <c r="A269" i="81"/>
  <c r="O269" i="81" l="1"/>
  <c r="P269" i="81"/>
  <c r="Q269" i="81"/>
  <c r="E269" i="81"/>
  <c r="L269" i="65" s="1"/>
  <c r="U269" i="81"/>
  <c r="F269" i="81"/>
  <c r="J269" i="81"/>
  <c r="K269" i="81"/>
  <c r="L269" i="81"/>
  <c r="M269" i="81"/>
  <c r="N269" i="81"/>
  <c r="S269" i="81"/>
  <c r="T269" i="81"/>
  <c r="B269" i="81"/>
  <c r="I269" i="81"/>
  <c r="C269" i="81"/>
  <c r="D269" i="81"/>
  <c r="G269" i="81"/>
  <c r="H269" i="81"/>
  <c r="R269" i="81"/>
  <c r="A270" i="81"/>
  <c r="K270" i="81" l="1"/>
  <c r="L270" i="81"/>
  <c r="M270" i="81"/>
  <c r="Q270" i="81"/>
  <c r="B270" i="81"/>
  <c r="R270" i="81"/>
  <c r="N270" i="81"/>
  <c r="O270" i="81"/>
  <c r="P270" i="81"/>
  <c r="S270" i="81"/>
  <c r="T270" i="81"/>
  <c r="C270" i="81"/>
  <c r="D270" i="81"/>
  <c r="E270" i="81"/>
  <c r="L270" i="65" s="1"/>
  <c r="J270" i="81"/>
  <c r="F270" i="81"/>
  <c r="G270" i="81"/>
  <c r="H270" i="81"/>
  <c r="I270" i="81"/>
  <c r="U270" i="81"/>
  <c r="A271" i="81"/>
  <c r="G271" i="81" l="1"/>
  <c r="H271" i="81"/>
  <c r="I271" i="81"/>
  <c r="M271" i="81"/>
  <c r="N271" i="81"/>
  <c r="Q271" i="81"/>
  <c r="R271" i="81"/>
  <c r="S271" i="81"/>
  <c r="T271" i="81"/>
  <c r="U271" i="81"/>
  <c r="B271" i="81"/>
  <c r="C271" i="81"/>
  <c r="D271" i="81"/>
  <c r="E271" i="81"/>
  <c r="L271" i="65" s="1"/>
  <c r="F271" i="81"/>
  <c r="P271" i="81"/>
  <c r="K271" i="81"/>
  <c r="J271" i="81"/>
  <c r="L271" i="81"/>
  <c r="O271" i="81"/>
  <c r="A272" i="81"/>
  <c r="C272" i="81" l="1"/>
  <c r="S272" i="81"/>
  <c r="D272" i="81"/>
  <c r="T272" i="81"/>
  <c r="E272" i="81"/>
  <c r="L272" i="65" s="1"/>
  <c r="U272" i="81"/>
  <c r="I272" i="81"/>
  <c r="J272" i="81"/>
  <c r="R272" i="81"/>
  <c r="F272" i="81"/>
  <c r="G272" i="81"/>
  <c r="H272" i="81"/>
  <c r="K272" i="81"/>
  <c r="L272" i="81"/>
  <c r="Q272" i="81"/>
  <c r="B272" i="81"/>
  <c r="M272" i="81"/>
  <c r="N272" i="81"/>
  <c r="O272" i="81"/>
  <c r="P272" i="81"/>
  <c r="A273" i="81"/>
  <c r="O273" i="81" l="1"/>
  <c r="P273" i="81"/>
  <c r="Q273" i="81"/>
  <c r="E273" i="81"/>
  <c r="L273" i="65" s="1"/>
  <c r="U273" i="81"/>
  <c r="F273" i="81"/>
  <c r="B273" i="81"/>
  <c r="C273" i="81"/>
  <c r="D273" i="81"/>
  <c r="G273" i="81"/>
  <c r="I273" i="81"/>
  <c r="J273" i="81"/>
  <c r="K273" i="81"/>
  <c r="L273" i="81"/>
  <c r="M273" i="81"/>
  <c r="H273" i="81"/>
  <c r="N273" i="81"/>
  <c r="R273" i="81"/>
  <c r="S273" i="81"/>
  <c r="T273" i="81"/>
  <c r="A274" i="81"/>
  <c r="K274" i="81" l="1"/>
  <c r="L274" i="81"/>
  <c r="M274" i="81"/>
  <c r="Q274" i="81"/>
  <c r="B274" i="81"/>
  <c r="R274" i="81"/>
  <c r="D274" i="81"/>
  <c r="E274" i="81"/>
  <c r="L274" i="65" s="1"/>
  <c r="F274" i="81"/>
  <c r="G274" i="81"/>
  <c r="H274" i="81"/>
  <c r="J274" i="81"/>
  <c r="N274" i="81"/>
  <c r="O274" i="81"/>
  <c r="P274" i="81"/>
  <c r="S274" i="81"/>
  <c r="C274" i="81"/>
  <c r="I274" i="81"/>
  <c r="T274" i="81"/>
  <c r="U274" i="81"/>
  <c r="A275" i="81"/>
  <c r="G275" i="81" l="1"/>
  <c r="H275" i="81"/>
  <c r="I275" i="81"/>
  <c r="M275" i="81"/>
  <c r="N275" i="81"/>
  <c r="E275" i="81"/>
  <c r="L275" i="65" s="1"/>
  <c r="F275" i="81"/>
  <c r="J275" i="81"/>
  <c r="K275" i="81"/>
  <c r="L275" i="81"/>
  <c r="P275" i="81"/>
  <c r="Q275" i="81"/>
  <c r="R275" i="81"/>
  <c r="S275" i="81"/>
  <c r="T275" i="81"/>
  <c r="D275" i="81"/>
  <c r="U275" i="81"/>
  <c r="B275" i="81"/>
  <c r="C275" i="81"/>
  <c r="O275" i="81"/>
  <c r="A276" i="81"/>
  <c r="C276" i="81" l="1"/>
  <c r="S276" i="81"/>
  <c r="D276" i="81"/>
  <c r="T276" i="81"/>
  <c r="E276" i="81"/>
  <c r="L276" i="65" s="1"/>
  <c r="U276" i="81"/>
  <c r="I276" i="81"/>
  <c r="J276" i="81"/>
  <c r="K276" i="81"/>
  <c r="L276" i="81"/>
  <c r="M276" i="81"/>
  <c r="N276" i="81"/>
  <c r="O276" i="81"/>
  <c r="Q276" i="81"/>
  <c r="R276" i="81"/>
  <c r="H276" i="81"/>
  <c r="B276" i="81"/>
  <c r="F276" i="81"/>
  <c r="G276" i="81"/>
  <c r="P276" i="81"/>
  <c r="A277" i="81"/>
  <c r="O277" i="81" l="1"/>
  <c r="P277" i="81"/>
  <c r="Q277" i="81"/>
  <c r="E277" i="81"/>
  <c r="L277" i="65" s="1"/>
  <c r="U277" i="81"/>
  <c r="K277" i="81"/>
  <c r="L277" i="81"/>
  <c r="M277" i="81"/>
  <c r="N277" i="81"/>
  <c r="R277" i="81"/>
  <c r="T277" i="81"/>
  <c r="B277" i="81"/>
  <c r="C277" i="81"/>
  <c r="D277" i="81"/>
  <c r="J277" i="81"/>
  <c r="F277" i="81"/>
  <c r="G277" i="81"/>
  <c r="H277" i="81"/>
  <c r="I277" i="81"/>
  <c r="S277" i="81"/>
  <c r="A278" i="81"/>
  <c r="K278" i="81" l="1"/>
  <c r="L278" i="81"/>
  <c r="M278" i="81"/>
  <c r="Q278" i="81"/>
  <c r="N278" i="81"/>
  <c r="O278" i="81"/>
  <c r="P278" i="81"/>
  <c r="R278" i="81"/>
  <c r="S278" i="81"/>
  <c r="U278" i="81"/>
  <c r="B278" i="81"/>
  <c r="C278" i="81"/>
  <c r="D278" i="81"/>
  <c r="E278" i="81"/>
  <c r="L278" i="65" s="1"/>
  <c r="J278" i="81"/>
  <c r="F278" i="81"/>
  <c r="I278" i="81"/>
  <c r="G278" i="81"/>
  <c r="H278" i="81"/>
  <c r="T278" i="81"/>
  <c r="A279" i="81"/>
  <c r="G279" i="81" l="1"/>
  <c r="H279" i="81"/>
  <c r="I279" i="81"/>
  <c r="M279" i="81"/>
  <c r="O279" i="81"/>
  <c r="P279" i="81"/>
  <c r="Q279" i="81"/>
  <c r="R279" i="81"/>
  <c r="S279" i="81"/>
  <c r="U279" i="81"/>
  <c r="B279" i="81"/>
  <c r="C279" i="81"/>
  <c r="D279" i="81"/>
  <c r="E279" i="81"/>
  <c r="L279" i="65" s="1"/>
  <c r="N279" i="81"/>
  <c r="J279" i="81"/>
  <c r="K279" i="81"/>
  <c r="L279" i="81"/>
  <c r="T279" i="81"/>
  <c r="F279" i="81"/>
  <c r="A280" i="81"/>
  <c r="C280" i="81" l="1"/>
  <c r="S280" i="81"/>
  <c r="D280" i="81"/>
  <c r="T280" i="81"/>
  <c r="E280" i="81"/>
  <c r="L280" i="65" s="1"/>
  <c r="U280" i="81"/>
  <c r="I280" i="81"/>
  <c r="O280" i="81"/>
  <c r="P280" i="81"/>
  <c r="Q280" i="81"/>
  <c r="R280" i="81"/>
  <c r="B280" i="81"/>
  <c r="F280" i="81"/>
  <c r="G280" i="81"/>
  <c r="H280" i="81"/>
  <c r="N280" i="81"/>
  <c r="J280" i="81"/>
  <c r="K280" i="81"/>
  <c r="L280" i="81"/>
  <c r="M280" i="81"/>
  <c r="A281" i="81"/>
  <c r="O281" i="81" l="1"/>
  <c r="P281" i="81"/>
  <c r="Q281" i="81"/>
  <c r="E281" i="81"/>
  <c r="L281" i="65" s="1"/>
  <c r="U281" i="81"/>
  <c r="R281" i="81"/>
  <c r="S281" i="81"/>
  <c r="T281" i="81"/>
  <c r="B281" i="81"/>
  <c r="D281" i="81"/>
  <c r="F281" i="81"/>
  <c r="G281" i="81"/>
  <c r="H281" i="81"/>
  <c r="I281" i="81"/>
  <c r="N281" i="81"/>
  <c r="C281" i="81"/>
  <c r="J281" i="81"/>
  <c r="K281" i="81"/>
  <c r="L281" i="81"/>
  <c r="M281" i="81"/>
  <c r="A282" i="81"/>
  <c r="K282" i="81" l="1"/>
  <c r="L282" i="81"/>
  <c r="M282" i="81"/>
  <c r="Q282" i="81"/>
  <c r="S282" i="81"/>
  <c r="T282" i="81"/>
  <c r="U282" i="81"/>
  <c r="B282" i="81"/>
  <c r="C282" i="81"/>
  <c r="E282" i="81"/>
  <c r="L282" i="65" s="1"/>
  <c r="F282" i="81"/>
  <c r="G282" i="81"/>
  <c r="H282" i="81"/>
  <c r="I282" i="81"/>
  <c r="R282" i="81"/>
  <c r="O282" i="81"/>
  <c r="P282" i="81"/>
  <c r="D282" i="81"/>
  <c r="J282" i="81"/>
  <c r="N282" i="81"/>
  <c r="A283" i="81"/>
  <c r="G283" i="81" l="1"/>
  <c r="H283" i="81"/>
  <c r="I283" i="81"/>
  <c r="M283" i="81"/>
  <c r="S283" i="81"/>
  <c r="T283" i="81"/>
  <c r="U283" i="81"/>
  <c r="B283" i="81"/>
  <c r="C283" i="81"/>
  <c r="E283" i="81"/>
  <c r="L283" i="65" s="1"/>
  <c r="F283" i="81"/>
  <c r="J283" i="81"/>
  <c r="K283" i="81"/>
  <c r="L283" i="81"/>
  <c r="R283" i="81"/>
  <c r="D283" i="81"/>
  <c r="N283" i="81"/>
  <c r="O283" i="81"/>
  <c r="P283" i="81"/>
  <c r="Q283" i="81"/>
  <c r="A284" i="81"/>
  <c r="C284" i="81" l="1"/>
  <c r="S284" i="81"/>
  <c r="D284" i="81"/>
  <c r="T284" i="81"/>
  <c r="E284" i="81"/>
  <c r="L284" i="65" s="1"/>
  <c r="U284" i="81"/>
  <c r="I284" i="81"/>
  <c r="B284" i="81"/>
  <c r="F284" i="81"/>
  <c r="H284" i="81"/>
  <c r="J284" i="81"/>
  <c r="K284" i="81"/>
  <c r="L284" i="81"/>
  <c r="M284" i="81"/>
  <c r="R284" i="81"/>
  <c r="G284" i="81"/>
  <c r="N284" i="81"/>
  <c r="O284" i="81"/>
  <c r="P284" i="81"/>
  <c r="Q284" i="81"/>
  <c r="A285" i="81"/>
  <c r="O285" i="81" l="1"/>
  <c r="P285" i="81"/>
  <c r="Q285" i="81"/>
  <c r="E285" i="81"/>
  <c r="L285" i="65" s="1"/>
  <c r="U285" i="81"/>
  <c r="B285" i="81"/>
  <c r="C285" i="81"/>
  <c r="D285" i="81"/>
  <c r="F285" i="81"/>
  <c r="G285" i="81"/>
  <c r="I285" i="81"/>
  <c r="J285" i="81"/>
  <c r="K285" i="81"/>
  <c r="L285" i="81"/>
  <c r="M285" i="81"/>
  <c r="T285" i="81"/>
  <c r="N285" i="81"/>
  <c r="H285" i="81"/>
  <c r="R285" i="81"/>
  <c r="S285" i="81"/>
  <c r="A286" i="81"/>
  <c r="K286" i="81" l="1"/>
  <c r="L286" i="81"/>
  <c r="M286" i="81"/>
  <c r="Q286" i="81"/>
  <c r="C286" i="81"/>
  <c r="D286" i="81"/>
  <c r="E286" i="81"/>
  <c r="L286" i="65" s="1"/>
  <c r="F286" i="81"/>
  <c r="G286" i="81"/>
  <c r="I286" i="81"/>
  <c r="J286" i="81"/>
  <c r="N286" i="81"/>
  <c r="O286" i="81"/>
  <c r="P286" i="81"/>
  <c r="B286" i="81"/>
  <c r="H286" i="81"/>
  <c r="R286" i="81"/>
  <c r="S286" i="81"/>
  <c r="T286" i="81"/>
  <c r="U286" i="81"/>
  <c r="A287" i="81"/>
  <c r="G287" i="81" l="1"/>
  <c r="H287" i="81"/>
  <c r="I287" i="81"/>
  <c r="M287" i="81"/>
  <c r="C287" i="81"/>
  <c r="D287" i="81"/>
  <c r="E287" i="81"/>
  <c r="L287" i="65" s="1"/>
  <c r="F287" i="81"/>
  <c r="J287" i="81"/>
  <c r="L287" i="81"/>
  <c r="N287" i="81"/>
  <c r="O287" i="81"/>
  <c r="P287" i="81"/>
  <c r="Q287" i="81"/>
  <c r="B287" i="81"/>
  <c r="K287" i="81"/>
  <c r="R287" i="81"/>
  <c r="S287" i="81"/>
  <c r="T287" i="81"/>
  <c r="U287" i="81"/>
  <c r="A288" i="81"/>
  <c r="C288" i="81" l="1"/>
  <c r="S288" i="81"/>
  <c r="D288" i="81"/>
  <c r="T288" i="81"/>
  <c r="E288" i="81"/>
  <c r="L288" i="65" s="1"/>
  <c r="U288" i="81"/>
  <c r="I288" i="81"/>
  <c r="F288" i="81"/>
  <c r="G288" i="81"/>
  <c r="H288" i="81"/>
  <c r="J288" i="81"/>
  <c r="K288" i="81"/>
  <c r="M288" i="81"/>
  <c r="N288" i="81"/>
  <c r="O288" i="81"/>
  <c r="P288" i="81"/>
  <c r="Q288" i="81"/>
  <c r="B288" i="81"/>
  <c r="L288" i="81"/>
  <c r="R288" i="81"/>
  <c r="A289" i="81"/>
  <c r="O289" i="81" l="1"/>
  <c r="P289" i="81"/>
  <c r="Q289" i="81"/>
  <c r="F289" i="81"/>
  <c r="G289" i="81"/>
  <c r="H289" i="81"/>
  <c r="I289" i="81"/>
  <c r="J289" i="81"/>
  <c r="L289" i="81"/>
  <c r="M289" i="81"/>
  <c r="N289" i="81"/>
  <c r="R289" i="81"/>
  <c r="S289" i="81"/>
  <c r="E289" i="81"/>
  <c r="L289" i="65" s="1"/>
  <c r="K289" i="81"/>
  <c r="T289" i="81"/>
  <c r="U289" i="81"/>
  <c r="B289" i="81"/>
  <c r="C289" i="81"/>
  <c r="D289" i="81"/>
  <c r="A290" i="81"/>
  <c r="K290" i="81" l="1"/>
  <c r="L290" i="81"/>
  <c r="M290" i="81"/>
  <c r="E290" i="81"/>
  <c r="L290" i="65" s="1"/>
  <c r="F290" i="81"/>
  <c r="G290" i="81"/>
  <c r="H290" i="81"/>
  <c r="I290" i="81"/>
  <c r="N290" i="81"/>
  <c r="O290" i="81"/>
  <c r="P290" i="81"/>
  <c r="Q290" i="81"/>
  <c r="R290" i="81"/>
  <c r="D290" i="81"/>
  <c r="B290" i="81"/>
  <c r="C290" i="81"/>
  <c r="J290" i="81"/>
  <c r="S290" i="81"/>
  <c r="T290" i="81"/>
  <c r="U290" i="81"/>
  <c r="A291" i="81"/>
  <c r="G291" i="81" l="1"/>
  <c r="H291" i="81"/>
  <c r="I291" i="81"/>
  <c r="D291" i="81"/>
  <c r="E291" i="81"/>
  <c r="L291" i="65" s="1"/>
  <c r="F291" i="81"/>
  <c r="J291" i="81"/>
  <c r="K291" i="81"/>
  <c r="M291" i="81"/>
  <c r="N291" i="81"/>
  <c r="O291" i="81"/>
  <c r="P291" i="81"/>
  <c r="Q291" i="81"/>
  <c r="C291" i="81"/>
  <c r="B291" i="81"/>
  <c r="L291" i="81"/>
  <c r="T291" i="81"/>
  <c r="R291" i="81"/>
  <c r="S291" i="81"/>
  <c r="U291" i="81"/>
  <c r="A292" i="81"/>
  <c r="C292" i="81" l="1"/>
  <c r="S292" i="81"/>
  <c r="D292" i="81"/>
  <c r="T292" i="81"/>
  <c r="E292" i="81"/>
  <c r="L292" i="65" s="1"/>
  <c r="U292" i="81"/>
  <c r="F292" i="81"/>
  <c r="G292" i="81"/>
  <c r="H292" i="81"/>
  <c r="I292" i="81"/>
  <c r="J292" i="81"/>
  <c r="L292" i="81"/>
  <c r="M292" i="81"/>
  <c r="N292" i="81"/>
  <c r="O292" i="81"/>
  <c r="P292" i="81"/>
  <c r="B292" i="81"/>
  <c r="Q292" i="81"/>
  <c r="R292" i="81"/>
  <c r="K292" i="81"/>
  <c r="A293" i="81"/>
  <c r="O293" i="81" l="1"/>
  <c r="P293" i="81"/>
  <c r="Q293" i="81"/>
  <c r="E293" i="81"/>
  <c r="L293" i="65" s="1"/>
  <c r="F293" i="81"/>
  <c r="G293" i="81"/>
  <c r="H293" i="81"/>
  <c r="I293" i="81"/>
  <c r="K293" i="81"/>
  <c r="L293" i="81"/>
  <c r="M293" i="81"/>
  <c r="N293" i="81"/>
  <c r="R293" i="81"/>
  <c r="D293" i="81"/>
  <c r="B293" i="81"/>
  <c r="C293" i="81"/>
  <c r="J293" i="81"/>
  <c r="S293" i="81"/>
  <c r="T293" i="81"/>
  <c r="U293" i="81"/>
  <c r="A294" i="81"/>
  <c r="K294" i="81" l="1"/>
  <c r="L294" i="81"/>
  <c r="M294" i="81"/>
  <c r="D294" i="81"/>
  <c r="E294" i="81"/>
  <c r="L294" i="65" s="1"/>
  <c r="F294" i="81"/>
  <c r="G294" i="81"/>
  <c r="H294" i="81"/>
  <c r="J294" i="81"/>
  <c r="N294" i="81"/>
  <c r="O294" i="81"/>
  <c r="P294" i="81"/>
  <c r="Q294" i="81"/>
  <c r="C294" i="81"/>
  <c r="B294" i="81"/>
  <c r="I294" i="81"/>
  <c r="R294" i="81"/>
  <c r="U294" i="81"/>
  <c r="S294" i="81"/>
  <c r="T294" i="81"/>
  <c r="A295" i="81"/>
  <c r="G295" i="81" l="1"/>
  <c r="H295" i="81"/>
  <c r="I295" i="81"/>
  <c r="C295" i="81"/>
  <c r="D295" i="81"/>
  <c r="E295" i="81"/>
  <c r="L295" i="65" s="1"/>
  <c r="F295" i="81"/>
  <c r="J295" i="81"/>
  <c r="L295" i="81"/>
  <c r="M295" i="81"/>
  <c r="N295" i="81"/>
  <c r="O295" i="81"/>
  <c r="P295" i="81"/>
  <c r="B295" i="81"/>
  <c r="U295" i="81"/>
  <c r="R295" i="81"/>
  <c r="S295" i="81"/>
  <c r="T295" i="81"/>
  <c r="K295" i="81"/>
  <c r="Q295" i="81"/>
  <c r="A296" i="81"/>
  <c r="C296" i="81" l="1"/>
  <c r="S296" i="81"/>
  <c r="D296" i="81"/>
  <c r="T296" i="81"/>
  <c r="E296" i="81"/>
  <c r="L296" i="65" s="1"/>
  <c r="U296" i="81"/>
  <c r="B296" i="81"/>
  <c r="F296" i="81"/>
  <c r="G296" i="81"/>
  <c r="H296" i="81"/>
  <c r="I296" i="81"/>
  <c r="K296" i="81"/>
  <c r="L296" i="81"/>
  <c r="M296" i="81"/>
  <c r="N296" i="81"/>
  <c r="O296" i="81"/>
  <c r="J296" i="81"/>
  <c r="P296" i="81"/>
  <c r="Q296" i="81"/>
  <c r="R296" i="81"/>
  <c r="A297" i="81"/>
  <c r="O297" i="81" l="1"/>
  <c r="P297" i="81"/>
  <c r="Q297" i="81"/>
  <c r="D297" i="81"/>
  <c r="E297" i="81"/>
  <c r="L297" i="65" s="1"/>
  <c r="F297" i="81"/>
  <c r="G297" i="81"/>
  <c r="H297" i="81"/>
  <c r="J297" i="81"/>
  <c r="K297" i="81"/>
  <c r="L297" i="81"/>
  <c r="M297" i="81"/>
  <c r="N297" i="81"/>
  <c r="C297" i="81"/>
  <c r="B297" i="81"/>
  <c r="I297" i="81"/>
  <c r="R297" i="81"/>
  <c r="S297" i="81"/>
  <c r="T297" i="81"/>
  <c r="U297" i="81"/>
  <c r="A298" i="81"/>
  <c r="K298" i="81" l="1"/>
  <c r="L298" i="81"/>
  <c r="M298" i="81"/>
  <c r="C298" i="81"/>
  <c r="D298" i="81"/>
  <c r="E298" i="81"/>
  <c r="L298" i="65" s="1"/>
  <c r="F298" i="81"/>
  <c r="G298" i="81"/>
  <c r="I298" i="81"/>
  <c r="J298" i="81"/>
  <c r="N298" i="81"/>
  <c r="O298" i="81"/>
  <c r="P298" i="81"/>
  <c r="B298" i="81"/>
  <c r="U298" i="81"/>
  <c r="S298" i="81"/>
  <c r="T298" i="81"/>
  <c r="H298" i="81"/>
  <c r="Q298" i="81"/>
  <c r="R298" i="81"/>
  <c r="A299" i="81"/>
  <c r="G299" i="81" l="1"/>
  <c r="H299" i="81"/>
  <c r="I299" i="81"/>
  <c r="B299" i="81"/>
  <c r="U299" i="81"/>
  <c r="C299" i="81"/>
  <c r="D299" i="81"/>
  <c r="E299" i="81"/>
  <c r="L299" i="65" s="1"/>
  <c r="F299" i="81"/>
  <c r="K299" i="81"/>
  <c r="L299" i="81"/>
  <c r="M299" i="81"/>
  <c r="N299" i="81"/>
  <c r="O299" i="81"/>
  <c r="T299" i="81"/>
  <c r="J299" i="81"/>
  <c r="P299" i="81"/>
  <c r="Q299" i="81"/>
  <c r="R299" i="81"/>
  <c r="S299" i="81"/>
  <c r="A300" i="81"/>
  <c r="C300" i="81" l="1"/>
  <c r="S300" i="81"/>
  <c r="D300" i="81"/>
  <c r="T300" i="81"/>
  <c r="E300" i="81"/>
  <c r="L300" i="65" s="1"/>
  <c r="U300" i="81"/>
  <c r="B300" i="81"/>
  <c r="F300" i="81"/>
  <c r="G300" i="81"/>
  <c r="H300" i="81"/>
  <c r="J300" i="81"/>
  <c r="K300" i="81"/>
  <c r="L300" i="81"/>
  <c r="M300" i="81"/>
  <c r="N300" i="81"/>
  <c r="I300" i="81"/>
  <c r="O300" i="81"/>
  <c r="P300" i="81"/>
  <c r="Q300" i="81"/>
  <c r="R300" i="81"/>
  <c r="A301" i="81"/>
  <c r="O301" i="81" l="1"/>
  <c r="P301" i="81"/>
  <c r="Q301" i="81"/>
  <c r="C301" i="81"/>
  <c r="D301" i="81"/>
  <c r="E301" i="81"/>
  <c r="L301" i="65" s="1"/>
  <c r="G301" i="81"/>
  <c r="I301" i="81"/>
  <c r="J301" i="81"/>
  <c r="K301" i="81"/>
  <c r="L301" i="81"/>
  <c r="M301" i="81"/>
  <c r="B301" i="81"/>
  <c r="U301" i="81"/>
  <c r="S301" i="81"/>
  <c r="T301" i="81"/>
  <c r="H301" i="81"/>
  <c r="F301" i="81"/>
  <c r="N301" i="81"/>
  <c r="R301" i="81"/>
  <c r="A302" i="81"/>
  <c r="K302" i="81" l="1"/>
  <c r="L302" i="81"/>
  <c r="M302" i="81"/>
  <c r="B302" i="81"/>
  <c r="U302" i="81"/>
  <c r="C302" i="81"/>
  <c r="D302" i="81"/>
  <c r="H302" i="81"/>
  <c r="I302" i="81"/>
  <c r="J302" i="81"/>
  <c r="N302" i="81"/>
  <c r="O302" i="81"/>
  <c r="T302" i="81"/>
  <c r="E302" i="81"/>
  <c r="L302" i="65" s="1"/>
  <c r="F302" i="81"/>
  <c r="G302" i="81"/>
  <c r="P302" i="81"/>
  <c r="Q302" i="81"/>
  <c r="R302" i="81"/>
  <c r="S302" i="81"/>
  <c r="A303" i="81"/>
  <c r="G303" i="81" l="1"/>
  <c r="H303" i="81"/>
  <c r="I303" i="81"/>
  <c r="T303" i="81"/>
  <c r="B303" i="81"/>
  <c r="U303" i="81"/>
  <c r="C303" i="81"/>
  <c r="J303" i="81"/>
  <c r="K303" i="81"/>
  <c r="L303" i="81"/>
  <c r="M303" i="81"/>
  <c r="N303" i="81"/>
  <c r="S303" i="81"/>
  <c r="D303" i="81"/>
  <c r="E303" i="81"/>
  <c r="L303" i="65" s="1"/>
  <c r="P303" i="81"/>
  <c r="F303" i="81"/>
  <c r="O303" i="81"/>
  <c r="Q303" i="81"/>
  <c r="R303" i="81"/>
  <c r="A304" i="81"/>
  <c r="C304" i="81" l="1"/>
  <c r="S304" i="81"/>
  <c r="D304" i="81"/>
  <c r="T304" i="81"/>
  <c r="E304" i="81"/>
  <c r="L304" i="65" s="1"/>
  <c r="U304" i="81"/>
  <c r="B304" i="81"/>
  <c r="I304" i="81"/>
  <c r="J304" i="81"/>
  <c r="K304" i="81"/>
  <c r="L304" i="81"/>
  <c r="R304" i="81"/>
  <c r="F304" i="81"/>
  <c r="G304" i="81"/>
  <c r="H304" i="81"/>
  <c r="M304" i="81"/>
  <c r="N304" i="81"/>
  <c r="O304" i="81"/>
  <c r="P304" i="81"/>
  <c r="Q304" i="81"/>
  <c r="A305" i="81"/>
  <c r="O305" i="81" l="1"/>
  <c r="P305" i="81"/>
  <c r="Q305" i="81"/>
  <c r="B305" i="81"/>
  <c r="U305" i="81"/>
  <c r="C305" i="81"/>
  <c r="D305" i="81"/>
  <c r="H305" i="81"/>
  <c r="I305" i="81"/>
  <c r="J305" i="81"/>
  <c r="K305" i="81"/>
  <c r="T305" i="81"/>
  <c r="E305" i="81"/>
  <c r="L305" i="65" s="1"/>
  <c r="F305" i="81"/>
  <c r="G305" i="81"/>
  <c r="N305" i="81"/>
  <c r="L305" i="81"/>
  <c r="M305" i="81"/>
  <c r="R305" i="81"/>
  <c r="S305" i="81"/>
  <c r="A306" i="81"/>
  <c r="K306" i="81" l="1"/>
  <c r="L306" i="81"/>
  <c r="M306" i="81"/>
  <c r="T306" i="81"/>
  <c r="B306" i="81"/>
  <c r="U306" i="81"/>
  <c r="C306" i="81"/>
  <c r="G306" i="81"/>
  <c r="H306" i="81"/>
  <c r="I306" i="81"/>
  <c r="J306" i="81"/>
  <c r="S306" i="81"/>
  <c r="D306" i="81"/>
  <c r="E306" i="81"/>
  <c r="L306" i="65" s="1"/>
  <c r="F306" i="81"/>
  <c r="N306" i="81"/>
  <c r="O306" i="81"/>
  <c r="P306" i="81"/>
  <c r="Q306" i="81"/>
  <c r="R306" i="81"/>
  <c r="A307" i="81"/>
  <c r="G307" i="81" l="1"/>
  <c r="H307" i="81"/>
  <c r="I307" i="81"/>
  <c r="S307" i="81"/>
  <c r="T307" i="81"/>
  <c r="B307" i="81"/>
  <c r="U307" i="81"/>
  <c r="F307" i="81"/>
  <c r="J307" i="81"/>
  <c r="K307" i="81"/>
  <c r="L307" i="81"/>
  <c r="R307" i="81"/>
  <c r="C307" i="81"/>
  <c r="D307" i="81"/>
  <c r="E307" i="81"/>
  <c r="L307" i="65" s="1"/>
  <c r="O307" i="81"/>
  <c r="M307" i="81"/>
  <c r="N307" i="81"/>
  <c r="P307" i="81"/>
  <c r="Q307" i="81"/>
  <c r="A308" i="81"/>
  <c r="C308" i="81" l="1"/>
  <c r="S308" i="81"/>
  <c r="D308" i="81"/>
  <c r="T308" i="81"/>
  <c r="E308" i="81"/>
  <c r="L308" i="65" s="1"/>
  <c r="U308" i="81"/>
  <c r="R308" i="81"/>
  <c r="H308" i="81"/>
  <c r="I308" i="81"/>
  <c r="J308" i="81"/>
  <c r="K308" i="81"/>
  <c r="Q308" i="81"/>
  <c r="B308" i="81"/>
  <c r="F308" i="81"/>
  <c r="G308" i="81"/>
  <c r="L308" i="81"/>
  <c r="M308" i="81"/>
  <c r="N308" i="81"/>
  <c r="O308" i="81"/>
  <c r="P308" i="81"/>
  <c r="A309" i="81"/>
  <c r="O309" i="81" l="1"/>
  <c r="P309" i="81"/>
  <c r="S309" i="81"/>
  <c r="B309" i="81"/>
  <c r="T309" i="81"/>
  <c r="C309" i="81"/>
  <c r="U309" i="81"/>
  <c r="G309" i="81"/>
  <c r="H309" i="81"/>
  <c r="I309" i="81"/>
  <c r="J309" i="81"/>
  <c r="R309" i="81"/>
  <c r="D309" i="81"/>
  <c r="E309" i="81"/>
  <c r="L309" i="65" s="1"/>
  <c r="F309" i="81"/>
  <c r="M309" i="81"/>
  <c r="K309" i="81"/>
  <c r="L309" i="81"/>
  <c r="N309" i="81"/>
  <c r="Q309" i="81"/>
  <c r="A310" i="81"/>
  <c r="O310" i="81" l="1"/>
  <c r="P310" i="81"/>
  <c r="Q310" i="81"/>
  <c r="E310" i="81"/>
  <c r="L310" i="65" s="1"/>
  <c r="U310" i="81"/>
  <c r="F310" i="81"/>
  <c r="G310" i="81"/>
  <c r="H310" i="81"/>
  <c r="N310" i="81"/>
  <c r="B310" i="81"/>
  <c r="C310" i="81"/>
  <c r="D310" i="81"/>
  <c r="I310" i="81"/>
  <c r="J310" i="81"/>
  <c r="K310" i="81"/>
  <c r="L310" i="81"/>
  <c r="M310" i="81"/>
  <c r="R310" i="81"/>
  <c r="S310" i="81"/>
  <c r="T310" i="81"/>
  <c r="A311" i="81"/>
  <c r="K311" i="81" l="1"/>
  <c r="L311" i="81"/>
  <c r="M311" i="81"/>
  <c r="Q311" i="81"/>
  <c r="B311" i="81"/>
  <c r="R311" i="81"/>
  <c r="C311" i="81"/>
  <c r="S311" i="81"/>
  <c r="D311" i="81"/>
  <c r="T311" i="81"/>
  <c r="J311" i="81"/>
  <c r="N311" i="81"/>
  <c r="O311" i="81"/>
  <c r="P311" i="81"/>
  <c r="U311" i="81"/>
  <c r="G311" i="81"/>
  <c r="E311" i="81"/>
  <c r="L311" i="65" s="1"/>
  <c r="F311" i="81"/>
  <c r="H311" i="81"/>
  <c r="I311" i="81"/>
  <c r="A312" i="81"/>
  <c r="G312" i="81" l="1"/>
  <c r="H312" i="81"/>
  <c r="I312" i="81"/>
  <c r="M312" i="81"/>
  <c r="N312" i="81"/>
  <c r="O312" i="81"/>
  <c r="P312" i="81"/>
  <c r="F312" i="81"/>
  <c r="B312" i="81"/>
  <c r="C312" i="81"/>
  <c r="D312" i="81"/>
  <c r="E312" i="81"/>
  <c r="L312" i="65" s="1"/>
  <c r="J312" i="81"/>
  <c r="K312" i="81"/>
  <c r="L312" i="81"/>
  <c r="S312" i="81"/>
  <c r="Q312" i="81"/>
  <c r="R312" i="81"/>
  <c r="T312" i="81"/>
  <c r="U312" i="81"/>
  <c r="A313" i="81"/>
  <c r="C313" i="81" l="1"/>
  <c r="S313" i="81"/>
  <c r="D313" i="81"/>
  <c r="T313" i="81"/>
  <c r="E313" i="81"/>
  <c r="L313" i="65" s="1"/>
  <c r="U313" i="81"/>
  <c r="I313" i="81"/>
  <c r="J313" i="81"/>
  <c r="K313" i="81"/>
  <c r="L313" i="81"/>
  <c r="B313" i="81"/>
  <c r="R313" i="81"/>
  <c r="F313" i="81"/>
  <c r="G313" i="81"/>
  <c r="H313" i="81"/>
  <c r="M313" i="81"/>
  <c r="N313" i="81"/>
  <c r="O313" i="81"/>
  <c r="P313" i="81"/>
  <c r="Q313" i="81"/>
  <c r="A314" i="81"/>
  <c r="P314" i="81" l="1"/>
  <c r="Q314" i="81"/>
  <c r="E314" i="81"/>
  <c r="L314" i="65" s="1"/>
  <c r="U314" i="81"/>
  <c r="F314" i="81"/>
  <c r="G314" i="81"/>
  <c r="H314" i="81"/>
  <c r="N314" i="81"/>
  <c r="O314" i="81"/>
  <c r="R314" i="81"/>
  <c r="S314" i="81"/>
  <c r="T314" i="81"/>
  <c r="B314" i="81"/>
  <c r="C314" i="81"/>
  <c r="D314" i="81"/>
  <c r="K314" i="81"/>
  <c r="I314" i="81"/>
  <c r="J314" i="81"/>
  <c r="L314" i="81"/>
  <c r="M314" i="81"/>
  <c r="A315" i="81"/>
  <c r="L315" i="81" l="1"/>
  <c r="M315" i="81"/>
  <c r="Q315" i="81"/>
  <c r="B315" i="81"/>
  <c r="R315" i="81"/>
  <c r="C315" i="81"/>
  <c r="S315" i="81"/>
  <c r="D315" i="81"/>
  <c r="T315" i="81"/>
  <c r="E315" i="81"/>
  <c r="L315" i="65" s="1"/>
  <c r="F315" i="81"/>
  <c r="G315" i="81"/>
  <c r="H315" i="81"/>
  <c r="I315" i="81"/>
  <c r="J315" i="81"/>
  <c r="K315" i="81"/>
  <c r="P315" i="81"/>
  <c r="N315" i="81"/>
  <c r="O315" i="81"/>
  <c r="U315" i="81"/>
  <c r="A316" i="81"/>
  <c r="H316" i="81" l="1"/>
  <c r="I316" i="81"/>
  <c r="M316" i="81"/>
  <c r="N316" i="81"/>
  <c r="O316" i="81"/>
  <c r="P316" i="81"/>
  <c r="C316" i="81"/>
  <c r="D316" i="81"/>
  <c r="E316" i="81"/>
  <c r="L316" i="65" s="1"/>
  <c r="F316" i="81"/>
  <c r="G316" i="81"/>
  <c r="J316" i="81"/>
  <c r="K316" i="81"/>
  <c r="L316" i="81"/>
  <c r="Q316" i="81"/>
  <c r="R316" i="81"/>
  <c r="S316" i="81"/>
  <c r="T316" i="81"/>
  <c r="U316" i="81"/>
  <c r="B316" i="81"/>
  <c r="A317" i="81"/>
  <c r="D317" i="81" l="1"/>
  <c r="T317" i="81"/>
  <c r="E317" i="81"/>
  <c r="L317" i="65" s="1"/>
  <c r="U317" i="81"/>
  <c r="I317" i="81"/>
  <c r="J317" i="81"/>
  <c r="K317" i="81"/>
  <c r="L317" i="81"/>
  <c r="G317" i="81"/>
  <c r="H317" i="81"/>
  <c r="M317" i="81"/>
  <c r="N317" i="81"/>
  <c r="O317" i="81"/>
  <c r="P317" i="81"/>
  <c r="Q317" i="81"/>
  <c r="R317" i="81"/>
  <c r="S317" i="81"/>
  <c r="B317" i="81"/>
  <c r="C317" i="81"/>
  <c r="F317" i="81"/>
  <c r="A318" i="81"/>
  <c r="P318" i="81" l="1"/>
  <c r="Q318" i="81"/>
  <c r="E318" i="81"/>
  <c r="L318" i="65" s="1"/>
  <c r="U318" i="81"/>
  <c r="F318" i="81"/>
  <c r="G318" i="81"/>
  <c r="H318" i="81"/>
  <c r="M318" i="81"/>
  <c r="N318" i="81"/>
  <c r="O318" i="81"/>
  <c r="R318" i="81"/>
  <c r="S318" i="81"/>
  <c r="T318" i="81"/>
  <c r="B318" i="81"/>
  <c r="C318" i="81"/>
  <c r="J318" i="81"/>
  <c r="D318" i="81"/>
  <c r="I318" i="81"/>
  <c r="K318" i="81"/>
  <c r="L318" i="81"/>
  <c r="A319" i="81"/>
  <c r="L319" i="81" l="1"/>
  <c r="M319" i="81"/>
  <c r="Q319" i="81"/>
  <c r="B319" i="81"/>
  <c r="R319" i="81"/>
  <c r="C319" i="81"/>
  <c r="S319" i="81"/>
  <c r="D319" i="81"/>
  <c r="T319" i="81"/>
  <c r="U319" i="81"/>
  <c r="E319" i="81"/>
  <c r="L319" i="65" s="1"/>
  <c r="F319" i="81"/>
  <c r="G319" i="81"/>
  <c r="H319" i="81"/>
  <c r="I319" i="81"/>
  <c r="N319" i="81"/>
  <c r="J319" i="81"/>
  <c r="K319" i="81"/>
  <c r="O319" i="81"/>
  <c r="P319" i="81"/>
  <c r="A320" i="81"/>
  <c r="H320" i="81" l="1"/>
  <c r="I320" i="81"/>
  <c r="M320" i="81"/>
  <c r="N320" i="81"/>
  <c r="O320" i="81"/>
  <c r="P320" i="81"/>
  <c r="B320" i="81"/>
  <c r="C320" i="81"/>
  <c r="D320" i="81"/>
  <c r="E320" i="81"/>
  <c r="L320" i="65" s="1"/>
  <c r="F320" i="81"/>
  <c r="G320" i="81"/>
  <c r="J320" i="81"/>
  <c r="K320" i="81"/>
  <c r="L320" i="81"/>
  <c r="Q320" i="81"/>
  <c r="T320" i="81"/>
  <c r="R320" i="81"/>
  <c r="S320" i="81"/>
  <c r="U320" i="81"/>
  <c r="A321" i="81"/>
  <c r="D321" i="81" l="1"/>
  <c r="T321" i="81"/>
  <c r="E321" i="81"/>
  <c r="L321" i="65" s="1"/>
  <c r="U321" i="81"/>
  <c r="I321" i="81"/>
  <c r="J321" i="81"/>
  <c r="K321" i="81"/>
  <c r="L321" i="81"/>
  <c r="C321" i="81"/>
  <c r="F321" i="81"/>
  <c r="G321" i="81"/>
  <c r="H321" i="81"/>
  <c r="M321" i="81"/>
  <c r="N321" i="81"/>
  <c r="O321" i="81"/>
  <c r="P321" i="81"/>
  <c r="Q321" i="81"/>
  <c r="R321" i="81"/>
  <c r="S321" i="81"/>
  <c r="B321" i="81"/>
  <c r="A322" i="81"/>
  <c r="P322" i="81" l="1"/>
  <c r="Q322" i="81"/>
  <c r="E322" i="81"/>
  <c r="L322" i="65" s="1"/>
  <c r="U322" i="81"/>
  <c r="G322" i="81"/>
  <c r="H322" i="81"/>
  <c r="J322" i="81"/>
  <c r="K322" i="81"/>
  <c r="L322" i="81"/>
  <c r="M322" i="81"/>
  <c r="N322" i="81"/>
  <c r="O322" i="81"/>
  <c r="R322" i="81"/>
  <c r="S322" i="81"/>
  <c r="T322" i="81"/>
  <c r="D322" i="81"/>
  <c r="B322" i="81"/>
  <c r="C322" i="81"/>
  <c r="F322" i="81"/>
  <c r="I322" i="81"/>
  <c r="A323" i="81"/>
  <c r="L323" i="81" l="1"/>
  <c r="M323" i="81"/>
  <c r="Q323" i="81"/>
  <c r="I323" i="81"/>
  <c r="J323" i="81"/>
  <c r="K323" i="81"/>
  <c r="N323" i="81"/>
  <c r="O323" i="81"/>
  <c r="P323" i="81"/>
  <c r="R323" i="81"/>
  <c r="S323" i="81"/>
  <c r="T323" i="81"/>
  <c r="B323" i="81"/>
  <c r="U323" i="81"/>
  <c r="C323" i="81"/>
  <c r="F323" i="81"/>
  <c r="D323" i="81"/>
  <c r="E323" i="81"/>
  <c r="L323" i="65" s="1"/>
  <c r="G323" i="81"/>
  <c r="H323" i="81"/>
  <c r="A324" i="81"/>
  <c r="H324" i="81" l="1"/>
  <c r="I324" i="81"/>
  <c r="M324" i="81"/>
  <c r="J324" i="81"/>
  <c r="K324" i="81"/>
  <c r="L324" i="81"/>
  <c r="N324" i="81"/>
  <c r="O324" i="81"/>
  <c r="P324" i="81"/>
  <c r="Q324" i="81"/>
  <c r="R324" i="81"/>
  <c r="S324" i="81"/>
  <c r="T324" i="81"/>
  <c r="B324" i="81"/>
  <c r="U324" i="81"/>
  <c r="E324" i="81"/>
  <c r="L324" i="65" s="1"/>
  <c r="C324" i="81"/>
  <c r="D324" i="81"/>
  <c r="F324" i="81"/>
  <c r="G324" i="81"/>
  <c r="A325" i="81"/>
  <c r="D325" i="81" l="1"/>
  <c r="T325" i="81"/>
  <c r="E325" i="81"/>
  <c r="L325" i="65" s="1"/>
  <c r="U325" i="81"/>
  <c r="I325" i="81"/>
  <c r="J325" i="81"/>
  <c r="K325" i="81"/>
  <c r="L325" i="81"/>
  <c r="M325" i="81"/>
  <c r="N325" i="81"/>
  <c r="O325" i="81"/>
  <c r="P325" i="81"/>
  <c r="Q325" i="81"/>
  <c r="R325" i="81"/>
  <c r="S325" i="81"/>
  <c r="F325" i="81"/>
  <c r="C325" i="81"/>
  <c r="G325" i="81"/>
  <c r="H325" i="81"/>
  <c r="B325" i="81"/>
  <c r="A326" i="81"/>
  <c r="P326" i="81" l="1"/>
  <c r="Q326" i="81"/>
  <c r="E326" i="81"/>
  <c r="L326" i="65" s="1"/>
  <c r="U326" i="81"/>
  <c r="I326" i="81"/>
  <c r="J326" i="81"/>
  <c r="K326" i="81"/>
  <c r="L326" i="81"/>
  <c r="M326" i="81"/>
  <c r="N326" i="81"/>
  <c r="O326" i="81"/>
  <c r="R326" i="81"/>
  <c r="S326" i="81"/>
  <c r="T326" i="81"/>
  <c r="B326" i="81"/>
  <c r="F326" i="81"/>
  <c r="C326" i="81"/>
  <c r="D326" i="81"/>
  <c r="G326" i="81"/>
  <c r="H326" i="81"/>
  <c r="A327" i="81"/>
  <c r="L327" i="81" l="1"/>
  <c r="M327" i="81"/>
  <c r="Q327" i="81"/>
  <c r="H327" i="81"/>
  <c r="I327" i="81"/>
  <c r="J327" i="81"/>
  <c r="K327" i="81"/>
  <c r="N327" i="81"/>
  <c r="O327" i="81"/>
  <c r="P327" i="81"/>
  <c r="R327" i="81"/>
  <c r="S327" i="81"/>
  <c r="T327" i="81"/>
  <c r="B327" i="81"/>
  <c r="U327" i="81"/>
  <c r="E327" i="81"/>
  <c r="L327" i="65" s="1"/>
  <c r="C327" i="81"/>
  <c r="D327" i="81"/>
  <c r="F327" i="81"/>
  <c r="G327" i="81"/>
  <c r="A328" i="81"/>
  <c r="H328" i="81" l="1"/>
  <c r="I328" i="81"/>
  <c r="M328" i="81"/>
  <c r="G328" i="81"/>
  <c r="J328" i="81"/>
  <c r="K328" i="81"/>
  <c r="L328" i="81"/>
  <c r="N328" i="81"/>
  <c r="O328" i="81"/>
  <c r="P328" i="81"/>
  <c r="Q328" i="81"/>
  <c r="R328" i="81"/>
  <c r="S328" i="81"/>
  <c r="T328" i="81"/>
  <c r="D328" i="81"/>
  <c r="U328" i="81"/>
  <c r="B328" i="81"/>
  <c r="C328" i="81"/>
  <c r="E328" i="81"/>
  <c r="L328" i="65" s="1"/>
  <c r="F328" i="81"/>
  <c r="A329" i="81"/>
  <c r="D329" i="81" l="1"/>
  <c r="T329" i="81"/>
  <c r="E329" i="81"/>
  <c r="L329" i="65" s="1"/>
  <c r="U329" i="81"/>
  <c r="I329" i="81"/>
  <c r="H329" i="81"/>
  <c r="J329" i="81"/>
  <c r="K329" i="81"/>
  <c r="L329" i="81"/>
  <c r="M329" i="81"/>
  <c r="N329" i="81"/>
  <c r="O329" i="81"/>
  <c r="P329" i="81"/>
  <c r="Q329" i="81"/>
  <c r="R329" i="81"/>
  <c r="S329" i="81"/>
  <c r="C329" i="81"/>
  <c r="B329" i="81"/>
  <c r="F329" i="81"/>
  <c r="G329" i="81"/>
  <c r="A330" i="81"/>
  <c r="P330" i="81" l="1"/>
  <c r="Q330" i="81"/>
  <c r="G330" i="81"/>
  <c r="H330" i="81"/>
  <c r="I330" i="81"/>
  <c r="J330" i="81"/>
  <c r="K330" i="81"/>
  <c r="L330" i="81"/>
  <c r="M330" i="81"/>
  <c r="N330" i="81"/>
  <c r="O330" i="81"/>
  <c r="R330" i="81"/>
  <c r="S330" i="81"/>
  <c r="D330" i="81"/>
  <c r="B330" i="81"/>
  <c r="C330" i="81"/>
  <c r="E330" i="81"/>
  <c r="L330" i="65" s="1"/>
  <c r="F330" i="81"/>
  <c r="T330" i="81"/>
  <c r="U330" i="81"/>
  <c r="A331" i="81"/>
  <c r="L331" i="81" l="1"/>
  <c r="M331" i="81"/>
  <c r="E331" i="81"/>
  <c r="L331" i="65" s="1"/>
  <c r="F331" i="81"/>
  <c r="G331" i="81"/>
  <c r="H331" i="81"/>
  <c r="I331" i="81"/>
  <c r="J331" i="81"/>
  <c r="K331" i="81"/>
  <c r="N331" i="81"/>
  <c r="O331" i="81"/>
  <c r="P331" i="81"/>
  <c r="Q331" i="81"/>
  <c r="B331" i="81"/>
  <c r="T331" i="81"/>
  <c r="C331" i="81"/>
  <c r="D331" i="81"/>
  <c r="R331" i="81"/>
  <c r="S331" i="81"/>
  <c r="U331" i="81"/>
  <c r="A332" i="81"/>
  <c r="H332" i="81" l="1"/>
  <c r="I332" i="81"/>
  <c r="C332" i="81"/>
  <c r="U332" i="81"/>
  <c r="D332" i="81"/>
  <c r="E332" i="81"/>
  <c r="L332" i="65" s="1"/>
  <c r="F332" i="81"/>
  <c r="G332" i="81"/>
  <c r="J332" i="81"/>
  <c r="K332" i="81"/>
  <c r="L332" i="81"/>
  <c r="M332" i="81"/>
  <c r="N332" i="81"/>
  <c r="O332" i="81"/>
  <c r="R332" i="81"/>
  <c r="P332" i="81"/>
  <c r="B332" i="81"/>
  <c r="Q332" i="81"/>
  <c r="S332" i="81"/>
  <c r="T332" i="81"/>
  <c r="A333" i="81"/>
  <c r="D333" i="81" l="1"/>
  <c r="T333" i="81"/>
  <c r="E333" i="81"/>
  <c r="L333" i="65" s="1"/>
  <c r="U333" i="81"/>
  <c r="S333" i="81"/>
  <c r="B333" i="81"/>
  <c r="C333" i="81"/>
  <c r="F333" i="81"/>
  <c r="G333" i="81"/>
  <c r="H333" i="81"/>
  <c r="I333" i="81"/>
  <c r="J333" i="81"/>
  <c r="K333" i="81"/>
  <c r="L333" i="81"/>
  <c r="M333" i="81"/>
  <c r="N333" i="81"/>
  <c r="O333" i="81"/>
  <c r="P333" i="81"/>
  <c r="Q333" i="81"/>
  <c r="R333" i="81"/>
  <c r="A334" i="81"/>
  <c r="P334" i="81" l="1"/>
  <c r="Q334" i="81"/>
  <c r="S334" i="81"/>
  <c r="B334" i="81"/>
  <c r="T334" i="81"/>
  <c r="C334" i="81"/>
  <c r="U334" i="81"/>
  <c r="D334" i="81"/>
  <c r="E334" i="81"/>
  <c r="L334" i="65" s="1"/>
  <c r="F334" i="81"/>
  <c r="G334" i="81"/>
  <c r="H334" i="81"/>
  <c r="I334" i="81"/>
  <c r="J334" i="81"/>
  <c r="K334" i="81"/>
  <c r="L334" i="81"/>
  <c r="M334" i="81"/>
  <c r="N334" i="81"/>
  <c r="O334" i="81"/>
  <c r="R334" i="81"/>
  <c r="A335" i="81"/>
  <c r="L335" i="81" l="1"/>
  <c r="M335" i="81"/>
  <c r="Q335" i="81"/>
  <c r="R335" i="81"/>
  <c r="S335" i="81"/>
  <c r="B335" i="81"/>
  <c r="T335" i="81"/>
  <c r="C335" i="81"/>
  <c r="U335" i="81"/>
  <c r="D335" i="81"/>
  <c r="E335" i="81"/>
  <c r="L335" i="65" s="1"/>
  <c r="F335" i="81"/>
  <c r="G335" i="81"/>
  <c r="H335" i="81"/>
  <c r="I335" i="81"/>
  <c r="N335" i="81"/>
  <c r="J335" i="81"/>
  <c r="K335" i="81"/>
  <c r="O335" i="81"/>
  <c r="P335" i="81"/>
  <c r="A336" i="81"/>
  <c r="H336" i="81" l="1"/>
  <c r="I336" i="81"/>
  <c r="O336" i="81"/>
  <c r="P336" i="81"/>
  <c r="Q336" i="81"/>
  <c r="R336" i="81"/>
  <c r="S336" i="81"/>
  <c r="B336" i="81"/>
  <c r="T336" i="81"/>
  <c r="C336" i="81"/>
  <c r="U336" i="81"/>
  <c r="D336" i="81"/>
  <c r="E336" i="81"/>
  <c r="L336" i="65" s="1"/>
  <c r="F336" i="81"/>
  <c r="G336" i="81"/>
  <c r="K336" i="81"/>
  <c r="L336" i="81"/>
  <c r="M336" i="81"/>
  <c r="N336" i="81"/>
  <c r="J336" i="81"/>
  <c r="A337" i="81"/>
  <c r="D337" i="81" l="1"/>
  <c r="T337" i="81"/>
  <c r="E337" i="81"/>
  <c r="L337" i="65" s="1"/>
  <c r="U337" i="81"/>
  <c r="M337" i="81"/>
  <c r="N337" i="81"/>
  <c r="O337" i="81"/>
  <c r="P337" i="81"/>
  <c r="Q337" i="81"/>
  <c r="R337" i="81"/>
  <c r="S337" i="81"/>
  <c r="B337" i="81"/>
  <c r="C337" i="81"/>
  <c r="F337" i="81"/>
  <c r="G337" i="81"/>
  <c r="H337" i="81"/>
  <c r="I337" i="81"/>
  <c r="J337" i="81"/>
  <c r="K337" i="81"/>
  <c r="L337" i="81"/>
  <c r="A338" i="81"/>
  <c r="P338" i="81" l="1"/>
  <c r="Q338" i="81"/>
  <c r="K338" i="81"/>
  <c r="L338" i="81"/>
  <c r="M338" i="81"/>
  <c r="N338" i="81"/>
  <c r="O338" i="81"/>
  <c r="S338" i="81"/>
  <c r="B338" i="81"/>
  <c r="T338" i="81"/>
  <c r="C338" i="81"/>
  <c r="U338" i="81"/>
  <c r="E338" i="81"/>
  <c r="L338" i="65" s="1"/>
  <c r="H338" i="81"/>
  <c r="D338" i="81"/>
  <c r="F338" i="81"/>
  <c r="G338" i="81"/>
  <c r="I338" i="81"/>
  <c r="J338" i="81"/>
  <c r="R338" i="81"/>
  <c r="A339" i="81"/>
  <c r="M339" i="81" l="1"/>
  <c r="I339" i="81"/>
  <c r="J339" i="81"/>
  <c r="K339" i="81"/>
  <c r="L339" i="81"/>
  <c r="N339" i="81"/>
  <c r="P339" i="81"/>
  <c r="Q339" i="81"/>
  <c r="R339" i="81"/>
  <c r="C339" i="81"/>
  <c r="T339" i="81"/>
  <c r="B339" i="81"/>
  <c r="D339" i="81"/>
  <c r="E339" i="81"/>
  <c r="L339" i="65" s="1"/>
  <c r="F339" i="81"/>
  <c r="G339" i="81"/>
  <c r="H339" i="81"/>
  <c r="O339" i="81"/>
  <c r="S339" i="81"/>
  <c r="U339" i="81"/>
  <c r="A340" i="81"/>
  <c r="I340" i="81" l="1"/>
  <c r="F340" i="81"/>
  <c r="G340" i="81"/>
  <c r="H340" i="81"/>
  <c r="J340" i="81"/>
  <c r="K340" i="81"/>
  <c r="M340" i="81"/>
  <c r="N340" i="81"/>
  <c r="O340" i="81"/>
  <c r="Q340" i="81"/>
  <c r="S340" i="81"/>
  <c r="T340" i="81"/>
  <c r="U340" i="81"/>
  <c r="E340" i="81"/>
  <c r="L340" i="65" s="1"/>
  <c r="B340" i="81"/>
  <c r="C340" i="81"/>
  <c r="D340" i="81"/>
  <c r="L340" i="81"/>
  <c r="P340" i="81"/>
  <c r="R340" i="81"/>
  <c r="A341" i="81"/>
  <c r="E341" i="81" l="1"/>
  <c r="L341" i="65" s="1"/>
  <c r="U341" i="81"/>
  <c r="C341" i="81"/>
  <c r="T341" i="81"/>
  <c r="D341" i="81"/>
  <c r="F341" i="81"/>
  <c r="G341" i="81"/>
  <c r="H341" i="81"/>
  <c r="J341" i="81"/>
  <c r="K341" i="81"/>
  <c r="L341" i="81"/>
  <c r="N341" i="81"/>
  <c r="B341" i="81"/>
  <c r="I341" i="81"/>
  <c r="M341" i="81"/>
  <c r="O341" i="81"/>
  <c r="P341" i="81"/>
  <c r="Q341" i="81"/>
  <c r="R341" i="81"/>
  <c r="S341" i="81"/>
  <c r="A342" i="81"/>
  <c r="Q342" i="81" l="1"/>
  <c r="R342" i="81"/>
  <c r="B342" i="81"/>
  <c r="S342" i="81"/>
  <c r="C342" i="81"/>
  <c r="T342" i="81"/>
  <c r="D342" i="81"/>
  <c r="U342" i="81"/>
  <c r="E342" i="81"/>
  <c r="L342" i="65" s="1"/>
  <c r="G342" i="81"/>
  <c r="H342" i="81"/>
  <c r="I342" i="81"/>
  <c r="K342" i="81"/>
  <c r="O342" i="81"/>
  <c r="P342" i="81"/>
  <c r="J342" i="81"/>
  <c r="F342" i="81"/>
  <c r="L342" i="81"/>
  <c r="M342" i="81"/>
  <c r="N342" i="81"/>
  <c r="A343" i="81"/>
  <c r="M343" i="81" l="1"/>
  <c r="O343" i="81"/>
  <c r="P343" i="81"/>
  <c r="Q343" i="81"/>
  <c r="R343" i="81"/>
  <c r="B343" i="81"/>
  <c r="S343" i="81"/>
  <c r="D343" i="81"/>
  <c r="U343" i="81"/>
  <c r="E343" i="81"/>
  <c r="L343" i="65" s="1"/>
  <c r="F343" i="81"/>
  <c r="H343" i="81"/>
  <c r="C343" i="81"/>
  <c r="G343" i="81"/>
  <c r="I343" i="81"/>
  <c r="J343" i="81"/>
  <c r="K343" i="81"/>
  <c r="L343" i="81"/>
  <c r="N343" i="81"/>
  <c r="T343" i="81"/>
  <c r="A344" i="81"/>
  <c r="I344" i="81" l="1"/>
  <c r="L344" i="81"/>
  <c r="M344" i="81"/>
  <c r="N344" i="81"/>
  <c r="O344" i="81"/>
  <c r="P344" i="81"/>
  <c r="R344" i="81"/>
  <c r="B344" i="81"/>
  <c r="S344" i="81"/>
  <c r="C344" i="81"/>
  <c r="T344" i="81"/>
  <c r="E344" i="81"/>
  <c r="L344" i="65" s="1"/>
  <c r="Q344" i="81"/>
  <c r="U344" i="81"/>
  <c r="G344" i="81"/>
  <c r="D344" i="81"/>
  <c r="F344" i="81"/>
  <c r="H344" i="81"/>
  <c r="J344" i="81"/>
  <c r="K344" i="81"/>
  <c r="A345" i="81"/>
  <c r="E345" i="81" l="1"/>
  <c r="L345" i="65" s="1"/>
  <c r="U345" i="81"/>
  <c r="I345" i="81"/>
  <c r="J345" i="81"/>
  <c r="K345" i="81"/>
  <c r="L345" i="81"/>
  <c r="M345" i="81"/>
  <c r="O345" i="81"/>
  <c r="P345" i="81"/>
  <c r="Q345" i="81"/>
  <c r="B345" i="81"/>
  <c r="C345" i="81"/>
  <c r="D345" i="81"/>
  <c r="F345" i="81"/>
  <c r="G345" i="81"/>
  <c r="H345" i="81"/>
  <c r="N345" i="81"/>
  <c r="R345" i="81"/>
  <c r="S345" i="81"/>
  <c r="T345" i="81"/>
  <c r="A346" i="81"/>
  <c r="Q346" i="81" l="1"/>
  <c r="F346" i="81"/>
  <c r="G346" i="81"/>
  <c r="H346" i="81"/>
  <c r="I346" i="81"/>
  <c r="J346" i="81"/>
  <c r="L346" i="81"/>
  <c r="M346" i="81"/>
  <c r="N346" i="81"/>
  <c r="K346" i="81"/>
  <c r="O346" i="81"/>
  <c r="P346" i="81"/>
  <c r="R346" i="81"/>
  <c r="S346" i="81"/>
  <c r="B346" i="81"/>
  <c r="T346" i="81"/>
  <c r="U346" i="81"/>
  <c r="C346" i="81"/>
  <c r="D346" i="81"/>
  <c r="E346" i="81"/>
  <c r="L346" i="65" s="1"/>
  <c r="A347" i="81"/>
  <c r="M347" i="81" l="1"/>
  <c r="C347" i="81"/>
  <c r="T347" i="81"/>
  <c r="D347" i="81"/>
  <c r="U347" i="81"/>
  <c r="E347" i="81"/>
  <c r="L347" i="65" s="1"/>
  <c r="F347" i="81"/>
  <c r="G347" i="81"/>
  <c r="I347" i="81"/>
  <c r="J347" i="81"/>
  <c r="S347" i="81"/>
  <c r="B347" i="81"/>
  <c r="H347" i="81"/>
  <c r="K347" i="81"/>
  <c r="L347" i="81"/>
  <c r="N347" i="81"/>
  <c r="O347" i="81"/>
  <c r="P347" i="81"/>
  <c r="Q347" i="81"/>
  <c r="R347" i="81"/>
  <c r="A348" i="81"/>
  <c r="I348" i="81" l="1"/>
  <c r="Q348" i="81"/>
  <c r="R348" i="81"/>
  <c r="B348" i="81"/>
  <c r="S348" i="81"/>
  <c r="C348" i="81"/>
  <c r="T348" i="81"/>
  <c r="D348" i="81"/>
  <c r="U348" i="81"/>
  <c r="F348" i="81"/>
  <c r="G348" i="81"/>
  <c r="E348" i="81"/>
  <c r="L348" i="65" s="1"/>
  <c r="H348" i="81"/>
  <c r="J348" i="81"/>
  <c r="K348" i="81"/>
  <c r="L348" i="81"/>
  <c r="M348" i="81"/>
  <c r="N348" i="81"/>
  <c r="O348" i="81"/>
  <c r="P348" i="81"/>
  <c r="A349" i="81"/>
  <c r="E349" i="81" l="1"/>
  <c r="L349" i="65" s="1"/>
  <c r="N349" i="81"/>
  <c r="O349" i="81"/>
  <c r="P349" i="81"/>
  <c r="Q349" i="81"/>
  <c r="R349" i="81"/>
  <c r="C349" i="81"/>
  <c r="T349" i="81"/>
  <c r="D349" i="81"/>
  <c r="U349" i="81"/>
  <c r="K349" i="81"/>
  <c r="L349" i="81"/>
  <c r="M349" i="81"/>
  <c r="S349" i="81"/>
  <c r="G349" i="81"/>
  <c r="B349" i="81"/>
  <c r="F349" i="81"/>
  <c r="H349" i="81"/>
  <c r="I349" i="81"/>
  <c r="J349" i="81"/>
  <c r="A350" i="81"/>
  <c r="J350" i="81" l="1"/>
  <c r="K350" i="81"/>
  <c r="L350" i="81"/>
  <c r="M350" i="81"/>
  <c r="N350" i="81"/>
  <c r="P350" i="81"/>
  <c r="Q350" i="81"/>
  <c r="U350" i="81"/>
  <c r="B350" i="81"/>
  <c r="O350" i="81"/>
  <c r="C350" i="81"/>
  <c r="D350" i="81"/>
  <c r="E350" i="81"/>
  <c r="L350" i="65" s="1"/>
  <c r="F350" i="81"/>
  <c r="G350" i="81"/>
  <c r="H350" i="81"/>
  <c r="I350" i="81"/>
  <c r="R350" i="81"/>
  <c r="S350" i="81"/>
  <c r="T350" i="81"/>
  <c r="A351" i="81"/>
  <c r="F351" i="81" l="1"/>
  <c r="G351" i="81"/>
  <c r="H351" i="81"/>
  <c r="I351" i="81"/>
  <c r="J351" i="81"/>
  <c r="L351" i="81"/>
  <c r="M351" i="81"/>
  <c r="B351" i="81"/>
  <c r="C351" i="81"/>
  <c r="D351" i="81"/>
  <c r="E351" i="81"/>
  <c r="L351" i="65" s="1"/>
  <c r="T351" i="81"/>
  <c r="K351" i="81"/>
  <c r="N351" i="81"/>
  <c r="O351" i="81"/>
  <c r="P351" i="81"/>
  <c r="Q351" i="81"/>
  <c r="R351" i="81"/>
  <c r="S351" i="81"/>
  <c r="U351" i="81"/>
  <c r="A352" i="81"/>
  <c r="B352" i="81" l="1"/>
  <c r="R352" i="81"/>
  <c r="C352" i="81"/>
  <c r="S352" i="81"/>
  <c r="D352" i="81"/>
  <c r="T352" i="81"/>
  <c r="E352" i="81"/>
  <c r="L352" i="65" s="1"/>
  <c r="U352" i="81"/>
  <c r="F352" i="81"/>
  <c r="H352" i="81"/>
  <c r="I352" i="81"/>
  <c r="K352" i="81"/>
  <c r="L352" i="81"/>
  <c r="M352" i="81"/>
  <c r="N352" i="81"/>
  <c r="O352" i="81"/>
  <c r="P352" i="81"/>
  <c r="Q352" i="81"/>
  <c r="G352" i="81"/>
  <c r="J352" i="81"/>
  <c r="A353" i="81"/>
  <c r="N353" i="81" l="1"/>
  <c r="O353" i="81"/>
  <c r="P353" i="81"/>
  <c r="Q353" i="81"/>
  <c r="B353" i="81"/>
  <c r="R353" i="81"/>
  <c r="D353" i="81"/>
  <c r="T353" i="81"/>
  <c r="M353" i="81"/>
  <c r="S353" i="81"/>
  <c r="U353" i="81"/>
  <c r="C353" i="81"/>
  <c r="E353" i="81"/>
  <c r="L353" i="65" s="1"/>
  <c r="F353" i="81"/>
  <c r="G353" i="81"/>
  <c r="H353" i="81"/>
  <c r="I353" i="81"/>
  <c r="J353" i="81"/>
  <c r="K353" i="81"/>
  <c r="L353" i="81"/>
  <c r="A354" i="81"/>
  <c r="J354" i="81" l="1"/>
  <c r="K354" i="81"/>
  <c r="L354" i="81"/>
  <c r="M354" i="81"/>
  <c r="N354" i="81"/>
  <c r="P354" i="81"/>
  <c r="U354" i="81"/>
  <c r="B354" i="81"/>
  <c r="C354" i="81"/>
  <c r="Q354" i="81"/>
  <c r="D354" i="81"/>
  <c r="E354" i="81"/>
  <c r="L354" i="65" s="1"/>
  <c r="F354" i="81"/>
  <c r="G354" i="81"/>
  <c r="H354" i="81"/>
  <c r="I354" i="81"/>
  <c r="O354" i="81"/>
  <c r="R354" i="81"/>
  <c r="S354" i="81"/>
  <c r="T354" i="81"/>
  <c r="A355" i="81"/>
  <c r="F355" i="81" l="1"/>
  <c r="G355" i="81"/>
  <c r="H355" i="81"/>
  <c r="I355" i="81"/>
  <c r="J355" i="81"/>
  <c r="L355" i="81"/>
  <c r="B355" i="81"/>
  <c r="C355" i="81"/>
  <c r="D355" i="81"/>
  <c r="E355" i="81"/>
  <c r="L355" i="65" s="1"/>
  <c r="K355" i="81"/>
  <c r="M355" i="81"/>
  <c r="N355" i="81"/>
  <c r="O355" i="81"/>
  <c r="P355" i="81"/>
  <c r="Q355" i="81"/>
  <c r="R355" i="81"/>
  <c r="S355" i="81"/>
  <c r="T355" i="81"/>
  <c r="U355" i="81"/>
  <c r="A356" i="81"/>
  <c r="B356" i="81" l="1"/>
  <c r="R356" i="81"/>
  <c r="C356" i="81"/>
  <c r="S356" i="81"/>
  <c r="D356" i="81"/>
  <c r="T356" i="81"/>
  <c r="E356" i="81"/>
  <c r="L356" i="65" s="1"/>
  <c r="U356" i="81"/>
  <c r="F356" i="81"/>
  <c r="H356" i="81"/>
  <c r="I356" i="81"/>
  <c r="J356" i="81"/>
  <c r="K356" i="81"/>
  <c r="L356" i="81"/>
  <c r="M356" i="81"/>
  <c r="N356" i="81"/>
  <c r="O356" i="81"/>
  <c r="P356" i="81"/>
  <c r="Q356" i="81"/>
  <c r="G356" i="81"/>
  <c r="A357" i="81"/>
  <c r="N357" i="81" l="1"/>
  <c r="O357" i="81"/>
  <c r="P357" i="81"/>
  <c r="Q357" i="81"/>
  <c r="B357" i="81"/>
  <c r="R357" i="81"/>
  <c r="D357" i="81"/>
  <c r="T357" i="81"/>
  <c r="K357" i="81"/>
  <c r="L357" i="81"/>
  <c r="M357" i="81"/>
  <c r="S357" i="81"/>
  <c r="U357" i="81"/>
  <c r="G357" i="81"/>
  <c r="C357" i="81"/>
  <c r="E357" i="81"/>
  <c r="L357" i="65" s="1"/>
  <c r="F357" i="81"/>
  <c r="H357" i="81"/>
  <c r="I357" i="81"/>
  <c r="J357" i="81"/>
  <c r="A358" i="81"/>
  <c r="J358" i="81" l="1"/>
  <c r="K358" i="81"/>
  <c r="L358" i="81"/>
  <c r="M358" i="81"/>
  <c r="N358" i="81"/>
  <c r="P358" i="81"/>
  <c r="S358" i="81"/>
  <c r="T358" i="81"/>
  <c r="U358" i="81"/>
  <c r="B358" i="81"/>
  <c r="C358" i="81"/>
  <c r="D358" i="81"/>
  <c r="E358" i="81"/>
  <c r="L358" i="65" s="1"/>
  <c r="F358" i="81"/>
  <c r="G358" i="81"/>
  <c r="H358" i="81"/>
  <c r="I358" i="81"/>
  <c r="O358" i="81"/>
  <c r="Q358" i="81"/>
  <c r="R358" i="81"/>
  <c r="A359" i="81"/>
  <c r="F359" i="81" l="1"/>
  <c r="G359" i="81"/>
  <c r="H359" i="81"/>
  <c r="I359" i="81"/>
  <c r="J359" i="81"/>
  <c r="L359" i="81"/>
  <c r="U359" i="81"/>
  <c r="B359" i="81"/>
  <c r="C359" i="81"/>
  <c r="Q359" i="81"/>
  <c r="D359" i="81"/>
  <c r="E359" i="81"/>
  <c r="L359" i="65" s="1"/>
  <c r="K359" i="81"/>
  <c r="M359" i="81"/>
  <c r="N359" i="81"/>
  <c r="O359" i="81"/>
  <c r="P359" i="81"/>
  <c r="R359" i="81"/>
  <c r="S359" i="81"/>
  <c r="T359" i="81"/>
  <c r="A360" i="81"/>
  <c r="B360" i="81" l="1"/>
  <c r="R360" i="81"/>
  <c r="C360" i="81"/>
  <c r="S360" i="81"/>
  <c r="D360" i="81"/>
  <c r="T360" i="81"/>
  <c r="E360" i="81"/>
  <c r="L360" i="65" s="1"/>
  <c r="U360" i="81"/>
  <c r="F360" i="81"/>
  <c r="H360" i="81"/>
  <c r="G360" i="81"/>
  <c r="I360" i="81"/>
  <c r="J360" i="81"/>
  <c r="K360" i="81"/>
  <c r="L360" i="81"/>
  <c r="M360" i="81"/>
  <c r="N360" i="81"/>
  <c r="O360" i="81"/>
  <c r="P360" i="81"/>
  <c r="Q360" i="81"/>
  <c r="A361" i="81"/>
  <c r="N361" i="81" l="1"/>
  <c r="O361" i="81"/>
  <c r="P361" i="81"/>
  <c r="Q361" i="81"/>
  <c r="B361" i="81"/>
  <c r="R361" i="81"/>
  <c r="D361" i="81"/>
  <c r="T361" i="81"/>
  <c r="I361" i="81"/>
  <c r="J361" i="81"/>
  <c r="K361" i="81"/>
  <c r="L361" i="81"/>
  <c r="M361" i="81"/>
  <c r="S361" i="81"/>
  <c r="U361" i="81"/>
  <c r="C361" i="81"/>
  <c r="E361" i="81"/>
  <c r="L361" i="65" s="1"/>
  <c r="F361" i="81"/>
  <c r="G361" i="81"/>
  <c r="H361" i="81"/>
  <c r="A362" i="81"/>
  <c r="J362" i="81" l="1"/>
  <c r="K362" i="81"/>
  <c r="L362" i="81"/>
  <c r="M362" i="81"/>
  <c r="N362" i="81"/>
  <c r="P362" i="81"/>
  <c r="Q362" i="81"/>
  <c r="R362" i="81"/>
  <c r="S362" i="81"/>
  <c r="T362" i="81"/>
  <c r="U362" i="81"/>
  <c r="G362" i="81"/>
  <c r="B362" i="81"/>
  <c r="C362" i="81"/>
  <c r="D362" i="81"/>
  <c r="E362" i="81"/>
  <c r="L362" i="65" s="1"/>
  <c r="F362" i="81"/>
  <c r="H362" i="81"/>
  <c r="I362" i="81"/>
  <c r="O362" i="81"/>
  <c r="A363" i="81"/>
  <c r="F363" i="81" l="1"/>
  <c r="G363" i="81"/>
  <c r="H363" i="81"/>
  <c r="I363" i="81"/>
  <c r="L363" i="81"/>
  <c r="R363" i="81"/>
  <c r="S363" i="81"/>
  <c r="T363" i="81"/>
  <c r="U363" i="81"/>
  <c r="B363" i="81"/>
  <c r="C363" i="81"/>
  <c r="D363" i="81"/>
  <c r="E363" i="81"/>
  <c r="L363" i="65" s="1"/>
  <c r="J363" i="81"/>
  <c r="K363" i="81"/>
  <c r="M363" i="81"/>
  <c r="N363" i="81"/>
  <c r="O363" i="81"/>
  <c r="P363" i="81"/>
  <c r="Q363" i="81"/>
  <c r="A364" i="81"/>
  <c r="B364" i="81" l="1"/>
  <c r="R364" i="81"/>
  <c r="C364" i="81"/>
  <c r="S364" i="81"/>
  <c r="D364" i="81"/>
  <c r="T364" i="81"/>
  <c r="E364" i="81"/>
  <c r="L364" i="65" s="1"/>
  <c r="U364" i="81"/>
  <c r="F364" i="81"/>
  <c r="N364" i="81"/>
  <c r="G364" i="81"/>
  <c r="H364" i="81"/>
  <c r="I364" i="81"/>
  <c r="J364" i="81"/>
  <c r="K364" i="81"/>
  <c r="L364" i="81"/>
  <c r="M364" i="81"/>
  <c r="O364" i="81"/>
  <c r="P364" i="81"/>
  <c r="Q364" i="81"/>
  <c r="A365" i="81"/>
  <c r="N365" i="81" l="1"/>
  <c r="O365" i="81"/>
  <c r="P365" i="81"/>
  <c r="Q365" i="81"/>
  <c r="B365" i="81"/>
  <c r="C365" i="81"/>
  <c r="D365" i="81"/>
  <c r="E365" i="81"/>
  <c r="L365" i="65" s="1"/>
  <c r="F365" i="81"/>
  <c r="R365" i="81"/>
  <c r="G365" i="81"/>
  <c r="H365" i="81"/>
  <c r="I365" i="81"/>
  <c r="J365" i="81"/>
  <c r="K365" i="81"/>
  <c r="L365" i="81"/>
  <c r="M365" i="81"/>
  <c r="S365" i="81"/>
  <c r="T365" i="81"/>
  <c r="U365" i="81"/>
  <c r="A366" i="81"/>
  <c r="J366" i="81" l="1"/>
  <c r="K366" i="81"/>
  <c r="L366" i="81"/>
  <c r="M366" i="81"/>
  <c r="B366" i="81"/>
  <c r="C366" i="81"/>
  <c r="D366" i="81"/>
  <c r="E366" i="81"/>
  <c r="L366" i="65" s="1"/>
  <c r="F366" i="81"/>
  <c r="G366" i="81"/>
  <c r="H366" i="81"/>
  <c r="I366" i="81"/>
  <c r="N366" i="81"/>
  <c r="O366" i="81"/>
  <c r="P366" i="81"/>
  <c r="Q366" i="81"/>
  <c r="R366" i="81"/>
  <c r="S366" i="81"/>
  <c r="T366" i="81"/>
  <c r="U366" i="81"/>
  <c r="A367" i="81"/>
  <c r="F367" i="81" l="1"/>
  <c r="G367" i="81"/>
  <c r="H367" i="81"/>
  <c r="B367" i="81"/>
  <c r="U367" i="81"/>
  <c r="C367" i="81"/>
  <c r="D367" i="81"/>
  <c r="E367" i="81"/>
  <c r="L367" i="65" s="1"/>
  <c r="I367" i="81"/>
  <c r="Q367" i="81"/>
  <c r="J367" i="81"/>
  <c r="K367" i="81"/>
  <c r="L367" i="81"/>
  <c r="M367" i="81"/>
  <c r="N367" i="81"/>
  <c r="O367" i="81"/>
  <c r="P367" i="81"/>
  <c r="R367" i="81"/>
  <c r="S367" i="81"/>
  <c r="T367" i="81"/>
  <c r="A368" i="81"/>
  <c r="D368" i="81" l="1"/>
  <c r="R368" i="81"/>
  <c r="B368" i="81"/>
  <c r="S368" i="81"/>
  <c r="C368" i="81"/>
  <c r="T368" i="81"/>
  <c r="E368" i="81"/>
  <c r="L368" i="65" s="1"/>
  <c r="U368" i="81"/>
  <c r="F368" i="81"/>
  <c r="G368" i="81"/>
  <c r="H368" i="81"/>
  <c r="I368" i="81"/>
  <c r="J368" i="81"/>
  <c r="K368" i="81"/>
  <c r="L368" i="81"/>
  <c r="M368" i="81"/>
  <c r="N368" i="81"/>
  <c r="O368" i="81"/>
  <c r="P368" i="81"/>
  <c r="Q368" i="81"/>
  <c r="A369" i="81"/>
  <c r="N369" i="81" l="1"/>
  <c r="O369" i="81"/>
  <c r="P369" i="81"/>
  <c r="Q369" i="81"/>
  <c r="B369" i="81"/>
  <c r="R369" i="81"/>
  <c r="J369" i="81"/>
  <c r="C369" i="81"/>
  <c r="S369" i="81"/>
  <c r="D369" i="81"/>
  <c r="T369" i="81"/>
  <c r="E369" i="81"/>
  <c r="L369" i="65" s="1"/>
  <c r="U369" i="81"/>
  <c r="F369" i="81"/>
  <c r="G369" i="81"/>
  <c r="H369" i="81"/>
  <c r="I369" i="81"/>
  <c r="K369" i="81"/>
  <c r="L369" i="81"/>
  <c r="M369" i="81"/>
  <c r="A370" i="81"/>
  <c r="J370" i="81" l="1"/>
  <c r="K370" i="81"/>
  <c r="L370" i="81"/>
  <c r="M370" i="81"/>
  <c r="N370" i="81"/>
  <c r="O370" i="81"/>
  <c r="P370" i="81"/>
  <c r="Q370" i="81"/>
  <c r="B370" i="81"/>
  <c r="R370" i="81"/>
  <c r="C370" i="81"/>
  <c r="S370" i="81"/>
  <c r="D370" i="81"/>
  <c r="T370" i="81"/>
  <c r="E370" i="81"/>
  <c r="U370" i="81"/>
  <c r="F370" i="81"/>
  <c r="G370" i="81"/>
  <c r="H370" i="81"/>
  <c r="I370" i="81"/>
  <c r="A371" i="81"/>
  <c r="F371" i="81" l="1"/>
  <c r="G371" i="81"/>
  <c r="H371" i="81"/>
  <c r="I371" i="81"/>
  <c r="J371" i="81"/>
  <c r="B371" i="81"/>
  <c r="K371" i="81"/>
  <c r="L371" i="81"/>
  <c r="M371" i="81"/>
  <c r="N371" i="81"/>
  <c r="O371" i="81"/>
  <c r="P371" i="81"/>
  <c r="Q371" i="81"/>
  <c r="R371" i="81"/>
  <c r="C371" i="81"/>
  <c r="S371" i="81"/>
  <c r="D371" i="81"/>
  <c r="T371" i="81"/>
  <c r="E371" i="81"/>
  <c r="U371" i="81"/>
  <c r="A3" i="65"/>
  <c r="A4" i="65" s="1"/>
  <c r="A5" i="65" s="1"/>
  <c r="A6" i="65" s="1"/>
  <c r="A7" i="65" s="1"/>
  <c r="A8" i="65" s="1"/>
  <c r="A9" i="65" s="1"/>
  <c r="A10" i="65" s="1"/>
  <c r="A11" i="65" s="1"/>
  <c r="A12" i="65" s="1"/>
  <c r="A13" i="65" s="1"/>
  <c r="A14" i="65" s="1"/>
  <c r="A15" i="65" s="1"/>
  <c r="A16" i="65" s="1"/>
  <c r="A17" i="65" s="1"/>
  <c r="A18" i="65" s="1"/>
  <c r="A19" i="65" s="1"/>
  <c r="A20" i="65" s="1"/>
  <c r="A21" i="65" s="1"/>
  <c r="A22" i="65" s="1"/>
  <c r="A23" i="65" s="1"/>
  <c r="A24" i="65" s="1"/>
  <c r="A25" i="65" s="1"/>
  <c r="A26" i="65" s="1"/>
  <c r="A27" i="65" s="1"/>
  <c r="A28" i="65" s="1"/>
  <c r="A29" i="65" s="1"/>
  <c r="A30" i="65" s="1"/>
  <c r="A31" i="65" s="1"/>
  <c r="A32" i="65" s="1"/>
  <c r="A33" i="65" s="1"/>
  <c r="A34" i="65" s="1"/>
  <c r="A35" i="65" s="1"/>
  <c r="A36" i="65" s="1"/>
  <c r="A37" i="65" s="1"/>
  <c r="A38" i="65" s="1"/>
  <c r="A39" i="65" s="1"/>
  <c r="A40" i="65" s="1"/>
  <c r="A41" i="65" s="1"/>
  <c r="A42" i="65" s="1"/>
  <c r="A43" i="65" s="1"/>
  <c r="A44" i="65" s="1"/>
  <c r="A45" i="65" s="1"/>
  <c r="A46" i="65" s="1"/>
  <c r="A47" i="65" s="1"/>
  <c r="A48" i="65" s="1"/>
  <c r="A49" i="65" s="1"/>
  <c r="A50" i="65" s="1"/>
  <c r="A51" i="65" s="1"/>
  <c r="A52" i="65" s="1"/>
  <c r="A53" i="65" s="1"/>
  <c r="A54" i="65" s="1"/>
  <c r="A55" i="65" s="1"/>
  <c r="A56" i="65" s="1"/>
  <c r="A57" i="65" s="1"/>
  <c r="A58" i="65" s="1"/>
  <c r="A59" i="65" s="1"/>
  <c r="A60" i="65" s="1"/>
  <c r="A61" i="65" s="1"/>
  <c r="A62" i="65" s="1"/>
  <c r="A63" i="65" s="1"/>
  <c r="A64" i="65" s="1"/>
  <c r="A65" i="65" s="1"/>
  <c r="A66" i="65" s="1"/>
  <c r="A67" i="65" s="1"/>
  <c r="A68" i="65" s="1"/>
  <c r="A69" i="65" s="1"/>
  <c r="A70" i="65" s="1"/>
  <c r="A71" i="65" s="1"/>
  <c r="A72" i="65" s="1"/>
  <c r="A73" i="65" s="1"/>
  <c r="A74" i="65" s="1"/>
  <c r="A75" i="65" s="1"/>
  <c r="A76" i="65" s="1"/>
  <c r="A77" i="65" s="1"/>
  <c r="A78" i="65" s="1"/>
  <c r="A79" i="65" s="1"/>
  <c r="A80" i="65" s="1"/>
  <c r="A81" i="65" s="1"/>
  <c r="A82" i="65" s="1"/>
  <c r="A83" i="65" s="1"/>
  <c r="A84" i="65" s="1"/>
  <c r="A85" i="65" s="1"/>
  <c r="A86" i="65" s="1"/>
  <c r="A87" i="65" s="1"/>
  <c r="A88" i="65" s="1"/>
  <c r="A89" i="65" s="1"/>
  <c r="A90" i="65" s="1"/>
  <c r="A91" i="65" s="1"/>
  <c r="A92" i="65" s="1"/>
  <c r="A93" i="65" s="1"/>
  <c r="A94" i="65" s="1"/>
  <c r="A95" i="65" s="1"/>
  <c r="A96" i="65" s="1"/>
  <c r="A97" i="65" s="1"/>
  <c r="A98" i="65" s="1"/>
  <c r="A99" i="65" s="1"/>
  <c r="A100" i="65" s="1"/>
  <c r="A101" i="65" s="1"/>
  <c r="A102" i="65" s="1"/>
  <c r="A103" i="65" s="1"/>
  <c r="A104" i="65" s="1"/>
  <c r="A105" i="65" s="1"/>
  <c r="A106" i="65" s="1"/>
  <c r="A107" i="65" s="1"/>
  <c r="A108" i="65" s="1"/>
  <c r="A109" i="65" s="1"/>
  <c r="A110" i="65" s="1"/>
  <c r="A111" i="65" s="1"/>
  <c r="A112" i="65" s="1"/>
  <c r="A113" i="65" s="1"/>
  <c r="A114" i="65" s="1"/>
  <c r="A115" i="65" s="1"/>
  <c r="A116" i="65" s="1"/>
  <c r="A117" i="65" s="1"/>
  <c r="A118" i="65" s="1"/>
  <c r="A119" i="65" s="1"/>
  <c r="A120" i="65" s="1"/>
  <c r="A121" i="65" s="1"/>
  <c r="A122" i="65" s="1"/>
  <c r="A123" i="65" s="1"/>
  <c r="A124" i="65" s="1"/>
  <c r="A125" i="65" s="1"/>
  <c r="A126" i="65" s="1"/>
  <c r="A127" i="65" s="1"/>
  <c r="A128" i="65" s="1"/>
  <c r="A129" i="65" s="1"/>
  <c r="A130" i="65" s="1"/>
  <c r="A131" i="65" s="1"/>
  <c r="A132" i="65" s="1"/>
  <c r="A133" i="65" s="1"/>
  <c r="A134" i="65" s="1"/>
  <c r="A135" i="65" s="1"/>
  <c r="A136" i="65" s="1"/>
  <c r="A137" i="65" s="1"/>
  <c r="A138" i="65" s="1"/>
  <c r="A139" i="65" s="1"/>
  <c r="A140" i="65" s="1"/>
  <c r="A141" i="65" s="1"/>
  <c r="A142" i="65" s="1"/>
  <c r="A143" i="65" s="1"/>
  <c r="A144" i="65" s="1"/>
  <c r="A145" i="65" s="1"/>
  <c r="A146" i="65" s="1"/>
  <c r="A147" i="65" s="1"/>
  <c r="A148" i="65" s="1"/>
  <c r="A149" i="65" s="1"/>
  <c r="A150" i="65" s="1"/>
  <c r="A151" i="65" s="1"/>
  <c r="A152" i="65" s="1"/>
  <c r="A153" i="65" s="1"/>
  <c r="A154" i="65" s="1"/>
  <c r="A155" i="65" s="1"/>
  <c r="A156" i="65" s="1"/>
  <c r="A157" i="65" s="1"/>
  <c r="A158" i="65" s="1"/>
  <c r="A159" i="65" s="1"/>
  <c r="A160" i="65" s="1"/>
  <c r="A161" i="65" s="1"/>
  <c r="A162" i="65" s="1"/>
  <c r="A163" i="65" s="1"/>
  <c r="A164" i="65" s="1"/>
  <c r="A165" i="65" s="1"/>
  <c r="A166" i="65" s="1"/>
  <c r="A167" i="65" s="1"/>
  <c r="A168" i="65" s="1"/>
  <c r="A169" i="65" s="1"/>
  <c r="A170" i="65" s="1"/>
  <c r="A171" i="65" s="1"/>
  <c r="A172" i="65" s="1"/>
  <c r="A173" i="65" s="1"/>
  <c r="A174" i="65" s="1"/>
  <c r="A175" i="65" s="1"/>
  <c r="A176" i="65" s="1"/>
  <c r="A177" i="65" s="1"/>
  <c r="A178" i="65" s="1"/>
  <c r="A179" i="65" s="1"/>
  <c r="A180" i="65" s="1"/>
  <c r="A181" i="65" s="1"/>
  <c r="A182" i="65" s="1"/>
  <c r="A183" i="65" s="1"/>
  <c r="A184" i="65" s="1"/>
  <c r="A185" i="65" s="1"/>
  <c r="A186" i="65" s="1"/>
  <c r="A187" i="65" s="1"/>
  <c r="A188" i="65" s="1"/>
  <c r="A189" i="65" s="1"/>
  <c r="A190" i="65" s="1"/>
  <c r="A191" i="65" s="1"/>
  <c r="A192" i="65" s="1"/>
  <c r="A193" i="65" s="1"/>
  <c r="A194" i="65" s="1"/>
  <c r="A195" i="65" s="1"/>
  <c r="A196" i="65" s="1"/>
  <c r="A197" i="65" s="1"/>
  <c r="A198" i="65" s="1"/>
  <c r="A199" i="65" s="1"/>
  <c r="A200" i="65" s="1"/>
  <c r="A201" i="65" s="1"/>
  <c r="A202" i="65" s="1"/>
  <c r="A203" i="65" s="1"/>
  <c r="A204" i="65" s="1"/>
  <c r="A205" i="65" s="1"/>
  <c r="A206" i="65" s="1"/>
  <c r="A207" i="65" s="1"/>
  <c r="A208" i="65" s="1"/>
  <c r="A209" i="65" s="1"/>
  <c r="A210" i="65" s="1"/>
  <c r="A211" i="65" s="1"/>
  <c r="A212" i="65" s="1"/>
  <c r="A213" i="65" s="1"/>
  <c r="A214" i="65" s="1"/>
  <c r="A215" i="65" s="1"/>
  <c r="A216" i="65" s="1"/>
  <c r="A217" i="65" s="1"/>
  <c r="A218" i="65" s="1"/>
  <c r="A219" i="65" s="1"/>
  <c r="A220" i="65" s="1"/>
  <c r="A221" i="65" s="1"/>
  <c r="A222" i="65" s="1"/>
  <c r="A223" i="65" s="1"/>
  <c r="A224" i="65" s="1"/>
  <c r="A225" i="65" s="1"/>
  <c r="A226" i="65" s="1"/>
  <c r="A227" i="65" s="1"/>
  <c r="A228" i="65" s="1"/>
  <c r="A229" i="65" s="1"/>
  <c r="A230" i="65" s="1"/>
  <c r="A231" i="65" s="1"/>
  <c r="A232" i="65" s="1"/>
  <c r="A233" i="65" s="1"/>
  <c r="A234" i="65" s="1"/>
  <c r="A235" i="65" s="1"/>
  <c r="A236" i="65" s="1"/>
  <c r="A237" i="65" s="1"/>
  <c r="A238" i="65" s="1"/>
  <c r="A239" i="65" s="1"/>
  <c r="A240" i="65" s="1"/>
  <c r="A241" i="65" s="1"/>
  <c r="A242" i="65" s="1"/>
  <c r="A243" i="65" s="1"/>
  <c r="A244" i="65" s="1"/>
  <c r="A245" i="65" s="1"/>
  <c r="A246" i="65" s="1"/>
  <c r="A247" i="65" s="1"/>
  <c r="A248" i="65" s="1"/>
  <c r="A249" i="65" s="1"/>
  <c r="A250" i="65" s="1"/>
  <c r="A251" i="65" s="1"/>
  <c r="A252" i="65" s="1"/>
  <c r="A253" i="65" s="1"/>
  <c r="A254" i="65" s="1"/>
  <c r="A255" i="65" s="1"/>
  <c r="A256" i="65" s="1"/>
  <c r="A257" i="65" s="1"/>
  <c r="A258" i="65" s="1"/>
  <c r="A259" i="65" s="1"/>
  <c r="A260" i="65" s="1"/>
  <c r="A261" i="65" s="1"/>
  <c r="A262" i="65" s="1"/>
  <c r="A263" i="65" s="1"/>
  <c r="A264" i="65" s="1"/>
  <c r="A265" i="65" s="1"/>
  <c r="A266" i="65" s="1"/>
  <c r="A267" i="65" s="1"/>
  <c r="A268" i="65" s="1"/>
  <c r="A269" i="65" s="1"/>
  <c r="A270" i="65" s="1"/>
  <c r="A271" i="65" s="1"/>
  <c r="A272" i="65" s="1"/>
  <c r="A273" i="65" s="1"/>
  <c r="A274" i="65" s="1"/>
  <c r="A275" i="65" s="1"/>
  <c r="A276" i="65" s="1"/>
  <c r="A277" i="65" s="1"/>
  <c r="A278" i="65" s="1"/>
  <c r="A279" i="65" s="1"/>
  <c r="A280" i="65" s="1"/>
  <c r="A281" i="65" s="1"/>
  <c r="A282" i="65" s="1"/>
  <c r="A283" i="65" s="1"/>
  <c r="A284" i="65" s="1"/>
  <c r="A285" i="65" s="1"/>
  <c r="A286" i="65" s="1"/>
  <c r="A287" i="65" s="1"/>
  <c r="A288" i="65" s="1"/>
  <c r="A289" i="65" s="1"/>
  <c r="A290" i="65" s="1"/>
  <c r="A291" i="65" s="1"/>
  <c r="A292" i="65" s="1"/>
  <c r="A293" i="65" s="1"/>
  <c r="A294" i="65" s="1"/>
  <c r="A295" i="65" s="1"/>
  <c r="A296" i="65" s="1"/>
  <c r="A297" i="65" s="1"/>
  <c r="A298" i="65" s="1"/>
  <c r="A299" i="65" s="1"/>
  <c r="A300" i="65" s="1"/>
  <c r="A301" i="65" s="1"/>
  <c r="A302" i="65" s="1"/>
  <c r="A303" i="65" s="1"/>
  <c r="A304" i="65" s="1"/>
  <c r="A305" i="65" s="1"/>
  <c r="A306" i="65" s="1"/>
  <c r="A307" i="65" s="1"/>
  <c r="A308" i="65" s="1"/>
  <c r="A309" i="65" s="1"/>
  <c r="A310" i="65" s="1"/>
  <c r="A311" i="65" s="1"/>
  <c r="A312" i="65" s="1"/>
  <c r="A313" i="65" s="1"/>
  <c r="A314" i="65" s="1"/>
  <c r="A315" i="65" s="1"/>
  <c r="A316" i="65" s="1"/>
  <c r="A317" i="65" s="1"/>
  <c r="A318" i="65" s="1"/>
  <c r="A319" i="65" s="1"/>
  <c r="A320" i="65" s="1"/>
  <c r="A321" i="65" s="1"/>
  <c r="A322" i="65" s="1"/>
  <c r="A323" i="65" s="1"/>
  <c r="A324" i="65" s="1"/>
  <c r="A325" i="65" s="1"/>
  <c r="A326" i="65" s="1"/>
  <c r="A327" i="65" s="1"/>
  <c r="A328" i="65" s="1"/>
  <c r="A329" i="65" s="1"/>
  <c r="A330" i="65" s="1"/>
  <c r="A331" i="65" s="1"/>
  <c r="A332" i="65" s="1"/>
  <c r="A333" i="65" s="1"/>
  <c r="A334" i="65" s="1"/>
  <c r="A335" i="65" s="1"/>
  <c r="A336" i="65" s="1"/>
  <c r="A337" i="65" s="1"/>
  <c r="A338" i="65" s="1"/>
  <c r="A339" i="65" s="1"/>
  <c r="A340" i="65" s="1"/>
  <c r="A341" i="65" s="1"/>
  <c r="A342" i="65" s="1"/>
  <c r="A343" i="65" s="1"/>
  <c r="A344" i="65" s="1"/>
  <c r="A345" i="65" s="1"/>
  <c r="A346" i="65" s="1"/>
  <c r="A347" i="65" s="1"/>
  <c r="A348" i="65" s="1"/>
  <c r="A349" i="65" s="1"/>
  <c r="A350" i="65" s="1"/>
  <c r="A351" i="65" s="1"/>
  <c r="A352" i="65" s="1"/>
  <c r="A353" i="65" s="1"/>
  <c r="A354" i="65" s="1"/>
  <c r="A355" i="65" s="1"/>
  <c r="A356" i="65" s="1"/>
  <c r="A357" i="65" s="1"/>
  <c r="A358" i="65" s="1"/>
  <c r="A359" i="65" s="1"/>
  <c r="A360" i="65" s="1"/>
  <c r="A361" i="65" s="1"/>
  <c r="A362" i="65" s="1"/>
  <c r="A363" i="65" s="1"/>
  <c r="A364" i="65" s="1"/>
  <c r="A365" i="65" s="1"/>
  <c r="A366" i="65" s="1"/>
  <c r="A367" i="65" s="1"/>
  <c r="A368" i="65" s="1"/>
  <c r="A369" i="65" s="1"/>
  <c r="A3" i="63"/>
  <c r="A4" i="63" l="1"/>
  <c r="AK7" i="24" l="1" a="1"/>
  <c r="AK7" i="24" s="1"/>
  <c r="AK3" i="63" s="1"/>
  <c r="AI7" i="24" a="1"/>
  <c r="AI7" i="24" s="1"/>
  <c r="AI3" i="63" s="1"/>
  <c r="AY7" i="24" a="1"/>
  <c r="AY7" i="24" s="1"/>
  <c r="AY3" i="63" s="1"/>
  <c r="AU7" i="24" a="1"/>
  <c r="AU7" i="24" s="1"/>
  <c r="AU3" i="63" s="1"/>
  <c r="AX7" i="24" a="1"/>
  <c r="AX7" i="24" s="1"/>
  <c r="AX3" i="63" s="1"/>
  <c r="AL7" i="24" a="1"/>
  <c r="AL7" i="24" s="1"/>
  <c r="AL3" i="63" s="1"/>
  <c r="AM7" i="24" a="1"/>
  <c r="AM7" i="24" s="1"/>
  <c r="AM3" i="63" s="1"/>
  <c r="AN7" i="24" a="1"/>
  <c r="AN7" i="24" s="1"/>
  <c r="AN3" i="63" s="1"/>
  <c r="AO7" i="24" a="1"/>
  <c r="AO7" i="24" s="1"/>
  <c r="AO3" i="63" s="1"/>
  <c r="AP7" i="24" a="1"/>
  <c r="AP7" i="24" s="1"/>
  <c r="AP3" i="63" s="1"/>
  <c r="AQ7" i="24" a="1"/>
  <c r="AQ7" i="24" s="1"/>
  <c r="AQ3" i="63" s="1"/>
  <c r="AR7" i="24" a="1"/>
  <c r="AR7" i="24" s="1"/>
  <c r="AR3" i="63" s="1"/>
  <c r="AS7" i="24" a="1"/>
  <c r="AS7" i="24" s="1"/>
  <c r="AS3" i="63" s="1"/>
  <c r="AT7" i="24" a="1"/>
  <c r="AT7" i="24" s="1"/>
  <c r="AT3" i="63" s="1"/>
  <c r="AW7" i="24" a="1"/>
  <c r="AW7" i="24" s="1"/>
  <c r="AW3" i="63" s="1"/>
  <c r="AV7" i="24" a="1"/>
  <c r="AV7" i="24" s="1"/>
  <c r="AV3" i="63" s="1"/>
  <c r="AJ7" i="24" a="1"/>
  <c r="AJ7" i="24" s="1"/>
  <c r="AJ3" i="63" s="1"/>
  <c r="AG7" i="24" a="1"/>
  <c r="AG7" i="24" s="1"/>
  <c r="AG3" i="63" s="1"/>
  <c r="AH7" i="24" a="1"/>
  <c r="AH7" i="24" s="1"/>
  <c r="AH3" i="63" s="1"/>
  <c r="AF7" i="24" a="1"/>
  <c r="AF7" i="24" s="1"/>
  <c r="AF3" i="63" s="1"/>
  <c r="C7" i="24" a="1"/>
  <c r="C7" i="24" s="1"/>
  <c r="G7" i="24" a="1"/>
  <c r="G7" i="24" s="1"/>
  <c r="K7" i="24" a="1"/>
  <c r="K7" i="24" s="1"/>
  <c r="O7" i="24" a="1"/>
  <c r="O7" i="24" s="1"/>
  <c r="O3" i="63" s="1"/>
  <c r="S7" i="24" a="1"/>
  <c r="S7" i="24" s="1"/>
  <c r="W7" i="24" a="1"/>
  <c r="W7" i="24" s="1"/>
  <c r="W3" i="63" s="1"/>
  <c r="AA7" i="24" a="1"/>
  <c r="AA7" i="24" s="1"/>
  <c r="AE7" i="24" a="1"/>
  <c r="AE7" i="24" s="1"/>
  <c r="AE3" i="63" s="1"/>
  <c r="H3" i="63"/>
  <c r="L7" i="24" a="1"/>
  <c r="L7" i="24" s="1"/>
  <c r="L3" i="63" s="1"/>
  <c r="P7" i="24" a="1"/>
  <c r="P7" i="24" s="1"/>
  <c r="P3" i="63" s="1"/>
  <c r="AD7" i="24" a="1"/>
  <c r="AD7" i="24" s="1"/>
  <c r="AD3" i="63" s="1"/>
  <c r="T7" i="24" a="1"/>
  <c r="T7" i="24" s="1"/>
  <c r="T3" i="63" s="1"/>
  <c r="X7" i="24" a="1"/>
  <c r="X7" i="24" s="1"/>
  <c r="AB7" i="24" a="1"/>
  <c r="AB7" i="24" s="1"/>
  <c r="Q7" i="24" a="1"/>
  <c r="Q7" i="24" s="1"/>
  <c r="E7" i="24" a="1"/>
  <c r="E7" i="24" s="1"/>
  <c r="I7" i="24" a="1"/>
  <c r="I7" i="24" s="1"/>
  <c r="I3" i="63" s="1"/>
  <c r="M7" i="24" a="1"/>
  <c r="M7" i="24" s="1"/>
  <c r="M3" i="63" s="1"/>
  <c r="Y7" i="24" a="1"/>
  <c r="Y7" i="24" s="1"/>
  <c r="U7" i="24" a="1"/>
  <c r="U7" i="24" s="1"/>
  <c r="Z7" i="24" a="1"/>
  <c r="Z7" i="24" s="1"/>
  <c r="Z3" i="63" s="1"/>
  <c r="J7" i="24" a="1"/>
  <c r="J7" i="24" s="1"/>
  <c r="J3" i="63" s="1"/>
  <c r="AC7" i="24" a="1"/>
  <c r="AC7" i="24" s="1"/>
  <c r="AC3" i="63" s="1"/>
  <c r="F7" i="24" a="1"/>
  <c r="F7" i="24" s="1"/>
  <c r="R7" i="24" a="1"/>
  <c r="R7" i="24" s="1"/>
  <c r="V7" i="24" a="1"/>
  <c r="V7" i="24" s="1"/>
  <c r="V3" i="63" s="1"/>
  <c r="D3" i="65" s="1"/>
  <c r="N7" i="24" a="1"/>
  <c r="N7" i="24" s="1"/>
  <c r="N3" i="63" s="1"/>
  <c r="A5" i="63"/>
  <c r="AR4" i="63" l="1"/>
  <c r="AV4" i="63"/>
  <c r="AQ4" i="63"/>
  <c r="AU4" i="63"/>
  <c r="AP4" i="63"/>
  <c r="AN4" i="63"/>
  <c r="AO4" i="63"/>
  <c r="AF4" i="63"/>
  <c r="AM4" i="63"/>
  <c r="AE4" i="63"/>
  <c r="AL4" i="63"/>
  <c r="AW4" i="63"/>
  <c r="AK4" i="63"/>
  <c r="AG4" i="63"/>
  <c r="AJ4" i="63"/>
  <c r="AT4" i="63"/>
  <c r="AY4" i="63"/>
  <c r="AD4" i="63"/>
  <c r="AI4" i="63"/>
  <c r="AS4" i="63"/>
  <c r="AX4" i="63"/>
  <c r="AC4" i="63"/>
  <c r="AH4" i="63"/>
  <c r="Z4" i="63"/>
  <c r="K3" i="65"/>
  <c r="AA3" i="65"/>
  <c r="I3" i="65"/>
  <c r="G3" i="65"/>
  <c r="S3" i="63"/>
  <c r="J3" i="65" s="1"/>
  <c r="T4" i="63"/>
  <c r="K3" i="63"/>
  <c r="Z3" i="65" s="1"/>
  <c r="V4" i="63"/>
  <c r="D4" i="65" s="1"/>
  <c r="L4" i="63"/>
  <c r="K4" i="65" s="1"/>
  <c r="U4" i="63"/>
  <c r="O4" i="63"/>
  <c r="H4" i="63"/>
  <c r="J4" i="63"/>
  <c r="I4" i="63"/>
  <c r="N4" i="63"/>
  <c r="W4" i="63"/>
  <c r="P5" i="63"/>
  <c r="AF5" i="63"/>
  <c r="AV5" i="63"/>
  <c r="AG5" i="63"/>
  <c r="AW5" i="63"/>
  <c r="B5" i="63"/>
  <c r="AH5" i="63"/>
  <c r="AX5" i="63"/>
  <c r="C5" i="63"/>
  <c r="AI5" i="63"/>
  <c r="AY5" i="63"/>
  <c r="D5" i="63"/>
  <c r="T5" i="63"/>
  <c r="AJ5" i="63"/>
  <c r="E5" i="63"/>
  <c r="U5" i="63"/>
  <c r="AK5" i="63"/>
  <c r="G5" i="63"/>
  <c r="AM5" i="63"/>
  <c r="X5" i="63"/>
  <c r="AN5" i="63"/>
  <c r="I5" i="63"/>
  <c r="Y5" i="63"/>
  <c r="AE5" i="65" s="1"/>
  <c r="AO5" i="63"/>
  <c r="J5" i="63"/>
  <c r="Z5" i="63"/>
  <c r="AP5" i="63"/>
  <c r="AQ5" i="63"/>
  <c r="L5" i="63"/>
  <c r="AR5" i="63"/>
  <c r="O5" i="63"/>
  <c r="AE5" i="63"/>
  <c r="AU5" i="63"/>
  <c r="AS5" i="63"/>
  <c r="AT5" i="63"/>
  <c r="F5" i="63"/>
  <c r="M5" i="63"/>
  <c r="N5" i="63"/>
  <c r="V5" i="63"/>
  <c r="AC5" i="63"/>
  <c r="AD5" i="63"/>
  <c r="AL5" i="63"/>
  <c r="M4" i="63"/>
  <c r="W3" i="65"/>
  <c r="O3" i="65"/>
  <c r="A6" i="63"/>
  <c r="AD5" i="65" l="1"/>
  <c r="V4" i="65"/>
  <c r="AC4" i="65"/>
  <c r="Z5" i="65"/>
  <c r="J4" i="65"/>
  <c r="T5" i="65"/>
  <c r="AC5" i="65"/>
  <c r="O4" i="65"/>
  <c r="P3" i="65"/>
  <c r="P4" i="65"/>
  <c r="K5" i="65"/>
  <c r="D5" i="65"/>
  <c r="Z4" i="65"/>
  <c r="W4" i="65"/>
  <c r="AA4" i="65"/>
  <c r="W5" i="65"/>
  <c r="I4" i="65"/>
  <c r="O5" i="65"/>
  <c r="AA5" i="65"/>
  <c r="P5" i="65"/>
  <c r="V5" i="65"/>
  <c r="I5" i="65"/>
  <c r="G4" i="65"/>
  <c r="N6" i="63"/>
  <c r="AD6" i="63"/>
  <c r="AT6" i="63"/>
  <c r="O6" i="63"/>
  <c r="AE6" i="63"/>
  <c r="AU6" i="63"/>
  <c r="AF6" i="63"/>
  <c r="AV6" i="63"/>
  <c r="AG6" i="63"/>
  <c r="AW6" i="63"/>
  <c r="B6" i="63"/>
  <c r="AH6" i="63"/>
  <c r="AX6" i="63"/>
  <c r="C6" i="63"/>
  <c r="AI6" i="63"/>
  <c r="AY6" i="63"/>
  <c r="E6" i="63"/>
  <c r="AK6" i="63"/>
  <c r="F6" i="63"/>
  <c r="V6" i="63"/>
  <c r="AL6" i="63"/>
  <c r="G6" i="63"/>
  <c r="W6" i="63"/>
  <c r="AM6" i="63"/>
  <c r="H6" i="63"/>
  <c r="X6" i="63"/>
  <c r="AN6" i="63"/>
  <c r="Y6" i="63"/>
  <c r="AE6" i="65" s="1"/>
  <c r="AO6" i="63"/>
  <c r="J6" i="63"/>
  <c r="Z6" i="63"/>
  <c r="AP6" i="63"/>
  <c r="M6" i="63"/>
  <c r="AC6" i="63"/>
  <c r="AS6" i="63"/>
  <c r="D6" i="63"/>
  <c r="L6" i="63"/>
  <c r="T6" i="63"/>
  <c r="AJ6" i="63"/>
  <c r="AQ6" i="63"/>
  <c r="AR6" i="63"/>
  <c r="Y3" i="65"/>
  <c r="A7" i="63"/>
  <c r="T6" i="65" l="1"/>
  <c r="AD6" i="65"/>
  <c r="J6" i="65"/>
  <c r="K6" i="65"/>
  <c r="D6" i="65"/>
  <c r="Z6" i="65"/>
  <c r="P6" i="65"/>
  <c r="W6" i="65"/>
  <c r="O6" i="65"/>
  <c r="AA6" i="65"/>
  <c r="G6" i="65"/>
  <c r="V6" i="65"/>
  <c r="I6" i="65"/>
  <c r="L7" i="63"/>
  <c r="AR7" i="63"/>
  <c r="M7" i="63"/>
  <c r="AC7" i="63"/>
  <c r="AS7" i="63"/>
  <c r="N7" i="63"/>
  <c r="AD7" i="63"/>
  <c r="AT7" i="63"/>
  <c r="O7" i="63"/>
  <c r="AE7" i="63"/>
  <c r="AU7" i="63"/>
  <c r="AF7" i="63"/>
  <c r="AV7" i="63"/>
  <c r="Q7" i="63"/>
  <c r="AG7" i="63"/>
  <c r="AW7" i="63"/>
  <c r="C7" i="63"/>
  <c r="AI7" i="63"/>
  <c r="AY7" i="63"/>
  <c r="D7" i="63"/>
  <c r="T7" i="63"/>
  <c r="AJ7" i="63"/>
  <c r="E7" i="63"/>
  <c r="U7" i="63"/>
  <c r="AK7" i="63"/>
  <c r="F7" i="63"/>
  <c r="V7" i="63"/>
  <c r="AL7" i="63"/>
  <c r="G7" i="63"/>
  <c r="W7" i="63"/>
  <c r="AM7" i="63"/>
  <c r="H7" i="63"/>
  <c r="G7" i="65" s="1"/>
  <c r="X7" i="63"/>
  <c r="AN7" i="63"/>
  <c r="AQ7" i="63"/>
  <c r="Z7" i="63"/>
  <c r="AH7" i="63"/>
  <c r="AO7" i="63"/>
  <c r="AP7" i="63"/>
  <c r="AX7" i="63"/>
  <c r="B7" i="63"/>
  <c r="I7" i="63"/>
  <c r="J7" i="63"/>
  <c r="R7" i="63"/>
  <c r="Y7" i="63"/>
  <c r="AE7" i="65" s="1"/>
  <c r="A8" i="63"/>
  <c r="T7" i="65" l="1"/>
  <c r="J7" i="65"/>
  <c r="AC7" i="65"/>
  <c r="AD7" i="65"/>
  <c r="AB7" i="65"/>
  <c r="P7" i="65"/>
  <c r="D7" i="65"/>
  <c r="K7" i="65"/>
  <c r="Z7" i="65"/>
  <c r="V7" i="65"/>
  <c r="O7" i="65"/>
  <c r="AA7" i="65"/>
  <c r="W7" i="65"/>
  <c r="I7" i="65"/>
  <c r="J8" i="63"/>
  <c r="Z8" i="63"/>
  <c r="AP8" i="63"/>
  <c r="K8" i="63"/>
  <c r="AQ8" i="63"/>
  <c r="L8" i="63"/>
  <c r="K8" i="65" s="1"/>
  <c r="AR8" i="63"/>
  <c r="M8" i="63"/>
  <c r="AC8" i="63"/>
  <c r="AS8" i="63"/>
  <c r="N8" i="63"/>
  <c r="AD8" i="63"/>
  <c r="AT8" i="63"/>
  <c r="O8" i="63"/>
  <c r="AE8" i="63"/>
  <c r="AU8" i="63"/>
  <c r="Q8" i="63"/>
  <c r="AG8" i="63"/>
  <c r="AW8" i="63"/>
  <c r="B8" i="63"/>
  <c r="R8" i="63"/>
  <c r="AH8" i="63"/>
  <c r="AX8" i="63"/>
  <c r="C8" i="63"/>
  <c r="S8" i="63"/>
  <c r="AI8" i="63"/>
  <c r="AY8" i="63"/>
  <c r="D8" i="63"/>
  <c r="T8" i="63"/>
  <c r="AJ8" i="63"/>
  <c r="E8" i="63"/>
  <c r="U8" i="63"/>
  <c r="AK8" i="63"/>
  <c r="F8" i="63"/>
  <c r="V8" i="63"/>
  <c r="D8" i="65" s="1"/>
  <c r="AL8" i="63"/>
  <c r="I8" i="63"/>
  <c r="Y8" i="63"/>
  <c r="AE8" i="65" s="1"/>
  <c r="AO8" i="63"/>
  <c r="G8" i="63"/>
  <c r="P8" i="63"/>
  <c r="X8" i="63"/>
  <c r="AF8" i="63"/>
  <c r="AM8" i="63"/>
  <c r="AN8" i="63"/>
  <c r="AV8" i="63"/>
  <c r="A9" i="63"/>
  <c r="AB8" i="65" l="1"/>
  <c r="AD8" i="65"/>
  <c r="Z8" i="65"/>
  <c r="AC8" i="65"/>
  <c r="T8" i="65"/>
  <c r="I8" i="65"/>
  <c r="G8" i="65"/>
  <c r="O8" i="65"/>
  <c r="AA8" i="65"/>
  <c r="V8" i="65"/>
  <c r="P8" i="65"/>
  <c r="W8" i="65"/>
  <c r="H9" i="63"/>
  <c r="AN9" i="63"/>
  <c r="AO9" i="63"/>
  <c r="J9" i="63"/>
  <c r="Z9" i="63"/>
  <c r="AP9" i="63"/>
  <c r="K9" i="63"/>
  <c r="AQ9" i="63"/>
  <c r="L9" i="63"/>
  <c r="AR9" i="63"/>
  <c r="AC9" i="63"/>
  <c r="AS9" i="63"/>
  <c r="O9" i="63"/>
  <c r="AE9" i="63"/>
  <c r="AU9" i="63"/>
  <c r="P9" i="63"/>
  <c r="AF9" i="63"/>
  <c r="AV9" i="63"/>
  <c r="Q9" i="63"/>
  <c r="AG9" i="63"/>
  <c r="AW9" i="63"/>
  <c r="R9" i="63"/>
  <c r="AH9" i="63"/>
  <c r="AX9" i="63"/>
  <c r="S9" i="63"/>
  <c r="AI9" i="63"/>
  <c r="AY9" i="63"/>
  <c r="T9" i="63"/>
  <c r="AJ9" i="63"/>
  <c r="W9" i="63"/>
  <c r="AM9" i="63"/>
  <c r="N9" i="63"/>
  <c r="U9" i="63"/>
  <c r="V9" i="63"/>
  <c r="AD9" i="63"/>
  <c r="AK9" i="63"/>
  <c r="AL9" i="63"/>
  <c r="AT9" i="63"/>
  <c r="Y8" i="65"/>
  <c r="A10" i="63"/>
  <c r="AB9" i="65" l="1"/>
  <c r="P9" i="65"/>
  <c r="AC9" i="65"/>
  <c r="Z9" i="65"/>
  <c r="K9" i="65"/>
  <c r="J9" i="65"/>
  <c r="D9" i="65"/>
  <c r="O9" i="65"/>
  <c r="AA9" i="65"/>
  <c r="G9" i="65"/>
  <c r="W9" i="65"/>
  <c r="I9" i="65"/>
  <c r="V9" i="65"/>
  <c r="F10" i="63"/>
  <c r="V10" i="63"/>
  <c r="AL10" i="63"/>
  <c r="G10" i="63"/>
  <c r="AM10" i="63"/>
  <c r="X10" i="63"/>
  <c r="AN10" i="63"/>
  <c r="I10" i="63"/>
  <c r="Y10" i="63"/>
  <c r="AE10" i="65" s="1"/>
  <c r="AO10" i="63"/>
  <c r="J10" i="63"/>
  <c r="Z10" i="63"/>
  <c r="AP10" i="63"/>
  <c r="K10" i="63"/>
  <c r="AQ10" i="63"/>
  <c r="M10" i="63"/>
  <c r="AC10" i="63"/>
  <c r="AS10" i="63"/>
  <c r="N10" i="63"/>
  <c r="AD10" i="63"/>
  <c r="AT10" i="63"/>
  <c r="O10" i="63"/>
  <c r="AE10" i="63"/>
  <c r="AU10" i="63"/>
  <c r="P10" i="63"/>
  <c r="AF10" i="63"/>
  <c r="AV10" i="63"/>
  <c r="AG10" i="63"/>
  <c r="AW10" i="63"/>
  <c r="B10" i="63"/>
  <c r="AH10" i="63"/>
  <c r="AX10" i="63"/>
  <c r="E10" i="63"/>
  <c r="U10" i="63"/>
  <c r="AK10" i="63"/>
  <c r="AY10" i="63"/>
  <c r="C10" i="63"/>
  <c r="D10" i="63"/>
  <c r="L10" i="63"/>
  <c r="S10" i="63"/>
  <c r="T10" i="63"/>
  <c r="AI10" i="63"/>
  <c r="AJ10" i="63"/>
  <c r="AR10" i="63"/>
  <c r="Y9" i="65"/>
  <c r="A11" i="63"/>
  <c r="T10" i="65" l="1"/>
  <c r="Z10" i="65"/>
  <c r="AC10" i="65"/>
  <c r="AD10" i="65"/>
  <c r="D10" i="65"/>
  <c r="K10" i="65"/>
  <c r="W10" i="65"/>
  <c r="G10" i="65"/>
  <c r="O10" i="65"/>
  <c r="AA10" i="65"/>
  <c r="P10" i="65"/>
  <c r="I10" i="65"/>
  <c r="V10" i="65"/>
  <c r="D11" i="63"/>
  <c r="T11" i="63"/>
  <c r="AJ11" i="63"/>
  <c r="E11" i="63"/>
  <c r="U11" i="63"/>
  <c r="AK11" i="63"/>
  <c r="F11" i="63"/>
  <c r="V11" i="63"/>
  <c r="AL11" i="63"/>
  <c r="G11" i="63"/>
  <c r="AM11" i="63"/>
  <c r="X11" i="63"/>
  <c r="AN11" i="63"/>
  <c r="Y11" i="63"/>
  <c r="AO11" i="63"/>
  <c r="AQ11" i="63"/>
  <c r="L11" i="63"/>
  <c r="K11" i="65" s="1"/>
  <c r="AR11" i="63"/>
  <c r="M11" i="63"/>
  <c r="AC11" i="63"/>
  <c r="AS11" i="63"/>
  <c r="N11" i="63"/>
  <c r="AD11" i="63"/>
  <c r="AT11" i="63"/>
  <c r="O11" i="63"/>
  <c r="AE11" i="63"/>
  <c r="AU11" i="63"/>
  <c r="P11" i="63"/>
  <c r="AF11" i="63"/>
  <c r="AV11" i="63"/>
  <c r="C11" i="63"/>
  <c r="AI11" i="63"/>
  <c r="AY11" i="63"/>
  <c r="B11" i="63"/>
  <c r="J11" i="63"/>
  <c r="Z11" i="63"/>
  <c r="AG11" i="63"/>
  <c r="AH11" i="63"/>
  <c r="AP11" i="63"/>
  <c r="AW11" i="63"/>
  <c r="AX11" i="63"/>
  <c r="Y10" i="65"/>
  <c r="A12" i="63"/>
  <c r="AD11" i="65" l="1"/>
  <c r="AE11" i="65"/>
  <c r="T11" i="65"/>
  <c r="AC11" i="65"/>
  <c r="D11" i="65"/>
  <c r="Z11" i="65"/>
  <c r="O11" i="65"/>
  <c r="AA11" i="65"/>
  <c r="P11" i="65"/>
  <c r="I11" i="65"/>
  <c r="V11" i="65"/>
  <c r="W11" i="65"/>
  <c r="G11" i="65"/>
  <c r="AH12" i="63"/>
  <c r="AX12" i="63"/>
  <c r="AI12" i="63"/>
  <c r="AY12" i="63"/>
  <c r="AJ12" i="63"/>
  <c r="U12" i="63"/>
  <c r="AK12" i="63"/>
  <c r="V12" i="63"/>
  <c r="AL12" i="63"/>
  <c r="W12" i="63"/>
  <c r="AM12" i="63"/>
  <c r="AO12" i="63"/>
  <c r="J12" i="63"/>
  <c r="Z12" i="63"/>
  <c r="AP12" i="63"/>
  <c r="AQ12" i="63"/>
  <c r="L12" i="63"/>
  <c r="AR12" i="63"/>
  <c r="AC12" i="63"/>
  <c r="AS12" i="63"/>
  <c r="N12" i="63"/>
  <c r="AD12" i="63"/>
  <c r="AT12" i="63"/>
  <c r="AG12" i="63"/>
  <c r="AW12" i="63"/>
  <c r="AF12" i="63"/>
  <c r="AN12" i="63"/>
  <c r="AU12" i="63"/>
  <c r="AV12" i="63"/>
  <c r="H12" i="63"/>
  <c r="O12" i="63"/>
  <c r="P12" i="63"/>
  <c r="AE12" i="63"/>
  <c r="A13" i="63"/>
  <c r="AC12" i="65" l="1"/>
  <c r="Z12" i="65"/>
  <c r="K12" i="65"/>
  <c r="J12" i="65"/>
  <c r="D12" i="65"/>
  <c r="W12" i="65"/>
  <c r="I12" i="65"/>
  <c r="O12" i="65"/>
  <c r="G12" i="65"/>
  <c r="P12" i="65"/>
  <c r="P13" i="63"/>
  <c r="AF13" i="63"/>
  <c r="AV13" i="63"/>
  <c r="AG13" i="63"/>
  <c r="AW13" i="63"/>
  <c r="B13" i="63"/>
  <c r="AH13" i="63"/>
  <c r="AX13" i="63"/>
  <c r="C13" i="63"/>
  <c r="AI13" i="63"/>
  <c r="AY13" i="63"/>
  <c r="D13" i="63"/>
  <c r="AJ13" i="63"/>
  <c r="E13" i="63"/>
  <c r="U13" i="63"/>
  <c r="AK13" i="63"/>
  <c r="G13" i="63"/>
  <c r="W13" i="63"/>
  <c r="AM13" i="63"/>
  <c r="H13" i="63"/>
  <c r="G13" i="65" s="1"/>
  <c r="X13" i="63"/>
  <c r="AN13" i="63"/>
  <c r="I13" i="63"/>
  <c r="Y13" i="63"/>
  <c r="AO13" i="63"/>
  <c r="J13" i="63"/>
  <c r="Z13" i="63"/>
  <c r="AP13" i="63"/>
  <c r="AQ13" i="63"/>
  <c r="L13" i="63"/>
  <c r="AR13" i="63"/>
  <c r="O13" i="63"/>
  <c r="AE13" i="63"/>
  <c r="AU13" i="63"/>
  <c r="F13" i="63"/>
  <c r="M13" i="63"/>
  <c r="N13" i="63"/>
  <c r="V13" i="63"/>
  <c r="AC13" i="63"/>
  <c r="AD13" i="63"/>
  <c r="AL13" i="63"/>
  <c r="AS13" i="63"/>
  <c r="AT13" i="63"/>
  <c r="A14" i="63"/>
  <c r="T13" i="65" l="1"/>
  <c r="AD13" i="65"/>
  <c r="AE13" i="65"/>
  <c r="Z13" i="65"/>
  <c r="O13" i="65"/>
  <c r="AC13" i="65"/>
  <c r="K13" i="65"/>
  <c r="D13" i="65"/>
  <c r="J13" i="65"/>
  <c r="W13" i="65"/>
  <c r="I13" i="65"/>
  <c r="P13" i="65"/>
  <c r="V13" i="65"/>
  <c r="N14" i="63"/>
  <c r="AD14" i="63"/>
  <c r="AT14" i="63"/>
  <c r="O14" i="63"/>
  <c r="AE14" i="63"/>
  <c r="AU14" i="63"/>
  <c r="P14" i="63"/>
  <c r="AF14" i="63"/>
  <c r="AV14" i="63"/>
  <c r="Q14" i="63"/>
  <c r="AG14" i="63"/>
  <c r="AW14" i="63"/>
  <c r="B14" i="63"/>
  <c r="R14" i="63"/>
  <c r="AH14" i="63"/>
  <c r="AX14" i="63"/>
  <c r="C14" i="63"/>
  <c r="AI14" i="63"/>
  <c r="AY14" i="63"/>
  <c r="E14" i="63"/>
  <c r="U14" i="63"/>
  <c r="AK14" i="63"/>
  <c r="F14" i="63"/>
  <c r="V14" i="63"/>
  <c r="AL14" i="63"/>
  <c r="G14" i="63"/>
  <c r="W14" i="63"/>
  <c r="AM14" i="63"/>
  <c r="H14" i="63"/>
  <c r="X14" i="63"/>
  <c r="AN14" i="63"/>
  <c r="I14" i="63"/>
  <c r="Y14" i="63"/>
  <c r="AE14" i="65" s="1"/>
  <c r="AO14" i="63"/>
  <c r="J14" i="63"/>
  <c r="Z14" i="63"/>
  <c r="AP14" i="63"/>
  <c r="AC14" i="63"/>
  <c r="AS14" i="63"/>
  <c r="AJ14" i="63"/>
  <c r="AQ14" i="63"/>
  <c r="AR14" i="63"/>
  <c r="L14" i="63"/>
  <c r="D14" i="63"/>
  <c r="A15" i="63"/>
  <c r="T14" i="65" l="1"/>
  <c r="AC14" i="65"/>
  <c r="AD14" i="65"/>
  <c r="AB14" i="65"/>
  <c r="J14" i="65"/>
  <c r="Z14" i="65"/>
  <c r="K14" i="65"/>
  <c r="D14" i="65"/>
  <c r="P14" i="65"/>
  <c r="I14" i="65"/>
  <c r="O14" i="65"/>
  <c r="W14" i="65"/>
  <c r="V14" i="65"/>
  <c r="G14" i="65"/>
  <c r="L15" i="63"/>
  <c r="AR15" i="63"/>
  <c r="AC15" i="63"/>
  <c r="AS15" i="63"/>
  <c r="N15" i="63"/>
  <c r="AD15" i="63"/>
  <c r="AT15" i="63"/>
  <c r="O15" i="63"/>
  <c r="AE15" i="63"/>
  <c r="AU15" i="63"/>
  <c r="P15" i="63"/>
  <c r="AF15" i="63"/>
  <c r="AV15" i="63"/>
  <c r="Q15" i="63"/>
  <c r="AG15" i="63"/>
  <c r="AW15" i="63"/>
  <c r="C15" i="63"/>
  <c r="S15" i="63"/>
  <c r="AI15" i="63"/>
  <c r="AY15" i="63"/>
  <c r="D15" i="63"/>
  <c r="V15" i="65" s="1"/>
  <c r="AJ15" i="63"/>
  <c r="E15" i="63"/>
  <c r="U15" i="63"/>
  <c r="AK15" i="63"/>
  <c r="F15" i="63"/>
  <c r="V15" i="63"/>
  <c r="AL15" i="63"/>
  <c r="G15" i="63"/>
  <c r="W15" i="63"/>
  <c r="AM15" i="63"/>
  <c r="H15" i="63"/>
  <c r="G15" i="65" s="1"/>
  <c r="X15" i="63"/>
  <c r="AN15" i="63"/>
  <c r="K15" i="63"/>
  <c r="AQ15" i="63"/>
  <c r="AX15" i="63"/>
  <c r="B15" i="63"/>
  <c r="I15" i="63"/>
  <c r="J15" i="63"/>
  <c r="R15" i="63"/>
  <c r="Y15" i="63"/>
  <c r="AE15" i="65" s="1"/>
  <c r="Z15" i="63"/>
  <c r="AH15" i="63"/>
  <c r="AO15" i="63"/>
  <c r="AP15" i="63"/>
  <c r="A16" i="63"/>
  <c r="AC15" i="65" l="1"/>
  <c r="AD15" i="65"/>
  <c r="AB15" i="65"/>
  <c r="T15" i="65"/>
  <c r="P15" i="65"/>
  <c r="D15" i="65"/>
  <c r="J15" i="65"/>
  <c r="K15" i="65"/>
  <c r="Z15" i="65"/>
  <c r="W15" i="65"/>
  <c r="I15" i="65"/>
  <c r="O15" i="65"/>
  <c r="J16" i="63"/>
  <c r="Z16" i="63"/>
  <c r="AP16" i="63"/>
  <c r="K16" i="63"/>
  <c r="AQ16" i="63"/>
  <c r="L16" i="63"/>
  <c r="K16" i="65" s="1"/>
  <c r="AR16" i="63"/>
  <c r="M16" i="63"/>
  <c r="AC16" i="63"/>
  <c r="AS16" i="63"/>
  <c r="N16" i="63"/>
  <c r="AD16" i="63"/>
  <c r="AT16" i="63"/>
  <c r="O16" i="63"/>
  <c r="AE16" i="63"/>
  <c r="AU16" i="63"/>
  <c r="Q16" i="63"/>
  <c r="AG16" i="63"/>
  <c r="AW16" i="63"/>
  <c r="B16" i="63"/>
  <c r="R16" i="63"/>
  <c r="AH16" i="63"/>
  <c r="AX16" i="63"/>
  <c r="C16" i="63"/>
  <c r="S16" i="63"/>
  <c r="AI16" i="63"/>
  <c r="AY16" i="63"/>
  <c r="D16" i="63"/>
  <c r="T16" i="63"/>
  <c r="AJ16" i="63"/>
  <c r="E16" i="63"/>
  <c r="U16" i="63"/>
  <c r="AK16" i="63"/>
  <c r="F16" i="63"/>
  <c r="V16" i="63"/>
  <c r="D16" i="65" s="1"/>
  <c r="AL16" i="63"/>
  <c r="G16" i="63"/>
  <c r="H16" i="63"/>
  <c r="G16" i="65" s="1"/>
  <c r="I16" i="63"/>
  <c r="P16" i="63"/>
  <c r="W16" i="63"/>
  <c r="X16" i="63"/>
  <c r="Y16" i="63"/>
  <c r="AE16" i="65" s="1"/>
  <c r="AF16" i="63"/>
  <c r="AM16" i="63"/>
  <c r="AN16" i="63"/>
  <c r="AO16" i="63"/>
  <c r="AV16" i="63"/>
  <c r="Y15" i="65"/>
  <c r="A17" i="63"/>
  <c r="AB16" i="65" l="1"/>
  <c r="AD16" i="65"/>
  <c r="Z16" i="65"/>
  <c r="T16" i="65"/>
  <c r="AC16" i="65"/>
  <c r="J16" i="65"/>
  <c r="W16" i="65"/>
  <c r="I16" i="65"/>
  <c r="O16" i="65"/>
  <c r="AA16" i="65"/>
  <c r="P16" i="65"/>
  <c r="V16" i="65"/>
  <c r="H17" i="63"/>
  <c r="AN17" i="63"/>
  <c r="I17" i="63"/>
  <c r="AO17" i="63"/>
  <c r="J17" i="63"/>
  <c r="Z17" i="63"/>
  <c r="AP17" i="63"/>
  <c r="K17" i="63"/>
  <c r="AQ17" i="63"/>
  <c r="L17" i="63"/>
  <c r="AR17" i="63"/>
  <c r="M17" i="63"/>
  <c r="AC17" i="63"/>
  <c r="AS17" i="63"/>
  <c r="O17" i="63"/>
  <c r="AE17" i="63"/>
  <c r="AU17" i="63"/>
  <c r="P17" i="63"/>
  <c r="AF17" i="63"/>
  <c r="AV17" i="63"/>
  <c r="AG17" i="63"/>
  <c r="AW17" i="63"/>
  <c r="AH17" i="63"/>
  <c r="AX17" i="63"/>
  <c r="S17" i="63"/>
  <c r="AI17" i="63"/>
  <c r="AY17" i="63"/>
  <c r="N17" i="63"/>
  <c r="T17" i="63"/>
  <c r="U17" i="63"/>
  <c r="V17" i="63"/>
  <c r="W17" i="63"/>
  <c r="AD17" i="63"/>
  <c r="AJ17" i="63"/>
  <c r="AK17" i="63"/>
  <c r="AL17" i="63"/>
  <c r="AM17" i="63"/>
  <c r="AT17" i="63"/>
  <c r="Y16" i="65"/>
  <c r="A18" i="63"/>
  <c r="P17" i="65" l="1"/>
  <c r="Z17" i="65"/>
  <c r="AC17" i="65"/>
  <c r="D17" i="65"/>
  <c r="J17" i="65"/>
  <c r="K17" i="65"/>
  <c r="V17" i="65"/>
  <c r="O17" i="65"/>
  <c r="AA17" i="65"/>
  <c r="W17" i="65"/>
  <c r="G17" i="65"/>
  <c r="I17" i="65"/>
  <c r="Y17" i="65"/>
  <c r="V18" i="63"/>
  <c r="AL18" i="63"/>
  <c r="W18" i="63"/>
  <c r="AM18" i="63"/>
  <c r="H18" i="63"/>
  <c r="G18" i="65" s="1"/>
  <c r="AN18" i="63"/>
  <c r="I18" i="63"/>
  <c r="AO18" i="63"/>
  <c r="J18" i="63"/>
  <c r="Z18" i="63"/>
  <c r="AP18" i="63"/>
  <c r="AQ18" i="63"/>
  <c r="M18" i="63"/>
  <c r="AC18" i="63"/>
  <c r="AS18" i="63"/>
  <c r="N18" i="63"/>
  <c r="AD18" i="63"/>
  <c r="AT18" i="63"/>
  <c r="O18" i="63"/>
  <c r="AE18" i="63"/>
  <c r="AU18" i="63"/>
  <c r="P18" i="63"/>
  <c r="AF18" i="63"/>
  <c r="AV18" i="63"/>
  <c r="AG18" i="63"/>
  <c r="AW18" i="63"/>
  <c r="L18" i="63"/>
  <c r="K18" i="65" s="1"/>
  <c r="T18" i="63"/>
  <c r="U18" i="63"/>
  <c r="AH18" i="63"/>
  <c r="AI18" i="63"/>
  <c r="AJ18" i="63"/>
  <c r="AK18" i="63"/>
  <c r="AR18" i="63"/>
  <c r="AX18" i="63"/>
  <c r="AY18" i="63"/>
  <c r="A19" i="63"/>
  <c r="AC18" i="65" l="1"/>
  <c r="J18" i="65"/>
  <c r="P18" i="65"/>
  <c r="D18" i="65"/>
  <c r="W18" i="65"/>
  <c r="Z18" i="65"/>
  <c r="V18" i="65"/>
  <c r="O18" i="65"/>
  <c r="AA18" i="65"/>
  <c r="I18" i="65"/>
  <c r="D19" i="63"/>
  <c r="T19" i="63"/>
  <c r="AJ19" i="63"/>
  <c r="E19" i="63"/>
  <c r="U19" i="63"/>
  <c r="AK19" i="63"/>
  <c r="F19" i="63"/>
  <c r="V19" i="63"/>
  <c r="D19" i="65" s="1"/>
  <c r="AL19" i="63"/>
  <c r="G19" i="63"/>
  <c r="W19" i="63"/>
  <c r="AM19" i="63"/>
  <c r="H19" i="63"/>
  <c r="X19" i="63"/>
  <c r="AN19" i="63"/>
  <c r="I19" i="63"/>
  <c r="Y19" i="63"/>
  <c r="AO19" i="63"/>
  <c r="AQ19" i="63"/>
  <c r="L19" i="63"/>
  <c r="K19" i="65" s="1"/>
  <c r="AR19" i="63"/>
  <c r="M19" i="63"/>
  <c r="AC19" i="63"/>
  <c r="AS19" i="63"/>
  <c r="N19" i="63"/>
  <c r="AD19" i="63"/>
  <c r="AT19" i="63"/>
  <c r="O19" i="63"/>
  <c r="AE19" i="63"/>
  <c r="J19" i="63"/>
  <c r="P19" i="63"/>
  <c r="Z19" i="63"/>
  <c r="AF19" i="63"/>
  <c r="AG19" i="63"/>
  <c r="AH19" i="63"/>
  <c r="AI19" i="63"/>
  <c r="AP19" i="63"/>
  <c r="AU19" i="63"/>
  <c r="AV19" i="63"/>
  <c r="AY19" i="63"/>
  <c r="B19" i="63"/>
  <c r="C19" i="63"/>
  <c r="AW19" i="63"/>
  <c r="AX19" i="63"/>
  <c r="A20" i="63"/>
  <c r="T19" i="65" l="1"/>
  <c r="AD19" i="65"/>
  <c r="AE19" i="65"/>
  <c r="Z19" i="65"/>
  <c r="J19" i="65"/>
  <c r="AC19" i="65"/>
  <c r="P19" i="65"/>
  <c r="G19" i="65"/>
  <c r="O19" i="65"/>
  <c r="AA19" i="65"/>
  <c r="V19" i="65"/>
  <c r="I19" i="65"/>
  <c r="W19" i="65"/>
  <c r="B20" i="63"/>
  <c r="AH20" i="63"/>
  <c r="AX20" i="63"/>
  <c r="C20" i="63"/>
  <c r="AI20" i="63"/>
  <c r="AY20" i="63"/>
  <c r="D20" i="63"/>
  <c r="V20" i="65" s="1"/>
  <c r="T20" i="63"/>
  <c r="AJ20" i="63"/>
  <c r="E20" i="63"/>
  <c r="U20" i="63"/>
  <c r="AK20" i="63"/>
  <c r="F20" i="63"/>
  <c r="V20" i="63"/>
  <c r="AL20" i="63"/>
  <c r="G20" i="63"/>
  <c r="W20" i="63"/>
  <c r="AM20" i="63"/>
  <c r="I20" i="63"/>
  <c r="Y20" i="63"/>
  <c r="AE20" i="65" s="1"/>
  <c r="AO20" i="63"/>
  <c r="J20" i="63"/>
  <c r="Z20" i="63"/>
  <c r="AP20" i="63"/>
  <c r="AQ20" i="63"/>
  <c r="L20" i="63"/>
  <c r="AR20" i="63"/>
  <c r="H20" i="63"/>
  <c r="AV20" i="63"/>
  <c r="M20" i="63"/>
  <c r="AW20" i="63"/>
  <c r="N20" i="63"/>
  <c r="O20" i="63"/>
  <c r="P20" i="63"/>
  <c r="X20" i="63"/>
  <c r="AC20" i="63"/>
  <c r="AD20" i="63"/>
  <c r="AE20" i="63"/>
  <c r="AF20" i="63"/>
  <c r="AG20" i="63"/>
  <c r="AN20" i="63"/>
  <c r="AS20" i="63"/>
  <c r="AT20" i="63"/>
  <c r="AU20" i="63"/>
  <c r="A21" i="63"/>
  <c r="T20" i="65" l="1"/>
  <c r="Z20" i="65"/>
  <c r="AC20" i="65"/>
  <c r="AD20" i="65"/>
  <c r="P20" i="65"/>
  <c r="J20" i="65"/>
  <c r="D20" i="65"/>
  <c r="K20" i="65"/>
  <c r="W20" i="65"/>
  <c r="G20" i="65"/>
  <c r="I20" i="65"/>
  <c r="O20" i="65"/>
  <c r="AA20" i="65"/>
  <c r="P21" i="63"/>
  <c r="AF21" i="63"/>
  <c r="AV21" i="63"/>
  <c r="Q21" i="63"/>
  <c r="AG21" i="63"/>
  <c r="AW21" i="63"/>
  <c r="B21" i="63"/>
  <c r="R21" i="63"/>
  <c r="AH21" i="63"/>
  <c r="AX21" i="63"/>
  <c r="C21" i="63"/>
  <c r="AI21" i="63"/>
  <c r="AY21" i="63"/>
  <c r="D21" i="63"/>
  <c r="T21" i="63"/>
  <c r="AJ21" i="63"/>
  <c r="E21" i="63"/>
  <c r="U21" i="63"/>
  <c r="AK21" i="63"/>
  <c r="G21" i="63"/>
  <c r="W21" i="63"/>
  <c r="AM21" i="63"/>
  <c r="H21" i="63"/>
  <c r="X21" i="63"/>
  <c r="AN21" i="63"/>
  <c r="I21" i="63"/>
  <c r="Y21" i="63"/>
  <c r="AE21" i="65" s="1"/>
  <c r="AO21" i="63"/>
  <c r="J21" i="63"/>
  <c r="Z21" i="63"/>
  <c r="AP21" i="63"/>
  <c r="AR21" i="63"/>
  <c r="AS21" i="63"/>
  <c r="F21" i="63"/>
  <c r="AT21" i="63"/>
  <c r="AU21" i="63"/>
  <c r="L21" i="63"/>
  <c r="M21" i="63"/>
  <c r="N21" i="63"/>
  <c r="O21" i="63"/>
  <c r="V21" i="63"/>
  <c r="AC21" i="63"/>
  <c r="AD21" i="63"/>
  <c r="AE21" i="63"/>
  <c r="AL21" i="63"/>
  <c r="AQ21" i="63"/>
  <c r="O21" i="65"/>
  <c r="A22" i="63"/>
  <c r="T21" i="65" l="1"/>
  <c r="AD21" i="65"/>
  <c r="Z21" i="65"/>
  <c r="AC21" i="65"/>
  <c r="J21" i="65"/>
  <c r="K21" i="65"/>
  <c r="D21" i="65"/>
  <c r="W21" i="65"/>
  <c r="AA21" i="65"/>
  <c r="AB21" i="65"/>
  <c r="I21" i="65"/>
  <c r="G21" i="65"/>
  <c r="V21" i="65"/>
  <c r="P21" i="65"/>
  <c r="AD22" i="63"/>
  <c r="AT22" i="63"/>
  <c r="O22" i="63"/>
  <c r="AE22" i="63"/>
  <c r="AU22" i="63"/>
  <c r="P22" i="63"/>
  <c r="AF22" i="63"/>
  <c r="AV22" i="63"/>
  <c r="Q22" i="63"/>
  <c r="AG22" i="63"/>
  <c r="AW22" i="63"/>
  <c r="B22" i="63"/>
  <c r="R22" i="63"/>
  <c r="AH22" i="63"/>
  <c r="AX22" i="63"/>
  <c r="C22" i="63"/>
  <c r="S22" i="63"/>
  <c r="AI22" i="63"/>
  <c r="AY22" i="63"/>
  <c r="E22" i="63"/>
  <c r="U22" i="63"/>
  <c r="AK22" i="63"/>
  <c r="F22" i="63"/>
  <c r="AL22" i="63"/>
  <c r="G22" i="63"/>
  <c r="W22" i="63"/>
  <c r="H22" i="63"/>
  <c r="AC22" i="63"/>
  <c r="AJ22" i="63"/>
  <c r="AM22" i="63"/>
  <c r="AN22" i="63"/>
  <c r="D22" i="63"/>
  <c r="AO22" i="63"/>
  <c r="I22" i="63"/>
  <c r="AP22" i="63"/>
  <c r="J22" i="63"/>
  <c r="AQ22" i="63"/>
  <c r="K22" i="63"/>
  <c r="AR22" i="63"/>
  <c r="L22" i="63"/>
  <c r="AS22" i="63"/>
  <c r="M22" i="63"/>
  <c r="T22" i="63"/>
  <c r="X22" i="63"/>
  <c r="Y22" i="63"/>
  <c r="AE22" i="65" s="1"/>
  <c r="Z22" i="63"/>
  <c r="A23" i="63"/>
  <c r="T22" i="65" l="1"/>
  <c r="AC22" i="65"/>
  <c r="AD22" i="65"/>
  <c r="AB22" i="65"/>
  <c r="P22" i="65"/>
  <c r="Z22" i="65"/>
  <c r="D22" i="65"/>
  <c r="K22" i="65"/>
  <c r="I22" i="65"/>
  <c r="O22" i="65"/>
  <c r="AA22" i="65"/>
  <c r="V22" i="65"/>
  <c r="W22" i="65"/>
  <c r="G22" i="65"/>
  <c r="L23" i="63"/>
  <c r="AR23" i="63"/>
  <c r="M23" i="63"/>
  <c r="AC23" i="63"/>
  <c r="AS23" i="63"/>
  <c r="N23" i="63"/>
  <c r="AD23" i="63"/>
  <c r="AT23" i="63"/>
  <c r="AE23" i="63"/>
  <c r="AU23" i="63"/>
  <c r="P23" i="63"/>
  <c r="AF23" i="63"/>
  <c r="AV23" i="63"/>
  <c r="Q23" i="63"/>
  <c r="AG23" i="63"/>
  <c r="AW23" i="63"/>
  <c r="S23" i="63"/>
  <c r="AI23" i="63"/>
  <c r="AY23" i="63"/>
  <c r="T23" i="63"/>
  <c r="AJ23" i="63"/>
  <c r="K23" i="63"/>
  <c r="AQ23" i="63"/>
  <c r="R23" i="63"/>
  <c r="AX23" i="63"/>
  <c r="U23" i="63"/>
  <c r="V23" i="63"/>
  <c r="D23" i="65" s="1"/>
  <c r="W23" i="63"/>
  <c r="Z23" i="63"/>
  <c r="AH23" i="63"/>
  <c r="AK23" i="63"/>
  <c r="AL23" i="63"/>
  <c r="AM23" i="63"/>
  <c r="H23" i="63"/>
  <c r="I23" i="63"/>
  <c r="J23" i="63"/>
  <c r="AN23" i="63"/>
  <c r="AO23" i="63"/>
  <c r="AP23" i="63"/>
  <c r="Y22" i="65"/>
  <c r="A24" i="63"/>
  <c r="AC23" i="65" l="1"/>
  <c r="AB23" i="65"/>
  <c r="P23" i="65"/>
  <c r="K23" i="65"/>
  <c r="J23" i="65"/>
  <c r="Z23" i="65"/>
  <c r="G23" i="65"/>
  <c r="I23" i="65"/>
  <c r="W23" i="65"/>
  <c r="O23" i="65"/>
  <c r="AA23" i="65"/>
  <c r="V23" i="65"/>
  <c r="J24" i="63"/>
  <c r="Z24" i="63"/>
  <c r="AP24" i="63"/>
  <c r="K24" i="63"/>
  <c r="AQ24" i="63"/>
  <c r="L24" i="63"/>
  <c r="K24" i="65" s="1"/>
  <c r="AR24" i="63"/>
  <c r="M24" i="63"/>
  <c r="AC24" i="63"/>
  <c r="AS24" i="63"/>
  <c r="N24" i="63"/>
  <c r="AD24" i="63"/>
  <c r="AT24" i="63"/>
  <c r="O24" i="63"/>
  <c r="AE24" i="63"/>
  <c r="AU24" i="63"/>
  <c r="AG24" i="63"/>
  <c r="AW24" i="63"/>
  <c r="B24" i="63"/>
  <c r="AH24" i="63"/>
  <c r="AX24" i="63"/>
  <c r="Y24" i="63"/>
  <c r="AE24" i="65" s="1"/>
  <c r="AF24" i="63"/>
  <c r="C24" i="63"/>
  <c r="AI24" i="63"/>
  <c r="D24" i="63"/>
  <c r="AJ24" i="63"/>
  <c r="E24" i="63"/>
  <c r="AK24" i="63"/>
  <c r="F24" i="63"/>
  <c r="AL24" i="63"/>
  <c r="G24" i="63"/>
  <c r="AM24" i="63"/>
  <c r="H24" i="63"/>
  <c r="AN24" i="63"/>
  <c r="I24" i="63"/>
  <c r="AO24" i="63"/>
  <c r="P24" i="63"/>
  <c r="AV24" i="63"/>
  <c r="S24" i="63"/>
  <c r="AY24" i="63"/>
  <c r="T24" i="63"/>
  <c r="U24" i="63"/>
  <c r="V24" i="63"/>
  <c r="W24" i="63"/>
  <c r="X24" i="63"/>
  <c r="Y23" i="65"/>
  <c r="A25" i="63"/>
  <c r="AD24" i="65" l="1"/>
  <c r="Z24" i="65"/>
  <c r="T24" i="65"/>
  <c r="AC24" i="65"/>
  <c r="J24" i="65"/>
  <c r="Y24" i="65"/>
  <c r="D24" i="65"/>
  <c r="W24" i="65"/>
  <c r="G24" i="65"/>
  <c r="I24" i="65"/>
  <c r="V24" i="65"/>
  <c r="O24" i="65"/>
  <c r="AA24" i="65"/>
  <c r="P24" i="65"/>
  <c r="H25" i="63"/>
  <c r="X25" i="63"/>
  <c r="AN25" i="63"/>
  <c r="I25" i="63"/>
  <c r="Y25" i="63"/>
  <c r="AO25" i="63"/>
  <c r="J25" i="63"/>
  <c r="Z25" i="63"/>
  <c r="AP25" i="63"/>
  <c r="AQ25" i="63"/>
  <c r="L25" i="63"/>
  <c r="AR25" i="63"/>
  <c r="M25" i="63"/>
  <c r="AC25" i="63"/>
  <c r="AS25" i="63"/>
  <c r="O25" i="63"/>
  <c r="AE25" i="63"/>
  <c r="AU25" i="63"/>
  <c r="P25" i="63"/>
  <c r="AF25" i="63"/>
  <c r="AV25" i="63"/>
  <c r="G25" i="63"/>
  <c r="AM25" i="63"/>
  <c r="AT25" i="63"/>
  <c r="AW25" i="63"/>
  <c r="AX25" i="63"/>
  <c r="AY25" i="63"/>
  <c r="T25" i="63"/>
  <c r="U25" i="63"/>
  <c r="W25" i="63"/>
  <c r="AD25" i="63"/>
  <c r="AG25" i="63"/>
  <c r="B25" i="63"/>
  <c r="AH25" i="63"/>
  <c r="C25" i="63"/>
  <c r="AI25" i="63"/>
  <c r="D25" i="63"/>
  <c r="E25" i="63"/>
  <c r="F25" i="63"/>
  <c r="AK25" i="63"/>
  <c r="AL25" i="63"/>
  <c r="AJ25" i="63"/>
  <c r="A26" i="63"/>
  <c r="AD25" i="65" l="1"/>
  <c r="AE25" i="65"/>
  <c r="AC25" i="65"/>
  <c r="T25" i="65"/>
  <c r="O25" i="65"/>
  <c r="K25" i="65"/>
  <c r="P25" i="65"/>
  <c r="Z25" i="65"/>
  <c r="AA25" i="65"/>
  <c r="W25" i="65"/>
  <c r="G25" i="65"/>
  <c r="V25" i="65"/>
  <c r="I25" i="65"/>
  <c r="V26" i="63"/>
  <c r="AL26" i="63"/>
  <c r="W26" i="63"/>
  <c r="AM26" i="63"/>
  <c r="H26" i="63"/>
  <c r="AN26" i="63"/>
  <c r="I26" i="63"/>
  <c r="AO26" i="63"/>
  <c r="J26" i="63"/>
  <c r="Z26" i="63"/>
  <c r="AP26" i="63"/>
  <c r="AQ26" i="63"/>
  <c r="M26" i="63"/>
  <c r="AC26" i="63"/>
  <c r="AS26" i="63"/>
  <c r="N26" i="63"/>
  <c r="AD26" i="63"/>
  <c r="AT26" i="63"/>
  <c r="U26" i="63"/>
  <c r="AE26" i="63"/>
  <c r="AF26" i="63"/>
  <c r="AG26" i="63"/>
  <c r="AH26" i="63"/>
  <c r="AI26" i="63"/>
  <c r="AJ26" i="63"/>
  <c r="AK26" i="63"/>
  <c r="L26" i="63"/>
  <c r="K26" i="65" s="1"/>
  <c r="AR26" i="63"/>
  <c r="AU26" i="63"/>
  <c r="P26" i="63"/>
  <c r="AV26" i="63"/>
  <c r="AW26" i="63"/>
  <c r="T26" i="63"/>
  <c r="AX26" i="63"/>
  <c r="AY26" i="63"/>
  <c r="A27" i="63"/>
  <c r="AC26" i="65" l="1"/>
  <c r="P26" i="65"/>
  <c r="D26" i="65"/>
  <c r="J26" i="65"/>
  <c r="Z26" i="65"/>
  <c r="W26" i="65"/>
  <c r="O26" i="65"/>
  <c r="AA26" i="65"/>
  <c r="I26" i="65"/>
  <c r="V26" i="65"/>
  <c r="G26" i="65"/>
  <c r="D27" i="63"/>
  <c r="T27" i="63"/>
  <c r="AJ27" i="63"/>
  <c r="F27" i="63"/>
  <c r="AL27" i="63"/>
  <c r="G27" i="63"/>
  <c r="W27" i="63"/>
  <c r="AM27" i="63"/>
  <c r="H27" i="63"/>
  <c r="X27" i="63"/>
  <c r="AN27" i="63"/>
  <c r="I27" i="63"/>
  <c r="Y27" i="63"/>
  <c r="AE27" i="65" s="1"/>
  <c r="AO27" i="63"/>
  <c r="AQ27" i="63"/>
  <c r="L27" i="63"/>
  <c r="AR27" i="63"/>
  <c r="C27" i="63"/>
  <c r="AG27" i="63"/>
  <c r="E27" i="63"/>
  <c r="AH27" i="63"/>
  <c r="J27" i="63"/>
  <c r="AI27" i="63"/>
  <c r="M27" i="63"/>
  <c r="AK27" i="63"/>
  <c r="AP27" i="63"/>
  <c r="O27" i="63"/>
  <c r="AS27" i="63"/>
  <c r="P27" i="63"/>
  <c r="AT27" i="63"/>
  <c r="AU27" i="63"/>
  <c r="AV27" i="63"/>
  <c r="AW27" i="63"/>
  <c r="U27" i="63"/>
  <c r="AX27" i="63"/>
  <c r="Z27" i="63"/>
  <c r="AY27" i="63"/>
  <c r="AC27" i="63"/>
  <c r="AE27" i="63"/>
  <c r="AF27" i="63"/>
  <c r="B27" i="63"/>
  <c r="AD27" i="63"/>
  <c r="A28" i="63"/>
  <c r="Z27" i="65" l="1"/>
  <c r="AC27" i="65"/>
  <c r="AD27" i="65"/>
  <c r="T27" i="65"/>
  <c r="I27" i="65"/>
  <c r="K27" i="65"/>
  <c r="D27" i="65"/>
  <c r="P27" i="65"/>
  <c r="G27" i="65"/>
  <c r="V27" i="65"/>
  <c r="O27" i="65"/>
  <c r="AA27" i="65"/>
  <c r="W27" i="65"/>
  <c r="B28" i="63"/>
  <c r="R28" i="63"/>
  <c r="AH28" i="63"/>
  <c r="AX28" i="63"/>
  <c r="D28" i="63"/>
  <c r="T28" i="63"/>
  <c r="AJ28" i="63"/>
  <c r="E28" i="63"/>
  <c r="U28" i="63"/>
  <c r="AK28" i="63"/>
  <c r="F28" i="63"/>
  <c r="AL28" i="63"/>
  <c r="G28" i="63"/>
  <c r="W28" i="63"/>
  <c r="AM28" i="63"/>
  <c r="I28" i="63"/>
  <c r="Y28" i="63"/>
  <c r="AE28" i="65" s="1"/>
  <c r="AO28" i="63"/>
  <c r="J28" i="63"/>
  <c r="Z28" i="63"/>
  <c r="AP28" i="63"/>
  <c r="M28" i="63"/>
  <c r="AQ28" i="63"/>
  <c r="AR28" i="63"/>
  <c r="AS28" i="63"/>
  <c r="P28" i="63"/>
  <c r="AT28" i="63"/>
  <c r="Q28" i="63"/>
  <c r="AU28" i="63"/>
  <c r="AV28" i="63"/>
  <c r="X28" i="63"/>
  <c r="AW28" i="63"/>
  <c r="AY28" i="63"/>
  <c r="AC28" i="63"/>
  <c r="AD28" i="63"/>
  <c r="AE28" i="63"/>
  <c r="C28" i="63"/>
  <c r="AF28" i="63"/>
  <c r="H28" i="63"/>
  <c r="L28" i="63"/>
  <c r="K28" i="65" s="1"/>
  <c r="AG28" i="63"/>
  <c r="AN28" i="63"/>
  <c r="AI28" i="63"/>
  <c r="A29" i="63"/>
  <c r="AC28" i="65" l="1"/>
  <c r="AD28" i="65"/>
  <c r="AB28" i="65"/>
  <c r="T28" i="65"/>
  <c r="P28" i="65"/>
  <c r="D28" i="65"/>
  <c r="Z28" i="65"/>
  <c r="W28" i="65"/>
  <c r="O28" i="65"/>
  <c r="AA28" i="65"/>
  <c r="V28" i="65"/>
  <c r="I28" i="65"/>
  <c r="G28" i="65"/>
  <c r="P29" i="63"/>
  <c r="AF29" i="63"/>
  <c r="AV29" i="63"/>
  <c r="B29" i="63"/>
  <c r="R29" i="63"/>
  <c r="AH29" i="63"/>
  <c r="AX29" i="63"/>
  <c r="C29" i="63"/>
  <c r="S29" i="63"/>
  <c r="AI29" i="63"/>
  <c r="AY29" i="63"/>
  <c r="D29" i="63"/>
  <c r="T29" i="63"/>
  <c r="AJ29" i="63"/>
  <c r="E29" i="63"/>
  <c r="U29" i="63"/>
  <c r="AK29" i="63"/>
  <c r="G29" i="63"/>
  <c r="W29" i="63"/>
  <c r="AM29" i="63"/>
  <c r="H29" i="63"/>
  <c r="X29" i="63"/>
  <c r="AN29" i="63"/>
  <c r="Q29" i="63"/>
  <c r="AT29" i="63"/>
  <c r="V29" i="63"/>
  <c r="AU29" i="63"/>
  <c r="Y29" i="63"/>
  <c r="AE29" i="65" s="1"/>
  <c r="AW29" i="63"/>
  <c r="Z29" i="63"/>
  <c r="AC29" i="63"/>
  <c r="AD29" i="63"/>
  <c r="F29" i="63"/>
  <c r="AE29" i="63"/>
  <c r="I29" i="63"/>
  <c r="AG29" i="63"/>
  <c r="J29" i="63"/>
  <c r="AL29" i="63"/>
  <c r="K29" i="63"/>
  <c r="AO29" i="63"/>
  <c r="L29" i="63"/>
  <c r="AP29" i="63"/>
  <c r="M29" i="63"/>
  <c r="N29" i="63"/>
  <c r="AQ29" i="63"/>
  <c r="AR29" i="63"/>
  <c r="AS29" i="63"/>
  <c r="A30" i="63"/>
  <c r="AB29" i="65" l="1"/>
  <c r="T29" i="65"/>
  <c r="AD29" i="65"/>
  <c r="J29" i="65"/>
  <c r="AC29" i="65"/>
  <c r="Z29" i="65"/>
  <c r="K29" i="65"/>
  <c r="D29" i="65"/>
  <c r="I29" i="65"/>
  <c r="O29" i="65"/>
  <c r="AA29" i="65"/>
  <c r="G29" i="65"/>
  <c r="P29" i="65"/>
  <c r="W29" i="65"/>
  <c r="V29" i="65"/>
  <c r="N30" i="63"/>
  <c r="AD30" i="63"/>
  <c r="AT30" i="63"/>
  <c r="P30" i="63"/>
  <c r="AF30" i="63"/>
  <c r="AV30" i="63"/>
  <c r="Q30" i="63"/>
  <c r="AG30" i="63"/>
  <c r="AW30" i="63"/>
  <c r="B30" i="63"/>
  <c r="R30" i="63"/>
  <c r="AH30" i="63"/>
  <c r="AX30" i="63"/>
  <c r="C30" i="63"/>
  <c r="S30" i="63"/>
  <c r="AI30" i="63"/>
  <c r="AY30" i="63"/>
  <c r="E30" i="63"/>
  <c r="U30" i="63"/>
  <c r="AK30" i="63"/>
  <c r="F30" i="63"/>
  <c r="V30" i="63"/>
  <c r="D30" i="65" s="1"/>
  <c r="AL30" i="63"/>
  <c r="D30" i="63"/>
  <c r="AC30" i="63"/>
  <c r="G30" i="63"/>
  <c r="AE30" i="63"/>
  <c r="H30" i="63"/>
  <c r="AJ30" i="63"/>
  <c r="I30" i="63"/>
  <c r="O30" i="65" s="1"/>
  <c r="AM30" i="63"/>
  <c r="J30" i="63"/>
  <c r="AN30" i="63"/>
  <c r="K30" i="63"/>
  <c r="W30" i="65" s="1"/>
  <c r="AO30" i="63"/>
  <c r="L30" i="63"/>
  <c r="K30" i="65" s="1"/>
  <c r="AP30" i="63"/>
  <c r="M30" i="63"/>
  <c r="AQ30" i="63"/>
  <c r="O30" i="63"/>
  <c r="AR30" i="63"/>
  <c r="T30" i="63"/>
  <c r="AS30" i="63"/>
  <c r="Y30" i="63"/>
  <c r="AU30" i="63"/>
  <c r="W30" i="63"/>
  <c r="X30" i="63"/>
  <c r="Y29" i="65"/>
  <c r="A31" i="63"/>
  <c r="AD30" i="65" l="1"/>
  <c r="AE30" i="65"/>
  <c r="T30" i="65"/>
  <c r="AC30" i="65"/>
  <c r="Z30" i="65"/>
  <c r="J30" i="65"/>
  <c r="AA30" i="65"/>
  <c r="AB30" i="65"/>
  <c r="I30" i="65"/>
  <c r="G30" i="65"/>
  <c r="V30" i="65"/>
  <c r="V31" i="63"/>
  <c r="AL31" i="63"/>
  <c r="W31" i="63"/>
  <c r="AM31" i="63"/>
  <c r="H31" i="63"/>
  <c r="AN31" i="63"/>
  <c r="I31" i="63"/>
  <c r="AO31" i="63"/>
  <c r="J31" i="63"/>
  <c r="AP31" i="63"/>
  <c r="K31" i="63"/>
  <c r="AQ31" i="63"/>
  <c r="L31" i="63"/>
  <c r="AR31" i="63"/>
  <c r="M31" i="63"/>
  <c r="AC31" i="63"/>
  <c r="AS31" i="63"/>
  <c r="N31" i="63"/>
  <c r="AD31" i="63"/>
  <c r="AT31" i="63"/>
  <c r="O31" i="63"/>
  <c r="AE31" i="63"/>
  <c r="AU31" i="63"/>
  <c r="P31" i="63"/>
  <c r="AF31" i="63"/>
  <c r="AV31" i="63"/>
  <c r="AG31" i="63"/>
  <c r="AW31" i="63"/>
  <c r="AH31" i="63"/>
  <c r="AX31" i="63"/>
  <c r="S31" i="63"/>
  <c r="T31" i="63"/>
  <c r="AI31" i="63"/>
  <c r="AJ31" i="63"/>
  <c r="AK31" i="63"/>
  <c r="AY31" i="63"/>
  <c r="U31" i="63"/>
  <c r="Y30" i="65"/>
  <c r="A32" i="63"/>
  <c r="O31" i="65" l="1"/>
  <c r="Z31" i="65"/>
  <c r="AC31" i="65"/>
  <c r="J31" i="65"/>
  <c r="D31" i="65"/>
  <c r="K31" i="65"/>
  <c r="W31" i="65"/>
  <c r="AA31" i="65"/>
  <c r="G31" i="65"/>
  <c r="I31" i="65"/>
  <c r="V31" i="65"/>
  <c r="T32" i="63"/>
  <c r="AJ32" i="63"/>
  <c r="U32" i="63"/>
  <c r="AK32" i="63"/>
  <c r="V32" i="63"/>
  <c r="AL32" i="63"/>
  <c r="W32" i="63"/>
  <c r="AM32" i="63"/>
  <c r="H32" i="63"/>
  <c r="AN32" i="63"/>
  <c r="I32" i="63"/>
  <c r="AO32" i="63"/>
  <c r="J32" i="63"/>
  <c r="Z32" i="63"/>
  <c r="AP32" i="63"/>
  <c r="AQ32" i="63"/>
  <c r="L32" i="63"/>
  <c r="AR32" i="63"/>
  <c r="M32" i="63"/>
  <c r="AC32" i="63"/>
  <c r="AS32" i="63"/>
  <c r="N32" i="63"/>
  <c r="AD32" i="63"/>
  <c r="AT32" i="63"/>
  <c r="O32" i="63"/>
  <c r="AE32" i="63"/>
  <c r="AU32" i="63"/>
  <c r="AF32" i="63"/>
  <c r="AV32" i="63"/>
  <c r="AG32" i="63"/>
  <c r="AH32" i="63"/>
  <c r="AI32" i="63"/>
  <c r="AW32" i="63"/>
  <c r="AX32" i="63"/>
  <c r="AY32" i="63"/>
  <c r="Y31" i="65"/>
  <c r="A33" i="63"/>
  <c r="AC32" i="65" l="1"/>
  <c r="Z32" i="65"/>
  <c r="K32" i="65"/>
  <c r="D32" i="65"/>
  <c r="P32" i="65"/>
  <c r="G32" i="65"/>
  <c r="I32" i="65"/>
  <c r="W32" i="65"/>
  <c r="O32" i="65"/>
  <c r="AA32" i="65"/>
  <c r="V32" i="65"/>
  <c r="B33" i="63"/>
  <c r="AH33" i="63"/>
  <c r="AX33" i="63"/>
  <c r="C33" i="63"/>
  <c r="AI33" i="63"/>
  <c r="AY33" i="63"/>
  <c r="D33" i="63"/>
  <c r="AJ33" i="63"/>
  <c r="E33" i="63"/>
  <c r="U33" i="63"/>
  <c r="AK33" i="63"/>
  <c r="F33" i="63"/>
  <c r="V33" i="63"/>
  <c r="AL33" i="63"/>
  <c r="G33" i="63"/>
  <c r="W33" i="63"/>
  <c r="AM33" i="63"/>
  <c r="H33" i="63"/>
  <c r="X33" i="63"/>
  <c r="AN33" i="63"/>
  <c r="I33" i="63"/>
  <c r="Y33" i="63"/>
  <c r="AE33" i="65" s="1"/>
  <c r="AO33" i="63"/>
  <c r="J33" i="63"/>
  <c r="Z33" i="63"/>
  <c r="AP33" i="63"/>
  <c r="AQ33" i="63"/>
  <c r="L33" i="63"/>
  <c r="AR33" i="63"/>
  <c r="M33" i="63"/>
  <c r="AC33" i="63"/>
  <c r="AS33" i="63"/>
  <c r="N33" i="63"/>
  <c r="AD33" i="63"/>
  <c r="AT33" i="63"/>
  <c r="P33" i="63"/>
  <c r="AE33" i="63"/>
  <c r="AF33" i="63"/>
  <c r="AG33" i="63"/>
  <c r="AU33" i="63"/>
  <c r="AV33" i="63"/>
  <c r="AW33" i="63"/>
  <c r="O33" i="63"/>
  <c r="A34" i="63"/>
  <c r="AD33" i="65" l="1"/>
  <c r="Z33" i="65"/>
  <c r="AC33" i="65"/>
  <c r="T33" i="65"/>
  <c r="J33" i="65"/>
  <c r="K33" i="65"/>
  <c r="D33" i="65"/>
  <c r="P33" i="65"/>
  <c r="G33" i="65"/>
  <c r="W33" i="65"/>
  <c r="I33" i="65"/>
  <c r="V33" i="65"/>
  <c r="O33" i="65"/>
  <c r="P34" i="63"/>
  <c r="AF34" i="63"/>
  <c r="AV34" i="63"/>
  <c r="AG34" i="63"/>
  <c r="AW34" i="63"/>
  <c r="B34" i="63"/>
  <c r="AH34" i="63"/>
  <c r="AX34" i="63"/>
  <c r="C34" i="63"/>
  <c r="AI34" i="63"/>
  <c r="AY34" i="63"/>
  <c r="D34" i="63"/>
  <c r="AJ34" i="63"/>
  <c r="E34" i="63"/>
  <c r="U34" i="63"/>
  <c r="AK34" i="63"/>
  <c r="F34" i="63"/>
  <c r="G34" i="63"/>
  <c r="W34" i="63"/>
  <c r="AM34" i="63"/>
  <c r="H34" i="63"/>
  <c r="G34" i="65" s="1"/>
  <c r="X34" i="63"/>
  <c r="AN34" i="63"/>
  <c r="I34" i="63"/>
  <c r="Y34" i="63"/>
  <c r="AO34" i="63"/>
  <c r="J34" i="63"/>
  <c r="Z34" i="63"/>
  <c r="AP34" i="63"/>
  <c r="AQ34" i="63"/>
  <c r="L34" i="63"/>
  <c r="K34" i="65" s="1"/>
  <c r="AR34" i="63"/>
  <c r="N34" i="63"/>
  <c r="O34" i="63"/>
  <c r="V34" i="63"/>
  <c r="AC34" i="63"/>
  <c r="AD34" i="63"/>
  <c r="AE34" i="63"/>
  <c r="AS34" i="63"/>
  <c r="AT34" i="63"/>
  <c r="AU34" i="63"/>
  <c r="M34" i="63"/>
  <c r="AL34" i="63"/>
  <c r="A35" i="63"/>
  <c r="T34" i="65" l="1"/>
  <c r="AD34" i="65"/>
  <c r="AE34" i="65"/>
  <c r="Z34" i="65"/>
  <c r="AC34" i="65"/>
  <c r="J34" i="65"/>
  <c r="D34" i="65"/>
  <c r="W34" i="65"/>
  <c r="I34" i="65"/>
  <c r="P34" i="65"/>
  <c r="O34" i="65"/>
  <c r="V34" i="65"/>
  <c r="N35" i="63"/>
  <c r="AD35" i="63"/>
  <c r="AT35" i="63"/>
  <c r="O35" i="63"/>
  <c r="AE35" i="63"/>
  <c r="AU35" i="63"/>
  <c r="AF35" i="63"/>
  <c r="AV35" i="63"/>
  <c r="Q35" i="63"/>
  <c r="AG35" i="63"/>
  <c r="AW35" i="63"/>
  <c r="B35" i="63"/>
  <c r="R35" i="63"/>
  <c r="AH35" i="63"/>
  <c r="AX35" i="63"/>
  <c r="C35" i="63"/>
  <c r="AI35" i="63"/>
  <c r="AY35" i="63"/>
  <c r="E35" i="63"/>
  <c r="U35" i="63"/>
  <c r="AK35" i="63"/>
  <c r="F35" i="63"/>
  <c r="V35" i="63"/>
  <c r="AL35" i="63"/>
  <c r="G35" i="63"/>
  <c r="AM35" i="63"/>
  <c r="X35" i="63"/>
  <c r="AN35" i="63"/>
  <c r="I35" i="63"/>
  <c r="Y35" i="63"/>
  <c r="AE35" i="65" s="1"/>
  <c r="AO35" i="63"/>
  <c r="J35" i="63"/>
  <c r="Z35" i="63"/>
  <c r="AP35" i="63"/>
  <c r="AC35" i="63"/>
  <c r="AJ35" i="63"/>
  <c r="AQ35" i="63"/>
  <c r="AR35" i="63"/>
  <c r="AS35" i="63"/>
  <c r="D35" i="63"/>
  <c r="L35" i="63"/>
  <c r="M35" i="63"/>
  <c r="A36" i="63"/>
  <c r="T35" i="65" l="1"/>
  <c r="AC35" i="65"/>
  <c r="AD35" i="65"/>
  <c r="AB35" i="65"/>
  <c r="P35" i="65"/>
  <c r="K35" i="65"/>
  <c r="D35" i="65"/>
  <c r="Z35" i="65"/>
  <c r="O35" i="65"/>
  <c r="W35" i="65"/>
  <c r="G35" i="65"/>
  <c r="I35" i="65"/>
  <c r="V35" i="65"/>
  <c r="L36" i="63"/>
  <c r="AR36" i="63"/>
  <c r="M36" i="63"/>
  <c r="AC36" i="63"/>
  <c r="AS36" i="63"/>
  <c r="N36" i="63"/>
  <c r="AD36" i="63"/>
  <c r="AT36" i="63"/>
  <c r="O36" i="63"/>
  <c r="AE36" i="63"/>
  <c r="AU36" i="63"/>
  <c r="P36" i="63"/>
  <c r="AF36" i="63"/>
  <c r="AV36" i="63"/>
  <c r="Q36" i="63"/>
  <c r="AG36" i="63"/>
  <c r="AW36" i="63"/>
  <c r="C36" i="63"/>
  <c r="S36" i="63"/>
  <c r="AI36" i="63"/>
  <c r="AY36" i="63"/>
  <c r="D36" i="63"/>
  <c r="AJ36" i="63"/>
  <c r="E36" i="63"/>
  <c r="U36" i="63"/>
  <c r="AK36" i="63"/>
  <c r="F36" i="63"/>
  <c r="V36" i="63"/>
  <c r="AL36" i="63"/>
  <c r="G36" i="63"/>
  <c r="W36" i="63"/>
  <c r="AM36" i="63"/>
  <c r="H36" i="63"/>
  <c r="X36" i="63"/>
  <c r="AN36" i="63"/>
  <c r="AP36" i="63"/>
  <c r="AQ36" i="63"/>
  <c r="AX36" i="63"/>
  <c r="J36" i="63"/>
  <c r="K36" i="63"/>
  <c r="R36" i="63"/>
  <c r="Y36" i="63"/>
  <c r="AE36" i="65" s="1"/>
  <c r="Z36" i="63"/>
  <c r="B36" i="63"/>
  <c r="AH36" i="63"/>
  <c r="AO36" i="63"/>
  <c r="A37" i="63"/>
  <c r="T36" i="65" l="1"/>
  <c r="AC36" i="65"/>
  <c r="AD36" i="65"/>
  <c r="AB36" i="65"/>
  <c r="P36" i="65"/>
  <c r="K36" i="65"/>
  <c r="D36" i="65"/>
  <c r="J36" i="65"/>
  <c r="Z36" i="65"/>
  <c r="I36" i="65"/>
  <c r="W36" i="65"/>
  <c r="V36" i="65"/>
  <c r="Y36" i="65"/>
  <c r="G36" i="65"/>
  <c r="O36" i="65"/>
  <c r="J37" i="63"/>
  <c r="Z37" i="63"/>
  <c r="AP37" i="63"/>
  <c r="K37" i="63"/>
  <c r="AQ37" i="63"/>
  <c r="L37" i="63"/>
  <c r="AR37" i="63"/>
  <c r="M37" i="63"/>
  <c r="AC37" i="63"/>
  <c r="AS37" i="63"/>
  <c r="N37" i="63"/>
  <c r="AD37" i="63"/>
  <c r="AT37" i="63"/>
  <c r="O37" i="63"/>
  <c r="AE37" i="63"/>
  <c r="AU37" i="63"/>
  <c r="Q37" i="63"/>
  <c r="AG37" i="63"/>
  <c r="AW37" i="63"/>
  <c r="R37" i="63"/>
  <c r="AH37" i="63"/>
  <c r="AX37" i="63"/>
  <c r="S37" i="63"/>
  <c r="AI37" i="63"/>
  <c r="AY37" i="63"/>
  <c r="T37" i="63"/>
  <c r="AJ37" i="63"/>
  <c r="U37" i="63"/>
  <c r="AK37" i="63"/>
  <c r="V37" i="63"/>
  <c r="D37" i="65" s="1"/>
  <c r="AL37" i="63"/>
  <c r="H37" i="63"/>
  <c r="I37" i="63"/>
  <c r="W37" i="63"/>
  <c r="AF37" i="63"/>
  <c r="AM37" i="63"/>
  <c r="AN37" i="63"/>
  <c r="AO37" i="63"/>
  <c r="AV37" i="63"/>
  <c r="A38" i="63"/>
  <c r="AE37" i="65" l="1"/>
  <c r="Z37" i="65"/>
  <c r="O37" i="65"/>
  <c r="AC37" i="65"/>
  <c r="J37" i="65"/>
  <c r="I37" i="65"/>
  <c r="K37" i="65"/>
  <c r="AA37" i="65"/>
  <c r="AB37" i="65"/>
  <c r="G37" i="65"/>
  <c r="P37" i="65"/>
  <c r="V37" i="65"/>
  <c r="W37" i="65"/>
  <c r="Y37" i="65"/>
  <c r="X38" i="63"/>
  <c r="AN38" i="63"/>
  <c r="I38" i="63"/>
  <c r="Y38" i="63"/>
  <c r="AE38" i="65" s="1"/>
  <c r="AO38" i="63"/>
  <c r="J38" i="63"/>
  <c r="Z38" i="63"/>
  <c r="AP38" i="63"/>
  <c r="K38" i="63"/>
  <c r="AQ38" i="63"/>
  <c r="L38" i="63"/>
  <c r="AR38" i="63"/>
  <c r="M38" i="63"/>
  <c r="AC38" i="63"/>
  <c r="AS38" i="63"/>
  <c r="O38" i="63"/>
  <c r="AE38" i="63"/>
  <c r="AU38" i="63"/>
  <c r="AF38" i="63"/>
  <c r="AV38" i="63"/>
  <c r="AG38" i="63"/>
  <c r="AW38" i="63"/>
  <c r="B38" i="63"/>
  <c r="AH38" i="63"/>
  <c r="AX38" i="63"/>
  <c r="C38" i="63"/>
  <c r="S38" i="63"/>
  <c r="AI38" i="63"/>
  <c r="D38" i="63"/>
  <c r="T38" i="63"/>
  <c r="AJ38" i="63"/>
  <c r="F38" i="63"/>
  <c r="G38" i="63"/>
  <c r="N38" i="63"/>
  <c r="U38" i="63"/>
  <c r="V38" i="63"/>
  <c r="D38" i="65" s="1"/>
  <c r="AK38" i="63"/>
  <c r="AL38" i="63"/>
  <c r="AM38" i="63"/>
  <c r="AT38" i="63"/>
  <c r="AY38" i="63"/>
  <c r="E38" i="63"/>
  <c r="AD38" i="63"/>
  <c r="A39" i="63"/>
  <c r="P38" i="65" l="1"/>
  <c r="AD38" i="65"/>
  <c r="T38" i="65"/>
  <c r="AC38" i="65"/>
  <c r="K38" i="65"/>
  <c r="Z38" i="65"/>
  <c r="W38" i="65"/>
  <c r="G38" i="65"/>
  <c r="O38" i="65"/>
  <c r="AA38" i="65"/>
  <c r="V38" i="65"/>
  <c r="I38" i="65"/>
  <c r="Y38" i="65"/>
  <c r="F39" i="63"/>
  <c r="V39" i="63"/>
  <c r="AL39" i="63"/>
  <c r="G39" i="63"/>
  <c r="AM39" i="63"/>
  <c r="X39" i="63"/>
  <c r="AN39" i="63"/>
  <c r="Y39" i="63"/>
  <c r="AO39" i="63"/>
  <c r="J39" i="63"/>
  <c r="Z39" i="63"/>
  <c r="AP39" i="63"/>
  <c r="AQ39" i="63"/>
  <c r="AC39" i="63"/>
  <c r="AS39" i="63"/>
  <c r="N39" i="63"/>
  <c r="AD39" i="63"/>
  <c r="AT39" i="63"/>
  <c r="O39" i="63"/>
  <c r="AE39" i="63"/>
  <c r="AU39" i="63"/>
  <c r="P39" i="63"/>
  <c r="AF39" i="63"/>
  <c r="AV39" i="63"/>
  <c r="L39" i="63"/>
  <c r="T39" i="63"/>
  <c r="U39" i="63"/>
  <c r="AG39" i="63"/>
  <c r="AH39" i="63"/>
  <c r="AI39" i="63"/>
  <c r="AJ39" i="63"/>
  <c r="AK39" i="63"/>
  <c r="B39" i="63"/>
  <c r="AR39" i="63"/>
  <c r="C39" i="63"/>
  <c r="D39" i="63"/>
  <c r="E39" i="63"/>
  <c r="AW39" i="63"/>
  <c r="AX39" i="63"/>
  <c r="AY39" i="63"/>
  <c r="A40" i="63"/>
  <c r="T39" i="65" l="1"/>
  <c r="AD39" i="65"/>
  <c r="AE39" i="65"/>
  <c r="AC39" i="65"/>
  <c r="D39" i="65"/>
  <c r="K39" i="65"/>
  <c r="W39" i="65"/>
  <c r="Z39" i="65"/>
  <c r="G39" i="65"/>
  <c r="P39" i="65"/>
  <c r="I39" i="65"/>
  <c r="O39" i="65"/>
  <c r="AA39" i="65"/>
  <c r="V39" i="65"/>
  <c r="T40" i="63"/>
  <c r="AJ40" i="63"/>
  <c r="U40" i="63"/>
  <c r="AK40" i="63"/>
  <c r="V40" i="63"/>
  <c r="AL40" i="63"/>
  <c r="W40" i="63"/>
  <c r="AM40" i="63"/>
  <c r="H40" i="63"/>
  <c r="AN40" i="63"/>
  <c r="AO40" i="63"/>
  <c r="AQ40" i="63"/>
  <c r="L40" i="63"/>
  <c r="AR40" i="63"/>
  <c r="M40" i="63"/>
  <c r="AC40" i="63"/>
  <c r="AS40" i="63"/>
  <c r="N40" i="63"/>
  <c r="AD40" i="63"/>
  <c r="AT40" i="63"/>
  <c r="AV40" i="63"/>
  <c r="AW40" i="63"/>
  <c r="J40" i="63"/>
  <c r="AX40" i="63"/>
  <c r="O40" i="63"/>
  <c r="AY40" i="63"/>
  <c r="P40" i="63"/>
  <c r="Z40" i="63"/>
  <c r="P40" i="65" s="1"/>
  <c r="AE40" i="63"/>
  <c r="AF40" i="63"/>
  <c r="AG40" i="63"/>
  <c r="AH40" i="63"/>
  <c r="AI40" i="63"/>
  <c r="AP40" i="63"/>
  <c r="AU40" i="63"/>
  <c r="A41" i="63"/>
  <c r="AC40" i="65" l="1"/>
  <c r="K40" i="65"/>
  <c r="Z40" i="65"/>
  <c r="D40" i="65"/>
  <c r="I40" i="65"/>
  <c r="V40" i="65"/>
  <c r="O40" i="65"/>
  <c r="AA40" i="65"/>
  <c r="W40" i="65"/>
  <c r="G40" i="65"/>
  <c r="B41" i="63"/>
  <c r="AH41" i="63"/>
  <c r="AX41" i="63"/>
  <c r="C41" i="63"/>
  <c r="AI41" i="63"/>
  <c r="AY41" i="63"/>
  <c r="D41" i="63"/>
  <c r="V41" i="65" s="1"/>
  <c r="T41" i="63"/>
  <c r="AJ41" i="63"/>
  <c r="E41" i="63"/>
  <c r="U41" i="63"/>
  <c r="AK41" i="63"/>
  <c r="F41" i="63"/>
  <c r="V41" i="63"/>
  <c r="AL41" i="63"/>
  <c r="G41" i="63"/>
  <c r="W41" i="63"/>
  <c r="AM41" i="63"/>
  <c r="I41" i="63"/>
  <c r="Y41" i="63"/>
  <c r="AE41" i="65" s="1"/>
  <c r="AO41" i="63"/>
  <c r="J41" i="63"/>
  <c r="Z41" i="63"/>
  <c r="AP41" i="63"/>
  <c r="AQ41" i="63"/>
  <c r="L41" i="63"/>
  <c r="AR41" i="63"/>
  <c r="AN41" i="63"/>
  <c r="AS41" i="63"/>
  <c r="AT41" i="63"/>
  <c r="AU41" i="63"/>
  <c r="H41" i="63"/>
  <c r="G41" i="65" s="1"/>
  <c r="AV41" i="63"/>
  <c r="M41" i="63"/>
  <c r="AW41" i="63"/>
  <c r="O41" i="63"/>
  <c r="P41" i="63"/>
  <c r="X41" i="63"/>
  <c r="AC41" i="63"/>
  <c r="AD41" i="63"/>
  <c r="N41" i="63"/>
  <c r="AE41" i="63"/>
  <c r="AF41" i="63"/>
  <c r="AG41" i="63"/>
  <c r="A42" i="63"/>
  <c r="AD41" i="65" l="1"/>
  <c r="T41" i="65"/>
  <c r="AC41" i="65"/>
  <c r="J41" i="65"/>
  <c r="D41" i="65"/>
  <c r="K41" i="65"/>
  <c r="P41" i="65"/>
  <c r="I41" i="65"/>
  <c r="O41" i="65"/>
  <c r="AA41" i="65"/>
  <c r="W41" i="65"/>
  <c r="P42" i="63"/>
  <c r="AF42" i="63"/>
  <c r="AV42" i="63"/>
  <c r="Q42" i="63"/>
  <c r="AG42" i="63"/>
  <c r="AW42" i="63"/>
  <c r="B42" i="63"/>
  <c r="R42" i="63"/>
  <c r="AH42" i="63"/>
  <c r="AX42" i="63"/>
  <c r="C42" i="63"/>
  <c r="AI42" i="63"/>
  <c r="AY42" i="63"/>
  <c r="D42" i="63"/>
  <c r="T42" i="63"/>
  <c r="AJ42" i="63"/>
  <c r="E42" i="63"/>
  <c r="U42" i="63"/>
  <c r="AK42" i="63"/>
  <c r="G42" i="63"/>
  <c r="W42" i="63"/>
  <c r="AM42" i="63"/>
  <c r="H42" i="63"/>
  <c r="X42" i="63"/>
  <c r="AN42" i="63"/>
  <c r="I42" i="63"/>
  <c r="J42" i="63"/>
  <c r="Z42" i="63"/>
  <c r="AC42" i="63"/>
  <c r="AD42" i="63"/>
  <c r="AE42" i="63"/>
  <c r="AL42" i="63"/>
  <c r="AO42" i="63"/>
  <c r="AP42" i="63"/>
  <c r="AR42" i="63"/>
  <c r="L42" i="63"/>
  <c r="AS42" i="63"/>
  <c r="AT42" i="63"/>
  <c r="N42" i="63"/>
  <c r="AU42" i="63"/>
  <c r="O42" i="63"/>
  <c r="V42" i="63"/>
  <c r="Y42" i="63"/>
  <c r="AE42" i="65" s="1"/>
  <c r="AQ42" i="63"/>
  <c r="F42" i="63"/>
  <c r="A43" i="63"/>
  <c r="AD42" i="65" l="1"/>
  <c r="Z42" i="65"/>
  <c r="T42" i="65"/>
  <c r="O42" i="65"/>
  <c r="AC42" i="65"/>
  <c r="J42" i="65"/>
  <c r="W42" i="65"/>
  <c r="K42" i="65"/>
  <c r="D42" i="65"/>
  <c r="AA42" i="65"/>
  <c r="AB42" i="65"/>
  <c r="G42" i="65"/>
  <c r="I42" i="65"/>
  <c r="P42" i="65"/>
  <c r="V42" i="65"/>
  <c r="N43" i="63"/>
  <c r="AD43" i="63"/>
  <c r="AT43" i="63"/>
  <c r="O43" i="63"/>
  <c r="AE43" i="63"/>
  <c r="AU43" i="63"/>
  <c r="P43" i="63"/>
  <c r="AF43" i="63"/>
  <c r="AV43" i="63"/>
  <c r="Q43" i="63"/>
  <c r="AG43" i="63"/>
  <c r="AW43" i="63"/>
  <c r="B43" i="63"/>
  <c r="R43" i="63"/>
  <c r="AH43" i="63"/>
  <c r="AX43" i="63"/>
  <c r="C43" i="63"/>
  <c r="S43" i="63"/>
  <c r="AI43" i="63"/>
  <c r="AY43" i="63"/>
  <c r="E43" i="63"/>
  <c r="U43" i="63"/>
  <c r="AK43" i="63"/>
  <c r="F43" i="63"/>
  <c r="V43" i="63"/>
  <c r="AL43" i="63"/>
  <c r="K43" i="63"/>
  <c r="AQ43" i="63"/>
  <c r="L43" i="63"/>
  <c r="AR43" i="63"/>
  <c r="AS43" i="63"/>
  <c r="T43" i="63"/>
  <c r="W43" i="63"/>
  <c r="X43" i="63"/>
  <c r="Z43" i="63"/>
  <c r="AC43" i="63"/>
  <c r="D43" i="63"/>
  <c r="AJ43" i="63"/>
  <c r="G43" i="63"/>
  <c r="AM43" i="63"/>
  <c r="Y43" i="63"/>
  <c r="AE43" i="65" s="1"/>
  <c r="AN43" i="63"/>
  <c r="AO43" i="63"/>
  <c r="AP43" i="63"/>
  <c r="H43" i="63"/>
  <c r="I43" i="63"/>
  <c r="J43" i="63"/>
  <c r="A44" i="63"/>
  <c r="AC43" i="65" l="1"/>
  <c r="AD43" i="65"/>
  <c r="T43" i="65"/>
  <c r="AB43" i="65"/>
  <c r="J43" i="65"/>
  <c r="K43" i="65"/>
  <c r="Z43" i="65"/>
  <c r="D43" i="65"/>
  <c r="W43" i="65"/>
  <c r="V43" i="65"/>
  <c r="G43" i="65"/>
  <c r="I43" i="65"/>
  <c r="O43" i="65"/>
  <c r="AA43" i="65"/>
  <c r="P43" i="65"/>
  <c r="L44" i="63"/>
  <c r="AR44" i="63"/>
  <c r="M44" i="63"/>
  <c r="AC44" i="63"/>
  <c r="AS44" i="63"/>
  <c r="N44" i="63"/>
  <c r="AD44" i="63"/>
  <c r="AT44" i="63"/>
  <c r="O44" i="63"/>
  <c r="AE44" i="63"/>
  <c r="AU44" i="63"/>
  <c r="P44" i="63"/>
  <c r="AF44" i="63"/>
  <c r="AV44" i="63"/>
  <c r="Q44" i="63"/>
  <c r="AG44" i="63"/>
  <c r="AW44" i="63"/>
  <c r="C44" i="63"/>
  <c r="S44" i="63"/>
  <c r="AI44" i="63"/>
  <c r="AY44" i="63"/>
  <c r="D44" i="63"/>
  <c r="V44" i="65" s="1"/>
  <c r="T44" i="63"/>
  <c r="AJ44" i="63"/>
  <c r="Y44" i="63"/>
  <c r="AE44" i="65" s="1"/>
  <c r="Z44" i="63"/>
  <c r="B44" i="63"/>
  <c r="AH44" i="63"/>
  <c r="E44" i="63"/>
  <c r="AK44" i="63"/>
  <c r="F44" i="63"/>
  <c r="AL44" i="63"/>
  <c r="H44" i="63"/>
  <c r="AN44" i="63"/>
  <c r="I44" i="63"/>
  <c r="AO44" i="63"/>
  <c r="J44" i="63"/>
  <c r="AP44" i="63"/>
  <c r="K44" i="63"/>
  <c r="AQ44" i="63"/>
  <c r="R44" i="63"/>
  <c r="AX44" i="63"/>
  <c r="U44" i="63"/>
  <c r="G44" i="63"/>
  <c r="V44" i="63"/>
  <c r="D44" i="65" s="1"/>
  <c r="W44" i="63"/>
  <c r="X44" i="63"/>
  <c r="AM44" i="63"/>
  <c r="Y43" i="65"/>
  <c r="A45" i="63"/>
  <c r="AD44" i="65" l="1"/>
  <c r="T44" i="65"/>
  <c r="AC44" i="65"/>
  <c r="AB44" i="65"/>
  <c r="K44" i="65"/>
  <c r="J44" i="65"/>
  <c r="Z44" i="65"/>
  <c r="G44" i="65"/>
  <c r="O44" i="65"/>
  <c r="AA44" i="65"/>
  <c r="I44" i="65"/>
  <c r="W44" i="65"/>
  <c r="P44" i="65"/>
  <c r="Y44" i="65"/>
  <c r="J45" i="63"/>
  <c r="Z45" i="63"/>
  <c r="AP45" i="63"/>
  <c r="K45" i="63"/>
  <c r="AQ45" i="63"/>
  <c r="L45" i="63"/>
  <c r="AR45" i="63"/>
  <c r="M45" i="63"/>
  <c r="AC45" i="63"/>
  <c r="AS45" i="63"/>
  <c r="N45" i="63"/>
  <c r="AD45" i="63"/>
  <c r="AT45" i="63"/>
  <c r="O45" i="63"/>
  <c r="AE45" i="63"/>
  <c r="AU45" i="63"/>
  <c r="AG45" i="63"/>
  <c r="AW45" i="63"/>
  <c r="AH45" i="63"/>
  <c r="AX45" i="63"/>
  <c r="AM45" i="63"/>
  <c r="H45" i="63"/>
  <c r="AN45" i="63"/>
  <c r="I45" i="63"/>
  <c r="AO45" i="63"/>
  <c r="P45" i="63"/>
  <c r="AV45" i="63"/>
  <c r="S45" i="63"/>
  <c r="AY45" i="63"/>
  <c r="T45" i="63"/>
  <c r="V45" i="63"/>
  <c r="D45" i="65" s="1"/>
  <c r="W45" i="63"/>
  <c r="AF45" i="63"/>
  <c r="AI45" i="63"/>
  <c r="U45" i="63"/>
  <c r="AJ45" i="63"/>
  <c r="AK45" i="63"/>
  <c r="AL45" i="63"/>
  <c r="A46" i="63"/>
  <c r="AC45" i="65" l="1"/>
  <c r="Z45" i="65"/>
  <c r="W45" i="65"/>
  <c r="J45" i="65"/>
  <c r="K45" i="65"/>
  <c r="P45" i="65"/>
  <c r="I45" i="65"/>
  <c r="O45" i="65"/>
  <c r="AA45" i="65"/>
  <c r="G45" i="65"/>
  <c r="V45" i="65"/>
  <c r="Y45" i="65"/>
  <c r="H46" i="63"/>
  <c r="AN46" i="63"/>
  <c r="I46" i="63"/>
  <c r="AO46" i="63"/>
  <c r="J46" i="63"/>
  <c r="Z46" i="63"/>
  <c r="AP46" i="63"/>
  <c r="AQ46" i="63"/>
  <c r="L46" i="63"/>
  <c r="AR46" i="63"/>
  <c r="M46" i="63"/>
  <c r="AC46" i="63"/>
  <c r="AS46" i="63"/>
  <c r="O46" i="63"/>
  <c r="AE46" i="63"/>
  <c r="AU46" i="63"/>
  <c r="P46" i="63"/>
  <c r="AF46" i="63"/>
  <c r="AV46" i="63"/>
  <c r="U46" i="63"/>
  <c r="V46" i="63"/>
  <c r="D46" i="65" s="1"/>
  <c r="W46" i="63"/>
  <c r="AD46" i="63"/>
  <c r="AG46" i="63"/>
  <c r="AH46" i="63"/>
  <c r="AJ46" i="63"/>
  <c r="AK46" i="63"/>
  <c r="AL46" i="63"/>
  <c r="AM46" i="63"/>
  <c r="N46" i="63"/>
  <c r="AT46" i="63"/>
  <c r="AW46" i="63"/>
  <c r="T46" i="63"/>
  <c r="AI46" i="63"/>
  <c r="AX46" i="63"/>
  <c r="AY46" i="63"/>
  <c r="A47" i="63"/>
  <c r="AC46" i="65" l="1"/>
  <c r="P46" i="65"/>
  <c r="K46" i="65"/>
  <c r="J46" i="65"/>
  <c r="Z46" i="65"/>
  <c r="W46" i="65"/>
  <c r="G46" i="65"/>
  <c r="O46" i="65"/>
  <c r="AA46" i="65"/>
  <c r="V46" i="65"/>
  <c r="I46" i="65"/>
  <c r="F47" i="63"/>
  <c r="V47" i="63"/>
  <c r="D47" i="65" s="1"/>
  <c r="AL47" i="63"/>
  <c r="G47" i="63"/>
  <c r="W47" i="63"/>
  <c r="AM47" i="63"/>
  <c r="H47" i="63"/>
  <c r="G47" i="65" s="1"/>
  <c r="X47" i="63"/>
  <c r="AN47" i="63"/>
  <c r="I47" i="63"/>
  <c r="Y47" i="63"/>
  <c r="AE47" i="65" s="1"/>
  <c r="AO47" i="63"/>
  <c r="J47" i="63"/>
  <c r="Z47" i="63"/>
  <c r="AP47" i="63"/>
  <c r="AQ47" i="63"/>
  <c r="M47" i="63"/>
  <c r="AC47" i="63"/>
  <c r="AS47" i="63"/>
  <c r="N47" i="63"/>
  <c r="AD47" i="63"/>
  <c r="AT47" i="63"/>
  <c r="C47" i="63"/>
  <c r="AI47" i="63"/>
  <c r="D47" i="63"/>
  <c r="AJ47" i="63"/>
  <c r="E47" i="63"/>
  <c r="AK47" i="63"/>
  <c r="L47" i="63"/>
  <c r="AR47" i="63"/>
  <c r="O47" i="63"/>
  <c r="AU47" i="63"/>
  <c r="P47" i="63"/>
  <c r="AV47" i="63"/>
  <c r="AX47" i="63"/>
  <c r="AY47" i="63"/>
  <c r="T47" i="63"/>
  <c r="U47" i="63"/>
  <c r="AE47" i="63"/>
  <c r="B47" i="63"/>
  <c r="AF47" i="63"/>
  <c r="AG47" i="63"/>
  <c r="AH47" i="63"/>
  <c r="AW47" i="63"/>
  <c r="A48" i="63"/>
  <c r="T47" i="65" l="1"/>
  <c r="Z47" i="65"/>
  <c r="AC47" i="65"/>
  <c r="AD47" i="65"/>
  <c r="J47" i="65"/>
  <c r="P47" i="65"/>
  <c r="K47" i="65"/>
  <c r="W47" i="65"/>
  <c r="O47" i="65"/>
  <c r="AA47" i="65"/>
  <c r="I47" i="65"/>
  <c r="V47" i="65"/>
  <c r="D48" i="63"/>
  <c r="T48" i="63"/>
  <c r="AJ48" i="63"/>
  <c r="E48" i="63"/>
  <c r="U48" i="63"/>
  <c r="AK48" i="63"/>
  <c r="F48" i="63"/>
  <c r="V48" i="63"/>
  <c r="D48" i="65" s="1"/>
  <c r="AL48" i="63"/>
  <c r="G48" i="63"/>
  <c r="W48" i="63"/>
  <c r="AM48" i="63"/>
  <c r="H48" i="63"/>
  <c r="X48" i="63"/>
  <c r="AN48" i="63"/>
  <c r="I48" i="63"/>
  <c r="Y48" i="63"/>
  <c r="AO48" i="63"/>
  <c r="AQ48" i="63"/>
  <c r="L48" i="63"/>
  <c r="K48" i="65" s="1"/>
  <c r="AR48" i="63"/>
  <c r="AW48" i="63"/>
  <c r="AX48" i="63"/>
  <c r="AY48" i="63"/>
  <c r="Z48" i="63"/>
  <c r="AC48" i="63"/>
  <c r="AD48" i="63"/>
  <c r="AF48" i="63"/>
  <c r="AG48" i="63"/>
  <c r="B48" i="63"/>
  <c r="AH48" i="63"/>
  <c r="C48" i="63"/>
  <c r="AI48" i="63"/>
  <c r="J48" i="63"/>
  <c r="AP48" i="63"/>
  <c r="M48" i="63"/>
  <c r="AS48" i="63"/>
  <c r="AE48" i="63"/>
  <c r="AT48" i="63"/>
  <c r="AU48" i="63"/>
  <c r="AV48" i="63"/>
  <c r="N48" i="63"/>
  <c r="O48" i="63"/>
  <c r="P48" i="63"/>
  <c r="A49" i="63"/>
  <c r="AD48" i="65" l="1"/>
  <c r="AE48" i="65"/>
  <c r="T48" i="65"/>
  <c r="AC48" i="65"/>
  <c r="Z48" i="65"/>
  <c r="J48" i="65"/>
  <c r="P48" i="65"/>
  <c r="I48" i="65"/>
  <c r="O48" i="65"/>
  <c r="AA48" i="65"/>
  <c r="V48" i="65"/>
  <c r="W48" i="65"/>
  <c r="G48" i="65"/>
  <c r="B49" i="63"/>
  <c r="R49" i="63"/>
  <c r="AH49" i="63"/>
  <c r="AX49" i="63"/>
  <c r="C49" i="63"/>
  <c r="D49" i="63"/>
  <c r="T49" i="63"/>
  <c r="E49" i="63"/>
  <c r="U49" i="63"/>
  <c r="F49" i="63"/>
  <c r="V49" i="63"/>
  <c r="G49" i="63"/>
  <c r="W49" i="63"/>
  <c r="AM49" i="63"/>
  <c r="I49" i="63"/>
  <c r="Y49" i="63"/>
  <c r="AE49" i="65" s="1"/>
  <c r="J49" i="63"/>
  <c r="Z49" i="63"/>
  <c r="AD49" i="63"/>
  <c r="AV49" i="63"/>
  <c r="AE49" i="63"/>
  <c r="AW49" i="63"/>
  <c r="AF49" i="63"/>
  <c r="AY49" i="63"/>
  <c r="H49" i="63"/>
  <c r="AG49" i="63"/>
  <c r="AI49" i="63"/>
  <c r="L49" i="63"/>
  <c r="AJ49" i="63"/>
  <c r="N49" i="63"/>
  <c r="AL49" i="63"/>
  <c r="O49" i="63"/>
  <c r="AN49" i="63"/>
  <c r="P49" i="63"/>
  <c r="AO49" i="63"/>
  <c r="Q49" i="63"/>
  <c r="AP49" i="63"/>
  <c r="AQ49" i="63"/>
  <c r="X49" i="63"/>
  <c r="AR49" i="63"/>
  <c r="M49" i="63"/>
  <c r="AC49" i="63"/>
  <c r="AS49" i="63"/>
  <c r="AT49" i="63"/>
  <c r="AU49" i="63"/>
  <c r="AK49" i="63"/>
  <c r="A50" i="63"/>
  <c r="Z49" i="65" l="1"/>
  <c r="AC49" i="65"/>
  <c r="AD49" i="65"/>
  <c r="T49" i="65"/>
  <c r="AB49" i="65"/>
  <c r="P49" i="65"/>
  <c r="J49" i="65"/>
  <c r="D49" i="65"/>
  <c r="K49" i="65"/>
  <c r="W49" i="65"/>
  <c r="G49" i="65"/>
  <c r="V49" i="65"/>
  <c r="O49" i="65"/>
  <c r="AA49" i="65"/>
  <c r="I49" i="65"/>
  <c r="P50" i="63"/>
  <c r="AF50" i="63"/>
  <c r="AV50" i="63"/>
  <c r="O50" i="63"/>
  <c r="AG50" i="63"/>
  <c r="AX50" i="63"/>
  <c r="Q50" i="63"/>
  <c r="AH50" i="63"/>
  <c r="AY50" i="63"/>
  <c r="R50" i="63"/>
  <c r="AI50" i="63"/>
  <c r="B50" i="63"/>
  <c r="S50" i="63"/>
  <c r="AJ50" i="63"/>
  <c r="C50" i="63"/>
  <c r="T50" i="63"/>
  <c r="AK50" i="63"/>
  <c r="D50" i="63"/>
  <c r="U50" i="63"/>
  <c r="AL50" i="63"/>
  <c r="F50" i="63"/>
  <c r="W50" i="63"/>
  <c r="AN50" i="63"/>
  <c r="G50" i="63"/>
  <c r="X50" i="63"/>
  <c r="AO50" i="63"/>
  <c r="H50" i="63"/>
  <c r="Y50" i="63"/>
  <c r="AP50" i="63"/>
  <c r="I50" i="63"/>
  <c r="Z50" i="63"/>
  <c r="AQ50" i="63"/>
  <c r="J50" i="63"/>
  <c r="AR50" i="63"/>
  <c r="K50" i="63"/>
  <c r="AS50" i="63"/>
  <c r="V50" i="63"/>
  <c r="AC50" i="63"/>
  <c r="AD50" i="63"/>
  <c r="AE50" i="63"/>
  <c r="AM50" i="63"/>
  <c r="AT50" i="63"/>
  <c r="AU50" i="63"/>
  <c r="AW50" i="63"/>
  <c r="E50" i="63"/>
  <c r="L50" i="63"/>
  <c r="M50" i="63"/>
  <c r="N50" i="63"/>
  <c r="A51" i="63"/>
  <c r="T50" i="65" l="1"/>
  <c r="P50" i="65"/>
  <c r="AD50" i="65"/>
  <c r="AE50" i="65"/>
  <c r="O50" i="65"/>
  <c r="AC50" i="65"/>
  <c r="K50" i="65"/>
  <c r="J50" i="65"/>
  <c r="W50" i="65"/>
  <c r="D50" i="65"/>
  <c r="Z50" i="65"/>
  <c r="G50" i="65"/>
  <c r="AA50" i="65"/>
  <c r="AB50" i="65"/>
  <c r="V50" i="65"/>
  <c r="I50" i="65"/>
  <c r="Y50" i="65"/>
  <c r="N51" i="63"/>
  <c r="AD51" i="63"/>
  <c r="AT51" i="63"/>
  <c r="Q51" i="63"/>
  <c r="AH51" i="63"/>
  <c r="AY51" i="63"/>
  <c r="R51" i="63"/>
  <c r="AI51" i="63"/>
  <c r="S51" i="63"/>
  <c r="AJ51" i="63"/>
  <c r="T51" i="63"/>
  <c r="AK51" i="63"/>
  <c r="U51" i="63"/>
  <c r="AL51" i="63"/>
  <c r="V51" i="63"/>
  <c r="D51" i="65" s="1"/>
  <c r="AM51" i="63"/>
  <c r="AO51" i="63"/>
  <c r="H51" i="63"/>
  <c r="AP51" i="63"/>
  <c r="I51" i="63"/>
  <c r="Z51" i="63"/>
  <c r="AQ51" i="63"/>
  <c r="J51" i="63"/>
  <c r="AR51" i="63"/>
  <c r="K51" i="63"/>
  <c r="AS51" i="63"/>
  <c r="L51" i="63"/>
  <c r="K51" i="65" s="1"/>
  <c r="AC51" i="63"/>
  <c r="AU51" i="63"/>
  <c r="AN51" i="63"/>
  <c r="AV51" i="63"/>
  <c r="AW51" i="63"/>
  <c r="AX51" i="63"/>
  <c r="M51" i="63"/>
  <c r="O51" i="63"/>
  <c r="P51" i="63"/>
  <c r="W51" i="63"/>
  <c r="AE51" i="63"/>
  <c r="AF51" i="63"/>
  <c r="AG51" i="63"/>
  <c r="A52" i="63"/>
  <c r="AB51" i="65" l="1"/>
  <c r="Z51" i="65"/>
  <c r="AC51" i="65"/>
  <c r="J51" i="65"/>
  <c r="W51" i="65"/>
  <c r="P51" i="65"/>
  <c r="G51" i="65"/>
  <c r="O51" i="65"/>
  <c r="AA51" i="65"/>
  <c r="I51" i="65"/>
  <c r="V51" i="65"/>
  <c r="AG52" i="63"/>
  <c r="AW52" i="63"/>
  <c r="B52" i="63"/>
  <c r="AH52" i="63"/>
  <c r="AX52" i="63"/>
  <c r="C52" i="63"/>
  <c r="S52" i="63"/>
  <c r="AI52" i="63"/>
  <c r="AY52" i="63"/>
  <c r="D52" i="63"/>
  <c r="T52" i="63"/>
  <c r="AJ52" i="63"/>
  <c r="E52" i="63"/>
  <c r="U52" i="63"/>
  <c r="AK52" i="63"/>
  <c r="F52" i="63"/>
  <c r="AL52" i="63"/>
  <c r="H52" i="63"/>
  <c r="X52" i="63"/>
  <c r="AN52" i="63"/>
  <c r="I52" i="63"/>
  <c r="Y52" i="63"/>
  <c r="AE52" i="65" s="1"/>
  <c r="AO52" i="63"/>
  <c r="J52" i="63"/>
  <c r="Z52" i="63"/>
  <c r="AP52" i="63"/>
  <c r="K52" i="63"/>
  <c r="AQ52" i="63"/>
  <c r="L52" i="63"/>
  <c r="AR52" i="63"/>
  <c r="M52" i="63"/>
  <c r="AC52" i="63"/>
  <c r="AS52" i="63"/>
  <c r="G52" i="63"/>
  <c r="O52" i="63"/>
  <c r="P52" i="63"/>
  <c r="AD52" i="63"/>
  <c r="AE52" i="63"/>
  <c r="AF52" i="63"/>
  <c r="AM52" i="63"/>
  <c r="W52" i="63"/>
  <c r="AT52" i="63"/>
  <c r="AU52" i="63"/>
  <c r="AV52" i="63"/>
  <c r="Y51" i="65"/>
  <c r="A53" i="63"/>
  <c r="AD52" i="65" l="1"/>
  <c r="T52" i="65"/>
  <c r="AC52" i="65"/>
  <c r="K52" i="65"/>
  <c r="I52" i="65"/>
  <c r="W52" i="65"/>
  <c r="O52" i="65"/>
  <c r="AA52" i="65"/>
  <c r="P52" i="65"/>
  <c r="G52" i="65"/>
  <c r="V52" i="65"/>
  <c r="AE53" i="63"/>
  <c r="AU53" i="63"/>
  <c r="P53" i="63"/>
  <c r="AF53" i="63"/>
  <c r="AV53" i="63"/>
  <c r="AG53" i="63"/>
  <c r="AW53" i="63"/>
  <c r="B53" i="63"/>
  <c r="AH53" i="63"/>
  <c r="AX53" i="63"/>
  <c r="C53" i="63"/>
  <c r="AI53" i="63"/>
  <c r="AY53" i="63"/>
  <c r="D53" i="63"/>
  <c r="T53" i="63"/>
  <c r="AJ53" i="63"/>
  <c r="F53" i="63"/>
  <c r="V53" i="63"/>
  <c r="D53" i="65" s="1"/>
  <c r="AL53" i="63"/>
  <c r="G53" i="63"/>
  <c r="W53" i="63"/>
  <c r="AM53" i="63"/>
  <c r="H53" i="63"/>
  <c r="X53" i="63"/>
  <c r="AN53" i="63"/>
  <c r="I53" i="63"/>
  <c r="Y53" i="63"/>
  <c r="AE53" i="65" s="1"/>
  <c r="AO53" i="63"/>
  <c r="J53" i="63"/>
  <c r="Z53" i="63"/>
  <c r="P53" i="65" s="1"/>
  <c r="AP53" i="63"/>
  <c r="AQ53" i="63"/>
  <c r="E53" i="63"/>
  <c r="L53" i="63"/>
  <c r="K53" i="65" s="1"/>
  <c r="M53" i="63"/>
  <c r="N53" i="63"/>
  <c r="U53" i="63"/>
  <c r="AC53" i="63"/>
  <c r="AD53" i="63"/>
  <c r="AR53" i="63"/>
  <c r="AS53" i="63"/>
  <c r="AT53" i="63"/>
  <c r="AK53" i="63"/>
  <c r="Y52" i="65"/>
  <c r="A54" i="63"/>
  <c r="T53" i="65" l="1"/>
  <c r="Z53" i="65"/>
  <c r="AC53" i="65"/>
  <c r="AD53" i="65"/>
  <c r="J53" i="65"/>
  <c r="I53" i="65"/>
  <c r="W53" i="65"/>
  <c r="G53" i="65"/>
  <c r="V53" i="65"/>
  <c r="O53" i="65"/>
  <c r="AA53" i="65"/>
  <c r="M54" i="63"/>
  <c r="AC54" i="63"/>
  <c r="AS54" i="63"/>
  <c r="N54" i="63"/>
  <c r="AD54" i="63"/>
  <c r="AT54" i="63"/>
  <c r="O54" i="63"/>
  <c r="AE54" i="63"/>
  <c r="AU54" i="63"/>
  <c r="P54" i="63"/>
  <c r="AF54" i="63"/>
  <c r="AV54" i="63"/>
  <c r="AG54" i="63"/>
  <c r="AW54" i="63"/>
  <c r="AH54" i="63"/>
  <c r="AX54" i="63"/>
  <c r="AJ54" i="63"/>
  <c r="U54" i="63"/>
  <c r="AK54" i="63"/>
  <c r="V54" i="63"/>
  <c r="AL54" i="63"/>
  <c r="W54" i="63"/>
  <c r="AM54" i="63"/>
  <c r="H54" i="63"/>
  <c r="AN54" i="63"/>
  <c r="I54" i="63"/>
  <c r="AO54" i="63"/>
  <c r="Z54" i="63"/>
  <c r="AI54" i="63"/>
  <c r="AP54" i="63"/>
  <c r="AQ54" i="63"/>
  <c r="AR54" i="63"/>
  <c r="J54" i="63"/>
  <c r="L54" i="63"/>
  <c r="AY54" i="63"/>
  <c r="A55" i="63"/>
  <c r="AE54" i="65" l="1"/>
  <c r="AC54" i="65"/>
  <c r="P54" i="65"/>
  <c r="J54" i="65"/>
  <c r="K54" i="65"/>
  <c r="D54" i="65"/>
  <c r="W54" i="65"/>
  <c r="Z54" i="65"/>
  <c r="I54" i="65"/>
  <c r="O54" i="65"/>
  <c r="V54" i="65"/>
  <c r="G54" i="65"/>
  <c r="AQ55" i="63"/>
  <c r="L55" i="63"/>
  <c r="K55" i="65" s="1"/>
  <c r="AR55" i="63"/>
  <c r="M55" i="63"/>
  <c r="AC55" i="63"/>
  <c r="AS55" i="63"/>
  <c r="AD55" i="63"/>
  <c r="AT55" i="63"/>
  <c r="O55" i="63"/>
  <c r="AE55" i="63"/>
  <c r="AU55" i="63"/>
  <c r="P55" i="63"/>
  <c r="AF55" i="63"/>
  <c r="AV55" i="63"/>
  <c r="B55" i="63"/>
  <c r="AH55" i="63"/>
  <c r="AX55" i="63"/>
  <c r="C55" i="63"/>
  <c r="AI55" i="63"/>
  <c r="AY55" i="63"/>
  <c r="D55" i="63"/>
  <c r="V55" i="65" s="1"/>
  <c r="AJ55" i="63"/>
  <c r="E55" i="63"/>
  <c r="U55" i="63"/>
  <c r="AK55" i="63"/>
  <c r="F55" i="63"/>
  <c r="AL55" i="63"/>
  <c r="G55" i="63"/>
  <c r="W55" i="63"/>
  <c r="AM55" i="63"/>
  <c r="AG55" i="63"/>
  <c r="AN55" i="63"/>
  <c r="AO55" i="63"/>
  <c r="AP55" i="63"/>
  <c r="AW55" i="63"/>
  <c r="H55" i="63"/>
  <c r="I55" i="63"/>
  <c r="J55" i="63"/>
  <c r="X55" i="63"/>
  <c r="Y55" i="63"/>
  <c r="AE55" i="65" s="1"/>
  <c r="Z55" i="63"/>
  <c r="A56" i="63"/>
  <c r="AC55" i="65" l="1"/>
  <c r="AD55" i="65"/>
  <c r="T55" i="65"/>
  <c r="D55" i="65"/>
  <c r="G55" i="65"/>
  <c r="W55" i="65"/>
  <c r="I55" i="65"/>
  <c r="O55" i="65"/>
  <c r="P55" i="65"/>
  <c r="I56" i="63"/>
  <c r="Y56" i="63"/>
  <c r="AO56" i="63"/>
  <c r="J56" i="63"/>
  <c r="Z56" i="63"/>
  <c r="AP56" i="63"/>
  <c r="AQ56" i="63"/>
  <c r="L56" i="63"/>
  <c r="AR56" i="63"/>
  <c r="M56" i="63"/>
  <c r="AC56" i="63"/>
  <c r="AS56" i="63"/>
  <c r="AD56" i="63"/>
  <c r="AT56" i="63"/>
  <c r="P56" i="63"/>
  <c r="AF56" i="63"/>
  <c r="AV56" i="63"/>
  <c r="Q56" i="63"/>
  <c r="AG56" i="63"/>
  <c r="AW56" i="63"/>
  <c r="B56" i="63"/>
  <c r="R56" i="63"/>
  <c r="AH56" i="63"/>
  <c r="AX56" i="63"/>
  <c r="C56" i="63"/>
  <c r="AI56" i="63"/>
  <c r="AY56" i="63"/>
  <c r="D56" i="63"/>
  <c r="AJ56" i="63"/>
  <c r="E56" i="63"/>
  <c r="U56" i="63"/>
  <c r="AK56" i="63"/>
  <c r="AU56" i="63"/>
  <c r="F56" i="63"/>
  <c r="G56" i="63"/>
  <c r="H56" i="63"/>
  <c r="G56" i="65" s="1"/>
  <c r="W56" i="63"/>
  <c r="X56" i="63"/>
  <c r="AE56" i="63"/>
  <c r="AL56" i="63"/>
  <c r="AM56" i="63"/>
  <c r="AN56" i="63"/>
  <c r="A57" i="63"/>
  <c r="T56" i="65" l="1"/>
  <c r="AD56" i="65"/>
  <c r="AE56" i="65"/>
  <c r="Z56" i="65"/>
  <c r="AB56" i="65"/>
  <c r="AC56" i="65"/>
  <c r="I56" i="65"/>
  <c r="K56" i="65"/>
  <c r="D56" i="65"/>
  <c r="P56" i="65"/>
  <c r="O56" i="65"/>
  <c r="V56" i="65"/>
  <c r="W56" i="65"/>
  <c r="G57" i="63"/>
  <c r="W57" i="63"/>
  <c r="AM57" i="63"/>
  <c r="H57" i="63"/>
  <c r="X57" i="63"/>
  <c r="AN57" i="63"/>
  <c r="I57" i="63"/>
  <c r="Y57" i="63"/>
  <c r="AE57" i="65" s="1"/>
  <c r="AO57" i="63"/>
  <c r="J57" i="63"/>
  <c r="Z57" i="63"/>
  <c r="AP57" i="63"/>
  <c r="K57" i="63"/>
  <c r="AQ57" i="63"/>
  <c r="L57" i="63"/>
  <c r="AR57" i="63"/>
  <c r="N57" i="63"/>
  <c r="AD57" i="63"/>
  <c r="AT57" i="63"/>
  <c r="AE57" i="63"/>
  <c r="AU57" i="63"/>
  <c r="P57" i="63"/>
  <c r="AF57" i="63"/>
  <c r="AV57" i="63"/>
  <c r="Q57" i="63"/>
  <c r="Z57" i="65" s="1"/>
  <c r="AG57" i="63"/>
  <c r="AW57" i="63"/>
  <c r="B57" i="63"/>
  <c r="R57" i="63"/>
  <c r="AH57" i="63"/>
  <c r="AX57" i="63"/>
  <c r="C57" i="63"/>
  <c r="S57" i="63"/>
  <c r="AI57" i="63"/>
  <c r="AY57" i="63"/>
  <c r="D57" i="63"/>
  <c r="E57" i="63"/>
  <c r="F57" i="63"/>
  <c r="M57" i="63"/>
  <c r="U57" i="63"/>
  <c r="V57" i="63"/>
  <c r="AJ57" i="63"/>
  <c r="AK57" i="63"/>
  <c r="AL57" i="63"/>
  <c r="AS57" i="63"/>
  <c r="AC57" i="63"/>
  <c r="A58" i="63"/>
  <c r="AB57" i="65" l="1"/>
  <c r="AD57" i="65"/>
  <c r="T57" i="65"/>
  <c r="AC57" i="65"/>
  <c r="P57" i="65"/>
  <c r="J57" i="65"/>
  <c r="K57" i="65"/>
  <c r="D57" i="65"/>
  <c r="G57" i="65"/>
  <c r="V57" i="65"/>
  <c r="O57" i="65"/>
  <c r="W57" i="65"/>
  <c r="I57" i="65"/>
  <c r="E58" i="63"/>
  <c r="U58" i="63"/>
  <c r="AK58" i="63"/>
  <c r="F58" i="63"/>
  <c r="V58" i="63"/>
  <c r="D58" i="65" s="1"/>
  <c r="AL58" i="63"/>
  <c r="G58" i="63"/>
  <c r="W58" i="63"/>
  <c r="AM58" i="63"/>
  <c r="H58" i="63"/>
  <c r="G58" i="65" s="1"/>
  <c r="X58" i="63"/>
  <c r="AN58" i="63"/>
  <c r="I58" i="63"/>
  <c r="Y58" i="63"/>
  <c r="AO58" i="63"/>
  <c r="J58" i="63"/>
  <c r="Z58" i="63"/>
  <c r="AP58" i="63"/>
  <c r="L58" i="63"/>
  <c r="AR58" i="63"/>
  <c r="M58" i="63"/>
  <c r="AC58" i="63"/>
  <c r="AS58" i="63"/>
  <c r="N58" i="63"/>
  <c r="AD58" i="63"/>
  <c r="AT58" i="63"/>
  <c r="O58" i="63"/>
  <c r="AE58" i="63"/>
  <c r="AU58" i="63"/>
  <c r="P58" i="63"/>
  <c r="AF58" i="63"/>
  <c r="AV58" i="63"/>
  <c r="Q58" i="63"/>
  <c r="AG58" i="63"/>
  <c r="AW58" i="63"/>
  <c r="K58" i="63"/>
  <c r="R58" i="63"/>
  <c r="S58" i="63"/>
  <c r="T58" i="63"/>
  <c r="AH58" i="63"/>
  <c r="AI58" i="63"/>
  <c r="AJ58" i="63"/>
  <c r="AX58" i="63"/>
  <c r="AY58" i="63"/>
  <c r="B58" i="63"/>
  <c r="C58" i="63"/>
  <c r="D58" i="63"/>
  <c r="AQ58" i="63"/>
  <c r="Y57" i="65"/>
  <c r="A59" i="63"/>
  <c r="T58" i="65" l="1"/>
  <c r="P58" i="65"/>
  <c r="AD58" i="65"/>
  <c r="AE58" i="65"/>
  <c r="O58" i="65"/>
  <c r="AC58" i="65"/>
  <c r="J58" i="65"/>
  <c r="K58" i="65"/>
  <c r="Z58" i="65"/>
  <c r="AA58" i="65"/>
  <c r="AB58" i="65"/>
  <c r="W58" i="65"/>
  <c r="V58" i="65"/>
  <c r="I58" i="65"/>
  <c r="S59" i="63"/>
  <c r="AI59" i="63"/>
  <c r="AY59" i="63"/>
  <c r="T59" i="63"/>
  <c r="AJ59" i="63"/>
  <c r="U59" i="63"/>
  <c r="AK59" i="63"/>
  <c r="V59" i="63"/>
  <c r="AL59" i="63"/>
  <c r="W59" i="63"/>
  <c r="AM59" i="63"/>
  <c r="H59" i="63"/>
  <c r="AN59" i="63"/>
  <c r="J59" i="63"/>
  <c r="Z59" i="63"/>
  <c r="AP59" i="63"/>
  <c r="K59" i="63"/>
  <c r="AQ59" i="63"/>
  <c r="L59" i="63"/>
  <c r="AR59" i="63"/>
  <c r="M59" i="63"/>
  <c r="AC59" i="63"/>
  <c r="AS59" i="63"/>
  <c r="N59" i="63"/>
  <c r="AD59" i="63"/>
  <c r="AT59" i="63"/>
  <c r="O59" i="63"/>
  <c r="AE59" i="63"/>
  <c r="AU59" i="63"/>
  <c r="AF59" i="63"/>
  <c r="AG59" i="63"/>
  <c r="AH59" i="63"/>
  <c r="AO59" i="63"/>
  <c r="AV59" i="63"/>
  <c r="AW59" i="63"/>
  <c r="AX59" i="63"/>
  <c r="I59" i="63"/>
  <c r="P59" i="63"/>
  <c r="Y58" i="65"/>
  <c r="A60" i="63"/>
  <c r="J59" i="65" l="1"/>
  <c r="AC59" i="65"/>
  <c r="D59" i="65"/>
  <c r="K59" i="65"/>
  <c r="Z59" i="65"/>
  <c r="G59" i="65"/>
  <c r="I59" i="65"/>
  <c r="P59" i="65"/>
  <c r="V59" i="65"/>
  <c r="W59" i="65"/>
  <c r="O59" i="65"/>
  <c r="AA59" i="65"/>
  <c r="AG60" i="63"/>
  <c r="AW60" i="63"/>
  <c r="AH60" i="63"/>
  <c r="AX60" i="63"/>
  <c r="AI60" i="63"/>
  <c r="AY60" i="63"/>
  <c r="T60" i="63"/>
  <c r="AJ60" i="63"/>
  <c r="U60" i="63"/>
  <c r="AK60" i="63"/>
  <c r="V60" i="63"/>
  <c r="D60" i="65" s="1"/>
  <c r="AL60" i="63"/>
  <c r="H60" i="63"/>
  <c r="AN60" i="63"/>
  <c r="I60" i="63"/>
  <c r="AO60" i="63"/>
  <c r="J60" i="63"/>
  <c r="Z60" i="63"/>
  <c r="AP60" i="63"/>
  <c r="AQ60" i="63"/>
  <c r="L60" i="63"/>
  <c r="AR60" i="63"/>
  <c r="M60" i="63"/>
  <c r="AC60" i="63"/>
  <c r="AS60" i="63"/>
  <c r="AM60" i="63"/>
  <c r="AT60" i="63"/>
  <c r="AU60" i="63"/>
  <c r="AV60" i="63"/>
  <c r="N60" i="63"/>
  <c r="O60" i="63"/>
  <c r="P60" i="63"/>
  <c r="W60" i="63"/>
  <c r="AD60" i="63"/>
  <c r="AE60" i="63"/>
  <c r="AF60" i="63"/>
  <c r="Y59" i="65"/>
  <c r="A61" i="63"/>
  <c r="AC60" i="65" l="1"/>
  <c r="J60" i="65"/>
  <c r="K60" i="65"/>
  <c r="O60" i="65"/>
  <c r="AA60" i="65"/>
  <c r="I60" i="65"/>
  <c r="W60" i="65"/>
  <c r="P60" i="65"/>
  <c r="G60" i="65"/>
  <c r="V60" i="65"/>
  <c r="O61" i="63"/>
  <c r="AE61" i="63"/>
  <c r="AU61" i="63"/>
  <c r="P61" i="63"/>
  <c r="AF61" i="63"/>
  <c r="AV61" i="63"/>
  <c r="AG61" i="63"/>
  <c r="AW61" i="63"/>
  <c r="B61" i="63"/>
  <c r="AH61" i="63"/>
  <c r="AX61" i="63"/>
  <c r="C61" i="63"/>
  <c r="AI61" i="63"/>
  <c r="AY61" i="63"/>
  <c r="D61" i="63"/>
  <c r="T61" i="63"/>
  <c r="AJ61" i="63"/>
  <c r="F61" i="63"/>
  <c r="V61" i="63"/>
  <c r="D61" i="65" s="1"/>
  <c r="AL61" i="63"/>
  <c r="G61" i="63"/>
  <c r="W61" i="63"/>
  <c r="AM61" i="63"/>
  <c r="H61" i="63"/>
  <c r="X61" i="63"/>
  <c r="AN61" i="63"/>
  <c r="I61" i="63"/>
  <c r="Y61" i="63"/>
  <c r="AE61" i="65" s="1"/>
  <c r="AO61" i="63"/>
  <c r="J61" i="63"/>
  <c r="Z61" i="63"/>
  <c r="P61" i="65" s="1"/>
  <c r="AP61" i="63"/>
  <c r="AQ61" i="63"/>
  <c r="E61" i="63"/>
  <c r="L61" i="63"/>
  <c r="M61" i="63"/>
  <c r="N61" i="63"/>
  <c r="AC61" i="63"/>
  <c r="AD61" i="63"/>
  <c r="AK61" i="63"/>
  <c r="U61" i="63"/>
  <c r="AR61" i="63"/>
  <c r="AS61" i="63"/>
  <c r="AT61" i="63"/>
  <c r="A62" i="63"/>
  <c r="T61" i="65" l="1"/>
  <c r="Z61" i="65"/>
  <c r="AC61" i="65"/>
  <c r="AD61" i="65"/>
  <c r="J61" i="65"/>
  <c r="I61" i="65"/>
  <c r="K61" i="65"/>
  <c r="O61" i="65"/>
  <c r="AA61" i="65"/>
  <c r="V61" i="65"/>
  <c r="W61" i="65"/>
  <c r="G61" i="65"/>
  <c r="M62" i="63"/>
  <c r="AC62" i="63"/>
  <c r="AS62" i="63"/>
  <c r="N62" i="63"/>
  <c r="AD62" i="63"/>
  <c r="AT62" i="63"/>
  <c r="O62" i="63"/>
  <c r="AE62" i="63"/>
  <c r="AU62" i="63"/>
  <c r="AF62" i="63"/>
  <c r="AV62" i="63"/>
  <c r="AG62" i="63"/>
  <c r="AW62" i="63"/>
  <c r="B62" i="63"/>
  <c r="AH62" i="63"/>
  <c r="AX62" i="63"/>
  <c r="D62" i="63"/>
  <c r="T62" i="63"/>
  <c r="AJ62" i="63"/>
  <c r="E62" i="63"/>
  <c r="U62" i="63"/>
  <c r="AK62" i="63"/>
  <c r="F62" i="63"/>
  <c r="V62" i="63"/>
  <c r="AL62" i="63"/>
  <c r="G62" i="63"/>
  <c r="W62" i="63"/>
  <c r="AM62" i="63"/>
  <c r="H62" i="63"/>
  <c r="X62" i="63"/>
  <c r="AN62" i="63"/>
  <c r="I62" i="63"/>
  <c r="Y62" i="63"/>
  <c r="AE62" i="65" s="1"/>
  <c r="AO62" i="63"/>
  <c r="C62" i="63"/>
  <c r="J62" i="63"/>
  <c r="L62" i="63"/>
  <c r="Z62" i="63"/>
  <c r="AP62" i="63"/>
  <c r="AQ62" i="63"/>
  <c r="AR62" i="63"/>
  <c r="AY62" i="63"/>
  <c r="AI62" i="63"/>
  <c r="A63" i="63"/>
  <c r="J62" i="65" l="1"/>
  <c r="P62" i="65"/>
  <c r="AC62" i="65"/>
  <c r="AD62" i="65"/>
  <c r="T62" i="65"/>
  <c r="D62" i="65"/>
  <c r="I62" i="65"/>
  <c r="K62" i="65"/>
  <c r="Z62" i="65"/>
  <c r="G62" i="65"/>
  <c r="W62" i="65"/>
  <c r="O62" i="65"/>
  <c r="AA62" i="65"/>
  <c r="V62" i="65"/>
  <c r="AQ63" i="63"/>
  <c r="L63" i="63"/>
  <c r="K63" i="65" s="1"/>
  <c r="AR63" i="63"/>
  <c r="M63" i="63"/>
  <c r="AC63" i="63"/>
  <c r="AS63" i="63"/>
  <c r="N63" i="63"/>
  <c r="AD63" i="63"/>
  <c r="AT63" i="63"/>
  <c r="O63" i="63"/>
  <c r="AE63" i="63"/>
  <c r="AU63" i="63"/>
  <c r="P63" i="63"/>
  <c r="AF63" i="63"/>
  <c r="AV63" i="63"/>
  <c r="B63" i="63"/>
  <c r="R63" i="63"/>
  <c r="AH63" i="63"/>
  <c r="AX63" i="63"/>
  <c r="C63" i="63"/>
  <c r="AI63" i="63"/>
  <c r="AY63" i="63"/>
  <c r="D63" i="63"/>
  <c r="T63" i="63"/>
  <c r="AJ63" i="63"/>
  <c r="E63" i="63"/>
  <c r="U63" i="63"/>
  <c r="AK63" i="63"/>
  <c r="F63" i="63"/>
  <c r="V63" i="63"/>
  <c r="AL63" i="63"/>
  <c r="G63" i="63"/>
  <c r="W63" i="63"/>
  <c r="AM63" i="63"/>
  <c r="Q63" i="63"/>
  <c r="X63" i="63"/>
  <c r="Y63" i="63"/>
  <c r="AE63" i="65" s="1"/>
  <c r="Z63" i="63"/>
  <c r="AG63" i="63"/>
  <c r="AN63" i="63"/>
  <c r="AO63" i="63"/>
  <c r="AP63" i="63"/>
  <c r="H63" i="63"/>
  <c r="I63" i="63"/>
  <c r="J63" i="63"/>
  <c r="AW63" i="63"/>
  <c r="A64" i="63"/>
  <c r="AB63" i="65" l="1"/>
  <c r="AD63" i="65"/>
  <c r="T63" i="65"/>
  <c r="J63" i="65"/>
  <c r="AC63" i="65"/>
  <c r="Z63" i="65"/>
  <c r="D63" i="65"/>
  <c r="W63" i="65"/>
  <c r="V63" i="65"/>
  <c r="I63" i="65"/>
  <c r="G63" i="65"/>
  <c r="O63" i="65"/>
  <c r="AA63" i="65"/>
  <c r="P63" i="65"/>
  <c r="I64" i="63"/>
  <c r="Y64" i="63"/>
  <c r="AO64" i="63"/>
  <c r="J64" i="63"/>
  <c r="Z64" i="63"/>
  <c r="AP64" i="63"/>
  <c r="K64" i="63"/>
  <c r="AQ64" i="63"/>
  <c r="L64" i="63"/>
  <c r="AR64" i="63"/>
  <c r="M64" i="63"/>
  <c r="AC64" i="63"/>
  <c r="AS64" i="63"/>
  <c r="N64" i="63"/>
  <c r="AD64" i="63"/>
  <c r="AT64" i="63"/>
  <c r="P64" i="63"/>
  <c r="AF64" i="63"/>
  <c r="AV64" i="63"/>
  <c r="Q64" i="63"/>
  <c r="AG64" i="63"/>
  <c r="AW64" i="63"/>
  <c r="B64" i="63"/>
  <c r="R64" i="63"/>
  <c r="AH64" i="63"/>
  <c r="AX64" i="63"/>
  <c r="C64" i="63"/>
  <c r="S64" i="63"/>
  <c r="AI64" i="63"/>
  <c r="AY64" i="63"/>
  <c r="D64" i="63"/>
  <c r="T64" i="63"/>
  <c r="AJ64" i="63"/>
  <c r="E64" i="63"/>
  <c r="U64" i="63"/>
  <c r="AK64" i="63"/>
  <c r="AE64" i="63"/>
  <c r="AL64" i="63"/>
  <c r="AM64" i="63"/>
  <c r="AN64" i="63"/>
  <c r="AU64" i="63"/>
  <c r="F64" i="63"/>
  <c r="G64" i="63"/>
  <c r="H64" i="63"/>
  <c r="O64" i="63"/>
  <c r="V64" i="63"/>
  <c r="D64" i="65" s="1"/>
  <c r="W64" i="63"/>
  <c r="X64" i="63"/>
  <c r="A65" i="63"/>
  <c r="Z64" i="65" l="1"/>
  <c r="AD64" i="65"/>
  <c r="AE64" i="65"/>
  <c r="AB64" i="65"/>
  <c r="AC64" i="65"/>
  <c r="T64" i="65"/>
  <c r="J64" i="65"/>
  <c r="I64" i="65"/>
  <c r="K64" i="65"/>
  <c r="V64" i="65"/>
  <c r="G64" i="65"/>
  <c r="W64" i="65"/>
  <c r="P64" i="65"/>
  <c r="O64" i="65"/>
  <c r="AA64" i="65"/>
  <c r="W65" i="63"/>
  <c r="AM65" i="63"/>
  <c r="H65" i="63"/>
  <c r="AN65" i="63"/>
  <c r="I65" i="63"/>
  <c r="AO65" i="63"/>
  <c r="J65" i="63"/>
  <c r="Z65" i="63"/>
  <c r="AP65" i="63"/>
  <c r="K65" i="63"/>
  <c r="AQ65" i="63"/>
  <c r="L65" i="63"/>
  <c r="AR65" i="63"/>
  <c r="N65" i="63"/>
  <c r="AD65" i="63"/>
  <c r="AT65" i="63"/>
  <c r="O65" i="63"/>
  <c r="AE65" i="63"/>
  <c r="AU65" i="63"/>
  <c r="AF65" i="63"/>
  <c r="AV65" i="63"/>
  <c r="Q65" i="63"/>
  <c r="Z65" i="65" s="1"/>
  <c r="AG65" i="63"/>
  <c r="AW65" i="63"/>
  <c r="R65" i="63"/>
  <c r="AH65" i="63"/>
  <c r="AX65" i="63"/>
  <c r="S65" i="63"/>
  <c r="AI65" i="63"/>
  <c r="AY65" i="63"/>
  <c r="AS65" i="63"/>
  <c r="T65" i="63"/>
  <c r="U65" i="63"/>
  <c r="V65" i="63"/>
  <c r="AC65" i="63"/>
  <c r="AJ65" i="63"/>
  <c r="AK65" i="63"/>
  <c r="AL65" i="63"/>
  <c r="M65" i="63"/>
  <c r="Y64" i="65"/>
  <c r="A66" i="63"/>
  <c r="AB65" i="65" l="1"/>
  <c r="AC65" i="65"/>
  <c r="K65" i="65"/>
  <c r="J65" i="65"/>
  <c r="D65" i="65"/>
  <c r="V65" i="65"/>
  <c r="P65" i="65"/>
  <c r="W65" i="65"/>
  <c r="G65" i="65"/>
  <c r="I65" i="65"/>
  <c r="O65" i="65"/>
  <c r="AA65" i="65"/>
  <c r="E66" i="63"/>
  <c r="U66" i="63"/>
  <c r="AK66" i="63"/>
  <c r="F66" i="63"/>
  <c r="V66" i="63"/>
  <c r="D66" i="65" s="1"/>
  <c r="AL66" i="63"/>
  <c r="G66" i="63"/>
  <c r="AM66" i="63"/>
  <c r="X66" i="63"/>
  <c r="AN66" i="63"/>
  <c r="I66" i="63"/>
  <c r="Y66" i="63"/>
  <c r="AE66" i="65" s="1"/>
  <c r="AO66" i="63"/>
  <c r="J66" i="63"/>
  <c r="Z66" i="63"/>
  <c r="AP66" i="63"/>
  <c r="L66" i="63"/>
  <c r="AR66" i="63"/>
  <c r="M66" i="63"/>
  <c r="AC66" i="63"/>
  <c r="AS66" i="63"/>
  <c r="N66" i="63"/>
  <c r="AD66" i="63"/>
  <c r="AT66" i="63"/>
  <c r="O66" i="63"/>
  <c r="AE66" i="63"/>
  <c r="AU66" i="63"/>
  <c r="AF66" i="63"/>
  <c r="AV66" i="63"/>
  <c r="AG66" i="63"/>
  <c r="AW66" i="63"/>
  <c r="B66" i="63"/>
  <c r="C66" i="63"/>
  <c r="D66" i="63"/>
  <c r="K66" i="63"/>
  <c r="S66" i="63"/>
  <c r="T66" i="63"/>
  <c r="AH66" i="63"/>
  <c r="AI66" i="63"/>
  <c r="AJ66" i="63"/>
  <c r="AQ66" i="63"/>
  <c r="AX66" i="63"/>
  <c r="AY66" i="63"/>
  <c r="O66" i="65"/>
  <c r="Y65" i="65"/>
  <c r="A67" i="63"/>
  <c r="AD66" i="65" l="1"/>
  <c r="AC66" i="65"/>
  <c r="Y66" i="65"/>
  <c r="T66" i="65"/>
  <c r="K66" i="65"/>
  <c r="AA66" i="65"/>
  <c r="V66" i="65"/>
  <c r="G66" i="65"/>
  <c r="P66" i="65"/>
  <c r="W66" i="65"/>
  <c r="I66" i="65"/>
  <c r="C67" i="63"/>
  <c r="AI67" i="63"/>
  <c r="AY67" i="63"/>
  <c r="D67" i="63"/>
  <c r="T67" i="63"/>
  <c r="AJ67" i="63"/>
  <c r="E67" i="63"/>
  <c r="AK67" i="63"/>
  <c r="F67" i="63"/>
  <c r="V67" i="63"/>
  <c r="AL67" i="63"/>
  <c r="G67" i="63"/>
  <c r="W67" i="63"/>
  <c r="AM67" i="63"/>
  <c r="H67" i="63"/>
  <c r="X67" i="63"/>
  <c r="AN67" i="63"/>
  <c r="J67" i="63"/>
  <c r="Z67" i="63"/>
  <c r="AP67" i="63"/>
  <c r="AQ67" i="63"/>
  <c r="L67" i="63"/>
  <c r="AR67" i="63"/>
  <c r="M67" i="63"/>
  <c r="AC67" i="63"/>
  <c r="AS67" i="63"/>
  <c r="N67" i="63"/>
  <c r="AD67" i="63"/>
  <c r="AT67" i="63"/>
  <c r="O67" i="63"/>
  <c r="AE67" i="63"/>
  <c r="AU67" i="63"/>
  <c r="P67" i="63"/>
  <c r="Y67" i="63"/>
  <c r="AE67" i="65" s="1"/>
  <c r="AF67" i="63"/>
  <c r="AG67" i="63"/>
  <c r="AH67" i="63"/>
  <c r="AV67" i="63"/>
  <c r="AW67" i="63"/>
  <c r="AX67" i="63"/>
  <c r="AO67" i="63"/>
  <c r="B67" i="63"/>
  <c r="A68" i="63"/>
  <c r="P67" i="65" l="1"/>
  <c r="T67" i="65"/>
  <c r="AD67" i="65"/>
  <c r="Z67" i="65"/>
  <c r="J67" i="65"/>
  <c r="D67" i="65"/>
  <c r="K67" i="65"/>
  <c r="W67" i="65"/>
  <c r="I67" i="65"/>
  <c r="V67" i="65"/>
  <c r="O67" i="65"/>
  <c r="AA67" i="65"/>
  <c r="G67" i="65"/>
  <c r="AG68" i="63"/>
  <c r="AW68" i="63"/>
  <c r="AH68" i="63"/>
  <c r="AX68" i="63"/>
  <c r="AI68" i="63"/>
  <c r="AY68" i="63"/>
  <c r="T68" i="63"/>
  <c r="AJ68" i="63"/>
  <c r="AK68" i="63"/>
  <c r="V68" i="63"/>
  <c r="D68" i="65" s="1"/>
  <c r="AL68" i="63"/>
  <c r="H68" i="63"/>
  <c r="AN68" i="63"/>
  <c r="I68" i="63"/>
  <c r="AO68" i="63"/>
  <c r="J68" i="63"/>
  <c r="Z68" i="63"/>
  <c r="L68" i="63"/>
  <c r="M68" i="63"/>
  <c r="AC68" i="63"/>
  <c r="W68" i="63"/>
  <c r="AD68" i="63"/>
  <c r="AE68" i="63"/>
  <c r="AF68" i="63"/>
  <c r="AM68" i="63"/>
  <c r="AP68" i="63"/>
  <c r="AQ68" i="63"/>
  <c r="AR68" i="63"/>
  <c r="AT68" i="63"/>
  <c r="AU68" i="63"/>
  <c r="AV68" i="63"/>
  <c r="N68" i="63"/>
  <c r="O68" i="63"/>
  <c r="P68" i="63"/>
  <c r="AS68" i="63"/>
  <c r="A69" i="63"/>
  <c r="J68" i="65" l="1"/>
  <c r="K68" i="65"/>
  <c r="W68" i="65"/>
  <c r="G68" i="65"/>
  <c r="O68" i="65"/>
  <c r="AA68" i="65"/>
  <c r="I68" i="65"/>
  <c r="P68" i="65"/>
  <c r="V68" i="65"/>
  <c r="O69" i="63"/>
  <c r="AE69" i="63"/>
  <c r="AU69" i="63"/>
  <c r="P69" i="63"/>
  <c r="AF69" i="63"/>
  <c r="AV69" i="63"/>
  <c r="AG69" i="63"/>
  <c r="AW69" i="63"/>
  <c r="B69" i="63"/>
  <c r="AH69" i="63"/>
  <c r="AX69" i="63"/>
  <c r="C69" i="63"/>
  <c r="AI69" i="63"/>
  <c r="AY69" i="63"/>
  <c r="F69" i="63"/>
  <c r="V69" i="63"/>
  <c r="AL69" i="63"/>
  <c r="G69" i="63"/>
  <c r="AM69" i="63"/>
  <c r="J69" i="63"/>
  <c r="AN69" i="63"/>
  <c r="AO69" i="63"/>
  <c r="L69" i="63"/>
  <c r="AP69" i="63"/>
  <c r="M69" i="63"/>
  <c r="AQ69" i="63"/>
  <c r="N69" i="63"/>
  <c r="AR69" i="63"/>
  <c r="T69" i="63"/>
  <c r="AS69" i="63"/>
  <c r="U69" i="63"/>
  <c r="AT69" i="63"/>
  <c r="X69" i="63"/>
  <c r="Z69" i="63"/>
  <c r="P69" i="65" s="1"/>
  <c r="D69" i="63"/>
  <c r="AC69" i="63"/>
  <c r="E69" i="63"/>
  <c r="I69" i="63"/>
  <c r="AD69" i="63"/>
  <c r="AJ69" i="63"/>
  <c r="AK69" i="63"/>
  <c r="Y69" i="63"/>
  <c r="AE69" i="65" s="1"/>
  <c r="A70" i="63"/>
  <c r="Z69" i="65" l="1"/>
  <c r="AC69" i="65"/>
  <c r="AD69" i="65"/>
  <c r="T69" i="65"/>
  <c r="D69" i="65"/>
  <c r="K69" i="65"/>
  <c r="AA69" i="65"/>
  <c r="W69" i="65"/>
  <c r="I69" i="65"/>
  <c r="G69" i="65"/>
  <c r="V69" i="65"/>
  <c r="AC70" i="63"/>
  <c r="AS70" i="63"/>
  <c r="N70" i="63"/>
  <c r="AD70" i="63"/>
  <c r="AT70" i="63"/>
  <c r="O70" i="63"/>
  <c r="AE70" i="63"/>
  <c r="AU70" i="63"/>
  <c r="P70" i="63"/>
  <c r="AF70" i="63"/>
  <c r="AV70" i="63"/>
  <c r="Q70" i="63"/>
  <c r="AG70" i="63"/>
  <c r="AW70" i="63"/>
  <c r="D70" i="63"/>
  <c r="T70" i="63"/>
  <c r="AJ70" i="63"/>
  <c r="E70" i="63"/>
  <c r="U70" i="63"/>
  <c r="AK70" i="63"/>
  <c r="R70" i="63"/>
  <c r="AQ70" i="63"/>
  <c r="AR70" i="63"/>
  <c r="V70" i="63"/>
  <c r="AX70" i="63"/>
  <c r="AY70" i="63"/>
  <c r="X70" i="63"/>
  <c r="Y70" i="63"/>
  <c r="Z70" i="63"/>
  <c r="B70" i="63"/>
  <c r="F70" i="63"/>
  <c r="AH70" i="63"/>
  <c r="G70" i="63"/>
  <c r="AI70" i="63"/>
  <c r="AL70" i="63"/>
  <c r="AM70" i="63"/>
  <c r="AN70" i="63"/>
  <c r="AO70" i="63"/>
  <c r="AP70" i="63"/>
  <c r="C70" i="63"/>
  <c r="J70" i="63"/>
  <c r="L70" i="63"/>
  <c r="A71" i="63"/>
  <c r="T70" i="65" l="1"/>
  <c r="AD70" i="65"/>
  <c r="AE70" i="65"/>
  <c r="AB70" i="65"/>
  <c r="AC70" i="65"/>
  <c r="K70" i="65"/>
  <c r="D70" i="65"/>
  <c r="Z70" i="65"/>
  <c r="G70" i="65"/>
  <c r="P70" i="65"/>
  <c r="O70" i="65"/>
  <c r="AA70" i="65"/>
  <c r="V70" i="65"/>
  <c r="I70" i="65"/>
  <c r="W70" i="65"/>
  <c r="K71" i="63"/>
  <c r="AQ71" i="63"/>
  <c r="L71" i="63"/>
  <c r="K71" i="65" s="1"/>
  <c r="AR71" i="63"/>
  <c r="M71" i="63"/>
  <c r="AC71" i="63"/>
  <c r="AS71" i="63"/>
  <c r="N71" i="63"/>
  <c r="AD71" i="63"/>
  <c r="AT71" i="63"/>
  <c r="O71" i="63"/>
  <c r="AE71" i="63"/>
  <c r="AU71" i="63"/>
  <c r="B71" i="63"/>
  <c r="R71" i="63"/>
  <c r="AH71" i="63"/>
  <c r="AX71" i="63"/>
  <c r="C71" i="63"/>
  <c r="S71" i="63"/>
  <c r="AI71" i="63"/>
  <c r="AY71" i="63"/>
  <c r="W71" i="63"/>
  <c r="X71" i="63"/>
  <c r="Y71" i="63"/>
  <c r="AE71" i="65" s="1"/>
  <c r="Z71" i="63"/>
  <c r="D71" i="63"/>
  <c r="AF71" i="63"/>
  <c r="E71" i="63"/>
  <c r="AG71" i="63"/>
  <c r="F71" i="63"/>
  <c r="AJ71" i="63"/>
  <c r="G71" i="63"/>
  <c r="AK71" i="63"/>
  <c r="AM71" i="63"/>
  <c r="J71" i="63"/>
  <c r="AN71" i="63"/>
  <c r="P71" i="63"/>
  <c r="AO71" i="63"/>
  <c r="Q71" i="63"/>
  <c r="AP71" i="63"/>
  <c r="H71" i="63"/>
  <c r="T71" i="63"/>
  <c r="U71" i="63"/>
  <c r="V71" i="63"/>
  <c r="D71" i="65" s="1"/>
  <c r="AV71" i="63"/>
  <c r="AW71" i="63"/>
  <c r="AL71" i="63"/>
  <c r="A72" i="63"/>
  <c r="AB71" i="65" l="1"/>
  <c r="AD71" i="65"/>
  <c r="T71" i="65"/>
  <c r="AC71" i="65"/>
  <c r="J71" i="65"/>
  <c r="Z71" i="65"/>
  <c r="W71" i="65"/>
  <c r="I71" i="65"/>
  <c r="P71" i="65"/>
  <c r="O71" i="65"/>
  <c r="AA71" i="65"/>
  <c r="V71" i="65"/>
  <c r="G71" i="65"/>
  <c r="I72" i="63"/>
  <c r="Y72" i="63"/>
  <c r="AE72" i="65" s="1"/>
  <c r="AO72" i="63"/>
  <c r="J72" i="63"/>
  <c r="Z72" i="63"/>
  <c r="AP72" i="63"/>
  <c r="K72" i="63"/>
  <c r="AQ72" i="63"/>
  <c r="L72" i="63"/>
  <c r="AR72" i="63"/>
  <c r="M72" i="63"/>
  <c r="AC72" i="63"/>
  <c r="AS72" i="63"/>
  <c r="P72" i="63"/>
  <c r="AF72" i="63"/>
  <c r="AV72" i="63"/>
  <c r="Q72" i="63"/>
  <c r="AG72" i="63"/>
  <c r="AW72" i="63"/>
  <c r="C72" i="63"/>
  <c r="AE72" i="63"/>
  <c r="D72" i="63"/>
  <c r="AH72" i="63"/>
  <c r="E72" i="63"/>
  <c r="AI72" i="63"/>
  <c r="F72" i="63"/>
  <c r="AJ72" i="63"/>
  <c r="G72" i="63"/>
  <c r="AK72" i="63"/>
  <c r="H72" i="63"/>
  <c r="AL72" i="63"/>
  <c r="N72" i="63"/>
  <c r="AM72" i="63"/>
  <c r="O72" i="63"/>
  <c r="AN72" i="63"/>
  <c r="S72" i="63"/>
  <c r="AU72" i="63"/>
  <c r="T72" i="63"/>
  <c r="AX72" i="63"/>
  <c r="U72" i="63"/>
  <c r="AY72" i="63"/>
  <c r="V72" i="63"/>
  <c r="AT72" i="63"/>
  <c r="B72" i="63"/>
  <c r="R72" i="63"/>
  <c r="W72" i="63"/>
  <c r="X72" i="63"/>
  <c r="AD72" i="63"/>
  <c r="Y71" i="65"/>
  <c r="A73" i="63"/>
  <c r="AC72" i="65" l="1"/>
  <c r="AD72" i="65"/>
  <c r="AB72" i="65"/>
  <c r="T72" i="65"/>
  <c r="P72" i="65"/>
  <c r="D72" i="65"/>
  <c r="J72" i="65"/>
  <c r="K72" i="65"/>
  <c r="I72" i="65"/>
  <c r="Z72" i="65"/>
  <c r="V72" i="65"/>
  <c r="G72" i="65"/>
  <c r="W72" i="65"/>
  <c r="O72" i="65"/>
  <c r="AA72" i="65"/>
  <c r="W73" i="63"/>
  <c r="AM73" i="63"/>
  <c r="H73" i="63"/>
  <c r="AN73" i="63"/>
  <c r="I73" i="63"/>
  <c r="AO73" i="63"/>
  <c r="J73" i="63"/>
  <c r="Z73" i="63"/>
  <c r="AP73" i="63"/>
  <c r="K73" i="63"/>
  <c r="AQ73" i="63"/>
  <c r="N73" i="63"/>
  <c r="AD73" i="63"/>
  <c r="AT73" i="63"/>
  <c r="O73" i="63"/>
  <c r="AE73" i="63"/>
  <c r="AU73" i="63"/>
  <c r="AJ73" i="63"/>
  <c r="L73" i="63"/>
  <c r="AK73" i="63"/>
  <c r="AL73" i="63"/>
  <c r="P73" i="63"/>
  <c r="AR73" i="63"/>
  <c r="AS73" i="63"/>
  <c r="AV73" i="63"/>
  <c r="S73" i="63"/>
  <c r="AW73" i="63"/>
  <c r="T73" i="63"/>
  <c r="AX73" i="63"/>
  <c r="V73" i="63"/>
  <c r="D73" i="65" s="1"/>
  <c r="AC73" i="63"/>
  <c r="AF73" i="63"/>
  <c r="U73" i="63"/>
  <c r="AG73" i="63"/>
  <c r="AH73" i="63"/>
  <c r="AI73" i="63"/>
  <c r="AY73" i="63"/>
  <c r="Y72" i="65"/>
  <c r="A74" i="63"/>
  <c r="AC73" i="65" l="1"/>
  <c r="J73" i="65"/>
  <c r="K73" i="65"/>
  <c r="Z73" i="65"/>
  <c r="V73" i="65"/>
  <c r="W73" i="65"/>
  <c r="G73" i="65"/>
  <c r="P73" i="65"/>
  <c r="I73" i="65"/>
  <c r="O73" i="65"/>
  <c r="AA73" i="65"/>
  <c r="U74" i="63"/>
  <c r="AK74" i="63"/>
  <c r="V74" i="63"/>
  <c r="D74" i="65" s="1"/>
  <c r="AL74" i="63"/>
  <c r="W74" i="63"/>
  <c r="AM74" i="63"/>
  <c r="H74" i="63"/>
  <c r="AN74" i="63"/>
  <c r="I74" i="63"/>
  <c r="AO74" i="63"/>
  <c r="L74" i="63"/>
  <c r="AR74" i="63"/>
  <c r="AC74" i="63"/>
  <c r="AS74" i="63"/>
  <c r="P74" i="63"/>
  <c r="AT74" i="63"/>
  <c r="AU74" i="63"/>
  <c r="AV74" i="63"/>
  <c r="AW74" i="63"/>
  <c r="T74" i="63"/>
  <c r="AX74" i="63"/>
  <c r="Z74" i="63"/>
  <c r="AY74" i="63"/>
  <c r="AD74" i="63"/>
  <c r="AF74" i="63"/>
  <c r="AG74" i="63"/>
  <c r="AH74" i="63"/>
  <c r="J74" i="63"/>
  <c r="AI74" i="63"/>
  <c r="N74" i="63"/>
  <c r="O74" i="63"/>
  <c r="AE74" i="63"/>
  <c r="AJ74" i="63"/>
  <c r="AP74" i="63"/>
  <c r="AQ74" i="63"/>
  <c r="Y73" i="65"/>
  <c r="A75" i="63"/>
  <c r="O74" i="65" l="1"/>
  <c r="AE74" i="65"/>
  <c r="AC74" i="65"/>
  <c r="K74" i="65"/>
  <c r="J74" i="65"/>
  <c r="Z74" i="65"/>
  <c r="AA74" i="65"/>
  <c r="G74" i="65"/>
  <c r="I74" i="65"/>
  <c r="P74" i="65"/>
  <c r="W74" i="65"/>
  <c r="C75" i="63"/>
  <c r="AI75" i="63"/>
  <c r="AY75" i="63"/>
  <c r="D75" i="63"/>
  <c r="AJ75" i="63"/>
  <c r="E75" i="63"/>
  <c r="U75" i="63"/>
  <c r="AK75" i="63"/>
  <c r="F75" i="63"/>
  <c r="V75" i="63"/>
  <c r="AL75" i="63"/>
  <c r="G75" i="63"/>
  <c r="W75" i="63"/>
  <c r="AM75" i="63"/>
  <c r="J75" i="63"/>
  <c r="Z75" i="63"/>
  <c r="AP75" i="63"/>
  <c r="AQ75" i="63"/>
  <c r="X75" i="63"/>
  <c r="AW75" i="63"/>
  <c r="Y75" i="63"/>
  <c r="AE75" i="65" s="1"/>
  <c r="AX75" i="63"/>
  <c r="AC75" i="63"/>
  <c r="AD75" i="63"/>
  <c r="AE75" i="63"/>
  <c r="B75" i="63"/>
  <c r="AF75" i="63"/>
  <c r="H75" i="63"/>
  <c r="AG75" i="63"/>
  <c r="L75" i="63"/>
  <c r="AN75" i="63"/>
  <c r="M75" i="63"/>
  <c r="AO75" i="63"/>
  <c r="N75" i="63"/>
  <c r="AR75" i="63"/>
  <c r="O75" i="63"/>
  <c r="AS75" i="63"/>
  <c r="I75" i="63"/>
  <c r="P75" i="63"/>
  <c r="AH75" i="63"/>
  <c r="AT75" i="63"/>
  <c r="AU75" i="63"/>
  <c r="AV75" i="63"/>
  <c r="A76" i="63"/>
  <c r="T75" i="65" l="1"/>
  <c r="P75" i="65"/>
  <c r="AC75" i="65"/>
  <c r="AD75" i="65"/>
  <c r="K75" i="65"/>
  <c r="D75" i="65"/>
  <c r="J75" i="65"/>
  <c r="W75" i="65"/>
  <c r="Z75" i="65"/>
  <c r="V75" i="65"/>
  <c r="I75" i="65"/>
  <c r="O75" i="65"/>
  <c r="G75" i="65"/>
  <c r="AG76" i="63"/>
  <c r="AW76" i="63"/>
  <c r="B76" i="63"/>
  <c r="AH76" i="63"/>
  <c r="AX76" i="63"/>
  <c r="C76" i="63"/>
  <c r="AI76" i="63"/>
  <c r="AY76" i="63"/>
  <c r="D76" i="63"/>
  <c r="AJ76" i="63"/>
  <c r="E76" i="63"/>
  <c r="U76" i="63"/>
  <c r="AK76" i="63"/>
  <c r="H76" i="63"/>
  <c r="X76" i="63"/>
  <c r="AN76" i="63"/>
  <c r="I76" i="63"/>
  <c r="Y76" i="63"/>
  <c r="AE76" i="65" s="1"/>
  <c r="AO76" i="63"/>
  <c r="AC76" i="63"/>
  <c r="AD76" i="63"/>
  <c r="F76" i="63"/>
  <c r="AE76" i="63"/>
  <c r="G76" i="63"/>
  <c r="AF76" i="63"/>
  <c r="J76" i="63"/>
  <c r="AL76" i="63"/>
  <c r="AM76" i="63"/>
  <c r="L76" i="63"/>
  <c r="AP76" i="63"/>
  <c r="M76" i="63"/>
  <c r="AQ76" i="63"/>
  <c r="O76" i="63"/>
  <c r="AS76" i="63"/>
  <c r="P76" i="63"/>
  <c r="AT76" i="63"/>
  <c r="V76" i="63"/>
  <c r="AU76" i="63"/>
  <c r="W76" i="63"/>
  <c r="AV76" i="63"/>
  <c r="Z76" i="63"/>
  <c r="AR76" i="63"/>
  <c r="N76" i="63"/>
  <c r="A77" i="63"/>
  <c r="AD76" i="65" l="1"/>
  <c r="T76" i="65"/>
  <c r="AC76" i="65"/>
  <c r="J76" i="65"/>
  <c r="D76" i="65"/>
  <c r="K76" i="65"/>
  <c r="W76" i="65"/>
  <c r="G76" i="65"/>
  <c r="I76" i="65"/>
  <c r="P76" i="65"/>
  <c r="O76" i="65"/>
  <c r="V76" i="65"/>
  <c r="O77" i="63"/>
  <c r="AE77" i="63"/>
  <c r="AU77" i="63"/>
  <c r="P77" i="63"/>
  <c r="AF77" i="63"/>
  <c r="AV77" i="63"/>
  <c r="Q77" i="63"/>
  <c r="AG77" i="63"/>
  <c r="AW77" i="63"/>
  <c r="B77" i="63"/>
  <c r="R77" i="63"/>
  <c r="AH77" i="63"/>
  <c r="AX77" i="63"/>
  <c r="C77" i="63"/>
  <c r="AI77" i="63"/>
  <c r="AY77" i="63"/>
  <c r="F77" i="63"/>
  <c r="V77" i="63"/>
  <c r="AL77" i="63"/>
  <c r="G77" i="63"/>
  <c r="W77" i="63"/>
  <c r="AM77" i="63"/>
  <c r="I77" i="63"/>
  <c r="AK77" i="63"/>
  <c r="AN77" i="63"/>
  <c r="AO77" i="63"/>
  <c r="AP77" i="63"/>
  <c r="M77" i="63"/>
  <c r="AQ77" i="63"/>
  <c r="N77" i="63"/>
  <c r="AR77" i="63"/>
  <c r="AS77" i="63"/>
  <c r="U77" i="63"/>
  <c r="AT77" i="63"/>
  <c r="Y77" i="63"/>
  <c r="AE77" i="65" s="1"/>
  <c r="Z77" i="63"/>
  <c r="X77" i="63"/>
  <c r="AC77" i="63"/>
  <c r="AD77" i="63"/>
  <c r="AJ77" i="63"/>
  <c r="D77" i="63"/>
  <c r="E77" i="63"/>
  <c r="H77" i="63"/>
  <c r="A78" i="63"/>
  <c r="T77" i="65" l="1"/>
  <c r="AB77" i="65"/>
  <c r="AC77" i="65"/>
  <c r="AD77" i="65"/>
  <c r="Z77" i="65"/>
  <c r="D77" i="65"/>
  <c r="K77" i="65"/>
  <c r="J77" i="65"/>
  <c r="P77" i="65"/>
  <c r="V77" i="65"/>
  <c r="G77" i="65"/>
  <c r="I77" i="65"/>
  <c r="O77" i="65"/>
  <c r="W77" i="65"/>
  <c r="M78" i="63"/>
  <c r="AC78" i="63"/>
  <c r="AS78" i="63"/>
  <c r="N78" i="63"/>
  <c r="O78" i="63"/>
  <c r="P78" i="63"/>
  <c r="Q78" i="63"/>
  <c r="AG78" i="63"/>
  <c r="D78" i="63"/>
  <c r="AJ78" i="63"/>
  <c r="E78" i="63"/>
  <c r="U78" i="63"/>
  <c r="L78" i="63"/>
  <c r="AL78" i="63"/>
  <c r="R78" i="63"/>
  <c r="AM78" i="63"/>
  <c r="S78" i="63"/>
  <c r="AN78" i="63"/>
  <c r="V78" i="63"/>
  <c r="D78" i="65" s="1"/>
  <c r="AO78" i="63"/>
  <c r="W78" i="63"/>
  <c r="AP78" i="63"/>
  <c r="X78" i="63"/>
  <c r="AQ78" i="63"/>
  <c r="Y78" i="63"/>
  <c r="AE78" i="65" s="1"/>
  <c r="AR78" i="63"/>
  <c r="Z78" i="63"/>
  <c r="AT78" i="63"/>
  <c r="C78" i="63"/>
  <c r="AV78" i="63"/>
  <c r="F78" i="63"/>
  <c r="AD78" i="63"/>
  <c r="AW78" i="63"/>
  <c r="G78" i="63"/>
  <c r="AE78" i="63"/>
  <c r="AX78" i="63"/>
  <c r="H78" i="63"/>
  <c r="G78" i="65" s="1"/>
  <c r="AF78" i="63"/>
  <c r="AY78" i="63"/>
  <c r="B78" i="63"/>
  <c r="I78" i="63"/>
  <c r="J78" i="63"/>
  <c r="K78" i="63"/>
  <c r="AH78" i="63"/>
  <c r="AI78" i="63"/>
  <c r="AK78" i="63"/>
  <c r="AU78" i="63"/>
  <c r="A79" i="63"/>
  <c r="T78" i="65" l="1"/>
  <c r="AB78" i="65"/>
  <c r="V78" i="65"/>
  <c r="AD78" i="65"/>
  <c r="AC78" i="65"/>
  <c r="J78" i="65"/>
  <c r="K78" i="65"/>
  <c r="W78" i="65"/>
  <c r="Z78" i="65"/>
  <c r="I78" i="65"/>
  <c r="O78" i="65"/>
  <c r="P78" i="65"/>
  <c r="Y78" i="65"/>
  <c r="K79" i="63"/>
  <c r="AQ79" i="63"/>
  <c r="V79" i="63"/>
  <c r="AM79" i="63"/>
  <c r="W79" i="63"/>
  <c r="AN79" i="63"/>
  <c r="AO79" i="63"/>
  <c r="H79" i="63"/>
  <c r="AP79" i="63"/>
  <c r="I79" i="63"/>
  <c r="Z79" i="63"/>
  <c r="AR79" i="63"/>
  <c r="J79" i="63"/>
  <c r="AS79" i="63"/>
  <c r="L79" i="63"/>
  <c r="AC79" i="63"/>
  <c r="AT79" i="63"/>
  <c r="M79" i="63"/>
  <c r="AD79" i="63"/>
  <c r="AU79" i="63"/>
  <c r="O79" i="63"/>
  <c r="AF79" i="63"/>
  <c r="AW79" i="63"/>
  <c r="P79" i="63"/>
  <c r="AG79" i="63"/>
  <c r="AX79" i="63"/>
  <c r="Q79" i="63"/>
  <c r="AH79" i="63"/>
  <c r="AY79" i="63"/>
  <c r="R79" i="63"/>
  <c r="AI79" i="63"/>
  <c r="N79" i="63"/>
  <c r="S79" i="63"/>
  <c r="T79" i="63"/>
  <c r="U79" i="63"/>
  <c r="AE79" i="63"/>
  <c r="AJ79" i="63"/>
  <c r="AK79" i="63"/>
  <c r="AL79" i="63"/>
  <c r="AV79" i="63"/>
  <c r="A80" i="63"/>
  <c r="AC79" i="65" l="1"/>
  <c r="AB79" i="65"/>
  <c r="P79" i="65"/>
  <c r="J79" i="65"/>
  <c r="K79" i="65"/>
  <c r="D79" i="65"/>
  <c r="W79" i="65"/>
  <c r="Z79" i="65"/>
  <c r="Y79" i="65"/>
  <c r="I79" i="65"/>
  <c r="G79" i="65"/>
  <c r="O79" i="65"/>
  <c r="AA79" i="65"/>
  <c r="V79" i="65"/>
  <c r="I80" i="63"/>
  <c r="Y80" i="63"/>
  <c r="AE80" i="65" s="1"/>
  <c r="AO80" i="63"/>
  <c r="F80" i="63"/>
  <c r="W80" i="63"/>
  <c r="AN80" i="63"/>
  <c r="G80" i="63"/>
  <c r="X80" i="63"/>
  <c r="AP80" i="63"/>
  <c r="H80" i="63"/>
  <c r="Z80" i="63"/>
  <c r="AQ80" i="63"/>
  <c r="AR80" i="63"/>
  <c r="K80" i="63"/>
  <c r="AS80" i="63"/>
  <c r="AC80" i="63"/>
  <c r="AT80" i="63"/>
  <c r="M80" i="63"/>
  <c r="AD80" i="63"/>
  <c r="AU80" i="63"/>
  <c r="N80" i="63"/>
  <c r="AE80" i="63"/>
  <c r="AV80" i="63"/>
  <c r="P80" i="63"/>
  <c r="AG80" i="63"/>
  <c r="AX80" i="63"/>
  <c r="AH80" i="63"/>
  <c r="AY80" i="63"/>
  <c r="AI80" i="63"/>
  <c r="B80" i="63"/>
  <c r="S80" i="63"/>
  <c r="AJ80" i="63"/>
  <c r="AF80" i="63"/>
  <c r="AK80" i="63"/>
  <c r="AL80" i="63"/>
  <c r="AM80" i="63"/>
  <c r="AW80" i="63"/>
  <c r="C80" i="63"/>
  <c r="D80" i="63"/>
  <c r="E80" i="63"/>
  <c r="O80" i="63"/>
  <c r="T80" i="63"/>
  <c r="U80" i="63"/>
  <c r="V80" i="63"/>
  <c r="A81" i="63"/>
  <c r="T80" i="65" l="1"/>
  <c r="AC80" i="65"/>
  <c r="AD80" i="65"/>
  <c r="Z80" i="65"/>
  <c r="W80" i="65"/>
  <c r="D80" i="65"/>
  <c r="J80" i="65"/>
  <c r="G80" i="65"/>
  <c r="P80" i="65"/>
  <c r="I80" i="65"/>
  <c r="O80" i="65"/>
  <c r="AA80" i="65"/>
  <c r="V80" i="65"/>
  <c r="G81" i="63"/>
  <c r="W81" i="63"/>
  <c r="AM81" i="63"/>
  <c r="H81" i="63"/>
  <c r="Y81" i="63"/>
  <c r="AE81" i="65" s="1"/>
  <c r="AP81" i="63"/>
  <c r="I81" i="63"/>
  <c r="Z81" i="63"/>
  <c r="AQ81" i="63"/>
  <c r="J81" i="63"/>
  <c r="AR81" i="63"/>
  <c r="AS81" i="63"/>
  <c r="L81" i="63"/>
  <c r="AC81" i="63"/>
  <c r="AT81" i="63"/>
  <c r="M81" i="63"/>
  <c r="AD81" i="63"/>
  <c r="AU81" i="63"/>
  <c r="N81" i="63"/>
  <c r="AE81" i="63"/>
  <c r="AV81" i="63"/>
  <c r="O81" i="63"/>
  <c r="AF81" i="63"/>
  <c r="AW81" i="63"/>
  <c r="AH81" i="63"/>
  <c r="AY81" i="63"/>
  <c r="AI81" i="63"/>
  <c r="B81" i="63"/>
  <c r="AJ81" i="63"/>
  <c r="C81" i="63"/>
  <c r="T81" i="63"/>
  <c r="AK81" i="63"/>
  <c r="AX81" i="63"/>
  <c r="D81" i="63"/>
  <c r="E81" i="63"/>
  <c r="F81" i="63"/>
  <c r="U81" i="63"/>
  <c r="V81" i="63"/>
  <c r="X81" i="63"/>
  <c r="AG81" i="63"/>
  <c r="P81" i="63"/>
  <c r="AL81" i="63"/>
  <c r="AN81" i="63"/>
  <c r="AO81" i="63"/>
  <c r="A82" i="63"/>
  <c r="P81" i="65" l="1"/>
  <c r="AC81" i="65"/>
  <c r="AD81" i="65"/>
  <c r="T81" i="65"/>
  <c r="K81" i="65"/>
  <c r="J81" i="65"/>
  <c r="D81" i="65"/>
  <c r="Z81" i="65"/>
  <c r="V81" i="65"/>
  <c r="G81" i="65"/>
  <c r="O81" i="65"/>
  <c r="AA81" i="65"/>
  <c r="I81" i="65"/>
  <c r="W81" i="65"/>
  <c r="U82" i="63"/>
  <c r="AK82" i="63"/>
  <c r="I82" i="63"/>
  <c r="Z82" i="63"/>
  <c r="P82" i="65" s="1"/>
  <c r="AQ82" i="63"/>
  <c r="J82" i="63"/>
  <c r="AR82" i="63"/>
  <c r="AS82" i="63"/>
  <c r="L82" i="63"/>
  <c r="AC82" i="63"/>
  <c r="AT82" i="63"/>
  <c r="M82" i="63"/>
  <c r="AD82" i="63"/>
  <c r="AU82" i="63"/>
  <c r="N82" i="63"/>
  <c r="AE82" i="63"/>
  <c r="AV82" i="63"/>
  <c r="O82" i="63"/>
  <c r="AF82" i="63"/>
  <c r="AW82" i="63"/>
  <c r="P82" i="63"/>
  <c r="AG82" i="63"/>
  <c r="AX82" i="63"/>
  <c r="AI82" i="63"/>
  <c r="AJ82" i="63"/>
  <c r="T82" i="63"/>
  <c r="AL82" i="63"/>
  <c r="V82" i="63"/>
  <c r="D82" i="65" s="1"/>
  <c r="AM82" i="63"/>
  <c r="H82" i="63"/>
  <c r="G82" i="65" s="1"/>
  <c r="W82" i="63"/>
  <c r="AN82" i="63"/>
  <c r="AO82" i="63"/>
  <c r="AP82" i="63"/>
  <c r="AY82" i="63"/>
  <c r="AH82" i="63"/>
  <c r="A83" i="63"/>
  <c r="AE82" i="65" l="1"/>
  <c r="O82" i="65"/>
  <c r="AC82" i="65"/>
  <c r="J82" i="65"/>
  <c r="K82" i="65"/>
  <c r="Z82" i="65"/>
  <c r="AA82" i="65"/>
  <c r="W82" i="65"/>
  <c r="V82" i="65"/>
  <c r="I82" i="65"/>
  <c r="C83" i="63"/>
  <c r="AI83" i="63"/>
  <c r="AY83" i="63"/>
  <c r="J83" i="63"/>
  <c r="AR83" i="63"/>
  <c r="AS83" i="63"/>
  <c r="L83" i="63"/>
  <c r="AC83" i="63"/>
  <c r="AT83" i="63"/>
  <c r="M83" i="63"/>
  <c r="AD83" i="63"/>
  <c r="AU83" i="63"/>
  <c r="AE83" i="63"/>
  <c r="AV83" i="63"/>
  <c r="O83" i="63"/>
  <c r="AF83" i="63"/>
  <c r="AW83" i="63"/>
  <c r="P83" i="63"/>
  <c r="AG83" i="63"/>
  <c r="AX83" i="63"/>
  <c r="AH83" i="63"/>
  <c r="B83" i="63"/>
  <c r="T83" i="63"/>
  <c r="AK83" i="63"/>
  <c r="D83" i="63"/>
  <c r="U83" i="63"/>
  <c r="AL83" i="63"/>
  <c r="E83" i="63"/>
  <c r="AM83" i="63"/>
  <c r="F83" i="63"/>
  <c r="W83" i="63"/>
  <c r="AN83" i="63"/>
  <c r="X83" i="63"/>
  <c r="Y83" i="63"/>
  <c r="AE83" i="65" s="1"/>
  <c r="Z83" i="63"/>
  <c r="AJ83" i="63"/>
  <c r="AO83" i="63"/>
  <c r="AP83" i="63"/>
  <c r="AQ83" i="63"/>
  <c r="G83" i="63"/>
  <c r="H83" i="63"/>
  <c r="I83" i="63"/>
  <c r="A84" i="63"/>
  <c r="T83" i="65" l="1"/>
  <c r="AD83" i="65"/>
  <c r="AC83" i="65"/>
  <c r="D83" i="65"/>
  <c r="K83" i="65"/>
  <c r="Z83" i="65"/>
  <c r="P83" i="65"/>
  <c r="W83" i="65"/>
  <c r="G83" i="65"/>
  <c r="I83" i="65"/>
  <c r="O83" i="65"/>
  <c r="AA83" i="65"/>
  <c r="V83" i="65"/>
  <c r="Q84" i="63"/>
  <c r="Z84" i="65" s="1"/>
  <c r="AG84" i="63"/>
  <c r="AW84" i="63"/>
  <c r="AS84" i="63"/>
  <c r="L84" i="63"/>
  <c r="AC84" i="63"/>
  <c r="AT84" i="63"/>
  <c r="M84" i="63"/>
  <c r="AD84" i="63"/>
  <c r="AU84" i="63"/>
  <c r="N84" i="63"/>
  <c r="AE84" i="63"/>
  <c r="AV84" i="63"/>
  <c r="AF84" i="63"/>
  <c r="AX84" i="63"/>
  <c r="P84" i="63"/>
  <c r="AH84" i="63"/>
  <c r="AY84" i="63"/>
  <c r="R84" i="63"/>
  <c r="AI84" i="63"/>
  <c r="B84" i="63"/>
  <c r="AJ84" i="63"/>
  <c r="D84" i="63"/>
  <c r="U84" i="63"/>
  <c r="AL84" i="63"/>
  <c r="E84" i="63"/>
  <c r="V84" i="63"/>
  <c r="AM84" i="63"/>
  <c r="F84" i="63"/>
  <c r="W84" i="63"/>
  <c r="AN84" i="63"/>
  <c r="G84" i="63"/>
  <c r="X84" i="63"/>
  <c r="AO84" i="63"/>
  <c r="AK84" i="63"/>
  <c r="AP84" i="63"/>
  <c r="AQ84" i="63"/>
  <c r="AR84" i="63"/>
  <c r="H84" i="63"/>
  <c r="I84" i="63"/>
  <c r="J84" i="63"/>
  <c r="T84" i="63"/>
  <c r="C84" i="63"/>
  <c r="Y84" i="63"/>
  <c r="AE84" i="65" s="1"/>
  <c r="Z84" i="63"/>
  <c r="A85" i="63"/>
  <c r="T84" i="65" l="1"/>
  <c r="AC84" i="65"/>
  <c r="AD84" i="65"/>
  <c r="AB84" i="65"/>
  <c r="J84" i="65"/>
  <c r="D84" i="65"/>
  <c r="I84" i="65"/>
  <c r="K84" i="65"/>
  <c r="G84" i="65"/>
  <c r="V84" i="65"/>
  <c r="W84" i="65"/>
  <c r="P84" i="65"/>
  <c r="O84" i="65"/>
  <c r="AA84" i="65"/>
  <c r="O85" i="63"/>
  <c r="AE85" i="63"/>
  <c r="AU85" i="63"/>
  <c r="L85" i="63"/>
  <c r="AC85" i="63"/>
  <c r="AT85" i="63"/>
  <c r="M85" i="63"/>
  <c r="AD85" i="63"/>
  <c r="AV85" i="63"/>
  <c r="N85" i="63"/>
  <c r="AF85" i="63"/>
  <c r="AW85" i="63"/>
  <c r="P85" i="63"/>
  <c r="AG85" i="63"/>
  <c r="AX85" i="63"/>
  <c r="Q85" i="63"/>
  <c r="AH85" i="63"/>
  <c r="AY85" i="63"/>
  <c r="R85" i="63"/>
  <c r="AI85" i="63"/>
  <c r="B85" i="63"/>
  <c r="S85" i="63"/>
  <c r="AJ85" i="63"/>
  <c r="C85" i="63"/>
  <c r="T85" i="63"/>
  <c r="AK85" i="63"/>
  <c r="E85" i="63"/>
  <c r="V85" i="63"/>
  <c r="AM85" i="63"/>
  <c r="F85" i="63"/>
  <c r="W85" i="63"/>
  <c r="AN85" i="63"/>
  <c r="G85" i="63"/>
  <c r="X85" i="63"/>
  <c r="AO85" i="63"/>
  <c r="H85" i="63"/>
  <c r="Y85" i="63"/>
  <c r="AE85" i="65" s="1"/>
  <c r="AP85" i="63"/>
  <c r="D85" i="63"/>
  <c r="I85" i="63"/>
  <c r="J85" i="63"/>
  <c r="K85" i="63"/>
  <c r="Z85" i="63"/>
  <c r="AL85" i="63"/>
  <c r="AQ85" i="63"/>
  <c r="AR85" i="63"/>
  <c r="AS85" i="63"/>
  <c r="U85" i="63"/>
  <c r="A86" i="63"/>
  <c r="AB85" i="65" l="1"/>
  <c r="AD85" i="65"/>
  <c r="T85" i="65"/>
  <c r="AC85" i="65"/>
  <c r="P85" i="65"/>
  <c r="K85" i="65"/>
  <c r="D85" i="65"/>
  <c r="J85" i="65"/>
  <c r="Z85" i="65"/>
  <c r="V85" i="65"/>
  <c r="I85" i="65"/>
  <c r="G85" i="65"/>
  <c r="O85" i="65"/>
  <c r="AA85" i="65"/>
  <c r="W85" i="65"/>
  <c r="M86" i="63"/>
  <c r="AC86" i="63"/>
  <c r="AS86" i="63"/>
  <c r="AD86" i="63"/>
  <c r="AT86" i="63"/>
  <c r="O86" i="63"/>
  <c r="AE86" i="63"/>
  <c r="AU86" i="63"/>
  <c r="P86" i="63"/>
  <c r="AF86" i="63"/>
  <c r="AV86" i="63"/>
  <c r="Q86" i="63"/>
  <c r="AG86" i="63"/>
  <c r="AW86" i="63"/>
  <c r="B86" i="63"/>
  <c r="R86" i="63"/>
  <c r="AH86" i="63"/>
  <c r="AX86" i="63"/>
  <c r="C86" i="63"/>
  <c r="S86" i="63"/>
  <c r="AI86" i="63"/>
  <c r="AY86" i="63"/>
  <c r="D86" i="63"/>
  <c r="V86" i="65" s="1"/>
  <c r="T86" i="63"/>
  <c r="AJ86" i="63"/>
  <c r="F86" i="63"/>
  <c r="AL86" i="63"/>
  <c r="G86" i="63"/>
  <c r="W86" i="63"/>
  <c r="AM86" i="63"/>
  <c r="H86" i="63"/>
  <c r="X86" i="63"/>
  <c r="AN86" i="63"/>
  <c r="I86" i="63"/>
  <c r="Y86" i="63"/>
  <c r="AE86" i="65" s="1"/>
  <c r="AO86" i="63"/>
  <c r="E86" i="63"/>
  <c r="J86" i="63"/>
  <c r="K86" i="63"/>
  <c r="L86" i="63"/>
  <c r="U86" i="63"/>
  <c r="Z86" i="63"/>
  <c r="AP86" i="63"/>
  <c r="AQ86" i="63"/>
  <c r="AR86" i="63"/>
  <c r="AK86" i="63"/>
  <c r="Y85" i="65"/>
  <c r="A87" i="63"/>
  <c r="AD86" i="65" l="1"/>
  <c r="AB86" i="65"/>
  <c r="AC86" i="65"/>
  <c r="T86" i="65"/>
  <c r="P86" i="65"/>
  <c r="D86" i="65"/>
  <c r="K86" i="65"/>
  <c r="Z86" i="65"/>
  <c r="I86" i="65"/>
  <c r="W86" i="65"/>
  <c r="O86" i="65"/>
  <c r="AA86" i="65"/>
  <c r="G86" i="65"/>
  <c r="K87" i="63"/>
  <c r="AQ87" i="63"/>
  <c r="L87" i="63"/>
  <c r="AR87" i="63"/>
  <c r="M87" i="63"/>
  <c r="AC87" i="63"/>
  <c r="AS87" i="63"/>
  <c r="AD87" i="63"/>
  <c r="AT87" i="63"/>
  <c r="AE87" i="63"/>
  <c r="AU87" i="63"/>
  <c r="P87" i="63"/>
  <c r="AF87" i="63"/>
  <c r="AV87" i="63"/>
  <c r="AG87" i="63"/>
  <c r="AW87" i="63"/>
  <c r="AH87" i="63"/>
  <c r="AX87" i="63"/>
  <c r="T87" i="63"/>
  <c r="AJ87" i="63"/>
  <c r="U87" i="63"/>
  <c r="AK87" i="63"/>
  <c r="AL87" i="63"/>
  <c r="W87" i="63"/>
  <c r="AM87" i="63"/>
  <c r="S87" i="63"/>
  <c r="Z87" i="63"/>
  <c r="AI87" i="63"/>
  <c r="AN87" i="63"/>
  <c r="AO87" i="63"/>
  <c r="AP87" i="63"/>
  <c r="AY87" i="63"/>
  <c r="H87" i="63"/>
  <c r="I87" i="63"/>
  <c r="J87" i="63"/>
  <c r="Y86" i="65"/>
  <c r="A88" i="63"/>
  <c r="P87" i="65" l="1"/>
  <c r="V87" i="65"/>
  <c r="Z87" i="65"/>
  <c r="AC87" i="65"/>
  <c r="D87" i="65"/>
  <c r="K87" i="65"/>
  <c r="W87" i="65"/>
  <c r="I87" i="65"/>
  <c r="O87" i="65"/>
  <c r="AA87" i="65"/>
  <c r="G87" i="65"/>
  <c r="Y87" i="65"/>
  <c r="I88" i="63"/>
  <c r="AO88" i="63"/>
  <c r="J88" i="63"/>
  <c r="Z88" i="63"/>
  <c r="AP88" i="63"/>
  <c r="AQ88" i="63"/>
  <c r="L88" i="63"/>
  <c r="AR88" i="63"/>
  <c r="M88" i="63"/>
  <c r="AC88" i="63"/>
  <c r="AS88" i="63"/>
  <c r="N88" i="63"/>
  <c r="AD88" i="63"/>
  <c r="AT88" i="63"/>
  <c r="AE88" i="63"/>
  <c r="AU88" i="63"/>
  <c r="P88" i="63"/>
  <c r="AF88" i="63"/>
  <c r="AV88" i="63"/>
  <c r="AH88" i="63"/>
  <c r="AX88" i="63"/>
  <c r="AI88" i="63"/>
  <c r="AY88" i="63"/>
  <c r="T88" i="63"/>
  <c r="AJ88" i="63"/>
  <c r="U88" i="63"/>
  <c r="AK88" i="63"/>
  <c r="AG88" i="63"/>
  <c r="AL88" i="63"/>
  <c r="AM88" i="63"/>
  <c r="AN88" i="63"/>
  <c r="AW88" i="63"/>
  <c r="H88" i="63"/>
  <c r="V88" i="63"/>
  <c r="D88" i="65" s="1"/>
  <c r="W88" i="63"/>
  <c r="A89" i="63"/>
  <c r="AC88" i="65" l="1"/>
  <c r="J88" i="65"/>
  <c r="I88" i="65"/>
  <c r="K88" i="65"/>
  <c r="Z88" i="65"/>
  <c r="W88" i="65"/>
  <c r="G88" i="65"/>
  <c r="P88" i="65"/>
  <c r="O88" i="65"/>
  <c r="AA88" i="65"/>
  <c r="V88" i="65"/>
  <c r="G89" i="63"/>
  <c r="W89" i="63"/>
  <c r="AM89" i="63"/>
  <c r="H89" i="63"/>
  <c r="X89" i="63"/>
  <c r="AN89" i="63"/>
  <c r="I89" i="63"/>
  <c r="Y89" i="63"/>
  <c r="AE89" i="65" s="1"/>
  <c r="AO89" i="63"/>
  <c r="J89" i="63"/>
  <c r="Z89" i="63"/>
  <c r="AP89" i="63"/>
  <c r="AQ89" i="63"/>
  <c r="L89" i="63"/>
  <c r="AR89" i="63"/>
  <c r="M89" i="63"/>
  <c r="AC89" i="63"/>
  <c r="AS89" i="63"/>
  <c r="N89" i="63"/>
  <c r="AD89" i="63"/>
  <c r="AT89" i="63"/>
  <c r="P89" i="63"/>
  <c r="AF89" i="63"/>
  <c r="AV89" i="63"/>
  <c r="AG89" i="63"/>
  <c r="AW89" i="63"/>
  <c r="B89" i="63"/>
  <c r="AH89" i="63"/>
  <c r="AX89" i="63"/>
  <c r="C89" i="63"/>
  <c r="AI89" i="63"/>
  <c r="AY89" i="63"/>
  <c r="AU89" i="63"/>
  <c r="D89" i="63"/>
  <c r="E89" i="63"/>
  <c r="F89" i="63"/>
  <c r="T89" i="63"/>
  <c r="U89" i="63"/>
  <c r="V89" i="63"/>
  <c r="AE89" i="63"/>
  <c r="O89" i="63"/>
  <c r="AJ89" i="63"/>
  <c r="AK89" i="63"/>
  <c r="AL89" i="63"/>
  <c r="A90" i="63"/>
  <c r="Z89" i="65" l="1"/>
  <c r="AD89" i="65"/>
  <c r="T89" i="65"/>
  <c r="AC89" i="65"/>
  <c r="D89" i="65"/>
  <c r="K89" i="65"/>
  <c r="J89" i="65"/>
  <c r="P89" i="65"/>
  <c r="V89" i="65"/>
  <c r="W89" i="65"/>
  <c r="G89" i="65"/>
  <c r="O89" i="65"/>
  <c r="AA89" i="65"/>
  <c r="I89" i="65"/>
  <c r="E90" i="63"/>
  <c r="U90" i="63"/>
  <c r="AK90" i="63"/>
  <c r="F90" i="63"/>
  <c r="V90" i="63"/>
  <c r="D90" i="65" s="1"/>
  <c r="AL90" i="63"/>
  <c r="G90" i="63"/>
  <c r="W90" i="63"/>
  <c r="AM90" i="63"/>
  <c r="H90" i="63"/>
  <c r="X90" i="63"/>
  <c r="AN90" i="63"/>
  <c r="I90" i="63"/>
  <c r="Y90" i="63"/>
  <c r="AE90" i="65" s="1"/>
  <c r="AO90" i="63"/>
  <c r="J90" i="63"/>
  <c r="Z90" i="63"/>
  <c r="AP90" i="63"/>
  <c r="AQ90" i="63"/>
  <c r="L90" i="63"/>
  <c r="K90" i="65" s="1"/>
  <c r="AR90" i="63"/>
  <c r="N90" i="63"/>
  <c r="AD90" i="63"/>
  <c r="AT90" i="63"/>
  <c r="O90" i="63"/>
  <c r="AE90" i="63"/>
  <c r="AU90" i="63"/>
  <c r="P90" i="63"/>
  <c r="AF90" i="63"/>
  <c r="AV90" i="63"/>
  <c r="AG90" i="63"/>
  <c r="AW90" i="63"/>
  <c r="B90" i="63"/>
  <c r="C90" i="63"/>
  <c r="D90" i="63"/>
  <c r="V90" i="65" s="1"/>
  <c r="M90" i="63"/>
  <c r="T90" i="63"/>
  <c r="AH90" i="63"/>
  <c r="AI90" i="63"/>
  <c r="AJ90" i="63"/>
  <c r="AS90" i="63"/>
  <c r="AX90" i="63"/>
  <c r="AY90" i="63"/>
  <c r="AC90" i="63"/>
  <c r="A91" i="63"/>
  <c r="Z90" i="65" l="1"/>
  <c r="AD90" i="65"/>
  <c r="O90" i="65"/>
  <c r="AC90" i="65"/>
  <c r="T90" i="65"/>
  <c r="J90" i="65"/>
  <c r="AA90" i="65"/>
  <c r="G90" i="65"/>
  <c r="P90" i="65"/>
  <c r="W90" i="65"/>
  <c r="I90" i="65"/>
  <c r="C91" i="63"/>
  <c r="AI91" i="63"/>
  <c r="AY91" i="63"/>
  <c r="D91" i="63"/>
  <c r="T91" i="63"/>
  <c r="AJ91" i="63"/>
  <c r="E91" i="63"/>
  <c r="U91" i="63"/>
  <c r="AK91" i="63"/>
  <c r="F91" i="63"/>
  <c r="V91" i="63"/>
  <c r="AL91" i="63"/>
  <c r="G91" i="63"/>
  <c r="W91" i="63"/>
  <c r="AM91" i="63"/>
  <c r="H91" i="63"/>
  <c r="X91" i="63"/>
  <c r="AN91" i="63"/>
  <c r="I91" i="63"/>
  <c r="Y91" i="63"/>
  <c r="AE91" i="65" s="1"/>
  <c r="AO91" i="63"/>
  <c r="J91" i="63"/>
  <c r="Z91" i="63"/>
  <c r="AP91" i="63"/>
  <c r="L91" i="63"/>
  <c r="AR91" i="63"/>
  <c r="M91" i="63"/>
  <c r="AC91" i="63"/>
  <c r="AS91" i="63"/>
  <c r="N91" i="63"/>
  <c r="AD91" i="63"/>
  <c r="AT91" i="63"/>
  <c r="O91" i="63"/>
  <c r="AE91" i="63"/>
  <c r="AU91" i="63"/>
  <c r="P91" i="63"/>
  <c r="Q91" i="63"/>
  <c r="R91" i="63"/>
  <c r="AF91" i="63"/>
  <c r="AG91" i="63"/>
  <c r="AH91" i="63"/>
  <c r="AV91" i="63"/>
  <c r="AW91" i="63"/>
  <c r="AX91" i="63"/>
  <c r="B91" i="63"/>
  <c r="AQ91" i="63"/>
  <c r="A92" i="63"/>
  <c r="Z91" i="65" l="1"/>
  <c r="T91" i="65"/>
  <c r="AC91" i="65"/>
  <c r="AD91" i="65"/>
  <c r="AB91" i="65"/>
  <c r="J91" i="65"/>
  <c r="P91" i="65"/>
  <c r="I91" i="65"/>
  <c r="K91" i="65"/>
  <c r="D91" i="65"/>
  <c r="O91" i="65"/>
  <c r="AA91" i="65"/>
  <c r="V91" i="65"/>
  <c r="W91" i="65"/>
  <c r="G91" i="65"/>
  <c r="Q92" i="63"/>
  <c r="AG92" i="63"/>
  <c r="AW92" i="63"/>
  <c r="B92" i="63"/>
  <c r="R92" i="63"/>
  <c r="AH92" i="63"/>
  <c r="AX92" i="63"/>
  <c r="C92" i="63"/>
  <c r="S92" i="63"/>
  <c r="AI92" i="63"/>
  <c r="AY92" i="63"/>
  <c r="D92" i="63"/>
  <c r="T92" i="63"/>
  <c r="AJ92" i="63"/>
  <c r="E92" i="63"/>
  <c r="U92" i="63"/>
  <c r="AK92" i="63"/>
  <c r="F92" i="63"/>
  <c r="V92" i="63"/>
  <c r="AL92" i="63"/>
  <c r="G92" i="63"/>
  <c r="W92" i="63"/>
  <c r="AM92" i="63"/>
  <c r="H92" i="63"/>
  <c r="G92" i="65" s="1"/>
  <c r="X92" i="63"/>
  <c r="AN92" i="63"/>
  <c r="J92" i="63"/>
  <c r="Z92" i="63"/>
  <c r="AP92" i="63"/>
  <c r="K92" i="63"/>
  <c r="AQ92" i="63"/>
  <c r="L92" i="63"/>
  <c r="AR92" i="63"/>
  <c r="M92" i="63"/>
  <c r="AC92" i="63"/>
  <c r="AS92" i="63"/>
  <c r="Y92" i="63"/>
  <c r="AE92" i="65" s="1"/>
  <c r="AD92" i="63"/>
  <c r="AE92" i="63"/>
  <c r="AF92" i="63"/>
  <c r="AO92" i="63"/>
  <c r="AT92" i="63"/>
  <c r="AU92" i="63"/>
  <c r="AV92" i="63"/>
  <c r="I92" i="63"/>
  <c r="N92" i="63"/>
  <c r="O92" i="63"/>
  <c r="P92" i="63"/>
  <c r="A93" i="63"/>
  <c r="Z92" i="65" l="1"/>
  <c r="AD92" i="65"/>
  <c r="AB92" i="65"/>
  <c r="T92" i="65"/>
  <c r="AC92" i="65"/>
  <c r="J92" i="65"/>
  <c r="K92" i="65"/>
  <c r="D92" i="65"/>
  <c r="W92" i="65"/>
  <c r="I92" i="65"/>
  <c r="O92" i="65"/>
  <c r="AA92" i="65"/>
  <c r="P92" i="65"/>
  <c r="V92" i="65"/>
  <c r="O93" i="63"/>
  <c r="AE93" i="63"/>
  <c r="AU93" i="63"/>
  <c r="AF93" i="63"/>
  <c r="AV93" i="63"/>
  <c r="Q93" i="63"/>
  <c r="AG93" i="63"/>
  <c r="AW93" i="63"/>
  <c r="R93" i="63"/>
  <c r="AH93" i="63"/>
  <c r="AX93" i="63"/>
  <c r="S93" i="63"/>
  <c r="AI93" i="63"/>
  <c r="AY93" i="63"/>
  <c r="T93" i="63"/>
  <c r="AJ93" i="63"/>
  <c r="AK93" i="63"/>
  <c r="V93" i="63"/>
  <c r="AL93" i="63"/>
  <c r="H93" i="63"/>
  <c r="AN93" i="63"/>
  <c r="I93" i="63"/>
  <c r="AO93" i="63"/>
  <c r="J93" i="63"/>
  <c r="Z93" i="63"/>
  <c r="AP93" i="63"/>
  <c r="K93" i="63"/>
  <c r="AQ93" i="63"/>
  <c r="AM93" i="63"/>
  <c r="AR93" i="63"/>
  <c r="AS93" i="63"/>
  <c r="AT93" i="63"/>
  <c r="L93" i="63"/>
  <c r="M93" i="63"/>
  <c r="N93" i="63"/>
  <c r="W93" i="63"/>
  <c r="AC93" i="63"/>
  <c r="AD93" i="63"/>
  <c r="Y92" i="65"/>
  <c r="A94" i="63"/>
  <c r="AB93" i="65" l="1"/>
  <c r="Z93" i="65"/>
  <c r="K93" i="65"/>
  <c r="J93" i="65"/>
  <c r="D93" i="65"/>
  <c r="P93" i="65"/>
  <c r="I93" i="65"/>
  <c r="G93" i="65"/>
  <c r="W93" i="65"/>
  <c r="V93" i="65"/>
  <c r="O93" i="65"/>
  <c r="AA93" i="65"/>
  <c r="M94" i="63"/>
  <c r="AC94" i="63"/>
  <c r="AS94" i="63"/>
  <c r="N94" i="63"/>
  <c r="AD94" i="63"/>
  <c r="AT94" i="63"/>
  <c r="O94" i="63"/>
  <c r="AE94" i="63"/>
  <c r="AU94" i="63"/>
  <c r="P94" i="63"/>
  <c r="AF94" i="63"/>
  <c r="AV94" i="63"/>
  <c r="AG94" i="63"/>
  <c r="AW94" i="63"/>
  <c r="B94" i="63"/>
  <c r="AH94" i="63"/>
  <c r="AX94" i="63"/>
  <c r="D94" i="63"/>
  <c r="T94" i="63"/>
  <c r="AJ94" i="63"/>
  <c r="F94" i="63"/>
  <c r="V94" i="63"/>
  <c r="AL94" i="63"/>
  <c r="G94" i="63"/>
  <c r="W94" i="63"/>
  <c r="AM94" i="63"/>
  <c r="H94" i="63"/>
  <c r="X94" i="63"/>
  <c r="AN94" i="63"/>
  <c r="I94" i="63"/>
  <c r="Y94" i="63"/>
  <c r="AE94" i="65" s="1"/>
  <c r="AO94" i="63"/>
  <c r="AP94" i="63"/>
  <c r="AQ94" i="63"/>
  <c r="AR94" i="63"/>
  <c r="AY94" i="63"/>
  <c r="C94" i="63"/>
  <c r="E94" i="63"/>
  <c r="J94" i="63"/>
  <c r="K94" i="63"/>
  <c r="S94" i="63"/>
  <c r="U94" i="63"/>
  <c r="Z94" i="63"/>
  <c r="L94" i="63"/>
  <c r="AI94" i="63"/>
  <c r="AK94" i="63"/>
  <c r="Y93" i="65"/>
  <c r="A95" i="63"/>
  <c r="J94" i="65" l="1"/>
  <c r="AC94" i="65"/>
  <c r="AD94" i="65"/>
  <c r="T94" i="65"/>
  <c r="P94" i="65"/>
  <c r="K94" i="65"/>
  <c r="D94" i="65"/>
  <c r="Z94" i="65"/>
  <c r="G94" i="65"/>
  <c r="O94" i="65"/>
  <c r="AA94" i="65"/>
  <c r="V94" i="65"/>
  <c r="I94" i="65"/>
  <c r="W94" i="65"/>
  <c r="Y94" i="65"/>
  <c r="AQ95" i="63"/>
  <c r="L95" i="63"/>
  <c r="K95" i="65" s="1"/>
  <c r="AR95" i="63"/>
  <c r="M95" i="63"/>
  <c r="AC95" i="63"/>
  <c r="AS95" i="63"/>
  <c r="N95" i="63"/>
  <c r="AD95" i="63"/>
  <c r="AT95" i="63"/>
  <c r="O95" i="63"/>
  <c r="AE95" i="63"/>
  <c r="AU95" i="63"/>
  <c r="P95" i="63"/>
  <c r="AF95" i="63"/>
  <c r="AV95" i="63"/>
  <c r="B95" i="63"/>
  <c r="AH95" i="63"/>
  <c r="AX95" i="63"/>
  <c r="D95" i="63"/>
  <c r="T95" i="63"/>
  <c r="AJ95" i="63"/>
  <c r="E95" i="63"/>
  <c r="U95" i="63"/>
  <c r="AK95" i="63"/>
  <c r="F95" i="63"/>
  <c r="V95" i="63"/>
  <c r="AL95" i="63"/>
  <c r="G95" i="63"/>
  <c r="W95" i="63"/>
  <c r="AM95" i="63"/>
  <c r="AO95" i="63"/>
  <c r="AP95" i="63"/>
  <c r="AW95" i="63"/>
  <c r="AY95" i="63"/>
  <c r="C95" i="63"/>
  <c r="H95" i="63"/>
  <c r="I95" i="63"/>
  <c r="J95" i="63"/>
  <c r="X95" i="63"/>
  <c r="Y95" i="63"/>
  <c r="AE95" i="65" s="1"/>
  <c r="Z95" i="63"/>
  <c r="AG95" i="63"/>
  <c r="AI95" i="63"/>
  <c r="AN95" i="63"/>
  <c r="A96" i="63"/>
  <c r="AC95" i="65" l="1"/>
  <c r="AD95" i="65"/>
  <c r="T95" i="65"/>
  <c r="J95" i="65"/>
  <c r="P95" i="65"/>
  <c r="D95" i="65"/>
  <c r="Z95" i="65"/>
  <c r="G95" i="65"/>
  <c r="V95" i="65"/>
  <c r="W95" i="65"/>
  <c r="I95" i="65"/>
  <c r="O95" i="65"/>
  <c r="AA95" i="65"/>
  <c r="I96" i="63"/>
  <c r="AO96" i="63"/>
  <c r="J96" i="63"/>
  <c r="Z96" i="63"/>
  <c r="AP96" i="63"/>
  <c r="AQ96" i="63"/>
  <c r="L96" i="63"/>
  <c r="AR96" i="63"/>
  <c r="M96" i="63"/>
  <c r="AC96" i="63"/>
  <c r="AS96" i="63"/>
  <c r="N96" i="63"/>
  <c r="AD96" i="63"/>
  <c r="AT96" i="63"/>
  <c r="AF96" i="63"/>
  <c r="AV96" i="63"/>
  <c r="AH96" i="63"/>
  <c r="AI96" i="63"/>
  <c r="AY96" i="63"/>
  <c r="AJ96" i="63"/>
  <c r="AK96" i="63"/>
  <c r="AN96" i="63"/>
  <c r="AU96" i="63"/>
  <c r="AW96" i="63"/>
  <c r="AX96" i="63"/>
  <c r="O96" i="63"/>
  <c r="V96" i="63"/>
  <c r="AE96" i="63"/>
  <c r="AG96" i="63"/>
  <c r="AL96" i="63"/>
  <c r="AM96" i="63"/>
  <c r="A97" i="63"/>
  <c r="Z96" i="65" l="1"/>
  <c r="D96" i="65"/>
  <c r="K96" i="65"/>
  <c r="I96" i="65"/>
  <c r="O96" i="65"/>
  <c r="P96" i="65"/>
  <c r="V96" i="65"/>
  <c r="W96" i="65"/>
  <c r="G97" i="63"/>
  <c r="W97" i="63"/>
  <c r="AM97" i="63"/>
  <c r="H97" i="63"/>
  <c r="X97" i="63"/>
  <c r="AN97" i="63"/>
  <c r="Y97" i="63"/>
  <c r="AE97" i="65" s="1"/>
  <c r="AO97" i="63"/>
  <c r="J97" i="63"/>
  <c r="Z97" i="63"/>
  <c r="AP97" i="63"/>
  <c r="AQ97" i="63"/>
  <c r="L97" i="63"/>
  <c r="AR97" i="63"/>
  <c r="N97" i="63"/>
  <c r="AD97" i="63"/>
  <c r="AT97" i="63"/>
  <c r="AG97" i="63"/>
  <c r="B97" i="63"/>
  <c r="AH97" i="63"/>
  <c r="AX97" i="63"/>
  <c r="C97" i="63"/>
  <c r="AI97" i="63"/>
  <c r="AY97" i="63"/>
  <c r="AJ97" i="63"/>
  <c r="AK97" i="63"/>
  <c r="AL97" i="63"/>
  <c r="AS97" i="63"/>
  <c r="D97" i="63"/>
  <c r="AU97" i="63"/>
  <c r="E97" i="63"/>
  <c r="AV97" i="63"/>
  <c r="F97" i="63"/>
  <c r="AW97" i="63"/>
  <c r="M97" i="63"/>
  <c r="U97" i="63"/>
  <c r="V97" i="63"/>
  <c r="O97" i="63"/>
  <c r="AC97" i="63"/>
  <c r="AE97" i="63"/>
  <c r="AF97" i="63"/>
  <c r="A98" i="63"/>
  <c r="T97" i="65" l="1"/>
  <c r="AD97" i="65"/>
  <c r="AC97" i="65"/>
  <c r="Z97" i="65"/>
  <c r="K97" i="65"/>
  <c r="J97" i="65"/>
  <c r="D97" i="65"/>
  <c r="G97" i="65"/>
  <c r="W97" i="65"/>
  <c r="I97" i="65"/>
  <c r="O97" i="65"/>
  <c r="V97" i="65"/>
  <c r="P97" i="65"/>
  <c r="E98" i="63"/>
  <c r="U98" i="63"/>
  <c r="AK98" i="63"/>
  <c r="F98" i="63"/>
  <c r="V98" i="63"/>
  <c r="D98" i="65" s="1"/>
  <c r="AL98" i="63"/>
  <c r="G98" i="63"/>
  <c r="W98" i="63"/>
  <c r="AM98" i="63"/>
  <c r="H98" i="63"/>
  <c r="X98" i="63"/>
  <c r="AN98" i="63"/>
  <c r="I98" i="63"/>
  <c r="Y98" i="63"/>
  <c r="AO98" i="63"/>
  <c r="J98" i="63"/>
  <c r="Z98" i="63"/>
  <c r="AP98" i="63"/>
  <c r="L98" i="63"/>
  <c r="AR98" i="63"/>
  <c r="P98" i="63"/>
  <c r="AF98" i="63"/>
  <c r="AV98" i="63"/>
  <c r="Q98" i="63"/>
  <c r="AG98" i="63"/>
  <c r="AW98" i="63"/>
  <c r="AC98" i="63"/>
  <c r="AD98" i="63"/>
  <c r="AE98" i="63"/>
  <c r="AH98" i="63"/>
  <c r="AI98" i="63"/>
  <c r="B98" i="63"/>
  <c r="AJ98" i="63"/>
  <c r="D98" i="63"/>
  <c r="AS98" i="63"/>
  <c r="AT98" i="63"/>
  <c r="M98" i="63"/>
  <c r="AU98" i="63"/>
  <c r="N98" i="63"/>
  <c r="AX98" i="63"/>
  <c r="C98" i="63"/>
  <c r="O98" i="63"/>
  <c r="R98" i="63"/>
  <c r="AY98" i="63"/>
  <c r="AQ98" i="63"/>
  <c r="A99" i="63"/>
  <c r="T98" i="65" l="1"/>
  <c r="AD98" i="65"/>
  <c r="AE98" i="65"/>
  <c r="O98" i="65"/>
  <c r="AC98" i="65"/>
  <c r="J98" i="65"/>
  <c r="K98" i="65"/>
  <c r="Z98" i="65"/>
  <c r="AB98" i="65"/>
  <c r="V98" i="65"/>
  <c r="G98" i="65"/>
  <c r="P98" i="65"/>
  <c r="I98" i="65"/>
  <c r="W98" i="65"/>
  <c r="C99" i="63"/>
  <c r="S99" i="63"/>
  <c r="AI99" i="63"/>
  <c r="AY99" i="63"/>
  <c r="D99" i="63"/>
  <c r="AJ99" i="63"/>
  <c r="E99" i="63"/>
  <c r="U99" i="63"/>
  <c r="AK99" i="63"/>
  <c r="F99" i="63"/>
  <c r="V99" i="63"/>
  <c r="AL99" i="63"/>
  <c r="G99" i="63"/>
  <c r="AM99" i="63"/>
  <c r="X99" i="63"/>
  <c r="AN99" i="63"/>
  <c r="J99" i="63"/>
  <c r="Z99" i="63"/>
  <c r="AP99" i="63"/>
  <c r="N99" i="63"/>
  <c r="O99" i="63"/>
  <c r="AE99" i="63"/>
  <c r="K99" i="63"/>
  <c r="AR99" i="63"/>
  <c r="L99" i="63"/>
  <c r="AS99" i="63"/>
  <c r="M99" i="63"/>
  <c r="AT99" i="63"/>
  <c r="P99" i="63"/>
  <c r="AU99" i="63"/>
  <c r="Q99" i="63"/>
  <c r="AV99" i="63"/>
  <c r="R99" i="63"/>
  <c r="AW99" i="63"/>
  <c r="Y99" i="63"/>
  <c r="AE99" i="65" s="1"/>
  <c r="AX99" i="63"/>
  <c r="AC99" i="63"/>
  <c r="AD99" i="63"/>
  <c r="AF99" i="63"/>
  <c r="AG99" i="63"/>
  <c r="B99" i="63"/>
  <c r="I99" i="63"/>
  <c r="AH99" i="63"/>
  <c r="AO99" i="63"/>
  <c r="AQ99" i="63"/>
  <c r="A100" i="63"/>
  <c r="AD99" i="65" l="1"/>
  <c r="T99" i="65"/>
  <c r="AB99" i="65"/>
  <c r="AC99" i="65"/>
  <c r="D99" i="65"/>
  <c r="K99" i="65"/>
  <c r="Z99" i="65"/>
  <c r="I99" i="65"/>
  <c r="P99" i="65"/>
  <c r="V99" i="65"/>
  <c r="W99" i="65"/>
  <c r="O99" i="65"/>
  <c r="Q100" i="63"/>
  <c r="Z100" i="65" s="1"/>
  <c r="AG100" i="63"/>
  <c r="AW100" i="63"/>
  <c r="B100" i="63"/>
  <c r="R100" i="63"/>
  <c r="AH100" i="63"/>
  <c r="AX100" i="63"/>
  <c r="C100" i="63"/>
  <c r="S100" i="63"/>
  <c r="AI100" i="63"/>
  <c r="AY100" i="63"/>
  <c r="D100" i="63"/>
  <c r="T100" i="63"/>
  <c r="AJ100" i="63"/>
  <c r="E100" i="63"/>
  <c r="U100" i="63"/>
  <c r="AK100" i="63"/>
  <c r="F100" i="63"/>
  <c r="V100" i="63"/>
  <c r="D100" i="65" s="1"/>
  <c r="AL100" i="63"/>
  <c r="X100" i="63"/>
  <c r="AN100" i="63"/>
  <c r="AU100" i="63"/>
  <c r="Y100" i="63"/>
  <c r="AE100" i="65" s="1"/>
  <c r="AV100" i="63"/>
  <c r="Z100" i="63"/>
  <c r="AC100" i="63"/>
  <c r="AD100" i="63"/>
  <c r="G100" i="63"/>
  <c r="AE100" i="63"/>
  <c r="J100" i="63"/>
  <c r="AM100" i="63"/>
  <c r="K100" i="63"/>
  <c r="AO100" i="63"/>
  <c r="L100" i="63"/>
  <c r="K100" i="65" s="1"/>
  <c r="AP100" i="63"/>
  <c r="AQ100" i="63"/>
  <c r="N100" i="63"/>
  <c r="O100" i="63"/>
  <c r="P100" i="63"/>
  <c r="AF100" i="63"/>
  <c r="AR100" i="63"/>
  <c r="AS100" i="63"/>
  <c r="AT100" i="63"/>
  <c r="Y99" i="65"/>
  <c r="A101" i="63"/>
  <c r="T100" i="65" l="1"/>
  <c r="AD100" i="65"/>
  <c r="AB100" i="65"/>
  <c r="AC100" i="65"/>
  <c r="Y100" i="65"/>
  <c r="I100" i="65"/>
  <c r="W100" i="65"/>
  <c r="G100" i="65"/>
  <c r="O100" i="65"/>
  <c r="AA100" i="65"/>
  <c r="P100" i="65"/>
  <c r="V100" i="65"/>
  <c r="O101" i="63"/>
  <c r="AE101" i="63"/>
  <c r="AU101" i="63"/>
  <c r="P101" i="63"/>
  <c r="AF101" i="63"/>
  <c r="AV101" i="63"/>
  <c r="AG101" i="63"/>
  <c r="AW101" i="63"/>
  <c r="AH101" i="63"/>
  <c r="AX101" i="63"/>
  <c r="S101" i="63"/>
  <c r="AI101" i="63"/>
  <c r="AY101" i="63"/>
  <c r="T101" i="63"/>
  <c r="AJ101" i="63"/>
  <c r="V101" i="63"/>
  <c r="D101" i="65" s="1"/>
  <c r="AL101" i="63"/>
  <c r="AC101" i="63"/>
  <c r="AD101" i="63"/>
  <c r="H101" i="63"/>
  <c r="AK101" i="63"/>
  <c r="AM101" i="63"/>
  <c r="J101" i="63"/>
  <c r="AN101" i="63"/>
  <c r="K101" i="63"/>
  <c r="AO101" i="63"/>
  <c r="M101" i="63"/>
  <c r="AQ101" i="63"/>
  <c r="N101" i="63"/>
  <c r="AR101" i="63"/>
  <c r="U101" i="63"/>
  <c r="AS101" i="63"/>
  <c r="W101" i="63"/>
  <c r="AT101" i="63"/>
  <c r="Z101" i="63"/>
  <c r="AP101" i="63"/>
  <c r="L101" i="63"/>
  <c r="A102" i="63"/>
  <c r="Z101" i="65" l="1"/>
  <c r="AC101" i="65"/>
  <c r="K101" i="65"/>
  <c r="J101" i="65"/>
  <c r="P101" i="65"/>
  <c r="V101" i="65"/>
  <c r="O101" i="65"/>
  <c r="AA101" i="65"/>
  <c r="W101" i="65"/>
  <c r="I101" i="65"/>
  <c r="G101" i="65"/>
  <c r="M102" i="63"/>
  <c r="AC102" i="63"/>
  <c r="AS102" i="63"/>
  <c r="N102" i="63"/>
  <c r="AD102" i="63"/>
  <c r="AT102" i="63"/>
  <c r="O102" i="63"/>
  <c r="AE102" i="63"/>
  <c r="AU102" i="63"/>
  <c r="P102" i="63"/>
  <c r="AF102" i="63"/>
  <c r="AV102" i="63"/>
  <c r="AG102" i="63"/>
  <c r="AW102" i="63"/>
  <c r="AH102" i="63"/>
  <c r="T102" i="63"/>
  <c r="AJ102" i="63"/>
  <c r="AK102" i="63"/>
  <c r="H102" i="63"/>
  <c r="AL102" i="63"/>
  <c r="I102" i="63"/>
  <c r="AM102" i="63"/>
  <c r="J102" i="63"/>
  <c r="AN102" i="63"/>
  <c r="AO102" i="63"/>
  <c r="L102" i="63"/>
  <c r="AP102" i="63"/>
  <c r="AQ102" i="63"/>
  <c r="U102" i="63"/>
  <c r="AR102" i="63"/>
  <c r="W102" i="63"/>
  <c r="AY102" i="63"/>
  <c r="Z102" i="63"/>
  <c r="V102" i="63"/>
  <c r="AI102" i="63"/>
  <c r="AX102" i="63"/>
  <c r="Y101" i="65"/>
  <c r="A103" i="63"/>
  <c r="P102" i="65" l="1"/>
  <c r="AE102" i="65"/>
  <c r="AC102" i="65"/>
  <c r="J102" i="65"/>
  <c r="D102" i="65"/>
  <c r="K102" i="65"/>
  <c r="W102" i="65"/>
  <c r="Z102" i="65"/>
  <c r="G102" i="65"/>
  <c r="I102" i="65"/>
  <c r="V102" i="65"/>
  <c r="O102" i="65"/>
  <c r="AA102" i="65"/>
  <c r="AQ103" i="63"/>
  <c r="L103" i="63"/>
  <c r="AR103" i="63"/>
  <c r="AC103" i="63"/>
  <c r="AS103" i="63"/>
  <c r="N103" i="63"/>
  <c r="AD103" i="63"/>
  <c r="AT103" i="63"/>
  <c r="O103" i="63"/>
  <c r="AE103" i="63"/>
  <c r="AU103" i="63"/>
  <c r="B103" i="63"/>
  <c r="AH103" i="63"/>
  <c r="AX103" i="63"/>
  <c r="I103" i="63"/>
  <c r="AK103" i="63"/>
  <c r="J103" i="63"/>
  <c r="AL103" i="63"/>
  <c r="P103" i="63"/>
  <c r="AM103" i="63"/>
  <c r="AN103" i="63"/>
  <c r="AO103" i="63"/>
  <c r="T103" i="63"/>
  <c r="AP103" i="63"/>
  <c r="U103" i="63"/>
  <c r="AV103" i="63"/>
  <c r="V103" i="63"/>
  <c r="D103" i="65" s="1"/>
  <c r="AW103" i="63"/>
  <c r="X103" i="63"/>
  <c r="C103" i="63"/>
  <c r="Y103" i="63"/>
  <c r="AE103" i="65" s="1"/>
  <c r="D103" i="63"/>
  <c r="Z103" i="63"/>
  <c r="E103" i="63"/>
  <c r="AF103" i="63"/>
  <c r="F103" i="63"/>
  <c r="G103" i="63"/>
  <c r="H103" i="63"/>
  <c r="AG103" i="63"/>
  <c r="AI103" i="63"/>
  <c r="AJ103" i="63"/>
  <c r="AY103" i="63"/>
  <c r="W103" i="63"/>
  <c r="A104" i="63"/>
  <c r="AD103" i="65" l="1"/>
  <c r="AC103" i="65"/>
  <c r="T103" i="65"/>
  <c r="J103" i="65"/>
  <c r="K103" i="65"/>
  <c r="Z103" i="65"/>
  <c r="W103" i="65"/>
  <c r="I103" i="65"/>
  <c r="V103" i="65"/>
  <c r="O103" i="65"/>
  <c r="AA103" i="65"/>
  <c r="P103" i="65"/>
  <c r="G103" i="65"/>
  <c r="I104" i="63"/>
  <c r="Y104" i="63"/>
  <c r="AE104" i="65" s="1"/>
  <c r="AO104" i="63"/>
  <c r="J104" i="63"/>
  <c r="Z104" i="63"/>
  <c r="AP104" i="63"/>
  <c r="AQ104" i="63"/>
  <c r="L104" i="63"/>
  <c r="AR104" i="63"/>
  <c r="AC104" i="63"/>
  <c r="AS104" i="63"/>
  <c r="P104" i="63"/>
  <c r="AF104" i="63"/>
  <c r="AV104" i="63"/>
  <c r="N104" i="63"/>
  <c r="AK104" i="63"/>
  <c r="O104" i="63"/>
  <c r="AL104" i="63"/>
  <c r="AM104" i="63"/>
  <c r="AN104" i="63"/>
  <c r="AT104" i="63"/>
  <c r="T104" i="63"/>
  <c r="AU104" i="63"/>
  <c r="U104" i="63"/>
  <c r="AW104" i="63"/>
  <c r="V104" i="63"/>
  <c r="D104" i="65" s="1"/>
  <c r="AX104" i="63"/>
  <c r="B104" i="63"/>
  <c r="X104" i="63"/>
  <c r="C104" i="63"/>
  <c r="AD104" i="63"/>
  <c r="D104" i="63"/>
  <c r="AE104" i="63"/>
  <c r="E104" i="63"/>
  <c r="AG104" i="63"/>
  <c r="W104" i="63"/>
  <c r="AH104" i="63"/>
  <c r="AI104" i="63"/>
  <c r="AJ104" i="63"/>
  <c r="AY104" i="63"/>
  <c r="F104" i="63"/>
  <c r="G104" i="63"/>
  <c r="H104" i="63"/>
  <c r="G104" i="65" s="1"/>
  <c r="A105" i="63"/>
  <c r="T104" i="65" l="1"/>
  <c r="AC104" i="65"/>
  <c r="AD104" i="65"/>
  <c r="Z104" i="65"/>
  <c r="K104" i="65"/>
  <c r="J104" i="65"/>
  <c r="W104" i="65"/>
  <c r="I104" i="65"/>
  <c r="V104" i="65"/>
  <c r="O104" i="65"/>
  <c r="AA104" i="65"/>
  <c r="P104" i="65"/>
  <c r="G105" i="63"/>
  <c r="W105" i="63"/>
  <c r="AM105" i="63"/>
  <c r="H105" i="63"/>
  <c r="X105" i="63"/>
  <c r="AN105" i="63"/>
  <c r="I105" i="63"/>
  <c r="Y105" i="63"/>
  <c r="AE105" i="65" s="1"/>
  <c r="AO105" i="63"/>
  <c r="J105" i="63"/>
  <c r="Z105" i="63"/>
  <c r="AP105" i="63"/>
  <c r="AQ105" i="63"/>
  <c r="N105" i="63"/>
  <c r="AD105" i="63"/>
  <c r="AT105" i="63"/>
  <c r="O105" i="63"/>
  <c r="AK105" i="63"/>
  <c r="P105" i="63"/>
  <c r="AL105" i="63"/>
  <c r="Q105" i="63"/>
  <c r="AR105" i="63"/>
  <c r="R105" i="63"/>
  <c r="AS105" i="63"/>
  <c r="AU105" i="63"/>
  <c r="T105" i="63"/>
  <c r="AV105" i="63"/>
  <c r="U105" i="63"/>
  <c r="AW105" i="63"/>
  <c r="V105" i="63"/>
  <c r="D105" i="65" s="1"/>
  <c r="AX105" i="63"/>
  <c r="B105" i="63"/>
  <c r="AC105" i="63"/>
  <c r="C105" i="63"/>
  <c r="AE105" i="63"/>
  <c r="D105" i="63"/>
  <c r="AF105" i="63"/>
  <c r="E105" i="63"/>
  <c r="AG105" i="63"/>
  <c r="F105" i="63"/>
  <c r="L105" i="63"/>
  <c r="M105" i="63"/>
  <c r="AH105" i="63"/>
  <c r="AI105" i="63"/>
  <c r="AJ105" i="63"/>
  <c r="AY105" i="63"/>
  <c r="A106" i="63"/>
  <c r="AB105" i="65" l="1"/>
  <c r="T105" i="65"/>
  <c r="AD105" i="65"/>
  <c r="AC105" i="65"/>
  <c r="Z105" i="65"/>
  <c r="K105" i="65"/>
  <c r="J105" i="65"/>
  <c r="G105" i="65"/>
  <c r="V105" i="65"/>
  <c r="O105" i="65"/>
  <c r="AA105" i="65"/>
  <c r="W105" i="65"/>
  <c r="P105" i="65"/>
  <c r="I105" i="65"/>
  <c r="E106" i="63"/>
  <c r="U106" i="63"/>
  <c r="AK106" i="63"/>
  <c r="F106" i="63"/>
  <c r="G106" i="63"/>
  <c r="W106" i="63"/>
  <c r="AM106" i="63"/>
  <c r="H106" i="63"/>
  <c r="G106" i="65" s="1"/>
  <c r="X106" i="63"/>
  <c r="AN106" i="63"/>
  <c r="I106" i="63"/>
  <c r="Y106" i="63"/>
  <c r="AE106" i="65" s="1"/>
  <c r="AO106" i="63"/>
  <c r="L106" i="63"/>
  <c r="AR106" i="63"/>
  <c r="O106" i="63"/>
  <c r="AJ106" i="63"/>
  <c r="P106" i="63"/>
  <c r="AL106" i="63"/>
  <c r="Q106" i="63"/>
  <c r="AP106" i="63"/>
  <c r="R106" i="63"/>
  <c r="AQ106" i="63"/>
  <c r="S106" i="63"/>
  <c r="AS106" i="63"/>
  <c r="T106" i="63"/>
  <c r="AT106" i="63"/>
  <c r="V106" i="63"/>
  <c r="AU106" i="63"/>
  <c r="Z106" i="63"/>
  <c r="AV106" i="63"/>
  <c r="B106" i="63"/>
  <c r="AC106" i="63"/>
  <c r="AX106" i="63"/>
  <c r="C106" i="63"/>
  <c r="AD106" i="63"/>
  <c r="AY106" i="63"/>
  <c r="D106" i="63"/>
  <c r="V106" i="65" s="1"/>
  <c r="AE106" i="63"/>
  <c r="J106" i="63"/>
  <c r="AF106" i="63"/>
  <c r="AG106" i="63"/>
  <c r="AH106" i="63"/>
  <c r="AI106" i="63"/>
  <c r="AW106" i="63"/>
  <c r="K106" i="63"/>
  <c r="M106" i="63"/>
  <c r="N106" i="63"/>
  <c r="A107" i="63"/>
  <c r="T106" i="65" l="1"/>
  <c r="AD106" i="65"/>
  <c r="Z106" i="65"/>
  <c r="O106" i="65"/>
  <c r="AC106" i="65"/>
  <c r="J106" i="65"/>
  <c r="K106" i="65"/>
  <c r="D106" i="65"/>
  <c r="AA106" i="65"/>
  <c r="AB106" i="65"/>
  <c r="W106" i="65"/>
  <c r="I106" i="65"/>
  <c r="P106" i="65"/>
  <c r="S107" i="63"/>
  <c r="AI107" i="63"/>
  <c r="AY107" i="63"/>
  <c r="K107" i="63"/>
  <c r="AS107" i="63"/>
  <c r="L107" i="63"/>
  <c r="AC107" i="63"/>
  <c r="AT107" i="63"/>
  <c r="M107" i="63"/>
  <c r="AD107" i="63"/>
  <c r="AU107" i="63"/>
  <c r="N107" i="63"/>
  <c r="AE107" i="63"/>
  <c r="AV107" i="63"/>
  <c r="O107" i="63"/>
  <c r="AF107" i="63"/>
  <c r="AW107" i="63"/>
  <c r="P107" i="63"/>
  <c r="AG107" i="63"/>
  <c r="AX107" i="63"/>
  <c r="Q107" i="63"/>
  <c r="AH107" i="63"/>
  <c r="R107" i="63"/>
  <c r="AJ107" i="63"/>
  <c r="U107" i="63"/>
  <c r="AL107" i="63"/>
  <c r="V107" i="63"/>
  <c r="AM107" i="63"/>
  <c r="W107" i="63"/>
  <c r="AN107" i="63"/>
  <c r="AO107" i="63"/>
  <c r="H107" i="63"/>
  <c r="I107" i="63"/>
  <c r="J107" i="63"/>
  <c r="Z107" i="63"/>
  <c r="AK107" i="63"/>
  <c r="AP107" i="63"/>
  <c r="AQ107" i="63"/>
  <c r="AR107" i="63"/>
  <c r="T107" i="63"/>
  <c r="Y106" i="65"/>
  <c r="A108" i="63"/>
  <c r="P107" i="65" l="1"/>
  <c r="AB107" i="65"/>
  <c r="AC107" i="65"/>
  <c r="D107" i="65"/>
  <c r="J107" i="65"/>
  <c r="K107" i="65"/>
  <c r="Z107" i="65"/>
  <c r="G107" i="65"/>
  <c r="I107" i="65"/>
  <c r="Y107" i="65"/>
  <c r="O107" i="65"/>
  <c r="AA107" i="65"/>
  <c r="V107" i="65"/>
  <c r="W107" i="65"/>
  <c r="AG108" i="63"/>
  <c r="AW108" i="63"/>
  <c r="L108" i="63"/>
  <c r="K108" i="65" s="1"/>
  <c r="AC108" i="63"/>
  <c r="AT108" i="63"/>
  <c r="M108" i="63"/>
  <c r="AD108" i="63"/>
  <c r="AU108" i="63"/>
  <c r="N108" i="63"/>
  <c r="AE108" i="63"/>
  <c r="AV108" i="63"/>
  <c r="O108" i="63"/>
  <c r="AF108" i="63"/>
  <c r="AX108" i="63"/>
  <c r="P108" i="63"/>
  <c r="AH108" i="63"/>
  <c r="AY108" i="63"/>
  <c r="AI108" i="63"/>
  <c r="B108" i="63"/>
  <c r="S108" i="63"/>
  <c r="AJ108" i="63"/>
  <c r="C108" i="63"/>
  <c r="T108" i="63"/>
  <c r="AK108" i="63"/>
  <c r="E108" i="63"/>
  <c r="V108" i="63"/>
  <c r="AM108" i="63"/>
  <c r="F108" i="63"/>
  <c r="W108" i="63"/>
  <c r="AN108" i="63"/>
  <c r="G108" i="63"/>
  <c r="X108" i="63"/>
  <c r="AO108" i="63"/>
  <c r="H108" i="63"/>
  <c r="Y108" i="63"/>
  <c r="AE108" i="65" s="1"/>
  <c r="AP108" i="63"/>
  <c r="D108" i="63"/>
  <c r="I108" i="63"/>
  <c r="J108" i="63"/>
  <c r="K108" i="63"/>
  <c r="U108" i="63"/>
  <c r="Z108" i="63"/>
  <c r="AQ108" i="63"/>
  <c r="AR108" i="63"/>
  <c r="AS108" i="63"/>
  <c r="AL108" i="63"/>
  <c r="A109" i="63"/>
  <c r="AD108" i="65" l="1"/>
  <c r="J108" i="65"/>
  <c r="T108" i="65"/>
  <c r="AC108" i="65"/>
  <c r="P108" i="65"/>
  <c r="D108" i="65"/>
  <c r="Z108" i="65"/>
  <c r="W108" i="65"/>
  <c r="O108" i="65"/>
  <c r="AA108" i="65"/>
  <c r="V108" i="65"/>
  <c r="I108" i="65"/>
  <c r="G108" i="65"/>
  <c r="Y108" i="65"/>
  <c r="O109" i="63"/>
  <c r="AE109" i="63"/>
  <c r="AU109" i="63"/>
  <c r="M109" i="63"/>
  <c r="AD109" i="63"/>
  <c r="AV109" i="63"/>
  <c r="N109" i="63"/>
  <c r="AF109" i="63"/>
  <c r="AW109" i="63"/>
  <c r="P109" i="63"/>
  <c r="AG109" i="63"/>
  <c r="AX109" i="63"/>
  <c r="AH109" i="63"/>
  <c r="AY109" i="63"/>
  <c r="AI109" i="63"/>
  <c r="B109" i="63"/>
  <c r="AJ109" i="63"/>
  <c r="C109" i="63"/>
  <c r="T109" i="63"/>
  <c r="AK109" i="63"/>
  <c r="D109" i="63"/>
  <c r="V109" i="65" s="1"/>
  <c r="U109" i="63"/>
  <c r="AL109" i="63"/>
  <c r="F109" i="63"/>
  <c r="W109" i="63"/>
  <c r="AN109" i="63"/>
  <c r="G109" i="63"/>
  <c r="X109" i="63"/>
  <c r="AO109" i="63"/>
  <c r="H109" i="63"/>
  <c r="Y109" i="63"/>
  <c r="AE109" i="65" s="1"/>
  <c r="AP109" i="63"/>
  <c r="I109" i="63"/>
  <c r="Z109" i="63"/>
  <c r="AQ109" i="63"/>
  <c r="V109" i="63"/>
  <c r="D109" i="65" s="1"/>
  <c r="AC109" i="63"/>
  <c r="AM109" i="63"/>
  <c r="AR109" i="63"/>
  <c r="AS109" i="63"/>
  <c r="AT109" i="63"/>
  <c r="E109" i="63"/>
  <c r="J109" i="63"/>
  <c r="L109" i="63"/>
  <c r="A110" i="63"/>
  <c r="AD109" i="65" l="1"/>
  <c r="AC109" i="65"/>
  <c r="T109" i="65"/>
  <c r="P109" i="65"/>
  <c r="J109" i="65"/>
  <c r="K109" i="65"/>
  <c r="Z109" i="65"/>
  <c r="O109" i="65"/>
  <c r="AA109" i="65"/>
  <c r="W109" i="65"/>
  <c r="G109" i="65"/>
  <c r="I109" i="65"/>
  <c r="M110" i="63"/>
  <c r="AC110" i="63"/>
  <c r="AS110" i="63"/>
  <c r="O110" i="63"/>
  <c r="AF110" i="63"/>
  <c r="AW110" i="63"/>
  <c r="P110" i="63"/>
  <c r="AG110" i="63"/>
  <c r="AX110" i="63"/>
  <c r="AH110" i="63"/>
  <c r="AY110" i="63"/>
  <c r="AI110" i="63"/>
  <c r="AJ110" i="63"/>
  <c r="T110" i="63"/>
  <c r="AK110" i="63"/>
  <c r="U110" i="63"/>
  <c r="AL110" i="63"/>
  <c r="V110" i="63"/>
  <c r="AM110" i="63"/>
  <c r="AO110" i="63"/>
  <c r="H110" i="63"/>
  <c r="AP110" i="63"/>
  <c r="I110" i="63"/>
  <c r="Z110" i="63"/>
  <c r="P110" i="65" s="1"/>
  <c r="AQ110" i="63"/>
  <c r="J110" i="63"/>
  <c r="AR110" i="63"/>
  <c r="AN110" i="63"/>
  <c r="AT110" i="63"/>
  <c r="AU110" i="63"/>
  <c r="AV110" i="63"/>
  <c r="L110" i="63"/>
  <c r="N110" i="63"/>
  <c r="W110" i="63"/>
  <c r="AD110" i="63"/>
  <c r="AE110" i="63"/>
  <c r="A111" i="63"/>
  <c r="AC110" i="65" l="1"/>
  <c r="D110" i="65"/>
  <c r="J110" i="65"/>
  <c r="K110" i="65"/>
  <c r="Z110" i="65"/>
  <c r="O110" i="65"/>
  <c r="AA110" i="65"/>
  <c r="V110" i="65"/>
  <c r="G110" i="65"/>
  <c r="I110" i="65"/>
  <c r="W110" i="65"/>
  <c r="AQ111" i="63"/>
  <c r="P111" i="63"/>
  <c r="AG111" i="63"/>
  <c r="AX111" i="63"/>
  <c r="AH111" i="63"/>
  <c r="AY111" i="63"/>
  <c r="AI111" i="63"/>
  <c r="B111" i="63"/>
  <c r="AJ111" i="63"/>
  <c r="C111" i="63"/>
  <c r="T111" i="63"/>
  <c r="AK111" i="63"/>
  <c r="D111" i="63"/>
  <c r="U111" i="63"/>
  <c r="AL111" i="63"/>
  <c r="E111" i="63"/>
  <c r="V111" i="63"/>
  <c r="D111" i="65" s="1"/>
  <c r="AM111" i="63"/>
  <c r="F111" i="63"/>
  <c r="W111" i="63"/>
  <c r="AN111" i="63"/>
  <c r="H111" i="63"/>
  <c r="Y111" i="63"/>
  <c r="AP111" i="63"/>
  <c r="I111" i="63"/>
  <c r="Z111" i="63"/>
  <c r="AR111" i="63"/>
  <c r="J111" i="63"/>
  <c r="AS111" i="63"/>
  <c r="L111" i="63"/>
  <c r="K111" i="65" s="1"/>
  <c r="AC111" i="63"/>
  <c r="AT111" i="63"/>
  <c r="G111" i="63"/>
  <c r="M111" i="63"/>
  <c r="N111" i="63"/>
  <c r="O111" i="63"/>
  <c r="AD111" i="63"/>
  <c r="AE111" i="63"/>
  <c r="AF111" i="63"/>
  <c r="AO111" i="63"/>
  <c r="X111" i="63"/>
  <c r="AU111" i="63"/>
  <c r="AV111" i="63"/>
  <c r="AW111" i="63"/>
  <c r="A112" i="63"/>
  <c r="P111" i="65" l="1"/>
  <c r="T111" i="65"/>
  <c r="AD111" i="65"/>
  <c r="AE111" i="65"/>
  <c r="O111" i="65"/>
  <c r="AC111" i="65"/>
  <c r="Z111" i="65"/>
  <c r="J111" i="65"/>
  <c r="AA111" i="65"/>
  <c r="I111" i="65"/>
  <c r="W111" i="65"/>
  <c r="V111" i="65"/>
  <c r="G111" i="65"/>
  <c r="I112" i="63"/>
  <c r="Y112" i="63"/>
  <c r="AE112" i="65" s="1"/>
  <c r="AO112" i="63"/>
  <c r="Q112" i="63"/>
  <c r="AH112" i="63"/>
  <c r="AY112" i="63"/>
  <c r="R112" i="63"/>
  <c r="AI112" i="63"/>
  <c r="B112" i="63"/>
  <c r="AJ112" i="63"/>
  <c r="C112" i="63"/>
  <c r="T112" i="63"/>
  <c r="AK112" i="63"/>
  <c r="D112" i="63"/>
  <c r="U112" i="63"/>
  <c r="AL112" i="63"/>
  <c r="E112" i="63"/>
  <c r="V112" i="63"/>
  <c r="AM112" i="63"/>
  <c r="F112" i="63"/>
  <c r="W112" i="63"/>
  <c r="AN112" i="63"/>
  <c r="G112" i="63"/>
  <c r="X112" i="63"/>
  <c r="AP112" i="63"/>
  <c r="J112" i="63"/>
  <c r="AR112" i="63"/>
  <c r="AS112" i="63"/>
  <c r="L112" i="63"/>
  <c r="AC112" i="63"/>
  <c r="AT112" i="63"/>
  <c r="M112" i="63"/>
  <c r="AD112" i="63"/>
  <c r="AU112" i="63"/>
  <c r="H112" i="63"/>
  <c r="G112" i="65" s="1"/>
  <c r="N112" i="63"/>
  <c r="O112" i="63"/>
  <c r="P112" i="63"/>
  <c r="Z112" i="63"/>
  <c r="AE112" i="63"/>
  <c r="AF112" i="63"/>
  <c r="AG112" i="63"/>
  <c r="AV112" i="63"/>
  <c r="AW112" i="63"/>
  <c r="AX112" i="63"/>
  <c r="AQ112" i="63"/>
  <c r="A113" i="63"/>
  <c r="T112" i="65" l="1"/>
  <c r="Z112" i="65"/>
  <c r="AC112" i="65"/>
  <c r="AD112" i="65"/>
  <c r="AB112" i="65"/>
  <c r="J112" i="65"/>
  <c r="D112" i="65"/>
  <c r="K112" i="65"/>
  <c r="I112" i="65"/>
  <c r="O112" i="65"/>
  <c r="AA112" i="65"/>
  <c r="V112" i="65"/>
  <c r="W112" i="65"/>
  <c r="P112" i="65"/>
  <c r="G113" i="63"/>
  <c r="W113" i="63"/>
  <c r="AM113" i="63"/>
  <c r="R113" i="63"/>
  <c r="AI113" i="63"/>
  <c r="B113" i="63"/>
  <c r="S113" i="63"/>
  <c r="AJ113" i="63"/>
  <c r="C113" i="63"/>
  <c r="T113" i="63"/>
  <c r="AK113" i="63"/>
  <c r="D113" i="63"/>
  <c r="U113" i="63"/>
  <c r="AL113" i="63"/>
  <c r="E113" i="63"/>
  <c r="AN113" i="63"/>
  <c r="F113" i="63"/>
  <c r="X113" i="63"/>
  <c r="AO113" i="63"/>
  <c r="H113" i="63"/>
  <c r="Y113" i="63"/>
  <c r="AE113" i="65" s="1"/>
  <c r="AP113" i="63"/>
  <c r="I113" i="63"/>
  <c r="Z113" i="63"/>
  <c r="AQ113" i="63"/>
  <c r="K113" i="63"/>
  <c r="AS113" i="63"/>
  <c r="L113" i="63"/>
  <c r="AC113" i="63"/>
  <c r="AT113" i="63"/>
  <c r="M113" i="63"/>
  <c r="AD113" i="63"/>
  <c r="AU113" i="63"/>
  <c r="AE113" i="63"/>
  <c r="AV113" i="63"/>
  <c r="AF113" i="63"/>
  <c r="AG113" i="63"/>
  <c r="AH113" i="63"/>
  <c r="AR113" i="63"/>
  <c r="AW113" i="63"/>
  <c r="AX113" i="63"/>
  <c r="AY113" i="63"/>
  <c r="J113" i="63"/>
  <c r="O113" i="63"/>
  <c r="P113" i="63"/>
  <c r="Q113" i="63"/>
  <c r="W113" i="65"/>
  <c r="A114" i="63"/>
  <c r="AD113" i="65" l="1"/>
  <c r="T113" i="65"/>
  <c r="AB113" i="65"/>
  <c r="AC113" i="65"/>
  <c r="P113" i="65"/>
  <c r="K113" i="65"/>
  <c r="D113" i="65"/>
  <c r="Z113" i="65"/>
  <c r="I113" i="65"/>
  <c r="O113" i="65"/>
  <c r="AA113" i="65"/>
  <c r="V113" i="65"/>
  <c r="G113" i="65"/>
  <c r="E114" i="63"/>
  <c r="U114" i="63"/>
  <c r="AK114" i="63"/>
  <c r="B114" i="63"/>
  <c r="S114" i="63"/>
  <c r="AJ114" i="63"/>
  <c r="C114" i="63"/>
  <c r="T114" i="63"/>
  <c r="AL114" i="63"/>
  <c r="D114" i="63"/>
  <c r="V114" i="65" s="1"/>
  <c r="V114" i="63"/>
  <c r="AM114" i="63"/>
  <c r="F114" i="63"/>
  <c r="W114" i="63"/>
  <c r="AN114" i="63"/>
  <c r="G114" i="63"/>
  <c r="X114" i="63"/>
  <c r="AO114" i="63"/>
  <c r="H114" i="63"/>
  <c r="Y114" i="63"/>
  <c r="AP114" i="63"/>
  <c r="I114" i="63"/>
  <c r="O114" i="65" s="1"/>
  <c r="Z114" i="63"/>
  <c r="AQ114" i="63"/>
  <c r="J114" i="63"/>
  <c r="AR114" i="63"/>
  <c r="L114" i="63"/>
  <c r="AC114" i="63"/>
  <c r="AT114" i="63"/>
  <c r="M114" i="63"/>
  <c r="AD114" i="63"/>
  <c r="AU114" i="63"/>
  <c r="N114" i="63"/>
  <c r="AE114" i="63"/>
  <c r="AV114" i="63"/>
  <c r="AF114" i="63"/>
  <c r="AW114" i="63"/>
  <c r="AS114" i="63"/>
  <c r="AX114" i="63"/>
  <c r="AY114" i="63"/>
  <c r="P114" i="63"/>
  <c r="Q114" i="63"/>
  <c r="R114" i="63"/>
  <c r="K114" i="63"/>
  <c r="AG114" i="63"/>
  <c r="AH114" i="63"/>
  <c r="AI114" i="63"/>
  <c r="Y113" i="65"/>
  <c r="A115" i="63"/>
  <c r="AD114" i="65" l="1"/>
  <c r="AE114" i="65"/>
  <c r="T114" i="65"/>
  <c r="AC114" i="65"/>
  <c r="P114" i="65"/>
  <c r="J114" i="65"/>
  <c r="K114" i="65"/>
  <c r="D114" i="65"/>
  <c r="W114" i="65"/>
  <c r="Z114" i="65"/>
  <c r="AA114" i="65"/>
  <c r="AB114" i="65"/>
  <c r="G114" i="65"/>
  <c r="I114" i="65"/>
  <c r="S115" i="63"/>
  <c r="AI115" i="63"/>
  <c r="AY115" i="63"/>
  <c r="U115" i="63"/>
  <c r="AL115" i="63"/>
  <c r="V115" i="63"/>
  <c r="AM115" i="63"/>
  <c r="W115" i="63"/>
  <c r="AN115" i="63"/>
  <c r="AO115" i="63"/>
  <c r="H115" i="63"/>
  <c r="AP115" i="63"/>
  <c r="I115" i="63"/>
  <c r="Z115" i="63"/>
  <c r="AQ115" i="63"/>
  <c r="J115" i="63"/>
  <c r="AR115" i="63"/>
  <c r="K115" i="63"/>
  <c r="AS115" i="63"/>
  <c r="M115" i="63"/>
  <c r="AD115" i="63"/>
  <c r="AU115" i="63"/>
  <c r="N115" i="63"/>
  <c r="AE115" i="63"/>
  <c r="AV115" i="63"/>
  <c r="O115" i="63"/>
  <c r="AF115" i="63"/>
  <c r="AW115" i="63"/>
  <c r="P115" i="63"/>
  <c r="AG115" i="63"/>
  <c r="AX115" i="63"/>
  <c r="L115" i="63"/>
  <c r="T115" i="63"/>
  <c r="AH115" i="63"/>
  <c r="AJ115" i="63"/>
  <c r="AK115" i="63"/>
  <c r="AT115" i="63"/>
  <c r="AC115" i="63"/>
  <c r="Y114" i="65"/>
  <c r="A116" i="63"/>
  <c r="AC115" i="65" l="1"/>
  <c r="Z115" i="65"/>
  <c r="J115" i="65"/>
  <c r="K115" i="65"/>
  <c r="D115" i="65"/>
  <c r="P115" i="65"/>
  <c r="I115" i="65"/>
  <c r="O115" i="65"/>
  <c r="AA115" i="65"/>
  <c r="V115" i="65"/>
  <c r="G115" i="65"/>
  <c r="W115" i="65"/>
  <c r="AG116" i="63"/>
  <c r="AM116" i="63"/>
  <c r="W116" i="63"/>
  <c r="AN116" i="63"/>
  <c r="AO116" i="63"/>
  <c r="H116" i="63"/>
  <c r="AP116" i="63"/>
  <c r="I116" i="63"/>
  <c r="Z116" i="63"/>
  <c r="AQ116" i="63"/>
  <c r="J116" i="63"/>
  <c r="AR116" i="63"/>
  <c r="AS116" i="63"/>
  <c r="L116" i="63"/>
  <c r="AC116" i="63"/>
  <c r="AT116" i="63"/>
  <c r="AE116" i="63"/>
  <c r="AV116" i="63"/>
  <c r="O116" i="63"/>
  <c r="AF116" i="63"/>
  <c r="AW116" i="63"/>
  <c r="P116" i="63"/>
  <c r="AH116" i="63"/>
  <c r="AX116" i="63"/>
  <c r="AI116" i="63"/>
  <c r="AY116" i="63"/>
  <c r="M116" i="63"/>
  <c r="T116" i="63"/>
  <c r="U116" i="63"/>
  <c r="AD116" i="63"/>
  <c r="AJ116" i="63"/>
  <c r="AK116" i="63"/>
  <c r="AL116" i="63"/>
  <c r="AU116" i="63"/>
  <c r="Y115" i="65"/>
  <c r="A117" i="63"/>
  <c r="AC116" i="65" l="1"/>
  <c r="P116" i="65"/>
  <c r="I116" i="65"/>
  <c r="K116" i="65"/>
  <c r="Z116" i="65"/>
  <c r="W116" i="65"/>
  <c r="O116" i="65"/>
  <c r="AA116" i="65"/>
  <c r="V116" i="65"/>
  <c r="G116" i="65"/>
  <c r="E117" i="63"/>
  <c r="U117" i="63"/>
  <c r="AK117" i="63"/>
  <c r="F117" i="63"/>
  <c r="AL117" i="63"/>
  <c r="G117" i="63"/>
  <c r="W117" i="63"/>
  <c r="AM117" i="63"/>
  <c r="H117" i="63"/>
  <c r="G117" i="65" s="1"/>
  <c r="X117" i="63"/>
  <c r="AN117" i="63"/>
  <c r="I117" i="63"/>
  <c r="Y117" i="63"/>
  <c r="AE117" i="65" s="1"/>
  <c r="AO117" i="63"/>
  <c r="J117" i="63"/>
  <c r="Z117" i="63"/>
  <c r="AP117" i="63"/>
  <c r="AQ117" i="63"/>
  <c r="L117" i="63"/>
  <c r="K117" i="65" s="1"/>
  <c r="AR117" i="63"/>
  <c r="AD117" i="63"/>
  <c r="AT117" i="63"/>
  <c r="AE117" i="63"/>
  <c r="AU117" i="63"/>
  <c r="P117" i="63"/>
  <c r="AF117" i="63"/>
  <c r="AV117" i="63"/>
  <c r="AG117" i="63"/>
  <c r="AW117" i="63"/>
  <c r="AC117" i="63"/>
  <c r="AH117" i="63"/>
  <c r="AI117" i="63"/>
  <c r="AJ117" i="63"/>
  <c r="AS117" i="63"/>
  <c r="AX117" i="63"/>
  <c r="AY117" i="63"/>
  <c r="B117" i="63"/>
  <c r="C117" i="63"/>
  <c r="D117" i="63"/>
  <c r="M117" i="63"/>
  <c r="A118" i="63"/>
  <c r="T117" i="65" l="1"/>
  <c r="AD117" i="65"/>
  <c r="O117" i="65"/>
  <c r="AC117" i="65"/>
  <c r="Z117" i="65"/>
  <c r="D117" i="65"/>
  <c r="P117" i="65"/>
  <c r="W117" i="65"/>
  <c r="I117" i="65"/>
  <c r="V117" i="65"/>
  <c r="C118" i="63"/>
  <c r="AI118" i="63"/>
  <c r="AY118" i="63"/>
  <c r="D118" i="63"/>
  <c r="AJ118" i="63"/>
  <c r="E118" i="63"/>
  <c r="U118" i="63"/>
  <c r="AK118" i="63"/>
  <c r="F118" i="63"/>
  <c r="V118" i="63"/>
  <c r="AL118" i="63"/>
  <c r="G118" i="63"/>
  <c r="W118" i="63"/>
  <c r="AM118" i="63"/>
  <c r="H118" i="63"/>
  <c r="X118" i="63"/>
  <c r="AN118" i="63"/>
  <c r="I118" i="63"/>
  <c r="Y118" i="63"/>
  <c r="AE118" i="65" s="1"/>
  <c r="AO118" i="63"/>
  <c r="J118" i="63"/>
  <c r="Z118" i="63"/>
  <c r="AP118" i="63"/>
  <c r="L118" i="63"/>
  <c r="AR118" i="63"/>
  <c r="M118" i="63"/>
  <c r="AC118" i="63"/>
  <c r="AS118" i="63"/>
  <c r="N118" i="63"/>
  <c r="AD118" i="63"/>
  <c r="AT118" i="63"/>
  <c r="AE118" i="63"/>
  <c r="AU118" i="63"/>
  <c r="AQ118" i="63"/>
  <c r="AV118" i="63"/>
  <c r="AW118" i="63"/>
  <c r="AX118" i="63"/>
  <c r="B118" i="63"/>
  <c r="P118" i="63"/>
  <c r="AF118" i="63"/>
  <c r="AG118" i="63"/>
  <c r="AH118" i="63"/>
  <c r="A119" i="63"/>
  <c r="AC118" i="65" l="1"/>
  <c r="AD118" i="65"/>
  <c r="T118" i="65"/>
  <c r="J118" i="65"/>
  <c r="D118" i="65"/>
  <c r="K118" i="65"/>
  <c r="W118" i="65"/>
  <c r="Z118" i="65"/>
  <c r="P118" i="65"/>
  <c r="I118" i="65"/>
  <c r="V118" i="65"/>
  <c r="O118" i="65"/>
  <c r="G118" i="65"/>
  <c r="Q119" i="63"/>
  <c r="AG119" i="63"/>
  <c r="AW119" i="63"/>
  <c r="B119" i="63"/>
  <c r="R119" i="63"/>
  <c r="AH119" i="63"/>
  <c r="AX119" i="63"/>
  <c r="C119" i="63"/>
  <c r="AI119" i="63"/>
  <c r="AY119" i="63"/>
  <c r="D119" i="63"/>
  <c r="AJ119" i="63"/>
  <c r="E119" i="63"/>
  <c r="U119" i="63"/>
  <c r="AK119" i="63"/>
  <c r="F119" i="63"/>
  <c r="V119" i="63"/>
  <c r="D119" i="65" s="1"/>
  <c r="AL119" i="63"/>
  <c r="G119" i="63"/>
  <c r="W119" i="63"/>
  <c r="AM119" i="63"/>
  <c r="H119" i="63"/>
  <c r="G119" i="65" s="1"/>
  <c r="X119" i="63"/>
  <c r="AN119" i="63"/>
  <c r="J119" i="63"/>
  <c r="Z119" i="63"/>
  <c r="AP119" i="63"/>
  <c r="AQ119" i="63"/>
  <c r="L119" i="63"/>
  <c r="AR119" i="63"/>
  <c r="M119" i="63"/>
  <c r="AC119" i="63"/>
  <c r="AS119" i="63"/>
  <c r="I119" i="63"/>
  <c r="N119" i="63"/>
  <c r="O119" i="63"/>
  <c r="P119" i="63"/>
  <c r="AD119" i="63"/>
  <c r="AE119" i="63"/>
  <c r="AF119" i="63"/>
  <c r="AO119" i="63"/>
  <c r="Y119" i="63"/>
  <c r="AE119" i="65" s="1"/>
  <c r="AT119" i="63"/>
  <c r="AU119" i="63"/>
  <c r="AV119" i="63"/>
  <c r="A120" i="63"/>
  <c r="AB119" i="65" l="1"/>
  <c r="Z119" i="65"/>
  <c r="AC119" i="65"/>
  <c r="AD119" i="65"/>
  <c r="T119" i="65"/>
  <c r="J119" i="65"/>
  <c r="K119" i="65"/>
  <c r="W119" i="65"/>
  <c r="I119" i="65"/>
  <c r="O119" i="65"/>
  <c r="P119" i="65"/>
  <c r="V119" i="65"/>
  <c r="O120" i="63"/>
  <c r="AE120" i="63"/>
  <c r="AU120" i="63"/>
  <c r="P120" i="63"/>
  <c r="AF120" i="63"/>
  <c r="AV120" i="63"/>
  <c r="Q120" i="63"/>
  <c r="AG120" i="63"/>
  <c r="AW120" i="63"/>
  <c r="B120" i="63"/>
  <c r="R120" i="63"/>
  <c r="AH120" i="63"/>
  <c r="AX120" i="63"/>
  <c r="C120" i="63"/>
  <c r="S120" i="63"/>
  <c r="AI120" i="63"/>
  <c r="AY120" i="63"/>
  <c r="D120" i="63"/>
  <c r="AJ120" i="63"/>
  <c r="E120" i="63"/>
  <c r="U120" i="63"/>
  <c r="AK120" i="63"/>
  <c r="F120" i="63"/>
  <c r="V120" i="63"/>
  <c r="D120" i="65" s="1"/>
  <c r="AL120" i="63"/>
  <c r="H120" i="63"/>
  <c r="X120" i="63"/>
  <c r="AN120" i="63"/>
  <c r="I120" i="63"/>
  <c r="Y120" i="63"/>
  <c r="AO120" i="63"/>
  <c r="J120" i="63"/>
  <c r="Z120" i="63"/>
  <c r="AP120" i="63"/>
  <c r="K120" i="63"/>
  <c r="AQ120" i="63"/>
  <c r="G120" i="63"/>
  <c r="L120" i="63"/>
  <c r="K120" i="65" s="1"/>
  <c r="M120" i="63"/>
  <c r="N120" i="63"/>
  <c r="W120" i="63"/>
  <c r="AC120" i="63"/>
  <c r="AD120" i="63"/>
  <c r="AR120" i="63"/>
  <c r="AS120" i="63"/>
  <c r="AT120" i="63"/>
  <c r="AM120" i="63"/>
  <c r="A121" i="63"/>
  <c r="T120" i="65" l="1"/>
  <c r="AD120" i="65"/>
  <c r="AE120" i="65"/>
  <c r="Z120" i="65"/>
  <c r="AB120" i="65"/>
  <c r="AC120" i="65"/>
  <c r="J120" i="65"/>
  <c r="G120" i="65"/>
  <c r="I120" i="65"/>
  <c r="O120" i="65"/>
  <c r="V120" i="65"/>
  <c r="P120" i="65"/>
  <c r="W120" i="65"/>
  <c r="M121" i="63"/>
  <c r="AC121" i="63"/>
  <c r="AS121" i="63"/>
  <c r="N121" i="63"/>
  <c r="AD121" i="63"/>
  <c r="AT121" i="63"/>
  <c r="O121" i="63"/>
  <c r="AE121" i="63"/>
  <c r="AU121" i="63"/>
  <c r="P121" i="63"/>
  <c r="AF121" i="63"/>
  <c r="AV121" i="63"/>
  <c r="Q121" i="63"/>
  <c r="AG121" i="63"/>
  <c r="AW121" i="63"/>
  <c r="R121" i="63"/>
  <c r="AH121" i="63"/>
  <c r="AX121" i="63"/>
  <c r="S121" i="63"/>
  <c r="AI121" i="63"/>
  <c r="AY121" i="63"/>
  <c r="T121" i="63"/>
  <c r="AJ121" i="63"/>
  <c r="V121" i="63"/>
  <c r="AL121" i="63"/>
  <c r="W121" i="63"/>
  <c r="AM121" i="63"/>
  <c r="H121" i="63"/>
  <c r="AN121" i="63"/>
  <c r="I121" i="63"/>
  <c r="AO121" i="63"/>
  <c r="U121" i="63"/>
  <c r="Z121" i="63"/>
  <c r="AK121" i="63"/>
  <c r="AP121" i="63"/>
  <c r="AQ121" i="63"/>
  <c r="AR121" i="63"/>
  <c r="J121" i="63"/>
  <c r="K121" i="63"/>
  <c r="L121" i="63"/>
  <c r="Y120" i="65"/>
  <c r="A122" i="63"/>
  <c r="AC121" i="65" l="1"/>
  <c r="AB121" i="65"/>
  <c r="P121" i="65"/>
  <c r="K121" i="65"/>
  <c r="D121" i="65"/>
  <c r="J121" i="65"/>
  <c r="Z121" i="65"/>
  <c r="W121" i="65"/>
  <c r="V121" i="65"/>
  <c r="I121" i="65"/>
  <c r="G121" i="65"/>
  <c r="O121" i="65"/>
  <c r="AA121" i="65"/>
  <c r="K122" i="63"/>
  <c r="AQ122" i="63"/>
  <c r="L122" i="63"/>
  <c r="K122" i="65" s="1"/>
  <c r="AR122" i="63"/>
  <c r="M122" i="63"/>
  <c r="AC122" i="63"/>
  <c r="AS122" i="63"/>
  <c r="N122" i="63"/>
  <c r="AD122" i="63"/>
  <c r="AT122" i="63"/>
  <c r="O122" i="63"/>
  <c r="AE122" i="63"/>
  <c r="AU122" i="63"/>
  <c r="P122" i="63"/>
  <c r="AF122" i="63"/>
  <c r="AV122" i="63"/>
  <c r="AG122" i="63"/>
  <c r="AW122" i="63"/>
  <c r="B122" i="63"/>
  <c r="AH122" i="63"/>
  <c r="AX122" i="63"/>
  <c r="D122" i="63"/>
  <c r="T122" i="63"/>
  <c r="AJ122" i="63"/>
  <c r="E122" i="63"/>
  <c r="U122" i="63"/>
  <c r="AK122" i="63"/>
  <c r="F122" i="63"/>
  <c r="V122" i="63"/>
  <c r="AL122" i="63"/>
  <c r="G122" i="63"/>
  <c r="W122" i="63"/>
  <c r="AM122" i="63"/>
  <c r="AI122" i="63"/>
  <c r="AN122" i="63"/>
  <c r="AO122" i="63"/>
  <c r="AP122" i="63"/>
  <c r="AY122" i="63"/>
  <c r="H122" i="63"/>
  <c r="I122" i="63"/>
  <c r="J122" i="63"/>
  <c r="S122" i="63"/>
  <c r="C122" i="63"/>
  <c r="X122" i="63"/>
  <c r="Y122" i="63"/>
  <c r="AE122" i="65" s="1"/>
  <c r="Z122" i="63"/>
  <c r="Y121" i="65"/>
  <c r="A123" i="63"/>
  <c r="T122" i="65" l="1"/>
  <c r="V122" i="65"/>
  <c r="Z122" i="65"/>
  <c r="AC122" i="65"/>
  <c r="AD122" i="65"/>
  <c r="P122" i="65"/>
  <c r="D122" i="65"/>
  <c r="J122" i="65"/>
  <c r="W122" i="65"/>
  <c r="I122" i="65"/>
  <c r="G122" i="65"/>
  <c r="O122" i="65"/>
  <c r="AA122" i="65"/>
  <c r="I123" i="63"/>
  <c r="Y123" i="63"/>
  <c r="AO123" i="63"/>
  <c r="J123" i="63"/>
  <c r="Z123" i="63"/>
  <c r="AP123" i="63"/>
  <c r="AQ123" i="63"/>
  <c r="L123" i="63"/>
  <c r="AR123" i="63"/>
  <c r="M123" i="63"/>
  <c r="AC123" i="63"/>
  <c r="AS123" i="63"/>
  <c r="N123" i="63"/>
  <c r="AD123" i="63"/>
  <c r="AT123" i="63"/>
  <c r="O123" i="63"/>
  <c r="AE123" i="63"/>
  <c r="AU123" i="63"/>
  <c r="AF123" i="63"/>
  <c r="AV123" i="63"/>
  <c r="B123" i="63"/>
  <c r="AH123" i="63"/>
  <c r="AX123" i="63"/>
  <c r="C123" i="63"/>
  <c r="AI123" i="63"/>
  <c r="AY123" i="63"/>
  <c r="D123" i="63"/>
  <c r="T123" i="63"/>
  <c r="AJ123" i="63"/>
  <c r="E123" i="63"/>
  <c r="U123" i="63"/>
  <c r="AK123" i="63"/>
  <c r="AW123" i="63"/>
  <c r="F123" i="63"/>
  <c r="G123" i="63"/>
  <c r="H123" i="63"/>
  <c r="G123" i="65" s="1"/>
  <c r="V123" i="63"/>
  <c r="W123" i="63"/>
  <c r="X123" i="63"/>
  <c r="AG123" i="63"/>
  <c r="AL123" i="63"/>
  <c r="AM123" i="63"/>
  <c r="AN123" i="63"/>
  <c r="Y122" i="65"/>
  <c r="A124" i="63"/>
  <c r="T123" i="65" l="1"/>
  <c r="AD123" i="65"/>
  <c r="AE123" i="65"/>
  <c r="AC123" i="65"/>
  <c r="J123" i="65"/>
  <c r="I123" i="65"/>
  <c r="K123" i="65"/>
  <c r="D123" i="65"/>
  <c r="P123" i="65"/>
  <c r="O123" i="65"/>
  <c r="AA123" i="65"/>
  <c r="V123" i="65"/>
  <c r="W123" i="65"/>
  <c r="W124" i="63"/>
  <c r="AM124" i="63"/>
  <c r="H124" i="63"/>
  <c r="AN124" i="63"/>
  <c r="I124" i="63"/>
  <c r="AO124" i="63"/>
  <c r="J124" i="63"/>
  <c r="Z124" i="63"/>
  <c r="AP124" i="63"/>
  <c r="AQ124" i="63"/>
  <c r="L124" i="63"/>
  <c r="AR124" i="63"/>
  <c r="M124" i="63"/>
  <c r="AC124" i="63"/>
  <c r="AS124" i="63"/>
  <c r="N124" i="63"/>
  <c r="AD124" i="63"/>
  <c r="AT124" i="63"/>
  <c r="P124" i="63"/>
  <c r="AF124" i="63"/>
  <c r="AV124" i="63"/>
  <c r="AG124" i="63"/>
  <c r="AW124" i="63"/>
  <c r="AH124" i="63"/>
  <c r="AX124" i="63"/>
  <c r="AI124" i="63"/>
  <c r="AY124" i="63"/>
  <c r="O124" i="63"/>
  <c r="T124" i="63"/>
  <c r="U124" i="63"/>
  <c r="V124" i="63"/>
  <c r="AJ124" i="63"/>
  <c r="AK124" i="63"/>
  <c r="AL124" i="63"/>
  <c r="AU124" i="63"/>
  <c r="AE124" i="63"/>
  <c r="A125" i="63"/>
  <c r="Z124" i="65" l="1"/>
  <c r="AC124" i="65"/>
  <c r="P124" i="65"/>
  <c r="K124" i="65"/>
  <c r="J124" i="65"/>
  <c r="D124" i="65"/>
  <c r="O124" i="65"/>
  <c r="AA124" i="65"/>
  <c r="W124" i="65"/>
  <c r="G124" i="65"/>
  <c r="V124" i="65"/>
  <c r="I124" i="65"/>
  <c r="E125" i="63"/>
  <c r="U125" i="63"/>
  <c r="AK125" i="63"/>
  <c r="F125" i="63"/>
  <c r="V125" i="63"/>
  <c r="AL125" i="63"/>
  <c r="G125" i="63"/>
  <c r="W125" i="63"/>
  <c r="AM125" i="63"/>
  <c r="H125" i="63"/>
  <c r="X125" i="63"/>
  <c r="AN125" i="63"/>
  <c r="I125" i="63"/>
  <c r="Y125" i="63"/>
  <c r="AO125" i="63"/>
  <c r="J125" i="63"/>
  <c r="Z125" i="63"/>
  <c r="AP125" i="63"/>
  <c r="AQ125" i="63"/>
  <c r="L125" i="63"/>
  <c r="K125" i="65" s="1"/>
  <c r="AR125" i="63"/>
  <c r="N125" i="63"/>
  <c r="AD125" i="63"/>
  <c r="AT125" i="63"/>
  <c r="O125" i="63"/>
  <c r="AE125" i="63"/>
  <c r="AU125" i="63"/>
  <c r="P125" i="63"/>
  <c r="AF125" i="63"/>
  <c r="AV125" i="63"/>
  <c r="AG125" i="63"/>
  <c r="AW125" i="63"/>
  <c r="M125" i="63"/>
  <c r="T125" i="63"/>
  <c r="AC125" i="63"/>
  <c r="AH125" i="63"/>
  <c r="AI125" i="63"/>
  <c r="AJ125" i="63"/>
  <c r="AX125" i="63"/>
  <c r="AY125" i="63"/>
  <c r="AS125" i="63"/>
  <c r="B125" i="63"/>
  <c r="C125" i="63"/>
  <c r="D125" i="63"/>
  <c r="A126" i="63"/>
  <c r="T125" i="65" l="1"/>
  <c r="P125" i="65"/>
  <c r="AD125" i="65"/>
  <c r="AE125" i="65"/>
  <c r="O125" i="65"/>
  <c r="AC125" i="65"/>
  <c r="J125" i="65"/>
  <c r="D125" i="65"/>
  <c r="Z125" i="65"/>
  <c r="AA125" i="65"/>
  <c r="V125" i="65"/>
  <c r="W125" i="65"/>
  <c r="I125" i="65"/>
  <c r="G125" i="65"/>
  <c r="C126" i="63"/>
  <c r="AI126" i="63"/>
  <c r="AY126" i="63"/>
  <c r="D126" i="63"/>
  <c r="T126" i="63"/>
  <c r="AJ126" i="63"/>
  <c r="E126" i="63"/>
  <c r="U126" i="63"/>
  <c r="AK126" i="63"/>
  <c r="F126" i="63"/>
  <c r="V126" i="63"/>
  <c r="AL126" i="63"/>
  <c r="G126" i="63"/>
  <c r="W126" i="63"/>
  <c r="AM126" i="63"/>
  <c r="H126" i="63"/>
  <c r="X126" i="63"/>
  <c r="AN126" i="63"/>
  <c r="I126" i="63"/>
  <c r="Y126" i="63"/>
  <c r="AE126" i="65" s="1"/>
  <c r="AO126" i="63"/>
  <c r="J126" i="63"/>
  <c r="Z126" i="63"/>
  <c r="AP126" i="63"/>
  <c r="L126" i="63"/>
  <c r="AR126" i="63"/>
  <c r="M126" i="63"/>
  <c r="AC126" i="63"/>
  <c r="AS126" i="63"/>
  <c r="N126" i="63"/>
  <c r="AD126" i="63"/>
  <c r="AT126" i="63"/>
  <c r="O126" i="63"/>
  <c r="AE126" i="63"/>
  <c r="AU126" i="63"/>
  <c r="AF126" i="63"/>
  <c r="AG126" i="63"/>
  <c r="AH126" i="63"/>
  <c r="AQ126" i="63"/>
  <c r="AV126" i="63"/>
  <c r="AW126" i="63"/>
  <c r="AX126" i="63"/>
  <c r="B126" i="63"/>
  <c r="Q126" i="63"/>
  <c r="R126" i="63"/>
  <c r="A127" i="63"/>
  <c r="P126" i="65" l="1"/>
  <c r="J126" i="65"/>
  <c r="T126" i="65"/>
  <c r="AC126" i="65"/>
  <c r="AD126" i="65"/>
  <c r="AB126" i="65"/>
  <c r="D126" i="65"/>
  <c r="K126" i="65"/>
  <c r="Z126" i="65"/>
  <c r="I126" i="65"/>
  <c r="V126" i="65"/>
  <c r="O126" i="65"/>
  <c r="AA126" i="65"/>
  <c r="W126" i="65"/>
  <c r="G126" i="65"/>
  <c r="Q127" i="63"/>
  <c r="AG127" i="63"/>
  <c r="AW127" i="63"/>
  <c r="B127" i="63"/>
  <c r="R127" i="63"/>
  <c r="AH127" i="63"/>
  <c r="AX127" i="63"/>
  <c r="C127" i="63"/>
  <c r="S127" i="63"/>
  <c r="AI127" i="63"/>
  <c r="AY127" i="63"/>
  <c r="D127" i="63"/>
  <c r="T127" i="63"/>
  <c r="AJ127" i="63"/>
  <c r="E127" i="63"/>
  <c r="U127" i="63"/>
  <c r="AK127" i="63"/>
  <c r="F127" i="63"/>
  <c r="V127" i="63"/>
  <c r="AL127" i="63"/>
  <c r="G127" i="63"/>
  <c r="AM127" i="63"/>
  <c r="X127" i="63"/>
  <c r="AN127" i="63"/>
  <c r="J127" i="63"/>
  <c r="Z127" i="63"/>
  <c r="AP127" i="63"/>
  <c r="K127" i="63"/>
  <c r="AQ127" i="63"/>
  <c r="L127" i="63"/>
  <c r="AR127" i="63"/>
  <c r="M127" i="63"/>
  <c r="AC127" i="63"/>
  <c r="AS127" i="63"/>
  <c r="AO127" i="63"/>
  <c r="AT127" i="63"/>
  <c r="AU127" i="63"/>
  <c r="AV127" i="63"/>
  <c r="N127" i="63"/>
  <c r="O127" i="63"/>
  <c r="Y127" i="63"/>
  <c r="I127" i="63"/>
  <c r="AD127" i="63"/>
  <c r="AE127" i="63"/>
  <c r="AF127" i="63"/>
  <c r="A128" i="63"/>
  <c r="Z127" i="65" l="1"/>
  <c r="AD127" i="65"/>
  <c r="AE127" i="65"/>
  <c r="AB127" i="65"/>
  <c r="T127" i="65"/>
  <c r="AC127" i="65"/>
  <c r="K127" i="65"/>
  <c r="D127" i="65"/>
  <c r="W127" i="65"/>
  <c r="O127" i="65"/>
  <c r="AA127" i="65"/>
  <c r="I127" i="65"/>
  <c r="P127" i="65"/>
  <c r="V127" i="65"/>
  <c r="O128" i="63"/>
  <c r="AE128" i="63"/>
  <c r="AU128" i="63"/>
  <c r="P128" i="63"/>
  <c r="AF128" i="63"/>
  <c r="AV128" i="63"/>
  <c r="Q128" i="63"/>
  <c r="AG128" i="63"/>
  <c r="AW128" i="63"/>
  <c r="B128" i="63"/>
  <c r="R128" i="63"/>
  <c r="AH128" i="63"/>
  <c r="AX128" i="63"/>
  <c r="C128" i="63"/>
  <c r="S128" i="63"/>
  <c r="AI128" i="63"/>
  <c r="AY128" i="63"/>
  <c r="D128" i="63"/>
  <c r="T128" i="63"/>
  <c r="AJ128" i="63"/>
  <c r="E128" i="63"/>
  <c r="U128" i="63"/>
  <c r="AK128" i="63"/>
  <c r="F128" i="63"/>
  <c r="V128" i="63"/>
  <c r="AL128" i="63"/>
  <c r="H128" i="63"/>
  <c r="X128" i="63"/>
  <c r="AN128" i="63"/>
  <c r="Y128" i="63"/>
  <c r="AE128" i="65" s="1"/>
  <c r="AO128" i="63"/>
  <c r="J128" i="63"/>
  <c r="Z128" i="63"/>
  <c r="AP128" i="63"/>
  <c r="K128" i="63"/>
  <c r="AQ128" i="63"/>
  <c r="G128" i="63"/>
  <c r="L128" i="63"/>
  <c r="K128" i="65" s="1"/>
  <c r="M128" i="63"/>
  <c r="N128" i="63"/>
  <c r="AC128" i="63"/>
  <c r="AD128" i="63"/>
  <c r="AM128" i="63"/>
  <c r="AR128" i="63"/>
  <c r="AS128" i="63"/>
  <c r="AT128" i="63"/>
  <c r="W128" i="63"/>
  <c r="Y127" i="65"/>
  <c r="A129" i="63"/>
  <c r="T128" i="65" l="1"/>
  <c r="AB128" i="65"/>
  <c r="AC128" i="65"/>
  <c r="AD128" i="65"/>
  <c r="Z128" i="65"/>
  <c r="J128" i="65"/>
  <c r="Y128" i="65"/>
  <c r="D128" i="65"/>
  <c r="P128" i="65"/>
  <c r="G128" i="65"/>
  <c r="I128" i="65"/>
  <c r="V128" i="65"/>
  <c r="O128" i="65"/>
  <c r="AA128" i="65"/>
  <c r="W128" i="65"/>
  <c r="M129" i="63"/>
  <c r="AC129" i="63"/>
  <c r="AS129" i="63"/>
  <c r="N129" i="63"/>
  <c r="AD129" i="63"/>
  <c r="AT129" i="63"/>
  <c r="O129" i="63"/>
  <c r="AE129" i="63"/>
  <c r="AU129" i="63"/>
  <c r="P129" i="63"/>
  <c r="AF129" i="63"/>
  <c r="AV129" i="63"/>
  <c r="AG129" i="63"/>
  <c r="AW129" i="63"/>
  <c r="AH129" i="63"/>
  <c r="AX129" i="63"/>
  <c r="S129" i="63"/>
  <c r="AI129" i="63"/>
  <c r="AY129" i="63"/>
  <c r="T129" i="63"/>
  <c r="AJ129" i="63"/>
  <c r="V129" i="63"/>
  <c r="AL129" i="63"/>
  <c r="W129" i="63"/>
  <c r="AM129" i="63"/>
  <c r="H129" i="63"/>
  <c r="AN129" i="63"/>
  <c r="I129" i="63"/>
  <c r="AO129" i="63"/>
  <c r="J129" i="63"/>
  <c r="K129" i="63"/>
  <c r="L129" i="63"/>
  <c r="U129" i="63"/>
  <c r="Z129" i="63"/>
  <c r="AP129" i="63"/>
  <c r="AQ129" i="63"/>
  <c r="AR129" i="63"/>
  <c r="AK129" i="63"/>
  <c r="A130" i="63"/>
  <c r="AC129" i="65" l="1"/>
  <c r="P129" i="65"/>
  <c r="D129" i="65"/>
  <c r="J129" i="65"/>
  <c r="K129" i="65"/>
  <c r="I129" i="65"/>
  <c r="V129" i="65"/>
  <c r="G129" i="65"/>
  <c r="O129" i="65"/>
  <c r="AA129" i="65"/>
  <c r="W129" i="65"/>
  <c r="AQ130" i="63"/>
  <c r="L130" i="63"/>
  <c r="AR130" i="63"/>
  <c r="M130" i="63"/>
  <c r="AC130" i="63"/>
  <c r="AS130" i="63"/>
  <c r="N130" i="63"/>
  <c r="AD130" i="63"/>
  <c r="AT130" i="63"/>
  <c r="O130" i="63"/>
  <c r="AE130" i="63"/>
  <c r="AU130" i="63"/>
  <c r="P130" i="63"/>
  <c r="AF130" i="63"/>
  <c r="AV130" i="63"/>
  <c r="AG130" i="63"/>
  <c r="AW130" i="63"/>
  <c r="AH130" i="63"/>
  <c r="AX130" i="63"/>
  <c r="T130" i="63"/>
  <c r="AJ130" i="63"/>
  <c r="U130" i="63"/>
  <c r="AK130" i="63"/>
  <c r="V130" i="63"/>
  <c r="AL130" i="63"/>
  <c r="AM130" i="63"/>
  <c r="Z130" i="63"/>
  <c r="AI130" i="63"/>
  <c r="AN130" i="63"/>
  <c r="AO130" i="63"/>
  <c r="AP130" i="63"/>
  <c r="AY130" i="63"/>
  <c r="I130" i="63"/>
  <c r="J130" i="63"/>
  <c r="Y129" i="65"/>
  <c r="A131" i="63"/>
  <c r="V130" i="65" l="1"/>
  <c r="Z130" i="65"/>
  <c r="AC130" i="65"/>
  <c r="K130" i="65"/>
  <c r="D130" i="65"/>
  <c r="W130" i="65"/>
  <c r="P130" i="65"/>
  <c r="G130" i="65"/>
  <c r="O130" i="65"/>
  <c r="AA130" i="65"/>
  <c r="I130" i="65"/>
  <c r="Y131" i="63"/>
  <c r="AE131" i="65" s="1"/>
  <c r="AO131" i="63"/>
  <c r="J131" i="63"/>
  <c r="Z131" i="63"/>
  <c r="AP131" i="63"/>
  <c r="AQ131" i="63"/>
  <c r="L131" i="63"/>
  <c r="AR131" i="63"/>
  <c r="AC131" i="63"/>
  <c r="AS131" i="63"/>
  <c r="N131" i="63"/>
  <c r="AD131" i="63"/>
  <c r="AT131" i="63"/>
  <c r="O131" i="63"/>
  <c r="AE131" i="63"/>
  <c r="P131" i="63"/>
  <c r="AF131" i="63"/>
  <c r="AV131" i="63"/>
  <c r="B131" i="63"/>
  <c r="AH131" i="63"/>
  <c r="AX131" i="63"/>
  <c r="C131" i="63"/>
  <c r="AI131" i="63"/>
  <c r="D131" i="63"/>
  <c r="T131" i="63"/>
  <c r="AJ131" i="63"/>
  <c r="E131" i="63"/>
  <c r="U131" i="63"/>
  <c r="AK131" i="63"/>
  <c r="AG131" i="63"/>
  <c r="AL131" i="63"/>
  <c r="AM131" i="63"/>
  <c r="AN131" i="63"/>
  <c r="AU131" i="63"/>
  <c r="AW131" i="63"/>
  <c r="AY131" i="63"/>
  <c r="F131" i="63"/>
  <c r="G131" i="63"/>
  <c r="V131" i="63"/>
  <c r="X131" i="63"/>
  <c r="A132" i="63"/>
  <c r="O131" i="65" l="1"/>
  <c r="AC131" i="65"/>
  <c r="AD131" i="65"/>
  <c r="T131" i="65"/>
  <c r="Z131" i="65"/>
  <c r="D131" i="65"/>
  <c r="K131" i="65"/>
  <c r="I131" i="65"/>
  <c r="AA131" i="65"/>
  <c r="W131" i="65"/>
  <c r="V131" i="65"/>
  <c r="P131" i="65"/>
  <c r="G131" i="65"/>
  <c r="G132" i="63"/>
  <c r="W132" i="63"/>
  <c r="AM132" i="63"/>
  <c r="H132" i="63"/>
  <c r="X132" i="63"/>
  <c r="AN132" i="63"/>
  <c r="Y132" i="63"/>
  <c r="AE132" i="65" s="1"/>
  <c r="AO132" i="63"/>
  <c r="J132" i="63"/>
  <c r="Z132" i="63"/>
  <c r="AP132" i="63"/>
  <c r="AQ132" i="63"/>
  <c r="L132" i="63"/>
  <c r="AR132" i="63"/>
  <c r="N132" i="63"/>
  <c r="AD132" i="63"/>
  <c r="AT132" i="63"/>
  <c r="P132" i="63"/>
  <c r="AF132" i="63"/>
  <c r="AV132" i="63"/>
  <c r="B132" i="63"/>
  <c r="AH132" i="63"/>
  <c r="AX132" i="63"/>
  <c r="U132" i="63"/>
  <c r="V132" i="63"/>
  <c r="AC132" i="63"/>
  <c r="AE132" i="63"/>
  <c r="AG132" i="63"/>
  <c r="AI132" i="63"/>
  <c r="AJ132" i="63"/>
  <c r="C132" i="63"/>
  <c r="AK132" i="63"/>
  <c r="E132" i="63"/>
  <c r="AS132" i="63"/>
  <c r="F132" i="63"/>
  <c r="AU132" i="63"/>
  <c r="M132" i="63"/>
  <c r="AW132" i="63"/>
  <c r="O132" i="63"/>
  <c r="AY132" i="63"/>
  <c r="D132" i="63"/>
  <c r="T132" i="63"/>
  <c r="AL132" i="63"/>
  <c r="A133" i="63"/>
  <c r="AD132" i="65" l="1"/>
  <c r="T132" i="65"/>
  <c r="AC132" i="65"/>
  <c r="K132" i="65"/>
  <c r="D132" i="65"/>
  <c r="J132" i="65"/>
  <c r="Z132" i="65"/>
  <c r="W132" i="65"/>
  <c r="G132" i="65"/>
  <c r="P132" i="65"/>
  <c r="I132" i="65"/>
  <c r="V132" i="65"/>
  <c r="O132" i="65"/>
  <c r="AA132" i="65"/>
  <c r="E133" i="63"/>
  <c r="U133" i="63"/>
  <c r="AK133" i="63"/>
  <c r="F133" i="63"/>
  <c r="V133" i="63"/>
  <c r="D133" i="65" s="1"/>
  <c r="AL133" i="63"/>
  <c r="G133" i="63"/>
  <c r="W133" i="63"/>
  <c r="AM133" i="63"/>
  <c r="H133" i="63"/>
  <c r="X133" i="63"/>
  <c r="AN133" i="63"/>
  <c r="I133" i="63"/>
  <c r="Y133" i="63"/>
  <c r="AO133" i="63"/>
  <c r="J133" i="63"/>
  <c r="Z133" i="63"/>
  <c r="AP133" i="63"/>
  <c r="L133" i="63"/>
  <c r="AR133" i="63"/>
  <c r="N133" i="63"/>
  <c r="AD133" i="63"/>
  <c r="AT133" i="63"/>
  <c r="P133" i="63"/>
  <c r="AF133" i="63"/>
  <c r="AV133" i="63"/>
  <c r="AU133" i="63"/>
  <c r="M133" i="63"/>
  <c r="AW133" i="63"/>
  <c r="O133" i="63"/>
  <c r="AX133" i="63"/>
  <c r="Q133" i="63"/>
  <c r="AY133" i="63"/>
  <c r="R133" i="63"/>
  <c r="T133" i="63"/>
  <c r="AE133" i="63"/>
  <c r="AG133" i="63"/>
  <c r="AH133" i="63"/>
  <c r="AI133" i="63"/>
  <c r="B133" i="63"/>
  <c r="C133" i="63"/>
  <c r="D133" i="63"/>
  <c r="AC133" i="63"/>
  <c r="AJ133" i="63"/>
  <c r="AQ133" i="63"/>
  <c r="AS133" i="63"/>
  <c r="A134" i="63"/>
  <c r="T133" i="65" l="1"/>
  <c r="AD133" i="65"/>
  <c r="AE133" i="65"/>
  <c r="O133" i="65"/>
  <c r="AC133" i="65"/>
  <c r="J133" i="65"/>
  <c r="P133" i="65"/>
  <c r="K133" i="65"/>
  <c r="Z133" i="65"/>
  <c r="AA133" i="65"/>
  <c r="AB133" i="65"/>
  <c r="I133" i="65"/>
  <c r="W133" i="65"/>
  <c r="V133" i="65"/>
  <c r="G133" i="65"/>
  <c r="C134" i="63"/>
  <c r="S134" i="63"/>
  <c r="AI134" i="63"/>
  <c r="AY134" i="63"/>
  <c r="D134" i="63"/>
  <c r="T134" i="63"/>
  <c r="AJ134" i="63"/>
  <c r="E134" i="63"/>
  <c r="U134" i="63"/>
  <c r="AK134" i="63"/>
  <c r="F134" i="63"/>
  <c r="V134" i="63"/>
  <c r="AL134" i="63"/>
  <c r="G134" i="63"/>
  <c r="W134" i="63"/>
  <c r="AM134" i="63"/>
  <c r="H134" i="63"/>
  <c r="X134" i="63"/>
  <c r="AN134" i="63"/>
  <c r="J134" i="63"/>
  <c r="Z134" i="63"/>
  <c r="AP134" i="63"/>
  <c r="L134" i="63"/>
  <c r="K134" i="65" s="1"/>
  <c r="AR134" i="63"/>
  <c r="N134" i="63"/>
  <c r="AD134" i="63"/>
  <c r="AT134" i="63"/>
  <c r="AF134" i="63"/>
  <c r="AG134" i="63"/>
  <c r="AH134" i="63"/>
  <c r="AO134" i="63"/>
  <c r="B134" i="63"/>
  <c r="AQ134" i="63"/>
  <c r="I134" i="63"/>
  <c r="AS134" i="63"/>
  <c r="K134" i="63"/>
  <c r="AU134" i="63"/>
  <c r="AV134" i="63"/>
  <c r="P134" i="63"/>
  <c r="AX134" i="63"/>
  <c r="Q134" i="63"/>
  <c r="R134" i="63"/>
  <c r="Y134" i="63"/>
  <c r="AE134" i="65" s="1"/>
  <c r="O134" i="63"/>
  <c r="AC134" i="63"/>
  <c r="AE134" i="63"/>
  <c r="AW134" i="63"/>
  <c r="A135" i="63"/>
  <c r="P134" i="65" l="1"/>
  <c r="T134" i="65"/>
  <c r="AC134" i="65"/>
  <c r="AD134" i="65"/>
  <c r="AB134" i="65"/>
  <c r="D134" i="65"/>
  <c r="J134" i="65"/>
  <c r="Z134" i="65"/>
  <c r="V134" i="65"/>
  <c r="O134" i="65"/>
  <c r="AA134" i="65"/>
  <c r="W134" i="65"/>
  <c r="G134" i="65"/>
  <c r="Y134" i="65"/>
  <c r="I134" i="65"/>
  <c r="Q135" i="63"/>
  <c r="Z135" i="65" s="1"/>
  <c r="AG135" i="63"/>
  <c r="AW135" i="63"/>
  <c r="R135" i="63"/>
  <c r="AH135" i="63"/>
  <c r="AX135" i="63"/>
  <c r="S135" i="63"/>
  <c r="AI135" i="63"/>
  <c r="AY135" i="63"/>
  <c r="T135" i="63"/>
  <c r="AJ135" i="63"/>
  <c r="U135" i="63"/>
  <c r="AK135" i="63"/>
  <c r="V135" i="63"/>
  <c r="D135" i="65" s="1"/>
  <c r="AL135" i="63"/>
  <c r="H135" i="63"/>
  <c r="AN135" i="63"/>
  <c r="L135" i="63"/>
  <c r="AR135" i="63"/>
  <c r="O135" i="63"/>
  <c r="AU135" i="63"/>
  <c r="P135" i="63"/>
  <c r="AV135" i="63"/>
  <c r="W135" i="63"/>
  <c r="Z135" i="63"/>
  <c r="AC135" i="63"/>
  <c r="AD135" i="63"/>
  <c r="AF135" i="63"/>
  <c r="AM135" i="63"/>
  <c r="I135" i="63"/>
  <c r="AO135" i="63"/>
  <c r="J135" i="63"/>
  <c r="AP135" i="63"/>
  <c r="K135" i="63"/>
  <c r="N135" i="63"/>
  <c r="AQ135" i="63"/>
  <c r="AS135" i="63"/>
  <c r="AT135" i="63"/>
  <c r="AE135" i="63"/>
  <c r="A136" i="63"/>
  <c r="AB135" i="65" l="1"/>
  <c r="AC135" i="65"/>
  <c r="J135" i="65"/>
  <c r="W135" i="65"/>
  <c r="I135" i="65"/>
  <c r="K135" i="65"/>
  <c r="P135" i="65"/>
  <c r="G135" i="65"/>
  <c r="O135" i="65"/>
  <c r="AA135" i="65"/>
  <c r="V135" i="65"/>
  <c r="O136" i="63"/>
  <c r="AE136" i="63"/>
  <c r="AU136" i="63"/>
  <c r="P136" i="63"/>
  <c r="AF136" i="63"/>
  <c r="AV136" i="63"/>
  <c r="AG136" i="63"/>
  <c r="AW136" i="63"/>
  <c r="B136" i="63"/>
  <c r="AH136" i="63"/>
  <c r="AX136" i="63"/>
  <c r="C136" i="63"/>
  <c r="S136" i="63"/>
  <c r="AI136" i="63"/>
  <c r="AY136" i="63"/>
  <c r="D136" i="63"/>
  <c r="T136" i="63"/>
  <c r="AJ136" i="63"/>
  <c r="F136" i="63"/>
  <c r="V136" i="63"/>
  <c r="D136" i="65" s="1"/>
  <c r="AL136" i="63"/>
  <c r="J136" i="63"/>
  <c r="Z136" i="63"/>
  <c r="AC136" i="63"/>
  <c r="AD136" i="63"/>
  <c r="E136" i="63"/>
  <c r="AK136" i="63"/>
  <c r="G136" i="63"/>
  <c r="AM136" i="63"/>
  <c r="H136" i="63"/>
  <c r="AN136" i="63"/>
  <c r="I136" i="63"/>
  <c r="AO136" i="63"/>
  <c r="K136" i="63"/>
  <c r="AP136" i="63"/>
  <c r="L136" i="63"/>
  <c r="K136" i="65" s="1"/>
  <c r="AQ136" i="63"/>
  <c r="N136" i="63"/>
  <c r="AS136" i="63"/>
  <c r="U136" i="63"/>
  <c r="AT136" i="63"/>
  <c r="W136" i="63"/>
  <c r="X136" i="63"/>
  <c r="AR136" i="63"/>
  <c r="M136" i="63"/>
  <c r="Y136" i="63"/>
  <c r="AE136" i="65" s="1"/>
  <c r="Y135" i="65"/>
  <c r="A137" i="63"/>
  <c r="T136" i="65" l="1"/>
  <c r="Z136" i="65"/>
  <c r="AC136" i="65"/>
  <c r="AD136" i="65"/>
  <c r="J136" i="65"/>
  <c r="P136" i="65"/>
  <c r="I136" i="65"/>
  <c r="O136" i="65"/>
  <c r="AA136" i="65"/>
  <c r="G136" i="65"/>
  <c r="V136" i="65"/>
  <c r="W136" i="65"/>
  <c r="M137" i="63"/>
  <c r="AC137" i="63"/>
  <c r="AS137" i="63"/>
  <c r="N137" i="63"/>
  <c r="AD137" i="63"/>
  <c r="AT137" i="63"/>
  <c r="O137" i="63"/>
  <c r="AE137" i="63"/>
  <c r="AU137" i="63"/>
  <c r="P137" i="63"/>
  <c r="AF137" i="63"/>
  <c r="AV137" i="63"/>
  <c r="AG137" i="63"/>
  <c r="AW137" i="63"/>
  <c r="B137" i="63"/>
  <c r="AH137" i="63"/>
  <c r="AX137" i="63"/>
  <c r="D137" i="63"/>
  <c r="T137" i="63"/>
  <c r="AJ137" i="63"/>
  <c r="I137" i="63"/>
  <c r="AM137" i="63"/>
  <c r="J137" i="63"/>
  <c r="AN137" i="63"/>
  <c r="AO137" i="63"/>
  <c r="L137" i="63"/>
  <c r="AP137" i="63"/>
  <c r="AQ137" i="63"/>
  <c r="U137" i="63"/>
  <c r="AR137" i="63"/>
  <c r="V137" i="63"/>
  <c r="AY137" i="63"/>
  <c r="W137" i="63"/>
  <c r="Y137" i="63"/>
  <c r="AE137" i="65" s="1"/>
  <c r="Z137" i="63"/>
  <c r="C137" i="63"/>
  <c r="E137" i="63"/>
  <c r="F137" i="63"/>
  <c r="G137" i="63"/>
  <c r="H137" i="63"/>
  <c r="X137" i="63"/>
  <c r="AI137" i="63"/>
  <c r="AK137" i="63"/>
  <c r="AL137" i="63"/>
  <c r="Y136" i="65"/>
  <c r="A138" i="63"/>
  <c r="P137" i="65" l="1"/>
  <c r="AC137" i="65"/>
  <c r="AD137" i="65"/>
  <c r="T137" i="65"/>
  <c r="J137" i="65"/>
  <c r="D137" i="65"/>
  <c r="K137" i="65"/>
  <c r="Z137" i="65"/>
  <c r="O137" i="65"/>
  <c r="AA137" i="65"/>
  <c r="V137" i="65"/>
  <c r="G137" i="65"/>
  <c r="W137" i="65"/>
  <c r="I137" i="65"/>
  <c r="AQ138" i="63"/>
  <c r="L138" i="63"/>
  <c r="AR138" i="63"/>
  <c r="M138" i="63"/>
  <c r="AC138" i="63"/>
  <c r="AS138" i="63"/>
  <c r="N138" i="63"/>
  <c r="AD138" i="63"/>
  <c r="AT138" i="63"/>
  <c r="O138" i="63"/>
  <c r="AE138" i="63"/>
  <c r="AU138" i="63"/>
  <c r="P138" i="63"/>
  <c r="AF138" i="63"/>
  <c r="AV138" i="63"/>
  <c r="AH138" i="63"/>
  <c r="AX138" i="63"/>
  <c r="AP138" i="63"/>
  <c r="AW138" i="63"/>
  <c r="U138" i="63"/>
  <c r="AY138" i="63"/>
  <c r="V138" i="63"/>
  <c r="W138" i="63"/>
  <c r="Z138" i="63"/>
  <c r="AI138" i="63"/>
  <c r="AJ138" i="63"/>
  <c r="AK138" i="63"/>
  <c r="H138" i="63"/>
  <c r="G138" i="65" s="1"/>
  <c r="AL138" i="63"/>
  <c r="I138" i="63"/>
  <c r="J138" i="63"/>
  <c r="AG138" i="63"/>
  <c r="AM138" i="63"/>
  <c r="AN138" i="63"/>
  <c r="AO138" i="63"/>
  <c r="A139" i="63"/>
  <c r="AC138" i="65" l="1"/>
  <c r="P138" i="65"/>
  <c r="K138" i="65"/>
  <c r="J138" i="65"/>
  <c r="D138" i="65"/>
  <c r="Z138" i="65"/>
  <c r="I138" i="65"/>
  <c r="V138" i="65"/>
  <c r="W138" i="65"/>
  <c r="O138" i="65"/>
  <c r="I139" i="63"/>
  <c r="Y139" i="63"/>
  <c r="AE139" i="65" s="1"/>
  <c r="AO139" i="63"/>
  <c r="J139" i="63"/>
  <c r="Z139" i="63"/>
  <c r="AP139" i="63"/>
  <c r="AQ139" i="63"/>
  <c r="L139" i="63"/>
  <c r="AR139" i="63"/>
  <c r="M139" i="63"/>
  <c r="AC139" i="63"/>
  <c r="AS139" i="63"/>
  <c r="N139" i="63"/>
  <c r="AD139" i="63"/>
  <c r="AT139" i="63"/>
  <c r="P139" i="63"/>
  <c r="AF139" i="63"/>
  <c r="AV139" i="63"/>
  <c r="V139" i="63"/>
  <c r="D139" i="65" s="1"/>
  <c r="W139" i="63"/>
  <c r="X139" i="63"/>
  <c r="B139" i="63"/>
  <c r="AE139" i="63"/>
  <c r="C139" i="63"/>
  <c r="AG139" i="63"/>
  <c r="D139" i="63"/>
  <c r="AH139" i="63"/>
  <c r="E139" i="63"/>
  <c r="AI139" i="63"/>
  <c r="F139" i="63"/>
  <c r="AJ139" i="63"/>
  <c r="H139" i="63"/>
  <c r="G139" i="65" s="1"/>
  <c r="AL139" i="63"/>
  <c r="O139" i="63"/>
  <c r="AM139" i="63"/>
  <c r="AN139" i="63"/>
  <c r="AU139" i="63"/>
  <c r="G139" i="63"/>
  <c r="U139" i="63"/>
  <c r="AK139" i="63"/>
  <c r="AW139" i="63"/>
  <c r="AX139" i="63"/>
  <c r="AY139" i="63"/>
  <c r="A140" i="63"/>
  <c r="T139" i="65" l="1"/>
  <c r="AC139" i="65"/>
  <c r="AD139" i="65"/>
  <c r="J139" i="65"/>
  <c r="W139" i="65"/>
  <c r="Z139" i="65"/>
  <c r="K139" i="65"/>
  <c r="I139" i="65"/>
  <c r="V139" i="65"/>
  <c r="O139" i="65"/>
  <c r="P139" i="65"/>
  <c r="G140" i="63"/>
  <c r="W140" i="63"/>
  <c r="AM140" i="63"/>
  <c r="H140" i="63"/>
  <c r="X140" i="63"/>
  <c r="AN140" i="63"/>
  <c r="I140" i="63"/>
  <c r="Y140" i="63"/>
  <c r="AE140" i="65" s="1"/>
  <c r="AO140" i="63"/>
  <c r="J140" i="63"/>
  <c r="Z140" i="63"/>
  <c r="AQ140" i="63"/>
  <c r="L140" i="63"/>
  <c r="N140" i="63"/>
  <c r="AD140" i="63"/>
  <c r="AT140" i="63"/>
  <c r="B140" i="63"/>
  <c r="AF140" i="63"/>
  <c r="C140" i="63"/>
  <c r="AG140" i="63"/>
  <c r="D140" i="63"/>
  <c r="AH140" i="63"/>
  <c r="E140" i="63"/>
  <c r="AI140" i="63"/>
  <c r="F140" i="63"/>
  <c r="AJ140" i="63"/>
  <c r="M140" i="63"/>
  <c r="AK140" i="63"/>
  <c r="O140" i="63"/>
  <c r="AL140" i="63"/>
  <c r="P140" i="63"/>
  <c r="AP140" i="63"/>
  <c r="R140" i="63"/>
  <c r="AS140" i="63"/>
  <c r="AU140" i="63"/>
  <c r="AV140" i="63"/>
  <c r="U140" i="63"/>
  <c r="AW140" i="63"/>
  <c r="V140" i="63"/>
  <c r="AC140" i="63"/>
  <c r="AE140" i="63"/>
  <c r="AR140" i="63"/>
  <c r="Q140" i="63"/>
  <c r="AX140" i="63"/>
  <c r="AY140" i="63"/>
  <c r="A141" i="63"/>
  <c r="T140" i="65" l="1"/>
  <c r="AD140" i="65"/>
  <c r="AC140" i="65"/>
  <c r="AB140" i="65"/>
  <c r="P140" i="65"/>
  <c r="J140" i="65"/>
  <c r="K140" i="65"/>
  <c r="D140" i="65"/>
  <c r="Z140" i="65"/>
  <c r="O140" i="65"/>
  <c r="G140" i="65"/>
  <c r="W140" i="65"/>
  <c r="I140" i="65"/>
  <c r="V140" i="65"/>
  <c r="E141" i="63"/>
  <c r="U141" i="63"/>
  <c r="AK141" i="63"/>
  <c r="F141" i="63"/>
  <c r="V141" i="63"/>
  <c r="D141" i="65" s="1"/>
  <c r="AL141" i="63"/>
  <c r="G141" i="63"/>
  <c r="W141" i="63"/>
  <c r="AM141" i="63"/>
  <c r="I141" i="63"/>
  <c r="Y141" i="63"/>
  <c r="AE141" i="65" s="1"/>
  <c r="AO141" i="63"/>
  <c r="C141" i="63"/>
  <c r="AV141" i="63"/>
  <c r="D141" i="63"/>
  <c r="AC141" i="63"/>
  <c r="AW141" i="63"/>
  <c r="H141" i="63"/>
  <c r="AD141" i="63"/>
  <c r="AX141" i="63"/>
  <c r="AE141" i="63"/>
  <c r="AY141" i="63"/>
  <c r="K141" i="63"/>
  <c r="AF141" i="63"/>
  <c r="M141" i="63"/>
  <c r="AG141" i="63"/>
  <c r="N141" i="63"/>
  <c r="AH141" i="63"/>
  <c r="O141" i="63"/>
  <c r="AI141" i="63"/>
  <c r="Q141" i="63"/>
  <c r="AN141" i="63"/>
  <c r="R141" i="63"/>
  <c r="AP141" i="63"/>
  <c r="S141" i="63"/>
  <c r="AQ141" i="63"/>
  <c r="AR141" i="63"/>
  <c r="P141" i="63"/>
  <c r="X141" i="63"/>
  <c r="Z141" i="63"/>
  <c r="AJ141" i="63"/>
  <c r="AS141" i="63"/>
  <c r="AT141" i="63"/>
  <c r="AU141" i="63"/>
  <c r="B141" i="63"/>
  <c r="A142" i="63"/>
  <c r="T141" i="65" l="1"/>
  <c r="AB141" i="65"/>
  <c r="AD141" i="65"/>
  <c r="AC141" i="65"/>
  <c r="P141" i="65"/>
  <c r="J141" i="65"/>
  <c r="K141" i="65"/>
  <c r="Z141" i="65"/>
  <c r="O141" i="65"/>
  <c r="V141" i="65"/>
  <c r="G141" i="65"/>
  <c r="I141" i="65"/>
  <c r="W141" i="65"/>
  <c r="C142" i="63"/>
  <c r="S142" i="63"/>
  <c r="AI142" i="63"/>
  <c r="AY142" i="63"/>
  <c r="D142" i="63"/>
  <c r="T142" i="63"/>
  <c r="AJ142" i="63"/>
  <c r="E142" i="63"/>
  <c r="U142" i="63"/>
  <c r="AK142" i="63"/>
  <c r="G142" i="63"/>
  <c r="W142" i="63"/>
  <c r="AM142" i="63"/>
  <c r="R142" i="63"/>
  <c r="AP142" i="63"/>
  <c r="V142" i="63"/>
  <c r="D142" i="65" s="1"/>
  <c r="AQ142" i="63"/>
  <c r="X142" i="63"/>
  <c r="AR142" i="63"/>
  <c r="Y142" i="63"/>
  <c r="AE142" i="65" s="1"/>
  <c r="AS142" i="63"/>
  <c r="B142" i="63"/>
  <c r="Z142" i="63"/>
  <c r="AT142" i="63"/>
  <c r="F142" i="63"/>
  <c r="AU142" i="63"/>
  <c r="H142" i="63"/>
  <c r="AV142" i="63"/>
  <c r="I142" i="63"/>
  <c r="AC142" i="63"/>
  <c r="AW142" i="63"/>
  <c r="K142" i="63"/>
  <c r="AE142" i="63"/>
  <c r="AF142" i="63"/>
  <c r="M142" i="63"/>
  <c r="AG142" i="63"/>
  <c r="N142" i="63"/>
  <c r="AH142" i="63"/>
  <c r="AX142" i="63"/>
  <c r="O142" i="63"/>
  <c r="P142" i="63"/>
  <c r="Q142" i="63"/>
  <c r="AD142" i="63"/>
  <c r="AL142" i="63"/>
  <c r="AN142" i="63"/>
  <c r="AO142" i="63"/>
  <c r="A143" i="63"/>
  <c r="T142" i="65" l="1"/>
  <c r="AC142" i="65"/>
  <c r="AD142" i="65"/>
  <c r="AB142" i="65"/>
  <c r="J142" i="65"/>
  <c r="K142" i="65"/>
  <c r="W142" i="65"/>
  <c r="Z142" i="65"/>
  <c r="P142" i="65"/>
  <c r="I142" i="65"/>
  <c r="V142" i="65"/>
  <c r="G142" i="65"/>
  <c r="O142" i="65"/>
  <c r="AA142" i="65"/>
  <c r="AG143" i="63"/>
  <c r="AW143" i="63"/>
  <c r="AH143" i="63"/>
  <c r="AX143" i="63"/>
  <c r="S143" i="63"/>
  <c r="AI143" i="63"/>
  <c r="AY143" i="63"/>
  <c r="U143" i="63"/>
  <c r="AK143" i="63"/>
  <c r="L143" i="63"/>
  <c r="AF143" i="63"/>
  <c r="M143" i="63"/>
  <c r="AJ143" i="63"/>
  <c r="N143" i="63"/>
  <c r="AL143" i="63"/>
  <c r="O143" i="63"/>
  <c r="AM143" i="63"/>
  <c r="P143" i="63"/>
  <c r="AN143" i="63"/>
  <c r="T143" i="63"/>
  <c r="AO143" i="63"/>
  <c r="V143" i="63"/>
  <c r="AP143" i="63"/>
  <c r="W143" i="63"/>
  <c r="AQ143" i="63"/>
  <c r="AS143" i="63"/>
  <c r="Z143" i="63"/>
  <c r="AT143" i="63"/>
  <c r="AU143" i="63"/>
  <c r="H143" i="63"/>
  <c r="G143" i="65" s="1"/>
  <c r="AV143" i="63"/>
  <c r="I143" i="63"/>
  <c r="J143" i="63"/>
  <c r="K143" i="63"/>
  <c r="AC143" i="63"/>
  <c r="AD143" i="63"/>
  <c r="AE143" i="63"/>
  <c r="AR143" i="63"/>
  <c r="A144" i="63"/>
  <c r="Z143" i="65" l="1"/>
  <c r="AC143" i="65"/>
  <c r="P143" i="65"/>
  <c r="J143" i="65"/>
  <c r="D143" i="65"/>
  <c r="K143" i="65"/>
  <c r="W143" i="65"/>
  <c r="I143" i="65"/>
  <c r="V143" i="65"/>
  <c r="O143" i="65"/>
  <c r="AA143" i="65"/>
  <c r="O144" i="63"/>
  <c r="AE144" i="63"/>
  <c r="AU144" i="63"/>
  <c r="P144" i="63"/>
  <c r="AF144" i="63"/>
  <c r="AV144" i="63"/>
  <c r="AG144" i="63"/>
  <c r="AW144" i="63"/>
  <c r="AI144" i="63"/>
  <c r="AY144" i="63"/>
  <c r="Z144" i="63"/>
  <c r="AT144" i="63"/>
  <c r="AX144" i="63"/>
  <c r="H144" i="63"/>
  <c r="I144" i="63"/>
  <c r="AC144" i="63"/>
  <c r="J144" i="63"/>
  <c r="AD144" i="63"/>
  <c r="AH144" i="63"/>
  <c r="L144" i="63"/>
  <c r="AJ144" i="63"/>
  <c r="M144" i="63"/>
  <c r="AK144" i="63"/>
  <c r="AM144" i="63"/>
  <c r="T144" i="63"/>
  <c r="AN144" i="63"/>
  <c r="U144" i="63"/>
  <c r="AO144" i="63"/>
  <c r="AP144" i="63"/>
  <c r="AL144" i="63"/>
  <c r="AQ144" i="63"/>
  <c r="AR144" i="63"/>
  <c r="AS144" i="63"/>
  <c r="W144" i="63"/>
  <c r="Y143" i="65"/>
  <c r="A145" i="63"/>
  <c r="AE144" i="65" l="1"/>
  <c r="AC144" i="65"/>
  <c r="Z144" i="65"/>
  <c r="K144" i="65"/>
  <c r="G144" i="65"/>
  <c r="I144" i="65"/>
  <c r="P144" i="65"/>
  <c r="O144" i="65"/>
  <c r="AA144" i="65"/>
  <c r="W144" i="65"/>
  <c r="V144" i="65"/>
  <c r="M145" i="63"/>
  <c r="AC145" i="63"/>
  <c r="AS145" i="63"/>
  <c r="N145" i="63"/>
  <c r="AD145" i="63"/>
  <c r="AT145" i="63"/>
  <c r="AE145" i="63"/>
  <c r="AU145" i="63"/>
  <c r="AG145" i="63"/>
  <c r="AW145" i="63"/>
  <c r="T145" i="63"/>
  <c r="AN145" i="63"/>
  <c r="U145" i="63"/>
  <c r="AO145" i="63"/>
  <c r="B145" i="63"/>
  <c r="V145" i="63"/>
  <c r="AP145" i="63"/>
  <c r="C145" i="63"/>
  <c r="W145" i="63"/>
  <c r="AQ145" i="63"/>
  <c r="D145" i="63"/>
  <c r="X145" i="63"/>
  <c r="AR145" i="63"/>
  <c r="E145" i="63"/>
  <c r="Y145" i="63"/>
  <c r="AE145" i="65" s="1"/>
  <c r="AV145" i="63"/>
  <c r="F145" i="63"/>
  <c r="Z145" i="63"/>
  <c r="AX145" i="63"/>
  <c r="G145" i="63"/>
  <c r="AY145" i="63"/>
  <c r="I145" i="63"/>
  <c r="AF145" i="63"/>
  <c r="J145" i="63"/>
  <c r="AH145" i="63"/>
  <c r="AI145" i="63"/>
  <c r="L145" i="63"/>
  <c r="AJ145" i="63"/>
  <c r="H145" i="63"/>
  <c r="P145" i="63"/>
  <c r="AK145" i="63"/>
  <c r="AL145" i="63"/>
  <c r="AM145" i="63"/>
  <c r="A146" i="63"/>
  <c r="AD145" i="65" l="1"/>
  <c r="AC145" i="65"/>
  <c r="T145" i="65"/>
  <c r="J145" i="65"/>
  <c r="W145" i="65"/>
  <c r="D145" i="65"/>
  <c r="K145" i="65"/>
  <c r="Z145" i="65"/>
  <c r="I145" i="65"/>
  <c r="G145" i="65"/>
  <c r="V145" i="65"/>
  <c r="O145" i="65"/>
  <c r="AA145" i="65"/>
  <c r="P145" i="65"/>
  <c r="AQ146" i="63"/>
  <c r="L146" i="63"/>
  <c r="K146" i="65" s="1"/>
  <c r="AR146" i="63"/>
  <c r="M146" i="63"/>
  <c r="AC146" i="63"/>
  <c r="AS146" i="63"/>
  <c r="O146" i="63"/>
  <c r="AE146" i="63"/>
  <c r="J146" i="63"/>
  <c r="AH146" i="63"/>
  <c r="N146" i="63"/>
  <c r="AI146" i="63"/>
  <c r="P146" i="63"/>
  <c r="AJ146" i="63"/>
  <c r="AK146" i="63"/>
  <c r="AL146" i="63"/>
  <c r="AM146" i="63"/>
  <c r="T146" i="63"/>
  <c r="AN146" i="63"/>
  <c r="U146" i="63"/>
  <c r="AO146" i="63"/>
  <c r="C146" i="63"/>
  <c r="W146" i="63"/>
  <c r="AT146" i="63"/>
  <c r="D146" i="63"/>
  <c r="X146" i="63"/>
  <c r="AU146" i="63"/>
  <c r="E146" i="63"/>
  <c r="Y146" i="63"/>
  <c r="AE146" i="65" s="1"/>
  <c r="AV146" i="63"/>
  <c r="F146" i="63"/>
  <c r="Z146" i="63"/>
  <c r="AW146" i="63"/>
  <c r="V146" i="63"/>
  <c r="D146" i="65" s="1"/>
  <c r="AD146" i="63"/>
  <c r="AF146" i="63"/>
  <c r="AG146" i="63"/>
  <c r="AP146" i="63"/>
  <c r="AX146" i="63"/>
  <c r="AY146" i="63"/>
  <c r="B146" i="63"/>
  <c r="G146" i="63"/>
  <c r="H146" i="63"/>
  <c r="I146" i="63"/>
  <c r="A147" i="63"/>
  <c r="AD146" i="65" l="1"/>
  <c r="T146" i="65"/>
  <c r="AC146" i="65"/>
  <c r="P146" i="65"/>
  <c r="J146" i="65"/>
  <c r="Z146" i="65"/>
  <c r="G146" i="65"/>
  <c r="I146" i="65"/>
  <c r="W146" i="65"/>
  <c r="V146" i="65"/>
  <c r="O146" i="65"/>
  <c r="AA146" i="65"/>
  <c r="I147" i="63"/>
  <c r="Y147" i="63"/>
  <c r="AE147" i="65" s="1"/>
  <c r="AO147" i="63"/>
  <c r="J147" i="63"/>
  <c r="AP147" i="63"/>
  <c r="AQ147" i="63"/>
  <c r="C147" i="63"/>
  <c r="AR147" i="63"/>
  <c r="D147" i="63"/>
  <c r="W147" i="63"/>
  <c r="AS147" i="63"/>
  <c r="E147" i="63"/>
  <c r="X147" i="63"/>
  <c r="AT147" i="63"/>
  <c r="F147" i="63"/>
  <c r="AU147" i="63"/>
  <c r="G147" i="63"/>
  <c r="AC147" i="63"/>
  <c r="AV147" i="63"/>
  <c r="H147" i="63"/>
  <c r="AD147" i="63"/>
  <c r="AW147" i="63"/>
  <c r="L147" i="63"/>
  <c r="AE147" i="63"/>
  <c r="AX147" i="63"/>
  <c r="M147" i="63"/>
  <c r="AF147" i="63"/>
  <c r="AY147" i="63"/>
  <c r="O147" i="63"/>
  <c r="AH147" i="63"/>
  <c r="P147" i="63"/>
  <c r="AI147" i="63"/>
  <c r="Q147" i="63"/>
  <c r="AJ147" i="63"/>
  <c r="R147" i="63"/>
  <c r="AK147" i="63"/>
  <c r="B147" i="63"/>
  <c r="T147" i="63"/>
  <c r="U147" i="63"/>
  <c r="AG147" i="63"/>
  <c r="AL147" i="63"/>
  <c r="AM147" i="63"/>
  <c r="AN147" i="63"/>
  <c r="A148" i="63"/>
  <c r="AB147" i="65" l="1"/>
  <c r="AC147" i="65"/>
  <c r="AD147" i="65"/>
  <c r="T147" i="65"/>
  <c r="Z147" i="65"/>
  <c r="K147" i="65"/>
  <c r="D147" i="65"/>
  <c r="G147" i="65"/>
  <c r="W147" i="65"/>
  <c r="V147" i="65"/>
  <c r="O147" i="65"/>
  <c r="AA147" i="65"/>
  <c r="I147" i="65"/>
  <c r="G148" i="63"/>
  <c r="W148" i="63"/>
  <c r="H148" i="63"/>
  <c r="X148" i="63"/>
  <c r="I148" i="63"/>
  <c r="Y148" i="63"/>
  <c r="AE148" i="65" s="1"/>
  <c r="M148" i="63"/>
  <c r="AF148" i="63"/>
  <c r="AV148" i="63"/>
  <c r="AG148" i="63"/>
  <c r="AW148" i="63"/>
  <c r="AH148" i="63"/>
  <c r="AX148" i="63"/>
  <c r="P148" i="63"/>
  <c r="AI148" i="63"/>
  <c r="AY148" i="63"/>
  <c r="Q148" i="63"/>
  <c r="AJ148" i="63"/>
  <c r="R148" i="63"/>
  <c r="AK148" i="63"/>
  <c r="S148" i="63"/>
  <c r="AL148" i="63"/>
  <c r="T148" i="63"/>
  <c r="AM148" i="63"/>
  <c r="C148" i="63"/>
  <c r="AO148" i="63"/>
  <c r="D148" i="63"/>
  <c r="Z148" i="63"/>
  <c r="AP148" i="63"/>
  <c r="E148" i="63"/>
  <c r="AQ148" i="63"/>
  <c r="F148" i="63"/>
  <c r="AR148" i="63"/>
  <c r="B148" i="63"/>
  <c r="J148" i="63"/>
  <c r="K148" i="63"/>
  <c r="L148" i="63"/>
  <c r="U148" i="63"/>
  <c r="AC148" i="63"/>
  <c r="AD148" i="63"/>
  <c r="AE148" i="63"/>
  <c r="AS148" i="63"/>
  <c r="AT148" i="63"/>
  <c r="AU148" i="63"/>
  <c r="AN148" i="63"/>
  <c r="A149" i="63"/>
  <c r="T148" i="65" l="1"/>
  <c r="P148" i="65"/>
  <c r="AD148" i="65"/>
  <c r="AC148" i="65"/>
  <c r="AB148" i="65"/>
  <c r="D148" i="65"/>
  <c r="K148" i="65"/>
  <c r="Z148" i="65"/>
  <c r="I148" i="65"/>
  <c r="G148" i="65"/>
  <c r="W148" i="65"/>
  <c r="V148" i="65"/>
  <c r="O148" i="65"/>
  <c r="AA148" i="65"/>
  <c r="N149" i="63"/>
  <c r="AD149" i="63"/>
  <c r="AT149" i="63"/>
  <c r="AE149" i="63"/>
  <c r="AU149" i="63"/>
  <c r="P149" i="63"/>
  <c r="AF149" i="63"/>
  <c r="AV149" i="63"/>
  <c r="Q149" i="63"/>
  <c r="AG149" i="63"/>
  <c r="AW149" i="63"/>
  <c r="R149" i="63"/>
  <c r="AH149" i="63"/>
  <c r="AX149" i="63"/>
  <c r="S149" i="63"/>
  <c r="AI149" i="63"/>
  <c r="AY149" i="63"/>
  <c r="T149" i="63"/>
  <c r="AJ149" i="63"/>
  <c r="U149" i="63"/>
  <c r="AK149" i="63"/>
  <c r="W149" i="63"/>
  <c r="AM149" i="63"/>
  <c r="H149" i="63"/>
  <c r="AN149" i="63"/>
  <c r="I149" i="63"/>
  <c r="AO149" i="63"/>
  <c r="J149" i="63"/>
  <c r="Z149" i="63"/>
  <c r="AP149" i="63"/>
  <c r="V149" i="63"/>
  <c r="D149" i="65" s="1"/>
  <c r="AC149" i="63"/>
  <c r="AL149" i="63"/>
  <c r="AQ149" i="63"/>
  <c r="AR149" i="63"/>
  <c r="AS149" i="63"/>
  <c r="K149" i="63"/>
  <c r="L149" i="63"/>
  <c r="M149" i="63"/>
  <c r="Y148" i="65"/>
  <c r="A150" i="63"/>
  <c r="AB149" i="65" l="1"/>
  <c r="AC149" i="65"/>
  <c r="P149" i="65"/>
  <c r="K149" i="65"/>
  <c r="J149" i="65"/>
  <c r="Z149" i="65"/>
  <c r="V149" i="65"/>
  <c r="I149" i="65"/>
  <c r="O149" i="65"/>
  <c r="AA149" i="65"/>
  <c r="W149" i="65"/>
  <c r="G149" i="65"/>
  <c r="L150" i="63"/>
  <c r="AR150" i="63"/>
  <c r="M150" i="63"/>
  <c r="AC150" i="63"/>
  <c r="AS150" i="63"/>
  <c r="N150" i="63"/>
  <c r="AD150" i="63"/>
  <c r="AT150" i="63"/>
  <c r="O150" i="63"/>
  <c r="AE150" i="63"/>
  <c r="AU150" i="63"/>
  <c r="P150" i="63"/>
  <c r="AF150" i="63"/>
  <c r="AV150" i="63"/>
  <c r="AG150" i="63"/>
  <c r="AW150" i="63"/>
  <c r="B150" i="63"/>
  <c r="AH150" i="63"/>
  <c r="AX150" i="63"/>
  <c r="C150" i="63"/>
  <c r="S150" i="63"/>
  <c r="AI150" i="63"/>
  <c r="AY150" i="63"/>
  <c r="E150" i="63"/>
  <c r="U150" i="63"/>
  <c r="AK150" i="63"/>
  <c r="F150" i="63"/>
  <c r="V150" i="63"/>
  <c r="AL150" i="63"/>
  <c r="G150" i="63"/>
  <c r="W150" i="63"/>
  <c r="AM150" i="63"/>
  <c r="H150" i="63"/>
  <c r="X150" i="63"/>
  <c r="AN150" i="63"/>
  <c r="AJ150" i="63"/>
  <c r="AO150" i="63"/>
  <c r="AP150" i="63"/>
  <c r="AQ150" i="63"/>
  <c r="I150" i="63"/>
  <c r="J150" i="63"/>
  <c r="K150" i="63"/>
  <c r="T150" i="63"/>
  <c r="D150" i="63"/>
  <c r="Y150" i="63"/>
  <c r="AE150" i="65" s="1"/>
  <c r="Y149" i="65"/>
  <c r="A151" i="63"/>
  <c r="AC150" i="65" l="1"/>
  <c r="AD150" i="65"/>
  <c r="J150" i="65"/>
  <c r="T150" i="65"/>
  <c r="Z150" i="65"/>
  <c r="K150" i="65"/>
  <c r="D150" i="65"/>
  <c r="O150" i="65"/>
  <c r="AA150" i="65"/>
  <c r="W150" i="65"/>
  <c r="I150" i="65"/>
  <c r="G150" i="65"/>
  <c r="V150" i="65"/>
  <c r="J151" i="63"/>
  <c r="Z151" i="63"/>
  <c r="AP151" i="63"/>
  <c r="AQ151" i="63"/>
  <c r="L151" i="63"/>
  <c r="AR151" i="63"/>
  <c r="M151" i="63"/>
  <c r="AC151" i="63"/>
  <c r="AS151" i="63"/>
  <c r="N151" i="63"/>
  <c r="AD151" i="63"/>
  <c r="AT151" i="63"/>
  <c r="O151" i="63"/>
  <c r="AE151" i="63"/>
  <c r="AU151" i="63"/>
  <c r="P151" i="63"/>
  <c r="AF151" i="63"/>
  <c r="AV151" i="63"/>
  <c r="AG151" i="63"/>
  <c r="AW151" i="63"/>
  <c r="C151" i="63"/>
  <c r="AI151" i="63"/>
  <c r="AY151" i="63"/>
  <c r="D151" i="63"/>
  <c r="T151" i="63"/>
  <c r="AJ151" i="63"/>
  <c r="E151" i="63"/>
  <c r="U151" i="63"/>
  <c r="AK151" i="63"/>
  <c r="F151" i="63"/>
  <c r="V151" i="63"/>
  <c r="D151" i="65" s="1"/>
  <c r="AL151" i="63"/>
  <c r="AX151" i="63"/>
  <c r="B151" i="63"/>
  <c r="G151" i="63"/>
  <c r="H151" i="63"/>
  <c r="G151" i="65" s="1"/>
  <c r="I151" i="63"/>
  <c r="W151" i="63"/>
  <c r="X151" i="63"/>
  <c r="Y151" i="63"/>
  <c r="AH151" i="63"/>
  <c r="AM151" i="63"/>
  <c r="AN151" i="63"/>
  <c r="AO151" i="63"/>
  <c r="Y150" i="65"/>
  <c r="A152" i="63"/>
  <c r="AD151" i="65" l="1"/>
  <c r="AE151" i="65"/>
  <c r="AC151" i="65"/>
  <c r="T151" i="65"/>
  <c r="Z151" i="65"/>
  <c r="J151" i="65"/>
  <c r="I151" i="65"/>
  <c r="K151" i="65"/>
  <c r="O151" i="65"/>
  <c r="AA151" i="65"/>
  <c r="P151" i="65"/>
  <c r="V151" i="65"/>
  <c r="W151" i="65"/>
  <c r="H152" i="63"/>
  <c r="AN152" i="63"/>
  <c r="I152" i="63"/>
  <c r="AO152" i="63"/>
  <c r="J152" i="63"/>
  <c r="Z152" i="63"/>
  <c r="AP152" i="63"/>
  <c r="AQ152" i="63"/>
  <c r="L152" i="63"/>
  <c r="AR152" i="63"/>
  <c r="M152" i="63"/>
  <c r="AC152" i="63"/>
  <c r="AS152" i="63"/>
  <c r="N152" i="63"/>
  <c r="AD152" i="63"/>
  <c r="AT152" i="63"/>
  <c r="O152" i="63"/>
  <c r="AE152" i="63"/>
  <c r="AU152" i="63"/>
  <c r="AG152" i="63"/>
  <c r="AW152" i="63"/>
  <c r="AH152" i="63"/>
  <c r="AX152" i="63"/>
  <c r="AI152" i="63"/>
  <c r="AY152" i="63"/>
  <c r="T152" i="63"/>
  <c r="AJ152" i="63"/>
  <c r="P152" i="63"/>
  <c r="U152" i="63"/>
  <c r="V152" i="63"/>
  <c r="D152" i="65" s="1"/>
  <c r="W152" i="63"/>
  <c r="AK152" i="63"/>
  <c r="AL152" i="63"/>
  <c r="AM152" i="63"/>
  <c r="AV152" i="63"/>
  <c r="AF152" i="63"/>
  <c r="A153" i="63"/>
  <c r="P152" i="65" l="1"/>
  <c r="AC152" i="65"/>
  <c r="Z152" i="65"/>
  <c r="J152" i="65"/>
  <c r="K152" i="65"/>
  <c r="W152" i="65"/>
  <c r="V152" i="65"/>
  <c r="O152" i="65"/>
  <c r="AA152" i="65"/>
  <c r="G152" i="65"/>
  <c r="I152" i="65"/>
  <c r="F153" i="63"/>
  <c r="V153" i="63"/>
  <c r="AL153" i="63"/>
  <c r="G153" i="63"/>
  <c r="W153" i="63"/>
  <c r="AM153" i="63"/>
  <c r="H153" i="63"/>
  <c r="X153" i="63"/>
  <c r="AN153" i="63"/>
  <c r="I153" i="63"/>
  <c r="Y153" i="63"/>
  <c r="AE153" i="65" s="1"/>
  <c r="AO153" i="63"/>
  <c r="J153" i="63"/>
  <c r="Z153" i="63"/>
  <c r="AP153" i="63"/>
  <c r="AQ153" i="63"/>
  <c r="L153" i="63"/>
  <c r="AR153" i="63"/>
  <c r="M153" i="63"/>
  <c r="AC153" i="63"/>
  <c r="AS153" i="63"/>
  <c r="O153" i="63"/>
  <c r="AE153" i="63"/>
  <c r="AU153" i="63"/>
  <c r="P153" i="63"/>
  <c r="AF153" i="63"/>
  <c r="AV153" i="63"/>
  <c r="AG153" i="63"/>
  <c r="AW153" i="63"/>
  <c r="B153" i="63"/>
  <c r="AH153" i="63"/>
  <c r="AX153" i="63"/>
  <c r="N153" i="63"/>
  <c r="T153" i="63"/>
  <c r="U153" i="63"/>
  <c r="AD153" i="63"/>
  <c r="AI153" i="63"/>
  <c r="AJ153" i="63"/>
  <c r="AK153" i="63"/>
  <c r="AY153" i="63"/>
  <c r="C153" i="63"/>
  <c r="D153" i="63"/>
  <c r="E153" i="63"/>
  <c r="AT153" i="63"/>
  <c r="A154" i="63"/>
  <c r="T153" i="65" l="1"/>
  <c r="AC153" i="65"/>
  <c r="AD153" i="65"/>
  <c r="W153" i="65"/>
  <c r="P153" i="65"/>
  <c r="K153" i="65"/>
  <c r="J153" i="65"/>
  <c r="D153" i="65"/>
  <c r="Z153" i="65"/>
  <c r="V153" i="65"/>
  <c r="O153" i="65"/>
  <c r="AA153" i="65"/>
  <c r="G153" i="65"/>
  <c r="I153" i="65"/>
  <c r="D154" i="63"/>
  <c r="T154" i="63"/>
  <c r="AJ154" i="63"/>
  <c r="E154" i="63"/>
  <c r="U154" i="63"/>
  <c r="AK154" i="63"/>
  <c r="F154" i="63"/>
  <c r="V154" i="63"/>
  <c r="AL154" i="63"/>
  <c r="G154" i="63"/>
  <c r="W154" i="63"/>
  <c r="AM154" i="63"/>
  <c r="H154" i="63"/>
  <c r="X154" i="63"/>
  <c r="AN154" i="63"/>
  <c r="I154" i="63"/>
  <c r="Y154" i="63"/>
  <c r="AE154" i="65" s="1"/>
  <c r="AO154" i="63"/>
  <c r="J154" i="63"/>
  <c r="Z154" i="63"/>
  <c r="AP154" i="63"/>
  <c r="AQ154" i="63"/>
  <c r="M154" i="63"/>
  <c r="AC154" i="63"/>
  <c r="AS154" i="63"/>
  <c r="N154" i="63"/>
  <c r="AD154" i="63"/>
  <c r="AT154" i="63"/>
  <c r="O154" i="63"/>
  <c r="AE154" i="63"/>
  <c r="AU154" i="63"/>
  <c r="AF154" i="63"/>
  <c r="AV154" i="63"/>
  <c r="AG154" i="63"/>
  <c r="AH154" i="63"/>
  <c r="AI154" i="63"/>
  <c r="AR154" i="63"/>
  <c r="AW154" i="63"/>
  <c r="AX154" i="63"/>
  <c r="AY154" i="63"/>
  <c r="B154" i="63"/>
  <c r="C154" i="63"/>
  <c r="L154" i="63"/>
  <c r="Q154" i="63"/>
  <c r="R154" i="63"/>
  <c r="A155" i="63"/>
  <c r="T154" i="65" l="1"/>
  <c r="P154" i="65"/>
  <c r="AC154" i="65"/>
  <c r="AD154" i="65"/>
  <c r="AB154" i="65"/>
  <c r="K154" i="65"/>
  <c r="J154" i="65"/>
  <c r="Z154" i="65"/>
  <c r="D154" i="65"/>
  <c r="O154" i="65"/>
  <c r="AA154" i="65"/>
  <c r="V154" i="65"/>
  <c r="W154" i="65"/>
  <c r="I154" i="65"/>
  <c r="G154" i="65"/>
  <c r="B155" i="63"/>
  <c r="R155" i="63"/>
  <c r="AH155" i="63"/>
  <c r="AX155" i="63"/>
  <c r="C155" i="63"/>
  <c r="S155" i="63"/>
  <c r="AI155" i="63"/>
  <c r="AY155" i="63"/>
  <c r="D155" i="63"/>
  <c r="V155" i="65" s="1"/>
  <c r="T155" i="63"/>
  <c r="AJ155" i="63"/>
  <c r="E155" i="63"/>
  <c r="U155" i="63"/>
  <c r="AK155" i="63"/>
  <c r="F155" i="63"/>
  <c r="V155" i="63"/>
  <c r="AL155" i="63"/>
  <c r="G155" i="63"/>
  <c r="W155" i="63"/>
  <c r="AM155" i="63"/>
  <c r="H155" i="63"/>
  <c r="X155" i="63"/>
  <c r="AN155" i="63"/>
  <c r="I155" i="63"/>
  <c r="Y155" i="63"/>
  <c r="AE155" i="65" s="1"/>
  <c r="AO155" i="63"/>
  <c r="K155" i="63"/>
  <c r="AQ155" i="63"/>
  <c r="L155" i="63"/>
  <c r="AR155" i="63"/>
  <c r="M155" i="63"/>
  <c r="AC155" i="63"/>
  <c r="AS155" i="63"/>
  <c r="N155" i="63"/>
  <c r="AD155" i="63"/>
  <c r="AT155" i="63"/>
  <c r="AP155" i="63"/>
  <c r="AU155" i="63"/>
  <c r="AV155" i="63"/>
  <c r="AW155" i="63"/>
  <c r="O155" i="63"/>
  <c r="P155" i="63"/>
  <c r="Q155" i="63"/>
  <c r="Z155" i="63"/>
  <c r="J155" i="63"/>
  <c r="AE155" i="63"/>
  <c r="AF155" i="63"/>
  <c r="AG155" i="63"/>
  <c r="A156" i="63"/>
  <c r="AD155" i="65" l="1"/>
  <c r="AB155" i="65"/>
  <c r="AC155" i="65"/>
  <c r="T155" i="65"/>
  <c r="P155" i="65"/>
  <c r="D155" i="65"/>
  <c r="K155" i="65"/>
  <c r="J155" i="65"/>
  <c r="W155" i="65"/>
  <c r="Z155" i="65"/>
  <c r="G155" i="65"/>
  <c r="O155" i="65"/>
  <c r="AA155" i="65"/>
  <c r="I155" i="65"/>
  <c r="P156" i="63"/>
  <c r="AF156" i="63"/>
  <c r="AV156" i="63"/>
  <c r="Q156" i="63"/>
  <c r="AG156" i="63"/>
  <c r="AW156" i="63"/>
  <c r="B156" i="63"/>
  <c r="R156" i="63"/>
  <c r="AH156" i="63"/>
  <c r="AX156" i="63"/>
  <c r="C156" i="63"/>
  <c r="S156" i="63"/>
  <c r="AI156" i="63"/>
  <c r="AY156" i="63"/>
  <c r="D156" i="63"/>
  <c r="T156" i="63"/>
  <c r="AJ156" i="63"/>
  <c r="E156" i="63"/>
  <c r="U156" i="63"/>
  <c r="AK156" i="63"/>
  <c r="F156" i="63"/>
  <c r="V156" i="63"/>
  <c r="D156" i="65" s="1"/>
  <c r="AL156" i="63"/>
  <c r="G156" i="63"/>
  <c r="W156" i="63"/>
  <c r="AM156" i="63"/>
  <c r="I156" i="63"/>
  <c r="O156" i="65" s="1"/>
  <c r="Y156" i="63"/>
  <c r="AO156" i="63"/>
  <c r="J156" i="63"/>
  <c r="Z156" i="63"/>
  <c r="AP156" i="63"/>
  <c r="K156" i="63"/>
  <c r="AQ156" i="63"/>
  <c r="L156" i="63"/>
  <c r="AR156" i="63"/>
  <c r="H156" i="63"/>
  <c r="M156" i="63"/>
  <c r="N156" i="63"/>
  <c r="O156" i="63"/>
  <c r="AC156" i="63"/>
  <c r="AD156" i="63"/>
  <c r="AE156" i="63"/>
  <c r="AN156" i="63"/>
  <c r="X156" i="63"/>
  <c r="AS156" i="63"/>
  <c r="AT156" i="63"/>
  <c r="AU156" i="63"/>
  <c r="Y155" i="65"/>
  <c r="A157" i="63"/>
  <c r="AD156" i="65" l="1"/>
  <c r="AE156" i="65"/>
  <c r="Z156" i="65"/>
  <c r="T156" i="65"/>
  <c r="Y156" i="65"/>
  <c r="AC156" i="65"/>
  <c r="J156" i="65"/>
  <c r="K156" i="65"/>
  <c r="AA156" i="65"/>
  <c r="AB156" i="65"/>
  <c r="I156" i="65"/>
  <c r="G156" i="65"/>
  <c r="V156" i="65"/>
  <c r="P156" i="65"/>
  <c r="W156" i="65"/>
  <c r="N157" i="63"/>
  <c r="AD157" i="63"/>
  <c r="AT157" i="63"/>
  <c r="O157" i="63"/>
  <c r="AE157" i="63"/>
  <c r="AU157" i="63"/>
  <c r="AF157" i="63"/>
  <c r="AV157" i="63"/>
  <c r="AG157" i="63"/>
  <c r="AW157" i="63"/>
  <c r="AH157" i="63"/>
  <c r="AX157" i="63"/>
  <c r="S157" i="63"/>
  <c r="AI157" i="63"/>
  <c r="AY157" i="63"/>
  <c r="T157" i="63"/>
  <c r="AJ157" i="63"/>
  <c r="AK157" i="63"/>
  <c r="W157" i="63"/>
  <c r="AM157" i="63"/>
  <c r="H157" i="63"/>
  <c r="AN157" i="63"/>
  <c r="I157" i="63"/>
  <c r="AO157" i="63"/>
  <c r="J157" i="63"/>
  <c r="Z157" i="63"/>
  <c r="AP157" i="63"/>
  <c r="K157" i="63"/>
  <c r="L157" i="63"/>
  <c r="M157" i="63"/>
  <c r="V157" i="63"/>
  <c r="AC157" i="63"/>
  <c r="AQ157" i="63"/>
  <c r="AR157" i="63"/>
  <c r="AS157" i="63"/>
  <c r="AL157" i="63"/>
  <c r="A158" i="63"/>
  <c r="P157" i="65" l="1"/>
  <c r="D157" i="65"/>
  <c r="J157" i="65"/>
  <c r="K157" i="65"/>
  <c r="Z157" i="65"/>
  <c r="I157" i="65"/>
  <c r="O157" i="65"/>
  <c r="AA157" i="65"/>
  <c r="V157" i="65"/>
  <c r="W157" i="65"/>
  <c r="G157" i="65"/>
  <c r="Y157" i="65"/>
  <c r="L158" i="63"/>
  <c r="AR158" i="63"/>
  <c r="M158" i="63"/>
  <c r="AC158" i="63"/>
  <c r="AS158" i="63"/>
  <c r="N158" i="63"/>
  <c r="AD158" i="63"/>
  <c r="AT158" i="63"/>
  <c r="O158" i="63"/>
  <c r="AE158" i="63"/>
  <c r="AU158" i="63"/>
  <c r="AF158" i="63"/>
  <c r="AV158" i="63"/>
  <c r="AG158" i="63"/>
  <c r="AW158" i="63"/>
  <c r="AH158" i="63"/>
  <c r="AX158" i="63"/>
  <c r="AI158" i="63"/>
  <c r="AY158" i="63"/>
  <c r="AK158" i="63"/>
  <c r="V158" i="63"/>
  <c r="AL158" i="63"/>
  <c r="AM158" i="63"/>
  <c r="AN158" i="63"/>
  <c r="T158" i="63"/>
  <c r="Z158" i="63"/>
  <c r="AJ158" i="63"/>
  <c r="AO158" i="63"/>
  <c r="AP158" i="63"/>
  <c r="AQ158" i="63"/>
  <c r="I158" i="63"/>
  <c r="J158" i="63"/>
  <c r="A159" i="63"/>
  <c r="P158" i="65" l="1"/>
  <c r="W158" i="65"/>
  <c r="K158" i="65"/>
  <c r="D158" i="65"/>
  <c r="Z158" i="65"/>
  <c r="V158" i="65"/>
  <c r="I158" i="65"/>
  <c r="O158" i="65"/>
  <c r="AA158" i="65"/>
  <c r="J159" i="63"/>
  <c r="Z159" i="63"/>
  <c r="AP159" i="63"/>
  <c r="AQ159" i="63"/>
  <c r="L159" i="63"/>
  <c r="K159" i="65" s="1"/>
  <c r="AR159" i="63"/>
  <c r="M159" i="63"/>
  <c r="AC159" i="63"/>
  <c r="AS159" i="63"/>
  <c r="N159" i="63"/>
  <c r="AD159" i="63"/>
  <c r="AT159" i="63"/>
  <c r="O159" i="63"/>
  <c r="AE159" i="63"/>
  <c r="AU159" i="63"/>
  <c r="P159" i="63"/>
  <c r="AF159" i="63"/>
  <c r="AV159" i="63"/>
  <c r="AG159" i="63"/>
  <c r="AW159" i="63"/>
  <c r="C159" i="63"/>
  <c r="AI159" i="63"/>
  <c r="AY159" i="63"/>
  <c r="D159" i="63"/>
  <c r="AJ159" i="63"/>
  <c r="E159" i="63"/>
  <c r="U159" i="63"/>
  <c r="AK159" i="63"/>
  <c r="F159" i="63"/>
  <c r="V159" i="63"/>
  <c r="D159" i="65" s="1"/>
  <c r="AL159" i="63"/>
  <c r="AH159" i="63"/>
  <c r="AM159" i="63"/>
  <c r="AN159" i="63"/>
  <c r="AO159" i="63"/>
  <c r="AX159" i="63"/>
  <c r="G159" i="63"/>
  <c r="H159" i="63"/>
  <c r="B159" i="63"/>
  <c r="X159" i="63"/>
  <c r="Y159" i="63"/>
  <c r="AE159" i="65" s="1"/>
  <c r="W159" i="63"/>
  <c r="A160" i="63"/>
  <c r="AC159" i="65" l="1"/>
  <c r="AD159" i="65"/>
  <c r="T159" i="65"/>
  <c r="Z159" i="65"/>
  <c r="J159" i="65"/>
  <c r="G159" i="65"/>
  <c r="I159" i="65"/>
  <c r="O159" i="65"/>
  <c r="W159" i="65"/>
  <c r="P159" i="65"/>
  <c r="V159" i="65"/>
  <c r="X160" i="63"/>
  <c r="AN160" i="63"/>
  <c r="I160" i="63"/>
  <c r="Y160" i="63"/>
  <c r="AE160" i="65" s="1"/>
  <c r="AO160" i="63"/>
  <c r="J160" i="63"/>
  <c r="Z160" i="63"/>
  <c r="AP160" i="63"/>
  <c r="AQ160" i="63"/>
  <c r="L160" i="63"/>
  <c r="AR160" i="63"/>
  <c r="M160" i="63"/>
  <c r="AC160" i="63"/>
  <c r="AS160" i="63"/>
  <c r="N160" i="63"/>
  <c r="AD160" i="63"/>
  <c r="AT160" i="63"/>
  <c r="O160" i="63"/>
  <c r="AE160" i="63"/>
  <c r="AU160" i="63"/>
  <c r="AG160" i="63"/>
  <c r="AW160" i="63"/>
  <c r="B160" i="63"/>
  <c r="AH160" i="63"/>
  <c r="AX160" i="63"/>
  <c r="C160" i="63"/>
  <c r="AI160" i="63"/>
  <c r="AY160" i="63"/>
  <c r="D160" i="63"/>
  <c r="AJ160" i="63"/>
  <c r="AV160" i="63"/>
  <c r="E160" i="63"/>
  <c r="F160" i="63"/>
  <c r="G160" i="63"/>
  <c r="U160" i="63"/>
  <c r="V160" i="63"/>
  <c r="AF160" i="63"/>
  <c r="P160" i="63"/>
  <c r="AK160" i="63"/>
  <c r="AL160" i="63"/>
  <c r="AM160" i="63"/>
  <c r="A161" i="63"/>
  <c r="P160" i="65" l="1"/>
  <c r="AD160" i="65"/>
  <c r="T160" i="65"/>
  <c r="AC160" i="65"/>
  <c r="K160" i="65"/>
  <c r="D160" i="65"/>
  <c r="Z160" i="65"/>
  <c r="W160" i="65"/>
  <c r="G160" i="65"/>
  <c r="V160" i="65"/>
  <c r="I160" i="65"/>
  <c r="O160" i="65"/>
  <c r="F161" i="63"/>
  <c r="V161" i="63"/>
  <c r="AL161" i="63"/>
  <c r="G161" i="63"/>
  <c r="AM161" i="63"/>
  <c r="X161" i="63"/>
  <c r="AN161" i="63"/>
  <c r="Y161" i="63"/>
  <c r="AE161" i="65" s="1"/>
  <c r="AO161" i="63"/>
  <c r="J161" i="63"/>
  <c r="Z161" i="63"/>
  <c r="AP161" i="63"/>
  <c r="AQ161" i="63"/>
  <c r="L161" i="63"/>
  <c r="AR161" i="63"/>
  <c r="M161" i="63"/>
  <c r="AC161" i="63"/>
  <c r="AS161" i="63"/>
  <c r="O161" i="63"/>
  <c r="AE161" i="63"/>
  <c r="AU161" i="63"/>
  <c r="P161" i="63"/>
  <c r="AF161" i="63"/>
  <c r="AV161" i="63"/>
  <c r="Q161" i="63"/>
  <c r="AG161" i="63"/>
  <c r="AW161" i="63"/>
  <c r="B161" i="63"/>
  <c r="R161" i="63"/>
  <c r="AH161" i="63"/>
  <c r="AX161" i="63"/>
  <c r="C161" i="63"/>
  <c r="D161" i="63"/>
  <c r="E161" i="63"/>
  <c r="N161" i="63"/>
  <c r="U161" i="63"/>
  <c r="AI161" i="63"/>
  <c r="AJ161" i="63"/>
  <c r="AK161" i="63"/>
  <c r="AT161" i="63"/>
  <c r="AD161" i="63"/>
  <c r="AY161" i="63"/>
  <c r="A162" i="63"/>
  <c r="AD161" i="65" l="1"/>
  <c r="Z161" i="65"/>
  <c r="T161" i="65"/>
  <c r="AC161" i="65"/>
  <c r="AB161" i="65"/>
  <c r="K161" i="65"/>
  <c r="D161" i="65"/>
  <c r="W161" i="65"/>
  <c r="V161" i="65"/>
  <c r="G161" i="65"/>
  <c r="O161" i="65"/>
  <c r="I161" i="65"/>
  <c r="P161" i="65"/>
  <c r="D162" i="63"/>
  <c r="AJ162" i="63"/>
  <c r="E162" i="63"/>
  <c r="U162" i="63"/>
  <c r="AK162" i="63"/>
  <c r="F162" i="63"/>
  <c r="V162" i="63"/>
  <c r="AL162" i="63"/>
  <c r="G162" i="63"/>
  <c r="W162" i="63"/>
  <c r="AM162" i="63"/>
  <c r="H162" i="63"/>
  <c r="X162" i="63"/>
  <c r="AN162" i="63"/>
  <c r="Y162" i="63"/>
  <c r="AE162" i="65" s="1"/>
  <c r="AO162" i="63"/>
  <c r="J162" i="63"/>
  <c r="Z162" i="63"/>
  <c r="AP162" i="63"/>
  <c r="K162" i="63"/>
  <c r="AQ162" i="63"/>
  <c r="AC162" i="63"/>
  <c r="AS162" i="63"/>
  <c r="N162" i="63"/>
  <c r="AD162" i="63"/>
  <c r="AT162" i="63"/>
  <c r="O162" i="63"/>
  <c r="AE162" i="63"/>
  <c r="AU162" i="63"/>
  <c r="P162" i="63"/>
  <c r="AF162" i="63"/>
  <c r="AV162" i="63"/>
  <c r="L162" i="63"/>
  <c r="K162" i="65" s="1"/>
  <c r="Q162" i="63"/>
  <c r="R162" i="63"/>
  <c r="S162" i="63"/>
  <c r="AG162" i="63"/>
  <c r="AH162" i="63"/>
  <c r="AI162" i="63"/>
  <c r="AW162" i="63"/>
  <c r="AX162" i="63"/>
  <c r="AY162" i="63"/>
  <c r="B162" i="63"/>
  <c r="C162" i="63"/>
  <c r="AR162" i="63"/>
  <c r="A163" i="63"/>
  <c r="T162" i="65" l="1"/>
  <c r="AC162" i="65"/>
  <c r="AD162" i="65"/>
  <c r="AB162" i="65"/>
  <c r="J162" i="65"/>
  <c r="Z162" i="65"/>
  <c r="D162" i="65"/>
  <c r="O162" i="65"/>
  <c r="P162" i="65"/>
  <c r="V162" i="65"/>
  <c r="I162" i="65"/>
  <c r="W162" i="65"/>
  <c r="G162" i="65"/>
  <c r="Y162" i="65"/>
  <c r="R163" i="63"/>
  <c r="AH163" i="63"/>
  <c r="AX163" i="63"/>
  <c r="S163" i="63"/>
  <c r="AI163" i="63"/>
  <c r="AY163" i="63"/>
  <c r="T163" i="63"/>
  <c r="AJ163" i="63"/>
  <c r="U163" i="63"/>
  <c r="AK163" i="63"/>
  <c r="V163" i="63"/>
  <c r="AL163" i="63"/>
  <c r="W163" i="63"/>
  <c r="AM163" i="63"/>
  <c r="H163" i="63"/>
  <c r="AN163" i="63"/>
  <c r="I163" i="63"/>
  <c r="AO163" i="63"/>
  <c r="K163" i="63"/>
  <c r="AQ163" i="63"/>
  <c r="L163" i="63"/>
  <c r="AR163" i="63"/>
  <c r="M163" i="63"/>
  <c r="AC163" i="63"/>
  <c r="AS163" i="63"/>
  <c r="N163" i="63"/>
  <c r="AD163" i="63"/>
  <c r="AT163" i="63"/>
  <c r="Z163" i="63"/>
  <c r="AE163" i="63"/>
  <c r="AF163" i="63"/>
  <c r="AG163" i="63"/>
  <c r="AP163" i="63"/>
  <c r="AU163" i="63"/>
  <c r="AV163" i="63"/>
  <c r="AW163" i="63"/>
  <c r="J163" i="63"/>
  <c r="O163" i="63"/>
  <c r="P163" i="63"/>
  <c r="Q163" i="63"/>
  <c r="A164" i="63"/>
  <c r="Z163" i="65" l="1"/>
  <c r="AC163" i="65"/>
  <c r="AB163" i="65"/>
  <c r="W163" i="65"/>
  <c r="J163" i="65"/>
  <c r="K163" i="65"/>
  <c r="D163" i="65"/>
  <c r="G163" i="65"/>
  <c r="O163" i="65"/>
  <c r="AA163" i="65"/>
  <c r="I163" i="65"/>
  <c r="P163" i="65"/>
  <c r="V163" i="65"/>
  <c r="P164" i="63"/>
  <c r="AF164" i="63"/>
  <c r="AV164" i="63"/>
  <c r="AG164" i="63"/>
  <c r="AW164" i="63"/>
  <c r="B164" i="63"/>
  <c r="AH164" i="63"/>
  <c r="AX164" i="63"/>
  <c r="C164" i="63"/>
  <c r="S164" i="63"/>
  <c r="AI164" i="63"/>
  <c r="AY164" i="63"/>
  <c r="D164" i="63"/>
  <c r="T164" i="63"/>
  <c r="AJ164" i="63"/>
  <c r="E164" i="63"/>
  <c r="U164" i="63"/>
  <c r="AK164" i="63"/>
  <c r="F164" i="63"/>
  <c r="V164" i="63"/>
  <c r="D164" i="65" s="1"/>
  <c r="AL164" i="63"/>
  <c r="G164" i="63"/>
  <c r="W164" i="63"/>
  <c r="AM164" i="63"/>
  <c r="I164" i="63"/>
  <c r="Y164" i="63"/>
  <c r="AO164" i="63"/>
  <c r="J164" i="63"/>
  <c r="Z164" i="63"/>
  <c r="AP164" i="63"/>
  <c r="K164" i="63"/>
  <c r="AQ164" i="63"/>
  <c r="L164" i="63"/>
  <c r="K164" i="65" s="1"/>
  <c r="AR164" i="63"/>
  <c r="AN164" i="63"/>
  <c r="AS164" i="63"/>
  <c r="AT164" i="63"/>
  <c r="AU164" i="63"/>
  <c r="N164" i="63"/>
  <c r="O164" i="63"/>
  <c r="X164" i="63"/>
  <c r="H164" i="63"/>
  <c r="O164" i="65" s="1"/>
  <c r="AC164" i="63"/>
  <c r="AD164" i="63"/>
  <c r="AE164" i="63"/>
  <c r="Y163" i="65"/>
  <c r="A165" i="63"/>
  <c r="AD164" i="65" l="1"/>
  <c r="AE164" i="65"/>
  <c r="Z164" i="65"/>
  <c r="T164" i="65"/>
  <c r="AC164" i="65"/>
  <c r="J164" i="65"/>
  <c r="AA164" i="65"/>
  <c r="P164" i="65"/>
  <c r="I164" i="65"/>
  <c r="G164" i="65"/>
  <c r="W164" i="65"/>
  <c r="V164" i="65"/>
  <c r="N165" i="63"/>
  <c r="AD165" i="63"/>
  <c r="AT165" i="63"/>
  <c r="O165" i="63"/>
  <c r="AE165" i="63"/>
  <c r="AU165" i="63"/>
  <c r="P165" i="63"/>
  <c r="AF165" i="63"/>
  <c r="AV165" i="63"/>
  <c r="AG165" i="63"/>
  <c r="AW165" i="63"/>
  <c r="B165" i="63"/>
  <c r="AH165" i="63"/>
  <c r="AX165" i="63"/>
  <c r="C165" i="63"/>
  <c r="AI165" i="63"/>
  <c r="AY165" i="63"/>
  <c r="D165" i="63"/>
  <c r="E165" i="63"/>
  <c r="U165" i="63"/>
  <c r="AK165" i="63"/>
  <c r="G165" i="63"/>
  <c r="W165" i="63"/>
  <c r="AM165" i="63"/>
  <c r="H165" i="63"/>
  <c r="I165" i="63"/>
  <c r="Y165" i="63"/>
  <c r="AE165" i="65" s="1"/>
  <c r="AO165" i="63"/>
  <c r="J165" i="63"/>
  <c r="Z165" i="63"/>
  <c r="AN165" i="63"/>
  <c r="AP165" i="63"/>
  <c r="AQ165" i="63"/>
  <c r="AR165" i="63"/>
  <c r="F165" i="63"/>
  <c r="AS165" i="63"/>
  <c r="L165" i="63"/>
  <c r="V165" i="63"/>
  <c r="D165" i="65" s="1"/>
  <c r="X165" i="63"/>
  <c r="T165" i="63"/>
  <c r="AC165" i="63"/>
  <c r="AJ165" i="63"/>
  <c r="AL165" i="63"/>
  <c r="Y164" i="65"/>
  <c r="A166" i="63"/>
  <c r="T165" i="65" l="1"/>
  <c r="AC165" i="65"/>
  <c r="AD165" i="65"/>
  <c r="P165" i="65"/>
  <c r="J165" i="65"/>
  <c r="I165" i="65"/>
  <c r="K165" i="65"/>
  <c r="Z165" i="65"/>
  <c r="O165" i="65"/>
  <c r="AA165" i="65"/>
  <c r="V165" i="65"/>
  <c r="W165" i="65"/>
  <c r="G165" i="65"/>
  <c r="L166" i="63"/>
  <c r="AR166" i="63"/>
  <c r="M166" i="63"/>
  <c r="AC166" i="63"/>
  <c r="AS166" i="63"/>
  <c r="N166" i="63"/>
  <c r="AD166" i="63"/>
  <c r="AT166" i="63"/>
  <c r="O166" i="63"/>
  <c r="AE166" i="63"/>
  <c r="AU166" i="63"/>
  <c r="P166" i="63"/>
  <c r="AF166" i="63"/>
  <c r="AV166" i="63"/>
  <c r="AG166" i="63"/>
  <c r="AW166" i="63"/>
  <c r="AI166" i="63"/>
  <c r="AY166" i="63"/>
  <c r="U166" i="63"/>
  <c r="AK166" i="63"/>
  <c r="W166" i="63"/>
  <c r="AM166" i="63"/>
  <c r="Z166" i="63"/>
  <c r="AH166" i="63"/>
  <c r="AJ166" i="63"/>
  <c r="AL166" i="63"/>
  <c r="AN166" i="63"/>
  <c r="AO166" i="63"/>
  <c r="I166" i="63"/>
  <c r="AQ166" i="63"/>
  <c r="J166" i="63"/>
  <c r="AX166" i="63"/>
  <c r="H166" i="63"/>
  <c r="T166" i="63"/>
  <c r="V166" i="63"/>
  <c r="D166" i="65" s="1"/>
  <c r="AP166" i="63"/>
  <c r="A167" i="63"/>
  <c r="AC166" i="65" l="1"/>
  <c r="Z166" i="65"/>
  <c r="K166" i="65"/>
  <c r="J166" i="65"/>
  <c r="O166" i="65"/>
  <c r="AA166" i="65"/>
  <c r="I166" i="65"/>
  <c r="W166" i="65"/>
  <c r="P166" i="65"/>
  <c r="V166" i="65"/>
  <c r="G166" i="65"/>
  <c r="J167" i="63"/>
  <c r="Z167" i="63"/>
  <c r="AP167" i="63"/>
  <c r="AQ167" i="63"/>
  <c r="L167" i="63"/>
  <c r="AR167" i="63"/>
  <c r="M167" i="63"/>
  <c r="AC167" i="63"/>
  <c r="AS167" i="63"/>
  <c r="N167" i="63"/>
  <c r="AD167" i="63"/>
  <c r="AT167" i="63"/>
  <c r="O167" i="63"/>
  <c r="AE167" i="63"/>
  <c r="AU167" i="63"/>
  <c r="AG167" i="63"/>
  <c r="AW167" i="63"/>
  <c r="C167" i="63"/>
  <c r="AI167" i="63"/>
  <c r="AY167" i="63"/>
  <c r="E167" i="63"/>
  <c r="U167" i="63"/>
  <c r="AK167" i="63"/>
  <c r="I167" i="63"/>
  <c r="AX167" i="63"/>
  <c r="P167" i="63"/>
  <c r="T167" i="63"/>
  <c r="V167" i="63"/>
  <c r="D167" i="65" s="1"/>
  <c r="W167" i="63"/>
  <c r="X167" i="63"/>
  <c r="W167" i="65" s="1"/>
  <c r="Y167" i="63"/>
  <c r="AE167" i="65" s="1"/>
  <c r="AH167" i="63"/>
  <c r="AJ167" i="63"/>
  <c r="B167" i="63"/>
  <c r="AL167" i="63"/>
  <c r="D167" i="63"/>
  <c r="AM167" i="63"/>
  <c r="F167" i="63"/>
  <c r="G167" i="63"/>
  <c r="H167" i="63"/>
  <c r="G167" i="65" s="1"/>
  <c r="AF167" i="63"/>
  <c r="AN167" i="63"/>
  <c r="AO167" i="63"/>
  <c r="AV167" i="63"/>
  <c r="A168" i="63"/>
  <c r="AD167" i="65" l="1"/>
  <c r="Z167" i="65"/>
  <c r="T167" i="65"/>
  <c r="AC167" i="65"/>
  <c r="I167" i="65"/>
  <c r="K167" i="65"/>
  <c r="J167" i="65"/>
  <c r="P167" i="65"/>
  <c r="O167" i="65"/>
  <c r="AA167" i="65"/>
  <c r="V167" i="65"/>
  <c r="H168" i="63"/>
  <c r="X168" i="63"/>
  <c r="AN168" i="63"/>
  <c r="I168" i="63"/>
  <c r="Y168" i="63"/>
  <c r="AE168" i="65" s="1"/>
  <c r="AO168" i="63"/>
  <c r="J168" i="63"/>
  <c r="Z168" i="63"/>
  <c r="AP168" i="63"/>
  <c r="AQ168" i="63"/>
  <c r="L168" i="63"/>
  <c r="AR168" i="63"/>
  <c r="M168" i="63"/>
  <c r="AC168" i="63"/>
  <c r="AS168" i="63"/>
  <c r="O168" i="63"/>
  <c r="AE168" i="63"/>
  <c r="AU168" i="63"/>
  <c r="Q168" i="63"/>
  <c r="AG168" i="63"/>
  <c r="AW168" i="63"/>
  <c r="C168" i="63"/>
  <c r="AI168" i="63"/>
  <c r="AY168" i="63"/>
  <c r="AJ168" i="63"/>
  <c r="B168" i="63"/>
  <c r="AK168" i="63"/>
  <c r="D168" i="63"/>
  <c r="AL168" i="63"/>
  <c r="E168" i="63"/>
  <c r="AM168" i="63"/>
  <c r="F168" i="63"/>
  <c r="AT168" i="63"/>
  <c r="G168" i="63"/>
  <c r="AV168" i="63"/>
  <c r="N168" i="63"/>
  <c r="AX168" i="63"/>
  <c r="P168" i="63"/>
  <c r="T168" i="63"/>
  <c r="U168" i="63"/>
  <c r="V168" i="63"/>
  <c r="W168" i="63"/>
  <c r="R168" i="63"/>
  <c r="AD168" i="63"/>
  <c r="AF168" i="63"/>
  <c r="AH168" i="63"/>
  <c r="A169" i="63"/>
  <c r="J168" i="65" l="1"/>
  <c r="AB168" i="65"/>
  <c r="AC168" i="65"/>
  <c r="AD168" i="65"/>
  <c r="T168" i="65"/>
  <c r="P168" i="65"/>
  <c r="D168" i="65"/>
  <c r="K168" i="65"/>
  <c r="Z168" i="65"/>
  <c r="O168" i="65"/>
  <c r="AA168" i="65"/>
  <c r="W168" i="65"/>
  <c r="G168" i="65"/>
  <c r="V168" i="65"/>
  <c r="I168" i="65"/>
  <c r="F169" i="63"/>
  <c r="V169" i="63"/>
  <c r="AL169" i="63"/>
  <c r="G169" i="63"/>
  <c r="W169" i="63"/>
  <c r="AM169" i="63"/>
  <c r="H169" i="63"/>
  <c r="X169" i="63"/>
  <c r="AN169" i="63"/>
  <c r="I169" i="63"/>
  <c r="Y169" i="63"/>
  <c r="AO169" i="63"/>
  <c r="J169" i="63"/>
  <c r="Z169" i="63"/>
  <c r="AP169" i="63"/>
  <c r="K169" i="63"/>
  <c r="AQ169" i="63"/>
  <c r="M169" i="63"/>
  <c r="AC169" i="63"/>
  <c r="AS169" i="63"/>
  <c r="O169" i="63"/>
  <c r="AE169" i="63"/>
  <c r="AU169" i="63"/>
  <c r="Q169" i="63"/>
  <c r="AG169" i="63"/>
  <c r="AW169" i="63"/>
  <c r="T169" i="63"/>
  <c r="U169" i="63"/>
  <c r="AD169" i="63"/>
  <c r="AF169" i="63"/>
  <c r="AH169" i="63"/>
  <c r="AI169" i="63"/>
  <c r="B169" i="63"/>
  <c r="AJ169" i="63"/>
  <c r="D169" i="63"/>
  <c r="AR169" i="63"/>
  <c r="E169" i="63"/>
  <c r="AT169" i="63"/>
  <c r="L169" i="63"/>
  <c r="AV169" i="63"/>
  <c r="N169" i="63"/>
  <c r="AX169" i="63"/>
  <c r="C169" i="63"/>
  <c r="P169" i="63"/>
  <c r="R169" i="63"/>
  <c r="S169" i="63"/>
  <c r="AK169" i="63"/>
  <c r="AY169" i="63"/>
  <c r="A170" i="63"/>
  <c r="T169" i="65" l="1"/>
  <c r="AB169" i="65"/>
  <c r="AD169" i="65"/>
  <c r="AE169" i="65"/>
  <c r="AC169" i="65"/>
  <c r="J169" i="65"/>
  <c r="W169" i="65"/>
  <c r="D169" i="65"/>
  <c r="I169" i="65"/>
  <c r="K169" i="65"/>
  <c r="Z169" i="65"/>
  <c r="G169" i="65"/>
  <c r="V169" i="65"/>
  <c r="O169" i="65"/>
  <c r="AA169" i="65"/>
  <c r="P169" i="65"/>
  <c r="D170" i="63"/>
  <c r="T170" i="63"/>
  <c r="AJ170" i="63"/>
  <c r="E170" i="63"/>
  <c r="U170" i="63"/>
  <c r="AK170" i="63"/>
  <c r="F170" i="63"/>
  <c r="V170" i="63"/>
  <c r="AL170" i="63"/>
  <c r="G170" i="63"/>
  <c r="W170" i="63"/>
  <c r="AM170" i="63"/>
  <c r="H170" i="63"/>
  <c r="X170" i="63"/>
  <c r="AN170" i="63"/>
  <c r="I170" i="63"/>
  <c r="Y170" i="63"/>
  <c r="AE170" i="65" s="1"/>
  <c r="AO170" i="63"/>
  <c r="K170" i="63"/>
  <c r="AQ170" i="63"/>
  <c r="M170" i="63"/>
  <c r="AC170" i="63"/>
  <c r="AS170" i="63"/>
  <c r="O170" i="63"/>
  <c r="AE170" i="63"/>
  <c r="AU170" i="63"/>
  <c r="J170" i="63"/>
  <c r="AT170" i="63"/>
  <c r="L170" i="63"/>
  <c r="AV170" i="63"/>
  <c r="N170" i="63"/>
  <c r="AW170" i="63"/>
  <c r="P170" i="63"/>
  <c r="AX170" i="63"/>
  <c r="Q170" i="63"/>
  <c r="AY170" i="63"/>
  <c r="R170" i="63"/>
  <c r="S170" i="63"/>
  <c r="Z170" i="63"/>
  <c r="P170" i="65" s="1"/>
  <c r="AD170" i="63"/>
  <c r="AF170" i="63"/>
  <c r="AG170" i="63"/>
  <c r="AH170" i="63"/>
  <c r="B170" i="63"/>
  <c r="C170" i="63"/>
  <c r="AI170" i="63"/>
  <c r="AP170" i="63"/>
  <c r="AR170" i="63"/>
  <c r="Y169" i="65"/>
  <c r="A171" i="63"/>
  <c r="T170" i="65" l="1"/>
  <c r="Z170" i="65"/>
  <c r="AC170" i="65"/>
  <c r="AD170" i="65"/>
  <c r="AB170" i="65"/>
  <c r="J170" i="65"/>
  <c r="K170" i="65"/>
  <c r="D170" i="65"/>
  <c r="O170" i="65"/>
  <c r="AA170" i="65"/>
  <c r="V170" i="65"/>
  <c r="W170" i="65"/>
  <c r="I170" i="65"/>
  <c r="G170" i="65"/>
  <c r="Y170" i="65"/>
  <c r="AH171" i="63"/>
  <c r="AX171" i="63"/>
  <c r="S171" i="63"/>
  <c r="AI171" i="63"/>
  <c r="AY171" i="63"/>
  <c r="T171" i="63"/>
  <c r="AJ171" i="63"/>
  <c r="U171" i="63"/>
  <c r="AK171" i="63"/>
  <c r="V171" i="63"/>
  <c r="AL171" i="63"/>
  <c r="W171" i="63"/>
  <c r="AM171" i="63"/>
  <c r="I171" i="63"/>
  <c r="AO171" i="63"/>
  <c r="K171" i="63"/>
  <c r="M171" i="63"/>
  <c r="AC171" i="63"/>
  <c r="AS171" i="63"/>
  <c r="AD171" i="63"/>
  <c r="AE171" i="63"/>
  <c r="AF171" i="63"/>
  <c r="AG171" i="63"/>
  <c r="AN171" i="63"/>
  <c r="H171" i="63"/>
  <c r="AP171" i="63"/>
  <c r="J171" i="63"/>
  <c r="AQ171" i="63"/>
  <c r="L171" i="63"/>
  <c r="AR171" i="63"/>
  <c r="O171" i="63"/>
  <c r="AU171" i="63"/>
  <c r="P171" i="63"/>
  <c r="AV171" i="63"/>
  <c r="AW171" i="63"/>
  <c r="N171" i="63"/>
  <c r="Z171" i="63"/>
  <c r="AT171" i="63"/>
  <c r="A172" i="63"/>
  <c r="AC171" i="65" l="1"/>
  <c r="K171" i="65"/>
  <c r="D171" i="65"/>
  <c r="J171" i="65"/>
  <c r="I171" i="65"/>
  <c r="G171" i="65"/>
  <c r="W171" i="65"/>
  <c r="O171" i="65"/>
  <c r="AA171" i="65"/>
  <c r="P171" i="65"/>
  <c r="P172" i="63"/>
  <c r="AF172" i="63"/>
  <c r="AV172" i="63"/>
  <c r="AG172" i="63"/>
  <c r="AW172" i="63"/>
  <c r="AH172" i="63"/>
  <c r="AX172" i="63"/>
  <c r="AI172" i="63"/>
  <c r="AY172" i="63"/>
  <c r="T172" i="63"/>
  <c r="AJ172" i="63"/>
  <c r="U172" i="63"/>
  <c r="AK172" i="63"/>
  <c r="W172" i="63"/>
  <c r="AM172" i="63"/>
  <c r="L172" i="63"/>
  <c r="AQ172" i="63"/>
  <c r="M172" i="63"/>
  <c r="AR172" i="63"/>
  <c r="N172" i="63"/>
  <c r="AS172" i="63"/>
  <c r="O172" i="63"/>
  <c r="AT172" i="63"/>
  <c r="V172" i="63"/>
  <c r="AU172" i="63"/>
  <c r="Z172" i="63"/>
  <c r="AC172" i="63"/>
  <c r="AD172" i="63"/>
  <c r="AE172" i="63"/>
  <c r="AL172" i="63"/>
  <c r="H172" i="63"/>
  <c r="O172" i="65" s="1"/>
  <c r="I172" i="63"/>
  <c r="J172" i="63"/>
  <c r="AN172" i="63"/>
  <c r="AO172" i="63"/>
  <c r="AP172" i="63"/>
  <c r="Y171" i="65"/>
  <c r="A173" i="63"/>
  <c r="Z172" i="65" l="1"/>
  <c r="AC172" i="65"/>
  <c r="J172" i="65"/>
  <c r="D172" i="65"/>
  <c r="I172" i="65"/>
  <c r="K172" i="65"/>
  <c r="W172" i="65"/>
  <c r="AA172" i="65"/>
  <c r="G172" i="65"/>
  <c r="P172" i="65"/>
  <c r="V172" i="65"/>
  <c r="N173" i="63"/>
  <c r="AD173" i="63"/>
  <c r="AT173" i="63"/>
  <c r="O173" i="63"/>
  <c r="AE173" i="63"/>
  <c r="AU173" i="63"/>
  <c r="P173" i="63"/>
  <c r="AF173" i="63"/>
  <c r="AV173" i="63"/>
  <c r="AG173" i="63"/>
  <c r="AW173" i="63"/>
  <c r="B173" i="63"/>
  <c r="AH173" i="63"/>
  <c r="AX173" i="63"/>
  <c r="C173" i="63"/>
  <c r="AI173" i="63"/>
  <c r="AY173" i="63"/>
  <c r="E173" i="63"/>
  <c r="U173" i="63"/>
  <c r="AK173" i="63"/>
  <c r="W173" i="63"/>
  <c r="X173" i="63"/>
  <c r="Y173" i="63"/>
  <c r="AE173" i="65" s="1"/>
  <c r="Z173" i="63"/>
  <c r="D173" i="63"/>
  <c r="F173" i="63"/>
  <c r="AC173" i="63"/>
  <c r="G173" i="63"/>
  <c r="AJ173" i="63"/>
  <c r="I173" i="63"/>
  <c r="AM173" i="63"/>
  <c r="J173" i="63"/>
  <c r="AN173" i="63"/>
  <c r="AO173" i="63"/>
  <c r="L173" i="63"/>
  <c r="AP173" i="63"/>
  <c r="AL173" i="63"/>
  <c r="AQ173" i="63"/>
  <c r="AR173" i="63"/>
  <c r="AS173" i="63"/>
  <c r="H173" i="63"/>
  <c r="M173" i="63"/>
  <c r="T173" i="63"/>
  <c r="V173" i="63"/>
  <c r="D173" i="65" s="1"/>
  <c r="A174" i="63"/>
  <c r="T173" i="65" l="1"/>
  <c r="AC173" i="65"/>
  <c r="AD173" i="65"/>
  <c r="J173" i="65"/>
  <c r="Z173" i="65"/>
  <c r="I173" i="65"/>
  <c r="K173" i="65"/>
  <c r="W173" i="65"/>
  <c r="V173" i="65"/>
  <c r="O173" i="65"/>
  <c r="AA173" i="65"/>
  <c r="P173" i="65"/>
  <c r="G173" i="65"/>
  <c r="L174" i="63"/>
  <c r="K174" i="65" s="1"/>
  <c r="AR174" i="63"/>
  <c r="M174" i="63"/>
  <c r="AC174" i="63"/>
  <c r="AS174" i="63"/>
  <c r="N174" i="63"/>
  <c r="AD174" i="63"/>
  <c r="AT174" i="63"/>
  <c r="O174" i="63"/>
  <c r="AE174" i="63"/>
  <c r="AU174" i="63"/>
  <c r="P174" i="63"/>
  <c r="AF174" i="63"/>
  <c r="AV174" i="63"/>
  <c r="AG174" i="63"/>
  <c r="AW174" i="63"/>
  <c r="C174" i="63"/>
  <c r="AI174" i="63"/>
  <c r="AY174" i="63"/>
  <c r="B174" i="63"/>
  <c r="Z174" i="63"/>
  <c r="D174" i="63"/>
  <c r="E174" i="63"/>
  <c r="AH174" i="63"/>
  <c r="F174" i="63"/>
  <c r="AJ174" i="63"/>
  <c r="G174" i="63"/>
  <c r="AK174" i="63"/>
  <c r="H174" i="63"/>
  <c r="AL174" i="63"/>
  <c r="I174" i="63"/>
  <c r="AM174" i="63"/>
  <c r="J174" i="63"/>
  <c r="AN174" i="63"/>
  <c r="AP174" i="63"/>
  <c r="T174" i="63"/>
  <c r="AQ174" i="63"/>
  <c r="U174" i="63"/>
  <c r="AX174" i="63"/>
  <c r="V174" i="63"/>
  <c r="W174" i="63"/>
  <c r="X174" i="63"/>
  <c r="Y174" i="63"/>
  <c r="AE174" i="65" s="1"/>
  <c r="AO174" i="63"/>
  <c r="A175" i="63"/>
  <c r="AC174" i="65" l="1"/>
  <c r="AD174" i="65"/>
  <c r="T174" i="65"/>
  <c r="P174" i="65"/>
  <c r="D174" i="65"/>
  <c r="J174" i="65"/>
  <c r="Z174" i="65"/>
  <c r="V174" i="65"/>
  <c r="O174" i="65"/>
  <c r="AA174" i="65"/>
  <c r="I174" i="65"/>
  <c r="G174" i="65"/>
  <c r="W174" i="65"/>
  <c r="J175" i="63"/>
  <c r="Z175" i="63"/>
  <c r="AP175" i="63"/>
  <c r="AQ175" i="63"/>
  <c r="L175" i="63"/>
  <c r="K175" i="65" s="1"/>
  <c r="AR175" i="63"/>
  <c r="M175" i="63"/>
  <c r="AC175" i="63"/>
  <c r="AS175" i="63"/>
  <c r="AD175" i="63"/>
  <c r="AT175" i="63"/>
  <c r="O175" i="63"/>
  <c r="AE175" i="63"/>
  <c r="AU175" i="63"/>
  <c r="Q175" i="63"/>
  <c r="AG175" i="63"/>
  <c r="AW175" i="63"/>
  <c r="F175" i="63"/>
  <c r="AJ175" i="63"/>
  <c r="G175" i="63"/>
  <c r="AK175" i="63"/>
  <c r="H175" i="63"/>
  <c r="AL175" i="63"/>
  <c r="I175" i="63"/>
  <c r="AM175" i="63"/>
  <c r="P175" i="63"/>
  <c r="AN175" i="63"/>
  <c r="R175" i="63"/>
  <c r="AO175" i="63"/>
  <c r="AV175" i="63"/>
  <c r="T175" i="63"/>
  <c r="AX175" i="63"/>
  <c r="W175" i="63"/>
  <c r="X175" i="63"/>
  <c r="B175" i="63"/>
  <c r="Y175" i="63"/>
  <c r="AE175" i="65" s="1"/>
  <c r="AY175" i="63"/>
  <c r="C175" i="63"/>
  <c r="D175" i="63"/>
  <c r="E175" i="63"/>
  <c r="U175" i="63"/>
  <c r="AI175" i="63"/>
  <c r="AF175" i="63"/>
  <c r="AH175" i="63"/>
  <c r="A176" i="63"/>
  <c r="T175" i="65" l="1"/>
  <c r="AD175" i="65"/>
  <c r="AB175" i="65"/>
  <c r="AC175" i="65"/>
  <c r="D175" i="65"/>
  <c r="W175" i="65"/>
  <c r="Z175" i="65"/>
  <c r="G175" i="65"/>
  <c r="I175" i="65"/>
  <c r="P175" i="65"/>
  <c r="O175" i="65"/>
  <c r="AA175" i="65"/>
  <c r="V175" i="65"/>
  <c r="H176" i="63"/>
  <c r="X176" i="63"/>
  <c r="AN176" i="63"/>
  <c r="I176" i="63"/>
  <c r="Y176" i="63"/>
  <c r="AE176" i="65" s="1"/>
  <c r="AO176" i="63"/>
  <c r="J176" i="63"/>
  <c r="Z176" i="63"/>
  <c r="AP176" i="63"/>
  <c r="K176" i="63"/>
  <c r="AQ176" i="63"/>
  <c r="L176" i="63"/>
  <c r="AR176" i="63"/>
  <c r="M176" i="63"/>
  <c r="AC176" i="63"/>
  <c r="AS176" i="63"/>
  <c r="AE176" i="63"/>
  <c r="AU176" i="63"/>
  <c r="P176" i="63"/>
  <c r="AM176" i="63"/>
  <c r="Q176" i="63"/>
  <c r="AT176" i="63"/>
  <c r="R176" i="63"/>
  <c r="AV176" i="63"/>
  <c r="S176" i="63"/>
  <c r="AW176" i="63"/>
  <c r="T176" i="63"/>
  <c r="AX176" i="63"/>
  <c r="U176" i="63"/>
  <c r="AY176" i="63"/>
  <c r="V176" i="63"/>
  <c r="D176" i="65" s="1"/>
  <c r="W176" i="63"/>
  <c r="B176" i="63"/>
  <c r="AF176" i="63"/>
  <c r="C176" i="63"/>
  <c r="AG176" i="63"/>
  <c r="D176" i="63"/>
  <c r="AH176" i="63"/>
  <c r="E176" i="63"/>
  <c r="AI176" i="63"/>
  <c r="F176" i="63"/>
  <c r="G176" i="63"/>
  <c r="N176" i="63"/>
  <c r="AD176" i="63"/>
  <c r="AJ176" i="63"/>
  <c r="AK176" i="63"/>
  <c r="AL176" i="63"/>
  <c r="A177" i="63"/>
  <c r="AB176" i="65" l="1"/>
  <c r="AD176" i="65"/>
  <c r="T176" i="65"/>
  <c r="AC176" i="65"/>
  <c r="J176" i="65"/>
  <c r="Z176" i="65"/>
  <c r="K176" i="65"/>
  <c r="W176" i="65"/>
  <c r="G176" i="65"/>
  <c r="V176" i="65"/>
  <c r="O176" i="65"/>
  <c r="AA176" i="65"/>
  <c r="P176" i="65"/>
  <c r="I176" i="65"/>
  <c r="AL177" i="63"/>
  <c r="W177" i="63"/>
  <c r="AM177" i="63"/>
  <c r="H177" i="63"/>
  <c r="G177" i="65" s="1"/>
  <c r="AN177" i="63"/>
  <c r="I177" i="63"/>
  <c r="AO177" i="63"/>
  <c r="K177" i="63"/>
  <c r="AQ177" i="63"/>
  <c r="M177" i="63"/>
  <c r="R177" i="63"/>
  <c r="AR177" i="63"/>
  <c r="S177" i="63"/>
  <c r="AS177" i="63"/>
  <c r="T177" i="63"/>
  <c r="AT177" i="63"/>
  <c r="U177" i="63"/>
  <c r="AU177" i="63"/>
  <c r="Z177" i="63"/>
  <c r="AV177" i="63"/>
  <c r="AW177" i="63"/>
  <c r="AC177" i="63"/>
  <c r="AX177" i="63"/>
  <c r="AD177" i="63"/>
  <c r="AY177" i="63"/>
  <c r="AF177" i="63"/>
  <c r="J177" i="63"/>
  <c r="AG177" i="63"/>
  <c r="L177" i="63"/>
  <c r="AH177" i="63"/>
  <c r="AI177" i="63"/>
  <c r="O177" i="63"/>
  <c r="P177" i="63"/>
  <c r="Q177" i="63"/>
  <c r="AE177" i="63"/>
  <c r="AJ177" i="63"/>
  <c r="AK177" i="63"/>
  <c r="AP177" i="63"/>
  <c r="Y176" i="65"/>
  <c r="A178" i="63"/>
  <c r="P177" i="65" l="1"/>
  <c r="AC177" i="65"/>
  <c r="AB177" i="65"/>
  <c r="W177" i="65"/>
  <c r="K177" i="65"/>
  <c r="Z177" i="65"/>
  <c r="I177" i="65"/>
  <c r="O177" i="65"/>
  <c r="AA177" i="65"/>
  <c r="V177" i="65"/>
  <c r="D178" i="63"/>
  <c r="T178" i="63"/>
  <c r="AJ178" i="63"/>
  <c r="E178" i="63"/>
  <c r="U178" i="63"/>
  <c r="AK178" i="63"/>
  <c r="F178" i="63"/>
  <c r="AL178" i="63"/>
  <c r="G178" i="63"/>
  <c r="W178" i="63"/>
  <c r="AM178" i="63"/>
  <c r="I178" i="63"/>
  <c r="Y178" i="63"/>
  <c r="AO178" i="63"/>
  <c r="AN178" i="63"/>
  <c r="P178" i="63"/>
  <c r="AP178" i="63"/>
  <c r="AQ178" i="63"/>
  <c r="AR178" i="63"/>
  <c r="S178" i="63"/>
  <c r="AS178" i="63"/>
  <c r="X178" i="63"/>
  <c r="AT178" i="63"/>
  <c r="Z178" i="63"/>
  <c r="AU178" i="63"/>
  <c r="AV178" i="63"/>
  <c r="C178" i="63"/>
  <c r="AC178" i="63"/>
  <c r="AX178" i="63"/>
  <c r="H178" i="63"/>
  <c r="AD178" i="63"/>
  <c r="AY178" i="63"/>
  <c r="J178" i="63"/>
  <c r="AE178" i="63"/>
  <c r="K178" i="63"/>
  <c r="AF178" i="63"/>
  <c r="B178" i="63"/>
  <c r="L178" i="63"/>
  <c r="M178" i="63"/>
  <c r="AG178" i="63"/>
  <c r="AH178" i="63"/>
  <c r="AI178" i="63"/>
  <c r="AW178" i="63"/>
  <c r="Y177" i="65"/>
  <c r="A179" i="63"/>
  <c r="T178" i="65" l="1"/>
  <c r="Z178" i="65"/>
  <c r="AD178" i="65"/>
  <c r="AE178" i="65"/>
  <c r="AC178" i="65"/>
  <c r="W178" i="65"/>
  <c r="I178" i="65"/>
  <c r="K178" i="65"/>
  <c r="P178" i="65"/>
  <c r="O178" i="65"/>
  <c r="AA178" i="65"/>
  <c r="V178" i="65"/>
  <c r="G178" i="65"/>
  <c r="Y178" i="65"/>
  <c r="B179" i="63"/>
  <c r="AH179" i="63"/>
  <c r="AX179" i="63"/>
  <c r="C179" i="63"/>
  <c r="AI179" i="63"/>
  <c r="AY179" i="63"/>
  <c r="D179" i="63"/>
  <c r="V179" i="65" s="1"/>
  <c r="T179" i="63"/>
  <c r="AJ179" i="63"/>
  <c r="E179" i="63"/>
  <c r="U179" i="63"/>
  <c r="AK179" i="63"/>
  <c r="G179" i="63"/>
  <c r="W179" i="63"/>
  <c r="AM179" i="63"/>
  <c r="L179" i="63"/>
  <c r="K179" i="65" s="1"/>
  <c r="AG179" i="63"/>
  <c r="M179" i="63"/>
  <c r="AL179" i="63"/>
  <c r="N179" i="63"/>
  <c r="AN179" i="63"/>
  <c r="AO179" i="63"/>
  <c r="P179" i="63"/>
  <c r="AP179" i="63"/>
  <c r="AQ179" i="63"/>
  <c r="V179" i="63"/>
  <c r="AR179" i="63"/>
  <c r="X179" i="63"/>
  <c r="AS179" i="63"/>
  <c r="Z179" i="63"/>
  <c r="AU179" i="63"/>
  <c r="AV179" i="63"/>
  <c r="F179" i="63"/>
  <c r="AW179" i="63"/>
  <c r="H179" i="63"/>
  <c r="G179" i="65" s="1"/>
  <c r="AC179" i="63"/>
  <c r="AT179" i="63"/>
  <c r="I179" i="63"/>
  <c r="J179" i="63"/>
  <c r="Y179" i="63"/>
  <c r="AE179" i="65" s="1"/>
  <c r="AD179" i="63"/>
  <c r="AE179" i="63"/>
  <c r="AF179" i="63"/>
  <c r="A180" i="63"/>
  <c r="Z179" i="65" l="1"/>
  <c r="AC179" i="65"/>
  <c r="AD179" i="65"/>
  <c r="T179" i="65"/>
  <c r="P179" i="65"/>
  <c r="J179" i="65"/>
  <c r="D179" i="65"/>
  <c r="W179" i="65"/>
  <c r="I179" i="65"/>
  <c r="O179" i="65"/>
  <c r="AA179" i="65"/>
  <c r="P180" i="63"/>
  <c r="AF180" i="63"/>
  <c r="AV180" i="63"/>
  <c r="AG180" i="63"/>
  <c r="AW180" i="63"/>
  <c r="AH180" i="63"/>
  <c r="AX180" i="63"/>
  <c r="AI180" i="63"/>
  <c r="AY180" i="63"/>
  <c r="U180" i="63"/>
  <c r="AK180" i="63"/>
  <c r="I180" i="63"/>
  <c r="AD180" i="63"/>
  <c r="J180" i="63"/>
  <c r="AE180" i="63"/>
  <c r="AJ180" i="63"/>
  <c r="L180" i="63"/>
  <c r="AL180" i="63"/>
  <c r="M180" i="63"/>
  <c r="AM180" i="63"/>
  <c r="N180" i="63"/>
  <c r="AN180" i="63"/>
  <c r="O180" i="63"/>
  <c r="AO180" i="63"/>
  <c r="AP180" i="63"/>
  <c r="W180" i="63"/>
  <c r="AR180" i="63"/>
  <c r="AS180" i="63"/>
  <c r="AT180" i="63"/>
  <c r="Z180" i="63"/>
  <c r="AU180" i="63"/>
  <c r="H180" i="63"/>
  <c r="V180" i="63"/>
  <c r="AC180" i="63"/>
  <c r="AQ180" i="63"/>
  <c r="A181" i="63"/>
  <c r="AC180" i="65" l="1"/>
  <c r="J180" i="65"/>
  <c r="K180" i="65"/>
  <c r="D180" i="65"/>
  <c r="G180" i="65"/>
  <c r="V180" i="65"/>
  <c r="I180" i="65"/>
  <c r="P180" i="65"/>
  <c r="O180" i="65"/>
  <c r="W180" i="65"/>
  <c r="N181" i="63"/>
  <c r="AD181" i="63"/>
  <c r="AT181" i="63"/>
  <c r="O181" i="63"/>
  <c r="AE181" i="63"/>
  <c r="AU181" i="63"/>
  <c r="P181" i="63"/>
  <c r="AF181" i="63"/>
  <c r="AV181" i="63"/>
  <c r="AG181" i="63"/>
  <c r="AW181" i="63"/>
  <c r="C181" i="63"/>
  <c r="AI181" i="63"/>
  <c r="AY181" i="63"/>
  <c r="F181" i="63"/>
  <c r="G181" i="63"/>
  <c r="H181" i="63"/>
  <c r="AC181" i="63"/>
  <c r="I181" i="63"/>
  <c r="AH181" i="63"/>
  <c r="J181" i="63"/>
  <c r="AJ181" i="63"/>
  <c r="AK181" i="63"/>
  <c r="L181" i="63"/>
  <c r="AL181" i="63"/>
  <c r="M181" i="63"/>
  <c r="AM181" i="63"/>
  <c r="AO181" i="63"/>
  <c r="U181" i="63"/>
  <c r="AP181" i="63"/>
  <c r="V181" i="63"/>
  <c r="D181" i="65" s="1"/>
  <c r="AQ181" i="63"/>
  <c r="W181" i="63"/>
  <c r="AR181" i="63"/>
  <c r="AN181" i="63"/>
  <c r="AS181" i="63"/>
  <c r="AX181" i="63"/>
  <c r="B181" i="63"/>
  <c r="D181" i="63"/>
  <c r="E181" i="63"/>
  <c r="X181" i="63"/>
  <c r="Y181" i="63"/>
  <c r="Z181" i="63"/>
  <c r="P181" i="65" s="1"/>
  <c r="A182" i="63"/>
  <c r="AD181" i="65" l="1"/>
  <c r="AE181" i="65"/>
  <c r="AC181" i="65"/>
  <c r="T181" i="65"/>
  <c r="O181" i="65"/>
  <c r="J181" i="65"/>
  <c r="K181" i="65"/>
  <c r="Z181" i="65"/>
  <c r="G181" i="65"/>
  <c r="W181" i="65"/>
  <c r="I181" i="65"/>
  <c r="V181" i="65"/>
  <c r="L182" i="63"/>
  <c r="AR182" i="63"/>
  <c r="M182" i="63"/>
  <c r="AC182" i="63"/>
  <c r="AS182" i="63"/>
  <c r="N182" i="63"/>
  <c r="AD182" i="63"/>
  <c r="AT182" i="63"/>
  <c r="O182" i="63"/>
  <c r="AE182" i="63"/>
  <c r="AU182" i="63"/>
  <c r="C182" i="63"/>
  <c r="W182" i="63"/>
  <c r="AQ182" i="63"/>
  <c r="D182" i="63"/>
  <c r="X182" i="63"/>
  <c r="AV182" i="63"/>
  <c r="E182" i="63"/>
  <c r="Y182" i="63"/>
  <c r="AE182" i="65" s="1"/>
  <c r="AW182" i="63"/>
  <c r="F182" i="63"/>
  <c r="Z182" i="63"/>
  <c r="AX182" i="63"/>
  <c r="G182" i="63"/>
  <c r="AY182" i="63"/>
  <c r="H182" i="63"/>
  <c r="AF182" i="63"/>
  <c r="I182" i="63"/>
  <c r="AG182" i="63"/>
  <c r="J182" i="63"/>
  <c r="AH182" i="63"/>
  <c r="P182" i="63"/>
  <c r="AJ182" i="63"/>
  <c r="Q182" i="63"/>
  <c r="AK182" i="63"/>
  <c r="R182" i="63"/>
  <c r="AL182" i="63"/>
  <c r="AM182" i="63"/>
  <c r="B182" i="63"/>
  <c r="U182" i="63"/>
  <c r="V182" i="63"/>
  <c r="D182" i="65" s="1"/>
  <c r="AI182" i="63"/>
  <c r="AN182" i="63"/>
  <c r="AO182" i="63"/>
  <c r="AP182" i="63"/>
  <c r="A183" i="63"/>
  <c r="Z182" i="65" l="1"/>
  <c r="AD182" i="65"/>
  <c r="AC182" i="65"/>
  <c r="AB182" i="65"/>
  <c r="T182" i="65"/>
  <c r="J182" i="65"/>
  <c r="K182" i="65"/>
  <c r="G182" i="65"/>
  <c r="P182" i="65"/>
  <c r="O182" i="65"/>
  <c r="I182" i="65"/>
  <c r="V182" i="65"/>
  <c r="W182" i="65"/>
  <c r="J183" i="63"/>
  <c r="L183" i="63"/>
  <c r="O183" i="63"/>
  <c r="AE183" i="63"/>
  <c r="AU183" i="63"/>
  <c r="P183" i="63"/>
  <c r="AF183" i="63"/>
  <c r="AV183" i="63"/>
  <c r="Q183" i="63"/>
  <c r="AG183" i="63"/>
  <c r="AW183" i="63"/>
  <c r="R183" i="63"/>
  <c r="AH183" i="63"/>
  <c r="AX183" i="63"/>
  <c r="S183" i="63"/>
  <c r="AI183" i="63"/>
  <c r="AY183" i="63"/>
  <c r="B183" i="63"/>
  <c r="AJ183" i="63"/>
  <c r="C183" i="63"/>
  <c r="AK183" i="63"/>
  <c r="D183" i="63"/>
  <c r="V183" i="63"/>
  <c r="AL183" i="63"/>
  <c r="F183" i="63"/>
  <c r="X183" i="63"/>
  <c r="AN183" i="63"/>
  <c r="G183" i="63"/>
  <c r="Y183" i="63"/>
  <c r="AE183" i="65" s="1"/>
  <c r="AO183" i="63"/>
  <c r="H183" i="63"/>
  <c r="Z183" i="63"/>
  <c r="P183" i="65" s="1"/>
  <c r="AP183" i="63"/>
  <c r="I183" i="63"/>
  <c r="AQ183" i="63"/>
  <c r="W183" i="63"/>
  <c r="AC183" i="63"/>
  <c r="AD183" i="63"/>
  <c r="AM183" i="63"/>
  <c r="AR183" i="63"/>
  <c r="AS183" i="63"/>
  <c r="AT183" i="63"/>
  <c r="E183" i="63"/>
  <c r="K183" i="63"/>
  <c r="M183" i="63"/>
  <c r="N183" i="63"/>
  <c r="A184" i="63"/>
  <c r="AD183" i="65" l="1"/>
  <c r="AB183" i="65"/>
  <c r="T183" i="65"/>
  <c r="K183" i="65"/>
  <c r="J183" i="65"/>
  <c r="D183" i="65"/>
  <c r="Z183" i="65"/>
  <c r="V183" i="65"/>
  <c r="I183" i="65"/>
  <c r="O183" i="65"/>
  <c r="G183" i="65"/>
  <c r="W183" i="65"/>
  <c r="M184" i="63"/>
  <c r="AC184" i="63"/>
  <c r="AS184" i="63"/>
  <c r="N184" i="63"/>
  <c r="AD184" i="63"/>
  <c r="AT184" i="63"/>
  <c r="O184" i="63"/>
  <c r="AE184" i="63"/>
  <c r="AU184" i="63"/>
  <c r="P184" i="63"/>
  <c r="AF184" i="63"/>
  <c r="AV184" i="63"/>
  <c r="Q184" i="63"/>
  <c r="AG184" i="63"/>
  <c r="AW184" i="63"/>
  <c r="B184" i="63"/>
  <c r="R184" i="63"/>
  <c r="AH184" i="63"/>
  <c r="AX184" i="63"/>
  <c r="C184" i="63"/>
  <c r="S184" i="63"/>
  <c r="AI184" i="63"/>
  <c r="AY184" i="63"/>
  <c r="D184" i="63"/>
  <c r="V184" i="65" s="1"/>
  <c r="T184" i="63"/>
  <c r="AJ184" i="63"/>
  <c r="F184" i="63"/>
  <c r="V184" i="63"/>
  <c r="AL184" i="63"/>
  <c r="G184" i="63"/>
  <c r="W184" i="63"/>
  <c r="AM184" i="63"/>
  <c r="H184" i="63"/>
  <c r="X184" i="63"/>
  <c r="AN184" i="63"/>
  <c r="I184" i="63"/>
  <c r="Y184" i="63"/>
  <c r="AE184" i="65" s="1"/>
  <c r="AO184" i="63"/>
  <c r="AK184" i="63"/>
  <c r="AP184" i="63"/>
  <c r="AQ184" i="63"/>
  <c r="AR184" i="63"/>
  <c r="E184" i="63"/>
  <c r="J184" i="63"/>
  <c r="K184" i="63"/>
  <c r="L184" i="63"/>
  <c r="U184" i="63"/>
  <c r="Z184" i="63"/>
  <c r="Y183" i="65"/>
  <c r="A185" i="63"/>
  <c r="AB184" i="65" l="1"/>
  <c r="AD184" i="65"/>
  <c r="AC184" i="65"/>
  <c r="T184" i="65"/>
  <c r="P184" i="65"/>
  <c r="J184" i="65"/>
  <c r="K184" i="65"/>
  <c r="D184" i="65"/>
  <c r="W184" i="65"/>
  <c r="Z184" i="65"/>
  <c r="G184" i="65"/>
  <c r="O184" i="65"/>
  <c r="AA184" i="65"/>
  <c r="I184" i="65"/>
  <c r="K185" i="63"/>
  <c r="AQ185" i="63"/>
  <c r="L185" i="63"/>
  <c r="AR185" i="63"/>
  <c r="M185" i="63"/>
  <c r="AC185" i="63"/>
  <c r="AS185" i="63"/>
  <c r="N185" i="63"/>
  <c r="AD185" i="63"/>
  <c r="AT185" i="63"/>
  <c r="O185" i="63"/>
  <c r="AE185" i="63"/>
  <c r="AU185" i="63"/>
  <c r="AF185" i="63"/>
  <c r="AV185" i="63"/>
  <c r="AG185" i="63"/>
  <c r="AW185" i="63"/>
  <c r="AH185" i="63"/>
  <c r="AX185" i="63"/>
  <c r="T185" i="63"/>
  <c r="AJ185" i="63"/>
  <c r="U185" i="63"/>
  <c r="AK185" i="63"/>
  <c r="V185" i="63"/>
  <c r="AL185" i="63"/>
  <c r="W185" i="63"/>
  <c r="AM185" i="63"/>
  <c r="AY185" i="63"/>
  <c r="H185" i="63"/>
  <c r="G185" i="65" s="1"/>
  <c r="I185" i="63"/>
  <c r="J185" i="63"/>
  <c r="S185" i="63"/>
  <c r="Z185" i="63"/>
  <c r="AI185" i="63"/>
  <c r="AN185" i="63"/>
  <c r="AO185" i="63"/>
  <c r="AP185" i="63"/>
  <c r="Y184" i="65"/>
  <c r="A186" i="63"/>
  <c r="Z185" i="65" l="1"/>
  <c r="AC185" i="65"/>
  <c r="P185" i="65"/>
  <c r="J185" i="65"/>
  <c r="K185" i="65"/>
  <c r="D185" i="65"/>
  <c r="W185" i="65"/>
  <c r="I185" i="65"/>
  <c r="O185" i="65"/>
  <c r="AA185" i="65"/>
  <c r="Y185" i="65"/>
  <c r="I186" i="63"/>
  <c r="AO186" i="63"/>
  <c r="J186" i="63"/>
  <c r="Z186" i="63"/>
  <c r="AP186" i="63"/>
  <c r="AQ186" i="63"/>
  <c r="L186" i="63"/>
  <c r="AR186" i="63"/>
  <c r="M186" i="63"/>
  <c r="AC186" i="63"/>
  <c r="AS186" i="63"/>
  <c r="N186" i="63"/>
  <c r="AD186" i="63"/>
  <c r="AT186" i="63"/>
  <c r="O186" i="63"/>
  <c r="AE186" i="63"/>
  <c r="AU186" i="63"/>
  <c r="P186" i="63"/>
  <c r="AF186" i="63"/>
  <c r="AV186" i="63"/>
  <c r="AH186" i="63"/>
  <c r="AX186" i="63"/>
  <c r="AI186" i="63"/>
  <c r="AY186" i="63"/>
  <c r="T186" i="63"/>
  <c r="AJ186" i="63"/>
  <c r="AK186" i="63"/>
  <c r="H186" i="63"/>
  <c r="G186" i="65" s="1"/>
  <c r="V186" i="63"/>
  <c r="W186" i="63"/>
  <c r="AG186" i="63"/>
  <c r="AL186" i="63"/>
  <c r="AM186" i="63"/>
  <c r="AN186" i="63"/>
  <c r="AW186" i="63"/>
  <c r="A187" i="63"/>
  <c r="D186" i="65" l="1"/>
  <c r="Z186" i="65"/>
  <c r="J186" i="65"/>
  <c r="I186" i="65"/>
  <c r="K186" i="65"/>
  <c r="P186" i="65"/>
  <c r="O186" i="65"/>
  <c r="AA186" i="65"/>
  <c r="V186" i="65"/>
  <c r="W186" i="65"/>
  <c r="G187" i="63"/>
  <c r="W187" i="63"/>
  <c r="AM187" i="63"/>
  <c r="H187" i="63"/>
  <c r="X187" i="63"/>
  <c r="AN187" i="63"/>
  <c r="I187" i="63"/>
  <c r="Y187" i="63"/>
  <c r="AE187" i="65" s="1"/>
  <c r="AO187" i="63"/>
  <c r="J187" i="63"/>
  <c r="Z187" i="63"/>
  <c r="AP187" i="63"/>
  <c r="AQ187" i="63"/>
  <c r="L187" i="63"/>
  <c r="AR187" i="63"/>
  <c r="M187" i="63"/>
  <c r="AC187" i="63"/>
  <c r="AS187" i="63"/>
  <c r="N187" i="63"/>
  <c r="AD187" i="63"/>
  <c r="AT187" i="63"/>
  <c r="AF187" i="63"/>
  <c r="AV187" i="63"/>
  <c r="AG187" i="63"/>
  <c r="AW187" i="63"/>
  <c r="B187" i="63"/>
  <c r="AH187" i="63"/>
  <c r="AX187" i="63"/>
  <c r="C187" i="63"/>
  <c r="AI187" i="63"/>
  <c r="AY187" i="63"/>
  <c r="O187" i="63"/>
  <c r="T187" i="63"/>
  <c r="U187" i="63"/>
  <c r="V187" i="63"/>
  <c r="AE187" i="63"/>
  <c r="AJ187" i="63"/>
  <c r="AK187" i="63"/>
  <c r="AL187" i="63"/>
  <c r="AU187" i="63"/>
  <c r="D187" i="63"/>
  <c r="E187" i="63"/>
  <c r="F187" i="63"/>
  <c r="A188" i="63"/>
  <c r="T187" i="65" l="1"/>
  <c r="AD187" i="65"/>
  <c r="AC187" i="65"/>
  <c r="P187" i="65"/>
  <c r="J187" i="65"/>
  <c r="K187" i="65"/>
  <c r="D187" i="65"/>
  <c r="Z187" i="65"/>
  <c r="W187" i="65"/>
  <c r="G187" i="65"/>
  <c r="O187" i="65"/>
  <c r="AA187" i="65"/>
  <c r="V187" i="65"/>
  <c r="I187" i="65"/>
  <c r="E188" i="63"/>
  <c r="U188" i="63"/>
  <c r="AK188" i="63"/>
  <c r="F188" i="63"/>
  <c r="V188" i="63"/>
  <c r="D188" i="65" s="1"/>
  <c r="AL188" i="63"/>
  <c r="G188" i="63"/>
  <c r="AM188" i="63"/>
  <c r="X188" i="63"/>
  <c r="AN188" i="63"/>
  <c r="I188" i="63"/>
  <c r="Y188" i="63"/>
  <c r="AO188" i="63"/>
  <c r="J188" i="63"/>
  <c r="Z188" i="63"/>
  <c r="AP188" i="63"/>
  <c r="AQ188" i="63"/>
  <c r="L188" i="63"/>
  <c r="K188" i="65" s="1"/>
  <c r="AR188" i="63"/>
  <c r="N188" i="63"/>
  <c r="AD188" i="63"/>
  <c r="AT188" i="63"/>
  <c r="O188" i="63"/>
  <c r="AE188" i="63"/>
  <c r="AU188" i="63"/>
  <c r="AF188" i="63"/>
  <c r="AV188" i="63"/>
  <c r="AG188" i="63"/>
  <c r="AW188" i="63"/>
  <c r="AC188" i="63"/>
  <c r="AH188" i="63"/>
  <c r="AI188" i="63"/>
  <c r="AJ188" i="63"/>
  <c r="AS188" i="63"/>
  <c r="AX188" i="63"/>
  <c r="AY188" i="63"/>
  <c r="B188" i="63"/>
  <c r="C188" i="63"/>
  <c r="D188" i="63"/>
  <c r="M188" i="63"/>
  <c r="T188" i="63"/>
  <c r="A189" i="63"/>
  <c r="T188" i="65" l="1"/>
  <c r="AD188" i="65"/>
  <c r="AE188" i="65"/>
  <c r="Z188" i="65"/>
  <c r="AC188" i="65"/>
  <c r="O188" i="65"/>
  <c r="P188" i="65"/>
  <c r="G188" i="65"/>
  <c r="AA188" i="65"/>
  <c r="I188" i="65"/>
  <c r="V188" i="65"/>
  <c r="W188" i="65"/>
  <c r="C189" i="63"/>
  <c r="AI189" i="63"/>
  <c r="AY189" i="63"/>
  <c r="D189" i="63"/>
  <c r="T189" i="63"/>
  <c r="AJ189" i="63"/>
  <c r="E189" i="63"/>
  <c r="U189" i="63"/>
  <c r="AK189" i="63"/>
  <c r="F189" i="63"/>
  <c r="V189" i="63"/>
  <c r="AL189" i="63"/>
  <c r="G189" i="63"/>
  <c r="W189" i="63"/>
  <c r="AM189" i="63"/>
  <c r="H189" i="63"/>
  <c r="X189" i="63"/>
  <c r="AN189" i="63"/>
  <c r="Y189" i="63"/>
  <c r="AE189" i="65" s="1"/>
  <c r="AO189" i="63"/>
  <c r="J189" i="63"/>
  <c r="Z189" i="63"/>
  <c r="AP189" i="63"/>
  <c r="L189" i="63"/>
  <c r="AR189" i="63"/>
  <c r="M189" i="63"/>
  <c r="AC189" i="63"/>
  <c r="AS189" i="63"/>
  <c r="N189" i="63"/>
  <c r="AD189" i="63"/>
  <c r="AT189" i="63"/>
  <c r="O189" i="63"/>
  <c r="AE189" i="63"/>
  <c r="AU189" i="63"/>
  <c r="AQ189" i="63"/>
  <c r="AV189" i="63"/>
  <c r="AW189" i="63"/>
  <c r="AX189" i="63"/>
  <c r="B189" i="63"/>
  <c r="P189" i="63"/>
  <c r="Q189" i="63"/>
  <c r="R189" i="63"/>
  <c r="AF189" i="63"/>
  <c r="AG189" i="63"/>
  <c r="AH189" i="63"/>
  <c r="A190" i="63"/>
  <c r="AD189" i="65" l="1"/>
  <c r="T189" i="65"/>
  <c r="AC189" i="65"/>
  <c r="AB189" i="65"/>
  <c r="J189" i="65"/>
  <c r="D189" i="65"/>
  <c r="K189" i="65"/>
  <c r="Z189" i="65"/>
  <c r="W189" i="65"/>
  <c r="I189" i="65"/>
  <c r="O189" i="65"/>
  <c r="AA189" i="65"/>
  <c r="P189" i="65"/>
  <c r="V189" i="65"/>
  <c r="G189" i="65"/>
  <c r="Q190" i="63"/>
  <c r="AG190" i="63"/>
  <c r="AW190" i="63"/>
  <c r="B190" i="63"/>
  <c r="R190" i="63"/>
  <c r="AH190" i="63"/>
  <c r="AX190" i="63"/>
  <c r="C190" i="63"/>
  <c r="S190" i="63"/>
  <c r="AI190" i="63"/>
  <c r="AY190" i="63"/>
  <c r="D190" i="63"/>
  <c r="T190" i="63"/>
  <c r="AJ190" i="63"/>
  <c r="E190" i="63"/>
  <c r="U190" i="63"/>
  <c r="AK190" i="63"/>
  <c r="F190" i="63"/>
  <c r="V190" i="63"/>
  <c r="D190" i="65" s="1"/>
  <c r="AL190" i="63"/>
  <c r="G190" i="63"/>
  <c r="W190" i="63"/>
  <c r="AM190" i="63"/>
  <c r="H190" i="63"/>
  <c r="G190" i="65" s="1"/>
  <c r="X190" i="63"/>
  <c r="AN190" i="63"/>
  <c r="J190" i="63"/>
  <c r="Z190" i="63"/>
  <c r="AP190" i="63"/>
  <c r="K190" i="63"/>
  <c r="AQ190" i="63"/>
  <c r="L190" i="63"/>
  <c r="AR190" i="63"/>
  <c r="M190" i="63"/>
  <c r="AC190" i="63"/>
  <c r="AS190" i="63"/>
  <c r="I190" i="63"/>
  <c r="N190" i="63"/>
  <c r="O190" i="63"/>
  <c r="P190" i="63"/>
  <c r="Y190" i="63"/>
  <c r="AE190" i="65" s="1"/>
  <c r="AD190" i="63"/>
  <c r="AE190" i="63"/>
  <c r="AF190" i="63"/>
  <c r="AO190" i="63"/>
  <c r="AT190" i="63"/>
  <c r="AU190" i="63"/>
  <c r="AV190" i="63"/>
  <c r="A191" i="63"/>
  <c r="AD190" i="65" l="1"/>
  <c r="Z190" i="65"/>
  <c r="T190" i="65"/>
  <c r="AC190" i="65"/>
  <c r="AB190" i="65"/>
  <c r="J190" i="65"/>
  <c r="K190" i="65"/>
  <c r="W190" i="65"/>
  <c r="O190" i="65"/>
  <c r="AA190" i="65"/>
  <c r="I190" i="65"/>
  <c r="P190" i="65"/>
  <c r="V190" i="65"/>
  <c r="O191" i="63"/>
  <c r="AE191" i="63"/>
  <c r="AU191" i="63"/>
  <c r="P191" i="63"/>
  <c r="AF191" i="63"/>
  <c r="AV191" i="63"/>
  <c r="Q191" i="63"/>
  <c r="AG191" i="63"/>
  <c r="AW191" i="63"/>
  <c r="R191" i="63"/>
  <c r="AH191" i="63"/>
  <c r="AX191" i="63"/>
  <c r="S191" i="63"/>
  <c r="AI191" i="63"/>
  <c r="AY191" i="63"/>
  <c r="T191" i="63"/>
  <c r="AJ191" i="63"/>
  <c r="U191" i="63"/>
  <c r="AK191" i="63"/>
  <c r="V191" i="63"/>
  <c r="D191" i="65" s="1"/>
  <c r="AL191" i="63"/>
  <c r="AN191" i="63"/>
  <c r="I191" i="63"/>
  <c r="AO191" i="63"/>
  <c r="J191" i="63"/>
  <c r="Z191" i="63"/>
  <c r="AP191" i="63"/>
  <c r="K191" i="63"/>
  <c r="AQ191" i="63"/>
  <c r="L191" i="63"/>
  <c r="K191" i="65" s="1"/>
  <c r="M191" i="63"/>
  <c r="N191" i="63"/>
  <c r="AC191" i="63"/>
  <c r="AD191" i="63"/>
  <c r="AM191" i="63"/>
  <c r="AR191" i="63"/>
  <c r="AS191" i="63"/>
  <c r="AT191" i="63"/>
  <c r="Y190" i="65"/>
  <c r="A192" i="63"/>
  <c r="Z191" i="65" l="1"/>
  <c r="AB191" i="65"/>
  <c r="AC191" i="65"/>
  <c r="P191" i="65"/>
  <c r="G191" i="65"/>
  <c r="I191" i="65"/>
  <c r="V191" i="65"/>
  <c r="O191" i="65"/>
  <c r="AA191" i="65"/>
  <c r="W191" i="65"/>
  <c r="Y191" i="65"/>
  <c r="AC192" i="63"/>
  <c r="AS192" i="63"/>
  <c r="N192" i="63"/>
  <c r="AD192" i="63"/>
  <c r="AT192" i="63"/>
  <c r="O192" i="63"/>
  <c r="AE192" i="63"/>
  <c r="AU192" i="63"/>
  <c r="P192" i="63"/>
  <c r="AF192" i="63"/>
  <c r="AV192" i="63"/>
  <c r="AG192" i="63"/>
  <c r="AW192" i="63"/>
  <c r="B192" i="63"/>
  <c r="AH192" i="63"/>
  <c r="AX192" i="63"/>
  <c r="C192" i="63"/>
  <c r="S192" i="63"/>
  <c r="AI192" i="63"/>
  <c r="AY192" i="63"/>
  <c r="D192" i="63"/>
  <c r="T192" i="63"/>
  <c r="AJ192" i="63"/>
  <c r="F192" i="63"/>
  <c r="V192" i="63"/>
  <c r="AL192" i="63"/>
  <c r="G192" i="63"/>
  <c r="AM192" i="63"/>
  <c r="X192" i="63"/>
  <c r="AN192" i="63"/>
  <c r="Y192" i="63"/>
  <c r="AE192" i="65" s="1"/>
  <c r="AO192" i="63"/>
  <c r="U192" i="63"/>
  <c r="Z192" i="63"/>
  <c r="AK192" i="63"/>
  <c r="AP192" i="63"/>
  <c r="AQ192" i="63"/>
  <c r="AR192" i="63"/>
  <c r="E192" i="63"/>
  <c r="K192" i="63"/>
  <c r="L192" i="63"/>
  <c r="J192" i="63"/>
  <c r="W192" i="65" s="1"/>
  <c r="A193" i="63"/>
  <c r="Z192" i="65" l="1"/>
  <c r="T192" i="65"/>
  <c r="AC192" i="65"/>
  <c r="AD192" i="65"/>
  <c r="K192" i="65"/>
  <c r="D192" i="65"/>
  <c r="P192" i="65"/>
  <c r="V192" i="65"/>
  <c r="G192" i="65"/>
  <c r="O192" i="65"/>
  <c r="AA192" i="65"/>
  <c r="I192" i="65"/>
  <c r="Y192" i="65"/>
  <c r="AQ193" i="63"/>
  <c r="L193" i="63"/>
  <c r="K193" i="65" s="1"/>
  <c r="AR193" i="63"/>
  <c r="M193" i="63"/>
  <c r="AC193" i="63"/>
  <c r="AS193" i="63"/>
  <c r="N193" i="63"/>
  <c r="AD193" i="63"/>
  <c r="AT193" i="63"/>
  <c r="O193" i="63"/>
  <c r="AE193" i="63"/>
  <c r="AU193" i="63"/>
  <c r="P193" i="63"/>
  <c r="AF193" i="63"/>
  <c r="AV193" i="63"/>
  <c r="AG193" i="63"/>
  <c r="AW193" i="63"/>
  <c r="B193" i="63"/>
  <c r="AH193" i="63"/>
  <c r="AX193" i="63"/>
  <c r="D193" i="63"/>
  <c r="T193" i="63"/>
  <c r="AJ193" i="63"/>
  <c r="E193" i="63"/>
  <c r="U193" i="63"/>
  <c r="AK193" i="63"/>
  <c r="F193" i="63"/>
  <c r="V193" i="63"/>
  <c r="AL193" i="63"/>
  <c r="G193" i="63"/>
  <c r="W193" i="63"/>
  <c r="AM193" i="63"/>
  <c r="AI193" i="63"/>
  <c r="AN193" i="63"/>
  <c r="AO193" i="63"/>
  <c r="AP193" i="63"/>
  <c r="AY193" i="63"/>
  <c r="C193" i="63"/>
  <c r="H193" i="63"/>
  <c r="G193" i="65" s="1"/>
  <c r="J193" i="63"/>
  <c r="X193" i="63"/>
  <c r="Y193" i="63"/>
  <c r="AE193" i="65" s="1"/>
  <c r="Z193" i="63"/>
  <c r="A194" i="63"/>
  <c r="Z193" i="65" l="1"/>
  <c r="AC193" i="65"/>
  <c r="AD193" i="65"/>
  <c r="T193" i="65"/>
  <c r="D193" i="65"/>
  <c r="J193" i="65"/>
  <c r="W193" i="65"/>
  <c r="V193" i="65"/>
  <c r="P193" i="65"/>
  <c r="I193" i="65"/>
  <c r="O193" i="65"/>
  <c r="AA193" i="65"/>
  <c r="I194" i="63"/>
  <c r="AO194" i="63"/>
  <c r="J194" i="63"/>
  <c r="Z194" i="63"/>
  <c r="AP194" i="63"/>
  <c r="AQ194" i="63"/>
  <c r="L194" i="63"/>
  <c r="AR194" i="63"/>
  <c r="M194" i="63"/>
  <c r="AC194" i="63"/>
  <c r="AS194" i="63"/>
  <c r="N194" i="63"/>
  <c r="AD194" i="63"/>
  <c r="AT194" i="63"/>
  <c r="O194" i="63"/>
  <c r="AE194" i="63"/>
  <c r="AU194" i="63"/>
  <c r="P194" i="63"/>
  <c r="AF194" i="63"/>
  <c r="AV194" i="63"/>
  <c r="AH194" i="63"/>
  <c r="AX194" i="63"/>
  <c r="AI194" i="63"/>
  <c r="AY194" i="63"/>
  <c r="T194" i="63"/>
  <c r="AJ194" i="63"/>
  <c r="U194" i="63"/>
  <c r="AK194" i="63"/>
  <c r="AW194" i="63"/>
  <c r="H194" i="63"/>
  <c r="V194" i="63"/>
  <c r="D194" i="65" s="1"/>
  <c r="W194" i="63"/>
  <c r="AG194" i="63"/>
  <c r="AL194" i="63"/>
  <c r="AM194" i="63"/>
  <c r="AN194" i="63"/>
  <c r="A195" i="63"/>
  <c r="AC194" i="65" l="1"/>
  <c r="J194" i="65"/>
  <c r="K194" i="65"/>
  <c r="Z194" i="65"/>
  <c r="G194" i="65"/>
  <c r="I194" i="65"/>
  <c r="O194" i="65"/>
  <c r="AA194" i="65"/>
  <c r="P194" i="65"/>
  <c r="V194" i="65"/>
  <c r="W194" i="65"/>
  <c r="G195" i="63"/>
  <c r="W195" i="63"/>
  <c r="AM195" i="63"/>
  <c r="H195" i="63"/>
  <c r="X195" i="63"/>
  <c r="AN195" i="63"/>
  <c r="I195" i="63"/>
  <c r="Y195" i="63"/>
  <c r="AE195" i="65" s="1"/>
  <c r="AO195" i="63"/>
  <c r="J195" i="63"/>
  <c r="Z195" i="63"/>
  <c r="AP195" i="63"/>
  <c r="AQ195" i="63"/>
  <c r="L195" i="63"/>
  <c r="AR195" i="63"/>
  <c r="AC195" i="63"/>
  <c r="AS195" i="63"/>
  <c r="N195" i="63"/>
  <c r="AD195" i="63"/>
  <c r="AT195" i="63"/>
  <c r="P195" i="63"/>
  <c r="AF195" i="63"/>
  <c r="AV195" i="63"/>
  <c r="AG195" i="63"/>
  <c r="AW195" i="63"/>
  <c r="B195" i="63"/>
  <c r="AH195" i="63"/>
  <c r="AX195" i="63"/>
  <c r="C195" i="63"/>
  <c r="AI195" i="63"/>
  <c r="AY195" i="63"/>
  <c r="D195" i="63"/>
  <c r="E195" i="63"/>
  <c r="F195" i="63"/>
  <c r="O195" i="63"/>
  <c r="T195" i="63"/>
  <c r="U195" i="63"/>
  <c r="V195" i="63"/>
  <c r="AE195" i="63"/>
  <c r="AJ195" i="63"/>
  <c r="AK195" i="63"/>
  <c r="AL195" i="63"/>
  <c r="AU195" i="63"/>
  <c r="A196" i="63"/>
  <c r="T195" i="65" l="1"/>
  <c r="AD195" i="65"/>
  <c r="AC195" i="65"/>
  <c r="P195" i="65"/>
  <c r="K195" i="65"/>
  <c r="D195" i="65"/>
  <c r="J195" i="65"/>
  <c r="Z195" i="65"/>
  <c r="G195" i="65"/>
  <c r="W195" i="65"/>
  <c r="V195" i="65"/>
  <c r="I195" i="65"/>
  <c r="O195" i="65"/>
  <c r="AA195" i="65"/>
  <c r="E196" i="63"/>
  <c r="U196" i="63"/>
  <c r="AK196" i="63"/>
  <c r="F196" i="63"/>
  <c r="V196" i="63"/>
  <c r="D196" i="65" s="1"/>
  <c r="AL196" i="63"/>
  <c r="G196" i="63"/>
  <c r="W196" i="63"/>
  <c r="AM196" i="63"/>
  <c r="H196" i="63"/>
  <c r="G196" i="65" s="1"/>
  <c r="X196" i="63"/>
  <c r="AN196" i="63"/>
  <c r="I196" i="63"/>
  <c r="Y196" i="63"/>
  <c r="AE196" i="65" s="1"/>
  <c r="AO196" i="63"/>
  <c r="J196" i="63"/>
  <c r="Z196" i="63"/>
  <c r="AP196" i="63"/>
  <c r="AQ196" i="63"/>
  <c r="L196" i="63"/>
  <c r="K196" i="65" s="1"/>
  <c r="AR196" i="63"/>
  <c r="N196" i="63"/>
  <c r="AD196" i="63"/>
  <c r="AT196" i="63"/>
  <c r="O196" i="63"/>
  <c r="AE196" i="63"/>
  <c r="AU196" i="63"/>
  <c r="P196" i="63"/>
  <c r="AF196" i="63"/>
  <c r="AV196" i="63"/>
  <c r="Q196" i="63"/>
  <c r="AG196" i="63"/>
  <c r="AW196" i="63"/>
  <c r="R196" i="63"/>
  <c r="T196" i="63"/>
  <c r="AC196" i="63"/>
  <c r="AH196" i="63"/>
  <c r="AI196" i="63"/>
  <c r="AJ196" i="63"/>
  <c r="AS196" i="63"/>
  <c r="AX196" i="63"/>
  <c r="AY196" i="63"/>
  <c r="B196" i="63"/>
  <c r="C196" i="63"/>
  <c r="D196" i="63"/>
  <c r="A197" i="63"/>
  <c r="T196" i="65" l="1"/>
  <c r="J196" i="65"/>
  <c r="AC196" i="65"/>
  <c r="AD196" i="65"/>
  <c r="O196" i="65"/>
  <c r="P196" i="65"/>
  <c r="Z196" i="65"/>
  <c r="AA196" i="65"/>
  <c r="AB196" i="65"/>
  <c r="W196" i="65"/>
  <c r="I196" i="65"/>
  <c r="V196" i="65"/>
  <c r="C197" i="63"/>
  <c r="S197" i="63"/>
  <c r="AI197" i="63"/>
  <c r="AY197" i="63"/>
  <c r="D197" i="63"/>
  <c r="T197" i="63"/>
  <c r="AJ197" i="63"/>
  <c r="E197" i="63"/>
  <c r="U197" i="63"/>
  <c r="AK197" i="63"/>
  <c r="F197" i="63"/>
  <c r="V197" i="63"/>
  <c r="AL197" i="63"/>
  <c r="G197" i="63"/>
  <c r="W197" i="63"/>
  <c r="AM197" i="63"/>
  <c r="H197" i="63"/>
  <c r="X197" i="63"/>
  <c r="AN197" i="63"/>
  <c r="I197" i="63"/>
  <c r="Y197" i="63"/>
  <c r="AE197" i="65" s="1"/>
  <c r="AO197" i="63"/>
  <c r="J197" i="63"/>
  <c r="Z197" i="63"/>
  <c r="AP197" i="63"/>
  <c r="L197" i="63"/>
  <c r="K197" i="65" s="1"/>
  <c r="AR197" i="63"/>
  <c r="M197" i="63"/>
  <c r="AC197" i="63"/>
  <c r="AS197" i="63"/>
  <c r="N197" i="63"/>
  <c r="AD197" i="63"/>
  <c r="AT197" i="63"/>
  <c r="O197" i="63"/>
  <c r="AE197" i="63"/>
  <c r="AU197" i="63"/>
  <c r="AF197" i="63"/>
  <c r="AG197" i="63"/>
  <c r="AH197" i="63"/>
  <c r="AQ197" i="63"/>
  <c r="AV197" i="63"/>
  <c r="AW197" i="63"/>
  <c r="AX197" i="63"/>
  <c r="B197" i="63"/>
  <c r="K197" i="63"/>
  <c r="P197" i="63"/>
  <c r="Q197" i="63"/>
  <c r="R197" i="63"/>
  <c r="A198" i="63"/>
  <c r="J197" i="65" l="1"/>
  <c r="AC197" i="65"/>
  <c r="AD197" i="65"/>
  <c r="T197" i="65"/>
  <c r="AB197" i="65"/>
  <c r="D197" i="65"/>
  <c r="Z197" i="65"/>
  <c r="I197" i="65"/>
  <c r="P197" i="65"/>
  <c r="O197" i="65"/>
  <c r="AA197" i="65"/>
  <c r="V197" i="65"/>
  <c r="W197" i="65"/>
  <c r="G197" i="65"/>
  <c r="Y197" i="65"/>
  <c r="Q198" i="63"/>
  <c r="AG198" i="63"/>
  <c r="AW198" i="63"/>
  <c r="B198" i="63"/>
  <c r="R198" i="63"/>
  <c r="AH198" i="63"/>
  <c r="AX198" i="63"/>
  <c r="C198" i="63"/>
  <c r="S198" i="63"/>
  <c r="AI198" i="63"/>
  <c r="AY198" i="63"/>
  <c r="D198" i="63"/>
  <c r="T198" i="63"/>
  <c r="AJ198" i="63"/>
  <c r="E198" i="63"/>
  <c r="U198" i="63"/>
  <c r="AK198" i="63"/>
  <c r="F198" i="63"/>
  <c r="V198" i="63"/>
  <c r="AL198" i="63"/>
  <c r="G198" i="63"/>
  <c r="W198" i="63"/>
  <c r="AM198" i="63"/>
  <c r="H198" i="63"/>
  <c r="G198" i="65" s="1"/>
  <c r="X198" i="63"/>
  <c r="AN198" i="63"/>
  <c r="J198" i="63"/>
  <c r="Z198" i="63"/>
  <c r="AP198" i="63"/>
  <c r="K198" i="63"/>
  <c r="AQ198" i="63"/>
  <c r="L198" i="63"/>
  <c r="AR198" i="63"/>
  <c r="M198" i="63"/>
  <c r="AC198" i="63"/>
  <c r="AS198" i="63"/>
  <c r="AO198" i="63"/>
  <c r="AT198" i="63"/>
  <c r="AU198" i="63"/>
  <c r="AV198" i="63"/>
  <c r="I198" i="63"/>
  <c r="N198" i="63"/>
  <c r="O198" i="63"/>
  <c r="P198" i="63"/>
  <c r="Y198" i="63"/>
  <c r="AE198" i="65" s="1"/>
  <c r="AF198" i="63"/>
  <c r="AD198" i="63"/>
  <c r="AE198" i="63"/>
  <c r="A199" i="63"/>
  <c r="A2" i="55" a="1"/>
  <c r="A2" i="55" s="1"/>
  <c r="Z198" i="65" l="1"/>
  <c r="AC198" i="65"/>
  <c r="AD198" i="65"/>
  <c r="AB198" i="65"/>
  <c r="T198" i="65"/>
  <c r="J198" i="65"/>
  <c r="K198" i="65"/>
  <c r="D198" i="65"/>
  <c r="W198" i="65"/>
  <c r="I198" i="65"/>
  <c r="P198" i="65"/>
  <c r="O198" i="65"/>
  <c r="AA198" i="65"/>
  <c r="V198" i="65"/>
  <c r="O199" i="63"/>
  <c r="AE199" i="63"/>
  <c r="AU199" i="63"/>
  <c r="P199" i="63"/>
  <c r="AF199" i="63"/>
  <c r="AV199" i="63"/>
  <c r="AG199" i="63"/>
  <c r="AW199" i="63"/>
  <c r="AH199" i="63"/>
  <c r="AX199" i="63"/>
  <c r="S199" i="63"/>
  <c r="AI199" i="63"/>
  <c r="AY199" i="63"/>
  <c r="T199" i="63"/>
  <c r="AJ199" i="63"/>
  <c r="U199" i="63"/>
  <c r="AK199" i="63"/>
  <c r="V199" i="63"/>
  <c r="D199" i="65" s="1"/>
  <c r="AL199" i="63"/>
  <c r="H199" i="63"/>
  <c r="AN199" i="63"/>
  <c r="I199" i="63"/>
  <c r="AO199" i="63"/>
  <c r="J199" i="63"/>
  <c r="Z199" i="63"/>
  <c r="AP199" i="63"/>
  <c r="K199" i="63"/>
  <c r="AQ199" i="63"/>
  <c r="L199" i="63"/>
  <c r="M199" i="63"/>
  <c r="N199" i="63"/>
  <c r="W199" i="63"/>
  <c r="AC199" i="63"/>
  <c r="AD199" i="63"/>
  <c r="AM199" i="63"/>
  <c r="AR199" i="63"/>
  <c r="AS199" i="63"/>
  <c r="AT199" i="63"/>
  <c r="Y198" i="65"/>
  <c r="X50" i="65"/>
  <c r="X53" i="65"/>
  <c r="X97" i="65"/>
  <c r="X170" i="65"/>
  <c r="X27" i="65"/>
  <c r="X35" i="65"/>
  <c r="X43" i="65"/>
  <c r="X57" i="65"/>
  <c r="X128" i="65"/>
  <c r="X193" i="65"/>
  <c r="X28" i="65"/>
  <c r="X29" i="65"/>
  <c r="X83" i="65"/>
  <c r="X106" i="65"/>
  <c r="X145" i="65"/>
  <c r="X49" i="65"/>
  <c r="X119" i="65"/>
  <c r="X181" i="65"/>
  <c r="X196" i="65"/>
  <c r="X14" i="65"/>
  <c r="X15" i="65"/>
  <c r="X20" i="65"/>
  <c r="X36" i="65"/>
  <c r="X103" i="65"/>
  <c r="X140" i="65"/>
  <c r="X141" i="65"/>
  <c r="X154" i="65"/>
  <c r="X187" i="65"/>
  <c r="X188" i="65"/>
  <c r="X7" i="65"/>
  <c r="X84" i="65"/>
  <c r="X94" i="65"/>
  <c r="X10" i="65"/>
  <c r="X16" i="65"/>
  <c r="X69" i="65"/>
  <c r="X71" i="65"/>
  <c r="X98" i="65"/>
  <c r="X182" i="65"/>
  <c r="X195" i="65"/>
  <c r="X34" i="65"/>
  <c r="X48" i="65"/>
  <c r="X78" i="65"/>
  <c r="X105" i="65"/>
  <c r="X25" i="65"/>
  <c r="X70" i="65"/>
  <c r="X85" i="65"/>
  <c r="X100" i="65"/>
  <c r="X137" i="65"/>
  <c r="X164" i="65"/>
  <c r="X5" i="65"/>
  <c r="X62" i="65"/>
  <c r="X80" i="65"/>
  <c r="X118" i="65"/>
  <c r="X21" i="65"/>
  <c r="X38" i="65"/>
  <c r="X47" i="65"/>
  <c r="X89" i="65"/>
  <c r="X136" i="65"/>
  <c r="X162" i="65"/>
  <c r="X22" i="65"/>
  <c r="X120" i="65"/>
  <c r="X139" i="65"/>
  <c r="X183" i="65"/>
  <c r="X52" i="65"/>
  <c r="X66" i="65"/>
  <c r="X150" i="65"/>
  <c r="X165" i="65"/>
  <c r="X178" i="65"/>
  <c r="X197" i="65"/>
  <c r="X30" i="65"/>
  <c r="X76" i="65"/>
  <c r="X126" i="65"/>
  <c r="X58" i="65"/>
  <c r="X156" i="65"/>
  <c r="X176" i="65"/>
  <c r="X179" i="65"/>
  <c r="A200" i="63"/>
  <c r="C9" i="50"/>
  <c r="C17" i="50"/>
  <c r="C16" i="50"/>
  <c r="C10" i="50"/>
  <c r="C4" i="46"/>
  <c r="AC199" i="65" l="1"/>
  <c r="Z199" i="65"/>
  <c r="K199" i="65"/>
  <c r="J199" i="65"/>
  <c r="G199" i="65"/>
  <c r="I199" i="65"/>
  <c r="O199" i="65"/>
  <c r="AA199" i="65"/>
  <c r="P199" i="65"/>
  <c r="V199" i="65"/>
  <c r="W199" i="65"/>
  <c r="M200" i="63"/>
  <c r="AC200" i="63"/>
  <c r="AS200" i="63"/>
  <c r="N200" i="63"/>
  <c r="AD200" i="63"/>
  <c r="AT200" i="63"/>
  <c r="O200" i="63"/>
  <c r="AE200" i="63"/>
  <c r="AU200" i="63"/>
  <c r="P200" i="63"/>
  <c r="AF200" i="63"/>
  <c r="AV200" i="63"/>
  <c r="AG200" i="63"/>
  <c r="AW200" i="63"/>
  <c r="AH200" i="63"/>
  <c r="AX200" i="63"/>
  <c r="AI200" i="63"/>
  <c r="AY200" i="63"/>
  <c r="T200" i="63"/>
  <c r="AJ200" i="63"/>
  <c r="V200" i="63"/>
  <c r="AL200" i="63"/>
  <c r="W200" i="63"/>
  <c r="AM200" i="63"/>
  <c r="H200" i="63"/>
  <c r="AN200" i="63"/>
  <c r="I200" i="63"/>
  <c r="AO200" i="63"/>
  <c r="J200" i="63"/>
  <c r="L200" i="63"/>
  <c r="U200" i="63"/>
  <c r="Z200" i="63"/>
  <c r="AK200" i="63"/>
  <c r="AP200" i="63"/>
  <c r="AQ200" i="63"/>
  <c r="AR200" i="63"/>
  <c r="Y199" i="65"/>
  <c r="X111" i="65"/>
  <c r="X104" i="65"/>
  <c r="X131" i="65"/>
  <c r="X81" i="65"/>
  <c r="X127" i="65"/>
  <c r="X75" i="65"/>
  <c r="X19" i="65"/>
  <c r="X159" i="65"/>
  <c r="X146" i="65"/>
  <c r="X161" i="65"/>
  <c r="X125" i="65"/>
  <c r="X99" i="65"/>
  <c r="X55" i="65"/>
  <c r="X112" i="65"/>
  <c r="X160" i="65"/>
  <c r="X198" i="65"/>
  <c r="X117" i="65"/>
  <c r="X132" i="65"/>
  <c r="X95" i="65"/>
  <c r="X11" i="65"/>
  <c r="X39" i="65"/>
  <c r="X72" i="65"/>
  <c r="X123" i="65"/>
  <c r="X190" i="65"/>
  <c r="X109" i="65"/>
  <c r="X77" i="65"/>
  <c r="X175" i="65"/>
  <c r="X168" i="65"/>
  <c r="X167" i="65"/>
  <c r="X122" i="65"/>
  <c r="X155" i="65"/>
  <c r="X173" i="65"/>
  <c r="X33" i="65"/>
  <c r="X41" i="65"/>
  <c r="X134" i="65"/>
  <c r="X67" i="65"/>
  <c r="X151" i="65"/>
  <c r="X147" i="65"/>
  <c r="X184" i="65"/>
  <c r="X90" i="65"/>
  <c r="X174" i="65"/>
  <c r="X114" i="65"/>
  <c r="X113" i="65"/>
  <c r="X192" i="65"/>
  <c r="X153" i="65"/>
  <c r="X91" i="65"/>
  <c r="X56" i="65"/>
  <c r="X133" i="65"/>
  <c r="X13" i="65"/>
  <c r="X148" i="65"/>
  <c r="X86" i="65"/>
  <c r="X44" i="65"/>
  <c r="X92" i="65"/>
  <c r="X24" i="65"/>
  <c r="X42" i="65"/>
  <c r="X142" i="65"/>
  <c r="X108" i="65"/>
  <c r="X63" i="65"/>
  <c r="X64" i="65"/>
  <c r="X8" i="65"/>
  <c r="X189" i="65"/>
  <c r="X169" i="65"/>
  <c r="X6" i="65"/>
  <c r="M20" i="65"/>
  <c r="S49" i="65"/>
  <c r="M8" i="65"/>
  <c r="N20" i="65"/>
  <c r="N23" i="65"/>
  <c r="N7" i="65"/>
  <c r="S15" i="65"/>
  <c r="S10" i="65"/>
  <c r="X61" i="65"/>
  <c r="N13" i="65"/>
  <c r="N17" i="65"/>
  <c r="S42" i="65"/>
  <c r="M44" i="65"/>
  <c r="S53" i="65"/>
  <c r="M26" i="65"/>
  <c r="M18" i="65"/>
  <c r="S47" i="65"/>
  <c r="N18" i="65"/>
  <c r="M50" i="65"/>
  <c r="M43" i="65"/>
  <c r="M19" i="65"/>
  <c r="S26" i="65"/>
  <c r="S51" i="65"/>
  <c r="U38" i="65"/>
  <c r="M52" i="65"/>
  <c r="S64" i="65"/>
  <c r="M41" i="65"/>
  <c r="N61" i="65"/>
  <c r="N33" i="65"/>
  <c r="M65" i="65"/>
  <c r="N74" i="65"/>
  <c r="N75" i="65"/>
  <c r="N16" i="65"/>
  <c r="N25" i="65"/>
  <c r="M31" i="65"/>
  <c r="N50" i="65"/>
  <c r="M17" i="65"/>
  <c r="N28" i="65"/>
  <c r="M35" i="65"/>
  <c r="S38" i="65"/>
  <c r="S41" i="65"/>
  <c r="S69" i="65"/>
  <c r="N77" i="65"/>
  <c r="S79" i="65"/>
  <c r="M110" i="65"/>
  <c r="M79" i="65"/>
  <c r="N59" i="65"/>
  <c r="M81" i="65"/>
  <c r="M109" i="65"/>
  <c r="M59" i="65"/>
  <c r="N107" i="65"/>
  <c r="N138" i="65"/>
  <c r="M77" i="65"/>
  <c r="M89" i="65"/>
  <c r="M106" i="65"/>
  <c r="M154" i="65"/>
  <c r="N87" i="65"/>
  <c r="S107" i="65"/>
  <c r="N118" i="65"/>
  <c r="N120" i="65"/>
  <c r="M47" i="65"/>
  <c r="S86" i="65"/>
  <c r="N91" i="65"/>
  <c r="N92" i="65"/>
  <c r="M93" i="65"/>
  <c r="S106" i="65"/>
  <c r="N114" i="65"/>
  <c r="M135" i="65"/>
  <c r="M64" i="65"/>
  <c r="N85" i="65"/>
  <c r="S96" i="65"/>
  <c r="M103" i="65"/>
  <c r="N83" i="65"/>
  <c r="M85" i="65"/>
  <c r="M99" i="65"/>
  <c r="N140" i="65"/>
  <c r="N65" i="65"/>
  <c r="S114" i="65"/>
  <c r="M82" i="65"/>
  <c r="M83" i="65"/>
  <c r="N78" i="65"/>
  <c r="N105" i="65"/>
  <c r="S121" i="65"/>
  <c r="N122" i="65"/>
  <c r="M151" i="65"/>
  <c r="M78" i="65"/>
  <c r="S84" i="65"/>
  <c r="M90" i="65"/>
  <c r="M94" i="65"/>
  <c r="S100" i="65"/>
  <c r="S108" i="65"/>
  <c r="M117" i="65"/>
  <c r="M152" i="65"/>
  <c r="N103" i="65"/>
  <c r="S187" i="65"/>
  <c r="S119" i="65"/>
  <c r="S139" i="65"/>
  <c r="M142" i="65"/>
  <c r="N171" i="65"/>
  <c r="M122" i="65"/>
  <c r="M177" i="65"/>
  <c r="M88" i="65"/>
  <c r="N175" i="65"/>
  <c r="S123" i="65"/>
  <c r="M119" i="65"/>
  <c r="M150" i="65"/>
  <c r="N110" i="65"/>
  <c r="N177" i="65"/>
  <c r="S188" i="65"/>
  <c r="M141" i="65"/>
  <c r="N148" i="65"/>
  <c r="S173" i="65"/>
  <c r="S186" i="65"/>
  <c r="M197" i="65"/>
  <c r="M120" i="65"/>
  <c r="S146" i="65"/>
  <c r="N156" i="65"/>
  <c r="S165" i="65"/>
  <c r="N166" i="65"/>
  <c r="M173" i="65"/>
  <c r="S182" i="65"/>
  <c r="M148" i="65"/>
  <c r="S150" i="65"/>
  <c r="S170" i="65"/>
  <c r="S190" i="65"/>
  <c r="S140" i="65"/>
  <c r="N145" i="65"/>
  <c r="H161" i="65"/>
  <c r="M172" i="65"/>
  <c r="M115" i="65"/>
  <c r="S130" i="65"/>
  <c r="N143" i="65"/>
  <c r="S155" i="65"/>
  <c r="U170" i="65"/>
  <c r="S157" i="65"/>
  <c r="N164" i="65"/>
  <c r="S167" i="65"/>
  <c r="S175" i="65"/>
  <c r="N176" i="65"/>
  <c r="S125" i="65"/>
  <c r="S143" i="65"/>
  <c r="U151" i="65"/>
  <c r="S154" i="65"/>
  <c r="M157" i="65"/>
  <c r="M163" i="65"/>
  <c r="S164" i="65"/>
  <c r="S172" i="65"/>
  <c r="M125" i="65"/>
  <c r="S135" i="65"/>
  <c r="N144" i="65"/>
  <c r="S156" i="65"/>
  <c r="M165" i="65"/>
  <c r="N167" i="65"/>
  <c r="N170" i="65"/>
  <c r="N179" i="65"/>
  <c r="S184" i="65"/>
  <c r="M186" i="65"/>
  <c r="U187" i="65"/>
  <c r="M131" i="65"/>
  <c r="M137" i="65"/>
  <c r="S145" i="65"/>
  <c r="M149" i="65"/>
  <c r="N174" i="65"/>
  <c r="S189" i="65"/>
  <c r="M194" i="65"/>
  <c r="M185" i="65"/>
  <c r="S192" i="65"/>
  <c r="U195" i="65"/>
  <c r="N198" i="65"/>
  <c r="A201" i="63"/>
  <c r="C19" i="50"/>
  <c r="E4" i="46"/>
  <c r="AC200" i="65" l="1"/>
  <c r="J200" i="65"/>
  <c r="D200" i="65"/>
  <c r="K200" i="65"/>
  <c r="V200" i="65"/>
  <c r="P200" i="65"/>
  <c r="I200" i="65"/>
  <c r="W200" i="65"/>
  <c r="G200" i="65"/>
  <c r="Z200" i="65"/>
  <c r="O200" i="65"/>
  <c r="AA200" i="65"/>
  <c r="M200" i="65"/>
  <c r="AQ201" i="63"/>
  <c r="L201" i="63"/>
  <c r="AR201" i="63"/>
  <c r="M201" i="63"/>
  <c r="AC201" i="63"/>
  <c r="AS201" i="63"/>
  <c r="N201" i="63"/>
  <c r="AD201" i="63"/>
  <c r="AT201" i="63"/>
  <c r="O201" i="63"/>
  <c r="AE201" i="63"/>
  <c r="AU201" i="63"/>
  <c r="P201" i="63"/>
  <c r="AF201" i="63"/>
  <c r="AV201" i="63"/>
  <c r="AG201" i="63"/>
  <c r="AW201" i="63"/>
  <c r="B201" i="63"/>
  <c r="B201" i="65" s="1"/>
  <c r="AH201" i="63"/>
  <c r="AX201" i="63"/>
  <c r="D201" i="63"/>
  <c r="AJ201" i="63"/>
  <c r="E201" i="63"/>
  <c r="U201" i="63"/>
  <c r="AK201" i="63"/>
  <c r="F201" i="63"/>
  <c r="V201" i="63"/>
  <c r="AL201" i="63"/>
  <c r="G201" i="63"/>
  <c r="W201" i="63"/>
  <c r="AM201" i="63"/>
  <c r="X201" i="63"/>
  <c r="Y201" i="63"/>
  <c r="AE201" i="65" s="1"/>
  <c r="Z201" i="63"/>
  <c r="AI201" i="63"/>
  <c r="AN201" i="63"/>
  <c r="AO201" i="63"/>
  <c r="AP201" i="63"/>
  <c r="AY201" i="63"/>
  <c r="C201" i="63"/>
  <c r="H201" i="63"/>
  <c r="I201" i="63"/>
  <c r="J201" i="63"/>
  <c r="U153" i="65"/>
  <c r="N152" i="65"/>
  <c r="U91" i="65"/>
  <c r="U75" i="65"/>
  <c r="S129" i="65"/>
  <c r="U131" i="65"/>
  <c r="M67" i="65"/>
  <c r="M45" i="65"/>
  <c r="M70" i="65"/>
  <c r="S45" i="65"/>
  <c r="S72" i="65"/>
  <c r="S24" i="65"/>
  <c r="U34" i="65"/>
  <c r="M68" i="65"/>
  <c r="M21" i="65"/>
  <c r="M71" i="65"/>
  <c r="S16" i="65"/>
  <c r="M84" i="65"/>
  <c r="S50" i="65"/>
  <c r="S14" i="65"/>
  <c r="S13" i="65"/>
  <c r="S196" i="65"/>
  <c r="S159" i="65"/>
  <c r="N194" i="65"/>
  <c r="N49" i="65"/>
  <c r="S73" i="65"/>
  <c r="S20" i="65"/>
  <c r="S61" i="65"/>
  <c r="M37" i="65"/>
  <c r="S52" i="65"/>
  <c r="S19" i="65"/>
  <c r="M9" i="65"/>
  <c r="S168" i="65"/>
  <c r="M16" i="65"/>
  <c r="M184" i="65"/>
  <c r="N133" i="65"/>
  <c r="M133" i="65"/>
  <c r="N172" i="65"/>
  <c r="N126" i="65"/>
  <c r="S110" i="65"/>
  <c r="M39" i="65"/>
  <c r="N199" i="65"/>
  <c r="M130" i="65"/>
  <c r="N108" i="65"/>
  <c r="S199" i="65"/>
  <c r="S36" i="65"/>
  <c r="S103" i="65"/>
  <c r="S112" i="65"/>
  <c r="N113" i="65"/>
  <c r="M95" i="65"/>
  <c r="M32" i="65"/>
  <c r="S43" i="65"/>
  <c r="S25" i="65"/>
  <c r="U27" i="65"/>
  <c r="N52" i="65"/>
  <c r="U111" i="65"/>
  <c r="U112" i="65"/>
  <c r="U30" i="65"/>
  <c r="U49" i="65"/>
  <c r="N4" i="65"/>
  <c r="N95" i="65"/>
  <c r="S122" i="65"/>
  <c r="M199" i="65"/>
  <c r="S194" i="65"/>
  <c r="N183" i="65"/>
  <c r="S70" i="65"/>
  <c r="S28" i="65"/>
  <c r="S136" i="65"/>
  <c r="N102" i="65"/>
  <c r="N117" i="65"/>
  <c r="M63" i="65"/>
  <c r="N48" i="65"/>
  <c r="N125" i="65"/>
  <c r="H50" i="65"/>
  <c r="H25" i="65"/>
  <c r="N168" i="65"/>
  <c r="M147" i="65"/>
  <c r="N135" i="65"/>
  <c r="N116" i="65"/>
  <c r="S88" i="65"/>
  <c r="N94" i="65"/>
  <c r="S104" i="65"/>
  <c r="M61" i="65"/>
  <c r="S62" i="65"/>
  <c r="M48" i="65"/>
  <c r="S17" i="65"/>
  <c r="N62" i="65"/>
  <c r="N43" i="65"/>
  <c r="N64" i="65"/>
  <c r="M169" i="65"/>
  <c r="N86" i="65"/>
  <c r="S71" i="65"/>
  <c r="U183" i="65"/>
  <c r="S174" i="65"/>
  <c r="M140" i="65"/>
  <c r="S158" i="65"/>
  <c r="M128" i="65"/>
  <c r="S141" i="65"/>
  <c r="S169" i="65"/>
  <c r="N150" i="65"/>
  <c r="S142" i="65"/>
  <c r="N180" i="65"/>
  <c r="S126" i="65"/>
  <c r="U109" i="65"/>
  <c r="S89" i="65"/>
  <c r="M51" i="65"/>
  <c r="M91" i="65"/>
  <c r="N57" i="65"/>
  <c r="U103" i="65"/>
  <c r="M97" i="65"/>
  <c r="S63" i="65"/>
  <c r="N111" i="65"/>
  <c r="M56" i="65"/>
  <c r="N29" i="65"/>
  <c r="S58" i="65"/>
  <c r="U25" i="65"/>
  <c r="N27" i="65"/>
  <c r="S39" i="65"/>
  <c r="M10" i="65"/>
  <c r="S101" i="65"/>
  <c r="S57" i="65"/>
  <c r="N37" i="65"/>
  <c r="N32" i="65"/>
  <c r="N81" i="65"/>
  <c r="N60" i="65"/>
  <c r="N31" i="65"/>
  <c r="S59" i="65"/>
  <c r="S23" i="65"/>
  <c r="M161" i="65"/>
  <c r="S80" i="65"/>
  <c r="M129" i="65"/>
  <c r="S113" i="65"/>
  <c r="N84" i="65"/>
  <c r="M55" i="65"/>
  <c r="S60" i="65"/>
  <c r="N30" i="65"/>
  <c r="M24" i="65"/>
  <c r="U6" i="65"/>
  <c r="S87" i="65"/>
  <c r="N22" i="65"/>
  <c r="M153" i="65"/>
  <c r="S74" i="65"/>
  <c r="U72" i="65"/>
  <c r="M143" i="65"/>
  <c r="N58" i="65"/>
  <c r="S33" i="65"/>
  <c r="N73" i="65"/>
  <c r="U55" i="65"/>
  <c r="S44" i="65"/>
  <c r="U36" i="65"/>
  <c r="H59" i="65"/>
  <c r="H70" i="65"/>
  <c r="H111" i="65"/>
  <c r="H11" i="65"/>
  <c r="S56" i="65"/>
  <c r="H133" i="65"/>
  <c r="U193" i="65"/>
  <c r="N26" i="65"/>
  <c r="N124" i="65"/>
  <c r="N15" i="65"/>
  <c r="S12" i="65"/>
  <c r="S180" i="65"/>
  <c r="U156" i="65"/>
  <c r="S185" i="65"/>
  <c r="U118" i="65"/>
  <c r="S78" i="65"/>
  <c r="U100" i="65"/>
  <c r="N146" i="65"/>
  <c r="M155" i="65"/>
  <c r="U71" i="65"/>
  <c r="M36" i="65"/>
  <c r="N21" i="65"/>
  <c r="S22" i="65"/>
  <c r="U14" i="65"/>
  <c r="H109" i="65"/>
  <c r="H7" i="65"/>
  <c r="H26" i="65"/>
  <c r="H129" i="65"/>
  <c r="H199" i="65"/>
  <c r="H32" i="65"/>
  <c r="U174" i="65"/>
  <c r="M193" i="65"/>
  <c r="U176" i="65"/>
  <c r="M182" i="65"/>
  <c r="M166" i="65"/>
  <c r="S148" i="65"/>
  <c r="M178" i="65"/>
  <c r="N186" i="65"/>
  <c r="N142" i="65"/>
  <c r="S116" i="65"/>
  <c r="M96" i="65"/>
  <c r="M146" i="65"/>
  <c r="S83" i="65"/>
  <c r="U92" i="65"/>
  <c r="M57" i="65"/>
  <c r="S120" i="65"/>
  <c r="S128" i="65"/>
  <c r="S118" i="65"/>
  <c r="U98" i="65"/>
  <c r="N76" i="65"/>
  <c r="U147" i="65"/>
  <c r="M105" i="65"/>
  <c r="N137" i="65"/>
  <c r="S82" i="65"/>
  <c r="M87" i="65"/>
  <c r="M66" i="65"/>
  <c r="S68" i="65"/>
  <c r="S127" i="65"/>
  <c r="U43" i="65"/>
  <c r="N55" i="65"/>
  <c r="M3" i="65"/>
  <c r="U19" i="65"/>
  <c r="U13" i="65"/>
  <c r="S3" i="65"/>
  <c r="S21" i="65"/>
  <c r="N79" i="65"/>
  <c r="N63" i="65"/>
  <c r="M15" i="65"/>
  <c r="H72" i="65"/>
  <c r="H112" i="65"/>
  <c r="H69" i="65"/>
  <c r="H41" i="65"/>
  <c r="H138" i="65"/>
  <c r="H35" i="65"/>
  <c r="H190" i="65"/>
  <c r="H132" i="65"/>
  <c r="H93" i="65"/>
  <c r="H39" i="65"/>
  <c r="H48" i="65"/>
  <c r="H63" i="65"/>
  <c r="H10" i="65"/>
  <c r="H137" i="65"/>
  <c r="N173" i="65"/>
  <c r="S171" i="65"/>
  <c r="M159" i="65"/>
  <c r="U148" i="65"/>
  <c r="M181" i="65"/>
  <c r="M187" i="65"/>
  <c r="S111" i="65"/>
  <c r="U50" i="65"/>
  <c r="M86" i="65"/>
  <c r="U127" i="65"/>
  <c r="N129" i="65"/>
  <c r="U62" i="65"/>
  <c r="S98" i="65"/>
  <c r="M42" i="65"/>
  <c r="U64" i="65"/>
  <c r="N44" i="65"/>
  <c r="U20" i="65"/>
  <c r="M30" i="65"/>
  <c r="M14" i="65"/>
  <c r="M28" i="65"/>
  <c r="U10" i="65"/>
  <c r="H169" i="65"/>
  <c r="H96" i="65"/>
  <c r="H185" i="65"/>
  <c r="H89" i="65"/>
  <c r="H162" i="65"/>
  <c r="H142" i="65"/>
  <c r="H183" i="65"/>
  <c r="H182" i="65"/>
  <c r="H172" i="65"/>
  <c r="H42" i="65"/>
  <c r="H87" i="65"/>
  <c r="H118" i="65"/>
  <c r="S138" i="65"/>
  <c r="U188" i="65"/>
  <c r="M179" i="65"/>
  <c r="S137" i="65"/>
  <c r="N123" i="65"/>
  <c r="M158" i="65"/>
  <c r="U125" i="65"/>
  <c r="M107" i="65"/>
  <c r="N106" i="65"/>
  <c r="U142" i="65"/>
  <c r="S151" i="65"/>
  <c r="M101" i="65"/>
  <c r="N41" i="65"/>
  <c r="S105" i="65"/>
  <c r="U63" i="65"/>
  <c r="M29" i="65"/>
  <c r="M49" i="65"/>
  <c r="U11" i="65"/>
  <c r="S7" i="65"/>
  <c r="S77" i="65"/>
  <c r="U44" i="65"/>
  <c r="H56" i="65"/>
  <c r="H164" i="65"/>
  <c r="H170" i="65"/>
  <c r="H107" i="65"/>
  <c r="H103" i="65"/>
  <c r="H100" i="65"/>
  <c r="H130" i="65"/>
  <c r="H117" i="65"/>
  <c r="H77" i="65"/>
  <c r="H174" i="65"/>
  <c r="H152" i="65"/>
  <c r="H192" i="65"/>
  <c r="H5" i="65"/>
  <c r="M192" i="65"/>
  <c r="M174" i="65"/>
  <c r="S183" i="65"/>
  <c r="N139" i="65"/>
  <c r="M176" i="65"/>
  <c r="N149" i="65"/>
  <c r="S147" i="65"/>
  <c r="N141" i="65"/>
  <c r="U126" i="65"/>
  <c r="S134" i="65"/>
  <c r="U117" i="65"/>
  <c r="M118" i="65"/>
  <c r="U52" i="65"/>
  <c r="M69" i="65"/>
  <c r="U33" i="65"/>
  <c r="U21" i="65"/>
  <c r="S46" i="65"/>
  <c r="M6" i="65"/>
  <c r="S8" i="65"/>
  <c r="H27" i="65"/>
  <c r="H67" i="65"/>
  <c r="H165" i="65"/>
  <c r="H74" i="65"/>
  <c r="H158" i="65"/>
  <c r="H15" i="65"/>
  <c r="H31" i="65"/>
  <c r="H79" i="65"/>
  <c r="H54" i="65"/>
  <c r="H151" i="65"/>
  <c r="H36" i="65"/>
  <c r="H104" i="65"/>
  <c r="H78" i="65"/>
  <c r="H43" i="65"/>
  <c r="N178" i="65"/>
  <c r="N134" i="65"/>
  <c r="M191" i="65"/>
  <c r="S181" i="65"/>
  <c r="U165" i="65"/>
  <c r="S178" i="65"/>
  <c r="M160" i="65"/>
  <c r="U137" i="65"/>
  <c r="N182" i="65"/>
  <c r="S115" i="65"/>
  <c r="S65" i="65"/>
  <c r="U140" i="65"/>
  <c r="S132" i="65"/>
  <c r="S93" i="65"/>
  <c r="U83" i="65"/>
  <c r="S76" i="65"/>
  <c r="S149" i="65"/>
  <c r="U133" i="65"/>
  <c r="M116" i="65"/>
  <c r="S95" i="65"/>
  <c r="U69" i="65"/>
  <c r="U41" i="65"/>
  <c r="S31" i="65"/>
  <c r="U42" i="65"/>
  <c r="N42" i="65"/>
  <c r="M62" i="65"/>
  <c r="M33" i="65"/>
  <c r="U16" i="65"/>
  <c r="U7" i="65"/>
  <c r="S11" i="65"/>
  <c r="U61" i="65"/>
  <c r="S6" i="65"/>
  <c r="H21" i="65"/>
  <c r="H91" i="65"/>
  <c r="H141" i="65"/>
  <c r="H13" i="65"/>
  <c r="H29" i="65"/>
  <c r="H18" i="65"/>
  <c r="H76" i="65"/>
  <c r="H175" i="65"/>
  <c r="H121" i="65"/>
  <c r="H14" i="65"/>
  <c r="H173" i="65"/>
  <c r="H196" i="65"/>
  <c r="H97" i="65"/>
  <c r="S200" i="65"/>
  <c r="M168" i="65"/>
  <c r="M180" i="65"/>
  <c r="U173" i="65"/>
  <c r="U167" i="65"/>
  <c r="U160" i="65"/>
  <c r="N165" i="65"/>
  <c r="S152" i="65"/>
  <c r="U139" i="65"/>
  <c r="U155" i="65"/>
  <c r="M167" i="65"/>
  <c r="M144" i="65"/>
  <c r="U159" i="65"/>
  <c r="M164" i="65"/>
  <c r="S197" i="65"/>
  <c r="S161" i="65"/>
  <c r="U128" i="65"/>
  <c r="U99" i="65"/>
  <c r="N112" i="65"/>
  <c r="M102" i="65"/>
  <c r="U81" i="65"/>
  <c r="M121" i="65"/>
  <c r="S94" i="65"/>
  <c r="U132" i="65"/>
  <c r="M112" i="65"/>
  <c r="U57" i="65"/>
  <c r="U58" i="65"/>
  <c r="S27" i="65"/>
  <c r="S29" i="65"/>
  <c r="S40" i="65"/>
  <c r="S81" i="65"/>
  <c r="N46" i="65"/>
  <c r="M27" i="65"/>
  <c r="N3" i="65"/>
  <c r="M60" i="65"/>
  <c r="H65" i="65"/>
  <c r="H160" i="65"/>
  <c r="H99" i="65"/>
  <c r="H9" i="65"/>
  <c r="H157" i="65"/>
  <c r="H55" i="65"/>
  <c r="H28" i="65"/>
  <c r="H52" i="65"/>
  <c r="H119" i="65"/>
  <c r="H123" i="65"/>
  <c r="H22" i="65"/>
  <c r="H60" i="65"/>
  <c r="U184" i="65"/>
  <c r="S163" i="65"/>
  <c r="M188" i="65"/>
  <c r="S179" i="65"/>
  <c r="U123" i="65"/>
  <c r="S85" i="65"/>
  <c r="N109" i="65"/>
  <c r="M138" i="65"/>
  <c r="M46" i="65"/>
  <c r="S5" i="65"/>
  <c r="H188" i="65"/>
  <c r="H113" i="65"/>
  <c r="H171" i="65"/>
  <c r="H116" i="65"/>
  <c r="H95" i="65"/>
  <c r="H19" i="65"/>
  <c r="H195" i="65"/>
  <c r="H83" i="65"/>
  <c r="H124" i="65"/>
  <c r="H136" i="65"/>
  <c r="H125" i="65"/>
  <c r="H154" i="65"/>
  <c r="H80" i="65"/>
  <c r="S176" i="65"/>
  <c r="M170" i="65"/>
  <c r="N136" i="65"/>
  <c r="M195" i="65"/>
  <c r="U122" i="65"/>
  <c r="N90" i="65"/>
  <c r="U120" i="65"/>
  <c r="U66" i="65"/>
  <c r="U78" i="65"/>
  <c r="M25" i="65"/>
  <c r="U47" i="65"/>
  <c r="M72" i="65"/>
  <c r="H82" i="65"/>
  <c r="H187" i="65"/>
  <c r="H181" i="65"/>
  <c r="H176" i="65"/>
  <c r="H71" i="65"/>
  <c r="H8" i="65"/>
  <c r="H73" i="65"/>
  <c r="H167" i="65"/>
  <c r="H126" i="65"/>
  <c r="H40" i="65"/>
  <c r="S191" i="65"/>
  <c r="U169" i="65"/>
  <c r="U161" i="65"/>
  <c r="U134" i="65"/>
  <c r="U181" i="65"/>
  <c r="M139" i="65"/>
  <c r="N153" i="65"/>
  <c r="U106" i="65"/>
  <c r="M156" i="65"/>
  <c r="U89" i="65"/>
  <c r="U119" i="65"/>
  <c r="M126" i="65"/>
  <c r="U108" i="65"/>
  <c r="S99" i="65"/>
  <c r="U53" i="65"/>
  <c r="S55" i="65"/>
  <c r="U15" i="65"/>
  <c r="M34" i="65"/>
  <c r="M98" i="65"/>
  <c r="S30" i="65"/>
  <c r="S75" i="65"/>
  <c r="M13" i="65"/>
  <c r="U29" i="65"/>
  <c r="U22" i="65"/>
  <c r="S35" i="65"/>
  <c r="M38" i="65"/>
  <c r="H68" i="65"/>
  <c r="H98" i="65"/>
  <c r="H150" i="65"/>
  <c r="H84" i="65"/>
  <c r="H66" i="65"/>
  <c r="H179" i="65"/>
  <c r="H37" i="65"/>
  <c r="H47" i="65"/>
  <c r="H115" i="65"/>
  <c r="N181" i="65"/>
  <c r="U162" i="65"/>
  <c r="M136" i="65"/>
  <c r="M134" i="65"/>
  <c r="U196" i="65"/>
  <c r="U146" i="65"/>
  <c r="U168" i="65"/>
  <c r="M198" i="65"/>
  <c r="S124" i="65"/>
  <c r="M76" i="65"/>
  <c r="N88" i="65"/>
  <c r="M104" i="65"/>
  <c r="U86" i="65"/>
  <c r="M111" i="65"/>
  <c r="M80" i="65"/>
  <c r="M108" i="65"/>
  <c r="S97" i="65"/>
  <c r="N53" i="65"/>
  <c r="S32" i="65"/>
  <c r="M58" i="65"/>
  <c r="M40" i="65"/>
  <c r="M11" i="65"/>
  <c r="U28" i="65"/>
  <c r="M22" i="65"/>
  <c r="U5" i="65"/>
  <c r="N56" i="65"/>
  <c r="S4" i="65"/>
  <c r="H131" i="65"/>
  <c r="H16" i="65"/>
  <c r="H102" i="65"/>
  <c r="H139" i="65"/>
  <c r="H45" i="65"/>
  <c r="H61" i="65"/>
  <c r="H168" i="65"/>
  <c r="H184" i="65"/>
  <c r="H166" i="65"/>
  <c r="H46" i="65"/>
  <c r="N200" i="65"/>
  <c r="N196" i="65"/>
  <c r="M175" i="65"/>
  <c r="S166" i="65"/>
  <c r="M145" i="65"/>
  <c r="M196" i="65"/>
  <c r="N163" i="65"/>
  <c r="U76" i="65"/>
  <c r="N98" i="65"/>
  <c r="N151" i="65"/>
  <c r="H92" i="65"/>
  <c r="M100" i="65"/>
  <c r="S37" i="65"/>
  <c r="S9" i="65"/>
  <c r="U85" i="65"/>
  <c r="M53" i="65"/>
  <c r="S18" i="65"/>
  <c r="H177" i="65"/>
  <c r="H140" i="65"/>
  <c r="H33" i="65"/>
  <c r="H51" i="65"/>
  <c r="H144" i="65"/>
  <c r="H135" i="65"/>
  <c r="H193" i="65"/>
  <c r="H110" i="65"/>
  <c r="H200" i="65"/>
  <c r="U198" i="65"/>
  <c r="N195" i="65"/>
  <c r="M127" i="65"/>
  <c r="S144" i="65"/>
  <c r="S195" i="65"/>
  <c r="U178" i="65"/>
  <c r="N119" i="65"/>
  <c r="S162" i="65"/>
  <c r="N197" i="65"/>
  <c r="M171" i="65"/>
  <c r="S92" i="65"/>
  <c r="U114" i="65"/>
  <c r="S133" i="65"/>
  <c r="M123" i="65"/>
  <c r="N104" i="65"/>
  <c r="U136" i="65"/>
  <c r="N115" i="65"/>
  <c r="M113" i="65"/>
  <c r="S91" i="65"/>
  <c r="M73" i="65"/>
  <c r="N51" i="65"/>
  <c r="N47" i="65"/>
  <c r="M114" i="65"/>
  <c r="N24" i="65"/>
  <c r="M75" i="65"/>
  <c r="U56" i="65"/>
  <c r="U39" i="65"/>
  <c r="M4" i="65"/>
  <c r="N54" i="65"/>
  <c r="N19" i="65"/>
  <c r="U84" i="65"/>
  <c r="H34" i="65"/>
  <c r="H94" i="65"/>
  <c r="H3" i="65"/>
  <c r="H75" i="65"/>
  <c r="H149" i="65"/>
  <c r="H198" i="65"/>
  <c r="H90" i="65"/>
  <c r="H106" i="65"/>
  <c r="H194" i="65"/>
  <c r="H57" i="65"/>
  <c r="H81" i="65"/>
  <c r="H17" i="65"/>
  <c r="M190" i="65"/>
  <c r="N185" i="65"/>
  <c r="N169" i="65"/>
  <c r="N187" i="65"/>
  <c r="S193" i="65"/>
  <c r="U192" i="65"/>
  <c r="N190" i="65"/>
  <c r="U105" i="65"/>
  <c r="U190" i="65"/>
  <c r="U154" i="65"/>
  <c r="U97" i="65"/>
  <c r="M124" i="65"/>
  <c r="M132" i="65"/>
  <c r="N80" i="65"/>
  <c r="U94" i="65"/>
  <c r="U67" i="65"/>
  <c r="S90" i="65"/>
  <c r="N157" i="65"/>
  <c r="S117" i="65"/>
  <c r="N82" i="65"/>
  <c r="N45" i="65"/>
  <c r="U35" i="65"/>
  <c r="M7" i="65"/>
  <c r="M12" i="65"/>
  <c r="U24" i="65"/>
  <c r="M74" i="65"/>
  <c r="U8" i="65"/>
  <c r="H86" i="65"/>
  <c r="H163" i="65"/>
  <c r="H146" i="65"/>
  <c r="H53" i="65"/>
  <c r="H156" i="65"/>
  <c r="H153" i="65"/>
  <c r="H120" i="65"/>
  <c r="H197" i="65"/>
  <c r="H145" i="65"/>
  <c r="H23" i="65"/>
  <c r="H101" i="65"/>
  <c r="U175" i="65"/>
  <c r="S177" i="65"/>
  <c r="S198" i="65"/>
  <c r="U179" i="65"/>
  <c r="U164" i="65"/>
  <c r="S153" i="65"/>
  <c r="U189" i="65"/>
  <c r="S160" i="65"/>
  <c r="M189" i="65"/>
  <c r="N147" i="65"/>
  <c r="N68" i="65"/>
  <c r="U141" i="65"/>
  <c r="S131" i="65"/>
  <c r="U113" i="65"/>
  <c r="U95" i="65"/>
  <c r="U150" i="65"/>
  <c r="N93" i="65"/>
  <c r="S109" i="65"/>
  <c r="U80" i="65"/>
  <c r="U70" i="65"/>
  <c r="U48" i="65"/>
  <c r="S54" i="65"/>
  <c r="N72" i="65"/>
  <c r="M54" i="65"/>
  <c r="M92" i="65"/>
  <c r="M23" i="65"/>
  <c r="S34" i="65"/>
  <c r="S66" i="65"/>
  <c r="H155" i="65"/>
  <c r="H159" i="65"/>
  <c r="H62" i="65"/>
  <c r="H191" i="65"/>
  <c r="H147" i="65"/>
  <c r="H128" i="65"/>
  <c r="H44" i="65"/>
  <c r="H122" i="65"/>
  <c r="H134" i="65"/>
  <c r="H127" i="65"/>
  <c r="H38" i="65"/>
  <c r="H180" i="65"/>
  <c r="N184" i="65"/>
  <c r="U77" i="65"/>
  <c r="N121" i="65"/>
  <c r="N89" i="65"/>
  <c r="U90" i="65"/>
  <c r="M5" i="65"/>
  <c r="H105" i="65"/>
  <c r="H20" i="65"/>
  <c r="H189" i="65"/>
  <c r="H148" i="65"/>
  <c r="H12" i="65"/>
  <c r="U182" i="65"/>
  <c r="M162" i="65"/>
  <c r="N155" i="65"/>
  <c r="M183" i="65"/>
  <c r="U197" i="65"/>
  <c r="U145" i="65"/>
  <c r="N154" i="65"/>
  <c r="S102" i="65"/>
  <c r="U104" i="65"/>
  <c r="N34" i="65"/>
  <c r="S67" i="65"/>
  <c r="S48" i="65"/>
  <c r="N14" i="65"/>
  <c r="H4" i="65"/>
  <c r="H114" i="65"/>
  <c r="H143" i="65"/>
  <c r="H88" i="65"/>
  <c r="H178" i="65"/>
  <c r="H24" i="65"/>
  <c r="H6" i="65"/>
  <c r="H85" i="65"/>
  <c r="H108" i="65"/>
  <c r="H30" i="65"/>
  <c r="H186" i="65"/>
  <c r="H58" i="65"/>
  <c r="H64" i="65"/>
  <c r="H49" i="65"/>
  <c r="B86" i="65"/>
  <c r="B113" i="65"/>
  <c r="B196" i="65"/>
  <c r="B193" i="65"/>
  <c r="B10" i="65"/>
  <c r="B50" i="65"/>
  <c r="B128" i="65"/>
  <c r="B41" i="65"/>
  <c r="B62" i="65"/>
  <c r="B126" i="65"/>
  <c r="B80" i="65"/>
  <c r="B33" i="65"/>
  <c r="B111" i="65"/>
  <c r="B197" i="65"/>
  <c r="B64" i="65"/>
  <c r="B119" i="65"/>
  <c r="B104" i="65"/>
  <c r="B179" i="65"/>
  <c r="B85" i="65"/>
  <c r="B148" i="65"/>
  <c r="B67" i="65"/>
  <c r="B81" i="65"/>
  <c r="B44" i="65"/>
  <c r="B16" i="65"/>
  <c r="B98" i="65"/>
  <c r="B160" i="65"/>
  <c r="B76" i="65"/>
  <c r="B139" i="65"/>
  <c r="B195" i="65"/>
  <c r="B176" i="65"/>
  <c r="B84" i="65"/>
  <c r="B142" i="65"/>
  <c r="B173" i="65"/>
  <c r="B13" i="65"/>
  <c r="B164" i="65"/>
  <c r="B140" i="65"/>
  <c r="B118" i="65"/>
  <c r="B168" i="65"/>
  <c r="B49" i="65"/>
  <c r="B108" i="65"/>
  <c r="B58" i="65"/>
  <c r="B57" i="65"/>
  <c r="B146" i="65"/>
  <c r="B56" i="65"/>
  <c r="B53" i="65"/>
  <c r="B70" i="65"/>
  <c r="B183" i="65"/>
  <c r="B52" i="65"/>
  <c r="B178" i="65"/>
  <c r="B66" i="65"/>
  <c r="B15" i="65"/>
  <c r="B198" i="65"/>
  <c r="B147" i="65"/>
  <c r="B182" i="65"/>
  <c r="B34" i="65"/>
  <c r="B132" i="65"/>
  <c r="B165" i="65"/>
  <c r="B55" i="65"/>
  <c r="B187" i="65"/>
  <c r="B83" i="65"/>
  <c r="B100" i="65"/>
  <c r="B133" i="65"/>
  <c r="B184" i="65"/>
  <c r="B103" i="65"/>
  <c r="B141" i="65"/>
  <c r="B48" i="65"/>
  <c r="B38" i="65"/>
  <c r="B39" i="65"/>
  <c r="B7" i="65"/>
  <c r="B75" i="65"/>
  <c r="B114" i="65"/>
  <c r="B8" i="65"/>
  <c r="B122" i="65"/>
  <c r="B42" i="65"/>
  <c r="B90" i="65"/>
  <c r="B24" i="65"/>
  <c r="B5" i="65"/>
  <c r="B72" i="65"/>
  <c r="B127" i="65"/>
  <c r="B188" i="65"/>
  <c r="B154" i="65"/>
  <c r="B150" i="65"/>
  <c r="B43" i="65"/>
  <c r="B136" i="65"/>
  <c r="B137" i="65"/>
  <c r="B89" i="65"/>
  <c r="B155" i="65"/>
  <c r="B167" i="65"/>
  <c r="B20" i="65"/>
  <c r="B120" i="65"/>
  <c r="B35" i="65"/>
  <c r="B123" i="65"/>
  <c r="B153" i="65"/>
  <c r="B78" i="65"/>
  <c r="B109" i="65"/>
  <c r="B99" i="65"/>
  <c r="B19" i="65"/>
  <c r="B156" i="65"/>
  <c r="B22" i="65"/>
  <c r="B105" i="65"/>
  <c r="B159" i="65"/>
  <c r="B28" i="65"/>
  <c r="B95" i="65"/>
  <c r="B175" i="65"/>
  <c r="B36" i="65"/>
  <c r="B151" i="65"/>
  <c r="B189" i="65"/>
  <c r="B170" i="65"/>
  <c r="B11" i="65"/>
  <c r="B190" i="65"/>
  <c r="B21" i="65"/>
  <c r="B71" i="65"/>
  <c r="B125" i="65"/>
  <c r="B94" i="65"/>
  <c r="B97" i="65"/>
  <c r="B25" i="65"/>
  <c r="B174" i="65"/>
  <c r="B117" i="65"/>
  <c r="B77" i="65"/>
  <c r="B27" i="65"/>
  <c r="B14" i="65"/>
  <c r="B92" i="65"/>
  <c r="B145" i="65"/>
  <c r="B131" i="65"/>
  <c r="B61" i="65"/>
  <c r="B161" i="65"/>
  <c r="B181" i="65"/>
  <c r="B106" i="65"/>
  <c r="B6" i="65"/>
  <c r="B169" i="65"/>
  <c r="B192" i="65"/>
  <c r="B91" i="65"/>
  <c r="B69" i="65"/>
  <c r="B63" i="65"/>
  <c r="B162" i="65"/>
  <c r="B29" i="65"/>
  <c r="B30" i="65"/>
  <c r="B134" i="65"/>
  <c r="B112" i="65"/>
  <c r="B47" i="65"/>
  <c r="A202" i="63"/>
  <c r="AC201" i="65" l="1"/>
  <c r="AD201" i="65"/>
  <c r="Z201" i="65"/>
  <c r="D201" i="65"/>
  <c r="J201" i="65"/>
  <c r="K201" i="65"/>
  <c r="G201" i="65"/>
  <c r="X201" i="65"/>
  <c r="T201" i="65"/>
  <c r="W201" i="65"/>
  <c r="I201" i="65"/>
  <c r="O201" i="65"/>
  <c r="P201" i="65"/>
  <c r="V201" i="65"/>
  <c r="I202" i="63"/>
  <c r="Y202" i="63"/>
  <c r="AE202" i="65" s="1"/>
  <c r="AO202" i="63"/>
  <c r="J202" i="63"/>
  <c r="Z202" i="63"/>
  <c r="AP202" i="63"/>
  <c r="AQ202" i="63"/>
  <c r="L202" i="63"/>
  <c r="AR202" i="63"/>
  <c r="M202" i="63"/>
  <c r="AC202" i="63"/>
  <c r="AS202" i="63"/>
  <c r="N202" i="63"/>
  <c r="AD202" i="63"/>
  <c r="AT202" i="63"/>
  <c r="O202" i="63"/>
  <c r="AE202" i="63"/>
  <c r="AU202" i="63"/>
  <c r="P202" i="63"/>
  <c r="AF202" i="63"/>
  <c r="AV202" i="63"/>
  <c r="B202" i="63"/>
  <c r="AH202" i="63"/>
  <c r="AX202" i="63"/>
  <c r="C202" i="63"/>
  <c r="AI202" i="63"/>
  <c r="AY202" i="63"/>
  <c r="D202" i="63"/>
  <c r="AJ202" i="63"/>
  <c r="E202" i="63"/>
  <c r="U202" i="63"/>
  <c r="AK202" i="63"/>
  <c r="AG202" i="63"/>
  <c r="AL202" i="63"/>
  <c r="AM202" i="63"/>
  <c r="AN202" i="63"/>
  <c r="AW202" i="63"/>
  <c r="F202" i="63"/>
  <c r="G202" i="63"/>
  <c r="H202" i="63"/>
  <c r="V202" i="63"/>
  <c r="W202" i="63"/>
  <c r="X202" i="63"/>
  <c r="M201" i="65"/>
  <c r="N201" i="65"/>
  <c r="S201" i="65"/>
  <c r="H201" i="65"/>
  <c r="U201" i="65"/>
  <c r="A203" i="63"/>
  <c r="AD202" i="65" l="1"/>
  <c r="AC202" i="65"/>
  <c r="D202" i="65"/>
  <c r="J202" i="65"/>
  <c r="K202" i="65"/>
  <c r="X202" i="65"/>
  <c r="T202" i="65"/>
  <c r="I202" i="65"/>
  <c r="B202" i="65"/>
  <c r="G202" i="65"/>
  <c r="O202" i="65"/>
  <c r="V202" i="65"/>
  <c r="P202" i="65"/>
  <c r="Z202" i="65"/>
  <c r="W202" i="65"/>
  <c r="S202" i="65"/>
  <c r="G203" i="63"/>
  <c r="W203" i="63"/>
  <c r="AM203" i="63"/>
  <c r="H203" i="63"/>
  <c r="X203" i="63"/>
  <c r="AN203" i="63"/>
  <c r="I203" i="63"/>
  <c r="Y203" i="63"/>
  <c r="AE203" i="65" s="1"/>
  <c r="AO203" i="63"/>
  <c r="J203" i="63"/>
  <c r="Z203" i="63"/>
  <c r="AP203" i="63"/>
  <c r="AQ203" i="63"/>
  <c r="L203" i="63"/>
  <c r="AR203" i="63"/>
  <c r="M203" i="63"/>
  <c r="AC203" i="63"/>
  <c r="AS203" i="63"/>
  <c r="N203" i="63"/>
  <c r="AD203" i="63"/>
  <c r="AT203" i="63"/>
  <c r="P203" i="63"/>
  <c r="AF203" i="63"/>
  <c r="AV203" i="63"/>
  <c r="Q203" i="63"/>
  <c r="AG203" i="63"/>
  <c r="AW203" i="63"/>
  <c r="B203" i="63"/>
  <c r="R203" i="63"/>
  <c r="AH203" i="63"/>
  <c r="AX203" i="63"/>
  <c r="C203" i="63"/>
  <c r="AI203" i="63"/>
  <c r="AY203" i="63"/>
  <c r="AU203" i="63"/>
  <c r="D203" i="63"/>
  <c r="E203" i="63"/>
  <c r="F203" i="63"/>
  <c r="O203" i="63"/>
  <c r="U203" i="63"/>
  <c r="V203" i="63"/>
  <c r="AE203" i="63"/>
  <c r="AJ203" i="63"/>
  <c r="AK203" i="63"/>
  <c r="AL203" i="63"/>
  <c r="N202" i="65"/>
  <c r="M202" i="65"/>
  <c r="H202" i="65"/>
  <c r="U202" i="65"/>
  <c r="A204" i="63"/>
  <c r="AD203" i="65" l="1"/>
  <c r="AB203" i="65"/>
  <c r="AC203" i="65"/>
  <c r="J203" i="65"/>
  <c r="D203" i="65"/>
  <c r="K203" i="65"/>
  <c r="X203" i="65"/>
  <c r="T203" i="65"/>
  <c r="W203" i="65"/>
  <c r="P203" i="65"/>
  <c r="V203" i="65"/>
  <c r="G203" i="65"/>
  <c r="I203" i="65"/>
  <c r="Z203" i="65"/>
  <c r="B203" i="65"/>
  <c r="O203" i="65"/>
  <c r="E204" i="63"/>
  <c r="U204" i="63"/>
  <c r="AK204" i="63"/>
  <c r="F204" i="63"/>
  <c r="V204" i="63"/>
  <c r="AL204" i="63"/>
  <c r="G204" i="63"/>
  <c r="W204" i="63"/>
  <c r="AM204" i="63"/>
  <c r="H204" i="63"/>
  <c r="X204" i="63"/>
  <c r="AN204" i="63"/>
  <c r="I204" i="63"/>
  <c r="Y204" i="63"/>
  <c r="AE204" i="65" s="1"/>
  <c r="AO204" i="63"/>
  <c r="J204" i="63"/>
  <c r="Z204" i="63"/>
  <c r="AP204" i="63"/>
  <c r="K204" i="63"/>
  <c r="L204" i="63"/>
  <c r="AR204" i="63"/>
  <c r="N204" i="63"/>
  <c r="O204" i="63"/>
  <c r="P204" i="63"/>
  <c r="AF204" i="63"/>
  <c r="AV204" i="63"/>
  <c r="Q204" i="63"/>
  <c r="AG204" i="63"/>
  <c r="AW204" i="63"/>
  <c r="AS204" i="63"/>
  <c r="B204" i="63"/>
  <c r="AT204" i="63"/>
  <c r="C204" i="63"/>
  <c r="AU204" i="63"/>
  <c r="D204" i="63"/>
  <c r="AX204" i="63"/>
  <c r="M204" i="63"/>
  <c r="AY204" i="63"/>
  <c r="R204" i="63"/>
  <c r="S204" i="63"/>
  <c r="AC204" i="63"/>
  <c r="AD204" i="63"/>
  <c r="AE204" i="63"/>
  <c r="AH204" i="63"/>
  <c r="AJ204" i="63"/>
  <c r="AQ204" i="63"/>
  <c r="AI204" i="63"/>
  <c r="N203" i="65"/>
  <c r="S203" i="65"/>
  <c r="M203" i="65"/>
  <c r="H203" i="65"/>
  <c r="U203" i="65"/>
  <c r="A205" i="63"/>
  <c r="D103" i="5"/>
  <c r="E103" i="5" s="1"/>
  <c r="F103" i="5" s="1"/>
  <c r="G103" i="5" s="1"/>
  <c r="H103" i="5" s="1"/>
  <c r="I103" i="5" s="1"/>
  <c r="J103" i="5" s="1"/>
  <c r="K103" i="5" s="1"/>
  <c r="L103" i="5" s="1"/>
  <c r="M103" i="5" s="1"/>
  <c r="N103" i="5" s="1"/>
  <c r="B82" i="5"/>
  <c r="AC204" i="65" l="1"/>
  <c r="AD204" i="65"/>
  <c r="AB204" i="65"/>
  <c r="J204" i="65"/>
  <c r="K204" i="65"/>
  <c r="D204" i="65"/>
  <c r="X204" i="65"/>
  <c r="T204" i="65"/>
  <c r="O204" i="65"/>
  <c r="B204" i="65"/>
  <c r="V204" i="65"/>
  <c r="I204" i="65"/>
  <c r="Z204" i="65"/>
  <c r="W204" i="65"/>
  <c r="P204" i="65"/>
  <c r="G204" i="65"/>
  <c r="M204" i="65"/>
  <c r="S205" i="63"/>
  <c r="AI205" i="63"/>
  <c r="AY205" i="63"/>
  <c r="T205" i="63"/>
  <c r="AJ205" i="63"/>
  <c r="U205" i="63"/>
  <c r="AK205" i="63"/>
  <c r="AL205" i="63"/>
  <c r="W205" i="63"/>
  <c r="AM205" i="63"/>
  <c r="H205" i="63"/>
  <c r="AN205" i="63"/>
  <c r="AD205" i="63"/>
  <c r="AT205" i="63"/>
  <c r="O205" i="63"/>
  <c r="AE205" i="63"/>
  <c r="AU205" i="63"/>
  <c r="AC205" i="63"/>
  <c r="AF205" i="63"/>
  <c r="AG205" i="63"/>
  <c r="AH205" i="63"/>
  <c r="I205" i="63"/>
  <c r="AO205" i="63"/>
  <c r="J205" i="63"/>
  <c r="AP205" i="63"/>
  <c r="K205" i="63"/>
  <c r="AQ205" i="63"/>
  <c r="L205" i="63"/>
  <c r="AR205" i="63"/>
  <c r="M205" i="63"/>
  <c r="AS205" i="63"/>
  <c r="P205" i="63"/>
  <c r="AV205" i="63"/>
  <c r="Q205" i="63"/>
  <c r="AW205" i="63"/>
  <c r="R205" i="63"/>
  <c r="Z205" i="63"/>
  <c r="AX205" i="63"/>
  <c r="U204" i="65"/>
  <c r="S204" i="65"/>
  <c r="Y204" i="65"/>
  <c r="N204" i="65"/>
  <c r="H204" i="65"/>
  <c r="A206" i="63"/>
  <c r="C7" i="50"/>
  <c r="C86" i="5" s="1"/>
  <c r="D86" i="5" s="1"/>
  <c r="E86" i="5" s="1"/>
  <c r="F86" i="5" s="1"/>
  <c r="G86" i="5" s="1"/>
  <c r="H86" i="5" s="1"/>
  <c r="I86" i="5" s="1"/>
  <c r="J86" i="5" s="1"/>
  <c r="K86" i="5" s="1"/>
  <c r="L86" i="5" s="1"/>
  <c r="M86" i="5" s="1"/>
  <c r="N86" i="5" s="1"/>
  <c r="D7" i="50" s="1"/>
  <c r="C6" i="50"/>
  <c r="AB205" i="65" l="1"/>
  <c r="AC205" i="65"/>
  <c r="D205" i="65"/>
  <c r="K205" i="65"/>
  <c r="V205" i="65"/>
  <c r="G205" i="65"/>
  <c r="W205" i="65"/>
  <c r="Z205" i="65"/>
  <c r="O205" i="65"/>
  <c r="AA205" i="65"/>
  <c r="I205" i="65"/>
  <c r="P205" i="65"/>
  <c r="AG206" i="63"/>
  <c r="AW206" i="63"/>
  <c r="B206" i="63"/>
  <c r="AH206" i="63"/>
  <c r="AX206" i="63"/>
  <c r="C206" i="63"/>
  <c r="S206" i="63"/>
  <c r="AI206" i="63"/>
  <c r="AY206" i="63"/>
  <c r="D206" i="63"/>
  <c r="T206" i="63"/>
  <c r="AJ206" i="63"/>
  <c r="E206" i="63"/>
  <c r="U206" i="63"/>
  <c r="AK206" i="63"/>
  <c r="F206" i="63"/>
  <c r="V206" i="63"/>
  <c r="AL206" i="63"/>
  <c r="L206" i="63"/>
  <c r="AR206" i="63"/>
  <c r="M206" i="63"/>
  <c r="AC206" i="63"/>
  <c r="AS206" i="63"/>
  <c r="I206" i="63"/>
  <c r="AO206" i="63"/>
  <c r="J206" i="63"/>
  <c r="AP206" i="63"/>
  <c r="K206" i="63"/>
  <c r="AQ206" i="63"/>
  <c r="N206" i="63"/>
  <c r="AT206" i="63"/>
  <c r="AU206" i="63"/>
  <c r="P206" i="63"/>
  <c r="AV206" i="63"/>
  <c r="W206" i="63"/>
  <c r="X206" i="63"/>
  <c r="Y206" i="63"/>
  <c r="AE206" i="65" s="1"/>
  <c r="Z206" i="63"/>
  <c r="AD206" i="63"/>
  <c r="AE206" i="63"/>
  <c r="G206" i="63"/>
  <c r="H206" i="63"/>
  <c r="AF206" i="63"/>
  <c r="AM206" i="63"/>
  <c r="AN206" i="63"/>
  <c r="S205" i="65"/>
  <c r="H205" i="65"/>
  <c r="Y205" i="65"/>
  <c r="M205" i="65"/>
  <c r="N205" i="65"/>
  <c r="A207" i="63"/>
  <c r="C14" i="50"/>
  <c r="C21" i="50" s="1"/>
  <c r="G4" i="46" s="1"/>
  <c r="D4" i="46"/>
  <c r="F4" i="46" s="1"/>
  <c r="AC206" i="65" l="1"/>
  <c r="AD206" i="65"/>
  <c r="D206" i="65"/>
  <c r="K206" i="65"/>
  <c r="J206" i="65"/>
  <c r="X206" i="65"/>
  <c r="T206" i="65"/>
  <c r="W206" i="65"/>
  <c r="G206" i="65"/>
  <c r="I206" i="65"/>
  <c r="Z206" i="65"/>
  <c r="B206" i="65"/>
  <c r="P206" i="65"/>
  <c r="V206" i="65"/>
  <c r="O206" i="65"/>
  <c r="AA206" i="65"/>
  <c r="S206" i="65"/>
  <c r="O207" i="63"/>
  <c r="AE207" i="63"/>
  <c r="AU207" i="63"/>
  <c r="P207" i="63"/>
  <c r="AF207" i="63"/>
  <c r="AV207" i="63"/>
  <c r="AG207" i="63"/>
  <c r="AW207" i="63"/>
  <c r="B207" i="63"/>
  <c r="AH207" i="63"/>
  <c r="AX207" i="63"/>
  <c r="C207" i="63"/>
  <c r="AI207" i="63"/>
  <c r="AY207" i="63"/>
  <c r="D207" i="63"/>
  <c r="T207" i="63"/>
  <c r="AJ207" i="63"/>
  <c r="J207" i="63"/>
  <c r="Z207" i="63"/>
  <c r="AP207" i="63"/>
  <c r="AQ207" i="63"/>
  <c r="W207" i="63"/>
  <c r="X207" i="63"/>
  <c r="Y207" i="63"/>
  <c r="AE207" i="65" s="1"/>
  <c r="AC207" i="63"/>
  <c r="AD207" i="63"/>
  <c r="E207" i="63"/>
  <c r="AK207" i="63"/>
  <c r="F207" i="63"/>
  <c r="AL207" i="63"/>
  <c r="G207" i="63"/>
  <c r="AM207" i="63"/>
  <c r="H207" i="63"/>
  <c r="AN207" i="63"/>
  <c r="I207" i="63"/>
  <c r="AO207" i="63"/>
  <c r="L207" i="63"/>
  <c r="AR207" i="63"/>
  <c r="M207" i="63"/>
  <c r="AS207" i="63"/>
  <c r="N207" i="63"/>
  <c r="U207" i="63"/>
  <c r="V207" i="63"/>
  <c r="AT207" i="63"/>
  <c r="N206" i="65"/>
  <c r="H206" i="65"/>
  <c r="U206" i="65"/>
  <c r="M206" i="65"/>
  <c r="Y206" i="65"/>
  <c r="A208" i="63"/>
  <c r="B75" i="5"/>
  <c r="B69" i="5"/>
  <c r="B63" i="5"/>
  <c r="B40" i="5"/>
  <c r="C4" i="5"/>
  <c r="AC207" i="65" l="1"/>
  <c r="AD207" i="65"/>
  <c r="C61" i="5"/>
  <c r="D207" i="65"/>
  <c r="K207" i="65"/>
  <c r="J207" i="65"/>
  <c r="X207" i="65"/>
  <c r="T207" i="65"/>
  <c r="P207" i="65"/>
  <c r="G207" i="65"/>
  <c r="V207" i="65"/>
  <c r="Z207" i="65"/>
  <c r="W207" i="65"/>
  <c r="I207" i="65"/>
  <c r="B207" i="65"/>
  <c r="O207" i="65"/>
  <c r="AA207" i="65"/>
  <c r="C58" i="5"/>
  <c r="C59" i="5"/>
  <c r="B2" i="83"/>
  <c r="M208" i="63"/>
  <c r="AC208" i="63"/>
  <c r="AS208" i="63"/>
  <c r="AD208" i="63"/>
  <c r="AT208" i="63"/>
  <c r="O208" i="63"/>
  <c r="AE208" i="63"/>
  <c r="AU208" i="63"/>
  <c r="P208" i="63"/>
  <c r="AF208" i="63"/>
  <c r="AV208" i="63"/>
  <c r="AG208" i="63"/>
  <c r="AW208" i="63"/>
  <c r="AH208" i="63"/>
  <c r="AX208" i="63"/>
  <c r="H208" i="63"/>
  <c r="AN208" i="63"/>
  <c r="I208" i="63"/>
  <c r="AO208" i="63"/>
  <c r="AK208" i="63"/>
  <c r="AL208" i="63"/>
  <c r="AM208" i="63"/>
  <c r="J208" i="63"/>
  <c r="AP208" i="63"/>
  <c r="AQ208" i="63"/>
  <c r="L208" i="63"/>
  <c r="K208" i="65" s="1"/>
  <c r="AR208" i="63"/>
  <c r="AY208" i="63"/>
  <c r="T208" i="63"/>
  <c r="U208" i="63"/>
  <c r="W208" i="63"/>
  <c r="Z208" i="63"/>
  <c r="AI208" i="63"/>
  <c r="AJ208" i="63"/>
  <c r="H207" i="65"/>
  <c r="U207" i="65"/>
  <c r="M207" i="65"/>
  <c r="S207" i="65"/>
  <c r="N207" i="65"/>
  <c r="C21" i="5"/>
  <c r="C73" i="5"/>
  <c r="C57" i="5"/>
  <c r="C49" i="5"/>
  <c r="C36" i="5"/>
  <c r="C37" i="5"/>
  <c r="C35" i="5"/>
  <c r="C38" i="5"/>
  <c r="A209" i="63"/>
  <c r="D4" i="5"/>
  <c r="O208" i="65" l="1"/>
  <c r="AC208" i="65"/>
  <c r="D208" i="65"/>
  <c r="AA208" i="65"/>
  <c r="W208" i="65"/>
  <c r="P208" i="65"/>
  <c r="V208" i="65"/>
  <c r="Z208" i="65"/>
  <c r="I208" i="65"/>
  <c r="G208" i="65"/>
  <c r="D58" i="5"/>
  <c r="D61" i="5"/>
  <c r="C2" i="83"/>
  <c r="AQ209" i="63"/>
  <c r="L209" i="63"/>
  <c r="AR209" i="63"/>
  <c r="M209" i="63"/>
  <c r="AC209" i="63"/>
  <c r="AS209" i="63"/>
  <c r="AD209" i="63"/>
  <c r="AT209" i="63"/>
  <c r="AE209" i="63"/>
  <c r="AU209" i="63"/>
  <c r="P209" i="63"/>
  <c r="AF209" i="63"/>
  <c r="AV209" i="63"/>
  <c r="F209" i="63"/>
  <c r="AL209" i="63"/>
  <c r="G209" i="63"/>
  <c r="W209" i="63"/>
  <c r="AM209" i="63"/>
  <c r="AY209" i="63"/>
  <c r="T209" i="63"/>
  <c r="U209" i="63"/>
  <c r="X209" i="63"/>
  <c r="Y209" i="63"/>
  <c r="Z209" i="63"/>
  <c r="AG209" i="63"/>
  <c r="B209" i="63"/>
  <c r="AH209" i="63"/>
  <c r="C209" i="63"/>
  <c r="AI209" i="63"/>
  <c r="D209" i="63"/>
  <c r="AJ209" i="63"/>
  <c r="E209" i="63"/>
  <c r="AK209" i="63"/>
  <c r="H209" i="63"/>
  <c r="AN209" i="63"/>
  <c r="I209" i="63"/>
  <c r="AO209" i="63"/>
  <c r="J209" i="63"/>
  <c r="AP209" i="63"/>
  <c r="AW209" i="63"/>
  <c r="AX209" i="63"/>
  <c r="N208" i="65"/>
  <c r="S208" i="65"/>
  <c r="H208" i="65"/>
  <c r="M208" i="65"/>
  <c r="D21" i="5"/>
  <c r="D73" i="5"/>
  <c r="D57" i="5"/>
  <c r="D36" i="5"/>
  <c r="D37" i="5"/>
  <c r="D38" i="5"/>
  <c r="D35" i="5"/>
  <c r="A210" i="63"/>
  <c r="C96" i="5"/>
  <c r="E4" i="5"/>
  <c r="AD209" i="65" l="1"/>
  <c r="AE209" i="65"/>
  <c r="AC209" i="65"/>
  <c r="D209" i="65"/>
  <c r="K209" i="65"/>
  <c r="X209" i="65"/>
  <c r="T209" i="65"/>
  <c r="B209" i="65"/>
  <c r="I209" i="65"/>
  <c r="Z209" i="65"/>
  <c r="W209" i="65"/>
  <c r="O209" i="65"/>
  <c r="AA209" i="65"/>
  <c r="P209" i="65"/>
  <c r="G209" i="65"/>
  <c r="V209" i="65"/>
  <c r="E58" i="5"/>
  <c r="E61" i="5"/>
  <c r="E59" i="5"/>
  <c r="D2" i="83"/>
  <c r="I210" i="63"/>
  <c r="Y210" i="63"/>
  <c r="AE210" i="65" s="1"/>
  <c r="AO210" i="63"/>
  <c r="J210" i="63"/>
  <c r="Z210" i="63"/>
  <c r="AP210" i="63"/>
  <c r="AQ210" i="63"/>
  <c r="L210" i="63"/>
  <c r="AR210" i="63"/>
  <c r="M210" i="63"/>
  <c r="AC210" i="63"/>
  <c r="AS210" i="63"/>
  <c r="N210" i="63"/>
  <c r="AD210" i="63"/>
  <c r="AT210" i="63"/>
  <c r="D210" i="63"/>
  <c r="T210" i="63"/>
  <c r="AJ210" i="63"/>
  <c r="E210" i="63"/>
  <c r="U210" i="63"/>
  <c r="AK210" i="63"/>
  <c r="AG210" i="63"/>
  <c r="B210" i="63"/>
  <c r="AH210" i="63"/>
  <c r="C210" i="63"/>
  <c r="AI210" i="63"/>
  <c r="F210" i="63"/>
  <c r="AL210" i="63"/>
  <c r="G210" i="63"/>
  <c r="AM210" i="63"/>
  <c r="H210" i="63"/>
  <c r="G210" i="65" s="1"/>
  <c r="AN210" i="63"/>
  <c r="AU210" i="63"/>
  <c r="P210" i="63"/>
  <c r="AV210" i="63"/>
  <c r="Q210" i="63"/>
  <c r="AW210" i="63"/>
  <c r="R210" i="63"/>
  <c r="AX210" i="63"/>
  <c r="AY210" i="63"/>
  <c r="V210" i="63"/>
  <c r="D210" i="65" s="1"/>
  <c r="W210" i="63"/>
  <c r="X210" i="63"/>
  <c r="AE210" i="63"/>
  <c r="AF210" i="63"/>
  <c r="U209" i="65"/>
  <c r="M209" i="65"/>
  <c r="H209" i="65"/>
  <c r="S209" i="65"/>
  <c r="N209" i="65"/>
  <c r="E21" i="5"/>
  <c r="E36" i="5"/>
  <c r="E37" i="5"/>
  <c r="E38" i="5"/>
  <c r="E35" i="5"/>
  <c r="A211" i="63"/>
  <c r="C40" i="5"/>
  <c r="F4" i="5"/>
  <c r="AD210" i="65" l="1"/>
  <c r="AB210" i="65"/>
  <c r="AC210" i="65"/>
  <c r="K210" i="65"/>
  <c r="J210" i="65"/>
  <c r="X210" i="65"/>
  <c r="T210" i="65"/>
  <c r="W210" i="65"/>
  <c r="I210" i="65"/>
  <c r="Z210" i="65"/>
  <c r="O210" i="65"/>
  <c r="AA210" i="65"/>
  <c r="P210" i="65"/>
  <c r="V210" i="65"/>
  <c r="B210" i="65"/>
  <c r="F59" i="5"/>
  <c r="F58" i="5"/>
  <c r="F61" i="5"/>
  <c r="E2" i="83"/>
  <c r="M210" i="65"/>
  <c r="G211" i="63"/>
  <c r="W211" i="63"/>
  <c r="AM211" i="63"/>
  <c r="H211" i="63"/>
  <c r="X211" i="63"/>
  <c r="AN211" i="63"/>
  <c r="I211" i="63"/>
  <c r="Y211" i="63"/>
  <c r="AE211" i="65" s="1"/>
  <c r="AO211" i="63"/>
  <c r="J211" i="63"/>
  <c r="AP211" i="63"/>
  <c r="K211" i="63"/>
  <c r="AQ211" i="63"/>
  <c r="L211" i="63"/>
  <c r="AR211" i="63"/>
  <c r="B211" i="63"/>
  <c r="R211" i="63"/>
  <c r="AH211" i="63"/>
  <c r="AX211" i="63"/>
  <c r="C211" i="63"/>
  <c r="S211" i="63"/>
  <c r="AI211" i="63"/>
  <c r="AY211" i="63"/>
  <c r="O211" i="63"/>
  <c r="AU211" i="63"/>
  <c r="P211" i="63"/>
  <c r="AV211" i="63"/>
  <c r="Q211" i="63"/>
  <c r="AW211" i="63"/>
  <c r="T211" i="63"/>
  <c r="U211" i="63"/>
  <c r="V211" i="63"/>
  <c r="AC211" i="63"/>
  <c r="AD211" i="63"/>
  <c r="AE211" i="63"/>
  <c r="AF211" i="63"/>
  <c r="AG211" i="63"/>
  <c r="D211" i="63"/>
  <c r="AJ211" i="63"/>
  <c r="E211" i="63"/>
  <c r="AK211" i="63"/>
  <c r="AT211" i="63"/>
  <c r="F211" i="63"/>
  <c r="M211" i="63"/>
  <c r="N211" i="63"/>
  <c r="AS211" i="63"/>
  <c r="AL211" i="63"/>
  <c r="S210" i="65"/>
  <c r="H210" i="65"/>
  <c r="U210" i="65"/>
  <c r="N210" i="65"/>
  <c r="F21" i="5"/>
  <c r="F36" i="5"/>
  <c r="F37" i="5"/>
  <c r="F38" i="5"/>
  <c r="F35" i="5"/>
  <c r="A212" i="63"/>
  <c r="D40" i="5"/>
  <c r="G4" i="5"/>
  <c r="AB211" i="65" l="1"/>
  <c r="AC211" i="65"/>
  <c r="AD211" i="65"/>
  <c r="J211" i="65"/>
  <c r="D211" i="65"/>
  <c r="K211" i="65"/>
  <c r="X211" i="65"/>
  <c r="T211" i="65"/>
  <c r="V211" i="65"/>
  <c r="W211" i="65"/>
  <c r="G211" i="65"/>
  <c r="B211" i="65"/>
  <c r="O211" i="65"/>
  <c r="AA211" i="65"/>
  <c r="Z211" i="65"/>
  <c r="I211" i="65"/>
  <c r="G58" i="5"/>
  <c r="G61" i="5"/>
  <c r="F2" i="83"/>
  <c r="E212" i="63"/>
  <c r="U212" i="63"/>
  <c r="AK212" i="63"/>
  <c r="F212" i="63"/>
  <c r="V212" i="63"/>
  <c r="AL212" i="63"/>
  <c r="G212" i="63"/>
  <c r="W212" i="63"/>
  <c r="AM212" i="63"/>
  <c r="H212" i="63"/>
  <c r="X212" i="63"/>
  <c r="AN212" i="63"/>
  <c r="I212" i="63"/>
  <c r="Y212" i="63"/>
  <c r="AO212" i="63"/>
  <c r="J212" i="63"/>
  <c r="AP212" i="63"/>
  <c r="P212" i="63"/>
  <c r="AF212" i="63"/>
  <c r="AV212" i="63"/>
  <c r="Q212" i="63"/>
  <c r="AG212" i="63"/>
  <c r="AW212" i="63"/>
  <c r="AC212" i="63"/>
  <c r="AD212" i="63"/>
  <c r="AE212" i="63"/>
  <c r="B212" i="63"/>
  <c r="AH212" i="63"/>
  <c r="C212" i="63"/>
  <c r="AI212" i="63"/>
  <c r="D212" i="63"/>
  <c r="AJ212" i="63"/>
  <c r="K212" i="63"/>
  <c r="AQ212" i="63"/>
  <c r="L212" i="63"/>
  <c r="AR212" i="63"/>
  <c r="M212" i="63"/>
  <c r="AS212" i="63"/>
  <c r="N212" i="63"/>
  <c r="AT212" i="63"/>
  <c r="O212" i="63"/>
  <c r="AU212" i="63"/>
  <c r="R212" i="63"/>
  <c r="AX212" i="63"/>
  <c r="S212" i="63"/>
  <c r="AY212" i="63"/>
  <c r="T212" i="63"/>
  <c r="Y211" i="65"/>
  <c r="H211" i="65"/>
  <c r="N211" i="65"/>
  <c r="S211" i="65"/>
  <c r="M211" i="65"/>
  <c r="U211" i="65"/>
  <c r="G21" i="5"/>
  <c r="G73" i="5"/>
  <c r="G57" i="5"/>
  <c r="G37" i="5"/>
  <c r="G38" i="5"/>
  <c r="G35" i="5"/>
  <c r="G36" i="5"/>
  <c r="A213" i="63"/>
  <c r="E40" i="5"/>
  <c r="H4" i="5"/>
  <c r="AD212" i="65" l="1"/>
  <c r="AE212" i="65"/>
  <c r="AB212" i="65"/>
  <c r="AC212" i="65"/>
  <c r="J212" i="65"/>
  <c r="Z212" i="65"/>
  <c r="D212" i="65"/>
  <c r="K212" i="65"/>
  <c r="B212" i="65"/>
  <c r="X212" i="65"/>
  <c r="T212" i="65"/>
  <c r="W212" i="65"/>
  <c r="G212" i="65"/>
  <c r="I212" i="65"/>
  <c r="O212" i="65"/>
  <c r="AA212" i="65"/>
  <c r="V212" i="65"/>
  <c r="H58" i="5"/>
  <c r="H61" i="5"/>
  <c r="G2" i="83"/>
  <c r="S213" i="63"/>
  <c r="AI213" i="63"/>
  <c r="AY213" i="63"/>
  <c r="T213" i="63"/>
  <c r="AJ213" i="63"/>
  <c r="U213" i="63"/>
  <c r="AK213" i="63"/>
  <c r="V213" i="63"/>
  <c r="D213" i="65" s="1"/>
  <c r="AL213" i="63"/>
  <c r="W213" i="63"/>
  <c r="AM213" i="63"/>
  <c r="H213" i="63"/>
  <c r="AN213" i="63"/>
  <c r="N213" i="63"/>
  <c r="AD213" i="63"/>
  <c r="AT213" i="63"/>
  <c r="O213" i="63"/>
  <c r="AE213" i="63"/>
  <c r="AU213" i="63"/>
  <c r="K213" i="63"/>
  <c r="AQ213" i="63"/>
  <c r="L213" i="63"/>
  <c r="AR213" i="63"/>
  <c r="M213" i="63"/>
  <c r="AS213" i="63"/>
  <c r="P213" i="63"/>
  <c r="AV213" i="63"/>
  <c r="AW213" i="63"/>
  <c r="AX213" i="63"/>
  <c r="Z213" i="63"/>
  <c r="AC213" i="63"/>
  <c r="AF213" i="63"/>
  <c r="AG213" i="63"/>
  <c r="I213" i="63"/>
  <c r="J213" i="63"/>
  <c r="AH213" i="63"/>
  <c r="AO213" i="63"/>
  <c r="AP213" i="63"/>
  <c r="M212" i="65"/>
  <c r="Y212" i="65"/>
  <c r="N212" i="65"/>
  <c r="U212" i="65"/>
  <c r="S212" i="65"/>
  <c r="H212" i="65"/>
  <c r="H21" i="5"/>
  <c r="H73" i="5"/>
  <c r="H57" i="5"/>
  <c r="H37" i="5"/>
  <c r="H38" i="5"/>
  <c r="H35" i="5"/>
  <c r="H36" i="5"/>
  <c r="A214" i="63"/>
  <c r="F40" i="5"/>
  <c r="I4" i="5"/>
  <c r="AC213" i="65" l="1"/>
  <c r="J213" i="65"/>
  <c r="K213" i="65"/>
  <c r="W213" i="65"/>
  <c r="G213" i="65"/>
  <c r="I213" i="65"/>
  <c r="O213" i="65"/>
  <c r="AA213" i="65"/>
  <c r="P213" i="65"/>
  <c r="Z213" i="65"/>
  <c r="V213" i="65"/>
  <c r="I58" i="5"/>
  <c r="I61" i="5"/>
  <c r="H2" i="83"/>
  <c r="AG214" i="63"/>
  <c r="AW214" i="63"/>
  <c r="AH214" i="63"/>
  <c r="AX214" i="63"/>
  <c r="AI214" i="63"/>
  <c r="AY214" i="63"/>
  <c r="T214" i="63"/>
  <c r="AJ214" i="63"/>
  <c r="U214" i="63"/>
  <c r="AK214" i="63"/>
  <c r="V214" i="63"/>
  <c r="AL214" i="63"/>
  <c r="L214" i="63"/>
  <c r="AR214" i="63"/>
  <c r="M214" i="63"/>
  <c r="AC214" i="63"/>
  <c r="AS214" i="63"/>
  <c r="Z214" i="63"/>
  <c r="AD214" i="63"/>
  <c r="AE214" i="63"/>
  <c r="AF214" i="63"/>
  <c r="AM214" i="63"/>
  <c r="H214" i="63"/>
  <c r="AN214" i="63"/>
  <c r="I214" i="63"/>
  <c r="AO214" i="63"/>
  <c r="J214" i="63"/>
  <c r="AP214" i="63"/>
  <c r="AQ214" i="63"/>
  <c r="N214" i="63"/>
  <c r="AT214" i="63"/>
  <c r="O214" i="63"/>
  <c r="AU214" i="63"/>
  <c r="P214" i="63"/>
  <c r="W214" i="63"/>
  <c r="AV214" i="63"/>
  <c r="N213" i="65"/>
  <c r="Y213" i="65"/>
  <c r="M213" i="65"/>
  <c r="H213" i="65"/>
  <c r="S213" i="65"/>
  <c r="I21" i="5"/>
  <c r="I73" i="5"/>
  <c r="I57" i="5"/>
  <c r="I37" i="5"/>
  <c r="I38" i="5"/>
  <c r="I35" i="5"/>
  <c r="I36" i="5"/>
  <c r="A215" i="63"/>
  <c r="G40" i="5"/>
  <c r="J4" i="5"/>
  <c r="AC214" i="65" l="1"/>
  <c r="P214" i="65"/>
  <c r="D214" i="65"/>
  <c r="K214" i="65"/>
  <c r="J214" i="65"/>
  <c r="W214" i="65"/>
  <c r="G214" i="65"/>
  <c r="Z214" i="65"/>
  <c r="O214" i="65"/>
  <c r="AA214" i="65"/>
  <c r="V214" i="65"/>
  <c r="I214" i="65"/>
  <c r="I2" i="83"/>
  <c r="O215" i="63"/>
  <c r="AE215" i="63"/>
  <c r="AU215" i="63"/>
  <c r="AF215" i="63"/>
  <c r="AV215" i="63"/>
  <c r="AG215" i="63"/>
  <c r="AW215" i="63"/>
  <c r="B215" i="63"/>
  <c r="AH215" i="63"/>
  <c r="AX215" i="63"/>
  <c r="C215" i="63"/>
  <c r="AI215" i="63"/>
  <c r="AY215" i="63"/>
  <c r="D215" i="63"/>
  <c r="T215" i="63"/>
  <c r="AJ215" i="63"/>
  <c r="J215" i="63"/>
  <c r="Z215" i="63"/>
  <c r="AP215" i="63"/>
  <c r="AQ215" i="63"/>
  <c r="G215" i="63"/>
  <c r="AM215" i="63"/>
  <c r="H215" i="63"/>
  <c r="AN215" i="63"/>
  <c r="I215" i="63"/>
  <c r="AO215" i="63"/>
  <c r="L215" i="63"/>
  <c r="AR215" i="63"/>
  <c r="M215" i="63"/>
  <c r="AS215" i="63"/>
  <c r="N215" i="63"/>
  <c r="AT215" i="63"/>
  <c r="U215" i="63"/>
  <c r="V215" i="63"/>
  <c r="W215" i="63"/>
  <c r="X215" i="63"/>
  <c r="Y215" i="63"/>
  <c r="AE215" i="65" s="1"/>
  <c r="AC215" i="63"/>
  <c r="AD215" i="63"/>
  <c r="AK215" i="63"/>
  <c r="AL215" i="63"/>
  <c r="E215" i="63"/>
  <c r="F215" i="63"/>
  <c r="H214" i="65"/>
  <c r="S214" i="65"/>
  <c r="N214" i="65"/>
  <c r="M214" i="65"/>
  <c r="J37" i="5"/>
  <c r="A216" i="63"/>
  <c r="H40" i="5"/>
  <c r="K4" i="5"/>
  <c r="AC215" i="65" l="1"/>
  <c r="AD215" i="65"/>
  <c r="J215" i="65"/>
  <c r="D215" i="65"/>
  <c r="K215" i="65"/>
  <c r="B215" i="65"/>
  <c r="X215" i="65"/>
  <c r="T215" i="65"/>
  <c r="I215" i="65"/>
  <c r="W215" i="65"/>
  <c r="V215" i="65"/>
  <c r="P215" i="65"/>
  <c r="G215" i="65"/>
  <c r="O215" i="65"/>
  <c r="AA215" i="65"/>
  <c r="Z215" i="65"/>
  <c r="J2" i="83"/>
  <c r="M216" i="63"/>
  <c r="AC216" i="63"/>
  <c r="AS216" i="63"/>
  <c r="N216" i="63"/>
  <c r="AD216" i="63"/>
  <c r="AT216" i="63"/>
  <c r="O216" i="63"/>
  <c r="AE216" i="63"/>
  <c r="P216" i="63"/>
  <c r="AF216" i="63"/>
  <c r="AV216" i="63"/>
  <c r="AG216" i="63"/>
  <c r="AW216" i="63"/>
  <c r="B216" i="63"/>
  <c r="AH216" i="63"/>
  <c r="AX216" i="63"/>
  <c r="I216" i="63"/>
  <c r="T216" i="63"/>
  <c r="AP216" i="63"/>
  <c r="U216" i="63"/>
  <c r="AQ216" i="63"/>
  <c r="V216" i="63"/>
  <c r="AR216" i="63"/>
  <c r="W216" i="63"/>
  <c r="AU216" i="63"/>
  <c r="X216" i="63"/>
  <c r="AY216" i="63"/>
  <c r="Y216" i="63"/>
  <c r="AE216" i="65" s="1"/>
  <c r="C216" i="63"/>
  <c r="Z216" i="63"/>
  <c r="D216" i="63"/>
  <c r="E216" i="63"/>
  <c r="F216" i="63"/>
  <c r="AI216" i="63"/>
  <c r="G216" i="63"/>
  <c r="AJ216" i="63"/>
  <c r="H216" i="63"/>
  <c r="AK216" i="63"/>
  <c r="J216" i="63"/>
  <c r="AL216" i="63"/>
  <c r="L216" i="63"/>
  <c r="AM216" i="63"/>
  <c r="AN216" i="63"/>
  <c r="AO216" i="63"/>
  <c r="H215" i="65"/>
  <c r="S215" i="65"/>
  <c r="U215" i="65"/>
  <c r="M215" i="65"/>
  <c r="N215" i="65"/>
  <c r="K37" i="5"/>
  <c r="A217" i="63"/>
  <c r="I40" i="5"/>
  <c r="L4" i="5"/>
  <c r="AD216" i="65" l="1"/>
  <c r="AC216" i="65"/>
  <c r="J216" i="65"/>
  <c r="D216" i="65"/>
  <c r="K216" i="65"/>
  <c r="X216" i="65"/>
  <c r="T216" i="65"/>
  <c r="B216" i="65"/>
  <c r="W216" i="65"/>
  <c r="P216" i="65"/>
  <c r="V216" i="65"/>
  <c r="G216" i="65"/>
  <c r="I216" i="65"/>
  <c r="Z216" i="65"/>
  <c r="O216" i="65"/>
  <c r="AA216" i="65"/>
  <c r="K2" i="83"/>
  <c r="N216" i="65"/>
  <c r="AQ217" i="63"/>
  <c r="L217" i="63"/>
  <c r="AR217" i="63"/>
  <c r="N217" i="63"/>
  <c r="AD217" i="63"/>
  <c r="AT217" i="63"/>
  <c r="P217" i="63"/>
  <c r="AF217" i="63"/>
  <c r="AV217" i="63"/>
  <c r="Q217" i="63"/>
  <c r="AK217" i="63"/>
  <c r="R217" i="63"/>
  <c r="AL217" i="63"/>
  <c r="AM217" i="63"/>
  <c r="T217" i="63"/>
  <c r="AN217" i="63"/>
  <c r="U217" i="63"/>
  <c r="AO217" i="63"/>
  <c r="B217" i="63"/>
  <c r="V217" i="63"/>
  <c r="AP217" i="63"/>
  <c r="C217" i="63"/>
  <c r="W217" i="63"/>
  <c r="AS217" i="63"/>
  <c r="D217" i="63"/>
  <c r="X217" i="63"/>
  <c r="AU217" i="63"/>
  <c r="E217" i="63"/>
  <c r="Y217" i="63"/>
  <c r="AE217" i="65" s="1"/>
  <c r="AW217" i="63"/>
  <c r="F217" i="63"/>
  <c r="Z217" i="63"/>
  <c r="AX217" i="63"/>
  <c r="G217" i="63"/>
  <c r="AC217" i="63"/>
  <c r="AY217" i="63"/>
  <c r="H217" i="63"/>
  <c r="AE217" i="63"/>
  <c r="I217" i="63"/>
  <c r="AG217" i="63"/>
  <c r="J217" i="63"/>
  <c r="M217" i="63"/>
  <c r="O217" i="63"/>
  <c r="AH217" i="63"/>
  <c r="AI217" i="63"/>
  <c r="AJ217" i="63"/>
  <c r="H216" i="65"/>
  <c r="S216" i="65"/>
  <c r="U216" i="65"/>
  <c r="M216" i="65"/>
  <c r="L37" i="5"/>
  <c r="A218" i="63"/>
  <c r="M4" i="5"/>
  <c r="AB217" i="65" l="1"/>
  <c r="V217" i="65"/>
  <c r="AD217" i="65"/>
  <c r="AC217" i="65"/>
  <c r="D217" i="65"/>
  <c r="K217" i="65"/>
  <c r="J217" i="65"/>
  <c r="X217" i="65"/>
  <c r="T217" i="65"/>
  <c r="W217" i="65"/>
  <c r="Z217" i="65"/>
  <c r="G217" i="65"/>
  <c r="O217" i="65"/>
  <c r="AA217" i="65"/>
  <c r="I217" i="65"/>
  <c r="B217" i="65"/>
  <c r="P217" i="65"/>
  <c r="L2" i="83"/>
  <c r="M217" i="65"/>
  <c r="S217" i="65"/>
  <c r="I218" i="63"/>
  <c r="Y218" i="63"/>
  <c r="AE218" i="65" s="1"/>
  <c r="J218" i="63"/>
  <c r="Z218" i="63"/>
  <c r="L218" i="63"/>
  <c r="N218" i="63"/>
  <c r="G218" i="63"/>
  <c r="AD218" i="63"/>
  <c r="AT218" i="63"/>
  <c r="H218" i="63"/>
  <c r="AE218" i="63"/>
  <c r="AU218" i="63"/>
  <c r="K218" i="63"/>
  <c r="AF218" i="63"/>
  <c r="AV218" i="63"/>
  <c r="M218" i="63"/>
  <c r="AG218" i="63"/>
  <c r="AW218" i="63"/>
  <c r="O218" i="63"/>
  <c r="AH218" i="63"/>
  <c r="AX218" i="63"/>
  <c r="AI218" i="63"/>
  <c r="AY218" i="63"/>
  <c r="Q218" i="63"/>
  <c r="AJ218" i="63"/>
  <c r="R218" i="63"/>
  <c r="AK218" i="63"/>
  <c r="S218" i="63"/>
  <c r="AL218" i="63"/>
  <c r="T218" i="63"/>
  <c r="AM218" i="63"/>
  <c r="U218" i="63"/>
  <c r="AN218" i="63"/>
  <c r="B218" i="63"/>
  <c r="V218" i="63"/>
  <c r="AO218" i="63"/>
  <c r="C218" i="63"/>
  <c r="W218" i="63"/>
  <c r="AP218" i="63"/>
  <c r="E218" i="63"/>
  <c r="F218" i="63"/>
  <c r="X218" i="63"/>
  <c r="AC218" i="63"/>
  <c r="AQ218" i="63"/>
  <c r="AR218" i="63"/>
  <c r="AS218" i="63"/>
  <c r="D218" i="63"/>
  <c r="H217" i="65"/>
  <c r="U217" i="65"/>
  <c r="N217" i="65"/>
  <c r="M37" i="5"/>
  <c r="A219" i="63"/>
  <c r="N4" i="5"/>
  <c r="AC218" i="65" l="1"/>
  <c r="AD218" i="65"/>
  <c r="AB218" i="65"/>
  <c r="P218" i="65"/>
  <c r="J218" i="65"/>
  <c r="D218" i="65"/>
  <c r="K218" i="65"/>
  <c r="X218" i="65"/>
  <c r="T218" i="65"/>
  <c r="G218" i="65"/>
  <c r="W218" i="65"/>
  <c r="Z218" i="65"/>
  <c r="I218" i="65"/>
  <c r="V218" i="65"/>
  <c r="O218" i="65"/>
  <c r="AA218" i="65"/>
  <c r="B218" i="65"/>
  <c r="M2" i="83"/>
  <c r="N218" i="65"/>
  <c r="L219" i="63"/>
  <c r="AR219" i="63"/>
  <c r="M219" i="63"/>
  <c r="AC219" i="63"/>
  <c r="AS219" i="63"/>
  <c r="N219" i="63"/>
  <c r="AD219" i="63"/>
  <c r="AT219" i="63"/>
  <c r="O219" i="63"/>
  <c r="AE219" i="63"/>
  <c r="AU219" i="63"/>
  <c r="AF219" i="63"/>
  <c r="AV219" i="63"/>
  <c r="Q219" i="63"/>
  <c r="AG219" i="63"/>
  <c r="AW219" i="63"/>
  <c r="R219" i="63"/>
  <c r="AH219" i="63"/>
  <c r="AX219" i="63"/>
  <c r="S219" i="63"/>
  <c r="AI219" i="63"/>
  <c r="AY219" i="63"/>
  <c r="T219" i="63"/>
  <c r="AJ219" i="63"/>
  <c r="U219" i="63"/>
  <c r="AK219" i="63"/>
  <c r="V219" i="63"/>
  <c r="AL219" i="63"/>
  <c r="AM219" i="63"/>
  <c r="AN219" i="63"/>
  <c r="AQ219" i="63"/>
  <c r="I219" i="63"/>
  <c r="J219" i="63"/>
  <c r="K219" i="63"/>
  <c r="Z219" i="63"/>
  <c r="AP219" i="63"/>
  <c r="AO219" i="63"/>
  <c r="U218" i="65"/>
  <c r="S218" i="65"/>
  <c r="M218" i="65"/>
  <c r="Y218" i="65"/>
  <c r="H218" i="65"/>
  <c r="N37" i="5"/>
  <c r="A220" i="63"/>
  <c r="AC219" i="65" l="1"/>
  <c r="AB219" i="65"/>
  <c r="P219" i="65"/>
  <c r="D219" i="65"/>
  <c r="K219" i="65"/>
  <c r="O219" i="65"/>
  <c r="AA219" i="65"/>
  <c r="W219" i="65"/>
  <c r="V219" i="65"/>
  <c r="G219" i="65"/>
  <c r="I219" i="65"/>
  <c r="Z219" i="65"/>
  <c r="J220" i="63"/>
  <c r="Z220" i="63"/>
  <c r="AP220" i="63"/>
  <c r="K220" i="63"/>
  <c r="AQ220" i="63"/>
  <c r="L220" i="63"/>
  <c r="AR220" i="63"/>
  <c r="M220" i="63"/>
  <c r="AC220" i="63"/>
  <c r="AS220" i="63"/>
  <c r="N220" i="63"/>
  <c r="AD220" i="63"/>
  <c r="AT220" i="63"/>
  <c r="O220" i="63"/>
  <c r="AE220" i="63"/>
  <c r="AU220" i="63"/>
  <c r="P220" i="63"/>
  <c r="AF220" i="63"/>
  <c r="AV220" i="63"/>
  <c r="AG220" i="63"/>
  <c r="AW220" i="63"/>
  <c r="B220" i="63"/>
  <c r="AH220" i="63"/>
  <c r="AX220" i="63"/>
  <c r="C220" i="63"/>
  <c r="S220" i="63"/>
  <c r="AI220" i="63"/>
  <c r="AY220" i="63"/>
  <c r="D220" i="63"/>
  <c r="T220" i="63"/>
  <c r="AJ220" i="63"/>
  <c r="E220" i="63"/>
  <c r="U220" i="63"/>
  <c r="AK220" i="63"/>
  <c r="F220" i="63"/>
  <c r="V220" i="63"/>
  <c r="AL220" i="63"/>
  <c r="G220" i="63"/>
  <c r="H220" i="63"/>
  <c r="W220" i="63"/>
  <c r="X220" i="63"/>
  <c r="Y220" i="63"/>
  <c r="AE220" i="65" s="1"/>
  <c r="AM220" i="63"/>
  <c r="AN220" i="63"/>
  <c r="AO220" i="63"/>
  <c r="M219" i="65"/>
  <c r="Y219" i="65"/>
  <c r="H219" i="65"/>
  <c r="S219" i="65"/>
  <c r="A221" i="63"/>
  <c r="AD220" i="65" l="1"/>
  <c r="AC220" i="65"/>
  <c r="O220" i="65"/>
  <c r="J220" i="65"/>
  <c r="D220" i="65"/>
  <c r="K220" i="65"/>
  <c r="P220" i="65"/>
  <c r="X220" i="65"/>
  <c r="T220" i="65"/>
  <c r="Z220" i="65"/>
  <c r="AA220" i="65"/>
  <c r="I220" i="65"/>
  <c r="V220" i="65"/>
  <c r="G220" i="65"/>
  <c r="W220" i="65"/>
  <c r="B220" i="65"/>
  <c r="H221" i="63"/>
  <c r="X221" i="63"/>
  <c r="AN221" i="63"/>
  <c r="I221" i="63"/>
  <c r="Y221" i="63"/>
  <c r="AE221" i="65" s="1"/>
  <c r="AO221" i="63"/>
  <c r="J221" i="63"/>
  <c r="Z221" i="63"/>
  <c r="AP221" i="63"/>
  <c r="AQ221" i="63"/>
  <c r="L221" i="63"/>
  <c r="AR221" i="63"/>
  <c r="M221" i="63"/>
  <c r="AC221" i="63"/>
  <c r="AS221" i="63"/>
  <c r="N221" i="63"/>
  <c r="AD221" i="63"/>
  <c r="AT221" i="63"/>
  <c r="O221" i="63"/>
  <c r="AE221" i="63"/>
  <c r="AU221" i="63"/>
  <c r="P221" i="63"/>
  <c r="AF221" i="63"/>
  <c r="AV221" i="63"/>
  <c r="AG221" i="63"/>
  <c r="AW221" i="63"/>
  <c r="B221" i="63"/>
  <c r="AH221" i="63"/>
  <c r="AX221" i="63"/>
  <c r="C221" i="63"/>
  <c r="AI221" i="63"/>
  <c r="AY221" i="63"/>
  <c r="D221" i="63"/>
  <c r="T221" i="63"/>
  <c r="AJ221" i="63"/>
  <c r="AK221" i="63"/>
  <c r="AL221" i="63"/>
  <c r="AM221" i="63"/>
  <c r="E221" i="63"/>
  <c r="F221" i="63"/>
  <c r="G221" i="63"/>
  <c r="U221" i="63"/>
  <c r="V221" i="63"/>
  <c r="D221" i="65" s="1"/>
  <c r="W221" i="63"/>
  <c r="Y220" i="65"/>
  <c r="S220" i="65"/>
  <c r="U220" i="65"/>
  <c r="M220" i="65"/>
  <c r="H220" i="65"/>
  <c r="A222" i="63"/>
  <c r="P37" i="5"/>
  <c r="T221" i="65" l="1"/>
  <c r="AC221" i="65"/>
  <c r="AD221" i="65"/>
  <c r="X221" i="65"/>
  <c r="J221" i="65"/>
  <c r="P221" i="65"/>
  <c r="K221" i="65"/>
  <c r="W221" i="65"/>
  <c r="I221" i="65"/>
  <c r="V221" i="65"/>
  <c r="G221" i="65"/>
  <c r="O221" i="65"/>
  <c r="AA221" i="65"/>
  <c r="Z221" i="65"/>
  <c r="B221" i="65"/>
  <c r="N221" i="65"/>
  <c r="V222" i="63"/>
  <c r="AL222" i="63"/>
  <c r="AM222" i="63"/>
  <c r="AN222" i="63"/>
  <c r="I222" i="63"/>
  <c r="M222" i="65" s="1"/>
  <c r="AO222" i="63"/>
  <c r="J222" i="63"/>
  <c r="Z222" i="63"/>
  <c r="AP222" i="63"/>
  <c r="AQ222" i="63"/>
  <c r="L222" i="63"/>
  <c r="AR222" i="63"/>
  <c r="M222" i="63"/>
  <c r="AC222" i="63"/>
  <c r="AS222" i="63"/>
  <c r="N222" i="63"/>
  <c r="AD222" i="63"/>
  <c r="AT222" i="63"/>
  <c r="O222" i="63"/>
  <c r="AE222" i="63"/>
  <c r="AU222" i="63"/>
  <c r="P222" i="63"/>
  <c r="AF222" i="63"/>
  <c r="AV222" i="63"/>
  <c r="AG222" i="63"/>
  <c r="AW222" i="63"/>
  <c r="AH222" i="63"/>
  <c r="AX222" i="63"/>
  <c r="U222" i="63"/>
  <c r="AI222" i="63"/>
  <c r="AJ222" i="63"/>
  <c r="AK222" i="63"/>
  <c r="AY222" i="63"/>
  <c r="S221" i="65"/>
  <c r="U221" i="65"/>
  <c r="H221" i="65"/>
  <c r="M221" i="65"/>
  <c r="A223" i="63"/>
  <c r="Z222" i="65" l="1"/>
  <c r="AC222" i="65"/>
  <c r="D222" i="65"/>
  <c r="K222" i="65"/>
  <c r="G222" i="65"/>
  <c r="I222" i="65"/>
  <c r="W222" i="65"/>
  <c r="O222" i="65"/>
  <c r="P222" i="65"/>
  <c r="V222" i="65"/>
  <c r="D223" i="63"/>
  <c r="AJ223" i="63"/>
  <c r="E223" i="63"/>
  <c r="U223" i="63"/>
  <c r="AK223" i="63"/>
  <c r="F223" i="63"/>
  <c r="V223" i="63"/>
  <c r="AL223" i="63"/>
  <c r="G223" i="63"/>
  <c r="AM223" i="63"/>
  <c r="X223" i="63"/>
  <c r="AN223" i="63"/>
  <c r="Y223" i="63"/>
  <c r="AE223" i="65" s="1"/>
  <c r="AO223" i="63"/>
  <c r="J223" i="63"/>
  <c r="Z223" i="63"/>
  <c r="AP223" i="63"/>
  <c r="AQ223" i="63"/>
  <c r="L223" i="63"/>
  <c r="AR223" i="63"/>
  <c r="AC223" i="63"/>
  <c r="AS223" i="63"/>
  <c r="N223" i="63"/>
  <c r="AD223" i="63"/>
  <c r="AT223" i="63"/>
  <c r="O223" i="63"/>
  <c r="AE223" i="63"/>
  <c r="AU223" i="63"/>
  <c r="P223" i="63"/>
  <c r="AF223" i="63"/>
  <c r="AV223" i="63"/>
  <c r="AG223" i="63"/>
  <c r="AH223" i="63"/>
  <c r="AI223" i="63"/>
  <c r="AW223" i="63"/>
  <c r="AX223" i="63"/>
  <c r="AY223" i="63"/>
  <c r="B223" i="63"/>
  <c r="C223" i="63"/>
  <c r="H222" i="65"/>
  <c r="A224" i="63"/>
  <c r="AD223" i="65" l="1"/>
  <c r="AC223" i="65"/>
  <c r="P223" i="65"/>
  <c r="O223" i="65"/>
  <c r="K223" i="65"/>
  <c r="D223" i="65"/>
  <c r="X223" i="65"/>
  <c r="T223" i="65"/>
  <c r="I223" i="65"/>
  <c r="Z223" i="65"/>
  <c r="V223" i="65"/>
  <c r="W223" i="65"/>
  <c r="B223" i="65"/>
  <c r="G223" i="65"/>
  <c r="B224" i="63"/>
  <c r="R224" i="63"/>
  <c r="AH224" i="63"/>
  <c r="AX224" i="63"/>
  <c r="C224" i="63"/>
  <c r="AI224" i="63"/>
  <c r="AY224" i="63"/>
  <c r="D224" i="63"/>
  <c r="AJ224" i="63"/>
  <c r="E224" i="63"/>
  <c r="U224" i="63"/>
  <c r="AK224" i="63"/>
  <c r="F224" i="63"/>
  <c r="V224" i="63"/>
  <c r="D224" i="65" s="1"/>
  <c r="AL224" i="63"/>
  <c r="G224" i="63"/>
  <c r="W224" i="63"/>
  <c r="AM224" i="63"/>
  <c r="H224" i="63"/>
  <c r="X224" i="63"/>
  <c r="AN224" i="63"/>
  <c r="Y224" i="63"/>
  <c r="AE224" i="65" s="1"/>
  <c r="AO224" i="63"/>
  <c r="J224" i="63"/>
  <c r="Z224" i="63"/>
  <c r="AP224" i="63"/>
  <c r="AQ224" i="63"/>
  <c r="L224" i="63"/>
  <c r="K224" i="65" s="1"/>
  <c r="AR224" i="63"/>
  <c r="M224" i="63"/>
  <c r="AC224" i="63"/>
  <c r="AS224" i="63"/>
  <c r="N224" i="63"/>
  <c r="AD224" i="63"/>
  <c r="AT224" i="63"/>
  <c r="AW224" i="63"/>
  <c r="O224" i="63"/>
  <c r="P224" i="63"/>
  <c r="Q224" i="63"/>
  <c r="AE224" i="63"/>
  <c r="AF224" i="63"/>
  <c r="AG224" i="63"/>
  <c r="AU224" i="63"/>
  <c r="AV224" i="63"/>
  <c r="M223" i="65"/>
  <c r="S223" i="65"/>
  <c r="U223" i="65"/>
  <c r="H223" i="65"/>
  <c r="A225" i="63"/>
  <c r="AD224" i="65" l="1"/>
  <c r="AB224" i="65"/>
  <c r="AC224" i="65"/>
  <c r="J224" i="65"/>
  <c r="X224" i="65"/>
  <c r="T224" i="65"/>
  <c r="W224" i="65"/>
  <c r="V224" i="65"/>
  <c r="P224" i="65"/>
  <c r="G224" i="65"/>
  <c r="B224" i="65"/>
  <c r="O224" i="65"/>
  <c r="I224" i="65"/>
  <c r="Z224" i="65"/>
  <c r="H224" i="65"/>
  <c r="P225" i="63"/>
  <c r="AF225" i="63"/>
  <c r="AV225" i="63"/>
  <c r="Q225" i="63"/>
  <c r="AG225" i="63"/>
  <c r="AW225" i="63"/>
  <c r="B225" i="63"/>
  <c r="R225" i="63"/>
  <c r="AH225" i="63"/>
  <c r="AX225" i="63"/>
  <c r="C225" i="63"/>
  <c r="S225" i="63"/>
  <c r="AI225" i="63"/>
  <c r="AY225" i="63"/>
  <c r="D225" i="63"/>
  <c r="AJ225" i="63"/>
  <c r="E225" i="63"/>
  <c r="U225" i="63"/>
  <c r="AK225" i="63"/>
  <c r="F225" i="63"/>
  <c r="V225" i="63"/>
  <c r="AL225" i="63"/>
  <c r="G225" i="63"/>
  <c r="W225" i="63"/>
  <c r="AM225" i="63"/>
  <c r="H225" i="63"/>
  <c r="X225" i="63"/>
  <c r="AN225" i="63"/>
  <c r="I225" i="63"/>
  <c r="Y225" i="63"/>
  <c r="AE225" i="65" s="1"/>
  <c r="AO225" i="63"/>
  <c r="J225" i="63"/>
  <c r="Z225" i="63"/>
  <c r="AP225" i="63"/>
  <c r="K225" i="63"/>
  <c r="AQ225" i="63"/>
  <c r="L225" i="63"/>
  <c r="AR225" i="63"/>
  <c r="M225" i="63"/>
  <c r="N225" i="63"/>
  <c r="O225" i="63"/>
  <c r="AC225" i="63"/>
  <c r="AD225" i="63"/>
  <c r="AE225" i="63"/>
  <c r="AS225" i="63"/>
  <c r="AT225" i="63"/>
  <c r="AU225" i="63"/>
  <c r="M224" i="65"/>
  <c r="S224" i="65"/>
  <c r="U224" i="65"/>
  <c r="A226" i="63"/>
  <c r="AC225" i="65" l="1"/>
  <c r="AD225" i="65"/>
  <c r="O225" i="65"/>
  <c r="J225" i="65"/>
  <c r="K225" i="65"/>
  <c r="D225" i="65"/>
  <c r="X225" i="65"/>
  <c r="T225" i="65"/>
  <c r="B225" i="65"/>
  <c r="Z225" i="65"/>
  <c r="AB225" i="65"/>
  <c r="I225" i="65"/>
  <c r="G225" i="65"/>
  <c r="P225" i="65"/>
  <c r="V225" i="65"/>
  <c r="W225" i="65"/>
  <c r="N226" i="63"/>
  <c r="AD226" i="63"/>
  <c r="AT226" i="63"/>
  <c r="O226" i="63"/>
  <c r="AE226" i="63"/>
  <c r="AU226" i="63"/>
  <c r="P226" i="63"/>
  <c r="AF226" i="63"/>
  <c r="AV226" i="63"/>
  <c r="Q226" i="63"/>
  <c r="AG226" i="63"/>
  <c r="AW226" i="63"/>
  <c r="B226" i="63"/>
  <c r="R226" i="63"/>
  <c r="AH226" i="63"/>
  <c r="AX226" i="63"/>
  <c r="C226" i="63"/>
  <c r="S226" i="63"/>
  <c r="AI226" i="63"/>
  <c r="AY226" i="63"/>
  <c r="D226" i="63"/>
  <c r="T226" i="63"/>
  <c r="AJ226" i="63"/>
  <c r="E226" i="63"/>
  <c r="U226" i="63"/>
  <c r="AK226" i="63"/>
  <c r="F226" i="63"/>
  <c r="V226" i="63"/>
  <c r="AL226" i="63"/>
  <c r="G226" i="63"/>
  <c r="W226" i="63"/>
  <c r="AM226" i="63"/>
  <c r="H226" i="63"/>
  <c r="X226" i="63"/>
  <c r="AN226" i="63"/>
  <c r="I226" i="63"/>
  <c r="Y226" i="63"/>
  <c r="AE226" i="65" s="1"/>
  <c r="AO226" i="63"/>
  <c r="J226" i="63"/>
  <c r="Z226" i="63"/>
  <c r="AP226" i="63"/>
  <c r="AQ226" i="63"/>
  <c r="AR226" i="63"/>
  <c r="AS226" i="63"/>
  <c r="K226" i="63"/>
  <c r="L226" i="63"/>
  <c r="AC226" i="63"/>
  <c r="N225" i="65"/>
  <c r="Y225" i="65"/>
  <c r="H225" i="65"/>
  <c r="U225" i="65"/>
  <c r="S225" i="65"/>
  <c r="M225" i="65"/>
  <c r="A227" i="63"/>
  <c r="AD226" i="65" l="1"/>
  <c r="AB226" i="65"/>
  <c r="AC226" i="65"/>
  <c r="J226" i="65"/>
  <c r="P226" i="65"/>
  <c r="D226" i="65"/>
  <c r="K226" i="65"/>
  <c r="X226" i="65"/>
  <c r="T226" i="65"/>
  <c r="W226" i="65"/>
  <c r="G226" i="65"/>
  <c r="Z226" i="65"/>
  <c r="V226" i="65"/>
  <c r="O226" i="65"/>
  <c r="AA226" i="65"/>
  <c r="B226" i="65"/>
  <c r="I226" i="65"/>
  <c r="H226" i="65"/>
  <c r="L227" i="63"/>
  <c r="K227" i="65" s="1"/>
  <c r="AR227" i="63"/>
  <c r="AC227" i="63"/>
  <c r="AS227" i="63"/>
  <c r="N227" i="63"/>
  <c r="AD227" i="63"/>
  <c r="AT227" i="63"/>
  <c r="O227" i="63"/>
  <c r="AE227" i="63"/>
  <c r="AU227" i="63"/>
  <c r="P227" i="63"/>
  <c r="AF227" i="63"/>
  <c r="AV227" i="63"/>
  <c r="AG227" i="63"/>
  <c r="AW227" i="63"/>
  <c r="AH227" i="63"/>
  <c r="AX227" i="63"/>
  <c r="S227" i="63"/>
  <c r="AI227" i="63"/>
  <c r="AY227" i="63"/>
  <c r="T227" i="63"/>
  <c r="AJ227" i="63"/>
  <c r="U227" i="63"/>
  <c r="AK227" i="63"/>
  <c r="V227" i="63"/>
  <c r="D227" i="65" s="1"/>
  <c r="AL227" i="63"/>
  <c r="W227" i="63"/>
  <c r="AM227" i="63"/>
  <c r="H227" i="63"/>
  <c r="AN227" i="63"/>
  <c r="I227" i="63"/>
  <c r="J227" i="63"/>
  <c r="K227" i="63"/>
  <c r="Z227" i="63"/>
  <c r="AO227" i="63"/>
  <c r="AP227" i="63"/>
  <c r="AQ227" i="63"/>
  <c r="N226" i="65"/>
  <c r="S226" i="65"/>
  <c r="M226" i="65"/>
  <c r="U226" i="65"/>
  <c r="Y226" i="65"/>
  <c r="A228" i="63"/>
  <c r="AC227" i="65" l="1"/>
  <c r="J227" i="65"/>
  <c r="G227" i="65"/>
  <c r="I227" i="65"/>
  <c r="W227" i="65"/>
  <c r="Z227" i="65"/>
  <c r="P227" i="65"/>
  <c r="V227" i="65"/>
  <c r="O227" i="65"/>
  <c r="AA227" i="65"/>
  <c r="J228" i="63"/>
  <c r="Z228" i="63"/>
  <c r="AP228" i="63"/>
  <c r="AQ228" i="63"/>
  <c r="L228" i="63"/>
  <c r="AR228" i="63"/>
  <c r="M228" i="63"/>
  <c r="AC228" i="63"/>
  <c r="AS228" i="63"/>
  <c r="N228" i="63"/>
  <c r="AD228" i="63"/>
  <c r="AT228" i="63"/>
  <c r="O228" i="63"/>
  <c r="AE228" i="63"/>
  <c r="AU228" i="63"/>
  <c r="P228" i="63"/>
  <c r="AF228" i="63"/>
  <c r="AV228" i="63"/>
  <c r="AG228" i="63"/>
  <c r="AW228" i="63"/>
  <c r="AH228" i="63"/>
  <c r="AX228" i="63"/>
  <c r="AI228" i="63"/>
  <c r="AY228" i="63"/>
  <c r="T228" i="63"/>
  <c r="AJ228" i="63"/>
  <c r="U228" i="63"/>
  <c r="AK228" i="63"/>
  <c r="V228" i="63"/>
  <c r="AL228" i="63"/>
  <c r="AM228" i="63"/>
  <c r="AN228" i="63"/>
  <c r="AO228" i="63"/>
  <c r="W228" i="63"/>
  <c r="H228" i="63"/>
  <c r="I228" i="63"/>
  <c r="M227" i="65"/>
  <c r="S227" i="65"/>
  <c r="N227" i="65"/>
  <c r="H227" i="65"/>
  <c r="Y227" i="65"/>
  <c r="A229" i="63"/>
  <c r="AC228" i="65" l="1"/>
  <c r="O228" i="65"/>
  <c r="P228" i="65"/>
  <c r="J228" i="65"/>
  <c r="K228" i="65"/>
  <c r="D228" i="65"/>
  <c r="I228" i="65"/>
  <c r="Z228" i="65"/>
  <c r="AA228" i="65"/>
  <c r="G228" i="65"/>
  <c r="V228" i="65"/>
  <c r="W228" i="65"/>
  <c r="N228" i="65"/>
  <c r="H229" i="63"/>
  <c r="X229" i="63"/>
  <c r="AN229" i="63"/>
  <c r="I229" i="63"/>
  <c r="Y229" i="63"/>
  <c r="AO229" i="63"/>
  <c r="J229" i="63"/>
  <c r="Z229" i="63"/>
  <c r="AP229" i="63"/>
  <c r="AQ229" i="63"/>
  <c r="L229" i="63"/>
  <c r="K229" i="65" s="1"/>
  <c r="AR229" i="63"/>
  <c r="M229" i="63"/>
  <c r="AC229" i="63"/>
  <c r="AS229" i="63"/>
  <c r="N229" i="63"/>
  <c r="AD229" i="63"/>
  <c r="AT229" i="63"/>
  <c r="O229" i="63"/>
  <c r="AE229" i="63"/>
  <c r="AU229" i="63"/>
  <c r="P229" i="63"/>
  <c r="AF229" i="63"/>
  <c r="AV229" i="63"/>
  <c r="AG229" i="63"/>
  <c r="AW229" i="63"/>
  <c r="B229" i="63"/>
  <c r="AH229" i="63"/>
  <c r="AX229" i="63"/>
  <c r="C229" i="63"/>
  <c r="AI229" i="63"/>
  <c r="AY229" i="63"/>
  <c r="D229" i="63"/>
  <c r="T229" i="63"/>
  <c r="AJ229" i="63"/>
  <c r="E229" i="63"/>
  <c r="F229" i="63"/>
  <c r="G229" i="63"/>
  <c r="U229" i="63"/>
  <c r="V229" i="63"/>
  <c r="W229" i="63"/>
  <c r="AK229" i="63"/>
  <c r="AL229" i="63"/>
  <c r="AM229" i="63"/>
  <c r="S228" i="65"/>
  <c r="M228" i="65"/>
  <c r="H228" i="65"/>
  <c r="A230" i="63"/>
  <c r="T229" i="65" l="1"/>
  <c r="AD229" i="65"/>
  <c r="AE229" i="65"/>
  <c r="X229" i="65"/>
  <c r="AC229" i="65"/>
  <c r="J229" i="65"/>
  <c r="P229" i="65"/>
  <c r="D229" i="65"/>
  <c r="B229" i="65"/>
  <c r="W229" i="65"/>
  <c r="G229" i="65"/>
  <c r="V229" i="65"/>
  <c r="O229" i="65"/>
  <c r="AA229" i="65"/>
  <c r="I229" i="65"/>
  <c r="Z229" i="65"/>
  <c r="F230" i="63"/>
  <c r="V230" i="63"/>
  <c r="D230" i="65" s="1"/>
  <c r="AL230" i="63"/>
  <c r="G230" i="63"/>
  <c r="W230" i="63"/>
  <c r="AM230" i="63"/>
  <c r="H230" i="63"/>
  <c r="X230" i="63"/>
  <c r="AN230" i="63"/>
  <c r="I230" i="63"/>
  <c r="Y230" i="63"/>
  <c r="AE230" i="65" s="1"/>
  <c r="AO230" i="63"/>
  <c r="J230" i="63"/>
  <c r="Z230" i="63"/>
  <c r="AP230" i="63"/>
  <c r="AQ230" i="63"/>
  <c r="L230" i="63"/>
  <c r="K230" i="65" s="1"/>
  <c r="AR230" i="63"/>
  <c r="M230" i="63"/>
  <c r="AC230" i="63"/>
  <c r="AS230" i="63"/>
  <c r="N230" i="63"/>
  <c r="AD230" i="63"/>
  <c r="AT230" i="63"/>
  <c r="O230" i="63"/>
  <c r="AE230" i="63"/>
  <c r="AU230" i="63"/>
  <c r="P230" i="63"/>
  <c r="AF230" i="63"/>
  <c r="AV230" i="63"/>
  <c r="AG230" i="63"/>
  <c r="AW230" i="63"/>
  <c r="B230" i="63"/>
  <c r="AH230" i="63"/>
  <c r="AX230" i="63"/>
  <c r="E230" i="63"/>
  <c r="T230" i="63"/>
  <c r="U230" i="63"/>
  <c r="AI230" i="63"/>
  <c r="AJ230" i="63"/>
  <c r="AK230" i="63"/>
  <c r="AY230" i="63"/>
  <c r="C230" i="63"/>
  <c r="D230" i="63"/>
  <c r="S229" i="65"/>
  <c r="M229" i="65"/>
  <c r="H229" i="65"/>
  <c r="U229" i="65"/>
  <c r="N229" i="65"/>
  <c r="A231" i="63"/>
  <c r="Z230" i="65" l="1"/>
  <c r="AC230" i="65"/>
  <c r="AD230" i="65"/>
  <c r="T230" i="65"/>
  <c r="J230" i="65"/>
  <c r="X230" i="65"/>
  <c r="V230" i="65"/>
  <c r="B230" i="65"/>
  <c r="G230" i="65"/>
  <c r="I230" i="65"/>
  <c r="W230" i="65"/>
  <c r="O230" i="65"/>
  <c r="AA230" i="65"/>
  <c r="P230" i="65"/>
  <c r="D231" i="63"/>
  <c r="T231" i="63"/>
  <c r="AJ231" i="63"/>
  <c r="E231" i="63"/>
  <c r="U231" i="63"/>
  <c r="AK231" i="63"/>
  <c r="F231" i="63"/>
  <c r="V231" i="63"/>
  <c r="AL231" i="63"/>
  <c r="G231" i="63"/>
  <c r="W231" i="63"/>
  <c r="AM231" i="63"/>
  <c r="H231" i="63"/>
  <c r="X231" i="63"/>
  <c r="AN231" i="63"/>
  <c r="I231" i="63"/>
  <c r="Y231" i="63"/>
  <c r="AE231" i="65" s="1"/>
  <c r="AO231" i="63"/>
  <c r="J231" i="63"/>
  <c r="Z231" i="63"/>
  <c r="AP231" i="63"/>
  <c r="AQ231" i="63"/>
  <c r="L231" i="63"/>
  <c r="AR231" i="63"/>
  <c r="M231" i="63"/>
  <c r="AC231" i="63"/>
  <c r="AS231" i="63"/>
  <c r="N231" i="63"/>
  <c r="AD231" i="63"/>
  <c r="AT231" i="63"/>
  <c r="O231" i="63"/>
  <c r="AE231" i="63"/>
  <c r="AU231" i="63"/>
  <c r="P231" i="63"/>
  <c r="AF231" i="63"/>
  <c r="AV231" i="63"/>
  <c r="AW231" i="63"/>
  <c r="AX231" i="63"/>
  <c r="AY231" i="63"/>
  <c r="B231" i="63"/>
  <c r="C231" i="63"/>
  <c r="Q231" i="63"/>
  <c r="R231" i="63"/>
  <c r="AG231" i="63"/>
  <c r="AH231" i="63"/>
  <c r="AI231" i="63"/>
  <c r="S230" i="65"/>
  <c r="M230" i="65"/>
  <c r="U230" i="65"/>
  <c r="H230" i="65"/>
  <c r="N230" i="65"/>
  <c r="A232" i="63"/>
  <c r="AC231" i="65" l="1"/>
  <c r="AD231" i="65"/>
  <c r="O231" i="65"/>
  <c r="J231" i="65"/>
  <c r="K231" i="65"/>
  <c r="D231" i="65"/>
  <c r="X231" i="65"/>
  <c r="T231" i="65"/>
  <c r="AA231" i="65"/>
  <c r="AB231" i="65"/>
  <c r="I231" i="65"/>
  <c r="B231" i="65"/>
  <c r="V231" i="65"/>
  <c r="P231" i="65"/>
  <c r="W231" i="65"/>
  <c r="Z231" i="65"/>
  <c r="G231" i="65"/>
  <c r="H231" i="65"/>
  <c r="B232" i="63"/>
  <c r="R232" i="63"/>
  <c r="AH232" i="63"/>
  <c r="AX232" i="63"/>
  <c r="C232" i="63"/>
  <c r="S232" i="63"/>
  <c r="AI232" i="63"/>
  <c r="AY232" i="63"/>
  <c r="D232" i="63"/>
  <c r="T232" i="63"/>
  <c r="AJ232" i="63"/>
  <c r="E232" i="63"/>
  <c r="U232" i="63"/>
  <c r="AK232" i="63"/>
  <c r="F232" i="63"/>
  <c r="V232" i="63"/>
  <c r="AL232" i="63"/>
  <c r="G232" i="63"/>
  <c r="W232" i="63"/>
  <c r="AM232" i="63"/>
  <c r="H232" i="63"/>
  <c r="X232" i="63"/>
  <c r="AN232" i="63"/>
  <c r="I232" i="63"/>
  <c r="Y232" i="63"/>
  <c r="AO232" i="63"/>
  <c r="J232" i="63"/>
  <c r="Z232" i="63"/>
  <c r="AP232" i="63"/>
  <c r="K232" i="63"/>
  <c r="AQ232" i="63"/>
  <c r="L232" i="63"/>
  <c r="AR232" i="63"/>
  <c r="M232" i="63"/>
  <c r="AC232" i="63"/>
  <c r="AS232" i="63"/>
  <c r="N232" i="63"/>
  <c r="AD232" i="63"/>
  <c r="AT232" i="63"/>
  <c r="O232" i="63"/>
  <c r="P232" i="63"/>
  <c r="Q232" i="63"/>
  <c r="AE232" i="63"/>
  <c r="AF232" i="63"/>
  <c r="AG232" i="63"/>
  <c r="AU232" i="63"/>
  <c r="AV232" i="63"/>
  <c r="AW232" i="63"/>
  <c r="N231" i="65"/>
  <c r="U231" i="65"/>
  <c r="S231" i="65"/>
  <c r="M231" i="65"/>
  <c r="A233" i="63"/>
  <c r="AD232" i="65" l="1"/>
  <c r="AE232" i="65"/>
  <c r="AB232" i="65"/>
  <c r="AC232" i="65"/>
  <c r="D232" i="65"/>
  <c r="J232" i="65"/>
  <c r="K232" i="65"/>
  <c r="X232" i="65"/>
  <c r="T232" i="65"/>
  <c r="W232" i="65"/>
  <c r="B232" i="65"/>
  <c r="G232" i="65"/>
  <c r="O232" i="65"/>
  <c r="AA232" i="65"/>
  <c r="I232" i="65"/>
  <c r="P232" i="65"/>
  <c r="Z232" i="65"/>
  <c r="V232" i="65"/>
  <c r="P233" i="63"/>
  <c r="AF233" i="63"/>
  <c r="AV233" i="63"/>
  <c r="Q233" i="63"/>
  <c r="AG233" i="63"/>
  <c r="AW233" i="63"/>
  <c r="R233" i="63"/>
  <c r="AH233" i="63"/>
  <c r="AX233" i="63"/>
  <c r="S233" i="63"/>
  <c r="AI233" i="63"/>
  <c r="AY233" i="63"/>
  <c r="T233" i="63"/>
  <c r="AJ233" i="63"/>
  <c r="U233" i="63"/>
  <c r="AK233" i="63"/>
  <c r="V233" i="63"/>
  <c r="AL233" i="63"/>
  <c r="W233" i="63"/>
  <c r="AM233" i="63"/>
  <c r="H233" i="63"/>
  <c r="AN233" i="63"/>
  <c r="I233" i="63"/>
  <c r="AO233" i="63"/>
  <c r="J233" i="63"/>
  <c r="Z233" i="63"/>
  <c r="AP233" i="63"/>
  <c r="K233" i="63"/>
  <c r="AQ233" i="63"/>
  <c r="L233" i="63"/>
  <c r="AR233" i="63"/>
  <c r="AD233" i="63"/>
  <c r="AE233" i="63"/>
  <c r="AS233" i="63"/>
  <c r="AT233" i="63"/>
  <c r="AU233" i="63"/>
  <c r="M233" i="63"/>
  <c r="O233" i="63"/>
  <c r="AC233" i="63"/>
  <c r="N233" i="63"/>
  <c r="Y232" i="65"/>
  <c r="N232" i="65"/>
  <c r="H232" i="65"/>
  <c r="U232" i="65"/>
  <c r="M232" i="65"/>
  <c r="S232" i="65"/>
  <c r="A234" i="63"/>
  <c r="AC233" i="65" l="1"/>
  <c r="O233" i="65"/>
  <c r="J233" i="65"/>
  <c r="K233" i="65"/>
  <c r="D233" i="65"/>
  <c r="AA233" i="65"/>
  <c r="AB233" i="65"/>
  <c r="I233" i="65"/>
  <c r="Z233" i="65"/>
  <c r="P233" i="65"/>
  <c r="V233" i="65"/>
  <c r="W233" i="65"/>
  <c r="G233" i="65"/>
  <c r="N234" i="63"/>
  <c r="AD234" i="63"/>
  <c r="AT234" i="63"/>
  <c r="O234" i="63"/>
  <c r="AE234" i="63"/>
  <c r="AU234" i="63"/>
  <c r="P234" i="63"/>
  <c r="AF234" i="63"/>
  <c r="AV234" i="63"/>
  <c r="AG234" i="63"/>
  <c r="AW234" i="63"/>
  <c r="B234" i="63"/>
  <c r="AH234" i="63"/>
  <c r="AX234" i="63"/>
  <c r="C234" i="63"/>
  <c r="S234" i="63"/>
  <c r="AI234" i="63"/>
  <c r="AY234" i="63"/>
  <c r="D234" i="63"/>
  <c r="T234" i="63"/>
  <c r="AJ234" i="63"/>
  <c r="E234" i="63"/>
  <c r="U234" i="63"/>
  <c r="AK234" i="63"/>
  <c r="F234" i="63"/>
  <c r="V234" i="63"/>
  <c r="AL234" i="63"/>
  <c r="G234" i="63"/>
  <c r="W234" i="63"/>
  <c r="AM234" i="63"/>
  <c r="H234" i="63"/>
  <c r="X234" i="63"/>
  <c r="AN234" i="63"/>
  <c r="I234" i="63"/>
  <c r="Y234" i="63"/>
  <c r="AE234" i="65" s="1"/>
  <c r="AO234" i="63"/>
  <c r="J234" i="63"/>
  <c r="Z234" i="63"/>
  <c r="AP234" i="63"/>
  <c r="K234" i="63"/>
  <c r="L234" i="63"/>
  <c r="K234" i="65" s="1"/>
  <c r="M234" i="63"/>
  <c r="AC234" i="63"/>
  <c r="AQ234" i="63"/>
  <c r="AR234" i="63"/>
  <c r="AS234" i="63"/>
  <c r="Y233" i="65"/>
  <c r="M233" i="65"/>
  <c r="S233" i="65"/>
  <c r="N233" i="65"/>
  <c r="H233" i="65"/>
  <c r="A235" i="63"/>
  <c r="AD234" i="65" l="1"/>
  <c r="AC234" i="65"/>
  <c r="J234" i="65"/>
  <c r="P234" i="65"/>
  <c r="D234" i="65"/>
  <c r="X234" i="65"/>
  <c r="T234" i="65"/>
  <c r="W234" i="65"/>
  <c r="G234" i="65"/>
  <c r="V234" i="65"/>
  <c r="Z234" i="65"/>
  <c r="S234" i="65"/>
  <c r="O234" i="65"/>
  <c r="AA234" i="65"/>
  <c r="B234" i="65"/>
  <c r="I234" i="65"/>
  <c r="U234" i="65"/>
  <c r="Y234" i="65"/>
  <c r="L235" i="63"/>
  <c r="K235" i="65" s="1"/>
  <c r="AR235" i="63"/>
  <c r="M235" i="63"/>
  <c r="AC235" i="63"/>
  <c r="AS235" i="63"/>
  <c r="N235" i="63"/>
  <c r="AD235" i="63"/>
  <c r="AT235" i="63"/>
  <c r="O235" i="63"/>
  <c r="AE235" i="63"/>
  <c r="AU235" i="63"/>
  <c r="P235" i="63"/>
  <c r="AF235" i="63"/>
  <c r="AV235" i="63"/>
  <c r="AG235" i="63"/>
  <c r="AW235" i="63"/>
  <c r="B235" i="63"/>
  <c r="AH235" i="63"/>
  <c r="AX235" i="63"/>
  <c r="C235" i="63"/>
  <c r="AI235" i="63"/>
  <c r="AY235" i="63"/>
  <c r="D235" i="63"/>
  <c r="T235" i="63"/>
  <c r="AJ235" i="63"/>
  <c r="E235" i="63"/>
  <c r="U235" i="63"/>
  <c r="AK235" i="63"/>
  <c r="F235" i="63"/>
  <c r="V235" i="63"/>
  <c r="AL235" i="63"/>
  <c r="G235" i="63"/>
  <c r="W235" i="63"/>
  <c r="AM235" i="63"/>
  <c r="H235" i="63"/>
  <c r="X235" i="63"/>
  <c r="AN235" i="63"/>
  <c r="Y235" i="63"/>
  <c r="AE235" i="65" s="1"/>
  <c r="Z235" i="63"/>
  <c r="AO235" i="63"/>
  <c r="AP235" i="63"/>
  <c r="AQ235" i="63"/>
  <c r="I235" i="63"/>
  <c r="J235" i="63"/>
  <c r="N234" i="65"/>
  <c r="M234" i="65"/>
  <c r="H234" i="65"/>
  <c r="A236" i="63"/>
  <c r="N235" i="65" l="1"/>
  <c r="AC235" i="65"/>
  <c r="AD235" i="65"/>
  <c r="D235" i="65"/>
  <c r="J235" i="65"/>
  <c r="X235" i="65"/>
  <c r="T235" i="65"/>
  <c r="B235" i="65"/>
  <c r="I235" i="65"/>
  <c r="G235" i="65"/>
  <c r="O235" i="65"/>
  <c r="AA235" i="65"/>
  <c r="Z235" i="65"/>
  <c r="P235" i="65"/>
  <c r="V235" i="65"/>
  <c r="W235" i="65"/>
  <c r="H235" i="65"/>
  <c r="J236" i="63"/>
  <c r="Z236" i="63"/>
  <c r="AP236" i="63"/>
  <c r="AQ236" i="63"/>
  <c r="L236" i="63"/>
  <c r="AR236" i="63"/>
  <c r="M236" i="63"/>
  <c r="AC236" i="63"/>
  <c r="AS236" i="63"/>
  <c r="AD236" i="63"/>
  <c r="AT236" i="63"/>
  <c r="O236" i="63"/>
  <c r="AE236" i="63"/>
  <c r="AU236" i="63"/>
  <c r="P236" i="63"/>
  <c r="AF236" i="63"/>
  <c r="AV236" i="63"/>
  <c r="AG236" i="63"/>
  <c r="AW236" i="63"/>
  <c r="AH236" i="63"/>
  <c r="AX236" i="63"/>
  <c r="AI236" i="63"/>
  <c r="AY236" i="63"/>
  <c r="T236" i="63"/>
  <c r="AJ236" i="63"/>
  <c r="U236" i="63"/>
  <c r="AK236" i="63"/>
  <c r="AL236" i="63"/>
  <c r="H236" i="63"/>
  <c r="I236" i="63"/>
  <c r="W236" i="63"/>
  <c r="AM236" i="63"/>
  <c r="AN236" i="63"/>
  <c r="AO236" i="63"/>
  <c r="U235" i="65"/>
  <c r="S235" i="65"/>
  <c r="M235" i="65"/>
  <c r="A237" i="63"/>
  <c r="AC236" i="65" l="1"/>
  <c r="D236" i="65"/>
  <c r="K236" i="65"/>
  <c r="P236" i="65"/>
  <c r="G236" i="65"/>
  <c r="I236" i="65"/>
  <c r="Z236" i="65"/>
  <c r="V236" i="65"/>
  <c r="O236" i="65"/>
  <c r="AA236" i="65"/>
  <c r="W236" i="65"/>
  <c r="H237" i="63"/>
  <c r="X237" i="63"/>
  <c r="AN237" i="63"/>
  <c r="I237" i="63"/>
  <c r="Y237" i="63"/>
  <c r="AE237" i="65" s="1"/>
  <c r="AO237" i="63"/>
  <c r="J237" i="63"/>
  <c r="Z237" i="63"/>
  <c r="AP237" i="63"/>
  <c r="AQ237" i="63"/>
  <c r="L237" i="63"/>
  <c r="AR237" i="63"/>
  <c r="M237" i="63"/>
  <c r="AC237" i="63"/>
  <c r="AS237" i="63"/>
  <c r="N237" i="63"/>
  <c r="AD237" i="63"/>
  <c r="AT237" i="63"/>
  <c r="AE237" i="63"/>
  <c r="AU237" i="63"/>
  <c r="P237" i="63"/>
  <c r="AF237" i="63"/>
  <c r="AV237" i="63"/>
  <c r="AG237" i="63"/>
  <c r="AW237" i="63"/>
  <c r="B237" i="63"/>
  <c r="AH237" i="63"/>
  <c r="AX237" i="63"/>
  <c r="C237" i="63"/>
  <c r="AI237" i="63"/>
  <c r="AY237" i="63"/>
  <c r="D237" i="63"/>
  <c r="V237" i="65" s="1"/>
  <c r="T237" i="63"/>
  <c r="AJ237" i="63"/>
  <c r="E237" i="63"/>
  <c r="F237" i="63"/>
  <c r="G237" i="63"/>
  <c r="U237" i="63"/>
  <c r="V237" i="63"/>
  <c r="D237" i="65" s="1"/>
  <c r="W237" i="63"/>
  <c r="AK237" i="63"/>
  <c r="AL237" i="63"/>
  <c r="AM237" i="63"/>
  <c r="S236" i="65"/>
  <c r="M236" i="65"/>
  <c r="N236" i="65"/>
  <c r="H236" i="65"/>
  <c r="A238" i="63"/>
  <c r="D96" i="5"/>
  <c r="AD237" i="65" l="1"/>
  <c r="AC237" i="65"/>
  <c r="J237" i="65"/>
  <c r="K237" i="65"/>
  <c r="X237" i="65"/>
  <c r="T237" i="65"/>
  <c r="W237" i="65"/>
  <c r="B237" i="65"/>
  <c r="P237" i="65"/>
  <c r="G237" i="65"/>
  <c r="I237" i="65"/>
  <c r="O237" i="65"/>
  <c r="AA237" i="65"/>
  <c r="Z237" i="65"/>
  <c r="F238" i="63"/>
  <c r="V238" i="63"/>
  <c r="D238" i="65" s="1"/>
  <c r="AL238" i="63"/>
  <c r="G238" i="63"/>
  <c r="W238" i="63"/>
  <c r="AM238" i="63"/>
  <c r="H238" i="63"/>
  <c r="X238" i="63"/>
  <c r="AN238" i="63"/>
  <c r="I238" i="63"/>
  <c r="Y238" i="63"/>
  <c r="AO238" i="63"/>
  <c r="J238" i="63"/>
  <c r="Z238" i="63"/>
  <c r="AP238" i="63"/>
  <c r="AQ238" i="63"/>
  <c r="L238" i="63"/>
  <c r="K238" i="65" s="1"/>
  <c r="AR238" i="63"/>
  <c r="M238" i="63"/>
  <c r="AC238" i="63"/>
  <c r="AS238" i="63"/>
  <c r="N238" i="63"/>
  <c r="AD238" i="63"/>
  <c r="AT238" i="63"/>
  <c r="O238" i="63"/>
  <c r="AE238" i="63"/>
  <c r="AU238" i="63"/>
  <c r="P238" i="63"/>
  <c r="AF238" i="63"/>
  <c r="AV238" i="63"/>
  <c r="Q238" i="63"/>
  <c r="AG238" i="63"/>
  <c r="AW238" i="63"/>
  <c r="B238" i="63"/>
  <c r="R238" i="63"/>
  <c r="AH238" i="63"/>
  <c r="AX238" i="63"/>
  <c r="AJ238" i="63"/>
  <c r="AK238" i="63"/>
  <c r="AY238" i="63"/>
  <c r="C238" i="63"/>
  <c r="D238" i="63"/>
  <c r="E238" i="63"/>
  <c r="U238" i="63"/>
  <c r="AI238" i="63"/>
  <c r="T238" i="63"/>
  <c r="M237" i="65"/>
  <c r="H237" i="65"/>
  <c r="U237" i="65"/>
  <c r="N237" i="65"/>
  <c r="S237" i="65"/>
  <c r="A239" i="63"/>
  <c r="P238" i="65" l="1"/>
  <c r="AD238" i="65"/>
  <c r="AE238" i="65"/>
  <c r="Z238" i="65"/>
  <c r="AB238" i="65"/>
  <c r="AC238" i="65"/>
  <c r="J238" i="65"/>
  <c r="W238" i="65"/>
  <c r="X238" i="65"/>
  <c r="T238" i="65"/>
  <c r="B238" i="65"/>
  <c r="G238" i="65"/>
  <c r="I238" i="65"/>
  <c r="O238" i="65"/>
  <c r="AA238" i="65"/>
  <c r="V238" i="65"/>
  <c r="D239" i="63"/>
  <c r="T239" i="63"/>
  <c r="AJ239" i="63"/>
  <c r="E239" i="63"/>
  <c r="U239" i="63"/>
  <c r="AK239" i="63"/>
  <c r="F239" i="63"/>
  <c r="AL239" i="63"/>
  <c r="G239" i="63"/>
  <c r="W239" i="63"/>
  <c r="AM239" i="63"/>
  <c r="H239" i="63"/>
  <c r="X239" i="63"/>
  <c r="AN239" i="63"/>
  <c r="I239" i="63"/>
  <c r="Y239" i="63"/>
  <c r="AE239" i="65" s="1"/>
  <c r="AO239" i="63"/>
  <c r="J239" i="63"/>
  <c r="Z239" i="63"/>
  <c r="AP239" i="63"/>
  <c r="K239" i="63"/>
  <c r="AQ239" i="63"/>
  <c r="L239" i="63"/>
  <c r="AR239" i="63"/>
  <c r="M239" i="63"/>
  <c r="AC239" i="63"/>
  <c r="AS239" i="63"/>
  <c r="AD239" i="63"/>
  <c r="AT239" i="63"/>
  <c r="O239" i="63"/>
  <c r="AE239" i="63"/>
  <c r="AU239" i="63"/>
  <c r="P239" i="63"/>
  <c r="AF239" i="63"/>
  <c r="AV239" i="63"/>
  <c r="B239" i="63"/>
  <c r="C239" i="63"/>
  <c r="Q239" i="63"/>
  <c r="R239" i="63"/>
  <c r="S239" i="63"/>
  <c r="AG239" i="63"/>
  <c r="AH239" i="63"/>
  <c r="AI239" i="63"/>
  <c r="AW239" i="63"/>
  <c r="AX239" i="63"/>
  <c r="AY239" i="63"/>
  <c r="U238" i="65"/>
  <c r="N238" i="65"/>
  <c r="M238" i="65"/>
  <c r="H238" i="65"/>
  <c r="S238" i="65"/>
  <c r="A240" i="63"/>
  <c r="AC239" i="65" l="1"/>
  <c r="AD239" i="65"/>
  <c r="O239" i="65"/>
  <c r="D239" i="65"/>
  <c r="K239" i="65"/>
  <c r="X239" i="65"/>
  <c r="T239" i="65"/>
  <c r="P239" i="65"/>
  <c r="AA239" i="65"/>
  <c r="AB239" i="65"/>
  <c r="I239" i="65"/>
  <c r="V239" i="65"/>
  <c r="Z239" i="65"/>
  <c r="B239" i="65"/>
  <c r="W239" i="65"/>
  <c r="G239" i="65"/>
  <c r="B240" i="63"/>
  <c r="R240" i="63"/>
  <c r="AH240" i="63"/>
  <c r="AX240" i="63"/>
  <c r="C240" i="63"/>
  <c r="S240" i="63"/>
  <c r="AI240" i="63"/>
  <c r="AY240" i="63"/>
  <c r="D240" i="63"/>
  <c r="T240" i="63"/>
  <c r="AJ240" i="63"/>
  <c r="E240" i="63"/>
  <c r="U240" i="63"/>
  <c r="AK240" i="63"/>
  <c r="F240" i="63"/>
  <c r="AL240" i="63"/>
  <c r="G240" i="63"/>
  <c r="W240" i="63"/>
  <c r="AM240" i="63"/>
  <c r="H240" i="63"/>
  <c r="X240" i="63"/>
  <c r="AN240" i="63"/>
  <c r="I240" i="63"/>
  <c r="M240" i="65" s="1"/>
  <c r="Y240" i="63"/>
  <c r="AE240" i="65" s="1"/>
  <c r="AO240" i="63"/>
  <c r="J240" i="63"/>
  <c r="Z240" i="63"/>
  <c r="AP240" i="63"/>
  <c r="K240" i="63"/>
  <c r="AQ240" i="63"/>
  <c r="L240" i="63"/>
  <c r="AR240" i="63"/>
  <c r="M240" i="63"/>
  <c r="AC240" i="63"/>
  <c r="AS240" i="63"/>
  <c r="AD240" i="63"/>
  <c r="AT240" i="63"/>
  <c r="Q240" i="63"/>
  <c r="AE240" i="63"/>
  <c r="AF240" i="63"/>
  <c r="AG240" i="63"/>
  <c r="AU240" i="63"/>
  <c r="AV240" i="63"/>
  <c r="AW240" i="63"/>
  <c r="P240" i="63"/>
  <c r="H239" i="65"/>
  <c r="N239" i="65"/>
  <c r="Y239" i="65"/>
  <c r="U239" i="65"/>
  <c r="S239" i="65"/>
  <c r="M239" i="65"/>
  <c r="A241" i="63"/>
  <c r="AB240" i="65" l="1"/>
  <c r="AD240" i="65"/>
  <c r="AC240" i="65"/>
  <c r="K240" i="65"/>
  <c r="B240" i="65"/>
  <c r="X240" i="65"/>
  <c r="S240" i="65"/>
  <c r="T240" i="65"/>
  <c r="W240" i="65"/>
  <c r="V240" i="65"/>
  <c r="P240" i="65"/>
  <c r="Z240" i="65"/>
  <c r="I240" i="65"/>
  <c r="O240" i="65"/>
  <c r="AA240" i="65"/>
  <c r="G240" i="65"/>
  <c r="P241" i="63"/>
  <c r="AF241" i="63"/>
  <c r="AV241" i="63"/>
  <c r="AG241" i="63"/>
  <c r="AW241" i="63"/>
  <c r="AH241" i="63"/>
  <c r="AX241" i="63"/>
  <c r="S241" i="63"/>
  <c r="AI241" i="63"/>
  <c r="AY241" i="63"/>
  <c r="T241" i="63"/>
  <c r="AJ241" i="63"/>
  <c r="U241" i="63"/>
  <c r="AK241" i="63"/>
  <c r="V241" i="63"/>
  <c r="AL241" i="63"/>
  <c r="W241" i="63"/>
  <c r="AM241" i="63"/>
  <c r="H241" i="63"/>
  <c r="AN241" i="63"/>
  <c r="I241" i="63"/>
  <c r="AO241" i="63"/>
  <c r="J241" i="63"/>
  <c r="Z241" i="63"/>
  <c r="AP241" i="63"/>
  <c r="K241" i="63"/>
  <c r="AQ241" i="63"/>
  <c r="L241" i="63"/>
  <c r="AR241" i="63"/>
  <c r="M241" i="63"/>
  <c r="N241" i="63"/>
  <c r="AC241" i="63"/>
  <c r="AD241" i="63"/>
  <c r="AE241" i="63"/>
  <c r="AS241" i="63"/>
  <c r="AU241" i="63"/>
  <c r="AT241" i="63"/>
  <c r="N240" i="65"/>
  <c r="Y240" i="65"/>
  <c r="U240" i="65"/>
  <c r="H240" i="65"/>
  <c r="A242" i="63"/>
  <c r="AC241" i="65" l="1"/>
  <c r="O241" i="65"/>
  <c r="J241" i="65"/>
  <c r="K241" i="65"/>
  <c r="D241" i="65"/>
  <c r="Z241" i="65"/>
  <c r="I241" i="65"/>
  <c r="AA241" i="65"/>
  <c r="P241" i="65"/>
  <c r="V241" i="65"/>
  <c r="W241" i="65"/>
  <c r="G241" i="65"/>
  <c r="N242" i="63"/>
  <c r="AD242" i="63"/>
  <c r="AT242" i="63"/>
  <c r="O242" i="63"/>
  <c r="AE242" i="63"/>
  <c r="AU242" i="63"/>
  <c r="P242" i="63"/>
  <c r="AF242" i="63"/>
  <c r="AV242" i="63"/>
  <c r="AG242" i="63"/>
  <c r="AW242" i="63"/>
  <c r="AH242" i="63"/>
  <c r="AX242" i="63"/>
  <c r="AI242" i="63"/>
  <c r="AY242" i="63"/>
  <c r="T242" i="63"/>
  <c r="AJ242" i="63"/>
  <c r="U242" i="63"/>
  <c r="AK242" i="63"/>
  <c r="V242" i="63"/>
  <c r="AL242" i="63"/>
  <c r="W242" i="63"/>
  <c r="AM242" i="63"/>
  <c r="H242" i="63"/>
  <c r="AN242" i="63"/>
  <c r="I242" i="63"/>
  <c r="AO242" i="63"/>
  <c r="J242" i="63"/>
  <c r="Z242" i="63"/>
  <c r="AP242" i="63"/>
  <c r="L242" i="63"/>
  <c r="M242" i="63"/>
  <c r="AC242" i="63"/>
  <c r="AQ242" i="63"/>
  <c r="AR242" i="63"/>
  <c r="AS242" i="63"/>
  <c r="S241" i="65"/>
  <c r="N241" i="65"/>
  <c r="M241" i="65"/>
  <c r="Y241" i="65"/>
  <c r="H241" i="65"/>
  <c r="A243" i="63"/>
  <c r="N242" i="65" l="1"/>
  <c r="AC242" i="65"/>
  <c r="J242" i="65"/>
  <c r="K242" i="65"/>
  <c r="D242" i="65"/>
  <c r="I242" i="65"/>
  <c r="W242" i="65"/>
  <c r="V242" i="65"/>
  <c r="O242" i="65"/>
  <c r="AA242" i="65"/>
  <c r="P242" i="65"/>
  <c r="Z242" i="65"/>
  <c r="G242" i="65"/>
  <c r="L243" i="63"/>
  <c r="K243" i="65" s="1"/>
  <c r="AR243" i="63"/>
  <c r="M243" i="63"/>
  <c r="AC243" i="63"/>
  <c r="AS243" i="63"/>
  <c r="N243" i="63"/>
  <c r="AD243" i="63"/>
  <c r="AT243" i="63"/>
  <c r="O243" i="63"/>
  <c r="AE243" i="63"/>
  <c r="AU243" i="63"/>
  <c r="P243" i="63"/>
  <c r="AF243" i="63"/>
  <c r="AV243" i="63"/>
  <c r="AG243" i="63"/>
  <c r="AW243" i="63"/>
  <c r="B243" i="63"/>
  <c r="AH243" i="63"/>
  <c r="AX243" i="63"/>
  <c r="C243" i="63"/>
  <c r="AI243" i="63"/>
  <c r="AY243" i="63"/>
  <c r="D243" i="63"/>
  <c r="AJ243" i="63"/>
  <c r="E243" i="63"/>
  <c r="U243" i="63"/>
  <c r="AK243" i="63"/>
  <c r="F243" i="63"/>
  <c r="V243" i="63"/>
  <c r="D243" i="65" s="1"/>
  <c r="AL243" i="63"/>
  <c r="G243" i="63"/>
  <c r="W243" i="63"/>
  <c r="AM243" i="63"/>
  <c r="H243" i="63"/>
  <c r="X243" i="63"/>
  <c r="AN243" i="63"/>
  <c r="AP243" i="63"/>
  <c r="AQ243" i="63"/>
  <c r="I243" i="63"/>
  <c r="J243" i="63"/>
  <c r="Y243" i="63"/>
  <c r="AE243" i="65" s="1"/>
  <c r="Z243" i="63"/>
  <c r="AO243" i="63"/>
  <c r="H242" i="65"/>
  <c r="S242" i="65"/>
  <c r="M242" i="65"/>
  <c r="A244" i="63"/>
  <c r="AC243" i="65" l="1"/>
  <c r="AD243" i="65"/>
  <c r="J243" i="65"/>
  <c r="X243" i="65"/>
  <c r="T243" i="65"/>
  <c r="G243" i="65"/>
  <c r="B243" i="65"/>
  <c r="W243" i="65"/>
  <c r="I243" i="65"/>
  <c r="Z243" i="65"/>
  <c r="O243" i="65"/>
  <c r="P243" i="65"/>
  <c r="V243" i="65"/>
  <c r="M243" i="65"/>
  <c r="J244" i="63"/>
  <c r="Z244" i="63"/>
  <c r="AP244" i="63"/>
  <c r="AQ244" i="63"/>
  <c r="L244" i="63"/>
  <c r="AR244" i="63"/>
  <c r="M244" i="63"/>
  <c r="AC244" i="63"/>
  <c r="AS244" i="63"/>
  <c r="N244" i="63"/>
  <c r="AD244" i="63"/>
  <c r="AT244" i="63"/>
  <c r="O244" i="63"/>
  <c r="AE244" i="63"/>
  <c r="AU244" i="63"/>
  <c r="P244" i="63"/>
  <c r="AF244" i="63"/>
  <c r="AV244" i="63"/>
  <c r="AG244" i="63"/>
  <c r="AW244" i="63"/>
  <c r="B244" i="63"/>
  <c r="AH244" i="63"/>
  <c r="AX244" i="63"/>
  <c r="C244" i="63"/>
  <c r="AI244" i="63"/>
  <c r="AY244" i="63"/>
  <c r="D244" i="63"/>
  <c r="AJ244" i="63"/>
  <c r="E244" i="63"/>
  <c r="U244" i="63"/>
  <c r="AK244" i="63"/>
  <c r="F244" i="63"/>
  <c r="V244" i="63"/>
  <c r="AL244" i="63"/>
  <c r="G244" i="63"/>
  <c r="H244" i="63"/>
  <c r="I244" i="63"/>
  <c r="W244" i="63"/>
  <c r="X244" i="63"/>
  <c r="Y244" i="63"/>
  <c r="AE244" i="65" s="1"/>
  <c r="AM244" i="63"/>
  <c r="AN244" i="63"/>
  <c r="AO244" i="63"/>
  <c r="N243" i="65"/>
  <c r="S243" i="65"/>
  <c r="H243" i="65"/>
  <c r="U243" i="65"/>
  <c r="A245" i="63"/>
  <c r="AC244" i="65" l="1"/>
  <c r="AD244" i="65"/>
  <c r="J244" i="65"/>
  <c r="K244" i="65"/>
  <c r="D244" i="65"/>
  <c r="X244" i="65"/>
  <c r="T244" i="65"/>
  <c r="P244" i="65"/>
  <c r="I244" i="65"/>
  <c r="Z244" i="65"/>
  <c r="O244" i="65"/>
  <c r="G244" i="65"/>
  <c r="V244" i="65"/>
  <c r="W244" i="65"/>
  <c r="B244" i="65"/>
  <c r="H245" i="63"/>
  <c r="X245" i="63"/>
  <c r="AN245" i="63"/>
  <c r="I245" i="63"/>
  <c r="Y245" i="63"/>
  <c r="AE245" i="65" s="1"/>
  <c r="AO245" i="63"/>
  <c r="J245" i="63"/>
  <c r="Z245" i="63"/>
  <c r="AP245" i="63"/>
  <c r="AQ245" i="63"/>
  <c r="L245" i="63"/>
  <c r="K245" i="65" s="1"/>
  <c r="AR245" i="63"/>
  <c r="M245" i="63"/>
  <c r="AC245" i="63"/>
  <c r="AS245" i="63"/>
  <c r="N245" i="63"/>
  <c r="AD245" i="63"/>
  <c r="AT245" i="63"/>
  <c r="O245" i="63"/>
  <c r="AE245" i="63"/>
  <c r="AU245" i="63"/>
  <c r="P245" i="63"/>
  <c r="AF245" i="63"/>
  <c r="AV245" i="63"/>
  <c r="Q245" i="63"/>
  <c r="AG245" i="63"/>
  <c r="AW245" i="63"/>
  <c r="B245" i="63"/>
  <c r="R245" i="63"/>
  <c r="AH245" i="63"/>
  <c r="AX245" i="63"/>
  <c r="C245" i="63"/>
  <c r="AI245" i="63"/>
  <c r="AY245" i="63"/>
  <c r="D245" i="63"/>
  <c r="V245" i="65" s="1"/>
  <c r="AJ245" i="63"/>
  <c r="W245" i="63"/>
  <c r="AK245" i="63"/>
  <c r="AL245" i="63"/>
  <c r="AM245" i="63"/>
  <c r="E245" i="63"/>
  <c r="F245" i="63"/>
  <c r="G245" i="63"/>
  <c r="U245" i="63"/>
  <c r="V245" i="63"/>
  <c r="M244" i="65"/>
  <c r="U244" i="65"/>
  <c r="S244" i="65"/>
  <c r="N244" i="65"/>
  <c r="H244" i="65"/>
  <c r="A246" i="63"/>
  <c r="T245" i="65" l="1"/>
  <c r="AC245" i="65"/>
  <c r="AD245" i="65"/>
  <c r="AB245" i="65"/>
  <c r="J245" i="65"/>
  <c r="X245" i="65"/>
  <c r="D245" i="65"/>
  <c r="P245" i="65"/>
  <c r="G245" i="65"/>
  <c r="W245" i="65"/>
  <c r="O245" i="65"/>
  <c r="I245" i="65"/>
  <c r="B245" i="65"/>
  <c r="Z245" i="65"/>
  <c r="F246" i="63"/>
  <c r="V246" i="63"/>
  <c r="AL246" i="63"/>
  <c r="G246" i="63"/>
  <c r="W246" i="63"/>
  <c r="AM246" i="63"/>
  <c r="H246" i="63"/>
  <c r="G246" i="65" s="1"/>
  <c r="X246" i="63"/>
  <c r="AN246" i="63"/>
  <c r="I246" i="63"/>
  <c r="M246" i="65" s="1"/>
  <c r="Y246" i="63"/>
  <c r="AE246" i="65" s="1"/>
  <c r="AO246" i="63"/>
  <c r="J246" i="63"/>
  <c r="Z246" i="63"/>
  <c r="AP246" i="63"/>
  <c r="K246" i="63"/>
  <c r="AQ246" i="63"/>
  <c r="L246" i="63"/>
  <c r="AR246" i="63"/>
  <c r="M246" i="63"/>
  <c r="AC246" i="63"/>
  <c r="AS246" i="63"/>
  <c r="N246" i="63"/>
  <c r="AD246" i="63"/>
  <c r="AT246" i="63"/>
  <c r="O246" i="63"/>
  <c r="AE246" i="63"/>
  <c r="AU246" i="63"/>
  <c r="AF246" i="63"/>
  <c r="AV246" i="63"/>
  <c r="Q246" i="63"/>
  <c r="AG246" i="63"/>
  <c r="AW246" i="63"/>
  <c r="B246" i="63"/>
  <c r="R246" i="63"/>
  <c r="AH246" i="63"/>
  <c r="AX246" i="63"/>
  <c r="C246" i="63"/>
  <c r="D246" i="63"/>
  <c r="E246" i="63"/>
  <c r="S246" i="63"/>
  <c r="U246" i="63"/>
  <c r="AI246" i="63"/>
  <c r="AJ246" i="63"/>
  <c r="AK246" i="63"/>
  <c r="AY246" i="63"/>
  <c r="U245" i="65"/>
  <c r="S245" i="65"/>
  <c r="N245" i="65"/>
  <c r="M245" i="65"/>
  <c r="H245" i="65"/>
  <c r="A247" i="63"/>
  <c r="AD246" i="65" l="1"/>
  <c r="Z246" i="65"/>
  <c r="Y246" i="65"/>
  <c r="AB246" i="65"/>
  <c r="AC246" i="65"/>
  <c r="J246" i="65"/>
  <c r="K246" i="65"/>
  <c r="D246" i="65"/>
  <c r="B246" i="65"/>
  <c r="X246" i="65"/>
  <c r="T246" i="65"/>
  <c r="W246" i="65"/>
  <c r="P246" i="65"/>
  <c r="S246" i="65"/>
  <c r="I246" i="65"/>
  <c r="O246" i="65"/>
  <c r="V246" i="65"/>
  <c r="T247" i="63"/>
  <c r="AJ247" i="63"/>
  <c r="AK247" i="63"/>
  <c r="V247" i="63"/>
  <c r="AL247" i="63"/>
  <c r="W247" i="63"/>
  <c r="AM247" i="63"/>
  <c r="H247" i="63"/>
  <c r="AN247" i="63"/>
  <c r="I247" i="63"/>
  <c r="AO247" i="63"/>
  <c r="J247" i="63"/>
  <c r="Z247" i="63"/>
  <c r="AP247" i="63"/>
  <c r="K247" i="63"/>
  <c r="AQ247" i="63"/>
  <c r="L247" i="63"/>
  <c r="AR247" i="63"/>
  <c r="M247" i="63"/>
  <c r="AC247" i="63"/>
  <c r="AS247" i="63"/>
  <c r="N247" i="63"/>
  <c r="AD247" i="63"/>
  <c r="AT247" i="63"/>
  <c r="O247" i="63"/>
  <c r="AE247" i="63"/>
  <c r="AU247" i="63"/>
  <c r="P247" i="63"/>
  <c r="AF247" i="63"/>
  <c r="AV247" i="63"/>
  <c r="Q247" i="63"/>
  <c r="R247" i="63"/>
  <c r="S247" i="63"/>
  <c r="AG247" i="63"/>
  <c r="AH247" i="63"/>
  <c r="AI247" i="63"/>
  <c r="AW247" i="63"/>
  <c r="AX247" i="63"/>
  <c r="AY247" i="63"/>
  <c r="N246" i="65"/>
  <c r="H246" i="65"/>
  <c r="U246" i="65"/>
  <c r="A248" i="63"/>
  <c r="N247" i="65" l="1"/>
  <c r="J247" i="65"/>
  <c r="O247" i="65"/>
  <c r="K247" i="65"/>
  <c r="D247" i="65"/>
  <c r="AA247" i="65"/>
  <c r="AB247" i="65"/>
  <c r="I247" i="65"/>
  <c r="P247" i="65"/>
  <c r="V247" i="65"/>
  <c r="W247" i="65"/>
  <c r="Z247" i="65"/>
  <c r="G247" i="65"/>
  <c r="Y247" i="65"/>
  <c r="M247" i="65"/>
  <c r="B248" i="63"/>
  <c r="AH248" i="63"/>
  <c r="AX248" i="63"/>
  <c r="C248" i="63"/>
  <c r="S248" i="63"/>
  <c r="AI248" i="63"/>
  <c r="AY248" i="63"/>
  <c r="D248" i="63"/>
  <c r="T248" i="63"/>
  <c r="AJ248" i="63"/>
  <c r="E248" i="63"/>
  <c r="AK248" i="63"/>
  <c r="F248" i="63"/>
  <c r="V248" i="63"/>
  <c r="AL248" i="63"/>
  <c r="G248" i="63"/>
  <c r="W248" i="63"/>
  <c r="AM248" i="63"/>
  <c r="H248" i="63"/>
  <c r="X248" i="63"/>
  <c r="AN248" i="63"/>
  <c r="I248" i="63"/>
  <c r="Y248" i="63"/>
  <c r="AE248" i="65" s="1"/>
  <c r="AO248" i="63"/>
  <c r="J248" i="63"/>
  <c r="Z248" i="63"/>
  <c r="AP248" i="63"/>
  <c r="K248" i="63"/>
  <c r="AQ248" i="63"/>
  <c r="L248" i="63"/>
  <c r="AR248" i="63"/>
  <c r="M248" i="63"/>
  <c r="AC248" i="63"/>
  <c r="AS248" i="63"/>
  <c r="N248" i="63"/>
  <c r="AD248" i="63"/>
  <c r="AT248" i="63"/>
  <c r="AV248" i="63"/>
  <c r="AW248" i="63"/>
  <c r="O248" i="63"/>
  <c r="P248" i="63"/>
  <c r="AE248" i="63"/>
  <c r="AF248" i="63"/>
  <c r="AG248" i="63"/>
  <c r="AU248" i="63"/>
  <c r="S247" i="65"/>
  <c r="H247" i="65"/>
  <c r="A249" i="63"/>
  <c r="AD248" i="65" l="1"/>
  <c r="J248" i="65"/>
  <c r="K248" i="65"/>
  <c r="D248" i="65"/>
  <c r="X248" i="65"/>
  <c r="T248" i="65"/>
  <c r="W248" i="65"/>
  <c r="B248" i="65"/>
  <c r="G248" i="65"/>
  <c r="O248" i="65"/>
  <c r="AA248" i="65"/>
  <c r="I248" i="65"/>
  <c r="Z248" i="65"/>
  <c r="P248" i="65"/>
  <c r="V248" i="65"/>
  <c r="Y248" i="65"/>
  <c r="AF249" i="63"/>
  <c r="AV249" i="63"/>
  <c r="AG249" i="63"/>
  <c r="AW249" i="63"/>
  <c r="B249" i="63"/>
  <c r="AH249" i="63"/>
  <c r="AX249" i="63"/>
  <c r="C249" i="63"/>
  <c r="AI249" i="63"/>
  <c r="AY249" i="63"/>
  <c r="D249" i="63"/>
  <c r="T249" i="63"/>
  <c r="AJ249" i="63"/>
  <c r="E249" i="63"/>
  <c r="U249" i="63"/>
  <c r="AK249" i="63"/>
  <c r="F249" i="63"/>
  <c r="V249" i="63"/>
  <c r="AL249" i="63"/>
  <c r="G249" i="63"/>
  <c r="AM249" i="63"/>
  <c r="X249" i="63"/>
  <c r="AN249" i="63"/>
  <c r="I249" i="63"/>
  <c r="Y249" i="63"/>
  <c r="AE249" i="65" s="1"/>
  <c r="AO249" i="63"/>
  <c r="J249" i="63"/>
  <c r="Z249" i="63"/>
  <c r="AP249" i="63"/>
  <c r="AQ249" i="63"/>
  <c r="L249" i="63"/>
  <c r="AR249" i="63"/>
  <c r="M249" i="63"/>
  <c r="N249" i="63"/>
  <c r="O249" i="63"/>
  <c r="AC249" i="63"/>
  <c r="AD249" i="63"/>
  <c r="AE249" i="63"/>
  <c r="AS249" i="63"/>
  <c r="AT249" i="63"/>
  <c r="AU249" i="63"/>
  <c r="S248" i="65"/>
  <c r="U248" i="65"/>
  <c r="H248" i="65"/>
  <c r="N248" i="65"/>
  <c r="M248" i="65"/>
  <c r="A250" i="63"/>
  <c r="AD249" i="65" l="1"/>
  <c r="AC249" i="65"/>
  <c r="O249" i="65"/>
  <c r="P249" i="65"/>
  <c r="D249" i="65"/>
  <c r="K249" i="65"/>
  <c r="X249" i="65"/>
  <c r="T249" i="65"/>
  <c r="Z249" i="65"/>
  <c r="AA249" i="65"/>
  <c r="I249" i="65"/>
  <c r="B249" i="65"/>
  <c r="V249" i="65"/>
  <c r="W249" i="65"/>
  <c r="G249" i="65"/>
  <c r="N250" i="63"/>
  <c r="AD250" i="63"/>
  <c r="AT250" i="63"/>
  <c r="O250" i="63"/>
  <c r="AE250" i="63"/>
  <c r="AU250" i="63"/>
  <c r="AF250" i="63"/>
  <c r="AV250" i="63"/>
  <c r="AG250" i="63"/>
  <c r="AW250" i="63"/>
  <c r="AH250" i="63"/>
  <c r="AX250" i="63"/>
  <c r="AI250" i="63"/>
  <c r="AY250" i="63"/>
  <c r="T250" i="63"/>
  <c r="AJ250" i="63"/>
  <c r="U250" i="63"/>
  <c r="AK250" i="63"/>
  <c r="V250" i="63"/>
  <c r="AL250" i="63"/>
  <c r="W250" i="63"/>
  <c r="AM250" i="63"/>
  <c r="H250" i="63"/>
  <c r="AN250" i="63"/>
  <c r="AO250" i="63"/>
  <c r="J250" i="63"/>
  <c r="Z250" i="63"/>
  <c r="AP250" i="63"/>
  <c r="AC250" i="63"/>
  <c r="AQ250" i="63"/>
  <c r="AR250" i="63"/>
  <c r="AS250" i="63"/>
  <c r="L250" i="63"/>
  <c r="M250" i="63"/>
  <c r="M249" i="65"/>
  <c r="H249" i="65"/>
  <c r="S249" i="65"/>
  <c r="U249" i="65"/>
  <c r="A251" i="63"/>
  <c r="J250" i="65" l="1"/>
  <c r="AC250" i="65"/>
  <c r="D250" i="65"/>
  <c r="K250" i="65"/>
  <c r="P250" i="65"/>
  <c r="W250" i="65"/>
  <c r="Z250" i="65"/>
  <c r="V250" i="65"/>
  <c r="O250" i="65"/>
  <c r="AA250" i="65"/>
  <c r="G250" i="65"/>
  <c r="I250" i="65"/>
  <c r="L251" i="63"/>
  <c r="K251" i="65" s="1"/>
  <c r="AR251" i="63"/>
  <c r="M251" i="63"/>
  <c r="AC251" i="63"/>
  <c r="AS251" i="63"/>
  <c r="N251" i="63"/>
  <c r="AD251" i="63"/>
  <c r="AT251" i="63"/>
  <c r="O251" i="63"/>
  <c r="AE251" i="63"/>
  <c r="AU251" i="63"/>
  <c r="P251" i="63"/>
  <c r="AF251" i="63"/>
  <c r="AV251" i="63"/>
  <c r="AG251" i="63"/>
  <c r="AW251" i="63"/>
  <c r="B251" i="63"/>
  <c r="AH251" i="63"/>
  <c r="C251" i="63"/>
  <c r="AI251" i="63"/>
  <c r="AY251" i="63"/>
  <c r="D251" i="63"/>
  <c r="T251" i="63"/>
  <c r="AJ251" i="63"/>
  <c r="E251" i="63"/>
  <c r="U251" i="63"/>
  <c r="AK251" i="63"/>
  <c r="F251" i="63"/>
  <c r="V251" i="63"/>
  <c r="D251" i="65" s="1"/>
  <c r="AL251" i="63"/>
  <c r="G251" i="63"/>
  <c r="W251" i="63"/>
  <c r="AM251" i="63"/>
  <c r="H251" i="63"/>
  <c r="X251" i="63"/>
  <c r="AN251" i="63"/>
  <c r="I251" i="63"/>
  <c r="M251" i="65" s="1"/>
  <c r="J251" i="63"/>
  <c r="Y251" i="63"/>
  <c r="AE251" i="65" s="1"/>
  <c r="Z251" i="63"/>
  <c r="AO251" i="63"/>
  <c r="AP251" i="63"/>
  <c r="AQ251" i="63"/>
  <c r="AX251" i="63"/>
  <c r="M250" i="65"/>
  <c r="S250" i="65"/>
  <c r="H250" i="65"/>
  <c r="A252" i="63"/>
  <c r="AC251" i="65" l="1"/>
  <c r="AD251" i="65"/>
  <c r="T251" i="65"/>
  <c r="J251" i="65"/>
  <c r="X251" i="65"/>
  <c r="G251" i="65"/>
  <c r="W251" i="65"/>
  <c r="B251" i="65"/>
  <c r="I251" i="65"/>
  <c r="P251" i="65"/>
  <c r="O251" i="65"/>
  <c r="AA251" i="65"/>
  <c r="V251" i="65"/>
  <c r="Z251" i="65"/>
  <c r="J252" i="63"/>
  <c r="Z252" i="63"/>
  <c r="AP252" i="63"/>
  <c r="AQ252" i="63"/>
  <c r="L252" i="63"/>
  <c r="AR252" i="63"/>
  <c r="M252" i="63"/>
  <c r="AC252" i="63"/>
  <c r="AS252" i="63"/>
  <c r="N252" i="63"/>
  <c r="AD252" i="63"/>
  <c r="AT252" i="63"/>
  <c r="O252" i="63"/>
  <c r="AE252" i="63"/>
  <c r="AU252" i="63"/>
  <c r="Q252" i="63"/>
  <c r="AG252" i="63"/>
  <c r="AW252" i="63"/>
  <c r="B252" i="63"/>
  <c r="C252" i="63"/>
  <c r="AI252" i="63"/>
  <c r="AY252" i="63"/>
  <c r="D252" i="63"/>
  <c r="E252" i="63"/>
  <c r="U252" i="63"/>
  <c r="AK252" i="63"/>
  <c r="F252" i="63"/>
  <c r="V252" i="63"/>
  <c r="D252" i="65" s="1"/>
  <c r="AL252" i="63"/>
  <c r="I252" i="63"/>
  <c r="P252" i="63"/>
  <c r="R252" i="63"/>
  <c r="T252" i="63"/>
  <c r="X252" i="63"/>
  <c r="Y252" i="63"/>
  <c r="AE252" i="65" s="1"/>
  <c r="AF252" i="63"/>
  <c r="AH252" i="63"/>
  <c r="AJ252" i="63"/>
  <c r="AM252" i="63"/>
  <c r="AN252" i="63"/>
  <c r="AO252" i="63"/>
  <c r="G252" i="63"/>
  <c r="AV252" i="63"/>
  <c r="AX252" i="63"/>
  <c r="N251" i="65"/>
  <c r="U251" i="65"/>
  <c r="S251" i="65"/>
  <c r="H251" i="65"/>
  <c r="A253" i="63"/>
  <c r="AB252" i="65" l="1"/>
  <c r="Z252" i="65"/>
  <c r="AD252" i="65"/>
  <c r="AC252" i="65"/>
  <c r="P252" i="65"/>
  <c r="K252" i="65"/>
  <c r="W252" i="65"/>
  <c r="I252" i="65"/>
  <c r="X252" i="65"/>
  <c r="T252" i="65"/>
  <c r="G252" i="65"/>
  <c r="B252" i="65"/>
  <c r="O252" i="65"/>
  <c r="AA252" i="65"/>
  <c r="V252" i="65"/>
  <c r="X253" i="63"/>
  <c r="AN253" i="63"/>
  <c r="Y253" i="63"/>
  <c r="AE253" i="65" s="1"/>
  <c r="AO253" i="63"/>
  <c r="J253" i="63"/>
  <c r="Z253" i="63"/>
  <c r="AP253" i="63"/>
  <c r="K253" i="63"/>
  <c r="AQ253" i="63"/>
  <c r="L253" i="63"/>
  <c r="AR253" i="63"/>
  <c r="AC253" i="63"/>
  <c r="AS253" i="63"/>
  <c r="O253" i="63"/>
  <c r="AE253" i="63"/>
  <c r="AU253" i="63"/>
  <c r="Q253" i="63"/>
  <c r="AG253" i="63"/>
  <c r="AW253" i="63"/>
  <c r="C253" i="63"/>
  <c r="S253" i="63"/>
  <c r="AI253" i="63"/>
  <c r="AY253" i="63"/>
  <c r="D253" i="63"/>
  <c r="T253" i="63"/>
  <c r="AJ253" i="63"/>
  <c r="E253" i="63"/>
  <c r="AV253" i="63"/>
  <c r="F253" i="63"/>
  <c r="AX253" i="63"/>
  <c r="G253" i="63"/>
  <c r="N253" i="63"/>
  <c r="P253" i="63"/>
  <c r="R253" i="63"/>
  <c r="U253" i="63"/>
  <c r="V253" i="63"/>
  <c r="AD253" i="63"/>
  <c r="AF253" i="63"/>
  <c r="AH253" i="63"/>
  <c r="AK253" i="63"/>
  <c r="B253" i="63"/>
  <c r="AT253" i="63"/>
  <c r="AL253" i="63"/>
  <c r="AM253" i="63"/>
  <c r="M252" i="65"/>
  <c r="H252" i="65"/>
  <c r="S252" i="65"/>
  <c r="U252" i="65"/>
  <c r="A254" i="63"/>
  <c r="AD253" i="65" l="1"/>
  <c r="AB253" i="65"/>
  <c r="AC253" i="65"/>
  <c r="D253" i="65"/>
  <c r="K253" i="65"/>
  <c r="Z253" i="65"/>
  <c r="X253" i="65"/>
  <c r="T253" i="65"/>
  <c r="W253" i="65"/>
  <c r="O253" i="65"/>
  <c r="AA253" i="65"/>
  <c r="G253" i="65"/>
  <c r="B253" i="65"/>
  <c r="P253" i="65"/>
  <c r="V253" i="65"/>
  <c r="I253" i="65"/>
  <c r="F254" i="63"/>
  <c r="V254" i="63"/>
  <c r="D254" i="65" s="1"/>
  <c r="AL254" i="63"/>
  <c r="G254" i="63"/>
  <c r="W254" i="63"/>
  <c r="AM254" i="63"/>
  <c r="H254" i="63"/>
  <c r="X254" i="63"/>
  <c r="AN254" i="63"/>
  <c r="Y254" i="63"/>
  <c r="AE254" i="65" s="1"/>
  <c r="AO254" i="63"/>
  <c r="J254" i="63"/>
  <c r="Z254" i="63"/>
  <c r="AP254" i="63"/>
  <c r="K254" i="63"/>
  <c r="AQ254" i="63"/>
  <c r="M254" i="63"/>
  <c r="AC254" i="63"/>
  <c r="AS254" i="63"/>
  <c r="O254" i="63"/>
  <c r="AE254" i="63"/>
  <c r="AU254" i="63"/>
  <c r="Q254" i="63"/>
  <c r="AG254" i="63"/>
  <c r="AW254" i="63"/>
  <c r="B254" i="63"/>
  <c r="R254" i="63"/>
  <c r="AH254" i="63"/>
  <c r="AX254" i="63"/>
  <c r="AK254" i="63"/>
  <c r="AR254" i="63"/>
  <c r="C254" i="63"/>
  <c r="AT254" i="63"/>
  <c r="D254" i="63"/>
  <c r="AV254" i="63"/>
  <c r="E254" i="63"/>
  <c r="AY254" i="63"/>
  <c r="L254" i="63"/>
  <c r="N254" i="63"/>
  <c r="P254" i="63"/>
  <c r="S254" i="63"/>
  <c r="T254" i="63"/>
  <c r="U254" i="63"/>
  <c r="AD254" i="63"/>
  <c r="AF254" i="63"/>
  <c r="AI254" i="63"/>
  <c r="AJ254" i="63"/>
  <c r="H253" i="65"/>
  <c r="Y253" i="65"/>
  <c r="U253" i="65"/>
  <c r="M253" i="65"/>
  <c r="S253" i="65"/>
  <c r="A255" i="63"/>
  <c r="AB254" i="65" l="1"/>
  <c r="AD254" i="65"/>
  <c r="AC254" i="65"/>
  <c r="T254" i="65"/>
  <c r="P254" i="65"/>
  <c r="J254" i="65"/>
  <c r="K254" i="65"/>
  <c r="X254" i="65"/>
  <c r="I254" i="65"/>
  <c r="W254" i="65"/>
  <c r="G254" i="65"/>
  <c r="Z254" i="65"/>
  <c r="O254" i="65"/>
  <c r="AA254" i="65"/>
  <c r="B254" i="65"/>
  <c r="V254" i="65"/>
  <c r="T255" i="63"/>
  <c r="AJ255" i="63"/>
  <c r="U255" i="63"/>
  <c r="V255" i="63"/>
  <c r="W255" i="63"/>
  <c r="AM255" i="63"/>
  <c r="H255" i="63"/>
  <c r="I255" i="63"/>
  <c r="AO255" i="63"/>
  <c r="K255" i="63"/>
  <c r="M255" i="63"/>
  <c r="O255" i="63"/>
  <c r="P255" i="63"/>
  <c r="AU255" i="63"/>
  <c r="AC255" i="63"/>
  <c r="AV255" i="63"/>
  <c r="AD255" i="63"/>
  <c r="AW255" i="63"/>
  <c r="AE255" i="63"/>
  <c r="AX255" i="63"/>
  <c r="AF255" i="63"/>
  <c r="AY255" i="63"/>
  <c r="AG255" i="63"/>
  <c r="AH255" i="63"/>
  <c r="J255" i="63"/>
  <c r="AI255" i="63"/>
  <c r="L255" i="63"/>
  <c r="AK255" i="63"/>
  <c r="N255" i="63"/>
  <c r="AL255" i="63"/>
  <c r="AN255" i="63"/>
  <c r="AP255" i="63"/>
  <c r="S255" i="63"/>
  <c r="AQ255" i="63"/>
  <c r="Z255" i="63"/>
  <c r="AS255" i="63"/>
  <c r="AT255" i="63"/>
  <c r="AR255" i="63"/>
  <c r="Y254" i="65"/>
  <c r="S254" i="65"/>
  <c r="U254" i="65"/>
  <c r="M254" i="65"/>
  <c r="H254" i="65"/>
  <c r="A256" i="63"/>
  <c r="P255" i="65" l="1"/>
  <c r="AC255" i="65"/>
  <c r="O255" i="65"/>
  <c r="K255" i="65"/>
  <c r="J255" i="65"/>
  <c r="D255" i="65"/>
  <c r="Z255" i="65"/>
  <c r="AA255" i="65"/>
  <c r="I255" i="65"/>
  <c r="V255" i="65"/>
  <c r="W255" i="65"/>
  <c r="G255" i="65"/>
  <c r="AH256" i="63"/>
  <c r="AX256" i="63"/>
  <c r="U256" i="63"/>
  <c r="AK256" i="63"/>
  <c r="W256" i="63"/>
  <c r="AM256" i="63"/>
  <c r="P256" i="63"/>
  <c r="AJ256" i="63"/>
  <c r="AL256" i="63"/>
  <c r="AN256" i="63"/>
  <c r="T256" i="63"/>
  <c r="AO256" i="63"/>
  <c r="V256" i="63"/>
  <c r="AP256" i="63"/>
  <c r="AQ256" i="63"/>
  <c r="AR256" i="63"/>
  <c r="Z256" i="63"/>
  <c r="AS256" i="63"/>
  <c r="H256" i="63"/>
  <c r="O256" i="65" s="1"/>
  <c r="AT256" i="63"/>
  <c r="I256" i="63"/>
  <c r="AU256" i="63"/>
  <c r="J256" i="63"/>
  <c r="AC256" i="63"/>
  <c r="AV256" i="63"/>
  <c r="AD256" i="63"/>
  <c r="AW256" i="63"/>
  <c r="L256" i="63"/>
  <c r="AE256" i="63"/>
  <c r="AY256" i="63"/>
  <c r="N256" i="63"/>
  <c r="O256" i="63"/>
  <c r="AF256" i="63"/>
  <c r="AG256" i="63"/>
  <c r="AI256" i="63"/>
  <c r="M255" i="65"/>
  <c r="S255" i="65"/>
  <c r="N255" i="65"/>
  <c r="Y255" i="65"/>
  <c r="H255" i="65"/>
  <c r="A257" i="63"/>
  <c r="AC256" i="65" l="1"/>
  <c r="J256" i="65"/>
  <c r="P256" i="65"/>
  <c r="D256" i="65"/>
  <c r="K256" i="65"/>
  <c r="AA256" i="65"/>
  <c r="W256" i="65"/>
  <c r="V256" i="65"/>
  <c r="G256" i="65"/>
  <c r="Z256" i="65"/>
  <c r="I256" i="65"/>
  <c r="P257" i="63"/>
  <c r="AF257" i="63"/>
  <c r="AV257" i="63"/>
  <c r="C257" i="63"/>
  <c r="AI257" i="63"/>
  <c r="AY257" i="63"/>
  <c r="E257" i="63"/>
  <c r="U257" i="63"/>
  <c r="AK257" i="63"/>
  <c r="G257" i="63"/>
  <c r="Z257" i="63"/>
  <c r="AS257" i="63"/>
  <c r="H257" i="63"/>
  <c r="AT257" i="63"/>
  <c r="I257" i="63"/>
  <c r="AU257" i="63"/>
  <c r="J257" i="63"/>
  <c r="AC257" i="63"/>
  <c r="AW257" i="63"/>
  <c r="AD257" i="63"/>
  <c r="AX257" i="63"/>
  <c r="L257" i="63"/>
  <c r="AE257" i="63"/>
  <c r="AG257" i="63"/>
  <c r="N257" i="63"/>
  <c r="AH257" i="63"/>
  <c r="O257" i="63"/>
  <c r="AJ257" i="63"/>
  <c r="AL257" i="63"/>
  <c r="AM257" i="63"/>
  <c r="T257" i="63"/>
  <c r="AN257" i="63"/>
  <c r="V257" i="63"/>
  <c r="AO257" i="63"/>
  <c r="D257" i="63"/>
  <c r="F257" i="63"/>
  <c r="W257" i="63"/>
  <c r="X257" i="63"/>
  <c r="Y257" i="63"/>
  <c r="AE257" i="65" s="1"/>
  <c r="AP257" i="63"/>
  <c r="AR257" i="63"/>
  <c r="B257" i="63"/>
  <c r="AQ257" i="63"/>
  <c r="N256" i="65"/>
  <c r="M256" i="65"/>
  <c r="S256" i="65"/>
  <c r="H256" i="65"/>
  <c r="A258" i="63"/>
  <c r="AC257" i="65" l="1"/>
  <c r="AD257" i="65"/>
  <c r="T257" i="65"/>
  <c r="J257" i="65"/>
  <c r="K257" i="65"/>
  <c r="D257" i="65"/>
  <c r="X257" i="65"/>
  <c r="P257" i="65"/>
  <c r="Z257" i="65"/>
  <c r="O257" i="65"/>
  <c r="AA257" i="65"/>
  <c r="B257" i="65"/>
  <c r="G257" i="65"/>
  <c r="W257" i="65"/>
  <c r="V257" i="65"/>
  <c r="I257" i="65"/>
  <c r="N258" i="63"/>
  <c r="AD258" i="63"/>
  <c r="AT258" i="63"/>
  <c r="AG258" i="63"/>
  <c r="AW258" i="63"/>
  <c r="C258" i="63"/>
  <c r="AI258" i="63"/>
  <c r="AY258" i="63"/>
  <c r="O258" i="63"/>
  <c r="AJ258" i="63"/>
  <c r="P258" i="63"/>
  <c r="AK258" i="63"/>
  <c r="AL258" i="63"/>
  <c r="T258" i="63"/>
  <c r="AM258" i="63"/>
  <c r="U258" i="63"/>
  <c r="AN258" i="63"/>
  <c r="B258" i="63"/>
  <c r="V258" i="63"/>
  <c r="AO258" i="63"/>
  <c r="D258" i="63"/>
  <c r="V258" i="65" s="1"/>
  <c r="W258" i="63"/>
  <c r="AP258" i="63"/>
  <c r="E258" i="63"/>
  <c r="X258" i="63"/>
  <c r="AQ258" i="63"/>
  <c r="F258" i="63"/>
  <c r="Y258" i="63"/>
  <c r="AE258" i="65" s="1"/>
  <c r="AR258" i="63"/>
  <c r="G258" i="63"/>
  <c r="Z258" i="63"/>
  <c r="AS258" i="63"/>
  <c r="H258" i="63"/>
  <c r="AU258" i="63"/>
  <c r="I258" i="63"/>
  <c r="AV258" i="63"/>
  <c r="J258" i="63"/>
  <c r="AC258" i="63"/>
  <c r="AX258" i="63"/>
  <c r="L258" i="63"/>
  <c r="M258" i="63"/>
  <c r="AE258" i="63"/>
  <c r="AF258" i="63"/>
  <c r="AH258" i="63"/>
  <c r="U257" i="65"/>
  <c r="N257" i="65"/>
  <c r="M257" i="65"/>
  <c r="H257" i="65"/>
  <c r="S257" i="65"/>
  <c r="O258" i="65"/>
  <c r="A259" i="63"/>
  <c r="AC258" i="65" l="1"/>
  <c r="AD258" i="65"/>
  <c r="J258" i="65"/>
  <c r="K258" i="65"/>
  <c r="D258" i="65"/>
  <c r="X258" i="65"/>
  <c r="T258" i="65"/>
  <c r="AA258" i="65"/>
  <c r="B258" i="65"/>
  <c r="Z258" i="65"/>
  <c r="S258" i="65"/>
  <c r="P258" i="65"/>
  <c r="I258" i="65"/>
  <c r="G258" i="65"/>
  <c r="W258" i="65"/>
  <c r="L259" i="63"/>
  <c r="AR259" i="63"/>
  <c r="O259" i="63"/>
  <c r="AE259" i="63"/>
  <c r="AU259" i="63"/>
  <c r="Q259" i="63"/>
  <c r="AG259" i="63"/>
  <c r="AW259" i="63"/>
  <c r="E259" i="63"/>
  <c r="X259" i="63"/>
  <c r="AQ259" i="63"/>
  <c r="F259" i="63"/>
  <c r="Y259" i="63"/>
  <c r="AE259" i="65" s="1"/>
  <c r="AS259" i="63"/>
  <c r="G259" i="63"/>
  <c r="Z259" i="63"/>
  <c r="AT259" i="63"/>
  <c r="H259" i="63"/>
  <c r="AV259" i="63"/>
  <c r="I259" i="63"/>
  <c r="AC259" i="63"/>
  <c r="AX259" i="63"/>
  <c r="J259" i="63"/>
  <c r="AD259" i="63"/>
  <c r="AY259" i="63"/>
  <c r="AF259" i="63"/>
  <c r="M259" i="63"/>
  <c r="AH259" i="63"/>
  <c r="N259" i="63"/>
  <c r="AI259" i="63"/>
  <c r="P259" i="63"/>
  <c r="AJ259" i="63"/>
  <c r="R259" i="63"/>
  <c r="AK259" i="63"/>
  <c r="AL259" i="63"/>
  <c r="T259" i="63"/>
  <c r="AM259" i="63"/>
  <c r="D259" i="63"/>
  <c r="U259" i="63"/>
  <c r="V259" i="63"/>
  <c r="D259" i="65" s="1"/>
  <c r="W259" i="63"/>
  <c r="AN259" i="63"/>
  <c r="AO259" i="63"/>
  <c r="C259" i="63"/>
  <c r="B259" i="63"/>
  <c r="AP259" i="63"/>
  <c r="U258" i="65"/>
  <c r="M258" i="65"/>
  <c r="N258" i="65"/>
  <c r="H258" i="65"/>
  <c r="A260" i="63"/>
  <c r="AB259" i="65" l="1"/>
  <c r="AC259" i="65"/>
  <c r="AD259" i="65"/>
  <c r="K259" i="65"/>
  <c r="J259" i="65"/>
  <c r="X259" i="65"/>
  <c r="T259" i="65"/>
  <c r="B259" i="65"/>
  <c r="I259" i="65"/>
  <c r="Z259" i="65"/>
  <c r="W259" i="65"/>
  <c r="G259" i="65"/>
  <c r="O259" i="65"/>
  <c r="AA259" i="65"/>
  <c r="V259" i="65"/>
  <c r="P259" i="65"/>
  <c r="H259" i="65"/>
  <c r="Z260" i="63"/>
  <c r="AP260" i="63"/>
  <c r="M260" i="63"/>
  <c r="AC260" i="63"/>
  <c r="AS260" i="63"/>
  <c r="O260" i="63"/>
  <c r="AE260" i="63"/>
  <c r="AU260" i="63"/>
  <c r="N260" i="63"/>
  <c r="AH260" i="63"/>
  <c r="P260" i="63"/>
  <c r="AI260" i="63"/>
  <c r="Q260" i="63"/>
  <c r="AJ260" i="63"/>
  <c r="R260" i="63"/>
  <c r="AK260" i="63"/>
  <c r="S260" i="63"/>
  <c r="AL260" i="63"/>
  <c r="T260" i="63"/>
  <c r="AM260" i="63"/>
  <c r="B260" i="63"/>
  <c r="U260" i="63"/>
  <c r="AN260" i="63"/>
  <c r="C260" i="63"/>
  <c r="V260" i="63"/>
  <c r="D260" i="65" s="1"/>
  <c r="AO260" i="63"/>
  <c r="D260" i="63"/>
  <c r="W260" i="63"/>
  <c r="AQ260" i="63"/>
  <c r="E260" i="63"/>
  <c r="X260" i="63"/>
  <c r="AR260" i="63"/>
  <c r="F260" i="63"/>
  <c r="Y260" i="63"/>
  <c r="AE260" i="65" s="1"/>
  <c r="AT260" i="63"/>
  <c r="G260" i="63"/>
  <c r="AV260" i="63"/>
  <c r="H260" i="63"/>
  <c r="AW260" i="63"/>
  <c r="I260" i="63"/>
  <c r="K260" i="63"/>
  <c r="L260" i="63"/>
  <c r="K260" i="65" s="1"/>
  <c r="AD260" i="63"/>
  <c r="AF260" i="63"/>
  <c r="AG260" i="63"/>
  <c r="AX260" i="63"/>
  <c r="AY260" i="63"/>
  <c r="U259" i="65"/>
  <c r="S259" i="65"/>
  <c r="N259" i="65"/>
  <c r="M259" i="65"/>
  <c r="A261" i="63"/>
  <c r="AD260" i="65" l="1"/>
  <c r="J260" i="65"/>
  <c r="AB260" i="65"/>
  <c r="AC260" i="65"/>
  <c r="X260" i="65"/>
  <c r="T260" i="65"/>
  <c r="B260" i="65"/>
  <c r="Z260" i="65"/>
  <c r="W260" i="65"/>
  <c r="V260" i="65"/>
  <c r="O260" i="65"/>
  <c r="AA260" i="65"/>
  <c r="I260" i="65"/>
  <c r="P260" i="65"/>
  <c r="G260" i="65"/>
  <c r="S260" i="65"/>
  <c r="H261" i="63"/>
  <c r="G261" i="65" s="1"/>
  <c r="AN261" i="63"/>
  <c r="K261" i="63"/>
  <c r="AQ261" i="63"/>
  <c r="M261" i="63"/>
  <c r="AC261" i="63"/>
  <c r="AS261" i="63"/>
  <c r="V261" i="63"/>
  <c r="AP261" i="63"/>
  <c r="W261" i="63"/>
  <c r="AR261" i="63"/>
  <c r="AT261" i="63"/>
  <c r="Z261" i="63"/>
  <c r="AU261" i="63"/>
  <c r="AV261" i="63"/>
  <c r="I261" i="63"/>
  <c r="AD261" i="63"/>
  <c r="AW261" i="63"/>
  <c r="J261" i="63"/>
  <c r="AE261" i="63"/>
  <c r="AX261" i="63"/>
  <c r="L261" i="63"/>
  <c r="K261" i="65" s="1"/>
  <c r="AF261" i="63"/>
  <c r="AY261" i="63"/>
  <c r="N261" i="63"/>
  <c r="AG261" i="63"/>
  <c r="O261" i="63"/>
  <c r="AH261" i="63"/>
  <c r="P261" i="63"/>
  <c r="AI261" i="63"/>
  <c r="Q261" i="63"/>
  <c r="AJ261" i="63"/>
  <c r="R261" i="63"/>
  <c r="AK261" i="63"/>
  <c r="S261" i="63"/>
  <c r="T261" i="63"/>
  <c r="U261" i="63"/>
  <c r="AL261" i="63"/>
  <c r="AM261" i="63"/>
  <c r="AO261" i="63"/>
  <c r="M260" i="65"/>
  <c r="U260" i="65"/>
  <c r="H260" i="65"/>
  <c r="N260" i="65"/>
  <c r="A262" i="63"/>
  <c r="AB261" i="65" l="1"/>
  <c r="AC261" i="65"/>
  <c r="D261" i="65"/>
  <c r="J261" i="65"/>
  <c r="W261" i="65"/>
  <c r="O261" i="65"/>
  <c r="AA261" i="65"/>
  <c r="V261" i="65"/>
  <c r="P261" i="65"/>
  <c r="I261" i="65"/>
  <c r="Z261" i="65"/>
  <c r="F262" i="63"/>
  <c r="V262" i="63"/>
  <c r="D262" i="65" s="1"/>
  <c r="AL262" i="63"/>
  <c r="I262" i="63"/>
  <c r="Y262" i="63"/>
  <c r="AE262" i="65" s="1"/>
  <c r="AO262" i="63"/>
  <c r="K262" i="63"/>
  <c r="AQ262" i="63"/>
  <c r="M262" i="63"/>
  <c r="AF262" i="63"/>
  <c r="AY262" i="63"/>
  <c r="N262" i="63"/>
  <c r="AG262" i="63"/>
  <c r="O262" i="63"/>
  <c r="AH262" i="63"/>
  <c r="P262" i="63"/>
  <c r="AI262" i="63"/>
  <c r="AJ262" i="63"/>
  <c r="AK262" i="63"/>
  <c r="S262" i="63"/>
  <c r="AM262" i="63"/>
  <c r="T262" i="63"/>
  <c r="AN262" i="63"/>
  <c r="B262" i="63"/>
  <c r="U262" i="63"/>
  <c r="AP262" i="63"/>
  <c r="C262" i="63"/>
  <c r="W262" i="63"/>
  <c r="AR262" i="63"/>
  <c r="D262" i="63"/>
  <c r="X262" i="63"/>
  <c r="AS262" i="63"/>
  <c r="E262" i="63"/>
  <c r="Z262" i="63"/>
  <c r="AT262" i="63"/>
  <c r="G262" i="63"/>
  <c r="AU262" i="63"/>
  <c r="J262" i="63"/>
  <c r="L262" i="63"/>
  <c r="AC262" i="63"/>
  <c r="AD262" i="63"/>
  <c r="AE262" i="63"/>
  <c r="AV262" i="63"/>
  <c r="H262" i="63"/>
  <c r="AW262" i="63"/>
  <c r="AX262" i="63"/>
  <c r="N261" i="65"/>
  <c r="M261" i="65"/>
  <c r="Y261" i="65"/>
  <c r="H261" i="65"/>
  <c r="S261" i="65"/>
  <c r="A263" i="63"/>
  <c r="AD262" i="65" l="1"/>
  <c r="AC262" i="65"/>
  <c r="Z262" i="65"/>
  <c r="J262" i="65"/>
  <c r="K262" i="65"/>
  <c r="X262" i="65"/>
  <c r="T262" i="65"/>
  <c r="W262" i="65"/>
  <c r="G262" i="65"/>
  <c r="P262" i="65"/>
  <c r="V262" i="65"/>
  <c r="O262" i="65"/>
  <c r="AA262" i="65"/>
  <c r="Y262" i="65"/>
  <c r="I262" i="65"/>
  <c r="B262" i="65"/>
  <c r="D263" i="63"/>
  <c r="T263" i="63"/>
  <c r="AJ263" i="63"/>
  <c r="G263" i="63"/>
  <c r="W263" i="63"/>
  <c r="AM263" i="63"/>
  <c r="I263" i="63"/>
  <c r="Y263" i="63"/>
  <c r="AE263" i="65" s="1"/>
  <c r="AO263" i="63"/>
  <c r="U263" i="63"/>
  <c r="AP263" i="63"/>
  <c r="B263" i="63"/>
  <c r="V263" i="63"/>
  <c r="D263" i="65" s="1"/>
  <c r="AQ263" i="63"/>
  <c r="C263" i="63"/>
  <c r="X263" i="63"/>
  <c r="AR263" i="63"/>
  <c r="E263" i="63"/>
  <c r="Z263" i="63"/>
  <c r="AS263" i="63"/>
  <c r="F263" i="63"/>
  <c r="AT263" i="63"/>
  <c r="H263" i="63"/>
  <c r="G263" i="65" s="1"/>
  <c r="AU263" i="63"/>
  <c r="AC263" i="63"/>
  <c r="AV263" i="63"/>
  <c r="AD263" i="63"/>
  <c r="AW263" i="63"/>
  <c r="L263" i="63"/>
  <c r="K263" i="65" s="1"/>
  <c r="AE263" i="63"/>
  <c r="AX263" i="63"/>
  <c r="M263" i="63"/>
  <c r="AF263" i="63"/>
  <c r="AY263" i="63"/>
  <c r="N263" i="63"/>
  <c r="AG263" i="63"/>
  <c r="O263" i="63"/>
  <c r="AH263" i="63"/>
  <c r="P263" i="63"/>
  <c r="AI263" i="63"/>
  <c r="AK263" i="63"/>
  <c r="AL263" i="63"/>
  <c r="AN263" i="63"/>
  <c r="H262" i="65"/>
  <c r="S262" i="65"/>
  <c r="N262" i="65"/>
  <c r="U262" i="65"/>
  <c r="M262" i="65"/>
  <c r="A264" i="63"/>
  <c r="Z263" i="65" l="1"/>
  <c r="AC263" i="65"/>
  <c r="AD263" i="65"/>
  <c r="J263" i="65"/>
  <c r="P263" i="65"/>
  <c r="X263" i="65"/>
  <c r="T263" i="65"/>
  <c r="W263" i="65"/>
  <c r="O263" i="65"/>
  <c r="AA263" i="65"/>
  <c r="V263" i="65"/>
  <c r="I263" i="65"/>
  <c r="B263" i="65"/>
  <c r="S263" i="65"/>
  <c r="AH264" i="63"/>
  <c r="AX264" i="63"/>
  <c r="U264" i="63"/>
  <c r="AK264" i="63"/>
  <c r="W264" i="63"/>
  <c r="AM264" i="63"/>
  <c r="AD264" i="63"/>
  <c r="AW264" i="63"/>
  <c r="L264" i="63"/>
  <c r="AE264" i="63"/>
  <c r="AY264" i="63"/>
  <c r="M264" i="63"/>
  <c r="AF264" i="63"/>
  <c r="N264" i="63"/>
  <c r="AG264" i="63"/>
  <c r="O264" i="63"/>
  <c r="AI264" i="63"/>
  <c r="P264" i="63"/>
  <c r="AJ264" i="63"/>
  <c r="AL264" i="63"/>
  <c r="AN264" i="63"/>
  <c r="AO264" i="63"/>
  <c r="V264" i="63"/>
  <c r="AP264" i="63"/>
  <c r="AQ264" i="63"/>
  <c r="AR264" i="63"/>
  <c r="Z264" i="63"/>
  <c r="AS264" i="63"/>
  <c r="H264" i="63"/>
  <c r="J264" i="63"/>
  <c r="AC264" i="63"/>
  <c r="AT264" i="63"/>
  <c r="AU264" i="63"/>
  <c r="I264" i="63"/>
  <c r="AV264" i="63"/>
  <c r="U263" i="65"/>
  <c r="H263" i="65"/>
  <c r="N263" i="65"/>
  <c r="M263" i="65"/>
  <c r="A265" i="63"/>
  <c r="AC264" i="65" l="1"/>
  <c r="J264" i="65"/>
  <c r="D264" i="65"/>
  <c r="W264" i="65"/>
  <c r="K264" i="65"/>
  <c r="G264" i="65"/>
  <c r="V264" i="65"/>
  <c r="O264" i="65"/>
  <c r="I264" i="65"/>
  <c r="P264" i="65"/>
  <c r="Z264" i="65"/>
  <c r="S264" i="65"/>
  <c r="P265" i="63"/>
  <c r="AF265" i="63"/>
  <c r="AV265" i="63"/>
  <c r="C265" i="63"/>
  <c r="AI265" i="63"/>
  <c r="E265" i="63"/>
  <c r="U265" i="63"/>
  <c r="AK265" i="63"/>
  <c r="AN265" i="63"/>
  <c r="V265" i="63"/>
  <c r="AO265" i="63"/>
  <c r="B265" i="63"/>
  <c r="W265" i="63"/>
  <c r="AP265" i="63"/>
  <c r="D265" i="63"/>
  <c r="X265" i="63"/>
  <c r="AQ265" i="63"/>
  <c r="F265" i="63"/>
  <c r="Y265" i="63"/>
  <c r="AE265" i="65" s="1"/>
  <c r="AR265" i="63"/>
  <c r="G265" i="63"/>
  <c r="Z265" i="63"/>
  <c r="AS265" i="63"/>
  <c r="H265" i="63"/>
  <c r="AT265" i="63"/>
  <c r="I265" i="63"/>
  <c r="AU265" i="63"/>
  <c r="J265" i="63"/>
  <c r="AC265" i="63"/>
  <c r="AD265" i="63"/>
  <c r="AX265" i="63"/>
  <c r="L265" i="63"/>
  <c r="AE265" i="63"/>
  <c r="AY265" i="63"/>
  <c r="M265" i="63"/>
  <c r="AG265" i="63"/>
  <c r="N265" i="63"/>
  <c r="AH265" i="63"/>
  <c r="AJ265" i="63"/>
  <c r="AL265" i="63"/>
  <c r="AM265" i="63"/>
  <c r="AW265" i="63"/>
  <c r="O265" i="63"/>
  <c r="M264" i="65"/>
  <c r="N264" i="65"/>
  <c r="H264" i="65"/>
  <c r="A266" i="63"/>
  <c r="T265" i="65" l="1"/>
  <c r="AD265" i="65"/>
  <c r="AC265" i="65"/>
  <c r="J265" i="65"/>
  <c r="D265" i="65"/>
  <c r="K265" i="65"/>
  <c r="X265" i="65"/>
  <c r="B265" i="65"/>
  <c r="W265" i="65"/>
  <c r="O265" i="65"/>
  <c r="Z265" i="65"/>
  <c r="S265" i="65"/>
  <c r="I265" i="65"/>
  <c r="V265" i="65"/>
  <c r="G265" i="65"/>
  <c r="P265" i="65"/>
  <c r="AD266" i="63"/>
  <c r="AT266" i="63"/>
  <c r="G266" i="63"/>
  <c r="X266" i="63"/>
  <c r="AO266" i="63"/>
  <c r="H266" i="63"/>
  <c r="Y266" i="63"/>
  <c r="AE266" i="65" s="1"/>
  <c r="AP266" i="63"/>
  <c r="I266" i="63"/>
  <c r="Z266" i="63"/>
  <c r="AQ266" i="63"/>
  <c r="J266" i="63"/>
  <c r="AR266" i="63"/>
  <c r="AS266" i="63"/>
  <c r="L266" i="63"/>
  <c r="AC266" i="63"/>
  <c r="AU266" i="63"/>
  <c r="M266" i="63"/>
  <c r="AE266" i="63"/>
  <c r="AV266" i="63"/>
  <c r="O266" i="63"/>
  <c r="AF266" i="63"/>
  <c r="AW266" i="63"/>
  <c r="Q266" i="63"/>
  <c r="AH266" i="63"/>
  <c r="AY266" i="63"/>
  <c r="R266" i="63"/>
  <c r="AI266" i="63"/>
  <c r="B266" i="63"/>
  <c r="AJ266" i="63"/>
  <c r="C266" i="63"/>
  <c r="AK266" i="63"/>
  <c r="AX266" i="63"/>
  <c r="D266" i="63"/>
  <c r="F266" i="63"/>
  <c r="P266" i="63"/>
  <c r="U266" i="63"/>
  <c r="W266" i="63"/>
  <c r="AG266" i="63"/>
  <c r="AN266" i="63"/>
  <c r="E266" i="63"/>
  <c r="AL266" i="63"/>
  <c r="AM266" i="63"/>
  <c r="N265" i="65"/>
  <c r="H265" i="65"/>
  <c r="U265" i="65"/>
  <c r="M265" i="65"/>
  <c r="A267" i="63"/>
  <c r="AB266" i="65" l="1"/>
  <c r="AD266" i="65"/>
  <c r="T266" i="65"/>
  <c r="AC266" i="65"/>
  <c r="K266" i="65"/>
  <c r="X266" i="65"/>
  <c r="B266" i="65"/>
  <c r="W266" i="65"/>
  <c r="G266" i="65"/>
  <c r="Z266" i="65"/>
  <c r="I266" i="65"/>
  <c r="O266" i="65"/>
  <c r="P266" i="65"/>
  <c r="V266" i="65"/>
  <c r="L267" i="63"/>
  <c r="K267" i="65" s="1"/>
  <c r="AR267" i="63"/>
  <c r="H267" i="63"/>
  <c r="Y267" i="63"/>
  <c r="AE267" i="65" s="1"/>
  <c r="AP267" i="63"/>
  <c r="I267" i="63"/>
  <c r="Z267" i="63"/>
  <c r="AQ267" i="63"/>
  <c r="J267" i="63"/>
  <c r="AS267" i="63"/>
  <c r="K267" i="63"/>
  <c r="AC267" i="63"/>
  <c r="AT267" i="63"/>
  <c r="M267" i="63"/>
  <c r="AD267" i="63"/>
  <c r="AU267" i="63"/>
  <c r="N267" i="63"/>
  <c r="AE267" i="63"/>
  <c r="AV267" i="63"/>
  <c r="AF267" i="63"/>
  <c r="AW267" i="63"/>
  <c r="P267" i="63"/>
  <c r="AG267" i="63"/>
  <c r="AX267" i="63"/>
  <c r="R267" i="63"/>
  <c r="AI267" i="63"/>
  <c r="B267" i="63"/>
  <c r="S267" i="63"/>
  <c r="AJ267" i="63"/>
  <c r="C267" i="63"/>
  <c r="AK267" i="63"/>
  <c r="D267" i="63"/>
  <c r="U267" i="63"/>
  <c r="AL267" i="63"/>
  <c r="E267" i="63"/>
  <c r="F267" i="63"/>
  <c r="G267" i="63"/>
  <c r="Q267" i="63"/>
  <c r="V267" i="63"/>
  <c r="X267" i="63"/>
  <c r="AH267" i="63"/>
  <c r="AM267" i="63"/>
  <c r="AN267" i="63"/>
  <c r="AO267" i="63"/>
  <c r="AY267" i="63"/>
  <c r="W267" i="63"/>
  <c r="S266" i="65"/>
  <c r="M266" i="65"/>
  <c r="H266" i="65"/>
  <c r="N266" i="65"/>
  <c r="U266" i="65"/>
  <c r="A268" i="63"/>
  <c r="X267" i="65" l="1"/>
  <c r="T267" i="65"/>
  <c r="AC267" i="65"/>
  <c r="AD267" i="65"/>
  <c r="AB267" i="65"/>
  <c r="J267" i="65"/>
  <c r="D267" i="65"/>
  <c r="W267" i="65"/>
  <c r="P267" i="65"/>
  <c r="G267" i="65"/>
  <c r="I267" i="65"/>
  <c r="O267" i="65"/>
  <c r="B267" i="65"/>
  <c r="V267" i="65"/>
  <c r="Y267" i="65"/>
  <c r="Z267" i="65"/>
  <c r="J268" i="63"/>
  <c r="Z268" i="63"/>
  <c r="AP268" i="63"/>
  <c r="I268" i="63"/>
  <c r="AR268" i="63"/>
  <c r="K268" i="63"/>
  <c r="AS268" i="63"/>
  <c r="L268" i="63"/>
  <c r="AC268" i="63"/>
  <c r="AT268" i="63"/>
  <c r="M268" i="63"/>
  <c r="AD268" i="63"/>
  <c r="AU268" i="63"/>
  <c r="N268" i="63"/>
  <c r="AE268" i="63"/>
  <c r="AV268" i="63"/>
  <c r="O268" i="63"/>
  <c r="AF268" i="63"/>
  <c r="AW268" i="63"/>
  <c r="P268" i="63"/>
  <c r="AG268" i="63"/>
  <c r="AX268" i="63"/>
  <c r="Q268" i="63"/>
  <c r="AH268" i="63"/>
  <c r="AY268" i="63"/>
  <c r="B268" i="63"/>
  <c r="S268" i="63"/>
  <c r="AJ268" i="63"/>
  <c r="C268" i="63"/>
  <c r="T268" i="63"/>
  <c r="AK268" i="63"/>
  <c r="D268" i="63"/>
  <c r="U268" i="63"/>
  <c r="AL268" i="63"/>
  <c r="E268" i="63"/>
  <c r="V268" i="63"/>
  <c r="AM268" i="63"/>
  <c r="R268" i="63"/>
  <c r="W268" i="63"/>
  <c r="X268" i="63"/>
  <c r="Y268" i="63"/>
  <c r="AE268" i="65" s="1"/>
  <c r="AI268" i="63"/>
  <c r="AN268" i="63"/>
  <c r="AQ268" i="63"/>
  <c r="H268" i="63"/>
  <c r="F268" i="63"/>
  <c r="G268" i="63"/>
  <c r="AO268" i="63"/>
  <c r="N267" i="65"/>
  <c r="M267" i="65"/>
  <c r="U267" i="65"/>
  <c r="S267" i="65"/>
  <c r="H267" i="65"/>
  <c r="A269" i="63"/>
  <c r="P268" i="65" l="1"/>
  <c r="O268" i="65"/>
  <c r="AC268" i="65"/>
  <c r="AD268" i="65"/>
  <c r="K268" i="65"/>
  <c r="J268" i="65"/>
  <c r="D268" i="65"/>
  <c r="X268" i="65"/>
  <c r="T268" i="65"/>
  <c r="AA268" i="65"/>
  <c r="AB268" i="65"/>
  <c r="V268" i="65"/>
  <c r="G268" i="65"/>
  <c r="B268" i="65"/>
  <c r="W268" i="65"/>
  <c r="I268" i="65"/>
  <c r="Z268" i="65"/>
  <c r="H269" i="63"/>
  <c r="G269" i="65" s="1"/>
  <c r="AN269" i="63"/>
  <c r="K269" i="63"/>
  <c r="AS269" i="63"/>
  <c r="L269" i="63"/>
  <c r="AC269" i="63"/>
  <c r="AT269" i="63"/>
  <c r="M269" i="63"/>
  <c r="AD269" i="63"/>
  <c r="AU269" i="63"/>
  <c r="AE269" i="63"/>
  <c r="AV269" i="63"/>
  <c r="O269" i="63"/>
  <c r="AF269" i="63"/>
  <c r="AW269" i="63"/>
  <c r="P269" i="63"/>
  <c r="AG269" i="63"/>
  <c r="AX269" i="63"/>
  <c r="AH269" i="63"/>
  <c r="AY269" i="63"/>
  <c r="AI269" i="63"/>
  <c r="T269" i="63"/>
  <c r="AK269" i="63"/>
  <c r="U269" i="63"/>
  <c r="AL269" i="63"/>
  <c r="AM269" i="63"/>
  <c r="W269" i="63"/>
  <c r="AO269" i="63"/>
  <c r="AJ269" i="63"/>
  <c r="AP269" i="63"/>
  <c r="AQ269" i="63"/>
  <c r="AR269" i="63"/>
  <c r="I269" i="63"/>
  <c r="J269" i="63"/>
  <c r="S269" i="63"/>
  <c r="Z269" i="63"/>
  <c r="H268" i="65"/>
  <c r="S268" i="65"/>
  <c r="Y268" i="65"/>
  <c r="U268" i="65"/>
  <c r="M268" i="65"/>
  <c r="N268" i="65"/>
  <c r="A270" i="63"/>
  <c r="AC269" i="65" l="1"/>
  <c r="K269" i="65"/>
  <c r="I269" i="65"/>
  <c r="Z269" i="65"/>
  <c r="W269" i="65"/>
  <c r="O269" i="65"/>
  <c r="AA269" i="65"/>
  <c r="V269" i="65"/>
  <c r="P269" i="65"/>
  <c r="AL270" i="63"/>
  <c r="L270" i="63"/>
  <c r="K270" i="65" s="1"/>
  <c r="AC270" i="63"/>
  <c r="AT270" i="63"/>
  <c r="M270" i="63"/>
  <c r="AD270" i="63"/>
  <c r="AU270" i="63"/>
  <c r="AE270" i="63"/>
  <c r="AV270" i="63"/>
  <c r="AF270" i="63"/>
  <c r="AW270" i="63"/>
  <c r="P270" i="63"/>
  <c r="AG270" i="63"/>
  <c r="AX270" i="63"/>
  <c r="AH270" i="63"/>
  <c r="AY270" i="63"/>
  <c r="AI270" i="63"/>
  <c r="AJ270" i="63"/>
  <c r="U270" i="63"/>
  <c r="AM270" i="63"/>
  <c r="W270" i="63"/>
  <c r="AN270" i="63"/>
  <c r="AO270" i="63"/>
  <c r="H270" i="63"/>
  <c r="AP270" i="63"/>
  <c r="I270" i="63"/>
  <c r="M270" i="65" s="1"/>
  <c r="T270" i="63"/>
  <c r="Z270" i="63"/>
  <c r="AK270" i="63"/>
  <c r="AS270" i="63"/>
  <c r="J270" i="63"/>
  <c r="AQ270" i="63"/>
  <c r="AR270" i="63"/>
  <c r="S269" i="65"/>
  <c r="Y269" i="65"/>
  <c r="N269" i="65"/>
  <c r="M269" i="65"/>
  <c r="H269" i="65"/>
  <c r="A271" i="63"/>
  <c r="Z270" i="65" l="1"/>
  <c r="AC270" i="65"/>
  <c r="W270" i="65"/>
  <c r="S270" i="65"/>
  <c r="V270" i="65"/>
  <c r="I270" i="65"/>
  <c r="P270" i="65"/>
  <c r="G270" i="65"/>
  <c r="O270" i="65"/>
  <c r="AA270" i="65"/>
  <c r="N270" i="65"/>
  <c r="D271" i="63"/>
  <c r="T271" i="63"/>
  <c r="AJ271" i="63"/>
  <c r="M271" i="63"/>
  <c r="AD271" i="63"/>
  <c r="AU271" i="63"/>
  <c r="N271" i="63"/>
  <c r="AE271" i="63"/>
  <c r="AV271" i="63"/>
  <c r="AF271" i="63"/>
  <c r="AW271" i="63"/>
  <c r="P271" i="63"/>
  <c r="AG271" i="63"/>
  <c r="AX271" i="63"/>
  <c r="AH271" i="63"/>
  <c r="AY271" i="63"/>
  <c r="AI271" i="63"/>
  <c r="B271" i="63"/>
  <c r="AK271" i="63"/>
  <c r="C271" i="63"/>
  <c r="U271" i="63"/>
  <c r="AL271" i="63"/>
  <c r="F271" i="63"/>
  <c r="W271" i="63"/>
  <c r="AN271" i="63"/>
  <c r="G271" i="63"/>
  <c r="X271" i="63"/>
  <c r="AO271" i="63"/>
  <c r="H271" i="63"/>
  <c r="Y271" i="63"/>
  <c r="AE271" i="65" s="1"/>
  <c r="AP271" i="63"/>
  <c r="I271" i="63"/>
  <c r="Z271" i="63"/>
  <c r="AQ271" i="63"/>
  <c r="E271" i="63"/>
  <c r="J271" i="63"/>
  <c r="L271" i="63"/>
  <c r="V271" i="63"/>
  <c r="D271" i="65" s="1"/>
  <c r="AC271" i="63"/>
  <c r="AM271" i="63"/>
  <c r="AR271" i="63"/>
  <c r="AS271" i="63"/>
  <c r="AT271" i="63"/>
  <c r="H270" i="65"/>
  <c r="A272" i="63"/>
  <c r="AD271" i="65" l="1"/>
  <c r="AC271" i="65"/>
  <c r="J271" i="65"/>
  <c r="K271" i="65"/>
  <c r="P271" i="65"/>
  <c r="X271" i="65"/>
  <c r="T271" i="65"/>
  <c r="I271" i="65"/>
  <c r="B271" i="65"/>
  <c r="V271" i="65"/>
  <c r="O271" i="65"/>
  <c r="AA271" i="65"/>
  <c r="G271" i="65"/>
  <c r="Z271" i="65"/>
  <c r="W271" i="65"/>
  <c r="B272" i="63"/>
  <c r="AH272" i="63"/>
  <c r="AX272" i="63"/>
  <c r="N272" i="63"/>
  <c r="AE272" i="63"/>
  <c r="AV272" i="63"/>
  <c r="O272" i="63"/>
  <c r="AF272" i="63"/>
  <c r="AW272" i="63"/>
  <c r="P272" i="63"/>
  <c r="AG272" i="63"/>
  <c r="AY272" i="63"/>
  <c r="AI272" i="63"/>
  <c r="AJ272" i="63"/>
  <c r="C272" i="63"/>
  <c r="T272" i="63"/>
  <c r="AK272" i="63"/>
  <c r="D272" i="63"/>
  <c r="U272" i="63"/>
  <c r="AL272" i="63"/>
  <c r="E272" i="63"/>
  <c r="V272" i="63"/>
  <c r="D272" i="65" s="1"/>
  <c r="AM272" i="63"/>
  <c r="G272" i="63"/>
  <c r="X272" i="63"/>
  <c r="AO272" i="63"/>
  <c r="H272" i="63"/>
  <c r="Y272" i="63"/>
  <c r="AE272" i="65" s="1"/>
  <c r="AP272" i="63"/>
  <c r="I272" i="63"/>
  <c r="Z272" i="63"/>
  <c r="AQ272" i="63"/>
  <c r="J272" i="63"/>
  <c r="AR272" i="63"/>
  <c r="W272" i="63"/>
  <c r="AC272" i="63"/>
  <c r="AD272" i="63"/>
  <c r="AN272" i="63"/>
  <c r="AS272" i="63"/>
  <c r="AU272" i="63"/>
  <c r="F272" i="63"/>
  <c r="M272" i="63"/>
  <c r="AT272" i="63"/>
  <c r="L272" i="63"/>
  <c r="K272" i="65" s="1"/>
  <c r="S271" i="65"/>
  <c r="U271" i="65"/>
  <c r="N271" i="65"/>
  <c r="M271" i="65"/>
  <c r="H271" i="65"/>
  <c r="A273" i="63"/>
  <c r="AC272" i="65" l="1"/>
  <c r="AD272" i="65"/>
  <c r="T272" i="65"/>
  <c r="J272" i="65"/>
  <c r="X272" i="65"/>
  <c r="P272" i="65"/>
  <c r="O272" i="65"/>
  <c r="AA272" i="65"/>
  <c r="B272" i="65"/>
  <c r="V272" i="65"/>
  <c r="Z272" i="65"/>
  <c r="G272" i="65"/>
  <c r="I272" i="65"/>
  <c r="W272" i="65"/>
  <c r="P273" i="63"/>
  <c r="AF273" i="63"/>
  <c r="AV273" i="63"/>
  <c r="O273" i="63"/>
  <c r="AG273" i="63"/>
  <c r="AX273" i="63"/>
  <c r="Q273" i="63"/>
  <c r="AH273" i="63"/>
  <c r="AY273" i="63"/>
  <c r="R273" i="63"/>
  <c r="AI273" i="63"/>
  <c r="B273" i="63"/>
  <c r="AJ273" i="63"/>
  <c r="C273" i="63"/>
  <c r="T273" i="63"/>
  <c r="AK273" i="63"/>
  <c r="D273" i="63"/>
  <c r="AL273" i="63"/>
  <c r="E273" i="63"/>
  <c r="V273" i="63"/>
  <c r="AM273" i="63"/>
  <c r="F273" i="63"/>
  <c r="W273" i="63"/>
  <c r="AN273" i="63"/>
  <c r="H273" i="63"/>
  <c r="Y273" i="63"/>
  <c r="AE273" i="65" s="1"/>
  <c r="AP273" i="63"/>
  <c r="I273" i="63"/>
  <c r="Z273" i="63"/>
  <c r="AQ273" i="63"/>
  <c r="J273" i="63"/>
  <c r="AR273" i="63"/>
  <c r="AS273" i="63"/>
  <c r="AO273" i="63"/>
  <c r="AT273" i="63"/>
  <c r="AU273" i="63"/>
  <c r="AW273" i="63"/>
  <c r="G273" i="63"/>
  <c r="L273" i="63"/>
  <c r="M273" i="63"/>
  <c r="N273" i="63"/>
  <c r="X273" i="63"/>
  <c r="AE273" i="63"/>
  <c r="AC273" i="63"/>
  <c r="AD273" i="63"/>
  <c r="N272" i="65"/>
  <c r="H272" i="65"/>
  <c r="S272" i="65"/>
  <c r="U272" i="65"/>
  <c r="M272" i="65"/>
  <c r="A274" i="63"/>
  <c r="P273" i="65" l="1"/>
  <c r="AD273" i="65"/>
  <c r="O273" i="65"/>
  <c r="J273" i="65"/>
  <c r="K273" i="65"/>
  <c r="D273" i="65"/>
  <c r="X273" i="65"/>
  <c r="T273" i="65"/>
  <c r="AA273" i="65"/>
  <c r="AB273" i="65"/>
  <c r="Z273" i="65"/>
  <c r="W273" i="65"/>
  <c r="B273" i="65"/>
  <c r="V273" i="65"/>
  <c r="I273" i="65"/>
  <c r="G273" i="65"/>
  <c r="N274" i="63"/>
  <c r="AD274" i="63"/>
  <c r="AT274" i="63"/>
  <c r="Q274" i="63"/>
  <c r="AH274" i="63"/>
  <c r="AY274" i="63"/>
  <c r="R274" i="63"/>
  <c r="AI274" i="63"/>
  <c r="B274" i="63"/>
  <c r="S274" i="63"/>
  <c r="AJ274" i="63"/>
  <c r="C274" i="63"/>
  <c r="T274" i="63"/>
  <c r="AK274" i="63"/>
  <c r="D274" i="63"/>
  <c r="U274" i="63"/>
  <c r="AL274" i="63"/>
  <c r="E274" i="63"/>
  <c r="V274" i="63"/>
  <c r="AM274" i="63"/>
  <c r="F274" i="63"/>
  <c r="W274" i="63"/>
  <c r="AN274" i="63"/>
  <c r="G274" i="63"/>
  <c r="X274" i="63"/>
  <c r="AO274" i="63"/>
  <c r="I274" i="63"/>
  <c r="Z274" i="63"/>
  <c r="AQ274" i="63"/>
  <c r="J274" i="63"/>
  <c r="AR274" i="63"/>
  <c r="K274" i="63"/>
  <c r="AS274" i="63"/>
  <c r="L274" i="63"/>
  <c r="AC274" i="63"/>
  <c r="AU274" i="63"/>
  <c r="H274" i="63"/>
  <c r="M274" i="63"/>
  <c r="P274" i="63"/>
  <c r="Y274" i="63"/>
  <c r="AE274" i="63"/>
  <c r="AF274" i="63"/>
  <c r="AG274" i="63"/>
  <c r="AP274" i="63"/>
  <c r="AX274" i="63"/>
  <c r="O274" i="63"/>
  <c r="AV274" i="63"/>
  <c r="AW274" i="63"/>
  <c r="H273" i="65"/>
  <c r="S273" i="65"/>
  <c r="U273" i="65"/>
  <c r="N273" i="65"/>
  <c r="M273" i="65"/>
  <c r="A275" i="63"/>
  <c r="AD274" i="65" l="1"/>
  <c r="AE274" i="65"/>
  <c r="AB274" i="65"/>
  <c r="AC274" i="65"/>
  <c r="J274" i="65"/>
  <c r="K274" i="65"/>
  <c r="Z274" i="65"/>
  <c r="D274" i="65"/>
  <c r="X274" i="65"/>
  <c r="T274" i="65"/>
  <c r="G274" i="65"/>
  <c r="B274" i="65"/>
  <c r="W274" i="65"/>
  <c r="V274" i="65"/>
  <c r="O274" i="65"/>
  <c r="AA274" i="65"/>
  <c r="P274" i="65"/>
  <c r="I274" i="65"/>
  <c r="Y274" i="65"/>
  <c r="L275" i="63"/>
  <c r="R275" i="63"/>
  <c r="AI275" i="63"/>
  <c r="AY275" i="63"/>
  <c r="S275" i="63"/>
  <c r="AJ275" i="63"/>
  <c r="T275" i="63"/>
  <c r="AK275" i="63"/>
  <c r="U275" i="63"/>
  <c r="AL275" i="63"/>
  <c r="V275" i="63"/>
  <c r="D275" i="65" s="1"/>
  <c r="AM275" i="63"/>
  <c r="W275" i="63"/>
  <c r="AN275" i="63"/>
  <c r="AO275" i="63"/>
  <c r="H275" i="63"/>
  <c r="AP275" i="63"/>
  <c r="J275" i="63"/>
  <c r="AR275" i="63"/>
  <c r="K275" i="63"/>
  <c r="AC275" i="63"/>
  <c r="AS275" i="63"/>
  <c r="M275" i="63"/>
  <c r="AD275" i="63"/>
  <c r="AT275" i="63"/>
  <c r="N275" i="63"/>
  <c r="AE275" i="63"/>
  <c r="AU275" i="63"/>
  <c r="I275" i="63"/>
  <c r="O275" i="63"/>
  <c r="P275" i="63"/>
  <c r="Q275" i="63"/>
  <c r="Z275" i="63"/>
  <c r="AF275" i="63"/>
  <c r="AH275" i="63"/>
  <c r="AQ275" i="63"/>
  <c r="AV275" i="63"/>
  <c r="AW275" i="63"/>
  <c r="AX275" i="63"/>
  <c r="AG275" i="63"/>
  <c r="M274" i="65"/>
  <c r="U274" i="65"/>
  <c r="N274" i="65"/>
  <c r="H274" i="65"/>
  <c r="S274" i="65"/>
  <c r="A276" i="63"/>
  <c r="AB275" i="65" l="1"/>
  <c r="AC275" i="65"/>
  <c r="J275" i="65"/>
  <c r="K275" i="65"/>
  <c r="W275" i="65"/>
  <c r="G275" i="65"/>
  <c r="I275" i="65"/>
  <c r="O275" i="65"/>
  <c r="AA275" i="65"/>
  <c r="V275" i="65"/>
  <c r="Z275" i="65"/>
  <c r="P275" i="65"/>
  <c r="N275" i="65"/>
  <c r="AG276" i="63"/>
  <c r="AW276" i="63"/>
  <c r="B276" i="63"/>
  <c r="AH276" i="63"/>
  <c r="AX276" i="63"/>
  <c r="C276" i="63"/>
  <c r="S276" i="63"/>
  <c r="AI276" i="63"/>
  <c r="AY276" i="63"/>
  <c r="D276" i="63"/>
  <c r="T276" i="63"/>
  <c r="AJ276" i="63"/>
  <c r="E276" i="63"/>
  <c r="AK276" i="63"/>
  <c r="F276" i="63"/>
  <c r="V276" i="63"/>
  <c r="AL276" i="63"/>
  <c r="G276" i="63"/>
  <c r="W276" i="63"/>
  <c r="AM276" i="63"/>
  <c r="H276" i="63"/>
  <c r="X276" i="63"/>
  <c r="AN276" i="63"/>
  <c r="J276" i="63"/>
  <c r="Z276" i="63"/>
  <c r="AP276" i="63"/>
  <c r="K276" i="63"/>
  <c r="AQ276" i="63"/>
  <c r="L276" i="63"/>
  <c r="K276" i="65" s="1"/>
  <c r="AR276" i="63"/>
  <c r="M276" i="63"/>
  <c r="AC276" i="63"/>
  <c r="AS276" i="63"/>
  <c r="Y276" i="63"/>
  <c r="AE276" i="65" s="1"/>
  <c r="AD276" i="63"/>
  <c r="AE276" i="63"/>
  <c r="AF276" i="63"/>
  <c r="AO276" i="63"/>
  <c r="AT276" i="63"/>
  <c r="AV276" i="63"/>
  <c r="I276" i="63"/>
  <c r="N276" i="63"/>
  <c r="O276" i="63"/>
  <c r="AU276" i="63"/>
  <c r="S275" i="65"/>
  <c r="Y275" i="65"/>
  <c r="M275" i="65"/>
  <c r="H275" i="65"/>
  <c r="A277" i="63"/>
  <c r="N276" i="65" l="1"/>
  <c r="AD276" i="65"/>
  <c r="J276" i="65"/>
  <c r="D276" i="65"/>
  <c r="X276" i="65"/>
  <c r="T276" i="65"/>
  <c r="B276" i="65"/>
  <c r="I276" i="65"/>
  <c r="G276" i="65"/>
  <c r="Z276" i="65"/>
  <c r="O276" i="65"/>
  <c r="AA276" i="65"/>
  <c r="P276" i="65"/>
  <c r="V276" i="65"/>
  <c r="W276" i="65"/>
  <c r="O277" i="63"/>
  <c r="AE277" i="63"/>
  <c r="AU277" i="63"/>
  <c r="P277" i="63"/>
  <c r="AF277" i="63"/>
  <c r="AV277" i="63"/>
  <c r="AG277" i="63"/>
  <c r="AW277" i="63"/>
  <c r="B277" i="63"/>
  <c r="AH277" i="63"/>
  <c r="AX277" i="63"/>
  <c r="C277" i="63"/>
  <c r="AI277" i="63"/>
  <c r="AY277" i="63"/>
  <c r="D277" i="63"/>
  <c r="T277" i="63"/>
  <c r="AJ277" i="63"/>
  <c r="E277" i="63"/>
  <c r="U277" i="63"/>
  <c r="AK277" i="63"/>
  <c r="F277" i="63"/>
  <c r="V277" i="63"/>
  <c r="AL277" i="63"/>
  <c r="H277" i="63"/>
  <c r="X277" i="63"/>
  <c r="AN277" i="63"/>
  <c r="I277" i="63"/>
  <c r="O277" i="65" s="1"/>
  <c r="Y277" i="63"/>
  <c r="AE277" i="65" s="1"/>
  <c r="AO277" i="63"/>
  <c r="J277" i="63"/>
  <c r="Z277" i="63"/>
  <c r="AP277" i="63"/>
  <c r="AQ277" i="63"/>
  <c r="AM277" i="63"/>
  <c r="AR277" i="63"/>
  <c r="AS277" i="63"/>
  <c r="AT277" i="63"/>
  <c r="G277" i="63"/>
  <c r="L277" i="63"/>
  <c r="M277" i="63"/>
  <c r="N277" i="63"/>
  <c r="W277" i="63"/>
  <c r="AD277" i="63"/>
  <c r="AC277" i="63"/>
  <c r="Y276" i="65"/>
  <c r="M276" i="65"/>
  <c r="H276" i="65"/>
  <c r="U276" i="65"/>
  <c r="S276" i="65"/>
  <c r="A278" i="63"/>
  <c r="AC277" i="65" l="1"/>
  <c r="AD277" i="65"/>
  <c r="K277" i="65"/>
  <c r="J277" i="65"/>
  <c r="D277" i="65"/>
  <c r="X277" i="65"/>
  <c r="T277" i="65"/>
  <c r="P277" i="65"/>
  <c r="AA277" i="65"/>
  <c r="V277" i="65"/>
  <c r="I277" i="65"/>
  <c r="W277" i="65"/>
  <c r="Z277" i="65"/>
  <c r="G277" i="65"/>
  <c r="B277" i="65"/>
  <c r="S277" i="65"/>
  <c r="M278" i="63"/>
  <c r="AC278" i="63"/>
  <c r="AS278" i="63"/>
  <c r="N278" i="63"/>
  <c r="AD278" i="63"/>
  <c r="AT278" i="63"/>
  <c r="O278" i="63"/>
  <c r="AE278" i="63"/>
  <c r="AU278" i="63"/>
  <c r="P278" i="63"/>
  <c r="AF278" i="63"/>
  <c r="AV278" i="63"/>
  <c r="AG278" i="63"/>
  <c r="AW278" i="63"/>
  <c r="AH278" i="63"/>
  <c r="AX278" i="63"/>
  <c r="AI278" i="63"/>
  <c r="AY278" i="63"/>
  <c r="T278" i="63"/>
  <c r="AJ278" i="63"/>
  <c r="V278" i="63"/>
  <c r="D278" i="65" s="1"/>
  <c r="AL278" i="63"/>
  <c r="W278" i="63"/>
  <c r="AM278" i="63"/>
  <c r="H278" i="63"/>
  <c r="AN278" i="63"/>
  <c r="I278" i="63"/>
  <c r="AO278" i="63"/>
  <c r="J278" i="63"/>
  <c r="L278" i="63"/>
  <c r="K278" i="65" s="1"/>
  <c r="U278" i="63"/>
  <c r="Z278" i="63"/>
  <c r="AK278" i="63"/>
  <c r="AR278" i="63"/>
  <c r="AP278" i="63"/>
  <c r="AQ278" i="63"/>
  <c r="N277" i="65"/>
  <c r="M277" i="65"/>
  <c r="H277" i="65"/>
  <c r="U277" i="65"/>
  <c r="A279" i="63"/>
  <c r="AC278" i="65" l="1"/>
  <c r="J278" i="65"/>
  <c r="V278" i="65"/>
  <c r="W278" i="65"/>
  <c r="Z278" i="65"/>
  <c r="G278" i="65"/>
  <c r="O278" i="65"/>
  <c r="AA278" i="65"/>
  <c r="I278" i="65"/>
  <c r="P278" i="65"/>
  <c r="AQ279" i="63"/>
  <c r="L279" i="63"/>
  <c r="AR279" i="63"/>
  <c r="M279" i="63"/>
  <c r="AC279" i="63"/>
  <c r="AS279" i="63"/>
  <c r="N279" i="63"/>
  <c r="AD279" i="63"/>
  <c r="AT279" i="63"/>
  <c r="O279" i="63"/>
  <c r="AE279" i="63"/>
  <c r="AU279" i="63"/>
  <c r="AF279" i="63"/>
  <c r="AV279" i="63"/>
  <c r="AG279" i="63"/>
  <c r="AW279" i="63"/>
  <c r="B279" i="63"/>
  <c r="AH279" i="63"/>
  <c r="AX279" i="63"/>
  <c r="D279" i="63"/>
  <c r="T279" i="63"/>
  <c r="AJ279" i="63"/>
  <c r="E279" i="63"/>
  <c r="U279" i="63"/>
  <c r="AK279" i="63"/>
  <c r="F279" i="63"/>
  <c r="V279" i="63"/>
  <c r="D279" i="65" s="1"/>
  <c r="AL279" i="63"/>
  <c r="G279" i="63"/>
  <c r="W279" i="63"/>
  <c r="AM279" i="63"/>
  <c r="C279" i="63"/>
  <c r="H279" i="63"/>
  <c r="I279" i="63"/>
  <c r="J279" i="63"/>
  <c r="X279" i="63"/>
  <c r="Z279" i="63"/>
  <c r="AI279" i="63"/>
  <c r="AN279" i="63"/>
  <c r="AO279" i="63"/>
  <c r="AP279" i="63"/>
  <c r="AY279" i="63"/>
  <c r="Y279" i="63"/>
  <c r="AE279" i="65" s="1"/>
  <c r="M278" i="65"/>
  <c r="H278" i="65"/>
  <c r="N278" i="65"/>
  <c r="S278" i="65"/>
  <c r="A280" i="63"/>
  <c r="AD279" i="65" l="1"/>
  <c r="AC279" i="65"/>
  <c r="J279" i="65"/>
  <c r="K279" i="65"/>
  <c r="X279" i="65"/>
  <c r="T279" i="65"/>
  <c r="G279" i="65"/>
  <c r="B279" i="65"/>
  <c r="I279" i="65"/>
  <c r="Z279" i="65"/>
  <c r="O279" i="65"/>
  <c r="AA279" i="65"/>
  <c r="W279" i="65"/>
  <c r="P279" i="65"/>
  <c r="V279" i="65"/>
  <c r="I280" i="63"/>
  <c r="Y280" i="63"/>
  <c r="AE280" i="65" s="1"/>
  <c r="AO280" i="63"/>
  <c r="J280" i="63"/>
  <c r="Z280" i="63"/>
  <c r="AP280" i="63"/>
  <c r="AQ280" i="63"/>
  <c r="L280" i="63"/>
  <c r="AR280" i="63"/>
  <c r="M280" i="63"/>
  <c r="AC280" i="63"/>
  <c r="AS280" i="63"/>
  <c r="N280" i="63"/>
  <c r="AD280" i="63"/>
  <c r="AT280" i="63"/>
  <c r="O280" i="63"/>
  <c r="AE280" i="63"/>
  <c r="AU280" i="63"/>
  <c r="AF280" i="63"/>
  <c r="AV280" i="63"/>
  <c r="B280" i="63"/>
  <c r="R280" i="63"/>
  <c r="AH280" i="63"/>
  <c r="AX280" i="63"/>
  <c r="C280" i="63"/>
  <c r="AI280" i="63"/>
  <c r="AY280" i="63"/>
  <c r="D280" i="63"/>
  <c r="T280" i="63"/>
  <c r="AJ280" i="63"/>
  <c r="E280" i="63"/>
  <c r="U280" i="63"/>
  <c r="AK280" i="63"/>
  <c r="Q280" i="63"/>
  <c r="V280" i="63"/>
  <c r="X280" i="63"/>
  <c r="AG280" i="63"/>
  <c r="AL280" i="63"/>
  <c r="AN280" i="63"/>
  <c r="AW280" i="63"/>
  <c r="F280" i="63"/>
  <c r="G280" i="63"/>
  <c r="AM280" i="63"/>
  <c r="U279" i="65"/>
  <c r="N279" i="65"/>
  <c r="H279" i="65"/>
  <c r="S279" i="65"/>
  <c r="M279" i="65"/>
  <c r="A281" i="63"/>
  <c r="P280" i="65" l="1"/>
  <c r="AD280" i="65"/>
  <c r="AB280" i="65"/>
  <c r="AC280" i="65"/>
  <c r="D280" i="65"/>
  <c r="K280" i="65"/>
  <c r="X280" i="65"/>
  <c r="T280" i="65"/>
  <c r="B280" i="65"/>
  <c r="G280" i="65"/>
  <c r="O280" i="65"/>
  <c r="AA280" i="65"/>
  <c r="V280" i="65"/>
  <c r="Z280" i="65"/>
  <c r="W280" i="65"/>
  <c r="I280" i="65"/>
  <c r="G281" i="63"/>
  <c r="W281" i="63"/>
  <c r="AM281" i="63"/>
  <c r="H281" i="63"/>
  <c r="X281" i="63"/>
  <c r="AN281" i="63"/>
  <c r="Y281" i="63"/>
  <c r="AE281" i="65" s="1"/>
  <c r="AO281" i="63"/>
  <c r="J281" i="63"/>
  <c r="Z281" i="63"/>
  <c r="AP281" i="63"/>
  <c r="K281" i="63"/>
  <c r="AQ281" i="63"/>
  <c r="L281" i="63"/>
  <c r="K281" i="65" s="1"/>
  <c r="AR281" i="63"/>
  <c r="M281" i="63"/>
  <c r="AC281" i="63"/>
  <c r="AS281" i="63"/>
  <c r="N281" i="63"/>
  <c r="AD281" i="63"/>
  <c r="AT281" i="63"/>
  <c r="P281" i="63"/>
  <c r="AF281" i="63"/>
  <c r="AV281" i="63"/>
  <c r="Q281" i="63"/>
  <c r="AG281" i="63"/>
  <c r="AW281" i="63"/>
  <c r="B281" i="63"/>
  <c r="R281" i="63"/>
  <c r="AH281" i="63"/>
  <c r="AX281" i="63"/>
  <c r="C281" i="63"/>
  <c r="S281" i="63"/>
  <c r="AI281" i="63"/>
  <c r="AY281" i="63"/>
  <c r="AE281" i="63"/>
  <c r="AJ281" i="63"/>
  <c r="AK281" i="63"/>
  <c r="AL281" i="63"/>
  <c r="AU281" i="63"/>
  <c r="D281" i="63"/>
  <c r="E281" i="63"/>
  <c r="F281" i="63"/>
  <c r="O281" i="63"/>
  <c r="V281" i="63"/>
  <c r="D281" i="65" s="1"/>
  <c r="T281" i="63"/>
  <c r="U281" i="63"/>
  <c r="H280" i="65"/>
  <c r="M280" i="65"/>
  <c r="S280" i="65"/>
  <c r="U280" i="65"/>
  <c r="A282" i="63"/>
  <c r="J281" i="65" l="1"/>
  <c r="AC281" i="65"/>
  <c r="AD281" i="65"/>
  <c r="T281" i="65"/>
  <c r="P281" i="65"/>
  <c r="X281" i="65"/>
  <c r="W281" i="65"/>
  <c r="AA281" i="65"/>
  <c r="AB281" i="65"/>
  <c r="G281" i="65"/>
  <c r="B281" i="65"/>
  <c r="I281" i="65"/>
  <c r="V281" i="65"/>
  <c r="Z281" i="65"/>
  <c r="E282" i="63"/>
  <c r="U282" i="63"/>
  <c r="AK282" i="63"/>
  <c r="F282" i="63"/>
  <c r="V282" i="63"/>
  <c r="D282" i="65" s="1"/>
  <c r="AL282" i="63"/>
  <c r="G282" i="63"/>
  <c r="W282" i="63"/>
  <c r="AM282" i="63"/>
  <c r="H282" i="63"/>
  <c r="X282" i="63"/>
  <c r="AN282" i="63"/>
  <c r="I282" i="63"/>
  <c r="Y282" i="63"/>
  <c r="AO282" i="63"/>
  <c r="J282" i="63"/>
  <c r="Z282" i="63"/>
  <c r="AP282" i="63"/>
  <c r="K282" i="63"/>
  <c r="AQ282" i="63"/>
  <c r="L282" i="63"/>
  <c r="K282" i="65" s="1"/>
  <c r="AR282" i="63"/>
  <c r="N282" i="63"/>
  <c r="AD282" i="63"/>
  <c r="AT282" i="63"/>
  <c r="O282" i="63"/>
  <c r="AE282" i="63"/>
  <c r="AU282" i="63"/>
  <c r="P282" i="63"/>
  <c r="AF282" i="63"/>
  <c r="AV282" i="63"/>
  <c r="Q282" i="63"/>
  <c r="AG282" i="63"/>
  <c r="AW282" i="63"/>
  <c r="AS282" i="63"/>
  <c r="AX282" i="63"/>
  <c r="AY282" i="63"/>
  <c r="B282" i="63"/>
  <c r="D282" i="63"/>
  <c r="M282" i="63"/>
  <c r="R282" i="63"/>
  <c r="S282" i="63"/>
  <c r="T282" i="63"/>
  <c r="AC282" i="63"/>
  <c r="AJ282" i="63"/>
  <c r="C282" i="63"/>
  <c r="AH282" i="63"/>
  <c r="AI282" i="63"/>
  <c r="U281" i="65"/>
  <c r="H281" i="65"/>
  <c r="M281" i="65"/>
  <c r="Y281" i="65"/>
  <c r="S281" i="65"/>
  <c r="A283" i="63"/>
  <c r="AD282" i="65" l="1"/>
  <c r="AE282" i="65"/>
  <c r="Z282" i="65"/>
  <c r="O282" i="65"/>
  <c r="AC282" i="65"/>
  <c r="J282" i="65"/>
  <c r="X282" i="65"/>
  <c r="T282" i="65"/>
  <c r="AA282" i="65"/>
  <c r="AB282" i="65"/>
  <c r="G282" i="65"/>
  <c r="V282" i="65"/>
  <c r="W282" i="65"/>
  <c r="B282" i="65"/>
  <c r="I282" i="65"/>
  <c r="P282" i="65"/>
  <c r="S282" i="65"/>
  <c r="S283" i="63"/>
  <c r="AI283" i="63"/>
  <c r="AY283" i="63"/>
  <c r="T283" i="63"/>
  <c r="AJ283" i="63"/>
  <c r="U283" i="63"/>
  <c r="AK283" i="63"/>
  <c r="V283" i="63"/>
  <c r="AL283" i="63"/>
  <c r="AM283" i="63"/>
  <c r="AN283" i="63"/>
  <c r="I283" i="63"/>
  <c r="AO283" i="63"/>
  <c r="J283" i="63"/>
  <c r="Z283" i="63"/>
  <c r="AP283" i="63"/>
  <c r="L283" i="63"/>
  <c r="AR283" i="63"/>
  <c r="M283" i="63"/>
  <c r="AC283" i="63"/>
  <c r="AS283" i="63"/>
  <c r="N283" i="63"/>
  <c r="AD283" i="63"/>
  <c r="AT283" i="63"/>
  <c r="O283" i="63"/>
  <c r="AE283" i="63"/>
  <c r="AU283" i="63"/>
  <c r="K283" i="63"/>
  <c r="P283" i="63"/>
  <c r="AF283" i="63"/>
  <c r="AG283" i="63"/>
  <c r="AH283" i="63"/>
  <c r="AQ283" i="63"/>
  <c r="AX283" i="63"/>
  <c r="AV283" i="63"/>
  <c r="AW283" i="63"/>
  <c r="Y282" i="65"/>
  <c r="M282" i="65"/>
  <c r="N282" i="65"/>
  <c r="H282" i="65"/>
  <c r="U282" i="65"/>
  <c r="A284" i="63"/>
  <c r="AC283" i="65" l="1"/>
  <c r="K283" i="65"/>
  <c r="D283" i="65"/>
  <c r="P283" i="65"/>
  <c r="I283" i="65"/>
  <c r="O283" i="65"/>
  <c r="AA283" i="65"/>
  <c r="V283" i="65"/>
  <c r="W283" i="65"/>
  <c r="G283" i="65"/>
  <c r="Z283" i="65"/>
  <c r="AG284" i="63"/>
  <c r="AW284" i="63"/>
  <c r="AH284" i="63"/>
  <c r="AX284" i="63"/>
  <c r="AI284" i="63"/>
  <c r="AY284" i="63"/>
  <c r="T284" i="63"/>
  <c r="AJ284" i="63"/>
  <c r="U284" i="63"/>
  <c r="AK284" i="63"/>
  <c r="V284" i="63"/>
  <c r="AL284" i="63"/>
  <c r="AM284" i="63"/>
  <c r="AN284" i="63"/>
  <c r="J284" i="63"/>
  <c r="Z284" i="63"/>
  <c r="AP284" i="63"/>
  <c r="AQ284" i="63"/>
  <c r="L284" i="63"/>
  <c r="K284" i="65" s="1"/>
  <c r="AR284" i="63"/>
  <c r="AC284" i="63"/>
  <c r="AS284" i="63"/>
  <c r="N284" i="63"/>
  <c r="O284" i="63"/>
  <c r="P284" i="63"/>
  <c r="AD284" i="63"/>
  <c r="AF284" i="63"/>
  <c r="AO284" i="63"/>
  <c r="AT284" i="63"/>
  <c r="AU284" i="63"/>
  <c r="AV284" i="63"/>
  <c r="AE284" i="63"/>
  <c r="Y283" i="65"/>
  <c r="S283" i="65"/>
  <c r="H283" i="65"/>
  <c r="M283" i="65"/>
  <c r="A285" i="63"/>
  <c r="Z284" i="65" l="1"/>
  <c r="AC284" i="65"/>
  <c r="D284" i="65"/>
  <c r="P284" i="65"/>
  <c r="I284" i="65"/>
  <c r="V284" i="65"/>
  <c r="O284" i="65"/>
  <c r="AA284" i="65"/>
  <c r="W284" i="65"/>
  <c r="G284" i="65"/>
  <c r="O285" i="63"/>
  <c r="AE285" i="63"/>
  <c r="AU285" i="63"/>
  <c r="P285" i="63"/>
  <c r="AF285" i="63"/>
  <c r="AV285" i="63"/>
  <c r="AG285" i="63"/>
  <c r="AW285" i="63"/>
  <c r="B285" i="63"/>
  <c r="AH285" i="63"/>
  <c r="AX285" i="63"/>
  <c r="C285" i="63"/>
  <c r="AI285" i="63"/>
  <c r="AY285" i="63"/>
  <c r="D285" i="63"/>
  <c r="AJ285" i="63"/>
  <c r="E285" i="63"/>
  <c r="U285" i="63"/>
  <c r="AK285" i="63"/>
  <c r="F285" i="63"/>
  <c r="V285" i="63"/>
  <c r="D285" i="65" s="1"/>
  <c r="AL285" i="63"/>
  <c r="H285" i="63"/>
  <c r="X285" i="63"/>
  <c r="AN285" i="63"/>
  <c r="Y285" i="63"/>
  <c r="AE285" i="65" s="1"/>
  <c r="AO285" i="63"/>
  <c r="J285" i="63"/>
  <c r="Z285" i="63"/>
  <c r="AP285" i="63"/>
  <c r="AQ285" i="63"/>
  <c r="W285" i="63"/>
  <c r="AC285" i="63"/>
  <c r="AD285" i="63"/>
  <c r="AM285" i="63"/>
  <c r="AR285" i="63"/>
  <c r="AT285" i="63"/>
  <c r="G285" i="63"/>
  <c r="N285" i="63"/>
  <c r="L285" i="63"/>
  <c r="M285" i="63"/>
  <c r="AS285" i="63"/>
  <c r="H284" i="65"/>
  <c r="S284" i="65"/>
  <c r="M284" i="65"/>
  <c r="A286" i="63"/>
  <c r="S285" i="65" l="1"/>
  <c r="AC285" i="65"/>
  <c r="AD285" i="65"/>
  <c r="P285" i="65"/>
  <c r="K285" i="65"/>
  <c r="J285" i="65"/>
  <c r="X285" i="65"/>
  <c r="T285" i="65"/>
  <c r="Z285" i="65"/>
  <c r="I285" i="65"/>
  <c r="V285" i="65"/>
  <c r="O285" i="65"/>
  <c r="W285" i="65"/>
  <c r="G285" i="65"/>
  <c r="B285" i="65"/>
  <c r="M286" i="63"/>
  <c r="AC286" i="63"/>
  <c r="AS286" i="63"/>
  <c r="N286" i="63"/>
  <c r="AD286" i="63"/>
  <c r="AT286" i="63"/>
  <c r="O286" i="63"/>
  <c r="AE286" i="63"/>
  <c r="AU286" i="63"/>
  <c r="P286" i="63"/>
  <c r="AF286" i="63"/>
  <c r="AV286" i="63"/>
  <c r="AG286" i="63"/>
  <c r="AW286" i="63"/>
  <c r="B286" i="63"/>
  <c r="AH286" i="63"/>
  <c r="AX286" i="63"/>
  <c r="C286" i="63"/>
  <c r="AI286" i="63"/>
  <c r="AY286" i="63"/>
  <c r="F286" i="63"/>
  <c r="V286" i="63"/>
  <c r="AL286" i="63"/>
  <c r="G286" i="63"/>
  <c r="W286" i="63"/>
  <c r="AM286" i="63"/>
  <c r="H286" i="63"/>
  <c r="X286" i="63"/>
  <c r="AN286" i="63"/>
  <c r="I286" i="63"/>
  <c r="Y286" i="63"/>
  <c r="AO286" i="63"/>
  <c r="AJ286" i="63"/>
  <c r="AK286" i="63"/>
  <c r="AP286" i="63"/>
  <c r="AQ286" i="63"/>
  <c r="D286" i="63"/>
  <c r="E286" i="63"/>
  <c r="J286" i="63"/>
  <c r="L286" i="63"/>
  <c r="Z286" i="63"/>
  <c r="U286" i="63"/>
  <c r="AR286" i="63"/>
  <c r="H285" i="65"/>
  <c r="U285" i="65"/>
  <c r="M285" i="65"/>
  <c r="A287" i="63"/>
  <c r="P286" i="65" l="1"/>
  <c r="AD286" i="65"/>
  <c r="AE286" i="65"/>
  <c r="T286" i="65"/>
  <c r="AC286" i="65"/>
  <c r="X286" i="65"/>
  <c r="J286" i="65"/>
  <c r="K286" i="65"/>
  <c r="D286" i="65"/>
  <c r="B286" i="65"/>
  <c r="W286" i="65"/>
  <c r="I286" i="65"/>
  <c r="O286" i="65"/>
  <c r="G286" i="65"/>
  <c r="Z286" i="65"/>
  <c r="V286" i="65"/>
  <c r="H286" i="65"/>
  <c r="AQ287" i="63"/>
  <c r="L287" i="63"/>
  <c r="AR287" i="63"/>
  <c r="AC287" i="63"/>
  <c r="AS287" i="63"/>
  <c r="N287" i="63"/>
  <c r="AD287" i="63"/>
  <c r="AT287" i="63"/>
  <c r="O287" i="63"/>
  <c r="AE287" i="63"/>
  <c r="AU287" i="63"/>
  <c r="P287" i="63"/>
  <c r="AF287" i="63"/>
  <c r="AV287" i="63"/>
  <c r="Q287" i="63"/>
  <c r="AG287" i="63"/>
  <c r="AW287" i="63"/>
  <c r="D287" i="63"/>
  <c r="AJ287" i="63"/>
  <c r="E287" i="63"/>
  <c r="U287" i="63"/>
  <c r="AK287" i="63"/>
  <c r="F287" i="63"/>
  <c r="V287" i="63"/>
  <c r="AL287" i="63"/>
  <c r="G287" i="63"/>
  <c r="W287" i="63"/>
  <c r="AM287" i="63"/>
  <c r="Z287" i="63"/>
  <c r="AH287" i="63"/>
  <c r="AI287" i="63"/>
  <c r="AN287" i="63"/>
  <c r="AO287" i="63"/>
  <c r="AP287" i="63"/>
  <c r="B287" i="63"/>
  <c r="AY287" i="63"/>
  <c r="C287" i="63"/>
  <c r="H287" i="63"/>
  <c r="G287" i="65" s="1"/>
  <c r="I287" i="63"/>
  <c r="J287" i="63"/>
  <c r="R287" i="63"/>
  <c r="Y287" i="63"/>
  <c r="AE287" i="65" s="1"/>
  <c r="X287" i="63"/>
  <c r="AX287" i="63"/>
  <c r="N286" i="65"/>
  <c r="S286" i="65"/>
  <c r="U286" i="65"/>
  <c r="M286" i="65"/>
  <c r="A288" i="63"/>
  <c r="AB287" i="65" l="1"/>
  <c r="AC287" i="65"/>
  <c r="AD287" i="65"/>
  <c r="Z287" i="65"/>
  <c r="J287" i="65"/>
  <c r="D287" i="65"/>
  <c r="I287" i="65"/>
  <c r="K287" i="65"/>
  <c r="X287" i="65"/>
  <c r="T287" i="65"/>
  <c r="W287" i="65"/>
  <c r="O287" i="65"/>
  <c r="B287" i="65"/>
  <c r="P287" i="65"/>
  <c r="V287" i="65"/>
  <c r="I288" i="63"/>
  <c r="Y288" i="63"/>
  <c r="AE288" i="65" s="1"/>
  <c r="AO288" i="63"/>
  <c r="J288" i="63"/>
  <c r="Z288" i="63"/>
  <c r="AP288" i="63"/>
  <c r="K288" i="63"/>
  <c r="AQ288" i="63"/>
  <c r="L288" i="63"/>
  <c r="AR288" i="63"/>
  <c r="AC288" i="63"/>
  <c r="AS288" i="63"/>
  <c r="N288" i="63"/>
  <c r="AD288" i="63"/>
  <c r="AT288" i="63"/>
  <c r="O288" i="63"/>
  <c r="AE288" i="63"/>
  <c r="AU288" i="63"/>
  <c r="B288" i="63"/>
  <c r="R288" i="63"/>
  <c r="AH288" i="63"/>
  <c r="AX288" i="63"/>
  <c r="C288" i="63"/>
  <c r="S288" i="63"/>
  <c r="AI288" i="63"/>
  <c r="AY288" i="63"/>
  <c r="D288" i="63"/>
  <c r="AJ288" i="63"/>
  <c r="E288" i="63"/>
  <c r="U288" i="63"/>
  <c r="AK288" i="63"/>
  <c r="AF288" i="63"/>
  <c r="AG288" i="63"/>
  <c r="AL288" i="63"/>
  <c r="AM288" i="63"/>
  <c r="AN288" i="63"/>
  <c r="AV288" i="63"/>
  <c r="F288" i="63"/>
  <c r="G288" i="63"/>
  <c r="H288" i="63"/>
  <c r="P288" i="63"/>
  <c r="Q288" i="63"/>
  <c r="X288" i="63"/>
  <c r="V288" i="63"/>
  <c r="D288" i="65" s="1"/>
  <c r="W288" i="63"/>
  <c r="AW288" i="63"/>
  <c r="U287" i="65"/>
  <c r="M287" i="65"/>
  <c r="N287" i="65"/>
  <c r="H287" i="65"/>
  <c r="S287" i="65"/>
  <c r="A289" i="63"/>
  <c r="AD288" i="65" l="1"/>
  <c r="AC288" i="65"/>
  <c r="O288" i="65"/>
  <c r="K288" i="65"/>
  <c r="J288" i="65"/>
  <c r="B288" i="65"/>
  <c r="X288" i="65"/>
  <c r="T288" i="65"/>
  <c r="I288" i="65"/>
  <c r="AB288" i="65"/>
  <c r="G288" i="65"/>
  <c r="P288" i="65"/>
  <c r="W288" i="65"/>
  <c r="Z288" i="65"/>
  <c r="V288" i="65"/>
  <c r="W289" i="63"/>
  <c r="AM289" i="63"/>
  <c r="H289" i="63"/>
  <c r="AN289" i="63"/>
  <c r="I289" i="63"/>
  <c r="AO289" i="63"/>
  <c r="J289" i="63"/>
  <c r="Z289" i="63"/>
  <c r="AP289" i="63"/>
  <c r="K289" i="63"/>
  <c r="AQ289" i="63"/>
  <c r="L289" i="63"/>
  <c r="K289" i="65" s="1"/>
  <c r="AR289" i="63"/>
  <c r="M289" i="63"/>
  <c r="AC289" i="63"/>
  <c r="AS289" i="63"/>
  <c r="P289" i="63"/>
  <c r="AF289" i="63"/>
  <c r="AV289" i="63"/>
  <c r="Q289" i="63"/>
  <c r="AG289" i="63"/>
  <c r="AW289" i="63"/>
  <c r="R289" i="63"/>
  <c r="AH289" i="63"/>
  <c r="AX289" i="63"/>
  <c r="S289" i="63"/>
  <c r="AI289" i="63"/>
  <c r="AY289" i="63"/>
  <c r="AE289" i="63"/>
  <c r="AJ289" i="63"/>
  <c r="AK289" i="63"/>
  <c r="AL289" i="63"/>
  <c r="AT289" i="63"/>
  <c r="AU289" i="63"/>
  <c r="N289" i="63"/>
  <c r="O289" i="63"/>
  <c r="T289" i="63"/>
  <c r="AD289" i="63"/>
  <c r="U289" i="63"/>
  <c r="V289" i="63"/>
  <c r="D289" i="65" s="1"/>
  <c r="S288" i="65"/>
  <c r="Y288" i="65"/>
  <c r="U288" i="65"/>
  <c r="M288" i="65"/>
  <c r="N288" i="65"/>
  <c r="H288" i="65"/>
  <c r="A290" i="63"/>
  <c r="P289" i="65" l="1"/>
  <c r="AC289" i="65"/>
  <c r="AB289" i="65"/>
  <c r="J289" i="65"/>
  <c r="V289" i="65"/>
  <c r="W289" i="65"/>
  <c r="G289" i="65"/>
  <c r="O289" i="65"/>
  <c r="AA289" i="65"/>
  <c r="Z289" i="65"/>
  <c r="I289" i="65"/>
  <c r="E290" i="63"/>
  <c r="U290" i="63"/>
  <c r="AK290" i="63"/>
  <c r="F290" i="63"/>
  <c r="V290" i="63"/>
  <c r="AL290" i="63"/>
  <c r="G290" i="63"/>
  <c r="W290" i="63"/>
  <c r="AM290" i="63"/>
  <c r="H290" i="63"/>
  <c r="X290" i="63"/>
  <c r="AN290" i="63"/>
  <c r="I290" i="63"/>
  <c r="O290" i="65" s="1"/>
  <c r="Y290" i="63"/>
  <c r="AO290" i="63"/>
  <c r="J290" i="63"/>
  <c r="Z290" i="63"/>
  <c r="AP290" i="63"/>
  <c r="K290" i="63"/>
  <c r="AQ290" i="63"/>
  <c r="N290" i="63"/>
  <c r="AD290" i="63"/>
  <c r="AT290" i="63"/>
  <c r="O290" i="63"/>
  <c r="AE290" i="63"/>
  <c r="AU290" i="63"/>
  <c r="P290" i="63"/>
  <c r="AF290" i="63"/>
  <c r="AV290" i="63"/>
  <c r="AG290" i="63"/>
  <c r="AW290" i="63"/>
  <c r="AH290" i="63"/>
  <c r="AI290" i="63"/>
  <c r="AJ290" i="63"/>
  <c r="AR290" i="63"/>
  <c r="AS290" i="63"/>
  <c r="AX290" i="63"/>
  <c r="C290" i="63"/>
  <c r="D290" i="63"/>
  <c r="L290" i="63"/>
  <c r="M290" i="63"/>
  <c r="S290" i="63"/>
  <c r="AC290" i="63"/>
  <c r="B290" i="63"/>
  <c r="T290" i="63"/>
  <c r="AY290" i="63"/>
  <c r="S289" i="65"/>
  <c r="Y289" i="65"/>
  <c r="H289" i="65"/>
  <c r="M289" i="65"/>
  <c r="N289" i="65"/>
  <c r="A291" i="63"/>
  <c r="J290" i="65" l="1"/>
  <c r="P290" i="65"/>
  <c r="AD290" i="65"/>
  <c r="AE290" i="65"/>
  <c r="AC290" i="65"/>
  <c r="D290" i="65"/>
  <c r="K290" i="65"/>
  <c r="X290" i="65"/>
  <c r="T290" i="65"/>
  <c r="AA290" i="65"/>
  <c r="V290" i="65"/>
  <c r="Y290" i="65"/>
  <c r="I290" i="65"/>
  <c r="G290" i="65"/>
  <c r="Z290" i="65"/>
  <c r="B290" i="65"/>
  <c r="W290" i="65"/>
  <c r="C291" i="63"/>
  <c r="AI291" i="63"/>
  <c r="AY291" i="63"/>
  <c r="D291" i="63"/>
  <c r="T291" i="63"/>
  <c r="AJ291" i="63"/>
  <c r="E291" i="63"/>
  <c r="U291" i="63"/>
  <c r="AK291" i="63"/>
  <c r="F291" i="63"/>
  <c r="V291" i="63"/>
  <c r="AL291" i="63"/>
  <c r="G291" i="63"/>
  <c r="W291" i="63"/>
  <c r="AM291" i="63"/>
  <c r="H291" i="63"/>
  <c r="X291" i="63"/>
  <c r="AN291" i="63"/>
  <c r="I291" i="63"/>
  <c r="Y291" i="63"/>
  <c r="AE291" i="65" s="1"/>
  <c r="AO291" i="63"/>
  <c r="L291" i="63"/>
  <c r="AR291" i="63"/>
  <c r="M291" i="63"/>
  <c r="AC291" i="63"/>
  <c r="AS291" i="63"/>
  <c r="N291" i="63"/>
  <c r="AD291" i="63"/>
  <c r="AT291" i="63"/>
  <c r="O291" i="63"/>
  <c r="AE291" i="63"/>
  <c r="AU291" i="63"/>
  <c r="AG291" i="63"/>
  <c r="AH291" i="63"/>
  <c r="AP291" i="63"/>
  <c r="AQ291" i="63"/>
  <c r="AV291" i="63"/>
  <c r="AW291" i="63"/>
  <c r="B291" i="63"/>
  <c r="J291" i="63"/>
  <c r="P291" i="63"/>
  <c r="AF291" i="63"/>
  <c r="AX291" i="63"/>
  <c r="Z291" i="63"/>
  <c r="U290" i="65"/>
  <c r="S290" i="65"/>
  <c r="M290" i="65"/>
  <c r="H290" i="65"/>
  <c r="N290" i="65"/>
  <c r="A292" i="63"/>
  <c r="AD291" i="65" l="1"/>
  <c r="AC291" i="65"/>
  <c r="D291" i="65"/>
  <c r="J291" i="65"/>
  <c r="K291" i="65"/>
  <c r="X291" i="65"/>
  <c r="T291" i="65"/>
  <c r="W291" i="65"/>
  <c r="B291" i="65"/>
  <c r="P291" i="65"/>
  <c r="O291" i="65"/>
  <c r="AA291" i="65"/>
  <c r="I291" i="65"/>
  <c r="V291" i="65"/>
  <c r="G291" i="65"/>
  <c r="Z291" i="65"/>
  <c r="AG292" i="63"/>
  <c r="AW292" i="63"/>
  <c r="AH292" i="63"/>
  <c r="AX292" i="63"/>
  <c r="AI292" i="63"/>
  <c r="AY292" i="63"/>
  <c r="T292" i="63"/>
  <c r="AJ292" i="63"/>
  <c r="U292" i="63"/>
  <c r="AK292" i="63"/>
  <c r="V292" i="63"/>
  <c r="AL292" i="63"/>
  <c r="W292" i="63"/>
  <c r="AM292" i="63"/>
  <c r="J292" i="63"/>
  <c r="Z292" i="63"/>
  <c r="AP292" i="63"/>
  <c r="AQ292" i="63"/>
  <c r="L292" i="63"/>
  <c r="AR292" i="63"/>
  <c r="M292" i="63"/>
  <c r="AC292" i="63"/>
  <c r="AS292" i="63"/>
  <c r="AF292" i="63"/>
  <c r="AN292" i="63"/>
  <c r="AO292" i="63"/>
  <c r="AT292" i="63"/>
  <c r="AU292" i="63"/>
  <c r="AV292" i="63"/>
  <c r="H292" i="63"/>
  <c r="I292" i="63"/>
  <c r="N292" i="63"/>
  <c r="O292" i="63"/>
  <c r="P292" i="63"/>
  <c r="AE292" i="63"/>
  <c r="AD292" i="63"/>
  <c r="M291" i="65"/>
  <c r="U291" i="65"/>
  <c r="S291" i="65"/>
  <c r="N291" i="65"/>
  <c r="H291" i="65"/>
  <c r="A293" i="63"/>
  <c r="AC292" i="65" l="1"/>
  <c r="K292" i="65"/>
  <c r="J292" i="65"/>
  <c r="D292" i="65"/>
  <c r="I292" i="65"/>
  <c r="Z292" i="65"/>
  <c r="O292" i="65"/>
  <c r="AA292" i="65"/>
  <c r="W292" i="65"/>
  <c r="P292" i="65"/>
  <c r="V292" i="65"/>
  <c r="G292" i="65"/>
  <c r="O293" i="63"/>
  <c r="AE293" i="63"/>
  <c r="AU293" i="63"/>
  <c r="P293" i="63"/>
  <c r="AF293" i="63"/>
  <c r="AV293" i="63"/>
  <c r="AG293" i="63"/>
  <c r="AW293" i="63"/>
  <c r="B293" i="63"/>
  <c r="AH293" i="63"/>
  <c r="AX293" i="63"/>
  <c r="C293" i="63"/>
  <c r="AI293" i="63"/>
  <c r="AY293" i="63"/>
  <c r="D293" i="63"/>
  <c r="T293" i="63"/>
  <c r="AJ293" i="63"/>
  <c r="E293" i="63"/>
  <c r="U293" i="63"/>
  <c r="AK293" i="63"/>
  <c r="H293" i="63"/>
  <c r="X293" i="63"/>
  <c r="AN293" i="63"/>
  <c r="I293" i="63"/>
  <c r="Y293" i="63"/>
  <c r="AE293" i="65" s="1"/>
  <c r="AO293" i="63"/>
  <c r="J293" i="63"/>
  <c r="Z293" i="63"/>
  <c r="AP293" i="63"/>
  <c r="AQ293" i="63"/>
  <c r="AL293" i="63"/>
  <c r="AM293" i="63"/>
  <c r="AR293" i="63"/>
  <c r="AS293" i="63"/>
  <c r="AT293" i="63"/>
  <c r="G293" i="63"/>
  <c r="L293" i="63"/>
  <c r="M293" i="63"/>
  <c r="N293" i="63"/>
  <c r="V293" i="63"/>
  <c r="W293" i="63"/>
  <c r="AD293" i="63"/>
  <c r="F293" i="63"/>
  <c r="AC293" i="63"/>
  <c r="N292" i="65"/>
  <c r="S292" i="65"/>
  <c r="M292" i="65"/>
  <c r="H292" i="65"/>
  <c r="A294" i="63"/>
  <c r="AC293" i="65" l="1"/>
  <c r="AD293" i="65"/>
  <c r="O293" i="65"/>
  <c r="D293" i="65"/>
  <c r="J293" i="65"/>
  <c r="K293" i="65"/>
  <c r="X293" i="65"/>
  <c r="T293" i="65"/>
  <c r="P293" i="65"/>
  <c r="AA293" i="65"/>
  <c r="Z293" i="65"/>
  <c r="V293" i="65"/>
  <c r="B293" i="65"/>
  <c r="I293" i="65"/>
  <c r="W293" i="65"/>
  <c r="G293" i="65"/>
  <c r="M294" i="63"/>
  <c r="AC294" i="63"/>
  <c r="AS294" i="63"/>
  <c r="N294" i="63"/>
  <c r="AD294" i="63"/>
  <c r="AT294" i="63"/>
  <c r="O294" i="63"/>
  <c r="AE294" i="63"/>
  <c r="AU294" i="63"/>
  <c r="P294" i="63"/>
  <c r="AF294" i="63"/>
  <c r="AV294" i="63"/>
  <c r="Q294" i="63"/>
  <c r="AG294" i="63"/>
  <c r="AW294" i="63"/>
  <c r="B294" i="63"/>
  <c r="R294" i="63"/>
  <c r="AH294" i="63"/>
  <c r="AX294" i="63"/>
  <c r="C294" i="63"/>
  <c r="AI294" i="63"/>
  <c r="AY294" i="63"/>
  <c r="F294" i="63"/>
  <c r="V294" i="63"/>
  <c r="AL294" i="63"/>
  <c r="G294" i="63"/>
  <c r="W294" i="63"/>
  <c r="AM294" i="63"/>
  <c r="H294" i="63"/>
  <c r="X294" i="63"/>
  <c r="AN294" i="63"/>
  <c r="I294" i="63"/>
  <c r="Y294" i="63"/>
  <c r="AE294" i="65" s="1"/>
  <c r="AO294" i="63"/>
  <c r="AK294" i="63"/>
  <c r="AP294" i="63"/>
  <c r="AQ294" i="63"/>
  <c r="AR294" i="63"/>
  <c r="D294" i="63"/>
  <c r="J294" i="63"/>
  <c r="L294" i="63"/>
  <c r="K294" i="65" s="1"/>
  <c r="T294" i="63"/>
  <c r="U294" i="63"/>
  <c r="Z294" i="63"/>
  <c r="AJ294" i="63"/>
  <c r="E294" i="63"/>
  <c r="S293" i="65"/>
  <c r="M293" i="65"/>
  <c r="H293" i="65"/>
  <c r="N293" i="65"/>
  <c r="U293" i="65"/>
  <c r="A295" i="63"/>
  <c r="AB294" i="65" l="1"/>
  <c r="AD294" i="65"/>
  <c r="T294" i="65"/>
  <c r="AC294" i="65"/>
  <c r="D294" i="65"/>
  <c r="J294" i="65"/>
  <c r="X294" i="65"/>
  <c r="V294" i="65"/>
  <c r="G294" i="65"/>
  <c r="W294" i="65"/>
  <c r="Z294" i="65"/>
  <c r="P294" i="65"/>
  <c r="B294" i="65"/>
  <c r="O294" i="65"/>
  <c r="AA294" i="65"/>
  <c r="I294" i="65"/>
  <c r="N294" i="65"/>
  <c r="K295" i="63"/>
  <c r="AQ295" i="63"/>
  <c r="L295" i="63"/>
  <c r="AR295" i="63"/>
  <c r="M295" i="63"/>
  <c r="AC295" i="63"/>
  <c r="AS295" i="63"/>
  <c r="N295" i="63"/>
  <c r="AD295" i="63"/>
  <c r="AT295" i="63"/>
  <c r="O295" i="63"/>
  <c r="AE295" i="63"/>
  <c r="AU295" i="63"/>
  <c r="P295" i="63"/>
  <c r="AF295" i="63"/>
  <c r="AV295" i="63"/>
  <c r="Q295" i="63"/>
  <c r="AG295" i="63"/>
  <c r="AW295" i="63"/>
  <c r="D295" i="63"/>
  <c r="T295" i="63"/>
  <c r="AJ295" i="63"/>
  <c r="E295" i="63"/>
  <c r="U295" i="63"/>
  <c r="AK295" i="63"/>
  <c r="F295" i="63"/>
  <c r="V295" i="63"/>
  <c r="AL295" i="63"/>
  <c r="G295" i="63"/>
  <c r="W295" i="63"/>
  <c r="AM295" i="63"/>
  <c r="AN295" i="63"/>
  <c r="AO295" i="63"/>
  <c r="AP295" i="63"/>
  <c r="AX295" i="63"/>
  <c r="B295" i="63"/>
  <c r="AY295" i="63"/>
  <c r="C295" i="63"/>
  <c r="I295" i="63"/>
  <c r="J295" i="63"/>
  <c r="R295" i="63"/>
  <c r="S295" i="63"/>
  <c r="X295" i="63"/>
  <c r="Y295" i="63"/>
  <c r="AE295" i="65" s="1"/>
  <c r="AI295" i="63"/>
  <c r="H295" i="63"/>
  <c r="G295" i="65" s="1"/>
  <c r="Z295" i="63"/>
  <c r="AH295" i="63"/>
  <c r="S294" i="65"/>
  <c r="H294" i="65"/>
  <c r="U294" i="65"/>
  <c r="M294" i="65"/>
  <c r="A296" i="63"/>
  <c r="AB295" i="65" l="1"/>
  <c r="AC295" i="65"/>
  <c r="AD295" i="65"/>
  <c r="J295" i="65"/>
  <c r="D295" i="65"/>
  <c r="I295" i="65"/>
  <c r="K295" i="65"/>
  <c r="Z295" i="65"/>
  <c r="X295" i="65"/>
  <c r="T295" i="65"/>
  <c r="V295" i="65"/>
  <c r="B295" i="65"/>
  <c r="W295" i="65"/>
  <c r="O295" i="65"/>
  <c r="AA295" i="65"/>
  <c r="P295" i="65"/>
  <c r="S295" i="65"/>
  <c r="I296" i="63"/>
  <c r="Y296" i="63"/>
  <c r="AE296" i="65" s="1"/>
  <c r="AO296" i="63"/>
  <c r="J296" i="63"/>
  <c r="Z296" i="63"/>
  <c r="AP296" i="63"/>
  <c r="K296" i="63"/>
  <c r="AQ296" i="63"/>
  <c r="L296" i="63"/>
  <c r="AR296" i="63"/>
  <c r="M296" i="63"/>
  <c r="AC296" i="63"/>
  <c r="AS296" i="63"/>
  <c r="N296" i="63"/>
  <c r="AD296" i="63"/>
  <c r="AT296" i="63"/>
  <c r="O296" i="63"/>
  <c r="AE296" i="63"/>
  <c r="AU296" i="63"/>
  <c r="B296" i="63"/>
  <c r="R296" i="63"/>
  <c r="AH296" i="63"/>
  <c r="AX296" i="63"/>
  <c r="C296" i="63"/>
  <c r="S296" i="63"/>
  <c r="AI296" i="63"/>
  <c r="AY296" i="63"/>
  <c r="D296" i="63"/>
  <c r="E296" i="63"/>
  <c r="AG296" i="63"/>
  <c r="AJ296" i="63"/>
  <c r="AK296" i="63"/>
  <c r="AL296" i="63"/>
  <c r="AM296" i="63"/>
  <c r="F296" i="63"/>
  <c r="AN296" i="63"/>
  <c r="H296" i="63"/>
  <c r="AW296" i="63"/>
  <c r="P296" i="63"/>
  <c r="Q296" i="63"/>
  <c r="T296" i="63"/>
  <c r="U296" i="63"/>
  <c r="V296" i="63"/>
  <c r="AF296" i="63"/>
  <c r="G296" i="63"/>
  <c r="W296" i="63"/>
  <c r="X296" i="63"/>
  <c r="AV296" i="63"/>
  <c r="M295" i="65"/>
  <c r="H295" i="65"/>
  <c r="U295" i="65"/>
  <c r="N295" i="65"/>
  <c r="Y295" i="65"/>
  <c r="A297" i="63"/>
  <c r="N296" i="65" l="1"/>
  <c r="AD296" i="65"/>
  <c r="AB296" i="65"/>
  <c r="AC296" i="65"/>
  <c r="K296" i="65"/>
  <c r="D296" i="65"/>
  <c r="J296" i="65"/>
  <c r="W296" i="65"/>
  <c r="B296" i="65"/>
  <c r="X296" i="65"/>
  <c r="T296" i="65"/>
  <c r="G296" i="65"/>
  <c r="I296" i="65"/>
  <c r="Z296" i="65"/>
  <c r="O296" i="65"/>
  <c r="AA296" i="65"/>
  <c r="V296" i="65"/>
  <c r="P296" i="65"/>
  <c r="W297" i="63"/>
  <c r="AM297" i="63"/>
  <c r="H297" i="63"/>
  <c r="AN297" i="63"/>
  <c r="I297" i="63"/>
  <c r="AO297" i="63"/>
  <c r="J297" i="63"/>
  <c r="Z297" i="63"/>
  <c r="AP297" i="63"/>
  <c r="K297" i="63"/>
  <c r="AQ297" i="63"/>
  <c r="L297" i="63"/>
  <c r="K297" i="65" s="1"/>
  <c r="AR297" i="63"/>
  <c r="M297" i="63"/>
  <c r="AC297" i="63"/>
  <c r="AS297" i="63"/>
  <c r="P297" i="63"/>
  <c r="AF297" i="63"/>
  <c r="AV297" i="63"/>
  <c r="AG297" i="63"/>
  <c r="AW297" i="63"/>
  <c r="S297" i="63"/>
  <c r="T297" i="63"/>
  <c r="U297" i="63"/>
  <c r="AD297" i="63"/>
  <c r="AE297" i="63"/>
  <c r="AI297" i="63"/>
  <c r="AJ297" i="63"/>
  <c r="AK297" i="63"/>
  <c r="AL297" i="63"/>
  <c r="AT297" i="63"/>
  <c r="AU297" i="63"/>
  <c r="O297" i="63"/>
  <c r="AH297" i="63"/>
  <c r="AX297" i="63"/>
  <c r="AY297" i="63"/>
  <c r="H296" i="65"/>
  <c r="Y296" i="65"/>
  <c r="U296" i="65"/>
  <c r="S296" i="65"/>
  <c r="M296" i="65"/>
  <c r="A298" i="63"/>
  <c r="AE297" i="65" l="1"/>
  <c r="AC297" i="65"/>
  <c r="G297" i="65"/>
  <c r="W297" i="65"/>
  <c r="O297" i="65"/>
  <c r="AA297" i="65"/>
  <c r="V297" i="65"/>
  <c r="I297" i="65"/>
  <c r="Z297" i="65"/>
  <c r="P297" i="65"/>
  <c r="U298" i="63"/>
  <c r="AK298" i="63"/>
  <c r="V298" i="63"/>
  <c r="D298" i="65" s="1"/>
  <c r="AL298" i="63"/>
  <c r="W298" i="63"/>
  <c r="AM298" i="63"/>
  <c r="H298" i="63"/>
  <c r="AN298" i="63"/>
  <c r="I298" i="63"/>
  <c r="AO298" i="63"/>
  <c r="J298" i="63"/>
  <c r="Z298" i="63"/>
  <c r="AP298" i="63"/>
  <c r="AQ298" i="63"/>
  <c r="N298" i="63"/>
  <c r="AD298" i="63"/>
  <c r="AT298" i="63"/>
  <c r="AE298" i="63"/>
  <c r="AU298" i="63"/>
  <c r="AR298" i="63"/>
  <c r="AS298" i="63"/>
  <c r="L298" i="63"/>
  <c r="AV298" i="63"/>
  <c r="M298" i="63"/>
  <c r="AW298" i="63"/>
  <c r="P298" i="63"/>
  <c r="AX298" i="63"/>
  <c r="AY298" i="63"/>
  <c r="T298" i="63"/>
  <c r="AC298" i="63"/>
  <c r="AF298" i="63"/>
  <c r="AG298" i="63"/>
  <c r="AJ298" i="63"/>
  <c r="AH298" i="63"/>
  <c r="AI298" i="63"/>
  <c r="S297" i="65"/>
  <c r="M297" i="65"/>
  <c r="N297" i="65"/>
  <c r="Y297" i="65"/>
  <c r="H297" i="65"/>
  <c r="A299" i="63"/>
  <c r="AE298" i="65" l="1"/>
  <c r="J298" i="65"/>
  <c r="O298" i="65"/>
  <c r="AC298" i="65"/>
  <c r="K298" i="65"/>
  <c r="AA298" i="65"/>
  <c r="V298" i="65"/>
  <c r="Z298" i="65"/>
  <c r="I298" i="65"/>
  <c r="W298" i="65"/>
  <c r="G298" i="65"/>
  <c r="P298" i="65"/>
  <c r="C299" i="63"/>
  <c r="AI299" i="63"/>
  <c r="AY299" i="63"/>
  <c r="D299" i="63"/>
  <c r="T299" i="63"/>
  <c r="AJ299" i="63"/>
  <c r="E299" i="63"/>
  <c r="U299" i="63"/>
  <c r="AK299" i="63"/>
  <c r="F299" i="63"/>
  <c r="V299" i="63"/>
  <c r="D299" i="65" s="1"/>
  <c r="AL299" i="63"/>
  <c r="G299" i="63"/>
  <c r="W299" i="63"/>
  <c r="AM299" i="63"/>
  <c r="H299" i="63"/>
  <c r="X299" i="63"/>
  <c r="AN299" i="63"/>
  <c r="I299" i="63"/>
  <c r="Y299" i="63"/>
  <c r="AE299" i="65" s="1"/>
  <c r="AO299" i="63"/>
  <c r="L299" i="63"/>
  <c r="AR299" i="63"/>
  <c r="M299" i="63"/>
  <c r="AC299" i="63"/>
  <c r="AS299" i="63"/>
  <c r="AD299" i="63"/>
  <c r="AE299" i="63"/>
  <c r="AF299" i="63"/>
  <c r="AG299" i="63"/>
  <c r="AH299" i="63"/>
  <c r="AP299" i="63"/>
  <c r="J299" i="63"/>
  <c r="AT299" i="63"/>
  <c r="AU299" i="63"/>
  <c r="N299" i="63"/>
  <c r="AV299" i="63"/>
  <c r="O299" i="63"/>
  <c r="AW299" i="63"/>
  <c r="P299" i="63"/>
  <c r="AX299" i="63"/>
  <c r="B299" i="63"/>
  <c r="Z299" i="63"/>
  <c r="AQ299" i="63"/>
  <c r="H298" i="65"/>
  <c r="N298" i="65"/>
  <c r="M298" i="65"/>
  <c r="S298" i="65"/>
  <c r="A300" i="63"/>
  <c r="J299" i="65" l="1"/>
  <c r="AD299" i="65"/>
  <c r="T299" i="65"/>
  <c r="AC299" i="65"/>
  <c r="X299" i="65"/>
  <c r="K299" i="65"/>
  <c r="B299" i="65"/>
  <c r="W299" i="65"/>
  <c r="V299" i="65"/>
  <c r="P299" i="65"/>
  <c r="O299" i="65"/>
  <c r="AA299" i="65"/>
  <c r="G299" i="65"/>
  <c r="Z299" i="65"/>
  <c r="I299" i="65"/>
  <c r="AG300" i="63"/>
  <c r="AW300" i="63"/>
  <c r="B300" i="63"/>
  <c r="AH300" i="63"/>
  <c r="AX300" i="63"/>
  <c r="C300" i="63"/>
  <c r="AI300" i="63"/>
  <c r="AY300" i="63"/>
  <c r="D300" i="63"/>
  <c r="T300" i="63"/>
  <c r="AJ300" i="63"/>
  <c r="E300" i="63"/>
  <c r="U300" i="63"/>
  <c r="AK300" i="63"/>
  <c r="F300" i="63"/>
  <c r="AL300" i="63"/>
  <c r="G300" i="63"/>
  <c r="J300" i="63"/>
  <c r="Z300" i="63"/>
  <c r="AP300" i="63"/>
  <c r="AQ300" i="63"/>
  <c r="AT300" i="63"/>
  <c r="O300" i="63"/>
  <c r="AU300" i="63"/>
  <c r="P300" i="63"/>
  <c r="AV300" i="63"/>
  <c r="W300" i="63"/>
  <c r="X300" i="63"/>
  <c r="Y300" i="63"/>
  <c r="AC300" i="63"/>
  <c r="AD300" i="63"/>
  <c r="AE300" i="63"/>
  <c r="AF300" i="63"/>
  <c r="AM300" i="63"/>
  <c r="H300" i="63"/>
  <c r="AN300" i="63"/>
  <c r="M300" i="63"/>
  <c r="AS300" i="63"/>
  <c r="AR300" i="63"/>
  <c r="I300" i="63"/>
  <c r="L300" i="63"/>
  <c r="AO300" i="63"/>
  <c r="H299" i="65"/>
  <c r="M299" i="65"/>
  <c r="S299" i="65"/>
  <c r="U299" i="65"/>
  <c r="N299" i="65"/>
  <c r="A301" i="63"/>
  <c r="AD300" i="65" l="1"/>
  <c r="AE300" i="65"/>
  <c r="AC300" i="65"/>
  <c r="B300" i="65"/>
  <c r="D300" i="65"/>
  <c r="I300" i="65"/>
  <c r="K300" i="65"/>
  <c r="X300" i="65"/>
  <c r="T300" i="65"/>
  <c r="W300" i="65"/>
  <c r="G300" i="65"/>
  <c r="Z300" i="65"/>
  <c r="O300" i="65"/>
  <c r="AA300" i="65"/>
  <c r="P300" i="65"/>
  <c r="V300" i="65"/>
  <c r="AE301" i="63"/>
  <c r="AU301" i="63"/>
  <c r="P301" i="63"/>
  <c r="AF301" i="63"/>
  <c r="AV301" i="63"/>
  <c r="Q301" i="63"/>
  <c r="AG301" i="63"/>
  <c r="AW301" i="63"/>
  <c r="B301" i="63"/>
  <c r="R301" i="63"/>
  <c r="AH301" i="63"/>
  <c r="AX301" i="63"/>
  <c r="C301" i="63"/>
  <c r="AI301" i="63"/>
  <c r="AY301" i="63"/>
  <c r="D301" i="63"/>
  <c r="T301" i="63"/>
  <c r="AJ301" i="63"/>
  <c r="H301" i="63"/>
  <c r="I301" i="63"/>
  <c r="Y301" i="63"/>
  <c r="AE301" i="65" s="1"/>
  <c r="AC301" i="63"/>
  <c r="E301" i="63"/>
  <c r="AD301" i="63"/>
  <c r="F301" i="63"/>
  <c r="AK301" i="63"/>
  <c r="G301" i="63"/>
  <c r="AL301" i="63"/>
  <c r="AN301" i="63"/>
  <c r="L301" i="63"/>
  <c r="AO301" i="63"/>
  <c r="M301" i="63"/>
  <c r="AP301" i="63"/>
  <c r="AQ301" i="63"/>
  <c r="U301" i="63"/>
  <c r="AR301" i="63"/>
  <c r="AS301" i="63"/>
  <c r="Z301" i="63"/>
  <c r="J301" i="63"/>
  <c r="W301" i="63"/>
  <c r="X301" i="63"/>
  <c r="AM301" i="63"/>
  <c r="AT301" i="63"/>
  <c r="U300" i="65"/>
  <c r="N300" i="65"/>
  <c r="S300" i="65"/>
  <c r="M300" i="65"/>
  <c r="H300" i="65"/>
  <c r="A302" i="63"/>
  <c r="AB301" i="65" l="1"/>
  <c r="V301" i="65"/>
  <c r="AD301" i="65"/>
  <c r="AC301" i="65"/>
  <c r="P301" i="65"/>
  <c r="K301" i="65"/>
  <c r="X301" i="65"/>
  <c r="T301" i="65"/>
  <c r="Z301" i="65"/>
  <c r="W301" i="65"/>
  <c r="G301" i="65"/>
  <c r="B301" i="65"/>
  <c r="O301" i="65"/>
  <c r="AA301" i="65"/>
  <c r="I301" i="65"/>
  <c r="M302" i="63"/>
  <c r="AC302" i="63"/>
  <c r="AS302" i="63"/>
  <c r="N302" i="63"/>
  <c r="AD302" i="63"/>
  <c r="AT302" i="63"/>
  <c r="AE302" i="63"/>
  <c r="AU302" i="63"/>
  <c r="P302" i="63"/>
  <c r="AF302" i="63"/>
  <c r="AV302" i="63"/>
  <c r="Q302" i="63"/>
  <c r="AG302" i="63"/>
  <c r="AW302" i="63"/>
  <c r="B302" i="63"/>
  <c r="R302" i="63"/>
  <c r="AH302" i="63"/>
  <c r="AX302" i="63"/>
  <c r="E302" i="63"/>
  <c r="F302" i="63"/>
  <c r="G302" i="63"/>
  <c r="AI302" i="63"/>
  <c r="H302" i="63"/>
  <c r="AJ302" i="63"/>
  <c r="I302" i="63"/>
  <c r="AK302" i="63"/>
  <c r="J302" i="63"/>
  <c r="AL302" i="63"/>
  <c r="L302" i="63"/>
  <c r="AN302" i="63"/>
  <c r="S302" i="63"/>
  <c r="AO302" i="63"/>
  <c r="T302" i="63"/>
  <c r="AP302" i="63"/>
  <c r="U302" i="63"/>
  <c r="AQ302" i="63"/>
  <c r="V302" i="63"/>
  <c r="D302" i="65" s="1"/>
  <c r="AR302" i="63"/>
  <c r="W302" i="63"/>
  <c r="AY302" i="63"/>
  <c r="D302" i="63"/>
  <c r="Z302" i="63"/>
  <c r="C302" i="63"/>
  <c r="K302" i="63"/>
  <c r="X302" i="63"/>
  <c r="Y302" i="63"/>
  <c r="AE302" i="65" s="1"/>
  <c r="AM302" i="63"/>
  <c r="M301" i="65"/>
  <c r="H301" i="65"/>
  <c r="S301" i="65"/>
  <c r="U301" i="65"/>
  <c r="N301" i="65"/>
  <c r="A303" i="63"/>
  <c r="J302" i="65" l="1"/>
  <c r="AC302" i="65"/>
  <c r="AD302" i="65"/>
  <c r="O302" i="65"/>
  <c r="K302" i="65"/>
  <c r="W302" i="65"/>
  <c r="X302" i="65"/>
  <c r="T302" i="65"/>
  <c r="P302" i="65"/>
  <c r="AA302" i="65"/>
  <c r="AB302" i="65"/>
  <c r="V302" i="65"/>
  <c r="G302" i="65"/>
  <c r="Z302" i="65"/>
  <c r="B302" i="65"/>
  <c r="U302" i="65"/>
  <c r="I302" i="65"/>
  <c r="Y302" i="65"/>
  <c r="K303" i="63"/>
  <c r="AQ303" i="63"/>
  <c r="L303" i="63"/>
  <c r="AR303" i="63"/>
  <c r="M303" i="63"/>
  <c r="AC303" i="63"/>
  <c r="AS303" i="63"/>
  <c r="N303" i="63"/>
  <c r="AD303" i="63"/>
  <c r="AT303" i="63"/>
  <c r="O303" i="63"/>
  <c r="AE303" i="63"/>
  <c r="AU303" i="63"/>
  <c r="P303" i="63"/>
  <c r="AF303" i="63"/>
  <c r="AV303" i="63"/>
  <c r="AG303" i="63"/>
  <c r="AH303" i="63"/>
  <c r="AI303" i="63"/>
  <c r="H303" i="63"/>
  <c r="AJ303" i="63"/>
  <c r="I303" i="63"/>
  <c r="AK303" i="63"/>
  <c r="J303" i="63"/>
  <c r="AL303" i="63"/>
  <c r="R303" i="63"/>
  <c r="AN303" i="63"/>
  <c r="S303" i="63"/>
  <c r="AO303" i="63"/>
  <c r="T303" i="63"/>
  <c r="AP303" i="63"/>
  <c r="U303" i="63"/>
  <c r="AW303" i="63"/>
  <c r="V303" i="63"/>
  <c r="AX303" i="63"/>
  <c r="W303" i="63"/>
  <c r="AY303" i="63"/>
  <c r="Z303" i="63"/>
  <c r="AM303" i="63"/>
  <c r="Q303" i="63"/>
  <c r="M302" i="65"/>
  <c r="H302" i="65"/>
  <c r="S302" i="65"/>
  <c r="N302" i="65"/>
  <c r="A304" i="63"/>
  <c r="J303" i="65" l="1"/>
  <c r="AC303" i="65"/>
  <c r="O303" i="65"/>
  <c r="D303" i="65"/>
  <c r="K303" i="65"/>
  <c r="P303" i="65"/>
  <c r="AA303" i="65"/>
  <c r="AB303" i="65"/>
  <c r="W303" i="65"/>
  <c r="I303" i="65"/>
  <c r="Y303" i="65"/>
  <c r="G303" i="65"/>
  <c r="Z303" i="65"/>
  <c r="V303" i="65"/>
  <c r="I304" i="63"/>
  <c r="Y304" i="63"/>
  <c r="AE304" i="65" s="1"/>
  <c r="AO304" i="63"/>
  <c r="J304" i="63"/>
  <c r="Z304" i="63"/>
  <c r="AP304" i="63"/>
  <c r="K304" i="63"/>
  <c r="AQ304" i="63"/>
  <c r="L304" i="63"/>
  <c r="AR304" i="63"/>
  <c r="M304" i="63"/>
  <c r="AC304" i="63"/>
  <c r="AS304" i="63"/>
  <c r="N304" i="63"/>
  <c r="AD304" i="63"/>
  <c r="AT304" i="63"/>
  <c r="E304" i="63"/>
  <c r="AG304" i="63"/>
  <c r="F304" i="63"/>
  <c r="AH304" i="63"/>
  <c r="G304" i="63"/>
  <c r="AI304" i="63"/>
  <c r="H304" i="63"/>
  <c r="O304" i="65" s="1"/>
  <c r="AJ304" i="63"/>
  <c r="O304" i="63"/>
  <c r="AK304" i="63"/>
  <c r="P304" i="63"/>
  <c r="AL304" i="63"/>
  <c r="AN304" i="63"/>
  <c r="S304" i="63"/>
  <c r="AU304" i="63"/>
  <c r="T304" i="63"/>
  <c r="AV304" i="63"/>
  <c r="U304" i="63"/>
  <c r="AW304" i="63"/>
  <c r="V304" i="63"/>
  <c r="D304" i="65" s="1"/>
  <c r="AX304" i="63"/>
  <c r="W304" i="63"/>
  <c r="AY304" i="63"/>
  <c r="D304" i="63"/>
  <c r="AF304" i="63"/>
  <c r="B304" i="63"/>
  <c r="C304" i="63"/>
  <c r="X304" i="63"/>
  <c r="AE304" i="63"/>
  <c r="AM304" i="63"/>
  <c r="M303" i="65"/>
  <c r="S303" i="65"/>
  <c r="N303" i="65"/>
  <c r="H303" i="65"/>
  <c r="A305" i="63"/>
  <c r="AD304" i="65" l="1"/>
  <c r="AC304" i="65"/>
  <c r="J304" i="65"/>
  <c r="K304" i="65"/>
  <c r="P304" i="65"/>
  <c r="X304" i="65"/>
  <c r="T304" i="65"/>
  <c r="AA304" i="65"/>
  <c r="V304" i="65"/>
  <c r="I304" i="65"/>
  <c r="M304" i="65"/>
  <c r="G304" i="65"/>
  <c r="W304" i="65"/>
  <c r="Z304" i="65"/>
  <c r="B304" i="65"/>
  <c r="G305" i="63"/>
  <c r="W305" i="63"/>
  <c r="AM305" i="63"/>
  <c r="H305" i="63"/>
  <c r="X305" i="63"/>
  <c r="AN305" i="63"/>
  <c r="I305" i="63"/>
  <c r="O305" i="65" s="1"/>
  <c r="Y305" i="63"/>
  <c r="AE305" i="65" s="1"/>
  <c r="AO305" i="63"/>
  <c r="AQ305" i="63"/>
  <c r="E305" i="63"/>
  <c r="AC305" i="63"/>
  <c r="AW305" i="63"/>
  <c r="F305" i="63"/>
  <c r="AD305" i="63"/>
  <c r="AX305" i="63"/>
  <c r="J305" i="63"/>
  <c r="AE305" i="63"/>
  <c r="AY305" i="63"/>
  <c r="L305" i="63"/>
  <c r="AF305" i="63"/>
  <c r="M305" i="63"/>
  <c r="AG305" i="63"/>
  <c r="N305" i="63"/>
  <c r="AH305" i="63"/>
  <c r="P305" i="63"/>
  <c r="AJ305" i="63"/>
  <c r="AK305" i="63"/>
  <c r="AL305" i="63"/>
  <c r="AP305" i="63"/>
  <c r="T305" i="63"/>
  <c r="AR305" i="63"/>
  <c r="U305" i="63"/>
  <c r="AS305" i="63"/>
  <c r="D305" i="63"/>
  <c r="AV305" i="63"/>
  <c r="B305" i="63"/>
  <c r="C305" i="63"/>
  <c r="O305" i="63"/>
  <c r="V305" i="63"/>
  <c r="D305" i="65" s="1"/>
  <c r="Z305" i="63"/>
  <c r="AI305" i="63"/>
  <c r="AT305" i="63"/>
  <c r="AU305" i="63"/>
  <c r="Y304" i="65"/>
  <c r="N304" i="65"/>
  <c r="S304" i="65"/>
  <c r="H304" i="65"/>
  <c r="U304" i="65"/>
  <c r="A306" i="63"/>
  <c r="AC305" i="65" l="1"/>
  <c r="AD305" i="65"/>
  <c r="P305" i="65"/>
  <c r="S305" i="65"/>
  <c r="J305" i="65"/>
  <c r="K305" i="65"/>
  <c r="X305" i="65"/>
  <c r="T305" i="65"/>
  <c r="AA305" i="65"/>
  <c r="V305" i="65"/>
  <c r="G305" i="65"/>
  <c r="W305" i="65"/>
  <c r="I305" i="65"/>
  <c r="Z305" i="65"/>
  <c r="B305" i="65"/>
  <c r="U306" i="63"/>
  <c r="AK306" i="63"/>
  <c r="V306" i="63"/>
  <c r="AL306" i="63"/>
  <c r="W306" i="63"/>
  <c r="AM306" i="63"/>
  <c r="I306" i="63"/>
  <c r="O306" i="65" s="1"/>
  <c r="AO306" i="63"/>
  <c r="AQ306" i="63"/>
  <c r="AR306" i="63"/>
  <c r="AS306" i="63"/>
  <c r="Z306" i="63"/>
  <c r="AT306" i="63"/>
  <c r="AU306" i="63"/>
  <c r="AV306" i="63"/>
  <c r="J306" i="63"/>
  <c r="AD306" i="63"/>
  <c r="AX306" i="63"/>
  <c r="AE306" i="63"/>
  <c r="AY306" i="63"/>
  <c r="L306" i="63"/>
  <c r="K306" i="65" s="1"/>
  <c r="AF306" i="63"/>
  <c r="M306" i="63"/>
  <c r="AG306" i="63"/>
  <c r="N306" i="63"/>
  <c r="AH306" i="63"/>
  <c r="O306" i="63"/>
  <c r="AI306" i="63"/>
  <c r="AP306" i="63"/>
  <c r="P306" i="63"/>
  <c r="AC306" i="63"/>
  <c r="AJ306" i="63"/>
  <c r="AN306" i="63"/>
  <c r="AW306" i="63"/>
  <c r="H306" i="63"/>
  <c r="M305" i="65"/>
  <c r="U305" i="65"/>
  <c r="N305" i="65"/>
  <c r="H305" i="65"/>
  <c r="A307" i="63"/>
  <c r="AC306" i="65" l="1"/>
  <c r="J306" i="65"/>
  <c r="D306" i="65"/>
  <c r="W306" i="65"/>
  <c r="V306" i="65"/>
  <c r="G306" i="65"/>
  <c r="P306" i="65"/>
  <c r="Z306" i="65"/>
  <c r="I306" i="65"/>
  <c r="N306" i="65"/>
  <c r="C307" i="63"/>
  <c r="AI307" i="63"/>
  <c r="AY307" i="63"/>
  <c r="D307" i="63"/>
  <c r="AJ307" i="63"/>
  <c r="E307" i="63"/>
  <c r="U307" i="63"/>
  <c r="AK307" i="63"/>
  <c r="G307" i="63"/>
  <c r="W307" i="63"/>
  <c r="AM307" i="63"/>
  <c r="M307" i="63"/>
  <c r="AG307" i="63"/>
  <c r="N307" i="63"/>
  <c r="AH307" i="63"/>
  <c r="O307" i="63"/>
  <c r="AL307" i="63"/>
  <c r="AN307" i="63"/>
  <c r="AO307" i="63"/>
  <c r="AP307" i="63"/>
  <c r="X307" i="63"/>
  <c r="AR307" i="63"/>
  <c r="Y307" i="63"/>
  <c r="AE307" i="65" s="1"/>
  <c r="AS307" i="63"/>
  <c r="B307" i="63"/>
  <c r="Z307" i="63"/>
  <c r="AT307" i="63"/>
  <c r="F307" i="63"/>
  <c r="AU307" i="63"/>
  <c r="H307" i="63"/>
  <c r="AV307" i="63"/>
  <c r="I307" i="63"/>
  <c r="AC307" i="63"/>
  <c r="AW307" i="63"/>
  <c r="L307" i="63"/>
  <c r="AF307" i="63"/>
  <c r="J307" i="63"/>
  <c r="V307" i="63"/>
  <c r="D307" i="65" s="1"/>
  <c r="AD307" i="63"/>
  <c r="AE307" i="63"/>
  <c r="AQ307" i="63"/>
  <c r="AX307" i="63"/>
  <c r="S306" i="65"/>
  <c r="H306" i="65"/>
  <c r="M306" i="65"/>
  <c r="A308" i="63"/>
  <c r="AC307" i="65" l="1"/>
  <c r="AD307" i="65"/>
  <c r="T307" i="65"/>
  <c r="X307" i="65"/>
  <c r="K307" i="65"/>
  <c r="J307" i="65"/>
  <c r="P307" i="65"/>
  <c r="S307" i="65"/>
  <c r="I307" i="65"/>
  <c r="W307" i="65"/>
  <c r="B307" i="65"/>
  <c r="Z307" i="65"/>
  <c r="O307" i="65"/>
  <c r="V307" i="65"/>
  <c r="G307" i="65"/>
  <c r="Q308" i="63"/>
  <c r="AG308" i="63"/>
  <c r="AW308" i="63"/>
  <c r="B308" i="63"/>
  <c r="R308" i="63"/>
  <c r="AH308" i="63"/>
  <c r="AX308" i="63"/>
  <c r="C308" i="63"/>
  <c r="AI308" i="63"/>
  <c r="AY308" i="63"/>
  <c r="E308" i="63"/>
  <c r="U308" i="63"/>
  <c r="AK308" i="63"/>
  <c r="G308" i="63"/>
  <c r="AU308" i="63"/>
  <c r="H308" i="63"/>
  <c r="AV308" i="63"/>
  <c r="I308" i="63"/>
  <c r="AC308" i="63"/>
  <c r="J308" i="63"/>
  <c r="AD308" i="63"/>
  <c r="AE308" i="63"/>
  <c r="L308" i="63"/>
  <c r="AF308" i="63"/>
  <c r="N308" i="63"/>
  <c r="AL308" i="63"/>
  <c r="O308" i="63"/>
  <c r="AM308" i="63"/>
  <c r="P308" i="63"/>
  <c r="AN308" i="63"/>
  <c r="AO308" i="63"/>
  <c r="V308" i="63"/>
  <c r="AP308" i="63"/>
  <c r="W308" i="63"/>
  <c r="AQ308" i="63"/>
  <c r="F308" i="63"/>
  <c r="Z308" i="63"/>
  <c r="AT308" i="63"/>
  <c r="Y308" i="63"/>
  <c r="AE308" i="65" s="1"/>
  <c r="AJ308" i="63"/>
  <c r="AR308" i="63"/>
  <c r="AS308" i="63"/>
  <c r="D308" i="63"/>
  <c r="M308" i="63"/>
  <c r="X308" i="63"/>
  <c r="U307" i="65"/>
  <c r="N307" i="65"/>
  <c r="M307" i="65"/>
  <c r="H307" i="65"/>
  <c r="A309" i="63"/>
  <c r="T308" i="65" l="1"/>
  <c r="AC308" i="65"/>
  <c r="AD308" i="65"/>
  <c r="X308" i="65"/>
  <c r="AB308" i="65"/>
  <c r="D308" i="65"/>
  <c r="J308" i="65"/>
  <c r="K308" i="65"/>
  <c r="Z308" i="65"/>
  <c r="W308" i="65"/>
  <c r="P308" i="65"/>
  <c r="B308" i="65"/>
  <c r="G308" i="65"/>
  <c r="V308" i="65"/>
  <c r="O308" i="65"/>
  <c r="I308" i="65"/>
  <c r="O309" i="63"/>
  <c r="AE309" i="63"/>
  <c r="AU309" i="63"/>
  <c r="P309" i="63"/>
  <c r="AF309" i="63"/>
  <c r="Q309" i="63"/>
  <c r="AG309" i="63"/>
  <c r="C309" i="63"/>
  <c r="S309" i="63"/>
  <c r="AI309" i="63"/>
  <c r="AY309" i="63"/>
  <c r="U309" i="63"/>
  <c r="AO309" i="63"/>
  <c r="V309" i="63"/>
  <c r="AP309" i="63"/>
  <c r="B309" i="63"/>
  <c r="W309" i="63"/>
  <c r="AQ309" i="63"/>
  <c r="D309" i="63"/>
  <c r="X309" i="63"/>
  <c r="AR309" i="63"/>
  <c r="E309" i="63"/>
  <c r="Y309" i="63"/>
  <c r="AE309" i="65" s="1"/>
  <c r="AS309" i="63"/>
  <c r="F309" i="63"/>
  <c r="Z309" i="63"/>
  <c r="AT309" i="63"/>
  <c r="H309" i="63"/>
  <c r="AW309" i="63"/>
  <c r="I309" i="63"/>
  <c r="AC309" i="63"/>
  <c r="AX309" i="63"/>
  <c r="J309" i="63"/>
  <c r="AD309" i="63"/>
  <c r="K309" i="63"/>
  <c r="AH309" i="63"/>
  <c r="L309" i="63"/>
  <c r="AJ309" i="63"/>
  <c r="M309" i="63"/>
  <c r="AK309" i="63"/>
  <c r="AN309" i="63"/>
  <c r="G309" i="63"/>
  <c r="N309" i="63"/>
  <c r="R309" i="63"/>
  <c r="AL309" i="63"/>
  <c r="AM309" i="63"/>
  <c r="AV309" i="63"/>
  <c r="H308" i="65"/>
  <c r="U308" i="65"/>
  <c r="N308" i="65"/>
  <c r="M308" i="65"/>
  <c r="S308" i="65"/>
  <c r="A310" i="63"/>
  <c r="AB309" i="65" l="1"/>
  <c r="AD309" i="65"/>
  <c r="AC309" i="65"/>
  <c r="J309" i="65"/>
  <c r="D309" i="65"/>
  <c r="K309" i="65"/>
  <c r="Z309" i="65"/>
  <c r="X309" i="65"/>
  <c r="T309" i="65"/>
  <c r="W309" i="65"/>
  <c r="B309" i="65"/>
  <c r="P309" i="65"/>
  <c r="I309" i="65"/>
  <c r="V309" i="65"/>
  <c r="G309" i="65"/>
  <c r="O309" i="65"/>
  <c r="M310" i="63"/>
  <c r="AC310" i="63"/>
  <c r="AS310" i="63"/>
  <c r="Q310" i="63"/>
  <c r="AG310" i="63"/>
  <c r="AW310" i="63"/>
  <c r="I310" i="63"/>
  <c r="AT310" i="63"/>
  <c r="J310" i="63"/>
  <c r="AU310" i="63"/>
  <c r="K310" i="63"/>
  <c r="AD310" i="63"/>
  <c r="AV310" i="63"/>
  <c r="L310" i="63"/>
  <c r="K310" i="65" s="1"/>
  <c r="AE310" i="63"/>
  <c r="AX310" i="63"/>
  <c r="N310" i="63"/>
  <c r="AF310" i="63"/>
  <c r="AY310" i="63"/>
  <c r="O310" i="63"/>
  <c r="AH310" i="63"/>
  <c r="R310" i="63"/>
  <c r="AJ310" i="63"/>
  <c r="S310" i="63"/>
  <c r="AK310" i="63"/>
  <c r="B310" i="63"/>
  <c r="T310" i="63"/>
  <c r="AL310" i="63"/>
  <c r="C310" i="63"/>
  <c r="U310" i="63"/>
  <c r="AM310" i="63"/>
  <c r="D310" i="63"/>
  <c r="V310" i="63"/>
  <c r="AN310" i="63"/>
  <c r="E310" i="63"/>
  <c r="W310" i="63"/>
  <c r="AO310" i="63"/>
  <c r="H310" i="63"/>
  <c r="G310" i="65" s="1"/>
  <c r="Z310" i="63"/>
  <c r="AR310" i="63"/>
  <c r="AI310" i="63"/>
  <c r="AP310" i="63"/>
  <c r="AQ310" i="63"/>
  <c r="F310" i="63"/>
  <c r="G310" i="63"/>
  <c r="X310" i="63"/>
  <c r="Y310" i="63"/>
  <c r="Y309" i="65"/>
  <c r="M309" i="65"/>
  <c r="N309" i="65"/>
  <c r="U309" i="65"/>
  <c r="H309" i="65"/>
  <c r="S309" i="65"/>
  <c r="A311" i="63"/>
  <c r="AD310" i="65" l="1"/>
  <c r="AE310" i="65"/>
  <c r="AB310" i="65"/>
  <c r="AC310" i="65"/>
  <c r="J310" i="65"/>
  <c r="Z310" i="65"/>
  <c r="D310" i="65"/>
  <c r="S310" i="65"/>
  <c r="X310" i="65"/>
  <c r="T310" i="65"/>
  <c r="B310" i="65"/>
  <c r="I310" i="65"/>
  <c r="W310" i="65"/>
  <c r="O310" i="65"/>
  <c r="AA310" i="65"/>
  <c r="V310" i="65"/>
  <c r="P310" i="65"/>
  <c r="K311" i="63"/>
  <c r="AQ311" i="63"/>
  <c r="O311" i="63"/>
  <c r="AE311" i="63"/>
  <c r="AU311" i="63"/>
  <c r="N311" i="63"/>
  <c r="AG311" i="63"/>
  <c r="AY311" i="63"/>
  <c r="AH311" i="63"/>
  <c r="AI311" i="63"/>
  <c r="AJ311" i="63"/>
  <c r="S311" i="63"/>
  <c r="AK311" i="63"/>
  <c r="T311" i="63"/>
  <c r="AL311" i="63"/>
  <c r="V311" i="63"/>
  <c r="AN311" i="63"/>
  <c r="AO311" i="63"/>
  <c r="AP311" i="63"/>
  <c r="AR311" i="63"/>
  <c r="Z311" i="63"/>
  <c r="AS311" i="63"/>
  <c r="I311" i="63"/>
  <c r="AT311" i="63"/>
  <c r="M311" i="63"/>
  <c r="AF311" i="63"/>
  <c r="AX311" i="63"/>
  <c r="J311" i="63"/>
  <c r="L311" i="63"/>
  <c r="K311" i="65" s="1"/>
  <c r="U311" i="63"/>
  <c r="AC311" i="63"/>
  <c r="AD311" i="63"/>
  <c r="AM311" i="63"/>
  <c r="AV311" i="63"/>
  <c r="AW311" i="63"/>
  <c r="U310" i="65"/>
  <c r="H310" i="65"/>
  <c r="Y310" i="65"/>
  <c r="N310" i="65"/>
  <c r="M310" i="65"/>
  <c r="A312" i="63"/>
  <c r="AC311" i="65" l="1"/>
  <c r="P311" i="65"/>
  <c r="D311" i="65"/>
  <c r="G311" i="65"/>
  <c r="V311" i="65"/>
  <c r="O311" i="65"/>
  <c r="AA311" i="65"/>
  <c r="W311" i="65"/>
  <c r="Z311" i="65"/>
  <c r="I311" i="65"/>
  <c r="AO312" i="63"/>
  <c r="M312" i="63"/>
  <c r="AC312" i="63"/>
  <c r="AS312" i="63"/>
  <c r="AK312" i="63"/>
  <c r="T312" i="63"/>
  <c r="AL312" i="63"/>
  <c r="U312" i="63"/>
  <c r="AM312" i="63"/>
  <c r="V312" i="63"/>
  <c r="AN312" i="63"/>
  <c r="W312" i="63"/>
  <c r="AP312" i="63"/>
  <c r="AQ312" i="63"/>
  <c r="H312" i="63"/>
  <c r="AT312" i="63"/>
  <c r="J312" i="63"/>
  <c r="AU312" i="63"/>
  <c r="AD312" i="63"/>
  <c r="AV312" i="63"/>
  <c r="L312" i="63"/>
  <c r="K312" i="65" s="1"/>
  <c r="AE312" i="63"/>
  <c r="AW312" i="63"/>
  <c r="N312" i="63"/>
  <c r="AF312" i="63"/>
  <c r="AX312" i="63"/>
  <c r="O312" i="63"/>
  <c r="AG312" i="63"/>
  <c r="AY312" i="63"/>
  <c r="AJ312" i="63"/>
  <c r="AH312" i="63"/>
  <c r="AI312" i="63"/>
  <c r="AR312" i="63"/>
  <c r="P312" i="63"/>
  <c r="Z312" i="63"/>
  <c r="S311" i="65"/>
  <c r="Y311" i="65"/>
  <c r="M311" i="65"/>
  <c r="H311" i="65"/>
  <c r="A313" i="63"/>
  <c r="AC312" i="65" l="1"/>
  <c r="J312" i="65"/>
  <c r="D312" i="65"/>
  <c r="W312" i="65"/>
  <c r="G312" i="65"/>
  <c r="Z312" i="65"/>
  <c r="I312" i="65"/>
  <c r="V312" i="65"/>
  <c r="O312" i="65"/>
  <c r="AA312" i="65"/>
  <c r="P312" i="65"/>
  <c r="G313" i="63"/>
  <c r="AM313" i="63"/>
  <c r="E313" i="63"/>
  <c r="X313" i="63"/>
  <c r="AO313" i="63"/>
  <c r="F313" i="63"/>
  <c r="Y313" i="63"/>
  <c r="AE313" i="65" s="1"/>
  <c r="AP313" i="63"/>
  <c r="Z313" i="63"/>
  <c r="AQ313" i="63"/>
  <c r="I313" i="63"/>
  <c r="AR313" i="63"/>
  <c r="J313" i="63"/>
  <c r="AS313" i="63"/>
  <c r="L313" i="63"/>
  <c r="AC313" i="63"/>
  <c r="AT313" i="63"/>
  <c r="N313" i="63"/>
  <c r="AE313" i="63"/>
  <c r="AV313" i="63"/>
  <c r="O313" i="63"/>
  <c r="AF313" i="63"/>
  <c r="AW313" i="63"/>
  <c r="P313" i="63"/>
  <c r="AG313" i="63"/>
  <c r="AX313" i="63"/>
  <c r="AH313" i="63"/>
  <c r="AY313" i="63"/>
  <c r="AI313" i="63"/>
  <c r="AJ313" i="63"/>
  <c r="D313" i="63"/>
  <c r="V313" i="63"/>
  <c r="AN313" i="63"/>
  <c r="B313" i="63"/>
  <c r="C313" i="63"/>
  <c r="M313" i="63"/>
  <c r="T313" i="63"/>
  <c r="U313" i="63"/>
  <c r="AD313" i="63"/>
  <c r="AK313" i="63"/>
  <c r="AL313" i="63"/>
  <c r="AU313" i="63"/>
  <c r="M312" i="65"/>
  <c r="H312" i="65"/>
  <c r="S312" i="65"/>
  <c r="A314" i="63"/>
  <c r="P313" i="65" l="1"/>
  <c r="V313" i="65"/>
  <c r="AD313" i="65"/>
  <c r="AC313" i="65"/>
  <c r="D313" i="65"/>
  <c r="K313" i="65"/>
  <c r="X313" i="65"/>
  <c r="T313" i="65"/>
  <c r="W313" i="65"/>
  <c r="I313" i="65"/>
  <c r="O313" i="65"/>
  <c r="AA313" i="65"/>
  <c r="Z313" i="65"/>
  <c r="G313" i="65"/>
  <c r="B313" i="65"/>
  <c r="E314" i="63"/>
  <c r="X314" i="63"/>
  <c r="AN314" i="63"/>
  <c r="Y314" i="63"/>
  <c r="AE314" i="65" s="1"/>
  <c r="AO314" i="63"/>
  <c r="J314" i="63"/>
  <c r="Z314" i="63"/>
  <c r="AP314" i="63"/>
  <c r="AQ314" i="63"/>
  <c r="L314" i="63"/>
  <c r="AR314" i="63"/>
  <c r="M314" i="63"/>
  <c r="AC314" i="63"/>
  <c r="AS314" i="63"/>
  <c r="O314" i="63"/>
  <c r="AE314" i="63"/>
  <c r="AU314" i="63"/>
  <c r="P314" i="63"/>
  <c r="AF314" i="63"/>
  <c r="AV314" i="63"/>
  <c r="AG314" i="63"/>
  <c r="AW314" i="63"/>
  <c r="AH314" i="63"/>
  <c r="AX314" i="63"/>
  <c r="B314" i="63"/>
  <c r="AI314" i="63"/>
  <c r="AY314" i="63"/>
  <c r="C314" i="63"/>
  <c r="T314" i="63"/>
  <c r="AJ314" i="63"/>
  <c r="G314" i="63"/>
  <c r="AM314" i="63"/>
  <c r="V314" i="63"/>
  <c r="D314" i="65" s="1"/>
  <c r="AD314" i="63"/>
  <c r="AK314" i="63"/>
  <c r="AL314" i="63"/>
  <c r="AT314" i="63"/>
  <c r="D314" i="63"/>
  <c r="F314" i="63"/>
  <c r="N314" i="63"/>
  <c r="U314" i="63"/>
  <c r="S313" i="65"/>
  <c r="U313" i="65"/>
  <c r="H313" i="65"/>
  <c r="M313" i="65"/>
  <c r="A315" i="63"/>
  <c r="T314" i="65" l="1"/>
  <c r="AC314" i="65"/>
  <c r="AD314" i="65"/>
  <c r="X314" i="65"/>
  <c r="O314" i="65"/>
  <c r="P314" i="65"/>
  <c r="K314" i="65"/>
  <c r="W314" i="65"/>
  <c r="AA314" i="65"/>
  <c r="G314" i="65"/>
  <c r="I314" i="65"/>
  <c r="V314" i="65"/>
  <c r="S314" i="65"/>
  <c r="B314" i="65"/>
  <c r="Z314" i="65"/>
  <c r="F315" i="63"/>
  <c r="V315" i="63"/>
  <c r="AL315" i="63"/>
  <c r="G315" i="63"/>
  <c r="W315" i="63"/>
  <c r="AM315" i="63"/>
  <c r="H315" i="63"/>
  <c r="X315" i="63"/>
  <c r="AN315" i="63"/>
  <c r="Y315" i="63"/>
  <c r="AE315" i="65" s="1"/>
  <c r="AO315" i="63"/>
  <c r="J315" i="63"/>
  <c r="Z315" i="63"/>
  <c r="AP315" i="63"/>
  <c r="AQ315" i="63"/>
  <c r="AC315" i="63"/>
  <c r="AS315" i="63"/>
  <c r="N315" i="63"/>
  <c r="AD315" i="63"/>
  <c r="AT315" i="63"/>
  <c r="O315" i="63"/>
  <c r="AE315" i="63"/>
  <c r="AU315" i="63"/>
  <c r="P315" i="63"/>
  <c r="AF315" i="63"/>
  <c r="AV315" i="63"/>
  <c r="Q315" i="63"/>
  <c r="AG315" i="63"/>
  <c r="AW315" i="63"/>
  <c r="B315" i="63"/>
  <c r="R315" i="63"/>
  <c r="AH315" i="63"/>
  <c r="AX315" i="63"/>
  <c r="E315" i="63"/>
  <c r="U315" i="63"/>
  <c r="AK315" i="63"/>
  <c r="C315" i="63"/>
  <c r="D315" i="63"/>
  <c r="L315" i="63"/>
  <c r="T315" i="63"/>
  <c r="AI315" i="63"/>
  <c r="AJ315" i="63"/>
  <c r="AR315" i="63"/>
  <c r="AY315" i="63"/>
  <c r="M314" i="65"/>
  <c r="H314" i="65"/>
  <c r="U314" i="65"/>
  <c r="A316" i="63"/>
  <c r="AC315" i="65" l="1"/>
  <c r="AD315" i="65"/>
  <c r="AB315" i="65"/>
  <c r="J315" i="65"/>
  <c r="D315" i="65"/>
  <c r="K315" i="65"/>
  <c r="B315" i="65"/>
  <c r="X315" i="65"/>
  <c r="T315" i="65"/>
  <c r="W315" i="65"/>
  <c r="V315" i="65"/>
  <c r="G315" i="65"/>
  <c r="O315" i="65"/>
  <c r="AA315" i="65"/>
  <c r="P315" i="65"/>
  <c r="Z315" i="65"/>
  <c r="I315" i="65"/>
  <c r="D316" i="63"/>
  <c r="T316" i="63"/>
  <c r="AJ316" i="63"/>
  <c r="E316" i="63"/>
  <c r="U316" i="63"/>
  <c r="AK316" i="63"/>
  <c r="F316" i="63"/>
  <c r="V316" i="63"/>
  <c r="AL316" i="63"/>
  <c r="G316" i="63"/>
  <c r="W316" i="63"/>
  <c r="AM316" i="63"/>
  <c r="H316" i="63"/>
  <c r="X316" i="63"/>
  <c r="AN316" i="63"/>
  <c r="I316" i="63"/>
  <c r="Y316" i="63"/>
  <c r="AE316" i="65" s="1"/>
  <c r="AO316" i="63"/>
  <c r="K316" i="63"/>
  <c r="AQ316" i="63"/>
  <c r="L316" i="63"/>
  <c r="AR316" i="63"/>
  <c r="M316" i="63"/>
  <c r="AC316" i="63"/>
  <c r="AS316" i="63"/>
  <c r="N316" i="63"/>
  <c r="AD316" i="63"/>
  <c r="AT316" i="63"/>
  <c r="O316" i="63"/>
  <c r="AE316" i="63"/>
  <c r="AU316" i="63"/>
  <c r="P316" i="63"/>
  <c r="AF316" i="63"/>
  <c r="AV316" i="63"/>
  <c r="C316" i="63"/>
  <c r="S316" i="63"/>
  <c r="AI316" i="63"/>
  <c r="AY316" i="63"/>
  <c r="J316" i="63"/>
  <c r="Q316" i="63"/>
  <c r="R316" i="63"/>
  <c r="Z316" i="63"/>
  <c r="AG316" i="63"/>
  <c r="AH316" i="63"/>
  <c r="AP316" i="63"/>
  <c r="AW316" i="63"/>
  <c r="AX316" i="63"/>
  <c r="B316" i="63"/>
  <c r="H315" i="65"/>
  <c r="M315" i="65"/>
  <c r="S315" i="65"/>
  <c r="U315" i="65"/>
  <c r="A317" i="63"/>
  <c r="AD316" i="65" l="1"/>
  <c r="T316" i="65"/>
  <c r="AC316" i="65"/>
  <c r="J316" i="65"/>
  <c r="O316" i="65"/>
  <c r="D316" i="65"/>
  <c r="K316" i="65"/>
  <c r="X316" i="65"/>
  <c r="P316" i="65"/>
  <c r="B316" i="65"/>
  <c r="I316" i="65"/>
  <c r="AA316" i="65"/>
  <c r="AB316" i="65"/>
  <c r="V316" i="65"/>
  <c r="W316" i="65"/>
  <c r="G316" i="65"/>
  <c r="Z316" i="65"/>
  <c r="Y316" i="65"/>
  <c r="R317" i="63"/>
  <c r="AH317" i="63"/>
  <c r="AX317" i="63"/>
  <c r="S317" i="63"/>
  <c r="AI317" i="63"/>
  <c r="AY317" i="63"/>
  <c r="T317" i="63"/>
  <c r="AJ317" i="63"/>
  <c r="U317" i="63"/>
  <c r="AK317" i="63"/>
  <c r="V317" i="63"/>
  <c r="D317" i="65" s="1"/>
  <c r="AL317" i="63"/>
  <c r="W317" i="63"/>
  <c r="AM317" i="63"/>
  <c r="I317" i="63"/>
  <c r="AO317" i="63"/>
  <c r="J317" i="63"/>
  <c r="Z317" i="63"/>
  <c r="AP317" i="63"/>
  <c r="K317" i="63"/>
  <c r="AQ317" i="63"/>
  <c r="L317" i="63"/>
  <c r="AR317" i="63"/>
  <c r="AC317" i="63"/>
  <c r="AS317" i="63"/>
  <c r="N317" i="63"/>
  <c r="AD317" i="63"/>
  <c r="AT317" i="63"/>
  <c r="Q317" i="63"/>
  <c r="AG317" i="63"/>
  <c r="AU317" i="63"/>
  <c r="AV317" i="63"/>
  <c r="AW317" i="63"/>
  <c r="H317" i="63"/>
  <c r="O317" i="63"/>
  <c r="P317" i="63"/>
  <c r="AE317" i="63"/>
  <c r="AF317" i="63"/>
  <c r="AN317" i="63"/>
  <c r="N316" i="65"/>
  <c r="U316" i="65"/>
  <c r="H316" i="65"/>
  <c r="M316" i="65"/>
  <c r="S316" i="65"/>
  <c r="A318" i="63"/>
  <c r="N317" i="65" l="1"/>
  <c r="AE317" i="65"/>
  <c r="AC317" i="65"/>
  <c r="AB317" i="65"/>
  <c r="K317" i="65"/>
  <c r="J317" i="65"/>
  <c r="I317" i="65"/>
  <c r="O317" i="65"/>
  <c r="AA317" i="65"/>
  <c r="Z317" i="65"/>
  <c r="W317" i="65"/>
  <c r="G317" i="65"/>
  <c r="P317" i="65"/>
  <c r="V317" i="65"/>
  <c r="P318" i="63"/>
  <c r="AF318" i="63"/>
  <c r="AV318" i="63"/>
  <c r="AG318" i="63"/>
  <c r="AW318" i="63"/>
  <c r="B318" i="63"/>
  <c r="AH318" i="63"/>
  <c r="AX318" i="63"/>
  <c r="C318" i="63"/>
  <c r="S318" i="63"/>
  <c r="AI318" i="63"/>
  <c r="AY318" i="63"/>
  <c r="D318" i="63"/>
  <c r="T318" i="63"/>
  <c r="AJ318" i="63"/>
  <c r="E318" i="63"/>
  <c r="U318" i="63"/>
  <c r="AK318" i="63"/>
  <c r="G318" i="63"/>
  <c r="W318" i="63"/>
  <c r="AM318" i="63"/>
  <c r="H318" i="63"/>
  <c r="X318" i="63"/>
  <c r="AN318" i="63"/>
  <c r="I318" i="63"/>
  <c r="O318" i="65" s="1"/>
  <c r="Y318" i="63"/>
  <c r="AE318" i="65" s="1"/>
  <c r="AO318" i="63"/>
  <c r="J318" i="63"/>
  <c r="Z318" i="63"/>
  <c r="AP318" i="63"/>
  <c r="K318" i="63"/>
  <c r="AQ318" i="63"/>
  <c r="L318" i="63"/>
  <c r="AR318" i="63"/>
  <c r="F318" i="63"/>
  <c r="N318" i="63"/>
  <c r="O318" i="63"/>
  <c r="V318" i="63"/>
  <c r="D318" i="65" s="1"/>
  <c r="AC318" i="63"/>
  <c r="AD318" i="63"/>
  <c r="AE318" i="63"/>
  <c r="AL318" i="63"/>
  <c r="AS318" i="63"/>
  <c r="AT318" i="63"/>
  <c r="AU318" i="63"/>
  <c r="Y317" i="65"/>
  <c r="S317" i="65"/>
  <c r="H317" i="65"/>
  <c r="M317" i="65"/>
  <c r="A319" i="63"/>
  <c r="P318" i="65" l="1"/>
  <c r="AC318" i="65"/>
  <c r="AD318" i="65"/>
  <c r="J318" i="65"/>
  <c r="I318" i="65"/>
  <c r="K318" i="65"/>
  <c r="X318" i="65"/>
  <c r="T318" i="65"/>
  <c r="AA318" i="65"/>
  <c r="B318" i="65"/>
  <c r="Z318" i="65"/>
  <c r="V318" i="65"/>
  <c r="W318" i="65"/>
  <c r="G318" i="65"/>
  <c r="N319" i="63"/>
  <c r="AD319" i="63"/>
  <c r="AT319" i="63"/>
  <c r="O319" i="63"/>
  <c r="AE319" i="63"/>
  <c r="AU319" i="63"/>
  <c r="P319" i="63"/>
  <c r="AF319" i="63"/>
  <c r="AV319" i="63"/>
  <c r="AG319" i="63"/>
  <c r="AW319" i="63"/>
  <c r="B319" i="63"/>
  <c r="AH319" i="63"/>
  <c r="AX319" i="63"/>
  <c r="C319" i="63"/>
  <c r="AI319" i="63"/>
  <c r="AY319" i="63"/>
  <c r="E319" i="63"/>
  <c r="U319" i="63"/>
  <c r="AK319" i="63"/>
  <c r="F319" i="63"/>
  <c r="V319" i="63"/>
  <c r="AL319" i="63"/>
  <c r="G319" i="63"/>
  <c r="W319" i="63"/>
  <c r="AM319" i="63"/>
  <c r="H319" i="63"/>
  <c r="X319" i="63"/>
  <c r="AN319" i="63"/>
  <c r="I319" i="63"/>
  <c r="Y319" i="63"/>
  <c r="AE319" i="65" s="1"/>
  <c r="AO319" i="63"/>
  <c r="J319" i="63"/>
  <c r="Z319" i="63"/>
  <c r="L319" i="63"/>
  <c r="M319" i="63"/>
  <c r="T319" i="63"/>
  <c r="AC319" i="63"/>
  <c r="AJ319" i="63"/>
  <c r="AP319" i="63"/>
  <c r="AQ319" i="63"/>
  <c r="AR319" i="63"/>
  <c r="AS319" i="63"/>
  <c r="D319" i="63"/>
  <c r="M318" i="65"/>
  <c r="N318" i="65"/>
  <c r="Y318" i="65"/>
  <c r="H318" i="65"/>
  <c r="S318" i="65"/>
  <c r="U318" i="65"/>
  <c r="A320" i="63"/>
  <c r="N319" i="65" l="1"/>
  <c r="AC319" i="65"/>
  <c r="AD319" i="65"/>
  <c r="T319" i="65"/>
  <c r="O319" i="65"/>
  <c r="J319" i="65"/>
  <c r="D319" i="65"/>
  <c r="K319" i="65"/>
  <c r="X319" i="65"/>
  <c r="AA319" i="65"/>
  <c r="P319" i="65"/>
  <c r="I319" i="65"/>
  <c r="Z319" i="65"/>
  <c r="V319" i="65"/>
  <c r="W319" i="65"/>
  <c r="G319" i="65"/>
  <c r="B319" i="65"/>
  <c r="L320" i="63"/>
  <c r="K320" i="65" s="1"/>
  <c r="AR320" i="63"/>
  <c r="M320" i="63"/>
  <c r="AC320" i="63"/>
  <c r="N320" i="63"/>
  <c r="AD320" i="63"/>
  <c r="AT320" i="63"/>
  <c r="O320" i="63"/>
  <c r="AE320" i="63"/>
  <c r="P320" i="63"/>
  <c r="AF320" i="63"/>
  <c r="AG320" i="63"/>
  <c r="AW320" i="63"/>
  <c r="AI320" i="63"/>
  <c r="AY320" i="63"/>
  <c r="T320" i="63"/>
  <c r="U320" i="63"/>
  <c r="AK320" i="63"/>
  <c r="V320" i="63"/>
  <c r="AL320" i="63"/>
  <c r="W320" i="63"/>
  <c r="AX320" i="63"/>
  <c r="Z320" i="63"/>
  <c r="AH320" i="63"/>
  <c r="AJ320" i="63"/>
  <c r="AM320" i="63"/>
  <c r="AN320" i="63"/>
  <c r="AO320" i="63"/>
  <c r="AP320" i="63"/>
  <c r="AQ320" i="63"/>
  <c r="H320" i="63"/>
  <c r="AS320" i="63"/>
  <c r="I320" i="63"/>
  <c r="J320" i="63"/>
  <c r="AU320" i="63"/>
  <c r="AV320" i="63"/>
  <c r="S319" i="65"/>
  <c r="H319" i="65"/>
  <c r="U319" i="65"/>
  <c r="M319" i="65"/>
  <c r="A321" i="63"/>
  <c r="AC320" i="65" l="1"/>
  <c r="J320" i="65"/>
  <c r="D320" i="65"/>
  <c r="W320" i="65"/>
  <c r="P320" i="65"/>
  <c r="O320" i="65"/>
  <c r="AA320" i="65"/>
  <c r="I320" i="65"/>
  <c r="V320" i="65"/>
  <c r="G320" i="65"/>
  <c r="Z320" i="65"/>
  <c r="J321" i="63"/>
  <c r="Z321" i="63"/>
  <c r="AP321" i="63"/>
  <c r="L321" i="63"/>
  <c r="AR321" i="63"/>
  <c r="O321" i="63"/>
  <c r="AE321" i="63"/>
  <c r="AU321" i="63"/>
  <c r="AG321" i="63"/>
  <c r="AW321" i="63"/>
  <c r="C321" i="63"/>
  <c r="AI321" i="63"/>
  <c r="AY321" i="63"/>
  <c r="W321" i="63"/>
  <c r="AT321" i="63"/>
  <c r="B321" i="63"/>
  <c r="X321" i="63"/>
  <c r="AV321" i="63"/>
  <c r="D321" i="63"/>
  <c r="Y321" i="63"/>
  <c r="AX321" i="63"/>
  <c r="E321" i="63"/>
  <c r="F321" i="63"/>
  <c r="AC321" i="63"/>
  <c r="G321" i="63"/>
  <c r="AD321" i="63"/>
  <c r="H321" i="63"/>
  <c r="AF321" i="63"/>
  <c r="I321" i="63"/>
  <c r="AH321" i="63"/>
  <c r="AJ321" i="63"/>
  <c r="M321" i="63"/>
  <c r="AK321" i="63"/>
  <c r="N321" i="63"/>
  <c r="AL321" i="63"/>
  <c r="P321" i="63"/>
  <c r="AM321" i="63"/>
  <c r="AN321" i="63"/>
  <c r="T321" i="63"/>
  <c r="AO321" i="63"/>
  <c r="U321" i="63"/>
  <c r="V321" i="63"/>
  <c r="AQ321" i="63"/>
  <c r="AS321" i="63"/>
  <c r="N320" i="65"/>
  <c r="M320" i="65"/>
  <c r="S320" i="65"/>
  <c r="H320" i="65"/>
  <c r="A322" i="63"/>
  <c r="AD321" i="65" l="1"/>
  <c r="AE321" i="65"/>
  <c r="V321" i="65"/>
  <c r="AC321" i="65"/>
  <c r="J321" i="65"/>
  <c r="K321" i="65"/>
  <c r="B321" i="65"/>
  <c r="D321" i="65"/>
  <c r="X321" i="65"/>
  <c r="T321" i="65"/>
  <c r="W321" i="65"/>
  <c r="I321" i="65"/>
  <c r="O321" i="65"/>
  <c r="AA321" i="65"/>
  <c r="G321" i="65"/>
  <c r="P321" i="65"/>
  <c r="Z321" i="65"/>
  <c r="S321" i="65"/>
  <c r="H322" i="63"/>
  <c r="X322" i="63"/>
  <c r="AN322" i="63"/>
  <c r="J322" i="63"/>
  <c r="Z322" i="63"/>
  <c r="AP322" i="63"/>
  <c r="M322" i="63"/>
  <c r="AC322" i="63"/>
  <c r="AS322" i="63"/>
  <c r="O322" i="63"/>
  <c r="Q322" i="63"/>
  <c r="AG322" i="63"/>
  <c r="T322" i="63"/>
  <c r="AO322" i="63"/>
  <c r="U322" i="63"/>
  <c r="AQ322" i="63"/>
  <c r="V322" i="63"/>
  <c r="D322" i="65" s="1"/>
  <c r="AR322" i="63"/>
  <c r="B322" i="63"/>
  <c r="W322" i="63"/>
  <c r="AT322" i="63"/>
  <c r="C322" i="63"/>
  <c r="Y322" i="63"/>
  <c r="AU322" i="63"/>
  <c r="D322" i="63"/>
  <c r="AV322" i="63"/>
  <c r="E322" i="63"/>
  <c r="AW322" i="63"/>
  <c r="F322" i="63"/>
  <c r="AD322" i="63"/>
  <c r="AX322" i="63"/>
  <c r="G322" i="63"/>
  <c r="AE322" i="63"/>
  <c r="AY322" i="63"/>
  <c r="I322" i="63"/>
  <c r="AF322" i="63"/>
  <c r="AH322" i="63"/>
  <c r="L322" i="63"/>
  <c r="AI322" i="63"/>
  <c r="N322" i="63"/>
  <c r="AJ322" i="63"/>
  <c r="P322" i="63"/>
  <c r="AK322" i="63"/>
  <c r="AM322" i="63"/>
  <c r="R322" i="63"/>
  <c r="AL322" i="63"/>
  <c r="M321" i="65"/>
  <c r="U321" i="65"/>
  <c r="N321" i="65"/>
  <c r="H321" i="65"/>
  <c r="A323" i="63"/>
  <c r="B322" i="65" l="1"/>
  <c r="AD322" i="65"/>
  <c r="AE322" i="65"/>
  <c r="AB322" i="65"/>
  <c r="AC322" i="65"/>
  <c r="J322" i="65"/>
  <c r="K322" i="65"/>
  <c r="X322" i="65"/>
  <c r="T322" i="65"/>
  <c r="I322" i="65"/>
  <c r="V322" i="65"/>
  <c r="W322" i="65"/>
  <c r="G322" i="65"/>
  <c r="P322" i="65"/>
  <c r="O322" i="65"/>
  <c r="AA322" i="65"/>
  <c r="Z322" i="65"/>
  <c r="F323" i="63"/>
  <c r="V323" i="63"/>
  <c r="AL323" i="63"/>
  <c r="H323" i="63"/>
  <c r="G323" i="65" s="1"/>
  <c r="X323" i="63"/>
  <c r="AN323" i="63"/>
  <c r="K323" i="63"/>
  <c r="AQ323" i="63"/>
  <c r="L323" i="63"/>
  <c r="AE323" i="63"/>
  <c r="AX323" i="63"/>
  <c r="M323" i="63"/>
  <c r="AF323" i="63"/>
  <c r="AY323" i="63"/>
  <c r="N323" i="63"/>
  <c r="AG323" i="63"/>
  <c r="O323" i="63"/>
  <c r="AH323" i="63"/>
  <c r="P323" i="63"/>
  <c r="AI323" i="63"/>
  <c r="Q323" i="63"/>
  <c r="AJ323" i="63"/>
  <c r="R323" i="63"/>
  <c r="AK323" i="63"/>
  <c r="S323" i="63"/>
  <c r="AM323" i="63"/>
  <c r="T323" i="63"/>
  <c r="AO323" i="63"/>
  <c r="B323" i="63"/>
  <c r="U323" i="63"/>
  <c r="AP323" i="63"/>
  <c r="C323" i="63"/>
  <c r="W323" i="63"/>
  <c r="AR323" i="63"/>
  <c r="D323" i="63"/>
  <c r="Y323" i="63"/>
  <c r="AE323" i="65" s="1"/>
  <c r="AS323" i="63"/>
  <c r="E323" i="63"/>
  <c r="Z323" i="63"/>
  <c r="AT323" i="63"/>
  <c r="G323" i="63"/>
  <c r="AU323" i="63"/>
  <c r="AC323" i="63"/>
  <c r="AD323" i="63"/>
  <c r="AV323" i="63"/>
  <c r="AW323" i="63"/>
  <c r="I323" i="63"/>
  <c r="J323" i="63"/>
  <c r="N322" i="65"/>
  <c r="S322" i="65"/>
  <c r="U322" i="65"/>
  <c r="M322" i="65"/>
  <c r="H322" i="65"/>
  <c r="A324" i="63"/>
  <c r="T323" i="65" l="1"/>
  <c r="AB323" i="65"/>
  <c r="AD323" i="65"/>
  <c r="AC323" i="65"/>
  <c r="X323" i="65"/>
  <c r="J323" i="65"/>
  <c r="D323" i="65"/>
  <c r="K323" i="65"/>
  <c r="Z323" i="65"/>
  <c r="W323" i="65"/>
  <c r="O323" i="65"/>
  <c r="AA323" i="65"/>
  <c r="V323" i="65"/>
  <c r="B323" i="65"/>
  <c r="P323" i="65"/>
  <c r="I323" i="65"/>
  <c r="D324" i="63"/>
  <c r="T324" i="63"/>
  <c r="AJ324" i="63"/>
  <c r="F324" i="63"/>
  <c r="R324" i="63"/>
  <c r="AI324" i="63"/>
  <c r="S324" i="63"/>
  <c r="AK324" i="63"/>
  <c r="B324" i="63"/>
  <c r="U324" i="63"/>
  <c r="AL324" i="63"/>
  <c r="C324" i="63"/>
  <c r="V324" i="63"/>
  <c r="AM324" i="63"/>
  <c r="E324" i="63"/>
  <c r="W324" i="63"/>
  <c r="AN324" i="63"/>
  <c r="G324" i="63"/>
  <c r="X324" i="63"/>
  <c r="AO324" i="63"/>
  <c r="H324" i="63"/>
  <c r="Y324" i="63"/>
  <c r="AE324" i="65" s="1"/>
  <c r="AP324" i="63"/>
  <c r="I324" i="63"/>
  <c r="M324" i="65" s="1"/>
  <c r="Z324" i="63"/>
  <c r="AQ324" i="63"/>
  <c r="AR324" i="63"/>
  <c r="K324" i="63"/>
  <c r="AS324" i="63"/>
  <c r="L324" i="63"/>
  <c r="AC324" i="63"/>
  <c r="AT324" i="63"/>
  <c r="M324" i="63"/>
  <c r="AD324" i="63"/>
  <c r="AU324" i="63"/>
  <c r="N324" i="63"/>
  <c r="AE324" i="63"/>
  <c r="AV324" i="63"/>
  <c r="O324" i="63"/>
  <c r="AF324" i="63"/>
  <c r="AW324" i="63"/>
  <c r="P324" i="63"/>
  <c r="Q324" i="63"/>
  <c r="AG324" i="63"/>
  <c r="AH324" i="63"/>
  <c r="AX324" i="63"/>
  <c r="AY324" i="63"/>
  <c r="Y323" i="65"/>
  <c r="M323" i="65"/>
  <c r="N323" i="65"/>
  <c r="H323" i="65"/>
  <c r="S323" i="65"/>
  <c r="U323" i="65"/>
  <c r="A325" i="63"/>
  <c r="AD324" i="65" l="1"/>
  <c r="AC324" i="65"/>
  <c r="AB324" i="65"/>
  <c r="J324" i="65"/>
  <c r="K324" i="65"/>
  <c r="D324" i="65"/>
  <c r="W324" i="65"/>
  <c r="X324" i="65"/>
  <c r="T324" i="65"/>
  <c r="B324" i="65"/>
  <c r="P324" i="65"/>
  <c r="O324" i="65"/>
  <c r="AA324" i="65"/>
  <c r="V324" i="65"/>
  <c r="G324" i="65"/>
  <c r="Z324" i="65"/>
  <c r="I324" i="65"/>
  <c r="AH325" i="63"/>
  <c r="AX325" i="63"/>
  <c r="T325" i="63"/>
  <c r="AK325" i="63"/>
  <c r="U325" i="63"/>
  <c r="AL325" i="63"/>
  <c r="V325" i="63"/>
  <c r="AM325" i="63"/>
  <c r="W325" i="63"/>
  <c r="AN325" i="63"/>
  <c r="AO325" i="63"/>
  <c r="H325" i="63"/>
  <c r="AP325" i="63"/>
  <c r="I325" i="63"/>
  <c r="Z325" i="63"/>
  <c r="AQ325" i="63"/>
  <c r="AR325" i="63"/>
  <c r="K325" i="63"/>
  <c r="AS325" i="63"/>
  <c r="L325" i="63"/>
  <c r="K325" i="65" s="1"/>
  <c r="AC325" i="63"/>
  <c r="AT325" i="63"/>
  <c r="M325" i="63"/>
  <c r="AD325" i="63"/>
  <c r="AU325" i="63"/>
  <c r="N325" i="63"/>
  <c r="AE325" i="63"/>
  <c r="AV325" i="63"/>
  <c r="O325" i="63"/>
  <c r="AF325" i="63"/>
  <c r="AW325" i="63"/>
  <c r="P325" i="63"/>
  <c r="AG325" i="63"/>
  <c r="AY325" i="63"/>
  <c r="S325" i="63"/>
  <c r="AI325" i="63"/>
  <c r="AJ325" i="63"/>
  <c r="N324" i="65"/>
  <c r="U324" i="65"/>
  <c r="H324" i="65"/>
  <c r="S324" i="65"/>
  <c r="A326" i="63"/>
  <c r="AC325" i="65" l="1"/>
  <c r="P325" i="65"/>
  <c r="J325" i="65"/>
  <c r="D325" i="65"/>
  <c r="W325" i="65"/>
  <c r="G325" i="65"/>
  <c r="Z325" i="65"/>
  <c r="O325" i="65"/>
  <c r="AA325" i="65"/>
  <c r="I325" i="65"/>
  <c r="N325" i="65"/>
  <c r="P326" i="63"/>
  <c r="AF326" i="63"/>
  <c r="AV326" i="63"/>
  <c r="U326" i="63"/>
  <c r="AL326" i="63"/>
  <c r="V326" i="63"/>
  <c r="AM326" i="63"/>
  <c r="W326" i="63"/>
  <c r="AN326" i="63"/>
  <c r="AO326" i="63"/>
  <c r="H326" i="63"/>
  <c r="O326" i="65" s="1"/>
  <c r="AP326" i="63"/>
  <c r="I326" i="63"/>
  <c r="Z326" i="63"/>
  <c r="AQ326" i="63"/>
  <c r="J326" i="63"/>
  <c r="AR326" i="63"/>
  <c r="AS326" i="63"/>
  <c r="L326" i="63"/>
  <c r="AC326" i="63"/>
  <c r="AT326" i="63"/>
  <c r="M326" i="63"/>
  <c r="AD326" i="63"/>
  <c r="AU326" i="63"/>
  <c r="N326" i="63"/>
  <c r="AE326" i="63"/>
  <c r="AW326" i="63"/>
  <c r="O326" i="63"/>
  <c r="AG326" i="63"/>
  <c r="AX326" i="63"/>
  <c r="AH326" i="63"/>
  <c r="AY326" i="63"/>
  <c r="AI326" i="63"/>
  <c r="T326" i="63"/>
  <c r="AJ326" i="63"/>
  <c r="AK326" i="63"/>
  <c r="H325" i="65"/>
  <c r="S325" i="65"/>
  <c r="M325" i="65"/>
  <c r="A327" i="63"/>
  <c r="AC326" i="65" l="1"/>
  <c r="J326" i="65"/>
  <c r="K326" i="65"/>
  <c r="D326" i="65"/>
  <c r="AA326" i="65"/>
  <c r="G326" i="65"/>
  <c r="V326" i="65"/>
  <c r="W326" i="65"/>
  <c r="S326" i="65"/>
  <c r="I326" i="65"/>
  <c r="Z326" i="65"/>
  <c r="P326" i="65"/>
  <c r="N327" i="63"/>
  <c r="AD327" i="63"/>
  <c r="AT327" i="63"/>
  <c r="E327" i="63"/>
  <c r="V327" i="63"/>
  <c r="AM327" i="63"/>
  <c r="F327" i="63"/>
  <c r="W327" i="63"/>
  <c r="AN327" i="63"/>
  <c r="G327" i="63"/>
  <c r="X327" i="63"/>
  <c r="AO327" i="63"/>
  <c r="H327" i="63"/>
  <c r="Y327" i="63"/>
  <c r="AE327" i="65" s="1"/>
  <c r="AP327" i="63"/>
  <c r="I327" i="63"/>
  <c r="Z327" i="63"/>
  <c r="AQ327" i="63"/>
  <c r="J327" i="63"/>
  <c r="AR327" i="63"/>
  <c r="AS327" i="63"/>
  <c r="L327" i="63"/>
  <c r="AC327" i="63"/>
  <c r="AU327" i="63"/>
  <c r="M327" i="63"/>
  <c r="AE327" i="63"/>
  <c r="AV327" i="63"/>
  <c r="O327" i="63"/>
  <c r="AF327" i="63"/>
  <c r="AW327" i="63"/>
  <c r="P327" i="63"/>
  <c r="AG327" i="63"/>
  <c r="AX327" i="63"/>
  <c r="AH327" i="63"/>
  <c r="AY327" i="63"/>
  <c r="AI327" i="63"/>
  <c r="B327" i="63"/>
  <c r="AJ327" i="63"/>
  <c r="C327" i="63"/>
  <c r="D327" i="63"/>
  <c r="U327" i="63"/>
  <c r="AK327" i="63"/>
  <c r="AL327" i="63"/>
  <c r="M326" i="65"/>
  <c r="N326" i="65"/>
  <c r="H326" i="65"/>
  <c r="A328" i="63"/>
  <c r="P327" i="65" l="1"/>
  <c r="AC327" i="65"/>
  <c r="AD327" i="65"/>
  <c r="J327" i="65"/>
  <c r="D327" i="65"/>
  <c r="K327" i="65"/>
  <c r="X327" i="65"/>
  <c r="T327" i="65"/>
  <c r="O327" i="65"/>
  <c r="G327" i="65"/>
  <c r="W327" i="65"/>
  <c r="Z327" i="65"/>
  <c r="V327" i="65"/>
  <c r="B327" i="65"/>
  <c r="I327" i="65"/>
  <c r="L328" i="63"/>
  <c r="K328" i="65" s="1"/>
  <c r="AR328" i="63"/>
  <c r="F328" i="63"/>
  <c r="W328" i="63"/>
  <c r="AN328" i="63"/>
  <c r="G328" i="63"/>
  <c r="X328" i="63"/>
  <c r="AO328" i="63"/>
  <c r="H328" i="63"/>
  <c r="Y328" i="63"/>
  <c r="AP328" i="63"/>
  <c r="I328" i="63"/>
  <c r="Z328" i="63"/>
  <c r="AQ328" i="63"/>
  <c r="J328" i="63"/>
  <c r="AS328" i="63"/>
  <c r="AC328" i="63"/>
  <c r="AT328" i="63"/>
  <c r="M328" i="63"/>
  <c r="AD328" i="63"/>
  <c r="AU328" i="63"/>
  <c r="AE328" i="63"/>
  <c r="AV328" i="63"/>
  <c r="O328" i="63"/>
  <c r="AF328" i="63"/>
  <c r="AW328" i="63"/>
  <c r="P328" i="63"/>
  <c r="AG328" i="63"/>
  <c r="AX328" i="63"/>
  <c r="AH328" i="63"/>
  <c r="AY328" i="63"/>
  <c r="AI328" i="63"/>
  <c r="B328" i="63"/>
  <c r="AJ328" i="63"/>
  <c r="C328" i="63"/>
  <c r="AK328" i="63"/>
  <c r="AL328" i="63"/>
  <c r="D328" i="63"/>
  <c r="E328" i="63"/>
  <c r="U328" i="63"/>
  <c r="AM328" i="63"/>
  <c r="M327" i="65"/>
  <c r="S327" i="65"/>
  <c r="N327" i="65"/>
  <c r="H327" i="65"/>
  <c r="U327" i="65"/>
  <c r="A329" i="63"/>
  <c r="AD328" i="65" l="1"/>
  <c r="AE328" i="65"/>
  <c r="AC328" i="65"/>
  <c r="Z328" i="65"/>
  <c r="X328" i="65"/>
  <c r="T328" i="65"/>
  <c r="B328" i="65"/>
  <c r="I328" i="65"/>
  <c r="V328" i="65"/>
  <c r="O328" i="65"/>
  <c r="P328" i="65"/>
  <c r="G328" i="65"/>
  <c r="W328" i="65"/>
  <c r="J329" i="63"/>
  <c r="Z329" i="63"/>
  <c r="AP329" i="63"/>
  <c r="G329" i="63"/>
  <c r="X329" i="63"/>
  <c r="AO329" i="63"/>
  <c r="H329" i="63"/>
  <c r="Y329" i="63"/>
  <c r="AQ329" i="63"/>
  <c r="I329" i="63"/>
  <c r="AR329" i="63"/>
  <c r="AS329" i="63"/>
  <c r="L329" i="63"/>
  <c r="AC329" i="63"/>
  <c r="AT329" i="63"/>
  <c r="M329" i="63"/>
  <c r="AD329" i="63"/>
  <c r="AU329" i="63"/>
  <c r="N329" i="63"/>
  <c r="AE329" i="63"/>
  <c r="AV329" i="63"/>
  <c r="AF329" i="63"/>
  <c r="AW329" i="63"/>
  <c r="P329" i="63"/>
  <c r="AG329" i="63"/>
  <c r="AX329" i="63"/>
  <c r="Q329" i="63"/>
  <c r="AH329" i="63"/>
  <c r="AY329" i="63"/>
  <c r="R329" i="63"/>
  <c r="AI329" i="63"/>
  <c r="B329" i="63"/>
  <c r="AJ329" i="63"/>
  <c r="C329" i="63"/>
  <c r="AK329" i="63"/>
  <c r="D329" i="63"/>
  <c r="U329" i="63"/>
  <c r="AL329" i="63"/>
  <c r="E329" i="63"/>
  <c r="F329" i="63"/>
  <c r="V329" i="63"/>
  <c r="W329" i="63"/>
  <c r="AM329" i="63"/>
  <c r="AN329" i="63"/>
  <c r="H328" i="65"/>
  <c r="S328" i="65"/>
  <c r="N328" i="65"/>
  <c r="U328" i="65"/>
  <c r="M328" i="65"/>
  <c r="A330" i="63"/>
  <c r="T329" i="65" l="1"/>
  <c r="AD329" i="65"/>
  <c r="AE329" i="65"/>
  <c r="AB329" i="65"/>
  <c r="AC329" i="65"/>
  <c r="P329" i="65"/>
  <c r="J329" i="65"/>
  <c r="K329" i="65"/>
  <c r="D329" i="65"/>
  <c r="W329" i="65"/>
  <c r="X329" i="65"/>
  <c r="G329" i="65"/>
  <c r="B329" i="65"/>
  <c r="I329" i="65"/>
  <c r="Z329" i="65"/>
  <c r="O329" i="65"/>
  <c r="V329" i="65"/>
  <c r="H330" i="63"/>
  <c r="X330" i="63"/>
  <c r="AN330" i="63"/>
  <c r="I330" i="63"/>
  <c r="Z330" i="63"/>
  <c r="AQ330" i="63"/>
  <c r="J330" i="63"/>
  <c r="AR330" i="63"/>
  <c r="K330" i="63"/>
  <c r="AS330" i="63"/>
  <c r="L330" i="63"/>
  <c r="AC330" i="63"/>
  <c r="AT330" i="63"/>
  <c r="M330" i="63"/>
  <c r="AD330" i="63"/>
  <c r="AU330" i="63"/>
  <c r="AE330" i="63"/>
  <c r="AV330" i="63"/>
  <c r="O330" i="63"/>
  <c r="AF330" i="63"/>
  <c r="AW330" i="63"/>
  <c r="P330" i="63"/>
  <c r="AG330" i="63"/>
  <c r="AX330" i="63"/>
  <c r="Q330" i="63"/>
  <c r="AH330" i="63"/>
  <c r="AY330" i="63"/>
  <c r="R330" i="63"/>
  <c r="AI330" i="63"/>
  <c r="B330" i="63"/>
  <c r="S330" i="63"/>
  <c r="AJ330" i="63"/>
  <c r="C330" i="63"/>
  <c r="AK330" i="63"/>
  <c r="D330" i="63"/>
  <c r="U330" i="63"/>
  <c r="AL330" i="63"/>
  <c r="E330" i="63"/>
  <c r="AM330" i="63"/>
  <c r="F330" i="63"/>
  <c r="G330" i="63"/>
  <c r="W330" i="63"/>
  <c r="Y330" i="63"/>
  <c r="AE330" i="65" s="1"/>
  <c r="AO330" i="63"/>
  <c r="AP330" i="63"/>
  <c r="U329" i="65"/>
  <c r="N329" i="65"/>
  <c r="M329" i="65"/>
  <c r="S329" i="65"/>
  <c r="H329" i="65"/>
  <c r="A331" i="63"/>
  <c r="T330" i="65" l="1"/>
  <c r="P330" i="65"/>
  <c r="AD330" i="65"/>
  <c r="AC330" i="65"/>
  <c r="AB330" i="65"/>
  <c r="D330" i="65"/>
  <c r="K330" i="65"/>
  <c r="X330" i="65"/>
  <c r="B330" i="65"/>
  <c r="W330" i="65"/>
  <c r="V330" i="65"/>
  <c r="G330" i="65"/>
  <c r="I330" i="65"/>
  <c r="Z330" i="65"/>
  <c r="O330" i="65"/>
  <c r="M330" i="65"/>
  <c r="AL331" i="63"/>
  <c r="J331" i="63"/>
  <c r="AR331" i="63"/>
  <c r="K331" i="63"/>
  <c r="AS331" i="63"/>
  <c r="L331" i="63"/>
  <c r="AC331" i="63"/>
  <c r="AT331" i="63"/>
  <c r="M331" i="63"/>
  <c r="AD331" i="63"/>
  <c r="AU331" i="63"/>
  <c r="AE331" i="63"/>
  <c r="AV331" i="63"/>
  <c r="AF331" i="63"/>
  <c r="AW331" i="63"/>
  <c r="P331" i="63"/>
  <c r="AG331" i="63"/>
  <c r="AX331" i="63"/>
  <c r="Q331" i="63"/>
  <c r="AH331" i="63"/>
  <c r="AY331" i="63"/>
  <c r="R331" i="63"/>
  <c r="AI331" i="63"/>
  <c r="S331" i="63"/>
  <c r="AJ331" i="63"/>
  <c r="T331" i="63"/>
  <c r="AK331" i="63"/>
  <c r="U331" i="63"/>
  <c r="AM331" i="63"/>
  <c r="W331" i="63"/>
  <c r="AN331" i="63"/>
  <c r="AO331" i="63"/>
  <c r="AP331" i="63"/>
  <c r="AQ331" i="63"/>
  <c r="H331" i="63"/>
  <c r="I331" i="63"/>
  <c r="H330" i="65"/>
  <c r="Y330" i="65"/>
  <c r="S330" i="65"/>
  <c r="N330" i="65"/>
  <c r="U330" i="65"/>
  <c r="A332" i="63"/>
  <c r="AC331" i="65" l="1"/>
  <c r="O331" i="65"/>
  <c r="D331" i="65"/>
  <c r="K331" i="65"/>
  <c r="G331" i="65"/>
  <c r="AA331" i="65"/>
  <c r="AB331" i="65"/>
  <c r="Z331" i="65"/>
  <c r="V331" i="65"/>
  <c r="W331" i="65"/>
  <c r="I331" i="65"/>
  <c r="D332" i="63"/>
  <c r="T332" i="63"/>
  <c r="AJ332" i="63"/>
  <c r="K332" i="63"/>
  <c r="AS332" i="63"/>
  <c r="L332" i="63"/>
  <c r="AC332" i="63"/>
  <c r="AT332" i="63"/>
  <c r="M332" i="63"/>
  <c r="AD332" i="63"/>
  <c r="AU332" i="63"/>
  <c r="N332" i="63"/>
  <c r="AE332" i="63"/>
  <c r="AV332" i="63"/>
  <c r="AF332" i="63"/>
  <c r="AW332" i="63"/>
  <c r="P332" i="63"/>
  <c r="AG332" i="63"/>
  <c r="AX332" i="63"/>
  <c r="AH332" i="63"/>
  <c r="AY332" i="63"/>
  <c r="AI332" i="63"/>
  <c r="B332" i="63"/>
  <c r="S332" i="63"/>
  <c r="AK332" i="63"/>
  <c r="C332" i="63"/>
  <c r="U332" i="63"/>
  <c r="AL332" i="63"/>
  <c r="E332" i="63"/>
  <c r="V332" i="63"/>
  <c r="D332" i="65" s="1"/>
  <c r="AM332" i="63"/>
  <c r="F332" i="63"/>
  <c r="W332" i="63"/>
  <c r="AN332" i="63"/>
  <c r="G332" i="63"/>
  <c r="X332" i="63"/>
  <c r="AO332" i="63"/>
  <c r="H332" i="63"/>
  <c r="Y332" i="63"/>
  <c r="AP332" i="63"/>
  <c r="I332" i="63"/>
  <c r="M332" i="65" s="1"/>
  <c r="J332" i="63"/>
  <c r="Z332" i="63"/>
  <c r="AQ332" i="63"/>
  <c r="AR332" i="63"/>
  <c r="N331" i="65"/>
  <c r="Y331" i="65"/>
  <c r="M331" i="65"/>
  <c r="H331" i="65"/>
  <c r="S331" i="65"/>
  <c r="A333" i="63"/>
  <c r="AD332" i="65" l="1"/>
  <c r="AE332" i="65"/>
  <c r="AC332" i="65"/>
  <c r="P332" i="65"/>
  <c r="K332" i="65"/>
  <c r="J332" i="65"/>
  <c r="W332" i="65"/>
  <c r="X332" i="65"/>
  <c r="T332" i="65"/>
  <c r="Z332" i="65"/>
  <c r="G332" i="65"/>
  <c r="I332" i="65"/>
  <c r="V332" i="65"/>
  <c r="O332" i="65"/>
  <c r="AA332" i="65"/>
  <c r="B332" i="65"/>
  <c r="B333" i="63"/>
  <c r="AH333" i="63"/>
  <c r="AX333" i="63"/>
  <c r="L333" i="63"/>
  <c r="AC333" i="63"/>
  <c r="AT333" i="63"/>
  <c r="M333" i="63"/>
  <c r="AD333" i="63"/>
  <c r="AU333" i="63"/>
  <c r="N333" i="63"/>
  <c r="AE333" i="63"/>
  <c r="AV333" i="63"/>
  <c r="O333" i="63"/>
  <c r="AF333" i="63"/>
  <c r="AW333" i="63"/>
  <c r="P333" i="63"/>
  <c r="AG333" i="63"/>
  <c r="AY333" i="63"/>
  <c r="AI333" i="63"/>
  <c r="AJ333" i="63"/>
  <c r="C333" i="63"/>
  <c r="T333" i="63"/>
  <c r="AK333" i="63"/>
  <c r="D333" i="63"/>
  <c r="U333" i="63"/>
  <c r="AL333" i="63"/>
  <c r="E333" i="63"/>
  <c r="V333" i="63"/>
  <c r="AM333" i="63"/>
  <c r="F333" i="63"/>
  <c r="W333" i="63"/>
  <c r="AN333" i="63"/>
  <c r="G333" i="63"/>
  <c r="X333" i="63"/>
  <c r="AO333" i="63"/>
  <c r="H333" i="63"/>
  <c r="Y333" i="63"/>
  <c r="AE333" i="65" s="1"/>
  <c r="AP333" i="63"/>
  <c r="I333" i="63"/>
  <c r="Z333" i="63"/>
  <c r="AQ333" i="63"/>
  <c r="J333" i="63"/>
  <c r="AR333" i="63"/>
  <c r="AS333" i="63"/>
  <c r="U332" i="65"/>
  <c r="H332" i="65"/>
  <c r="S332" i="65"/>
  <c r="Y332" i="65"/>
  <c r="N332" i="65"/>
  <c r="A334" i="63"/>
  <c r="AD333" i="65" l="1"/>
  <c r="AC333" i="65"/>
  <c r="J333" i="65"/>
  <c r="P333" i="65"/>
  <c r="D333" i="65"/>
  <c r="K333" i="65"/>
  <c r="Z333" i="65"/>
  <c r="W333" i="65"/>
  <c r="X333" i="65"/>
  <c r="T333" i="65"/>
  <c r="B333" i="65"/>
  <c r="V333" i="65"/>
  <c r="O333" i="65"/>
  <c r="AA333" i="65"/>
  <c r="G333" i="65"/>
  <c r="I333" i="65"/>
  <c r="P334" i="63"/>
  <c r="AF334" i="63"/>
  <c r="AV334" i="63"/>
  <c r="M334" i="63"/>
  <c r="AD334" i="63"/>
  <c r="AU334" i="63"/>
  <c r="N334" i="63"/>
  <c r="AE334" i="63"/>
  <c r="AW334" i="63"/>
  <c r="O334" i="63"/>
  <c r="AG334" i="63"/>
  <c r="AX334" i="63"/>
  <c r="AH334" i="63"/>
  <c r="AY334" i="63"/>
  <c r="AI334" i="63"/>
  <c r="AJ334" i="63"/>
  <c r="T334" i="63"/>
  <c r="AK334" i="63"/>
  <c r="U334" i="63"/>
  <c r="AL334" i="63"/>
  <c r="V334" i="63"/>
  <c r="AM334" i="63"/>
  <c r="W334" i="63"/>
  <c r="AN334" i="63"/>
  <c r="AO334" i="63"/>
  <c r="H334" i="63"/>
  <c r="AP334" i="63"/>
  <c r="I334" i="63"/>
  <c r="AQ334" i="63"/>
  <c r="J334" i="63"/>
  <c r="AR334" i="63"/>
  <c r="AC334" i="63"/>
  <c r="AS334" i="63"/>
  <c r="AT334" i="63"/>
  <c r="L334" i="63"/>
  <c r="K334" i="65" s="1"/>
  <c r="H333" i="65"/>
  <c r="S333" i="65"/>
  <c r="U333" i="65"/>
  <c r="N333" i="65"/>
  <c r="M333" i="65"/>
  <c r="A335" i="63"/>
  <c r="J334" i="65" l="1"/>
  <c r="AC334" i="65"/>
  <c r="D334" i="65"/>
  <c r="W334" i="65"/>
  <c r="O334" i="65"/>
  <c r="AA334" i="65"/>
  <c r="G334" i="65"/>
  <c r="I334" i="65"/>
  <c r="Z334" i="65"/>
  <c r="N335" i="63"/>
  <c r="AD335" i="63"/>
  <c r="AT335" i="63"/>
  <c r="O335" i="63"/>
  <c r="AF335" i="63"/>
  <c r="AW335" i="63"/>
  <c r="P335" i="63"/>
  <c r="AG335" i="63"/>
  <c r="AX335" i="63"/>
  <c r="AH335" i="63"/>
  <c r="AY335" i="63"/>
  <c r="AI335" i="63"/>
  <c r="B335" i="63"/>
  <c r="AJ335" i="63"/>
  <c r="C335" i="63"/>
  <c r="T335" i="63"/>
  <c r="AK335" i="63"/>
  <c r="D335" i="63"/>
  <c r="U335" i="63"/>
  <c r="AL335" i="63"/>
  <c r="E335" i="63"/>
  <c r="V335" i="63"/>
  <c r="AM335" i="63"/>
  <c r="F335" i="63"/>
  <c r="W335" i="63"/>
  <c r="AN335" i="63"/>
  <c r="G335" i="63"/>
  <c r="X335" i="63"/>
  <c r="AO335" i="63"/>
  <c r="H335" i="63"/>
  <c r="Y335" i="63"/>
  <c r="AE335" i="65" s="1"/>
  <c r="AP335" i="63"/>
  <c r="I335" i="63"/>
  <c r="Z335" i="63"/>
  <c r="AQ335" i="63"/>
  <c r="J335" i="63"/>
  <c r="AR335" i="63"/>
  <c r="AS335" i="63"/>
  <c r="L335" i="63"/>
  <c r="M335" i="63"/>
  <c r="AC335" i="63"/>
  <c r="AE335" i="63"/>
  <c r="AU335" i="63"/>
  <c r="AV335" i="63"/>
  <c r="S334" i="65"/>
  <c r="N334" i="65"/>
  <c r="M334" i="65"/>
  <c r="H334" i="65"/>
  <c r="A336" i="63"/>
  <c r="AC335" i="65" l="1"/>
  <c r="AD335" i="65"/>
  <c r="T335" i="65"/>
  <c r="P335" i="65"/>
  <c r="O335" i="65"/>
  <c r="X335" i="65"/>
  <c r="J335" i="65"/>
  <c r="K335" i="65"/>
  <c r="D335" i="65"/>
  <c r="AA335" i="65"/>
  <c r="G335" i="65"/>
  <c r="Z335" i="65"/>
  <c r="B335" i="65"/>
  <c r="I335" i="65"/>
  <c r="W335" i="65"/>
  <c r="V335" i="65"/>
  <c r="L336" i="63"/>
  <c r="K336" i="65" s="1"/>
  <c r="AR336" i="63"/>
  <c r="P336" i="63"/>
  <c r="AG336" i="63"/>
  <c r="AX336" i="63"/>
  <c r="Q336" i="63"/>
  <c r="AH336" i="63"/>
  <c r="AY336" i="63"/>
  <c r="R336" i="63"/>
  <c r="AI336" i="63"/>
  <c r="B336" i="63"/>
  <c r="AJ336" i="63"/>
  <c r="C336" i="63"/>
  <c r="T336" i="63"/>
  <c r="AK336" i="63"/>
  <c r="D336" i="63"/>
  <c r="U336" i="63"/>
  <c r="AL336" i="63"/>
  <c r="E336" i="63"/>
  <c r="V336" i="63"/>
  <c r="AM336" i="63"/>
  <c r="F336" i="63"/>
  <c r="W336" i="63"/>
  <c r="AN336" i="63"/>
  <c r="G336" i="63"/>
  <c r="X336" i="63"/>
  <c r="AO336" i="63"/>
  <c r="H336" i="63"/>
  <c r="Y336" i="63"/>
  <c r="AE336" i="65" s="1"/>
  <c r="AP336" i="63"/>
  <c r="I336" i="63"/>
  <c r="Z336" i="63"/>
  <c r="AQ336" i="63"/>
  <c r="J336" i="63"/>
  <c r="AS336" i="63"/>
  <c r="AC336" i="63"/>
  <c r="AT336" i="63"/>
  <c r="M336" i="63"/>
  <c r="AD336" i="63"/>
  <c r="AU336" i="63"/>
  <c r="AV336" i="63"/>
  <c r="N336" i="63"/>
  <c r="O336" i="63"/>
  <c r="AE336" i="63"/>
  <c r="AF336" i="63"/>
  <c r="AW336" i="63"/>
  <c r="N335" i="65"/>
  <c r="S335" i="65"/>
  <c r="U335" i="65"/>
  <c r="H335" i="65"/>
  <c r="M335" i="65"/>
  <c r="A337" i="63"/>
  <c r="P336" i="65" l="1"/>
  <c r="AC336" i="65"/>
  <c r="AD336" i="65"/>
  <c r="O336" i="65"/>
  <c r="J336" i="65"/>
  <c r="D336" i="65"/>
  <c r="X336" i="65"/>
  <c r="T336" i="65"/>
  <c r="AA336" i="65"/>
  <c r="AB336" i="65"/>
  <c r="V336" i="65"/>
  <c r="I336" i="65"/>
  <c r="G336" i="65"/>
  <c r="Z336" i="65"/>
  <c r="B336" i="65"/>
  <c r="W336" i="65"/>
  <c r="S336" i="65"/>
  <c r="J337" i="63"/>
  <c r="Z337" i="63"/>
  <c r="AP337" i="63"/>
  <c r="Q337" i="63"/>
  <c r="AH337" i="63"/>
  <c r="AY337" i="63"/>
  <c r="R337" i="63"/>
  <c r="AI337" i="63"/>
  <c r="B337" i="63"/>
  <c r="S337" i="63"/>
  <c r="AJ337" i="63"/>
  <c r="C337" i="63"/>
  <c r="T337" i="63"/>
  <c r="AK337" i="63"/>
  <c r="D337" i="63"/>
  <c r="AL337" i="63"/>
  <c r="E337" i="63"/>
  <c r="V337" i="63"/>
  <c r="AM337" i="63"/>
  <c r="F337" i="63"/>
  <c r="W337" i="63"/>
  <c r="AN337" i="63"/>
  <c r="G337" i="63"/>
  <c r="X337" i="63"/>
  <c r="AO337" i="63"/>
  <c r="H337" i="63"/>
  <c r="Y337" i="63"/>
  <c r="AQ337" i="63"/>
  <c r="I337" i="63"/>
  <c r="AR337" i="63"/>
  <c r="K337" i="63"/>
  <c r="AS337" i="63"/>
  <c r="L337" i="63"/>
  <c r="AC337" i="63"/>
  <c r="AT337" i="63"/>
  <c r="M337" i="63"/>
  <c r="AD337" i="63"/>
  <c r="AU337" i="63"/>
  <c r="N337" i="63"/>
  <c r="AE337" i="63"/>
  <c r="AV337" i="63"/>
  <c r="O337" i="63"/>
  <c r="P337" i="63"/>
  <c r="AF337" i="63"/>
  <c r="AG337" i="63"/>
  <c r="AW337" i="63"/>
  <c r="AX337" i="63"/>
  <c r="H336" i="65"/>
  <c r="N336" i="65"/>
  <c r="U336" i="65"/>
  <c r="M336" i="65"/>
  <c r="A338" i="63"/>
  <c r="P337" i="65" l="1"/>
  <c r="AD337" i="65"/>
  <c r="AE337" i="65"/>
  <c r="AB337" i="65"/>
  <c r="J337" i="65"/>
  <c r="K337" i="65"/>
  <c r="Z337" i="65"/>
  <c r="D337" i="65"/>
  <c r="X337" i="65"/>
  <c r="T337" i="65"/>
  <c r="V337" i="65"/>
  <c r="G337" i="65"/>
  <c r="I337" i="65"/>
  <c r="O337" i="65"/>
  <c r="AA337" i="65"/>
  <c r="W337" i="65"/>
  <c r="B337" i="65"/>
  <c r="M337" i="65"/>
  <c r="H338" i="63"/>
  <c r="X338" i="63"/>
  <c r="AN338" i="63"/>
  <c r="R338" i="63"/>
  <c r="AI338" i="63"/>
  <c r="B338" i="63"/>
  <c r="S338" i="63"/>
  <c r="AJ338" i="63"/>
  <c r="C338" i="63"/>
  <c r="T338" i="63"/>
  <c r="AK338" i="63"/>
  <c r="D338" i="63"/>
  <c r="AL338" i="63"/>
  <c r="E338" i="63"/>
  <c r="V338" i="63"/>
  <c r="D338" i="65" s="1"/>
  <c r="AM338" i="63"/>
  <c r="F338" i="63"/>
  <c r="W338" i="63"/>
  <c r="AO338" i="63"/>
  <c r="G338" i="63"/>
  <c r="Y338" i="63"/>
  <c r="AE338" i="65" s="1"/>
  <c r="AP338" i="63"/>
  <c r="I338" i="63"/>
  <c r="Z338" i="63"/>
  <c r="AQ338" i="63"/>
  <c r="J338" i="63"/>
  <c r="AR338" i="63"/>
  <c r="K338" i="63"/>
  <c r="AS338" i="63"/>
  <c r="L338" i="63"/>
  <c r="K338" i="65" s="1"/>
  <c r="AC338" i="63"/>
  <c r="AT338" i="63"/>
  <c r="M338" i="63"/>
  <c r="AD338" i="63"/>
  <c r="AU338" i="63"/>
  <c r="N338" i="63"/>
  <c r="AE338" i="63"/>
  <c r="AV338" i="63"/>
  <c r="O338" i="63"/>
  <c r="AF338" i="63"/>
  <c r="AW338" i="63"/>
  <c r="Q338" i="63"/>
  <c r="AG338" i="63"/>
  <c r="AH338" i="63"/>
  <c r="AX338" i="63"/>
  <c r="AY338" i="63"/>
  <c r="Y337" i="65"/>
  <c r="S337" i="65"/>
  <c r="N337" i="65"/>
  <c r="U337" i="65"/>
  <c r="H337" i="65"/>
  <c r="A339" i="63"/>
  <c r="AB338" i="65" l="1"/>
  <c r="AD338" i="65"/>
  <c r="J338" i="65"/>
  <c r="W338" i="65"/>
  <c r="X338" i="65"/>
  <c r="T338" i="65"/>
  <c r="B338" i="65"/>
  <c r="G338" i="65"/>
  <c r="I338" i="65"/>
  <c r="O338" i="65"/>
  <c r="AA338" i="65"/>
  <c r="Z338" i="65"/>
  <c r="V338" i="65"/>
  <c r="P338" i="65"/>
  <c r="U338" i="65"/>
  <c r="V339" i="63"/>
  <c r="AL339" i="63"/>
  <c r="S339" i="63"/>
  <c r="AJ339" i="63"/>
  <c r="T339" i="63"/>
  <c r="AK339" i="63"/>
  <c r="U339" i="63"/>
  <c r="AM339" i="63"/>
  <c r="AN339" i="63"/>
  <c r="AO339" i="63"/>
  <c r="AP339" i="63"/>
  <c r="I339" i="63"/>
  <c r="Z339" i="63"/>
  <c r="AQ339" i="63"/>
  <c r="J339" i="63"/>
  <c r="AR339" i="63"/>
  <c r="K339" i="63"/>
  <c r="AS339" i="63"/>
  <c r="L339" i="63"/>
  <c r="AC339" i="63"/>
  <c r="AT339" i="63"/>
  <c r="M339" i="63"/>
  <c r="AD339" i="63"/>
  <c r="AU339" i="63"/>
  <c r="N339" i="63"/>
  <c r="AE339" i="63"/>
  <c r="AV339" i="63"/>
  <c r="O339" i="63"/>
  <c r="AF339" i="63"/>
  <c r="AW339" i="63"/>
  <c r="P339" i="63"/>
  <c r="AG339" i="63"/>
  <c r="AX339" i="63"/>
  <c r="AY339" i="63"/>
  <c r="AH339" i="63"/>
  <c r="AI339" i="63"/>
  <c r="N338" i="65"/>
  <c r="S338" i="65"/>
  <c r="Y338" i="65"/>
  <c r="M338" i="65"/>
  <c r="H338" i="65"/>
  <c r="M339" i="65"/>
  <c r="A340" i="63"/>
  <c r="AC339" i="65" l="1"/>
  <c r="D339" i="65"/>
  <c r="K339" i="65"/>
  <c r="W339" i="65"/>
  <c r="G339" i="65"/>
  <c r="I339" i="65"/>
  <c r="O339" i="65"/>
  <c r="AA339" i="65"/>
  <c r="V339" i="65"/>
  <c r="Z339" i="65"/>
  <c r="P339" i="65"/>
  <c r="T340" i="63"/>
  <c r="AJ340" i="63"/>
  <c r="U340" i="63"/>
  <c r="AL340" i="63"/>
  <c r="V340" i="63"/>
  <c r="AM340" i="63"/>
  <c r="W340" i="63"/>
  <c r="AN340" i="63"/>
  <c r="AO340" i="63"/>
  <c r="H340" i="63"/>
  <c r="AP340" i="63"/>
  <c r="I340" i="63"/>
  <c r="Z340" i="63"/>
  <c r="AQ340" i="63"/>
  <c r="J340" i="63"/>
  <c r="AR340" i="63"/>
  <c r="AS340" i="63"/>
  <c r="L340" i="63"/>
  <c r="AC340" i="63"/>
  <c r="AT340" i="63"/>
  <c r="M340" i="63"/>
  <c r="AD340" i="63"/>
  <c r="AU340" i="63"/>
  <c r="N340" i="63"/>
  <c r="AE340" i="63"/>
  <c r="AV340" i="63"/>
  <c r="O340" i="63"/>
  <c r="AF340" i="63"/>
  <c r="AW340" i="63"/>
  <c r="AG340" i="63"/>
  <c r="AX340" i="63"/>
  <c r="AH340" i="63"/>
  <c r="AY340" i="63"/>
  <c r="AI340" i="63"/>
  <c r="AK340" i="63"/>
  <c r="Y339" i="65"/>
  <c r="S339" i="65"/>
  <c r="H339" i="65"/>
  <c r="A341" i="63"/>
  <c r="J340" i="65" l="1"/>
  <c r="O340" i="65"/>
  <c r="AC340" i="65"/>
  <c r="K340" i="65"/>
  <c r="D340" i="65"/>
  <c r="P340" i="65"/>
  <c r="AA340" i="65"/>
  <c r="G340" i="65"/>
  <c r="V340" i="65"/>
  <c r="W340" i="65"/>
  <c r="I340" i="65"/>
  <c r="Z340" i="65"/>
  <c r="H340" i="65"/>
  <c r="B341" i="63"/>
  <c r="AH341" i="63"/>
  <c r="AX341" i="63"/>
  <c r="E341" i="63"/>
  <c r="V341" i="63"/>
  <c r="AM341" i="63"/>
  <c r="F341" i="63"/>
  <c r="W341" i="63"/>
  <c r="AN341" i="63"/>
  <c r="G341" i="63"/>
  <c r="X341" i="63"/>
  <c r="AO341" i="63"/>
  <c r="H341" i="63"/>
  <c r="Y341" i="63"/>
  <c r="AE341" i="65" s="1"/>
  <c r="AP341" i="63"/>
  <c r="I341" i="63"/>
  <c r="Z341" i="63"/>
  <c r="AQ341" i="63"/>
  <c r="J341" i="63"/>
  <c r="AR341" i="63"/>
  <c r="AS341" i="63"/>
  <c r="L341" i="63"/>
  <c r="AC341" i="63"/>
  <c r="AT341" i="63"/>
  <c r="M341" i="63"/>
  <c r="AD341" i="63"/>
  <c r="AU341" i="63"/>
  <c r="N341" i="63"/>
  <c r="AE341" i="63"/>
  <c r="AV341" i="63"/>
  <c r="O341" i="63"/>
  <c r="AF341" i="63"/>
  <c r="AW341" i="63"/>
  <c r="AG341" i="63"/>
  <c r="AY341" i="63"/>
  <c r="AI341" i="63"/>
  <c r="AJ341" i="63"/>
  <c r="C341" i="63"/>
  <c r="D341" i="63"/>
  <c r="T341" i="63"/>
  <c r="U341" i="63"/>
  <c r="AK341" i="63"/>
  <c r="AL341" i="63"/>
  <c r="S340" i="65"/>
  <c r="M340" i="65"/>
  <c r="N340" i="65"/>
  <c r="A342" i="63"/>
  <c r="AD341" i="65" l="1"/>
  <c r="AC341" i="65"/>
  <c r="J341" i="65"/>
  <c r="K341" i="65"/>
  <c r="D341" i="65"/>
  <c r="X341" i="65"/>
  <c r="T341" i="65"/>
  <c r="B341" i="65"/>
  <c r="G341" i="65"/>
  <c r="P341" i="65"/>
  <c r="Z341" i="65"/>
  <c r="O341" i="65"/>
  <c r="AA341" i="65"/>
  <c r="H341" i="65"/>
  <c r="V341" i="65"/>
  <c r="W341" i="65"/>
  <c r="I341" i="65"/>
  <c r="P342" i="63"/>
  <c r="AF342" i="63"/>
  <c r="AV342" i="63"/>
  <c r="F342" i="63"/>
  <c r="AN342" i="63"/>
  <c r="G342" i="63"/>
  <c r="X342" i="63"/>
  <c r="AO342" i="63"/>
  <c r="Y342" i="63"/>
  <c r="AP342" i="63"/>
  <c r="I342" i="63"/>
  <c r="Z342" i="63"/>
  <c r="AQ342" i="63"/>
  <c r="J342" i="63"/>
  <c r="AR342" i="63"/>
  <c r="AS342" i="63"/>
  <c r="L342" i="63"/>
  <c r="AC342" i="63"/>
  <c r="AT342" i="63"/>
  <c r="M342" i="63"/>
  <c r="AD342" i="63"/>
  <c r="AU342" i="63"/>
  <c r="N342" i="63"/>
  <c r="AE342" i="63"/>
  <c r="AW342" i="63"/>
  <c r="O342" i="63"/>
  <c r="AG342" i="63"/>
  <c r="AX342" i="63"/>
  <c r="AH342" i="63"/>
  <c r="AY342" i="63"/>
  <c r="AI342" i="63"/>
  <c r="B342" i="63"/>
  <c r="AJ342" i="63"/>
  <c r="C342" i="63"/>
  <c r="T342" i="63"/>
  <c r="AK342" i="63"/>
  <c r="AL342" i="63"/>
  <c r="AM342" i="63"/>
  <c r="U342" i="63"/>
  <c r="D342" i="63"/>
  <c r="E342" i="63"/>
  <c r="V342" i="63"/>
  <c r="D342" i="65" s="1"/>
  <c r="S341" i="65"/>
  <c r="N341" i="65"/>
  <c r="M341" i="65"/>
  <c r="U341" i="65"/>
  <c r="A343" i="63"/>
  <c r="AD342" i="65" l="1"/>
  <c r="AE342" i="65"/>
  <c r="AC342" i="65"/>
  <c r="K342" i="65"/>
  <c r="Z342" i="65"/>
  <c r="X342" i="65"/>
  <c r="T342" i="65"/>
  <c r="I342" i="65"/>
  <c r="W342" i="65"/>
  <c r="B342" i="65"/>
  <c r="V342" i="65"/>
  <c r="O342" i="65"/>
  <c r="AA342" i="65"/>
  <c r="P342" i="65"/>
  <c r="G342" i="65"/>
  <c r="N343" i="63"/>
  <c r="AD343" i="63"/>
  <c r="AT343" i="63"/>
  <c r="G343" i="63"/>
  <c r="X343" i="63"/>
  <c r="AO343" i="63"/>
  <c r="H343" i="63"/>
  <c r="Y343" i="63"/>
  <c r="AE343" i="65" s="1"/>
  <c r="AP343" i="63"/>
  <c r="I343" i="63"/>
  <c r="Z343" i="63"/>
  <c r="AQ343" i="63"/>
  <c r="J343" i="63"/>
  <c r="AR343" i="63"/>
  <c r="AS343" i="63"/>
  <c r="L343" i="63"/>
  <c r="K343" i="65" s="1"/>
  <c r="AC343" i="63"/>
  <c r="AU343" i="63"/>
  <c r="M343" i="63"/>
  <c r="AE343" i="63"/>
  <c r="AV343" i="63"/>
  <c r="O343" i="63"/>
  <c r="AF343" i="63"/>
  <c r="AW343" i="63"/>
  <c r="P343" i="63"/>
  <c r="AG343" i="63"/>
  <c r="AX343" i="63"/>
  <c r="Q343" i="63"/>
  <c r="AH343" i="63"/>
  <c r="AY343" i="63"/>
  <c r="R343" i="63"/>
  <c r="AI343" i="63"/>
  <c r="B343" i="63"/>
  <c r="AJ343" i="63"/>
  <c r="C343" i="63"/>
  <c r="T343" i="63"/>
  <c r="AK343" i="63"/>
  <c r="D343" i="63"/>
  <c r="U343" i="63"/>
  <c r="AL343" i="63"/>
  <c r="E343" i="63"/>
  <c r="F343" i="63"/>
  <c r="V343" i="63"/>
  <c r="D343" i="65" s="1"/>
  <c r="W343" i="63"/>
  <c r="AM343" i="63"/>
  <c r="AN343" i="63"/>
  <c r="M342" i="65"/>
  <c r="H342" i="65"/>
  <c r="S342" i="65"/>
  <c r="U342" i="65"/>
  <c r="A344" i="63"/>
  <c r="AD343" i="65" l="1"/>
  <c r="AC343" i="65"/>
  <c r="AB343" i="65"/>
  <c r="J343" i="65"/>
  <c r="P343" i="65"/>
  <c r="W343" i="65"/>
  <c r="X343" i="65"/>
  <c r="T343" i="65"/>
  <c r="B343" i="65"/>
  <c r="V343" i="65"/>
  <c r="O343" i="65"/>
  <c r="AA343" i="65"/>
  <c r="I343" i="65"/>
  <c r="G343" i="65"/>
  <c r="Z343" i="65"/>
  <c r="L344" i="63"/>
  <c r="AR344" i="63"/>
  <c r="Y344" i="63"/>
  <c r="AE344" i="65" s="1"/>
  <c r="AP344" i="63"/>
  <c r="I344" i="63"/>
  <c r="Z344" i="63"/>
  <c r="AQ344" i="63"/>
  <c r="J344" i="63"/>
  <c r="AS344" i="63"/>
  <c r="K344" i="63"/>
  <c r="AC344" i="63"/>
  <c r="AT344" i="63"/>
  <c r="M344" i="63"/>
  <c r="AD344" i="63"/>
  <c r="AU344" i="63"/>
  <c r="N344" i="63"/>
  <c r="AE344" i="63"/>
  <c r="AV344" i="63"/>
  <c r="O344" i="63"/>
  <c r="AF344" i="63"/>
  <c r="AW344" i="63"/>
  <c r="P344" i="63"/>
  <c r="AG344" i="63"/>
  <c r="AX344" i="63"/>
  <c r="Q344" i="63"/>
  <c r="AH344" i="63"/>
  <c r="AY344" i="63"/>
  <c r="R344" i="63"/>
  <c r="AI344" i="63"/>
  <c r="B344" i="63"/>
  <c r="S344" i="63"/>
  <c r="AJ344" i="63"/>
  <c r="C344" i="63"/>
  <c r="T344" i="63"/>
  <c r="AK344" i="63"/>
  <c r="D344" i="63"/>
  <c r="V344" i="65" s="1"/>
  <c r="U344" i="63"/>
  <c r="AL344" i="63"/>
  <c r="E344" i="63"/>
  <c r="F344" i="63"/>
  <c r="G344" i="63"/>
  <c r="AN344" i="63"/>
  <c r="V344" i="63"/>
  <c r="D344" i="65" s="1"/>
  <c r="X344" i="63"/>
  <c r="AM344" i="63"/>
  <c r="AO344" i="63"/>
  <c r="S343" i="65"/>
  <c r="N343" i="65"/>
  <c r="M343" i="65"/>
  <c r="U343" i="65"/>
  <c r="H343" i="65"/>
  <c r="A345" i="63"/>
  <c r="X344" i="65" l="1"/>
  <c r="AD344" i="65"/>
  <c r="AB344" i="65"/>
  <c r="AC344" i="65"/>
  <c r="T344" i="65"/>
  <c r="K344" i="65"/>
  <c r="B344" i="65"/>
  <c r="P344" i="65"/>
  <c r="G344" i="65"/>
  <c r="I344" i="65"/>
  <c r="O344" i="65"/>
  <c r="AA344" i="65"/>
  <c r="W344" i="65"/>
  <c r="Z344" i="65"/>
  <c r="J345" i="63"/>
  <c r="Z345" i="63"/>
  <c r="AP345" i="63"/>
  <c r="I345" i="63"/>
  <c r="AR345" i="63"/>
  <c r="K345" i="63"/>
  <c r="AS345" i="63"/>
  <c r="L345" i="63"/>
  <c r="AC345" i="63"/>
  <c r="AT345" i="63"/>
  <c r="M345" i="63"/>
  <c r="AD345" i="63"/>
  <c r="AU345" i="63"/>
  <c r="N345" i="63"/>
  <c r="AE345" i="63"/>
  <c r="AV345" i="63"/>
  <c r="O345" i="63"/>
  <c r="AF345" i="63"/>
  <c r="AW345" i="63"/>
  <c r="P345" i="63"/>
  <c r="AG345" i="63"/>
  <c r="AX345" i="63"/>
  <c r="Q345" i="63"/>
  <c r="AH345" i="63"/>
  <c r="AY345" i="63"/>
  <c r="R345" i="63"/>
  <c r="AI345" i="63"/>
  <c r="S345" i="63"/>
  <c r="AJ345" i="63"/>
  <c r="T345" i="63"/>
  <c r="AK345" i="63"/>
  <c r="U345" i="63"/>
  <c r="AL345" i="63"/>
  <c r="V345" i="63"/>
  <c r="AM345" i="63"/>
  <c r="AN345" i="63"/>
  <c r="AO345" i="63"/>
  <c r="AQ345" i="63"/>
  <c r="S344" i="65"/>
  <c r="M344" i="65"/>
  <c r="H344" i="65"/>
  <c r="U344" i="65"/>
  <c r="Y344" i="65"/>
  <c r="A346" i="63"/>
  <c r="AC345" i="65" l="1"/>
  <c r="O345" i="65"/>
  <c r="K345" i="65"/>
  <c r="D345" i="65"/>
  <c r="P345" i="65"/>
  <c r="AA345" i="65"/>
  <c r="AB345" i="65"/>
  <c r="I345" i="65"/>
  <c r="Z345" i="65"/>
  <c r="W345" i="65"/>
  <c r="G345" i="65"/>
  <c r="V345" i="65"/>
  <c r="H346" i="63"/>
  <c r="G346" i="65" s="1"/>
  <c r="X346" i="63"/>
  <c r="AN346" i="63"/>
  <c r="K346" i="63"/>
  <c r="AS346" i="63"/>
  <c r="L346" i="63"/>
  <c r="AC346" i="63"/>
  <c r="AT346" i="63"/>
  <c r="M346" i="63"/>
  <c r="AD346" i="63"/>
  <c r="AU346" i="63"/>
  <c r="N346" i="63"/>
  <c r="AE346" i="63"/>
  <c r="AV346" i="63"/>
  <c r="O346" i="63"/>
  <c r="AF346" i="63"/>
  <c r="AW346" i="63"/>
  <c r="P346" i="63"/>
  <c r="AG346" i="63"/>
  <c r="AX346" i="63"/>
  <c r="AH346" i="63"/>
  <c r="AY346" i="63"/>
  <c r="AI346" i="63"/>
  <c r="B346" i="63"/>
  <c r="S346" i="63"/>
  <c r="AJ346" i="63"/>
  <c r="C346" i="63"/>
  <c r="T346" i="63"/>
  <c r="AK346" i="63"/>
  <c r="D346" i="63"/>
  <c r="U346" i="63"/>
  <c r="AL346" i="63"/>
  <c r="E346" i="63"/>
  <c r="V346" i="63"/>
  <c r="AM346" i="63"/>
  <c r="F346" i="63"/>
  <c r="W346" i="63"/>
  <c r="AO346" i="63"/>
  <c r="AQ346" i="63"/>
  <c r="AR346" i="63"/>
  <c r="G346" i="63"/>
  <c r="I346" i="63"/>
  <c r="O346" i="65" s="1"/>
  <c r="J346" i="63"/>
  <c r="Y346" i="63"/>
  <c r="AE346" i="65" s="1"/>
  <c r="Z346" i="63"/>
  <c r="AP346" i="63"/>
  <c r="M345" i="65"/>
  <c r="Y345" i="65"/>
  <c r="H345" i="65"/>
  <c r="S345" i="65"/>
  <c r="A347" i="63"/>
  <c r="P346" i="65" l="1"/>
  <c r="AC346" i="65"/>
  <c r="AD346" i="65"/>
  <c r="J346" i="65"/>
  <c r="K346" i="65"/>
  <c r="D346" i="65"/>
  <c r="X346" i="65"/>
  <c r="T346" i="65"/>
  <c r="I346" i="65"/>
  <c r="Z346" i="65"/>
  <c r="AA346" i="65"/>
  <c r="W346" i="65"/>
  <c r="V346" i="65"/>
  <c r="B346" i="65"/>
  <c r="F347" i="63"/>
  <c r="V347" i="63"/>
  <c r="D347" i="65" s="1"/>
  <c r="AL347" i="63"/>
  <c r="L347" i="63"/>
  <c r="K347" i="65" s="1"/>
  <c r="AC347" i="63"/>
  <c r="AT347" i="63"/>
  <c r="M347" i="63"/>
  <c r="AD347" i="63"/>
  <c r="AU347" i="63"/>
  <c r="N347" i="63"/>
  <c r="AE347" i="63"/>
  <c r="AV347" i="63"/>
  <c r="O347" i="63"/>
  <c r="AF347" i="63"/>
  <c r="AW347" i="63"/>
  <c r="P347" i="63"/>
  <c r="AG347" i="63"/>
  <c r="AX347" i="63"/>
  <c r="AH347" i="63"/>
  <c r="AY347" i="63"/>
  <c r="AI347" i="63"/>
  <c r="B347" i="63"/>
  <c r="AJ347" i="63"/>
  <c r="C347" i="63"/>
  <c r="T347" i="63"/>
  <c r="AK347" i="63"/>
  <c r="D347" i="63"/>
  <c r="U347" i="63"/>
  <c r="AM347" i="63"/>
  <c r="E347" i="63"/>
  <c r="W347" i="63"/>
  <c r="AN347" i="63"/>
  <c r="G347" i="63"/>
  <c r="X347" i="63"/>
  <c r="AO347" i="63"/>
  <c r="H347" i="63"/>
  <c r="Y347" i="63"/>
  <c r="AE347" i="65" s="1"/>
  <c r="AP347" i="63"/>
  <c r="I347" i="63"/>
  <c r="J347" i="63"/>
  <c r="Z347" i="63"/>
  <c r="AQ347" i="63"/>
  <c r="AR347" i="63"/>
  <c r="AS347" i="63"/>
  <c r="N346" i="65"/>
  <c r="H346" i="65"/>
  <c r="S346" i="65"/>
  <c r="Y346" i="65"/>
  <c r="U346" i="65"/>
  <c r="M346" i="65"/>
  <c r="A348" i="63"/>
  <c r="AD347" i="65" l="1"/>
  <c r="Z347" i="65"/>
  <c r="AC347" i="65"/>
  <c r="J347" i="65"/>
  <c r="X347" i="65"/>
  <c r="T347" i="65"/>
  <c r="B347" i="65"/>
  <c r="P347" i="65"/>
  <c r="W347" i="65"/>
  <c r="V347" i="65"/>
  <c r="G347" i="65"/>
  <c r="I347" i="65"/>
  <c r="O347" i="65"/>
  <c r="AA347" i="65"/>
  <c r="M348" i="63"/>
  <c r="AC348" i="63"/>
  <c r="AS348" i="63"/>
  <c r="N348" i="63"/>
  <c r="AD348" i="63"/>
  <c r="AT348" i="63"/>
  <c r="O348" i="63"/>
  <c r="AE348" i="63"/>
  <c r="AU348" i="63"/>
  <c r="P348" i="63"/>
  <c r="AF348" i="63"/>
  <c r="AV348" i="63"/>
  <c r="AG348" i="63"/>
  <c r="AW348" i="63"/>
  <c r="AH348" i="63"/>
  <c r="AX348" i="63"/>
  <c r="AI348" i="63"/>
  <c r="AY348" i="63"/>
  <c r="AJ348" i="63"/>
  <c r="U348" i="63"/>
  <c r="AK348" i="63"/>
  <c r="V348" i="63"/>
  <c r="AL348" i="63"/>
  <c r="W348" i="63"/>
  <c r="AM348" i="63"/>
  <c r="H348" i="63"/>
  <c r="AN348" i="63"/>
  <c r="I348" i="63"/>
  <c r="AO348" i="63"/>
  <c r="AP348" i="63"/>
  <c r="AQ348" i="63"/>
  <c r="AR348" i="63"/>
  <c r="Z348" i="63"/>
  <c r="J348" i="63"/>
  <c r="L348" i="63"/>
  <c r="K348" i="65" s="1"/>
  <c r="H347" i="65"/>
  <c r="S347" i="65"/>
  <c r="U347" i="65"/>
  <c r="N347" i="65"/>
  <c r="M347" i="65"/>
  <c r="A349" i="63"/>
  <c r="AC348" i="65" l="1"/>
  <c r="J348" i="65"/>
  <c r="P348" i="65"/>
  <c r="D348" i="65"/>
  <c r="W348" i="65"/>
  <c r="O348" i="65"/>
  <c r="V348" i="65"/>
  <c r="I348" i="65"/>
  <c r="G348" i="65"/>
  <c r="Z348" i="65"/>
  <c r="AQ349" i="63"/>
  <c r="L349" i="63"/>
  <c r="K349" i="65" s="1"/>
  <c r="AR349" i="63"/>
  <c r="M349" i="63"/>
  <c r="AC349" i="63"/>
  <c r="AS349" i="63"/>
  <c r="N349" i="63"/>
  <c r="AD349" i="63"/>
  <c r="AT349" i="63"/>
  <c r="O349" i="63"/>
  <c r="AE349" i="63"/>
  <c r="AU349" i="63"/>
  <c r="P349" i="63"/>
  <c r="AF349" i="63"/>
  <c r="AV349" i="63"/>
  <c r="AG349" i="63"/>
  <c r="AW349" i="63"/>
  <c r="B349" i="63"/>
  <c r="AH349" i="63"/>
  <c r="AX349" i="63"/>
  <c r="C349" i="63"/>
  <c r="AI349" i="63"/>
  <c r="AY349" i="63"/>
  <c r="D349" i="63"/>
  <c r="AJ349" i="63"/>
  <c r="E349" i="63"/>
  <c r="U349" i="63"/>
  <c r="AK349" i="63"/>
  <c r="F349" i="63"/>
  <c r="V349" i="63"/>
  <c r="AL349" i="63"/>
  <c r="G349" i="63"/>
  <c r="W349" i="63"/>
  <c r="AM349" i="63"/>
  <c r="H349" i="63"/>
  <c r="I349" i="63"/>
  <c r="J349" i="63"/>
  <c r="X349" i="63"/>
  <c r="Y349" i="63"/>
  <c r="AE349" i="65" s="1"/>
  <c r="Z349" i="63"/>
  <c r="AN349" i="63"/>
  <c r="AO349" i="63"/>
  <c r="AP349" i="63"/>
  <c r="H348" i="65"/>
  <c r="N348" i="65"/>
  <c r="M348" i="65"/>
  <c r="S348" i="65"/>
  <c r="A350" i="63"/>
  <c r="AC349" i="65" l="1"/>
  <c r="AD349" i="65"/>
  <c r="O349" i="65"/>
  <c r="Z349" i="65"/>
  <c r="D349" i="65"/>
  <c r="J349" i="65"/>
  <c r="X349" i="65"/>
  <c r="T349" i="65"/>
  <c r="G349" i="65"/>
  <c r="B349" i="65"/>
  <c r="I349" i="65"/>
  <c r="P349" i="65"/>
  <c r="V349" i="65"/>
  <c r="W349" i="65"/>
  <c r="H349" i="65"/>
  <c r="I350" i="63"/>
  <c r="Y350" i="63"/>
  <c r="AE350" i="65" s="1"/>
  <c r="AO350" i="63"/>
  <c r="J350" i="63"/>
  <c r="Z350" i="63"/>
  <c r="AP350" i="63"/>
  <c r="AQ350" i="63"/>
  <c r="AR350" i="63"/>
  <c r="M350" i="63"/>
  <c r="AC350" i="63"/>
  <c r="AS350" i="63"/>
  <c r="N350" i="63"/>
  <c r="AD350" i="63"/>
  <c r="AT350" i="63"/>
  <c r="O350" i="63"/>
  <c r="AE350" i="63"/>
  <c r="AU350" i="63"/>
  <c r="P350" i="63"/>
  <c r="AF350" i="63"/>
  <c r="AV350" i="63"/>
  <c r="Q350" i="63"/>
  <c r="AG350" i="63"/>
  <c r="AW350" i="63"/>
  <c r="B350" i="63"/>
  <c r="R350" i="63"/>
  <c r="AH350" i="63"/>
  <c r="AX350" i="63"/>
  <c r="C350" i="63"/>
  <c r="AI350" i="63"/>
  <c r="AY350" i="63"/>
  <c r="D350" i="63"/>
  <c r="AJ350" i="63"/>
  <c r="E350" i="63"/>
  <c r="U350" i="63"/>
  <c r="AK350" i="63"/>
  <c r="V350" i="63"/>
  <c r="W350" i="63"/>
  <c r="X350" i="63"/>
  <c r="AL350" i="63"/>
  <c r="AM350" i="63"/>
  <c r="AN350" i="63"/>
  <c r="G350" i="63"/>
  <c r="F350" i="63"/>
  <c r="H350" i="63"/>
  <c r="N349" i="65"/>
  <c r="M349" i="65"/>
  <c r="U349" i="65"/>
  <c r="S349" i="65"/>
  <c r="A351" i="63"/>
  <c r="AD350" i="65" l="1"/>
  <c r="AB350" i="65"/>
  <c r="AC350" i="65"/>
  <c r="K350" i="65"/>
  <c r="D350" i="65"/>
  <c r="J350" i="65"/>
  <c r="P350" i="65"/>
  <c r="X350" i="65"/>
  <c r="T350" i="65"/>
  <c r="G350" i="65"/>
  <c r="V350" i="65"/>
  <c r="I350" i="65"/>
  <c r="O350" i="65"/>
  <c r="Z350" i="65"/>
  <c r="W350" i="65"/>
  <c r="B350" i="65"/>
  <c r="G351" i="63"/>
  <c r="W351" i="63"/>
  <c r="AM351" i="63"/>
  <c r="H351" i="63"/>
  <c r="X351" i="63"/>
  <c r="AN351" i="63"/>
  <c r="I351" i="63"/>
  <c r="Y351" i="63"/>
  <c r="AO351" i="63"/>
  <c r="J351" i="63"/>
  <c r="Z351" i="63"/>
  <c r="AP351" i="63"/>
  <c r="K351" i="63"/>
  <c r="AQ351" i="63"/>
  <c r="L351" i="63"/>
  <c r="K351" i="65" s="1"/>
  <c r="AR351" i="63"/>
  <c r="M351" i="63"/>
  <c r="AC351" i="63"/>
  <c r="AS351" i="63"/>
  <c r="N351" i="63"/>
  <c r="AD351" i="63"/>
  <c r="AT351" i="63"/>
  <c r="O351" i="63"/>
  <c r="AE351" i="63"/>
  <c r="AU351" i="63"/>
  <c r="P351" i="63"/>
  <c r="AF351" i="63"/>
  <c r="AV351" i="63"/>
  <c r="Q351" i="63"/>
  <c r="AG351" i="63"/>
  <c r="AW351" i="63"/>
  <c r="B351" i="63"/>
  <c r="R351" i="63"/>
  <c r="AH351" i="63"/>
  <c r="AX351" i="63"/>
  <c r="C351" i="63"/>
  <c r="S351" i="63"/>
  <c r="AI351" i="63"/>
  <c r="AY351" i="63"/>
  <c r="D351" i="63"/>
  <c r="E351" i="63"/>
  <c r="F351" i="63"/>
  <c r="U351" i="63"/>
  <c r="V351" i="63"/>
  <c r="D351" i="65" s="1"/>
  <c r="AJ351" i="63"/>
  <c r="AK351" i="63"/>
  <c r="AL351" i="63"/>
  <c r="H350" i="65"/>
  <c r="U350" i="65"/>
  <c r="S350" i="65"/>
  <c r="M350" i="65"/>
  <c r="N350" i="65"/>
  <c r="A352" i="63"/>
  <c r="T351" i="65" l="1"/>
  <c r="AD351" i="65"/>
  <c r="AE351" i="65"/>
  <c r="AB351" i="65"/>
  <c r="AC351" i="65"/>
  <c r="J351" i="65"/>
  <c r="X351" i="65"/>
  <c r="B351" i="65"/>
  <c r="V351" i="65"/>
  <c r="W351" i="65"/>
  <c r="G351" i="65"/>
  <c r="I351" i="65"/>
  <c r="P351" i="65"/>
  <c r="Z351" i="65"/>
  <c r="O351" i="65"/>
  <c r="H351" i="65"/>
  <c r="E352" i="63"/>
  <c r="U352" i="63"/>
  <c r="AK352" i="63"/>
  <c r="F352" i="63"/>
  <c r="V352" i="63"/>
  <c r="AL352" i="63"/>
  <c r="G352" i="63"/>
  <c r="W352" i="63"/>
  <c r="AM352" i="63"/>
  <c r="H352" i="63"/>
  <c r="X352" i="63"/>
  <c r="AN352" i="63"/>
  <c r="I352" i="63"/>
  <c r="Y352" i="63"/>
  <c r="AE352" i="65" s="1"/>
  <c r="AO352" i="63"/>
  <c r="J352" i="63"/>
  <c r="Z352" i="63"/>
  <c r="AP352" i="63"/>
  <c r="K352" i="63"/>
  <c r="AQ352" i="63"/>
  <c r="L352" i="63"/>
  <c r="AR352" i="63"/>
  <c r="M352" i="63"/>
  <c r="AC352" i="63"/>
  <c r="AS352" i="63"/>
  <c r="N352" i="63"/>
  <c r="AD352" i="63"/>
  <c r="AT352" i="63"/>
  <c r="O352" i="63"/>
  <c r="AE352" i="63"/>
  <c r="AU352" i="63"/>
  <c r="P352" i="63"/>
  <c r="AF352" i="63"/>
  <c r="AV352" i="63"/>
  <c r="Q352" i="63"/>
  <c r="AG352" i="63"/>
  <c r="AW352" i="63"/>
  <c r="C352" i="63"/>
  <c r="D352" i="63"/>
  <c r="R352" i="63"/>
  <c r="S352" i="63"/>
  <c r="T352" i="63"/>
  <c r="AH352" i="63"/>
  <c r="AI352" i="63"/>
  <c r="AJ352" i="63"/>
  <c r="AX352" i="63"/>
  <c r="AY352" i="63"/>
  <c r="B352" i="63"/>
  <c r="U351" i="65"/>
  <c r="N351" i="65"/>
  <c r="S351" i="65"/>
  <c r="M351" i="65"/>
  <c r="Y351" i="65"/>
  <c r="A353" i="63"/>
  <c r="J352" i="65" l="1"/>
  <c r="AC352" i="65"/>
  <c r="AD352" i="65"/>
  <c r="O352" i="65"/>
  <c r="K352" i="65"/>
  <c r="D352" i="65"/>
  <c r="Z352" i="65"/>
  <c r="B352" i="65"/>
  <c r="X352" i="65"/>
  <c r="T352" i="65"/>
  <c r="AA352" i="65"/>
  <c r="AB352" i="65"/>
  <c r="I352" i="65"/>
  <c r="P352" i="65"/>
  <c r="W352" i="65"/>
  <c r="G352" i="65"/>
  <c r="V352" i="65"/>
  <c r="S352" i="65"/>
  <c r="S353" i="63"/>
  <c r="AI353" i="63"/>
  <c r="AY353" i="63"/>
  <c r="T353" i="63"/>
  <c r="AJ353" i="63"/>
  <c r="U353" i="63"/>
  <c r="AK353" i="63"/>
  <c r="V353" i="63"/>
  <c r="AL353" i="63"/>
  <c r="W353" i="63"/>
  <c r="AM353" i="63"/>
  <c r="H353" i="63"/>
  <c r="AN353" i="63"/>
  <c r="I353" i="63"/>
  <c r="AO353" i="63"/>
  <c r="J353" i="63"/>
  <c r="Z353" i="63"/>
  <c r="AP353" i="63"/>
  <c r="K353" i="63"/>
  <c r="AQ353" i="63"/>
  <c r="AR353" i="63"/>
  <c r="M353" i="63"/>
  <c r="AC353" i="63"/>
  <c r="AS353" i="63"/>
  <c r="N353" i="63"/>
  <c r="AD353" i="63"/>
  <c r="AT353" i="63"/>
  <c r="O353" i="63"/>
  <c r="AE353" i="63"/>
  <c r="AU353" i="63"/>
  <c r="AH353" i="63"/>
  <c r="AV353" i="63"/>
  <c r="AW353" i="63"/>
  <c r="AX353" i="63"/>
  <c r="AF353" i="63"/>
  <c r="P353" i="63"/>
  <c r="AG353" i="63"/>
  <c r="H352" i="65"/>
  <c r="M352" i="65"/>
  <c r="U352" i="65"/>
  <c r="N352" i="65"/>
  <c r="Y352" i="65"/>
  <c r="A354" i="63"/>
  <c r="AC353" i="65" l="1"/>
  <c r="J353" i="65"/>
  <c r="P353" i="65"/>
  <c r="D353" i="65"/>
  <c r="K353" i="65"/>
  <c r="W353" i="65"/>
  <c r="G353" i="65"/>
  <c r="V353" i="65"/>
  <c r="O353" i="65"/>
  <c r="AA353" i="65"/>
  <c r="Z353" i="65"/>
  <c r="I353" i="65"/>
  <c r="H353" i="65"/>
  <c r="AG354" i="63"/>
  <c r="AW354" i="63"/>
  <c r="AH354" i="63"/>
  <c r="AX354" i="63"/>
  <c r="AI354" i="63"/>
  <c r="AY354" i="63"/>
  <c r="T354" i="63"/>
  <c r="AJ354" i="63"/>
  <c r="U354" i="63"/>
  <c r="AK354" i="63"/>
  <c r="V354" i="63"/>
  <c r="D354" i="65" s="1"/>
  <c r="AL354" i="63"/>
  <c r="W354" i="63"/>
  <c r="AM354" i="63"/>
  <c r="H354" i="63"/>
  <c r="AN354" i="63"/>
  <c r="I354" i="63"/>
  <c r="AO354" i="63"/>
  <c r="J354" i="63"/>
  <c r="Z354" i="63"/>
  <c r="AP354" i="63"/>
  <c r="AQ354" i="63"/>
  <c r="L354" i="63"/>
  <c r="K354" i="65" s="1"/>
  <c r="AR354" i="63"/>
  <c r="M354" i="63"/>
  <c r="AC354" i="63"/>
  <c r="AS354" i="63"/>
  <c r="N354" i="63"/>
  <c r="O354" i="63"/>
  <c r="P354" i="63"/>
  <c r="AD354" i="63"/>
  <c r="AE354" i="63"/>
  <c r="AF354" i="63"/>
  <c r="AT354" i="63"/>
  <c r="AU354" i="63"/>
  <c r="AV354" i="63"/>
  <c r="Y353" i="65"/>
  <c r="M353" i="65"/>
  <c r="N353" i="65"/>
  <c r="S353" i="65"/>
  <c r="A355" i="63"/>
  <c r="Z354" i="65" l="1"/>
  <c r="AC354" i="65"/>
  <c r="J354" i="65"/>
  <c r="G354" i="65"/>
  <c r="W354" i="65"/>
  <c r="P354" i="65"/>
  <c r="O354" i="65"/>
  <c r="AA354" i="65"/>
  <c r="V354" i="65"/>
  <c r="I354" i="65"/>
  <c r="O355" i="63"/>
  <c r="AE355" i="63"/>
  <c r="AU355" i="63"/>
  <c r="P355" i="63"/>
  <c r="AF355" i="63"/>
  <c r="AV355" i="63"/>
  <c r="AG355" i="63"/>
  <c r="AW355" i="63"/>
  <c r="B355" i="63"/>
  <c r="AH355" i="63"/>
  <c r="AX355" i="63"/>
  <c r="C355" i="63"/>
  <c r="AI355" i="63"/>
  <c r="AY355" i="63"/>
  <c r="D355" i="63"/>
  <c r="T355" i="63"/>
  <c r="AJ355" i="63"/>
  <c r="E355" i="63"/>
  <c r="U355" i="63"/>
  <c r="AK355" i="63"/>
  <c r="F355" i="63"/>
  <c r="V355" i="63"/>
  <c r="AL355" i="63"/>
  <c r="G355" i="63"/>
  <c r="W355" i="63"/>
  <c r="AM355" i="63"/>
  <c r="H355" i="63"/>
  <c r="X355" i="63"/>
  <c r="AN355" i="63"/>
  <c r="I355" i="63"/>
  <c r="Y355" i="63"/>
  <c r="AE355" i="65" s="1"/>
  <c r="AO355" i="63"/>
  <c r="J355" i="63"/>
  <c r="Z355" i="63"/>
  <c r="AP355" i="63"/>
  <c r="AQ355" i="63"/>
  <c r="AC355" i="63"/>
  <c r="AD355" i="63"/>
  <c r="AR355" i="63"/>
  <c r="AS355" i="63"/>
  <c r="AT355" i="63"/>
  <c r="M355" i="63"/>
  <c r="L355" i="63"/>
  <c r="N355" i="63"/>
  <c r="M354" i="65"/>
  <c r="N354" i="65"/>
  <c r="S354" i="65"/>
  <c r="H354" i="65"/>
  <c r="A356" i="63"/>
  <c r="AC355" i="65" l="1"/>
  <c r="AD355" i="65"/>
  <c r="K355" i="65"/>
  <c r="J355" i="65"/>
  <c r="D355" i="65"/>
  <c r="X355" i="65"/>
  <c r="T355" i="65"/>
  <c r="Z355" i="65"/>
  <c r="B355" i="65"/>
  <c r="V355" i="65"/>
  <c r="O355" i="65"/>
  <c r="AA355" i="65"/>
  <c r="I355" i="65"/>
  <c r="P355" i="65"/>
  <c r="W355" i="65"/>
  <c r="G355" i="65"/>
  <c r="M356" i="63"/>
  <c r="AC356" i="63"/>
  <c r="AS356" i="63"/>
  <c r="N356" i="63"/>
  <c r="AD356" i="63"/>
  <c r="AT356" i="63"/>
  <c r="O356" i="63"/>
  <c r="AE356" i="63"/>
  <c r="AU356" i="63"/>
  <c r="P356" i="63"/>
  <c r="AF356" i="63"/>
  <c r="AV356" i="63"/>
  <c r="AG356" i="63"/>
  <c r="AW356" i="63"/>
  <c r="B356" i="63"/>
  <c r="AH356" i="63"/>
  <c r="AX356" i="63"/>
  <c r="C356" i="63"/>
  <c r="AI356" i="63"/>
  <c r="AY356" i="63"/>
  <c r="D356" i="63"/>
  <c r="V356" i="65" s="1"/>
  <c r="T356" i="63"/>
  <c r="AJ356" i="63"/>
  <c r="E356" i="63"/>
  <c r="U356" i="63"/>
  <c r="AK356" i="63"/>
  <c r="F356" i="63"/>
  <c r="V356" i="63"/>
  <c r="D356" i="65" s="1"/>
  <c r="AL356" i="63"/>
  <c r="G356" i="63"/>
  <c r="W356" i="63"/>
  <c r="AM356" i="63"/>
  <c r="H356" i="63"/>
  <c r="X356" i="63"/>
  <c r="AN356" i="63"/>
  <c r="I356" i="63"/>
  <c r="Y356" i="63"/>
  <c r="AE356" i="65" s="1"/>
  <c r="AO356" i="63"/>
  <c r="J356" i="63"/>
  <c r="L356" i="63"/>
  <c r="Z356" i="63"/>
  <c r="AP356" i="63"/>
  <c r="AQ356" i="63"/>
  <c r="AR356" i="63"/>
  <c r="S355" i="65"/>
  <c r="N355" i="65"/>
  <c r="H355" i="65"/>
  <c r="M355" i="65"/>
  <c r="U355" i="65"/>
  <c r="A357" i="63"/>
  <c r="AD356" i="65" l="1"/>
  <c r="AC356" i="65"/>
  <c r="T356" i="65"/>
  <c r="J356" i="65"/>
  <c r="X356" i="65"/>
  <c r="K356" i="65"/>
  <c r="W356" i="65"/>
  <c r="B356" i="65"/>
  <c r="Z356" i="65"/>
  <c r="I356" i="65"/>
  <c r="O356" i="65"/>
  <c r="AA356" i="65"/>
  <c r="G356" i="65"/>
  <c r="P356" i="65"/>
  <c r="AQ357" i="63"/>
  <c r="L357" i="63"/>
  <c r="K357" i="65" s="1"/>
  <c r="AR357" i="63"/>
  <c r="M357" i="63"/>
  <c r="AC357" i="63"/>
  <c r="AS357" i="63"/>
  <c r="N357" i="63"/>
  <c r="AD357" i="63"/>
  <c r="AT357" i="63"/>
  <c r="O357" i="63"/>
  <c r="AE357" i="63"/>
  <c r="AU357" i="63"/>
  <c r="P357" i="63"/>
  <c r="AF357" i="63"/>
  <c r="AV357" i="63"/>
  <c r="Q357" i="63"/>
  <c r="AG357" i="63"/>
  <c r="AW357" i="63"/>
  <c r="B357" i="63"/>
  <c r="R357" i="63"/>
  <c r="AH357" i="63"/>
  <c r="AX357" i="63"/>
  <c r="C357" i="63"/>
  <c r="AI357" i="63"/>
  <c r="AY357" i="63"/>
  <c r="D357" i="63"/>
  <c r="T357" i="63"/>
  <c r="AJ357" i="63"/>
  <c r="E357" i="63"/>
  <c r="U357" i="63"/>
  <c r="AK357" i="63"/>
  <c r="F357" i="63"/>
  <c r="V357" i="63"/>
  <c r="D357" i="65" s="1"/>
  <c r="AL357" i="63"/>
  <c r="G357" i="63"/>
  <c r="W357" i="63"/>
  <c r="AM357" i="63"/>
  <c r="I357" i="63"/>
  <c r="J357" i="63"/>
  <c r="X357" i="63"/>
  <c r="Y357" i="63"/>
  <c r="AE357" i="65" s="1"/>
  <c r="Z357" i="63"/>
  <c r="AN357" i="63"/>
  <c r="AO357" i="63"/>
  <c r="AP357" i="63"/>
  <c r="H357" i="63"/>
  <c r="N356" i="65"/>
  <c r="M356" i="65"/>
  <c r="S356" i="65"/>
  <c r="H356" i="65"/>
  <c r="U356" i="65"/>
  <c r="A358" i="63"/>
  <c r="Z357" i="65" l="1"/>
  <c r="AC357" i="65"/>
  <c r="AD357" i="65"/>
  <c r="O357" i="65"/>
  <c r="J357" i="65"/>
  <c r="X357" i="65"/>
  <c r="T357" i="65"/>
  <c r="AA357" i="65"/>
  <c r="AB357" i="65"/>
  <c r="G357" i="65"/>
  <c r="I357" i="65"/>
  <c r="B357" i="65"/>
  <c r="P357" i="65"/>
  <c r="W357" i="65"/>
  <c r="V357" i="65"/>
  <c r="I358" i="63"/>
  <c r="Y358" i="63"/>
  <c r="AE358" i="65" s="1"/>
  <c r="AO358" i="63"/>
  <c r="J358" i="63"/>
  <c r="Z358" i="63"/>
  <c r="AP358" i="63"/>
  <c r="K358" i="63"/>
  <c r="AQ358" i="63"/>
  <c r="L358" i="63"/>
  <c r="AR358" i="63"/>
  <c r="M358" i="63"/>
  <c r="AC358" i="63"/>
  <c r="AS358" i="63"/>
  <c r="N358" i="63"/>
  <c r="AD358" i="63"/>
  <c r="AT358" i="63"/>
  <c r="O358" i="63"/>
  <c r="AE358" i="63"/>
  <c r="AU358" i="63"/>
  <c r="P358" i="63"/>
  <c r="AF358" i="63"/>
  <c r="AV358" i="63"/>
  <c r="Q358" i="63"/>
  <c r="AG358" i="63"/>
  <c r="AW358" i="63"/>
  <c r="B358" i="63"/>
  <c r="R358" i="63"/>
  <c r="AH358" i="63"/>
  <c r="AX358" i="63"/>
  <c r="C358" i="63"/>
  <c r="S358" i="63"/>
  <c r="AI358" i="63"/>
  <c r="AY358" i="63"/>
  <c r="D358" i="63"/>
  <c r="T358" i="63"/>
  <c r="AJ358" i="63"/>
  <c r="E358" i="63"/>
  <c r="U358" i="63"/>
  <c r="AK358" i="63"/>
  <c r="AN358" i="63"/>
  <c r="F358" i="63"/>
  <c r="G358" i="63"/>
  <c r="AL358" i="63"/>
  <c r="H358" i="63"/>
  <c r="V358" i="63"/>
  <c r="D358" i="65" s="1"/>
  <c r="W358" i="63"/>
  <c r="X358" i="63"/>
  <c r="AM358" i="63"/>
  <c r="S357" i="65"/>
  <c r="U357" i="65"/>
  <c r="M357" i="65"/>
  <c r="H357" i="65"/>
  <c r="N357" i="65"/>
  <c r="A359" i="63"/>
  <c r="AC358" i="65" l="1"/>
  <c r="AD358" i="65"/>
  <c r="AB358" i="65"/>
  <c r="J358" i="65"/>
  <c r="K358" i="65"/>
  <c r="X358" i="65"/>
  <c r="T358" i="65"/>
  <c r="G358" i="65"/>
  <c r="I358" i="65"/>
  <c r="B358" i="65"/>
  <c r="Z358" i="65"/>
  <c r="P358" i="65"/>
  <c r="W358" i="65"/>
  <c r="O358" i="65"/>
  <c r="AA358" i="65"/>
  <c r="V358" i="65"/>
  <c r="Y358" i="65"/>
  <c r="W359" i="63"/>
  <c r="AM359" i="63"/>
  <c r="H359" i="63"/>
  <c r="AN359" i="63"/>
  <c r="I359" i="63"/>
  <c r="AO359" i="63"/>
  <c r="J359" i="63"/>
  <c r="Z359" i="63"/>
  <c r="AP359" i="63"/>
  <c r="K359" i="63"/>
  <c r="AQ359" i="63"/>
  <c r="L359" i="63"/>
  <c r="K359" i="65" s="1"/>
  <c r="AR359" i="63"/>
  <c r="M359" i="63"/>
  <c r="AC359" i="63"/>
  <c r="AS359" i="63"/>
  <c r="N359" i="63"/>
  <c r="AD359" i="63"/>
  <c r="AT359" i="63"/>
  <c r="O359" i="63"/>
  <c r="AE359" i="63"/>
  <c r="AU359" i="63"/>
  <c r="P359" i="63"/>
  <c r="AF359" i="63"/>
  <c r="AV359" i="63"/>
  <c r="Q359" i="63"/>
  <c r="AG359" i="63"/>
  <c r="AW359" i="63"/>
  <c r="R359" i="63"/>
  <c r="AH359" i="63"/>
  <c r="AX359" i="63"/>
  <c r="S359" i="63"/>
  <c r="AI359" i="63"/>
  <c r="AY359" i="63"/>
  <c r="T359" i="63"/>
  <c r="U359" i="63"/>
  <c r="V359" i="63"/>
  <c r="D359" i="65" s="1"/>
  <c r="AJ359" i="63"/>
  <c r="AK359" i="63"/>
  <c r="AL359" i="63"/>
  <c r="S358" i="65"/>
  <c r="U358" i="65"/>
  <c r="M358" i="65"/>
  <c r="N358" i="65"/>
  <c r="H358" i="65"/>
  <c r="A360" i="63"/>
  <c r="AE359" i="65" l="1"/>
  <c r="AB359" i="65"/>
  <c r="AC359" i="65"/>
  <c r="J359" i="65"/>
  <c r="W359" i="65"/>
  <c r="I359" i="65"/>
  <c r="Z359" i="65"/>
  <c r="O359" i="65"/>
  <c r="AA359" i="65"/>
  <c r="G359" i="65"/>
  <c r="V359" i="65"/>
  <c r="P359" i="65"/>
  <c r="E360" i="63"/>
  <c r="U360" i="63"/>
  <c r="AK360" i="63"/>
  <c r="F360" i="63"/>
  <c r="V360" i="63"/>
  <c r="AL360" i="63"/>
  <c r="G360" i="63"/>
  <c r="W360" i="63"/>
  <c r="AM360" i="63"/>
  <c r="H360" i="63"/>
  <c r="X360" i="63"/>
  <c r="AN360" i="63"/>
  <c r="I360" i="63"/>
  <c r="Y360" i="63"/>
  <c r="AE360" i="65" s="1"/>
  <c r="AO360" i="63"/>
  <c r="J360" i="63"/>
  <c r="Z360" i="63"/>
  <c r="AP360" i="63"/>
  <c r="K360" i="63"/>
  <c r="AQ360" i="63"/>
  <c r="L360" i="63"/>
  <c r="AR360" i="63"/>
  <c r="M360" i="63"/>
  <c r="AC360" i="63"/>
  <c r="AS360" i="63"/>
  <c r="N360" i="63"/>
  <c r="AD360" i="63"/>
  <c r="AT360" i="63"/>
  <c r="O360" i="63"/>
  <c r="AE360" i="63"/>
  <c r="AU360" i="63"/>
  <c r="P360" i="63"/>
  <c r="AF360" i="63"/>
  <c r="AV360" i="63"/>
  <c r="AG360" i="63"/>
  <c r="AW360" i="63"/>
  <c r="AH360" i="63"/>
  <c r="AI360" i="63"/>
  <c r="AJ360" i="63"/>
  <c r="AX360" i="63"/>
  <c r="AY360" i="63"/>
  <c r="B360" i="63"/>
  <c r="C360" i="63"/>
  <c r="D360" i="63"/>
  <c r="S360" i="63"/>
  <c r="T360" i="63"/>
  <c r="Y359" i="65"/>
  <c r="S359" i="65"/>
  <c r="H359" i="65"/>
  <c r="N359" i="65"/>
  <c r="M359" i="65"/>
  <c r="A361" i="63"/>
  <c r="J360" i="65" l="1"/>
  <c r="AC360" i="65"/>
  <c r="AD360" i="65"/>
  <c r="O360" i="65"/>
  <c r="K360" i="65"/>
  <c r="D360" i="65"/>
  <c r="X360" i="65"/>
  <c r="T360" i="65"/>
  <c r="I360" i="65"/>
  <c r="Z360" i="65"/>
  <c r="AA360" i="65"/>
  <c r="B360" i="65"/>
  <c r="W360" i="65"/>
  <c r="G360" i="65"/>
  <c r="V360" i="65"/>
  <c r="P360" i="65"/>
  <c r="M360" i="65"/>
  <c r="C361" i="63"/>
  <c r="AI361" i="63"/>
  <c r="AY361" i="63"/>
  <c r="D361" i="63"/>
  <c r="T361" i="63"/>
  <c r="AJ361" i="63"/>
  <c r="E361" i="63"/>
  <c r="U361" i="63"/>
  <c r="AK361" i="63"/>
  <c r="F361" i="63"/>
  <c r="V361" i="63"/>
  <c r="AL361" i="63"/>
  <c r="G361" i="63"/>
  <c r="W361" i="63"/>
  <c r="AM361" i="63"/>
  <c r="H361" i="63"/>
  <c r="X361" i="63"/>
  <c r="AN361" i="63"/>
  <c r="I361" i="63"/>
  <c r="Y361" i="63"/>
  <c r="AE361" i="65" s="1"/>
  <c r="AO361" i="63"/>
  <c r="J361" i="63"/>
  <c r="Z361" i="63"/>
  <c r="AP361" i="63"/>
  <c r="AQ361" i="63"/>
  <c r="L361" i="63"/>
  <c r="AR361" i="63"/>
  <c r="M361" i="63"/>
  <c r="AC361" i="63"/>
  <c r="AS361" i="63"/>
  <c r="N361" i="63"/>
  <c r="AD361" i="63"/>
  <c r="AT361" i="63"/>
  <c r="O361" i="63"/>
  <c r="AE361" i="63"/>
  <c r="AU361" i="63"/>
  <c r="B361" i="63"/>
  <c r="P361" i="63"/>
  <c r="AF361" i="63"/>
  <c r="AX361" i="63"/>
  <c r="AG361" i="63"/>
  <c r="AH361" i="63"/>
  <c r="AV361" i="63"/>
  <c r="AW361" i="63"/>
  <c r="U360" i="65"/>
  <c r="H360" i="65"/>
  <c r="N360" i="65"/>
  <c r="S360" i="65"/>
  <c r="Y360" i="65"/>
  <c r="A362" i="63"/>
  <c r="AD361" i="65" l="1"/>
  <c r="X361" i="65"/>
  <c r="AC361" i="65"/>
  <c r="T361" i="65"/>
  <c r="D361" i="65"/>
  <c r="K361" i="65"/>
  <c r="J361" i="65"/>
  <c r="B361" i="65"/>
  <c r="W361" i="65"/>
  <c r="O361" i="65"/>
  <c r="AA361" i="65"/>
  <c r="G361" i="65"/>
  <c r="P361" i="65"/>
  <c r="V361" i="65"/>
  <c r="I361" i="65"/>
  <c r="Z361" i="65"/>
  <c r="AG362" i="63"/>
  <c r="AW362" i="63"/>
  <c r="AH362" i="63"/>
  <c r="AX362" i="63"/>
  <c r="AI362" i="63"/>
  <c r="AY362" i="63"/>
  <c r="T362" i="63"/>
  <c r="AJ362" i="63"/>
  <c r="U362" i="63"/>
  <c r="AK362" i="63"/>
  <c r="V362" i="63"/>
  <c r="AL362" i="63"/>
  <c r="W362" i="63"/>
  <c r="AM362" i="63"/>
  <c r="H362" i="63"/>
  <c r="AN362" i="63"/>
  <c r="I362" i="63"/>
  <c r="M362" i="65" s="1"/>
  <c r="AO362" i="63"/>
  <c r="J362" i="63"/>
  <c r="Z362" i="63"/>
  <c r="AP362" i="63"/>
  <c r="AQ362" i="63"/>
  <c r="L362" i="63"/>
  <c r="AR362" i="63"/>
  <c r="M362" i="63"/>
  <c r="AC362" i="63"/>
  <c r="AS362" i="63"/>
  <c r="O362" i="63"/>
  <c r="P362" i="63"/>
  <c r="AD362" i="63"/>
  <c r="AE362" i="63"/>
  <c r="AF362" i="63"/>
  <c r="AT362" i="63"/>
  <c r="AU362" i="63"/>
  <c r="AV362" i="63"/>
  <c r="N362" i="63"/>
  <c r="S361" i="65"/>
  <c r="N361" i="65"/>
  <c r="U361" i="65"/>
  <c r="M361" i="65"/>
  <c r="H361" i="65"/>
  <c r="A363" i="63"/>
  <c r="AC362" i="65" l="1"/>
  <c r="J362" i="65"/>
  <c r="K362" i="65"/>
  <c r="D362" i="65"/>
  <c r="G362" i="65"/>
  <c r="Z362" i="65"/>
  <c r="O362" i="65"/>
  <c r="AA362" i="65"/>
  <c r="I362" i="65"/>
  <c r="P362" i="65"/>
  <c r="V362" i="65"/>
  <c r="W362" i="65"/>
  <c r="O363" i="63"/>
  <c r="AE363" i="63"/>
  <c r="AU363" i="63"/>
  <c r="P363" i="63"/>
  <c r="AF363" i="63"/>
  <c r="AV363" i="63"/>
  <c r="AG363" i="63"/>
  <c r="AW363" i="63"/>
  <c r="B363" i="63"/>
  <c r="AH363" i="63"/>
  <c r="AX363" i="63"/>
  <c r="C363" i="63"/>
  <c r="AI363" i="63"/>
  <c r="AY363" i="63"/>
  <c r="D363" i="63"/>
  <c r="T363" i="63"/>
  <c r="AJ363" i="63"/>
  <c r="E363" i="63"/>
  <c r="AK363" i="63"/>
  <c r="F363" i="63"/>
  <c r="V363" i="63"/>
  <c r="AL363" i="63"/>
  <c r="G363" i="63"/>
  <c r="W363" i="63"/>
  <c r="AM363" i="63"/>
  <c r="H363" i="63"/>
  <c r="X363" i="63"/>
  <c r="AN363" i="63"/>
  <c r="I363" i="63"/>
  <c r="Y363" i="63"/>
  <c r="AE363" i="65" s="1"/>
  <c r="AO363" i="63"/>
  <c r="J363" i="63"/>
  <c r="Z363" i="63"/>
  <c r="AP363" i="63"/>
  <c r="AQ363" i="63"/>
  <c r="AT363" i="63"/>
  <c r="L363" i="63"/>
  <c r="M363" i="63"/>
  <c r="N363" i="63"/>
  <c r="AC363" i="63"/>
  <c r="AD363" i="63"/>
  <c r="AR363" i="63"/>
  <c r="AS363" i="63"/>
  <c r="S362" i="65"/>
  <c r="N362" i="65"/>
  <c r="H362" i="65"/>
  <c r="A364" i="63"/>
  <c r="AD363" i="65" l="1"/>
  <c r="O363" i="65"/>
  <c r="P363" i="65"/>
  <c r="J363" i="65"/>
  <c r="D363" i="65"/>
  <c r="K363" i="65"/>
  <c r="X363" i="65"/>
  <c r="T363" i="65"/>
  <c r="AA363" i="65"/>
  <c r="Z363" i="65"/>
  <c r="V363" i="65"/>
  <c r="G363" i="65"/>
  <c r="I363" i="65"/>
  <c r="B363" i="65"/>
  <c r="W363" i="65"/>
  <c r="M364" i="63"/>
  <c r="AC364" i="63"/>
  <c r="AS364" i="63"/>
  <c r="N364" i="63"/>
  <c r="AD364" i="63"/>
  <c r="AT364" i="63"/>
  <c r="O364" i="63"/>
  <c r="AE364" i="63"/>
  <c r="AU364" i="63"/>
  <c r="P364" i="63"/>
  <c r="AF364" i="63"/>
  <c r="AV364" i="63"/>
  <c r="Q364" i="63"/>
  <c r="AG364" i="63"/>
  <c r="AW364" i="63"/>
  <c r="B364" i="63"/>
  <c r="R364" i="63"/>
  <c r="AH364" i="63"/>
  <c r="AX364" i="63"/>
  <c r="C364" i="63"/>
  <c r="AI364" i="63"/>
  <c r="AY364" i="63"/>
  <c r="D364" i="63"/>
  <c r="T364" i="63"/>
  <c r="AJ364" i="63"/>
  <c r="E364" i="63"/>
  <c r="U364" i="63"/>
  <c r="AK364" i="63"/>
  <c r="F364" i="63"/>
  <c r="V364" i="63"/>
  <c r="D364" i="65" s="1"/>
  <c r="AL364" i="63"/>
  <c r="G364" i="63"/>
  <c r="W364" i="63"/>
  <c r="AM364" i="63"/>
  <c r="H364" i="63"/>
  <c r="X364" i="63"/>
  <c r="AN364" i="63"/>
  <c r="I364" i="63"/>
  <c r="Y364" i="63"/>
  <c r="AE364" i="65" s="1"/>
  <c r="AO364" i="63"/>
  <c r="J364" i="63"/>
  <c r="L364" i="63"/>
  <c r="Z364" i="63"/>
  <c r="AP364" i="63"/>
  <c r="AQ364" i="63"/>
  <c r="AR364" i="63"/>
  <c r="S363" i="65"/>
  <c r="U363" i="65"/>
  <c r="H363" i="65"/>
  <c r="M363" i="65"/>
  <c r="A365" i="63"/>
  <c r="T364" i="65" l="1"/>
  <c r="AD364" i="65"/>
  <c r="AB364" i="65"/>
  <c r="AC364" i="65"/>
  <c r="J364" i="65"/>
  <c r="K364" i="65"/>
  <c r="X364" i="65"/>
  <c r="W364" i="65"/>
  <c r="V364" i="65"/>
  <c r="B364" i="65"/>
  <c r="O364" i="65"/>
  <c r="AA364" i="65"/>
  <c r="G364" i="65"/>
  <c r="I364" i="65"/>
  <c r="Z364" i="65"/>
  <c r="P364" i="65"/>
  <c r="N364" i="65"/>
  <c r="K365" i="63"/>
  <c r="AQ365" i="63"/>
  <c r="L365" i="63"/>
  <c r="AR365" i="63"/>
  <c r="M365" i="63"/>
  <c r="AC365" i="63"/>
  <c r="AS365" i="63"/>
  <c r="N365" i="63"/>
  <c r="AD365" i="63"/>
  <c r="AT365" i="63"/>
  <c r="O365" i="63"/>
  <c r="AE365" i="63"/>
  <c r="AU365" i="63"/>
  <c r="P365" i="63"/>
  <c r="AF365" i="63"/>
  <c r="AV365" i="63"/>
  <c r="Q365" i="63"/>
  <c r="AG365" i="63"/>
  <c r="AW365" i="63"/>
  <c r="B365" i="63"/>
  <c r="R365" i="63"/>
  <c r="AH365" i="63"/>
  <c r="AX365" i="63"/>
  <c r="C365" i="63"/>
  <c r="S365" i="63"/>
  <c r="AI365" i="63"/>
  <c r="AY365" i="63"/>
  <c r="D365" i="63"/>
  <c r="T365" i="63"/>
  <c r="AJ365" i="63"/>
  <c r="E365" i="63"/>
  <c r="U365" i="63"/>
  <c r="AK365" i="63"/>
  <c r="F365" i="63"/>
  <c r="V365" i="63"/>
  <c r="AL365" i="63"/>
  <c r="G365" i="63"/>
  <c r="W365" i="63"/>
  <c r="AM365" i="63"/>
  <c r="AN365" i="63"/>
  <c r="AO365" i="63"/>
  <c r="AP365" i="63"/>
  <c r="H365" i="63"/>
  <c r="I365" i="63"/>
  <c r="J365" i="63"/>
  <c r="X365" i="63"/>
  <c r="Y365" i="63"/>
  <c r="AE365" i="65" s="1"/>
  <c r="Z365" i="63"/>
  <c r="M364" i="65"/>
  <c r="U364" i="65"/>
  <c r="S364" i="65"/>
  <c r="H364" i="65"/>
  <c r="A366" i="63"/>
  <c r="AC365" i="65" l="1"/>
  <c r="AD365" i="65"/>
  <c r="O365" i="65"/>
  <c r="Z365" i="65"/>
  <c r="J365" i="65"/>
  <c r="D365" i="65"/>
  <c r="K365" i="65"/>
  <c r="B365" i="65"/>
  <c r="X365" i="65"/>
  <c r="T365" i="65"/>
  <c r="AA365" i="65"/>
  <c r="AB365" i="65"/>
  <c r="G365" i="65"/>
  <c r="W365" i="65"/>
  <c r="I365" i="65"/>
  <c r="V365" i="65"/>
  <c r="P365" i="65"/>
  <c r="I366" i="63"/>
  <c r="Y366" i="63"/>
  <c r="AE366" i="65" s="1"/>
  <c r="AO366" i="63"/>
  <c r="J366" i="63"/>
  <c r="Z366" i="63"/>
  <c r="AP366" i="63"/>
  <c r="K366" i="63"/>
  <c r="AQ366" i="63"/>
  <c r="L366" i="63"/>
  <c r="AR366" i="63"/>
  <c r="M366" i="63"/>
  <c r="AC366" i="63"/>
  <c r="AS366" i="63"/>
  <c r="N366" i="63"/>
  <c r="AD366" i="63"/>
  <c r="AT366" i="63"/>
  <c r="O366" i="63"/>
  <c r="AE366" i="63"/>
  <c r="AU366" i="63"/>
  <c r="P366" i="63"/>
  <c r="AF366" i="63"/>
  <c r="AV366" i="63"/>
  <c r="Q366" i="63"/>
  <c r="AG366" i="63"/>
  <c r="AW366" i="63"/>
  <c r="B366" i="63"/>
  <c r="R366" i="63"/>
  <c r="AH366" i="63"/>
  <c r="AX366" i="63"/>
  <c r="C366" i="63"/>
  <c r="S366" i="63"/>
  <c r="AI366" i="63"/>
  <c r="AY366" i="63"/>
  <c r="D366" i="63"/>
  <c r="T366" i="63"/>
  <c r="AJ366" i="63"/>
  <c r="E366" i="63"/>
  <c r="AK366" i="63"/>
  <c r="F366" i="63"/>
  <c r="G366" i="63"/>
  <c r="H366" i="63"/>
  <c r="V366" i="63"/>
  <c r="D366" i="65" s="1"/>
  <c r="W366" i="63"/>
  <c r="X366" i="63"/>
  <c r="AL366" i="63"/>
  <c r="AM366" i="63"/>
  <c r="AN366" i="63"/>
  <c r="Y365" i="65"/>
  <c r="S365" i="65"/>
  <c r="M365" i="65"/>
  <c r="N365" i="65"/>
  <c r="H365" i="65"/>
  <c r="U365" i="65"/>
  <c r="A367" i="63"/>
  <c r="N366" i="65" l="1"/>
  <c r="AD366" i="65"/>
  <c r="AB366" i="65"/>
  <c r="J366" i="65"/>
  <c r="K366" i="65"/>
  <c r="X366" i="65"/>
  <c r="T366" i="65"/>
  <c r="G366" i="65"/>
  <c r="B366" i="65"/>
  <c r="I366" i="65"/>
  <c r="O366" i="65"/>
  <c r="AA366" i="65"/>
  <c r="V366" i="65"/>
  <c r="P366" i="65"/>
  <c r="Z366" i="65"/>
  <c r="W366" i="65"/>
  <c r="G367" i="63"/>
  <c r="W367" i="63"/>
  <c r="AM367" i="63"/>
  <c r="H367" i="63"/>
  <c r="X367" i="63"/>
  <c r="AN367" i="63"/>
  <c r="I367" i="63"/>
  <c r="Y367" i="63"/>
  <c r="AE367" i="65" s="1"/>
  <c r="AO367" i="63"/>
  <c r="J367" i="63"/>
  <c r="Z367" i="63"/>
  <c r="AP367" i="63"/>
  <c r="K367" i="63"/>
  <c r="AQ367" i="63"/>
  <c r="L367" i="63"/>
  <c r="K367" i="65" s="1"/>
  <c r="AR367" i="63"/>
  <c r="M367" i="63"/>
  <c r="AC367" i="63"/>
  <c r="AS367" i="63"/>
  <c r="N367" i="63"/>
  <c r="AD367" i="63"/>
  <c r="AT367" i="63"/>
  <c r="O367" i="63"/>
  <c r="AE367" i="63"/>
  <c r="AU367" i="63"/>
  <c r="P367" i="63"/>
  <c r="AF367" i="63"/>
  <c r="AV367" i="63"/>
  <c r="Q367" i="63"/>
  <c r="AG367" i="63"/>
  <c r="AW367" i="63"/>
  <c r="B367" i="63"/>
  <c r="R367" i="63"/>
  <c r="AH367" i="63"/>
  <c r="AX367" i="63"/>
  <c r="C367" i="63"/>
  <c r="S367" i="63"/>
  <c r="AI367" i="63"/>
  <c r="AY367" i="63"/>
  <c r="U367" i="63"/>
  <c r="V367" i="63"/>
  <c r="AJ367" i="63"/>
  <c r="AK367" i="63"/>
  <c r="AL367" i="63"/>
  <c r="F367" i="63"/>
  <c r="D367" i="63"/>
  <c r="E367" i="63"/>
  <c r="T367" i="63"/>
  <c r="H366" i="65"/>
  <c r="M366" i="65"/>
  <c r="Y366" i="65"/>
  <c r="S366" i="65"/>
  <c r="U366" i="65"/>
  <c r="A368" i="63"/>
  <c r="T367" i="65" l="1"/>
  <c r="AD367" i="65"/>
  <c r="AC367" i="65"/>
  <c r="AB367" i="65"/>
  <c r="B367" i="65"/>
  <c r="J367" i="65"/>
  <c r="D367" i="65"/>
  <c r="P367" i="65"/>
  <c r="W367" i="65"/>
  <c r="X367" i="65"/>
  <c r="V367" i="65"/>
  <c r="I367" i="65"/>
  <c r="G367" i="65"/>
  <c r="Z367" i="65"/>
  <c r="O367" i="65"/>
  <c r="AA367" i="65"/>
  <c r="E368" i="63"/>
  <c r="U368" i="63"/>
  <c r="AK368" i="63"/>
  <c r="F368" i="63"/>
  <c r="V368" i="63"/>
  <c r="AL368" i="63"/>
  <c r="G368" i="63"/>
  <c r="W368" i="63"/>
  <c r="AM368" i="63"/>
  <c r="H368" i="63"/>
  <c r="X368" i="63"/>
  <c r="AN368" i="63"/>
  <c r="I368" i="63"/>
  <c r="Y368" i="63"/>
  <c r="AE368" i="65" s="1"/>
  <c r="AO368" i="63"/>
  <c r="J368" i="63"/>
  <c r="Z368" i="63"/>
  <c r="AP368" i="63"/>
  <c r="K368" i="63"/>
  <c r="AQ368" i="63"/>
  <c r="L368" i="63"/>
  <c r="AR368" i="63"/>
  <c r="M368" i="63"/>
  <c r="AC368" i="63"/>
  <c r="AS368" i="63"/>
  <c r="N368" i="63"/>
  <c r="AD368" i="63"/>
  <c r="AT368" i="63"/>
  <c r="O368" i="63"/>
  <c r="AE368" i="63"/>
  <c r="AU368" i="63"/>
  <c r="P368" i="63"/>
  <c r="AF368" i="63"/>
  <c r="AV368" i="63"/>
  <c r="Q368" i="63"/>
  <c r="AG368" i="63"/>
  <c r="AW368" i="63"/>
  <c r="B368" i="63"/>
  <c r="C368" i="63"/>
  <c r="D368" i="63"/>
  <c r="R368" i="63"/>
  <c r="S368" i="63"/>
  <c r="T368" i="63"/>
  <c r="AH368" i="63"/>
  <c r="AI368" i="63"/>
  <c r="AJ368" i="63"/>
  <c r="AX368" i="63"/>
  <c r="AY368" i="63"/>
  <c r="M367" i="65"/>
  <c r="S367" i="65"/>
  <c r="Y367" i="65"/>
  <c r="H367" i="65"/>
  <c r="N367" i="65"/>
  <c r="U367" i="65"/>
  <c r="A369" i="63"/>
  <c r="J368" i="65" l="1"/>
  <c r="AC368" i="65"/>
  <c r="AD368" i="65"/>
  <c r="O368" i="65"/>
  <c r="K368" i="65"/>
  <c r="Z368" i="65"/>
  <c r="D368" i="65"/>
  <c r="X368" i="65"/>
  <c r="T368" i="65"/>
  <c r="AA368" i="65"/>
  <c r="AB368" i="65"/>
  <c r="V368" i="65"/>
  <c r="G368" i="65"/>
  <c r="B368" i="65"/>
  <c r="I368" i="65"/>
  <c r="P368" i="65"/>
  <c r="W368" i="65"/>
  <c r="C369" i="63"/>
  <c r="S369" i="63"/>
  <c r="AI369" i="63"/>
  <c r="AY369" i="63"/>
  <c r="D369" i="63"/>
  <c r="AJ369" i="63"/>
  <c r="E369" i="63"/>
  <c r="U369" i="63"/>
  <c r="AK369" i="63"/>
  <c r="F369" i="63"/>
  <c r="V369" i="63"/>
  <c r="AL369" i="63"/>
  <c r="G369" i="63"/>
  <c r="W369" i="63"/>
  <c r="AM369" i="63"/>
  <c r="H369" i="63"/>
  <c r="X369" i="63"/>
  <c r="AN369" i="63"/>
  <c r="I369" i="63"/>
  <c r="Y369" i="63"/>
  <c r="AE369" i="65" s="1"/>
  <c r="AO369" i="63"/>
  <c r="J369" i="63"/>
  <c r="Z369" i="63"/>
  <c r="AP369" i="63"/>
  <c r="K369" i="63"/>
  <c r="AA369" i="63"/>
  <c r="AQ369" i="63"/>
  <c r="L369" i="63"/>
  <c r="AB369" i="63"/>
  <c r="AR369" i="63"/>
  <c r="M369" i="63"/>
  <c r="AC369" i="63"/>
  <c r="AS369" i="63"/>
  <c r="N369" i="63"/>
  <c r="AD369" i="63"/>
  <c r="AT369" i="63"/>
  <c r="O369" i="63"/>
  <c r="AE369" i="63"/>
  <c r="AU369" i="63"/>
  <c r="B369" i="63"/>
  <c r="P369" i="63"/>
  <c r="Q369" i="63"/>
  <c r="R369" i="63"/>
  <c r="AF369" i="63"/>
  <c r="AG369" i="63"/>
  <c r="AH369" i="63"/>
  <c r="AV369" i="63"/>
  <c r="AW369" i="63"/>
  <c r="AX369" i="63"/>
  <c r="M368" i="65"/>
  <c r="N368" i="65"/>
  <c r="S368" i="65"/>
  <c r="Y368" i="65"/>
  <c r="U368" i="65"/>
  <c r="H368" i="65"/>
  <c r="N369" i="65" l="1"/>
  <c r="AD369" i="65"/>
  <c r="AB369" i="65"/>
  <c r="J58" i="5"/>
  <c r="K58" i="5"/>
  <c r="L58" i="5"/>
  <c r="M58" i="5"/>
  <c r="N58" i="5"/>
  <c r="AC369" i="65"/>
  <c r="T369" i="65"/>
  <c r="D369" i="65"/>
  <c r="K369" i="65"/>
  <c r="J369" i="65"/>
  <c r="X369" i="65"/>
  <c r="B369" i="65"/>
  <c r="Q369" i="65"/>
  <c r="S369" i="65"/>
  <c r="I369" i="65"/>
  <c r="J49" i="5"/>
  <c r="K49" i="5"/>
  <c r="L49" i="5"/>
  <c r="M49" i="5"/>
  <c r="N49" i="5"/>
  <c r="V369" i="65"/>
  <c r="R369" i="65"/>
  <c r="Z369" i="65"/>
  <c r="W369" i="65"/>
  <c r="P369" i="65"/>
  <c r="O369" i="65"/>
  <c r="G369" i="65"/>
  <c r="M369" i="65"/>
  <c r="Y369" i="65"/>
  <c r="U369" i="65"/>
  <c r="H369" i="65"/>
  <c r="J36" i="5"/>
  <c r="K36" i="5"/>
  <c r="L36" i="5"/>
  <c r="M36" i="5"/>
  <c r="N36" i="5"/>
  <c r="K59" i="5" l="1"/>
  <c r="L59" i="5"/>
  <c r="P58" i="5"/>
  <c r="J57" i="5"/>
  <c r="K57" i="5"/>
  <c r="N57" i="5"/>
  <c r="L61" i="5"/>
  <c r="M61" i="5"/>
  <c r="N61" i="5"/>
  <c r="J73" i="5"/>
  <c r="K73" i="5"/>
  <c r="L73" i="5"/>
  <c r="M73" i="5"/>
  <c r="N73" i="5"/>
  <c r="J38" i="5"/>
  <c r="K38" i="5"/>
  <c r="L38" i="5"/>
  <c r="M38" i="5"/>
  <c r="N38" i="5"/>
  <c r="J21" i="5"/>
  <c r="K21" i="5"/>
  <c r="L21" i="5"/>
  <c r="M21" i="5"/>
  <c r="N21" i="5"/>
  <c r="J47" i="5"/>
  <c r="M47" i="5"/>
  <c r="P36" i="5"/>
  <c r="J35" i="5"/>
  <c r="K35" i="5"/>
  <c r="L35" i="5"/>
  <c r="M35" i="5"/>
  <c r="N35" i="5"/>
  <c r="L40" i="5" l="1"/>
  <c r="K40" i="5"/>
  <c r="M40" i="5"/>
  <c r="N40" i="5"/>
  <c r="P38" i="5"/>
  <c r="J40" i="5"/>
  <c r="P35" i="5"/>
  <c r="P40" i="5" s="1"/>
  <c r="P21" i="5" l="1"/>
  <c r="N363" i="65"/>
  <c r="AE354" i="65"/>
  <c r="AE340" i="65"/>
  <c r="AE326" i="65"/>
  <c r="AE312" i="65"/>
  <c r="D301" i="65"/>
  <c r="AE284" i="65"/>
  <c r="D270" i="65"/>
  <c r="AE270" i="65"/>
  <c r="AE256" i="65"/>
  <c r="J40" i="65"/>
  <c r="AE242" i="65"/>
  <c r="D240" i="65"/>
  <c r="AE228" i="65"/>
  <c r="AE214" i="65"/>
  <c r="AE200" i="65"/>
  <c r="V74" i="65"/>
  <c r="AE186" i="65"/>
  <c r="Z180" i="65"/>
  <c r="D178" i="65"/>
  <c r="AE172" i="65"/>
  <c r="AE158" i="65"/>
  <c r="AE130" i="65"/>
  <c r="AE116" i="65"/>
  <c r="AE88" i="65"/>
  <c r="Z68" i="65"/>
  <c r="AE60" i="65"/>
  <c r="AE46" i="65"/>
  <c r="AE32" i="65"/>
  <c r="AE18" i="65"/>
  <c r="AE4" i="65"/>
  <c r="B2" i="63" a="1"/>
  <c r="L77" i="63" s="1"/>
  <c r="J20" i="5" l="1"/>
  <c r="L353" i="63"/>
  <c r="Q3" i="63"/>
  <c r="AB3" i="65" s="1"/>
  <c r="R3" i="63"/>
  <c r="K4" i="63"/>
  <c r="Y4" i="65" s="1"/>
  <c r="U3" i="63"/>
  <c r="AC3" i="65" s="1"/>
  <c r="W5" i="63"/>
  <c r="J5" i="65" s="1"/>
  <c r="H5" i="63"/>
  <c r="S4" i="63"/>
  <c r="I6" i="63"/>
  <c r="N6" i="65" s="1"/>
  <c r="M9" i="63"/>
  <c r="X9" i="63"/>
  <c r="T9" i="65" s="1"/>
  <c r="Y9" i="63"/>
  <c r="C9" i="63"/>
  <c r="U9" i="65" s="1"/>
  <c r="F9" i="63"/>
  <c r="D9" i="63"/>
  <c r="E9" i="63"/>
  <c r="G9" i="63"/>
  <c r="Q10" i="63"/>
  <c r="AB10" i="65" s="1"/>
  <c r="R10" i="63"/>
  <c r="K11" i="63"/>
  <c r="Y11" i="65" s="1"/>
  <c r="S11" i="63"/>
  <c r="T12" i="63"/>
  <c r="AA12" i="65" s="1"/>
  <c r="Q17" i="63"/>
  <c r="AB17" i="65" s="1"/>
  <c r="R17" i="63"/>
  <c r="K18" i="63"/>
  <c r="Y18" i="65" s="1"/>
  <c r="S18" i="63"/>
  <c r="N22" i="63"/>
  <c r="V22" i="63"/>
  <c r="J22" i="65" s="1"/>
  <c r="D23" i="63"/>
  <c r="F23" i="63"/>
  <c r="E23" i="63"/>
  <c r="G23" i="63"/>
  <c r="C23" i="63"/>
  <c r="U23" i="65" s="1"/>
  <c r="X23" i="63"/>
  <c r="T23" i="65" s="1"/>
  <c r="O23" i="63"/>
  <c r="Y23" i="63"/>
  <c r="Q24" i="63"/>
  <c r="AB24" i="65" s="1"/>
  <c r="R24" i="63"/>
  <c r="K25" i="63"/>
  <c r="Y25" i="65" s="1"/>
  <c r="S25" i="63"/>
  <c r="Q31" i="63"/>
  <c r="AB31" i="65" s="1"/>
  <c r="R31" i="63"/>
  <c r="S32" i="63"/>
  <c r="K32" i="63"/>
  <c r="Y32" i="65" s="1"/>
  <c r="P32" i="63"/>
  <c r="T33" i="63"/>
  <c r="AA33" i="65" s="1"/>
  <c r="W35" i="63"/>
  <c r="J35" i="65" s="1"/>
  <c r="H35" i="63"/>
  <c r="N35" i="65" s="1"/>
  <c r="I36" i="63"/>
  <c r="N36" i="65" s="1"/>
  <c r="F37" i="63"/>
  <c r="C37" i="63"/>
  <c r="U37" i="65" s="1"/>
  <c r="G37" i="63"/>
  <c r="X37" i="63"/>
  <c r="T37" i="65" s="1"/>
  <c r="Y37" i="63"/>
  <c r="AD37" i="65" s="1"/>
  <c r="E37" i="63"/>
  <c r="D37" i="63"/>
  <c r="Q38" i="63"/>
  <c r="AB38" i="65" s="1"/>
  <c r="R38" i="63"/>
  <c r="K39" i="63"/>
  <c r="Y39" i="65" s="1"/>
  <c r="M39" i="63"/>
  <c r="S39" i="63"/>
  <c r="Q45" i="63"/>
  <c r="AB45" i="65" s="1"/>
  <c r="R45" i="63"/>
  <c r="K46" i="63"/>
  <c r="Y46" i="65" s="1"/>
  <c r="S46" i="63"/>
  <c r="G51" i="63"/>
  <c r="F51" i="63"/>
  <c r="X51" i="63"/>
  <c r="T51" i="65" s="1"/>
  <c r="C51" i="63"/>
  <c r="U51" i="65" s="1"/>
  <c r="Y51" i="63"/>
  <c r="D51" i="63"/>
  <c r="E51" i="63"/>
  <c r="Q52" i="63"/>
  <c r="N52" i="63"/>
  <c r="R52" i="63"/>
  <c r="V52" i="63"/>
  <c r="S53" i="63"/>
  <c r="O53" i="63"/>
  <c r="K53" i="63"/>
  <c r="Y53" i="65" s="1"/>
  <c r="T54" i="63"/>
  <c r="AA54" i="65" s="1"/>
  <c r="Q59" i="63"/>
  <c r="AB59" i="65" s="1"/>
  <c r="R59" i="63"/>
  <c r="S60" i="63"/>
  <c r="K60" i="63"/>
  <c r="Y60" i="65" s="1"/>
  <c r="P62" i="63"/>
  <c r="F65" i="63"/>
  <c r="E65" i="63"/>
  <c r="G65" i="63"/>
  <c r="X65" i="63"/>
  <c r="T65" i="65" s="1"/>
  <c r="Y65" i="63"/>
  <c r="D65" i="63"/>
  <c r="C65" i="63"/>
  <c r="U65" i="65" s="1"/>
  <c r="R66" i="63"/>
  <c r="W66" i="63"/>
  <c r="J66" i="65" s="1"/>
  <c r="Q66" i="63"/>
  <c r="H66" i="63"/>
  <c r="N66" i="65" s="1"/>
  <c r="S67" i="63"/>
  <c r="K67" i="63"/>
  <c r="Y67" i="65" s="1"/>
  <c r="I67" i="63"/>
  <c r="N67" i="65" s="1"/>
  <c r="M70" i="63"/>
  <c r="Q73" i="63"/>
  <c r="AB73" i="65" s="1"/>
  <c r="R73" i="63"/>
  <c r="K74" i="63"/>
  <c r="Y74" i="65" s="1"/>
  <c r="S74" i="63"/>
  <c r="T75" i="63"/>
  <c r="AA75" i="65" s="1"/>
  <c r="J77" i="63"/>
  <c r="Y79" i="63"/>
  <c r="E79" i="63"/>
  <c r="F79" i="63"/>
  <c r="C79" i="63"/>
  <c r="U79" i="65" s="1"/>
  <c r="G79" i="63"/>
  <c r="X79" i="63"/>
  <c r="T79" i="65" s="1"/>
  <c r="D79" i="63"/>
  <c r="R80" i="63"/>
  <c r="Q80" i="63"/>
  <c r="AB80" i="65" s="1"/>
  <c r="K81" i="63"/>
  <c r="Y81" i="65" s="1"/>
  <c r="S81" i="63"/>
  <c r="V83" i="63"/>
  <c r="J83" i="65" s="1"/>
  <c r="N83" i="63"/>
  <c r="O84" i="63"/>
  <c r="Q87" i="63"/>
  <c r="AB87" i="65" s="1"/>
  <c r="R87" i="63"/>
  <c r="K88" i="63"/>
  <c r="Y88" i="65" s="1"/>
  <c r="S88" i="63"/>
  <c r="F93" i="63"/>
  <c r="C93" i="63"/>
  <c r="U93" i="65" s="1"/>
  <c r="P93" i="63"/>
  <c r="X93" i="63"/>
  <c r="T93" i="65" s="1"/>
  <c r="Y93" i="63"/>
  <c r="E93" i="63"/>
  <c r="U93" i="63"/>
  <c r="AC93" i="65" s="1"/>
  <c r="G93" i="63"/>
  <c r="D93" i="63"/>
  <c r="R94" i="63"/>
  <c r="Q94" i="63"/>
  <c r="AB94" i="65" s="1"/>
  <c r="S95" i="63"/>
  <c r="K95" i="63"/>
  <c r="Y95" i="65" s="1"/>
  <c r="W96" i="63"/>
  <c r="J96" i="65" s="1"/>
  <c r="H96" i="63"/>
  <c r="T96" i="63"/>
  <c r="AA96" i="65" s="1"/>
  <c r="I97" i="63"/>
  <c r="N97" i="65" s="1"/>
  <c r="M100" i="63"/>
  <c r="Q101" i="63"/>
  <c r="AB101" i="65" s="1"/>
  <c r="R101" i="63"/>
  <c r="K102" i="63"/>
  <c r="Y102" i="65" s="1"/>
  <c r="S102" i="63"/>
  <c r="D107" i="63"/>
  <c r="C107" i="63"/>
  <c r="U107" i="65" s="1"/>
  <c r="X107" i="63"/>
  <c r="T107" i="65" s="1"/>
  <c r="E107" i="63"/>
  <c r="F107" i="63"/>
  <c r="G107" i="63"/>
  <c r="Y107" i="63"/>
  <c r="Q108" i="63"/>
  <c r="AB108" i="65" s="1"/>
  <c r="R108" i="63"/>
  <c r="S109" i="63"/>
  <c r="K109" i="63"/>
  <c r="Y109" i="65" s="1"/>
  <c r="N113" i="63"/>
  <c r="V113" i="63"/>
  <c r="J113" i="65" s="1"/>
  <c r="O114" i="63"/>
  <c r="Q115" i="63"/>
  <c r="AB115" i="65" s="1"/>
  <c r="R115" i="63"/>
  <c r="K116" i="63"/>
  <c r="Y116" i="65" s="1"/>
  <c r="S116" i="63"/>
  <c r="T117" i="63"/>
  <c r="AA117" i="65" s="1"/>
  <c r="D121" i="63"/>
  <c r="Y121" i="63"/>
  <c r="G121" i="63"/>
  <c r="C121" i="63"/>
  <c r="U121" i="65" s="1"/>
  <c r="E121" i="63"/>
  <c r="X121" i="63"/>
  <c r="T121" i="65" s="1"/>
  <c r="F121" i="63"/>
  <c r="Q122" i="63"/>
  <c r="AB122" i="65" s="1"/>
  <c r="R122" i="63"/>
  <c r="S123" i="63"/>
  <c r="K123" i="63"/>
  <c r="Y123" i="65" s="1"/>
  <c r="P123" i="63"/>
  <c r="W127" i="63"/>
  <c r="J127" i="65" s="1"/>
  <c r="H127" i="63"/>
  <c r="I128" i="63"/>
  <c r="N128" i="65" s="1"/>
  <c r="Q129" i="63"/>
  <c r="R129" i="63"/>
  <c r="K130" i="63"/>
  <c r="Y130" i="65" s="1"/>
  <c r="S130" i="63"/>
  <c r="M131" i="63"/>
  <c r="X135" i="63"/>
  <c r="T135" i="65" s="1"/>
  <c r="G135" i="63"/>
  <c r="D135" i="63"/>
  <c r="E135" i="63"/>
  <c r="F135" i="63"/>
  <c r="Y135" i="63"/>
  <c r="C135" i="63"/>
  <c r="U135" i="65" s="1"/>
  <c r="Q136" i="63"/>
  <c r="AB136" i="65" s="1"/>
  <c r="R136" i="63"/>
  <c r="K137" i="63"/>
  <c r="Y137" i="65" s="1"/>
  <c r="S137" i="63"/>
  <c r="T138" i="63"/>
  <c r="AA138" i="65" s="1"/>
  <c r="Q143" i="63"/>
  <c r="AB143" i="65" s="1"/>
  <c r="R143" i="63"/>
  <c r="N144" i="63"/>
  <c r="V144" i="63"/>
  <c r="S144" i="63"/>
  <c r="K144" i="63"/>
  <c r="Y144" i="65" s="1"/>
  <c r="O145" i="63"/>
  <c r="Z147" i="63"/>
  <c r="P147" i="65" s="1"/>
  <c r="E149" i="63"/>
  <c r="G149" i="63"/>
  <c r="C149" i="63"/>
  <c r="U149" i="65" s="1"/>
  <c r="X149" i="63"/>
  <c r="T149" i="65" s="1"/>
  <c r="D149" i="63"/>
  <c r="F149" i="63"/>
  <c r="Y149" i="63"/>
  <c r="Q150" i="63"/>
  <c r="AB150" i="65" s="1"/>
  <c r="R150" i="63"/>
  <c r="S151" i="63"/>
  <c r="K151" i="63"/>
  <c r="Y151" i="65" s="1"/>
  <c r="P154" i="63"/>
  <c r="R157" i="63"/>
  <c r="Q157" i="63"/>
  <c r="AB157" i="65" s="1"/>
  <c r="W158" i="63"/>
  <c r="J158" i="65" s="1"/>
  <c r="K158" i="63"/>
  <c r="Y158" i="65" s="1"/>
  <c r="H158" i="63"/>
  <c r="S158" i="63"/>
  <c r="I159" i="63"/>
  <c r="N159" i="65" s="1"/>
  <c r="T159" i="63"/>
  <c r="AA159" i="65" s="1"/>
  <c r="M162" i="63"/>
  <c r="E163" i="63"/>
  <c r="Y163" i="63"/>
  <c r="F163" i="63"/>
  <c r="C163" i="63"/>
  <c r="U163" i="65" s="1"/>
  <c r="G163" i="63"/>
  <c r="D163" i="63"/>
  <c r="X163" i="63"/>
  <c r="T163" i="65" s="1"/>
  <c r="Q164" i="63"/>
  <c r="AB164" i="65" s="1"/>
  <c r="R164" i="63"/>
  <c r="K165" i="63"/>
  <c r="Y165" i="65" s="1"/>
  <c r="S165" i="63"/>
  <c r="Q171" i="63"/>
  <c r="R171" i="63"/>
  <c r="K172" i="63"/>
  <c r="Y172" i="65" s="1"/>
  <c r="S172" i="63"/>
  <c r="V175" i="63"/>
  <c r="J175" i="65" s="1"/>
  <c r="N175" i="63"/>
  <c r="O176" i="63"/>
  <c r="F177" i="63"/>
  <c r="C177" i="63"/>
  <c r="U177" i="65" s="1"/>
  <c r="X177" i="63"/>
  <c r="T177" i="65" s="1"/>
  <c r="E177" i="63"/>
  <c r="D177" i="63"/>
  <c r="Y177" i="63"/>
  <c r="G177" i="63"/>
  <c r="Q178" i="63"/>
  <c r="AB178" i="65" s="1"/>
  <c r="R178" i="63"/>
  <c r="K179" i="63"/>
  <c r="Y179" i="65" s="1"/>
  <c r="S179" i="63"/>
  <c r="T180" i="63"/>
  <c r="AA180" i="65" s="1"/>
  <c r="U183" i="63"/>
  <c r="AC183" i="65" s="1"/>
  <c r="P185" i="63"/>
  <c r="Q185" i="63"/>
  <c r="AB185" i="65" s="1"/>
  <c r="R185" i="63"/>
  <c r="K186" i="63"/>
  <c r="Y186" i="65" s="1"/>
  <c r="S186" i="63"/>
  <c r="W188" i="63"/>
  <c r="J188" i="65" s="1"/>
  <c r="H188" i="63"/>
  <c r="N188" i="65" s="1"/>
  <c r="I189" i="63"/>
  <c r="N189" i="65" s="1"/>
  <c r="F191" i="63"/>
  <c r="G191" i="63"/>
  <c r="C191" i="63"/>
  <c r="U191" i="65" s="1"/>
  <c r="X191" i="63"/>
  <c r="T191" i="65" s="1"/>
  <c r="D191" i="63"/>
  <c r="Y191" i="63"/>
  <c r="E191" i="63"/>
  <c r="M192" i="63"/>
  <c r="Q192" i="63"/>
  <c r="AB192" i="65" s="1"/>
  <c r="R192" i="63"/>
  <c r="K193" i="63"/>
  <c r="Y193" i="65" s="1"/>
  <c r="S193" i="63"/>
  <c r="R199" i="63"/>
  <c r="Q199" i="63"/>
  <c r="AB199" i="65" s="1"/>
  <c r="S200" i="63"/>
  <c r="K200" i="63"/>
  <c r="Y200" i="65" s="1"/>
  <c r="T201" i="63"/>
  <c r="AA201" i="65" s="1"/>
  <c r="E205" i="63"/>
  <c r="N205" i="63"/>
  <c r="Y205" i="63"/>
  <c r="F205" i="63"/>
  <c r="C205" i="63"/>
  <c r="U205" i="65" s="1"/>
  <c r="D205" i="63"/>
  <c r="X205" i="63"/>
  <c r="T205" i="65" s="1"/>
  <c r="V205" i="63"/>
  <c r="J205" i="65" s="1"/>
  <c r="G205" i="63"/>
  <c r="O206" i="63"/>
  <c r="Q206" i="63"/>
  <c r="AB206" i="65" s="1"/>
  <c r="R206" i="63"/>
  <c r="K207" i="63"/>
  <c r="Y207" i="65" s="1"/>
  <c r="S207" i="63"/>
  <c r="R213" i="63"/>
  <c r="Q213" i="63"/>
  <c r="AB213" i="65" s="1"/>
  <c r="S214" i="63"/>
  <c r="K214" i="63"/>
  <c r="Y214" i="65" s="1"/>
  <c r="P215" i="63"/>
  <c r="F219" i="63"/>
  <c r="Y219" i="63"/>
  <c r="C219" i="63"/>
  <c r="U219" i="65" s="1"/>
  <c r="G219" i="63"/>
  <c r="W219" i="63"/>
  <c r="J219" i="65" s="1"/>
  <c r="D219" i="63"/>
  <c r="H219" i="63"/>
  <c r="N219" i="65" s="1"/>
  <c r="X219" i="63"/>
  <c r="T219" i="65" s="1"/>
  <c r="E219" i="63"/>
  <c r="Q220" i="63"/>
  <c r="AB220" i="65" s="1"/>
  <c r="R220" i="63"/>
  <c r="I220" i="63"/>
  <c r="N220" i="65" s="1"/>
  <c r="S221" i="63"/>
  <c r="K221" i="63"/>
  <c r="Y221" i="65" s="1"/>
  <c r="T222" i="63"/>
  <c r="AA222" i="65" s="1"/>
  <c r="M223" i="63"/>
  <c r="R227" i="63"/>
  <c r="Q227" i="63"/>
  <c r="AB227" i="65" s="1"/>
  <c r="K228" i="63"/>
  <c r="Y228" i="65" s="1"/>
  <c r="S228" i="63"/>
  <c r="Y233" i="63"/>
  <c r="G233" i="63"/>
  <c r="F233" i="63"/>
  <c r="C233" i="63"/>
  <c r="U233" i="65" s="1"/>
  <c r="D233" i="63"/>
  <c r="X233" i="63"/>
  <c r="T233" i="65" s="1"/>
  <c r="E233" i="63"/>
  <c r="R234" i="63"/>
  <c r="Q234" i="63"/>
  <c r="AB234" i="65" s="1"/>
  <c r="S235" i="63"/>
  <c r="K235" i="63"/>
  <c r="Y235" i="65" s="1"/>
  <c r="N236" i="63"/>
  <c r="V236" i="63"/>
  <c r="J236" i="65" s="1"/>
  <c r="O237" i="63"/>
  <c r="Q241" i="63"/>
  <c r="AB241" i="65" s="1"/>
  <c r="R241" i="63"/>
  <c r="S242" i="63"/>
  <c r="K242" i="63"/>
  <c r="Y242" i="65" s="1"/>
  <c r="T243" i="63"/>
  <c r="AA243" i="65" s="1"/>
  <c r="P246" i="63"/>
  <c r="G247" i="63"/>
  <c r="X247" i="63"/>
  <c r="T247" i="65" s="1"/>
  <c r="C247" i="63"/>
  <c r="U247" i="65" s="1"/>
  <c r="D247" i="63"/>
  <c r="E247" i="63"/>
  <c r="Y247" i="63"/>
  <c r="F247" i="63"/>
  <c r="Q248" i="63"/>
  <c r="AB248" i="65" s="1"/>
  <c r="R248" i="63"/>
  <c r="S249" i="63"/>
  <c r="K249" i="63"/>
  <c r="Y249" i="65" s="1"/>
  <c r="W249" i="63"/>
  <c r="J249" i="65" s="1"/>
  <c r="H249" i="63"/>
  <c r="N249" i="65" s="1"/>
  <c r="I250" i="63"/>
  <c r="N250" i="65" s="1"/>
  <c r="M253" i="63"/>
  <c r="R255" i="63"/>
  <c r="Q255" i="63"/>
  <c r="AB255" i="65" s="1"/>
  <c r="K256" i="63"/>
  <c r="Y256" i="65" s="1"/>
  <c r="S256" i="63"/>
  <c r="J260" i="63"/>
  <c r="Y260" i="65" s="1"/>
  <c r="C261" i="63"/>
  <c r="U261" i="65" s="1"/>
  <c r="G261" i="63"/>
  <c r="D261" i="63"/>
  <c r="X261" i="63"/>
  <c r="T261" i="65" s="1"/>
  <c r="E261" i="63"/>
  <c r="Y261" i="63"/>
  <c r="F261" i="63"/>
  <c r="Q262" i="63"/>
  <c r="AB262" i="65" s="1"/>
  <c r="R262" i="63"/>
  <c r="K263" i="63"/>
  <c r="S263" i="63"/>
  <c r="T264" i="63"/>
  <c r="AA264" i="65" s="1"/>
  <c r="N266" i="63"/>
  <c r="V266" i="63"/>
  <c r="O267" i="63"/>
  <c r="R269" i="63"/>
  <c r="Q269" i="63"/>
  <c r="AB269" i="65" s="1"/>
  <c r="S270" i="63"/>
  <c r="K270" i="63"/>
  <c r="Y270" i="65" s="1"/>
  <c r="U273" i="63"/>
  <c r="AC273" i="65" s="1"/>
  <c r="G275" i="63"/>
  <c r="D275" i="63"/>
  <c r="Y275" i="63"/>
  <c r="C275" i="63"/>
  <c r="U275" i="65" s="1"/>
  <c r="X275" i="63"/>
  <c r="T275" i="65" s="1"/>
  <c r="E275" i="63"/>
  <c r="F275" i="63"/>
  <c r="P276" i="63"/>
  <c r="Q276" i="63"/>
  <c r="AB276" i="65" s="1"/>
  <c r="R276" i="63"/>
  <c r="K277" i="63"/>
  <c r="Y277" i="65" s="1"/>
  <c r="S277" i="63"/>
  <c r="H280" i="63"/>
  <c r="N280" i="65" s="1"/>
  <c r="W280" i="63"/>
  <c r="J280" i="65" s="1"/>
  <c r="I281" i="63"/>
  <c r="Q283" i="63"/>
  <c r="AB283" i="65" s="1"/>
  <c r="R283" i="63"/>
  <c r="S284" i="63"/>
  <c r="K284" i="63"/>
  <c r="Y284" i="65" s="1"/>
  <c r="M284" i="63"/>
  <c r="T285" i="63"/>
  <c r="AA285" i="65" s="1"/>
  <c r="G289" i="63"/>
  <c r="D289" i="63"/>
  <c r="X289" i="63"/>
  <c r="T289" i="65" s="1"/>
  <c r="E289" i="63"/>
  <c r="C289" i="63"/>
  <c r="U289" i="65" s="1"/>
  <c r="F289" i="63"/>
  <c r="Y289" i="63"/>
  <c r="Q290" i="63"/>
  <c r="AB290" i="65" s="1"/>
  <c r="R290" i="63"/>
  <c r="S291" i="63"/>
  <c r="K291" i="63"/>
  <c r="Y291" i="65" s="1"/>
  <c r="Q297" i="63"/>
  <c r="AB297" i="65" s="1"/>
  <c r="N297" i="63"/>
  <c r="R297" i="63"/>
  <c r="V297" i="63"/>
  <c r="K298" i="63"/>
  <c r="Y298" i="65" s="1"/>
  <c r="S298" i="63"/>
  <c r="O298" i="63"/>
  <c r="F303" i="63"/>
  <c r="G303" i="63"/>
  <c r="C303" i="63"/>
  <c r="U303" i="65" s="1"/>
  <c r="D303" i="63"/>
  <c r="X303" i="63"/>
  <c r="T303" i="65" s="1"/>
  <c r="E303" i="63"/>
  <c r="Y303" i="63"/>
  <c r="Q304" i="63"/>
  <c r="AB304" i="65" s="1"/>
  <c r="R304" i="63"/>
  <c r="K305" i="63"/>
  <c r="Y305" i="65" s="1"/>
  <c r="S305" i="63"/>
  <c r="T306" i="63"/>
  <c r="AA306" i="65" s="1"/>
  <c r="P307" i="63"/>
  <c r="W311" i="63"/>
  <c r="J311" i="65" s="1"/>
  <c r="Q311" i="63"/>
  <c r="AB311" i="65" s="1"/>
  <c r="H311" i="63"/>
  <c r="N311" i="65" s="1"/>
  <c r="R311" i="63"/>
  <c r="I312" i="63"/>
  <c r="N312" i="65" s="1"/>
  <c r="S312" i="63"/>
  <c r="K312" i="63"/>
  <c r="Y312" i="65" s="1"/>
  <c r="M315" i="63"/>
  <c r="X317" i="63"/>
  <c r="T317" i="65" s="1"/>
  <c r="D317" i="63"/>
  <c r="E317" i="63"/>
  <c r="Y317" i="63"/>
  <c r="AD317" i="65" s="1"/>
  <c r="F317" i="63"/>
  <c r="C317" i="63"/>
  <c r="U317" i="65" s="1"/>
  <c r="G317" i="63"/>
  <c r="R318" i="63"/>
  <c r="Q318" i="63"/>
  <c r="AB318" i="65" s="1"/>
  <c r="S319" i="63"/>
  <c r="K319" i="63"/>
  <c r="Y319" i="65" s="1"/>
  <c r="Q325" i="63"/>
  <c r="AB325" i="65" s="1"/>
  <c r="R325" i="63"/>
  <c r="S326" i="63"/>
  <c r="K326" i="63"/>
  <c r="Y326" i="65" s="1"/>
  <c r="T327" i="63"/>
  <c r="AA327" i="65" s="1"/>
  <c r="N328" i="63"/>
  <c r="V328" i="63"/>
  <c r="O329" i="63"/>
  <c r="Z331" i="63"/>
  <c r="P331" i="65" s="1"/>
  <c r="M59" i="5" s="1"/>
  <c r="E331" i="63"/>
  <c r="F331" i="63"/>
  <c r="Y331" i="63"/>
  <c r="D331" i="63"/>
  <c r="G331" i="63"/>
  <c r="X331" i="63"/>
  <c r="T331" i="65" s="1"/>
  <c r="C331" i="63"/>
  <c r="U331" i="65" s="1"/>
  <c r="R332" i="63"/>
  <c r="Q332" i="63"/>
  <c r="AB332" i="65" s="1"/>
  <c r="S333" i="63"/>
  <c r="K333" i="63"/>
  <c r="Y333" i="65" s="1"/>
  <c r="P338" i="63"/>
  <c r="Q339" i="63"/>
  <c r="AB339" i="65" s="1"/>
  <c r="H339" i="63"/>
  <c r="N339" i="65" s="1"/>
  <c r="R339" i="63"/>
  <c r="W339" i="63"/>
  <c r="J339" i="65" s="1"/>
  <c r="K340" i="63"/>
  <c r="Y340" i="65" s="1"/>
  <c r="S340" i="63"/>
  <c r="G345" i="63"/>
  <c r="E345" i="63"/>
  <c r="F345" i="63"/>
  <c r="X345" i="63"/>
  <c r="T345" i="65" s="1"/>
  <c r="C345" i="63"/>
  <c r="U345" i="65" s="1"/>
  <c r="Y345" i="63"/>
  <c r="D345" i="63"/>
  <c r="Q346" i="63"/>
  <c r="AB346" i="65" s="1"/>
  <c r="R346" i="63"/>
  <c r="S347" i="63"/>
  <c r="K347" i="63"/>
  <c r="Y347" i="65" s="1"/>
  <c r="T348" i="63"/>
  <c r="AA348" i="65" s="1"/>
  <c r="L350" i="63"/>
  <c r="R353" i="63"/>
  <c r="Q353" i="63"/>
  <c r="AB353" i="65" s="1"/>
  <c r="K354" i="63"/>
  <c r="Y354" i="65" s="1"/>
  <c r="S354" i="63"/>
  <c r="Y359" i="63"/>
  <c r="AD359" i="65" s="1"/>
  <c r="C359" i="63"/>
  <c r="U359" i="65" s="1"/>
  <c r="G359" i="63"/>
  <c r="D359" i="63"/>
  <c r="X359" i="63"/>
  <c r="T359" i="65" s="1"/>
  <c r="E359" i="63"/>
  <c r="F359" i="63"/>
  <c r="R360" i="63"/>
  <c r="Q360" i="63"/>
  <c r="AB360" i="65" s="1"/>
  <c r="S361" i="63"/>
  <c r="K361" i="63"/>
  <c r="Y361" i="65" s="1"/>
  <c r="U363" i="63"/>
  <c r="AC363" i="65" s="1"/>
  <c r="T369" i="63"/>
  <c r="AA369" i="65" s="1"/>
  <c r="P4" i="63"/>
  <c r="R6" i="63"/>
  <c r="U6" i="63"/>
  <c r="AC6" i="65" s="1"/>
  <c r="Q6" i="63"/>
  <c r="AB6" i="65" s="1"/>
  <c r="K7" i="63"/>
  <c r="Y7" i="65" s="1"/>
  <c r="S7" i="63"/>
  <c r="H8" i="63"/>
  <c r="N8" i="65" s="1"/>
  <c r="W8" i="63"/>
  <c r="J8" i="65" s="1"/>
  <c r="I9" i="63"/>
  <c r="N9" i="65" s="1"/>
  <c r="F12" i="63"/>
  <c r="X12" i="63"/>
  <c r="T12" i="65" s="1"/>
  <c r="M12" i="63"/>
  <c r="C12" i="63"/>
  <c r="U12" i="65" s="1"/>
  <c r="G12" i="63"/>
  <c r="D12" i="63"/>
  <c r="Y12" i="63"/>
  <c r="E12" i="63"/>
  <c r="Q13" i="63"/>
  <c r="AB13" i="65" s="1"/>
  <c r="R13" i="63"/>
  <c r="K14" i="63"/>
  <c r="Y14" i="65" s="1"/>
  <c r="S14" i="63"/>
  <c r="T15" i="63"/>
  <c r="AA15" i="65" s="1"/>
  <c r="Q20" i="63"/>
  <c r="AB20" i="65" s="1"/>
  <c r="R20" i="63"/>
  <c r="S21" i="63"/>
  <c r="K21" i="63"/>
  <c r="Y21" i="65" s="1"/>
  <c r="N25" i="63"/>
  <c r="V25" i="63"/>
  <c r="Y26" i="63"/>
  <c r="O26" i="63"/>
  <c r="F26" i="63"/>
  <c r="G26" i="63"/>
  <c r="C26" i="63"/>
  <c r="U26" i="65" s="1"/>
  <c r="D26" i="63"/>
  <c r="X26" i="63"/>
  <c r="T26" i="65" s="1"/>
  <c r="E26" i="63"/>
  <c r="Q27" i="63"/>
  <c r="AB27" i="65" s="1"/>
  <c r="R27" i="63"/>
  <c r="K28" i="63"/>
  <c r="Y28" i="65" s="1"/>
  <c r="S28" i="63"/>
  <c r="Q34" i="63"/>
  <c r="AB34" i="65" s="1"/>
  <c r="R34" i="63"/>
  <c r="S35" i="63"/>
  <c r="P35" i="63"/>
  <c r="K35" i="63"/>
  <c r="Y35" i="65" s="1"/>
  <c r="T36" i="63"/>
  <c r="AA36" i="65" s="1"/>
  <c r="G40" i="63"/>
  <c r="X40" i="63"/>
  <c r="T40" i="65" s="1"/>
  <c r="D40" i="63"/>
  <c r="E40" i="63"/>
  <c r="Y40" i="63"/>
  <c r="C40" i="63"/>
  <c r="U40" i="65" s="1"/>
  <c r="F40" i="63"/>
  <c r="R41" i="63"/>
  <c r="Q41" i="63"/>
  <c r="S42" i="63"/>
  <c r="K42" i="63"/>
  <c r="Y42" i="65" s="1"/>
  <c r="Q48" i="63"/>
  <c r="AB48" i="65" s="1"/>
  <c r="R48" i="63"/>
  <c r="S49" i="63"/>
  <c r="K49" i="63"/>
  <c r="Y49" i="65" s="1"/>
  <c r="C54" i="63"/>
  <c r="U54" i="65" s="1"/>
  <c r="G54" i="63"/>
  <c r="Y54" i="63"/>
  <c r="AD54" i="65" s="1"/>
  <c r="D54" i="63"/>
  <c r="X54" i="63"/>
  <c r="T54" i="65" s="1"/>
  <c r="E54" i="63"/>
  <c r="F54" i="63"/>
  <c r="R55" i="63"/>
  <c r="Q55" i="63"/>
  <c r="S56" i="63"/>
  <c r="K56" i="63"/>
  <c r="Y56" i="65" s="1"/>
  <c r="T57" i="63"/>
  <c r="AA57" i="65" s="1"/>
  <c r="Q62" i="63"/>
  <c r="AB62" i="65" s="1"/>
  <c r="R62" i="63"/>
  <c r="S63" i="63"/>
  <c r="K63" i="63"/>
  <c r="Y63" i="65" s="1"/>
  <c r="E68" i="63"/>
  <c r="F68" i="63"/>
  <c r="G68" i="63"/>
  <c r="C68" i="63"/>
  <c r="U68" i="65" s="1"/>
  <c r="X68" i="63"/>
  <c r="T68" i="65" s="1"/>
  <c r="D68" i="63"/>
  <c r="Y68" i="63"/>
  <c r="Q69" i="63"/>
  <c r="AB69" i="65" s="1"/>
  <c r="R69" i="63"/>
  <c r="K70" i="63"/>
  <c r="Y70" i="65" s="1"/>
  <c r="S70" i="63"/>
  <c r="Q76" i="63"/>
  <c r="R76" i="63"/>
  <c r="K77" i="63"/>
  <c r="Y77" i="65" s="1"/>
  <c r="S77" i="63"/>
  <c r="T78" i="63"/>
  <c r="AA78" i="65" s="1"/>
  <c r="J80" i="63"/>
  <c r="Y80" i="65" s="1"/>
  <c r="L80" i="63"/>
  <c r="K80" i="65" s="1"/>
  <c r="G82" i="63"/>
  <c r="F82" i="63"/>
  <c r="E82" i="63"/>
  <c r="C82" i="63"/>
  <c r="U82" i="65" s="1"/>
  <c r="D82" i="63"/>
  <c r="X82" i="63"/>
  <c r="T82" i="65" s="1"/>
  <c r="Y82" i="63"/>
  <c r="AD82" i="65" s="1"/>
  <c r="Q83" i="63"/>
  <c r="AB83" i="65" s="1"/>
  <c r="R83" i="63"/>
  <c r="S84" i="63"/>
  <c r="K84" i="63"/>
  <c r="Y84" i="65" s="1"/>
  <c r="R90" i="63"/>
  <c r="Q90" i="63"/>
  <c r="AB90" i="65" s="1"/>
  <c r="K91" i="63"/>
  <c r="Y91" i="65" s="1"/>
  <c r="S91" i="63"/>
  <c r="Y96" i="63"/>
  <c r="E96" i="63"/>
  <c r="U96" i="63"/>
  <c r="AC96" i="65" s="1"/>
  <c r="G47" i="5" s="1"/>
  <c r="C96" i="63"/>
  <c r="U96" i="65" s="1"/>
  <c r="F96" i="63"/>
  <c r="G96" i="63"/>
  <c r="D96" i="63"/>
  <c r="X96" i="63"/>
  <c r="T96" i="65" s="1"/>
  <c r="Q97" i="63"/>
  <c r="AB97" i="65" s="1"/>
  <c r="R97" i="63"/>
  <c r="K98" i="63"/>
  <c r="Y98" i="65" s="1"/>
  <c r="S98" i="63"/>
  <c r="T99" i="63"/>
  <c r="AA99" i="65" s="1"/>
  <c r="Q104" i="63"/>
  <c r="AB104" i="65" s="1"/>
  <c r="R104" i="63"/>
  <c r="K105" i="63"/>
  <c r="Y105" i="65" s="1"/>
  <c r="S105" i="63"/>
  <c r="X110" i="63"/>
  <c r="T110" i="65" s="1"/>
  <c r="C110" i="63"/>
  <c r="U110" i="65" s="1"/>
  <c r="Y110" i="63"/>
  <c r="D110" i="63"/>
  <c r="F110" i="63"/>
  <c r="E110" i="63"/>
  <c r="G110" i="63"/>
  <c r="Q111" i="63"/>
  <c r="AB111" i="65" s="1"/>
  <c r="R111" i="63"/>
  <c r="K112" i="63"/>
  <c r="Y112" i="65" s="1"/>
  <c r="S112" i="63"/>
  <c r="Q118" i="63"/>
  <c r="AB118" i="65" s="1"/>
  <c r="R118" i="63"/>
  <c r="K119" i="63"/>
  <c r="Y119" i="65" s="1"/>
  <c r="S119" i="63"/>
  <c r="T120" i="63"/>
  <c r="AA120" i="65" s="1"/>
  <c r="G124" i="63"/>
  <c r="Y124" i="63"/>
  <c r="E124" i="63"/>
  <c r="X124" i="63"/>
  <c r="T124" i="65" s="1"/>
  <c r="C124" i="63"/>
  <c r="U124" i="65" s="1"/>
  <c r="D124" i="63"/>
  <c r="F124" i="63"/>
  <c r="R125" i="63"/>
  <c r="Q125" i="63"/>
  <c r="AB125" i="65" s="1"/>
  <c r="S126" i="63"/>
  <c r="K126" i="63"/>
  <c r="Y126" i="65" s="1"/>
  <c r="Q132" i="63"/>
  <c r="AB132" i="65" s="1"/>
  <c r="R132" i="63"/>
  <c r="S133" i="63"/>
  <c r="K133" i="63"/>
  <c r="Y133" i="65" s="1"/>
  <c r="F138" i="63"/>
  <c r="X138" i="63"/>
  <c r="T138" i="65" s="1"/>
  <c r="Y138" i="63"/>
  <c r="C138" i="63"/>
  <c r="U138" i="65" s="1"/>
  <c r="D138" i="63"/>
  <c r="E138" i="63"/>
  <c r="G138" i="63"/>
  <c r="Q139" i="63"/>
  <c r="AB139" i="65" s="1"/>
  <c r="R139" i="63"/>
  <c r="S140" i="63"/>
  <c r="K140" i="63"/>
  <c r="Y140" i="65" s="1"/>
  <c r="T141" i="63"/>
  <c r="AA141" i="65" s="1"/>
  <c r="Q146" i="63"/>
  <c r="AB146" i="65" s="1"/>
  <c r="R146" i="63"/>
  <c r="K147" i="63"/>
  <c r="Y147" i="65" s="1"/>
  <c r="S147" i="63"/>
  <c r="Z150" i="63"/>
  <c r="P150" i="65" s="1"/>
  <c r="C152" i="63"/>
  <c r="U152" i="65" s="1"/>
  <c r="X152" i="63"/>
  <c r="T152" i="65" s="1"/>
  <c r="Y152" i="63"/>
  <c r="D152" i="63"/>
  <c r="G152" i="63"/>
  <c r="E152" i="63"/>
  <c r="F152" i="63"/>
  <c r="Q153" i="63"/>
  <c r="AB153" i="65" s="1"/>
  <c r="R153" i="63"/>
  <c r="K154" i="63"/>
  <c r="Y154" i="65" s="1"/>
  <c r="S154" i="63"/>
  <c r="R160" i="63"/>
  <c r="Q160" i="63"/>
  <c r="AB160" i="65" s="1"/>
  <c r="S161" i="63"/>
  <c r="K161" i="63"/>
  <c r="Y161" i="65" s="1"/>
  <c r="T162" i="63"/>
  <c r="AA162" i="65" s="1"/>
  <c r="Y166" i="63"/>
  <c r="G166" i="63"/>
  <c r="C166" i="63"/>
  <c r="U166" i="65" s="1"/>
  <c r="X166" i="63"/>
  <c r="T166" i="65" s="1"/>
  <c r="E166" i="63"/>
  <c r="D166" i="63"/>
  <c r="F166" i="63"/>
  <c r="Q167" i="63"/>
  <c r="AB167" i="65" s="1"/>
  <c r="R167" i="63"/>
  <c r="K168" i="63"/>
  <c r="Y168" i="65" s="1"/>
  <c r="S168" i="63"/>
  <c r="R174" i="63"/>
  <c r="Q174" i="63"/>
  <c r="AB174" i="65" s="1"/>
  <c r="K175" i="63"/>
  <c r="Y175" i="65" s="1"/>
  <c r="S175" i="63"/>
  <c r="G180" i="63"/>
  <c r="F180" i="63"/>
  <c r="X180" i="63"/>
  <c r="T180" i="65" s="1"/>
  <c r="C180" i="63"/>
  <c r="U180" i="65" s="1"/>
  <c r="Y180" i="63"/>
  <c r="D180" i="63"/>
  <c r="E180" i="63"/>
  <c r="R181" i="63"/>
  <c r="Q181" i="63"/>
  <c r="AB181" i="65" s="1"/>
  <c r="S182" i="63"/>
  <c r="K182" i="63"/>
  <c r="Y182" i="65" s="1"/>
  <c r="T183" i="63"/>
  <c r="AA183" i="65" s="1"/>
  <c r="U186" i="63"/>
  <c r="AC186" i="65" s="1"/>
  <c r="Q188" i="63"/>
  <c r="AB188" i="65" s="1"/>
  <c r="R188" i="63"/>
  <c r="S189" i="63"/>
  <c r="K189" i="63"/>
  <c r="Y189" i="65" s="1"/>
  <c r="G194" i="63"/>
  <c r="C194" i="63"/>
  <c r="U194" i="65" s="1"/>
  <c r="Y194" i="63"/>
  <c r="D194" i="63"/>
  <c r="X194" i="63"/>
  <c r="T194" i="65" s="1"/>
  <c r="E194" i="63"/>
  <c r="F194" i="63"/>
  <c r="Q195" i="63"/>
  <c r="AB195" i="65" s="1"/>
  <c r="R195" i="63"/>
  <c r="S196" i="63"/>
  <c r="K196" i="63"/>
  <c r="Y196" i="65" s="1"/>
  <c r="R202" i="63"/>
  <c r="Q202" i="63"/>
  <c r="AB202" i="65" s="1"/>
  <c r="S203" i="63"/>
  <c r="K203" i="63"/>
  <c r="Y203" i="65" s="1"/>
  <c r="T204" i="63"/>
  <c r="AA204" i="65" s="1"/>
  <c r="C208" i="63"/>
  <c r="U208" i="65" s="1"/>
  <c r="X208" i="63"/>
  <c r="T208" i="65" s="1"/>
  <c r="D208" i="63"/>
  <c r="Y208" i="63"/>
  <c r="F208" i="63"/>
  <c r="E208" i="63"/>
  <c r="G208" i="63"/>
  <c r="Q209" i="63"/>
  <c r="AB209" i="65" s="1"/>
  <c r="R209" i="63"/>
  <c r="S210" i="63"/>
  <c r="K210" i="63"/>
  <c r="Y210" i="65" s="1"/>
  <c r="Q216" i="63"/>
  <c r="AB216" i="65" s="1"/>
  <c r="R216" i="63"/>
  <c r="K217" i="63"/>
  <c r="Y217" i="65" s="1"/>
  <c r="S217" i="63"/>
  <c r="Y222" i="63"/>
  <c r="C222" i="63"/>
  <c r="U222" i="65" s="1"/>
  <c r="D222" i="63"/>
  <c r="F222" i="63"/>
  <c r="G222" i="63"/>
  <c r="X222" i="63"/>
  <c r="T222" i="65" s="1"/>
  <c r="E222" i="63"/>
  <c r="Q223" i="63"/>
  <c r="AB223" i="65" s="1"/>
  <c r="R223" i="63"/>
  <c r="S224" i="63"/>
  <c r="K224" i="63"/>
  <c r="Y224" i="65" s="1"/>
  <c r="T225" i="63"/>
  <c r="AA225" i="65" s="1"/>
  <c r="R230" i="63"/>
  <c r="Q230" i="63"/>
  <c r="AB230" i="65" s="1"/>
  <c r="K231" i="63"/>
  <c r="Y231" i="65" s="1"/>
  <c r="S231" i="63"/>
  <c r="F236" i="63"/>
  <c r="D236" i="63"/>
  <c r="C236" i="63"/>
  <c r="U236" i="65" s="1"/>
  <c r="G236" i="63"/>
  <c r="X236" i="63"/>
  <c r="T236" i="65" s="1"/>
  <c r="Y236" i="63"/>
  <c r="E236" i="63"/>
  <c r="Q237" i="63"/>
  <c r="AB237" i="65" s="1"/>
  <c r="R237" i="63"/>
  <c r="K238" i="63"/>
  <c r="Y238" i="65" s="1"/>
  <c r="S238" i="63"/>
  <c r="R244" i="63"/>
  <c r="Q244" i="63"/>
  <c r="AB244" i="65" s="1"/>
  <c r="K245" i="63"/>
  <c r="Y245" i="65" s="1"/>
  <c r="S245" i="63"/>
  <c r="T246" i="63"/>
  <c r="AA246" i="65" s="1"/>
  <c r="Y250" i="63"/>
  <c r="F250" i="63"/>
  <c r="C250" i="63"/>
  <c r="U250" i="65" s="1"/>
  <c r="G250" i="63"/>
  <c r="D250" i="63"/>
  <c r="X250" i="63"/>
  <c r="T250" i="65" s="1"/>
  <c r="E250" i="63"/>
  <c r="Q251" i="63"/>
  <c r="AB251" i="65" s="1"/>
  <c r="R251" i="63"/>
  <c r="S252" i="63"/>
  <c r="K252" i="63"/>
  <c r="Y252" i="65" s="1"/>
  <c r="R258" i="63"/>
  <c r="Q258" i="63"/>
  <c r="AB258" i="65" s="1"/>
  <c r="S259" i="63"/>
  <c r="K259" i="63"/>
  <c r="Y259" i="65" s="1"/>
  <c r="J263" i="63"/>
  <c r="F264" i="63"/>
  <c r="E264" i="63"/>
  <c r="X264" i="63"/>
  <c r="T264" i="65" s="1"/>
  <c r="G264" i="63"/>
  <c r="C264" i="63"/>
  <c r="U264" i="65" s="1"/>
  <c r="D264" i="63"/>
  <c r="Y264" i="63"/>
  <c r="Q265" i="63"/>
  <c r="AB265" i="65" s="1"/>
  <c r="R265" i="63"/>
  <c r="S266" i="63"/>
  <c r="K266" i="63"/>
  <c r="Y266" i="65" s="1"/>
  <c r="T267" i="63"/>
  <c r="AA267" i="65" s="1"/>
  <c r="Q272" i="63"/>
  <c r="AB272" i="65" s="1"/>
  <c r="R272" i="63"/>
  <c r="K273" i="63"/>
  <c r="Y273" i="65" s="1"/>
  <c r="S273" i="63"/>
  <c r="U276" i="63"/>
  <c r="AC276" i="65" s="1"/>
  <c r="L47" i="5" s="1"/>
  <c r="D278" i="63"/>
  <c r="Y278" i="63"/>
  <c r="F278" i="63"/>
  <c r="C278" i="63"/>
  <c r="U278" i="65" s="1"/>
  <c r="G278" i="63"/>
  <c r="X278" i="63"/>
  <c r="T278" i="65" s="1"/>
  <c r="E278" i="63"/>
  <c r="Q279" i="63"/>
  <c r="AB279" i="65" s="1"/>
  <c r="R279" i="63"/>
  <c r="S280" i="63"/>
  <c r="K280" i="63"/>
  <c r="Y280" i="65" s="1"/>
  <c r="Q286" i="63"/>
  <c r="AB286" i="65" s="1"/>
  <c r="R286" i="63"/>
  <c r="S287" i="63"/>
  <c r="K287" i="63"/>
  <c r="Y287" i="65" s="1"/>
  <c r="T288" i="63"/>
  <c r="AA288" i="65" s="1"/>
  <c r="D292" i="63"/>
  <c r="F292" i="63"/>
  <c r="E292" i="63"/>
  <c r="X292" i="63"/>
  <c r="T292" i="65" s="1"/>
  <c r="C292" i="63"/>
  <c r="U292" i="65" s="1"/>
  <c r="G292" i="63"/>
  <c r="Y292" i="63"/>
  <c r="R293" i="63"/>
  <c r="Q293" i="63"/>
  <c r="AB293" i="65" s="1"/>
  <c r="S294" i="63"/>
  <c r="K294" i="63"/>
  <c r="Y294" i="65" s="1"/>
  <c r="Q300" i="63"/>
  <c r="AB300" i="65" s="1"/>
  <c r="R300" i="63"/>
  <c r="S301" i="63"/>
  <c r="K301" i="63"/>
  <c r="Y301" i="65" s="1"/>
  <c r="Y306" i="63"/>
  <c r="D306" i="63"/>
  <c r="E306" i="63"/>
  <c r="X306" i="63"/>
  <c r="T306" i="65" s="1"/>
  <c r="F306" i="63"/>
  <c r="G306" i="63"/>
  <c r="C306" i="63"/>
  <c r="U306" i="65" s="1"/>
  <c r="R307" i="63"/>
  <c r="Q307" i="63"/>
  <c r="AB307" i="65" s="1"/>
  <c r="S308" i="63"/>
  <c r="K308" i="63"/>
  <c r="Y308" i="65" s="1"/>
  <c r="T309" i="63"/>
  <c r="AA309" i="65" s="1"/>
  <c r="R314" i="63"/>
  <c r="Q314" i="63"/>
  <c r="AB314" i="65" s="1"/>
  <c r="K315" i="63"/>
  <c r="Y315" i="65" s="1"/>
  <c r="S315" i="63"/>
  <c r="G320" i="63"/>
  <c r="F320" i="63"/>
  <c r="C320" i="63"/>
  <c r="U320" i="65" s="1"/>
  <c r="X320" i="63"/>
  <c r="T320" i="65" s="1"/>
  <c r="D320" i="63"/>
  <c r="Y320" i="63"/>
  <c r="E320" i="63"/>
  <c r="R321" i="63"/>
  <c r="Q321" i="63"/>
  <c r="AB321" i="65" s="1"/>
  <c r="K322" i="63"/>
  <c r="Y322" i="65" s="1"/>
  <c r="S322" i="63"/>
  <c r="R328" i="63"/>
  <c r="Q328" i="63"/>
  <c r="AB328" i="65" s="1"/>
  <c r="S329" i="63"/>
  <c r="K329" i="63"/>
  <c r="Y329" i="65" s="1"/>
  <c r="T330" i="63"/>
  <c r="AA330" i="65" s="1"/>
  <c r="D334" i="63"/>
  <c r="Y334" i="63"/>
  <c r="E334" i="63"/>
  <c r="X334" i="63"/>
  <c r="T334" i="65" s="1"/>
  <c r="Z334" i="63"/>
  <c r="P334" i="65" s="1"/>
  <c r="F334" i="63"/>
  <c r="C334" i="63"/>
  <c r="U334" i="65" s="1"/>
  <c r="G334" i="63"/>
  <c r="R335" i="63"/>
  <c r="Q335" i="63"/>
  <c r="AB335" i="65" s="1"/>
  <c r="S336" i="63"/>
  <c r="K336" i="63"/>
  <c r="Y336" i="65" s="1"/>
  <c r="R342" i="63"/>
  <c r="H342" i="63"/>
  <c r="N342" i="65" s="1"/>
  <c r="W342" i="63"/>
  <c r="J342" i="65" s="1"/>
  <c r="Q342" i="63"/>
  <c r="AB342" i="65" s="1"/>
  <c r="S343" i="63"/>
  <c r="K343" i="63"/>
  <c r="Y343" i="65" s="1"/>
  <c r="Y348" i="63"/>
  <c r="E348" i="63"/>
  <c r="D348" i="63"/>
  <c r="F348" i="63"/>
  <c r="G348" i="63"/>
  <c r="C348" i="63"/>
  <c r="U348" i="65" s="1"/>
  <c r="X348" i="63"/>
  <c r="T348" i="65" s="1"/>
  <c r="Q349" i="63"/>
  <c r="AB349" i="65" s="1"/>
  <c r="R349" i="63"/>
  <c r="S350" i="63"/>
  <c r="K350" i="63"/>
  <c r="Y350" i="65" s="1"/>
  <c r="T351" i="63"/>
  <c r="AA351" i="65" s="1"/>
  <c r="Q356" i="63"/>
  <c r="AB356" i="65" s="1"/>
  <c r="R356" i="63"/>
  <c r="S357" i="63"/>
  <c r="K357" i="63"/>
  <c r="Y357" i="65" s="1"/>
  <c r="D362" i="63"/>
  <c r="X362" i="63"/>
  <c r="T362" i="65" s="1"/>
  <c r="E362" i="63"/>
  <c r="Y362" i="63"/>
  <c r="F362" i="63"/>
  <c r="C362" i="63"/>
  <c r="U362" i="65" s="1"/>
  <c r="G362" i="63"/>
  <c r="R363" i="63"/>
  <c r="Q363" i="63"/>
  <c r="AB363" i="65" s="1"/>
  <c r="S364" i="63"/>
  <c r="K364" i="63"/>
  <c r="Y364" i="65" s="1"/>
  <c r="U366" i="63"/>
  <c r="AC366" i="65" s="1"/>
  <c r="AA4" i="63"/>
  <c r="AA3" i="63"/>
  <c r="R3" i="65" s="1"/>
  <c r="AA5" i="63"/>
  <c r="R5" i="65" s="1"/>
  <c r="AA6" i="63"/>
  <c r="AA7" i="63"/>
  <c r="AA8" i="63"/>
  <c r="R8" i="65" s="1"/>
  <c r="AA9" i="63"/>
  <c r="R9" i="65" s="1"/>
  <c r="AA10" i="63"/>
  <c r="R10" i="65" s="1"/>
  <c r="AA11" i="63"/>
  <c r="R11" i="65" s="1"/>
  <c r="AA12" i="63"/>
  <c r="AA13" i="63"/>
  <c r="R13" i="65" s="1"/>
  <c r="AA14" i="63"/>
  <c r="AA15" i="63"/>
  <c r="AA16" i="63"/>
  <c r="R16" i="65" s="1"/>
  <c r="AA17" i="63"/>
  <c r="R17" i="65" s="1"/>
  <c r="AA18" i="63"/>
  <c r="R18" i="65" s="1"/>
  <c r="AA19" i="63"/>
  <c r="R19" i="65" s="1"/>
  <c r="AA20" i="63"/>
  <c r="R20" i="65" s="1"/>
  <c r="AA21" i="63"/>
  <c r="R21" i="65" s="1"/>
  <c r="AA22" i="63"/>
  <c r="R22" i="65" s="1"/>
  <c r="AA23" i="63"/>
  <c r="AA24" i="63"/>
  <c r="R24" i="65" s="1"/>
  <c r="AA25" i="63"/>
  <c r="AA26" i="63"/>
  <c r="AA27" i="63"/>
  <c r="AA28" i="63"/>
  <c r="AA29" i="63"/>
  <c r="AA32" i="63"/>
  <c r="R32" i="65" s="1"/>
  <c r="AA33" i="63"/>
  <c r="R33" i="65" s="1"/>
  <c r="AA34" i="63"/>
  <c r="R34" i="65" s="1"/>
  <c r="AA35" i="63"/>
  <c r="AA36" i="63"/>
  <c r="R36" i="65" s="1"/>
  <c r="AA37" i="63"/>
  <c r="AA38" i="63"/>
  <c r="AA39" i="63"/>
  <c r="R39" i="65" s="1"/>
  <c r="AA40" i="63"/>
  <c r="R40" i="65" s="1"/>
  <c r="AA41" i="63"/>
  <c r="R41" i="65" s="1"/>
  <c r="AA42" i="63"/>
  <c r="AA43" i="63"/>
  <c r="AA44" i="63"/>
  <c r="R44" i="65" s="1"/>
  <c r="AA45" i="63"/>
  <c r="R45" i="65" s="1"/>
  <c r="AA46" i="63"/>
  <c r="R46" i="65" s="1"/>
  <c r="AA47" i="63"/>
  <c r="R47" i="65" s="1"/>
  <c r="AA48" i="63"/>
  <c r="R48" i="65" s="1"/>
  <c r="AA49" i="63"/>
  <c r="R49" i="65" s="1"/>
  <c r="AA50" i="63"/>
  <c r="R50" i="65" s="1"/>
  <c r="AA51" i="63"/>
  <c r="R51" i="65" s="1"/>
  <c r="AA52" i="63"/>
  <c r="R52" i="65" s="1"/>
  <c r="AA53" i="63"/>
  <c r="AA54" i="63"/>
  <c r="R54" i="65" s="1"/>
  <c r="AA55" i="63"/>
  <c r="AA56" i="63"/>
  <c r="AA57" i="63"/>
  <c r="AA60" i="63"/>
  <c r="R60" i="65" s="1"/>
  <c r="AA61" i="63"/>
  <c r="R61" i="65" s="1"/>
  <c r="AA62" i="63"/>
  <c r="R62" i="65" s="1"/>
  <c r="AA63" i="63"/>
  <c r="R63" i="65" s="1"/>
  <c r="AA64" i="63"/>
  <c r="R64" i="65" s="1"/>
  <c r="AA65" i="63"/>
  <c r="AA66" i="63"/>
  <c r="AA67" i="63"/>
  <c r="R67" i="65" s="1"/>
  <c r="AA68" i="63"/>
  <c r="R68" i="65" s="1"/>
  <c r="AA69" i="63"/>
  <c r="R69" i="65" s="1"/>
  <c r="AA70" i="63"/>
  <c r="R70" i="65" s="1"/>
  <c r="AA71" i="63"/>
  <c r="R71" i="65" s="1"/>
  <c r="AA72" i="63"/>
  <c r="R72" i="65" s="1"/>
  <c r="AA73" i="63"/>
  <c r="AA74" i="63"/>
  <c r="AA75" i="63"/>
  <c r="R75" i="65" s="1"/>
  <c r="AA76" i="63"/>
  <c r="R76" i="65" s="1"/>
  <c r="AA77" i="63"/>
  <c r="R77" i="65" s="1"/>
  <c r="AA78" i="63"/>
  <c r="R78" i="65" s="1"/>
  <c r="AA79" i="63"/>
  <c r="R79" i="65" s="1"/>
  <c r="AA80" i="63"/>
  <c r="AA81" i="63"/>
  <c r="R81" i="65" s="1"/>
  <c r="AA82" i="63"/>
  <c r="R82" i="65" s="1"/>
  <c r="AA83" i="63"/>
  <c r="AA84" i="63"/>
  <c r="AA85" i="63"/>
  <c r="R85" i="65" s="1"/>
  <c r="AA86" i="63"/>
  <c r="AA87" i="63"/>
  <c r="AA88" i="63"/>
  <c r="AA91" i="63"/>
  <c r="R91" i="65" s="1"/>
  <c r="AA92" i="63"/>
  <c r="R92" i="65" s="1"/>
  <c r="AA93" i="63"/>
  <c r="AA94" i="63"/>
  <c r="R94" i="65" s="1"/>
  <c r="AA95" i="63"/>
  <c r="R95" i="65" s="1"/>
  <c r="AA96" i="63"/>
  <c r="AA97" i="63"/>
  <c r="AA98" i="63"/>
  <c r="R98" i="65" s="1"/>
  <c r="AA99" i="63"/>
  <c r="R99" i="65" s="1"/>
  <c r="AA100" i="63"/>
  <c r="AA101" i="63"/>
  <c r="R101" i="65" s="1"/>
  <c r="AA102" i="63"/>
  <c r="R102" i="65" s="1"/>
  <c r="AA103" i="63"/>
  <c r="AA104" i="63"/>
  <c r="AA105" i="63"/>
  <c r="R105" i="65" s="1"/>
  <c r="AA106" i="63"/>
  <c r="R106" i="65" s="1"/>
  <c r="AA107" i="63"/>
  <c r="R107" i="65" s="1"/>
  <c r="AA108" i="63"/>
  <c r="R108" i="65" s="1"/>
  <c r="AA109" i="63"/>
  <c r="R109" i="65" s="1"/>
  <c r="AA110" i="63"/>
  <c r="R110" i="65" s="1"/>
  <c r="AA111" i="63"/>
  <c r="R111" i="65" s="1"/>
  <c r="AA112" i="63"/>
  <c r="R112" i="65" s="1"/>
  <c r="AA113" i="63"/>
  <c r="R113" i="65" s="1"/>
  <c r="AA114" i="63"/>
  <c r="R114" i="65" s="1"/>
  <c r="AA115" i="63"/>
  <c r="R115" i="65" s="1"/>
  <c r="AA116" i="63"/>
  <c r="AA117" i="63"/>
  <c r="AA118" i="63"/>
  <c r="AA121" i="63"/>
  <c r="R121" i="65" s="1"/>
  <c r="AA122" i="63"/>
  <c r="R122" i="65" s="1"/>
  <c r="AA123" i="63"/>
  <c r="R123" i="65" s="1"/>
  <c r="AA124" i="63"/>
  <c r="R124" i="65" s="1"/>
  <c r="AA125" i="63"/>
  <c r="R125" i="65" s="1"/>
  <c r="AA126" i="63"/>
  <c r="AA127" i="63"/>
  <c r="AA128" i="63"/>
  <c r="R128" i="65" s="1"/>
  <c r="AA129" i="63"/>
  <c r="R129" i="65" s="1"/>
  <c r="AA130" i="63"/>
  <c r="R130" i="65" s="1"/>
  <c r="AA131" i="63"/>
  <c r="AA132" i="63"/>
  <c r="R132" i="65" s="1"/>
  <c r="AA133" i="63"/>
  <c r="R133" i="65" s="1"/>
  <c r="AA134" i="63"/>
  <c r="AA135" i="63"/>
  <c r="AA136" i="63"/>
  <c r="R136" i="65" s="1"/>
  <c r="AA137" i="63"/>
  <c r="R137" i="65" s="1"/>
  <c r="AA138" i="63"/>
  <c r="R138" i="65" s="1"/>
  <c r="AA139" i="63"/>
  <c r="R139" i="65" s="1"/>
  <c r="AA140" i="63"/>
  <c r="R140" i="65" s="1"/>
  <c r="AA141" i="63"/>
  <c r="AA142" i="63"/>
  <c r="AA143" i="63"/>
  <c r="R143" i="65" s="1"/>
  <c r="AA144" i="63"/>
  <c r="AA145" i="63"/>
  <c r="AA146" i="63"/>
  <c r="R146" i="65" s="1"/>
  <c r="AA147" i="63"/>
  <c r="AA148" i="63"/>
  <c r="AA149" i="63"/>
  <c r="AA152" i="63"/>
  <c r="R152" i="65" s="1"/>
  <c r="AA153" i="63"/>
  <c r="R153" i="65" s="1"/>
  <c r="AA154" i="63"/>
  <c r="R154" i="65" s="1"/>
  <c r="AA155" i="63"/>
  <c r="R155" i="65" s="1"/>
  <c r="AA156" i="63"/>
  <c r="R156" i="65" s="1"/>
  <c r="AA157" i="63"/>
  <c r="AA158" i="63"/>
  <c r="AA159" i="63"/>
  <c r="R159" i="65" s="1"/>
  <c r="AA160" i="63"/>
  <c r="R160" i="65" s="1"/>
  <c r="AA161" i="63"/>
  <c r="R161" i="65" s="1"/>
  <c r="AA162" i="63"/>
  <c r="AA163" i="63"/>
  <c r="R163" i="65" s="1"/>
  <c r="AA164" i="63"/>
  <c r="AA165" i="63"/>
  <c r="AA166" i="63"/>
  <c r="R166" i="65" s="1"/>
  <c r="AA167" i="63"/>
  <c r="R167" i="65" s="1"/>
  <c r="AA168" i="63"/>
  <c r="R168" i="65" s="1"/>
  <c r="AA169" i="63"/>
  <c r="R169" i="65" s="1"/>
  <c r="AA170" i="63"/>
  <c r="R170" i="65" s="1"/>
  <c r="AA171" i="63"/>
  <c r="R171" i="65" s="1"/>
  <c r="AA172" i="63"/>
  <c r="R172" i="65" s="1"/>
  <c r="AA173" i="63"/>
  <c r="R173" i="65" s="1"/>
  <c r="AA174" i="63"/>
  <c r="R174" i="65" s="1"/>
  <c r="AA175" i="63"/>
  <c r="AA176" i="63"/>
  <c r="R176" i="65" s="1"/>
  <c r="AA177" i="63"/>
  <c r="AA178" i="63"/>
  <c r="AA179" i="63"/>
  <c r="AA182" i="63"/>
  <c r="R182" i="65" s="1"/>
  <c r="AA183" i="63"/>
  <c r="R183" i="65" s="1"/>
  <c r="AA184" i="63"/>
  <c r="R184" i="65" s="1"/>
  <c r="AA185" i="63"/>
  <c r="AA186" i="63"/>
  <c r="R186" i="65" s="1"/>
  <c r="AA187" i="63"/>
  <c r="AA188" i="63"/>
  <c r="AA189" i="63"/>
  <c r="R189" i="65" s="1"/>
  <c r="AA190" i="63"/>
  <c r="R190" i="65" s="1"/>
  <c r="AA191" i="63"/>
  <c r="R191" i="65" s="1"/>
  <c r="AA192" i="63"/>
  <c r="R192" i="65" s="1"/>
  <c r="AA193" i="63"/>
  <c r="R193" i="65" s="1"/>
  <c r="AA194" i="63"/>
  <c r="R194" i="65" s="1"/>
  <c r="AA195" i="63"/>
  <c r="AA196" i="63"/>
  <c r="AA197" i="63"/>
  <c r="R197" i="65" s="1"/>
  <c r="AA198" i="63"/>
  <c r="R198" i="65" s="1"/>
  <c r="AA199" i="63"/>
  <c r="R199" i="65" s="1"/>
  <c r="AA200" i="63"/>
  <c r="R200" i="65" s="1"/>
  <c r="AA201" i="63"/>
  <c r="R201" i="65" s="1"/>
  <c r="AA202" i="63"/>
  <c r="R202" i="65" s="1"/>
  <c r="AA203" i="63"/>
  <c r="R203" i="65" s="1"/>
  <c r="AA204" i="63"/>
  <c r="R204" i="65" s="1"/>
  <c r="AA205" i="63"/>
  <c r="AA206" i="63"/>
  <c r="R206" i="65" s="1"/>
  <c r="AA207" i="63"/>
  <c r="R207" i="65" s="1"/>
  <c r="AA208" i="63"/>
  <c r="AA209" i="63"/>
  <c r="AA210" i="63"/>
  <c r="AA213" i="63"/>
  <c r="R213" i="65" s="1"/>
  <c r="AA214" i="63"/>
  <c r="R214" i="65" s="1"/>
  <c r="AA215" i="63"/>
  <c r="R215" i="65" s="1"/>
  <c r="AA216" i="63"/>
  <c r="R216" i="65" s="1"/>
  <c r="AA217" i="63"/>
  <c r="R217" i="65" s="1"/>
  <c r="AA218" i="63"/>
  <c r="AA219" i="63"/>
  <c r="AA220" i="63"/>
  <c r="R220" i="65" s="1"/>
  <c r="AA221" i="63"/>
  <c r="R221" i="65" s="1"/>
  <c r="AA222" i="63"/>
  <c r="R222" i="65" s="1"/>
  <c r="AA223" i="63"/>
  <c r="AA224" i="63"/>
  <c r="R224" i="65" s="1"/>
  <c r="AA225" i="63"/>
  <c r="R225" i="65" s="1"/>
  <c r="AA226" i="63"/>
  <c r="AA227" i="63"/>
  <c r="AA228" i="63"/>
  <c r="R228" i="65" s="1"/>
  <c r="AA229" i="63"/>
  <c r="R229" i="65" s="1"/>
  <c r="AA230" i="63"/>
  <c r="R230" i="65" s="1"/>
  <c r="AA231" i="63"/>
  <c r="R231" i="65" s="1"/>
  <c r="AA232" i="63"/>
  <c r="R232" i="65" s="1"/>
  <c r="AA233" i="63"/>
  <c r="R233" i="65" s="1"/>
  <c r="AA234" i="63"/>
  <c r="R234" i="65" s="1"/>
  <c r="AA235" i="63"/>
  <c r="R235" i="65" s="1"/>
  <c r="AA236" i="63"/>
  <c r="R236" i="65" s="1"/>
  <c r="AA237" i="63"/>
  <c r="AA238" i="63"/>
  <c r="R238" i="65" s="1"/>
  <c r="AA239" i="63"/>
  <c r="AA240" i="63"/>
  <c r="AA241" i="63"/>
  <c r="AA244" i="63"/>
  <c r="R244" i="65" s="1"/>
  <c r="AA245" i="63"/>
  <c r="R245" i="65" s="1"/>
  <c r="AA246" i="63"/>
  <c r="AA247" i="63"/>
  <c r="R247" i="65" s="1"/>
  <c r="AA248" i="63"/>
  <c r="R248" i="65" s="1"/>
  <c r="AA249" i="63"/>
  <c r="AA250" i="63"/>
  <c r="AA251" i="63"/>
  <c r="R251" i="65" s="1"/>
  <c r="AA252" i="63"/>
  <c r="R252" i="65" s="1"/>
  <c r="AA253" i="63"/>
  <c r="R253" i="65" s="1"/>
  <c r="AA254" i="63"/>
  <c r="R254" i="65" s="1"/>
  <c r="AA255" i="63"/>
  <c r="R255" i="65" s="1"/>
  <c r="AA256" i="63"/>
  <c r="AA257" i="63"/>
  <c r="AA258" i="63"/>
  <c r="R258" i="65" s="1"/>
  <c r="AA259" i="63"/>
  <c r="R259" i="65" s="1"/>
  <c r="AA260" i="63"/>
  <c r="R260" i="65" s="1"/>
  <c r="AA261" i="63"/>
  <c r="R261" i="65" s="1"/>
  <c r="AA262" i="63"/>
  <c r="R262" i="65" s="1"/>
  <c r="AA263" i="63"/>
  <c r="R263" i="65" s="1"/>
  <c r="AA264" i="63"/>
  <c r="R264" i="65" s="1"/>
  <c r="AA265" i="63"/>
  <c r="R265" i="65" s="1"/>
  <c r="AA266" i="63"/>
  <c r="R266" i="65" s="1"/>
  <c r="AA267" i="63"/>
  <c r="R267" i="65" s="1"/>
  <c r="AA268" i="63"/>
  <c r="R268" i="65" s="1"/>
  <c r="AA269" i="63"/>
  <c r="AA270" i="63"/>
  <c r="AA271" i="63"/>
  <c r="AA274" i="63"/>
  <c r="R274" i="65" s="1"/>
  <c r="AA275" i="63"/>
  <c r="R275" i="65" s="1"/>
  <c r="AA276" i="63"/>
  <c r="R276" i="65" s="1"/>
  <c r="AA277" i="63"/>
  <c r="R277" i="65" s="1"/>
  <c r="AA278" i="63"/>
  <c r="R278" i="65" s="1"/>
  <c r="AA279" i="63"/>
  <c r="AA280" i="63"/>
  <c r="AA281" i="63"/>
  <c r="R281" i="65" s="1"/>
  <c r="AA282" i="63"/>
  <c r="R282" i="65" s="1"/>
  <c r="AA283" i="63"/>
  <c r="R283" i="65" s="1"/>
  <c r="AA284" i="63"/>
  <c r="AA285" i="63"/>
  <c r="R285" i="65" s="1"/>
  <c r="AA286" i="63"/>
  <c r="R286" i="65" s="1"/>
  <c r="AA287" i="63"/>
  <c r="AA288" i="63"/>
  <c r="AA289" i="63"/>
  <c r="R289" i="65" s="1"/>
  <c r="AA290" i="63"/>
  <c r="R290" i="65" s="1"/>
  <c r="AA291" i="63"/>
  <c r="R291" i="65" s="1"/>
  <c r="AA292" i="63"/>
  <c r="R292" i="65" s="1"/>
  <c r="AA293" i="63"/>
  <c r="R293" i="65" s="1"/>
  <c r="AA294" i="63"/>
  <c r="R294" i="65" s="1"/>
  <c r="AA295" i="63"/>
  <c r="R295" i="65" s="1"/>
  <c r="AA296" i="63"/>
  <c r="R296" i="65" s="1"/>
  <c r="AA297" i="63"/>
  <c r="AA298" i="63"/>
  <c r="AA299" i="63"/>
  <c r="R299" i="65" s="1"/>
  <c r="AA300" i="63"/>
  <c r="AA301" i="63"/>
  <c r="AA302" i="63"/>
  <c r="AA305" i="63"/>
  <c r="R305" i="65" s="1"/>
  <c r="AA306" i="63"/>
  <c r="R306" i="65" s="1"/>
  <c r="AA307" i="63"/>
  <c r="R307" i="65" s="1"/>
  <c r="AA308" i="63"/>
  <c r="R308" i="65" s="1"/>
  <c r="AA309" i="63"/>
  <c r="R309" i="65" s="1"/>
  <c r="AA310" i="63"/>
  <c r="AA311" i="63"/>
  <c r="AA312" i="63"/>
  <c r="R312" i="65" s="1"/>
  <c r="AA313" i="63"/>
  <c r="R313" i="65" s="1"/>
  <c r="AA314" i="63"/>
  <c r="R314" i="65" s="1"/>
  <c r="AA315" i="63"/>
  <c r="R315" i="65" s="1"/>
  <c r="AA316" i="63"/>
  <c r="R316" i="65" s="1"/>
  <c r="AA317" i="63"/>
  <c r="AA318" i="63"/>
  <c r="AA319" i="63"/>
  <c r="R319" i="65" s="1"/>
  <c r="AA320" i="63"/>
  <c r="R320" i="65" s="1"/>
  <c r="AA321" i="63"/>
  <c r="R321" i="65" s="1"/>
  <c r="AA322" i="63"/>
  <c r="R322" i="65" s="1"/>
  <c r="AA323" i="63"/>
  <c r="R323" i="65" s="1"/>
  <c r="AA324" i="63"/>
  <c r="R324" i="65" s="1"/>
  <c r="AA325" i="63"/>
  <c r="R325" i="65" s="1"/>
  <c r="AA326" i="63"/>
  <c r="R326" i="65" s="1"/>
  <c r="AA327" i="63"/>
  <c r="R327" i="65" s="1"/>
  <c r="AA328" i="63"/>
  <c r="R328" i="65" s="1"/>
  <c r="AA329" i="63"/>
  <c r="R329" i="65" s="1"/>
  <c r="AA330" i="63"/>
  <c r="AA331" i="63"/>
  <c r="AA332" i="63"/>
  <c r="AA335" i="63"/>
  <c r="R335" i="65" s="1"/>
  <c r="AA336" i="63"/>
  <c r="R336" i="65" s="1"/>
  <c r="AA337" i="63"/>
  <c r="R337" i="65" s="1"/>
  <c r="AA338" i="63"/>
  <c r="AA339" i="63"/>
  <c r="R339" i="65" s="1"/>
  <c r="AA340" i="63"/>
  <c r="AA341" i="63"/>
  <c r="AA342" i="63"/>
  <c r="R342" i="65" s="1"/>
  <c r="AA343" i="63"/>
  <c r="R343" i="65" s="1"/>
  <c r="AA344" i="63"/>
  <c r="R344" i="65" s="1"/>
  <c r="AA345" i="63"/>
  <c r="R345" i="65" s="1"/>
  <c r="AA346" i="63"/>
  <c r="R346" i="65" s="1"/>
  <c r="AA347" i="63"/>
  <c r="R347" i="65" s="1"/>
  <c r="AA348" i="63"/>
  <c r="R348" i="65" s="1"/>
  <c r="AA349" i="63"/>
  <c r="R349" i="65" s="1"/>
  <c r="AA350" i="63"/>
  <c r="AA351" i="63"/>
  <c r="R351" i="65" s="1"/>
  <c r="AA352" i="63"/>
  <c r="R352" i="65" s="1"/>
  <c r="AA353" i="63"/>
  <c r="R353" i="65" s="1"/>
  <c r="AA354" i="63"/>
  <c r="R354" i="65" s="1"/>
  <c r="AA355" i="63"/>
  <c r="R355" i="65" s="1"/>
  <c r="AA356" i="63"/>
  <c r="R356" i="65" s="1"/>
  <c r="AA357" i="63"/>
  <c r="R357" i="65" s="1"/>
  <c r="AA358" i="63"/>
  <c r="R358" i="65" s="1"/>
  <c r="AA359" i="63"/>
  <c r="R359" i="65" s="1"/>
  <c r="AA360" i="63"/>
  <c r="R360" i="65" s="1"/>
  <c r="AA361" i="63"/>
  <c r="R361" i="65" s="1"/>
  <c r="AA362" i="63"/>
  <c r="R362" i="65" s="1"/>
  <c r="AA363" i="63"/>
  <c r="R363" i="65" s="1"/>
  <c r="AA364" i="63"/>
  <c r="R364" i="65" s="1"/>
  <c r="AA365" i="63"/>
  <c r="R365" i="65" s="1"/>
  <c r="AA366" i="63"/>
  <c r="R366" i="65" s="1"/>
  <c r="AA367" i="63"/>
  <c r="R367" i="65" s="1"/>
  <c r="AA368" i="63"/>
  <c r="R368" i="65" s="1"/>
  <c r="AB234" i="63"/>
  <c r="D3" i="63"/>
  <c r="G3" i="63"/>
  <c r="R4" i="63"/>
  <c r="C3" i="63"/>
  <c r="U3" i="65" s="1"/>
  <c r="Q4" i="63"/>
  <c r="AB4" i="65" s="1"/>
  <c r="X3" i="63"/>
  <c r="T3" i="65" s="1"/>
  <c r="E3" i="63"/>
  <c r="V3" i="65" s="1"/>
  <c r="Y3" i="63"/>
  <c r="F3" i="63"/>
  <c r="K5" i="63"/>
  <c r="Y5" i="65" s="1"/>
  <c r="S5" i="63"/>
  <c r="P6" i="63"/>
  <c r="W10" i="63"/>
  <c r="J10" i="65" s="1"/>
  <c r="H10" i="63"/>
  <c r="N10" i="65" s="1"/>
  <c r="Q11" i="63"/>
  <c r="AB11" i="65" s="1"/>
  <c r="I11" i="63"/>
  <c r="R11" i="63"/>
  <c r="S12" i="63"/>
  <c r="K12" i="63"/>
  <c r="Y12" i="65" s="1"/>
  <c r="T13" i="63"/>
  <c r="AA13" i="65" s="1"/>
  <c r="M14" i="63"/>
  <c r="Y17" i="63"/>
  <c r="G17" i="63"/>
  <c r="E17" i="63"/>
  <c r="C17" i="63"/>
  <c r="U17" i="65" s="1"/>
  <c r="X17" i="63"/>
  <c r="T17" i="65" s="1"/>
  <c r="F17" i="63"/>
  <c r="D17" i="63"/>
  <c r="Q18" i="63"/>
  <c r="AB18" i="65" s="1"/>
  <c r="R18" i="63"/>
  <c r="K19" i="63"/>
  <c r="Y19" i="65" s="1"/>
  <c r="S19" i="63"/>
  <c r="Q25" i="63"/>
  <c r="AB25" i="65" s="1"/>
  <c r="R25" i="63"/>
  <c r="K26" i="63"/>
  <c r="Y26" i="65" s="1"/>
  <c r="S26" i="63"/>
  <c r="V27" i="63"/>
  <c r="J27" i="65" s="1"/>
  <c r="N27" i="63"/>
  <c r="O28" i="63"/>
  <c r="Z30" i="63"/>
  <c r="P30" i="65" s="1"/>
  <c r="AA30" i="63"/>
  <c r="R30" i="65" s="1"/>
  <c r="C31" i="63"/>
  <c r="G31" i="63"/>
  <c r="E31" i="63"/>
  <c r="X31" i="63"/>
  <c r="D31" i="63"/>
  <c r="Y31" i="63"/>
  <c r="F31" i="63"/>
  <c r="Q32" i="63"/>
  <c r="AB32" i="65" s="1"/>
  <c r="R32" i="63"/>
  <c r="J32" i="65" s="1"/>
  <c r="S33" i="63"/>
  <c r="K33" i="63"/>
  <c r="Y33" i="65" s="1"/>
  <c r="T34" i="63"/>
  <c r="AA34" i="65" s="1"/>
  <c r="P37" i="63"/>
  <c r="H38" i="63"/>
  <c r="N38" i="65" s="1"/>
  <c r="W38" i="63"/>
  <c r="J38" i="65" s="1"/>
  <c r="Q39" i="63"/>
  <c r="AB39" i="65" s="1"/>
  <c r="I39" i="63"/>
  <c r="R39" i="63"/>
  <c r="K40" i="63"/>
  <c r="Y40" i="65" s="1"/>
  <c r="S40" i="63"/>
  <c r="M42" i="63"/>
  <c r="D45" i="63"/>
  <c r="X45" i="63"/>
  <c r="Y45" i="63"/>
  <c r="C45" i="63"/>
  <c r="E45" i="63"/>
  <c r="G45" i="63"/>
  <c r="F45" i="63"/>
  <c r="R46" i="63"/>
  <c r="Q46" i="63"/>
  <c r="AB46" i="65" s="1"/>
  <c r="S47" i="63"/>
  <c r="K47" i="63"/>
  <c r="Y47" i="65" s="1"/>
  <c r="Q53" i="63"/>
  <c r="AB53" i="65" s="1"/>
  <c r="R53" i="63"/>
  <c r="K54" i="63"/>
  <c r="Y54" i="65" s="1"/>
  <c r="S54" i="63"/>
  <c r="V55" i="63"/>
  <c r="J55" i="65" s="1"/>
  <c r="T55" i="63"/>
  <c r="AA55" i="65" s="1"/>
  <c r="N55" i="63"/>
  <c r="O56" i="63"/>
  <c r="AA58" i="63"/>
  <c r="R58" i="65" s="1"/>
  <c r="Y59" i="63"/>
  <c r="G59" i="63"/>
  <c r="X59" i="63"/>
  <c r="T59" i="65" s="1"/>
  <c r="D59" i="63"/>
  <c r="E59" i="63"/>
  <c r="C59" i="63"/>
  <c r="U59" i="65" s="1"/>
  <c r="F59" i="63"/>
  <c r="R60" i="63"/>
  <c r="Q60" i="63"/>
  <c r="S61" i="63"/>
  <c r="K61" i="63"/>
  <c r="Y61" i="65" s="1"/>
  <c r="P65" i="63"/>
  <c r="Q67" i="63"/>
  <c r="AB67" i="65" s="1"/>
  <c r="R67" i="63"/>
  <c r="U67" i="63"/>
  <c r="AC67" i="65" s="1"/>
  <c r="K68" i="63"/>
  <c r="Y68" i="65" s="1"/>
  <c r="S68" i="63"/>
  <c r="H69" i="63"/>
  <c r="W69" i="63"/>
  <c r="J69" i="65" s="1"/>
  <c r="I70" i="63"/>
  <c r="F73" i="63"/>
  <c r="E73" i="63"/>
  <c r="X73" i="63"/>
  <c r="D73" i="63"/>
  <c r="Y73" i="63"/>
  <c r="C73" i="63"/>
  <c r="M73" i="63"/>
  <c r="G73" i="63"/>
  <c r="Q74" i="63"/>
  <c r="AB74" i="65" s="1"/>
  <c r="R74" i="63"/>
  <c r="S75" i="63"/>
  <c r="K75" i="63"/>
  <c r="Y75" i="65" s="1"/>
  <c r="T76" i="63"/>
  <c r="AA76" i="65" s="1"/>
  <c r="R81" i="63"/>
  <c r="Q81" i="63"/>
  <c r="AB81" i="65" s="1"/>
  <c r="S82" i="63"/>
  <c r="K82" i="63"/>
  <c r="Y82" i="65" s="1"/>
  <c r="N86" i="63"/>
  <c r="V86" i="63"/>
  <c r="J86" i="65" s="1"/>
  <c r="X87" i="63"/>
  <c r="Y87" i="63"/>
  <c r="E87" i="63"/>
  <c r="G87" i="63"/>
  <c r="D87" i="63"/>
  <c r="F87" i="63"/>
  <c r="C87" i="63"/>
  <c r="O87" i="63"/>
  <c r="Q88" i="63"/>
  <c r="AB88" i="65" s="1"/>
  <c r="R88" i="63"/>
  <c r="K89" i="63"/>
  <c r="Y89" i="65" s="1"/>
  <c r="AA89" i="63"/>
  <c r="R89" i="65" s="1"/>
  <c r="S89" i="63"/>
  <c r="R95" i="63"/>
  <c r="Q95" i="63"/>
  <c r="AB95" i="65" s="1"/>
  <c r="K96" i="63"/>
  <c r="Y96" i="65" s="1"/>
  <c r="S96" i="63"/>
  <c r="P96" i="63"/>
  <c r="T97" i="63"/>
  <c r="AA97" i="65" s="1"/>
  <c r="H99" i="63"/>
  <c r="W99" i="63"/>
  <c r="J99" i="65" s="1"/>
  <c r="I100" i="63"/>
  <c r="F101" i="63"/>
  <c r="G101" i="63"/>
  <c r="X101" i="63"/>
  <c r="T101" i="65" s="1"/>
  <c r="E101" i="63"/>
  <c r="D101" i="63"/>
  <c r="Y101" i="63"/>
  <c r="C101" i="63"/>
  <c r="U101" i="65" s="1"/>
  <c r="Q102" i="63"/>
  <c r="AB102" i="65" s="1"/>
  <c r="R102" i="63"/>
  <c r="M103" i="63"/>
  <c r="S103" i="63"/>
  <c r="K103" i="63"/>
  <c r="Y103" i="65" s="1"/>
  <c r="R109" i="63"/>
  <c r="Q109" i="63"/>
  <c r="AB109" i="65" s="1"/>
  <c r="S110" i="63"/>
  <c r="K110" i="63"/>
  <c r="Y110" i="65" s="1"/>
  <c r="Y115" i="63"/>
  <c r="D115" i="63"/>
  <c r="G115" i="63"/>
  <c r="E115" i="63"/>
  <c r="C115" i="63"/>
  <c r="U115" i="65" s="1"/>
  <c r="X115" i="63"/>
  <c r="T115" i="65" s="1"/>
  <c r="F115" i="63"/>
  <c r="N116" i="63"/>
  <c r="V116" i="63"/>
  <c r="Q116" i="63"/>
  <c r="AB116" i="65" s="1"/>
  <c r="R116" i="63"/>
  <c r="K117" i="63"/>
  <c r="Y117" i="65" s="1"/>
  <c r="S117" i="63"/>
  <c r="O117" i="63"/>
  <c r="T118" i="63"/>
  <c r="AA118" i="65" s="1"/>
  <c r="AA119" i="63"/>
  <c r="R119" i="65" s="1"/>
  <c r="R123" i="63"/>
  <c r="Q123" i="63"/>
  <c r="K124" i="63"/>
  <c r="Y124" i="65" s="1"/>
  <c r="S124" i="63"/>
  <c r="P126" i="63"/>
  <c r="C129" i="63"/>
  <c r="U129" i="65" s="1"/>
  <c r="E129" i="63"/>
  <c r="Y129" i="63"/>
  <c r="D129" i="63"/>
  <c r="F129" i="63"/>
  <c r="G129" i="63"/>
  <c r="X129" i="63"/>
  <c r="T129" i="65" s="1"/>
  <c r="R130" i="63"/>
  <c r="H130" i="63"/>
  <c r="N130" i="65" s="1"/>
  <c r="Q130" i="63"/>
  <c r="AB130" i="65" s="1"/>
  <c r="W130" i="63"/>
  <c r="J130" i="65" s="1"/>
  <c r="K131" i="63"/>
  <c r="Y131" i="65" s="1"/>
  <c r="I131" i="63"/>
  <c r="S131" i="63"/>
  <c r="M134" i="63"/>
  <c r="Q137" i="63"/>
  <c r="AB137" i="65" s="1"/>
  <c r="R137" i="63"/>
  <c r="S138" i="63"/>
  <c r="K138" i="63"/>
  <c r="Y138" i="65" s="1"/>
  <c r="T139" i="63"/>
  <c r="AA139" i="65" s="1"/>
  <c r="J141" i="63"/>
  <c r="Y141" i="65" s="1"/>
  <c r="L141" i="63"/>
  <c r="G143" i="63"/>
  <c r="E143" i="63"/>
  <c r="F143" i="63"/>
  <c r="C143" i="63"/>
  <c r="U143" i="65" s="1"/>
  <c r="Y143" i="63"/>
  <c r="D143" i="63"/>
  <c r="X143" i="63"/>
  <c r="T143" i="65" s="1"/>
  <c r="Q144" i="63"/>
  <c r="AB144" i="65" s="1"/>
  <c r="R144" i="63"/>
  <c r="K145" i="63"/>
  <c r="Y145" i="65" s="1"/>
  <c r="S145" i="63"/>
  <c r="N147" i="63"/>
  <c r="V147" i="63"/>
  <c r="J147" i="65" s="1"/>
  <c r="O148" i="63"/>
  <c r="AA150" i="63"/>
  <c r="R150" i="65" s="1"/>
  <c r="R151" i="63"/>
  <c r="Q151" i="63"/>
  <c r="AB151" i="65" s="1"/>
  <c r="K152" i="63"/>
  <c r="Y152" i="65" s="1"/>
  <c r="S152" i="63"/>
  <c r="Y157" i="63"/>
  <c r="E157" i="63"/>
  <c r="X157" i="63"/>
  <c r="T157" i="65" s="1"/>
  <c r="D157" i="63"/>
  <c r="P157" i="63"/>
  <c r="F157" i="63"/>
  <c r="U157" i="63"/>
  <c r="AC157" i="65" s="1"/>
  <c r="G157" i="63"/>
  <c r="C157" i="63"/>
  <c r="U157" i="65" s="1"/>
  <c r="R158" i="63"/>
  <c r="Q158" i="63"/>
  <c r="AB158" i="65" s="1"/>
  <c r="S159" i="63"/>
  <c r="K159" i="63"/>
  <c r="Y159" i="65" s="1"/>
  <c r="T160" i="63"/>
  <c r="AA160" i="65" s="1"/>
  <c r="H160" i="63"/>
  <c r="N160" i="65" s="1"/>
  <c r="W160" i="63"/>
  <c r="J160" i="65" s="1"/>
  <c r="I161" i="63"/>
  <c r="M164" i="63"/>
  <c r="R164" i="65" s="1"/>
  <c r="Q165" i="63"/>
  <c r="AB165" i="65" s="1"/>
  <c r="R165" i="63"/>
  <c r="S166" i="63"/>
  <c r="K166" i="63"/>
  <c r="Y166" i="65" s="1"/>
  <c r="G171" i="63"/>
  <c r="X171" i="63"/>
  <c r="T171" i="65" s="1"/>
  <c r="C171" i="63"/>
  <c r="U171" i="65" s="1"/>
  <c r="Y171" i="63"/>
  <c r="F171" i="63"/>
  <c r="E171" i="63"/>
  <c r="D171" i="63"/>
  <c r="Q172" i="63"/>
  <c r="AB172" i="65" s="1"/>
  <c r="R172" i="63"/>
  <c r="K173" i="63"/>
  <c r="Y173" i="65" s="1"/>
  <c r="S173" i="63"/>
  <c r="V177" i="63"/>
  <c r="N177" i="63"/>
  <c r="O178" i="63"/>
  <c r="Q179" i="63"/>
  <c r="AB179" i="65" s="1"/>
  <c r="R179" i="63"/>
  <c r="AA180" i="63"/>
  <c r="R180" i="65" s="1"/>
  <c r="S180" i="63"/>
  <c r="K180" i="63"/>
  <c r="Y180" i="65" s="1"/>
  <c r="T181" i="63"/>
  <c r="AA181" i="65" s="1"/>
  <c r="C185" i="63"/>
  <c r="U185" i="65" s="1"/>
  <c r="F185" i="63"/>
  <c r="E185" i="63"/>
  <c r="Y185" i="63"/>
  <c r="X185" i="63"/>
  <c r="T185" i="65" s="1"/>
  <c r="D185" i="63"/>
  <c r="G185" i="63"/>
  <c r="R186" i="63"/>
  <c r="Q186" i="63"/>
  <c r="AB186" i="65" s="1"/>
  <c r="K187" i="63"/>
  <c r="Y187" i="65" s="1"/>
  <c r="P187" i="63"/>
  <c r="S187" i="63"/>
  <c r="H191" i="63"/>
  <c r="N191" i="65" s="1"/>
  <c r="W191" i="63"/>
  <c r="J191" i="65" s="1"/>
  <c r="I192" i="63"/>
  <c r="R193" i="63"/>
  <c r="Q193" i="63"/>
  <c r="AB193" i="65" s="1"/>
  <c r="K194" i="63"/>
  <c r="Y194" i="65" s="1"/>
  <c r="S194" i="63"/>
  <c r="M195" i="63"/>
  <c r="Y199" i="63"/>
  <c r="E199" i="63"/>
  <c r="G199" i="63"/>
  <c r="F199" i="63"/>
  <c r="X199" i="63"/>
  <c r="T199" i="65" s="1"/>
  <c r="C199" i="63"/>
  <c r="U199" i="65" s="1"/>
  <c r="D199" i="63"/>
  <c r="R200" i="63"/>
  <c r="Q200" i="63"/>
  <c r="AB200" i="65" s="1"/>
  <c r="K201" i="63"/>
  <c r="Y201" i="65" s="1"/>
  <c r="S201" i="63"/>
  <c r="T202" i="63"/>
  <c r="AA202" i="65" s="1"/>
  <c r="Q207" i="63"/>
  <c r="AB207" i="65" s="1"/>
  <c r="R207" i="63"/>
  <c r="K208" i="63"/>
  <c r="Y208" i="65" s="1"/>
  <c r="V208" i="63"/>
  <c r="J208" i="65" s="1"/>
  <c r="N208" i="63"/>
  <c r="S208" i="63"/>
  <c r="O209" i="63"/>
  <c r="AA211" i="63"/>
  <c r="R211" i="65" s="1"/>
  <c r="Z211" i="63"/>
  <c r="P211" i="65" s="1"/>
  <c r="G213" i="63"/>
  <c r="C213" i="63"/>
  <c r="U213" i="65" s="1"/>
  <c r="X213" i="63"/>
  <c r="T213" i="65" s="1"/>
  <c r="Y213" i="63"/>
  <c r="E213" i="63"/>
  <c r="D213" i="63"/>
  <c r="F213" i="63"/>
  <c r="Q214" i="63"/>
  <c r="AB214" i="65" s="1"/>
  <c r="R214" i="63"/>
  <c r="S215" i="63"/>
  <c r="K215" i="63"/>
  <c r="Y215" i="65" s="1"/>
  <c r="P218" i="63"/>
  <c r="R221" i="63"/>
  <c r="Q221" i="63"/>
  <c r="AB221" i="65" s="1"/>
  <c r="K222" i="63"/>
  <c r="Y222" i="65" s="1"/>
  <c r="W222" i="63"/>
  <c r="J222" i="65" s="1"/>
  <c r="S222" i="63"/>
  <c r="S222" i="65" s="1"/>
  <c r="H222" i="63"/>
  <c r="N222" i="65" s="1"/>
  <c r="T223" i="63"/>
  <c r="AA223" i="65" s="1"/>
  <c r="I223" i="63"/>
  <c r="M226" i="63"/>
  <c r="F227" i="63"/>
  <c r="G227" i="63"/>
  <c r="C227" i="63"/>
  <c r="U227" i="65" s="1"/>
  <c r="X227" i="63"/>
  <c r="T227" i="65" s="1"/>
  <c r="D227" i="63"/>
  <c r="E227" i="63"/>
  <c r="Y227" i="63"/>
  <c r="Q228" i="63"/>
  <c r="AB228" i="65" s="1"/>
  <c r="R228" i="63"/>
  <c r="S229" i="63"/>
  <c r="K229" i="63"/>
  <c r="Y229" i="65" s="1"/>
  <c r="Q235" i="63"/>
  <c r="AB235" i="65" s="1"/>
  <c r="R235" i="63"/>
  <c r="K236" i="63"/>
  <c r="Y236" i="65" s="1"/>
  <c r="S236" i="63"/>
  <c r="N239" i="63"/>
  <c r="V239" i="63"/>
  <c r="J239" i="65" s="1"/>
  <c r="O240" i="63"/>
  <c r="G241" i="63"/>
  <c r="C241" i="63"/>
  <c r="U241" i="65" s="1"/>
  <c r="Y241" i="63"/>
  <c r="E241" i="63"/>
  <c r="F241" i="63"/>
  <c r="D241" i="63"/>
  <c r="X241" i="63"/>
  <c r="T241" i="65" s="1"/>
  <c r="AA242" i="63"/>
  <c r="R242" i="65" s="1"/>
  <c r="Q242" i="63"/>
  <c r="AB242" i="65" s="1"/>
  <c r="R242" i="63"/>
  <c r="K243" i="63"/>
  <c r="Y243" i="65" s="1"/>
  <c r="S243" i="63"/>
  <c r="T244" i="63"/>
  <c r="AA244" i="65" s="1"/>
  <c r="U247" i="63"/>
  <c r="AC247" i="65" s="1"/>
  <c r="Q249" i="63"/>
  <c r="AB249" i="65" s="1"/>
  <c r="P249" i="63"/>
  <c r="R249" i="63"/>
  <c r="S250" i="63"/>
  <c r="K250" i="63"/>
  <c r="Y250" i="65" s="1"/>
  <c r="W252" i="63"/>
  <c r="J252" i="65" s="1"/>
  <c r="H252" i="63"/>
  <c r="N252" i="65" s="1"/>
  <c r="I253" i="63"/>
  <c r="D255" i="63"/>
  <c r="Y255" i="63"/>
  <c r="E255" i="63"/>
  <c r="F255" i="63"/>
  <c r="G255" i="63"/>
  <c r="X255" i="63"/>
  <c r="T255" i="65" s="1"/>
  <c r="C255" i="63"/>
  <c r="U255" i="65" s="1"/>
  <c r="R256" i="63"/>
  <c r="M256" i="63"/>
  <c r="Q256" i="63"/>
  <c r="AB256" i="65" s="1"/>
  <c r="S257" i="63"/>
  <c r="K257" i="63"/>
  <c r="Y257" i="65" s="1"/>
  <c r="Q263" i="63"/>
  <c r="AB263" i="65" s="1"/>
  <c r="R263" i="63"/>
  <c r="S264" i="63"/>
  <c r="K264" i="63"/>
  <c r="Y264" i="65" s="1"/>
  <c r="T265" i="63"/>
  <c r="AA265" i="65" s="1"/>
  <c r="E269" i="63"/>
  <c r="Y269" i="63"/>
  <c r="V269" i="63"/>
  <c r="G269" i="63"/>
  <c r="X269" i="63"/>
  <c r="T269" i="65" s="1"/>
  <c r="F269" i="63"/>
  <c r="N269" i="63"/>
  <c r="C269" i="63"/>
  <c r="U269" i="65" s="1"/>
  <c r="D269" i="63"/>
  <c r="R270" i="63"/>
  <c r="Q270" i="63"/>
  <c r="AB270" i="65" s="1"/>
  <c r="O270" i="63"/>
  <c r="K271" i="63"/>
  <c r="Y271" i="65" s="1"/>
  <c r="S271" i="63"/>
  <c r="AA272" i="63"/>
  <c r="R272" i="65" s="1"/>
  <c r="Q277" i="63"/>
  <c r="AB277" i="65" s="1"/>
  <c r="R277" i="63"/>
  <c r="S278" i="63"/>
  <c r="K278" i="63"/>
  <c r="Y278" i="65" s="1"/>
  <c r="P279" i="63"/>
  <c r="W283" i="63"/>
  <c r="J283" i="65" s="1"/>
  <c r="E283" i="63"/>
  <c r="H283" i="63"/>
  <c r="N283" i="65" s="1"/>
  <c r="X283" i="63"/>
  <c r="T283" i="65" s="1"/>
  <c r="D283" i="63"/>
  <c r="C283" i="63"/>
  <c r="U283" i="65" s="1"/>
  <c r="Y283" i="63"/>
  <c r="F283" i="63"/>
  <c r="G283" i="63"/>
  <c r="Q284" i="63"/>
  <c r="AB284" i="65" s="1"/>
  <c r="R284" i="63"/>
  <c r="I284" i="63"/>
  <c r="K285" i="63"/>
  <c r="Y285" i="65" s="1"/>
  <c r="S285" i="63"/>
  <c r="T286" i="63"/>
  <c r="AA286" i="65" s="1"/>
  <c r="M287" i="63"/>
  <c r="R291" i="63"/>
  <c r="Q291" i="63"/>
  <c r="AB291" i="65" s="1"/>
  <c r="K292" i="63"/>
  <c r="Y292" i="65" s="1"/>
  <c r="S292" i="63"/>
  <c r="E297" i="63"/>
  <c r="G297" i="63"/>
  <c r="C297" i="63"/>
  <c r="U297" i="65" s="1"/>
  <c r="D297" i="63"/>
  <c r="X297" i="63"/>
  <c r="T297" i="65" s="1"/>
  <c r="Y297" i="63"/>
  <c r="AD297" i="65" s="1"/>
  <c r="F297" i="63"/>
  <c r="R298" i="63"/>
  <c r="Q298" i="63"/>
  <c r="AB298" i="65" s="1"/>
  <c r="K299" i="63"/>
  <c r="Y299" i="65" s="1"/>
  <c r="S299" i="63"/>
  <c r="V300" i="63"/>
  <c r="J300" i="65" s="1"/>
  <c r="N300" i="63"/>
  <c r="O301" i="63"/>
  <c r="AA303" i="63"/>
  <c r="R303" i="65" s="1"/>
  <c r="Q305" i="63"/>
  <c r="AB305" i="65" s="1"/>
  <c r="R305" i="63"/>
  <c r="K306" i="63"/>
  <c r="Y306" i="65" s="1"/>
  <c r="S306" i="63"/>
  <c r="T307" i="63"/>
  <c r="AA307" i="65" s="1"/>
  <c r="P310" i="63"/>
  <c r="D311" i="63"/>
  <c r="X311" i="63"/>
  <c r="T311" i="65" s="1"/>
  <c r="C311" i="63"/>
  <c r="U311" i="65" s="1"/>
  <c r="E311" i="63"/>
  <c r="F311" i="63"/>
  <c r="G311" i="63"/>
  <c r="Y311" i="63"/>
  <c r="Q312" i="63"/>
  <c r="AB312" i="65" s="1"/>
  <c r="R312" i="63"/>
  <c r="K313" i="63"/>
  <c r="Y313" i="65" s="1"/>
  <c r="W313" i="63"/>
  <c r="J313" i="65" s="1"/>
  <c r="H313" i="63"/>
  <c r="N313" i="65" s="1"/>
  <c r="S313" i="63"/>
  <c r="I314" i="63"/>
  <c r="M317" i="63"/>
  <c r="Q319" i="63"/>
  <c r="AB319" i="65" s="1"/>
  <c r="R319" i="63"/>
  <c r="S320" i="63"/>
  <c r="K320" i="63"/>
  <c r="Y320" i="65" s="1"/>
  <c r="J324" i="63"/>
  <c r="Y324" i="65" s="1"/>
  <c r="G325" i="63"/>
  <c r="E325" i="63"/>
  <c r="X325" i="63"/>
  <c r="F325" i="63"/>
  <c r="D325" i="63"/>
  <c r="C325" i="63"/>
  <c r="Y325" i="63"/>
  <c r="Q326" i="63"/>
  <c r="AB326" i="65" s="1"/>
  <c r="R326" i="63"/>
  <c r="K327" i="63"/>
  <c r="Y327" i="65" s="1"/>
  <c r="S327" i="63"/>
  <c r="T328" i="63"/>
  <c r="AA328" i="65" s="1"/>
  <c r="N330" i="63"/>
  <c r="V330" i="63"/>
  <c r="J330" i="65" s="1"/>
  <c r="O331" i="63"/>
  <c r="R333" i="63"/>
  <c r="Q333" i="63"/>
  <c r="AB333" i="65" s="1"/>
  <c r="AA333" i="63"/>
  <c r="R333" i="65" s="1"/>
  <c r="K334" i="63"/>
  <c r="Y334" i="65" s="1"/>
  <c r="S334" i="63"/>
  <c r="U337" i="63"/>
  <c r="AC337" i="65" s="1"/>
  <c r="F339" i="63"/>
  <c r="C339" i="63"/>
  <c r="U339" i="65" s="1"/>
  <c r="Y339" i="63"/>
  <c r="X339" i="63"/>
  <c r="T339" i="65" s="1"/>
  <c r="E339" i="63"/>
  <c r="G339" i="63"/>
  <c r="D339" i="63"/>
  <c r="P340" i="63"/>
  <c r="Q340" i="63"/>
  <c r="AB340" i="65" s="1"/>
  <c r="R340" i="63"/>
  <c r="K341" i="63"/>
  <c r="Y341" i="65" s="1"/>
  <c r="S341" i="63"/>
  <c r="H344" i="63"/>
  <c r="N344" i="65" s="1"/>
  <c r="W344" i="63"/>
  <c r="J344" i="65" s="1"/>
  <c r="Q347" i="63"/>
  <c r="AB347" i="65" s="1"/>
  <c r="R347" i="63"/>
  <c r="S348" i="63"/>
  <c r="K348" i="63"/>
  <c r="Y348" i="65" s="1"/>
  <c r="T349" i="63"/>
  <c r="AA349" i="65" s="1"/>
  <c r="G353" i="63"/>
  <c r="Y353" i="63"/>
  <c r="C353" i="63"/>
  <c r="U353" i="65" s="1"/>
  <c r="E353" i="63"/>
  <c r="X353" i="63"/>
  <c r="T353" i="65" s="1"/>
  <c r="D353" i="63"/>
  <c r="F353" i="63"/>
  <c r="Q354" i="63"/>
  <c r="AB354" i="65" s="1"/>
  <c r="R354" i="63"/>
  <c r="K355" i="63"/>
  <c r="Y355" i="65" s="1"/>
  <c r="S355" i="63"/>
  <c r="R361" i="63"/>
  <c r="Q361" i="63"/>
  <c r="AB361" i="65" s="1"/>
  <c r="K362" i="63"/>
  <c r="Y362" i="65" s="1"/>
  <c r="S362" i="63"/>
  <c r="D46" i="63"/>
  <c r="V240" i="63"/>
  <c r="J240" i="65" s="1"/>
  <c r="X228" i="63"/>
  <c r="T228" i="65" s="1"/>
  <c r="T224" i="63"/>
  <c r="AA224" i="65" s="1"/>
  <c r="AB288" i="63"/>
  <c r="Q288" i="65" s="1"/>
  <c r="S279" i="63"/>
  <c r="N270" i="63"/>
  <c r="R264" i="63"/>
  <c r="AB256" i="63"/>
  <c r="V87" i="63"/>
  <c r="J87" i="65" s="1"/>
  <c r="AB245" i="63"/>
  <c r="D228" i="63"/>
  <c r="W11" i="63"/>
  <c r="J11" i="65" s="1"/>
  <c r="M196" i="63"/>
  <c r="Y200" i="63"/>
  <c r="AD200" i="65" s="1"/>
  <c r="K230" i="63"/>
  <c r="Y230" i="65" s="1"/>
  <c r="AB367" i="63"/>
  <c r="Q367" i="65" s="1"/>
  <c r="AB361" i="63"/>
  <c r="Q355" i="63"/>
  <c r="AB355" i="65" s="1"/>
  <c r="AB352" i="63"/>
  <c r="Q352" i="65" s="1"/>
  <c r="AB347" i="63"/>
  <c r="S342" i="63"/>
  <c r="C340" i="63"/>
  <c r="U340" i="65" s="1"/>
  <c r="AA334" i="63"/>
  <c r="R334" i="65" s="1"/>
  <c r="AB330" i="63"/>
  <c r="Q330" i="65" s="1"/>
  <c r="J325" i="63"/>
  <c r="Y325" i="65" s="1"/>
  <c r="AB317" i="63"/>
  <c r="Q317" i="65" s="1"/>
  <c r="AB310" i="63"/>
  <c r="Q310" i="65" s="1"/>
  <c r="AB305" i="63"/>
  <c r="K300" i="63"/>
  <c r="Y300" i="65" s="1"/>
  <c r="AB294" i="63"/>
  <c r="AB284" i="63"/>
  <c r="AB255" i="63"/>
  <c r="Q255" i="65" s="1"/>
  <c r="AB249" i="63"/>
  <c r="F32" i="63"/>
  <c r="AB61" i="63"/>
  <c r="AB96" i="63"/>
  <c r="G130" i="63"/>
  <c r="F158" i="63"/>
  <c r="AB188" i="63"/>
  <c r="AB223" i="63"/>
  <c r="E256" i="63"/>
  <c r="AB285" i="63"/>
  <c r="AB320" i="63"/>
  <c r="E354" i="63"/>
  <c r="I162" i="63"/>
  <c r="N162" i="65" s="1"/>
  <c r="AB218" i="63"/>
  <c r="Q218" i="65" s="1"/>
  <c r="R222" i="63"/>
  <c r="AB228" i="63"/>
  <c r="Q236" i="63"/>
  <c r="AB236" i="65" s="1"/>
  <c r="AB240" i="63"/>
  <c r="Q240" i="65" s="1"/>
  <c r="AB5" i="63"/>
  <c r="G32" i="63"/>
  <c r="AB62" i="63"/>
  <c r="AB97" i="63"/>
  <c r="E130" i="63"/>
  <c r="AB159" i="63"/>
  <c r="AB194" i="63"/>
  <c r="E228" i="63"/>
  <c r="F256" i="63"/>
  <c r="AB286" i="63"/>
  <c r="AB321" i="63"/>
  <c r="F354" i="63"/>
  <c r="AB9" i="63"/>
  <c r="Q9" i="65" s="1"/>
  <c r="AB18" i="63"/>
  <c r="AB24" i="63"/>
  <c r="Q24" i="65" s="1"/>
  <c r="AB30" i="63"/>
  <c r="Q30" i="65" s="1"/>
  <c r="T35" i="63"/>
  <c r="AA35" i="65" s="1"/>
  <c r="AB42" i="63"/>
  <c r="S48" i="63"/>
  <c r="S55" i="63"/>
  <c r="AB60" i="63"/>
  <c r="AB66" i="63"/>
  <c r="Q66" i="65" s="1"/>
  <c r="AB72" i="63"/>
  <c r="Q72" i="65" s="1"/>
  <c r="AB80" i="63"/>
  <c r="AB86" i="63"/>
  <c r="Q86" i="65" s="1"/>
  <c r="K90" i="63"/>
  <c r="Y90" i="65" s="1"/>
  <c r="K97" i="63"/>
  <c r="Y97" i="65" s="1"/>
  <c r="R103" i="63"/>
  <c r="R110" i="63"/>
  <c r="AB116" i="63"/>
  <c r="AB122" i="63"/>
  <c r="AB128" i="63"/>
  <c r="Q128" i="65" s="1"/>
  <c r="AB134" i="63"/>
  <c r="Q134" i="65" s="1"/>
  <c r="AB141" i="63"/>
  <c r="Q141" i="65" s="1"/>
  <c r="S146" i="63"/>
  <c r="K153" i="63"/>
  <c r="Y153" i="65" s="1"/>
  <c r="Q159" i="63"/>
  <c r="AB159" i="65" s="1"/>
  <c r="AB164" i="63"/>
  <c r="AB172" i="63"/>
  <c r="AB178" i="63"/>
  <c r="Q178" i="65" s="1"/>
  <c r="AB184" i="63"/>
  <c r="Q184" i="65" s="1"/>
  <c r="AB189" i="63"/>
  <c r="AB197" i="63"/>
  <c r="Q197" i="65" s="1"/>
  <c r="O179" i="63"/>
  <c r="D60" i="63"/>
  <c r="P38" i="63"/>
  <c r="N148" i="63"/>
  <c r="X32" i="63"/>
  <c r="T32" i="65" s="1"/>
  <c r="X116" i="63"/>
  <c r="T116" i="65" s="1"/>
  <c r="H161" i="63"/>
  <c r="S202" i="63"/>
  <c r="C46" i="63"/>
  <c r="U46" i="65" s="1"/>
  <c r="Y144" i="63"/>
  <c r="AD144" i="65" s="1"/>
  <c r="F4" i="63"/>
  <c r="AB33" i="63"/>
  <c r="AB68" i="63"/>
  <c r="F102" i="63"/>
  <c r="F130" i="63"/>
  <c r="AB160" i="63"/>
  <c r="AB195" i="63"/>
  <c r="F228" i="63"/>
  <c r="AB257" i="63"/>
  <c r="AB292" i="63"/>
  <c r="G326" i="63"/>
  <c r="G354" i="63"/>
  <c r="R208" i="63"/>
  <c r="T77" i="63"/>
  <c r="AA77" i="65" s="1"/>
  <c r="Y102" i="63"/>
  <c r="AD102" i="65" s="1"/>
  <c r="T140" i="63"/>
  <c r="AA140" i="65" s="1"/>
  <c r="M165" i="63"/>
  <c r="AB162" i="63"/>
  <c r="Q162" i="65" s="1"/>
  <c r="I101" i="63"/>
  <c r="N101" i="65" s="1"/>
  <c r="K223" i="63"/>
  <c r="Y223" i="65" s="1"/>
  <c r="R229" i="63"/>
  <c r="R236" i="63"/>
  <c r="AB241" i="63"/>
  <c r="Q241" i="65" s="1"/>
  <c r="V117" i="63"/>
  <c r="J117" i="65" s="1"/>
  <c r="G4" i="63"/>
  <c r="AB34" i="63"/>
  <c r="AB69" i="63"/>
  <c r="G102" i="63"/>
  <c r="AB131" i="63"/>
  <c r="AB166" i="63"/>
  <c r="E200" i="63"/>
  <c r="G228" i="63"/>
  <c r="AB258" i="63"/>
  <c r="AB293" i="63"/>
  <c r="E326" i="63"/>
  <c r="AB355" i="63"/>
  <c r="AB10" i="63"/>
  <c r="Q19" i="63"/>
  <c r="AB19" i="65" s="1"/>
  <c r="AB25" i="63"/>
  <c r="AB31" i="63"/>
  <c r="AB35" i="63"/>
  <c r="AB43" i="63"/>
  <c r="Q43" i="65" s="1"/>
  <c r="AB49" i="63"/>
  <c r="K55" i="63"/>
  <c r="Y55" i="65" s="1"/>
  <c r="Q61" i="63"/>
  <c r="AB61" i="65" s="1"/>
  <c r="AB67" i="63"/>
  <c r="AB73" i="63"/>
  <c r="AB81" i="63"/>
  <c r="AB87" i="63"/>
  <c r="Q87" i="65" s="1"/>
  <c r="AB91" i="63"/>
  <c r="S97" i="63"/>
  <c r="S104" i="63"/>
  <c r="K111" i="63"/>
  <c r="Y111" i="65" s="1"/>
  <c r="R117" i="63"/>
  <c r="AB123" i="63"/>
  <c r="AB129" i="63"/>
  <c r="Q129" i="65" s="1"/>
  <c r="AB135" i="63"/>
  <c r="Q135" i="65" s="1"/>
  <c r="AB142" i="63"/>
  <c r="Q142" i="65" s="1"/>
  <c r="AB147" i="63"/>
  <c r="S153" i="63"/>
  <c r="R159" i="63"/>
  <c r="AB165" i="63"/>
  <c r="Q173" i="63"/>
  <c r="AB173" i="65" s="1"/>
  <c r="AB179" i="63"/>
  <c r="AB185" i="63"/>
  <c r="AB190" i="63"/>
  <c r="Q190" i="65" s="1"/>
  <c r="D88" i="63"/>
  <c r="P188" i="63"/>
  <c r="D116" i="63"/>
  <c r="O88" i="63"/>
  <c r="O149" i="63"/>
  <c r="C32" i="63"/>
  <c r="U32" i="65" s="1"/>
  <c r="C116" i="63"/>
  <c r="U116" i="65" s="1"/>
  <c r="H192" i="63"/>
  <c r="AB203" i="63"/>
  <c r="K209" i="63"/>
  <c r="Y209" i="65" s="1"/>
  <c r="X18" i="63"/>
  <c r="T18" i="65" s="1"/>
  <c r="R215" i="63"/>
  <c r="R243" i="63"/>
  <c r="Q12" i="63"/>
  <c r="AB12" i="65" s="1"/>
  <c r="E4" i="63"/>
  <c r="AB40" i="63"/>
  <c r="F74" i="63"/>
  <c r="E102" i="63"/>
  <c r="AB132" i="63"/>
  <c r="AB167" i="63"/>
  <c r="F200" i="63"/>
  <c r="AB229" i="63"/>
  <c r="AB264" i="63"/>
  <c r="E298" i="63"/>
  <c r="F326" i="63"/>
  <c r="AB356" i="63"/>
  <c r="M15" i="63"/>
  <c r="R15" i="65" s="1"/>
  <c r="N209" i="63"/>
  <c r="I12" i="63"/>
  <c r="N12" i="65" s="1"/>
  <c r="S223" i="63"/>
  <c r="AB6" i="63"/>
  <c r="AB41" i="63"/>
  <c r="G74" i="63"/>
  <c r="AB103" i="63"/>
  <c r="AB138" i="63"/>
  <c r="G172" i="63"/>
  <c r="G200" i="63"/>
  <c r="AB230" i="63"/>
  <c r="AB265" i="63"/>
  <c r="G298" i="63"/>
  <c r="AB327" i="63"/>
  <c r="AB362" i="63"/>
  <c r="AB11" i="63"/>
  <c r="R19" i="63"/>
  <c r="Q26" i="63"/>
  <c r="AB26" i="65" s="1"/>
  <c r="Y32" i="63"/>
  <c r="AD32" i="65" s="1"/>
  <c r="AB36" i="63"/>
  <c r="Q36" i="65" s="1"/>
  <c r="AB44" i="63"/>
  <c r="Q44" i="65" s="1"/>
  <c r="AB50" i="63"/>
  <c r="Q50" i="65" s="1"/>
  <c r="AB56" i="63"/>
  <c r="Q56" i="65" s="1"/>
  <c r="R61" i="63"/>
  <c r="Q68" i="63"/>
  <c r="AB68" i="65" s="1"/>
  <c r="AB74" i="63"/>
  <c r="Q82" i="63"/>
  <c r="AB82" i="65" s="1"/>
  <c r="Y88" i="63"/>
  <c r="AD88" i="65" s="1"/>
  <c r="AB92" i="63"/>
  <c r="Q92" i="65" s="1"/>
  <c r="AB98" i="63"/>
  <c r="AB105" i="63"/>
  <c r="Q105" i="65" s="1"/>
  <c r="S111" i="63"/>
  <c r="Q117" i="63"/>
  <c r="AB117" i="65" s="1"/>
  <c r="Q124" i="63"/>
  <c r="AB124" i="65" s="1"/>
  <c r="Y130" i="63"/>
  <c r="AD130" i="65" s="1"/>
  <c r="AB136" i="63"/>
  <c r="Q136" i="65" s="1"/>
  <c r="J142" i="63"/>
  <c r="Y142" i="65" s="1"/>
  <c r="AB148" i="63"/>
  <c r="Q148" i="65" s="1"/>
  <c r="AB154" i="63"/>
  <c r="K160" i="63"/>
  <c r="Y160" i="65" s="1"/>
  <c r="R166" i="63"/>
  <c r="R173" i="63"/>
  <c r="Q180" i="63"/>
  <c r="AB180" i="65" s="1"/>
  <c r="Y186" i="63"/>
  <c r="AD186" i="65" s="1"/>
  <c r="AB191" i="63"/>
  <c r="Q191" i="65" s="1"/>
  <c r="AB198" i="63"/>
  <c r="Q198" i="65" s="1"/>
  <c r="N87" i="63"/>
  <c r="X158" i="63"/>
  <c r="T158" i="65" s="1"/>
  <c r="P97" i="63"/>
  <c r="R97" i="65" s="1"/>
  <c r="N56" i="63"/>
  <c r="X186" i="63"/>
  <c r="T186" i="65" s="1"/>
  <c r="AB204" i="63"/>
  <c r="Q204" i="65" s="1"/>
  <c r="K41" i="63"/>
  <c r="Y41" i="65" s="1"/>
  <c r="K76" i="63"/>
  <c r="Y76" i="65" s="1"/>
  <c r="C102" i="63"/>
  <c r="U102" i="65" s="1"/>
  <c r="K132" i="63"/>
  <c r="Y132" i="65" s="1"/>
  <c r="X74" i="63"/>
  <c r="T74" i="65" s="1"/>
  <c r="AB213" i="63"/>
  <c r="Q213" i="65" s="1"/>
  <c r="T182" i="63"/>
  <c r="AA182" i="65" s="1"/>
  <c r="AB214" i="63"/>
  <c r="K216" i="63"/>
  <c r="Y216" i="65" s="1"/>
  <c r="AA243" i="63"/>
  <c r="R243" i="65" s="1"/>
  <c r="S251" i="63"/>
  <c r="AB12" i="63"/>
  <c r="E46" i="63"/>
  <c r="E74" i="63"/>
  <c r="AB104" i="63"/>
  <c r="AB139" i="63"/>
  <c r="F172" i="63"/>
  <c r="AB201" i="63"/>
  <c r="AB236" i="63"/>
  <c r="F270" i="63"/>
  <c r="F298" i="63"/>
  <c r="AB328" i="63"/>
  <c r="AB363" i="63"/>
  <c r="R40" i="63"/>
  <c r="P219" i="63"/>
  <c r="W223" i="63"/>
  <c r="J223" i="65" s="1"/>
  <c r="AB231" i="63"/>
  <c r="S237" i="63"/>
  <c r="N240" i="63"/>
  <c r="V148" i="63"/>
  <c r="J148" i="65" s="1"/>
  <c r="AB13" i="63"/>
  <c r="F46" i="63"/>
  <c r="AB75" i="63"/>
  <c r="AB110" i="63"/>
  <c r="E144" i="63"/>
  <c r="E172" i="63"/>
  <c r="AB202" i="63"/>
  <c r="AB237" i="63"/>
  <c r="G270" i="63"/>
  <c r="AB299" i="63"/>
  <c r="AB334" i="63"/>
  <c r="R5" i="63"/>
  <c r="S13" i="63"/>
  <c r="K20" i="63"/>
  <c r="Y20" i="65" s="1"/>
  <c r="R26" i="63"/>
  <c r="AB32" i="63"/>
  <c r="AB37" i="63"/>
  <c r="Q37" i="65" s="1"/>
  <c r="AB45" i="63"/>
  <c r="Q45" i="65" s="1"/>
  <c r="AB51" i="63"/>
  <c r="Q51" i="65" s="1"/>
  <c r="AB57" i="63"/>
  <c r="Q57" i="65" s="1"/>
  <c r="S62" i="63"/>
  <c r="R68" i="63"/>
  <c r="R75" i="63"/>
  <c r="R82" i="63"/>
  <c r="X88" i="63"/>
  <c r="T88" i="65" s="1"/>
  <c r="AB93" i="63"/>
  <c r="Q93" i="65" s="1"/>
  <c r="T98" i="63"/>
  <c r="AA98" i="65" s="1"/>
  <c r="AB106" i="63"/>
  <c r="Q106" i="65" s="1"/>
  <c r="AB112" i="63"/>
  <c r="K118" i="63"/>
  <c r="Y118" i="65" s="1"/>
  <c r="R124" i="63"/>
  <c r="AB130" i="63"/>
  <c r="AB137" i="63"/>
  <c r="AB143" i="63"/>
  <c r="AB149" i="63"/>
  <c r="Q149" i="65" s="1"/>
  <c r="AB155" i="63"/>
  <c r="Q155" i="65" s="1"/>
  <c r="S160" i="63"/>
  <c r="S167" i="63"/>
  <c r="K174" i="63"/>
  <c r="Y174" i="65" s="1"/>
  <c r="R180" i="63"/>
  <c r="AB186" i="63"/>
  <c r="AB192" i="63"/>
  <c r="D158" i="63"/>
  <c r="O29" i="63"/>
  <c r="C158" i="63"/>
  <c r="U158" i="65" s="1"/>
  <c r="O118" i="63"/>
  <c r="N117" i="63"/>
  <c r="C186" i="63"/>
  <c r="U186" i="65" s="1"/>
  <c r="X130" i="63"/>
  <c r="T130" i="65" s="1"/>
  <c r="H131" i="63"/>
  <c r="AB205" i="63"/>
  <c r="Q205" i="65" s="1"/>
  <c r="Y18" i="63"/>
  <c r="AD18" i="65" s="1"/>
  <c r="Y74" i="63"/>
  <c r="AD74" i="65" s="1"/>
  <c r="C214" i="63"/>
  <c r="U214" i="65" s="1"/>
  <c r="S216" i="63"/>
  <c r="F18" i="63"/>
  <c r="G46" i="63"/>
  <c r="AB76" i="63"/>
  <c r="AB111" i="63"/>
  <c r="F144" i="63"/>
  <c r="AB173" i="63"/>
  <c r="AB208" i="63"/>
  <c r="G242" i="63"/>
  <c r="E270" i="63"/>
  <c r="AB300" i="63"/>
  <c r="AB335" i="63"/>
  <c r="K104" i="63"/>
  <c r="Y104" i="65" s="1"/>
  <c r="X46" i="63"/>
  <c r="T46" i="65" s="1"/>
  <c r="AA212" i="63"/>
  <c r="R212" i="65" s="1"/>
  <c r="Y172" i="63"/>
  <c r="AD172" i="65" s="1"/>
  <c r="K167" i="63"/>
  <c r="Y167" i="65" s="1"/>
  <c r="I40" i="63"/>
  <c r="N40" i="65" s="1"/>
  <c r="AB219" i="63"/>
  <c r="Q219" i="65" s="1"/>
  <c r="H223" i="63"/>
  <c r="AB232" i="63"/>
  <c r="Q232" i="65" s="1"/>
  <c r="AB238" i="63"/>
  <c r="V56" i="63"/>
  <c r="J56" i="65" s="1"/>
  <c r="AB247" i="63"/>
  <c r="Q247" i="65" s="1"/>
  <c r="E18" i="63"/>
  <c r="AB47" i="63"/>
  <c r="AB82" i="63"/>
  <c r="E116" i="63"/>
  <c r="G144" i="63"/>
  <c r="AB174" i="63"/>
  <c r="AB209" i="63"/>
  <c r="E242" i="63"/>
  <c r="AB271" i="63"/>
  <c r="AB306" i="63"/>
  <c r="F340" i="63"/>
  <c r="AB4" i="63"/>
  <c r="AB14" i="63"/>
  <c r="Q14" i="65" s="1"/>
  <c r="S20" i="63"/>
  <c r="K27" i="63"/>
  <c r="Y27" i="65" s="1"/>
  <c r="Q33" i="63"/>
  <c r="AB33" i="65" s="1"/>
  <c r="AB38" i="63"/>
  <c r="Q38" i="65" s="1"/>
  <c r="AB46" i="63"/>
  <c r="AB52" i="63"/>
  <c r="Q52" i="65" s="1"/>
  <c r="AB58" i="63"/>
  <c r="Q58" i="65" s="1"/>
  <c r="K62" i="63"/>
  <c r="Y62" i="65" s="1"/>
  <c r="K69" i="63"/>
  <c r="Y69" i="65" s="1"/>
  <c r="S76" i="63"/>
  <c r="K83" i="63"/>
  <c r="Y83" i="65" s="1"/>
  <c r="AB88" i="63"/>
  <c r="AB94" i="63"/>
  <c r="Q94" i="65" s="1"/>
  <c r="AB99" i="63"/>
  <c r="Q99" i="65" s="1"/>
  <c r="AB107" i="63"/>
  <c r="Q107" i="65" s="1"/>
  <c r="AB113" i="63"/>
  <c r="Q113" i="65" s="1"/>
  <c r="S118" i="63"/>
  <c r="K125" i="63"/>
  <c r="Y125" i="65" s="1"/>
  <c r="W131" i="63"/>
  <c r="J131" i="65" s="1"/>
  <c r="R138" i="63"/>
  <c r="AB144" i="63"/>
  <c r="AB150" i="63"/>
  <c r="Q150" i="65" s="1"/>
  <c r="AB156" i="63"/>
  <c r="Q156" i="65" s="1"/>
  <c r="AB161" i="63"/>
  <c r="Q161" i="65" s="1"/>
  <c r="AB168" i="63"/>
  <c r="S174" i="63"/>
  <c r="K181" i="63"/>
  <c r="Y181" i="65" s="1"/>
  <c r="Q187" i="63"/>
  <c r="AB187" i="65" s="1"/>
  <c r="W192" i="63"/>
  <c r="J192" i="65" s="1"/>
  <c r="D130" i="63"/>
  <c r="P66" i="63"/>
  <c r="P158" i="63"/>
  <c r="O57" i="63"/>
  <c r="N28" i="63"/>
  <c r="C130" i="63"/>
  <c r="U130" i="65" s="1"/>
  <c r="C88" i="63"/>
  <c r="U88" i="65" s="1"/>
  <c r="AB206" i="63"/>
  <c r="S209" i="63"/>
  <c r="T56" i="63"/>
  <c r="AA56" i="65" s="1"/>
  <c r="AB212" i="63"/>
  <c r="Q212" i="65" s="1"/>
  <c r="D214" i="63"/>
  <c r="AB217" i="63"/>
  <c r="C242" i="63"/>
  <c r="U242" i="65" s="1"/>
  <c r="S244" i="63"/>
  <c r="Q103" i="63"/>
  <c r="AB103" i="65" s="1"/>
  <c r="AB252" i="63"/>
  <c r="AB259" i="63"/>
  <c r="K265" i="63"/>
  <c r="Y265" i="65" s="1"/>
  <c r="C270" i="63"/>
  <c r="U270" i="65" s="1"/>
  <c r="S272" i="63"/>
  <c r="G18" i="63"/>
  <c r="AB48" i="63"/>
  <c r="AB83" i="63"/>
  <c r="F116" i="63"/>
  <c r="AB145" i="63"/>
  <c r="AB180" i="63"/>
  <c r="E214" i="63"/>
  <c r="F242" i="63"/>
  <c r="AB272" i="63"/>
  <c r="AB307" i="63"/>
  <c r="E340" i="63"/>
  <c r="C18" i="63"/>
  <c r="U18" i="65" s="1"/>
  <c r="C74" i="63"/>
  <c r="U74" i="65" s="1"/>
  <c r="U158" i="63"/>
  <c r="AC158" i="65" s="1"/>
  <c r="AB220" i="63"/>
  <c r="AB19" i="63"/>
  <c r="AB54" i="63"/>
  <c r="E88" i="63"/>
  <c r="G116" i="63"/>
  <c r="AB146" i="63"/>
  <c r="AB181" i="63"/>
  <c r="G214" i="63"/>
  <c r="AB243" i="63"/>
  <c r="AB278" i="63"/>
  <c r="E312" i="63"/>
  <c r="G340" i="63"/>
  <c r="S6" i="63"/>
  <c r="AB15" i="63"/>
  <c r="Q15" i="65" s="1"/>
  <c r="AB21" i="63"/>
  <c r="S27" i="63"/>
  <c r="R33" i="63"/>
  <c r="AB39" i="63"/>
  <c r="Q47" i="63"/>
  <c r="AB47" i="65" s="1"/>
  <c r="AB53" i="63"/>
  <c r="AB59" i="63"/>
  <c r="Q59" i="65" s="1"/>
  <c r="AB63" i="63"/>
  <c r="Q63" i="65" s="1"/>
  <c r="S69" i="63"/>
  <c r="AB77" i="63"/>
  <c r="S83" i="63"/>
  <c r="Q89" i="63"/>
  <c r="AB89" i="65" s="1"/>
  <c r="AB95" i="63"/>
  <c r="AB100" i="63"/>
  <c r="Q100" i="65" s="1"/>
  <c r="AB108" i="63"/>
  <c r="AB114" i="63"/>
  <c r="Q114" i="65" s="1"/>
  <c r="AB119" i="63"/>
  <c r="Q119" i="65" s="1"/>
  <c r="S125" i="63"/>
  <c r="R131" i="63"/>
  <c r="S139" i="63"/>
  <c r="Q145" i="63"/>
  <c r="AB145" i="65" s="1"/>
  <c r="AB151" i="63"/>
  <c r="AB157" i="63"/>
  <c r="Q157" i="65" s="1"/>
  <c r="W161" i="63"/>
  <c r="J161" i="65" s="1"/>
  <c r="AB169" i="63"/>
  <c r="Q169" i="65" s="1"/>
  <c r="AB175" i="63"/>
  <c r="S181" i="63"/>
  <c r="R187" i="63"/>
  <c r="R194" i="63"/>
  <c r="P127" i="63"/>
  <c r="R127" i="65" s="1"/>
  <c r="D186" i="63"/>
  <c r="AA90" i="63"/>
  <c r="R90" i="65" s="1"/>
  <c r="H39" i="63"/>
  <c r="AA120" i="63"/>
  <c r="R120" i="65" s="1"/>
  <c r="C60" i="63"/>
  <c r="U60" i="65" s="1"/>
  <c r="H70" i="63"/>
  <c r="Q201" i="63"/>
  <c r="AB201" i="65" s="1"/>
  <c r="AB207" i="63"/>
  <c r="M43" i="63"/>
  <c r="C144" i="63"/>
  <c r="U144" i="65" s="1"/>
  <c r="C172" i="63"/>
  <c r="U172" i="65" s="1"/>
  <c r="X214" i="63"/>
  <c r="T214" i="65" s="1"/>
  <c r="I132" i="63"/>
  <c r="N132" i="65" s="1"/>
  <c r="AB20" i="63"/>
  <c r="AB55" i="63"/>
  <c r="F88" i="63"/>
  <c r="AB117" i="63"/>
  <c r="AB152" i="63"/>
  <c r="F186" i="63"/>
  <c r="F214" i="63"/>
  <c r="AB244" i="63"/>
  <c r="AB279" i="63"/>
  <c r="F312" i="63"/>
  <c r="AB341" i="63"/>
  <c r="AB211" i="63"/>
  <c r="Q211" i="65" s="1"/>
  <c r="AB101" i="63"/>
  <c r="Q101" i="65" s="1"/>
  <c r="Y214" i="63"/>
  <c r="AD214" i="65" s="1"/>
  <c r="I71" i="63"/>
  <c r="N71" i="65" s="1"/>
  <c r="AB221" i="63"/>
  <c r="AB26" i="63"/>
  <c r="F60" i="63"/>
  <c r="G88" i="63"/>
  <c r="AB118" i="63"/>
  <c r="AB153" i="63"/>
  <c r="E186" i="63"/>
  <c r="AB215" i="63"/>
  <c r="AB250" i="63"/>
  <c r="E284" i="63"/>
  <c r="G312" i="63"/>
  <c r="AB342" i="63"/>
  <c r="AB7" i="63"/>
  <c r="AB16" i="63"/>
  <c r="Q16" i="65" s="1"/>
  <c r="AB22" i="63"/>
  <c r="Q22" i="65" s="1"/>
  <c r="AB28" i="63"/>
  <c r="Q28" i="65" s="1"/>
  <c r="K34" i="63"/>
  <c r="Y34" i="65" s="1"/>
  <c r="W39" i="63"/>
  <c r="J39" i="65" s="1"/>
  <c r="R47" i="63"/>
  <c r="Q54" i="63"/>
  <c r="AB54" i="65" s="1"/>
  <c r="Y60" i="63"/>
  <c r="AD60" i="65" s="1"/>
  <c r="AB64" i="63"/>
  <c r="Q64" i="65" s="1"/>
  <c r="W70" i="63"/>
  <c r="J70" i="65" s="1"/>
  <c r="AB78" i="63"/>
  <c r="Q78" i="65" s="1"/>
  <c r="AB84" i="63"/>
  <c r="Q84" i="65" s="1"/>
  <c r="R89" i="63"/>
  <c r="Q96" i="63"/>
  <c r="AB96" i="65" s="1"/>
  <c r="W100" i="63"/>
  <c r="J100" i="65" s="1"/>
  <c r="AB109" i="63"/>
  <c r="AB115" i="63"/>
  <c r="AB120" i="63"/>
  <c r="Q120" i="65" s="1"/>
  <c r="AB126" i="63"/>
  <c r="Q126" i="65" s="1"/>
  <c r="Q131" i="63"/>
  <c r="AB131" i="65" s="1"/>
  <c r="K139" i="63"/>
  <c r="Y139" i="65" s="1"/>
  <c r="R145" i="63"/>
  <c r="Q152" i="63"/>
  <c r="AB152" i="65" s="1"/>
  <c r="Y158" i="63"/>
  <c r="AD158" i="65" s="1"/>
  <c r="T161" i="63"/>
  <c r="AA161" i="65" s="1"/>
  <c r="AB170" i="63"/>
  <c r="Q170" i="65" s="1"/>
  <c r="AB176" i="63"/>
  <c r="Q176" i="65" s="1"/>
  <c r="AB182" i="63"/>
  <c r="K188" i="63"/>
  <c r="Y188" i="65" s="1"/>
  <c r="S195" i="63"/>
  <c r="AA181" i="63"/>
  <c r="R181" i="65" s="1"/>
  <c r="AA31" i="63"/>
  <c r="R31" i="65" s="1"/>
  <c r="L142" i="63"/>
  <c r="N178" i="63"/>
  <c r="H100" i="63"/>
  <c r="AB200" i="63"/>
  <c r="R201" i="63"/>
  <c r="Q208" i="63"/>
  <c r="AB208" i="65" s="1"/>
  <c r="AB210" i="63"/>
  <c r="Q210" i="65" s="1"/>
  <c r="O210" i="63"/>
  <c r="Q215" i="63"/>
  <c r="AB215" i="65" s="1"/>
  <c r="AB27" i="63"/>
  <c r="G60" i="63"/>
  <c r="AB89" i="63"/>
  <c r="AB124" i="63"/>
  <c r="G158" i="63"/>
  <c r="G186" i="63"/>
  <c r="AB216" i="63"/>
  <c r="AB251" i="63"/>
  <c r="F284" i="63"/>
  <c r="AB313" i="63"/>
  <c r="AB348" i="63"/>
  <c r="K13" i="63"/>
  <c r="Y13" i="65" s="1"/>
  <c r="Y46" i="63"/>
  <c r="AD46" i="65" s="1"/>
  <c r="M104" i="63"/>
  <c r="M135" i="63"/>
  <c r="S132" i="63"/>
  <c r="X102" i="63"/>
  <c r="T102" i="65" s="1"/>
  <c r="Q222" i="63"/>
  <c r="AB222" i="65" s="1"/>
  <c r="AB227" i="63"/>
  <c r="AB235" i="63"/>
  <c r="E32" i="63"/>
  <c r="E60" i="63"/>
  <c r="AB90" i="63"/>
  <c r="AB125" i="63"/>
  <c r="E158" i="63"/>
  <c r="AB187" i="63"/>
  <c r="AB222" i="63"/>
  <c r="G256" i="63"/>
  <c r="G284" i="63"/>
  <c r="AB314" i="63"/>
  <c r="AB349" i="63"/>
  <c r="AB8" i="63"/>
  <c r="Q8" i="65" s="1"/>
  <c r="AB17" i="63"/>
  <c r="AB23" i="63"/>
  <c r="Q23" i="65" s="1"/>
  <c r="AB29" i="63"/>
  <c r="Q29" i="65" s="1"/>
  <c r="S34" i="63"/>
  <c r="S41" i="63"/>
  <c r="K48" i="63"/>
  <c r="Y48" i="65" s="1"/>
  <c r="R54" i="63"/>
  <c r="X60" i="63"/>
  <c r="T60" i="65" s="1"/>
  <c r="AB65" i="63"/>
  <c r="Q65" i="65" s="1"/>
  <c r="AB70" i="63"/>
  <c r="Q70" i="65" s="1"/>
  <c r="AB79" i="63"/>
  <c r="Q79" i="65" s="1"/>
  <c r="AB85" i="63"/>
  <c r="Q85" i="65" s="1"/>
  <c r="S90" i="63"/>
  <c r="R96" i="63"/>
  <c r="AB102" i="63"/>
  <c r="Q110" i="63"/>
  <c r="AB110" i="65" s="1"/>
  <c r="Y116" i="63"/>
  <c r="AD116" i="65" s="1"/>
  <c r="AB121" i="63"/>
  <c r="Q121" i="65" s="1"/>
  <c r="AB127" i="63"/>
  <c r="Q127" i="65" s="1"/>
  <c r="AB133" i="63"/>
  <c r="AB140" i="63"/>
  <c r="K146" i="63"/>
  <c r="Y146" i="65" s="1"/>
  <c r="R152" i="63"/>
  <c r="AB158" i="63"/>
  <c r="AB163" i="63"/>
  <c r="Q163" i="65" s="1"/>
  <c r="AB171" i="63"/>
  <c r="AB177" i="63"/>
  <c r="Q177" i="65" s="1"/>
  <c r="AB183" i="63"/>
  <c r="Q183" i="65" s="1"/>
  <c r="S188" i="63"/>
  <c r="AB196" i="63"/>
  <c r="Q196" i="65" s="1"/>
  <c r="AA59" i="63"/>
  <c r="R59" i="65" s="1"/>
  <c r="AB199" i="63"/>
  <c r="Q199" i="65" s="1"/>
  <c r="AA151" i="63"/>
  <c r="R151" i="65" s="1"/>
  <c r="D32" i="63"/>
  <c r="K202" i="63"/>
  <c r="Y202" i="65" s="1"/>
  <c r="R12" i="63"/>
  <c r="M74" i="63"/>
  <c r="AB71" i="63"/>
  <c r="Q71" i="65" s="1"/>
  <c r="T119" i="63"/>
  <c r="AA119" i="65" s="1"/>
  <c r="X144" i="63"/>
  <c r="T144" i="65" s="1"/>
  <c r="X172" i="63"/>
  <c r="T172" i="65" s="1"/>
  <c r="Q40" i="63"/>
  <c r="AB40" i="65" s="1"/>
  <c r="Q250" i="63"/>
  <c r="AB250" i="65" s="1"/>
  <c r="Q257" i="63"/>
  <c r="AB257" i="65" s="1"/>
  <c r="Z212" i="63"/>
  <c r="P212" i="65" s="1"/>
  <c r="R285" i="63"/>
  <c r="AB287" i="63"/>
  <c r="Q287" i="65" s="1"/>
  <c r="R278" i="63"/>
  <c r="K272" i="63"/>
  <c r="Y272" i="65" s="1"/>
  <c r="D270" i="63"/>
  <c r="Q264" i="63"/>
  <c r="AB264" i="65" s="1"/>
  <c r="T245" i="63"/>
  <c r="AA245" i="65" s="1"/>
  <c r="D74" i="63"/>
  <c r="B2" i="63"/>
  <c r="C4" i="63"/>
  <c r="U4" i="65" s="1"/>
  <c r="T14" i="63"/>
  <c r="AA14" i="65" s="1"/>
  <c r="C326" i="63"/>
  <c r="U326" i="65" s="1"/>
  <c r="AB366" i="63"/>
  <c r="Q366" i="65" s="1"/>
  <c r="AB360" i="63"/>
  <c r="AB351" i="63"/>
  <c r="Q351" i="65" s="1"/>
  <c r="AB346" i="63"/>
  <c r="R341" i="63"/>
  <c r="Y340" i="63"/>
  <c r="AD340" i="65" s="1"/>
  <c r="R334" i="63"/>
  <c r="AB329" i="63"/>
  <c r="AB324" i="63"/>
  <c r="Q324" i="65" s="1"/>
  <c r="AB316" i="63"/>
  <c r="Q316" i="65" s="1"/>
  <c r="X312" i="63"/>
  <c r="T312" i="65" s="1"/>
  <c r="AB309" i="63"/>
  <c r="Q309" i="65" s="1"/>
  <c r="AA304" i="63"/>
  <c r="R304" i="65" s="1"/>
  <c r="S300" i="63"/>
  <c r="K293" i="63"/>
  <c r="Y293" i="65" s="1"/>
  <c r="Y284" i="63"/>
  <c r="AD284" i="65" s="1"/>
  <c r="AB263" i="63"/>
  <c r="W253" i="63"/>
  <c r="J253" i="65" s="1"/>
  <c r="AB248" i="63"/>
  <c r="Q248" i="65" s="1"/>
  <c r="O241" i="63"/>
  <c r="AB233" i="63"/>
  <c r="Q233" i="65" s="1"/>
  <c r="D256" i="63"/>
  <c r="I254" i="63"/>
  <c r="N254" i="65" s="1"/>
  <c r="U248" i="63"/>
  <c r="AC248" i="65" s="1"/>
  <c r="AB3" i="63"/>
  <c r="Q3" i="65" s="1"/>
  <c r="AB254" i="63"/>
  <c r="Q254" i="65" s="1"/>
  <c r="C200" i="63"/>
  <c r="U200" i="65" s="1"/>
  <c r="S286" i="63"/>
  <c r="Q278" i="63"/>
  <c r="AB278" i="65" s="1"/>
  <c r="O271" i="63"/>
  <c r="Y270" i="63"/>
  <c r="AD270" i="65" s="1"/>
  <c r="V178" i="63"/>
  <c r="J178" i="65" s="1"/>
  <c r="Q75" i="63"/>
  <c r="AB75" i="65" s="1"/>
  <c r="K244" i="63"/>
  <c r="Y244" i="65" s="1"/>
  <c r="Y326" i="63"/>
  <c r="AD326" i="65" s="1"/>
  <c r="K286" i="63"/>
  <c r="Y286" i="65" s="1"/>
  <c r="AB365" i="63"/>
  <c r="Q365" i="65" s="1"/>
  <c r="AB359" i="63"/>
  <c r="Q359" i="65" s="1"/>
  <c r="X354" i="63"/>
  <c r="T354" i="65" s="1"/>
  <c r="AB350" i="63"/>
  <c r="AB345" i="63"/>
  <c r="Q345" i="65" s="1"/>
  <c r="Q341" i="63"/>
  <c r="AB341" i="65" s="1"/>
  <c r="AB339" i="63"/>
  <c r="Q339" i="65" s="1"/>
  <c r="Q334" i="63"/>
  <c r="AB334" i="65" s="1"/>
  <c r="S328" i="63"/>
  <c r="AB323" i="63"/>
  <c r="Q323" i="65" s="1"/>
  <c r="K314" i="63"/>
  <c r="Y314" i="65" s="1"/>
  <c r="D312" i="63"/>
  <c r="AB308" i="63"/>
  <c r="AB304" i="63"/>
  <c r="Q304" i="65" s="1"/>
  <c r="R299" i="63"/>
  <c r="S293" i="63"/>
  <c r="AB283" i="63"/>
  <c r="Q283" i="65" s="1"/>
  <c r="AB269" i="63"/>
  <c r="AB262" i="63"/>
  <c r="Q262" i="65" s="1"/>
  <c r="AB253" i="63"/>
  <c r="Q253" i="65" s="1"/>
  <c r="S230" i="63"/>
  <c r="D326" i="63"/>
  <c r="V270" i="63"/>
  <c r="J270" i="65" s="1"/>
  <c r="I285" i="63"/>
  <c r="N285" i="65" s="1"/>
  <c r="AB193" i="63"/>
  <c r="AB277" i="63"/>
  <c r="R271" i="63"/>
  <c r="Q243" i="63"/>
  <c r="AB243" i="65" s="1"/>
  <c r="D18" i="63"/>
  <c r="X4" i="63"/>
  <c r="T4" i="65" s="1"/>
  <c r="X200" i="63"/>
  <c r="T200" i="65" s="1"/>
  <c r="T329" i="63"/>
  <c r="AA329" i="65" s="1"/>
  <c r="AB315" i="63"/>
  <c r="AB364" i="63"/>
  <c r="Q364" i="65" s="1"/>
  <c r="AB358" i="63"/>
  <c r="Q358" i="65" s="1"/>
  <c r="D354" i="63"/>
  <c r="T350" i="63"/>
  <c r="AA350" i="65" s="1"/>
  <c r="H345" i="63"/>
  <c r="N345" i="65" s="1"/>
  <c r="P341" i="63"/>
  <c r="AB338" i="63"/>
  <c r="Q338" i="65" s="1"/>
  <c r="AB333" i="63"/>
  <c r="K328" i="63"/>
  <c r="Y328" i="65" s="1"/>
  <c r="AB322" i="63"/>
  <c r="W314" i="63"/>
  <c r="J314" i="65" s="1"/>
  <c r="C312" i="63"/>
  <c r="U312" i="65" s="1"/>
  <c r="T308" i="63"/>
  <c r="AA308" i="65" s="1"/>
  <c r="AB303" i="63"/>
  <c r="Q303" i="65" s="1"/>
  <c r="Q299" i="63"/>
  <c r="AB299" i="65" s="1"/>
  <c r="R292" i="63"/>
  <c r="AB282" i="63"/>
  <c r="Q282" i="65" s="1"/>
  <c r="Q271" i="63"/>
  <c r="AB271" i="65" s="1"/>
  <c r="AB268" i="63"/>
  <c r="Q268" i="65" s="1"/>
  <c r="AB261" i="63"/>
  <c r="Q261" i="65" s="1"/>
  <c r="H253" i="63"/>
  <c r="D102" i="63"/>
  <c r="I315" i="63"/>
  <c r="N315" i="65" s="1"/>
  <c r="Z31" i="63"/>
  <c r="P31" i="65" s="1"/>
  <c r="Y4" i="63"/>
  <c r="AD4" i="65" s="1"/>
  <c r="X298" i="63"/>
  <c r="T298" i="65" s="1"/>
  <c r="X326" i="63"/>
  <c r="T326" i="65" s="1"/>
  <c r="Y298" i="63"/>
  <c r="AD298" i="65" s="1"/>
  <c r="C228" i="63"/>
  <c r="U228" i="65" s="1"/>
  <c r="X284" i="63"/>
  <c r="T284" i="65" s="1"/>
  <c r="AB276" i="63"/>
  <c r="Q5" i="63"/>
  <c r="AB5" i="65" s="1"/>
  <c r="AB226" i="63"/>
  <c r="Q226" i="65" s="1"/>
  <c r="C298" i="63"/>
  <c r="U298" i="65" s="1"/>
  <c r="K363" i="63"/>
  <c r="Y363" i="65" s="1"/>
  <c r="AB357" i="63"/>
  <c r="AB354" i="63"/>
  <c r="S349" i="63"/>
  <c r="W345" i="63"/>
  <c r="J345" i="65" s="1"/>
  <c r="AB337" i="63"/>
  <c r="Q337" i="65" s="1"/>
  <c r="O332" i="63"/>
  <c r="R327" i="63"/>
  <c r="S321" i="63"/>
  <c r="S314" i="63"/>
  <c r="AB312" i="63"/>
  <c r="S307" i="63"/>
  <c r="O302" i="63"/>
  <c r="AB298" i="63"/>
  <c r="Q292" i="63"/>
  <c r="AB292" i="65" s="1"/>
  <c r="AB281" i="63"/>
  <c r="Q281" i="65" s="1"/>
  <c r="AB275" i="63"/>
  <c r="Q275" i="65" s="1"/>
  <c r="AB270" i="63"/>
  <c r="AB267" i="63"/>
  <c r="Q267" i="65" s="1"/>
  <c r="AB260" i="63"/>
  <c r="Q260" i="65" s="1"/>
  <c r="Q166" i="63"/>
  <c r="AB166" i="65" s="1"/>
  <c r="AB246" i="63"/>
  <c r="Q246" i="65" s="1"/>
  <c r="X242" i="63"/>
  <c r="T242" i="65" s="1"/>
  <c r="H11" i="63"/>
  <c r="D298" i="63"/>
  <c r="I193" i="63"/>
  <c r="N193" i="65" s="1"/>
  <c r="I224" i="63"/>
  <c r="N224" i="65" s="1"/>
  <c r="AB224" i="63"/>
  <c r="K321" i="63"/>
  <c r="Y321" i="65" s="1"/>
  <c r="D284" i="63"/>
  <c r="AB280" i="63"/>
  <c r="K251" i="63"/>
  <c r="Y251" i="65" s="1"/>
  <c r="AB239" i="63"/>
  <c r="Q239" i="65" s="1"/>
  <c r="AB225" i="63"/>
  <c r="Q225" i="65" s="1"/>
  <c r="D144" i="63"/>
  <c r="V209" i="63"/>
  <c r="J209" i="65" s="1"/>
  <c r="P7" i="63"/>
  <c r="M288" i="63"/>
  <c r="M257" i="63"/>
  <c r="Y256" i="63"/>
  <c r="AD256" i="65" s="1"/>
  <c r="T287" i="63"/>
  <c r="AA287" i="65" s="1"/>
  <c r="S363" i="63"/>
  <c r="S356" i="63"/>
  <c r="Y354" i="63"/>
  <c r="AD354" i="65" s="1"/>
  <c r="K349" i="63"/>
  <c r="Y349" i="65" s="1"/>
  <c r="AB344" i="63"/>
  <c r="Q344" i="65" s="1"/>
  <c r="AB340" i="63"/>
  <c r="AB336" i="63"/>
  <c r="Q336" i="65" s="1"/>
  <c r="AB332" i="63"/>
  <c r="Q332" i="65" s="1"/>
  <c r="Q327" i="63"/>
  <c r="AB327" i="65" s="1"/>
  <c r="R320" i="63"/>
  <c r="H314" i="63"/>
  <c r="Y312" i="63"/>
  <c r="AD312" i="65" s="1"/>
  <c r="K307" i="63"/>
  <c r="Y307" i="65" s="1"/>
  <c r="AB302" i="63"/>
  <c r="Q302" i="65" s="1"/>
  <c r="AB297" i="63"/>
  <c r="AB291" i="63"/>
  <c r="W284" i="63"/>
  <c r="J284" i="65" s="1"/>
  <c r="AB274" i="63"/>
  <c r="Q274" i="65" s="1"/>
  <c r="AB266" i="63"/>
  <c r="D242" i="63"/>
  <c r="Q229" i="63"/>
  <c r="AB229" i="65" s="1"/>
  <c r="X256" i="63"/>
  <c r="T256" i="65" s="1"/>
  <c r="K6" i="63"/>
  <c r="Y6" i="65" s="1"/>
  <c r="T203" i="63"/>
  <c r="AA203" i="65" s="1"/>
  <c r="AB290" i="63"/>
  <c r="Q290" i="65" s="1"/>
  <c r="P280" i="63"/>
  <c r="S258" i="63"/>
  <c r="D4" i="63"/>
  <c r="D172" i="63"/>
  <c r="V301" i="63"/>
  <c r="J301" i="65" s="1"/>
  <c r="T266" i="63"/>
  <c r="AA266" i="65" s="1"/>
  <c r="K195" i="63"/>
  <c r="Y195" i="65" s="1"/>
  <c r="R362" i="63"/>
  <c r="K356" i="63"/>
  <c r="Y356" i="65" s="1"/>
  <c r="C354" i="63"/>
  <c r="U354" i="65" s="1"/>
  <c r="R348" i="63"/>
  <c r="AB343" i="63"/>
  <c r="X340" i="63"/>
  <c r="T340" i="65" s="1"/>
  <c r="S335" i="63"/>
  <c r="AB331" i="63"/>
  <c r="Q331" i="65" s="1"/>
  <c r="AB326" i="63"/>
  <c r="AB319" i="63"/>
  <c r="R313" i="63"/>
  <c r="P311" i="63"/>
  <c r="Q306" i="63"/>
  <c r="AB306" i="65" s="1"/>
  <c r="N301" i="63"/>
  <c r="AB296" i="63"/>
  <c r="Q296" i="65" s="1"/>
  <c r="H284" i="63"/>
  <c r="AA273" i="63"/>
  <c r="R273" i="65" s="1"/>
  <c r="X270" i="63"/>
  <c r="T270" i="65" s="1"/>
  <c r="P250" i="63"/>
  <c r="AB242" i="63"/>
  <c r="D200" i="63"/>
  <c r="Q285" i="63"/>
  <c r="AB285" i="65" s="1"/>
  <c r="Q320" i="63"/>
  <c r="AB320" i="65" s="1"/>
  <c r="M227" i="63"/>
  <c r="U338" i="63"/>
  <c r="AC338" i="65" s="1"/>
  <c r="Y228" i="63"/>
  <c r="AD228" i="65" s="1"/>
  <c r="K258" i="63"/>
  <c r="Y258" i="65" s="1"/>
  <c r="AB289" i="63"/>
  <c r="Q289" i="65" s="1"/>
  <c r="K279" i="63"/>
  <c r="Y279" i="65" s="1"/>
  <c r="S265" i="63"/>
  <c r="R257" i="63"/>
  <c r="R250" i="63"/>
  <c r="Q138" i="63"/>
  <c r="AB138" i="65" s="1"/>
  <c r="Y242" i="63"/>
  <c r="AD242" i="65" s="1"/>
  <c r="K237" i="63"/>
  <c r="Y237" i="65" s="1"/>
  <c r="V331" i="63"/>
  <c r="J331" i="65" s="1"/>
  <c r="Q194" i="63"/>
  <c r="AB194" i="65" s="1"/>
  <c r="U68" i="63"/>
  <c r="AC68" i="65" s="1"/>
  <c r="M318" i="63"/>
  <c r="C256" i="63"/>
  <c r="U256" i="65" s="1"/>
  <c r="AB368" i="63"/>
  <c r="Q368" i="65" s="1"/>
  <c r="Q362" i="63"/>
  <c r="AB362" i="65" s="1"/>
  <c r="R355" i="63"/>
  <c r="AB353" i="63"/>
  <c r="Q353" i="65" s="1"/>
  <c r="Q348" i="63"/>
  <c r="AB348" i="65" s="1"/>
  <c r="K342" i="63"/>
  <c r="Y342" i="65" s="1"/>
  <c r="D340" i="63"/>
  <c r="K335" i="63"/>
  <c r="Y335" i="65" s="1"/>
  <c r="N331" i="63"/>
  <c r="AB325" i="63"/>
  <c r="AB318" i="63"/>
  <c r="Q313" i="63"/>
  <c r="AB313" i="65" s="1"/>
  <c r="AB311" i="63"/>
  <c r="R306" i="63"/>
  <c r="AB301" i="63"/>
  <c r="AB295" i="63"/>
  <c r="Q295" i="65" s="1"/>
  <c r="C284" i="63"/>
  <c r="U284" i="65" s="1"/>
  <c r="AB273" i="63"/>
  <c r="V28" i="63"/>
  <c r="J28" i="65" s="1"/>
  <c r="C48" i="5" l="1"/>
  <c r="F73" i="5"/>
  <c r="E73" i="5"/>
  <c r="E96" i="5" s="1"/>
  <c r="I59" i="5"/>
  <c r="G59" i="5"/>
  <c r="Q325" i="65"/>
  <c r="R100" i="65"/>
  <c r="R162" i="65"/>
  <c r="R271" i="65"/>
  <c r="R185" i="65"/>
  <c r="R53" i="65"/>
  <c r="R4" i="65"/>
  <c r="Q168" i="65"/>
  <c r="R175" i="65"/>
  <c r="R223" i="65"/>
  <c r="R338" i="65"/>
  <c r="R131" i="65"/>
  <c r="R284" i="65"/>
  <c r="R246" i="65"/>
  <c r="R205" i="65"/>
  <c r="R25" i="65"/>
  <c r="R144" i="65"/>
  <c r="R297" i="65"/>
  <c r="R93" i="65"/>
  <c r="R23" i="65"/>
  <c r="R237" i="65"/>
  <c r="R83" i="65"/>
  <c r="R145" i="65"/>
  <c r="R350" i="65"/>
  <c r="R298" i="65"/>
  <c r="R84" i="65"/>
  <c r="Q115" i="65"/>
  <c r="Q203" i="65"/>
  <c r="Q245" i="65"/>
  <c r="Q10" i="65"/>
  <c r="Q297" i="65"/>
  <c r="H59" i="5"/>
  <c r="Q346" i="65"/>
  <c r="Q294" i="65"/>
  <c r="R27" i="65"/>
  <c r="Q276" i="65"/>
  <c r="Q31" i="65"/>
  <c r="Q122" i="65"/>
  <c r="Q73" i="65"/>
  <c r="Q80" i="65"/>
  <c r="R7" i="65"/>
  <c r="Q133" i="65"/>
  <c r="Q227" i="65"/>
  <c r="Q175" i="65"/>
  <c r="Q164" i="65"/>
  <c r="Q217" i="65"/>
  <c r="Q350" i="65"/>
  <c r="Q143" i="65"/>
  <c r="Q91" i="65"/>
  <c r="Q318" i="65"/>
  <c r="N59" i="5"/>
  <c r="Q311" i="65"/>
  <c r="Q185" i="65"/>
  <c r="Q357" i="65"/>
  <c r="Q192" i="65"/>
  <c r="Q273" i="65"/>
  <c r="Q108" i="65"/>
  <c r="X51" i="65"/>
  <c r="Q171" i="65"/>
  <c r="Q17" i="65"/>
  <c r="Q360" i="65"/>
  <c r="Q7" i="65"/>
  <c r="Q220" i="65"/>
  <c r="Q234" i="65"/>
  <c r="I47" i="5"/>
  <c r="Q269" i="65"/>
  <c r="Q98" i="65"/>
  <c r="Y263" i="65"/>
  <c r="L46" i="5" s="1"/>
  <c r="Q35" i="65"/>
  <c r="Q343" i="65"/>
  <c r="Q21" i="65"/>
  <c r="Q301" i="65"/>
  <c r="X359" i="65"/>
  <c r="X289" i="65"/>
  <c r="X345" i="65"/>
  <c r="X135" i="65"/>
  <c r="X79" i="65"/>
  <c r="X205" i="65"/>
  <c r="X275" i="65"/>
  <c r="X191" i="65"/>
  <c r="X149" i="65"/>
  <c r="X23" i="65"/>
  <c r="B9" i="63"/>
  <c r="B9" i="65" s="1"/>
  <c r="B23" i="63"/>
  <c r="B23" i="65" s="1"/>
  <c r="B37" i="63"/>
  <c r="B37" i="65" s="1"/>
  <c r="B51" i="63"/>
  <c r="B51" i="65" s="1"/>
  <c r="B65" i="63"/>
  <c r="B65" i="65" s="1"/>
  <c r="B79" i="63"/>
  <c r="B79" i="65" s="1"/>
  <c r="B93" i="63"/>
  <c r="B93" i="65" s="1"/>
  <c r="B107" i="63"/>
  <c r="B107" i="65" s="1"/>
  <c r="B121" i="63"/>
  <c r="B121" i="65" s="1"/>
  <c r="B135" i="63"/>
  <c r="B135" i="65" s="1"/>
  <c r="B149" i="63"/>
  <c r="B149" i="65" s="1"/>
  <c r="B163" i="63"/>
  <c r="B163" i="65" s="1"/>
  <c r="B177" i="63"/>
  <c r="B177" i="65" s="1"/>
  <c r="B191" i="63"/>
  <c r="B191" i="65" s="1"/>
  <c r="B205" i="63"/>
  <c r="B205" i="65" s="1"/>
  <c r="B219" i="63"/>
  <c r="B219" i="65" s="1"/>
  <c r="B233" i="63"/>
  <c r="B233" i="65" s="1"/>
  <c r="B247" i="63"/>
  <c r="B247" i="65" s="1"/>
  <c r="B261" i="63"/>
  <c r="B261" i="65" s="1"/>
  <c r="B275" i="63"/>
  <c r="B275" i="65" s="1"/>
  <c r="B289" i="63"/>
  <c r="B289" i="65" s="1"/>
  <c r="B303" i="63"/>
  <c r="B303" i="65" s="1"/>
  <c r="B317" i="63"/>
  <c r="B317" i="65" s="1"/>
  <c r="B331" i="63"/>
  <c r="B331" i="65" s="1"/>
  <c r="B345" i="63"/>
  <c r="B345" i="65" s="1"/>
  <c r="B359" i="63"/>
  <c r="B359" i="65" s="1"/>
  <c r="O281" i="65"/>
  <c r="N281" i="65"/>
  <c r="AE275" i="65"/>
  <c r="AD275" i="65"/>
  <c r="AE163" i="65"/>
  <c r="AD163" i="65"/>
  <c r="AE23" i="65"/>
  <c r="AD23" i="65"/>
  <c r="AE9" i="65"/>
  <c r="AD9" i="65"/>
  <c r="X317" i="65"/>
  <c r="AE247" i="65"/>
  <c r="AD247" i="65"/>
  <c r="AE135" i="65"/>
  <c r="AD135" i="65"/>
  <c r="G127" i="65"/>
  <c r="N127" i="65"/>
  <c r="AE121" i="65"/>
  <c r="AD121" i="65"/>
  <c r="AE79" i="65"/>
  <c r="AD79" i="65"/>
  <c r="Z66" i="65"/>
  <c r="AB66" i="65"/>
  <c r="AE233" i="65"/>
  <c r="AD233" i="65"/>
  <c r="AE177" i="65"/>
  <c r="AD177" i="65"/>
  <c r="Z171" i="65"/>
  <c r="I49" i="5" s="1"/>
  <c r="AB171" i="65"/>
  <c r="I55" i="5" s="1"/>
  <c r="X121" i="65"/>
  <c r="AE51" i="65"/>
  <c r="AD51" i="65"/>
  <c r="J61" i="5"/>
  <c r="K61" i="5"/>
  <c r="X331" i="65"/>
  <c r="D297" i="65"/>
  <c r="M20" i="5" s="1"/>
  <c r="J297" i="65"/>
  <c r="X247" i="65"/>
  <c r="AE205" i="65"/>
  <c r="AD205" i="65"/>
  <c r="X177" i="65"/>
  <c r="D144" i="65"/>
  <c r="J144" i="65"/>
  <c r="AE107" i="65"/>
  <c r="AD107" i="65"/>
  <c r="AE93" i="65"/>
  <c r="AD93" i="65"/>
  <c r="AE331" i="65"/>
  <c r="AD331" i="65"/>
  <c r="AE149" i="65"/>
  <c r="AD149" i="65"/>
  <c r="X37" i="65"/>
  <c r="AE303" i="65"/>
  <c r="AD303" i="65"/>
  <c r="AE261" i="65"/>
  <c r="AD261" i="65"/>
  <c r="X219" i="65"/>
  <c r="AE191" i="65"/>
  <c r="AD191" i="65"/>
  <c r="G96" i="65"/>
  <c r="N96" i="65"/>
  <c r="X65" i="65"/>
  <c r="G5" i="65"/>
  <c r="N5" i="65"/>
  <c r="G158" i="65"/>
  <c r="N158" i="65"/>
  <c r="AE65" i="65"/>
  <c r="AD65" i="65"/>
  <c r="AE345" i="65"/>
  <c r="AD345" i="65"/>
  <c r="X303" i="65"/>
  <c r="X261" i="65"/>
  <c r="X163" i="65"/>
  <c r="D52" i="65"/>
  <c r="E20" i="5" s="1"/>
  <c r="J52" i="65"/>
  <c r="E72" i="5" s="1"/>
  <c r="E75" i="5" s="1"/>
  <c r="D328" i="65"/>
  <c r="N20" i="5" s="1"/>
  <c r="J328" i="65"/>
  <c r="N72" i="5" s="1"/>
  <c r="N75" i="5" s="1"/>
  <c r="D266" i="65"/>
  <c r="J266" i="65"/>
  <c r="AE219" i="65"/>
  <c r="AD219" i="65"/>
  <c r="X107" i="65"/>
  <c r="X9" i="65"/>
  <c r="X233" i="65"/>
  <c r="Q206" i="65"/>
  <c r="AE289" i="65"/>
  <c r="AD289" i="65"/>
  <c r="Z129" i="65"/>
  <c r="H49" i="5" s="1"/>
  <c r="AB129" i="65"/>
  <c r="H55" i="5" s="1"/>
  <c r="X93" i="65"/>
  <c r="Z52" i="65"/>
  <c r="AB52" i="65"/>
  <c r="Q77" i="65"/>
  <c r="Q329" i="65"/>
  <c r="C47" i="5"/>
  <c r="D47" i="5"/>
  <c r="Q252" i="65"/>
  <c r="Q42" i="65"/>
  <c r="R35" i="65"/>
  <c r="C46" i="5"/>
  <c r="R227" i="65"/>
  <c r="Q315" i="65"/>
  <c r="R26" i="65"/>
  <c r="F96" i="5"/>
  <c r="G96" i="5" s="1"/>
  <c r="H96" i="5" s="1"/>
  <c r="I96" i="5" s="1"/>
  <c r="J96" i="5" s="1"/>
  <c r="K96" i="5" s="1"/>
  <c r="L96" i="5" s="1"/>
  <c r="M96" i="5" s="1"/>
  <c r="N96" i="5" s="1"/>
  <c r="P73" i="5"/>
  <c r="R135" i="65"/>
  <c r="R57" i="65"/>
  <c r="R74" i="65"/>
  <c r="R280" i="65"/>
  <c r="Q39" i="65"/>
  <c r="R226" i="65"/>
  <c r="R302" i="65"/>
  <c r="Q280" i="65"/>
  <c r="Q322" i="65"/>
  <c r="Q238" i="65"/>
  <c r="R179" i="65"/>
  <c r="R38" i="65"/>
  <c r="R332" i="65"/>
  <c r="Q231" i="65"/>
  <c r="Q189" i="65"/>
  <c r="Q112" i="65"/>
  <c r="Q154" i="65"/>
  <c r="Q147" i="65"/>
  <c r="R88" i="65"/>
  <c r="R219" i="65"/>
  <c r="R141" i="65"/>
  <c r="R65" i="65"/>
  <c r="Q32" i="65"/>
  <c r="R80" i="65"/>
  <c r="Q308" i="65"/>
  <c r="Q224" i="65"/>
  <c r="Q140" i="65"/>
  <c r="R29" i="65"/>
  <c r="Q259" i="65"/>
  <c r="R287" i="65"/>
  <c r="Q182" i="65"/>
  <c r="R43" i="65"/>
  <c r="Q266" i="65"/>
  <c r="Q88" i="65"/>
  <c r="R37" i="65"/>
  <c r="Q242" i="65"/>
  <c r="R165" i="65"/>
  <c r="Q109" i="65"/>
  <c r="Q291" i="65"/>
  <c r="N131" i="65"/>
  <c r="R126" i="65"/>
  <c r="X68" i="65"/>
  <c r="X96" i="65"/>
  <c r="X292" i="65"/>
  <c r="X40" i="65"/>
  <c r="AE362" i="65"/>
  <c r="AD362" i="65"/>
  <c r="AE334" i="65"/>
  <c r="AD334" i="65"/>
  <c r="AE320" i="65"/>
  <c r="AD320" i="65"/>
  <c r="AE236" i="65"/>
  <c r="AD236" i="65"/>
  <c r="AE166" i="65"/>
  <c r="AD166" i="65"/>
  <c r="AE68" i="65"/>
  <c r="AD68" i="65"/>
  <c r="V334" i="65"/>
  <c r="X334" i="65"/>
  <c r="X320" i="65"/>
  <c r="AE250" i="65"/>
  <c r="AD250" i="65"/>
  <c r="X194" i="65"/>
  <c r="X152" i="65"/>
  <c r="X110" i="65"/>
  <c r="Q49" i="65"/>
  <c r="AE194" i="65"/>
  <c r="AD194" i="65"/>
  <c r="AE152" i="65"/>
  <c r="AD152" i="65"/>
  <c r="AE110" i="65"/>
  <c r="AD110" i="65"/>
  <c r="Z55" i="65"/>
  <c r="AB55" i="65"/>
  <c r="X26" i="65"/>
  <c r="X362" i="65"/>
  <c r="AE278" i="65"/>
  <c r="AD278" i="65"/>
  <c r="AE264" i="65"/>
  <c r="AD264" i="65"/>
  <c r="X278" i="65"/>
  <c r="X264" i="65"/>
  <c r="X236" i="65"/>
  <c r="X180" i="65"/>
  <c r="X348" i="65"/>
  <c r="AE180" i="65"/>
  <c r="AD180" i="65"/>
  <c r="X138" i="65"/>
  <c r="Z41" i="65"/>
  <c r="D49" i="5" s="1"/>
  <c r="AB41" i="65"/>
  <c r="R12" i="65"/>
  <c r="AE292" i="65"/>
  <c r="AD292" i="65"/>
  <c r="B12" i="63"/>
  <c r="B12" i="65" s="1"/>
  <c r="B26" i="63"/>
  <c r="B26" i="65" s="1"/>
  <c r="B40" i="63"/>
  <c r="B40" i="65" s="1"/>
  <c r="B54" i="63"/>
  <c r="B54" i="65" s="1"/>
  <c r="B68" i="63"/>
  <c r="B68" i="65" s="1"/>
  <c r="B82" i="63"/>
  <c r="B82" i="65" s="1"/>
  <c r="B96" i="63"/>
  <c r="B96" i="65" s="1"/>
  <c r="B110" i="63"/>
  <c r="B110" i="65" s="1"/>
  <c r="B124" i="63"/>
  <c r="B124" i="65" s="1"/>
  <c r="B138" i="63"/>
  <c r="B138" i="65" s="1"/>
  <c r="B152" i="63"/>
  <c r="B152" i="65" s="1"/>
  <c r="B166" i="63"/>
  <c r="B166" i="65" s="1"/>
  <c r="B180" i="63"/>
  <c r="B180" i="65" s="1"/>
  <c r="B194" i="63"/>
  <c r="B194" i="65" s="1"/>
  <c r="B208" i="63"/>
  <c r="B208" i="65" s="1"/>
  <c r="B222" i="63"/>
  <c r="B222" i="65" s="1"/>
  <c r="B236" i="63"/>
  <c r="B236" i="65" s="1"/>
  <c r="B250" i="63"/>
  <c r="B250" i="65" s="1"/>
  <c r="B264" i="63"/>
  <c r="B264" i="65" s="1"/>
  <c r="B278" i="63"/>
  <c r="B278" i="65" s="1"/>
  <c r="B292" i="63"/>
  <c r="B292" i="65" s="1"/>
  <c r="B306" i="63"/>
  <c r="B306" i="65" s="1"/>
  <c r="B320" i="63"/>
  <c r="B320" i="65" s="1"/>
  <c r="B334" i="63"/>
  <c r="B334" i="65" s="1"/>
  <c r="B348" i="63"/>
  <c r="B348" i="65" s="1"/>
  <c r="B362" i="63"/>
  <c r="B362" i="65" s="1"/>
  <c r="R6" i="65"/>
  <c r="AE348" i="65"/>
  <c r="AD348" i="65"/>
  <c r="X222" i="65"/>
  <c r="X166" i="65"/>
  <c r="AE138" i="65"/>
  <c r="AD138" i="65"/>
  <c r="X124" i="65"/>
  <c r="Z76" i="65"/>
  <c r="AB76" i="65"/>
  <c r="F55" i="5" s="1"/>
  <c r="X54" i="65"/>
  <c r="AE26" i="65"/>
  <c r="AD26" i="65"/>
  <c r="X306" i="65"/>
  <c r="X82" i="65"/>
  <c r="D25" i="65"/>
  <c r="J25" i="65"/>
  <c r="D72" i="5" s="1"/>
  <c r="D75" i="5" s="1"/>
  <c r="AE12" i="65"/>
  <c r="AD12" i="65"/>
  <c r="AE306" i="65"/>
  <c r="AD306" i="65"/>
  <c r="X250" i="65"/>
  <c r="AE222" i="65"/>
  <c r="AD222" i="65"/>
  <c r="AE208" i="65"/>
  <c r="AD208" i="65"/>
  <c r="AE96" i="65"/>
  <c r="AD96" i="65"/>
  <c r="AE40" i="65"/>
  <c r="AD40" i="65"/>
  <c r="V12" i="65"/>
  <c r="X12" i="65"/>
  <c r="X208" i="65"/>
  <c r="AE124" i="65"/>
  <c r="AD124" i="65"/>
  <c r="R149" i="65"/>
  <c r="R66" i="65"/>
  <c r="R134" i="65"/>
  <c r="R210" i="65"/>
  <c r="R56" i="65"/>
  <c r="Q130" i="65"/>
  <c r="R73" i="65"/>
  <c r="J48" i="5"/>
  <c r="N39" i="65"/>
  <c r="Q25" i="65"/>
  <c r="R288" i="65"/>
  <c r="Q144" i="65"/>
  <c r="Q319" i="65"/>
  <c r="R250" i="65"/>
  <c r="R142" i="65"/>
  <c r="Q4" i="65"/>
  <c r="R116" i="65"/>
  <c r="R14" i="65"/>
  <c r="Q200" i="65"/>
  <c r="R178" i="65"/>
  <c r="R42" i="65"/>
  <c r="Q11" i="65"/>
  <c r="R158" i="65"/>
  <c r="R196" i="65"/>
  <c r="R318" i="65"/>
  <c r="N100" i="65"/>
  <c r="Q277" i="65"/>
  <c r="N47" i="5"/>
  <c r="G48" i="5"/>
  <c r="E47" i="5"/>
  <c r="F47" i="5"/>
  <c r="R104" i="65"/>
  <c r="Q95" i="65"/>
  <c r="R28" i="65"/>
  <c r="R86" i="65"/>
  <c r="C55" i="5"/>
  <c r="R241" i="65"/>
  <c r="Q257" i="65"/>
  <c r="D59" i="5"/>
  <c r="R195" i="65"/>
  <c r="R279" i="65"/>
  <c r="Q151" i="65"/>
  <c r="R55" i="65"/>
  <c r="R117" i="65"/>
  <c r="R147" i="65"/>
  <c r="Q306" i="65"/>
  <c r="N314" i="65"/>
  <c r="N45" i="5" s="1"/>
  <c r="N48" i="5"/>
  <c r="Q263" i="65"/>
  <c r="R256" i="65"/>
  <c r="R208" i="65"/>
  <c r="R310" i="65"/>
  <c r="C67" i="5"/>
  <c r="R341" i="65"/>
  <c r="R87" i="65"/>
  <c r="R269" i="65"/>
  <c r="Q74" i="65"/>
  <c r="Q123" i="65"/>
  <c r="J59" i="5"/>
  <c r="N11" i="65"/>
  <c r="R301" i="65"/>
  <c r="Q354" i="65"/>
  <c r="Q327" i="65"/>
  <c r="Q179" i="65"/>
  <c r="R218" i="65"/>
  <c r="Q165" i="65"/>
  <c r="Q60" i="65"/>
  <c r="Q333" i="65"/>
  <c r="Q235" i="65"/>
  <c r="R340" i="65"/>
  <c r="Q293" i="65"/>
  <c r="R300" i="65"/>
  <c r="R96" i="65"/>
  <c r="R188" i="65"/>
  <c r="C66" i="5"/>
  <c r="C88" i="5" s="1"/>
  <c r="R239" i="65"/>
  <c r="D48" i="5"/>
  <c r="Q137" i="65"/>
  <c r="Q46" i="65"/>
  <c r="R118" i="65"/>
  <c r="N70" i="65"/>
  <c r="R257" i="65"/>
  <c r="N192" i="65"/>
  <c r="R103" i="65"/>
  <c r="K47" i="5"/>
  <c r="E48" i="5"/>
  <c r="R177" i="65"/>
  <c r="Q320" i="65"/>
  <c r="N253" i="65"/>
  <c r="Q102" i="65"/>
  <c r="R157" i="65"/>
  <c r="X4" i="65"/>
  <c r="R311" i="65"/>
  <c r="Q265" i="65"/>
  <c r="Q326" i="65"/>
  <c r="Q270" i="65"/>
  <c r="R148" i="65"/>
  <c r="R249" i="65"/>
  <c r="J72" i="5"/>
  <c r="J75" i="5" s="1"/>
  <c r="R317" i="65"/>
  <c r="Q186" i="65"/>
  <c r="Q188" i="65"/>
  <c r="C72" i="5"/>
  <c r="C75" i="5" s="1"/>
  <c r="X242" i="65"/>
  <c r="Q221" i="65"/>
  <c r="Q258" i="65"/>
  <c r="Q356" i="65"/>
  <c r="Q312" i="65"/>
  <c r="R187" i="65"/>
  <c r="Q362" i="65"/>
  <c r="Q81" i="65"/>
  <c r="Q53" i="65"/>
  <c r="Q67" i="65"/>
  <c r="R330" i="65"/>
  <c r="X17" i="65"/>
  <c r="H47" i="5"/>
  <c r="Q335" i="65"/>
  <c r="Q158" i="65"/>
  <c r="R240" i="65"/>
  <c r="Q193" i="65"/>
  <c r="Q230" i="65"/>
  <c r="Q305" i="65"/>
  <c r="R270" i="65"/>
  <c r="Q116" i="65"/>
  <c r="Q69" i="65"/>
  <c r="N223" i="65"/>
  <c r="Q299" i="65"/>
  <c r="Q207" i="65"/>
  <c r="Q214" i="65"/>
  <c r="Q334" i="65"/>
  <c r="Q284" i="65"/>
  <c r="Q292" i="65"/>
  <c r="Q62" i="65"/>
  <c r="Q347" i="65"/>
  <c r="X255" i="65"/>
  <c r="X87" i="65"/>
  <c r="X31" i="65"/>
  <c r="L48" i="5"/>
  <c r="H66" i="5"/>
  <c r="Q12" i="65"/>
  <c r="X339" i="65"/>
  <c r="Q131" i="65"/>
  <c r="X129" i="65"/>
  <c r="Q96" i="65"/>
  <c r="Q194" i="65"/>
  <c r="Q172" i="65"/>
  <c r="AE255" i="65"/>
  <c r="AD255" i="65"/>
  <c r="D177" i="65"/>
  <c r="I20" i="5" s="1"/>
  <c r="J177" i="65"/>
  <c r="I72" i="5" s="1"/>
  <c r="I75" i="5" s="1"/>
  <c r="AE143" i="65"/>
  <c r="AD143" i="65"/>
  <c r="X45" i="65"/>
  <c r="AE31" i="65"/>
  <c r="AD31" i="65"/>
  <c r="B3" i="63"/>
  <c r="B3" i="65" s="1"/>
  <c r="B17" i="63"/>
  <c r="B17" i="65" s="1"/>
  <c r="B31" i="63"/>
  <c r="B31" i="65" s="1"/>
  <c r="B45" i="63"/>
  <c r="B45" i="65" s="1"/>
  <c r="B59" i="63"/>
  <c r="B59" i="65" s="1"/>
  <c r="B73" i="63"/>
  <c r="B73" i="65" s="1"/>
  <c r="B87" i="63"/>
  <c r="B87" i="65" s="1"/>
  <c r="B101" i="63"/>
  <c r="B101" i="65" s="1"/>
  <c r="B115" i="63"/>
  <c r="B115" i="65" s="1"/>
  <c r="B129" i="63"/>
  <c r="B129" i="65" s="1"/>
  <c r="B143" i="63"/>
  <c r="B143" i="65" s="1"/>
  <c r="B157" i="63"/>
  <c r="B157" i="65" s="1"/>
  <c r="B171" i="63"/>
  <c r="B171" i="65" s="1"/>
  <c r="B185" i="63"/>
  <c r="B185" i="65" s="1"/>
  <c r="B199" i="63"/>
  <c r="B199" i="65" s="1"/>
  <c r="B213" i="63"/>
  <c r="B213" i="65" s="1"/>
  <c r="B227" i="63"/>
  <c r="B227" i="65" s="1"/>
  <c r="B241" i="63"/>
  <c r="B241" i="65" s="1"/>
  <c r="B255" i="63"/>
  <c r="B255" i="65" s="1"/>
  <c r="B269" i="63"/>
  <c r="B269" i="65" s="1"/>
  <c r="B283" i="63"/>
  <c r="B283" i="65" s="1"/>
  <c r="B297" i="63"/>
  <c r="B297" i="65" s="1"/>
  <c r="B311" i="63"/>
  <c r="B311" i="65" s="1"/>
  <c r="B325" i="63"/>
  <c r="B325" i="65" s="1"/>
  <c r="B339" i="63"/>
  <c r="B339" i="65" s="1"/>
  <c r="B353" i="63"/>
  <c r="B353" i="65" s="1"/>
  <c r="R209" i="65"/>
  <c r="X353" i="65"/>
  <c r="X241" i="65"/>
  <c r="V185" i="65"/>
  <c r="X185" i="65"/>
  <c r="G99" i="65"/>
  <c r="N99" i="65"/>
  <c r="AE157" i="65"/>
  <c r="AD157" i="65"/>
  <c r="N161" i="65"/>
  <c r="I45" i="5" s="1"/>
  <c r="X311" i="65"/>
  <c r="AE227" i="65"/>
  <c r="AD227" i="65"/>
  <c r="AE199" i="65"/>
  <c r="AD199" i="65"/>
  <c r="T73" i="65"/>
  <c r="U73" i="65"/>
  <c r="AE185" i="65"/>
  <c r="AD185" i="65"/>
  <c r="AE87" i="65"/>
  <c r="AD87" i="65"/>
  <c r="AE73" i="65"/>
  <c r="AD73" i="65"/>
  <c r="Z60" i="65"/>
  <c r="AB60" i="65"/>
  <c r="X326" i="65"/>
  <c r="Q5" i="65"/>
  <c r="X297" i="65"/>
  <c r="AE241" i="65"/>
  <c r="AD241" i="65"/>
  <c r="X227" i="65"/>
  <c r="V171" i="65"/>
  <c r="X171" i="65"/>
  <c r="X73" i="65"/>
  <c r="T31" i="65"/>
  <c r="D66" i="5" s="1"/>
  <c r="U31" i="65"/>
  <c r="D67" i="5" s="1"/>
  <c r="Q249" i="65"/>
  <c r="Q361" i="65"/>
  <c r="AE353" i="65"/>
  <c r="AD353" i="65"/>
  <c r="AE283" i="65"/>
  <c r="AD283" i="65"/>
  <c r="Q18" i="65"/>
  <c r="Q228" i="65"/>
  <c r="D116" i="65"/>
  <c r="J116" i="65"/>
  <c r="G72" i="5" s="1"/>
  <c r="G75" i="5" s="1"/>
  <c r="AE3" i="65"/>
  <c r="AD3" i="65"/>
  <c r="C50" i="5" s="1"/>
  <c r="AE339" i="65"/>
  <c r="AD339" i="65"/>
  <c r="X283" i="65"/>
  <c r="X269" i="65"/>
  <c r="AE171" i="65"/>
  <c r="AD171" i="65"/>
  <c r="AE129" i="65"/>
  <c r="AD129" i="65"/>
  <c r="AE325" i="65"/>
  <c r="AD325" i="65"/>
  <c r="X213" i="65"/>
  <c r="X59" i="65"/>
  <c r="AE17" i="65"/>
  <c r="AD17" i="65"/>
  <c r="X200" i="65"/>
  <c r="Q298" i="65"/>
  <c r="Q285" i="65"/>
  <c r="Q166" i="65"/>
  <c r="T325" i="65"/>
  <c r="N66" i="5" s="1"/>
  <c r="U325" i="65"/>
  <c r="N67" i="5" s="1"/>
  <c r="AE101" i="65"/>
  <c r="AD101" i="65"/>
  <c r="Q340" i="65"/>
  <c r="V325" i="65"/>
  <c r="X325" i="65"/>
  <c r="AE213" i="65"/>
  <c r="AD213" i="65"/>
  <c r="X101" i="65"/>
  <c r="O69" i="65"/>
  <c r="N69" i="65"/>
  <c r="AE59" i="65"/>
  <c r="AD59" i="65"/>
  <c r="X199" i="65"/>
  <c r="T45" i="65"/>
  <c r="U45" i="65"/>
  <c r="AE311" i="65"/>
  <c r="AD311" i="65"/>
  <c r="R331" i="65"/>
  <c r="D269" i="65"/>
  <c r="L20" i="5" s="1"/>
  <c r="J269" i="65"/>
  <c r="X157" i="65"/>
  <c r="Z123" i="65"/>
  <c r="G49" i="5" s="1"/>
  <c r="AB123" i="65"/>
  <c r="G55" i="5" s="1"/>
  <c r="X115" i="65"/>
  <c r="AE45" i="65"/>
  <c r="AD45" i="65"/>
  <c r="X3" i="65"/>
  <c r="N284" i="65"/>
  <c r="Q256" i="65"/>
  <c r="AE269" i="65"/>
  <c r="AD269" i="65"/>
  <c r="X143" i="65"/>
  <c r="AE115" i="65"/>
  <c r="AD115" i="65"/>
  <c r="T87" i="65"/>
  <c r="U87" i="65"/>
  <c r="I48" i="5"/>
  <c r="Q363" i="65"/>
  <c r="I66" i="5"/>
  <c r="Q300" i="65"/>
  <c r="G66" i="5"/>
  <c r="X18" i="65"/>
  <c r="Q47" i="65"/>
  <c r="Q6" i="65"/>
  <c r="Q41" i="65"/>
  <c r="Q355" i="65"/>
  <c r="X102" i="65"/>
  <c r="X144" i="65"/>
  <c r="Q278" i="65"/>
  <c r="Q139" i="65"/>
  <c r="J66" i="5"/>
  <c r="Q250" i="65"/>
  <c r="J46" i="5"/>
  <c r="Q341" i="65"/>
  <c r="Q348" i="65"/>
  <c r="Q68" i="65"/>
  <c r="Q201" i="65"/>
  <c r="X74" i="65"/>
  <c r="X270" i="65"/>
  <c r="Q307" i="65"/>
  <c r="K67" i="5"/>
  <c r="X298" i="65"/>
  <c r="Q321" i="65"/>
  <c r="X312" i="65"/>
  <c r="I67" i="5"/>
  <c r="X172" i="65"/>
  <c r="Q286" i="65"/>
  <c r="J67" i="5"/>
  <c r="X354" i="65"/>
  <c r="Q132" i="65"/>
  <c r="X130" i="65"/>
  <c r="Q328" i="65"/>
  <c r="Q195" i="65"/>
  <c r="Q313" i="65"/>
  <c r="Q349" i="65"/>
  <c r="Q34" i="65"/>
  <c r="J55" i="5"/>
  <c r="M48" i="5"/>
  <c r="N55" i="5"/>
  <c r="Q167" i="65"/>
  <c r="Q160" i="65"/>
  <c r="Q152" i="65"/>
  <c r="X256" i="65"/>
  <c r="Q314" i="65"/>
  <c r="Q271" i="65"/>
  <c r="X340" i="65"/>
  <c r="Q138" i="65"/>
  <c r="X284" i="65"/>
  <c r="Q83" i="65"/>
  <c r="Q97" i="65"/>
  <c r="Q54" i="65"/>
  <c r="Q272" i="65"/>
  <c r="L66" i="5"/>
  <c r="X186" i="65"/>
  <c r="Q180" i="65"/>
  <c r="Q173" i="65"/>
  <c r="Q103" i="65"/>
  <c r="Q75" i="65"/>
  <c r="Q145" i="65"/>
  <c r="Q61" i="65"/>
  <c r="Q181" i="65"/>
  <c r="M66" i="5"/>
  <c r="H67" i="5"/>
  <c r="Q209" i="65"/>
  <c r="Q223" i="65"/>
  <c r="Q237" i="65"/>
  <c r="Q111" i="65"/>
  <c r="Q159" i="65"/>
  <c r="Q33" i="65"/>
  <c r="Q20" i="65"/>
  <c r="L67" i="5"/>
  <c r="Q40" i="65"/>
  <c r="X60" i="65"/>
  <c r="Q110" i="65"/>
  <c r="Q222" i="65"/>
  <c r="K46" i="5"/>
  <c r="Q82" i="65"/>
  <c r="K55" i="5"/>
  <c r="Q244" i="65"/>
  <c r="I46" i="5"/>
  <c r="Q216" i="65"/>
  <c r="Q117" i="65"/>
  <c r="Q236" i="65"/>
  <c r="M46" i="5"/>
  <c r="Q90" i="65"/>
  <c r="H46" i="5"/>
  <c r="X116" i="65"/>
  <c r="Q229" i="65"/>
  <c r="N46" i="5"/>
  <c r="L55" i="5"/>
  <c r="D46" i="5"/>
  <c r="Q187" i="65"/>
  <c r="Q174" i="65"/>
  <c r="Q76" i="65"/>
  <c r="G67" i="5"/>
  <c r="Q104" i="65"/>
  <c r="X228" i="65"/>
  <c r="M55" i="5"/>
  <c r="X214" i="65"/>
  <c r="F46" i="5"/>
  <c r="X88" i="65"/>
  <c r="G46" i="5"/>
  <c r="E46" i="5"/>
  <c r="F72" i="5"/>
  <c r="F75" i="5" s="1"/>
  <c r="D55" i="5"/>
  <c r="H48" i="5"/>
  <c r="Q264" i="65"/>
  <c r="Q243" i="65"/>
  <c r="Q55" i="65"/>
  <c r="B214" i="63"/>
  <c r="B214" i="65" s="1"/>
  <c r="B158" i="63"/>
  <c r="B158" i="65" s="1"/>
  <c r="B88" i="63"/>
  <c r="B88" i="65" s="1"/>
  <c r="B130" i="63"/>
  <c r="B130" i="65" s="1"/>
  <c r="B116" i="63"/>
  <c r="B116" i="65" s="1"/>
  <c r="B186" i="63"/>
  <c r="B186" i="65" s="1"/>
  <c r="B32" i="63"/>
  <c r="B32" i="65" s="1"/>
  <c r="B60" i="63"/>
  <c r="B60" i="65" s="1"/>
  <c r="B242" i="63"/>
  <c r="B242" i="65" s="1"/>
  <c r="B326" i="63"/>
  <c r="B326" i="65" s="1"/>
  <c r="B200" i="63"/>
  <c r="B200" i="65" s="1"/>
  <c r="B172" i="63"/>
  <c r="B172" i="65" s="1"/>
  <c r="B228" i="63"/>
  <c r="B228" i="65" s="1"/>
  <c r="B270" i="63"/>
  <c r="B270" i="65" s="1"/>
  <c r="B144" i="63"/>
  <c r="B144" i="65" s="1"/>
  <c r="B74" i="63"/>
  <c r="B74" i="65" s="1"/>
  <c r="B298" i="63"/>
  <c r="B298" i="65" s="1"/>
  <c r="B4" i="63"/>
  <c r="B4" i="65" s="1"/>
  <c r="B340" i="63"/>
  <c r="B340" i="65" s="1"/>
  <c r="B256" i="63"/>
  <c r="B256" i="65" s="1"/>
  <c r="B18" i="63"/>
  <c r="B18" i="65" s="1"/>
  <c r="B102" i="63"/>
  <c r="B102" i="65" s="1"/>
  <c r="B284" i="63"/>
  <c r="B284" i="65" s="1"/>
  <c r="B354" i="63"/>
  <c r="B354" i="65" s="1"/>
  <c r="B46" i="63"/>
  <c r="B46" i="65" s="1"/>
  <c r="B312" i="63"/>
  <c r="B312" i="65" s="1"/>
  <c r="Q124" i="65"/>
  <c r="Q26" i="65"/>
  <c r="Q19" i="65"/>
  <c r="Q215" i="65"/>
  <c r="F48" i="5"/>
  <c r="Q202" i="65"/>
  <c r="Q146" i="65"/>
  <c r="Q48" i="65"/>
  <c r="Q342" i="65"/>
  <c r="Q279" i="65"/>
  <c r="Q208" i="65"/>
  <c r="Q89" i="65"/>
  <c r="Q13" i="65"/>
  <c r="Q251" i="65"/>
  <c r="Q153" i="65"/>
  <c r="K48" i="5"/>
  <c r="Q118" i="65"/>
  <c r="K66" i="5"/>
  <c r="X32" i="65"/>
  <c r="Q125" i="65"/>
  <c r="Q27" i="65"/>
  <c r="X158" i="65"/>
  <c r="K72" i="5"/>
  <c r="K75" i="5" s="1"/>
  <c r="X46" i="65"/>
  <c r="E67" i="5" l="1"/>
  <c r="H72" i="5"/>
  <c r="H75" i="5" s="1"/>
  <c r="E66" i="5"/>
  <c r="K20" i="5"/>
  <c r="H20" i="5"/>
  <c r="G20" i="5"/>
  <c r="F20" i="5"/>
  <c r="M67" i="5"/>
  <c r="M72" i="5"/>
  <c r="M75" i="5" s="1"/>
  <c r="M57" i="5"/>
  <c r="L57" i="5"/>
  <c r="D20" i="5"/>
  <c r="C20" i="5"/>
  <c r="F49" i="5"/>
  <c r="C60" i="5"/>
  <c r="E49" i="5"/>
  <c r="L72" i="5"/>
  <c r="L75" i="5" s="1"/>
  <c r="P61" i="5"/>
  <c r="C45" i="5"/>
  <c r="C52" i="5" s="1"/>
  <c r="E57" i="5"/>
  <c r="F57" i="5"/>
  <c r="D17" i="50"/>
  <c r="E45" i="5"/>
  <c r="H45" i="5"/>
  <c r="M45" i="5"/>
  <c r="G45" i="5"/>
  <c r="E55" i="5"/>
  <c r="P55" i="5" s="1"/>
  <c r="E60" i="5"/>
  <c r="D60" i="5"/>
  <c r="M50" i="5"/>
  <c r="J45" i="5"/>
  <c r="K45" i="5"/>
  <c r="L45" i="5"/>
  <c r="P59" i="5"/>
  <c r="D45" i="5"/>
  <c r="C69" i="5"/>
  <c r="H69" i="5"/>
  <c r="L60" i="5"/>
  <c r="G60" i="5"/>
  <c r="F45" i="5"/>
  <c r="H60" i="5"/>
  <c r="J60" i="5"/>
  <c r="F60" i="5"/>
  <c r="H50" i="5"/>
  <c r="P20" i="5"/>
  <c r="K60" i="5"/>
  <c r="G50" i="5"/>
  <c r="I60" i="5"/>
  <c r="M60" i="5"/>
  <c r="C19" i="5"/>
  <c r="C28" i="5" s="1"/>
  <c r="F50" i="5"/>
  <c r="N60" i="5"/>
  <c r="P47" i="5"/>
  <c r="C95" i="5"/>
  <c r="C98" i="5" s="1"/>
  <c r="E50" i="5"/>
  <c r="K50" i="5"/>
  <c r="D50" i="5"/>
  <c r="I69" i="5"/>
  <c r="J50" i="5"/>
  <c r="L50" i="5"/>
  <c r="C56" i="5"/>
  <c r="C63" i="5" s="1"/>
  <c r="F67" i="5"/>
  <c r="P67" i="5" s="1"/>
  <c r="D69" i="5"/>
  <c r="I50" i="5"/>
  <c r="I52" i="5" s="1"/>
  <c r="N56" i="5"/>
  <c r="N69" i="5"/>
  <c r="G69" i="5"/>
  <c r="N50" i="5"/>
  <c r="N52" i="5" s="1"/>
  <c r="F66" i="5"/>
  <c r="P66" i="5" s="1"/>
  <c r="M69" i="5"/>
  <c r="E56" i="5"/>
  <c r="K69" i="5"/>
  <c r="H19" i="5"/>
  <c r="H23" i="5" s="1"/>
  <c r="D88" i="5"/>
  <c r="E88" i="5" s="1"/>
  <c r="J69" i="5"/>
  <c r="M56" i="5"/>
  <c r="J56" i="5"/>
  <c r="I19" i="5"/>
  <c r="I28" i="5" s="1"/>
  <c r="M19" i="5"/>
  <c r="M23" i="5" s="1"/>
  <c r="F19" i="5"/>
  <c r="F28" i="5" s="1"/>
  <c r="L56" i="5"/>
  <c r="G56" i="5"/>
  <c r="D56" i="5"/>
  <c r="P48" i="5"/>
  <c r="K19" i="5"/>
  <c r="K80" i="5" s="1"/>
  <c r="K82" i="5" s="1"/>
  <c r="J19" i="5"/>
  <c r="J28" i="5" s="1"/>
  <c r="I56" i="5"/>
  <c r="P46" i="5"/>
  <c r="N19" i="5"/>
  <c r="N28" i="5" s="1"/>
  <c r="K56" i="5"/>
  <c r="D19" i="5"/>
  <c r="D28" i="5" s="1"/>
  <c r="F56" i="5"/>
  <c r="L69" i="5"/>
  <c r="H56" i="5"/>
  <c r="P72" i="5"/>
  <c r="P75" i="5" s="1"/>
  <c r="E19" i="5"/>
  <c r="E28" i="5" s="1"/>
  <c r="E69" i="5"/>
  <c r="G19" i="5"/>
  <c r="L19" i="5"/>
  <c r="P49" i="5" l="1"/>
  <c r="P52" i="5" s="1"/>
  <c r="P57" i="5"/>
  <c r="E52" i="5"/>
  <c r="H52" i="5"/>
  <c r="D63" i="5"/>
  <c r="M52" i="5"/>
  <c r="E63" i="5"/>
  <c r="J52" i="5"/>
  <c r="G52" i="5"/>
  <c r="F63" i="5"/>
  <c r="C77" i="5"/>
  <c r="C10" i="5" s="1"/>
  <c r="C31" i="50" s="1"/>
  <c r="C37" i="50" s="1"/>
  <c r="P45" i="5"/>
  <c r="L52" i="5"/>
  <c r="J63" i="5"/>
  <c r="H63" i="5"/>
  <c r="L63" i="5"/>
  <c r="D52" i="5"/>
  <c r="K52" i="5"/>
  <c r="I63" i="5"/>
  <c r="I77" i="5" s="1"/>
  <c r="I10" i="5" s="1"/>
  <c r="G63" i="5"/>
  <c r="M63" i="5"/>
  <c r="K63" i="5"/>
  <c r="C23" i="5"/>
  <c r="C27" i="5"/>
  <c r="C80" i="5"/>
  <c r="C82" i="5" s="1"/>
  <c r="C26" i="5"/>
  <c r="D95" i="5"/>
  <c r="D98" i="5" s="1"/>
  <c r="P60" i="5"/>
  <c r="F52" i="5"/>
  <c r="N63" i="5"/>
  <c r="N77" i="5" s="1"/>
  <c r="N10" i="5" s="1"/>
  <c r="P50" i="5"/>
  <c r="H26" i="5"/>
  <c r="H80" i="5"/>
  <c r="H82" i="5" s="1"/>
  <c r="H27" i="5"/>
  <c r="H28" i="5"/>
  <c r="F88" i="5"/>
  <c r="G88" i="5" s="1"/>
  <c r="H88" i="5" s="1"/>
  <c r="I88" i="5" s="1"/>
  <c r="J88" i="5" s="1"/>
  <c r="K88" i="5" s="1"/>
  <c r="L88" i="5" s="1"/>
  <c r="M88" i="5" s="1"/>
  <c r="N88" i="5" s="1"/>
  <c r="F69" i="5"/>
  <c r="F23" i="5"/>
  <c r="F27" i="5"/>
  <c r="F80" i="5"/>
  <c r="F82" i="5" s="1"/>
  <c r="I80" i="5"/>
  <c r="I82" i="5" s="1"/>
  <c r="D26" i="5"/>
  <c r="I26" i="5"/>
  <c r="I27" i="5"/>
  <c r="M28" i="5"/>
  <c r="M27" i="5"/>
  <c r="M26" i="5"/>
  <c r="F26" i="5"/>
  <c r="M80" i="5"/>
  <c r="M82" i="5" s="1"/>
  <c r="K28" i="5"/>
  <c r="I23" i="5"/>
  <c r="K26" i="5"/>
  <c r="J80" i="5"/>
  <c r="J82" i="5" s="1"/>
  <c r="J27" i="5"/>
  <c r="D23" i="5"/>
  <c r="J26" i="5"/>
  <c r="D80" i="5"/>
  <c r="D82" i="5" s="1"/>
  <c r="D27" i="5"/>
  <c r="K23" i="5"/>
  <c r="J23" i="5"/>
  <c r="K27" i="5"/>
  <c r="N27" i="5"/>
  <c r="P69" i="5"/>
  <c r="N23" i="5"/>
  <c r="N80" i="5"/>
  <c r="N82" i="5" s="1"/>
  <c r="N26" i="5"/>
  <c r="P56" i="5"/>
  <c r="G80" i="5"/>
  <c r="G82" i="5" s="1"/>
  <c r="G27" i="5"/>
  <c r="G26" i="5"/>
  <c r="G23" i="5"/>
  <c r="G28" i="5"/>
  <c r="L26" i="5"/>
  <c r="L23" i="5"/>
  <c r="L80" i="5"/>
  <c r="L82" i="5" s="1"/>
  <c r="L27" i="5"/>
  <c r="L28" i="5"/>
  <c r="P19" i="5"/>
  <c r="E27" i="5"/>
  <c r="E80" i="5"/>
  <c r="E82" i="5" s="1"/>
  <c r="E26" i="5"/>
  <c r="E23" i="5"/>
  <c r="E77" i="5" l="1"/>
  <c r="E10" i="5" s="1"/>
  <c r="D77" i="5"/>
  <c r="D10" i="5" s="1"/>
  <c r="H77" i="5"/>
  <c r="H10" i="5" s="1"/>
  <c r="D9" i="50"/>
  <c r="L77" i="5"/>
  <c r="L10" i="5" s="1"/>
  <c r="J77" i="5"/>
  <c r="J10" i="5" s="1"/>
  <c r="M77" i="5"/>
  <c r="M10" i="5" s="1"/>
  <c r="G77" i="5"/>
  <c r="G10" i="5" s="1"/>
  <c r="P63" i="5"/>
  <c r="P77" i="5" s="1"/>
  <c r="E95" i="5"/>
  <c r="F95" i="5" s="1"/>
  <c r="K77" i="5"/>
  <c r="K10" i="5" s="1"/>
  <c r="F77" i="5"/>
  <c r="F10" i="5" s="1"/>
  <c r="C89" i="5"/>
  <c r="D89" i="5" s="1"/>
  <c r="E89" i="5" s="1"/>
  <c r="F89" i="5" s="1"/>
  <c r="G89" i="5" s="1"/>
  <c r="H89" i="5" s="1"/>
  <c r="I89" i="5" s="1"/>
  <c r="J89" i="5" s="1"/>
  <c r="K89" i="5" s="1"/>
  <c r="L89" i="5" s="1"/>
  <c r="M89" i="5" s="1"/>
  <c r="N89" i="5" s="1"/>
  <c r="C30" i="5"/>
  <c r="C32" i="5" s="1"/>
  <c r="H30" i="5"/>
  <c r="H32" i="5" s="1"/>
  <c r="H42" i="5" s="1"/>
  <c r="H9" i="5" s="1"/>
  <c r="D30" i="5"/>
  <c r="D32" i="5" s="1"/>
  <c r="D42" i="5" s="1"/>
  <c r="D9" i="5" s="1"/>
  <c r="F30" i="5"/>
  <c r="F32" i="5" s="1"/>
  <c r="F42" i="5" s="1"/>
  <c r="F9" i="5" s="1"/>
  <c r="I30" i="5"/>
  <c r="I32" i="5" s="1"/>
  <c r="I42" i="5" s="1"/>
  <c r="I9" i="5" s="1"/>
  <c r="I12" i="5" s="1"/>
  <c r="M30" i="5"/>
  <c r="M32" i="5" s="1"/>
  <c r="M42" i="5" s="1"/>
  <c r="M9" i="5" s="1"/>
  <c r="K30" i="5"/>
  <c r="K32" i="5" s="1"/>
  <c r="K42" i="5" s="1"/>
  <c r="K9" i="5" s="1"/>
  <c r="K12" i="5" s="1"/>
  <c r="J30" i="5"/>
  <c r="J32" i="5" s="1"/>
  <c r="J42" i="5" s="1"/>
  <c r="J9" i="5" s="1"/>
  <c r="C32" i="50"/>
  <c r="C38" i="50" s="1"/>
  <c r="C39" i="50" s="1"/>
  <c r="E30" i="5"/>
  <c r="E32" i="5" s="1"/>
  <c r="E42" i="5" s="1"/>
  <c r="E9" i="5" s="1"/>
  <c r="N30" i="5"/>
  <c r="N32" i="5" s="1"/>
  <c r="N42" i="5" s="1"/>
  <c r="N9" i="5" s="1"/>
  <c r="N11" i="5" s="1"/>
  <c r="P28" i="5"/>
  <c r="P23" i="5"/>
  <c r="P27" i="5"/>
  <c r="G30" i="5"/>
  <c r="G32" i="5" s="1"/>
  <c r="G42" i="5" s="1"/>
  <c r="G9" i="5" s="1"/>
  <c r="L30" i="5"/>
  <c r="P80" i="5"/>
  <c r="P82" i="5" s="1"/>
  <c r="P26" i="5"/>
  <c r="D11" i="5" l="1"/>
  <c r="H11" i="5"/>
  <c r="D10" i="50"/>
  <c r="J11" i="5"/>
  <c r="M11" i="5"/>
  <c r="E98" i="5"/>
  <c r="D12" i="5"/>
  <c r="P10" i="5"/>
  <c r="F11" i="5"/>
  <c r="H12" i="5"/>
  <c r="N12" i="5"/>
  <c r="I11" i="5"/>
  <c r="F12" i="5"/>
  <c r="M12" i="5"/>
  <c r="K11" i="5"/>
  <c r="J12" i="5"/>
  <c r="C33" i="50"/>
  <c r="C40" i="50" s="1"/>
  <c r="P30" i="5"/>
  <c r="L32" i="5"/>
  <c r="L42" i="5" s="1"/>
  <c r="L9" i="5" s="1"/>
  <c r="L11" i="5" s="1"/>
  <c r="G11" i="5"/>
  <c r="G12" i="5"/>
  <c r="E12" i="5"/>
  <c r="E11" i="5"/>
  <c r="C42" i="5"/>
  <c r="C9" i="5" s="1"/>
  <c r="F98" i="5"/>
  <c r="G95" i="5"/>
  <c r="P32" i="5" l="1"/>
  <c r="P42" i="5" s="1"/>
  <c r="L12" i="5"/>
  <c r="G98" i="5"/>
  <c r="H95" i="5"/>
  <c r="P9" i="5"/>
  <c r="P12" i="5" s="1"/>
  <c r="C11" i="5"/>
  <c r="C12" i="5"/>
  <c r="C15" i="5" l="1"/>
  <c r="P11" i="5"/>
  <c r="H98" i="5"/>
  <c r="I95" i="5"/>
  <c r="I98" i="5" l="1"/>
  <c r="J95" i="5"/>
  <c r="D15" i="5"/>
  <c r="C85" i="5"/>
  <c r="C93" i="5" s="1"/>
  <c r="C100" i="5" s="1"/>
  <c r="C16" i="5" s="1"/>
  <c r="D85" i="5" l="1"/>
  <c r="D93" i="5" s="1"/>
  <c r="D100" i="5" s="1"/>
  <c r="D16" i="5" s="1"/>
  <c r="E15" i="5"/>
  <c r="J98" i="5"/>
  <c r="K95" i="5"/>
  <c r="L95" i="5" l="1"/>
  <c r="K98" i="5"/>
  <c r="E85" i="5"/>
  <c r="E93" i="5" s="1"/>
  <c r="E100" i="5" s="1"/>
  <c r="E16" i="5" s="1"/>
  <c r="F15" i="5"/>
  <c r="F85" i="5" l="1"/>
  <c r="F93" i="5" s="1"/>
  <c r="F100" i="5" s="1"/>
  <c r="F16" i="5" s="1"/>
  <c r="G15" i="5"/>
  <c r="L98" i="5"/>
  <c r="M95" i="5"/>
  <c r="M98" i="5" l="1"/>
  <c r="N95" i="5"/>
  <c r="H15" i="5"/>
  <c r="G85" i="5"/>
  <c r="G93" i="5" s="1"/>
  <c r="G100" i="5" s="1"/>
  <c r="G16" i="5" s="1"/>
  <c r="H85" i="5" l="1"/>
  <c r="H93" i="5" s="1"/>
  <c r="H100" i="5" s="1"/>
  <c r="H16" i="5" s="1"/>
  <c r="I15" i="5"/>
  <c r="D16" i="50"/>
  <c r="N98" i="5"/>
  <c r="D19" i="50" s="1"/>
  <c r="J15" i="5" l="1"/>
  <c r="I85" i="5"/>
  <c r="I93" i="5" s="1"/>
  <c r="I100" i="5" s="1"/>
  <c r="I16" i="5" s="1"/>
  <c r="J85" i="5" l="1"/>
  <c r="J93" i="5" s="1"/>
  <c r="J100" i="5" s="1"/>
  <c r="J16" i="5" s="1"/>
  <c r="K15" i="5"/>
  <c r="L15" i="5" l="1"/>
  <c r="K85" i="5"/>
  <c r="K93" i="5" s="1"/>
  <c r="K100" i="5" s="1"/>
  <c r="K16" i="5" s="1"/>
  <c r="L85" i="5" l="1"/>
  <c r="L93" i="5" s="1"/>
  <c r="L100" i="5" s="1"/>
  <c r="L16" i="5" s="1"/>
  <c r="M15" i="5"/>
  <c r="N15" i="5" l="1"/>
  <c r="M85" i="5"/>
  <c r="M93" i="5" s="1"/>
  <c r="M100" i="5" s="1"/>
  <c r="M16" i="5" s="1"/>
  <c r="N85" i="5" l="1"/>
  <c r="P15" i="5"/>
  <c r="H4" i="46" s="1"/>
  <c r="N93" i="5" l="1"/>
  <c r="D6" i="50"/>
  <c r="I4" i="46" l="1"/>
  <c r="N100" i="5"/>
  <c r="D14" i="50"/>
  <c r="N16" i="5" l="1"/>
  <c r="P16" i="5" s="1"/>
  <c r="D21" i="50"/>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<sst xmlns="http://schemas.openxmlformats.org/spreadsheetml/2006/main" count="808" uniqueCount="335">
  <si>
    <t>Rent</t>
  </si>
  <si>
    <t>Groceries</t>
  </si>
  <si>
    <t>Food &amp; Drinks</t>
  </si>
  <si>
    <t>Account</t>
  </si>
  <si>
    <t>Balance</t>
  </si>
  <si>
    <t>Statement</t>
  </si>
  <si>
    <t>Loans</t>
  </si>
  <si>
    <t>Cash</t>
  </si>
  <si>
    <t>Amount</t>
  </si>
  <si>
    <t>Bonus</t>
  </si>
  <si>
    <t>Friend Fees</t>
  </si>
  <si>
    <t>Selling &amp; Refunds</t>
  </si>
  <si>
    <t>Brokerage Cashout</t>
  </si>
  <si>
    <t>INVESTMENTS</t>
  </si>
  <si>
    <t>DEBT PAYMENTS</t>
  </si>
  <si>
    <t>Avg. Value (¢)</t>
  </si>
  <si>
    <t>Investments</t>
  </si>
  <si>
    <t>Credit Cards</t>
  </si>
  <si>
    <t>Social Security</t>
  </si>
  <si>
    <t>Gross Earnings</t>
  </si>
  <si>
    <t>Transportation</t>
  </si>
  <si>
    <t>Line Item</t>
  </si>
  <si>
    <t>Effective Date</t>
  </si>
  <si>
    <t>Taxes</t>
  </si>
  <si>
    <t>EARNINGS</t>
  </si>
  <si>
    <t>Total INFLOWS</t>
  </si>
  <si>
    <t>Net from Gross Earnings</t>
  </si>
  <si>
    <t>Other Earnings</t>
  </si>
  <si>
    <t>Other Inflows</t>
  </si>
  <si>
    <t>Next Twelve Months (NTM)</t>
  </si>
  <si>
    <t>Retirement</t>
  </si>
  <si>
    <t>Brokerage</t>
  </si>
  <si>
    <t>Housing</t>
  </si>
  <si>
    <t>FLEXIBLE OUTFLOWS</t>
  </si>
  <si>
    <t>Total OUTFLOWS</t>
  </si>
  <si>
    <t>Total FIXED OUTFLOWS</t>
  </si>
  <si>
    <t>Due Day</t>
  </si>
  <si>
    <t>SUMMARY</t>
  </si>
  <si>
    <t>Inflows</t>
  </si>
  <si>
    <t>Outflows</t>
  </si>
  <si>
    <t>NET WORTH</t>
  </si>
  <si>
    <t>x</t>
  </si>
  <si>
    <t>ENDING BALANCES</t>
  </si>
  <si>
    <t>Item</t>
  </si>
  <si>
    <t>Amt</t>
  </si>
  <si>
    <t>Move to/(from) Master</t>
  </si>
  <si>
    <t>Master balance</t>
  </si>
  <si>
    <t>Percentage</t>
  </si>
  <si>
    <t>Electricity</t>
  </si>
  <si>
    <t>Gas / Oil</t>
  </si>
  <si>
    <t>Water / Sewer</t>
  </si>
  <si>
    <t>Trash</t>
  </si>
  <si>
    <t>Internet</t>
  </si>
  <si>
    <t>Auto Fuel</t>
  </si>
  <si>
    <t>Parking / Tolls</t>
  </si>
  <si>
    <t>Dry Cleaning</t>
  </si>
  <si>
    <t>Laundry</t>
  </si>
  <si>
    <t>Groceries / Food</t>
  </si>
  <si>
    <t>Home Supplies</t>
  </si>
  <si>
    <t>Outside Childcare (daycare, etc.)</t>
  </si>
  <si>
    <t>Healthcare / Insurance</t>
  </si>
  <si>
    <t>Dental Care / Insurance</t>
  </si>
  <si>
    <t>Vision Care / Insurance</t>
  </si>
  <si>
    <t>Life Insurance</t>
  </si>
  <si>
    <t>Medicine / Prescriptions</t>
  </si>
  <si>
    <t>Veterinarian</t>
  </si>
  <si>
    <t>Auto Insurance</t>
  </si>
  <si>
    <t>Auto Registration / License</t>
  </si>
  <si>
    <t>Home / Rental Insurance</t>
  </si>
  <si>
    <t>Home Owners' Assoc. Fees</t>
  </si>
  <si>
    <t>Property Taxes</t>
  </si>
  <si>
    <t>School Taxes</t>
  </si>
  <si>
    <t>REQUIRED OUTFLOWS</t>
  </si>
  <si>
    <t>Dining Out</t>
  </si>
  <si>
    <t>Concerts / Plays</t>
  </si>
  <si>
    <t>Sports</t>
  </si>
  <si>
    <t>Gym Membership</t>
  </si>
  <si>
    <t>Home Improvement</t>
  </si>
  <si>
    <t>Home Security</t>
  </si>
  <si>
    <t>Lawn / Garden</t>
  </si>
  <si>
    <t>Pet Boarding</t>
  </si>
  <si>
    <t>Beer / Alcohol</t>
  </si>
  <si>
    <t>Pension</t>
  </si>
  <si>
    <t>Severance</t>
  </si>
  <si>
    <t>Other</t>
  </si>
  <si>
    <t>Inflow</t>
  </si>
  <si>
    <t>NON CASH</t>
  </si>
  <si>
    <t>Retirement Deductions</t>
  </si>
  <si>
    <t>Brokerage Contributions</t>
  </si>
  <si>
    <t>Retirement Contributions</t>
  </si>
  <si>
    <t>Employer Retirement Contributions</t>
  </si>
  <si>
    <t>Note</t>
  </si>
  <si>
    <t>Balances</t>
  </si>
  <si>
    <t>Recurring</t>
  </si>
  <si>
    <t>Planned</t>
  </si>
  <si>
    <t>Other Deductions</t>
  </si>
  <si>
    <t>FORMULA</t>
  </si>
  <si>
    <t>=</t>
  </si>
  <si>
    <t>Cash flows</t>
  </si>
  <si>
    <t>Net CASH FLOW</t>
  </si>
  <si>
    <t>ASSETS</t>
  </si>
  <si>
    <t>LIABILITIES</t>
  </si>
  <si>
    <t>Master cash account</t>
  </si>
  <si>
    <t>Other savings balance</t>
  </si>
  <si>
    <t>System</t>
  </si>
  <si>
    <t>Upside Value</t>
  </si>
  <si>
    <t>Cash Value</t>
  </si>
  <si>
    <t>STATIC INPUT</t>
  </si>
  <si>
    <t>FREQUENT INPUT</t>
  </si>
  <si>
    <t>Master</t>
  </si>
  <si>
    <t>All other banking/cash accounts that you don't have spend out of (typically higher interest rates)</t>
  </si>
  <si>
    <t>Savings</t>
  </si>
  <si>
    <t>NT</t>
  </si>
  <si>
    <t>Move to/(from) same-bank savings</t>
  </si>
  <si>
    <t>Number of month's outflows per account</t>
  </si>
  <si>
    <t>Master bank</t>
  </si>
  <si>
    <t>Move to/(from) best yield savings</t>
  </si>
  <si>
    <t>Institution</t>
  </si>
  <si>
    <t>N/A</t>
  </si>
  <si>
    <t>Same-bank balance (excludes Master)</t>
  </si>
  <si>
    <t>Flow of funds actions</t>
  </si>
  <si>
    <t>+additional in Master bank</t>
  </si>
  <si>
    <t>+additional in Savings</t>
  </si>
  <si>
    <t>Total outflow preparedness</t>
  </si>
  <si>
    <t>Master bank accounts</t>
  </si>
  <si>
    <t>All savings</t>
  </si>
  <si>
    <t>Current total cash account balance</t>
  </si>
  <si>
    <t>Date</t>
  </si>
  <si>
    <t>Account minimums</t>
  </si>
  <si>
    <t>Same-bank savings balance</t>
  </si>
  <si>
    <t>CURRENT</t>
  </si>
  <si>
    <t>Total Securities</t>
  </si>
  <si>
    <t>Cash + Securities</t>
  </si>
  <si>
    <t>Net Worth</t>
  </si>
  <si>
    <t>NTM End Cash</t>
  </si>
  <si>
    <t>NTM End Cash + Securities</t>
  </si>
  <si>
    <t>Current</t>
  </si>
  <si>
    <t>NTM</t>
  </si>
  <si>
    <t>TOTAL</t>
  </si>
  <si>
    <t>Account rebalancing</t>
  </si>
  <si>
    <t>SUMMARY tabs</t>
  </si>
  <si>
    <t>Where you will add inputs</t>
  </si>
  <si>
    <t>WORKING tabs</t>
  </si>
  <si>
    <t>AD HOC tabs</t>
  </si>
  <si>
    <t>HELPER tabs</t>
  </si>
  <si>
    <t>Inform calculations in other tabs</t>
  </si>
  <si>
    <t>Flexible to create your own tabs for calculations or tracking. There may be cases where you feed the result into a WORKING TAB</t>
  </si>
  <si>
    <t>Terms</t>
  </si>
  <si>
    <t>Color coding</t>
  </si>
  <si>
    <t>Rewards Upside Value</t>
  </si>
  <si>
    <t>FUTURE CASH FLOW CHANGES</t>
  </si>
  <si>
    <t>Asset</t>
  </si>
  <si>
    <t>Real Asset</t>
  </si>
  <si>
    <t>Car</t>
  </si>
  <si>
    <t>House</t>
  </si>
  <si>
    <t>Phone</t>
  </si>
  <si>
    <t>Auto Maintenance</t>
  </si>
  <si>
    <t>Home Maintenance</t>
  </si>
  <si>
    <t>Car Maintenance</t>
  </si>
  <si>
    <t>Salary/Wages</t>
  </si>
  <si>
    <t>Current Due Date</t>
  </si>
  <si>
    <t>Require no inputs. These are output tabs that auto populate as changes are made in WORKING tabs</t>
  </si>
  <si>
    <t>Don’t forget accounts like Venmo, Apple Cash, Starbucks, physical cash or sportsbooks</t>
  </si>
  <si>
    <t>Move to/(from) Master bank</t>
  </si>
  <si>
    <t>Net Change (+/-)</t>
  </si>
  <si>
    <t>Excl. Financing/Investing Activities</t>
  </si>
  <si>
    <t>Friend Payment</t>
  </si>
  <si>
    <t>Friend Receivable</t>
  </si>
  <si>
    <t>Outflow safety helper</t>
  </si>
  <si>
    <t>Not financial advice</t>
  </si>
  <si>
    <t>Projected asset balances doesn’t account for yield</t>
  </si>
  <si>
    <t>DEFINITIONS</t>
  </si>
  <si>
    <t>INFLOWS</t>
  </si>
  <si>
    <t>Total EARNINGS</t>
  </si>
  <si>
    <t>Line Items</t>
  </si>
  <si>
    <t>Hide the Helper and DEV tabs</t>
  </si>
  <si>
    <t>Compare vs prior version to log upgrades</t>
  </si>
  <si>
    <t>Recurrance Base</t>
  </si>
  <si>
    <t>Day</t>
  </si>
  <si>
    <t>Week</t>
  </si>
  <si>
    <t>Month</t>
  </si>
  <si>
    <t>Year</t>
  </si>
  <si>
    <t>Line Item →</t>
  </si>
  <si>
    <t>Start date →</t>
  </si>
  <si>
    <t>Dates →</t>
  </si>
  <si>
    <t>Data validation</t>
  </si>
  <si>
    <t>Same amount of formula columns in each intermediate tab</t>
  </si>
  <si>
    <t>Add column here</t>
  </si>
  <si>
    <t>Less Precedents &amp; Deductions</t>
  </si>
  <si>
    <t>T+1 Payment</t>
  </si>
  <si>
    <t>Current (T) Due Date</t>
  </si>
  <si>
    <t>Current (T) Payment</t>
  </si>
  <si>
    <t>T+1 Due Date</t>
  </si>
  <si>
    <t>Brokerage Withdrawal</t>
  </si>
  <si>
    <t>Assets</t>
  </si>
  <si>
    <t>Medication &amp; Supplements</t>
  </si>
  <si>
    <t>Hide Helper rows in NTM</t>
  </si>
  <si>
    <t>–</t>
  </si>
  <si>
    <t>Split into TEMPLATE and EXAMPLE files</t>
  </si>
  <si>
    <t>Support more recurrences, like every 3 months or every 90 days</t>
  </si>
  <si>
    <t>Allow user inputs of cash redemption and average value of loyalty points inputs</t>
  </si>
  <si>
    <t>Simplified loan and credit card payments into Recurring tab</t>
  </si>
  <si>
    <t>Separated graphics into their own tab</t>
  </si>
  <si>
    <t>Bolstered guidance throughout</t>
  </si>
  <si>
    <t>Removed some un-used inputs/columns</t>
  </si>
  <si>
    <t>Added custom formulas to simplify some inputs</t>
  </si>
  <si>
    <t xml:space="preserve">Credit Cards </t>
  </si>
  <si>
    <t xml:space="preserve">Loans </t>
  </si>
  <si>
    <t xml:space="preserve">Retirement </t>
  </si>
  <si>
    <t xml:space="preserve">Brokerage </t>
  </si>
  <si>
    <t xml:space="preserve">Cash </t>
  </si>
  <si>
    <t xml:space="preserve">Rewards Upside Value </t>
  </si>
  <si>
    <t>Cash Flow</t>
  </si>
  <si>
    <t>Balance Sheet</t>
  </si>
  <si>
    <t>Other cash balances</t>
  </si>
  <si>
    <t>Loyalty Points &amp; Miles cash value</t>
  </si>
  <si>
    <t>OUTFLOWS</t>
  </si>
  <si>
    <t>Row limits</t>
  </si>
  <si>
    <t>Loyalty Points &amp; Miles</t>
  </si>
  <si>
    <t>Precedents</t>
  </si>
  <si>
    <t>Changes</t>
  </si>
  <si>
    <t>Tabs sections</t>
  </si>
  <si>
    <t>DISCLAIMERS</t>
  </si>
  <si>
    <t>Where to start</t>
  </si>
  <si>
    <t>1)</t>
  </si>
  <si>
    <t>Start inputting your data into rows, starting with the Assets tab and moving right through all the blue tabs</t>
  </si>
  <si>
    <t>2)</t>
  </si>
  <si>
    <t>In the Blanket tab, be sure to designate one checking account as Master. That account is designated to have all deposits and spending flow out of it</t>
  </si>
  <si>
    <t>3)</t>
  </si>
  <si>
    <t>4)</t>
  </si>
  <si>
    <t>Update regularly and use the recommended actions to rebalance accounts each time</t>
  </si>
  <si>
    <t>Any Due Date</t>
  </si>
  <si>
    <t>Every nth time</t>
  </si>
  <si>
    <t>Recurrence →</t>
  </si>
  <si>
    <t>Occurrence base →</t>
  </si>
  <si>
    <t>Cable / Satellite</t>
  </si>
  <si>
    <t>Public Transpiration</t>
  </si>
  <si>
    <t>Brokerage Deposits</t>
  </si>
  <si>
    <t>401K Deposits</t>
  </si>
  <si>
    <t>IRA Deposit</t>
  </si>
  <si>
    <t>Dependent</t>
  </si>
  <si>
    <t>Projected loan balances doesn’t account for interest accruals</t>
  </si>
  <si>
    <t>Review the NTM tab as your input details and watch how the next twelve months change</t>
  </si>
  <si>
    <t>Checking account that all outflow/spending will flow out of</t>
  </si>
  <si>
    <t>Investment accounts that don't have pre-retirement withdrawal penalties (more liquid but don't really want to sell if you don’t have to)</t>
  </si>
  <si>
    <t>Investment accounts that have pre-retirement withdrawal penalties (long term lock-ups)</t>
  </si>
  <si>
    <t>Next twelve (i.e. NTM = next twelve months)</t>
  </si>
  <si>
    <t>Cash Redemption Value (¢)</t>
  </si>
  <si>
    <t>Recurrence Base</t>
  </si>
  <si>
    <t>Dependent On</t>
  </si>
  <si>
    <t>Create TEMPLATE version and delete inputs and blue text boxes</t>
  </si>
  <si>
    <t>Spell check and freeze frames in each tab</t>
  </si>
  <si>
    <t>Automatic calculations</t>
  </si>
  <si>
    <t>v5</t>
  </si>
  <si>
    <t>v6</t>
  </si>
  <si>
    <t>Description</t>
  </si>
  <si>
    <t>Category</t>
  </si>
  <si>
    <t>Tags</t>
  </si>
  <si>
    <t>Restaurants</t>
  </si>
  <si>
    <t>Online Services</t>
  </si>
  <si>
    <t>Entertainment</t>
  </si>
  <si>
    <t>Refunds &amp; Reimbursements</t>
  </si>
  <si>
    <t>Travel</t>
  </si>
  <si>
    <t>Clothing/Shoes</t>
  </si>
  <si>
    <t>General Merchandise</t>
  </si>
  <si>
    <t>Personal Care</t>
  </si>
  <si>
    <t>Paychecks/Salary</t>
  </si>
  <si>
    <t>Other Expenses</t>
  </si>
  <si>
    <t>Cable/Satellite</t>
  </si>
  <si>
    <t>Utilities</t>
  </si>
  <si>
    <t>Gifts</t>
  </si>
  <si>
    <t>Deposits</t>
  </si>
  <si>
    <t>ATM/Cash</t>
  </si>
  <si>
    <t>Charitable Giving</t>
  </si>
  <si>
    <t>Healthcare/Medical</t>
  </si>
  <si>
    <t>Gasoline/Fuel</t>
  </si>
  <si>
    <t>Dues &amp; Subscriptions</t>
  </si>
  <si>
    <t>Hobbies</t>
  </si>
  <si>
    <t>Service Charges/Fees</t>
  </si>
  <si>
    <t>Insurance</t>
  </si>
  <si>
    <t>Telephone</t>
  </si>
  <si>
    <t>Electronics</t>
  </si>
  <si>
    <t>Other Income</t>
  </si>
  <si>
    <t>Rewards</t>
  </si>
  <si>
    <t>Interest</t>
  </si>
  <si>
    <t>PASTE</t>
  </si>
  <si>
    <t>Date vF</t>
  </si>
  <si>
    <t>Empower Category</t>
  </si>
  <si>
    <t>Events &amp; Entertainment</t>
  </si>
  <si>
    <t>Shopping</t>
  </si>
  <si>
    <t>Health &amp; Personal Care</t>
  </si>
  <si>
    <t>Other Flexible Outflows</t>
  </si>
  <si>
    <t>Potential Items</t>
  </si>
  <si>
    <t>CF or BS</t>
  </si>
  <si>
    <t>Sub-Type</t>
  </si>
  <si>
    <t>Behavior</t>
  </si>
  <si>
    <t>Flexible Outflow</t>
  </si>
  <si>
    <t>Required Outflow</t>
  </si>
  <si>
    <t>Debt Payments</t>
  </si>
  <si>
    <t>Statement paydown</t>
  </si>
  <si>
    <t>Student loan payment</t>
  </si>
  <si>
    <t>Non-Cash</t>
  </si>
  <si>
    <t>Salary &amp; Paychecks</t>
  </si>
  <si>
    <t>Other Required Outflows</t>
  </si>
  <si>
    <t>Trip</t>
  </si>
  <si>
    <t>Vacation</t>
  </si>
  <si>
    <t>Socks</t>
  </si>
  <si>
    <t>Shoes</t>
  </si>
  <si>
    <t>Month_Last30</t>
  </si>
  <si>
    <t>Day_Last30</t>
  </si>
  <si>
    <t>Week_Last30</t>
  </si>
  <si>
    <t>Year_Last30</t>
  </si>
  <si>
    <t>Year_FullRange</t>
  </si>
  <si>
    <t>Year_LTM</t>
  </si>
  <si>
    <t>Month_LTM</t>
  </si>
  <si>
    <t>Month_FullRange</t>
  </si>
  <si>
    <t>Week_LTM</t>
  </si>
  <si>
    <t>Week_FullRange</t>
  </si>
  <si>
    <t>Day_LTM</t>
  </si>
  <si>
    <t>Day_FullRange</t>
  </si>
  <si>
    <t>Supporting Empower Personal Dashboard transaction data imports</t>
  </si>
  <si>
    <t>Formulas to sync Empower transaction data to recurring inputs</t>
  </si>
  <si>
    <t>Manual inputs that are input once or infrequently (like the list of accounts you have)</t>
  </si>
  <si>
    <t>Manual inputs each time you open up the budget (like balances)</t>
  </si>
  <si>
    <t>EndOfCurrentMonth formula for Recurring and Credit Cards tabs</t>
  </si>
  <si>
    <t>Easily hide unused rows in NTM tab</t>
  </si>
  <si>
    <t>Allow sorting on Credit Cards, Loyalty Points &amp; Miles, Changes and Planned tabs</t>
  </si>
  <si>
    <t>Metadata to identify model version</t>
  </si>
  <si>
    <t>Real Assets</t>
  </si>
  <si>
    <t>Liability Accounts</t>
  </si>
  <si>
    <t>~99</t>
  </si>
  <si>
    <r>
      <t xml:space="preserve">FIRST: Visit the following site and follow the directions to </t>
    </r>
    <r>
      <rPr>
        <i/>
        <sz val="10"/>
        <color rgb="FF000000"/>
        <rFont val="Arial"/>
        <family val="2"/>
        <scheme val="minor"/>
      </rPr>
      <t>Unblock a single file</t>
    </r>
  </si>
  <si>
    <t>https://support.microsoft.com/en-us/topic/a-potentially-dangerous-macro-has-been-blocked-0952faa0-37e7-4316-b61d-5b5ed6024216</t>
  </si>
  <si>
    <t>GETTING STARTED</t>
  </si>
  <si>
    <t>THEN: Close this file and reopen. Click yes in the pop-up.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</si>
</sst>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_(#,##0_);\(#,##0\)"/>
    <numFmt numFmtId="165" formatCode="_(#,##0.00_);\(#,##0.00\)"/>
    <numFmt numFmtId="166" formatCode="mmm"/>
    <numFmt numFmtId="167" formatCode="_(* #,##0_);_(* \(#,##0\);_(* &quot;-&quot;??_);_(@_)"/>
    <numFmt numFmtId="168" formatCode="_(#,##0.00_)%;\(#,##0.00\)%"/>
    <numFmt numFmtId="169" formatCode="_(#,##0_);\(#,##0\);_(* &quot;–&quot;_);_(@_)"/>
    <numFmt numFmtId="170" formatCode="_(#,##0_);\(#,##0\);_(* &quot;– &quot;_);_(@_)"/>
    <numFmt numFmtId="171" formatCode="ddd\ yyyy/mm/dd"/>
  </numFmts>
  <fonts count="52" x14ac:knownFonts="1">
    <font>
      <sz val="10"/>
      <color rgb="FF000000"/>
      <name val="Arial"/>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rgb="FF000000"/>
      <name val="Arial"/>
      <family val="2"/>
      <scheme val="minor"/>
    </font>
    <font>
      <u/>
      <sz val="10"/>
      <color theme="10"/>
      <name val="Arial"/>
      <family val="2"/>
      <scheme val="minor"/>
    </font>
    <font>
      <b/>
      <sz val="10"/>
      <color indexed="8"/>
      <name val="Arial"/>
      <family val="2"/>
      <scheme val="major"/>
    </font>
    <font>
      <b/>
      <sz val="10"/>
      <name val="Arial"/>
      <family val="2"/>
      <scheme val="major"/>
    </font>
    <font>
      <sz val="10"/>
      <color indexed="8"/>
      <name val="Arial"/>
      <family val="2"/>
      <scheme val="major"/>
    </font>
    <font>
      <sz val="10"/>
      <name val="Arial"/>
      <family val="2"/>
      <scheme val="major"/>
    </font>
    <font>
      <i/>
      <sz val="10"/>
      <name val="Arial"/>
      <family val="2"/>
      <scheme val="major"/>
    </font>
    <font>
      <i/>
      <sz val="10"/>
      <color indexed="8"/>
      <name val="Arial"/>
      <family val="2"/>
      <scheme val="major"/>
    </font>
    <font>
      <b/>
      <sz val="10"/>
      <color theme="0"/>
      <name val="Arial"/>
      <family val="2"/>
      <scheme val="major"/>
    </font>
    <font>
      <sz val="10"/>
      <color theme="0"/>
      <name val="Arial"/>
      <family val="2"/>
      <scheme val="major"/>
    </font>
    <font>
      <b/>
      <sz val="10"/>
      <color rgb="FF333333"/>
      <name val="Arial"/>
      <family val="2"/>
      <scheme val="major"/>
    </font>
    <font>
      <u/>
      <sz val="10"/>
      <color theme="10"/>
      <name val="Arial"/>
      <family val="2"/>
      <scheme val="major"/>
    </font>
    <font>
      <i/>
      <sz val="10"/>
      <color theme="0" tint="-0.499984740745262"/>
      <name val="Arial"/>
      <family val="2"/>
      <scheme val="major"/>
    </font>
    <font>
      <sz val="10"/>
      <color rgb="FF0000FF"/>
      <name val="Arial"/>
      <family val="2"/>
      <scheme val="minor"/>
    </font>
    <font>
      <b/>
      <sz val="10"/>
      <color rgb="FF000000"/>
      <name val="Arial"/>
      <family val="2"/>
      <scheme val="minor"/>
    </font>
    <font>
      <b/>
      <u val="singleAccounting"/>
      <sz val="10"/>
      <color rgb="FF000000"/>
      <name val="Arial"/>
      <family val="2"/>
      <scheme val="minor"/>
    </font>
    <font>
      <sz val="10"/>
      <name val="Arial"/>
      <family val="2"/>
      <scheme val="minor"/>
    </font>
    <font>
      <b/>
      <sz val="10"/>
      <name val="Arial"/>
      <family val="2"/>
      <scheme val="minor"/>
    </font>
    <font>
      <b/>
      <u val="singleAccounting"/>
      <sz val="10"/>
      <name val="Arial"/>
      <family val="2"/>
      <scheme val="minor"/>
    </font>
    <font>
      <sz val="10"/>
      <color rgb="FFFF0000"/>
      <name val="Arial"/>
      <family val="2"/>
      <scheme val="minor"/>
    </font>
    <font>
      <b/>
      <sz val="10"/>
      <color theme="0"/>
      <name val="Arial"/>
      <family val="2"/>
      <scheme val="minor"/>
    </font>
    <font>
      <i/>
      <sz val="10"/>
      <color rgb="FFFF0000"/>
      <name val="Arial"/>
      <family val="2"/>
      <scheme val="major"/>
    </font>
    <font>
      <i/>
      <sz val="10"/>
      <color theme="0"/>
      <name val="Arial"/>
      <family val="2"/>
      <scheme val="major"/>
    </font>
    <font>
      <i/>
      <sz val="8"/>
      <name val="Arial"/>
      <family val="2"/>
      <scheme val="minor"/>
    </font>
    <font>
      <b/>
      <i/>
      <u val="singleAccounting"/>
      <sz val="8"/>
      <name val="Arial"/>
      <family val="2"/>
      <scheme val="minor"/>
    </font>
    <font>
      <i/>
      <u/>
      <sz val="10"/>
      <name val="Arial"/>
      <family val="2"/>
      <scheme val="major"/>
    </font>
    <font>
      <i/>
      <u/>
      <sz val="10"/>
      <color indexed="8"/>
      <name val="Arial"/>
      <family val="2"/>
      <scheme val="major"/>
    </font>
    <font>
      <i/>
      <u/>
      <sz val="10"/>
      <color rgb="FF000000"/>
      <name val="Arial"/>
      <family val="2"/>
      <scheme val="minor"/>
    </font>
    <font>
      <sz val="10"/>
      <color indexed="8"/>
      <name val="Arial"/>
      <family val="2"/>
    </font>
    <font>
      <b/>
      <u val="singleAccounting"/>
      <sz val="10"/>
      <color indexed="8"/>
      <name val="Arial"/>
      <family val="2"/>
      <scheme val="major"/>
    </font>
    <font>
      <sz val="10"/>
      <color theme="7" tint="-0.249977111117893"/>
      <name val="Arial"/>
      <family val="2"/>
      <scheme val="minor"/>
    </font>
    <font>
      <sz val="10"/>
      <color rgb="FF000000"/>
      <name val="Arial"/>
      <family val="2"/>
    </font>
    <font>
      <b/>
      <u/>
      <sz val="10"/>
      <color indexed="8"/>
      <name val="Arial"/>
      <family val="2"/>
      <scheme val="major"/>
    </font>
    <font>
      <b/>
      <u/>
      <sz val="10"/>
      <color rgb="FF000000"/>
      <name val="Arial"/>
      <family val="2"/>
      <scheme val="minor"/>
    </font>
    <font>
      <sz val="10"/>
      <color rgb="FFFF0000"/>
      <name val="Arial"/>
      <family val="2"/>
      <scheme val="major"/>
    </font>
    <font>
      <sz val="10"/>
      <color theme="0"/>
      <name val="Arial"/>
      <family val="2"/>
      <scheme val="minor"/>
    </font>
    <font>
      <i/>
      <sz val="10"/>
      <color rgb="FF000000"/>
      <name val="Arial"/>
      <family val="2"/>
      <scheme val="minor"/>
    </font>
    <font>
      <u/>
      <sz val="10"/>
      <color rgb="FF000000"/>
      <name val="Arial"/>
      <family val="2"/>
    </font>
    <font>
      <sz val="8"/>
      <color indexed="8"/>
      <name val="Arial"/>
      <family val="2"/>
      <scheme val="major"/>
    </font>
    <font>
      <b/>
      <sz val="8"/>
      <color indexed="8"/>
      <name val="Arial"/>
      <family val="2"/>
      <scheme val="major"/>
    </font>
    <font>
      <b/>
      <sz val="8"/>
      <name val="Arial"/>
      <family val="2"/>
      <scheme val="major"/>
    </font>
    <font>
      <sz val="8"/>
      <name val="Arial"/>
      <family val="2"/>
      <scheme val="major"/>
    </font>
    <font>
      <sz val="10"/>
      <name val="Arial"/>
      <family val="2"/>
    </font>
    <font>
      <u/>
      <sz val="10"/>
      <color rgb="FF000000"/>
      <name val="Arial"/>
      <family val="2"/>
      <scheme val="minor"/>
    </font>
    <font>
      <b/>
      <u val="singleAccounting"/>
      <sz val="10"/>
      <name val="Arial"/>
      <family val="2"/>
    </font>
    <font>
      <b/>
      <i/>
      <u/>
      <sz val="10"/>
      <color rgb="FFFF0000"/>
      <name val="Arial"/>
      <family val="2"/>
      <scheme val="major"/>
    </font>
  </fonts>
  <fills count="20">
    <fill>
      <patternFill patternType="none"/>
    </fill>
    <fill>
      <patternFill patternType="gray125"/>
    </fill>
    <fill>
      <patternFill patternType="solid">
        <fgColor theme="7"/>
        <bgColor indexed="64"/>
      </patternFill>
    </fill>
    <fill>
      <patternFill patternType="solid">
        <fgColor theme="0"/>
        <bgColor indexed="64"/>
      </patternFill>
    </fill>
    <fill>
      <patternFill patternType="solid">
        <fgColor theme="1" tint="0.34998626667073579"/>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3"/>
        <bgColor indexed="64"/>
      </patternFill>
    </fill>
    <fill>
      <patternFill patternType="solid">
        <fgColor theme="4" tint="0.79998168889431442"/>
        <bgColor indexed="64"/>
      </patternFill>
    </fill>
    <fill>
      <patternFill patternType="solid">
        <fgColor theme="5"/>
        <bgColor indexed="64"/>
      </patternFill>
    </fill>
    <fill>
      <patternFill patternType="solid">
        <fgColor theme="6" tint="0.39997558519241921"/>
        <bgColor indexed="64"/>
      </patternFill>
    </fill>
    <fill>
      <patternFill patternType="solid">
        <fgColor theme="1"/>
        <bgColor indexed="64"/>
      </patternFill>
    </fill>
    <fill>
      <patternFill patternType="solid">
        <fgColor rgb="FF0000FF"/>
        <bgColor indexed="64"/>
      </patternFill>
    </fill>
    <fill>
      <patternFill patternType="solid">
        <fgColor theme="9" tint="0.79998168889431442"/>
        <bgColor indexed="64"/>
      </patternFill>
    </fill>
    <fill>
      <patternFill patternType="solid">
        <fgColor theme="4" tint="0.39997558519241921"/>
        <bgColor indexed="64"/>
      </patternFill>
    </fill>
    <fill>
      <patternFill patternType="solid">
        <fgColor theme="5" tint="0.79998168889431442"/>
        <bgColor indexed="64"/>
      </patternFill>
    </fill>
    <fill>
      <patternFill patternType="solid">
        <fgColor theme="4"/>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6"/>
        <bgColor indexed="64"/>
      </patternFill>
    </fill>
  </fills>
  <borders count="20">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auto="1"/>
      </top>
      <bottom/>
      <diagonal/>
    </border>
    <border>
      <left/>
      <right style="thin">
        <color indexed="64"/>
      </right>
      <top style="thin">
        <color indexed="64"/>
      </top>
      <bottom/>
      <diagonal/>
    </border>
    <border>
      <left style="thin">
        <color indexed="64"/>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style="thin">
        <color indexed="64"/>
      </right>
      <top/>
      <bottom/>
      <diagonal/>
    </border>
    <border>
      <left style="thin">
        <color auto="1"/>
      </left>
      <right/>
      <top/>
      <bottom style="thin">
        <color auto="1"/>
      </bottom>
      <diagonal/>
    </border>
    <border>
      <left/>
      <right/>
      <top/>
      <bottom style="thin">
        <color indexed="64"/>
      </bottom>
      <diagonal/>
    </border>
    <border>
      <left/>
      <right style="thin">
        <color auto="1"/>
      </right>
      <top/>
      <bottom style="thin">
        <color auto="1"/>
      </bottom>
      <diagonal/>
    </border>
    <border>
      <left/>
      <right style="thin">
        <color theme="0" tint="-0.14993743705557422"/>
      </right>
      <top style="thin">
        <color theme="0" tint="-0.14996795556505021"/>
      </top>
      <bottom style="thin">
        <color auto="1"/>
      </bottom>
      <diagonal/>
    </border>
    <border>
      <left style="thin">
        <color theme="0" tint="-0.14996795556505021"/>
      </left>
      <right style="thin">
        <color theme="0" tint="-0.14996795556505021"/>
      </right>
      <top style="thin">
        <color indexed="64"/>
      </top>
      <bottom style="thin">
        <color theme="0" tint="-0.14996795556505021"/>
      </bottom>
      <diagonal/>
    </border>
    <border>
      <left style="thin">
        <color theme="0" tint="-0.14996795556505021"/>
      </left>
      <right style="thin">
        <color indexed="64"/>
      </right>
      <top style="thin">
        <color indexed="64"/>
      </top>
      <bottom style="thin">
        <color theme="0" tint="-0.14996795556505021"/>
      </bottom>
      <diagonal/>
    </border>
    <border>
      <left style="thin">
        <color theme="0" tint="-0.14996795556505021"/>
      </left>
      <right style="thin">
        <color indexed="64"/>
      </right>
      <top style="thin">
        <color theme="0" tint="-0.14996795556505021"/>
      </top>
      <bottom style="thin">
        <color theme="0" tint="-0.14996795556505021"/>
      </bottom>
      <diagonal/>
    </border>
  </borders>
  <cellStyleXfs count="10">
    <xf numFmtId="0" fontId="0" fillId="0" borderId="0"/>
    <xf numFmtId="43" fontId="6" fillId="0" borderId="0" applyFont="0" applyFill="0" applyBorder="0" applyAlignment="0" applyProtection="0"/>
    <xf numFmtId="0" fontId="7" fillId="0" borderId="0" applyNumberFormat="0" applyFill="0" applyBorder="0" applyAlignment="0" applyProtection="0"/>
    <xf numFmtId="0" fontId="5" fillId="0" borderId="0"/>
    <xf numFmtId="0" fontId="4" fillId="0" borderId="0"/>
    <xf numFmtId="0" fontId="3" fillId="0" borderId="0"/>
    <xf numFmtId="0" fontId="6" fillId="0" borderId="0"/>
    <xf numFmtId="0" fontId="2" fillId="0" borderId="0"/>
    <xf numFmtId="0" fontId="2" fillId="0" borderId="0"/>
    <xf numFmtId="0" fontId="2" fillId="0" borderId="0"/>
  </cellStyleXfs>
  <cellXfs count="238">
    <xf numFmtId="0" fontId="0" fillId="0" borderId="0" xfId="0"/>
    <xf numFmtId="164" fontId="0" fillId="0" borderId="0" xfId="0" applyNumberFormat="1"/>
    <xf numFmtId="165" fontId="0" fillId="0" borderId="0" xfId="0" applyNumberFormat="1"/>
    <xf numFmtId="0" fontId="9" fillId="2" borderId="0" xfId="0" applyFont="1" applyFill="1"/>
    <xf numFmtId="14" fontId="9" fillId="2" borderId="0" xfId="0" applyNumberFormat="1" applyFont="1" applyFill="1"/>
    <xf numFmtId="0" fontId="10" fillId="0" borderId="0" xfId="0" applyFont="1"/>
    <xf numFmtId="164" fontId="10" fillId="0" borderId="0" xfId="0" applyNumberFormat="1" applyFont="1"/>
    <xf numFmtId="166" fontId="9" fillId="3" borderId="2" xfId="0" applyNumberFormat="1" applyFont="1" applyFill="1" applyBorder="1" applyAlignment="1">
      <alignment horizontal="center" vertical="center"/>
    </xf>
    <xf numFmtId="0" fontId="8" fillId="0" borderId="0" xfId="0" applyFont="1" applyAlignment="1">
      <alignment vertical="center"/>
    </xf>
    <xf numFmtId="164" fontId="8" fillId="0" borderId="0" xfId="0" applyNumberFormat="1" applyFont="1" applyAlignment="1">
      <alignment horizontal="center" vertical="center"/>
    </xf>
    <xf numFmtId="0" fontId="8" fillId="0" borderId="0" xfId="0" applyFont="1" applyAlignment="1">
      <alignment horizontal="center" vertical="center"/>
    </xf>
    <xf numFmtId="0" fontId="8" fillId="0" borderId="0" xfId="0" applyFont="1"/>
    <xf numFmtId="14" fontId="10" fillId="0" borderId="0" xfId="0" applyNumberFormat="1" applyFont="1" applyAlignment="1">
      <alignment horizontal="right"/>
    </xf>
    <xf numFmtId="164" fontId="11" fillId="0" borderId="0" xfId="0" applyNumberFormat="1" applyFont="1"/>
    <xf numFmtId="164" fontId="12" fillId="0" borderId="0" xfId="0" applyNumberFormat="1" applyFont="1"/>
    <xf numFmtId="167" fontId="10" fillId="0" borderId="0" xfId="1" applyNumberFormat="1" applyFont="1" applyFill="1" applyBorder="1"/>
    <xf numFmtId="164" fontId="13" fillId="3" borderId="0" xfId="0" applyNumberFormat="1" applyFont="1" applyFill="1"/>
    <xf numFmtId="164" fontId="8" fillId="0" borderId="0" xfId="0" applyNumberFormat="1" applyFont="1" applyAlignment="1">
      <alignment horizontal="right"/>
    </xf>
    <xf numFmtId="167" fontId="10" fillId="0" borderId="0" xfId="0" applyNumberFormat="1" applyFont="1"/>
    <xf numFmtId="43" fontId="16" fillId="0" borderId="0" xfId="1" applyFont="1"/>
    <xf numFmtId="164" fontId="16" fillId="0" borderId="0" xfId="1" applyNumberFormat="1" applyFont="1"/>
    <xf numFmtId="166" fontId="10" fillId="0" borderId="0" xfId="0" applyNumberFormat="1" applyFont="1"/>
    <xf numFmtId="0" fontId="17" fillId="0" borderId="0" xfId="2" applyFont="1" applyBorder="1"/>
    <xf numFmtId="0" fontId="21" fillId="0" borderId="0" xfId="0" applyFont="1"/>
    <xf numFmtId="164" fontId="21" fillId="0" borderId="0" xfId="0" applyNumberFormat="1" applyFont="1"/>
    <xf numFmtId="168" fontId="0" fillId="0" borderId="0" xfId="0" applyNumberFormat="1"/>
    <xf numFmtId="165" fontId="21" fillId="0" borderId="0" xfId="0" applyNumberFormat="1" applyFont="1"/>
    <xf numFmtId="0" fontId="0" fillId="11" borderId="0" xfId="0" applyFill="1"/>
    <xf numFmtId="0" fontId="6" fillId="0" borderId="0" xfId="0" applyFont="1"/>
    <xf numFmtId="165" fontId="26" fillId="12" borderId="0" xfId="0" applyNumberFormat="1" applyFont="1" applyFill="1"/>
    <xf numFmtId="168" fontId="21" fillId="0" borderId="0" xfId="0" applyNumberFormat="1" applyFont="1"/>
    <xf numFmtId="14" fontId="0" fillId="0" borderId="0" xfId="0" applyNumberFormat="1"/>
    <xf numFmtId="14" fontId="10" fillId="0" borderId="0" xfId="3" applyNumberFormat="1" applyFont="1"/>
    <xf numFmtId="0" fontId="10" fillId="0" borderId="0" xfId="3" applyFont="1"/>
    <xf numFmtId="0" fontId="13" fillId="0" borderId="0" xfId="0" applyFont="1"/>
    <xf numFmtId="14" fontId="22" fillId="0" borderId="0" xfId="0" applyNumberFormat="1" applyFont="1"/>
    <xf numFmtId="14" fontId="21" fillId="0" borderId="0" xfId="0" applyNumberFormat="1" applyFont="1"/>
    <xf numFmtId="14" fontId="6" fillId="0" borderId="0" xfId="0" applyNumberFormat="1" applyFont="1"/>
    <xf numFmtId="0" fontId="24" fillId="0" borderId="0" xfId="0" applyFont="1"/>
    <xf numFmtId="164" fontId="24" fillId="0" borderId="0" xfId="0" applyNumberFormat="1" applyFont="1"/>
    <xf numFmtId="0" fontId="22" fillId="0" borderId="0" xfId="0" applyFont="1"/>
    <xf numFmtId="164" fontId="22" fillId="0" borderId="0" xfId="0" applyNumberFormat="1" applyFont="1"/>
    <xf numFmtId="0" fontId="13" fillId="3" borderId="0" xfId="0" applyFont="1" applyFill="1"/>
    <xf numFmtId="0" fontId="13" fillId="3" borderId="0" xfId="0" applyFont="1" applyFill="1" applyAlignment="1">
      <alignment vertical="center"/>
    </xf>
    <xf numFmtId="0" fontId="27" fillId="3" borderId="0" xfId="0" applyFont="1" applyFill="1"/>
    <xf numFmtId="164" fontId="10" fillId="3" borderId="0" xfId="0" applyNumberFormat="1" applyFont="1" applyFill="1"/>
    <xf numFmtId="0" fontId="28" fillId="3" borderId="0" xfId="0" applyFont="1" applyFill="1"/>
    <xf numFmtId="169" fontId="9" fillId="3" borderId="0" xfId="0" applyNumberFormat="1" applyFont="1" applyFill="1" applyAlignment="1">
      <alignment horizontal="center" vertical="center"/>
    </xf>
    <xf numFmtId="169" fontId="13" fillId="3" borderId="0" xfId="0" applyNumberFormat="1" applyFont="1" applyFill="1" applyAlignment="1">
      <alignment vertical="center"/>
    </xf>
    <xf numFmtId="169" fontId="14" fillId="4" borderId="0" xfId="0" applyNumberFormat="1" applyFont="1" applyFill="1" applyAlignment="1">
      <alignment horizontal="center" vertical="center"/>
    </xf>
    <xf numFmtId="169" fontId="10" fillId="3" borderId="0" xfId="0" applyNumberFormat="1" applyFont="1" applyFill="1" applyAlignment="1">
      <alignment horizontal="right" vertical="center"/>
    </xf>
    <xf numFmtId="169" fontId="13" fillId="3" borderId="0" xfId="0" applyNumberFormat="1" applyFont="1" applyFill="1"/>
    <xf numFmtId="169" fontId="27" fillId="3" borderId="0" xfId="0" applyNumberFormat="1" applyFont="1" applyFill="1"/>
    <xf numFmtId="169" fontId="11" fillId="3" borderId="0" xfId="0" applyNumberFormat="1" applyFont="1" applyFill="1"/>
    <xf numFmtId="169" fontId="18" fillId="3" borderId="0" xfId="0" applyNumberFormat="1" applyFont="1" applyFill="1"/>
    <xf numFmtId="169" fontId="10" fillId="3" borderId="0" xfId="0" applyNumberFormat="1" applyFont="1" applyFill="1"/>
    <xf numFmtId="0" fontId="26" fillId="7" borderId="0" xfId="0" applyFont="1" applyFill="1"/>
    <xf numFmtId="164" fontId="26" fillId="7" borderId="0" xfId="0" applyNumberFormat="1" applyFont="1" applyFill="1"/>
    <xf numFmtId="164" fontId="24" fillId="0" borderId="0" xfId="0" applyNumberFormat="1" applyFont="1" applyAlignment="1">
      <alignment horizontal="centerContinuous"/>
    </xf>
    <xf numFmtId="0" fontId="29" fillId="0" borderId="0" xfId="0" applyFont="1"/>
    <xf numFmtId="0" fontId="30" fillId="0" borderId="0" xfId="0" applyFont="1"/>
    <xf numFmtId="0" fontId="23" fillId="2" borderId="0" xfId="0" applyFont="1" applyFill="1"/>
    <xf numFmtId="0" fontId="13" fillId="3" borderId="0" xfId="0" applyFont="1" applyFill="1" applyAlignment="1">
      <alignment horizontal="right"/>
    </xf>
    <xf numFmtId="0" fontId="9" fillId="2" borderId="0" xfId="2" applyNumberFormat="1" applyFont="1" applyFill="1" applyBorder="1"/>
    <xf numFmtId="0" fontId="10" fillId="3" borderId="0" xfId="0" applyFont="1" applyFill="1"/>
    <xf numFmtId="0" fontId="14" fillId="4" borderId="0" xfId="0" applyFont="1" applyFill="1"/>
    <xf numFmtId="0" fontId="8" fillId="13" borderId="4" xfId="0" applyFont="1" applyFill="1" applyBorder="1" applyAlignment="1">
      <alignment horizontal="right" vertical="center"/>
    </xf>
    <xf numFmtId="0" fontId="11" fillId="3" borderId="0" xfId="0" applyFont="1" applyFill="1" applyAlignment="1">
      <alignment horizontal="right"/>
    </xf>
    <xf numFmtId="0" fontId="14" fillId="5" borderId="7" xfId="0" applyFont="1" applyFill="1" applyBorder="1"/>
    <xf numFmtId="0" fontId="11" fillId="3" borderId="10" xfId="0" applyFont="1" applyFill="1" applyBorder="1"/>
    <xf numFmtId="0" fontId="11" fillId="3" borderId="0" xfId="0" applyFont="1" applyFill="1"/>
    <xf numFmtId="0" fontId="11" fillId="13" borderId="10" xfId="0" applyFont="1" applyFill="1" applyBorder="1" applyAlignment="1">
      <alignment horizontal="right"/>
    </xf>
    <xf numFmtId="0" fontId="31" fillId="3" borderId="10" xfId="0" applyFont="1" applyFill="1" applyBorder="1"/>
    <xf numFmtId="0" fontId="11" fillId="6" borderId="13" xfId="0" applyFont="1" applyFill="1" applyBorder="1" applyAlignment="1">
      <alignment horizontal="right"/>
    </xf>
    <xf numFmtId="0" fontId="14" fillId="5" borderId="7" xfId="0" applyFont="1" applyFill="1" applyBorder="1" applyAlignment="1">
      <alignment horizontal="left"/>
    </xf>
    <xf numFmtId="0" fontId="9" fillId="10" borderId="4" xfId="0" applyFont="1" applyFill="1" applyBorder="1"/>
    <xf numFmtId="0" fontId="14" fillId="7" borderId="7" xfId="0" applyFont="1" applyFill="1" applyBorder="1"/>
    <xf numFmtId="0" fontId="11" fillId="3" borderId="10" xfId="0" applyFont="1" applyFill="1" applyBorder="1" applyAlignment="1">
      <alignment horizontal="left"/>
    </xf>
    <xf numFmtId="0" fontId="0" fillId="3" borderId="10" xfId="0" applyFill="1" applyBorder="1"/>
    <xf numFmtId="0" fontId="11" fillId="8" borderId="13" xfId="0" applyFont="1" applyFill="1" applyBorder="1" applyAlignment="1">
      <alignment horizontal="right"/>
    </xf>
    <xf numFmtId="0" fontId="9" fillId="14" borderId="4" xfId="0" applyFont="1" applyFill="1" applyBorder="1"/>
    <xf numFmtId="0" fontId="14" fillId="9" borderId="7" xfId="0" applyFont="1" applyFill="1" applyBorder="1"/>
    <xf numFmtId="0" fontId="9" fillId="13" borderId="10" xfId="0" applyFont="1" applyFill="1" applyBorder="1" applyAlignment="1">
      <alignment horizontal="right"/>
    </xf>
    <xf numFmtId="0" fontId="9" fillId="15" borderId="13" xfId="0" applyFont="1" applyFill="1" applyBorder="1" applyAlignment="1">
      <alignment horizontal="right"/>
    </xf>
    <xf numFmtId="0" fontId="10" fillId="13" borderId="0" xfId="0" applyFont="1" applyFill="1" applyAlignment="1">
      <alignment horizontal="left" vertical="center"/>
    </xf>
    <xf numFmtId="0" fontId="32" fillId="3" borderId="0" xfId="0" applyFont="1" applyFill="1" applyAlignment="1">
      <alignment horizontal="left" vertical="center"/>
    </xf>
    <xf numFmtId="165" fontId="23" fillId="2" borderId="0" xfId="0" applyNumberFormat="1" applyFont="1" applyFill="1"/>
    <xf numFmtId="0" fontId="26" fillId="16" borderId="0" xfId="0" applyFont="1" applyFill="1"/>
    <xf numFmtId="0" fontId="6" fillId="0" borderId="0" xfId="0" quotePrefix="1" applyFont="1"/>
    <xf numFmtId="168" fontId="26" fillId="16" borderId="0" xfId="0" applyNumberFormat="1" applyFont="1" applyFill="1"/>
    <xf numFmtId="0" fontId="20" fillId="17" borderId="0" xfId="0" applyFont="1" applyFill="1"/>
    <xf numFmtId="164" fontId="20" fillId="17" borderId="0" xfId="0" applyNumberFormat="1" applyFont="1" applyFill="1"/>
    <xf numFmtId="0" fontId="6" fillId="3" borderId="0" xfId="0" applyFont="1" applyFill="1"/>
    <xf numFmtId="164" fontId="0" fillId="3" borderId="0" xfId="0" applyNumberFormat="1" applyFill="1"/>
    <xf numFmtId="0" fontId="33" fillId="3" borderId="0" xfId="0" applyFont="1" applyFill="1"/>
    <xf numFmtId="0" fontId="9" fillId="3" borderId="3" xfId="0" applyFont="1" applyFill="1" applyBorder="1" applyAlignment="1">
      <alignment horizontal="center" vertical="center" wrapText="1"/>
    </xf>
    <xf numFmtId="170" fontId="11" fillId="3" borderId="0" xfId="0" applyNumberFormat="1" applyFont="1" applyFill="1"/>
    <xf numFmtId="170" fontId="10" fillId="3" borderId="0" xfId="0" applyNumberFormat="1" applyFont="1" applyFill="1" applyAlignment="1">
      <alignment horizontal="right" vertical="center"/>
    </xf>
    <xf numFmtId="170" fontId="10" fillId="13" borderId="0" xfId="0" applyNumberFormat="1" applyFont="1" applyFill="1" applyAlignment="1">
      <alignment horizontal="right" vertical="center"/>
    </xf>
    <xf numFmtId="170" fontId="10" fillId="13" borderId="0" xfId="0" applyNumberFormat="1" applyFont="1" applyFill="1"/>
    <xf numFmtId="170" fontId="8" fillId="13" borderId="5" xfId="0" applyNumberFormat="1" applyFont="1" applyFill="1" applyBorder="1" applyAlignment="1">
      <alignment horizontal="right" vertical="center"/>
    </xf>
    <xf numFmtId="170" fontId="8" fillId="13" borderId="6" xfId="0" applyNumberFormat="1" applyFont="1" applyFill="1" applyBorder="1"/>
    <xf numFmtId="170" fontId="8" fillId="3" borderId="0" xfId="0" applyNumberFormat="1" applyFont="1" applyFill="1"/>
    <xf numFmtId="170" fontId="15" fillId="5" borderId="8" xfId="0" applyNumberFormat="1" applyFont="1" applyFill="1" applyBorder="1" applyAlignment="1">
      <alignment horizontal="center"/>
    </xf>
    <xf numFmtId="170" fontId="15" fillId="5" borderId="9" xfId="0" applyNumberFormat="1" applyFont="1" applyFill="1" applyBorder="1" applyAlignment="1">
      <alignment horizontal="center"/>
    </xf>
    <xf numFmtId="170" fontId="11" fillId="3" borderId="11" xfId="0" applyNumberFormat="1" applyFont="1" applyFill="1" applyBorder="1"/>
    <xf numFmtId="170" fontId="11" fillId="3" borderId="12" xfId="0" applyNumberFormat="1" applyFont="1" applyFill="1" applyBorder="1"/>
    <xf numFmtId="170" fontId="11" fillId="13" borderId="0" xfId="0" applyNumberFormat="1" applyFont="1" applyFill="1"/>
    <xf numFmtId="170" fontId="11" fillId="13" borderId="12" xfId="0" applyNumberFormat="1" applyFont="1" applyFill="1" applyBorder="1"/>
    <xf numFmtId="170" fontId="11" fillId="6" borderId="14" xfId="0" applyNumberFormat="1" applyFont="1" applyFill="1" applyBorder="1"/>
    <xf numFmtId="170" fontId="11" fillId="6" borderId="15" xfId="0" applyNumberFormat="1" applyFont="1" applyFill="1" applyBorder="1"/>
    <xf numFmtId="170" fontId="9" fillId="10" borderId="5" xfId="0" applyNumberFormat="1" applyFont="1" applyFill="1" applyBorder="1"/>
    <xf numFmtId="170" fontId="9" fillId="10" borderId="6" xfId="0" applyNumberFormat="1" applyFont="1" applyFill="1" applyBorder="1"/>
    <xf numFmtId="170" fontId="11" fillId="8" borderId="14" xfId="0" applyNumberFormat="1" applyFont="1" applyFill="1" applyBorder="1"/>
    <xf numFmtId="170" fontId="11" fillId="8" borderId="16" xfId="0" applyNumberFormat="1" applyFont="1" applyFill="1" applyBorder="1"/>
    <xf numFmtId="170" fontId="11" fillId="8" borderId="15" xfId="0" applyNumberFormat="1" applyFont="1" applyFill="1" applyBorder="1"/>
    <xf numFmtId="170" fontId="11" fillId="14" borderId="5" xfId="0" applyNumberFormat="1" applyFont="1" applyFill="1" applyBorder="1"/>
    <xf numFmtId="170" fontId="9" fillId="14" borderId="5" xfId="0" applyNumberFormat="1" applyFont="1" applyFill="1" applyBorder="1"/>
    <xf numFmtId="170" fontId="9" fillId="14" borderId="6" xfId="0" applyNumberFormat="1" applyFont="1" applyFill="1" applyBorder="1"/>
    <xf numFmtId="170" fontId="11" fillId="6" borderId="16" xfId="0" applyNumberFormat="1" applyFont="1" applyFill="1" applyBorder="1"/>
    <xf numFmtId="170" fontId="15" fillId="9" borderId="8" xfId="0" applyNumberFormat="1" applyFont="1" applyFill="1" applyBorder="1" applyAlignment="1">
      <alignment horizontal="center"/>
    </xf>
    <xf numFmtId="170" fontId="9" fillId="13" borderId="0" xfId="0" applyNumberFormat="1" applyFont="1" applyFill="1"/>
    <xf numFmtId="170" fontId="9" fillId="15" borderId="14" xfId="0" applyNumberFormat="1" applyFont="1" applyFill="1" applyBorder="1"/>
    <xf numFmtId="0" fontId="34" fillId="0" borderId="0" xfId="0" applyFont="1"/>
    <xf numFmtId="165" fontId="24" fillId="0" borderId="0" xfId="0" applyNumberFormat="1" applyFont="1"/>
    <xf numFmtId="165" fontId="26" fillId="16" borderId="0" xfId="0" applyNumberFormat="1" applyFont="1" applyFill="1"/>
    <xf numFmtId="0" fontId="25" fillId="0" borderId="0" xfId="0" applyFont="1"/>
    <xf numFmtId="14" fontId="11" fillId="0" borderId="0" xfId="0" applyNumberFormat="1" applyFont="1" applyAlignment="1">
      <alignment horizontal="right"/>
    </xf>
    <xf numFmtId="164" fontId="36" fillId="0" borderId="0" xfId="0" applyNumberFormat="1" applyFont="1"/>
    <xf numFmtId="0" fontId="10" fillId="0" borderId="0" xfId="5" applyFont="1" applyAlignment="1">
      <alignment horizontal="center" wrapText="1"/>
    </xf>
    <xf numFmtId="14" fontId="35" fillId="0" borderId="0" xfId="5" applyNumberFormat="1" applyFont="1" applyAlignment="1">
      <alignment horizontal="left" wrapText="1"/>
    </xf>
    <xf numFmtId="164" fontId="35" fillId="0" borderId="0" xfId="5" applyNumberFormat="1" applyFont="1" applyAlignment="1">
      <alignment horizontal="center" wrapText="1"/>
    </xf>
    <xf numFmtId="0" fontId="10" fillId="0" borderId="0" xfId="5" applyFont="1"/>
    <xf numFmtId="14" fontId="38" fillId="0" borderId="0" xfId="5" applyNumberFormat="1" applyFont="1" applyAlignment="1">
      <alignment horizontal="center" wrapText="1"/>
    </xf>
    <xf numFmtId="164" fontId="38" fillId="0" borderId="0" xfId="5" applyNumberFormat="1" applyFont="1" applyAlignment="1">
      <alignment horizontal="center" wrapText="1"/>
    </xf>
    <xf numFmtId="0" fontId="8" fillId="18" borderId="4" xfId="5" applyFont="1" applyFill="1" applyBorder="1"/>
    <xf numFmtId="14" fontId="8" fillId="18" borderId="5" xfId="5" applyNumberFormat="1" applyFont="1" applyFill="1" applyBorder="1" applyAlignment="1">
      <alignment horizontal="left"/>
    </xf>
    <xf numFmtId="164" fontId="8" fillId="18" borderId="5" xfId="5" applyNumberFormat="1" applyFont="1" applyFill="1" applyBorder="1"/>
    <xf numFmtId="164" fontId="8" fillId="18" borderId="6" xfId="5" applyNumberFormat="1" applyFont="1" applyFill="1" applyBorder="1"/>
    <xf numFmtId="14" fontId="10" fillId="0" borderId="0" xfId="5" applyNumberFormat="1" applyFont="1" applyAlignment="1">
      <alignment horizontal="left"/>
    </xf>
    <xf numFmtId="164" fontId="10" fillId="0" borderId="0" xfId="5" applyNumberFormat="1" applyFont="1"/>
    <xf numFmtId="0" fontId="3" fillId="0" borderId="0" xfId="5"/>
    <xf numFmtId="166" fontId="9" fillId="3" borderId="1" xfId="0" applyNumberFormat="1" applyFont="1" applyFill="1" applyBorder="1" applyAlignment="1">
      <alignment horizontal="center" vertical="center"/>
    </xf>
    <xf numFmtId="166" fontId="9" fillId="3" borderId="3" xfId="0" applyNumberFormat="1" applyFont="1" applyFill="1" applyBorder="1" applyAlignment="1">
      <alignment horizontal="center" vertical="center"/>
    </xf>
    <xf numFmtId="0" fontId="11" fillId="3" borderId="7" xfId="0" applyFont="1" applyFill="1" applyBorder="1"/>
    <xf numFmtId="170" fontId="11" fillId="3" borderId="17" xfId="0" applyNumberFormat="1" applyFont="1" applyFill="1" applyBorder="1"/>
    <xf numFmtId="170" fontId="11" fillId="3" borderId="18" xfId="0" applyNumberFormat="1" applyFont="1" applyFill="1" applyBorder="1"/>
    <xf numFmtId="170" fontId="11" fillId="3" borderId="19" xfId="0" applyNumberFormat="1" applyFont="1" applyFill="1" applyBorder="1"/>
    <xf numFmtId="170" fontId="9" fillId="13" borderId="12" xfId="0" applyNumberFormat="1" applyFont="1" applyFill="1" applyBorder="1"/>
    <xf numFmtId="170" fontId="9" fillId="15" borderId="15" xfId="0" applyNumberFormat="1" applyFont="1" applyFill="1" applyBorder="1"/>
    <xf numFmtId="170" fontId="15" fillId="9" borderId="9" xfId="0" applyNumberFormat="1" applyFont="1" applyFill="1" applyBorder="1" applyAlignment="1">
      <alignment horizontal="center"/>
    </xf>
    <xf numFmtId="0" fontId="39" fillId="0" borderId="0" xfId="0" applyFont="1"/>
    <xf numFmtId="0" fontId="39" fillId="0" borderId="0" xfId="0" quotePrefix="1" applyFont="1"/>
    <xf numFmtId="0" fontId="36" fillId="0" borderId="0" xfId="0" applyFont="1"/>
    <xf numFmtId="0" fontId="10" fillId="0" borderId="0" xfId="0" quotePrefix="1" applyFont="1"/>
    <xf numFmtId="170" fontId="11" fillId="5" borderId="8" xfId="0" applyNumberFormat="1" applyFont="1" applyFill="1" applyBorder="1" applyAlignment="1">
      <alignment horizontal="center"/>
    </xf>
    <xf numFmtId="170" fontId="11" fillId="5" borderId="9" xfId="0" applyNumberFormat="1" applyFont="1" applyFill="1" applyBorder="1" applyAlignment="1">
      <alignment horizontal="center"/>
    </xf>
    <xf numFmtId="170" fontId="11" fillId="5" borderId="8" xfId="0" applyNumberFormat="1" applyFont="1" applyFill="1" applyBorder="1" applyAlignment="1">
      <alignment horizontal="left"/>
    </xf>
    <xf numFmtId="170" fontId="11" fillId="5" borderId="9" xfId="0" applyNumberFormat="1" applyFont="1" applyFill="1" applyBorder="1" applyAlignment="1">
      <alignment horizontal="left"/>
    </xf>
    <xf numFmtId="170" fontId="11" fillId="7" borderId="8" xfId="0" applyNumberFormat="1" applyFont="1" applyFill="1" applyBorder="1" applyAlignment="1">
      <alignment horizontal="center"/>
    </xf>
    <xf numFmtId="170" fontId="11" fillId="7" borderId="9" xfId="0" applyNumberFormat="1" applyFont="1" applyFill="1" applyBorder="1" applyAlignment="1">
      <alignment horizontal="center"/>
    </xf>
    <xf numFmtId="0" fontId="6" fillId="3" borderId="10" xfId="0" applyFont="1" applyFill="1" applyBorder="1"/>
    <xf numFmtId="0" fontId="40" fillId="0" borderId="0" xfId="0" applyFont="1"/>
    <xf numFmtId="0" fontId="13" fillId="0" borderId="0" xfId="0" quotePrefix="1" applyFont="1"/>
    <xf numFmtId="0" fontId="10" fillId="3" borderId="0" xfId="0" applyFont="1" applyFill="1" applyAlignment="1">
      <alignment horizontal="right" vertical="center"/>
    </xf>
    <xf numFmtId="0" fontId="41" fillId="7" borderId="0" xfId="0" applyFont="1" applyFill="1"/>
    <xf numFmtId="0" fontId="6" fillId="11" borderId="0" xfId="0" applyFont="1" applyFill="1"/>
    <xf numFmtId="0" fontId="26" fillId="16" borderId="0" xfId="0" applyFont="1" applyFill="1" applyAlignment="1">
      <alignment horizontal="left"/>
    </xf>
    <xf numFmtId="0" fontId="0" fillId="0" borderId="0" xfId="0" applyAlignment="1">
      <alignment horizontal="left"/>
    </xf>
    <xf numFmtId="0" fontId="24" fillId="0" borderId="0" xfId="0" applyFont="1" applyAlignment="1">
      <alignment horizontal="left"/>
    </xf>
    <xf numFmtId="16" fontId="22" fillId="0" borderId="0" xfId="0" quotePrefix="1" applyNumberFormat="1" applyFont="1" applyAlignment="1">
      <alignment horizontal="left"/>
    </xf>
    <xf numFmtId="164" fontId="0" fillId="0" borderId="0" xfId="0" applyNumberFormat="1" applyAlignment="1">
      <alignment horizontal="left"/>
    </xf>
    <xf numFmtId="164" fontId="22" fillId="0" borderId="0" xfId="0" applyNumberFormat="1" applyFont="1" applyAlignment="1">
      <alignment horizontal="left"/>
    </xf>
    <xf numFmtId="164" fontId="6" fillId="0" borderId="0" xfId="0" applyNumberFormat="1" applyFont="1" applyAlignment="1">
      <alignment horizontal="left"/>
    </xf>
    <xf numFmtId="164" fontId="42" fillId="0" borderId="0" xfId="0" applyNumberFormat="1" applyFont="1" applyAlignment="1">
      <alignment horizontal="left"/>
    </xf>
    <xf numFmtId="0" fontId="27" fillId="0" borderId="0" xfId="0" applyFont="1"/>
    <xf numFmtId="164" fontId="40" fillId="0" borderId="0" xfId="0" applyNumberFormat="1" applyFont="1"/>
    <xf numFmtId="14" fontId="40" fillId="0" borderId="0" xfId="0" applyNumberFormat="1" applyFont="1"/>
    <xf numFmtId="14" fontId="10" fillId="0" borderId="0" xfId="0" applyNumberFormat="1" applyFont="1"/>
    <xf numFmtId="164" fontId="10" fillId="0" borderId="0" xfId="3" applyNumberFormat="1" applyFont="1"/>
    <xf numFmtId="171" fontId="0" fillId="0" borderId="0" xfId="0" applyNumberFormat="1"/>
    <xf numFmtId="0" fontId="44" fillId="0" borderId="0" xfId="3" applyFont="1"/>
    <xf numFmtId="0" fontId="45" fillId="18" borderId="0" xfId="3" applyFont="1" applyFill="1"/>
    <xf numFmtId="164" fontId="44" fillId="0" borderId="0" xfId="3" applyNumberFormat="1" applyFont="1"/>
    <xf numFmtId="164" fontId="45" fillId="18" borderId="0" xfId="3" applyNumberFormat="1" applyFont="1" applyFill="1"/>
    <xf numFmtId="14" fontId="44" fillId="0" borderId="0" xfId="3" applyNumberFormat="1" applyFont="1"/>
    <xf numFmtId="14" fontId="45" fillId="18" borderId="0" xfId="3" applyNumberFormat="1" applyFont="1" applyFill="1"/>
    <xf numFmtId="14" fontId="46" fillId="2" borderId="0" xfId="3" quotePrefix="1" applyNumberFormat="1" applyFont="1" applyFill="1"/>
    <xf numFmtId="14" fontId="47" fillId="0" borderId="0" xfId="3" quotePrefix="1" applyNumberFormat="1" applyFont="1" applyAlignment="1">
      <alignment wrapText="1"/>
    </xf>
    <xf numFmtId="14" fontId="44" fillId="0" borderId="0" xfId="3" quotePrefix="1" applyNumberFormat="1" applyFont="1" applyAlignment="1">
      <alignment wrapText="1"/>
    </xf>
    <xf numFmtId="171" fontId="26" fillId="16" borderId="0" xfId="0" applyNumberFormat="1" applyFont="1" applyFill="1" applyAlignment="1">
      <alignment horizontal="left"/>
    </xf>
    <xf numFmtId="171" fontId="42" fillId="0" borderId="0" xfId="0" applyNumberFormat="1" applyFont="1"/>
    <xf numFmtId="171" fontId="24" fillId="0" borderId="0" xfId="0" applyNumberFormat="1" applyFont="1"/>
    <xf numFmtId="171" fontId="6" fillId="0" borderId="0" xfId="0" applyNumberFormat="1" applyFont="1"/>
    <xf numFmtId="171" fontId="22" fillId="0" borderId="0" xfId="0" applyNumberFormat="1" applyFont="1"/>
    <xf numFmtId="165" fontId="6" fillId="0" borderId="0" xfId="0" applyNumberFormat="1" applyFont="1"/>
    <xf numFmtId="165" fontId="22" fillId="0" borderId="0" xfId="0" applyNumberFormat="1" applyFont="1"/>
    <xf numFmtId="168" fontId="19" fillId="0" borderId="0" xfId="0" applyNumberFormat="1" applyFont="1"/>
    <xf numFmtId="167" fontId="11" fillId="0" borderId="0" xfId="0" applyNumberFormat="1" applyFont="1" applyAlignment="1">
      <alignment horizontal="center"/>
    </xf>
    <xf numFmtId="0" fontId="45" fillId="18" borderId="0" xfId="3" quotePrefix="1" applyFont="1" applyFill="1"/>
    <xf numFmtId="170" fontId="11" fillId="3" borderId="11" xfId="0" quotePrefix="1" applyNumberFormat="1" applyFont="1" applyFill="1" applyBorder="1" applyAlignment="1">
      <alignment wrapText="1"/>
    </xf>
    <xf numFmtId="0" fontId="11" fillId="0" borderId="0" xfId="0" applyFont="1"/>
    <xf numFmtId="0" fontId="11" fillId="0" borderId="0" xfId="0" applyFont="1" applyAlignment="1">
      <alignment horizontal="left"/>
    </xf>
    <xf numFmtId="0" fontId="27" fillId="0" borderId="0" xfId="3" applyFont="1"/>
    <xf numFmtId="165" fontId="48" fillId="0" borderId="0" xfId="4" applyNumberFormat="1" applyFont="1"/>
    <xf numFmtId="164" fontId="42" fillId="0" borderId="0" xfId="0" applyNumberFormat="1" applyFont="1"/>
    <xf numFmtId="164" fontId="6" fillId="0" borderId="0" xfId="0" applyNumberFormat="1" applyFont="1"/>
    <xf numFmtId="164" fontId="48" fillId="0" borderId="0" xfId="4" applyNumberFormat="1" applyFont="1"/>
    <xf numFmtId="0" fontId="6" fillId="0" borderId="0" xfId="0" applyFont="1" applyAlignment="1">
      <alignment horizontal="left"/>
    </xf>
    <xf numFmtId="0" fontId="0" fillId="3" borderId="0" xfId="0" applyFill="1"/>
    <xf numFmtId="165" fontId="50" fillId="0" borderId="0" xfId="0" applyNumberFormat="1" applyFont="1"/>
    <xf numFmtId="165" fontId="48" fillId="0" borderId="0" xfId="0" applyNumberFormat="1" applyFont="1"/>
    <xf numFmtId="0" fontId="49" fillId="0" borderId="0" xfId="0" applyFont="1"/>
    <xf numFmtId="0" fontId="13" fillId="0" borderId="0" xfId="0" applyFont="1" applyAlignment="1">
      <alignment horizontal="right" vertical="center"/>
    </xf>
    <xf numFmtId="164" fontId="12" fillId="0" borderId="0" xfId="0" applyNumberFormat="1" applyFont="1" applyAlignment="1">
      <alignment horizontal="right" vertical="center"/>
    </xf>
    <xf numFmtId="164" fontId="13" fillId="0" borderId="0" xfId="0" applyNumberFormat="1" applyFont="1" applyAlignment="1">
      <alignment horizontal="right" vertical="center"/>
    </xf>
    <xf numFmtId="164" fontId="8" fillId="0" borderId="0" xfId="0" applyNumberFormat="1" applyFont="1"/>
    <xf numFmtId="0" fontId="14" fillId="5" borderId="0" xfId="0" applyFont="1" applyFill="1"/>
    <xf numFmtId="0" fontId="13" fillId="0" borderId="0" xfId="0" applyFont="1" applyAlignment="1">
      <alignment vertical="center"/>
    </xf>
    <xf numFmtId="0" fontId="14" fillId="7" borderId="0" xfId="0" applyFont="1" applyFill="1"/>
    <xf numFmtId="0" fontId="0" fillId="0" borderId="0" xfId="0" applyAlignment="1">
      <alignment horizontal="right"/>
    </xf>
    <xf numFmtId="0" fontId="6" fillId="0" borderId="0" xfId="0" applyFont="1" applyAlignment="1">
      <alignment horizontal="right"/>
    </xf>
    <xf numFmtId="0" fontId="20" fillId="19" borderId="0" xfId="0" applyFont="1" applyFill="1"/>
    <xf numFmtId="0" fontId="20" fillId="2" borderId="0" xfId="0" applyFont="1" applyFill="1"/>
    <xf numFmtId="164" fontId="6" fillId="0" borderId="0" xfId="0" quotePrefix="1" applyNumberFormat="1" applyFont="1" applyAlignment="1">
      <alignment wrapText="1"/>
    </xf>
    <xf numFmtId="0" fontId="21" fillId="0" borderId="0" xfId="0" applyFont="1" applyAlignment="1">
      <alignment wrapText="1"/>
    </xf>
    <xf numFmtId="0" fontId="27" fillId="3" borderId="0" xfId="0" applyFont="1" applyFill="1" applyAlignment="1">
      <alignment horizontal="right"/>
    </xf>
    <xf numFmtId="3" fontId="27" fillId="3" borderId="0" xfId="0" applyNumberFormat="1" applyFont="1" applyFill="1" applyAlignment="1">
      <alignment horizontal="right"/>
    </xf>
    <xf numFmtId="0" fontId="27" fillId="0" borderId="0" xfId="0" applyFont="1" applyAlignment="1">
      <alignment horizontal="right"/>
    </xf>
    <xf numFmtId="0" fontId="27" fillId="3" borderId="0" xfId="0" quotePrefix="1" applyFont="1" applyFill="1" applyAlignment="1">
      <alignment horizontal="right"/>
    </xf>
    <xf numFmtId="0" fontId="27" fillId="3" borderId="0" xfId="0" applyFont="1" applyFill="1" applyAlignment="1">
      <alignment horizontal="right" vertical="center"/>
    </xf>
    <xf numFmtId="0" fontId="51" fillId="3" borderId="0" xfId="0" applyFont="1" applyFill="1" applyAlignment="1">
      <alignment horizontal="right"/>
    </xf>
    <xf numFmtId="0" fontId="1" fillId="0" borderId="0" xfId="0" applyFont="1"/>
    <xf numFmtId="0" fontId="1" fillId="0" borderId="0" xfId="4" applyFont="1"/>
    <xf numFmtId="14" fontId="22" fillId="0" borderId="0" xfId="0" quotePrefix="1" applyNumberFormat="1" applyFont="1" applyAlignment="1">
      <alignment wrapText="1"/>
    </xf>
    <xf numFmtId="164" fontId="26" fillId="16" borderId="0" xfId="0" applyNumberFormat="1" applyFont="1" applyFill="1"/>
    <xf numFmtId="0" fontId="22" fillId="0" borderId="0" xfId="0" applyFont="1" applyAlignment="1">
      <alignment horizontal="left"/>
    </xf>
    <xf numFmtId="0" fontId="7" fillId="0" borderId="0" xfId="2"/>
  </cellXfs>
  <cellStyles count="10">
    <cellStyle name="Comma" xfId="1" builtinId="3"/>
    <cellStyle name="Hyperlink" xfId="2" builtinId="8"/>
    <cellStyle name="Normal" xfId="0" builtinId="0"/>
    <cellStyle name="Normal 2" xfId="3" xr:uid="{CEC3D16E-4166-4668-9BC3-C144B47C870F}"/>
    <cellStyle name="Normal 2 2" xfId="9" xr:uid="{4CDF68D9-8FD3-4CD9-AE0E-9FB4370069D7}"/>
    <cellStyle name="Normal 3" xfId="4" xr:uid="{6CA16E74-4B7B-4598-9E11-AB00B459EAD6}"/>
    <cellStyle name="Normal 3 2" xfId="7" xr:uid="{2132DAE0-3AEB-4268-86F5-6EA33EACCB52}"/>
    <cellStyle name="Normal 4" xfId="5" xr:uid="{28C9050D-52DD-4991-AD73-BA46E072E313}"/>
    <cellStyle name="Normal 5" xfId="6" xr:uid="{95D77AE4-61FA-4D24-8238-2B6A554365FC}"/>
    <cellStyle name="Normal 5 2" xfId="8" xr:uid="{7E69B8E1-40C1-493D-9721-80C65467E93B}"/>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DEEBF7"/>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 Target="richData/rdrichvalue.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17/06/relationships/rdRichValueStructure" Target="richData/rdrichvaluestructure.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col"/>
        <c:grouping val="clustered"/>
        <c:varyColors val="0"/>
        <c:ser>
          <c:idx val="0"/>
          <c:order val="0"/>
          <c:tx>
            <c:strRef>
              <c:f>NTM!$B$11</c:f>
              <c:strCache>
                <c:ptCount val="1"/>
                <c:pt idx="0">
                  <c:v>Net CASH FLOW</c:v>
                </c:pt>
              </c:strCache>
            </c:strRef>
          </c:tx>
          <c:spPr>
            <a:solidFill>
              <a:srgbClr val="00B050"/>
            </a:solidFill>
            <a:ln w="12700">
              <a:noFill/>
              <a:miter lim="800000"/>
            </a:ln>
            <a:effectLst/>
          </c:spPr>
          <c:invertIfNegative val="1"/>
          <c:val>
            <c:numRef>
              <c:f>NTM!$C$11:$N$11</c:f>
              <c:numCache>
                <c:formatCode>_(#,##0_);\(#,##0\);_(* "–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4="http://schemas.microsoft.com/office/drawing/2007/8/2/chart" uri="{6F2FDCE9-48DA-4B69-8628-5D25D57E5C99}">
              <c14:invertSolidFillFmt>
                <c14:spPr xmlns:c14="http://schemas.microsoft.com/office/drawing/2007/8/2/chart">
                  <a:solidFill>
                    <a:srgbClr val="C00000"/>
                  </a:solidFill>
                  <a:ln w="12700">
                    <a:noFill/>
                    <a:miter lim="800000"/>
                  </a:ln>
                  <a:effectLst/>
                </c14:spPr>
              </c14:invertSolidFillFmt>
            </c:ext>
            <c:ext xmlns:c16="http://schemas.microsoft.com/office/drawing/2014/chart" uri="{C3380CC4-5D6E-409C-BE32-E72D297353CC}">
              <c16:uniqueId val="{00000000-7426-45DF-870F-5D183D2D9A78}"/>
            </c:ext>
          </c:extLst>
        </c:ser>
        <c:dLbls>
          <c:showLegendKey val="0"/>
          <c:showVal val="0"/>
          <c:showCatName val="0"/>
          <c:showSerName val="0"/>
          <c:showPercent val="0"/>
          <c:showBubbleSize val="0"/>
        </c:dLbls>
        <c:gapWidth val="50"/>
        <c:overlap val="100"/>
        <c:axId val="854495376"/>
        <c:axId val="854480016"/>
      </c:barChart>
      <c:catAx>
        <c:axId val="854495376"/>
        <c:scaling>
          <c:orientation val="minMax"/>
        </c:scaling>
        <c:delete val="0"/>
        <c:axPos val="b"/>
        <c:majorTickMark val="none"/>
        <c:minorTickMark val="none"/>
        <c:tickLblPos val="none"/>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480016"/>
        <c:crosses val="autoZero"/>
        <c:auto val="1"/>
        <c:lblAlgn val="ctr"/>
        <c:lblOffset val="100"/>
        <c:noMultiLvlLbl val="0"/>
      </c:catAx>
      <c:valAx>
        <c:axId val="854480016"/>
        <c:scaling>
          <c:orientation val="minMax"/>
        </c:scaling>
        <c:delete val="0"/>
        <c:axPos val="l"/>
        <c:numFmt formatCode="_(#,##0_);\(#,##0\);_(* &quot;– &quot;_);_(@_)"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4953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0.95741238227574499"/>
        </c:manualLayout>
      </c:layout>
      <c:barChart>
        <c:barDir val="col"/>
        <c:grouping val="clustered"/>
        <c:varyColors val="0"/>
        <c:ser>
          <c:idx val="0"/>
          <c:order val="0"/>
          <c:tx>
            <c:strRef>
              <c:f>NTM!$B$42</c:f>
              <c:strCache>
                <c:ptCount val="1"/>
                <c:pt idx="0">
                  <c:v>Total INFLOWS</c:v>
                </c:pt>
              </c:strCache>
            </c:strRef>
          </c:tx>
          <c:spPr>
            <a:solidFill>
              <a:schemeClr val="accent3"/>
            </a:solidFill>
            <a:ln w="12700">
              <a:noFill/>
              <a:miter lim="800000"/>
            </a:ln>
            <a:effectLst/>
          </c:spPr>
          <c:invertIfNegative val="0"/>
          <c:val>
            <c:numRef>
              <c:f>NTM!$C$42:$N$42</c:f>
              <c:numCache>
                <c:formatCode>_(#,##0_);\(#,##0\);_(* "–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455C-49F8-82CB-88DE7CEF8A2A}"/>
            </c:ext>
          </c:extLst>
        </c:ser>
        <c:dLbls>
          <c:showLegendKey val="0"/>
          <c:showVal val="0"/>
          <c:showCatName val="0"/>
          <c:showSerName val="0"/>
          <c:showPercent val="0"/>
          <c:showBubbleSize val="0"/>
        </c:dLbls>
        <c:gapWidth val="50"/>
        <c:overlap val="100"/>
        <c:axId val="854495376"/>
        <c:axId val="854480016"/>
      </c:barChart>
      <c:catAx>
        <c:axId val="854495376"/>
        <c:scaling>
          <c:orientation val="minMax"/>
        </c:scaling>
        <c:delete val="0"/>
        <c:axPos val="b"/>
        <c:majorTickMark val="none"/>
        <c:minorTickMark val="none"/>
        <c:tickLblPos val="none"/>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480016"/>
        <c:crosses val="autoZero"/>
        <c:auto val="1"/>
        <c:lblAlgn val="ctr"/>
        <c:lblOffset val="100"/>
        <c:noMultiLvlLbl val="0"/>
      </c:catAx>
      <c:valAx>
        <c:axId val="854480016"/>
        <c:scaling>
          <c:orientation val="minMax"/>
        </c:scaling>
        <c:delete val="0"/>
        <c:axPos val="l"/>
        <c:numFmt formatCode="_(#,##0_);\(#,##0\);_(* &quot;– &quot;_);_(@_)"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4953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col"/>
        <c:grouping val="clustered"/>
        <c:varyColors val="0"/>
        <c:ser>
          <c:idx val="0"/>
          <c:order val="0"/>
          <c:tx>
            <c:strRef>
              <c:f>NTM!$B$11</c:f>
              <c:strCache>
                <c:ptCount val="1"/>
                <c:pt idx="0">
                  <c:v>Net CASH FLOW</c:v>
                </c:pt>
              </c:strCache>
            </c:strRef>
          </c:tx>
          <c:spPr>
            <a:solidFill>
              <a:schemeClr val="tx2"/>
            </a:solidFill>
            <a:ln w="12700">
              <a:noFill/>
              <a:miter lim="800000"/>
            </a:ln>
            <a:effectLst/>
          </c:spPr>
          <c:invertIfNegative val="0"/>
          <c:val>
            <c:numRef>
              <c:f>NTM!$C$77:$N$77</c:f>
              <c:numCache>
                <c:formatCode>_(#,##0_);\(#,##0\);_(* "–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3635-4399-B8EB-6AF3978DD9B4}"/>
            </c:ext>
          </c:extLst>
        </c:ser>
        <c:dLbls>
          <c:showLegendKey val="0"/>
          <c:showVal val="0"/>
          <c:showCatName val="0"/>
          <c:showSerName val="0"/>
          <c:showPercent val="0"/>
          <c:showBubbleSize val="0"/>
        </c:dLbls>
        <c:gapWidth val="50"/>
        <c:overlap val="100"/>
        <c:axId val="854495376"/>
        <c:axId val="854480016"/>
      </c:barChart>
      <c:catAx>
        <c:axId val="854495376"/>
        <c:scaling>
          <c:orientation val="minMax"/>
        </c:scaling>
        <c:delete val="0"/>
        <c:axPos val="b"/>
        <c:majorTickMark val="none"/>
        <c:minorTickMark val="none"/>
        <c:tickLblPos val="none"/>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480016"/>
        <c:crosses val="autoZero"/>
        <c:auto val="1"/>
        <c:lblAlgn val="ctr"/>
        <c:lblOffset val="100"/>
        <c:noMultiLvlLbl val="0"/>
      </c:catAx>
      <c:valAx>
        <c:axId val="854480016"/>
        <c:scaling>
          <c:orientation val="minMax"/>
        </c:scaling>
        <c:delete val="0"/>
        <c:axPos val="l"/>
        <c:numFmt formatCode="_(#,##0_);\(#,##0\);_(* &quot;– &quot;_);_(@_)"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4953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1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xdr:col>
      <xdr:colOff>0</xdr:colOff>
      <xdr:row>35</xdr:row>
      <xdr:rowOff>0</xdr:rowOff>
    </xdr:from>
    <xdr:ext cx="5156668" cy="254557"/>
    <xdr:sp macro="" textlink="">
      <xdr:nvSpPr>
        <xdr:cNvPr id="2" name="TextBox 1">
          <a:extLst>
            <a:ext uri="{FF2B5EF4-FFF2-40B4-BE49-F238E27FC236}">
              <a16:creationId xmlns:a16="http://schemas.microsoft.com/office/drawing/2014/main" id="{ED185404-B67F-429F-BF6C-01743B248AED}"/>
            </a:ext>
          </a:extLst>
        </xdr:cNvPr>
        <xdr:cNvSpPr txBox="1"/>
      </xdr:nvSpPr>
      <xdr:spPr>
        <a:xfrm>
          <a:off x="190500" y="4857750"/>
          <a:ext cx="5156668" cy="254557"/>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u="none"/>
            <a:t>Text boxes</a:t>
          </a:r>
          <a:r>
            <a:rPr lang="en-US" sz="1100" b="0" u="none" baseline="0"/>
            <a:t> of this color provide direction for what to do/input in its respective tab</a:t>
          </a:r>
        </a:p>
      </xdr:txBody>
    </xdr:sp>
    <xdr:clientData/>
  </xdr:oneCellAnchor>
  <xdr:oneCellAnchor>
    <xdr:from>
      <xdr:col>1</xdr:col>
      <xdr:colOff>0</xdr:colOff>
      <xdr:row>37</xdr:row>
      <xdr:rowOff>0</xdr:rowOff>
    </xdr:from>
    <xdr:ext cx="10378932" cy="254557"/>
    <xdr:sp macro="" textlink="">
      <xdr:nvSpPr>
        <xdr:cNvPr id="3" name="TextBox 2">
          <a:extLst>
            <a:ext uri="{FF2B5EF4-FFF2-40B4-BE49-F238E27FC236}">
              <a16:creationId xmlns:a16="http://schemas.microsoft.com/office/drawing/2014/main" id="{7A451287-A001-28B6-4FC0-A40F23570857}"/>
            </a:ext>
          </a:extLst>
        </xdr:cNvPr>
        <xdr:cNvSpPr txBox="1"/>
      </xdr:nvSpPr>
      <xdr:spPr>
        <a:xfrm>
          <a:off x="190500" y="8743950"/>
          <a:ext cx="10378932" cy="254557"/>
        </a:xfrm>
        <a:prstGeom prst="rect">
          <a:avLst/>
        </a:prstGeom>
        <a:solidFill>
          <a:srgbClr val="DEEBF7"/>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u="none"/>
            <a:t>Text boxes</a:t>
          </a:r>
          <a:r>
            <a:rPr lang="en-US" sz="1100" b="0" u="none" baseline="0"/>
            <a:t> of this color point to items to provide guidance or insight (only exists in the EXAMPLE workbook). Feel free to move them out of the way to see details.</a:t>
          </a: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23</xdr:col>
      <xdr:colOff>240323</xdr:colOff>
      <xdr:row>1</xdr:row>
      <xdr:rowOff>28575</xdr:rowOff>
    </xdr:from>
    <xdr:ext cx="2941027" cy="1390124"/>
    <xdr:sp macro="" textlink="">
      <xdr:nvSpPr>
        <xdr:cNvPr id="6" name="TextBox 5">
          <a:extLst>
            <a:ext uri="{FF2B5EF4-FFF2-40B4-BE49-F238E27FC236}">
              <a16:creationId xmlns:a16="http://schemas.microsoft.com/office/drawing/2014/main" id="{9F559B78-B350-EA85-FF81-2350D76E13C4}"/>
            </a:ext>
          </a:extLst>
        </xdr:cNvPr>
        <xdr:cNvSpPr txBox="1"/>
      </xdr:nvSpPr>
      <xdr:spPr>
        <a:xfrm>
          <a:off x="18156848" y="85725"/>
          <a:ext cx="2941027" cy="1390124"/>
        </a:xfrm>
        <a:prstGeom prst="rect">
          <a:avLst/>
        </a:prstGeom>
        <a:solidFill>
          <a:srgbClr val="DEEB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u="none" baseline="0"/>
            <a:t>These buttons help with various readaiblity options:</a:t>
          </a:r>
        </a:p>
        <a:p>
          <a:r>
            <a:rPr lang="en-US" sz="1100" b="0" u="sng" baseline="0"/>
            <a:t>Refresh change notes:</a:t>
          </a:r>
          <a:r>
            <a:rPr lang="en-US" sz="1100" b="0" u="none" baseline="0"/>
            <a:t> Populate notes down the FUTURE CASH FLOW CHANGES column to easily reference changes to your cash flows over the next twelve months</a:t>
          </a:r>
        </a:p>
        <a:p>
          <a:r>
            <a:rPr lang="en-US" sz="1100" b="0" u="sng" baseline="0"/>
            <a:t>Hide Unused Rows</a:t>
          </a:r>
          <a:r>
            <a:rPr lang="en-US" sz="1100" b="0" u="none" baseline="0"/>
            <a:t> and </a:t>
          </a:r>
          <a:r>
            <a:rPr lang="en-US" sz="1100" b="0" u="sng" baseline="0"/>
            <a:t>Unhide All Rows</a:t>
          </a:r>
          <a:r>
            <a:rPr lang="en-US" sz="1100" b="0" u="none" baseline="0"/>
            <a:t> are hopefully self-explainatory.</a:t>
          </a:r>
        </a:p>
      </xdr:txBody>
    </xdr:sp>
    <xdr:clientData/>
  </xdr:oneCellAnchor>
  <xdr:twoCellAnchor>
    <xdr:from>
      <xdr:col>22</xdr:col>
      <xdr:colOff>57150</xdr:colOff>
      <xdr:row>1</xdr:row>
      <xdr:rowOff>133350</xdr:rowOff>
    </xdr:from>
    <xdr:to>
      <xdr:col>23</xdr:col>
      <xdr:colOff>285750</xdr:colOff>
      <xdr:row>1</xdr:row>
      <xdr:rowOff>133350</xdr:rowOff>
    </xdr:to>
    <xdr:cxnSp macro="">
      <xdr:nvCxnSpPr>
        <xdr:cNvPr id="7" name="Straight Arrow Connector 6">
          <a:extLst>
            <a:ext uri="{FF2B5EF4-FFF2-40B4-BE49-F238E27FC236}">
              <a16:creationId xmlns:a16="http://schemas.microsoft.com/office/drawing/2014/main" id="{75DDAE8A-5D7F-0409-CAA7-3A55A767D5B5}"/>
            </a:ext>
          </a:extLst>
        </xdr:cNvPr>
        <xdr:cNvCxnSpPr/>
      </xdr:nvCxnSpPr>
      <xdr:spPr>
        <a:xfrm flipH="1">
          <a:off x="17278350" y="190500"/>
          <a:ext cx="92392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17</xdr:col>
      <xdr:colOff>0</xdr:colOff>
      <xdr:row>1</xdr:row>
      <xdr:rowOff>0</xdr:rowOff>
    </xdr:from>
    <xdr:ext cx="5048250" cy="390525"/>
    <xdr:sp macro="" textlink="">
      <xdr:nvSpPr>
        <xdr:cNvPr id="13" name="TextBox 12">
          <a:extLst>
            <a:ext uri="{FF2B5EF4-FFF2-40B4-BE49-F238E27FC236}">
              <a16:creationId xmlns:a16="http://schemas.microsoft.com/office/drawing/2014/main" id="{12EED736-FFFD-B934-8EC3-19F4570AD3D5}"/>
            </a:ext>
          </a:extLst>
        </xdr:cNvPr>
        <xdr:cNvSpPr txBox="1"/>
      </xdr:nvSpPr>
      <xdr:spPr>
        <a:xfrm>
          <a:off x="12172950" y="57150"/>
          <a:ext cx="5048250" cy="390525"/>
        </a:xfrm>
        <a:prstGeom prst="rect">
          <a:avLst/>
        </a:prstGeom>
        <a:solidFill>
          <a:schemeClr val="bg1"/>
        </a:solidFill>
        <a:ln>
          <a:solidFill>
            <a:schemeClr val="tx1"/>
          </a:solidFill>
          <a:prstDash val="dash"/>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u="none" baseline="0"/>
            <a:t>BUTTONS:</a:t>
          </a:r>
        </a:p>
      </xdr:txBody>
    </xdr:sp>
    <xdr:clientData/>
  </xdr:oneCellAnchor>
  <mc:AlternateContent xmlns:mc="http://schemas.openxmlformats.org/markup-compatibility/2006">
    <mc:Choice xmlns:a14="http://schemas.microsoft.com/office/drawing/2010/main" Requires="a14">
      <xdr:twoCellAnchor editAs="oneCell">
        <xdr:from>
          <xdr:col>17</xdr:col>
          <xdr:colOff>962025</xdr:colOff>
          <xdr:row>1</xdr:row>
          <xdr:rowOff>76200</xdr:rowOff>
        </xdr:from>
        <xdr:to>
          <xdr:col>18</xdr:col>
          <xdr:colOff>352425</xdr:colOff>
          <xdr:row>3</xdr:row>
          <xdr:rowOff>104775</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200-000009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sng" strike="noStrike" baseline="0">
                  <a:solidFill>
                    <a:srgbClr val="000000"/>
                  </a:solidFill>
                  <a:latin typeface="Arial"/>
                  <a:cs typeface="Arial"/>
                </a:rPr>
                <a:t>Refresh change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457200</xdr:colOff>
          <xdr:row>1</xdr:row>
          <xdr:rowOff>76200</xdr:rowOff>
        </xdr:from>
        <xdr:to>
          <xdr:col>20</xdr:col>
          <xdr:colOff>381000</xdr:colOff>
          <xdr:row>3</xdr:row>
          <xdr:rowOff>104775</xdr:rowOff>
        </xdr:to>
        <xdr:sp macro="" textlink="">
          <xdr:nvSpPr>
            <xdr:cNvPr id="47114" name="Button 10" hidden="1">
              <a:extLst>
                <a:ext uri="{63B3BB69-23CF-44E3-9099-C40C66FF867C}">
                  <a14:compatExt spid="_x0000_s47114"/>
                </a:ext>
                <a:ext uri="{FF2B5EF4-FFF2-40B4-BE49-F238E27FC236}">
                  <a16:creationId xmlns:a16="http://schemas.microsoft.com/office/drawing/2014/main" id="{00000000-0008-0000-0200-00000A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sng" strike="noStrike" baseline="0">
                  <a:solidFill>
                    <a:srgbClr val="000000"/>
                  </a:solidFill>
                  <a:latin typeface="Arial"/>
                  <a:cs typeface="Arial"/>
                </a:rPr>
                <a:t>Hide Unused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485775</xdr:colOff>
          <xdr:row>1</xdr:row>
          <xdr:rowOff>76200</xdr:rowOff>
        </xdr:from>
        <xdr:to>
          <xdr:col>21</xdr:col>
          <xdr:colOff>619125</xdr:colOff>
          <xdr:row>3</xdr:row>
          <xdr:rowOff>104775</xdr:rowOff>
        </xdr:to>
        <xdr:sp macro="" textlink="">
          <xdr:nvSpPr>
            <xdr:cNvPr id="47115" name="Button 11" hidden="1">
              <a:extLst>
                <a:ext uri="{63B3BB69-23CF-44E3-9099-C40C66FF867C}">
                  <a14:compatExt spid="_x0000_s47115"/>
                </a:ext>
                <a:ext uri="{FF2B5EF4-FFF2-40B4-BE49-F238E27FC236}">
                  <a16:creationId xmlns:a16="http://schemas.microsoft.com/office/drawing/2014/main" id="{00000000-0008-0000-0200-00000B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sng" strike="noStrike" baseline="0">
                  <a:solidFill>
                    <a:srgbClr val="000000"/>
                  </a:solidFill>
                  <a:latin typeface="Arial"/>
                  <a:cs typeface="Arial"/>
                </a:rPr>
                <a:t>Unhide All Rows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0</xdr:colOff>
      <xdr:row>4</xdr:row>
      <xdr:rowOff>0</xdr:rowOff>
    </xdr:from>
    <xdr:to>
      <xdr:col>13</xdr:col>
      <xdr:colOff>0</xdr:colOff>
      <xdr:row>9</xdr:row>
      <xdr:rowOff>0</xdr:rowOff>
    </xdr:to>
    <xdr:graphicFrame macro="">
      <xdr:nvGraphicFramePr>
        <xdr:cNvPr id="2" name="Chart 1">
          <a:extLst>
            <a:ext uri="{FF2B5EF4-FFF2-40B4-BE49-F238E27FC236}">
              <a16:creationId xmlns:a16="http://schemas.microsoft.com/office/drawing/2014/main" id="{7125E529-B47D-4D8C-BB42-86AEFD9232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0</xdr:colOff>
      <xdr:row>11</xdr:row>
      <xdr:rowOff>0</xdr:rowOff>
    </xdr:from>
    <xdr:to>
      <xdr:col>13</xdr:col>
      <xdr:colOff>0</xdr:colOff>
      <xdr:row>16</xdr:row>
      <xdr:rowOff>0</xdr:rowOff>
    </xdr:to>
    <xdr:graphicFrame macro="">
      <xdr:nvGraphicFramePr>
        <xdr:cNvPr id="3" name="Chart 2">
          <a:extLst>
            <a:ext uri="{FF2B5EF4-FFF2-40B4-BE49-F238E27FC236}">
              <a16:creationId xmlns:a16="http://schemas.microsoft.com/office/drawing/2014/main" id="{811D5434-3C30-44CA-90D4-C9E09F7A5B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0</xdr:colOff>
      <xdr:row>18</xdr:row>
      <xdr:rowOff>0</xdr:rowOff>
    </xdr:from>
    <xdr:to>
      <xdr:col>13</xdr:col>
      <xdr:colOff>0</xdr:colOff>
      <xdr:row>23</xdr:row>
      <xdr:rowOff>0</xdr:rowOff>
    </xdr:to>
    <xdr:graphicFrame macro="">
      <xdr:nvGraphicFramePr>
        <xdr:cNvPr id="4" name="Chart 3">
          <a:extLst>
            <a:ext uri="{FF2B5EF4-FFF2-40B4-BE49-F238E27FC236}">
              <a16:creationId xmlns:a16="http://schemas.microsoft.com/office/drawing/2014/main" id="{C1B4AFB5-75FE-4AFB-924F-0DFC06319D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xdr:row>
          <xdr:rowOff>57150</xdr:rowOff>
        </xdr:from>
        <xdr:to>
          <xdr:col>1</xdr:col>
          <xdr:colOff>581025</xdr:colOff>
          <xdr:row>2</xdr:row>
          <xdr:rowOff>95250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500-000001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Archive Balances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1</xdr:col>
      <xdr:colOff>57149</xdr:colOff>
      <xdr:row>25</xdr:row>
      <xdr:rowOff>28503</xdr:rowOff>
    </xdr:from>
    <xdr:ext cx="6286501" cy="1552348"/>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200024" y="3943278"/>
          <a:ext cx="6286501" cy="1552348"/>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u="sng"/>
            <a:t>Columns</a:t>
          </a:r>
        </a:p>
        <a:p>
          <a:pPr marL="171450" indent="-171450">
            <a:buFont typeface="Arial" panose="020B0604020202020204" pitchFamily="34" charset="0"/>
            <a:buChar char="•"/>
          </a:pPr>
          <a:r>
            <a:rPr lang="en-US" sz="1100"/>
            <a:t>Line Item:</a:t>
          </a:r>
          <a:r>
            <a:rPr lang="en-US" sz="1100" baseline="0"/>
            <a:t> Cash, Brokerage, Retirement, or Real Asset (like car or house).</a:t>
          </a:r>
        </a:p>
        <a:p>
          <a:pPr marL="171450" indent="-171450">
            <a:buFont typeface="Arial" panose="020B0604020202020204" pitchFamily="34" charset="0"/>
            <a:buChar char="•"/>
          </a:pPr>
          <a:r>
            <a:rPr lang="en-US" sz="1100" baseline="0"/>
            <a:t>Institution: Where the account is held. </a:t>
          </a:r>
          <a:r>
            <a:rPr lang="en-US" sz="1100" baseline="0">
              <a:solidFill>
                <a:schemeClr val="tx1"/>
              </a:solidFill>
              <a:effectLst/>
              <a:latin typeface="+mn-lt"/>
              <a:ea typeface="+mn-ea"/>
              <a:cs typeface="+mn-cs"/>
            </a:rPr>
            <a:t>For Brokerage, separate securities balances from cash balances. Column can be N/A or blank for physical cash or Real Assets.</a:t>
          </a:r>
        </a:p>
        <a:p>
          <a:pPr marL="171450" indent="-171450">
            <a:buFont typeface="Arial" panose="020B0604020202020204" pitchFamily="34" charset="0"/>
            <a:buChar char="•"/>
          </a:pPr>
          <a:r>
            <a:rPr lang="en-US" sz="1100" baseline="0">
              <a:solidFill>
                <a:schemeClr val="tx1"/>
              </a:solidFill>
              <a:effectLst/>
              <a:latin typeface="+mn-lt"/>
              <a:ea typeface="+mn-ea"/>
              <a:cs typeface="+mn-cs"/>
            </a:rPr>
            <a:t>Account: Free-form description to remember what account the values relate to.</a:t>
          </a:r>
        </a:p>
        <a:p>
          <a:pPr marL="171450" indent="-171450">
            <a:buFont typeface="Arial" panose="020B0604020202020204" pitchFamily="34" charset="0"/>
            <a:buChar char="•"/>
          </a:pPr>
          <a:r>
            <a:rPr lang="en-US" sz="1100" baseline="0">
              <a:solidFill>
                <a:schemeClr val="tx1"/>
              </a:solidFill>
              <a:effectLst/>
              <a:latin typeface="+mn-lt"/>
              <a:ea typeface="+mn-ea"/>
              <a:cs typeface="+mn-cs"/>
            </a:rPr>
            <a:t>Balance: Balance of the associated account.</a:t>
          </a:r>
        </a:p>
        <a:p>
          <a:pPr marL="171450" indent="-171450">
            <a:buFont typeface="Arial" panose="020B0604020202020204" pitchFamily="34" charset="0"/>
            <a:buChar char="•"/>
          </a:pPr>
          <a:endParaRPr lang="en-US" sz="1100"/>
        </a:p>
        <a:p>
          <a:r>
            <a:rPr lang="en-US" sz="1100" b="1" u="sng"/>
            <a:t>Tips</a:t>
          </a:r>
          <a:r>
            <a:rPr lang="en-US" sz="1100" b="1" u="sng" baseline="0"/>
            <a:t> for inputting</a:t>
          </a:r>
          <a:endParaRPr lang="en-US" sz="1100" b="1" u="sng"/>
        </a:p>
        <a:p>
          <a:pPr marL="171450" indent="-171450">
            <a:buFont typeface="Arial" panose="020B0604020202020204" pitchFamily="34" charset="0"/>
            <a:buChar char="•"/>
          </a:pPr>
          <a:r>
            <a:rPr lang="en-US" sz="1100"/>
            <a:t>Sort by Institution</a:t>
          </a:r>
          <a:r>
            <a:rPr lang="en-US" sz="1100" baseline="0"/>
            <a:t> to ease input process each time</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1</xdr:col>
      <xdr:colOff>419100</xdr:colOff>
      <xdr:row>26</xdr:row>
      <xdr:rowOff>85725</xdr:rowOff>
    </xdr:from>
    <xdr:ext cx="3962399" cy="1552348"/>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542925" y="4324350"/>
          <a:ext cx="3962399" cy="1552348"/>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u="sng"/>
            <a:t>Input columns</a:t>
          </a:r>
        </a:p>
        <a:p>
          <a:pPr marL="171450" indent="-171450">
            <a:buFont typeface="Arial" panose="020B0604020202020204" pitchFamily="34" charset="0"/>
            <a:buChar char="•"/>
          </a:pPr>
          <a:r>
            <a:rPr lang="en-US" sz="1100"/>
            <a:t>Account: Freeform field to reference each account</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a:t>Due Day: Just the day of the month that payments are due. </a:t>
          </a:r>
          <a:r>
            <a:rPr lang="en-US" sz="1100">
              <a:solidFill>
                <a:schemeClr val="tx1"/>
              </a:solidFill>
              <a:effectLst/>
              <a:latin typeface="+mn-lt"/>
              <a:ea typeface="+mn-ea"/>
              <a:cs typeface="+mn-cs"/>
            </a:rPr>
            <a:t>For end</a:t>
          </a:r>
          <a:r>
            <a:rPr lang="en-US" sz="1100" baseline="0">
              <a:solidFill>
                <a:schemeClr val="tx1"/>
              </a:solidFill>
              <a:effectLst/>
              <a:latin typeface="+mn-lt"/>
              <a:ea typeface="+mn-ea"/>
              <a:cs typeface="+mn-cs"/>
            </a:rPr>
            <a:t> of month due dates input "=</a:t>
          </a:r>
          <a:r>
            <a:rPr lang="en-US" sz="1100" b="0" baseline="0">
              <a:solidFill>
                <a:schemeClr val="tx1"/>
              </a:solidFill>
              <a:effectLst/>
              <a:latin typeface="+mn-lt"/>
              <a:ea typeface="+mn-ea"/>
              <a:cs typeface="+mn-cs"/>
            </a:rPr>
            <a:t>EndDayOfCurrentMonth</a:t>
          </a:r>
          <a:r>
            <a:rPr lang="en-US" sz="1100" baseline="0">
              <a:solidFill>
                <a:schemeClr val="tx1"/>
              </a:solidFill>
              <a:effectLst/>
              <a:latin typeface="+mn-lt"/>
              <a:ea typeface="+mn-ea"/>
              <a:cs typeface="+mn-cs"/>
            </a:rPr>
            <a:t>" in the Due Day column</a:t>
          </a:r>
          <a:endParaRPr lang="en-US">
            <a:effectLst/>
          </a:endParaRPr>
        </a:p>
        <a:p>
          <a:pPr marL="171450" indent="-171450">
            <a:buFont typeface="Arial" panose="020B0604020202020204" pitchFamily="34" charset="0"/>
            <a:buChar char="•"/>
          </a:pPr>
          <a:r>
            <a:rPr lang="en-US" sz="1100"/>
            <a:t>Balance:</a:t>
          </a:r>
          <a:r>
            <a:rPr lang="en-US" sz="1100" baseline="0"/>
            <a:t> Total drawn on the account</a:t>
          </a:r>
        </a:p>
        <a:p>
          <a:pPr marL="171450" indent="-171450">
            <a:buFont typeface="Arial" panose="020B0604020202020204" pitchFamily="34" charset="0"/>
            <a:buChar char="•"/>
          </a:pPr>
          <a:r>
            <a:rPr lang="en-US" sz="1100" baseline="0"/>
            <a:t>Statement: Posted balance</a:t>
          </a:r>
        </a:p>
        <a:p>
          <a:pPr marL="171450" indent="-171450">
            <a:buFont typeface="Arial" panose="020B0604020202020204" pitchFamily="34" charset="0"/>
            <a:buChar char="•"/>
          </a:pPr>
          <a:r>
            <a:rPr lang="en-US" sz="1100" baseline="0"/>
            <a:t>Current (T) Payment: What you intend to pay next time (typically you want it to be the total statement balance)</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1</xdr:col>
      <xdr:colOff>0</xdr:colOff>
      <xdr:row>17</xdr:row>
      <xdr:rowOff>123825</xdr:rowOff>
    </xdr:from>
    <xdr:ext cx="6286501" cy="254557"/>
    <xdr:sp macro="" textlink="">
      <xdr:nvSpPr>
        <xdr:cNvPr id="2" name="TextBox 1">
          <a:extLst>
            <a:ext uri="{FF2B5EF4-FFF2-40B4-BE49-F238E27FC236}">
              <a16:creationId xmlns:a16="http://schemas.microsoft.com/office/drawing/2014/main" id="{F61ED5A9-4FC0-4C22-8680-40C4291474F7}"/>
            </a:ext>
          </a:extLst>
        </xdr:cNvPr>
        <xdr:cNvSpPr txBox="1"/>
      </xdr:nvSpPr>
      <xdr:spPr>
        <a:xfrm>
          <a:off x="581025" y="3067050"/>
          <a:ext cx="6286501" cy="254557"/>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Input any </a:t>
          </a:r>
          <a:r>
            <a:rPr lang="en-US" sz="1100" baseline="0"/>
            <a:t>loans including for a car, house, large purchases etc.</a:t>
          </a:r>
        </a:p>
      </xdr:txBody>
    </xdr:sp>
    <xdr:clientData/>
  </xdr:oneCellAnchor>
</xdr:wsDr>
</file>

<file path=xl/drawings/drawing8.xml><?xml version="1.0" encoding="utf-8"?>
<xdr:wsDr xmlns:xdr="http://schemas.openxmlformats.org/drawingml/2006/spreadsheetDrawing" xmlns:a="http://schemas.openxmlformats.org/drawingml/2006/main">
  <xdr:oneCellAnchor>
    <xdr:from>
      <xdr:col>1</xdr:col>
      <xdr:colOff>0</xdr:colOff>
      <xdr:row>29</xdr:row>
      <xdr:rowOff>9525</xdr:rowOff>
    </xdr:from>
    <xdr:ext cx="6286501" cy="416781"/>
    <xdr:sp macro="" textlink="">
      <xdr:nvSpPr>
        <xdr:cNvPr id="2" name="TextBox 1">
          <a:extLst>
            <a:ext uri="{FF2B5EF4-FFF2-40B4-BE49-F238E27FC236}">
              <a16:creationId xmlns:a16="http://schemas.microsoft.com/office/drawing/2014/main" id="{DCB5B63D-9098-4746-8428-7D784C83B95E}"/>
            </a:ext>
          </a:extLst>
        </xdr:cNvPr>
        <xdr:cNvSpPr txBox="1"/>
      </xdr:nvSpPr>
      <xdr:spPr>
        <a:xfrm>
          <a:off x="142875" y="4733925"/>
          <a:ext cx="6286501" cy="416781"/>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Input all credit card, airline,</a:t>
          </a:r>
          <a:r>
            <a:rPr lang="en-US" sz="1100" baseline="0"/>
            <a:t> hotel or other rewards balances. Do your own research to find cash redemption value and average value.</a:t>
          </a:r>
        </a:p>
      </xdr:txBody>
    </xdr:sp>
    <xdr:clientData/>
  </xdr:oneCellAnchor>
</xdr:wsDr>
</file>

<file path=xl/drawings/drawing9.xml><?xml version="1.0" encoding="utf-8"?>
<xdr:wsDr xmlns:xdr="http://schemas.openxmlformats.org/drawingml/2006/spreadsheetDrawing" xmlns:a="http://schemas.openxmlformats.org/drawingml/2006/main">
  <xdr:oneCellAnchor>
    <xdr:from>
      <xdr:col>9</xdr:col>
      <xdr:colOff>228599</xdr:colOff>
      <xdr:row>27</xdr:row>
      <xdr:rowOff>9525</xdr:rowOff>
    </xdr:from>
    <xdr:ext cx="6286501" cy="3823483"/>
    <xdr:sp macro="" textlink="">
      <xdr:nvSpPr>
        <xdr:cNvPr id="3" name="TextBox 2">
          <a:extLst>
            <a:ext uri="{FF2B5EF4-FFF2-40B4-BE49-F238E27FC236}">
              <a16:creationId xmlns:a16="http://schemas.microsoft.com/office/drawing/2014/main" id="{176160E4-4B7B-4913-82AD-BAD47B8F5881}"/>
            </a:ext>
          </a:extLst>
        </xdr:cNvPr>
        <xdr:cNvSpPr txBox="1"/>
      </xdr:nvSpPr>
      <xdr:spPr>
        <a:xfrm>
          <a:off x="10925174" y="4410075"/>
          <a:ext cx="6286501" cy="3823483"/>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u="sng"/>
            <a:t>Input columns</a:t>
          </a:r>
        </a:p>
        <a:p>
          <a:pPr marL="171450" indent="-171450">
            <a:buFont typeface="Arial" panose="020B0604020202020204" pitchFamily="34" charset="0"/>
            <a:buChar char="•"/>
          </a:pPr>
          <a:r>
            <a:rPr lang="en-US" sz="1100"/>
            <a:t>Line Item:</a:t>
          </a:r>
          <a:r>
            <a:rPr lang="en-US" sz="1100" baseline="0"/>
            <a:t> </a:t>
          </a:r>
          <a:r>
            <a:rPr lang="en-US" sz="1100" b="0" i="0" u="none" strike="noStrike">
              <a:solidFill>
                <a:schemeClr val="tx1"/>
              </a:solidFill>
              <a:effectLst/>
              <a:latin typeface="+mn-lt"/>
              <a:ea typeface="+mn-ea"/>
              <a:cs typeface="+mn-cs"/>
            </a:rPr>
            <a:t>Housing,</a:t>
          </a:r>
          <a:r>
            <a:rPr lang="en-US"/>
            <a:t> </a:t>
          </a:r>
          <a:r>
            <a:rPr lang="en-US" sz="1100" b="0" i="0" u="none" strike="noStrike">
              <a:solidFill>
                <a:schemeClr val="tx1"/>
              </a:solidFill>
              <a:effectLst/>
              <a:latin typeface="+mn-lt"/>
              <a:ea typeface="+mn-ea"/>
              <a:cs typeface="+mn-cs"/>
            </a:rPr>
            <a:t>Dues &amp; Memberships,</a:t>
          </a:r>
          <a:r>
            <a:rPr lang="en-US"/>
            <a:t> </a:t>
          </a:r>
          <a:r>
            <a:rPr lang="en-US" sz="1100" b="0" i="0" u="none" strike="noStrike">
              <a:solidFill>
                <a:schemeClr val="tx1"/>
              </a:solidFill>
              <a:effectLst/>
              <a:latin typeface="+mn-lt"/>
              <a:ea typeface="+mn-ea"/>
              <a:cs typeface="+mn-cs"/>
            </a:rPr>
            <a:t>Transportation,</a:t>
          </a:r>
          <a:r>
            <a:rPr lang="en-US"/>
            <a:t> </a:t>
          </a:r>
          <a:r>
            <a:rPr lang="en-US" sz="1100" b="0" i="0" u="none" strike="noStrike">
              <a:solidFill>
                <a:schemeClr val="tx1"/>
              </a:solidFill>
              <a:effectLst/>
              <a:latin typeface="+mn-lt"/>
              <a:ea typeface="+mn-ea"/>
              <a:cs typeface="+mn-cs"/>
            </a:rPr>
            <a:t>Health,</a:t>
          </a:r>
          <a:r>
            <a:rPr lang="en-US"/>
            <a:t> </a:t>
          </a:r>
          <a:r>
            <a:rPr lang="en-US" sz="1100" b="0" i="0" u="none" strike="noStrike">
              <a:solidFill>
                <a:schemeClr val="tx1"/>
              </a:solidFill>
              <a:effectLst/>
              <a:latin typeface="+mn-lt"/>
              <a:ea typeface="+mn-ea"/>
              <a:cs typeface="+mn-cs"/>
            </a:rPr>
            <a:t>Groceries,</a:t>
          </a:r>
          <a:r>
            <a:rPr lang="en-US"/>
            <a:t> </a:t>
          </a:r>
          <a:r>
            <a:rPr lang="en-US" sz="1100" b="0" i="0" u="none" strike="noStrike">
              <a:solidFill>
                <a:schemeClr val="tx1"/>
              </a:solidFill>
              <a:effectLst/>
              <a:latin typeface="+mn-lt"/>
              <a:ea typeface="+mn-ea"/>
              <a:cs typeface="+mn-cs"/>
            </a:rPr>
            <a:t>Food &amp; Drinks,</a:t>
          </a:r>
          <a:r>
            <a:rPr lang="en-US"/>
            <a:t> </a:t>
          </a:r>
          <a:r>
            <a:rPr lang="en-US" sz="1100" b="0" i="0" u="none" strike="noStrike">
              <a:solidFill>
                <a:schemeClr val="tx1"/>
              </a:solidFill>
              <a:effectLst/>
              <a:latin typeface="+mn-lt"/>
              <a:ea typeface="+mn-ea"/>
              <a:cs typeface="+mn-cs"/>
            </a:rPr>
            <a:t>Brokerage Contributions,</a:t>
          </a:r>
          <a:r>
            <a:rPr lang="en-US"/>
            <a:t> </a:t>
          </a:r>
          <a:r>
            <a:rPr lang="en-US" sz="1100" b="0" i="0" u="none" strike="noStrike">
              <a:solidFill>
                <a:schemeClr val="tx1"/>
              </a:solidFill>
              <a:effectLst/>
              <a:latin typeface="+mn-lt"/>
              <a:ea typeface="+mn-ea"/>
              <a:cs typeface="+mn-cs"/>
            </a:rPr>
            <a:t>Retirement Contributions,</a:t>
          </a:r>
          <a:r>
            <a:rPr lang="en-US"/>
            <a:t> </a:t>
          </a:r>
          <a:r>
            <a:rPr lang="en-US" sz="1100" b="0" i="0" u="none" strike="noStrike">
              <a:solidFill>
                <a:schemeClr val="tx1"/>
              </a:solidFill>
              <a:effectLst/>
              <a:latin typeface="+mn-lt"/>
              <a:ea typeface="+mn-ea"/>
              <a:cs typeface="+mn-cs"/>
            </a:rPr>
            <a:t>Other Deductions,</a:t>
          </a:r>
          <a:r>
            <a:rPr lang="en-US"/>
            <a:t> or </a:t>
          </a:r>
          <a:r>
            <a:rPr lang="en-US" sz="1100" b="0" i="0" u="none" strike="noStrike">
              <a:solidFill>
                <a:schemeClr val="tx1"/>
              </a:solidFill>
              <a:effectLst/>
              <a:latin typeface="+mn-lt"/>
              <a:ea typeface="+mn-ea"/>
              <a:cs typeface="+mn-cs"/>
            </a:rPr>
            <a:t>Salary</a:t>
          </a:r>
          <a:r>
            <a:rPr lang="en-US"/>
            <a:t> </a:t>
          </a:r>
        </a:p>
        <a:p>
          <a:pPr marL="628650" lvl="1" indent="-171450">
            <a:buFont typeface="Arial" panose="020B0604020202020204" pitchFamily="34" charset="0"/>
            <a:buChar char="•"/>
          </a:pPr>
          <a:r>
            <a:rPr lang="en-US" sz="1100" baseline="0"/>
            <a:t>Salary should be pre-everything (tax, medicare, social security, savings deductions, etc). Deductions like taxes can be calculated based on the Precedents inputs</a:t>
          </a:r>
        </a:p>
        <a:p>
          <a:pPr marL="171450" indent="-171450">
            <a:buFont typeface="Arial" panose="020B0604020202020204" pitchFamily="34" charset="0"/>
            <a:buChar char="•"/>
          </a:pPr>
          <a:r>
            <a:rPr lang="en-US" sz="1100" baseline="0"/>
            <a:t>Item: Freeform input to describe the item in the row, unless utilizing the Empower formula (see below)</a:t>
          </a:r>
        </a:p>
        <a:p>
          <a:pPr marL="171450" indent="-171450">
            <a:buFont typeface="Arial" panose="020B0604020202020204" pitchFamily="34" charset="0"/>
            <a:buChar char="•"/>
          </a:pPr>
          <a:r>
            <a:rPr lang="en-US" sz="1100" baseline="0"/>
            <a:t>Any Due Date: </a:t>
          </a:r>
          <a:r>
            <a:rPr lang="en-US" sz="1100" baseline="0">
              <a:solidFill>
                <a:schemeClr val="tx1"/>
              </a:solidFill>
              <a:effectLst/>
              <a:latin typeface="+mn-lt"/>
              <a:ea typeface="+mn-ea"/>
              <a:cs typeface="+mn-cs"/>
            </a:rPr>
            <a:t>Day in which the recurring payment has or will occur. This ensures the formula calculates the correct coming due dates. Input the following formula for end-of month due dates "=EndDayOfCurrentMonth". </a:t>
          </a:r>
        </a:p>
        <a:p>
          <a:pPr marL="171450" indent="-171450">
            <a:buFont typeface="Arial" panose="020B0604020202020204" pitchFamily="34" charset="0"/>
            <a:buChar char="•"/>
          </a:pPr>
          <a:r>
            <a:rPr lang="en-US" sz="1100" baseline="0">
              <a:solidFill>
                <a:schemeClr val="tx1"/>
              </a:solidFill>
              <a:effectLst/>
              <a:latin typeface="+mn-lt"/>
              <a:ea typeface="+mn-ea"/>
              <a:cs typeface="+mn-cs"/>
            </a:rPr>
            <a:t>Every nth time: How often does the payment hit on the recurrence (like 2 for every other)</a:t>
          </a:r>
        </a:p>
        <a:p>
          <a:pPr marL="171450" indent="-171450">
            <a:buFont typeface="Arial" panose="020B0604020202020204" pitchFamily="34" charset="0"/>
            <a:buChar char="•"/>
          </a:pPr>
          <a:endParaRPr lang="en-US" sz="1100" baseline="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 typeface="Arial" panose="020B0604020202020204" pitchFamily="34" charset="0"/>
            <a:buNone/>
            <a:tabLst/>
            <a:defRPr/>
          </a:pPr>
          <a:r>
            <a:rPr lang="en-US" sz="1100" b="1" u="sng">
              <a:solidFill>
                <a:schemeClr val="tx1"/>
              </a:solidFill>
              <a:effectLst/>
              <a:latin typeface="+mn-lt"/>
              <a:ea typeface="+mn-ea"/>
              <a:cs typeface="+mn-cs"/>
            </a:rPr>
            <a:t>Empower specific guidance</a:t>
          </a:r>
          <a:endParaRPr lang="en-US" sz="1100" baseline="0">
            <a:solidFill>
              <a:srgbClr val="FF0000"/>
            </a:solidFill>
            <a:effectLst/>
            <a:latin typeface="+mn-lt"/>
            <a:ea typeface="+mn-ea"/>
            <a:cs typeface="+mn-cs"/>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tx1"/>
              </a:solidFill>
              <a:effectLst/>
              <a:latin typeface="+mn-lt"/>
              <a:ea typeface="+mn-ea"/>
              <a:cs typeface="+mn-cs"/>
            </a:rPr>
            <a:t>In the Item column, input the exact Empower Category from the EMPOWER DATA Summary tab</a:t>
          </a:r>
        </a:p>
        <a:p>
          <a:pPr marL="171450" indent="-171450">
            <a:buFont typeface="Arial" panose="020B0604020202020204" pitchFamily="34" charset="0"/>
            <a:buChar char="•"/>
          </a:pPr>
          <a:r>
            <a:rPr lang="en-US" sz="1100" baseline="0">
              <a:solidFill>
                <a:schemeClr val="tx1"/>
              </a:solidFill>
              <a:effectLst/>
              <a:latin typeface="+mn-lt"/>
              <a:ea typeface="+mn-ea"/>
              <a:cs typeface="+mn-cs"/>
            </a:rPr>
            <a:t>In the Amt column, input =Empower([calculation option])</a:t>
          </a:r>
        </a:p>
        <a:p>
          <a:pPr marL="171450" indent="-171450">
            <a:buFont typeface="Arial" panose="020B0604020202020204" pitchFamily="34" charset="0"/>
            <a:buChar char="•"/>
          </a:pPr>
          <a:r>
            <a:rPr lang="en-US" sz="1100" baseline="0">
              <a:solidFill>
                <a:schemeClr val="tx1"/>
              </a:solidFill>
              <a:effectLst/>
              <a:latin typeface="+mn-lt"/>
              <a:ea typeface="+mn-ea"/>
              <a:cs typeface="+mn-cs"/>
            </a:rPr>
            <a:t>For the [calculation option], you can put in the following (including quotation marks) to configure the Amt you would like:</a:t>
          </a:r>
        </a:p>
        <a:p>
          <a:pPr marL="628650" lvl="1" indent="-171450">
            <a:buFont typeface="Arial" panose="020B0604020202020204" pitchFamily="34" charset="0"/>
            <a:buChar char="•"/>
          </a:pPr>
          <a:r>
            <a:rPr lang="en-US" sz="1100" baseline="0">
              <a:solidFill>
                <a:schemeClr val="tx1"/>
              </a:solidFill>
              <a:effectLst/>
              <a:latin typeface="+mn-lt"/>
              <a:ea typeface="+mn-ea"/>
              <a:cs typeface="+mn-cs"/>
            </a:rPr>
            <a:t>"Last30": Will pull the last 30 day total if Month recurrance, or average for the recurrance</a:t>
          </a:r>
        </a:p>
        <a:p>
          <a:pPr marL="628650" lvl="1" indent="-171450">
            <a:buFont typeface="Arial" panose="020B0604020202020204" pitchFamily="34" charset="0"/>
            <a:buChar char="•"/>
          </a:pPr>
          <a:r>
            <a:rPr lang="en-US" sz="1100" baseline="0">
              <a:solidFill>
                <a:schemeClr val="tx1"/>
              </a:solidFill>
              <a:effectLst/>
              <a:latin typeface="+mn-lt"/>
              <a:ea typeface="+mn-ea"/>
              <a:cs typeface="+mn-cs"/>
            </a:rPr>
            <a:t>"LTM": Will pull the last twelve month total if Year recurrance, or average for the recurrance</a:t>
          </a:r>
        </a:p>
        <a:p>
          <a:pPr marL="628650" marR="0" lvl="1"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tx1"/>
              </a:solidFill>
              <a:effectLst/>
              <a:latin typeface="+mn-lt"/>
              <a:ea typeface="+mn-ea"/>
              <a:cs typeface="+mn-cs"/>
            </a:rPr>
            <a:t>"FullRange": Will pull average for the recurrance</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a:solidFill>
                <a:schemeClr val="tx1"/>
              </a:solidFill>
              <a:effectLst/>
            </a:rPr>
            <a:t>For</a:t>
          </a:r>
          <a:r>
            <a:rPr lang="en-US" sz="1100" baseline="0">
              <a:solidFill>
                <a:schemeClr val="tx1"/>
              </a:solidFill>
              <a:effectLst/>
            </a:rPr>
            <a:t> the Every nth time column, input 1 (the calculation only supports this)</a:t>
          </a:r>
          <a:endParaRPr lang="en-US" sz="1100">
            <a:solidFill>
              <a:schemeClr val="tx1"/>
            </a:solidFill>
            <a:effectLst/>
          </a:endParaRPr>
        </a:p>
      </xdr:txBody>
    </xdr:sp>
    <xdr:clientData/>
  </xdr:oneCellAnchor>
</xdr:wsDr>
</file>

<file path=xl/drawings/drawing10.xml><?xml version="1.0" encoding="utf-8"?>
<xdr:wsDr xmlns:xdr="http://schemas.openxmlformats.org/drawingml/2006/spreadsheetDrawing" xmlns:a="http://schemas.openxmlformats.org/drawingml/2006/main">
  <xdr:oneCellAnchor>
    <xdr:from>
      <xdr:col>1</xdr:col>
      <xdr:colOff>219074</xdr:colOff>
      <xdr:row>18</xdr:row>
      <xdr:rowOff>0</xdr:rowOff>
    </xdr:from>
    <xdr:ext cx="6286501" cy="1714572"/>
    <xdr:sp macro="" textlink="">
      <xdr:nvSpPr>
        <xdr:cNvPr id="2" name="TextBox 1">
          <a:extLst>
            <a:ext uri="{FF2B5EF4-FFF2-40B4-BE49-F238E27FC236}">
              <a16:creationId xmlns:a16="http://schemas.microsoft.com/office/drawing/2014/main" id="{B5767F45-B75F-4CF8-A72A-BFCDD042214B}"/>
            </a:ext>
          </a:extLst>
        </xdr:cNvPr>
        <xdr:cNvSpPr txBox="1"/>
      </xdr:nvSpPr>
      <xdr:spPr>
        <a:xfrm>
          <a:off x="352424" y="2943225"/>
          <a:ext cx="6286501" cy="1714572"/>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u="none"/>
            <a:t>Input all items that are</a:t>
          </a:r>
          <a:r>
            <a:rPr lang="en-US" sz="1100" b="0" u="none" baseline="0"/>
            <a:t> variable based on Salary or Bonus. Reference your pay stub and make calculations.</a:t>
          </a:r>
          <a:endParaRPr lang="en-US" sz="1100" b="0" u="none"/>
        </a:p>
        <a:p>
          <a:endParaRPr lang="en-US" sz="1100" b="0" u="none"/>
        </a:p>
        <a:p>
          <a:r>
            <a:rPr lang="en-US" sz="1100" b="1" u="sng"/>
            <a:t>Columns</a:t>
          </a:r>
        </a:p>
        <a:p>
          <a:pPr marL="171450" indent="-171450">
            <a:buFont typeface="Arial" panose="020B0604020202020204" pitchFamily="34" charset="0"/>
            <a:buChar char="•"/>
          </a:pPr>
          <a:r>
            <a:rPr lang="en-US" sz="1100"/>
            <a:t>Line Item:</a:t>
          </a:r>
          <a:r>
            <a:rPr lang="en-US" sz="1100" baseline="0"/>
            <a:t> </a:t>
          </a:r>
          <a:r>
            <a:rPr lang="en-US" sz="1100" b="0" i="0" u="none" strike="noStrike">
              <a:solidFill>
                <a:schemeClr val="tx1"/>
              </a:solidFill>
              <a:effectLst/>
              <a:latin typeface="+mn-lt"/>
              <a:ea typeface="+mn-ea"/>
              <a:cs typeface="+mn-cs"/>
            </a:rPr>
            <a:t>Taxes, Retirement</a:t>
          </a:r>
          <a:r>
            <a:rPr lang="en-US" sz="1100" b="0" i="0" u="none" strike="noStrike" baseline="0">
              <a:solidFill>
                <a:schemeClr val="tx1"/>
              </a:solidFill>
              <a:effectLst/>
              <a:latin typeface="+mn-lt"/>
              <a:ea typeface="+mn-ea"/>
              <a:cs typeface="+mn-cs"/>
            </a:rPr>
            <a:t> Deductions, Other Deductions, Employer Retirement Contributions</a:t>
          </a:r>
        </a:p>
        <a:p>
          <a:pPr marL="171450" indent="-171450">
            <a:buFont typeface="Arial" panose="020B0604020202020204" pitchFamily="34" charset="0"/>
            <a:buChar char="•"/>
          </a:pPr>
          <a:r>
            <a:rPr lang="en-US" sz="1100" b="0" i="0" u="none" strike="noStrike" baseline="0">
              <a:solidFill>
                <a:schemeClr val="tx1"/>
              </a:solidFill>
              <a:effectLst/>
              <a:latin typeface="+mn-lt"/>
              <a:ea typeface="+mn-ea"/>
              <a:cs typeface="+mn-cs"/>
            </a:rPr>
            <a:t>Item: Things like Federal and State Taxes or 401k contribution (and employer match)</a:t>
          </a:r>
          <a:endParaRPr lang="en-US" sz="1100" baseline="0"/>
        </a:p>
        <a:p>
          <a:pPr marL="171450" indent="-171450">
            <a:buFont typeface="Arial" panose="020B0604020202020204" pitchFamily="34" charset="0"/>
            <a:buChar char="•"/>
          </a:pPr>
          <a:r>
            <a:rPr lang="en-US" sz="1100" baseline="0"/>
            <a:t>Dependent On: What the Item is based on. For example, you might have Federal tax of 20% of Salary and 25% of Bonus</a:t>
          </a:r>
          <a:endParaRPr lang="en-US" sz="1100" baseline="0">
            <a:solidFill>
              <a:schemeClr val="tx1"/>
            </a:solidFill>
            <a:effectLst/>
            <a:latin typeface="+mn-lt"/>
            <a:ea typeface="+mn-ea"/>
            <a:cs typeface="+mn-cs"/>
          </a:endParaRPr>
        </a:p>
        <a:p>
          <a:pPr marL="171450" indent="-171450">
            <a:buFont typeface="Arial" panose="020B0604020202020204" pitchFamily="34" charset="0"/>
            <a:buChar char="•"/>
          </a:pPr>
          <a:r>
            <a:rPr lang="en-US" sz="1100" baseline="0">
              <a:solidFill>
                <a:schemeClr val="tx1"/>
              </a:solidFill>
              <a:effectLst/>
              <a:latin typeface="+mn-lt"/>
              <a:ea typeface="+mn-ea"/>
              <a:cs typeface="+mn-cs"/>
            </a:rPr>
            <a:t>Percentage: Calculate based on your paystub</a:t>
          </a:r>
          <a:endParaRPr lang="en-US" sz="1100" baseline="0"/>
        </a:p>
      </xdr:txBody>
    </xdr:sp>
    <xdr:clientData/>
  </xdr:oneCellAnchor>
</xdr:wsDr>
</file>

<file path=xl/drawings/drawing11.xml><?xml version="1.0" encoding="utf-8"?>
<xdr:wsDr xmlns:xdr="http://schemas.openxmlformats.org/drawingml/2006/spreadsheetDrawing" xmlns:a="http://schemas.openxmlformats.org/drawingml/2006/main">
  <xdr:oneCellAnchor>
    <xdr:from>
      <xdr:col>1</xdr:col>
      <xdr:colOff>533400</xdr:colOff>
      <xdr:row>16</xdr:row>
      <xdr:rowOff>114527</xdr:rowOff>
    </xdr:from>
    <xdr:ext cx="6286501" cy="1227900"/>
    <xdr:sp macro="" textlink="">
      <xdr:nvSpPr>
        <xdr:cNvPr id="2" name="TextBox 1">
          <a:extLst>
            <a:ext uri="{FF2B5EF4-FFF2-40B4-BE49-F238E27FC236}">
              <a16:creationId xmlns:a16="http://schemas.microsoft.com/office/drawing/2014/main" id="{9FDD86FE-0FA9-4613-9788-62BD61807C3B}"/>
            </a:ext>
          </a:extLst>
        </xdr:cNvPr>
        <xdr:cNvSpPr txBox="1"/>
      </xdr:nvSpPr>
      <xdr:spPr>
        <a:xfrm>
          <a:off x="695325" y="2762477"/>
          <a:ext cx="6286501" cy="1227900"/>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u="none"/>
            <a:t>Input</a:t>
          </a:r>
          <a:r>
            <a:rPr lang="en-US" sz="1100" b="0" u="none" baseline="0"/>
            <a:t> all changes to recurring cash flows that you know of or expect. </a:t>
          </a:r>
        </a:p>
        <a:p>
          <a:endParaRPr lang="en-US" sz="1100" b="0" u="none"/>
        </a:p>
        <a:p>
          <a:r>
            <a:rPr lang="en-US" sz="1100" b="1" u="sng"/>
            <a:t>Columns</a:t>
          </a:r>
        </a:p>
        <a:p>
          <a:pPr marL="171450" indent="-171450">
            <a:buFont typeface="Arial" panose="020B0604020202020204" pitchFamily="34" charset="0"/>
            <a:buChar char="•"/>
          </a:pPr>
          <a:r>
            <a:rPr lang="en-US" sz="1100" baseline="0">
              <a:solidFill>
                <a:schemeClr val="tx1"/>
              </a:solidFill>
              <a:effectLst/>
              <a:latin typeface="+mn-lt"/>
              <a:ea typeface="+mn-ea"/>
              <a:cs typeface="+mn-cs"/>
            </a:rPr>
            <a:t>Net Change: What is the dollar amount higher or lower that the recurring item is going to change (per recurrence)</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tx1"/>
              </a:solidFill>
              <a:effectLst/>
              <a:latin typeface="+mn-lt"/>
              <a:ea typeface="+mn-ea"/>
              <a:cs typeface="+mn-cs"/>
            </a:rPr>
            <a:t>Effective Date: Date that the change is expected to take effect</a:t>
          </a:r>
          <a:endParaRPr lang="en-US" sz="1100">
            <a:effectLst/>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tx1"/>
              </a:solidFill>
              <a:effectLst/>
              <a:latin typeface="+mn-lt"/>
              <a:ea typeface="+mn-ea"/>
              <a:cs typeface="+mn-cs"/>
            </a:rPr>
            <a:t>Every nth time: How often does the payment hit on the recurrence (like 2 for every other)</a:t>
          </a:r>
        </a:p>
      </xdr:txBody>
    </xdr:sp>
    <xdr:clientData/>
  </xdr:oneCellAnchor>
</xdr:wsDr>
</file>

<file path=xl/drawings/drawing12.xml><?xml version="1.0" encoding="utf-8"?>
<xdr:wsDr xmlns:xdr="http://schemas.openxmlformats.org/drawingml/2006/spreadsheetDrawing" xmlns:a="http://schemas.openxmlformats.org/drawingml/2006/main">
  <xdr:oneCellAnchor>
    <xdr:from>
      <xdr:col>1</xdr:col>
      <xdr:colOff>219074</xdr:colOff>
      <xdr:row>21</xdr:row>
      <xdr:rowOff>142875</xdr:rowOff>
    </xdr:from>
    <xdr:ext cx="6286501" cy="2363468"/>
    <xdr:sp macro="" textlink="">
      <xdr:nvSpPr>
        <xdr:cNvPr id="2" name="TextBox 1">
          <a:extLst>
            <a:ext uri="{FF2B5EF4-FFF2-40B4-BE49-F238E27FC236}">
              <a16:creationId xmlns:a16="http://schemas.microsoft.com/office/drawing/2014/main" id="{16B7F66D-F9B1-4FF9-BC17-419AAD4C5661}"/>
            </a:ext>
          </a:extLst>
        </xdr:cNvPr>
        <xdr:cNvSpPr txBox="1"/>
      </xdr:nvSpPr>
      <xdr:spPr>
        <a:xfrm>
          <a:off x="390524" y="3733800"/>
          <a:ext cx="6286501" cy="2363468"/>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u="none"/>
            <a:t>Input</a:t>
          </a:r>
          <a:r>
            <a:rPr lang="en-US" sz="1100" b="0" u="none" baseline="0"/>
            <a:t> all one-time planned purchases or inflows</a:t>
          </a:r>
          <a:endParaRPr lang="en-US" sz="1100" b="0" u="none"/>
        </a:p>
        <a:p>
          <a:endParaRPr lang="en-US" sz="1100" b="0" u="none"/>
        </a:p>
        <a:p>
          <a:r>
            <a:rPr lang="en-US" sz="1100" b="1" u="sng"/>
            <a:t>Columns</a:t>
          </a:r>
        </a:p>
        <a:p>
          <a:pPr marL="171450" indent="-171450">
            <a:buFont typeface="Arial" panose="020B0604020202020204" pitchFamily="34" charset="0"/>
            <a:buChar char="•"/>
          </a:pPr>
          <a:r>
            <a:rPr lang="en-US" sz="1100"/>
            <a:t>Line Item:</a:t>
          </a:r>
          <a:r>
            <a:rPr lang="en-US" sz="1100" baseline="0"/>
            <a:t> </a:t>
          </a:r>
          <a:r>
            <a:rPr lang="en-US" sz="1100" b="0" i="0" u="none" strike="noStrike">
              <a:solidFill>
                <a:schemeClr val="tx1"/>
              </a:solidFill>
              <a:effectLst/>
              <a:latin typeface="+mn-lt"/>
              <a:ea typeface="+mn-ea"/>
              <a:cs typeface="+mn-cs"/>
            </a:rPr>
            <a:t>Bonus,</a:t>
          </a:r>
          <a:r>
            <a:rPr lang="en-US"/>
            <a:t> </a:t>
          </a:r>
          <a:r>
            <a:rPr lang="en-US" sz="1100" b="0" i="0" u="none" strike="noStrike">
              <a:solidFill>
                <a:schemeClr val="tx1"/>
              </a:solidFill>
              <a:effectLst/>
              <a:latin typeface="+mn-lt"/>
              <a:ea typeface="+mn-ea"/>
              <a:cs typeface="+mn-cs"/>
            </a:rPr>
            <a:t>Friend Fees,</a:t>
          </a:r>
          <a:r>
            <a:rPr lang="en-US"/>
            <a:t> </a:t>
          </a:r>
          <a:r>
            <a:rPr lang="en-US" sz="1100" b="0" i="0" u="none" strike="noStrike">
              <a:solidFill>
                <a:schemeClr val="tx1"/>
              </a:solidFill>
              <a:effectLst/>
              <a:latin typeface="+mn-lt"/>
              <a:ea typeface="+mn-ea"/>
              <a:cs typeface="+mn-cs"/>
            </a:rPr>
            <a:t>Selling &amp; Refunds,</a:t>
          </a:r>
          <a:r>
            <a:rPr lang="en-US"/>
            <a:t> </a:t>
          </a:r>
          <a:r>
            <a:rPr lang="en-US" sz="1100" b="0" i="0" u="none" strike="noStrike">
              <a:solidFill>
                <a:schemeClr val="tx1"/>
              </a:solidFill>
              <a:effectLst/>
              <a:latin typeface="+mn-lt"/>
              <a:ea typeface="+mn-ea"/>
              <a:cs typeface="+mn-cs"/>
            </a:rPr>
            <a:t>Brokerage Cashout,</a:t>
          </a:r>
          <a:r>
            <a:rPr lang="en-US"/>
            <a:t> </a:t>
          </a:r>
          <a:r>
            <a:rPr lang="en-US" sz="1100" b="0" i="0" u="none" strike="noStrike">
              <a:solidFill>
                <a:schemeClr val="tx1"/>
              </a:solidFill>
              <a:effectLst/>
              <a:latin typeface="+mn-lt"/>
              <a:ea typeface="+mn-ea"/>
              <a:cs typeface="+mn-cs"/>
            </a:rPr>
            <a:t>Other,</a:t>
          </a:r>
          <a:r>
            <a:rPr lang="en-US"/>
            <a:t> </a:t>
          </a:r>
          <a:r>
            <a:rPr lang="en-US" sz="1100" b="0" i="0" u="none" strike="noStrike">
              <a:solidFill>
                <a:schemeClr val="tx1"/>
              </a:solidFill>
              <a:effectLst/>
              <a:latin typeface="+mn-lt"/>
              <a:ea typeface="+mn-ea"/>
              <a:cs typeface="+mn-cs"/>
            </a:rPr>
            <a:t>Housing,</a:t>
          </a:r>
          <a:r>
            <a:rPr lang="en-US"/>
            <a:t> </a:t>
          </a:r>
          <a:r>
            <a:rPr lang="en-US" sz="1100" b="0" i="0" u="none" strike="noStrike">
              <a:solidFill>
                <a:schemeClr val="tx1"/>
              </a:solidFill>
              <a:effectLst/>
              <a:latin typeface="+mn-lt"/>
              <a:ea typeface="+mn-ea"/>
              <a:cs typeface="+mn-cs"/>
            </a:rPr>
            <a:t>Transportation,</a:t>
          </a:r>
          <a:r>
            <a:rPr lang="en-US"/>
            <a:t> </a:t>
          </a:r>
          <a:r>
            <a:rPr lang="en-US" sz="1100" b="0" i="0" u="none" strike="noStrike">
              <a:solidFill>
                <a:schemeClr val="tx1"/>
              </a:solidFill>
              <a:effectLst/>
              <a:latin typeface="+mn-lt"/>
              <a:ea typeface="+mn-ea"/>
              <a:cs typeface="+mn-cs"/>
            </a:rPr>
            <a:t>Wishlist,</a:t>
          </a:r>
          <a:r>
            <a:rPr lang="en-US"/>
            <a:t> or </a:t>
          </a:r>
          <a:r>
            <a:rPr lang="en-US" sz="1100" b="0" i="0" u="none" strike="noStrike">
              <a:solidFill>
                <a:schemeClr val="tx1"/>
              </a:solidFill>
              <a:effectLst/>
              <a:latin typeface="+mn-lt"/>
              <a:ea typeface="+mn-ea"/>
              <a:cs typeface="+mn-cs"/>
            </a:rPr>
            <a:t>Travel &amp; Events</a:t>
          </a:r>
        </a:p>
        <a:p>
          <a:pPr marL="171450" indent="-171450">
            <a:buFont typeface="Arial" panose="020B0604020202020204" pitchFamily="34" charset="0"/>
            <a:buChar char="•"/>
          </a:pPr>
          <a:r>
            <a:rPr lang="en-US" sz="1100" b="0" i="0" u="none" strike="noStrike" baseline="0">
              <a:solidFill>
                <a:schemeClr val="tx1"/>
              </a:solidFill>
              <a:effectLst/>
              <a:latin typeface="+mn-lt"/>
              <a:ea typeface="+mn-ea"/>
              <a:cs typeface="+mn-cs"/>
            </a:rPr>
            <a:t>Item: Things like an expected bonus, travel costs, brokerage account cashouts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tx1"/>
              </a:solidFill>
              <a:effectLst/>
              <a:latin typeface="+mn-lt"/>
              <a:ea typeface="+mn-ea"/>
              <a:cs typeface="+mn-cs"/>
            </a:rPr>
            <a:t>Effective Date: Date that you expect the inflow or outflow to occur. </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endParaRPr lang="en-US" sz="1100" baseline="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 typeface="Arial" panose="020B0604020202020204" pitchFamily="34" charset="0"/>
            <a:buNone/>
            <a:tabLst/>
            <a:defRPr/>
          </a:pPr>
          <a:r>
            <a:rPr lang="en-US" sz="1100" u="sng" baseline="0">
              <a:solidFill>
                <a:schemeClr val="tx1"/>
              </a:solidFill>
              <a:effectLst/>
              <a:latin typeface="+mn-lt"/>
              <a:ea typeface="+mn-ea"/>
              <a:cs typeface="+mn-cs"/>
            </a:rPr>
            <a:t>Credit Card specific guidance:</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tx1"/>
              </a:solidFill>
              <a:effectLst/>
              <a:latin typeface="+mn-lt"/>
              <a:ea typeface="+mn-ea"/>
              <a:cs typeface="+mn-cs"/>
            </a:rPr>
            <a:t>Account: If Credit Card payment, ensure the input matches the same name in the Credit Cards tab</a:t>
          </a:r>
          <a:endParaRPr lang="en-US" sz="1100">
            <a:effectLst/>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tx1"/>
              </a:solidFill>
              <a:effectLst/>
              <a:latin typeface="+mn-lt"/>
              <a:ea typeface="+mn-ea"/>
              <a:cs typeface="+mn-cs"/>
            </a:rPr>
            <a:t>Effective Date: If a Credit Card payment, use the function CurrentDueDate or NextDueDate and reference the Account column</a:t>
          </a:r>
          <a:endParaRPr lang="en-US" sz="1100">
            <a:effectLst/>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endParaRPr lang="en-US" sz="1100" baseline="0">
            <a:solidFill>
              <a:schemeClr val="tx1"/>
            </a:solidFill>
            <a:effectLst/>
            <a:latin typeface="+mn-lt"/>
            <a:ea typeface="+mn-ea"/>
            <a:cs typeface="+mn-cs"/>
          </a:endParaRPr>
        </a:p>
      </xdr:txBody>
    </xdr:sp>
    <xdr:clientData/>
  </xdr:oneCellAnchor>
</xdr:wsDr>
</file>

<file path=xl/drawings/drawing13.xml><?xml version="1.0" encoding="utf-8"?>
<xdr:wsDr xmlns:xdr="http://schemas.openxmlformats.org/drawingml/2006/spreadsheetDrawing" xmlns:a="http://schemas.openxmlformats.org/drawingml/2006/main">
  <xdr:oneCellAnchor>
    <xdr:from>
      <xdr:col>3</xdr:col>
      <xdr:colOff>0</xdr:colOff>
      <xdr:row>2</xdr:row>
      <xdr:rowOff>0</xdr:rowOff>
    </xdr:from>
    <xdr:ext cx="4876799" cy="323850"/>
    <xdr:sp macro="" textlink="">
      <xdr:nvSpPr>
        <xdr:cNvPr id="2" name="TextBox 1">
          <a:extLst>
            <a:ext uri="{FF2B5EF4-FFF2-40B4-BE49-F238E27FC236}">
              <a16:creationId xmlns:a16="http://schemas.microsoft.com/office/drawing/2014/main" id="{5152BB99-5B32-4DEF-B976-DC8DEBDA85B2}"/>
            </a:ext>
          </a:extLst>
        </xdr:cNvPr>
        <xdr:cNvSpPr txBox="1"/>
      </xdr:nvSpPr>
      <xdr:spPr>
        <a:xfrm>
          <a:off x="4181475" y="1457325"/>
          <a:ext cx="4876799" cy="323850"/>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0" u="none"/>
            <a:t>Elect which account you are going to have all your cash flow in and out of</a:t>
          </a:r>
          <a:endParaRPr lang="en-US" sz="1100">
            <a:effectLst/>
          </a:endParaRPr>
        </a:p>
      </xdr:txBody>
    </xdr:sp>
    <xdr:clientData/>
  </xdr:oneCellAnchor>
  <xdr:oneCellAnchor>
    <xdr:from>
      <xdr:col>3</xdr:col>
      <xdr:colOff>0</xdr:colOff>
      <xdr:row>5</xdr:row>
      <xdr:rowOff>0</xdr:rowOff>
    </xdr:from>
    <xdr:ext cx="4876799" cy="647700"/>
    <xdr:sp macro="" textlink="">
      <xdr:nvSpPr>
        <xdr:cNvPr id="3" name="TextBox 2">
          <a:extLst>
            <a:ext uri="{FF2B5EF4-FFF2-40B4-BE49-F238E27FC236}">
              <a16:creationId xmlns:a16="http://schemas.microsoft.com/office/drawing/2014/main" id="{2A859425-3763-6596-C363-6B79BCB2B839}"/>
            </a:ext>
          </a:extLst>
        </xdr:cNvPr>
        <xdr:cNvSpPr txBox="1"/>
      </xdr:nvSpPr>
      <xdr:spPr>
        <a:xfrm>
          <a:off x="4181475" y="1943100"/>
          <a:ext cx="4876799" cy="647700"/>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0" u="none"/>
            <a:t>How much of</a:t>
          </a:r>
          <a:r>
            <a:rPr lang="en-US" sz="1100" b="0" u="none" baseline="0"/>
            <a:t> a balance you want to hold in each account. Based on the number of months of outflows that you want to make sure you have in the accounts</a:t>
          </a:r>
        </a:p>
      </xdr:txBody>
    </xdr:sp>
    <xdr:clientData/>
  </xdr:oneCellAnchor>
</xdr:wsDr>
</file>

<file path=xl/drawings/drawing14.xml><?xml version="1.0" encoding="utf-8"?>
<xdr:wsDr xmlns:xdr="http://schemas.openxmlformats.org/drawingml/2006/spreadsheetDrawing" xmlns:a="http://schemas.openxmlformats.org/drawingml/2006/main">
  <xdr:oneCellAnchor>
    <xdr:from>
      <xdr:col>8</xdr:col>
      <xdr:colOff>383198</xdr:colOff>
      <xdr:row>0</xdr:row>
      <xdr:rowOff>104775</xdr:rowOff>
    </xdr:from>
    <xdr:ext cx="5722327" cy="2850139"/>
    <xdr:sp macro="" textlink="">
      <xdr:nvSpPr>
        <xdr:cNvPr id="2" name="TextBox 1">
          <a:extLst>
            <a:ext uri="{FF2B5EF4-FFF2-40B4-BE49-F238E27FC236}">
              <a16:creationId xmlns:a16="http://schemas.microsoft.com/office/drawing/2014/main" id="{9DC045E2-3656-448D-BA43-7870E9E126A2}"/>
            </a:ext>
          </a:extLst>
        </xdr:cNvPr>
        <xdr:cNvSpPr txBox="1"/>
      </xdr:nvSpPr>
      <xdr:spPr>
        <a:xfrm>
          <a:off x="10679723" y="104775"/>
          <a:ext cx="5722327" cy="2850139"/>
        </a:xfrm>
        <a:prstGeom prst="rect">
          <a:avLst/>
        </a:prstGeom>
        <a:solidFill>
          <a:srgbClr val="DEEB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u="none" baseline="0"/>
            <a:t>Empower Personal Dashboard is the only provider I have found that can aggregate transactions across cash and credit accounts, for an aggregated view of all transactions. If you want, make an Empower account and connect your banking. Then, follow the below to paste in your LTM transacitons. Once you do, you can use the information to populate into the Recurring tab.</a:t>
          </a:r>
        </a:p>
        <a:p>
          <a:endParaRPr lang="en-US" sz="1100" b="0" u="none" baseline="0"/>
        </a:p>
        <a:p>
          <a:r>
            <a:rPr lang="en-US" sz="1100" b="0" u="none" baseline="0"/>
            <a:t>1) In your browser, go to Banking&gt;Cash Flow in the top banner</a:t>
          </a:r>
        </a:p>
        <a:p>
          <a:r>
            <a:rPr lang="en-US" sz="1100" b="0" u="none" baseline="0"/>
            <a:t>2) Filter for All accounts and 1 year</a:t>
          </a:r>
        </a:p>
        <a:p>
          <a:endParaRPr lang="en-US" sz="1100" b="0" u="none" baseline="0"/>
        </a:p>
        <a:p>
          <a:endParaRPr lang="en-US" sz="1100" b="0" u="none" baseline="0"/>
        </a:p>
        <a:p>
          <a:endParaRPr lang="en-US" sz="1100" b="0" u="none" baseline="0"/>
        </a:p>
        <a:p>
          <a:endParaRPr lang="en-US" sz="1100" b="0" u="none" baseline="0"/>
        </a:p>
        <a:p>
          <a:endParaRPr lang="en-US" sz="1100" b="0" u="none" baseline="0"/>
        </a:p>
        <a:p>
          <a:r>
            <a:rPr lang="en-US" sz="1100" b="0" u="none" baseline="0"/>
            <a:t>3) Find this            logo and save where comfortable</a:t>
          </a:r>
        </a:p>
        <a:p>
          <a:r>
            <a:rPr lang="en-US" sz="1100" b="0" u="none" baseline="0"/>
            <a:t>4) Open the new file</a:t>
          </a:r>
        </a:p>
        <a:p>
          <a:r>
            <a:rPr lang="en-US" sz="1100" b="0" u="none" baseline="0"/>
            <a:t>5) Copy from columns A to F, and down to the end of the available data</a:t>
          </a:r>
        </a:p>
        <a:p>
          <a:r>
            <a:rPr lang="en-US" sz="1100" b="0" u="none" baseline="0"/>
            <a:t>6) Paste in A3</a:t>
          </a:r>
        </a:p>
      </xdr:txBody>
    </xdr:sp>
    <xdr:clientData/>
  </xdr:oneCellAnchor>
  <xdr:twoCellAnchor editAs="oneCell">
    <xdr:from>
      <xdr:col>9</xdr:col>
      <xdr:colOff>30773</xdr:colOff>
      <xdr:row>9</xdr:row>
      <xdr:rowOff>9525</xdr:rowOff>
    </xdr:from>
    <xdr:to>
      <xdr:col>16</xdr:col>
      <xdr:colOff>326694</xdr:colOff>
      <xdr:row>11</xdr:row>
      <xdr:rowOff>114360</xdr:rowOff>
    </xdr:to>
    <xdr:pic>
      <xdr:nvPicPr>
        <xdr:cNvPr id="6" name="Picture 5">
          <a:extLst>
            <a:ext uri="{FF2B5EF4-FFF2-40B4-BE49-F238E27FC236}">
              <a16:creationId xmlns:a16="http://schemas.microsoft.com/office/drawing/2014/main" id="{38A1028A-86EC-1C51-4BA3-8912DF6CE985}"/>
            </a:ext>
          </a:extLst>
        </xdr:cNvPr>
        <xdr:cNvPicPr>
          <a:picLocks noChangeAspect="1"/>
        </xdr:cNvPicPr>
      </xdr:nvPicPr>
      <xdr:blipFill>
        <a:blip xmlns:r="http://schemas.openxmlformats.org/officeDocument/2006/relationships" r:embed="rId1"/>
        <a:stretch>
          <a:fillRect/>
        </a:stretch>
      </xdr:blipFill>
      <xdr:spPr>
        <a:xfrm>
          <a:off x="11003573" y="1495425"/>
          <a:ext cx="4629796" cy="428685"/>
        </a:xfrm>
        <a:prstGeom prst="rect">
          <a:avLst/>
        </a:prstGeom>
      </xdr:spPr>
    </xdr:pic>
    <xdr:clientData/>
  </xdr:twoCellAnchor>
  <xdr:twoCellAnchor editAs="oneCell">
    <xdr:from>
      <xdr:col>9</xdr:col>
      <xdr:colOff>554648</xdr:colOff>
      <xdr:row>12</xdr:row>
      <xdr:rowOff>66675</xdr:rowOff>
    </xdr:from>
    <xdr:to>
      <xdr:col>10</xdr:col>
      <xdr:colOff>211795</xdr:colOff>
      <xdr:row>14</xdr:row>
      <xdr:rowOff>95299</xdr:rowOff>
    </xdr:to>
    <xdr:pic>
      <xdr:nvPicPr>
        <xdr:cNvPr id="7" name="Picture 6">
          <a:extLst>
            <a:ext uri="{FF2B5EF4-FFF2-40B4-BE49-F238E27FC236}">
              <a16:creationId xmlns:a16="http://schemas.microsoft.com/office/drawing/2014/main" id="{8229DFEC-3051-C752-D5D7-CE62F4CF5520}"/>
            </a:ext>
          </a:extLst>
        </xdr:cNvPr>
        <xdr:cNvPicPr>
          <a:picLocks noChangeAspect="1"/>
        </xdr:cNvPicPr>
      </xdr:nvPicPr>
      <xdr:blipFill>
        <a:blip xmlns:r="http://schemas.openxmlformats.org/officeDocument/2006/relationships" r:embed="rId2"/>
        <a:stretch>
          <a:fillRect/>
        </a:stretch>
      </xdr:blipFill>
      <xdr:spPr>
        <a:xfrm>
          <a:off x="11527448" y="2038350"/>
          <a:ext cx="333422" cy="352474"/>
        </a:xfrm>
        <a:prstGeom prst="rect">
          <a:avLst/>
        </a:prstGeom>
      </xdr:spPr>
    </xdr:pic>
    <xdr:clientData/>
  </xdr:twoCellAnchor>
  <xdr:twoCellAnchor>
    <xdr:from>
      <xdr:col>0</xdr:col>
      <xdr:colOff>347004</xdr:colOff>
      <xdr:row>1</xdr:row>
      <xdr:rowOff>43945</xdr:rowOff>
    </xdr:from>
    <xdr:to>
      <xdr:col>8</xdr:col>
      <xdr:colOff>383199</xdr:colOff>
      <xdr:row>2</xdr:row>
      <xdr:rowOff>0</xdr:rowOff>
    </xdr:to>
    <xdr:cxnSp macro="">
      <xdr:nvCxnSpPr>
        <xdr:cNvPr id="12" name="Connector: Elbow 11">
          <a:extLst>
            <a:ext uri="{FF2B5EF4-FFF2-40B4-BE49-F238E27FC236}">
              <a16:creationId xmlns:a16="http://schemas.microsoft.com/office/drawing/2014/main" id="{09F9ED39-DBAE-59EA-8E6A-450E54860D16}"/>
            </a:ext>
          </a:extLst>
        </xdr:cNvPr>
        <xdr:cNvCxnSpPr/>
      </xdr:nvCxnSpPr>
      <xdr:spPr>
        <a:xfrm rot="10800000" flipV="1">
          <a:off x="347004" y="205870"/>
          <a:ext cx="10332720" cy="117980"/>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Sheets">
  <a:themeElements>
    <a:clrScheme name="PNC">
      <a:dk1>
        <a:srgbClr val="000000"/>
      </a:dk1>
      <a:lt1>
        <a:srgbClr val="FFFFFF"/>
      </a:lt1>
      <a:dk2>
        <a:srgbClr val="005288"/>
      </a:dk2>
      <a:lt2>
        <a:srgbClr val="DCF1F7"/>
      </a:lt2>
      <a:accent1>
        <a:srgbClr val="5B9BD5"/>
      </a:accent1>
      <a:accent2>
        <a:srgbClr val="ED9131"/>
      </a:accent2>
      <a:accent3>
        <a:srgbClr val="70AD47"/>
      </a:accent3>
      <a:accent4>
        <a:srgbClr val="FCC000"/>
      </a:accent4>
      <a:accent5>
        <a:srgbClr val="4472C4"/>
      </a:accent5>
      <a:accent6>
        <a:srgbClr val="A5A5A5"/>
      </a:accent6>
      <a:hlink>
        <a:srgbClr val="7F7F7F"/>
      </a:hlink>
      <a:folHlink>
        <a:srgbClr val="ABB0B4"/>
      </a:folHlink>
    </a:clrScheme>
    <a:fontScheme name="PNC_Arial">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support.microsoft.com/en-us/topic/a-potentially-dangerous-macro-has-been-blocked-0952faa0-37e7-4316-b61d-5b5ed6024216"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7.bin"/></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32A20-D9A6-4E50-97AD-C21F6F219053}">
  <sheetPr codeName="Sheet2">
    <tabColor rgb="FFC00000"/>
  </sheetPr>
  <dimension ref="B2:E45"/>
  <sheetViews>
    <sheetView tabSelected="1" workbookViewId="0">
      <selection activeCell="O12" sqref="O12"/>
    </sheetView>
  </sheetViews>
  <sheetFormatPr defaultRowHeight="12.75" x14ac:dyDescent="0.2"/>
  <cols>
    <col min="1" max="1" width="2.85546875" customWidth="1"/>
    <col min="2" max="2" width="2.7109375" customWidth="1"/>
    <col min="3" max="3" width="20.85546875" bestFit="1" customWidth="1"/>
    <col min="4" max="4" width="2.140625" bestFit="1" customWidth="1"/>
  </cols>
  <sheetData>
    <row r="2" spans="2:3" x14ac:dyDescent="0.2">
      <c r="B2" s="28" t="s">
        <v>331</v>
      </c>
    </row>
    <row r="3" spans="2:3" x14ac:dyDescent="0.2">
      <c r="B3" s="237" t="s">
        <v>332</v>
      </c>
    </row>
    <row r="5" spans="2:3" x14ac:dyDescent="0.2">
      <c r="B5" s="28" t="s">
        <v>334</v>
      </c>
    </row>
    <row r="7" spans="2:3" s="165" customFormat="1" x14ac:dyDescent="0.2">
      <c r="B7" s="56" t="s">
        <v>333</v>
      </c>
      <c r="C7" s="56"/>
    </row>
    <row r="9" spans="2:3" x14ac:dyDescent="0.2">
      <c r="B9" s="151" t="s">
        <v>223</v>
      </c>
      <c r="C9" s="151"/>
    </row>
    <row r="10" spans="2:3" x14ac:dyDescent="0.2">
      <c r="B10" s="28" t="s">
        <v>224</v>
      </c>
      <c r="C10" s="28" t="s">
        <v>225</v>
      </c>
    </row>
    <row r="11" spans="2:3" x14ac:dyDescent="0.2">
      <c r="B11" s="28" t="s">
        <v>226</v>
      </c>
      <c r="C11" s="28" t="s">
        <v>227</v>
      </c>
    </row>
    <row r="12" spans="2:3" x14ac:dyDescent="0.2">
      <c r="B12" s="28" t="s">
        <v>228</v>
      </c>
      <c r="C12" s="28" t="s">
        <v>242</v>
      </c>
    </row>
    <row r="13" spans="2:3" x14ac:dyDescent="0.2">
      <c r="B13" s="28" t="s">
        <v>229</v>
      </c>
      <c r="C13" s="28" t="s">
        <v>230</v>
      </c>
    </row>
    <row r="14" spans="2:3" x14ac:dyDescent="0.2">
      <c r="B14" s="28"/>
      <c r="C14" s="28"/>
    </row>
    <row r="15" spans="2:3" s="165" customFormat="1" x14ac:dyDescent="0.2">
      <c r="B15" s="56" t="s">
        <v>171</v>
      </c>
      <c r="C15" s="56"/>
    </row>
    <row r="17" spans="2:5" x14ac:dyDescent="0.2">
      <c r="B17" s="151" t="s">
        <v>147</v>
      </c>
      <c r="C17" s="151"/>
    </row>
    <row r="18" spans="2:5" x14ac:dyDescent="0.2">
      <c r="B18" s="28" t="s">
        <v>109</v>
      </c>
      <c r="C18" s="28"/>
      <c r="D18" s="88" t="s">
        <v>97</v>
      </c>
      <c r="E18" s="28" t="s">
        <v>243</v>
      </c>
    </row>
    <row r="19" spans="2:5" x14ac:dyDescent="0.2">
      <c r="B19" s="28" t="s">
        <v>111</v>
      </c>
      <c r="C19" s="28"/>
      <c r="D19" s="88" t="s">
        <v>97</v>
      </c>
      <c r="E19" s="28" t="s">
        <v>110</v>
      </c>
    </row>
    <row r="20" spans="2:5" x14ac:dyDescent="0.2">
      <c r="B20" s="28" t="s">
        <v>31</v>
      </c>
      <c r="C20" s="28"/>
      <c r="D20" s="88" t="s">
        <v>97</v>
      </c>
      <c r="E20" s="28" t="s">
        <v>244</v>
      </c>
    </row>
    <row r="21" spans="2:5" x14ac:dyDescent="0.2">
      <c r="B21" s="28" t="s">
        <v>30</v>
      </c>
      <c r="C21" s="28"/>
      <c r="D21" s="88" t="s">
        <v>97</v>
      </c>
      <c r="E21" s="28" t="s">
        <v>245</v>
      </c>
    </row>
    <row r="22" spans="2:5" x14ac:dyDescent="0.2">
      <c r="B22" s="28" t="s">
        <v>112</v>
      </c>
      <c r="C22" s="28"/>
      <c r="D22" s="88" t="s">
        <v>97</v>
      </c>
      <c r="E22" s="28" t="s">
        <v>246</v>
      </c>
    </row>
    <row r="23" spans="2:5" x14ac:dyDescent="0.2">
      <c r="B23" s="28" t="s">
        <v>7</v>
      </c>
      <c r="C23" s="28"/>
      <c r="D23" s="28" t="s">
        <v>97</v>
      </c>
      <c r="E23" t="s">
        <v>162</v>
      </c>
    </row>
    <row r="24" spans="2:5" x14ac:dyDescent="0.2">
      <c r="B24" s="28"/>
      <c r="C24" s="28"/>
      <c r="D24" s="88"/>
      <c r="E24" s="28"/>
    </row>
    <row r="25" spans="2:5" x14ac:dyDescent="0.2">
      <c r="B25" s="151" t="s">
        <v>148</v>
      </c>
      <c r="C25" s="151"/>
      <c r="D25" s="88"/>
      <c r="E25" s="28"/>
    </row>
    <row r="26" spans="2:5" x14ac:dyDescent="0.2">
      <c r="B26" s="29" t="s">
        <v>108</v>
      </c>
      <c r="C26" s="29"/>
      <c r="D26" s="88" t="s">
        <v>97</v>
      </c>
      <c r="E26" s="28" t="s">
        <v>323</v>
      </c>
    </row>
    <row r="27" spans="2:5" x14ac:dyDescent="0.2">
      <c r="B27" s="87" t="s">
        <v>107</v>
      </c>
      <c r="C27" s="87"/>
      <c r="D27" s="88" t="s">
        <v>97</v>
      </c>
      <c r="E27" s="28" t="s">
        <v>322</v>
      </c>
    </row>
    <row r="28" spans="2:5" x14ac:dyDescent="0.2">
      <c r="B28" s="86" t="s">
        <v>96</v>
      </c>
      <c r="C28" s="86"/>
      <c r="D28" s="88" t="s">
        <v>97</v>
      </c>
      <c r="E28" s="28" t="s">
        <v>252</v>
      </c>
    </row>
    <row r="29" spans="2:5" x14ac:dyDescent="0.2">
      <c r="B29" s="128"/>
      <c r="C29" s="128"/>
      <c r="D29" s="88"/>
      <c r="E29" s="28"/>
    </row>
    <row r="30" spans="2:5" x14ac:dyDescent="0.2">
      <c r="B30" s="152" t="s">
        <v>221</v>
      </c>
      <c r="C30" s="152"/>
      <c r="D30" s="88"/>
      <c r="E30" s="28"/>
    </row>
    <row r="31" spans="2:5" x14ac:dyDescent="0.2">
      <c r="B31" s="28" t="s">
        <v>140</v>
      </c>
      <c r="C31" s="28"/>
      <c r="D31" s="28" t="s">
        <v>97</v>
      </c>
      <c r="E31" t="s">
        <v>161</v>
      </c>
    </row>
    <row r="32" spans="2:5" x14ac:dyDescent="0.2">
      <c r="B32" s="28" t="s">
        <v>142</v>
      </c>
      <c r="C32" s="28"/>
      <c r="D32" s="28" t="s">
        <v>97</v>
      </c>
      <c r="E32" t="s">
        <v>141</v>
      </c>
    </row>
    <row r="33" spans="2:5" x14ac:dyDescent="0.2">
      <c r="B33" s="28" t="s">
        <v>143</v>
      </c>
      <c r="C33" s="28"/>
      <c r="D33" s="28" t="s">
        <v>97</v>
      </c>
      <c r="E33" t="s">
        <v>146</v>
      </c>
    </row>
    <row r="34" spans="2:5" x14ac:dyDescent="0.2">
      <c r="B34" s="28" t="s">
        <v>144</v>
      </c>
      <c r="C34" s="28"/>
      <c r="D34" s="28" t="s">
        <v>97</v>
      </c>
      <c r="E34" t="s">
        <v>145</v>
      </c>
    </row>
    <row r="41" spans="2:5" s="165" customFormat="1" x14ac:dyDescent="0.2">
      <c r="B41" s="56" t="s">
        <v>222</v>
      </c>
      <c r="C41" s="56"/>
    </row>
    <row r="43" spans="2:5" x14ac:dyDescent="0.2">
      <c r="B43" s="28" t="s">
        <v>241</v>
      </c>
      <c r="C43" s="28"/>
    </row>
    <row r="44" spans="2:5" x14ac:dyDescent="0.2">
      <c r="B44" s="28" t="s">
        <v>170</v>
      </c>
      <c r="C44" s="28"/>
    </row>
    <row r="45" spans="2:5" x14ac:dyDescent="0.2">
      <c r="B45" s="28" t="s">
        <v>169</v>
      </c>
      <c r="C45" s="28"/>
    </row>
  </sheetData>
  <hyperlinks>
    <hyperlink ref="B3" r:id="rId1" xr:uid="{6E7E095D-EE2F-4453-9FDD-E77D8BD91985}"/>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B6A0A3-6000-4FCF-9738-A3321631AF9A}">
  <sheetPr codeName="Sheet5"/>
  <dimension ref="A1"/>
  <sheetViews>
    <sheetView workbookViewId="0"/>
  </sheetViews>
  <sheetFormatPr defaultRowHeight="12.75" x14ac:dyDescent="0.2"/>
  <cols>
    <col min="1" max="16384" width="9.140625" style="27"/>
  </cols>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1B05C2-B667-4769-8178-2C34FF729726}">
  <sheetPr codeName="Sheet6">
    <tabColor theme="7"/>
  </sheetPr>
  <dimension ref="A1:AF506"/>
  <sheetViews>
    <sheetView workbookViewId="0">
      <selection activeCell="K21" sqref="K21"/>
    </sheetView>
  </sheetViews>
  <sheetFormatPr defaultColWidth="7.7109375" defaultRowHeight="12.75" x14ac:dyDescent="0.2"/>
  <cols>
    <col min="1" max="1" width="1.85546875" style="228" customWidth="1"/>
    <col min="2" max="2" width="30.5703125" style="5" bestFit="1" customWidth="1"/>
    <col min="3" max="3" width="10.28515625" style="5" customWidth="1"/>
    <col min="4" max="11" width="11.28515625" style="5" bestFit="1" customWidth="1"/>
    <col min="12" max="14" width="12.28515625" style="5" bestFit="1" customWidth="1"/>
    <col min="15" max="15" width="1.28515625" style="5" customWidth="1"/>
    <col min="16" max="16" width="10.42578125" style="5" customWidth="1"/>
    <col min="17" max="17" width="1" style="34" customWidth="1"/>
    <col min="18" max="18" width="30.42578125" style="34" bestFit="1" customWidth="1"/>
    <col min="19" max="19" width="9.85546875" style="5" bestFit="1" customWidth="1"/>
    <col min="20" max="20" width="10.42578125" style="5" bestFit="1" customWidth="1"/>
    <col min="21" max="21" width="14.5703125" style="5" customWidth="1"/>
    <col min="22" max="22" width="10.42578125" style="6" bestFit="1" customWidth="1"/>
    <col min="23" max="23" width="10.42578125" style="5" customWidth="1"/>
    <col min="24" max="26" width="9.140625" style="5" customWidth="1"/>
    <col min="27" max="27" width="7.7109375" style="5"/>
    <col min="28" max="28" width="18.85546875" style="5" customWidth="1"/>
    <col min="29" max="29" width="22" style="5" bestFit="1" customWidth="1"/>
    <col min="30" max="30" width="7.7109375" style="5"/>
    <col min="31" max="31" width="10.42578125" style="5" bestFit="1" customWidth="1"/>
    <col min="32" max="33" width="7.7109375" style="5"/>
    <col min="34" max="34" width="10.42578125" style="5" bestFit="1" customWidth="1"/>
    <col min="35" max="16384" width="7.7109375" style="5"/>
  </cols>
  <sheetData>
    <row r="1" spans="1:32" ht="5.0999999999999996" customHeight="1" x14ac:dyDescent="0.2">
      <c r="A1" s="229"/>
      <c r="B1" s="62"/>
      <c r="C1" s="16"/>
      <c r="D1" s="16"/>
      <c r="E1" s="16"/>
      <c r="F1" s="16"/>
      <c r="G1" s="16"/>
      <c r="H1" s="16"/>
      <c r="I1" s="16"/>
      <c r="J1" s="16"/>
      <c r="K1" s="16"/>
      <c r="L1" s="16"/>
      <c r="M1" s="16"/>
      <c r="N1" s="16"/>
      <c r="O1" s="16"/>
      <c r="P1" s="45"/>
      <c r="Q1" s="46" t="s">
        <v>41</v>
      </c>
      <c r="U1" s="13"/>
      <c r="V1" s="13"/>
      <c r="W1" s="15"/>
    </row>
    <row r="2" spans="1:32" ht="12.75" customHeight="1" x14ac:dyDescent="0.2">
      <c r="A2" s="226"/>
      <c r="B2" s="63" t="s">
        <v>29</v>
      </c>
      <c r="C2" s="3"/>
      <c r="D2" s="3"/>
      <c r="E2" s="4"/>
      <c r="F2" s="4"/>
      <c r="G2" s="4"/>
      <c r="H2" s="4"/>
      <c r="I2" s="4"/>
      <c r="J2" s="4"/>
      <c r="K2" s="4"/>
      <c r="L2" s="4"/>
      <c r="M2" s="4"/>
      <c r="N2" s="4"/>
      <c r="O2" s="4"/>
      <c r="P2" s="3"/>
      <c r="Q2" s="42"/>
    </row>
    <row r="3" spans="1:32" ht="5.0999999999999996" customHeight="1" thickBot="1" x14ac:dyDescent="0.25">
      <c r="A3" s="226"/>
      <c r="B3" s="62"/>
      <c r="C3" s="16"/>
      <c r="D3" s="16"/>
      <c r="E3" s="16"/>
      <c r="F3" s="16"/>
      <c r="G3" s="16"/>
      <c r="H3" s="16"/>
      <c r="I3" s="16"/>
      <c r="J3" s="16"/>
      <c r="K3" s="16"/>
      <c r="L3" s="16"/>
      <c r="M3" s="16"/>
      <c r="N3" s="16"/>
      <c r="O3" s="16"/>
      <c r="P3" s="45"/>
      <c r="Q3" s="42"/>
      <c r="U3" s="13"/>
      <c r="V3" s="13"/>
      <c r="W3" s="15"/>
    </row>
    <row r="4" spans="1:32" ht="13.5" thickBot="1" x14ac:dyDescent="0.25">
      <c r="A4" s="230"/>
      <c r="B4" s="64"/>
      <c r="C4" s="142">
        <f ca="1">TODAY()</f>
        <v>45752</v>
      </c>
      <c r="D4" s="7">
        <f ca="1">EOMONTH(C4,0)+1</f>
        <v>45778</v>
      </c>
      <c r="E4" s="7">
        <f t="shared" ref="E4:N4" ca="1" si="0">EDATE(D4,1)</f>
        <v>45809</v>
      </c>
      <c r="F4" s="7">
        <f t="shared" ca="1" si="0"/>
        <v>45839</v>
      </c>
      <c r="G4" s="7">
        <f t="shared" ca="1" si="0"/>
        <v>45870</v>
      </c>
      <c r="H4" s="7">
        <f t="shared" ca="1" si="0"/>
        <v>45901</v>
      </c>
      <c r="I4" s="7">
        <f t="shared" ca="1" si="0"/>
        <v>45931</v>
      </c>
      <c r="J4" s="7">
        <f t="shared" ca="1" si="0"/>
        <v>45962</v>
      </c>
      <c r="K4" s="7">
        <f t="shared" ca="1" si="0"/>
        <v>45992</v>
      </c>
      <c r="L4" s="7">
        <f t="shared" ca="1" si="0"/>
        <v>46023</v>
      </c>
      <c r="M4" s="7">
        <f t="shared" ca="1" si="0"/>
        <v>46054</v>
      </c>
      <c r="N4" s="7">
        <f t="shared" ca="1" si="0"/>
        <v>46082</v>
      </c>
      <c r="O4" s="7"/>
      <c r="P4" s="95" t="s">
        <v>138</v>
      </c>
      <c r="Q4" s="43"/>
      <c r="S4" s="162"/>
      <c r="U4" s="8"/>
      <c r="V4" s="9"/>
      <c r="W4" s="10"/>
      <c r="X4" s="11"/>
      <c r="AD4" s="12"/>
      <c r="AE4" s="12"/>
      <c r="AF4" s="12"/>
    </row>
    <row r="5" spans="1:32" ht="5.0999999999999996" customHeight="1" x14ac:dyDescent="0.2">
      <c r="A5" s="230"/>
      <c r="B5" s="64"/>
      <c r="C5" s="47"/>
      <c r="D5" s="47"/>
      <c r="E5" s="47"/>
      <c r="F5" s="47"/>
      <c r="G5" s="47"/>
      <c r="H5" s="47"/>
      <c r="I5" s="47"/>
      <c r="J5" s="47"/>
      <c r="K5" s="47"/>
      <c r="L5" s="47"/>
      <c r="M5" s="47"/>
      <c r="N5" s="47"/>
      <c r="O5" s="47"/>
      <c r="P5" s="47"/>
      <c r="Q5" s="48"/>
      <c r="U5" s="8"/>
      <c r="V5" s="9"/>
      <c r="W5" s="10"/>
      <c r="X5" s="11"/>
      <c r="AD5" s="12"/>
      <c r="AE5" s="12"/>
      <c r="AF5" s="12"/>
    </row>
    <row r="6" spans="1:32" x14ac:dyDescent="0.2">
      <c r="A6" s="230"/>
      <c r="B6" s="65" t="s">
        <v>37</v>
      </c>
      <c r="C6" s="49"/>
      <c r="D6" s="49"/>
      <c r="E6" s="49"/>
      <c r="F6" s="49"/>
      <c r="G6" s="49"/>
      <c r="H6" s="49"/>
      <c r="I6" s="49"/>
      <c r="J6" s="49"/>
      <c r="K6" s="49"/>
      <c r="L6" s="49"/>
      <c r="M6" s="49"/>
      <c r="N6" s="49"/>
      <c r="O6" s="49"/>
      <c r="P6" s="49"/>
      <c r="Q6" s="48"/>
      <c r="R6" s="65" t="s">
        <v>150</v>
      </c>
      <c r="U6" s="8"/>
      <c r="V6" s="9"/>
      <c r="W6" s="10"/>
      <c r="X6" s="11"/>
      <c r="AD6" s="12"/>
      <c r="AE6" s="12"/>
      <c r="AF6" s="12"/>
    </row>
    <row r="7" spans="1:32" ht="5.0999999999999996" customHeight="1" x14ac:dyDescent="0.2">
      <c r="A7" s="226"/>
      <c r="B7" s="70"/>
      <c r="C7" s="53"/>
      <c r="D7" s="53"/>
      <c r="E7" s="53"/>
      <c r="F7" s="53"/>
      <c r="G7" s="53"/>
      <c r="H7" s="53"/>
      <c r="I7" s="53"/>
      <c r="J7" s="53"/>
      <c r="K7" s="53"/>
      <c r="L7" s="53"/>
      <c r="M7" s="53"/>
      <c r="N7" s="53"/>
      <c r="O7" s="53"/>
      <c r="P7" s="53"/>
      <c r="Q7" s="51"/>
      <c r="R7" s="42"/>
      <c r="W7" s="18"/>
    </row>
    <row r="8" spans="1:32" ht="12.75" customHeight="1" x14ac:dyDescent="0.2">
      <c r="A8" s="226"/>
      <c r="B8" s="85" t="s">
        <v>98</v>
      </c>
      <c r="C8" s="50"/>
      <c r="D8" s="50"/>
      <c r="E8" s="50"/>
      <c r="F8" s="50"/>
      <c r="G8" s="50"/>
      <c r="H8" s="50"/>
      <c r="I8" s="50"/>
      <c r="J8" s="50"/>
      <c r="K8" s="50"/>
      <c r="L8" s="50"/>
      <c r="M8" s="50"/>
      <c r="N8" s="50"/>
      <c r="O8" s="50"/>
      <c r="P8" s="55"/>
      <c r="Q8" s="51"/>
      <c r="R8" s="42"/>
      <c r="U8" s="13"/>
      <c r="V8" s="14"/>
      <c r="W8" s="15"/>
    </row>
    <row r="9" spans="1:32" ht="12.75" customHeight="1" x14ac:dyDescent="0.2">
      <c r="A9" s="226"/>
      <c r="B9" s="84" t="s">
        <v>38</v>
      </c>
      <c r="C9" s="98">
        <f t="shared" ref="C9:N9" ca="1" si="1">C42</f>
        <v>0</v>
      </c>
      <c r="D9" s="98">
        <f t="shared" ca="1" si="1"/>
        <v>0</v>
      </c>
      <c r="E9" s="98">
        <f t="shared" ca="1" si="1"/>
        <v>0</v>
      </c>
      <c r="F9" s="98">
        <f t="shared" ca="1" si="1"/>
        <v>0</v>
      </c>
      <c r="G9" s="98">
        <f t="shared" ca="1" si="1"/>
        <v>0</v>
      </c>
      <c r="H9" s="98">
        <f t="shared" ca="1" si="1"/>
        <v>0</v>
      </c>
      <c r="I9" s="98">
        <f t="shared" ca="1" si="1"/>
        <v>0</v>
      </c>
      <c r="J9" s="98">
        <f t="shared" ca="1" si="1"/>
        <v>0</v>
      </c>
      <c r="K9" s="98">
        <f t="shared" ca="1" si="1"/>
        <v>0</v>
      </c>
      <c r="L9" s="98">
        <f t="shared" ca="1" si="1"/>
        <v>0</v>
      </c>
      <c r="M9" s="98">
        <f t="shared" ca="1" si="1"/>
        <v>0</v>
      </c>
      <c r="N9" s="98">
        <f t="shared" ca="1" si="1"/>
        <v>0</v>
      </c>
      <c r="O9" s="97"/>
      <c r="P9" s="99">
        <f ca="1">SUM(C9:N9)</f>
        <v>0</v>
      </c>
      <c r="Q9" s="51"/>
      <c r="R9" s="42"/>
      <c r="U9" s="13"/>
      <c r="V9" s="14"/>
      <c r="W9" s="15"/>
    </row>
    <row r="10" spans="1:32" ht="12.75" customHeight="1" x14ac:dyDescent="0.2">
      <c r="A10" s="226"/>
      <c r="B10" s="84" t="s">
        <v>39</v>
      </c>
      <c r="C10" s="98">
        <f ca="1">C77</f>
        <v>0</v>
      </c>
      <c r="D10" s="98">
        <f t="shared" ref="D10:N10" ca="1" si="2">D77</f>
        <v>0</v>
      </c>
      <c r="E10" s="98">
        <f t="shared" ca="1" si="2"/>
        <v>0</v>
      </c>
      <c r="F10" s="98">
        <f t="shared" ca="1" si="2"/>
        <v>0</v>
      </c>
      <c r="G10" s="98">
        <f t="shared" ca="1" si="2"/>
        <v>0</v>
      </c>
      <c r="H10" s="98">
        <f t="shared" ca="1" si="2"/>
        <v>0</v>
      </c>
      <c r="I10" s="98">
        <f t="shared" ca="1" si="2"/>
        <v>0</v>
      </c>
      <c r="J10" s="98">
        <f t="shared" ca="1" si="2"/>
        <v>0</v>
      </c>
      <c r="K10" s="98">
        <f t="shared" ca="1" si="2"/>
        <v>0</v>
      </c>
      <c r="L10" s="98">
        <f t="shared" ca="1" si="2"/>
        <v>0</v>
      </c>
      <c r="M10" s="98">
        <f t="shared" ca="1" si="2"/>
        <v>0</v>
      </c>
      <c r="N10" s="98">
        <f t="shared" ca="1" si="2"/>
        <v>0</v>
      </c>
      <c r="O10" s="97"/>
      <c r="P10" s="99">
        <f ca="1">SUM(C10:N10)</f>
        <v>0</v>
      </c>
      <c r="Q10" s="51"/>
      <c r="R10" s="42"/>
      <c r="U10" s="13"/>
      <c r="V10" s="14"/>
      <c r="W10" s="15"/>
    </row>
    <row r="11" spans="1:32" ht="12.75" customHeight="1" x14ac:dyDescent="0.2">
      <c r="A11" s="226"/>
      <c r="B11" s="66" t="s">
        <v>99</v>
      </c>
      <c r="C11" s="100">
        <f ca="1">C9-C10</f>
        <v>0</v>
      </c>
      <c r="D11" s="100">
        <f t="shared" ref="D11:N11" ca="1" si="3">D9-D10</f>
        <v>0</v>
      </c>
      <c r="E11" s="100">
        <f t="shared" ca="1" si="3"/>
        <v>0</v>
      </c>
      <c r="F11" s="100">
        <f t="shared" ca="1" si="3"/>
        <v>0</v>
      </c>
      <c r="G11" s="100">
        <f t="shared" ca="1" si="3"/>
        <v>0</v>
      </c>
      <c r="H11" s="100">
        <f t="shared" ca="1" si="3"/>
        <v>0</v>
      </c>
      <c r="I11" s="100">
        <f t="shared" ca="1" si="3"/>
        <v>0</v>
      </c>
      <c r="J11" s="100">
        <f t="shared" ca="1" si="3"/>
        <v>0</v>
      </c>
      <c r="K11" s="100">
        <f t="shared" ca="1" si="3"/>
        <v>0</v>
      </c>
      <c r="L11" s="100">
        <f t="shared" ca="1" si="3"/>
        <v>0</v>
      </c>
      <c r="M11" s="100">
        <f t="shared" ca="1" si="3"/>
        <v>0</v>
      </c>
      <c r="N11" s="100">
        <f t="shared" ca="1" si="3"/>
        <v>0</v>
      </c>
      <c r="O11" s="100"/>
      <c r="P11" s="101">
        <f ca="1">SUM(C11:N11)</f>
        <v>0</v>
      </c>
      <c r="Q11" s="51"/>
      <c r="R11" s="42"/>
      <c r="U11" s="13"/>
      <c r="V11" s="13"/>
      <c r="W11" s="15"/>
    </row>
    <row r="12" spans="1:32" ht="12.75" customHeight="1" x14ac:dyDescent="0.2">
      <c r="A12" s="226"/>
      <c r="B12" s="164" t="s">
        <v>165</v>
      </c>
      <c r="C12" s="97">
        <f t="shared" ref="C12:N12" ca="1" si="4">C9-SUM(C37)+SUM(C66:C67,C27:C27,C72:C73)</f>
        <v>0</v>
      </c>
      <c r="D12" s="97">
        <f t="shared" ca="1" si="4"/>
        <v>0</v>
      </c>
      <c r="E12" s="97">
        <f t="shared" ca="1" si="4"/>
        <v>0</v>
      </c>
      <c r="F12" s="97">
        <f t="shared" ca="1" si="4"/>
        <v>0</v>
      </c>
      <c r="G12" s="97">
        <f t="shared" ca="1" si="4"/>
        <v>0</v>
      </c>
      <c r="H12" s="97">
        <f t="shared" ca="1" si="4"/>
        <v>0</v>
      </c>
      <c r="I12" s="97">
        <f t="shared" ca="1" si="4"/>
        <v>0</v>
      </c>
      <c r="J12" s="97">
        <f t="shared" ca="1" si="4"/>
        <v>0</v>
      </c>
      <c r="K12" s="97">
        <f t="shared" ca="1" si="4"/>
        <v>0</v>
      </c>
      <c r="L12" s="97">
        <f t="shared" ca="1" si="4"/>
        <v>0</v>
      </c>
      <c r="M12" s="97">
        <f t="shared" ca="1" si="4"/>
        <v>0</v>
      </c>
      <c r="N12" s="97">
        <f t="shared" ca="1" si="4"/>
        <v>0</v>
      </c>
      <c r="O12" s="97"/>
      <c r="P12" s="97">
        <f ca="1">P9-SUM(P37)+SUM(P66:P67,P27:P27,P72:P73)</f>
        <v>0</v>
      </c>
      <c r="Q12" s="51"/>
      <c r="R12" s="42"/>
      <c r="U12" s="13"/>
      <c r="V12" s="13"/>
      <c r="W12" s="15"/>
    </row>
    <row r="13" spans="1:32" ht="5.0999999999999996" customHeight="1" x14ac:dyDescent="0.2">
      <c r="A13" s="226"/>
      <c r="B13" s="70"/>
      <c r="C13" s="96"/>
      <c r="D13" s="96"/>
      <c r="E13" s="96"/>
      <c r="F13" s="96"/>
      <c r="G13" s="96"/>
      <c r="H13" s="96"/>
      <c r="I13" s="96"/>
      <c r="J13" s="96"/>
      <c r="K13" s="96"/>
      <c r="L13" s="96"/>
      <c r="M13" s="96"/>
      <c r="N13" s="96"/>
      <c r="O13" s="96"/>
      <c r="P13" s="96"/>
      <c r="Q13" s="51"/>
      <c r="R13" s="42"/>
      <c r="W13" s="18"/>
    </row>
    <row r="14" spans="1:32" ht="12.75" customHeight="1" x14ac:dyDescent="0.2">
      <c r="A14" s="226"/>
      <c r="B14" s="85" t="s">
        <v>92</v>
      </c>
      <c r="C14" s="97"/>
      <c r="D14" s="97"/>
      <c r="E14" s="97"/>
      <c r="F14" s="97"/>
      <c r="G14" s="97"/>
      <c r="H14" s="97"/>
      <c r="I14" s="97"/>
      <c r="J14" s="97"/>
      <c r="K14" s="97"/>
      <c r="L14" s="97"/>
      <c r="M14" s="97"/>
      <c r="N14" s="97"/>
      <c r="O14" s="97"/>
      <c r="P14" s="102"/>
      <c r="Q14" s="52"/>
      <c r="R14" s="42"/>
      <c r="U14" s="13"/>
      <c r="V14" s="13"/>
      <c r="W14" s="15"/>
    </row>
    <row r="15" spans="1:32" ht="12.75" customHeight="1" x14ac:dyDescent="0.2">
      <c r="A15" s="226"/>
      <c r="B15" s="84" t="s">
        <v>7</v>
      </c>
      <c r="C15" s="98">
        <f ca="1">'Balances &amp; Actions'!C6+C11</f>
        <v>0</v>
      </c>
      <c r="D15" s="98">
        <f t="shared" ref="D15:N15" ca="1" si="5">C15+D11</f>
        <v>0</v>
      </c>
      <c r="E15" s="98">
        <f t="shared" ca="1" si="5"/>
        <v>0</v>
      </c>
      <c r="F15" s="98">
        <f t="shared" ca="1" si="5"/>
        <v>0</v>
      </c>
      <c r="G15" s="98">
        <f t="shared" ca="1" si="5"/>
        <v>0</v>
      </c>
      <c r="H15" s="98">
        <f t="shared" ca="1" si="5"/>
        <v>0</v>
      </c>
      <c r="I15" s="98">
        <f t="shared" ca="1" si="5"/>
        <v>0</v>
      </c>
      <c r="J15" s="98">
        <f t="shared" ca="1" si="5"/>
        <v>0</v>
      </c>
      <c r="K15" s="98">
        <f t="shared" ca="1" si="5"/>
        <v>0</v>
      </c>
      <c r="L15" s="98">
        <f t="shared" ca="1" si="5"/>
        <v>0</v>
      </c>
      <c r="M15" s="98">
        <f t="shared" ca="1" si="5"/>
        <v>0</v>
      </c>
      <c r="N15" s="98">
        <f t="shared" ca="1" si="5"/>
        <v>0</v>
      </c>
      <c r="O15" s="97"/>
      <c r="P15" s="99">
        <f ca="1">N15</f>
        <v>0</v>
      </c>
      <c r="Q15" s="52"/>
      <c r="R15" s="42"/>
      <c r="S15" s="154"/>
      <c r="U15" s="13"/>
      <c r="V15" s="13"/>
      <c r="W15" s="15"/>
    </row>
    <row r="16" spans="1:32" ht="12.75" customHeight="1" x14ac:dyDescent="0.2">
      <c r="A16" s="226"/>
      <c r="B16" s="66" t="s">
        <v>40</v>
      </c>
      <c r="C16" s="100">
        <f t="shared" ref="C16:N16" ca="1" si="6">C100</f>
        <v>0</v>
      </c>
      <c r="D16" s="100">
        <f t="shared" ca="1" si="6"/>
        <v>0</v>
      </c>
      <c r="E16" s="100">
        <f t="shared" ca="1" si="6"/>
        <v>0</v>
      </c>
      <c r="F16" s="100">
        <f t="shared" ca="1" si="6"/>
        <v>0</v>
      </c>
      <c r="G16" s="100">
        <f t="shared" ca="1" si="6"/>
        <v>0</v>
      </c>
      <c r="H16" s="100">
        <f t="shared" ca="1" si="6"/>
        <v>0</v>
      </c>
      <c r="I16" s="100">
        <f t="shared" ca="1" si="6"/>
        <v>0</v>
      </c>
      <c r="J16" s="100">
        <f t="shared" ca="1" si="6"/>
        <v>0</v>
      </c>
      <c r="K16" s="100">
        <f t="shared" ca="1" si="6"/>
        <v>0</v>
      </c>
      <c r="L16" s="100">
        <f t="shared" ca="1" si="6"/>
        <v>0</v>
      </c>
      <c r="M16" s="100">
        <f t="shared" ca="1" si="6"/>
        <v>0</v>
      </c>
      <c r="N16" s="100">
        <f t="shared" ca="1" si="6"/>
        <v>0</v>
      </c>
      <c r="O16" s="100"/>
      <c r="P16" s="101">
        <f ca="1">N16</f>
        <v>0</v>
      </c>
      <c r="Q16" s="52"/>
      <c r="R16" s="42"/>
      <c r="S16" s="154"/>
      <c r="U16" s="13"/>
      <c r="V16" s="13"/>
      <c r="W16" s="15"/>
    </row>
    <row r="17" spans="1:23" ht="12.75" customHeight="1" x14ac:dyDescent="0.2">
      <c r="A17" s="226"/>
      <c r="B17" s="67"/>
      <c r="C17" s="96"/>
      <c r="D17" s="96"/>
      <c r="E17" s="96"/>
      <c r="F17" s="96"/>
      <c r="G17" s="96"/>
      <c r="H17" s="96"/>
      <c r="I17" s="96"/>
      <c r="J17" s="96"/>
      <c r="K17" s="96"/>
      <c r="L17" s="96"/>
      <c r="M17" s="96"/>
      <c r="N17" s="96"/>
      <c r="O17" s="96"/>
      <c r="P17" s="96"/>
      <c r="Q17" s="51"/>
      <c r="R17" s="42"/>
      <c r="U17" s="11"/>
      <c r="V17" s="17"/>
      <c r="W17" s="17"/>
    </row>
    <row r="18" spans="1:23" ht="12.75" customHeight="1" x14ac:dyDescent="0.2">
      <c r="A18" s="231"/>
      <c r="B18" s="68" t="s">
        <v>24</v>
      </c>
      <c r="C18" s="155"/>
      <c r="D18" s="155"/>
      <c r="E18" s="155"/>
      <c r="F18" s="155"/>
      <c r="G18" s="155"/>
      <c r="H18" s="155"/>
      <c r="I18" s="155"/>
      <c r="J18" s="155"/>
      <c r="K18" s="155"/>
      <c r="L18" s="155"/>
      <c r="M18" s="155"/>
      <c r="N18" s="155"/>
      <c r="O18" s="155"/>
      <c r="P18" s="156"/>
      <c r="Q18" s="51"/>
      <c r="R18" s="42"/>
      <c r="S18" s="154"/>
    </row>
    <row r="19" spans="1:23" ht="12.75" customHeight="1" x14ac:dyDescent="0.2">
      <c r="A19" s="226"/>
      <c r="B19" s="69" t="s">
        <v>302</v>
      </c>
      <c r="C19" s="105">
        <f ca="1">_xlfn.LET(
_xlpm.recurring,SUMIFS(INDEX(recurring_master!$A:$AF,,MATCH($B19,recurring_master!$A$1:$AF$1,0)),recurring_master!$A:$A,"&lt;="&amp;EOMONTH(C$4,0),recurring_master!$A:$A,"&gt;="&amp;C$4),
_xlpm.planned,SUMIFS(Planned!$F:$F,Planned!$B:$B,$B19,Planned!$E:$E,"&gt;="&amp;C$4,Planned!$E:$E,"&lt;="&amp;EOMONTH(C$4,0)),
IFERROR(_xlpm.recurring,0)+IFERROR(_xlpm.planned,0))</f>
        <v>0</v>
      </c>
      <c r="D19" s="105">
        <f ca="1">_xlfn.LET(
_xlpm.recurring,SUMIFS(INDEX(recurring_master!$A:$AF,,MATCH($B19,recurring_master!$A$1:$AF$1,0)),recurring_master!$A:$A,"&lt;="&amp;EOMONTH(D$4,0),recurring_master!$A:$A,"&gt;="&amp;D$4),
_xlpm.planned,SUMIFS(Planned!$F:$F,Planned!$B:$B,$B19,Planned!$E:$E,"&gt;="&amp;D$4,Planned!$E:$E,"&lt;="&amp;EOMONTH(D$4,0)),
IFERROR(_xlpm.recurring,0)+IFERROR(_xlpm.planned,0))</f>
        <v>0</v>
      </c>
      <c r="E19" s="105">
        <f ca="1">_xlfn.LET(
_xlpm.recurring,SUMIFS(INDEX(recurring_master!$A:$AF,,MATCH($B19,recurring_master!$A$1:$AF$1,0)),recurring_master!$A:$A,"&lt;="&amp;EOMONTH(E$4,0),recurring_master!$A:$A,"&gt;="&amp;E$4),
_xlpm.planned,SUMIFS(Planned!$F:$F,Planned!$B:$B,$B19,Planned!$E:$E,"&gt;="&amp;E$4,Planned!$E:$E,"&lt;="&amp;EOMONTH(E$4,0)),
IFERROR(_xlpm.recurring,0)+IFERROR(_xlpm.planned,0))</f>
        <v>0</v>
      </c>
      <c r="F19" s="105">
        <f ca="1">_xlfn.LET(
_xlpm.recurring,SUMIFS(INDEX(recurring_master!$A:$AF,,MATCH($B19,recurring_master!$A$1:$AF$1,0)),recurring_master!$A:$A,"&lt;="&amp;EOMONTH(F$4,0),recurring_master!$A:$A,"&gt;="&amp;F$4),
_xlpm.planned,SUMIFS(Planned!$F:$F,Planned!$B:$B,$B19,Planned!$E:$E,"&gt;="&amp;F$4,Planned!$E:$E,"&lt;="&amp;EOMONTH(F$4,0)),
IFERROR(_xlpm.recurring,0)+IFERROR(_xlpm.planned,0))</f>
        <v>0</v>
      </c>
      <c r="G19" s="105">
        <f ca="1">_xlfn.LET(
_xlpm.recurring,SUMIFS(INDEX(recurring_master!$A:$AF,,MATCH($B19,recurring_master!$A$1:$AF$1,0)),recurring_master!$A:$A,"&lt;="&amp;EOMONTH(G$4,0),recurring_master!$A:$A,"&gt;="&amp;G$4),
_xlpm.planned,SUMIFS(Planned!$F:$F,Planned!$B:$B,$B19,Planned!$E:$E,"&gt;="&amp;G$4,Planned!$E:$E,"&lt;="&amp;EOMONTH(G$4,0)),
IFERROR(_xlpm.recurring,0)+IFERROR(_xlpm.planned,0))</f>
        <v>0</v>
      </c>
      <c r="H19" s="105">
        <f ca="1">_xlfn.LET(
_xlpm.recurring,SUMIFS(INDEX(recurring_master!$A:$AF,,MATCH($B19,recurring_master!$A$1:$AF$1,0)),recurring_master!$A:$A,"&lt;="&amp;EOMONTH(H$4,0),recurring_master!$A:$A,"&gt;="&amp;H$4),
_xlpm.planned,SUMIFS(Planned!$F:$F,Planned!$B:$B,$B19,Planned!$E:$E,"&gt;="&amp;H$4,Planned!$E:$E,"&lt;="&amp;EOMONTH(H$4,0)),
IFERROR(_xlpm.recurring,0)+IFERROR(_xlpm.planned,0))</f>
        <v>0</v>
      </c>
      <c r="I19" s="105">
        <f ca="1">_xlfn.LET(
_xlpm.recurring,SUMIFS(INDEX(recurring_master!$A:$AF,,MATCH($B19,recurring_master!$A$1:$AF$1,0)),recurring_master!$A:$A,"&lt;="&amp;EOMONTH(I$4,0),recurring_master!$A:$A,"&gt;="&amp;I$4),
_xlpm.planned,SUMIFS(Planned!$F:$F,Planned!$B:$B,$B19,Planned!$E:$E,"&gt;="&amp;I$4,Planned!$E:$E,"&lt;="&amp;EOMONTH(I$4,0)),
IFERROR(_xlpm.recurring,0)+IFERROR(_xlpm.planned,0))</f>
        <v>0</v>
      </c>
      <c r="J19" s="105">
        <f ca="1">_xlfn.LET(
_xlpm.recurring,SUMIFS(INDEX(recurring_master!$A:$AF,,MATCH($B19,recurring_master!$A$1:$AF$1,0)),recurring_master!$A:$A,"&lt;="&amp;EOMONTH(J$4,0),recurring_master!$A:$A,"&gt;="&amp;J$4),
_xlpm.planned,SUMIFS(Planned!$F:$F,Planned!$B:$B,$B19,Planned!$E:$E,"&gt;="&amp;J$4,Planned!$E:$E,"&lt;="&amp;EOMONTH(J$4,0)),
IFERROR(_xlpm.recurring,0)+IFERROR(_xlpm.planned,0))</f>
        <v>0</v>
      </c>
      <c r="K19" s="105">
        <f ca="1">_xlfn.LET(
_xlpm.recurring,SUMIFS(INDEX(recurring_master!$A:$AF,,MATCH($B19,recurring_master!$A$1:$AF$1,0)),recurring_master!$A:$A,"&lt;="&amp;EOMONTH(K$4,0),recurring_master!$A:$A,"&gt;="&amp;K$4),
_xlpm.planned,SUMIFS(Planned!$F:$F,Planned!$B:$B,$B19,Planned!$E:$E,"&gt;="&amp;K$4,Planned!$E:$E,"&lt;="&amp;EOMONTH(K$4,0)),
IFERROR(_xlpm.recurring,0)+IFERROR(_xlpm.planned,0))</f>
        <v>0</v>
      </c>
      <c r="L19" s="105">
        <f ca="1">_xlfn.LET(
_xlpm.recurring,SUMIFS(INDEX(recurring_master!$A:$AF,,MATCH($B19,recurring_master!$A$1:$AF$1,0)),recurring_master!$A:$A,"&lt;="&amp;EOMONTH(L$4,0),recurring_master!$A:$A,"&gt;="&amp;L$4),
_xlpm.planned,SUMIFS(Planned!$F:$F,Planned!$B:$B,$B19,Planned!$E:$E,"&gt;="&amp;L$4,Planned!$E:$E,"&lt;="&amp;EOMONTH(L$4,0)),
IFERROR(_xlpm.recurring,0)+IFERROR(_xlpm.planned,0))</f>
        <v>0</v>
      </c>
      <c r="M19" s="105">
        <f ca="1">_xlfn.LET(
_xlpm.recurring,SUMIFS(INDEX(recurring_master!$A:$AF,,MATCH($B19,recurring_master!$A$1:$AF$1,0)),recurring_master!$A:$A,"&lt;="&amp;EOMONTH(M$4,0),recurring_master!$A:$A,"&gt;="&amp;M$4),
_xlpm.planned,SUMIFS(Planned!$F:$F,Planned!$B:$B,$B19,Planned!$E:$E,"&gt;="&amp;M$4,Planned!$E:$E,"&lt;="&amp;EOMONTH(M$4,0)),
IFERROR(_xlpm.recurring,0)+IFERROR(_xlpm.planned,0))</f>
        <v>0</v>
      </c>
      <c r="N19" s="105">
        <f ca="1">_xlfn.LET(
_xlpm.recurring,SUMIFS(INDEX(recurring_master!$A:$AF,,MATCH($B19,recurring_master!$A$1:$AF$1,0)),recurring_master!$A:$A,"&lt;="&amp;EOMONTH(N$4,0),recurring_master!$A:$A,"&gt;="&amp;N$4),
_xlpm.planned,SUMIFS(Planned!$F:$F,Planned!$B:$B,$B19,Planned!$E:$E,"&gt;="&amp;N$4,Planned!$E:$E,"&lt;="&amp;EOMONTH(N$4,0)),
IFERROR(_xlpm.recurring,0)+IFERROR(_xlpm.planned,0))</f>
        <v>0</v>
      </c>
      <c r="O19" s="96"/>
      <c r="P19" s="106">
        <f ca="1">SUM(C19:N19)</f>
        <v>0</v>
      </c>
      <c r="Q19" s="51"/>
      <c r="R19" s="42"/>
      <c r="S19" s="163"/>
      <c r="T19" s="163"/>
      <c r="U19" s="163"/>
      <c r="W19" s="18"/>
    </row>
    <row r="20" spans="1:23" ht="12.75" customHeight="1" x14ac:dyDescent="0.2">
      <c r="A20" s="226"/>
      <c r="B20" s="69" t="s">
        <v>9</v>
      </c>
      <c r="C20" s="105">
        <f ca="1">_xlfn.LET(
_xlpm.recurring,SUMIFS(INDEX(recurring_master!$A:$AF,,MATCH($B20,recurring_master!$A$1:$AF$1,0)),recurring_master!$A:$A,"&lt;="&amp;EOMONTH(C$4,0),recurring_master!$A:$A,"&gt;="&amp;C$4),
_xlpm.planned,SUMIFS(Planned!$F:$F,Planned!$B:$B,$B20,Planned!$E:$E,"&gt;="&amp;C$4,Planned!$E:$E,"&lt;="&amp;EOMONTH(C$4,0)),
IFERROR(_xlpm.recurring,0)+IFERROR(_xlpm.planned,0))</f>
        <v>0</v>
      </c>
      <c r="D20" s="105">
        <f ca="1">_xlfn.LET(
_xlpm.recurring,SUMIFS(INDEX(recurring_master!$A:$AF,,MATCH($B20,recurring_master!$A$1:$AF$1,0)),recurring_master!$A:$A,"&lt;="&amp;EOMONTH(D$4,0),recurring_master!$A:$A,"&gt;="&amp;D$4),
_xlpm.planned,SUMIFS(Planned!$F:$F,Planned!$B:$B,$B20,Planned!$E:$E,"&gt;="&amp;D$4,Planned!$E:$E,"&lt;="&amp;EOMONTH(D$4,0)),
IFERROR(_xlpm.recurring,0)+IFERROR(_xlpm.planned,0))</f>
        <v>0</v>
      </c>
      <c r="E20" s="105">
        <f ca="1">_xlfn.LET(
_xlpm.recurring,SUMIFS(INDEX(recurring_master!$A:$AF,,MATCH($B20,recurring_master!$A$1:$AF$1,0)),recurring_master!$A:$A,"&lt;="&amp;EOMONTH(E$4,0),recurring_master!$A:$A,"&gt;="&amp;E$4),
_xlpm.planned,SUMIFS(Planned!$F:$F,Planned!$B:$B,$B20,Planned!$E:$E,"&gt;="&amp;E$4,Planned!$E:$E,"&lt;="&amp;EOMONTH(E$4,0)),
IFERROR(_xlpm.recurring,0)+IFERROR(_xlpm.planned,0))</f>
        <v>0</v>
      </c>
      <c r="F20" s="105">
        <f ca="1">_xlfn.LET(
_xlpm.recurring,SUMIFS(INDEX(recurring_master!$A:$AF,,MATCH($B20,recurring_master!$A$1:$AF$1,0)),recurring_master!$A:$A,"&lt;="&amp;EOMONTH(F$4,0),recurring_master!$A:$A,"&gt;="&amp;F$4),
_xlpm.planned,SUMIFS(Planned!$F:$F,Planned!$B:$B,$B20,Planned!$E:$E,"&gt;="&amp;F$4,Planned!$E:$E,"&lt;="&amp;EOMONTH(F$4,0)),
IFERROR(_xlpm.recurring,0)+IFERROR(_xlpm.planned,0))</f>
        <v>0</v>
      </c>
      <c r="G20" s="105">
        <f ca="1">_xlfn.LET(
_xlpm.recurring,SUMIFS(INDEX(recurring_master!$A:$AF,,MATCH($B20,recurring_master!$A$1:$AF$1,0)),recurring_master!$A:$A,"&lt;="&amp;EOMONTH(G$4,0),recurring_master!$A:$A,"&gt;="&amp;G$4),
_xlpm.planned,SUMIFS(Planned!$F:$F,Planned!$B:$B,$B20,Planned!$E:$E,"&gt;="&amp;G$4,Planned!$E:$E,"&lt;="&amp;EOMONTH(G$4,0)),
IFERROR(_xlpm.recurring,0)+IFERROR(_xlpm.planned,0))</f>
        <v>0</v>
      </c>
      <c r="H20" s="105">
        <f ca="1">_xlfn.LET(
_xlpm.recurring,SUMIFS(INDEX(recurring_master!$A:$AF,,MATCH($B20,recurring_master!$A$1:$AF$1,0)),recurring_master!$A:$A,"&lt;="&amp;EOMONTH(H$4,0),recurring_master!$A:$A,"&gt;="&amp;H$4),
_xlpm.planned,SUMIFS(Planned!$F:$F,Planned!$B:$B,$B20,Planned!$E:$E,"&gt;="&amp;H$4,Planned!$E:$E,"&lt;="&amp;EOMONTH(H$4,0)),
IFERROR(_xlpm.recurring,0)+IFERROR(_xlpm.planned,0))</f>
        <v>0</v>
      </c>
      <c r="I20" s="105">
        <f ca="1">_xlfn.LET(
_xlpm.recurring,SUMIFS(INDEX(recurring_master!$A:$AF,,MATCH($B20,recurring_master!$A$1:$AF$1,0)),recurring_master!$A:$A,"&lt;="&amp;EOMONTH(I$4,0),recurring_master!$A:$A,"&gt;="&amp;I$4),
_xlpm.planned,SUMIFS(Planned!$F:$F,Planned!$B:$B,$B20,Planned!$E:$E,"&gt;="&amp;I$4,Planned!$E:$E,"&lt;="&amp;EOMONTH(I$4,0)),
IFERROR(_xlpm.recurring,0)+IFERROR(_xlpm.planned,0))</f>
        <v>0</v>
      </c>
      <c r="J20" s="105">
        <f ca="1">_xlfn.LET(
_xlpm.recurring,SUMIFS(INDEX(recurring_master!$A:$AF,,MATCH($B20,recurring_master!$A$1:$AF$1,0)),recurring_master!$A:$A,"&lt;="&amp;EOMONTH(J$4,0),recurring_master!$A:$A,"&gt;="&amp;J$4),
_xlpm.planned,SUMIFS(Planned!$F:$F,Planned!$B:$B,$B20,Planned!$E:$E,"&gt;="&amp;J$4,Planned!$E:$E,"&lt;="&amp;EOMONTH(J$4,0)),
IFERROR(_xlpm.recurring,0)+IFERROR(_xlpm.planned,0))</f>
        <v>0</v>
      </c>
      <c r="K20" s="105">
        <f ca="1">_xlfn.LET(
_xlpm.recurring,SUMIFS(INDEX(recurring_master!$A:$AF,,MATCH($B20,recurring_master!$A$1:$AF$1,0)),recurring_master!$A:$A,"&lt;="&amp;EOMONTH(K$4,0),recurring_master!$A:$A,"&gt;="&amp;K$4),
_xlpm.planned,SUMIFS(Planned!$F:$F,Planned!$B:$B,$B20,Planned!$E:$E,"&gt;="&amp;K$4,Planned!$E:$E,"&lt;="&amp;EOMONTH(K$4,0)),
IFERROR(_xlpm.recurring,0)+IFERROR(_xlpm.planned,0))</f>
        <v>0</v>
      </c>
      <c r="L20" s="105">
        <f ca="1">_xlfn.LET(
_xlpm.recurring,SUMIFS(INDEX(recurring_master!$A:$AF,,MATCH($B20,recurring_master!$A$1:$AF$1,0)),recurring_master!$A:$A,"&lt;="&amp;EOMONTH(L$4,0),recurring_master!$A:$A,"&gt;="&amp;L$4),
_xlpm.planned,SUMIFS(Planned!$F:$F,Planned!$B:$B,$B20,Planned!$E:$E,"&gt;="&amp;L$4,Planned!$E:$E,"&lt;="&amp;EOMONTH(L$4,0)),
IFERROR(_xlpm.recurring,0)+IFERROR(_xlpm.planned,0))</f>
        <v>0</v>
      </c>
      <c r="M20" s="105">
        <f ca="1">_xlfn.LET(
_xlpm.recurring,SUMIFS(INDEX(recurring_master!$A:$AF,,MATCH($B20,recurring_master!$A$1:$AF$1,0)),recurring_master!$A:$A,"&lt;="&amp;EOMONTH(M$4,0),recurring_master!$A:$A,"&gt;="&amp;M$4),
_xlpm.planned,SUMIFS(Planned!$F:$F,Planned!$B:$B,$B20,Planned!$E:$E,"&gt;="&amp;M$4,Planned!$E:$E,"&lt;="&amp;EOMONTH(M$4,0)),
IFERROR(_xlpm.recurring,0)+IFERROR(_xlpm.planned,0))</f>
        <v>0</v>
      </c>
      <c r="N20" s="105">
        <f ca="1">_xlfn.LET(
_xlpm.recurring,SUMIFS(INDEX(recurring_master!$A:$AF,,MATCH($B20,recurring_master!$A$1:$AF$1,0)),recurring_master!$A:$A,"&lt;="&amp;EOMONTH(N$4,0),recurring_master!$A:$A,"&gt;="&amp;N$4),
_xlpm.planned,SUMIFS(Planned!$F:$F,Planned!$B:$B,$B20,Planned!$E:$E,"&gt;="&amp;N$4,Planned!$E:$E,"&lt;="&amp;EOMONTH(N$4,0)),
IFERROR(_xlpm.recurring,0)+IFERROR(_xlpm.planned,0))</f>
        <v>0</v>
      </c>
      <c r="O20" s="96"/>
      <c r="P20" s="106">
        <f ca="1">SUM(C20:N20)</f>
        <v>0</v>
      </c>
      <c r="Q20" s="51"/>
      <c r="R20" s="42"/>
      <c r="S20" s="163"/>
      <c r="T20" s="163"/>
      <c r="U20" s="163"/>
      <c r="W20" s="18"/>
    </row>
    <row r="21" spans="1:23" ht="12.75" customHeight="1" x14ac:dyDescent="0.2">
      <c r="A21" s="226"/>
      <c r="B21" s="69" t="s">
        <v>27</v>
      </c>
      <c r="C21" s="105">
        <f ca="1">_xlfn.LET(
_xlpm.recurring,SUMIFS(INDEX(recurring_master!$A:$AF,,MATCH($B21,recurring_master!$A$1:$AF$1,0)),recurring_master!$A:$A,"&lt;="&amp;EOMONTH(C$4,0),recurring_master!$A:$A,"&gt;="&amp;C$4),
_xlpm.planned,SUMIFS(Planned!$F:$F,Planned!$B:$B,$B21,Planned!$E:$E,"&gt;="&amp;C$4,Planned!$E:$E,"&lt;="&amp;EOMONTH(C$4,0)),
IFERROR(_xlpm.recurring,0)+IFERROR(_xlpm.planned,0))</f>
        <v>0</v>
      </c>
      <c r="D21" s="105">
        <f ca="1">_xlfn.LET(
_xlpm.recurring,SUMIFS(INDEX(recurring_master!$A:$AF,,MATCH($B21,recurring_master!$A$1:$AF$1,0)),recurring_master!$A:$A,"&lt;="&amp;EOMONTH(D$4,0),recurring_master!$A:$A,"&gt;="&amp;D$4),
_xlpm.planned,SUMIFS(Planned!$F:$F,Planned!$B:$B,$B21,Planned!$E:$E,"&gt;="&amp;D$4,Planned!$E:$E,"&lt;="&amp;EOMONTH(D$4,0)),
IFERROR(_xlpm.recurring,0)+IFERROR(_xlpm.planned,0))</f>
        <v>0</v>
      </c>
      <c r="E21" s="105">
        <f ca="1">_xlfn.LET(
_xlpm.recurring,SUMIFS(INDEX(recurring_master!$A:$AF,,MATCH($B21,recurring_master!$A$1:$AF$1,0)),recurring_master!$A:$A,"&lt;="&amp;EOMONTH(E$4,0),recurring_master!$A:$A,"&gt;="&amp;E$4),
_xlpm.planned,SUMIFS(Planned!$F:$F,Planned!$B:$B,$B21,Planned!$E:$E,"&gt;="&amp;E$4,Planned!$E:$E,"&lt;="&amp;EOMONTH(E$4,0)),
IFERROR(_xlpm.recurring,0)+IFERROR(_xlpm.planned,0))</f>
        <v>0</v>
      </c>
      <c r="F21" s="105">
        <f ca="1">_xlfn.LET(
_xlpm.recurring,SUMIFS(INDEX(recurring_master!$A:$AF,,MATCH($B21,recurring_master!$A$1:$AF$1,0)),recurring_master!$A:$A,"&lt;="&amp;EOMONTH(F$4,0),recurring_master!$A:$A,"&gt;="&amp;F$4),
_xlpm.planned,SUMIFS(Planned!$F:$F,Planned!$B:$B,$B21,Planned!$E:$E,"&gt;="&amp;F$4,Planned!$E:$E,"&lt;="&amp;EOMONTH(F$4,0)),
IFERROR(_xlpm.recurring,0)+IFERROR(_xlpm.planned,0))</f>
        <v>0</v>
      </c>
      <c r="G21" s="105">
        <f ca="1">_xlfn.LET(
_xlpm.recurring,SUMIFS(INDEX(recurring_master!$A:$AF,,MATCH($B21,recurring_master!$A$1:$AF$1,0)),recurring_master!$A:$A,"&lt;="&amp;EOMONTH(G$4,0),recurring_master!$A:$A,"&gt;="&amp;G$4),
_xlpm.planned,SUMIFS(Planned!$F:$F,Planned!$B:$B,$B21,Planned!$E:$E,"&gt;="&amp;G$4,Planned!$E:$E,"&lt;="&amp;EOMONTH(G$4,0)),
IFERROR(_xlpm.recurring,0)+IFERROR(_xlpm.planned,0))</f>
        <v>0</v>
      </c>
      <c r="H21" s="105">
        <f ca="1">_xlfn.LET(
_xlpm.recurring,SUMIFS(INDEX(recurring_master!$A:$AF,,MATCH($B21,recurring_master!$A$1:$AF$1,0)),recurring_master!$A:$A,"&lt;="&amp;EOMONTH(H$4,0),recurring_master!$A:$A,"&gt;="&amp;H$4),
_xlpm.planned,SUMIFS(Planned!$F:$F,Planned!$B:$B,$B21,Planned!$E:$E,"&gt;="&amp;H$4,Planned!$E:$E,"&lt;="&amp;EOMONTH(H$4,0)),
IFERROR(_xlpm.recurring,0)+IFERROR(_xlpm.planned,0))</f>
        <v>0</v>
      </c>
      <c r="I21" s="105">
        <f ca="1">_xlfn.LET(
_xlpm.recurring,SUMIFS(INDEX(recurring_master!$A:$AF,,MATCH($B21,recurring_master!$A$1:$AF$1,0)),recurring_master!$A:$A,"&lt;="&amp;EOMONTH(I$4,0),recurring_master!$A:$A,"&gt;="&amp;I$4),
_xlpm.planned,SUMIFS(Planned!$F:$F,Planned!$B:$B,$B21,Planned!$E:$E,"&gt;="&amp;I$4,Planned!$E:$E,"&lt;="&amp;EOMONTH(I$4,0)),
IFERROR(_xlpm.recurring,0)+IFERROR(_xlpm.planned,0))</f>
        <v>0</v>
      </c>
      <c r="J21" s="105">
        <f ca="1">_xlfn.LET(
_xlpm.recurring,SUMIFS(INDEX(recurring_master!$A:$AF,,MATCH($B21,recurring_master!$A$1:$AF$1,0)),recurring_master!$A:$A,"&lt;="&amp;EOMONTH(J$4,0),recurring_master!$A:$A,"&gt;="&amp;J$4),
_xlpm.planned,SUMIFS(Planned!$F:$F,Planned!$B:$B,$B21,Planned!$E:$E,"&gt;="&amp;J$4,Planned!$E:$E,"&lt;="&amp;EOMONTH(J$4,0)),
IFERROR(_xlpm.recurring,0)+IFERROR(_xlpm.planned,0))</f>
        <v>0</v>
      </c>
      <c r="K21" s="105">
        <f ca="1">_xlfn.LET(
_xlpm.recurring,SUMIFS(INDEX(recurring_master!$A:$AF,,MATCH($B21,recurring_master!$A$1:$AF$1,0)),recurring_master!$A:$A,"&lt;="&amp;EOMONTH(K$4,0),recurring_master!$A:$A,"&gt;="&amp;K$4),
_xlpm.planned,SUMIFS(Planned!$F:$F,Planned!$B:$B,$B21,Planned!$E:$E,"&gt;="&amp;K$4,Planned!$E:$E,"&lt;="&amp;EOMONTH(K$4,0)),
IFERROR(_xlpm.recurring,0)+IFERROR(_xlpm.planned,0))</f>
        <v>0</v>
      </c>
      <c r="L21" s="105">
        <f ca="1">_xlfn.LET(
_xlpm.recurring,SUMIFS(INDEX(recurring_master!$A:$AF,,MATCH($B21,recurring_master!$A$1:$AF$1,0)),recurring_master!$A:$A,"&lt;="&amp;EOMONTH(L$4,0),recurring_master!$A:$A,"&gt;="&amp;L$4),
_xlpm.planned,SUMIFS(Planned!$F:$F,Planned!$B:$B,$B21,Planned!$E:$E,"&gt;="&amp;L$4,Planned!$E:$E,"&lt;="&amp;EOMONTH(L$4,0)),
IFERROR(_xlpm.recurring,0)+IFERROR(_xlpm.planned,0))</f>
        <v>0</v>
      </c>
      <c r="M21" s="105">
        <f ca="1">_xlfn.LET(
_xlpm.recurring,SUMIFS(INDEX(recurring_master!$A:$AF,,MATCH($B21,recurring_master!$A$1:$AF$1,0)),recurring_master!$A:$A,"&lt;="&amp;EOMONTH(M$4,0),recurring_master!$A:$A,"&gt;="&amp;M$4),
_xlpm.planned,SUMIFS(Planned!$F:$F,Planned!$B:$B,$B21,Planned!$E:$E,"&gt;="&amp;M$4,Planned!$E:$E,"&lt;="&amp;EOMONTH(M$4,0)),
IFERROR(_xlpm.recurring,0)+IFERROR(_xlpm.planned,0))</f>
        <v>0</v>
      </c>
      <c r="N21" s="105">
        <f ca="1">_xlfn.LET(
_xlpm.recurring,SUMIFS(INDEX(recurring_master!$A:$AF,,MATCH($B21,recurring_master!$A$1:$AF$1,0)),recurring_master!$A:$A,"&lt;="&amp;EOMONTH(N$4,0),recurring_master!$A:$A,"&gt;="&amp;N$4),
_xlpm.planned,SUMIFS(Planned!$F:$F,Planned!$B:$B,$B21,Planned!$E:$E,"&gt;="&amp;N$4,Planned!$E:$E,"&lt;="&amp;EOMONTH(N$4,0)),
IFERROR(_xlpm.recurring,0)+IFERROR(_xlpm.planned,0))</f>
        <v>0</v>
      </c>
      <c r="O21" s="96"/>
      <c r="P21" s="106">
        <f ca="1">SUM(C21:N21)</f>
        <v>0</v>
      </c>
      <c r="Q21" s="51"/>
      <c r="R21" s="42"/>
      <c r="S21" s="163"/>
      <c r="T21" s="163"/>
      <c r="U21" s="163"/>
      <c r="W21" s="18"/>
    </row>
    <row r="22" spans="1:23" ht="5.0999999999999996" customHeight="1" x14ac:dyDescent="0.2">
      <c r="A22" s="226"/>
      <c r="B22" s="69"/>
      <c r="C22" s="96"/>
      <c r="D22" s="96"/>
      <c r="E22" s="96"/>
      <c r="F22" s="96"/>
      <c r="G22" s="96"/>
      <c r="H22" s="96"/>
      <c r="I22" s="96"/>
      <c r="J22" s="96"/>
      <c r="K22" s="96"/>
      <c r="L22" s="96"/>
      <c r="M22" s="96"/>
      <c r="N22" s="96"/>
      <c r="O22" s="96"/>
      <c r="P22" s="106"/>
      <c r="Q22" s="51"/>
      <c r="R22" s="42"/>
      <c r="W22" s="18"/>
    </row>
    <row r="23" spans="1:23" ht="12.75" customHeight="1" x14ac:dyDescent="0.2">
      <c r="A23" s="226"/>
      <c r="B23" s="71" t="s">
        <v>19</v>
      </c>
      <c r="C23" s="107">
        <f t="shared" ref="C23:N23" ca="1" si="7">SUM(C19:C22)</f>
        <v>0</v>
      </c>
      <c r="D23" s="107">
        <f t="shared" ca="1" si="7"/>
        <v>0</v>
      </c>
      <c r="E23" s="107">
        <f t="shared" ca="1" si="7"/>
        <v>0</v>
      </c>
      <c r="F23" s="107">
        <f t="shared" ca="1" si="7"/>
        <v>0</v>
      </c>
      <c r="G23" s="107">
        <f t="shared" ca="1" si="7"/>
        <v>0</v>
      </c>
      <c r="H23" s="107">
        <f t="shared" ca="1" si="7"/>
        <v>0</v>
      </c>
      <c r="I23" s="107">
        <f t="shared" ca="1" si="7"/>
        <v>0</v>
      </c>
      <c r="J23" s="107">
        <f t="shared" ca="1" si="7"/>
        <v>0</v>
      </c>
      <c r="K23" s="107">
        <f t="shared" ca="1" si="7"/>
        <v>0</v>
      </c>
      <c r="L23" s="107">
        <f t="shared" ca="1" si="7"/>
        <v>0</v>
      </c>
      <c r="M23" s="107">
        <f t="shared" ca="1" si="7"/>
        <v>0</v>
      </c>
      <c r="N23" s="107">
        <f t="shared" ca="1" si="7"/>
        <v>0</v>
      </c>
      <c r="O23" s="107"/>
      <c r="P23" s="108">
        <f ca="1">SUM(C23:N23)</f>
        <v>0</v>
      </c>
      <c r="Q23" s="51"/>
      <c r="R23" s="42"/>
      <c r="S23" s="163"/>
      <c r="W23" s="18"/>
    </row>
    <row r="24" spans="1:23" ht="5.0999999999999996" customHeight="1" x14ac:dyDescent="0.2">
      <c r="A24" s="226"/>
      <c r="B24" s="69"/>
      <c r="C24" s="96"/>
      <c r="D24" s="96"/>
      <c r="E24" s="96"/>
      <c r="F24" s="96"/>
      <c r="G24" s="96"/>
      <c r="H24" s="96"/>
      <c r="I24" s="96"/>
      <c r="J24" s="96"/>
      <c r="K24" s="96"/>
      <c r="L24" s="96"/>
      <c r="M24" s="96"/>
      <c r="N24" s="96"/>
      <c r="O24" s="96"/>
      <c r="P24" s="106"/>
      <c r="Q24" s="51"/>
      <c r="R24" s="42"/>
      <c r="W24" s="18"/>
    </row>
    <row r="25" spans="1:23" x14ac:dyDescent="0.2">
      <c r="A25" s="226"/>
      <c r="B25" s="72" t="s">
        <v>188</v>
      </c>
      <c r="C25" s="96"/>
      <c r="D25" s="96"/>
      <c r="E25" s="96"/>
      <c r="F25" s="96"/>
      <c r="G25" s="96"/>
      <c r="H25" s="96"/>
      <c r="I25" s="96"/>
      <c r="J25" s="96"/>
      <c r="K25" s="96"/>
      <c r="L25" s="96"/>
      <c r="M25" s="96"/>
      <c r="N25" s="96"/>
      <c r="O25" s="96"/>
      <c r="P25" s="106"/>
      <c r="Q25" s="51"/>
      <c r="R25" s="42"/>
      <c r="S25" s="163"/>
      <c r="T25" s="163"/>
      <c r="U25" s="163"/>
      <c r="W25" s="18"/>
    </row>
    <row r="26" spans="1:23" ht="12.75" customHeight="1" x14ac:dyDescent="0.2">
      <c r="A26" s="226"/>
      <c r="B26" s="69" t="s">
        <v>23</v>
      </c>
      <c r="C26" s="200">
        <f ca="1">_xlfn.LET(
_xlpm.recurring,SUMIFS(INDEX(recurring_master!$A:$AF,,MATCH($B26,recurring_master!$A$1:$AF$1,0)),recurring_master!$A:$A,"&lt;="&amp;EOMONTH(C$4,0),recurring_master!$A:$A,"&gt;="&amp;C$4),
_xlpm.planned,SUMIFS(Planned!$F:$F,Planned!$B:$B,$B26,Planned!$E:$E,"&gt;="&amp;C$4,Planned!$E:$E,"&lt;="&amp;EOMONTH(C$4,0)),
_xlpm.precedents,C$19*SUMIFS(Precedents!$E:$E,Precedents!$D:$D,$B$19,Precedents!$B:$B,$B26)+C$20*SUMIFS(Precedents!$E:$E,Precedents!$D:$D,$B$20,Precedents!$B:$B,$B26),
IFERROR(_xlpm.recurring,0)+IFERROR(_xlpm.planned,0)+IFERROR(_xlpm.precedents,0))</f>
        <v>0</v>
      </c>
      <c r="D26" s="200">
        <f ca="1">_xlfn.LET(
_xlpm.recurring,SUMIFS(INDEX(recurring_master!$A:$AF,,MATCH($B26,recurring_master!$A$1:$AF$1,0)),recurring_master!$A:$A,"&lt;="&amp;EOMONTH(D$4,0),recurring_master!$A:$A,"&gt;="&amp;D$4),
_xlpm.planned,SUMIFS(Planned!$F:$F,Planned!$B:$B,$B26,Planned!$E:$E,"&gt;="&amp;D$4,Planned!$E:$E,"&lt;="&amp;EOMONTH(D$4,0)),
_xlpm.precedents,D$19*SUMIFS(Precedents!$E:$E,Precedents!$D:$D,$B$19,Precedents!$B:$B,$B26)+D$20*SUMIFS(Precedents!$E:$E,Precedents!$D:$D,$B$20,Precedents!$B:$B,$B26),
IFERROR(_xlpm.recurring,0)+IFERROR(_xlpm.planned,0)+IFERROR(_xlpm.precedents,0))</f>
        <v>0</v>
      </c>
      <c r="E26" s="200">
        <f ca="1">_xlfn.LET(
_xlpm.recurring,SUMIFS(INDEX(recurring_master!$A:$AF,,MATCH($B26,recurring_master!$A$1:$AF$1,0)),recurring_master!$A:$A,"&lt;="&amp;EOMONTH(E$4,0),recurring_master!$A:$A,"&gt;="&amp;E$4),
_xlpm.planned,SUMIFS(Planned!$F:$F,Planned!$B:$B,$B26,Planned!$E:$E,"&gt;="&amp;E$4,Planned!$E:$E,"&lt;="&amp;EOMONTH(E$4,0)),
_xlpm.precedents,E$19*SUMIFS(Precedents!$E:$E,Precedents!$D:$D,$B$19,Precedents!$B:$B,$B26)+E$20*SUMIFS(Precedents!$E:$E,Precedents!$D:$D,$B$20,Precedents!$B:$B,$B26),
IFERROR(_xlpm.recurring,0)+IFERROR(_xlpm.planned,0)+IFERROR(_xlpm.precedents,0))</f>
        <v>0</v>
      </c>
      <c r="F26" s="200">
        <f ca="1">_xlfn.LET(
_xlpm.recurring,SUMIFS(INDEX(recurring_master!$A:$AF,,MATCH($B26,recurring_master!$A$1:$AF$1,0)),recurring_master!$A:$A,"&lt;="&amp;EOMONTH(F$4,0),recurring_master!$A:$A,"&gt;="&amp;F$4),
_xlpm.planned,SUMIFS(Planned!$F:$F,Planned!$B:$B,$B26,Planned!$E:$E,"&gt;="&amp;F$4,Planned!$E:$E,"&lt;="&amp;EOMONTH(F$4,0)),
_xlpm.precedents,F$19*SUMIFS(Precedents!$E:$E,Precedents!$D:$D,$B$19,Precedents!$B:$B,$B26)+F$20*SUMIFS(Precedents!$E:$E,Precedents!$D:$D,$B$20,Precedents!$B:$B,$B26),
IFERROR(_xlpm.recurring,0)+IFERROR(_xlpm.planned,0)+IFERROR(_xlpm.precedents,0))</f>
        <v>0</v>
      </c>
      <c r="G26" s="200">
        <f ca="1">_xlfn.LET(
_xlpm.recurring,SUMIFS(INDEX(recurring_master!$A:$AF,,MATCH($B26,recurring_master!$A$1:$AF$1,0)),recurring_master!$A:$A,"&lt;="&amp;EOMONTH(G$4,0),recurring_master!$A:$A,"&gt;="&amp;G$4),
_xlpm.planned,SUMIFS(Planned!$F:$F,Planned!$B:$B,$B26,Planned!$E:$E,"&gt;="&amp;G$4,Planned!$E:$E,"&lt;="&amp;EOMONTH(G$4,0)),
_xlpm.precedents,G$19*SUMIFS(Precedents!$E:$E,Precedents!$D:$D,$B$19,Precedents!$B:$B,$B26)+G$20*SUMIFS(Precedents!$E:$E,Precedents!$D:$D,$B$20,Precedents!$B:$B,$B26),
IFERROR(_xlpm.recurring,0)+IFERROR(_xlpm.planned,0)+IFERROR(_xlpm.precedents,0))</f>
        <v>0</v>
      </c>
      <c r="H26" s="200">
        <f ca="1">_xlfn.LET(
_xlpm.recurring,SUMIFS(INDEX(recurring_master!$A:$AF,,MATCH($B26,recurring_master!$A$1:$AF$1,0)),recurring_master!$A:$A,"&lt;="&amp;EOMONTH(H$4,0),recurring_master!$A:$A,"&gt;="&amp;H$4),
_xlpm.planned,SUMIFS(Planned!$F:$F,Planned!$B:$B,$B26,Planned!$E:$E,"&gt;="&amp;H$4,Planned!$E:$E,"&lt;="&amp;EOMONTH(H$4,0)),
_xlpm.precedents,H$19*SUMIFS(Precedents!$E:$E,Precedents!$D:$D,$B$19,Precedents!$B:$B,$B26)+H$20*SUMIFS(Precedents!$E:$E,Precedents!$D:$D,$B$20,Precedents!$B:$B,$B26),
IFERROR(_xlpm.recurring,0)+IFERROR(_xlpm.planned,0)+IFERROR(_xlpm.precedents,0))</f>
        <v>0</v>
      </c>
      <c r="I26" s="200">
        <f ca="1">_xlfn.LET(
_xlpm.recurring,SUMIFS(INDEX(recurring_master!$A:$AF,,MATCH($B26,recurring_master!$A$1:$AF$1,0)),recurring_master!$A:$A,"&lt;="&amp;EOMONTH(I$4,0),recurring_master!$A:$A,"&gt;="&amp;I$4),
_xlpm.planned,SUMIFS(Planned!$F:$F,Planned!$B:$B,$B26,Planned!$E:$E,"&gt;="&amp;I$4,Planned!$E:$E,"&lt;="&amp;EOMONTH(I$4,0)),
_xlpm.precedents,I$19*SUMIFS(Precedents!$E:$E,Precedents!$D:$D,$B$19,Precedents!$B:$B,$B26)+I$20*SUMIFS(Precedents!$E:$E,Precedents!$D:$D,$B$20,Precedents!$B:$B,$B26),
IFERROR(_xlpm.recurring,0)+IFERROR(_xlpm.planned,0)+IFERROR(_xlpm.precedents,0))</f>
        <v>0</v>
      </c>
      <c r="J26" s="200">
        <f ca="1">_xlfn.LET(
_xlpm.recurring,SUMIFS(INDEX(recurring_master!$A:$AF,,MATCH($B26,recurring_master!$A$1:$AF$1,0)),recurring_master!$A:$A,"&lt;="&amp;EOMONTH(J$4,0),recurring_master!$A:$A,"&gt;="&amp;J$4),
_xlpm.planned,SUMIFS(Planned!$F:$F,Planned!$B:$B,$B26,Planned!$E:$E,"&gt;="&amp;J$4,Planned!$E:$E,"&lt;="&amp;EOMONTH(J$4,0)),
_xlpm.precedents,J$19*SUMIFS(Precedents!$E:$E,Precedents!$D:$D,$B$19,Precedents!$B:$B,$B26)+J$20*SUMIFS(Precedents!$E:$E,Precedents!$D:$D,$B$20,Precedents!$B:$B,$B26),
IFERROR(_xlpm.recurring,0)+IFERROR(_xlpm.planned,0)+IFERROR(_xlpm.precedents,0))</f>
        <v>0</v>
      </c>
      <c r="K26" s="200">
        <f ca="1">_xlfn.LET(
_xlpm.recurring,SUMIFS(INDEX(recurring_master!$A:$AF,,MATCH($B26,recurring_master!$A$1:$AF$1,0)),recurring_master!$A:$A,"&lt;="&amp;EOMONTH(K$4,0),recurring_master!$A:$A,"&gt;="&amp;K$4),
_xlpm.planned,SUMIFS(Planned!$F:$F,Planned!$B:$B,$B26,Planned!$E:$E,"&gt;="&amp;K$4,Planned!$E:$E,"&lt;="&amp;EOMONTH(K$4,0)),
_xlpm.precedents,K$19*SUMIFS(Precedents!$E:$E,Precedents!$D:$D,$B$19,Precedents!$B:$B,$B26)+K$20*SUMIFS(Precedents!$E:$E,Precedents!$D:$D,$B$20,Precedents!$B:$B,$B26),
IFERROR(_xlpm.recurring,0)+IFERROR(_xlpm.planned,0)+IFERROR(_xlpm.precedents,0))</f>
        <v>0</v>
      </c>
      <c r="L26" s="200">
        <f ca="1">_xlfn.LET(
_xlpm.recurring,SUMIFS(INDEX(recurring_master!$A:$AF,,MATCH($B26,recurring_master!$A$1:$AF$1,0)),recurring_master!$A:$A,"&lt;="&amp;EOMONTH(L$4,0),recurring_master!$A:$A,"&gt;="&amp;L$4),
_xlpm.planned,SUMIFS(Planned!$F:$F,Planned!$B:$B,$B26,Planned!$E:$E,"&gt;="&amp;L$4,Planned!$E:$E,"&lt;="&amp;EOMONTH(L$4,0)),
_xlpm.precedents,L$19*SUMIFS(Precedents!$E:$E,Precedents!$D:$D,$B$19,Precedents!$B:$B,$B26)+L$20*SUMIFS(Precedents!$E:$E,Precedents!$D:$D,$B$20,Precedents!$B:$B,$B26),
IFERROR(_xlpm.recurring,0)+IFERROR(_xlpm.planned,0)+IFERROR(_xlpm.precedents,0))</f>
        <v>0</v>
      </c>
      <c r="M26" s="200">
        <f ca="1">_xlfn.LET(
_xlpm.recurring,SUMIFS(INDEX(recurring_master!$A:$AF,,MATCH($B26,recurring_master!$A$1:$AF$1,0)),recurring_master!$A:$A,"&lt;="&amp;EOMONTH(M$4,0),recurring_master!$A:$A,"&gt;="&amp;M$4),
_xlpm.planned,SUMIFS(Planned!$F:$F,Planned!$B:$B,$B26,Planned!$E:$E,"&gt;="&amp;M$4,Planned!$E:$E,"&lt;="&amp;EOMONTH(M$4,0)),
_xlpm.precedents,M$19*SUMIFS(Precedents!$E:$E,Precedents!$D:$D,$B$19,Precedents!$B:$B,$B26)+M$20*SUMIFS(Precedents!$E:$E,Precedents!$D:$D,$B$20,Precedents!$B:$B,$B26),
IFERROR(_xlpm.recurring,0)+IFERROR(_xlpm.planned,0)+IFERROR(_xlpm.precedents,0))</f>
        <v>0</v>
      </c>
      <c r="N26" s="200">
        <f ca="1">_xlfn.LET(
_xlpm.recurring,SUMIFS(INDEX(recurring_master!$A:$AF,,MATCH($B26,recurring_master!$A$1:$AF$1,0)),recurring_master!$A:$A,"&lt;="&amp;EOMONTH(N$4,0),recurring_master!$A:$A,"&gt;="&amp;N$4),
_xlpm.planned,SUMIFS(Planned!$F:$F,Planned!$B:$B,$B26,Planned!$E:$E,"&gt;="&amp;N$4,Planned!$E:$E,"&lt;="&amp;EOMONTH(N$4,0)),
_xlpm.precedents,N$19*SUMIFS(Precedents!$E:$E,Precedents!$D:$D,$B$19,Precedents!$B:$B,$B26)+N$20*SUMIFS(Precedents!$E:$E,Precedents!$D:$D,$B$20,Precedents!$B:$B,$B26),
IFERROR(_xlpm.recurring,0)+IFERROR(_xlpm.planned,0)+IFERROR(_xlpm.precedents,0))</f>
        <v>0</v>
      </c>
      <c r="O26" s="96"/>
      <c r="P26" s="106">
        <f ca="1">SUM(C26:N26)</f>
        <v>0</v>
      </c>
      <c r="Q26" s="51"/>
      <c r="R26" s="42"/>
      <c r="S26" s="163"/>
    </row>
    <row r="27" spans="1:23" ht="12.75" customHeight="1" x14ac:dyDescent="0.2">
      <c r="A27" s="226"/>
      <c r="B27" s="69" t="s">
        <v>87</v>
      </c>
      <c r="C27" s="200">
        <f ca="1">_xlfn.LET(
_xlpm.recurring,SUMIFS(INDEX(recurring_master!$A:$AF,,MATCH($B27,recurring_master!$A$1:$AF$1,0)),recurring_master!$A:$A,"&lt;="&amp;EOMONTH(C$4,0),recurring_master!$A:$A,"&gt;="&amp;C$4),
_xlpm.planned,SUMIFS(Planned!$F:$F,Planned!$B:$B,$B27,Planned!$E:$E,"&gt;="&amp;C$4,Planned!$E:$E,"&lt;="&amp;EOMONTH(C$4,0)),
_xlpm.precedents,C$19*SUMIFS(Precedents!$E:$E,Precedents!$D:$D,$B$19,Precedents!$B:$B,$B27)+C$20*SUMIFS(Precedents!$E:$E,Precedents!$D:$D,$B$20,Precedents!$B:$B,$B27),
IFERROR(_xlpm.recurring,0)+IFERROR(_xlpm.planned,0)+IFERROR(_xlpm.precedents,0))</f>
        <v>0</v>
      </c>
      <c r="D27" s="200">
        <f ca="1">_xlfn.LET(
_xlpm.recurring,SUMIFS(INDEX(recurring_master!$A:$AF,,MATCH($B27,recurring_master!$A$1:$AF$1,0)),recurring_master!$A:$A,"&lt;="&amp;EOMONTH(D$4,0),recurring_master!$A:$A,"&gt;="&amp;D$4),
_xlpm.planned,SUMIFS(Planned!$F:$F,Planned!$B:$B,$B27,Planned!$E:$E,"&gt;="&amp;D$4,Planned!$E:$E,"&lt;="&amp;EOMONTH(D$4,0)),
_xlpm.precedents,D$19*SUMIFS(Precedents!$E:$E,Precedents!$D:$D,$B$19,Precedents!$B:$B,$B27)+D$20*SUMIFS(Precedents!$E:$E,Precedents!$D:$D,$B$20,Precedents!$B:$B,$B27),
IFERROR(_xlpm.recurring,0)+IFERROR(_xlpm.planned,0)+IFERROR(_xlpm.precedents,0))</f>
        <v>0</v>
      </c>
      <c r="E27" s="200">
        <f ca="1">_xlfn.LET(
_xlpm.recurring,SUMIFS(INDEX(recurring_master!$A:$AF,,MATCH($B27,recurring_master!$A$1:$AF$1,0)),recurring_master!$A:$A,"&lt;="&amp;EOMONTH(E$4,0),recurring_master!$A:$A,"&gt;="&amp;E$4),
_xlpm.planned,SUMIFS(Planned!$F:$F,Planned!$B:$B,$B27,Planned!$E:$E,"&gt;="&amp;E$4,Planned!$E:$E,"&lt;="&amp;EOMONTH(E$4,0)),
_xlpm.precedents,E$19*SUMIFS(Precedents!$E:$E,Precedents!$D:$D,$B$19,Precedents!$B:$B,$B27)+E$20*SUMIFS(Precedents!$E:$E,Precedents!$D:$D,$B$20,Precedents!$B:$B,$B27),
IFERROR(_xlpm.recurring,0)+IFERROR(_xlpm.planned,0)+IFERROR(_xlpm.precedents,0))</f>
        <v>0</v>
      </c>
      <c r="F27" s="200">
        <f ca="1">_xlfn.LET(
_xlpm.recurring,SUMIFS(INDEX(recurring_master!$A:$AF,,MATCH($B27,recurring_master!$A$1:$AF$1,0)),recurring_master!$A:$A,"&lt;="&amp;EOMONTH(F$4,0),recurring_master!$A:$A,"&gt;="&amp;F$4),
_xlpm.planned,SUMIFS(Planned!$F:$F,Planned!$B:$B,$B27,Planned!$E:$E,"&gt;="&amp;F$4,Planned!$E:$E,"&lt;="&amp;EOMONTH(F$4,0)),
_xlpm.precedents,F$19*SUMIFS(Precedents!$E:$E,Precedents!$D:$D,$B$19,Precedents!$B:$B,$B27)+F$20*SUMIFS(Precedents!$E:$E,Precedents!$D:$D,$B$20,Precedents!$B:$B,$B27),
IFERROR(_xlpm.recurring,0)+IFERROR(_xlpm.planned,0)+IFERROR(_xlpm.precedents,0))</f>
        <v>0</v>
      </c>
      <c r="G27" s="200">
        <f ca="1">_xlfn.LET(
_xlpm.recurring,SUMIFS(INDEX(recurring_master!$A:$AF,,MATCH($B27,recurring_master!$A$1:$AF$1,0)),recurring_master!$A:$A,"&lt;="&amp;EOMONTH(G$4,0),recurring_master!$A:$A,"&gt;="&amp;G$4),
_xlpm.planned,SUMIFS(Planned!$F:$F,Planned!$B:$B,$B27,Planned!$E:$E,"&gt;="&amp;G$4,Planned!$E:$E,"&lt;="&amp;EOMONTH(G$4,0)),
_xlpm.precedents,G$19*SUMIFS(Precedents!$E:$E,Precedents!$D:$D,$B$19,Precedents!$B:$B,$B27)+G$20*SUMIFS(Precedents!$E:$E,Precedents!$D:$D,$B$20,Precedents!$B:$B,$B27),
IFERROR(_xlpm.recurring,0)+IFERROR(_xlpm.planned,0)+IFERROR(_xlpm.precedents,0))</f>
        <v>0</v>
      </c>
      <c r="H27" s="200">
        <f ca="1">_xlfn.LET(
_xlpm.recurring,SUMIFS(INDEX(recurring_master!$A:$AF,,MATCH($B27,recurring_master!$A$1:$AF$1,0)),recurring_master!$A:$A,"&lt;="&amp;EOMONTH(H$4,0),recurring_master!$A:$A,"&gt;="&amp;H$4),
_xlpm.planned,SUMIFS(Planned!$F:$F,Planned!$B:$B,$B27,Planned!$E:$E,"&gt;="&amp;H$4,Planned!$E:$E,"&lt;="&amp;EOMONTH(H$4,0)),
_xlpm.precedents,H$19*SUMIFS(Precedents!$E:$E,Precedents!$D:$D,$B$19,Precedents!$B:$B,$B27)+H$20*SUMIFS(Precedents!$E:$E,Precedents!$D:$D,$B$20,Precedents!$B:$B,$B27),
IFERROR(_xlpm.recurring,0)+IFERROR(_xlpm.planned,0)+IFERROR(_xlpm.precedents,0))</f>
        <v>0</v>
      </c>
      <c r="I27" s="200">
        <f ca="1">_xlfn.LET(
_xlpm.recurring,SUMIFS(INDEX(recurring_master!$A:$AF,,MATCH($B27,recurring_master!$A$1:$AF$1,0)),recurring_master!$A:$A,"&lt;="&amp;EOMONTH(I$4,0),recurring_master!$A:$A,"&gt;="&amp;I$4),
_xlpm.planned,SUMIFS(Planned!$F:$F,Planned!$B:$B,$B27,Planned!$E:$E,"&gt;="&amp;I$4,Planned!$E:$E,"&lt;="&amp;EOMONTH(I$4,0)),
_xlpm.precedents,I$19*SUMIFS(Precedents!$E:$E,Precedents!$D:$D,$B$19,Precedents!$B:$B,$B27)+I$20*SUMIFS(Precedents!$E:$E,Precedents!$D:$D,$B$20,Precedents!$B:$B,$B27),
IFERROR(_xlpm.recurring,0)+IFERROR(_xlpm.planned,0)+IFERROR(_xlpm.precedents,0))</f>
        <v>0</v>
      </c>
      <c r="J27" s="200">
        <f ca="1">_xlfn.LET(
_xlpm.recurring,SUMIFS(INDEX(recurring_master!$A:$AF,,MATCH($B27,recurring_master!$A$1:$AF$1,0)),recurring_master!$A:$A,"&lt;="&amp;EOMONTH(J$4,0),recurring_master!$A:$A,"&gt;="&amp;J$4),
_xlpm.planned,SUMIFS(Planned!$F:$F,Planned!$B:$B,$B27,Planned!$E:$E,"&gt;="&amp;J$4,Planned!$E:$E,"&lt;="&amp;EOMONTH(J$4,0)),
_xlpm.precedents,J$19*SUMIFS(Precedents!$E:$E,Precedents!$D:$D,$B$19,Precedents!$B:$B,$B27)+J$20*SUMIFS(Precedents!$E:$E,Precedents!$D:$D,$B$20,Precedents!$B:$B,$B27),
IFERROR(_xlpm.recurring,0)+IFERROR(_xlpm.planned,0)+IFERROR(_xlpm.precedents,0))</f>
        <v>0</v>
      </c>
      <c r="K27" s="200">
        <f ca="1">_xlfn.LET(
_xlpm.recurring,SUMIFS(INDEX(recurring_master!$A:$AF,,MATCH($B27,recurring_master!$A$1:$AF$1,0)),recurring_master!$A:$A,"&lt;="&amp;EOMONTH(K$4,0),recurring_master!$A:$A,"&gt;="&amp;K$4),
_xlpm.planned,SUMIFS(Planned!$F:$F,Planned!$B:$B,$B27,Planned!$E:$E,"&gt;="&amp;K$4,Planned!$E:$E,"&lt;="&amp;EOMONTH(K$4,0)),
_xlpm.precedents,K$19*SUMIFS(Precedents!$E:$E,Precedents!$D:$D,$B$19,Precedents!$B:$B,$B27)+K$20*SUMIFS(Precedents!$E:$E,Precedents!$D:$D,$B$20,Precedents!$B:$B,$B27),
IFERROR(_xlpm.recurring,0)+IFERROR(_xlpm.planned,0)+IFERROR(_xlpm.precedents,0))</f>
        <v>0</v>
      </c>
      <c r="L27" s="200">
        <f ca="1">_xlfn.LET(
_xlpm.recurring,SUMIFS(INDEX(recurring_master!$A:$AF,,MATCH($B27,recurring_master!$A$1:$AF$1,0)),recurring_master!$A:$A,"&lt;="&amp;EOMONTH(L$4,0),recurring_master!$A:$A,"&gt;="&amp;L$4),
_xlpm.planned,SUMIFS(Planned!$F:$F,Planned!$B:$B,$B27,Planned!$E:$E,"&gt;="&amp;L$4,Planned!$E:$E,"&lt;="&amp;EOMONTH(L$4,0)),
_xlpm.precedents,L$19*SUMIFS(Precedents!$E:$E,Precedents!$D:$D,$B$19,Precedents!$B:$B,$B27)+L$20*SUMIFS(Precedents!$E:$E,Precedents!$D:$D,$B$20,Precedents!$B:$B,$B27),
IFERROR(_xlpm.recurring,0)+IFERROR(_xlpm.planned,0)+IFERROR(_xlpm.precedents,0))</f>
        <v>0</v>
      </c>
      <c r="M27" s="200">
        <f ca="1">_xlfn.LET(
_xlpm.recurring,SUMIFS(INDEX(recurring_master!$A:$AF,,MATCH($B27,recurring_master!$A$1:$AF$1,0)),recurring_master!$A:$A,"&lt;="&amp;EOMONTH(M$4,0),recurring_master!$A:$A,"&gt;="&amp;M$4),
_xlpm.planned,SUMIFS(Planned!$F:$F,Planned!$B:$B,$B27,Planned!$E:$E,"&gt;="&amp;M$4,Planned!$E:$E,"&lt;="&amp;EOMONTH(M$4,0)),
_xlpm.precedents,M$19*SUMIFS(Precedents!$E:$E,Precedents!$D:$D,$B$19,Precedents!$B:$B,$B27)+M$20*SUMIFS(Precedents!$E:$E,Precedents!$D:$D,$B$20,Precedents!$B:$B,$B27),
IFERROR(_xlpm.recurring,0)+IFERROR(_xlpm.planned,0)+IFERROR(_xlpm.precedents,0))</f>
        <v>0</v>
      </c>
      <c r="N27" s="200">
        <f ca="1">_xlfn.LET(
_xlpm.recurring,SUMIFS(INDEX(recurring_master!$A:$AF,,MATCH($B27,recurring_master!$A$1:$AF$1,0)),recurring_master!$A:$A,"&lt;="&amp;EOMONTH(N$4,0),recurring_master!$A:$A,"&gt;="&amp;N$4),
_xlpm.planned,SUMIFS(Planned!$F:$F,Planned!$B:$B,$B27,Planned!$E:$E,"&gt;="&amp;N$4,Planned!$E:$E,"&lt;="&amp;EOMONTH(N$4,0)),
_xlpm.precedents,N$19*SUMIFS(Precedents!$E:$E,Precedents!$D:$D,$B$19,Precedents!$B:$B,$B27)+N$20*SUMIFS(Precedents!$E:$E,Precedents!$D:$D,$B$20,Precedents!$B:$B,$B27),
IFERROR(_xlpm.recurring,0)+IFERROR(_xlpm.planned,0)+IFERROR(_xlpm.precedents,0))</f>
        <v>0</v>
      </c>
      <c r="O27" s="96"/>
      <c r="P27" s="106">
        <f ca="1">SUM(C27:N27)</f>
        <v>0</v>
      </c>
      <c r="Q27" s="51"/>
      <c r="R27" s="42"/>
    </row>
    <row r="28" spans="1:23" ht="12.75" customHeight="1" x14ac:dyDescent="0.2">
      <c r="A28" s="226"/>
      <c r="B28" s="69" t="s">
        <v>95</v>
      </c>
      <c r="C28" s="200">
        <f ca="1">_xlfn.LET(
_xlpm.recurring,SUMIFS(INDEX(recurring_master!$A:$AF,,MATCH($B28,recurring_master!$A$1:$AF$1,0)),recurring_master!$A:$A,"&lt;="&amp;EOMONTH(C$4,0),recurring_master!$A:$A,"&gt;="&amp;C$4),
_xlpm.planned,SUMIFS(Planned!$F:$F,Planned!$B:$B,$B28,Planned!$E:$E,"&gt;="&amp;C$4,Planned!$E:$E,"&lt;="&amp;EOMONTH(C$4,0)),
_xlpm.precedents,C$19*SUMIFS(Precedents!$E:$E,Precedents!$D:$D,$B$19,Precedents!$B:$B,$B28)+C$20*SUMIFS(Precedents!$E:$E,Precedents!$D:$D,$B$20,Precedents!$B:$B,$B28),
IFERROR(_xlpm.recurring,0)+IFERROR(_xlpm.planned,0)+IFERROR(_xlpm.precedents,0))</f>
        <v>0</v>
      </c>
      <c r="D28" s="200">
        <f ca="1">_xlfn.LET(
_xlpm.recurring,SUMIFS(INDEX(recurring_master!$A:$AF,,MATCH($B28,recurring_master!$A$1:$AF$1,0)),recurring_master!$A:$A,"&lt;="&amp;EOMONTH(D$4,0),recurring_master!$A:$A,"&gt;="&amp;D$4),
_xlpm.planned,SUMIFS(Planned!$F:$F,Planned!$B:$B,$B28,Planned!$E:$E,"&gt;="&amp;D$4,Planned!$E:$E,"&lt;="&amp;EOMONTH(D$4,0)),
_xlpm.precedents,D$19*SUMIFS(Precedents!$E:$E,Precedents!$D:$D,$B$19,Precedents!$B:$B,$B28)+D$20*SUMIFS(Precedents!$E:$E,Precedents!$D:$D,$B$20,Precedents!$B:$B,$B28),
IFERROR(_xlpm.recurring,0)+IFERROR(_xlpm.planned,0)+IFERROR(_xlpm.precedents,0))</f>
        <v>0</v>
      </c>
      <c r="E28" s="200">
        <f ca="1">_xlfn.LET(
_xlpm.recurring,SUMIFS(INDEX(recurring_master!$A:$AF,,MATCH($B28,recurring_master!$A$1:$AF$1,0)),recurring_master!$A:$A,"&lt;="&amp;EOMONTH(E$4,0),recurring_master!$A:$A,"&gt;="&amp;E$4),
_xlpm.planned,SUMIFS(Planned!$F:$F,Planned!$B:$B,$B28,Planned!$E:$E,"&gt;="&amp;E$4,Planned!$E:$E,"&lt;="&amp;EOMONTH(E$4,0)),
_xlpm.precedents,E$19*SUMIFS(Precedents!$E:$E,Precedents!$D:$D,$B$19,Precedents!$B:$B,$B28)+E$20*SUMIFS(Precedents!$E:$E,Precedents!$D:$D,$B$20,Precedents!$B:$B,$B28),
IFERROR(_xlpm.recurring,0)+IFERROR(_xlpm.planned,0)+IFERROR(_xlpm.precedents,0))</f>
        <v>0</v>
      </c>
      <c r="F28" s="200">
        <f ca="1">_xlfn.LET(
_xlpm.recurring,SUMIFS(INDEX(recurring_master!$A:$AF,,MATCH($B28,recurring_master!$A$1:$AF$1,0)),recurring_master!$A:$A,"&lt;="&amp;EOMONTH(F$4,0),recurring_master!$A:$A,"&gt;="&amp;F$4),
_xlpm.planned,SUMIFS(Planned!$F:$F,Planned!$B:$B,$B28,Planned!$E:$E,"&gt;="&amp;F$4,Planned!$E:$E,"&lt;="&amp;EOMONTH(F$4,0)),
_xlpm.precedents,F$19*SUMIFS(Precedents!$E:$E,Precedents!$D:$D,$B$19,Precedents!$B:$B,$B28)+F$20*SUMIFS(Precedents!$E:$E,Precedents!$D:$D,$B$20,Precedents!$B:$B,$B28),
IFERROR(_xlpm.recurring,0)+IFERROR(_xlpm.planned,0)+IFERROR(_xlpm.precedents,0))</f>
        <v>0</v>
      </c>
      <c r="G28" s="200">
        <f ca="1">_xlfn.LET(
_xlpm.recurring,SUMIFS(INDEX(recurring_master!$A:$AF,,MATCH($B28,recurring_master!$A$1:$AF$1,0)),recurring_master!$A:$A,"&lt;="&amp;EOMONTH(G$4,0),recurring_master!$A:$A,"&gt;="&amp;G$4),
_xlpm.planned,SUMIFS(Planned!$F:$F,Planned!$B:$B,$B28,Planned!$E:$E,"&gt;="&amp;G$4,Planned!$E:$E,"&lt;="&amp;EOMONTH(G$4,0)),
_xlpm.precedents,G$19*SUMIFS(Precedents!$E:$E,Precedents!$D:$D,$B$19,Precedents!$B:$B,$B28)+G$20*SUMIFS(Precedents!$E:$E,Precedents!$D:$D,$B$20,Precedents!$B:$B,$B28),
IFERROR(_xlpm.recurring,0)+IFERROR(_xlpm.planned,0)+IFERROR(_xlpm.precedents,0))</f>
        <v>0</v>
      </c>
      <c r="H28" s="200">
        <f ca="1">_xlfn.LET(
_xlpm.recurring,SUMIFS(INDEX(recurring_master!$A:$AF,,MATCH($B28,recurring_master!$A$1:$AF$1,0)),recurring_master!$A:$A,"&lt;="&amp;EOMONTH(H$4,0),recurring_master!$A:$A,"&gt;="&amp;H$4),
_xlpm.planned,SUMIFS(Planned!$F:$F,Planned!$B:$B,$B28,Planned!$E:$E,"&gt;="&amp;H$4,Planned!$E:$E,"&lt;="&amp;EOMONTH(H$4,0)),
_xlpm.precedents,H$19*SUMIFS(Precedents!$E:$E,Precedents!$D:$D,$B$19,Precedents!$B:$B,$B28)+H$20*SUMIFS(Precedents!$E:$E,Precedents!$D:$D,$B$20,Precedents!$B:$B,$B28),
IFERROR(_xlpm.recurring,0)+IFERROR(_xlpm.planned,0)+IFERROR(_xlpm.precedents,0))</f>
        <v>0</v>
      </c>
      <c r="I28" s="200">
        <f ca="1">_xlfn.LET(
_xlpm.recurring,SUMIFS(INDEX(recurring_master!$A:$AF,,MATCH($B28,recurring_master!$A$1:$AF$1,0)),recurring_master!$A:$A,"&lt;="&amp;EOMONTH(I$4,0),recurring_master!$A:$A,"&gt;="&amp;I$4),
_xlpm.planned,SUMIFS(Planned!$F:$F,Planned!$B:$B,$B28,Planned!$E:$E,"&gt;="&amp;I$4,Planned!$E:$E,"&lt;="&amp;EOMONTH(I$4,0)),
_xlpm.precedents,I$19*SUMIFS(Precedents!$E:$E,Precedents!$D:$D,$B$19,Precedents!$B:$B,$B28)+I$20*SUMIFS(Precedents!$E:$E,Precedents!$D:$D,$B$20,Precedents!$B:$B,$B28),
IFERROR(_xlpm.recurring,0)+IFERROR(_xlpm.planned,0)+IFERROR(_xlpm.precedents,0))</f>
        <v>0</v>
      </c>
      <c r="J28" s="200">
        <f ca="1">_xlfn.LET(
_xlpm.recurring,SUMIFS(INDEX(recurring_master!$A:$AF,,MATCH($B28,recurring_master!$A$1:$AF$1,0)),recurring_master!$A:$A,"&lt;="&amp;EOMONTH(J$4,0),recurring_master!$A:$A,"&gt;="&amp;J$4),
_xlpm.planned,SUMIFS(Planned!$F:$F,Planned!$B:$B,$B28,Planned!$E:$E,"&gt;="&amp;J$4,Planned!$E:$E,"&lt;="&amp;EOMONTH(J$4,0)),
_xlpm.precedents,J$19*SUMIFS(Precedents!$E:$E,Precedents!$D:$D,$B$19,Precedents!$B:$B,$B28)+J$20*SUMIFS(Precedents!$E:$E,Precedents!$D:$D,$B$20,Precedents!$B:$B,$B28),
IFERROR(_xlpm.recurring,0)+IFERROR(_xlpm.planned,0)+IFERROR(_xlpm.precedents,0))</f>
        <v>0</v>
      </c>
      <c r="K28" s="200">
        <f ca="1">_xlfn.LET(
_xlpm.recurring,SUMIFS(INDEX(recurring_master!$A:$AF,,MATCH($B28,recurring_master!$A$1:$AF$1,0)),recurring_master!$A:$A,"&lt;="&amp;EOMONTH(K$4,0),recurring_master!$A:$A,"&gt;="&amp;K$4),
_xlpm.planned,SUMIFS(Planned!$F:$F,Planned!$B:$B,$B28,Planned!$E:$E,"&gt;="&amp;K$4,Planned!$E:$E,"&lt;="&amp;EOMONTH(K$4,0)),
_xlpm.precedents,K$19*SUMIFS(Precedents!$E:$E,Precedents!$D:$D,$B$19,Precedents!$B:$B,$B28)+K$20*SUMIFS(Precedents!$E:$E,Precedents!$D:$D,$B$20,Precedents!$B:$B,$B28),
IFERROR(_xlpm.recurring,0)+IFERROR(_xlpm.planned,0)+IFERROR(_xlpm.precedents,0))</f>
        <v>0</v>
      </c>
      <c r="L28" s="200">
        <f ca="1">_xlfn.LET(
_xlpm.recurring,SUMIFS(INDEX(recurring_master!$A:$AF,,MATCH($B28,recurring_master!$A$1:$AF$1,0)),recurring_master!$A:$A,"&lt;="&amp;EOMONTH(L$4,0),recurring_master!$A:$A,"&gt;="&amp;L$4),
_xlpm.planned,SUMIFS(Planned!$F:$F,Planned!$B:$B,$B28,Planned!$E:$E,"&gt;="&amp;L$4,Planned!$E:$E,"&lt;="&amp;EOMONTH(L$4,0)),
_xlpm.precedents,L$19*SUMIFS(Precedents!$E:$E,Precedents!$D:$D,$B$19,Precedents!$B:$B,$B28)+L$20*SUMIFS(Precedents!$E:$E,Precedents!$D:$D,$B$20,Precedents!$B:$B,$B28),
IFERROR(_xlpm.recurring,0)+IFERROR(_xlpm.planned,0)+IFERROR(_xlpm.precedents,0))</f>
        <v>0</v>
      </c>
      <c r="M28" s="200">
        <f ca="1">_xlfn.LET(
_xlpm.recurring,SUMIFS(INDEX(recurring_master!$A:$AF,,MATCH($B28,recurring_master!$A$1:$AF$1,0)),recurring_master!$A:$A,"&lt;="&amp;EOMONTH(M$4,0),recurring_master!$A:$A,"&gt;="&amp;M$4),
_xlpm.planned,SUMIFS(Planned!$F:$F,Planned!$B:$B,$B28,Planned!$E:$E,"&gt;="&amp;M$4,Planned!$E:$E,"&lt;="&amp;EOMONTH(M$4,0)),
_xlpm.precedents,M$19*SUMIFS(Precedents!$E:$E,Precedents!$D:$D,$B$19,Precedents!$B:$B,$B28)+M$20*SUMIFS(Precedents!$E:$E,Precedents!$D:$D,$B$20,Precedents!$B:$B,$B28),
IFERROR(_xlpm.recurring,0)+IFERROR(_xlpm.planned,0)+IFERROR(_xlpm.precedents,0))</f>
        <v>0</v>
      </c>
      <c r="N28" s="200">
        <f ca="1">_xlfn.LET(
_xlpm.recurring,SUMIFS(INDEX(recurring_master!$A:$AF,,MATCH($B28,recurring_master!$A$1:$AF$1,0)),recurring_master!$A:$A,"&lt;="&amp;EOMONTH(N$4,0),recurring_master!$A:$A,"&gt;="&amp;N$4),
_xlpm.planned,SUMIFS(Planned!$F:$F,Planned!$B:$B,$B28,Planned!$E:$E,"&gt;="&amp;N$4,Planned!$E:$E,"&lt;="&amp;EOMONTH(N$4,0)),
_xlpm.precedents,N$19*SUMIFS(Precedents!$E:$E,Precedents!$D:$D,$B$19,Precedents!$B:$B,$B28)+N$20*SUMIFS(Precedents!$E:$E,Precedents!$D:$D,$B$20,Precedents!$B:$B,$B28),
IFERROR(_xlpm.recurring,0)+IFERROR(_xlpm.planned,0)+IFERROR(_xlpm.precedents,0))</f>
        <v>0</v>
      </c>
      <c r="O28" s="96"/>
      <c r="P28" s="106">
        <f ca="1">SUM(C28:N28)</f>
        <v>0</v>
      </c>
      <c r="Q28" s="52"/>
      <c r="R28" s="42"/>
    </row>
    <row r="29" spans="1:23" ht="5.0999999999999996" customHeight="1" x14ac:dyDescent="0.2">
      <c r="A29" s="226"/>
      <c r="B29" s="69"/>
      <c r="C29" s="96"/>
      <c r="D29" s="96"/>
      <c r="E29" s="96"/>
      <c r="F29" s="96"/>
      <c r="G29" s="96"/>
      <c r="H29" s="96"/>
      <c r="I29" s="96"/>
      <c r="J29" s="96"/>
      <c r="K29" s="96"/>
      <c r="L29" s="96"/>
      <c r="M29" s="96"/>
      <c r="N29" s="96"/>
      <c r="O29" s="96"/>
      <c r="P29" s="106"/>
      <c r="Q29" s="51"/>
      <c r="R29" s="42"/>
      <c r="W29" s="18"/>
    </row>
    <row r="30" spans="1:23" ht="12.75" customHeight="1" x14ac:dyDescent="0.2">
      <c r="A30" s="226"/>
      <c r="B30" s="71" t="s">
        <v>26</v>
      </c>
      <c r="C30" s="107">
        <f t="shared" ref="C30:N30" ca="1" si="8">SUM(C26:C29)</f>
        <v>0</v>
      </c>
      <c r="D30" s="107">
        <f t="shared" ca="1" si="8"/>
        <v>0</v>
      </c>
      <c r="E30" s="107">
        <f t="shared" ca="1" si="8"/>
        <v>0</v>
      </c>
      <c r="F30" s="107">
        <f t="shared" ca="1" si="8"/>
        <v>0</v>
      </c>
      <c r="G30" s="107">
        <f t="shared" ca="1" si="8"/>
        <v>0</v>
      </c>
      <c r="H30" s="107">
        <f t="shared" ca="1" si="8"/>
        <v>0</v>
      </c>
      <c r="I30" s="107">
        <f t="shared" ca="1" si="8"/>
        <v>0</v>
      </c>
      <c r="J30" s="107">
        <f t="shared" ca="1" si="8"/>
        <v>0</v>
      </c>
      <c r="K30" s="107">
        <f t="shared" ca="1" si="8"/>
        <v>0</v>
      </c>
      <c r="L30" s="107">
        <f t="shared" ca="1" si="8"/>
        <v>0</v>
      </c>
      <c r="M30" s="107">
        <f t="shared" ca="1" si="8"/>
        <v>0</v>
      </c>
      <c r="N30" s="107">
        <f t="shared" ca="1" si="8"/>
        <v>0</v>
      </c>
      <c r="O30" s="107"/>
      <c r="P30" s="108">
        <f ca="1">SUM(C30:N30)</f>
        <v>0</v>
      </c>
      <c r="Q30" s="51"/>
      <c r="R30" s="42"/>
      <c r="U30" s="19"/>
      <c r="V30" s="20"/>
      <c r="W30" s="19"/>
    </row>
    <row r="31" spans="1:23" ht="5.0999999999999996" customHeight="1" x14ac:dyDescent="0.2">
      <c r="A31" s="226"/>
      <c r="B31" s="69"/>
      <c r="C31" s="96"/>
      <c r="D31" s="96"/>
      <c r="E31" s="96"/>
      <c r="F31" s="96"/>
      <c r="G31" s="96"/>
      <c r="H31" s="96"/>
      <c r="I31" s="96"/>
      <c r="J31" s="96"/>
      <c r="K31" s="96"/>
      <c r="L31" s="96"/>
      <c r="M31" s="96"/>
      <c r="N31" s="96"/>
      <c r="O31" s="96"/>
      <c r="P31" s="106"/>
      <c r="Q31" s="51"/>
      <c r="R31" s="42"/>
      <c r="W31" s="18"/>
    </row>
    <row r="32" spans="1:23" ht="12.75" customHeight="1" x14ac:dyDescent="0.2">
      <c r="A32" s="226"/>
      <c r="B32" s="73" t="s">
        <v>173</v>
      </c>
      <c r="C32" s="109">
        <f t="shared" ref="C32:N32" ca="1" si="9">C23-C30</f>
        <v>0</v>
      </c>
      <c r="D32" s="109">
        <f t="shared" ca="1" si="9"/>
        <v>0</v>
      </c>
      <c r="E32" s="109">
        <f t="shared" ca="1" si="9"/>
        <v>0</v>
      </c>
      <c r="F32" s="109">
        <f t="shared" ca="1" si="9"/>
        <v>0</v>
      </c>
      <c r="G32" s="109">
        <f t="shared" ca="1" si="9"/>
        <v>0</v>
      </c>
      <c r="H32" s="109">
        <f t="shared" ca="1" si="9"/>
        <v>0</v>
      </c>
      <c r="I32" s="109">
        <f t="shared" ca="1" si="9"/>
        <v>0</v>
      </c>
      <c r="J32" s="109">
        <f t="shared" ca="1" si="9"/>
        <v>0</v>
      </c>
      <c r="K32" s="109">
        <f t="shared" ca="1" si="9"/>
        <v>0</v>
      </c>
      <c r="L32" s="109">
        <f t="shared" ca="1" si="9"/>
        <v>0</v>
      </c>
      <c r="M32" s="109">
        <f t="shared" ca="1" si="9"/>
        <v>0</v>
      </c>
      <c r="N32" s="109">
        <f t="shared" ca="1" si="9"/>
        <v>0</v>
      </c>
      <c r="O32" s="109"/>
      <c r="P32" s="110">
        <f ca="1">SUM(C32:N32)</f>
        <v>0</v>
      </c>
      <c r="Q32" s="51"/>
      <c r="R32" s="42"/>
      <c r="U32" s="21"/>
      <c r="W32" s="21"/>
    </row>
    <row r="33" spans="1:23" ht="5.0999999999999996" customHeight="1" x14ac:dyDescent="0.2">
      <c r="A33" s="226"/>
      <c r="B33" s="67"/>
      <c r="C33" s="96"/>
      <c r="D33" s="96"/>
      <c r="E33" s="96"/>
      <c r="F33" s="96"/>
      <c r="G33" s="96"/>
      <c r="H33" s="96"/>
      <c r="I33" s="96"/>
      <c r="J33" s="96"/>
      <c r="K33" s="96"/>
      <c r="L33" s="96"/>
      <c r="M33" s="96"/>
      <c r="N33" s="96"/>
      <c r="O33" s="96"/>
      <c r="P33" s="96"/>
      <c r="Q33" s="51"/>
      <c r="R33" s="42"/>
    </row>
    <row r="34" spans="1:23" ht="12.75" customHeight="1" x14ac:dyDescent="0.2">
      <c r="A34" s="226"/>
      <c r="B34" s="74" t="s">
        <v>172</v>
      </c>
      <c r="C34" s="157"/>
      <c r="D34" s="157"/>
      <c r="E34" s="157"/>
      <c r="F34" s="157"/>
      <c r="G34" s="157"/>
      <c r="H34" s="157"/>
      <c r="I34" s="157"/>
      <c r="J34" s="157"/>
      <c r="K34" s="157"/>
      <c r="L34" s="157"/>
      <c r="M34" s="157"/>
      <c r="N34" s="157"/>
      <c r="O34" s="157"/>
      <c r="P34" s="158"/>
      <c r="Q34" s="51"/>
      <c r="R34" s="42"/>
    </row>
    <row r="35" spans="1:23" ht="12.75" customHeight="1" x14ac:dyDescent="0.2">
      <c r="A35" s="226"/>
      <c r="B35" s="161" t="s">
        <v>167</v>
      </c>
      <c r="C35" s="105">
        <f ca="1">_xlfn.LET(
_xlpm.recurring,SUMIFS(INDEX(recurring_master!$A:$AF,,MATCH($B35,recurring_master!$A$1:$AF$1,0)),recurring_master!$A:$A,"&lt;="&amp;EOMONTH(C$4,0),recurring_master!$A:$A,"&gt;="&amp;C$4),
_xlpm.planned,SUMIFS(Planned!$F:$F,Planned!$B:$B,$B35,Planned!$E:$E,"&gt;="&amp;C$4,Planned!$E:$E,"&lt;="&amp;EOMONTH(C$4,0)),
IFERROR(_xlpm.recurring,0)+IFERROR(_xlpm.planned,0))</f>
        <v>0</v>
      </c>
      <c r="D35" s="105">
        <f ca="1">_xlfn.LET(
_xlpm.recurring,SUMIFS(INDEX(recurring_master!$A:$AF,,MATCH($B35,recurring_master!$A$1:$AF$1,0)),recurring_master!$A:$A,"&lt;="&amp;EOMONTH(D$4,0),recurring_master!$A:$A,"&gt;="&amp;D$4),
_xlpm.planned,SUMIFS(Planned!$F:$F,Planned!$B:$B,$B35,Planned!$E:$E,"&gt;="&amp;D$4,Planned!$E:$E,"&lt;="&amp;EOMONTH(D$4,0)),
IFERROR(_xlpm.recurring,0)+IFERROR(_xlpm.planned,0))</f>
        <v>0</v>
      </c>
      <c r="E35" s="105">
        <f ca="1">_xlfn.LET(
_xlpm.recurring,SUMIFS(INDEX(recurring_master!$A:$AF,,MATCH($B35,recurring_master!$A$1:$AF$1,0)),recurring_master!$A:$A,"&lt;="&amp;EOMONTH(E$4,0),recurring_master!$A:$A,"&gt;="&amp;E$4),
_xlpm.planned,SUMIFS(Planned!$F:$F,Planned!$B:$B,$B35,Planned!$E:$E,"&gt;="&amp;E$4,Planned!$E:$E,"&lt;="&amp;EOMONTH(E$4,0)),
IFERROR(_xlpm.recurring,0)+IFERROR(_xlpm.planned,0))</f>
        <v>0</v>
      </c>
      <c r="F35" s="105">
        <f ca="1">_xlfn.LET(
_xlpm.recurring,SUMIFS(INDEX(recurring_master!$A:$AF,,MATCH($B35,recurring_master!$A$1:$AF$1,0)),recurring_master!$A:$A,"&lt;="&amp;EOMONTH(F$4,0),recurring_master!$A:$A,"&gt;="&amp;F$4),
_xlpm.planned,SUMIFS(Planned!$F:$F,Planned!$B:$B,$B35,Planned!$E:$E,"&gt;="&amp;F$4,Planned!$E:$E,"&lt;="&amp;EOMONTH(F$4,0)),
IFERROR(_xlpm.recurring,0)+IFERROR(_xlpm.planned,0))</f>
        <v>0</v>
      </c>
      <c r="G35" s="105">
        <f ca="1">_xlfn.LET(
_xlpm.recurring,SUMIFS(INDEX(recurring_master!$A:$AF,,MATCH($B35,recurring_master!$A$1:$AF$1,0)),recurring_master!$A:$A,"&lt;="&amp;EOMONTH(G$4,0),recurring_master!$A:$A,"&gt;="&amp;G$4),
_xlpm.planned,SUMIFS(Planned!$F:$F,Planned!$B:$B,$B35,Planned!$E:$E,"&gt;="&amp;G$4,Planned!$E:$E,"&lt;="&amp;EOMONTH(G$4,0)),
IFERROR(_xlpm.recurring,0)+IFERROR(_xlpm.planned,0))</f>
        <v>0</v>
      </c>
      <c r="H35" s="105">
        <f ca="1">_xlfn.LET(
_xlpm.recurring,SUMIFS(INDEX(recurring_master!$A:$AF,,MATCH($B35,recurring_master!$A$1:$AF$1,0)),recurring_master!$A:$A,"&lt;="&amp;EOMONTH(H$4,0),recurring_master!$A:$A,"&gt;="&amp;H$4),
_xlpm.planned,SUMIFS(Planned!$F:$F,Planned!$B:$B,$B35,Planned!$E:$E,"&gt;="&amp;H$4,Planned!$E:$E,"&lt;="&amp;EOMONTH(H$4,0)),
IFERROR(_xlpm.recurring,0)+IFERROR(_xlpm.planned,0))</f>
        <v>0</v>
      </c>
      <c r="I35" s="105">
        <f ca="1">_xlfn.LET(
_xlpm.recurring,SUMIFS(INDEX(recurring_master!$A:$AF,,MATCH($B35,recurring_master!$A$1:$AF$1,0)),recurring_master!$A:$A,"&lt;="&amp;EOMONTH(I$4,0),recurring_master!$A:$A,"&gt;="&amp;I$4),
_xlpm.planned,SUMIFS(Planned!$F:$F,Planned!$B:$B,$B35,Planned!$E:$E,"&gt;="&amp;I$4,Planned!$E:$E,"&lt;="&amp;EOMONTH(I$4,0)),
IFERROR(_xlpm.recurring,0)+IFERROR(_xlpm.planned,0))</f>
        <v>0</v>
      </c>
      <c r="J35" s="105">
        <f ca="1">_xlfn.LET(
_xlpm.recurring,SUMIFS(INDEX(recurring_master!$A:$AF,,MATCH($B35,recurring_master!$A$1:$AF$1,0)),recurring_master!$A:$A,"&lt;="&amp;EOMONTH(J$4,0),recurring_master!$A:$A,"&gt;="&amp;J$4),
_xlpm.planned,SUMIFS(Planned!$F:$F,Planned!$B:$B,$B35,Planned!$E:$E,"&gt;="&amp;J$4,Planned!$E:$E,"&lt;="&amp;EOMONTH(J$4,0)),
IFERROR(_xlpm.recurring,0)+IFERROR(_xlpm.planned,0))</f>
        <v>0</v>
      </c>
      <c r="K35" s="105">
        <f ca="1">_xlfn.LET(
_xlpm.recurring,SUMIFS(INDEX(recurring_master!$A:$AF,,MATCH($B35,recurring_master!$A$1:$AF$1,0)),recurring_master!$A:$A,"&lt;="&amp;EOMONTH(K$4,0),recurring_master!$A:$A,"&gt;="&amp;K$4),
_xlpm.planned,SUMIFS(Planned!$F:$F,Planned!$B:$B,$B35,Planned!$E:$E,"&gt;="&amp;K$4,Planned!$E:$E,"&lt;="&amp;EOMONTH(K$4,0)),
IFERROR(_xlpm.recurring,0)+IFERROR(_xlpm.planned,0))</f>
        <v>0</v>
      </c>
      <c r="L35" s="105">
        <f ca="1">_xlfn.LET(
_xlpm.recurring,SUMIFS(INDEX(recurring_master!$A:$AF,,MATCH($B35,recurring_master!$A$1:$AF$1,0)),recurring_master!$A:$A,"&lt;="&amp;EOMONTH(L$4,0),recurring_master!$A:$A,"&gt;="&amp;L$4),
_xlpm.planned,SUMIFS(Planned!$F:$F,Planned!$B:$B,$B35,Planned!$E:$E,"&gt;="&amp;L$4,Planned!$E:$E,"&lt;="&amp;EOMONTH(L$4,0)),
IFERROR(_xlpm.recurring,0)+IFERROR(_xlpm.planned,0))</f>
        <v>0</v>
      </c>
      <c r="M35" s="105">
        <f ca="1">_xlfn.LET(
_xlpm.recurring,SUMIFS(INDEX(recurring_master!$A:$AF,,MATCH($B35,recurring_master!$A$1:$AF$1,0)),recurring_master!$A:$A,"&lt;="&amp;EOMONTH(M$4,0),recurring_master!$A:$A,"&gt;="&amp;M$4),
_xlpm.planned,SUMIFS(Planned!$F:$F,Planned!$B:$B,$B35,Planned!$E:$E,"&gt;="&amp;M$4,Planned!$E:$E,"&lt;="&amp;EOMONTH(M$4,0)),
IFERROR(_xlpm.recurring,0)+IFERROR(_xlpm.planned,0))</f>
        <v>0</v>
      </c>
      <c r="N35" s="105">
        <f ca="1">_xlfn.LET(
_xlpm.recurring,SUMIFS(INDEX(recurring_master!$A:$AF,,MATCH($B35,recurring_master!$A$1:$AF$1,0)),recurring_master!$A:$A,"&lt;="&amp;EOMONTH(N$4,0),recurring_master!$A:$A,"&gt;="&amp;N$4),
_xlpm.planned,SUMIFS(Planned!$F:$F,Planned!$B:$B,$B35,Planned!$E:$E,"&gt;="&amp;N$4,Planned!$E:$E,"&lt;="&amp;EOMONTH(N$4,0)),
IFERROR(_xlpm.recurring,0)+IFERROR(_xlpm.planned,0))</f>
        <v>0</v>
      </c>
      <c r="O35" s="96"/>
      <c r="P35" s="106">
        <f ca="1">SUM(C35:N35)</f>
        <v>0</v>
      </c>
      <c r="Q35" s="52"/>
      <c r="R35" s="42"/>
    </row>
    <row r="36" spans="1:23" ht="12.75" customHeight="1" x14ac:dyDescent="0.2">
      <c r="A36" s="226"/>
      <c r="B36" s="69" t="s">
        <v>11</v>
      </c>
      <c r="C36" s="105">
        <f ca="1">_xlfn.LET(
_xlpm.recurring,SUMIFS(INDEX(recurring_master!$A:$AF,,MATCH($B36,recurring_master!$A$1:$AF$1,0)),recurring_master!$A:$A,"&lt;="&amp;EOMONTH(C$4,0),recurring_master!$A:$A,"&gt;="&amp;C$4),
_xlpm.planned,SUMIFS(Planned!$F:$F,Planned!$B:$B,$B36,Planned!$E:$E,"&gt;="&amp;C$4,Planned!$E:$E,"&lt;="&amp;EOMONTH(C$4,0)),
IFERROR(_xlpm.recurring,0)+IFERROR(_xlpm.planned,0))</f>
        <v>0</v>
      </c>
      <c r="D36" s="105">
        <f ca="1">_xlfn.LET(
_xlpm.recurring,SUMIFS(INDEX(recurring_master!$A:$AF,,MATCH($B36,recurring_master!$A$1:$AF$1,0)),recurring_master!$A:$A,"&lt;="&amp;EOMONTH(D$4,0),recurring_master!$A:$A,"&gt;="&amp;D$4),
_xlpm.planned,SUMIFS(Planned!$F:$F,Planned!$B:$B,$B36,Planned!$E:$E,"&gt;="&amp;D$4,Planned!$E:$E,"&lt;="&amp;EOMONTH(D$4,0)),
IFERROR(_xlpm.recurring,0)+IFERROR(_xlpm.planned,0))</f>
        <v>0</v>
      </c>
      <c r="E36" s="105">
        <f ca="1">_xlfn.LET(
_xlpm.recurring,SUMIFS(INDEX(recurring_master!$A:$AF,,MATCH($B36,recurring_master!$A$1:$AF$1,0)),recurring_master!$A:$A,"&lt;="&amp;EOMONTH(E$4,0),recurring_master!$A:$A,"&gt;="&amp;E$4),
_xlpm.planned,SUMIFS(Planned!$F:$F,Planned!$B:$B,$B36,Planned!$E:$E,"&gt;="&amp;E$4,Planned!$E:$E,"&lt;="&amp;EOMONTH(E$4,0)),
IFERROR(_xlpm.recurring,0)+IFERROR(_xlpm.planned,0))</f>
        <v>0</v>
      </c>
      <c r="F36" s="105">
        <f ca="1">_xlfn.LET(
_xlpm.recurring,SUMIFS(INDEX(recurring_master!$A:$AF,,MATCH($B36,recurring_master!$A$1:$AF$1,0)),recurring_master!$A:$A,"&lt;="&amp;EOMONTH(F$4,0),recurring_master!$A:$A,"&gt;="&amp;F$4),
_xlpm.planned,SUMIFS(Planned!$F:$F,Planned!$B:$B,$B36,Planned!$E:$E,"&gt;="&amp;F$4,Planned!$E:$E,"&lt;="&amp;EOMONTH(F$4,0)),
IFERROR(_xlpm.recurring,0)+IFERROR(_xlpm.planned,0))</f>
        <v>0</v>
      </c>
      <c r="G36" s="105">
        <f ca="1">_xlfn.LET(
_xlpm.recurring,SUMIFS(INDEX(recurring_master!$A:$AF,,MATCH($B36,recurring_master!$A$1:$AF$1,0)),recurring_master!$A:$A,"&lt;="&amp;EOMONTH(G$4,0),recurring_master!$A:$A,"&gt;="&amp;G$4),
_xlpm.planned,SUMIFS(Planned!$F:$F,Planned!$B:$B,$B36,Planned!$E:$E,"&gt;="&amp;G$4,Planned!$E:$E,"&lt;="&amp;EOMONTH(G$4,0)),
IFERROR(_xlpm.recurring,0)+IFERROR(_xlpm.planned,0))</f>
        <v>0</v>
      </c>
      <c r="H36" s="105">
        <f ca="1">_xlfn.LET(
_xlpm.recurring,SUMIFS(INDEX(recurring_master!$A:$AF,,MATCH($B36,recurring_master!$A$1:$AF$1,0)),recurring_master!$A:$A,"&lt;="&amp;EOMONTH(H$4,0),recurring_master!$A:$A,"&gt;="&amp;H$4),
_xlpm.planned,SUMIFS(Planned!$F:$F,Planned!$B:$B,$B36,Planned!$E:$E,"&gt;="&amp;H$4,Planned!$E:$E,"&lt;="&amp;EOMONTH(H$4,0)),
IFERROR(_xlpm.recurring,0)+IFERROR(_xlpm.planned,0))</f>
        <v>0</v>
      </c>
      <c r="I36" s="105">
        <f ca="1">_xlfn.LET(
_xlpm.recurring,SUMIFS(INDEX(recurring_master!$A:$AF,,MATCH($B36,recurring_master!$A$1:$AF$1,0)),recurring_master!$A:$A,"&lt;="&amp;EOMONTH(I$4,0),recurring_master!$A:$A,"&gt;="&amp;I$4),
_xlpm.planned,SUMIFS(Planned!$F:$F,Planned!$B:$B,$B36,Planned!$E:$E,"&gt;="&amp;I$4,Planned!$E:$E,"&lt;="&amp;EOMONTH(I$4,0)),
IFERROR(_xlpm.recurring,0)+IFERROR(_xlpm.planned,0))</f>
        <v>0</v>
      </c>
      <c r="J36" s="105">
        <f ca="1">_xlfn.LET(
_xlpm.recurring,SUMIFS(INDEX(recurring_master!$A:$AF,,MATCH($B36,recurring_master!$A$1:$AF$1,0)),recurring_master!$A:$A,"&lt;="&amp;EOMONTH(J$4,0),recurring_master!$A:$A,"&gt;="&amp;J$4),
_xlpm.planned,SUMIFS(Planned!$F:$F,Planned!$B:$B,$B36,Planned!$E:$E,"&gt;="&amp;J$4,Planned!$E:$E,"&lt;="&amp;EOMONTH(J$4,0)),
IFERROR(_xlpm.recurring,0)+IFERROR(_xlpm.planned,0))</f>
        <v>0</v>
      </c>
      <c r="K36" s="105">
        <f ca="1">_xlfn.LET(
_xlpm.recurring,SUMIFS(INDEX(recurring_master!$A:$AF,,MATCH($B36,recurring_master!$A$1:$AF$1,0)),recurring_master!$A:$A,"&lt;="&amp;EOMONTH(K$4,0),recurring_master!$A:$A,"&gt;="&amp;K$4),
_xlpm.planned,SUMIFS(Planned!$F:$F,Planned!$B:$B,$B36,Planned!$E:$E,"&gt;="&amp;K$4,Planned!$E:$E,"&lt;="&amp;EOMONTH(K$4,0)),
IFERROR(_xlpm.recurring,0)+IFERROR(_xlpm.planned,0))</f>
        <v>0</v>
      </c>
      <c r="L36" s="105">
        <f ca="1">_xlfn.LET(
_xlpm.recurring,SUMIFS(INDEX(recurring_master!$A:$AF,,MATCH($B36,recurring_master!$A$1:$AF$1,0)),recurring_master!$A:$A,"&lt;="&amp;EOMONTH(L$4,0),recurring_master!$A:$A,"&gt;="&amp;L$4),
_xlpm.planned,SUMIFS(Planned!$F:$F,Planned!$B:$B,$B36,Planned!$E:$E,"&gt;="&amp;L$4,Planned!$E:$E,"&lt;="&amp;EOMONTH(L$4,0)),
IFERROR(_xlpm.recurring,0)+IFERROR(_xlpm.planned,0))</f>
        <v>0</v>
      </c>
      <c r="M36" s="105">
        <f ca="1">_xlfn.LET(
_xlpm.recurring,SUMIFS(INDEX(recurring_master!$A:$AF,,MATCH($B36,recurring_master!$A$1:$AF$1,0)),recurring_master!$A:$A,"&lt;="&amp;EOMONTH(M$4,0),recurring_master!$A:$A,"&gt;="&amp;M$4),
_xlpm.planned,SUMIFS(Planned!$F:$F,Planned!$B:$B,$B36,Planned!$E:$E,"&gt;="&amp;M$4,Planned!$E:$E,"&lt;="&amp;EOMONTH(M$4,0)),
IFERROR(_xlpm.recurring,0)+IFERROR(_xlpm.planned,0))</f>
        <v>0</v>
      </c>
      <c r="N36" s="105">
        <f ca="1">_xlfn.LET(
_xlpm.recurring,SUMIFS(INDEX(recurring_master!$A:$AF,,MATCH($B36,recurring_master!$A$1:$AF$1,0)),recurring_master!$A:$A,"&lt;="&amp;EOMONTH(N$4,0),recurring_master!$A:$A,"&gt;="&amp;N$4),
_xlpm.planned,SUMIFS(Planned!$F:$F,Planned!$B:$B,$B36,Planned!$E:$E,"&gt;="&amp;N$4,Planned!$E:$E,"&lt;="&amp;EOMONTH(N$4,0)),
IFERROR(_xlpm.recurring,0)+IFERROR(_xlpm.planned,0))</f>
        <v>0</v>
      </c>
      <c r="O36" s="96"/>
      <c r="P36" s="106">
        <f ca="1">SUM(C36:N36)</f>
        <v>0</v>
      </c>
      <c r="Q36" s="52"/>
      <c r="R36" s="42"/>
    </row>
    <row r="37" spans="1:23" ht="12.75" customHeight="1" x14ac:dyDescent="0.2">
      <c r="A37" s="226"/>
      <c r="B37" s="69" t="s">
        <v>193</v>
      </c>
      <c r="C37" s="105">
        <f ca="1">_xlfn.LET(
_xlpm.recurring,SUMIFS(INDEX(recurring_master!$A:$AF,,MATCH($B37,recurring_master!$A$1:$AF$1,0)),recurring_master!$A:$A,"&lt;="&amp;EOMONTH(C$4,0),recurring_master!$A:$A,"&gt;="&amp;C$4),
_xlpm.planned,SUMIFS(Planned!$F:$F,Planned!$B:$B,$B37,Planned!$E:$E,"&gt;="&amp;C$4,Planned!$E:$E,"&lt;="&amp;EOMONTH(C$4,0)),
IFERROR(_xlpm.recurring,0)+IFERROR(_xlpm.planned,0))</f>
        <v>0</v>
      </c>
      <c r="D37" s="105">
        <f ca="1">_xlfn.LET(
_xlpm.recurring,SUMIFS(INDEX(recurring_master!$A:$AF,,MATCH($B37,recurring_master!$A$1:$AF$1,0)),recurring_master!$A:$A,"&lt;="&amp;EOMONTH(D$4,0),recurring_master!$A:$A,"&gt;="&amp;D$4),
_xlpm.planned,SUMIFS(Planned!$F:$F,Planned!$B:$B,$B37,Planned!$E:$E,"&gt;="&amp;D$4,Planned!$E:$E,"&lt;="&amp;EOMONTH(D$4,0)),
IFERROR(_xlpm.recurring,0)+IFERROR(_xlpm.planned,0))</f>
        <v>0</v>
      </c>
      <c r="E37" s="105">
        <f ca="1">_xlfn.LET(
_xlpm.recurring,SUMIFS(INDEX(recurring_master!$A:$AF,,MATCH($B37,recurring_master!$A$1:$AF$1,0)),recurring_master!$A:$A,"&lt;="&amp;EOMONTH(E$4,0),recurring_master!$A:$A,"&gt;="&amp;E$4),
_xlpm.planned,SUMIFS(Planned!$F:$F,Planned!$B:$B,$B37,Planned!$E:$E,"&gt;="&amp;E$4,Planned!$E:$E,"&lt;="&amp;EOMONTH(E$4,0)),
IFERROR(_xlpm.recurring,0)+IFERROR(_xlpm.planned,0))</f>
        <v>0</v>
      </c>
      <c r="F37" s="105">
        <f ca="1">_xlfn.LET(
_xlpm.recurring,SUMIFS(INDEX(recurring_master!$A:$AF,,MATCH($B37,recurring_master!$A$1:$AF$1,0)),recurring_master!$A:$A,"&lt;="&amp;EOMONTH(F$4,0),recurring_master!$A:$A,"&gt;="&amp;F$4),
_xlpm.planned,SUMIFS(Planned!$F:$F,Planned!$B:$B,$B37,Planned!$E:$E,"&gt;="&amp;F$4,Planned!$E:$E,"&lt;="&amp;EOMONTH(F$4,0)),
IFERROR(_xlpm.recurring,0)+IFERROR(_xlpm.planned,0))</f>
        <v>0</v>
      </c>
      <c r="G37" s="105">
        <f ca="1">_xlfn.LET(
_xlpm.recurring,SUMIFS(INDEX(recurring_master!$A:$AF,,MATCH($B37,recurring_master!$A$1:$AF$1,0)),recurring_master!$A:$A,"&lt;="&amp;EOMONTH(G$4,0),recurring_master!$A:$A,"&gt;="&amp;G$4),
_xlpm.planned,SUMIFS(Planned!$F:$F,Planned!$B:$B,$B37,Planned!$E:$E,"&gt;="&amp;G$4,Planned!$E:$E,"&lt;="&amp;EOMONTH(G$4,0)),
IFERROR(_xlpm.recurring,0)+IFERROR(_xlpm.planned,0))</f>
        <v>0</v>
      </c>
      <c r="H37" s="105">
        <f ca="1">_xlfn.LET(
_xlpm.recurring,SUMIFS(INDEX(recurring_master!$A:$AF,,MATCH($B37,recurring_master!$A$1:$AF$1,0)),recurring_master!$A:$A,"&lt;="&amp;EOMONTH(H$4,0),recurring_master!$A:$A,"&gt;="&amp;H$4),
_xlpm.planned,SUMIFS(Planned!$F:$F,Planned!$B:$B,$B37,Planned!$E:$E,"&gt;="&amp;H$4,Planned!$E:$E,"&lt;="&amp;EOMONTH(H$4,0)),
IFERROR(_xlpm.recurring,0)+IFERROR(_xlpm.planned,0))</f>
        <v>0</v>
      </c>
      <c r="I37" s="105">
        <f ca="1">_xlfn.LET(
_xlpm.recurring,SUMIFS(INDEX(recurring_master!$A:$AF,,MATCH($B37,recurring_master!$A$1:$AF$1,0)),recurring_master!$A:$A,"&lt;="&amp;EOMONTH(I$4,0),recurring_master!$A:$A,"&gt;="&amp;I$4),
_xlpm.planned,SUMIFS(Planned!$F:$F,Planned!$B:$B,$B37,Planned!$E:$E,"&gt;="&amp;I$4,Planned!$E:$E,"&lt;="&amp;EOMONTH(I$4,0)),
IFERROR(_xlpm.recurring,0)+IFERROR(_xlpm.planned,0))</f>
        <v>0</v>
      </c>
      <c r="J37" s="105">
        <f ca="1">_xlfn.LET(
_xlpm.recurring,SUMIFS(INDEX(recurring_master!$A:$AF,,MATCH($B37,recurring_master!$A$1:$AF$1,0)),recurring_master!$A:$A,"&lt;="&amp;EOMONTH(J$4,0),recurring_master!$A:$A,"&gt;="&amp;J$4),
_xlpm.planned,SUMIFS(Planned!$F:$F,Planned!$B:$B,$B37,Planned!$E:$E,"&gt;="&amp;J$4,Planned!$E:$E,"&lt;="&amp;EOMONTH(J$4,0)),
IFERROR(_xlpm.recurring,0)+IFERROR(_xlpm.planned,0))</f>
        <v>0</v>
      </c>
      <c r="K37" s="105">
        <f ca="1">_xlfn.LET(
_xlpm.recurring,SUMIFS(INDEX(recurring_master!$A:$AF,,MATCH($B37,recurring_master!$A$1:$AF$1,0)),recurring_master!$A:$A,"&lt;="&amp;EOMONTH(K$4,0),recurring_master!$A:$A,"&gt;="&amp;K$4),
_xlpm.planned,SUMIFS(Planned!$F:$F,Planned!$B:$B,$B37,Planned!$E:$E,"&gt;="&amp;K$4,Planned!$E:$E,"&lt;="&amp;EOMONTH(K$4,0)),
IFERROR(_xlpm.recurring,0)+IFERROR(_xlpm.planned,0))</f>
        <v>0</v>
      </c>
      <c r="L37" s="105">
        <f ca="1">_xlfn.LET(
_xlpm.recurring,SUMIFS(INDEX(recurring_master!$A:$AF,,MATCH($B37,recurring_master!$A$1:$AF$1,0)),recurring_master!$A:$A,"&lt;="&amp;EOMONTH(L$4,0),recurring_master!$A:$A,"&gt;="&amp;L$4),
_xlpm.planned,SUMIFS(Planned!$F:$F,Planned!$B:$B,$B37,Planned!$E:$E,"&gt;="&amp;L$4,Planned!$E:$E,"&lt;="&amp;EOMONTH(L$4,0)),
IFERROR(_xlpm.recurring,0)+IFERROR(_xlpm.planned,0))</f>
        <v>0</v>
      </c>
      <c r="M37" s="105">
        <f ca="1">_xlfn.LET(
_xlpm.recurring,SUMIFS(INDEX(recurring_master!$A:$AF,,MATCH($B37,recurring_master!$A$1:$AF$1,0)),recurring_master!$A:$A,"&lt;="&amp;EOMONTH(M$4,0),recurring_master!$A:$A,"&gt;="&amp;M$4),
_xlpm.planned,SUMIFS(Planned!$F:$F,Planned!$B:$B,$B37,Planned!$E:$E,"&gt;="&amp;M$4,Planned!$E:$E,"&lt;="&amp;EOMONTH(M$4,0)),
IFERROR(_xlpm.recurring,0)+IFERROR(_xlpm.planned,0))</f>
        <v>0</v>
      </c>
      <c r="N37" s="105">
        <f ca="1">_xlfn.LET(
_xlpm.recurring,SUMIFS(INDEX(recurring_master!$A:$AF,,MATCH($B37,recurring_master!$A$1:$AF$1,0)),recurring_master!$A:$A,"&lt;="&amp;EOMONTH(N$4,0),recurring_master!$A:$A,"&gt;="&amp;N$4),
_xlpm.planned,SUMIFS(Planned!$F:$F,Planned!$B:$B,$B37,Planned!$E:$E,"&gt;="&amp;N$4,Planned!$E:$E,"&lt;="&amp;EOMONTH(N$4,0)),
IFERROR(_xlpm.recurring,0)+IFERROR(_xlpm.planned,0))</f>
        <v>0</v>
      </c>
      <c r="O37" s="96"/>
      <c r="P37" s="106">
        <f ca="1">SUM(C37:N37)</f>
        <v>0</v>
      </c>
      <c r="Q37" s="52"/>
      <c r="R37" s="42"/>
      <c r="U37" s="22"/>
    </row>
    <row r="38" spans="1:23" ht="12.75" customHeight="1" x14ac:dyDescent="0.2">
      <c r="A38" s="226"/>
      <c r="B38" s="69" t="s">
        <v>28</v>
      </c>
      <c r="C38" s="105">
        <f ca="1">_xlfn.LET(
_xlpm.recurring,SUMIFS(INDEX(recurring_master!$A:$AF,,MATCH($B38,recurring_master!$A$1:$AF$1,0)),recurring_master!$A:$A,"&lt;="&amp;EOMONTH(C$4,0),recurring_master!$A:$A,"&gt;="&amp;C$4),
_xlpm.planned,SUMIFS(Planned!$F:$F,Planned!$B:$B,$B38,Planned!$E:$E,"&gt;="&amp;C$4,Planned!$E:$E,"&lt;="&amp;EOMONTH(C$4,0)),
IFERROR(_xlpm.recurring,0)+IFERROR(_xlpm.planned,0))</f>
        <v>0</v>
      </c>
      <c r="D38" s="105">
        <f ca="1">_xlfn.LET(
_xlpm.recurring,SUMIFS(INDEX(recurring_master!$A:$AF,,MATCH($B38,recurring_master!$A$1:$AF$1,0)),recurring_master!$A:$A,"&lt;="&amp;EOMONTH(D$4,0),recurring_master!$A:$A,"&gt;="&amp;D$4),
_xlpm.planned,SUMIFS(Planned!$F:$F,Planned!$B:$B,$B38,Planned!$E:$E,"&gt;="&amp;D$4,Planned!$E:$E,"&lt;="&amp;EOMONTH(D$4,0)),
IFERROR(_xlpm.recurring,0)+IFERROR(_xlpm.planned,0))</f>
        <v>0</v>
      </c>
      <c r="E38" s="105">
        <f ca="1">_xlfn.LET(
_xlpm.recurring,SUMIFS(INDEX(recurring_master!$A:$AF,,MATCH($B38,recurring_master!$A$1:$AF$1,0)),recurring_master!$A:$A,"&lt;="&amp;EOMONTH(E$4,0),recurring_master!$A:$A,"&gt;="&amp;E$4),
_xlpm.planned,SUMIFS(Planned!$F:$F,Planned!$B:$B,$B38,Planned!$E:$E,"&gt;="&amp;E$4,Planned!$E:$E,"&lt;="&amp;EOMONTH(E$4,0)),
IFERROR(_xlpm.recurring,0)+IFERROR(_xlpm.planned,0))</f>
        <v>0</v>
      </c>
      <c r="F38" s="105">
        <f ca="1">_xlfn.LET(
_xlpm.recurring,SUMIFS(INDEX(recurring_master!$A:$AF,,MATCH($B38,recurring_master!$A$1:$AF$1,0)),recurring_master!$A:$A,"&lt;="&amp;EOMONTH(F$4,0),recurring_master!$A:$A,"&gt;="&amp;F$4),
_xlpm.planned,SUMIFS(Planned!$F:$F,Planned!$B:$B,$B38,Planned!$E:$E,"&gt;="&amp;F$4,Planned!$E:$E,"&lt;="&amp;EOMONTH(F$4,0)),
IFERROR(_xlpm.recurring,0)+IFERROR(_xlpm.planned,0))</f>
        <v>0</v>
      </c>
      <c r="G38" s="105">
        <f ca="1">_xlfn.LET(
_xlpm.recurring,SUMIFS(INDEX(recurring_master!$A:$AF,,MATCH($B38,recurring_master!$A$1:$AF$1,0)),recurring_master!$A:$A,"&lt;="&amp;EOMONTH(G$4,0),recurring_master!$A:$A,"&gt;="&amp;G$4),
_xlpm.planned,SUMIFS(Planned!$F:$F,Planned!$B:$B,$B38,Planned!$E:$E,"&gt;="&amp;G$4,Planned!$E:$E,"&lt;="&amp;EOMONTH(G$4,0)),
IFERROR(_xlpm.recurring,0)+IFERROR(_xlpm.planned,0))</f>
        <v>0</v>
      </c>
      <c r="H38" s="105">
        <f ca="1">_xlfn.LET(
_xlpm.recurring,SUMIFS(INDEX(recurring_master!$A:$AF,,MATCH($B38,recurring_master!$A$1:$AF$1,0)),recurring_master!$A:$A,"&lt;="&amp;EOMONTH(H$4,0),recurring_master!$A:$A,"&gt;="&amp;H$4),
_xlpm.planned,SUMIFS(Planned!$F:$F,Planned!$B:$B,$B38,Planned!$E:$E,"&gt;="&amp;H$4,Planned!$E:$E,"&lt;="&amp;EOMONTH(H$4,0)),
IFERROR(_xlpm.recurring,0)+IFERROR(_xlpm.planned,0))</f>
        <v>0</v>
      </c>
      <c r="I38" s="105">
        <f ca="1">_xlfn.LET(
_xlpm.recurring,SUMIFS(INDEX(recurring_master!$A:$AF,,MATCH($B38,recurring_master!$A$1:$AF$1,0)),recurring_master!$A:$A,"&lt;="&amp;EOMONTH(I$4,0),recurring_master!$A:$A,"&gt;="&amp;I$4),
_xlpm.planned,SUMIFS(Planned!$F:$F,Planned!$B:$B,$B38,Planned!$E:$E,"&gt;="&amp;I$4,Planned!$E:$E,"&lt;="&amp;EOMONTH(I$4,0)),
IFERROR(_xlpm.recurring,0)+IFERROR(_xlpm.planned,0))</f>
        <v>0</v>
      </c>
      <c r="J38" s="105">
        <f ca="1">_xlfn.LET(
_xlpm.recurring,SUMIFS(INDEX(recurring_master!$A:$AF,,MATCH($B38,recurring_master!$A$1:$AF$1,0)),recurring_master!$A:$A,"&lt;="&amp;EOMONTH(J$4,0),recurring_master!$A:$A,"&gt;="&amp;J$4),
_xlpm.planned,SUMIFS(Planned!$F:$F,Planned!$B:$B,$B38,Planned!$E:$E,"&gt;="&amp;J$4,Planned!$E:$E,"&lt;="&amp;EOMONTH(J$4,0)),
IFERROR(_xlpm.recurring,0)+IFERROR(_xlpm.planned,0))</f>
        <v>0</v>
      </c>
      <c r="K38" s="105">
        <f ca="1">_xlfn.LET(
_xlpm.recurring,SUMIFS(INDEX(recurring_master!$A:$AF,,MATCH($B38,recurring_master!$A$1:$AF$1,0)),recurring_master!$A:$A,"&lt;="&amp;EOMONTH(K$4,0),recurring_master!$A:$A,"&gt;="&amp;K$4),
_xlpm.planned,SUMIFS(Planned!$F:$F,Planned!$B:$B,$B38,Planned!$E:$E,"&gt;="&amp;K$4,Planned!$E:$E,"&lt;="&amp;EOMONTH(K$4,0)),
IFERROR(_xlpm.recurring,0)+IFERROR(_xlpm.planned,0))</f>
        <v>0</v>
      </c>
      <c r="L38" s="105">
        <f ca="1">_xlfn.LET(
_xlpm.recurring,SUMIFS(INDEX(recurring_master!$A:$AF,,MATCH($B38,recurring_master!$A$1:$AF$1,0)),recurring_master!$A:$A,"&lt;="&amp;EOMONTH(L$4,0),recurring_master!$A:$A,"&gt;="&amp;L$4),
_xlpm.planned,SUMIFS(Planned!$F:$F,Planned!$B:$B,$B38,Planned!$E:$E,"&gt;="&amp;L$4,Planned!$E:$E,"&lt;="&amp;EOMONTH(L$4,0)),
IFERROR(_xlpm.recurring,0)+IFERROR(_xlpm.planned,0))</f>
        <v>0</v>
      </c>
      <c r="M38" s="105">
        <f ca="1">_xlfn.LET(
_xlpm.recurring,SUMIFS(INDEX(recurring_master!$A:$AF,,MATCH($B38,recurring_master!$A$1:$AF$1,0)),recurring_master!$A:$A,"&lt;="&amp;EOMONTH(M$4,0),recurring_master!$A:$A,"&gt;="&amp;M$4),
_xlpm.planned,SUMIFS(Planned!$F:$F,Planned!$B:$B,$B38,Planned!$E:$E,"&gt;="&amp;M$4,Planned!$E:$E,"&lt;="&amp;EOMONTH(M$4,0)),
IFERROR(_xlpm.recurring,0)+IFERROR(_xlpm.planned,0))</f>
        <v>0</v>
      </c>
      <c r="N38" s="105">
        <f ca="1">_xlfn.LET(
_xlpm.recurring,SUMIFS(INDEX(recurring_master!$A:$AF,,MATCH($B38,recurring_master!$A$1:$AF$1,0)),recurring_master!$A:$A,"&lt;="&amp;EOMONTH(N$4,0),recurring_master!$A:$A,"&gt;="&amp;N$4),
_xlpm.planned,SUMIFS(Planned!$F:$F,Planned!$B:$B,$B38,Planned!$E:$E,"&gt;="&amp;N$4,Planned!$E:$E,"&lt;="&amp;EOMONTH(N$4,0)),
IFERROR(_xlpm.recurring,0)+IFERROR(_xlpm.planned,0))</f>
        <v>0</v>
      </c>
      <c r="O38" s="96"/>
      <c r="P38" s="106">
        <f ca="1">SUM(C38:N38)</f>
        <v>0</v>
      </c>
      <c r="Q38" s="52"/>
      <c r="R38" s="42"/>
      <c r="U38" s="22"/>
    </row>
    <row r="39" spans="1:23" ht="5.0999999999999996" customHeight="1" x14ac:dyDescent="0.2">
      <c r="A39" s="226"/>
      <c r="B39" s="69"/>
      <c r="C39" s="96"/>
      <c r="D39" s="96"/>
      <c r="E39" s="96"/>
      <c r="F39" s="96"/>
      <c r="G39" s="96"/>
      <c r="H39" s="96"/>
      <c r="I39" s="96"/>
      <c r="J39" s="96"/>
      <c r="K39" s="96"/>
      <c r="L39" s="96"/>
      <c r="M39" s="96"/>
      <c r="N39" s="96"/>
      <c r="O39" s="96"/>
      <c r="P39" s="106"/>
      <c r="Q39" s="51"/>
      <c r="R39" s="42"/>
      <c r="W39" s="18"/>
    </row>
    <row r="40" spans="1:23" ht="12.75" customHeight="1" x14ac:dyDescent="0.2">
      <c r="A40" s="226"/>
      <c r="B40" s="73" t="str">
        <f>"Total "&amp;B34</f>
        <v>Total INFLOWS</v>
      </c>
      <c r="C40" s="109">
        <f t="shared" ref="C40:E40" ca="1" si="10">SUM(C35:C39)</f>
        <v>0</v>
      </c>
      <c r="D40" s="109">
        <f t="shared" ca="1" si="10"/>
        <v>0</v>
      </c>
      <c r="E40" s="109">
        <f t="shared" ca="1" si="10"/>
        <v>0</v>
      </c>
      <c r="F40" s="109">
        <f ca="1">SUM(F35:F39)</f>
        <v>0</v>
      </c>
      <c r="G40" s="109">
        <f t="shared" ref="G40:N40" ca="1" si="11">SUM(G35:G39)</f>
        <v>0</v>
      </c>
      <c r="H40" s="109">
        <f t="shared" ca="1" si="11"/>
        <v>0</v>
      </c>
      <c r="I40" s="109">
        <f t="shared" ca="1" si="11"/>
        <v>0</v>
      </c>
      <c r="J40" s="109">
        <f t="shared" ca="1" si="11"/>
        <v>0</v>
      </c>
      <c r="K40" s="109">
        <f t="shared" ca="1" si="11"/>
        <v>0</v>
      </c>
      <c r="L40" s="109">
        <f t="shared" ca="1" si="11"/>
        <v>0</v>
      </c>
      <c r="M40" s="109">
        <f t="shared" ca="1" si="11"/>
        <v>0</v>
      </c>
      <c r="N40" s="109">
        <f t="shared" ca="1" si="11"/>
        <v>0</v>
      </c>
      <c r="O40" s="109"/>
      <c r="P40" s="110">
        <f ca="1">SUM(P35:P37)</f>
        <v>0</v>
      </c>
      <c r="Q40" s="51"/>
      <c r="R40" s="42"/>
      <c r="U40" s="22"/>
    </row>
    <row r="41" spans="1:23" ht="5.0999999999999996" customHeight="1" x14ac:dyDescent="0.2">
      <c r="A41" s="226"/>
      <c r="B41" s="67"/>
      <c r="C41" s="96"/>
      <c r="D41" s="96"/>
      <c r="E41" s="96"/>
      <c r="F41" s="96"/>
      <c r="G41" s="96"/>
      <c r="H41" s="96"/>
      <c r="I41" s="96"/>
      <c r="J41" s="96"/>
      <c r="K41" s="96"/>
      <c r="L41" s="96"/>
      <c r="M41" s="96"/>
      <c r="N41" s="96"/>
      <c r="O41" s="96"/>
      <c r="P41" s="96"/>
      <c r="Q41" s="51"/>
      <c r="R41" s="42"/>
    </row>
    <row r="42" spans="1:23" ht="12.75" customHeight="1" x14ac:dyDescent="0.2">
      <c r="A42" s="226"/>
      <c r="B42" s="75" t="s">
        <v>25</v>
      </c>
      <c r="C42" s="111">
        <f t="shared" ref="C42:N42" ca="1" si="12">SUM(C40,C32)</f>
        <v>0</v>
      </c>
      <c r="D42" s="111">
        <f t="shared" ca="1" si="12"/>
        <v>0</v>
      </c>
      <c r="E42" s="111">
        <f t="shared" ca="1" si="12"/>
        <v>0</v>
      </c>
      <c r="F42" s="111">
        <f t="shared" ca="1" si="12"/>
        <v>0</v>
      </c>
      <c r="G42" s="111">
        <f t="shared" ca="1" si="12"/>
        <v>0</v>
      </c>
      <c r="H42" s="111">
        <f t="shared" ca="1" si="12"/>
        <v>0</v>
      </c>
      <c r="I42" s="111">
        <f t="shared" ca="1" si="12"/>
        <v>0</v>
      </c>
      <c r="J42" s="111">
        <f t="shared" ca="1" si="12"/>
        <v>0</v>
      </c>
      <c r="K42" s="111">
        <f t="shared" ca="1" si="12"/>
        <v>0</v>
      </c>
      <c r="L42" s="111">
        <f t="shared" ca="1" si="12"/>
        <v>0</v>
      </c>
      <c r="M42" s="111">
        <f t="shared" ca="1" si="12"/>
        <v>0</v>
      </c>
      <c r="N42" s="111">
        <f t="shared" ca="1" si="12"/>
        <v>0</v>
      </c>
      <c r="O42" s="111"/>
      <c r="P42" s="112">
        <f ca="1">SUM(P40,P32)</f>
        <v>0</v>
      </c>
      <c r="Q42" s="54"/>
      <c r="R42" s="42"/>
      <c r="U42" s="22"/>
    </row>
    <row r="43" spans="1:23" x14ac:dyDescent="0.2">
      <c r="A43" s="226"/>
      <c r="B43" s="67"/>
      <c r="C43" s="96"/>
      <c r="D43" s="96"/>
      <c r="E43" s="96"/>
      <c r="F43" s="96"/>
      <c r="G43" s="96"/>
      <c r="H43" s="96"/>
      <c r="I43" s="96"/>
      <c r="J43" s="96"/>
      <c r="K43" s="96"/>
      <c r="L43" s="96"/>
      <c r="M43" s="96"/>
      <c r="N43" s="96"/>
      <c r="O43" s="96"/>
      <c r="P43" s="96"/>
      <c r="Q43" s="51"/>
      <c r="R43" s="42"/>
    </row>
    <row r="44" spans="1:23" ht="12.75" customHeight="1" x14ac:dyDescent="0.2">
      <c r="A44" s="226"/>
      <c r="B44" s="76" t="s">
        <v>72</v>
      </c>
      <c r="C44" s="159"/>
      <c r="D44" s="159"/>
      <c r="E44" s="159"/>
      <c r="F44" s="159"/>
      <c r="G44" s="159"/>
      <c r="H44" s="159"/>
      <c r="I44" s="159"/>
      <c r="J44" s="159"/>
      <c r="K44" s="159"/>
      <c r="L44" s="159"/>
      <c r="M44" s="159"/>
      <c r="N44" s="159"/>
      <c r="O44" s="159"/>
      <c r="P44" s="160"/>
      <c r="Q44" s="51"/>
      <c r="R44" s="42"/>
      <c r="U44" s="22"/>
    </row>
    <row r="45" spans="1:23" ht="12.75" customHeight="1" x14ac:dyDescent="0.2">
      <c r="A45" s="226"/>
      <c r="B45" s="69" t="s">
        <v>32</v>
      </c>
      <c r="C45" s="105">
        <f ca="1">_xlfn.LET(
_xlpm.recurring,SUMIFS(INDEX(recurring_master!$A:$AF,,MATCH($B45,recurring_master!$A$1:$AF$1,0)),recurring_master!$A:$A,"&lt;="&amp;EOMONTH(C$4,0),recurring_master!$A:$A,"&gt;="&amp;C$4),
_xlpm.planned,SUMIFS(Planned!$F:$F,Planned!$B:$B,$B45,Planned!$E:$E,"&gt;="&amp;C$4,Planned!$E:$E,"&lt;="&amp;EOMONTH(C$4,0)),
IFERROR(_xlpm.recurring,0)+IFERROR(_xlpm.planned,0))</f>
        <v>0</v>
      </c>
      <c r="D45" s="105">
        <f ca="1">_xlfn.LET(
_xlpm.recurring,SUMIFS(INDEX(recurring_master!$A:$AF,,MATCH($B45,recurring_master!$A$1:$AF$1,0)),recurring_master!$A:$A,"&lt;="&amp;EOMONTH(D$4,0),recurring_master!$A:$A,"&gt;="&amp;D$4),
_xlpm.planned,SUMIFS(Planned!$F:$F,Planned!$B:$B,$B45,Planned!$E:$E,"&gt;="&amp;D$4,Planned!$E:$E,"&lt;="&amp;EOMONTH(D$4,0)),
IFERROR(_xlpm.recurring,0)+IFERROR(_xlpm.planned,0))</f>
        <v>0</v>
      </c>
      <c r="E45" s="105">
        <f ca="1">_xlfn.LET(
_xlpm.recurring,SUMIFS(INDEX(recurring_master!$A:$AF,,MATCH($B45,recurring_master!$A$1:$AF$1,0)),recurring_master!$A:$A,"&lt;="&amp;EOMONTH(E$4,0),recurring_master!$A:$A,"&gt;="&amp;E$4),
_xlpm.planned,SUMIFS(Planned!$F:$F,Planned!$B:$B,$B45,Planned!$E:$E,"&gt;="&amp;E$4,Planned!$E:$E,"&lt;="&amp;EOMONTH(E$4,0)),
IFERROR(_xlpm.recurring,0)+IFERROR(_xlpm.planned,0))</f>
        <v>0</v>
      </c>
      <c r="F45" s="105">
        <f ca="1">_xlfn.LET(
_xlpm.recurring,SUMIFS(INDEX(recurring_master!$A:$AF,,MATCH($B45,recurring_master!$A$1:$AF$1,0)),recurring_master!$A:$A,"&lt;="&amp;EOMONTH(F$4,0),recurring_master!$A:$A,"&gt;="&amp;F$4),
_xlpm.planned,SUMIFS(Planned!$F:$F,Planned!$B:$B,$B45,Planned!$E:$E,"&gt;="&amp;F$4,Planned!$E:$E,"&lt;="&amp;EOMONTH(F$4,0)),
IFERROR(_xlpm.recurring,0)+IFERROR(_xlpm.planned,0))</f>
        <v>0</v>
      </c>
      <c r="G45" s="105">
        <f ca="1">_xlfn.LET(
_xlpm.recurring,SUMIFS(INDEX(recurring_master!$A:$AF,,MATCH($B45,recurring_master!$A$1:$AF$1,0)),recurring_master!$A:$A,"&lt;="&amp;EOMONTH(G$4,0),recurring_master!$A:$A,"&gt;="&amp;G$4),
_xlpm.planned,SUMIFS(Planned!$F:$F,Planned!$B:$B,$B45,Planned!$E:$E,"&gt;="&amp;G$4,Planned!$E:$E,"&lt;="&amp;EOMONTH(G$4,0)),
IFERROR(_xlpm.recurring,0)+IFERROR(_xlpm.planned,0))</f>
        <v>0</v>
      </c>
      <c r="H45" s="105">
        <f ca="1">_xlfn.LET(
_xlpm.recurring,SUMIFS(INDEX(recurring_master!$A:$AF,,MATCH($B45,recurring_master!$A$1:$AF$1,0)),recurring_master!$A:$A,"&lt;="&amp;EOMONTH(H$4,0),recurring_master!$A:$A,"&gt;="&amp;H$4),
_xlpm.planned,SUMIFS(Planned!$F:$F,Planned!$B:$B,$B45,Planned!$E:$E,"&gt;="&amp;H$4,Planned!$E:$E,"&lt;="&amp;EOMONTH(H$4,0)),
IFERROR(_xlpm.recurring,0)+IFERROR(_xlpm.planned,0))</f>
        <v>0</v>
      </c>
      <c r="I45" s="105">
        <f ca="1">_xlfn.LET(
_xlpm.recurring,SUMIFS(INDEX(recurring_master!$A:$AF,,MATCH($B45,recurring_master!$A$1:$AF$1,0)),recurring_master!$A:$A,"&lt;="&amp;EOMONTH(I$4,0),recurring_master!$A:$A,"&gt;="&amp;I$4),
_xlpm.planned,SUMIFS(Planned!$F:$F,Planned!$B:$B,$B45,Planned!$E:$E,"&gt;="&amp;I$4,Planned!$E:$E,"&lt;="&amp;EOMONTH(I$4,0)),
IFERROR(_xlpm.recurring,0)+IFERROR(_xlpm.planned,0))</f>
        <v>0</v>
      </c>
      <c r="J45" s="105">
        <f ca="1">_xlfn.LET(
_xlpm.recurring,SUMIFS(INDEX(recurring_master!$A:$AF,,MATCH($B45,recurring_master!$A$1:$AF$1,0)),recurring_master!$A:$A,"&lt;="&amp;EOMONTH(J$4,0),recurring_master!$A:$A,"&gt;="&amp;J$4),
_xlpm.planned,SUMIFS(Planned!$F:$F,Planned!$B:$B,$B45,Planned!$E:$E,"&gt;="&amp;J$4,Planned!$E:$E,"&lt;="&amp;EOMONTH(J$4,0)),
IFERROR(_xlpm.recurring,0)+IFERROR(_xlpm.planned,0))</f>
        <v>0</v>
      </c>
      <c r="K45" s="105">
        <f ca="1">_xlfn.LET(
_xlpm.recurring,SUMIFS(INDEX(recurring_master!$A:$AF,,MATCH($B45,recurring_master!$A$1:$AF$1,0)),recurring_master!$A:$A,"&lt;="&amp;EOMONTH(K$4,0),recurring_master!$A:$A,"&gt;="&amp;K$4),
_xlpm.planned,SUMIFS(Planned!$F:$F,Planned!$B:$B,$B45,Planned!$E:$E,"&gt;="&amp;K$4,Planned!$E:$E,"&lt;="&amp;EOMONTH(K$4,0)),
IFERROR(_xlpm.recurring,0)+IFERROR(_xlpm.planned,0))</f>
        <v>0</v>
      </c>
      <c r="L45" s="105">
        <f ca="1">_xlfn.LET(
_xlpm.recurring,SUMIFS(INDEX(recurring_master!$A:$AF,,MATCH($B45,recurring_master!$A$1:$AF$1,0)),recurring_master!$A:$A,"&lt;="&amp;EOMONTH(L$4,0),recurring_master!$A:$A,"&gt;="&amp;L$4),
_xlpm.planned,SUMIFS(Planned!$F:$F,Planned!$B:$B,$B45,Planned!$E:$E,"&gt;="&amp;L$4,Planned!$E:$E,"&lt;="&amp;EOMONTH(L$4,0)),
IFERROR(_xlpm.recurring,0)+IFERROR(_xlpm.planned,0))</f>
        <v>0</v>
      </c>
      <c r="M45" s="105">
        <f ca="1">_xlfn.LET(
_xlpm.recurring,SUMIFS(INDEX(recurring_master!$A:$AF,,MATCH($B45,recurring_master!$A$1:$AF$1,0)),recurring_master!$A:$A,"&lt;="&amp;EOMONTH(M$4,0),recurring_master!$A:$A,"&gt;="&amp;M$4),
_xlpm.planned,SUMIFS(Planned!$F:$F,Planned!$B:$B,$B45,Planned!$E:$E,"&gt;="&amp;M$4,Planned!$E:$E,"&lt;="&amp;EOMONTH(M$4,0)),
IFERROR(_xlpm.recurring,0)+IFERROR(_xlpm.planned,0))</f>
        <v>0</v>
      </c>
      <c r="N45" s="105">
        <f ca="1">_xlfn.LET(
_xlpm.recurring,SUMIFS(INDEX(recurring_master!$A:$AF,,MATCH($B45,recurring_master!$A$1:$AF$1,0)),recurring_master!$A:$A,"&lt;="&amp;EOMONTH(N$4,0),recurring_master!$A:$A,"&gt;="&amp;N$4),
_xlpm.planned,SUMIFS(Planned!$F:$F,Planned!$B:$B,$B45,Planned!$E:$E,"&gt;="&amp;N$4,Planned!$E:$E,"&lt;="&amp;EOMONTH(N$4,0)),
IFERROR(_xlpm.recurring,0)+IFERROR(_xlpm.planned,0))</f>
        <v>0</v>
      </c>
      <c r="O45" s="96"/>
      <c r="P45" s="106">
        <f t="shared" ref="P45:P50" ca="1" si="13">SUM(C45:N45)</f>
        <v>0</v>
      </c>
      <c r="Q45" s="51"/>
      <c r="R45" s="42"/>
      <c r="U45" s="22"/>
    </row>
    <row r="46" spans="1:23" ht="12.75" customHeight="1" x14ac:dyDescent="0.2">
      <c r="A46" s="226"/>
      <c r="B46" s="69" t="s">
        <v>20</v>
      </c>
      <c r="C46" s="105">
        <f ca="1">_xlfn.LET(
_xlpm.recurring,SUMIFS(INDEX(recurring_master!$A:$AF,,MATCH($B46,recurring_master!$A$1:$AF$1,0)),recurring_master!$A:$A,"&lt;="&amp;EOMONTH(C$4,0),recurring_master!$A:$A,"&gt;="&amp;C$4),
_xlpm.planned,SUMIFS(Planned!$F:$F,Planned!$B:$B,$B46,Planned!$E:$E,"&gt;="&amp;C$4,Planned!$E:$E,"&lt;="&amp;EOMONTH(C$4,0)),
IFERROR(_xlpm.recurring,0)+IFERROR(_xlpm.planned,0))</f>
        <v>0</v>
      </c>
      <c r="D46" s="105">
        <f ca="1">_xlfn.LET(
_xlpm.recurring,SUMIFS(INDEX(recurring_master!$A:$AF,,MATCH($B46,recurring_master!$A$1:$AF$1,0)),recurring_master!$A:$A,"&lt;="&amp;EOMONTH(D$4,0),recurring_master!$A:$A,"&gt;="&amp;D$4),
_xlpm.planned,SUMIFS(Planned!$F:$F,Planned!$B:$B,$B46,Planned!$E:$E,"&gt;="&amp;D$4,Planned!$E:$E,"&lt;="&amp;EOMONTH(D$4,0)),
IFERROR(_xlpm.recurring,0)+IFERROR(_xlpm.planned,0))</f>
        <v>0</v>
      </c>
      <c r="E46" s="105">
        <f ca="1">_xlfn.LET(
_xlpm.recurring,SUMIFS(INDEX(recurring_master!$A:$AF,,MATCH($B46,recurring_master!$A$1:$AF$1,0)),recurring_master!$A:$A,"&lt;="&amp;EOMONTH(E$4,0),recurring_master!$A:$A,"&gt;="&amp;E$4),
_xlpm.planned,SUMIFS(Planned!$F:$F,Planned!$B:$B,$B46,Planned!$E:$E,"&gt;="&amp;E$4,Planned!$E:$E,"&lt;="&amp;EOMONTH(E$4,0)),
IFERROR(_xlpm.recurring,0)+IFERROR(_xlpm.planned,0))</f>
        <v>0</v>
      </c>
      <c r="F46" s="105">
        <f ca="1">_xlfn.LET(
_xlpm.recurring,SUMIFS(INDEX(recurring_master!$A:$AF,,MATCH($B46,recurring_master!$A$1:$AF$1,0)),recurring_master!$A:$A,"&lt;="&amp;EOMONTH(F$4,0),recurring_master!$A:$A,"&gt;="&amp;F$4),
_xlpm.planned,SUMIFS(Planned!$F:$F,Planned!$B:$B,$B46,Planned!$E:$E,"&gt;="&amp;F$4,Planned!$E:$E,"&lt;="&amp;EOMONTH(F$4,0)),
IFERROR(_xlpm.recurring,0)+IFERROR(_xlpm.planned,0))</f>
        <v>0</v>
      </c>
      <c r="G46" s="105">
        <f ca="1">_xlfn.LET(
_xlpm.recurring,SUMIFS(INDEX(recurring_master!$A:$AF,,MATCH($B46,recurring_master!$A$1:$AF$1,0)),recurring_master!$A:$A,"&lt;="&amp;EOMONTH(G$4,0),recurring_master!$A:$A,"&gt;="&amp;G$4),
_xlpm.planned,SUMIFS(Planned!$F:$F,Planned!$B:$B,$B46,Planned!$E:$E,"&gt;="&amp;G$4,Planned!$E:$E,"&lt;="&amp;EOMONTH(G$4,0)),
IFERROR(_xlpm.recurring,0)+IFERROR(_xlpm.planned,0))</f>
        <v>0</v>
      </c>
      <c r="H46" s="105">
        <f ca="1">_xlfn.LET(
_xlpm.recurring,SUMIFS(INDEX(recurring_master!$A:$AF,,MATCH($B46,recurring_master!$A$1:$AF$1,0)),recurring_master!$A:$A,"&lt;="&amp;EOMONTH(H$4,0),recurring_master!$A:$A,"&gt;="&amp;H$4),
_xlpm.planned,SUMIFS(Planned!$F:$F,Planned!$B:$B,$B46,Planned!$E:$E,"&gt;="&amp;H$4,Planned!$E:$E,"&lt;="&amp;EOMONTH(H$4,0)),
IFERROR(_xlpm.recurring,0)+IFERROR(_xlpm.planned,0))</f>
        <v>0</v>
      </c>
      <c r="I46" s="105">
        <f ca="1">_xlfn.LET(
_xlpm.recurring,SUMIFS(INDEX(recurring_master!$A:$AF,,MATCH($B46,recurring_master!$A$1:$AF$1,0)),recurring_master!$A:$A,"&lt;="&amp;EOMONTH(I$4,0),recurring_master!$A:$A,"&gt;="&amp;I$4),
_xlpm.planned,SUMIFS(Planned!$F:$F,Planned!$B:$B,$B46,Planned!$E:$E,"&gt;="&amp;I$4,Planned!$E:$E,"&lt;="&amp;EOMONTH(I$4,0)),
IFERROR(_xlpm.recurring,0)+IFERROR(_xlpm.planned,0))</f>
        <v>0</v>
      </c>
      <c r="J46" s="105">
        <f ca="1">_xlfn.LET(
_xlpm.recurring,SUMIFS(INDEX(recurring_master!$A:$AF,,MATCH($B46,recurring_master!$A$1:$AF$1,0)),recurring_master!$A:$A,"&lt;="&amp;EOMONTH(J$4,0),recurring_master!$A:$A,"&gt;="&amp;J$4),
_xlpm.planned,SUMIFS(Planned!$F:$F,Planned!$B:$B,$B46,Planned!$E:$E,"&gt;="&amp;J$4,Planned!$E:$E,"&lt;="&amp;EOMONTH(J$4,0)),
IFERROR(_xlpm.recurring,0)+IFERROR(_xlpm.planned,0))</f>
        <v>0</v>
      </c>
      <c r="K46" s="105">
        <f ca="1">_xlfn.LET(
_xlpm.recurring,SUMIFS(INDEX(recurring_master!$A:$AF,,MATCH($B46,recurring_master!$A$1:$AF$1,0)),recurring_master!$A:$A,"&lt;="&amp;EOMONTH(K$4,0),recurring_master!$A:$A,"&gt;="&amp;K$4),
_xlpm.planned,SUMIFS(Planned!$F:$F,Planned!$B:$B,$B46,Planned!$E:$E,"&gt;="&amp;K$4,Planned!$E:$E,"&lt;="&amp;EOMONTH(K$4,0)),
IFERROR(_xlpm.recurring,0)+IFERROR(_xlpm.planned,0))</f>
        <v>0</v>
      </c>
      <c r="L46" s="105">
        <f ca="1">_xlfn.LET(
_xlpm.recurring,SUMIFS(INDEX(recurring_master!$A:$AF,,MATCH($B46,recurring_master!$A$1:$AF$1,0)),recurring_master!$A:$A,"&lt;="&amp;EOMONTH(L$4,0),recurring_master!$A:$A,"&gt;="&amp;L$4),
_xlpm.planned,SUMIFS(Planned!$F:$F,Planned!$B:$B,$B46,Planned!$E:$E,"&gt;="&amp;L$4,Planned!$E:$E,"&lt;="&amp;EOMONTH(L$4,0)),
IFERROR(_xlpm.recurring,0)+IFERROR(_xlpm.planned,0))</f>
        <v>0</v>
      </c>
      <c r="M46" s="105">
        <f ca="1">_xlfn.LET(
_xlpm.recurring,SUMIFS(INDEX(recurring_master!$A:$AF,,MATCH($B46,recurring_master!$A$1:$AF$1,0)),recurring_master!$A:$A,"&lt;="&amp;EOMONTH(M$4,0),recurring_master!$A:$A,"&gt;="&amp;M$4),
_xlpm.planned,SUMIFS(Planned!$F:$F,Planned!$B:$B,$B46,Planned!$E:$E,"&gt;="&amp;M$4,Planned!$E:$E,"&lt;="&amp;EOMONTH(M$4,0)),
IFERROR(_xlpm.recurring,0)+IFERROR(_xlpm.planned,0))</f>
        <v>0</v>
      </c>
      <c r="N46" s="105">
        <f ca="1">_xlfn.LET(
_xlpm.recurring,SUMIFS(INDEX(recurring_master!$A:$AF,,MATCH($B46,recurring_master!$A$1:$AF$1,0)),recurring_master!$A:$A,"&lt;="&amp;EOMONTH(N$4,0),recurring_master!$A:$A,"&gt;="&amp;N$4),
_xlpm.planned,SUMIFS(Planned!$F:$F,Planned!$B:$B,$B46,Planned!$E:$E,"&gt;="&amp;N$4,Planned!$E:$E,"&lt;="&amp;EOMONTH(N$4,0)),
IFERROR(_xlpm.recurring,0)+IFERROR(_xlpm.planned,0))</f>
        <v>0</v>
      </c>
      <c r="O46" s="96"/>
      <c r="P46" s="106">
        <f t="shared" ca="1" si="13"/>
        <v>0</v>
      </c>
      <c r="Q46" s="52"/>
      <c r="R46" s="42"/>
      <c r="U46" s="22"/>
    </row>
    <row r="47" spans="1:23" ht="12.75" customHeight="1" x14ac:dyDescent="0.2">
      <c r="A47" s="226"/>
      <c r="B47" s="77" t="s">
        <v>195</v>
      </c>
      <c r="C47" s="105">
        <f ca="1">_xlfn.LET(
_xlpm.recurring,SUMIFS(INDEX(recurring_master!$A:$AF,,MATCH($B47,recurring_master!$A$1:$AF$1,0)),recurring_master!$A:$A,"&lt;="&amp;EOMONTH(C$4,0),recurring_master!$A:$A,"&gt;="&amp;C$4),
_xlpm.planned,SUMIFS(Planned!$F:$F,Planned!$B:$B,$B47,Planned!$E:$E,"&gt;="&amp;C$4,Planned!$E:$E,"&lt;="&amp;EOMONTH(C$4,0)),
IFERROR(_xlpm.recurring,0)+IFERROR(_xlpm.planned,0))</f>
        <v>0</v>
      </c>
      <c r="D47" s="105">
        <f ca="1">_xlfn.LET(
_xlpm.recurring,SUMIFS(INDEX(recurring_master!$A:$AF,,MATCH($B47,recurring_master!$A$1:$AF$1,0)),recurring_master!$A:$A,"&lt;="&amp;EOMONTH(D$4,0),recurring_master!$A:$A,"&gt;="&amp;D$4),
_xlpm.planned,SUMIFS(Planned!$F:$F,Planned!$B:$B,$B47,Planned!$E:$E,"&gt;="&amp;D$4,Planned!$E:$E,"&lt;="&amp;EOMONTH(D$4,0)),
IFERROR(_xlpm.recurring,0)+IFERROR(_xlpm.planned,0))</f>
        <v>0</v>
      </c>
      <c r="E47" s="105">
        <f ca="1">_xlfn.LET(
_xlpm.recurring,SUMIFS(INDEX(recurring_master!$A:$AF,,MATCH($B47,recurring_master!$A$1:$AF$1,0)),recurring_master!$A:$A,"&lt;="&amp;EOMONTH(E$4,0),recurring_master!$A:$A,"&gt;="&amp;E$4),
_xlpm.planned,SUMIFS(Planned!$F:$F,Planned!$B:$B,$B47,Planned!$E:$E,"&gt;="&amp;E$4,Planned!$E:$E,"&lt;="&amp;EOMONTH(E$4,0)),
IFERROR(_xlpm.recurring,0)+IFERROR(_xlpm.planned,0))</f>
        <v>0</v>
      </c>
      <c r="F47" s="105">
        <f ca="1">_xlfn.LET(
_xlpm.recurring,SUMIFS(INDEX(recurring_master!$A:$AF,,MATCH($B47,recurring_master!$A$1:$AF$1,0)),recurring_master!$A:$A,"&lt;="&amp;EOMONTH(F$4,0),recurring_master!$A:$A,"&gt;="&amp;F$4),
_xlpm.planned,SUMIFS(Planned!$F:$F,Planned!$B:$B,$B47,Planned!$E:$E,"&gt;="&amp;F$4,Planned!$E:$E,"&lt;="&amp;EOMONTH(F$4,0)),
IFERROR(_xlpm.recurring,0)+IFERROR(_xlpm.planned,0))</f>
        <v>0</v>
      </c>
      <c r="G47" s="105">
        <f ca="1">_xlfn.LET(
_xlpm.recurring,SUMIFS(INDEX(recurring_master!$A:$AF,,MATCH($B47,recurring_master!$A$1:$AF$1,0)),recurring_master!$A:$A,"&lt;="&amp;EOMONTH(G$4,0),recurring_master!$A:$A,"&gt;="&amp;G$4),
_xlpm.planned,SUMIFS(Planned!$F:$F,Planned!$B:$B,$B47,Planned!$E:$E,"&gt;="&amp;G$4,Planned!$E:$E,"&lt;="&amp;EOMONTH(G$4,0)),
IFERROR(_xlpm.recurring,0)+IFERROR(_xlpm.planned,0))</f>
        <v>0</v>
      </c>
      <c r="H47" s="105">
        <f ca="1">_xlfn.LET(
_xlpm.recurring,SUMIFS(INDEX(recurring_master!$A:$AF,,MATCH($B47,recurring_master!$A$1:$AF$1,0)),recurring_master!$A:$A,"&lt;="&amp;EOMONTH(H$4,0),recurring_master!$A:$A,"&gt;="&amp;H$4),
_xlpm.planned,SUMIFS(Planned!$F:$F,Planned!$B:$B,$B47,Planned!$E:$E,"&gt;="&amp;H$4,Planned!$E:$E,"&lt;="&amp;EOMONTH(H$4,0)),
IFERROR(_xlpm.recurring,0)+IFERROR(_xlpm.planned,0))</f>
        <v>0</v>
      </c>
      <c r="I47" s="105">
        <f ca="1">_xlfn.LET(
_xlpm.recurring,SUMIFS(INDEX(recurring_master!$A:$AF,,MATCH($B47,recurring_master!$A$1:$AF$1,0)),recurring_master!$A:$A,"&lt;="&amp;EOMONTH(I$4,0),recurring_master!$A:$A,"&gt;="&amp;I$4),
_xlpm.planned,SUMIFS(Planned!$F:$F,Planned!$B:$B,$B47,Planned!$E:$E,"&gt;="&amp;I$4,Planned!$E:$E,"&lt;="&amp;EOMONTH(I$4,0)),
IFERROR(_xlpm.recurring,0)+IFERROR(_xlpm.planned,0))</f>
        <v>0</v>
      </c>
      <c r="J47" s="105">
        <f ca="1">_xlfn.LET(
_xlpm.recurring,SUMIFS(INDEX(recurring_master!$A:$AF,,MATCH($B47,recurring_master!$A$1:$AF$1,0)),recurring_master!$A:$A,"&lt;="&amp;EOMONTH(J$4,0),recurring_master!$A:$A,"&gt;="&amp;J$4),
_xlpm.planned,SUMIFS(Planned!$F:$F,Planned!$B:$B,$B47,Planned!$E:$E,"&gt;="&amp;J$4,Planned!$E:$E,"&lt;="&amp;EOMONTH(J$4,0)),
IFERROR(_xlpm.recurring,0)+IFERROR(_xlpm.planned,0))</f>
        <v>0</v>
      </c>
      <c r="K47" s="105">
        <f ca="1">_xlfn.LET(
_xlpm.recurring,SUMIFS(INDEX(recurring_master!$A:$AF,,MATCH($B47,recurring_master!$A$1:$AF$1,0)),recurring_master!$A:$A,"&lt;="&amp;EOMONTH(K$4,0),recurring_master!$A:$A,"&gt;="&amp;K$4),
_xlpm.planned,SUMIFS(Planned!$F:$F,Planned!$B:$B,$B47,Planned!$E:$E,"&gt;="&amp;K$4,Planned!$E:$E,"&lt;="&amp;EOMONTH(K$4,0)),
IFERROR(_xlpm.recurring,0)+IFERROR(_xlpm.planned,0))</f>
        <v>0</v>
      </c>
      <c r="L47" s="105">
        <f ca="1">_xlfn.LET(
_xlpm.recurring,SUMIFS(INDEX(recurring_master!$A:$AF,,MATCH($B47,recurring_master!$A$1:$AF$1,0)),recurring_master!$A:$A,"&lt;="&amp;EOMONTH(L$4,0),recurring_master!$A:$A,"&gt;="&amp;L$4),
_xlpm.planned,SUMIFS(Planned!$F:$F,Planned!$B:$B,$B47,Planned!$E:$E,"&gt;="&amp;L$4,Planned!$E:$E,"&lt;="&amp;EOMONTH(L$4,0)),
IFERROR(_xlpm.recurring,0)+IFERROR(_xlpm.planned,0))</f>
        <v>0</v>
      </c>
      <c r="M47" s="105">
        <f ca="1">_xlfn.LET(
_xlpm.recurring,SUMIFS(INDEX(recurring_master!$A:$AF,,MATCH($B47,recurring_master!$A$1:$AF$1,0)),recurring_master!$A:$A,"&lt;="&amp;EOMONTH(M$4,0),recurring_master!$A:$A,"&gt;="&amp;M$4),
_xlpm.planned,SUMIFS(Planned!$F:$F,Planned!$B:$B,$B47,Planned!$E:$E,"&gt;="&amp;M$4,Planned!$E:$E,"&lt;="&amp;EOMONTH(M$4,0)),
IFERROR(_xlpm.recurring,0)+IFERROR(_xlpm.planned,0))</f>
        <v>0</v>
      </c>
      <c r="N47" s="105">
        <f ca="1">_xlfn.LET(
_xlpm.recurring,SUMIFS(INDEX(recurring_master!$A:$AF,,MATCH($B47,recurring_master!$A$1:$AF$1,0)),recurring_master!$A:$A,"&lt;="&amp;EOMONTH(N$4,0),recurring_master!$A:$A,"&gt;="&amp;N$4),
_xlpm.planned,SUMIFS(Planned!$F:$F,Planned!$B:$B,$B47,Planned!$E:$E,"&gt;="&amp;N$4,Planned!$E:$E,"&lt;="&amp;EOMONTH(N$4,0)),
IFERROR(_xlpm.recurring,0)+IFERROR(_xlpm.planned,0))</f>
        <v>0</v>
      </c>
      <c r="O47" s="96"/>
      <c r="P47" s="106">
        <f t="shared" ca="1" si="13"/>
        <v>0</v>
      </c>
      <c r="Q47" s="51"/>
      <c r="R47" s="42"/>
      <c r="U47" s="22"/>
    </row>
    <row r="48" spans="1:23" ht="12.75" customHeight="1" x14ac:dyDescent="0.2">
      <c r="A48" s="226"/>
      <c r="B48" s="69" t="s">
        <v>290</v>
      </c>
      <c r="C48" s="105">
        <f ca="1">_xlfn.LET(
_xlpm.recurring,SUMIFS(INDEX(recurring_master!$A:$AF,,MATCH($B48,recurring_master!$A$1:$AF$1,0)),recurring_master!$A:$A,"&lt;="&amp;EOMONTH(C$4,0),recurring_master!$A:$A,"&gt;="&amp;C$4),
_xlpm.planned,SUMIFS(Planned!$F:$F,Planned!$B:$B,$B48,Planned!$E:$E,"&gt;="&amp;C$4,Planned!$E:$E,"&lt;="&amp;EOMONTH(C$4,0)),
IFERROR(_xlpm.recurring,0)+IFERROR(_xlpm.planned,0))</f>
        <v>0</v>
      </c>
      <c r="D48" s="105">
        <f ca="1">_xlfn.LET(
_xlpm.recurring,SUMIFS(INDEX(recurring_master!$A:$AF,,MATCH($B48,recurring_master!$A$1:$AF$1,0)),recurring_master!$A:$A,"&lt;="&amp;EOMONTH(D$4,0),recurring_master!$A:$A,"&gt;="&amp;D$4),
_xlpm.planned,SUMIFS(Planned!$F:$F,Planned!$B:$B,$B48,Planned!$E:$E,"&gt;="&amp;D$4,Planned!$E:$E,"&lt;="&amp;EOMONTH(D$4,0)),
IFERROR(_xlpm.recurring,0)+IFERROR(_xlpm.planned,0))</f>
        <v>0</v>
      </c>
      <c r="E48" s="105">
        <f ca="1">_xlfn.LET(
_xlpm.recurring,SUMIFS(INDEX(recurring_master!$A:$AF,,MATCH($B48,recurring_master!$A$1:$AF$1,0)),recurring_master!$A:$A,"&lt;="&amp;EOMONTH(E$4,0),recurring_master!$A:$A,"&gt;="&amp;E$4),
_xlpm.planned,SUMIFS(Planned!$F:$F,Planned!$B:$B,$B48,Planned!$E:$E,"&gt;="&amp;E$4,Planned!$E:$E,"&lt;="&amp;EOMONTH(E$4,0)),
IFERROR(_xlpm.recurring,0)+IFERROR(_xlpm.planned,0))</f>
        <v>0</v>
      </c>
      <c r="F48" s="105">
        <f ca="1">_xlfn.LET(
_xlpm.recurring,SUMIFS(INDEX(recurring_master!$A:$AF,,MATCH($B48,recurring_master!$A$1:$AF$1,0)),recurring_master!$A:$A,"&lt;="&amp;EOMONTH(F$4,0),recurring_master!$A:$A,"&gt;="&amp;F$4),
_xlpm.planned,SUMIFS(Planned!$F:$F,Planned!$B:$B,$B48,Planned!$E:$E,"&gt;="&amp;F$4,Planned!$E:$E,"&lt;="&amp;EOMONTH(F$4,0)),
IFERROR(_xlpm.recurring,0)+IFERROR(_xlpm.planned,0))</f>
        <v>0</v>
      </c>
      <c r="G48" s="105">
        <f ca="1">_xlfn.LET(
_xlpm.recurring,SUMIFS(INDEX(recurring_master!$A:$AF,,MATCH($B48,recurring_master!$A$1:$AF$1,0)),recurring_master!$A:$A,"&lt;="&amp;EOMONTH(G$4,0),recurring_master!$A:$A,"&gt;="&amp;G$4),
_xlpm.planned,SUMIFS(Planned!$F:$F,Planned!$B:$B,$B48,Planned!$E:$E,"&gt;="&amp;G$4,Planned!$E:$E,"&lt;="&amp;EOMONTH(G$4,0)),
IFERROR(_xlpm.recurring,0)+IFERROR(_xlpm.planned,0))</f>
        <v>0</v>
      </c>
      <c r="H48" s="105">
        <f ca="1">_xlfn.LET(
_xlpm.recurring,SUMIFS(INDEX(recurring_master!$A:$AF,,MATCH($B48,recurring_master!$A$1:$AF$1,0)),recurring_master!$A:$A,"&lt;="&amp;EOMONTH(H$4,0),recurring_master!$A:$A,"&gt;="&amp;H$4),
_xlpm.planned,SUMIFS(Planned!$F:$F,Planned!$B:$B,$B48,Planned!$E:$E,"&gt;="&amp;H$4,Planned!$E:$E,"&lt;="&amp;EOMONTH(H$4,0)),
IFERROR(_xlpm.recurring,0)+IFERROR(_xlpm.planned,0))</f>
        <v>0</v>
      </c>
      <c r="I48" s="105">
        <f ca="1">_xlfn.LET(
_xlpm.recurring,SUMIFS(INDEX(recurring_master!$A:$AF,,MATCH($B48,recurring_master!$A$1:$AF$1,0)),recurring_master!$A:$A,"&lt;="&amp;EOMONTH(I$4,0),recurring_master!$A:$A,"&gt;="&amp;I$4),
_xlpm.planned,SUMIFS(Planned!$F:$F,Planned!$B:$B,$B48,Planned!$E:$E,"&gt;="&amp;I$4,Planned!$E:$E,"&lt;="&amp;EOMONTH(I$4,0)),
IFERROR(_xlpm.recurring,0)+IFERROR(_xlpm.planned,0))</f>
        <v>0</v>
      </c>
      <c r="J48" s="105">
        <f ca="1">_xlfn.LET(
_xlpm.recurring,SUMIFS(INDEX(recurring_master!$A:$AF,,MATCH($B48,recurring_master!$A$1:$AF$1,0)),recurring_master!$A:$A,"&lt;="&amp;EOMONTH(J$4,0),recurring_master!$A:$A,"&gt;="&amp;J$4),
_xlpm.planned,SUMIFS(Planned!$F:$F,Planned!$B:$B,$B48,Planned!$E:$E,"&gt;="&amp;J$4,Planned!$E:$E,"&lt;="&amp;EOMONTH(J$4,0)),
IFERROR(_xlpm.recurring,0)+IFERROR(_xlpm.planned,0))</f>
        <v>0</v>
      </c>
      <c r="K48" s="105">
        <f ca="1">_xlfn.LET(
_xlpm.recurring,SUMIFS(INDEX(recurring_master!$A:$AF,,MATCH($B48,recurring_master!$A$1:$AF$1,0)),recurring_master!$A:$A,"&lt;="&amp;EOMONTH(K$4,0),recurring_master!$A:$A,"&gt;="&amp;K$4),
_xlpm.planned,SUMIFS(Planned!$F:$F,Planned!$B:$B,$B48,Planned!$E:$E,"&gt;="&amp;K$4,Planned!$E:$E,"&lt;="&amp;EOMONTH(K$4,0)),
IFERROR(_xlpm.recurring,0)+IFERROR(_xlpm.planned,0))</f>
        <v>0</v>
      </c>
      <c r="L48" s="105">
        <f ca="1">_xlfn.LET(
_xlpm.recurring,SUMIFS(INDEX(recurring_master!$A:$AF,,MATCH($B48,recurring_master!$A$1:$AF$1,0)),recurring_master!$A:$A,"&lt;="&amp;EOMONTH(L$4,0),recurring_master!$A:$A,"&gt;="&amp;L$4),
_xlpm.planned,SUMIFS(Planned!$F:$F,Planned!$B:$B,$B48,Planned!$E:$E,"&gt;="&amp;L$4,Planned!$E:$E,"&lt;="&amp;EOMONTH(L$4,0)),
IFERROR(_xlpm.recurring,0)+IFERROR(_xlpm.planned,0))</f>
        <v>0</v>
      </c>
      <c r="M48" s="105">
        <f ca="1">_xlfn.LET(
_xlpm.recurring,SUMIFS(INDEX(recurring_master!$A:$AF,,MATCH($B48,recurring_master!$A$1:$AF$1,0)),recurring_master!$A:$A,"&lt;="&amp;EOMONTH(M$4,0),recurring_master!$A:$A,"&gt;="&amp;M$4),
_xlpm.planned,SUMIFS(Planned!$F:$F,Planned!$B:$B,$B48,Planned!$E:$E,"&gt;="&amp;M$4,Planned!$E:$E,"&lt;="&amp;EOMONTH(M$4,0)),
IFERROR(_xlpm.recurring,0)+IFERROR(_xlpm.planned,0))</f>
        <v>0</v>
      </c>
      <c r="N48" s="105">
        <f ca="1">_xlfn.LET(
_xlpm.recurring,SUMIFS(INDEX(recurring_master!$A:$AF,,MATCH($B48,recurring_master!$A$1:$AF$1,0)),recurring_master!$A:$A,"&lt;="&amp;EOMONTH(N$4,0),recurring_master!$A:$A,"&gt;="&amp;N$4),
_xlpm.planned,SUMIFS(Planned!$F:$F,Planned!$B:$B,$B48,Planned!$E:$E,"&gt;="&amp;N$4,Planned!$E:$E,"&lt;="&amp;EOMONTH(N$4,0)),
IFERROR(_xlpm.recurring,0)+IFERROR(_xlpm.planned,0))</f>
        <v>0</v>
      </c>
      <c r="O48" s="96"/>
      <c r="P48" s="106">
        <f t="shared" ca="1" si="13"/>
        <v>0</v>
      </c>
      <c r="Q48" s="51"/>
      <c r="R48" s="42"/>
      <c r="U48" s="22"/>
    </row>
    <row r="49" spans="1:23" ht="12.75" customHeight="1" x14ac:dyDescent="0.2">
      <c r="A49" s="226"/>
      <c r="B49" s="161" t="s">
        <v>166</v>
      </c>
      <c r="C49" s="105">
        <f ca="1">_xlfn.LET(
_xlpm.recurring,SUMIFS(INDEX(recurring_master!$A:$AF,,MATCH($B49,recurring_master!$A$1:$AF$1,0)),recurring_master!$A:$A,"&lt;="&amp;EOMONTH(C$4,0),recurring_master!$A:$A,"&gt;="&amp;C$4),
_xlpm.planned,SUMIFS(Planned!$F:$F,Planned!$B:$B,$B49,Planned!$E:$E,"&gt;="&amp;C$4,Planned!$E:$E,"&lt;="&amp;EOMONTH(C$4,0)),
IFERROR(_xlpm.recurring,0)+IFERROR(_xlpm.planned,0))</f>
        <v>0</v>
      </c>
      <c r="D49" s="105">
        <f ca="1">_xlfn.LET(
_xlpm.recurring,SUMIFS(INDEX(recurring_master!$A:$AF,,MATCH($B49,recurring_master!$A$1:$AF$1,0)),recurring_master!$A:$A,"&lt;="&amp;EOMONTH(D$4,0),recurring_master!$A:$A,"&gt;="&amp;D$4),
_xlpm.planned,SUMIFS(Planned!$F:$F,Planned!$B:$B,$B49,Planned!$E:$E,"&gt;="&amp;D$4,Planned!$E:$E,"&lt;="&amp;EOMONTH(D$4,0)),
IFERROR(_xlpm.recurring,0)+IFERROR(_xlpm.planned,0))</f>
        <v>0</v>
      </c>
      <c r="E49" s="105">
        <f ca="1">_xlfn.LET(
_xlpm.recurring,SUMIFS(INDEX(recurring_master!$A:$AF,,MATCH($B49,recurring_master!$A$1:$AF$1,0)),recurring_master!$A:$A,"&lt;="&amp;EOMONTH(E$4,0),recurring_master!$A:$A,"&gt;="&amp;E$4),
_xlpm.planned,SUMIFS(Planned!$F:$F,Planned!$B:$B,$B49,Planned!$E:$E,"&gt;="&amp;E$4,Planned!$E:$E,"&lt;="&amp;EOMONTH(E$4,0)),
IFERROR(_xlpm.recurring,0)+IFERROR(_xlpm.planned,0))</f>
        <v>0</v>
      </c>
      <c r="F49" s="105">
        <f ca="1">_xlfn.LET(
_xlpm.recurring,SUMIFS(INDEX(recurring_master!$A:$AF,,MATCH($B49,recurring_master!$A$1:$AF$1,0)),recurring_master!$A:$A,"&lt;="&amp;EOMONTH(F$4,0),recurring_master!$A:$A,"&gt;="&amp;F$4),
_xlpm.planned,SUMIFS(Planned!$F:$F,Planned!$B:$B,$B49,Planned!$E:$E,"&gt;="&amp;F$4,Planned!$E:$E,"&lt;="&amp;EOMONTH(F$4,0)),
IFERROR(_xlpm.recurring,0)+IFERROR(_xlpm.planned,0))</f>
        <v>0</v>
      </c>
      <c r="G49" s="105">
        <f ca="1">_xlfn.LET(
_xlpm.recurring,SUMIFS(INDEX(recurring_master!$A:$AF,,MATCH($B49,recurring_master!$A$1:$AF$1,0)),recurring_master!$A:$A,"&lt;="&amp;EOMONTH(G$4,0),recurring_master!$A:$A,"&gt;="&amp;G$4),
_xlpm.planned,SUMIFS(Planned!$F:$F,Planned!$B:$B,$B49,Planned!$E:$E,"&gt;="&amp;G$4,Planned!$E:$E,"&lt;="&amp;EOMONTH(G$4,0)),
IFERROR(_xlpm.recurring,0)+IFERROR(_xlpm.planned,0))</f>
        <v>0</v>
      </c>
      <c r="H49" s="105">
        <f ca="1">_xlfn.LET(
_xlpm.recurring,SUMIFS(INDEX(recurring_master!$A:$AF,,MATCH($B49,recurring_master!$A$1:$AF$1,0)),recurring_master!$A:$A,"&lt;="&amp;EOMONTH(H$4,0),recurring_master!$A:$A,"&gt;="&amp;H$4),
_xlpm.planned,SUMIFS(Planned!$F:$F,Planned!$B:$B,$B49,Planned!$E:$E,"&gt;="&amp;H$4,Planned!$E:$E,"&lt;="&amp;EOMONTH(H$4,0)),
IFERROR(_xlpm.recurring,0)+IFERROR(_xlpm.planned,0))</f>
        <v>0</v>
      </c>
      <c r="I49" s="105">
        <f ca="1">_xlfn.LET(
_xlpm.recurring,SUMIFS(INDEX(recurring_master!$A:$AF,,MATCH($B49,recurring_master!$A$1:$AF$1,0)),recurring_master!$A:$A,"&lt;="&amp;EOMONTH(I$4,0),recurring_master!$A:$A,"&gt;="&amp;I$4),
_xlpm.planned,SUMIFS(Planned!$F:$F,Planned!$B:$B,$B49,Planned!$E:$E,"&gt;="&amp;I$4,Planned!$E:$E,"&lt;="&amp;EOMONTH(I$4,0)),
IFERROR(_xlpm.recurring,0)+IFERROR(_xlpm.planned,0))</f>
        <v>0</v>
      </c>
      <c r="J49" s="105">
        <f ca="1">_xlfn.LET(
_xlpm.recurring,SUMIFS(INDEX(recurring_master!$A:$AF,,MATCH($B49,recurring_master!$A$1:$AF$1,0)),recurring_master!$A:$A,"&lt;="&amp;EOMONTH(J$4,0),recurring_master!$A:$A,"&gt;="&amp;J$4),
_xlpm.planned,SUMIFS(Planned!$F:$F,Planned!$B:$B,$B49,Planned!$E:$E,"&gt;="&amp;J$4,Planned!$E:$E,"&lt;="&amp;EOMONTH(J$4,0)),
IFERROR(_xlpm.recurring,0)+IFERROR(_xlpm.planned,0))</f>
        <v>0</v>
      </c>
      <c r="K49" s="105">
        <f ca="1">_xlfn.LET(
_xlpm.recurring,SUMIFS(INDEX(recurring_master!$A:$AF,,MATCH($B49,recurring_master!$A$1:$AF$1,0)),recurring_master!$A:$A,"&lt;="&amp;EOMONTH(K$4,0),recurring_master!$A:$A,"&gt;="&amp;K$4),
_xlpm.planned,SUMIFS(Planned!$F:$F,Planned!$B:$B,$B49,Planned!$E:$E,"&gt;="&amp;K$4,Planned!$E:$E,"&lt;="&amp;EOMONTH(K$4,0)),
IFERROR(_xlpm.recurring,0)+IFERROR(_xlpm.planned,0))</f>
        <v>0</v>
      </c>
      <c r="L49" s="105">
        <f ca="1">_xlfn.LET(
_xlpm.recurring,SUMIFS(INDEX(recurring_master!$A:$AF,,MATCH($B49,recurring_master!$A$1:$AF$1,0)),recurring_master!$A:$A,"&lt;="&amp;EOMONTH(L$4,0),recurring_master!$A:$A,"&gt;="&amp;L$4),
_xlpm.planned,SUMIFS(Planned!$F:$F,Planned!$B:$B,$B49,Planned!$E:$E,"&gt;="&amp;L$4,Planned!$E:$E,"&lt;="&amp;EOMONTH(L$4,0)),
IFERROR(_xlpm.recurring,0)+IFERROR(_xlpm.planned,0))</f>
        <v>0</v>
      </c>
      <c r="M49" s="105">
        <f ca="1">_xlfn.LET(
_xlpm.recurring,SUMIFS(INDEX(recurring_master!$A:$AF,,MATCH($B49,recurring_master!$A$1:$AF$1,0)),recurring_master!$A:$A,"&lt;="&amp;EOMONTH(M$4,0),recurring_master!$A:$A,"&gt;="&amp;M$4),
_xlpm.planned,SUMIFS(Planned!$F:$F,Planned!$B:$B,$B49,Planned!$E:$E,"&gt;="&amp;M$4,Planned!$E:$E,"&lt;="&amp;EOMONTH(M$4,0)),
IFERROR(_xlpm.recurring,0)+IFERROR(_xlpm.planned,0))</f>
        <v>0</v>
      </c>
      <c r="N49" s="105">
        <f ca="1">_xlfn.LET(
_xlpm.recurring,SUMIFS(INDEX(recurring_master!$A:$AF,,MATCH($B49,recurring_master!$A$1:$AF$1,0)),recurring_master!$A:$A,"&lt;="&amp;EOMONTH(N$4,0),recurring_master!$A:$A,"&gt;="&amp;N$4),
_xlpm.planned,SUMIFS(Planned!$F:$F,Planned!$B:$B,$B49,Planned!$E:$E,"&gt;="&amp;N$4,Planned!$E:$E,"&lt;="&amp;EOMONTH(N$4,0)),
IFERROR(_xlpm.recurring,0)+IFERROR(_xlpm.planned,0))</f>
        <v>0</v>
      </c>
      <c r="O49" s="96"/>
      <c r="P49" s="106">
        <f t="shared" ca="1" si="13"/>
        <v>0</v>
      </c>
      <c r="Q49" s="51"/>
      <c r="R49" s="42"/>
      <c r="U49" s="22"/>
    </row>
    <row r="50" spans="1:23" ht="12.75" customHeight="1" x14ac:dyDescent="0.2">
      <c r="A50" s="226"/>
      <c r="B50" s="161" t="s">
        <v>303</v>
      </c>
      <c r="C50" s="105">
        <f ca="1">_xlfn.LET(
_xlpm.recurring,SUMIFS(INDEX(recurring_master!$A:$AF,,MATCH($B50,recurring_master!$A$1:$AF$1,0)),recurring_master!$A:$A,"&lt;="&amp;EOMONTH(C$4,0),recurring_master!$A:$A,"&gt;="&amp;C$4),
_xlpm.planned,SUMIFS(Planned!$F:$F,Planned!$B:$B,$B50,Planned!$E:$E,"&gt;="&amp;C$4,Planned!$E:$E,"&lt;="&amp;EOMONTH(C$4,0)),
IFERROR(_xlpm.recurring,0)+IFERROR(_xlpm.planned,0))</f>
        <v>0</v>
      </c>
      <c r="D50" s="105">
        <f ca="1">_xlfn.LET(
_xlpm.recurring,SUMIFS(INDEX(recurring_master!$A:$AF,,MATCH($B50,recurring_master!$A$1:$AF$1,0)),recurring_master!$A:$A,"&lt;="&amp;EOMONTH(D$4,0),recurring_master!$A:$A,"&gt;="&amp;D$4),
_xlpm.planned,SUMIFS(Planned!$F:$F,Planned!$B:$B,$B50,Planned!$E:$E,"&gt;="&amp;D$4,Planned!$E:$E,"&lt;="&amp;EOMONTH(D$4,0)),
IFERROR(_xlpm.recurring,0)+IFERROR(_xlpm.planned,0))</f>
        <v>0</v>
      </c>
      <c r="E50" s="105">
        <f ca="1">_xlfn.LET(
_xlpm.recurring,SUMIFS(INDEX(recurring_master!$A:$AF,,MATCH($B50,recurring_master!$A$1:$AF$1,0)),recurring_master!$A:$A,"&lt;="&amp;EOMONTH(E$4,0),recurring_master!$A:$A,"&gt;="&amp;E$4),
_xlpm.planned,SUMIFS(Planned!$F:$F,Planned!$B:$B,$B50,Planned!$E:$E,"&gt;="&amp;E$4,Planned!$E:$E,"&lt;="&amp;EOMONTH(E$4,0)),
IFERROR(_xlpm.recurring,0)+IFERROR(_xlpm.planned,0))</f>
        <v>0</v>
      </c>
      <c r="F50" s="105">
        <f ca="1">_xlfn.LET(
_xlpm.recurring,SUMIFS(INDEX(recurring_master!$A:$AF,,MATCH($B50,recurring_master!$A$1:$AF$1,0)),recurring_master!$A:$A,"&lt;="&amp;EOMONTH(F$4,0),recurring_master!$A:$A,"&gt;="&amp;F$4),
_xlpm.planned,SUMIFS(Planned!$F:$F,Planned!$B:$B,$B50,Planned!$E:$E,"&gt;="&amp;F$4,Planned!$E:$E,"&lt;="&amp;EOMONTH(F$4,0)),
IFERROR(_xlpm.recurring,0)+IFERROR(_xlpm.planned,0))</f>
        <v>0</v>
      </c>
      <c r="G50" s="105">
        <f ca="1">_xlfn.LET(
_xlpm.recurring,SUMIFS(INDEX(recurring_master!$A:$AF,,MATCH($B50,recurring_master!$A$1:$AF$1,0)),recurring_master!$A:$A,"&lt;="&amp;EOMONTH(G$4,0),recurring_master!$A:$A,"&gt;="&amp;G$4),
_xlpm.planned,SUMIFS(Planned!$F:$F,Planned!$B:$B,$B50,Planned!$E:$E,"&gt;="&amp;G$4,Planned!$E:$E,"&lt;="&amp;EOMONTH(G$4,0)),
IFERROR(_xlpm.recurring,0)+IFERROR(_xlpm.planned,0))</f>
        <v>0</v>
      </c>
      <c r="H50" s="105">
        <f ca="1">_xlfn.LET(
_xlpm.recurring,SUMIFS(INDEX(recurring_master!$A:$AF,,MATCH($B50,recurring_master!$A$1:$AF$1,0)),recurring_master!$A:$A,"&lt;="&amp;EOMONTH(H$4,0),recurring_master!$A:$A,"&gt;="&amp;H$4),
_xlpm.planned,SUMIFS(Planned!$F:$F,Planned!$B:$B,$B50,Planned!$E:$E,"&gt;="&amp;H$4,Planned!$E:$E,"&lt;="&amp;EOMONTH(H$4,0)),
IFERROR(_xlpm.recurring,0)+IFERROR(_xlpm.planned,0))</f>
        <v>0</v>
      </c>
      <c r="I50" s="105">
        <f ca="1">_xlfn.LET(
_xlpm.recurring,SUMIFS(INDEX(recurring_master!$A:$AF,,MATCH($B50,recurring_master!$A$1:$AF$1,0)),recurring_master!$A:$A,"&lt;="&amp;EOMONTH(I$4,0),recurring_master!$A:$A,"&gt;="&amp;I$4),
_xlpm.planned,SUMIFS(Planned!$F:$F,Planned!$B:$B,$B50,Planned!$E:$E,"&gt;="&amp;I$4,Planned!$E:$E,"&lt;="&amp;EOMONTH(I$4,0)),
IFERROR(_xlpm.recurring,0)+IFERROR(_xlpm.planned,0))</f>
        <v>0</v>
      </c>
      <c r="J50" s="105">
        <f ca="1">_xlfn.LET(
_xlpm.recurring,SUMIFS(INDEX(recurring_master!$A:$AF,,MATCH($B50,recurring_master!$A$1:$AF$1,0)),recurring_master!$A:$A,"&lt;="&amp;EOMONTH(J$4,0),recurring_master!$A:$A,"&gt;="&amp;J$4),
_xlpm.planned,SUMIFS(Planned!$F:$F,Planned!$B:$B,$B50,Planned!$E:$E,"&gt;="&amp;J$4,Planned!$E:$E,"&lt;="&amp;EOMONTH(J$4,0)),
IFERROR(_xlpm.recurring,0)+IFERROR(_xlpm.planned,0))</f>
        <v>0</v>
      </c>
      <c r="K50" s="105">
        <f ca="1">_xlfn.LET(
_xlpm.recurring,SUMIFS(INDEX(recurring_master!$A:$AF,,MATCH($B50,recurring_master!$A$1:$AF$1,0)),recurring_master!$A:$A,"&lt;="&amp;EOMONTH(K$4,0),recurring_master!$A:$A,"&gt;="&amp;K$4),
_xlpm.planned,SUMIFS(Planned!$F:$F,Planned!$B:$B,$B50,Planned!$E:$E,"&gt;="&amp;K$4,Planned!$E:$E,"&lt;="&amp;EOMONTH(K$4,0)),
IFERROR(_xlpm.recurring,0)+IFERROR(_xlpm.planned,0))</f>
        <v>0</v>
      </c>
      <c r="L50" s="105">
        <f ca="1">_xlfn.LET(
_xlpm.recurring,SUMIFS(INDEX(recurring_master!$A:$AF,,MATCH($B50,recurring_master!$A$1:$AF$1,0)),recurring_master!$A:$A,"&lt;="&amp;EOMONTH(L$4,0),recurring_master!$A:$A,"&gt;="&amp;L$4),
_xlpm.planned,SUMIFS(Planned!$F:$F,Planned!$B:$B,$B50,Planned!$E:$E,"&gt;="&amp;L$4,Planned!$E:$E,"&lt;="&amp;EOMONTH(L$4,0)),
IFERROR(_xlpm.recurring,0)+IFERROR(_xlpm.planned,0))</f>
        <v>0</v>
      </c>
      <c r="M50" s="105">
        <f ca="1">_xlfn.LET(
_xlpm.recurring,SUMIFS(INDEX(recurring_master!$A:$AF,,MATCH($B50,recurring_master!$A$1:$AF$1,0)),recurring_master!$A:$A,"&lt;="&amp;EOMONTH(M$4,0),recurring_master!$A:$A,"&gt;="&amp;M$4),
_xlpm.planned,SUMIFS(Planned!$F:$F,Planned!$B:$B,$B50,Planned!$E:$E,"&gt;="&amp;M$4,Planned!$E:$E,"&lt;="&amp;EOMONTH(M$4,0)),
IFERROR(_xlpm.recurring,0)+IFERROR(_xlpm.planned,0))</f>
        <v>0</v>
      </c>
      <c r="N50" s="105">
        <f ca="1">_xlfn.LET(
_xlpm.recurring,SUMIFS(INDEX(recurring_master!$A:$AF,,MATCH($B50,recurring_master!$A$1:$AF$1,0)),recurring_master!$A:$A,"&lt;="&amp;EOMONTH(N$4,0),recurring_master!$A:$A,"&gt;="&amp;N$4),
_xlpm.planned,SUMIFS(Planned!$F:$F,Planned!$B:$B,$B50,Planned!$E:$E,"&gt;="&amp;N$4,Planned!$E:$E,"&lt;="&amp;EOMONTH(N$4,0)),
IFERROR(_xlpm.recurring,0)+IFERROR(_xlpm.planned,0))</f>
        <v>0</v>
      </c>
      <c r="O50" s="96"/>
      <c r="P50" s="106">
        <f t="shared" ca="1" si="13"/>
        <v>0</v>
      </c>
      <c r="Q50" s="51"/>
      <c r="R50" s="42"/>
      <c r="U50" s="22"/>
    </row>
    <row r="51" spans="1:23" ht="5.0999999999999996" customHeight="1" x14ac:dyDescent="0.2">
      <c r="A51" s="226"/>
      <c r="B51" s="69"/>
      <c r="C51" s="96"/>
      <c r="D51" s="96"/>
      <c r="E51" s="96"/>
      <c r="F51" s="96"/>
      <c r="G51" s="96"/>
      <c r="H51" s="96"/>
      <c r="I51" s="96"/>
      <c r="J51" s="96"/>
      <c r="K51" s="96"/>
      <c r="L51" s="96"/>
      <c r="M51" s="96"/>
      <c r="N51" s="96"/>
      <c r="O51" s="96"/>
      <c r="P51" s="106"/>
      <c r="Q51" s="51"/>
      <c r="R51" s="42"/>
      <c r="W51" s="18"/>
    </row>
    <row r="52" spans="1:23" ht="12.75" customHeight="1" x14ac:dyDescent="0.2">
      <c r="A52" s="226"/>
      <c r="B52" s="79" t="s">
        <v>35</v>
      </c>
      <c r="C52" s="113">
        <f ca="1">SUM(C45:C51)</f>
        <v>0</v>
      </c>
      <c r="D52" s="113">
        <f t="shared" ref="D52:N52" ca="1" si="14">SUM(D45:D51)</f>
        <v>0</v>
      </c>
      <c r="E52" s="113">
        <f t="shared" ca="1" si="14"/>
        <v>0</v>
      </c>
      <c r="F52" s="113">
        <f t="shared" ca="1" si="14"/>
        <v>0</v>
      </c>
      <c r="G52" s="113">
        <f t="shared" ca="1" si="14"/>
        <v>0</v>
      </c>
      <c r="H52" s="113">
        <f t="shared" ca="1" si="14"/>
        <v>0</v>
      </c>
      <c r="I52" s="113">
        <f t="shared" ca="1" si="14"/>
        <v>0</v>
      </c>
      <c r="J52" s="113">
        <f t="shared" ca="1" si="14"/>
        <v>0</v>
      </c>
      <c r="K52" s="113">
        <f t="shared" ca="1" si="14"/>
        <v>0</v>
      </c>
      <c r="L52" s="113">
        <f t="shared" ca="1" si="14"/>
        <v>0</v>
      </c>
      <c r="M52" s="113">
        <f t="shared" ca="1" si="14"/>
        <v>0</v>
      </c>
      <c r="N52" s="114">
        <f t="shared" ca="1" si="14"/>
        <v>0</v>
      </c>
      <c r="O52" s="113"/>
      <c r="P52" s="115">
        <f ca="1">SUM(P49:P49)</f>
        <v>0</v>
      </c>
      <c r="Q52" s="51"/>
      <c r="R52" s="42"/>
      <c r="U52" s="22"/>
    </row>
    <row r="53" spans="1:23" ht="5.0999999999999996" customHeight="1" x14ac:dyDescent="0.2">
      <c r="A53" s="226"/>
      <c r="B53" s="67"/>
      <c r="C53" s="96"/>
      <c r="D53" s="96"/>
      <c r="E53" s="96"/>
      <c r="F53" s="96"/>
      <c r="G53" s="96"/>
      <c r="H53" s="96"/>
      <c r="I53" s="96"/>
      <c r="J53" s="96"/>
      <c r="K53" s="96"/>
      <c r="L53" s="96"/>
      <c r="M53" s="96"/>
      <c r="N53" s="96"/>
      <c r="O53" s="96"/>
      <c r="P53" s="96"/>
      <c r="Q53" s="51"/>
      <c r="R53" s="42"/>
    </row>
    <row r="54" spans="1:23" ht="12.75" customHeight="1" x14ac:dyDescent="0.2">
      <c r="A54" s="226"/>
      <c r="B54" s="76" t="s">
        <v>33</v>
      </c>
      <c r="C54" s="159"/>
      <c r="D54" s="159"/>
      <c r="E54" s="159"/>
      <c r="F54" s="159"/>
      <c r="G54" s="159"/>
      <c r="H54" s="159"/>
      <c r="I54" s="159"/>
      <c r="J54" s="159"/>
      <c r="K54" s="159"/>
      <c r="L54" s="159"/>
      <c r="M54" s="159"/>
      <c r="N54" s="159"/>
      <c r="O54" s="159"/>
      <c r="P54" s="160"/>
      <c r="Q54" s="51"/>
      <c r="R54" s="42"/>
      <c r="U54" s="22"/>
    </row>
    <row r="55" spans="1:23" ht="12.75" customHeight="1" x14ac:dyDescent="0.2">
      <c r="A55" s="227"/>
      <c r="B55" s="69" t="s">
        <v>1</v>
      </c>
      <c r="C55" s="105">
        <f ca="1">_xlfn.LET(
_xlpm.recurring,SUMIFS(INDEX(recurring_master!$A:$AF,,MATCH($B55,recurring_master!$A$1:$AF$1,0)),recurring_master!$A:$A,"&lt;="&amp;EOMONTH(C$4,0),recurring_master!$A:$A,"&gt;="&amp;C$4),
_xlpm.planned,SUMIFS(Planned!$F:$F,Planned!$B:$B,$B55,Planned!$E:$E,"&gt;="&amp;C$4,Planned!$E:$E,"&lt;="&amp;EOMONTH(C$4,0)),
IFERROR(_xlpm.recurring,0)+IFERROR(_xlpm.planned,0))</f>
        <v>0</v>
      </c>
      <c r="D55" s="105">
        <f ca="1">_xlfn.LET(
_xlpm.recurring,SUMIFS(INDEX(recurring_master!$A:$AF,,MATCH($B55,recurring_master!$A$1:$AF$1,0)),recurring_master!$A:$A,"&lt;="&amp;EOMONTH(D$4,0),recurring_master!$A:$A,"&gt;="&amp;D$4),
_xlpm.planned,SUMIFS(Planned!$F:$F,Planned!$B:$B,$B55,Planned!$E:$E,"&gt;="&amp;D$4,Planned!$E:$E,"&lt;="&amp;EOMONTH(D$4,0)),
IFERROR(_xlpm.recurring,0)+IFERROR(_xlpm.planned,0))</f>
        <v>0</v>
      </c>
      <c r="E55" s="105">
        <f ca="1">_xlfn.LET(
_xlpm.recurring,SUMIFS(INDEX(recurring_master!$A:$AF,,MATCH($B55,recurring_master!$A$1:$AF$1,0)),recurring_master!$A:$A,"&lt;="&amp;EOMONTH(E$4,0),recurring_master!$A:$A,"&gt;="&amp;E$4),
_xlpm.planned,SUMIFS(Planned!$F:$F,Planned!$B:$B,$B55,Planned!$E:$E,"&gt;="&amp;E$4,Planned!$E:$E,"&lt;="&amp;EOMONTH(E$4,0)),
IFERROR(_xlpm.recurring,0)+IFERROR(_xlpm.planned,0))</f>
        <v>0</v>
      </c>
      <c r="F55" s="105">
        <f ca="1">_xlfn.LET(
_xlpm.recurring,SUMIFS(INDEX(recurring_master!$A:$AF,,MATCH($B55,recurring_master!$A$1:$AF$1,0)),recurring_master!$A:$A,"&lt;="&amp;EOMONTH(F$4,0),recurring_master!$A:$A,"&gt;="&amp;F$4),
_xlpm.planned,SUMIFS(Planned!$F:$F,Planned!$B:$B,$B55,Planned!$E:$E,"&gt;="&amp;F$4,Planned!$E:$E,"&lt;="&amp;EOMONTH(F$4,0)),
IFERROR(_xlpm.recurring,0)+IFERROR(_xlpm.planned,0))</f>
        <v>0</v>
      </c>
      <c r="G55" s="105">
        <f ca="1">_xlfn.LET(
_xlpm.recurring,SUMIFS(INDEX(recurring_master!$A:$AF,,MATCH($B55,recurring_master!$A$1:$AF$1,0)),recurring_master!$A:$A,"&lt;="&amp;EOMONTH(G$4,0),recurring_master!$A:$A,"&gt;="&amp;G$4),
_xlpm.planned,SUMIFS(Planned!$F:$F,Planned!$B:$B,$B55,Planned!$E:$E,"&gt;="&amp;G$4,Planned!$E:$E,"&lt;="&amp;EOMONTH(G$4,0)),
IFERROR(_xlpm.recurring,0)+IFERROR(_xlpm.planned,0))</f>
        <v>0</v>
      </c>
      <c r="H55" s="105">
        <f ca="1">_xlfn.LET(
_xlpm.recurring,SUMIFS(INDEX(recurring_master!$A:$AF,,MATCH($B55,recurring_master!$A$1:$AF$1,0)),recurring_master!$A:$A,"&lt;="&amp;EOMONTH(H$4,0),recurring_master!$A:$A,"&gt;="&amp;H$4),
_xlpm.planned,SUMIFS(Planned!$F:$F,Planned!$B:$B,$B55,Planned!$E:$E,"&gt;="&amp;H$4,Planned!$E:$E,"&lt;="&amp;EOMONTH(H$4,0)),
IFERROR(_xlpm.recurring,0)+IFERROR(_xlpm.planned,0))</f>
        <v>0</v>
      </c>
      <c r="I55" s="105">
        <f ca="1">_xlfn.LET(
_xlpm.recurring,SUMIFS(INDEX(recurring_master!$A:$AF,,MATCH($B55,recurring_master!$A$1:$AF$1,0)),recurring_master!$A:$A,"&lt;="&amp;EOMONTH(I$4,0),recurring_master!$A:$A,"&gt;="&amp;I$4),
_xlpm.planned,SUMIFS(Planned!$F:$F,Planned!$B:$B,$B55,Planned!$E:$E,"&gt;="&amp;I$4,Planned!$E:$E,"&lt;="&amp;EOMONTH(I$4,0)),
IFERROR(_xlpm.recurring,0)+IFERROR(_xlpm.planned,0))</f>
        <v>0</v>
      </c>
      <c r="J55" s="105">
        <f ca="1">_xlfn.LET(
_xlpm.recurring,SUMIFS(INDEX(recurring_master!$A:$AF,,MATCH($B55,recurring_master!$A$1:$AF$1,0)),recurring_master!$A:$A,"&lt;="&amp;EOMONTH(J$4,0),recurring_master!$A:$A,"&gt;="&amp;J$4),
_xlpm.planned,SUMIFS(Planned!$F:$F,Planned!$B:$B,$B55,Planned!$E:$E,"&gt;="&amp;J$4,Planned!$E:$E,"&lt;="&amp;EOMONTH(J$4,0)),
IFERROR(_xlpm.recurring,0)+IFERROR(_xlpm.planned,0))</f>
        <v>0</v>
      </c>
      <c r="K55" s="105">
        <f ca="1">_xlfn.LET(
_xlpm.recurring,SUMIFS(INDEX(recurring_master!$A:$AF,,MATCH($B55,recurring_master!$A$1:$AF$1,0)),recurring_master!$A:$A,"&lt;="&amp;EOMONTH(K$4,0),recurring_master!$A:$A,"&gt;="&amp;K$4),
_xlpm.planned,SUMIFS(Planned!$F:$F,Planned!$B:$B,$B55,Planned!$E:$E,"&gt;="&amp;K$4,Planned!$E:$E,"&lt;="&amp;EOMONTH(K$4,0)),
IFERROR(_xlpm.recurring,0)+IFERROR(_xlpm.planned,0))</f>
        <v>0</v>
      </c>
      <c r="L55" s="105">
        <f ca="1">_xlfn.LET(
_xlpm.recurring,SUMIFS(INDEX(recurring_master!$A:$AF,,MATCH($B55,recurring_master!$A$1:$AF$1,0)),recurring_master!$A:$A,"&lt;="&amp;EOMONTH(L$4,0),recurring_master!$A:$A,"&gt;="&amp;L$4),
_xlpm.planned,SUMIFS(Planned!$F:$F,Planned!$B:$B,$B55,Planned!$E:$E,"&gt;="&amp;L$4,Planned!$E:$E,"&lt;="&amp;EOMONTH(L$4,0)),
IFERROR(_xlpm.recurring,0)+IFERROR(_xlpm.planned,0))</f>
        <v>0</v>
      </c>
      <c r="M55" s="105">
        <f ca="1">_xlfn.LET(
_xlpm.recurring,SUMIFS(INDEX(recurring_master!$A:$AF,,MATCH($B55,recurring_master!$A$1:$AF$1,0)),recurring_master!$A:$A,"&lt;="&amp;EOMONTH(M$4,0),recurring_master!$A:$A,"&gt;="&amp;M$4),
_xlpm.planned,SUMIFS(Planned!$F:$F,Planned!$B:$B,$B55,Planned!$E:$E,"&gt;="&amp;M$4,Planned!$E:$E,"&lt;="&amp;EOMONTH(M$4,0)),
IFERROR(_xlpm.recurring,0)+IFERROR(_xlpm.planned,0))</f>
        <v>0</v>
      </c>
      <c r="N55" s="105">
        <f ca="1">_xlfn.LET(
_xlpm.recurring,SUMIFS(INDEX(recurring_master!$A:$AF,,MATCH($B55,recurring_master!$A$1:$AF$1,0)),recurring_master!$A:$A,"&lt;="&amp;EOMONTH(N$4,0),recurring_master!$A:$A,"&gt;="&amp;N$4),
_xlpm.planned,SUMIFS(Planned!$F:$F,Planned!$B:$B,$B55,Planned!$E:$E,"&gt;="&amp;N$4,Planned!$E:$E,"&lt;="&amp;EOMONTH(N$4,0)),
IFERROR(_xlpm.recurring,0)+IFERROR(_xlpm.planned,0))</f>
        <v>0</v>
      </c>
      <c r="O55" s="96"/>
      <c r="P55" s="106">
        <f t="shared" ref="P55:P61" ca="1" si="15">SUM(C55:N55)</f>
        <v>0</v>
      </c>
      <c r="Q55" s="52"/>
      <c r="R55" s="42"/>
      <c r="U55" s="22"/>
    </row>
    <row r="56" spans="1:23" ht="12.75" customHeight="1" x14ac:dyDescent="0.2">
      <c r="A56" s="227"/>
      <c r="B56" s="69" t="s">
        <v>2</v>
      </c>
      <c r="C56" s="105">
        <f ca="1">_xlfn.LET(
_xlpm.recurring,SUMIFS(INDEX(recurring_master!$A:$AF,,MATCH($B56,recurring_master!$A$1:$AF$1,0)),recurring_master!$A:$A,"&lt;="&amp;EOMONTH(C$4,0),recurring_master!$A:$A,"&gt;="&amp;C$4),
_xlpm.planned,SUMIFS(Planned!$F:$F,Planned!$B:$B,$B56,Planned!$E:$E,"&gt;="&amp;C$4,Planned!$E:$E,"&lt;="&amp;EOMONTH(C$4,0)),
IFERROR(_xlpm.recurring,0)+IFERROR(_xlpm.planned,0))</f>
        <v>0</v>
      </c>
      <c r="D56" s="105">
        <f ca="1">_xlfn.LET(
_xlpm.recurring,SUMIFS(INDEX(recurring_master!$A:$AF,,MATCH($B56,recurring_master!$A$1:$AF$1,0)),recurring_master!$A:$A,"&lt;="&amp;EOMONTH(D$4,0),recurring_master!$A:$A,"&gt;="&amp;D$4),
_xlpm.planned,SUMIFS(Planned!$F:$F,Planned!$B:$B,$B56,Planned!$E:$E,"&gt;="&amp;D$4,Planned!$E:$E,"&lt;="&amp;EOMONTH(D$4,0)),
IFERROR(_xlpm.recurring,0)+IFERROR(_xlpm.planned,0))</f>
        <v>0</v>
      </c>
      <c r="E56" s="105">
        <f ca="1">_xlfn.LET(
_xlpm.recurring,SUMIFS(INDEX(recurring_master!$A:$AF,,MATCH($B56,recurring_master!$A$1:$AF$1,0)),recurring_master!$A:$A,"&lt;="&amp;EOMONTH(E$4,0),recurring_master!$A:$A,"&gt;="&amp;E$4),
_xlpm.planned,SUMIFS(Planned!$F:$F,Planned!$B:$B,$B56,Planned!$E:$E,"&gt;="&amp;E$4,Planned!$E:$E,"&lt;="&amp;EOMONTH(E$4,0)),
IFERROR(_xlpm.recurring,0)+IFERROR(_xlpm.planned,0))</f>
        <v>0</v>
      </c>
      <c r="F56" s="105">
        <f ca="1">_xlfn.LET(
_xlpm.recurring,SUMIFS(INDEX(recurring_master!$A:$AF,,MATCH($B56,recurring_master!$A$1:$AF$1,0)),recurring_master!$A:$A,"&lt;="&amp;EOMONTH(F$4,0),recurring_master!$A:$A,"&gt;="&amp;F$4),
_xlpm.planned,SUMIFS(Planned!$F:$F,Planned!$B:$B,$B56,Planned!$E:$E,"&gt;="&amp;F$4,Planned!$E:$E,"&lt;="&amp;EOMONTH(F$4,0)),
IFERROR(_xlpm.recurring,0)+IFERROR(_xlpm.planned,0))</f>
        <v>0</v>
      </c>
      <c r="G56" s="105">
        <f ca="1">_xlfn.LET(
_xlpm.recurring,SUMIFS(INDEX(recurring_master!$A:$AF,,MATCH($B56,recurring_master!$A$1:$AF$1,0)),recurring_master!$A:$A,"&lt;="&amp;EOMONTH(G$4,0),recurring_master!$A:$A,"&gt;="&amp;G$4),
_xlpm.planned,SUMIFS(Planned!$F:$F,Planned!$B:$B,$B56,Planned!$E:$E,"&gt;="&amp;G$4,Planned!$E:$E,"&lt;="&amp;EOMONTH(G$4,0)),
IFERROR(_xlpm.recurring,0)+IFERROR(_xlpm.planned,0))</f>
        <v>0</v>
      </c>
      <c r="H56" s="105">
        <f ca="1">_xlfn.LET(
_xlpm.recurring,SUMIFS(INDEX(recurring_master!$A:$AF,,MATCH($B56,recurring_master!$A$1:$AF$1,0)),recurring_master!$A:$A,"&lt;="&amp;EOMONTH(H$4,0),recurring_master!$A:$A,"&gt;="&amp;H$4),
_xlpm.planned,SUMIFS(Planned!$F:$F,Planned!$B:$B,$B56,Planned!$E:$E,"&gt;="&amp;H$4,Planned!$E:$E,"&lt;="&amp;EOMONTH(H$4,0)),
IFERROR(_xlpm.recurring,0)+IFERROR(_xlpm.planned,0))</f>
        <v>0</v>
      </c>
      <c r="I56" s="105">
        <f ca="1">_xlfn.LET(
_xlpm.recurring,SUMIFS(INDEX(recurring_master!$A:$AF,,MATCH($B56,recurring_master!$A$1:$AF$1,0)),recurring_master!$A:$A,"&lt;="&amp;EOMONTH(I$4,0),recurring_master!$A:$A,"&gt;="&amp;I$4),
_xlpm.planned,SUMIFS(Planned!$F:$F,Planned!$B:$B,$B56,Planned!$E:$E,"&gt;="&amp;I$4,Planned!$E:$E,"&lt;="&amp;EOMONTH(I$4,0)),
IFERROR(_xlpm.recurring,0)+IFERROR(_xlpm.planned,0))</f>
        <v>0</v>
      </c>
      <c r="J56" s="105">
        <f ca="1">_xlfn.LET(
_xlpm.recurring,SUMIFS(INDEX(recurring_master!$A:$AF,,MATCH($B56,recurring_master!$A$1:$AF$1,0)),recurring_master!$A:$A,"&lt;="&amp;EOMONTH(J$4,0),recurring_master!$A:$A,"&gt;="&amp;J$4),
_xlpm.planned,SUMIFS(Planned!$F:$F,Planned!$B:$B,$B56,Planned!$E:$E,"&gt;="&amp;J$4,Planned!$E:$E,"&lt;="&amp;EOMONTH(J$4,0)),
IFERROR(_xlpm.recurring,0)+IFERROR(_xlpm.planned,0))</f>
        <v>0</v>
      </c>
      <c r="K56" s="105">
        <f ca="1">_xlfn.LET(
_xlpm.recurring,SUMIFS(INDEX(recurring_master!$A:$AF,,MATCH($B56,recurring_master!$A$1:$AF$1,0)),recurring_master!$A:$A,"&lt;="&amp;EOMONTH(K$4,0),recurring_master!$A:$A,"&gt;="&amp;K$4),
_xlpm.planned,SUMIFS(Planned!$F:$F,Planned!$B:$B,$B56,Planned!$E:$E,"&gt;="&amp;K$4,Planned!$E:$E,"&lt;="&amp;EOMONTH(K$4,0)),
IFERROR(_xlpm.recurring,0)+IFERROR(_xlpm.planned,0))</f>
        <v>0</v>
      </c>
      <c r="L56" s="105">
        <f ca="1">_xlfn.LET(
_xlpm.recurring,SUMIFS(INDEX(recurring_master!$A:$AF,,MATCH($B56,recurring_master!$A$1:$AF$1,0)),recurring_master!$A:$A,"&lt;="&amp;EOMONTH(L$4,0),recurring_master!$A:$A,"&gt;="&amp;L$4),
_xlpm.planned,SUMIFS(Planned!$F:$F,Planned!$B:$B,$B56,Planned!$E:$E,"&gt;="&amp;L$4,Planned!$E:$E,"&lt;="&amp;EOMONTH(L$4,0)),
IFERROR(_xlpm.recurring,0)+IFERROR(_xlpm.planned,0))</f>
        <v>0</v>
      </c>
      <c r="M56" s="105">
        <f ca="1">_xlfn.LET(
_xlpm.recurring,SUMIFS(INDEX(recurring_master!$A:$AF,,MATCH($B56,recurring_master!$A$1:$AF$1,0)),recurring_master!$A:$A,"&lt;="&amp;EOMONTH(M$4,0),recurring_master!$A:$A,"&gt;="&amp;M$4),
_xlpm.planned,SUMIFS(Planned!$F:$F,Planned!$B:$B,$B56,Planned!$E:$E,"&gt;="&amp;M$4,Planned!$E:$E,"&lt;="&amp;EOMONTH(M$4,0)),
IFERROR(_xlpm.recurring,0)+IFERROR(_xlpm.planned,0))</f>
        <v>0</v>
      </c>
      <c r="N56" s="105">
        <f ca="1">_xlfn.LET(
_xlpm.recurring,SUMIFS(INDEX(recurring_master!$A:$AF,,MATCH($B56,recurring_master!$A$1:$AF$1,0)),recurring_master!$A:$A,"&lt;="&amp;EOMONTH(N$4,0),recurring_master!$A:$A,"&gt;="&amp;N$4),
_xlpm.planned,SUMIFS(Planned!$F:$F,Planned!$B:$B,$B56,Planned!$E:$E,"&gt;="&amp;N$4,Planned!$E:$E,"&lt;="&amp;EOMONTH(N$4,0)),
IFERROR(_xlpm.recurring,0)+IFERROR(_xlpm.planned,0))</f>
        <v>0</v>
      </c>
      <c r="O56" s="96"/>
      <c r="P56" s="106">
        <f t="shared" ca="1" si="15"/>
        <v>0</v>
      </c>
      <c r="Q56" s="52"/>
      <c r="R56" s="42"/>
      <c r="U56" s="22"/>
    </row>
    <row r="57" spans="1:23" ht="12.75" customHeight="1" x14ac:dyDescent="0.2">
      <c r="A57" s="226"/>
      <c r="B57" s="69" t="s">
        <v>262</v>
      </c>
      <c r="C57" s="105">
        <f ca="1">_xlfn.LET(
_xlpm.recurring,SUMIFS(INDEX(recurring_master!$A:$AF,,MATCH($B57,recurring_master!$A$1:$AF$1,0)),recurring_master!$A:$A,"&lt;="&amp;EOMONTH(C$4,0),recurring_master!$A:$A,"&gt;="&amp;C$4),
_xlpm.planned,SUMIFS(Planned!$F:$F,Planned!$B:$B,$B57,Planned!$E:$E,"&gt;="&amp;C$4,Planned!$E:$E,"&lt;="&amp;EOMONTH(C$4,0)),
IFERROR(_xlpm.recurring,0)+IFERROR(_xlpm.planned,0))</f>
        <v>0</v>
      </c>
      <c r="D57" s="105">
        <f ca="1">_xlfn.LET(
_xlpm.recurring,SUMIFS(INDEX(recurring_master!$A:$AF,,MATCH($B57,recurring_master!$A$1:$AF$1,0)),recurring_master!$A:$A,"&lt;="&amp;EOMONTH(D$4,0),recurring_master!$A:$A,"&gt;="&amp;D$4),
_xlpm.planned,SUMIFS(Planned!$F:$F,Planned!$B:$B,$B57,Planned!$E:$E,"&gt;="&amp;D$4,Planned!$E:$E,"&lt;="&amp;EOMONTH(D$4,0)),
IFERROR(_xlpm.recurring,0)+IFERROR(_xlpm.planned,0))</f>
        <v>0</v>
      </c>
      <c r="E57" s="105">
        <f ca="1">_xlfn.LET(
_xlpm.recurring,SUMIFS(INDEX(recurring_master!$A:$AF,,MATCH($B57,recurring_master!$A$1:$AF$1,0)),recurring_master!$A:$A,"&lt;="&amp;EOMONTH(E$4,0),recurring_master!$A:$A,"&gt;="&amp;E$4),
_xlpm.planned,SUMIFS(Planned!$F:$F,Planned!$B:$B,$B57,Planned!$E:$E,"&gt;="&amp;E$4,Planned!$E:$E,"&lt;="&amp;EOMONTH(E$4,0)),
IFERROR(_xlpm.recurring,0)+IFERROR(_xlpm.planned,0))</f>
        <v>0</v>
      </c>
      <c r="F57" s="105">
        <f ca="1">_xlfn.LET(
_xlpm.recurring,SUMIFS(INDEX(recurring_master!$A:$AF,,MATCH($B57,recurring_master!$A$1:$AF$1,0)),recurring_master!$A:$A,"&lt;="&amp;EOMONTH(F$4,0),recurring_master!$A:$A,"&gt;="&amp;F$4),
_xlpm.planned,SUMIFS(Planned!$F:$F,Planned!$B:$B,$B57,Planned!$E:$E,"&gt;="&amp;F$4,Planned!$E:$E,"&lt;="&amp;EOMONTH(F$4,0)),
IFERROR(_xlpm.recurring,0)+IFERROR(_xlpm.planned,0))</f>
        <v>0</v>
      </c>
      <c r="G57" s="105">
        <f ca="1">_xlfn.LET(
_xlpm.recurring,SUMIFS(INDEX(recurring_master!$A:$AF,,MATCH($B57,recurring_master!$A$1:$AF$1,0)),recurring_master!$A:$A,"&lt;="&amp;EOMONTH(G$4,0),recurring_master!$A:$A,"&gt;="&amp;G$4),
_xlpm.planned,SUMIFS(Planned!$F:$F,Planned!$B:$B,$B57,Planned!$E:$E,"&gt;="&amp;G$4,Planned!$E:$E,"&lt;="&amp;EOMONTH(G$4,0)),
IFERROR(_xlpm.recurring,0)+IFERROR(_xlpm.planned,0))</f>
        <v>0</v>
      </c>
      <c r="H57" s="105">
        <f ca="1">_xlfn.LET(
_xlpm.recurring,SUMIFS(INDEX(recurring_master!$A:$AF,,MATCH($B57,recurring_master!$A$1:$AF$1,0)),recurring_master!$A:$A,"&lt;="&amp;EOMONTH(H$4,0),recurring_master!$A:$A,"&gt;="&amp;H$4),
_xlpm.planned,SUMIFS(Planned!$F:$F,Planned!$B:$B,$B57,Planned!$E:$E,"&gt;="&amp;H$4,Planned!$E:$E,"&lt;="&amp;EOMONTH(H$4,0)),
IFERROR(_xlpm.recurring,0)+IFERROR(_xlpm.planned,0))</f>
        <v>0</v>
      </c>
      <c r="I57" s="105">
        <f ca="1">_xlfn.LET(
_xlpm.recurring,SUMIFS(INDEX(recurring_master!$A:$AF,,MATCH($B57,recurring_master!$A$1:$AF$1,0)),recurring_master!$A:$A,"&lt;="&amp;EOMONTH(I$4,0),recurring_master!$A:$A,"&gt;="&amp;I$4),
_xlpm.planned,SUMIFS(Planned!$F:$F,Planned!$B:$B,$B57,Planned!$E:$E,"&gt;="&amp;I$4,Planned!$E:$E,"&lt;="&amp;EOMONTH(I$4,0)),
IFERROR(_xlpm.recurring,0)+IFERROR(_xlpm.planned,0))</f>
        <v>0</v>
      </c>
      <c r="J57" s="105">
        <f ca="1">_xlfn.LET(
_xlpm.recurring,SUMIFS(INDEX(recurring_master!$A:$AF,,MATCH($B57,recurring_master!$A$1:$AF$1,0)),recurring_master!$A:$A,"&lt;="&amp;EOMONTH(J$4,0),recurring_master!$A:$A,"&gt;="&amp;J$4),
_xlpm.planned,SUMIFS(Planned!$F:$F,Planned!$B:$B,$B57,Planned!$E:$E,"&gt;="&amp;J$4,Planned!$E:$E,"&lt;="&amp;EOMONTH(J$4,0)),
IFERROR(_xlpm.recurring,0)+IFERROR(_xlpm.planned,0))</f>
        <v>0</v>
      </c>
      <c r="K57" s="105">
        <f ca="1">_xlfn.LET(
_xlpm.recurring,SUMIFS(INDEX(recurring_master!$A:$AF,,MATCH($B57,recurring_master!$A$1:$AF$1,0)),recurring_master!$A:$A,"&lt;="&amp;EOMONTH(K$4,0),recurring_master!$A:$A,"&gt;="&amp;K$4),
_xlpm.planned,SUMIFS(Planned!$F:$F,Planned!$B:$B,$B57,Planned!$E:$E,"&gt;="&amp;K$4,Planned!$E:$E,"&lt;="&amp;EOMONTH(K$4,0)),
IFERROR(_xlpm.recurring,0)+IFERROR(_xlpm.planned,0))</f>
        <v>0</v>
      </c>
      <c r="L57" s="105">
        <f ca="1">_xlfn.LET(
_xlpm.recurring,SUMIFS(INDEX(recurring_master!$A:$AF,,MATCH($B57,recurring_master!$A$1:$AF$1,0)),recurring_master!$A:$A,"&lt;="&amp;EOMONTH(L$4,0),recurring_master!$A:$A,"&gt;="&amp;L$4),
_xlpm.planned,SUMIFS(Planned!$F:$F,Planned!$B:$B,$B57,Planned!$E:$E,"&gt;="&amp;L$4,Planned!$E:$E,"&lt;="&amp;EOMONTH(L$4,0)),
IFERROR(_xlpm.recurring,0)+IFERROR(_xlpm.planned,0))</f>
        <v>0</v>
      </c>
      <c r="M57" s="105">
        <f ca="1">_xlfn.LET(
_xlpm.recurring,SUMIFS(INDEX(recurring_master!$A:$AF,,MATCH($B57,recurring_master!$A$1:$AF$1,0)),recurring_master!$A:$A,"&lt;="&amp;EOMONTH(M$4,0),recurring_master!$A:$A,"&gt;="&amp;M$4),
_xlpm.planned,SUMIFS(Planned!$F:$F,Planned!$B:$B,$B57,Planned!$E:$E,"&gt;="&amp;M$4,Planned!$E:$E,"&lt;="&amp;EOMONTH(M$4,0)),
IFERROR(_xlpm.recurring,0)+IFERROR(_xlpm.planned,0))</f>
        <v>0</v>
      </c>
      <c r="N57" s="105">
        <f ca="1">_xlfn.LET(
_xlpm.recurring,SUMIFS(INDEX(recurring_master!$A:$AF,,MATCH($B57,recurring_master!$A$1:$AF$1,0)),recurring_master!$A:$A,"&lt;="&amp;EOMONTH(N$4,0),recurring_master!$A:$A,"&gt;="&amp;N$4),
_xlpm.planned,SUMIFS(Planned!$F:$F,Planned!$B:$B,$B57,Planned!$E:$E,"&gt;="&amp;N$4,Planned!$E:$E,"&lt;="&amp;EOMONTH(N$4,0)),
IFERROR(_xlpm.recurring,0)+IFERROR(_xlpm.planned,0))</f>
        <v>0</v>
      </c>
      <c r="O57" s="96"/>
      <c r="P57" s="106">
        <f t="shared" ca="1" si="15"/>
        <v>0</v>
      </c>
      <c r="Q57" s="51"/>
      <c r="R57" s="42"/>
      <c r="U57" s="22"/>
    </row>
    <row r="58" spans="1:23" ht="12.75" customHeight="1" x14ac:dyDescent="0.2">
      <c r="A58" s="226"/>
      <c r="B58" s="69" t="s">
        <v>288</v>
      </c>
      <c r="C58" s="105">
        <f ca="1">_xlfn.LET(
_xlpm.recurring,SUMIFS(INDEX(recurring_master!$A:$AF,,MATCH($B58,recurring_master!$A$1:$AF$1,0)),recurring_master!$A:$A,"&lt;="&amp;EOMONTH(C$4,0),recurring_master!$A:$A,"&gt;="&amp;C$4),
_xlpm.planned,SUMIFS(Planned!$F:$F,Planned!$B:$B,$B58,Planned!$E:$E,"&gt;="&amp;C$4,Planned!$E:$E,"&lt;="&amp;EOMONTH(C$4,0)),
IFERROR(_xlpm.recurring,0)+IFERROR(_xlpm.planned,0))</f>
        <v>0</v>
      </c>
      <c r="D58" s="105">
        <f ca="1">_xlfn.LET(
_xlpm.recurring,SUMIFS(INDEX(recurring_master!$A:$AF,,MATCH($B58,recurring_master!$A$1:$AF$1,0)),recurring_master!$A:$A,"&lt;="&amp;EOMONTH(D$4,0),recurring_master!$A:$A,"&gt;="&amp;D$4),
_xlpm.planned,SUMIFS(Planned!$F:$F,Planned!$B:$B,$B58,Planned!$E:$E,"&gt;="&amp;D$4,Planned!$E:$E,"&lt;="&amp;EOMONTH(D$4,0)),
IFERROR(_xlpm.recurring,0)+IFERROR(_xlpm.planned,0))</f>
        <v>0</v>
      </c>
      <c r="E58" s="105">
        <f ca="1">_xlfn.LET(
_xlpm.recurring,SUMIFS(INDEX(recurring_master!$A:$AF,,MATCH($B58,recurring_master!$A$1:$AF$1,0)),recurring_master!$A:$A,"&lt;="&amp;EOMONTH(E$4,0),recurring_master!$A:$A,"&gt;="&amp;E$4),
_xlpm.planned,SUMIFS(Planned!$F:$F,Planned!$B:$B,$B58,Planned!$E:$E,"&gt;="&amp;E$4,Planned!$E:$E,"&lt;="&amp;EOMONTH(E$4,0)),
IFERROR(_xlpm.recurring,0)+IFERROR(_xlpm.planned,0))</f>
        <v>0</v>
      </c>
      <c r="F58" s="105">
        <f ca="1">_xlfn.LET(
_xlpm.recurring,SUMIFS(INDEX(recurring_master!$A:$AF,,MATCH($B58,recurring_master!$A$1:$AF$1,0)),recurring_master!$A:$A,"&lt;="&amp;EOMONTH(F$4,0),recurring_master!$A:$A,"&gt;="&amp;F$4),
_xlpm.planned,SUMIFS(Planned!$F:$F,Planned!$B:$B,$B58,Planned!$E:$E,"&gt;="&amp;F$4,Planned!$E:$E,"&lt;="&amp;EOMONTH(F$4,0)),
IFERROR(_xlpm.recurring,0)+IFERROR(_xlpm.planned,0))</f>
        <v>0</v>
      </c>
      <c r="G58" s="105">
        <f ca="1">_xlfn.LET(
_xlpm.recurring,SUMIFS(INDEX(recurring_master!$A:$AF,,MATCH($B58,recurring_master!$A$1:$AF$1,0)),recurring_master!$A:$A,"&lt;="&amp;EOMONTH(G$4,0),recurring_master!$A:$A,"&gt;="&amp;G$4),
_xlpm.planned,SUMIFS(Planned!$F:$F,Planned!$B:$B,$B58,Planned!$E:$E,"&gt;="&amp;G$4,Planned!$E:$E,"&lt;="&amp;EOMONTH(G$4,0)),
IFERROR(_xlpm.recurring,0)+IFERROR(_xlpm.planned,0))</f>
        <v>0</v>
      </c>
      <c r="H58" s="105">
        <f ca="1">_xlfn.LET(
_xlpm.recurring,SUMIFS(INDEX(recurring_master!$A:$AF,,MATCH($B58,recurring_master!$A$1:$AF$1,0)),recurring_master!$A:$A,"&lt;="&amp;EOMONTH(H$4,0),recurring_master!$A:$A,"&gt;="&amp;H$4),
_xlpm.planned,SUMIFS(Planned!$F:$F,Planned!$B:$B,$B58,Planned!$E:$E,"&gt;="&amp;H$4,Planned!$E:$E,"&lt;="&amp;EOMONTH(H$4,0)),
IFERROR(_xlpm.recurring,0)+IFERROR(_xlpm.planned,0))</f>
        <v>0</v>
      </c>
      <c r="I58" s="105">
        <f ca="1">_xlfn.LET(
_xlpm.recurring,SUMIFS(INDEX(recurring_master!$A:$AF,,MATCH($B58,recurring_master!$A$1:$AF$1,0)),recurring_master!$A:$A,"&lt;="&amp;EOMONTH(I$4,0),recurring_master!$A:$A,"&gt;="&amp;I$4),
_xlpm.planned,SUMIFS(Planned!$F:$F,Planned!$B:$B,$B58,Planned!$E:$E,"&gt;="&amp;I$4,Planned!$E:$E,"&lt;="&amp;EOMONTH(I$4,0)),
IFERROR(_xlpm.recurring,0)+IFERROR(_xlpm.planned,0))</f>
        <v>0</v>
      </c>
      <c r="J58" s="105">
        <f ca="1">_xlfn.LET(
_xlpm.recurring,SUMIFS(INDEX(recurring_master!$A:$AF,,MATCH($B58,recurring_master!$A$1:$AF$1,0)),recurring_master!$A:$A,"&lt;="&amp;EOMONTH(J$4,0),recurring_master!$A:$A,"&gt;="&amp;J$4),
_xlpm.planned,SUMIFS(Planned!$F:$F,Planned!$B:$B,$B58,Planned!$E:$E,"&gt;="&amp;J$4,Planned!$E:$E,"&lt;="&amp;EOMONTH(J$4,0)),
IFERROR(_xlpm.recurring,0)+IFERROR(_xlpm.planned,0))</f>
        <v>0</v>
      </c>
      <c r="K58" s="105">
        <f ca="1">_xlfn.LET(
_xlpm.recurring,SUMIFS(INDEX(recurring_master!$A:$AF,,MATCH($B58,recurring_master!$A$1:$AF$1,0)),recurring_master!$A:$A,"&lt;="&amp;EOMONTH(K$4,0),recurring_master!$A:$A,"&gt;="&amp;K$4),
_xlpm.planned,SUMIFS(Planned!$F:$F,Planned!$B:$B,$B58,Planned!$E:$E,"&gt;="&amp;K$4,Planned!$E:$E,"&lt;="&amp;EOMONTH(K$4,0)),
IFERROR(_xlpm.recurring,0)+IFERROR(_xlpm.planned,0))</f>
        <v>0</v>
      </c>
      <c r="L58" s="105">
        <f ca="1">_xlfn.LET(
_xlpm.recurring,SUMIFS(INDEX(recurring_master!$A:$AF,,MATCH($B58,recurring_master!$A$1:$AF$1,0)),recurring_master!$A:$A,"&lt;="&amp;EOMONTH(L$4,0),recurring_master!$A:$A,"&gt;="&amp;L$4),
_xlpm.planned,SUMIFS(Planned!$F:$F,Planned!$B:$B,$B58,Planned!$E:$E,"&gt;="&amp;L$4,Planned!$E:$E,"&lt;="&amp;EOMONTH(L$4,0)),
IFERROR(_xlpm.recurring,0)+IFERROR(_xlpm.planned,0))</f>
        <v>0</v>
      </c>
      <c r="M58" s="105">
        <f ca="1">_xlfn.LET(
_xlpm.recurring,SUMIFS(INDEX(recurring_master!$A:$AF,,MATCH($B58,recurring_master!$A$1:$AF$1,0)),recurring_master!$A:$A,"&lt;="&amp;EOMONTH(M$4,0),recurring_master!$A:$A,"&gt;="&amp;M$4),
_xlpm.planned,SUMIFS(Planned!$F:$F,Planned!$B:$B,$B58,Planned!$E:$E,"&gt;="&amp;M$4,Planned!$E:$E,"&lt;="&amp;EOMONTH(M$4,0)),
IFERROR(_xlpm.recurring,0)+IFERROR(_xlpm.planned,0))</f>
        <v>0</v>
      </c>
      <c r="N58" s="105">
        <f ca="1">_xlfn.LET(
_xlpm.recurring,SUMIFS(INDEX(recurring_master!$A:$AF,,MATCH($B58,recurring_master!$A$1:$AF$1,0)),recurring_master!$A:$A,"&lt;="&amp;EOMONTH(N$4,0),recurring_master!$A:$A,"&gt;="&amp;N$4),
_xlpm.planned,SUMIFS(Planned!$F:$F,Planned!$B:$B,$B58,Planned!$E:$E,"&gt;="&amp;N$4,Planned!$E:$E,"&lt;="&amp;EOMONTH(N$4,0)),
IFERROR(_xlpm.recurring,0)+IFERROR(_xlpm.planned,0))</f>
        <v>0</v>
      </c>
      <c r="O58" s="96"/>
      <c r="P58" s="106">
        <f t="shared" ca="1" si="15"/>
        <v>0</v>
      </c>
      <c r="Q58" s="51"/>
      <c r="R58" s="42"/>
      <c r="U58" s="22"/>
    </row>
    <row r="59" spans="1:23" ht="12.75" customHeight="1" x14ac:dyDescent="0.2">
      <c r="A59" s="226"/>
      <c r="B59" s="69" t="s">
        <v>289</v>
      </c>
      <c r="C59" s="105">
        <f ca="1">_xlfn.LET(
_xlpm.recurring,SUMIFS(INDEX(recurring_master!$A:$AF,,MATCH($B59,recurring_master!$A$1:$AF$1,0)),recurring_master!$A:$A,"&lt;="&amp;EOMONTH(C$4,0),recurring_master!$A:$A,"&gt;="&amp;C$4),
_xlpm.planned,SUMIFS(Planned!$F:$F,Planned!$B:$B,$B59,Planned!$E:$E,"&gt;="&amp;C$4,Planned!$E:$E,"&lt;="&amp;EOMONTH(C$4,0)),
IFERROR(_xlpm.recurring,0)+IFERROR(_xlpm.planned,0))</f>
        <v>0</v>
      </c>
      <c r="D59" s="105">
        <f ca="1">_xlfn.LET(
_xlpm.recurring,SUMIFS(INDEX(recurring_master!$A:$AF,,MATCH($B59,recurring_master!$A$1:$AF$1,0)),recurring_master!$A:$A,"&lt;="&amp;EOMONTH(D$4,0),recurring_master!$A:$A,"&gt;="&amp;D$4),
_xlpm.planned,SUMIFS(Planned!$F:$F,Planned!$B:$B,$B59,Planned!$E:$E,"&gt;="&amp;D$4,Planned!$E:$E,"&lt;="&amp;EOMONTH(D$4,0)),
IFERROR(_xlpm.recurring,0)+IFERROR(_xlpm.planned,0))</f>
        <v>0</v>
      </c>
      <c r="E59" s="105">
        <f ca="1">_xlfn.LET(
_xlpm.recurring,SUMIFS(INDEX(recurring_master!$A:$AF,,MATCH($B59,recurring_master!$A$1:$AF$1,0)),recurring_master!$A:$A,"&lt;="&amp;EOMONTH(E$4,0),recurring_master!$A:$A,"&gt;="&amp;E$4),
_xlpm.planned,SUMIFS(Planned!$F:$F,Planned!$B:$B,$B59,Planned!$E:$E,"&gt;="&amp;E$4,Planned!$E:$E,"&lt;="&amp;EOMONTH(E$4,0)),
IFERROR(_xlpm.recurring,0)+IFERROR(_xlpm.planned,0))</f>
        <v>0</v>
      </c>
      <c r="F59" s="105">
        <f ca="1">_xlfn.LET(
_xlpm.recurring,SUMIFS(INDEX(recurring_master!$A:$AF,,MATCH($B59,recurring_master!$A$1:$AF$1,0)),recurring_master!$A:$A,"&lt;="&amp;EOMONTH(F$4,0),recurring_master!$A:$A,"&gt;="&amp;F$4),
_xlpm.planned,SUMIFS(Planned!$F:$F,Planned!$B:$B,$B59,Planned!$E:$E,"&gt;="&amp;F$4,Planned!$E:$E,"&lt;="&amp;EOMONTH(F$4,0)),
IFERROR(_xlpm.recurring,0)+IFERROR(_xlpm.planned,0))</f>
        <v>0</v>
      </c>
      <c r="G59" s="105">
        <f ca="1">_xlfn.LET(
_xlpm.recurring,SUMIFS(INDEX(recurring_master!$A:$AF,,MATCH($B59,recurring_master!$A$1:$AF$1,0)),recurring_master!$A:$A,"&lt;="&amp;EOMONTH(G$4,0),recurring_master!$A:$A,"&gt;="&amp;G$4),
_xlpm.planned,SUMIFS(Planned!$F:$F,Planned!$B:$B,$B59,Planned!$E:$E,"&gt;="&amp;G$4,Planned!$E:$E,"&lt;="&amp;EOMONTH(G$4,0)),
IFERROR(_xlpm.recurring,0)+IFERROR(_xlpm.planned,0))</f>
        <v>0</v>
      </c>
      <c r="H59" s="105">
        <f ca="1">_xlfn.LET(
_xlpm.recurring,SUMIFS(INDEX(recurring_master!$A:$AF,,MATCH($B59,recurring_master!$A$1:$AF$1,0)),recurring_master!$A:$A,"&lt;="&amp;EOMONTH(H$4,0),recurring_master!$A:$A,"&gt;="&amp;H$4),
_xlpm.planned,SUMIFS(Planned!$F:$F,Planned!$B:$B,$B59,Planned!$E:$E,"&gt;="&amp;H$4,Planned!$E:$E,"&lt;="&amp;EOMONTH(H$4,0)),
IFERROR(_xlpm.recurring,0)+IFERROR(_xlpm.planned,0))</f>
        <v>0</v>
      </c>
      <c r="I59" s="105">
        <f ca="1">_xlfn.LET(
_xlpm.recurring,SUMIFS(INDEX(recurring_master!$A:$AF,,MATCH($B59,recurring_master!$A$1:$AF$1,0)),recurring_master!$A:$A,"&lt;="&amp;EOMONTH(I$4,0),recurring_master!$A:$A,"&gt;="&amp;I$4),
_xlpm.planned,SUMIFS(Planned!$F:$F,Planned!$B:$B,$B59,Planned!$E:$E,"&gt;="&amp;I$4,Planned!$E:$E,"&lt;="&amp;EOMONTH(I$4,0)),
IFERROR(_xlpm.recurring,0)+IFERROR(_xlpm.planned,0))</f>
        <v>0</v>
      </c>
      <c r="J59" s="105">
        <f ca="1">_xlfn.LET(
_xlpm.recurring,SUMIFS(INDEX(recurring_master!$A:$AF,,MATCH($B59,recurring_master!$A$1:$AF$1,0)),recurring_master!$A:$A,"&lt;="&amp;EOMONTH(J$4,0),recurring_master!$A:$A,"&gt;="&amp;J$4),
_xlpm.planned,SUMIFS(Planned!$F:$F,Planned!$B:$B,$B59,Planned!$E:$E,"&gt;="&amp;J$4,Planned!$E:$E,"&lt;="&amp;EOMONTH(J$4,0)),
IFERROR(_xlpm.recurring,0)+IFERROR(_xlpm.planned,0))</f>
        <v>0</v>
      </c>
      <c r="K59" s="105">
        <f ca="1">_xlfn.LET(
_xlpm.recurring,SUMIFS(INDEX(recurring_master!$A:$AF,,MATCH($B59,recurring_master!$A$1:$AF$1,0)),recurring_master!$A:$A,"&lt;="&amp;EOMONTH(K$4,0),recurring_master!$A:$A,"&gt;="&amp;K$4),
_xlpm.planned,SUMIFS(Planned!$F:$F,Planned!$B:$B,$B59,Planned!$E:$E,"&gt;="&amp;K$4,Planned!$E:$E,"&lt;="&amp;EOMONTH(K$4,0)),
IFERROR(_xlpm.recurring,0)+IFERROR(_xlpm.planned,0))</f>
        <v>0</v>
      </c>
      <c r="L59" s="105">
        <f ca="1">_xlfn.LET(
_xlpm.recurring,SUMIFS(INDEX(recurring_master!$A:$AF,,MATCH($B59,recurring_master!$A$1:$AF$1,0)),recurring_master!$A:$A,"&lt;="&amp;EOMONTH(L$4,0),recurring_master!$A:$A,"&gt;="&amp;L$4),
_xlpm.planned,SUMIFS(Planned!$F:$F,Planned!$B:$B,$B59,Planned!$E:$E,"&gt;="&amp;L$4,Planned!$E:$E,"&lt;="&amp;EOMONTH(L$4,0)),
IFERROR(_xlpm.recurring,0)+IFERROR(_xlpm.planned,0))</f>
        <v>0</v>
      </c>
      <c r="M59" s="105">
        <f ca="1">_xlfn.LET(
_xlpm.recurring,SUMIFS(INDEX(recurring_master!$A:$AF,,MATCH($B59,recurring_master!$A$1:$AF$1,0)),recurring_master!$A:$A,"&lt;="&amp;EOMONTH(M$4,0),recurring_master!$A:$A,"&gt;="&amp;M$4),
_xlpm.planned,SUMIFS(Planned!$F:$F,Planned!$B:$B,$B59,Planned!$E:$E,"&gt;="&amp;M$4,Planned!$E:$E,"&lt;="&amp;EOMONTH(M$4,0)),
IFERROR(_xlpm.recurring,0)+IFERROR(_xlpm.planned,0))</f>
        <v>0</v>
      </c>
      <c r="N59" s="105">
        <f ca="1">_xlfn.LET(
_xlpm.recurring,SUMIFS(INDEX(recurring_master!$A:$AF,,MATCH($B59,recurring_master!$A$1:$AF$1,0)),recurring_master!$A:$A,"&lt;="&amp;EOMONTH(N$4,0),recurring_master!$A:$A,"&gt;="&amp;N$4),
_xlpm.planned,SUMIFS(Planned!$F:$F,Planned!$B:$B,$B59,Planned!$E:$E,"&gt;="&amp;N$4,Planned!$E:$E,"&lt;="&amp;EOMONTH(N$4,0)),
IFERROR(_xlpm.recurring,0)+IFERROR(_xlpm.planned,0))</f>
        <v>0</v>
      </c>
      <c r="O59" s="96"/>
      <c r="P59" s="106">
        <f t="shared" ca="1" si="15"/>
        <v>0</v>
      </c>
      <c r="Q59" s="51"/>
      <c r="R59" s="42"/>
      <c r="U59" s="22"/>
    </row>
    <row r="60" spans="1:23" ht="12.75" customHeight="1" x14ac:dyDescent="0.2">
      <c r="A60" s="226"/>
      <c r="B60" s="69" t="s">
        <v>276</v>
      </c>
      <c r="C60" s="105">
        <f ca="1">_xlfn.LET(
_xlpm.recurring,SUMIFS(INDEX(recurring_master!$A:$AF,,MATCH($B60,recurring_master!$A$1:$AF$1,0)),recurring_master!$A:$A,"&lt;="&amp;EOMONTH(C$4,0),recurring_master!$A:$A,"&gt;="&amp;C$4),
_xlpm.planned,SUMIFS(Planned!$F:$F,Planned!$B:$B,$B60,Planned!$E:$E,"&gt;="&amp;C$4,Planned!$E:$E,"&lt;="&amp;EOMONTH(C$4,0)),
IFERROR(_xlpm.recurring,0)+IFERROR(_xlpm.planned,0))</f>
        <v>0</v>
      </c>
      <c r="D60" s="105">
        <f ca="1">_xlfn.LET(
_xlpm.recurring,SUMIFS(INDEX(recurring_master!$A:$AF,,MATCH($B60,recurring_master!$A$1:$AF$1,0)),recurring_master!$A:$A,"&lt;="&amp;EOMONTH(D$4,0),recurring_master!$A:$A,"&gt;="&amp;D$4),
_xlpm.planned,SUMIFS(Planned!$F:$F,Planned!$B:$B,$B60,Planned!$E:$E,"&gt;="&amp;D$4,Planned!$E:$E,"&lt;="&amp;EOMONTH(D$4,0)),
IFERROR(_xlpm.recurring,0)+IFERROR(_xlpm.planned,0))</f>
        <v>0</v>
      </c>
      <c r="E60" s="105">
        <f ca="1">_xlfn.LET(
_xlpm.recurring,SUMIFS(INDEX(recurring_master!$A:$AF,,MATCH($B60,recurring_master!$A$1:$AF$1,0)),recurring_master!$A:$A,"&lt;="&amp;EOMONTH(E$4,0),recurring_master!$A:$A,"&gt;="&amp;E$4),
_xlpm.planned,SUMIFS(Planned!$F:$F,Planned!$B:$B,$B60,Planned!$E:$E,"&gt;="&amp;E$4,Planned!$E:$E,"&lt;="&amp;EOMONTH(E$4,0)),
IFERROR(_xlpm.recurring,0)+IFERROR(_xlpm.planned,0))</f>
        <v>0</v>
      </c>
      <c r="F60" s="105">
        <f ca="1">_xlfn.LET(
_xlpm.recurring,SUMIFS(INDEX(recurring_master!$A:$AF,,MATCH($B60,recurring_master!$A$1:$AF$1,0)),recurring_master!$A:$A,"&lt;="&amp;EOMONTH(F$4,0),recurring_master!$A:$A,"&gt;="&amp;F$4),
_xlpm.planned,SUMIFS(Planned!$F:$F,Planned!$B:$B,$B60,Planned!$E:$E,"&gt;="&amp;F$4,Planned!$E:$E,"&lt;="&amp;EOMONTH(F$4,0)),
IFERROR(_xlpm.recurring,0)+IFERROR(_xlpm.planned,0))</f>
        <v>0</v>
      </c>
      <c r="G60" s="105">
        <f ca="1">_xlfn.LET(
_xlpm.recurring,SUMIFS(INDEX(recurring_master!$A:$AF,,MATCH($B60,recurring_master!$A$1:$AF$1,0)),recurring_master!$A:$A,"&lt;="&amp;EOMONTH(G$4,0),recurring_master!$A:$A,"&gt;="&amp;G$4),
_xlpm.planned,SUMIFS(Planned!$F:$F,Planned!$B:$B,$B60,Planned!$E:$E,"&gt;="&amp;G$4,Planned!$E:$E,"&lt;="&amp;EOMONTH(G$4,0)),
IFERROR(_xlpm.recurring,0)+IFERROR(_xlpm.planned,0))</f>
        <v>0</v>
      </c>
      <c r="H60" s="105">
        <f ca="1">_xlfn.LET(
_xlpm.recurring,SUMIFS(INDEX(recurring_master!$A:$AF,,MATCH($B60,recurring_master!$A$1:$AF$1,0)),recurring_master!$A:$A,"&lt;="&amp;EOMONTH(H$4,0),recurring_master!$A:$A,"&gt;="&amp;H$4),
_xlpm.planned,SUMIFS(Planned!$F:$F,Planned!$B:$B,$B60,Planned!$E:$E,"&gt;="&amp;H$4,Planned!$E:$E,"&lt;="&amp;EOMONTH(H$4,0)),
IFERROR(_xlpm.recurring,0)+IFERROR(_xlpm.planned,0))</f>
        <v>0</v>
      </c>
      <c r="I60" s="105">
        <f ca="1">_xlfn.LET(
_xlpm.recurring,SUMIFS(INDEX(recurring_master!$A:$AF,,MATCH($B60,recurring_master!$A$1:$AF$1,0)),recurring_master!$A:$A,"&lt;="&amp;EOMONTH(I$4,0),recurring_master!$A:$A,"&gt;="&amp;I$4),
_xlpm.planned,SUMIFS(Planned!$F:$F,Planned!$B:$B,$B60,Planned!$E:$E,"&gt;="&amp;I$4,Planned!$E:$E,"&lt;="&amp;EOMONTH(I$4,0)),
IFERROR(_xlpm.recurring,0)+IFERROR(_xlpm.planned,0))</f>
        <v>0</v>
      </c>
      <c r="J60" s="105">
        <f ca="1">_xlfn.LET(
_xlpm.recurring,SUMIFS(INDEX(recurring_master!$A:$AF,,MATCH($B60,recurring_master!$A$1:$AF$1,0)),recurring_master!$A:$A,"&lt;="&amp;EOMONTH(J$4,0),recurring_master!$A:$A,"&gt;="&amp;J$4),
_xlpm.planned,SUMIFS(Planned!$F:$F,Planned!$B:$B,$B60,Planned!$E:$E,"&gt;="&amp;J$4,Planned!$E:$E,"&lt;="&amp;EOMONTH(J$4,0)),
IFERROR(_xlpm.recurring,0)+IFERROR(_xlpm.planned,0))</f>
        <v>0</v>
      </c>
      <c r="K60" s="105">
        <f ca="1">_xlfn.LET(
_xlpm.recurring,SUMIFS(INDEX(recurring_master!$A:$AF,,MATCH($B60,recurring_master!$A$1:$AF$1,0)),recurring_master!$A:$A,"&lt;="&amp;EOMONTH(K$4,0),recurring_master!$A:$A,"&gt;="&amp;K$4),
_xlpm.planned,SUMIFS(Planned!$F:$F,Planned!$B:$B,$B60,Planned!$E:$E,"&gt;="&amp;K$4,Planned!$E:$E,"&lt;="&amp;EOMONTH(K$4,0)),
IFERROR(_xlpm.recurring,0)+IFERROR(_xlpm.planned,0))</f>
        <v>0</v>
      </c>
      <c r="L60" s="105">
        <f ca="1">_xlfn.LET(
_xlpm.recurring,SUMIFS(INDEX(recurring_master!$A:$AF,,MATCH($B60,recurring_master!$A$1:$AF$1,0)),recurring_master!$A:$A,"&lt;="&amp;EOMONTH(L$4,0),recurring_master!$A:$A,"&gt;="&amp;L$4),
_xlpm.planned,SUMIFS(Planned!$F:$F,Planned!$B:$B,$B60,Planned!$E:$E,"&gt;="&amp;L$4,Planned!$E:$E,"&lt;="&amp;EOMONTH(L$4,0)),
IFERROR(_xlpm.recurring,0)+IFERROR(_xlpm.planned,0))</f>
        <v>0</v>
      </c>
      <c r="M60" s="105">
        <f ca="1">_xlfn.LET(
_xlpm.recurring,SUMIFS(INDEX(recurring_master!$A:$AF,,MATCH($B60,recurring_master!$A$1:$AF$1,0)),recurring_master!$A:$A,"&lt;="&amp;EOMONTH(M$4,0),recurring_master!$A:$A,"&gt;="&amp;M$4),
_xlpm.planned,SUMIFS(Planned!$F:$F,Planned!$B:$B,$B60,Planned!$E:$E,"&gt;="&amp;M$4,Planned!$E:$E,"&lt;="&amp;EOMONTH(M$4,0)),
IFERROR(_xlpm.recurring,0)+IFERROR(_xlpm.planned,0))</f>
        <v>0</v>
      </c>
      <c r="N60" s="105">
        <f ca="1">_xlfn.LET(
_xlpm.recurring,SUMIFS(INDEX(recurring_master!$A:$AF,,MATCH($B60,recurring_master!$A$1:$AF$1,0)),recurring_master!$A:$A,"&lt;="&amp;EOMONTH(N$4,0),recurring_master!$A:$A,"&gt;="&amp;N$4),
_xlpm.planned,SUMIFS(Planned!$F:$F,Planned!$B:$B,$B60,Planned!$E:$E,"&gt;="&amp;N$4,Planned!$E:$E,"&lt;="&amp;EOMONTH(N$4,0)),
IFERROR(_xlpm.recurring,0)+IFERROR(_xlpm.planned,0))</f>
        <v>0</v>
      </c>
      <c r="O60" s="96"/>
      <c r="P60" s="106">
        <f t="shared" ca="1" si="15"/>
        <v>0</v>
      </c>
      <c r="Q60" s="52"/>
      <c r="R60" s="42"/>
    </row>
    <row r="61" spans="1:23" ht="12.75" customHeight="1" x14ac:dyDescent="0.2">
      <c r="A61" s="226"/>
      <c r="B61" s="78" t="s">
        <v>291</v>
      </c>
      <c r="C61" s="105">
        <f ca="1">_xlfn.LET(
_xlpm.recurring,SUMIFS(INDEX(recurring_master!$A:$AF,,MATCH($B61,recurring_master!$A$1:$AF$1,0)),recurring_master!$A:$A,"&lt;="&amp;EOMONTH(C$4,0),recurring_master!$A:$A,"&gt;="&amp;C$4),
_xlpm.planned,SUMIFS(Planned!$F:$F,Planned!$B:$B,$B61,Planned!$E:$E,"&gt;="&amp;C$4,Planned!$E:$E,"&lt;="&amp;EOMONTH(C$4,0)),
IFERROR(_xlpm.recurring,0)+IFERROR(_xlpm.planned,0))</f>
        <v>0</v>
      </c>
      <c r="D61" s="105">
        <f ca="1">_xlfn.LET(
_xlpm.recurring,SUMIFS(INDEX(recurring_master!$A:$AF,,MATCH($B61,recurring_master!$A$1:$AF$1,0)),recurring_master!$A:$A,"&lt;="&amp;EOMONTH(D$4,0),recurring_master!$A:$A,"&gt;="&amp;D$4),
_xlpm.planned,SUMIFS(Planned!$F:$F,Planned!$B:$B,$B61,Planned!$E:$E,"&gt;="&amp;D$4,Planned!$E:$E,"&lt;="&amp;EOMONTH(D$4,0)),
IFERROR(_xlpm.recurring,0)+IFERROR(_xlpm.planned,0))</f>
        <v>0</v>
      </c>
      <c r="E61" s="105">
        <f ca="1">_xlfn.LET(
_xlpm.recurring,SUMIFS(INDEX(recurring_master!$A:$AF,,MATCH($B61,recurring_master!$A$1:$AF$1,0)),recurring_master!$A:$A,"&lt;="&amp;EOMONTH(E$4,0),recurring_master!$A:$A,"&gt;="&amp;E$4),
_xlpm.planned,SUMIFS(Planned!$F:$F,Planned!$B:$B,$B61,Planned!$E:$E,"&gt;="&amp;E$4,Planned!$E:$E,"&lt;="&amp;EOMONTH(E$4,0)),
IFERROR(_xlpm.recurring,0)+IFERROR(_xlpm.planned,0))</f>
        <v>0</v>
      </c>
      <c r="F61" s="105">
        <f ca="1">_xlfn.LET(
_xlpm.recurring,SUMIFS(INDEX(recurring_master!$A:$AF,,MATCH($B61,recurring_master!$A$1:$AF$1,0)),recurring_master!$A:$A,"&lt;="&amp;EOMONTH(F$4,0),recurring_master!$A:$A,"&gt;="&amp;F$4),
_xlpm.planned,SUMIFS(Planned!$F:$F,Planned!$B:$B,$B61,Planned!$E:$E,"&gt;="&amp;F$4,Planned!$E:$E,"&lt;="&amp;EOMONTH(F$4,0)),
IFERROR(_xlpm.recurring,0)+IFERROR(_xlpm.planned,0))</f>
        <v>0</v>
      </c>
      <c r="G61" s="105">
        <f ca="1">_xlfn.LET(
_xlpm.recurring,SUMIFS(INDEX(recurring_master!$A:$AF,,MATCH($B61,recurring_master!$A$1:$AF$1,0)),recurring_master!$A:$A,"&lt;="&amp;EOMONTH(G$4,0),recurring_master!$A:$A,"&gt;="&amp;G$4),
_xlpm.planned,SUMIFS(Planned!$F:$F,Planned!$B:$B,$B61,Planned!$E:$E,"&gt;="&amp;G$4,Planned!$E:$E,"&lt;="&amp;EOMONTH(G$4,0)),
IFERROR(_xlpm.recurring,0)+IFERROR(_xlpm.planned,0))</f>
        <v>0</v>
      </c>
      <c r="H61" s="105">
        <f ca="1">_xlfn.LET(
_xlpm.recurring,SUMIFS(INDEX(recurring_master!$A:$AF,,MATCH($B61,recurring_master!$A$1:$AF$1,0)),recurring_master!$A:$A,"&lt;="&amp;EOMONTH(H$4,0),recurring_master!$A:$A,"&gt;="&amp;H$4),
_xlpm.planned,SUMIFS(Planned!$F:$F,Planned!$B:$B,$B61,Planned!$E:$E,"&gt;="&amp;H$4,Planned!$E:$E,"&lt;="&amp;EOMONTH(H$4,0)),
IFERROR(_xlpm.recurring,0)+IFERROR(_xlpm.planned,0))</f>
        <v>0</v>
      </c>
      <c r="I61" s="105">
        <f ca="1">_xlfn.LET(
_xlpm.recurring,SUMIFS(INDEX(recurring_master!$A:$AF,,MATCH($B61,recurring_master!$A$1:$AF$1,0)),recurring_master!$A:$A,"&lt;="&amp;EOMONTH(I$4,0),recurring_master!$A:$A,"&gt;="&amp;I$4),
_xlpm.planned,SUMIFS(Planned!$F:$F,Planned!$B:$B,$B61,Planned!$E:$E,"&gt;="&amp;I$4,Planned!$E:$E,"&lt;="&amp;EOMONTH(I$4,0)),
IFERROR(_xlpm.recurring,0)+IFERROR(_xlpm.planned,0))</f>
        <v>0</v>
      </c>
      <c r="J61" s="105">
        <f ca="1">_xlfn.LET(
_xlpm.recurring,SUMIFS(INDEX(recurring_master!$A:$AF,,MATCH($B61,recurring_master!$A$1:$AF$1,0)),recurring_master!$A:$A,"&lt;="&amp;EOMONTH(J$4,0),recurring_master!$A:$A,"&gt;="&amp;J$4),
_xlpm.planned,SUMIFS(Planned!$F:$F,Planned!$B:$B,$B61,Planned!$E:$E,"&gt;="&amp;J$4,Planned!$E:$E,"&lt;="&amp;EOMONTH(J$4,0)),
IFERROR(_xlpm.recurring,0)+IFERROR(_xlpm.planned,0))</f>
        <v>0</v>
      </c>
      <c r="K61" s="105">
        <f ca="1">_xlfn.LET(
_xlpm.recurring,SUMIFS(INDEX(recurring_master!$A:$AF,,MATCH($B61,recurring_master!$A$1:$AF$1,0)),recurring_master!$A:$A,"&lt;="&amp;EOMONTH(K$4,0),recurring_master!$A:$A,"&gt;="&amp;K$4),
_xlpm.planned,SUMIFS(Planned!$F:$F,Planned!$B:$B,$B61,Planned!$E:$E,"&gt;="&amp;K$4,Planned!$E:$E,"&lt;="&amp;EOMONTH(K$4,0)),
IFERROR(_xlpm.recurring,0)+IFERROR(_xlpm.planned,0))</f>
        <v>0</v>
      </c>
      <c r="L61" s="105">
        <f ca="1">_xlfn.LET(
_xlpm.recurring,SUMIFS(INDEX(recurring_master!$A:$AF,,MATCH($B61,recurring_master!$A$1:$AF$1,0)),recurring_master!$A:$A,"&lt;="&amp;EOMONTH(L$4,0),recurring_master!$A:$A,"&gt;="&amp;L$4),
_xlpm.planned,SUMIFS(Planned!$F:$F,Planned!$B:$B,$B61,Planned!$E:$E,"&gt;="&amp;L$4,Planned!$E:$E,"&lt;="&amp;EOMONTH(L$4,0)),
IFERROR(_xlpm.recurring,0)+IFERROR(_xlpm.planned,0))</f>
        <v>0</v>
      </c>
      <c r="M61" s="105">
        <f ca="1">_xlfn.LET(
_xlpm.recurring,SUMIFS(INDEX(recurring_master!$A:$AF,,MATCH($B61,recurring_master!$A$1:$AF$1,0)),recurring_master!$A:$A,"&lt;="&amp;EOMONTH(M$4,0),recurring_master!$A:$A,"&gt;="&amp;M$4),
_xlpm.planned,SUMIFS(Planned!$F:$F,Planned!$B:$B,$B61,Planned!$E:$E,"&gt;="&amp;M$4,Planned!$E:$E,"&lt;="&amp;EOMONTH(M$4,0)),
IFERROR(_xlpm.recurring,0)+IFERROR(_xlpm.planned,0))</f>
        <v>0</v>
      </c>
      <c r="N61" s="105">
        <f ca="1">_xlfn.LET(
_xlpm.recurring,SUMIFS(INDEX(recurring_master!$A:$AF,,MATCH($B61,recurring_master!$A$1:$AF$1,0)),recurring_master!$A:$A,"&lt;="&amp;EOMONTH(N$4,0),recurring_master!$A:$A,"&gt;="&amp;N$4),
_xlpm.planned,SUMIFS(Planned!$F:$F,Planned!$B:$B,$B61,Planned!$E:$E,"&gt;="&amp;N$4,Planned!$E:$E,"&lt;="&amp;EOMONTH(N$4,0)),
IFERROR(_xlpm.recurring,0)+IFERROR(_xlpm.planned,0))</f>
        <v>0</v>
      </c>
      <c r="O61" s="96"/>
      <c r="P61" s="106">
        <f t="shared" ca="1" si="15"/>
        <v>0</v>
      </c>
      <c r="Q61" s="51"/>
      <c r="R61" s="42"/>
      <c r="U61" s="22"/>
    </row>
    <row r="62" spans="1:23" ht="5.0999999999999996" customHeight="1" x14ac:dyDescent="0.2">
      <c r="A62" s="226"/>
      <c r="B62" s="69"/>
      <c r="C62" s="96"/>
      <c r="D62" s="96"/>
      <c r="E62" s="96"/>
      <c r="F62" s="96"/>
      <c r="G62" s="96"/>
      <c r="H62" s="96"/>
      <c r="I62" s="96"/>
      <c r="J62" s="96"/>
      <c r="K62" s="96"/>
      <c r="L62" s="96"/>
      <c r="M62" s="96"/>
      <c r="N62" s="96"/>
      <c r="O62" s="96"/>
      <c r="P62" s="106"/>
      <c r="Q62" s="51"/>
      <c r="R62" s="42"/>
      <c r="W62" s="18"/>
    </row>
    <row r="63" spans="1:23" ht="12.75" customHeight="1" x14ac:dyDescent="0.2">
      <c r="A63" s="226"/>
      <c r="B63" s="79" t="str">
        <f>"Total "&amp;B54</f>
        <v>Total FLEXIBLE OUTFLOWS</v>
      </c>
      <c r="C63" s="113">
        <f t="shared" ref="C63:N63" ca="1" si="16">SUM(C54:C62)</f>
        <v>0</v>
      </c>
      <c r="D63" s="113">
        <f t="shared" ca="1" si="16"/>
        <v>0</v>
      </c>
      <c r="E63" s="113">
        <f t="shared" ca="1" si="16"/>
        <v>0</v>
      </c>
      <c r="F63" s="113">
        <f t="shared" ca="1" si="16"/>
        <v>0</v>
      </c>
      <c r="G63" s="113">
        <f t="shared" ca="1" si="16"/>
        <v>0</v>
      </c>
      <c r="H63" s="113">
        <f t="shared" ca="1" si="16"/>
        <v>0</v>
      </c>
      <c r="I63" s="113">
        <f t="shared" ca="1" si="16"/>
        <v>0</v>
      </c>
      <c r="J63" s="113">
        <f t="shared" ca="1" si="16"/>
        <v>0</v>
      </c>
      <c r="K63" s="113">
        <f t="shared" ca="1" si="16"/>
        <v>0</v>
      </c>
      <c r="L63" s="113">
        <f t="shared" ca="1" si="16"/>
        <v>0</v>
      </c>
      <c r="M63" s="113">
        <f t="shared" ca="1" si="16"/>
        <v>0</v>
      </c>
      <c r="N63" s="114">
        <f t="shared" ca="1" si="16"/>
        <v>0</v>
      </c>
      <c r="O63" s="113"/>
      <c r="P63" s="115">
        <f ca="1">SUM(P45:P54)</f>
        <v>0</v>
      </c>
      <c r="Q63" s="51"/>
      <c r="R63" s="42"/>
      <c r="U63" s="22"/>
    </row>
    <row r="64" spans="1:23" ht="5.0999999999999996" customHeight="1" x14ac:dyDescent="0.2">
      <c r="A64" s="226"/>
      <c r="B64" s="67"/>
      <c r="C64" s="96"/>
      <c r="D64" s="96"/>
      <c r="E64" s="96"/>
      <c r="F64" s="96"/>
      <c r="G64" s="96"/>
      <c r="H64" s="96"/>
      <c r="I64" s="96"/>
      <c r="J64" s="96"/>
      <c r="K64" s="96"/>
      <c r="L64" s="96"/>
      <c r="M64" s="96"/>
      <c r="N64" s="96"/>
      <c r="O64" s="96"/>
      <c r="P64" s="96"/>
      <c r="Q64" s="51"/>
      <c r="R64" s="42"/>
    </row>
    <row r="65" spans="1:23" ht="12.75" customHeight="1" x14ac:dyDescent="0.2">
      <c r="A65" s="226"/>
      <c r="B65" s="76" t="s">
        <v>13</v>
      </c>
      <c r="C65" s="159"/>
      <c r="D65" s="159"/>
      <c r="E65" s="159"/>
      <c r="F65" s="159"/>
      <c r="G65" s="159"/>
      <c r="H65" s="159"/>
      <c r="I65" s="159"/>
      <c r="J65" s="159"/>
      <c r="K65" s="159"/>
      <c r="L65" s="159"/>
      <c r="M65" s="159"/>
      <c r="N65" s="159"/>
      <c r="O65" s="159"/>
      <c r="P65" s="160"/>
      <c r="Q65" s="51"/>
      <c r="R65" s="42"/>
    </row>
    <row r="66" spans="1:23" ht="12.75" customHeight="1" x14ac:dyDescent="0.2">
      <c r="A66" s="227"/>
      <c r="B66" s="69" t="s">
        <v>88</v>
      </c>
      <c r="C66" s="105">
        <f ca="1">_xlfn.LET(
_xlpm.recurring,SUMIFS(INDEX(recurring_master!$A:$AF,,MATCH($B66,recurring_master!$A$1:$AF$1,0)),recurring_master!$A:$A,"&lt;="&amp;EOMONTH(C$4,0),recurring_master!$A:$A,"&gt;="&amp;C$4),
_xlpm.planned,SUMIFS(Planned!$F:$F,Planned!$B:$B,$B66,Planned!$E:$E,"&gt;="&amp;C$4,Planned!$E:$E,"&lt;="&amp;EOMONTH(C$4,0)),
IFERROR(_xlpm.recurring,0)+IFERROR(_xlpm.planned,0))</f>
        <v>0</v>
      </c>
      <c r="D66" s="105">
        <f ca="1">_xlfn.LET(
_xlpm.recurring,SUMIFS(INDEX(recurring_master!$A:$AF,,MATCH($B66,recurring_master!$A$1:$AF$1,0)),recurring_master!$A:$A,"&lt;="&amp;EOMONTH(D$4,0),recurring_master!$A:$A,"&gt;="&amp;D$4),
_xlpm.planned,SUMIFS(Planned!$F:$F,Planned!$B:$B,$B66,Planned!$E:$E,"&gt;="&amp;D$4,Planned!$E:$E,"&lt;="&amp;EOMONTH(D$4,0)),
IFERROR(_xlpm.recurring,0)+IFERROR(_xlpm.planned,0))</f>
        <v>0</v>
      </c>
      <c r="E66" s="105">
        <f ca="1">_xlfn.LET(
_xlpm.recurring,SUMIFS(INDEX(recurring_master!$A:$AF,,MATCH($B66,recurring_master!$A$1:$AF$1,0)),recurring_master!$A:$A,"&lt;="&amp;EOMONTH(E$4,0),recurring_master!$A:$A,"&gt;="&amp;E$4),
_xlpm.planned,SUMIFS(Planned!$F:$F,Planned!$B:$B,$B66,Planned!$E:$E,"&gt;="&amp;E$4,Planned!$E:$E,"&lt;="&amp;EOMONTH(E$4,0)),
IFERROR(_xlpm.recurring,0)+IFERROR(_xlpm.planned,0))</f>
        <v>0</v>
      </c>
      <c r="F66" s="105">
        <f ca="1">_xlfn.LET(
_xlpm.recurring,SUMIFS(INDEX(recurring_master!$A:$AF,,MATCH($B66,recurring_master!$A$1:$AF$1,0)),recurring_master!$A:$A,"&lt;="&amp;EOMONTH(F$4,0),recurring_master!$A:$A,"&gt;="&amp;F$4),
_xlpm.planned,SUMIFS(Planned!$F:$F,Planned!$B:$B,$B66,Planned!$E:$E,"&gt;="&amp;F$4,Planned!$E:$E,"&lt;="&amp;EOMONTH(F$4,0)),
IFERROR(_xlpm.recurring,0)+IFERROR(_xlpm.planned,0))</f>
        <v>0</v>
      </c>
      <c r="G66" s="105">
        <f ca="1">_xlfn.LET(
_xlpm.recurring,SUMIFS(INDEX(recurring_master!$A:$AF,,MATCH($B66,recurring_master!$A$1:$AF$1,0)),recurring_master!$A:$A,"&lt;="&amp;EOMONTH(G$4,0),recurring_master!$A:$A,"&gt;="&amp;G$4),
_xlpm.planned,SUMIFS(Planned!$F:$F,Planned!$B:$B,$B66,Planned!$E:$E,"&gt;="&amp;G$4,Planned!$E:$E,"&lt;="&amp;EOMONTH(G$4,0)),
IFERROR(_xlpm.recurring,0)+IFERROR(_xlpm.planned,0))</f>
        <v>0</v>
      </c>
      <c r="H66" s="105">
        <f ca="1">_xlfn.LET(
_xlpm.recurring,SUMIFS(INDEX(recurring_master!$A:$AF,,MATCH($B66,recurring_master!$A$1:$AF$1,0)),recurring_master!$A:$A,"&lt;="&amp;EOMONTH(H$4,0),recurring_master!$A:$A,"&gt;="&amp;H$4),
_xlpm.planned,SUMIFS(Planned!$F:$F,Planned!$B:$B,$B66,Planned!$E:$E,"&gt;="&amp;H$4,Planned!$E:$E,"&lt;="&amp;EOMONTH(H$4,0)),
IFERROR(_xlpm.recurring,0)+IFERROR(_xlpm.planned,0))</f>
        <v>0</v>
      </c>
      <c r="I66" s="105">
        <f ca="1">_xlfn.LET(
_xlpm.recurring,SUMIFS(INDEX(recurring_master!$A:$AF,,MATCH($B66,recurring_master!$A$1:$AF$1,0)),recurring_master!$A:$A,"&lt;="&amp;EOMONTH(I$4,0),recurring_master!$A:$A,"&gt;="&amp;I$4),
_xlpm.planned,SUMIFS(Planned!$F:$F,Planned!$B:$B,$B66,Planned!$E:$E,"&gt;="&amp;I$4,Planned!$E:$E,"&lt;="&amp;EOMONTH(I$4,0)),
IFERROR(_xlpm.recurring,0)+IFERROR(_xlpm.planned,0))</f>
        <v>0</v>
      </c>
      <c r="J66" s="105">
        <f ca="1">_xlfn.LET(
_xlpm.recurring,SUMIFS(INDEX(recurring_master!$A:$AF,,MATCH($B66,recurring_master!$A$1:$AF$1,0)),recurring_master!$A:$A,"&lt;="&amp;EOMONTH(J$4,0),recurring_master!$A:$A,"&gt;="&amp;J$4),
_xlpm.planned,SUMIFS(Planned!$F:$F,Planned!$B:$B,$B66,Planned!$E:$E,"&gt;="&amp;J$4,Planned!$E:$E,"&lt;="&amp;EOMONTH(J$4,0)),
IFERROR(_xlpm.recurring,0)+IFERROR(_xlpm.planned,0))</f>
        <v>0</v>
      </c>
      <c r="K66" s="105">
        <f ca="1">_xlfn.LET(
_xlpm.recurring,SUMIFS(INDEX(recurring_master!$A:$AF,,MATCH($B66,recurring_master!$A$1:$AF$1,0)),recurring_master!$A:$A,"&lt;="&amp;EOMONTH(K$4,0),recurring_master!$A:$A,"&gt;="&amp;K$4),
_xlpm.planned,SUMIFS(Planned!$F:$F,Planned!$B:$B,$B66,Planned!$E:$E,"&gt;="&amp;K$4,Planned!$E:$E,"&lt;="&amp;EOMONTH(K$4,0)),
IFERROR(_xlpm.recurring,0)+IFERROR(_xlpm.planned,0))</f>
        <v>0</v>
      </c>
      <c r="L66" s="105">
        <f ca="1">_xlfn.LET(
_xlpm.recurring,SUMIFS(INDEX(recurring_master!$A:$AF,,MATCH($B66,recurring_master!$A$1:$AF$1,0)),recurring_master!$A:$A,"&lt;="&amp;EOMONTH(L$4,0),recurring_master!$A:$A,"&gt;="&amp;L$4),
_xlpm.planned,SUMIFS(Planned!$F:$F,Planned!$B:$B,$B66,Planned!$E:$E,"&gt;="&amp;L$4,Planned!$E:$E,"&lt;="&amp;EOMONTH(L$4,0)),
IFERROR(_xlpm.recurring,0)+IFERROR(_xlpm.planned,0))</f>
        <v>0</v>
      </c>
      <c r="M66" s="105">
        <f ca="1">_xlfn.LET(
_xlpm.recurring,SUMIFS(INDEX(recurring_master!$A:$AF,,MATCH($B66,recurring_master!$A$1:$AF$1,0)),recurring_master!$A:$A,"&lt;="&amp;EOMONTH(M$4,0),recurring_master!$A:$A,"&gt;="&amp;M$4),
_xlpm.planned,SUMIFS(Planned!$F:$F,Planned!$B:$B,$B66,Planned!$E:$E,"&gt;="&amp;M$4,Planned!$E:$E,"&lt;="&amp;EOMONTH(M$4,0)),
IFERROR(_xlpm.recurring,0)+IFERROR(_xlpm.planned,0))</f>
        <v>0</v>
      </c>
      <c r="N66" s="105">
        <f ca="1">_xlfn.LET(
_xlpm.recurring,SUMIFS(INDEX(recurring_master!$A:$AF,,MATCH($B66,recurring_master!$A$1:$AF$1,0)),recurring_master!$A:$A,"&lt;="&amp;EOMONTH(N$4,0),recurring_master!$A:$A,"&gt;="&amp;N$4),
_xlpm.planned,SUMIFS(Planned!$F:$F,Planned!$B:$B,$B66,Planned!$E:$E,"&gt;="&amp;N$4,Planned!$E:$E,"&lt;="&amp;EOMONTH(N$4,0)),
IFERROR(_xlpm.recurring,0)+IFERROR(_xlpm.planned,0))</f>
        <v>0</v>
      </c>
      <c r="O66" s="96"/>
      <c r="P66" s="106">
        <f ca="1">SUM(C66:N66)</f>
        <v>0</v>
      </c>
      <c r="Q66" s="52"/>
      <c r="R66" s="42"/>
    </row>
    <row r="67" spans="1:23" ht="12.75" customHeight="1" x14ac:dyDescent="0.2">
      <c r="A67" s="227"/>
      <c r="B67" s="69" t="s">
        <v>89</v>
      </c>
      <c r="C67" s="105">
        <f ca="1">_xlfn.LET(
_xlpm.recurring,SUMIFS(INDEX(recurring_master!$A:$AF,,MATCH($B67,recurring_master!$A$1:$AF$1,0)),recurring_master!$A:$A,"&lt;="&amp;EOMONTH(C$4,0),recurring_master!$A:$A,"&gt;="&amp;C$4),
_xlpm.planned,SUMIFS(Planned!$F:$F,Planned!$B:$B,$B67,Planned!$E:$E,"&gt;="&amp;C$4,Planned!$E:$E,"&lt;="&amp;EOMONTH(C$4,0)),
IFERROR(_xlpm.recurring,0)+IFERROR(_xlpm.planned,0))</f>
        <v>0</v>
      </c>
      <c r="D67" s="105">
        <f ca="1">_xlfn.LET(
_xlpm.recurring,SUMIFS(INDEX(recurring_master!$A:$AF,,MATCH($B67,recurring_master!$A$1:$AF$1,0)),recurring_master!$A:$A,"&lt;="&amp;EOMONTH(D$4,0),recurring_master!$A:$A,"&gt;="&amp;D$4),
_xlpm.planned,SUMIFS(Planned!$F:$F,Planned!$B:$B,$B67,Planned!$E:$E,"&gt;="&amp;D$4,Planned!$E:$E,"&lt;="&amp;EOMONTH(D$4,0)),
IFERROR(_xlpm.recurring,0)+IFERROR(_xlpm.planned,0))</f>
        <v>0</v>
      </c>
      <c r="E67" s="105">
        <f ca="1">_xlfn.LET(
_xlpm.recurring,SUMIFS(INDEX(recurring_master!$A:$AF,,MATCH($B67,recurring_master!$A$1:$AF$1,0)),recurring_master!$A:$A,"&lt;="&amp;EOMONTH(E$4,0),recurring_master!$A:$A,"&gt;="&amp;E$4),
_xlpm.planned,SUMIFS(Planned!$F:$F,Planned!$B:$B,$B67,Planned!$E:$E,"&gt;="&amp;E$4,Planned!$E:$E,"&lt;="&amp;EOMONTH(E$4,0)),
IFERROR(_xlpm.recurring,0)+IFERROR(_xlpm.planned,0))</f>
        <v>0</v>
      </c>
      <c r="F67" s="105">
        <f ca="1">_xlfn.LET(
_xlpm.recurring,SUMIFS(INDEX(recurring_master!$A:$AF,,MATCH($B67,recurring_master!$A$1:$AF$1,0)),recurring_master!$A:$A,"&lt;="&amp;EOMONTH(F$4,0),recurring_master!$A:$A,"&gt;="&amp;F$4),
_xlpm.planned,SUMIFS(Planned!$F:$F,Planned!$B:$B,$B67,Planned!$E:$E,"&gt;="&amp;F$4,Planned!$E:$E,"&lt;="&amp;EOMONTH(F$4,0)),
IFERROR(_xlpm.recurring,0)+IFERROR(_xlpm.planned,0))</f>
        <v>0</v>
      </c>
      <c r="G67" s="105">
        <f ca="1">_xlfn.LET(
_xlpm.recurring,SUMIFS(INDEX(recurring_master!$A:$AF,,MATCH($B67,recurring_master!$A$1:$AF$1,0)),recurring_master!$A:$A,"&lt;="&amp;EOMONTH(G$4,0),recurring_master!$A:$A,"&gt;="&amp;G$4),
_xlpm.planned,SUMIFS(Planned!$F:$F,Planned!$B:$B,$B67,Planned!$E:$E,"&gt;="&amp;G$4,Planned!$E:$E,"&lt;="&amp;EOMONTH(G$4,0)),
IFERROR(_xlpm.recurring,0)+IFERROR(_xlpm.planned,0))</f>
        <v>0</v>
      </c>
      <c r="H67" s="105">
        <f ca="1">_xlfn.LET(
_xlpm.recurring,SUMIFS(INDEX(recurring_master!$A:$AF,,MATCH($B67,recurring_master!$A$1:$AF$1,0)),recurring_master!$A:$A,"&lt;="&amp;EOMONTH(H$4,0),recurring_master!$A:$A,"&gt;="&amp;H$4),
_xlpm.planned,SUMIFS(Planned!$F:$F,Planned!$B:$B,$B67,Planned!$E:$E,"&gt;="&amp;H$4,Planned!$E:$E,"&lt;="&amp;EOMONTH(H$4,0)),
IFERROR(_xlpm.recurring,0)+IFERROR(_xlpm.planned,0))</f>
        <v>0</v>
      </c>
      <c r="I67" s="105">
        <f ca="1">_xlfn.LET(
_xlpm.recurring,SUMIFS(INDEX(recurring_master!$A:$AF,,MATCH($B67,recurring_master!$A$1:$AF$1,0)),recurring_master!$A:$A,"&lt;="&amp;EOMONTH(I$4,0),recurring_master!$A:$A,"&gt;="&amp;I$4),
_xlpm.planned,SUMIFS(Planned!$F:$F,Planned!$B:$B,$B67,Planned!$E:$E,"&gt;="&amp;I$4,Planned!$E:$E,"&lt;="&amp;EOMONTH(I$4,0)),
IFERROR(_xlpm.recurring,0)+IFERROR(_xlpm.planned,0))</f>
        <v>0</v>
      </c>
      <c r="J67" s="105">
        <f ca="1">_xlfn.LET(
_xlpm.recurring,SUMIFS(INDEX(recurring_master!$A:$AF,,MATCH($B67,recurring_master!$A$1:$AF$1,0)),recurring_master!$A:$A,"&lt;="&amp;EOMONTH(J$4,0),recurring_master!$A:$A,"&gt;="&amp;J$4),
_xlpm.planned,SUMIFS(Planned!$F:$F,Planned!$B:$B,$B67,Planned!$E:$E,"&gt;="&amp;J$4,Planned!$E:$E,"&lt;="&amp;EOMONTH(J$4,0)),
IFERROR(_xlpm.recurring,0)+IFERROR(_xlpm.planned,0))</f>
        <v>0</v>
      </c>
      <c r="K67" s="105">
        <f ca="1">_xlfn.LET(
_xlpm.recurring,SUMIFS(INDEX(recurring_master!$A:$AF,,MATCH($B67,recurring_master!$A$1:$AF$1,0)),recurring_master!$A:$A,"&lt;="&amp;EOMONTH(K$4,0),recurring_master!$A:$A,"&gt;="&amp;K$4),
_xlpm.planned,SUMIFS(Planned!$F:$F,Planned!$B:$B,$B67,Planned!$E:$E,"&gt;="&amp;K$4,Planned!$E:$E,"&lt;="&amp;EOMONTH(K$4,0)),
IFERROR(_xlpm.recurring,0)+IFERROR(_xlpm.planned,0))</f>
        <v>0</v>
      </c>
      <c r="L67" s="105">
        <f ca="1">_xlfn.LET(
_xlpm.recurring,SUMIFS(INDEX(recurring_master!$A:$AF,,MATCH($B67,recurring_master!$A$1:$AF$1,0)),recurring_master!$A:$A,"&lt;="&amp;EOMONTH(L$4,0),recurring_master!$A:$A,"&gt;="&amp;L$4),
_xlpm.planned,SUMIFS(Planned!$F:$F,Planned!$B:$B,$B67,Planned!$E:$E,"&gt;="&amp;L$4,Planned!$E:$E,"&lt;="&amp;EOMONTH(L$4,0)),
IFERROR(_xlpm.recurring,0)+IFERROR(_xlpm.planned,0))</f>
        <v>0</v>
      </c>
      <c r="M67" s="105">
        <f ca="1">_xlfn.LET(
_xlpm.recurring,SUMIFS(INDEX(recurring_master!$A:$AF,,MATCH($B67,recurring_master!$A$1:$AF$1,0)),recurring_master!$A:$A,"&lt;="&amp;EOMONTH(M$4,0),recurring_master!$A:$A,"&gt;="&amp;M$4),
_xlpm.planned,SUMIFS(Planned!$F:$F,Planned!$B:$B,$B67,Planned!$E:$E,"&gt;="&amp;M$4,Planned!$E:$E,"&lt;="&amp;EOMONTH(M$4,0)),
IFERROR(_xlpm.recurring,0)+IFERROR(_xlpm.planned,0))</f>
        <v>0</v>
      </c>
      <c r="N67" s="105">
        <f ca="1">_xlfn.LET(
_xlpm.recurring,SUMIFS(INDEX(recurring_master!$A:$AF,,MATCH($B67,recurring_master!$A$1:$AF$1,0)),recurring_master!$A:$A,"&lt;="&amp;EOMONTH(N$4,0),recurring_master!$A:$A,"&gt;="&amp;N$4),
_xlpm.planned,SUMIFS(Planned!$F:$F,Planned!$B:$B,$B67,Planned!$E:$E,"&gt;="&amp;N$4,Planned!$E:$E,"&lt;="&amp;EOMONTH(N$4,0)),
IFERROR(_xlpm.recurring,0)+IFERROR(_xlpm.planned,0))</f>
        <v>0</v>
      </c>
      <c r="O67" s="96"/>
      <c r="P67" s="106">
        <f ca="1">SUM(C67:N67)</f>
        <v>0</v>
      </c>
      <c r="Q67" s="52"/>
      <c r="R67" s="42"/>
      <c r="W67" s="6"/>
    </row>
    <row r="68" spans="1:23" ht="5.0999999999999996" customHeight="1" x14ac:dyDescent="0.2">
      <c r="A68" s="226"/>
      <c r="B68" s="69"/>
      <c r="C68" s="96"/>
      <c r="D68" s="96"/>
      <c r="E68" s="96"/>
      <c r="F68" s="96"/>
      <c r="G68" s="96"/>
      <c r="H68" s="96"/>
      <c r="I68" s="96"/>
      <c r="J68" s="96"/>
      <c r="K68" s="96"/>
      <c r="L68" s="96"/>
      <c r="M68" s="96"/>
      <c r="N68" s="96"/>
      <c r="O68" s="96"/>
      <c r="P68" s="106"/>
      <c r="Q68" s="51"/>
      <c r="R68" s="42"/>
      <c r="W68" s="18"/>
    </row>
    <row r="69" spans="1:23" ht="12.75" customHeight="1" x14ac:dyDescent="0.2">
      <c r="A69" s="226"/>
      <c r="B69" s="79" t="str">
        <f>"Total "&amp;B65</f>
        <v>Total INVESTMENTS</v>
      </c>
      <c r="C69" s="113">
        <f ca="1">SUM(C66:C68)</f>
        <v>0</v>
      </c>
      <c r="D69" s="113">
        <f t="shared" ref="D69:N69" ca="1" si="17">SUM(D66:D68)</f>
        <v>0</v>
      </c>
      <c r="E69" s="113">
        <f t="shared" ca="1" si="17"/>
        <v>0</v>
      </c>
      <c r="F69" s="113">
        <f t="shared" ca="1" si="17"/>
        <v>0</v>
      </c>
      <c r="G69" s="113">
        <f t="shared" ca="1" si="17"/>
        <v>0</v>
      </c>
      <c r="H69" s="113">
        <f t="shared" ca="1" si="17"/>
        <v>0</v>
      </c>
      <c r="I69" s="113">
        <f t="shared" ca="1" si="17"/>
        <v>0</v>
      </c>
      <c r="J69" s="113">
        <f t="shared" ca="1" si="17"/>
        <v>0</v>
      </c>
      <c r="K69" s="113">
        <f t="shared" ca="1" si="17"/>
        <v>0</v>
      </c>
      <c r="L69" s="113">
        <f t="shared" ca="1" si="17"/>
        <v>0</v>
      </c>
      <c r="M69" s="113">
        <f t="shared" ca="1" si="17"/>
        <v>0</v>
      </c>
      <c r="N69" s="114">
        <f t="shared" ca="1" si="17"/>
        <v>0</v>
      </c>
      <c r="O69" s="113"/>
      <c r="P69" s="115">
        <f t="shared" ref="P69" ca="1" si="18">SUM(P66:P67)</f>
        <v>0</v>
      </c>
      <c r="Q69" s="51"/>
      <c r="R69" s="42"/>
    </row>
    <row r="70" spans="1:23" ht="5.0999999999999996" customHeight="1" x14ac:dyDescent="0.2">
      <c r="A70" s="226"/>
      <c r="B70" s="67"/>
      <c r="C70" s="96"/>
      <c r="D70" s="96"/>
      <c r="E70" s="96"/>
      <c r="F70" s="96"/>
      <c r="G70" s="96"/>
      <c r="H70" s="96"/>
      <c r="I70" s="96"/>
      <c r="J70" s="96"/>
      <c r="K70" s="96"/>
      <c r="L70" s="96"/>
      <c r="M70" s="96"/>
      <c r="N70" s="96"/>
      <c r="O70" s="96"/>
      <c r="P70" s="96"/>
      <c r="Q70" s="51"/>
      <c r="R70" s="42"/>
    </row>
    <row r="71" spans="1:23" s="6" customFormat="1" ht="12.75" customHeight="1" x14ac:dyDescent="0.2">
      <c r="A71" s="226"/>
      <c r="B71" s="76" t="s">
        <v>14</v>
      </c>
      <c r="C71" s="159"/>
      <c r="D71" s="159"/>
      <c r="E71" s="159"/>
      <c r="F71" s="159"/>
      <c r="G71" s="159"/>
      <c r="H71" s="159"/>
      <c r="I71" s="159"/>
      <c r="J71" s="159"/>
      <c r="K71" s="159"/>
      <c r="L71" s="159"/>
      <c r="M71" s="159"/>
      <c r="N71" s="159"/>
      <c r="O71" s="159"/>
      <c r="P71" s="160"/>
      <c r="Q71" s="51"/>
      <c r="R71" s="42"/>
      <c r="S71" s="5"/>
      <c r="T71" s="5"/>
      <c r="U71" s="5"/>
      <c r="W71" s="5"/>
    </row>
    <row r="72" spans="1:23" ht="12.75" customHeight="1" x14ac:dyDescent="0.2">
      <c r="A72" s="227"/>
      <c r="B72" s="69" t="s">
        <v>6</v>
      </c>
      <c r="C72" s="105">
        <f ca="1">_xlfn.LET(
_xlpm.recurring,SUMIFS(INDEX(recurring_master!$A:$AF,,MATCH($B72,recurring_master!$A$1:$AF$1,0)),recurring_master!$A:$A,"&lt;="&amp;EOMONTH(C$4,0),recurring_master!$A:$A,"&gt;="&amp;C$4),
_xlpm.planned,SUMIFS(Planned!$F:$F,Planned!$B:$B,$B72,Planned!$E:$E,"&gt;="&amp;C$4,Planned!$E:$E,"&lt;="&amp;EOMONTH(C$4,0)),
IFERROR(_xlpm.recurring,0)+IFERROR(_xlpm.planned,0))</f>
        <v>0</v>
      </c>
      <c r="D72" s="105">
        <f ca="1">_xlfn.LET(
_xlpm.recurring,SUMIFS(INDEX(recurring_master!$A:$AF,,MATCH($B72,recurring_master!$A$1:$AF$1,0)),recurring_master!$A:$A,"&lt;="&amp;EOMONTH(D$4,0),recurring_master!$A:$A,"&gt;="&amp;D$4),
_xlpm.planned,SUMIFS(Planned!$F:$F,Planned!$B:$B,$B72,Planned!$E:$E,"&gt;="&amp;D$4,Planned!$E:$E,"&lt;="&amp;EOMONTH(D$4,0)),
IFERROR(_xlpm.recurring,0)+IFERROR(_xlpm.planned,0))</f>
        <v>0</v>
      </c>
      <c r="E72" s="105">
        <f ca="1">_xlfn.LET(
_xlpm.recurring,SUMIFS(INDEX(recurring_master!$A:$AF,,MATCH($B72,recurring_master!$A$1:$AF$1,0)),recurring_master!$A:$A,"&lt;="&amp;EOMONTH(E$4,0),recurring_master!$A:$A,"&gt;="&amp;E$4),
_xlpm.planned,SUMIFS(Planned!$F:$F,Planned!$B:$B,$B72,Planned!$E:$E,"&gt;="&amp;E$4,Planned!$E:$E,"&lt;="&amp;EOMONTH(E$4,0)),
IFERROR(_xlpm.recurring,0)+IFERROR(_xlpm.planned,0))</f>
        <v>0</v>
      </c>
      <c r="F72" s="105">
        <f ca="1">_xlfn.LET(
_xlpm.recurring,SUMIFS(INDEX(recurring_master!$A:$AF,,MATCH($B72,recurring_master!$A$1:$AF$1,0)),recurring_master!$A:$A,"&lt;="&amp;EOMONTH(F$4,0),recurring_master!$A:$A,"&gt;="&amp;F$4),
_xlpm.planned,SUMIFS(Planned!$F:$F,Planned!$B:$B,$B72,Planned!$E:$E,"&gt;="&amp;F$4,Planned!$E:$E,"&lt;="&amp;EOMONTH(F$4,0)),
IFERROR(_xlpm.recurring,0)+IFERROR(_xlpm.planned,0))</f>
        <v>0</v>
      </c>
      <c r="G72" s="105">
        <f ca="1">_xlfn.LET(
_xlpm.recurring,SUMIFS(INDEX(recurring_master!$A:$AF,,MATCH($B72,recurring_master!$A$1:$AF$1,0)),recurring_master!$A:$A,"&lt;="&amp;EOMONTH(G$4,0),recurring_master!$A:$A,"&gt;="&amp;G$4),
_xlpm.planned,SUMIFS(Planned!$F:$F,Planned!$B:$B,$B72,Planned!$E:$E,"&gt;="&amp;G$4,Planned!$E:$E,"&lt;="&amp;EOMONTH(G$4,0)),
IFERROR(_xlpm.recurring,0)+IFERROR(_xlpm.planned,0))</f>
        <v>0</v>
      </c>
      <c r="H72" s="105">
        <f ca="1">_xlfn.LET(
_xlpm.recurring,SUMIFS(INDEX(recurring_master!$A:$AF,,MATCH($B72,recurring_master!$A$1:$AF$1,0)),recurring_master!$A:$A,"&lt;="&amp;EOMONTH(H$4,0),recurring_master!$A:$A,"&gt;="&amp;H$4),
_xlpm.planned,SUMIFS(Planned!$F:$F,Planned!$B:$B,$B72,Planned!$E:$E,"&gt;="&amp;H$4,Planned!$E:$E,"&lt;="&amp;EOMONTH(H$4,0)),
IFERROR(_xlpm.recurring,0)+IFERROR(_xlpm.planned,0))</f>
        <v>0</v>
      </c>
      <c r="I72" s="105">
        <f ca="1">_xlfn.LET(
_xlpm.recurring,SUMIFS(INDEX(recurring_master!$A:$AF,,MATCH($B72,recurring_master!$A$1:$AF$1,0)),recurring_master!$A:$A,"&lt;="&amp;EOMONTH(I$4,0),recurring_master!$A:$A,"&gt;="&amp;I$4),
_xlpm.planned,SUMIFS(Planned!$F:$F,Planned!$B:$B,$B72,Planned!$E:$E,"&gt;="&amp;I$4,Planned!$E:$E,"&lt;="&amp;EOMONTH(I$4,0)),
IFERROR(_xlpm.recurring,0)+IFERROR(_xlpm.planned,0))</f>
        <v>0</v>
      </c>
      <c r="J72" s="105">
        <f ca="1">_xlfn.LET(
_xlpm.recurring,SUMIFS(INDEX(recurring_master!$A:$AF,,MATCH($B72,recurring_master!$A$1:$AF$1,0)),recurring_master!$A:$A,"&lt;="&amp;EOMONTH(J$4,0),recurring_master!$A:$A,"&gt;="&amp;J$4),
_xlpm.planned,SUMIFS(Planned!$F:$F,Planned!$B:$B,$B72,Planned!$E:$E,"&gt;="&amp;J$4,Planned!$E:$E,"&lt;="&amp;EOMONTH(J$4,0)),
IFERROR(_xlpm.recurring,0)+IFERROR(_xlpm.planned,0))</f>
        <v>0</v>
      </c>
      <c r="K72" s="105">
        <f ca="1">_xlfn.LET(
_xlpm.recurring,SUMIFS(INDEX(recurring_master!$A:$AF,,MATCH($B72,recurring_master!$A$1:$AF$1,0)),recurring_master!$A:$A,"&lt;="&amp;EOMONTH(K$4,0),recurring_master!$A:$A,"&gt;="&amp;K$4),
_xlpm.planned,SUMIFS(Planned!$F:$F,Planned!$B:$B,$B72,Planned!$E:$E,"&gt;="&amp;K$4,Planned!$E:$E,"&lt;="&amp;EOMONTH(K$4,0)),
IFERROR(_xlpm.recurring,0)+IFERROR(_xlpm.planned,0))</f>
        <v>0</v>
      </c>
      <c r="L72" s="105">
        <f ca="1">_xlfn.LET(
_xlpm.recurring,SUMIFS(INDEX(recurring_master!$A:$AF,,MATCH($B72,recurring_master!$A$1:$AF$1,0)),recurring_master!$A:$A,"&lt;="&amp;EOMONTH(L$4,0),recurring_master!$A:$A,"&gt;="&amp;L$4),
_xlpm.planned,SUMIFS(Planned!$F:$F,Planned!$B:$B,$B72,Planned!$E:$E,"&gt;="&amp;L$4,Planned!$E:$E,"&lt;="&amp;EOMONTH(L$4,0)),
IFERROR(_xlpm.recurring,0)+IFERROR(_xlpm.planned,0))</f>
        <v>0</v>
      </c>
      <c r="M72" s="105">
        <f ca="1">_xlfn.LET(
_xlpm.recurring,SUMIFS(INDEX(recurring_master!$A:$AF,,MATCH($B72,recurring_master!$A$1:$AF$1,0)),recurring_master!$A:$A,"&lt;="&amp;EOMONTH(M$4,0),recurring_master!$A:$A,"&gt;="&amp;M$4),
_xlpm.planned,SUMIFS(Planned!$F:$F,Planned!$B:$B,$B72,Planned!$E:$E,"&gt;="&amp;M$4,Planned!$E:$E,"&lt;="&amp;EOMONTH(M$4,0)),
IFERROR(_xlpm.recurring,0)+IFERROR(_xlpm.planned,0))</f>
        <v>0</v>
      </c>
      <c r="N72" s="105">
        <f ca="1">_xlfn.LET(
_xlpm.recurring,SUMIFS(INDEX(recurring_master!$A:$AF,,MATCH($B72,recurring_master!$A$1:$AF$1,0)),recurring_master!$A:$A,"&lt;="&amp;EOMONTH(N$4,0),recurring_master!$A:$A,"&gt;="&amp;N$4),
_xlpm.planned,SUMIFS(Planned!$F:$F,Planned!$B:$B,$B72,Planned!$E:$E,"&gt;="&amp;N$4,Planned!$E:$E,"&lt;="&amp;EOMONTH(N$4,0)),
IFERROR(_xlpm.recurring,0)+IFERROR(_xlpm.planned,0))</f>
        <v>0</v>
      </c>
      <c r="O72" s="96"/>
      <c r="P72" s="106">
        <f ca="1">SUM(C72:N72)</f>
        <v>0</v>
      </c>
      <c r="Q72" s="52"/>
      <c r="R72" s="42"/>
    </row>
    <row r="73" spans="1:23" ht="12.75" customHeight="1" x14ac:dyDescent="0.2">
      <c r="A73" s="227"/>
      <c r="B73" s="69" t="s">
        <v>17</v>
      </c>
      <c r="C73" s="105">
        <f ca="1">_xlfn.LET(
_xlpm.recurring,SUMIFS(INDEX(recurring_master!$A:$AF,,MATCH($B73,recurring_master!$A$1:$AF$1,0)),recurring_master!$A:$A,"&lt;="&amp;EOMONTH(C$4,0),recurring_master!$A:$A,"&gt;="&amp;C$4),
_xlpm.planned,SUMIFS(Planned!$F:$F,Planned!$B:$B,$B73,Planned!$E:$E,"&gt;="&amp;C$4,Planned!$E:$E,"&lt;="&amp;EOMONTH(C$4,0)),
IFERROR(_xlpm.recurring,0)+IFERROR(_xlpm.planned,0))</f>
        <v>0</v>
      </c>
      <c r="D73" s="105">
        <f ca="1">_xlfn.LET(
_xlpm.recurring,SUMIFS(INDEX(recurring_master!$A:$AF,,MATCH($B73,recurring_master!$A$1:$AF$1,0)),recurring_master!$A:$A,"&lt;="&amp;EOMONTH(D$4,0),recurring_master!$A:$A,"&gt;="&amp;D$4),
_xlpm.planned,SUMIFS(Planned!$F:$F,Planned!$B:$B,$B73,Planned!$E:$E,"&gt;="&amp;D$4,Planned!$E:$E,"&lt;="&amp;EOMONTH(D$4,0)),
IFERROR(_xlpm.recurring,0)+IFERROR(_xlpm.planned,0))</f>
        <v>0</v>
      </c>
      <c r="E73" s="105">
        <f ca="1">_xlfn.LET(
_xlpm.recurring,SUMIFS(INDEX(recurring_master!$A:$AF,,MATCH($B73,recurring_master!$A$1:$AF$1,0)),recurring_master!$A:$A,"&lt;="&amp;EOMONTH(E$4,0),recurring_master!$A:$A,"&gt;="&amp;E$4),
_xlpm.planned,SUMIFS(Planned!$F:$F,Planned!$B:$B,$B73,Planned!$E:$E,"&gt;="&amp;E$4,Planned!$E:$E,"&lt;="&amp;EOMONTH(E$4,0)),
IFERROR(_xlpm.recurring,0)+IFERROR(_xlpm.planned,0))</f>
        <v>0</v>
      </c>
      <c r="F73" s="105">
        <f ca="1">_xlfn.LET(
_xlpm.recurring,SUMIFS(INDEX(recurring_master!$A:$AF,,MATCH($B73,recurring_master!$A$1:$AF$1,0)),recurring_master!$A:$A,"&lt;="&amp;EOMONTH(F$4,0),recurring_master!$A:$A,"&gt;="&amp;F$4),
_xlpm.planned,SUMIFS(Planned!$F:$F,Planned!$B:$B,$B73,Planned!$E:$E,"&gt;="&amp;F$4,Planned!$E:$E,"&lt;="&amp;EOMONTH(F$4,0)),
IFERROR(_xlpm.recurring,0)+IFERROR(_xlpm.planned,0))</f>
        <v>0</v>
      </c>
      <c r="G73" s="105">
        <f ca="1">_xlfn.LET(
_xlpm.recurring,SUMIFS(INDEX(recurring_master!$A:$AF,,MATCH($B73,recurring_master!$A$1:$AF$1,0)),recurring_master!$A:$A,"&lt;="&amp;EOMONTH(G$4,0),recurring_master!$A:$A,"&gt;="&amp;G$4),
_xlpm.planned,SUMIFS(Planned!$F:$F,Planned!$B:$B,$B73,Planned!$E:$E,"&gt;="&amp;G$4,Planned!$E:$E,"&lt;="&amp;EOMONTH(G$4,0)),
IFERROR(_xlpm.recurring,0)+IFERROR(_xlpm.planned,0))</f>
        <v>0</v>
      </c>
      <c r="H73" s="105">
        <f ca="1">_xlfn.LET(
_xlpm.recurring,SUMIFS(INDEX(recurring_master!$A:$AF,,MATCH($B73,recurring_master!$A$1:$AF$1,0)),recurring_master!$A:$A,"&lt;="&amp;EOMONTH(H$4,0),recurring_master!$A:$A,"&gt;="&amp;H$4),
_xlpm.planned,SUMIFS(Planned!$F:$F,Planned!$B:$B,$B73,Planned!$E:$E,"&gt;="&amp;H$4,Planned!$E:$E,"&lt;="&amp;EOMONTH(H$4,0)),
IFERROR(_xlpm.recurring,0)+IFERROR(_xlpm.planned,0))</f>
        <v>0</v>
      </c>
      <c r="I73" s="105">
        <f ca="1">_xlfn.LET(
_xlpm.recurring,SUMIFS(INDEX(recurring_master!$A:$AF,,MATCH($B73,recurring_master!$A$1:$AF$1,0)),recurring_master!$A:$A,"&lt;="&amp;EOMONTH(I$4,0),recurring_master!$A:$A,"&gt;="&amp;I$4),
_xlpm.planned,SUMIFS(Planned!$F:$F,Planned!$B:$B,$B73,Planned!$E:$E,"&gt;="&amp;I$4,Planned!$E:$E,"&lt;="&amp;EOMONTH(I$4,0)),
IFERROR(_xlpm.recurring,0)+IFERROR(_xlpm.planned,0))</f>
        <v>0</v>
      </c>
      <c r="J73" s="105">
        <f ca="1">_xlfn.LET(
_xlpm.recurring,SUMIFS(INDEX(recurring_master!$A:$AF,,MATCH($B73,recurring_master!$A$1:$AF$1,0)),recurring_master!$A:$A,"&lt;="&amp;EOMONTH(J$4,0),recurring_master!$A:$A,"&gt;="&amp;J$4),
_xlpm.planned,SUMIFS(Planned!$F:$F,Planned!$B:$B,$B73,Planned!$E:$E,"&gt;="&amp;J$4,Planned!$E:$E,"&lt;="&amp;EOMONTH(J$4,0)),
IFERROR(_xlpm.recurring,0)+IFERROR(_xlpm.planned,0))</f>
        <v>0</v>
      </c>
      <c r="K73" s="105">
        <f ca="1">_xlfn.LET(
_xlpm.recurring,SUMIFS(INDEX(recurring_master!$A:$AF,,MATCH($B73,recurring_master!$A$1:$AF$1,0)),recurring_master!$A:$A,"&lt;="&amp;EOMONTH(K$4,0),recurring_master!$A:$A,"&gt;="&amp;K$4),
_xlpm.planned,SUMIFS(Planned!$F:$F,Planned!$B:$B,$B73,Planned!$E:$E,"&gt;="&amp;K$4,Planned!$E:$E,"&lt;="&amp;EOMONTH(K$4,0)),
IFERROR(_xlpm.recurring,0)+IFERROR(_xlpm.planned,0))</f>
        <v>0</v>
      </c>
      <c r="L73" s="105">
        <f ca="1">_xlfn.LET(
_xlpm.recurring,SUMIFS(INDEX(recurring_master!$A:$AF,,MATCH($B73,recurring_master!$A$1:$AF$1,0)),recurring_master!$A:$A,"&lt;="&amp;EOMONTH(L$4,0),recurring_master!$A:$A,"&gt;="&amp;L$4),
_xlpm.planned,SUMIFS(Planned!$F:$F,Planned!$B:$B,$B73,Planned!$E:$E,"&gt;="&amp;L$4,Planned!$E:$E,"&lt;="&amp;EOMONTH(L$4,0)),
IFERROR(_xlpm.recurring,0)+IFERROR(_xlpm.planned,0))</f>
        <v>0</v>
      </c>
      <c r="M73" s="105">
        <f ca="1">_xlfn.LET(
_xlpm.recurring,SUMIFS(INDEX(recurring_master!$A:$AF,,MATCH($B73,recurring_master!$A$1:$AF$1,0)),recurring_master!$A:$A,"&lt;="&amp;EOMONTH(M$4,0),recurring_master!$A:$A,"&gt;="&amp;M$4),
_xlpm.planned,SUMIFS(Planned!$F:$F,Planned!$B:$B,$B73,Planned!$E:$E,"&gt;="&amp;M$4,Planned!$E:$E,"&lt;="&amp;EOMONTH(M$4,0)),
IFERROR(_xlpm.recurring,0)+IFERROR(_xlpm.planned,0))</f>
        <v>0</v>
      </c>
      <c r="N73" s="105">
        <f ca="1">_xlfn.LET(
_xlpm.recurring,SUMIFS(INDEX(recurring_master!$A:$AF,,MATCH($B73,recurring_master!$A$1:$AF$1,0)),recurring_master!$A:$A,"&lt;="&amp;EOMONTH(N$4,0),recurring_master!$A:$A,"&gt;="&amp;N$4),
_xlpm.planned,SUMIFS(Planned!$F:$F,Planned!$B:$B,$B73,Planned!$E:$E,"&gt;="&amp;N$4,Planned!$E:$E,"&lt;="&amp;EOMONTH(N$4,0)),
IFERROR(_xlpm.recurring,0)+IFERROR(_xlpm.planned,0))</f>
        <v>0</v>
      </c>
      <c r="O73" s="96"/>
      <c r="P73" s="106">
        <f ca="1">SUM(C73:N73)</f>
        <v>0</v>
      </c>
      <c r="Q73" s="52"/>
      <c r="R73" s="42"/>
    </row>
    <row r="74" spans="1:23" ht="5.0999999999999996" customHeight="1" x14ac:dyDescent="0.2">
      <c r="A74" s="226"/>
      <c r="B74" s="69"/>
      <c r="C74" s="96"/>
      <c r="D74" s="96"/>
      <c r="E74" s="96"/>
      <c r="F74" s="96"/>
      <c r="G74" s="96"/>
      <c r="H74" s="96"/>
      <c r="I74" s="96"/>
      <c r="J74" s="96"/>
      <c r="K74" s="96"/>
      <c r="L74" s="96"/>
      <c r="M74" s="96"/>
      <c r="N74" s="96"/>
      <c r="O74" s="96"/>
      <c r="P74" s="106"/>
      <c r="Q74" s="51"/>
      <c r="R74" s="42"/>
      <c r="W74" s="18"/>
    </row>
    <row r="75" spans="1:23" ht="12.75" customHeight="1" x14ac:dyDescent="0.2">
      <c r="A75" s="226"/>
      <c r="B75" s="79" t="str">
        <f>"Total "&amp;B71</f>
        <v>Total DEBT PAYMENTS</v>
      </c>
      <c r="C75" s="113">
        <f ca="1">SUM(C72:C74)</f>
        <v>0</v>
      </c>
      <c r="D75" s="113">
        <f t="shared" ref="D75:N75" ca="1" si="19">SUM(D72:D74)</f>
        <v>0</v>
      </c>
      <c r="E75" s="113">
        <f t="shared" ca="1" si="19"/>
        <v>0</v>
      </c>
      <c r="F75" s="113">
        <f t="shared" ca="1" si="19"/>
        <v>0</v>
      </c>
      <c r="G75" s="113">
        <f t="shared" ca="1" si="19"/>
        <v>0</v>
      </c>
      <c r="H75" s="113">
        <f t="shared" ca="1" si="19"/>
        <v>0</v>
      </c>
      <c r="I75" s="113">
        <f t="shared" ca="1" si="19"/>
        <v>0</v>
      </c>
      <c r="J75" s="113">
        <f t="shared" ca="1" si="19"/>
        <v>0</v>
      </c>
      <c r="K75" s="113">
        <f t="shared" ca="1" si="19"/>
        <v>0</v>
      </c>
      <c r="L75" s="113">
        <f t="shared" ca="1" si="19"/>
        <v>0</v>
      </c>
      <c r="M75" s="113">
        <f t="shared" ca="1" si="19"/>
        <v>0</v>
      </c>
      <c r="N75" s="114">
        <f t="shared" ca="1" si="19"/>
        <v>0</v>
      </c>
      <c r="O75" s="113"/>
      <c r="P75" s="115">
        <f ca="1">SUM(P72:P73)</f>
        <v>0</v>
      </c>
      <c r="Q75" s="51"/>
      <c r="R75" s="42"/>
    </row>
    <row r="76" spans="1:23" ht="5.0999999999999996" customHeight="1" x14ac:dyDescent="0.2">
      <c r="A76" s="226"/>
      <c r="B76" s="70"/>
      <c r="C76" s="96"/>
      <c r="D76" s="96"/>
      <c r="E76" s="96"/>
      <c r="F76" s="96"/>
      <c r="G76" s="96"/>
      <c r="H76" s="96"/>
      <c r="I76" s="96"/>
      <c r="J76" s="96"/>
      <c r="K76" s="96"/>
      <c r="L76" s="96"/>
      <c r="M76" s="96"/>
      <c r="N76" s="96"/>
      <c r="O76" s="96"/>
      <c r="P76" s="96"/>
      <c r="Q76" s="51"/>
      <c r="R76" s="42"/>
    </row>
    <row r="77" spans="1:23" ht="12.75" customHeight="1" x14ac:dyDescent="0.2">
      <c r="A77" s="226"/>
      <c r="B77" s="80" t="s">
        <v>34</v>
      </c>
      <c r="C77" s="117">
        <f t="shared" ref="C77:N77" ca="1" si="20">SUM(C75,C69,C63,C52)</f>
        <v>0</v>
      </c>
      <c r="D77" s="117">
        <f t="shared" ca="1" si="20"/>
        <v>0</v>
      </c>
      <c r="E77" s="117">
        <f t="shared" ca="1" si="20"/>
        <v>0</v>
      </c>
      <c r="F77" s="117">
        <f t="shared" ca="1" si="20"/>
        <v>0</v>
      </c>
      <c r="G77" s="117">
        <f t="shared" ca="1" si="20"/>
        <v>0</v>
      </c>
      <c r="H77" s="117">
        <f t="shared" ca="1" si="20"/>
        <v>0</v>
      </c>
      <c r="I77" s="117">
        <f t="shared" ca="1" si="20"/>
        <v>0</v>
      </c>
      <c r="J77" s="117">
        <f t="shared" ca="1" si="20"/>
        <v>0</v>
      </c>
      <c r="K77" s="117">
        <f t="shared" ca="1" si="20"/>
        <v>0</v>
      </c>
      <c r="L77" s="117">
        <f t="shared" ca="1" si="20"/>
        <v>0</v>
      </c>
      <c r="M77" s="117">
        <f t="shared" ca="1" si="20"/>
        <v>0</v>
      </c>
      <c r="N77" s="117">
        <f t="shared" ca="1" si="20"/>
        <v>0</v>
      </c>
      <c r="O77" s="116"/>
      <c r="P77" s="118">
        <f ca="1">SUM(P75,P69,P63,P52)</f>
        <v>0</v>
      </c>
      <c r="Q77" s="51"/>
      <c r="R77" s="42"/>
    </row>
    <row r="78" spans="1:23" x14ac:dyDescent="0.2">
      <c r="A78" s="226"/>
      <c r="B78" s="70"/>
      <c r="C78" s="96"/>
      <c r="D78" s="96"/>
      <c r="E78" s="96"/>
      <c r="F78" s="96"/>
      <c r="G78" s="96"/>
      <c r="H78" s="96"/>
      <c r="I78" s="96"/>
      <c r="J78" s="96"/>
      <c r="K78" s="96"/>
      <c r="L78" s="96"/>
      <c r="M78" s="96"/>
      <c r="N78" s="96"/>
      <c r="O78" s="96"/>
      <c r="P78" s="96"/>
      <c r="Q78" s="51"/>
      <c r="R78" s="42"/>
      <c r="W78" s="18"/>
    </row>
    <row r="79" spans="1:23" ht="12.75" customHeight="1" x14ac:dyDescent="0.2">
      <c r="A79" s="226"/>
      <c r="B79" s="68" t="s">
        <v>86</v>
      </c>
      <c r="C79" s="103"/>
      <c r="D79" s="103"/>
      <c r="E79" s="103"/>
      <c r="F79" s="103"/>
      <c r="G79" s="103"/>
      <c r="H79" s="103"/>
      <c r="I79" s="103"/>
      <c r="J79" s="103"/>
      <c r="K79" s="103"/>
      <c r="L79" s="103"/>
      <c r="M79" s="103"/>
      <c r="N79" s="103"/>
      <c r="O79" s="103"/>
      <c r="P79" s="104"/>
      <c r="Q79" s="51"/>
      <c r="R79" s="42"/>
    </row>
    <row r="80" spans="1:23" ht="12.75" customHeight="1" x14ac:dyDescent="0.2">
      <c r="A80" s="226"/>
      <c r="B80" s="69" t="s">
        <v>90</v>
      </c>
      <c r="C80" s="200">
        <f ca="1">_xlfn.LET(
_xlpm.recurring,SUMIFS(INDEX(recurring_master!$A:$AF,,MATCH($B80,recurring_master!$A$1:$AF$1,0)),recurring_master!$A:$A,"&lt;="&amp;EOMONTH(C$4,0),recurring_master!$A:$A,"&gt;="&amp;C$4),
_xlpm.planned,SUMIFS(Planned!$F:$F,Planned!$B:$B,$B80,Planned!$E:$E,"&gt;="&amp;C$4,Planned!$E:$E,"&lt;="&amp;EOMONTH(C$4,0)),
_xlpm.precedents,C$19*SUMIFS(Precedents!$E:$E,Precedents!$D:$D,$B$19,Precedents!$B:$B,$B80)+C$20*SUMIFS(Precedents!$E:$E,Precedents!$D:$D,$B$20,Precedents!$B:$B,$B80),
IFERROR(_xlpm.recurring,0)+IFERROR(_xlpm.planned,0)+IFERROR(_xlpm.precedents,0))</f>
        <v>0</v>
      </c>
      <c r="D80" s="200">
        <f ca="1">_xlfn.LET(
_xlpm.recurring,SUMIFS(INDEX(recurring_master!$A:$AF,,MATCH($B80,recurring_master!$A$1:$AF$1,0)),recurring_master!$A:$A,"&lt;="&amp;EOMONTH(D$4,0),recurring_master!$A:$A,"&gt;="&amp;D$4),
_xlpm.planned,SUMIFS(Planned!$F:$F,Planned!$B:$B,$B80,Planned!$E:$E,"&gt;="&amp;D$4,Planned!$E:$E,"&lt;="&amp;EOMONTH(D$4,0)),
_xlpm.precedents,D$19*SUMIFS(Precedents!$E:$E,Precedents!$D:$D,$B$19,Precedents!$B:$B,$B80)+D$20*SUMIFS(Precedents!$E:$E,Precedents!$D:$D,$B$20,Precedents!$B:$B,$B80),
IFERROR(_xlpm.recurring,0)+IFERROR(_xlpm.planned,0)+IFERROR(_xlpm.precedents,0))</f>
        <v>0</v>
      </c>
      <c r="E80" s="200">
        <f ca="1">_xlfn.LET(
_xlpm.recurring,SUMIFS(INDEX(recurring_master!$A:$AF,,MATCH($B80,recurring_master!$A$1:$AF$1,0)),recurring_master!$A:$A,"&lt;="&amp;EOMONTH(E$4,0),recurring_master!$A:$A,"&gt;="&amp;E$4),
_xlpm.planned,SUMIFS(Planned!$F:$F,Planned!$B:$B,$B80,Planned!$E:$E,"&gt;="&amp;E$4,Planned!$E:$E,"&lt;="&amp;EOMONTH(E$4,0)),
_xlpm.precedents,E$19*SUMIFS(Precedents!$E:$E,Precedents!$D:$D,$B$19,Precedents!$B:$B,$B80)+E$20*SUMIFS(Precedents!$E:$E,Precedents!$D:$D,$B$20,Precedents!$B:$B,$B80),
IFERROR(_xlpm.recurring,0)+IFERROR(_xlpm.planned,0)+IFERROR(_xlpm.precedents,0))</f>
        <v>0</v>
      </c>
      <c r="F80" s="200">
        <f ca="1">_xlfn.LET(
_xlpm.recurring,SUMIFS(INDEX(recurring_master!$A:$AF,,MATCH($B80,recurring_master!$A$1:$AF$1,0)),recurring_master!$A:$A,"&lt;="&amp;EOMONTH(F$4,0),recurring_master!$A:$A,"&gt;="&amp;F$4),
_xlpm.planned,SUMIFS(Planned!$F:$F,Planned!$B:$B,$B80,Planned!$E:$E,"&gt;="&amp;F$4,Planned!$E:$E,"&lt;="&amp;EOMONTH(F$4,0)),
_xlpm.precedents,F$19*SUMIFS(Precedents!$E:$E,Precedents!$D:$D,$B$19,Precedents!$B:$B,$B80)+F$20*SUMIFS(Precedents!$E:$E,Precedents!$D:$D,$B$20,Precedents!$B:$B,$B80),
IFERROR(_xlpm.recurring,0)+IFERROR(_xlpm.planned,0)+IFERROR(_xlpm.precedents,0))</f>
        <v>0</v>
      </c>
      <c r="G80" s="200">
        <f ca="1">_xlfn.LET(
_xlpm.recurring,SUMIFS(INDEX(recurring_master!$A:$AF,,MATCH($B80,recurring_master!$A$1:$AF$1,0)),recurring_master!$A:$A,"&lt;="&amp;EOMONTH(G$4,0),recurring_master!$A:$A,"&gt;="&amp;G$4),
_xlpm.planned,SUMIFS(Planned!$F:$F,Planned!$B:$B,$B80,Planned!$E:$E,"&gt;="&amp;G$4,Planned!$E:$E,"&lt;="&amp;EOMONTH(G$4,0)),
_xlpm.precedents,G$19*SUMIFS(Precedents!$E:$E,Precedents!$D:$D,$B$19,Precedents!$B:$B,$B80)+G$20*SUMIFS(Precedents!$E:$E,Precedents!$D:$D,$B$20,Precedents!$B:$B,$B80),
IFERROR(_xlpm.recurring,0)+IFERROR(_xlpm.planned,0)+IFERROR(_xlpm.precedents,0))</f>
        <v>0</v>
      </c>
      <c r="H80" s="200">
        <f ca="1">_xlfn.LET(
_xlpm.recurring,SUMIFS(INDEX(recurring_master!$A:$AF,,MATCH($B80,recurring_master!$A$1:$AF$1,0)),recurring_master!$A:$A,"&lt;="&amp;EOMONTH(H$4,0),recurring_master!$A:$A,"&gt;="&amp;H$4),
_xlpm.planned,SUMIFS(Planned!$F:$F,Planned!$B:$B,$B80,Planned!$E:$E,"&gt;="&amp;H$4,Planned!$E:$E,"&lt;="&amp;EOMONTH(H$4,0)),
_xlpm.precedents,H$19*SUMIFS(Precedents!$E:$E,Precedents!$D:$D,$B$19,Precedents!$B:$B,$B80)+H$20*SUMIFS(Precedents!$E:$E,Precedents!$D:$D,$B$20,Precedents!$B:$B,$B80),
IFERROR(_xlpm.recurring,0)+IFERROR(_xlpm.planned,0)+IFERROR(_xlpm.precedents,0))</f>
        <v>0</v>
      </c>
      <c r="I80" s="200">
        <f ca="1">_xlfn.LET(
_xlpm.recurring,SUMIFS(INDEX(recurring_master!$A:$AF,,MATCH($B80,recurring_master!$A$1:$AF$1,0)),recurring_master!$A:$A,"&lt;="&amp;EOMONTH(I$4,0),recurring_master!$A:$A,"&gt;="&amp;I$4),
_xlpm.planned,SUMIFS(Planned!$F:$F,Planned!$B:$B,$B80,Planned!$E:$E,"&gt;="&amp;I$4,Planned!$E:$E,"&lt;="&amp;EOMONTH(I$4,0)),
_xlpm.precedents,I$19*SUMIFS(Precedents!$E:$E,Precedents!$D:$D,$B$19,Precedents!$B:$B,$B80)+I$20*SUMIFS(Precedents!$E:$E,Precedents!$D:$D,$B$20,Precedents!$B:$B,$B80),
IFERROR(_xlpm.recurring,0)+IFERROR(_xlpm.planned,0)+IFERROR(_xlpm.precedents,0))</f>
        <v>0</v>
      </c>
      <c r="J80" s="200">
        <f ca="1">_xlfn.LET(
_xlpm.recurring,SUMIFS(INDEX(recurring_master!$A:$AF,,MATCH($B80,recurring_master!$A$1:$AF$1,0)),recurring_master!$A:$A,"&lt;="&amp;EOMONTH(J$4,0),recurring_master!$A:$A,"&gt;="&amp;J$4),
_xlpm.planned,SUMIFS(Planned!$F:$F,Planned!$B:$B,$B80,Planned!$E:$E,"&gt;="&amp;J$4,Planned!$E:$E,"&lt;="&amp;EOMONTH(J$4,0)),
_xlpm.precedents,J$19*SUMIFS(Precedents!$E:$E,Precedents!$D:$D,$B$19,Precedents!$B:$B,$B80)+J$20*SUMIFS(Precedents!$E:$E,Precedents!$D:$D,$B$20,Precedents!$B:$B,$B80),
IFERROR(_xlpm.recurring,0)+IFERROR(_xlpm.planned,0)+IFERROR(_xlpm.precedents,0))</f>
        <v>0</v>
      </c>
      <c r="K80" s="200">
        <f ca="1">_xlfn.LET(
_xlpm.recurring,SUMIFS(INDEX(recurring_master!$A:$AF,,MATCH($B80,recurring_master!$A$1:$AF$1,0)),recurring_master!$A:$A,"&lt;="&amp;EOMONTH(K$4,0),recurring_master!$A:$A,"&gt;="&amp;K$4),
_xlpm.planned,SUMIFS(Planned!$F:$F,Planned!$B:$B,$B80,Planned!$E:$E,"&gt;="&amp;K$4,Planned!$E:$E,"&lt;="&amp;EOMONTH(K$4,0)),
_xlpm.precedents,K$19*SUMIFS(Precedents!$E:$E,Precedents!$D:$D,$B$19,Precedents!$B:$B,$B80)+K$20*SUMIFS(Precedents!$E:$E,Precedents!$D:$D,$B$20,Precedents!$B:$B,$B80),
IFERROR(_xlpm.recurring,0)+IFERROR(_xlpm.planned,0)+IFERROR(_xlpm.precedents,0))</f>
        <v>0</v>
      </c>
      <c r="L80" s="200">
        <f ca="1">_xlfn.LET(
_xlpm.recurring,SUMIFS(INDEX(recurring_master!$A:$AF,,MATCH($B80,recurring_master!$A$1:$AF$1,0)),recurring_master!$A:$A,"&lt;="&amp;EOMONTH(L$4,0),recurring_master!$A:$A,"&gt;="&amp;L$4),
_xlpm.planned,SUMIFS(Planned!$F:$F,Planned!$B:$B,$B80,Planned!$E:$E,"&gt;="&amp;L$4,Planned!$E:$E,"&lt;="&amp;EOMONTH(L$4,0)),
_xlpm.precedents,L$19*SUMIFS(Precedents!$E:$E,Precedents!$D:$D,$B$19,Precedents!$B:$B,$B80)+L$20*SUMIFS(Precedents!$E:$E,Precedents!$D:$D,$B$20,Precedents!$B:$B,$B80),
IFERROR(_xlpm.recurring,0)+IFERROR(_xlpm.planned,0)+IFERROR(_xlpm.precedents,0))</f>
        <v>0</v>
      </c>
      <c r="M80" s="200">
        <f ca="1">_xlfn.LET(
_xlpm.recurring,SUMIFS(INDEX(recurring_master!$A:$AF,,MATCH($B80,recurring_master!$A$1:$AF$1,0)),recurring_master!$A:$A,"&lt;="&amp;EOMONTH(M$4,0),recurring_master!$A:$A,"&gt;="&amp;M$4),
_xlpm.planned,SUMIFS(Planned!$F:$F,Planned!$B:$B,$B80,Planned!$E:$E,"&gt;="&amp;M$4,Planned!$E:$E,"&lt;="&amp;EOMONTH(M$4,0)),
_xlpm.precedents,M$19*SUMIFS(Precedents!$E:$E,Precedents!$D:$D,$B$19,Precedents!$B:$B,$B80)+M$20*SUMIFS(Precedents!$E:$E,Precedents!$D:$D,$B$20,Precedents!$B:$B,$B80),
IFERROR(_xlpm.recurring,0)+IFERROR(_xlpm.planned,0)+IFERROR(_xlpm.precedents,0))</f>
        <v>0</v>
      </c>
      <c r="N80" s="200">
        <f ca="1">_xlfn.LET(
_xlpm.recurring,SUMIFS(INDEX(recurring_master!$A:$AF,,MATCH($B80,recurring_master!$A$1:$AF$1,0)),recurring_master!$A:$A,"&lt;="&amp;EOMONTH(N$4,0),recurring_master!$A:$A,"&gt;="&amp;N$4),
_xlpm.planned,SUMIFS(Planned!$F:$F,Planned!$B:$B,$B80,Planned!$E:$E,"&gt;="&amp;N$4,Planned!$E:$E,"&lt;="&amp;EOMONTH(N$4,0)),
_xlpm.precedents,N$19*SUMIFS(Precedents!$E:$E,Precedents!$D:$D,$B$19,Precedents!$B:$B,$B80)+N$20*SUMIFS(Precedents!$E:$E,Precedents!$D:$D,$B$20,Precedents!$B:$B,$B80),
IFERROR(_xlpm.recurring,0)+IFERROR(_xlpm.planned,0)+IFERROR(_xlpm.precedents,0))</f>
        <v>0</v>
      </c>
      <c r="O80" s="96"/>
      <c r="P80" s="106">
        <f ca="1">SUM(C80:N80)</f>
        <v>0</v>
      </c>
      <c r="Q80" s="51"/>
      <c r="R80" s="42"/>
    </row>
    <row r="81" spans="1:23" ht="5.0999999999999996" customHeight="1" x14ac:dyDescent="0.2">
      <c r="A81" s="226"/>
      <c r="B81" s="69"/>
      <c r="C81" s="96"/>
      <c r="D81" s="96"/>
      <c r="E81" s="96"/>
      <c r="F81" s="96"/>
      <c r="G81" s="96"/>
      <c r="H81" s="96"/>
      <c r="I81" s="96"/>
      <c r="J81" s="96"/>
      <c r="K81" s="96"/>
      <c r="L81" s="96"/>
      <c r="M81" s="96"/>
      <c r="N81" s="96"/>
      <c r="O81" s="96"/>
      <c r="P81" s="106"/>
      <c r="Q81" s="51"/>
      <c r="R81" s="42"/>
    </row>
    <row r="82" spans="1:23" ht="12.75" customHeight="1" x14ac:dyDescent="0.2">
      <c r="A82" s="226"/>
      <c r="B82" s="73" t="str">
        <f>"Total "&amp;B79</f>
        <v>Total NON CASH</v>
      </c>
      <c r="C82" s="109">
        <f t="shared" ref="C82:N82" ca="1" si="21">SUM(C80:C81)</f>
        <v>0</v>
      </c>
      <c r="D82" s="109">
        <f t="shared" ca="1" si="21"/>
        <v>0</v>
      </c>
      <c r="E82" s="109">
        <f t="shared" ca="1" si="21"/>
        <v>0</v>
      </c>
      <c r="F82" s="109">
        <f t="shared" ca="1" si="21"/>
        <v>0</v>
      </c>
      <c r="G82" s="109">
        <f t="shared" ca="1" si="21"/>
        <v>0</v>
      </c>
      <c r="H82" s="109">
        <f t="shared" ca="1" si="21"/>
        <v>0</v>
      </c>
      <c r="I82" s="109">
        <f t="shared" ca="1" si="21"/>
        <v>0</v>
      </c>
      <c r="J82" s="109">
        <f t="shared" ca="1" si="21"/>
        <v>0</v>
      </c>
      <c r="K82" s="109">
        <f t="shared" ca="1" si="21"/>
        <v>0</v>
      </c>
      <c r="L82" s="109">
        <f t="shared" ca="1" si="21"/>
        <v>0</v>
      </c>
      <c r="M82" s="109">
        <f t="shared" ca="1" si="21"/>
        <v>0</v>
      </c>
      <c r="N82" s="119">
        <f t="shared" ca="1" si="21"/>
        <v>0</v>
      </c>
      <c r="O82" s="109"/>
      <c r="P82" s="110">
        <f ca="1">SUM(P80:P80)</f>
        <v>0</v>
      </c>
      <c r="Q82" s="51"/>
      <c r="R82" s="42"/>
    </row>
    <row r="83" spans="1:23" x14ac:dyDescent="0.2">
      <c r="A83" s="226"/>
      <c r="B83" s="70"/>
      <c r="C83" s="96"/>
      <c r="D83" s="96"/>
      <c r="E83" s="96"/>
      <c r="F83" s="96"/>
      <c r="G83" s="96"/>
      <c r="H83" s="96"/>
      <c r="I83" s="96"/>
      <c r="J83" s="96"/>
      <c r="K83" s="96"/>
      <c r="L83" s="96"/>
      <c r="M83" s="96"/>
      <c r="N83" s="96"/>
      <c r="O83" s="96"/>
      <c r="P83" s="96"/>
      <c r="Q83" s="51"/>
      <c r="R83" s="42"/>
    </row>
    <row r="84" spans="1:23" ht="12.75" customHeight="1" x14ac:dyDescent="0.2">
      <c r="A84" s="226"/>
      <c r="B84" s="81" t="s">
        <v>42</v>
      </c>
      <c r="C84" s="120"/>
      <c r="D84" s="120"/>
      <c r="E84" s="120"/>
      <c r="F84" s="120"/>
      <c r="G84" s="120"/>
      <c r="H84" s="120"/>
      <c r="I84" s="120"/>
      <c r="J84" s="120"/>
      <c r="K84" s="120"/>
      <c r="L84" s="120"/>
      <c r="M84" s="120"/>
      <c r="N84" s="150"/>
      <c r="O84" s="96"/>
      <c r="P84" s="96"/>
      <c r="Q84" s="51"/>
      <c r="R84" s="42"/>
    </row>
    <row r="85" spans="1:23" ht="12.75" customHeight="1" x14ac:dyDescent="0.2">
      <c r="A85" s="226"/>
      <c r="B85" s="69" t="s">
        <v>210</v>
      </c>
      <c r="C85" s="105">
        <f t="shared" ref="C85:N85" ca="1" si="22">C15</f>
        <v>0</v>
      </c>
      <c r="D85" s="105">
        <f t="shared" ca="1" si="22"/>
        <v>0</v>
      </c>
      <c r="E85" s="105">
        <f t="shared" ca="1" si="22"/>
        <v>0</v>
      </c>
      <c r="F85" s="105">
        <f t="shared" ca="1" si="22"/>
        <v>0</v>
      </c>
      <c r="G85" s="105">
        <f t="shared" ca="1" si="22"/>
        <v>0</v>
      </c>
      <c r="H85" s="105">
        <f t="shared" ca="1" si="22"/>
        <v>0</v>
      </c>
      <c r="I85" s="105">
        <f t="shared" ca="1" si="22"/>
        <v>0</v>
      </c>
      <c r="J85" s="105">
        <f t="shared" ca="1" si="22"/>
        <v>0</v>
      </c>
      <c r="K85" s="105">
        <f t="shared" ca="1" si="22"/>
        <v>0</v>
      </c>
      <c r="L85" s="105">
        <f t="shared" ca="1" si="22"/>
        <v>0</v>
      </c>
      <c r="M85" s="105">
        <f t="shared" ca="1" si="22"/>
        <v>0</v>
      </c>
      <c r="N85" s="147">
        <f t="shared" ca="1" si="22"/>
        <v>0</v>
      </c>
      <c r="O85" s="96"/>
      <c r="P85" s="96"/>
      <c r="Q85" s="51"/>
      <c r="R85" s="42"/>
    </row>
    <row r="86" spans="1:23" ht="12.75" customHeight="1" x14ac:dyDescent="0.2">
      <c r="A86" s="226"/>
      <c r="B86" s="69" t="s">
        <v>211</v>
      </c>
      <c r="C86" s="105">
        <f>'Balances &amp; Actions'!C7</f>
        <v>0</v>
      </c>
      <c r="D86" s="105">
        <f>C86</f>
        <v>0</v>
      </c>
      <c r="E86" s="105">
        <f t="shared" ref="E86:N86" si="23">D86</f>
        <v>0</v>
      </c>
      <c r="F86" s="105">
        <f t="shared" si="23"/>
        <v>0</v>
      </c>
      <c r="G86" s="105">
        <f t="shared" si="23"/>
        <v>0</v>
      </c>
      <c r="H86" s="105">
        <f t="shared" si="23"/>
        <v>0</v>
      </c>
      <c r="I86" s="105">
        <f t="shared" si="23"/>
        <v>0</v>
      </c>
      <c r="J86" s="105">
        <f t="shared" si="23"/>
        <v>0</v>
      </c>
      <c r="K86" s="105">
        <f t="shared" si="23"/>
        <v>0</v>
      </c>
      <c r="L86" s="105">
        <f t="shared" si="23"/>
        <v>0</v>
      </c>
      <c r="M86" s="105">
        <f t="shared" si="23"/>
        <v>0</v>
      </c>
      <c r="N86" s="147">
        <f t="shared" si="23"/>
        <v>0</v>
      </c>
      <c r="O86" s="96"/>
      <c r="P86" s="96"/>
      <c r="Q86" s="51"/>
      <c r="R86" s="42"/>
    </row>
    <row r="87" spans="1:23" ht="5.0999999999999996" customHeight="1" x14ac:dyDescent="0.2">
      <c r="A87" s="226"/>
      <c r="B87" s="69"/>
      <c r="C87" s="96"/>
      <c r="D87" s="96"/>
      <c r="E87" s="96"/>
      <c r="F87" s="96"/>
      <c r="G87" s="96"/>
      <c r="H87" s="96"/>
      <c r="I87" s="96"/>
      <c r="J87" s="96"/>
      <c r="K87" s="96"/>
      <c r="L87" s="96"/>
      <c r="M87" s="96"/>
      <c r="N87" s="106"/>
      <c r="O87" s="96"/>
      <c r="P87" s="96"/>
      <c r="Q87" s="51"/>
      <c r="R87" s="42"/>
      <c r="W87" s="18"/>
    </row>
    <row r="88" spans="1:23" ht="12.75" customHeight="1" x14ac:dyDescent="0.2">
      <c r="A88" s="226"/>
      <c r="B88" s="69" t="s">
        <v>209</v>
      </c>
      <c r="C88" s="105">
        <f ca="1">'Balances &amp; Actions'!C9+C66-C37</f>
        <v>0</v>
      </c>
      <c r="D88" s="105">
        <f t="shared" ref="D88:N88" ca="1" si="24">C88+D66-D37</f>
        <v>0</v>
      </c>
      <c r="E88" s="105">
        <f t="shared" ca="1" si="24"/>
        <v>0</v>
      </c>
      <c r="F88" s="105">
        <f t="shared" ca="1" si="24"/>
        <v>0</v>
      </c>
      <c r="G88" s="105">
        <f t="shared" ca="1" si="24"/>
        <v>0</v>
      </c>
      <c r="H88" s="105">
        <f t="shared" ca="1" si="24"/>
        <v>0</v>
      </c>
      <c r="I88" s="105">
        <f t="shared" ca="1" si="24"/>
        <v>0</v>
      </c>
      <c r="J88" s="105">
        <f t="shared" ca="1" si="24"/>
        <v>0</v>
      </c>
      <c r="K88" s="105">
        <f t="shared" ca="1" si="24"/>
        <v>0</v>
      </c>
      <c r="L88" s="105">
        <f t="shared" ca="1" si="24"/>
        <v>0</v>
      </c>
      <c r="M88" s="105">
        <f t="shared" ca="1" si="24"/>
        <v>0</v>
      </c>
      <c r="N88" s="147">
        <f t="shared" ca="1" si="24"/>
        <v>0</v>
      </c>
      <c r="O88" s="96"/>
      <c r="P88" s="96"/>
      <c r="Q88" s="51"/>
      <c r="R88" s="42"/>
    </row>
    <row r="89" spans="1:23" ht="12.75" customHeight="1" x14ac:dyDescent="0.2">
      <c r="A89" s="226"/>
      <c r="B89" s="69" t="s">
        <v>208</v>
      </c>
      <c r="C89" s="105">
        <f ca="1">'Balances &amp; Actions'!C10+SUM(C67,C27,C80)</f>
        <v>0</v>
      </c>
      <c r="D89" s="105">
        <f t="shared" ref="D89:N89" ca="1" si="25">C89+SUM(D67,D27,D80)</f>
        <v>0</v>
      </c>
      <c r="E89" s="105">
        <f t="shared" ca="1" si="25"/>
        <v>0</v>
      </c>
      <c r="F89" s="105">
        <f t="shared" ca="1" si="25"/>
        <v>0</v>
      </c>
      <c r="G89" s="105">
        <f t="shared" ca="1" si="25"/>
        <v>0</v>
      </c>
      <c r="H89" s="105">
        <f t="shared" ca="1" si="25"/>
        <v>0</v>
      </c>
      <c r="I89" s="105">
        <f t="shared" ca="1" si="25"/>
        <v>0</v>
      </c>
      <c r="J89" s="105">
        <f t="shared" ca="1" si="25"/>
        <v>0</v>
      </c>
      <c r="K89" s="105">
        <f t="shared" ca="1" si="25"/>
        <v>0</v>
      </c>
      <c r="L89" s="105">
        <f t="shared" ca="1" si="25"/>
        <v>0</v>
      </c>
      <c r="M89" s="105">
        <f t="shared" ca="1" si="25"/>
        <v>0</v>
      </c>
      <c r="N89" s="147">
        <f t="shared" ca="1" si="25"/>
        <v>0</v>
      </c>
      <c r="O89" s="96"/>
      <c r="P89" s="96"/>
      <c r="Q89" s="51"/>
      <c r="R89" s="42"/>
    </row>
    <row r="90" spans="1:23" ht="5.0999999999999996" customHeight="1" x14ac:dyDescent="0.2">
      <c r="A90" s="226"/>
      <c r="B90" s="69"/>
      <c r="C90" s="96"/>
      <c r="D90" s="96"/>
      <c r="E90" s="96"/>
      <c r="F90" s="96"/>
      <c r="G90" s="96"/>
      <c r="H90" s="96"/>
      <c r="I90" s="96"/>
      <c r="J90" s="96"/>
      <c r="K90" s="96"/>
      <c r="L90" s="96"/>
      <c r="M90" s="96"/>
      <c r="N90" s="106"/>
      <c r="O90" s="96"/>
      <c r="P90" s="96"/>
      <c r="Q90" s="51"/>
      <c r="R90" s="42"/>
      <c r="W90" s="18"/>
    </row>
    <row r="91" spans="1:23" ht="12.75" customHeight="1" x14ac:dyDescent="0.2">
      <c r="A91" s="226"/>
      <c r="B91" s="69" t="s">
        <v>328</v>
      </c>
      <c r="C91" s="105">
        <f>'Balances &amp; Actions'!C12</f>
        <v>0</v>
      </c>
      <c r="D91" s="105">
        <f>C91</f>
        <v>0</v>
      </c>
      <c r="E91" s="105">
        <f t="shared" ref="E91:N91" si="26">D91</f>
        <v>0</v>
      </c>
      <c r="F91" s="105">
        <f t="shared" si="26"/>
        <v>0</v>
      </c>
      <c r="G91" s="105">
        <f t="shared" si="26"/>
        <v>0</v>
      </c>
      <c r="H91" s="105">
        <f t="shared" si="26"/>
        <v>0</v>
      </c>
      <c r="I91" s="105">
        <f t="shared" si="26"/>
        <v>0</v>
      </c>
      <c r="J91" s="105">
        <f t="shared" si="26"/>
        <v>0</v>
      </c>
      <c r="K91" s="105">
        <f t="shared" si="26"/>
        <v>0</v>
      </c>
      <c r="L91" s="105">
        <f t="shared" si="26"/>
        <v>0</v>
      </c>
      <c r="M91" s="105">
        <f t="shared" si="26"/>
        <v>0</v>
      </c>
      <c r="N91" s="147">
        <f t="shared" si="26"/>
        <v>0</v>
      </c>
      <c r="O91" s="96"/>
      <c r="P91" s="96"/>
      <c r="Q91" s="51"/>
      <c r="R91" s="42"/>
    </row>
    <row r="92" spans="1:23" ht="5.0999999999999996" customHeight="1" x14ac:dyDescent="0.2">
      <c r="A92" s="226"/>
      <c r="B92" s="69"/>
      <c r="C92" s="96"/>
      <c r="D92" s="96"/>
      <c r="E92" s="96"/>
      <c r="F92" s="96"/>
      <c r="G92" s="96"/>
      <c r="H92" s="96"/>
      <c r="I92" s="96"/>
      <c r="J92" s="96"/>
      <c r="K92" s="96"/>
      <c r="L92" s="96"/>
      <c r="M92" s="96"/>
      <c r="N92" s="106"/>
      <c r="O92" s="96"/>
      <c r="P92" s="96"/>
      <c r="Q92" s="51"/>
      <c r="R92" s="42"/>
      <c r="W92" s="18"/>
    </row>
    <row r="93" spans="1:23" ht="12.75" customHeight="1" x14ac:dyDescent="0.2">
      <c r="A93" s="226"/>
      <c r="B93" s="82" t="s">
        <v>100</v>
      </c>
      <c r="C93" s="121">
        <f t="shared" ref="C93:N93" ca="1" si="27">SUM(C85:C90)</f>
        <v>0</v>
      </c>
      <c r="D93" s="121">
        <f t="shared" ca="1" si="27"/>
        <v>0</v>
      </c>
      <c r="E93" s="121">
        <f t="shared" ca="1" si="27"/>
        <v>0</v>
      </c>
      <c r="F93" s="121">
        <f t="shared" ca="1" si="27"/>
        <v>0</v>
      </c>
      <c r="G93" s="121">
        <f t="shared" ca="1" si="27"/>
        <v>0</v>
      </c>
      <c r="H93" s="121">
        <f t="shared" ca="1" si="27"/>
        <v>0</v>
      </c>
      <c r="I93" s="121">
        <f t="shared" ca="1" si="27"/>
        <v>0</v>
      </c>
      <c r="J93" s="121">
        <f t="shared" ca="1" si="27"/>
        <v>0</v>
      </c>
      <c r="K93" s="121">
        <f t="shared" ca="1" si="27"/>
        <v>0</v>
      </c>
      <c r="L93" s="121">
        <f t="shared" ca="1" si="27"/>
        <v>0</v>
      </c>
      <c r="M93" s="121">
        <f t="shared" ca="1" si="27"/>
        <v>0</v>
      </c>
      <c r="N93" s="148">
        <f t="shared" ca="1" si="27"/>
        <v>0</v>
      </c>
      <c r="O93" s="96"/>
      <c r="P93" s="96"/>
      <c r="Q93" s="51"/>
      <c r="R93" s="42"/>
    </row>
    <row r="94" spans="1:23" ht="5.0999999999999996" customHeight="1" x14ac:dyDescent="0.2">
      <c r="A94" s="226"/>
      <c r="B94" s="69"/>
      <c r="C94" s="96"/>
      <c r="D94" s="96"/>
      <c r="E94" s="96"/>
      <c r="F94" s="96"/>
      <c r="G94" s="96"/>
      <c r="H94" s="96"/>
      <c r="I94" s="96"/>
      <c r="J94" s="96"/>
      <c r="K94" s="96"/>
      <c r="L94" s="96"/>
      <c r="M94" s="96"/>
      <c r="N94" s="106"/>
      <c r="O94" s="96"/>
      <c r="P94" s="96"/>
      <c r="Q94" s="51"/>
      <c r="R94" s="42"/>
      <c r="W94" s="18"/>
    </row>
    <row r="95" spans="1:23" ht="12.75" customHeight="1" x14ac:dyDescent="0.2">
      <c r="A95" s="226"/>
      <c r="B95" s="69" t="s">
        <v>207</v>
      </c>
      <c r="C95" s="105">
        <f ca="1">'Balances &amp; Actions'!C16-C72</f>
        <v>0</v>
      </c>
      <c r="D95" s="105">
        <f t="shared" ref="D95:N95" ca="1" si="28">C95-D72</f>
        <v>0</v>
      </c>
      <c r="E95" s="105">
        <f t="shared" ca="1" si="28"/>
        <v>0</v>
      </c>
      <c r="F95" s="105">
        <f t="shared" ca="1" si="28"/>
        <v>0</v>
      </c>
      <c r="G95" s="105">
        <f t="shared" ca="1" si="28"/>
        <v>0</v>
      </c>
      <c r="H95" s="105">
        <f t="shared" ca="1" si="28"/>
        <v>0</v>
      </c>
      <c r="I95" s="105">
        <f t="shared" ca="1" si="28"/>
        <v>0</v>
      </c>
      <c r="J95" s="105">
        <f t="shared" ca="1" si="28"/>
        <v>0</v>
      </c>
      <c r="K95" s="105">
        <f t="shared" ca="1" si="28"/>
        <v>0</v>
      </c>
      <c r="L95" s="105">
        <f t="shared" ca="1" si="28"/>
        <v>0</v>
      </c>
      <c r="M95" s="105">
        <f t="shared" ca="1" si="28"/>
        <v>0</v>
      </c>
      <c r="N95" s="147">
        <f t="shared" ca="1" si="28"/>
        <v>0</v>
      </c>
      <c r="O95" s="96"/>
      <c r="P95" s="96"/>
      <c r="Q95" s="51"/>
      <c r="R95" s="42"/>
    </row>
    <row r="96" spans="1:23" ht="12.75" customHeight="1" x14ac:dyDescent="0.2">
      <c r="A96" s="226"/>
      <c r="B96" s="69" t="s">
        <v>206</v>
      </c>
      <c r="C96" s="105">
        <f ca="1">'Balances &amp; Actions'!C17-C73</f>
        <v>0</v>
      </c>
      <c r="D96" s="105">
        <f t="shared" ref="D96:N96" ca="1" si="29">C96-D73</f>
        <v>0</v>
      </c>
      <c r="E96" s="105">
        <f t="shared" ca="1" si="29"/>
        <v>0</v>
      </c>
      <c r="F96" s="105">
        <f t="shared" ca="1" si="29"/>
        <v>0</v>
      </c>
      <c r="G96" s="105">
        <f t="shared" ca="1" si="29"/>
        <v>0</v>
      </c>
      <c r="H96" s="105">
        <f t="shared" ca="1" si="29"/>
        <v>0</v>
      </c>
      <c r="I96" s="105">
        <f t="shared" ca="1" si="29"/>
        <v>0</v>
      </c>
      <c r="J96" s="105">
        <f t="shared" ca="1" si="29"/>
        <v>0</v>
      </c>
      <c r="K96" s="105">
        <f t="shared" ca="1" si="29"/>
        <v>0</v>
      </c>
      <c r="L96" s="105">
        <f t="shared" ca="1" si="29"/>
        <v>0</v>
      </c>
      <c r="M96" s="105">
        <f t="shared" ca="1" si="29"/>
        <v>0</v>
      </c>
      <c r="N96" s="147">
        <f t="shared" ca="1" si="29"/>
        <v>0</v>
      </c>
      <c r="O96" s="96"/>
      <c r="P96" s="96"/>
      <c r="Q96" s="51"/>
      <c r="R96" s="42"/>
    </row>
    <row r="97" spans="1:23" ht="5.0999999999999996" customHeight="1" x14ac:dyDescent="0.2">
      <c r="A97" s="226"/>
      <c r="B97" s="69"/>
      <c r="C97" s="96"/>
      <c r="D97" s="96"/>
      <c r="E97" s="96"/>
      <c r="F97" s="96"/>
      <c r="G97" s="96"/>
      <c r="H97" s="96"/>
      <c r="I97" s="96"/>
      <c r="J97" s="96"/>
      <c r="K97" s="96"/>
      <c r="L97" s="96"/>
      <c r="M97" s="96"/>
      <c r="N97" s="106"/>
      <c r="O97" s="96"/>
      <c r="P97" s="96"/>
      <c r="Q97" s="51"/>
      <c r="R97" s="42"/>
      <c r="W97" s="18"/>
    </row>
    <row r="98" spans="1:23" ht="12.75" customHeight="1" x14ac:dyDescent="0.2">
      <c r="A98" s="226"/>
      <c r="B98" s="82" t="s">
        <v>101</v>
      </c>
      <c r="C98" s="121">
        <f ca="1">SUM(C94:C97)</f>
        <v>0</v>
      </c>
      <c r="D98" s="121">
        <f t="shared" ref="D98:N98" ca="1" si="30">SUM(D94:D97)</f>
        <v>0</v>
      </c>
      <c r="E98" s="121">
        <f t="shared" ca="1" si="30"/>
        <v>0</v>
      </c>
      <c r="F98" s="121">
        <f t="shared" ca="1" si="30"/>
        <v>0</v>
      </c>
      <c r="G98" s="121">
        <f t="shared" ca="1" si="30"/>
        <v>0</v>
      </c>
      <c r="H98" s="121">
        <f t="shared" ca="1" si="30"/>
        <v>0</v>
      </c>
      <c r="I98" s="121">
        <f t="shared" ca="1" si="30"/>
        <v>0</v>
      </c>
      <c r="J98" s="121">
        <f t="shared" ca="1" si="30"/>
        <v>0</v>
      </c>
      <c r="K98" s="121">
        <f t="shared" ca="1" si="30"/>
        <v>0</v>
      </c>
      <c r="L98" s="121">
        <f t="shared" ca="1" si="30"/>
        <v>0</v>
      </c>
      <c r="M98" s="121">
        <f t="shared" ca="1" si="30"/>
        <v>0</v>
      </c>
      <c r="N98" s="148">
        <f t="shared" ca="1" si="30"/>
        <v>0</v>
      </c>
      <c r="O98" s="96"/>
      <c r="P98" s="96"/>
      <c r="Q98" s="51"/>
      <c r="R98" s="42"/>
    </row>
    <row r="99" spans="1:23" ht="5.0999999999999996" customHeight="1" x14ac:dyDescent="0.2">
      <c r="A99" s="226"/>
      <c r="B99" s="69"/>
      <c r="C99" s="96"/>
      <c r="D99" s="96"/>
      <c r="E99" s="96"/>
      <c r="F99" s="96"/>
      <c r="G99" s="96"/>
      <c r="H99" s="96"/>
      <c r="I99" s="96"/>
      <c r="J99" s="96"/>
      <c r="K99" s="96"/>
      <c r="L99" s="96"/>
      <c r="M99" s="96"/>
      <c r="N99" s="106"/>
      <c r="O99" s="96"/>
      <c r="P99" s="96"/>
      <c r="Q99" s="51"/>
      <c r="R99" s="42"/>
      <c r="W99" s="18"/>
    </row>
    <row r="100" spans="1:23" ht="12.75" customHeight="1" x14ac:dyDescent="0.2">
      <c r="A100" s="226"/>
      <c r="B100" s="83" t="s">
        <v>40</v>
      </c>
      <c r="C100" s="122">
        <f ca="1">C93-C98</f>
        <v>0</v>
      </c>
      <c r="D100" s="122">
        <f t="shared" ref="D100:N100" ca="1" si="31">D93-D98</f>
        <v>0</v>
      </c>
      <c r="E100" s="122">
        <f t="shared" ca="1" si="31"/>
        <v>0</v>
      </c>
      <c r="F100" s="122">
        <f t="shared" ca="1" si="31"/>
        <v>0</v>
      </c>
      <c r="G100" s="122">
        <f t="shared" ca="1" si="31"/>
        <v>0</v>
      </c>
      <c r="H100" s="122">
        <f t="shared" ca="1" si="31"/>
        <v>0</v>
      </c>
      <c r="I100" s="122">
        <f t="shared" ca="1" si="31"/>
        <v>0</v>
      </c>
      <c r="J100" s="122">
        <f t="shared" ca="1" si="31"/>
        <v>0</v>
      </c>
      <c r="K100" s="122">
        <f t="shared" ca="1" si="31"/>
        <v>0</v>
      </c>
      <c r="L100" s="122">
        <f t="shared" ca="1" si="31"/>
        <v>0</v>
      </c>
      <c r="M100" s="122">
        <f t="shared" ca="1" si="31"/>
        <v>0</v>
      </c>
      <c r="N100" s="149">
        <f t="shared" ca="1" si="31"/>
        <v>0</v>
      </c>
      <c r="O100" s="96"/>
      <c r="P100" s="96"/>
      <c r="Q100" s="51"/>
      <c r="R100" s="42"/>
    </row>
    <row r="101" spans="1:23" ht="5.0999999999999996" customHeight="1" x14ac:dyDescent="0.2">
      <c r="A101" s="226" t="s">
        <v>41</v>
      </c>
      <c r="B101" s="62"/>
      <c r="C101" s="51"/>
      <c r="D101" s="51"/>
      <c r="E101" s="51"/>
      <c r="F101" s="51"/>
      <c r="G101" s="51"/>
      <c r="H101" s="51"/>
      <c r="I101" s="51"/>
      <c r="J101" s="51"/>
      <c r="K101" s="51"/>
      <c r="L101" s="51"/>
      <c r="M101" s="51"/>
      <c r="N101" s="51"/>
      <c r="O101" s="96"/>
      <c r="P101" s="96"/>
      <c r="Q101" s="46" t="s">
        <v>41</v>
      </c>
      <c r="R101" s="42"/>
      <c r="U101" s="13"/>
      <c r="V101" s="13"/>
      <c r="W101" s="15"/>
    </row>
    <row r="102" spans="1:23" x14ac:dyDescent="0.2">
      <c r="Q102" s="5"/>
      <c r="R102" s="42"/>
    </row>
    <row r="103" spans="1:23" x14ac:dyDescent="0.2">
      <c r="B103" s="213" t="s">
        <v>168</v>
      </c>
      <c r="C103" s="214">
        <v>1</v>
      </c>
      <c r="D103" s="215">
        <f>C103+1</f>
        <v>2</v>
      </c>
      <c r="E103" s="215">
        <f t="shared" ref="E103:N103" si="32">D103+1</f>
        <v>3</v>
      </c>
      <c r="F103" s="215">
        <f t="shared" si="32"/>
        <v>4</v>
      </c>
      <c r="G103" s="215">
        <f t="shared" si="32"/>
        <v>5</v>
      </c>
      <c r="H103" s="215">
        <f t="shared" si="32"/>
        <v>6</v>
      </c>
      <c r="I103" s="215">
        <f t="shared" si="32"/>
        <v>7</v>
      </c>
      <c r="J103" s="215">
        <f t="shared" si="32"/>
        <v>8</v>
      </c>
      <c r="K103" s="215">
        <f t="shared" si="32"/>
        <v>9</v>
      </c>
      <c r="L103" s="215">
        <f t="shared" si="32"/>
        <v>10</v>
      </c>
      <c r="M103" s="215">
        <f t="shared" si="32"/>
        <v>11</v>
      </c>
      <c r="N103" s="215">
        <f t="shared" si="32"/>
        <v>12</v>
      </c>
      <c r="O103" s="215"/>
      <c r="P103" s="216"/>
      <c r="R103" s="42"/>
      <c r="U103" s="13"/>
      <c r="V103" s="13"/>
      <c r="W103" s="15"/>
    </row>
    <row r="104" spans="1:23" ht="12.75" customHeight="1" x14ac:dyDescent="0.2"/>
    <row r="105" spans="1:23" ht="12.75" customHeight="1" x14ac:dyDescent="0.2"/>
    <row r="106" spans="1:23" ht="12.75" customHeight="1" x14ac:dyDescent="0.2">
      <c r="C106" s="176"/>
    </row>
    <row r="107" spans="1:23" ht="12.75" customHeight="1" x14ac:dyDescent="0.2">
      <c r="C107" s="176"/>
    </row>
    <row r="108" spans="1:23" s="162" customFormat="1" ht="12.75" customHeight="1" x14ac:dyDescent="0.2">
      <c r="A108" s="228"/>
      <c r="C108" s="176"/>
      <c r="D108" s="176"/>
      <c r="E108" s="176"/>
      <c r="F108" s="176"/>
      <c r="G108" s="176"/>
      <c r="H108" s="176"/>
      <c r="I108" s="176"/>
      <c r="J108" s="176"/>
      <c r="K108" s="176"/>
      <c r="L108" s="176"/>
      <c r="M108" s="176"/>
      <c r="N108" s="176"/>
      <c r="Q108" s="175"/>
      <c r="R108" s="175"/>
      <c r="V108" s="176"/>
    </row>
    <row r="109" spans="1:23" s="162" customFormat="1" ht="12.75" customHeight="1" x14ac:dyDescent="0.2">
      <c r="A109" s="228"/>
      <c r="C109" s="176"/>
      <c r="D109" s="176"/>
      <c r="E109" s="176"/>
      <c r="F109" s="176"/>
      <c r="G109" s="176"/>
      <c r="H109" s="176"/>
      <c r="I109" s="176"/>
      <c r="J109" s="176"/>
      <c r="K109" s="176"/>
      <c r="L109" s="176"/>
      <c r="M109" s="176"/>
      <c r="N109" s="176"/>
      <c r="Q109" s="175"/>
      <c r="R109" s="175"/>
      <c r="V109" s="176"/>
    </row>
    <row r="111" spans="1:23" s="162" customFormat="1" ht="12.75" customHeight="1" x14ac:dyDescent="0.2">
      <c r="A111" s="228"/>
      <c r="C111" s="176"/>
      <c r="D111" s="176"/>
      <c r="E111" s="176"/>
      <c r="F111" s="176"/>
      <c r="G111" s="176"/>
      <c r="H111" s="176"/>
      <c r="I111" s="176"/>
      <c r="J111" s="176"/>
      <c r="K111" s="176"/>
      <c r="L111" s="176"/>
      <c r="M111" s="176"/>
      <c r="N111" s="176"/>
      <c r="Q111" s="175"/>
      <c r="R111" s="175"/>
      <c r="V111" s="176"/>
    </row>
    <row r="112" spans="1:23" ht="12.75" customHeight="1" x14ac:dyDescent="0.2">
      <c r="C112" s="176"/>
      <c r="D112" s="6"/>
      <c r="E112" s="6"/>
      <c r="F112" s="6"/>
    </row>
    <row r="113" spans="3:4" ht="12.75" customHeight="1" x14ac:dyDescent="0.2">
      <c r="D113" s="176"/>
    </row>
    <row r="114" spans="3:4" ht="12.75" customHeight="1" x14ac:dyDescent="0.2">
      <c r="C114" s="162"/>
      <c r="D114" s="162"/>
    </row>
    <row r="115" spans="3:4" ht="12.75" customHeight="1" x14ac:dyDescent="0.2">
      <c r="C115" s="177"/>
      <c r="D115" s="177"/>
    </row>
    <row r="116" spans="3:4" ht="12.75" customHeight="1" x14ac:dyDescent="0.2">
      <c r="C116" s="177"/>
      <c r="D116" s="177"/>
    </row>
    <row r="117" spans="3:4" ht="12.75" customHeight="1" x14ac:dyDescent="0.2">
      <c r="C117" s="178"/>
      <c r="D117" s="178"/>
    </row>
    <row r="118" spans="3:4" ht="12.75" customHeight="1" x14ac:dyDescent="0.2">
      <c r="C118" s="178"/>
      <c r="D118" s="178"/>
    </row>
    <row r="119" spans="3:4" ht="12.75" customHeight="1" x14ac:dyDescent="0.2">
      <c r="C119" s="178"/>
      <c r="D119" s="178"/>
    </row>
    <row r="120" spans="3:4" ht="12.75" customHeight="1" x14ac:dyDescent="0.2">
      <c r="C120" s="178"/>
      <c r="D120" s="178"/>
    </row>
    <row r="121" spans="3:4" ht="12.75" customHeight="1" x14ac:dyDescent="0.2">
      <c r="C121" s="178"/>
      <c r="D121" s="178"/>
    </row>
    <row r="122" spans="3:4" ht="12.75" customHeight="1" x14ac:dyDescent="0.2">
      <c r="C122" s="178"/>
      <c r="D122" s="178"/>
    </row>
    <row r="123" spans="3:4" ht="12.75" customHeight="1" x14ac:dyDescent="0.2">
      <c r="C123" s="178"/>
      <c r="D123" s="178"/>
    </row>
    <row r="124" spans="3:4" ht="12.75" customHeight="1" x14ac:dyDescent="0.2">
      <c r="C124" s="178"/>
      <c r="D124" s="178"/>
    </row>
    <row r="125" spans="3:4" ht="12.75" customHeight="1" x14ac:dyDescent="0.2">
      <c r="C125" s="178"/>
      <c r="D125" s="178"/>
    </row>
    <row r="126" spans="3:4" ht="12.75" customHeight="1" x14ac:dyDescent="0.2">
      <c r="C126" s="178"/>
      <c r="D126" s="178"/>
    </row>
    <row r="127" spans="3:4" ht="12.75" customHeight="1" x14ac:dyDescent="0.2">
      <c r="C127" s="178"/>
      <c r="D127" s="178"/>
    </row>
    <row r="128" spans="3:4" ht="12.75" customHeight="1" x14ac:dyDescent="0.2">
      <c r="C128" s="178"/>
      <c r="D128" s="178"/>
    </row>
    <row r="129" spans="3:4" ht="12.75" customHeight="1" x14ac:dyDescent="0.2">
      <c r="C129" s="178"/>
      <c r="D129" s="178"/>
    </row>
    <row r="130" spans="3:4" ht="12.75" customHeight="1" x14ac:dyDescent="0.2">
      <c r="C130" s="178"/>
      <c r="D130" s="178"/>
    </row>
    <row r="131" spans="3:4" ht="12.75" customHeight="1" x14ac:dyDescent="0.2">
      <c r="C131" s="178"/>
      <c r="D131" s="178"/>
    </row>
    <row r="132" spans="3:4" ht="12.75" customHeight="1" x14ac:dyDescent="0.2">
      <c r="C132" s="178"/>
      <c r="D132" s="178"/>
    </row>
    <row r="133" spans="3:4" ht="12.75" customHeight="1" x14ac:dyDescent="0.2">
      <c r="C133" s="178"/>
      <c r="D133" s="178"/>
    </row>
    <row r="134" spans="3:4" ht="12.75" customHeight="1" x14ac:dyDescent="0.2">
      <c r="C134" s="178"/>
      <c r="D134" s="178"/>
    </row>
    <row r="135" spans="3:4" ht="12.75" customHeight="1" x14ac:dyDescent="0.2">
      <c r="C135" s="178"/>
      <c r="D135" s="178"/>
    </row>
    <row r="136" spans="3:4" ht="12.75" customHeight="1" x14ac:dyDescent="0.2">
      <c r="C136" s="178"/>
      <c r="D136" s="178"/>
    </row>
    <row r="137" spans="3:4" ht="12.75" customHeight="1" x14ac:dyDescent="0.2">
      <c r="C137" s="178"/>
      <c r="D137" s="178"/>
    </row>
    <row r="138" spans="3:4" ht="12.75" customHeight="1" x14ac:dyDescent="0.2">
      <c r="C138" s="178"/>
      <c r="D138" s="178"/>
    </row>
    <row r="139" spans="3:4" ht="12.75" customHeight="1" x14ac:dyDescent="0.2">
      <c r="C139" s="178"/>
      <c r="D139" s="178"/>
    </row>
    <row r="140" spans="3:4" ht="12.75" customHeight="1" x14ac:dyDescent="0.2">
      <c r="C140" s="178"/>
      <c r="D140" s="178"/>
    </row>
    <row r="141" spans="3:4" x14ac:dyDescent="0.2">
      <c r="C141" s="178"/>
      <c r="D141" s="178"/>
    </row>
    <row r="142" spans="3:4" x14ac:dyDescent="0.2">
      <c r="C142" s="178"/>
      <c r="D142" s="178"/>
    </row>
    <row r="143" spans="3:4" x14ac:dyDescent="0.2">
      <c r="C143" s="178"/>
      <c r="D143" s="178"/>
    </row>
    <row r="144" spans="3:4" x14ac:dyDescent="0.2">
      <c r="C144" s="178"/>
      <c r="D144" s="178"/>
    </row>
    <row r="145" spans="3:4" x14ac:dyDescent="0.2">
      <c r="C145" s="178"/>
      <c r="D145" s="178"/>
    </row>
    <row r="146" spans="3:4" x14ac:dyDescent="0.2">
      <c r="C146" s="178"/>
      <c r="D146" s="178"/>
    </row>
    <row r="147" spans="3:4" x14ac:dyDescent="0.2">
      <c r="C147" s="178"/>
      <c r="D147" s="178"/>
    </row>
    <row r="148" spans="3:4" x14ac:dyDescent="0.2">
      <c r="C148" s="178"/>
      <c r="D148" s="178"/>
    </row>
    <row r="149" spans="3:4" x14ac:dyDescent="0.2">
      <c r="C149" s="178"/>
      <c r="D149" s="178"/>
    </row>
    <row r="150" spans="3:4" x14ac:dyDescent="0.2">
      <c r="C150" s="178"/>
      <c r="D150" s="178"/>
    </row>
    <row r="151" spans="3:4" x14ac:dyDescent="0.2">
      <c r="C151" s="178"/>
      <c r="D151" s="178"/>
    </row>
    <row r="152" spans="3:4" x14ac:dyDescent="0.2">
      <c r="C152" s="178"/>
      <c r="D152" s="178"/>
    </row>
    <row r="153" spans="3:4" x14ac:dyDescent="0.2">
      <c r="C153" s="178"/>
      <c r="D153" s="178"/>
    </row>
    <row r="154" spans="3:4" x14ac:dyDescent="0.2">
      <c r="C154" s="178"/>
      <c r="D154" s="178"/>
    </row>
    <row r="155" spans="3:4" x14ac:dyDescent="0.2">
      <c r="C155" s="178"/>
      <c r="D155" s="178"/>
    </row>
    <row r="156" spans="3:4" x14ac:dyDescent="0.2">
      <c r="C156" s="178"/>
      <c r="D156" s="178"/>
    </row>
    <row r="157" spans="3:4" x14ac:dyDescent="0.2">
      <c r="C157" s="178"/>
      <c r="D157" s="178"/>
    </row>
    <row r="158" spans="3:4" x14ac:dyDescent="0.2">
      <c r="C158" s="178"/>
      <c r="D158" s="178"/>
    </row>
    <row r="159" spans="3:4" x14ac:dyDescent="0.2">
      <c r="C159" s="178"/>
      <c r="D159" s="178"/>
    </row>
    <row r="160" spans="3:4" x14ac:dyDescent="0.2">
      <c r="C160" s="178"/>
      <c r="D160" s="178"/>
    </row>
    <row r="161" spans="3:4" x14ac:dyDescent="0.2">
      <c r="C161" s="178"/>
      <c r="D161" s="178"/>
    </row>
    <row r="162" spans="3:4" x14ac:dyDescent="0.2">
      <c r="C162" s="178"/>
      <c r="D162" s="178"/>
    </row>
    <row r="163" spans="3:4" x14ac:dyDescent="0.2">
      <c r="C163" s="178"/>
      <c r="D163" s="178"/>
    </row>
    <row r="164" spans="3:4" x14ac:dyDescent="0.2">
      <c r="C164" s="178"/>
      <c r="D164" s="178"/>
    </row>
    <row r="165" spans="3:4" x14ac:dyDescent="0.2">
      <c r="C165" s="178"/>
      <c r="D165" s="178"/>
    </row>
    <row r="166" spans="3:4" x14ac:dyDescent="0.2">
      <c r="C166" s="178"/>
      <c r="D166" s="178"/>
    </row>
    <row r="167" spans="3:4" x14ac:dyDescent="0.2">
      <c r="C167" s="178"/>
      <c r="D167" s="178"/>
    </row>
    <row r="168" spans="3:4" x14ac:dyDescent="0.2">
      <c r="C168" s="178"/>
      <c r="D168" s="178"/>
    </row>
    <row r="169" spans="3:4" x14ac:dyDescent="0.2">
      <c r="C169" s="178"/>
      <c r="D169" s="178"/>
    </row>
    <row r="170" spans="3:4" x14ac:dyDescent="0.2">
      <c r="C170" s="178"/>
      <c r="D170" s="178"/>
    </row>
    <row r="171" spans="3:4" x14ac:dyDescent="0.2">
      <c r="C171" s="178"/>
      <c r="D171" s="178"/>
    </row>
    <row r="172" spans="3:4" x14ac:dyDescent="0.2">
      <c r="C172" s="178"/>
      <c r="D172" s="178"/>
    </row>
    <row r="173" spans="3:4" x14ac:dyDescent="0.2">
      <c r="C173" s="178"/>
      <c r="D173" s="178"/>
    </row>
    <row r="174" spans="3:4" x14ac:dyDescent="0.2">
      <c r="C174" s="178"/>
      <c r="D174" s="178"/>
    </row>
    <row r="175" spans="3:4" x14ac:dyDescent="0.2">
      <c r="C175" s="178"/>
      <c r="D175" s="178"/>
    </row>
    <row r="176" spans="3:4" x14ac:dyDescent="0.2">
      <c r="C176" s="178"/>
      <c r="D176" s="178"/>
    </row>
    <row r="177" spans="3:4" x14ac:dyDescent="0.2">
      <c r="C177" s="178"/>
      <c r="D177" s="178"/>
    </row>
    <row r="178" spans="3:4" x14ac:dyDescent="0.2">
      <c r="C178" s="178"/>
      <c r="D178" s="178"/>
    </row>
    <row r="179" spans="3:4" x14ac:dyDescent="0.2">
      <c r="C179" s="178"/>
      <c r="D179" s="178"/>
    </row>
    <row r="180" spans="3:4" x14ac:dyDescent="0.2">
      <c r="C180" s="178"/>
      <c r="D180" s="178"/>
    </row>
    <row r="181" spans="3:4" x14ac:dyDescent="0.2">
      <c r="C181" s="178"/>
      <c r="D181" s="178"/>
    </row>
    <row r="182" spans="3:4" x14ac:dyDescent="0.2">
      <c r="C182" s="178"/>
      <c r="D182" s="178"/>
    </row>
    <row r="183" spans="3:4" x14ac:dyDescent="0.2">
      <c r="C183" s="178"/>
      <c r="D183" s="178"/>
    </row>
    <row r="184" spans="3:4" x14ac:dyDescent="0.2">
      <c r="C184" s="178"/>
      <c r="D184" s="178"/>
    </row>
    <row r="185" spans="3:4" x14ac:dyDescent="0.2">
      <c r="C185" s="178"/>
      <c r="D185" s="178"/>
    </row>
    <row r="186" spans="3:4" x14ac:dyDescent="0.2">
      <c r="C186" s="178"/>
      <c r="D186" s="178"/>
    </row>
    <row r="187" spans="3:4" x14ac:dyDescent="0.2">
      <c r="C187" s="178"/>
      <c r="D187" s="178"/>
    </row>
    <row r="188" spans="3:4" x14ac:dyDescent="0.2">
      <c r="C188" s="178"/>
      <c r="D188" s="178"/>
    </row>
    <row r="189" spans="3:4" x14ac:dyDescent="0.2">
      <c r="C189" s="178"/>
      <c r="D189" s="178"/>
    </row>
    <row r="190" spans="3:4" x14ac:dyDescent="0.2">
      <c r="C190" s="178"/>
      <c r="D190" s="178"/>
    </row>
    <row r="191" spans="3:4" x14ac:dyDescent="0.2">
      <c r="C191" s="178"/>
      <c r="D191" s="178"/>
    </row>
    <row r="192" spans="3:4" x14ac:dyDescent="0.2">
      <c r="C192" s="178"/>
      <c r="D192" s="178"/>
    </row>
    <row r="193" spans="3:4" x14ac:dyDescent="0.2">
      <c r="C193" s="178"/>
      <c r="D193" s="178"/>
    </row>
    <row r="194" spans="3:4" x14ac:dyDescent="0.2">
      <c r="C194" s="178"/>
      <c r="D194" s="178"/>
    </row>
    <row r="195" spans="3:4" x14ac:dyDescent="0.2">
      <c r="C195" s="178"/>
      <c r="D195" s="178"/>
    </row>
    <row r="196" spans="3:4" x14ac:dyDescent="0.2">
      <c r="C196" s="178"/>
      <c r="D196" s="178"/>
    </row>
    <row r="197" spans="3:4" x14ac:dyDescent="0.2">
      <c r="C197" s="178"/>
      <c r="D197" s="178"/>
    </row>
    <row r="198" spans="3:4" x14ac:dyDescent="0.2">
      <c r="C198" s="178"/>
      <c r="D198" s="178"/>
    </row>
    <row r="199" spans="3:4" x14ac:dyDescent="0.2">
      <c r="C199" s="178"/>
      <c r="D199" s="178"/>
    </row>
    <row r="200" spans="3:4" x14ac:dyDescent="0.2">
      <c r="C200" s="178"/>
      <c r="D200" s="178"/>
    </row>
    <row r="201" spans="3:4" x14ac:dyDescent="0.2">
      <c r="C201" s="178"/>
      <c r="D201" s="178"/>
    </row>
    <row r="202" spans="3:4" x14ac:dyDescent="0.2">
      <c r="C202" s="178"/>
      <c r="D202" s="178"/>
    </row>
    <row r="203" spans="3:4" x14ac:dyDescent="0.2">
      <c r="C203" s="178"/>
      <c r="D203" s="178"/>
    </row>
    <row r="204" spans="3:4" x14ac:dyDescent="0.2">
      <c r="C204" s="178"/>
      <c r="D204" s="178"/>
    </row>
    <row r="205" spans="3:4" x14ac:dyDescent="0.2">
      <c r="C205" s="178"/>
      <c r="D205" s="178"/>
    </row>
    <row r="206" spans="3:4" x14ac:dyDescent="0.2">
      <c r="C206" s="178"/>
      <c r="D206" s="178"/>
    </row>
    <row r="207" spans="3:4" x14ac:dyDescent="0.2">
      <c r="C207" s="178"/>
      <c r="D207" s="178"/>
    </row>
    <row r="208" spans="3:4" x14ac:dyDescent="0.2">
      <c r="C208" s="178"/>
      <c r="D208" s="178"/>
    </row>
    <row r="209" spans="3:4" x14ac:dyDescent="0.2">
      <c r="C209" s="178"/>
      <c r="D209" s="178"/>
    </row>
    <row r="210" spans="3:4" x14ac:dyDescent="0.2">
      <c r="C210" s="178"/>
      <c r="D210" s="178"/>
    </row>
    <row r="211" spans="3:4" x14ac:dyDescent="0.2">
      <c r="C211" s="178"/>
      <c r="D211" s="178"/>
    </row>
    <row r="212" spans="3:4" x14ac:dyDescent="0.2">
      <c r="C212" s="178"/>
      <c r="D212" s="178"/>
    </row>
    <row r="213" spans="3:4" x14ac:dyDescent="0.2">
      <c r="C213" s="178"/>
      <c r="D213" s="178"/>
    </row>
    <row r="214" spans="3:4" x14ac:dyDescent="0.2">
      <c r="C214" s="178"/>
      <c r="D214" s="178"/>
    </row>
    <row r="215" spans="3:4" x14ac:dyDescent="0.2">
      <c r="C215" s="178"/>
      <c r="D215" s="178"/>
    </row>
    <row r="216" spans="3:4" x14ac:dyDescent="0.2">
      <c r="C216" s="178"/>
      <c r="D216" s="178"/>
    </row>
    <row r="217" spans="3:4" x14ac:dyDescent="0.2">
      <c r="C217" s="178"/>
      <c r="D217" s="178"/>
    </row>
    <row r="218" spans="3:4" x14ac:dyDescent="0.2">
      <c r="C218" s="178"/>
      <c r="D218" s="178"/>
    </row>
    <row r="219" spans="3:4" x14ac:dyDescent="0.2">
      <c r="C219" s="178"/>
      <c r="D219" s="178"/>
    </row>
    <row r="220" spans="3:4" x14ac:dyDescent="0.2">
      <c r="C220" s="178"/>
      <c r="D220" s="178"/>
    </row>
    <row r="221" spans="3:4" x14ac:dyDescent="0.2">
      <c r="C221" s="178"/>
      <c r="D221" s="178"/>
    </row>
    <row r="222" spans="3:4" x14ac:dyDescent="0.2">
      <c r="C222" s="178"/>
      <c r="D222" s="178"/>
    </row>
    <row r="223" spans="3:4" x14ac:dyDescent="0.2">
      <c r="C223" s="178"/>
      <c r="D223" s="178"/>
    </row>
    <row r="224" spans="3:4" x14ac:dyDescent="0.2">
      <c r="C224" s="178"/>
      <c r="D224" s="178"/>
    </row>
    <row r="225" spans="3:4" x14ac:dyDescent="0.2">
      <c r="C225" s="178"/>
      <c r="D225" s="178"/>
    </row>
    <row r="226" spans="3:4" x14ac:dyDescent="0.2">
      <c r="C226" s="178"/>
      <c r="D226" s="178"/>
    </row>
    <row r="227" spans="3:4" x14ac:dyDescent="0.2">
      <c r="C227" s="178"/>
      <c r="D227" s="178"/>
    </row>
    <row r="228" spans="3:4" x14ac:dyDescent="0.2">
      <c r="C228" s="178"/>
      <c r="D228" s="178"/>
    </row>
    <row r="229" spans="3:4" x14ac:dyDescent="0.2">
      <c r="C229" s="178"/>
      <c r="D229" s="178"/>
    </row>
    <row r="230" spans="3:4" x14ac:dyDescent="0.2">
      <c r="C230" s="178"/>
      <c r="D230" s="178"/>
    </row>
    <row r="231" spans="3:4" x14ac:dyDescent="0.2">
      <c r="C231" s="178"/>
      <c r="D231" s="178"/>
    </row>
    <row r="232" spans="3:4" x14ac:dyDescent="0.2">
      <c r="C232" s="178"/>
      <c r="D232" s="178"/>
    </row>
    <row r="233" spans="3:4" x14ac:dyDescent="0.2">
      <c r="C233" s="178"/>
      <c r="D233" s="178"/>
    </row>
    <row r="234" spans="3:4" x14ac:dyDescent="0.2">
      <c r="C234" s="178"/>
      <c r="D234" s="178"/>
    </row>
    <row r="235" spans="3:4" x14ac:dyDescent="0.2">
      <c r="C235" s="178"/>
      <c r="D235" s="178"/>
    </row>
    <row r="236" spans="3:4" x14ac:dyDescent="0.2">
      <c r="C236" s="178"/>
      <c r="D236" s="178"/>
    </row>
    <row r="237" spans="3:4" x14ac:dyDescent="0.2">
      <c r="C237" s="178"/>
      <c r="D237" s="178"/>
    </row>
    <row r="238" spans="3:4" x14ac:dyDescent="0.2">
      <c r="C238" s="178"/>
      <c r="D238" s="178"/>
    </row>
    <row r="239" spans="3:4" x14ac:dyDescent="0.2">
      <c r="C239" s="178"/>
      <c r="D239" s="178"/>
    </row>
    <row r="240" spans="3:4" x14ac:dyDescent="0.2">
      <c r="C240" s="178"/>
      <c r="D240" s="178"/>
    </row>
    <row r="241" spans="3:4" x14ac:dyDescent="0.2">
      <c r="C241" s="178"/>
      <c r="D241" s="178"/>
    </row>
    <row r="242" spans="3:4" x14ac:dyDescent="0.2">
      <c r="C242" s="178"/>
      <c r="D242" s="178"/>
    </row>
    <row r="243" spans="3:4" x14ac:dyDescent="0.2">
      <c r="C243" s="178"/>
      <c r="D243" s="178"/>
    </row>
    <row r="244" spans="3:4" x14ac:dyDescent="0.2">
      <c r="C244" s="178"/>
      <c r="D244" s="178"/>
    </row>
    <row r="245" spans="3:4" x14ac:dyDescent="0.2">
      <c r="C245" s="178"/>
      <c r="D245" s="178"/>
    </row>
    <row r="246" spans="3:4" x14ac:dyDescent="0.2">
      <c r="C246" s="178"/>
      <c r="D246" s="178"/>
    </row>
    <row r="247" spans="3:4" x14ac:dyDescent="0.2">
      <c r="C247" s="178"/>
      <c r="D247" s="178"/>
    </row>
    <row r="248" spans="3:4" x14ac:dyDescent="0.2">
      <c r="C248" s="178"/>
      <c r="D248" s="178"/>
    </row>
    <row r="249" spans="3:4" x14ac:dyDescent="0.2">
      <c r="C249" s="178"/>
      <c r="D249" s="178"/>
    </row>
    <row r="250" spans="3:4" x14ac:dyDescent="0.2">
      <c r="C250" s="178"/>
      <c r="D250" s="178"/>
    </row>
    <row r="251" spans="3:4" x14ac:dyDescent="0.2">
      <c r="C251" s="178"/>
      <c r="D251" s="178"/>
    </row>
    <row r="252" spans="3:4" x14ac:dyDescent="0.2">
      <c r="C252" s="178"/>
      <c r="D252" s="178"/>
    </row>
    <row r="253" spans="3:4" x14ac:dyDescent="0.2">
      <c r="C253" s="178"/>
      <c r="D253" s="178"/>
    </row>
    <row r="254" spans="3:4" x14ac:dyDescent="0.2">
      <c r="C254" s="178"/>
      <c r="D254" s="178"/>
    </row>
    <row r="255" spans="3:4" x14ac:dyDescent="0.2">
      <c r="C255" s="178"/>
      <c r="D255" s="178"/>
    </row>
    <row r="256" spans="3:4" x14ac:dyDescent="0.2">
      <c r="C256" s="178"/>
      <c r="D256" s="178"/>
    </row>
    <row r="257" spans="3:4" x14ac:dyDescent="0.2">
      <c r="C257" s="178"/>
      <c r="D257" s="178"/>
    </row>
    <row r="258" spans="3:4" x14ac:dyDescent="0.2">
      <c r="C258" s="178"/>
      <c r="D258" s="178"/>
    </row>
    <row r="259" spans="3:4" x14ac:dyDescent="0.2">
      <c r="C259" s="178"/>
      <c r="D259" s="178"/>
    </row>
    <row r="260" spans="3:4" x14ac:dyDescent="0.2">
      <c r="C260" s="178"/>
      <c r="D260" s="178"/>
    </row>
    <row r="261" spans="3:4" x14ac:dyDescent="0.2">
      <c r="C261" s="178"/>
      <c r="D261" s="178"/>
    </row>
    <row r="262" spans="3:4" x14ac:dyDescent="0.2">
      <c r="C262" s="178"/>
      <c r="D262" s="178"/>
    </row>
    <row r="263" spans="3:4" x14ac:dyDescent="0.2">
      <c r="C263" s="178"/>
      <c r="D263" s="178"/>
    </row>
    <row r="264" spans="3:4" x14ac:dyDescent="0.2">
      <c r="C264" s="178"/>
      <c r="D264" s="178"/>
    </row>
    <row r="265" spans="3:4" x14ac:dyDescent="0.2">
      <c r="C265" s="178"/>
      <c r="D265" s="178"/>
    </row>
    <row r="266" spans="3:4" x14ac:dyDescent="0.2">
      <c r="C266" s="178"/>
      <c r="D266" s="178"/>
    </row>
    <row r="267" spans="3:4" x14ac:dyDescent="0.2">
      <c r="C267" s="178"/>
      <c r="D267" s="178"/>
    </row>
    <row r="268" spans="3:4" x14ac:dyDescent="0.2">
      <c r="C268" s="178"/>
      <c r="D268" s="178"/>
    </row>
    <row r="269" spans="3:4" x14ac:dyDescent="0.2">
      <c r="C269" s="178"/>
      <c r="D269" s="178"/>
    </row>
    <row r="270" spans="3:4" x14ac:dyDescent="0.2">
      <c r="C270" s="178"/>
      <c r="D270" s="178"/>
    </row>
    <row r="271" spans="3:4" x14ac:dyDescent="0.2">
      <c r="C271" s="178"/>
      <c r="D271" s="178"/>
    </row>
    <row r="272" spans="3:4" x14ac:dyDescent="0.2">
      <c r="C272" s="178"/>
      <c r="D272" s="178"/>
    </row>
    <row r="273" spans="3:4" x14ac:dyDescent="0.2">
      <c r="C273" s="178"/>
      <c r="D273" s="178"/>
    </row>
    <row r="274" spans="3:4" x14ac:dyDescent="0.2">
      <c r="C274" s="178"/>
      <c r="D274" s="178"/>
    </row>
    <row r="275" spans="3:4" x14ac:dyDescent="0.2">
      <c r="C275" s="178"/>
      <c r="D275" s="178"/>
    </row>
    <row r="276" spans="3:4" x14ac:dyDescent="0.2">
      <c r="C276" s="178"/>
      <c r="D276" s="178"/>
    </row>
    <row r="277" spans="3:4" x14ac:dyDescent="0.2">
      <c r="C277" s="178"/>
      <c r="D277" s="178"/>
    </row>
    <row r="278" spans="3:4" x14ac:dyDescent="0.2">
      <c r="C278" s="178"/>
      <c r="D278" s="178"/>
    </row>
    <row r="279" spans="3:4" x14ac:dyDescent="0.2">
      <c r="C279" s="178"/>
      <c r="D279" s="178"/>
    </row>
    <row r="280" spans="3:4" x14ac:dyDescent="0.2">
      <c r="C280" s="178"/>
      <c r="D280" s="178"/>
    </row>
    <row r="281" spans="3:4" x14ac:dyDescent="0.2">
      <c r="C281" s="178"/>
      <c r="D281" s="178"/>
    </row>
    <row r="282" spans="3:4" x14ac:dyDescent="0.2">
      <c r="C282" s="178"/>
      <c r="D282" s="178"/>
    </row>
    <row r="283" spans="3:4" x14ac:dyDescent="0.2">
      <c r="C283" s="178"/>
      <c r="D283" s="178"/>
    </row>
    <row r="284" spans="3:4" x14ac:dyDescent="0.2">
      <c r="C284" s="178"/>
      <c r="D284" s="178"/>
    </row>
    <row r="285" spans="3:4" x14ac:dyDescent="0.2">
      <c r="C285" s="178"/>
      <c r="D285" s="178"/>
    </row>
    <row r="286" spans="3:4" x14ac:dyDescent="0.2">
      <c r="C286" s="178"/>
      <c r="D286" s="178"/>
    </row>
    <row r="287" spans="3:4" x14ac:dyDescent="0.2">
      <c r="C287" s="178"/>
      <c r="D287" s="178"/>
    </row>
    <row r="288" spans="3:4" x14ac:dyDescent="0.2">
      <c r="C288" s="178"/>
      <c r="D288" s="178"/>
    </row>
    <row r="289" spans="3:4" x14ac:dyDescent="0.2">
      <c r="C289" s="178"/>
      <c r="D289" s="178"/>
    </row>
    <row r="290" spans="3:4" x14ac:dyDescent="0.2">
      <c r="C290" s="178"/>
      <c r="D290" s="178"/>
    </row>
    <row r="291" spans="3:4" x14ac:dyDescent="0.2">
      <c r="C291" s="178"/>
      <c r="D291" s="178"/>
    </row>
    <row r="292" spans="3:4" x14ac:dyDescent="0.2">
      <c r="C292" s="178"/>
      <c r="D292" s="178"/>
    </row>
    <row r="293" spans="3:4" x14ac:dyDescent="0.2">
      <c r="C293" s="178"/>
      <c r="D293" s="178"/>
    </row>
    <row r="294" spans="3:4" x14ac:dyDescent="0.2">
      <c r="C294" s="178"/>
      <c r="D294" s="178"/>
    </row>
    <row r="295" spans="3:4" x14ac:dyDescent="0.2">
      <c r="C295" s="178"/>
      <c r="D295" s="178"/>
    </row>
    <row r="296" spans="3:4" x14ac:dyDescent="0.2">
      <c r="C296" s="178"/>
      <c r="D296" s="178"/>
    </row>
    <row r="297" spans="3:4" x14ac:dyDescent="0.2">
      <c r="C297" s="178"/>
      <c r="D297" s="178"/>
    </row>
    <row r="298" spans="3:4" x14ac:dyDescent="0.2">
      <c r="C298" s="178"/>
      <c r="D298" s="178"/>
    </row>
    <row r="299" spans="3:4" x14ac:dyDescent="0.2">
      <c r="C299" s="178"/>
      <c r="D299" s="178"/>
    </row>
    <row r="300" spans="3:4" x14ac:dyDescent="0.2">
      <c r="C300" s="178"/>
      <c r="D300" s="178"/>
    </row>
    <row r="301" spans="3:4" x14ac:dyDescent="0.2">
      <c r="C301" s="178"/>
      <c r="D301" s="178"/>
    </row>
    <row r="302" spans="3:4" x14ac:dyDescent="0.2">
      <c r="C302" s="178"/>
      <c r="D302" s="178"/>
    </row>
    <row r="303" spans="3:4" x14ac:dyDescent="0.2">
      <c r="C303" s="178"/>
      <c r="D303" s="178"/>
    </row>
    <row r="304" spans="3:4" x14ac:dyDescent="0.2">
      <c r="C304" s="178"/>
      <c r="D304" s="178"/>
    </row>
    <row r="305" spans="3:4" x14ac:dyDescent="0.2">
      <c r="C305" s="178"/>
      <c r="D305" s="178"/>
    </row>
    <row r="306" spans="3:4" x14ac:dyDescent="0.2">
      <c r="C306" s="178"/>
      <c r="D306" s="178"/>
    </row>
    <row r="307" spans="3:4" x14ac:dyDescent="0.2">
      <c r="C307" s="178"/>
      <c r="D307" s="178"/>
    </row>
    <row r="308" spans="3:4" x14ac:dyDescent="0.2">
      <c r="C308" s="178"/>
      <c r="D308" s="178"/>
    </row>
    <row r="309" spans="3:4" x14ac:dyDescent="0.2">
      <c r="C309" s="178"/>
      <c r="D309" s="178"/>
    </row>
    <row r="310" spans="3:4" x14ac:dyDescent="0.2">
      <c r="C310" s="178"/>
      <c r="D310" s="178"/>
    </row>
    <row r="311" spans="3:4" x14ac:dyDescent="0.2">
      <c r="C311" s="178"/>
      <c r="D311" s="178"/>
    </row>
    <row r="312" spans="3:4" x14ac:dyDescent="0.2">
      <c r="C312" s="178"/>
      <c r="D312" s="178"/>
    </row>
    <row r="313" spans="3:4" x14ac:dyDescent="0.2">
      <c r="C313" s="178"/>
      <c r="D313" s="178"/>
    </row>
    <row r="314" spans="3:4" x14ac:dyDescent="0.2">
      <c r="C314" s="178"/>
      <c r="D314" s="178"/>
    </row>
    <row r="315" spans="3:4" x14ac:dyDescent="0.2">
      <c r="C315" s="178"/>
      <c r="D315" s="178"/>
    </row>
    <row r="316" spans="3:4" x14ac:dyDescent="0.2">
      <c r="C316" s="178"/>
      <c r="D316" s="178"/>
    </row>
    <row r="317" spans="3:4" x14ac:dyDescent="0.2">
      <c r="C317" s="178"/>
      <c r="D317" s="178"/>
    </row>
    <row r="318" spans="3:4" x14ac:dyDescent="0.2">
      <c r="C318" s="178"/>
      <c r="D318" s="178"/>
    </row>
    <row r="319" spans="3:4" x14ac:dyDescent="0.2">
      <c r="C319" s="178"/>
      <c r="D319" s="178"/>
    </row>
    <row r="320" spans="3:4" x14ac:dyDescent="0.2">
      <c r="C320" s="178"/>
      <c r="D320" s="178"/>
    </row>
    <row r="321" spans="3:4" x14ac:dyDescent="0.2">
      <c r="C321" s="178"/>
      <c r="D321" s="178"/>
    </row>
    <row r="322" spans="3:4" x14ac:dyDescent="0.2">
      <c r="C322" s="178"/>
      <c r="D322" s="178"/>
    </row>
    <row r="323" spans="3:4" x14ac:dyDescent="0.2">
      <c r="C323" s="178"/>
      <c r="D323" s="178"/>
    </row>
    <row r="324" spans="3:4" x14ac:dyDescent="0.2">
      <c r="C324" s="178"/>
      <c r="D324" s="178"/>
    </row>
    <row r="325" spans="3:4" x14ac:dyDescent="0.2">
      <c r="C325" s="178"/>
      <c r="D325" s="178"/>
    </row>
    <row r="326" spans="3:4" x14ac:dyDescent="0.2">
      <c r="C326" s="178"/>
      <c r="D326" s="178"/>
    </row>
    <row r="327" spans="3:4" x14ac:dyDescent="0.2">
      <c r="C327" s="178"/>
      <c r="D327" s="178"/>
    </row>
    <row r="328" spans="3:4" x14ac:dyDescent="0.2">
      <c r="C328" s="178"/>
      <c r="D328" s="178"/>
    </row>
    <row r="329" spans="3:4" x14ac:dyDescent="0.2">
      <c r="C329" s="178"/>
      <c r="D329" s="178"/>
    </row>
    <row r="330" spans="3:4" x14ac:dyDescent="0.2">
      <c r="C330" s="178"/>
      <c r="D330" s="178"/>
    </row>
    <row r="331" spans="3:4" x14ac:dyDescent="0.2">
      <c r="C331" s="178"/>
      <c r="D331" s="178"/>
    </row>
    <row r="332" spans="3:4" x14ac:dyDescent="0.2">
      <c r="C332" s="178"/>
      <c r="D332" s="178"/>
    </row>
    <row r="333" spans="3:4" x14ac:dyDescent="0.2">
      <c r="C333" s="178"/>
      <c r="D333" s="178"/>
    </row>
    <row r="334" spans="3:4" x14ac:dyDescent="0.2">
      <c r="C334" s="178"/>
      <c r="D334" s="178"/>
    </row>
    <row r="335" spans="3:4" x14ac:dyDescent="0.2">
      <c r="C335" s="178"/>
      <c r="D335" s="178"/>
    </row>
    <row r="336" spans="3:4" x14ac:dyDescent="0.2">
      <c r="C336" s="178"/>
      <c r="D336" s="178"/>
    </row>
    <row r="337" spans="3:4" x14ac:dyDescent="0.2">
      <c r="C337" s="178"/>
      <c r="D337" s="178"/>
    </row>
    <row r="338" spans="3:4" x14ac:dyDescent="0.2">
      <c r="C338" s="178"/>
      <c r="D338" s="178"/>
    </row>
    <row r="339" spans="3:4" x14ac:dyDescent="0.2">
      <c r="C339" s="178"/>
      <c r="D339" s="178"/>
    </row>
    <row r="340" spans="3:4" x14ac:dyDescent="0.2">
      <c r="C340" s="178"/>
      <c r="D340" s="178"/>
    </row>
    <row r="341" spans="3:4" x14ac:dyDescent="0.2">
      <c r="C341" s="178"/>
      <c r="D341" s="178"/>
    </row>
    <row r="342" spans="3:4" x14ac:dyDescent="0.2">
      <c r="C342" s="178"/>
      <c r="D342" s="178"/>
    </row>
    <row r="343" spans="3:4" x14ac:dyDescent="0.2">
      <c r="C343" s="178"/>
      <c r="D343" s="178"/>
    </row>
    <row r="344" spans="3:4" x14ac:dyDescent="0.2">
      <c r="C344" s="178"/>
      <c r="D344" s="178"/>
    </row>
    <row r="345" spans="3:4" x14ac:dyDescent="0.2">
      <c r="C345" s="178"/>
      <c r="D345" s="178"/>
    </row>
    <row r="346" spans="3:4" x14ac:dyDescent="0.2">
      <c r="C346" s="178"/>
      <c r="D346" s="178"/>
    </row>
    <row r="347" spans="3:4" x14ac:dyDescent="0.2">
      <c r="C347" s="178"/>
      <c r="D347" s="178"/>
    </row>
    <row r="348" spans="3:4" x14ac:dyDescent="0.2">
      <c r="C348" s="178"/>
      <c r="D348" s="178"/>
    </row>
    <row r="349" spans="3:4" x14ac:dyDescent="0.2">
      <c r="C349" s="178"/>
      <c r="D349" s="178"/>
    </row>
    <row r="350" spans="3:4" x14ac:dyDescent="0.2">
      <c r="C350" s="178"/>
      <c r="D350" s="178"/>
    </row>
    <row r="351" spans="3:4" x14ac:dyDescent="0.2">
      <c r="C351" s="178"/>
      <c r="D351" s="178"/>
    </row>
    <row r="352" spans="3:4" x14ac:dyDescent="0.2">
      <c r="C352" s="178"/>
      <c r="D352" s="178"/>
    </row>
    <row r="353" spans="3:4" x14ac:dyDescent="0.2">
      <c r="C353" s="178"/>
      <c r="D353" s="178"/>
    </row>
    <row r="354" spans="3:4" x14ac:dyDescent="0.2">
      <c r="C354" s="178"/>
      <c r="D354" s="178"/>
    </row>
    <row r="355" spans="3:4" x14ac:dyDescent="0.2">
      <c r="C355" s="178"/>
      <c r="D355" s="178"/>
    </row>
    <row r="356" spans="3:4" x14ac:dyDescent="0.2">
      <c r="C356" s="178"/>
      <c r="D356" s="178"/>
    </row>
    <row r="357" spans="3:4" x14ac:dyDescent="0.2">
      <c r="C357" s="178"/>
      <c r="D357" s="178"/>
    </row>
    <row r="358" spans="3:4" x14ac:dyDescent="0.2">
      <c r="C358" s="178"/>
      <c r="D358" s="178"/>
    </row>
    <row r="359" spans="3:4" x14ac:dyDescent="0.2">
      <c r="C359" s="178"/>
      <c r="D359" s="178"/>
    </row>
    <row r="360" spans="3:4" x14ac:dyDescent="0.2">
      <c r="C360" s="178"/>
      <c r="D360" s="178"/>
    </row>
    <row r="361" spans="3:4" x14ac:dyDescent="0.2">
      <c r="C361" s="178"/>
      <c r="D361" s="178"/>
    </row>
    <row r="362" spans="3:4" x14ac:dyDescent="0.2">
      <c r="C362" s="178"/>
      <c r="D362" s="178"/>
    </row>
    <row r="363" spans="3:4" x14ac:dyDescent="0.2">
      <c r="C363" s="178"/>
      <c r="D363" s="178"/>
    </row>
    <row r="364" spans="3:4" x14ac:dyDescent="0.2">
      <c r="C364" s="178"/>
      <c r="D364" s="178"/>
    </row>
    <row r="365" spans="3:4" x14ac:dyDescent="0.2">
      <c r="C365" s="178"/>
      <c r="D365" s="178"/>
    </row>
    <row r="366" spans="3:4" x14ac:dyDescent="0.2">
      <c r="C366" s="178"/>
      <c r="D366" s="178"/>
    </row>
    <row r="367" spans="3:4" x14ac:dyDescent="0.2">
      <c r="C367" s="178"/>
      <c r="D367" s="178"/>
    </row>
    <row r="368" spans="3:4" x14ac:dyDescent="0.2">
      <c r="C368" s="178"/>
      <c r="D368" s="178"/>
    </row>
    <row r="369" spans="3:4" x14ac:dyDescent="0.2">
      <c r="C369" s="178"/>
      <c r="D369" s="178"/>
    </row>
    <row r="370" spans="3:4" x14ac:dyDescent="0.2">
      <c r="C370" s="178"/>
      <c r="D370" s="178"/>
    </row>
    <row r="371" spans="3:4" x14ac:dyDescent="0.2">
      <c r="C371" s="178"/>
      <c r="D371" s="178"/>
    </row>
    <row r="372" spans="3:4" x14ac:dyDescent="0.2">
      <c r="C372" s="178"/>
      <c r="D372" s="178"/>
    </row>
    <row r="373" spans="3:4" x14ac:dyDescent="0.2">
      <c r="C373" s="178"/>
      <c r="D373" s="178"/>
    </row>
    <row r="374" spans="3:4" x14ac:dyDescent="0.2">
      <c r="C374" s="178"/>
      <c r="D374" s="178"/>
    </row>
    <row r="375" spans="3:4" x14ac:dyDescent="0.2">
      <c r="C375" s="178"/>
      <c r="D375" s="178"/>
    </row>
    <row r="376" spans="3:4" x14ac:dyDescent="0.2">
      <c r="C376" s="178"/>
      <c r="D376" s="178"/>
    </row>
    <row r="377" spans="3:4" x14ac:dyDescent="0.2">
      <c r="C377" s="178"/>
      <c r="D377" s="178"/>
    </row>
    <row r="378" spans="3:4" x14ac:dyDescent="0.2">
      <c r="C378" s="178"/>
      <c r="D378" s="178"/>
    </row>
    <row r="379" spans="3:4" x14ac:dyDescent="0.2">
      <c r="C379" s="178"/>
      <c r="D379" s="178"/>
    </row>
    <row r="380" spans="3:4" x14ac:dyDescent="0.2">
      <c r="C380" s="178"/>
      <c r="D380" s="178"/>
    </row>
    <row r="381" spans="3:4" x14ac:dyDescent="0.2">
      <c r="C381" s="178"/>
      <c r="D381" s="178"/>
    </row>
    <row r="382" spans="3:4" x14ac:dyDescent="0.2">
      <c r="C382" s="178"/>
      <c r="D382" s="178"/>
    </row>
    <row r="383" spans="3:4" x14ac:dyDescent="0.2">
      <c r="C383" s="178"/>
      <c r="D383" s="178"/>
    </row>
    <row r="384" spans="3:4" x14ac:dyDescent="0.2">
      <c r="C384" s="178"/>
      <c r="D384" s="178"/>
    </row>
    <row r="385" spans="3:4" x14ac:dyDescent="0.2">
      <c r="C385" s="178"/>
      <c r="D385" s="178"/>
    </row>
    <row r="386" spans="3:4" x14ac:dyDescent="0.2">
      <c r="C386" s="178"/>
      <c r="D386" s="178"/>
    </row>
    <row r="387" spans="3:4" x14ac:dyDescent="0.2">
      <c r="C387" s="178"/>
      <c r="D387" s="178"/>
    </row>
    <row r="388" spans="3:4" x14ac:dyDescent="0.2">
      <c r="C388" s="178"/>
      <c r="D388" s="178"/>
    </row>
    <row r="389" spans="3:4" x14ac:dyDescent="0.2">
      <c r="C389" s="178"/>
      <c r="D389" s="178"/>
    </row>
    <row r="390" spans="3:4" x14ac:dyDescent="0.2">
      <c r="C390" s="178"/>
      <c r="D390" s="178"/>
    </row>
    <row r="391" spans="3:4" x14ac:dyDescent="0.2">
      <c r="C391" s="178"/>
      <c r="D391" s="178"/>
    </row>
    <row r="392" spans="3:4" x14ac:dyDescent="0.2">
      <c r="C392" s="178"/>
      <c r="D392" s="178"/>
    </row>
    <row r="393" spans="3:4" x14ac:dyDescent="0.2">
      <c r="C393" s="178"/>
      <c r="D393" s="178"/>
    </row>
    <row r="394" spans="3:4" x14ac:dyDescent="0.2">
      <c r="C394" s="178"/>
      <c r="D394" s="178"/>
    </row>
    <row r="395" spans="3:4" x14ac:dyDescent="0.2">
      <c r="C395" s="178"/>
      <c r="D395" s="178"/>
    </row>
    <row r="396" spans="3:4" x14ac:dyDescent="0.2">
      <c r="C396" s="178"/>
      <c r="D396" s="178"/>
    </row>
    <row r="397" spans="3:4" x14ac:dyDescent="0.2">
      <c r="C397" s="178"/>
      <c r="D397" s="178"/>
    </row>
    <row r="398" spans="3:4" x14ac:dyDescent="0.2">
      <c r="C398" s="178"/>
      <c r="D398" s="178"/>
    </row>
    <row r="399" spans="3:4" x14ac:dyDescent="0.2">
      <c r="C399" s="178"/>
      <c r="D399" s="178"/>
    </row>
    <row r="400" spans="3:4" x14ac:dyDescent="0.2">
      <c r="C400" s="178"/>
      <c r="D400" s="178"/>
    </row>
    <row r="401" spans="3:4" x14ac:dyDescent="0.2">
      <c r="C401" s="178"/>
      <c r="D401" s="178"/>
    </row>
    <row r="402" spans="3:4" x14ac:dyDescent="0.2">
      <c r="C402" s="178"/>
      <c r="D402" s="178"/>
    </row>
    <row r="403" spans="3:4" x14ac:dyDescent="0.2">
      <c r="C403" s="178"/>
      <c r="D403" s="178"/>
    </row>
    <row r="404" spans="3:4" x14ac:dyDescent="0.2">
      <c r="C404" s="178"/>
      <c r="D404" s="178"/>
    </row>
    <row r="405" spans="3:4" x14ac:dyDescent="0.2">
      <c r="C405" s="178"/>
      <c r="D405" s="178"/>
    </row>
    <row r="406" spans="3:4" x14ac:dyDescent="0.2">
      <c r="C406" s="178"/>
      <c r="D406" s="178"/>
    </row>
    <row r="407" spans="3:4" x14ac:dyDescent="0.2">
      <c r="C407" s="178"/>
      <c r="D407" s="178"/>
    </row>
    <row r="408" spans="3:4" x14ac:dyDescent="0.2">
      <c r="C408" s="178"/>
      <c r="D408" s="178"/>
    </row>
    <row r="409" spans="3:4" x14ac:dyDescent="0.2">
      <c r="C409" s="178"/>
      <c r="D409" s="178"/>
    </row>
    <row r="410" spans="3:4" x14ac:dyDescent="0.2">
      <c r="C410" s="178"/>
      <c r="D410" s="178"/>
    </row>
    <row r="411" spans="3:4" x14ac:dyDescent="0.2">
      <c r="C411" s="178"/>
      <c r="D411" s="178"/>
    </row>
    <row r="412" spans="3:4" x14ac:dyDescent="0.2">
      <c r="C412" s="178"/>
      <c r="D412" s="178"/>
    </row>
    <row r="413" spans="3:4" x14ac:dyDescent="0.2">
      <c r="C413" s="178"/>
      <c r="D413" s="178"/>
    </row>
    <row r="414" spans="3:4" x14ac:dyDescent="0.2">
      <c r="C414" s="178"/>
      <c r="D414" s="178"/>
    </row>
    <row r="415" spans="3:4" x14ac:dyDescent="0.2">
      <c r="C415" s="178"/>
      <c r="D415" s="178"/>
    </row>
    <row r="416" spans="3:4" x14ac:dyDescent="0.2">
      <c r="C416" s="178"/>
      <c r="D416" s="178"/>
    </row>
    <row r="417" spans="3:4" x14ac:dyDescent="0.2">
      <c r="C417" s="178"/>
      <c r="D417" s="178"/>
    </row>
    <row r="418" spans="3:4" x14ac:dyDescent="0.2">
      <c r="C418" s="178"/>
      <c r="D418" s="178"/>
    </row>
    <row r="419" spans="3:4" x14ac:dyDescent="0.2">
      <c r="C419" s="178"/>
      <c r="D419" s="178"/>
    </row>
    <row r="420" spans="3:4" x14ac:dyDescent="0.2">
      <c r="C420" s="178"/>
      <c r="D420" s="178"/>
    </row>
    <row r="421" spans="3:4" x14ac:dyDescent="0.2">
      <c r="C421" s="178"/>
      <c r="D421" s="178"/>
    </row>
    <row r="422" spans="3:4" x14ac:dyDescent="0.2">
      <c r="C422" s="178"/>
      <c r="D422" s="178"/>
    </row>
    <row r="423" spans="3:4" x14ac:dyDescent="0.2">
      <c r="C423" s="178"/>
      <c r="D423" s="178"/>
    </row>
    <row r="424" spans="3:4" x14ac:dyDescent="0.2">
      <c r="C424" s="178"/>
      <c r="D424" s="178"/>
    </row>
    <row r="425" spans="3:4" x14ac:dyDescent="0.2">
      <c r="C425" s="178"/>
      <c r="D425" s="178"/>
    </row>
    <row r="426" spans="3:4" x14ac:dyDescent="0.2">
      <c r="C426" s="178"/>
      <c r="D426" s="178"/>
    </row>
    <row r="427" spans="3:4" x14ac:dyDescent="0.2">
      <c r="C427" s="178"/>
      <c r="D427" s="178"/>
    </row>
    <row r="428" spans="3:4" x14ac:dyDescent="0.2">
      <c r="C428" s="178"/>
      <c r="D428" s="178"/>
    </row>
    <row r="429" spans="3:4" x14ac:dyDescent="0.2">
      <c r="C429" s="178"/>
      <c r="D429" s="178"/>
    </row>
    <row r="430" spans="3:4" x14ac:dyDescent="0.2">
      <c r="C430" s="178"/>
      <c r="D430" s="178"/>
    </row>
    <row r="431" spans="3:4" x14ac:dyDescent="0.2">
      <c r="C431" s="178"/>
      <c r="D431" s="178"/>
    </row>
    <row r="432" spans="3:4" x14ac:dyDescent="0.2">
      <c r="C432" s="178"/>
      <c r="D432" s="178"/>
    </row>
    <row r="433" spans="3:4" x14ac:dyDescent="0.2">
      <c r="C433" s="178"/>
      <c r="D433" s="178"/>
    </row>
    <row r="434" spans="3:4" x14ac:dyDescent="0.2">
      <c r="C434" s="178"/>
      <c r="D434" s="178"/>
    </row>
    <row r="435" spans="3:4" x14ac:dyDescent="0.2">
      <c r="C435" s="178"/>
      <c r="D435" s="178"/>
    </row>
    <row r="436" spans="3:4" x14ac:dyDescent="0.2">
      <c r="C436" s="178"/>
      <c r="D436" s="178"/>
    </row>
    <row r="437" spans="3:4" x14ac:dyDescent="0.2">
      <c r="C437" s="178"/>
      <c r="D437" s="178"/>
    </row>
    <row r="438" spans="3:4" x14ac:dyDescent="0.2">
      <c r="C438" s="178"/>
      <c r="D438" s="178"/>
    </row>
    <row r="439" spans="3:4" x14ac:dyDescent="0.2">
      <c r="C439" s="178"/>
      <c r="D439" s="178"/>
    </row>
    <row r="440" spans="3:4" x14ac:dyDescent="0.2">
      <c r="C440" s="178"/>
      <c r="D440" s="178"/>
    </row>
    <row r="441" spans="3:4" x14ac:dyDescent="0.2">
      <c r="C441" s="178"/>
      <c r="D441" s="178"/>
    </row>
    <row r="442" spans="3:4" x14ac:dyDescent="0.2">
      <c r="C442" s="178"/>
      <c r="D442" s="178"/>
    </row>
    <row r="443" spans="3:4" x14ac:dyDescent="0.2">
      <c r="C443" s="178"/>
      <c r="D443" s="178"/>
    </row>
    <row r="444" spans="3:4" x14ac:dyDescent="0.2">
      <c r="C444" s="178"/>
      <c r="D444" s="178"/>
    </row>
    <row r="445" spans="3:4" x14ac:dyDescent="0.2">
      <c r="C445" s="178"/>
      <c r="D445" s="178"/>
    </row>
    <row r="446" spans="3:4" x14ac:dyDescent="0.2">
      <c r="C446" s="178"/>
      <c r="D446" s="178"/>
    </row>
    <row r="447" spans="3:4" x14ac:dyDescent="0.2">
      <c r="C447" s="178"/>
      <c r="D447" s="178"/>
    </row>
    <row r="448" spans="3:4" x14ac:dyDescent="0.2">
      <c r="C448" s="178"/>
      <c r="D448" s="178"/>
    </row>
    <row r="449" spans="3:4" x14ac:dyDescent="0.2">
      <c r="C449" s="178"/>
      <c r="D449" s="178"/>
    </row>
    <row r="450" spans="3:4" x14ac:dyDescent="0.2">
      <c r="C450" s="178"/>
      <c r="D450" s="178"/>
    </row>
    <row r="451" spans="3:4" x14ac:dyDescent="0.2">
      <c r="C451" s="178"/>
      <c r="D451" s="178"/>
    </row>
    <row r="452" spans="3:4" x14ac:dyDescent="0.2">
      <c r="C452" s="178"/>
      <c r="D452" s="178"/>
    </row>
    <row r="453" spans="3:4" x14ac:dyDescent="0.2">
      <c r="C453" s="178"/>
      <c r="D453" s="178"/>
    </row>
    <row r="454" spans="3:4" x14ac:dyDescent="0.2">
      <c r="C454" s="178"/>
      <c r="D454" s="178"/>
    </row>
    <row r="455" spans="3:4" x14ac:dyDescent="0.2">
      <c r="C455" s="178"/>
      <c r="D455" s="178"/>
    </row>
    <row r="456" spans="3:4" x14ac:dyDescent="0.2">
      <c r="C456" s="178"/>
      <c r="D456" s="178"/>
    </row>
    <row r="457" spans="3:4" x14ac:dyDescent="0.2">
      <c r="C457" s="178"/>
      <c r="D457" s="178"/>
    </row>
    <row r="458" spans="3:4" x14ac:dyDescent="0.2">
      <c r="C458" s="178"/>
      <c r="D458" s="178"/>
    </row>
    <row r="459" spans="3:4" x14ac:dyDescent="0.2">
      <c r="C459" s="178"/>
      <c r="D459" s="178"/>
    </row>
    <row r="460" spans="3:4" x14ac:dyDescent="0.2">
      <c r="C460" s="178"/>
      <c r="D460" s="178"/>
    </row>
    <row r="461" spans="3:4" x14ac:dyDescent="0.2">
      <c r="C461" s="178"/>
      <c r="D461" s="178"/>
    </row>
    <row r="462" spans="3:4" x14ac:dyDescent="0.2">
      <c r="C462" s="178"/>
      <c r="D462" s="178"/>
    </row>
    <row r="463" spans="3:4" x14ac:dyDescent="0.2">
      <c r="C463" s="178"/>
      <c r="D463" s="178"/>
    </row>
    <row r="464" spans="3:4" x14ac:dyDescent="0.2">
      <c r="C464" s="178"/>
      <c r="D464" s="178"/>
    </row>
    <row r="465" spans="3:4" x14ac:dyDescent="0.2">
      <c r="C465" s="178"/>
      <c r="D465" s="178"/>
    </row>
    <row r="466" spans="3:4" x14ac:dyDescent="0.2">
      <c r="C466" s="178"/>
      <c r="D466" s="178"/>
    </row>
    <row r="467" spans="3:4" x14ac:dyDescent="0.2">
      <c r="C467" s="178"/>
      <c r="D467" s="178"/>
    </row>
    <row r="468" spans="3:4" x14ac:dyDescent="0.2">
      <c r="C468" s="178"/>
      <c r="D468" s="178"/>
    </row>
    <row r="469" spans="3:4" x14ac:dyDescent="0.2">
      <c r="C469" s="178"/>
      <c r="D469" s="178"/>
    </row>
    <row r="470" spans="3:4" x14ac:dyDescent="0.2">
      <c r="C470" s="178"/>
      <c r="D470" s="178"/>
    </row>
    <row r="471" spans="3:4" x14ac:dyDescent="0.2">
      <c r="C471" s="178"/>
      <c r="D471" s="178"/>
    </row>
    <row r="472" spans="3:4" x14ac:dyDescent="0.2">
      <c r="C472" s="178"/>
      <c r="D472" s="178"/>
    </row>
    <row r="473" spans="3:4" x14ac:dyDescent="0.2">
      <c r="C473" s="178"/>
      <c r="D473" s="178"/>
    </row>
    <row r="474" spans="3:4" x14ac:dyDescent="0.2">
      <c r="C474" s="178"/>
      <c r="D474" s="178"/>
    </row>
    <row r="475" spans="3:4" x14ac:dyDescent="0.2">
      <c r="C475" s="178"/>
      <c r="D475" s="178"/>
    </row>
    <row r="476" spans="3:4" x14ac:dyDescent="0.2">
      <c r="C476" s="178"/>
      <c r="D476" s="178"/>
    </row>
    <row r="477" spans="3:4" x14ac:dyDescent="0.2">
      <c r="C477" s="178"/>
      <c r="D477" s="178"/>
    </row>
    <row r="478" spans="3:4" x14ac:dyDescent="0.2">
      <c r="C478" s="178"/>
      <c r="D478" s="178"/>
    </row>
    <row r="479" spans="3:4" x14ac:dyDescent="0.2">
      <c r="C479" s="178"/>
      <c r="D479" s="178"/>
    </row>
    <row r="480" spans="3:4" x14ac:dyDescent="0.2">
      <c r="C480" s="178"/>
      <c r="D480" s="178"/>
    </row>
    <row r="481" spans="3:4" x14ac:dyDescent="0.2">
      <c r="C481" s="178"/>
      <c r="D481" s="178"/>
    </row>
    <row r="482" spans="3:4" x14ac:dyDescent="0.2">
      <c r="C482" s="178"/>
      <c r="D482" s="178"/>
    </row>
    <row r="483" spans="3:4" x14ac:dyDescent="0.2">
      <c r="C483" s="178"/>
      <c r="D483" s="178"/>
    </row>
    <row r="484" spans="3:4" x14ac:dyDescent="0.2">
      <c r="C484" s="178"/>
      <c r="D484" s="178"/>
    </row>
    <row r="485" spans="3:4" x14ac:dyDescent="0.2">
      <c r="C485" s="178"/>
      <c r="D485" s="178"/>
    </row>
    <row r="486" spans="3:4" x14ac:dyDescent="0.2">
      <c r="C486" s="178"/>
      <c r="D486" s="178"/>
    </row>
    <row r="487" spans="3:4" x14ac:dyDescent="0.2">
      <c r="C487" s="178"/>
      <c r="D487" s="178"/>
    </row>
    <row r="488" spans="3:4" x14ac:dyDescent="0.2">
      <c r="C488" s="178"/>
      <c r="D488" s="178"/>
    </row>
    <row r="489" spans="3:4" x14ac:dyDescent="0.2">
      <c r="C489" s="178"/>
      <c r="D489" s="178"/>
    </row>
    <row r="490" spans="3:4" x14ac:dyDescent="0.2">
      <c r="C490" s="178"/>
      <c r="D490" s="178"/>
    </row>
    <row r="491" spans="3:4" x14ac:dyDescent="0.2">
      <c r="C491" s="178"/>
      <c r="D491" s="178"/>
    </row>
    <row r="492" spans="3:4" x14ac:dyDescent="0.2">
      <c r="C492" s="178"/>
      <c r="D492" s="178"/>
    </row>
    <row r="493" spans="3:4" x14ac:dyDescent="0.2">
      <c r="C493" s="178"/>
      <c r="D493" s="178"/>
    </row>
    <row r="494" spans="3:4" x14ac:dyDescent="0.2">
      <c r="C494" s="178"/>
      <c r="D494" s="178"/>
    </row>
    <row r="495" spans="3:4" x14ac:dyDescent="0.2">
      <c r="C495" s="178"/>
      <c r="D495" s="178"/>
    </row>
    <row r="496" spans="3:4" x14ac:dyDescent="0.2">
      <c r="C496" s="178"/>
      <c r="D496" s="178"/>
    </row>
    <row r="497" spans="3:4" x14ac:dyDescent="0.2">
      <c r="C497" s="178"/>
      <c r="D497" s="178"/>
    </row>
    <row r="498" spans="3:4" x14ac:dyDescent="0.2">
      <c r="C498" s="178"/>
      <c r="D498" s="178"/>
    </row>
    <row r="499" spans="3:4" x14ac:dyDescent="0.2">
      <c r="C499" s="178"/>
      <c r="D499" s="178"/>
    </row>
    <row r="500" spans="3:4" x14ac:dyDescent="0.2">
      <c r="C500" s="178"/>
      <c r="D500" s="178"/>
    </row>
    <row r="501" spans="3:4" x14ac:dyDescent="0.2">
      <c r="C501" s="178"/>
      <c r="D501" s="178"/>
    </row>
    <row r="502" spans="3:4" x14ac:dyDescent="0.2">
      <c r="C502" s="178"/>
      <c r="D502" s="178"/>
    </row>
    <row r="503" spans="3:4" x14ac:dyDescent="0.2">
      <c r="C503" s="178"/>
      <c r="D503" s="178"/>
    </row>
    <row r="504" spans="3:4" x14ac:dyDescent="0.2">
      <c r="C504" s="178"/>
      <c r="D504" s="178"/>
    </row>
    <row r="505" spans="3:4" x14ac:dyDescent="0.2">
      <c r="C505" s="178"/>
      <c r="D505" s="178"/>
    </row>
    <row r="506" spans="3:4" x14ac:dyDescent="0.2">
      <c r="C506" s="178"/>
      <c r="D506" s="178"/>
    </row>
  </sheetData>
  <conditionalFormatting sqref="C14:O16 C12:O12">
    <cfRule type="cellIs" dxfId="1" priority="3" operator="lessThan">
      <formula>0</formula>
    </cfRule>
  </conditionalFormatting>
  <conditionalFormatting sqref="P12">
    <cfRule type="cellIs" dxfId="0" priority="1" operator="lessThan">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13" r:id="rId4" name="Button 9">
              <controlPr defaultSize="0" print="0" autoFill="0" autoPict="0" macro="[0]!ChangeNotes">
                <anchor moveWithCells="1">
                  <from>
                    <xdr:col>17</xdr:col>
                    <xdr:colOff>962025</xdr:colOff>
                    <xdr:row>1</xdr:row>
                    <xdr:rowOff>76200</xdr:rowOff>
                  </from>
                  <to>
                    <xdr:col>18</xdr:col>
                    <xdr:colOff>352425</xdr:colOff>
                    <xdr:row>3</xdr:row>
                    <xdr:rowOff>104775</xdr:rowOff>
                  </to>
                </anchor>
              </controlPr>
            </control>
          </mc:Choice>
        </mc:AlternateContent>
        <mc:AlternateContent xmlns:mc="http://schemas.openxmlformats.org/markup-compatibility/2006">
          <mc:Choice Requires="x14">
            <control shapeId="47114" r:id="rId5" name="Button 10">
              <controlPr defaultSize="0" print="0" autoFill="0" autoPict="0" macro="[0]!HideRowsWithZeroInRanges">
                <anchor moveWithCells="1">
                  <from>
                    <xdr:col>18</xdr:col>
                    <xdr:colOff>457200</xdr:colOff>
                    <xdr:row>1</xdr:row>
                    <xdr:rowOff>76200</xdr:rowOff>
                  </from>
                  <to>
                    <xdr:col>20</xdr:col>
                    <xdr:colOff>381000</xdr:colOff>
                    <xdr:row>3</xdr:row>
                    <xdr:rowOff>104775</xdr:rowOff>
                  </to>
                </anchor>
              </controlPr>
            </control>
          </mc:Choice>
        </mc:AlternateContent>
        <mc:AlternateContent xmlns:mc="http://schemas.openxmlformats.org/markup-compatibility/2006">
          <mc:Choice Requires="x14">
            <control shapeId="47115" r:id="rId6" name="Button 11">
              <controlPr defaultSize="0" print="0" autoFill="0" autoPict="0" macro="[0]!UnhideRows">
                <anchor moveWithCells="1">
                  <from>
                    <xdr:col>20</xdr:col>
                    <xdr:colOff>485775</xdr:colOff>
                    <xdr:row>1</xdr:row>
                    <xdr:rowOff>76200</xdr:rowOff>
                  </from>
                  <to>
                    <xdr:col>21</xdr:col>
                    <xdr:colOff>619125</xdr:colOff>
                    <xdr:row>3</xdr:row>
                    <xdr:rowOff>104775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35B35-C8A2-48BA-AAB4-31AC32581EB8}">
  <sheetPr codeName="Sheet38">
    <tabColor theme="7"/>
  </sheetPr>
  <dimension ref="A1:K41"/>
  <sheetViews>
    <sheetView workbookViewId="0"/>
  </sheetViews>
  <sheetFormatPr defaultRowHeight="12.75" x14ac:dyDescent="0.2"/>
  <cols>
    <col min="1" max="1" width="1" style="34" customWidth="1"/>
    <col min="2" max="2" width="33.28515625" bestFit="1" customWidth="1"/>
    <col min="3" max="4" width="12" customWidth="1"/>
    <col min="5" max="5" width="1" style="34" customWidth="1"/>
  </cols>
  <sheetData>
    <row r="1" spans="1:11" s="5" customFormat="1" ht="5.0999999999999996" customHeight="1" x14ac:dyDescent="0.2">
      <c r="A1" s="46" t="s">
        <v>41</v>
      </c>
      <c r="B1" s="62"/>
      <c r="C1" s="16"/>
      <c r="D1" s="16"/>
      <c r="E1" s="46" t="s">
        <v>41</v>
      </c>
      <c r="I1" s="13"/>
      <c r="J1" s="13"/>
      <c r="K1" s="15"/>
    </row>
    <row r="2" spans="1:11" x14ac:dyDescent="0.2">
      <c r="A2" s="42"/>
      <c r="B2" s="63" t="s">
        <v>92</v>
      </c>
      <c r="C2" s="3"/>
      <c r="D2" s="3"/>
      <c r="E2" s="42"/>
    </row>
    <row r="3" spans="1:11" ht="5.0999999999999996" customHeight="1" thickBot="1" x14ac:dyDescent="0.25">
      <c r="A3" s="46"/>
      <c r="B3" s="62"/>
      <c r="C3" s="16"/>
      <c r="D3" s="16"/>
      <c r="E3" s="46"/>
    </row>
    <row r="4" spans="1:11" ht="13.5" thickBot="1" x14ac:dyDescent="0.25">
      <c r="A4" s="43"/>
      <c r="B4" s="64"/>
      <c r="C4" s="142" t="s">
        <v>136</v>
      </c>
      <c r="D4" s="143" t="s">
        <v>137</v>
      </c>
      <c r="E4" s="43"/>
    </row>
    <row r="5" spans="1:11" ht="5.0999999999999996" customHeight="1" x14ac:dyDescent="0.2">
      <c r="A5" s="43"/>
      <c r="B5" s="62"/>
      <c r="C5" s="16"/>
      <c r="D5" s="16"/>
      <c r="E5" s="43"/>
    </row>
    <row r="6" spans="1:11" x14ac:dyDescent="0.2">
      <c r="A6" s="43"/>
      <c r="B6" s="144" t="s">
        <v>7</v>
      </c>
      <c r="C6" s="145">
        <f>SUMIFS(Assets!$E:$E,Assets!$B:$B,$B6)+SUM('Loyalty Points &amp; Miles'!$H:$H)</f>
        <v>0</v>
      </c>
      <c r="D6" s="146">
        <f ca="1">NTM!N85</f>
        <v>0</v>
      </c>
      <c r="E6" s="43"/>
    </row>
    <row r="7" spans="1:11" x14ac:dyDescent="0.2">
      <c r="A7" s="42"/>
      <c r="B7" s="69" t="s">
        <v>149</v>
      </c>
      <c r="C7" s="105">
        <f>SUM('Loyalty Points &amp; Miles'!$I:$I)</f>
        <v>0</v>
      </c>
      <c r="D7" s="147">
        <f>NTM!N86</f>
        <v>0</v>
      </c>
      <c r="E7" s="42"/>
    </row>
    <row r="8" spans="1:11" ht="5.0999999999999996" customHeight="1" x14ac:dyDescent="0.2">
      <c r="A8" s="42"/>
      <c r="B8" s="69"/>
      <c r="C8" s="96"/>
      <c r="D8" s="106"/>
      <c r="E8" s="42"/>
    </row>
    <row r="9" spans="1:11" x14ac:dyDescent="0.2">
      <c r="A9" s="42"/>
      <c r="B9" s="69" t="s">
        <v>31</v>
      </c>
      <c r="C9" s="105">
        <f>SUMIFS(Assets!$E:$E,Assets!$B:$B,$B9)</f>
        <v>0</v>
      </c>
      <c r="D9" s="147">
        <f ca="1">NTM!N88</f>
        <v>0</v>
      </c>
      <c r="E9" s="42"/>
    </row>
    <row r="10" spans="1:11" x14ac:dyDescent="0.2">
      <c r="A10" s="42"/>
      <c r="B10" s="69" t="s">
        <v>30</v>
      </c>
      <c r="C10" s="105">
        <f>SUMIFS(Assets!$E:$E,Assets!$B:$B,$B10)</f>
        <v>0</v>
      </c>
      <c r="D10" s="147">
        <f ca="1">NTM!N89</f>
        <v>0</v>
      </c>
      <c r="E10" s="42"/>
    </row>
    <row r="11" spans="1:11" ht="5.0999999999999996" customHeight="1" x14ac:dyDescent="0.2">
      <c r="A11" s="42"/>
      <c r="B11" s="69"/>
      <c r="C11" s="96"/>
      <c r="D11" s="106"/>
      <c r="E11" s="42"/>
    </row>
    <row r="12" spans="1:11" x14ac:dyDescent="0.2">
      <c r="A12" s="42"/>
      <c r="B12" s="69" t="s">
        <v>152</v>
      </c>
      <c r="C12" s="105">
        <f>SUMIFS(Assets!$E:$E,Assets!$B:$B,$B12)</f>
        <v>0</v>
      </c>
      <c r="D12" s="147">
        <f>NTM!N91</f>
        <v>0</v>
      </c>
      <c r="E12" s="42"/>
    </row>
    <row r="13" spans="1:11" ht="5.0999999999999996" customHeight="1" x14ac:dyDescent="0.2">
      <c r="A13" s="42"/>
      <c r="B13" s="69"/>
      <c r="C13" s="96"/>
      <c r="D13" s="106"/>
      <c r="E13" s="42"/>
    </row>
    <row r="14" spans="1:11" x14ac:dyDescent="0.2">
      <c r="A14" s="42"/>
      <c r="B14" s="82" t="s">
        <v>100</v>
      </c>
      <c r="C14" s="121">
        <f>SUM(C6:C11)</f>
        <v>0</v>
      </c>
      <c r="D14" s="148">
        <f ca="1">NTM!N93</f>
        <v>0</v>
      </c>
      <c r="E14" s="42"/>
    </row>
    <row r="15" spans="1:11" ht="5.0999999999999996" customHeight="1" x14ac:dyDescent="0.2">
      <c r="A15" s="42"/>
      <c r="B15" s="69"/>
      <c r="C15" s="96"/>
      <c r="D15" s="106"/>
      <c r="E15" s="42"/>
    </row>
    <row r="16" spans="1:11" x14ac:dyDescent="0.2">
      <c r="A16" s="44"/>
      <c r="B16" s="69" t="s">
        <v>6</v>
      </c>
      <c r="C16" s="105">
        <f>SUM(Loans!C:C)</f>
        <v>0</v>
      </c>
      <c r="D16" s="147">
        <f ca="1">NTM!N95</f>
        <v>0</v>
      </c>
      <c r="E16" s="44"/>
    </row>
    <row r="17" spans="1:11" x14ac:dyDescent="0.2">
      <c r="A17" s="44"/>
      <c r="B17" s="69" t="s">
        <v>17</v>
      </c>
      <c r="C17" s="105">
        <f>SUM('Credit Cards'!D:D)</f>
        <v>0</v>
      </c>
      <c r="D17" s="147">
        <f ca="1">NTM!N96</f>
        <v>0</v>
      </c>
      <c r="E17" s="44"/>
    </row>
    <row r="18" spans="1:11" ht="5.0999999999999996" customHeight="1" x14ac:dyDescent="0.2">
      <c r="A18" s="44"/>
      <c r="B18" s="69"/>
      <c r="C18" s="96"/>
      <c r="D18" s="106"/>
      <c r="E18" s="44"/>
    </row>
    <row r="19" spans="1:11" x14ac:dyDescent="0.2">
      <c r="A19" s="42"/>
      <c r="B19" s="82" t="s">
        <v>101</v>
      </c>
      <c r="C19" s="121">
        <f>SUM(C15:C18)</f>
        <v>0</v>
      </c>
      <c r="D19" s="148">
        <f ca="1">NTM!N98</f>
        <v>0</v>
      </c>
      <c r="E19" s="42"/>
    </row>
    <row r="20" spans="1:11" ht="5.0999999999999996" customHeight="1" x14ac:dyDescent="0.2">
      <c r="A20" s="42"/>
      <c r="B20" s="69"/>
      <c r="C20" s="96"/>
      <c r="D20" s="106"/>
      <c r="E20" s="42"/>
    </row>
    <row r="21" spans="1:11" x14ac:dyDescent="0.2">
      <c r="A21" s="42"/>
      <c r="B21" s="83" t="s">
        <v>40</v>
      </c>
      <c r="C21" s="122">
        <f>C14-C19</f>
        <v>0</v>
      </c>
      <c r="D21" s="149">
        <f ca="1">NTM!N100</f>
        <v>0</v>
      </c>
      <c r="E21" s="42"/>
    </row>
    <row r="22" spans="1:11" s="5" customFormat="1" ht="5.0999999999999996" customHeight="1" x14ac:dyDescent="0.2">
      <c r="A22" s="46" t="s">
        <v>41</v>
      </c>
      <c r="B22" s="62"/>
      <c r="C22" s="16"/>
      <c r="D22" s="16"/>
      <c r="E22" s="46" t="s">
        <v>41</v>
      </c>
      <c r="I22" s="13"/>
      <c r="J22" s="13"/>
      <c r="K22" s="15"/>
    </row>
    <row r="23" spans="1:11" x14ac:dyDescent="0.2">
      <c r="A23" s="42"/>
      <c r="B23" s="92" t="s">
        <v>46</v>
      </c>
      <c r="C23" s="93">
        <f>SUMIFS(Assets!$E:$E,Assets!$D:$D,Blanket!$C$3)</f>
        <v>0</v>
      </c>
      <c r="D23" s="209"/>
      <c r="E23" s="42"/>
    </row>
    <row r="24" spans="1:11" x14ac:dyDescent="0.2">
      <c r="A24" s="42"/>
      <c r="B24" s="92" t="s">
        <v>119</v>
      </c>
      <c r="C24" s="93">
        <f>SUMIFS(Assets!$E:$E,Assets!$C:$C,Blanket!C4)-C23</f>
        <v>0</v>
      </c>
      <c r="D24" s="209"/>
      <c r="E24" s="42"/>
    </row>
    <row r="25" spans="1:11" x14ac:dyDescent="0.2">
      <c r="A25" s="42"/>
      <c r="B25" s="92" t="s">
        <v>214</v>
      </c>
      <c r="C25" s="93">
        <f>SUMIFS(Assets!$E:$E,Assets!$B:$B,"Cash")-SUM(C23:C24)</f>
        <v>0</v>
      </c>
      <c r="D25" s="209"/>
      <c r="E25" s="42"/>
    </row>
    <row r="26" spans="1:11" x14ac:dyDescent="0.2">
      <c r="A26" s="42"/>
      <c r="B26" s="92" t="s">
        <v>215</v>
      </c>
      <c r="C26" s="93">
        <f>SUM('Loyalty Points &amp; Miles'!H:H)</f>
        <v>0</v>
      </c>
      <c r="D26" s="209"/>
      <c r="E26" s="42"/>
    </row>
    <row r="27" spans="1:11" x14ac:dyDescent="0.2">
      <c r="A27" s="42"/>
      <c r="B27" s="90" t="s">
        <v>126</v>
      </c>
      <c r="C27" s="91">
        <f>SUM(C23:C26)</f>
        <v>0</v>
      </c>
      <c r="D27" s="209"/>
      <c r="E27" s="42"/>
    </row>
    <row r="28" spans="1:11" s="5" customFormat="1" ht="5.0999999999999996" customHeight="1" x14ac:dyDescent="0.2">
      <c r="A28" s="46" t="s">
        <v>41</v>
      </c>
      <c r="B28" s="62"/>
      <c r="C28" s="16"/>
      <c r="D28" s="16"/>
      <c r="E28" s="46" t="s">
        <v>41</v>
      </c>
      <c r="I28" s="13"/>
      <c r="J28" s="13"/>
      <c r="K28" s="15"/>
    </row>
    <row r="30" spans="1:11" x14ac:dyDescent="0.2">
      <c r="A30"/>
      <c r="B30" s="56" t="s">
        <v>128</v>
      </c>
      <c r="C30" s="57"/>
      <c r="E30"/>
    </row>
    <row r="31" spans="1:11" x14ac:dyDescent="0.2">
      <c r="A31"/>
      <c r="B31" s="92" t="s">
        <v>46</v>
      </c>
      <c r="C31" s="93">
        <f>SUMIFS(NTM!$C$10:$N$10,NTM!$C$103:$N$103,"&lt;="&amp;Blanket!C7)</f>
        <v>0</v>
      </c>
      <c r="E31"/>
    </row>
    <row r="32" spans="1:11" x14ac:dyDescent="0.2">
      <c r="A32"/>
      <c r="B32" s="92" t="s">
        <v>129</v>
      </c>
      <c r="C32" s="93">
        <f>SUMIFS(NTM!$C$10:$N$10,NTM!$C$103:$N$103,"&lt;="&amp;Blanket!C12)-C31</f>
        <v>0</v>
      </c>
      <c r="E32"/>
    </row>
    <row r="33" spans="1:5" x14ac:dyDescent="0.2">
      <c r="A33"/>
      <c r="B33" s="92" t="s">
        <v>103</v>
      </c>
      <c r="C33" s="93">
        <f>SUMIFS(NTM!$C$10:$N$10,NTM!$C$103:$N$103,"&lt;="&amp;Blanket!C13)-SUM(C31:C32)</f>
        <v>0</v>
      </c>
      <c r="E33"/>
    </row>
    <row r="34" spans="1:5" x14ac:dyDescent="0.2">
      <c r="A34"/>
      <c r="E34"/>
    </row>
    <row r="35" spans="1:5" x14ac:dyDescent="0.2">
      <c r="A35"/>
      <c r="B35" s="56" t="s">
        <v>139</v>
      </c>
      <c r="C35" s="57"/>
      <c r="E35"/>
    </row>
    <row r="36" spans="1:5" x14ac:dyDescent="0.2">
      <c r="A36"/>
      <c r="B36" s="94" t="s">
        <v>120</v>
      </c>
      <c r="C36" s="93"/>
      <c r="E36"/>
    </row>
    <row r="37" spans="1:5" x14ac:dyDescent="0.2">
      <c r="A37"/>
      <c r="B37" s="92" t="s">
        <v>45</v>
      </c>
      <c r="C37" s="93">
        <f>'Balances &amp; Actions'!C31-'Balances &amp; Actions'!C23</f>
        <v>0</v>
      </c>
      <c r="E37"/>
    </row>
    <row r="38" spans="1:5" x14ac:dyDescent="0.2">
      <c r="A38"/>
      <c r="B38" s="92" t="s">
        <v>113</v>
      </c>
      <c r="C38" s="93">
        <f>'Balances &amp; Actions'!C32-'Balances &amp; Actions'!C24</f>
        <v>0</v>
      </c>
      <c r="E38"/>
    </row>
    <row r="39" spans="1:5" x14ac:dyDescent="0.2">
      <c r="A39"/>
      <c r="B39" s="90" t="s">
        <v>163</v>
      </c>
      <c r="C39" s="91">
        <f>SUM(C37:C38)</f>
        <v>0</v>
      </c>
      <c r="E39"/>
    </row>
    <row r="40" spans="1:5" x14ac:dyDescent="0.2">
      <c r="A40"/>
      <c r="B40" s="92" t="s">
        <v>116</v>
      </c>
      <c r="C40" s="93">
        <f>'Balances &amp; Actions'!C33-'Balances &amp; Actions'!C25</f>
        <v>0</v>
      </c>
      <c r="E40"/>
    </row>
    <row r="41" spans="1:5" x14ac:dyDescent="0.2">
      <c r="A41"/>
      <c r="E4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ECC09-E2AF-4A4B-B44D-850F09D7B74B}">
  <sheetPr codeName="Sheet11">
    <tabColor theme="7"/>
  </sheetPr>
  <dimension ref="A1:AC18"/>
  <sheetViews>
    <sheetView workbookViewId="0"/>
  </sheetViews>
  <sheetFormatPr defaultRowHeight="12.75" x14ac:dyDescent="0.2"/>
  <cols>
    <col min="1" max="1" width="4" customWidth="1"/>
    <col min="2" max="13" width="10.28515625" customWidth="1"/>
  </cols>
  <sheetData>
    <row r="1" spans="1:29" ht="13.5" thickBot="1" x14ac:dyDescent="0.25"/>
    <row r="2" spans="1:29" s="5" customFormat="1" ht="13.5" thickBot="1" x14ac:dyDescent="0.25">
      <c r="A2" s="218"/>
      <c r="B2" s="142">
        <f ca="1">NTM!C4</f>
        <v>45752</v>
      </c>
      <c r="C2" s="7">
        <f ca="1">NTM!D4</f>
        <v>45778</v>
      </c>
      <c r="D2" s="7">
        <f ca="1">NTM!E4</f>
        <v>45809</v>
      </c>
      <c r="E2" s="7">
        <f ca="1">NTM!F4</f>
        <v>45839</v>
      </c>
      <c r="F2" s="7">
        <f ca="1">NTM!G4</f>
        <v>45870</v>
      </c>
      <c r="G2" s="7">
        <f ca="1">NTM!H4</f>
        <v>45901</v>
      </c>
      <c r="H2" s="7">
        <f ca="1">NTM!I4</f>
        <v>45931</v>
      </c>
      <c r="I2" s="7">
        <f ca="1">NTM!J4</f>
        <v>45962</v>
      </c>
      <c r="J2" s="7">
        <f ca="1">NTM!K4</f>
        <v>45992</v>
      </c>
      <c r="K2" s="7">
        <f ca="1">NTM!L4</f>
        <v>46023</v>
      </c>
      <c r="L2" s="7">
        <f ca="1">NTM!M4</f>
        <v>46054</v>
      </c>
      <c r="M2" s="143">
        <f ca="1">NTM!N4</f>
        <v>46082</v>
      </c>
      <c r="N2" s="218"/>
      <c r="O2" s="34"/>
      <c r="P2" s="162"/>
      <c r="R2" s="8"/>
      <c r="S2" s="9"/>
      <c r="T2" s="10"/>
      <c r="U2" s="11"/>
      <c r="AA2" s="12"/>
      <c r="AB2" s="12"/>
      <c r="AC2" s="12"/>
    </row>
    <row r="4" spans="1:29" x14ac:dyDescent="0.2">
      <c r="B4" s="65" t="s">
        <v>99</v>
      </c>
      <c r="C4" s="65"/>
      <c r="D4" s="65"/>
      <c r="E4" s="65"/>
      <c r="F4" s="65"/>
      <c r="G4" s="65"/>
      <c r="H4" s="65"/>
      <c r="I4" s="65"/>
      <c r="J4" s="65"/>
      <c r="K4" s="65"/>
      <c r="L4" s="65"/>
      <c r="M4" s="65"/>
    </row>
    <row r="11" spans="1:29" x14ac:dyDescent="0.2">
      <c r="B11" s="217" t="s">
        <v>172</v>
      </c>
      <c r="C11" s="217"/>
      <c r="D11" s="217"/>
      <c r="E11" s="217"/>
      <c r="F11" s="217"/>
      <c r="G11" s="217"/>
      <c r="H11" s="217"/>
      <c r="I11" s="217"/>
      <c r="J11" s="217"/>
      <c r="K11" s="217"/>
      <c r="L11" s="217"/>
      <c r="M11" s="217"/>
    </row>
    <row r="18" spans="2:13" x14ac:dyDescent="0.2">
      <c r="B18" s="219" t="s">
        <v>216</v>
      </c>
      <c r="C18" s="219"/>
      <c r="D18" s="219"/>
      <c r="E18" s="219"/>
      <c r="F18" s="219"/>
      <c r="G18" s="219"/>
      <c r="H18" s="219"/>
      <c r="I18" s="219"/>
      <c r="J18" s="219"/>
      <c r="K18" s="219"/>
      <c r="L18" s="219"/>
      <c r="M18" s="219"/>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28F64-B0F0-4F44-809F-E08F8C2497AC}">
  <sheetPr codeName="Sheet34">
    <tabColor theme="7"/>
  </sheetPr>
  <dimension ref="B2:J79"/>
  <sheetViews>
    <sheetView workbookViewId="0">
      <selection activeCell="H18" sqref="H18"/>
    </sheetView>
  </sheetViews>
  <sheetFormatPr defaultColWidth="8" defaultRowHeight="12.75" x14ac:dyDescent="0.2"/>
  <cols>
    <col min="1" max="1" width="3.5703125" style="132" customWidth="1"/>
    <col min="2" max="2" width="9.7109375" style="132" bestFit="1" customWidth="1"/>
    <col min="3" max="3" width="10.140625" style="139" bestFit="1" customWidth="1"/>
    <col min="4" max="9" width="16.5703125" style="140" customWidth="1"/>
    <col min="10" max="10" width="3" style="132" customWidth="1"/>
    <col min="11" max="16384" width="8" style="132"/>
  </cols>
  <sheetData>
    <row r="2" spans="2:10" s="129" customFormat="1" ht="30" x14ac:dyDescent="0.35">
      <c r="C2" s="130" t="s">
        <v>127</v>
      </c>
      <c r="D2" s="131" t="s">
        <v>7</v>
      </c>
      <c r="E2" s="131" t="s">
        <v>131</v>
      </c>
      <c r="F2" s="131" t="s">
        <v>132</v>
      </c>
      <c r="G2" s="131" t="s">
        <v>133</v>
      </c>
      <c r="H2" s="131" t="s">
        <v>134</v>
      </c>
      <c r="I2" s="131" t="s">
        <v>135</v>
      </c>
      <c r="J2" s="132"/>
    </row>
    <row r="3" spans="2:10" s="129" customFormat="1" x14ac:dyDescent="0.2">
      <c r="C3" s="133"/>
      <c r="D3" s="134"/>
      <c r="E3" s="134"/>
      <c r="F3" s="134"/>
      <c r="G3" s="134"/>
      <c r="H3" s="134"/>
      <c r="I3" s="134"/>
      <c r="J3" s="132"/>
    </row>
    <row r="4" spans="2:10" x14ac:dyDescent="0.2">
      <c r="B4" s="135" t="s">
        <v>130</v>
      </c>
      <c r="C4" s="136">
        <f ca="1">TODAY()</f>
        <v>45752</v>
      </c>
      <c r="D4" s="137">
        <f>'Balances &amp; Actions'!$C$6</f>
        <v>0</v>
      </c>
      <c r="E4" s="137">
        <f>SUM('Balances &amp; Actions'!C9:C10)</f>
        <v>0</v>
      </c>
      <c r="F4" s="137">
        <f>SUM(D4:E4)</f>
        <v>0</v>
      </c>
      <c r="G4" s="137">
        <f>'Balances &amp; Actions'!$C$21</f>
        <v>0</v>
      </c>
      <c r="H4" s="137">
        <f ca="1">NTM!$P$15</f>
        <v>0</v>
      </c>
      <c r="I4" s="138">
        <f ca="1">NTM!$N$93</f>
        <v>0</v>
      </c>
    </row>
    <row r="6" spans="2:10" x14ac:dyDescent="0.2">
      <c r="B6"/>
    </row>
    <row r="7" spans="2:10" x14ac:dyDescent="0.2">
      <c r="B7"/>
    </row>
    <row r="8" spans="2:10" x14ac:dyDescent="0.2">
      <c r="B8"/>
    </row>
    <row r="9" spans="2:10" x14ac:dyDescent="0.2">
      <c r="B9"/>
    </row>
    <row r="10" spans="2:10" x14ac:dyDescent="0.2">
      <c r="B10"/>
    </row>
    <row r="11" spans="2:10" x14ac:dyDescent="0.2">
      <c r="B11"/>
    </row>
    <row r="12" spans="2:10" x14ac:dyDescent="0.2">
      <c r="B12"/>
    </row>
    <row r="13" spans="2:10" x14ac:dyDescent="0.2">
      <c r="B13"/>
    </row>
    <row r="14" spans="2:10" x14ac:dyDescent="0.2">
      <c r="B14"/>
    </row>
    <row r="15" spans="2:10" x14ac:dyDescent="0.2">
      <c r="B15"/>
    </row>
    <row r="16" spans="2:10" x14ac:dyDescent="0.2">
      <c r="B16"/>
    </row>
    <row r="17" spans="2:2" x14ac:dyDescent="0.2">
      <c r="B17"/>
    </row>
    <row r="18" spans="2:2" x14ac:dyDescent="0.2">
      <c r="B18"/>
    </row>
    <row r="19" spans="2:2" x14ac:dyDescent="0.2">
      <c r="B19"/>
    </row>
    <row r="20" spans="2:2" x14ac:dyDescent="0.2">
      <c r="B20"/>
    </row>
    <row r="21" spans="2:2" x14ac:dyDescent="0.2">
      <c r="B21"/>
    </row>
    <row r="22" spans="2:2" x14ac:dyDescent="0.2">
      <c r="B22" s="141"/>
    </row>
    <row r="23" spans="2:2" x14ac:dyDescent="0.2">
      <c r="B23" s="141"/>
    </row>
    <row r="24" spans="2:2" x14ac:dyDescent="0.2">
      <c r="B24" s="141"/>
    </row>
    <row r="25" spans="2:2" x14ac:dyDescent="0.2">
      <c r="B25" s="141"/>
    </row>
    <row r="26" spans="2:2" x14ac:dyDescent="0.2">
      <c r="B26" s="141"/>
    </row>
    <row r="27" spans="2:2" x14ac:dyDescent="0.2">
      <c r="B27" s="141"/>
    </row>
    <row r="28" spans="2:2" x14ac:dyDescent="0.2">
      <c r="B28" s="141"/>
    </row>
    <row r="29" spans="2:2" x14ac:dyDescent="0.2">
      <c r="B29" s="141"/>
    </row>
    <row r="30" spans="2:2" x14ac:dyDescent="0.2">
      <c r="B30" s="141"/>
    </row>
    <row r="31" spans="2:2" x14ac:dyDescent="0.2">
      <c r="B31" s="141"/>
    </row>
    <row r="32" spans="2:2" x14ac:dyDescent="0.2">
      <c r="B32" s="141"/>
    </row>
    <row r="33" spans="2:2" x14ac:dyDescent="0.2">
      <c r="B33" s="141"/>
    </row>
    <row r="34" spans="2:2" x14ac:dyDescent="0.2">
      <c r="B34" s="141"/>
    </row>
    <row r="35" spans="2:2" x14ac:dyDescent="0.2">
      <c r="B35" s="141"/>
    </row>
    <row r="36" spans="2:2" x14ac:dyDescent="0.2">
      <c r="B36" s="141"/>
    </row>
    <row r="37" spans="2:2" x14ac:dyDescent="0.2">
      <c r="B37" s="141"/>
    </row>
    <row r="38" spans="2:2" x14ac:dyDescent="0.2">
      <c r="B38" s="141"/>
    </row>
    <row r="39" spans="2:2" x14ac:dyDescent="0.2">
      <c r="B39" s="141"/>
    </row>
    <row r="40" spans="2:2" x14ac:dyDescent="0.2">
      <c r="B40" s="141"/>
    </row>
    <row r="41" spans="2:2" x14ac:dyDescent="0.2">
      <c r="B41" s="141"/>
    </row>
    <row r="42" spans="2:2" x14ac:dyDescent="0.2">
      <c r="B42" s="141"/>
    </row>
    <row r="43" spans="2:2" x14ac:dyDescent="0.2">
      <c r="B43" s="141"/>
    </row>
    <row r="44" spans="2:2" x14ac:dyDescent="0.2">
      <c r="B44" s="141"/>
    </row>
    <row r="46" spans="2:2" x14ac:dyDescent="0.2">
      <c r="B46" s="141"/>
    </row>
    <row r="47" spans="2:2" x14ac:dyDescent="0.2">
      <c r="B47" s="141"/>
    </row>
    <row r="48" spans="2:2" x14ac:dyDescent="0.2">
      <c r="B48" s="141"/>
    </row>
    <row r="49" spans="2:2" x14ac:dyDescent="0.2">
      <c r="B49" s="141"/>
    </row>
    <row r="50" spans="2:2" x14ac:dyDescent="0.2">
      <c r="B50" s="141"/>
    </row>
    <row r="51" spans="2:2" x14ac:dyDescent="0.2">
      <c r="B51" s="141"/>
    </row>
    <row r="52" spans="2:2" x14ac:dyDescent="0.2">
      <c r="B52" s="141"/>
    </row>
    <row r="53" spans="2:2" x14ac:dyDescent="0.2">
      <c r="B53" s="141"/>
    </row>
    <row r="54" spans="2:2" x14ac:dyDescent="0.2">
      <c r="B54" s="141"/>
    </row>
    <row r="55" spans="2:2" x14ac:dyDescent="0.2">
      <c r="B55" s="141"/>
    </row>
    <row r="56" spans="2:2" x14ac:dyDescent="0.2">
      <c r="B56" s="141"/>
    </row>
    <row r="57" spans="2:2" x14ac:dyDescent="0.2">
      <c r="B57" s="141"/>
    </row>
    <row r="58" spans="2:2" x14ac:dyDescent="0.2">
      <c r="B58" s="141"/>
    </row>
    <row r="59" spans="2:2" x14ac:dyDescent="0.2">
      <c r="B59" s="141"/>
    </row>
    <row r="60" spans="2:2" x14ac:dyDescent="0.2">
      <c r="B60" s="141"/>
    </row>
    <row r="61" spans="2:2" x14ac:dyDescent="0.2">
      <c r="B61" s="141"/>
    </row>
    <row r="62" spans="2:2" x14ac:dyDescent="0.2">
      <c r="B62" s="141"/>
    </row>
    <row r="63" spans="2:2" x14ac:dyDescent="0.2">
      <c r="B63" s="141"/>
    </row>
    <row r="64" spans="2:2" x14ac:dyDescent="0.2">
      <c r="B64" s="141"/>
    </row>
    <row r="65" spans="2:2" x14ac:dyDescent="0.2">
      <c r="B65" s="141"/>
    </row>
    <row r="66" spans="2:2" x14ac:dyDescent="0.2">
      <c r="B66" s="141"/>
    </row>
    <row r="67" spans="2:2" x14ac:dyDescent="0.2">
      <c r="B67" s="141"/>
    </row>
    <row r="68" spans="2:2" x14ac:dyDescent="0.2">
      <c r="B68" s="141"/>
    </row>
    <row r="69" spans="2:2" x14ac:dyDescent="0.2">
      <c r="B69" s="141"/>
    </row>
    <row r="70" spans="2:2" x14ac:dyDescent="0.2">
      <c r="B70" s="141"/>
    </row>
    <row r="71" spans="2:2" x14ac:dyDescent="0.2">
      <c r="B71" s="141"/>
    </row>
    <row r="72" spans="2:2" x14ac:dyDescent="0.2">
      <c r="B72" s="141"/>
    </row>
    <row r="73" spans="2:2" x14ac:dyDescent="0.2">
      <c r="B73" s="141"/>
    </row>
    <row r="74" spans="2:2" x14ac:dyDescent="0.2">
      <c r="B74" s="141"/>
    </row>
    <row r="75" spans="2:2" x14ac:dyDescent="0.2">
      <c r="B75" s="141"/>
    </row>
    <row r="76" spans="2:2" x14ac:dyDescent="0.2">
      <c r="B76" s="141"/>
    </row>
    <row r="77" spans="2:2" x14ac:dyDescent="0.2">
      <c r="B77" s="141"/>
    </row>
    <row r="78" spans="2:2" x14ac:dyDescent="0.2">
      <c r="B78" s="141"/>
    </row>
    <row r="79" spans="2:2" x14ac:dyDescent="0.2">
      <c r="B79" s="141"/>
    </row>
  </sheetData>
  <conditionalFormatting sqref="D5:D84">
    <cfRule type="colorScale" priority="22">
      <colorScale>
        <cfvo type="min"/>
        <cfvo type="percentile" val="50"/>
        <cfvo type="max"/>
        <color rgb="FFFDCFD0"/>
        <color rgb="FFFFF7CD"/>
        <color rgb="FFDCF0E1"/>
      </colorScale>
    </cfRule>
  </conditionalFormatting>
  <conditionalFormatting sqref="E5:E84">
    <cfRule type="colorScale" priority="24">
      <colorScale>
        <cfvo type="min"/>
        <cfvo type="percentile" val="50"/>
        <cfvo type="max"/>
        <color rgb="FFFDCFD0"/>
        <color rgb="FFFFF7CD"/>
        <color rgb="FFDCF0E1"/>
      </colorScale>
    </cfRule>
  </conditionalFormatting>
  <conditionalFormatting sqref="F5:F84">
    <cfRule type="colorScale" priority="26">
      <colorScale>
        <cfvo type="min"/>
        <cfvo type="percentile" val="50"/>
        <cfvo type="max"/>
        <color rgb="FFFDCFD0"/>
        <color rgb="FFFFF7CD"/>
        <color rgb="FFDCF0E1"/>
      </colorScale>
    </cfRule>
  </conditionalFormatting>
  <conditionalFormatting sqref="G5:G84">
    <cfRule type="colorScale" priority="28">
      <colorScale>
        <cfvo type="min"/>
        <cfvo type="percentile" val="50"/>
        <cfvo type="max"/>
        <color rgb="FFFDCFD0"/>
        <color rgb="FFFFF7CD"/>
        <color rgb="FFDCF0E1"/>
      </colorScale>
    </cfRule>
  </conditionalFormatting>
  <conditionalFormatting sqref="H5:H84">
    <cfRule type="colorScale" priority="30">
      <colorScale>
        <cfvo type="min"/>
        <cfvo type="percentile" val="50"/>
        <cfvo type="max"/>
        <color rgb="FFFDCFD0"/>
        <color rgb="FFFFF7CD"/>
        <color rgb="FFDCF0E1"/>
      </colorScale>
    </cfRule>
  </conditionalFormatting>
  <conditionalFormatting sqref="I5:I84">
    <cfRule type="colorScale" priority="34">
      <colorScale>
        <cfvo type="min"/>
        <cfvo type="percentile" val="50"/>
        <cfvo type="max"/>
        <color rgb="FFFDCFD0"/>
        <color rgb="FFFFF7CD"/>
        <color rgb="FFDCF0E1"/>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Archive">
                <anchor moveWithCells="1">
                  <from>
                    <xdr:col>0</xdr:col>
                    <xdr:colOff>104775</xdr:colOff>
                    <xdr:row>1</xdr:row>
                    <xdr:rowOff>57150</xdr:rowOff>
                  </from>
                  <to>
                    <xdr:col>1</xdr:col>
                    <xdr:colOff>581025</xdr:colOff>
                    <xdr:row>2</xdr:row>
                    <xdr:rowOff>95250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5226B-B534-40C3-BD6D-78D5CDFA724A}">
  <sheetPr codeName="Sheet10"/>
  <dimension ref="A1"/>
  <sheetViews>
    <sheetView workbookViewId="0"/>
  </sheetViews>
  <sheetFormatPr defaultRowHeight="12.75" x14ac:dyDescent="0.2"/>
  <cols>
    <col min="1" max="16384" width="9.140625" style="27"/>
  </cols>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25454-6767-4ABA-99C6-F62C66F166FD}">
  <sheetPr codeName="Sheet12">
    <tabColor rgb="FF0000FF"/>
  </sheetPr>
  <dimension ref="B1:E21"/>
  <sheetViews>
    <sheetView workbookViewId="0"/>
  </sheetViews>
  <sheetFormatPr defaultRowHeight="12.75" x14ac:dyDescent="0.2"/>
  <cols>
    <col min="1" max="1" width="2.140625" customWidth="1"/>
    <col min="2" max="2" width="14" bestFit="1" customWidth="1"/>
    <col min="3" max="3" width="20.42578125" bestFit="1" customWidth="1"/>
    <col min="4" max="4" width="24" bestFit="1" customWidth="1"/>
    <col min="5" max="5" width="17.28515625" style="2" bestFit="1" customWidth="1"/>
  </cols>
  <sheetData>
    <row r="1" spans="2:5" x14ac:dyDescent="0.2">
      <c r="B1" s="87" t="s">
        <v>107</v>
      </c>
      <c r="C1" s="87" t="s">
        <v>107</v>
      </c>
      <c r="D1" s="87" t="s">
        <v>107</v>
      </c>
      <c r="E1" s="29" t="s">
        <v>108</v>
      </c>
    </row>
    <row r="3" spans="2:5" s="23" customFormat="1" ht="15" x14ac:dyDescent="0.35">
      <c r="B3" s="23" t="s">
        <v>21</v>
      </c>
      <c r="C3" s="23" t="s">
        <v>117</v>
      </c>
      <c r="D3" s="23" t="s">
        <v>3</v>
      </c>
      <c r="E3" s="26" t="s">
        <v>4</v>
      </c>
    </row>
    <row r="4" spans="2:5" x14ac:dyDescent="0.2">
      <c r="B4" s="28"/>
      <c r="C4" s="28"/>
      <c r="D4" s="28"/>
    </row>
    <row r="5" spans="2:5" x14ac:dyDescent="0.2">
      <c r="B5" s="28"/>
      <c r="C5" s="28"/>
      <c r="D5" s="123"/>
    </row>
    <row r="6" spans="2:5" x14ac:dyDescent="0.2">
      <c r="B6" s="28"/>
      <c r="C6" s="28"/>
      <c r="D6" s="123"/>
    </row>
    <row r="7" spans="2:5" x14ac:dyDescent="0.2">
      <c r="B7" s="28"/>
      <c r="C7" s="28"/>
      <c r="D7" s="123"/>
    </row>
    <row r="8" spans="2:5" x14ac:dyDescent="0.2">
      <c r="B8" s="28"/>
      <c r="C8" s="28"/>
      <c r="E8" s="195"/>
    </row>
    <row r="9" spans="2:5" x14ac:dyDescent="0.2">
      <c r="B9" s="28"/>
      <c r="E9" s="195"/>
    </row>
    <row r="10" spans="2:5" x14ac:dyDescent="0.2">
      <c r="B10" s="28"/>
      <c r="C10" s="28"/>
      <c r="D10" s="232"/>
    </row>
    <row r="11" spans="2:5" x14ac:dyDescent="0.2">
      <c r="B11" s="28"/>
      <c r="C11" s="28"/>
      <c r="D11" s="232"/>
    </row>
    <row r="12" spans="2:5" x14ac:dyDescent="0.2">
      <c r="B12" s="28"/>
      <c r="C12" s="28"/>
      <c r="D12" s="232"/>
    </row>
    <row r="13" spans="2:5" x14ac:dyDescent="0.2">
      <c r="B13" s="28"/>
      <c r="C13" s="28"/>
      <c r="D13" s="232"/>
    </row>
    <row r="14" spans="2:5" x14ac:dyDescent="0.2">
      <c r="B14" s="28"/>
      <c r="C14" s="28"/>
      <c r="D14" s="232"/>
    </row>
    <row r="15" spans="2:5" x14ac:dyDescent="0.2">
      <c r="B15" s="28"/>
      <c r="C15" s="28"/>
      <c r="D15" s="232"/>
    </row>
    <row r="16" spans="2:5" x14ac:dyDescent="0.2">
      <c r="B16" s="28"/>
      <c r="C16" s="28"/>
      <c r="D16" s="232"/>
    </row>
    <row r="17" spans="2:4" x14ac:dyDescent="0.2">
      <c r="B17" s="28"/>
      <c r="C17" s="28"/>
      <c r="D17" s="232"/>
    </row>
    <row r="18" spans="2:4" x14ac:dyDescent="0.2">
      <c r="B18" s="28"/>
      <c r="C18" s="28"/>
      <c r="D18" s="232"/>
    </row>
    <row r="19" spans="2:4" x14ac:dyDescent="0.2">
      <c r="B19" s="28"/>
      <c r="C19" s="28"/>
      <c r="D19" s="232"/>
    </row>
    <row r="20" spans="2:4" x14ac:dyDescent="0.2">
      <c r="B20" s="28"/>
      <c r="C20" s="28"/>
      <c r="D20" s="232"/>
    </row>
    <row r="21" spans="2:4" x14ac:dyDescent="0.2">
      <c r="B21" s="28"/>
      <c r="C21" s="28"/>
      <c r="D21" s="28"/>
    </row>
  </sheetData>
  <autoFilter ref="B3:E15" xr:uid="{22E25454-6767-4ABA-99C6-F62C66F166FD}"/>
  <sortState xmlns:xlrd2="http://schemas.microsoft.com/office/spreadsheetml/2017/richdata2" ref="B8:E21">
    <sortCondition descending="1" ref="C3:C21"/>
  </sortState>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45B49D0-1C7B-4F05-807E-8C3545264DCA}">
          <x14:formula1>
            <xm:f>'Data Validation'!$A$2:$A$99</xm:f>
          </x14:formula1>
          <xm:sqref>B4:B99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67E42D-8A38-44D8-B035-BDB07D6DC655}">
  <sheetPr codeName="Sheet13">
    <tabColor rgb="FF0000FF"/>
  </sheetPr>
  <dimension ref="B1:K24"/>
  <sheetViews>
    <sheetView workbookViewId="0"/>
  </sheetViews>
  <sheetFormatPr defaultRowHeight="12.75" x14ac:dyDescent="0.2"/>
  <cols>
    <col min="1" max="1" width="1.85546875" customWidth="1"/>
    <col min="2" max="2" width="42.7109375" bestFit="1" customWidth="1"/>
    <col min="3" max="3" width="15.42578125" style="1" customWidth="1"/>
    <col min="4" max="5" width="15.42578125" style="2" customWidth="1"/>
    <col min="6" max="6" width="20.5703125" style="2" bestFit="1" customWidth="1"/>
    <col min="7" max="7" width="2.140625" style="2" customWidth="1"/>
    <col min="8" max="8" width="16.85546875" style="2" customWidth="1"/>
    <col min="9" max="9" width="16.7109375" style="31" bestFit="1" customWidth="1"/>
    <col min="10" max="10" width="15.42578125" style="31" customWidth="1"/>
    <col min="11" max="11" width="10.28515625" style="37" bestFit="1" customWidth="1"/>
  </cols>
  <sheetData>
    <row r="1" spans="2:11" x14ac:dyDescent="0.2">
      <c r="B1" s="87" t="s">
        <v>107</v>
      </c>
      <c r="C1" s="87" t="s">
        <v>107</v>
      </c>
      <c r="D1" s="29" t="s">
        <v>108</v>
      </c>
      <c r="E1" s="29" t="s">
        <v>108</v>
      </c>
      <c r="F1" s="29" t="s">
        <v>108</v>
      </c>
      <c r="H1" s="86" t="s">
        <v>96</v>
      </c>
      <c r="I1" s="86" t="s">
        <v>96</v>
      </c>
      <c r="J1" s="86" t="s">
        <v>96</v>
      </c>
    </row>
    <row r="2" spans="2:11" x14ac:dyDescent="0.2">
      <c r="B2" s="28"/>
    </row>
    <row r="3" spans="2:11" s="23" customFormat="1" ht="15" x14ac:dyDescent="0.35">
      <c r="B3" s="23" t="s">
        <v>3</v>
      </c>
      <c r="C3" s="24" t="s">
        <v>36</v>
      </c>
      <c r="D3" s="26" t="s">
        <v>4</v>
      </c>
      <c r="E3" s="26" t="s">
        <v>5</v>
      </c>
      <c r="F3" s="26" t="s">
        <v>191</v>
      </c>
      <c r="G3" s="26"/>
      <c r="H3" s="26" t="s">
        <v>189</v>
      </c>
      <c r="I3" s="36" t="s">
        <v>190</v>
      </c>
      <c r="J3" s="36" t="s">
        <v>192</v>
      </c>
      <c r="K3" s="37"/>
    </row>
    <row r="4" spans="2:11" x14ac:dyDescent="0.2">
      <c r="C4" s="41"/>
      <c r="H4" s="2" cm="1">
        <f t="array" ref="H4:H24">D4:D24-F4:F24</f>
        <v>0</v>
      </c>
      <c r="I4" s="37" cm="1">
        <f t="array" aca="1" ref="I4:I24" ca="1">IF(DATE(YEAR(TODAY()),MONTH(TODAY()),C4:C24)&gt;=TODAY(),DATE(YEAR(TODAY()),MONTH(TODAY()),C4:C24),DATE(YEAR(EOMONTH(TODAY(),1)),MONTH(EOMONTH(TODAY(),1)),C4:C24))</f>
        <v>45777</v>
      </c>
      <c r="J4" s="37" cm="1">
        <f t="array" aca="1" ref="J4:J24" ca="1">EDATE(INDEX(I4:I24,_xlfn.SEQUENCE(COUNTA(I4:I24))),1)</f>
        <v>45807</v>
      </c>
    </row>
    <row r="5" spans="2:11" x14ac:dyDescent="0.2">
      <c r="C5" s="41"/>
      <c r="H5" s="2">
        <v>0</v>
      </c>
      <c r="I5" s="37">
        <f ca="1"/>
        <v>45777</v>
      </c>
      <c r="J5" s="37">
        <f ca="1"/>
        <v>45807</v>
      </c>
    </row>
    <row r="6" spans="2:11" x14ac:dyDescent="0.2">
      <c r="C6" s="41"/>
      <c r="H6" s="2">
        <v>0</v>
      </c>
      <c r="I6" s="37">
        <f ca="1"/>
        <v>45777</v>
      </c>
      <c r="J6" s="37">
        <f ca="1"/>
        <v>45807</v>
      </c>
    </row>
    <row r="7" spans="2:11" x14ac:dyDescent="0.2">
      <c r="B7" s="28"/>
      <c r="C7" s="41"/>
      <c r="H7" s="2">
        <v>0</v>
      </c>
      <c r="I7" s="37">
        <f ca="1"/>
        <v>45777</v>
      </c>
      <c r="J7" s="37">
        <f ca="1"/>
        <v>45807</v>
      </c>
    </row>
    <row r="8" spans="2:11" x14ac:dyDescent="0.2">
      <c r="C8" s="41"/>
      <c r="H8" s="2">
        <v>0</v>
      </c>
      <c r="I8" s="37">
        <f ca="1"/>
        <v>45777</v>
      </c>
      <c r="J8" s="37">
        <f ca="1"/>
        <v>45807</v>
      </c>
    </row>
    <row r="9" spans="2:11" x14ac:dyDescent="0.2">
      <c r="H9" s="2">
        <v>0</v>
      </c>
      <c r="I9" s="31">
        <f ca="1"/>
        <v>45777</v>
      </c>
      <c r="J9" s="31">
        <f ca="1"/>
        <v>45807</v>
      </c>
    </row>
    <row r="10" spans="2:11" x14ac:dyDescent="0.2">
      <c r="H10" s="2">
        <v>0</v>
      </c>
      <c r="I10" s="31">
        <f ca="1"/>
        <v>45777</v>
      </c>
      <c r="J10" s="31">
        <f ca="1"/>
        <v>45807</v>
      </c>
    </row>
    <row r="11" spans="2:11" x14ac:dyDescent="0.2">
      <c r="H11" s="2">
        <v>0</v>
      </c>
      <c r="I11" s="31">
        <f ca="1"/>
        <v>45777</v>
      </c>
      <c r="J11" s="31">
        <f ca="1"/>
        <v>45807</v>
      </c>
    </row>
    <row r="12" spans="2:11" x14ac:dyDescent="0.2">
      <c r="H12" s="2">
        <v>0</v>
      </c>
      <c r="I12" s="31">
        <f ca="1"/>
        <v>45777</v>
      </c>
      <c r="J12" s="31">
        <f ca="1"/>
        <v>45807</v>
      </c>
    </row>
    <row r="13" spans="2:11" x14ac:dyDescent="0.2">
      <c r="H13" s="2">
        <v>0</v>
      </c>
      <c r="I13" s="31">
        <f ca="1"/>
        <v>45777</v>
      </c>
      <c r="J13" s="31">
        <f ca="1"/>
        <v>45807</v>
      </c>
    </row>
    <row r="14" spans="2:11" x14ac:dyDescent="0.2">
      <c r="H14" s="2">
        <v>0</v>
      </c>
      <c r="I14" s="31">
        <f ca="1"/>
        <v>45777</v>
      </c>
      <c r="J14" s="31">
        <f ca="1"/>
        <v>45807</v>
      </c>
    </row>
    <row r="15" spans="2:11" x14ac:dyDescent="0.2">
      <c r="H15" s="2">
        <v>0</v>
      </c>
      <c r="I15" s="31">
        <f ca="1"/>
        <v>45777</v>
      </c>
      <c r="J15" s="31">
        <f ca="1"/>
        <v>45807</v>
      </c>
    </row>
    <row r="16" spans="2:11" x14ac:dyDescent="0.2">
      <c r="H16" s="2">
        <v>0</v>
      </c>
      <c r="I16" s="31">
        <f ca="1"/>
        <v>45777</v>
      </c>
      <c r="J16" s="31">
        <f ca="1"/>
        <v>45807</v>
      </c>
    </row>
    <row r="17" spans="8:10" x14ac:dyDescent="0.2">
      <c r="H17" s="2">
        <v>0</v>
      </c>
      <c r="I17" s="31">
        <f ca="1"/>
        <v>45777</v>
      </c>
      <c r="J17" s="31">
        <f ca="1"/>
        <v>45807</v>
      </c>
    </row>
    <row r="18" spans="8:10" x14ac:dyDescent="0.2">
      <c r="H18" s="2">
        <v>0</v>
      </c>
      <c r="I18" s="31">
        <f ca="1"/>
        <v>45777</v>
      </c>
      <c r="J18" s="31">
        <f ca="1"/>
        <v>45807</v>
      </c>
    </row>
    <row r="19" spans="8:10" x14ac:dyDescent="0.2">
      <c r="H19" s="2">
        <v>0</v>
      </c>
      <c r="I19" s="31">
        <f ca="1"/>
        <v>45777</v>
      </c>
      <c r="J19" s="31">
        <f ca="1"/>
        <v>45807</v>
      </c>
    </row>
    <row r="20" spans="8:10" x14ac:dyDescent="0.2">
      <c r="H20" s="2">
        <v>0</v>
      </c>
      <c r="I20" s="31">
        <f ca="1"/>
        <v>45777</v>
      </c>
      <c r="J20" s="31">
        <f ca="1"/>
        <v>45807</v>
      </c>
    </row>
    <row r="21" spans="8:10" x14ac:dyDescent="0.2">
      <c r="H21" s="2">
        <v>0</v>
      </c>
      <c r="I21" s="31">
        <f ca="1"/>
        <v>45777</v>
      </c>
      <c r="J21" s="31">
        <f ca="1"/>
        <v>45807</v>
      </c>
    </row>
    <row r="22" spans="8:10" x14ac:dyDescent="0.2">
      <c r="H22" s="2">
        <v>0</v>
      </c>
      <c r="I22" s="31">
        <f ca="1"/>
        <v>45777</v>
      </c>
      <c r="J22" s="31">
        <f ca="1"/>
        <v>45807</v>
      </c>
    </row>
    <row r="23" spans="8:10" x14ac:dyDescent="0.2">
      <c r="H23" s="2">
        <v>0</v>
      </c>
      <c r="I23" s="31">
        <f ca="1"/>
        <v>45777</v>
      </c>
      <c r="J23" s="31">
        <f ca="1"/>
        <v>45807</v>
      </c>
    </row>
    <row r="24" spans="8:10" x14ac:dyDescent="0.2">
      <c r="H24" s="2">
        <v>0</v>
      </c>
      <c r="I24" s="31">
        <f ca="1"/>
        <v>45777</v>
      </c>
      <c r="J24" s="31">
        <f ca="1"/>
        <v>45807</v>
      </c>
    </row>
  </sheetData>
  <autoFilter ref="B3:J6" xr:uid="{B267E42D-8A38-44D8-B035-BDB07D6DC655}"/>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D886F-EC50-4885-A26B-FECB62B6DE05}">
  <sheetPr codeName="Sheet14">
    <tabColor rgb="FF0000FF"/>
  </sheetPr>
  <dimension ref="B1:C5"/>
  <sheetViews>
    <sheetView workbookViewId="0">
      <selection activeCell="M16" sqref="M16"/>
    </sheetView>
  </sheetViews>
  <sheetFormatPr defaultRowHeight="12.75" x14ac:dyDescent="0.2"/>
  <cols>
    <col min="1" max="1" width="2.140625" customWidth="1"/>
    <col min="2" max="2" width="23" customWidth="1"/>
    <col min="3" max="3" width="15.42578125" style="2" customWidth="1"/>
  </cols>
  <sheetData>
    <row r="1" spans="2:3" x14ac:dyDescent="0.2">
      <c r="B1" s="87" t="s">
        <v>107</v>
      </c>
      <c r="C1" s="29" t="s">
        <v>108</v>
      </c>
    </row>
    <row r="3" spans="2:3" s="23" customFormat="1" ht="15" x14ac:dyDescent="0.35">
      <c r="B3" s="23" t="s">
        <v>3</v>
      </c>
      <c r="C3" s="124" t="s">
        <v>4</v>
      </c>
    </row>
    <row r="4" spans="2:3" x14ac:dyDescent="0.2">
      <c r="B4" s="28"/>
      <c r="C4" s="196"/>
    </row>
    <row r="5" spans="2:3" x14ac:dyDescent="0.2">
      <c r="B5" s="28"/>
      <c r="C5" s="196"/>
    </row>
  </sheetData>
  <autoFilter ref="B3:C5" xr:uid="{097D886F-EC50-4885-A26B-FECB62B6DE05}"/>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4CF7C3-12C6-4848-B376-9685294E2411}">
  <sheetPr codeName="Sheet15">
    <tabColor rgb="FF0000FF"/>
  </sheetPr>
  <dimension ref="B1:I53"/>
  <sheetViews>
    <sheetView workbookViewId="0"/>
  </sheetViews>
  <sheetFormatPr defaultRowHeight="12.75" x14ac:dyDescent="0.2"/>
  <cols>
    <col min="1" max="1" width="2.140625" customWidth="1"/>
    <col min="2" max="2" width="35" bestFit="1" customWidth="1"/>
    <col min="3" max="3" width="19" bestFit="1" customWidth="1"/>
    <col min="4" max="4" width="26" style="196" bestFit="1" customWidth="1"/>
    <col min="5" max="5" width="19" style="196" customWidth="1"/>
    <col min="6" max="6" width="14.7109375" style="2" bestFit="1" customWidth="1"/>
    <col min="7" max="7" width="2.140625" style="2" customWidth="1"/>
    <col min="8" max="8" width="12" style="2" bestFit="1" customWidth="1"/>
    <col min="9" max="9" width="14.7109375" style="2" bestFit="1" customWidth="1"/>
  </cols>
  <sheetData>
    <row r="1" spans="2:9" x14ac:dyDescent="0.2">
      <c r="B1" s="87" t="s">
        <v>107</v>
      </c>
      <c r="C1" s="87" t="s">
        <v>107</v>
      </c>
      <c r="D1" s="87" t="s">
        <v>107</v>
      </c>
      <c r="E1" s="87" t="s">
        <v>107</v>
      </c>
      <c r="F1" s="29" t="s">
        <v>108</v>
      </c>
      <c r="H1" s="86" t="s">
        <v>96</v>
      </c>
      <c r="I1" s="86" t="s">
        <v>96</v>
      </c>
    </row>
    <row r="3" spans="2:9" s="23" customFormat="1" ht="15" x14ac:dyDescent="0.35">
      <c r="B3" s="23" t="s">
        <v>3</v>
      </c>
      <c r="C3" s="23" t="s">
        <v>104</v>
      </c>
      <c r="D3" s="210" t="s">
        <v>247</v>
      </c>
      <c r="E3" s="210" t="s">
        <v>15</v>
      </c>
      <c r="F3" s="26" t="s">
        <v>4</v>
      </c>
      <c r="G3" s="26"/>
      <c r="H3" s="26" t="s">
        <v>106</v>
      </c>
      <c r="I3" s="26" t="s">
        <v>105</v>
      </c>
    </row>
    <row r="4" spans="2:9" x14ac:dyDescent="0.2">
      <c r="H4" s="2" cm="1">
        <f t="array" ref="H4:H53">(D4:D53/100)*F4:F53</f>
        <v>0</v>
      </c>
      <c r="I4" s="2" cm="1">
        <f t="array" ref="I4:I53">(E4:E53/100)*F4:F53-H4:H53</f>
        <v>0</v>
      </c>
    </row>
    <row r="5" spans="2:9" x14ac:dyDescent="0.2">
      <c r="C5" s="28"/>
      <c r="H5" s="2">
        <v>0</v>
      </c>
      <c r="I5" s="2">
        <v>0</v>
      </c>
    </row>
    <row r="6" spans="2:9" x14ac:dyDescent="0.2">
      <c r="H6" s="2">
        <v>0</v>
      </c>
      <c r="I6" s="2">
        <v>0</v>
      </c>
    </row>
    <row r="7" spans="2:9" x14ac:dyDescent="0.2">
      <c r="E7" s="211"/>
      <c r="H7" s="2">
        <v>0</v>
      </c>
      <c r="I7" s="2">
        <v>0</v>
      </c>
    </row>
    <row r="8" spans="2:9" x14ac:dyDescent="0.2">
      <c r="B8" s="123"/>
      <c r="E8" s="211"/>
      <c r="H8" s="2">
        <v>0</v>
      </c>
      <c r="I8" s="2">
        <v>0</v>
      </c>
    </row>
    <row r="9" spans="2:9" x14ac:dyDescent="0.2">
      <c r="B9" s="123"/>
      <c r="H9" s="2">
        <v>0</v>
      </c>
      <c r="I9" s="2">
        <v>0</v>
      </c>
    </row>
    <row r="10" spans="2:9" x14ac:dyDescent="0.2">
      <c r="B10" s="123"/>
      <c r="C10" s="123"/>
      <c r="H10" s="2">
        <v>0</v>
      </c>
      <c r="I10" s="2">
        <v>0</v>
      </c>
    </row>
    <row r="11" spans="2:9" x14ac:dyDescent="0.2">
      <c r="B11" s="123"/>
      <c r="C11" s="123"/>
      <c r="H11" s="2">
        <v>0</v>
      </c>
      <c r="I11" s="2">
        <v>0</v>
      </c>
    </row>
    <row r="12" spans="2:9" x14ac:dyDescent="0.2">
      <c r="B12" s="123"/>
      <c r="C12" s="123"/>
      <c r="H12" s="2">
        <v>0</v>
      </c>
      <c r="I12" s="2">
        <v>0</v>
      </c>
    </row>
    <row r="13" spans="2:9" x14ac:dyDescent="0.2">
      <c r="H13" s="2">
        <v>0</v>
      </c>
      <c r="I13" s="2">
        <v>0</v>
      </c>
    </row>
    <row r="14" spans="2:9" x14ac:dyDescent="0.2">
      <c r="H14" s="2">
        <v>0</v>
      </c>
      <c r="I14" s="2">
        <v>0</v>
      </c>
    </row>
    <row r="15" spans="2:9" x14ac:dyDescent="0.2">
      <c r="H15" s="2">
        <v>0</v>
      </c>
      <c r="I15" s="2">
        <v>0</v>
      </c>
    </row>
    <row r="16" spans="2:9" x14ac:dyDescent="0.2">
      <c r="H16" s="2">
        <v>0</v>
      </c>
      <c r="I16" s="2">
        <v>0</v>
      </c>
    </row>
    <row r="17" spans="8:9" x14ac:dyDescent="0.2">
      <c r="H17" s="2">
        <v>0</v>
      </c>
      <c r="I17" s="2">
        <v>0</v>
      </c>
    </row>
    <row r="18" spans="8:9" x14ac:dyDescent="0.2">
      <c r="H18" s="2">
        <v>0</v>
      </c>
      <c r="I18" s="2">
        <v>0</v>
      </c>
    </row>
    <row r="19" spans="8:9" x14ac:dyDescent="0.2">
      <c r="H19" s="2">
        <v>0</v>
      </c>
      <c r="I19" s="2">
        <v>0</v>
      </c>
    </row>
    <row r="20" spans="8:9" x14ac:dyDescent="0.2">
      <c r="H20" s="2">
        <v>0</v>
      </c>
      <c r="I20" s="2">
        <v>0</v>
      </c>
    </row>
    <row r="21" spans="8:9" x14ac:dyDescent="0.2">
      <c r="H21" s="2">
        <v>0</v>
      </c>
      <c r="I21" s="2">
        <v>0</v>
      </c>
    </row>
    <row r="22" spans="8:9" x14ac:dyDescent="0.2">
      <c r="H22" s="2">
        <v>0</v>
      </c>
      <c r="I22" s="2">
        <v>0</v>
      </c>
    </row>
    <row r="23" spans="8:9" x14ac:dyDescent="0.2">
      <c r="H23" s="2">
        <v>0</v>
      </c>
      <c r="I23" s="2">
        <v>0</v>
      </c>
    </row>
    <row r="24" spans="8:9" x14ac:dyDescent="0.2">
      <c r="H24" s="2">
        <v>0</v>
      </c>
      <c r="I24" s="2">
        <v>0</v>
      </c>
    </row>
    <row r="25" spans="8:9" x14ac:dyDescent="0.2">
      <c r="H25" s="2">
        <v>0</v>
      </c>
      <c r="I25" s="2">
        <v>0</v>
      </c>
    </row>
    <row r="26" spans="8:9" x14ac:dyDescent="0.2">
      <c r="H26" s="2">
        <v>0</v>
      </c>
      <c r="I26" s="2">
        <v>0</v>
      </c>
    </row>
    <row r="27" spans="8:9" x14ac:dyDescent="0.2">
      <c r="H27" s="2">
        <v>0</v>
      </c>
      <c r="I27" s="2">
        <v>0</v>
      </c>
    </row>
    <row r="28" spans="8:9" x14ac:dyDescent="0.2">
      <c r="H28" s="2">
        <v>0</v>
      </c>
      <c r="I28" s="2">
        <v>0</v>
      </c>
    </row>
    <row r="29" spans="8:9" x14ac:dyDescent="0.2">
      <c r="H29" s="2">
        <v>0</v>
      </c>
      <c r="I29" s="2">
        <v>0</v>
      </c>
    </row>
    <row r="30" spans="8:9" x14ac:dyDescent="0.2">
      <c r="H30" s="2">
        <v>0</v>
      </c>
      <c r="I30" s="2">
        <v>0</v>
      </c>
    </row>
    <row r="31" spans="8:9" x14ac:dyDescent="0.2">
      <c r="H31" s="2">
        <v>0</v>
      </c>
      <c r="I31" s="2">
        <v>0</v>
      </c>
    </row>
    <row r="32" spans="8:9" x14ac:dyDescent="0.2">
      <c r="H32" s="2">
        <v>0</v>
      </c>
      <c r="I32" s="2">
        <v>0</v>
      </c>
    </row>
    <row r="33" spans="8:9" x14ac:dyDescent="0.2">
      <c r="H33" s="2">
        <v>0</v>
      </c>
      <c r="I33" s="2">
        <v>0</v>
      </c>
    </row>
    <row r="34" spans="8:9" x14ac:dyDescent="0.2">
      <c r="H34" s="2">
        <v>0</v>
      </c>
      <c r="I34" s="2">
        <v>0</v>
      </c>
    </row>
    <row r="35" spans="8:9" x14ac:dyDescent="0.2">
      <c r="H35" s="2">
        <v>0</v>
      </c>
      <c r="I35" s="2">
        <v>0</v>
      </c>
    </row>
    <row r="36" spans="8:9" x14ac:dyDescent="0.2">
      <c r="H36" s="2">
        <v>0</v>
      </c>
      <c r="I36" s="2">
        <v>0</v>
      </c>
    </row>
    <row r="37" spans="8:9" x14ac:dyDescent="0.2">
      <c r="H37" s="2">
        <v>0</v>
      </c>
      <c r="I37" s="2">
        <v>0</v>
      </c>
    </row>
    <row r="38" spans="8:9" x14ac:dyDescent="0.2">
      <c r="H38" s="2">
        <v>0</v>
      </c>
      <c r="I38" s="2">
        <v>0</v>
      </c>
    </row>
    <row r="39" spans="8:9" x14ac:dyDescent="0.2">
      <c r="H39" s="2">
        <v>0</v>
      </c>
      <c r="I39" s="2">
        <v>0</v>
      </c>
    </row>
    <row r="40" spans="8:9" x14ac:dyDescent="0.2">
      <c r="H40" s="2">
        <v>0</v>
      </c>
      <c r="I40" s="2">
        <v>0</v>
      </c>
    </row>
    <row r="41" spans="8:9" x14ac:dyDescent="0.2">
      <c r="H41" s="2">
        <v>0</v>
      </c>
      <c r="I41" s="2">
        <v>0</v>
      </c>
    </row>
    <row r="42" spans="8:9" x14ac:dyDescent="0.2">
      <c r="H42" s="2">
        <v>0</v>
      </c>
      <c r="I42" s="2">
        <v>0</v>
      </c>
    </row>
    <row r="43" spans="8:9" x14ac:dyDescent="0.2">
      <c r="H43" s="2">
        <v>0</v>
      </c>
      <c r="I43" s="2">
        <v>0</v>
      </c>
    </row>
    <row r="44" spans="8:9" x14ac:dyDescent="0.2">
      <c r="H44" s="2">
        <v>0</v>
      </c>
      <c r="I44" s="2">
        <v>0</v>
      </c>
    </row>
    <row r="45" spans="8:9" x14ac:dyDescent="0.2">
      <c r="H45" s="2">
        <v>0</v>
      </c>
      <c r="I45" s="2">
        <v>0</v>
      </c>
    </row>
    <row r="46" spans="8:9" x14ac:dyDescent="0.2">
      <c r="H46" s="2">
        <v>0</v>
      </c>
      <c r="I46" s="2">
        <v>0</v>
      </c>
    </row>
    <row r="47" spans="8:9" x14ac:dyDescent="0.2">
      <c r="H47" s="2">
        <v>0</v>
      </c>
      <c r="I47" s="2">
        <v>0</v>
      </c>
    </row>
    <row r="48" spans="8:9" x14ac:dyDescent="0.2">
      <c r="H48" s="2">
        <v>0</v>
      </c>
      <c r="I48" s="2">
        <v>0</v>
      </c>
    </row>
    <row r="49" spans="8:9" x14ac:dyDescent="0.2">
      <c r="H49" s="2">
        <v>0</v>
      </c>
      <c r="I49" s="2">
        <v>0</v>
      </c>
    </row>
    <row r="50" spans="8:9" x14ac:dyDescent="0.2">
      <c r="H50" s="2">
        <v>0</v>
      </c>
      <c r="I50" s="2">
        <v>0</v>
      </c>
    </row>
    <row r="51" spans="8:9" x14ac:dyDescent="0.2">
      <c r="H51" s="2">
        <v>0</v>
      </c>
      <c r="I51" s="2">
        <v>0</v>
      </c>
    </row>
    <row r="52" spans="8:9" x14ac:dyDescent="0.2">
      <c r="H52" s="2">
        <v>0</v>
      </c>
      <c r="I52" s="2">
        <v>0</v>
      </c>
    </row>
    <row r="53" spans="8:9" x14ac:dyDescent="0.2">
      <c r="H53" s="2">
        <v>0</v>
      </c>
      <c r="I53" s="2">
        <v>0</v>
      </c>
    </row>
  </sheetData>
  <autoFilter ref="B3:I7" xr:uid="{1A4CF7C3-12C6-4848-B376-9685294E2411}"/>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E55F6-D3CB-4342-AF80-F445B78F2F4C}">
  <sheetPr codeName="Sheet16">
    <tabColor rgb="FF0000FF"/>
  </sheetPr>
  <dimension ref="B1:P54"/>
  <sheetViews>
    <sheetView workbookViewId="0"/>
  </sheetViews>
  <sheetFormatPr defaultRowHeight="12.75" x14ac:dyDescent="0.2"/>
  <cols>
    <col min="1" max="1" width="2.42578125" customWidth="1"/>
    <col min="2" max="3" width="32.140625" customWidth="1"/>
    <col min="4" max="4" width="15.5703125" style="2" customWidth="1"/>
    <col min="5" max="5" width="21.140625" style="168" bestFit="1" customWidth="1"/>
    <col min="6" max="6" width="19.28515625" style="180" customWidth="1"/>
    <col min="7" max="7" width="16.42578125" style="1" bestFit="1" customWidth="1"/>
    <col min="8" max="8" width="2.28515625" style="1" customWidth="1"/>
    <col min="9" max="9" width="19" bestFit="1" customWidth="1"/>
    <col min="10" max="10" width="10.140625" bestFit="1" customWidth="1"/>
    <col min="15" max="15" width="14.140625" style="31" bestFit="1" customWidth="1"/>
  </cols>
  <sheetData>
    <row r="1" spans="2:16" x14ac:dyDescent="0.2">
      <c r="B1" s="87" t="s">
        <v>107</v>
      </c>
      <c r="C1" s="87" t="s">
        <v>107</v>
      </c>
      <c r="D1" s="125" t="s">
        <v>107</v>
      </c>
      <c r="E1" s="167" t="s">
        <v>107</v>
      </c>
      <c r="F1" s="190" t="s">
        <v>107</v>
      </c>
      <c r="G1" s="190" t="s">
        <v>107</v>
      </c>
      <c r="H1" s="205"/>
      <c r="I1" s="61" t="s">
        <v>96</v>
      </c>
    </row>
    <row r="2" spans="2:16" x14ac:dyDescent="0.2">
      <c r="F2" s="191"/>
      <c r="G2" s="205"/>
      <c r="H2" s="205"/>
    </row>
    <row r="3" spans="2:16" s="23" customFormat="1" ht="15" x14ac:dyDescent="0.35">
      <c r="B3" s="23" t="s">
        <v>21</v>
      </c>
      <c r="C3" s="38" t="s">
        <v>43</v>
      </c>
      <c r="D3" s="124" t="s">
        <v>44</v>
      </c>
      <c r="E3" s="169" t="s">
        <v>248</v>
      </c>
      <c r="F3" s="192" t="s">
        <v>231</v>
      </c>
      <c r="G3" s="39" t="s">
        <v>232</v>
      </c>
      <c r="H3" s="39" t="s">
        <v>41</v>
      </c>
      <c r="I3" s="23" t="s">
        <v>160</v>
      </c>
      <c r="O3" s="36"/>
    </row>
    <row r="4" spans="2:16" x14ac:dyDescent="0.2">
      <c r="B4" s="28"/>
      <c r="C4" s="28"/>
      <c r="D4" s="196"/>
      <c r="G4" s="41"/>
      <c r="H4" s="41"/>
      <c r="I4" s="31" t="str" cm="1">
        <f t="array" aca="1" ref="I4" ca="1">_xlfn.LET(
    _xlpm.frequency_type,$E4,
    _xlpm.frequency_value,$G4,
    _xlpm.start_date,$F4,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c r="J4" s="31"/>
    </row>
    <row r="5" spans="2:16" x14ac:dyDescent="0.2">
      <c r="B5" s="28"/>
      <c r="C5" s="233"/>
      <c r="D5" s="196"/>
      <c r="G5" s="41"/>
      <c r="H5" s="41"/>
      <c r="I5" s="31" t="str" cm="1">
        <f t="array" aca="1" ref="I5" ca="1">_xlfn.LET(
    _xlpm.frequency_type,$E5,
    _xlpm.frequency_value,$G5,
    _xlpm.start_date,$F5,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c r="O5" s="193"/>
      <c r="P5" s="207"/>
    </row>
    <row r="6" spans="2:16" s="40" customFormat="1" x14ac:dyDescent="0.2">
      <c r="B6" s="28"/>
      <c r="C6"/>
      <c r="D6" s="196"/>
      <c r="E6" s="168"/>
      <c r="F6" s="180"/>
      <c r="G6" s="41"/>
      <c r="H6" s="41"/>
      <c r="I6" s="31" t="str" cm="1">
        <f t="array" aca="1" ref="I6" ca="1">_xlfn.LET(
    _xlpm.frequency_type,$E6,
    _xlpm.frequency_value,$G6,
    _xlpm.start_date,$F6,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c r="O6" s="193"/>
      <c r="P6" s="207"/>
    </row>
    <row r="7" spans="2:16" s="126" customFormat="1" x14ac:dyDescent="0.2">
      <c r="B7" s="28"/>
      <c r="C7"/>
      <c r="D7" s="196"/>
      <c r="E7" s="168"/>
      <c r="F7" s="180"/>
      <c r="G7" s="41"/>
      <c r="H7" s="41"/>
      <c r="I7" s="31" t="str" cm="1">
        <f t="array" aca="1" ref="I7" ca="1">_xlfn.LET(
    _xlpm.frequency_type,$E7,
    _xlpm.frequency_value,$G7,
    _xlpm.start_date,$F7,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c r="O7" s="41"/>
      <c r="P7" s="207"/>
    </row>
    <row r="8" spans="2:16" s="40" customFormat="1" x14ac:dyDescent="0.2">
      <c r="B8" s="28"/>
      <c r="C8"/>
      <c r="D8" s="196"/>
      <c r="E8" s="168"/>
      <c r="F8" s="180"/>
      <c r="G8" s="41"/>
      <c r="H8" s="41"/>
      <c r="I8" s="31" t="str" cm="1">
        <f t="array" aca="1" ref="I8" ca="1">_xlfn.LET(
    _xlpm.frequency_type,$E8,
    _xlpm.frequency_value,$G8,
    _xlpm.start_date,$F8,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c r="O8" s="234"/>
    </row>
    <row r="9" spans="2:16" s="40" customFormat="1" x14ac:dyDescent="0.2">
      <c r="B9" s="28"/>
      <c r="C9"/>
      <c r="D9" s="196"/>
      <c r="E9" s="168"/>
      <c r="F9" s="180"/>
      <c r="G9" s="41"/>
      <c r="H9" s="41"/>
      <c r="I9" s="31" t="str" cm="1">
        <f t="array" aca="1" ref="I9" ca="1">_xlfn.LET(
    _xlpm.frequency_type,$E9,
    _xlpm.frequency_value,$G9,
    _xlpm.start_date,$F9,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c r="O9" s="35"/>
    </row>
    <row r="10" spans="2:16" x14ac:dyDescent="0.2">
      <c r="B10" s="28"/>
      <c r="C10" s="28"/>
      <c r="D10" s="196"/>
      <c r="E10" s="170"/>
      <c r="F10" s="194"/>
      <c r="G10" s="206"/>
      <c r="H10" s="206"/>
      <c r="I10" s="31" t="str" cm="1">
        <f t="array" aca="1" ref="I10" ca="1">_xlfn.LET(
    _xlpm.frequency_type,$E10,
    _xlpm.frequency_value,$G10,
    _xlpm.start_date,$F10,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1" spans="2:16" x14ac:dyDescent="0.2">
      <c r="B11" s="28"/>
      <c r="C11" s="28"/>
      <c r="D11" s="196"/>
      <c r="E11" s="170"/>
      <c r="G11" s="206"/>
      <c r="H11" s="206"/>
      <c r="I11" s="31" t="str" cm="1">
        <f t="array" aca="1" ref="I11" ca="1">_xlfn.LET(
    _xlpm.frequency_type,$E11,
    _xlpm.frequency_value,$G11,
    _xlpm.start_date,$F11,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2" spans="2:16" x14ac:dyDescent="0.2">
      <c r="B12" s="28"/>
      <c r="C12" s="28"/>
      <c r="D12" s="196"/>
      <c r="E12" s="170"/>
      <c r="G12" s="206"/>
      <c r="H12" s="206"/>
      <c r="I12" s="31" t="str" cm="1">
        <f t="array" aca="1" ref="I12" ca="1">_xlfn.LET(
    _xlpm.frequency_type,$E12,
    _xlpm.frequency_value,$G12,
    _xlpm.start_date,$F12,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3" spans="2:16" x14ac:dyDescent="0.2">
      <c r="B13" s="28"/>
      <c r="C13" s="28"/>
      <c r="D13" s="196"/>
      <c r="E13" s="170"/>
      <c r="G13" s="206"/>
      <c r="H13" s="206"/>
      <c r="I13" s="31" t="str" cm="1">
        <f t="array" aca="1" ref="I13" ca="1">_xlfn.LET(
    _xlpm.frequency_type,$E13,
    _xlpm.frequency_value,$G13,
    _xlpm.start_date,$F13,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4" spans="2:16" x14ac:dyDescent="0.2">
      <c r="B14" s="28"/>
      <c r="C14" s="40"/>
      <c r="D14" s="196"/>
      <c r="E14" s="170"/>
      <c r="F14" s="193"/>
      <c r="G14" s="206"/>
      <c r="H14" s="206"/>
      <c r="I14" s="31" t="str" cm="1">
        <f t="array" aca="1" ref="I14" ca="1">_xlfn.LET(
    _xlpm.frequency_type,$E14,
    _xlpm.frequency_value,$G14,
    _xlpm.start_date,$F14,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5" spans="2:16" x14ac:dyDescent="0.2">
      <c r="B15" s="28"/>
      <c r="C15" s="40"/>
      <c r="D15" s="196"/>
      <c r="E15" s="170"/>
      <c r="F15" s="194"/>
      <c r="G15" s="206"/>
      <c r="H15" s="206"/>
      <c r="I15" s="31" t="str" cm="1">
        <f t="array" aca="1" ref="I15" ca="1">_xlfn.LET(
    _xlpm.frequency_type,$E15,
    _xlpm.frequency_value,$G15,
    _xlpm.start_date,$F15,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6" spans="2:16" x14ac:dyDescent="0.2">
      <c r="B16" s="28"/>
      <c r="C16" s="28"/>
      <c r="D16" s="196"/>
      <c r="E16" s="170"/>
      <c r="F16" s="194"/>
      <c r="G16" s="206"/>
      <c r="H16" s="206"/>
      <c r="I16" s="31" t="str" cm="1">
        <f t="array" aca="1" ref="I16" ca="1">_xlfn.LET(
    _xlpm.frequency_type,$E16,
    _xlpm.frequency_value,$G16,
    _xlpm.start_date,$F16,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7" spans="2:9" x14ac:dyDescent="0.2">
      <c r="B17" s="28"/>
      <c r="C17" s="28"/>
      <c r="E17" s="170"/>
      <c r="F17" s="194"/>
      <c r="G17" s="206"/>
      <c r="H17" s="206"/>
      <c r="I17" s="31" t="str" cm="1">
        <f t="array" aca="1" ref="I17" ca="1">_xlfn.LET(
    _xlpm.frequency_type,$E17,
    _xlpm.frequency_value,$G17,
    _xlpm.start_date,$F17,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8" spans="2:9" x14ac:dyDescent="0.2">
      <c r="B18" s="28"/>
      <c r="C18" s="28"/>
      <c r="D18" s="196"/>
      <c r="E18" s="170"/>
      <c r="F18" s="194"/>
      <c r="G18" s="206"/>
      <c r="H18" s="206"/>
      <c r="I18" s="31" t="str" cm="1">
        <f t="array" aca="1" ref="I18" ca="1">_xlfn.LET(
    _xlpm.frequency_type,$E18,
    _xlpm.frequency_value,$G18,
    _xlpm.start_date,$F18,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9" spans="2:9" x14ac:dyDescent="0.2">
      <c r="B19" s="28"/>
      <c r="C19" s="28"/>
      <c r="E19" s="170"/>
      <c r="F19" s="194"/>
      <c r="G19" s="206"/>
      <c r="H19" s="206"/>
      <c r="I19" s="31" t="str" cm="1">
        <f t="array" aca="1" ref="I19" ca="1">_xlfn.LET(
    _xlpm.frequency_type,$E19,
    _xlpm.frequency_value,$G19,
    _xlpm.start_date,$F19,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0" spans="2:9" x14ac:dyDescent="0.2">
      <c r="B20" s="28"/>
      <c r="E20" s="170"/>
      <c r="F20" s="194"/>
      <c r="G20" s="206"/>
      <c r="H20" s="206"/>
      <c r="I20" s="35" t="str" cm="1">
        <f t="array" aca="1" ref="I20" ca="1">_xlfn.LET(
    _xlpm.frequency_type,$E20,
    _xlpm.frequency_value,$G20,
    _xlpm.start_date,$F20,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1" spans="2:9" x14ac:dyDescent="0.2">
      <c r="B21" s="28"/>
      <c r="E21" s="170"/>
      <c r="F21" s="194"/>
      <c r="G21" s="206"/>
      <c r="H21" s="206"/>
      <c r="I21" s="35" t="str" cm="1">
        <f t="array" aca="1" ref="I21" ca="1">_xlfn.LET(
    _xlpm.frequency_type,$E21,
    _xlpm.frequency_value,$G21,
    _xlpm.start_date,$F21,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2" spans="2:9" x14ac:dyDescent="0.2">
      <c r="B22" s="28"/>
      <c r="C22" s="28"/>
      <c r="D22" s="196"/>
      <c r="G22" s="41"/>
      <c r="H22" s="41"/>
      <c r="I22" s="35" t="str" cm="1">
        <f t="array" aca="1" ref="I22" ca="1">_xlfn.LET(
    _xlpm.frequency_type,$E22,
    _xlpm.frequency_value,$G22,
    _xlpm.start_date,$F22,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3" spans="2:9" x14ac:dyDescent="0.2">
      <c r="B23" s="28"/>
      <c r="C23" s="233"/>
      <c r="D23" s="204"/>
      <c r="E23" s="208"/>
      <c r="G23" s="207"/>
      <c r="H23" s="207"/>
      <c r="I23" s="31" t="str" cm="1">
        <f t="array" aca="1" ref="I23" ca="1">_xlfn.LET(
    _xlpm.frequency_type,$E23,
    _xlpm.frequency_value,$G23,
    _xlpm.start_date,$F23,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4" spans="2:9" x14ac:dyDescent="0.2">
      <c r="B24" s="28"/>
      <c r="C24" s="28"/>
      <c r="E24" s="208"/>
      <c r="G24" s="207"/>
      <c r="H24" s="207"/>
      <c r="I24" s="31" t="str" cm="1">
        <f t="array" aca="1" ref="I24" ca="1">_xlfn.LET(
    _xlpm.frequency_type,$E24,
    _xlpm.frequency_value,$G24,
    _xlpm.start_date,$F24,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5" spans="2:9" x14ac:dyDescent="0.2">
      <c r="B25" s="28"/>
      <c r="C25" s="28"/>
      <c r="E25" s="208"/>
      <c r="G25" s="207"/>
      <c r="H25" s="207"/>
      <c r="I25" s="31" t="str" cm="1">
        <f t="array" aca="1" ref="I25" ca="1">_xlfn.LET(
    _xlpm.frequency_type,$E25,
    _xlpm.frequency_value,$G25,
    _xlpm.start_date,$F25,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6" spans="2:9" x14ac:dyDescent="0.2">
      <c r="B26" s="28"/>
      <c r="C26" s="28"/>
      <c r="G26" s="41"/>
      <c r="H26" s="41"/>
      <c r="I26" s="31" t="str" cm="1">
        <f t="array" aca="1" ref="I26" ca="1">_xlfn.LET(
    _xlpm.frequency_type,$E26,
    _xlpm.frequency_value,$G26,
    _xlpm.start_date,$F26,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7" spans="2:9" x14ac:dyDescent="0.2">
      <c r="B27" s="28"/>
      <c r="C27" s="28"/>
      <c r="G27" s="41"/>
      <c r="H27" s="207"/>
      <c r="I27" s="31" t="str" cm="1">
        <f t="array" aca="1" ref="I27" ca="1">_xlfn.LET(
    _xlpm.frequency_type,$E27,
    _xlpm.frequency_value,$G27,
    _xlpm.start_date,$F27,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8" spans="2:9" x14ac:dyDescent="0.2">
      <c r="B28" s="28"/>
      <c r="C28" s="28"/>
      <c r="E28" s="208"/>
      <c r="G28" s="207"/>
      <c r="H28" s="207"/>
      <c r="I28" s="31" t="str" cm="1">
        <f t="array" aca="1" ref="I28" ca="1">_xlfn.LET(
    _xlpm.frequency_type,$E28,
    _xlpm.frequency_value,$G28,
    _xlpm.start_date,$F28,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9" spans="2:9" x14ac:dyDescent="0.2">
      <c r="B29" s="28"/>
      <c r="C29" s="28"/>
      <c r="E29" s="208"/>
      <c r="G29" s="207"/>
      <c r="H29" s="207"/>
      <c r="I29" s="31" t="str" cm="1">
        <f t="array" aca="1" ref="I29" ca="1">_xlfn.LET(
    _xlpm.frequency_type,$E29,
    _xlpm.frequency_value,$G29,
    _xlpm.start_date,$F29,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0" spans="2:9" x14ac:dyDescent="0.2">
      <c r="B30" s="40"/>
      <c r="C30" s="28"/>
      <c r="E30" s="236"/>
      <c r="G30" s="207"/>
      <c r="H30" s="207"/>
      <c r="I30" s="31" t="str" cm="1">
        <f t="array" aca="1" ref="I30" ca="1">_xlfn.LET(
    _xlpm.frequency_type,$E30,
    _xlpm.frequency_value,$G30,
    _xlpm.start_date,$F30,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1" spans="2:9" x14ac:dyDescent="0.2">
      <c r="B31" s="28"/>
      <c r="C31" s="28"/>
      <c r="E31" s="208"/>
      <c r="G31" s="207"/>
      <c r="H31" s="207"/>
      <c r="I31" s="31" t="str" cm="1">
        <f t="array" aca="1" ref="I31" ca="1">_xlfn.LET(
    _xlpm.frequency_type,$E31,
    _xlpm.frequency_value,$G31,
    _xlpm.start_date,$F31,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2" spans="2:9" x14ac:dyDescent="0.2">
      <c r="B32" s="28"/>
      <c r="C32" s="28"/>
      <c r="E32" s="208"/>
      <c r="G32" s="207"/>
      <c r="H32" s="207"/>
      <c r="I32" s="31" t="str" cm="1">
        <f t="array" aca="1" ref="I32" ca="1">_xlfn.LET(
    _xlpm.frequency_type,$E32,
    _xlpm.frequency_value,$G32,
    _xlpm.start_date,$F32,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3" spans="2:9" x14ac:dyDescent="0.2">
      <c r="B33" s="28"/>
      <c r="C33" s="28"/>
      <c r="E33" s="208"/>
      <c r="G33" s="207"/>
      <c r="H33" s="207"/>
      <c r="I33" s="31" t="str" cm="1">
        <f t="array" aca="1" ref="I33" ca="1">_xlfn.LET(
    _xlpm.frequency_type,$E33,
    _xlpm.frequency_value,$G33,
    _xlpm.start_date,$F33,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4" spans="2:9" x14ac:dyDescent="0.2">
      <c r="B34" s="28"/>
      <c r="C34" s="28"/>
      <c r="E34" s="208"/>
      <c r="H34" s="207"/>
      <c r="I34" s="31" t="str" cm="1">
        <f t="array" aca="1" ref="I34" ca="1">_xlfn.LET(
    _xlpm.frequency_type,$E34,
    _xlpm.frequency_value,$P5,
    _xlpm.start_date,$O5,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5" spans="2:9" x14ac:dyDescent="0.2">
      <c r="B35" s="28"/>
      <c r="C35" s="28"/>
      <c r="E35" s="208"/>
      <c r="H35" s="207"/>
      <c r="I35" s="31" t="str" cm="1">
        <f t="array" aca="1" ref="I35" ca="1">_xlfn.LET(
    _xlpm.frequency_type,$E35,
    _xlpm.frequency_value,$P6,
    _xlpm.start_date,$O7,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6" spans="2:9" x14ac:dyDescent="0.2">
      <c r="B36" s="28"/>
      <c r="C36" s="28"/>
      <c r="E36" s="208"/>
      <c r="H36" s="207"/>
      <c r="I36" s="31" t="str" cm="1">
        <f t="array" aca="1" ref="I36" ca="1">_xlfn.LET(
    _xlpm.frequency_type,$E36,
    _xlpm.frequency_value,$P7,
    _xlpm.start_date,#REF!,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7" spans="2:9" x14ac:dyDescent="0.2">
      <c r="B37" s="28"/>
      <c r="C37" s="28"/>
      <c r="E37" s="208"/>
      <c r="G37" s="207"/>
      <c r="H37" s="207"/>
      <c r="I37" s="31" t="str" cm="1">
        <f t="array" aca="1" ref="I37" ca="1">_xlfn.LET(
    _xlpm.frequency_type,$E37,
    _xlpm.frequency_value,$G37,
    _xlpm.start_date,$F37,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8" spans="2:9" x14ac:dyDescent="0.2">
      <c r="B38" s="28"/>
      <c r="E38" s="208"/>
      <c r="G38" s="207"/>
      <c r="H38" s="207"/>
      <c r="I38" s="31" t="str" cm="1">
        <f t="array" aca="1" ref="I38" ca="1">_xlfn.LET(
    _xlpm.frequency_type,$E38,
    _xlpm.frequency_value,$G38,
    _xlpm.start_date,$F38,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9" spans="2:9" x14ac:dyDescent="0.2">
      <c r="B39" s="28"/>
      <c r="E39" s="208"/>
      <c r="G39" s="207"/>
      <c r="H39" s="207"/>
      <c r="I39" s="31" t="str" cm="1">
        <f t="array" aca="1" ref="I39" ca="1">_xlfn.LET(
    _xlpm.frequency_type,$E39,
    _xlpm.frequency_value,$G39,
    _xlpm.start_date,$F39,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0" spans="2:9" x14ac:dyDescent="0.2">
      <c r="B40" s="28"/>
      <c r="E40" s="208"/>
      <c r="G40" s="207"/>
      <c r="H40" s="207"/>
      <c r="I40" s="31" t="str" cm="1">
        <f t="array" aca="1" ref="I40" ca="1">_xlfn.LET(
    _xlpm.frequency_type,$E40,
    _xlpm.frequency_value,$G40,
    _xlpm.start_date,$F40,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1" spans="2:9" x14ac:dyDescent="0.2">
      <c r="B41" s="28"/>
      <c r="E41" s="208"/>
      <c r="G41" s="207"/>
      <c r="H41" s="207"/>
      <c r="I41" s="31" t="str" cm="1">
        <f t="array" aca="1" ref="I41" ca="1">_xlfn.LET(
    _xlpm.frequency_type,$E41,
    _xlpm.frequency_value,$G41,
    _xlpm.start_date,$F41,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2" spans="2:9" x14ac:dyDescent="0.2">
      <c r="B42" s="28"/>
      <c r="E42" s="208"/>
      <c r="G42" s="207"/>
      <c r="H42" s="207"/>
      <c r="I42" s="31" t="str" cm="1">
        <f t="array" aca="1" ref="I42" ca="1">_xlfn.LET(
    _xlpm.frequency_type,$E42,
    _xlpm.frequency_value,$G42,
    _xlpm.start_date,$F42,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3" spans="2:9" x14ac:dyDescent="0.2">
      <c r="I43" s="31" t="str" cm="1">
        <f t="array" aca="1" ref="I43" ca="1">_xlfn.LET(
    _xlpm.frequency_type,$E43,
    _xlpm.frequency_value,$G43,
    _xlpm.start_date,$F43,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4" spans="2:9" x14ac:dyDescent="0.2">
      <c r="I44" s="31" t="str" cm="1">
        <f t="array" aca="1" ref="I44" ca="1">_xlfn.LET(
    _xlpm.frequency_type,$E44,
    _xlpm.frequency_value,$G44,
    _xlpm.start_date,$F44,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5" spans="2:9" x14ac:dyDescent="0.2">
      <c r="I45" s="31" t="str" cm="1">
        <f t="array" aca="1" ref="I45" ca="1">_xlfn.LET(
    _xlpm.frequency_type,$E45,
    _xlpm.frequency_value,$G45,
    _xlpm.start_date,$F45,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6" spans="2:9" x14ac:dyDescent="0.2">
      <c r="I46" s="31" t="str" cm="1">
        <f t="array" aca="1" ref="I46" ca="1">_xlfn.LET(
    _xlpm.frequency_type,$E46,
    _xlpm.frequency_value,$G46,
    _xlpm.start_date,$F46,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7" spans="2:9" x14ac:dyDescent="0.2">
      <c r="I47" s="31" t="str" cm="1">
        <f t="array" aca="1" ref="I47" ca="1">_xlfn.LET(
    _xlpm.frequency_type,$E47,
    _xlpm.frequency_value,$G47,
    _xlpm.start_date,$F47,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8" spans="2:9" x14ac:dyDescent="0.2">
      <c r="I48" s="31" t="str" cm="1">
        <f t="array" aca="1" ref="I48" ca="1">_xlfn.LET(
    _xlpm.frequency_type,$E48,
    _xlpm.frequency_value,$G48,
    _xlpm.start_date,$F48,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9" spans="9:9" x14ac:dyDescent="0.2">
      <c r="I49" s="31" t="str" cm="1">
        <f t="array" aca="1" ref="I49" ca="1">_xlfn.LET(
    _xlpm.frequency_type,$E49,
    _xlpm.frequency_value,$G49,
    _xlpm.start_date,$F49,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50" spans="9:9" x14ac:dyDescent="0.2">
      <c r="I50" s="31" t="str" cm="1">
        <f t="array" aca="1" ref="I50" ca="1">_xlfn.LET(
    _xlpm.frequency_type,$E50,
    _xlpm.frequency_value,$G50,
    _xlpm.start_date,$F50,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51" spans="9:9" x14ac:dyDescent="0.2">
      <c r="I51" s="31" t="str" cm="1">
        <f t="array" aca="1" ref="I51" ca="1">_xlfn.LET(
    _xlpm.frequency_type,$E51,
    _xlpm.frequency_value,$G51,
    _xlpm.start_date,$F51,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52" spans="9:9" x14ac:dyDescent="0.2">
      <c r="I52" s="31" t="str" cm="1">
        <f t="array" aca="1" ref="I52" ca="1">_xlfn.LET(
    _xlpm.frequency_type,$E52,
    _xlpm.frequency_value,$G52,
    _xlpm.start_date,$F52,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53" spans="9:9" x14ac:dyDescent="0.2">
      <c r="I53" s="31" t="str" cm="1">
        <f t="array" aca="1" ref="I53" ca="1">_xlfn.LET(
    _xlpm.frequency_type,$E53,
    _xlpm.frequency_value,$G53,
    _xlpm.start_date,$F53,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54" spans="9:9" x14ac:dyDescent="0.2">
      <c r="I54" s="31"/>
    </row>
  </sheetData>
  <autoFilter ref="B3:I53" xr:uid="{85FE55F6-D3CB-4342-AF80-F445B78F2F4C}"/>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362D5DBB-5C5A-45CD-8E59-8E612BB7063C}">
          <x14:formula1>
            <xm:f>'Data Validation'!$B$1:$B$99</xm:f>
          </x14:formula1>
          <xm:sqref>B4:B53</xm:sqref>
        </x14:dataValidation>
        <x14:dataValidation type="list" allowBlank="1" showInputMessage="1" showErrorMessage="1" xr:uid="{34B3FCA0-78D1-4CFF-9ECD-F34943CBAF10}">
          <x14:formula1>
            <xm:f>'Data Validation'!$C$2:$C$9</xm:f>
          </x14:formula1>
          <xm:sqref>E4:E53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F666B-B883-454C-B506-3E9C2D4F2687}">
  <sheetPr codeName="Sheet17">
    <tabColor rgb="FF0000FF"/>
  </sheetPr>
  <dimension ref="B1:F99"/>
  <sheetViews>
    <sheetView workbookViewId="0"/>
  </sheetViews>
  <sheetFormatPr defaultRowHeight="12.75" x14ac:dyDescent="0.2"/>
  <cols>
    <col min="1" max="1" width="2" customWidth="1"/>
    <col min="2" max="2" width="30.5703125" bestFit="1" customWidth="1"/>
    <col min="3" max="3" width="24.140625" bestFit="1" customWidth="1"/>
    <col min="4" max="4" width="18.28515625" bestFit="1" customWidth="1"/>
    <col min="5" max="5" width="11.42578125" style="25" bestFit="1" customWidth="1"/>
  </cols>
  <sheetData>
    <row r="1" spans="2:6" x14ac:dyDescent="0.2">
      <c r="B1" s="87" t="s">
        <v>107</v>
      </c>
      <c r="C1" s="87" t="s">
        <v>107</v>
      </c>
      <c r="D1" s="87" t="s">
        <v>107</v>
      </c>
      <c r="E1" s="89" t="s">
        <v>107</v>
      </c>
    </row>
    <row r="3" spans="2:6" s="23" customFormat="1" ht="15" x14ac:dyDescent="0.35">
      <c r="B3" s="23" t="s">
        <v>21</v>
      </c>
      <c r="C3" s="23" t="s">
        <v>43</v>
      </c>
      <c r="D3" s="23" t="s">
        <v>249</v>
      </c>
      <c r="E3" s="30" t="s">
        <v>47</v>
      </c>
    </row>
    <row r="4" spans="2:6" x14ac:dyDescent="0.2">
      <c r="B4" s="28"/>
      <c r="C4" s="28"/>
      <c r="D4" s="28"/>
      <c r="E4" s="197"/>
    </row>
    <row r="5" spans="2:6" x14ac:dyDescent="0.2">
      <c r="B5" s="28"/>
      <c r="C5" s="28"/>
      <c r="D5" s="28"/>
      <c r="E5" s="197"/>
    </row>
    <row r="6" spans="2:6" x14ac:dyDescent="0.2">
      <c r="B6" s="28"/>
      <c r="C6" s="28"/>
      <c r="D6" s="28"/>
      <c r="E6" s="197"/>
    </row>
    <row r="7" spans="2:6" x14ac:dyDescent="0.2">
      <c r="B7" s="28"/>
      <c r="C7" s="28"/>
      <c r="D7" s="28"/>
      <c r="E7" s="197"/>
    </row>
    <row r="8" spans="2:6" x14ac:dyDescent="0.2">
      <c r="B8" s="28"/>
      <c r="C8" s="28"/>
      <c r="D8" s="28"/>
      <c r="E8" s="197"/>
      <c r="F8" s="126"/>
    </row>
    <row r="9" spans="2:6" x14ac:dyDescent="0.2">
      <c r="B9" s="28"/>
      <c r="C9" s="28"/>
      <c r="D9" s="28"/>
      <c r="E9" s="197"/>
      <c r="F9" s="126"/>
    </row>
    <row r="10" spans="2:6" x14ac:dyDescent="0.2">
      <c r="B10" s="28"/>
      <c r="C10" s="28"/>
      <c r="D10" s="28"/>
      <c r="E10" s="197"/>
      <c r="F10" s="126"/>
    </row>
    <row r="11" spans="2:6" x14ac:dyDescent="0.2">
      <c r="B11" s="28"/>
      <c r="C11" s="28"/>
      <c r="D11" s="28"/>
      <c r="E11" s="197"/>
      <c r="F11" s="126"/>
    </row>
    <row r="12" spans="2:6" x14ac:dyDescent="0.2">
      <c r="B12" s="28"/>
      <c r="C12" s="28"/>
      <c r="D12" s="28"/>
      <c r="E12" s="197"/>
    </row>
    <row r="13" spans="2:6" x14ac:dyDescent="0.2">
      <c r="B13" s="28"/>
      <c r="C13" s="28"/>
      <c r="D13" s="28"/>
      <c r="E13" s="197"/>
    </row>
    <row r="14" spans="2:6" x14ac:dyDescent="0.2">
      <c r="B14" s="28"/>
      <c r="C14" s="28"/>
      <c r="D14" s="28"/>
      <c r="E14" s="197"/>
    </row>
    <row r="15" spans="2:6" x14ac:dyDescent="0.2">
      <c r="B15" s="28"/>
      <c r="C15" s="28"/>
      <c r="D15" s="28"/>
      <c r="E15" s="197"/>
    </row>
    <row r="16" spans="2:6" x14ac:dyDescent="0.2">
      <c r="D16" s="28"/>
    </row>
    <row r="17" spans="4:4" x14ac:dyDescent="0.2">
      <c r="D17" s="28"/>
    </row>
    <row r="18" spans="4:4" x14ac:dyDescent="0.2">
      <c r="D18" s="28"/>
    </row>
    <row r="19" spans="4:4" x14ac:dyDescent="0.2">
      <c r="D19" s="28"/>
    </row>
    <row r="20" spans="4:4" x14ac:dyDescent="0.2">
      <c r="D20" s="28"/>
    </row>
    <row r="21" spans="4:4" x14ac:dyDescent="0.2">
      <c r="D21" s="28"/>
    </row>
    <row r="22" spans="4:4" x14ac:dyDescent="0.2">
      <c r="D22" s="28"/>
    </row>
    <row r="23" spans="4:4" x14ac:dyDescent="0.2">
      <c r="D23" s="28"/>
    </row>
    <row r="24" spans="4:4" x14ac:dyDescent="0.2">
      <c r="D24" s="28"/>
    </row>
    <row r="25" spans="4:4" x14ac:dyDescent="0.2">
      <c r="D25" s="28"/>
    </row>
    <row r="26" spans="4:4" x14ac:dyDescent="0.2">
      <c r="D26" s="28"/>
    </row>
    <row r="27" spans="4:4" x14ac:dyDescent="0.2">
      <c r="D27" s="28"/>
    </row>
    <row r="28" spans="4:4" x14ac:dyDescent="0.2">
      <c r="D28" s="28"/>
    </row>
    <row r="29" spans="4:4" x14ac:dyDescent="0.2">
      <c r="D29" s="28"/>
    </row>
    <row r="30" spans="4:4" x14ac:dyDescent="0.2">
      <c r="D30" s="28"/>
    </row>
    <row r="31" spans="4:4" x14ac:dyDescent="0.2">
      <c r="D31" s="28"/>
    </row>
    <row r="32" spans="4:4" x14ac:dyDescent="0.2">
      <c r="D32" s="28"/>
    </row>
    <row r="33" spans="4:4" x14ac:dyDescent="0.2">
      <c r="D33" s="28"/>
    </row>
    <row r="34" spans="4:4" x14ac:dyDescent="0.2">
      <c r="D34" s="28"/>
    </row>
    <row r="35" spans="4:4" x14ac:dyDescent="0.2">
      <c r="D35" s="28"/>
    </row>
    <row r="36" spans="4:4" x14ac:dyDescent="0.2">
      <c r="D36" s="28"/>
    </row>
    <row r="37" spans="4:4" x14ac:dyDescent="0.2">
      <c r="D37" s="28"/>
    </row>
    <row r="38" spans="4:4" x14ac:dyDescent="0.2">
      <c r="D38" s="28"/>
    </row>
    <row r="39" spans="4:4" x14ac:dyDescent="0.2">
      <c r="D39" s="28"/>
    </row>
    <row r="40" spans="4:4" x14ac:dyDescent="0.2">
      <c r="D40" s="28"/>
    </row>
    <row r="41" spans="4:4" x14ac:dyDescent="0.2">
      <c r="D41" s="28"/>
    </row>
    <row r="42" spans="4:4" x14ac:dyDescent="0.2">
      <c r="D42" s="28"/>
    </row>
    <row r="43" spans="4:4" x14ac:dyDescent="0.2">
      <c r="D43" s="28"/>
    </row>
    <row r="44" spans="4:4" x14ac:dyDescent="0.2">
      <c r="D44" s="28"/>
    </row>
    <row r="45" spans="4:4" x14ac:dyDescent="0.2">
      <c r="D45" s="28"/>
    </row>
    <row r="46" spans="4:4" x14ac:dyDescent="0.2">
      <c r="D46" s="28"/>
    </row>
    <row r="47" spans="4:4" x14ac:dyDescent="0.2">
      <c r="D47" s="28"/>
    </row>
    <row r="48" spans="4:4" x14ac:dyDescent="0.2">
      <c r="D48" s="28"/>
    </row>
    <row r="49" spans="4:4" x14ac:dyDescent="0.2">
      <c r="D49" s="28"/>
    </row>
    <row r="50" spans="4:4" x14ac:dyDescent="0.2">
      <c r="D50" s="28"/>
    </row>
    <row r="51" spans="4:4" x14ac:dyDescent="0.2">
      <c r="D51" s="28"/>
    </row>
    <row r="52" spans="4:4" x14ac:dyDescent="0.2">
      <c r="D52" s="28"/>
    </row>
    <row r="53" spans="4:4" x14ac:dyDescent="0.2">
      <c r="D53" s="28"/>
    </row>
    <row r="54" spans="4:4" x14ac:dyDescent="0.2">
      <c r="D54" s="28"/>
    </row>
    <row r="55" spans="4:4" x14ac:dyDescent="0.2">
      <c r="D55" s="28"/>
    </row>
    <row r="56" spans="4:4" x14ac:dyDescent="0.2">
      <c r="D56" s="28"/>
    </row>
    <row r="57" spans="4:4" x14ac:dyDescent="0.2">
      <c r="D57" s="28"/>
    </row>
    <row r="58" spans="4:4" x14ac:dyDescent="0.2">
      <c r="D58" s="28"/>
    </row>
    <row r="59" spans="4:4" x14ac:dyDescent="0.2">
      <c r="D59" s="28"/>
    </row>
    <row r="60" spans="4:4" x14ac:dyDescent="0.2">
      <c r="D60" s="28"/>
    </row>
    <row r="61" spans="4:4" x14ac:dyDescent="0.2">
      <c r="D61" s="28"/>
    </row>
    <row r="62" spans="4:4" x14ac:dyDescent="0.2">
      <c r="D62" s="28"/>
    </row>
    <row r="63" spans="4:4" x14ac:dyDescent="0.2">
      <c r="D63" s="28"/>
    </row>
    <row r="64" spans="4:4" x14ac:dyDescent="0.2">
      <c r="D64" s="28"/>
    </row>
    <row r="65" spans="4:4" x14ac:dyDescent="0.2">
      <c r="D65" s="28"/>
    </row>
    <row r="66" spans="4:4" x14ac:dyDescent="0.2">
      <c r="D66" s="28"/>
    </row>
    <row r="67" spans="4:4" x14ac:dyDescent="0.2">
      <c r="D67" s="28"/>
    </row>
    <row r="68" spans="4:4" x14ac:dyDescent="0.2">
      <c r="D68" s="28"/>
    </row>
    <row r="69" spans="4:4" x14ac:dyDescent="0.2">
      <c r="D69" s="28"/>
    </row>
    <row r="70" spans="4:4" x14ac:dyDescent="0.2">
      <c r="D70" s="28"/>
    </row>
    <row r="71" spans="4:4" x14ac:dyDescent="0.2">
      <c r="D71" s="28"/>
    </row>
    <row r="72" spans="4:4" x14ac:dyDescent="0.2">
      <c r="D72" s="28"/>
    </row>
    <row r="73" spans="4:4" x14ac:dyDescent="0.2">
      <c r="D73" s="28"/>
    </row>
    <row r="74" spans="4:4" x14ac:dyDescent="0.2">
      <c r="D74" s="28"/>
    </row>
    <row r="75" spans="4:4" x14ac:dyDescent="0.2">
      <c r="D75" s="28"/>
    </row>
    <row r="76" spans="4:4" x14ac:dyDescent="0.2">
      <c r="D76" s="28"/>
    </row>
    <row r="77" spans="4:4" x14ac:dyDescent="0.2">
      <c r="D77" s="28"/>
    </row>
    <row r="78" spans="4:4" x14ac:dyDescent="0.2">
      <c r="D78" s="28"/>
    </row>
    <row r="79" spans="4:4" x14ac:dyDescent="0.2">
      <c r="D79" s="28"/>
    </row>
    <row r="80" spans="4:4" x14ac:dyDescent="0.2">
      <c r="D80" s="28"/>
    </row>
    <row r="81" spans="4:4" x14ac:dyDescent="0.2">
      <c r="D81" s="28"/>
    </row>
    <row r="82" spans="4:4" x14ac:dyDescent="0.2">
      <c r="D82" s="28"/>
    </row>
    <row r="83" spans="4:4" x14ac:dyDescent="0.2">
      <c r="D83" s="28"/>
    </row>
    <row r="84" spans="4:4" x14ac:dyDescent="0.2">
      <c r="D84" s="28"/>
    </row>
    <row r="85" spans="4:4" x14ac:dyDescent="0.2">
      <c r="D85" s="28"/>
    </row>
    <row r="86" spans="4:4" x14ac:dyDescent="0.2">
      <c r="D86" s="28"/>
    </row>
    <row r="87" spans="4:4" x14ac:dyDescent="0.2">
      <c r="D87" s="28"/>
    </row>
    <row r="88" spans="4:4" x14ac:dyDescent="0.2">
      <c r="D88" s="28"/>
    </row>
    <row r="89" spans="4:4" x14ac:dyDescent="0.2">
      <c r="D89" s="28"/>
    </row>
    <row r="90" spans="4:4" x14ac:dyDescent="0.2">
      <c r="D90" s="28"/>
    </row>
    <row r="91" spans="4:4" x14ac:dyDescent="0.2">
      <c r="D91" s="28"/>
    </row>
    <row r="92" spans="4:4" x14ac:dyDescent="0.2">
      <c r="D92" s="28"/>
    </row>
    <row r="93" spans="4:4" x14ac:dyDescent="0.2">
      <c r="D93" s="28"/>
    </row>
    <row r="94" spans="4:4" x14ac:dyDescent="0.2">
      <c r="D94" s="28"/>
    </row>
    <row r="95" spans="4:4" x14ac:dyDescent="0.2">
      <c r="D95" s="28"/>
    </row>
    <row r="96" spans="4:4" x14ac:dyDescent="0.2">
      <c r="D96" s="28"/>
    </row>
    <row r="97" spans="4:4" x14ac:dyDescent="0.2">
      <c r="D97" s="28"/>
    </row>
    <row r="98" spans="4:4" x14ac:dyDescent="0.2">
      <c r="D98" s="28"/>
    </row>
    <row r="99" spans="4:4" x14ac:dyDescent="0.2">
      <c r="D99" s="28"/>
    </row>
  </sheetData>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7E0F38C-18EB-43A9-A16F-F530FFBEAA9F}">
          <x14:formula1>
            <xm:f>'Data Validation'!#REF!</xm:f>
          </x14:formula1>
          <xm:sqref>D100:D1048576</xm:sqref>
        </x14:dataValidation>
        <x14:dataValidation type="list" allowBlank="1" showInputMessage="1" showErrorMessage="1" xr:uid="{D4B8C51A-E404-4A7D-96AB-49D68AC6C359}">
          <x14:formula1>
            <xm:f>'Data Validation'!$B$1:$B$99</xm:f>
          </x14:formula1>
          <xm:sqref>B4:B99 D4:D99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A14B2-1527-4A93-9B9E-D57A0533804D}">
  <sheetPr codeName="Sheet20">
    <tabColor rgb="FF0000FF"/>
  </sheetPr>
  <dimension ref="B1:J42"/>
  <sheetViews>
    <sheetView workbookViewId="0"/>
  </sheetViews>
  <sheetFormatPr defaultRowHeight="12.75" x14ac:dyDescent="0.2"/>
  <cols>
    <col min="1" max="1" width="2.42578125" style="40" customWidth="1"/>
    <col min="2" max="2" width="20" style="40" bestFit="1" customWidth="1"/>
    <col min="3" max="3" width="23.140625" style="40" bestFit="1" customWidth="1"/>
    <col min="4" max="4" width="15.7109375" style="41" bestFit="1" customWidth="1"/>
    <col min="5" max="6" width="17" style="40" customWidth="1"/>
    <col min="7" max="7" width="13.140625" style="171" customWidth="1"/>
    <col min="8" max="8" width="2.28515625" style="1" customWidth="1"/>
    <col min="9" max="9" width="17" style="41" customWidth="1"/>
    <col min="10" max="10" width="9.140625" style="59"/>
    <col min="11" max="16384" width="9.140625" style="40"/>
  </cols>
  <sheetData>
    <row r="1" spans="2:10" x14ac:dyDescent="0.2">
      <c r="B1" s="87" t="s">
        <v>107</v>
      </c>
      <c r="C1" s="87" t="s">
        <v>107</v>
      </c>
      <c r="D1" s="235" t="s">
        <v>107</v>
      </c>
      <c r="E1" s="87" t="s">
        <v>107</v>
      </c>
      <c r="F1" s="87" t="s">
        <v>107</v>
      </c>
      <c r="G1" s="87" t="s">
        <v>107</v>
      </c>
      <c r="H1" s="205"/>
      <c r="I1" s="61" t="s">
        <v>96</v>
      </c>
    </row>
    <row r="2" spans="2:10" ht="15" x14ac:dyDescent="0.35">
      <c r="D2" s="58"/>
      <c r="E2" s="58"/>
      <c r="G2" s="174"/>
      <c r="H2" s="205"/>
    </row>
    <row r="3" spans="2:10" s="38" customFormat="1" ht="15" x14ac:dyDescent="0.35">
      <c r="B3" s="38" t="s">
        <v>21</v>
      </c>
      <c r="C3" s="38" t="s">
        <v>43</v>
      </c>
      <c r="D3" s="39" t="s">
        <v>164</v>
      </c>
      <c r="E3" s="38" t="s">
        <v>248</v>
      </c>
      <c r="F3" s="38" t="s">
        <v>22</v>
      </c>
      <c r="G3" s="39" t="s">
        <v>232</v>
      </c>
      <c r="H3" s="39"/>
      <c r="I3" s="39" t="s">
        <v>91</v>
      </c>
      <c r="J3" s="60"/>
    </row>
    <row r="4" spans="2:10" x14ac:dyDescent="0.2">
      <c r="E4" s="170"/>
      <c r="F4" s="127"/>
      <c r="G4" s="173"/>
      <c r="H4" s="41"/>
      <c r="I4" s="41" t="str" cm="1">
        <f t="array" ref="I4:I23">TEXT(F4:F23,"mmm")&amp;" "&amp;C4:C23</f>
        <v xml:space="preserve">Jan </v>
      </c>
    </row>
    <row r="5" spans="2:10" x14ac:dyDescent="0.2">
      <c r="E5" s="170"/>
      <c r="F5" s="35"/>
      <c r="G5" s="173"/>
      <c r="H5" s="41"/>
      <c r="I5" s="41" t="str">
        <v xml:space="preserve">Jan </v>
      </c>
    </row>
    <row r="6" spans="2:10" x14ac:dyDescent="0.2">
      <c r="E6" s="170"/>
      <c r="F6" s="35"/>
      <c r="G6" s="173"/>
      <c r="H6" s="41"/>
      <c r="I6" s="41" t="str">
        <v xml:space="preserve">Jan </v>
      </c>
    </row>
    <row r="7" spans="2:10" x14ac:dyDescent="0.2">
      <c r="E7" s="170"/>
      <c r="F7" s="35"/>
      <c r="G7" s="173"/>
      <c r="H7" s="41"/>
      <c r="I7" s="41" t="str">
        <v xml:space="preserve">Jan </v>
      </c>
    </row>
    <row r="8" spans="2:10" x14ac:dyDescent="0.2">
      <c r="E8" s="170"/>
      <c r="G8" s="173"/>
      <c r="H8" s="41"/>
      <c r="I8" s="41" t="str">
        <v xml:space="preserve">Jan </v>
      </c>
    </row>
    <row r="9" spans="2:10" x14ac:dyDescent="0.2">
      <c r="E9" s="170"/>
      <c r="G9" s="173"/>
      <c r="H9" s="41"/>
      <c r="I9" s="41" t="str">
        <v xml:space="preserve">Jan </v>
      </c>
    </row>
    <row r="10" spans="2:10" x14ac:dyDescent="0.2">
      <c r="E10" s="170"/>
      <c r="G10" s="173"/>
      <c r="H10" s="206"/>
      <c r="I10" s="41" t="str">
        <v xml:space="preserve">Jan </v>
      </c>
    </row>
    <row r="11" spans="2:10" x14ac:dyDescent="0.2">
      <c r="E11" s="170"/>
      <c r="G11" s="173"/>
      <c r="H11" s="206"/>
      <c r="I11" s="41" t="str">
        <v xml:space="preserve">Jan </v>
      </c>
    </row>
    <row r="12" spans="2:10" x14ac:dyDescent="0.2">
      <c r="E12" s="170"/>
      <c r="G12" s="173"/>
      <c r="H12" s="206"/>
      <c r="I12" s="41" t="str">
        <v xml:space="preserve">Jan </v>
      </c>
    </row>
    <row r="13" spans="2:10" x14ac:dyDescent="0.2">
      <c r="E13" s="170"/>
      <c r="G13" s="173"/>
      <c r="H13" s="206"/>
      <c r="I13" s="41" t="str">
        <v xml:space="preserve">Jan </v>
      </c>
    </row>
    <row r="14" spans="2:10" x14ac:dyDescent="0.2">
      <c r="E14" s="170"/>
      <c r="G14" s="173"/>
      <c r="H14" s="206"/>
      <c r="I14" s="41" t="str">
        <v xml:space="preserve">Jan </v>
      </c>
    </row>
    <row r="15" spans="2:10" x14ac:dyDescent="0.2">
      <c r="E15" s="170"/>
      <c r="G15" s="173"/>
      <c r="H15" s="206"/>
      <c r="I15" s="41" t="str">
        <v xml:space="preserve">Jan </v>
      </c>
    </row>
    <row r="16" spans="2:10" x14ac:dyDescent="0.2">
      <c r="E16" s="170"/>
      <c r="G16" s="173"/>
      <c r="H16" s="206"/>
      <c r="I16" s="41" t="str">
        <v xml:space="preserve">Jan </v>
      </c>
    </row>
    <row r="17" spans="5:9" x14ac:dyDescent="0.2">
      <c r="E17" s="170"/>
      <c r="G17" s="173"/>
      <c r="H17" s="206"/>
      <c r="I17" s="41" t="str">
        <v xml:space="preserve">Jan </v>
      </c>
    </row>
    <row r="18" spans="5:9" x14ac:dyDescent="0.2">
      <c r="E18" s="170"/>
      <c r="G18" s="173"/>
      <c r="H18" s="206"/>
      <c r="I18" s="41" t="str">
        <v xml:space="preserve">Jan </v>
      </c>
    </row>
    <row r="19" spans="5:9" x14ac:dyDescent="0.2">
      <c r="E19" s="170"/>
      <c r="G19" s="173"/>
      <c r="H19" s="206"/>
      <c r="I19" s="41" t="str">
        <v xml:space="preserve">Jan </v>
      </c>
    </row>
    <row r="20" spans="5:9" x14ac:dyDescent="0.2">
      <c r="E20" s="170"/>
      <c r="G20" s="172"/>
      <c r="H20" s="206"/>
      <c r="I20" s="41" t="str">
        <v xml:space="preserve">Jan </v>
      </c>
    </row>
    <row r="21" spans="5:9" x14ac:dyDescent="0.2">
      <c r="E21" s="170"/>
      <c r="G21" s="172"/>
      <c r="H21" s="206"/>
      <c r="I21" s="41" t="str">
        <v xml:space="preserve">Jan </v>
      </c>
    </row>
    <row r="22" spans="5:9" x14ac:dyDescent="0.2">
      <c r="E22" s="170"/>
      <c r="G22" s="172"/>
      <c r="H22" s="41"/>
      <c r="I22" s="41" t="str">
        <v xml:space="preserve">Jan </v>
      </c>
    </row>
    <row r="23" spans="5:9" x14ac:dyDescent="0.2">
      <c r="E23" s="170"/>
      <c r="G23" s="172"/>
      <c r="H23" s="207"/>
      <c r="I23" s="41" t="str">
        <v xml:space="preserve">Jan </v>
      </c>
    </row>
    <row r="24" spans="5:9" x14ac:dyDescent="0.2">
      <c r="G24" s="172"/>
      <c r="H24" s="207"/>
    </row>
    <row r="25" spans="5:9" x14ac:dyDescent="0.2">
      <c r="G25" s="172"/>
      <c r="H25" s="207"/>
    </row>
    <row r="26" spans="5:9" x14ac:dyDescent="0.2">
      <c r="G26" s="172"/>
      <c r="H26" s="41"/>
    </row>
    <row r="27" spans="5:9" x14ac:dyDescent="0.2">
      <c r="G27" s="172"/>
      <c r="H27" s="207"/>
    </row>
    <row r="28" spans="5:9" x14ac:dyDescent="0.2">
      <c r="H28" s="207"/>
    </row>
    <row r="29" spans="5:9" x14ac:dyDescent="0.2">
      <c r="H29" s="207"/>
    </row>
    <row r="30" spans="5:9" x14ac:dyDescent="0.2">
      <c r="H30" s="207"/>
    </row>
    <row r="31" spans="5:9" x14ac:dyDescent="0.2">
      <c r="H31" s="207"/>
    </row>
    <row r="32" spans="5:9" x14ac:dyDescent="0.2">
      <c r="H32" s="207"/>
    </row>
    <row r="33" spans="8:8" x14ac:dyDescent="0.2">
      <c r="H33" s="207"/>
    </row>
    <row r="34" spans="8:8" x14ac:dyDescent="0.2">
      <c r="H34" s="207"/>
    </row>
    <row r="35" spans="8:8" x14ac:dyDescent="0.2">
      <c r="H35" s="207"/>
    </row>
    <row r="36" spans="8:8" x14ac:dyDescent="0.2">
      <c r="H36" s="207"/>
    </row>
    <row r="37" spans="8:8" x14ac:dyDescent="0.2">
      <c r="H37" s="207"/>
    </row>
    <row r="38" spans="8:8" x14ac:dyDescent="0.2">
      <c r="H38" s="207"/>
    </row>
    <row r="39" spans="8:8" x14ac:dyDescent="0.2">
      <c r="H39" s="207"/>
    </row>
    <row r="40" spans="8:8" x14ac:dyDescent="0.2">
      <c r="H40" s="207"/>
    </row>
    <row r="41" spans="8:8" x14ac:dyDescent="0.2">
      <c r="H41" s="207"/>
    </row>
    <row r="42" spans="8:8" x14ac:dyDescent="0.2">
      <c r="H42" s="207"/>
    </row>
  </sheetData>
  <autoFilter ref="B3:G6" xr:uid="{2E8A14B2-1527-4A93-9B9E-D57A0533804D}"/>
  <conditionalFormatting sqref="E1:H1048576">
    <cfRule type="cellIs" priority="1" operator="greaterThan">
      <formula>TODAY()</formula>
    </cfRule>
  </conditionalFormatting>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8CAFAE3-0895-4486-A25A-A74D1F3DA1AE}">
          <x14:formula1>
            <xm:f>'Data Validation'!$B$1:$B$99</xm:f>
          </x14:formula1>
          <xm:sqref>B4:B99</xm:sqref>
        </x14:dataValidation>
        <x14:dataValidation type="list" allowBlank="1" showInputMessage="1" showErrorMessage="1" xr:uid="{5462493F-E33B-4468-AE63-48C2A74F02B1}">
          <x14:formula1>
            <xm:f>'Data Validation'!$C$2:$C$9</xm:f>
          </x14:formula1>
          <xm:sqref>E4:E99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DD182-16A1-43FC-91B8-3BB7D2013D2B}">
  <sheetPr codeName="Sheet21">
    <tabColor rgb="FF0000FF"/>
  </sheetPr>
  <dimension ref="B1:H54"/>
  <sheetViews>
    <sheetView workbookViewId="0">
      <selection activeCell="H5" sqref="H5"/>
    </sheetView>
  </sheetViews>
  <sheetFormatPr defaultRowHeight="12.75" x14ac:dyDescent="0.2"/>
  <cols>
    <col min="1" max="1" width="2.5703125" customWidth="1"/>
    <col min="2" max="2" width="20.85546875" bestFit="1" customWidth="1"/>
    <col min="3" max="3" width="25" bestFit="1" customWidth="1"/>
    <col min="4" max="4" width="40.28515625" bestFit="1" customWidth="1"/>
    <col min="5" max="5" width="13.7109375" style="35" bestFit="1" customWidth="1"/>
    <col min="6" max="6" width="15.5703125" style="41" customWidth="1"/>
    <col min="7" max="7" width="2.140625" style="2" customWidth="1"/>
    <col min="8" max="8" width="24.28515625" bestFit="1" customWidth="1"/>
  </cols>
  <sheetData>
    <row r="1" spans="2:8" x14ac:dyDescent="0.2">
      <c r="B1" s="87" t="s">
        <v>107</v>
      </c>
      <c r="C1" s="87" t="s">
        <v>107</v>
      </c>
      <c r="D1" s="87" t="s">
        <v>107</v>
      </c>
      <c r="E1" s="87" t="s">
        <v>107</v>
      </c>
      <c r="F1" s="87" t="s">
        <v>107</v>
      </c>
      <c r="H1" s="61" t="s">
        <v>96</v>
      </c>
    </row>
    <row r="3" spans="2:8" s="23" customFormat="1" ht="15" x14ac:dyDescent="0.35">
      <c r="B3" s="38" t="s">
        <v>21</v>
      </c>
      <c r="C3" s="38" t="s">
        <v>43</v>
      </c>
      <c r="D3" s="38" t="s">
        <v>3</v>
      </c>
      <c r="E3" s="38" t="s">
        <v>22</v>
      </c>
      <c r="F3" s="39" t="s">
        <v>8</v>
      </c>
      <c r="G3" s="26"/>
      <c r="H3" s="38" t="s">
        <v>91</v>
      </c>
    </row>
    <row r="4" spans="2:8" x14ac:dyDescent="0.2">
      <c r="B4" s="40"/>
      <c r="C4" s="40"/>
      <c r="D4" s="40"/>
      <c r="F4" s="198"/>
      <c r="H4" s="40" t="str" cm="1">
        <f t="array" ref="H4:H54">TEXT(E4:E54,"mmm")&amp;" "&amp;C4:C54</f>
        <v xml:space="preserve">Jan </v>
      </c>
    </row>
    <row r="5" spans="2:8" x14ac:dyDescent="0.2">
      <c r="B5" s="40"/>
      <c r="C5" s="40"/>
      <c r="D5" s="40"/>
      <c r="H5" s="40" t="str">
        <v xml:space="preserve">Jan </v>
      </c>
    </row>
    <row r="6" spans="2:8" x14ac:dyDescent="0.2">
      <c r="B6" s="40"/>
      <c r="C6" s="40"/>
      <c r="D6" s="40"/>
      <c r="H6" s="40" t="str">
        <v xml:space="preserve">Jan </v>
      </c>
    </row>
    <row r="7" spans="2:8" x14ac:dyDescent="0.2">
      <c r="B7" s="40"/>
      <c r="C7" s="40"/>
      <c r="D7" s="40"/>
      <c r="H7" s="40" t="str">
        <v xml:space="preserve">Jan </v>
      </c>
    </row>
    <row r="8" spans="2:8" x14ac:dyDescent="0.2">
      <c r="B8" s="40"/>
      <c r="C8" s="40"/>
      <c r="D8" s="28"/>
      <c r="H8" s="40" t="str">
        <v xml:space="preserve">Jan </v>
      </c>
    </row>
    <row r="9" spans="2:8" x14ac:dyDescent="0.2">
      <c r="B9" s="40"/>
      <c r="C9" s="40"/>
      <c r="H9" s="40" t="str">
        <v xml:space="preserve">Jan </v>
      </c>
    </row>
    <row r="10" spans="2:8" x14ac:dyDescent="0.2">
      <c r="B10" s="40"/>
      <c r="C10" s="40"/>
      <c r="H10" s="40" t="str">
        <v xml:space="preserve">Jan </v>
      </c>
    </row>
    <row r="11" spans="2:8" x14ac:dyDescent="0.2">
      <c r="B11" s="40"/>
      <c r="C11" s="40"/>
      <c r="H11" s="40" t="str">
        <v xml:space="preserve">Jan </v>
      </c>
    </row>
    <row r="12" spans="2:8" x14ac:dyDescent="0.2">
      <c r="B12" s="40"/>
      <c r="C12" s="40"/>
      <c r="H12" t="str">
        <v xml:space="preserve">Jan </v>
      </c>
    </row>
    <row r="13" spans="2:8" x14ac:dyDescent="0.2">
      <c r="B13" s="40"/>
      <c r="C13" s="40"/>
      <c r="H13" t="str">
        <v xml:space="preserve">Jan </v>
      </c>
    </row>
    <row r="14" spans="2:8" x14ac:dyDescent="0.2">
      <c r="B14" s="40"/>
      <c r="C14" s="40"/>
      <c r="H14" t="str">
        <v xml:space="preserve">Jan </v>
      </c>
    </row>
    <row r="15" spans="2:8" x14ac:dyDescent="0.2">
      <c r="H15" t="str">
        <v xml:space="preserve">Jan </v>
      </c>
    </row>
    <row r="16" spans="2:8" x14ac:dyDescent="0.2">
      <c r="B16" s="40"/>
      <c r="C16" s="40"/>
      <c r="H16" t="str">
        <v xml:space="preserve">Jan </v>
      </c>
    </row>
    <row r="17" spans="2:8" x14ac:dyDescent="0.2">
      <c r="C17" s="40"/>
      <c r="H17" t="str">
        <v xml:space="preserve">Jan </v>
      </c>
    </row>
    <row r="18" spans="2:8" x14ac:dyDescent="0.2">
      <c r="C18" s="40"/>
      <c r="H18" t="str">
        <v xml:space="preserve">Jan </v>
      </c>
    </row>
    <row r="19" spans="2:8" x14ac:dyDescent="0.2">
      <c r="B19" s="28"/>
      <c r="C19" s="40"/>
      <c r="H19" t="str">
        <v xml:space="preserve">Jan </v>
      </c>
    </row>
    <row r="20" spans="2:8" x14ac:dyDescent="0.2">
      <c r="H20" t="str">
        <v xml:space="preserve">Jan </v>
      </c>
    </row>
    <row r="21" spans="2:8" x14ac:dyDescent="0.2">
      <c r="H21" t="str">
        <v xml:space="preserve">Jan </v>
      </c>
    </row>
    <row r="22" spans="2:8" x14ac:dyDescent="0.2">
      <c r="H22" t="str">
        <v xml:space="preserve">Jan </v>
      </c>
    </row>
    <row r="23" spans="2:8" x14ac:dyDescent="0.2">
      <c r="H23" t="str">
        <v xml:space="preserve">Jan </v>
      </c>
    </row>
    <row r="24" spans="2:8" x14ac:dyDescent="0.2">
      <c r="H24" t="str">
        <v xml:space="preserve">Jan </v>
      </c>
    </row>
    <row r="25" spans="2:8" x14ac:dyDescent="0.2">
      <c r="H25" t="str">
        <v xml:space="preserve">Jan </v>
      </c>
    </row>
    <row r="26" spans="2:8" x14ac:dyDescent="0.2">
      <c r="H26" t="str">
        <v xml:space="preserve">Jan </v>
      </c>
    </row>
    <row r="27" spans="2:8" x14ac:dyDescent="0.2">
      <c r="H27" t="str">
        <v xml:space="preserve">Jan </v>
      </c>
    </row>
    <row r="28" spans="2:8" x14ac:dyDescent="0.2">
      <c r="H28" t="str">
        <v xml:space="preserve">Jan </v>
      </c>
    </row>
    <row r="29" spans="2:8" x14ac:dyDescent="0.2">
      <c r="H29" t="str">
        <v xml:space="preserve">Jan </v>
      </c>
    </row>
    <row r="30" spans="2:8" x14ac:dyDescent="0.2">
      <c r="H30" t="str">
        <v xml:space="preserve">Jan </v>
      </c>
    </row>
    <row r="31" spans="2:8" x14ac:dyDescent="0.2">
      <c r="H31" t="str">
        <v xml:space="preserve">Jan </v>
      </c>
    </row>
    <row r="32" spans="2:8" x14ac:dyDescent="0.2">
      <c r="H32" t="str">
        <v xml:space="preserve">Jan </v>
      </c>
    </row>
    <row r="33" spans="8:8" x14ac:dyDescent="0.2">
      <c r="H33" t="str">
        <v xml:space="preserve">Jan </v>
      </c>
    </row>
    <row r="34" spans="8:8" x14ac:dyDescent="0.2">
      <c r="H34" t="str">
        <v xml:space="preserve">Jan </v>
      </c>
    </row>
    <row r="35" spans="8:8" x14ac:dyDescent="0.2">
      <c r="H35" t="str">
        <v xml:space="preserve">Jan </v>
      </c>
    </row>
    <row r="36" spans="8:8" x14ac:dyDescent="0.2">
      <c r="H36" t="str">
        <v xml:space="preserve">Jan </v>
      </c>
    </row>
    <row r="37" spans="8:8" x14ac:dyDescent="0.2">
      <c r="H37" t="str">
        <v xml:space="preserve">Jan </v>
      </c>
    </row>
    <row r="38" spans="8:8" x14ac:dyDescent="0.2">
      <c r="H38" t="str">
        <v xml:space="preserve">Jan </v>
      </c>
    </row>
    <row r="39" spans="8:8" x14ac:dyDescent="0.2">
      <c r="H39" t="str">
        <v xml:space="preserve">Jan </v>
      </c>
    </row>
    <row r="40" spans="8:8" x14ac:dyDescent="0.2">
      <c r="H40" t="str">
        <v xml:space="preserve">Jan </v>
      </c>
    </row>
    <row r="41" spans="8:8" x14ac:dyDescent="0.2">
      <c r="H41" t="str">
        <v xml:space="preserve">Jan </v>
      </c>
    </row>
    <row r="42" spans="8:8" x14ac:dyDescent="0.2">
      <c r="H42" t="str">
        <v xml:space="preserve">Jan </v>
      </c>
    </row>
    <row r="43" spans="8:8" x14ac:dyDescent="0.2">
      <c r="H43" t="str">
        <v xml:space="preserve">Jan </v>
      </c>
    </row>
    <row r="44" spans="8:8" x14ac:dyDescent="0.2">
      <c r="H44" t="str">
        <v xml:space="preserve">Jan </v>
      </c>
    </row>
    <row r="45" spans="8:8" x14ac:dyDescent="0.2">
      <c r="H45" t="str">
        <v xml:space="preserve">Jan </v>
      </c>
    </row>
    <row r="46" spans="8:8" x14ac:dyDescent="0.2">
      <c r="H46" t="str">
        <v xml:space="preserve">Jan </v>
      </c>
    </row>
    <row r="47" spans="8:8" x14ac:dyDescent="0.2">
      <c r="H47" t="str">
        <v xml:space="preserve">Jan </v>
      </c>
    </row>
    <row r="48" spans="8:8" x14ac:dyDescent="0.2">
      <c r="H48" t="str">
        <v xml:space="preserve">Jan </v>
      </c>
    </row>
    <row r="49" spans="8:8" x14ac:dyDescent="0.2">
      <c r="H49" t="str">
        <v xml:space="preserve">Jan </v>
      </c>
    </row>
    <row r="50" spans="8:8" x14ac:dyDescent="0.2">
      <c r="H50" t="str">
        <v xml:space="preserve">Jan </v>
      </c>
    </row>
    <row r="51" spans="8:8" x14ac:dyDescent="0.2">
      <c r="H51" t="str">
        <v xml:space="preserve">Jan </v>
      </c>
    </row>
    <row r="52" spans="8:8" x14ac:dyDescent="0.2">
      <c r="H52" t="str">
        <v xml:space="preserve">Jan </v>
      </c>
    </row>
    <row r="53" spans="8:8" x14ac:dyDescent="0.2">
      <c r="H53" t="str">
        <v xml:space="preserve">Jan </v>
      </c>
    </row>
    <row r="54" spans="8:8" x14ac:dyDescent="0.2">
      <c r="H54" t="str">
        <v xml:space="preserve">Jan </v>
      </c>
    </row>
  </sheetData>
  <autoFilter ref="B3:F5" xr:uid="{42BDD182-16A1-43FC-91B8-3BB7D2013D2B}"/>
  <conditionalFormatting sqref="G1:G1048576">
    <cfRule type="cellIs" priority="1" operator="greaterThan">
      <formula>TODAY()</formula>
    </cfRule>
  </conditionalFormatting>
  <pageMargins left="0.7" right="0.7" top="0.75" bottom="0.75"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E21C2ECA-701E-4E92-BA86-EA94B487F473}">
          <x14:formula1>
            <xm:f>'Data Validation'!$B$2:$B$50</xm:f>
          </x14:formula1>
          <xm:sqref>B55:B1048576</xm:sqref>
        </x14:dataValidation>
        <x14:dataValidation type="list" allowBlank="1" showInputMessage="1" showErrorMessage="1" xr:uid="{40EC9BB8-BACF-4841-B6FB-552706D2CC49}">
          <x14:formula1>
            <xm:f>'Credit Cards'!$B$4:$B$24</xm:f>
          </x14:formula1>
          <xm:sqref>D55:D1048576</xm:sqref>
        </x14:dataValidation>
        <x14:dataValidation type="list" allowBlank="1" showInputMessage="1" showErrorMessage="1" xr:uid="{851AFF35-3F41-4AD2-AFF8-2845223741BA}">
          <x14:formula1>
            <xm:f>'Data Validation'!$B$1:$B$99</xm:f>
          </x14:formula1>
          <xm:sqref>B4:B54</xm:sqref>
        </x14:dataValidation>
        <x14:dataValidation type="list" allowBlank="1" showInputMessage="1" showErrorMessage="1" xr:uid="{AEDFBB97-E379-405C-BBBB-B9698788473A}">
          <x14:formula1>
            <xm:f>'Data Validation'!$D$2:$D$99</xm:f>
          </x14:formula1>
          <xm:sqref>D4:D54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479487-D0F6-4DEB-84E5-CD9AF42CC274}">
  <sheetPr codeName="Sheet22">
    <tabColor rgb="FF0000FF"/>
  </sheetPr>
  <dimension ref="B1:D13"/>
  <sheetViews>
    <sheetView workbookViewId="0"/>
  </sheetViews>
  <sheetFormatPr defaultRowHeight="12.75" x14ac:dyDescent="0.2"/>
  <cols>
    <col min="1" max="1" width="1.28515625" customWidth="1"/>
    <col min="2" max="2" width="37.42578125" bestFit="1" customWidth="1"/>
    <col min="3" max="3" width="24" bestFit="1" customWidth="1"/>
  </cols>
  <sheetData>
    <row r="1" spans="2:4" x14ac:dyDescent="0.2">
      <c r="C1" s="87" t="s">
        <v>107</v>
      </c>
    </row>
    <row r="3" spans="2:4" x14ac:dyDescent="0.2">
      <c r="B3" s="28" t="s">
        <v>102</v>
      </c>
      <c r="C3" s="123"/>
    </row>
    <row r="4" spans="2:4" x14ac:dyDescent="0.2">
      <c r="B4" s="28" t="s">
        <v>115</v>
      </c>
      <c r="C4" s="28"/>
    </row>
    <row r="6" spans="2:4" x14ac:dyDescent="0.2">
      <c r="B6" s="28" t="s">
        <v>114</v>
      </c>
    </row>
    <row r="7" spans="2:4" x14ac:dyDescent="0.2">
      <c r="B7" s="28" t="s">
        <v>109</v>
      </c>
      <c r="D7" s="28"/>
    </row>
    <row r="8" spans="2:4" x14ac:dyDescent="0.2">
      <c r="B8" s="88" t="s">
        <v>121</v>
      </c>
    </row>
    <row r="9" spans="2:4" x14ac:dyDescent="0.2">
      <c r="B9" s="88" t="s">
        <v>122</v>
      </c>
    </row>
    <row r="11" spans="2:4" x14ac:dyDescent="0.2">
      <c r="B11" s="28" t="s">
        <v>123</v>
      </c>
    </row>
    <row r="12" spans="2:4" x14ac:dyDescent="0.2">
      <c r="B12" s="28" t="s">
        <v>124</v>
      </c>
      <c r="C12" s="153">
        <f>SUM($C$7:C8)</f>
        <v>0</v>
      </c>
    </row>
    <row r="13" spans="2:4" x14ac:dyDescent="0.2">
      <c r="B13" s="28" t="s">
        <v>125</v>
      </c>
      <c r="C13" s="153">
        <f>SUM($C$7:C9)</f>
        <v>0</v>
      </c>
    </row>
  </sheetData>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93854-875D-4F5D-86E3-3AB3A80F5C4B}">
  <sheetPr codeName="Sheet25"/>
  <dimension ref="A1"/>
  <sheetViews>
    <sheetView workbookViewId="0"/>
  </sheetViews>
  <sheetFormatPr defaultRowHeight="12.75" x14ac:dyDescent="0.2"/>
  <cols>
    <col min="1" max="16384" width="9.140625" style="27"/>
  </cols>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E9722-404A-4B30-B093-6FD87C8A5056}">
  <sheetPr codeName="Sheet9">
    <tabColor theme="6"/>
  </sheetPr>
  <dimension ref="A1:N33"/>
  <sheetViews>
    <sheetView workbookViewId="0">
      <selection activeCell="D3" sqref="D3"/>
    </sheetView>
  </sheetViews>
  <sheetFormatPr defaultRowHeight="12.75" x14ac:dyDescent="0.2"/>
  <cols>
    <col min="1" max="1" width="24.5703125" customWidth="1"/>
    <col min="2" max="2" width="24.5703125" bestFit="1" customWidth="1"/>
    <col min="3" max="14" width="17" customWidth="1"/>
  </cols>
  <sheetData>
    <row r="1" spans="1:14" s="225" customFormat="1" ht="15" x14ac:dyDescent="0.35">
      <c r="A1" s="225" t="s">
        <v>21</v>
      </c>
      <c r="B1" s="225" t="s">
        <v>287</v>
      </c>
      <c r="C1" s="225" t="s">
        <v>311</v>
      </c>
      <c r="D1" s="225" t="s">
        <v>313</v>
      </c>
      <c r="E1" s="225" t="s">
        <v>312</v>
      </c>
      <c r="F1" s="225" t="s">
        <v>308</v>
      </c>
      <c r="G1" s="225" t="s">
        <v>314</v>
      </c>
      <c r="H1" s="225" t="s">
        <v>315</v>
      </c>
      <c r="I1" s="225" t="s">
        <v>310</v>
      </c>
      <c r="J1" s="225" t="s">
        <v>316</v>
      </c>
      <c r="K1" s="225" t="s">
        <v>317</v>
      </c>
      <c r="L1" s="225" t="s">
        <v>309</v>
      </c>
      <c r="M1" s="225" t="s">
        <v>318</v>
      </c>
      <c r="N1" s="225" t="s">
        <v>319</v>
      </c>
    </row>
    <row r="2" spans="1:14" x14ac:dyDescent="0.2">
      <c r="A2" s="28" t="s">
        <v>302</v>
      </c>
      <c r="B2" t="s">
        <v>266</v>
      </c>
      <c r="C2" s="224">
        <f ca="1">_xlfn.LET(_xlpm.end_date,MAX(Raw!$H$3:$H$9149),
_xlpm.start_date,_xlpm.end_date-30,
_xlpm.NTM_day_count,EDATE(TODAY(),12)-TODAY(),
_xlpm.total_spend,SUMIFS(Raw!$F$3:$F$9149,Raw!$H$3:$H$9149,"&gt;="&amp;_xlpm.start_date,Raw!$D$3:$D$9149,'Ref Data'!$B2),
_xlpm.one_day_spend,_xlpm.total_spend/30,
_xlpm.one_day_spend*_xlpm.NTM_day_count)</f>
        <v>0</v>
      </c>
      <c r="D2" s="224">
        <f>_xlfn.LET(_xlpm.end_date,MAX(Raw!$H$3:$H$9149),
_xlpm.start_date,EOMONTH(_xlpm.end_date,-12),
_xlpm.nbr_days,_xlpm.end_date-_xlpm.start_date,
_xlpm.ltm_spend,SUMIFS(Raw!$F$3:$F$9149,Raw!$H$3:$H$9149,"&gt;="&amp;_xlpm.start_date,Raw!$D$3:$D$9149,'Ref Data'!$B2),
_xlpm.ltm_spend)</f>
        <v>0</v>
      </c>
      <c r="E2" s="224" t="e">
        <f ca="1">_xlfn.LET(_xlpm.total_spend,SUMIFS(Raw!$F$3:$F$9149,Raw!$D$3:$D$9149,'Ref Data'!$B2),
_xlpm.start_date,MIN(Raw!$H$3:$H$9149),
_xlpm.end_date,MAX(Raw!$H$3:$H$9149),
_xlpm.nbr_days,_xlpm.end_date-_xlpm.start_date,
_xlpm.NTM_day_count,EDATE(TODAY(),12)-TODAY(),
_xlpm.one_day_spend,_xlpm.total_spend/_xlpm.nbr_days,
_xlpm.one_day_spend*_xlpm.NTM_day_count)</f>
        <v>#DIV/0!</v>
      </c>
      <c r="F2" s="224">
        <f>_xlfn.LET(_xlpm.end_date,MAX(Raw!$H$3:$H$9149),
_xlpm.start_date,_xlpm.end_date-30,
SUMIFS(Raw!$F$3:$F$9149,Raw!$H$3:$H$9149,"&gt;="&amp;_xlpm.start_date,Raw!$D$3:$D$9149,'Ref Data'!$B2))</f>
        <v>0</v>
      </c>
      <c r="G2" s="224" t="e">
        <f>_xlfn.LET(_xlpm.end_date,MAX(Raw!$H$3:$H$9149),
_xlpm.start_date,EOMONTH(_xlpm.end_date,-12),
_xlpm.nbr_days,_xlpm.end_date-_xlpm.start_date,
_xlpm.ltm_spend,SUMIFS(Raw!$F$3:$F$9149,Raw!$H$3:$H$9149,"&gt;="&amp;_xlpm.start_date,Raw!$D$3:$D$9149,'Ref Data'!$B2),
_xlpm.one_day_spend,_xlpm.ltm_spend/_xlpm.nbr_days,
_xlpm.one_day_spend*30)</f>
        <v>#NUM!</v>
      </c>
      <c r="H2" s="224" t="e">
        <f>_xlfn.LET(_xlpm.total_spend,SUMIFS(Raw!$F$3:$F$9149,Raw!$D$3:$D$9149,'Ref Data'!$B2),
_xlpm.start_date,MIN(Raw!$H$3:$H$9149),
_xlpm.end_date,MAX(Raw!$H$3:$H$9149),
_xlpm.nbr_days,_xlpm.end_date-_xlpm.start_date,
_xlpm.one_day_spend,_xlpm.total_spend/_xlpm.nbr_days,
_xlpm.one_day_spend*30)</f>
        <v>#DIV/0!</v>
      </c>
      <c r="I2" s="224">
        <f>_xlfn.LET(_xlpm.end_date,MAX(Raw!$H$3:$H$9149),
_xlpm.start_date,_xlpm.end_date-30,
SUMIFS(Raw!$F$3:$F$9149,Raw!$H$3:$H$9149,"&gt;="&amp;_xlpm.start_date,Raw!$D$3:$D$9149,'Ref Data'!$B2)/30*7)</f>
        <v>0</v>
      </c>
      <c r="J2" s="224" t="e">
        <f>_xlfn.LET(_xlpm.end_date,MAX(Raw!$H$3:$H$9149),
_xlpm.start_date,EOMONTH(_xlpm.end_date,-12),
_xlpm.nbr_days,_xlpm.end_date-_xlpm.start_date,
_xlpm.ltm_spend,SUMIFS(Raw!$F$3:$F$9149,Raw!$H$3:$H$9149,"&gt;="&amp;_xlpm.start_date,Raw!$D$3:$D$9149,'Ref Data'!$B2),
_xlpm.one_day_spend,_xlpm.ltm_spend/_xlpm.nbr_days,
_xlpm.one_day_spend*7)</f>
        <v>#NUM!</v>
      </c>
      <c r="K2" s="224" t="e">
        <f>_xlfn.LET(_xlpm.total_spend,SUMIFS(Raw!$F$3:$F$9149,Raw!$D$3:$D$9149,'Ref Data'!$B2),
_xlpm.start_date,MIN(Raw!$H$3:$H$9149),
_xlpm.end_date,MAX(Raw!$H$3:$H$9149),
_xlpm.nbr_days,_xlpm.end_date-_xlpm.start_date,
_xlpm.one_day_spend,_xlpm.total_spend/_xlpm.nbr_days,
_xlpm.one_day_spend*7)</f>
        <v>#DIV/0!</v>
      </c>
      <c r="L2" s="224">
        <f>_xlfn.LET(_xlpm.end_date,MAX(Raw!$H$3:$H$9149),
_xlpm.start_date,_xlpm.end_date-30,
SUMIFS(Raw!$F$3:$F$9149,Raw!$H$3:$H$9149,"&gt;="&amp;_xlpm.start_date,Raw!$D$3:$D$9149,'Ref Data'!$B2)/30)</f>
        <v>0</v>
      </c>
      <c r="M2" s="224" t="e">
        <f>_xlfn.LET(_xlpm.end_date,MAX(Raw!$H$3:$H$9149),
_xlpm.start_date,EOMONTH(_xlpm.end_date,-12),
_xlpm.nbr_days,_xlpm.end_date-_xlpm.start_date,
_xlpm.ltm_spend,SUMIFS(Raw!$F$3:$F$9149,Raw!$H$3:$H$9149,"&gt;="&amp;_xlpm.start_date,Raw!$D$3:$D$9149,'Ref Data'!$B2),
_xlpm.one_day_spend,_xlpm.ltm_spend/_xlpm.nbr_days,
_xlpm.one_day_spend)</f>
        <v>#NUM!</v>
      </c>
      <c r="N2" s="224" t="e">
        <f>_xlfn.LET(_xlpm.total_spend,SUMIFS(Raw!$F$3:$F$9149,Raw!$D$3:$D$9149,'Ref Data'!$B2),
_xlpm.start_date,MIN(Raw!$H$3:$H$9149),
_xlpm.end_date,MAX(Raw!$H$3:$H$9149),
_xlpm.nbr_days,_xlpm.end_date-_xlpm.start_date,
_xlpm.one_day_spend,_xlpm.total_spend/_xlpm.nbr_days,
_xlpm.one_day_spend)</f>
        <v>#DIV/0!</v>
      </c>
    </row>
    <row r="3" spans="1:14" x14ac:dyDescent="0.2">
      <c r="A3" t="s">
        <v>276</v>
      </c>
      <c r="B3" t="s">
        <v>268</v>
      </c>
      <c r="C3" s="224">
        <f ca="1">_xlfn.LET(_xlpm.end_date,MAX(Raw!$H$3:$H$9149),
_xlpm.start_date,_xlpm.end_date-30,
_xlpm.NTM_day_count,EDATE(TODAY(),12)-TODAY(),
_xlpm.total_spend,SUMIFS(Raw!$F$3:$F$9149,Raw!$H$3:$H$9149,"&gt;="&amp;_xlpm.start_date,Raw!$D$3:$D$9149,'Ref Data'!$B3),
_xlpm.one_day_spend,_xlpm.total_spend/30,
_xlpm.one_day_spend*_xlpm.NTM_day_count)</f>
        <v>0</v>
      </c>
      <c r="D3" s="224">
        <f>_xlfn.LET(_xlpm.end_date,MAX(Raw!$H$3:$H$9149),
_xlpm.start_date,EOMONTH(_xlpm.end_date,-12),
_xlpm.nbr_days,_xlpm.end_date-_xlpm.start_date,
_xlpm.ltm_spend,SUMIFS(Raw!$F$3:$F$9149,Raw!$H$3:$H$9149,"&gt;="&amp;_xlpm.start_date,Raw!$D$3:$D$9149,'Ref Data'!$B3),
_xlpm.ltm_spend)</f>
        <v>0</v>
      </c>
      <c r="E3" s="224" t="e">
        <f ca="1">_xlfn.LET(_xlpm.total_spend,SUMIFS(Raw!$F$3:$F$9149,Raw!$D$3:$D$9149,'Ref Data'!$B3),
_xlpm.start_date,MIN(Raw!$H$3:$H$9149),
_xlpm.end_date,MAX(Raw!$H$3:$H$9149),
_xlpm.nbr_days,_xlpm.end_date-_xlpm.start_date,
_xlpm.NTM_day_count,EDATE(TODAY(),12)-TODAY(),
_xlpm.one_day_spend,_xlpm.total_spend/_xlpm.nbr_days,
_xlpm.one_day_spend*_xlpm.NTM_day_count)</f>
        <v>#DIV/0!</v>
      </c>
      <c r="F3" s="224">
        <f>_xlfn.LET(_xlpm.end_date,MAX(Raw!$H$3:$H$9149),
_xlpm.start_date,_xlpm.end_date-30,
SUMIFS(Raw!$F$3:$F$9149,Raw!$H$3:$H$9149,"&gt;="&amp;_xlpm.start_date,Raw!$D$3:$D$9149,'Ref Data'!$B3))</f>
        <v>0</v>
      </c>
      <c r="G3" s="224" t="e">
        <f>_xlfn.LET(_xlpm.end_date,MAX(Raw!$H$3:$H$9149),
_xlpm.start_date,EOMONTH(_xlpm.end_date,-12),
_xlpm.nbr_days,_xlpm.end_date-_xlpm.start_date,
_xlpm.ltm_spend,SUMIFS(Raw!$F$3:$F$9149,Raw!$H$3:$H$9149,"&gt;="&amp;_xlpm.start_date,Raw!$D$3:$D$9149,'Ref Data'!$B3),
_xlpm.one_day_spend,_xlpm.ltm_spend/_xlpm.nbr_days,
_xlpm.one_day_spend*30)</f>
        <v>#NUM!</v>
      </c>
      <c r="H3" s="224" t="e">
        <f>_xlfn.LET(_xlpm.total_spend,SUMIFS(Raw!$F$3:$F$9149,Raw!$D$3:$D$9149,'Ref Data'!$B3),
_xlpm.start_date,MIN(Raw!$H$3:$H$9149),
_xlpm.end_date,MAX(Raw!$H$3:$H$9149),
_xlpm.nbr_days,_xlpm.end_date-_xlpm.start_date,
_xlpm.one_day_spend,_xlpm.total_spend/_xlpm.nbr_days,
_xlpm.one_day_spend*30)</f>
        <v>#DIV/0!</v>
      </c>
      <c r="I3" s="224">
        <f>_xlfn.LET(_xlpm.end_date,MAX(Raw!$H$3:$H$9149),
_xlpm.start_date,_xlpm.end_date-30,
SUMIFS(Raw!$F$3:$F$9149,Raw!$H$3:$H$9149,"&gt;="&amp;_xlpm.start_date,Raw!$D$3:$D$9149,'Ref Data'!$B3)/30*7)</f>
        <v>0</v>
      </c>
      <c r="J3" s="224" t="e">
        <f>_xlfn.LET(_xlpm.end_date,MAX(Raw!$H$3:$H$9149),
_xlpm.start_date,EOMONTH(_xlpm.end_date,-12),
_xlpm.nbr_days,_xlpm.end_date-_xlpm.start_date,
_xlpm.ltm_spend,SUMIFS(Raw!$F$3:$F$9149,Raw!$H$3:$H$9149,"&gt;="&amp;_xlpm.start_date,Raw!$D$3:$D$9149,'Ref Data'!$B3),
_xlpm.one_day_spend,_xlpm.ltm_spend/_xlpm.nbr_days,
_xlpm.one_day_spend*7)</f>
        <v>#NUM!</v>
      </c>
      <c r="K3" s="224" t="e">
        <f>_xlfn.LET(_xlpm.total_spend,SUMIFS(Raw!$F$3:$F$9149,Raw!$D$3:$D$9149,'Ref Data'!$B3),
_xlpm.start_date,MIN(Raw!$H$3:$H$9149),
_xlpm.end_date,MAX(Raw!$H$3:$H$9149),
_xlpm.nbr_days,_xlpm.end_date-_xlpm.start_date,
_xlpm.one_day_spend,_xlpm.total_spend/_xlpm.nbr_days,
_xlpm.one_day_spend*7)</f>
        <v>#DIV/0!</v>
      </c>
      <c r="L3" s="224">
        <f>_xlfn.LET(_xlpm.end_date,MAX(Raw!$H$3:$H$9149),
_xlpm.start_date,_xlpm.end_date-30,
SUMIFS(Raw!$F$3:$F$9149,Raw!$H$3:$H$9149,"&gt;="&amp;_xlpm.start_date,Raw!$D$3:$D$9149,'Ref Data'!$B3)/30)</f>
        <v>0</v>
      </c>
      <c r="M3" s="224" t="e">
        <f>_xlfn.LET(_xlpm.end_date,MAX(Raw!$H$3:$H$9149),
_xlpm.start_date,EOMONTH(_xlpm.end_date,-12),
_xlpm.nbr_days,_xlpm.end_date-_xlpm.start_date,
_xlpm.ltm_spend,SUMIFS(Raw!$F$3:$F$9149,Raw!$H$3:$H$9149,"&gt;="&amp;_xlpm.start_date,Raw!$D$3:$D$9149,'Ref Data'!$B3),
_xlpm.one_day_spend,_xlpm.ltm_spend/_xlpm.nbr_days,
_xlpm.one_day_spend)</f>
        <v>#NUM!</v>
      </c>
      <c r="N3" s="224" t="e">
        <f>_xlfn.LET(_xlpm.total_spend,SUMIFS(Raw!$F$3:$F$9149,Raw!$D$3:$D$9149,'Ref Data'!$B3),
_xlpm.start_date,MIN(Raw!$H$3:$H$9149),
_xlpm.end_date,MAX(Raw!$H$3:$H$9149),
_xlpm.nbr_days,_xlpm.end_date-_xlpm.start_date,
_xlpm.one_day_spend,_xlpm.total_spend/_xlpm.nbr_days,
_xlpm.one_day_spend)</f>
        <v>#DIV/0!</v>
      </c>
    </row>
    <row r="4" spans="1:14" x14ac:dyDescent="0.2">
      <c r="A4" t="s">
        <v>276</v>
      </c>
      <c r="B4" t="s">
        <v>276</v>
      </c>
      <c r="C4" s="224">
        <f ca="1">_xlfn.LET(_xlpm.end_date,MAX(Raw!$H$3:$H$9149),
_xlpm.start_date,_xlpm.end_date-30,
_xlpm.NTM_day_count,EDATE(TODAY(),12)-TODAY(),
_xlpm.total_spend,SUMIFS(Raw!$F$3:$F$9149,Raw!$H$3:$H$9149,"&gt;="&amp;_xlpm.start_date,Raw!$D$3:$D$9149,'Ref Data'!$B4),
_xlpm.one_day_spend,_xlpm.total_spend/30,
_xlpm.one_day_spend*_xlpm.NTM_day_count)</f>
        <v>0</v>
      </c>
      <c r="D4" s="224">
        <f>_xlfn.LET(_xlpm.end_date,MAX(Raw!$H$3:$H$9149),
_xlpm.start_date,EOMONTH(_xlpm.end_date,-12),
_xlpm.nbr_days,_xlpm.end_date-_xlpm.start_date,
_xlpm.ltm_spend,SUMIFS(Raw!$F$3:$F$9149,Raw!$H$3:$H$9149,"&gt;="&amp;_xlpm.start_date,Raw!$D$3:$D$9149,'Ref Data'!$B4),
_xlpm.ltm_spend)</f>
        <v>0</v>
      </c>
      <c r="E4" s="224" t="e">
        <f ca="1">_xlfn.LET(_xlpm.total_spend,SUMIFS(Raw!$F$3:$F$9149,Raw!$D$3:$D$9149,'Ref Data'!$B4),
_xlpm.start_date,MIN(Raw!$H$3:$H$9149),
_xlpm.end_date,MAX(Raw!$H$3:$H$9149),
_xlpm.nbr_days,_xlpm.end_date-_xlpm.start_date,
_xlpm.NTM_day_count,EDATE(TODAY(),12)-TODAY(),
_xlpm.one_day_spend,_xlpm.total_spend/_xlpm.nbr_days,
_xlpm.one_day_spend*_xlpm.NTM_day_count)</f>
        <v>#DIV/0!</v>
      </c>
      <c r="F4" s="224">
        <f>_xlfn.LET(_xlpm.end_date,MAX(Raw!$H$3:$H$9149),
_xlpm.start_date,_xlpm.end_date-30,
SUMIFS(Raw!$F$3:$F$9149,Raw!$H$3:$H$9149,"&gt;="&amp;_xlpm.start_date,Raw!$D$3:$D$9149,'Ref Data'!$B4))</f>
        <v>0</v>
      </c>
      <c r="G4" s="224" t="e">
        <f>_xlfn.LET(_xlpm.end_date,MAX(Raw!$H$3:$H$9149),
_xlpm.start_date,EOMONTH(_xlpm.end_date,-12),
_xlpm.nbr_days,_xlpm.end_date-_xlpm.start_date,
_xlpm.ltm_spend,SUMIFS(Raw!$F$3:$F$9149,Raw!$H$3:$H$9149,"&gt;="&amp;_xlpm.start_date,Raw!$D$3:$D$9149,'Ref Data'!$B4),
_xlpm.one_day_spend,_xlpm.ltm_spend/_xlpm.nbr_days,
_xlpm.one_day_spend*30)</f>
        <v>#NUM!</v>
      </c>
      <c r="H4" s="224" t="e">
        <f>_xlfn.LET(_xlpm.total_spend,SUMIFS(Raw!$F$3:$F$9149,Raw!$D$3:$D$9149,'Ref Data'!$B4),
_xlpm.start_date,MIN(Raw!$H$3:$H$9149),
_xlpm.end_date,MAX(Raw!$H$3:$H$9149),
_xlpm.nbr_days,_xlpm.end_date-_xlpm.start_date,
_xlpm.one_day_spend,_xlpm.total_spend/_xlpm.nbr_days,
_xlpm.one_day_spend*30)</f>
        <v>#DIV/0!</v>
      </c>
      <c r="I4" s="224">
        <f>_xlfn.LET(_xlpm.end_date,MAX(Raw!$H$3:$H$9149),
_xlpm.start_date,_xlpm.end_date-30,
SUMIFS(Raw!$F$3:$F$9149,Raw!$H$3:$H$9149,"&gt;="&amp;_xlpm.start_date,Raw!$D$3:$D$9149,'Ref Data'!$B4)/30*7)</f>
        <v>0</v>
      </c>
      <c r="J4" s="224" t="e">
        <f>_xlfn.LET(_xlpm.end_date,MAX(Raw!$H$3:$H$9149),
_xlpm.start_date,EOMONTH(_xlpm.end_date,-12),
_xlpm.nbr_days,_xlpm.end_date-_xlpm.start_date,
_xlpm.ltm_spend,SUMIFS(Raw!$F$3:$F$9149,Raw!$H$3:$H$9149,"&gt;="&amp;_xlpm.start_date,Raw!$D$3:$D$9149,'Ref Data'!$B4),
_xlpm.one_day_spend,_xlpm.ltm_spend/_xlpm.nbr_days,
_xlpm.one_day_spend*7)</f>
        <v>#NUM!</v>
      </c>
      <c r="K4" s="224" t="e">
        <f>_xlfn.LET(_xlpm.total_spend,SUMIFS(Raw!$F$3:$F$9149,Raw!$D$3:$D$9149,'Ref Data'!$B4),
_xlpm.start_date,MIN(Raw!$H$3:$H$9149),
_xlpm.end_date,MAX(Raw!$H$3:$H$9149),
_xlpm.nbr_days,_xlpm.end_date-_xlpm.start_date,
_xlpm.one_day_spend,_xlpm.total_spend/_xlpm.nbr_days,
_xlpm.one_day_spend*7)</f>
        <v>#DIV/0!</v>
      </c>
      <c r="L4" s="224">
        <f>_xlfn.LET(_xlpm.end_date,MAX(Raw!$H$3:$H$9149),
_xlpm.start_date,_xlpm.end_date-30,
SUMIFS(Raw!$F$3:$F$9149,Raw!$H$3:$H$9149,"&gt;="&amp;_xlpm.start_date,Raw!$D$3:$D$9149,'Ref Data'!$B4)/30)</f>
        <v>0</v>
      </c>
      <c r="M4" s="224" t="e">
        <f>_xlfn.LET(_xlpm.end_date,MAX(Raw!$H$3:$H$9149),
_xlpm.start_date,EOMONTH(_xlpm.end_date,-12),
_xlpm.nbr_days,_xlpm.end_date-_xlpm.start_date,
_xlpm.ltm_spend,SUMIFS(Raw!$F$3:$F$9149,Raw!$H$3:$H$9149,"&gt;="&amp;_xlpm.start_date,Raw!$D$3:$D$9149,'Ref Data'!$B4),
_xlpm.one_day_spend,_xlpm.ltm_spend/_xlpm.nbr_days,
_xlpm.one_day_spend)</f>
        <v>#NUM!</v>
      </c>
      <c r="N4" s="224" t="e">
        <f>_xlfn.LET(_xlpm.total_spend,SUMIFS(Raw!$F$3:$F$9149,Raw!$D$3:$D$9149,'Ref Data'!$B4),
_xlpm.start_date,MIN(Raw!$H$3:$H$9149),
_xlpm.end_date,MAX(Raw!$H$3:$H$9149),
_xlpm.nbr_days,_xlpm.end_date-_xlpm.start_date,
_xlpm.one_day_spend,_xlpm.total_spend/_xlpm.nbr_days,
_xlpm.one_day_spend)</f>
        <v>#DIV/0!</v>
      </c>
    </row>
    <row r="5" spans="1:14" x14ac:dyDescent="0.2">
      <c r="A5" s="28" t="s">
        <v>288</v>
      </c>
      <c r="B5" t="s">
        <v>260</v>
      </c>
      <c r="C5" s="224">
        <f ca="1">_xlfn.LET(_xlpm.end_date,MAX(Raw!$H$3:$H$9149),
_xlpm.start_date,_xlpm.end_date-30,
_xlpm.NTM_day_count,EDATE(TODAY(),12)-TODAY(),
_xlpm.total_spend,SUMIFS(Raw!$F$3:$F$9149,Raw!$H$3:$H$9149,"&gt;="&amp;_xlpm.start_date,Raw!$D$3:$D$9149,'Ref Data'!$B5),
_xlpm.one_day_spend,_xlpm.total_spend/30,
_xlpm.one_day_spend*_xlpm.NTM_day_count)</f>
        <v>0</v>
      </c>
      <c r="D5" s="224">
        <f>_xlfn.LET(_xlpm.end_date,MAX(Raw!$H$3:$H$9149),
_xlpm.start_date,EOMONTH(_xlpm.end_date,-12),
_xlpm.nbr_days,_xlpm.end_date-_xlpm.start_date,
_xlpm.ltm_spend,SUMIFS(Raw!$F$3:$F$9149,Raw!$H$3:$H$9149,"&gt;="&amp;_xlpm.start_date,Raw!$D$3:$D$9149,'Ref Data'!$B5),
_xlpm.ltm_spend)</f>
        <v>0</v>
      </c>
      <c r="E5" s="224" t="e">
        <f ca="1">_xlfn.LET(_xlpm.total_spend,SUMIFS(Raw!$F$3:$F$9149,Raw!$D$3:$D$9149,'Ref Data'!$B5),
_xlpm.start_date,MIN(Raw!$H$3:$H$9149),
_xlpm.end_date,MAX(Raw!$H$3:$H$9149),
_xlpm.nbr_days,_xlpm.end_date-_xlpm.start_date,
_xlpm.NTM_day_count,EDATE(TODAY(),12)-TODAY(),
_xlpm.one_day_spend,_xlpm.total_spend/_xlpm.nbr_days,
_xlpm.one_day_spend*_xlpm.NTM_day_count)</f>
        <v>#DIV/0!</v>
      </c>
      <c r="F5" s="224">
        <f>_xlfn.LET(_xlpm.end_date,MAX(Raw!$H$3:$H$9149),
_xlpm.start_date,_xlpm.end_date-30,
SUMIFS(Raw!$F$3:$F$9149,Raw!$H$3:$H$9149,"&gt;="&amp;_xlpm.start_date,Raw!$D$3:$D$9149,'Ref Data'!$B5))</f>
        <v>0</v>
      </c>
      <c r="G5" s="224" t="e">
        <f>_xlfn.LET(_xlpm.end_date,MAX(Raw!$H$3:$H$9149),
_xlpm.start_date,EOMONTH(_xlpm.end_date,-12),
_xlpm.nbr_days,_xlpm.end_date-_xlpm.start_date,
_xlpm.ltm_spend,SUMIFS(Raw!$F$3:$F$9149,Raw!$H$3:$H$9149,"&gt;="&amp;_xlpm.start_date,Raw!$D$3:$D$9149,'Ref Data'!$B5),
_xlpm.one_day_spend,_xlpm.ltm_spend/_xlpm.nbr_days,
_xlpm.one_day_spend*30)</f>
        <v>#NUM!</v>
      </c>
      <c r="H5" s="224" t="e">
        <f>_xlfn.LET(_xlpm.total_spend,SUMIFS(Raw!$F$3:$F$9149,Raw!$D$3:$D$9149,'Ref Data'!$B5),
_xlpm.start_date,MIN(Raw!$H$3:$H$9149),
_xlpm.end_date,MAX(Raw!$H$3:$H$9149),
_xlpm.nbr_days,_xlpm.end_date-_xlpm.start_date,
_xlpm.one_day_spend,_xlpm.total_spend/_xlpm.nbr_days,
_xlpm.one_day_spend*30)</f>
        <v>#DIV/0!</v>
      </c>
      <c r="I5" s="224">
        <f>_xlfn.LET(_xlpm.end_date,MAX(Raw!$H$3:$H$9149),
_xlpm.start_date,_xlpm.end_date-30,
SUMIFS(Raw!$F$3:$F$9149,Raw!$H$3:$H$9149,"&gt;="&amp;_xlpm.start_date,Raw!$D$3:$D$9149,'Ref Data'!$B5)/30*7)</f>
        <v>0</v>
      </c>
      <c r="J5" s="224" t="e">
        <f>_xlfn.LET(_xlpm.end_date,MAX(Raw!$H$3:$H$9149),
_xlpm.start_date,EOMONTH(_xlpm.end_date,-12),
_xlpm.nbr_days,_xlpm.end_date-_xlpm.start_date,
_xlpm.ltm_spend,SUMIFS(Raw!$F$3:$F$9149,Raw!$H$3:$H$9149,"&gt;="&amp;_xlpm.start_date,Raw!$D$3:$D$9149,'Ref Data'!$B5),
_xlpm.one_day_spend,_xlpm.ltm_spend/_xlpm.nbr_days,
_xlpm.one_day_spend*7)</f>
        <v>#NUM!</v>
      </c>
      <c r="K5" s="224" t="e">
        <f>_xlfn.LET(_xlpm.total_spend,SUMIFS(Raw!$F$3:$F$9149,Raw!$D$3:$D$9149,'Ref Data'!$B5),
_xlpm.start_date,MIN(Raw!$H$3:$H$9149),
_xlpm.end_date,MAX(Raw!$H$3:$H$9149),
_xlpm.nbr_days,_xlpm.end_date-_xlpm.start_date,
_xlpm.one_day_spend,_xlpm.total_spend/_xlpm.nbr_days,
_xlpm.one_day_spend*7)</f>
        <v>#DIV/0!</v>
      </c>
      <c r="L5" s="224">
        <f>_xlfn.LET(_xlpm.end_date,MAX(Raw!$H$3:$H$9149),
_xlpm.start_date,_xlpm.end_date-30,
SUMIFS(Raw!$F$3:$F$9149,Raw!$H$3:$H$9149,"&gt;="&amp;_xlpm.start_date,Raw!$D$3:$D$9149,'Ref Data'!$B5)/30)</f>
        <v>0</v>
      </c>
      <c r="M5" s="224" t="e">
        <f>_xlfn.LET(_xlpm.end_date,MAX(Raw!$H$3:$H$9149),
_xlpm.start_date,EOMONTH(_xlpm.end_date,-12),
_xlpm.nbr_days,_xlpm.end_date-_xlpm.start_date,
_xlpm.ltm_spend,SUMIFS(Raw!$F$3:$F$9149,Raw!$H$3:$H$9149,"&gt;="&amp;_xlpm.start_date,Raw!$D$3:$D$9149,'Ref Data'!$B5),
_xlpm.one_day_spend,_xlpm.ltm_spend/_xlpm.nbr_days,
_xlpm.one_day_spend)</f>
        <v>#NUM!</v>
      </c>
      <c r="N5" s="224" t="e">
        <f>_xlfn.LET(_xlpm.total_spend,SUMIFS(Raw!$F$3:$F$9149,Raw!$D$3:$D$9149,'Ref Data'!$B5),
_xlpm.start_date,MIN(Raw!$H$3:$H$9149),
_xlpm.end_date,MAX(Raw!$H$3:$H$9149),
_xlpm.nbr_days,_xlpm.end_date-_xlpm.start_date,
_xlpm.one_day_spend,_xlpm.total_spend/_xlpm.nbr_days,
_xlpm.one_day_spend)</f>
        <v>#DIV/0!</v>
      </c>
    </row>
    <row r="6" spans="1:14" x14ac:dyDescent="0.2">
      <c r="A6" s="28" t="s">
        <v>2</v>
      </c>
      <c r="B6" t="s">
        <v>258</v>
      </c>
      <c r="C6" s="224">
        <f ca="1">_xlfn.LET(_xlpm.end_date,MAX(Raw!$H$3:$H$9149),
_xlpm.start_date,_xlpm.end_date-30,
_xlpm.NTM_day_count,EDATE(TODAY(),12)-TODAY(),
_xlpm.total_spend,SUMIFS(Raw!$F$3:$F$9149,Raw!$H$3:$H$9149,"&gt;="&amp;_xlpm.start_date,Raw!$D$3:$D$9149,'Ref Data'!$B6),
_xlpm.one_day_spend,_xlpm.total_spend/30,
_xlpm.one_day_spend*_xlpm.NTM_day_count)</f>
        <v>0</v>
      </c>
      <c r="D6" s="224">
        <f>_xlfn.LET(_xlpm.end_date,MAX(Raw!$H$3:$H$9149),
_xlpm.start_date,EOMONTH(_xlpm.end_date,-12),
_xlpm.nbr_days,_xlpm.end_date-_xlpm.start_date,
_xlpm.ltm_spend,SUMIFS(Raw!$F$3:$F$9149,Raw!$H$3:$H$9149,"&gt;="&amp;_xlpm.start_date,Raw!$D$3:$D$9149,'Ref Data'!$B6),
_xlpm.ltm_spend)</f>
        <v>0</v>
      </c>
      <c r="E6" s="224" t="e">
        <f ca="1">_xlfn.LET(_xlpm.total_spend,SUMIFS(Raw!$F$3:$F$9149,Raw!$D$3:$D$9149,'Ref Data'!$B6),
_xlpm.start_date,MIN(Raw!$H$3:$H$9149),
_xlpm.end_date,MAX(Raw!$H$3:$H$9149),
_xlpm.nbr_days,_xlpm.end_date-_xlpm.start_date,
_xlpm.NTM_day_count,EDATE(TODAY(),12)-TODAY(),
_xlpm.one_day_spend,_xlpm.total_spend/_xlpm.nbr_days,
_xlpm.one_day_spend*_xlpm.NTM_day_count)</f>
        <v>#DIV/0!</v>
      </c>
      <c r="F6" s="224">
        <f>_xlfn.LET(_xlpm.end_date,MAX(Raw!$H$3:$H$9149),
_xlpm.start_date,_xlpm.end_date-30,
SUMIFS(Raw!$F$3:$F$9149,Raw!$H$3:$H$9149,"&gt;="&amp;_xlpm.start_date,Raw!$D$3:$D$9149,'Ref Data'!$B6))</f>
        <v>0</v>
      </c>
      <c r="G6" s="224" t="e">
        <f>_xlfn.LET(_xlpm.end_date,MAX(Raw!$H$3:$H$9149),
_xlpm.start_date,EOMONTH(_xlpm.end_date,-12),
_xlpm.nbr_days,_xlpm.end_date-_xlpm.start_date,
_xlpm.ltm_spend,SUMIFS(Raw!$F$3:$F$9149,Raw!$H$3:$H$9149,"&gt;="&amp;_xlpm.start_date,Raw!$D$3:$D$9149,'Ref Data'!$B6),
_xlpm.one_day_spend,_xlpm.ltm_spend/_xlpm.nbr_days,
_xlpm.one_day_spend*30)</f>
        <v>#NUM!</v>
      </c>
      <c r="H6" s="224" t="e">
        <f>_xlfn.LET(_xlpm.total_spend,SUMIFS(Raw!$F$3:$F$9149,Raw!$D$3:$D$9149,'Ref Data'!$B6),
_xlpm.start_date,MIN(Raw!$H$3:$H$9149),
_xlpm.end_date,MAX(Raw!$H$3:$H$9149),
_xlpm.nbr_days,_xlpm.end_date-_xlpm.start_date,
_xlpm.one_day_spend,_xlpm.total_spend/_xlpm.nbr_days,
_xlpm.one_day_spend*30)</f>
        <v>#DIV/0!</v>
      </c>
      <c r="I6" s="224">
        <f>_xlfn.LET(_xlpm.end_date,MAX(Raw!$H$3:$H$9149),
_xlpm.start_date,_xlpm.end_date-30,
SUMIFS(Raw!$F$3:$F$9149,Raw!$H$3:$H$9149,"&gt;="&amp;_xlpm.start_date,Raw!$D$3:$D$9149,'Ref Data'!$B6)/30*7)</f>
        <v>0</v>
      </c>
      <c r="J6" s="224" t="e">
        <f>_xlfn.LET(_xlpm.end_date,MAX(Raw!$H$3:$H$9149),
_xlpm.start_date,EOMONTH(_xlpm.end_date,-12),
_xlpm.nbr_days,_xlpm.end_date-_xlpm.start_date,
_xlpm.ltm_spend,SUMIFS(Raw!$F$3:$F$9149,Raw!$H$3:$H$9149,"&gt;="&amp;_xlpm.start_date,Raw!$D$3:$D$9149,'Ref Data'!$B6),
_xlpm.one_day_spend,_xlpm.ltm_spend/_xlpm.nbr_days,
_xlpm.one_day_spend*7)</f>
        <v>#NUM!</v>
      </c>
      <c r="K6" s="224" t="e">
        <f>_xlfn.LET(_xlpm.total_spend,SUMIFS(Raw!$F$3:$F$9149,Raw!$D$3:$D$9149,'Ref Data'!$B6),
_xlpm.start_date,MIN(Raw!$H$3:$H$9149),
_xlpm.end_date,MAX(Raw!$H$3:$H$9149),
_xlpm.nbr_days,_xlpm.end_date-_xlpm.start_date,
_xlpm.one_day_spend,_xlpm.total_spend/_xlpm.nbr_days,
_xlpm.one_day_spend*7)</f>
        <v>#DIV/0!</v>
      </c>
      <c r="L6" s="224">
        <f>_xlfn.LET(_xlpm.end_date,MAX(Raw!$H$3:$H$9149),
_xlpm.start_date,_xlpm.end_date-30,
SUMIFS(Raw!$F$3:$F$9149,Raw!$H$3:$H$9149,"&gt;="&amp;_xlpm.start_date,Raw!$D$3:$D$9149,'Ref Data'!$B6)/30)</f>
        <v>0</v>
      </c>
      <c r="M6" s="224" t="e">
        <f>_xlfn.LET(_xlpm.end_date,MAX(Raw!$H$3:$H$9149),
_xlpm.start_date,EOMONTH(_xlpm.end_date,-12),
_xlpm.nbr_days,_xlpm.end_date-_xlpm.start_date,
_xlpm.ltm_spend,SUMIFS(Raw!$F$3:$F$9149,Raw!$H$3:$H$9149,"&gt;="&amp;_xlpm.start_date,Raw!$D$3:$D$9149,'Ref Data'!$B6),
_xlpm.one_day_spend,_xlpm.ltm_spend/_xlpm.nbr_days,
_xlpm.one_day_spend)</f>
        <v>#NUM!</v>
      </c>
      <c r="N6" s="224" t="e">
        <f>_xlfn.LET(_xlpm.total_spend,SUMIFS(Raw!$F$3:$F$9149,Raw!$D$3:$D$9149,'Ref Data'!$B6),
_xlpm.start_date,MIN(Raw!$H$3:$H$9149),
_xlpm.end_date,MAX(Raw!$H$3:$H$9149),
_xlpm.nbr_days,_xlpm.end_date-_xlpm.start_date,
_xlpm.one_day_spend,_xlpm.total_spend/_xlpm.nbr_days,
_xlpm.one_day_spend)</f>
        <v>#DIV/0!</v>
      </c>
    </row>
    <row r="7" spans="1:14" x14ac:dyDescent="0.2">
      <c r="A7" t="s">
        <v>1</v>
      </c>
      <c r="B7" t="s">
        <v>1</v>
      </c>
      <c r="C7" s="224">
        <f ca="1">_xlfn.LET(_xlpm.end_date,MAX(Raw!$H$3:$H$9149),
_xlpm.start_date,_xlpm.end_date-30,
_xlpm.NTM_day_count,EDATE(TODAY(),12)-TODAY(),
_xlpm.total_spend,SUMIFS(Raw!$F$3:$F$9149,Raw!$H$3:$H$9149,"&gt;="&amp;_xlpm.start_date,Raw!$D$3:$D$9149,'Ref Data'!$B7),
_xlpm.one_day_spend,_xlpm.total_spend/30,
_xlpm.one_day_spend*_xlpm.NTM_day_count)</f>
        <v>0</v>
      </c>
      <c r="D7" s="224">
        <f>_xlfn.LET(_xlpm.end_date,MAX(Raw!$H$3:$H$9149),
_xlpm.start_date,EOMONTH(_xlpm.end_date,-12),
_xlpm.nbr_days,_xlpm.end_date-_xlpm.start_date,
_xlpm.ltm_spend,SUMIFS(Raw!$F$3:$F$9149,Raw!$H$3:$H$9149,"&gt;="&amp;_xlpm.start_date,Raw!$D$3:$D$9149,'Ref Data'!$B7),
_xlpm.ltm_spend)</f>
        <v>0</v>
      </c>
      <c r="E7" s="224" t="e">
        <f ca="1">_xlfn.LET(_xlpm.total_spend,SUMIFS(Raw!$F$3:$F$9149,Raw!$D$3:$D$9149,'Ref Data'!$B7),
_xlpm.start_date,MIN(Raw!$H$3:$H$9149),
_xlpm.end_date,MAX(Raw!$H$3:$H$9149),
_xlpm.nbr_days,_xlpm.end_date-_xlpm.start_date,
_xlpm.NTM_day_count,EDATE(TODAY(),12)-TODAY(),
_xlpm.one_day_spend,_xlpm.total_spend/_xlpm.nbr_days,
_xlpm.one_day_spend*_xlpm.NTM_day_count)</f>
        <v>#DIV/0!</v>
      </c>
      <c r="F7" s="224">
        <f>_xlfn.LET(_xlpm.end_date,MAX(Raw!$H$3:$H$9149),
_xlpm.start_date,_xlpm.end_date-30,
SUMIFS(Raw!$F$3:$F$9149,Raw!$H$3:$H$9149,"&gt;="&amp;_xlpm.start_date,Raw!$D$3:$D$9149,'Ref Data'!$B7))</f>
        <v>0</v>
      </c>
      <c r="G7" s="224" t="e">
        <f>_xlfn.LET(_xlpm.end_date,MAX(Raw!$H$3:$H$9149),
_xlpm.start_date,EOMONTH(_xlpm.end_date,-12),
_xlpm.nbr_days,_xlpm.end_date-_xlpm.start_date,
_xlpm.ltm_spend,SUMIFS(Raw!$F$3:$F$9149,Raw!$H$3:$H$9149,"&gt;="&amp;_xlpm.start_date,Raw!$D$3:$D$9149,'Ref Data'!$B7),
_xlpm.one_day_spend,_xlpm.ltm_spend/_xlpm.nbr_days,
_xlpm.one_day_spend*30)</f>
        <v>#NUM!</v>
      </c>
      <c r="H7" s="224" t="e">
        <f>_xlfn.LET(_xlpm.total_spend,SUMIFS(Raw!$F$3:$F$9149,Raw!$D$3:$D$9149,'Ref Data'!$B7),
_xlpm.start_date,MIN(Raw!$H$3:$H$9149),
_xlpm.end_date,MAX(Raw!$H$3:$H$9149),
_xlpm.nbr_days,_xlpm.end_date-_xlpm.start_date,
_xlpm.one_day_spend,_xlpm.total_spend/_xlpm.nbr_days,
_xlpm.one_day_spend*30)</f>
        <v>#DIV/0!</v>
      </c>
      <c r="I7" s="224">
        <f>_xlfn.LET(_xlpm.end_date,MAX(Raw!$H$3:$H$9149),
_xlpm.start_date,_xlpm.end_date-30,
SUMIFS(Raw!$F$3:$F$9149,Raw!$H$3:$H$9149,"&gt;="&amp;_xlpm.start_date,Raw!$D$3:$D$9149,'Ref Data'!$B7)/30*7)</f>
        <v>0</v>
      </c>
      <c r="J7" s="224" t="e">
        <f>_xlfn.LET(_xlpm.end_date,MAX(Raw!$H$3:$H$9149),
_xlpm.start_date,EOMONTH(_xlpm.end_date,-12),
_xlpm.nbr_days,_xlpm.end_date-_xlpm.start_date,
_xlpm.ltm_spend,SUMIFS(Raw!$F$3:$F$9149,Raw!$H$3:$H$9149,"&gt;="&amp;_xlpm.start_date,Raw!$D$3:$D$9149,'Ref Data'!$B7),
_xlpm.one_day_spend,_xlpm.ltm_spend/_xlpm.nbr_days,
_xlpm.one_day_spend*7)</f>
        <v>#NUM!</v>
      </c>
      <c r="K7" s="224" t="e">
        <f>_xlfn.LET(_xlpm.total_spend,SUMIFS(Raw!$F$3:$F$9149,Raw!$D$3:$D$9149,'Ref Data'!$B7),
_xlpm.start_date,MIN(Raw!$H$3:$H$9149),
_xlpm.end_date,MAX(Raw!$H$3:$H$9149),
_xlpm.nbr_days,_xlpm.end_date-_xlpm.start_date,
_xlpm.one_day_spend,_xlpm.total_spend/_xlpm.nbr_days,
_xlpm.one_day_spend*7)</f>
        <v>#DIV/0!</v>
      </c>
      <c r="L7" s="224">
        <f>_xlfn.LET(_xlpm.end_date,MAX(Raw!$H$3:$H$9149),
_xlpm.start_date,_xlpm.end_date-30,
SUMIFS(Raw!$F$3:$F$9149,Raw!$H$3:$H$9149,"&gt;="&amp;_xlpm.start_date,Raw!$D$3:$D$9149,'Ref Data'!$B7)/30)</f>
        <v>0</v>
      </c>
      <c r="M7" s="224" t="e">
        <f>_xlfn.LET(_xlpm.end_date,MAX(Raw!$H$3:$H$9149),
_xlpm.start_date,EOMONTH(_xlpm.end_date,-12),
_xlpm.nbr_days,_xlpm.end_date-_xlpm.start_date,
_xlpm.ltm_spend,SUMIFS(Raw!$F$3:$F$9149,Raw!$H$3:$H$9149,"&gt;="&amp;_xlpm.start_date,Raw!$D$3:$D$9149,'Ref Data'!$B7),
_xlpm.one_day_spend,_xlpm.ltm_spend/_xlpm.nbr_days,
_xlpm.one_day_spend)</f>
        <v>#NUM!</v>
      </c>
      <c r="N7" s="224" t="e">
        <f>_xlfn.LET(_xlpm.total_spend,SUMIFS(Raw!$F$3:$F$9149,Raw!$D$3:$D$9149,'Ref Data'!$B7),
_xlpm.start_date,MIN(Raw!$H$3:$H$9149),
_xlpm.end_date,MAX(Raw!$H$3:$H$9149),
_xlpm.nbr_days,_xlpm.end_date-_xlpm.start_date,
_xlpm.one_day_spend,_xlpm.total_spend/_xlpm.nbr_days,
_xlpm.one_day_spend)</f>
        <v>#DIV/0!</v>
      </c>
    </row>
    <row r="8" spans="1:14" x14ac:dyDescent="0.2">
      <c r="A8" s="28" t="s">
        <v>290</v>
      </c>
      <c r="B8" t="s">
        <v>265</v>
      </c>
      <c r="C8" s="224">
        <f ca="1">_xlfn.LET(_xlpm.end_date,MAX(Raw!$H$3:$H$9149),
_xlpm.start_date,_xlpm.end_date-30,
_xlpm.NTM_day_count,EDATE(TODAY(),12)-TODAY(),
_xlpm.total_spend,SUMIFS(Raw!$F$3:$F$9149,Raw!$H$3:$H$9149,"&gt;="&amp;_xlpm.start_date,Raw!$D$3:$D$9149,'Ref Data'!$B8),
_xlpm.one_day_spend,_xlpm.total_spend/30,
_xlpm.one_day_spend*_xlpm.NTM_day_count)</f>
        <v>0</v>
      </c>
      <c r="D8" s="224">
        <f>_xlfn.LET(_xlpm.end_date,MAX(Raw!$H$3:$H$9149),
_xlpm.start_date,EOMONTH(_xlpm.end_date,-12),
_xlpm.nbr_days,_xlpm.end_date-_xlpm.start_date,
_xlpm.ltm_spend,SUMIFS(Raw!$F$3:$F$9149,Raw!$H$3:$H$9149,"&gt;="&amp;_xlpm.start_date,Raw!$D$3:$D$9149,'Ref Data'!$B8),
_xlpm.ltm_spend)</f>
        <v>0</v>
      </c>
      <c r="E8" s="224" t="e">
        <f ca="1">_xlfn.LET(_xlpm.total_spend,SUMIFS(Raw!$F$3:$F$9149,Raw!$D$3:$D$9149,'Ref Data'!$B8),
_xlpm.start_date,MIN(Raw!$H$3:$H$9149),
_xlpm.end_date,MAX(Raw!$H$3:$H$9149),
_xlpm.nbr_days,_xlpm.end_date-_xlpm.start_date,
_xlpm.NTM_day_count,EDATE(TODAY(),12)-TODAY(),
_xlpm.one_day_spend,_xlpm.total_spend/_xlpm.nbr_days,
_xlpm.one_day_spend*_xlpm.NTM_day_count)</f>
        <v>#DIV/0!</v>
      </c>
      <c r="F8" s="224">
        <f>_xlfn.LET(_xlpm.end_date,MAX(Raw!$H$3:$H$9149),
_xlpm.start_date,_xlpm.end_date-30,
SUMIFS(Raw!$F$3:$F$9149,Raw!$H$3:$H$9149,"&gt;="&amp;_xlpm.start_date,Raw!$D$3:$D$9149,'Ref Data'!$B8))</f>
        <v>0</v>
      </c>
      <c r="G8" s="224" t="e">
        <f>_xlfn.LET(_xlpm.end_date,MAX(Raw!$H$3:$H$9149),
_xlpm.start_date,EOMONTH(_xlpm.end_date,-12),
_xlpm.nbr_days,_xlpm.end_date-_xlpm.start_date,
_xlpm.ltm_spend,SUMIFS(Raw!$F$3:$F$9149,Raw!$H$3:$H$9149,"&gt;="&amp;_xlpm.start_date,Raw!$D$3:$D$9149,'Ref Data'!$B8),
_xlpm.one_day_spend,_xlpm.ltm_spend/_xlpm.nbr_days,
_xlpm.one_day_spend*30)</f>
        <v>#NUM!</v>
      </c>
      <c r="H8" s="224" t="e">
        <f>_xlfn.LET(_xlpm.total_spend,SUMIFS(Raw!$F$3:$F$9149,Raw!$D$3:$D$9149,'Ref Data'!$B8),
_xlpm.start_date,MIN(Raw!$H$3:$H$9149),
_xlpm.end_date,MAX(Raw!$H$3:$H$9149),
_xlpm.nbr_days,_xlpm.end_date-_xlpm.start_date,
_xlpm.one_day_spend,_xlpm.total_spend/_xlpm.nbr_days,
_xlpm.one_day_spend*30)</f>
        <v>#DIV/0!</v>
      </c>
      <c r="I8" s="224">
        <f>_xlfn.LET(_xlpm.end_date,MAX(Raw!$H$3:$H$9149),
_xlpm.start_date,_xlpm.end_date-30,
SUMIFS(Raw!$F$3:$F$9149,Raw!$H$3:$H$9149,"&gt;="&amp;_xlpm.start_date,Raw!$D$3:$D$9149,'Ref Data'!$B8)/30*7)</f>
        <v>0</v>
      </c>
      <c r="J8" s="224" t="e">
        <f>_xlfn.LET(_xlpm.end_date,MAX(Raw!$H$3:$H$9149),
_xlpm.start_date,EOMONTH(_xlpm.end_date,-12),
_xlpm.nbr_days,_xlpm.end_date-_xlpm.start_date,
_xlpm.ltm_spend,SUMIFS(Raw!$F$3:$F$9149,Raw!$H$3:$H$9149,"&gt;="&amp;_xlpm.start_date,Raw!$D$3:$D$9149,'Ref Data'!$B8),
_xlpm.one_day_spend,_xlpm.ltm_spend/_xlpm.nbr_days,
_xlpm.one_day_spend*7)</f>
        <v>#NUM!</v>
      </c>
      <c r="K8" s="224" t="e">
        <f>_xlfn.LET(_xlpm.total_spend,SUMIFS(Raw!$F$3:$F$9149,Raw!$D$3:$D$9149,'Ref Data'!$B8),
_xlpm.start_date,MIN(Raw!$H$3:$H$9149),
_xlpm.end_date,MAX(Raw!$H$3:$H$9149),
_xlpm.nbr_days,_xlpm.end_date-_xlpm.start_date,
_xlpm.one_day_spend,_xlpm.total_spend/_xlpm.nbr_days,
_xlpm.one_day_spend*7)</f>
        <v>#DIV/0!</v>
      </c>
      <c r="L8" s="224">
        <f>_xlfn.LET(_xlpm.end_date,MAX(Raw!$H$3:$H$9149),
_xlpm.start_date,_xlpm.end_date-30,
SUMIFS(Raw!$F$3:$F$9149,Raw!$H$3:$H$9149,"&gt;="&amp;_xlpm.start_date,Raw!$D$3:$D$9149,'Ref Data'!$B8)/30)</f>
        <v>0</v>
      </c>
      <c r="M8" s="224" t="e">
        <f>_xlfn.LET(_xlpm.end_date,MAX(Raw!$H$3:$H$9149),
_xlpm.start_date,EOMONTH(_xlpm.end_date,-12),
_xlpm.nbr_days,_xlpm.end_date-_xlpm.start_date,
_xlpm.ltm_spend,SUMIFS(Raw!$F$3:$F$9149,Raw!$H$3:$H$9149,"&gt;="&amp;_xlpm.start_date,Raw!$D$3:$D$9149,'Ref Data'!$B8),
_xlpm.one_day_spend,_xlpm.ltm_spend/_xlpm.nbr_days,
_xlpm.one_day_spend)</f>
        <v>#NUM!</v>
      </c>
      <c r="N8" s="224" t="e">
        <f>_xlfn.LET(_xlpm.total_spend,SUMIFS(Raw!$F$3:$F$9149,Raw!$D$3:$D$9149,'Ref Data'!$B8),
_xlpm.start_date,MIN(Raw!$H$3:$H$9149),
_xlpm.end_date,MAX(Raw!$H$3:$H$9149),
_xlpm.nbr_days,_xlpm.end_date-_xlpm.start_date,
_xlpm.one_day_spend,_xlpm.total_spend/_xlpm.nbr_days,
_xlpm.one_day_spend)</f>
        <v>#DIV/0!</v>
      </c>
    </row>
    <row r="9" spans="1:14" x14ac:dyDescent="0.2">
      <c r="A9" s="28" t="s">
        <v>290</v>
      </c>
      <c r="B9" t="s">
        <v>274</v>
      </c>
      <c r="C9" s="224">
        <f ca="1">_xlfn.LET(_xlpm.end_date,MAX(Raw!$H$3:$H$9149),
_xlpm.start_date,_xlpm.end_date-30,
_xlpm.NTM_day_count,EDATE(TODAY(),12)-TODAY(),
_xlpm.total_spend,SUMIFS(Raw!$F$3:$F$9149,Raw!$H$3:$H$9149,"&gt;="&amp;_xlpm.start_date,Raw!$D$3:$D$9149,'Ref Data'!$B9),
_xlpm.one_day_spend,_xlpm.total_spend/30,
_xlpm.one_day_spend*_xlpm.NTM_day_count)</f>
        <v>0</v>
      </c>
      <c r="D9" s="224">
        <f>_xlfn.LET(_xlpm.end_date,MAX(Raw!$H$3:$H$9149),
_xlpm.start_date,EOMONTH(_xlpm.end_date,-12),
_xlpm.nbr_days,_xlpm.end_date-_xlpm.start_date,
_xlpm.ltm_spend,SUMIFS(Raw!$F$3:$F$9149,Raw!$H$3:$H$9149,"&gt;="&amp;_xlpm.start_date,Raw!$D$3:$D$9149,'Ref Data'!$B9),
_xlpm.ltm_spend)</f>
        <v>0</v>
      </c>
      <c r="E9" s="224" t="e">
        <f ca="1">_xlfn.LET(_xlpm.total_spend,SUMIFS(Raw!$F$3:$F$9149,Raw!$D$3:$D$9149,'Ref Data'!$B9),
_xlpm.start_date,MIN(Raw!$H$3:$H$9149),
_xlpm.end_date,MAX(Raw!$H$3:$H$9149),
_xlpm.nbr_days,_xlpm.end_date-_xlpm.start_date,
_xlpm.NTM_day_count,EDATE(TODAY(),12)-TODAY(),
_xlpm.one_day_spend,_xlpm.total_spend/_xlpm.nbr_days,
_xlpm.one_day_spend*_xlpm.NTM_day_count)</f>
        <v>#DIV/0!</v>
      </c>
      <c r="F9" s="224">
        <f>_xlfn.LET(_xlpm.end_date,MAX(Raw!$H$3:$H$9149),
_xlpm.start_date,_xlpm.end_date-30,
SUMIFS(Raw!$F$3:$F$9149,Raw!$H$3:$H$9149,"&gt;="&amp;_xlpm.start_date,Raw!$D$3:$D$9149,'Ref Data'!$B9))</f>
        <v>0</v>
      </c>
      <c r="G9" s="224" t="e">
        <f>_xlfn.LET(_xlpm.end_date,MAX(Raw!$H$3:$H$9149),
_xlpm.start_date,EOMONTH(_xlpm.end_date,-12),
_xlpm.nbr_days,_xlpm.end_date-_xlpm.start_date,
_xlpm.ltm_spend,SUMIFS(Raw!$F$3:$F$9149,Raw!$H$3:$H$9149,"&gt;="&amp;_xlpm.start_date,Raw!$D$3:$D$9149,'Ref Data'!$B9),
_xlpm.one_day_spend,_xlpm.ltm_spend/_xlpm.nbr_days,
_xlpm.one_day_spend*30)</f>
        <v>#NUM!</v>
      </c>
      <c r="H9" s="224" t="e">
        <f>_xlfn.LET(_xlpm.total_spend,SUMIFS(Raw!$F$3:$F$9149,Raw!$D$3:$D$9149,'Ref Data'!$B9),
_xlpm.start_date,MIN(Raw!$H$3:$H$9149),
_xlpm.end_date,MAX(Raw!$H$3:$H$9149),
_xlpm.nbr_days,_xlpm.end_date-_xlpm.start_date,
_xlpm.one_day_spend,_xlpm.total_spend/_xlpm.nbr_days,
_xlpm.one_day_spend*30)</f>
        <v>#DIV/0!</v>
      </c>
      <c r="I9" s="224">
        <f>_xlfn.LET(_xlpm.end_date,MAX(Raw!$H$3:$H$9149),
_xlpm.start_date,_xlpm.end_date-30,
SUMIFS(Raw!$F$3:$F$9149,Raw!$H$3:$H$9149,"&gt;="&amp;_xlpm.start_date,Raw!$D$3:$D$9149,'Ref Data'!$B9)/30*7)</f>
        <v>0</v>
      </c>
      <c r="J9" s="224" t="e">
        <f>_xlfn.LET(_xlpm.end_date,MAX(Raw!$H$3:$H$9149),
_xlpm.start_date,EOMONTH(_xlpm.end_date,-12),
_xlpm.nbr_days,_xlpm.end_date-_xlpm.start_date,
_xlpm.ltm_spend,SUMIFS(Raw!$F$3:$F$9149,Raw!$H$3:$H$9149,"&gt;="&amp;_xlpm.start_date,Raw!$D$3:$D$9149,'Ref Data'!$B9),
_xlpm.one_day_spend,_xlpm.ltm_spend/_xlpm.nbr_days,
_xlpm.one_day_spend*7)</f>
        <v>#NUM!</v>
      </c>
      <c r="K9" s="224" t="e">
        <f>_xlfn.LET(_xlpm.total_spend,SUMIFS(Raw!$F$3:$F$9149,Raw!$D$3:$D$9149,'Ref Data'!$B9),
_xlpm.start_date,MIN(Raw!$H$3:$H$9149),
_xlpm.end_date,MAX(Raw!$H$3:$H$9149),
_xlpm.nbr_days,_xlpm.end_date-_xlpm.start_date,
_xlpm.one_day_spend,_xlpm.total_spend/_xlpm.nbr_days,
_xlpm.one_day_spend*7)</f>
        <v>#DIV/0!</v>
      </c>
      <c r="L9" s="224">
        <f>_xlfn.LET(_xlpm.end_date,MAX(Raw!$H$3:$H$9149),
_xlpm.start_date,_xlpm.end_date-30,
SUMIFS(Raw!$F$3:$F$9149,Raw!$H$3:$H$9149,"&gt;="&amp;_xlpm.start_date,Raw!$D$3:$D$9149,'Ref Data'!$B9)/30)</f>
        <v>0</v>
      </c>
      <c r="M9" s="224" t="e">
        <f>_xlfn.LET(_xlpm.end_date,MAX(Raw!$H$3:$H$9149),
_xlpm.start_date,EOMONTH(_xlpm.end_date,-12),
_xlpm.nbr_days,_xlpm.end_date-_xlpm.start_date,
_xlpm.ltm_spend,SUMIFS(Raw!$F$3:$F$9149,Raw!$H$3:$H$9149,"&gt;="&amp;_xlpm.start_date,Raw!$D$3:$D$9149,'Ref Data'!$B9),
_xlpm.one_day_spend,_xlpm.ltm_spend/_xlpm.nbr_days,
_xlpm.one_day_spend)</f>
        <v>#NUM!</v>
      </c>
      <c r="N9" s="224" t="e">
        <f>_xlfn.LET(_xlpm.total_spend,SUMIFS(Raw!$F$3:$F$9149,Raw!$D$3:$D$9149,'Ref Data'!$B9),
_xlpm.start_date,MIN(Raw!$H$3:$H$9149),
_xlpm.end_date,MAX(Raw!$H$3:$H$9149),
_xlpm.nbr_days,_xlpm.end_date-_xlpm.start_date,
_xlpm.one_day_spend,_xlpm.total_spend/_xlpm.nbr_days,
_xlpm.one_day_spend)</f>
        <v>#DIV/0!</v>
      </c>
    </row>
    <row r="10" spans="1:14" x14ac:dyDescent="0.2">
      <c r="A10" s="28" t="s">
        <v>290</v>
      </c>
      <c r="B10" t="s">
        <v>279</v>
      </c>
      <c r="C10" s="224">
        <f ca="1">_xlfn.LET(_xlpm.end_date,MAX(Raw!$H$3:$H$9149),
_xlpm.start_date,_xlpm.end_date-30,
_xlpm.NTM_day_count,EDATE(TODAY(),12)-TODAY(),
_xlpm.total_spend,SUMIFS(Raw!$F$3:$F$9149,Raw!$H$3:$H$9149,"&gt;="&amp;_xlpm.start_date,Raw!$D$3:$D$9149,'Ref Data'!$B10),
_xlpm.one_day_spend,_xlpm.total_spend/30,
_xlpm.one_day_spend*_xlpm.NTM_day_count)</f>
        <v>0</v>
      </c>
      <c r="D10" s="224">
        <f>_xlfn.LET(_xlpm.end_date,MAX(Raw!$H$3:$H$9149),
_xlpm.start_date,EOMONTH(_xlpm.end_date,-12),
_xlpm.nbr_days,_xlpm.end_date-_xlpm.start_date,
_xlpm.ltm_spend,SUMIFS(Raw!$F$3:$F$9149,Raw!$H$3:$H$9149,"&gt;="&amp;_xlpm.start_date,Raw!$D$3:$D$9149,'Ref Data'!$B10),
_xlpm.ltm_spend)</f>
        <v>0</v>
      </c>
      <c r="E10" s="224" t="e">
        <f ca="1">_xlfn.LET(_xlpm.total_spend,SUMIFS(Raw!$F$3:$F$9149,Raw!$D$3:$D$9149,'Ref Data'!$B10),
_xlpm.start_date,MIN(Raw!$H$3:$H$9149),
_xlpm.end_date,MAX(Raw!$H$3:$H$9149),
_xlpm.nbr_days,_xlpm.end_date-_xlpm.start_date,
_xlpm.NTM_day_count,EDATE(TODAY(),12)-TODAY(),
_xlpm.one_day_spend,_xlpm.total_spend/_xlpm.nbr_days,
_xlpm.one_day_spend*_xlpm.NTM_day_count)</f>
        <v>#DIV/0!</v>
      </c>
      <c r="F10" s="224">
        <f>_xlfn.LET(_xlpm.end_date,MAX(Raw!$H$3:$H$9149),
_xlpm.start_date,_xlpm.end_date-30,
SUMIFS(Raw!$F$3:$F$9149,Raw!$H$3:$H$9149,"&gt;="&amp;_xlpm.start_date,Raw!$D$3:$D$9149,'Ref Data'!$B10))</f>
        <v>0</v>
      </c>
      <c r="G10" s="224" t="e">
        <f>_xlfn.LET(_xlpm.end_date,MAX(Raw!$H$3:$H$9149),
_xlpm.start_date,EOMONTH(_xlpm.end_date,-12),
_xlpm.nbr_days,_xlpm.end_date-_xlpm.start_date,
_xlpm.ltm_spend,SUMIFS(Raw!$F$3:$F$9149,Raw!$H$3:$H$9149,"&gt;="&amp;_xlpm.start_date,Raw!$D$3:$D$9149,'Ref Data'!$B10),
_xlpm.one_day_spend,_xlpm.ltm_spend/_xlpm.nbr_days,
_xlpm.one_day_spend*30)</f>
        <v>#NUM!</v>
      </c>
      <c r="H10" s="224" t="e">
        <f>_xlfn.LET(_xlpm.total_spend,SUMIFS(Raw!$F$3:$F$9149,Raw!$D$3:$D$9149,'Ref Data'!$B10),
_xlpm.start_date,MIN(Raw!$H$3:$H$9149),
_xlpm.end_date,MAX(Raw!$H$3:$H$9149),
_xlpm.nbr_days,_xlpm.end_date-_xlpm.start_date,
_xlpm.one_day_spend,_xlpm.total_spend/_xlpm.nbr_days,
_xlpm.one_day_spend*30)</f>
        <v>#DIV/0!</v>
      </c>
      <c r="I10" s="224">
        <f>_xlfn.LET(_xlpm.end_date,MAX(Raw!$H$3:$H$9149),
_xlpm.start_date,_xlpm.end_date-30,
SUMIFS(Raw!$F$3:$F$9149,Raw!$H$3:$H$9149,"&gt;="&amp;_xlpm.start_date,Raw!$D$3:$D$9149,'Ref Data'!$B10)/30*7)</f>
        <v>0</v>
      </c>
      <c r="J10" s="224" t="e">
        <f>_xlfn.LET(_xlpm.end_date,MAX(Raw!$H$3:$H$9149),
_xlpm.start_date,EOMONTH(_xlpm.end_date,-12),
_xlpm.nbr_days,_xlpm.end_date-_xlpm.start_date,
_xlpm.ltm_spend,SUMIFS(Raw!$F$3:$F$9149,Raw!$H$3:$H$9149,"&gt;="&amp;_xlpm.start_date,Raw!$D$3:$D$9149,'Ref Data'!$B10),
_xlpm.one_day_spend,_xlpm.ltm_spend/_xlpm.nbr_days,
_xlpm.one_day_spend*7)</f>
        <v>#NUM!</v>
      </c>
      <c r="K10" s="224" t="e">
        <f>_xlfn.LET(_xlpm.total_spend,SUMIFS(Raw!$F$3:$F$9149,Raw!$D$3:$D$9149,'Ref Data'!$B10),
_xlpm.start_date,MIN(Raw!$H$3:$H$9149),
_xlpm.end_date,MAX(Raw!$H$3:$H$9149),
_xlpm.nbr_days,_xlpm.end_date-_xlpm.start_date,
_xlpm.one_day_spend,_xlpm.total_spend/_xlpm.nbr_days,
_xlpm.one_day_spend*7)</f>
        <v>#DIV/0!</v>
      </c>
      <c r="L10" s="224">
        <f>_xlfn.LET(_xlpm.end_date,MAX(Raw!$H$3:$H$9149),
_xlpm.start_date,_xlpm.end_date-30,
SUMIFS(Raw!$F$3:$F$9149,Raw!$H$3:$H$9149,"&gt;="&amp;_xlpm.start_date,Raw!$D$3:$D$9149,'Ref Data'!$B10)/30)</f>
        <v>0</v>
      </c>
      <c r="M10" s="224" t="e">
        <f>_xlfn.LET(_xlpm.end_date,MAX(Raw!$H$3:$H$9149),
_xlpm.start_date,EOMONTH(_xlpm.end_date,-12),
_xlpm.nbr_days,_xlpm.end_date-_xlpm.start_date,
_xlpm.ltm_spend,SUMIFS(Raw!$F$3:$F$9149,Raw!$H$3:$H$9149,"&gt;="&amp;_xlpm.start_date,Raw!$D$3:$D$9149,'Ref Data'!$B10),
_xlpm.one_day_spend,_xlpm.ltm_spend/_xlpm.nbr_days,
_xlpm.one_day_spend)</f>
        <v>#NUM!</v>
      </c>
      <c r="N10" s="224" t="e">
        <f>_xlfn.LET(_xlpm.total_spend,SUMIFS(Raw!$F$3:$F$9149,Raw!$D$3:$D$9149,'Ref Data'!$B10),
_xlpm.start_date,MIN(Raw!$H$3:$H$9149),
_xlpm.end_date,MAX(Raw!$H$3:$H$9149),
_xlpm.nbr_days,_xlpm.end_date-_xlpm.start_date,
_xlpm.one_day_spend,_xlpm.total_spend/_xlpm.nbr_days,
_xlpm.one_day_spend)</f>
        <v>#DIV/0!</v>
      </c>
    </row>
    <row r="11" spans="1:14" x14ac:dyDescent="0.2">
      <c r="A11" s="28" t="s">
        <v>32</v>
      </c>
      <c r="B11" t="s">
        <v>269</v>
      </c>
      <c r="C11" s="224">
        <f ca="1">_xlfn.LET(_xlpm.end_date,MAX(Raw!$H$3:$H$9149),
_xlpm.start_date,_xlpm.end_date-30,
_xlpm.NTM_day_count,EDATE(TODAY(),12)-TODAY(),
_xlpm.total_spend,SUMIFS(Raw!$F$3:$F$9149,Raw!$H$3:$H$9149,"&gt;="&amp;_xlpm.start_date,Raw!$D$3:$D$9149,'Ref Data'!$B11),
_xlpm.one_day_spend,_xlpm.total_spend/30,
_xlpm.one_day_spend*_xlpm.NTM_day_count)</f>
        <v>0</v>
      </c>
      <c r="D11" s="224">
        <f>_xlfn.LET(_xlpm.end_date,MAX(Raw!$H$3:$H$9149),
_xlpm.start_date,EOMONTH(_xlpm.end_date,-12),
_xlpm.nbr_days,_xlpm.end_date-_xlpm.start_date,
_xlpm.ltm_spend,SUMIFS(Raw!$F$3:$F$9149,Raw!$H$3:$H$9149,"&gt;="&amp;_xlpm.start_date,Raw!$D$3:$D$9149,'Ref Data'!$B11),
_xlpm.ltm_spend)</f>
        <v>0</v>
      </c>
      <c r="E11" s="224" t="e">
        <f ca="1">_xlfn.LET(_xlpm.total_spend,SUMIFS(Raw!$F$3:$F$9149,Raw!$D$3:$D$9149,'Ref Data'!$B11),
_xlpm.start_date,MIN(Raw!$H$3:$H$9149),
_xlpm.end_date,MAX(Raw!$H$3:$H$9149),
_xlpm.nbr_days,_xlpm.end_date-_xlpm.start_date,
_xlpm.NTM_day_count,EDATE(TODAY(),12)-TODAY(),
_xlpm.one_day_spend,_xlpm.total_spend/_xlpm.nbr_days,
_xlpm.one_day_spend*_xlpm.NTM_day_count)</f>
        <v>#DIV/0!</v>
      </c>
      <c r="F11" s="224">
        <f>_xlfn.LET(_xlpm.end_date,MAX(Raw!$H$3:$H$9149),
_xlpm.start_date,_xlpm.end_date-30,
SUMIFS(Raw!$F$3:$F$9149,Raw!$H$3:$H$9149,"&gt;="&amp;_xlpm.start_date,Raw!$D$3:$D$9149,'Ref Data'!$B11))</f>
        <v>0</v>
      </c>
      <c r="G11" s="224" t="e">
        <f>_xlfn.LET(_xlpm.end_date,MAX(Raw!$H$3:$H$9149),
_xlpm.start_date,EOMONTH(_xlpm.end_date,-12),
_xlpm.nbr_days,_xlpm.end_date-_xlpm.start_date,
_xlpm.ltm_spend,SUMIFS(Raw!$F$3:$F$9149,Raw!$H$3:$H$9149,"&gt;="&amp;_xlpm.start_date,Raw!$D$3:$D$9149,'Ref Data'!$B11),
_xlpm.one_day_spend,_xlpm.ltm_spend/_xlpm.nbr_days,
_xlpm.one_day_spend*30)</f>
        <v>#NUM!</v>
      </c>
      <c r="H11" s="224" t="e">
        <f>_xlfn.LET(_xlpm.total_spend,SUMIFS(Raw!$F$3:$F$9149,Raw!$D$3:$D$9149,'Ref Data'!$B11),
_xlpm.start_date,MIN(Raw!$H$3:$H$9149),
_xlpm.end_date,MAX(Raw!$H$3:$H$9149),
_xlpm.nbr_days,_xlpm.end_date-_xlpm.start_date,
_xlpm.one_day_spend,_xlpm.total_spend/_xlpm.nbr_days,
_xlpm.one_day_spend*30)</f>
        <v>#DIV/0!</v>
      </c>
      <c r="I11" s="224">
        <f>_xlfn.LET(_xlpm.end_date,MAX(Raw!$H$3:$H$9149),
_xlpm.start_date,_xlpm.end_date-30,
SUMIFS(Raw!$F$3:$F$9149,Raw!$H$3:$H$9149,"&gt;="&amp;_xlpm.start_date,Raw!$D$3:$D$9149,'Ref Data'!$B11)/30*7)</f>
        <v>0</v>
      </c>
      <c r="J11" s="224" t="e">
        <f>_xlfn.LET(_xlpm.end_date,MAX(Raw!$H$3:$H$9149),
_xlpm.start_date,EOMONTH(_xlpm.end_date,-12),
_xlpm.nbr_days,_xlpm.end_date-_xlpm.start_date,
_xlpm.ltm_spend,SUMIFS(Raw!$F$3:$F$9149,Raw!$H$3:$H$9149,"&gt;="&amp;_xlpm.start_date,Raw!$D$3:$D$9149,'Ref Data'!$B11),
_xlpm.one_day_spend,_xlpm.ltm_spend/_xlpm.nbr_days,
_xlpm.one_day_spend*7)</f>
        <v>#NUM!</v>
      </c>
      <c r="K11" s="224" t="e">
        <f>_xlfn.LET(_xlpm.total_spend,SUMIFS(Raw!$F$3:$F$9149,Raw!$D$3:$D$9149,'Ref Data'!$B11),
_xlpm.start_date,MIN(Raw!$H$3:$H$9149),
_xlpm.end_date,MAX(Raw!$H$3:$H$9149),
_xlpm.nbr_days,_xlpm.end_date-_xlpm.start_date,
_xlpm.one_day_spend,_xlpm.total_spend/_xlpm.nbr_days,
_xlpm.one_day_spend*7)</f>
        <v>#DIV/0!</v>
      </c>
      <c r="L11" s="224">
        <f>_xlfn.LET(_xlpm.end_date,MAX(Raw!$H$3:$H$9149),
_xlpm.start_date,_xlpm.end_date-30,
SUMIFS(Raw!$F$3:$F$9149,Raw!$H$3:$H$9149,"&gt;="&amp;_xlpm.start_date,Raw!$D$3:$D$9149,'Ref Data'!$B11)/30)</f>
        <v>0</v>
      </c>
      <c r="M11" s="224" t="e">
        <f>_xlfn.LET(_xlpm.end_date,MAX(Raw!$H$3:$H$9149),
_xlpm.start_date,EOMONTH(_xlpm.end_date,-12),
_xlpm.nbr_days,_xlpm.end_date-_xlpm.start_date,
_xlpm.ltm_spend,SUMIFS(Raw!$F$3:$F$9149,Raw!$H$3:$H$9149,"&gt;="&amp;_xlpm.start_date,Raw!$D$3:$D$9149,'Ref Data'!$B11),
_xlpm.one_day_spend,_xlpm.ltm_spend/_xlpm.nbr_days,
_xlpm.one_day_spend)</f>
        <v>#NUM!</v>
      </c>
      <c r="N11" s="224" t="e">
        <f>_xlfn.LET(_xlpm.total_spend,SUMIFS(Raw!$F$3:$F$9149,Raw!$D$3:$D$9149,'Ref Data'!$B11),
_xlpm.start_date,MIN(Raw!$H$3:$H$9149),
_xlpm.end_date,MAX(Raw!$H$3:$H$9149),
_xlpm.nbr_days,_xlpm.end_date-_xlpm.start_date,
_xlpm.one_day_spend,_xlpm.total_spend/_xlpm.nbr_days,
_xlpm.one_day_spend)</f>
        <v>#DIV/0!</v>
      </c>
    </row>
    <row r="12" spans="1:14" x14ac:dyDescent="0.2">
      <c r="A12" s="28" t="s">
        <v>32</v>
      </c>
      <c r="B12" t="s">
        <v>0</v>
      </c>
      <c r="C12" s="224">
        <f ca="1">_xlfn.LET(_xlpm.end_date,MAX(Raw!$H$3:$H$9149),
_xlpm.start_date,_xlpm.end_date-30,
_xlpm.NTM_day_count,EDATE(TODAY(),12)-TODAY(),
_xlpm.total_spend,SUMIFS(Raw!$F$3:$F$9149,Raw!$H$3:$H$9149,"&gt;="&amp;_xlpm.start_date,Raw!$D$3:$D$9149,'Ref Data'!$B12),
_xlpm.one_day_spend,_xlpm.total_spend/30,
_xlpm.one_day_spend*_xlpm.NTM_day_count)</f>
        <v>0</v>
      </c>
      <c r="D12" s="224">
        <f>_xlfn.LET(_xlpm.end_date,MAX(Raw!$H$3:$H$9149),
_xlpm.start_date,EOMONTH(_xlpm.end_date,-12),
_xlpm.nbr_days,_xlpm.end_date-_xlpm.start_date,
_xlpm.ltm_spend,SUMIFS(Raw!$F$3:$F$9149,Raw!$H$3:$H$9149,"&gt;="&amp;_xlpm.start_date,Raw!$D$3:$D$9149,'Ref Data'!$B12),
_xlpm.ltm_spend)</f>
        <v>0</v>
      </c>
      <c r="E12" s="224" t="e">
        <f ca="1">_xlfn.LET(_xlpm.total_spend,SUMIFS(Raw!$F$3:$F$9149,Raw!$D$3:$D$9149,'Ref Data'!$B12),
_xlpm.start_date,MIN(Raw!$H$3:$H$9149),
_xlpm.end_date,MAX(Raw!$H$3:$H$9149),
_xlpm.nbr_days,_xlpm.end_date-_xlpm.start_date,
_xlpm.NTM_day_count,EDATE(TODAY(),12)-TODAY(),
_xlpm.one_day_spend,_xlpm.total_spend/_xlpm.nbr_days,
_xlpm.one_day_spend*_xlpm.NTM_day_count)</f>
        <v>#DIV/0!</v>
      </c>
      <c r="F12" s="224">
        <f>_xlfn.LET(_xlpm.end_date,MAX(Raw!$H$3:$H$9149),
_xlpm.start_date,_xlpm.end_date-30,
SUMIFS(Raw!$F$3:$F$9149,Raw!$H$3:$H$9149,"&gt;="&amp;_xlpm.start_date,Raw!$D$3:$D$9149,'Ref Data'!$B12))</f>
        <v>0</v>
      </c>
      <c r="G12" s="224" t="e">
        <f>_xlfn.LET(_xlpm.end_date,MAX(Raw!$H$3:$H$9149),
_xlpm.start_date,EOMONTH(_xlpm.end_date,-12),
_xlpm.nbr_days,_xlpm.end_date-_xlpm.start_date,
_xlpm.ltm_spend,SUMIFS(Raw!$F$3:$F$9149,Raw!$H$3:$H$9149,"&gt;="&amp;_xlpm.start_date,Raw!$D$3:$D$9149,'Ref Data'!$B12),
_xlpm.one_day_spend,_xlpm.ltm_spend/_xlpm.nbr_days,
_xlpm.one_day_spend*30)</f>
        <v>#NUM!</v>
      </c>
      <c r="H12" s="224" t="e">
        <f>_xlfn.LET(_xlpm.total_spend,SUMIFS(Raw!$F$3:$F$9149,Raw!$D$3:$D$9149,'Ref Data'!$B12),
_xlpm.start_date,MIN(Raw!$H$3:$H$9149),
_xlpm.end_date,MAX(Raw!$H$3:$H$9149),
_xlpm.nbr_days,_xlpm.end_date-_xlpm.start_date,
_xlpm.one_day_spend,_xlpm.total_spend/_xlpm.nbr_days,
_xlpm.one_day_spend*30)</f>
        <v>#DIV/0!</v>
      </c>
      <c r="I12" s="224">
        <f>_xlfn.LET(_xlpm.end_date,MAX(Raw!$H$3:$H$9149),
_xlpm.start_date,_xlpm.end_date-30,
SUMIFS(Raw!$F$3:$F$9149,Raw!$H$3:$H$9149,"&gt;="&amp;_xlpm.start_date,Raw!$D$3:$D$9149,'Ref Data'!$B12)/30*7)</f>
        <v>0</v>
      </c>
      <c r="J12" s="224" t="e">
        <f>_xlfn.LET(_xlpm.end_date,MAX(Raw!$H$3:$H$9149),
_xlpm.start_date,EOMONTH(_xlpm.end_date,-12),
_xlpm.nbr_days,_xlpm.end_date-_xlpm.start_date,
_xlpm.ltm_spend,SUMIFS(Raw!$F$3:$F$9149,Raw!$H$3:$H$9149,"&gt;="&amp;_xlpm.start_date,Raw!$D$3:$D$9149,'Ref Data'!$B12),
_xlpm.one_day_spend,_xlpm.ltm_spend/_xlpm.nbr_days,
_xlpm.one_day_spend*7)</f>
        <v>#NUM!</v>
      </c>
      <c r="K12" s="224" t="e">
        <f>_xlfn.LET(_xlpm.total_spend,SUMIFS(Raw!$F$3:$F$9149,Raw!$D$3:$D$9149,'Ref Data'!$B12),
_xlpm.start_date,MIN(Raw!$H$3:$H$9149),
_xlpm.end_date,MAX(Raw!$H$3:$H$9149),
_xlpm.nbr_days,_xlpm.end_date-_xlpm.start_date,
_xlpm.one_day_spend,_xlpm.total_spend/_xlpm.nbr_days,
_xlpm.one_day_spend*7)</f>
        <v>#DIV/0!</v>
      </c>
      <c r="L12" s="224">
        <f>_xlfn.LET(_xlpm.end_date,MAX(Raw!$H$3:$H$9149),
_xlpm.start_date,_xlpm.end_date-30,
SUMIFS(Raw!$F$3:$F$9149,Raw!$H$3:$H$9149,"&gt;="&amp;_xlpm.start_date,Raw!$D$3:$D$9149,'Ref Data'!$B12)/30)</f>
        <v>0</v>
      </c>
      <c r="M12" s="224" t="e">
        <f>_xlfn.LET(_xlpm.end_date,MAX(Raw!$H$3:$H$9149),
_xlpm.start_date,EOMONTH(_xlpm.end_date,-12),
_xlpm.nbr_days,_xlpm.end_date-_xlpm.start_date,
_xlpm.ltm_spend,SUMIFS(Raw!$F$3:$F$9149,Raw!$H$3:$H$9149,"&gt;="&amp;_xlpm.start_date,Raw!$D$3:$D$9149,'Ref Data'!$B12),
_xlpm.one_day_spend,_xlpm.ltm_spend/_xlpm.nbr_days,
_xlpm.one_day_spend)</f>
        <v>#NUM!</v>
      </c>
      <c r="N12" s="224" t="e">
        <f>_xlfn.LET(_xlpm.total_spend,SUMIFS(Raw!$F$3:$F$9149,Raw!$D$3:$D$9149,'Ref Data'!$B12),
_xlpm.start_date,MIN(Raw!$H$3:$H$9149),
_xlpm.end_date,MAX(Raw!$H$3:$H$9149),
_xlpm.nbr_days,_xlpm.end_date-_xlpm.start_date,
_xlpm.one_day_spend,_xlpm.total_spend/_xlpm.nbr_days,
_xlpm.one_day_spend)</f>
        <v>#DIV/0!</v>
      </c>
    </row>
    <row r="13" spans="1:14" x14ac:dyDescent="0.2">
      <c r="A13" s="28" t="s">
        <v>32</v>
      </c>
      <c r="B13" t="s">
        <v>77</v>
      </c>
      <c r="C13" s="224">
        <f ca="1">_xlfn.LET(_xlpm.end_date,MAX(Raw!$H$3:$H$9149),
_xlpm.start_date,_xlpm.end_date-30,
_xlpm.NTM_day_count,EDATE(TODAY(),12)-TODAY(),
_xlpm.total_spend,SUMIFS(Raw!$F$3:$F$9149,Raw!$H$3:$H$9149,"&gt;="&amp;_xlpm.start_date,Raw!$D$3:$D$9149,'Ref Data'!$B13),
_xlpm.one_day_spend,_xlpm.total_spend/30,
_xlpm.one_day_spend*_xlpm.NTM_day_count)</f>
        <v>0</v>
      </c>
      <c r="D13" s="224">
        <f>_xlfn.LET(_xlpm.end_date,MAX(Raw!$H$3:$H$9149),
_xlpm.start_date,EOMONTH(_xlpm.end_date,-12),
_xlpm.nbr_days,_xlpm.end_date-_xlpm.start_date,
_xlpm.ltm_spend,SUMIFS(Raw!$F$3:$F$9149,Raw!$H$3:$H$9149,"&gt;="&amp;_xlpm.start_date,Raw!$D$3:$D$9149,'Ref Data'!$B13),
_xlpm.ltm_spend)</f>
        <v>0</v>
      </c>
      <c r="E13" s="224" t="e">
        <f ca="1">_xlfn.LET(_xlpm.total_spend,SUMIFS(Raw!$F$3:$F$9149,Raw!$D$3:$D$9149,'Ref Data'!$B13),
_xlpm.start_date,MIN(Raw!$H$3:$H$9149),
_xlpm.end_date,MAX(Raw!$H$3:$H$9149),
_xlpm.nbr_days,_xlpm.end_date-_xlpm.start_date,
_xlpm.NTM_day_count,EDATE(TODAY(),12)-TODAY(),
_xlpm.one_day_spend,_xlpm.total_spend/_xlpm.nbr_days,
_xlpm.one_day_spend*_xlpm.NTM_day_count)</f>
        <v>#DIV/0!</v>
      </c>
      <c r="F13" s="224">
        <f>_xlfn.LET(_xlpm.end_date,MAX(Raw!$H$3:$H$9149),
_xlpm.start_date,_xlpm.end_date-30,
SUMIFS(Raw!$F$3:$F$9149,Raw!$H$3:$H$9149,"&gt;="&amp;_xlpm.start_date,Raw!$D$3:$D$9149,'Ref Data'!$B13))</f>
        <v>0</v>
      </c>
      <c r="G13" s="224" t="e">
        <f>_xlfn.LET(_xlpm.end_date,MAX(Raw!$H$3:$H$9149),
_xlpm.start_date,EOMONTH(_xlpm.end_date,-12),
_xlpm.nbr_days,_xlpm.end_date-_xlpm.start_date,
_xlpm.ltm_spend,SUMIFS(Raw!$F$3:$F$9149,Raw!$H$3:$H$9149,"&gt;="&amp;_xlpm.start_date,Raw!$D$3:$D$9149,'Ref Data'!$B13),
_xlpm.one_day_spend,_xlpm.ltm_spend/_xlpm.nbr_days,
_xlpm.one_day_spend*30)</f>
        <v>#NUM!</v>
      </c>
      <c r="H13" s="224" t="e">
        <f>_xlfn.LET(_xlpm.total_spend,SUMIFS(Raw!$F$3:$F$9149,Raw!$D$3:$D$9149,'Ref Data'!$B13),
_xlpm.start_date,MIN(Raw!$H$3:$H$9149),
_xlpm.end_date,MAX(Raw!$H$3:$H$9149),
_xlpm.nbr_days,_xlpm.end_date-_xlpm.start_date,
_xlpm.one_day_spend,_xlpm.total_spend/_xlpm.nbr_days,
_xlpm.one_day_spend*30)</f>
        <v>#DIV/0!</v>
      </c>
      <c r="I13" s="224">
        <f>_xlfn.LET(_xlpm.end_date,MAX(Raw!$H$3:$H$9149),
_xlpm.start_date,_xlpm.end_date-30,
SUMIFS(Raw!$F$3:$F$9149,Raw!$H$3:$H$9149,"&gt;="&amp;_xlpm.start_date,Raw!$D$3:$D$9149,'Ref Data'!$B13)/30*7)</f>
        <v>0</v>
      </c>
      <c r="J13" s="224" t="e">
        <f>_xlfn.LET(_xlpm.end_date,MAX(Raw!$H$3:$H$9149),
_xlpm.start_date,EOMONTH(_xlpm.end_date,-12),
_xlpm.nbr_days,_xlpm.end_date-_xlpm.start_date,
_xlpm.ltm_spend,SUMIFS(Raw!$F$3:$F$9149,Raw!$H$3:$H$9149,"&gt;="&amp;_xlpm.start_date,Raw!$D$3:$D$9149,'Ref Data'!$B13),
_xlpm.one_day_spend,_xlpm.ltm_spend/_xlpm.nbr_days,
_xlpm.one_day_spend*7)</f>
        <v>#NUM!</v>
      </c>
      <c r="K13" s="224" t="e">
        <f>_xlfn.LET(_xlpm.total_spend,SUMIFS(Raw!$F$3:$F$9149,Raw!$D$3:$D$9149,'Ref Data'!$B13),
_xlpm.start_date,MIN(Raw!$H$3:$H$9149),
_xlpm.end_date,MAX(Raw!$H$3:$H$9149),
_xlpm.nbr_days,_xlpm.end_date-_xlpm.start_date,
_xlpm.one_day_spend,_xlpm.total_spend/_xlpm.nbr_days,
_xlpm.one_day_spend*7)</f>
        <v>#DIV/0!</v>
      </c>
      <c r="L13" s="224">
        <f>_xlfn.LET(_xlpm.end_date,MAX(Raw!$H$3:$H$9149),
_xlpm.start_date,_xlpm.end_date-30,
SUMIFS(Raw!$F$3:$F$9149,Raw!$H$3:$H$9149,"&gt;="&amp;_xlpm.start_date,Raw!$D$3:$D$9149,'Ref Data'!$B13)/30)</f>
        <v>0</v>
      </c>
      <c r="M13" s="224" t="e">
        <f>_xlfn.LET(_xlpm.end_date,MAX(Raw!$H$3:$H$9149),
_xlpm.start_date,EOMONTH(_xlpm.end_date,-12),
_xlpm.nbr_days,_xlpm.end_date-_xlpm.start_date,
_xlpm.ltm_spend,SUMIFS(Raw!$F$3:$F$9149,Raw!$H$3:$H$9149,"&gt;="&amp;_xlpm.start_date,Raw!$D$3:$D$9149,'Ref Data'!$B13),
_xlpm.one_day_spend,_xlpm.ltm_spend/_xlpm.nbr_days,
_xlpm.one_day_spend)</f>
        <v>#NUM!</v>
      </c>
      <c r="N13" s="224" t="e">
        <f>_xlfn.LET(_xlpm.total_spend,SUMIFS(Raw!$F$3:$F$9149,Raw!$D$3:$D$9149,'Ref Data'!$B13),
_xlpm.start_date,MIN(Raw!$H$3:$H$9149),
_xlpm.end_date,MAX(Raw!$H$3:$H$9149),
_xlpm.nbr_days,_xlpm.end_date-_xlpm.start_date,
_xlpm.one_day_spend,_xlpm.total_spend/_xlpm.nbr_days,
_xlpm.one_day_spend)</f>
        <v>#DIV/0!</v>
      </c>
    </row>
    <row r="14" spans="1:14" x14ac:dyDescent="0.2">
      <c r="A14" s="28" t="s">
        <v>32</v>
      </c>
      <c r="B14" t="s">
        <v>280</v>
      </c>
      <c r="C14" s="224">
        <f ca="1">_xlfn.LET(_xlpm.end_date,MAX(Raw!$H$3:$H$9149),
_xlpm.start_date,_xlpm.end_date-30,
_xlpm.NTM_day_count,EDATE(TODAY(),12)-TODAY(),
_xlpm.total_spend,SUMIFS(Raw!$F$3:$F$9149,Raw!$H$3:$H$9149,"&gt;="&amp;_xlpm.start_date,Raw!$D$3:$D$9149,'Ref Data'!$B14),
_xlpm.one_day_spend,_xlpm.total_spend/30,
_xlpm.one_day_spend*_xlpm.NTM_day_count)</f>
        <v>0</v>
      </c>
      <c r="D14" s="224">
        <f>_xlfn.LET(_xlpm.end_date,MAX(Raw!$H$3:$H$9149),
_xlpm.start_date,EOMONTH(_xlpm.end_date,-12),
_xlpm.nbr_days,_xlpm.end_date-_xlpm.start_date,
_xlpm.ltm_spend,SUMIFS(Raw!$F$3:$F$9149,Raw!$H$3:$H$9149,"&gt;="&amp;_xlpm.start_date,Raw!$D$3:$D$9149,'Ref Data'!$B14),
_xlpm.ltm_spend)</f>
        <v>0</v>
      </c>
      <c r="E14" s="224" t="e">
        <f ca="1">_xlfn.LET(_xlpm.total_spend,SUMIFS(Raw!$F$3:$F$9149,Raw!$D$3:$D$9149,'Ref Data'!$B14),
_xlpm.start_date,MIN(Raw!$H$3:$H$9149),
_xlpm.end_date,MAX(Raw!$H$3:$H$9149),
_xlpm.nbr_days,_xlpm.end_date-_xlpm.start_date,
_xlpm.NTM_day_count,EDATE(TODAY(),12)-TODAY(),
_xlpm.one_day_spend,_xlpm.total_spend/_xlpm.nbr_days,
_xlpm.one_day_spend*_xlpm.NTM_day_count)</f>
        <v>#DIV/0!</v>
      </c>
      <c r="F14" s="224">
        <f>_xlfn.LET(_xlpm.end_date,MAX(Raw!$H$3:$H$9149),
_xlpm.start_date,_xlpm.end_date-30,
SUMIFS(Raw!$F$3:$F$9149,Raw!$H$3:$H$9149,"&gt;="&amp;_xlpm.start_date,Raw!$D$3:$D$9149,'Ref Data'!$B14))</f>
        <v>0</v>
      </c>
      <c r="G14" s="224" t="e">
        <f>_xlfn.LET(_xlpm.end_date,MAX(Raw!$H$3:$H$9149),
_xlpm.start_date,EOMONTH(_xlpm.end_date,-12),
_xlpm.nbr_days,_xlpm.end_date-_xlpm.start_date,
_xlpm.ltm_spend,SUMIFS(Raw!$F$3:$F$9149,Raw!$H$3:$H$9149,"&gt;="&amp;_xlpm.start_date,Raw!$D$3:$D$9149,'Ref Data'!$B14),
_xlpm.one_day_spend,_xlpm.ltm_spend/_xlpm.nbr_days,
_xlpm.one_day_spend*30)</f>
        <v>#NUM!</v>
      </c>
      <c r="H14" s="224" t="e">
        <f>_xlfn.LET(_xlpm.total_spend,SUMIFS(Raw!$F$3:$F$9149,Raw!$D$3:$D$9149,'Ref Data'!$B14),
_xlpm.start_date,MIN(Raw!$H$3:$H$9149),
_xlpm.end_date,MAX(Raw!$H$3:$H$9149),
_xlpm.nbr_days,_xlpm.end_date-_xlpm.start_date,
_xlpm.one_day_spend,_xlpm.total_spend/_xlpm.nbr_days,
_xlpm.one_day_spend*30)</f>
        <v>#DIV/0!</v>
      </c>
      <c r="I14" s="224">
        <f>_xlfn.LET(_xlpm.end_date,MAX(Raw!$H$3:$H$9149),
_xlpm.start_date,_xlpm.end_date-30,
SUMIFS(Raw!$F$3:$F$9149,Raw!$H$3:$H$9149,"&gt;="&amp;_xlpm.start_date,Raw!$D$3:$D$9149,'Ref Data'!$B14)/30*7)</f>
        <v>0</v>
      </c>
      <c r="J14" s="224" t="e">
        <f>_xlfn.LET(_xlpm.end_date,MAX(Raw!$H$3:$H$9149),
_xlpm.start_date,EOMONTH(_xlpm.end_date,-12),
_xlpm.nbr_days,_xlpm.end_date-_xlpm.start_date,
_xlpm.ltm_spend,SUMIFS(Raw!$F$3:$F$9149,Raw!$H$3:$H$9149,"&gt;="&amp;_xlpm.start_date,Raw!$D$3:$D$9149,'Ref Data'!$B14),
_xlpm.one_day_spend,_xlpm.ltm_spend/_xlpm.nbr_days,
_xlpm.one_day_spend*7)</f>
        <v>#NUM!</v>
      </c>
      <c r="K14" s="224" t="e">
        <f>_xlfn.LET(_xlpm.total_spend,SUMIFS(Raw!$F$3:$F$9149,Raw!$D$3:$D$9149,'Ref Data'!$B14),
_xlpm.start_date,MIN(Raw!$H$3:$H$9149),
_xlpm.end_date,MAX(Raw!$H$3:$H$9149),
_xlpm.nbr_days,_xlpm.end_date-_xlpm.start_date,
_xlpm.one_day_spend,_xlpm.total_spend/_xlpm.nbr_days,
_xlpm.one_day_spend*7)</f>
        <v>#DIV/0!</v>
      </c>
      <c r="L14" s="224">
        <f>_xlfn.LET(_xlpm.end_date,MAX(Raw!$H$3:$H$9149),
_xlpm.start_date,_xlpm.end_date-30,
SUMIFS(Raw!$F$3:$F$9149,Raw!$H$3:$H$9149,"&gt;="&amp;_xlpm.start_date,Raw!$D$3:$D$9149,'Ref Data'!$B14)/30)</f>
        <v>0</v>
      </c>
      <c r="M14" s="224" t="e">
        <f>_xlfn.LET(_xlpm.end_date,MAX(Raw!$H$3:$H$9149),
_xlpm.start_date,EOMONTH(_xlpm.end_date,-12),
_xlpm.nbr_days,_xlpm.end_date-_xlpm.start_date,
_xlpm.ltm_spend,SUMIFS(Raw!$F$3:$F$9149,Raw!$H$3:$H$9149,"&gt;="&amp;_xlpm.start_date,Raw!$D$3:$D$9149,'Ref Data'!$B14),
_xlpm.one_day_spend,_xlpm.ltm_spend/_xlpm.nbr_days,
_xlpm.one_day_spend)</f>
        <v>#NUM!</v>
      </c>
      <c r="N14" s="224" t="e">
        <f>_xlfn.LET(_xlpm.total_spend,SUMIFS(Raw!$F$3:$F$9149,Raw!$D$3:$D$9149,'Ref Data'!$B14),
_xlpm.start_date,MIN(Raw!$H$3:$H$9149),
_xlpm.end_date,MAX(Raw!$H$3:$H$9149),
_xlpm.nbr_days,_xlpm.end_date-_xlpm.start_date,
_xlpm.one_day_spend,_xlpm.total_spend/_xlpm.nbr_days,
_xlpm.one_day_spend)</f>
        <v>#DIV/0!</v>
      </c>
    </row>
    <row r="15" spans="1:14" x14ac:dyDescent="0.2">
      <c r="A15" t="s">
        <v>6</v>
      </c>
      <c r="B15" t="s">
        <v>6</v>
      </c>
      <c r="C15" s="224">
        <f ca="1">_xlfn.LET(_xlpm.end_date,MAX(Raw!$H$3:$H$9149),
_xlpm.start_date,_xlpm.end_date-30,
_xlpm.NTM_day_count,EDATE(TODAY(),12)-TODAY(),
_xlpm.total_spend,SUMIFS(Raw!$F$3:$F$9149,Raw!$H$3:$H$9149,"&gt;="&amp;_xlpm.start_date,Raw!$D$3:$D$9149,'Ref Data'!$B15),
_xlpm.one_day_spend,_xlpm.total_spend/30,
_xlpm.one_day_spend*_xlpm.NTM_day_count)</f>
        <v>0</v>
      </c>
      <c r="D15" s="224">
        <f>_xlfn.LET(_xlpm.end_date,MAX(Raw!$H$3:$H$9149),
_xlpm.start_date,EOMONTH(_xlpm.end_date,-12),
_xlpm.nbr_days,_xlpm.end_date-_xlpm.start_date,
_xlpm.ltm_spend,SUMIFS(Raw!$F$3:$F$9149,Raw!$H$3:$H$9149,"&gt;="&amp;_xlpm.start_date,Raw!$D$3:$D$9149,'Ref Data'!$B15),
_xlpm.ltm_spend)</f>
        <v>0</v>
      </c>
      <c r="E15" s="224" t="e">
        <f ca="1">_xlfn.LET(_xlpm.total_spend,SUMIFS(Raw!$F$3:$F$9149,Raw!$D$3:$D$9149,'Ref Data'!$B15),
_xlpm.start_date,MIN(Raw!$H$3:$H$9149),
_xlpm.end_date,MAX(Raw!$H$3:$H$9149),
_xlpm.nbr_days,_xlpm.end_date-_xlpm.start_date,
_xlpm.NTM_day_count,EDATE(TODAY(),12)-TODAY(),
_xlpm.one_day_spend,_xlpm.total_spend/_xlpm.nbr_days,
_xlpm.one_day_spend*_xlpm.NTM_day_count)</f>
        <v>#DIV/0!</v>
      </c>
      <c r="F15" s="224">
        <f>_xlfn.LET(_xlpm.end_date,MAX(Raw!$H$3:$H$9149),
_xlpm.start_date,_xlpm.end_date-30,
SUMIFS(Raw!$F$3:$F$9149,Raw!$H$3:$H$9149,"&gt;="&amp;_xlpm.start_date,Raw!$D$3:$D$9149,'Ref Data'!$B15))</f>
        <v>0</v>
      </c>
      <c r="G15" s="224" t="e">
        <f>_xlfn.LET(_xlpm.end_date,MAX(Raw!$H$3:$H$9149),
_xlpm.start_date,EOMONTH(_xlpm.end_date,-12),
_xlpm.nbr_days,_xlpm.end_date-_xlpm.start_date,
_xlpm.ltm_spend,SUMIFS(Raw!$F$3:$F$9149,Raw!$H$3:$H$9149,"&gt;="&amp;_xlpm.start_date,Raw!$D$3:$D$9149,'Ref Data'!$B15),
_xlpm.one_day_spend,_xlpm.ltm_spend/_xlpm.nbr_days,
_xlpm.one_day_spend*30)</f>
        <v>#NUM!</v>
      </c>
      <c r="H15" s="224" t="e">
        <f>_xlfn.LET(_xlpm.total_spend,SUMIFS(Raw!$F$3:$F$9149,Raw!$D$3:$D$9149,'Ref Data'!$B15),
_xlpm.start_date,MIN(Raw!$H$3:$H$9149),
_xlpm.end_date,MAX(Raw!$H$3:$H$9149),
_xlpm.nbr_days,_xlpm.end_date-_xlpm.start_date,
_xlpm.one_day_spend,_xlpm.total_spend/_xlpm.nbr_days,
_xlpm.one_day_spend*30)</f>
        <v>#DIV/0!</v>
      </c>
      <c r="I15" s="224">
        <f>_xlfn.LET(_xlpm.end_date,MAX(Raw!$H$3:$H$9149),
_xlpm.start_date,_xlpm.end_date-30,
SUMIFS(Raw!$F$3:$F$9149,Raw!$H$3:$H$9149,"&gt;="&amp;_xlpm.start_date,Raw!$D$3:$D$9149,'Ref Data'!$B15)/30*7)</f>
        <v>0</v>
      </c>
      <c r="J15" s="224" t="e">
        <f>_xlfn.LET(_xlpm.end_date,MAX(Raw!$H$3:$H$9149),
_xlpm.start_date,EOMONTH(_xlpm.end_date,-12),
_xlpm.nbr_days,_xlpm.end_date-_xlpm.start_date,
_xlpm.ltm_spend,SUMIFS(Raw!$F$3:$F$9149,Raw!$H$3:$H$9149,"&gt;="&amp;_xlpm.start_date,Raw!$D$3:$D$9149,'Ref Data'!$B15),
_xlpm.one_day_spend,_xlpm.ltm_spend/_xlpm.nbr_days,
_xlpm.one_day_spend*7)</f>
        <v>#NUM!</v>
      </c>
      <c r="K15" s="224" t="e">
        <f>_xlfn.LET(_xlpm.total_spend,SUMIFS(Raw!$F$3:$F$9149,Raw!$D$3:$D$9149,'Ref Data'!$B15),
_xlpm.start_date,MIN(Raw!$H$3:$H$9149),
_xlpm.end_date,MAX(Raw!$H$3:$H$9149),
_xlpm.nbr_days,_xlpm.end_date-_xlpm.start_date,
_xlpm.one_day_spend,_xlpm.total_spend/_xlpm.nbr_days,
_xlpm.one_day_spend*7)</f>
        <v>#DIV/0!</v>
      </c>
      <c r="L15" s="224">
        <f>_xlfn.LET(_xlpm.end_date,MAX(Raw!$H$3:$H$9149),
_xlpm.start_date,_xlpm.end_date-30,
SUMIFS(Raw!$F$3:$F$9149,Raw!$H$3:$H$9149,"&gt;="&amp;_xlpm.start_date,Raw!$D$3:$D$9149,'Ref Data'!$B15)/30)</f>
        <v>0</v>
      </c>
      <c r="M15" s="224" t="e">
        <f>_xlfn.LET(_xlpm.end_date,MAX(Raw!$H$3:$H$9149),
_xlpm.start_date,EOMONTH(_xlpm.end_date,-12),
_xlpm.nbr_days,_xlpm.end_date-_xlpm.start_date,
_xlpm.ltm_spend,SUMIFS(Raw!$F$3:$F$9149,Raw!$H$3:$H$9149,"&gt;="&amp;_xlpm.start_date,Raw!$D$3:$D$9149,'Ref Data'!$B15),
_xlpm.one_day_spend,_xlpm.ltm_spend/_xlpm.nbr_days,
_xlpm.one_day_spend)</f>
        <v>#NUM!</v>
      </c>
      <c r="N15" s="224" t="e">
        <f>_xlfn.LET(_xlpm.total_spend,SUMIFS(Raw!$F$3:$F$9149,Raw!$D$3:$D$9149,'Ref Data'!$B15),
_xlpm.start_date,MIN(Raw!$H$3:$H$9149),
_xlpm.end_date,MAX(Raw!$H$3:$H$9149),
_xlpm.nbr_days,_xlpm.end_date-_xlpm.start_date,
_xlpm.one_day_spend,_xlpm.total_spend/_xlpm.nbr_days,
_xlpm.one_day_spend)</f>
        <v>#DIV/0!</v>
      </c>
    </row>
    <row r="16" spans="1:14" x14ac:dyDescent="0.2">
      <c r="A16" s="28" t="s">
        <v>289</v>
      </c>
      <c r="B16" t="s">
        <v>263</v>
      </c>
      <c r="C16" s="224">
        <f ca="1">_xlfn.LET(_xlpm.end_date,MAX(Raw!$H$3:$H$9149),
_xlpm.start_date,_xlpm.end_date-30,
_xlpm.NTM_day_count,EDATE(TODAY(),12)-TODAY(),
_xlpm.total_spend,SUMIFS(Raw!$F$3:$F$9149,Raw!$H$3:$H$9149,"&gt;="&amp;_xlpm.start_date,Raw!$D$3:$D$9149,'Ref Data'!$B16),
_xlpm.one_day_spend,_xlpm.total_spend/30,
_xlpm.one_day_spend*_xlpm.NTM_day_count)</f>
        <v>0</v>
      </c>
      <c r="D16" s="224">
        <f>_xlfn.LET(_xlpm.end_date,MAX(Raw!$H$3:$H$9149),
_xlpm.start_date,EOMONTH(_xlpm.end_date,-12),
_xlpm.nbr_days,_xlpm.end_date-_xlpm.start_date,
_xlpm.ltm_spend,SUMIFS(Raw!$F$3:$F$9149,Raw!$H$3:$H$9149,"&gt;="&amp;_xlpm.start_date,Raw!$D$3:$D$9149,'Ref Data'!$B16),
_xlpm.ltm_spend)</f>
        <v>0</v>
      </c>
      <c r="E16" s="224" t="e">
        <f ca="1">_xlfn.LET(_xlpm.total_spend,SUMIFS(Raw!$F$3:$F$9149,Raw!$D$3:$D$9149,'Ref Data'!$B16),
_xlpm.start_date,MIN(Raw!$H$3:$H$9149),
_xlpm.end_date,MAX(Raw!$H$3:$H$9149),
_xlpm.nbr_days,_xlpm.end_date-_xlpm.start_date,
_xlpm.NTM_day_count,EDATE(TODAY(),12)-TODAY(),
_xlpm.one_day_spend,_xlpm.total_spend/_xlpm.nbr_days,
_xlpm.one_day_spend*_xlpm.NTM_day_count)</f>
        <v>#DIV/0!</v>
      </c>
      <c r="F16" s="224">
        <f>_xlfn.LET(_xlpm.end_date,MAX(Raw!$H$3:$H$9149),
_xlpm.start_date,_xlpm.end_date-30,
SUMIFS(Raw!$F$3:$F$9149,Raw!$H$3:$H$9149,"&gt;="&amp;_xlpm.start_date,Raw!$D$3:$D$9149,'Ref Data'!$B16))</f>
        <v>0</v>
      </c>
      <c r="G16" s="224" t="e">
        <f>_xlfn.LET(_xlpm.end_date,MAX(Raw!$H$3:$H$9149),
_xlpm.start_date,EOMONTH(_xlpm.end_date,-12),
_xlpm.nbr_days,_xlpm.end_date-_xlpm.start_date,
_xlpm.ltm_spend,SUMIFS(Raw!$F$3:$F$9149,Raw!$H$3:$H$9149,"&gt;="&amp;_xlpm.start_date,Raw!$D$3:$D$9149,'Ref Data'!$B16),
_xlpm.one_day_spend,_xlpm.ltm_spend/_xlpm.nbr_days,
_xlpm.one_day_spend*30)</f>
        <v>#NUM!</v>
      </c>
      <c r="H16" s="224" t="e">
        <f>_xlfn.LET(_xlpm.total_spend,SUMIFS(Raw!$F$3:$F$9149,Raw!$D$3:$D$9149,'Ref Data'!$B16),
_xlpm.start_date,MIN(Raw!$H$3:$H$9149),
_xlpm.end_date,MAX(Raw!$H$3:$H$9149),
_xlpm.nbr_days,_xlpm.end_date-_xlpm.start_date,
_xlpm.one_day_spend,_xlpm.total_spend/_xlpm.nbr_days,
_xlpm.one_day_spend*30)</f>
        <v>#DIV/0!</v>
      </c>
      <c r="I16" s="224">
        <f>_xlfn.LET(_xlpm.end_date,MAX(Raw!$H$3:$H$9149),
_xlpm.start_date,_xlpm.end_date-30,
SUMIFS(Raw!$F$3:$F$9149,Raw!$H$3:$H$9149,"&gt;="&amp;_xlpm.start_date,Raw!$D$3:$D$9149,'Ref Data'!$B16)/30*7)</f>
        <v>0</v>
      </c>
      <c r="J16" s="224" t="e">
        <f>_xlfn.LET(_xlpm.end_date,MAX(Raw!$H$3:$H$9149),
_xlpm.start_date,EOMONTH(_xlpm.end_date,-12),
_xlpm.nbr_days,_xlpm.end_date-_xlpm.start_date,
_xlpm.ltm_spend,SUMIFS(Raw!$F$3:$F$9149,Raw!$H$3:$H$9149,"&gt;="&amp;_xlpm.start_date,Raw!$D$3:$D$9149,'Ref Data'!$B16),
_xlpm.one_day_spend,_xlpm.ltm_spend/_xlpm.nbr_days,
_xlpm.one_day_spend*7)</f>
        <v>#NUM!</v>
      </c>
      <c r="K16" s="224" t="e">
        <f>_xlfn.LET(_xlpm.total_spend,SUMIFS(Raw!$F$3:$F$9149,Raw!$D$3:$D$9149,'Ref Data'!$B16),
_xlpm.start_date,MIN(Raw!$H$3:$H$9149),
_xlpm.end_date,MAX(Raw!$H$3:$H$9149),
_xlpm.nbr_days,_xlpm.end_date-_xlpm.start_date,
_xlpm.one_day_spend,_xlpm.total_spend/_xlpm.nbr_days,
_xlpm.one_day_spend*7)</f>
        <v>#DIV/0!</v>
      </c>
      <c r="L16" s="224">
        <f>_xlfn.LET(_xlpm.end_date,MAX(Raw!$H$3:$H$9149),
_xlpm.start_date,_xlpm.end_date-30,
SUMIFS(Raw!$F$3:$F$9149,Raw!$H$3:$H$9149,"&gt;="&amp;_xlpm.start_date,Raw!$D$3:$D$9149,'Ref Data'!$B16)/30)</f>
        <v>0</v>
      </c>
      <c r="M16" s="224" t="e">
        <f>_xlfn.LET(_xlpm.end_date,MAX(Raw!$H$3:$H$9149),
_xlpm.start_date,EOMONTH(_xlpm.end_date,-12),
_xlpm.nbr_days,_xlpm.end_date-_xlpm.start_date,
_xlpm.ltm_spend,SUMIFS(Raw!$F$3:$F$9149,Raw!$H$3:$H$9149,"&gt;="&amp;_xlpm.start_date,Raw!$D$3:$D$9149,'Ref Data'!$B16),
_xlpm.one_day_spend,_xlpm.ltm_spend/_xlpm.nbr_days,
_xlpm.one_day_spend)</f>
        <v>#NUM!</v>
      </c>
      <c r="N16" s="224" t="e">
        <f>_xlfn.LET(_xlpm.total_spend,SUMIFS(Raw!$F$3:$F$9149,Raw!$D$3:$D$9149,'Ref Data'!$B16),
_xlpm.start_date,MIN(Raw!$H$3:$H$9149),
_xlpm.end_date,MAX(Raw!$H$3:$H$9149),
_xlpm.nbr_days,_xlpm.end_date-_xlpm.start_date,
_xlpm.one_day_spend,_xlpm.total_spend/_xlpm.nbr_days,
_xlpm.one_day_spend)</f>
        <v>#DIV/0!</v>
      </c>
    </row>
    <row r="17" spans="1:14" x14ac:dyDescent="0.2">
      <c r="A17" s="28" t="s">
        <v>289</v>
      </c>
      <c r="B17" t="s">
        <v>264</v>
      </c>
      <c r="C17" s="224">
        <f ca="1">_xlfn.LET(_xlpm.end_date,MAX(Raw!$H$3:$H$9149),
_xlpm.start_date,_xlpm.end_date-30,
_xlpm.NTM_day_count,EDATE(TODAY(),12)-TODAY(),
_xlpm.total_spend,SUMIFS(Raw!$F$3:$F$9149,Raw!$H$3:$H$9149,"&gt;="&amp;_xlpm.start_date,Raw!$D$3:$D$9149,'Ref Data'!$B17),
_xlpm.one_day_spend,_xlpm.total_spend/30,
_xlpm.one_day_spend*_xlpm.NTM_day_count)</f>
        <v>0</v>
      </c>
      <c r="D17" s="224">
        <f>_xlfn.LET(_xlpm.end_date,MAX(Raw!$H$3:$H$9149),
_xlpm.start_date,EOMONTH(_xlpm.end_date,-12),
_xlpm.nbr_days,_xlpm.end_date-_xlpm.start_date,
_xlpm.ltm_spend,SUMIFS(Raw!$F$3:$F$9149,Raw!$H$3:$H$9149,"&gt;="&amp;_xlpm.start_date,Raw!$D$3:$D$9149,'Ref Data'!$B17),
_xlpm.ltm_spend)</f>
        <v>0</v>
      </c>
      <c r="E17" s="224" t="e">
        <f ca="1">_xlfn.LET(_xlpm.total_spend,SUMIFS(Raw!$F$3:$F$9149,Raw!$D$3:$D$9149,'Ref Data'!$B17),
_xlpm.start_date,MIN(Raw!$H$3:$H$9149),
_xlpm.end_date,MAX(Raw!$H$3:$H$9149),
_xlpm.nbr_days,_xlpm.end_date-_xlpm.start_date,
_xlpm.NTM_day_count,EDATE(TODAY(),12)-TODAY(),
_xlpm.one_day_spend,_xlpm.total_spend/_xlpm.nbr_days,
_xlpm.one_day_spend*_xlpm.NTM_day_count)</f>
        <v>#DIV/0!</v>
      </c>
      <c r="F17" s="224">
        <f>_xlfn.LET(_xlpm.end_date,MAX(Raw!$H$3:$H$9149),
_xlpm.start_date,_xlpm.end_date-30,
SUMIFS(Raw!$F$3:$F$9149,Raw!$H$3:$H$9149,"&gt;="&amp;_xlpm.start_date,Raw!$D$3:$D$9149,'Ref Data'!$B17))</f>
        <v>0</v>
      </c>
      <c r="G17" s="224" t="e">
        <f>_xlfn.LET(_xlpm.end_date,MAX(Raw!$H$3:$H$9149),
_xlpm.start_date,EOMONTH(_xlpm.end_date,-12),
_xlpm.nbr_days,_xlpm.end_date-_xlpm.start_date,
_xlpm.ltm_spend,SUMIFS(Raw!$F$3:$F$9149,Raw!$H$3:$H$9149,"&gt;="&amp;_xlpm.start_date,Raw!$D$3:$D$9149,'Ref Data'!$B17),
_xlpm.one_day_spend,_xlpm.ltm_spend/_xlpm.nbr_days,
_xlpm.one_day_spend*30)</f>
        <v>#NUM!</v>
      </c>
      <c r="H17" s="224" t="e">
        <f>_xlfn.LET(_xlpm.total_spend,SUMIFS(Raw!$F$3:$F$9149,Raw!$D$3:$D$9149,'Ref Data'!$B17),
_xlpm.start_date,MIN(Raw!$H$3:$H$9149),
_xlpm.end_date,MAX(Raw!$H$3:$H$9149),
_xlpm.nbr_days,_xlpm.end_date-_xlpm.start_date,
_xlpm.one_day_spend,_xlpm.total_spend/_xlpm.nbr_days,
_xlpm.one_day_spend*30)</f>
        <v>#DIV/0!</v>
      </c>
      <c r="I17" s="224">
        <f>_xlfn.LET(_xlpm.end_date,MAX(Raw!$H$3:$H$9149),
_xlpm.start_date,_xlpm.end_date-30,
SUMIFS(Raw!$F$3:$F$9149,Raw!$H$3:$H$9149,"&gt;="&amp;_xlpm.start_date,Raw!$D$3:$D$9149,'Ref Data'!$B17)/30*7)</f>
        <v>0</v>
      </c>
      <c r="J17" s="224" t="e">
        <f>_xlfn.LET(_xlpm.end_date,MAX(Raw!$H$3:$H$9149),
_xlpm.start_date,EOMONTH(_xlpm.end_date,-12),
_xlpm.nbr_days,_xlpm.end_date-_xlpm.start_date,
_xlpm.ltm_spend,SUMIFS(Raw!$F$3:$F$9149,Raw!$H$3:$H$9149,"&gt;="&amp;_xlpm.start_date,Raw!$D$3:$D$9149,'Ref Data'!$B17),
_xlpm.one_day_spend,_xlpm.ltm_spend/_xlpm.nbr_days,
_xlpm.one_day_spend*7)</f>
        <v>#NUM!</v>
      </c>
      <c r="K17" s="224" t="e">
        <f>_xlfn.LET(_xlpm.total_spend,SUMIFS(Raw!$F$3:$F$9149,Raw!$D$3:$D$9149,'Ref Data'!$B17),
_xlpm.start_date,MIN(Raw!$H$3:$H$9149),
_xlpm.end_date,MAX(Raw!$H$3:$H$9149),
_xlpm.nbr_days,_xlpm.end_date-_xlpm.start_date,
_xlpm.one_day_spend,_xlpm.total_spend/_xlpm.nbr_days,
_xlpm.one_day_spend*7)</f>
        <v>#DIV/0!</v>
      </c>
      <c r="L17" s="224">
        <f>_xlfn.LET(_xlpm.end_date,MAX(Raw!$H$3:$H$9149),
_xlpm.start_date,_xlpm.end_date-30,
SUMIFS(Raw!$F$3:$F$9149,Raw!$H$3:$H$9149,"&gt;="&amp;_xlpm.start_date,Raw!$D$3:$D$9149,'Ref Data'!$B17)/30)</f>
        <v>0</v>
      </c>
      <c r="M17" s="224" t="e">
        <f>_xlfn.LET(_xlpm.end_date,MAX(Raw!$H$3:$H$9149),
_xlpm.start_date,EOMONTH(_xlpm.end_date,-12),
_xlpm.nbr_days,_xlpm.end_date-_xlpm.start_date,
_xlpm.ltm_spend,SUMIFS(Raw!$F$3:$F$9149,Raw!$H$3:$H$9149,"&gt;="&amp;_xlpm.start_date,Raw!$D$3:$D$9149,'Ref Data'!$B17),
_xlpm.one_day_spend,_xlpm.ltm_spend/_xlpm.nbr_days,
_xlpm.one_day_spend)</f>
        <v>#NUM!</v>
      </c>
      <c r="N17" s="224" t="e">
        <f>_xlfn.LET(_xlpm.total_spend,SUMIFS(Raw!$F$3:$F$9149,Raw!$D$3:$D$9149,'Ref Data'!$B17),
_xlpm.start_date,MIN(Raw!$H$3:$H$9149),
_xlpm.end_date,MAX(Raw!$H$3:$H$9149),
_xlpm.nbr_days,_xlpm.end_date-_xlpm.start_date,
_xlpm.one_day_spend,_xlpm.total_spend/_xlpm.nbr_days,
_xlpm.one_day_spend)</f>
        <v>#DIV/0!</v>
      </c>
    </row>
    <row r="18" spans="1:14" x14ac:dyDescent="0.2">
      <c r="A18" s="28" t="s">
        <v>289</v>
      </c>
      <c r="B18" t="s">
        <v>270</v>
      </c>
      <c r="C18" s="224">
        <f ca="1">_xlfn.LET(_xlpm.end_date,MAX(Raw!$H$3:$H$9149),
_xlpm.start_date,_xlpm.end_date-30,
_xlpm.NTM_day_count,EDATE(TODAY(),12)-TODAY(),
_xlpm.total_spend,SUMIFS(Raw!$F$3:$F$9149,Raw!$H$3:$H$9149,"&gt;="&amp;_xlpm.start_date,Raw!$D$3:$D$9149,'Ref Data'!$B18),
_xlpm.one_day_spend,_xlpm.total_spend/30,
_xlpm.one_day_spend*_xlpm.NTM_day_count)</f>
        <v>0</v>
      </c>
      <c r="D18" s="224">
        <f>_xlfn.LET(_xlpm.end_date,MAX(Raw!$H$3:$H$9149),
_xlpm.start_date,EOMONTH(_xlpm.end_date,-12),
_xlpm.nbr_days,_xlpm.end_date-_xlpm.start_date,
_xlpm.ltm_spend,SUMIFS(Raw!$F$3:$F$9149,Raw!$H$3:$H$9149,"&gt;="&amp;_xlpm.start_date,Raw!$D$3:$D$9149,'Ref Data'!$B18),
_xlpm.ltm_spend)</f>
        <v>0</v>
      </c>
      <c r="E18" s="224" t="e">
        <f ca="1">_xlfn.LET(_xlpm.total_spend,SUMIFS(Raw!$F$3:$F$9149,Raw!$D$3:$D$9149,'Ref Data'!$B18),
_xlpm.start_date,MIN(Raw!$H$3:$H$9149),
_xlpm.end_date,MAX(Raw!$H$3:$H$9149),
_xlpm.nbr_days,_xlpm.end_date-_xlpm.start_date,
_xlpm.NTM_day_count,EDATE(TODAY(),12)-TODAY(),
_xlpm.one_day_spend,_xlpm.total_spend/_xlpm.nbr_days,
_xlpm.one_day_spend*_xlpm.NTM_day_count)</f>
        <v>#DIV/0!</v>
      </c>
      <c r="F18" s="224">
        <f>_xlfn.LET(_xlpm.end_date,MAX(Raw!$H$3:$H$9149),
_xlpm.start_date,_xlpm.end_date-30,
SUMIFS(Raw!$F$3:$F$9149,Raw!$H$3:$H$9149,"&gt;="&amp;_xlpm.start_date,Raw!$D$3:$D$9149,'Ref Data'!$B18))</f>
        <v>0</v>
      </c>
      <c r="G18" s="224" t="e">
        <f>_xlfn.LET(_xlpm.end_date,MAX(Raw!$H$3:$H$9149),
_xlpm.start_date,EOMONTH(_xlpm.end_date,-12),
_xlpm.nbr_days,_xlpm.end_date-_xlpm.start_date,
_xlpm.ltm_spend,SUMIFS(Raw!$F$3:$F$9149,Raw!$H$3:$H$9149,"&gt;="&amp;_xlpm.start_date,Raw!$D$3:$D$9149,'Ref Data'!$B18),
_xlpm.one_day_spend,_xlpm.ltm_spend/_xlpm.nbr_days,
_xlpm.one_day_spend*30)</f>
        <v>#NUM!</v>
      </c>
      <c r="H18" s="224" t="e">
        <f>_xlfn.LET(_xlpm.total_spend,SUMIFS(Raw!$F$3:$F$9149,Raw!$D$3:$D$9149,'Ref Data'!$B18),
_xlpm.start_date,MIN(Raw!$H$3:$H$9149),
_xlpm.end_date,MAX(Raw!$H$3:$H$9149),
_xlpm.nbr_days,_xlpm.end_date-_xlpm.start_date,
_xlpm.one_day_spend,_xlpm.total_spend/_xlpm.nbr_days,
_xlpm.one_day_spend*30)</f>
        <v>#DIV/0!</v>
      </c>
      <c r="I18" s="224">
        <f>_xlfn.LET(_xlpm.end_date,MAX(Raw!$H$3:$H$9149),
_xlpm.start_date,_xlpm.end_date-30,
SUMIFS(Raw!$F$3:$F$9149,Raw!$H$3:$H$9149,"&gt;="&amp;_xlpm.start_date,Raw!$D$3:$D$9149,'Ref Data'!$B18)/30*7)</f>
        <v>0</v>
      </c>
      <c r="J18" s="224" t="e">
        <f>_xlfn.LET(_xlpm.end_date,MAX(Raw!$H$3:$H$9149),
_xlpm.start_date,EOMONTH(_xlpm.end_date,-12),
_xlpm.nbr_days,_xlpm.end_date-_xlpm.start_date,
_xlpm.ltm_spend,SUMIFS(Raw!$F$3:$F$9149,Raw!$H$3:$H$9149,"&gt;="&amp;_xlpm.start_date,Raw!$D$3:$D$9149,'Ref Data'!$B18),
_xlpm.one_day_spend,_xlpm.ltm_spend/_xlpm.nbr_days,
_xlpm.one_day_spend*7)</f>
        <v>#NUM!</v>
      </c>
      <c r="K18" s="224" t="e">
        <f>_xlfn.LET(_xlpm.total_spend,SUMIFS(Raw!$F$3:$F$9149,Raw!$D$3:$D$9149,'Ref Data'!$B18),
_xlpm.start_date,MIN(Raw!$H$3:$H$9149),
_xlpm.end_date,MAX(Raw!$H$3:$H$9149),
_xlpm.nbr_days,_xlpm.end_date-_xlpm.start_date,
_xlpm.one_day_spend,_xlpm.total_spend/_xlpm.nbr_days,
_xlpm.one_day_spend*7)</f>
        <v>#DIV/0!</v>
      </c>
      <c r="L18" s="224">
        <f>_xlfn.LET(_xlpm.end_date,MAX(Raw!$H$3:$H$9149),
_xlpm.start_date,_xlpm.end_date-30,
SUMIFS(Raw!$F$3:$F$9149,Raw!$H$3:$H$9149,"&gt;="&amp;_xlpm.start_date,Raw!$D$3:$D$9149,'Ref Data'!$B18)/30)</f>
        <v>0</v>
      </c>
      <c r="M18" s="224" t="e">
        <f>_xlfn.LET(_xlpm.end_date,MAX(Raw!$H$3:$H$9149),
_xlpm.start_date,EOMONTH(_xlpm.end_date,-12),
_xlpm.nbr_days,_xlpm.end_date-_xlpm.start_date,
_xlpm.ltm_spend,SUMIFS(Raw!$F$3:$F$9149,Raw!$H$3:$H$9149,"&gt;="&amp;_xlpm.start_date,Raw!$D$3:$D$9149,'Ref Data'!$B18),
_xlpm.one_day_spend,_xlpm.ltm_spend/_xlpm.nbr_days,
_xlpm.one_day_spend)</f>
        <v>#NUM!</v>
      </c>
      <c r="N18" s="224" t="e">
        <f>_xlfn.LET(_xlpm.total_spend,SUMIFS(Raw!$F$3:$F$9149,Raw!$D$3:$D$9149,'Ref Data'!$B18),
_xlpm.start_date,MIN(Raw!$H$3:$H$9149),
_xlpm.end_date,MAX(Raw!$H$3:$H$9149),
_xlpm.nbr_days,_xlpm.end_date-_xlpm.start_date,
_xlpm.one_day_spend,_xlpm.total_spend/_xlpm.nbr_days,
_xlpm.one_day_spend)</f>
        <v>#DIV/0!</v>
      </c>
    </row>
    <row r="19" spans="1:14" x14ac:dyDescent="0.2">
      <c r="A19" s="28" t="s">
        <v>289</v>
      </c>
      <c r="B19" t="s">
        <v>277</v>
      </c>
      <c r="C19" s="224">
        <f ca="1">_xlfn.LET(_xlpm.end_date,MAX(Raw!$H$3:$H$9149),
_xlpm.start_date,_xlpm.end_date-30,
_xlpm.NTM_day_count,EDATE(TODAY(),12)-TODAY(),
_xlpm.total_spend,SUMIFS(Raw!$F$3:$F$9149,Raw!$H$3:$H$9149,"&gt;="&amp;_xlpm.start_date,Raw!$D$3:$D$9149,'Ref Data'!$B19),
_xlpm.one_day_spend,_xlpm.total_spend/30,
_xlpm.one_day_spend*_xlpm.NTM_day_count)</f>
        <v>0</v>
      </c>
      <c r="D19" s="224">
        <f>_xlfn.LET(_xlpm.end_date,MAX(Raw!$H$3:$H$9149),
_xlpm.start_date,EOMONTH(_xlpm.end_date,-12),
_xlpm.nbr_days,_xlpm.end_date-_xlpm.start_date,
_xlpm.ltm_spend,SUMIFS(Raw!$F$3:$F$9149,Raw!$H$3:$H$9149,"&gt;="&amp;_xlpm.start_date,Raw!$D$3:$D$9149,'Ref Data'!$B19),
_xlpm.ltm_spend)</f>
        <v>0</v>
      </c>
      <c r="E19" s="224" t="e">
        <f ca="1">_xlfn.LET(_xlpm.total_spend,SUMIFS(Raw!$F$3:$F$9149,Raw!$D$3:$D$9149,'Ref Data'!$B19),
_xlpm.start_date,MIN(Raw!$H$3:$H$9149),
_xlpm.end_date,MAX(Raw!$H$3:$H$9149),
_xlpm.nbr_days,_xlpm.end_date-_xlpm.start_date,
_xlpm.NTM_day_count,EDATE(TODAY(),12)-TODAY(),
_xlpm.one_day_spend,_xlpm.total_spend/_xlpm.nbr_days,
_xlpm.one_day_spend*_xlpm.NTM_day_count)</f>
        <v>#DIV/0!</v>
      </c>
      <c r="F19" s="224">
        <f>_xlfn.LET(_xlpm.end_date,MAX(Raw!$H$3:$H$9149),
_xlpm.start_date,_xlpm.end_date-30,
SUMIFS(Raw!$F$3:$F$9149,Raw!$H$3:$H$9149,"&gt;="&amp;_xlpm.start_date,Raw!$D$3:$D$9149,'Ref Data'!$B19))</f>
        <v>0</v>
      </c>
      <c r="G19" s="224" t="e">
        <f>_xlfn.LET(_xlpm.end_date,MAX(Raw!$H$3:$H$9149),
_xlpm.start_date,EOMONTH(_xlpm.end_date,-12),
_xlpm.nbr_days,_xlpm.end_date-_xlpm.start_date,
_xlpm.ltm_spend,SUMIFS(Raw!$F$3:$F$9149,Raw!$H$3:$H$9149,"&gt;="&amp;_xlpm.start_date,Raw!$D$3:$D$9149,'Ref Data'!$B19),
_xlpm.one_day_spend,_xlpm.ltm_spend/_xlpm.nbr_days,
_xlpm.one_day_spend*30)</f>
        <v>#NUM!</v>
      </c>
      <c r="H19" s="224" t="e">
        <f>_xlfn.LET(_xlpm.total_spend,SUMIFS(Raw!$F$3:$F$9149,Raw!$D$3:$D$9149,'Ref Data'!$B19),
_xlpm.start_date,MIN(Raw!$H$3:$H$9149),
_xlpm.end_date,MAX(Raw!$H$3:$H$9149),
_xlpm.nbr_days,_xlpm.end_date-_xlpm.start_date,
_xlpm.one_day_spend,_xlpm.total_spend/_xlpm.nbr_days,
_xlpm.one_day_spend*30)</f>
        <v>#DIV/0!</v>
      </c>
      <c r="I19" s="224">
        <f>_xlfn.LET(_xlpm.end_date,MAX(Raw!$H$3:$H$9149),
_xlpm.start_date,_xlpm.end_date-30,
SUMIFS(Raw!$F$3:$F$9149,Raw!$H$3:$H$9149,"&gt;="&amp;_xlpm.start_date,Raw!$D$3:$D$9149,'Ref Data'!$B19)/30*7)</f>
        <v>0</v>
      </c>
      <c r="J19" s="224" t="e">
        <f>_xlfn.LET(_xlpm.end_date,MAX(Raw!$H$3:$H$9149),
_xlpm.start_date,EOMONTH(_xlpm.end_date,-12),
_xlpm.nbr_days,_xlpm.end_date-_xlpm.start_date,
_xlpm.ltm_spend,SUMIFS(Raw!$F$3:$F$9149,Raw!$H$3:$H$9149,"&gt;="&amp;_xlpm.start_date,Raw!$D$3:$D$9149,'Ref Data'!$B19),
_xlpm.one_day_spend,_xlpm.ltm_spend/_xlpm.nbr_days,
_xlpm.one_day_spend*7)</f>
        <v>#NUM!</v>
      </c>
      <c r="K19" s="224" t="e">
        <f>_xlfn.LET(_xlpm.total_spend,SUMIFS(Raw!$F$3:$F$9149,Raw!$D$3:$D$9149,'Ref Data'!$B19),
_xlpm.start_date,MIN(Raw!$H$3:$H$9149),
_xlpm.end_date,MAX(Raw!$H$3:$H$9149),
_xlpm.nbr_days,_xlpm.end_date-_xlpm.start_date,
_xlpm.one_day_spend,_xlpm.total_spend/_xlpm.nbr_days,
_xlpm.one_day_spend*7)</f>
        <v>#DIV/0!</v>
      </c>
      <c r="L19" s="224">
        <f>_xlfn.LET(_xlpm.end_date,MAX(Raw!$H$3:$H$9149),
_xlpm.start_date,_xlpm.end_date-30,
SUMIFS(Raw!$F$3:$F$9149,Raw!$H$3:$H$9149,"&gt;="&amp;_xlpm.start_date,Raw!$D$3:$D$9149,'Ref Data'!$B19)/30)</f>
        <v>0</v>
      </c>
      <c r="M19" s="224" t="e">
        <f>_xlfn.LET(_xlpm.end_date,MAX(Raw!$H$3:$H$9149),
_xlpm.start_date,EOMONTH(_xlpm.end_date,-12),
_xlpm.nbr_days,_xlpm.end_date-_xlpm.start_date,
_xlpm.ltm_spend,SUMIFS(Raw!$F$3:$F$9149,Raw!$H$3:$H$9149,"&gt;="&amp;_xlpm.start_date,Raw!$D$3:$D$9149,'Ref Data'!$B19),
_xlpm.one_day_spend,_xlpm.ltm_spend/_xlpm.nbr_days,
_xlpm.one_day_spend)</f>
        <v>#NUM!</v>
      </c>
      <c r="N19" s="224" t="e">
        <f>_xlfn.LET(_xlpm.total_spend,SUMIFS(Raw!$F$3:$F$9149,Raw!$D$3:$D$9149,'Ref Data'!$B19),
_xlpm.start_date,MIN(Raw!$H$3:$H$9149),
_xlpm.end_date,MAX(Raw!$H$3:$H$9149),
_xlpm.nbr_days,_xlpm.end_date-_xlpm.start_date,
_xlpm.one_day_spend,_xlpm.total_spend/_xlpm.nbr_days,
_xlpm.one_day_spend)</f>
        <v>#DIV/0!</v>
      </c>
    </row>
    <row r="20" spans="1:14" x14ac:dyDescent="0.2">
      <c r="A20" s="28" t="s">
        <v>289</v>
      </c>
      <c r="B20" t="s">
        <v>281</v>
      </c>
      <c r="C20" s="224">
        <f ca="1">_xlfn.LET(_xlpm.end_date,MAX(Raw!$H$3:$H$9149),
_xlpm.start_date,_xlpm.end_date-30,
_xlpm.NTM_day_count,EDATE(TODAY(),12)-TODAY(),
_xlpm.total_spend,SUMIFS(Raw!$F$3:$F$9149,Raw!$H$3:$H$9149,"&gt;="&amp;_xlpm.start_date,Raw!$D$3:$D$9149,'Ref Data'!$B20),
_xlpm.one_day_spend,_xlpm.total_spend/30,
_xlpm.one_day_spend*_xlpm.NTM_day_count)</f>
        <v>0</v>
      </c>
      <c r="D20" s="224">
        <f>_xlfn.LET(_xlpm.end_date,MAX(Raw!$H$3:$H$9149),
_xlpm.start_date,EOMONTH(_xlpm.end_date,-12),
_xlpm.nbr_days,_xlpm.end_date-_xlpm.start_date,
_xlpm.ltm_spend,SUMIFS(Raw!$F$3:$F$9149,Raw!$H$3:$H$9149,"&gt;="&amp;_xlpm.start_date,Raw!$D$3:$D$9149,'Ref Data'!$B20),
_xlpm.ltm_spend)</f>
        <v>0</v>
      </c>
      <c r="E20" s="224" t="e">
        <f ca="1">_xlfn.LET(_xlpm.total_spend,SUMIFS(Raw!$F$3:$F$9149,Raw!$D$3:$D$9149,'Ref Data'!$B20),
_xlpm.start_date,MIN(Raw!$H$3:$H$9149),
_xlpm.end_date,MAX(Raw!$H$3:$H$9149),
_xlpm.nbr_days,_xlpm.end_date-_xlpm.start_date,
_xlpm.NTM_day_count,EDATE(TODAY(),12)-TODAY(),
_xlpm.one_day_spend,_xlpm.total_spend/_xlpm.nbr_days,
_xlpm.one_day_spend*_xlpm.NTM_day_count)</f>
        <v>#DIV/0!</v>
      </c>
      <c r="F20" s="224">
        <f>_xlfn.LET(_xlpm.end_date,MAX(Raw!$H$3:$H$9149),
_xlpm.start_date,_xlpm.end_date-30,
SUMIFS(Raw!$F$3:$F$9149,Raw!$H$3:$H$9149,"&gt;="&amp;_xlpm.start_date,Raw!$D$3:$D$9149,'Ref Data'!$B20))</f>
        <v>0</v>
      </c>
      <c r="G20" s="224" t="e">
        <f>_xlfn.LET(_xlpm.end_date,MAX(Raw!$H$3:$H$9149),
_xlpm.start_date,EOMONTH(_xlpm.end_date,-12),
_xlpm.nbr_days,_xlpm.end_date-_xlpm.start_date,
_xlpm.ltm_spend,SUMIFS(Raw!$F$3:$F$9149,Raw!$H$3:$H$9149,"&gt;="&amp;_xlpm.start_date,Raw!$D$3:$D$9149,'Ref Data'!$B20),
_xlpm.one_day_spend,_xlpm.ltm_spend/_xlpm.nbr_days,
_xlpm.one_day_spend*30)</f>
        <v>#NUM!</v>
      </c>
      <c r="H20" s="224" t="e">
        <f>_xlfn.LET(_xlpm.total_spend,SUMIFS(Raw!$F$3:$F$9149,Raw!$D$3:$D$9149,'Ref Data'!$B20),
_xlpm.start_date,MIN(Raw!$H$3:$H$9149),
_xlpm.end_date,MAX(Raw!$H$3:$H$9149),
_xlpm.nbr_days,_xlpm.end_date-_xlpm.start_date,
_xlpm.one_day_spend,_xlpm.total_spend/_xlpm.nbr_days,
_xlpm.one_day_spend*30)</f>
        <v>#DIV/0!</v>
      </c>
      <c r="I20" s="224">
        <f>_xlfn.LET(_xlpm.end_date,MAX(Raw!$H$3:$H$9149),
_xlpm.start_date,_xlpm.end_date-30,
SUMIFS(Raw!$F$3:$F$9149,Raw!$H$3:$H$9149,"&gt;="&amp;_xlpm.start_date,Raw!$D$3:$D$9149,'Ref Data'!$B20)/30*7)</f>
        <v>0</v>
      </c>
      <c r="J20" s="224" t="e">
        <f>_xlfn.LET(_xlpm.end_date,MAX(Raw!$H$3:$H$9149),
_xlpm.start_date,EOMONTH(_xlpm.end_date,-12),
_xlpm.nbr_days,_xlpm.end_date-_xlpm.start_date,
_xlpm.ltm_spend,SUMIFS(Raw!$F$3:$F$9149,Raw!$H$3:$H$9149,"&gt;="&amp;_xlpm.start_date,Raw!$D$3:$D$9149,'Ref Data'!$B20),
_xlpm.one_day_spend,_xlpm.ltm_spend/_xlpm.nbr_days,
_xlpm.one_day_spend*7)</f>
        <v>#NUM!</v>
      </c>
      <c r="K20" s="224" t="e">
        <f>_xlfn.LET(_xlpm.total_spend,SUMIFS(Raw!$F$3:$F$9149,Raw!$D$3:$D$9149,'Ref Data'!$B20),
_xlpm.start_date,MIN(Raw!$H$3:$H$9149),
_xlpm.end_date,MAX(Raw!$H$3:$H$9149),
_xlpm.nbr_days,_xlpm.end_date-_xlpm.start_date,
_xlpm.one_day_spend,_xlpm.total_spend/_xlpm.nbr_days,
_xlpm.one_day_spend*7)</f>
        <v>#DIV/0!</v>
      </c>
      <c r="L20" s="224">
        <f>_xlfn.LET(_xlpm.end_date,MAX(Raw!$H$3:$H$9149),
_xlpm.start_date,_xlpm.end_date-30,
SUMIFS(Raw!$F$3:$F$9149,Raw!$H$3:$H$9149,"&gt;="&amp;_xlpm.start_date,Raw!$D$3:$D$9149,'Ref Data'!$B20)/30)</f>
        <v>0</v>
      </c>
      <c r="M20" s="224" t="e">
        <f>_xlfn.LET(_xlpm.end_date,MAX(Raw!$H$3:$H$9149),
_xlpm.start_date,EOMONTH(_xlpm.end_date,-12),
_xlpm.nbr_days,_xlpm.end_date-_xlpm.start_date,
_xlpm.ltm_spend,SUMIFS(Raw!$F$3:$F$9149,Raw!$H$3:$H$9149,"&gt;="&amp;_xlpm.start_date,Raw!$D$3:$D$9149,'Ref Data'!$B20),
_xlpm.one_day_spend,_xlpm.ltm_spend/_xlpm.nbr_days,
_xlpm.one_day_spend)</f>
        <v>#NUM!</v>
      </c>
      <c r="N20" s="224" t="e">
        <f>_xlfn.LET(_xlpm.total_spend,SUMIFS(Raw!$F$3:$F$9149,Raw!$D$3:$D$9149,'Ref Data'!$B20),
_xlpm.start_date,MIN(Raw!$H$3:$H$9149),
_xlpm.end_date,MAX(Raw!$H$3:$H$9149),
_xlpm.nbr_days,_xlpm.end_date-_xlpm.start_date,
_xlpm.one_day_spend,_xlpm.total_spend/_xlpm.nbr_days,
_xlpm.one_day_spend)</f>
        <v>#DIV/0!</v>
      </c>
    </row>
    <row r="21" spans="1:14" x14ac:dyDescent="0.2">
      <c r="A21" s="28" t="s">
        <v>20</v>
      </c>
      <c r="B21" t="s">
        <v>275</v>
      </c>
      <c r="C21" s="224">
        <f ca="1">_xlfn.LET(_xlpm.end_date,MAX(Raw!$H$3:$H$9149),
_xlpm.start_date,_xlpm.end_date-30,
_xlpm.NTM_day_count,EDATE(TODAY(),12)-TODAY(),
_xlpm.total_spend,SUMIFS(Raw!$F$3:$F$9149,Raw!$H$3:$H$9149,"&gt;="&amp;_xlpm.start_date,Raw!$D$3:$D$9149,'Ref Data'!$B21),
_xlpm.one_day_spend,_xlpm.total_spend/30,
_xlpm.one_day_spend*_xlpm.NTM_day_count)</f>
        <v>0</v>
      </c>
      <c r="D21" s="224">
        <f>_xlfn.LET(_xlpm.end_date,MAX(Raw!$H$3:$H$9149),
_xlpm.start_date,EOMONTH(_xlpm.end_date,-12),
_xlpm.nbr_days,_xlpm.end_date-_xlpm.start_date,
_xlpm.ltm_spend,SUMIFS(Raw!$F$3:$F$9149,Raw!$H$3:$H$9149,"&gt;="&amp;_xlpm.start_date,Raw!$D$3:$D$9149,'Ref Data'!$B21),
_xlpm.ltm_spend)</f>
        <v>0</v>
      </c>
      <c r="E21" s="224" t="e">
        <f ca="1">_xlfn.LET(_xlpm.total_spend,SUMIFS(Raw!$F$3:$F$9149,Raw!$D$3:$D$9149,'Ref Data'!$B21),
_xlpm.start_date,MIN(Raw!$H$3:$H$9149),
_xlpm.end_date,MAX(Raw!$H$3:$H$9149),
_xlpm.nbr_days,_xlpm.end_date-_xlpm.start_date,
_xlpm.NTM_day_count,EDATE(TODAY(),12)-TODAY(),
_xlpm.one_day_spend,_xlpm.total_spend/_xlpm.nbr_days,
_xlpm.one_day_spend*_xlpm.NTM_day_count)</f>
        <v>#DIV/0!</v>
      </c>
      <c r="F21" s="224">
        <f>_xlfn.LET(_xlpm.end_date,MAX(Raw!$H$3:$H$9149),
_xlpm.start_date,_xlpm.end_date-30,
SUMIFS(Raw!$F$3:$F$9149,Raw!$H$3:$H$9149,"&gt;="&amp;_xlpm.start_date,Raw!$D$3:$D$9149,'Ref Data'!$B21))</f>
        <v>0</v>
      </c>
      <c r="G21" s="224" t="e">
        <f>_xlfn.LET(_xlpm.end_date,MAX(Raw!$H$3:$H$9149),
_xlpm.start_date,EOMONTH(_xlpm.end_date,-12),
_xlpm.nbr_days,_xlpm.end_date-_xlpm.start_date,
_xlpm.ltm_spend,SUMIFS(Raw!$F$3:$F$9149,Raw!$H$3:$H$9149,"&gt;="&amp;_xlpm.start_date,Raw!$D$3:$D$9149,'Ref Data'!$B21),
_xlpm.one_day_spend,_xlpm.ltm_spend/_xlpm.nbr_days,
_xlpm.one_day_spend*30)</f>
        <v>#NUM!</v>
      </c>
      <c r="H21" s="224" t="e">
        <f>_xlfn.LET(_xlpm.total_spend,SUMIFS(Raw!$F$3:$F$9149,Raw!$D$3:$D$9149,'Ref Data'!$B21),
_xlpm.start_date,MIN(Raw!$H$3:$H$9149),
_xlpm.end_date,MAX(Raw!$H$3:$H$9149),
_xlpm.nbr_days,_xlpm.end_date-_xlpm.start_date,
_xlpm.one_day_spend,_xlpm.total_spend/_xlpm.nbr_days,
_xlpm.one_day_spend*30)</f>
        <v>#DIV/0!</v>
      </c>
      <c r="I21" s="224">
        <f>_xlfn.LET(_xlpm.end_date,MAX(Raw!$H$3:$H$9149),
_xlpm.start_date,_xlpm.end_date-30,
SUMIFS(Raw!$F$3:$F$9149,Raw!$H$3:$H$9149,"&gt;="&amp;_xlpm.start_date,Raw!$D$3:$D$9149,'Ref Data'!$B21)/30*7)</f>
        <v>0</v>
      </c>
      <c r="J21" s="224" t="e">
        <f>_xlfn.LET(_xlpm.end_date,MAX(Raw!$H$3:$H$9149),
_xlpm.start_date,EOMONTH(_xlpm.end_date,-12),
_xlpm.nbr_days,_xlpm.end_date-_xlpm.start_date,
_xlpm.ltm_spend,SUMIFS(Raw!$F$3:$F$9149,Raw!$H$3:$H$9149,"&gt;="&amp;_xlpm.start_date,Raw!$D$3:$D$9149,'Ref Data'!$B21),
_xlpm.one_day_spend,_xlpm.ltm_spend/_xlpm.nbr_days,
_xlpm.one_day_spend*7)</f>
        <v>#NUM!</v>
      </c>
      <c r="K21" s="224" t="e">
        <f>_xlfn.LET(_xlpm.total_spend,SUMIFS(Raw!$F$3:$F$9149,Raw!$D$3:$D$9149,'Ref Data'!$B21),
_xlpm.start_date,MIN(Raw!$H$3:$H$9149),
_xlpm.end_date,MAX(Raw!$H$3:$H$9149),
_xlpm.nbr_days,_xlpm.end_date-_xlpm.start_date,
_xlpm.one_day_spend,_xlpm.total_spend/_xlpm.nbr_days,
_xlpm.one_day_spend*7)</f>
        <v>#DIV/0!</v>
      </c>
      <c r="L21" s="224">
        <f>_xlfn.LET(_xlpm.end_date,MAX(Raw!$H$3:$H$9149),
_xlpm.start_date,_xlpm.end_date-30,
SUMIFS(Raw!$F$3:$F$9149,Raw!$H$3:$H$9149,"&gt;="&amp;_xlpm.start_date,Raw!$D$3:$D$9149,'Ref Data'!$B21)/30)</f>
        <v>0</v>
      </c>
      <c r="M21" s="224" t="e">
        <f>_xlfn.LET(_xlpm.end_date,MAX(Raw!$H$3:$H$9149),
_xlpm.start_date,EOMONTH(_xlpm.end_date,-12),
_xlpm.nbr_days,_xlpm.end_date-_xlpm.start_date,
_xlpm.ltm_spend,SUMIFS(Raw!$F$3:$F$9149,Raw!$H$3:$H$9149,"&gt;="&amp;_xlpm.start_date,Raw!$D$3:$D$9149,'Ref Data'!$B21),
_xlpm.one_day_spend,_xlpm.ltm_spend/_xlpm.nbr_days,
_xlpm.one_day_spend)</f>
        <v>#NUM!</v>
      </c>
      <c r="N21" s="224" t="e">
        <f>_xlfn.LET(_xlpm.total_spend,SUMIFS(Raw!$F$3:$F$9149,Raw!$D$3:$D$9149,'Ref Data'!$B21),
_xlpm.start_date,MIN(Raw!$H$3:$H$9149),
_xlpm.end_date,MAX(Raw!$H$3:$H$9149),
_xlpm.nbr_days,_xlpm.end_date-_xlpm.start_date,
_xlpm.one_day_spend,_xlpm.total_spend/_xlpm.nbr_days,
_xlpm.one_day_spend)</f>
        <v>#DIV/0!</v>
      </c>
    </row>
    <row r="22" spans="1:14" x14ac:dyDescent="0.2">
      <c r="A22" t="s">
        <v>262</v>
      </c>
      <c r="B22" t="s">
        <v>262</v>
      </c>
      <c r="C22" s="224">
        <f ca="1">_xlfn.LET(_xlpm.end_date,MAX(Raw!$H$3:$H$9149),
_xlpm.start_date,_xlpm.end_date-30,
_xlpm.NTM_day_count,EDATE(TODAY(),12)-TODAY(),
_xlpm.total_spend,SUMIFS(Raw!$F$3:$F$9149,Raw!$H$3:$H$9149,"&gt;="&amp;_xlpm.start_date,Raw!$D$3:$D$9149,'Ref Data'!$B22),
_xlpm.one_day_spend,_xlpm.total_spend/30,
_xlpm.one_day_spend*_xlpm.NTM_day_count)</f>
        <v>0</v>
      </c>
      <c r="D22" s="224">
        <f>_xlfn.LET(_xlpm.end_date,MAX(Raw!$H$3:$H$9149),
_xlpm.start_date,EOMONTH(_xlpm.end_date,-12),
_xlpm.nbr_days,_xlpm.end_date-_xlpm.start_date,
_xlpm.ltm_spend,SUMIFS(Raw!$F$3:$F$9149,Raw!$H$3:$H$9149,"&gt;="&amp;_xlpm.start_date,Raw!$D$3:$D$9149,'Ref Data'!$B22),
_xlpm.ltm_spend)</f>
        <v>0</v>
      </c>
      <c r="E22" s="224" t="e">
        <f ca="1">_xlfn.LET(_xlpm.total_spend,SUMIFS(Raw!$F$3:$F$9149,Raw!$D$3:$D$9149,'Ref Data'!$B22),
_xlpm.start_date,MIN(Raw!$H$3:$H$9149),
_xlpm.end_date,MAX(Raw!$H$3:$H$9149),
_xlpm.nbr_days,_xlpm.end_date-_xlpm.start_date,
_xlpm.NTM_day_count,EDATE(TODAY(),12)-TODAY(),
_xlpm.one_day_spend,_xlpm.total_spend/_xlpm.nbr_days,
_xlpm.one_day_spend*_xlpm.NTM_day_count)</f>
        <v>#DIV/0!</v>
      </c>
      <c r="F22" s="224">
        <f>_xlfn.LET(_xlpm.end_date,MAX(Raw!$H$3:$H$9149),
_xlpm.start_date,_xlpm.end_date-30,
SUMIFS(Raw!$F$3:$F$9149,Raw!$H$3:$H$9149,"&gt;="&amp;_xlpm.start_date,Raw!$D$3:$D$9149,'Ref Data'!$B22))</f>
        <v>0</v>
      </c>
      <c r="G22" s="224" t="e">
        <f>_xlfn.LET(_xlpm.end_date,MAX(Raw!$H$3:$H$9149),
_xlpm.start_date,EOMONTH(_xlpm.end_date,-12),
_xlpm.nbr_days,_xlpm.end_date-_xlpm.start_date,
_xlpm.ltm_spend,SUMIFS(Raw!$F$3:$F$9149,Raw!$H$3:$H$9149,"&gt;="&amp;_xlpm.start_date,Raw!$D$3:$D$9149,'Ref Data'!$B22),
_xlpm.one_day_spend,_xlpm.ltm_spend/_xlpm.nbr_days,
_xlpm.one_day_spend*30)</f>
        <v>#NUM!</v>
      </c>
      <c r="H22" s="224" t="e">
        <f>_xlfn.LET(_xlpm.total_spend,SUMIFS(Raw!$F$3:$F$9149,Raw!$D$3:$D$9149,'Ref Data'!$B22),
_xlpm.start_date,MIN(Raw!$H$3:$H$9149),
_xlpm.end_date,MAX(Raw!$H$3:$H$9149),
_xlpm.nbr_days,_xlpm.end_date-_xlpm.start_date,
_xlpm.one_day_spend,_xlpm.total_spend/_xlpm.nbr_days,
_xlpm.one_day_spend*30)</f>
        <v>#DIV/0!</v>
      </c>
      <c r="I22" s="224">
        <f>_xlfn.LET(_xlpm.end_date,MAX(Raw!$H$3:$H$9149),
_xlpm.start_date,_xlpm.end_date-30,
SUMIFS(Raw!$F$3:$F$9149,Raw!$H$3:$H$9149,"&gt;="&amp;_xlpm.start_date,Raw!$D$3:$D$9149,'Ref Data'!$B22)/30*7)</f>
        <v>0</v>
      </c>
      <c r="J22" s="224" t="e">
        <f>_xlfn.LET(_xlpm.end_date,MAX(Raw!$H$3:$H$9149),
_xlpm.start_date,EOMONTH(_xlpm.end_date,-12),
_xlpm.nbr_days,_xlpm.end_date-_xlpm.start_date,
_xlpm.ltm_spend,SUMIFS(Raw!$F$3:$F$9149,Raw!$H$3:$H$9149,"&gt;="&amp;_xlpm.start_date,Raw!$D$3:$D$9149,'Ref Data'!$B22),
_xlpm.one_day_spend,_xlpm.ltm_spend/_xlpm.nbr_days,
_xlpm.one_day_spend*7)</f>
        <v>#NUM!</v>
      </c>
      <c r="K22" s="224" t="e">
        <f>_xlfn.LET(_xlpm.total_spend,SUMIFS(Raw!$F$3:$F$9149,Raw!$D$3:$D$9149,'Ref Data'!$B22),
_xlpm.start_date,MIN(Raw!$H$3:$H$9149),
_xlpm.end_date,MAX(Raw!$H$3:$H$9149),
_xlpm.nbr_days,_xlpm.end_date-_xlpm.start_date,
_xlpm.one_day_spend,_xlpm.total_spend/_xlpm.nbr_days,
_xlpm.one_day_spend*7)</f>
        <v>#DIV/0!</v>
      </c>
      <c r="L22" s="224">
        <f>_xlfn.LET(_xlpm.end_date,MAX(Raw!$H$3:$H$9149),
_xlpm.start_date,_xlpm.end_date-30,
SUMIFS(Raw!$F$3:$F$9149,Raw!$H$3:$H$9149,"&gt;="&amp;_xlpm.start_date,Raw!$D$3:$D$9149,'Ref Data'!$B22)/30)</f>
        <v>0</v>
      </c>
      <c r="M22" s="224" t="e">
        <f>_xlfn.LET(_xlpm.end_date,MAX(Raw!$H$3:$H$9149),
_xlpm.start_date,EOMONTH(_xlpm.end_date,-12),
_xlpm.nbr_days,_xlpm.end_date-_xlpm.start_date,
_xlpm.ltm_spend,SUMIFS(Raw!$F$3:$F$9149,Raw!$H$3:$H$9149,"&gt;="&amp;_xlpm.start_date,Raw!$D$3:$D$9149,'Ref Data'!$B22),
_xlpm.one_day_spend,_xlpm.ltm_spend/_xlpm.nbr_days,
_xlpm.one_day_spend)</f>
        <v>#NUM!</v>
      </c>
      <c r="N22" s="224" t="e">
        <f>_xlfn.LET(_xlpm.total_spend,SUMIFS(Raw!$F$3:$F$9149,Raw!$D$3:$D$9149,'Ref Data'!$B22),
_xlpm.start_date,MIN(Raw!$H$3:$H$9149),
_xlpm.end_date,MAX(Raw!$H$3:$H$9149),
_xlpm.nbr_days,_xlpm.end_date-_xlpm.start_date,
_xlpm.one_day_spend,_xlpm.total_spend/_xlpm.nbr_days,
_xlpm.one_day_spend)</f>
        <v>#DIV/0!</v>
      </c>
    </row>
    <row r="23" spans="1:14" x14ac:dyDescent="0.2">
      <c r="A23" t="s">
        <v>291</v>
      </c>
      <c r="B23" t="s">
        <v>273</v>
      </c>
      <c r="C23" s="224">
        <f ca="1">_xlfn.LET(_xlpm.end_date,MAX(Raw!$H$3:$H$9149),
_xlpm.start_date,_xlpm.end_date-30,
_xlpm.NTM_day_count,EDATE(TODAY(),12)-TODAY(),
_xlpm.total_spend,SUMIFS(Raw!$F$3:$F$9149,Raw!$H$3:$H$9149,"&gt;="&amp;_xlpm.start_date,Raw!$D$3:$D$9149,'Ref Data'!$B23),
_xlpm.one_day_spend,_xlpm.total_spend/30,
_xlpm.one_day_spend*_xlpm.NTM_day_count)</f>
        <v>0</v>
      </c>
      <c r="D23" s="224">
        <f>_xlfn.LET(_xlpm.end_date,MAX(Raw!$H$3:$H$9149),
_xlpm.start_date,EOMONTH(_xlpm.end_date,-12),
_xlpm.nbr_days,_xlpm.end_date-_xlpm.start_date,
_xlpm.ltm_spend,SUMIFS(Raw!$F$3:$F$9149,Raw!$H$3:$H$9149,"&gt;="&amp;_xlpm.start_date,Raw!$D$3:$D$9149,'Ref Data'!$B23),
_xlpm.ltm_spend)</f>
        <v>0</v>
      </c>
      <c r="E23" s="224" t="e">
        <f ca="1">_xlfn.LET(_xlpm.total_spend,SUMIFS(Raw!$F$3:$F$9149,Raw!$D$3:$D$9149,'Ref Data'!$B23),
_xlpm.start_date,MIN(Raw!$H$3:$H$9149),
_xlpm.end_date,MAX(Raw!$H$3:$H$9149),
_xlpm.nbr_days,_xlpm.end_date-_xlpm.start_date,
_xlpm.NTM_day_count,EDATE(TODAY(),12)-TODAY(),
_xlpm.one_day_spend,_xlpm.total_spend/_xlpm.nbr_days,
_xlpm.one_day_spend*_xlpm.NTM_day_count)</f>
        <v>#DIV/0!</v>
      </c>
      <c r="F23" s="224">
        <f>_xlfn.LET(_xlpm.end_date,MAX(Raw!$H$3:$H$9149),
_xlpm.start_date,_xlpm.end_date-30,
SUMIFS(Raw!$F$3:$F$9149,Raw!$H$3:$H$9149,"&gt;="&amp;_xlpm.start_date,Raw!$D$3:$D$9149,'Ref Data'!$B23))</f>
        <v>0</v>
      </c>
      <c r="G23" s="224" t="e">
        <f>_xlfn.LET(_xlpm.end_date,MAX(Raw!$H$3:$H$9149),
_xlpm.start_date,EOMONTH(_xlpm.end_date,-12),
_xlpm.nbr_days,_xlpm.end_date-_xlpm.start_date,
_xlpm.ltm_spend,SUMIFS(Raw!$F$3:$F$9149,Raw!$H$3:$H$9149,"&gt;="&amp;_xlpm.start_date,Raw!$D$3:$D$9149,'Ref Data'!$B23),
_xlpm.one_day_spend,_xlpm.ltm_spend/_xlpm.nbr_days,
_xlpm.one_day_spend*30)</f>
        <v>#NUM!</v>
      </c>
      <c r="H23" s="224" t="e">
        <f>_xlfn.LET(_xlpm.total_spend,SUMIFS(Raw!$F$3:$F$9149,Raw!$D$3:$D$9149,'Ref Data'!$B23),
_xlpm.start_date,MIN(Raw!$H$3:$H$9149),
_xlpm.end_date,MAX(Raw!$H$3:$H$9149),
_xlpm.nbr_days,_xlpm.end_date-_xlpm.start_date,
_xlpm.one_day_spend,_xlpm.total_spend/_xlpm.nbr_days,
_xlpm.one_day_spend*30)</f>
        <v>#DIV/0!</v>
      </c>
      <c r="I23" s="224">
        <f>_xlfn.LET(_xlpm.end_date,MAX(Raw!$H$3:$H$9149),
_xlpm.start_date,_xlpm.end_date-30,
SUMIFS(Raw!$F$3:$F$9149,Raw!$H$3:$H$9149,"&gt;="&amp;_xlpm.start_date,Raw!$D$3:$D$9149,'Ref Data'!$B23)/30*7)</f>
        <v>0</v>
      </c>
      <c r="J23" s="224" t="e">
        <f>_xlfn.LET(_xlpm.end_date,MAX(Raw!$H$3:$H$9149),
_xlpm.start_date,EOMONTH(_xlpm.end_date,-12),
_xlpm.nbr_days,_xlpm.end_date-_xlpm.start_date,
_xlpm.ltm_spend,SUMIFS(Raw!$F$3:$F$9149,Raw!$H$3:$H$9149,"&gt;="&amp;_xlpm.start_date,Raw!$D$3:$D$9149,'Ref Data'!$B23),
_xlpm.one_day_spend,_xlpm.ltm_spend/_xlpm.nbr_days,
_xlpm.one_day_spend*7)</f>
        <v>#NUM!</v>
      </c>
      <c r="K23" s="224" t="e">
        <f>_xlfn.LET(_xlpm.total_spend,SUMIFS(Raw!$F$3:$F$9149,Raw!$D$3:$D$9149,'Ref Data'!$B23),
_xlpm.start_date,MIN(Raw!$H$3:$H$9149),
_xlpm.end_date,MAX(Raw!$H$3:$H$9149),
_xlpm.nbr_days,_xlpm.end_date-_xlpm.start_date,
_xlpm.one_day_spend,_xlpm.total_spend/_xlpm.nbr_days,
_xlpm.one_day_spend*7)</f>
        <v>#DIV/0!</v>
      </c>
      <c r="L23" s="224">
        <f>_xlfn.LET(_xlpm.end_date,MAX(Raw!$H$3:$H$9149),
_xlpm.start_date,_xlpm.end_date-30,
SUMIFS(Raw!$F$3:$F$9149,Raw!$H$3:$H$9149,"&gt;="&amp;_xlpm.start_date,Raw!$D$3:$D$9149,'Ref Data'!$B23)/30)</f>
        <v>0</v>
      </c>
      <c r="M23" s="224" t="e">
        <f>_xlfn.LET(_xlpm.end_date,MAX(Raw!$H$3:$H$9149),
_xlpm.start_date,EOMONTH(_xlpm.end_date,-12),
_xlpm.nbr_days,_xlpm.end_date-_xlpm.start_date,
_xlpm.ltm_spend,SUMIFS(Raw!$F$3:$F$9149,Raw!$H$3:$H$9149,"&gt;="&amp;_xlpm.start_date,Raw!$D$3:$D$9149,'Ref Data'!$B23),
_xlpm.one_day_spend,_xlpm.ltm_spend/_xlpm.nbr_days,
_xlpm.one_day_spend)</f>
        <v>#NUM!</v>
      </c>
      <c r="N23" s="224" t="e">
        <f>_xlfn.LET(_xlpm.total_spend,SUMIFS(Raw!$F$3:$F$9149,Raw!$D$3:$D$9149,'Ref Data'!$B23),
_xlpm.start_date,MIN(Raw!$H$3:$H$9149),
_xlpm.end_date,MAX(Raw!$H$3:$H$9149),
_xlpm.nbr_days,_xlpm.end_date-_xlpm.start_date,
_xlpm.one_day_spend,_xlpm.total_spend/_xlpm.nbr_days,
_xlpm.one_day_spend)</f>
        <v>#DIV/0!</v>
      </c>
    </row>
    <row r="24" spans="1:14" x14ac:dyDescent="0.2">
      <c r="A24" s="28" t="s">
        <v>118</v>
      </c>
      <c r="B24" t="s">
        <v>259</v>
      </c>
      <c r="C24" s="224">
        <f ca="1">_xlfn.LET(_xlpm.end_date,MAX(Raw!$H$3:$H$9149),
_xlpm.start_date,_xlpm.end_date-30,
_xlpm.NTM_day_count,EDATE(TODAY(),12)-TODAY(),
_xlpm.total_spend,SUMIFS(Raw!$F$3:$F$9149,Raw!$H$3:$H$9149,"&gt;="&amp;_xlpm.start_date,Raw!$D$3:$D$9149,'Ref Data'!$B24),
_xlpm.one_day_spend,_xlpm.total_spend/30,
_xlpm.one_day_spend*_xlpm.NTM_day_count)</f>
        <v>0</v>
      </c>
      <c r="D24" s="224">
        <f>_xlfn.LET(_xlpm.end_date,MAX(Raw!$H$3:$H$9149),
_xlpm.start_date,EOMONTH(_xlpm.end_date,-12),
_xlpm.nbr_days,_xlpm.end_date-_xlpm.start_date,
_xlpm.ltm_spend,SUMIFS(Raw!$F$3:$F$9149,Raw!$H$3:$H$9149,"&gt;="&amp;_xlpm.start_date,Raw!$D$3:$D$9149,'Ref Data'!$B24),
_xlpm.ltm_spend)</f>
        <v>0</v>
      </c>
      <c r="E24" s="224" t="e">
        <f ca="1">_xlfn.LET(_xlpm.total_spend,SUMIFS(Raw!$F$3:$F$9149,Raw!$D$3:$D$9149,'Ref Data'!$B24),
_xlpm.start_date,MIN(Raw!$H$3:$H$9149),
_xlpm.end_date,MAX(Raw!$H$3:$H$9149),
_xlpm.nbr_days,_xlpm.end_date-_xlpm.start_date,
_xlpm.NTM_day_count,EDATE(TODAY(),12)-TODAY(),
_xlpm.one_day_spend,_xlpm.total_spend/_xlpm.nbr_days,
_xlpm.one_day_spend*_xlpm.NTM_day_count)</f>
        <v>#DIV/0!</v>
      </c>
      <c r="F24" s="224">
        <f>_xlfn.LET(_xlpm.end_date,MAX(Raw!$H$3:$H$9149),
_xlpm.start_date,_xlpm.end_date-30,
SUMIFS(Raw!$F$3:$F$9149,Raw!$H$3:$H$9149,"&gt;="&amp;_xlpm.start_date,Raw!$D$3:$D$9149,'Ref Data'!$B24))</f>
        <v>0</v>
      </c>
      <c r="G24" s="224" t="e">
        <f>_xlfn.LET(_xlpm.end_date,MAX(Raw!$H$3:$H$9149),
_xlpm.start_date,EOMONTH(_xlpm.end_date,-12),
_xlpm.nbr_days,_xlpm.end_date-_xlpm.start_date,
_xlpm.ltm_spend,SUMIFS(Raw!$F$3:$F$9149,Raw!$H$3:$H$9149,"&gt;="&amp;_xlpm.start_date,Raw!$D$3:$D$9149,'Ref Data'!$B24),
_xlpm.one_day_spend,_xlpm.ltm_spend/_xlpm.nbr_days,
_xlpm.one_day_spend*30)</f>
        <v>#NUM!</v>
      </c>
      <c r="H24" s="224" t="e">
        <f>_xlfn.LET(_xlpm.total_spend,SUMIFS(Raw!$F$3:$F$9149,Raw!$D$3:$D$9149,'Ref Data'!$B24),
_xlpm.start_date,MIN(Raw!$H$3:$H$9149),
_xlpm.end_date,MAX(Raw!$H$3:$H$9149),
_xlpm.nbr_days,_xlpm.end_date-_xlpm.start_date,
_xlpm.one_day_spend,_xlpm.total_spend/_xlpm.nbr_days,
_xlpm.one_day_spend*30)</f>
        <v>#DIV/0!</v>
      </c>
      <c r="I24" s="224">
        <f>_xlfn.LET(_xlpm.end_date,MAX(Raw!$H$3:$H$9149),
_xlpm.start_date,_xlpm.end_date-30,
SUMIFS(Raw!$F$3:$F$9149,Raw!$H$3:$H$9149,"&gt;="&amp;_xlpm.start_date,Raw!$D$3:$D$9149,'Ref Data'!$B24)/30*7)</f>
        <v>0</v>
      </c>
      <c r="J24" s="224" t="e">
        <f>_xlfn.LET(_xlpm.end_date,MAX(Raw!$H$3:$H$9149),
_xlpm.start_date,EOMONTH(_xlpm.end_date,-12),
_xlpm.nbr_days,_xlpm.end_date-_xlpm.start_date,
_xlpm.ltm_spend,SUMIFS(Raw!$F$3:$F$9149,Raw!$H$3:$H$9149,"&gt;="&amp;_xlpm.start_date,Raw!$D$3:$D$9149,'Ref Data'!$B24),
_xlpm.one_day_spend,_xlpm.ltm_spend/_xlpm.nbr_days,
_xlpm.one_day_spend*7)</f>
        <v>#NUM!</v>
      </c>
      <c r="K24" s="224" t="e">
        <f>_xlfn.LET(_xlpm.total_spend,SUMIFS(Raw!$F$3:$F$9149,Raw!$D$3:$D$9149,'Ref Data'!$B24),
_xlpm.start_date,MIN(Raw!$H$3:$H$9149),
_xlpm.end_date,MAX(Raw!$H$3:$H$9149),
_xlpm.nbr_days,_xlpm.end_date-_xlpm.start_date,
_xlpm.one_day_spend,_xlpm.total_spend/_xlpm.nbr_days,
_xlpm.one_day_spend*7)</f>
        <v>#DIV/0!</v>
      </c>
      <c r="L24" s="224">
        <f>_xlfn.LET(_xlpm.end_date,MAX(Raw!$H$3:$H$9149),
_xlpm.start_date,_xlpm.end_date-30,
SUMIFS(Raw!$F$3:$F$9149,Raw!$H$3:$H$9149,"&gt;="&amp;_xlpm.start_date,Raw!$D$3:$D$9149,'Ref Data'!$B24)/30)</f>
        <v>0</v>
      </c>
      <c r="M24" s="224" t="e">
        <f>_xlfn.LET(_xlpm.end_date,MAX(Raw!$H$3:$H$9149),
_xlpm.start_date,EOMONTH(_xlpm.end_date,-12),
_xlpm.nbr_days,_xlpm.end_date-_xlpm.start_date,
_xlpm.ltm_spend,SUMIFS(Raw!$F$3:$F$9149,Raw!$H$3:$H$9149,"&gt;="&amp;_xlpm.start_date,Raw!$D$3:$D$9149,'Ref Data'!$B24),
_xlpm.one_day_spend,_xlpm.ltm_spend/_xlpm.nbr_days,
_xlpm.one_day_spend)</f>
        <v>#NUM!</v>
      </c>
      <c r="N24" s="224" t="e">
        <f>_xlfn.LET(_xlpm.total_spend,SUMIFS(Raw!$F$3:$F$9149,Raw!$D$3:$D$9149,'Ref Data'!$B24),
_xlpm.start_date,MIN(Raw!$H$3:$H$9149),
_xlpm.end_date,MAX(Raw!$H$3:$H$9149),
_xlpm.nbr_days,_xlpm.end_date-_xlpm.start_date,
_xlpm.one_day_spend,_xlpm.total_spend/_xlpm.nbr_days,
_xlpm.one_day_spend)</f>
        <v>#DIV/0!</v>
      </c>
    </row>
    <row r="25" spans="1:14" x14ac:dyDescent="0.2">
      <c r="A25" s="28" t="s">
        <v>118</v>
      </c>
      <c r="B25" t="s">
        <v>261</v>
      </c>
      <c r="C25" s="224">
        <f ca="1">_xlfn.LET(_xlpm.end_date,MAX(Raw!$H$3:$H$9149),
_xlpm.start_date,_xlpm.end_date-30,
_xlpm.NTM_day_count,EDATE(TODAY(),12)-TODAY(),
_xlpm.total_spend,SUMIFS(Raw!$F$3:$F$9149,Raw!$H$3:$H$9149,"&gt;="&amp;_xlpm.start_date,Raw!$D$3:$D$9149,'Ref Data'!$B25),
_xlpm.one_day_spend,_xlpm.total_spend/30,
_xlpm.one_day_spend*_xlpm.NTM_day_count)</f>
        <v>0</v>
      </c>
      <c r="D25" s="224">
        <f>_xlfn.LET(_xlpm.end_date,MAX(Raw!$H$3:$H$9149),
_xlpm.start_date,EOMONTH(_xlpm.end_date,-12),
_xlpm.nbr_days,_xlpm.end_date-_xlpm.start_date,
_xlpm.ltm_spend,SUMIFS(Raw!$F$3:$F$9149,Raw!$H$3:$H$9149,"&gt;="&amp;_xlpm.start_date,Raw!$D$3:$D$9149,'Ref Data'!$B25),
_xlpm.ltm_spend)</f>
        <v>0</v>
      </c>
      <c r="E25" s="224" t="e">
        <f ca="1">_xlfn.LET(_xlpm.total_spend,SUMIFS(Raw!$F$3:$F$9149,Raw!$D$3:$D$9149,'Ref Data'!$B25),
_xlpm.start_date,MIN(Raw!$H$3:$H$9149),
_xlpm.end_date,MAX(Raw!$H$3:$H$9149),
_xlpm.nbr_days,_xlpm.end_date-_xlpm.start_date,
_xlpm.NTM_day_count,EDATE(TODAY(),12)-TODAY(),
_xlpm.one_day_spend,_xlpm.total_spend/_xlpm.nbr_days,
_xlpm.one_day_spend*_xlpm.NTM_day_count)</f>
        <v>#DIV/0!</v>
      </c>
      <c r="F25" s="224">
        <f>_xlfn.LET(_xlpm.end_date,MAX(Raw!$H$3:$H$9149),
_xlpm.start_date,_xlpm.end_date-30,
SUMIFS(Raw!$F$3:$F$9149,Raw!$H$3:$H$9149,"&gt;="&amp;_xlpm.start_date,Raw!$D$3:$D$9149,'Ref Data'!$B25))</f>
        <v>0</v>
      </c>
      <c r="G25" s="224" t="e">
        <f>_xlfn.LET(_xlpm.end_date,MAX(Raw!$H$3:$H$9149),
_xlpm.start_date,EOMONTH(_xlpm.end_date,-12),
_xlpm.nbr_days,_xlpm.end_date-_xlpm.start_date,
_xlpm.ltm_spend,SUMIFS(Raw!$F$3:$F$9149,Raw!$H$3:$H$9149,"&gt;="&amp;_xlpm.start_date,Raw!$D$3:$D$9149,'Ref Data'!$B25),
_xlpm.one_day_spend,_xlpm.ltm_spend/_xlpm.nbr_days,
_xlpm.one_day_spend*30)</f>
        <v>#NUM!</v>
      </c>
      <c r="H25" s="224" t="e">
        <f>_xlfn.LET(_xlpm.total_spend,SUMIFS(Raw!$F$3:$F$9149,Raw!$D$3:$D$9149,'Ref Data'!$B25),
_xlpm.start_date,MIN(Raw!$H$3:$H$9149),
_xlpm.end_date,MAX(Raw!$H$3:$H$9149),
_xlpm.nbr_days,_xlpm.end_date-_xlpm.start_date,
_xlpm.one_day_spend,_xlpm.total_spend/_xlpm.nbr_days,
_xlpm.one_day_spend*30)</f>
        <v>#DIV/0!</v>
      </c>
      <c r="I25" s="224">
        <f>_xlfn.LET(_xlpm.end_date,MAX(Raw!$H$3:$H$9149),
_xlpm.start_date,_xlpm.end_date-30,
SUMIFS(Raw!$F$3:$F$9149,Raw!$H$3:$H$9149,"&gt;="&amp;_xlpm.start_date,Raw!$D$3:$D$9149,'Ref Data'!$B25)/30*7)</f>
        <v>0</v>
      </c>
      <c r="J25" s="224" t="e">
        <f>_xlfn.LET(_xlpm.end_date,MAX(Raw!$H$3:$H$9149),
_xlpm.start_date,EOMONTH(_xlpm.end_date,-12),
_xlpm.nbr_days,_xlpm.end_date-_xlpm.start_date,
_xlpm.ltm_spend,SUMIFS(Raw!$F$3:$F$9149,Raw!$H$3:$H$9149,"&gt;="&amp;_xlpm.start_date,Raw!$D$3:$D$9149,'Ref Data'!$B25),
_xlpm.one_day_spend,_xlpm.ltm_spend/_xlpm.nbr_days,
_xlpm.one_day_spend*7)</f>
        <v>#NUM!</v>
      </c>
      <c r="K25" s="224" t="e">
        <f>_xlfn.LET(_xlpm.total_spend,SUMIFS(Raw!$F$3:$F$9149,Raw!$D$3:$D$9149,'Ref Data'!$B25),
_xlpm.start_date,MIN(Raw!$H$3:$H$9149),
_xlpm.end_date,MAX(Raw!$H$3:$H$9149),
_xlpm.nbr_days,_xlpm.end_date-_xlpm.start_date,
_xlpm.one_day_spend,_xlpm.total_spend/_xlpm.nbr_days,
_xlpm.one_day_spend*7)</f>
        <v>#DIV/0!</v>
      </c>
      <c r="L25" s="224">
        <f>_xlfn.LET(_xlpm.end_date,MAX(Raw!$H$3:$H$9149),
_xlpm.start_date,_xlpm.end_date-30,
SUMIFS(Raw!$F$3:$F$9149,Raw!$H$3:$H$9149,"&gt;="&amp;_xlpm.start_date,Raw!$D$3:$D$9149,'Ref Data'!$B25)/30)</f>
        <v>0</v>
      </c>
      <c r="M25" s="224" t="e">
        <f>_xlfn.LET(_xlpm.end_date,MAX(Raw!$H$3:$H$9149),
_xlpm.start_date,EOMONTH(_xlpm.end_date,-12),
_xlpm.nbr_days,_xlpm.end_date-_xlpm.start_date,
_xlpm.ltm_spend,SUMIFS(Raw!$F$3:$F$9149,Raw!$H$3:$H$9149,"&gt;="&amp;_xlpm.start_date,Raw!$D$3:$D$9149,'Ref Data'!$B25),
_xlpm.one_day_spend,_xlpm.ltm_spend/_xlpm.nbr_days,
_xlpm.one_day_spend)</f>
        <v>#NUM!</v>
      </c>
      <c r="N25" s="224" t="e">
        <f>_xlfn.LET(_xlpm.total_spend,SUMIFS(Raw!$F$3:$F$9149,Raw!$D$3:$D$9149,'Ref Data'!$B25),
_xlpm.start_date,MIN(Raw!$H$3:$H$9149),
_xlpm.end_date,MAX(Raw!$H$3:$H$9149),
_xlpm.nbr_days,_xlpm.end_date-_xlpm.start_date,
_xlpm.one_day_spend,_xlpm.total_spend/_xlpm.nbr_days,
_xlpm.one_day_spend)</f>
        <v>#DIV/0!</v>
      </c>
    </row>
    <row r="26" spans="1:14" x14ac:dyDescent="0.2">
      <c r="A26" s="28" t="s">
        <v>118</v>
      </c>
      <c r="B26" t="s">
        <v>267</v>
      </c>
      <c r="C26" s="224">
        <f ca="1">_xlfn.LET(_xlpm.end_date,MAX(Raw!$H$3:$H$9149),
_xlpm.start_date,_xlpm.end_date-30,
_xlpm.NTM_day_count,EDATE(TODAY(),12)-TODAY(),
_xlpm.total_spend,SUMIFS(Raw!$F$3:$F$9149,Raw!$H$3:$H$9149,"&gt;="&amp;_xlpm.start_date,Raw!$D$3:$D$9149,'Ref Data'!$B26),
_xlpm.one_day_spend,_xlpm.total_spend/30,
_xlpm.one_day_spend*_xlpm.NTM_day_count)</f>
        <v>0</v>
      </c>
      <c r="D26" s="224">
        <f>_xlfn.LET(_xlpm.end_date,MAX(Raw!$H$3:$H$9149),
_xlpm.start_date,EOMONTH(_xlpm.end_date,-12),
_xlpm.nbr_days,_xlpm.end_date-_xlpm.start_date,
_xlpm.ltm_spend,SUMIFS(Raw!$F$3:$F$9149,Raw!$H$3:$H$9149,"&gt;="&amp;_xlpm.start_date,Raw!$D$3:$D$9149,'Ref Data'!$B26),
_xlpm.ltm_spend)</f>
        <v>0</v>
      </c>
      <c r="E26" s="224" t="e">
        <f ca="1">_xlfn.LET(_xlpm.total_spend,SUMIFS(Raw!$F$3:$F$9149,Raw!$D$3:$D$9149,'Ref Data'!$B26),
_xlpm.start_date,MIN(Raw!$H$3:$H$9149),
_xlpm.end_date,MAX(Raw!$H$3:$H$9149),
_xlpm.nbr_days,_xlpm.end_date-_xlpm.start_date,
_xlpm.NTM_day_count,EDATE(TODAY(),12)-TODAY(),
_xlpm.one_day_spend,_xlpm.total_spend/_xlpm.nbr_days,
_xlpm.one_day_spend*_xlpm.NTM_day_count)</f>
        <v>#DIV/0!</v>
      </c>
      <c r="F26" s="224">
        <f>_xlfn.LET(_xlpm.end_date,MAX(Raw!$H$3:$H$9149),
_xlpm.start_date,_xlpm.end_date-30,
SUMIFS(Raw!$F$3:$F$9149,Raw!$H$3:$H$9149,"&gt;="&amp;_xlpm.start_date,Raw!$D$3:$D$9149,'Ref Data'!$B26))</f>
        <v>0</v>
      </c>
      <c r="G26" s="224" t="e">
        <f>_xlfn.LET(_xlpm.end_date,MAX(Raw!$H$3:$H$9149),
_xlpm.start_date,EOMONTH(_xlpm.end_date,-12),
_xlpm.nbr_days,_xlpm.end_date-_xlpm.start_date,
_xlpm.ltm_spend,SUMIFS(Raw!$F$3:$F$9149,Raw!$H$3:$H$9149,"&gt;="&amp;_xlpm.start_date,Raw!$D$3:$D$9149,'Ref Data'!$B26),
_xlpm.one_day_spend,_xlpm.ltm_spend/_xlpm.nbr_days,
_xlpm.one_day_spend*30)</f>
        <v>#NUM!</v>
      </c>
      <c r="H26" s="224" t="e">
        <f>_xlfn.LET(_xlpm.total_spend,SUMIFS(Raw!$F$3:$F$9149,Raw!$D$3:$D$9149,'Ref Data'!$B26),
_xlpm.start_date,MIN(Raw!$H$3:$H$9149),
_xlpm.end_date,MAX(Raw!$H$3:$H$9149),
_xlpm.nbr_days,_xlpm.end_date-_xlpm.start_date,
_xlpm.one_day_spend,_xlpm.total_spend/_xlpm.nbr_days,
_xlpm.one_day_spend*30)</f>
        <v>#DIV/0!</v>
      </c>
      <c r="I26" s="224">
        <f>_xlfn.LET(_xlpm.end_date,MAX(Raw!$H$3:$H$9149),
_xlpm.start_date,_xlpm.end_date-30,
SUMIFS(Raw!$F$3:$F$9149,Raw!$H$3:$H$9149,"&gt;="&amp;_xlpm.start_date,Raw!$D$3:$D$9149,'Ref Data'!$B26)/30*7)</f>
        <v>0</v>
      </c>
      <c r="J26" s="224" t="e">
        <f>_xlfn.LET(_xlpm.end_date,MAX(Raw!$H$3:$H$9149),
_xlpm.start_date,EOMONTH(_xlpm.end_date,-12),
_xlpm.nbr_days,_xlpm.end_date-_xlpm.start_date,
_xlpm.ltm_spend,SUMIFS(Raw!$F$3:$F$9149,Raw!$H$3:$H$9149,"&gt;="&amp;_xlpm.start_date,Raw!$D$3:$D$9149,'Ref Data'!$B26),
_xlpm.one_day_spend,_xlpm.ltm_spend/_xlpm.nbr_days,
_xlpm.one_day_spend*7)</f>
        <v>#NUM!</v>
      </c>
      <c r="K26" s="224" t="e">
        <f>_xlfn.LET(_xlpm.total_spend,SUMIFS(Raw!$F$3:$F$9149,Raw!$D$3:$D$9149,'Ref Data'!$B26),
_xlpm.start_date,MIN(Raw!$H$3:$H$9149),
_xlpm.end_date,MAX(Raw!$H$3:$H$9149),
_xlpm.nbr_days,_xlpm.end_date-_xlpm.start_date,
_xlpm.one_day_spend,_xlpm.total_spend/_xlpm.nbr_days,
_xlpm.one_day_spend*7)</f>
        <v>#DIV/0!</v>
      </c>
      <c r="L26" s="224">
        <f>_xlfn.LET(_xlpm.end_date,MAX(Raw!$H$3:$H$9149),
_xlpm.start_date,_xlpm.end_date-30,
SUMIFS(Raw!$F$3:$F$9149,Raw!$H$3:$H$9149,"&gt;="&amp;_xlpm.start_date,Raw!$D$3:$D$9149,'Ref Data'!$B26)/30)</f>
        <v>0</v>
      </c>
      <c r="M26" s="224" t="e">
        <f>_xlfn.LET(_xlpm.end_date,MAX(Raw!$H$3:$H$9149),
_xlpm.start_date,EOMONTH(_xlpm.end_date,-12),
_xlpm.nbr_days,_xlpm.end_date-_xlpm.start_date,
_xlpm.ltm_spend,SUMIFS(Raw!$F$3:$F$9149,Raw!$H$3:$H$9149,"&gt;="&amp;_xlpm.start_date,Raw!$D$3:$D$9149,'Ref Data'!$B26),
_xlpm.one_day_spend,_xlpm.ltm_spend/_xlpm.nbr_days,
_xlpm.one_day_spend)</f>
        <v>#NUM!</v>
      </c>
      <c r="N26" s="224" t="e">
        <f>_xlfn.LET(_xlpm.total_spend,SUMIFS(Raw!$F$3:$F$9149,Raw!$D$3:$D$9149,'Ref Data'!$B26),
_xlpm.start_date,MIN(Raw!$H$3:$H$9149),
_xlpm.end_date,MAX(Raw!$H$3:$H$9149),
_xlpm.nbr_days,_xlpm.end_date-_xlpm.start_date,
_xlpm.one_day_spend,_xlpm.total_spend/_xlpm.nbr_days,
_xlpm.one_day_spend)</f>
        <v>#DIV/0!</v>
      </c>
    </row>
    <row r="27" spans="1:14" x14ac:dyDescent="0.2">
      <c r="A27" s="28" t="s">
        <v>118</v>
      </c>
      <c r="B27" t="s">
        <v>271</v>
      </c>
      <c r="C27" s="224">
        <f ca="1">_xlfn.LET(_xlpm.end_date,MAX(Raw!$H$3:$H$9149),
_xlpm.start_date,_xlpm.end_date-30,
_xlpm.NTM_day_count,EDATE(TODAY(),12)-TODAY(),
_xlpm.total_spend,SUMIFS(Raw!$F$3:$F$9149,Raw!$H$3:$H$9149,"&gt;="&amp;_xlpm.start_date,Raw!$D$3:$D$9149,'Ref Data'!$B27),
_xlpm.one_day_spend,_xlpm.total_spend/30,
_xlpm.one_day_spend*_xlpm.NTM_day_count)</f>
        <v>0</v>
      </c>
      <c r="D27" s="224">
        <f>_xlfn.LET(_xlpm.end_date,MAX(Raw!$H$3:$H$9149),
_xlpm.start_date,EOMONTH(_xlpm.end_date,-12),
_xlpm.nbr_days,_xlpm.end_date-_xlpm.start_date,
_xlpm.ltm_spend,SUMIFS(Raw!$F$3:$F$9149,Raw!$H$3:$H$9149,"&gt;="&amp;_xlpm.start_date,Raw!$D$3:$D$9149,'Ref Data'!$B27),
_xlpm.ltm_spend)</f>
        <v>0</v>
      </c>
      <c r="E27" s="224" t="e">
        <f ca="1">_xlfn.LET(_xlpm.total_spend,SUMIFS(Raw!$F$3:$F$9149,Raw!$D$3:$D$9149,'Ref Data'!$B27),
_xlpm.start_date,MIN(Raw!$H$3:$H$9149),
_xlpm.end_date,MAX(Raw!$H$3:$H$9149),
_xlpm.nbr_days,_xlpm.end_date-_xlpm.start_date,
_xlpm.NTM_day_count,EDATE(TODAY(),12)-TODAY(),
_xlpm.one_day_spend,_xlpm.total_spend/_xlpm.nbr_days,
_xlpm.one_day_spend*_xlpm.NTM_day_count)</f>
        <v>#DIV/0!</v>
      </c>
      <c r="F27" s="224">
        <f>_xlfn.LET(_xlpm.end_date,MAX(Raw!$H$3:$H$9149),
_xlpm.start_date,_xlpm.end_date-30,
SUMIFS(Raw!$F$3:$F$9149,Raw!$H$3:$H$9149,"&gt;="&amp;_xlpm.start_date,Raw!$D$3:$D$9149,'Ref Data'!$B27))</f>
        <v>0</v>
      </c>
      <c r="G27" s="224" t="e">
        <f>_xlfn.LET(_xlpm.end_date,MAX(Raw!$H$3:$H$9149),
_xlpm.start_date,EOMONTH(_xlpm.end_date,-12),
_xlpm.nbr_days,_xlpm.end_date-_xlpm.start_date,
_xlpm.ltm_spend,SUMIFS(Raw!$F$3:$F$9149,Raw!$H$3:$H$9149,"&gt;="&amp;_xlpm.start_date,Raw!$D$3:$D$9149,'Ref Data'!$B27),
_xlpm.one_day_spend,_xlpm.ltm_spend/_xlpm.nbr_days,
_xlpm.one_day_spend*30)</f>
        <v>#NUM!</v>
      </c>
      <c r="H27" s="224" t="e">
        <f>_xlfn.LET(_xlpm.total_spend,SUMIFS(Raw!$F$3:$F$9149,Raw!$D$3:$D$9149,'Ref Data'!$B27),
_xlpm.start_date,MIN(Raw!$H$3:$H$9149),
_xlpm.end_date,MAX(Raw!$H$3:$H$9149),
_xlpm.nbr_days,_xlpm.end_date-_xlpm.start_date,
_xlpm.one_day_spend,_xlpm.total_spend/_xlpm.nbr_days,
_xlpm.one_day_spend*30)</f>
        <v>#DIV/0!</v>
      </c>
      <c r="I27" s="224">
        <f>_xlfn.LET(_xlpm.end_date,MAX(Raw!$H$3:$H$9149),
_xlpm.start_date,_xlpm.end_date-30,
SUMIFS(Raw!$F$3:$F$9149,Raw!$H$3:$H$9149,"&gt;="&amp;_xlpm.start_date,Raw!$D$3:$D$9149,'Ref Data'!$B27)/30*7)</f>
        <v>0</v>
      </c>
      <c r="J27" s="224" t="e">
        <f>_xlfn.LET(_xlpm.end_date,MAX(Raw!$H$3:$H$9149),
_xlpm.start_date,EOMONTH(_xlpm.end_date,-12),
_xlpm.nbr_days,_xlpm.end_date-_xlpm.start_date,
_xlpm.ltm_spend,SUMIFS(Raw!$F$3:$F$9149,Raw!$H$3:$H$9149,"&gt;="&amp;_xlpm.start_date,Raw!$D$3:$D$9149,'Ref Data'!$B27),
_xlpm.one_day_spend,_xlpm.ltm_spend/_xlpm.nbr_days,
_xlpm.one_day_spend*7)</f>
        <v>#NUM!</v>
      </c>
      <c r="K27" s="224" t="e">
        <f>_xlfn.LET(_xlpm.total_spend,SUMIFS(Raw!$F$3:$F$9149,Raw!$D$3:$D$9149,'Ref Data'!$B27),
_xlpm.start_date,MIN(Raw!$H$3:$H$9149),
_xlpm.end_date,MAX(Raw!$H$3:$H$9149),
_xlpm.nbr_days,_xlpm.end_date-_xlpm.start_date,
_xlpm.one_day_spend,_xlpm.total_spend/_xlpm.nbr_days,
_xlpm.one_day_spend*7)</f>
        <v>#DIV/0!</v>
      </c>
      <c r="L27" s="224">
        <f>_xlfn.LET(_xlpm.end_date,MAX(Raw!$H$3:$H$9149),
_xlpm.start_date,_xlpm.end_date-30,
SUMIFS(Raw!$F$3:$F$9149,Raw!$H$3:$H$9149,"&gt;="&amp;_xlpm.start_date,Raw!$D$3:$D$9149,'Ref Data'!$B27)/30)</f>
        <v>0</v>
      </c>
      <c r="M27" s="224" t="e">
        <f>_xlfn.LET(_xlpm.end_date,MAX(Raw!$H$3:$H$9149),
_xlpm.start_date,EOMONTH(_xlpm.end_date,-12),
_xlpm.nbr_days,_xlpm.end_date-_xlpm.start_date,
_xlpm.ltm_spend,SUMIFS(Raw!$F$3:$F$9149,Raw!$H$3:$H$9149,"&gt;="&amp;_xlpm.start_date,Raw!$D$3:$D$9149,'Ref Data'!$B27),
_xlpm.one_day_spend,_xlpm.ltm_spend/_xlpm.nbr_days,
_xlpm.one_day_spend)</f>
        <v>#NUM!</v>
      </c>
      <c r="N27" s="224" t="e">
        <f>_xlfn.LET(_xlpm.total_spend,SUMIFS(Raw!$F$3:$F$9149,Raw!$D$3:$D$9149,'Ref Data'!$B27),
_xlpm.start_date,MIN(Raw!$H$3:$H$9149),
_xlpm.end_date,MAX(Raw!$H$3:$H$9149),
_xlpm.nbr_days,_xlpm.end_date-_xlpm.start_date,
_xlpm.one_day_spend,_xlpm.total_spend/_xlpm.nbr_days,
_xlpm.one_day_spend)</f>
        <v>#DIV/0!</v>
      </c>
    </row>
    <row r="28" spans="1:14" x14ac:dyDescent="0.2">
      <c r="A28" s="28" t="s">
        <v>118</v>
      </c>
      <c r="B28" t="s">
        <v>272</v>
      </c>
      <c r="C28" s="224">
        <f ca="1">_xlfn.LET(_xlpm.end_date,MAX(Raw!$H$3:$H$9149),
_xlpm.start_date,_xlpm.end_date-30,
_xlpm.NTM_day_count,EDATE(TODAY(),12)-TODAY(),
_xlpm.total_spend,SUMIFS(Raw!$F$3:$F$9149,Raw!$H$3:$H$9149,"&gt;="&amp;_xlpm.start_date,Raw!$D$3:$D$9149,'Ref Data'!$B28),
_xlpm.one_day_spend,_xlpm.total_spend/30,
_xlpm.one_day_spend*_xlpm.NTM_day_count)</f>
        <v>0</v>
      </c>
      <c r="D28" s="224">
        <f>_xlfn.LET(_xlpm.end_date,MAX(Raw!$H$3:$H$9149),
_xlpm.start_date,EOMONTH(_xlpm.end_date,-12),
_xlpm.nbr_days,_xlpm.end_date-_xlpm.start_date,
_xlpm.ltm_spend,SUMIFS(Raw!$F$3:$F$9149,Raw!$H$3:$H$9149,"&gt;="&amp;_xlpm.start_date,Raw!$D$3:$D$9149,'Ref Data'!$B28),
_xlpm.ltm_spend)</f>
        <v>0</v>
      </c>
      <c r="E28" s="224" t="e">
        <f ca="1">_xlfn.LET(_xlpm.total_spend,SUMIFS(Raw!$F$3:$F$9149,Raw!$D$3:$D$9149,'Ref Data'!$B28),
_xlpm.start_date,MIN(Raw!$H$3:$H$9149),
_xlpm.end_date,MAX(Raw!$H$3:$H$9149),
_xlpm.nbr_days,_xlpm.end_date-_xlpm.start_date,
_xlpm.NTM_day_count,EDATE(TODAY(),12)-TODAY(),
_xlpm.one_day_spend,_xlpm.total_spend/_xlpm.nbr_days,
_xlpm.one_day_spend*_xlpm.NTM_day_count)</f>
        <v>#DIV/0!</v>
      </c>
      <c r="F28" s="224">
        <f>_xlfn.LET(_xlpm.end_date,MAX(Raw!$H$3:$H$9149),
_xlpm.start_date,_xlpm.end_date-30,
SUMIFS(Raw!$F$3:$F$9149,Raw!$H$3:$H$9149,"&gt;="&amp;_xlpm.start_date,Raw!$D$3:$D$9149,'Ref Data'!$B28))</f>
        <v>0</v>
      </c>
      <c r="G28" s="224" t="e">
        <f>_xlfn.LET(_xlpm.end_date,MAX(Raw!$H$3:$H$9149),
_xlpm.start_date,EOMONTH(_xlpm.end_date,-12),
_xlpm.nbr_days,_xlpm.end_date-_xlpm.start_date,
_xlpm.ltm_spend,SUMIFS(Raw!$F$3:$F$9149,Raw!$H$3:$H$9149,"&gt;="&amp;_xlpm.start_date,Raw!$D$3:$D$9149,'Ref Data'!$B28),
_xlpm.one_day_spend,_xlpm.ltm_spend/_xlpm.nbr_days,
_xlpm.one_day_spend*30)</f>
        <v>#NUM!</v>
      </c>
      <c r="H28" s="224" t="e">
        <f>_xlfn.LET(_xlpm.total_spend,SUMIFS(Raw!$F$3:$F$9149,Raw!$D$3:$D$9149,'Ref Data'!$B28),
_xlpm.start_date,MIN(Raw!$H$3:$H$9149),
_xlpm.end_date,MAX(Raw!$H$3:$H$9149),
_xlpm.nbr_days,_xlpm.end_date-_xlpm.start_date,
_xlpm.one_day_spend,_xlpm.total_spend/_xlpm.nbr_days,
_xlpm.one_day_spend*30)</f>
        <v>#DIV/0!</v>
      </c>
      <c r="I28" s="224">
        <f>_xlfn.LET(_xlpm.end_date,MAX(Raw!$H$3:$H$9149),
_xlpm.start_date,_xlpm.end_date-30,
SUMIFS(Raw!$F$3:$F$9149,Raw!$H$3:$H$9149,"&gt;="&amp;_xlpm.start_date,Raw!$D$3:$D$9149,'Ref Data'!$B28)/30*7)</f>
        <v>0</v>
      </c>
      <c r="J28" s="224" t="e">
        <f>_xlfn.LET(_xlpm.end_date,MAX(Raw!$H$3:$H$9149),
_xlpm.start_date,EOMONTH(_xlpm.end_date,-12),
_xlpm.nbr_days,_xlpm.end_date-_xlpm.start_date,
_xlpm.ltm_spend,SUMIFS(Raw!$F$3:$F$9149,Raw!$H$3:$H$9149,"&gt;="&amp;_xlpm.start_date,Raw!$D$3:$D$9149,'Ref Data'!$B28),
_xlpm.one_day_spend,_xlpm.ltm_spend/_xlpm.nbr_days,
_xlpm.one_day_spend*7)</f>
        <v>#NUM!</v>
      </c>
      <c r="K28" s="224" t="e">
        <f>_xlfn.LET(_xlpm.total_spend,SUMIFS(Raw!$F$3:$F$9149,Raw!$D$3:$D$9149,'Ref Data'!$B28),
_xlpm.start_date,MIN(Raw!$H$3:$H$9149),
_xlpm.end_date,MAX(Raw!$H$3:$H$9149),
_xlpm.nbr_days,_xlpm.end_date-_xlpm.start_date,
_xlpm.one_day_spend,_xlpm.total_spend/_xlpm.nbr_days,
_xlpm.one_day_spend*7)</f>
        <v>#DIV/0!</v>
      </c>
      <c r="L28" s="224">
        <f>_xlfn.LET(_xlpm.end_date,MAX(Raw!$H$3:$H$9149),
_xlpm.start_date,_xlpm.end_date-30,
SUMIFS(Raw!$F$3:$F$9149,Raw!$H$3:$H$9149,"&gt;="&amp;_xlpm.start_date,Raw!$D$3:$D$9149,'Ref Data'!$B28)/30)</f>
        <v>0</v>
      </c>
      <c r="M28" s="224" t="e">
        <f>_xlfn.LET(_xlpm.end_date,MAX(Raw!$H$3:$H$9149),
_xlpm.start_date,EOMONTH(_xlpm.end_date,-12),
_xlpm.nbr_days,_xlpm.end_date-_xlpm.start_date,
_xlpm.ltm_spend,SUMIFS(Raw!$F$3:$F$9149,Raw!$H$3:$H$9149,"&gt;="&amp;_xlpm.start_date,Raw!$D$3:$D$9149,'Ref Data'!$B28),
_xlpm.one_day_spend,_xlpm.ltm_spend/_xlpm.nbr_days,
_xlpm.one_day_spend)</f>
        <v>#NUM!</v>
      </c>
      <c r="N28" s="224" t="e">
        <f>_xlfn.LET(_xlpm.total_spend,SUMIFS(Raw!$F$3:$F$9149,Raw!$D$3:$D$9149,'Ref Data'!$B28),
_xlpm.start_date,MIN(Raw!$H$3:$H$9149),
_xlpm.end_date,MAX(Raw!$H$3:$H$9149),
_xlpm.nbr_days,_xlpm.end_date-_xlpm.start_date,
_xlpm.one_day_spend,_xlpm.total_spend/_xlpm.nbr_days,
_xlpm.one_day_spend)</f>
        <v>#DIV/0!</v>
      </c>
    </row>
    <row r="29" spans="1:14" x14ac:dyDescent="0.2">
      <c r="A29" s="28" t="s">
        <v>118</v>
      </c>
      <c r="B29" t="s">
        <v>23</v>
      </c>
      <c r="C29" s="224">
        <f ca="1">_xlfn.LET(_xlpm.end_date,MAX(Raw!$H$3:$H$9149),
_xlpm.start_date,_xlpm.end_date-30,
_xlpm.NTM_day_count,EDATE(TODAY(),12)-TODAY(),
_xlpm.total_spend,SUMIFS(Raw!$F$3:$F$9149,Raw!$H$3:$H$9149,"&gt;="&amp;_xlpm.start_date,Raw!$D$3:$D$9149,'Ref Data'!$B29),
_xlpm.one_day_spend,_xlpm.total_spend/30,
_xlpm.one_day_spend*_xlpm.NTM_day_count)</f>
        <v>0</v>
      </c>
      <c r="D29" s="224">
        <f>_xlfn.LET(_xlpm.end_date,MAX(Raw!$H$3:$H$9149),
_xlpm.start_date,EOMONTH(_xlpm.end_date,-12),
_xlpm.nbr_days,_xlpm.end_date-_xlpm.start_date,
_xlpm.ltm_spend,SUMIFS(Raw!$F$3:$F$9149,Raw!$H$3:$H$9149,"&gt;="&amp;_xlpm.start_date,Raw!$D$3:$D$9149,'Ref Data'!$B29),
_xlpm.ltm_spend)</f>
        <v>0</v>
      </c>
      <c r="E29" s="224" t="e">
        <f ca="1">_xlfn.LET(_xlpm.total_spend,SUMIFS(Raw!$F$3:$F$9149,Raw!$D$3:$D$9149,'Ref Data'!$B29),
_xlpm.start_date,MIN(Raw!$H$3:$H$9149),
_xlpm.end_date,MAX(Raw!$H$3:$H$9149),
_xlpm.nbr_days,_xlpm.end_date-_xlpm.start_date,
_xlpm.NTM_day_count,EDATE(TODAY(),12)-TODAY(),
_xlpm.one_day_spend,_xlpm.total_spend/_xlpm.nbr_days,
_xlpm.one_day_spend*_xlpm.NTM_day_count)</f>
        <v>#DIV/0!</v>
      </c>
      <c r="F29" s="224">
        <f>_xlfn.LET(_xlpm.end_date,MAX(Raw!$H$3:$H$9149),
_xlpm.start_date,_xlpm.end_date-30,
SUMIFS(Raw!$F$3:$F$9149,Raw!$H$3:$H$9149,"&gt;="&amp;_xlpm.start_date,Raw!$D$3:$D$9149,'Ref Data'!$B29))</f>
        <v>0</v>
      </c>
      <c r="G29" s="224" t="e">
        <f>_xlfn.LET(_xlpm.end_date,MAX(Raw!$H$3:$H$9149),
_xlpm.start_date,EOMONTH(_xlpm.end_date,-12),
_xlpm.nbr_days,_xlpm.end_date-_xlpm.start_date,
_xlpm.ltm_spend,SUMIFS(Raw!$F$3:$F$9149,Raw!$H$3:$H$9149,"&gt;="&amp;_xlpm.start_date,Raw!$D$3:$D$9149,'Ref Data'!$B29),
_xlpm.one_day_spend,_xlpm.ltm_spend/_xlpm.nbr_days,
_xlpm.one_day_spend*30)</f>
        <v>#NUM!</v>
      </c>
      <c r="H29" s="224" t="e">
        <f>_xlfn.LET(_xlpm.total_spend,SUMIFS(Raw!$F$3:$F$9149,Raw!$D$3:$D$9149,'Ref Data'!$B29),
_xlpm.start_date,MIN(Raw!$H$3:$H$9149),
_xlpm.end_date,MAX(Raw!$H$3:$H$9149),
_xlpm.nbr_days,_xlpm.end_date-_xlpm.start_date,
_xlpm.one_day_spend,_xlpm.total_spend/_xlpm.nbr_days,
_xlpm.one_day_spend*30)</f>
        <v>#DIV/0!</v>
      </c>
      <c r="I29" s="224">
        <f>_xlfn.LET(_xlpm.end_date,MAX(Raw!$H$3:$H$9149),
_xlpm.start_date,_xlpm.end_date-30,
SUMIFS(Raw!$F$3:$F$9149,Raw!$H$3:$H$9149,"&gt;="&amp;_xlpm.start_date,Raw!$D$3:$D$9149,'Ref Data'!$B29)/30*7)</f>
        <v>0</v>
      </c>
      <c r="J29" s="224" t="e">
        <f>_xlfn.LET(_xlpm.end_date,MAX(Raw!$H$3:$H$9149),
_xlpm.start_date,EOMONTH(_xlpm.end_date,-12),
_xlpm.nbr_days,_xlpm.end_date-_xlpm.start_date,
_xlpm.ltm_spend,SUMIFS(Raw!$F$3:$F$9149,Raw!$H$3:$H$9149,"&gt;="&amp;_xlpm.start_date,Raw!$D$3:$D$9149,'Ref Data'!$B29),
_xlpm.one_day_spend,_xlpm.ltm_spend/_xlpm.nbr_days,
_xlpm.one_day_spend*7)</f>
        <v>#NUM!</v>
      </c>
      <c r="K29" s="224" t="e">
        <f>_xlfn.LET(_xlpm.total_spend,SUMIFS(Raw!$F$3:$F$9149,Raw!$D$3:$D$9149,'Ref Data'!$B29),
_xlpm.start_date,MIN(Raw!$H$3:$H$9149),
_xlpm.end_date,MAX(Raw!$H$3:$H$9149),
_xlpm.nbr_days,_xlpm.end_date-_xlpm.start_date,
_xlpm.one_day_spend,_xlpm.total_spend/_xlpm.nbr_days,
_xlpm.one_day_spend*7)</f>
        <v>#DIV/0!</v>
      </c>
      <c r="L29" s="224">
        <f>_xlfn.LET(_xlpm.end_date,MAX(Raw!$H$3:$H$9149),
_xlpm.start_date,_xlpm.end_date-30,
SUMIFS(Raw!$F$3:$F$9149,Raw!$H$3:$H$9149,"&gt;="&amp;_xlpm.start_date,Raw!$D$3:$D$9149,'Ref Data'!$B29)/30)</f>
        <v>0</v>
      </c>
      <c r="M29" s="224" t="e">
        <f>_xlfn.LET(_xlpm.end_date,MAX(Raw!$H$3:$H$9149),
_xlpm.start_date,EOMONTH(_xlpm.end_date,-12),
_xlpm.nbr_days,_xlpm.end_date-_xlpm.start_date,
_xlpm.ltm_spend,SUMIFS(Raw!$F$3:$F$9149,Raw!$H$3:$H$9149,"&gt;="&amp;_xlpm.start_date,Raw!$D$3:$D$9149,'Ref Data'!$B29),
_xlpm.one_day_spend,_xlpm.ltm_spend/_xlpm.nbr_days,
_xlpm.one_day_spend)</f>
        <v>#NUM!</v>
      </c>
      <c r="N29" s="224" t="e">
        <f>_xlfn.LET(_xlpm.total_spend,SUMIFS(Raw!$F$3:$F$9149,Raw!$D$3:$D$9149,'Ref Data'!$B29),
_xlpm.start_date,MIN(Raw!$H$3:$H$9149),
_xlpm.end_date,MAX(Raw!$H$3:$H$9149),
_xlpm.nbr_days,_xlpm.end_date-_xlpm.start_date,
_xlpm.one_day_spend,_xlpm.total_spend/_xlpm.nbr_days,
_xlpm.one_day_spend)</f>
        <v>#DIV/0!</v>
      </c>
    </row>
    <row r="30" spans="1:14" x14ac:dyDescent="0.2">
      <c r="A30" s="28" t="s">
        <v>118</v>
      </c>
      <c r="B30" t="s">
        <v>278</v>
      </c>
      <c r="C30" s="224">
        <f ca="1">_xlfn.LET(_xlpm.end_date,MAX(Raw!$H$3:$H$9149),
_xlpm.start_date,_xlpm.end_date-30,
_xlpm.NTM_day_count,EDATE(TODAY(),12)-TODAY(),
_xlpm.total_spend,SUMIFS(Raw!$F$3:$F$9149,Raw!$H$3:$H$9149,"&gt;="&amp;_xlpm.start_date,Raw!$D$3:$D$9149,'Ref Data'!$B30),
_xlpm.one_day_spend,_xlpm.total_spend/30,
_xlpm.one_day_spend*_xlpm.NTM_day_count)</f>
        <v>0</v>
      </c>
      <c r="D30" s="224">
        <f>_xlfn.LET(_xlpm.end_date,MAX(Raw!$H$3:$H$9149),
_xlpm.start_date,EOMONTH(_xlpm.end_date,-12),
_xlpm.nbr_days,_xlpm.end_date-_xlpm.start_date,
_xlpm.ltm_spend,SUMIFS(Raw!$F$3:$F$9149,Raw!$H$3:$H$9149,"&gt;="&amp;_xlpm.start_date,Raw!$D$3:$D$9149,'Ref Data'!$B30),
_xlpm.ltm_spend)</f>
        <v>0</v>
      </c>
      <c r="E30" s="224" t="e">
        <f ca="1">_xlfn.LET(_xlpm.total_spend,SUMIFS(Raw!$F$3:$F$9149,Raw!$D$3:$D$9149,'Ref Data'!$B30),
_xlpm.start_date,MIN(Raw!$H$3:$H$9149),
_xlpm.end_date,MAX(Raw!$H$3:$H$9149),
_xlpm.nbr_days,_xlpm.end_date-_xlpm.start_date,
_xlpm.NTM_day_count,EDATE(TODAY(),12)-TODAY(),
_xlpm.one_day_spend,_xlpm.total_spend/_xlpm.nbr_days,
_xlpm.one_day_spend*_xlpm.NTM_day_count)</f>
        <v>#DIV/0!</v>
      </c>
      <c r="F30" s="224">
        <f>_xlfn.LET(_xlpm.end_date,MAX(Raw!$H$3:$H$9149),
_xlpm.start_date,_xlpm.end_date-30,
SUMIFS(Raw!$F$3:$F$9149,Raw!$H$3:$H$9149,"&gt;="&amp;_xlpm.start_date,Raw!$D$3:$D$9149,'Ref Data'!$B30))</f>
        <v>0</v>
      </c>
      <c r="G30" s="224" t="e">
        <f>_xlfn.LET(_xlpm.end_date,MAX(Raw!$H$3:$H$9149),
_xlpm.start_date,EOMONTH(_xlpm.end_date,-12),
_xlpm.nbr_days,_xlpm.end_date-_xlpm.start_date,
_xlpm.ltm_spend,SUMIFS(Raw!$F$3:$F$9149,Raw!$H$3:$H$9149,"&gt;="&amp;_xlpm.start_date,Raw!$D$3:$D$9149,'Ref Data'!$B30),
_xlpm.one_day_spend,_xlpm.ltm_spend/_xlpm.nbr_days,
_xlpm.one_day_spend*30)</f>
        <v>#NUM!</v>
      </c>
      <c r="H30" s="224" t="e">
        <f>_xlfn.LET(_xlpm.total_spend,SUMIFS(Raw!$F$3:$F$9149,Raw!$D$3:$D$9149,'Ref Data'!$B30),
_xlpm.start_date,MIN(Raw!$H$3:$H$9149),
_xlpm.end_date,MAX(Raw!$H$3:$H$9149),
_xlpm.nbr_days,_xlpm.end_date-_xlpm.start_date,
_xlpm.one_day_spend,_xlpm.total_spend/_xlpm.nbr_days,
_xlpm.one_day_spend*30)</f>
        <v>#DIV/0!</v>
      </c>
      <c r="I30" s="224">
        <f>_xlfn.LET(_xlpm.end_date,MAX(Raw!$H$3:$H$9149),
_xlpm.start_date,_xlpm.end_date-30,
SUMIFS(Raw!$F$3:$F$9149,Raw!$H$3:$H$9149,"&gt;="&amp;_xlpm.start_date,Raw!$D$3:$D$9149,'Ref Data'!$B30)/30*7)</f>
        <v>0</v>
      </c>
      <c r="J30" s="224" t="e">
        <f>_xlfn.LET(_xlpm.end_date,MAX(Raw!$H$3:$H$9149),
_xlpm.start_date,EOMONTH(_xlpm.end_date,-12),
_xlpm.nbr_days,_xlpm.end_date-_xlpm.start_date,
_xlpm.ltm_spend,SUMIFS(Raw!$F$3:$F$9149,Raw!$H$3:$H$9149,"&gt;="&amp;_xlpm.start_date,Raw!$D$3:$D$9149,'Ref Data'!$B30),
_xlpm.one_day_spend,_xlpm.ltm_spend/_xlpm.nbr_days,
_xlpm.one_day_spend*7)</f>
        <v>#NUM!</v>
      </c>
      <c r="K30" s="224" t="e">
        <f>_xlfn.LET(_xlpm.total_spend,SUMIFS(Raw!$F$3:$F$9149,Raw!$D$3:$D$9149,'Ref Data'!$B30),
_xlpm.start_date,MIN(Raw!$H$3:$H$9149),
_xlpm.end_date,MAX(Raw!$H$3:$H$9149),
_xlpm.nbr_days,_xlpm.end_date-_xlpm.start_date,
_xlpm.one_day_spend,_xlpm.total_spend/_xlpm.nbr_days,
_xlpm.one_day_spend*7)</f>
        <v>#DIV/0!</v>
      </c>
      <c r="L30" s="224">
        <f>_xlfn.LET(_xlpm.end_date,MAX(Raw!$H$3:$H$9149),
_xlpm.start_date,_xlpm.end_date-30,
SUMIFS(Raw!$F$3:$F$9149,Raw!$H$3:$H$9149,"&gt;="&amp;_xlpm.start_date,Raw!$D$3:$D$9149,'Ref Data'!$B30)/30)</f>
        <v>0</v>
      </c>
      <c r="M30" s="224" t="e">
        <f>_xlfn.LET(_xlpm.end_date,MAX(Raw!$H$3:$H$9149),
_xlpm.start_date,EOMONTH(_xlpm.end_date,-12),
_xlpm.nbr_days,_xlpm.end_date-_xlpm.start_date,
_xlpm.ltm_spend,SUMIFS(Raw!$F$3:$F$9149,Raw!$H$3:$H$9149,"&gt;="&amp;_xlpm.start_date,Raw!$D$3:$D$9149,'Ref Data'!$B30),
_xlpm.one_day_spend,_xlpm.ltm_spend/_xlpm.nbr_days,
_xlpm.one_day_spend)</f>
        <v>#NUM!</v>
      </c>
      <c r="N30" s="224" t="e">
        <f>_xlfn.LET(_xlpm.total_spend,SUMIFS(Raw!$F$3:$F$9149,Raw!$D$3:$D$9149,'Ref Data'!$B30),
_xlpm.start_date,MIN(Raw!$H$3:$H$9149),
_xlpm.end_date,MAX(Raw!$H$3:$H$9149),
_xlpm.nbr_days,_xlpm.end_date-_xlpm.start_date,
_xlpm.one_day_spend,_xlpm.total_spend/_xlpm.nbr_days,
_xlpm.one_day_spend)</f>
        <v>#DIV/0!</v>
      </c>
    </row>
    <row r="31" spans="1:14" x14ac:dyDescent="0.2">
      <c r="A31" s="28" t="s">
        <v>118</v>
      </c>
      <c r="B31" t="s">
        <v>283</v>
      </c>
      <c r="C31" s="224">
        <f ca="1">_xlfn.LET(_xlpm.end_date,MAX(Raw!$H$3:$H$9149),
_xlpm.start_date,_xlpm.end_date-30,
_xlpm.NTM_day_count,EDATE(TODAY(),12)-TODAY(),
_xlpm.total_spend,SUMIFS(Raw!$F$3:$F$9149,Raw!$H$3:$H$9149,"&gt;="&amp;_xlpm.start_date,Raw!$D$3:$D$9149,'Ref Data'!$B31),
_xlpm.one_day_spend,_xlpm.total_spend/30,
_xlpm.one_day_spend*_xlpm.NTM_day_count)</f>
        <v>0</v>
      </c>
      <c r="D31" s="224">
        <f>_xlfn.LET(_xlpm.end_date,MAX(Raw!$H$3:$H$9149),
_xlpm.start_date,EOMONTH(_xlpm.end_date,-12),
_xlpm.nbr_days,_xlpm.end_date-_xlpm.start_date,
_xlpm.ltm_spend,SUMIFS(Raw!$F$3:$F$9149,Raw!$H$3:$H$9149,"&gt;="&amp;_xlpm.start_date,Raw!$D$3:$D$9149,'Ref Data'!$B31),
_xlpm.ltm_spend)</f>
        <v>0</v>
      </c>
      <c r="E31" s="224" t="e">
        <f ca="1">_xlfn.LET(_xlpm.total_spend,SUMIFS(Raw!$F$3:$F$9149,Raw!$D$3:$D$9149,'Ref Data'!$B31),
_xlpm.start_date,MIN(Raw!$H$3:$H$9149),
_xlpm.end_date,MAX(Raw!$H$3:$H$9149),
_xlpm.nbr_days,_xlpm.end_date-_xlpm.start_date,
_xlpm.NTM_day_count,EDATE(TODAY(),12)-TODAY(),
_xlpm.one_day_spend,_xlpm.total_spend/_xlpm.nbr_days,
_xlpm.one_day_spend*_xlpm.NTM_day_count)</f>
        <v>#DIV/0!</v>
      </c>
      <c r="F31" s="224">
        <f>_xlfn.LET(_xlpm.end_date,MAX(Raw!$H$3:$H$9149),
_xlpm.start_date,_xlpm.end_date-30,
SUMIFS(Raw!$F$3:$F$9149,Raw!$H$3:$H$9149,"&gt;="&amp;_xlpm.start_date,Raw!$D$3:$D$9149,'Ref Data'!$B31))</f>
        <v>0</v>
      </c>
      <c r="G31" s="224" t="e">
        <f>_xlfn.LET(_xlpm.end_date,MAX(Raw!$H$3:$H$9149),
_xlpm.start_date,EOMONTH(_xlpm.end_date,-12),
_xlpm.nbr_days,_xlpm.end_date-_xlpm.start_date,
_xlpm.ltm_spend,SUMIFS(Raw!$F$3:$F$9149,Raw!$H$3:$H$9149,"&gt;="&amp;_xlpm.start_date,Raw!$D$3:$D$9149,'Ref Data'!$B31),
_xlpm.one_day_spend,_xlpm.ltm_spend/_xlpm.nbr_days,
_xlpm.one_day_spend*30)</f>
        <v>#NUM!</v>
      </c>
      <c r="H31" s="224" t="e">
        <f>_xlfn.LET(_xlpm.total_spend,SUMIFS(Raw!$F$3:$F$9149,Raw!$D$3:$D$9149,'Ref Data'!$B31),
_xlpm.start_date,MIN(Raw!$H$3:$H$9149),
_xlpm.end_date,MAX(Raw!$H$3:$H$9149),
_xlpm.nbr_days,_xlpm.end_date-_xlpm.start_date,
_xlpm.one_day_spend,_xlpm.total_spend/_xlpm.nbr_days,
_xlpm.one_day_spend*30)</f>
        <v>#DIV/0!</v>
      </c>
      <c r="I31" s="224">
        <f>_xlfn.LET(_xlpm.end_date,MAX(Raw!$H$3:$H$9149),
_xlpm.start_date,_xlpm.end_date-30,
SUMIFS(Raw!$F$3:$F$9149,Raw!$H$3:$H$9149,"&gt;="&amp;_xlpm.start_date,Raw!$D$3:$D$9149,'Ref Data'!$B31)/30*7)</f>
        <v>0</v>
      </c>
      <c r="J31" s="224" t="e">
        <f>_xlfn.LET(_xlpm.end_date,MAX(Raw!$H$3:$H$9149),
_xlpm.start_date,EOMONTH(_xlpm.end_date,-12),
_xlpm.nbr_days,_xlpm.end_date-_xlpm.start_date,
_xlpm.ltm_spend,SUMIFS(Raw!$F$3:$F$9149,Raw!$H$3:$H$9149,"&gt;="&amp;_xlpm.start_date,Raw!$D$3:$D$9149,'Ref Data'!$B31),
_xlpm.one_day_spend,_xlpm.ltm_spend/_xlpm.nbr_days,
_xlpm.one_day_spend*7)</f>
        <v>#NUM!</v>
      </c>
      <c r="K31" s="224" t="e">
        <f>_xlfn.LET(_xlpm.total_spend,SUMIFS(Raw!$F$3:$F$9149,Raw!$D$3:$D$9149,'Ref Data'!$B31),
_xlpm.start_date,MIN(Raw!$H$3:$H$9149),
_xlpm.end_date,MAX(Raw!$H$3:$H$9149),
_xlpm.nbr_days,_xlpm.end_date-_xlpm.start_date,
_xlpm.one_day_spend,_xlpm.total_spend/_xlpm.nbr_days,
_xlpm.one_day_spend*7)</f>
        <v>#DIV/0!</v>
      </c>
      <c r="L31" s="224">
        <f>_xlfn.LET(_xlpm.end_date,MAX(Raw!$H$3:$H$9149),
_xlpm.start_date,_xlpm.end_date-30,
SUMIFS(Raw!$F$3:$F$9149,Raw!$H$3:$H$9149,"&gt;="&amp;_xlpm.start_date,Raw!$D$3:$D$9149,'Ref Data'!$B31)/30)</f>
        <v>0</v>
      </c>
      <c r="M31" s="224" t="e">
        <f>_xlfn.LET(_xlpm.end_date,MAX(Raw!$H$3:$H$9149),
_xlpm.start_date,EOMONTH(_xlpm.end_date,-12),
_xlpm.nbr_days,_xlpm.end_date-_xlpm.start_date,
_xlpm.ltm_spend,SUMIFS(Raw!$F$3:$F$9149,Raw!$H$3:$H$9149,"&gt;="&amp;_xlpm.start_date,Raw!$D$3:$D$9149,'Ref Data'!$B31),
_xlpm.one_day_spend,_xlpm.ltm_spend/_xlpm.nbr_days,
_xlpm.one_day_spend)</f>
        <v>#NUM!</v>
      </c>
      <c r="N31" s="224" t="e">
        <f>_xlfn.LET(_xlpm.total_spend,SUMIFS(Raw!$F$3:$F$9149,Raw!$D$3:$D$9149,'Ref Data'!$B31),
_xlpm.start_date,MIN(Raw!$H$3:$H$9149),
_xlpm.end_date,MAX(Raw!$H$3:$H$9149),
_xlpm.nbr_days,_xlpm.end_date-_xlpm.start_date,
_xlpm.one_day_spend,_xlpm.total_spend/_xlpm.nbr_days,
_xlpm.one_day_spend)</f>
        <v>#DIV/0!</v>
      </c>
    </row>
    <row r="32" spans="1:14" x14ac:dyDescent="0.2">
      <c r="A32" s="28" t="s">
        <v>118</v>
      </c>
      <c r="B32" t="s">
        <v>284</v>
      </c>
      <c r="C32" s="224">
        <f ca="1">_xlfn.LET(_xlpm.end_date,MAX(Raw!$H$3:$H$9149),
_xlpm.start_date,_xlpm.end_date-30,
_xlpm.NTM_day_count,EDATE(TODAY(),12)-TODAY(),
_xlpm.total_spend,SUMIFS(Raw!$F$3:$F$9149,Raw!$H$3:$H$9149,"&gt;="&amp;_xlpm.start_date,Raw!$D$3:$D$9149,'Ref Data'!$B32),
_xlpm.one_day_spend,_xlpm.total_spend/30,
_xlpm.one_day_spend*_xlpm.NTM_day_count)</f>
        <v>0</v>
      </c>
      <c r="D32" s="224">
        <f>_xlfn.LET(_xlpm.end_date,MAX(Raw!$H$3:$H$9149),
_xlpm.start_date,EOMONTH(_xlpm.end_date,-12),
_xlpm.nbr_days,_xlpm.end_date-_xlpm.start_date,
_xlpm.ltm_spend,SUMIFS(Raw!$F$3:$F$9149,Raw!$H$3:$H$9149,"&gt;="&amp;_xlpm.start_date,Raw!$D$3:$D$9149,'Ref Data'!$B32),
_xlpm.ltm_spend)</f>
        <v>0</v>
      </c>
      <c r="E32" s="224" t="e">
        <f ca="1">_xlfn.LET(_xlpm.total_spend,SUMIFS(Raw!$F$3:$F$9149,Raw!$D$3:$D$9149,'Ref Data'!$B32),
_xlpm.start_date,MIN(Raw!$H$3:$H$9149),
_xlpm.end_date,MAX(Raw!$H$3:$H$9149),
_xlpm.nbr_days,_xlpm.end_date-_xlpm.start_date,
_xlpm.NTM_day_count,EDATE(TODAY(),12)-TODAY(),
_xlpm.one_day_spend,_xlpm.total_spend/_xlpm.nbr_days,
_xlpm.one_day_spend*_xlpm.NTM_day_count)</f>
        <v>#DIV/0!</v>
      </c>
      <c r="F32" s="224">
        <f>_xlfn.LET(_xlpm.end_date,MAX(Raw!$H$3:$H$9149),
_xlpm.start_date,_xlpm.end_date-30,
SUMIFS(Raw!$F$3:$F$9149,Raw!$H$3:$H$9149,"&gt;="&amp;_xlpm.start_date,Raw!$D$3:$D$9149,'Ref Data'!$B32))</f>
        <v>0</v>
      </c>
      <c r="G32" s="224" t="e">
        <f>_xlfn.LET(_xlpm.end_date,MAX(Raw!$H$3:$H$9149),
_xlpm.start_date,EOMONTH(_xlpm.end_date,-12),
_xlpm.nbr_days,_xlpm.end_date-_xlpm.start_date,
_xlpm.ltm_spend,SUMIFS(Raw!$F$3:$F$9149,Raw!$H$3:$H$9149,"&gt;="&amp;_xlpm.start_date,Raw!$D$3:$D$9149,'Ref Data'!$B32),
_xlpm.one_day_spend,_xlpm.ltm_spend/_xlpm.nbr_days,
_xlpm.one_day_spend*30)</f>
        <v>#NUM!</v>
      </c>
      <c r="H32" s="224" t="e">
        <f>_xlfn.LET(_xlpm.total_spend,SUMIFS(Raw!$F$3:$F$9149,Raw!$D$3:$D$9149,'Ref Data'!$B32),
_xlpm.start_date,MIN(Raw!$H$3:$H$9149),
_xlpm.end_date,MAX(Raw!$H$3:$H$9149),
_xlpm.nbr_days,_xlpm.end_date-_xlpm.start_date,
_xlpm.one_day_spend,_xlpm.total_spend/_xlpm.nbr_days,
_xlpm.one_day_spend*30)</f>
        <v>#DIV/0!</v>
      </c>
      <c r="I32" s="224">
        <f>_xlfn.LET(_xlpm.end_date,MAX(Raw!$H$3:$H$9149),
_xlpm.start_date,_xlpm.end_date-30,
SUMIFS(Raw!$F$3:$F$9149,Raw!$H$3:$H$9149,"&gt;="&amp;_xlpm.start_date,Raw!$D$3:$D$9149,'Ref Data'!$B32)/30*7)</f>
        <v>0</v>
      </c>
      <c r="J32" s="224" t="e">
        <f>_xlfn.LET(_xlpm.end_date,MAX(Raw!$H$3:$H$9149),
_xlpm.start_date,EOMONTH(_xlpm.end_date,-12),
_xlpm.nbr_days,_xlpm.end_date-_xlpm.start_date,
_xlpm.ltm_spend,SUMIFS(Raw!$F$3:$F$9149,Raw!$H$3:$H$9149,"&gt;="&amp;_xlpm.start_date,Raw!$D$3:$D$9149,'Ref Data'!$B32),
_xlpm.one_day_spend,_xlpm.ltm_spend/_xlpm.nbr_days,
_xlpm.one_day_spend*7)</f>
        <v>#NUM!</v>
      </c>
      <c r="K32" s="224" t="e">
        <f>_xlfn.LET(_xlpm.total_spend,SUMIFS(Raw!$F$3:$F$9149,Raw!$D$3:$D$9149,'Ref Data'!$B32),
_xlpm.start_date,MIN(Raw!$H$3:$H$9149),
_xlpm.end_date,MAX(Raw!$H$3:$H$9149),
_xlpm.nbr_days,_xlpm.end_date-_xlpm.start_date,
_xlpm.one_day_spend,_xlpm.total_spend/_xlpm.nbr_days,
_xlpm.one_day_spend*7)</f>
        <v>#DIV/0!</v>
      </c>
      <c r="L32" s="224">
        <f>_xlfn.LET(_xlpm.end_date,MAX(Raw!$H$3:$H$9149),
_xlpm.start_date,_xlpm.end_date-30,
SUMIFS(Raw!$F$3:$F$9149,Raw!$H$3:$H$9149,"&gt;="&amp;_xlpm.start_date,Raw!$D$3:$D$9149,'Ref Data'!$B32)/30)</f>
        <v>0</v>
      </c>
      <c r="M32" s="224" t="e">
        <f>_xlfn.LET(_xlpm.end_date,MAX(Raw!$H$3:$H$9149),
_xlpm.start_date,EOMONTH(_xlpm.end_date,-12),
_xlpm.nbr_days,_xlpm.end_date-_xlpm.start_date,
_xlpm.ltm_spend,SUMIFS(Raw!$F$3:$F$9149,Raw!$H$3:$H$9149,"&gt;="&amp;_xlpm.start_date,Raw!$D$3:$D$9149,'Ref Data'!$B32),
_xlpm.one_day_spend,_xlpm.ltm_spend/_xlpm.nbr_days,
_xlpm.one_day_spend)</f>
        <v>#NUM!</v>
      </c>
      <c r="N32" s="224" t="e">
        <f>_xlfn.LET(_xlpm.total_spend,SUMIFS(Raw!$F$3:$F$9149,Raw!$D$3:$D$9149,'Ref Data'!$B32),
_xlpm.start_date,MIN(Raw!$H$3:$H$9149),
_xlpm.end_date,MAX(Raw!$H$3:$H$9149),
_xlpm.nbr_days,_xlpm.end_date-_xlpm.start_date,
_xlpm.one_day_spend,_xlpm.total_spend/_xlpm.nbr_days,
_xlpm.one_day_spend)</f>
        <v>#DIV/0!</v>
      </c>
    </row>
    <row r="33" spans="1:14" x14ac:dyDescent="0.2">
      <c r="A33" s="28" t="s">
        <v>118</v>
      </c>
      <c r="B33" t="s">
        <v>282</v>
      </c>
      <c r="C33" s="224">
        <f ca="1">_xlfn.LET(_xlpm.end_date,MAX(Raw!$H$3:$H$9149),
_xlpm.start_date,_xlpm.end_date-30,
_xlpm.NTM_day_count,EDATE(TODAY(),12)-TODAY(),
_xlpm.total_spend,SUMIFS(Raw!$F$3:$F$9149,Raw!$H$3:$H$9149,"&gt;="&amp;_xlpm.start_date,Raw!$D$3:$D$9149,'Ref Data'!$B33),
_xlpm.one_day_spend,_xlpm.total_spend/30,
_xlpm.one_day_spend*_xlpm.NTM_day_count)</f>
        <v>0</v>
      </c>
      <c r="D33" s="224">
        <f>_xlfn.LET(_xlpm.end_date,MAX(Raw!$H$3:$H$9149),
_xlpm.start_date,EOMONTH(_xlpm.end_date,-12),
_xlpm.nbr_days,_xlpm.end_date-_xlpm.start_date,
_xlpm.ltm_spend,SUMIFS(Raw!$F$3:$F$9149,Raw!$H$3:$H$9149,"&gt;="&amp;_xlpm.start_date,Raw!$D$3:$D$9149,'Ref Data'!$B33),
_xlpm.ltm_spend)</f>
        <v>0</v>
      </c>
      <c r="E33" s="224" t="e">
        <f ca="1">_xlfn.LET(_xlpm.total_spend,SUMIFS(Raw!$F$3:$F$9149,Raw!$D$3:$D$9149,'Ref Data'!$B33),
_xlpm.start_date,MIN(Raw!$H$3:$H$9149),
_xlpm.end_date,MAX(Raw!$H$3:$H$9149),
_xlpm.nbr_days,_xlpm.end_date-_xlpm.start_date,
_xlpm.NTM_day_count,EDATE(TODAY(),12)-TODAY(),
_xlpm.one_day_spend,_xlpm.total_spend/_xlpm.nbr_days,
_xlpm.one_day_spend*_xlpm.NTM_day_count)</f>
        <v>#DIV/0!</v>
      </c>
      <c r="F33" s="224">
        <f>_xlfn.LET(_xlpm.end_date,MAX(Raw!$H$3:$H$9149),
_xlpm.start_date,_xlpm.end_date-30,
SUMIFS(Raw!$F$3:$F$9149,Raw!$H$3:$H$9149,"&gt;="&amp;_xlpm.start_date,Raw!$D$3:$D$9149,'Ref Data'!$B33))</f>
        <v>0</v>
      </c>
      <c r="G33" s="224" t="e">
        <f>_xlfn.LET(_xlpm.end_date,MAX(Raw!$H$3:$H$9149),
_xlpm.start_date,EOMONTH(_xlpm.end_date,-12),
_xlpm.nbr_days,_xlpm.end_date-_xlpm.start_date,
_xlpm.ltm_spend,SUMIFS(Raw!$F$3:$F$9149,Raw!$H$3:$H$9149,"&gt;="&amp;_xlpm.start_date,Raw!$D$3:$D$9149,'Ref Data'!$B33),
_xlpm.one_day_spend,_xlpm.ltm_spend/_xlpm.nbr_days,
_xlpm.one_day_spend*30)</f>
        <v>#NUM!</v>
      </c>
      <c r="H33" s="224" t="e">
        <f>_xlfn.LET(_xlpm.total_spend,SUMIFS(Raw!$F$3:$F$9149,Raw!$D$3:$D$9149,'Ref Data'!$B33),
_xlpm.start_date,MIN(Raw!$H$3:$H$9149),
_xlpm.end_date,MAX(Raw!$H$3:$H$9149),
_xlpm.nbr_days,_xlpm.end_date-_xlpm.start_date,
_xlpm.one_day_spend,_xlpm.total_spend/_xlpm.nbr_days,
_xlpm.one_day_spend*30)</f>
        <v>#DIV/0!</v>
      </c>
      <c r="I33" s="224">
        <f>_xlfn.LET(_xlpm.end_date,MAX(Raw!$H$3:$H$9149),
_xlpm.start_date,_xlpm.end_date-30,
SUMIFS(Raw!$F$3:$F$9149,Raw!$H$3:$H$9149,"&gt;="&amp;_xlpm.start_date,Raw!$D$3:$D$9149,'Ref Data'!$B33)/30*7)</f>
        <v>0</v>
      </c>
      <c r="J33" s="224" t="e">
        <f>_xlfn.LET(_xlpm.end_date,MAX(Raw!$H$3:$H$9149),
_xlpm.start_date,EOMONTH(_xlpm.end_date,-12),
_xlpm.nbr_days,_xlpm.end_date-_xlpm.start_date,
_xlpm.ltm_spend,SUMIFS(Raw!$F$3:$F$9149,Raw!$H$3:$H$9149,"&gt;="&amp;_xlpm.start_date,Raw!$D$3:$D$9149,'Ref Data'!$B33),
_xlpm.one_day_spend,_xlpm.ltm_spend/_xlpm.nbr_days,
_xlpm.one_day_spend*7)</f>
        <v>#NUM!</v>
      </c>
      <c r="K33" s="224" t="e">
        <f>_xlfn.LET(_xlpm.total_spend,SUMIFS(Raw!$F$3:$F$9149,Raw!$D$3:$D$9149,'Ref Data'!$B33),
_xlpm.start_date,MIN(Raw!$H$3:$H$9149),
_xlpm.end_date,MAX(Raw!$H$3:$H$9149),
_xlpm.nbr_days,_xlpm.end_date-_xlpm.start_date,
_xlpm.one_day_spend,_xlpm.total_spend/_xlpm.nbr_days,
_xlpm.one_day_spend*7)</f>
        <v>#DIV/0!</v>
      </c>
      <c r="L33" s="224">
        <f>_xlfn.LET(_xlpm.end_date,MAX(Raw!$H$3:$H$9149),
_xlpm.start_date,_xlpm.end_date-30,
SUMIFS(Raw!$F$3:$F$9149,Raw!$H$3:$H$9149,"&gt;="&amp;_xlpm.start_date,Raw!$D$3:$D$9149,'Ref Data'!$B33)/30)</f>
        <v>0</v>
      </c>
      <c r="M33" s="224" t="e">
        <f>_xlfn.LET(_xlpm.end_date,MAX(Raw!$H$3:$H$9149),
_xlpm.start_date,EOMONTH(_xlpm.end_date,-12),
_xlpm.nbr_days,_xlpm.end_date-_xlpm.start_date,
_xlpm.ltm_spend,SUMIFS(Raw!$F$3:$F$9149,Raw!$H$3:$H$9149,"&gt;="&amp;_xlpm.start_date,Raw!$D$3:$D$9149,'Ref Data'!$B33),
_xlpm.one_day_spend,_xlpm.ltm_spend/_xlpm.nbr_days,
_xlpm.one_day_spend)</f>
        <v>#NUM!</v>
      </c>
      <c r="N33" s="224" t="e">
        <f>_xlfn.LET(_xlpm.total_spend,SUMIFS(Raw!$F$3:$F$9149,Raw!$D$3:$D$9149,'Ref Data'!$B33),
_xlpm.start_date,MIN(Raw!$H$3:$H$9149),
_xlpm.end_date,MAX(Raw!$H$3:$H$9149),
_xlpm.nbr_days,_xlpm.end_date-_xlpm.start_date,
_xlpm.one_day_spend,_xlpm.total_spend/_xlpm.nbr_days,
_xlpm.one_day_spend)</f>
        <v>#DIV/0!</v>
      </c>
    </row>
  </sheetData>
  <autoFilter ref="A1:H22" xr:uid="{778E9722-404A-4B30-B093-6FD87C8A5056}">
    <sortState xmlns:xlrd2="http://schemas.microsoft.com/office/spreadsheetml/2017/richdata2" ref="A2:H22">
      <sortCondition ref="A1:A22"/>
    </sortState>
  </autoFilter>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089B5-17B4-4873-8FA9-816046CA5156}">
  <sheetPr codeName="Sheet26">
    <tabColor theme="6"/>
  </sheetPr>
  <dimension ref="A1:I9149"/>
  <sheetViews>
    <sheetView workbookViewId="0">
      <selection activeCell="H6" sqref="H6"/>
    </sheetView>
  </sheetViews>
  <sheetFormatPr defaultRowHeight="12.75" x14ac:dyDescent="0.2"/>
  <cols>
    <col min="1" max="1" width="10.140625" bestFit="1" customWidth="1"/>
    <col min="2" max="2" width="42.5703125" bestFit="1" customWidth="1"/>
    <col min="3" max="3" width="50.85546875" bestFit="1" customWidth="1"/>
    <col min="4" max="4" width="24.5703125" bestFit="1" customWidth="1"/>
    <col min="5" max="5" width="5" bestFit="1" customWidth="1"/>
    <col min="6" max="6" width="9" style="1" bestFit="1" customWidth="1"/>
    <col min="7" max="7" width="2.140625" style="1" customWidth="1"/>
    <col min="8" max="10" width="10.140625" bestFit="1" customWidth="1"/>
  </cols>
  <sheetData>
    <row r="1" spans="1:9" x14ac:dyDescent="0.2">
      <c r="A1" s="222" t="s">
        <v>285</v>
      </c>
      <c r="B1" s="222" t="s">
        <v>285</v>
      </c>
      <c r="C1" s="222" t="s">
        <v>285</v>
      </c>
      <c r="D1" s="222" t="s">
        <v>285</v>
      </c>
      <c r="E1" s="222" t="s">
        <v>285</v>
      </c>
      <c r="F1" s="222" t="s">
        <v>285</v>
      </c>
      <c r="H1" s="223" t="s">
        <v>96</v>
      </c>
    </row>
    <row r="3" spans="1:9" s="23" customFormat="1" ht="15" x14ac:dyDescent="0.35">
      <c r="A3" s="23" t="s">
        <v>127</v>
      </c>
      <c r="B3" s="23" t="s">
        <v>3</v>
      </c>
      <c r="C3" s="23" t="s">
        <v>255</v>
      </c>
      <c r="D3" s="23" t="s">
        <v>256</v>
      </c>
      <c r="E3" s="23" t="s">
        <v>257</v>
      </c>
      <c r="F3" s="24" t="s">
        <v>8</v>
      </c>
      <c r="G3" s="24"/>
      <c r="H3" s="23" t="s">
        <v>286</v>
      </c>
    </row>
    <row r="4" spans="1:9" x14ac:dyDescent="0.2">
      <c r="C4" s="28"/>
      <c r="H4" s="31" cm="1">
        <f t="array" ref="H4:H9149">_xlfn.LET(_xlpm.first_slash_position,FIND("/",$A4:$A9149),
_xlpm.second_slash_position,FIND("/",$A4:$A9149,4),
_xlpm.year,RIGHT($A4:$A9149,4),
_xlpm.month,LEFT($A4:$A9149,_xlpm.first_slash_position-1),
_xlpm.day,MID($A4:$A9149,_xlpm.first_slash_position+1,_xlpm.second_slash_position-_xlpm.first_slash_position-1),
IFERROR(DATE(_xlpm.year,_xlpm.month,_xlpm.day),$A4:$A9149))</f>
        <v>0</v>
      </c>
      <c r="I4" s="31"/>
    </row>
    <row r="5" spans="1:9" x14ac:dyDescent="0.2">
      <c r="H5" s="31">
        <v>0</v>
      </c>
    </row>
    <row r="6" spans="1:9" x14ac:dyDescent="0.2">
      <c r="H6" s="31">
        <v>0</v>
      </c>
    </row>
    <row r="7" spans="1:9" x14ac:dyDescent="0.2">
      <c r="H7" s="31">
        <v>0</v>
      </c>
    </row>
    <row r="8" spans="1:9" x14ac:dyDescent="0.2">
      <c r="H8" s="31">
        <v>0</v>
      </c>
    </row>
    <row r="9" spans="1:9" x14ac:dyDescent="0.2">
      <c r="C9" s="28"/>
      <c r="H9" s="31">
        <v>0</v>
      </c>
    </row>
    <row r="10" spans="1:9" x14ac:dyDescent="0.2">
      <c r="H10" s="31">
        <v>0</v>
      </c>
    </row>
    <row r="11" spans="1:9" x14ac:dyDescent="0.2">
      <c r="H11" s="31">
        <v>0</v>
      </c>
    </row>
    <row r="12" spans="1:9" x14ac:dyDescent="0.2">
      <c r="H12" s="31">
        <v>0</v>
      </c>
    </row>
    <row r="13" spans="1:9" x14ac:dyDescent="0.2">
      <c r="H13" s="31">
        <v>0</v>
      </c>
    </row>
    <row r="14" spans="1:9" x14ac:dyDescent="0.2">
      <c r="H14" s="31">
        <v>0</v>
      </c>
    </row>
    <row r="15" spans="1:9" x14ac:dyDescent="0.2">
      <c r="H15" s="31">
        <v>0</v>
      </c>
    </row>
    <row r="16" spans="1:9" x14ac:dyDescent="0.2">
      <c r="H16" s="31">
        <v>0</v>
      </c>
    </row>
    <row r="17" spans="3:8" x14ac:dyDescent="0.2">
      <c r="H17" s="31">
        <v>0</v>
      </c>
    </row>
    <row r="18" spans="3:8" x14ac:dyDescent="0.2">
      <c r="H18" s="31">
        <v>0</v>
      </c>
    </row>
    <row r="19" spans="3:8" x14ac:dyDescent="0.2">
      <c r="H19" s="31">
        <v>0</v>
      </c>
    </row>
    <row r="20" spans="3:8" x14ac:dyDescent="0.2">
      <c r="H20" s="31">
        <v>0</v>
      </c>
    </row>
    <row r="21" spans="3:8" x14ac:dyDescent="0.2">
      <c r="H21" s="31">
        <v>0</v>
      </c>
    </row>
    <row r="22" spans="3:8" x14ac:dyDescent="0.2">
      <c r="H22" s="31">
        <v>0</v>
      </c>
    </row>
    <row r="23" spans="3:8" x14ac:dyDescent="0.2">
      <c r="H23" s="31">
        <v>0</v>
      </c>
    </row>
    <row r="24" spans="3:8" x14ac:dyDescent="0.2">
      <c r="H24" s="31">
        <v>0</v>
      </c>
    </row>
    <row r="25" spans="3:8" x14ac:dyDescent="0.2">
      <c r="H25" s="31">
        <v>0</v>
      </c>
    </row>
    <row r="26" spans="3:8" x14ac:dyDescent="0.2">
      <c r="H26" s="31">
        <v>0</v>
      </c>
    </row>
    <row r="27" spans="3:8" x14ac:dyDescent="0.2">
      <c r="H27" s="31">
        <v>0</v>
      </c>
    </row>
    <row r="28" spans="3:8" x14ac:dyDescent="0.2">
      <c r="H28" s="31">
        <v>0</v>
      </c>
    </row>
    <row r="29" spans="3:8" x14ac:dyDescent="0.2">
      <c r="H29" s="31">
        <v>0</v>
      </c>
    </row>
    <row r="30" spans="3:8" x14ac:dyDescent="0.2">
      <c r="H30" s="31">
        <v>0</v>
      </c>
    </row>
    <row r="31" spans="3:8" x14ac:dyDescent="0.2">
      <c r="C31" s="28"/>
      <c r="H31" s="31">
        <v>0</v>
      </c>
    </row>
    <row r="32" spans="3:8" x14ac:dyDescent="0.2">
      <c r="C32" s="28"/>
      <c r="H32" s="31">
        <v>0</v>
      </c>
    </row>
    <row r="33" spans="3:8" x14ac:dyDescent="0.2">
      <c r="C33" s="28"/>
      <c r="H33" s="31">
        <v>0</v>
      </c>
    </row>
    <row r="34" spans="3:8" x14ac:dyDescent="0.2">
      <c r="C34" s="28"/>
      <c r="H34" s="31">
        <v>0</v>
      </c>
    </row>
    <row r="35" spans="3:8" x14ac:dyDescent="0.2">
      <c r="H35" s="31">
        <v>0</v>
      </c>
    </row>
    <row r="36" spans="3:8" x14ac:dyDescent="0.2">
      <c r="C36" s="28"/>
      <c r="H36" s="31">
        <v>0</v>
      </c>
    </row>
    <row r="37" spans="3:8" x14ac:dyDescent="0.2">
      <c r="C37" s="28"/>
      <c r="H37" s="31">
        <v>0</v>
      </c>
    </row>
    <row r="38" spans="3:8" x14ac:dyDescent="0.2">
      <c r="C38" s="28"/>
      <c r="H38" s="31">
        <v>0</v>
      </c>
    </row>
    <row r="39" spans="3:8" x14ac:dyDescent="0.2">
      <c r="H39" s="31">
        <v>0</v>
      </c>
    </row>
    <row r="40" spans="3:8" x14ac:dyDescent="0.2">
      <c r="H40" s="31">
        <v>0</v>
      </c>
    </row>
    <row r="41" spans="3:8" x14ac:dyDescent="0.2">
      <c r="H41" s="31">
        <v>0</v>
      </c>
    </row>
    <row r="42" spans="3:8" x14ac:dyDescent="0.2">
      <c r="H42" s="31">
        <v>0</v>
      </c>
    </row>
    <row r="43" spans="3:8" x14ac:dyDescent="0.2">
      <c r="H43">
        <v>0</v>
      </c>
    </row>
    <row r="44" spans="3:8" x14ac:dyDescent="0.2">
      <c r="H44">
        <v>0</v>
      </c>
    </row>
    <row r="45" spans="3:8" x14ac:dyDescent="0.2">
      <c r="H45">
        <v>0</v>
      </c>
    </row>
    <row r="46" spans="3:8" x14ac:dyDescent="0.2">
      <c r="H46">
        <v>0</v>
      </c>
    </row>
    <row r="47" spans="3:8" x14ac:dyDescent="0.2">
      <c r="H47">
        <v>0</v>
      </c>
    </row>
    <row r="48" spans="3:8" x14ac:dyDescent="0.2">
      <c r="H48">
        <v>0</v>
      </c>
    </row>
    <row r="49" spans="8:8" x14ac:dyDescent="0.2">
      <c r="H49">
        <v>0</v>
      </c>
    </row>
    <row r="50" spans="8:8" x14ac:dyDescent="0.2">
      <c r="H50">
        <v>0</v>
      </c>
    </row>
    <row r="51" spans="8:8" x14ac:dyDescent="0.2">
      <c r="H51">
        <v>0</v>
      </c>
    </row>
    <row r="52" spans="8:8" x14ac:dyDescent="0.2">
      <c r="H52">
        <v>0</v>
      </c>
    </row>
    <row r="53" spans="8:8" x14ac:dyDescent="0.2">
      <c r="H53">
        <v>0</v>
      </c>
    </row>
    <row r="54" spans="8:8" x14ac:dyDescent="0.2">
      <c r="H54">
        <v>0</v>
      </c>
    </row>
    <row r="55" spans="8:8" x14ac:dyDescent="0.2">
      <c r="H55">
        <v>0</v>
      </c>
    </row>
    <row r="56" spans="8:8" x14ac:dyDescent="0.2">
      <c r="H56">
        <v>0</v>
      </c>
    </row>
    <row r="57" spans="8:8" x14ac:dyDescent="0.2">
      <c r="H57">
        <v>0</v>
      </c>
    </row>
    <row r="58" spans="8:8" x14ac:dyDescent="0.2">
      <c r="H58">
        <v>0</v>
      </c>
    </row>
    <row r="59" spans="8:8" x14ac:dyDescent="0.2">
      <c r="H59">
        <v>0</v>
      </c>
    </row>
    <row r="60" spans="8:8" x14ac:dyDescent="0.2">
      <c r="H60">
        <v>0</v>
      </c>
    </row>
    <row r="61" spans="8:8" x14ac:dyDescent="0.2">
      <c r="H61">
        <v>0</v>
      </c>
    </row>
    <row r="62" spans="8:8" x14ac:dyDescent="0.2">
      <c r="H62">
        <v>0</v>
      </c>
    </row>
    <row r="63" spans="8:8" x14ac:dyDescent="0.2">
      <c r="H63">
        <v>0</v>
      </c>
    </row>
    <row r="64" spans="8:8" x14ac:dyDescent="0.2">
      <c r="H64">
        <v>0</v>
      </c>
    </row>
    <row r="65" spans="8:8" x14ac:dyDescent="0.2">
      <c r="H65">
        <v>0</v>
      </c>
    </row>
    <row r="66" spans="8:8" x14ac:dyDescent="0.2">
      <c r="H66">
        <v>0</v>
      </c>
    </row>
    <row r="67" spans="8:8" x14ac:dyDescent="0.2">
      <c r="H67">
        <v>0</v>
      </c>
    </row>
    <row r="68" spans="8:8" x14ac:dyDescent="0.2">
      <c r="H68">
        <v>0</v>
      </c>
    </row>
    <row r="69" spans="8:8" x14ac:dyDescent="0.2">
      <c r="H69">
        <v>0</v>
      </c>
    </row>
    <row r="70" spans="8:8" x14ac:dyDescent="0.2">
      <c r="H70">
        <v>0</v>
      </c>
    </row>
    <row r="71" spans="8:8" x14ac:dyDescent="0.2">
      <c r="H71">
        <v>0</v>
      </c>
    </row>
    <row r="72" spans="8:8" x14ac:dyDescent="0.2">
      <c r="H72">
        <v>0</v>
      </c>
    </row>
    <row r="73" spans="8:8" x14ac:dyDescent="0.2">
      <c r="H73">
        <v>0</v>
      </c>
    </row>
    <row r="74" spans="8:8" x14ac:dyDescent="0.2">
      <c r="H74">
        <v>0</v>
      </c>
    </row>
    <row r="75" spans="8:8" x14ac:dyDescent="0.2">
      <c r="H75">
        <v>0</v>
      </c>
    </row>
    <row r="76" spans="8:8" x14ac:dyDescent="0.2">
      <c r="H76">
        <v>0</v>
      </c>
    </row>
    <row r="77" spans="8:8" x14ac:dyDescent="0.2">
      <c r="H77">
        <v>0</v>
      </c>
    </row>
    <row r="78" spans="8:8" x14ac:dyDescent="0.2">
      <c r="H78">
        <v>0</v>
      </c>
    </row>
    <row r="79" spans="8:8" x14ac:dyDescent="0.2">
      <c r="H79">
        <v>0</v>
      </c>
    </row>
    <row r="80" spans="8:8" x14ac:dyDescent="0.2">
      <c r="H80">
        <v>0</v>
      </c>
    </row>
    <row r="81" spans="8:8" x14ac:dyDescent="0.2">
      <c r="H81">
        <v>0</v>
      </c>
    </row>
    <row r="82" spans="8:8" x14ac:dyDescent="0.2">
      <c r="H82">
        <v>0</v>
      </c>
    </row>
    <row r="83" spans="8:8" x14ac:dyDescent="0.2">
      <c r="H83">
        <v>0</v>
      </c>
    </row>
    <row r="84" spans="8:8" x14ac:dyDescent="0.2">
      <c r="H84">
        <v>0</v>
      </c>
    </row>
    <row r="85" spans="8:8" x14ac:dyDescent="0.2">
      <c r="H85">
        <v>0</v>
      </c>
    </row>
    <row r="86" spans="8:8" x14ac:dyDescent="0.2">
      <c r="H86">
        <v>0</v>
      </c>
    </row>
    <row r="87" spans="8:8" x14ac:dyDescent="0.2">
      <c r="H87">
        <v>0</v>
      </c>
    </row>
    <row r="88" spans="8:8" x14ac:dyDescent="0.2">
      <c r="H88">
        <v>0</v>
      </c>
    </row>
    <row r="89" spans="8:8" x14ac:dyDescent="0.2">
      <c r="H89">
        <v>0</v>
      </c>
    </row>
    <row r="90" spans="8:8" x14ac:dyDescent="0.2">
      <c r="H90">
        <v>0</v>
      </c>
    </row>
    <row r="91" spans="8:8" x14ac:dyDescent="0.2">
      <c r="H91">
        <v>0</v>
      </c>
    </row>
    <row r="92" spans="8:8" x14ac:dyDescent="0.2">
      <c r="H92">
        <v>0</v>
      </c>
    </row>
    <row r="93" spans="8:8" x14ac:dyDescent="0.2">
      <c r="H93">
        <v>0</v>
      </c>
    </row>
    <row r="94" spans="8:8" x14ac:dyDescent="0.2">
      <c r="H94">
        <v>0</v>
      </c>
    </row>
    <row r="95" spans="8:8" x14ac:dyDescent="0.2">
      <c r="H95">
        <v>0</v>
      </c>
    </row>
    <row r="96" spans="8:8" x14ac:dyDescent="0.2">
      <c r="H96">
        <v>0</v>
      </c>
    </row>
    <row r="97" spans="8:8" x14ac:dyDescent="0.2">
      <c r="H97">
        <v>0</v>
      </c>
    </row>
    <row r="98" spans="8:8" x14ac:dyDescent="0.2">
      <c r="H98">
        <v>0</v>
      </c>
    </row>
    <row r="99" spans="8:8" x14ac:dyDescent="0.2">
      <c r="H99">
        <v>0</v>
      </c>
    </row>
    <row r="100" spans="8:8" x14ac:dyDescent="0.2">
      <c r="H100">
        <v>0</v>
      </c>
    </row>
    <row r="101" spans="8:8" x14ac:dyDescent="0.2">
      <c r="H101">
        <v>0</v>
      </c>
    </row>
    <row r="102" spans="8:8" x14ac:dyDescent="0.2">
      <c r="H102">
        <v>0</v>
      </c>
    </row>
    <row r="103" spans="8:8" x14ac:dyDescent="0.2">
      <c r="H103">
        <v>0</v>
      </c>
    </row>
    <row r="104" spans="8:8" x14ac:dyDescent="0.2">
      <c r="H104">
        <v>0</v>
      </c>
    </row>
    <row r="105" spans="8:8" x14ac:dyDescent="0.2">
      <c r="H105">
        <v>0</v>
      </c>
    </row>
    <row r="106" spans="8:8" x14ac:dyDescent="0.2">
      <c r="H106">
        <v>0</v>
      </c>
    </row>
    <row r="107" spans="8:8" x14ac:dyDescent="0.2">
      <c r="H107">
        <v>0</v>
      </c>
    </row>
    <row r="108" spans="8:8" x14ac:dyDescent="0.2">
      <c r="H108">
        <v>0</v>
      </c>
    </row>
    <row r="109" spans="8:8" x14ac:dyDescent="0.2">
      <c r="H109">
        <v>0</v>
      </c>
    </row>
    <row r="110" spans="8:8" x14ac:dyDescent="0.2">
      <c r="H110">
        <v>0</v>
      </c>
    </row>
    <row r="111" spans="8:8" x14ac:dyDescent="0.2">
      <c r="H111">
        <v>0</v>
      </c>
    </row>
    <row r="112" spans="8:8" x14ac:dyDescent="0.2">
      <c r="H112">
        <v>0</v>
      </c>
    </row>
    <row r="113" spans="8:8" x14ac:dyDescent="0.2">
      <c r="H113">
        <v>0</v>
      </c>
    </row>
    <row r="114" spans="8:8" x14ac:dyDescent="0.2">
      <c r="H114">
        <v>0</v>
      </c>
    </row>
    <row r="115" spans="8:8" x14ac:dyDescent="0.2">
      <c r="H115">
        <v>0</v>
      </c>
    </row>
    <row r="116" spans="8:8" x14ac:dyDescent="0.2">
      <c r="H116">
        <v>0</v>
      </c>
    </row>
    <row r="117" spans="8:8" x14ac:dyDescent="0.2">
      <c r="H117">
        <v>0</v>
      </c>
    </row>
    <row r="118" spans="8:8" x14ac:dyDescent="0.2">
      <c r="H118">
        <v>0</v>
      </c>
    </row>
    <row r="119" spans="8:8" x14ac:dyDescent="0.2">
      <c r="H119">
        <v>0</v>
      </c>
    </row>
    <row r="120" spans="8:8" x14ac:dyDescent="0.2">
      <c r="H120">
        <v>0</v>
      </c>
    </row>
    <row r="121" spans="8:8" x14ac:dyDescent="0.2">
      <c r="H121">
        <v>0</v>
      </c>
    </row>
    <row r="122" spans="8:8" x14ac:dyDescent="0.2">
      <c r="H122">
        <v>0</v>
      </c>
    </row>
    <row r="123" spans="8:8" x14ac:dyDescent="0.2">
      <c r="H123">
        <v>0</v>
      </c>
    </row>
    <row r="124" spans="8:8" x14ac:dyDescent="0.2">
      <c r="H124">
        <v>0</v>
      </c>
    </row>
    <row r="125" spans="8:8" x14ac:dyDescent="0.2">
      <c r="H125">
        <v>0</v>
      </c>
    </row>
    <row r="126" spans="8:8" x14ac:dyDescent="0.2">
      <c r="H126">
        <v>0</v>
      </c>
    </row>
    <row r="127" spans="8:8" x14ac:dyDescent="0.2">
      <c r="H127">
        <v>0</v>
      </c>
    </row>
    <row r="128" spans="8:8" x14ac:dyDescent="0.2">
      <c r="H128">
        <v>0</v>
      </c>
    </row>
    <row r="129" spans="8:8" x14ac:dyDescent="0.2">
      <c r="H129">
        <v>0</v>
      </c>
    </row>
    <row r="130" spans="8:8" x14ac:dyDescent="0.2">
      <c r="H130">
        <v>0</v>
      </c>
    </row>
    <row r="131" spans="8:8" x14ac:dyDescent="0.2">
      <c r="H131">
        <v>0</v>
      </c>
    </row>
    <row r="132" spans="8:8" x14ac:dyDescent="0.2">
      <c r="H132">
        <v>0</v>
      </c>
    </row>
    <row r="133" spans="8:8" x14ac:dyDescent="0.2">
      <c r="H133">
        <v>0</v>
      </c>
    </row>
    <row r="134" spans="8:8" x14ac:dyDescent="0.2">
      <c r="H134">
        <v>0</v>
      </c>
    </row>
    <row r="135" spans="8:8" x14ac:dyDescent="0.2">
      <c r="H135">
        <v>0</v>
      </c>
    </row>
    <row r="136" spans="8:8" x14ac:dyDescent="0.2">
      <c r="H136">
        <v>0</v>
      </c>
    </row>
    <row r="137" spans="8:8" x14ac:dyDescent="0.2">
      <c r="H137">
        <v>0</v>
      </c>
    </row>
    <row r="138" spans="8:8" x14ac:dyDescent="0.2">
      <c r="H138">
        <v>0</v>
      </c>
    </row>
    <row r="139" spans="8:8" x14ac:dyDescent="0.2">
      <c r="H139">
        <v>0</v>
      </c>
    </row>
    <row r="140" spans="8:8" x14ac:dyDescent="0.2">
      <c r="H140">
        <v>0</v>
      </c>
    </row>
    <row r="141" spans="8:8" x14ac:dyDescent="0.2">
      <c r="H141">
        <v>0</v>
      </c>
    </row>
    <row r="142" spans="8:8" x14ac:dyDescent="0.2">
      <c r="H142">
        <v>0</v>
      </c>
    </row>
    <row r="143" spans="8:8" x14ac:dyDescent="0.2">
      <c r="H143">
        <v>0</v>
      </c>
    </row>
    <row r="144" spans="8:8" x14ac:dyDescent="0.2">
      <c r="H144">
        <v>0</v>
      </c>
    </row>
    <row r="145" spans="8:8" x14ac:dyDescent="0.2">
      <c r="H145">
        <v>0</v>
      </c>
    </row>
    <row r="146" spans="8:8" x14ac:dyDescent="0.2">
      <c r="H146">
        <v>0</v>
      </c>
    </row>
    <row r="147" spans="8:8" x14ac:dyDescent="0.2">
      <c r="H147">
        <v>0</v>
      </c>
    </row>
    <row r="148" spans="8:8" x14ac:dyDescent="0.2">
      <c r="H148">
        <v>0</v>
      </c>
    </row>
    <row r="149" spans="8:8" x14ac:dyDescent="0.2">
      <c r="H149">
        <v>0</v>
      </c>
    </row>
    <row r="150" spans="8:8" x14ac:dyDescent="0.2">
      <c r="H150">
        <v>0</v>
      </c>
    </row>
    <row r="151" spans="8:8" x14ac:dyDescent="0.2">
      <c r="H151">
        <v>0</v>
      </c>
    </row>
    <row r="152" spans="8:8" x14ac:dyDescent="0.2">
      <c r="H152">
        <v>0</v>
      </c>
    </row>
    <row r="153" spans="8:8" x14ac:dyDescent="0.2">
      <c r="H153">
        <v>0</v>
      </c>
    </row>
    <row r="154" spans="8:8" x14ac:dyDescent="0.2">
      <c r="H154">
        <v>0</v>
      </c>
    </row>
    <row r="155" spans="8:8" x14ac:dyDescent="0.2">
      <c r="H155">
        <v>0</v>
      </c>
    </row>
    <row r="156" spans="8:8" x14ac:dyDescent="0.2">
      <c r="H156">
        <v>0</v>
      </c>
    </row>
    <row r="157" spans="8:8" x14ac:dyDescent="0.2">
      <c r="H157">
        <v>0</v>
      </c>
    </row>
    <row r="158" spans="8:8" x14ac:dyDescent="0.2">
      <c r="H158">
        <v>0</v>
      </c>
    </row>
    <row r="159" spans="8:8" x14ac:dyDescent="0.2">
      <c r="H159">
        <v>0</v>
      </c>
    </row>
    <row r="160" spans="8:8" x14ac:dyDescent="0.2">
      <c r="H160">
        <v>0</v>
      </c>
    </row>
    <row r="161" spans="8:8" x14ac:dyDescent="0.2">
      <c r="H161">
        <v>0</v>
      </c>
    </row>
    <row r="162" spans="8:8" x14ac:dyDescent="0.2">
      <c r="H162">
        <v>0</v>
      </c>
    </row>
    <row r="163" spans="8:8" x14ac:dyDescent="0.2">
      <c r="H163">
        <v>0</v>
      </c>
    </row>
    <row r="164" spans="8:8" x14ac:dyDescent="0.2">
      <c r="H164">
        <v>0</v>
      </c>
    </row>
    <row r="165" spans="8:8" x14ac:dyDescent="0.2">
      <c r="H165">
        <v>0</v>
      </c>
    </row>
    <row r="166" spans="8:8" x14ac:dyDescent="0.2">
      <c r="H166">
        <v>0</v>
      </c>
    </row>
    <row r="167" spans="8:8" x14ac:dyDescent="0.2">
      <c r="H167">
        <v>0</v>
      </c>
    </row>
    <row r="168" spans="8:8" x14ac:dyDescent="0.2">
      <c r="H168">
        <v>0</v>
      </c>
    </row>
    <row r="169" spans="8:8" x14ac:dyDescent="0.2">
      <c r="H169">
        <v>0</v>
      </c>
    </row>
    <row r="170" spans="8:8" x14ac:dyDescent="0.2">
      <c r="H170">
        <v>0</v>
      </c>
    </row>
    <row r="171" spans="8:8" x14ac:dyDescent="0.2">
      <c r="H171">
        <v>0</v>
      </c>
    </row>
    <row r="172" spans="8:8" x14ac:dyDescent="0.2">
      <c r="H172">
        <v>0</v>
      </c>
    </row>
    <row r="173" spans="8:8" x14ac:dyDescent="0.2">
      <c r="H173">
        <v>0</v>
      </c>
    </row>
    <row r="174" spans="8:8" x14ac:dyDescent="0.2">
      <c r="H174">
        <v>0</v>
      </c>
    </row>
    <row r="175" spans="8:8" x14ac:dyDescent="0.2">
      <c r="H175">
        <v>0</v>
      </c>
    </row>
    <row r="176" spans="8:8" x14ac:dyDescent="0.2">
      <c r="H176">
        <v>0</v>
      </c>
    </row>
    <row r="177" spans="8:8" x14ac:dyDescent="0.2">
      <c r="H177">
        <v>0</v>
      </c>
    </row>
    <row r="178" spans="8:8" x14ac:dyDescent="0.2">
      <c r="H178">
        <v>0</v>
      </c>
    </row>
    <row r="179" spans="8:8" x14ac:dyDescent="0.2">
      <c r="H179">
        <v>0</v>
      </c>
    </row>
    <row r="180" spans="8:8" x14ac:dyDescent="0.2">
      <c r="H180">
        <v>0</v>
      </c>
    </row>
    <row r="181" spans="8:8" x14ac:dyDescent="0.2">
      <c r="H181">
        <v>0</v>
      </c>
    </row>
    <row r="182" spans="8:8" x14ac:dyDescent="0.2">
      <c r="H182">
        <v>0</v>
      </c>
    </row>
    <row r="183" spans="8:8" x14ac:dyDescent="0.2">
      <c r="H183">
        <v>0</v>
      </c>
    </row>
    <row r="184" spans="8:8" x14ac:dyDescent="0.2">
      <c r="H184">
        <v>0</v>
      </c>
    </row>
    <row r="185" spans="8:8" x14ac:dyDescent="0.2">
      <c r="H185">
        <v>0</v>
      </c>
    </row>
    <row r="186" spans="8:8" x14ac:dyDescent="0.2">
      <c r="H186">
        <v>0</v>
      </c>
    </row>
    <row r="187" spans="8:8" x14ac:dyDescent="0.2">
      <c r="H187">
        <v>0</v>
      </c>
    </row>
    <row r="188" spans="8:8" x14ac:dyDescent="0.2">
      <c r="H188">
        <v>0</v>
      </c>
    </row>
    <row r="189" spans="8:8" x14ac:dyDescent="0.2">
      <c r="H189">
        <v>0</v>
      </c>
    </row>
    <row r="190" spans="8:8" x14ac:dyDescent="0.2">
      <c r="H190">
        <v>0</v>
      </c>
    </row>
    <row r="191" spans="8:8" x14ac:dyDescent="0.2">
      <c r="H191">
        <v>0</v>
      </c>
    </row>
    <row r="192" spans="8:8" x14ac:dyDescent="0.2">
      <c r="H192">
        <v>0</v>
      </c>
    </row>
    <row r="193" spans="8:8" x14ac:dyDescent="0.2">
      <c r="H193">
        <v>0</v>
      </c>
    </row>
    <row r="194" spans="8:8" x14ac:dyDescent="0.2">
      <c r="H194">
        <v>0</v>
      </c>
    </row>
    <row r="195" spans="8:8" x14ac:dyDescent="0.2">
      <c r="H195">
        <v>0</v>
      </c>
    </row>
    <row r="196" spans="8:8" x14ac:dyDescent="0.2">
      <c r="H196">
        <v>0</v>
      </c>
    </row>
    <row r="197" spans="8:8" x14ac:dyDescent="0.2">
      <c r="H197">
        <v>0</v>
      </c>
    </row>
    <row r="198" spans="8:8" x14ac:dyDescent="0.2">
      <c r="H198">
        <v>0</v>
      </c>
    </row>
    <row r="199" spans="8:8" x14ac:dyDescent="0.2">
      <c r="H199">
        <v>0</v>
      </c>
    </row>
    <row r="200" spans="8:8" x14ac:dyDescent="0.2">
      <c r="H200">
        <v>0</v>
      </c>
    </row>
    <row r="201" spans="8:8" x14ac:dyDescent="0.2">
      <c r="H201">
        <v>0</v>
      </c>
    </row>
    <row r="202" spans="8:8" x14ac:dyDescent="0.2">
      <c r="H202">
        <v>0</v>
      </c>
    </row>
    <row r="203" spans="8:8" x14ac:dyDescent="0.2">
      <c r="H203">
        <v>0</v>
      </c>
    </row>
    <row r="204" spans="8:8" x14ac:dyDescent="0.2">
      <c r="H204">
        <v>0</v>
      </c>
    </row>
    <row r="205" spans="8:8" x14ac:dyDescent="0.2">
      <c r="H205">
        <v>0</v>
      </c>
    </row>
    <row r="206" spans="8:8" x14ac:dyDescent="0.2">
      <c r="H206">
        <v>0</v>
      </c>
    </row>
    <row r="207" spans="8:8" x14ac:dyDescent="0.2">
      <c r="H207">
        <v>0</v>
      </c>
    </row>
    <row r="208" spans="8:8" x14ac:dyDescent="0.2">
      <c r="H208">
        <v>0</v>
      </c>
    </row>
    <row r="209" spans="8:8" x14ac:dyDescent="0.2">
      <c r="H209">
        <v>0</v>
      </c>
    </row>
    <row r="210" spans="8:8" x14ac:dyDescent="0.2">
      <c r="H210">
        <v>0</v>
      </c>
    </row>
    <row r="211" spans="8:8" x14ac:dyDescent="0.2">
      <c r="H211">
        <v>0</v>
      </c>
    </row>
    <row r="212" spans="8:8" x14ac:dyDescent="0.2">
      <c r="H212">
        <v>0</v>
      </c>
    </row>
    <row r="213" spans="8:8" x14ac:dyDescent="0.2">
      <c r="H213">
        <v>0</v>
      </c>
    </row>
    <row r="214" spans="8:8" x14ac:dyDescent="0.2">
      <c r="H214">
        <v>0</v>
      </c>
    </row>
    <row r="215" spans="8:8" x14ac:dyDescent="0.2">
      <c r="H215">
        <v>0</v>
      </c>
    </row>
    <row r="216" spans="8:8" x14ac:dyDescent="0.2">
      <c r="H216">
        <v>0</v>
      </c>
    </row>
    <row r="217" spans="8:8" x14ac:dyDescent="0.2">
      <c r="H217">
        <v>0</v>
      </c>
    </row>
    <row r="218" spans="8:8" x14ac:dyDescent="0.2">
      <c r="H218">
        <v>0</v>
      </c>
    </row>
    <row r="219" spans="8:8" x14ac:dyDescent="0.2">
      <c r="H219">
        <v>0</v>
      </c>
    </row>
    <row r="220" spans="8:8" x14ac:dyDescent="0.2">
      <c r="H220">
        <v>0</v>
      </c>
    </row>
    <row r="221" spans="8:8" x14ac:dyDescent="0.2">
      <c r="H221">
        <v>0</v>
      </c>
    </row>
    <row r="222" spans="8:8" x14ac:dyDescent="0.2">
      <c r="H222">
        <v>0</v>
      </c>
    </row>
    <row r="223" spans="8:8" x14ac:dyDescent="0.2">
      <c r="H223">
        <v>0</v>
      </c>
    </row>
    <row r="224" spans="8:8" x14ac:dyDescent="0.2">
      <c r="H224">
        <v>0</v>
      </c>
    </row>
    <row r="225" spans="8:8" x14ac:dyDescent="0.2">
      <c r="H225">
        <v>0</v>
      </c>
    </row>
    <row r="226" spans="8:8" x14ac:dyDescent="0.2">
      <c r="H226">
        <v>0</v>
      </c>
    </row>
    <row r="227" spans="8:8" x14ac:dyDescent="0.2">
      <c r="H227">
        <v>0</v>
      </c>
    </row>
    <row r="228" spans="8:8" x14ac:dyDescent="0.2">
      <c r="H228">
        <v>0</v>
      </c>
    </row>
    <row r="229" spans="8:8" x14ac:dyDescent="0.2">
      <c r="H229">
        <v>0</v>
      </c>
    </row>
    <row r="230" spans="8:8" x14ac:dyDescent="0.2">
      <c r="H230">
        <v>0</v>
      </c>
    </row>
    <row r="231" spans="8:8" x14ac:dyDescent="0.2">
      <c r="H231">
        <v>0</v>
      </c>
    </row>
    <row r="232" spans="8:8" x14ac:dyDescent="0.2">
      <c r="H232">
        <v>0</v>
      </c>
    </row>
    <row r="233" spans="8:8" x14ac:dyDescent="0.2">
      <c r="H233">
        <v>0</v>
      </c>
    </row>
    <row r="234" spans="8:8" x14ac:dyDescent="0.2">
      <c r="H234">
        <v>0</v>
      </c>
    </row>
    <row r="235" spans="8:8" x14ac:dyDescent="0.2">
      <c r="H235">
        <v>0</v>
      </c>
    </row>
    <row r="236" spans="8:8" x14ac:dyDescent="0.2">
      <c r="H236">
        <v>0</v>
      </c>
    </row>
    <row r="237" spans="8:8" x14ac:dyDescent="0.2">
      <c r="H237">
        <v>0</v>
      </c>
    </row>
    <row r="238" spans="8:8" x14ac:dyDescent="0.2">
      <c r="H238">
        <v>0</v>
      </c>
    </row>
    <row r="239" spans="8:8" x14ac:dyDescent="0.2">
      <c r="H239">
        <v>0</v>
      </c>
    </row>
    <row r="240" spans="8:8" x14ac:dyDescent="0.2">
      <c r="H240">
        <v>0</v>
      </c>
    </row>
    <row r="241" spans="8:8" x14ac:dyDescent="0.2">
      <c r="H241">
        <v>0</v>
      </c>
    </row>
    <row r="242" spans="8:8" x14ac:dyDescent="0.2">
      <c r="H242">
        <v>0</v>
      </c>
    </row>
    <row r="243" spans="8:8" x14ac:dyDescent="0.2">
      <c r="H243">
        <v>0</v>
      </c>
    </row>
    <row r="244" spans="8:8" x14ac:dyDescent="0.2">
      <c r="H244">
        <v>0</v>
      </c>
    </row>
    <row r="245" spans="8:8" x14ac:dyDescent="0.2">
      <c r="H245">
        <v>0</v>
      </c>
    </row>
    <row r="246" spans="8:8" x14ac:dyDescent="0.2">
      <c r="H246">
        <v>0</v>
      </c>
    </row>
    <row r="247" spans="8:8" x14ac:dyDescent="0.2">
      <c r="H247">
        <v>0</v>
      </c>
    </row>
    <row r="248" spans="8:8" x14ac:dyDescent="0.2">
      <c r="H248">
        <v>0</v>
      </c>
    </row>
    <row r="249" spans="8:8" x14ac:dyDescent="0.2">
      <c r="H249">
        <v>0</v>
      </c>
    </row>
    <row r="250" spans="8:8" x14ac:dyDescent="0.2">
      <c r="H250">
        <v>0</v>
      </c>
    </row>
    <row r="251" spans="8:8" x14ac:dyDescent="0.2">
      <c r="H251">
        <v>0</v>
      </c>
    </row>
    <row r="252" spans="8:8" x14ac:dyDescent="0.2">
      <c r="H252">
        <v>0</v>
      </c>
    </row>
    <row r="253" spans="8:8" x14ac:dyDescent="0.2">
      <c r="H253">
        <v>0</v>
      </c>
    </row>
    <row r="254" spans="8:8" x14ac:dyDescent="0.2">
      <c r="H254">
        <v>0</v>
      </c>
    </row>
    <row r="255" spans="8:8" x14ac:dyDescent="0.2">
      <c r="H255">
        <v>0</v>
      </c>
    </row>
    <row r="256" spans="8:8" x14ac:dyDescent="0.2">
      <c r="H256">
        <v>0</v>
      </c>
    </row>
    <row r="257" spans="8:8" x14ac:dyDescent="0.2">
      <c r="H257">
        <v>0</v>
      </c>
    </row>
    <row r="258" spans="8:8" x14ac:dyDescent="0.2">
      <c r="H258">
        <v>0</v>
      </c>
    </row>
    <row r="259" spans="8:8" x14ac:dyDescent="0.2">
      <c r="H259">
        <v>0</v>
      </c>
    </row>
    <row r="260" spans="8:8" x14ac:dyDescent="0.2">
      <c r="H260">
        <v>0</v>
      </c>
    </row>
    <row r="261" spans="8:8" x14ac:dyDescent="0.2">
      <c r="H261">
        <v>0</v>
      </c>
    </row>
    <row r="262" spans="8:8" x14ac:dyDescent="0.2">
      <c r="H262">
        <v>0</v>
      </c>
    </row>
    <row r="263" spans="8:8" x14ac:dyDescent="0.2">
      <c r="H263">
        <v>0</v>
      </c>
    </row>
    <row r="264" spans="8:8" x14ac:dyDescent="0.2">
      <c r="H264">
        <v>0</v>
      </c>
    </row>
    <row r="265" spans="8:8" x14ac:dyDescent="0.2">
      <c r="H265">
        <v>0</v>
      </c>
    </row>
    <row r="266" spans="8:8" x14ac:dyDescent="0.2">
      <c r="H266">
        <v>0</v>
      </c>
    </row>
    <row r="267" spans="8:8" x14ac:dyDescent="0.2">
      <c r="H267">
        <v>0</v>
      </c>
    </row>
    <row r="268" spans="8:8" x14ac:dyDescent="0.2">
      <c r="H268">
        <v>0</v>
      </c>
    </row>
    <row r="269" spans="8:8" x14ac:dyDescent="0.2">
      <c r="H269">
        <v>0</v>
      </c>
    </row>
    <row r="270" spans="8:8" x14ac:dyDescent="0.2">
      <c r="H270">
        <v>0</v>
      </c>
    </row>
    <row r="271" spans="8:8" x14ac:dyDescent="0.2">
      <c r="H271">
        <v>0</v>
      </c>
    </row>
    <row r="272" spans="8:8" x14ac:dyDescent="0.2">
      <c r="H272">
        <v>0</v>
      </c>
    </row>
    <row r="273" spans="8:8" x14ac:dyDescent="0.2">
      <c r="H273">
        <v>0</v>
      </c>
    </row>
    <row r="274" spans="8:8" x14ac:dyDescent="0.2">
      <c r="H274">
        <v>0</v>
      </c>
    </row>
    <row r="275" spans="8:8" x14ac:dyDescent="0.2">
      <c r="H275">
        <v>0</v>
      </c>
    </row>
    <row r="276" spans="8:8" x14ac:dyDescent="0.2">
      <c r="H276">
        <v>0</v>
      </c>
    </row>
    <row r="277" spans="8:8" x14ac:dyDescent="0.2">
      <c r="H277">
        <v>0</v>
      </c>
    </row>
    <row r="278" spans="8:8" x14ac:dyDescent="0.2">
      <c r="H278">
        <v>0</v>
      </c>
    </row>
    <row r="279" spans="8:8" x14ac:dyDescent="0.2">
      <c r="H279">
        <v>0</v>
      </c>
    </row>
    <row r="280" spans="8:8" x14ac:dyDescent="0.2">
      <c r="H280">
        <v>0</v>
      </c>
    </row>
    <row r="281" spans="8:8" x14ac:dyDescent="0.2">
      <c r="H281">
        <v>0</v>
      </c>
    </row>
    <row r="282" spans="8:8" x14ac:dyDescent="0.2">
      <c r="H282">
        <v>0</v>
      </c>
    </row>
    <row r="283" spans="8:8" x14ac:dyDescent="0.2">
      <c r="H283">
        <v>0</v>
      </c>
    </row>
    <row r="284" spans="8:8" x14ac:dyDescent="0.2">
      <c r="H284">
        <v>0</v>
      </c>
    </row>
    <row r="285" spans="8:8" x14ac:dyDescent="0.2">
      <c r="H285">
        <v>0</v>
      </c>
    </row>
    <row r="286" spans="8:8" x14ac:dyDescent="0.2">
      <c r="H286">
        <v>0</v>
      </c>
    </row>
    <row r="287" spans="8:8" x14ac:dyDescent="0.2">
      <c r="H287">
        <v>0</v>
      </c>
    </row>
    <row r="288" spans="8:8" x14ac:dyDescent="0.2">
      <c r="H288">
        <v>0</v>
      </c>
    </row>
    <row r="289" spans="8:8" x14ac:dyDescent="0.2">
      <c r="H289">
        <v>0</v>
      </c>
    </row>
    <row r="290" spans="8:8" x14ac:dyDescent="0.2">
      <c r="H290">
        <v>0</v>
      </c>
    </row>
    <row r="291" spans="8:8" x14ac:dyDescent="0.2">
      <c r="H291">
        <v>0</v>
      </c>
    </row>
    <row r="292" spans="8:8" x14ac:dyDescent="0.2">
      <c r="H292">
        <v>0</v>
      </c>
    </row>
    <row r="293" spans="8:8" x14ac:dyDescent="0.2">
      <c r="H293">
        <v>0</v>
      </c>
    </row>
    <row r="294" spans="8:8" x14ac:dyDescent="0.2">
      <c r="H294">
        <v>0</v>
      </c>
    </row>
    <row r="295" spans="8:8" x14ac:dyDescent="0.2">
      <c r="H295">
        <v>0</v>
      </c>
    </row>
    <row r="296" spans="8:8" x14ac:dyDescent="0.2">
      <c r="H296">
        <v>0</v>
      </c>
    </row>
    <row r="297" spans="8:8" x14ac:dyDescent="0.2">
      <c r="H297">
        <v>0</v>
      </c>
    </row>
    <row r="298" spans="8:8" x14ac:dyDescent="0.2">
      <c r="H298">
        <v>0</v>
      </c>
    </row>
    <row r="299" spans="8:8" x14ac:dyDescent="0.2">
      <c r="H299">
        <v>0</v>
      </c>
    </row>
    <row r="300" spans="8:8" x14ac:dyDescent="0.2">
      <c r="H300">
        <v>0</v>
      </c>
    </row>
    <row r="301" spans="8:8" x14ac:dyDescent="0.2">
      <c r="H301">
        <v>0</v>
      </c>
    </row>
    <row r="302" spans="8:8" x14ac:dyDescent="0.2">
      <c r="H302">
        <v>0</v>
      </c>
    </row>
    <row r="303" spans="8:8" x14ac:dyDescent="0.2">
      <c r="H303">
        <v>0</v>
      </c>
    </row>
    <row r="304" spans="8:8" x14ac:dyDescent="0.2">
      <c r="H304">
        <v>0</v>
      </c>
    </row>
    <row r="305" spans="8:8" x14ac:dyDescent="0.2">
      <c r="H305">
        <v>0</v>
      </c>
    </row>
    <row r="306" spans="8:8" x14ac:dyDescent="0.2">
      <c r="H306">
        <v>0</v>
      </c>
    </row>
    <row r="307" spans="8:8" x14ac:dyDescent="0.2">
      <c r="H307">
        <v>0</v>
      </c>
    </row>
    <row r="308" spans="8:8" x14ac:dyDescent="0.2">
      <c r="H308">
        <v>0</v>
      </c>
    </row>
    <row r="309" spans="8:8" x14ac:dyDescent="0.2">
      <c r="H309">
        <v>0</v>
      </c>
    </row>
    <row r="310" spans="8:8" x14ac:dyDescent="0.2">
      <c r="H310">
        <v>0</v>
      </c>
    </row>
    <row r="311" spans="8:8" x14ac:dyDescent="0.2">
      <c r="H311">
        <v>0</v>
      </c>
    </row>
    <row r="312" spans="8:8" x14ac:dyDescent="0.2">
      <c r="H312">
        <v>0</v>
      </c>
    </row>
    <row r="313" spans="8:8" x14ac:dyDescent="0.2">
      <c r="H313">
        <v>0</v>
      </c>
    </row>
    <row r="314" spans="8:8" x14ac:dyDescent="0.2">
      <c r="H314">
        <v>0</v>
      </c>
    </row>
    <row r="315" spans="8:8" x14ac:dyDescent="0.2">
      <c r="H315">
        <v>0</v>
      </c>
    </row>
    <row r="316" spans="8:8" x14ac:dyDescent="0.2">
      <c r="H316">
        <v>0</v>
      </c>
    </row>
    <row r="317" spans="8:8" x14ac:dyDescent="0.2">
      <c r="H317">
        <v>0</v>
      </c>
    </row>
    <row r="318" spans="8:8" x14ac:dyDescent="0.2">
      <c r="H318">
        <v>0</v>
      </c>
    </row>
    <row r="319" spans="8:8" x14ac:dyDescent="0.2">
      <c r="H319">
        <v>0</v>
      </c>
    </row>
    <row r="320" spans="8:8" x14ac:dyDescent="0.2">
      <c r="H320">
        <v>0</v>
      </c>
    </row>
    <row r="321" spans="8:8" x14ac:dyDescent="0.2">
      <c r="H321">
        <v>0</v>
      </c>
    </row>
    <row r="322" spans="8:8" x14ac:dyDescent="0.2">
      <c r="H322">
        <v>0</v>
      </c>
    </row>
    <row r="323" spans="8:8" x14ac:dyDescent="0.2">
      <c r="H323">
        <v>0</v>
      </c>
    </row>
    <row r="324" spans="8:8" x14ac:dyDescent="0.2">
      <c r="H324">
        <v>0</v>
      </c>
    </row>
    <row r="325" spans="8:8" x14ac:dyDescent="0.2">
      <c r="H325">
        <v>0</v>
      </c>
    </row>
    <row r="326" spans="8:8" x14ac:dyDescent="0.2">
      <c r="H326">
        <v>0</v>
      </c>
    </row>
    <row r="327" spans="8:8" x14ac:dyDescent="0.2">
      <c r="H327">
        <v>0</v>
      </c>
    </row>
    <row r="328" spans="8:8" x14ac:dyDescent="0.2">
      <c r="H328">
        <v>0</v>
      </c>
    </row>
    <row r="329" spans="8:8" x14ac:dyDescent="0.2">
      <c r="H329">
        <v>0</v>
      </c>
    </row>
    <row r="330" spans="8:8" x14ac:dyDescent="0.2">
      <c r="H330">
        <v>0</v>
      </c>
    </row>
    <row r="331" spans="8:8" x14ac:dyDescent="0.2">
      <c r="H331">
        <v>0</v>
      </c>
    </row>
    <row r="332" spans="8:8" x14ac:dyDescent="0.2">
      <c r="H332">
        <v>0</v>
      </c>
    </row>
    <row r="333" spans="8:8" x14ac:dyDescent="0.2">
      <c r="H333">
        <v>0</v>
      </c>
    </row>
    <row r="334" spans="8:8" x14ac:dyDescent="0.2">
      <c r="H334">
        <v>0</v>
      </c>
    </row>
    <row r="335" spans="8:8" x14ac:dyDescent="0.2">
      <c r="H335">
        <v>0</v>
      </c>
    </row>
    <row r="336" spans="8:8" x14ac:dyDescent="0.2">
      <c r="H336">
        <v>0</v>
      </c>
    </row>
    <row r="337" spans="8:8" x14ac:dyDescent="0.2">
      <c r="H337">
        <v>0</v>
      </c>
    </row>
    <row r="338" spans="8:8" x14ac:dyDescent="0.2">
      <c r="H338">
        <v>0</v>
      </c>
    </row>
    <row r="339" spans="8:8" x14ac:dyDescent="0.2">
      <c r="H339">
        <v>0</v>
      </c>
    </row>
    <row r="340" spans="8:8" x14ac:dyDescent="0.2">
      <c r="H340">
        <v>0</v>
      </c>
    </row>
    <row r="341" spans="8:8" x14ac:dyDescent="0.2">
      <c r="H341">
        <v>0</v>
      </c>
    </row>
    <row r="342" spans="8:8" x14ac:dyDescent="0.2">
      <c r="H342">
        <v>0</v>
      </c>
    </row>
    <row r="343" spans="8:8" x14ac:dyDescent="0.2">
      <c r="H343">
        <v>0</v>
      </c>
    </row>
    <row r="344" spans="8:8" x14ac:dyDescent="0.2">
      <c r="H344">
        <v>0</v>
      </c>
    </row>
    <row r="345" spans="8:8" x14ac:dyDescent="0.2">
      <c r="H345">
        <v>0</v>
      </c>
    </row>
    <row r="346" spans="8:8" x14ac:dyDescent="0.2">
      <c r="H346">
        <v>0</v>
      </c>
    </row>
    <row r="347" spans="8:8" x14ac:dyDescent="0.2">
      <c r="H347">
        <v>0</v>
      </c>
    </row>
    <row r="348" spans="8:8" x14ac:dyDescent="0.2">
      <c r="H348">
        <v>0</v>
      </c>
    </row>
    <row r="349" spans="8:8" x14ac:dyDescent="0.2">
      <c r="H349">
        <v>0</v>
      </c>
    </row>
    <row r="350" spans="8:8" x14ac:dyDescent="0.2">
      <c r="H350">
        <v>0</v>
      </c>
    </row>
    <row r="351" spans="8:8" x14ac:dyDescent="0.2">
      <c r="H351">
        <v>0</v>
      </c>
    </row>
    <row r="352" spans="8:8" x14ac:dyDescent="0.2">
      <c r="H352">
        <v>0</v>
      </c>
    </row>
    <row r="353" spans="8:8" x14ac:dyDescent="0.2">
      <c r="H353">
        <v>0</v>
      </c>
    </row>
    <row r="354" spans="8:8" x14ac:dyDescent="0.2">
      <c r="H354">
        <v>0</v>
      </c>
    </row>
    <row r="355" spans="8:8" x14ac:dyDescent="0.2">
      <c r="H355">
        <v>0</v>
      </c>
    </row>
    <row r="356" spans="8:8" x14ac:dyDescent="0.2">
      <c r="H356">
        <v>0</v>
      </c>
    </row>
    <row r="357" spans="8:8" x14ac:dyDescent="0.2">
      <c r="H357">
        <v>0</v>
      </c>
    </row>
    <row r="358" spans="8:8" x14ac:dyDescent="0.2">
      <c r="H358">
        <v>0</v>
      </c>
    </row>
    <row r="359" spans="8:8" x14ac:dyDescent="0.2">
      <c r="H359">
        <v>0</v>
      </c>
    </row>
    <row r="360" spans="8:8" x14ac:dyDescent="0.2">
      <c r="H360">
        <v>0</v>
      </c>
    </row>
    <row r="361" spans="8:8" x14ac:dyDescent="0.2">
      <c r="H361">
        <v>0</v>
      </c>
    </row>
    <row r="362" spans="8:8" x14ac:dyDescent="0.2">
      <c r="H362">
        <v>0</v>
      </c>
    </row>
    <row r="363" spans="8:8" x14ac:dyDescent="0.2">
      <c r="H363">
        <v>0</v>
      </c>
    </row>
    <row r="364" spans="8:8" x14ac:dyDescent="0.2">
      <c r="H364">
        <v>0</v>
      </c>
    </row>
    <row r="365" spans="8:8" x14ac:dyDescent="0.2">
      <c r="H365">
        <v>0</v>
      </c>
    </row>
    <row r="366" spans="8:8" x14ac:dyDescent="0.2">
      <c r="H366">
        <v>0</v>
      </c>
    </row>
    <row r="367" spans="8:8" x14ac:dyDescent="0.2">
      <c r="H367">
        <v>0</v>
      </c>
    </row>
    <row r="368" spans="8:8" x14ac:dyDescent="0.2">
      <c r="H368">
        <v>0</v>
      </c>
    </row>
    <row r="369" spans="8:8" x14ac:dyDescent="0.2">
      <c r="H369">
        <v>0</v>
      </c>
    </row>
    <row r="370" spans="8:8" x14ac:dyDescent="0.2">
      <c r="H370">
        <v>0</v>
      </c>
    </row>
    <row r="371" spans="8:8" x14ac:dyDescent="0.2">
      <c r="H371">
        <v>0</v>
      </c>
    </row>
    <row r="372" spans="8:8" x14ac:dyDescent="0.2">
      <c r="H372">
        <v>0</v>
      </c>
    </row>
    <row r="373" spans="8:8" x14ac:dyDescent="0.2">
      <c r="H373">
        <v>0</v>
      </c>
    </row>
    <row r="374" spans="8:8" x14ac:dyDescent="0.2">
      <c r="H374">
        <v>0</v>
      </c>
    </row>
    <row r="375" spans="8:8" x14ac:dyDescent="0.2">
      <c r="H375">
        <v>0</v>
      </c>
    </row>
    <row r="376" spans="8:8" x14ac:dyDescent="0.2">
      <c r="H376">
        <v>0</v>
      </c>
    </row>
    <row r="377" spans="8:8" x14ac:dyDescent="0.2">
      <c r="H377">
        <v>0</v>
      </c>
    </row>
    <row r="378" spans="8:8" x14ac:dyDescent="0.2">
      <c r="H378">
        <v>0</v>
      </c>
    </row>
    <row r="379" spans="8:8" x14ac:dyDescent="0.2">
      <c r="H379">
        <v>0</v>
      </c>
    </row>
    <row r="380" spans="8:8" x14ac:dyDescent="0.2">
      <c r="H380">
        <v>0</v>
      </c>
    </row>
    <row r="381" spans="8:8" x14ac:dyDescent="0.2">
      <c r="H381">
        <v>0</v>
      </c>
    </row>
    <row r="382" spans="8:8" x14ac:dyDescent="0.2">
      <c r="H382">
        <v>0</v>
      </c>
    </row>
    <row r="383" spans="8:8" x14ac:dyDescent="0.2">
      <c r="H383">
        <v>0</v>
      </c>
    </row>
    <row r="384" spans="8:8" x14ac:dyDescent="0.2">
      <c r="H384">
        <v>0</v>
      </c>
    </row>
    <row r="385" spans="8:8" x14ac:dyDescent="0.2">
      <c r="H385">
        <v>0</v>
      </c>
    </row>
    <row r="386" spans="8:8" x14ac:dyDescent="0.2">
      <c r="H386">
        <v>0</v>
      </c>
    </row>
    <row r="387" spans="8:8" x14ac:dyDescent="0.2">
      <c r="H387">
        <v>0</v>
      </c>
    </row>
    <row r="388" spans="8:8" x14ac:dyDescent="0.2">
      <c r="H388">
        <v>0</v>
      </c>
    </row>
    <row r="389" spans="8:8" x14ac:dyDescent="0.2">
      <c r="H389">
        <v>0</v>
      </c>
    </row>
    <row r="390" spans="8:8" x14ac:dyDescent="0.2">
      <c r="H390">
        <v>0</v>
      </c>
    </row>
    <row r="391" spans="8:8" x14ac:dyDescent="0.2">
      <c r="H391">
        <v>0</v>
      </c>
    </row>
    <row r="392" spans="8:8" x14ac:dyDescent="0.2">
      <c r="H392">
        <v>0</v>
      </c>
    </row>
    <row r="393" spans="8:8" x14ac:dyDescent="0.2">
      <c r="H393">
        <v>0</v>
      </c>
    </row>
    <row r="394" spans="8:8" x14ac:dyDescent="0.2">
      <c r="H394">
        <v>0</v>
      </c>
    </row>
    <row r="395" spans="8:8" x14ac:dyDescent="0.2">
      <c r="H395">
        <v>0</v>
      </c>
    </row>
    <row r="396" spans="8:8" x14ac:dyDescent="0.2">
      <c r="H396">
        <v>0</v>
      </c>
    </row>
    <row r="397" spans="8:8" x14ac:dyDescent="0.2">
      <c r="H397">
        <v>0</v>
      </c>
    </row>
    <row r="398" spans="8:8" x14ac:dyDescent="0.2">
      <c r="H398">
        <v>0</v>
      </c>
    </row>
    <row r="399" spans="8:8" x14ac:dyDescent="0.2">
      <c r="H399">
        <v>0</v>
      </c>
    </row>
    <row r="400" spans="8:8" x14ac:dyDescent="0.2">
      <c r="H400">
        <v>0</v>
      </c>
    </row>
    <row r="401" spans="8:8" x14ac:dyDescent="0.2">
      <c r="H401">
        <v>0</v>
      </c>
    </row>
    <row r="402" spans="8:8" x14ac:dyDescent="0.2">
      <c r="H402">
        <v>0</v>
      </c>
    </row>
    <row r="403" spans="8:8" x14ac:dyDescent="0.2">
      <c r="H403">
        <v>0</v>
      </c>
    </row>
    <row r="404" spans="8:8" x14ac:dyDescent="0.2">
      <c r="H404">
        <v>0</v>
      </c>
    </row>
    <row r="405" spans="8:8" x14ac:dyDescent="0.2">
      <c r="H405">
        <v>0</v>
      </c>
    </row>
    <row r="406" spans="8:8" x14ac:dyDescent="0.2">
      <c r="H406">
        <v>0</v>
      </c>
    </row>
    <row r="407" spans="8:8" x14ac:dyDescent="0.2">
      <c r="H407">
        <v>0</v>
      </c>
    </row>
    <row r="408" spans="8:8" x14ac:dyDescent="0.2">
      <c r="H408">
        <v>0</v>
      </c>
    </row>
    <row r="409" spans="8:8" x14ac:dyDescent="0.2">
      <c r="H409">
        <v>0</v>
      </c>
    </row>
    <row r="410" spans="8:8" x14ac:dyDescent="0.2">
      <c r="H410">
        <v>0</v>
      </c>
    </row>
    <row r="411" spans="8:8" x14ac:dyDescent="0.2">
      <c r="H411">
        <v>0</v>
      </c>
    </row>
    <row r="412" spans="8:8" x14ac:dyDescent="0.2">
      <c r="H412">
        <v>0</v>
      </c>
    </row>
    <row r="413" spans="8:8" x14ac:dyDescent="0.2">
      <c r="H413">
        <v>0</v>
      </c>
    </row>
    <row r="414" spans="8:8" x14ac:dyDescent="0.2">
      <c r="H414">
        <v>0</v>
      </c>
    </row>
    <row r="415" spans="8:8" x14ac:dyDescent="0.2">
      <c r="H415">
        <v>0</v>
      </c>
    </row>
    <row r="416" spans="8:8" x14ac:dyDescent="0.2">
      <c r="H416">
        <v>0</v>
      </c>
    </row>
    <row r="417" spans="8:8" x14ac:dyDescent="0.2">
      <c r="H417">
        <v>0</v>
      </c>
    </row>
    <row r="418" spans="8:8" x14ac:dyDescent="0.2">
      <c r="H418">
        <v>0</v>
      </c>
    </row>
    <row r="419" spans="8:8" x14ac:dyDescent="0.2">
      <c r="H419">
        <v>0</v>
      </c>
    </row>
    <row r="420" spans="8:8" x14ac:dyDescent="0.2">
      <c r="H420">
        <v>0</v>
      </c>
    </row>
    <row r="421" spans="8:8" x14ac:dyDescent="0.2">
      <c r="H421">
        <v>0</v>
      </c>
    </row>
    <row r="422" spans="8:8" x14ac:dyDescent="0.2">
      <c r="H422">
        <v>0</v>
      </c>
    </row>
    <row r="423" spans="8:8" x14ac:dyDescent="0.2">
      <c r="H423">
        <v>0</v>
      </c>
    </row>
    <row r="424" spans="8:8" x14ac:dyDescent="0.2">
      <c r="H424">
        <v>0</v>
      </c>
    </row>
    <row r="425" spans="8:8" x14ac:dyDescent="0.2">
      <c r="H425">
        <v>0</v>
      </c>
    </row>
    <row r="426" spans="8:8" x14ac:dyDescent="0.2">
      <c r="H426">
        <v>0</v>
      </c>
    </row>
    <row r="427" spans="8:8" x14ac:dyDescent="0.2">
      <c r="H427">
        <v>0</v>
      </c>
    </row>
    <row r="428" spans="8:8" x14ac:dyDescent="0.2">
      <c r="H428">
        <v>0</v>
      </c>
    </row>
    <row r="429" spans="8:8" x14ac:dyDescent="0.2">
      <c r="H429">
        <v>0</v>
      </c>
    </row>
    <row r="430" spans="8:8" x14ac:dyDescent="0.2">
      <c r="H430">
        <v>0</v>
      </c>
    </row>
    <row r="431" spans="8:8" x14ac:dyDescent="0.2">
      <c r="H431">
        <v>0</v>
      </c>
    </row>
    <row r="432" spans="8:8" x14ac:dyDescent="0.2">
      <c r="H432">
        <v>0</v>
      </c>
    </row>
    <row r="433" spans="8:8" x14ac:dyDescent="0.2">
      <c r="H433">
        <v>0</v>
      </c>
    </row>
    <row r="434" spans="8:8" x14ac:dyDescent="0.2">
      <c r="H434">
        <v>0</v>
      </c>
    </row>
    <row r="435" spans="8:8" x14ac:dyDescent="0.2">
      <c r="H435">
        <v>0</v>
      </c>
    </row>
    <row r="436" spans="8:8" x14ac:dyDescent="0.2">
      <c r="H436">
        <v>0</v>
      </c>
    </row>
    <row r="437" spans="8:8" x14ac:dyDescent="0.2">
      <c r="H437">
        <v>0</v>
      </c>
    </row>
    <row r="438" spans="8:8" x14ac:dyDescent="0.2">
      <c r="H438">
        <v>0</v>
      </c>
    </row>
    <row r="439" spans="8:8" x14ac:dyDescent="0.2">
      <c r="H439">
        <v>0</v>
      </c>
    </row>
    <row r="440" spans="8:8" x14ac:dyDescent="0.2">
      <c r="H440">
        <v>0</v>
      </c>
    </row>
    <row r="441" spans="8:8" x14ac:dyDescent="0.2">
      <c r="H441">
        <v>0</v>
      </c>
    </row>
    <row r="442" spans="8:8" x14ac:dyDescent="0.2">
      <c r="H442">
        <v>0</v>
      </c>
    </row>
    <row r="443" spans="8:8" x14ac:dyDescent="0.2">
      <c r="H443">
        <v>0</v>
      </c>
    </row>
    <row r="444" spans="8:8" x14ac:dyDescent="0.2">
      <c r="H444">
        <v>0</v>
      </c>
    </row>
    <row r="445" spans="8:8" x14ac:dyDescent="0.2">
      <c r="H445">
        <v>0</v>
      </c>
    </row>
    <row r="446" spans="8:8" x14ac:dyDescent="0.2">
      <c r="H446">
        <v>0</v>
      </c>
    </row>
    <row r="447" spans="8:8" x14ac:dyDescent="0.2">
      <c r="H447">
        <v>0</v>
      </c>
    </row>
    <row r="448" spans="8:8" x14ac:dyDescent="0.2">
      <c r="H448">
        <v>0</v>
      </c>
    </row>
    <row r="449" spans="8:8" x14ac:dyDescent="0.2">
      <c r="H449">
        <v>0</v>
      </c>
    </row>
    <row r="450" spans="8:8" x14ac:dyDescent="0.2">
      <c r="H450">
        <v>0</v>
      </c>
    </row>
    <row r="451" spans="8:8" x14ac:dyDescent="0.2">
      <c r="H451">
        <v>0</v>
      </c>
    </row>
    <row r="452" spans="8:8" x14ac:dyDescent="0.2">
      <c r="H452">
        <v>0</v>
      </c>
    </row>
    <row r="453" spans="8:8" x14ac:dyDescent="0.2">
      <c r="H453">
        <v>0</v>
      </c>
    </row>
    <row r="454" spans="8:8" x14ac:dyDescent="0.2">
      <c r="H454">
        <v>0</v>
      </c>
    </row>
    <row r="455" spans="8:8" x14ac:dyDescent="0.2">
      <c r="H455">
        <v>0</v>
      </c>
    </row>
    <row r="456" spans="8:8" x14ac:dyDescent="0.2">
      <c r="H456">
        <v>0</v>
      </c>
    </row>
    <row r="457" spans="8:8" x14ac:dyDescent="0.2">
      <c r="H457">
        <v>0</v>
      </c>
    </row>
    <row r="458" spans="8:8" x14ac:dyDescent="0.2">
      <c r="H458">
        <v>0</v>
      </c>
    </row>
    <row r="459" spans="8:8" x14ac:dyDescent="0.2">
      <c r="H459">
        <v>0</v>
      </c>
    </row>
    <row r="460" spans="8:8" x14ac:dyDescent="0.2">
      <c r="H460">
        <v>0</v>
      </c>
    </row>
    <row r="461" spans="8:8" x14ac:dyDescent="0.2">
      <c r="H461">
        <v>0</v>
      </c>
    </row>
    <row r="462" spans="8:8" x14ac:dyDescent="0.2">
      <c r="H462">
        <v>0</v>
      </c>
    </row>
    <row r="463" spans="8:8" x14ac:dyDescent="0.2">
      <c r="H463">
        <v>0</v>
      </c>
    </row>
    <row r="464" spans="8:8" x14ac:dyDescent="0.2">
      <c r="H464">
        <v>0</v>
      </c>
    </row>
    <row r="465" spans="8:8" x14ac:dyDescent="0.2">
      <c r="H465">
        <v>0</v>
      </c>
    </row>
    <row r="466" spans="8:8" x14ac:dyDescent="0.2">
      <c r="H466">
        <v>0</v>
      </c>
    </row>
    <row r="467" spans="8:8" x14ac:dyDescent="0.2">
      <c r="H467">
        <v>0</v>
      </c>
    </row>
    <row r="468" spans="8:8" x14ac:dyDescent="0.2">
      <c r="H468">
        <v>0</v>
      </c>
    </row>
    <row r="469" spans="8:8" x14ac:dyDescent="0.2">
      <c r="H469">
        <v>0</v>
      </c>
    </row>
    <row r="470" spans="8:8" x14ac:dyDescent="0.2">
      <c r="H470">
        <v>0</v>
      </c>
    </row>
    <row r="471" spans="8:8" x14ac:dyDescent="0.2">
      <c r="H471">
        <v>0</v>
      </c>
    </row>
    <row r="472" spans="8:8" x14ac:dyDescent="0.2">
      <c r="H472">
        <v>0</v>
      </c>
    </row>
    <row r="473" spans="8:8" x14ac:dyDescent="0.2">
      <c r="H473">
        <v>0</v>
      </c>
    </row>
    <row r="474" spans="8:8" x14ac:dyDescent="0.2">
      <c r="H474">
        <v>0</v>
      </c>
    </row>
    <row r="475" spans="8:8" x14ac:dyDescent="0.2">
      <c r="H475">
        <v>0</v>
      </c>
    </row>
    <row r="476" spans="8:8" x14ac:dyDescent="0.2">
      <c r="H476">
        <v>0</v>
      </c>
    </row>
    <row r="477" spans="8:8" x14ac:dyDescent="0.2">
      <c r="H477">
        <v>0</v>
      </c>
    </row>
    <row r="478" spans="8:8" x14ac:dyDescent="0.2">
      <c r="H478">
        <v>0</v>
      </c>
    </row>
    <row r="479" spans="8:8" x14ac:dyDescent="0.2">
      <c r="H479">
        <v>0</v>
      </c>
    </row>
    <row r="480" spans="8:8" x14ac:dyDescent="0.2">
      <c r="H480">
        <v>0</v>
      </c>
    </row>
    <row r="481" spans="8:8" x14ac:dyDescent="0.2">
      <c r="H481">
        <v>0</v>
      </c>
    </row>
    <row r="482" spans="8:8" x14ac:dyDescent="0.2">
      <c r="H482">
        <v>0</v>
      </c>
    </row>
    <row r="483" spans="8:8" x14ac:dyDescent="0.2">
      <c r="H483">
        <v>0</v>
      </c>
    </row>
    <row r="484" spans="8:8" x14ac:dyDescent="0.2">
      <c r="H484">
        <v>0</v>
      </c>
    </row>
    <row r="485" spans="8:8" x14ac:dyDescent="0.2">
      <c r="H485">
        <v>0</v>
      </c>
    </row>
    <row r="486" spans="8:8" x14ac:dyDescent="0.2">
      <c r="H486">
        <v>0</v>
      </c>
    </row>
    <row r="487" spans="8:8" x14ac:dyDescent="0.2">
      <c r="H487">
        <v>0</v>
      </c>
    </row>
    <row r="488" spans="8:8" x14ac:dyDescent="0.2">
      <c r="H488">
        <v>0</v>
      </c>
    </row>
    <row r="489" spans="8:8" x14ac:dyDescent="0.2">
      <c r="H489">
        <v>0</v>
      </c>
    </row>
    <row r="490" spans="8:8" x14ac:dyDescent="0.2">
      <c r="H490">
        <v>0</v>
      </c>
    </row>
    <row r="491" spans="8:8" x14ac:dyDescent="0.2">
      <c r="H491">
        <v>0</v>
      </c>
    </row>
    <row r="492" spans="8:8" x14ac:dyDescent="0.2">
      <c r="H492">
        <v>0</v>
      </c>
    </row>
    <row r="493" spans="8:8" x14ac:dyDescent="0.2">
      <c r="H493">
        <v>0</v>
      </c>
    </row>
    <row r="494" spans="8:8" x14ac:dyDescent="0.2">
      <c r="H494">
        <v>0</v>
      </c>
    </row>
    <row r="495" spans="8:8" x14ac:dyDescent="0.2">
      <c r="H495">
        <v>0</v>
      </c>
    </row>
    <row r="496" spans="8:8" x14ac:dyDescent="0.2">
      <c r="H496">
        <v>0</v>
      </c>
    </row>
    <row r="497" spans="8:8" x14ac:dyDescent="0.2">
      <c r="H497">
        <v>0</v>
      </c>
    </row>
    <row r="498" spans="8:8" x14ac:dyDescent="0.2">
      <c r="H498">
        <v>0</v>
      </c>
    </row>
    <row r="499" spans="8:8" x14ac:dyDescent="0.2">
      <c r="H499">
        <v>0</v>
      </c>
    </row>
    <row r="500" spans="8:8" x14ac:dyDescent="0.2">
      <c r="H500">
        <v>0</v>
      </c>
    </row>
    <row r="501" spans="8:8" x14ac:dyDescent="0.2">
      <c r="H501">
        <v>0</v>
      </c>
    </row>
    <row r="502" spans="8:8" x14ac:dyDescent="0.2">
      <c r="H502">
        <v>0</v>
      </c>
    </row>
    <row r="503" spans="8:8" x14ac:dyDescent="0.2">
      <c r="H503">
        <v>0</v>
      </c>
    </row>
    <row r="504" spans="8:8" x14ac:dyDescent="0.2">
      <c r="H504">
        <v>0</v>
      </c>
    </row>
    <row r="505" spans="8:8" x14ac:dyDescent="0.2">
      <c r="H505">
        <v>0</v>
      </c>
    </row>
    <row r="506" spans="8:8" x14ac:dyDescent="0.2">
      <c r="H506">
        <v>0</v>
      </c>
    </row>
    <row r="507" spans="8:8" x14ac:dyDescent="0.2">
      <c r="H507">
        <v>0</v>
      </c>
    </row>
    <row r="508" spans="8:8" x14ac:dyDescent="0.2">
      <c r="H508">
        <v>0</v>
      </c>
    </row>
    <row r="509" spans="8:8" x14ac:dyDescent="0.2">
      <c r="H509">
        <v>0</v>
      </c>
    </row>
    <row r="510" spans="8:8" x14ac:dyDescent="0.2">
      <c r="H510">
        <v>0</v>
      </c>
    </row>
    <row r="511" spans="8:8" x14ac:dyDescent="0.2">
      <c r="H511">
        <v>0</v>
      </c>
    </row>
    <row r="512" spans="8:8" x14ac:dyDescent="0.2">
      <c r="H512">
        <v>0</v>
      </c>
    </row>
    <row r="513" spans="8:8" x14ac:dyDescent="0.2">
      <c r="H513">
        <v>0</v>
      </c>
    </row>
    <row r="514" spans="8:8" x14ac:dyDescent="0.2">
      <c r="H514">
        <v>0</v>
      </c>
    </row>
    <row r="515" spans="8:8" x14ac:dyDescent="0.2">
      <c r="H515">
        <v>0</v>
      </c>
    </row>
    <row r="516" spans="8:8" x14ac:dyDescent="0.2">
      <c r="H516">
        <v>0</v>
      </c>
    </row>
    <row r="517" spans="8:8" x14ac:dyDescent="0.2">
      <c r="H517">
        <v>0</v>
      </c>
    </row>
    <row r="518" spans="8:8" x14ac:dyDescent="0.2">
      <c r="H518">
        <v>0</v>
      </c>
    </row>
    <row r="519" spans="8:8" x14ac:dyDescent="0.2">
      <c r="H519">
        <v>0</v>
      </c>
    </row>
    <row r="520" spans="8:8" x14ac:dyDescent="0.2">
      <c r="H520">
        <v>0</v>
      </c>
    </row>
    <row r="521" spans="8:8" x14ac:dyDescent="0.2">
      <c r="H521">
        <v>0</v>
      </c>
    </row>
    <row r="522" spans="8:8" x14ac:dyDescent="0.2">
      <c r="H522">
        <v>0</v>
      </c>
    </row>
    <row r="523" spans="8:8" x14ac:dyDescent="0.2">
      <c r="H523">
        <v>0</v>
      </c>
    </row>
    <row r="524" spans="8:8" x14ac:dyDescent="0.2">
      <c r="H524">
        <v>0</v>
      </c>
    </row>
    <row r="525" spans="8:8" x14ac:dyDescent="0.2">
      <c r="H525">
        <v>0</v>
      </c>
    </row>
    <row r="526" spans="8:8" x14ac:dyDescent="0.2">
      <c r="H526">
        <v>0</v>
      </c>
    </row>
    <row r="527" spans="8:8" x14ac:dyDescent="0.2">
      <c r="H527">
        <v>0</v>
      </c>
    </row>
    <row r="528" spans="8:8" x14ac:dyDescent="0.2">
      <c r="H528">
        <v>0</v>
      </c>
    </row>
    <row r="529" spans="8:8" x14ac:dyDescent="0.2">
      <c r="H529">
        <v>0</v>
      </c>
    </row>
    <row r="530" spans="8:8" x14ac:dyDescent="0.2">
      <c r="H530">
        <v>0</v>
      </c>
    </row>
    <row r="531" spans="8:8" x14ac:dyDescent="0.2">
      <c r="H531">
        <v>0</v>
      </c>
    </row>
    <row r="532" spans="8:8" x14ac:dyDescent="0.2">
      <c r="H532">
        <v>0</v>
      </c>
    </row>
    <row r="533" spans="8:8" x14ac:dyDescent="0.2">
      <c r="H533">
        <v>0</v>
      </c>
    </row>
    <row r="534" spans="8:8" x14ac:dyDescent="0.2">
      <c r="H534">
        <v>0</v>
      </c>
    </row>
    <row r="535" spans="8:8" x14ac:dyDescent="0.2">
      <c r="H535">
        <v>0</v>
      </c>
    </row>
    <row r="536" spans="8:8" x14ac:dyDescent="0.2">
      <c r="H536">
        <v>0</v>
      </c>
    </row>
    <row r="537" spans="8:8" x14ac:dyDescent="0.2">
      <c r="H537">
        <v>0</v>
      </c>
    </row>
    <row r="538" spans="8:8" x14ac:dyDescent="0.2">
      <c r="H538">
        <v>0</v>
      </c>
    </row>
    <row r="539" spans="8:8" x14ac:dyDescent="0.2">
      <c r="H539">
        <v>0</v>
      </c>
    </row>
    <row r="540" spans="8:8" x14ac:dyDescent="0.2">
      <c r="H540">
        <v>0</v>
      </c>
    </row>
    <row r="541" spans="8:8" x14ac:dyDescent="0.2">
      <c r="H541">
        <v>0</v>
      </c>
    </row>
    <row r="542" spans="8:8" x14ac:dyDescent="0.2">
      <c r="H542">
        <v>0</v>
      </c>
    </row>
    <row r="543" spans="8:8" x14ac:dyDescent="0.2">
      <c r="H543">
        <v>0</v>
      </c>
    </row>
    <row r="544" spans="8:8" x14ac:dyDescent="0.2">
      <c r="H544">
        <v>0</v>
      </c>
    </row>
    <row r="545" spans="8:8" x14ac:dyDescent="0.2">
      <c r="H545">
        <v>0</v>
      </c>
    </row>
    <row r="546" spans="8:8" x14ac:dyDescent="0.2">
      <c r="H546">
        <v>0</v>
      </c>
    </row>
    <row r="547" spans="8:8" x14ac:dyDescent="0.2">
      <c r="H547">
        <v>0</v>
      </c>
    </row>
    <row r="548" spans="8:8" x14ac:dyDescent="0.2">
      <c r="H548">
        <v>0</v>
      </c>
    </row>
    <row r="549" spans="8:8" x14ac:dyDescent="0.2">
      <c r="H549">
        <v>0</v>
      </c>
    </row>
    <row r="550" spans="8:8" x14ac:dyDescent="0.2">
      <c r="H550">
        <v>0</v>
      </c>
    </row>
    <row r="551" spans="8:8" x14ac:dyDescent="0.2">
      <c r="H551">
        <v>0</v>
      </c>
    </row>
    <row r="552" spans="8:8" x14ac:dyDescent="0.2">
      <c r="H552">
        <v>0</v>
      </c>
    </row>
    <row r="553" spans="8:8" x14ac:dyDescent="0.2">
      <c r="H553">
        <v>0</v>
      </c>
    </row>
    <row r="554" spans="8:8" x14ac:dyDescent="0.2">
      <c r="H554">
        <v>0</v>
      </c>
    </row>
    <row r="555" spans="8:8" x14ac:dyDescent="0.2">
      <c r="H555">
        <v>0</v>
      </c>
    </row>
    <row r="556" spans="8:8" x14ac:dyDescent="0.2">
      <c r="H556">
        <v>0</v>
      </c>
    </row>
    <row r="557" spans="8:8" x14ac:dyDescent="0.2">
      <c r="H557">
        <v>0</v>
      </c>
    </row>
    <row r="558" spans="8:8" x14ac:dyDescent="0.2">
      <c r="H558">
        <v>0</v>
      </c>
    </row>
    <row r="559" spans="8:8" x14ac:dyDescent="0.2">
      <c r="H559">
        <v>0</v>
      </c>
    </row>
    <row r="560" spans="8:8" x14ac:dyDescent="0.2">
      <c r="H560">
        <v>0</v>
      </c>
    </row>
    <row r="561" spans="8:8" x14ac:dyDescent="0.2">
      <c r="H561">
        <v>0</v>
      </c>
    </row>
    <row r="562" spans="8:8" x14ac:dyDescent="0.2">
      <c r="H562">
        <v>0</v>
      </c>
    </row>
    <row r="563" spans="8:8" x14ac:dyDescent="0.2">
      <c r="H563">
        <v>0</v>
      </c>
    </row>
    <row r="564" spans="8:8" x14ac:dyDescent="0.2">
      <c r="H564">
        <v>0</v>
      </c>
    </row>
    <row r="565" spans="8:8" x14ac:dyDescent="0.2">
      <c r="H565">
        <v>0</v>
      </c>
    </row>
    <row r="566" spans="8:8" x14ac:dyDescent="0.2">
      <c r="H566">
        <v>0</v>
      </c>
    </row>
    <row r="567" spans="8:8" x14ac:dyDescent="0.2">
      <c r="H567">
        <v>0</v>
      </c>
    </row>
    <row r="568" spans="8:8" x14ac:dyDescent="0.2">
      <c r="H568">
        <v>0</v>
      </c>
    </row>
    <row r="569" spans="8:8" x14ac:dyDescent="0.2">
      <c r="H569">
        <v>0</v>
      </c>
    </row>
    <row r="570" spans="8:8" x14ac:dyDescent="0.2">
      <c r="H570">
        <v>0</v>
      </c>
    </row>
    <row r="571" spans="8:8" x14ac:dyDescent="0.2">
      <c r="H571">
        <v>0</v>
      </c>
    </row>
    <row r="572" spans="8:8" x14ac:dyDescent="0.2">
      <c r="H572">
        <v>0</v>
      </c>
    </row>
    <row r="573" spans="8:8" x14ac:dyDescent="0.2">
      <c r="H573">
        <v>0</v>
      </c>
    </row>
    <row r="574" spans="8:8" x14ac:dyDescent="0.2">
      <c r="H574">
        <v>0</v>
      </c>
    </row>
    <row r="575" spans="8:8" x14ac:dyDescent="0.2">
      <c r="H575">
        <v>0</v>
      </c>
    </row>
    <row r="576" spans="8:8" x14ac:dyDescent="0.2">
      <c r="H576">
        <v>0</v>
      </c>
    </row>
    <row r="577" spans="8:8" x14ac:dyDescent="0.2">
      <c r="H577">
        <v>0</v>
      </c>
    </row>
    <row r="578" spans="8:8" x14ac:dyDescent="0.2">
      <c r="H578">
        <v>0</v>
      </c>
    </row>
    <row r="579" spans="8:8" x14ac:dyDescent="0.2">
      <c r="H579">
        <v>0</v>
      </c>
    </row>
    <row r="580" spans="8:8" x14ac:dyDescent="0.2">
      <c r="H580">
        <v>0</v>
      </c>
    </row>
    <row r="581" spans="8:8" x14ac:dyDescent="0.2">
      <c r="H581">
        <v>0</v>
      </c>
    </row>
    <row r="582" spans="8:8" x14ac:dyDescent="0.2">
      <c r="H582">
        <v>0</v>
      </c>
    </row>
    <row r="583" spans="8:8" x14ac:dyDescent="0.2">
      <c r="H583">
        <v>0</v>
      </c>
    </row>
    <row r="584" spans="8:8" x14ac:dyDescent="0.2">
      <c r="H584">
        <v>0</v>
      </c>
    </row>
    <row r="585" spans="8:8" x14ac:dyDescent="0.2">
      <c r="H585">
        <v>0</v>
      </c>
    </row>
    <row r="586" spans="8:8" x14ac:dyDescent="0.2">
      <c r="H586">
        <v>0</v>
      </c>
    </row>
    <row r="587" spans="8:8" x14ac:dyDescent="0.2">
      <c r="H587">
        <v>0</v>
      </c>
    </row>
    <row r="588" spans="8:8" x14ac:dyDescent="0.2">
      <c r="H588">
        <v>0</v>
      </c>
    </row>
    <row r="589" spans="8:8" x14ac:dyDescent="0.2">
      <c r="H589">
        <v>0</v>
      </c>
    </row>
    <row r="590" spans="8:8" x14ac:dyDescent="0.2">
      <c r="H590">
        <v>0</v>
      </c>
    </row>
    <row r="591" spans="8:8" x14ac:dyDescent="0.2">
      <c r="H591">
        <v>0</v>
      </c>
    </row>
    <row r="592" spans="8:8" x14ac:dyDescent="0.2">
      <c r="H592">
        <v>0</v>
      </c>
    </row>
    <row r="593" spans="8:8" x14ac:dyDescent="0.2">
      <c r="H593">
        <v>0</v>
      </c>
    </row>
    <row r="594" spans="8:8" x14ac:dyDescent="0.2">
      <c r="H594">
        <v>0</v>
      </c>
    </row>
    <row r="595" spans="8:8" x14ac:dyDescent="0.2">
      <c r="H595">
        <v>0</v>
      </c>
    </row>
    <row r="596" spans="8:8" x14ac:dyDescent="0.2">
      <c r="H596">
        <v>0</v>
      </c>
    </row>
    <row r="597" spans="8:8" x14ac:dyDescent="0.2">
      <c r="H597">
        <v>0</v>
      </c>
    </row>
    <row r="598" spans="8:8" x14ac:dyDescent="0.2">
      <c r="H598">
        <v>0</v>
      </c>
    </row>
    <row r="599" spans="8:8" x14ac:dyDescent="0.2">
      <c r="H599">
        <v>0</v>
      </c>
    </row>
    <row r="600" spans="8:8" x14ac:dyDescent="0.2">
      <c r="H600">
        <v>0</v>
      </c>
    </row>
    <row r="601" spans="8:8" x14ac:dyDescent="0.2">
      <c r="H601">
        <v>0</v>
      </c>
    </row>
    <row r="602" spans="8:8" x14ac:dyDescent="0.2">
      <c r="H602">
        <v>0</v>
      </c>
    </row>
    <row r="603" spans="8:8" x14ac:dyDescent="0.2">
      <c r="H603">
        <v>0</v>
      </c>
    </row>
    <row r="604" spans="8:8" x14ac:dyDescent="0.2">
      <c r="H604">
        <v>0</v>
      </c>
    </row>
    <row r="605" spans="8:8" x14ac:dyDescent="0.2">
      <c r="H605">
        <v>0</v>
      </c>
    </row>
    <row r="606" spans="8:8" x14ac:dyDescent="0.2">
      <c r="H606">
        <v>0</v>
      </c>
    </row>
    <row r="607" spans="8:8" x14ac:dyDescent="0.2">
      <c r="H607">
        <v>0</v>
      </c>
    </row>
    <row r="608" spans="8:8" x14ac:dyDescent="0.2">
      <c r="H608">
        <v>0</v>
      </c>
    </row>
    <row r="609" spans="8:8" x14ac:dyDescent="0.2">
      <c r="H609">
        <v>0</v>
      </c>
    </row>
    <row r="610" spans="8:8" x14ac:dyDescent="0.2">
      <c r="H610">
        <v>0</v>
      </c>
    </row>
    <row r="611" spans="8:8" x14ac:dyDescent="0.2">
      <c r="H611">
        <v>0</v>
      </c>
    </row>
    <row r="612" spans="8:8" x14ac:dyDescent="0.2">
      <c r="H612">
        <v>0</v>
      </c>
    </row>
    <row r="613" spans="8:8" x14ac:dyDescent="0.2">
      <c r="H613">
        <v>0</v>
      </c>
    </row>
    <row r="614" spans="8:8" x14ac:dyDescent="0.2">
      <c r="H614">
        <v>0</v>
      </c>
    </row>
    <row r="615" spans="8:8" x14ac:dyDescent="0.2">
      <c r="H615">
        <v>0</v>
      </c>
    </row>
    <row r="616" spans="8:8" x14ac:dyDescent="0.2">
      <c r="H616">
        <v>0</v>
      </c>
    </row>
    <row r="617" spans="8:8" x14ac:dyDescent="0.2">
      <c r="H617">
        <v>0</v>
      </c>
    </row>
    <row r="618" spans="8:8" x14ac:dyDescent="0.2">
      <c r="H618">
        <v>0</v>
      </c>
    </row>
    <row r="619" spans="8:8" x14ac:dyDescent="0.2">
      <c r="H619">
        <v>0</v>
      </c>
    </row>
    <row r="620" spans="8:8" x14ac:dyDescent="0.2">
      <c r="H620">
        <v>0</v>
      </c>
    </row>
    <row r="621" spans="8:8" x14ac:dyDescent="0.2">
      <c r="H621">
        <v>0</v>
      </c>
    </row>
    <row r="622" spans="8:8" x14ac:dyDescent="0.2">
      <c r="H622">
        <v>0</v>
      </c>
    </row>
    <row r="623" spans="8:8" x14ac:dyDescent="0.2">
      <c r="H623">
        <v>0</v>
      </c>
    </row>
    <row r="624" spans="8:8" x14ac:dyDescent="0.2">
      <c r="H624">
        <v>0</v>
      </c>
    </row>
    <row r="625" spans="8:8" x14ac:dyDescent="0.2">
      <c r="H625">
        <v>0</v>
      </c>
    </row>
    <row r="626" spans="8:8" x14ac:dyDescent="0.2">
      <c r="H626">
        <v>0</v>
      </c>
    </row>
    <row r="627" spans="8:8" x14ac:dyDescent="0.2">
      <c r="H627">
        <v>0</v>
      </c>
    </row>
    <row r="628" spans="8:8" x14ac:dyDescent="0.2">
      <c r="H628">
        <v>0</v>
      </c>
    </row>
    <row r="629" spans="8:8" x14ac:dyDescent="0.2">
      <c r="H629">
        <v>0</v>
      </c>
    </row>
    <row r="630" spans="8:8" x14ac:dyDescent="0.2">
      <c r="H630">
        <v>0</v>
      </c>
    </row>
    <row r="631" spans="8:8" x14ac:dyDescent="0.2">
      <c r="H631">
        <v>0</v>
      </c>
    </row>
    <row r="632" spans="8:8" x14ac:dyDescent="0.2">
      <c r="H632">
        <v>0</v>
      </c>
    </row>
    <row r="633" spans="8:8" x14ac:dyDescent="0.2">
      <c r="H633">
        <v>0</v>
      </c>
    </row>
    <row r="634" spans="8:8" x14ac:dyDescent="0.2">
      <c r="H634">
        <v>0</v>
      </c>
    </row>
    <row r="635" spans="8:8" x14ac:dyDescent="0.2">
      <c r="H635">
        <v>0</v>
      </c>
    </row>
    <row r="636" spans="8:8" x14ac:dyDescent="0.2">
      <c r="H636">
        <v>0</v>
      </c>
    </row>
    <row r="637" spans="8:8" x14ac:dyDescent="0.2">
      <c r="H637">
        <v>0</v>
      </c>
    </row>
    <row r="638" spans="8:8" x14ac:dyDescent="0.2">
      <c r="H638">
        <v>0</v>
      </c>
    </row>
    <row r="639" spans="8:8" x14ac:dyDescent="0.2">
      <c r="H639">
        <v>0</v>
      </c>
    </row>
    <row r="640" spans="8:8" x14ac:dyDescent="0.2">
      <c r="H640">
        <v>0</v>
      </c>
    </row>
    <row r="641" spans="8:8" x14ac:dyDescent="0.2">
      <c r="H641">
        <v>0</v>
      </c>
    </row>
    <row r="642" spans="8:8" x14ac:dyDescent="0.2">
      <c r="H642">
        <v>0</v>
      </c>
    </row>
    <row r="643" spans="8:8" x14ac:dyDescent="0.2">
      <c r="H643">
        <v>0</v>
      </c>
    </row>
    <row r="644" spans="8:8" x14ac:dyDescent="0.2">
      <c r="H644">
        <v>0</v>
      </c>
    </row>
    <row r="645" spans="8:8" x14ac:dyDescent="0.2">
      <c r="H645">
        <v>0</v>
      </c>
    </row>
    <row r="646" spans="8:8" x14ac:dyDescent="0.2">
      <c r="H646">
        <v>0</v>
      </c>
    </row>
    <row r="647" spans="8:8" x14ac:dyDescent="0.2">
      <c r="H647">
        <v>0</v>
      </c>
    </row>
    <row r="648" spans="8:8" x14ac:dyDescent="0.2">
      <c r="H648">
        <v>0</v>
      </c>
    </row>
    <row r="649" spans="8:8" x14ac:dyDescent="0.2">
      <c r="H649">
        <v>0</v>
      </c>
    </row>
    <row r="650" spans="8:8" x14ac:dyDescent="0.2">
      <c r="H650">
        <v>0</v>
      </c>
    </row>
    <row r="651" spans="8:8" x14ac:dyDescent="0.2">
      <c r="H651">
        <v>0</v>
      </c>
    </row>
    <row r="652" spans="8:8" x14ac:dyDescent="0.2">
      <c r="H652">
        <v>0</v>
      </c>
    </row>
    <row r="653" spans="8:8" x14ac:dyDescent="0.2">
      <c r="H653">
        <v>0</v>
      </c>
    </row>
    <row r="654" spans="8:8" x14ac:dyDescent="0.2">
      <c r="H654">
        <v>0</v>
      </c>
    </row>
    <row r="655" spans="8:8" x14ac:dyDescent="0.2">
      <c r="H655">
        <v>0</v>
      </c>
    </row>
    <row r="656" spans="8:8" x14ac:dyDescent="0.2">
      <c r="H656">
        <v>0</v>
      </c>
    </row>
    <row r="657" spans="8:8" x14ac:dyDescent="0.2">
      <c r="H657">
        <v>0</v>
      </c>
    </row>
    <row r="658" spans="8:8" x14ac:dyDescent="0.2">
      <c r="H658">
        <v>0</v>
      </c>
    </row>
    <row r="659" spans="8:8" x14ac:dyDescent="0.2">
      <c r="H659">
        <v>0</v>
      </c>
    </row>
    <row r="660" spans="8:8" x14ac:dyDescent="0.2">
      <c r="H660">
        <v>0</v>
      </c>
    </row>
    <row r="661" spans="8:8" x14ac:dyDescent="0.2">
      <c r="H661">
        <v>0</v>
      </c>
    </row>
    <row r="662" spans="8:8" x14ac:dyDescent="0.2">
      <c r="H662">
        <v>0</v>
      </c>
    </row>
    <row r="663" spans="8:8" x14ac:dyDescent="0.2">
      <c r="H663">
        <v>0</v>
      </c>
    </row>
    <row r="664" spans="8:8" x14ac:dyDescent="0.2">
      <c r="H664">
        <v>0</v>
      </c>
    </row>
    <row r="665" spans="8:8" x14ac:dyDescent="0.2">
      <c r="H665">
        <v>0</v>
      </c>
    </row>
    <row r="666" spans="8:8" x14ac:dyDescent="0.2">
      <c r="H666">
        <v>0</v>
      </c>
    </row>
    <row r="667" spans="8:8" x14ac:dyDescent="0.2">
      <c r="H667">
        <v>0</v>
      </c>
    </row>
    <row r="668" spans="8:8" x14ac:dyDescent="0.2">
      <c r="H668">
        <v>0</v>
      </c>
    </row>
    <row r="669" spans="8:8" x14ac:dyDescent="0.2">
      <c r="H669">
        <v>0</v>
      </c>
    </row>
    <row r="670" spans="8:8" x14ac:dyDescent="0.2">
      <c r="H670">
        <v>0</v>
      </c>
    </row>
    <row r="671" spans="8:8" x14ac:dyDescent="0.2">
      <c r="H671">
        <v>0</v>
      </c>
    </row>
    <row r="672" spans="8:8" x14ac:dyDescent="0.2">
      <c r="H672">
        <v>0</v>
      </c>
    </row>
    <row r="673" spans="8:8" x14ac:dyDescent="0.2">
      <c r="H673">
        <v>0</v>
      </c>
    </row>
    <row r="674" spans="8:8" x14ac:dyDescent="0.2">
      <c r="H674">
        <v>0</v>
      </c>
    </row>
    <row r="675" spans="8:8" x14ac:dyDescent="0.2">
      <c r="H675">
        <v>0</v>
      </c>
    </row>
    <row r="676" spans="8:8" x14ac:dyDescent="0.2">
      <c r="H676">
        <v>0</v>
      </c>
    </row>
    <row r="677" spans="8:8" x14ac:dyDescent="0.2">
      <c r="H677">
        <v>0</v>
      </c>
    </row>
    <row r="678" spans="8:8" x14ac:dyDescent="0.2">
      <c r="H678">
        <v>0</v>
      </c>
    </row>
    <row r="679" spans="8:8" x14ac:dyDescent="0.2">
      <c r="H679">
        <v>0</v>
      </c>
    </row>
    <row r="680" spans="8:8" x14ac:dyDescent="0.2">
      <c r="H680">
        <v>0</v>
      </c>
    </row>
    <row r="681" spans="8:8" x14ac:dyDescent="0.2">
      <c r="H681">
        <v>0</v>
      </c>
    </row>
    <row r="682" spans="8:8" x14ac:dyDescent="0.2">
      <c r="H682">
        <v>0</v>
      </c>
    </row>
    <row r="683" spans="8:8" x14ac:dyDescent="0.2">
      <c r="H683">
        <v>0</v>
      </c>
    </row>
    <row r="684" spans="8:8" x14ac:dyDescent="0.2">
      <c r="H684">
        <v>0</v>
      </c>
    </row>
    <row r="685" spans="8:8" x14ac:dyDescent="0.2">
      <c r="H685">
        <v>0</v>
      </c>
    </row>
    <row r="686" spans="8:8" x14ac:dyDescent="0.2">
      <c r="H686">
        <v>0</v>
      </c>
    </row>
    <row r="687" spans="8:8" x14ac:dyDescent="0.2">
      <c r="H687">
        <v>0</v>
      </c>
    </row>
    <row r="688" spans="8:8" x14ac:dyDescent="0.2">
      <c r="H688">
        <v>0</v>
      </c>
    </row>
    <row r="689" spans="8:8" x14ac:dyDescent="0.2">
      <c r="H689">
        <v>0</v>
      </c>
    </row>
    <row r="690" spans="8:8" x14ac:dyDescent="0.2">
      <c r="H690">
        <v>0</v>
      </c>
    </row>
    <row r="691" spans="8:8" x14ac:dyDescent="0.2">
      <c r="H691">
        <v>0</v>
      </c>
    </row>
    <row r="692" spans="8:8" x14ac:dyDescent="0.2">
      <c r="H692">
        <v>0</v>
      </c>
    </row>
    <row r="693" spans="8:8" x14ac:dyDescent="0.2">
      <c r="H693">
        <v>0</v>
      </c>
    </row>
    <row r="694" spans="8:8" x14ac:dyDescent="0.2">
      <c r="H694">
        <v>0</v>
      </c>
    </row>
    <row r="695" spans="8:8" x14ac:dyDescent="0.2">
      <c r="H695">
        <v>0</v>
      </c>
    </row>
    <row r="696" spans="8:8" x14ac:dyDescent="0.2">
      <c r="H696">
        <v>0</v>
      </c>
    </row>
    <row r="697" spans="8:8" x14ac:dyDescent="0.2">
      <c r="H697">
        <v>0</v>
      </c>
    </row>
    <row r="698" spans="8:8" x14ac:dyDescent="0.2">
      <c r="H698">
        <v>0</v>
      </c>
    </row>
    <row r="699" spans="8:8" x14ac:dyDescent="0.2">
      <c r="H699">
        <v>0</v>
      </c>
    </row>
    <row r="700" spans="8:8" x14ac:dyDescent="0.2">
      <c r="H700">
        <v>0</v>
      </c>
    </row>
    <row r="701" spans="8:8" x14ac:dyDescent="0.2">
      <c r="H701">
        <v>0</v>
      </c>
    </row>
    <row r="702" spans="8:8" x14ac:dyDescent="0.2">
      <c r="H702">
        <v>0</v>
      </c>
    </row>
    <row r="703" spans="8:8" x14ac:dyDescent="0.2">
      <c r="H703">
        <v>0</v>
      </c>
    </row>
    <row r="704" spans="8:8" x14ac:dyDescent="0.2">
      <c r="H704">
        <v>0</v>
      </c>
    </row>
    <row r="705" spans="8:8" x14ac:dyDescent="0.2">
      <c r="H705">
        <v>0</v>
      </c>
    </row>
    <row r="706" spans="8:8" x14ac:dyDescent="0.2">
      <c r="H706">
        <v>0</v>
      </c>
    </row>
    <row r="707" spans="8:8" x14ac:dyDescent="0.2">
      <c r="H707">
        <v>0</v>
      </c>
    </row>
    <row r="708" spans="8:8" x14ac:dyDescent="0.2">
      <c r="H708">
        <v>0</v>
      </c>
    </row>
    <row r="709" spans="8:8" x14ac:dyDescent="0.2">
      <c r="H709">
        <v>0</v>
      </c>
    </row>
    <row r="710" spans="8:8" x14ac:dyDescent="0.2">
      <c r="H710">
        <v>0</v>
      </c>
    </row>
    <row r="711" spans="8:8" x14ac:dyDescent="0.2">
      <c r="H711">
        <v>0</v>
      </c>
    </row>
    <row r="712" spans="8:8" x14ac:dyDescent="0.2">
      <c r="H712">
        <v>0</v>
      </c>
    </row>
    <row r="713" spans="8:8" x14ac:dyDescent="0.2">
      <c r="H713">
        <v>0</v>
      </c>
    </row>
    <row r="714" spans="8:8" x14ac:dyDescent="0.2">
      <c r="H714">
        <v>0</v>
      </c>
    </row>
    <row r="715" spans="8:8" x14ac:dyDescent="0.2">
      <c r="H715">
        <v>0</v>
      </c>
    </row>
    <row r="716" spans="8:8" x14ac:dyDescent="0.2">
      <c r="H716">
        <v>0</v>
      </c>
    </row>
    <row r="717" spans="8:8" x14ac:dyDescent="0.2">
      <c r="H717">
        <v>0</v>
      </c>
    </row>
    <row r="718" spans="8:8" x14ac:dyDescent="0.2">
      <c r="H718">
        <v>0</v>
      </c>
    </row>
    <row r="719" spans="8:8" x14ac:dyDescent="0.2">
      <c r="H719">
        <v>0</v>
      </c>
    </row>
    <row r="720" spans="8:8" x14ac:dyDescent="0.2">
      <c r="H720">
        <v>0</v>
      </c>
    </row>
    <row r="721" spans="8:8" x14ac:dyDescent="0.2">
      <c r="H721">
        <v>0</v>
      </c>
    </row>
    <row r="722" spans="8:8" x14ac:dyDescent="0.2">
      <c r="H722">
        <v>0</v>
      </c>
    </row>
    <row r="723" spans="8:8" x14ac:dyDescent="0.2">
      <c r="H723">
        <v>0</v>
      </c>
    </row>
    <row r="724" spans="8:8" x14ac:dyDescent="0.2">
      <c r="H724">
        <v>0</v>
      </c>
    </row>
    <row r="725" spans="8:8" x14ac:dyDescent="0.2">
      <c r="H725">
        <v>0</v>
      </c>
    </row>
    <row r="726" spans="8:8" x14ac:dyDescent="0.2">
      <c r="H726">
        <v>0</v>
      </c>
    </row>
    <row r="727" spans="8:8" x14ac:dyDescent="0.2">
      <c r="H727">
        <v>0</v>
      </c>
    </row>
    <row r="728" spans="8:8" x14ac:dyDescent="0.2">
      <c r="H728">
        <v>0</v>
      </c>
    </row>
    <row r="729" spans="8:8" x14ac:dyDescent="0.2">
      <c r="H729">
        <v>0</v>
      </c>
    </row>
    <row r="730" spans="8:8" x14ac:dyDescent="0.2">
      <c r="H730">
        <v>0</v>
      </c>
    </row>
    <row r="731" spans="8:8" x14ac:dyDescent="0.2">
      <c r="H731">
        <v>0</v>
      </c>
    </row>
    <row r="732" spans="8:8" x14ac:dyDescent="0.2">
      <c r="H732">
        <v>0</v>
      </c>
    </row>
    <row r="733" spans="8:8" x14ac:dyDescent="0.2">
      <c r="H733">
        <v>0</v>
      </c>
    </row>
    <row r="734" spans="8:8" x14ac:dyDescent="0.2">
      <c r="H734">
        <v>0</v>
      </c>
    </row>
    <row r="735" spans="8:8" x14ac:dyDescent="0.2">
      <c r="H735">
        <v>0</v>
      </c>
    </row>
    <row r="736" spans="8:8" x14ac:dyDescent="0.2">
      <c r="H736">
        <v>0</v>
      </c>
    </row>
    <row r="737" spans="8:8" x14ac:dyDescent="0.2">
      <c r="H737">
        <v>0</v>
      </c>
    </row>
    <row r="738" spans="8:8" x14ac:dyDescent="0.2">
      <c r="H738">
        <v>0</v>
      </c>
    </row>
    <row r="739" spans="8:8" x14ac:dyDescent="0.2">
      <c r="H739">
        <v>0</v>
      </c>
    </row>
    <row r="740" spans="8:8" x14ac:dyDescent="0.2">
      <c r="H740">
        <v>0</v>
      </c>
    </row>
    <row r="741" spans="8:8" x14ac:dyDescent="0.2">
      <c r="H741">
        <v>0</v>
      </c>
    </row>
    <row r="742" spans="8:8" x14ac:dyDescent="0.2">
      <c r="H742">
        <v>0</v>
      </c>
    </row>
    <row r="743" spans="8:8" x14ac:dyDescent="0.2">
      <c r="H743">
        <v>0</v>
      </c>
    </row>
    <row r="744" spans="8:8" x14ac:dyDescent="0.2">
      <c r="H744">
        <v>0</v>
      </c>
    </row>
    <row r="745" spans="8:8" x14ac:dyDescent="0.2">
      <c r="H745">
        <v>0</v>
      </c>
    </row>
    <row r="746" spans="8:8" x14ac:dyDescent="0.2">
      <c r="H746">
        <v>0</v>
      </c>
    </row>
    <row r="747" spans="8:8" x14ac:dyDescent="0.2">
      <c r="H747">
        <v>0</v>
      </c>
    </row>
    <row r="748" spans="8:8" x14ac:dyDescent="0.2">
      <c r="H748">
        <v>0</v>
      </c>
    </row>
    <row r="749" spans="8:8" x14ac:dyDescent="0.2">
      <c r="H749">
        <v>0</v>
      </c>
    </row>
    <row r="750" spans="8:8" x14ac:dyDescent="0.2">
      <c r="H750">
        <v>0</v>
      </c>
    </row>
    <row r="751" spans="8:8" x14ac:dyDescent="0.2">
      <c r="H751">
        <v>0</v>
      </c>
    </row>
    <row r="752" spans="8:8" x14ac:dyDescent="0.2">
      <c r="H752">
        <v>0</v>
      </c>
    </row>
    <row r="753" spans="8:8" x14ac:dyDescent="0.2">
      <c r="H753">
        <v>0</v>
      </c>
    </row>
    <row r="754" spans="8:8" x14ac:dyDescent="0.2">
      <c r="H754">
        <v>0</v>
      </c>
    </row>
    <row r="755" spans="8:8" x14ac:dyDescent="0.2">
      <c r="H755">
        <v>0</v>
      </c>
    </row>
    <row r="756" spans="8:8" x14ac:dyDescent="0.2">
      <c r="H756">
        <v>0</v>
      </c>
    </row>
    <row r="757" spans="8:8" x14ac:dyDescent="0.2">
      <c r="H757">
        <v>0</v>
      </c>
    </row>
    <row r="758" spans="8:8" x14ac:dyDescent="0.2">
      <c r="H758">
        <v>0</v>
      </c>
    </row>
    <row r="759" spans="8:8" x14ac:dyDescent="0.2">
      <c r="H759">
        <v>0</v>
      </c>
    </row>
    <row r="760" spans="8:8" x14ac:dyDescent="0.2">
      <c r="H760">
        <v>0</v>
      </c>
    </row>
    <row r="761" spans="8:8" x14ac:dyDescent="0.2">
      <c r="H761">
        <v>0</v>
      </c>
    </row>
    <row r="762" spans="8:8" x14ac:dyDescent="0.2">
      <c r="H762">
        <v>0</v>
      </c>
    </row>
    <row r="763" spans="8:8" x14ac:dyDescent="0.2">
      <c r="H763">
        <v>0</v>
      </c>
    </row>
    <row r="764" spans="8:8" x14ac:dyDescent="0.2">
      <c r="H764">
        <v>0</v>
      </c>
    </row>
    <row r="765" spans="8:8" x14ac:dyDescent="0.2">
      <c r="H765">
        <v>0</v>
      </c>
    </row>
    <row r="766" spans="8:8" x14ac:dyDescent="0.2">
      <c r="H766">
        <v>0</v>
      </c>
    </row>
    <row r="767" spans="8:8" x14ac:dyDescent="0.2">
      <c r="H767">
        <v>0</v>
      </c>
    </row>
    <row r="768" spans="8:8" x14ac:dyDescent="0.2">
      <c r="H768">
        <v>0</v>
      </c>
    </row>
    <row r="769" spans="8:8" x14ac:dyDescent="0.2">
      <c r="H769">
        <v>0</v>
      </c>
    </row>
    <row r="770" spans="8:8" x14ac:dyDescent="0.2">
      <c r="H770">
        <v>0</v>
      </c>
    </row>
    <row r="771" spans="8:8" x14ac:dyDescent="0.2">
      <c r="H771">
        <v>0</v>
      </c>
    </row>
    <row r="772" spans="8:8" x14ac:dyDescent="0.2">
      <c r="H772">
        <v>0</v>
      </c>
    </row>
    <row r="773" spans="8:8" x14ac:dyDescent="0.2">
      <c r="H773">
        <v>0</v>
      </c>
    </row>
    <row r="774" spans="8:8" x14ac:dyDescent="0.2">
      <c r="H774">
        <v>0</v>
      </c>
    </row>
    <row r="775" spans="8:8" x14ac:dyDescent="0.2">
      <c r="H775">
        <v>0</v>
      </c>
    </row>
    <row r="776" spans="8:8" x14ac:dyDescent="0.2">
      <c r="H776">
        <v>0</v>
      </c>
    </row>
    <row r="777" spans="8:8" x14ac:dyDescent="0.2">
      <c r="H777">
        <v>0</v>
      </c>
    </row>
    <row r="778" spans="8:8" x14ac:dyDescent="0.2">
      <c r="H778">
        <v>0</v>
      </c>
    </row>
    <row r="779" spans="8:8" x14ac:dyDescent="0.2">
      <c r="H779">
        <v>0</v>
      </c>
    </row>
    <row r="780" spans="8:8" x14ac:dyDescent="0.2">
      <c r="H780">
        <v>0</v>
      </c>
    </row>
    <row r="781" spans="8:8" x14ac:dyDescent="0.2">
      <c r="H781">
        <v>0</v>
      </c>
    </row>
    <row r="782" spans="8:8" x14ac:dyDescent="0.2">
      <c r="H782">
        <v>0</v>
      </c>
    </row>
    <row r="783" spans="8:8" x14ac:dyDescent="0.2">
      <c r="H783">
        <v>0</v>
      </c>
    </row>
    <row r="784" spans="8:8" x14ac:dyDescent="0.2">
      <c r="H784">
        <v>0</v>
      </c>
    </row>
    <row r="785" spans="8:8" x14ac:dyDescent="0.2">
      <c r="H785">
        <v>0</v>
      </c>
    </row>
    <row r="786" spans="8:8" x14ac:dyDescent="0.2">
      <c r="H786">
        <v>0</v>
      </c>
    </row>
    <row r="787" spans="8:8" x14ac:dyDescent="0.2">
      <c r="H787">
        <v>0</v>
      </c>
    </row>
    <row r="788" spans="8:8" x14ac:dyDescent="0.2">
      <c r="H788">
        <v>0</v>
      </c>
    </row>
    <row r="789" spans="8:8" x14ac:dyDescent="0.2">
      <c r="H789">
        <v>0</v>
      </c>
    </row>
    <row r="790" spans="8:8" x14ac:dyDescent="0.2">
      <c r="H790">
        <v>0</v>
      </c>
    </row>
    <row r="791" spans="8:8" x14ac:dyDescent="0.2">
      <c r="H791">
        <v>0</v>
      </c>
    </row>
    <row r="792" spans="8:8" x14ac:dyDescent="0.2">
      <c r="H792">
        <v>0</v>
      </c>
    </row>
    <row r="793" spans="8:8" x14ac:dyDescent="0.2">
      <c r="H793">
        <v>0</v>
      </c>
    </row>
    <row r="794" spans="8:8" x14ac:dyDescent="0.2">
      <c r="H794">
        <v>0</v>
      </c>
    </row>
    <row r="795" spans="8:8" x14ac:dyDescent="0.2">
      <c r="H795">
        <v>0</v>
      </c>
    </row>
    <row r="796" spans="8:8" x14ac:dyDescent="0.2">
      <c r="H796">
        <v>0</v>
      </c>
    </row>
    <row r="797" spans="8:8" x14ac:dyDescent="0.2">
      <c r="H797">
        <v>0</v>
      </c>
    </row>
    <row r="798" spans="8:8" x14ac:dyDescent="0.2">
      <c r="H798">
        <v>0</v>
      </c>
    </row>
    <row r="799" spans="8:8" x14ac:dyDescent="0.2">
      <c r="H799">
        <v>0</v>
      </c>
    </row>
    <row r="800" spans="8:8" x14ac:dyDescent="0.2">
      <c r="H800">
        <v>0</v>
      </c>
    </row>
    <row r="801" spans="8:8" x14ac:dyDescent="0.2">
      <c r="H801">
        <v>0</v>
      </c>
    </row>
    <row r="802" spans="8:8" x14ac:dyDescent="0.2">
      <c r="H802">
        <v>0</v>
      </c>
    </row>
    <row r="803" spans="8:8" x14ac:dyDescent="0.2">
      <c r="H803">
        <v>0</v>
      </c>
    </row>
    <row r="804" spans="8:8" x14ac:dyDescent="0.2">
      <c r="H804">
        <v>0</v>
      </c>
    </row>
    <row r="805" spans="8:8" x14ac:dyDescent="0.2">
      <c r="H805">
        <v>0</v>
      </c>
    </row>
    <row r="806" spans="8:8" x14ac:dyDescent="0.2">
      <c r="H806">
        <v>0</v>
      </c>
    </row>
    <row r="807" spans="8:8" x14ac:dyDescent="0.2">
      <c r="H807">
        <v>0</v>
      </c>
    </row>
    <row r="808" spans="8:8" x14ac:dyDescent="0.2">
      <c r="H808">
        <v>0</v>
      </c>
    </row>
    <row r="809" spans="8:8" x14ac:dyDescent="0.2">
      <c r="H809">
        <v>0</v>
      </c>
    </row>
    <row r="810" spans="8:8" x14ac:dyDescent="0.2">
      <c r="H810">
        <v>0</v>
      </c>
    </row>
    <row r="811" spans="8:8" x14ac:dyDescent="0.2">
      <c r="H811">
        <v>0</v>
      </c>
    </row>
    <row r="812" spans="8:8" x14ac:dyDescent="0.2">
      <c r="H812">
        <v>0</v>
      </c>
    </row>
    <row r="813" spans="8:8" x14ac:dyDescent="0.2">
      <c r="H813">
        <v>0</v>
      </c>
    </row>
    <row r="814" spans="8:8" x14ac:dyDescent="0.2">
      <c r="H814">
        <v>0</v>
      </c>
    </row>
    <row r="815" spans="8:8" x14ac:dyDescent="0.2">
      <c r="H815">
        <v>0</v>
      </c>
    </row>
    <row r="816" spans="8:8" x14ac:dyDescent="0.2">
      <c r="H816">
        <v>0</v>
      </c>
    </row>
    <row r="817" spans="8:8" x14ac:dyDescent="0.2">
      <c r="H817">
        <v>0</v>
      </c>
    </row>
    <row r="818" spans="8:8" x14ac:dyDescent="0.2">
      <c r="H818">
        <v>0</v>
      </c>
    </row>
    <row r="819" spans="8:8" x14ac:dyDescent="0.2">
      <c r="H819">
        <v>0</v>
      </c>
    </row>
    <row r="820" spans="8:8" x14ac:dyDescent="0.2">
      <c r="H820">
        <v>0</v>
      </c>
    </row>
    <row r="821" spans="8:8" x14ac:dyDescent="0.2">
      <c r="H821">
        <v>0</v>
      </c>
    </row>
    <row r="822" spans="8:8" x14ac:dyDescent="0.2">
      <c r="H822">
        <v>0</v>
      </c>
    </row>
    <row r="823" spans="8:8" x14ac:dyDescent="0.2">
      <c r="H823">
        <v>0</v>
      </c>
    </row>
    <row r="824" spans="8:8" x14ac:dyDescent="0.2">
      <c r="H824">
        <v>0</v>
      </c>
    </row>
    <row r="825" spans="8:8" x14ac:dyDescent="0.2">
      <c r="H825">
        <v>0</v>
      </c>
    </row>
    <row r="826" spans="8:8" x14ac:dyDescent="0.2">
      <c r="H826">
        <v>0</v>
      </c>
    </row>
    <row r="827" spans="8:8" x14ac:dyDescent="0.2">
      <c r="H827">
        <v>0</v>
      </c>
    </row>
    <row r="828" spans="8:8" x14ac:dyDescent="0.2">
      <c r="H828">
        <v>0</v>
      </c>
    </row>
    <row r="829" spans="8:8" x14ac:dyDescent="0.2">
      <c r="H829">
        <v>0</v>
      </c>
    </row>
    <row r="830" spans="8:8" x14ac:dyDescent="0.2">
      <c r="H830">
        <v>0</v>
      </c>
    </row>
    <row r="831" spans="8:8" x14ac:dyDescent="0.2">
      <c r="H831">
        <v>0</v>
      </c>
    </row>
    <row r="832" spans="8:8" x14ac:dyDescent="0.2">
      <c r="H832">
        <v>0</v>
      </c>
    </row>
    <row r="833" spans="8:8" x14ac:dyDescent="0.2">
      <c r="H833">
        <v>0</v>
      </c>
    </row>
    <row r="834" spans="8:8" x14ac:dyDescent="0.2">
      <c r="H834">
        <v>0</v>
      </c>
    </row>
    <row r="835" spans="8:8" x14ac:dyDescent="0.2">
      <c r="H835">
        <v>0</v>
      </c>
    </row>
    <row r="836" spans="8:8" x14ac:dyDescent="0.2">
      <c r="H836">
        <v>0</v>
      </c>
    </row>
    <row r="837" spans="8:8" x14ac:dyDescent="0.2">
      <c r="H837">
        <v>0</v>
      </c>
    </row>
    <row r="838" spans="8:8" x14ac:dyDescent="0.2">
      <c r="H838">
        <v>0</v>
      </c>
    </row>
    <row r="839" spans="8:8" x14ac:dyDescent="0.2">
      <c r="H839">
        <v>0</v>
      </c>
    </row>
    <row r="840" spans="8:8" x14ac:dyDescent="0.2">
      <c r="H840">
        <v>0</v>
      </c>
    </row>
    <row r="841" spans="8:8" x14ac:dyDescent="0.2">
      <c r="H841">
        <v>0</v>
      </c>
    </row>
    <row r="842" spans="8:8" x14ac:dyDescent="0.2">
      <c r="H842">
        <v>0</v>
      </c>
    </row>
    <row r="843" spans="8:8" x14ac:dyDescent="0.2">
      <c r="H843">
        <v>0</v>
      </c>
    </row>
    <row r="844" spans="8:8" x14ac:dyDescent="0.2">
      <c r="H844">
        <v>0</v>
      </c>
    </row>
    <row r="845" spans="8:8" x14ac:dyDescent="0.2">
      <c r="H845">
        <v>0</v>
      </c>
    </row>
    <row r="846" spans="8:8" x14ac:dyDescent="0.2">
      <c r="H846">
        <v>0</v>
      </c>
    </row>
    <row r="847" spans="8:8" x14ac:dyDescent="0.2">
      <c r="H847">
        <v>0</v>
      </c>
    </row>
    <row r="848" spans="8:8" x14ac:dyDescent="0.2">
      <c r="H848">
        <v>0</v>
      </c>
    </row>
    <row r="849" spans="8:8" x14ac:dyDescent="0.2">
      <c r="H849">
        <v>0</v>
      </c>
    </row>
    <row r="850" spans="8:8" x14ac:dyDescent="0.2">
      <c r="H850">
        <v>0</v>
      </c>
    </row>
    <row r="851" spans="8:8" x14ac:dyDescent="0.2">
      <c r="H851">
        <v>0</v>
      </c>
    </row>
    <row r="852" spans="8:8" x14ac:dyDescent="0.2">
      <c r="H852">
        <v>0</v>
      </c>
    </row>
    <row r="853" spans="8:8" x14ac:dyDescent="0.2">
      <c r="H853">
        <v>0</v>
      </c>
    </row>
    <row r="854" spans="8:8" x14ac:dyDescent="0.2">
      <c r="H854">
        <v>0</v>
      </c>
    </row>
    <row r="855" spans="8:8" x14ac:dyDescent="0.2">
      <c r="H855">
        <v>0</v>
      </c>
    </row>
    <row r="856" spans="8:8" x14ac:dyDescent="0.2">
      <c r="H856">
        <v>0</v>
      </c>
    </row>
    <row r="857" spans="8:8" x14ac:dyDescent="0.2">
      <c r="H857">
        <v>0</v>
      </c>
    </row>
    <row r="858" spans="8:8" x14ac:dyDescent="0.2">
      <c r="H858">
        <v>0</v>
      </c>
    </row>
    <row r="859" spans="8:8" x14ac:dyDescent="0.2">
      <c r="H859">
        <v>0</v>
      </c>
    </row>
    <row r="860" spans="8:8" x14ac:dyDescent="0.2">
      <c r="H860">
        <v>0</v>
      </c>
    </row>
    <row r="861" spans="8:8" x14ac:dyDescent="0.2">
      <c r="H861">
        <v>0</v>
      </c>
    </row>
    <row r="862" spans="8:8" x14ac:dyDescent="0.2">
      <c r="H862">
        <v>0</v>
      </c>
    </row>
    <row r="863" spans="8:8" x14ac:dyDescent="0.2">
      <c r="H863">
        <v>0</v>
      </c>
    </row>
    <row r="864" spans="8:8" x14ac:dyDescent="0.2">
      <c r="H864">
        <v>0</v>
      </c>
    </row>
    <row r="865" spans="8:8" x14ac:dyDescent="0.2">
      <c r="H865">
        <v>0</v>
      </c>
    </row>
    <row r="866" spans="8:8" x14ac:dyDescent="0.2">
      <c r="H866">
        <v>0</v>
      </c>
    </row>
    <row r="867" spans="8:8" x14ac:dyDescent="0.2">
      <c r="H867">
        <v>0</v>
      </c>
    </row>
    <row r="868" spans="8:8" x14ac:dyDescent="0.2">
      <c r="H868">
        <v>0</v>
      </c>
    </row>
    <row r="869" spans="8:8" x14ac:dyDescent="0.2">
      <c r="H869">
        <v>0</v>
      </c>
    </row>
    <row r="870" spans="8:8" x14ac:dyDescent="0.2">
      <c r="H870">
        <v>0</v>
      </c>
    </row>
    <row r="871" spans="8:8" x14ac:dyDescent="0.2">
      <c r="H871">
        <v>0</v>
      </c>
    </row>
    <row r="872" spans="8:8" x14ac:dyDescent="0.2">
      <c r="H872">
        <v>0</v>
      </c>
    </row>
    <row r="873" spans="8:8" x14ac:dyDescent="0.2">
      <c r="H873">
        <v>0</v>
      </c>
    </row>
    <row r="874" spans="8:8" x14ac:dyDescent="0.2">
      <c r="H874">
        <v>0</v>
      </c>
    </row>
    <row r="875" spans="8:8" x14ac:dyDescent="0.2">
      <c r="H875">
        <v>0</v>
      </c>
    </row>
    <row r="876" spans="8:8" x14ac:dyDescent="0.2">
      <c r="H876">
        <v>0</v>
      </c>
    </row>
    <row r="877" spans="8:8" x14ac:dyDescent="0.2">
      <c r="H877">
        <v>0</v>
      </c>
    </row>
    <row r="878" spans="8:8" x14ac:dyDescent="0.2">
      <c r="H878">
        <v>0</v>
      </c>
    </row>
    <row r="879" spans="8:8" x14ac:dyDescent="0.2">
      <c r="H879">
        <v>0</v>
      </c>
    </row>
    <row r="880" spans="8:8" x14ac:dyDescent="0.2">
      <c r="H880">
        <v>0</v>
      </c>
    </row>
    <row r="881" spans="8:8" x14ac:dyDescent="0.2">
      <c r="H881">
        <v>0</v>
      </c>
    </row>
    <row r="882" spans="8:8" x14ac:dyDescent="0.2">
      <c r="H882">
        <v>0</v>
      </c>
    </row>
    <row r="883" spans="8:8" x14ac:dyDescent="0.2">
      <c r="H883">
        <v>0</v>
      </c>
    </row>
    <row r="884" spans="8:8" x14ac:dyDescent="0.2">
      <c r="H884">
        <v>0</v>
      </c>
    </row>
    <row r="885" spans="8:8" x14ac:dyDescent="0.2">
      <c r="H885">
        <v>0</v>
      </c>
    </row>
    <row r="886" spans="8:8" x14ac:dyDescent="0.2">
      <c r="H886">
        <v>0</v>
      </c>
    </row>
    <row r="887" spans="8:8" x14ac:dyDescent="0.2">
      <c r="H887">
        <v>0</v>
      </c>
    </row>
    <row r="888" spans="8:8" x14ac:dyDescent="0.2">
      <c r="H888">
        <v>0</v>
      </c>
    </row>
    <row r="889" spans="8:8" x14ac:dyDescent="0.2">
      <c r="H889">
        <v>0</v>
      </c>
    </row>
    <row r="890" spans="8:8" x14ac:dyDescent="0.2">
      <c r="H890">
        <v>0</v>
      </c>
    </row>
    <row r="891" spans="8:8" x14ac:dyDescent="0.2">
      <c r="H891">
        <v>0</v>
      </c>
    </row>
    <row r="892" spans="8:8" x14ac:dyDescent="0.2">
      <c r="H892">
        <v>0</v>
      </c>
    </row>
    <row r="893" spans="8:8" x14ac:dyDescent="0.2">
      <c r="H893">
        <v>0</v>
      </c>
    </row>
    <row r="894" spans="8:8" x14ac:dyDescent="0.2">
      <c r="H894">
        <v>0</v>
      </c>
    </row>
    <row r="895" spans="8:8" x14ac:dyDescent="0.2">
      <c r="H895">
        <v>0</v>
      </c>
    </row>
    <row r="896" spans="8:8" x14ac:dyDescent="0.2">
      <c r="H896">
        <v>0</v>
      </c>
    </row>
    <row r="897" spans="8:8" x14ac:dyDescent="0.2">
      <c r="H897">
        <v>0</v>
      </c>
    </row>
    <row r="898" spans="8:8" x14ac:dyDescent="0.2">
      <c r="H898">
        <v>0</v>
      </c>
    </row>
    <row r="899" spans="8:8" x14ac:dyDescent="0.2">
      <c r="H899">
        <v>0</v>
      </c>
    </row>
    <row r="900" spans="8:8" x14ac:dyDescent="0.2">
      <c r="H900">
        <v>0</v>
      </c>
    </row>
    <row r="901" spans="8:8" x14ac:dyDescent="0.2">
      <c r="H901">
        <v>0</v>
      </c>
    </row>
    <row r="902" spans="8:8" x14ac:dyDescent="0.2">
      <c r="H902">
        <v>0</v>
      </c>
    </row>
    <row r="903" spans="8:8" x14ac:dyDescent="0.2">
      <c r="H903">
        <v>0</v>
      </c>
    </row>
    <row r="904" spans="8:8" x14ac:dyDescent="0.2">
      <c r="H904">
        <v>0</v>
      </c>
    </row>
    <row r="905" spans="8:8" x14ac:dyDescent="0.2">
      <c r="H905">
        <v>0</v>
      </c>
    </row>
    <row r="906" spans="8:8" x14ac:dyDescent="0.2">
      <c r="H906">
        <v>0</v>
      </c>
    </row>
    <row r="907" spans="8:8" x14ac:dyDescent="0.2">
      <c r="H907">
        <v>0</v>
      </c>
    </row>
    <row r="908" spans="8:8" x14ac:dyDescent="0.2">
      <c r="H908">
        <v>0</v>
      </c>
    </row>
    <row r="909" spans="8:8" x14ac:dyDescent="0.2">
      <c r="H909">
        <v>0</v>
      </c>
    </row>
    <row r="910" spans="8:8" x14ac:dyDescent="0.2">
      <c r="H910">
        <v>0</v>
      </c>
    </row>
    <row r="911" spans="8:8" x14ac:dyDescent="0.2">
      <c r="H911">
        <v>0</v>
      </c>
    </row>
    <row r="912" spans="8:8" x14ac:dyDescent="0.2">
      <c r="H912">
        <v>0</v>
      </c>
    </row>
    <row r="913" spans="8:8" x14ac:dyDescent="0.2">
      <c r="H913">
        <v>0</v>
      </c>
    </row>
    <row r="914" spans="8:8" x14ac:dyDescent="0.2">
      <c r="H914">
        <v>0</v>
      </c>
    </row>
    <row r="915" spans="8:8" x14ac:dyDescent="0.2">
      <c r="H915">
        <v>0</v>
      </c>
    </row>
    <row r="916" spans="8:8" x14ac:dyDescent="0.2">
      <c r="H916">
        <v>0</v>
      </c>
    </row>
    <row r="917" spans="8:8" x14ac:dyDescent="0.2">
      <c r="H917">
        <v>0</v>
      </c>
    </row>
    <row r="918" spans="8:8" x14ac:dyDescent="0.2">
      <c r="H918">
        <v>0</v>
      </c>
    </row>
    <row r="919" spans="8:8" x14ac:dyDescent="0.2">
      <c r="H919">
        <v>0</v>
      </c>
    </row>
    <row r="920" spans="8:8" x14ac:dyDescent="0.2">
      <c r="H920">
        <v>0</v>
      </c>
    </row>
    <row r="921" spans="8:8" x14ac:dyDescent="0.2">
      <c r="H921">
        <v>0</v>
      </c>
    </row>
    <row r="922" spans="8:8" x14ac:dyDescent="0.2">
      <c r="H922">
        <v>0</v>
      </c>
    </row>
    <row r="923" spans="8:8" x14ac:dyDescent="0.2">
      <c r="H923">
        <v>0</v>
      </c>
    </row>
    <row r="924" spans="8:8" x14ac:dyDescent="0.2">
      <c r="H924">
        <v>0</v>
      </c>
    </row>
    <row r="925" spans="8:8" x14ac:dyDescent="0.2">
      <c r="H925">
        <v>0</v>
      </c>
    </row>
    <row r="926" spans="8:8" x14ac:dyDescent="0.2">
      <c r="H926">
        <v>0</v>
      </c>
    </row>
    <row r="927" spans="8:8" x14ac:dyDescent="0.2">
      <c r="H927">
        <v>0</v>
      </c>
    </row>
    <row r="928" spans="8:8" x14ac:dyDescent="0.2">
      <c r="H928">
        <v>0</v>
      </c>
    </row>
    <row r="929" spans="8:8" x14ac:dyDescent="0.2">
      <c r="H929">
        <v>0</v>
      </c>
    </row>
    <row r="930" spans="8:8" x14ac:dyDescent="0.2">
      <c r="H930">
        <v>0</v>
      </c>
    </row>
    <row r="931" spans="8:8" x14ac:dyDescent="0.2">
      <c r="H931">
        <v>0</v>
      </c>
    </row>
    <row r="932" spans="8:8" x14ac:dyDescent="0.2">
      <c r="H932">
        <v>0</v>
      </c>
    </row>
    <row r="933" spans="8:8" x14ac:dyDescent="0.2">
      <c r="H933">
        <v>0</v>
      </c>
    </row>
    <row r="934" spans="8:8" x14ac:dyDescent="0.2">
      <c r="H934">
        <v>0</v>
      </c>
    </row>
    <row r="935" spans="8:8" x14ac:dyDescent="0.2">
      <c r="H935">
        <v>0</v>
      </c>
    </row>
    <row r="936" spans="8:8" x14ac:dyDescent="0.2">
      <c r="H936">
        <v>0</v>
      </c>
    </row>
    <row r="937" spans="8:8" x14ac:dyDescent="0.2">
      <c r="H937">
        <v>0</v>
      </c>
    </row>
    <row r="938" spans="8:8" x14ac:dyDescent="0.2">
      <c r="H938">
        <v>0</v>
      </c>
    </row>
    <row r="939" spans="8:8" x14ac:dyDescent="0.2">
      <c r="H939">
        <v>0</v>
      </c>
    </row>
    <row r="940" spans="8:8" x14ac:dyDescent="0.2">
      <c r="H940">
        <v>0</v>
      </c>
    </row>
    <row r="941" spans="8:8" x14ac:dyDescent="0.2">
      <c r="H941">
        <v>0</v>
      </c>
    </row>
    <row r="942" spans="8:8" x14ac:dyDescent="0.2">
      <c r="H942">
        <v>0</v>
      </c>
    </row>
    <row r="943" spans="8:8" x14ac:dyDescent="0.2">
      <c r="H943">
        <v>0</v>
      </c>
    </row>
    <row r="944" spans="8:8" x14ac:dyDescent="0.2">
      <c r="H944">
        <v>0</v>
      </c>
    </row>
    <row r="945" spans="8:8" x14ac:dyDescent="0.2">
      <c r="H945">
        <v>0</v>
      </c>
    </row>
    <row r="946" spans="8:8" x14ac:dyDescent="0.2">
      <c r="H946">
        <v>0</v>
      </c>
    </row>
    <row r="947" spans="8:8" x14ac:dyDescent="0.2">
      <c r="H947">
        <v>0</v>
      </c>
    </row>
    <row r="948" spans="8:8" x14ac:dyDescent="0.2">
      <c r="H948">
        <v>0</v>
      </c>
    </row>
    <row r="949" spans="8:8" x14ac:dyDescent="0.2">
      <c r="H949">
        <v>0</v>
      </c>
    </row>
    <row r="950" spans="8:8" x14ac:dyDescent="0.2">
      <c r="H950">
        <v>0</v>
      </c>
    </row>
    <row r="951" spans="8:8" x14ac:dyDescent="0.2">
      <c r="H951">
        <v>0</v>
      </c>
    </row>
    <row r="952" spans="8:8" x14ac:dyDescent="0.2">
      <c r="H952">
        <v>0</v>
      </c>
    </row>
    <row r="953" spans="8:8" x14ac:dyDescent="0.2">
      <c r="H953">
        <v>0</v>
      </c>
    </row>
    <row r="954" spans="8:8" x14ac:dyDescent="0.2">
      <c r="H954">
        <v>0</v>
      </c>
    </row>
    <row r="955" spans="8:8" x14ac:dyDescent="0.2">
      <c r="H955">
        <v>0</v>
      </c>
    </row>
    <row r="956" spans="8:8" x14ac:dyDescent="0.2">
      <c r="H956">
        <v>0</v>
      </c>
    </row>
    <row r="957" spans="8:8" x14ac:dyDescent="0.2">
      <c r="H957">
        <v>0</v>
      </c>
    </row>
    <row r="958" spans="8:8" x14ac:dyDescent="0.2">
      <c r="H958">
        <v>0</v>
      </c>
    </row>
    <row r="959" spans="8:8" x14ac:dyDescent="0.2">
      <c r="H959">
        <v>0</v>
      </c>
    </row>
    <row r="960" spans="8:8" x14ac:dyDescent="0.2">
      <c r="H960">
        <v>0</v>
      </c>
    </row>
    <row r="961" spans="8:8" x14ac:dyDescent="0.2">
      <c r="H961">
        <v>0</v>
      </c>
    </row>
    <row r="962" spans="8:8" x14ac:dyDescent="0.2">
      <c r="H962">
        <v>0</v>
      </c>
    </row>
    <row r="963" spans="8:8" x14ac:dyDescent="0.2">
      <c r="H963">
        <v>0</v>
      </c>
    </row>
    <row r="964" spans="8:8" x14ac:dyDescent="0.2">
      <c r="H964">
        <v>0</v>
      </c>
    </row>
    <row r="965" spans="8:8" x14ac:dyDescent="0.2">
      <c r="H965">
        <v>0</v>
      </c>
    </row>
    <row r="966" spans="8:8" x14ac:dyDescent="0.2">
      <c r="H966">
        <v>0</v>
      </c>
    </row>
    <row r="967" spans="8:8" x14ac:dyDescent="0.2">
      <c r="H967">
        <v>0</v>
      </c>
    </row>
    <row r="968" spans="8:8" x14ac:dyDescent="0.2">
      <c r="H968">
        <v>0</v>
      </c>
    </row>
    <row r="969" spans="8:8" x14ac:dyDescent="0.2">
      <c r="H969">
        <v>0</v>
      </c>
    </row>
    <row r="970" spans="8:8" x14ac:dyDescent="0.2">
      <c r="H970">
        <v>0</v>
      </c>
    </row>
    <row r="971" spans="8:8" x14ac:dyDescent="0.2">
      <c r="H971">
        <v>0</v>
      </c>
    </row>
    <row r="972" spans="8:8" x14ac:dyDescent="0.2">
      <c r="H972">
        <v>0</v>
      </c>
    </row>
    <row r="973" spans="8:8" x14ac:dyDescent="0.2">
      <c r="H973">
        <v>0</v>
      </c>
    </row>
    <row r="974" spans="8:8" x14ac:dyDescent="0.2">
      <c r="H974">
        <v>0</v>
      </c>
    </row>
    <row r="975" spans="8:8" x14ac:dyDescent="0.2">
      <c r="H975">
        <v>0</v>
      </c>
    </row>
    <row r="976" spans="8:8" x14ac:dyDescent="0.2">
      <c r="H976">
        <v>0</v>
      </c>
    </row>
    <row r="977" spans="8:8" x14ac:dyDescent="0.2">
      <c r="H977">
        <v>0</v>
      </c>
    </row>
    <row r="978" spans="8:8" x14ac:dyDescent="0.2">
      <c r="H978">
        <v>0</v>
      </c>
    </row>
    <row r="979" spans="8:8" x14ac:dyDescent="0.2">
      <c r="H979">
        <v>0</v>
      </c>
    </row>
    <row r="980" spans="8:8" x14ac:dyDescent="0.2">
      <c r="H980">
        <v>0</v>
      </c>
    </row>
    <row r="981" spans="8:8" x14ac:dyDescent="0.2">
      <c r="H981">
        <v>0</v>
      </c>
    </row>
    <row r="982" spans="8:8" x14ac:dyDescent="0.2">
      <c r="H982">
        <v>0</v>
      </c>
    </row>
    <row r="983" spans="8:8" x14ac:dyDescent="0.2">
      <c r="H983">
        <v>0</v>
      </c>
    </row>
    <row r="984" spans="8:8" x14ac:dyDescent="0.2">
      <c r="H984">
        <v>0</v>
      </c>
    </row>
    <row r="985" spans="8:8" x14ac:dyDescent="0.2">
      <c r="H985">
        <v>0</v>
      </c>
    </row>
    <row r="986" spans="8:8" x14ac:dyDescent="0.2">
      <c r="H986">
        <v>0</v>
      </c>
    </row>
    <row r="987" spans="8:8" x14ac:dyDescent="0.2">
      <c r="H987">
        <v>0</v>
      </c>
    </row>
    <row r="988" spans="8:8" x14ac:dyDescent="0.2">
      <c r="H988">
        <v>0</v>
      </c>
    </row>
    <row r="989" spans="8:8" x14ac:dyDescent="0.2">
      <c r="H989">
        <v>0</v>
      </c>
    </row>
    <row r="990" spans="8:8" x14ac:dyDescent="0.2">
      <c r="H990">
        <v>0</v>
      </c>
    </row>
    <row r="991" spans="8:8" x14ac:dyDescent="0.2">
      <c r="H991">
        <v>0</v>
      </c>
    </row>
    <row r="992" spans="8:8" x14ac:dyDescent="0.2">
      <c r="H992">
        <v>0</v>
      </c>
    </row>
    <row r="993" spans="8:8" x14ac:dyDescent="0.2">
      <c r="H993">
        <v>0</v>
      </c>
    </row>
    <row r="994" spans="8:8" x14ac:dyDescent="0.2">
      <c r="H994">
        <v>0</v>
      </c>
    </row>
    <row r="995" spans="8:8" x14ac:dyDescent="0.2">
      <c r="H995">
        <v>0</v>
      </c>
    </row>
    <row r="996" spans="8:8" x14ac:dyDescent="0.2">
      <c r="H996">
        <v>0</v>
      </c>
    </row>
    <row r="997" spans="8:8" x14ac:dyDescent="0.2">
      <c r="H997">
        <v>0</v>
      </c>
    </row>
    <row r="998" spans="8:8" x14ac:dyDescent="0.2">
      <c r="H998">
        <v>0</v>
      </c>
    </row>
    <row r="999" spans="8:8" x14ac:dyDescent="0.2">
      <c r="H999">
        <v>0</v>
      </c>
    </row>
    <row r="1000" spans="8:8" x14ac:dyDescent="0.2">
      <c r="H1000">
        <v>0</v>
      </c>
    </row>
    <row r="1001" spans="8:8" x14ac:dyDescent="0.2">
      <c r="H1001">
        <v>0</v>
      </c>
    </row>
    <row r="1002" spans="8:8" x14ac:dyDescent="0.2">
      <c r="H1002">
        <v>0</v>
      </c>
    </row>
    <row r="1003" spans="8:8" x14ac:dyDescent="0.2">
      <c r="H1003">
        <v>0</v>
      </c>
    </row>
    <row r="1004" spans="8:8" x14ac:dyDescent="0.2">
      <c r="H1004">
        <v>0</v>
      </c>
    </row>
    <row r="1005" spans="8:8" x14ac:dyDescent="0.2">
      <c r="H1005">
        <v>0</v>
      </c>
    </row>
    <row r="1006" spans="8:8" x14ac:dyDescent="0.2">
      <c r="H1006">
        <v>0</v>
      </c>
    </row>
    <row r="1007" spans="8:8" x14ac:dyDescent="0.2">
      <c r="H1007">
        <v>0</v>
      </c>
    </row>
    <row r="1008" spans="8:8" x14ac:dyDescent="0.2">
      <c r="H1008">
        <v>0</v>
      </c>
    </row>
    <row r="1009" spans="8:8" x14ac:dyDescent="0.2">
      <c r="H1009">
        <v>0</v>
      </c>
    </row>
    <row r="1010" spans="8:8" x14ac:dyDescent="0.2">
      <c r="H1010">
        <v>0</v>
      </c>
    </row>
    <row r="1011" spans="8:8" x14ac:dyDescent="0.2">
      <c r="H1011">
        <v>0</v>
      </c>
    </row>
    <row r="1012" spans="8:8" x14ac:dyDescent="0.2">
      <c r="H1012">
        <v>0</v>
      </c>
    </row>
    <row r="1013" spans="8:8" x14ac:dyDescent="0.2">
      <c r="H1013">
        <v>0</v>
      </c>
    </row>
    <row r="1014" spans="8:8" x14ac:dyDescent="0.2">
      <c r="H1014">
        <v>0</v>
      </c>
    </row>
    <row r="1015" spans="8:8" x14ac:dyDescent="0.2">
      <c r="H1015">
        <v>0</v>
      </c>
    </row>
    <row r="1016" spans="8:8" x14ac:dyDescent="0.2">
      <c r="H1016">
        <v>0</v>
      </c>
    </row>
    <row r="1017" spans="8:8" x14ac:dyDescent="0.2">
      <c r="H1017">
        <v>0</v>
      </c>
    </row>
    <row r="1018" spans="8:8" x14ac:dyDescent="0.2">
      <c r="H1018">
        <v>0</v>
      </c>
    </row>
    <row r="1019" spans="8:8" x14ac:dyDescent="0.2">
      <c r="H1019">
        <v>0</v>
      </c>
    </row>
    <row r="1020" spans="8:8" x14ac:dyDescent="0.2">
      <c r="H1020">
        <v>0</v>
      </c>
    </row>
    <row r="1021" spans="8:8" x14ac:dyDescent="0.2">
      <c r="H1021">
        <v>0</v>
      </c>
    </row>
    <row r="1022" spans="8:8" x14ac:dyDescent="0.2">
      <c r="H1022">
        <v>0</v>
      </c>
    </row>
    <row r="1023" spans="8:8" x14ac:dyDescent="0.2">
      <c r="H1023">
        <v>0</v>
      </c>
    </row>
    <row r="1024" spans="8:8" x14ac:dyDescent="0.2">
      <c r="H1024">
        <v>0</v>
      </c>
    </row>
    <row r="1025" spans="8:8" x14ac:dyDescent="0.2">
      <c r="H1025">
        <v>0</v>
      </c>
    </row>
    <row r="1026" spans="8:8" x14ac:dyDescent="0.2">
      <c r="H1026">
        <v>0</v>
      </c>
    </row>
    <row r="1027" spans="8:8" x14ac:dyDescent="0.2">
      <c r="H1027">
        <v>0</v>
      </c>
    </row>
    <row r="1028" spans="8:8" x14ac:dyDescent="0.2">
      <c r="H1028">
        <v>0</v>
      </c>
    </row>
    <row r="1029" spans="8:8" x14ac:dyDescent="0.2">
      <c r="H1029">
        <v>0</v>
      </c>
    </row>
    <row r="1030" spans="8:8" x14ac:dyDescent="0.2">
      <c r="H1030">
        <v>0</v>
      </c>
    </row>
    <row r="1031" spans="8:8" x14ac:dyDescent="0.2">
      <c r="H1031">
        <v>0</v>
      </c>
    </row>
    <row r="1032" spans="8:8" x14ac:dyDescent="0.2">
      <c r="H1032">
        <v>0</v>
      </c>
    </row>
    <row r="1033" spans="8:8" x14ac:dyDescent="0.2">
      <c r="H1033">
        <v>0</v>
      </c>
    </row>
    <row r="1034" spans="8:8" x14ac:dyDescent="0.2">
      <c r="H1034">
        <v>0</v>
      </c>
    </row>
    <row r="1035" spans="8:8" x14ac:dyDescent="0.2">
      <c r="H1035">
        <v>0</v>
      </c>
    </row>
    <row r="1036" spans="8:8" x14ac:dyDescent="0.2">
      <c r="H1036">
        <v>0</v>
      </c>
    </row>
    <row r="1037" spans="8:8" x14ac:dyDescent="0.2">
      <c r="H1037">
        <v>0</v>
      </c>
    </row>
    <row r="1038" spans="8:8" x14ac:dyDescent="0.2">
      <c r="H1038">
        <v>0</v>
      </c>
    </row>
    <row r="1039" spans="8:8" x14ac:dyDescent="0.2">
      <c r="H1039">
        <v>0</v>
      </c>
    </row>
    <row r="1040" spans="8:8" x14ac:dyDescent="0.2">
      <c r="H1040">
        <v>0</v>
      </c>
    </row>
    <row r="1041" spans="8:8" x14ac:dyDescent="0.2">
      <c r="H1041">
        <v>0</v>
      </c>
    </row>
    <row r="1042" spans="8:8" x14ac:dyDescent="0.2">
      <c r="H1042">
        <v>0</v>
      </c>
    </row>
    <row r="1043" spans="8:8" x14ac:dyDescent="0.2">
      <c r="H1043">
        <v>0</v>
      </c>
    </row>
    <row r="1044" spans="8:8" x14ac:dyDescent="0.2">
      <c r="H1044">
        <v>0</v>
      </c>
    </row>
    <row r="1045" spans="8:8" x14ac:dyDescent="0.2">
      <c r="H1045">
        <v>0</v>
      </c>
    </row>
    <row r="1046" spans="8:8" x14ac:dyDescent="0.2">
      <c r="H1046">
        <v>0</v>
      </c>
    </row>
    <row r="1047" spans="8:8" x14ac:dyDescent="0.2">
      <c r="H1047">
        <v>0</v>
      </c>
    </row>
    <row r="1048" spans="8:8" x14ac:dyDescent="0.2">
      <c r="H1048">
        <v>0</v>
      </c>
    </row>
    <row r="1049" spans="8:8" x14ac:dyDescent="0.2">
      <c r="H1049">
        <v>0</v>
      </c>
    </row>
    <row r="1050" spans="8:8" x14ac:dyDescent="0.2">
      <c r="H1050">
        <v>0</v>
      </c>
    </row>
    <row r="1051" spans="8:8" x14ac:dyDescent="0.2">
      <c r="H1051">
        <v>0</v>
      </c>
    </row>
    <row r="1052" spans="8:8" x14ac:dyDescent="0.2">
      <c r="H1052">
        <v>0</v>
      </c>
    </row>
    <row r="1053" spans="8:8" x14ac:dyDescent="0.2">
      <c r="H1053">
        <v>0</v>
      </c>
    </row>
    <row r="1054" spans="8:8" x14ac:dyDescent="0.2">
      <c r="H1054">
        <v>0</v>
      </c>
    </row>
    <row r="1055" spans="8:8" x14ac:dyDescent="0.2">
      <c r="H1055">
        <v>0</v>
      </c>
    </row>
    <row r="1056" spans="8:8" x14ac:dyDescent="0.2">
      <c r="H1056">
        <v>0</v>
      </c>
    </row>
    <row r="1057" spans="8:8" x14ac:dyDescent="0.2">
      <c r="H1057">
        <v>0</v>
      </c>
    </row>
    <row r="1058" spans="8:8" x14ac:dyDescent="0.2">
      <c r="H1058">
        <v>0</v>
      </c>
    </row>
    <row r="1059" spans="8:8" x14ac:dyDescent="0.2">
      <c r="H1059">
        <v>0</v>
      </c>
    </row>
    <row r="1060" spans="8:8" x14ac:dyDescent="0.2">
      <c r="H1060">
        <v>0</v>
      </c>
    </row>
    <row r="1061" spans="8:8" x14ac:dyDescent="0.2">
      <c r="H1061">
        <v>0</v>
      </c>
    </row>
    <row r="1062" spans="8:8" x14ac:dyDescent="0.2">
      <c r="H1062">
        <v>0</v>
      </c>
    </row>
    <row r="1063" spans="8:8" x14ac:dyDescent="0.2">
      <c r="H1063">
        <v>0</v>
      </c>
    </row>
    <row r="1064" spans="8:8" x14ac:dyDescent="0.2">
      <c r="H1064">
        <v>0</v>
      </c>
    </row>
    <row r="1065" spans="8:8" x14ac:dyDescent="0.2">
      <c r="H1065">
        <v>0</v>
      </c>
    </row>
    <row r="1066" spans="8:8" x14ac:dyDescent="0.2">
      <c r="H1066">
        <v>0</v>
      </c>
    </row>
    <row r="1067" spans="8:8" x14ac:dyDescent="0.2">
      <c r="H1067">
        <v>0</v>
      </c>
    </row>
    <row r="1068" spans="8:8" x14ac:dyDescent="0.2">
      <c r="H1068">
        <v>0</v>
      </c>
    </row>
    <row r="1069" spans="8:8" x14ac:dyDescent="0.2">
      <c r="H1069">
        <v>0</v>
      </c>
    </row>
    <row r="1070" spans="8:8" x14ac:dyDescent="0.2">
      <c r="H1070">
        <v>0</v>
      </c>
    </row>
    <row r="1071" spans="8:8" x14ac:dyDescent="0.2">
      <c r="H1071">
        <v>0</v>
      </c>
    </row>
    <row r="1072" spans="8:8" x14ac:dyDescent="0.2">
      <c r="H1072">
        <v>0</v>
      </c>
    </row>
    <row r="1073" spans="8:8" x14ac:dyDescent="0.2">
      <c r="H1073">
        <v>0</v>
      </c>
    </row>
    <row r="1074" spans="8:8" x14ac:dyDescent="0.2">
      <c r="H1074">
        <v>0</v>
      </c>
    </row>
    <row r="1075" spans="8:8" x14ac:dyDescent="0.2">
      <c r="H1075">
        <v>0</v>
      </c>
    </row>
    <row r="1076" spans="8:8" x14ac:dyDescent="0.2">
      <c r="H1076">
        <v>0</v>
      </c>
    </row>
    <row r="1077" spans="8:8" x14ac:dyDescent="0.2">
      <c r="H1077">
        <v>0</v>
      </c>
    </row>
    <row r="1078" spans="8:8" x14ac:dyDescent="0.2">
      <c r="H1078">
        <v>0</v>
      </c>
    </row>
    <row r="1079" spans="8:8" x14ac:dyDescent="0.2">
      <c r="H1079">
        <v>0</v>
      </c>
    </row>
    <row r="1080" spans="8:8" x14ac:dyDescent="0.2">
      <c r="H1080">
        <v>0</v>
      </c>
    </row>
    <row r="1081" spans="8:8" x14ac:dyDescent="0.2">
      <c r="H1081">
        <v>0</v>
      </c>
    </row>
    <row r="1082" spans="8:8" x14ac:dyDescent="0.2">
      <c r="H1082">
        <v>0</v>
      </c>
    </row>
    <row r="1083" spans="8:8" x14ac:dyDescent="0.2">
      <c r="H1083">
        <v>0</v>
      </c>
    </row>
    <row r="1084" spans="8:8" x14ac:dyDescent="0.2">
      <c r="H1084">
        <v>0</v>
      </c>
    </row>
    <row r="1085" spans="8:8" x14ac:dyDescent="0.2">
      <c r="H1085">
        <v>0</v>
      </c>
    </row>
    <row r="1086" spans="8:8" x14ac:dyDescent="0.2">
      <c r="H1086">
        <v>0</v>
      </c>
    </row>
    <row r="1087" spans="8:8" x14ac:dyDescent="0.2">
      <c r="H1087">
        <v>0</v>
      </c>
    </row>
    <row r="1088" spans="8:8" x14ac:dyDescent="0.2">
      <c r="H1088">
        <v>0</v>
      </c>
    </row>
    <row r="1089" spans="8:8" x14ac:dyDescent="0.2">
      <c r="H1089">
        <v>0</v>
      </c>
    </row>
    <row r="1090" spans="8:8" x14ac:dyDescent="0.2">
      <c r="H1090">
        <v>0</v>
      </c>
    </row>
    <row r="1091" spans="8:8" x14ac:dyDescent="0.2">
      <c r="H1091">
        <v>0</v>
      </c>
    </row>
    <row r="1092" spans="8:8" x14ac:dyDescent="0.2">
      <c r="H1092">
        <v>0</v>
      </c>
    </row>
    <row r="1093" spans="8:8" x14ac:dyDescent="0.2">
      <c r="H1093">
        <v>0</v>
      </c>
    </row>
    <row r="1094" spans="8:8" x14ac:dyDescent="0.2">
      <c r="H1094">
        <v>0</v>
      </c>
    </row>
    <row r="1095" spans="8:8" x14ac:dyDescent="0.2">
      <c r="H1095">
        <v>0</v>
      </c>
    </row>
    <row r="1096" spans="8:8" x14ac:dyDescent="0.2">
      <c r="H1096">
        <v>0</v>
      </c>
    </row>
    <row r="1097" spans="8:8" x14ac:dyDescent="0.2">
      <c r="H1097">
        <v>0</v>
      </c>
    </row>
    <row r="1098" spans="8:8" x14ac:dyDescent="0.2">
      <c r="H1098">
        <v>0</v>
      </c>
    </row>
    <row r="1099" spans="8:8" x14ac:dyDescent="0.2">
      <c r="H1099">
        <v>0</v>
      </c>
    </row>
    <row r="1100" spans="8:8" x14ac:dyDescent="0.2">
      <c r="H1100">
        <v>0</v>
      </c>
    </row>
    <row r="1101" spans="8:8" x14ac:dyDescent="0.2">
      <c r="H1101">
        <v>0</v>
      </c>
    </row>
    <row r="1102" spans="8:8" x14ac:dyDescent="0.2">
      <c r="H1102">
        <v>0</v>
      </c>
    </row>
    <row r="1103" spans="8:8" x14ac:dyDescent="0.2">
      <c r="H1103">
        <v>0</v>
      </c>
    </row>
    <row r="1104" spans="8:8" x14ac:dyDescent="0.2">
      <c r="H1104">
        <v>0</v>
      </c>
    </row>
    <row r="1105" spans="8:8" x14ac:dyDescent="0.2">
      <c r="H1105">
        <v>0</v>
      </c>
    </row>
    <row r="1106" spans="8:8" x14ac:dyDescent="0.2">
      <c r="H1106">
        <v>0</v>
      </c>
    </row>
    <row r="1107" spans="8:8" x14ac:dyDescent="0.2">
      <c r="H1107">
        <v>0</v>
      </c>
    </row>
    <row r="1108" spans="8:8" x14ac:dyDescent="0.2">
      <c r="H1108">
        <v>0</v>
      </c>
    </row>
    <row r="1109" spans="8:8" x14ac:dyDescent="0.2">
      <c r="H1109">
        <v>0</v>
      </c>
    </row>
    <row r="1110" spans="8:8" x14ac:dyDescent="0.2">
      <c r="H1110">
        <v>0</v>
      </c>
    </row>
    <row r="1111" spans="8:8" x14ac:dyDescent="0.2">
      <c r="H1111">
        <v>0</v>
      </c>
    </row>
    <row r="1112" spans="8:8" x14ac:dyDescent="0.2">
      <c r="H1112">
        <v>0</v>
      </c>
    </row>
    <row r="1113" spans="8:8" x14ac:dyDescent="0.2">
      <c r="H1113">
        <v>0</v>
      </c>
    </row>
    <row r="1114" spans="8:8" x14ac:dyDescent="0.2">
      <c r="H1114">
        <v>0</v>
      </c>
    </row>
    <row r="1115" spans="8:8" x14ac:dyDescent="0.2">
      <c r="H1115">
        <v>0</v>
      </c>
    </row>
    <row r="1116" spans="8:8" x14ac:dyDescent="0.2">
      <c r="H1116">
        <v>0</v>
      </c>
    </row>
    <row r="1117" spans="8:8" x14ac:dyDescent="0.2">
      <c r="H1117">
        <v>0</v>
      </c>
    </row>
    <row r="1118" spans="8:8" x14ac:dyDescent="0.2">
      <c r="H1118">
        <v>0</v>
      </c>
    </row>
    <row r="1119" spans="8:8" x14ac:dyDescent="0.2">
      <c r="H1119">
        <v>0</v>
      </c>
    </row>
    <row r="1120" spans="8:8" x14ac:dyDescent="0.2">
      <c r="H1120">
        <v>0</v>
      </c>
    </row>
    <row r="1121" spans="8:8" x14ac:dyDescent="0.2">
      <c r="H1121">
        <v>0</v>
      </c>
    </row>
    <row r="1122" spans="8:8" x14ac:dyDescent="0.2">
      <c r="H1122">
        <v>0</v>
      </c>
    </row>
    <row r="1123" spans="8:8" x14ac:dyDescent="0.2">
      <c r="H1123">
        <v>0</v>
      </c>
    </row>
    <row r="1124" spans="8:8" x14ac:dyDescent="0.2">
      <c r="H1124">
        <v>0</v>
      </c>
    </row>
    <row r="1125" spans="8:8" x14ac:dyDescent="0.2">
      <c r="H1125">
        <v>0</v>
      </c>
    </row>
    <row r="1126" spans="8:8" x14ac:dyDescent="0.2">
      <c r="H1126">
        <v>0</v>
      </c>
    </row>
    <row r="1127" spans="8:8" x14ac:dyDescent="0.2">
      <c r="H1127">
        <v>0</v>
      </c>
    </row>
    <row r="1128" spans="8:8" x14ac:dyDescent="0.2">
      <c r="H1128">
        <v>0</v>
      </c>
    </row>
    <row r="1129" spans="8:8" x14ac:dyDescent="0.2">
      <c r="H1129">
        <v>0</v>
      </c>
    </row>
    <row r="1130" spans="8:8" x14ac:dyDescent="0.2">
      <c r="H1130">
        <v>0</v>
      </c>
    </row>
    <row r="1131" spans="8:8" x14ac:dyDescent="0.2">
      <c r="H1131">
        <v>0</v>
      </c>
    </row>
    <row r="1132" spans="8:8" x14ac:dyDescent="0.2">
      <c r="H1132">
        <v>0</v>
      </c>
    </row>
    <row r="1133" spans="8:8" x14ac:dyDescent="0.2">
      <c r="H1133">
        <v>0</v>
      </c>
    </row>
    <row r="1134" spans="8:8" x14ac:dyDescent="0.2">
      <c r="H1134">
        <v>0</v>
      </c>
    </row>
    <row r="1135" spans="8:8" x14ac:dyDescent="0.2">
      <c r="H1135">
        <v>0</v>
      </c>
    </row>
    <row r="1136" spans="8:8" x14ac:dyDescent="0.2">
      <c r="H1136">
        <v>0</v>
      </c>
    </row>
    <row r="1137" spans="8:8" x14ac:dyDescent="0.2">
      <c r="H1137">
        <v>0</v>
      </c>
    </row>
    <row r="1138" spans="8:8" x14ac:dyDescent="0.2">
      <c r="H1138">
        <v>0</v>
      </c>
    </row>
    <row r="1139" spans="8:8" x14ac:dyDescent="0.2">
      <c r="H1139">
        <v>0</v>
      </c>
    </row>
    <row r="1140" spans="8:8" x14ac:dyDescent="0.2">
      <c r="H1140">
        <v>0</v>
      </c>
    </row>
    <row r="1141" spans="8:8" x14ac:dyDescent="0.2">
      <c r="H1141">
        <v>0</v>
      </c>
    </row>
    <row r="1142" spans="8:8" x14ac:dyDescent="0.2">
      <c r="H1142">
        <v>0</v>
      </c>
    </row>
    <row r="1143" spans="8:8" x14ac:dyDescent="0.2">
      <c r="H1143">
        <v>0</v>
      </c>
    </row>
    <row r="1144" spans="8:8" x14ac:dyDescent="0.2">
      <c r="H1144">
        <v>0</v>
      </c>
    </row>
    <row r="1145" spans="8:8" x14ac:dyDescent="0.2">
      <c r="H1145">
        <v>0</v>
      </c>
    </row>
    <row r="1146" spans="8:8" x14ac:dyDescent="0.2">
      <c r="H1146">
        <v>0</v>
      </c>
    </row>
    <row r="1147" spans="8:8" x14ac:dyDescent="0.2">
      <c r="H1147">
        <v>0</v>
      </c>
    </row>
    <row r="1148" spans="8:8" x14ac:dyDescent="0.2">
      <c r="H1148">
        <v>0</v>
      </c>
    </row>
    <row r="1149" spans="8:8" x14ac:dyDescent="0.2">
      <c r="H1149">
        <v>0</v>
      </c>
    </row>
    <row r="1150" spans="8:8" x14ac:dyDescent="0.2">
      <c r="H1150">
        <v>0</v>
      </c>
    </row>
    <row r="1151" spans="8:8" x14ac:dyDescent="0.2">
      <c r="H1151">
        <v>0</v>
      </c>
    </row>
    <row r="1152" spans="8:8" x14ac:dyDescent="0.2">
      <c r="H1152">
        <v>0</v>
      </c>
    </row>
    <row r="1153" spans="8:8" x14ac:dyDescent="0.2">
      <c r="H1153">
        <v>0</v>
      </c>
    </row>
    <row r="1154" spans="8:8" x14ac:dyDescent="0.2">
      <c r="H1154">
        <v>0</v>
      </c>
    </row>
    <row r="1155" spans="8:8" x14ac:dyDescent="0.2">
      <c r="H1155">
        <v>0</v>
      </c>
    </row>
    <row r="1156" spans="8:8" x14ac:dyDescent="0.2">
      <c r="H1156">
        <v>0</v>
      </c>
    </row>
    <row r="1157" spans="8:8" x14ac:dyDescent="0.2">
      <c r="H1157">
        <v>0</v>
      </c>
    </row>
    <row r="1158" spans="8:8" x14ac:dyDescent="0.2">
      <c r="H1158">
        <v>0</v>
      </c>
    </row>
    <row r="1159" spans="8:8" x14ac:dyDescent="0.2">
      <c r="H1159">
        <v>0</v>
      </c>
    </row>
    <row r="1160" spans="8:8" x14ac:dyDescent="0.2">
      <c r="H1160">
        <v>0</v>
      </c>
    </row>
    <row r="1161" spans="8:8" x14ac:dyDescent="0.2">
      <c r="H1161">
        <v>0</v>
      </c>
    </row>
    <row r="1162" spans="8:8" x14ac:dyDescent="0.2">
      <c r="H1162">
        <v>0</v>
      </c>
    </row>
    <row r="1163" spans="8:8" x14ac:dyDescent="0.2">
      <c r="H1163">
        <v>0</v>
      </c>
    </row>
    <row r="1164" spans="8:8" x14ac:dyDescent="0.2">
      <c r="H1164">
        <v>0</v>
      </c>
    </row>
    <row r="1165" spans="8:8" x14ac:dyDescent="0.2">
      <c r="H1165">
        <v>0</v>
      </c>
    </row>
    <row r="1166" spans="8:8" x14ac:dyDescent="0.2">
      <c r="H1166">
        <v>0</v>
      </c>
    </row>
    <row r="1167" spans="8:8" x14ac:dyDescent="0.2">
      <c r="H1167">
        <v>0</v>
      </c>
    </row>
    <row r="1168" spans="8:8" x14ac:dyDescent="0.2">
      <c r="H1168">
        <v>0</v>
      </c>
    </row>
    <row r="1169" spans="8:8" x14ac:dyDescent="0.2">
      <c r="H1169">
        <v>0</v>
      </c>
    </row>
    <row r="1170" spans="8:8" x14ac:dyDescent="0.2">
      <c r="H1170">
        <v>0</v>
      </c>
    </row>
    <row r="1171" spans="8:8" x14ac:dyDescent="0.2">
      <c r="H1171">
        <v>0</v>
      </c>
    </row>
    <row r="1172" spans="8:8" x14ac:dyDescent="0.2">
      <c r="H1172">
        <v>0</v>
      </c>
    </row>
    <row r="1173" spans="8:8" x14ac:dyDescent="0.2">
      <c r="H1173">
        <v>0</v>
      </c>
    </row>
    <row r="1174" spans="8:8" x14ac:dyDescent="0.2">
      <c r="H1174">
        <v>0</v>
      </c>
    </row>
    <row r="1175" spans="8:8" x14ac:dyDescent="0.2">
      <c r="H1175">
        <v>0</v>
      </c>
    </row>
    <row r="1176" spans="8:8" x14ac:dyDescent="0.2">
      <c r="H1176">
        <v>0</v>
      </c>
    </row>
    <row r="1177" spans="8:8" x14ac:dyDescent="0.2">
      <c r="H1177">
        <v>0</v>
      </c>
    </row>
    <row r="1178" spans="8:8" x14ac:dyDescent="0.2">
      <c r="H1178">
        <v>0</v>
      </c>
    </row>
    <row r="1179" spans="8:8" x14ac:dyDescent="0.2">
      <c r="H1179">
        <v>0</v>
      </c>
    </row>
    <row r="1180" spans="8:8" x14ac:dyDescent="0.2">
      <c r="H1180">
        <v>0</v>
      </c>
    </row>
    <row r="1181" spans="8:8" x14ac:dyDescent="0.2">
      <c r="H1181">
        <v>0</v>
      </c>
    </row>
    <row r="1182" spans="8:8" x14ac:dyDescent="0.2">
      <c r="H1182">
        <v>0</v>
      </c>
    </row>
    <row r="1183" spans="8:8" x14ac:dyDescent="0.2">
      <c r="H1183">
        <v>0</v>
      </c>
    </row>
    <row r="1184" spans="8:8" x14ac:dyDescent="0.2">
      <c r="H1184">
        <v>0</v>
      </c>
    </row>
    <row r="1185" spans="8:8" x14ac:dyDescent="0.2">
      <c r="H1185">
        <v>0</v>
      </c>
    </row>
    <row r="1186" spans="8:8" x14ac:dyDescent="0.2">
      <c r="H1186">
        <v>0</v>
      </c>
    </row>
    <row r="1187" spans="8:8" x14ac:dyDescent="0.2">
      <c r="H1187">
        <v>0</v>
      </c>
    </row>
    <row r="1188" spans="8:8" x14ac:dyDescent="0.2">
      <c r="H1188">
        <v>0</v>
      </c>
    </row>
    <row r="1189" spans="8:8" x14ac:dyDescent="0.2">
      <c r="H1189">
        <v>0</v>
      </c>
    </row>
    <row r="1190" spans="8:8" x14ac:dyDescent="0.2">
      <c r="H1190">
        <v>0</v>
      </c>
    </row>
    <row r="1191" spans="8:8" x14ac:dyDescent="0.2">
      <c r="H1191">
        <v>0</v>
      </c>
    </row>
    <row r="1192" spans="8:8" x14ac:dyDescent="0.2">
      <c r="H1192">
        <v>0</v>
      </c>
    </row>
    <row r="1193" spans="8:8" x14ac:dyDescent="0.2">
      <c r="H1193">
        <v>0</v>
      </c>
    </row>
    <row r="1194" spans="8:8" x14ac:dyDescent="0.2">
      <c r="H1194">
        <v>0</v>
      </c>
    </row>
    <row r="1195" spans="8:8" x14ac:dyDescent="0.2">
      <c r="H1195">
        <v>0</v>
      </c>
    </row>
    <row r="1196" spans="8:8" x14ac:dyDescent="0.2">
      <c r="H1196">
        <v>0</v>
      </c>
    </row>
    <row r="1197" spans="8:8" x14ac:dyDescent="0.2">
      <c r="H1197">
        <v>0</v>
      </c>
    </row>
    <row r="1198" spans="8:8" x14ac:dyDescent="0.2">
      <c r="H1198">
        <v>0</v>
      </c>
    </row>
    <row r="1199" spans="8:8" x14ac:dyDescent="0.2">
      <c r="H1199">
        <v>0</v>
      </c>
    </row>
    <row r="1200" spans="8:8" x14ac:dyDescent="0.2">
      <c r="H1200">
        <v>0</v>
      </c>
    </row>
    <row r="1201" spans="8:8" x14ac:dyDescent="0.2">
      <c r="H1201">
        <v>0</v>
      </c>
    </row>
    <row r="1202" spans="8:8" x14ac:dyDescent="0.2">
      <c r="H1202">
        <v>0</v>
      </c>
    </row>
    <row r="1203" spans="8:8" x14ac:dyDescent="0.2">
      <c r="H1203">
        <v>0</v>
      </c>
    </row>
    <row r="1204" spans="8:8" x14ac:dyDescent="0.2">
      <c r="H1204">
        <v>0</v>
      </c>
    </row>
    <row r="1205" spans="8:8" x14ac:dyDescent="0.2">
      <c r="H1205">
        <v>0</v>
      </c>
    </row>
    <row r="1206" spans="8:8" x14ac:dyDescent="0.2">
      <c r="H1206">
        <v>0</v>
      </c>
    </row>
    <row r="1207" spans="8:8" x14ac:dyDescent="0.2">
      <c r="H1207">
        <v>0</v>
      </c>
    </row>
    <row r="1208" spans="8:8" x14ac:dyDescent="0.2">
      <c r="H1208">
        <v>0</v>
      </c>
    </row>
    <row r="1209" spans="8:8" x14ac:dyDescent="0.2">
      <c r="H1209">
        <v>0</v>
      </c>
    </row>
    <row r="1210" spans="8:8" x14ac:dyDescent="0.2">
      <c r="H1210">
        <v>0</v>
      </c>
    </row>
    <row r="1211" spans="8:8" x14ac:dyDescent="0.2">
      <c r="H1211">
        <v>0</v>
      </c>
    </row>
    <row r="1212" spans="8:8" x14ac:dyDescent="0.2">
      <c r="H1212">
        <v>0</v>
      </c>
    </row>
    <row r="1213" spans="8:8" x14ac:dyDescent="0.2">
      <c r="H1213">
        <v>0</v>
      </c>
    </row>
    <row r="1214" spans="8:8" x14ac:dyDescent="0.2">
      <c r="H1214">
        <v>0</v>
      </c>
    </row>
    <row r="1215" spans="8:8" x14ac:dyDescent="0.2">
      <c r="H1215">
        <v>0</v>
      </c>
    </row>
    <row r="1216" spans="8:8" x14ac:dyDescent="0.2">
      <c r="H1216">
        <v>0</v>
      </c>
    </row>
    <row r="1217" spans="8:8" x14ac:dyDescent="0.2">
      <c r="H1217">
        <v>0</v>
      </c>
    </row>
    <row r="1218" spans="8:8" x14ac:dyDescent="0.2">
      <c r="H1218">
        <v>0</v>
      </c>
    </row>
    <row r="1219" spans="8:8" x14ac:dyDescent="0.2">
      <c r="H1219">
        <v>0</v>
      </c>
    </row>
    <row r="1220" spans="8:8" x14ac:dyDescent="0.2">
      <c r="H1220">
        <v>0</v>
      </c>
    </row>
    <row r="1221" spans="8:8" x14ac:dyDescent="0.2">
      <c r="H1221">
        <v>0</v>
      </c>
    </row>
    <row r="1222" spans="8:8" x14ac:dyDescent="0.2">
      <c r="H1222">
        <v>0</v>
      </c>
    </row>
    <row r="1223" spans="8:8" x14ac:dyDescent="0.2">
      <c r="H1223">
        <v>0</v>
      </c>
    </row>
    <row r="1224" spans="8:8" x14ac:dyDescent="0.2">
      <c r="H1224">
        <v>0</v>
      </c>
    </row>
    <row r="1225" spans="8:8" x14ac:dyDescent="0.2">
      <c r="H1225">
        <v>0</v>
      </c>
    </row>
    <row r="1226" spans="8:8" x14ac:dyDescent="0.2">
      <c r="H1226">
        <v>0</v>
      </c>
    </row>
    <row r="1227" spans="8:8" x14ac:dyDescent="0.2">
      <c r="H1227">
        <v>0</v>
      </c>
    </row>
    <row r="1228" spans="8:8" x14ac:dyDescent="0.2">
      <c r="H1228">
        <v>0</v>
      </c>
    </row>
    <row r="1229" spans="8:8" x14ac:dyDescent="0.2">
      <c r="H1229">
        <v>0</v>
      </c>
    </row>
    <row r="1230" spans="8:8" x14ac:dyDescent="0.2">
      <c r="H1230">
        <v>0</v>
      </c>
    </row>
    <row r="1231" spans="8:8" x14ac:dyDescent="0.2">
      <c r="H1231">
        <v>0</v>
      </c>
    </row>
    <row r="1232" spans="8:8" x14ac:dyDescent="0.2">
      <c r="H1232">
        <v>0</v>
      </c>
    </row>
    <row r="1233" spans="8:8" x14ac:dyDescent="0.2">
      <c r="H1233">
        <v>0</v>
      </c>
    </row>
    <row r="1234" spans="8:8" x14ac:dyDescent="0.2">
      <c r="H1234">
        <v>0</v>
      </c>
    </row>
    <row r="1235" spans="8:8" x14ac:dyDescent="0.2">
      <c r="H1235">
        <v>0</v>
      </c>
    </row>
    <row r="1236" spans="8:8" x14ac:dyDescent="0.2">
      <c r="H1236">
        <v>0</v>
      </c>
    </row>
    <row r="1237" spans="8:8" x14ac:dyDescent="0.2">
      <c r="H1237">
        <v>0</v>
      </c>
    </row>
    <row r="1238" spans="8:8" x14ac:dyDescent="0.2">
      <c r="H1238">
        <v>0</v>
      </c>
    </row>
    <row r="1239" spans="8:8" x14ac:dyDescent="0.2">
      <c r="H1239">
        <v>0</v>
      </c>
    </row>
    <row r="1240" spans="8:8" x14ac:dyDescent="0.2">
      <c r="H1240">
        <v>0</v>
      </c>
    </row>
    <row r="1241" spans="8:8" x14ac:dyDescent="0.2">
      <c r="H1241">
        <v>0</v>
      </c>
    </row>
    <row r="1242" spans="8:8" x14ac:dyDescent="0.2">
      <c r="H1242">
        <v>0</v>
      </c>
    </row>
    <row r="1243" spans="8:8" x14ac:dyDescent="0.2">
      <c r="H1243">
        <v>0</v>
      </c>
    </row>
    <row r="1244" spans="8:8" x14ac:dyDescent="0.2">
      <c r="H1244">
        <v>0</v>
      </c>
    </row>
    <row r="1245" spans="8:8" x14ac:dyDescent="0.2">
      <c r="H1245">
        <v>0</v>
      </c>
    </row>
    <row r="1246" spans="8:8" x14ac:dyDescent="0.2">
      <c r="H1246">
        <v>0</v>
      </c>
    </row>
    <row r="1247" spans="8:8" x14ac:dyDescent="0.2">
      <c r="H1247">
        <v>0</v>
      </c>
    </row>
    <row r="1248" spans="8:8" x14ac:dyDescent="0.2">
      <c r="H1248">
        <v>0</v>
      </c>
    </row>
    <row r="1249" spans="8:8" x14ac:dyDescent="0.2">
      <c r="H1249">
        <v>0</v>
      </c>
    </row>
    <row r="1250" spans="8:8" x14ac:dyDescent="0.2">
      <c r="H1250">
        <v>0</v>
      </c>
    </row>
    <row r="1251" spans="8:8" x14ac:dyDescent="0.2">
      <c r="H1251">
        <v>0</v>
      </c>
    </row>
    <row r="1252" spans="8:8" x14ac:dyDescent="0.2">
      <c r="H1252">
        <v>0</v>
      </c>
    </row>
    <row r="1253" spans="8:8" x14ac:dyDescent="0.2">
      <c r="H1253">
        <v>0</v>
      </c>
    </row>
    <row r="1254" spans="8:8" x14ac:dyDescent="0.2">
      <c r="H1254">
        <v>0</v>
      </c>
    </row>
    <row r="1255" spans="8:8" x14ac:dyDescent="0.2">
      <c r="H1255">
        <v>0</v>
      </c>
    </row>
    <row r="1256" spans="8:8" x14ac:dyDescent="0.2">
      <c r="H1256">
        <v>0</v>
      </c>
    </row>
    <row r="1257" spans="8:8" x14ac:dyDescent="0.2">
      <c r="H1257">
        <v>0</v>
      </c>
    </row>
    <row r="1258" spans="8:8" x14ac:dyDescent="0.2">
      <c r="H1258">
        <v>0</v>
      </c>
    </row>
    <row r="1259" spans="8:8" x14ac:dyDescent="0.2">
      <c r="H1259">
        <v>0</v>
      </c>
    </row>
    <row r="1260" spans="8:8" x14ac:dyDescent="0.2">
      <c r="H1260">
        <v>0</v>
      </c>
    </row>
    <row r="1261" spans="8:8" x14ac:dyDescent="0.2">
      <c r="H1261">
        <v>0</v>
      </c>
    </row>
    <row r="1262" spans="8:8" x14ac:dyDescent="0.2">
      <c r="H1262">
        <v>0</v>
      </c>
    </row>
    <row r="1263" spans="8:8" x14ac:dyDescent="0.2">
      <c r="H1263">
        <v>0</v>
      </c>
    </row>
    <row r="1264" spans="8:8" x14ac:dyDescent="0.2">
      <c r="H1264">
        <v>0</v>
      </c>
    </row>
    <row r="1265" spans="8:8" x14ac:dyDescent="0.2">
      <c r="H1265">
        <v>0</v>
      </c>
    </row>
    <row r="1266" spans="8:8" x14ac:dyDescent="0.2">
      <c r="H1266">
        <v>0</v>
      </c>
    </row>
    <row r="1267" spans="8:8" x14ac:dyDescent="0.2">
      <c r="H1267">
        <v>0</v>
      </c>
    </row>
    <row r="1268" spans="8:8" x14ac:dyDescent="0.2">
      <c r="H1268">
        <v>0</v>
      </c>
    </row>
    <row r="1269" spans="8:8" x14ac:dyDescent="0.2">
      <c r="H1269">
        <v>0</v>
      </c>
    </row>
    <row r="1270" spans="8:8" x14ac:dyDescent="0.2">
      <c r="H1270">
        <v>0</v>
      </c>
    </row>
    <row r="1271" spans="8:8" x14ac:dyDescent="0.2">
      <c r="H1271">
        <v>0</v>
      </c>
    </row>
    <row r="1272" spans="8:8" x14ac:dyDescent="0.2">
      <c r="H1272">
        <v>0</v>
      </c>
    </row>
    <row r="1273" spans="8:8" x14ac:dyDescent="0.2">
      <c r="H1273">
        <v>0</v>
      </c>
    </row>
    <row r="1274" spans="8:8" x14ac:dyDescent="0.2">
      <c r="H1274">
        <v>0</v>
      </c>
    </row>
    <row r="1275" spans="8:8" x14ac:dyDescent="0.2">
      <c r="H1275">
        <v>0</v>
      </c>
    </row>
    <row r="1276" spans="8:8" x14ac:dyDescent="0.2">
      <c r="H1276">
        <v>0</v>
      </c>
    </row>
    <row r="1277" spans="8:8" x14ac:dyDescent="0.2">
      <c r="H1277">
        <v>0</v>
      </c>
    </row>
    <row r="1278" spans="8:8" x14ac:dyDescent="0.2">
      <c r="H1278">
        <v>0</v>
      </c>
    </row>
    <row r="1279" spans="8:8" x14ac:dyDescent="0.2">
      <c r="H1279">
        <v>0</v>
      </c>
    </row>
    <row r="1280" spans="8:8" x14ac:dyDescent="0.2">
      <c r="H1280">
        <v>0</v>
      </c>
    </row>
    <row r="1281" spans="8:8" x14ac:dyDescent="0.2">
      <c r="H1281">
        <v>0</v>
      </c>
    </row>
    <row r="1282" spans="8:8" x14ac:dyDescent="0.2">
      <c r="H1282">
        <v>0</v>
      </c>
    </row>
    <row r="1283" spans="8:8" x14ac:dyDescent="0.2">
      <c r="H1283">
        <v>0</v>
      </c>
    </row>
    <row r="1284" spans="8:8" x14ac:dyDescent="0.2">
      <c r="H1284">
        <v>0</v>
      </c>
    </row>
    <row r="1285" spans="8:8" x14ac:dyDescent="0.2">
      <c r="H1285">
        <v>0</v>
      </c>
    </row>
    <row r="1286" spans="8:8" x14ac:dyDescent="0.2">
      <c r="H1286">
        <v>0</v>
      </c>
    </row>
    <row r="1287" spans="8:8" x14ac:dyDescent="0.2">
      <c r="H1287">
        <v>0</v>
      </c>
    </row>
    <row r="1288" spans="8:8" x14ac:dyDescent="0.2">
      <c r="H1288">
        <v>0</v>
      </c>
    </row>
    <row r="1289" spans="8:8" x14ac:dyDescent="0.2">
      <c r="H1289">
        <v>0</v>
      </c>
    </row>
    <row r="1290" spans="8:8" x14ac:dyDescent="0.2">
      <c r="H1290">
        <v>0</v>
      </c>
    </row>
    <row r="1291" spans="8:8" x14ac:dyDescent="0.2">
      <c r="H1291">
        <v>0</v>
      </c>
    </row>
    <row r="1292" spans="8:8" x14ac:dyDescent="0.2">
      <c r="H1292">
        <v>0</v>
      </c>
    </row>
    <row r="1293" spans="8:8" x14ac:dyDescent="0.2">
      <c r="H1293">
        <v>0</v>
      </c>
    </row>
    <row r="1294" spans="8:8" x14ac:dyDescent="0.2">
      <c r="H1294">
        <v>0</v>
      </c>
    </row>
    <row r="1295" spans="8:8" x14ac:dyDescent="0.2">
      <c r="H1295">
        <v>0</v>
      </c>
    </row>
    <row r="1296" spans="8:8" x14ac:dyDescent="0.2">
      <c r="H1296">
        <v>0</v>
      </c>
    </row>
    <row r="1297" spans="8:8" x14ac:dyDescent="0.2">
      <c r="H1297">
        <v>0</v>
      </c>
    </row>
    <row r="1298" spans="8:8" x14ac:dyDescent="0.2">
      <c r="H1298">
        <v>0</v>
      </c>
    </row>
    <row r="1299" spans="8:8" x14ac:dyDescent="0.2">
      <c r="H1299">
        <v>0</v>
      </c>
    </row>
    <row r="1300" spans="8:8" x14ac:dyDescent="0.2">
      <c r="H1300">
        <v>0</v>
      </c>
    </row>
    <row r="1301" spans="8:8" x14ac:dyDescent="0.2">
      <c r="H1301">
        <v>0</v>
      </c>
    </row>
    <row r="1302" spans="8:8" x14ac:dyDescent="0.2">
      <c r="H1302">
        <v>0</v>
      </c>
    </row>
    <row r="1303" spans="8:8" x14ac:dyDescent="0.2">
      <c r="H1303">
        <v>0</v>
      </c>
    </row>
    <row r="1304" spans="8:8" x14ac:dyDescent="0.2">
      <c r="H1304">
        <v>0</v>
      </c>
    </row>
    <row r="1305" spans="8:8" x14ac:dyDescent="0.2">
      <c r="H1305">
        <v>0</v>
      </c>
    </row>
    <row r="1306" spans="8:8" x14ac:dyDescent="0.2">
      <c r="H1306">
        <v>0</v>
      </c>
    </row>
    <row r="1307" spans="8:8" x14ac:dyDescent="0.2">
      <c r="H1307">
        <v>0</v>
      </c>
    </row>
    <row r="1308" spans="8:8" x14ac:dyDescent="0.2">
      <c r="H1308">
        <v>0</v>
      </c>
    </row>
    <row r="1309" spans="8:8" x14ac:dyDescent="0.2">
      <c r="H1309">
        <v>0</v>
      </c>
    </row>
    <row r="1310" spans="8:8" x14ac:dyDescent="0.2">
      <c r="H1310">
        <v>0</v>
      </c>
    </row>
    <row r="1311" spans="8:8" x14ac:dyDescent="0.2">
      <c r="H1311">
        <v>0</v>
      </c>
    </row>
    <row r="1312" spans="8:8" x14ac:dyDescent="0.2">
      <c r="H1312">
        <v>0</v>
      </c>
    </row>
    <row r="1313" spans="8:8" x14ac:dyDescent="0.2">
      <c r="H1313">
        <v>0</v>
      </c>
    </row>
    <row r="1314" spans="8:8" x14ac:dyDescent="0.2">
      <c r="H1314">
        <v>0</v>
      </c>
    </row>
    <row r="1315" spans="8:8" x14ac:dyDescent="0.2">
      <c r="H1315">
        <v>0</v>
      </c>
    </row>
    <row r="1316" spans="8:8" x14ac:dyDescent="0.2">
      <c r="H1316">
        <v>0</v>
      </c>
    </row>
    <row r="1317" spans="8:8" x14ac:dyDescent="0.2">
      <c r="H1317">
        <v>0</v>
      </c>
    </row>
    <row r="1318" spans="8:8" x14ac:dyDescent="0.2">
      <c r="H1318">
        <v>0</v>
      </c>
    </row>
    <row r="1319" spans="8:8" x14ac:dyDescent="0.2">
      <c r="H1319">
        <v>0</v>
      </c>
    </row>
    <row r="1320" spans="8:8" x14ac:dyDescent="0.2">
      <c r="H1320">
        <v>0</v>
      </c>
    </row>
    <row r="1321" spans="8:8" x14ac:dyDescent="0.2">
      <c r="H1321">
        <v>0</v>
      </c>
    </row>
    <row r="1322" spans="8:8" x14ac:dyDescent="0.2">
      <c r="H1322">
        <v>0</v>
      </c>
    </row>
    <row r="1323" spans="8:8" x14ac:dyDescent="0.2">
      <c r="H1323">
        <v>0</v>
      </c>
    </row>
    <row r="1324" spans="8:8" x14ac:dyDescent="0.2">
      <c r="H1324">
        <v>0</v>
      </c>
    </row>
    <row r="1325" spans="8:8" x14ac:dyDescent="0.2">
      <c r="H1325">
        <v>0</v>
      </c>
    </row>
    <row r="1326" spans="8:8" x14ac:dyDescent="0.2">
      <c r="H1326">
        <v>0</v>
      </c>
    </row>
    <row r="1327" spans="8:8" x14ac:dyDescent="0.2">
      <c r="H1327">
        <v>0</v>
      </c>
    </row>
    <row r="1328" spans="8:8" x14ac:dyDescent="0.2">
      <c r="H1328">
        <v>0</v>
      </c>
    </row>
    <row r="1329" spans="8:8" x14ac:dyDescent="0.2">
      <c r="H1329">
        <v>0</v>
      </c>
    </row>
    <row r="1330" spans="8:8" x14ac:dyDescent="0.2">
      <c r="H1330">
        <v>0</v>
      </c>
    </row>
    <row r="1331" spans="8:8" x14ac:dyDescent="0.2">
      <c r="H1331">
        <v>0</v>
      </c>
    </row>
    <row r="1332" spans="8:8" x14ac:dyDescent="0.2">
      <c r="H1332">
        <v>0</v>
      </c>
    </row>
    <row r="1333" spans="8:8" x14ac:dyDescent="0.2">
      <c r="H1333">
        <v>0</v>
      </c>
    </row>
    <row r="1334" spans="8:8" x14ac:dyDescent="0.2">
      <c r="H1334">
        <v>0</v>
      </c>
    </row>
    <row r="1335" spans="8:8" x14ac:dyDescent="0.2">
      <c r="H1335">
        <v>0</v>
      </c>
    </row>
    <row r="1336" spans="8:8" x14ac:dyDescent="0.2">
      <c r="H1336">
        <v>0</v>
      </c>
    </row>
    <row r="1337" spans="8:8" x14ac:dyDescent="0.2">
      <c r="H1337">
        <v>0</v>
      </c>
    </row>
    <row r="1338" spans="8:8" x14ac:dyDescent="0.2">
      <c r="H1338">
        <v>0</v>
      </c>
    </row>
    <row r="1339" spans="8:8" x14ac:dyDescent="0.2">
      <c r="H1339">
        <v>0</v>
      </c>
    </row>
    <row r="1340" spans="8:8" x14ac:dyDescent="0.2">
      <c r="H1340">
        <v>0</v>
      </c>
    </row>
    <row r="1341" spans="8:8" x14ac:dyDescent="0.2">
      <c r="H1341">
        <v>0</v>
      </c>
    </row>
    <row r="1342" spans="8:8" x14ac:dyDescent="0.2">
      <c r="H1342">
        <v>0</v>
      </c>
    </row>
    <row r="1343" spans="8:8" x14ac:dyDescent="0.2">
      <c r="H1343">
        <v>0</v>
      </c>
    </row>
    <row r="1344" spans="8:8" x14ac:dyDescent="0.2">
      <c r="H1344">
        <v>0</v>
      </c>
    </row>
    <row r="1345" spans="8:8" x14ac:dyDescent="0.2">
      <c r="H1345">
        <v>0</v>
      </c>
    </row>
    <row r="1346" spans="8:8" x14ac:dyDescent="0.2">
      <c r="H1346">
        <v>0</v>
      </c>
    </row>
    <row r="1347" spans="8:8" x14ac:dyDescent="0.2">
      <c r="H1347">
        <v>0</v>
      </c>
    </row>
    <row r="1348" spans="8:8" x14ac:dyDescent="0.2">
      <c r="H1348">
        <v>0</v>
      </c>
    </row>
    <row r="1349" spans="8:8" x14ac:dyDescent="0.2">
      <c r="H1349">
        <v>0</v>
      </c>
    </row>
    <row r="1350" spans="8:8" x14ac:dyDescent="0.2">
      <c r="H1350">
        <v>0</v>
      </c>
    </row>
    <row r="1351" spans="8:8" x14ac:dyDescent="0.2">
      <c r="H1351">
        <v>0</v>
      </c>
    </row>
    <row r="1352" spans="8:8" x14ac:dyDescent="0.2">
      <c r="H1352">
        <v>0</v>
      </c>
    </row>
    <row r="1353" spans="8:8" x14ac:dyDescent="0.2">
      <c r="H1353">
        <v>0</v>
      </c>
    </row>
    <row r="1354" spans="8:8" x14ac:dyDescent="0.2">
      <c r="H1354">
        <v>0</v>
      </c>
    </row>
    <row r="1355" spans="8:8" x14ac:dyDescent="0.2">
      <c r="H1355">
        <v>0</v>
      </c>
    </row>
    <row r="1356" spans="8:8" x14ac:dyDescent="0.2">
      <c r="H1356">
        <v>0</v>
      </c>
    </row>
    <row r="1357" spans="8:8" x14ac:dyDescent="0.2">
      <c r="H1357">
        <v>0</v>
      </c>
    </row>
    <row r="1358" spans="8:8" x14ac:dyDescent="0.2">
      <c r="H1358">
        <v>0</v>
      </c>
    </row>
    <row r="1359" spans="8:8" x14ac:dyDescent="0.2">
      <c r="H1359">
        <v>0</v>
      </c>
    </row>
    <row r="1360" spans="8:8" x14ac:dyDescent="0.2">
      <c r="H1360">
        <v>0</v>
      </c>
    </row>
    <row r="1361" spans="8:8" x14ac:dyDescent="0.2">
      <c r="H1361">
        <v>0</v>
      </c>
    </row>
    <row r="1362" spans="8:8" x14ac:dyDescent="0.2">
      <c r="H1362">
        <v>0</v>
      </c>
    </row>
    <row r="1363" spans="8:8" x14ac:dyDescent="0.2">
      <c r="H1363">
        <v>0</v>
      </c>
    </row>
    <row r="1364" spans="8:8" x14ac:dyDescent="0.2">
      <c r="H1364">
        <v>0</v>
      </c>
    </row>
    <row r="1365" spans="8:8" x14ac:dyDescent="0.2">
      <c r="H1365">
        <v>0</v>
      </c>
    </row>
    <row r="1366" spans="8:8" x14ac:dyDescent="0.2">
      <c r="H1366">
        <v>0</v>
      </c>
    </row>
    <row r="1367" spans="8:8" x14ac:dyDescent="0.2">
      <c r="H1367">
        <v>0</v>
      </c>
    </row>
    <row r="1368" spans="8:8" x14ac:dyDescent="0.2">
      <c r="H1368">
        <v>0</v>
      </c>
    </row>
    <row r="1369" spans="8:8" x14ac:dyDescent="0.2">
      <c r="H1369">
        <v>0</v>
      </c>
    </row>
    <row r="1370" spans="8:8" x14ac:dyDescent="0.2">
      <c r="H1370">
        <v>0</v>
      </c>
    </row>
    <row r="1371" spans="8:8" x14ac:dyDescent="0.2">
      <c r="H1371">
        <v>0</v>
      </c>
    </row>
    <row r="1372" spans="8:8" x14ac:dyDescent="0.2">
      <c r="H1372">
        <v>0</v>
      </c>
    </row>
    <row r="1373" spans="8:8" x14ac:dyDescent="0.2">
      <c r="H1373">
        <v>0</v>
      </c>
    </row>
    <row r="1374" spans="8:8" x14ac:dyDescent="0.2">
      <c r="H1374">
        <v>0</v>
      </c>
    </row>
    <row r="1375" spans="8:8" x14ac:dyDescent="0.2">
      <c r="H1375">
        <v>0</v>
      </c>
    </row>
    <row r="1376" spans="8:8" x14ac:dyDescent="0.2">
      <c r="H1376">
        <v>0</v>
      </c>
    </row>
    <row r="1377" spans="8:8" x14ac:dyDescent="0.2">
      <c r="H1377">
        <v>0</v>
      </c>
    </row>
    <row r="1378" spans="8:8" x14ac:dyDescent="0.2">
      <c r="H1378">
        <v>0</v>
      </c>
    </row>
    <row r="1379" spans="8:8" x14ac:dyDescent="0.2">
      <c r="H1379">
        <v>0</v>
      </c>
    </row>
    <row r="1380" spans="8:8" x14ac:dyDescent="0.2">
      <c r="H1380">
        <v>0</v>
      </c>
    </row>
    <row r="1381" spans="8:8" x14ac:dyDescent="0.2">
      <c r="H1381">
        <v>0</v>
      </c>
    </row>
    <row r="1382" spans="8:8" x14ac:dyDescent="0.2">
      <c r="H1382">
        <v>0</v>
      </c>
    </row>
    <row r="1383" spans="8:8" x14ac:dyDescent="0.2">
      <c r="H1383">
        <v>0</v>
      </c>
    </row>
    <row r="1384" spans="8:8" x14ac:dyDescent="0.2">
      <c r="H1384">
        <v>0</v>
      </c>
    </row>
    <row r="1385" spans="8:8" x14ac:dyDescent="0.2">
      <c r="H1385">
        <v>0</v>
      </c>
    </row>
    <row r="1386" spans="8:8" x14ac:dyDescent="0.2">
      <c r="H1386">
        <v>0</v>
      </c>
    </row>
    <row r="1387" spans="8:8" x14ac:dyDescent="0.2">
      <c r="H1387">
        <v>0</v>
      </c>
    </row>
    <row r="1388" spans="8:8" x14ac:dyDescent="0.2">
      <c r="H1388">
        <v>0</v>
      </c>
    </row>
    <row r="1389" spans="8:8" x14ac:dyDescent="0.2">
      <c r="H1389">
        <v>0</v>
      </c>
    </row>
    <row r="1390" spans="8:8" x14ac:dyDescent="0.2">
      <c r="H1390">
        <v>0</v>
      </c>
    </row>
    <row r="1391" spans="8:8" x14ac:dyDescent="0.2">
      <c r="H1391">
        <v>0</v>
      </c>
    </row>
    <row r="1392" spans="8:8" x14ac:dyDescent="0.2">
      <c r="H1392">
        <v>0</v>
      </c>
    </row>
    <row r="1393" spans="8:8" x14ac:dyDescent="0.2">
      <c r="H1393">
        <v>0</v>
      </c>
    </row>
    <row r="1394" spans="8:8" x14ac:dyDescent="0.2">
      <c r="H1394">
        <v>0</v>
      </c>
    </row>
    <row r="1395" spans="8:8" x14ac:dyDescent="0.2">
      <c r="H1395">
        <v>0</v>
      </c>
    </row>
    <row r="1396" spans="8:8" x14ac:dyDescent="0.2">
      <c r="H1396">
        <v>0</v>
      </c>
    </row>
    <row r="1397" spans="8:8" x14ac:dyDescent="0.2">
      <c r="H1397">
        <v>0</v>
      </c>
    </row>
    <row r="1398" spans="8:8" x14ac:dyDescent="0.2">
      <c r="H1398">
        <v>0</v>
      </c>
    </row>
    <row r="1399" spans="8:8" x14ac:dyDescent="0.2">
      <c r="H1399">
        <v>0</v>
      </c>
    </row>
    <row r="1400" spans="8:8" x14ac:dyDescent="0.2">
      <c r="H1400">
        <v>0</v>
      </c>
    </row>
    <row r="1401" spans="8:8" x14ac:dyDescent="0.2">
      <c r="H1401">
        <v>0</v>
      </c>
    </row>
    <row r="1402" spans="8:8" x14ac:dyDescent="0.2">
      <c r="H1402">
        <v>0</v>
      </c>
    </row>
    <row r="1403" spans="8:8" x14ac:dyDescent="0.2">
      <c r="H1403">
        <v>0</v>
      </c>
    </row>
    <row r="1404" spans="8:8" x14ac:dyDescent="0.2">
      <c r="H1404">
        <v>0</v>
      </c>
    </row>
    <row r="1405" spans="8:8" x14ac:dyDescent="0.2">
      <c r="H1405">
        <v>0</v>
      </c>
    </row>
    <row r="1406" spans="8:8" x14ac:dyDescent="0.2">
      <c r="H1406">
        <v>0</v>
      </c>
    </row>
    <row r="1407" spans="8:8" x14ac:dyDescent="0.2">
      <c r="H1407">
        <v>0</v>
      </c>
    </row>
    <row r="1408" spans="8:8" x14ac:dyDescent="0.2">
      <c r="H1408">
        <v>0</v>
      </c>
    </row>
    <row r="1409" spans="8:8" x14ac:dyDescent="0.2">
      <c r="H1409">
        <v>0</v>
      </c>
    </row>
    <row r="1410" spans="8:8" x14ac:dyDescent="0.2">
      <c r="H1410">
        <v>0</v>
      </c>
    </row>
    <row r="1411" spans="8:8" x14ac:dyDescent="0.2">
      <c r="H1411">
        <v>0</v>
      </c>
    </row>
    <row r="1412" spans="8:8" x14ac:dyDescent="0.2">
      <c r="H1412">
        <v>0</v>
      </c>
    </row>
    <row r="1413" spans="8:8" x14ac:dyDescent="0.2">
      <c r="H1413">
        <v>0</v>
      </c>
    </row>
    <row r="1414" spans="8:8" x14ac:dyDescent="0.2">
      <c r="H1414">
        <v>0</v>
      </c>
    </row>
    <row r="1415" spans="8:8" x14ac:dyDescent="0.2">
      <c r="H1415">
        <v>0</v>
      </c>
    </row>
    <row r="1416" spans="8:8" x14ac:dyDescent="0.2">
      <c r="H1416">
        <v>0</v>
      </c>
    </row>
    <row r="1417" spans="8:8" x14ac:dyDescent="0.2">
      <c r="H1417">
        <v>0</v>
      </c>
    </row>
    <row r="1418" spans="8:8" x14ac:dyDescent="0.2">
      <c r="H1418">
        <v>0</v>
      </c>
    </row>
    <row r="1419" spans="8:8" x14ac:dyDescent="0.2">
      <c r="H1419">
        <v>0</v>
      </c>
    </row>
    <row r="1420" spans="8:8" x14ac:dyDescent="0.2">
      <c r="H1420">
        <v>0</v>
      </c>
    </row>
    <row r="1421" spans="8:8" x14ac:dyDescent="0.2">
      <c r="H1421">
        <v>0</v>
      </c>
    </row>
    <row r="1422" spans="8:8" x14ac:dyDescent="0.2">
      <c r="H1422">
        <v>0</v>
      </c>
    </row>
    <row r="1423" spans="8:8" x14ac:dyDescent="0.2">
      <c r="H1423">
        <v>0</v>
      </c>
    </row>
    <row r="1424" spans="8:8" x14ac:dyDescent="0.2">
      <c r="H1424">
        <v>0</v>
      </c>
    </row>
    <row r="1425" spans="8:8" x14ac:dyDescent="0.2">
      <c r="H1425">
        <v>0</v>
      </c>
    </row>
    <row r="1426" spans="8:8" x14ac:dyDescent="0.2">
      <c r="H1426">
        <v>0</v>
      </c>
    </row>
    <row r="1427" spans="8:8" x14ac:dyDescent="0.2">
      <c r="H1427">
        <v>0</v>
      </c>
    </row>
    <row r="1428" spans="8:8" x14ac:dyDescent="0.2">
      <c r="H1428">
        <v>0</v>
      </c>
    </row>
    <row r="1429" spans="8:8" x14ac:dyDescent="0.2">
      <c r="H1429">
        <v>0</v>
      </c>
    </row>
    <row r="1430" spans="8:8" x14ac:dyDescent="0.2">
      <c r="H1430">
        <v>0</v>
      </c>
    </row>
    <row r="1431" spans="8:8" x14ac:dyDescent="0.2">
      <c r="H1431">
        <v>0</v>
      </c>
    </row>
    <row r="1432" spans="8:8" x14ac:dyDescent="0.2">
      <c r="H1432">
        <v>0</v>
      </c>
    </row>
    <row r="1433" spans="8:8" x14ac:dyDescent="0.2">
      <c r="H1433">
        <v>0</v>
      </c>
    </row>
    <row r="1434" spans="8:8" x14ac:dyDescent="0.2">
      <c r="H1434">
        <v>0</v>
      </c>
    </row>
    <row r="1435" spans="8:8" x14ac:dyDescent="0.2">
      <c r="H1435">
        <v>0</v>
      </c>
    </row>
    <row r="1436" spans="8:8" x14ac:dyDescent="0.2">
      <c r="H1436">
        <v>0</v>
      </c>
    </row>
    <row r="1437" spans="8:8" x14ac:dyDescent="0.2">
      <c r="H1437">
        <v>0</v>
      </c>
    </row>
    <row r="1438" spans="8:8" x14ac:dyDescent="0.2">
      <c r="H1438">
        <v>0</v>
      </c>
    </row>
    <row r="1439" spans="8:8" x14ac:dyDescent="0.2">
      <c r="H1439">
        <v>0</v>
      </c>
    </row>
    <row r="1440" spans="8:8" x14ac:dyDescent="0.2">
      <c r="H1440">
        <v>0</v>
      </c>
    </row>
    <row r="1441" spans="8:8" x14ac:dyDescent="0.2">
      <c r="H1441">
        <v>0</v>
      </c>
    </row>
    <row r="1442" spans="8:8" x14ac:dyDescent="0.2">
      <c r="H1442">
        <v>0</v>
      </c>
    </row>
    <row r="1443" spans="8:8" x14ac:dyDescent="0.2">
      <c r="H1443">
        <v>0</v>
      </c>
    </row>
    <row r="1444" spans="8:8" x14ac:dyDescent="0.2">
      <c r="H1444">
        <v>0</v>
      </c>
    </row>
    <row r="1445" spans="8:8" x14ac:dyDescent="0.2">
      <c r="H1445">
        <v>0</v>
      </c>
    </row>
    <row r="1446" spans="8:8" x14ac:dyDescent="0.2">
      <c r="H1446">
        <v>0</v>
      </c>
    </row>
    <row r="1447" spans="8:8" x14ac:dyDescent="0.2">
      <c r="H1447">
        <v>0</v>
      </c>
    </row>
    <row r="1448" spans="8:8" x14ac:dyDescent="0.2">
      <c r="H1448">
        <v>0</v>
      </c>
    </row>
    <row r="1449" spans="8:8" x14ac:dyDescent="0.2">
      <c r="H1449">
        <v>0</v>
      </c>
    </row>
    <row r="1450" spans="8:8" x14ac:dyDescent="0.2">
      <c r="H1450">
        <v>0</v>
      </c>
    </row>
    <row r="1451" spans="8:8" x14ac:dyDescent="0.2">
      <c r="H1451">
        <v>0</v>
      </c>
    </row>
    <row r="1452" spans="8:8" x14ac:dyDescent="0.2">
      <c r="H1452">
        <v>0</v>
      </c>
    </row>
    <row r="1453" spans="8:8" x14ac:dyDescent="0.2">
      <c r="H1453">
        <v>0</v>
      </c>
    </row>
    <row r="1454" spans="8:8" x14ac:dyDescent="0.2">
      <c r="H1454">
        <v>0</v>
      </c>
    </row>
    <row r="1455" spans="8:8" x14ac:dyDescent="0.2">
      <c r="H1455">
        <v>0</v>
      </c>
    </row>
    <row r="1456" spans="8:8" x14ac:dyDescent="0.2">
      <c r="H1456">
        <v>0</v>
      </c>
    </row>
    <row r="1457" spans="8:8" x14ac:dyDescent="0.2">
      <c r="H1457">
        <v>0</v>
      </c>
    </row>
    <row r="1458" spans="8:8" x14ac:dyDescent="0.2">
      <c r="H1458">
        <v>0</v>
      </c>
    </row>
    <row r="1459" spans="8:8" x14ac:dyDescent="0.2">
      <c r="H1459">
        <v>0</v>
      </c>
    </row>
    <row r="1460" spans="8:8" x14ac:dyDescent="0.2">
      <c r="H1460">
        <v>0</v>
      </c>
    </row>
    <row r="1461" spans="8:8" x14ac:dyDescent="0.2">
      <c r="H1461">
        <v>0</v>
      </c>
    </row>
    <row r="1462" spans="8:8" x14ac:dyDescent="0.2">
      <c r="H1462">
        <v>0</v>
      </c>
    </row>
    <row r="1463" spans="8:8" x14ac:dyDescent="0.2">
      <c r="H1463">
        <v>0</v>
      </c>
    </row>
    <row r="1464" spans="8:8" x14ac:dyDescent="0.2">
      <c r="H1464">
        <v>0</v>
      </c>
    </row>
    <row r="1465" spans="8:8" x14ac:dyDescent="0.2">
      <c r="H1465">
        <v>0</v>
      </c>
    </row>
    <row r="1466" spans="8:8" x14ac:dyDescent="0.2">
      <c r="H1466">
        <v>0</v>
      </c>
    </row>
    <row r="1467" spans="8:8" x14ac:dyDescent="0.2">
      <c r="H1467">
        <v>0</v>
      </c>
    </row>
    <row r="1468" spans="8:8" x14ac:dyDescent="0.2">
      <c r="H1468">
        <v>0</v>
      </c>
    </row>
    <row r="1469" spans="8:8" x14ac:dyDescent="0.2">
      <c r="H1469">
        <v>0</v>
      </c>
    </row>
    <row r="1470" spans="8:8" x14ac:dyDescent="0.2">
      <c r="H1470">
        <v>0</v>
      </c>
    </row>
    <row r="1471" spans="8:8" x14ac:dyDescent="0.2">
      <c r="H1471">
        <v>0</v>
      </c>
    </row>
    <row r="1472" spans="8:8" x14ac:dyDescent="0.2">
      <c r="H1472">
        <v>0</v>
      </c>
    </row>
    <row r="1473" spans="8:8" x14ac:dyDescent="0.2">
      <c r="H1473">
        <v>0</v>
      </c>
    </row>
    <row r="1474" spans="8:8" x14ac:dyDescent="0.2">
      <c r="H1474">
        <v>0</v>
      </c>
    </row>
    <row r="1475" spans="8:8" x14ac:dyDescent="0.2">
      <c r="H1475">
        <v>0</v>
      </c>
    </row>
    <row r="1476" spans="8:8" x14ac:dyDescent="0.2">
      <c r="H1476">
        <v>0</v>
      </c>
    </row>
    <row r="1477" spans="8:8" x14ac:dyDescent="0.2">
      <c r="H1477">
        <v>0</v>
      </c>
    </row>
    <row r="1478" spans="8:8" x14ac:dyDescent="0.2">
      <c r="H1478">
        <v>0</v>
      </c>
    </row>
    <row r="1479" spans="8:8" x14ac:dyDescent="0.2">
      <c r="H1479">
        <v>0</v>
      </c>
    </row>
    <row r="1480" spans="8:8" x14ac:dyDescent="0.2">
      <c r="H1480">
        <v>0</v>
      </c>
    </row>
    <row r="1481" spans="8:8" x14ac:dyDescent="0.2">
      <c r="H1481">
        <v>0</v>
      </c>
    </row>
    <row r="1482" spans="8:8" x14ac:dyDescent="0.2">
      <c r="H1482">
        <v>0</v>
      </c>
    </row>
    <row r="1483" spans="8:8" x14ac:dyDescent="0.2">
      <c r="H1483">
        <v>0</v>
      </c>
    </row>
    <row r="1484" spans="8:8" x14ac:dyDescent="0.2">
      <c r="H1484">
        <v>0</v>
      </c>
    </row>
    <row r="1485" spans="8:8" x14ac:dyDescent="0.2">
      <c r="H1485">
        <v>0</v>
      </c>
    </row>
    <row r="1486" spans="8:8" x14ac:dyDescent="0.2">
      <c r="H1486">
        <v>0</v>
      </c>
    </row>
    <row r="1487" spans="8:8" x14ac:dyDescent="0.2">
      <c r="H1487">
        <v>0</v>
      </c>
    </row>
    <row r="1488" spans="8:8" x14ac:dyDescent="0.2">
      <c r="H1488">
        <v>0</v>
      </c>
    </row>
    <row r="1489" spans="8:8" x14ac:dyDescent="0.2">
      <c r="H1489">
        <v>0</v>
      </c>
    </row>
    <row r="1490" spans="8:8" x14ac:dyDescent="0.2">
      <c r="H1490">
        <v>0</v>
      </c>
    </row>
    <row r="1491" spans="8:8" x14ac:dyDescent="0.2">
      <c r="H1491">
        <v>0</v>
      </c>
    </row>
    <row r="1492" spans="8:8" x14ac:dyDescent="0.2">
      <c r="H1492">
        <v>0</v>
      </c>
    </row>
    <row r="1493" spans="8:8" x14ac:dyDescent="0.2">
      <c r="H1493">
        <v>0</v>
      </c>
    </row>
    <row r="1494" spans="8:8" x14ac:dyDescent="0.2">
      <c r="H1494">
        <v>0</v>
      </c>
    </row>
    <row r="1495" spans="8:8" x14ac:dyDescent="0.2">
      <c r="H1495">
        <v>0</v>
      </c>
    </row>
    <row r="1496" spans="8:8" x14ac:dyDescent="0.2">
      <c r="H1496">
        <v>0</v>
      </c>
    </row>
    <row r="1497" spans="8:8" x14ac:dyDescent="0.2">
      <c r="H1497">
        <v>0</v>
      </c>
    </row>
    <row r="1498" spans="8:8" x14ac:dyDescent="0.2">
      <c r="H1498">
        <v>0</v>
      </c>
    </row>
    <row r="1499" spans="8:8" x14ac:dyDescent="0.2">
      <c r="H1499">
        <v>0</v>
      </c>
    </row>
    <row r="1500" spans="8:8" x14ac:dyDescent="0.2">
      <c r="H1500">
        <v>0</v>
      </c>
    </row>
    <row r="1501" spans="8:8" x14ac:dyDescent="0.2">
      <c r="H1501">
        <v>0</v>
      </c>
    </row>
    <row r="1502" spans="8:8" x14ac:dyDescent="0.2">
      <c r="H1502">
        <v>0</v>
      </c>
    </row>
    <row r="1503" spans="8:8" x14ac:dyDescent="0.2">
      <c r="H1503">
        <v>0</v>
      </c>
    </row>
    <row r="1504" spans="8:8" x14ac:dyDescent="0.2">
      <c r="H1504">
        <v>0</v>
      </c>
    </row>
    <row r="1505" spans="8:8" x14ac:dyDescent="0.2">
      <c r="H1505">
        <v>0</v>
      </c>
    </row>
    <row r="1506" spans="8:8" x14ac:dyDescent="0.2">
      <c r="H1506">
        <v>0</v>
      </c>
    </row>
    <row r="1507" spans="8:8" x14ac:dyDescent="0.2">
      <c r="H1507">
        <v>0</v>
      </c>
    </row>
    <row r="1508" spans="8:8" x14ac:dyDescent="0.2">
      <c r="H1508">
        <v>0</v>
      </c>
    </row>
    <row r="1509" spans="8:8" x14ac:dyDescent="0.2">
      <c r="H1509">
        <v>0</v>
      </c>
    </row>
    <row r="1510" spans="8:8" x14ac:dyDescent="0.2">
      <c r="H1510">
        <v>0</v>
      </c>
    </row>
    <row r="1511" spans="8:8" x14ac:dyDescent="0.2">
      <c r="H1511">
        <v>0</v>
      </c>
    </row>
    <row r="1512" spans="8:8" x14ac:dyDescent="0.2">
      <c r="H1512">
        <v>0</v>
      </c>
    </row>
    <row r="1513" spans="8:8" x14ac:dyDescent="0.2">
      <c r="H1513">
        <v>0</v>
      </c>
    </row>
    <row r="1514" spans="8:8" x14ac:dyDescent="0.2">
      <c r="H1514">
        <v>0</v>
      </c>
    </row>
    <row r="1515" spans="8:8" x14ac:dyDescent="0.2">
      <c r="H1515">
        <v>0</v>
      </c>
    </row>
    <row r="1516" spans="8:8" x14ac:dyDescent="0.2">
      <c r="H1516">
        <v>0</v>
      </c>
    </row>
    <row r="1517" spans="8:8" x14ac:dyDescent="0.2">
      <c r="H1517">
        <v>0</v>
      </c>
    </row>
    <row r="1518" spans="8:8" x14ac:dyDescent="0.2">
      <c r="H1518">
        <v>0</v>
      </c>
    </row>
    <row r="1519" spans="8:8" x14ac:dyDescent="0.2">
      <c r="H1519">
        <v>0</v>
      </c>
    </row>
    <row r="1520" spans="8:8" x14ac:dyDescent="0.2">
      <c r="H1520">
        <v>0</v>
      </c>
    </row>
    <row r="1521" spans="8:8" x14ac:dyDescent="0.2">
      <c r="H1521">
        <v>0</v>
      </c>
    </row>
    <row r="1522" spans="8:8" x14ac:dyDescent="0.2">
      <c r="H1522">
        <v>0</v>
      </c>
    </row>
    <row r="1523" spans="8:8" x14ac:dyDescent="0.2">
      <c r="H1523">
        <v>0</v>
      </c>
    </row>
    <row r="1524" spans="8:8" x14ac:dyDescent="0.2">
      <c r="H1524">
        <v>0</v>
      </c>
    </row>
    <row r="1525" spans="8:8" x14ac:dyDescent="0.2">
      <c r="H1525">
        <v>0</v>
      </c>
    </row>
    <row r="1526" spans="8:8" x14ac:dyDescent="0.2">
      <c r="H1526">
        <v>0</v>
      </c>
    </row>
    <row r="1527" spans="8:8" x14ac:dyDescent="0.2">
      <c r="H1527">
        <v>0</v>
      </c>
    </row>
    <row r="1528" spans="8:8" x14ac:dyDescent="0.2">
      <c r="H1528">
        <v>0</v>
      </c>
    </row>
    <row r="1529" spans="8:8" x14ac:dyDescent="0.2">
      <c r="H1529">
        <v>0</v>
      </c>
    </row>
    <row r="1530" spans="8:8" x14ac:dyDescent="0.2">
      <c r="H1530">
        <v>0</v>
      </c>
    </row>
    <row r="1531" spans="8:8" x14ac:dyDescent="0.2">
      <c r="H1531">
        <v>0</v>
      </c>
    </row>
    <row r="1532" spans="8:8" x14ac:dyDescent="0.2">
      <c r="H1532">
        <v>0</v>
      </c>
    </row>
    <row r="1533" spans="8:8" x14ac:dyDescent="0.2">
      <c r="H1533">
        <v>0</v>
      </c>
    </row>
    <row r="1534" spans="8:8" x14ac:dyDescent="0.2">
      <c r="H1534">
        <v>0</v>
      </c>
    </row>
    <row r="1535" spans="8:8" x14ac:dyDescent="0.2">
      <c r="H1535">
        <v>0</v>
      </c>
    </row>
    <row r="1536" spans="8:8" x14ac:dyDescent="0.2">
      <c r="H1536">
        <v>0</v>
      </c>
    </row>
    <row r="1537" spans="8:8" x14ac:dyDescent="0.2">
      <c r="H1537">
        <v>0</v>
      </c>
    </row>
    <row r="1538" spans="8:8" x14ac:dyDescent="0.2">
      <c r="H1538">
        <v>0</v>
      </c>
    </row>
    <row r="1539" spans="8:8" x14ac:dyDescent="0.2">
      <c r="H1539">
        <v>0</v>
      </c>
    </row>
    <row r="1540" spans="8:8" x14ac:dyDescent="0.2">
      <c r="H1540">
        <v>0</v>
      </c>
    </row>
    <row r="1541" spans="8:8" x14ac:dyDescent="0.2">
      <c r="H1541">
        <v>0</v>
      </c>
    </row>
    <row r="1542" spans="8:8" x14ac:dyDescent="0.2">
      <c r="H1542">
        <v>0</v>
      </c>
    </row>
    <row r="1543" spans="8:8" x14ac:dyDescent="0.2">
      <c r="H1543">
        <v>0</v>
      </c>
    </row>
    <row r="1544" spans="8:8" x14ac:dyDescent="0.2">
      <c r="H1544">
        <v>0</v>
      </c>
    </row>
    <row r="1545" spans="8:8" x14ac:dyDescent="0.2">
      <c r="H1545">
        <v>0</v>
      </c>
    </row>
    <row r="1546" spans="8:8" x14ac:dyDescent="0.2">
      <c r="H1546">
        <v>0</v>
      </c>
    </row>
    <row r="1547" spans="8:8" x14ac:dyDescent="0.2">
      <c r="H1547">
        <v>0</v>
      </c>
    </row>
    <row r="1548" spans="8:8" x14ac:dyDescent="0.2">
      <c r="H1548">
        <v>0</v>
      </c>
    </row>
    <row r="1549" spans="8:8" x14ac:dyDescent="0.2">
      <c r="H1549">
        <v>0</v>
      </c>
    </row>
    <row r="1550" spans="8:8" x14ac:dyDescent="0.2">
      <c r="H1550">
        <v>0</v>
      </c>
    </row>
    <row r="1551" spans="8:8" x14ac:dyDescent="0.2">
      <c r="H1551">
        <v>0</v>
      </c>
    </row>
    <row r="1552" spans="8:8" x14ac:dyDescent="0.2">
      <c r="H1552">
        <v>0</v>
      </c>
    </row>
    <row r="1553" spans="8:8" x14ac:dyDescent="0.2">
      <c r="H1553">
        <v>0</v>
      </c>
    </row>
    <row r="1554" spans="8:8" x14ac:dyDescent="0.2">
      <c r="H1554">
        <v>0</v>
      </c>
    </row>
    <row r="1555" spans="8:8" x14ac:dyDescent="0.2">
      <c r="H1555">
        <v>0</v>
      </c>
    </row>
    <row r="1556" spans="8:8" x14ac:dyDescent="0.2">
      <c r="H1556">
        <v>0</v>
      </c>
    </row>
    <row r="1557" spans="8:8" x14ac:dyDescent="0.2">
      <c r="H1557">
        <v>0</v>
      </c>
    </row>
    <row r="1558" spans="8:8" x14ac:dyDescent="0.2">
      <c r="H1558">
        <v>0</v>
      </c>
    </row>
    <row r="1559" spans="8:8" x14ac:dyDescent="0.2">
      <c r="H1559">
        <v>0</v>
      </c>
    </row>
    <row r="1560" spans="8:8" x14ac:dyDescent="0.2">
      <c r="H1560">
        <v>0</v>
      </c>
    </row>
    <row r="1561" spans="8:8" x14ac:dyDescent="0.2">
      <c r="H1561">
        <v>0</v>
      </c>
    </row>
    <row r="1562" spans="8:8" x14ac:dyDescent="0.2">
      <c r="H1562">
        <v>0</v>
      </c>
    </row>
    <row r="1563" spans="8:8" x14ac:dyDescent="0.2">
      <c r="H1563">
        <v>0</v>
      </c>
    </row>
    <row r="1564" spans="8:8" x14ac:dyDescent="0.2">
      <c r="H1564">
        <v>0</v>
      </c>
    </row>
    <row r="1565" spans="8:8" x14ac:dyDescent="0.2">
      <c r="H1565">
        <v>0</v>
      </c>
    </row>
    <row r="1566" spans="8:8" x14ac:dyDescent="0.2">
      <c r="H1566">
        <v>0</v>
      </c>
    </row>
    <row r="1567" spans="8:8" x14ac:dyDescent="0.2">
      <c r="H1567">
        <v>0</v>
      </c>
    </row>
    <row r="1568" spans="8:8" x14ac:dyDescent="0.2">
      <c r="H1568">
        <v>0</v>
      </c>
    </row>
    <row r="1569" spans="8:8" x14ac:dyDescent="0.2">
      <c r="H1569">
        <v>0</v>
      </c>
    </row>
    <row r="1570" spans="8:8" x14ac:dyDescent="0.2">
      <c r="H1570">
        <v>0</v>
      </c>
    </row>
    <row r="1571" spans="8:8" x14ac:dyDescent="0.2">
      <c r="H1571">
        <v>0</v>
      </c>
    </row>
    <row r="1572" spans="8:8" x14ac:dyDescent="0.2">
      <c r="H1572">
        <v>0</v>
      </c>
    </row>
    <row r="1573" spans="8:8" x14ac:dyDescent="0.2">
      <c r="H1573">
        <v>0</v>
      </c>
    </row>
    <row r="1574" spans="8:8" x14ac:dyDescent="0.2">
      <c r="H1574">
        <v>0</v>
      </c>
    </row>
    <row r="1575" spans="8:8" x14ac:dyDescent="0.2">
      <c r="H1575">
        <v>0</v>
      </c>
    </row>
    <row r="1576" spans="8:8" x14ac:dyDescent="0.2">
      <c r="H1576">
        <v>0</v>
      </c>
    </row>
    <row r="1577" spans="8:8" x14ac:dyDescent="0.2">
      <c r="H1577">
        <v>0</v>
      </c>
    </row>
    <row r="1578" spans="8:8" x14ac:dyDescent="0.2">
      <c r="H1578">
        <v>0</v>
      </c>
    </row>
    <row r="1579" spans="8:8" x14ac:dyDescent="0.2">
      <c r="H1579">
        <v>0</v>
      </c>
    </row>
    <row r="1580" spans="8:8" x14ac:dyDescent="0.2">
      <c r="H1580">
        <v>0</v>
      </c>
    </row>
    <row r="1581" spans="8:8" x14ac:dyDescent="0.2">
      <c r="H1581">
        <v>0</v>
      </c>
    </row>
    <row r="1582" spans="8:8" x14ac:dyDescent="0.2">
      <c r="H1582">
        <v>0</v>
      </c>
    </row>
    <row r="1583" spans="8:8" x14ac:dyDescent="0.2">
      <c r="H1583">
        <v>0</v>
      </c>
    </row>
    <row r="1584" spans="8:8" x14ac:dyDescent="0.2">
      <c r="H1584">
        <v>0</v>
      </c>
    </row>
    <row r="1585" spans="8:8" x14ac:dyDescent="0.2">
      <c r="H1585">
        <v>0</v>
      </c>
    </row>
    <row r="1586" spans="8:8" x14ac:dyDescent="0.2">
      <c r="H1586">
        <v>0</v>
      </c>
    </row>
    <row r="1587" spans="8:8" x14ac:dyDescent="0.2">
      <c r="H1587">
        <v>0</v>
      </c>
    </row>
    <row r="1588" spans="8:8" x14ac:dyDescent="0.2">
      <c r="H1588">
        <v>0</v>
      </c>
    </row>
    <row r="1589" spans="8:8" x14ac:dyDescent="0.2">
      <c r="H1589">
        <v>0</v>
      </c>
    </row>
    <row r="1590" spans="8:8" x14ac:dyDescent="0.2">
      <c r="H1590">
        <v>0</v>
      </c>
    </row>
    <row r="1591" spans="8:8" x14ac:dyDescent="0.2">
      <c r="H1591">
        <v>0</v>
      </c>
    </row>
    <row r="1592" spans="8:8" x14ac:dyDescent="0.2">
      <c r="H1592">
        <v>0</v>
      </c>
    </row>
    <row r="1593" spans="8:8" x14ac:dyDescent="0.2">
      <c r="H1593">
        <v>0</v>
      </c>
    </row>
    <row r="1594" spans="8:8" x14ac:dyDescent="0.2">
      <c r="H1594">
        <v>0</v>
      </c>
    </row>
    <row r="1595" spans="8:8" x14ac:dyDescent="0.2">
      <c r="H1595">
        <v>0</v>
      </c>
    </row>
    <row r="1596" spans="8:8" x14ac:dyDescent="0.2">
      <c r="H1596">
        <v>0</v>
      </c>
    </row>
    <row r="1597" spans="8:8" x14ac:dyDescent="0.2">
      <c r="H1597">
        <v>0</v>
      </c>
    </row>
    <row r="1598" spans="8:8" x14ac:dyDescent="0.2">
      <c r="H1598">
        <v>0</v>
      </c>
    </row>
    <row r="1599" spans="8:8" x14ac:dyDescent="0.2">
      <c r="H1599">
        <v>0</v>
      </c>
    </row>
    <row r="1600" spans="8:8" x14ac:dyDescent="0.2">
      <c r="H1600">
        <v>0</v>
      </c>
    </row>
    <row r="1601" spans="8:8" x14ac:dyDescent="0.2">
      <c r="H1601">
        <v>0</v>
      </c>
    </row>
    <row r="1602" spans="8:8" x14ac:dyDescent="0.2">
      <c r="H1602">
        <v>0</v>
      </c>
    </row>
    <row r="1603" spans="8:8" x14ac:dyDescent="0.2">
      <c r="H1603">
        <v>0</v>
      </c>
    </row>
    <row r="1604" spans="8:8" x14ac:dyDescent="0.2">
      <c r="H1604">
        <v>0</v>
      </c>
    </row>
    <row r="1605" spans="8:8" x14ac:dyDescent="0.2">
      <c r="H1605">
        <v>0</v>
      </c>
    </row>
    <row r="1606" spans="8:8" x14ac:dyDescent="0.2">
      <c r="H1606">
        <v>0</v>
      </c>
    </row>
    <row r="1607" spans="8:8" x14ac:dyDescent="0.2">
      <c r="H1607">
        <v>0</v>
      </c>
    </row>
    <row r="1608" spans="8:8" x14ac:dyDescent="0.2">
      <c r="H1608">
        <v>0</v>
      </c>
    </row>
    <row r="1609" spans="8:8" x14ac:dyDescent="0.2">
      <c r="H1609">
        <v>0</v>
      </c>
    </row>
    <row r="1610" spans="8:8" x14ac:dyDescent="0.2">
      <c r="H1610">
        <v>0</v>
      </c>
    </row>
    <row r="1611" spans="8:8" x14ac:dyDescent="0.2">
      <c r="H1611">
        <v>0</v>
      </c>
    </row>
    <row r="1612" spans="8:8" x14ac:dyDescent="0.2">
      <c r="H1612">
        <v>0</v>
      </c>
    </row>
    <row r="1613" spans="8:8" x14ac:dyDescent="0.2">
      <c r="H1613">
        <v>0</v>
      </c>
    </row>
    <row r="1614" spans="8:8" x14ac:dyDescent="0.2">
      <c r="H1614">
        <v>0</v>
      </c>
    </row>
    <row r="1615" spans="8:8" x14ac:dyDescent="0.2">
      <c r="H1615">
        <v>0</v>
      </c>
    </row>
    <row r="1616" spans="8:8" x14ac:dyDescent="0.2">
      <c r="H1616">
        <v>0</v>
      </c>
    </row>
    <row r="1617" spans="8:8" x14ac:dyDescent="0.2">
      <c r="H1617">
        <v>0</v>
      </c>
    </row>
    <row r="1618" spans="8:8" x14ac:dyDescent="0.2">
      <c r="H1618">
        <v>0</v>
      </c>
    </row>
    <row r="1619" spans="8:8" x14ac:dyDescent="0.2">
      <c r="H1619">
        <v>0</v>
      </c>
    </row>
    <row r="1620" spans="8:8" x14ac:dyDescent="0.2">
      <c r="H1620">
        <v>0</v>
      </c>
    </row>
    <row r="1621" spans="8:8" x14ac:dyDescent="0.2">
      <c r="H1621">
        <v>0</v>
      </c>
    </row>
    <row r="1622" spans="8:8" x14ac:dyDescent="0.2">
      <c r="H1622">
        <v>0</v>
      </c>
    </row>
    <row r="1623" spans="8:8" x14ac:dyDescent="0.2">
      <c r="H1623">
        <v>0</v>
      </c>
    </row>
    <row r="1624" spans="8:8" x14ac:dyDescent="0.2">
      <c r="H1624">
        <v>0</v>
      </c>
    </row>
    <row r="1625" spans="8:8" x14ac:dyDescent="0.2">
      <c r="H1625">
        <v>0</v>
      </c>
    </row>
    <row r="1626" spans="8:8" x14ac:dyDescent="0.2">
      <c r="H1626">
        <v>0</v>
      </c>
    </row>
    <row r="1627" spans="8:8" x14ac:dyDescent="0.2">
      <c r="H1627">
        <v>0</v>
      </c>
    </row>
    <row r="1628" spans="8:8" x14ac:dyDescent="0.2">
      <c r="H1628">
        <v>0</v>
      </c>
    </row>
    <row r="1629" spans="8:8" x14ac:dyDescent="0.2">
      <c r="H1629">
        <v>0</v>
      </c>
    </row>
    <row r="1630" spans="8:8" x14ac:dyDescent="0.2">
      <c r="H1630">
        <v>0</v>
      </c>
    </row>
    <row r="1631" spans="8:8" x14ac:dyDescent="0.2">
      <c r="H1631">
        <v>0</v>
      </c>
    </row>
    <row r="1632" spans="8:8" x14ac:dyDescent="0.2">
      <c r="H1632">
        <v>0</v>
      </c>
    </row>
    <row r="1633" spans="8:8" x14ac:dyDescent="0.2">
      <c r="H1633">
        <v>0</v>
      </c>
    </row>
    <row r="1634" spans="8:8" x14ac:dyDescent="0.2">
      <c r="H1634">
        <v>0</v>
      </c>
    </row>
    <row r="1635" spans="8:8" x14ac:dyDescent="0.2">
      <c r="H1635">
        <v>0</v>
      </c>
    </row>
    <row r="1636" spans="8:8" x14ac:dyDescent="0.2">
      <c r="H1636">
        <v>0</v>
      </c>
    </row>
    <row r="1637" spans="8:8" x14ac:dyDescent="0.2">
      <c r="H1637">
        <v>0</v>
      </c>
    </row>
    <row r="1638" spans="8:8" x14ac:dyDescent="0.2">
      <c r="H1638">
        <v>0</v>
      </c>
    </row>
    <row r="1639" spans="8:8" x14ac:dyDescent="0.2">
      <c r="H1639">
        <v>0</v>
      </c>
    </row>
    <row r="1640" spans="8:8" x14ac:dyDescent="0.2">
      <c r="H1640">
        <v>0</v>
      </c>
    </row>
    <row r="1641" spans="8:8" x14ac:dyDescent="0.2">
      <c r="H1641">
        <v>0</v>
      </c>
    </row>
    <row r="1642" spans="8:8" x14ac:dyDescent="0.2">
      <c r="H1642">
        <v>0</v>
      </c>
    </row>
    <row r="1643" spans="8:8" x14ac:dyDescent="0.2">
      <c r="H1643">
        <v>0</v>
      </c>
    </row>
    <row r="1644" spans="8:8" x14ac:dyDescent="0.2">
      <c r="H1644">
        <v>0</v>
      </c>
    </row>
    <row r="1645" spans="8:8" x14ac:dyDescent="0.2">
      <c r="H1645">
        <v>0</v>
      </c>
    </row>
    <row r="1646" spans="8:8" x14ac:dyDescent="0.2">
      <c r="H1646">
        <v>0</v>
      </c>
    </row>
    <row r="1647" spans="8:8" x14ac:dyDescent="0.2">
      <c r="H1647">
        <v>0</v>
      </c>
    </row>
    <row r="1648" spans="8:8" x14ac:dyDescent="0.2">
      <c r="H1648">
        <v>0</v>
      </c>
    </row>
    <row r="1649" spans="8:8" x14ac:dyDescent="0.2">
      <c r="H1649">
        <v>0</v>
      </c>
    </row>
    <row r="1650" spans="8:8" x14ac:dyDescent="0.2">
      <c r="H1650">
        <v>0</v>
      </c>
    </row>
    <row r="1651" spans="8:8" x14ac:dyDescent="0.2">
      <c r="H1651">
        <v>0</v>
      </c>
    </row>
    <row r="1652" spans="8:8" x14ac:dyDescent="0.2">
      <c r="H1652">
        <v>0</v>
      </c>
    </row>
    <row r="1653" spans="8:8" x14ac:dyDescent="0.2">
      <c r="H1653">
        <v>0</v>
      </c>
    </row>
    <row r="1654" spans="8:8" x14ac:dyDescent="0.2">
      <c r="H1654">
        <v>0</v>
      </c>
    </row>
    <row r="1655" spans="8:8" x14ac:dyDescent="0.2">
      <c r="H1655">
        <v>0</v>
      </c>
    </row>
    <row r="1656" spans="8:8" x14ac:dyDescent="0.2">
      <c r="H1656">
        <v>0</v>
      </c>
    </row>
    <row r="1657" spans="8:8" x14ac:dyDescent="0.2">
      <c r="H1657">
        <v>0</v>
      </c>
    </row>
    <row r="1658" spans="8:8" x14ac:dyDescent="0.2">
      <c r="H1658">
        <v>0</v>
      </c>
    </row>
    <row r="1659" spans="8:8" x14ac:dyDescent="0.2">
      <c r="H1659">
        <v>0</v>
      </c>
    </row>
    <row r="1660" spans="8:8" x14ac:dyDescent="0.2">
      <c r="H1660">
        <v>0</v>
      </c>
    </row>
    <row r="1661" spans="8:8" x14ac:dyDescent="0.2">
      <c r="H1661">
        <v>0</v>
      </c>
    </row>
    <row r="1662" spans="8:8" x14ac:dyDescent="0.2">
      <c r="H1662">
        <v>0</v>
      </c>
    </row>
    <row r="1663" spans="8:8" x14ac:dyDescent="0.2">
      <c r="H1663">
        <v>0</v>
      </c>
    </row>
    <row r="1664" spans="8:8" x14ac:dyDescent="0.2">
      <c r="H1664">
        <v>0</v>
      </c>
    </row>
    <row r="1665" spans="8:8" x14ac:dyDescent="0.2">
      <c r="H1665">
        <v>0</v>
      </c>
    </row>
    <row r="1666" spans="8:8" x14ac:dyDescent="0.2">
      <c r="H1666">
        <v>0</v>
      </c>
    </row>
    <row r="1667" spans="8:8" x14ac:dyDescent="0.2">
      <c r="H1667">
        <v>0</v>
      </c>
    </row>
    <row r="1668" spans="8:8" x14ac:dyDescent="0.2">
      <c r="H1668">
        <v>0</v>
      </c>
    </row>
    <row r="1669" spans="8:8" x14ac:dyDescent="0.2">
      <c r="H1669">
        <v>0</v>
      </c>
    </row>
    <row r="1670" spans="8:8" x14ac:dyDescent="0.2">
      <c r="H1670">
        <v>0</v>
      </c>
    </row>
    <row r="1671" spans="8:8" x14ac:dyDescent="0.2">
      <c r="H1671">
        <v>0</v>
      </c>
    </row>
    <row r="1672" spans="8:8" x14ac:dyDescent="0.2">
      <c r="H1672">
        <v>0</v>
      </c>
    </row>
    <row r="1673" spans="8:8" x14ac:dyDescent="0.2">
      <c r="H1673">
        <v>0</v>
      </c>
    </row>
    <row r="1674" spans="8:8" x14ac:dyDescent="0.2">
      <c r="H1674">
        <v>0</v>
      </c>
    </row>
    <row r="1675" spans="8:8" x14ac:dyDescent="0.2">
      <c r="H1675">
        <v>0</v>
      </c>
    </row>
    <row r="1676" spans="8:8" x14ac:dyDescent="0.2">
      <c r="H1676">
        <v>0</v>
      </c>
    </row>
    <row r="1677" spans="8:8" x14ac:dyDescent="0.2">
      <c r="H1677">
        <v>0</v>
      </c>
    </row>
    <row r="1678" spans="8:8" x14ac:dyDescent="0.2">
      <c r="H1678">
        <v>0</v>
      </c>
    </row>
    <row r="1679" spans="8:8" x14ac:dyDescent="0.2">
      <c r="H1679">
        <v>0</v>
      </c>
    </row>
    <row r="1680" spans="8:8" x14ac:dyDescent="0.2">
      <c r="H1680">
        <v>0</v>
      </c>
    </row>
    <row r="1681" spans="8:8" x14ac:dyDescent="0.2">
      <c r="H1681">
        <v>0</v>
      </c>
    </row>
    <row r="1682" spans="8:8" x14ac:dyDescent="0.2">
      <c r="H1682">
        <v>0</v>
      </c>
    </row>
    <row r="1683" spans="8:8" x14ac:dyDescent="0.2">
      <c r="H1683">
        <v>0</v>
      </c>
    </row>
    <row r="1684" spans="8:8" x14ac:dyDescent="0.2">
      <c r="H1684">
        <v>0</v>
      </c>
    </row>
    <row r="1685" spans="8:8" x14ac:dyDescent="0.2">
      <c r="H1685">
        <v>0</v>
      </c>
    </row>
    <row r="1686" spans="8:8" x14ac:dyDescent="0.2">
      <c r="H1686">
        <v>0</v>
      </c>
    </row>
    <row r="1687" spans="8:8" x14ac:dyDescent="0.2">
      <c r="H1687">
        <v>0</v>
      </c>
    </row>
    <row r="1688" spans="8:8" x14ac:dyDescent="0.2">
      <c r="H1688">
        <v>0</v>
      </c>
    </row>
    <row r="1689" spans="8:8" x14ac:dyDescent="0.2">
      <c r="H1689">
        <v>0</v>
      </c>
    </row>
    <row r="1690" spans="8:8" x14ac:dyDescent="0.2">
      <c r="H1690">
        <v>0</v>
      </c>
    </row>
    <row r="1691" spans="8:8" x14ac:dyDescent="0.2">
      <c r="H1691">
        <v>0</v>
      </c>
    </row>
    <row r="1692" spans="8:8" x14ac:dyDescent="0.2">
      <c r="H1692">
        <v>0</v>
      </c>
    </row>
    <row r="1693" spans="8:8" x14ac:dyDescent="0.2">
      <c r="H1693">
        <v>0</v>
      </c>
    </row>
    <row r="1694" spans="8:8" x14ac:dyDescent="0.2">
      <c r="H1694">
        <v>0</v>
      </c>
    </row>
    <row r="1695" spans="8:8" x14ac:dyDescent="0.2">
      <c r="H1695">
        <v>0</v>
      </c>
    </row>
    <row r="1696" spans="8:8" x14ac:dyDescent="0.2">
      <c r="H1696">
        <v>0</v>
      </c>
    </row>
    <row r="1697" spans="8:8" x14ac:dyDescent="0.2">
      <c r="H1697">
        <v>0</v>
      </c>
    </row>
    <row r="1698" spans="8:8" x14ac:dyDescent="0.2">
      <c r="H1698">
        <v>0</v>
      </c>
    </row>
    <row r="1699" spans="8:8" x14ac:dyDescent="0.2">
      <c r="H1699">
        <v>0</v>
      </c>
    </row>
    <row r="1700" spans="8:8" x14ac:dyDescent="0.2">
      <c r="H1700">
        <v>0</v>
      </c>
    </row>
    <row r="1701" spans="8:8" x14ac:dyDescent="0.2">
      <c r="H1701">
        <v>0</v>
      </c>
    </row>
    <row r="1702" spans="8:8" x14ac:dyDescent="0.2">
      <c r="H1702">
        <v>0</v>
      </c>
    </row>
    <row r="1703" spans="8:8" x14ac:dyDescent="0.2">
      <c r="H1703">
        <v>0</v>
      </c>
    </row>
    <row r="1704" spans="8:8" x14ac:dyDescent="0.2">
      <c r="H1704">
        <v>0</v>
      </c>
    </row>
    <row r="1705" spans="8:8" x14ac:dyDescent="0.2">
      <c r="H1705">
        <v>0</v>
      </c>
    </row>
    <row r="1706" spans="8:8" x14ac:dyDescent="0.2">
      <c r="H1706">
        <v>0</v>
      </c>
    </row>
    <row r="1707" spans="8:8" x14ac:dyDescent="0.2">
      <c r="H1707">
        <v>0</v>
      </c>
    </row>
    <row r="1708" spans="8:8" x14ac:dyDescent="0.2">
      <c r="H1708">
        <v>0</v>
      </c>
    </row>
    <row r="1709" spans="8:8" x14ac:dyDescent="0.2">
      <c r="H1709">
        <v>0</v>
      </c>
    </row>
    <row r="1710" spans="8:8" x14ac:dyDescent="0.2">
      <c r="H1710">
        <v>0</v>
      </c>
    </row>
    <row r="1711" spans="8:8" x14ac:dyDescent="0.2">
      <c r="H1711">
        <v>0</v>
      </c>
    </row>
    <row r="1712" spans="8:8" x14ac:dyDescent="0.2">
      <c r="H1712">
        <v>0</v>
      </c>
    </row>
    <row r="1713" spans="8:8" x14ac:dyDescent="0.2">
      <c r="H1713">
        <v>0</v>
      </c>
    </row>
    <row r="1714" spans="8:8" x14ac:dyDescent="0.2">
      <c r="H1714">
        <v>0</v>
      </c>
    </row>
    <row r="1715" spans="8:8" x14ac:dyDescent="0.2">
      <c r="H1715">
        <v>0</v>
      </c>
    </row>
    <row r="1716" spans="8:8" x14ac:dyDescent="0.2">
      <c r="H1716">
        <v>0</v>
      </c>
    </row>
    <row r="1717" spans="8:8" x14ac:dyDescent="0.2">
      <c r="H1717">
        <v>0</v>
      </c>
    </row>
    <row r="1718" spans="8:8" x14ac:dyDescent="0.2">
      <c r="H1718">
        <v>0</v>
      </c>
    </row>
    <row r="1719" spans="8:8" x14ac:dyDescent="0.2">
      <c r="H1719">
        <v>0</v>
      </c>
    </row>
    <row r="1720" spans="8:8" x14ac:dyDescent="0.2">
      <c r="H1720">
        <v>0</v>
      </c>
    </row>
    <row r="1721" spans="8:8" x14ac:dyDescent="0.2">
      <c r="H1721">
        <v>0</v>
      </c>
    </row>
    <row r="1722" spans="8:8" x14ac:dyDescent="0.2">
      <c r="H1722">
        <v>0</v>
      </c>
    </row>
    <row r="1723" spans="8:8" x14ac:dyDescent="0.2">
      <c r="H1723">
        <v>0</v>
      </c>
    </row>
    <row r="1724" spans="8:8" x14ac:dyDescent="0.2">
      <c r="H1724">
        <v>0</v>
      </c>
    </row>
    <row r="1725" spans="8:8" x14ac:dyDescent="0.2">
      <c r="H1725">
        <v>0</v>
      </c>
    </row>
    <row r="1726" spans="8:8" x14ac:dyDescent="0.2">
      <c r="H1726">
        <v>0</v>
      </c>
    </row>
    <row r="1727" spans="8:8" x14ac:dyDescent="0.2">
      <c r="H1727">
        <v>0</v>
      </c>
    </row>
    <row r="1728" spans="8:8" x14ac:dyDescent="0.2">
      <c r="H1728">
        <v>0</v>
      </c>
    </row>
    <row r="1729" spans="8:8" x14ac:dyDescent="0.2">
      <c r="H1729">
        <v>0</v>
      </c>
    </row>
    <row r="1730" spans="8:8" x14ac:dyDescent="0.2">
      <c r="H1730">
        <v>0</v>
      </c>
    </row>
    <row r="1731" spans="8:8" x14ac:dyDescent="0.2">
      <c r="H1731">
        <v>0</v>
      </c>
    </row>
    <row r="1732" spans="8:8" x14ac:dyDescent="0.2">
      <c r="H1732">
        <v>0</v>
      </c>
    </row>
    <row r="1733" spans="8:8" x14ac:dyDescent="0.2">
      <c r="H1733">
        <v>0</v>
      </c>
    </row>
    <row r="1734" spans="8:8" x14ac:dyDescent="0.2">
      <c r="H1734">
        <v>0</v>
      </c>
    </row>
    <row r="1735" spans="8:8" x14ac:dyDescent="0.2">
      <c r="H1735">
        <v>0</v>
      </c>
    </row>
    <row r="1736" spans="8:8" x14ac:dyDescent="0.2">
      <c r="H1736">
        <v>0</v>
      </c>
    </row>
    <row r="1737" spans="8:8" x14ac:dyDescent="0.2">
      <c r="H1737">
        <v>0</v>
      </c>
    </row>
    <row r="1738" spans="8:8" x14ac:dyDescent="0.2">
      <c r="H1738">
        <v>0</v>
      </c>
    </row>
    <row r="1739" spans="8:8" x14ac:dyDescent="0.2">
      <c r="H1739">
        <v>0</v>
      </c>
    </row>
    <row r="1740" spans="8:8" x14ac:dyDescent="0.2">
      <c r="H1740">
        <v>0</v>
      </c>
    </row>
    <row r="1741" spans="8:8" x14ac:dyDescent="0.2">
      <c r="H1741">
        <v>0</v>
      </c>
    </row>
    <row r="1742" spans="8:8" x14ac:dyDescent="0.2">
      <c r="H1742">
        <v>0</v>
      </c>
    </row>
    <row r="1743" spans="8:8" x14ac:dyDescent="0.2">
      <c r="H1743">
        <v>0</v>
      </c>
    </row>
    <row r="1744" spans="8:8" x14ac:dyDescent="0.2">
      <c r="H1744">
        <v>0</v>
      </c>
    </row>
    <row r="1745" spans="8:8" x14ac:dyDescent="0.2">
      <c r="H1745">
        <v>0</v>
      </c>
    </row>
    <row r="1746" spans="8:8" x14ac:dyDescent="0.2">
      <c r="H1746">
        <v>0</v>
      </c>
    </row>
    <row r="1747" spans="8:8" x14ac:dyDescent="0.2">
      <c r="H1747">
        <v>0</v>
      </c>
    </row>
    <row r="1748" spans="8:8" x14ac:dyDescent="0.2">
      <c r="H1748">
        <v>0</v>
      </c>
    </row>
    <row r="1749" spans="8:8" x14ac:dyDescent="0.2">
      <c r="H1749">
        <v>0</v>
      </c>
    </row>
    <row r="1750" spans="8:8" x14ac:dyDescent="0.2">
      <c r="H1750">
        <v>0</v>
      </c>
    </row>
    <row r="1751" spans="8:8" x14ac:dyDescent="0.2">
      <c r="H1751">
        <v>0</v>
      </c>
    </row>
    <row r="1752" spans="8:8" x14ac:dyDescent="0.2">
      <c r="H1752">
        <v>0</v>
      </c>
    </row>
    <row r="1753" spans="8:8" x14ac:dyDescent="0.2">
      <c r="H1753">
        <v>0</v>
      </c>
    </row>
    <row r="1754" spans="8:8" x14ac:dyDescent="0.2">
      <c r="H1754">
        <v>0</v>
      </c>
    </row>
    <row r="1755" spans="8:8" x14ac:dyDescent="0.2">
      <c r="H1755">
        <v>0</v>
      </c>
    </row>
    <row r="1756" spans="8:8" x14ac:dyDescent="0.2">
      <c r="H1756">
        <v>0</v>
      </c>
    </row>
    <row r="1757" spans="8:8" x14ac:dyDescent="0.2">
      <c r="H1757">
        <v>0</v>
      </c>
    </row>
    <row r="1758" spans="8:8" x14ac:dyDescent="0.2">
      <c r="H1758">
        <v>0</v>
      </c>
    </row>
    <row r="1759" spans="8:8" x14ac:dyDescent="0.2">
      <c r="H1759">
        <v>0</v>
      </c>
    </row>
    <row r="1760" spans="8:8" x14ac:dyDescent="0.2">
      <c r="H1760">
        <v>0</v>
      </c>
    </row>
    <row r="1761" spans="8:8" x14ac:dyDescent="0.2">
      <c r="H1761">
        <v>0</v>
      </c>
    </row>
    <row r="1762" spans="8:8" x14ac:dyDescent="0.2">
      <c r="H1762">
        <v>0</v>
      </c>
    </row>
    <row r="1763" spans="8:8" x14ac:dyDescent="0.2">
      <c r="H1763">
        <v>0</v>
      </c>
    </row>
    <row r="1764" spans="8:8" x14ac:dyDescent="0.2">
      <c r="H1764">
        <v>0</v>
      </c>
    </row>
    <row r="1765" spans="8:8" x14ac:dyDescent="0.2">
      <c r="H1765">
        <v>0</v>
      </c>
    </row>
    <row r="1766" spans="8:8" x14ac:dyDescent="0.2">
      <c r="H1766">
        <v>0</v>
      </c>
    </row>
    <row r="1767" spans="8:8" x14ac:dyDescent="0.2">
      <c r="H1767">
        <v>0</v>
      </c>
    </row>
    <row r="1768" spans="8:8" x14ac:dyDescent="0.2">
      <c r="H1768">
        <v>0</v>
      </c>
    </row>
    <row r="1769" spans="8:8" x14ac:dyDescent="0.2">
      <c r="H1769">
        <v>0</v>
      </c>
    </row>
    <row r="1770" spans="8:8" x14ac:dyDescent="0.2">
      <c r="H1770">
        <v>0</v>
      </c>
    </row>
    <row r="1771" spans="8:8" x14ac:dyDescent="0.2">
      <c r="H1771">
        <v>0</v>
      </c>
    </row>
    <row r="1772" spans="8:8" x14ac:dyDescent="0.2">
      <c r="H1772">
        <v>0</v>
      </c>
    </row>
    <row r="1773" spans="8:8" x14ac:dyDescent="0.2">
      <c r="H1773">
        <v>0</v>
      </c>
    </row>
    <row r="1774" spans="8:8" x14ac:dyDescent="0.2">
      <c r="H1774">
        <v>0</v>
      </c>
    </row>
    <row r="1775" spans="8:8" x14ac:dyDescent="0.2">
      <c r="H1775">
        <v>0</v>
      </c>
    </row>
    <row r="1776" spans="8:8" x14ac:dyDescent="0.2">
      <c r="H1776">
        <v>0</v>
      </c>
    </row>
    <row r="1777" spans="8:8" x14ac:dyDescent="0.2">
      <c r="H1777">
        <v>0</v>
      </c>
    </row>
    <row r="1778" spans="8:8" x14ac:dyDescent="0.2">
      <c r="H1778">
        <v>0</v>
      </c>
    </row>
    <row r="1779" spans="8:8" x14ac:dyDescent="0.2">
      <c r="H1779">
        <v>0</v>
      </c>
    </row>
    <row r="1780" spans="8:8" x14ac:dyDescent="0.2">
      <c r="H1780">
        <v>0</v>
      </c>
    </row>
    <row r="1781" spans="8:8" x14ac:dyDescent="0.2">
      <c r="H1781">
        <v>0</v>
      </c>
    </row>
    <row r="1782" spans="8:8" x14ac:dyDescent="0.2">
      <c r="H1782">
        <v>0</v>
      </c>
    </row>
    <row r="1783" spans="8:8" x14ac:dyDescent="0.2">
      <c r="H1783">
        <v>0</v>
      </c>
    </row>
    <row r="1784" spans="8:8" x14ac:dyDescent="0.2">
      <c r="H1784">
        <v>0</v>
      </c>
    </row>
    <row r="1785" spans="8:8" x14ac:dyDescent="0.2">
      <c r="H1785">
        <v>0</v>
      </c>
    </row>
    <row r="1786" spans="8:8" x14ac:dyDescent="0.2">
      <c r="H1786">
        <v>0</v>
      </c>
    </row>
    <row r="1787" spans="8:8" x14ac:dyDescent="0.2">
      <c r="H1787">
        <v>0</v>
      </c>
    </row>
    <row r="1788" spans="8:8" x14ac:dyDescent="0.2">
      <c r="H1788">
        <v>0</v>
      </c>
    </row>
    <row r="1789" spans="8:8" x14ac:dyDescent="0.2">
      <c r="H1789">
        <v>0</v>
      </c>
    </row>
    <row r="1790" spans="8:8" x14ac:dyDescent="0.2">
      <c r="H1790">
        <v>0</v>
      </c>
    </row>
    <row r="1791" spans="8:8" x14ac:dyDescent="0.2">
      <c r="H1791">
        <v>0</v>
      </c>
    </row>
    <row r="1792" spans="8:8" x14ac:dyDescent="0.2">
      <c r="H1792">
        <v>0</v>
      </c>
    </row>
    <row r="1793" spans="8:8" x14ac:dyDescent="0.2">
      <c r="H1793">
        <v>0</v>
      </c>
    </row>
    <row r="1794" spans="8:8" x14ac:dyDescent="0.2">
      <c r="H1794">
        <v>0</v>
      </c>
    </row>
    <row r="1795" spans="8:8" x14ac:dyDescent="0.2">
      <c r="H1795">
        <v>0</v>
      </c>
    </row>
    <row r="1796" spans="8:8" x14ac:dyDescent="0.2">
      <c r="H1796">
        <v>0</v>
      </c>
    </row>
    <row r="1797" spans="8:8" x14ac:dyDescent="0.2">
      <c r="H1797">
        <v>0</v>
      </c>
    </row>
    <row r="1798" spans="8:8" x14ac:dyDescent="0.2">
      <c r="H1798">
        <v>0</v>
      </c>
    </row>
    <row r="1799" spans="8:8" x14ac:dyDescent="0.2">
      <c r="H1799">
        <v>0</v>
      </c>
    </row>
    <row r="1800" spans="8:8" x14ac:dyDescent="0.2">
      <c r="H1800">
        <v>0</v>
      </c>
    </row>
    <row r="1801" spans="8:8" x14ac:dyDescent="0.2">
      <c r="H1801">
        <v>0</v>
      </c>
    </row>
    <row r="1802" spans="8:8" x14ac:dyDescent="0.2">
      <c r="H1802">
        <v>0</v>
      </c>
    </row>
    <row r="1803" spans="8:8" x14ac:dyDescent="0.2">
      <c r="H1803">
        <v>0</v>
      </c>
    </row>
    <row r="1804" spans="8:8" x14ac:dyDescent="0.2">
      <c r="H1804">
        <v>0</v>
      </c>
    </row>
    <row r="1805" spans="8:8" x14ac:dyDescent="0.2">
      <c r="H1805">
        <v>0</v>
      </c>
    </row>
    <row r="1806" spans="8:8" x14ac:dyDescent="0.2">
      <c r="H1806">
        <v>0</v>
      </c>
    </row>
    <row r="1807" spans="8:8" x14ac:dyDescent="0.2">
      <c r="H1807">
        <v>0</v>
      </c>
    </row>
    <row r="1808" spans="8:8" x14ac:dyDescent="0.2">
      <c r="H1808">
        <v>0</v>
      </c>
    </row>
    <row r="1809" spans="8:8" x14ac:dyDescent="0.2">
      <c r="H1809">
        <v>0</v>
      </c>
    </row>
    <row r="1810" spans="8:8" x14ac:dyDescent="0.2">
      <c r="H1810">
        <v>0</v>
      </c>
    </row>
    <row r="1811" spans="8:8" x14ac:dyDescent="0.2">
      <c r="H1811">
        <v>0</v>
      </c>
    </row>
    <row r="1812" spans="8:8" x14ac:dyDescent="0.2">
      <c r="H1812">
        <v>0</v>
      </c>
    </row>
    <row r="1813" spans="8:8" x14ac:dyDescent="0.2">
      <c r="H1813">
        <v>0</v>
      </c>
    </row>
    <row r="1814" spans="8:8" x14ac:dyDescent="0.2">
      <c r="H1814">
        <v>0</v>
      </c>
    </row>
    <row r="1815" spans="8:8" x14ac:dyDescent="0.2">
      <c r="H1815">
        <v>0</v>
      </c>
    </row>
    <row r="1816" spans="8:8" x14ac:dyDescent="0.2">
      <c r="H1816">
        <v>0</v>
      </c>
    </row>
    <row r="1817" spans="8:8" x14ac:dyDescent="0.2">
      <c r="H1817">
        <v>0</v>
      </c>
    </row>
    <row r="1818" spans="8:8" x14ac:dyDescent="0.2">
      <c r="H1818">
        <v>0</v>
      </c>
    </row>
    <row r="1819" spans="8:8" x14ac:dyDescent="0.2">
      <c r="H1819">
        <v>0</v>
      </c>
    </row>
    <row r="1820" spans="8:8" x14ac:dyDescent="0.2">
      <c r="H1820">
        <v>0</v>
      </c>
    </row>
    <row r="1821" spans="8:8" x14ac:dyDescent="0.2">
      <c r="H1821">
        <v>0</v>
      </c>
    </row>
    <row r="1822" spans="8:8" x14ac:dyDescent="0.2">
      <c r="H1822">
        <v>0</v>
      </c>
    </row>
    <row r="1823" spans="8:8" x14ac:dyDescent="0.2">
      <c r="H1823">
        <v>0</v>
      </c>
    </row>
    <row r="1824" spans="8:8" x14ac:dyDescent="0.2">
      <c r="H1824">
        <v>0</v>
      </c>
    </row>
    <row r="1825" spans="8:8" x14ac:dyDescent="0.2">
      <c r="H1825">
        <v>0</v>
      </c>
    </row>
    <row r="1826" spans="8:8" x14ac:dyDescent="0.2">
      <c r="H1826">
        <v>0</v>
      </c>
    </row>
    <row r="1827" spans="8:8" x14ac:dyDescent="0.2">
      <c r="H1827">
        <v>0</v>
      </c>
    </row>
    <row r="1828" spans="8:8" x14ac:dyDescent="0.2">
      <c r="H1828">
        <v>0</v>
      </c>
    </row>
    <row r="1829" spans="8:8" x14ac:dyDescent="0.2">
      <c r="H1829">
        <v>0</v>
      </c>
    </row>
    <row r="1830" spans="8:8" x14ac:dyDescent="0.2">
      <c r="H1830">
        <v>0</v>
      </c>
    </row>
    <row r="1831" spans="8:8" x14ac:dyDescent="0.2">
      <c r="H1831">
        <v>0</v>
      </c>
    </row>
    <row r="1832" spans="8:8" x14ac:dyDescent="0.2">
      <c r="H1832">
        <v>0</v>
      </c>
    </row>
    <row r="1833" spans="8:8" x14ac:dyDescent="0.2">
      <c r="H1833">
        <v>0</v>
      </c>
    </row>
    <row r="1834" spans="8:8" x14ac:dyDescent="0.2">
      <c r="H1834">
        <v>0</v>
      </c>
    </row>
    <row r="1835" spans="8:8" x14ac:dyDescent="0.2">
      <c r="H1835">
        <v>0</v>
      </c>
    </row>
    <row r="1836" spans="8:8" x14ac:dyDescent="0.2">
      <c r="H1836">
        <v>0</v>
      </c>
    </row>
    <row r="1837" spans="8:8" x14ac:dyDescent="0.2">
      <c r="H1837">
        <v>0</v>
      </c>
    </row>
    <row r="1838" spans="8:8" x14ac:dyDescent="0.2">
      <c r="H1838">
        <v>0</v>
      </c>
    </row>
    <row r="1839" spans="8:8" x14ac:dyDescent="0.2">
      <c r="H1839">
        <v>0</v>
      </c>
    </row>
    <row r="1840" spans="8:8" x14ac:dyDescent="0.2">
      <c r="H1840">
        <v>0</v>
      </c>
    </row>
    <row r="1841" spans="8:8" x14ac:dyDescent="0.2">
      <c r="H1841">
        <v>0</v>
      </c>
    </row>
    <row r="1842" spans="8:8" x14ac:dyDescent="0.2">
      <c r="H1842">
        <v>0</v>
      </c>
    </row>
    <row r="1843" spans="8:8" x14ac:dyDescent="0.2">
      <c r="H1843">
        <v>0</v>
      </c>
    </row>
    <row r="1844" spans="8:8" x14ac:dyDescent="0.2">
      <c r="H1844">
        <v>0</v>
      </c>
    </row>
    <row r="1845" spans="8:8" x14ac:dyDescent="0.2">
      <c r="H1845">
        <v>0</v>
      </c>
    </row>
    <row r="1846" spans="8:8" x14ac:dyDescent="0.2">
      <c r="H1846">
        <v>0</v>
      </c>
    </row>
    <row r="1847" spans="8:8" x14ac:dyDescent="0.2">
      <c r="H1847">
        <v>0</v>
      </c>
    </row>
    <row r="1848" spans="8:8" x14ac:dyDescent="0.2">
      <c r="H1848">
        <v>0</v>
      </c>
    </row>
    <row r="1849" spans="8:8" x14ac:dyDescent="0.2">
      <c r="H1849">
        <v>0</v>
      </c>
    </row>
    <row r="1850" spans="8:8" x14ac:dyDescent="0.2">
      <c r="H1850">
        <v>0</v>
      </c>
    </row>
    <row r="1851" spans="8:8" x14ac:dyDescent="0.2">
      <c r="H1851">
        <v>0</v>
      </c>
    </row>
    <row r="1852" spans="8:8" x14ac:dyDescent="0.2">
      <c r="H1852">
        <v>0</v>
      </c>
    </row>
    <row r="1853" spans="8:8" x14ac:dyDescent="0.2">
      <c r="H1853">
        <v>0</v>
      </c>
    </row>
    <row r="1854" spans="8:8" x14ac:dyDescent="0.2">
      <c r="H1854">
        <v>0</v>
      </c>
    </row>
    <row r="1855" spans="8:8" x14ac:dyDescent="0.2">
      <c r="H1855">
        <v>0</v>
      </c>
    </row>
    <row r="1856" spans="8:8" x14ac:dyDescent="0.2">
      <c r="H1856">
        <v>0</v>
      </c>
    </row>
    <row r="1857" spans="8:8" x14ac:dyDescent="0.2">
      <c r="H1857">
        <v>0</v>
      </c>
    </row>
    <row r="1858" spans="8:8" x14ac:dyDescent="0.2">
      <c r="H1858">
        <v>0</v>
      </c>
    </row>
    <row r="1859" spans="8:8" x14ac:dyDescent="0.2">
      <c r="H1859">
        <v>0</v>
      </c>
    </row>
    <row r="1860" spans="8:8" x14ac:dyDescent="0.2">
      <c r="H1860">
        <v>0</v>
      </c>
    </row>
    <row r="1861" spans="8:8" x14ac:dyDescent="0.2">
      <c r="H1861">
        <v>0</v>
      </c>
    </row>
    <row r="1862" spans="8:8" x14ac:dyDescent="0.2">
      <c r="H1862">
        <v>0</v>
      </c>
    </row>
    <row r="1863" spans="8:8" x14ac:dyDescent="0.2">
      <c r="H1863">
        <v>0</v>
      </c>
    </row>
    <row r="1864" spans="8:8" x14ac:dyDescent="0.2">
      <c r="H1864">
        <v>0</v>
      </c>
    </row>
    <row r="1865" spans="8:8" x14ac:dyDescent="0.2">
      <c r="H1865">
        <v>0</v>
      </c>
    </row>
    <row r="1866" spans="8:8" x14ac:dyDescent="0.2">
      <c r="H1866">
        <v>0</v>
      </c>
    </row>
    <row r="1867" spans="8:8" x14ac:dyDescent="0.2">
      <c r="H1867">
        <v>0</v>
      </c>
    </row>
    <row r="1868" spans="8:8" x14ac:dyDescent="0.2">
      <c r="H1868">
        <v>0</v>
      </c>
    </row>
    <row r="1869" spans="8:8" x14ac:dyDescent="0.2">
      <c r="H1869">
        <v>0</v>
      </c>
    </row>
    <row r="1870" spans="8:8" x14ac:dyDescent="0.2">
      <c r="H1870">
        <v>0</v>
      </c>
    </row>
    <row r="1871" spans="8:8" x14ac:dyDescent="0.2">
      <c r="H1871">
        <v>0</v>
      </c>
    </row>
    <row r="1872" spans="8:8" x14ac:dyDescent="0.2">
      <c r="H1872">
        <v>0</v>
      </c>
    </row>
    <row r="1873" spans="8:8" x14ac:dyDescent="0.2">
      <c r="H1873">
        <v>0</v>
      </c>
    </row>
    <row r="1874" spans="8:8" x14ac:dyDescent="0.2">
      <c r="H1874">
        <v>0</v>
      </c>
    </row>
    <row r="1875" spans="8:8" x14ac:dyDescent="0.2">
      <c r="H1875">
        <v>0</v>
      </c>
    </row>
    <row r="1876" spans="8:8" x14ac:dyDescent="0.2">
      <c r="H1876">
        <v>0</v>
      </c>
    </row>
    <row r="1877" spans="8:8" x14ac:dyDescent="0.2">
      <c r="H1877">
        <v>0</v>
      </c>
    </row>
    <row r="1878" spans="8:8" x14ac:dyDescent="0.2">
      <c r="H1878">
        <v>0</v>
      </c>
    </row>
    <row r="1879" spans="8:8" x14ac:dyDescent="0.2">
      <c r="H1879">
        <v>0</v>
      </c>
    </row>
    <row r="1880" spans="8:8" x14ac:dyDescent="0.2">
      <c r="H1880">
        <v>0</v>
      </c>
    </row>
    <row r="1881" spans="8:8" x14ac:dyDescent="0.2">
      <c r="H1881">
        <v>0</v>
      </c>
    </row>
    <row r="1882" spans="8:8" x14ac:dyDescent="0.2">
      <c r="H1882">
        <v>0</v>
      </c>
    </row>
    <row r="1883" spans="8:8" x14ac:dyDescent="0.2">
      <c r="H1883">
        <v>0</v>
      </c>
    </row>
    <row r="1884" spans="8:8" x14ac:dyDescent="0.2">
      <c r="H1884">
        <v>0</v>
      </c>
    </row>
    <row r="1885" spans="8:8" x14ac:dyDescent="0.2">
      <c r="H1885">
        <v>0</v>
      </c>
    </row>
    <row r="1886" spans="8:8" x14ac:dyDescent="0.2">
      <c r="H1886">
        <v>0</v>
      </c>
    </row>
    <row r="1887" spans="8:8" x14ac:dyDescent="0.2">
      <c r="H1887">
        <v>0</v>
      </c>
    </row>
    <row r="1888" spans="8:8" x14ac:dyDescent="0.2">
      <c r="H1888">
        <v>0</v>
      </c>
    </row>
    <row r="1889" spans="8:8" x14ac:dyDescent="0.2">
      <c r="H1889">
        <v>0</v>
      </c>
    </row>
    <row r="1890" spans="8:8" x14ac:dyDescent="0.2">
      <c r="H1890">
        <v>0</v>
      </c>
    </row>
    <row r="1891" spans="8:8" x14ac:dyDescent="0.2">
      <c r="H1891">
        <v>0</v>
      </c>
    </row>
    <row r="1892" spans="8:8" x14ac:dyDescent="0.2">
      <c r="H1892">
        <v>0</v>
      </c>
    </row>
    <row r="1893" spans="8:8" x14ac:dyDescent="0.2">
      <c r="H1893">
        <v>0</v>
      </c>
    </row>
    <row r="1894" spans="8:8" x14ac:dyDescent="0.2">
      <c r="H1894">
        <v>0</v>
      </c>
    </row>
    <row r="1895" spans="8:8" x14ac:dyDescent="0.2">
      <c r="H1895">
        <v>0</v>
      </c>
    </row>
    <row r="1896" spans="8:8" x14ac:dyDescent="0.2">
      <c r="H1896">
        <v>0</v>
      </c>
    </row>
    <row r="1897" spans="8:8" x14ac:dyDescent="0.2">
      <c r="H1897">
        <v>0</v>
      </c>
    </row>
    <row r="1898" spans="8:8" x14ac:dyDescent="0.2">
      <c r="H1898">
        <v>0</v>
      </c>
    </row>
    <row r="1899" spans="8:8" x14ac:dyDescent="0.2">
      <c r="H1899">
        <v>0</v>
      </c>
    </row>
    <row r="1900" spans="8:8" x14ac:dyDescent="0.2">
      <c r="H1900">
        <v>0</v>
      </c>
    </row>
    <row r="1901" spans="8:8" x14ac:dyDescent="0.2">
      <c r="H1901">
        <v>0</v>
      </c>
    </row>
    <row r="1902" spans="8:8" x14ac:dyDescent="0.2">
      <c r="H1902">
        <v>0</v>
      </c>
    </row>
    <row r="1903" spans="8:8" x14ac:dyDescent="0.2">
      <c r="H1903">
        <v>0</v>
      </c>
    </row>
    <row r="1904" spans="8:8" x14ac:dyDescent="0.2">
      <c r="H1904">
        <v>0</v>
      </c>
    </row>
    <row r="1905" spans="8:8" x14ac:dyDescent="0.2">
      <c r="H1905">
        <v>0</v>
      </c>
    </row>
    <row r="1906" spans="8:8" x14ac:dyDescent="0.2">
      <c r="H1906">
        <v>0</v>
      </c>
    </row>
    <row r="1907" spans="8:8" x14ac:dyDescent="0.2">
      <c r="H1907">
        <v>0</v>
      </c>
    </row>
    <row r="1908" spans="8:8" x14ac:dyDescent="0.2">
      <c r="H1908">
        <v>0</v>
      </c>
    </row>
    <row r="1909" spans="8:8" x14ac:dyDescent="0.2">
      <c r="H1909">
        <v>0</v>
      </c>
    </row>
    <row r="1910" spans="8:8" x14ac:dyDescent="0.2">
      <c r="H1910">
        <v>0</v>
      </c>
    </row>
    <row r="1911" spans="8:8" x14ac:dyDescent="0.2">
      <c r="H1911">
        <v>0</v>
      </c>
    </row>
    <row r="1912" spans="8:8" x14ac:dyDescent="0.2">
      <c r="H1912">
        <v>0</v>
      </c>
    </row>
    <row r="1913" spans="8:8" x14ac:dyDescent="0.2">
      <c r="H1913">
        <v>0</v>
      </c>
    </row>
    <row r="1914" spans="8:8" x14ac:dyDescent="0.2">
      <c r="H1914">
        <v>0</v>
      </c>
    </row>
    <row r="1915" spans="8:8" x14ac:dyDescent="0.2">
      <c r="H1915">
        <v>0</v>
      </c>
    </row>
    <row r="1916" spans="8:8" x14ac:dyDescent="0.2">
      <c r="H1916">
        <v>0</v>
      </c>
    </row>
    <row r="1917" spans="8:8" x14ac:dyDescent="0.2">
      <c r="H1917">
        <v>0</v>
      </c>
    </row>
    <row r="1918" spans="8:8" x14ac:dyDescent="0.2">
      <c r="H1918">
        <v>0</v>
      </c>
    </row>
    <row r="1919" spans="8:8" x14ac:dyDescent="0.2">
      <c r="H1919">
        <v>0</v>
      </c>
    </row>
    <row r="1920" spans="8:8" x14ac:dyDescent="0.2">
      <c r="H1920">
        <v>0</v>
      </c>
    </row>
    <row r="1921" spans="8:8" x14ac:dyDescent="0.2">
      <c r="H1921">
        <v>0</v>
      </c>
    </row>
    <row r="1922" spans="8:8" x14ac:dyDescent="0.2">
      <c r="H1922">
        <v>0</v>
      </c>
    </row>
    <row r="1923" spans="8:8" x14ac:dyDescent="0.2">
      <c r="H1923">
        <v>0</v>
      </c>
    </row>
    <row r="1924" spans="8:8" x14ac:dyDescent="0.2">
      <c r="H1924">
        <v>0</v>
      </c>
    </row>
    <row r="1925" spans="8:8" x14ac:dyDescent="0.2">
      <c r="H1925">
        <v>0</v>
      </c>
    </row>
    <row r="1926" spans="8:8" x14ac:dyDescent="0.2">
      <c r="H1926">
        <v>0</v>
      </c>
    </row>
    <row r="1927" spans="8:8" x14ac:dyDescent="0.2">
      <c r="H1927">
        <v>0</v>
      </c>
    </row>
    <row r="1928" spans="8:8" x14ac:dyDescent="0.2">
      <c r="H1928">
        <v>0</v>
      </c>
    </row>
    <row r="1929" spans="8:8" x14ac:dyDescent="0.2">
      <c r="H1929">
        <v>0</v>
      </c>
    </row>
    <row r="1930" spans="8:8" x14ac:dyDescent="0.2">
      <c r="H1930">
        <v>0</v>
      </c>
    </row>
    <row r="1931" spans="8:8" x14ac:dyDescent="0.2">
      <c r="H1931">
        <v>0</v>
      </c>
    </row>
    <row r="1932" spans="8:8" x14ac:dyDescent="0.2">
      <c r="H1932">
        <v>0</v>
      </c>
    </row>
    <row r="1933" spans="8:8" x14ac:dyDescent="0.2">
      <c r="H1933">
        <v>0</v>
      </c>
    </row>
    <row r="1934" spans="8:8" x14ac:dyDescent="0.2">
      <c r="H1934">
        <v>0</v>
      </c>
    </row>
    <row r="1935" spans="8:8" x14ac:dyDescent="0.2">
      <c r="H1935">
        <v>0</v>
      </c>
    </row>
    <row r="1936" spans="8:8" x14ac:dyDescent="0.2">
      <c r="H1936">
        <v>0</v>
      </c>
    </row>
    <row r="1937" spans="8:8" x14ac:dyDescent="0.2">
      <c r="H1937">
        <v>0</v>
      </c>
    </row>
    <row r="1938" spans="8:8" x14ac:dyDescent="0.2">
      <c r="H1938">
        <v>0</v>
      </c>
    </row>
    <row r="1939" spans="8:8" x14ac:dyDescent="0.2">
      <c r="H1939">
        <v>0</v>
      </c>
    </row>
    <row r="1940" spans="8:8" x14ac:dyDescent="0.2">
      <c r="H1940">
        <v>0</v>
      </c>
    </row>
    <row r="1941" spans="8:8" x14ac:dyDescent="0.2">
      <c r="H1941">
        <v>0</v>
      </c>
    </row>
    <row r="1942" spans="8:8" x14ac:dyDescent="0.2">
      <c r="H1942">
        <v>0</v>
      </c>
    </row>
    <row r="1943" spans="8:8" x14ac:dyDescent="0.2">
      <c r="H1943">
        <v>0</v>
      </c>
    </row>
    <row r="1944" spans="8:8" x14ac:dyDescent="0.2">
      <c r="H1944">
        <v>0</v>
      </c>
    </row>
    <row r="1945" spans="8:8" x14ac:dyDescent="0.2">
      <c r="H1945">
        <v>0</v>
      </c>
    </row>
    <row r="1946" spans="8:8" x14ac:dyDescent="0.2">
      <c r="H1946">
        <v>0</v>
      </c>
    </row>
    <row r="1947" spans="8:8" x14ac:dyDescent="0.2">
      <c r="H1947">
        <v>0</v>
      </c>
    </row>
    <row r="1948" spans="8:8" x14ac:dyDescent="0.2">
      <c r="H1948">
        <v>0</v>
      </c>
    </row>
    <row r="1949" spans="8:8" x14ac:dyDescent="0.2">
      <c r="H1949">
        <v>0</v>
      </c>
    </row>
    <row r="1950" spans="8:8" x14ac:dyDescent="0.2">
      <c r="H1950">
        <v>0</v>
      </c>
    </row>
    <row r="1951" spans="8:8" x14ac:dyDescent="0.2">
      <c r="H1951">
        <v>0</v>
      </c>
    </row>
    <row r="1952" spans="8:8" x14ac:dyDescent="0.2">
      <c r="H1952">
        <v>0</v>
      </c>
    </row>
    <row r="1953" spans="8:8" x14ac:dyDescent="0.2">
      <c r="H1953">
        <v>0</v>
      </c>
    </row>
    <row r="1954" spans="8:8" x14ac:dyDescent="0.2">
      <c r="H1954">
        <v>0</v>
      </c>
    </row>
    <row r="1955" spans="8:8" x14ac:dyDescent="0.2">
      <c r="H1955">
        <v>0</v>
      </c>
    </row>
    <row r="1956" spans="8:8" x14ac:dyDescent="0.2">
      <c r="H1956">
        <v>0</v>
      </c>
    </row>
    <row r="1957" spans="8:8" x14ac:dyDescent="0.2">
      <c r="H1957">
        <v>0</v>
      </c>
    </row>
    <row r="1958" spans="8:8" x14ac:dyDescent="0.2">
      <c r="H1958">
        <v>0</v>
      </c>
    </row>
    <row r="1959" spans="8:8" x14ac:dyDescent="0.2">
      <c r="H1959">
        <v>0</v>
      </c>
    </row>
    <row r="1960" spans="8:8" x14ac:dyDescent="0.2">
      <c r="H1960">
        <v>0</v>
      </c>
    </row>
    <row r="1961" spans="8:8" x14ac:dyDescent="0.2">
      <c r="H1961">
        <v>0</v>
      </c>
    </row>
    <row r="1962" spans="8:8" x14ac:dyDescent="0.2">
      <c r="H1962">
        <v>0</v>
      </c>
    </row>
    <row r="1963" spans="8:8" x14ac:dyDescent="0.2">
      <c r="H1963">
        <v>0</v>
      </c>
    </row>
    <row r="1964" spans="8:8" x14ac:dyDescent="0.2">
      <c r="H1964">
        <v>0</v>
      </c>
    </row>
    <row r="1965" spans="8:8" x14ac:dyDescent="0.2">
      <c r="H1965">
        <v>0</v>
      </c>
    </row>
    <row r="1966" spans="8:8" x14ac:dyDescent="0.2">
      <c r="H1966">
        <v>0</v>
      </c>
    </row>
    <row r="1967" spans="8:8" x14ac:dyDescent="0.2">
      <c r="H1967">
        <v>0</v>
      </c>
    </row>
    <row r="1968" spans="8:8" x14ac:dyDescent="0.2">
      <c r="H1968">
        <v>0</v>
      </c>
    </row>
    <row r="1969" spans="8:8" x14ac:dyDescent="0.2">
      <c r="H1969">
        <v>0</v>
      </c>
    </row>
    <row r="1970" spans="8:8" x14ac:dyDescent="0.2">
      <c r="H1970">
        <v>0</v>
      </c>
    </row>
    <row r="1971" spans="8:8" x14ac:dyDescent="0.2">
      <c r="H1971">
        <v>0</v>
      </c>
    </row>
    <row r="1972" spans="8:8" x14ac:dyDescent="0.2">
      <c r="H1972">
        <v>0</v>
      </c>
    </row>
    <row r="1973" spans="8:8" x14ac:dyDescent="0.2">
      <c r="H1973">
        <v>0</v>
      </c>
    </row>
    <row r="1974" spans="8:8" x14ac:dyDescent="0.2">
      <c r="H1974">
        <v>0</v>
      </c>
    </row>
    <row r="1975" spans="8:8" x14ac:dyDescent="0.2">
      <c r="H1975">
        <v>0</v>
      </c>
    </row>
    <row r="1976" spans="8:8" x14ac:dyDescent="0.2">
      <c r="H1976">
        <v>0</v>
      </c>
    </row>
    <row r="1977" spans="8:8" x14ac:dyDescent="0.2">
      <c r="H1977">
        <v>0</v>
      </c>
    </row>
    <row r="1978" spans="8:8" x14ac:dyDescent="0.2">
      <c r="H1978">
        <v>0</v>
      </c>
    </row>
    <row r="1979" spans="8:8" x14ac:dyDescent="0.2">
      <c r="H1979">
        <v>0</v>
      </c>
    </row>
    <row r="1980" spans="8:8" x14ac:dyDescent="0.2">
      <c r="H1980">
        <v>0</v>
      </c>
    </row>
    <row r="1981" spans="8:8" x14ac:dyDescent="0.2">
      <c r="H1981">
        <v>0</v>
      </c>
    </row>
    <row r="1982" spans="8:8" x14ac:dyDescent="0.2">
      <c r="H1982">
        <v>0</v>
      </c>
    </row>
    <row r="1983" spans="8:8" x14ac:dyDescent="0.2">
      <c r="H1983">
        <v>0</v>
      </c>
    </row>
    <row r="1984" spans="8:8" x14ac:dyDescent="0.2">
      <c r="H1984">
        <v>0</v>
      </c>
    </row>
    <row r="1985" spans="8:8" x14ac:dyDescent="0.2">
      <c r="H1985">
        <v>0</v>
      </c>
    </row>
    <row r="1986" spans="8:8" x14ac:dyDescent="0.2">
      <c r="H1986">
        <v>0</v>
      </c>
    </row>
    <row r="1987" spans="8:8" x14ac:dyDescent="0.2">
      <c r="H1987">
        <v>0</v>
      </c>
    </row>
    <row r="1988" spans="8:8" x14ac:dyDescent="0.2">
      <c r="H1988">
        <v>0</v>
      </c>
    </row>
    <row r="1989" spans="8:8" x14ac:dyDescent="0.2">
      <c r="H1989">
        <v>0</v>
      </c>
    </row>
    <row r="1990" spans="8:8" x14ac:dyDescent="0.2">
      <c r="H1990">
        <v>0</v>
      </c>
    </row>
    <row r="1991" spans="8:8" x14ac:dyDescent="0.2">
      <c r="H1991">
        <v>0</v>
      </c>
    </row>
    <row r="1992" spans="8:8" x14ac:dyDescent="0.2">
      <c r="H1992">
        <v>0</v>
      </c>
    </row>
    <row r="1993" spans="8:8" x14ac:dyDescent="0.2">
      <c r="H1993">
        <v>0</v>
      </c>
    </row>
    <row r="1994" spans="8:8" x14ac:dyDescent="0.2">
      <c r="H1994">
        <v>0</v>
      </c>
    </row>
    <row r="1995" spans="8:8" x14ac:dyDescent="0.2">
      <c r="H1995">
        <v>0</v>
      </c>
    </row>
    <row r="1996" spans="8:8" x14ac:dyDescent="0.2">
      <c r="H1996">
        <v>0</v>
      </c>
    </row>
    <row r="1997" spans="8:8" x14ac:dyDescent="0.2">
      <c r="H1997">
        <v>0</v>
      </c>
    </row>
    <row r="1998" spans="8:8" x14ac:dyDescent="0.2">
      <c r="H1998">
        <v>0</v>
      </c>
    </row>
    <row r="1999" spans="8:8" x14ac:dyDescent="0.2">
      <c r="H1999">
        <v>0</v>
      </c>
    </row>
    <row r="2000" spans="8:8" x14ac:dyDescent="0.2">
      <c r="H2000">
        <v>0</v>
      </c>
    </row>
    <row r="2001" spans="8:8" x14ac:dyDescent="0.2">
      <c r="H2001">
        <v>0</v>
      </c>
    </row>
    <row r="2002" spans="8:8" x14ac:dyDescent="0.2">
      <c r="H2002">
        <v>0</v>
      </c>
    </row>
    <row r="2003" spans="8:8" x14ac:dyDescent="0.2">
      <c r="H2003">
        <v>0</v>
      </c>
    </row>
    <row r="2004" spans="8:8" x14ac:dyDescent="0.2">
      <c r="H2004">
        <v>0</v>
      </c>
    </row>
    <row r="2005" spans="8:8" x14ac:dyDescent="0.2">
      <c r="H2005">
        <v>0</v>
      </c>
    </row>
    <row r="2006" spans="8:8" x14ac:dyDescent="0.2">
      <c r="H2006">
        <v>0</v>
      </c>
    </row>
    <row r="2007" spans="8:8" x14ac:dyDescent="0.2">
      <c r="H2007">
        <v>0</v>
      </c>
    </row>
    <row r="2008" spans="8:8" x14ac:dyDescent="0.2">
      <c r="H2008">
        <v>0</v>
      </c>
    </row>
    <row r="2009" spans="8:8" x14ac:dyDescent="0.2">
      <c r="H2009">
        <v>0</v>
      </c>
    </row>
    <row r="2010" spans="8:8" x14ac:dyDescent="0.2">
      <c r="H2010">
        <v>0</v>
      </c>
    </row>
    <row r="2011" spans="8:8" x14ac:dyDescent="0.2">
      <c r="H2011">
        <v>0</v>
      </c>
    </row>
    <row r="2012" spans="8:8" x14ac:dyDescent="0.2">
      <c r="H2012">
        <v>0</v>
      </c>
    </row>
    <row r="2013" spans="8:8" x14ac:dyDescent="0.2">
      <c r="H2013">
        <v>0</v>
      </c>
    </row>
    <row r="2014" spans="8:8" x14ac:dyDescent="0.2">
      <c r="H2014">
        <v>0</v>
      </c>
    </row>
    <row r="2015" spans="8:8" x14ac:dyDescent="0.2">
      <c r="H2015">
        <v>0</v>
      </c>
    </row>
    <row r="2016" spans="8:8" x14ac:dyDescent="0.2">
      <c r="H2016">
        <v>0</v>
      </c>
    </row>
    <row r="2017" spans="8:8" x14ac:dyDescent="0.2">
      <c r="H2017">
        <v>0</v>
      </c>
    </row>
    <row r="2018" spans="8:8" x14ac:dyDescent="0.2">
      <c r="H2018">
        <v>0</v>
      </c>
    </row>
    <row r="2019" spans="8:8" x14ac:dyDescent="0.2">
      <c r="H2019">
        <v>0</v>
      </c>
    </row>
    <row r="2020" spans="8:8" x14ac:dyDescent="0.2">
      <c r="H2020">
        <v>0</v>
      </c>
    </row>
    <row r="2021" spans="8:8" x14ac:dyDescent="0.2">
      <c r="H2021">
        <v>0</v>
      </c>
    </row>
    <row r="2022" spans="8:8" x14ac:dyDescent="0.2">
      <c r="H2022">
        <v>0</v>
      </c>
    </row>
    <row r="2023" spans="8:8" x14ac:dyDescent="0.2">
      <c r="H2023">
        <v>0</v>
      </c>
    </row>
    <row r="2024" spans="8:8" x14ac:dyDescent="0.2">
      <c r="H2024">
        <v>0</v>
      </c>
    </row>
    <row r="2025" spans="8:8" x14ac:dyDescent="0.2">
      <c r="H2025">
        <v>0</v>
      </c>
    </row>
    <row r="2026" spans="8:8" x14ac:dyDescent="0.2">
      <c r="H2026">
        <v>0</v>
      </c>
    </row>
    <row r="2027" spans="8:8" x14ac:dyDescent="0.2">
      <c r="H2027">
        <v>0</v>
      </c>
    </row>
    <row r="2028" spans="8:8" x14ac:dyDescent="0.2">
      <c r="H2028">
        <v>0</v>
      </c>
    </row>
    <row r="2029" spans="8:8" x14ac:dyDescent="0.2">
      <c r="H2029">
        <v>0</v>
      </c>
    </row>
    <row r="2030" spans="8:8" x14ac:dyDescent="0.2">
      <c r="H2030">
        <v>0</v>
      </c>
    </row>
    <row r="2031" spans="8:8" x14ac:dyDescent="0.2">
      <c r="H2031">
        <v>0</v>
      </c>
    </row>
    <row r="2032" spans="8:8" x14ac:dyDescent="0.2">
      <c r="H2032">
        <v>0</v>
      </c>
    </row>
    <row r="2033" spans="8:8" x14ac:dyDescent="0.2">
      <c r="H2033">
        <v>0</v>
      </c>
    </row>
    <row r="2034" spans="8:8" x14ac:dyDescent="0.2">
      <c r="H2034">
        <v>0</v>
      </c>
    </row>
    <row r="2035" spans="8:8" x14ac:dyDescent="0.2">
      <c r="H2035">
        <v>0</v>
      </c>
    </row>
    <row r="2036" spans="8:8" x14ac:dyDescent="0.2">
      <c r="H2036">
        <v>0</v>
      </c>
    </row>
    <row r="2037" spans="8:8" x14ac:dyDescent="0.2">
      <c r="H2037">
        <v>0</v>
      </c>
    </row>
    <row r="2038" spans="8:8" x14ac:dyDescent="0.2">
      <c r="H2038">
        <v>0</v>
      </c>
    </row>
    <row r="2039" spans="8:8" x14ac:dyDescent="0.2">
      <c r="H2039">
        <v>0</v>
      </c>
    </row>
    <row r="2040" spans="8:8" x14ac:dyDescent="0.2">
      <c r="H2040">
        <v>0</v>
      </c>
    </row>
    <row r="2041" spans="8:8" x14ac:dyDescent="0.2">
      <c r="H2041">
        <v>0</v>
      </c>
    </row>
    <row r="2042" spans="8:8" x14ac:dyDescent="0.2">
      <c r="H2042">
        <v>0</v>
      </c>
    </row>
    <row r="2043" spans="8:8" x14ac:dyDescent="0.2">
      <c r="H2043">
        <v>0</v>
      </c>
    </row>
    <row r="2044" spans="8:8" x14ac:dyDescent="0.2">
      <c r="H2044">
        <v>0</v>
      </c>
    </row>
    <row r="2045" spans="8:8" x14ac:dyDescent="0.2">
      <c r="H2045">
        <v>0</v>
      </c>
    </row>
    <row r="2046" spans="8:8" x14ac:dyDescent="0.2">
      <c r="H2046">
        <v>0</v>
      </c>
    </row>
    <row r="2047" spans="8:8" x14ac:dyDescent="0.2">
      <c r="H2047">
        <v>0</v>
      </c>
    </row>
    <row r="2048" spans="8:8" x14ac:dyDescent="0.2">
      <c r="H2048">
        <v>0</v>
      </c>
    </row>
    <row r="2049" spans="8:8" x14ac:dyDescent="0.2">
      <c r="H2049">
        <v>0</v>
      </c>
    </row>
    <row r="2050" spans="8:8" x14ac:dyDescent="0.2">
      <c r="H2050">
        <v>0</v>
      </c>
    </row>
    <row r="2051" spans="8:8" x14ac:dyDescent="0.2">
      <c r="H2051">
        <v>0</v>
      </c>
    </row>
    <row r="2052" spans="8:8" x14ac:dyDescent="0.2">
      <c r="H2052">
        <v>0</v>
      </c>
    </row>
    <row r="2053" spans="8:8" x14ac:dyDescent="0.2">
      <c r="H2053">
        <v>0</v>
      </c>
    </row>
    <row r="2054" spans="8:8" x14ac:dyDescent="0.2">
      <c r="H2054">
        <v>0</v>
      </c>
    </row>
    <row r="2055" spans="8:8" x14ac:dyDescent="0.2">
      <c r="H2055">
        <v>0</v>
      </c>
    </row>
    <row r="2056" spans="8:8" x14ac:dyDescent="0.2">
      <c r="H2056">
        <v>0</v>
      </c>
    </row>
    <row r="2057" spans="8:8" x14ac:dyDescent="0.2">
      <c r="H2057">
        <v>0</v>
      </c>
    </row>
    <row r="2058" spans="8:8" x14ac:dyDescent="0.2">
      <c r="H2058">
        <v>0</v>
      </c>
    </row>
    <row r="2059" spans="8:8" x14ac:dyDescent="0.2">
      <c r="H2059">
        <v>0</v>
      </c>
    </row>
    <row r="2060" spans="8:8" x14ac:dyDescent="0.2">
      <c r="H2060">
        <v>0</v>
      </c>
    </row>
    <row r="2061" spans="8:8" x14ac:dyDescent="0.2">
      <c r="H2061">
        <v>0</v>
      </c>
    </row>
    <row r="2062" spans="8:8" x14ac:dyDescent="0.2">
      <c r="H2062">
        <v>0</v>
      </c>
    </row>
    <row r="2063" spans="8:8" x14ac:dyDescent="0.2">
      <c r="H2063">
        <v>0</v>
      </c>
    </row>
    <row r="2064" spans="8:8" x14ac:dyDescent="0.2">
      <c r="H2064">
        <v>0</v>
      </c>
    </row>
    <row r="2065" spans="8:8" x14ac:dyDescent="0.2">
      <c r="H2065">
        <v>0</v>
      </c>
    </row>
    <row r="2066" spans="8:8" x14ac:dyDescent="0.2">
      <c r="H2066">
        <v>0</v>
      </c>
    </row>
    <row r="2067" spans="8:8" x14ac:dyDescent="0.2">
      <c r="H2067">
        <v>0</v>
      </c>
    </row>
    <row r="2068" spans="8:8" x14ac:dyDescent="0.2">
      <c r="H2068">
        <v>0</v>
      </c>
    </row>
    <row r="2069" spans="8:8" x14ac:dyDescent="0.2">
      <c r="H2069">
        <v>0</v>
      </c>
    </row>
    <row r="2070" spans="8:8" x14ac:dyDescent="0.2">
      <c r="H2070">
        <v>0</v>
      </c>
    </row>
    <row r="2071" spans="8:8" x14ac:dyDescent="0.2">
      <c r="H2071">
        <v>0</v>
      </c>
    </row>
    <row r="2072" spans="8:8" x14ac:dyDescent="0.2">
      <c r="H2072">
        <v>0</v>
      </c>
    </row>
    <row r="2073" spans="8:8" x14ac:dyDescent="0.2">
      <c r="H2073">
        <v>0</v>
      </c>
    </row>
    <row r="2074" spans="8:8" x14ac:dyDescent="0.2">
      <c r="H2074">
        <v>0</v>
      </c>
    </row>
    <row r="2075" spans="8:8" x14ac:dyDescent="0.2">
      <c r="H2075">
        <v>0</v>
      </c>
    </row>
    <row r="2076" spans="8:8" x14ac:dyDescent="0.2">
      <c r="H2076">
        <v>0</v>
      </c>
    </row>
    <row r="2077" spans="8:8" x14ac:dyDescent="0.2">
      <c r="H2077">
        <v>0</v>
      </c>
    </row>
    <row r="2078" spans="8:8" x14ac:dyDescent="0.2">
      <c r="H2078">
        <v>0</v>
      </c>
    </row>
    <row r="2079" spans="8:8" x14ac:dyDescent="0.2">
      <c r="H2079">
        <v>0</v>
      </c>
    </row>
    <row r="2080" spans="8:8" x14ac:dyDescent="0.2">
      <c r="H2080">
        <v>0</v>
      </c>
    </row>
    <row r="2081" spans="8:8" x14ac:dyDescent="0.2">
      <c r="H2081">
        <v>0</v>
      </c>
    </row>
    <row r="2082" spans="8:8" x14ac:dyDescent="0.2">
      <c r="H2082">
        <v>0</v>
      </c>
    </row>
    <row r="2083" spans="8:8" x14ac:dyDescent="0.2">
      <c r="H2083">
        <v>0</v>
      </c>
    </row>
    <row r="2084" spans="8:8" x14ac:dyDescent="0.2">
      <c r="H2084">
        <v>0</v>
      </c>
    </row>
    <row r="2085" spans="8:8" x14ac:dyDescent="0.2">
      <c r="H2085">
        <v>0</v>
      </c>
    </row>
    <row r="2086" spans="8:8" x14ac:dyDescent="0.2">
      <c r="H2086">
        <v>0</v>
      </c>
    </row>
    <row r="2087" spans="8:8" x14ac:dyDescent="0.2">
      <c r="H2087">
        <v>0</v>
      </c>
    </row>
    <row r="2088" spans="8:8" x14ac:dyDescent="0.2">
      <c r="H2088">
        <v>0</v>
      </c>
    </row>
    <row r="2089" spans="8:8" x14ac:dyDescent="0.2">
      <c r="H2089">
        <v>0</v>
      </c>
    </row>
    <row r="2090" spans="8:8" x14ac:dyDescent="0.2">
      <c r="H2090">
        <v>0</v>
      </c>
    </row>
    <row r="2091" spans="8:8" x14ac:dyDescent="0.2">
      <c r="H2091">
        <v>0</v>
      </c>
    </row>
    <row r="2092" spans="8:8" x14ac:dyDescent="0.2">
      <c r="H2092">
        <v>0</v>
      </c>
    </row>
    <row r="2093" spans="8:8" x14ac:dyDescent="0.2">
      <c r="H2093">
        <v>0</v>
      </c>
    </row>
    <row r="2094" spans="8:8" x14ac:dyDescent="0.2">
      <c r="H2094">
        <v>0</v>
      </c>
    </row>
    <row r="2095" spans="8:8" x14ac:dyDescent="0.2">
      <c r="H2095">
        <v>0</v>
      </c>
    </row>
    <row r="2096" spans="8:8" x14ac:dyDescent="0.2">
      <c r="H2096">
        <v>0</v>
      </c>
    </row>
    <row r="2097" spans="8:8" x14ac:dyDescent="0.2">
      <c r="H2097">
        <v>0</v>
      </c>
    </row>
    <row r="2098" spans="8:8" x14ac:dyDescent="0.2">
      <c r="H2098">
        <v>0</v>
      </c>
    </row>
    <row r="2099" spans="8:8" x14ac:dyDescent="0.2">
      <c r="H2099">
        <v>0</v>
      </c>
    </row>
    <row r="2100" spans="8:8" x14ac:dyDescent="0.2">
      <c r="H2100">
        <v>0</v>
      </c>
    </row>
    <row r="2101" spans="8:8" x14ac:dyDescent="0.2">
      <c r="H2101">
        <v>0</v>
      </c>
    </row>
    <row r="2102" spans="8:8" x14ac:dyDescent="0.2">
      <c r="H2102">
        <v>0</v>
      </c>
    </row>
    <row r="2103" spans="8:8" x14ac:dyDescent="0.2">
      <c r="H2103">
        <v>0</v>
      </c>
    </row>
    <row r="2104" spans="8:8" x14ac:dyDescent="0.2">
      <c r="H2104">
        <v>0</v>
      </c>
    </row>
    <row r="2105" spans="8:8" x14ac:dyDescent="0.2">
      <c r="H2105">
        <v>0</v>
      </c>
    </row>
    <row r="2106" spans="8:8" x14ac:dyDescent="0.2">
      <c r="H2106">
        <v>0</v>
      </c>
    </row>
    <row r="2107" spans="8:8" x14ac:dyDescent="0.2">
      <c r="H2107">
        <v>0</v>
      </c>
    </row>
    <row r="2108" spans="8:8" x14ac:dyDescent="0.2">
      <c r="H2108">
        <v>0</v>
      </c>
    </row>
    <row r="2109" spans="8:8" x14ac:dyDescent="0.2">
      <c r="H2109">
        <v>0</v>
      </c>
    </row>
    <row r="2110" spans="8:8" x14ac:dyDescent="0.2">
      <c r="H2110">
        <v>0</v>
      </c>
    </row>
    <row r="2111" spans="8:8" x14ac:dyDescent="0.2">
      <c r="H2111">
        <v>0</v>
      </c>
    </row>
    <row r="2112" spans="8:8" x14ac:dyDescent="0.2">
      <c r="H2112">
        <v>0</v>
      </c>
    </row>
    <row r="2113" spans="8:8" x14ac:dyDescent="0.2">
      <c r="H2113">
        <v>0</v>
      </c>
    </row>
    <row r="2114" spans="8:8" x14ac:dyDescent="0.2">
      <c r="H2114">
        <v>0</v>
      </c>
    </row>
    <row r="2115" spans="8:8" x14ac:dyDescent="0.2">
      <c r="H2115">
        <v>0</v>
      </c>
    </row>
    <row r="2116" spans="8:8" x14ac:dyDescent="0.2">
      <c r="H2116">
        <v>0</v>
      </c>
    </row>
    <row r="2117" spans="8:8" x14ac:dyDescent="0.2">
      <c r="H2117">
        <v>0</v>
      </c>
    </row>
    <row r="2118" spans="8:8" x14ac:dyDescent="0.2">
      <c r="H2118">
        <v>0</v>
      </c>
    </row>
    <row r="2119" spans="8:8" x14ac:dyDescent="0.2">
      <c r="H2119">
        <v>0</v>
      </c>
    </row>
    <row r="2120" spans="8:8" x14ac:dyDescent="0.2">
      <c r="H2120">
        <v>0</v>
      </c>
    </row>
    <row r="2121" spans="8:8" x14ac:dyDescent="0.2">
      <c r="H2121">
        <v>0</v>
      </c>
    </row>
    <row r="2122" spans="8:8" x14ac:dyDescent="0.2">
      <c r="H2122">
        <v>0</v>
      </c>
    </row>
    <row r="2123" spans="8:8" x14ac:dyDescent="0.2">
      <c r="H2123">
        <v>0</v>
      </c>
    </row>
    <row r="2124" spans="8:8" x14ac:dyDescent="0.2">
      <c r="H2124">
        <v>0</v>
      </c>
    </row>
    <row r="2125" spans="8:8" x14ac:dyDescent="0.2">
      <c r="H2125">
        <v>0</v>
      </c>
    </row>
    <row r="2126" spans="8:8" x14ac:dyDescent="0.2">
      <c r="H2126">
        <v>0</v>
      </c>
    </row>
    <row r="2127" spans="8:8" x14ac:dyDescent="0.2">
      <c r="H2127">
        <v>0</v>
      </c>
    </row>
    <row r="2128" spans="8:8" x14ac:dyDescent="0.2">
      <c r="H2128">
        <v>0</v>
      </c>
    </row>
    <row r="2129" spans="8:8" x14ac:dyDescent="0.2">
      <c r="H2129">
        <v>0</v>
      </c>
    </row>
    <row r="2130" spans="8:8" x14ac:dyDescent="0.2">
      <c r="H2130">
        <v>0</v>
      </c>
    </row>
    <row r="2131" spans="8:8" x14ac:dyDescent="0.2">
      <c r="H2131">
        <v>0</v>
      </c>
    </row>
    <row r="2132" spans="8:8" x14ac:dyDescent="0.2">
      <c r="H2132">
        <v>0</v>
      </c>
    </row>
    <row r="2133" spans="8:8" x14ac:dyDescent="0.2">
      <c r="H2133">
        <v>0</v>
      </c>
    </row>
    <row r="2134" spans="8:8" x14ac:dyDescent="0.2">
      <c r="H2134">
        <v>0</v>
      </c>
    </row>
    <row r="2135" spans="8:8" x14ac:dyDescent="0.2">
      <c r="H2135">
        <v>0</v>
      </c>
    </row>
    <row r="2136" spans="8:8" x14ac:dyDescent="0.2">
      <c r="H2136">
        <v>0</v>
      </c>
    </row>
    <row r="2137" spans="8:8" x14ac:dyDescent="0.2">
      <c r="H2137">
        <v>0</v>
      </c>
    </row>
    <row r="2138" spans="8:8" x14ac:dyDescent="0.2">
      <c r="H2138">
        <v>0</v>
      </c>
    </row>
    <row r="2139" spans="8:8" x14ac:dyDescent="0.2">
      <c r="H2139">
        <v>0</v>
      </c>
    </row>
    <row r="2140" spans="8:8" x14ac:dyDescent="0.2">
      <c r="H2140">
        <v>0</v>
      </c>
    </row>
    <row r="2141" spans="8:8" x14ac:dyDescent="0.2">
      <c r="H2141">
        <v>0</v>
      </c>
    </row>
    <row r="2142" spans="8:8" x14ac:dyDescent="0.2">
      <c r="H2142">
        <v>0</v>
      </c>
    </row>
    <row r="2143" spans="8:8" x14ac:dyDescent="0.2">
      <c r="H2143">
        <v>0</v>
      </c>
    </row>
    <row r="2144" spans="8:8" x14ac:dyDescent="0.2">
      <c r="H2144">
        <v>0</v>
      </c>
    </row>
    <row r="2145" spans="8:8" x14ac:dyDescent="0.2">
      <c r="H2145">
        <v>0</v>
      </c>
    </row>
    <row r="2146" spans="8:8" x14ac:dyDescent="0.2">
      <c r="H2146">
        <v>0</v>
      </c>
    </row>
    <row r="2147" spans="8:8" x14ac:dyDescent="0.2">
      <c r="H2147">
        <v>0</v>
      </c>
    </row>
    <row r="2148" spans="8:8" x14ac:dyDescent="0.2">
      <c r="H2148">
        <v>0</v>
      </c>
    </row>
    <row r="2149" spans="8:8" x14ac:dyDescent="0.2">
      <c r="H2149">
        <v>0</v>
      </c>
    </row>
    <row r="2150" spans="8:8" x14ac:dyDescent="0.2">
      <c r="H2150">
        <v>0</v>
      </c>
    </row>
    <row r="2151" spans="8:8" x14ac:dyDescent="0.2">
      <c r="H2151">
        <v>0</v>
      </c>
    </row>
    <row r="2152" spans="8:8" x14ac:dyDescent="0.2">
      <c r="H2152">
        <v>0</v>
      </c>
    </row>
    <row r="2153" spans="8:8" x14ac:dyDescent="0.2">
      <c r="H2153">
        <v>0</v>
      </c>
    </row>
    <row r="2154" spans="8:8" x14ac:dyDescent="0.2">
      <c r="H2154">
        <v>0</v>
      </c>
    </row>
    <row r="2155" spans="8:8" x14ac:dyDescent="0.2">
      <c r="H2155">
        <v>0</v>
      </c>
    </row>
    <row r="2156" spans="8:8" x14ac:dyDescent="0.2">
      <c r="H2156">
        <v>0</v>
      </c>
    </row>
    <row r="2157" spans="8:8" x14ac:dyDescent="0.2">
      <c r="H2157">
        <v>0</v>
      </c>
    </row>
    <row r="2158" spans="8:8" x14ac:dyDescent="0.2">
      <c r="H2158">
        <v>0</v>
      </c>
    </row>
    <row r="2159" spans="8:8" x14ac:dyDescent="0.2">
      <c r="H2159">
        <v>0</v>
      </c>
    </row>
    <row r="2160" spans="8:8" x14ac:dyDescent="0.2">
      <c r="H2160">
        <v>0</v>
      </c>
    </row>
    <row r="2161" spans="8:8" x14ac:dyDescent="0.2">
      <c r="H2161">
        <v>0</v>
      </c>
    </row>
    <row r="2162" spans="8:8" x14ac:dyDescent="0.2">
      <c r="H2162">
        <v>0</v>
      </c>
    </row>
    <row r="2163" spans="8:8" x14ac:dyDescent="0.2">
      <c r="H2163">
        <v>0</v>
      </c>
    </row>
    <row r="2164" spans="8:8" x14ac:dyDescent="0.2">
      <c r="H2164">
        <v>0</v>
      </c>
    </row>
    <row r="2165" spans="8:8" x14ac:dyDescent="0.2">
      <c r="H2165">
        <v>0</v>
      </c>
    </row>
    <row r="2166" spans="8:8" x14ac:dyDescent="0.2">
      <c r="H2166">
        <v>0</v>
      </c>
    </row>
    <row r="2167" spans="8:8" x14ac:dyDescent="0.2">
      <c r="H2167">
        <v>0</v>
      </c>
    </row>
    <row r="2168" spans="8:8" x14ac:dyDescent="0.2">
      <c r="H2168">
        <v>0</v>
      </c>
    </row>
    <row r="2169" spans="8:8" x14ac:dyDescent="0.2">
      <c r="H2169">
        <v>0</v>
      </c>
    </row>
    <row r="2170" spans="8:8" x14ac:dyDescent="0.2">
      <c r="H2170">
        <v>0</v>
      </c>
    </row>
    <row r="2171" spans="8:8" x14ac:dyDescent="0.2">
      <c r="H2171">
        <v>0</v>
      </c>
    </row>
    <row r="2172" spans="8:8" x14ac:dyDescent="0.2">
      <c r="H2172">
        <v>0</v>
      </c>
    </row>
    <row r="2173" spans="8:8" x14ac:dyDescent="0.2">
      <c r="H2173">
        <v>0</v>
      </c>
    </row>
    <row r="2174" spans="8:8" x14ac:dyDescent="0.2">
      <c r="H2174">
        <v>0</v>
      </c>
    </row>
    <row r="2175" spans="8:8" x14ac:dyDescent="0.2">
      <c r="H2175">
        <v>0</v>
      </c>
    </row>
    <row r="2176" spans="8:8" x14ac:dyDescent="0.2">
      <c r="H2176">
        <v>0</v>
      </c>
    </row>
    <row r="2177" spans="8:8" x14ac:dyDescent="0.2">
      <c r="H2177">
        <v>0</v>
      </c>
    </row>
    <row r="2178" spans="8:8" x14ac:dyDescent="0.2">
      <c r="H2178">
        <v>0</v>
      </c>
    </row>
    <row r="2179" spans="8:8" x14ac:dyDescent="0.2">
      <c r="H2179">
        <v>0</v>
      </c>
    </row>
    <row r="2180" spans="8:8" x14ac:dyDescent="0.2">
      <c r="H2180">
        <v>0</v>
      </c>
    </row>
    <row r="2181" spans="8:8" x14ac:dyDescent="0.2">
      <c r="H2181">
        <v>0</v>
      </c>
    </row>
    <row r="2182" spans="8:8" x14ac:dyDescent="0.2">
      <c r="H2182">
        <v>0</v>
      </c>
    </row>
    <row r="2183" spans="8:8" x14ac:dyDescent="0.2">
      <c r="H2183">
        <v>0</v>
      </c>
    </row>
    <row r="2184" spans="8:8" x14ac:dyDescent="0.2">
      <c r="H2184">
        <v>0</v>
      </c>
    </row>
    <row r="2185" spans="8:8" x14ac:dyDescent="0.2">
      <c r="H2185">
        <v>0</v>
      </c>
    </row>
    <row r="2186" spans="8:8" x14ac:dyDescent="0.2">
      <c r="H2186">
        <v>0</v>
      </c>
    </row>
    <row r="2187" spans="8:8" x14ac:dyDescent="0.2">
      <c r="H2187">
        <v>0</v>
      </c>
    </row>
    <row r="2188" spans="8:8" x14ac:dyDescent="0.2">
      <c r="H2188">
        <v>0</v>
      </c>
    </row>
    <row r="2189" spans="8:8" x14ac:dyDescent="0.2">
      <c r="H2189">
        <v>0</v>
      </c>
    </row>
    <row r="2190" spans="8:8" x14ac:dyDescent="0.2">
      <c r="H2190">
        <v>0</v>
      </c>
    </row>
    <row r="2191" spans="8:8" x14ac:dyDescent="0.2">
      <c r="H2191">
        <v>0</v>
      </c>
    </row>
    <row r="2192" spans="8:8" x14ac:dyDescent="0.2">
      <c r="H2192">
        <v>0</v>
      </c>
    </row>
    <row r="2193" spans="8:8" x14ac:dyDescent="0.2">
      <c r="H2193">
        <v>0</v>
      </c>
    </row>
    <row r="2194" spans="8:8" x14ac:dyDescent="0.2">
      <c r="H2194">
        <v>0</v>
      </c>
    </row>
    <row r="2195" spans="8:8" x14ac:dyDescent="0.2">
      <c r="H2195">
        <v>0</v>
      </c>
    </row>
    <row r="2196" spans="8:8" x14ac:dyDescent="0.2">
      <c r="H2196">
        <v>0</v>
      </c>
    </row>
    <row r="2197" spans="8:8" x14ac:dyDescent="0.2">
      <c r="H2197">
        <v>0</v>
      </c>
    </row>
    <row r="2198" spans="8:8" x14ac:dyDescent="0.2">
      <c r="H2198">
        <v>0</v>
      </c>
    </row>
    <row r="2199" spans="8:8" x14ac:dyDescent="0.2">
      <c r="H2199">
        <v>0</v>
      </c>
    </row>
    <row r="2200" spans="8:8" x14ac:dyDescent="0.2">
      <c r="H2200">
        <v>0</v>
      </c>
    </row>
    <row r="2201" spans="8:8" x14ac:dyDescent="0.2">
      <c r="H2201">
        <v>0</v>
      </c>
    </row>
    <row r="2202" spans="8:8" x14ac:dyDescent="0.2">
      <c r="H2202">
        <v>0</v>
      </c>
    </row>
    <row r="2203" spans="8:8" x14ac:dyDescent="0.2">
      <c r="H2203">
        <v>0</v>
      </c>
    </row>
    <row r="2204" spans="8:8" x14ac:dyDescent="0.2">
      <c r="H2204">
        <v>0</v>
      </c>
    </row>
    <row r="2205" spans="8:8" x14ac:dyDescent="0.2">
      <c r="H2205">
        <v>0</v>
      </c>
    </row>
    <row r="2206" spans="8:8" x14ac:dyDescent="0.2">
      <c r="H2206">
        <v>0</v>
      </c>
    </row>
    <row r="2207" spans="8:8" x14ac:dyDescent="0.2">
      <c r="H2207">
        <v>0</v>
      </c>
    </row>
    <row r="2208" spans="8:8" x14ac:dyDescent="0.2">
      <c r="H2208">
        <v>0</v>
      </c>
    </row>
    <row r="2209" spans="8:8" x14ac:dyDescent="0.2">
      <c r="H2209">
        <v>0</v>
      </c>
    </row>
    <row r="2210" spans="8:8" x14ac:dyDescent="0.2">
      <c r="H2210">
        <v>0</v>
      </c>
    </row>
    <row r="2211" spans="8:8" x14ac:dyDescent="0.2">
      <c r="H2211">
        <v>0</v>
      </c>
    </row>
    <row r="2212" spans="8:8" x14ac:dyDescent="0.2">
      <c r="H2212">
        <v>0</v>
      </c>
    </row>
    <row r="2213" spans="8:8" x14ac:dyDescent="0.2">
      <c r="H2213">
        <v>0</v>
      </c>
    </row>
    <row r="2214" spans="8:8" x14ac:dyDescent="0.2">
      <c r="H2214">
        <v>0</v>
      </c>
    </row>
    <row r="2215" spans="8:8" x14ac:dyDescent="0.2">
      <c r="H2215">
        <v>0</v>
      </c>
    </row>
    <row r="2216" spans="8:8" x14ac:dyDescent="0.2">
      <c r="H2216">
        <v>0</v>
      </c>
    </row>
    <row r="2217" spans="8:8" x14ac:dyDescent="0.2">
      <c r="H2217">
        <v>0</v>
      </c>
    </row>
    <row r="2218" spans="8:8" x14ac:dyDescent="0.2">
      <c r="H2218">
        <v>0</v>
      </c>
    </row>
    <row r="2219" spans="8:8" x14ac:dyDescent="0.2">
      <c r="H2219">
        <v>0</v>
      </c>
    </row>
    <row r="2220" spans="8:8" x14ac:dyDescent="0.2">
      <c r="H2220">
        <v>0</v>
      </c>
    </row>
    <row r="2221" spans="8:8" x14ac:dyDescent="0.2">
      <c r="H2221">
        <v>0</v>
      </c>
    </row>
    <row r="2222" spans="8:8" x14ac:dyDescent="0.2">
      <c r="H2222">
        <v>0</v>
      </c>
    </row>
    <row r="2223" spans="8:8" x14ac:dyDescent="0.2">
      <c r="H2223">
        <v>0</v>
      </c>
    </row>
    <row r="2224" spans="8:8" x14ac:dyDescent="0.2">
      <c r="H2224">
        <v>0</v>
      </c>
    </row>
    <row r="2225" spans="8:8" x14ac:dyDescent="0.2">
      <c r="H2225">
        <v>0</v>
      </c>
    </row>
    <row r="2226" spans="8:8" x14ac:dyDescent="0.2">
      <c r="H2226">
        <v>0</v>
      </c>
    </row>
    <row r="2227" spans="8:8" x14ac:dyDescent="0.2">
      <c r="H2227">
        <v>0</v>
      </c>
    </row>
    <row r="2228" spans="8:8" x14ac:dyDescent="0.2">
      <c r="H2228">
        <v>0</v>
      </c>
    </row>
    <row r="2229" spans="8:8" x14ac:dyDescent="0.2">
      <c r="H2229">
        <v>0</v>
      </c>
    </row>
    <row r="2230" spans="8:8" x14ac:dyDescent="0.2">
      <c r="H2230">
        <v>0</v>
      </c>
    </row>
    <row r="2231" spans="8:8" x14ac:dyDescent="0.2">
      <c r="H2231">
        <v>0</v>
      </c>
    </row>
    <row r="2232" spans="8:8" x14ac:dyDescent="0.2">
      <c r="H2232">
        <v>0</v>
      </c>
    </row>
    <row r="2233" spans="8:8" x14ac:dyDescent="0.2">
      <c r="H2233">
        <v>0</v>
      </c>
    </row>
    <row r="2234" spans="8:8" x14ac:dyDescent="0.2">
      <c r="H2234">
        <v>0</v>
      </c>
    </row>
    <row r="2235" spans="8:8" x14ac:dyDescent="0.2">
      <c r="H2235">
        <v>0</v>
      </c>
    </row>
    <row r="2236" spans="8:8" x14ac:dyDescent="0.2">
      <c r="H2236">
        <v>0</v>
      </c>
    </row>
    <row r="2237" spans="8:8" x14ac:dyDescent="0.2">
      <c r="H2237">
        <v>0</v>
      </c>
    </row>
    <row r="2238" spans="8:8" x14ac:dyDescent="0.2">
      <c r="H2238">
        <v>0</v>
      </c>
    </row>
    <row r="2239" spans="8:8" x14ac:dyDescent="0.2">
      <c r="H2239">
        <v>0</v>
      </c>
    </row>
    <row r="2240" spans="8:8" x14ac:dyDescent="0.2">
      <c r="H2240">
        <v>0</v>
      </c>
    </row>
    <row r="2241" spans="8:8" x14ac:dyDescent="0.2">
      <c r="H2241">
        <v>0</v>
      </c>
    </row>
    <row r="2242" spans="8:8" x14ac:dyDescent="0.2">
      <c r="H2242">
        <v>0</v>
      </c>
    </row>
    <row r="2243" spans="8:8" x14ac:dyDescent="0.2">
      <c r="H2243">
        <v>0</v>
      </c>
    </row>
    <row r="2244" spans="8:8" x14ac:dyDescent="0.2">
      <c r="H2244">
        <v>0</v>
      </c>
    </row>
    <row r="2245" spans="8:8" x14ac:dyDescent="0.2">
      <c r="H2245">
        <v>0</v>
      </c>
    </row>
    <row r="2246" spans="8:8" x14ac:dyDescent="0.2">
      <c r="H2246">
        <v>0</v>
      </c>
    </row>
    <row r="2247" spans="8:8" x14ac:dyDescent="0.2">
      <c r="H2247">
        <v>0</v>
      </c>
    </row>
    <row r="2248" spans="8:8" x14ac:dyDescent="0.2">
      <c r="H2248">
        <v>0</v>
      </c>
    </row>
    <row r="2249" spans="8:8" x14ac:dyDescent="0.2">
      <c r="H2249">
        <v>0</v>
      </c>
    </row>
    <row r="2250" spans="8:8" x14ac:dyDescent="0.2">
      <c r="H2250">
        <v>0</v>
      </c>
    </row>
    <row r="2251" spans="8:8" x14ac:dyDescent="0.2">
      <c r="H2251">
        <v>0</v>
      </c>
    </row>
    <row r="2252" spans="8:8" x14ac:dyDescent="0.2">
      <c r="H2252">
        <v>0</v>
      </c>
    </row>
    <row r="2253" spans="8:8" x14ac:dyDescent="0.2">
      <c r="H2253">
        <v>0</v>
      </c>
    </row>
    <row r="2254" spans="8:8" x14ac:dyDescent="0.2">
      <c r="H2254">
        <v>0</v>
      </c>
    </row>
    <row r="2255" spans="8:8" x14ac:dyDescent="0.2">
      <c r="H2255">
        <v>0</v>
      </c>
    </row>
    <row r="2256" spans="8:8" x14ac:dyDescent="0.2">
      <c r="H2256">
        <v>0</v>
      </c>
    </row>
    <row r="2257" spans="8:8" x14ac:dyDescent="0.2">
      <c r="H2257">
        <v>0</v>
      </c>
    </row>
    <row r="2258" spans="8:8" x14ac:dyDescent="0.2">
      <c r="H2258">
        <v>0</v>
      </c>
    </row>
    <row r="2259" spans="8:8" x14ac:dyDescent="0.2">
      <c r="H2259">
        <v>0</v>
      </c>
    </row>
    <row r="2260" spans="8:8" x14ac:dyDescent="0.2">
      <c r="H2260">
        <v>0</v>
      </c>
    </row>
    <row r="2261" spans="8:8" x14ac:dyDescent="0.2">
      <c r="H2261">
        <v>0</v>
      </c>
    </row>
    <row r="2262" spans="8:8" x14ac:dyDescent="0.2">
      <c r="H2262">
        <v>0</v>
      </c>
    </row>
    <row r="2263" spans="8:8" x14ac:dyDescent="0.2">
      <c r="H2263">
        <v>0</v>
      </c>
    </row>
    <row r="2264" spans="8:8" x14ac:dyDescent="0.2">
      <c r="H2264">
        <v>0</v>
      </c>
    </row>
    <row r="2265" spans="8:8" x14ac:dyDescent="0.2">
      <c r="H2265">
        <v>0</v>
      </c>
    </row>
    <row r="2266" spans="8:8" x14ac:dyDescent="0.2">
      <c r="H2266">
        <v>0</v>
      </c>
    </row>
    <row r="2267" spans="8:8" x14ac:dyDescent="0.2">
      <c r="H2267">
        <v>0</v>
      </c>
    </row>
    <row r="2268" spans="8:8" x14ac:dyDescent="0.2">
      <c r="H2268">
        <v>0</v>
      </c>
    </row>
    <row r="2269" spans="8:8" x14ac:dyDescent="0.2">
      <c r="H2269">
        <v>0</v>
      </c>
    </row>
    <row r="2270" spans="8:8" x14ac:dyDescent="0.2">
      <c r="H2270">
        <v>0</v>
      </c>
    </row>
    <row r="2271" spans="8:8" x14ac:dyDescent="0.2">
      <c r="H2271">
        <v>0</v>
      </c>
    </row>
    <row r="2272" spans="8:8" x14ac:dyDescent="0.2">
      <c r="H2272">
        <v>0</v>
      </c>
    </row>
    <row r="2273" spans="8:8" x14ac:dyDescent="0.2">
      <c r="H2273">
        <v>0</v>
      </c>
    </row>
    <row r="2274" spans="8:8" x14ac:dyDescent="0.2">
      <c r="H2274">
        <v>0</v>
      </c>
    </row>
    <row r="2275" spans="8:8" x14ac:dyDescent="0.2">
      <c r="H2275">
        <v>0</v>
      </c>
    </row>
    <row r="2276" spans="8:8" x14ac:dyDescent="0.2">
      <c r="H2276">
        <v>0</v>
      </c>
    </row>
    <row r="2277" spans="8:8" x14ac:dyDescent="0.2">
      <c r="H2277">
        <v>0</v>
      </c>
    </row>
    <row r="2278" spans="8:8" x14ac:dyDescent="0.2">
      <c r="H2278">
        <v>0</v>
      </c>
    </row>
    <row r="2279" spans="8:8" x14ac:dyDescent="0.2">
      <c r="H2279">
        <v>0</v>
      </c>
    </row>
    <row r="2280" spans="8:8" x14ac:dyDescent="0.2">
      <c r="H2280">
        <v>0</v>
      </c>
    </row>
    <row r="2281" spans="8:8" x14ac:dyDescent="0.2">
      <c r="H2281">
        <v>0</v>
      </c>
    </row>
    <row r="2282" spans="8:8" x14ac:dyDescent="0.2">
      <c r="H2282">
        <v>0</v>
      </c>
    </row>
    <row r="2283" spans="8:8" x14ac:dyDescent="0.2">
      <c r="H2283">
        <v>0</v>
      </c>
    </row>
    <row r="2284" spans="8:8" x14ac:dyDescent="0.2">
      <c r="H2284">
        <v>0</v>
      </c>
    </row>
    <row r="2285" spans="8:8" x14ac:dyDescent="0.2">
      <c r="H2285">
        <v>0</v>
      </c>
    </row>
    <row r="2286" spans="8:8" x14ac:dyDescent="0.2">
      <c r="H2286">
        <v>0</v>
      </c>
    </row>
    <row r="2287" spans="8:8" x14ac:dyDescent="0.2">
      <c r="H2287">
        <v>0</v>
      </c>
    </row>
    <row r="2288" spans="8:8" x14ac:dyDescent="0.2">
      <c r="H2288">
        <v>0</v>
      </c>
    </row>
    <row r="2289" spans="8:8" x14ac:dyDescent="0.2">
      <c r="H2289">
        <v>0</v>
      </c>
    </row>
    <row r="2290" spans="8:8" x14ac:dyDescent="0.2">
      <c r="H2290">
        <v>0</v>
      </c>
    </row>
    <row r="2291" spans="8:8" x14ac:dyDescent="0.2">
      <c r="H2291">
        <v>0</v>
      </c>
    </row>
    <row r="2292" spans="8:8" x14ac:dyDescent="0.2">
      <c r="H2292">
        <v>0</v>
      </c>
    </row>
    <row r="2293" spans="8:8" x14ac:dyDescent="0.2">
      <c r="H2293">
        <v>0</v>
      </c>
    </row>
    <row r="2294" spans="8:8" x14ac:dyDescent="0.2">
      <c r="H2294">
        <v>0</v>
      </c>
    </row>
    <row r="2295" spans="8:8" x14ac:dyDescent="0.2">
      <c r="H2295">
        <v>0</v>
      </c>
    </row>
    <row r="2296" spans="8:8" x14ac:dyDescent="0.2">
      <c r="H2296">
        <v>0</v>
      </c>
    </row>
    <row r="2297" spans="8:8" x14ac:dyDescent="0.2">
      <c r="H2297">
        <v>0</v>
      </c>
    </row>
    <row r="2298" spans="8:8" x14ac:dyDescent="0.2">
      <c r="H2298">
        <v>0</v>
      </c>
    </row>
    <row r="2299" spans="8:8" x14ac:dyDescent="0.2">
      <c r="H2299">
        <v>0</v>
      </c>
    </row>
    <row r="2300" spans="8:8" x14ac:dyDescent="0.2">
      <c r="H2300">
        <v>0</v>
      </c>
    </row>
    <row r="2301" spans="8:8" x14ac:dyDescent="0.2">
      <c r="H2301">
        <v>0</v>
      </c>
    </row>
    <row r="2302" spans="8:8" x14ac:dyDescent="0.2">
      <c r="H2302">
        <v>0</v>
      </c>
    </row>
    <row r="2303" spans="8:8" x14ac:dyDescent="0.2">
      <c r="H2303">
        <v>0</v>
      </c>
    </row>
    <row r="2304" spans="8:8" x14ac:dyDescent="0.2">
      <c r="H2304">
        <v>0</v>
      </c>
    </row>
    <row r="2305" spans="8:8" x14ac:dyDescent="0.2">
      <c r="H2305">
        <v>0</v>
      </c>
    </row>
    <row r="2306" spans="8:8" x14ac:dyDescent="0.2">
      <c r="H2306">
        <v>0</v>
      </c>
    </row>
    <row r="2307" spans="8:8" x14ac:dyDescent="0.2">
      <c r="H2307">
        <v>0</v>
      </c>
    </row>
    <row r="2308" spans="8:8" x14ac:dyDescent="0.2">
      <c r="H2308">
        <v>0</v>
      </c>
    </row>
    <row r="2309" spans="8:8" x14ac:dyDescent="0.2">
      <c r="H2309">
        <v>0</v>
      </c>
    </row>
    <row r="2310" spans="8:8" x14ac:dyDescent="0.2">
      <c r="H2310">
        <v>0</v>
      </c>
    </row>
    <row r="2311" spans="8:8" x14ac:dyDescent="0.2">
      <c r="H2311">
        <v>0</v>
      </c>
    </row>
    <row r="2312" spans="8:8" x14ac:dyDescent="0.2">
      <c r="H2312">
        <v>0</v>
      </c>
    </row>
    <row r="2313" spans="8:8" x14ac:dyDescent="0.2">
      <c r="H2313">
        <v>0</v>
      </c>
    </row>
    <row r="2314" spans="8:8" x14ac:dyDescent="0.2">
      <c r="H2314">
        <v>0</v>
      </c>
    </row>
    <row r="2315" spans="8:8" x14ac:dyDescent="0.2">
      <c r="H2315">
        <v>0</v>
      </c>
    </row>
    <row r="2316" spans="8:8" x14ac:dyDescent="0.2">
      <c r="H2316">
        <v>0</v>
      </c>
    </row>
    <row r="2317" spans="8:8" x14ac:dyDescent="0.2">
      <c r="H2317">
        <v>0</v>
      </c>
    </row>
    <row r="2318" spans="8:8" x14ac:dyDescent="0.2">
      <c r="H2318">
        <v>0</v>
      </c>
    </row>
    <row r="2319" spans="8:8" x14ac:dyDescent="0.2">
      <c r="H2319">
        <v>0</v>
      </c>
    </row>
    <row r="2320" spans="8:8" x14ac:dyDescent="0.2">
      <c r="H2320">
        <v>0</v>
      </c>
    </row>
    <row r="2321" spans="8:8" x14ac:dyDescent="0.2">
      <c r="H2321">
        <v>0</v>
      </c>
    </row>
    <row r="2322" spans="8:8" x14ac:dyDescent="0.2">
      <c r="H2322">
        <v>0</v>
      </c>
    </row>
    <row r="2323" spans="8:8" x14ac:dyDescent="0.2">
      <c r="H2323">
        <v>0</v>
      </c>
    </row>
    <row r="2324" spans="8:8" x14ac:dyDescent="0.2">
      <c r="H2324">
        <v>0</v>
      </c>
    </row>
    <row r="2325" spans="8:8" x14ac:dyDescent="0.2">
      <c r="H2325">
        <v>0</v>
      </c>
    </row>
    <row r="2326" spans="8:8" x14ac:dyDescent="0.2">
      <c r="H2326">
        <v>0</v>
      </c>
    </row>
    <row r="2327" spans="8:8" x14ac:dyDescent="0.2">
      <c r="H2327">
        <v>0</v>
      </c>
    </row>
    <row r="2328" spans="8:8" x14ac:dyDescent="0.2">
      <c r="H2328">
        <v>0</v>
      </c>
    </row>
    <row r="2329" spans="8:8" x14ac:dyDescent="0.2">
      <c r="H2329">
        <v>0</v>
      </c>
    </row>
    <row r="2330" spans="8:8" x14ac:dyDescent="0.2">
      <c r="H2330">
        <v>0</v>
      </c>
    </row>
    <row r="2331" spans="8:8" x14ac:dyDescent="0.2">
      <c r="H2331">
        <v>0</v>
      </c>
    </row>
    <row r="2332" spans="8:8" x14ac:dyDescent="0.2">
      <c r="H2332">
        <v>0</v>
      </c>
    </row>
    <row r="2333" spans="8:8" x14ac:dyDescent="0.2">
      <c r="H2333">
        <v>0</v>
      </c>
    </row>
    <row r="2334" spans="8:8" x14ac:dyDescent="0.2">
      <c r="H2334">
        <v>0</v>
      </c>
    </row>
    <row r="2335" spans="8:8" x14ac:dyDescent="0.2">
      <c r="H2335">
        <v>0</v>
      </c>
    </row>
    <row r="2336" spans="8:8" x14ac:dyDescent="0.2">
      <c r="H2336">
        <v>0</v>
      </c>
    </row>
    <row r="2337" spans="8:8" x14ac:dyDescent="0.2">
      <c r="H2337">
        <v>0</v>
      </c>
    </row>
    <row r="2338" spans="8:8" x14ac:dyDescent="0.2">
      <c r="H2338">
        <v>0</v>
      </c>
    </row>
    <row r="2339" spans="8:8" x14ac:dyDescent="0.2">
      <c r="H2339">
        <v>0</v>
      </c>
    </row>
    <row r="2340" spans="8:8" x14ac:dyDescent="0.2">
      <c r="H2340">
        <v>0</v>
      </c>
    </row>
    <row r="2341" spans="8:8" x14ac:dyDescent="0.2">
      <c r="H2341">
        <v>0</v>
      </c>
    </row>
    <row r="2342" spans="8:8" x14ac:dyDescent="0.2">
      <c r="H2342">
        <v>0</v>
      </c>
    </row>
    <row r="2343" spans="8:8" x14ac:dyDescent="0.2">
      <c r="H2343">
        <v>0</v>
      </c>
    </row>
    <row r="2344" spans="8:8" x14ac:dyDescent="0.2">
      <c r="H2344">
        <v>0</v>
      </c>
    </row>
    <row r="2345" spans="8:8" x14ac:dyDescent="0.2">
      <c r="H2345">
        <v>0</v>
      </c>
    </row>
    <row r="2346" spans="8:8" x14ac:dyDescent="0.2">
      <c r="H2346">
        <v>0</v>
      </c>
    </row>
    <row r="2347" spans="8:8" x14ac:dyDescent="0.2">
      <c r="H2347">
        <v>0</v>
      </c>
    </row>
    <row r="2348" spans="8:8" x14ac:dyDescent="0.2">
      <c r="H2348">
        <v>0</v>
      </c>
    </row>
    <row r="2349" spans="8:8" x14ac:dyDescent="0.2">
      <c r="H2349">
        <v>0</v>
      </c>
    </row>
    <row r="2350" spans="8:8" x14ac:dyDescent="0.2">
      <c r="H2350">
        <v>0</v>
      </c>
    </row>
    <row r="2351" spans="8:8" x14ac:dyDescent="0.2">
      <c r="H2351">
        <v>0</v>
      </c>
    </row>
    <row r="2352" spans="8:8" x14ac:dyDescent="0.2">
      <c r="H2352">
        <v>0</v>
      </c>
    </row>
    <row r="2353" spans="8:8" x14ac:dyDescent="0.2">
      <c r="H2353">
        <v>0</v>
      </c>
    </row>
    <row r="2354" spans="8:8" x14ac:dyDescent="0.2">
      <c r="H2354">
        <v>0</v>
      </c>
    </row>
    <row r="2355" spans="8:8" x14ac:dyDescent="0.2">
      <c r="H2355">
        <v>0</v>
      </c>
    </row>
    <row r="2356" spans="8:8" x14ac:dyDescent="0.2">
      <c r="H2356">
        <v>0</v>
      </c>
    </row>
    <row r="2357" spans="8:8" x14ac:dyDescent="0.2">
      <c r="H2357">
        <v>0</v>
      </c>
    </row>
    <row r="2358" spans="8:8" x14ac:dyDescent="0.2">
      <c r="H2358">
        <v>0</v>
      </c>
    </row>
    <row r="2359" spans="8:8" x14ac:dyDescent="0.2">
      <c r="H2359">
        <v>0</v>
      </c>
    </row>
    <row r="2360" spans="8:8" x14ac:dyDescent="0.2">
      <c r="H2360">
        <v>0</v>
      </c>
    </row>
    <row r="2361" spans="8:8" x14ac:dyDescent="0.2">
      <c r="H2361">
        <v>0</v>
      </c>
    </row>
    <row r="2362" spans="8:8" x14ac:dyDescent="0.2">
      <c r="H2362">
        <v>0</v>
      </c>
    </row>
    <row r="2363" spans="8:8" x14ac:dyDescent="0.2">
      <c r="H2363">
        <v>0</v>
      </c>
    </row>
    <row r="2364" spans="8:8" x14ac:dyDescent="0.2">
      <c r="H2364">
        <v>0</v>
      </c>
    </row>
    <row r="2365" spans="8:8" x14ac:dyDescent="0.2">
      <c r="H2365">
        <v>0</v>
      </c>
    </row>
    <row r="2366" spans="8:8" x14ac:dyDescent="0.2">
      <c r="H2366">
        <v>0</v>
      </c>
    </row>
    <row r="2367" spans="8:8" x14ac:dyDescent="0.2">
      <c r="H2367">
        <v>0</v>
      </c>
    </row>
    <row r="2368" spans="8:8" x14ac:dyDescent="0.2">
      <c r="H2368">
        <v>0</v>
      </c>
    </row>
    <row r="2369" spans="8:8" x14ac:dyDescent="0.2">
      <c r="H2369">
        <v>0</v>
      </c>
    </row>
    <row r="2370" spans="8:8" x14ac:dyDescent="0.2">
      <c r="H2370">
        <v>0</v>
      </c>
    </row>
    <row r="2371" spans="8:8" x14ac:dyDescent="0.2">
      <c r="H2371">
        <v>0</v>
      </c>
    </row>
    <row r="2372" spans="8:8" x14ac:dyDescent="0.2">
      <c r="H2372">
        <v>0</v>
      </c>
    </row>
    <row r="2373" spans="8:8" x14ac:dyDescent="0.2">
      <c r="H2373">
        <v>0</v>
      </c>
    </row>
    <row r="2374" spans="8:8" x14ac:dyDescent="0.2">
      <c r="H2374">
        <v>0</v>
      </c>
    </row>
    <row r="2375" spans="8:8" x14ac:dyDescent="0.2">
      <c r="H2375">
        <v>0</v>
      </c>
    </row>
    <row r="2376" spans="8:8" x14ac:dyDescent="0.2">
      <c r="H2376">
        <v>0</v>
      </c>
    </row>
    <row r="2377" spans="8:8" x14ac:dyDescent="0.2">
      <c r="H2377">
        <v>0</v>
      </c>
    </row>
    <row r="2378" spans="8:8" x14ac:dyDescent="0.2">
      <c r="H2378">
        <v>0</v>
      </c>
    </row>
    <row r="2379" spans="8:8" x14ac:dyDescent="0.2">
      <c r="H2379">
        <v>0</v>
      </c>
    </row>
    <row r="2380" spans="8:8" x14ac:dyDescent="0.2">
      <c r="H2380">
        <v>0</v>
      </c>
    </row>
    <row r="2381" spans="8:8" x14ac:dyDescent="0.2">
      <c r="H2381">
        <v>0</v>
      </c>
    </row>
    <row r="2382" spans="8:8" x14ac:dyDescent="0.2">
      <c r="H2382">
        <v>0</v>
      </c>
    </row>
    <row r="2383" spans="8:8" x14ac:dyDescent="0.2">
      <c r="H2383">
        <v>0</v>
      </c>
    </row>
    <row r="2384" spans="8:8" x14ac:dyDescent="0.2">
      <c r="H2384">
        <v>0</v>
      </c>
    </row>
    <row r="2385" spans="8:8" x14ac:dyDescent="0.2">
      <c r="H2385">
        <v>0</v>
      </c>
    </row>
    <row r="2386" spans="8:8" x14ac:dyDescent="0.2">
      <c r="H2386">
        <v>0</v>
      </c>
    </row>
    <row r="2387" spans="8:8" x14ac:dyDescent="0.2">
      <c r="H2387">
        <v>0</v>
      </c>
    </row>
    <row r="2388" spans="8:8" x14ac:dyDescent="0.2">
      <c r="H2388">
        <v>0</v>
      </c>
    </row>
    <row r="2389" spans="8:8" x14ac:dyDescent="0.2">
      <c r="H2389">
        <v>0</v>
      </c>
    </row>
    <row r="2390" spans="8:8" x14ac:dyDescent="0.2">
      <c r="H2390">
        <v>0</v>
      </c>
    </row>
    <row r="2391" spans="8:8" x14ac:dyDescent="0.2">
      <c r="H2391">
        <v>0</v>
      </c>
    </row>
    <row r="2392" spans="8:8" x14ac:dyDescent="0.2">
      <c r="H2392">
        <v>0</v>
      </c>
    </row>
    <row r="2393" spans="8:8" x14ac:dyDescent="0.2">
      <c r="H2393">
        <v>0</v>
      </c>
    </row>
    <row r="2394" spans="8:8" x14ac:dyDescent="0.2">
      <c r="H2394">
        <v>0</v>
      </c>
    </row>
    <row r="2395" spans="8:8" x14ac:dyDescent="0.2">
      <c r="H2395">
        <v>0</v>
      </c>
    </row>
    <row r="2396" spans="8:8" x14ac:dyDescent="0.2">
      <c r="H2396">
        <v>0</v>
      </c>
    </row>
    <row r="2397" spans="8:8" x14ac:dyDescent="0.2">
      <c r="H2397">
        <v>0</v>
      </c>
    </row>
    <row r="2398" spans="8:8" x14ac:dyDescent="0.2">
      <c r="H2398">
        <v>0</v>
      </c>
    </row>
    <row r="2399" spans="8:8" x14ac:dyDescent="0.2">
      <c r="H2399">
        <v>0</v>
      </c>
    </row>
    <row r="2400" spans="8:8" x14ac:dyDescent="0.2">
      <c r="H2400">
        <v>0</v>
      </c>
    </row>
    <row r="2401" spans="8:8" x14ac:dyDescent="0.2">
      <c r="H2401">
        <v>0</v>
      </c>
    </row>
    <row r="2402" spans="8:8" x14ac:dyDescent="0.2">
      <c r="H2402">
        <v>0</v>
      </c>
    </row>
    <row r="2403" spans="8:8" x14ac:dyDescent="0.2">
      <c r="H2403">
        <v>0</v>
      </c>
    </row>
    <row r="2404" spans="8:8" x14ac:dyDescent="0.2">
      <c r="H2404">
        <v>0</v>
      </c>
    </row>
    <row r="2405" spans="8:8" x14ac:dyDescent="0.2">
      <c r="H2405">
        <v>0</v>
      </c>
    </row>
    <row r="2406" spans="8:8" x14ac:dyDescent="0.2">
      <c r="H2406">
        <v>0</v>
      </c>
    </row>
    <row r="2407" spans="8:8" x14ac:dyDescent="0.2">
      <c r="H2407">
        <v>0</v>
      </c>
    </row>
    <row r="2408" spans="8:8" x14ac:dyDescent="0.2">
      <c r="H2408">
        <v>0</v>
      </c>
    </row>
    <row r="2409" spans="8:8" x14ac:dyDescent="0.2">
      <c r="H2409">
        <v>0</v>
      </c>
    </row>
    <row r="2410" spans="8:8" x14ac:dyDescent="0.2">
      <c r="H2410">
        <v>0</v>
      </c>
    </row>
    <row r="2411" spans="8:8" x14ac:dyDescent="0.2">
      <c r="H2411">
        <v>0</v>
      </c>
    </row>
    <row r="2412" spans="8:8" x14ac:dyDescent="0.2">
      <c r="H2412">
        <v>0</v>
      </c>
    </row>
    <row r="2413" spans="8:8" x14ac:dyDescent="0.2">
      <c r="H2413">
        <v>0</v>
      </c>
    </row>
    <row r="2414" spans="8:8" x14ac:dyDescent="0.2">
      <c r="H2414">
        <v>0</v>
      </c>
    </row>
    <row r="2415" spans="8:8" x14ac:dyDescent="0.2">
      <c r="H2415">
        <v>0</v>
      </c>
    </row>
    <row r="2416" spans="8:8" x14ac:dyDescent="0.2">
      <c r="H2416">
        <v>0</v>
      </c>
    </row>
    <row r="2417" spans="8:8" x14ac:dyDescent="0.2">
      <c r="H2417">
        <v>0</v>
      </c>
    </row>
    <row r="2418" spans="8:8" x14ac:dyDescent="0.2">
      <c r="H2418">
        <v>0</v>
      </c>
    </row>
    <row r="2419" spans="8:8" x14ac:dyDescent="0.2">
      <c r="H2419">
        <v>0</v>
      </c>
    </row>
    <row r="2420" spans="8:8" x14ac:dyDescent="0.2">
      <c r="H2420">
        <v>0</v>
      </c>
    </row>
    <row r="2421" spans="8:8" x14ac:dyDescent="0.2">
      <c r="H2421">
        <v>0</v>
      </c>
    </row>
    <row r="2422" spans="8:8" x14ac:dyDescent="0.2">
      <c r="H2422">
        <v>0</v>
      </c>
    </row>
    <row r="2423" spans="8:8" x14ac:dyDescent="0.2">
      <c r="H2423">
        <v>0</v>
      </c>
    </row>
    <row r="2424" spans="8:8" x14ac:dyDescent="0.2">
      <c r="H2424">
        <v>0</v>
      </c>
    </row>
    <row r="2425" spans="8:8" x14ac:dyDescent="0.2">
      <c r="H2425">
        <v>0</v>
      </c>
    </row>
    <row r="2426" spans="8:8" x14ac:dyDescent="0.2">
      <c r="H2426">
        <v>0</v>
      </c>
    </row>
    <row r="2427" spans="8:8" x14ac:dyDescent="0.2">
      <c r="H2427">
        <v>0</v>
      </c>
    </row>
    <row r="2428" spans="8:8" x14ac:dyDescent="0.2">
      <c r="H2428">
        <v>0</v>
      </c>
    </row>
    <row r="2429" spans="8:8" x14ac:dyDescent="0.2">
      <c r="H2429">
        <v>0</v>
      </c>
    </row>
    <row r="2430" spans="8:8" x14ac:dyDescent="0.2">
      <c r="H2430">
        <v>0</v>
      </c>
    </row>
    <row r="2431" spans="8:8" x14ac:dyDescent="0.2">
      <c r="H2431">
        <v>0</v>
      </c>
    </row>
    <row r="2432" spans="8:8" x14ac:dyDescent="0.2">
      <c r="H2432">
        <v>0</v>
      </c>
    </row>
    <row r="2433" spans="8:8" x14ac:dyDescent="0.2">
      <c r="H2433">
        <v>0</v>
      </c>
    </row>
    <row r="2434" spans="8:8" x14ac:dyDescent="0.2">
      <c r="H2434">
        <v>0</v>
      </c>
    </row>
    <row r="2435" spans="8:8" x14ac:dyDescent="0.2">
      <c r="H2435">
        <v>0</v>
      </c>
    </row>
    <row r="2436" spans="8:8" x14ac:dyDescent="0.2">
      <c r="H2436">
        <v>0</v>
      </c>
    </row>
    <row r="2437" spans="8:8" x14ac:dyDescent="0.2">
      <c r="H2437">
        <v>0</v>
      </c>
    </row>
    <row r="2438" spans="8:8" x14ac:dyDescent="0.2">
      <c r="H2438">
        <v>0</v>
      </c>
    </row>
    <row r="2439" spans="8:8" x14ac:dyDescent="0.2">
      <c r="H2439">
        <v>0</v>
      </c>
    </row>
    <row r="2440" spans="8:8" x14ac:dyDescent="0.2">
      <c r="H2440">
        <v>0</v>
      </c>
    </row>
    <row r="2441" spans="8:8" x14ac:dyDescent="0.2">
      <c r="H2441">
        <v>0</v>
      </c>
    </row>
    <row r="2442" spans="8:8" x14ac:dyDescent="0.2">
      <c r="H2442">
        <v>0</v>
      </c>
    </row>
    <row r="2443" spans="8:8" x14ac:dyDescent="0.2">
      <c r="H2443">
        <v>0</v>
      </c>
    </row>
    <row r="2444" spans="8:8" x14ac:dyDescent="0.2">
      <c r="H2444">
        <v>0</v>
      </c>
    </row>
    <row r="2445" spans="8:8" x14ac:dyDescent="0.2">
      <c r="H2445">
        <v>0</v>
      </c>
    </row>
    <row r="2446" spans="8:8" x14ac:dyDescent="0.2">
      <c r="H2446">
        <v>0</v>
      </c>
    </row>
    <row r="2447" spans="8:8" x14ac:dyDescent="0.2">
      <c r="H2447">
        <v>0</v>
      </c>
    </row>
    <row r="2448" spans="8:8" x14ac:dyDescent="0.2">
      <c r="H2448">
        <v>0</v>
      </c>
    </row>
    <row r="2449" spans="8:8" x14ac:dyDescent="0.2">
      <c r="H2449">
        <v>0</v>
      </c>
    </row>
    <row r="2450" spans="8:8" x14ac:dyDescent="0.2">
      <c r="H2450">
        <v>0</v>
      </c>
    </row>
    <row r="2451" spans="8:8" x14ac:dyDescent="0.2">
      <c r="H2451">
        <v>0</v>
      </c>
    </row>
    <row r="2452" spans="8:8" x14ac:dyDescent="0.2">
      <c r="H2452">
        <v>0</v>
      </c>
    </row>
    <row r="2453" spans="8:8" x14ac:dyDescent="0.2">
      <c r="H2453">
        <v>0</v>
      </c>
    </row>
    <row r="2454" spans="8:8" x14ac:dyDescent="0.2">
      <c r="H2454">
        <v>0</v>
      </c>
    </row>
    <row r="2455" spans="8:8" x14ac:dyDescent="0.2">
      <c r="H2455">
        <v>0</v>
      </c>
    </row>
    <row r="2456" spans="8:8" x14ac:dyDescent="0.2">
      <c r="H2456">
        <v>0</v>
      </c>
    </row>
    <row r="2457" spans="8:8" x14ac:dyDescent="0.2">
      <c r="H2457">
        <v>0</v>
      </c>
    </row>
    <row r="2458" spans="8:8" x14ac:dyDescent="0.2">
      <c r="H2458">
        <v>0</v>
      </c>
    </row>
    <row r="2459" spans="8:8" x14ac:dyDescent="0.2">
      <c r="H2459">
        <v>0</v>
      </c>
    </row>
    <row r="2460" spans="8:8" x14ac:dyDescent="0.2">
      <c r="H2460">
        <v>0</v>
      </c>
    </row>
    <row r="2461" spans="8:8" x14ac:dyDescent="0.2">
      <c r="H2461">
        <v>0</v>
      </c>
    </row>
    <row r="2462" spans="8:8" x14ac:dyDescent="0.2">
      <c r="H2462">
        <v>0</v>
      </c>
    </row>
    <row r="2463" spans="8:8" x14ac:dyDescent="0.2">
      <c r="H2463">
        <v>0</v>
      </c>
    </row>
    <row r="2464" spans="8:8" x14ac:dyDescent="0.2">
      <c r="H2464">
        <v>0</v>
      </c>
    </row>
    <row r="2465" spans="8:8" x14ac:dyDescent="0.2">
      <c r="H2465">
        <v>0</v>
      </c>
    </row>
    <row r="2466" spans="8:8" x14ac:dyDescent="0.2">
      <c r="H2466">
        <v>0</v>
      </c>
    </row>
    <row r="2467" spans="8:8" x14ac:dyDescent="0.2">
      <c r="H2467">
        <v>0</v>
      </c>
    </row>
    <row r="2468" spans="8:8" x14ac:dyDescent="0.2">
      <c r="H2468">
        <v>0</v>
      </c>
    </row>
    <row r="2469" spans="8:8" x14ac:dyDescent="0.2">
      <c r="H2469">
        <v>0</v>
      </c>
    </row>
    <row r="2470" spans="8:8" x14ac:dyDescent="0.2">
      <c r="H2470">
        <v>0</v>
      </c>
    </row>
    <row r="2471" spans="8:8" x14ac:dyDescent="0.2">
      <c r="H2471">
        <v>0</v>
      </c>
    </row>
    <row r="2472" spans="8:8" x14ac:dyDescent="0.2">
      <c r="H2472">
        <v>0</v>
      </c>
    </row>
    <row r="2473" spans="8:8" x14ac:dyDescent="0.2">
      <c r="H2473">
        <v>0</v>
      </c>
    </row>
    <row r="2474" spans="8:8" x14ac:dyDescent="0.2">
      <c r="H2474">
        <v>0</v>
      </c>
    </row>
    <row r="2475" spans="8:8" x14ac:dyDescent="0.2">
      <c r="H2475">
        <v>0</v>
      </c>
    </row>
    <row r="2476" spans="8:8" x14ac:dyDescent="0.2">
      <c r="H2476">
        <v>0</v>
      </c>
    </row>
    <row r="2477" spans="8:8" x14ac:dyDescent="0.2">
      <c r="H2477">
        <v>0</v>
      </c>
    </row>
    <row r="2478" spans="8:8" x14ac:dyDescent="0.2">
      <c r="H2478">
        <v>0</v>
      </c>
    </row>
    <row r="2479" spans="8:8" x14ac:dyDescent="0.2">
      <c r="H2479">
        <v>0</v>
      </c>
    </row>
    <row r="2480" spans="8:8" x14ac:dyDescent="0.2">
      <c r="H2480">
        <v>0</v>
      </c>
    </row>
    <row r="2481" spans="8:8" x14ac:dyDescent="0.2">
      <c r="H2481">
        <v>0</v>
      </c>
    </row>
    <row r="2482" spans="8:8" x14ac:dyDescent="0.2">
      <c r="H2482">
        <v>0</v>
      </c>
    </row>
    <row r="2483" spans="8:8" x14ac:dyDescent="0.2">
      <c r="H2483">
        <v>0</v>
      </c>
    </row>
    <row r="2484" spans="8:8" x14ac:dyDescent="0.2">
      <c r="H2484">
        <v>0</v>
      </c>
    </row>
    <row r="2485" spans="8:8" x14ac:dyDescent="0.2">
      <c r="H2485">
        <v>0</v>
      </c>
    </row>
    <row r="2486" spans="8:8" x14ac:dyDescent="0.2">
      <c r="H2486">
        <v>0</v>
      </c>
    </row>
    <row r="2487" spans="8:8" x14ac:dyDescent="0.2">
      <c r="H2487">
        <v>0</v>
      </c>
    </row>
    <row r="2488" spans="8:8" x14ac:dyDescent="0.2">
      <c r="H2488">
        <v>0</v>
      </c>
    </row>
    <row r="2489" spans="8:8" x14ac:dyDescent="0.2">
      <c r="H2489">
        <v>0</v>
      </c>
    </row>
    <row r="2490" spans="8:8" x14ac:dyDescent="0.2">
      <c r="H2490">
        <v>0</v>
      </c>
    </row>
    <row r="2491" spans="8:8" x14ac:dyDescent="0.2">
      <c r="H2491">
        <v>0</v>
      </c>
    </row>
    <row r="2492" spans="8:8" x14ac:dyDescent="0.2">
      <c r="H2492">
        <v>0</v>
      </c>
    </row>
    <row r="2493" spans="8:8" x14ac:dyDescent="0.2">
      <c r="H2493">
        <v>0</v>
      </c>
    </row>
    <row r="2494" spans="8:8" x14ac:dyDescent="0.2">
      <c r="H2494">
        <v>0</v>
      </c>
    </row>
    <row r="2495" spans="8:8" x14ac:dyDescent="0.2">
      <c r="H2495">
        <v>0</v>
      </c>
    </row>
    <row r="2496" spans="8:8" x14ac:dyDescent="0.2">
      <c r="H2496">
        <v>0</v>
      </c>
    </row>
    <row r="2497" spans="8:8" x14ac:dyDescent="0.2">
      <c r="H2497">
        <v>0</v>
      </c>
    </row>
    <row r="2498" spans="8:8" x14ac:dyDescent="0.2">
      <c r="H2498">
        <v>0</v>
      </c>
    </row>
    <row r="2499" spans="8:8" x14ac:dyDescent="0.2">
      <c r="H2499">
        <v>0</v>
      </c>
    </row>
    <row r="2500" spans="8:8" x14ac:dyDescent="0.2">
      <c r="H2500">
        <v>0</v>
      </c>
    </row>
    <row r="2501" spans="8:8" x14ac:dyDescent="0.2">
      <c r="H2501">
        <v>0</v>
      </c>
    </row>
    <row r="2502" spans="8:8" x14ac:dyDescent="0.2">
      <c r="H2502">
        <v>0</v>
      </c>
    </row>
    <row r="2503" spans="8:8" x14ac:dyDescent="0.2">
      <c r="H2503">
        <v>0</v>
      </c>
    </row>
    <row r="2504" spans="8:8" x14ac:dyDescent="0.2">
      <c r="H2504">
        <v>0</v>
      </c>
    </row>
    <row r="2505" spans="8:8" x14ac:dyDescent="0.2">
      <c r="H2505">
        <v>0</v>
      </c>
    </row>
    <row r="2506" spans="8:8" x14ac:dyDescent="0.2">
      <c r="H2506">
        <v>0</v>
      </c>
    </row>
    <row r="2507" spans="8:8" x14ac:dyDescent="0.2">
      <c r="H2507">
        <v>0</v>
      </c>
    </row>
    <row r="2508" spans="8:8" x14ac:dyDescent="0.2">
      <c r="H2508">
        <v>0</v>
      </c>
    </row>
    <row r="2509" spans="8:8" x14ac:dyDescent="0.2">
      <c r="H2509">
        <v>0</v>
      </c>
    </row>
    <row r="2510" spans="8:8" x14ac:dyDescent="0.2">
      <c r="H2510">
        <v>0</v>
      </c>
    </row>
    <row r="2511" spans="8:8" x14ac:dyDescent="0.2">
      <c r="H2511">
        <v>0</v>
      </c>
    </row>
    <row r="2512" spans="8:8" x14ac:dyDescent="0.2">
      <c r="H2512">
        <v>0</v>
      </c>
    </row>
    <row r="2513" spans="8:8" x14ac:dyDescent="0.2">
      <c r="H2513">
        <v>0</v>
      </c>
    </row>
    <row r="2514" spans="8:8" x14ac:dyDescent="0.2">
      <c r="H2514">
        <v>0</v>
      </c>
    </row>
    <row r="2515" spans="8:8" x14ac:dyDescent="0.2">
      <c r="H2515">
        <v>0</v>
      </c>
    </row>
    <row r="2516" spans="8:8" x14ac:dyDescent="0.2">
      <c r="H2516">
        <v>0</v>
      </c>
    </row>
    <row r="2517" spans="8:8" x14ac:dyDescent="0.2">
      <c r="H2517">
        <v>0</v>
      </c>
    </row>
    <row r="2518" spans="8:8" x14ac:dyDescent="0.2">
      <c r="H2518">
        <v>0</v>
      </c>
    </row>
    <row r="2519" spans="8:8" x14ac:dyDescent="0.2">
      <c r="H2519">
        <v>0</v>
      </c>
    </row>
    <row r="2520" spans="8:8" x14ac:dyDescent="0.2">
      <c r="H2520">
        <v>0</v>
      </c>
    </row>
    <row r="2521" spans="8:8" x14ac:dyDescent="0.2">
      <c r="H2521">
        <v>0</v>
      </c>
    </row>
    <row r="2522" spans="8:8" x14ac:dyDescent="0.2">
      <c r="H2522">
        <v>0</v>
      </c>
    </row>
    <row r="2523" spans="8:8" x14ac:dyDescent="0.2">
      <c r="H2523">
        <v>0</v>
      </c>
    </row>
    <row r="2524" spans="8:8" x14ac:dyDescent="0.2">
      <c r="H2524">
        <v>0</v>
      </c>
    </row>
    <row r="2525" spans="8:8" x14ac:dyDescent="0.2">
      <c r="H2525">
        <v>0</v>
      </c>
    </row>
    <row r="2526" spans="8:8" x14ac:dyDescent="0.2">
      <c r="H2526">
        <v>0</v>
      </c>
    </row>
    <row r="2527" spans="8:8" x14ac:dyDescent="0.2">
      <c r="H2527">
        <v>0</v>
      </c>
    </row>
    <row r="2528" spans="8:8" x14ac:dyDescent="0.2">
      <c r="H2528">
        <v>0</v>
      </c>
    </row>
    <row r="2529" spans="8:8" x14ac:dyDescent="0.2">
      <c r="H2529">
        <v>0</v>
      </c>
    </row>
    <row r="2530" spans="8:8" x14ac:dyDescent="0.2">
      <c r="H2530">
        <v>0</v>
      </c>
    </row>
    <row r="2531" spans="8:8" x14ac:dyDescent="0.2">
      <c r="H2531">
        <v>0</v>
      </c>
    </row>
    <row r="2532" spans="8:8" x14ac:dyDescent="0.2">
      <c r="H2532">
        <v>0</v>
      </c>
    </row>
    <row r="2533" spans="8:8" x14ac:dyDescent="0.2">
      <c r="H2533">
        <v>0</v>
      </c>
    </row>
    <row r="2534" spans="8:8" x14ac:dyDescent="0.2">
      <c r="H2534">
        <v>0</v>
      </c>
    </row>
    <row r="2535" spans="8:8" x14ac:dyDescent="0.2">
      <c r="H2535">
        <v>0</v>
      </c>
    </row>
    <row r="2536" spans="8:8" x14ac:dyDescent="0.2">
      <c r="H2536">
        <v>0</v>
      </c>
    </row>
    <row r="2537" spans="8:8" x14ac:dyDescent="0.2">
      <c r="H2537">
        <v>0</v>
      </c>
    </row>
    <row r="2538" spans="8:8" x14ac:dyDescent="0.2">
      <c r="H2538">
        <v>0</v>
      </c>
    </row>
    <row r="2539" spans="8:8" x14ac:dyDescent="0.2">
      <c r="H2539">
        <v>0</v>
      </c>
    </row>
    <row r="2540" spans="8:8" x14ac:dyDescent="0.2">
      <c r="H2540">
        <v>0</v>
      </c>
    </row>
    <row r="2541" spans="8:8" x14ac:dyDescent="0.2">
      <c r="H2541">
        <v>0</v>
      </c>
    </row>
    <row r="2542" spans="8:8" x14ac:dyDescent="0.2">
      <c r="H2542">
        <v>0</v>
      </c>
    </row>
    <row r="2543" spans="8:8" x14ac:dyDescent="0.2">
      <c r="H2543">
        <v>0</v>
      </c>
    </row>
    <row r="2544" spans="8:8" x14ac:dyDescent="0.2">
      <c r="H2544">
        <v>0</v>
      </c>
    </row>
    <row r="2545" spans="8:8" x14ac:dyDescent="0.2">
      <c r="H2545">
        <v>0</v>
      </c>
    </row>
    <row r="2546" spans="8:8" x14ac:dyDescent="0.2">
      <c r="H2546">
        <v>0</v>
      </c>
    </row>
    <row r="2547" spans="8:8" x14ac:dyDescent="0.2">
      <c r="H2547">
        <v>0</v>
      </c>
    </row>
    <row r="2548" spans="8:8" x14ac:dyDescent="0.2">
      <c r="H2548">
        <v>0</v>
      </c>
    </row>
    <row r="2549" spans="8:8" x14ac:dyDescent="0.2">
      <c r="H2549">
        <v>0</v>
      </c>
    </row>
    <row r="2550" spans="8:8" x14ac:dyDescent="0.2">
      <c r="H2550">
        <v>0</v>
      </c>
    </row>
    <row r="2551" spans="8:8" x14ac:dyDescent="0.2">
      <c r="H2551">
        <v>0</v>
      </c>
    </row>
    <row r="2552" spans="8:8" x14ac:dyDescent="0.2">
      <c r="H2552">
        <v>0</v>
      </c>
    </row>
    <row r="2553" spans="8:8" x14ac:dyDescent="0.2">
      <c r="H2553">
        <v>0</v>
      </c>
    </row>
    <row r="2554" spans="8:8" x14ac:dyDescent="0.2">
      <c r="H2554">
        <v>0</v>
      </c>
    </row>
    <row r="2555" spans="8:8" x14ac:dyDescent="0.2">
      <c r="H2555">
        <v>0</v>
      </c>
    </row>
    <row r="2556" spans="8:8" x14ac:dyDescent="0.2">
      <c r="H2556">
        <v>0</v>
      </c>
    </row>
    <row r="2557" spans="8:8" x14ac:dyDescent="0.2">
      <c r="H2557">
        <v>0</v>
      </c>
    </row>
    <row r="2558" spans="8:8" x14ac:dyDescent="0.2">
      <c r="H2558">
        <v>0</v>
      </c>
    </row>
    <row r="2559" spans="8:8" x14ac:dyDescent="0.2">
      <c r="H2559">
        <v>0</v>
      </c>
    </row>
    <row r="2560" spans="8:8" x14ac:dyDescent="0.2">
      <c r="H2560">
        <v>0</v>
      </c>
    </row>
    <row r="2561" spans="8:8" x14ac:dyDescent="0.2">
      <c r="H2561">
        <v>0</v>
      </c>
    </row>
    <row r="2562" spans="8:8" x14ac:dyDescent="0.2">
      <c r="H2562">
        <v>0</v>
      </c>
    </row>
    <row r="2563" spans="8:8" x14ac:dyDescent="0.2">
      <c r="H2563">
        <v>0</v>
      </c>
    </row>
    <row r="2564" spans="8:8" x14ac:dyDescent="0.2">
      <c r="H2564">
        <v>0</v>
      </c>
    </row>
    <row r="2565" spans="8:8" x14ac:dyDescent="0.2">
      <c r="H2565">
        <v>0</v>
      </c>
    </row>
    <row r="2566" spans="8:8" x14ac:dyDescent="0.2">
      <c r="H2566">
        <v>0</v>
      </c>
    </row>
    <row r="2567" spans="8:8" x14ac:dyDescent="0.2">
      <c r="H2567">
        <v>0</v>
      </c>
    </row>
    <row r="2568" spans="8:8" x14ac:dyDescent="0.2">
      <c r="H2568">
        <v>0</v>
      </c>
    </row>
    <row r="2569" spans="8:8" x14ac:dyDescent="0.2">
      <c r="H2569">
        <v>0</v>
      </c>
    </row>
    <row r="2570" spans="8:8" x14ac:dyDescent="0.2">
      <c r="H2570">
        <v>0</v>
      </c>
    </row>
    <row r="2571" spans="8:8" x14ac:dyDescent="0.2">
      <c r="H2571">
        <v>0</v>
      </c>
    </row>
    <row r="2572" spans="8:8" x14ac:dyDescent="0.2">
      <c r="H2572">
        <v>0</v>
      </c>
    </row>
    <row r="2573" spans="8:8" x14ac:dyDescent="0.2">
      <c r="H2573">
        <v>0</v>
      </c>
    </row>
    <row r="2574" spans="8:8" x14ac:dyDescent="0.2">
      <c r="H2574">
        <v>0</v>
      </c>
    </row>
    <row r="2575" spans="8:8" x14ac:dyDescent="0.2">
      <c r="H2575">
        <v>0</v>
      </c>
    </row>
    <row r="2576" spans="8:8" x14ac:dyDescent="0.2">
      <c r="H2576">
        <v>0</v>
      </c>
    </row>
    <row r="2577" spans="8:8" x14ac:dyDescent="0.2">
      <c r="H2577">
        <v>0</v>
      </c>
    </row>
    <row r="2578" spans="8:8" x14ac:dyDescent="0.2">
      <c r="H2578">
        <v>0</v>
      </c>
    </row>
    <row r="2579" spans="8:8" x14ac:dyDescent="0.2">
      <c r="H2579">
        <v>0</v>
      </c>
    </row>
    <row r="2580" spans="8:8" x14ac:dyDescent="0.2">
      <c r="H2580">
        <v>0</v>
      </c>
    </row>
    <row r="2581" spans="8:8" x14ac:dyDescent="0.2">
      <c r="H2581">
        <v>0</v>
      </c>
    </row>
    <row r="2582" spans="8:8" x14ac:dyDescent="0.2">
      <c r="H2582">
        <v>0</v>
      </c>
    </row>
    <row r="2583" spans="8:8" x14ac:dyDescent="0.2">
      <c r="H2583">
        <v>0</v>
      </c>
    </row>
    <row r="2584" spans="8:8" x14ac:dyDescent="0.2">
      <c r="H2584">
        <v>0</v>
      </c>
    </row>
    <row r="2585" spans="8:8" x14ac:dyDescent="0.2">
      <c r="H2585">
        <v>0</v>
      </c>
    </row>
    <row r="2586" spans="8:8" x14ac:dyDescent="0.2">
      <c r="H2586">
        <v>0</v>
      </c>
    </row>
    <row r="2587" spans="8:8" x14ac:dyDescent="0.2">
      <c r="H2587">
        <v>0</v>
      </c>
    </row>
    <row r="2588" spans="8:8" x14ac:dyDescent="0.2">
      <c r="H2588">
        <v>0</v>
      </c>
    </row>
    <row r="2589" spans="8:8" x14ac:dyDescent="0.2">
      <c r="H2589">
        <v>0</v>
      </c>
    </row>
    <row r="2590" spans="8:8" x14ac:dyDescent="0.2">
      <c r="H2590">
        <v>0</v>
      </c>
    </row>
    <row r="2591" spans="8:8" x14ac:dyDescent="0.2">
      <c r="H2591">
        <v>0</v>
      </c>
    </row>
    <row r="2592" spans="8:8" x14ac:dyDescent="0.2">
      <c r="H2592">
        <v>0</v>
      </c>
    </row>
    <row r="2593" spans="8:8" x14ac:dyDescent="0.2">
      <c r="H2593">
        <v>0</v>
      </c>
    </row>
    <row r="2594" spans="8:8" x14ac:dyDescent="0.2">
      <c r="H2594">
        <v>0</v>
      </c>
    </row>
    <row r="2595" spans="8:8" x14ac:dyDescent="0.2">
      <c r="H2595">
        <v>0</v>
      </c>
    </row>
    <row r="2596" spans="8:8" x14ac:dyDescent="0.2">
      <c r="H2596">
        <v>0</v>
      </c>
    </row>
    <row r="2597" spans="8:8" x14ac:dyDescent="0.2">
      <c r="H2597">
        <v>0</v>
      </c>
    </row>
    <row r="2598" spans="8:8" x14ac:dyDescent="0.2">
      <c r="H2598">
        <v>0</v>
      </c>
    </row>
    <row r="2599" spans="8:8" x14ac:dyDescent="0.2">
      <c r="H2599">
        <v>0</v>
      </c>
    </row>
    <row r="2600" spans="8:8" x14ac:dyDescent="0.2">
      <c r="H2600">
        <v>0</v>
      </c>
    </row>
    <row r="2601" spans="8:8" x14ac:dyDescent="0.2">
      <c r="H2601">
        <v>0</v>
      </c>
    </row>
    <row r="2602" spans="8:8" x14ac:dyDescent="0.2">
      <c r="H2602">
        <v>0</v>
      </c>
    </row>
    <row r="2603" spans="8:8" x14ac:dyDescent="0.2">
      <c r="H2603">
        <v>0</v>
      </c>
    </row>
    <row r="2604" spans="8:8" x14ac:dyDescent="0.2">
      <c r="H2604">
        <v>0</v>
      </c>
    </row>
    <row r="2605" spans="8:8" x14ac:dyDescent="0.2">
      <c r="H2605">
        <v>0</v>
      </c>
    </row>
    <row r="2606" spans="8:8" x14ac:dyDescent="0.2">
      <c r="H2606">
        <v>0</v>
      </c>
    </row>
    <row r="2607" spans="8:8" x14ac:dyDescent="0.2">
      <c r="H2607">
        <v>0</v>
      </c>
    </row>
    <row r="2608" spans="8:8" x14ac:dyDescent="0.2">
      <c r="H2608">
        <v>0</v>
      </c>
    </row>
    <row r="2609" spans="8:8" x14ac:dyDescent="0.2">
      <c r="H2609">
        <v>0</v>
      </c>
    </row>
    <row r="2610" spans="8:8" x14ac:dyDescent="0.2">
      <c r="H2610">
        <v>0</v>
      </c>
    </row>
    <row r="2611" spans="8:8" x14ac:dyDescent="0.2">
      <c r="H2611">
        <v>0</v>
      </c>
    </row>
    <row r="2612" spans="8:8" x14ac:dyDescent="0.2">
      <c r="H2612">
        <v>0</v>
      </c>
    </row>
    <row r="2613" spans="8:8" x14ac:dyDescent="0.2">
      <c r="H2613">
        <v>0</v>
      </c>
    </row>
    <row r="2614" spans="8:8" x14ac:dyDescent="0.2">
      <c r="H2614">
        <v>0</v>
      </c>
    </row>
    <row r="2615" spans="8:8" x14ac:dyDescent="0.2">
      <c r="H2615">
        <v>0</v>
      </c>
    </row>
    <row r="2616" spans="8:8" x14ac:dyDescent="0.2">
      <c r="H2616">
        <v>0</v>
      </c>
    </row>
    <row r="2617" spans="8:8" x14ac:dyDescent="0.2">
      <c r="H2617">
        <v>0</v>
      </c>
    </row>
    <row r="2618" spans="8:8" x14ac:dyDescent="0.2">
      <c r="H2618">
        <v>0</v>
      </c>
    </row>
    <row r="2619" spans="8:8" x14ac:dyDescent="0.2">
      <c r="H2619">
        <v>0</v>
      </c>
    </row>
    <row r="2620" spans="8:8" x14ac:dyDescent="0.2">
      <c r="H2620">
        <v>0</v>
      </c>
    </row>
    <row r="2621" spans="8:8" x14ac:dyDescent="0.2">
      <c r="H2621">
        <v>0</v>
      </c>
    </row>
    <row r="2622" spans="8:8" x14ac:dyDescent="0.2">
      <c r="H2622">
        <v>0</v>
      </c>
    </row>
    <row r="2623" spans="8:8" x14ac:dyDescent="0.2">
      <c r="H2623">
        <v>0</v>
      </c>
    </row>
    <row r="2624" spans="8:8" x14ac:dyDescent="0.2">
      <c r="H2624">
        <v>0</v>
      </c>
    </row>
    <row r="2625" spans="8:8" x14ac:dyDescent="0.2">
      <c r="H2625">
        <v>0</v>
      </c>
    </row>
    <row r="2626" spans="8:8" x14ac:dyDescent="0.2">
      <c r="H2626">
        <v>0</v>
      </c>
    </row>
    <row r="2627" spans="8:8" x14ac:dyDescent="0.2">
      <c r="H2627">
        <v>0</v>
      </c>
    </row>
    <row r="2628" spans="8:8" x14ac:dyDescent="0.2">
      <c r="H2628">
        <v>0</v>
      </c>
    </row>
    <row r="2629" spans="8:8" x14ac:dyDescent="0.2">
      <c r="H2629">
        <v>0</v>
      </c>
    </row>
    <row r="2630" spans="8:8" x14ac:dyDescent="0.2">
      <c r="H2630">
        <v>0</v>
      </c>
    </row>
    <row r="2631" spans="8:8" x14ac:dyDescent="0.2">
      <c r="H2631">
        <v>0</v>
      </c>
    </row>
    <row r="2632" spans="8:8" x14ac:dyDescent="0.2">
      <c r="H2632">
        <v>0</v>
      </c>
    </row>
    <row r="2633" spans="8:8" x14ac:dyDescent="0.2">
      <c r="H2633">
        <v>0</v>
      </c>
    </row>
    <row r="2634" spans="8:8" x14ac:dyDescent="0.2">
      <c r="H2634">
        <v>0</v>
      </c>
    </row>
    <row r="2635" spans="8:8" x14ac:dyDescent="0.2">
      <c r="H2635">
        <v>0</v>
      </c>
    </row>
    <row r="2636" spans="8:8" x14ac:dyDescent="0.2">
      <c r="H2636">
        <v>0</v>
      </c>
    </row>
    <row r="2637" spans="8:8" x14ac:dyDescent="0.2">
      <c r="H2637">
        <v>0</v>
      </c>
    </row>
    <row r="2638" spans="8:8" x14ac:dyDescent="0.2">
      <c r="H2638">
        <v>0</v>
      </c>
    </row>
    <row r="2639" spans="8:8" x14ac:dyDescent="0.2">
      <c r="H2639">
        <v>0</v>
      </c>
    </row>
    <row r="2640" spans="8:8" x14ac:dyDescent="0.2">
      <c r="H2640">
        <v>0</v>
      </c>
    </row>
    <row r="2641" spans="8:8" x14ac:dyDescent="0.2">
      <c r="H2641">
        <v>0</v>
      </c>
    </row>
    <row r="2642" spans="8:8" x14ac:dyDescent="0.2">
      <c r="H2642">
        <v>0</v>
      </c>
    </row>
    <row r="2643" spans="8:8" x14ac:dyDescent="0.2">
      <c r="H2643">
        <v>0</v>
      </c>
    </row>
    <row r="2644" spans="8:8" x14ac:dyDescent="0.2">
      <c r="H2644">
        <v>0</v>
      </c>
    </row>
    <row r="2645" spans="8:8" x14ac:dyDescent="0.2">
      <c r="H2645">
        <v>0</v>
      </c>
    </row>
    <row r="2646" spans="8:8" x14ac:dyDescent="0.2">
      <c r="H2646">
        <v>0</v>
      </c>
    </row>
    <row r="2647" spans="8:8" x14ac:dyDescent="0.2">
      <c r="H2647">
        <v>0</v>
      </c>
    </row>
    <row r="2648" spans="8:8" x14ac:dyDescent="0.2">
      <c r="H2648">
        <v>0</v>
      </c>
    </row>
    <row r="2649" spans="8:8" x14ac:dyDescent="0.2">
      <c r="H2649">
        <v>0</v>
      </c>
    </row>
    <row r="2650" spans="8:8" x14ac:dyDescent="0.2">
      <c r="H2650">
        <v>0</v>
      </c>
    </row>
    <row r="2651" spans="8:8" x14ac:dyDescent="0.2">
      <c r="H2651">
        <v>0</v>
      </c>
    </row>
    <row r="2652" spans="8:8" x14ac:dyDescent="0.2">
      <c r="H2652">
        <v>0</v>
      </c>
    </row>
    <row r="2653" spans="8:8" x14ac:dyDescent="0.2">
      <c r="H2653">
        <v>0</v>
      </c>
    </row>
    <row r="2654" spans="8:8" x14ac:dyDescent="0.2">
      <c r="H2654">
        <v>0</v>
      </c>
    </row>
    <row r="2655" spans="8:8" x14ac:dyDescent="0.2">
      <c r="H2655">
        <v>0</v>
      </c>
    </row>
    <row r="2656" spans="8:8" x14ac:dyDescent="0.2">
      <c r="H2656">
        <v>0</v>
      </c>
    </row>
    <row r="2657" spans="8:8" x14ac:dyDescent="0.2">
      <c r="H2657">
        <v>0</v>
      </c>
    </row>
    <row r="2658" spans="8:8" x14ac:dyDescent="0.2">
      <c r="H2658">
        <v>0</v>
      </c>
    </row>
    <row r="2659" spans="8:8" x14ac:dyDescent="0.2">
      <c r="H2659">
        <v>0</v>
      </c>
    </row>
    <row r="2660" spans="8:8" x14ac:dyDescent="0.2">
      <c r="H2660">
        <v>0</v>
      </c>
    </row>
    <row r="2661" spans="8:8" x14ac:dyDescent="0.2">
      <c r="H2661">
        <v>0</v>
      </c>
    </row>
    <row r="2662" spans="8:8" x14ac:dyDescent="0.2">
      <c r="H2662">
        <v>0</v>
      </c>
    </row>
    <row r="2663" spans="8:8" x14ac:dyDescent="0.2">
      <c r="H2663">
        <v>0</v>
      </c>
    </row>
    <row r="2664" spans="8:8" x14ac:dyDescent="0.2">
      <c r="H2664">
        <v>0</v>
      </c>
    </row>
    <row r="2665" spans="8:8" x14ac:dyDescent="0.2">
      <c r="H2665">
        <v>0</v>
      </c>
    </row>
    <row r="2666" spans="8:8" x14ac:dyDescent="0.2">
      <c r="H2666">
        <v>0</v>
      </c>
    </row>
    <row r="2667" spans="8:8" x14ac:dyDescent="0.2">
      <c r="H2667">
        <v>0</v>
      </c>
    </row>
    <row r="2668" spans="8:8" x14ac:dyDescent="0.2">
      <c r="H2668">
        <v>0</v>
      </c>
    </row>
    <row r="2669" spans="8:8" x14ac:dyDescent="0.2">
      <c r="H2669">
        <v>0</v>
      </c>
    </row>
    <row r="2670" spans="8:8" x14ac:dyDescent="0.2">
      <c r="H2670">
        <v>0</v>
      </c>
    </row>
    <row r="2671" spans="8:8" x14ac:dyDescent="0.2">
      <c r="H2671">
        <v>0</v>
      </c>
    </row>
    <row r="2672" spans="8:8" x14ac:dyDescent="0.2">
      <c r="H2672">
        <v>0</v>
      </c>
    </row>
    <row r="2673" spans="8:8" x14ac:dyDescent="0.2">
      <c r="H2673">
        <v>0</v>
      </c>
    </row>
    <row r="2674" spans="8:8" x14ac:dyDescent="0.2">
      <c r="H2674">
        <v>0</v>
      </c>
    </row>
    <row r="2675" spans="8:8" x14ac:dyDescent="0.2">
      <c r="H2675">
        <v>0</v>
      </c>
    </row>
    <row r="2676" spans="8:8" x14ac:dyDescent="0.2">
      <c r="H2676">
        <v>0</v>
      </c>
    </row>
    <row r="2677" spans="8:8" x14ac:dyDescent="0.2">
      <c r="H2677">
        <v>0</v>
      </c>
    </row>
    <row r="2678" spans="8:8" x14ac:dyDescent="0.2">
      <c r="H2678">
        <v>0</v>
      </c>
    </row>
    <row r="2679" spans="8:8" x14ac:dyDescent="0.2">
      <c r="H2679">
        <v>0</v>
      </c>
    </row>
    <row r="2680" spans="8:8" x14ac:dyDescent="0.2">
      <c r="H2680">
        <v>0</v>
      </c>
    </row>
    <row r="2681" spans="8:8" x14ac:dyDescent="0.2">
      <c r="H2681">
        <v>0</v>
      </c>
    </row>
    <row r="2682" spans="8:8" x14ac:dyDescent="0.2">
      <c r="H2682">
        <v>0</v>
      </c>
    </row>
    <row r="2683" spans="8:8" x14ac:dyDescent="0.2">
      <c r="H2683">
        <v>0</v>
      </c>
    </row>
    <row r="2684" spans="8:8" x14ac:dyDescent="0.2">
      <c r="H2684">
        <v>0</v>
      </c>
    </row>
    <row r="2685" spans="8:8" x14ac:dyDescent="0.2">
      <c r="H2685">
        <v>0</v>
      </c>
    </row>
    <row r="2686" spans="8:8" x14ac:dyDescent="0.2">
      <c r="H2686">
        <v>0</v>
      </c>
    </row>
    <row r="2687" spans="8:8" x14ac:dyDescent="0.2">
      <c r="H2687">
        <v>0</v>
      </c>
    </row>
    <row r="2688" spans="8:8" x14ac:dyDescent="0.2">
      <c r="H2688">
        <v>0</v>
      </c>
    </row>
    <row r="2689" spans="8:8" x14ac:dyDescent="0.2">
      <c r="H2689">
        <v>0</v>
      </c>
    </row>
    <row r="2690" spans="8:8" x14ac:dyDescent="0.2">
      <c r="H2690">
        <v>0</v>
      </c>
    </row>
    <row r="2691" spans="8:8" x14ac:dyDescent="0.2">
      <c r="H2691">
        <v>0</v>
      </c>
    </row>
    <row r="2692" spans="8:8" x14ac:dyDescent="0.2">
      <c r="H2692">
        <v>0</v>
      </c>
    </row>
    <row r="2693" spans="8:8" x14ac:dyDescent="0.2">
      <c r="H2693">
        <v>0</v>
      </c>
    </row>
    <row r="2694" spans="8:8" x14ac:dyDescent="0.2">
      <c r="H2694">
        <v>0</v>
      </c>
    </row>
    <row r="2695" spans="8:8" x14ac:dyDescent="0.2">
      <c r="H2695">
        <v>0</v>
      </c>
    </row>
    <row r="2696" spans="8:8" x14ac:dyDescent="0.2">
      <c r="H2696">
        <v>0</v>
      </c>
    </row>
    <row r="2697" spans="8:8" x14ac:dyDescent="0.2">
      <c r="H2697">
        <v>0</v>
      </c>
    </row>
    <row r="2698" spans="8:8" x14ac:dyDescent="0.2">
      <c r="H2698">
        <v>0</v>
      </c>
    </row>
    <row r="2699" spans="8:8" x14ac:dyDescent="0.2">
      <c r="H2699">
        <v>0</v>
      </c>
    </row>
    <row r="2700" spans="8:8" x14ac:dyDescent="0.2">
      <c r="H2700">
        <v>0</v>
      </c>
    </row>
    <row r="2701" spans="8:8" x14ac:dyDescent="0.2">
      <c r="H2701">
        <v>0</v>
      </c>
    </row>
    <row r="2702" spans="8:8" x14ac:dyDescent="0.2">
      <c r="H2702">
        <v>0</v>
      </c>
    </row>
    <row r="2703" spans="8:8" x14ac:dyDescent="0.2">
      <c r="H2703">
        <v>0</v>
      </c>
    </row>
    <row r="2704" spans="8:8" x14ac:dyDescent="0.2">
      <c r="H2704">
        <v>0</v>
      </c>
    </row>
    <row r="2705" spans="8:8" x14ac:dyDescent="0.2">
      <c r="H2705">
        <v>0</v>
      </c>
    </row>
    <row r="2706" spans="8:8" x14ac:dyDescent="0.2">
      <c r="H2706">
        <v>0</v>
      </c>
    </row>
    <row r="2707" spans="8:8" x14ac:dyDescent="0.2">
      <c r="H2707">
        <v>0</v>
      </c>
    </row>
    <row r="2708" spans="8:8" x14ac:dyDescent="0.2">
      <c r="H2708">
        <v>0</v>
      </c>
    </row>
    <row r="2709" spans="8:8" x14ac:dyDescent="0.2">
      <c r="H2709">
        <v>0</v>
      </c>
    </row>
    <row r="2710" spans="8:8" x14ac:dyDescent="0.2">
      <c r="H2710">
        <v>0</v>
      </c>
    </row>
    <row r="2711" spans="8:8" x14ac:dyDescent="0.2">
      <c r="H2711">
        <v>0</v>
      </c>
    </row>
    <row r="2712" spans="8:8" x14ac:dyDescent="0.2">
      <c r="H2712">
        <v>0</v>
      </c>
    </row>
    <row r="2713" spans="8:8" x14ac:dyDescent="0.2">
      <c r="H2713">
        <v>0</v>
      </c>
    </row>
    <row r="2714" spans="8:8" x14ac:dyDescent="0.2">
      <c r="H2714">
        <v>0</v>
      </c>
    </row>
    <row r="2715" spans="8:8" x14ac:dyDescent="0.2">
      <c r="H2715">
        <v>0</v>
      </c>
    </row>
    <row r="2716" spans="8:8" x14ac:dyDescent="0.2">
      <c r="H2716">
        <v>0</v>
      </c>
    </row>
    <row r="2717" spans="8:8" x14ac:dyDescent="0.2">
      <c r="H2717">
        <v>0</v>
      </c>
    </row>
    <row r="2718" spans="8:8" x14ac:dyDescent="0.2">
      <c r="H2718">
        <v>0</v>
      </c>
    </row>
    <row r="2719" spans="8:8" x14ac:dyDescent="0.2">
      <c r="H2719">
        <v>0</v>
      </c>
    </row>
    <row r="2720" spans="8:8" x14ac:dyDescent="0.2">
      <c r="H2720">
        <v>0</v>
      </c>
    </row>
    <row r="2721" spans="8:8" x14ac:dyDescent="0.2">
      <c r="H2721">
        <v>0</v>
      </c>
    </row>
    <row r="2722" spans="8:8" x14ac:dyDescent="0.2">
      <c r="H2722">
        <v>0</v>
      </c>
    </row>
    <row r="2723" spans="8:8" x14ac:dyDescent="0.2">
      <c r="H2723">
        <v>0</v>
      </c>
    </row>
    <row r="2724" spans="8:8" x14ac:dyDescent="0.2">
      <c r="H2724">
        <v>0</v>
      </c>
    </row>
    <row r="2725" spans="8:8" x14ac:dyDescent="0.2">
      <c r="H2725">
        <v>0</v>
      </c>
    </row>
    <row r="2726" spans="8:8" x14ac:dyDescent="0.2">
      <c r="H2726">
        <v>0</v>
      </c>
    </row>
    <row r="2727" spans="8:8" x14ac:dyDescent="0.2">
      <c r="H2727">
        <v>0</v>
      </c>
    </row>
    <row r="2728" spans="8:8" x14ac:dyDescent="0.2">
      <c r="H2728">
        <v>0</v>
      </c>
    </row>
    <row r="2729" spans="8:8" x14ac:dyDescent="0.2">
      <c r="H2729">
        <v>0</v>
      </c>
    </row>
    <row r="2730" spans="8:8" x14ac:dyDescent="0.2">
      <c r="H2730">
        <v>0</v>
      </c>
    </row>
    <row r="2731" spans="8:8" x14ac:dyDescent="0.2">
      <c r="H2731">
        <v>0</v>
      </c>
    </row>
    <row r="2732" spans="8:8" x14ac:dyDescent="0.2">
      <c r="H2732">
        <v>0</v>
      </c>
    </row>
    <row r="2733" spans="8:8" x14ac:dyDescent="0.2">
      <c r="H2733">
        <v>0</v>
      </c>
    </row>
    <row r="2734" spans="8:8" x14ac:dyDescent="0.2">
      <c r="H2734">
        <v>0</v>
      </c>
    </row>
    <row r="2735" spans="8:8" x14ac:dyDescent="0.2">
      <c r="H2735">
        <v>0</v>
      </c>
    </row>
    <row r="2736" spans="8:8" x14ac:dyDescent="0.2">
      <c r="H2736">
        <v>0</v>
      </c>
    </row>
    <row r="2737" spans="8:8" x14ac:dyDescent="0.2">
      <c r="H2737">
        <v>0</v>
      </c>
    </row>
    <row r="2738" spans="8:8" x14ac:dyDescent="0.2">
      <c r="H2738">
        <v>0</v>
      </c>
    </row>
    <row r="2739" spans="8:8" x14ac:dyDescent="0.2">
      <c r="H2739">
        <v>0</v>
      </c>
    </row>
    <row r="2740" spans="8:8" x14ac:dyDescent="0.2">
      <c r="H2740">
        <v>0</v>
      </c>
    </row>
    <row r="2741" spans="8:8" x14ac:dyDescent="0.2">
      <c r="H2741">
        <v>0</v>
      </c>
    </row>
    <row r="2742" spans="8:8" x14ac:dyDescent="0.2">
      <c r="H2742">
        <v>0</v>
      </c>
    </row>
    <row r="2743" spans="8:8" x14ac:dyDescent="0.2">
      <c r="H2743">
        <v>0</v>
      </c>
    </row>
    <row r="2744" spans="8:8" x14ac:dyDescent="0.2">
      <c r="H2744">
        <v>0</v>
      </c>
    </row>
    <row r="2745" spans="8:8" x14ac:dyDescent="0.2">
      <c r="H2745">
        <v>0</v>
      </c>
    </row>
    <row r="2746" spans="8:8" x14ac:dyDescent="0.2">
      <c r="H2746">
        <v>0</v>
      </c>
    </row>
    <row r="2747" spans="8:8" x14ac:dyDescent="0.2">
      <c r="H2747">
        <v>0</v>
      </c>
    </row>
    <row r="2748" spans="8:8" x14ac:dyDescent="0.2">
      <c r="H2748">
        <v>0</v>
      </c>
    </row>
    <row r="2749" spans="8:8" x14ac:dyDescent="0.2">
      <c r="H2749">
        <v>0</v>
      </c>
    </row>
    <row r="2750" spans="8:8" x14ac:dyDescent="0.2">
      <c r="H2750">
        <v>0</v>
      </c>
    </row>
    <row r="2751" spans="8:8" x14ac:dyDescent="0.2">
      <c r="H2751">
        <v>0</v>
      </c>
    </row>
    <row r="2752" spans="8:8" x14ac:dyDescent="0.2">
      <c r="H2752">
        <v>0</v>
      </c>
    </row>
    <row r="2753" spans="8:8" x14ac:dyDescent="0.2">
      <c r="H2753">
        <v>0</v>
      </c>
    </row>
    <row r="2754" spans="8:8" x14ac:dyDescent="0.2">
      <c r="H2754">
        <v>0</v>
      </c>
    </row>
    <row r="2755" spans="8:8" x14ac:dyDescent="0.2">
      <c r="H2755">
        <v>0</v>
      </c>
    </row>
    <row r="2756" spans="8:8" x14ac:dyDescent="0.2">
      <c r="H2756">
        <v>0</v>
      </c>
    </row>
    <row r="2757" spans="8:8" x14ac:dyDescent="0.2">
      <c r="H2757">
        <v>0</v>
      </c>
    </row>
    <row r="2758" spans="8:8" x14ac:dyDescent="0.2">
      <c r="H2758">
        <v>0</v>
      </c>
    </row>
    <row r="2759" spans="8:8" x14ac:dyDescent="0.2">
      <c r="H2759">
        <v>0</v>
      </c>
    </row>
    <row r="2760" spans="8:8" x14ac:dyDescent="0.2">
      <c r="H2760">
        <v>0</v>
      </c>
    </row>
    <row r="2761" spans="8:8" x14ac:dyDescent="0.2">
      <c r="H2761">
        <v>0</v>
      </c>
    </row>
    <row r="2762" spans="8:8" x14ac:dyDescent="0.2">
      <c r="H2762">
        <v>0</v>
      </c>
    </row>
    <row r="2763" spans="8:8" x14ac:dyDescent="0.2">
      <c r="H2763">
        <v>0</v>
      </c>
    </row>
    <row r="2764" spans="8:8" x14ac:dyDescent="0.2">
      <c r="H2764">
        <v>0</v>
      </c>
    </row>
    <row r="2765" spans="8:8" x14ac:dyDescent="0.2">
      <c r="H2765">
        <v>0</v>
      </c>
    </row>
    <row r="2766" spans="8:8" x14ac:dyDescent="0.2">
      <c r="H2766">
        <v>0</v>
      </c>
    </row>
    <row r="2767" spans="8:8" x14ac:dyDescent="0.2">
      <c r="H2767">
        <v>0</v>
      </c>
    </row>
    <row r="2768" spans="8:8" x14ac:dyDescent="0.2">
      <c r="H2768">
        <v>0</v>
      </c>
    </row>
    <row r="2769" spans="8:8" x14ac:dyDescent="0.2">
      <c r="H2769">
        <v>0</v>
      </c>
    </row>
    <row r="2770" spans="8:8" x14ac:dyDescent="0.2">
      <c r="H2770">
        <v>0</v>
      </c>
    </row>
    <row r="2771" spans="8:8" x14ac:dyDescent="0.2">
      <c r="H2771">
        <v>0</v>
      </c>
    </row>
    <row r="2772" spans="8:8" x14ac:dyDescent="0.2">
      <c r="H2772">
        <v>0</v>
      </c>
    </row>
    <row r="2773" spans="8:8" x14ac:dyDescent="0.2">
      <c r="H2773">
        <v>0</v>
      </c>
    </row>
    <row r="2774" spans="8:8" x14ac:dyDescent="0.2">
      <c r="H2774">
        <v>0</v>
      </c>
    </row>
    <row r="2775" spans="8:8" x14ac:dyDescent="0.2">
      <c r="H2775">
        <v>0</v>
      </c>
    </row>
    <row r="2776" spans="8:8" x14ac:dyDescent="0.2">
      <c r="H2776">
        <v>0</v>
      </c>
    </row>
    <row r="2777" spans="8:8" x14ac:dyDescent="0.2">
      <c r="H2777">
        <v>0</v>
      </c>
    </row>
    <row r="2778" spans="8:8" x14ac:dyDescent="0.2">
      <c r="H2778">
        <v>0</v>
      </c>
    </row>
    <row r="2779" spans="8:8" x14ac:dyDescent="0.2">
      <c r="H2779">
        <v>0</v>
      </c>
    </row>
    <row r="2780" spans="8:8" x14ac:dyDescent="0.2">
      <c r="H2780">
        <v>0</v>
      </c>
    </row>
    <row r="2781" spans="8:8" x14ac:dyDescent="0.2">
      <c r="H2781">
        <v>0</v>
      </c>
    </row>
    <row r="2782" spans="8:8" x14ac:dyDescent="0.2">
      <c r="H2782">
        <v>0</v>
      </c>
    </row>
    <row r="2783" spans="8:8" x14ac:dyDescent="0.2">
      <c r="H2783">
        <v>0</v>
      </c>
    </row>
    <row r="2784" spans="8:8" x14ac:dyDescent="0.2">
      <c r="H2784">
        <v>0</v>
      </c>
    </row>
    <row r="2785" spans="8:8" x14ac:dyDescent="0.2">
      <c r="H2785">
        <v>0</v>
      </c>
    </row>
    <row r="2786" spans="8:8" x14ac:dyDescent="0.2">
      <c r="H2786">
        <v>0</v>
      </c>
    </row>
    <row r="2787" spans="8:8" x14ac:dyDescent="0.2">
      <c r="H2787">
        <v>0</v>
      </c>
    </row>
    <row r="2788" spans="8:8" x14ac:dyDescent="0.2">
      <c r="H2788">
        <v>0</v>
      </c>
    </row>
    <row r="2789" spans="8:8" x14ac:dyDescent="0.2">
      <c r="H2789">
        <v>0</v>
      </c>
    </row>
    <row r="2790" spans="8:8" x14ac:dyDescent="0.2">
      <c r="H2790">
        <v>0</v>
      </c>
    </row>
    <row r="2791" spans="8:8" x14ac:dyDescent="0.2">
      <c r="H2791">
        <v>0</v>
      </c>
    </row>
    <row r="2792" spans="8:8" x14ac:dyDescent="0.2">
      <c r="H2792">
        <v>0</v>
      </c>
    </row>
    <row r="2793" spans="8:8" x14ac:dyDescent="0.2">
      <c r="H2793">
        <v>0</v>
      </c>
    </row>
    <row r="2794" spans="8:8" x14ac:dyDescent="0.2">
      <c r="H2794">
        <v>0</v>
      </c>
    </row>
    <row r="2795" spans="8:8" x14ac:dyDescent="0.2">
      <c r="H2795">
        <v>0</v>
      </c>
    </row>
    <row r="2796" spans="8:8" x14ac:dyDescent="0.2">
      <c r="H2796">
        <v>0</v>
      </c>
    </row>
    <row r="2797" spans="8:8" x14ac:dyDescent="0.2">
      <c r="H2797">
        <v>0</v>
      </c>
    </row>
    <row r="2798" spans="8:8" x14ac:dyDescent="0.2">
      <c r="H2798">
        <v>0</v>
      </c>
    </row>
    <row r="2799" spans="8:8" x14ac:dyDescent="0.2">
      <c r="H2799">
        <v>0</v>
      </c>
    </row>
    <row r="2800" spans="8:8" x14ac:dyDescent="0.2">
      <c r="H2800">
        <v>0</v>
      </c>
    </row>
    <row r="2801" spans="8:8" x14ac:dyDescent="0.2">
      <c r="H2801">
        <v>0</v>
      </c>
    </row>
    <row r="2802" spans="8:8" x14ac:dyDescent="0.2">
      <c r="H2802">
        <v>0</v>
      </c>
    </row>
    <row r="2803" spans="8:8" x14ac:dyDescent="0.2">
      <c r="H2803">
        <v>0</v>
      </c>
    </row>
    <row r="2804" spans="8:8" x14ac:dyDescent="0.2">
      <c r="H2804">
        <v>0</v>
      </c>
    </row>
    <row r="2805" spans="8:8" x14ac:dyDescent="0.2">
      <c r="H2805">
        <v>0</v>
      </c>
    </row>
    <row r="2806" spans="8:8" x14ac:dyDescent="0.2">
      <c r="H2806">
        <v>0</v>
      </c>
    </row>
    <row r="2807" spans="8:8" x14ac:dyDescent="0.2">
      <c r="H2807">
        <v>0</v>
      </c>
    </row>
    <row r="2808" spans="8:8" x14ac:dyDescent="0.2">
      <c r="H2808">
        <v>0</v>
      </c>
    </row>
    <row r="2809" spans="8:8" x14ac:dyDescent="0.2">
      <c r="H2809">
        <v>0</v>
      </c>
    </row>
    <row r="2810" spans="8:8" x14ac:dyDescent="0.2">
      <c r="H2810">
        <v>0</v>
      </c>
    </row>
    <row r="2811" spans="8:8" x14ac:dyDescent="0.2">
      <c r="H2811">
        <v>0</v>
      </c>
    </row>
    <row r="2812" spans="8:8" x14ac:dyDescent="0.2">
      <c r="H2812">
        <v>0</v>
      </c>
    </row>
    <row r="2813" spans="8:8" x14ac:dyDescent="0.2">
      <c r="H2813">
        <v>0</v>
      </c>
    </row>
    <row r="2814" spans="8:8" x14ac:dyDescent="0.2">
      <c r="H2814">
        <v>0</v>
      </c>
    </row>
    <row r="2815" spans="8:8" x14ac:dyDescent="0.2">
      <c r="H2815">
        <v>0</v>
      </c>
    </row>
    <row r="2816" spans="8:8" x14ac:dyDescent="0.2">
      <c r="H2816">
        <v>0</v>
      </c>
    </row>
    <row r="2817" spans="8:8" x14ac:dyDescent="0.2">
      <c r="H2817">
        <v>0</v>
      </c>
    </row>
    <row r="2818" spans="8:8" x14ac:dyDescent="0.2">
      <c r="H2818">
        <v>0</v>
      </c>
    </row>
    <row r="2819" spans="8:8" x14ac:dyDescent="0.2">
      <c r="H2819">
        <v>0</v>
      </c>
    </row>
    <row r="2820" spans="8:8" x14ac:dyDescent="0.2">
      <c r="H2820">
        <v>0</v>
      </c>
    </row>
    <row r="2821" spans="8:8" x14ac:dyDescent="0.2">
      <c r="H2821">
        <v>0</v>
      </c>
    </row>
    <row r="2822" spans="8:8" x14ac:dyDescent="0.2">
      <c r="H2822">
        <v>0</v>
      </c>
    </row>
    <row r="2823" spans="8:8" x14ac:dyDescent="0.2">
      <c r="H2823">
        <v>0</v>
      </c>
    </row>
    <row r="2824" spans="8:8" x14ac:dyDescent="0.2">
      <c r="H2824">
        <v>0</v>
      </c>
    </row>
    <row r="2825" spans="8:8" x14ac:dyDescent="0.2">
      <c r="H2825">
        <v>0</v>
      </c>
    </row>
    <row r="2826" spans="8:8" x14ac:dyDescent="0.2">
      <c r="H2826">
        <v>0</v>
      </c>
    </row>
    <row r="2827" spans="8:8" x14ac:dyDescent="0.2">
      <c r="H2827">
        <v>0</v>
      </c>
    </row>
    <row r="2828" spans="8:8" x14ac:dyDescent="0.2">
      <c r="H2828">
        <v>0</v>
      </c>
    </row>
    <row r="2829" spans="8:8" x14ac:dyDescent="0.2">
      <c r="H2829">
        <v>0</v>
      </c>
    </row>
    <row r="2830" spans="8:8" x14ac:dyDescent="0.2">
      <c r="H2830">
        <v>0</v>
      </c>
    </row>
    <row r="2831" spans="8:8" x14ac:dyDescent="0.2">
      <c r="H2831">
        <v>0</v>
      </c>
    </row>
    <row r="2832" spans="8:8" x14ac:dyDescent="0.2">
      <c r="H2832">
        <v>0</v>
      </c>
    </row>
    <row r="2833" spans="8:8" x14ac:dyDescent="0.2">
      <c r="H2833">
        <v>0</v>
      </c>
    </row>
    <row r="2834" spans="8:8" x14ac:dyDescent="0.2">
      <c r="H2834">
        <v>0</v>
      </c>
    </row>
    <row r="2835" spans="8:8" x14ac:dyDescent="0.2">
      <c r="H2835">
        <v>0</v>
      </c>
    </row>
    <row r="2836" spans="8:8" x14ac:dyDescent="0.2">
      <c r="H2836">
        <v>0</v>
      </c>
    </row>
    <row r="2837" spans="8:8" x14ac:dyDescent="0.2">
      <c r="H2837">
        <v>0</v>
      </c>
    </row>
    <row r="2838" spans="8:8" x14ac:dyDescent="0.2">
      <c r="H2838">
        <v>0</v>
      </c>
    </row>
    <row r="2839" spans="8:8" x14ac:dyDescent="0.2">
      <c r="H2839">
        <v>0</v>
      </c>
    </row>
    <row r="2840" spans="8:8" x14ac:dyDescent="0.2">
      <c r="H2840">
        <v>0</v>
      </c>
    </row>
    <row r="2841" spans="8:8" x14ac:dyDescent="0.2">
      <c r="H2841">
        <v>0</v>
      </c>
    </row>
    <row r="2842" spans="8:8" x14ac:dyDescent="0.2">
      <c r="H2842">
        <v>0</v>
      </c>
    </row>
    <row r="2843" spans="8:8" x14ac:dyDescent="0.2">
      <c r="H2843">
        <v>0</v>
      </c>
    </row>
    <row r="2844" spans="8:8" x14ac:dyDescent="0.2">
      <c r="H2844">
        <v>0</v>
      </c>
    </row>
    <row r="2845" spans="8:8" x14ac:dyDescent="0.2">
      <c r="H2845">
        <v>0</v>
      </c>
    </row>
    <row r="2846" spans="8:8" x14ac:dyDescent="0.2">
      <c r="H2846">
        <v>0</v>
      </c>
    </row>
    <row r="2847" spans="8:8" x14ac:dyDescent="0.2">
      <c r="H2847">
        <v>0</v>
      </c>
    </row>
    <row r="2848" spans="8:8" x14ac:dyDescent="0.2">
      <c r="H2848">
        <v>0</v>
      </c>
    </row>
    <row r="2849" spans="8:8" x14ac:dyDescent="0.2">
      <c r="H2849">
        <v>0</v>
      </c>
    </row>
    <row r="2850" spans="8:8" x14ac:dyDescent="0.2">
      <c r="H2850">
        <v>0</v>
      </c>
    </row>
    <row r="2851" spans="8:8" x14ac:dyDescent="0.2">
      <c r="H2851">
        <v>0</v>
      </c>
    </row>
    <row r="2852" spans="8:8" x14ac:dyDescent="0.2">
      <c r="H2852">
        <v>0</v>
      </c>
    </row>
    <row r="2853" spans="8:8" x14ac:dyDescent="0.2">
      <c r="H2853">
        <v>0</v>
      </c>
    </row>
    <row r="2854" spans="8:8" x14ac:dyDescent="0.2">
      <c r="H2854">
        <v>0</v>
      </c>
    </row>
    <row r="2855" spans="8:8" x14ac:dyDescent="0.2">
      <c r="H2855">
        <v>0</v>
      </c>
    </row>
    <row r="2856" spans="8:8" x14ac:dyDescent="0.2">
      <c r="H2856">
        <v>0</v>
      </c>
    </row>
    <row r="2857" spans="8:8" x14ac:dyDescent="0.2">
      <c r="H2857">
        <v>0</v>
      </c>
    </row>
    <row r="2858" spans="8:8" x14ac:dyDescent="0.2">
      <c r="H2858">
        <v>0</v>
      </c>
    </row>
    <row r="2859" spans="8:8" x14ac:dyDescent="0.2">
      <c r="H2859">
        <v>0</v>
      </c>
    </row>
    <row r="2860" spans="8:8" x14ac:dyDescent="0.2">
      <c r="H2860">
        <v>0</v>
      </c>
    </row>
    <row r="2861" spans="8:8" x14ac:dyDescent="0.2">
      <c r="H2861">
        <v>0</v>
      </c>
    </row>
    <row r="2862" spans="8:8" x14ac:dyDescent="0.2">
      <c r="H2862">
        <v>0</v>
      </c>
    </row>
    <row r="2863" spans="8:8" x14ac:dyDescent="0.2">
      <c r="H2863">
        <v>0</v>
      </c>
    </row>
    <row r="2864" spans="8:8" x14ac:dyDescent="0.2">
      <c r="H2864">
        <v>0</v>
      </c>
    </row>
    <row r="2865" spans="8:8" x14ac:dyDescent="0.2">
      <c r="H2865">
        <v>0</v>
      </c>
    </row>
    <row r="2866" spans="8:8" x14ac:dyDescent="0.2">
      <c r="H2866">
        <v>0</v>
      </c>
    </row>
    <row r="2867" spans="8:8" x14ac:dyDescent="0.2">
      <c r="H2867">
        <v>0</v>
      </c>
    </row>
    <row r="2868" spans="8:8" x14ac:dyDescent="0.2">
      <c r="H2868">
        <v>0</v>
      </c>
    </row>
    <row r="2869" spans="8:8" x14ac:dyDescent="0.2">
      <c r="H2869">
        <v>0</v>
      </c>
    </row>
    <row r="2870" spans="8:8" x14ac:dyDescent="0.2">
      <c r="H2870">
        <v>0</v>
      </c>
    </row>
    <row r="2871" spans="8:8" x14ac:dyDescent="0.2">
      <c r="H2871">
        <v>0</v>
      </c>
    </row>
    <row r="2872" spans="8:8" x14ac:dyDescent="0.2">
      <c r="H2872">
        <v>0</v>
      </c>
    </row>
    <row r="2873" spans="8:8" x14ac:dyDescent="0.2">
      <c r="H2873">
        <v>0</v>
      </c>
    </row>
    <row r="2874" spans="8:8" x14ac:dyDescent="0.2">
      <c r="H2874">
        <v>0</v>
      </c>
    </row>
    <row r="2875" spans="8:8" x14ac:dyDescent="0.2">
      <c r="H2875">
        <v>0</v>
      </c>
    </row>
    <row r="2876" spans="8:8" x14ac:dyDescent="0.2">
      <c r="H2876">
        <v>0</v>
      </c>
    </row>
    <row r="2877" spans="8:8" x14ac:dyDescent="0.2">
      <c r="H2877">
        <v>0</v>
      </c>
    </row>
    <row r="2878" spans="8:8" x14ac:dyDescent="0.2">
      <c r="H2878">
        <v>0</v>
      </c>
    </row>
    <row r="2879" spans="8:8" x14ac:dyDescent="0.2">
      <c r="H2879">
        <v>0</v>
      </c>
    </row>
    <row r="2880" spans="8:8" x14ac:dyDescent="0.2">
      <c r="H2880">
        <v>0</v>
      </c>
    </row>
    <row r="2881" spans="8:8" x14ac:dyDescent="0.2">
      <c r="H2881">
        <v>0</v>
      </c>
    </row>
    <row r="2882" spans="8:8" x14ac:dyDescent="0.2">
      <c r="H2882">
        <v>0</v>
      </c>
    </row>
    <row r="2883" spans="8:8" x14ac:dyDescent="0.2">
      <c r="H2883">
        <v>0</v>
      </c>
    </row>
    <row r="2884" spans="8:8" x14ac:dyDescent="0.2">
      <c r="H2884">
        <v>0</v>
      </c>
    </row>
    <row r="2885" spans="8:8" x14ac:dyDescent="0.2">
      <c r="H2885">
        <v>0</v>
      </c>
    </row>
    <row r="2886" spans="8:8" x14ac:dyDescent="0.2">
      <c r="H2886">
        <v>0</v>
      </c>
    </row>
    <row r="2887" spans="8:8" x14ac:dyDescent="0.2">
      <c r="H2887">
        <v>0</v>
      </c>
    </row>
    <row r="2888" spans="8:8" x14ac:dyDescent="0.2">
      <c r="H2888">
        <v>0</v>
      </c>
    </row>
    <row r="2889" spans="8:8" x14ac:dyDescent="0.2">
      <c r="H2889">
        <v>0</v>
      </c>
    </row>
    <row r="2890" spans="8:8" x14ac:dyDescent="0.2">
      <c r="H2890">
        <v>0</v>
      </c>
    </row>
    <row r="2891" spans="8:8" x14ac:dyDescent="0.2">
      <c r="H2891">
        <v>0</v>
      </c>
    </row>
    <row r="2892" spans="8:8" x14ac:dyDescent="0.2">
      <c r="H2892">
        <v>0</v>
      </c>
    </row>
    <row r="2893" spans="8:8" x14ac:dyDescent="0.2">
      <c r="H2893">
        <v>0</v>
      </c>
    </row>
    <row r="2894" spans="8:8" x14ac:dyDescent="0.2">
      <c r="H2894">
        <v>0</v>
      </c>
    </row>
    <row r="2895" spans="8:8" x14ac:dyDescent="0.2">
      <c r="H2895">
        <v>0</v>
      </c>
    </row>
    <row r="2896" spans="8:8" x14ac:dyDescent="0.2">
      <c r="H2896">
        <v>0</v>
      </c>
    </row>
    <row r="2897" spans="8:8" x14ac:dyDescent="0.2">
      <c r="H2897">
        <v>0</v>
      </c>
    </row>
    <row r="2898" spans="8:8" x14ac:dyDescent="0.2">
      <c r="H2898">
        <v>0</v>
      </c>
    </row>
    <row r="2899" spans="8:8" x14ac:dyDescent="0.2">
      <c r="H2899">
        <v>0</v>
      </c>
    </row>
    <row r="2900" spans="8:8" x14ac:dyDescent="0.2">
      <c r="H2900">
        <v>0</v>
      </c>
    </row>
    <row r="2901" spans="8:8" x14ac:dyDescent="0.2">
      <c r="H2901">
        <v>0</v>
      </c>
    </row>
    <row r="2902" spans="8:8" x14ac:dyDescent="0.2">
      <c r="H2902">
        <v>0</v>
      </c>
    </row>
    <row r="2903" spans="8:8" x14ac:dyDescent="0.2">
      <c r="H2903">
        <v>0</v>
      </c>
    </row>
    <row r="2904" spans="8:8" x14ac:dyDescent="0.2">
      <c r="H2904">
        <v>0</v>
      </c>
    </row>
    <row r="2905" spans="8:8" x14ac:dyDescent="0.2">
      <c r="H2905">
        <v>0</v>
      </c>
    </row>
    <row r="2906" spans="8:8" x14ac:dyDescent="0.2">
      <c r="H2906">
        <v>0</v>
      </c>
    </row>
    <row r="2907" spans="8:8" x14ac:dyDescent="0.2">
      <c r="H2907">
        <v>0</v>
      </c>
    </row>
    <row r="2908" spans="8:8" x14ac:dyDescent="0.2">
      <c r="H2908">
        <v>0</v>
      </c>
    </row>
    <row r="2909" spans="8:8" x14ac:dyDescent="0.2">
      <c r="H2909">
        <v>0</v>
      </c>
    </row>
    <row r="2910" spans="8:8" x14ac:dyDescent="0.2">
      <c r="H2910">
        <v>0</v>
      </c>
    </row>
    <row r="2911" spans="8:8" x14ac:dyDescent="0.2">
      <c r="H2911">
        <v>0</v>
      </c>
    </row>
    <row r="2912" spans="8:8" x14ac:dyDescent="0.2">
      <c r="H2912">
        <v>0</v>
      </c>
    </row>
    <row r="2913" spans="8:8" x14ac:dyDescent="0.2">
      <c r="H2913">
        <v>0</v>
      </c>
    </row>
    <row r="2914" spans="8:8" x14ac:dyDescent="0.2">
      <c r="H2914">
        <v>0</v>
      </c>
    </row>
    <row r="2915" spans="8:8" x14ac:dyDescent="0.2">
      <c r="H2915">
        <v>0</v>
      </c>
    </row>
    <row r="2916" spans="8:8" x14ac:dyDescent="0.2">
      <c r="H2916">
        <v>0</v>
      </c>
    </row>
    <row r="2917" spans="8:8" x14ac:dyDescent="0.2">
      <c r="H2917">
        <v>0</v>
      </c>
    </row>
    <row r="2918" spans="8:8" x14ac:dyDescent="0.2">
      <c r="H2918">
        <v>0</v>
      </c>
    </row>
    <row r="2919" spans="8:8" x14ac:dyDescent="0.2">
      <c r="H2919">
        <v>0</v>
      </c>
    </row>
    <row r="2920" spans="8:8" x14ac:dyDescent="0.2">
      <c r="H2920">
        <v>0</v>
      </c>
    </row>
    <row r="2921" spans="8:8" x14ac:dyDescent="0.2">
      <c r="H2921">
        <v>0</v>
      </c>
    </row>
    <row r="2922" spans="8:8" x14ac:dyDescent="0.2">
      <c r="H2922">
        <v>0</v>
      </c>
    </row>
    <row r="2923" spans="8:8" x14ac:dyDescent="0.2">
      <c r="H2923">
        <v>0</v>
      </c>
    </row>
    <row r="2924" spans="8:8" x14ac:dyDescent="0.2">
      <c r="H2924">
        <v>0</v>
      </c>
    </row>
    <row r="2925" spans="8:8" x14ac:dyDescent="0.2">
      <c r="H2925">
        <v>0</v>
      </c>
    </row>
    <row r="2926" spans="8:8" x14ac:dyDescent="0.2">
      <c r="H2926">
        <v>0</v>
      </c>
    </row>
    <row r="2927" spans="8:8" x14ac:dyDescent="0.2">
      <c r="H2927">
        <v>0</v>
      </c>
    </row>
    <row r="2928" spans="8:8" x14ac:dyDescent="0.2">
      <c r="H2928">
        <v>0</v>
      </c>
    </row>
    <row r="2929" spans="8:8" x14ac:dyDescent="0.2">
      <c r="H2929">
        <v>0</v>
      </c>
    </row>
    <row r="2930" spans="8:8" x14ac:dyDescent="0.2">
      <c r="H2930">
        <v>0</v>
      </c>
    </row>
    <row r="2931" spans="8:8" x14ac:dyDescent="0.2">
      <c r="H2931">
        <v>0</v>
      </c>
    </row>
    <row r="2932" spans="8:8" x14ac:dyDescent="0.2">
      <c r="H2932">
        <v>0</v>
      </c>
    </row>
    <row r="2933" spans="8:8" x14ac:dyDescent="0.2">
      <c r="H2933">
        <v>0</v>
      </c>
    </row>
    <row r="2934" spans="8:8" x14ac:dyDescent="0.2">
      <c r="H2934">
        <v>0</v>
      </c>
    </row>
    <row r="2935" spans="8:8" x14ac:dyDescent="0.2">
      <c r="H2935">
        <v>0</v>
      </c>
    </row>
    <row r="2936" spans="8:8" x14ac:dyDescent="0.2">
      <c r="H2936">
        <v>0</v>
      </c>
    </row>
    <row r="2937" spans="8:8" x14ac:dyDescent="0.2">
      <c r="H2937">
        <v>0</v>
      </c>
    </row>
    <row r="2938" spans="8:8" x14ac:dyDescent="0.2">
      <c r="H2938">
        <v>0</v>
      </c>
    </row>
    <row r="2939" spans="8:8" x14ac:dyDescent="0.2">
      <c r="H2939">
        <v>0</v>
      </c>
    </row>
    <row r="2940" spans="8:8" x14ac:dyDescent="0.2">
      <c r="H2940">
        <v>0</v>
      </c>
    </row>
    <row r="2941" spans="8:8" x14ac:dyDescent="0.2">
      <c r="H2941">
        <v>0</v>
      </c>
    </row>
    <row r="2942" spans="8:8" x14ac:dyDescent="0.2">
      <c r="H2942">
        <v>0</v>
      </c>
    </row>
    <row r="2943" spans="8:8" x14ac:dyDescent="0.2">
      <c r="H2943">
        <v>0</v>
      </c>
    </row>
    <row r="2944" spans="8:8" x14ac:dyDescent="0.2">
      <c r="H2944">
        <v>0</v>
      </c>
    </row>
    <row r="2945" spans="8:8" x14ac:dyDescent="0.2">
      <c r="H2945">
        <v>0</v>
      </c>
    </row>
    <row r="2946" spans="8:8" x14ac:dyDescent="0.2">
      <c r="H2946">
        <v>0</v>
      </c>
    </row>
    <row r="2947" spans="8:8" x14ac:dyDescent="0.2">
      <c r="H2947">
        <v>0</v>
      </c>
    </row>
    <row r="2948" spans="8:8" x14ac:dyDescent="0.2">
      <c r="H2948">
        <v>0</v>
      </c>
    </row>
    <row r="2949" spans="8:8" x14ac:dyDescent="0.2">
      <c r="H2949">
        <v>0</v>
      </c>
    </row>
    <row r="2950" spans="8:8" x14ac:dyDescent="0.2">
      <c r="H2950">
        <v>0</v>
      </c>
    </row>
    <row r="2951" spans="8:8" x14ac:dyDescent="0.2">
      <c r="H2951">
        <v>0</v>
      </c>
    </row>
    <row r="2952" spans="8:8" x14ac:dyDescent="0.2">
      <c r="H2952">
        <v>0</v>
      </c>
    </row>
    <row r="2953" spans="8:8" x14ac:dyDescent="0.2">
      <c r="H2953">
        <v>0</v>
      </c>
    </row>
    <row r="2954" spans="8:8" x14ac:dyDescent="0.2">
      <c r="H2954">
        <v>0</v>
      </c>
    </row>
    <row r="2955" spans="8:8" x14ac:dyDescent="0.2">
      <c r="H2955">
        <v>0</v>
      </c>
    </row>
    <row r="2956" spans="8:8" x14ac:dyDescent="0.2">
      <c r="H2956">
        <v>0</v>
      </c>
    </row>
    <row r="2957" spans="8:8" x14ac:dyDescent="0.2">
      <c r="H2957">
        <v>0</v>
      </c>
    </row>
    <row r="2958" spans="8:8" x14ac:dyDescent="0.2">
      <c r="H2958">
        <v>0</v>
      </c>
    </row>
    <row r="2959" spans="8:8" x14ac:dyDescent="0.2">
      <c r="H2959">
        <v>0</v>
      </c>
    </row>
    <row r="2960" spans="8:8" x14ac:dyDescent="0.2">
      <c r="H2960">
        <v>0</v>
      </c>
    </row>
    <row r="2961" spans="8:8" x14ac:dyDescent="0.2">
      <c r="H2961">
        <v>0</v>
      </c>
    </row>
    <row r="2962" spans="8:8" x14ac:dyDescent="0.2">
      <c r="H2962">
        <v>0</v>
      </c>
    </row>
    <row r="2963" spans="8:8" x14ac:dyDescent="0.2">
      <c r="H2963">
        <v>0</v>
      </c>
    </row>
    <row r="2964" spans="8:8" x14ac:dyDescent="0.2">
      <c r="H2964">
        <v>0</v>
      </c>
    </row>
    <row r="2965" spans="8:8" x14ac:dyDescent="0.2">
      <c r="H2965">
        <v>0</v>
      </c>
    </row>
    <row r="2966" spans="8:8" x14ac:dyDescent="0.2">
      <c r="H2966">
        <v>0</v>
      </c>
    </row>
    <row r="2967" spans="8:8" x14ac:dyDescent="0.2">
      <c r="H2967">
        <v>0</v>
      </c>
    </row>
    <row r="2968" spans="8:8" x14ac:dyDescent="0.2">
      <c r="H2968">
        <v>0</v>
      </c>
    </row>
    <row r="2969" spans="8:8" x14ac:dyDescent="0.2">
      <c r="H2969">
        <v>0</v>
      </c>
    </row>
    <row r="2970" spans="8:8" x14ac:dyDescent="0.2">
      <c r="H2970">
        <v>0</v>
      </c>
    </row>
    <row r="2971" spans="8:8" x14ac:dyDescent="0.2">
      <c r="H2971">
        <v>0</v>
      </c>
    </row>
    <row r="2972" spans="8:8" x14ac:dyDescent="0.2">
      <c r="H2972">
        <v>0</v>
      </c>
    </row>
    <row r="2973" spans="8:8" x14ac:dyDescent="0.2">
      <c r="H2973">
        <v>0</v>
      </c>
    </row>
    <row r="2974" spans="8:8" x14ac:dyDescent="0.2">
      <c r="H2974">
        <v>0</v>
      </c>
    </row>
    <row r="2975" spans="8:8" x14ac:dyDescent="0.2">
      <c r="H2975">
        <v>0</v>
      </c>
    </row>
    <row r="2976" spans="8:8" x14ac:dyDescent="0.2">
      <c r="H2976">
        <v>0</v>
      </c>
    </row>
    <row r="2977" spans="8:8" x14ac:dyDescent="0.2">
      <c r="H2977">
        <v>0</v>
      </c>
    </row>
    <row r="2978" spans="8:8" x14ac:dyDescent="0.2">
      <c r="H2978">
        <v>0</v>
      </c>
    </row>
    <row r="2979" spans="8:8" x14ac:dyDescent="0.2">
      <c r="H2979">
        <v>0</v>
      </c>
    </row>
    <row r="2980" spans="8:8" x14ac:dyDescent="0.2">
      <c r="H2980">
        <v>0</v>
      </c>
    </row>
    <row r="2981" spans="8:8" x14ac:dyDescent="0.2">
      <c r="H2981">
        <v>0</v>
      </c>
    </row>
    <row r="2982" spans="8:8" x14ac:dyDescent="0.2">
      <c r="H2982">
        <v>0</v>
      </c>
    </row>
    <row r="2983" spans="8:8" x14ac:dyDescent="0.2">
      <c r="H2983">
        <v>0</v>
      </c>
    </row>
    <row r="2984" spans="8:8" x14ac:dyDescent="0.2">
      <c r="H2984">
        <v>0</v>
      </c>
    </row>
    <row r="2985" spans="8:8" x14ac:dyDescent="0.2">
      <c r="H2985">
        <v>0</v>
      </c>
    </row>
    <row r="2986" spans="8:8" x14ac:dyDescent="0.2">
      <c r="H2986">
        <v>0</v>
      </c>
    </row>
    <row r="2987" spans="8:8" x14ac:dyDescent="0.2">
      <c r="H2987">
        <v>0</v>
      </c>
    </row>
    <row r="2988" spans="8:8" x14ac:dyDescent="0.2">
      <c r="H2988">
        <v>0</v>
      </c>
    </row>
    <row r="2989" spans="8:8" x14ac:dyDescent="0.2">
      <c r="H2989">
        <v>0</v>
      </c>
    </row>
    <row r="2990" spans="8:8" x14ac:dyDescent="0.2">
      <c r="H2990">
        <v>0</v>
      </c>
    </row>
    <row r="2991" spans="8:8" x14ac:dyDescent="0.2">
      <c r="H2991">
        <v>0</v>
      </c>
    </row>
    <row r="2992" spans="8:8" x14ac:dyDescent="0.2">
      <c r="H2992">
        <v>0</v>
      </c>
    </row>
    <row r="2993" spans="8:8" x14ac:dyDescent="0.2">
      <c r="H2993">
        <v>0</v>
      </c>
    </row>
    <row r="2994" spans="8:8" x14ac:dyDescent="0.2">
      <c r="H2994">
        <v>0</v>
      </c>
    </row>
    <row r="2995" spans="8:8" x14ac:dyDescent="0.2">
      <c r="H2995">
        <v>0</v>
      </c>
    </row>
    <row r="2996" spans="8:8" x14ac:dyDescent="0.2">
      <c r="H2996">
        <v>0</v>
      </c>
    </row>
    <row r="2997" spans="8:8" x14ac:dyDescent="0.2">
      <c r="H2997">
        <v>0</v>
      </c>
    </row>
    <row r="2998" spans="8:8" x14ac:dyDescent="0.2">
      <c r="H2998">
        <v>0</v>
      </c>
    </row>
    <row r="2999" spans="8:8" x14ac:dyDescent="0.2">
      <c r="H2999">
        <v>0</v>
      </c>
    </row>
    <row r="3000" spans="8:8" x14ac:dyDescent="0.2">
      <c r="H3000">
        <v>0</v>
      </c>
    </row>
    <row r="3001" spans="8:8" x14ac:dyDescent="0.2">
      <c r="H3001">
        <v>0</v>
      </c>
    </row>
    <row r="3002" spans="8:8" x14ac:dyDescent="0.2">
      <c r="H3002">
        <v>0</v>
      </c>
    </row>
    <row r="3003" spans="8:8" x14ac:dyDescent="0.2">
      <c r="H3003">
        <v>0</v>
      </c>
    </row>
    <row r="3004" spans="8:8" x14ac:dyDescent="0.2">
      <c r="H3004">
        <v>0</v>
      </c>
    </row>
    <row r="3005" spans="8:8" x14ac:dyDescent="0.2">
      <c r="H3005">
        <v>0</v>
      </c>
    </row>
    <row r="3006" spans="8:8" x14ac:dyDescent="0.2">
      <c r="H3006">
        <v>0</v>
      </c>
    </row>
    <row r="3007" spans="8:8" x14ac:dyDescent="0.2">
      <c r="H3007">
        <v>0</v>
      </c>
    </row>
    <row r="3008" spans="8:8" x14ac:dyDescent="0.2">
      <c r="H3008">
        <v>0</v>
      </c>
    </row>
    <row r="3009" spans="8:8" x14ac:dyDescent="0.2">
      <c r="H3009">
        <v>0</v>
      </c>
    </row>
    <row r="3010" spans="8:8" x14ac:dyDescent="0.2">
      <c r="H3010">
        <v>0</v>
      </c>
    </row>
    <row r="3011" spans="8:8" x14ac:dyDescent="0.2">
      <c r="H3011">
        <v>0</v>
      </c>
    </row>
    <row r="3012" spans="8:8" x14ac:dyDescent="0.2">
      <c r="H3012">
        <v>0</v>
      </c>
    </row>
    <row r="3013" spans="8:8" x14ac:dyDescent="0.2">
      <c r="H3013">
        <v>0</v>
      </c>
    </row>
    <row r="3014" spans="8:8" x14ac:dyDescent="0.2">
      <c r="H3014">
        <v>0</v>
      </c>
    </row>
    <row r="3015" spans="8:8" x14ac:dyDescent="0.2">
      <c r="H3015">
        <v>0</v>
      </c>
    </row>
    <row r="3016" spans="8:8" x14ac:dyDescent="0.2">
      <c r="H3016">
        <v>0</v>
      </c>
    </row>
    <row r="3017" spans="8:8" x14ac:dyDescent="0.2">
      <c r="H3017">
        <v>0</v>
      </c>
    </row>
    <row r="3018" spans="8:8" x14ac:dyDescent="0.2">
      <c r="H3018">
        <v>0</v>
      </c>
    </row>
    <row r="3019" spans="8:8" x14ac:dyDescent="0.2">
      <c r="H3019">
        <v>0</v>
      </c>
    </row>
    <row r="3020" spans="8:8" x14ac:dyDescent="0.2">
      <c r="H3020">
        <v>0</v>
      </c>
    </row>
    <row r="3021" spans="8:8" x14ac:dyDescent="0.2">
      <c r="H3021">
        <v>0</v>
      </c>
    </row>
    <row r="3022" spans="8:8" x14ac:dyDescent="0.2">
      <c r="H3022">
        <v>0</v>
      </c>
    </row>
    <row r="3023" spans="8:8" x14ac:dyDescent="0.2">
      <c r="H3023">
        <v>0</v>
      </c>
    </row>
    <row r="3024" spans="8:8" x14ac:dyDescent="0.2">
      <c r="H3024">
        <v>0</v>
      </c>
    </row>
    <row r="3025" spans="8:8" x14ac:dyDescent="0.2">
      <c r="H3025">
        <v>0</v>
      </c>
    </row>
    <row r="3026" spans="8:8" x14ac:dyDescent="0.2">
      <c r="H3026">
        <v>0</v>
      </c>
    </row>
    <row r="3027" spans="8:8" x14ac:dyDescent="0.2">
      <c r="H3027">
        <v>0</v>
      </c>
    </row>
    <row r="3028" spans="8:8" x14ac:dyDescent="0.2">
      <c r="H3028">
        <v>0</v>
      </c>
    </row>
    <row r="3029" spans="8:8" x14ac:dyDescent="0.2">
      <c r="H3029">
        <v>0</v>
      </c>
    </row>
    <row r="3030" spans="8:8" x14ac:dyDescent="0.2">
      <c r="H3030">
        <v>0</v>
      </c>
    </row>
    <row r="3031" spans="8:8" x14ac:dyDescent="0.2">
      <c r="H3031">
        <v>0</v>
      </c>
    </row>
    <row r="3032" spans="8:8" x14ac:dyDescent="0.2">
      <c r="H3032">
        <v>0</v>
      </c>
    </row>
    <row r="3033" spans="8:8" x14ac:dyDescent="0.2">
      <c r="H3033">
        <v>0</v>
      </c>
    </row>
    <row r="3034" spans="8:8" x14ac:dyDescent="0.2">
      <c r="H3034">
        <v>0</v>
      </c>
    </row>
    <row r="3035" spans="8:8" x14ac:dyDescent="0.2">
      <c r="H3035">
        <v>0</v>
      </c>
    </row>
    <row r="3036" spans="8:8" x14ac:dyDescent="0.2">
      <c r="H3036">
        <v>0</v>
      </c>
    </row>
    <row r="3037" spans="8:8" x14ac:dyDescent="0.2">
      <c r="H3037">
        <v>0</v>
      </c>
    </row>
    <row r="3038" spans="8:8" x14ac:dyDescent="0.2">
      <c r="H3038">
        <v>0</v>
      </c>
    </row>
    <row r="3039" spans="8:8" x14ac:dyDescent="0.2">
      <c r="H3039">
        <v>0</v>
      </c>
    </row>
    <row r="3040" spans="8:8" x14ac:dyDescent="0.2">
      <c r="H3040">
        <v>0</v>
      </c>
    </row>
    <row r="3041" spans="8:8" x14ac:dyDescent="0.2">
      <c r="H3041">
        <v>0</v>
      </c>
    </row>
    <row r="3042" spans="8:8" x14ac:dyDescent="0.2">
      <c r="H3042">
        <v>0</v>
      </c>
    </row>
    <row r="3043" spans="8:8" x14ac:dyDescent="0.2">
      <c r="H3043">
        <v>0</v>
      </c>
    </row>
    <row r="3044" spans="8:8" x14ac:dyDescent="0.2">
      <c r="H3044">
        <v>0</v>
      </c>
    </row>
    <row r="3045" spans="8:8" x14ac:dyDescent="0.2">
      <c r="H3045">
        <v>0</v>
      </c>
    </row>
    <row r="3046" spans="8:8" x14ac:dyDescent="0.2">
      <c r="H3046">
        <v>0</v>
      </c>
    </row>
    <row r="3047" spans="8:8" x14ac:dyDescent="0.2">
      <c r="H3047">
        <v>0</v>
      </c>
    </row>
    <row r="3048" spans="8:8" x14ac:dyDescent="0.2">
      <c r="H3048">
        <v>0</v>
      </c>
    </row>
    <row r="3049" spans="8:8" x14ac:dyDescent="0.2">
      <c r="H3049">
        <v>0</v>
      </c>
    </row>
    <row r="3050" spans="8:8" x14ac:dyDescent="0.2">
      <c r="H3050">
        <v>0</v>
      </c>
    </row>
    <row r="3051" spans="8:8" x14ac:dyDescent="0.2">
      <c r="H3051">
        <v>0</v>
      </c>
    </row>
    <row r="3052" spans="8:8" x14ac:dyDescent="0.2">
      <c r="H3052">
        <v>0</v>
      </c>
    </row>
    <row r="3053" spans="8:8" x14ac:dyDescent="0.2">
      <c r="H3053">
        <v>0</v>
      </c>
    </row>
    <row r="3054" spans="8:8" x14ac:dyDescent="0.2">
      <c r="H3054">
        <v>0</v>
      </c>
    </row>
    <row r="3055" spans="8:8" x14ac:dyDescent="0.2">
      <c r="H3055">
        <v>0</v>
      </c>
    </row>
    <row r="3056" spans="8:8" x14ac:dyDescent="0.2">
      <c r="H3056">
        <v>0</v>
      </c>
    </row>
    <row r="3057" spans="8:8" x14ac:dyDescent="0.2">
      <c r="H3057">
        <v>0</v>
      </c>
    </row>
    <row r="3058" spans="8:8" x14ac:dyDescent="0.2">
      <c r="H3058">
        <v>0</v>
      </c>
    </row>
    <row r="3059" spans="8:8" x14ac:dyDescent="0.2">
      <c r="H3059">
        <v>0</v>
      </c>
    </row>
    <row r="3060" spans="8:8" x14ac:dyDescent="0.2">
      <c r="H3060">
        <v>0</v>
      </c>
    </row>
    <row r="3061" spans="8:8" x14ac:dyDescent="0.2">
      <c r="H3061">
        <v>0</v>
      </c>
    </row>
    <row r="3062" spans="8:8" x14ac:dyDescent="0.2">
      <c r="H3062">
        <v>0</v>
      </c>
    </row>
    <row r="3063" spans="8:8" x14ac:dyDescent="0.2">
      <c r="H3063">
        <v>0</v>
      </c>
    </row>
    <row r="3064" spans="8:8" x14ac:dyDescent="0.2">
      <c r="H3064">
        <v>0</v>
      </c>
    </row>
    <row r="3065" spans="8:8" x14ac:dyDescent="0.2">
      <c r="H3065">
        <v>0</v>
      </c>
    </row>
    <row r="3066" spans="8:8" x14ac:dyDescent="0.2">
      <c r="H3066">
        <v>0</v>
      </c>
    </row>
    <row r="3067" spans="8:8" x14ac:dyDescent="0.2">
      <c r="H3067">
        <v>0</v>
      </c>
    </row>
    <row r="3068" spans="8:8" x14ac:dyDescent="0.2">
      <c r="H3068">
        <v>0</v>
      </c>
    </row>
    <row r="3069" spans="8:8" x14ac:dyDescent="0.2">
      <c r="H3069">
        <v>0</v>
      </c>
    </row>
    <row r="3070" spans="8:8" x14ac:dyDescent="0.2">
      <c r="H3070">
        <v>0</v>
      </c>
    </row>
    <row r="3071" spans="8:8" x14ac:dyDescent="0.2">
      <c r="H3071">
        <v>0</v>
      </c>
    </row>
    <row r="3072" spans="8:8" x14ac:dyDescent="0.2">
      <c r="H3072">
        <v>0</v>
      </c>
    </row>
    <row r="3073" spans="8:8" x14ac:dyDescent="0.2">
      <c r="H3073">
        <v>0</v>
      </c>
    </row>
    <row r="3074" spans="8:8" x14ac:dyDescent="0.2">
      <c r="H3074">
        <v>0</v>
      </c>
    </row>
    <row r="3075" spans="8:8" x14ac:dyDescent="0.2">
      <c r="H3075">
        <v>0</v>
      </c>
    </row>
    <row r="3076" spans="8:8" x14ac:dyDescent="0.2">
      <c r="H3076">
        <v>0</v>
      </c>
    </row>
    <row r="3077" spans="8:8" x14ac:dyDescent="0.2">
      <c r="H3077">
        <v>0</v>
      </c>
    </row>
    <row r="3078" spans="8:8" x14ac:dyDescent="0.2">
      <c r="H3078">
        <v>0</v>
      </c>
    </row>
    <row r="3079" spans="8:8" x14ac:dyDescent="0.2">
      <c r="H3079">
        <v>0</v>
      </c>
    </row>
    <row r="3080" spans="8:8" x14ac:dyDescent="0.2">
      <c r="H3080">
        <v>0</v>
      </c>
    </row>
    <row r="3081" spans="8:8" x14ac:dyDescent="0.2">
      <c r="H3081">
        <v>0</v>
      </c>
    </row>
    <row r="3082" spans="8:8" x14ac:dyDescent="0.2">
      <c r="H3082">
        <v>0</v>
      </c>
    </row>
    <row r="3083" spans="8:8" x14ac:dyDescent="0.2">
      <c r="H3083">
        <v>0</v>
      </c>
    </row>
    <row r="3084" spans="8:8" x14ac:dyDescent="0.2">
      <c r="H3084">
        <v>0</v>
      </c>
    </row>
    <row r="3085" spans="8:8" x14ac:dyDescent="0.2">
      <c r="H3085">
        <v>0</v>
      </c>
    </row>
    <row r="3086" spans="8:8" x14ac:dyDescent="0.2">
      <c r="H3086">
        <v>0</v>
      </c>
    </row>
    <row r="3087" spans="8:8" x14ac:dyDescent="0.2">
      <c r="H3087">
        <v>0</v>
      </c>
    </row>
    <row r="3088" spans="8:8" x14ac:dyDescent="0.2">
      <c r="H3088">
        <v>0</v>
      </c>
    </row>
    <row r="3089" spans="8:8" x14ac:dyDescent="0.2">
      <c r="H3089">
        <v>0</v>
      </c>
    </row>
    <row r="3090" spans="8:8" x14ac:dyDescent="0.2">
      <c r="H3090">
        <v>0</v>
      </c>
    </row>
    <row r="3091" spans="8:8" x14ac:dyDescent="0.2">
      <c r="H3091">
        <v>0</v>
      </c>
    </row>
    <row r="3092" spans="8:8" x14ac:dyDescent="0.2">
      <c r="H3092">
        <v>0</v>
      </c>
    </row>
    <row r="3093" spans="8:8" x14ac:dyDescent="0.2">
      <c r="H3093">
        <v>0</v>
      </c>
    </row>
    <row r="3094" spans="8:8" x14ac:dyDescent="0.2">
      <c r="H3094">
        <v>0</v>
      </c>
    </row>
    <row r="3095" spans="8:8" x14ac:dyDescent="0.2">
      <c r="H3095">
        <v>0</v>
      </c>
    </row>
    <row r="3096" spans="8:8" x14ac:dyDescent="0.2">
      <c r="H3096">
        <v>0</v>
      </c>
    </row>
    <row r="3097" spans="8:8" x14ac:dyDescent="0.2">
      <c r="H3097">
        <v>0</v>
      </c>
    </row>
    <row r="3098" spans="8:8" x14ac:dyDescent="0.2">
      <c r="H3098">
        <v>0</v>
      </c>
    </row>
    <row r="3099" spans="8:8" x14ac:dyDescent="0.2">
      <c r="H3099">
        <v>0</v>
      </c>
    </row>
    <row r="3100" spans="8:8" x14ac:dyDescent="0.2">
      <c r="H3100">
        <v>0</v>
      </c>
    </row>
    <row r="3101" spans="8:8" x14ac:dyDescent="0.2">
      <c r="H3101">
        <v>0</v>
      </c>
    </row>
    <row r="3102" spans="8:8" x14ac:dyDescent="0.2">
      <c r="H3102">
        <v>0</v>
      </c>
    </row>
    <row r="3103" spans="8:8" x14ac:dyDescent="0.2">
      <c r="H3103">
        <v>0</v>
      </c>
    </row>
    <row r="3104" spans="8:8" x14ac:dyDescent="0.2">
      <c r="H3104">
        <v>0</v>
      </c>
    </row>
    <row r="3105" spans="8:8" x14ac:dyDescent="0.2">
      <c r="H3105">
        <v>0</v>
      </c>
    </row>
    <row r="3106" spans="8:8" x14ac:dyDescent="0.2">
      <c r="H3106">
        <v>0</v>
      </c>
    </row>
    <row r="3107" spans="8:8" x14ac:dyDescent="0.2">
      <c r="H3107">
        <v>0</v>
      </c>
    </row>
    <row r="3108" spans="8:8" x14ac:dyDescent="0.2">
      <c r="H3108">
        <v>0</v>
      </c>
    </row>
    <row r="3109" spans="8:8" x14ac:dyDescent="0.2">
      <c r="H3109">
        <v>0</v>
      </c>
    </row>
    <row r="3110" spans="8:8" x14ac:dyDescent="0.2">
      <c r="H3110">
        <v>0</v>
      </c>
    </row>
    <row r="3111" spans="8:8" x14ac:dyDescent="0.2">
      <c r="H3111">
        <v>0</v>
      </c>
    </row>
    <row r="3112" spans="8:8" x14ac:dyDescent="0.2">
      <c r="H3112">
        <v>0</v>
      </c>
    </row>
    <row r="3113" spans="8:8" x14ac:dyDescent="0.2">
      <c r="H3113">
        <v>0</v>
      </c>
    </row>
    <row r="3114" spans="8:8" x14ac:dyDescent="0.2">
      <c r="H3114">
        <v>0</v>
      </c>
    </row>
    <row r="3115" spans="8:8" x14ac:dyDescent="0.2">
      <c r="H3115">
        <v>0</v>
      </c>
    </row>
    <row r="3116" spans="8:8" x14ac:dyDescent="0.2">
      <c r="H3116">
        <v>0</v>
      </c>
    </row>
    <row r="3117" spans="8:8" x14ac:dyDescent="0.2">
      <c r="H3117">
        <v>0</v>
      </c>
    </row>
    <row r="3118" spans="8:8" x14ac:dyDescent="0.2">
      <c r="H3118">
        <v>0</v>
      </c>
    </row>
    <row r="3119" spans="8:8" x14ac:dyDescent="0.2">
      <c r="H3119">
        <v>0</v>
      </c>
    </row>
    <row r="3120" spans="8:8" x14ac:dyDescent="0.2">
      <c r="H3120">
        <v>0</v>
      </c>
    </row>
    <row r="3121" spans="8:8" x14ac:dyDescent="0.2">
      <c r="H3121">
        <v>0</v>
      </c>
    </row>
    <row r="3122" spans="8:8" x14ac:dyDescent="0.2">
      <c r="H3122">
        <v>0</v>
      </c>
    </row>
    <row r="3123" spans="8:8" x14ac:dyDescent="0.2">
      <c r="H3123">
        <v>0</v>
      </c>
    </row>
    <row r="3124" spans="8:8" x14ac:dyDescent="0.2">
      <c r="H3124">
        <v>0</v>
      </c>
    </row>
    <row r="3125" spans="8:8" x14ac:dyDescent="0.2">
      <c r="H3125">
        <v>0</v>
      </c>
    </row>
    <row r="3126" spans="8:8" x14ac:dyDescent="0.2">
      <c r="H3126">
        <v>0</v>
      </c>
    </row>
    <row r="3127" spans="8:8" x14ac:dyDescent="0.2">
      <c r="H3127">
        <v>0</v>
      </c>
    </row>
    <row r="3128" spans="8:8" x14ac:dyDescent="0.2">
      <c r="H3128">
        <v>0</v>
      </c>
    </row>
    <row r="3129" spans="8:8" x14ac:dyDescent="0.2">
      <c r="H3129">
        <v>0</v>
      </c>
    </row>
    <row r="3130" spans="8:8" x14ac:dyDescent="0.2">
      <c r="H3130">
        <v>0</v>
      </c>
    </row>
    <row r="3131" spans="8:8" x14ac:dyDescent="0.2">
      <c r="H3131">
        <v>0</v>
      </c>
    </row>
    <row r="3132" spans="8:8" x14ac:dyDescent="0.2">
      <c r="H3132">
        <v>0</v>
      </c>
    </row>
    <row r="3133" spans="8:8" x14ac:dyDescent="0.2">
      <c r="H3133">
        <v>0</v>
      </c>
    </row>
    <row r="3134" spans="8:8" x14ac:dyDescent="0.2">
      <c r="H3134">
        <v>0</v>
      </c>
    </row>
    <row r="3135" spans="8:8" x14ac:dyDescent="0.2">
      <c r="H3135">
        <v>0</v>
      </c>
    </row>
    <row r="3136" spans="8:8" x14ac:dyDescent="0.2">
      <c r="H3136">
        <v>0</v>
      </c>
    </row>
    <row r="3137" spans="8:8" x14ac:dyDescent="0.2">
      <c r="H3137">
        <v>0</v>
      </c>
    </row>
    <row r="3138" spans="8:8" x14ac:dyDescent="0.2">
      <c r="H3138">
        <v>0</v>
      </c>
    </row>
    <row r="3139" spans="8:8" x14ac:dyDescent="0.2">
      <c r="H3139">
        <v>0</v>
      </c>
    </row>
    <row r="3140" spans="8:8" x14ac:dyDescent="0.2">
      <c r="H3140">
        <v>0</v>
      </c>
    </row>
    <row r="3141" spans="8:8" x14ac:dyDescent="0.2">
      <c r="H3141">
        <v>0</v>
      </c>
    </row>
    <row r="3142" spans="8:8" x14ac:dyDescent="0.2">
      <c r="H3142">
        <v>0</v>
      </c>
    </row>
    <row r="3143" spans="8:8" x14ac:dyDescent="0.2">
      <c r="H3143">
        <v>0</v>
      </c>
    </row>
    <row r="3144" spans="8:8" x14ac:dyDescent="0.2">
      <c r="H3144">
        <v>0</v>
      </c>
    </row>
    <row r="3145" spans="8:8" x14ac:dyDescent="0.2">
      <c r="H3145">
        <v>0</v>
      </c>
    </row>
    <row r="3146" spans="8:8" x14ac:dyDescent="0.2">
      <c r="H3146">
        <v>0</v>
      </c>
    </row>
    <row r="3147" spans="8:8" x14ac:dyDescent="0.2">
      <c r="H3147">
        <v>0</v>
      </c>
    </row>
    <row r="3148" spans="8:8" x14ac:dyDescent="0.2">
      <c r="H3148">
        <v>0</v>
      </c>
    </row>
    <row r="3149" spans="8:8" x14ac:dyDescent="0.2">
      <c r="H3149">
        <v>0</v>
      </c>
    </row>
    <row r="3150" spans="8:8" x14ac:dyDescent="0.2">
      <c r="H3150">
        <v>0</v>
      </c>
    </row>
    <row r="3151" spans="8:8" x14ac:dyDescent="0.2">
      <c r="H3151">
        <v>0</v>
      </c>
    </row>
    <row r="3152" spans="8:8" x14ac:dyDescent="0.2">
      <c r="H3152">
        <v>0</v>
      </c>
    </row>
    <row r="3153" spans="8:8" x14ac:dyDescent="0.2">
      <c r="H3153">
        <v>0</v>
      </c>
    </row>
    <row r="3154" spans="8:8" x14ac:dyDescent="0.2">
      <c r="H3154">
        <v>0</v>
      </c>
    </row>
    <row r="3155" spans="8:8" x14ac:dyDescent="0.2">
      <c r="H3155">
        <v>0</v>
      </c>
    </row>
    <row r="3156" spans="8:8" x14ac:dyDescent="0.2">
      <c r="H3156">
        <v>0</v>
      </c>
    </row>
    <row r="3157" spans="8:8" x14ac:dyDescent="0.2">
      <c r="H3157">
        <v>0</v>
      </c>
    </row>
    <row r="3158" spans="8:8" x14ac:dyDescent="0.2">
      <c r="H3158">
        <v>0</v>
      </c>
    </row>
    <row r="3159" spans="8:8" x14ac:dyDescent="0.2">
      <c r="H3159">
        <v>0</v>
      </c>
    </row>
    <row r="3160" spans="8:8" x14ac:dyDescent="0.2">
      <c r="H3160">
        <v>0</v>
      </c>
    </row>
    <row r="3161" spans="8:8" x14ac:dyDescent="0.2">
      <c r="H3161">
        <v>0</v>
      </c>
    </row>
    <row r="3162" spans="8:8" x14ac:dyDescent="0.2">
      <c r="H3162">
        <v>0</v>
      </c>
    </row>
    <row r="3163" spans="8:8" x14ac:dyDescent="0.2">
      <c r="H3163">
        <v>0</v>
      </c>
    </row>
    <row r="3164" spans="8:8" x14ac:dyDescent="0.2">
      <c r="H3164">
        <v>0</v>
      </c>
    </row>
    <row r="3165" spans="8:8" x14ac:dyDescent="0.2">
      <c r="H3165">
        <v>0</v>
      </c>
    </row>
    <row r="3166" spans="8:8" x14ac:dyDescent="0.2">
      <c r="H3166">
        <v>0</v>
      </c>
    </row>
    <row r="3167" spans="8:8" x14ac:dyDescent="0.2">
      <c r="H3167">
        <v>0</v>
      </c>
    </row>
    <row r="3168" spans="8:8" x14ac:dyDescent="0.2">
      <c r="H3168">
        <v>0</v>
      </c>
    </row>
    <row r="3169" spans="8:8" x14ac:dyDescent="0.2">
      <c r="H3169">
        <v>0</v>
      </c>
    </row>
    <row r="3170" spans="8:8" x14ac:dyDescent="0.2">
      <c r="H3170">
        <v>0</v>
      </c>
    </row>
    <row r="3171" spans="8:8" x14ac:dyDescent="0.2">
      <c r="H3171">
        <v>0</v>
      </c>
    </row>
    <row r="3172" spans="8:8" x14ac:dyDescent="0.2">
      <c r="H3172">
        <v>0</v>
      </c>
    </row>
    <row r="3173" spans="8:8" x14ac:dyDescent="0.2">
      <c r="H3173">
        <v>0</v>
      </c>
    </row>
    <row r="3174" spans="8:8" x14ac:dyDescent="0.2">
      <c r="H3174">
        <v>0</v>
      </c>
    </row>
    <row r="3175" spans="8:8" x14ac:dyDescent="0.2">
      <c r="H3175">
        <v>0</v>
      </c>
    </row>
    <row r="3176" spans="8:8" x14ac:dyDescent="0.2">
      <c r="H3176">
        <v>0</v>
      </c>
    </row>
    <row r="3177" spans="8:8" x14ac:dyDescent="0.2">
      <c r="H3177">
        <v>0</v>
      </c>
    </row>
    <row r="3178" spans="8:8" x14ac:dyDescent="0.2">
      <c r="H3178">
        <v>0</v>
      </c>
    </row>
    <row r="3179" spans="8:8" x14ac:dyDescent="0.2">
      <c r="H3179">
        <v>0</v>
      </c>
    </row>
    <row r="3180" spans="8:8" x14ac:dyDescent="0.2">
      <c r="H3180">
        <v>0</v>
      </c>
    </row>
    <row r="3181" spans="8:8" x14ac:dyDescent="0.2">
      <c r="H3181">
        <v>0</v>
      </c>
    </row>
    <row r="3182" spans="8:8" x14ac:dyDescent="0.2">
      <c r="H3182">
        <v>0</v>
      </c>
    </row>
    <row r="3183" spans="8:8" x14ac:dyDescent="0.2">
      <c r="H3183">
        <v>0</v>
      </c>
    </row>
    <row r="3184" spans="8:8" x14ac:dyDescent="0.2">
      <c r="H3184">
        <v>0</v>
      </c>
    </row>
    <row r="3185" spans="8:8" x14ac:dyDescent="0.2">
      <c r="H3185">
        <v>0</v>
      </c>
    </row>
    <row r="3186" spans="8:8" x14ac:dyDescent="0.2">
      <c r="H3186">
        <v>0</v>
      </c>
    </row>
    <row r="3187" spans="8:8" x14ac:dyDescent="0.2">
      <c r="H3187">
        <v>0</v>
      </c>
    </row>
    <row r="3188" spans="8:8" x14ac:dyDescent="0.2">
      <c r="H3188">
        <v>0</v>
      </c>
    </row>
    <row r="3189" spans="8:8" x14ac:dyDescent="0.2">
      <c r="H3189">
        <v>0</v>
      </c>
    </row>
    <row r="3190" spans="8:8" x14ac:dyDescent="0.2">
      <c r="H3190">
        <v>0</v>
      </c>
    </row>
    <row r="3191" spans="8:8" x14ac:dyDescent="0.2">
      <c r="H3191">
        <v>0</v>
      </c>
    </row>
    <row r="3192" spans="8:8" x14ac:dyDescent="0.2">
      <c r="H3192">
        <v>0</v>
      </c>
    </row>
    <row r="3193" spans="8:8" x14ac:dyDescent="0.2">
      <c r="H3193">
        <v>0</v>
      </c>
    </row>
    <row r="3194" spans="8:8" x14ac:dyDescent="0.2">
      <c r="H3194">
        <v>0</v>
      </c>
    </row>
    <row r="3195" spans="8:8" x14ac:dyDescent="0.2">
      <c r="H3195">
        <v>0</v>
      </c>
    </row>
    <row r="3196" spans="8:8" x14ac:dyDescent="0.2">
      <c r="H3196">
        <v>0</v>
      </c>
    </row>
    <row r="3197" spans="8:8" x14ac:dyDescent="0.2">
      <c r="H3197">
        <v>0</v>
      </c>
    </row>
    <row r="3198" spans="8:8" x14ac:dyDescent="0.2">
      <c r="H3198">
        <v>0</v>
      </c>
    </row>
    <row r="3199" spans="8:8" x14ac:dyDescent="0.2">
      <c r="H3199">
        <v>0</v>
      </c>
    </row>
    <row r="3200" spans="8:8" x14ac:dyDescent="0.2">
      <c r="H3200">
        <v>0</v>
      </c>
    </row>
    <row r="3201" spans="8:8" x14ac:dyDescent="0.2">
      <c r="H3201">
        <v>0</v>
      </c>
    </row>
    <row r="3202" spans="8:8" x14ac:dyDescent="0.2">
      <c r="H3202">
        <v>0</v>
      </c>
    </row>
    <row r="3203" spans="8:8" x14ac:dyDescent="0.2">
      <c r="H3203">
        <v>0</v>
      </c>
    </row>
    <row r="3204" spans="8:8" x14ac:dyDescent="0.2">
      <c r="H3204">
        <v>0</v>
      </c>
    </row>
    <row r="3205" spans="8:8" x14ac:dyDescent="0.2">
      <c r="H3205">
        <v>0</v>
      </c>
    </row>
    <row r="3206" spans="8:8" x14ac:dyDescent="0.2">
      <c r="H3206">
        <v>0</v>
      </c>
    </row>
    <row r="3207" spans="8:8" x14ac:dyDescent="0.2">
      <c r="H3207">
        <v>0</v>
      </c>
    </row>
    <row r="3208" spans="8:8" x14ac:dyDescent="0.2">
      <c r="H3208">
        <v>0</v>
      </c>
    </row>
    <row r="3209" spans="8:8" x14ac:dyDescent="0.2">
      <c r="H3209">
        <v>0</v>
      </c>
    </row>
    <row r="3210" spans="8:8" x14ac:dyDescent="0.2">
      <c r="H3210">
        <v>0</v>
      </c>
    </row>
    <row r="3211" spans="8:8" x14ac:dyDescent="0.2">
      <c r="H3211">
        <v>0</v>
      </c>
    </row>
    <row r="3212" spans="8:8" x14ac:dyDescent="0.2">
      <c r="H3212">
        <v>0</v>
      </c>
    </row>
    <row r="3213" spans="8:8" x14ac:dyDescent="0.2">
      <c r="H3213">
        <v>0</v>
      </c>
    </row>
    <row r="3214" spans="8:8" x14ac:dyDescent="0.2">
      <c r="H3214">
        <v>0</v>
      </c>
    </row>
    <row r="3215" spans="8:8" x14ac:dyDescent="0.2">
      <c r="H3215">
        <v>0</v>
      </c>
    </row>
    <row r="3216" spans="8:8" x14ac:dyDescent="0.2">
      <c r="H3216">
        <v>0</v>
      </c>
    </row>
    <row r="3217" spans="8:8" x14ac:dyDescent="0.2">
      <c r="H3217">
        <v>0</v>
      </c>
    </row>
    <row r="3218" spans="8:8" x14ac:dyDescent="0.2">
      <c r="H3218">
        <v>0</v>
      </c>
    </row>
    <row r="3219" spans="8:8" x14ac:dyDescent="0.2">
      <c r="H3219">
        <v>0</v>
      </c>
    </row>
    <row r="3220" spans="8:8" x14ac:dyDescent="0.2">
      <c r="H3220">
        <v>0</v>
      </c>
    </row>
    <row r="3221" spans="8:8" x14ac:dyDescent="0.2">
      <c r="H3221">
        <v>0</v>
      </c>
    </row>
    <row r="3222" spans="8:8" x14ac:dyDescent="0.2">
      <c r="H3222">
        <v>0</v>
      </c>
    </row>
    <row r="3223" spans="8:8" x14ac:dyDescent="0.2">
      <c r="H3223">
        <v>0</v>
      </c>
    </row>
    <row r="3224" spans="8:8" x14ac:dyDescent="0.2">
      <c r="H3224">
        <v>0</v>
      </c>
    </row>
    <row r="3225" spans="8:8" x14ac:dyDescent="0.2">
      <c r="H3225">
        <v>0</v>
      </c>
    </row>
    <row r="3226" spans="8:8" x14ac:dyDescent="0.2">
      <c r="H3226">
        <v>0</v>
      </c>
    </row>
    <row r="3227" spans="8:8" x14ac:dyDescent="0.2">
      <c r="H3227">
        <v>0</v>
      </c>
    </row>
    <row r="3228" spans="8:8" x14ac:dyDescent="0.2">
      <c r="H3228">
        <v>0</v>
      </c>
    </row>
    <row r="3229" spans="8:8" x14ac:dyDescent="0.2">
      <c r="H3229">
        <v>0</v>
      </c>
    </row>
    <row r="3230" spans="8:8" x14ac:dyDescent="0.2">
      <c r="H3230">
        <v>0</v>
      </c>
    </row>
    <row r="3231" spans="8:8" x14ac:dyDescent="0.2">
      <c r="H3231">
        <v>0</v>
      </c>
    </row>
    <row r="3232" spans="8:8" x14ac:dyDescent="0.2">
      <c r="H3232">
        <v>0</v>
      </c>
    </row>
    <row r="3233" spans="8:8" x14ac:dyDescent="0.2">
      <c r="H3233">
        <v>0</v>
      </c>
    </row>
    <row r="3234" spans="8:8" x14ac:dyDescent="0.2">
      <c r="H3234">
        <v>0</v>
      </c>
    </row>
    <row r="3235" spans="8:8" x14ac:dyDescent="0.2">
      <c r="H3235">
        <v>0</v>
      </c>
    </row>
    <row r="3236" spans="8:8" x14ac:dyDescent="0.2">
      <c r="H3236">
        <v>0</v>
      </c>
    </row>
    <row r="3237" spans="8:8" x14ac:dyDescent="0.2">
      <c r="H3237">
        <v>0</v>
      </c>
    </row>
    <row r="3238" spans="8:8" x14ac:dyDescent="0.2">
      <c r="H3238">
        <v>0</v>
      </c>
    </row>
    <row r="3239" spans="8:8" x14ac:dyDescent="0.2">
      <c r="H3239">
        <v>0</v>
      </c>
    </row>
    <row r="3240" spans="8:8" x14ac:dyDescent="0.2">
      <c r="H3240">
        <v>0</v>
      </c>
    </row>
    <row r="3241" spans="8:8" x14ac:dyDescent="0.2">
      <c r="H3241">
        <v>0</v>
      </c>
    </row>
    <row r="3242" spans="8:8" x14ac:dyDescent="0.2">
      <c r="H3242">
        <v>0</v>
      </c>
    </row>
    <row r="3243" spans="8:8" x14ac:dyDescent="0.2">
      <c r="H3243">
        <v>0</v>
      </c>
    </row>
    <row r="3244" spans="8:8" x14ac:dyDescent="0.2">
      <c r="H3244">
        <v>0</v>
      </c>
    </row>
    <row r="3245" spans="8:8" x14ac:dyDescent="0.2">
      <c r="H3245">
        <v>0</v>
      </c>
    </row>
    <row r="3246" spans="8:8" x14ac:dyDescent="0.2">
      <c r="H3246">
        <v>0</v>
      </c>
    </row>
    <row r="3247" spans="8:8" x14ac:dyDescent="0.2">
      <c r="H3247">
        <v>0</v>
      </c>
    </row>
    <row r="3248" spans="8:8" x14ac:dyDescent="0.2">
      <c r="H3248">
        <v>0</v>
      </c>
    </row>
    <row r="3249" spans="8:8" x14ac:dyDescent="0.2">
      <c r="H3249">
        <v>0</v>
      </c>
    </row>
    <row r="3250" spans="8:8" x14ac:dyDescent="0.2">
      <c r="H3250">
        <v>0</v>
      </c>
    </row>
    <row r="3251" spans="8:8" x14ac:dyDescent="0.2">
      <c r="H3251">
        <v>0</v>
      </c>
    </row>
    <row r="3252" spans="8:8" x14ac:dyDescent="0.2">
      <c r="H3252">
        <v>0</v>
      </c>
    </row>
    <row r="3253" spans="8:8" x14ac:dyDescent="0.2">
      <c r="H3253">
        <v>0</v>
      </c>
    </row>
    <row r="3254" spans="8:8" x14ac:dyDescent="0.2">
      <c r="H3254">
        <v>0</v>
      </c>
    </row>
    <row r="3255" spans="8:8" x14ac:dyDescent="0.2">
      <c r="H3255">
        <v>0</v>
      </c>
    </row>
    <row r="3256" spans="8:8" x14ac:dyDescent="0.2">
      <c r="H3256">
        <v>0</v>
      </c>
    </row>
    <row r="3257" spans="8:8" x14ac:dyDescent="0.2">
      <c r="H3257">
        <v>0</v>
      </c>
    </row>
    <row r="3258" spans="8:8" x14ac:dyDescent="0.2">
      <c r="H3258">
        <v>0</v>
      </c>
    </row>
    <row r="3259" spans="8:8" x14ac:dyDescent="0.2">
      <c r="H3259">
        <v>0</v>
      </c>
    </row>
    <row r="3260" spans="8:8" x14ac:dyDescent="0.2">
      <c r="H3260">
        <v>0</v>
      </c>
    </row>
    <row r="3261" spans="8:8" x14ac:dyDescent="0.2">
      <c r="H3261">
        <v>0</v>
      </c>
    </row>
    <row r="3262" spans="8:8" x14ac:dyDescent="0.2">
      <c r="H3262">
        <v>0</v>
      </c>
    </row>
    <row r="3263" spans="8:8" x14ac:dyDescent="0.2">
      <c r="H3263">
        <v>0</v>
      </c>
    </row>
    <row r="3264" spans="8:8" x14ac:dyDescent="0.2">
      <c r="H3264">
        <v>0</v>
      </c>
    </row>
    <row r="3265" spans="8:8" x14ac:dyDescent="0.2">
      <c r="H3265">
        <v>0</v>
      </c>
    </row>
    <row r="3266" spans="8:8" x14ac:dyDescent="0.2">
      <c r="H3266">
        <v>0</v>
      </c>
    </row>
    <row r="3267" spans="8:8" x14ac:dyDescent="0.2">
      <c r="H3267">
        <v>0</v>
      </c>
    </row>
    <row r="3268" spans="8:8" x14ac:dyDescent="0.2">
      <c r="H3268">
        <v>0</v>
      </c>
    </row>
    <row r="3269" spans="8:8" x14ac:dyDescent="0.2">
      <c r="H3269">
        <v>0</v>
      </c>
    </row>
    <row r="3270" spans="8:8" x14ac:dyDescent="0.2">
      <c r="H3270">
        <v>0</v>
      </c>
    </row>
    <row r="3271" spans="8:8" x14ac:dyDescent="0.2">
      <c r="H3271">
        <v>0</v>
      </c>
    </row>
    <row r="3272" spans="8:8" x14ac:dyDescent="0.2">
      <c r="H3272">
        <v>0</v>
      </c>
    </row>
    <row r="3273" spans="8:8" x14ac:dyDescent="0.2">
      <c r="H3273">
        <v>0</v>
      </c>
    </row>
    <row r="3274" spans="8:8" x14ac:dyDescent="0.2">
      <c r="H3274">
        <v>0</v>
      </c>
    </row>
    <row r="3275" spans="8:8" x14ac:dyDescent="0.2">
      <c r="H3275">
        <v>0</v>
      </c>
    </row>
    <row r="3276" spans="8:8" x14ac:dyDescent="0.2">
      <c r="H3276">
        <v>0</v>
      </c>
    </row>
    <row r="3277" spans="8:8" x14ac:dyDescent="0.2">
      <c r="H3277">
        <v>0</v>
      </c>
    </row>
    <row r="3278" spans="8:8" x14ac:dyDescent="0.2">
      <c r="H3278">
        <v>0</v>
      </c>
    </row>
    <row r="3279" spans="8:8" x14ac:dyDescent="0.2">
      <c r="H3279">
        <v>0</v>
      </c>
    </row>
    <row r="3280" spans="8:8" x14ac:dyDescent="0.2">
      <c r="H3280">
        <v>0</v>
      </c>
    </row>
    <row r="3281" spans="8:8" x14ac:dyDescent="0.2">
      <c r="H3281">
        <v>0</v>
      </c>
    </row>
    <row r="3282" spans="8:8" x14ac:dyDescent="0.2">
      <c r="H3282">
        <v>0</v>
      </c>
    </row>
    <row r="3283" spans="8:8" x14ac:dyDescent="0.2">
      <c r="H3283">
        <v>0</v>
      </c>
    </row>
    <row r="3284" spans="8:8" x14ac:dyDescent="0.2">
      <c r="H3284">
        <v>0</v>
      </c>
    </row>
    <row r="3285" spans="8:8" x14ac:dyDescent="0.2">
      <c r="H3285">
        <v>0</v>
      </c>
    </row>
    <row r="3286" spans="8:8" x14ac:dyDescent="0.2">
      <c r="H3286">
        <v>0</v>
      </c>
    </row>
    <row r="3287" spans="8:8" x14ac:dyDescent="0.2">
      <c r="H3287">
        <v>0</v>
      </c>
    </row>
    <row r="3288" spans="8:8" x14ac:dyDescent="0.2">
      <c r="H3288">
        <v>0</v>
      </c>
    </row>
    <row r="3289" spans="8:8" x14ac:dyDescent="0.2">
      <c r="H3289">
        <v>0</v>
      </c>
    </row>
    <row r="3290" spans="8:8" x14ac:dyDescent="0.2">
      <c r="H3290">
        <v>0</v>
      </c>
    </row>
    <row r="3291" spans="8:8" x14ac:dyDescent="0.2">
      <c r="H3291">
        <v>0</v>
      </c>
    </row>
    <row r="3292" spans="8:8" x14ac:dyDescent="0.2">
      <c r="H3292">
        <v>0</v>
      </c>
    </row>
    <row r="3293" spans="8:8" x14ac:dyDescent="0.2">
      <c r="H3293">
        <v>0</v>
      </c>
    </row>
    <row r="3294" spans="8:8" x14ac:dyDescent="0.2">
      <c r="H3294">
        <v>0</v>
      </c>
    </row>
    <row r="3295" spans="8:8" x14ac:dyDescent="0.2">
      <c r="H3295">
        <v>0</v>
      </c>
    </row>
    <row r="3296" spans="8:8" x14ac:dyDescent="0.2">
      <c r="H3296">
        <v>0</v>
      </c>
    </row>
    <row r="3297" spans="8:8" x14ac:dyDescent="0.2">
      <c r="H3297">
        <v>0</v>
      </c>
    </row>
    <row r="3298" spans="8:8" x14ac:dyDescent="0.2">
      <c r="H3298">
        <v>0</v>
      </c>
    </row>
    <row r="3299" spans="8:8" x14ac:dyDescent="0.2">
      <c r="H3299">
        <v>0</v>
      </c>
    </row>
    <row r="3300" spans="8:8" x14ac:dyDescent="0.2">
      <c r="H3300">
        <v>0</v>
      </c>
    </row>
    <row r="3301" spans="8:8" x14ac:dyDescent="0.2">
      <c r="H3301">
        <v>0</v>
      </c>
    </row>
    <row r="3302" spans="8:8" x14ac:dyDescent="0.2">
      <c r="H3302">
        <v>0</v>
      </c>
    </row>
    <row r="3303" spans="8:8" x14ac:dyDescent="0.2">
      <c r="H3303">
        <v>0</v>
      </c>
    </row>
    <row r="3304" spans="8:8" x14ac:dyDescent="0.2">
      <c r="H3304">
        <v>0</v>
      </c>
    </row>
    <row r="3305" spans="8:8" x14ac:dyDescent="0.2">
      <c r="H3305">
        <v>0</v>
      </c>
    </row>
    <row r="3306" spans="8:8" x14ac:dyDescent="0.2">
      <c r="H3306">
        <v>0</v>
      </c>
    </row>
    <row r="3307" spans="8:8" x14ac:dyDescent="0.2">
      <c r="H3307">
        <v>0</v>
      </c>
    </row>
    <row r="3308" spans="8:8" x14ac:dyDescent="0.2">
      <c r="H3308">
        <v>0</v>
      </c>
    </row>
    <row r="3309" spans="8:8" x14ac:dyDescent="0.2">
      <c r="H3309">
        <v>0</v>
      </c>
    </row>
    <row r="3310" spans="8:8" x14ac:dyDescent="0.2">
      <c r="H3310">
        <v>0</v>
      </c>
    </row>
    <row r="3311" spans="8:8" x14ac:dyDescent="0.2">
      <c r="H3311">
        <v>0</v>
      </c>
    </row>
    <row r="3312" spans="8:8" x14ac:dyDescent="0.2">
      <c r="H3312">
        <v>0</v>
      </c>
    </row>
    <row r="3313" spans="8:8" x14ac:dyDescent="0.2">
      <c r="H3313">
        <v>0</v>
      </c>
    </row>
    <row r="3314" spans="8:8" x14ac:dyDescent="0.2">
      <c r="H3314">
        <v>0</v>
      </c>
    </row>
    <row r="3315" spans="8:8" x14ac:dyDescent="0.2">
      <c r="H3315">
        <v>0</v>
      </c>
    </row>
    <row r="3316" spans="8:8" x14ac:dyDescent="0.2">
      <c r="H3316">
        <v>0</v>
      </c>
    </row>
    <row r="3317" spans="8:8" x14ac:dyDescent="0.2">
      <c r="H3317">
        <v>0</v>
      </c>
    </row>
    <row r="3318" spans="8:8" x14ac:dyDescent="0.2">
      <c r="H3318">
        <v>0</v>
      </c>
    </row>
    <row r="3319" spans="8:8" x14ac:dyDescent="0.2">
      <c r="H3319">
        <v>0</v>
      </c>
    </row>
    <row r="3320" spans="8:8" x14ac:dyDescent="0.2">
      <c r="H3320">
        <v>0</v>
      </c>
    </row>
    <row r="3321" spans="8:8" x14ac:dyDescent="0.2">
      <c r="H3321">
        <v>0</v>
      </c>
    </row>
    <row r="3322" spans="8:8" x14ac:dyDescent="0.2">
      <c r="H3322">
        <v>0</v>
      </c>
    </row>
    <row r="3323" spans="8:8" x14ac:dyDescent="0.2">
      <c r="H3323">
        <v>0</v>
      </c>
    </row>
    <row r="3324" spans="8:8" x14ac:dyDescent="0.2">
      <c r="H3324">
        <v>0</v>
      </c>
    </row>
    <row r="3325" spans="8:8" x14ac:dyDescent="0.2">
      <c r="H3325">
        <v>0</v>
      </c>
    </row>
    <row r="3326" spans="8:8" x14ac:dyDescent="0.2">
      <c r="H3326">
        <v>0</v>
      </c>
    </row>
    <row r="3327" spans="8:8" x14ac:dyDescent="0.2">
      <c r="H3327">
        <v>0</v>
      </c>
    </row>
    <row r="3328" spans="8:8" x14ac:dyDescent="0.2">
      <c r="H3328">
        <v>0</v>
      </c>
    </row>
    <row r="3329" spans="8:8" x14ac:dyDescent="0.2">
      <c r="H3329">
        <v>0</v>
      </c>
    </row>
    <row r="3330" spans="8:8" x14ac:dyDescent="0.2">
      <c r="H3330">
        <v>0</v>
      </c>
    </row>
    <row r="3331" spans="8:8" x14ac:dyDescent="0.2">
      <c r="H3331">
        <v>0</v>
      </c>
    </row>
    <row r="3332" spans="8:8" x14ac:dyDescent="0.2">
      <c r="H3332">
        <v>0</v>
      </c>
    </row>
    <row r="3333" spans="8:8" x14ac:dyDescent="0.2">
      <c r="H3333">
        <v>0</v>
      </c>
    </row>
    <row r="3334" spans="8:8" x14ac:dyDescent="0.2">
      <c r="H3334">
        <v>0</v>
      </c>
    </row>
    <row r="3335" spans="8:8" x14ac:dyDescent="0.2">
      <c r="H3335">
        <v>0</v>
      </c>
    </row>
    <row r="3336" spans="8:8" x14ac:dyDescent="0.2">
      <c r="H3336">
        <v>0</v>
      </c>
    </row>
    <row r="3337" spans="8:8" x14ac:dyDescent="0.2">
      <c r="H3337">
        <v>0</v>
      </c>
    </row>
    <row r="3338" spans="8:8" x14ac:dyDescent="0.2">
      <c r="H3338">
        <v>0</v>
      </c>
    </row>
    <row r="3339" spans="8:8" x14ac:dyDescent="0.2">
      <c r="H3339">
        <v>0</v>
      </c>
    </row>
    <row r="3340" spans="8:8" x14ac:dyDescent="0.2">
      <c r="H3340">
        <v>0</v>
      </c>
    </row>
    <row r="3341" spans="8:8" x14ac:dyDescent="0.2">
      <c r="H3341">
        <v>0</v>
      </c>
    </row>
    <row r="3342" spans="8:8" x14ac:dyDescent="0.2">
      <c r="H3342">
        <v>0</v>
      </c>
    </row>
    <row r="3343" spans="8:8" x14ac:dyDescent="0.2">
      <c r="H3343">
        <v>0</v>
      </c>
    </row>
    <row r="3344" spans="8:8" x14ac:dyDescent="0.2">
      <c r="H3344">
        <v>0</v>
      </c>
    </row>
    <row r="3345" spans="8:8" x14ac:dyDescent="0.2">
      <c r="H3345">
        <v>0</v>
      </c>
    </row>
    <row r="3346" spans="8:8" x14ac:dyDescent="0.2">
      <c r="H3346">
        <v>0</v>
      </c>
    </row>
    <row r="3347" spans="8:8" x14ac:dyDescent="0.2">
      <c r="H3347">
        <v>0</v>
      </c>
    </row>
    <row r="3348" spans="8:8" x14ac:dyDescent="0.2">
      <c r="H3348">
        <v>0</v>
      </c>
    </row>
    <row r="3349" spans="8:8" x14ac:dyDescent="0.2">
      <c r="H3349">
        <v>0</v>
      </c>
    </row>
    <row r="3350" spans="8:8" x14ac:dyDescent="0.2">
      <c r="H3350">
        <v>0</v>
      </c>
    </row>
    <row r="3351" spans="8:8" x14ac:dyDescent="0.2">
      <c r="H3351">
        <v>0</v>
      </c>
    </row>
    <row r="3352" spans="8:8" x14ac:dyDescent="0.2">
      <c r="H3352">
        <v>0</v>
      </c>
    </row>
    <row r="3353" spans="8:8" x14ac:dyDescent="0.2">
      <c r="H3353">
        <v>0</v>
      </c>
    </row>
    <row r="3354" spans="8:8" x14ac:dyDescent="0.2">
      <c r="H3354">
        <v>0</v>
      </c>
    </row>
    <row r="3355" spans="8:8" x14ac:dyDescent="0.2">
      <c r="H3355">
        <v>0</v>
      </c>
    </row>
    <row r="3356" spans="8:8" x14ac:dyDescent="0.2">
      <c r="H3356">
        <v>0</v>
      </c>
    </row>
    <row r="3357" spans="8:8" x14ac:dyDescent="0.2">
      <c r="H3357">
        <v>0</v>
      </c>
    </row>
    <row r="3358" spans="8:8" x14ac:dyDescent="0.2">
      <c r="H3358">
        <v>0</v>
      </c>
    </row>
    <row r="3359" spans="8:8" x14ac:dyDescent="0.2">
      <c r="H3359">
        <v>0</v>
      </c>
    </row>
    <row r="3360" spans="8:8" x14ac:dyDescent="0.2">
      <c r="H3360">
        <v>0</v>
      </c>
    </row>
    <row r="3361" spans="8:8" x14ac:dyDescent="0.2">
      <c r="H3361">
        <v>0</v>
      </c>
    </row>
    <row r="3362" spans="8:8" x14ac:dyDescent="0.2">
      <c r="H3362">
        <v>0</v>
      </c>
    </row>
    <row r="3363" spans="8:8" x14ac:dyDescent="0.2">
      <c r="H3363">
        <v>0</v>
      </c>
    </row>
    <row r="3364" spans="8:8" x14ac:dyDescent="0.2">
      <c r="H3364">
        <v>0</v>
      </c>
    </row>
    <row r="3365" spans="8:8" x14ac:dyDescent="0.2">
      <c r="H3365">
        <v>0</v>
      </c>
    </row>
    <row r="3366" spans="8:8" x14ac:dyDescent="0.2">
      <c r="H3366">
        <v>0</v>
      </c>
    </row>
    <row r="3367" spans="8:8" x14ac:dyDescent="0.2">
      <c r="H3367">
        <v>0</v>
      </c>
    </row>
    <row r="3368" spans="8:8" x14ac:dyDescent="0.2">
      <c r="H3368">
        <v>0</v>
      </c>
    </row>
    <row r="3369" spans="8:8" x14ac:dyDescent="0.2">
      <c r="H3369">
        <v>0</v>
      </c>
    </row>
    <row r="3370" spans="8:8" x14ac:dyDescent="0.2">
      <c r="H3370">
        <v>0</v>
      </c>
    </row>
    <row r="3371" spans="8:8" x14ac:dyDescent="0.2">
      <c r="H3371">
        <v>0</v>
      </c>
    </row>
    <row r="3372" spans="8:8" x14ac:dyDescent="0.2">
      <c r="H3372">
        <v>0</v>
      </c>
    </row>
    <row r="3373" spans="8:8" x14ac:dyDescent="0.2">
      <c r="H3373">
        <v>0</v>
      </c>
    </row>
    <row r="3374" spans="8:8" x14ac:dyDescent="0.2">
      <c r="H3374">
        <v>0</v>
      </c>
    </row>
    <row r="3375" spans="8:8" x14ac:dyDescent="0.2">
      <c r="H3375">
        <v>0</v>
      </c>
    </row>
    <row r="3376" spans="8:8" x14ac:dyDescent="0.2">
      <c r="H3376">
        <v>0</v>
      </c>
    </row>
    <row r="3377" spans="8:8" x14ac:dyDescent="0.2">
      <c r="H3377">
        <v>0</v>
      </c>
    </row>
    <row r="3378" spans="8:8" x14ac:dyDescent="0.2">
      <c r="H3378">
        <v>0</v>
      </c>
    </row>
    <row r="3379" spans="8:8" x14ac:dyDescent="0.2">
      <c r="H3379">
        <v>0</v>
      </c>
    </row>
    <row r="3380" spans="8:8" x14ac:dyDescent="0.2">
      <c r="H3380">
        <v>0</v>
      </c>
    </row>
    <row r="3381" spans="8:8" x14ac:dyDescent="0.2">
      <c r="H3381">
        <v>0</v>
      </c>
    </row>
    <row r="3382" spans="8:8" x14ac:dyDescent="0.2">
      <c r="H3382">
        <v>0</v>
      </c>
    </row>
    <row r="3383" spans="8:8" x14ac:dyDescent="0.2">
      <c r="H3383">
        <v>0</v>
      </c>
    </row>
    <row r="3384" spans="8:8" x14ac:dyDescent="0.2">
      <c r="H3384">
        <v>0</v>
      </c>
    </row>
    <row r="3385" spans="8:8" x14ac:dyDescent="0.2">
      <c r="H3385">
        <v>0</v>
      </c>
    </row>
    <row r="3386" spans="8:8" x14ac:dyDescent="0.2">
      <c r="H3386">
        <v>0</v>
      </c>
    </row>
    <row r="3387" spans="8:8" x14ac:dyDescent="0.2">
      <c r="H3387">
        <v>0</v>
      </c>
    </row>
    <row r="3388" spans="8:8" x14ac:dyDescent="0.2">
      <c r="H3388">
        <v>0</v>
      </c>
    </row>
    <row r="3389" spans="8:8" x14ac:dyDescent="0.2">
      <c r="H3389">
        <v>0</v>
      </c>
    </row>
    <row r="3390" spans="8:8" x14ac:dyDescent="0.2">
      <c r="H3390">
        <v>0</v>
      </c>
    </row>
    <row r="3391" spans="8:8" x14ac:dyDescent="0.2">
      <c r="H3391">
        <v>0</v>
      </c>
    </row>
    <row r="3392" spans="8:8" x14ac:dyDescent="0.2">
      <c r="H3392">
        <v>0</v>
      </c>
    </row>
    <row r="3393" spans="8:8" x14ac:dyDescent="0.2">
      <c r="H3393">
        <v>0</v>
      </c>
    </row>
    <row r="3394" spans="8:8" x14ac:dyDescent="0.2">
      <c r="H3394">
        <v>0</v>
      </c>
    </row>
    <row r="3395" spans="8:8" x14ac:dyDescent="0.2">
      <c r="H3395">
        <v>0</v>
      </c>
    </row>
    <row r="3396" spans="8:8" x14ac:dyDescent="0.2">
      <c r="H3396">
        <v>0</v>
      </c>
    </row>
    <row r="3397" spans="8:8" x14ac:dyDescent="0.2">
      <c r="H3397">
        <v>0</v>
      </c>
    </row>
    <row r="3398" spans="8:8" x14ac:dyDescent="0.2">
      <c r="H3398">
        <v>0</v>
      </c>
    </row>
    <row r="3399" spans="8:8" x14ac:dyDescent="0.2">
      <c r="H3399">
        <v>0</v>
      </c>
    </row>
    <row r="3400" spans="8:8" x14ac:dyDescent="0.2">
      <c r="H3400">
        <v>0</v>
      </c>
    </row>
    <row r="3401" spans="8:8" x14ac:dyDescent="0.2">
      <c r="H3401">
        <v>0</v>
      </c>
    </row>
    <row r="3402" spans="8:8" x14ac:dyDescent="0.2">
      <c r="H3402">
        <v>0</v>
      </c>
    </row>
    <row r="3403" spans="8:8" x14ac:dyDescent="0.2">
      <c r="H3403">
        <v>0</v>
      </c>
    </row>
    <row r="3404" spans="8:8" x14ac:dyDescent="0.2">
      <c r="H3404">
        <v>0</v>
      </c>
    </row>
    <row r="3405" spans="8:8" x14ac:dyDescent="0.2">
      <c r="H3405">
        <v>0</v>
      </c>
    </row>
    <row r="3406" spans="8:8" x14ac:dyDescent="0.2">
      <c r="H3406">
        <v>0</v>
      </c>
    </row>
    <row r="3407" spans="8:8" x14ac:dyDescent="0.2">
      <c r="H3407">
        <v>0</v>
      </c>
    </row>
    <row r="3408" spans="8:8" x14ac:dyDescent="0.2">
      <c r="H3408">
        <v>0</v>
      </c>
    </row>
    <row r="3409" spans="8:8" x14ac:dyDescent="0.2">
      <c r="H3409">
        <v>0</v>
      </c>
    </row>
    <row r="3410" spans="8:8" x14ac:dyDescent="0.2">
      <c r="H3410">
        <v>0</v>
      </c>
    </row>
    <row r="3411" spans="8:8" x14ac:dyDescent="0.2">
      <c r="H3411">
        <v>0</v>
      </c>
    </row>
    <row r="3412" spans="8:8" x14ac:dyDescent="0.2">
      <c r="H3412">
        <v>0</v>
      </c>
    </row>
    <row r="3413" spans="8:8" x14ac:dyDescent="0.2">
      <c r="H3413">
        <v>0</v>
      </c>
    </row>
    <row r="3414" spans="8:8" x14ac:dyDescent="0.2">
      <c r="H3414">
        <v>0</v>
      </c>
    </row>
    <row r="3415" spans="8:8" x14ac:dyDescent="0.2">
      <c r="H3415">
        <v>0</v>
      </c>
    </row>
    <row r="3416" spans="8:8" x14ac:dyDescent="0.2">
      <c r="H3416">
        <v>0</v>
      </c>
    </row>
    <row r="3417" spans="8:8" x14ac:dyDescent="0.2">
      <c r="H3417">
        <v>0</v>
      </c>
    </row>
    <row r="3418" spans="8:8" x14ac:dyDescent="0.2">
      <c r="H3418">
        <v>0</v>
      </c>
    </row>
    <row r="3419" spans="8:8" x14ac:dyDescent="0.2">
      <c r="H3419">
        <v>0</v>
      </c>
    </row>
    <row r="3420" spans="8:8" x14ac:dyDescent="0.2">
      <c r="H3420">
        <v>0</v>
      </c>
    </row>
    <row r="3421" spans="8:8" x14ac:dyDescent="0.2">
      <c r="H3421">
        <v>0</v>
      </c>
    </row>
    <row r="3422" spans="8:8" x14ac:dyDescent="0.2">
      <c r="H3422">
        <v>0</v>
      </c>
    </row>
    <row r="3423" spans="8:8" x14ac:dyDescent="0.2">
      <c r="H3423">
        <v>0</v>
      </c>
    </row>
    <row r="3424" spans="8:8" x14ac:dyDescent="0.2">
      <c r="H3424">
        <v>0</v>
      </c>
    </row>
    <row r="3425" spans="8:8" x14ac:dyDescent="0.2">
      <c r="H3425">
        <v>0</v>
      </c>
    </row>
    <row r="3426" spans="8:8" x14ac:dyDescent="0.2">
      <c r="H3426">
        <v>0</v>
      </c>
    </row>
    <row r="3427" spans="8:8" x14ac:dyDescent="0.2">
      <c r="H3427">
        <v>0</v>
      </c>
    </row>
    <row r="3428" spans="8:8" x14ac:dyDescent="0.2">
      <c r="H3428">
        <v>0</v>
      </c>
    </row>
    <row r="3429" spans="8:8" x14ac:dyDescent="0.2">
      <c r="H3429">
        <v>0</v>
      </c>
    </row>
    <row r="3430" spans="8:8" x14ac:dyDescent="0.2">
      <c r="H3430">
        <v>0</v>
      </c>
    </row>
    <row r="3431" spans="8:8" x14ac:dyDescent="0.2">
      <c r="H3431">
        <v>0</v>
      </c>
    </row>
    <row r="3432" spans="8:8" x14ac:dyDescent="0.2">
      <c r="H3432">
        <v>0</v>
      </c>
    </row>
    <row r="3433" spans="8:8" x14ac:dyDescent="0.2">
      <c r="H3433">
        <v>0</v>
      </c>
    </row>
    <row r="3434" spans="8:8" x14ac:dyDescent="0.2">
      <c r="H3434">
        <v>0</v>
      </c>
    </row>
    <row r="3435" spans="8:8" x14ac:dyDescent="0.2">
      <c r="H3435">
        <v>0</v>
      </c>
    </row>
    <row r="3436" spans="8:8" x14ac:dyDescent="0.2">
      <c r="H3436">
        <v>0</v>
      </c>
    </row>
    <row r="3437" spans="8:8" x14ac:dyDescent="0.2">
      <c r="H3437">
        <v>0</v>
      </c>
    </row>
    <row r="3438" spans="8:8" x14ac:dyDescent="0.2">
      <c r="H3438">
        <v>0</v>
      </c>
    </row>
    <row r="3439" spans="8:8" x14ac:dyDescent="0.2">
      <c r="H3439">
        <v>0</v>
      </c>
    </row>
    <row r="3440" spans="8:8" x14ac:dyDescent="0.2">
      <c r="H3440">
        <v>0</v>
      </c>
    </row>
    <row r="3441" spans="8:8" x14ac:dyDescent="0.2">
      <c r="H3441">
        <v>0</v>
      </c>
    </row>
    <row r="3442" spans="8:8" x14ac:dyDescent="0.2">
      <c r="H3442">
        <v>0</v>
      </c>
    </row>
    <row r="3443" spans="8:8" x14ac:dyDescent="0.2">
      <c r="H3443">
        <v>0</v>
      </c>
    </row>
    <row r="3444" spans="8:8" x14ac:dyDescent="0.2">
      <c r="H3444">
        <v>0</v>
      </c>
    </row>
    <row r="3445" spans="8:8" x14ac:dyDescent="0.2">
      <c r="H3445">
        <v>0</v>
      </c>
    </row>
    <row r="3446" spans="8:8" x14ac:dyDescent="0.2">
      <c r="H3446">
        <v>0</v>
      </c>
    </row>
    <row r="3447" spans="8:8" x14ac:dyDescent="0.2">
      <c r="H3447">
        <v>0</v>
      </c>
    </row>
    <row r="3448" spans="8:8" x14ac:dyDescent="0.2">
      <c r="H3448">
        <v>0</v>
      </c>
    </row>
    <row r="3449" spans="8:8" x14ac:dyDescent="0.2">
      <c r="H3449">
        <v>0</v>
      </c>
    </row>
    <row r="3450" spans="8:8" x14ac:dyDescent="0.2">
      <c r="H3450">
        <v>0</v>
      </c>
    </row>
    <row r="3451" spans="8:8" x14ac:dyDescent="0.2">
      <c r="H3451">
        <v>0</v>
      </c>
    </row>
    <row r="3452" spans="8:8" x14ac:dyDescent="0.2">
      <c r="H3452">
        <v>0</v>
      </c>
    </row>
    <row r="3453" spans="8:8" x14ac:dyDescent="0.2">
      <c r="H3453">
        <v>0</v>
      </c>
    </row>
    <row r="3454" spans="8:8" x14ac:dyDescent="0.2">
      <c r="H3454">
        <v>0</v>
      </c>
    </row>
    <row r="3455" spans="8:8" x14ac:dyDescent="0.2">
      <c r="H3455">
        <v>0</v>
      </c>
    </row>
    <row r="3456" spans="8:8" x14ac:dyDescent="0.2">
      <c r="H3456">
        <v>0</v>
      </c>
    </row>
    <row r="3457" spans="8:8" x14ac:dyDescent="0.2">
      <c r="H3457">
        <v>0</v>
      </c>
    </row>
    <row r="3458" spans="8:8" x14ac:dyDescent="0.2">
      <c r="H3458">
        <v>0</v>
      </c>
    </row>
    <row r="3459" spans="8:8" x14ac:dyDescent="0.2">
      <c r="H3459">
        <v>0</v>
      </c>
    </row>
    <row r="3460" spans="8:8" x14ac:dyDescent="0.2">
      <c r="H3460">
        <v>0</v>
      </c>
    </row>
    <row r="3461" spans="8:8" x14ac:dyDescent="0.2">
      <c r="H3461">
        <v>0</v>
      </c>
    </row>
    <row r="3462" spans="8:8" x14ac:dyDescent="0.2">
      <c r="H3462">
        <v>0</v>
      </c>
    </row>
    <row r="3463" spans="8:8" x14ac:dyDescent="0.2">
      <c r="H3463">
        <v>0</v>
      </c>
    </row>
    <row r="3464" spans="8:8" x14ac:dyDescent="0.2">
      <c r="H3464">
        <v>0</v>
      </c>
    </row>
    <row r="3465" spans="8:8" x14ac:dyDescent="0.2">
      <c r="H3465">
        <v>0</v>
      </c>
    </row>
    <row r="3466" spans="8:8" x14ac:dyDescent="0.2">
      <c r="H3466">
        <v>0</v>
      </c>
    </row>
    <row r="3467" spans="8:8" x14ac:dyDescent="0.2">
      <c r="H3467">
        <v>0</v>
      </c>
    </row>
    <row r="3468" spans="8:8" x14ac:dyDescent="0.2">
      <c r="H3468">
        <v>0</v>
      </c>
    </row>
    <row r="3469" spans="8:8" x14ac:dyDescent="0.2">
      <c r="H3469">
        <v>0</v>
      </c>
    </row>
    <row r="3470" spans="8:8" x14ac:dyDescent="0.2">
      <c r="H3470">
        <v>0</v>
      </c>
    </row>
    <row r="3471" spans="8:8" x14ac:dyDescent="0.2">
      <c r="H3471">
        <v>0</v>
      </c>
    </row>
    <row r="3472" spans="8:8" x14ac:dyDescent="0.2">
      <c r="H3472">
        <v>0</v>
      </c>
    </row>
    <row r="3473" spans="8:8" x14ac:dyDescent="0.2">
      <c r="H3473">
        <v>0</v>
      </c>
    </row>
    <row r="3474" spans="8:8" x14ac:dyDescent="0.2">
      <c r="H3474">
        <v>0</v>
      </c>
    </row>
    <row r="3475" spans="8:8" x14ac:dyDescent="0.2">
      <c r="H3475">
        <v>0</v>
      </c>
    </row>
    <row r="3476" spans="8:8" x14ac:dyDescent="0.2">
      <c r="H3476">
        <v>0</v>
      </c>
    </row>
    <row r="3477" spans="8:8" x14ac:dyDescent="0.2">
      <c r="H3477">
        <v>0</v>
      </c>
    </row>
    <row r="3478" spans="8:8" x14ac:dyDescent="0.2">
      <c r="H3478">
        <v>0</v>
      </c>
    </row>
    <row r="3479" spans="8:8" x14ac:dyDescent="0.2">
      <c r="H3479">
        <v>0</v>
      </c>
    </row>
    <row r="3480" spans="8:8" x14ac:dyDescent="0.2">
      <c r="H3480">
        <v>0</v>
      </c>
    </row>
    <row r="3481" spans="8:8" x14ac:dyDescent="0.2">
      <c r="H3481">
        <v>0</v>
      </c>
    </row>
    <row r="3482" spans="8:8" x14ac:dyDescent="0.2">
      <c r="H3482">
        <v>0</v>
      </c>
    </row>
    <row r="3483" spans="8:8" x14ac:dyDescent="0.2">
      <c r="H3483">
        <v>0</v>
      </c>
    </row>
    <row r="3484" spans="8:8" x14ac:dyDescent="0.2">
      <c r="H3484">
        <v>0</v>
      </c>
    </row>
    <row r="3485" spans="8:8" x14ac:dyDescent="0.2">
      <c r="H3485">
        <v>0</v>
      </c>
    </row>
    <row r="3486" spans="8:8" x14ac:dyDescent="0.2">
      <c r="H3486">
        <v>0</v>
      </c>
    </row>
    <row r="3487" spans="8:8" x14ac:dyDescent="0.2">
      <c r="H3487">
        <v>0</v>
      </c>
    </row>
    <row r="3488" spans="8:8" x14ac:dyDescent="0.2">
      <c r="H3488">
        <v>0</v>
      </c>
    </row>
    <row r="3489" spans="8:8" x14ac:dyDescent="0.2">
      <c r="H3489">
        <v>0</v>
      </c>
    </row>
    <row r="3490" spans="8:8" x14ac:dyDescent="0.2">
      <c r="H3490">
        <v>0</v>
      </c>
    </row>
    <row r="3491" spans="8:8" x14ac:dyDescent="0.2">
      <c r="H3491">
        <v>0</v>
      </c>
    </row>
    <row r="3492" spans="8:8" x14ac:dyDescent="0.2">
      <c r="H3492">
        <v>0</v>
      </c>
    </row>
    <row r="3493" spans="8:8" x14ac:dyDescent="0.2">
      <c r="H3493">
        <v>0</v>
      </c>
    </row>
    <row r="3494" spans="8:8" x14ac:dyDescent="0.2">
      <c r="H3494">
        <v>0</v>
      </c>
    </row>
    <row r="3495" spans="8:8" x14ac:dyDescent="0.2">
      <c r="H3495">
        <v>0</v>
      </c>
    </row>
    <row r="3496" spans="8:8" x14ac:dyDescent="0.2">
      <c r="H3496">
        <v>0</v>
      </c>
    </row>
    <row r="3497" spans="8:8" x14ac:dyDescent="0.2">
      <c r="H3497">
        <v>0</v>
      </c>
    </row>
    <row r="3498" spans="8:8" x14ac:dyDescent="0.2">
      <c r="H3498">
        <v>0</v>
      </c>
    </row>
    <row r="3499" spans="8:8" x14ac:dyDescent="0.2">
      <c r="H3499">
        <v>0</v>
      </c>
    </row>
    <row r="3500" spans="8:8" x14ac:dyDescent="0.2">
      <c r="H3500">
        <v>0</v>
      </c>
    </row>
    <row r="3501" spans="8:8" x14ac:dyDescent="0.2">
      <c r="H3501">
        <v>0</v>
      </c>
    </row>
    <row r="3502" spans="8:8" x14ac:dyDescent="0.2">
      <c r="H3502">
        <v>0</v>
      </c>
    </row>
    <row r="3503" spans="8:8" x14ac:dyDescent="0.2">
      <c r="H3503">
        <v>0</v>
      </c>
    </row>
    <row r="3504" spans="8:8" x14ac:dyDescent="0.2">
      <c r="H3504">
        <v>0</v>
      </c>
    </row>
    <row r="3505" spans="8:8" x14ac:dyDescent="0.2">
      <c r="H3505">
        <v>0</v>
      </c>
    </row>
    <row r="3506" spans="8:8" x14ac:dyDescent="0.2">
      <c r="H3506">
        <v>0</v>
      </c>
    </row>
    <row r="3507" spans="8:8" x14ac:dyDescent="0.2">
      <c r="H3507">
        <v>0</v>
      </c>
    </row>
    <row r="3508" spans="8:8" x14ac:dyDescent="0.2">
      <c r="H3508">
        <v>0</v>
      </c>
    </row>
    <row r="3509" spans="8:8" x14ac:dyDescent="0.2">
      <c r="H3509">
        <v>0</v>
      </c>
    </row>
    <row r="3510" spans="8:8" x14ac:dyDescent="0.2">
      <c r="H3510">
        <v>0</v>
      </c>
    </row>
    <row r="3511" spans="8:8" x14ac:dyDescent="0.2">
      <c r="H3511">
        <v>0</v>
      </c>
    </row>
    <row r="3512" spans="8:8" x14ac:dyDescent="0.2">
      <c r="H3512">
        <v>0</v>
      </c>
    </row>
    <row r="3513" spans="8:8" x14ac:dyDescent="0.2">
      <c r="H3513">
        <v>0</v>
      </c>
    </row>
    <row r="3514" spans="8:8" x14ac:dyDescent="0.2">
      <c r="H3514">
        <v>0</v>
      </c>
    </row>
    <row r="3515" spans="8:8" x14ac:dyDescent="0.2">
      <c r="H3515">
        <v>0</v>
      </c>
    </row>
    <row r="3516" spans="8:8" x14ac:dyDescent="0.2">
      <c r="H3516">
        <v>0</v>
      </c>
    </row>
    <row r="3517" spans="8:8" x14ac:dyDescent="0.2">
      <c r="H3517">
        <v>0</v>
      </c>
    </row>
    <row r="3518" spans="8:8" x14ac:dyDescent="0.2">
      <c r="H3518">
        <v>0</v>
      </c>
    </row>
    <row r="3519" spans="8:8" x14ac:dyDescent="0.2">
      <c r="H3519">
        <v>0</v>
      </c>
    </row>
    <row r="3520" spans="8:8" x14ac:dyDescent="0.2">
      <c r="H3520">
        <v>0</v>
      </c>
    </row>
    <row r="3521" spans="8:8" x14ac:dyDescent="0.2">
      <c r="H3521">
        <v>0</v>
      </c>
    </row>
    <row r="3522" spans="8:8" x14ac:dyDescent="0.2">
      <c r="H3522">
        <v>0</v>
      </c>
    </row>
    <row r="3523" spans="8:8" x14ac:dyDescent="0.2">
      <c r="H3523">
        <v>0</v>
      </c>
    </row>
    <row r="3524" spans="8:8" x14ac:dyDescent="0.2">
      <c r="H3524">
        <v>0</v>
      </c>
    </row>
    <row r="3525" spans="8:8" x14ac:dyDescent="0.2">
      <c r="H3525">
        <v>0</v>
      </c>
    </row>
    <row r="3526" spans="8:8" x14ac:dyDescent="0.2">
      <c r="H3526">
        <v>0</v>
      </c>
    </row>
    <row r="3527" spans="8:8" x14ac:dyDescent="0.2">
      <c r="H3527">
        <v>0</v>
      </c>
    </row>
    <row r="3528" spans="8:8" x14ac:dyDescent="0.2">
      <c r="H3528">
        <v>0</v>
      </c>
    </row>
    <row r="3529" spans="8:8" x14ac:dyDescent="0.2">
      <c r="H3529">
        <v>0</v>
      </c>
    </row>
    <row r="3530" spans="8:8" x14ac:dyDescent="0.2">
      <c r="H3530">
        <v>0</v>
      </c>
    </row>
    <row r="3531" spans="8:8" x14ac:dyDescent="0.2">
      <c r="H3531">
        <v>0</v>
      </c>
    </row>
    <row r="3532" spans="8:8" x14ac:dyDescent="0.2">
      <c r="H3532">
        <v>0</v>
      </c>
    </row>
    <row r="3533" spans="8:8" x14ac:dyDescent="0.2">
      <c r="H3533">
        <v>0</v>
      </c>
    </row>
    <row r="3534" spans="8:8" x14ac:dyDescent="0.2">
      <c r="H3534">
        <v>0</v>
      </c>
    </row>
    <row r="3535" spans="8:8" x14ac:dyDescent="0.2">
      <c r="H3535">
        <v>0</v>
      </c>
    </row>
    <row r="3536" spans="8:8" x14ac:dyDescent="0.2">
      <c r="H3536">
        <v>0</v>
      </c>
    </row>
    <row r="3537" spans="8:8" x14ac:dyDescent="0.2">
      <c r="H3537">
        <v>0</v>
      </c>
    </row>
    <row r="3538" spans="8:8" x14ac:dyDescent="0.2">
      <c r="H3538">
        <v>0</v>
      </c>
    </row>
    <row r="3539" spans="8:8" x14ac:dyDescent="0.2">
      <c r="H3539">
        <v>0</v>
      </c>
    </row>
    <row r="3540" spans="8:8" x14ac:dyDescent="0.2">
      <c r="H3540">
        <v>0</v>
      </c>
    </row>
    <row r="3541" spans="8:8" x14ac:dyDescent="0.2">
      <c r="H3541">
        <v>0</v>
      </c>
    </row>
    <row r="3542" spans="8:8" x14ac:dyDescent="0.2">
      <c r="H3542">
        <v>0</v>
      </c>
    </row>
    <row r="3543" spans="8:8" x14ac:dyDescent="0.2">
      <c r="H3543">
        <v>0</v>
      </c>
    </row>
    <row r="3544" spans="8:8" x14ac:dyDescent="0.2">
      <c r="H3544">
        <v>0</v>
      </c>
    </row>
    <row r="3545" spans="8:8" x14ac:dyDescent="0.2">
      <c r="H3545">
        <v>0</v>
      </c>
    </row>
    <row r="3546" spans="8:8" x14ac:dyDescent="0.2">
      <c r="H3546">
        <v>0</v>
      </c>
    </row>
    <row r="3547" spans="8:8" x14ac:dyDescent="0.2">
      <c r="H3547">
        <v>0</v>
      </c>
    </row>
    <row r="3548" spans="8:8" x14ac:dyDescent="0.2">
      <c r="H3548">
        <v>0</v>
      </c>
    </row>
    <row r="3549" spans="8:8" x14ac:dyDescent="0.2">
      <c r="H3549">
        <v>0</v>
      </c>
    </row>
    <row r="3550" spans="8:8" x14ac:dyDescent="0.2">
      <c r="H3550">
        <v>0</v>
      </c>
    </row>
    <row r="3551" spans="8:8" x14ac:dyDescent="0.2">
      <c r="H3551">
        <v>0</v>
      </c>
    </row>
    <row r="3552" spans="8:8" x14ac:dyDescent="0.2">
      <c r="H3552">
        <v>0</v>
      </c>
    </row>
    <row r="3553" spans="8:8" x14ac:dyDescent="0.2">
      <c r="H3553">
        <v>0</v>
      </c>
    </row>
    <row r="3554" spans="8:8" x14ac:dyDescent="0.2">
      <c r="H3554">
        <v>0</v>
      </c>
    </row>
    <row r="3555" spans="8:8" x14ac:dyDescent="0.2">
      <c r="H3555">
        <v>0</v>
      </c>
    </row>
    <row r="3556" spans="8:8" x14ac:dyDescent="0.2">
      <c r="H3556">
        <v>0</v>
      </c>
    </row>
    <row r="3557" spans="8:8" x14ac:dyDescent="0.2">
      <c r="H3557">
        <v>0</v>
      </c>
    </row>
    <row r="3558" spans="8:8" x14ac:dyDescent="0.2">
      <c r="H3558">
        <v>0</v>
      </c>
    </row>
    <row r="3559" spans="8:8" x14ac:dyDescent="0.2">
      <c r="H3559">
        <v>0</v>
      </c>
    </row>
    <row r="3560" spans="8:8" x14ac:dyDescent="0.2">
      <c r="H3560">
        <v>0</v>
      </c>
    </row>
    <row r="3561" spans="8:8" x14ac:dyDescent="0.2">
      <c r="H3561">
        <v>0</v>
      </c>
    </row>
    <row r="3562" spans="8:8" x14ac:dyDescent="0.2">
      <c r="H3562">
        <v>0</v>
      </c>
    </row>
    <row r="3563" spans="8:8" x14ac:dyDescent="0.2">
      <c r="H3563">
        <v>0</v>
      </c>
    </row>
    <row r="3564" spans="8:8" x14ac:dyDescent="0.2">
      <c r="H3564">
        <v>0</v>
      </c>
    </row>
    <row r="3565" spans="8:8" x14ac:dyDescent="0.2">
      <c r="H3565">
        <v>0</v>
      </c>
    </row>
    <row r="3566" spans="8:8" x14ac:dyDescent="0.2">
      <c r="H3566">
        <v>0</v>
      </c>
    </row>
    <row r="3567" spans="8:8" x14ac:dyDescent="0.2">
      <c r="H3567">
        <v>0</v>
      </c>
    </row>
    <row r="3568" spans="8:8" x14ac:dyDescent="0.2">
      <c r="H3568">
        <v>0</v>
      </c>
    </row>
    <row r="3569" spans="8:8" x14ac:dyDescent="0.2">
      <c r="H3569">
        <v>0</v>
      </c>
    </row>
    <row r="3570" spans="8:8" x14ac:dyDescent="0.2">
      <c r="H3570">
        <v>0</v>
      </c>
    </row>
    <row r="3571" spans="8:8" x14ac:dyDescent="0.2">
      <c r="H3571">
        <v>0</v>
      </c>
    </row>
    <row r="3572" spans="8:8" x14ac:dyDescent="0.2">
      <c r="H3572">
        <v>0</v>
      </c>
    </row>
    <row r="3573" spans="8:8" x14ac:dyDescent="0.2">
      <c r="H3573">
        <v>0</v>
      </c>
    </row>
    <row r="3574" spans="8:8" x14ac:dyDescent="0.2">
      <c r="H3574">
        <v>0</v>
      </c>
    </row>
    <row r="3575" spans="8:8" x14ac:dyDescent="0.2">
      <c r="H3575">
        <v>0</v>
      </c>
    </row>
    <row r="3576" spans="8:8" x14ac:dyDescent="0.2">
      <c r="H3576">
        <v>0</v>
      </c>
    </row>
    <row r="3577" spans="8:8" x14ac:dyDescent="0.2">
      <c r="H3577">
        <v>0</v>
      </c>
    </row>
    <row r="3578" spans="8:8" x14ac:dyDescent="0.2">
      <c r="H3578">
        <v>0</v>
      </c>
    </row>
    <row r="3579" spans="8:8" x14ac:dyDescent="0.2">
      <c r="H3579">
        <v>0</v>
      </c>
    </row>
    <row r="3580" spans="8:8" x14ac:dyDescent="0.2">
      <c r="H3580">
        <v>0</v>
      </c>
    </row>
    <row r="3581" spans="8:8" x14ac:dyDescent="0.2">
      <c r="H3581">
        <v>0</v>
      </c>
    </row>
    <row r="3582" spans="8:8" x14ac:dyDescent="0.2">
      <c r="H3582">
        <v>0</v>
      </c>
    </row>
    <row r="3583" spans="8:8" x14ac:dyDescent="0.2">
      <c r="H3583">
        <v>0</v>
      </c>
    </row>
    <row r="3584" spans="8:8" x14ac:dyDescent="0.2">
      <c r="H3584">
        <v>0</v>
      </c>
    </row>
    <row r="3585" spans="8:8" x14ac:dyDescent="0.2">
      <c r="H3585">
        <v>0</v>
      </c>
    </row>
    <row r="3586" spans="8:8" x14ac:dyDescent="0.2">
      <c r="H3586">
        <v>0</v>
      </c>
    </row>
    <row r="3587" spans="8:8" x14ac:dyDescent="0.2">
      <c r="H3587">
        <v>0</v>
      </c>
    </row>
    <row r="3588" spans="8:8" x14ac:dyDescent="0.2">
      <c r="H3588">
        <v>0</v>
      </c>
    </row>
    <row r="3589" spans="8:8" x14ac:dyDescent="0.2">
      <c r="H3589">
        <v>0</v>
      </c>
    </row>
    <row r="3590" spans="8:8" x14ac:dyDescent="0.2">
      <c r="H3590">
        <v>0</v>
      </c>
    </row>
    <row r="3591" spans="8:8" x14ac:dyDescent="0.2">
      <c r="H3591">
        <v>0</v>
      </c>
    </row>
    <row r="3592" spans="8:8" x14ac:dyDescent="0.2">
      <c r="H3592">
        <v>0</v>
      </c>
    </row>
    <row r="3593" spans="8:8" x14ac:dyDescent="0.2">
      <c r="H3593">
        <v>0</v>
      </c>
    </row>
    <row r="3594" spans="8:8" x14ac:dyDescent="0.2">
      <c r="H3594">
        <v>0</v>
      </c>
    </row>
    <row r="3595" spans="8:8" x14ac:dyDescent="0.2">
      <c r="H3595">
        <v>0</v>
      </c>
    </row>
    <row r="3596" spans="8:8" x14ac:dyDescent="0.2">
      <c r="H3596">
        <v>0</v>
      </c>
    </row>
    <row r="3597" spans="8:8" x14ac:dyDescent="0.2">
      <c r="H3597">
        <v>0</v>
      </c>
    </row>
    <row r="3598" spans="8:8" x14ac:dyDescent="0.2">
      <c r="H3598">
        <v>0</v>
      </c>
    </row>
    <row r="3599" spans="8:8" x14ac:dyDescent="0.2">
      <c r="H3599">
        <v>0</v>
      </c>
    </row>
    <row r="3600" spans="8:8" x14ac:dyDescent="0.2">
      <c r="H3600">
        <v>0</v>
      </c>
    </row>
    <row r="3601" spans="8:8" x14ac:dyDescent="0.2">
      <c r="H3601">
        <v>0</v>
      </c>
    </row>
    <row r="3602" spans="8:8" x14ac:dyDescent="0.2">
      <c r="H3602">
        <v>0</v>
      </c>
    </row>
    <row r="3603" spans="8:8" x14ac:dyDescent="0.2">
      <c r="H3603">
        <v>0</v>
      </c>
    </row>
    <row r="3604" spans="8:8" x14ac:dyDescent="0.2">
      <c r="H3604">
        <v>0</v>
      </c>
    </row>
    <row r="3605" spans="8:8" x14ac:dyDescent="0.2">
      <c r="H3605">
        <v>0</v>
      </c>
    </row>
    <row r="3606" spans="8:8" x14ac:dyDescent="0.2">
      <c r="H3606">
        <v>0</v>
      </c>
    </row>
    <row r="3607" spans="8:8" x14ac:dyDescent="0.2">
      <c r="H3607">
        <v>0</v>
      </c>
    </row>
    <row r="3608" spans="8:8" x14ac:dyDescent="0.2">
      <c r="H3608">
        <v>0</v>
      </c>
    </row>
    <row r="3609" spans="8:8" x14ac:dyDescent="0.2">
      <c r="H3609">
        <v>0</v>
      </c>
    </row>
    <row r="3610" spans="8:8" x14ac:dyDescent="0.2">
      <c r="H3610">
        <v>0</v>
      </c>
    </row>
    <row r="3611" spans="8:8" x14ac:dyDescent="0.2">
      <c r="H3611">
        <v>0</v>
      </c>
    </row>
    <row r="3612" spans="8:8" x14ac:dyDescent="0.2">
      <c r="H3612">
        <v>0</v>
      </c>
    </row>
    <row r="3613" spans="8:8" x14ac:dyDescent="0.2">
      <c r="H3613">
        <v>0</v>
      </c>
    </row>
    <row r="3614" spans="8:8" x14ac:dyDescent="0.2">
      <c r="H3614">
        <v>0</v>
      </c>
    </row>
    <row r="3615" spans="8:8" x14ac:dyDescent="0.2">
      <c r="H3615">
        <v>0</v>
      </c>
    </row>
    <row r="3616" spans="8:8" x14ac:dyDescent="0.2">
      <c r="H3616">
        <v>0</v>
      </c>
    </row>
    <row r="3617" spans="8:8" x14ac:dyDescent="0.2">
      <c r="H3617">
        <v>0</v>
      </c>
    </row>
    <row r="3618" spans="8:8" x14ac:dyDescent="0.2">
      <c r="H3618">
        <v>0</v>
      </c>
    </row>
    <row r="3619" spans="8:8" x14ac:dyDescent="0.2">
      <c r="H3619">
        <v>0</v>
      </c>
    </row>
    <row r="3620" spans="8:8" x14ac:dyDescent="0.2">
      <c r="H3620">
        <v>0</v>
      </c>
    </row>
    <row r="3621" spans="8:8" x14ac:dyDescent="0.2">
      <c r="H3621">
        <v>0</v>
      </c>
    </row>
    <row r="3622" spans="8:8" x14ac:dyDescent="0.2">
      <c r="H3622">
        <v>0</v>
      </c>
    </row>
    <row r="3623" spans="8:8" x14ac:dyDescent="0.2">
      <c r="H3623">
        <v>0</v>
      </c>
    </row>
    <row r="3624" spans="8:8" x14ac:dyDescent="0.2">
      <c r="H3624">
        <v>0</v>
      </c>
    </row>
    <row r="3625" spans="8:8" x14ac:dyDescent="0.2">
      <c r="H3625">
        <v>0</v>
      </c>
    </row>
    <row r="3626" spans="8:8" x14ac:dyDescent="0.2">
      <c r="H3626">
        <v>0</v>
      </c>
    </row>
    <row r="3627" spans="8:8" x14ac:dyDescent="0.2">
      <c r="H3627">
        <v>0</v>
      </c>
    </row>
    <row r="3628" spans="8:8" x14ac:dyDescent="0.2">
      <c r="H3628">
        <v>0</v>
      </c>
    </row>
    <row r="3629" spans="8:8" x14ac:dyDescent="0.2">
      <c r="H3629">
        <v>0</v>
      </c>
    </row>
    <row r="3630" spans="8:8" x14ac:dyDescent="0.2">
      <c r="H3630">
        <v>0</v>
      </c>
    </row>
    <row r="3631" spans="8:8" x14ac:dyDescent="0.2">
      <c r="H3631">
        <v>0</v>
      </c>
    </row>
    <row r="3632" spans="8:8" x14ac:dyDescent="0.2">
      <c r="H3632">
        <v>0</v>
      </c>
    </row>
    <row r="3633" spans="8:8" x14ac:dyDescent="0.2">
      <c r="H3633">
        <v>0</v>
      </c>
    </row>
    <row r="3634" spans="8:8" x14ac:dyDescent="0.2">
      <c r="H3634">
        <v>0</v>
      </c>
    </row>
    <row r="3635" spans="8:8" x14ac:dyDescent="0.2">
      <c r="H3635">
        <v>0</v>
      </c>
    </row>
    <row r="3636" spans="8:8" x14ac:dyDescent="0.2">
      <c r="H3636">
        <v>0</v>
      </c>
    </row>
    <row r="3637" spans="8:8" x14ac:dyDescent="0.2">
      <c r="H3637">
        <v>0</v>
      </c>
    </row>
    <row r="3638" spans="8:8" x14ac:dyDescent="0.2">
      <c r="H3638">
        <v>0</v>
      </c>
    </row>
    <row r="3639" spans="8:8" x14ac:dyDescent="0.2">
      <c r="H3639">
        <v>0</v>
      </c>
    </row>
    <row r="3640" spans="8:8" x14ac:dyDescent="0.2">
      <c r="H3640">
        <v>0</v>
      </c>
    </row>
    <row r="3641" spans="8:8" x14ac:dyDescent="0.2">
      <c r="H3641">
        <v>0</v>
      </c>
    </row>
    <row r="3642" spans="8:8" x14ac:dyDescent="0.2">
      <c r="H3642">
        <v>0</v>
      </c>
    </row>
    <row r="3643" spans="8:8" x14ac:dyDescent="0.2">
      <c r="H3643">
        <v>0</v>
      </c>
    </row>
    <row r="3644" spans="8:8" x14ac:dyDescent="0.2">
      <c r="H3644">
        <v>0</v>
      </c>
    </row>
    <row r="3645" spans="8:8" x14ac:dyDescent="0.2">
      <c r="H3645">
        <v>0</v>
      </c>
    </row>
    <row r="3646" spans="8:8" x14ac:dyDescent="0.2">
      <c r="H3646">
        <v>0</v>
      </c>
    </row>
    <row r="3647" spans="8:8" x14ac:dyDescent="0.2">
      <c r="H3647">
        <v>0</v>
      </c>
    </row>
    <row r="3648" spans="8:8" x14ac:dyDescent="0.2">
      <c r="H3648">
        <v>0</v>
      </c>
    </row>
    <row r="3649" spans="8:8" x14ac:dyDescent="0.2">
      <c r="H3649">
        <v>0</v>
      </c>
    </row>
    <row r="3650" spans="8:8" x14ac:dyDescent="0.2">
      <c r="H3650">
        <v>0</v>
      </c>
    </row>
    <row r="3651" spans="8:8" x14ac:dyDescent="0.2">
      <c r="H3651">
        <v>0</v>
      </c>
    </row>
    <row r="3652" spans="8:8" x14ac:dyDescent="0.2">
      <c r="H3652">
        <v>0</v>
      </c>
    </row>
    <row r="3653" spans="8:8" x14ac:dyDescent="0.2">
      <c r="H3653">
        <v>0</v>
      </c>
    </row>
    <row r="3654" spans="8:8" x14ac:dyDescent="0.2">
      <c r="H3654">
        <v>0</v>
      </c>
    </row>
    <row r="3655" spans="8:8" x14ac:dyDescent="0.2">
      <c r="H3655">
        <v>0</v>
      </c>
    </row>
    <row r="3656" spans="8:8" x14ac:dyDescent="0.2">
      <c r="H3656">
        <v>0</v>
      </c>
    </row>
    <row r="3657" spans="8:8" x14ac:dyDescent="0.2">
      <c r="H3657">
        <v>0</v>
      </c>
    </row>
    <row r="3658" spans="8:8" x14ac:dyDescent="0.2">
      <c r="H3658">
        <v>0</v>
      </c>
    </row>
    <row r="3659" spans="8:8" x14ac:dyDescent="0.2">
      <c r="H3659">
        <v>0</v>
      </c>
    </row>
    <row r="3660" spans="8:8" x14ac:dyDescent="0.2">
      <c r="H3660">
        <v>0</v>
      </c>
    </row>
    <row r="3661" spans="8:8" x14ac:dyDescent="0.2">
      <c r="H3661">
        <v>0</v>
      </c>
    </row>
    <row r="3662" spans="8:8" x14ac:dyDescent="0.2">
      <c r="H3662">
        <v>0</v>
      </c>
    </row>
    <row r="3663" spans="8:8" x14ac:dyDescent="0.2">
      <c r="H3663">
        <v>0</v>
      </c>
    </row>
    <row r="3664" spans="8:8" x14ac:dyDescent="0.2">
      <c r="H3664">
        <v>0</v>
      </c>
    </row>
    <row r="3665" spans="8:8" x14ac:dyDescent="0.2">
      <c r="H3665">
        <v>0</v>
      </c>
    </row>
    <row r="3666" spans="8:8" x14ac:dyDescent="0.2">
      <c r="H3666">
        <v>0</v>
      </c>
    </row>
    <row r="3667" spans="8:8" x14ac:dyDescent="0.2">
      <c r="H3667">
        <v>0</v>
      </c>
    </row>
    <row r="3668" spans="8:8" x14ac:dyDescent="0.2">
      <c r="H3668">
        <v>0</v>
      </c>
    </row>
    <row r="3669" spans="8:8" x14ac:dyDescent="0.2">
      <c r="H3669">
        <v>0</v>
      </c>
    </row>
    <row r="3670" spans="8:8" x14ac:dyDescent="0.2">
      <c r="H3670">
        <v>0</v>
      </c>
    </row>
    <row r="3671" spans="8:8" x14ac:dyDescent="0.2">
      <c r="H3671">
        <v>0</v>
      </c>
    </row>
    <row r="3672" spans="8:8" x14ac:dyDescent="0.2">
      <c r="H3672">
        <v>0</v>
      </c>
    </row>
    <row r="3673" spans="8:8" x14ac:dyDescent="0.2">
      <c r="H3673">
        <v>0</v>
      </c>
    </row>
    <row r="3674" spans="8:8" x14ac:dyDescent="0.2">
      <c r="H3674">
        <v>0</v>
      </c>
    </row>
    <row r="3675" spans="8:8" x14ac:dyDescent="0.2">
      <c r="H3675">
        <v>0</v>
      </c>
    </row>
    <row r="3676" spans="8:8" x14ac:dyDescent="0.2">
      <c r="H3676">
        <v>0</v>
      </c>
    </row>
    <row r="3677" spans="8:8" x14ac:dyDescent="0.2">
      <c r="H3677">
        <v>0</v>
      </c>
    </row>
    <row r="3678" spans="8:8" x14ac:dyDescent="0.2">
      <c r="H3678">
        <v>0</v>
      </c>
    </row>
    <row r="3679" spans="8:8" x14ac:dyDescent="0.2">
      <c r="H3679">
        <v>0</v>
      </c>
    </row>
    <row r="3680" spans="8:8" x14ac:dyDescent="0.2">
      <c r="H3680">
        <v>0</v>
      </c>
    </row>
    <row r="3681" spans="8:8" x14ac:dyDescent="0.2">
      <c r="H3681">
        <v>0</v>
      </c>
    </row>
    <row r="3682" spans="8:8" x14ac:dyDescent="0.2">
      <c r="H3682">
        <v>0</v>
      </c>
    </row>
    <row r="3683" spans="8:8" x14ac:dyDescent="0.2">
      <c r="H3683">
        <v>0</v>
      </c>
    </row>
    <row r="3684" spans="8:8" x14ac:dyDescent="0.2">
      <c r="H3684">
        <v>0</v>
      </c>
    </row>
    <row r="3685" spans="8:8" x14ac:dyDescent="0.2">
      <c r="H3685">
        <v>0</v>
      </c>
    </row>
    <row r="3686" spans="8:8" x14ac:dyDescent="0.2">
      <c r="H3686">
        <v>0</v>
      </c>
    </row>
    <row r="3687" spans="8:8" x14ac:dyDescent="0.2">
      <c r="H3687">
        <v>0</v>
      </c>
    </row>
    <row r="3688" spans="8:8" x14ac:dyDescent="0.2">
      <c r="H3688">
        <v>0</v>
      </c>
    </row>
    <row r="3689" spans="8:8" x14ac:dyDescent="0.2">
      <c r="H3689">
        <v>0</v>
      </c>
    </row>
    <row r="3690" spans="8:8" x14ac:dyDescent="0.2">
      <c r="H3690">
        <v>0</v>
      </c>
    </row>
    <row r="3691" spans="8:8" x14ac:dyDescent="0.2">
      <c r="H3691">
        <v>0</v>
      </c>
    </row>
    <row r="3692" spans="8:8" x14ac:dyDescent="0.2">
      <c r="H3692">
        <v>0</v>
      </c>
    </row>
    <row r="3693" spans="8:8" x14ac:dyDescent="0.2">
      <c r="H3693">
        <v>0</v>
      </c>
    </row>
    <row r="3694" spans="8:8" x14ac:dyDescent="0.2">
      <c r="H3694">
        <v>0</v>
      </c>
    </row>
    <row r="3695" spans="8:8" x14ac:dyDescent="0.2">
      <c r="H3695">
        <v>0</v>
      </c>
    </row>
    <row r="3696" spans="8:8" x14ac:dyDescent="0.2">
      <c r="H3696">
        <v>0</v>
      </c>
    </row>
    <row r="3697" spans="8:8" x14ac:dyDescent="0.2">
      <c r="H3697">
        <v>0</v>
      </c>
    </row>
    <row r="3698" spans="8:8" x14ac:dyDescent="0.2">
      <c r="H3698">
        <v>0</v>
      </c>
    </row>
    <row r="3699" spans="8:8" x14ac:dyDescent="0.2">
      <c r="H3699">
        <v>0</v>
      </c>
    </row>
    <row r="3700" spans="8:8" x14ac:dyDescent="0.2">
      <c r="H3700">
        <v>0</v>
      </c>
    </row>
    <row r="3701" spans="8:8" x14ac:dyDescent="0.2">
      <c r="H3701">
        <v>0</v>
      </c>
    </row>
    <row r="3702" spans="8:8" x14ac:dyDescent="0.2">
      <c r="H3702">
        <v>0</v>
      </c>
    </row>
    <row r="3703" spans="8:8" x14ac:dyDescent="0.2">
      <c r="H3703">
        <v>0</v>
      </c>
    </row>
    <row r="3704" spans="8:8" x14ac:dyDescent="0.2">
      <c r="H3704">
        <v>0</v>
      </c>
    </row>
    <row r="3705" spans="8:8" x14ac:dyDescent="0.2">
      <c r="H3705">
        <v>0</v>
      </c>
    </row>
    <row r="3706" spans="8:8" x14ac:dyDescent="0.2">
      <c r="H3706">
        <v>0</v>
      </c>
    </row>
    <row r="3707" spans="8:8" x14ac:dyDescent="0.2">
      <c r="H3707">
        <v>0</v>
      </c>
    </row>
    <row r="3708" spans="8:8" x14ac:dyDescent="0.2">
      <c r="H3708">
        <v>0</v>
      </c>
    </row>
    <row r="3709" spans="8:8" x14ac:dyDescent="0.2">
      <c r="H3709">
        <v>0</v>
      </c>
    </row>
    <row r="3710" spans="8:8" x14ac:dyDescent="0.2">
      <c r="H3710">
        <v>0</v>
      </c>
    </row>
    <row r="3711" spans="8:8" x14ac:dyDescent="0.2">
      <c r="H3711">
        <v>0</v>
      </c>
    </row>
    <row r="3712" spans="8:8" x14ac:dyDescent="0.2">
      <c r="H3712">
        <v>0</v>
      </c>
    </row>
    <row r="3713" spans="8:8" x14ac:dyDescent="0.2">
      <c r="H3713">
        <v>0</v>
      </c>
    </row>
    <row r="3714" spans="8:8" x14ac:dyDescent="0.2">
      <c r="H3714">
        <v>0</v>
      </c>
    </row>
    <row r="3715" spans="8:8" x14ac:dyDescent="0.2">
      <c r="H3715">
        <v>0</v>
      </c>
    </row>
    <row r="3716" spans="8:8" x14ac:dyDescent="0.2">
      <c r="H3716">
        <v>0</v>
      </c>
    </row>
    <row r="3717" spans="8:8" x14ac:dyDescent="0.2">
      <c r="H3717">
        <v>0</v>
      </c>
    </row>
    <row r="3718" spans="8:8" x14ac:dyDescent="0.2">
      <c r="H3718">
        <v>0</v>
      </c>
    </row>
    <row r="3719" spans="8:8" x14ac:dyDescent="0.2">
      <c r="H3719">
        <v>0</v>
      </c>
    </row>
    <row r="3720" spans="8:8" x14ac:dyDescent="0.2">
      <c r="H3720">
        <v>0</v>
      </c>
    </row>
    <row r="3721" spans="8:8" x14ac:dyDescent="0.2">
      <c r="H3721">
        <v>0</v>
      </c>
    </row>
    <row r="3722" spans="8:8" x14ac:dyDescent="0.2">
      <c r="H3722">
        <v>0</v>
      </c>
    </row>
    <row r="3723" spans="8:8" x14ac:dyDescent="0.2">
      <c r="H3723">
        <v>0</v>
      </c>
    </row>
    <row r="3724" spans="8:8" x14ac:dyDescent="0.2">
      <c r="H3724">
        <v>0</v>
      </c>
    </row>
    <row r="3725" spans="8:8" x14ac:dyDescent="0.2">
      <c r="H3725">
        <v>0</v>
      </c>
    </row>
    <row r="3726" spans="8:8" x14ac:dyDescent="0.2">
      <c r="H3726">
        <v>0</v>
      </c>
    </row>
    <row r="3727" spans="8:8" x14ac:dyDescent="0.2">
      <c r="H3727">
        <v>0</v>
      </c>
    </row>
    <row r="3728" spans="8:8" x14ac:dyDescent="0.2">
      <c r="H3728">
        <v>0</v>
      </c>
    </row>
    <row r="3729" spans="8:8" x14ac:dyDescent="0.2">
      <c r="H3729">
        <v>0</v>
      </c>
    </row>
    <row r="3730" spans="8:8" x14ac:dyDescent="0.2">
      <c r="H3730">
        <v>0</v>
      </c>
    </row>
    <row r="3731" spans="8:8" x14ac:dyDescent="0.2">
      <c r="H3731">
        <v>0</v>
      </c>
    </row>
    <row r="3732" spans="8:8" x14ac:dyDescent="0.2">
      <c r="H3732">
        <v>0</v>
      </c>
    </row>
    <row r="3733" spans="8:8" x14ac:dyDescent="0.2">
      <c r="H3733">
        <v>0</v>
      </c>
    </row>
    <row r="3734" spans="8:8" x14ac:dyDescent="0.2">
      <c r="H3734">
        <v>0</v>
      </c>
    </row>
    <row r="3735" spans="8:8" x14ac:dyDescent="0.2">
      <c r="H3735">
        <v>0</v>
      </c>
    </row>
    <row r="3736" spans="8:8" x14ac:dyDescent="0.2">
      <c r="H3736">
        <v>0</v>
      </c>
    </row>
    <row r="3737" spans="8:8" x14ac:dyDescent="0.2">
      <c r="H3737">
        <v>0</v>
      </c>
    </row>
    <row r="3738" spans="8:8" x14ac:dyDescent="0.2">
      <c r="H3738">
        <v>0</v>
      </c>
    </row>
    <row r="3739" spans="8:8" x14ac:dyDescent="0.2">
      <c r="H3739">
        <v>0</v>
      </c>
    </row>
    <row r="3740" spans="8:8" x14ac:dyDescent="0.2">
      <c r="H3740">
        <v>0</v>
      </c>
    </row>
    <row r="3741" spans="8:8" x14ac:dyDescent="0.2">
      <c r="H3741">
        <v>0</v>
      </c>
    </row>
    <row r="3742" spans="8:8" x14ac:dyDescent="0.2">
      <c r="H3742">
        <v>0</v>
      </c>
    </row>
    <row r="3743" spans="8:8" x14ac:dyDescent="0.2">
      <c r="H3743">
        <v>0</v>
      </c>
    </row>
    <row r="3744" spans="8:8" x14ac:dyDescent="0.2">
      <c r="H3744">
        <v>0</v>
      </c>
    </row>
    <row r="3745" spans="8:8" x14ac:dyDescent="0.2">
      <c r="H3745">
        <v>0</v>
      </c>
    </row>
    <row r="3746" spans="8:8" x14ac:dyDescent="0.2">
      <c r="H3746">
        <v>0</v>
      </c>
    </row>
    <row r="3747" spans="8:8" x14ac:dyDescent="0.2">
      <c r="H3747">
        <v>0</v>
      </c>
    </row>
    <row r="3748" spans="8:8" x14ac:dyDescent="0.2">
      <c r="H3748">
        <v>0</v>
      </c>
    </row>
    <row r="3749" spans="8:8" x14ac:dyDescent="0.2">
      <c r="H3749">
        <v>0</v>
      </c>
    </row>
    <row r="3750" spans="8:8" x14ac:dyDescent="0.2">
      <c r="H3750">
        <v>0</v>
      </c>
    </row>
    <row r="3751" spans="8:8" x14ac:dyDescent="0.2">
      <c r="H3751">
        <v>0</v>
      </c>
    </row>
    <row r="3752" spans="8:8" x14ac:dyDescent="0.2">
      <c r="H3752">
        <v>0</v>
      </c>
    </row>
    <row r="3753" spans="8:8" x14ac:dyDescent="0.2">
      <c r="H3753">
        <v>0</v>
      </c>
    </row>
    <row r="3754" spans="8:8" x14ac:dyDescent="0.2">
      <c r="H3754">
        <v>0</v>
      </c>
    </row>
    <row r="3755" spans="8:8" x14ac:dyDescent="0.2">
      <c r="H3755">
        <v>0</v>
      </c>
    </row>
    <row r="3756" spans="8:8" x14ac:dyDescent="0.2">
      <c r="H3756">
        <v>0</v>
      </c>
    </row>
    <row r="3757" spans="8:8" x14ac:dyDescent="0.2">
      <c r="H3757">
        <v>0</v>
      </c>
    </row>
    <row r="3758" spans="8:8" x14ac:dyDescent="0.2">
      <c r="H3758">
        <v>0</v>
      </c>
    </row>
    <row r="3759" spans="8:8" x14ac:dyDescent="0.2">
      <c r="H3759">
        <v>0</v>
      </c>
    </row>
    <row r="3760" spans="8:8" x14ac:dyDescent="0.2">
      <c r="H3760">
        <v>0</v>
      </c>
    </row>
    <row r="3761" spans="8:8" x14ac:dyDescent="0.2">
      <c r="H3761">
        <v>0</v>
      </c>
    </row>
    <row r="3762" spans="8:8" x14ac:dyDescent="0.2">
      <c r="H3762">
        <v>0</v>
      </c>
    </row>
    <row r="3763" spans="8:8" x14ac:dyDescent="0.2">
      <c r="H3763">
        <v>0</v>
      </c>
    </row>
    <row r="3764" spans="8:8" x14ac:dyDescent="0.2">
      <c r="H3764">
        <v>0</v>
      </c>
    </row>
    <row r="3765" spans="8:8" x14ac:dyDescent="0.2">
      <c r="H3765">
        <v>0</v>
      </c>
    </row>
    <row r="3766" spans="8:8" x14ac:dyDescent="0.2">
      <c r="H3766">
        <v>0</v>
      </c>
    </row>
    <row r="3767" spans="8:8" x14ac:dyDescent="0.2">
      <c r="H3767">
        <v>0</v>
      </c>
    </row>
    <row r="3768" spans="8:8" x14ac:dyDescent="0.2">
      <c r="H3768">
        <v>0</v>
      </c>
    </row>
    <row r="3769" spans="8:8" x14ac:dyDescent="0.2">
      <c r="H3769">
        <v>0</v>
      </c>
    </row>
    <row r="3770" spans="8:8" x14ac:dyDescent="0.2">
      <c r="H3770">
        <v>0</v>
      </c>
    </row>
    <row r="3771" spans="8:8" x14ac:dyDescent="0.2">
      <c r="H3771">
        <v>0</v>
      </c>
    </row>
    <row r="3772" spans="8:8" x14ac:dyDescent="0.2">
      <c r="H3772">
        <v>0</v>
      </c>
    </row>
    <row r="3773" spans="8:8" x14ac:dyDescent="0.2">
      <c r="H3773">
        <v>0</v>
      </c>
    </row>
    <row r="3774" spans="8:8" x14ac:dyDescent="0.2">
      <c r="H3774">
        <v>0</v>
      </c>
    </row>
    <row r="3775" spans="8:8" x14ac:dyDescent="0.2">
      <c r="H3775">
        <v>0</v>
      </c>
    </row>
    <row r="3776" spans="8:8" x14ac:dyDescent="0.2">
      <c r="H3776">
        <v>0</v>
      </c>
    </row>
    <row r="3777" spans="8:8" x14ac:dyDescent="0.2">
      <c r="H3777">
        <v>0</v>
      </c>
    </row>
    <row r="3778" spans="8:8" x14ac:dyDescent="0.2">
      <c r="H3778">
        <v>0</v>
      </c>
    </row>
    <row r="3779" spans="8:8" x14ac:dyDescent="0.2">
      <c r="H3779">
        <v>0</v>
      </c>
    </row>
    <row r="3780" spans="8:8" x14ac:dyDescent="0.2">
      <c r="H3780">
        <v>0</v>
      </c>
    </row>
    <row r="3781" spans="8:8" x14ac:dyDescent="0.2">
      <c r="H3781">
        <v>0</v>
      </c>
    </row>
    <row r="3782" spans="8:8" x14ac:dyDescent="0.2">
      <c r="H3782">
        <v>0</v>
      </c>
    </row>
    <row r="3783" spans="8:8" x14ac:dyDescent="0.2">
      <c r="H3783">
        <v>0</v>
      </c>
    </row>
    <row r="3784" spans="8:8" x14ac:dyDescent="0.2">
      <c r="H3784">
        <v>0</v>
      </c>
    </row>
    <row r="3785" spans="8:8" x14ac:dyDescent="0.2">
      <c r="H3785">
        <v>0</v>
      </c>
    </row>
    <row r="3786" spans="8:8" x14ac:dyDescent="0.2">
      <c r="H3786">
        <v>0</v>
      </c>
    </row>
    <row r="3787" spans="8:8" x14ac:dyDescent="0.2">
      <c r="H3787">
        <v>0</v>
      </c>
    </row>
    <row r="3788" spans="8:8" x14ac:dyDescent="0.2">
      <c r="H3788">
        <v>0</v>
      </c>
    </row>
    <row r="3789" spans="8:8" x14ac:dyDescent="0.2">
      <c r="H3789">
        <v>0</v>
      </c>
    </row>
    <row r="3790" spans="8:8" x14ac:dyDescent="0.2">
      <c r="H3790">
        <v>0</v>
      </c>
    </row>
    <row r="3791" spans="8:8" x14ac:dyDescent="0.2">
      <c r="H3791">
        <v>0</v>
      </c>
    </row>
    <row r="3792" spans="8:8" x14ac:dyDescent="0.2">
      <c r="H3792">
        <v>0</v>
      </c>
    </row>
    <row r="3793" spans="8:8" x14ac:dyDescent="0.2">
      <c r="H3793">
        <v>0</v>
      </c>
    </row>
    <row r="3794" spans="8:8" x14ac:dyDescent="0.2">
      <c r="H3794">
        <v>0</v>
      </c>
    </row>
    <row r="3795" spans="8:8" x14ac:dyDescent="0.2">
      <c r="H3795">
        <v>0</v>
      </c>
    </row>
    <row r="3796" spans="8:8" x14ac:dyDescent="0.2">
      <c r="H3796">
        <v>0</v>
      </c>
    </row>
    <row r="3797" spans="8:8" x14ac:dyDescent="0.2">
      <c r="H3797">
        <v>0</v>
      </c>
    </row>
    <row r="3798" spans="8:8" x14ac:dyDescent="0.2">
      <c r="H3798">
        <v>0</v>
      </c>
    </row>
    <row r="3799" spans="8:8" x14ac:dyDescent="0.2">
      <c r="H3799">
        <v>0</v>
      </c>
    </row>
    <row r="3800" spans="8:8" x14ac:dyDescent="0.2">
      <c r="H3800">
        <v>0</v>
      </c>
    </row>
    <row r="3801" spans="8:8" x14ac:dyDescent="0.2">
      <c r="H3801">
        <v>0</v>
      </c>
    </row>
    <row r="3802" spans="8:8" x14ac:dyDescent="0.2">
      <c r="H3802">
        <v>0</v>
      </c>
    </row>
    <row r="3803" spans="8:8" x14ac:dyDescent="0.2">
      <c r="H3803">
        <v>0</v>
      </c>
    </row>
    <row r="3804" spans="8:8" x14ac:dyDescent="0.2">
      <c r="H3804">
        <v>0</v>
      </c>
    </row>
    <row r="3805" spans="8:8" x14ac:dyDescent="0.2">
      <c r="H3805">
        <v>0</v>
      </c>
    </row>
    <row r="3806" spans="8:8" x14ac:dyDescent="0.2">
      <c r="H3806">
        <v>0</v>
      </c>
    </row>
    <row r="3807" spans="8:8" x14ac:dyDescent="0.2">
      <c r="H3807">
        <v>0</v>
      </c>
    </row>
    <row r="3808" spans="8:8" x14ac:dyDescent="0.2">
      <c r="H3808">
        <v>0</v>
      </c>
    </row>
    <row r="3809" spans="8:8" x14ac:dyDescent="0.2">
      <c r="H3809">
        <v>0</v>
      </c>
    </row>
    <row r="3810" spans="8:8" x14ac:dyDescent="0.2">
      <c r="H3810">
        <v>0</v>
      </c>
    </row>
    <row r="3811" spans="8:8" x14ac:dyDescent="0.2">
      <c r="H3811">
        <v>0</v>
      </c>
    </row>
    <row r="3812" spans="8:8" x14ac:dyDescent="0.2">
      <c r="H3812">
        <v>0</v>
      </c>
    </row>
    <row r="3813" spans="8:8" x14ac:dyDescent="0.2">
      <c r="H3813">
        <v>0</v>
      </c>
    </row>
    <row r="3814" spans="8:8" x14ac:dyDescent="0.2">
      <c r="H3814">
        <v>0</v>
      </c>
    </row>
    <row r="3815" spans="8:8" x14ac:dyDescent="0.2">
      <c r="H3815">
        <v>0</v>
      </c>
    </row>
    <row r="3816" spans="8:8" x14ac:dyDescent="0.2">
      <c r="H3816">
        <v>0</v>
      </c>
    </row>
    <row r="3817" spans="8:8" x14ac:dyDescent="0.2">
      <c r="H3817">
        <v>0</v>
      </c>
    </row>
    <row r="3818" spans="8:8" x14ac:dyDescent="0.2">
      <c r="H3818">
        <v>0</v>
      </c>
    </row>
    <row r="3819" spans="8:8" x14ac:dyDescent="0.2">
      <c r="H3819">
        <v>0</v>
      </c>
    </row>
    <row r="3820" spans="8:8" x14ac:dyDescent="0.2">
      <c r="H3820">
        <v>0</v>
      </c>
    </row>
    <row r="3821" spans="8:8" x14ac:dyDescent="0.2">
      <c r="H3821">
        <v>0</v>
      </c>
    </row>
    <row r="3822" spans="8:8" x14ac:dyDescent="0.2">
      <c r="H3822">
        <v>0</v>
      </c>
    </row>
    <row r="3823" spans="8:8" x14ac:dyDescent="0.2">
      <c r="H3823">
        <v>0</v>
      </c>
    </row>
    <row r="3824" spans="8:8" x14ac:dyDescent="0.2">
      <c r="H3824">
        <v>0</v>
      </c>
    </row>
    <row r="3825" spans="8:8" x14ac:dyDescent="0.2">
      <c r="H3825">
        <v>0</v>
      </c>
    </row>
    <row r="3826" spans="8:8" x14ac:dyDescent="0.2">
      <c r="H3826">
        <v>0</v>
      </c>
    </row>
    <row r="3827" spans="8:8" x14ac:dyDescent="0.2">
      <c r="H3827">
        <v>0</v>
      </c>
    </row>
    <row r="3828" spans="8:8" x14ac:dyDescent="0.2">
      <c r="H3828">
        <v>0</v>
      </c>
    </row>
    <row r="3829" spans="8:8" x14ac:dyDescent="0.2">
      <c r="H3829">
        <v>0</v>
      </c>
    </row>
    <row r="3830" spans="8:8" x14ac:dyDescent="0.2">
      <c r="H3830">
        <v>0</v>
      </c>
    </row>
    <row r="3831" spans="8:8" x14ac:dyDescent="0.2">
      <c r="H3831">
        <v>0</v>
      </c>
    </row>
    <row r="3832" spans="8:8" x14ac:dyDescent="0.2">
      <c r="H3832">
        <v>0</v>
      </c>
    </row>
    <row r="3833" spans="8:8" x14ac:dyDescent="0.2">
      <c r="H3833">
        <v>0</v>
      </c>
    </row>
    <row r="3834" spans="8:8" x14ac:dyDescent="0.2">
      <c r="H3834">
        <v>0</v>
      </c>
    </row>
    <row r="3835" spans="8:8" x14ac:dyDescent="0.2">
      <c r="H3835">
        <v>0</v>
      </c>
    </row>
    <row r="3836" spans="8:8" x14ac:dyDescent="0.2">
      <c r="H3836">
        <v>0</v>
      </c>
    </row>
    <row r="3837" spans="8:8" x14ac:dyDescent="0.2">
      <c r="H3837">
        <v>0</v>
      </c>
    </row>
    <row r="3838" spans="8:8" x14ac:dyDescent="0.2">
      <c r="H3838">
        <v>0</v>
      </c>
    </row>
    <row r="3839" spans="8:8" x14ac:dyDescent="0.2">
      <c r="H3839">
        <v>0</v>
      </c>
    </row>
    <row r="3840" spans="8:8" x14ac:dyDescent="0.2">
      <c r="H3840">
        <v>0</v>
      </c>
    </row>
    <row r="3841" spans="8:8" x14ac:dyDescent="0.2">
      <c r="H3841">
        <v>0</v>
      </c>
    </row>
    <row r="3842" spans="8:8" x14ac:dyDescent="0.2">
      <c r="H3842">
        <v>0</v>
      </c>
    </row>
    <row r="3843" spans="8:8" x14ac:dyDescent="0.2">
      <c r="H3843">
        <v>0</v>
      </c>
    </row>
    <row r="3844" spans="8:8" x14ac:dyDescent="0.2">
      <c r="H3844">
        <v>0</v>
      </c>
    </row>
    <row r="3845" spans="8:8" x14ac:dyDescent="0.2">
      <c r="H3845">
        <v>0</v>
      </c>
    </row>
    <row r="3846" spans="8:8" x14ac:dyDescent="0.2">
      <c r="H3846">
        <v>0</v>
      </c>
    </row>
    <row r="3847" spans="8:8" x14ac:dyDescent="0.2">
      <c r="H3847">
        <v>0</v>
      </c>
    </row>
    <row r="3848" spans="8:8" x14ac:dyDescent="0.2">
      <c r="H3848">
        <v>0</v>
      </c>
    </row>
    <row r="3849" spans="8:8" x14ac:dyDescent="0.2">
      <c r="H3849">
        <v>0</v>
      </c>
    </row>
    <row r="3850" spans="8:8" x14ac:dyDescent="0.2">
      <c r="H3850">
        <v>0</v>
      </c>
    </row>
    <row r="3851" spans="8:8" x14ac:dyDescent="0.2">
      <c r="H3851">
        <v>0</v>
      </c>
    </row>
    <row r="3852" spans="8:8" x14ac:dyDescent="0.2">
      <c r="H3852">
        <v>0</v>
      </c>
    </row>
    <row r="3853" spans="8:8" x14ac:dyDescent="0.2">
      <c r="H3853">
        <v>0</v>
      </c>
    </row>
    <row r="3854" spans="8:8" x14ac:dyDescent="0.2">
      <c r="H3854">
        <v>0</v>
      </c>
    </row>
    <row r="3855" spans="8:8" x14ac:dyDescent="0.2">
      <c r="H3855">
        <v>0</v>
      </c>
    </row>
    <row r="3856" spans="8:8" x14ac:dyDescent="0.2">
      <c r="H3856">
        <v>0</v>
      </c>
    </row>
    <row r="3857" spans="8:8" x14ac:dyDescent="0.2">
      <c r="H3857">
        <v>0</v>
      </c>
    </row>
    <row r="3858" spans="8:8" x14ac:dyDescent="0.2">
      <c r="H3858">
        <v>0</v>
      </c>
    </row>
    <row r="3859" spans="8:8" x14ac:dyDescent="0.2">
      <c r="H3859">
        <v>0</v>
      </c>
    </row>
    <row r="3860" spans="8:8" x14ac:dyDescent="0.2">
      <c r="H3860">
        <v>0</v>
      </c>
    </row>
    <row r="3861" spans="8:8" x14ac:dyDescent="0.2">
      <c r="H3861">
        <v>0</v>
      </c>
    </row>
    <row r="3862" spans="8:8" x14ac:dyDescent="0.2">
      <c r="H3862">
        <v>0</v>
      </c>
    </row>
    <row r="3863" spans="8:8" x14ac:dyDescent="0.2">
      <c r="H3863">
        <v>0</v>
      </c>
    </row>
    <row r="3864" spans="8:8" x14ac:dyDescent="0.2">
      <c r="H3864">
        <v>0</v>
      </c>
    </row>
    <row r="3865" spans="8:8" x14ac:dyDescent="0.2">
      <c r="H3865">
        <v>0</v>
      </c>
    </row>
    <row r="3866" spans="8:8" x14ac:dyDescent="0.2">
      <c r="H3866">
        <v>0</v>
      </c>
    </row>
    <row r="3867" spans="8:8" x14ac:dyDescent="0.2">
      <c r="H3867">
        <v>0</v>
      </c>
    </row>
    <row r="3868" spans="8:8" x14ac:dyDescent="0.2">
      <c r="H3868">
        <v>0</v>
      </c>
    </row>
    <row r="3869" spans="8:8" x14ac:dyDescent="0.2">
      <c r="H3869">
        <v>0</v>
      </c>
    </row>
    <row r="3870" spans="8:8" x14ac:dyDescent="0.2">
      <c r="H3870">
        <v>0</v>
      </c>
    </row>
    <row r="3871" spans="8:8" x14ac:dyDescent="0.2">
      <c r="H3871">
        <v>0</v>
      </c>
    </row>
    <row r="3872" spans="8:8" x14ac:dyDescent="0.2">
      <c r="H3872">
        <v>0</v>
      </c>
    </row>
    <row r="3873" spans="8:8" x14ac:dyDescent="0.2">
      <c r="H3873">
        <v>0</v>
      </c>
    </row>
    <row r="3874" spans="8:8" x14ac:dyDescent="0.2">
      <c r="H3874">
        <v>0</v>
      </c>
    </row>
    <row r="3875" spans="8:8" x14ac:dyDescent="0.2">
      <c r="H3875">
        <v>0</v>
      </c>
    </row>
    <row r="3876" spans="8:8" x14ac:dyDescent="0.2">
      <c r="H3876">
        <v>0</v>
      </c>
    </row>
    <row r="3877" spans="8:8" x14ac:dyDescent="0.2">
      <c r="H3877">
        <v>0</v>
      </c>
    </row>
    <row r="3878" spans="8:8" x14ac:dyDescent="0.2">
      <c r="H3878">
        <v>0</v>
      </c>
    </row>
    <row r="3879" spans="8:8" x14ac:dyDescent="0.2">
      <c r="H3879">
        <v>0</v>
      </c>
    </row>
    <row r="3880" spans="8:8" x14ac:dyDescent="0.2">
      <c r="H3880">
        <v>0</v>
      </c>
    </row>
    <row r="3881" spans="8:8" x14ac:dyDescent="0.2">
      <c r="H3881">
        <v>0</v>
      </c>
    </row>
    <row r="3882" spans="8:8" x14ac:dyDescent="0.2">
      <c r="H3882">
        <v>0</v>
      </c>
    </row>
    <row r="3883" spans="8:8" x14ac:dyDescent="0.2">
      <c r="H3883">
        <v>0</v>
      </c>
    </row>
    <row r="3884" spans="8:8" x14ac:dyDescent="0.2">
      <c r="H3884">
        <v>0</v>
      </c>
    </row>
    <row r="3885" spans="8:8" x14ac:dyDescent="0.2">
      <c r="H3885">
        <v>0</v>
      </c>
    </row>
    <row r="3886" spans="8:8" x14ac:dyDescent="0.2">
      <c r="H3886">
        <v>0</v>
      </c>
    </row>
    <row r="3887" spans="8:8" x14ac:dyDescent="0.2">
      <c r="H3887">
        <v>0</v>
      </c>
    </row>
    <row r="3888" spans="8:8" x14ac:dyDescent="0.2">
      <c r="H3888">
        <v>0</v>
      </c>
    </row>
    <row r="3889" spans="8:8" x14ac:dyDescent="0.2">
      <c r="H3889">
        <v>0</v>
      </c>
    </row>
    <row r="3890" spans="8:8" x14ac:dyDescent="0.2">
      <c r="H3890">
        <v>0</v>
      </c>
    </row>
    <row r="3891" spans="8:8" x14ac:dyDescent="0.2">
      <c r="H3891">
        <v>0</v>
      </c>
    </row>
    <row r="3892" spans="8:8" x14ac:dyDescent="0.2">
      <c r="H3892">
        <v>0</v>
      </c>
    </row>
    <row r="3893" spans="8:8" x14ac:dyDescent="0.2">
      <c r="H3893">
        <v>0</v>
      </c>
    </row>
    <row r="3894" spans="8:8" x14ac:dyDescent="0.2">
      <c r="H3894">
        <v>0</v>
      </c>
    </row>
    <row r="3895" spans="8:8" x14ac:dyDescent="0.2">
      <c r="H3895">
        <v>0</v>
      </c>
    </row>
    <row r="3896" spans="8:8" x14ac:dyDescent="0.2">
      <c r="H3896">
        <v>0</v>
      </c>
    </row>
    <row r="3897" spans="8:8" x14ac:dyDescent="0.2">
      <c r="H3897">
        <v>0</v>
      </c>
    </row>
    <row r="3898" spans="8:8" x14ac:dyDescent="0.2">
      <c r="H3898">
        <v>0</v>
      </c>
    </row>
    <row r="3899" spans="8:8" x14ac:dyDescent="0.2">
      <c r="H3899">
        <v>0</v>
      </c>
    </row>
    <row r="3900" spans="8:8" x14ac:dyDescent="0.2">
      <c r="H3900">
        <v>0</v>
      </c>
    </row>
    <row r="3901" spans="8:8" x14ac:dyDescent="0.2">
      <c r="H3901">
        <v>0</v>
      </c>
    </row>
    <row r="3902" spans="8:8" x14ac:dyDescent="0.2">
      <c r="H3902">
        <v>0</v>
      </c>
    </row>
    <row r="3903" spans="8:8" x14ac:dyDescent="0.2">
      <c r="H3903">
        <v>0</v>
      </c>
    </row>
    <row r="3904" spans="8:8" x14ac:dyDescent="0.2">
      <c r="H3904">
        <v>0</v>
      </c>
    </row>
    <row r="3905" spans="8:8" x14ac:dyDescent="0.2">
      <c r="H3905">
        <v>0</v>
      </c>
    </row>
    <row r="3906" spans="8:8" x14ac:dyDescent="0.2">
      <c r="H3906">
        <v>0</v>
      </c>
    </row>
    <row r="3907" spans="8:8" x14ac:dyDescent="0.2">
      <c r="H3907">
        <v>0</v>
      </c>
    </row>
    <row r="3908" spans="8:8" x14ac:dyDescent="0.2">
      <c r="H3908">
        <v>0</v>
      </c>
    </row>
    <row r="3909" spans="8:8" x14ac:dyDescent="0.2">
      <c r="H3909">
        <v>0</v>
      </c>
    </row>
    <row r="3910" spans="8:8" x14ac:dyDescent="0.2">
      <c r="H3910">
        <v>0</v>
      </c>
    </row>
    <row r="3911" spans="8:8" x14ac:dyDescent="0.2">
      <c r="H3911">
        <v>0</v>
      </c>
    </row>
    <row r="3912" spans="8:8" x14ac:dyDescent="0.2">
      <c r="H3912">
        <v>0</v>
      </c>
    </row>
    <row r="3913" spans="8:8" x14ac:dyDescent="0.2">
      <c r="H3913">
        <v>0</v>
      </c>
    </row>
    <row r="3914" spans="8:8" x14ac:dyDescent="0.2">
      <c r="H3914">
        <v>0</v>
      </c>
    </row>
    <row r="3915" spans="8:8" x14ac:dyDescent="0.2">
      <c r="H3915">
        <v>0</v>
      </c>
    </row>
    <row r="3916" spans="8:8" x14ac:dyDescent="0.2">
      <c r="H3916">
        <v>0</v>
      </c>
    </row>
    <row r="3917" spans="8:8" x14ac:dyDescent="0.2">
      <c r="H3917">
        <v>0</v>
      </c>
    </row>
    <row r="3918" spans="8:8" x14ac:dyDescent="0.2">
      <c r="H3918">
        <v>0</v>
      </c>
    </row>
    <row r="3919" spans="8:8" x14ac:dyDescent="0.2">
      <c r="H3919">
        <v>0</v>
      </c>
    </row>
    <row r="3920" spans="8:8" x14ac:dyDescent="0.2">
      <c r="H3920">
        <v>0</v>
      </c>
    </row>
    <row r="3921" spans="8:8" x14ac:dyDescent="0.2">
      <c r="H3921">
        <v>0</v>
      </c>
    </row>
    <row r="3922" spans="8:8" x14ac:dyDescent="0.2">
      <c r="H3922">
        <v>0</v>
      </c>
    </row>
    <row r="3923" spans="8:8" x14ac:dyDescent="0.2">
      <c r="H3923">
        <v>0</v>
      </c>
    </row>
    <row r="3924" spans="8:8" x14ac:dyDescent="0.2">
      <c r="H3924">
        <v>0</v>
      </c>
    </row>
    <row r="3925" spans="8:8" x14ac:dyDescent="0.2">
      <c r="H3925">
        <v>0</v>
      </c>
    </row>
    <row r="3926" spans="8:8" x14ac:dyDescent="0.2">
      <c r="H3926">
        <v>0</v>
      </c>
    </row>
    <row r="3927" spans="8:8" x14ac:dyDescent="0.2">
      <c r="H3927">
        <v>0</v>
      </c>
    </row>
    <row r="3928" spans="8:8" x14ac:dyDescent="0.2">
      <c r="H3928">
        <v>0</v>
      </c>
    </row>
    <row r="3929" spans="8:8" x14ac:dyDescent="0.2">
      <c r="H3929">
        <v>0</v>
      </c>
    </row>
    <row r="3930" spans="8:8" x14ac:dyDescent="0.2">
      <c r="H3930">
        <v>0</v>
      </c>
    </row>
    <row r="3931" spans="8:8" x14ac:dyDescent="0.2">
      <c r="H3931">
        <v>0</v>
      </c>
    </row>
    <row r="3932" spans="8:8" x14ac:dyDescent="0.2">
      <c r="H3932">
        <v>0</v>
      </c>
    </row>
    <row r="3933" spans="8:8" x14ac:dyDescent="0.2">
      <c r="H3933">
        <v>0</v>
      </c>
    </row>
    <row r="3934" spans="8:8" x14ac:dyDescent="0.2">
      <c r="H3934">
        <v>0</v>
      </c>
    </row>
    <row r="3935" spans="8:8" x14ac:dyDescent="0.2">
      <c r="H3935">
        <v>0</v>
      </c>
    </row>
    <row r="3936" spans="8:8" x14ac:dyDescent="0.2">
      <c r="H3936">
        <v>0</v>
      </c>
    </row>
    <row r="3937" spans="8:8" x14ac:dyDescent="0.2">
      <c r="H3937">
        <v>0</v>
      </c>
    </row>
    <row r="3938" spans="8:8" x14ac:dyDescent="0.2">
      <c r="H3938">
        <v>0</v>
      </c>
    </row>
    <row r="3939" spans="8:8" x14ac:dyDescent="0.2">
      <c r="H3939">
        <v>0</v>
      </c>
    </row>
    <row r="3940" spans="8:8" x14ac:dyDescent="0.2">
      <c r="H3940">
        <v>0</v>
      </c>
    </row>
    <row r="3941" spans="8:8" x14ac:dyDescent="0.2">
      <c r="H3941">
        <v>0</v>
      </c>
    </row>
    <row r="3942" spans="8:8" x14ac:dyDescent="0.2">
      <c r="H3942">
        <v>0</v>
      </c>
    </row>
    <row r="3943" spans="8:8" x14ac:dyDescent="0.2">
      <c r="H3943">
        <v>0</v>
      </c>
    </row>
    <row r="3944" spans="8:8" x14ac:dyDescent="0.2">
      <c r="H3944">
        <v>0</v>
      </c>
    </row>
    <row r="3945" spans="8:8" x14ac:dyDescent="0.2">
      <c r="H3945">
        <v>0</v>
      </c>
    </row>
    <row r="3946" spans="8:8" x14ac:dyDescent="0.2">
      <c r="H3946">
        <v>0</v>
      </c>
    </row>
    <row r="3947" spans="8:8" x14ac:dyDescent="0.2">
      <c r="H3947">
        <v>0</v>
      </c>
    </row>
    <row r="3948" spans="8:8" x14ac:dyDescent="0.2">
      <c r="H3948">
        <v>0</v>
      </c>
    </row>
    <row r="3949" spans="8:8" x14ac:dyDescent="0.2">
      <c r="H3949">
        <v>0</v>
      </c>
    </row>
    <row r="3950" spans="8:8" x14ac:dyDescent="0.2">
      <c r="H3950">
        <v>0</v>
      </c>
    </row>
    <row r="3951" spans="8:8" x14ac:dyDescent="0.2">
      <c r="H3951">
        <v>0</v>
      </c>
    </row>
    <row r="3952" spans="8:8" x14ac:dyDescent="0.2">
      <c r="H3952">
        <v>0</v>
      </c>
    </row>
    <row r="3953" spans="8:8" x14ac:dyDescent="0.2">
      <c r="H3953">
        <v>0</v>
      </c>
    </row>
    <row r="3954" spans="8:8" x14ac:dyDescent="0.2">
      <c r="H3954">
        <v>0</v>
      </c>
    </row>
    <row r="3955" spans="8:8" x14ac:dyDescent="0.2">
      <c r="H3955">
        <v>0</v>
      </c>
    </row>
    <row r="3956" spans="8:8" x14ac:dyDescent="0.2">
      <c r="H3956">
        <v>0</v>
      </c>
    </row>
    <row r="3957" spans="8:8" x14ac:dyDescent="0.2">
      <c r="H3957">
        <v>0</v>
      </c>
    </row>
    <row r="3958" spans="8:8" x14ac:dyDescent="0.2">
      <c r="H3958">
        <v>0</v>
      </c>
    </row>
    <row r="3959" spans="8:8" x14ac:dyDescent="0.2">
      <c r="H3959">
        <v>0</v>
      </c>
    </row>
    <row r="3960" spans="8:8" x14ac:dyDescent="0.2">
      <c r="H3960">
        <v>0</v>
      </c>
    </row>
    <row r="3961" spans="8:8" x14ac:dyDescent="0.2">
      <c r="H3961">
        <v>0</v>
      </c>
    </row>
    <row r="3962" spans="8:8" x14ac:dyDescent="0.2">
      <c r="H3962">
        <v>0</v>
      </c>
    </row>
    <row r="3963" spans="8:8" x14ac:dyDescent="0.2">
      <c r="H3963">
        <v>0</v>
      </c>
    </row>
    <row r="3964" spans="8:8" x14ac:dyDescent="0.2">
      <c r="H3964">
        <v>0</v>
      </c>
    </row>
    <row r="3965" spans="8:8" x14ac:dyDescent="0.2">
      <c r="H3965">
        <v>0</v>
      </c>
    </row>
    <row r="3966" spans="8:8" x14ac:dyDescent="0.2">
      <c r="H3966">
        <v>0</v>
      </c>
    </row>
    <row r="3967" spans="8:8" x14ac:dyDescent="0.2">
      <c r="H3967">
        <v>0</v>
      </c>
    </row>
    <row r="3968" spans="8:8" x14ac:dyDescent="0.2">
      <c r="H3968">
        <v>0</v>
      </c>
    </row>
    <row r="3969" spans="8:8" x14ac:dyDescent="0.2">
      <c r="H3969">
        <v>0</v>
      </c>
    </row>
    <row r="3970" spans="8:8" x14ac:dyDescent="0.2">
      <c r="H3970">
        <v>0</v>
      </c>
    </row>
    <row r="3971" spans="8:8" x14ac:dyDescent="0.2">
      <c r="H3971">
        <v>0</v>
      </c>
    </row>
    <row r="3972" spans="8:8" x14ac:dyDescent="0.2">
      <c r="H3972">
        <v>0</v>
      </c>
    </row>
    <row r="3973" spans="8:8" x14ac:dyDescent="0.2">
      <c r="H3973">
        <v>0</v>
      </c>
    </row>
    <row r="3974" spans="8:8" x14ac:dyDescent="0.2">
      <c r="H3974">
        <v>0</v>
      </c>
    </row>
    <row r="3975" spans="8:8" x14ac:dyDescent="0.2">
      <c r="H3975">
        <v>0</v>
      </c>
    </row>
    <row r="3976" spans="8:8" x14ac:dyDescent="0.2">
      <c r="H3976">
        <v>0</v>
      </c>
    </row>
    <row r="3977" spans="8:8" x14ac:dyDescent="0.2">
      <c r="H3977">
        <v>0</v>
      </c>
    </row>
    <row r="3978" spans="8:8" x14ac:dyDescent="0.2">
      <c r="H3978">
        <v>0</v>
      </c>
    </row>
    <row r="3979" spans="8:8" x14ac:dyDescent="0.2">
      <c r="H3979">
        <v>0</v>
      </c>
    </row>
    <row r="3980" spans="8:8" x14ac:dyDescent="0.2">
      <c r="H3980">
        <v>0</v>
      </c>
    </row>
    <row r="3981" spans="8:8" x14ac:dyDescent="0.2">
      <c r="H3981">
        <v>0</v>
      </c>
    </row>
    <row r="3982" spans="8:8" x14ac:dyDescent="0.2">
      <c r="H3982">
        <v>0</v>
      </c>
    </row>
    <row r="3983" spans="8:8" x14ac:dyDescent="0.2">
      <c r="H3983">
        <v>0</v>
      </c>
    </row>
    <row r="3984" spans="8:8" x14ac:dyDescent="0.2">
      <c r="H3984">
        <v>0</v>
      </c>
    </row>
    <row r="3985" spans="8:8" x14ac:dyDescent="0.2">
      <c r="H3985">
        <v>0</v>
      </c>
    </row>
    <row r="3986" spans="8:8" x14ac:dyDescent="0.2">
      <c r="H3986">
        <v>0</v>
      </c>
    </row>
    <row r="3987" spans="8:8" x14ac:dyDescent="0.2">
      <c r="H3987">
        <v>0</v>
      </c>
    </row>
    <row r="3988" spans="8:8" x14ac:dyDescent="0.2">
      <c r="H3988">
        <v>0</v>
      </c>
    </row>
    <row r="3989" spans="8:8" x14ac:dyDescent="0.2">
      <c r="H3989">
        <v>0</v>
      </c>
    </row>
    <row r="3990" spans="8:8" x14ac:dyDescent="0.2">
      <c r="H3990">
        <v>0</v>
      </c>
    </row>
    <row r="3991" spans="8:8" x14ac:dyDescent="0.2">
      <c r="H3991">
        <v>0</v>
      </c>
    </row>
    <row r="3992" spans="8:8" x14ac:dyDescent="0.2">
      <c r="H3992">
        <v>0</v>
      </c>
    </row>
    <row r="3993" spans="8:8" x14ac:dyDescent="0.2">
      <c r="H3993">
        <v>0</v>
      </c>
    </row>
    <row r="3994" spans="8:8" x14ac:dyDescent="0.2">
      <c r="H3994">
        <v>0</v>
      </c>
    </row>
    <row r="3995" spans="8:8" x14ac:dyDescent="0.2">
      <c r="H3995">
        <v>0</v>
      </c>
    </row>
    <row r="3996" spans="8:8" x14ac:dyDescent="0.2">
      <c r="H3996">
        <v>0</v>
      </c>
    </row>
    <row r="3997" spans="8:8" x14ac:dyDescent="0.2">
      <c r="H3997">
        <v>0</v>
      </c>
    </row>
    <row r="3998" spans="8:8" x14ac:dyDescent="0.2">
      <c r="H3998">
        <v>0</v>
      </c>
    </row>
    <row r="3999" spans="8:8" x14ac:dyDescent="0.2">
      <c r="H3999">
        <v>0</v>
      </c>
    </row>
    <row r="4000" spans="8:8" x14ac:dyDescent="0.2">
      <c r="H4000">
        <v>0</v>
      </c>
    </row>
    <row r="4001" spans="8:8" x14ac:dyDescent="0.2">
      <c r="H4001">
        <v>0</v>
      </c>
    </row>
    <row r="4002" spans="8:8" x14ac:dyDescent="0.2">
      <c r="H4002">
        <v>0</v>
      </c>
    </row>
    <row r="4003" spans="8:8" x14ac:dyDescent="0.2">
      <c r="H4003">
        <v>0</v>
      </c>
    </row>
    <row r="4004" spans="8:8" x14ac:dyDescent="0.2">
      <c r="H4004">
        <v>0</v>
      </c>
    </row>
    <row r="4005" spans="8:8" x14ac:dyDescent="0.2">
      <c r="H4005">
        <v>0</v>
      </c>
    </row>
    <row r="4006" spans="8:8" x14ac:dyDescent="0.2">
      <c r="H4006">
        <v>0</v>
      </c>
    </row>
    <row r="4007" spans="8:8" x14ac:dyDescent="0.2">
      <c r="H4007">
        <v>0</v>
      </c>
    </row>
    <row r="4008" spans="8:8" x14ac:dyDescent="0.2">
      <c r="H4008">
        <v>0</v>
      </c>
    </row>
    <row r="4009" spans="8:8" x14ac:dyDescent="0.2">
      <c r="H4009">
        <v>0</v>
      </c>
    </row>
    <row r="4010" spans="8:8" x14ac:dyDescent="0.2">
      <c r="H4010">
        <v>0</v>
      </c>
    </row>
    <row r="4011" spans="8:8" x14ac:dyDescent="0.2">
      <c r="H4011">
        <v>0</v>
      </c>
    </row>
    <row r="4012" spans="8:8" x14ac:dyDescent="0.2">
      <c r="H4012">
        <v>0</v>
      </c>
    </row>
    <row r="4013" spans="8:8" x14ac:dyDescent="0.2">
      <c r="H4013">
        <v>0</v>
      </c>
    </row>
    <row r="4014" spans="8:8" x14ac:dyDescent="0.2">
      <c r="H4014">
        <v>0</v>
      </c>
    </row>
    <row r="4015" spans="8:8" x14ac:dyDescent="0.2">
      <c r="H4015">
        <v>0</v>
      </c>
    </row>
    <row r="4016" spans="8:8" x14ac:dyDescent="0.2">
      <c r="H4016">
        <v>0</v>
      </c>
    </row>
    <row r="4017" spans="8:8" x14ac:dyDescent="0.2">
      <c r="H4017">
        <v>0</v>
      </c>
    </row>
    <row r="4018" spans="8:8" x14ac:dyDescent="0.2">
      <c r="H4018">
        <v>0</v>
      </c>
    </row>
    <row r="4019" spans="8:8" x14ac:dyDescent="0.2">
      <c r="H4019">
        <v>0</v>
      </c>
    </row>
    <row r="4020" spans="8:8" x14ac:dyDescent="0.2">
      <c r="H4020">
        <v>0</v>
      </c>
    </row>
    <row r="4021" spans="8:8" x14ac:dyDescent="0.2">
      <c r="H4021">
        <v>0</v>
      </c>
    </row>
    <row r="4022" spans="8:8" x14ac:dyDescent="0.2">
      <c r="H4022">
        <v>0</v>
      </c>
    </row>
    <row r="4023" spans="8:8" x14ac:dyDescent="0.2">
      <c r="H4023">
        <v>0</v>
      </c>
    </row>
    <row r="4024" spans="8:8" x14ac:dyDescent="0.2">
      <c r="H4024">
        <v>0</v>
      </c>
    </row>
    <row r="4025" spans="8:8" x14ac:dyDescent="0.2">
      <c r="H4025">
        <v>0</v>
      </c>
    </row>
    <row r="4026" spans="8:8" x14ac:dyDescent="0.2">
      <c r="H4026">
        <v>0</v>
      </c>
    </row>
    <row r="4027" spans="8:8" x14ac:dyDescent="0.2">
      <c r="H4027">
        <v>0</v>
      </c>
    </row>
    <row r="4028" spans="8:8" x14ac:dyDescent="0.2">
      <c r="H4028">
        <v>0</v>
      </c>
    </row>
    <row r="4029" spans="8:8" x14ac:dyDescent="0.2">
      <c r="H4029">
        <v>0</v>
      </c>
    </row>
    <row r="4030" spans="8:8" x14ac:dyDescent="0.2">
      <c r="H4030">
        <v>0</v>
      </c>
    </row>
    <row r="4031" spans="8:8" x14ac:dyDescent="0.2">
      <c r="H4031">
        <v>0</v>
      </c>
    </row>
    <row r="4032" spans="8:8" x14ac:dyDescent="0.2">
      <c r="H4032">
        <v>0</v>
      </c>
    </row>
    <row r="4033" spans="8:8" x14ac:dyDescent="0.2">
      <c r="H4033">
        <v>0</v>
      </c>
    </row>
    <row r="4034" spans="8:8" x14ac:dyDescent="0.2">
      <c r="H4034">
        <v>0</v>
      </c>
    </row>
    <row r="4035" spans="8:8" x14ac:dyDescent="0.2">
      <c r="H4035">
        <v>0</v>
      </c>
    </row>
    <row r="4036" spans="8:8" x14ac:dyDescent="0.2">
      <c r="H4036">
        <v>0</v>
      </c>
    </row>
    <row r="4037" spans="8:8" x14ac:dyDescent="0.2">
      <c r="H4037">
        <v>0</v>
      </c>
    </row>
    <row r="4038" spans="8:8" x14ac:dyDescent="0.2">
      <c r="H4038">
        <v>0</v>
      </c>
    </row>
    <row r="4039" spans="8:8" x14ac:dyDescent="0.2">
      <c r="H4039">
        <v>0</v>
      </c>
    </row>
    <row r="4040" spans="8:8" x14ac:dyDescent="0.2">
      <c r="H4040">
        <v>0</v>
      </c>
    </row>
    <row r="4041" spans="8:8" x14ac:dyDescent="0.2">
      <c r="H4041">
        <v>0</v>
      </c>
    </row>
    <row r="4042" spans="8:8" x14ac:dyDescent="0.2">
      <c r="H4042">
        <v>0</v>
      </c>
    </row>
    <row r="4043" spans="8:8" x14ac:dyDescent="0.2">
      <c r="H4043">
        <v>0</v>
      </c>
    </row>
    <row r="4044" spans="8:8" x14ac:dyDescent="0.2">
      <c r="H4044">
        <v>0</v>
      </c>
    </row>
    <row r="4045" spans="8:8" x14ac:dyDescent="0.2">
      <c r="H4045">
        <v>0</v>
      </c>
    </row>
    <row r="4046" spans="8:8" x14ac:dyDescent="0.2">
      <c r="H4046">
        <v>0</v>
      </c>
    </row>
    <row r="4047" spans="8:8" x14ac:dyDescent="0.2">
      <c r="H4047">
        <v>0</v>
      </c>
    </row>
    <row r="4048" spans="8:8" x14ac:dyDescent="0.2">
      <c r="H4048">
        <v>0</v>
      </c>
    </row>
    <row r="4049" spans="8:8" x14ac:dyDescent="0.2">
      <c r="H4049">
        <v>0</v>
      </c>
    </row>
    <row r="4050" spans="8:8" x14ac:dyDescent="0.2">
      <c r="H4050">
        <v>0</v>
      </c>
    </row>
    <row r="4051" spans="8:8" x14ac:dyDescent="0.2">
      <c r="H4051">
        <v>0</v>
      </c>
    </row>
    <row r="4052" spans="8:8" x14ac:dyDescent="0.2">
      <c r="H4052">
        <v>0</v>
      </c>
    </row>
    <row r="4053" spans="8:8" x14ac:dyDescent="0.2">
      <c r="H4053">
        <v>0</v>
      </c>
    </row>
    <row r="4054" spans="8:8" x14ac:dyDescent="0.2">
      <c r="H4054">
        <v>0</v>
      </c>
    </row>
    <row r="4055" spans="8:8" x14ac:dyDescent="0.2">
      <c r="H4055">
        <v>0</v>
      </c>
    </row>
    <row r="4056" spans="8:8" x14ac:dyDescent="0.2">
      <c r="H4056">
        <v>0</v>
      </c>
    </row>
    <row r="4057" spans="8:8" x14ac:dyDescent="0.2">
      <c r="H4057">
        <v>0</v>
      </c>
    </row>
    <row r="4058" spans="8:8" x14ac:dyDescent="0.2">
      <c r="H4058">
        <v>0</v>
      </c>
    </row>
    <row r="4059" spans="8:8" x14ac:dyDescent="0.2">
      <c r="H4059">
        <v>0</v>
      </c>
    </row>
    <row r="4060" spans="8:8" x14ac:dyDescent="0.2">
      <c r="H4060">
        <v>0</v>
      </c>
    </row>
    <row r="4061" spans="8:8" x14ac:dyDescent="0.2">
      <c r="H4061">
        <v>0</v>
      </c>
    </row>
    <row r="4062" spans="8:8" x14ac:dyDescent="0.2">
      <c r="H4062">
        <v>0</v>
      </c>
    </row>
    <row r="4063" spans="8:8" x14ac:dyDescent="0.2">
      <c r="H4063">
        <v>0</v>
      </c>
    </row>
    <row r="4064" spans="8:8" x14ac:dyDescent="0.2">
      <c r="H4064">
        <v>0</v>
      </c>
    </row>
    <row r="4065" spans="8:8" x14ac:dyDescent="0.2">
      <c r="H4065">
        <v>0</v>
      </c>
    </row>
    <row r="4066" spans="8:8" x14ac:dyDescent="0.2">
      <c r="H4066">
        <v>0</v>
      </c>
    </row>
    <row r="4067" spans="8:8" x14ac:dyDescent="0.2">
      <c r="H4067">
        <v>0</v>
      </c>
    </row>
    <row r="4068" spans="8:8" x14ac:dyDescent="0.2">
      <c r="H4068">
        <v>0</v>
      </c>
    </row>
    <row r="4069" spans="8:8" x14ac:dyDescent="0.2">
      <c r="H4069">
        <v>0</v>
      </c>
    </row>
    <row r="4070" spans="8:8" x14ac:dyDescent="0.2">
      <c r="H4070">
        <v>0</v>
      </c>
    </row>
    <row r="4071" spans="8:8" x14ac:dyDescent="0.2">
      <c r="H4071">
        <v>0</v>
      </c>
    </row>
    <row r="4072" spans="8:8" x14ac:dyDescent="0.2">
      <c r="H4072">
        <v>0</v>
      </c>
    </row>
    <row r="4073" spans="8:8" x14ac:dyDescent="0.2">
      <c r="H4073">
        <v>0</v>
      </c>
    </row>
    <row r="4074" spans="8:8" x14ac:dyDescent="0.2">
      <c r="H4074">
        <v>0</v>
      </c>
    </row>
    <row r="4075" spans="8:8" x14ac:dyDescent="0.2">
      <c r="H4075">
        <v>0</v>
      </c>
    </row>
    <row r="4076" spans="8:8" x14ac:dyDescent="0.2">
      <c r="H4076">
        <v>0</v>
      </c>
    </row>
    <row r="4077" spans="8:8" x14ac:dyDescent="0.2">
      <c r="H4077">
        <v>0</v>
      </c>
    </row>
    <row r="4078" spans="8:8" x14ac:dyDescent="0.2">
      <c r="H4078">
        <v>0</v>
      </c>
    </row>
    <row r="4079" spans="8:8" x14ac:dyDescent="0.2">
      <c r="H4079">
        <v>0</v>
      </c>
    </row>
    <row r="4080" spans="8:8" x14ac:dyDescent="0.2">
      <c r="H4080">
        <v>0</v>
      </c>
    </row>
    <row r="4081" spans="8:8" x14ac:dyDescent="0.2">
      <c r="H4081">
        <v>0</v>
      </c>
    </row>
    <row r="4082" spans="8:8" x14ac:dyDescent="0.2">
      <c r="H4082">
        <v>0</v>
      </c>
    </row>
    <row r="4083" spans="8:8" x14ac:dyDescent="0.2">
      <c r="H4083">
        <v>0</v>
      </c>
    </row>
    <row r="4084" spans="8:8" x14ac:dyDescent="0.2">
      <c r="H4084">
        <v>0</v>
      </c>
    </row>
    <row r="4085" spans="8:8" x14ac:dyDescent="0.2">
      <c r="H4085">
        <v>0</v>
      </c>
    </row>
    <row r="4086" spans="8:8" x14ac:dyDescent="0.2">
      <c r="H4086">
        <v>0</v>
      </c>
    </row>
    <row r="4087" spans="8:8" x14ac:dyDescent="0.2">
      <c r="H4087">
        <v>0</v>
      </c>
    </row>
    <row r="4088" spans="8:8" x14ac:dyDescent="0.2">
      <c r="H4088">
        <v>0</v>
      </c>
    </row>
    <row r="4089" spans="8:8" x14ac:dyDescent="0.2">
      <c r="H4089">
        <v>0</v>
      </c>
    </row>
    <row r="4090" spans="8:8" x14ac:dyDescent="0.2">
      <c r="H4090">
        <v>0</v>
      </c>
    </row>
    <row r="4091" spans="8:8" x14ac:dyDescent="0.2">
      <c r="H4091">
        <v>0</v>
      </c>
    </row>
    <row r="4092" spans="8:8" x14ac:dyDescent="0.2">
      <c r="H4092">
        <v>0</v>
      </c>
    </row>
    <row r="4093" spans="8:8" x14ac:dyDescent="0.2">
      <c r="H4093">
        <v>0</v>
      </c>
    </row>
    <row r="4094" spans="8:8" x14ac:dyDescent="0.2">
      <c r="H4094">
        <v>0</v>
      </c>
    </row>
    <row r="4095" spans="8:8" x14ac:dyDescent="0.2">
      <c r="H4095">
        <v>0</v>
      </c>
    </row>
    <row r="4096" spans="8:8" x14ac:dyDescent="0.2">
      <c r="H4096">
        <v>0</v>
      </c>
    </row>
    <row r="4097" spans="8:8" x14ac:dyDescent="0.2">
      <c r="H4097">
        <v>0</v>
      </c>
    </row>
    <row r="4098" spans="8:8" x14ac:dyDescent="0.2">
      <c r="H4098">
        <v>0</v>
      </c>
    </row>
    <row r="4099" spans="8:8" x14ac:dyDescent="0.2">
      <c r="H4099">
        <v>0</v>
      </c>
    </row>
    <row r="4100" spans="8:8" x14ac:dyDescent="0.2">
      <c r="H4100">
        <v>0</v>
      </c>
    </row>
    <row r="4101" spans="8:8" x14ac:dyDescent="0.2">
      <c r="H4101">
        <v>0</v>
      </c>
    </row>
    <row r="4102" spans="8:8" x14ac:dyDescent="0.2">
      <c r="H4102">
        <v>0</v>
      </c>
    </row>
    <row r="4103" spans="8:8" x14ac:dyDescent="0.2">
      <c r="H4103">
        <v>0</v>
      </c>
    </row>
    <row r="4104" spans="8:8" x14ac:dyDescent="0.2">
      <c r="H4104">
        <v>0</v>
      </c>
    </row>
    <row r="4105" spans="8:8" x14ac:dyDescent="0.2">
      <c r="H4105">
        <v>0</v>
      </c>
    </row>
    <row r="4106" spans="8:8" x14ac:dyDescent="0.2">
      <c r="H4106">
        <v>0</v>
      </c>
    </row>
    <row r="4107" spans="8:8" x14ac:dyDescent="0.2">
      <c r="H4107">
        <v>0</v>
      </c>
    </row>
    <row r="4108" spans="8:8" x14ac:dyDescent="0.2">
      <c r="H4108">
        <v>0</v>
      </c>
    </row>
    <row r="4109" spans="8:8" x14ac:dyDescent="0.2">
      <c r="H4109">
        <v>0</v>
      </c>
    </row>
    <row r="4110" spans="8:8" x14ac:dyDescent="0.2">
      <c r="H4110">
        <v>0</v>
      </c>
    </row>
    <row r="4111" spans="8:8" x14ac:dyDescent="0.2">
      <c r="H4111">
        <v>0</v>
      </c>
    </row>
    <row r="4112" spans="8:8" x14ac:dyDescent="0.2">
      <c r="H4112">
        <v>0</v>
      </c>
    </row>
    <row r="4113" spans="8:8" x14ac:dyDescent="0.2">
      <c r="H4113">
        <v>0</v>
      </c>
    </row>
    <row r="4114" spans="8:8" x14ac:dyDescent="0.2">
      <c r="H4114">
        <v>0</v>
      </c>
    </row>
    <row r="4115" spans="8:8" x14ac:dyDescent="0.2">
      <c r="H4115">
        <v>0</v>
      </c>
    </row>
    <row r="4116" spans="8:8" x14ac:dyDescent="0.2">
      <c r="H4116">
        <v>0</v>
      </c>
    </row>
    <row r="4117" spans="8:8" x14ac:dyDescent="0.2">
      <c r="H4117">
        <v>0</v>
      </c>
    </row>
    <row r="4118" spans="8:8" x14ac:dyDescent="0.2">
      <c r="H4118">
        <v>0</v>
      </c>
    </row>
    <row r="4119" spans="8:8" x14ac:dyDescent="0.2">
      <c r="H4119">
        <v>0</v>
      </c>
    </row>
    <row r="4120" spans="8:8" x14ac:dyDescent="0.2">
      <c r="H4120">
        <v>0</v>
      </c>
    </row>
    <row r="4121" spans="8:8" x14ac:dyDescent="0.2">
      <c r="H4121">
        <v>0</v>
      </c>
    </row>
    <row r="4122" spans="8:8" x14ac:dyDescent="0.2">
      <c r="H4122">
        <v>0</v>
      </c>
    </row>
    <row r="4123" spans="8:8" x14ac:dyDescent="0.2">
      <c r="H4123">
        <v>0</v>
      </c>
    </row>
    <row r="4124" spans="8:8" x14ac:dyDescent="0.2">
      <c r="H4124">
        <v>0</v>
      </c>
    </row>
    <row r="4125" spans="8:8" x14ac:dyDescent="0.2">
      <c r="H4125">
        <v>0</v>
      </c>
    </row>
    <row r="4126" spans="8:8" x14ac:dyDescent="0.2">
      <c r="H4126">
        <v>0</v>
      </c>
    </row>
    <row r="4127" spans="8:8" x14ac:dyDescent="0.2">
      <c r="H4127">
        <v>0</v>
      </c>
    </row>
    <row r="4128" spans="8:8" x14ac:dyDescent="0.2">
      <c r="H4128">
        <v>0</v>
      </c>
    </row>
    <row r="4129" spans="8:8" x14ac:dyDescent="0.2">
      <c r="H4129">
        <v>0</v>
      </c>
    </row>
    <row r="4130" spans="8:8" x14ac:dyDescent="0.2">
      <c r="H4130">
        <v>0</v>
      </c>
    </row>
    <row r="4131" spans="8:8" x14ac:dyDescent="0.2">
      <c r="H4131">
        <v>0</v>
      </c>
    </row>
    <row r="4132" spans="8:8" x14ac:dyDescent="0.2">
      <c r="H4132">
        <v>0</v>
      </c>
    </row>
    <row r="4133" spans="8:8" x14ac:dyDescent="0.2">
      <c r="H4133">
        <v>0</v>
      </c>
    </row>
    <row r="4134" spans="8:8" x14ac:dyDescent="0.2">
      <c r="H4134">
        <v>0</v>
      </c>
    </row>
    <row r="4135" spans="8:8" x14ac:dyDescent="0.2">
      <c r="H4135">
        <v>0</v>
      </c>
    </row>
    <row r="4136" spans="8:8" x14ac:dyDescent="0.2">
      <c r="H4136">
        <v>0</v>
      </c>
    </row>
    <row r="4137" spans="8:8" x14ac:dyDescent="0.2">
      <c r="H4137">
        <v>0</v>
      </c>
    </row>
    <row r="4138" spans="8:8" x14ac:dyDescent="0.2">
      <c r="H4138">
        <v>0</v>
      </c>
    </row>
    <row r="4139" spans="8:8" x14ac:dyDescent="0.2">
      <c r="H4139">
        <v>0</v>
      </c>
    </row>
    <row r="4140" spans="8:8" x14ac:dyDescent="0.2">
      <c r="H4140">
        <v>0</v>
      </c>
    </row>
    <row r="4141" spans="8:8" x14ac:dyDescent="0.2">
      <c r="H4141">
        <v>0</v>
      </c>
    </row>
    <row r="4142" spans="8:8" x14ac:dyDescent="0.2">
      <c r="H4142">
        <v>0</v>
      </c>
    </row>
    <row r="4143" spans="8:8" x14ac:dyDescent="0.2">
      <c r="H4143">
        <v>0</v>
      </c>
    </row>
    <row r="4144" spans="8:8" x14ac:dyDescent="0.2">
      <c r="H4144">
        <v>0</v>
      </c>
    </row>
    <row r="4145" spans="8:8" x14ac:dyDescent="0.2">
      <c r="H4145">
        <v>0</v>
      </c>
    </row>
    <row r="4146" spans="8:8" x14ac:dyDescent="0.2">
      <c r="H4146">
        <v>0</v>
      </c>
    </row>
    <row r="4147" spans="8:8" x14ac:dyDescent="0.2">
      <c r="H4147">
        <v>0</v>
      </c>
    </row>
    <row r="4148" spans="8:8" x14ac:dyDescent="0.2">
      <c r="H4148">
        <v>0</v>
      </c>
    </row>
    <row r="4149" spans="8:8" x14ac:dyDescent="0.2">
      <c r="H4149">
        <v>0</v>
      </c>
    </row>
    <row r="4150" spans="8:8" x14ac:dyDescent="0.2">
      <c r="H4150">
        <v>0</v>
      </c>
    </row>
    <row r="4151" spans="8:8" x14ac:dyDescent="0.2">
      <c r="H4151">
        <v>0</v>
      </c>
    </row>
    <row r="4152" spans="8:8" x14ac:dyDescent="0.2">
      <c r="H4152">
        <v>0</v>
      </c>
    </row>
    <row r="4153" spans="8:8" x14ac:dyDescent="0.2">
      <c r="H4153">
        <v>0</v>
      </c>
    </row>
    <row r="4154" spans="8:8" x14ac:dyDescent="0.2">
      <c r="H4154">
        <v>0</v>
      </c>
    </row>
    <row r="4155" spans="8:8" x14ac:dyDescent="0.2">
      <c r="H4155">
        <v>0</v>
      </c>
    </row>
    <row r="4156" spans="8:8" x14ac:dyDescent="0.2">
      <c r="H4156">
        <v>0</v>
      </c>
    </row>
    <row r="4157" spans="8:8" x14ac:dyDescent="0.2">
      <c r="H4157">
        <v>0</v>
      </c>
    </row>
    <row r="4158" spans="8:8" x14ac:dyDescent="0.2">
      <c r="H4158">
        <v>0</v>
      </c>
    </row>
    <row r="4159" spans="8:8" x14ac:dyDescent="0.2">
      <c r="H4159">
        <v>0</v>
      </c>
    </row>
    <row r="4160" spans="8:8" x14ac:dyDescent="0.2">
      <c r="H4160">
        <v>0</v>
      </c>
    </row>
    <row r="4161" spans="8:8" x14ac:dyDescent="0.2">
      <c r="H4161">
        <v>0</v>
      </c>
    </row>
    <row r="4162" spans="8:8" x14ac:dyDescent="0.2">
      <c r="H4162">
        <v>0</v>
      </c>
    </row>
    <row r="4163" spans="8:8" x14ac:dyDescent="0.2">
      <c r="H4163">
        <v>0</v>
      </c>
    </row>
    <row r="4164" spans="8:8" x14ac:dyDescent="0.2">
      <c r="H4164">
        <v>0</v>
      </c>
    </row>
    <row r="4165" spans="8:8" x14ac:dyDescent="0.2">
      <c r="H4165">
        <v>0</v>
      </c>
    </row>
    <row r="4166" spans="8:8" x14ac:dyDescent="0.2">
      <c r="H4166">
        <v>0</v>
      </c>
    </row>
    <row r="4167" spans="8:8" x14ac:dyDescent="0.2">
      <c r="H4167">
        <v>0</v>
      </c>
    </row>
    <row r="4168" spans="8:8" x14ac:dyDescent="0.2">
      <c r="H4168">
        <v>0</v>
      </c>
    </row>
    <row r="4169" spans="8:8" x14ac:dyDescent="0.2">
      <c r="H4169">
        <v>0</v>
      </c>
    </row>
    <row r="4170" spans="8:8" x14ac:dyDescent="0.2">
      <c r="H4170">
        <v>0</v>
      </c>
    </row>
    <row r="4171" spans="8:8" x14ac:dyDescent="0.2">
      <c r="H4171">
        <v>0</v>
      </c>
    </row>
    <row r="4172" spans="8:8" x14ac:dyDescent="0.2">
      <c r="H4172">
        <v>0</v>
      </c>
    </row>
    <row r="4173" spans="8:8" x14ac:dyDescent="0.2">
      <c r="H4173">
        <v>0</v>
      </c>
    </row>
    <row r="4174" spans="8:8" x14ac:dyDescent="0.2">
      <c r="H4174">
        <v>0</v>
      </c>
    </row>
    <row r="4175" spans="8:8" x14ac:dyDescent="0.2">
      <c r="H4175">
        <v>0</v>
      </c>
    </row>
    <row r="4176" spans="8:8" x14ac:dyDescent="0.2">
      <c r="H4176">
        <v>0</v>
      </c>
    </row>
    <row r="4177" spans="8:8" x14ac:dyDescent="0.2">
      <c r="H4177">
        <v>0</v>
      </c>
    </row>
    <row r="4178" spans="8:8" x14ac:dyDescent="0.2">
      <c r="H4178">
        <v>0</v>
      </c>
    </row>
    <row r="4179" spans="8:8" x14ac:dyDescent="0.2">
      <c r="H4179">
        <v>0</v>
      </c>
    </row>
    <row r="4180" spans="8:8" x14ac:dyDescent="0.2">
      <c r="H4180">
        <v>0</v>
      </c>
    </row>
    <row r="4181" spans="8:8" x14ac:dyDescent="0.2">
      <c r="H4181">
        <v>0</v>
      </c>
    </row>
    <row r="4182" spans="8:8" x14ac:dyDescent="0.2">
      <c r="H4182">
        <v>0</v>
      </c>
    </row>
    <row r="4183" spans="8:8" x14ac:dyDescent="0.2">
      <c r="H4183">
        <v>0</v>
      </c>
    </row>
    <row r="4184" spans="8:8" x14ac:dyDescent="0.2">
      <c r="H4184">
        <v>0</v>
      </c>
    </row>
    <row r="4185" spans="8:8" x14ac:dyDescent="0.2">
      <c r="H4185">
        <v>0</v>
      </c>
    </row>
    <row r="4186" spans="8:8" x14ac:dyDescent="0.2">
      <c r="H4186">
        <v>0</v>
      </c>
    </row>
    <row r="4187" spans="8:8" x14ac:dyDescent="0.2">
      <c r="H4187">
        <v>0</v>
      </c>
    </row>
    <row r="4188" spans="8:8" x14ac:dyDescent="0.2">
      <c r="H4188">
        <v>0</v>
      </c>
    </row>
    <row r="4189" spans="8:8" x14ac:dyDescent="0.2">
      <c r="H4189">
        <v>0</v>
      </c>
    </row>
    <row r="4190" spans="8:8" x14ac:dyDescent="0.2">
      <c r="H4190">
        <v>0</v>
      </c>
    </row>
    <row r="4191" spans="8:8" x14ac:dyDescent="0.2">
      <c r="H4191">
        <v>0</v>
      </c>
    </row>
    <row r="4192" spans="8:8" x14ac:dyDescent="0.2">
      <c r="H4192">
        <v>0</v>
      </c>
    </row>
    <row r="4193" spans="8:8" x14ac:dyDescent="0.2">
      <c r="H4193">
        <v>0</v>
      </c>
    </row>
    <row r="4194" spans="8:8" x14ac:dyDescent="0.2">
      <c r="H4194">
        <v>0</v>
      </c>
    </row>
    <row r="4195" spans="8:8" x14ac:dyDescent="0.2">
      <c r="H4195">
        <v>0</v>
      </c>
    </row>
    <row r="4196" spans="8:8" x14ac:dyDescent="0.2">
      <c r="H4196">
        <v>0</v>
      </c>
    </row>
    <row r="4197" spans="8:8" x14ac:dyDescent="0.2">
      <c r="H4197">
        <v>0</v>
      </c>
    </row>
    <row r="4198" spans="8:8" x14ac:dyDescent="0.2">
      <c r="H4198">
        <v>0</v>
      </c>
    </row>
    <row r="4199" spans="8:8" x14ac:dyDescent="0.2">
      <c r="H4199">
        <v>0</v>
      </c>
    </row>
    <row r="4200" spans="8:8" x14ac:dyDescent="0.2">
      <c r="H4200">
        <v>0</v>
      </c>
    </row>
    <row r="4201" spans="8:8" x14ac:dyDescent="0.2">
      <c r="H4201">
        <v>0</v>
      </c>
    </row>
    <row r="4202" spans="8:8" x14ac:dyDescent="0.2">
      <c r="H4202">
        <v>0</v>
      </c>
    </row>
    <row r="4203" spans="8:8" x14ac:dyDescent="0.2">
      <c r="H4203">
        <v>0</v>
      </c>
    </row>
    <row r="4204" spans="8:8" x14ac:dyDescent="0.2">
      <c r="H4204">
        <v>0</v>
      </c>
    </row>
    <row r="4205" spans="8:8" x14ac:dyDescent="0.2">
      <c r="H4205">
        <v>0</v>
      </c>
    </row>
    <row r="4206" spans="8:8" x14ac:dyDescent="0.2">
      <c r="H4206">
        <v>0</v>
      </c>
    </row>
    <row r="4207" spans="8:8" x14ac:dyDescent="0.2">
      <c r="H4207">
        <v>0</v>
      </c>
    </row>
    <row r="4208" spans="8:8" x14ac:dyDescent="0.2">
      <c r="H4208">
        <v>0</v>
      </c>
    </row>
    <row r="4209" spans="8:8" x14ac:dyDescent="0.2">
      <c r="H4209">
        <v>0</v>
      </c>
    </row>
    <row r="4210" spans="8:8" x14ac:dyDescent="0.2">
      <c r="H4210">
        <v>0</v>
      </c>
    </row>
    <row r="4211" spans="8:8" x14ac:dyDescent="0.2">
      <c r="H4211">
        <v>0</v>
      </c>
    </row>
    <row r="4212" spans="8:8" x14ac:dyDescent="0.2">
      <c r="H4212">
        <v>0</v>
      </c>
    </row>
    <row r="4213" spans="8:8" x14ac:dyDescent="0.2">
      <c r="H4213">
        <v>0</v>
      </c>
    </row>
    <row r="4214" spans="8:8" x14ac:dyDescent="0.2">
      <c r="H4214">
        <v>0</v>
      </c>
    </row>
    <row r="4215" spans="8:8" x14ac:dyDescent="0.2">
      <c r="H4215">
        <v>0</v>
      </c>
    </row>
    <row r="4216" spans="8:8" x14ac:dyDescent="0.2">
      <c r="H4216">
        <v>0</v>
      </c>
    </row>
    <row r="4217" spans="8:8" x14ac:dyDescent="0.2">
      <c r="H4217">
        <v>0</v>
      </c>
    </row>
    <row r="4218" spans="8:8" x14ac:dyDescent="0.2">
      <c r="H4218">
        <v>0</v>
      </c>
    </row>
    <row r="4219" spans="8:8" x14ac:dyDescent="0.2">
      <c r="H4219">
        <v>0</v>
      </c>
    </row>
    <row r="4220" spans="8:8" x14ac:dyDescent="0.2">
      <c r="H4220">
        <v>0</v>
      </c>
    </row>
    <row r="4221" spans="8:8" x14ac:dyDescent="0.2">
      <c r="H4221">
        <v>0</v>
      </c>
    </row>
    <row r="4222" spans="8:8" x14ac:dyDescent="0.2">
      <c r="H4222">
        <v>0</v>
      </c>
    </row>
    <row r="4223" spans="8:8" x14ac:dyDescent="0.2">
      <c r="H4223">
        <v>0</v>
      </c>
    </row>
    <row r="4224" spans="8:8" x14ac:dyDescent="0.2">
      <c r="H4224">
        <v>0</v>
      </c>
    </row>
    <row r="4225" spans="8:8" x14ac:dyDescent="0.2">
      <c r="H4225">
        <v>0</v>
      </c>
    </row>
    <row r="4226" spans="8:8" x14ac:dyDescent="0.2">
      <c r="H4226">
        <v>0</v>
      </c>
    </row>
    <row r="4227" spans="8:8" x14ac:dyDescent="0.2">
      <c r="H4227">
        <v>0</v>
      </c>
    </row>
    <row r="4228" spans="8:8" x14ac:dyDescent="0.2">
      <c r="H4228">
        <v>0</v>
      </c>
    </row>
    <row r="4229" spans="8:8" x14ac:dyDescent="0.2">
      <c r="H4229">
        <v>0</v>
      </c>
    </row>
    <row r="4230" spans="8:8" x14ac:dyDescent="0.2">
      <c r="H4230">
        <v>0</v>
      </c>
    </row>
    <row r="4231" spans="8:8" x14ac:dyDescent="0.2">
      <c r="H4231">
        <v>0</v>
      </c>
    </row>
    <row r="4232" spans="8:8" x14ac:dyDescent="0.2">
      <c r="H4232">
        <v>0</v>
      </c>
    </row>
    <row r="4233" spans="8:8" x14ac:dyDescent="0.2">
      <c r="H4233">
        <v>0</v>
      </c>
    </row>
    <row r="4234" spans="8:8" x14ac:dyDescent="0.2">
      <c r="H4234">
        <v>0</v>
      </c>
    </row>
    <row r="4235" spans="8:8" x14ac:dyDescent="0.2">
      <c r="H4235">
        <v>0</v>
      </c>
    </row>
    <row r="4236" spans="8:8" x14ac:dyDescent="0.2">
      <c r="H4236">
        <v>0</v>
      </c>
    </row>
    <row r="4237" spans="8:8" x14ac:dyDescent="0.2">
      <c r="H4237">
        <v>0</v>
      </c>
    </row>
    <row r="4238" spans="8:8" x14ac:dyDescent="0.2">
      <c r="H4238">
        <v>0</v>
      </c>
    </row>
    <row r="4239" spans="8:8" x14ac:dyDescent="0.2">
      <c r="H4239">
        <v>0</v>
      </c>
    </row>
    <row r="4240" spans="8:8" x14ac:dyDescent="0.2">
      <c r="H4240">
        <v>0</v>
      </c>
    </row>
    <row r="4241" spans="8:8" x14ac:dyDescent="0.2">
      <c r="H4241">
        <v>0</v>
      </c>
    </row>
    <row r="4242" spans="8:8" x14ac:dyDescent="0.2">
      <c r="H4242">
        <v>0</v>
      </c>
    </row>
    <row r="4243" spans="8:8" x14ac:dyDescent="0.2">
      <c r="H4243">
        <v>0</v>
      </c>
    </row>
    <row r="4244" spans="8:8" x14ac:dyDescent="0.2">
      <c r="H4244">
        <v>0</v>
      </c>
    </row>
    <row r="4245" spans="8:8" x14ac:dyDescent="0.2">
      <c r="H4245">
        <v>0</v>
      </c>
    </row>
    <row r="4246" spans="8:8" x14ac:dyDescent="0.2">
      <c r="H4246">
        <v>0</v>
      </c>
    </row>
    <row r="4247" spans="8:8" x14ac:dyDescent="0.2">
      <c r="H4247">
        <v>0</v>
      </c>
    </row>
    <row r="4248" spans="8:8" x14ac:dyDescent="0.2">
      <c r="H4248">
        <v>0</v>
      </c>
    </row>
    <row r="4249" spans="8:8" x14ac:dyDescent="0.2">
      <c r="H4249">
        <v>0</v>
      </c>
    </row>
    <row r="4250" spans="8:8" x14ac:dyDescent="0.2">
      <c r="H4250">
        <v>0</v>
      </c>
    </row>
    <row r="4251" spans="8:8" x14ac:dyDescent="0.2">
      <c r="H4251">
        <v>0</v>
      </c>
    </row>
    <row r="4252" spans="8:8" x14ac:dyDescent="0.2">
      <c r="H4252">
        <v>0</v>
      </c>
    </row>
    <row r="4253" spans="8:8" x14ac:dyDescent="0.2">
      <c r="H4253">
        <v>0</v>
      </c>
    </row>
    <row r="4254" spans="8:8" x14ac:dyDescent="0.2">
      <c r="H4254">
        <v>0</v>
      </c>
    </row>
    <row r="4255" spans="8:8" x14ac:dyDescent="0.2">
      <c r="H4255">
        <v>0</v>
      </c>
    </row>
    <row r="4256" spans="8:8" x14ac:dyDescent="0.2">
      <c r="H4256">
        <v>0</v>
      </c>
    </row>
    <row r="4257" spans="8:8" x14ac:dyDescent="0.2">
      <c r="H4257">
        <v>0</v>
      </c>
    </row>
    <row r="4258" spans="8:8" x14ac:dyDescent="0.2">
      <c r="H4258">
        <v>0</v>
      </c>
    </row>
    <row r="4259" spans="8:8" x14ac:dyDescent="0.2">
      <c r="H4259">
        <v>0</v>
      </c>
    </row>
    <row r="4260" spans="8:8" x14ac:dyDescent="0.2">
      <c r="H4260">
        <v>0</v>
      </c>
    </row>
    <row r="4261" spans="8:8" x14ac:dyDescent="0.2">
      <c r="H4261">
        <v>0</v>
      </c>
    </row>
    <row r="4262" spans="8:8" x14ac:dyDescent="0.2">
      <c r="H4262">
        <v>0</v>
      </c>
    </row>
    <row r="4263" spans="8:8" x14ac:dyDescent="0.2">
      <c r="H4263">
        <v>0</v>
      </c>
    </row>
    <row r="4264" spans="8:8" x14ac:dyDescent="0.2">
      <c r="H4264">
        <v>0</v>
      </c>
    </row>
    <row r="4265" spans="8:8" x14ac:dyDescent="0.2">
      <c r="H4265">
        <v>0</v>
      </c>
    </row>
    <row r="4266" spans="8:8" x14ac:dyDescent="0.2">
      <c r="H4266">
        <v>0</v>
      </c>
    </row>
    <row r="4267" spans="8:8" x14ac:dyDescent="0.2">
      <c r="H4267">
        <v>0</v>
      </c>
    </row>
    <row r="4268" spans="8:8" x14ac:dyDescent="0.2">
      <c r="H4268">
        <v>0</v>
      </c>
    </row>
    <row r="4269" spans="8:8" x14ac:dyDescent="0.2">
      <c r="H4269">
        <v>0</v>
      </c>
    </row>
    <row r="4270" spans="8:8" x14ac:dyDescent="0.2">
      <c r="H4270">
        <v>0</v>
      </c>
    </row>
    <row r="4271" spans="8:8" x14ac:dyDescent="0.2">
      <c r="H4271">
        <v>0</v>
      </c>
    </row>
    <row r="4272" spans="8:8" x14ac:dyDescent="0.2">
      <c r="H4272">
        <v>0</v>
      </c>
    </row>
    <row r="4273" spans="8:8" x14ac:dyDescent="0.2">
      <c r="H4273">
        <v>0</v>
      </c>
    </row>
    <row r="4274" spans="8:8" x14ac:dyDescent="0.2">
      <c r="H4274">
        <v>0</v>
      </c>
    </row>
    <row r="4275" spans="8:8" x14ac:dyDescent="0.2">
      <c r="H4275">
        <v>0</v>
      </c>
    </row>
    <row r="4276" spans="8:8" x14ac:dyDescent="0.2">
      <c r="H4276">
        <v>0</v>
      </c>
    </row>
    <row r="4277" spans="8:8" x14ac:dyDescent="0.2">
      <c r="H4277">
        <v>0</v>
      </c>
    </row>
    <row r="4278" spans="8:8" x14ac:dyDescent="0.2">
      <c r="H4278">
        <v>0</v>
      </c>
    </row>
    <row r="4279" spans="8:8" x14ac:dyDescent="0.2">
      <c r="H4279">
        <v>0</v>
      </c>
    </row>
    <row r="4280" spans="8:8" x14ac:dyDescent="0.2">
      <c r="H4280">
        <v>0</v>
      </c>
    </row>
    <row r="4281" spans="8:8" x14ac:dyDescent="0.2">
      <c r="H4281">
        <v>0</v>
      </c>
    </row>
    <row r="4282" spans="8:8" x14ac:dyDescent="0.2">
      <c r="H4282">
        <v>0</v>
      </c>
    </row>
    <row r="4283" spans="8:8" x14ac:dyDescent="0.2">
      <c r="H4283">
        <v>0</v>
      </c>
    </row>
    <row r="4284" spans="8:8" x14ac:dyDescent="0.2">
      <c r="H4284">
        <v>0</v>
      </c>
    </row>
    <row r="4285" spans="8:8" x14ac:dyDescent="0.2">
      <c r="H4285">
        <v>0</v>
      </c>
    </row>
    <row r="4286" spans="8:8" x14ac:dyDescent="0.2">
      <c r="H4286">
        <v>0</v>
      </c>
    </row>
    <row r="4287" spans="8:8" x14ac:dyDescent="0.2">
      <c r="H4287">
        <v>0</v>
      </c>
    </row>
    <row r="4288" spans="8:8" x14ac:dyDescent="0.2">
      <c r="H4288">
        <v>0</v>
      </c>
    </row>
    <row r="4289" spans="8:8" x14ac:dyDescent="0.2">
      <c r="H4289">
        <v>0</v>
      </c>
    </row>
    <row r="4290" spans="8:8" x14ac:dyDescent="0.2">
      <c r="H4290">
        <v>0</v>
      </c>
    </row>
    <row r="4291" spans="8:8" x14ac:dyDescent="0.2">
      <c r="H4291">
        <v>0</v>
      </c>
    </row>
    <row r="4292" spans="8:8" x14ac:dyDescent="0.2">
      <c r="H4292">
        <v>0</v>
      </c>
    </row>
    <row r="4293" spans="8:8" x14ac:dyDescent="0.2">
      <c r="H4293">
        <v>0</v>
      </c>
    </row>
    <row r="4294" spans="8:8" x14ac:dyDescent="0.2">
      <c r="H4294">
        <v>0</v>
      </c>
    </row>
    <row r="4295" spans="8:8" x14ac:dyDescent="0.2">
      <c r="H4295">
        <v>0</v>
      </c>
    </row>
    <row r="4296" spans="8:8" x14ac:dyDescent="0.2">
      <c r="H4296">
        <v>0</v>
      </c>
    </row>
    <row r="4297" spans="8:8" x14ac:dyDescent="0.2">
      <c r="H4297">
        <v>0</v>
      </c>
    </row>
    <row r="4298" spans="8:8" x14ac:dyDescent="0.2">
      <c r="H4298">
        <v>0</v>
      </c>
    </row>
    <row r="4299" spans="8:8" x14ac:dyDescent="0.2">
      <c r="H4299">
        <v>0</v>
      </c>
    </row>
    <row r="4300" spans="8:8" x14ac:dyDescent="0.2">
      <c r="H4300">
        <v>0</v>
      </c>
    </row>
    <row r="4301" spans="8:8" x14ac:dyDescent="0.2">
      <c r="H4301">
        <v>0</v>
      </c>
    </row>
    <row r="4302" spans="8:8" x14ac:dyDescent="0.2">
      <c r="H4302">
        <v>0</v>
      </c>
    </row>
    <row r="4303" spans="8:8" x14ac:dyDescent="0.2">
      <c r="H4303">
        <v>0</v>
      </c>
    </row>
    <row r="4304" spans="8:8" x14ac:dyDescent="0.2">
      <c r="H4304">
        <v>0</v>
      </c>
    </row>
    <row r="4305" spans="8:8" x14ac:dyDescent="0.2">
      <c r="H4305">
        <v>0</v>
      </c>
    </row>
    <row r="4306" spans="8:8" x14ac:dyDescent="0.2">
      <c r="H4306">
        <v>0</v>
      </c>
    </row>
    <row r="4307" spans="8:8" x14ac:dyDescent="0.2">
      <c r="H4307">
        <v>0</v>
      </c>
    </row>
    <row r="4308" spans="8:8" x14ac:dyDescent="0.2">
      <c r="H4308">
        <v>0</v>
      </c>
    </row>
    <row r="4309" spans="8:8" x14ac:dyDescent="0.2">
      <c r="H4309">
        <v>0</v>
      </c>
    </row>
    <row r="4310" spans="8:8" x14ac:dyDescent="0.2">
      <c r="H4310">
        <v>0</v>
      </c>
    </row>
    <row r="4311" spans="8:8" x14ac:dyDescent="0.2">
      <c r="H4311">
        <v>0</v>
      </c>
    </row>
    <row r="4312" spans="8:8" x14ac:dyDescent="0.2">
      <c r="H4312">
        <v>0</v>
      </c>
    </row>
    <row r="4313" spans="8:8" x14ac:dyDescent="0.2">
      <c r="H4313">
        <v>0</v>
      </c>
    </row>
    <row r="4314" spans="8:8" x14ac:dyDescent="0.2">
      <c r="H4314">
        <v>0</v>
      </c>
    </row>
    <row r="4315" spans="8:8" x14ac:dyDescent="0.2">
      <c r="H4315">
        <v>0</v>
      </c>
    </row>
    <row r="4316" spans="8:8" x14ac:dyDescent="0.2">
      <c r="H4316">
        <v>0</v>
      </c>
    </row>
    <row r="4317" spans="8:8" x14ac:dyDescent="0.2">
      <c r="H4317">
        <v>0</v>
      </c>
    </row>
    <row r="4318" spans="8:8" x14ac:dyDescent="0.2">
      <c r="H4318">
        <v>0</v>
      </c>
    </row>
    <row r="4319" spans="8:8" x14ac:dyDescent="0.2">
      <c r="H4319">
        <v>0</v>
      </c>
    </row>
    <row r="4320" spans="8:8" x14ac:dyDescent="0.2">
      <c r="H4320">
        <v>0</v>
      </c>
    </row>
    <row r="4321" spans="8:8" x14ac:dyDescent="0.2">
      <c r="H4321">
        <v>0</v>
      </c>
    </row>
    <row r="4322" spans="8:8" x14ac:dyDescent="0.2">
      <c r="H4322">
        <v>0</v>
      </c>
    </row>
    <row r="4323" spans="8:8" x14ac:dyDescent="0.2">
      <c r="H4323">
        <v>0</v>
      </c>
    </row>
    <row r="4324" spans="8:8" x14ac:dyDescent="0.2">
      <c r="H4324">
        <v>0</v>
      </c>
    </row>
    <row r="4325" spans="8:8" x14ac:dyDescent="0.2">
      <c r="H4325">
        <v>0</v>
      </c>
    </row>
    <row r="4326" spans="8:8" x14ac:dyDescent="0.2">
      <c r="H4326">
        <v>0</v>
      </c>
    </row>
    <row r="4327" spans="8:8" x14ac:dyDescent="0.2">
      <c r="H4327">
        <v>0</v>
      </c>
    </row>
    <row r="4328" spans="8:8" x14ac:dyDescent="0.2">
      <c r="H4328">
        <v>0</v>
      </c>
    </row>
    <row r="4329" spans="8:8" x14ac:dyDescent="0.2">
      <c r="H4329">
        <v>0</v>
      </c>
    </row>
    <row r="4330" spans="8:8" x14ac:dyDescent="0.2">
      <c r="H4330">
        <v>0</v>
      </c>
    </row>
    <row r="4331" spans="8:8" x14ac:dyDescent="0.2">
      <c r="H4331">
        <v>0</v>
      </c>
    </row>
    <row r="4332" spans="8:8" x14ac:dyDescent="0.2">
      <c r="H4332">
        <v>0</v>
      </c>
    </row>
    <row r="4333" spans="8:8" x14ac:dyDescent="0.2">
      <c r="H4333">
        <v>0</v>
      </c>
    </row>
    <row r="4334" spans="8:8" x14ac:dyDescent="0.2">
      <c r="H4334">
        <v>0</v>
      </c>
    </row>
    <row r="4335" spans="8:8" x14ac:dyDescent="0.2">
      <c r="H4335">
        <v>0</v>
      </c>
    </row>
    <row r="4336" spans="8:8" x14ac:dyDescent="0.2">
      <c r="H4336">
        <v>0</v>
      </c>
    </row>
    <row r="4337" spans="8:8" x14ac:dyDescent="0.2">
      <c r="H4337">
        <v>0</v>
      </c>
    </row>
    <row r="4338" spans="8:8" x14ac:dyDescent="0.2">
      <c r="H4338">
        <v>0</v>
      </c>
    </row>
    <row r="4339" spans="8:8" x14ac:dyDescent="0.2">
      <c r="H4339">
        <v>0</v>
      </c>
    </row>
    <row r="4340" spans="8:8" x14ac:dyDescent="0.2">
      <c r="H4340">
        <v>0</v>
      </c>
    </row>
    <row r="4341" spans="8:8" x14ac:dyDescent="0.2">
      <c r="H4341">
        <v>0</v>
      </c>
    </row>
    <row r="4342" spans="8:8" x14ac:dyDescent="0.2">
      <c r="H4342">
        <v>0</v>
      </c>
    </row>
    <row r="4343" spans="8:8" x14ac:dyDescent="0.2">
      <c r="H4343">
        <v>0</v>
      </c>
    </row>
    <row r="4344" spans="8:8" x14ac:dyDescent="0.2">
      <c r="H4344">
        <v>0</v>
      </c>
    </row>
    <row r="4345" spans="8:8" x14ac:dyDescent="0.2">
      <c r="H4345">
        <v>0</v>
      </c>
    </row>
    <row r="4346" spans="8:8" x14ac:dyDescent="0.2">
      <c r="H4346">
        <v>0</v>
      </c>
    </row>
    <row r="4347" spans="8:8" x14ac:dyDescent="0.2">
      <c r="H4347">
        <v>0</v>
      </c>
    </row>
    <row r="4348" spans="8:8" x14ac:dyDescent="0.2">
      <c r="H4348">
        <v>0</v>
      </c>
    </row>
    <row r="4349" spans="8:8" x14ac:dyDescent="0.2">
      <c r="H4349">
        <v>0</v>
      </c>
    </row>
    <row r="4350" spans="8:8" x14ac:dyDescent="0.2">
      <c r="H4350">
        <v>0</v>
      </c>
    </row>
    <row r="4351" spans="8:8" x14ac:dyDescent="0.2">
      <c r="H4351">
        <v>0</v>
      </c>
    </row>
    <row r="4352" spans="8:8" x14ac:dyDescent="0.2">
      <c r="H4352">
        <v>0</v>
      </c>
    </row>
    <row r="4353" spans="8:8" x14ac:dyDescent="0.2">
      <c r="H4353">
        <v>0</v>
      </c>
    </row>
    <row r="4354" spans="8:8" x14ac:dyDescent="0.2">
      <c r="H4354">
        <v>0</v>
      </c>
    </row>
    <row r="4355" spans="8:8" x14ac:dyDescent="0.2">
      <c r="H4355">
        <v>0</v>
      </c>
    </row>
    <row r="4356" spans="8:8" x14ac:dyDescent="0.2">
      <c r="H4356">
        <v>0</v>
      </c>
    </row>
    <row r="4357" spans="8:8" x14ac:dyDescent="0.2">
      <c r="H4357">
        <v>0</v>
      </c>
    </row>
    <row r="4358" spans="8:8" x14ac:dyDescent="0.2">
      <c r="H4358">
        <v>0</v>
      </c>
    </row>
    <row r="4359" spans="8:8" x14ac:dyDescent="0.2">
      <c r="H4359">
        <v>0</v>
      </c>
    </row>
    <row r="4360" spans="8:8" x14ac:dyDescent="0.2">
      <c r="H4360">
        <v>0</v>
      </c>
    </row>
    <row r="4361" spans="8:8" x14ac:dyDescent="0.2">
      <c r="H4361">
        <v>0</v>
      </c>
    </row>
    <row r="4362" spans="8:8" x14ac:dyDescent="0.2">
      <c r="H4362">
        <v>0</v>
      </c>
    </row>
    <row r="4363" spans="8:8" x14ac:dyDescent="0.2">
      <c r="H4363">
        <v>0</v>
      </c>
    </row>
    <row r="4364" spans="8:8" x14ac:dyDescent="0.2">
      <c r="H4364">
        <v>0</v>
      </c>
    </row>
    <row r="4365" spans="8:8" x14ac:dyDescent="0.2">
      <c r="H4365">
        <v>0</v>
      </c>
    </row>
    <row r="4366" spans="8:8" x14ac:dyDescent="0.2">
      <c r="H4366">
        <v>0</v>
      </c>
    </row>
    <row r="4367" spans="8:8" x14ac:dyDescent="0.2">
      <c r="H4367">
        <v>0</v>
      </c>
    </row>
    <row r="4368" spans="8:8" x14ac:dyDescent="0.2">
      <c r="H4368">
        <v>0</v>
      </c>
    </row>
    <row r="4369" spans="8:8" x14ac:dyDescent="0.2">
      <c r="H4369">
        <v>0</v>
      </c>
    </row>
    <row r="4370" spans="8:8" x14ac:dyDescent="0.2">
      <c r="H4370">
        <v>0</v>
      </c>
    </row>
    <row r="4371" spans="8:8" x14ac:dyDescent="0.2">
      <c r="H4371">
        <v>0</v>
      </c>
    </row>
    <row r="4372" spans="8:8" x14ac:dyDescent="0.2">
      <c r="H4372">
        <v>0</v>
      </c>
    </row>
    <row r="4373" spans="8:8" x14ac:dyDescent="0.2">
      <c r="H4373">
        <v>0</v>
      </c>
    </row>
    <row r="4374" spans="8:8" x14ac:dyDescent="0.2">
      <c r="H4374">
        <v>0</v>
      </c>
    </row>
    <row r="4375" spans="8:8" x14ac:dyDescent="0.2">
      <c r="H4375">
        <v>0</v>
      </c>
    </row>
    <row r="4376" spans="8:8" x14ac:dyDescent="0.2">
      <c r="H4376">
        <v>0</v>
      </c>
    </row>
    <row r="4377" spans="8:8" x14ac:dyDescent="0.2">
      <c r="H4377">
        <v>0</v>
      </c>
    </row>
    <row r="4378" spans="8:8" x14ac:dyDescent="0.2">
      <c r="H4378">
        <v>0</v>
      </c>
    </row>
    <row r="4379" spans="8:8" x14ac:dyDescent="0.2">
      <c r="H4379">
        <v>0</v>
      </c>
    </row>
    <row r="4380" spans="8:8" x14ac:dyDescent="0.2">
      <c r="H4380">
        <v>0</v>
      </c>
    </row>
    <row r="4381" spans="8:8" x14ac:dyDescent="0.2">
      <c r="H4381">
        <v>0</v>
      </c>
    </row>
    <row r="4382" spans="8:8" x14ac:dyDescent="0.2">
      <c r="H4382">
        <v>0</v>
      </c>
    </row>
    <row r="4383" spans="8:8" x14ac:dyDescent="0.2">
      <c r="H4383">
        <v>0</v>
      </c>
    </row>
    <row r="4384" spans="8:8" x14ac:dyDescent="0.2">
      <c r="H4384">
        <v>0</v>
      </c>
    </row>
    <row r="4385" spans="8:8" x14ac:dyDescent="0.2">
      <c r="H4385">
        <v>0</v>
      </c>
    </row>
    <row r="4386" spans="8:8" x14ac:dyDescent="0.2">
      <c r="H4386">
        <v>0</v>
      </c>
    </row>
    <row r="4387" spans="8:8" x14ac:dyDescent="0.2">
      <c r="H4387">
        <v>0</v>
      </c>
    </row>
    <row r="4388" spans="8:8" x14ac:dyDescent="0.2">
      <c r="H4388">
        <v>0</v>
      </c>
    </row>
    <row r="4389" spans="8:8" x14ac:dyDescent="0.2">
      <c r="H4389">
        <v>0</v>
      </c>
    </row>
    <row r="4390" spans="8:8" x14ac:dyDescent="0.2">
      <c r="H4390">
        <v>0</v>
      </c>
    </row>
    <row r="4391" spans="8:8" x14ac:dyDescent="0.2">
      <c r="H4391">
        <v>0</v>
      </c>
    </row>
    <row r="4392" spans="8:8" x14ac:dyDescent="0.2">
      <c r="H4392">
        <v>0</v>
      </c>
    </row>
    <row r="4393" spans="8:8" x14ac:dyDescent="0.2">
      <c r="H4393">
        <v>0</v>
      </c>
    </row>
    <row r="4394" spans="8:8" x14ac:dyDescent="0.2">
      <c r="H4394">
        <v>0</v>
      </c>
    </row>
    <row r="4395" spans="8:8" x14ac:dyDescent="0.2">
      <c r="H4395">
        <v>0</v>
      </c>
    </row>
    <row r="4396" spans="8:8" x14ac:dyDescent="0.2">
      <c r="H4396">
        <v>0</v>
      </c>
    </row>
    <row r="4397" spans="8:8" x14ac:dyDescent="0.2">
      <c r="H4397">
        <v>0</v>
      </c>
    </row>
    <row r="4398" spans="8:8" x14ac:dyDescent="0.2">
      <c r="H4398">
        <v>0</v>
      </c>
    </row>
    <row r="4399" spans="8:8" x14ac:dyDescent="0.2">
      <c r="H4399">
        <v>0</v>
      </c>
    </row>
    <row r="4400" spans="8:8" x14ac:dyDescent="0.2">
      <c r="H4400">
        <v>0</v>
      </c>
    </row>
    <row r="4401" spans="8:8" x14ac:dyDescent="0.2">
      <c r="H4401">
        <v>0</v>
      </c>
    </row>
    <row r="4402" spans="8:8" x14ac:dyDescent="0.2">
      <c r="H4402">
        <v>0</v>
      </c>
    </row>
    <row r="4403" spans="8:8" x14ac:dyDescent="0.2">
      <c r="H4403">
        <v>0</v>
      </c>
    </row>
    <row r="4404" spans="8:8" x14ac:dyDescent="0.2">
      <c r="H4404">
        <v>0</v>
      </c>
    </row>
    <row r="4405" spans="8:8" x14ac:dyDescent="0.2">
      <c r="H4405">
        <v>0</v>
      </c>
    </row>
    <row r="4406" spans="8:8" x14ac:dyDescent="0.2">
      <c r="H4406">
        <v>0</v>
      </c>
    </row>
    <row r="4407" spans="8:8" x14ac:dyDescent="0.2">
      <c r="H4407">
        <v>0</v>
      </c>
    </row>
    <row r="4408" spans="8:8" x14ac:dyDescent="0.2">
      <c r="H4408">
        <v>0</v>
      </c>
    </row>
    <row r="4409" spans="8:8" x14ac:dyDescent="0.2">
      <c r="H4409">
        <v>0</v>
      </c>
    </row>
    <row r="4410" spans="8:8" x14ac:dyDescent="0.2">
      <c r="H4410">
        <v>0</v>
      </c>
    </row>
    <row r="4411" spans="8:8" x14ac:dyDescent="0.2">
      <c r="H4411">
        <v>0</v>
      </c>
    </row>
    <row r="4412" spans="8:8" x14ac:dyDescent="0.2">
      <c r="H4412">
        <v>0</v>
      </c>
    </row>
    <row r="4413" spans="8:8" x14ac:dyDescent="0.2">
      <c r="H4413">
        <v>0</v>
      </c>
    </row>
    <row r="4414" spans="8:8" x14ac:dyDescent="0.2">
      <c r="H4414">
        <v>0</v>
      </c>
    </row>
    <row r="4415" spans="8:8" x14ac:dyDescent="0.2">
      <c r="H4415">
        <v>0</v>
      </c>
    </row>
    <row r="4416" spans="8:8" x14ac:dyDescent="0.2">
      <c r="H4416">
        <v>0</v>
      </c>
    </row>
    <row r="4417" spans="8:8" x14ac:dyDescent="0.2">
      <c r="H4417">
        <v>0</v>
      </c>
    </row>
    <row r="4418" spans="8:8" x14ac:dyDescent="0.2">
      <c r="H4418">
        <v>0</v>
      </c>
    </row>
    <row r="4419" spans="8:8" x14ac:dyDescent="0.2">
      <c r="H4419">
        <v>0</v>
      </c>
    </row>
    <row r="4420" spans="8:8" x14ac:dyDescent="0.2">
      <c r="H4420">
        <v>0</v>
      </c>
    </row>
    <row r="4421" spans="8:8" x14ac:dyDescent="0.2">
      <c r="H4421">
        <v>0</v>
      </c>
    </row>
    <row r="4422" spans="8:8" x14ac:dyDescent="0.2">
      <c r="H4422">
        <v>0</v>
      </c>
    </row>
    <row r="4423" spans="8:8" x14ac:dyDescent="0.2">
      <c r="H4423">
        <v>0</v>
      </c>
    </row>
    <row r="4424" spans="8:8" x14ac:dyDescent="0.2">
      <c r="H4424">
        <v>0</v>
      </c>
    </row>
    <row r="4425" spans="8:8" x14ac:dyDescent="0.2">
      <c r="H4425">
        <v>0</v>
      </c>
    </row>
    <row r="4426" spans="8:8" x14ac:dyDescent="0.2">
      <c r="H4426">
        <v>0</v>
      </c>
    </row>
    <row r="4427" spans="8:8" x14ac:dyDescent="0.2">
      <c r="H4427">
        <v>0</v>
      </c>
    </row>
    <row r="4428" spans="8:8" x14ac:dyDescent="0.2">
      <c r="H4428">
        <v>0</v>
      </c>
    </row>
    <row r="4429" spans="8:8" x14ac:dyDescent="0.2">
      <c r="H4429">
        <v>0</v>
      </c>
    </row>
    <row r="4430" spans="8:8" x14ac:dyDescent="0.2">
      <c r="H4430">
        <v>0</v>
      </c>
    </row>
    <row r="4431" spans="8:8" x14ac:dyDescent="0.2">
      <c r="H4431">
        <v>0</v>
      </c>
    </row>
    <row r="4432" spans="8:8" x14ac:dyDescent="0.2">
      <c r="H4432">
        <v>0</v>
      </c>
    </row>
    <row r="4433" spans="8:8" x14ac:dyDescent="0.2">
      <c r="H4433">
        <v>0</v>
      </c>
    </row>
    <row r="4434" spans="8:8" x14ac:dyDescent="0.2">
      <c r="H4434">
        <v>0</v>
      </c>
    </row>
    <row r="4435" spans="8:8" x14ac:dyDescent="0.2">
      <c r="H4435">
        <v>0</v>
      </c>
    </row>
    <row r="4436" spans="8:8" x14ac:dyDescent="0.2">
      <c r="H4436">
        <v>0</v>
      </c>
    </row>
    <row r="4437" spans="8:8" x14ac:dyDescent="0.2">
      <c r="H4437">
        <v>0</v>
      </c>
    </row>
    <row r="4438" spans="8:8" x14ac:dyDescent="0.2">
      <c r="H4438">
        <v>0</v>
      </c>
    </row>
    <row r="4439" spans="8:8" x14ac:dyDescent="0.2">
      <c r="H4439">
        <v>0</v>
      </c>
    </row>
    <row r="4440" spans="8:8" x14ac:dyDescent="0.2">
      <c r="H4440">
        <v>0</v>
      </c>
    </row>
    <row r="4441" spans="8:8" x14ac:dyDescent="0.2">
      <c r="H4441">
        <v>0</v>
      </c>
    </row>
    <row r="4442" spans="8:8" x14ac:dyDescent="0.2">
      <c r="H4442">
        <v>0</v>
      </c>
    </row>
    <row r="4443" spans="8:8" x14ac:dyDescent="0.2">
      <c r="H4443">
        <v>0</v>
      </c>
    </row>
    <row r="4444" spans="8:8" x14ac:dyDescent="0.2">
      <c r="H4444">
        <v>0</v>
      </c>
    </row>
    <row r="4445" spans="8:8" x14ac:dyDescent="0.2">
      <c r="H4445">
        <v>0</v>
      </c>
    </row>
    <row r="4446" spans="8:8" x14ac:dyDescent="0.2">
      <c r="H4446">
        <v>0</v>
      </c>
    </row>
    <row r="4447" spans="8:8" x14ac:dyDescent="0.2">
      <c r="H4447">
        <v>0</v>
      </c>
    </row>
    <row r="4448" spans="8:8" x14ac:dyDescent="0.2">
      <c r="H4448">
        <v>0</v>
      </c>
    </row>
    <row r="4449" spans="8:8" x14ac:dyDescent="0.2">
      <c r="H4449">
        <v>0</v>
      </c>
    </row>
    <row r="4450" spans="8:8" x14ac:dyDescent="0.2">
      <c r="H4450">
        <v>0</v>
      </c>
    </row>
    <row r="4451" spans="8:8" x14ac:dyDescent="0.2">
      <c r="H4451">
        <v>0</v>
      </c>
    </row>
    <row r="4452" spans="8:8" x14ac:dyDescent="0.2">
      <c r="H4452">
        <v>0</v>
      </c>
    </row>
    <row r="4453" spans="8:8" x14ac:dyDescent="0.2">
      <c r="H4453">
        <v>0</v>
      </c>
    </row>
    <row r="4454" spans="8:8" x14ac:dyDescent="0.2">
      <c r="H4454">
        <v>0</v>
      </c>
    </row>
    <row r="4455" spans="8:8" x14ac:dyDescent="0.2">
      <c r="H4455">
        <v>0</v>
      </c>
    </row>
    <row r="4456" spans="8:8" x14ac:dyDescent="0.2">
      <c r="H4456">
        <v>0</v>
      </c>
    </row>
    <row r="4457" spans="8:8" x14ac:dyDescent="0.2">
      <c r="H4457">
        <v>0</v>
      </c>
    </row>
    <row r="4458" spans="8:8" x14ac:dyDescent="0.2">
      <c r="H4458">
        <v>0</v>
      </c>
    </row>
    <row r="4459" spans="8:8" x14ac:dyDescent="0.2">
      <c r="H4459">
        <v>0</v>
      </c>
    </row>
    <row r="4460" spans="8:8" x14ac:dyDescent="0.2">
      <c r="H4460">
        <v>0</v>
      </c>
    </row>
    <row r="4461" spans="8:8" x14ac:dyDescent="0.2">
      <c r="H4461">
        <v>0</v>
      </c>
    </row>
    <row r="4462" spans="8:8" x14ac:dyDescent="0.2">
      <c r="H4462">
        <v>0</v>
      </c>
    </row>
    <row r="4463" spans="8:8" x14ac:dyDescent="0.2">
      <c r="H4463">
        <v>0</v>
      </c>
    </row>
    <row r="4464" spans="8:8" x14ac:dyDescent="0.2">
      <c r="H4464">
        <v>0</v>
      </c>
    </row>
    <row r="4465" spans="8:8" x14ac:dyDescent="0.2">
      <c r="H4465">
        <v>0</v>
      </c>
    </row>
    <row r="4466" spans="8:8" x14ac:dyDescent="0.2">
      <c r="H4466">
        <v>0</v>
      </c>
    </row>
    <row r="4467" spans="8:8" x14ac:dyDescent="0.2">
      <c r="H4467">
        <v>0</v>
      </c>
    </row>
    <row r="4468" spans="8:8" x14ac:dyDescent="0.2">
      <c r="H4468">
        <v>0</v>
      </c>
    </row>
    <row r="4469" spans="8:8" x14ac:dyDescent="0.2">
      <c r="H4469">
        <v>0</v>
      </c>
    </row>
    <row r="4470" spans="8:8" x14ac:dyDescent="0.2">
      <c r="H4470">
        <v>0</v>
      </c>
    </row>
    <row r="4471" spans="8:8" x14ac:dyDescent="0.2">
      <c r="H4471">
        <v>0</v>
      </c>
    </row>
    <row r="4472" spans="8:8" x14ac:dyDescent="0.2">
      <c r="H4472">
        <v>0</v>
      </c>
    </row>
    <row r="4473" spans="8:8" x14ac:dyDescent="0.2">
      <c r="H4473">
        <v>0</v>
      </c>
    </row>
    <row r="4474" spans="8:8" x14ac:dyDescent="0.2">
      <c r="H4474">
        <v>0</v>
      </c>
    </row>
    <row r="4475" spans="8:8" x14ac:dyDescent="0.2">
      <c r="H4475">
        <v>0</v>
      </c>
    </row>
    <row r="4476" spans="8:8" x14ac:dyDescent="0.2">
      <c r="H4476">
        <v>0</v>
      </c>
    </row>
    <row r="4477" spans="8:8" x14ac:dyDescent="0.2">
      <c r="H4477">
        <v>0</v>
      </c>
    </row>
    <row r="4478" spans="8:8" x14ac:dyDescent="0.2">
      <c r="H4478">
        <v>0</v>
      </c>
    </row>
    <row r="4479" spans="8:8" x14ac:dyDescent="0.2">
      <c r="H4479">
        <v>0</v>
      </c>
    </row>
    <row r="4480" spans="8:8" x14ac:dyDescent="0.2">
      <c r="H4480">
        <v>0</v>
      </c>
    </row>
    <row r="4481" spans="8:8" x14ac:dyDescent="0.2">
      <c r="H4481">
        <v>0</v>
      </c>
    </row>
    <row r="4482" spans="8:8" x14ac:dyDescent="0.2">
      <c r="H4482">
        <v>0</v>
      </c>
    </row>
    <row r="4483" spans="8:8" x14ac:dyDescent="0.2">
      <c r="H4483">
        <v>0</v>
      </c>
    </row>
    <row r="4484" spans="8:8" x14ac:dyDescent="0.2">
      <c r="H4484">
        <v>0</v>
      </c>
    </row>
    <row r="4485" spans="8:8" x14ac:dyDescent="0.2">
      <c r="H4485">
        <v>0</v>
      </c>
    </row>
    <row r="4486" spans="8:8" x14ac:dyDescent="0.2">
      <c r="H4486">
        <v>0</v>
      </c>
    </row>
    <row r="4487" spans="8:8" x14ac:dyDescent="0.2">
      <c r="H4487">
        <v>0</v>
      </c>
    </row>
    <row r="4488" spans="8:8" x14ac:dyDescent="0.2">
      <c r="H4488">
        <v>0</v>
      </c>
    </row>
    <row r="4489" spans="8:8" x14ac:dyDescent="0.2">
      <c r="H4489">
        <v>0</v>
      </c>
    </row>
    <row r="4490" spans="8:8" x14ac:dyDescent="0.2">
      <c r="H4490">
        <v>0</v>
      </c>
    </row>
    <row r="4491" spans="8:8" x14ac:dyDescent="0.2">
      <c r="H4491">
        <v>0</v>
      </c>
    </row>
    <row r="4492" spans="8:8" x14ac:dyDescent="0.2">
      <c r="H4492">
        <v>0</v>
      </c>
    </row>
    <row r="4493" spans="8:8" x14ac:dyDescent="0.2">
      <c r="H4493">
        <v>0</v>
      </c>
    </row>
    <row r="4494" spans="8:8" x14ac:dyDescent="0.2">
      <c r="H4494">
        <v>0</v>
      </c>
    </row>
    <row r="4495" spans="8:8" x14ac:dyDescent="0.2">
      <c r="H4495">
        <v>0</v>
      </c>
    </row>
    <row r="4496" spans="8:8" x14ac:dyDescent="0.2">
      <c r="H4496">
        <v>0</v>
      </c>
    </row>
    <row r="4497" spans="8:8" x14ac:dyDescent="0.2">
      <c r="H4497">
        <v>0</v>
      </c>
    </row>
    <row r="4498" spans="8:8" x14ac:dyDescent="0.2">
      <c r="H4498">
        <v>0</v>
      </c>
    </row>
    <row r="4499" spans="8:8" x14ac:dyDescent="0.2">
      <c r="H4499">
        <v>0</v>
      </c>
    </row>
    <row r="4500" spans="8:8" x14ac:dyDescent="0.2">
      <c r="H4500">
        <v>0</v>
      </c>
    </row>
    <row r="4501" spans="8:8" x14ac:dyDescent="0.2">
      <c r="H4501">
        <v>0</v>
      </c>
    </row>
    <row r="4502" spans="8:8" x14ac:dyDescent="0.2">
      <c r="H4502">
        <v>0</v>
      </c>
    </row>
    <row r="4503" spans="8:8" x14ac:dyDescent="0.2">
      <c r="H4503">
        <v>0</v>
      </c>
    </row>
    <row r="4504" spans="8:8" x14ac:dyDescent="0.2">
      <c r="H4504">
        <v>0</v>
      </c>
    </row>
    <row r="4505" spans="8:8" x14ac:dyDescent="0.2">
      <c r="H4505">
        <v>0</v>
      </c>
    </row>
    <row r="4506" spans="8:8" x14ac:dyDescent="0.2">
      <c r="H4506">
        <v>0</v>
      </c>
    </row>
    <row r="4507" spans="8:8" x14ac:dyDescent="0.2">
      <c r="H4507">
        <v>0</v>
      </c>
    </row>
    <row r="4508" spans="8:8" x14ac:dyDescent="0.2">
      <c r="H4508">
        <v>0</v>
      </c>
    </row>
    <row r="4509" spans="8:8" x14ac:dyDescent="0.2">
      <c r="H4509">
        <v>0</v>
      </c>
    </row>
    <row r="4510" spans="8:8" x14ac:dyDescent="0.2">
      <c r="H4510">
        <v>0</v>
      </c>
    </row>
    <row r="4511" spans="8:8" x14ac:dyDescent="0.2">
      <c r="H4511">
        <v>0</v>
      </c>
    </row>
    <row r="4512" spans="8:8" x14ac:dyDescent="0.2">
      <c r="H4512">
        <v>0</v>
      </c>
    </row>
    <row r="4513" spans="8:8" x14ac:dyDescent="0.2">
      <c r="H4513">
        <v>0</v>
      </c>
    </row>
    <row r="4514" spans="8:8" x14ac:dyDescent="0.2">
      <c r="H4514">
        <v>0</v>
      </c>
    </row>
    <row r="4515" spans="8:8" x14ac:dyDescent="0.2">
      <c r="H4515">
        <v>0</v>
      </c>
    </row>
    <row r="4516" spans="8:8" x14ac:dyDescent="0.2">
      <c r="H4516">
        <v>0</v>
      </c>
    </row>
    <row r="4517" spans="8:8" x14ac:dyDescent="0.2">
      <c r="H4517">
        <v>0</v>
      </c>
    </row>
    <row r="4518" spans="8:8" x14ac:dyDescent="0.2">
      <c r="H4518">
        <v>0</v>
      </c>
    </row>
    <row r="4519" spans="8:8" x14ac:dyDescent="0.2">
      <c r="H4519">
        <v>0</v>
      </c>
    </row>
    <row r="4520" spans="8:8" x14ac:dyDescent="0.2">
      <c r="H4520">
        <v>0</v>
      </c>
    </row>
    <row r="4521" spans="8:8" x14ac:dyDescent="0.2">
      <c r="H4521">
        <v>0</v>
      </c>
    </row>
    <row r="4522" spans="8:8" x14ac:dyDescent="0.2">
      <c r="H4522">
        <v>0</v>
      </c>
    </row>
    <row r="4523" spans="8:8" x14ac:dyDescent="0.2">
      <c r="H4523">
        <v>0</v>
      </c>
    </row>
    <row r="4524" spans="8:8" x14ac:dyDescent="0.2">
      <c r="H4524">
        <v>0</v>
      </c>
    </row>
    <row r="4525" spans="8:8" x14ac:dyDescent="0.2">
      <c r="H4525">
        <v>0</v>
      </c>
    </row>
    <row r="4526" spans="8:8" x14ac:dyDescent="0.2">
      <c r="H4526">
        <v>0</v>
      </c>
    </row>
    <row r="4527" spans="8:8" x14ac:dyDescent="0.2">
      <c r="H4527">
        <v>0</v>
      </c>
    </row>
    <row r="4528" spans="8:8" x14ac:dyDescent="0.2">
      <c r="H4528">
        <v>0</v>
      </c>
    </row>
    <row r="4529" spans="8:8" x14ac:dyDescent="0.2">
      <c r="H4529">
        <v>0</v>
      </c>
    </row>
    <row r="4530" spans="8:8" x14ac:dyDescent="0.2">
      <c r="H4530">
        <v>0</v>
      </c>
    </row>
    <row r="4531" spans="8:8" x14ac:dyDescent="0.2">
      <c r="H4531">
        <v>0</v>
      </c>
    </row>
    <row r="4532" spans="8:8" x14ac:dyDescent="0.2">
      <c r="H4532">
        <v>0</v>
      </c>
    </row>
    <row r="4533" spans="8:8" x14ac:dyDescent="0.2">
      <c r="H4533">
        <v>0</v>
      </c>
    </row>
    <row r="4534" spans="8:8" x14ac:dyDescent="0.2">
      <c r="H4534">
        <v>0</v>
      </c>
    </row>
    <row r="4535" spans="8:8" x14ac:dyDescent="0.2">
      <c r="H4535">
        <v>0</v>
      </c>
    </row>
    <row r="4536" spans="8:8" x14ac:dyDescent="0.2">
      <c r="H4536">
        <v>0</v>
      </c>
    </row>
    <row r="4537" spans="8:8" x14ac:dyDescent="0.2">
      <c r="H4537">
        <v>0</v>
      </c>
    </row>
    <row r="4538" spans="8:8" x14ac:dyDescent="0.2">
      <c r="H4538">
        <v>0</v>
      </c>
    </row>
    <row r="4539" spans="8:8" x14ac:dyDescent="0.2">
      <c r="H4539">
        <v>0</v>
      </c>
    </row>
    <row r="4540" spans="8:8" x14ac:dyDescent="0.2">
      <c r="H4540">
        <v>0</v>
      </c>
    </row>
    <row r="4541" spans="8:8" x14ac:dyDescent="0.2">
      <c r="H4541">
        <v>0</v>
      </c>
    </row>
    <row r="4542" spans="8:8" x14ac:dyDescent="0.2">
      <c r="H4542">
        <v>0</v>
      </c>
    </row>
    <row r="4543" spans="8:8" x14ac:dyDescent="0.2">
      <c r="H4543">
        <v>0</v>
      </c>
    </row>
    <row r="4544" spans="8:8" x14ac:dyDescent="0.2">
      <c r="H4544">
        <v>0</v>
      </c>
    </row>
    <row r="4545" spans="8:8" x14ac:dyDescent="0.2">
      <c r="H4545">
        <v>0</v>
      </c>
    </row>
    <row r="4546" spans="8:8" x14ac:dyDescent="0.2">
      <c r="H4546">
        <v>0</v>
      </c>
    </row>
    <row r="4547" spans="8:8" x14ac:dyDescent="0.2">
      <c r="H4547">
        <v>0</v>
      </c>
    </row>
    <row r="4548" spans="8:8" x14ac:dyDescent="0.2">
      <c r="H4548">
        <v>0</v>
      </c>
    </row>
    <row r="4549" spans="8:8" x14ac:dyDescent="0.2">
      <c r="H4549">
        <v>0</v>
      </c>
    </row>
    <row r="4550" spans="8:8" x14ac:dyDescent="0.2">
      <c r="H4550">
        <v>0</v>
      </c>
    </row>
    <row r="4551" spans="8:8" x14ac:dyDescent="0.2">
      <c r="H4551">
        <v>0</v>
      </c>
    </row>
    <row r="4552" spans="8:8" x14ac:dyDescent="0.2">
      <c r="H4552">
        <v>0</v>
      </c>
    </row>
    <row r="4553" spans="8:8" x14ac:dyDescent="0.2">
      <c r="H4553">
        <v>0</v>
      </c>
    </row>
    <row r="4554" spans="8:8" x14ac:dyDescent="0.2">
      <c r="H4554">
        <v>0</v>
      </c>
    </row>
    <row r="4555" spans="8:8" x14ac:dyDescent="0.2">
      <c r="H4555">
        <v>0</v>
      </c>
    </row>
    <row r="4556" spans="8:8" x14ac:dyDescent="0.2">
      <c r="H4556">
        <v>0</v>
      </c>
    </row>
    <row r="4557" spans="8:8" x14ac:dyDescent="0.2">
      <c r="H4557">
        <v>0</v>
      </c>
    </row>
    <row r="4558" spans="8:8" x14ac:dyDescent="0.2">
      <c r="H4558">
        <v>0</v>
      </c>
    </row>
    <row r="4559" spans="8:8" x14ac:dyDescent="0.2">
      <c r="H4559">
        <v>0</v>
      </c>
    </row>
    <row r="4560" spans="8:8" x14ac:dyDescent="0.2">
      <c r="H4560">
        <v>0</v>
      </c>
    </row>
    <row r="4561" spans="8:8" x14ac:dyDescent="0.2">
      <c r="H4561">
        <v>0</v>
      </c>
    </row>
    <row r="4562" spans="8:8" x14ac:dyDescent="0.2">
      <c r="H4562">
        <v>0</v>
      </c>
    </row>
    <row r="4563" spans="8:8" x14ac:dyDescent="0.2">
      <c r="H4563">
        <v>0</v>
      </c>
    </row>
    <row r="4564" spans="8:8" x14ac:dyDescent="0.2">
      <c r="H4564">
        <v>0</v>
      </c>
    </row>
    <row r="4565" spans="8:8" x14ac:dyDescent="0.2">
      <c r="H4565">
        <v>0</v>
      </c>
    </row>
    <row r="4566" spans="8:8" x14ac:dyDescent="0.2">
      <c r="H4566">
        <v>0</v>
      </c>
    </row>
    <row r="4567" spans="8:8" x14ac:dyDescent="0.2">
      <c r="H4567">
        <v>0</v>
      </c>
    </row>
    <row r="4568" spans="8:8" x14ac:dyDescent="0.2">
      <c r="H4568">
        <v>0</v>
      </c>
    </row>
    <row r="4569" spans="8:8" x14ac:dyDescent="0.2">
      <c r="H4569">
        <v>0</v>
      </c>
    </row>
    <row r="4570" spans="8:8" x14ac:dyDescent="0.2">
      <c r="H4570">
        <v>0</v>
      </c>
    </row>
    <row r="4571" spans="8:8" x14ac:dyDescent="0.2">
      <c r="H4571">
        <v>0</v>
      </c>
    </row>
    <row r="4572" spans="8:8" x14ac:dyDescent="0.2">
      <c r="H4572">
        <v>0</v>
      </c>
    </row>
    <row r="4573" spans="8:8" x14ac:dyDescent="0.2">
      <c r="H4573">
        <v>0</v>
      </c>
    </row>
    <row r="4574" spans="8:8" x14ac:dyDescent="0.2">
      <c r="H4574">
        <v>0</v>
      </c>
    </row>
    <row r="4575" spans="8:8" x14ac:dyDescent="0.2">
      <c r="H4575">
        <v>0</v>
      </c>
    </row>
    <row r="4576" spans="8:8" x14ac:dyDescent="0.2">
      <c r="H4576">
        <v>0</v>
      </c>
    </row>
    <row r="4577" spans="8:8" x14ac:dyDescent="0.2">
      <c r="H4577">
        <v>0</v>
      </c>
    </row>
    <row r="4578" spans="8:8" x14ac:dyDescent="0.2">
      <c r="H4578">
        <v>0</v>
      </c>
    </row>
    <row r="4579" spans="8:8" x14ac:dyDescent="0.2">
      <c r="H4579">
        <v>0</v>
      </c>
    </row>
    <row r="4580" spans="8:8" x14ac:dyDescent="0.2">
      <c r="H4580">
        <v>0</v>
      </c>
    </row>
    <row r="4581" spans="8:8" x14ac:dyDescent="0.2">
      <c r="H4581">
        <v>0</v>
      </c>
    </row>
    <row r="4582" spans="8:8" x14ac:dyDescent="0.2">
      <c r="H4582">
        <v>0</v>
      </c>
    </row>
    <row r="4583" spans="8:8" x14ac:dyDescent="0.2">
      <c r="H4583">
        <v>0</v>
      </c>
    </row>
    <row r="4584" spans="8:8" x14ac:dyDescent="0.2">
      <c r="H4584">
        <v>0</v>
      </c>
    </row>
    <row r="4585" spans="8:8" x14ac:dyDescent="0.2">
      <c r="H4585">
        <v>0</v>
      </c>
    </row>
    <row r="4586" spans="8:8" x14ac:dyDescent="0.2">
      <c r="H4586">
        <v>0</v>
      </c>
    </row>
    <row r="4587" spans="8:8" x14ac:dyDescent="0.2">
      <c r="H4587">
        <v>0</v>
      </c>
    </row>
    <row r="4588" spans="8:8" x14ac:dyDescent="0.2">
      <c r="H4588">
        <v>0</v>
      </c>
    </row>
    <row r="4589" spans="8:8" x14ac:dyDescent="0.2">
      <c r="H4589">
        <v>0</v>
      </c>
    </row>
    <row r="4590" spans="8:8" x14ac:dyDescent="0.2">
      <c r="H4590">
        <v>0</v>
      </c>
    </row>
    <row r="4591" spans="8:8" x14ac:dyDescent="0.2">
      <c r="H4591">
        <v>0</v>
      </c>
    </row>
    <row r="4592" spans="8:8" x14ac:dyDescent="0.2">
      <c r="H4592">
        <v>0</v>
      </c>
    </row>
    <row r="4593" spans="8:8" x14ac:dyDescent="0.2">
      <c r="H4593">
        <v>0</v>
      </c>
    </row>
    <row r="4594" spans="8:8" x14ac:dyDescent="0.2">
      <c r="H4594">
        <v>0</v>
      </c>
    </row>
    <row r="4595" spans="8:8" x14ac:dyDescent="0.2">
      <c r="H4595">
        <v>0</v>
      </c>
    </row>
    <row r="4596" spans="8:8" x14ac:dyDescent="0.2">
      <c r="H4596">
        <v>0</v>
      </c>
    </row>
    <row r="4597" spans="8:8" x14ac:dyDescent="0.2">
      <c r="H4597">
        <v>0</v>
      </c>
    </row>
    <row r="4598" spans="8:8" x14ac:dyDescent="0.2">
      <c r="H4598">
        <v>0</v>
      </c>
    </row>
    <row r="4599" spans="8:8" x14ac:dyDescent="0.2">
      <c r="H4599">
        <v>0</v>
      </c>
    </row>
    <row r="4600" spans="8:8" x14ac:dyDescent="0.2">
      <c r="H4600">
        <v>0</v>
      </c>
    </row>
    <row r="4601" spans="8:8" x14ac:dyDescent="0.2">
      <c r="H4601">
        <v>0</v>
      </c>
    </row>
    <row r="4602" spans="8:8" x14ac:dyDescent="0.2">
      <c r="H4602">
        <v>0</v>
      </c>
    </row>
    <row r="4603" spans="8:8" x14ac:dyDescent="0.2">
      <c r="H4603">
        <v>0</v>
      </c>
    </row>
    <row r="4604" spans="8:8" x14ac:dyDescent="0.2">
      <c r="H4604">
        <v>0</v>
      </c>
    </row>
    <row r="4605" spans="8:8" x14ac:dyDescent="0.2">
      <c r="H4605">
        <v>0</v>
      </c>
    </row>
    <row r="4606" spans="8:8" x14ac:dyDescent="0.2">
      <c r="H4606">
        <v>0</v>
      </c>
    </row>
    <row r="4607" spans="8:8" x14ac:dyDescent="0.2">
      <c r="H4607">
        <v>0</v>
      </c>
    </row>
    <row r="4608" spans="8:8" x14ac:dyDescent="0.2">
      <c r="H4608">
        <v>0</v>
      </c>
    </row>
    <row r="4609" spans="8:8" x14ac:dyDescent="0.2">
      <c r="H4609">
        <v>0</v>
      </c>
    </row>
    <row r="4610" spans="8:8" x14ac:dyDescent="0.2">
      <c r="H4610">
        <v>0</v>
      </c>
    </row>
    <row r="4611" spans="8:8" x14ac:dyDescent="0.2">
      <c r="H4611">
        <v>0</v>
      </c>
    </row>
    <row r="4612" spans="8:8" x14ac:dyDescent="0.2">
      <c r="H4612">
        <v>0</v>
      </c>
    </row>
    <row r="4613" spans="8:8" x14ac:dyDescent="0.2">
      <c r="H4613">
        <v>0</v>
      </c>
    </row>
    <row r="4614" spans="8:8" x14ac:dyDescent="0.2">
      <c r="H4614">
        <v>0</v>
      </c>
    </row>
    <row r="4615" spans="8:8" x14ac:dyDescent="0.2">
      <c r="H4615">
        <v>0</v>
      </c>
    </row>
    <row r="4616" spans="8:8" x14ac:dyDescent="0.2">
      <c r="H4616">
        <v>0</v>
      </c>
    </row>
    <row r="4617" spans="8:8" x14ac:dyDescent="0.2">
      <c r="H4617">
        <v>0</v>
      </c>
    </row>
    <row r="4618" spans="8:8" x14ac:dyDescent="0.2">
      <c r="H4618">
        <v>0</v>
      </c>
    </row>
    <row r="4619" spans="8:8" x14ac:dyDescent="0.2">
      <c r="H4619">
        <v>0</v>
      </c>
    </row>
    <row r="4620" spans="8:8" x14ac:dyDescent="0.2">
      <c r="H4620">
        <v>0</v>
      </c>
    </row>
    <row r="4621" spans="8:8" x14ac:dyDescent="0.2">
      <c r="H4621">
        <v>0</v>
      </c>
    </row>
    <row r="4622" spans="8:8" x14ac:dyDescent="0.2">
      <c r="H4622">
        <v>0</v>
      </c>
    </row>
    <row r="4623" spans="8:8" x14ac:dyDescent="0.2">
      <c r="H4623">
        <v>0</v>
      </c>
    </row>
    <row r="4624" spans="8:8" x14ac:dyDescent="0.2">
      <c r="H4624">
        <v>0</v>
      </c>
    </row>
    <row r="4625" spans="8:8" x14ac:dyDescent="0.2">
      <c r="H4625">
        <v>0</v>
      </c>
    </row>
    <row r="4626" spans="8:8" x14ac:dyDescent="0.2">
      <c r="H4626">
        <v>0</v>
      </c>
    </row>
    <row r="4627" spans="8:8" x14ac:dyDescent="0.2">
      <c r="H4627">
        <v>0</v>
      </c>
    </row>
    <row r="4628" spans="8:8" x14ac:dyDescent="0.2">
      <c r="H4628">
        <v>0</v>
      </c>
    </row>
    <row r="4629" spans="8:8" x14ac:dyDescent="0.2">
      <c r="H4629">
        <v>0</v>
      </c>
    </row>
    <row r="4630" spans="8:8" x14ac:dyDescent="0.2">
      <c r="H4630">
        <v>0</v>
      </c>
    </row>
    <row r="4631" spans="8:8" x14ac:dyDescent="0.2">
      <c r="H4631">
        <v>0</v>
      </c>
    </row>
    <row r="4632" spans="8:8" x14ac:dyDescent="0.2">
      <c r="H4632">
        <v>0</v>
      </c>
    </row>
    <row r="4633" spans="8:8" x14ac:dyDescent="0.2">
      <c r="H4633">
        <v>0</v>
      </c>
    </row>
    <row r="4634" spans="8:8" x14ac:dyDescent="0.2">
      <c r="H4634">
        <v>0</v>
      </c>
    </row>
    <row r="4635" spans="8:8" x14ac:dyDescent="0.2">
      <c r="H4635">
        <v>0</v>
      </c>
    </row>
    <row r="4636" spans="8:8" x14ac:dyDescent="0.2">
      <c r="H4636">
        <v>0</v>
      </c>
    </row>
    <row r="4637" spans="8:8" x14ac:dyDescent="0.2">
      <c r="H4637">
        <v>0</v>
      </c>
    </row>
    <row r="4638" spans="8:8" x14ac:dyDescent="0.2">
      <c r="H4638">
        <v>0</v>
      </c>
    </row>
    <row r="4639" spans="8:8" x14ac:dyDescent="0.2">
      <c r="H4639">
        <v>0</v>
      </c>
    </row>
    <row r="4640" spans="8:8" x14ac:dyDescent="0.2">
      <c r="H4640">
        <v>0</v>
      </c>
    </row>
    <row r="4641" spans="8:8" x14ac:dyDescent="0.2">
      <c r="H4641">
        <v>0</v>
      </c>
    </row>
    <row r="4642" spans="8:8" x14ac:dyDescent="0.2">
      <c r="H4642">
        <v>0</v>
      </c>
    </row>
    <row r="4643" spans="8:8" x14ac:dyDescent="0.2">
      <c r="H4643">
        <v>0</v>
      </c>
    </row>
    <row r="4644" spans="8:8" x14ac:dyDescent="0.2">
      <c r="H4644">
        <v>0</v>
      </c>
    </row>
    <row r="4645" spans="8:8" x14ac:dyDescent="0.2">
      <c r="H4645">
        <v>0</v>
      </c>
    </row>
    <row r="4646" spans="8:8" x14ac:dyDescent="0.2">
      <c r="H4646">
        <v>0</v>
      </c>
    </row>
    <row r="4647" spans="8:8" x14ac:dyDescent="0.2">
      <c r="H4647">
        <v>0</v>
      </c>
    </row>
    <row r="4648" spans="8:8" x14ac:dyDescent="0.2">
      <c r="H4648">
        <v>0</v>
      </c>
    </row>
    <row r="4649" spans="8:8" x14ac:dyDescent="0.2">
      <c r="H4649">
        <v>0</v>
      </c>
    </row>
    <row r="4650" spans="8:8" x14ac:dyDescent="0.2">
      <c r="H4650">
        <v>0</v>
      </c>
    </row>
    <row r="4651" spans="8:8" x14ac:dyDescent="0.2">
      <c r="H4651">
        <v>0</v>
      </c>
    </row>
    <row r="4652" spans="8:8" x14ac:dyDescent="0.2">
      <c r="H4652">
        <v>0</v>
      </c>
    </row>
    <row r="4653" spans="8:8" x14ac:dyDescent="0.2">
      <c r="H4653">
        <v>0</v>
      </c>
    </row>
    <row r="4654" spans="8:8" x14ac:dyDescent="0.2">
      <c r="H4654">
        <v>0</v>
      </c>
    </row>
    <row r="4655" spans="8:8" x14ac:dyDescent="0.2">
      <c r="H4655">
        <v>0</v>
      </c>
    </row>
    <row r="4656" spans="8:8" x14ac:dyDescent="0.2">
      <c r="H4656">
        <v>0</v>
      </c>
    </row>
    <row r="4657" spans="8:8" x14ac:dyDescent="0.2">
      <c r="H4657">
        <v>0</v>
      </c>
    </row>
    <row r="4658" spans="8:8" x14ac:dyDescent="0.2">
      <c r="H4658">
        <v>0</v>
      </c>
    </row>
    <row r="4659" spans="8:8" x14ac:dyDescent="0.2">
      <c r="H4659">
        <v>0</v>
      </c>
    </row>
    <row r="4660" spans="8:8" x14ac:dyDescent="0.2">
      <c r="H4660">
        <v>0</v>
      </c>
    </row>
    <row r="4661" spans="8:8" x14ac:dyDescent="0.2">
      <c r="H4661">
        <v>0</v>
      </c>
    </row>
    <row r="4662" spans="8:8" x14ac:dyDescent="0.2">
      <c r="H4662">
        <v>0</v>
      </c>
    </row>
    <row r="4663" spans="8:8" x14ac:dyDescent="0.2">
      <c r="H4663">
        <v>0</v>
      </c>
    </row>
    <row r="4664" spans="8:8" x14ac:dyDescent="0.2">
      <c r="H4664">
        <v>0</v>
      </c>
    </row>
    <row r="4665" spans="8:8" x14ac:dyDescent="0.2">
      <c r="H4665">
        <v>0</v>
      </c>
    </row>
    <row r="4666" spans="8:8" x14ac:dyDescent="0.2">
      <c r="H4666">
        <v>0</v>
      </c>
    </row>
    <row r="4667" spans="8:8" x14ac:dyDescent="0.2">
      <c r="H4667">
        <v>0</v>
      </c>
    </row>
    <row r="4668" spans="8:8" x14ac:dyDescent="0.2">
      <c r="H4668">
        <v>0</v>
      </c>
    </row>
    <row r="4669" spans="8:8" x14ac:dyDescent="0.2">
      <c r="H4669">
        <v>0</v>
      </c>
    </row>
    <row r="4670" spans="8:8" x14ac:dyDescent="0.2">
      <c r="H4670">
        <v>0</v>
      </c>
    </row>
    <row r="4671" spans="8:8" x14ac:dyDescent="0.2">
      <c r="H4671">
        <v>0</v>
      </c>
    </row>
    <row r="4672" spans="8:8" x14ac:dyDescent="0.2">
      <c r="H4672">
        <v>0</v>
      </c>
    </row>
    <row r="4673" spans="8:8" x14ac:dyDescent="0.2">
      <c r="H4673">
        <v>0</v>
      </c>
    </row>
    <row r="4674" spans="8:8" x14ac:dyDescent="0.2">
      <c r="H4674">
        <v>0</v>
      </c>
    </row>
    <row r="4675" spans="8:8" x14ac:dyDescent="0.2">
      <c r="H4675">
        <v>0</v>
      </c>
    </row>
    <row r="4676" spans="8:8" x14ac:dyDescent="0.2">
      <c r="H4676">
        <v>0</v>
      </c>
    </row>
    <row r="4677" spans="8:8" x14ac:dyDescent="0.2">
      <c r="H4677">
        <v>0</v>
      </c>
    </row>
    <row r="4678" spans="8:8" x14ac:dyDescent="0.2">
      <c r="H4678">
        <v>0</v>
      </c>
    </row>
    <row r="4679" spans="8:8" x14ac:dyDescent="0.2">
      <c r="H4679">
        <v>0</v>
      </c>
    </row>
    <row r="4680" spans="8:8" x14ac:dyDescent="0.2">
      <c r="H4680">
        <v>0</v>
      </c>
    </row>
    <row r="4681" spans="8:8" x14ac:dyDescent="0.2">
      <c r="H4681">
        <v>0</v>
      </c>
    </row>
    <row r="4682" spans="8:8" x14ac:dyDescent="0.2">
      <c r="H4682">
        <v>0</v>
      </c>
    </row>
    <row r="4683" spans="8:8" x14ac:dyDescent="0.2">
      <c r="H4683">
        <v>0</v>
      </c>
    </row>
    <row r="4684" spans="8:8" x14ac:dyDescent="0.2">
      <c r="H4684">
        <v>0</v>
      </c>
    </row>
    <row r="4685" spans="8:8" x14ac:dyDescent="0.2">
      <c r="H4685">
        <v>0</v>
      </c>
    </row>
    <row r="4686" spans="8:8" x14ac:dyDescent="0.2">
      <c r="H4686">
        <v>0</v>
      </c>
    </row>
    <row r="4687" spans="8:8" x14ac:dyDescent="0.2">
      <c r="H4687">
        <v>0</v>
      </c>
    </row>
    <row r="4688" spans="8:8" x14ac:dyDescent="0.2">
      <c r="H4688">
        <v>0</v>
      </c>
    </row>
    <row r="4689" spans="8:8" x14ac:dyDescent="0.2">
      <c r="H4689">
        <v>0</v>
      </c>
    </row>
    <row r="4690" spans="8:8" x14ac:dyDescent="0.2">
      <c r="H4690">
        <v>0</v>
      </c>
    </row>
    <row r="4691" spans="8:8" x14ac:dyDescent="0.2">
      <c r="H4691">
        <v>0</v>
      </c>
    </row>
    <row r="4692" spans="8:8" x14ac:dyDescent="0.2">
      <c r="H4692">
        <v>0</v>
      </c>
    </row>
    <row r="4693" spans="8:8" x14ac:dyDescent="0.2">
      <c r="H4693">
        <v>0</v>
      </c>
    </row>
    <row r="4694" spans="8:8" x14ac:dyDescent="0.2">
      <c r="H4694">
        <v>0</v>
      </c>
    </row>
    <row r="4695" spans="8:8" x14ac:dyDescent="0.2">
      <c r="H4695">
        <v>0</v>
      </c>
    </row>
    <row r="4696" spans="8:8" x14ac:dyDescent="0.2">
      <c r="H4696">
        <v>0</v>
      </c>
    </row>
    <row r="4697" spans="8:8" x14ac:dyDescent="0.2">
      <c r="H4697">
        <v>0</v>
      </c>
    </row>
    <row r="4698" spans="8:8" x14ac:dyDescent="0.2">
      <c r="H4698">
        <v>0</v>
      </c>
    </row>
    <row r="4699" spans="8:8" x14ac:dyDescent="0.2">
      <c r="H4699">
        <v>0</v>
      </c>
    </row>
    <row r="4700" spans="8:8" x14ac:dyDescent="0.2">
      <c r="H4700">
        <v>0</v>
      </c>
    </row>
    <row r="4701" spans="8:8" x14ac:dyDescent="0.2">
      <c r="H4701">
        <v>0</v>
      </c>
    </row>
    <row r="4702" spans="8:8" x14ac:dyDescent="0.2">
      <c r="H4702">
        <v>0</v>
      </c>
    </row>
    <row r="4703" spans="8:8" x14ac:dyDescent="0.2">
      <c r="H4703">
        <v>0</v>
      </c>
    </row>
    <row r="4704" spans="8:8" x14ac:dyDescent="0.2">
      <c r="H4704">
        <v>0</v>
      </c>
    </row>
    <row r="4705" spans="8:8" x14ac:dyDescent="0.2">
      <c r="H4705">
        <v>0</v>
      </c>
    </row>
    <row r="4706" spans="8:8" x14ac:dyDescent="0.2">
      <c r="H4706">
        <v>0</v>
      </c>
    </row>
    <row r="4707" spans="8:8" x14ac:dyDescent="0.2">
      <c r="H4707">
        <v>0</v>
      </c>
    </row>
    <row r="4708" spans="8:8" x14ac:dyDescent="0.2">
      <c r="H4708">
        <v>0</v>
      </c>
    </row>
    <row r="4709" spans="8:8" x14ac:dyDescent="0.2">
      <c r="H4709">
        <v>0</v>
      </c>
    </row>
    <row r="4710" spans="8:8" x14ac:dyDescent="0.2">
      <c r="H4710">
        <v>0</v>
      </c>
    </row>
    <row r="4711" spans="8:8" x14ac:dyDescent="0.2">
      <c r="H4711">
        <v>0</v>
      </c>
    </row>
    <row r="4712" spans="8:8" x14ac:dyDescent="0.2">
      <c r="H4712">
        <v>0</v>
      </c>
    </row>
    <row r="4713" spans="8:8" x14ac:dyDescent="0.2">
      <c r="H4713">
        <v>0</v>
      </c>
    </row>
    <row r="4714" spans="8:8" x14ac:dyDescent="0.2">
      <c r="H4714">
        <v>0</v>
      </c>
    </row>
    <row r="4715" spans="8:8" x14ac:dyDescent="0.2">
      <c r="H4715">
        <v>0</v>
      </c>
    </row>
    <row r="4716" spans="8:8" x14ac:dyDescent="0.2">
      <c r="H4716">
        <v>0</v>
      </c>
    </row>
    <row r="4717" spans="8:8" x14ac:dyDescent="0.2">
      <c r="H4717">
        <v>0</v>
      </c>
    </row>
    <row r="4718" spans="8:8" x14ac:dyDescent="0.2">
      <c r="H4718">
        <v>0</v>
      </c>
    </row>
    <row r="4719" spans="8:8" x14ac:dyDescent="0.2">
      <c r="H4719">
        <v>0</v>
      </c>
    </row>
    <row r="4720" spans="8:8" x14ac:dyDescent="0.2">
      <c r="H4720">
        <v>0</v>
      </c>
    </row>
    <row r="4721" spans="8:8" x14ac:dyDescent="0.2">
      <c r="H4721">
        <v>0</v>
      </c>
    </row>
    <row r="4722" spans="8:8" x14ac:dyDescent="0.2">
      <c r="H4722">
        <v>0</v>
      </c>
    </row>
    <row r="4723" spans="8:8" x14ac:dyDescent="0.2">
      <c r="H4723">
        <v>0</v>
      </c>
    </row>
    <row r="4724" spans="8:8" x14ac:dyDescent="0.2">
      <c r="H4724">
        <v>0</v>
      </c>
    </row>
    <row r="4725" spans="8:8" x14ac:dyDescent="0.2">
      <c r="H4725">
        <v>0</v>
      </c>
    </row>
    <row r="4726" spans="8:8" x14ac:dyDescent="0.2">
      <c r="H4726">
        <v>0</v>
      </c>
    </row>
    <row r="4727" spans="8:8" x14ac:dyDescent="0.2">
      <c r="H4727">
        <v>0</v>
      </c>
    </row>
    <row r="4728" spans="8:8" x14ac:dyDescent="0.2">
      <c r="H4728">
        <v>0</v>
      </c>
    </row>
    <row r="4729" spans="8:8" x14ac:dyDescent="0.2">
      <c r="H4729">
        <v>0</v>
      </c>
    </row>
    <row r="4730" spans="8:8" x14ac:dyDescent="0.2">
      <c r="H4730">
        <v>0</v>
      </c>
    </row>
    <row r="4731" spans="8:8" x14ac:dyDescent="0.2">
      <c r="H4731">
        <v>0</v>
      </c>
    </row>
    <row r="4732" spans="8:8" x14ac:dyDescent="0.2">
      <c r="H4732">
        <v>0</v>
      </c>
    </row>
    <row r="4733" spans="8:8" x14ac:dyDescent="0.2">
      <c r="H4733">
        <v>0</v>
      </c>
    </row>
    <row r="4734" spans="8:8" x14ac:dyDescent="0.2">
      <c r="H4734">
        <v>0</v>
      </c>
    </row>
    <row r="4735" spans="8:8" x14ac:dyDescent="0.2">
      <c r="H4735">
        <v>0</v>
      </c>
    </row>
    <row r="4736" spans="8:8" x14ac:dyDescent="0.2">
      <c r="H4736">
        <v>0</v>
      </c>
    </row>
    <row r="4737" spans="8:8" x14ac:dyDescent="0.2">
      <c r="H4737">
        <v>0</v>
      </c>
    </row>
    <row r="4738" spans="8:8" x14ac:dyDescent="0.2">
      <c r="H4738">
        <v>0</v>
      </c>
    </row>
    <row r="4739" spans="8:8" x14ac:dyDescent="0.2">
      <c r="H4739">
        <v>0</v>
      </c>
    </row>
    <row r="4740" spans="8:8" x14ac:dyDescent="0.2">
      <c r="H4740">
        <v>0</v>
      </c>
    </row>
    <row r="4741" spans="8:8" x14ac:dyDescent="0.2">
      <c r="H4741">
        <v>0</v>
      </c>
    </row>
    <row r="4742" spans="8:8" x14ac:dyDescent="0.2">
      <c r="H4742">
        <v>0</v>
      </c>
    </row>
    <row r="4743" spans="8:8" x14ac:dyDescent="0.2">
      <c r="H4743">
        <v>0</v>
      </c>
    </row>
    <row r="4744" spans="8:8" x14ac:dyDescent="0.2">
      <c r="H4744">
        <v>0</v>
      </c>
    </row>
    <row r="4745" spans="8:8" x14ac:dyDescent="0.2">
      <c r="H4745">
        <v>0</v>
      </c>
    </row>
    <row r="4746" spans="8:8" x14ac:dyDescent="0.2">
      <c r="H4746">
        <v>0</v>
      </c>
    </row>
    <row r="4747" spans="8:8" x14ac:dyDescent="0.2">
      <c r="H4747">
        <v>0</v>
      </c>
    </row>
    <row r="4748" spans="8:8" x14ac:dyDescent="0.2">
      <c r="H4748">
        <v>0</v>
      </c>
    </row>
    <row r="4749" spans="8:8" x14ac:dyDescent="0.2">
      <c r="H4749">
        <v>0</v>
      </c>
    </row>
    <row r="4750" spans="8:8" x14ac:dyDescent="0.2">
      <c r="H4750">
        <v>0</v>
      </c>
    </row>
    <row r="4751" spans="8:8" x14ac:dyDescent="0.2">
      <c r="H4751">
        <v>0</v>
      </c>
    </row>
    <row r="4752" spans="8:8" x14ac:dyDescent="0.2">
      <c r="H4752">
        <v>0</v>
      </c>
    </row>
    <row r="4753" spans="8:8" x14ac:dyDescent="0.2">
      <c r="H4753">
        <v>0</v>
      </c>
    </row>
    <row r="4754" spans="8:8" x14ac:dyDescent="0.2">
      <c r="H4754">
        <v>0</v>
      </c>
    </row>
    <row r="4755" spans="8:8" x14ac:dyDescent="0.2">
      <c r="H4755">
        <v>0</v>
      </c>
    </row>
    <row r="4756" spans="8:8" x14ac:dyDescent="0.2">
      <c r="H4756">
        <v>0</v>
      </c>
    </row>
    <row r="4757" spans="8:8" x14ac:dyDescent="0.2">
      <c r="H4757">
        <v>0</v>
      </c>
    </row>
    <row r="4758" spans="8:8" x14ac:dyDescent="0.2">
      <c r="H4758">
        <v>0</v>
      </c>
    </row>
    <row r="4759" spans="8:8" x14ac:dyDescent="0.2">
      <c r="H4759">
        <v>0</v>
      </c>
    </row>
    <row r="4760" spans="8:8" x14ac:dyDescent="0.2">
      <c r="H4760">
        <v>0</v>
      </c>
    </row>
    <row r="4761" spans="8:8" x14ac:dyDescent="0.2">
      <c r="H4761">
        <v>0</v>
      </c>
    </row>
    <row r="4762" spans="8:8" x14ac:dyDescent="0.2">
      <c r="H4762">
        <v>0</v>
      </c>
    </row>
    <row r="4763" spans="8:8" x14ac:dyDescent="0.2">
      <c r="H4763">
        <v>0</v>
      </c>
    </row>
    <row r="4764" spans="8:8" x14ac:dyDescent="0.2">
      <c r="H4764">
        <v>0</v>
      </c>
    </row>
    <row r="4765" spans="8:8" x14ac:dyDescent="0.2">
      <c r="H4765">
        <v>0</v>
      </c>
    </row>
    <row r="4766" spans="8:8" x14ac:dyDescent="0.2">
      <c r="H4766">
        <v>0</v>
      </c>
    </row>
    <row r="4767" spans="8:8" x14ac:dyDescent="0.2">
      <c r="H4767">
        <v>0</v>
      </c>
    </row>
    <row r="4768" spans="8:8" x14ac:dyDescent="0.2">
      <c r="H4768">
        <v>0</v>
      </c>
    </row>
    <row r="4769" spans="8:8" x14ac:dyDescent="0.2">
      <c r="H4769">
        <v>0</v>
      </c>
    </row>
    <row r="4770" spans="8:8" x14ac:dyDescent="0.2">
      <c r="H4770">
        <v>0</v>
      </c>
    </row>
    <row r="4771" spans="8:8" x14ac:dyDescent="0.2">
      <c r="H4771">
        <v>0</v>
      </c>
    </row>
    <row r="4772" spans="8:8" x14ac:dyDescent="0.2">
      <c r="H4772">
        <v>0</v>
      </c>
    </row>
    <row r="4773" spans="8:8" x14ac:dyDescent="0.2">
      <c r="H4773">
        <v>0</v>
      </c>
    </row>
    <row r="4774" spans="8:8" x14ac:dyDescent="0.2">
      <c r="H4774">
        <v>0</v>
      </c>
    </row>
    <row r="4775" spans="8:8" x14ac:dyDescent="0.2">
      <c r="H4775">
        <v>0</v>
      </c>
    </row>
    <row r="4776" spans="8:8" x14ac:dyDescent="0.2">
      <c r="H4776">
        <v>0</v>
      </c>
    </row>
    <row r="4777" spans="8:8" x14ac:dyDescent="0.2">
      <c r="H4777">
        <v>0</v>
      </c>
    </row>
    <row r="4778" spans="8:8" x14ac:dyDescent="0.2">
      <c r="H4778">
        <v>0</v>
      </c>
    </row>
    <row r="4779" spans="8:8" x14ac:dyDescent="0.2">
      <c r="H4779">
        <v>0</v>
      </c>
    </row>
    <row r="4780" spans="8:8" x14ac:dyDescent="0.2">
      <c r="H4780">
        <v>0</v>
      </c>
    </row>
    <row r="4781" spans="8:8" x14ac:dyDescent="0.2">
      <c r="H4781">
        <v>0</v>
      </c>
    </row>
    <row r="4782" spans="8:8" x14ac:dyDescent="0.2">
      <c r="H4782">
        <v>0</v>
      </c>
    </row>
    <row r="4783" spans="8:8" x14ac:dyDescent="0.2">
      <c r="H4783">
        <v>0</v>
      </c>
    </row>
    <row r="4784" spans="8:8" x14ac:dyDescent="0.2">
      <c r="H4784">
        <v>0</v>
      </c>
    </row>
    <row r="4785" spans="8:8" x14ac:dyDescent="0.2">
      <c r="H4785">
        <v>0</v>
      </c>
    </row>
    <row r="4786" spans="8:8" x14ac:dyDescent="0.2">
      <c r="H4786">
        <v>0</v>
      </c>
    </row>
    <row r="4787" spans="8:8" x14ac:dyDescent="0.2">
      <c r="H4787">
        <v>0</v>
      </c>
    </row>
    <row r="4788" spans="8:8" x14ac:dyDescent="0.2">
      <c r="H4788">
        <v>0</v>
      </c>
    </row>
    <row r="4789" spans="8:8" x14ac:dyDescent="0.2">
      <c r="H4789">
        <v>0</v>
      </c>
    </row>
    <row r="4790" spans="8:8" x14ac:dyDescent="0.2">
      <c r="H4790">
        <v>0</v>
      </c>
    </row>
    <row r="4791" spans="8:8" x14ac:dyDescent="0.2">
      <c r="H4791">
        <v>0</v>
      </c>
    </row>
    <row r="4792" spans="8:8" x14ac:dyDescent="0.2">
      <c r="H4792">
        <v>0</v>
      </c>
    </row>
    <row r="4793" spans="8:8" x14ac:dyDescent="0.2">
      <c r="H4793">
        <v>0</v>
      </c>
    </row>
    <row r="4794" spans="8:8" x14ac:dyDescent="0.2">
      <c r="H4794">
        <v>0</v>
      </c>
    </row>
    <row r="4795" spans="8:8" x14ac:dyDescent="0.2">
      <c r="H4795">
        <v>0</v>
      </c>
    </row>
    <row r="4796" spans="8:8" x14ac:dyDescent="0.2">
      <c r="H4796">
        <v>0</v>
      </c>
    </row>
    <row r="4797" spans="8:8" x14ac:dyDescent="0.2">
      <c r="H4797">
        <v>0</v>
      </c>
    </row>
    <row r="4798" spans="8:8" x14ac:dyDescent="0.2">
      <c r="H4798">
        <v>0</v>
      </c>
    </row>
    <row r="4799" spans="8:8" x14ac:dyDescent="0.2">
      <c r="H4799">
        <v>0</v>
      </c>
    </row>
    <row r="4800" spans="8:8" x14ac:dyDescent="0.2">
      <c r="H4800">
        <v>0</v>
      </c>
    </row>
    <row r="4801" spans="8:8" x14ac:dyDescent="0.2">
      <c r="H4801">
        <v>0</v>
      </c>
    </row>
    <row r="4802" spans="8:8" x14ac:dyDescent="0.2">
      <c r="H4802">
        <v>0</v>
      </c>
    </row>
    <row r="4803" spans="8:8" x14ac:dyDescent="0.2">
      <c r="H4803">
        <v>0</v>
      </c>
    </row>
    <row r="4804" spans="8:8" x14ac:dyDescent="0.2">
      <c r="H4804">
        <v>0</v>
      </c>
    </row>
    <row r="4805" spans="8:8" x14ac:dyDescent="0.2">
      <c r="H4805">
        <v>0</v>
      </c>
    </row>
    <row r="4806" spans="8:8" x14ac:dyDescent="0.2">
      <c r="H4806">
        <v>0</v>
      </c>
    </row>
    <row r="4807" spans="8:8" x14ac:dyDescent="0.2">
      <c r="H4807">
        <v>0</v>
      </c>
    </row>
    <row r="4808" spans="8:8" x14ac:dyDescent="0.2">
      <c r="H4808">
        <v>0</v>
      </c>
    </row>
    <row r="4809" spans="8:8" x14ac:dyDescent="0.2">
      <c r="H4809">
        <v>0</v>
      </c>
    </row>
    <row r="4810" spans="8:8" x14ac:dyDescent="0.2">
      <c r="H4810">
        <v>0</v>
      </c>
    </row>
    <row r="4811" spans="8:8" x14ac:dyDescent="0.2">
      <c r="H4811">
        <v>0</v>
      </c>
    </row>
    <row r="4812" spans="8:8" x14ac:dyDescent="0.2">
      <c r="H4812">
        <v>0</v>
      </c>
    </row>
    <row r="4813" spans="8:8" x14ac:dyDescent="0.2">
      <c r="H4813">
        <v>0</v>
      </c>
    </row>
    <row r="4814" spans="8:8" x14ac:dyDescent="0.2">
      <c r="H4814">
        <v>0</v>
      </c>
    </row>
    <row r="4815" spans="8:8" x14ac:dyDescent="0.2">
      <c r="H4815">
        <v>0</v>
      </c>
    </row>
    <row r="4816" spans="8:8" x14ac:dyDescent="0.2">
      <c r="H4816">
        <v>0</v>
      </c>
    </row>
    <row r="4817" spans="8:8" x14ac:dyDescent="0.2">
      <c r="H4817">
        <v>0</v>
      </c>
    </row>
    <row r="4818" spans="8:8" x14ac:dyDescent="0.2">
      <c r="H4818">
        <v>0</v>
      </c>
    </row>
    <row r="4819" spans="8:8" x14ac:dyDescent="0.2">
      <c r="H4819">
        <v>0</v>
      </c>
    </row>
    <row r="4820" spans="8:8" x14ac:dyDescent="0.2">
      <c r="H4820">
        <v>0</v>
      </c>
    </row>
    <row r="4821" spans="8:8" x14ac:dyDescent="0.2">
      <c r="H4821">
        <v>0</v>
      </c>
    </row>
    <row r="4822" spans="8:8" x14ac:dyDescent="0.2">
      <c r="H4822">
        <v>0</v>
      </c>
    </row>
    <row r="4823" spans="8:8" x14ac:dyDescent="0.2">
      <c r="H4823">
        <v>0</v>
      </c>
    </row>
    <row r="4824" spans="8:8" x14ac:dyDescent="0.2">
      <c r="H4824">
        <v>0</v>
      </c>
    </row>
    <row r="4825" spans="8:8" x14ac:dyDescent="0.2">
      <c r="H4825">
        <v>0</v>
      </c>
    </row>
    <row r="4826" spans="8:8" x14ac:dyDescent="0.2">
      <c r="H4826">
        <v>0</v>
      </c>
    </row>
    <row r="4827" spans="8:8" x14ac:dyDescent="0.2">
      <c r="H4827">
        <v>0</v>
      </c>
    </row>
    <row r="4828" spans="8:8" x14ac:dyDescent="0.2">
      <c r="H4828">
        <v>0</v>
      </c>
    </row>
    <row r="4829" spans="8:8" x14ac:dyDescent="0.2">
      <c r="H4829">
        <v>0</v>
      </c>
    </row>
    <row r="4830" spans="8:8" x14ac:dyDescent="0.2">
      <c r="H4830">
        <v>0</v>
      </c>
    </row>
    <row r="4831" spans="8:8" x14ac:dyDescent="0.2">
      <c r="H4831">
        <v>0</v>
      </c>
    </row>
    <row r="4832" spans="8:8" x14ac:dyDescent="0.2">
      <c r="H4832">
        <v>0</v>
      </c>
    </row>
    <row r="4833" spans="8:8" x14ac:dyDescent="0.2">
      <c r="H4833">
        <v>0</v>
      </c>
    </row>
    <row r="4834" spans="8:8" x14ac:dyDescent="0.2">
      <c r="H4834">
        <v>0</v>
      </c>
    </row>
    <row r="4835" spans="8:8" x14ac:dyDescent="0.2">
      <c r="H4835">
        <v>0</v>
      </c>
    </row>
    <row r="4836" spans="8:8" x14ac:dyDescent="0.2">
      <c r="H4836">
        <v>0</v>
      </c>
    </row>
    <row r="4837" spans="8:8" x14ac:dyDescent="0.2">
      <c r="H4837">
        <v>0</v>
      </c>
    </row>
    <row r="4838" spans="8:8" x14ac:dyDescent="0.2">
      <c r="H4838">
        <v>0</v>
      </c>
    </row>
    <row r="4839" spans="8:8" x14ac:dyDescent="0.2">
      <c r="H4839">
        <v>0</v>
      </c>
    </row>
    <row r="4840" spans="8:8" x14ac:dyDescent="0.2">
      <c r="H4840">
        <v>0</v>
      </c>
    </row>
    <row r="4841" spans="8:8" x14ac:dyDescent="0.2">
      <c r="H4841">
        <v>0</v>
      </c>
    </row>
    <row r="4842" spans="8:8" x14ac:dyDescent="0.2">
      <c r="H4842">
        <v>0</v>
      </c>
    </row>
    <row r="4843" spans="8:8" x14ac:dyDescent="0.2">
      <c r="H4843">
        <v>0</v>
      </c>
    </row>
    <row r="4844" spans="8:8" x14ac:dyDescent="0.2">
      <c r="H4844">
        <v>0</v>
      </c>
    </row>
    <row r="4845" spans="8:8" x14ac:dyDescent="0.2">
      <c r="H4845">
        <v>0</v>
      </c>
    </row>
    <row r="4846" spans="8:8" x14ac:dyDescent="0.2">
      <c r="H4846">
        <v>0</v>
      </c>
    </row>
    <row r="4847" spans="8:8" x14ac:dyDescent="0.2">
      <c r="H4847">
        <v>0</v>
      </c>
    </row>
    <row r="4848" spans="8:8" x14ac:dyDescent="0.2">
      <c r="H4848">
        <v>0</v>
      </c>
    </row>
    <row r="4849" spans="8:8" x14ac:dyDescent="0.2">
      <c r="H4849">
        <v>0</v>
      </c>
    </row>
    <row r="4850" spans="8:8" x14ac:dyDescent="0.2">
      <c r="H4850">
        <v>0</v>
      </c>
    </row>
    <row r="4851" spans="8:8" x14ac:dyDescent="0.2">
      <c r="H4851">
        <v>0</v>
      </c>
    </row>
    <row r="4852" spans="8:8" x14ac:dyDescent="0.2">
      <c r="H4852">
        <v>0</v>
      </c>
    </row>
    <row r="4853" spans="8:8" x14ac:dyDescent="0.2">
      <c r="H4853">
        <v>0</v>
      </c>
    </row>
    <row r="4854" spans="8:8" x14ac:dyDescent="0.2">
      <c r="H4854">
        <v>0</v>
      </c>
    </row>
    <row r="4855" spans="8:8" x14ac:dyDescent="0.2">
      <c r="H4855">
        <v>0</v>
      </c>
    </row>
    <row r="4856" spans="8:8" x14ac:dyDescent="0.2">
      <c r="H4856">
        <v>0</v>
      </c>
    </row>
    <row r="4857" spans="8:8" x14ac:dyDescent="0.2">
      <c r="H4857">
        <v>0</v>
      </c>
    </row>
    <row r="4858" spans="8:8" x14ac:dyDescent="0.2">
      <c r="H4858">
        <v>0</v>
      </c>
    </row>
    <row r="4859" spans="8:8" x14ac:dyDescent="0.2">
      <c r="H4859">
        <v>0</v>
      </c>
    </row>
    <row r="4860" spans="8:8" x14ac:dyDescent="0.2">
      <c r="H4860">
        <v>0</v>
      </c>
    </row>
    <row r="4861" spans="8:8" x14ac:dyDescent="0.2">
      <c r="H4861">
        <v>0</v>
      </c>
    </row>
    <row r="4862" spans="8:8" x14ac:dyDescent="0.2">
      <c r="H4862">
        <v>0</v>
      </c>
    </row>
    <row r="4863" spans="8:8" x14ac:dyDescent="0.2">
      <c r="H4863">
        <v>0</v>
      </c>
    </row>
    <row r="4864" spans="8:8" x14ac:dyDescent="0.2">
      <c r="H4864">
        <v>0</v>
      </c>
    </row>
    <row r="4865" spans="8:8" x14ac:dyDescent="0.2">
      <c r="H4865">
        <v>0</v>
      </c>
    </row>
    <row r="4866" spans="8:8" x14ac:dyDescent="0.2">
      <c r="H4866">
        <v>0</v>
      </c>
    </row>
    <row r="4867" spans="8:8" x14ac:dyDescent="0.2">
      <c r="H4867">
        <v>0</v>
      </c>
    </row>
    <row r="4868" spans="8:8" x14ac:dyDescent="0.2">
      <c r="H4868">
        <v>0</v>
      </c>
    </row>
    <row r="4869" spans="8:8" x14ac:dyDescent="0.2">
      <c r="H4869">
        <v>0</v>
      </c>
    </row>
    <row r="4870" spans="8:8" x14ac:dyDescent="0.2">
      <c r="H4870">
        <v>0</v>
      </c>
    </row>
    <row r="4871" spans="8:8" x14ac:dyDescent="0.2">
      <c r="H4871">
        <v>0</v>
      </c>
    </row>
    <row r="4872" spans="8:8" x14ac:dyDescent="0.2">
      <c r="H4872">
        <v>0</v>
      </c>
    </row>
    <row r="4873" spans="8:8" x14ac:dyDescent="0.2">
      <c r="H4873">
        <v>0</v>
      </c>
    </row>
    <row r="4874" spans="8:8" x14ac:dyDescent="0.2">
      <c r="H4874">
        <v>0</v>
      </c>
    </row>
    <row r="4875" spans="8:8" x14ac:dyDescent="0.2">
      <c r="H4875">
        <v>0</v>
      </c>
    </row>
    <row r="4876" spans="8:8" x14ac:dyDescent="0.2">
      <c r="H4876">
        <v>0</v>
      </c>
    </row>
    <row r="4877" spans="8:8" x14ac:dyDescent="0.2">
      <c r="H4877">
        <v>0</v>
      </c>
    </row>
    <row r="4878" spans="8:8" x14ac:dyDescent="0.2">
      <c r="H4878">
        <v>0</v>
      </c>
    </row>
    <row r="4879" spans="8:8" x14ac:dyDescent="0.2">
      <c r="H4879">
        <v>0</v>
      </c>
    </row>
    <row r="4880" spans="8:8" x14ac:dyDescent="0.2">
      <c r="H4880">
        <v>0</v>
      </c>
    </row>
    <row r="4881" spans="8:8" x14ac:dyDescent="0.2">
      <c r="H4881">
        <v>0</v>
      </c>
    </row>
    <row r="4882" spans="8:8" x14ac:dyDescent="0.2">
      <c r="H4882">
        <v>0</v>
      </c>
    </row>
    <row r="4883" spans="8:8" x14ac:dyDescent="0.2">
      <c r="H4883">
        <v>0</v>
      </c>
    </row>
    <row r="4884" spans="8:8" x14ac:dyDescent="0.2">
      <c r="H4884">
        <v>0</v>
      </c>
    </row>
    <row r="4885" spans="8:8" x14ac:dyDescent="0.2">
      <c r="H4885">
        <v>0</v>
      </c>
    </row>
    <row r="4886" spans="8:8" x14ac:dyDescent="0.2">
      <c r="H4886">
        <v>0</v>
      </c>
    </row>
    <row r="4887" spans="8:8" x14ac:dyDescent="0.2">
      <c r="H4887">
        <v>0</v>
      </c>
    </row>
    <row r="4888" spans="8:8" x14ac:dyDescent="0.2">
      <c r="H4888">
        <v>0</v>
      </c>
    </row>
    <row r="4889" spans="8:8" x14ac:dyDescent="0.2">
      <c r="H4889">
        <v>0</v>
      </c>
    </row>
    <row r="4890" spans="8:8" x14ac:dyDescent="0.2">
      <c r="H4890">
        <v>0</v>
      </c>
    </row>
    <row r="4891" spans="8:8" x14ac:dyDescent="0.2">
      <c r="H4891">
        <v>0</v>
      </c>
    </row>
    <row r="4892" spans="8:8" x14ac:dyDescent="0.2">
      <c r="H4892">
        <v>0</v>
      </c>
    </row>
    <row r="4893" spans="8:8" x14ac:dyDescent="0.2">
      <c r="H4893">
        <v>0</v>
      </c>
    </row>
    <row r="4894" spans="8:8" x14ac:dyDescent="0.2">
      <c r="H4894">
        <v>0</v>
      </c>
    </row>
    <row r="4895" spans="8:8" x14ac:dyDescent="0.2">
      <c r="H4895">
        <v>0</v>
      </c>
    </row>
    <row r="4896" spans="8:8" x14ac:dyDescent="0.2">
      <c r="H4896">
        <v>0</v>
      </c>
    </row>
    <row r="4897" spans="8:8" x14ac:dyDescent="0.2">
      <c r="H4897">
        <v>0</v>
      </c>
    </row>
    <row r="4898" spans="8:8" x14ac:dyDescent="0.2">
      <c r="H4898">
        <v>0</v>
      </c>
    </row>
    <row r="4899" spans="8:8" x14ac:dyDescent="0.2">
      <c r="H4899">
        <v>0</v>
      </c>
    </row>
    <row r="4900" spans="8:8" x14ac:dyDescent="0.2">
      <c r="H4900">
        <v>0</v>
      </c>
    </row>
    <row r="4901" spans="8:8" x14ac:dyDescent="0.2">
      <c r="H4901">
        <v>0</v>
      </c>
    </row>
    <row r="4902" spans="8:8" x14ac:dyDescent="0.2">
      <c r="H4902">
        <v>0</v>
      </c>
    </row>
    <row r="4903" spans="8:8" x14ac:dyDescent="0.2">
      <c r="H4903">
        <v>0</v>
      </c>
    </row>
    <row r="4904" spans="8:8" x14ac:dyDescent="0.2">
      <c r="H4904">
        <v>0</v>
      </c>
    </row>
    <row r="4905" spans="8:8" x14ac:dyDescent="0.2">
      <c r="H4905">
        <v>0</v>
      </c>
    </row>
    <row r="4906" spans="8:8" x14ac:dyDescent="0.2">
      <c r="H4906">
        <v>0</v>
      </c>
    </row>
    <row r="4907" spans="8:8" x14ac:dyDescent="0.2">
      <c r="H4907">
        <v>0</v>
      </c>
    </row>
    <row r="4908" spans="8:8" x14ac:dyDescent="0.2">
      <c r="H4908">
        <v>0</v>
      </c>
    </row>
    <row r="4909" spans="8:8" x14ac:dyDescent="0.2">
      <c r="H4909">
        <v>0</v>
      </c>
    </row>
    <row r="4910" spans="8:8" x14ac:dyDescent="0.2">
      <c r="H4910">
        <v>0</v>
      </c>
    </row>
    <row r="4911" spans="8:8" x14ac:dyDescent="0.2">
      <c r="H4911">
        <v>0</v>
      </c>
    </row>
    <row r="4912" spans="8:8" x14ac:dyDescent="0.2">
      <c r="H4912">
        <v>0</v>
      </c>
    </row>
    <row r="4913" spans="8:8" x14ac:dyDescent="0.2">
      <c r="H4913">
        <v>0</v>
      </c>
    </row>
    <row r="4914" spans="8:8" x14ac:dyDescent="0.2">
      <c r="H4914">
        <v>0</v>
      </c>
    </row>
    <row r="4915" spans="8:8" x14ac:dyDescent="0.2">
      <c r="H4915">
        <v>0</v>
      </c>
    </row>
    <row r="4916" spans="8:8" x14ac:dyDescent="0.2">
      <c r="H4916">
        <v>0</v>
      </c>
    </row>
    <row r="4917" spans="8:8" x14ac:dyDescent="0.2">
      <c r="H4917">
        <v>0</v>
      </c>
    </row>
    <row r="4918" spans="8:8" x14ac:dyDescent="0.2">
      <c r="H4918">
        <v>0</v>
      </c>
    </row>
    <row r="4919" spans="8:8" x14ac:dyDescent="0.2">
      <c r="H4919">
        <v>0</v>
      </c>
    </row>
    <row r="4920" spans="8:8" x14ac:dyDescent="0.2">
      <c r="H4920">
        <v>0</v>
      </c>
    </row>
    <row r="4921" spans="8:8" x14ac:dyDescent="0.2">
      <c r="H4921">
        <v>0</v>
      </c>
    </row>
    <row r="4922" spans="8:8" x14ac:dyDescent="0.2">
      <c r="H4922">
        <v>0</v>
      </c>
    </row>
    <row r="4923" spans="8:8" x14ac:dyDescent="0.2">
      <c r="H4923">
        <v>0</v>
      </c>
    </row>
    <row r="4924" spans="8:8" x14ac:dyDescent="0.2">
      <c r="H4924">
        <v>0</v>
      </c>
    </row>
    <row r="4925" spans="8:8" x14ac:dyDescent="0.2">
      <c r="H4925">
        <v>0</v>
      </c>
    </row>
    <row r="4926" spans="8:8" x14ac:dyDescent="0.2">
      <c r="H4926">
        <v>0</v>
      </c>
    </row>
    <row r="4927" spans="8:8" x14ac:dyDescent="0.2">
      <c r="H4927">
        <v>0</v>
      </c>
    </row>
    <row r="4928" spans="8:8" x14ac:dyDescent="0.2">
      <c r="H4928">
        <v>0</v>
      </c>
    </row>
    <row r="4929" spans="8:8" x14ac:dyDescent="0.2">
      <c r="H4929">
        <v>0</v>
      </c>
    </row>
    <row r="4930" spans="8:8" x14ac:dyDescent="0.2">
      <c r="H4930">
        <v>0</v>
      </c>
    </row>
    <row r="4931" spans="8:8" x14ac:dyDescent="0.2">
      <c r="H4931">
        <v>0</v>
      </c>
    </row>
    <row r="4932" spans="8:8" x14ac:dyDescent="0.2">
      <c r="H4932">
        <v>0</v>
      </c>
    </row>
    <row r="4933" spans="8:8" x14ac:dyDescent="0.2">
      <c r="H4933">
        <v>0</v>
      </c>
    </row>
    <row r="4934" spans="8:8" x14ac:dyDescent="0.2">
      <c r="H4934">
        <v>0</v>
      </c>
    </row>
    <row r="4935" spans="8:8" x14ac:dyDescent="0.2">
      <c r="H4935">
        <v>0</v>
      </c>
    </row>
    <row r="4936" spans="8:8" x14ac:dyDescent="0.2">
      <c r="H4936">
        <v>0</v>
      </c>
    </row>
    <row r="4937" spans="8:8" x14ac:dyDescent="0.2">
      <c r="H4937">
        <v>0</v>
      </c>
    </row>
    <row r="4938" spans="8:8" x14ac:dyDescent="0.2">
      <c r="H4938">
        <v>0</v>
      </c>
    </row>
    <row r="4939" spans="8:8" x14ac:dyDescent="0.2">
      <c r="H4939">
        <v>0</v>
      </c>
    </row>
    <row r="4940" spans="8:8" x14ac:dyDescent="0.2">
      <c r="H4940">
        <v>0</v>
      </c>
    </row>
    <row r="4941" spans="8:8" x14ac:dyDescent="0.2">
      <c r="H4941">
        <v>0</v>
      </c>
    </row>
    <row r="4942" spans="8:8" x14ac:dyDescent="0.2">
      <c r="H4942">
        <v>0</v>
      </c>
    </row>
    <row r="4943" spans="8:8" x14ac:dyDescent="0.2">
      <c r="H4943">
        <v>0</v>
      </c>
    </row>
    <row r="4944" spans="8:8" x14ac:dyDescent="0.2">
      <c r="H4944">
        <v>0</v>
      </c>
    </row>
    <row r="4945" spans="8:8" x14ac:dyDescent="0.2">
      <c r="H4945">
        <v>0</v>
      </c>
    </row>
    <row r="4946" spans="8:8" x14ac:dyDescent="0.2">
      <c r="H4946">
        <v>0</v>
      </c>
    </row>
    <row r="4947" spans="8:8" x14ac:dyDescent="0.2">
      <c r="H4947">
        <v>0</v>
      </c>
    </row>
    <row r="4948" spans="8:8" x14ac:dyDescent="0.2">
      <c r="H4948">
        <v>0</v>
      </c>
    </row>
    <row r="4949" spans="8:8" x14ac:dyDescent="0.2">
      <c r="H4949">
        <v>0</v>
      </c>
    </row>
    <row r="4950" spans="8:8" x14ac:dyDescent="0.2">
      <c r="H4950">
        <v>0</v>
      </c>
    </row>
    <row r="4951" spans="8:8" x14ac:dyDescent="0.2">
      <c r="H4951">
        <v>0</v>
      </c>
    </row>
    <row r="4952" spans="8:8" x14ac:dyDescent="0.2">
      <c r="H4952">
        <v>0</v>
      </c>
    </row>
    <row r="4953" spans="8:8" x14ac:dyDescent="0.2">
      <c r="H4953">
        <v>0</v>
      </c>
    </row>
    <row r="4954" spans="8:8" x14ac:dyDescent="0.2">
      <c r="H4954">
        <v>0</v>
      </c>
    </row>
    <row r="4955" spans="8:8" x14ac:dyDescent="0.2">
      <c r="H4955">
        <v>0</v>
      </c>
    </row>
    <row r="4956" spans="8:8" x14ac:dyDescent="0.2">
      <c r="H4956">
        <v>0</v>
      </c>
    </row>
    <row r="4957" spans="8:8" x14ac:dyDescent="0.2">
      <c r="H4957">
        <v>0</v>
      </c>
    </row>
    <row r="4958" spans="8:8" x14ac:dyDescent="0.2">
      <c r="H4958">
        <v>0</v>
      </c>
    </row>
    <row r="4959" spans="8:8" x14ac:dyDescent="0.2">
      <c r="H4959">
        <v>0</v>
      </c>
    </row>
    <row r="4960" spans="8:8" x14ac:dyDescent="0.2">
      <c r="H4960">
        <v>0</v>
      </c>
    </row>
    <row r="4961" spans="8:8" x14ac:dyDescent="0.2">
      <c r="H4961">
        <v>0</v>
      </c>
    </row>
    <row r="4962" spans="8:8" x14ac:dyDescent="0.2">
      <c r="H4962">
        <v>0</v>
      </c>
    </row>
    <row r="4963" spans="8:8" x14ac:dyDescent="0.2">
      <c r="H4963">
        <v>0</v>
      </c>
    </row>
    <row r="4964" spans="8:8" x14ac:dyDescent="0.2">
      <c r="H4964">
        <v>0</v>
      </c>
    </row>
    <row r="4965" spans="8:8" x14ac:dyDescent="0.2">
      <c r="H4965">
        <v>0</v>
      </c>
    </row>
    <row r="4966" spans="8:8" x14ac:dyDescent="0.2">
      <c r="H4966">
        <v>0</v>
      </c>
    </row>
    <row r="4967" spans="8:8" x14ac:dyDescent="0.2">
      <c r="H4967">
        <v>0</v>
      </c>
    </row>
    <row r="4968" spans="8:8" x14ac:dyDescent="0.2">
      <c r="H4968">
        <v>0</v>
      </c>
    </row>
    <row r="4969" spans="8:8" x14ac:dyDescent="0.2">
      <c r="H4969">
        <v>0</v>
      </c>
    </row>
    <row r="4970" spans="8:8" x14ac:dyDescent="0.2">
      <c r="H4970">
        <v>0</v>
      </c>
    </row>
    <row r="4971" spans="8:8" x14ac:dyDescent="0.2">
      <c r="H4971">
        <v>0</v>
      </c>
    </row>
    <row r="4972" spans="8:8" x14ac:dyDescent="0.2">
      <c r="H4972">
        <v>0</v>
      </c>
    </row>
    <row r="4973" spans="8:8" x14ac:dyDescent="0.2">
      <c r="H4973">
        <v>0</v>
      </c>
    </row>
    <row r="4974" spans="8:8" x14ac:dyDescent="0.2">
      <c r="H4974">
        <v>0</v>
      </c>
    </row>
    <row r="4975" spans="8:8" x14ac:dyDescent="0.2">
      <c r="H4975">
        <v>0</v>
      </c>
    </row>
    <row r="4976" spans="8:8" x14ac:dyDescent="0.2">
      <c r="H4976">
        <v>0</v>
      </c>
    </row>
    <row r="4977" spans="8:8" x14ac:dyDescent="0.2">
      <c r="H4977">
        <v>0</v>
      </c>
    </row>
    <row r="4978" spans="8:8" x14ac:dyDescent="0.2">
      <c r="H4978">
        <v>0</v>
      </c>
    </row>
    <row r="4979" spans="8:8" x14ac:dyDescent="0.2">
      <c r="H4979">
        <v>0</v>
      </c>
    </row>
    <row r="4980" spans="8:8" x14ac:dyDescent="0.2">
      <c r="H4980">
        <v>0</v>
      </c>
    </row>
    <row r="4981" spans="8:8" x14ac:dyDescent="0.2">
      <c r="H4981">
        <v>0</v>
      </c>
    </row>
    <row r="4982" spans="8:8" x14ac:dyDescent="0.2">
      <c r="H4982">
        <v>0</v>
      </c>
    </row>
    <row r="4983" spans="8:8" x14ac:dyDescent="0.2">
      <c r="H4983">
        <v>0</v>
      </c>
    </row>
    <row r="4984" spans="8:8" x14ac:dyDescent="0.2">
      <c r="H4984">
        <v>0</v>
      </c>
    </row>
    <row r="4985" spans="8:8" x14ac:dyDescent="0.2">
      <c r="H4985">
        <v>0</v>
      </c>
    </row>
    <row r="4986" spans="8:8" x14ac:dyDescent="0.2">
      <c r="H4986">
        <v>0</v>
      </c>
    </row>
    <row r="4987" spans="8:8" x14ac:dyDescent="0.2">
      <c r="H4987">
        <v>0</v>
      </c>
    </row>
    <row r="4988" spans="8:8" x14ac:dyDescent="0.2">
      <c r="H4988">
        <v>0</v>
      </c>
    </row>
    <row r="4989" spans="8:8" x14ac:dyDescent="0.2">
      <c r="H4989">
        <v>0</v>
      </c>
    </row>
    <row r="4990" spans="8:8" x14ac:dyDescent="0.2">
      <c r="H4990">
        <v>0</v>
      </c>
    </row>
    <row r="4991" spans="8:8" x14ac:dyDescent="0.2">
      <c r="H4991">
        <v>0</v>
      </c>
    </row>
    <row r="4992" spans="8:8" x14ac:dyDescent="0.2">
      <c r="H4992">
        <v>0</v>
      </c>
    </row>
    <row r="4993" spans="8:8" x14ac:dyDescent="0.2">
      <c r="H4993">
        <v>0</v>
      </c>
    </row>
    <row r="4994" spans="8:8" x14ac:dyDescent="0.2">
      <c r="H4994">
        <v>0</v>
      </c>
    </row>
    <row r="4995" spans="8:8" x14ac:dyDescent="0.2">
      <c r="H4995">
        <v>0</v>
      </c>
    </row>
    <row r="4996" spans="8:8" x14ac:dyDescent="0.2">
      <c r="H4996">
        <v>0</v>
      </c>
    </row>
    <row r="4997" spans="8:8" x14ac:dyDescent="0.2">
      <c r="H4997">
        <v>0</v>
      </c>
    </row>
    <row r="4998" spans="8:8" x14ac:dyDescent="0.2">
      <c r="H4998">
        <v>0</v>
      </c>
    </row>
    <row r="4999" spans="8:8" x14ac:dyDescent="0.2">
      <c r="H4999">
        <v>0</v>
      </c>
    </row>
    <row r="5000" spans="8:8" x14ac:dyDescent="0.2">
      <c r="H5000">
        <v>0</v>
      </c>
    </row>
    <row r="5001" spans="8:8" x14ac:dyDescent="0.2">
      <c r="H5001">
        <v>0</v>
      </c>
    </row>
    <row r="5002" spans="8:8" x14ac:dyDescent="0.2">
      <c r="H5002">
        <v>0</v>
      </c>
    </row>
    <row r="5003" spans="8:8" x14ac:dyDescent="0.2">
      <c r="H5003">
        <v>0</v>
      </c>
    </row>
    <row r="5004" spans="8:8" x14ac:dyDescent="0.2">
      <c r="H5004">
        <v>0</v>
      </c>
    </row>
    <row r="5005" spans="8:8" x14ac:dyDescent="0.2">
      <c r="H5005">
        <v>0</v>
      </c>
    </row>
    <row r="5006" spans="8:8" x14ac:dyDescent="0.2">
      <c r="H5006">
        <v>0</v>
      </c>
    </row>
    <row r="5007" spans="8:8" x14ac:dyDescent="0.2">
      <c r="H5007">
        <v>0</v>
      </c>
    </row>
    <row r="5008" spans="8:8" x14ac:dyDescent="0.2">
      <c r="H5008">
        <v>0</v>
      </c>
    </row>
    <row r="5009" spans="8:8" x14ac:dyDescent="0.2">
      <c r="H5009">
        <v>0</v>
      </c>
    </row>
    <row r="5010" spans="8:8" x14ac:dyDescent="0.2">
      <c r="H5010">
        <v>0</v>
      </c>
    </row>
    <row r="5011" spans="8:8" x14ac:dyDescent="0.2">
      <c r="H5011">
        <v>0</v>
      </c>
    </row>
    <row r="5012" spans="8:8" x14ac:dyDescent="0.2">
      <c r="H5012">
        <v>0</v>
      </c>
    </row>
    <row r="5013" spans="8:8" x14ac:dyDescent="0.2">
      <c r="H5013">
        <v>0</v>
      </c>
    </row>
    <row r="5014" spans="8:8" x14ac:dyDescent="0.2">
      <c r="H5014">
        <v>0</v>
      </c>
    </row>
    <row r="5015" spans="8:8" x14ac:dyDescent="0.2">
      <c r="H5015">
        <v>0</v>
      </c>
    </row>
    <row r="5016" spans="8:8" x14ac:dyDescent="0.2">
      <c r="H5016">
        <v>0</v>
      </c>
    </row>
    <row r="5017" spans="8:8" x14ac:dyDescent="0.2">
      <c r="H5017">
        <v>0</v>
      </c>
    </row>
    <row r="5018" spans="8:8" x14ac:dyDescent="0.2">
      <c r="H5018">
        <v>0</v>
      </c>
    </row>
    <row r="5019" spans="8:8" x14ac:dyDescent="0.2">
      <c r="H5019">
        <v>0</v>
      </c>
    </row>
    <row r="5020" spans="8:8" x14ac:dyDescent="0.2">
      <c r="H5020">
        <v>0</v>
      </c>
    </row>
    <row r="5021" spans="8:8" x14ac:dyDescent="0.2">
      <c r="H5021">
        <v>0</v>
      </c>
    </row>
    <row r="5022" spans="8:8" x14ac:dyDescent="0.2">
      <c r="H5022">
        <v>0</v>
      </c>
    </row>
    <row r="5023" spans="8:8" x14ac:dyDescent="0.2">
      <c r="H5023">
        <v>0</v>
      </c>
    </row>
    <row r="5024" spans="8:8" x14ac:dyDescent="0.2">
      <c r="H5024">
        <v>0</v>
      </c>
    </row>
    <row r="5025" spans="8:8" x14ac:dyDescent="0.2">
      <c r="H5025">
        <v>0</v>
      </c>
    </row>
    <row r="5026" spans="8:8" x14ac:dyDescent="0.2">
      <c r="H5026">
        <v>0</v>
      </c>
    </row>
    <row r="5027" spans="8:8" x14ac:dyDescent="0.2">
      <c r="H5027">
        <v>0</v>
      </c>
    </row>
    <row r="5028" spans="8:8" x14ac:dyDescent="0.2">
      <c r="H5028">
        <v>0</v>
      </c>
    </row>
    <row r="5029" spans="8:8" x14ac:dyDescent="0.2">
      <c r="H5029">
        <v>0</v>
      </c>
    </row>
    <row r="5030" spans="8:8" x14ac:dyDescent="0.2">
      <c r="H5030">
        <v>0</v>
      </c>
    </row>
    <row r="5031" spans="8:8" x14ac:dyDescent="0.2">
      <c r="H5031">
        <v>0</v>
      </c>
    </row>
    <row r="5032" spans="8:8" x14ac:dyDescent="0.2">
      <c r="H5032">
        <v>0</v>
      </c>
    </row>
    <row r="5033" spans="8:8" x14ac:dyDescent="0.2">
      <c r="H5033">
        <v>0</v>
      </c>
    </row>
    <row r="5034" spans="8:8" x14ac:dyDescent="0.2">
      <c r="H5034">
        <v>0</v>
      </c>
    </row>
    <row r="5035" spans="8:8" x14ac:dyDescent="0.2">
      <c r="H5035">
        <v>0</v>
      </c>
    </row>
    <row r="5036" spans="8:8" x14ac:dyDescent="0.2">
      <c r="H5036">
        <v>0</v>
      </c>
    </row>
    <row r="5037" spans="8:8" x14ac:dyDescent="0.2">
      <c r="H5037">
        <v>0</v>
      </c>
    </row>
    <row r="5038" spans="8:8" x14ac:dyDescent="0.2">
      <c r="H5038">
        <v>0</v>
      </c>
    </row>
    <row r="5039" spans="8:8" x14ac:dyDescent="0.2">
      <c r="H5039">
        <v>0</v>
      </c>
    </row>
    <row r="5040" spans="8:8" x14ac:dyDescent="0.2">
      <c r="H5040">
        <v>0</v>
      </c>
    </row>
    <row r="5041" spans="8:8" x14ac:dyDescent="0.2">
      <c r="H5041">
        <v>0</v>
      </c>
    </row>
    <row r="5042" spans="8:8" x14ac:dyDescent="0.2">
      <c r="H5042">
        <v>0</v>
      </c>
    </row>
    <row r="5043" spans="8:8" x14ac:dyDescent="0.2">
      <c r="H5043">
        <v>0</v>
      </c>
    </row>
    <row r="5044" spans="8:8" x14ac:dyDescent="0.2">
      <c r="H5044">
        <v>0</v>
      </c>
    </row>
    <row r="5045" spans="8:8" x14ac:dyDescent="0.2">
      <c r="H5045">
        <v>0</v>
      </c>
    </row>
    <row r="5046" spans="8:8" x14ac:dyDescent="0.2">
      <c r="H5046">
        <v>0</v>
      </c>
    </row>
    <row r="5047" spans="8:8" x14ac:dyDescent="0.2">
      <c r="H5047">
        <v>0</v>
      </c>
    </row>
    <row r="5048" spans="8:8" x14ac:dyDescent="0.2">
      <c r="H5048">
        <v>0</v>
      </c>
    </row>
    <row r="5049" spans="8:8" x14ac:dyDescent="0.2">
      <c r="H5049">
        <v>0</v>
      </c>
    </row>
    <row r="5050" spans="8:8" x14ac:dyDescent="0.2">
      <c r="H5050">
        <v>0</v>
      </c>
    </row>
    <row r="5051" spans="8:8" x14ac:dyDescent="0.2">
      <c r="H5051">
        <v>0</v>
      </c>
    </row>
    <row r="5052" spans="8:8" x14ac:dyDescent="0.2">
      <c r="H5052">
        <v>0</v>
      </c>
    </row>
    <row r="5053" spans="8:8" x14ac:dyDescent="0.2">
      <c r="H5053">
        <v>0</v>
      </c>
    </row>
    <row r="5054" spans="8:8" x14ac:dyDescent="0.2">
      <c r="H5054">
        <v>0</v>
      </c>
    </row>
    <row r="5055" spans="8:8" x14ac:dyDescent="0.2">
      <c r="H5055">
        <v>0</v>
      </c>
    </row>
    <row r="5056" spans="8:8" x14ac:dyDescent="0.2">
      <c r="H5056">
        <v>0</v>
      </c>
    </row>
    <row r="5057" spans="8:8" x14ac:dyDescent="0.2">
      <c r="H5057">
        <v>0</v>
      </c>
    </row>
    <row r="5058" spans="8:8" x14ac:dyDescent="0.2">
      <c r="H5058">
        <v>0</v>
      </c>
    </row>
    <row r="5059" spans="8:8" x14ac:dyDescent="0.2">
      <c r="H5059">
        <v>0</v>
      </c>
    </row>
    <row r="5060" spans="8:8" x14ac:dyDescent="0.2">
      <c r="H5060">
        <v>0</v>
      </c>
    </row>
    <row r="5061" spans="8:8" x14ac:dyDescent="0.2">
      <c r="H5061">
        <v>0</v>
      </c>
    </row>
    <row r="5062" spans="8:8" x14ac:dyDescent="0.2">
      <c r="H5062">
        <v>0</v>
      </c>
    </row>
    <row r="5063" spans="8:8" x14ac:dyDescent="0.2">
      <c r="H5063">
        <v>0</v>
      </c>
    </row>
    <row r="5064" spans="8:8" x14ac:dyDescent="0.2">
      <c r="H5064">
        <v>0</v>
      </c>
    </row>
    <row r="5065" spans="8:8" x14ac:dyDescent="0.2">
      <c r="H5065">
        <v>0</v>
      </c>
    </row>
    <row r="5066" spans="8:8" x14ac:dyDescent="0.2">
      <c r="H5066">
        <v>0</v>
      </c>
    </row>
    <row r="5067" spans="8:8" x14ac:dyDescent="0.2">
      <c r="H5067">
        <v>0</v>
      </c>
    </row>
    <row r="5068" spans="8:8" x14ac:dyDescent="0.2">
      <c r="H5068">
        <v>0</v>
      </c>
    </row>
    <row r="5069" spans="8:8" x14ac:dyDescent="0.2">
      <c r="H5069">
        <v>0</v>
      </c>
    </row>
    <row r="5070" spans="8:8" x14ac:dyDescent="0.2">
      <c r="H5070">
        <v>0</v>
      </c>
    </row>
    <row r="5071" spans="8:8" x14ac:dyDescent="0.2">
      <c r="H5071">
        <v>0</v>
      </c>
    </row>
    <row r="5072" spans="8:8" x14ac:dyDescent="0.2">
      <c r="H5072">
        <v>0</v>
      </c>
    </row>
    <row r="5073" spans="8:8" x14ac:dyDescent="0.2">
      <c r="H5073">
        <v>0</v>
      </c>
    </row>
    <row r="5074" spans="8:8" x14ac:dyDescent="0.2">
      <c r="H5074">
        <v>0</v>
      </c>
    </row>
    <row r="5075" spans="8:8" x14ac:dyDescent="0.2">
      <c r="H5075">
        <v>0</v>
      </c>
    </row>
    <row r="5076" spans="8:8" x14ac:dyDescent="0.2">
      <c r="H5076">
        <v>0</v>
      </c>
    </row>
    <row r="5077" spans="8:8" x14ac:dyDescent="0.2">
      <c r="H5077">
        <v>0</v>
      </c>
    </row>
    <row r="5078" spans="8:8" x14ac:dyDescent="0.2">
      <c r="H5078">
        <v>0</v>
      </c>
    </row>
    <row r="5079" spans="8:8" x14ac:dyDescent="0.2">
      <c r="H5079">
        <v>0</v>
      </c>
    </row>
    <row r="5080" spans="8:8" x14ac:dyDescent="0.2">
      <c r="H5080">
        <v>0</v>
      </c>
    </row>
    <row r="5081" spans="8:8" x14ac:dyDescent="0.2">
      <c r="H5081">
        <v>0</v>
      </c>
    </row>
    <row r="5082" spans="8:8" x14ac:dyDescent="0.2">
      <c r="H5082">
        <v>0</v>
      </c>
    </row>
    <row r="5083" spans="8:8" x14ac:dyDescent="0.2">
      <c r="H5083">
        <v>0</v>
      </c>
    </row>
    <row r="5084" spans="8:8" x14ac:dyDescent="0.2">
      <c r="H5084">
        <v>0</v>
      </c>
    </row>
    <row r="5085" spans="8:8" x14ac:dyDescent="0.2">
      <c r="H5085">
        <v>0</v>
      </c>
    </row>
    <row r="5086" spans="8:8" x14ac:dyDescent="0.2">
      <c r="H5086">
        <v>0</v>
      </c>
    </row>
    <row r="5087" spans="8:8" x14ac:dyDescent="0.2">
      <c r="H5087">
        <v>0</v>
      </c>
    </row>
    <row r="5088" spans="8:8" x14ac:dyDescent="0.2">
      <c r="H5088">
        <v>0</v>
      </c>
    </row>
    <row r="5089" spans="8:8" x14ac:dyDescent="0.2">
      <c r="H5089">
        <v>0</v>
      </c>
    </row>
    <row r="5090" spans="8:8" x14ac:dyDescent="0.2">
      <c r="H5090">
        <v>0</v>
      </c>
    </row>
    <row r="5091" spans="8:8" x14ac:dyDescent="0.2">
      <c r="H5091">
        <v>0</v>
      </c>
    </row>
    <row r="5092" spans="8:8" x14ac:dyDescent="0.2">
      <c r="H5092">
        <v>0</v>
      </c>
    </row>
    <row r="5093" spans="8:8" x14ac:dyDescent="0.2">
      <c r="H5093">
        <v>0</v>
      </c>
    </row>
    <row r="5094" spans="8:8" x14ac:dyDescent="0.2">
      <c r="H5094">
        <v>0</v>
      </c>
    </row>
    <row r="5095" spans="8:8" x14ac:dyDescent="0.2">
      <c r="H5095">
        <v>0</v>
      </c>
    </row>
    <row r="5096" spans="8:8" x14ac:dyDescent="0.2">
      <c r="H5096">
        <v>0</v>
      </c>
    </row>
    <row r="5097" spans="8:8" x14ac:dyDescent="0.2">
      <c r="H5097">
        <v>0</v>
      </c>
    </row>
    <row r="5098" spans="8:8" x14ac:dyDescent="0.2">
      <c r="H5098">
        <v>0</v>
      </c>
    </row>
    <row r="5099" spans="8:8" x14ac:dyDescent="0.2">
      <c r="H5099">
        <v>0</v>
      </c>
    </row>
    <row r="5100" spans="8:8" x14ac:dyDescent="0.2">
      <c r="H5100">
        <v>0</v>
      </c>
    </row>
    <row r="5101" spans="8:8" x14ac:dyDescent="0.2">
      <c r="H5101">
        <v>0</v>
      </c>
    </row>
    <row r="5102" spans="8:8" x14ac:dyDescent="0.2">
      <c r="H5102">
        <v>0</v>
      </c>
    </row>
    <row r="5103" spans="8:8" x14ac:dyDescent="0.2">
      <c r="H5103">
        <v>0</v>
      </c>
    </row>
    <row r="5104" spans="8:8" x14ac:dyDescent="0.2">
      <c r="H5104">
        <v>0</v>
      </c>
    </row>
    <row r="5105" spans="8:8" x14ac:dyDescent="0.2">
      <c r="H5105">
        <v>0</v>
      </c>
    </row>
    <row r="5106" spans="8:8" x14ac:dyDescent="0.2">
      <c r="H5106">
        <v>0</v>
      </c>
    </row>
    <row r="5107" spans="8:8" x14ac:dyDescent="0.2">
      <c r="H5107">
        <v>0</v>
      </c>
    </row>
    <row r="5108" spans="8:8" x14ac:dyDescent="0.2">
      <c r="H5108">
        <v>0</v>
      </c>
    </row>
    <row r="5109" spans="8:8" x14ac:dyDescent="0.2">
      <c r="H5109">
        <v>0</v>
      </c>
    </row>
    <row r="5110" spans="8:8" x14ac:dyDescent="0.2">
      <c r="H5110">
        <v>0</v>
      </c>
    </row>
    <row r="5111" spans="8:8" x14ac:dyDescent="0.2">
      <c r="H5111">
        <v>0</v>
      </c>
    </row>
    <row r="5112" spans="8:8" x14ac:dyDescent="0.2">
      <c r="H5112">
        <v>0</v>
      </c>
    </row>
    <row r="5113" spans="8:8" x14ac:dyDescent="0.2">
      <c r="H5113">
        <v>0</v>
      </c>
    </row>
    <row r="5114" spans="8:8" x14ac:dyDescent="0.2">
      <c r="H5114">
        <v>0</v>
      </c>
    </row>
    <row r="5115" spans="8:8" x14ac:dyDescent="0.2">
      <c r="H5115">
        <v>0</v>
      </c>
    </row>
    <row r="5116" spans="8:8" x14ac:dyDescent="0.2">
      <c r="H5116">
        <v>0</v>
      </c>
    </row>
    <row r="5117" spans="8:8" x14ac:dyDescent="0.2">
      <c r="H5117">
        <v>0</v>
      </c>
    </row>
    <row r="5118" spans="8:8" x14ac:dyDescent="0.2">
      <c r="H5118">
        <v>0</v>
      </c>
    </row>
    <row r="5119" spans="8:8" x14ac:dyDescent="0.2">
      <c r="H5119">
        <v>0</v>
      </c>
    </row>
    <row r="5120" spans="8:8" x14ac:dyDescent="0.2">
      <c r="H5120">
        <v>0</v>
      </c>
    </row>
    <row r="5121" spans="8:8" x14ac:dyDescent="0.2">
      <c r="H5121">
        <v>0</v>
      </c>
    </row>
    <row r="5122" spans="8:8" x14ac:dyDescent="0.2">
      <c r="H5122">
        <v>0</v>
      </c>
    </row>
    <row r="5123" spans="8:8" x14ac:dyDescent="0.2">
      <c r="H5123">
        <v>0</v>
      </c>
    </row>
    <row r="5124" spans="8:8" x14ac:dyDescent="0.2">
      <c r="H5124">
        <v>0</v>
      </c>
    </row>
    <row r="5125" spans="8:8" x14ac:dyDescent="0.2">
      <c r="H5125">
        <v>0</v>
      </c>
    </row>
    <row r="5126" spans="8:8" x14ac:dyDescent="0.2">
      <c r="H5126">
        <v>0</v>
      </c>
    </row>
    <row r="5127" spans="8:8" x14ac:dyDescent="0.2">
      <c r="H5127">
        <v>0</v>
      </c>
    </row>
    <row r="5128" spans="8:8" x14ac:dyDescent="0.2">
      <c r="H5128">
        <v>0</v>
      </c>
    </row>
    <row r="5129" spans="8:8" x14ac:dyDescent="0.2">
      <c r="H5129">
        <v>0</v>
      </c>
    </row>
    <row r="5130" spans="8:8" x14ac:dyDescent="0.2">
      <c r="H5130">
        <v>0</v>
      </c>
    </row>
    <row r="5131" spans="8:8" x14ac:dyDescent="0.2">
      <c r="H5131">
        <v>0</v>
      </c>
    </row>
    <row r="5132" spans="8:8" x14ac:dyDescent="0.2">
      <c r="H5132">
        <v>0</v>
      </c>
    </row>
    <row r="5133" spans="8:8" x14ac:dyDescent="0.2">
      <c r="H5133">
        <v>0</v>
      </c>
    </row>
    <row r="5134" spans="8:8" x14ac:dyDescent="0.2">
      <c r="H5134">
        <v>0</v>
      </c>
    </row>
    <row r="5135" spans="8:8" x14ac:dyDescent="0.2">
      <c r="H5135">
        <v>0</v>
      </c>
    </row>
    <row r="5136" spans="8:8" x14ac:dyDescent="0.2">
      <c r="H5136">
        <v>0</v>
      </c>
    </row>
    <row r="5137" spans="8:8" x14ac:dyDescent="0.2">
      <c r="H5137">
        <v>0</v>
      </c>
    </row>
    <row r="5138" spans="8:8" x14ac:dyDescent="0.2">
      <c r="H5138">
        <v>0</v>
      </c>
    </row>
    <row r="5139" spans="8:8" x14ac:dyDescent="0.2">
      <c r="H5139">
        <v>0</v>
      </c>
    </row>
    <row r="5140" spans="8:8" x14ac:dyDescent="0.2">
      <c r="H5140">
        <v>0</v>
      </c>
    </row>
    <row r="5141" spans="8:8" x14ac:dyDescent="0.2">
      <c r="H5141">
        <v>0</v>
      </c>
    </row>
    <row r="5142" spans="8:8" x14ac:dyDescent="0.2">
      <c r="H5142">
        <v>0</v>
      </c>
    </row>
    <row r="5143" spans="8:8" x14ac:dyDescent="0.2">
      <c r="H5143">
        <v>0</v>
      </c>
    </row>
    <row r="5144" spans="8:8" x14ac:dyDescent="0.2">
      <c r="H5144">
        <v>0</v>
      </c>
    </row>
    <row r="5145" spans="8:8" x14ac:dyDescent="0.2">
      <c r="H5145">
        <v>0</v>
      </c>
    </row>
    <row r="5146" spans="8:8" x14ac:dyDescent="0.2">
      <c r="H5146">
        <v>0</v>
      </c>
    </row>
    <row r="5147" spans="8:8" x14ac:dyDescent="0.2">
      <c r="H5147">
        <v>0</v>
      </c>
    </row>
    <row r="5148" spans="8:8" x14ac:dyDescent="0.2">
      <c r="H5148">
        <v>0</v>
      </c>
    </row>
    <row r="5149" spans="8:8" x14ac:dyDescent="0.2">
      <c r="H5149">
        <v>0</v>
      </c>
    </row>
    <row r="5150" spans="8:8" x14ac:dyDescent="0.2">
      <c r="H5150">
        <v>0</v>
      </c>
    </row>
    <row r="5151" spans="8:8" x14ac:dyDescent="0.2">
      <c r="H5151">
        <v>0</v>
      </c>
    </row>
    <row r="5152" spans="8:8" x14ac:dyDescent="0.2">
      <c r="H5152">
        <v>0</v>
      </c>
    </row>
    <row r="5153" spans="8:8" x14ac:dyDescent="0.2">
      <c r="H5153">
        <v>0</v>
      </c>
    </row>
    <row r="5154" spans="8:8" x14ac:dyDescent="0.2">
      <c r="H5154">
        <v>0</v>
      </c>
    </row>
    <row r="5155" spans="8:8" x14ac:dyDescent="0.2">
      <c r="H5155">
        <v>0</v>
      </c>
    </row>
    <row r="5156" spans="8:8" x14ac:dyDescent="0.2">
      <c r="H5156">
        <v>0</v>
      </c>
    </row>
    <row r="5157" spans="8:8" x14ac:dyDescent="0.2">
      <c r="H5157">
        <v>0</v>
      </c>
    </row>
    <row r="5158" spans="8:8" x14ac:dyDescent="0.2">
      <c r="H5158">
        <v>0</v>
      </c>
    </row>
    <row r="5159" spans="8:8" x14ac:dyDescent="0.2">
      <c r="H5159">
        <v>0</v>
      </c>
    </row>
    <row r="5160" spans="8:8" x14ac:dyDescent="0.2">
      <c r="H5160">
        <v>0</v>
      </c>
    </row>
    <row r="5161" spans="8:8" x14ac:dyDescent="0.2">
      <c r="H5161">
        <v>0</v>
      </c>
    </row>
    <row r="5162" spans="8:8" x14ac:dyDescent="0.2">
      <c r="H5162">
        <v>0</v>
      </c>
    </row>
    <row r="5163" spans="8:8" x14ac:dyDescent="0.2">
      <c r="H5163">
        <v>0</v>
      </c>
    </row>
    <row r="5164" spans="8:8" x14ac:dyDescent="0.2">
      <c r="H5164">
        <v>0</v>
      </c>
    </row>
    <row r="5165" spans="8:8" x14ac:dyDescent="0.2">
      <c r="H5165">
        <v>0</v>
      </c>
    </row>
    <row r="5166" spans="8:8" x14ac:dyDescent="0.2">
      <c r="H5166">
        <v>0</v>
      </c>
    </row>
    <row r="5167" spans="8:8" x14ac:dyDescent="0.2">
      <c r="H5167">
        <v>0</v>
      </c>
    </row>
    <row r="5168" spans="8:8" x14ac:dyDescent="0.2">
      <c r="H5168">
        <v>0</v>
      </c>
    </row>
    <row r="5169" spans="8:8" x14ac:dyDescent="0.2">
      <c r="H5169">
        <v>0</v>
      </c>
    </row>
    <row r="5170" spans="8:8" x14ac:dyDescent="0.2">
      <c r="H5170">
        <v>0</v>
      </c>
    </row>
    <row r="5171" spans="8:8" x14ac:dyDescent="0.2">
      <c r="H5171">
        <v>0</v>
      </c>
    </row>
    <row r="5172" spans="8:8" x14ac:dyDescent="0.2">
      <c r="H5172">
        <v>0</v>
      </c>
    </row>
    <row r="5173" spans="8:8" x14ac:dyDescent="0.2">
      <c r="H5173">
        <v>0</v>
      </c>
    </row>
    <row r="5174" spans="8:8" x14ac:dyDescent="0.2">
      <c r="H5174">
        <v>0</v>
      </c>
    </row>
    <row r="5175" spans="8:8" x14ac:dyDescent="0.2">
      <c r="H5175">
        <v>0</v>
      </c>
    </row>
    <row r="5176" spans="8:8" x14ac:dyDescent="0.2">
      <c r="H5176">
        <v>0</v>
      </c>
    </row>
    <row r="5177" spans="8:8" x14ac:dyDescent="0.2">
      <c r="H5177">
        <v>0</v>
      </c>
    </row>
    <row r="5178" spans="8:8" x14ac:dyDescent="0.2">
      <c r="H5178">
        <v>0</v>
      </c>
    </row>
    <row r="5179" spans="8:8" x14ac:dyDescent="0.2">
      <c r="H5179">
        <v>0</v>
      </c>
    </row>
    <row r="5180" spans="8:8" x14ac:dyDescent="0.2">
      <c r="H5180">
        <v>0</v>
      </c>
    </row>
    <row r="5181" spans="8:8" x14ac:dyDescent="0.2">
      <c r="H5181">
        <v>0</v>
      </c>
    </row>
    <row r="5182" spans="8:8" x14ac:dyDescent="0.2">
      <c r="H5182">
        <v>0</v>
      </c>
    </row>
    <row r="5183" spans="8:8" x14ac:dyDescent="0.2">
      <c r="H5183">
        <v>0</v>
      </c>
    </row>
    <row r="5184" spans="8:8" x14ac:dyDescent="0.2">
      <c r="H5184">
        <v>0</v>
      </c>
    </row>
    <row r="5185" spans="8:8" x14ac:dyDescent="0.2">
      <c r="H5185">
        <v>0</v>
      </c>
    </row>
    <row r="5186" spans="8:8" x14ac:dyDescent="0.2">
      <c r="H5186">
        <v>0</v>
      </c>
    </row>
    <row r="5187" spans="8:8" x14ac:dyDescent="0.2">
      <c r="H5187">
        <v>0</v>
      </c>
    </row>
    <row r="5188" spans="8:8" x14ac:dyDescent="0.2">
      <c r="H5188">
        <v>0</v>
      </c>
    </row>
    <row r="5189" spans="8:8" x14ac:dyDescent="0.2">
      <c r="H5189">
        <v>0</v>
      </c>
    </row>
    <row r="5190" spans="8:8" x14ac:dyDescent="0.2">
      <c r="H5190">
        <v>0</v>
      </c>
    </row>
    <row r="5191" spans="8:8" x14ac:dyDescent="0.2">
      <c r="H5191">
        <v>0</v>
      </c>
    </row>
    <row r="5192" spans="8:8" x14ac:dyDescent="0.2">
      <c r="H5192">
        <v>0</v>
      </c>
    </row>
    <row r="5193" spans="8:8" x14ac:dyDescent="0.2">
      <c r="H5193">
        <v>0</v>
      </c>
    </row>
    <row r="5194" spans="8:8" x14ac:dyDescent="0.2">
      <c r="H5194">
        <v>0</v>
      </c>
    </row>
    <row r="5195" spans="8:8" x14ac:dyDescent="0.2">
      <c r="H5195">
        <v>0</v>
      </c>
    </row>
    <row r="5196" spans="8:8" x14ac:dyDescent="0.2">
      <c r="H5196">
        <v>0</v>
      </c>
    </row>
    <row r="5197" spans="8:8" x14ac:dyDescent="0.2">
      <c r="H5197">
        <v>0</v>
      </c>
    </row>
    <row r="5198" spans="8:8" x14ac:dyDescent="0.2">
      <c r="H5198">
        <v>0</v>
      </c>
    </row>
    <row r="5199" spans="8:8" x14ac:dyDescent="0.2">
      <c r="H5199">
        <v>0</v>
      </c>
    </row>
    <row r="5200" spans="8:8" x14ac:dyDescent="0.2">
      <c r="H5200">
        <v>0</v>
      </c>
    </row>
    <row r="5201" spans="8:8" x14ac:dyDescent="0.2">
      <c r="H5201">
        <v>0</v>
      </c>
    </row>
    <row r="5202" spans="8:8" x14ac:dyDescent="0.2">
      <c r="H5202">
        <v>0</v>
      </c>
    </row>
    <row r="5203" spans="8:8" x14ac:dyDescent="0.2">
      <c r="H5203">
        <v>0</v>
      </c>
    </row>
    <row r="5204" spans="8:8" x14ac:dyDescent="0.2">
      <c r="H5204">
        <v>0</v>
      </c>
    </row>
    <row r="5205" spans="8:8" x14ac:dyDescent="0.2">
      <c r="H5205">
        <v>0</v>
      </c>
    </row>
    <row r="5206" spans="8:8" x14ac:dyDescent="0.2">
      <c r="H5206">
        <v>0</v>
      </c>
    </row>
    <row r="5207" spans="8:8" x14ac:dyDescent="0.2">
      <c r="H5207">
        <v>0</v>
      </c>
    </row>
    <row r="5208" spans="8:8" x14ac:dyDescent="0.2">
      <c r="H5208">
        <v>0</v>
      </c>
    </row>
    <row r="5209" spans="8:8" x14ac:dyDescent="0.2">
      <c r="H5209">
        <v>0</v>
      </c>
    </row>
    <row r="5210" spans="8:8" x14ac:dyDescent="0.2">
      <c r="H5210">
        <v>0</v>
      </c>
    </row>
    <row r="5211" spans="8:8" x14ac:dyDescent="0.2">
      <c r="H5211">
        <v>0</v>
      </c>
    </row>
    <row r="5212" spans="8:8" x14ac:dyDescent="0.2">
      <c r="H5212">
        <v>0</v>
      </c>
    </row>
    <row r="5213" spans="8:8" x14ac:dyDescent="0.2">
      <c r="H5213">
        <v>0</v>
      </c>
    </row>
    <row r="5214" spans="8:8" x14ac:dyDescent="0.2">
      <c r="H5214">
        <v>0</v>
      </c>
    </row>
    <row r="5215" spans="8:8" x14ac:dyDescent="0.2">
      <c r="H5215">
        <v>0</v>
      </c>
    </row>
    <row r="5216" spans="8:8" x14ac:dyDescent="0.2">
      <c r="H5216">
        <v>0</v>
      </c>
    </row>
    <row r="5217" spans="8:8" x14ac:dyDescent="0.2">
      <c r="H5217">
        <v>0</v>
      </c>
    </row>
    <row r="5218" spans="8:8" x14ac:dyDescent="0.2">
      <c r="H5218">
        <v>0</v>
      </c>
    </row>
    <row r="5219" spans="8:8" x14ac:dyDescent="0.2">
      <c r="H5219">
        <v>0</v>
      </c>
    </row>
    <row r="5220" spans="8:8" x14ac:dyDescent="0.2">
      <c r="H5220">
        <v>0</v>
      </c>
    </row>
    <row r="5221" spans="8:8" x14ac:dyDescent="0.2">
      <c r="H5221">
        <v>0</v>
      </c>
    </row>
    <row r="5222" spans="8:8" x14ac:dyDescent="0.2">
      <c r="H5222">
        <v>0</v>
      </c>
    </row>
    <row r="5223" spans="8:8" x14ac:dyDescent="0.2">
      <c r="H5223">
        <v>0</v>
      </c>
    </row>
    <row r="5224" spans="8:8" x14ac:dyDescent="0.2">
      <c r="H5224">
        <v>0</v>
      </c>
    </row>
    <row r="5225" spans="8:8" x14ac:dyDescent="0.2">
      <c r="H5225">
        <v>0</v>
      </c>
    </row>
    <row r="5226" spans="8:8" x14ac:dyDescent="0.2">
      <c r="H5226">
        <v>0</v>
      </c>
    </row>
    <row r="5227" spans="8:8" x14ac:dyDescent="0.2">
      <c r="H5227">
        <v>0</v>
      </c>
    </row>
    <row r="5228" spans="8:8" x14ac:dyDescent="0.2">
      <c r="H5228">
        <v>0</v>
      </c>
    </row>
    <row r="5229" spans="8:8" x14ac:dyDescent="0.2">
      <c r="H5229">
        <v>0</v>
      </c>
    </row>
    <row r="5230" spans="8:8" x14ac:dyDescent="0.2">
      <c r="H5230">
        <v>0</v>
      </c>
    </row>
    <row r="5231" spans="8:8" x14ac:dyDescent="0.2">
      <c r="H5231">
        <v>0</v>
      </c>
    </row>
    <row r="5232" spans="8:8" x14ac:dyDescent="0.2">
      <c r="H5232">
        <v>0</v>
      </c>
    </row>
    <row r="5233" spans="8:8" x14ac:dyDescent="0.2">
      <c r="H5233">
        <v>0</v>
      </c>
    </row>
    <row r="5234" spans="8:8" x14ac:dyDescent="0.2">
      <c r="H5234">
        <v>0</v>
      </c>
    </row>
    <row r="5235" spans="8:8" x14ac:dyDescent="0.2">
      <c r="H5235">
        <v>0</v>
      </c>
    </row>
    <row r="5236" spans="8:8" x14ac:dyDescent="0.2">
      <c r="H5236">
        <v>0</v>
      </c>
    </row>
    <row r="5237" spans="8:8" x14ac:dyDescent="0.2">
      <c r="H5237">
        <v>0</v>
      </c>
    </row>
    <row r="5238" spans="8:8" x14ac:dyDescent="0.2">
      <c r="H5238">
        <v>0</v>
      </c>
    </row>
    <row r="5239" spans="8:8" x14ac:dyDescent="0.2">
      <c r="H5239">
        <v>0</v>
      </c>
    </row>
    <row r="5240" spans="8:8" x14ac:dyDescent="0.2">
      <c r="H5240">
        <v>0</v>
      </c>
    </row>
    <row r="5241" spans="8:8" x14ac:dyDescent="0.2">
      <c r="H5241">
        <v>0</v>
      </c>
    </row>
    <row r="5242" spans="8:8" x14ac:dyDescent="0.2">
      <c r="H5242">
        <v>0</v>
      </c>
    </row>
    <row r="5243" spans="8:8" x14ac:dyDescent="0.2">
      <c r="H5243">
        <v>0</v>
      </c>
    </row>
    <row r="5244" spans="8:8" x14ac:dyDescent="0.2">
      <c r="H5244">
        <v>0</v>
      </c>
    </row>
    <row r="5245" spans="8:8" x14ac:dyDescent="0.2">
      <c r="H5245">
        <v>0</v>
      </c>
    </row>
    <row r="5246" spans="8:8" x14ac:dyDescent="0.2">
      <c r="H5246">
        <v>0</v>
      </c>
    </row>
    <row r="5247" spans="8:8" x14ac:dyDescent="0.2">
      <c r="H5247">
        <v>0</v>
      </c>
    </row>
    <row r="5248" spans="8:8" x14ac:dyDescent="0.2">
      <c r="H5248">
        <v>0</v>
      </c>
    </row>
    <row r="5249" spans="8:8" x14ac:dyDescent="0.2">
      <c r="H5249">
        <v>0</v>
      </c>
    </row>
    <row r="5250" spans="8:8" x14ac:dyDescent="0.2">
      <c r="H5250">
        <v>0</v>
      </c>
    </row>
    <row r="5251" spans="8:8" x14ac:dyDescent="0.2">
      <c r="H5251">
        <v>0</v>
      </c>
    </row>
    <row r="5252" spans="8:8" x14ac:dyDescent="0.2">
      <c r="H5252">
        <v>0</v>
      </c>
    </row>
    <row r="5253" spans="8:8" x14ac:dyDescent="0.2">
      <c r="H5253">
        <v>0</v>
      </c>
    </row>
    <row r="5254" spans="8:8" x14ac:dyDescent="0.2">
      <c r="H5254">
        <v>0</v>
      </c>
    </row>
    <row r="5255" spans="8:8" x14ac:dyDescent="0.2">
      <c r="H5255">
        <v>0</v>
      </c>
    </row>
    <row r="5256" spans="8:8" x14ac:dyDescent="0.2">
      <c r="H5256">
        <v>0</v>
      </c>
    </row>
    <row r="5257" spans="8:8" x14ac:dyDescent="0.2">
      <c r="H5257">
        <v>0</v>
      </c>
    </row>
    <row r="5258" spans="8:8" x14ac:dyDescent="0.2">
      <c r="H5258">
        <v>0</v>
      </c>
    </row>
    <row r="5259" spans="8:8" x14ac:dyDescent="0.2">
      <c r="H5259">
        <v>0</v>
      </c>
    </row>
    <row r="5260" spans="8:8" x14ac:dyDescent="0.2">
      <c r="H5260">
        <v>0</v>
      </c>
    </row>
    <row r="5261" spans="8:8" x14ac:dyDescent="0.2">
      <c r="H5261">
        <v>0</v>
      </c>
    </row>
    <row r="5262" spans="8:8" x14ac:dyDescent="0.2">
      <c r="H5262">
        <v>0</v>
      </c>
    </row>
    <row r="5263" spans="8:8" x14ac:dyDescent="0.2">
      <c r="H5263">
        <v>0</v>
      </c>
    </row>
    <row r="5264" spans="8:8" x14ac:dyDescent="0.2">
      <c r="H5264">
        <v>0</v>
      </c>
    </row>
    <row r="5265" spans="8:8" x14ac:dyDescent="0.2">
      <c r="H5265">
        <v>0</v>
      </c>
    </row>
    <row r="5266" spans="8:8" x14ac:dyDescent="0.2">
      <c r="H5266">
        <v>0</v>
      </c>
    </row>
    <row r="5267" spans="8:8" x14ac:dyDescent="0.2">
      <c r="H5267">
        <v>0</v>
      </c>
    </row>
    <row r="5268" spans="8:8" x14ac:dyDescent="0.2">
      <c r="H5268">
        <v>0</v>
      </c>
    </row>
    <row r="5269" spans="8:8" x14ac:dyDescent="0.2">
      <c r="H5269">
        <v>0</v>
      </c>
    </row>
    <row r="5270" spans="8:8" x14ac:dyDescent="0.2">
      <c r="H5270">
        <v>0</v>
      </c>
    </row>
    <row r="5271" spans="8:8" x14ac:dyDescent="0.2">
      <c r="H5271">
        <v>0</v>
      </c>
    </row>
    <row r="5272" spans="8:8" x14ac:dyDescent="0.2">
      <c r="H5272">
        <v>0</v>
      </c>
    </row>
    <row r="5273" spans="8:8" x14ac:dyDescent="0.2">
      <c r="H5273">
        <v>0</v>
      </c>
    </row>
    <row r="5274" spans="8:8" x14ac:dyDescent="0.2">
      <c r="H5274">
        <v>0</v>
      </c>
    </row>
    <row r="5275" spans="8:8" x14ac:dyDescent="0.2">
      <c r="H5275">
        <v>0</v>
      </c>
    </row>
    <row r="5276" spans="8:8" x14ac:dyDescent="0.2">
      <c r="H5276">
        <v>0</v>
      </c>
    </row>
    <row r="5277" spans="8:8" x14ac:dyDescent="0.2">
      <c r="H5277">
        <v>0</v>
      </c>
    </row>
    <row r="5278" spans="8:8" x14ac:dyDescent="0.2">
      <c r="H5278">
        <v>0</v>
      </c>
    </row>
    <row r="5279" spans="8:8" x14ac:dyDescent="0.2">
      <c r="H5279">
        <v>0</v>
      </c>
    </row>
    <row r="5280" spans="8:8" x14ac:dyDescent="0.2">
      <c r="H5280">
        <v>0</v>
      </c>
    </row>
    <row r="5281" spans="8:8" x14ac:dyDescent="0.2">
      <c r="H5281">
        <v>0</v>
      </c>
    </row>
    <row r="5282" spans="8:8" x14ac:dyDescent="0.2">
      <c r="H5282">
        <v>0</v>
      </c>
    </row>
    <row r="5283" spans="8:8" x14ac:dyDescent="0.2">
      <c r="H5283">
        <v>0</v>
      </c>
    </row>
    <row r="5284" spans="8:8" x14ac:dyDescent="0.2">
      <c r="H5284">
        <v>0</v>
      </c>
    </row>
    <row r="5285" spans="8:8" x14ac:dyDescent="0.2">
      <c r="H5285">
        <v>0</v>
      </c>
    </row>
    <row r="5286" spans="8:8" x14ac:dyDescent="0.2">
      <c r="H5286">
        <v>0</v>
      </c>
    </row>
    <row r="5287" spans="8:8" x14ac:dyDescent="0.2">
      <c r="H5287">
        <v>0</v>
      </c>
    </row>
    <row r="5288" spans="8:8" x14ac:dyDescent="0.2">
      <c r="H5288">
        <v>0</v>
      </c>
    </row>
    <row r="5289" spans="8:8" x14ac:dyDescent="0.2">
      <c r="H5289">
        <v>0</v>
      </c>
    </row>
    <row r="5290" spans="8:8" x14ac:dyDescent="0.2">
      <c r="H5290">
        <v>0</v>
      </c>
    </row>
    <row r="5291" spans="8:8" x14ac:dyDescent="0.2">
      <c r="H5291">
        <v>0</v>
      </c>
    </row>
    <row r="5292" spans="8:8" x14ac:dyDescent="0.2">
      <c r="H5292">
        <v>0</v>
      </c>
    </row>
    <row r="5293" spans="8:8" x14ac:dyDescent="0.2">
      <c r="H5293">
        <v>0</v>
      </c>
    </row>
    <row r="5294" spans="8:8" x14ac:dyDescent="0.2">
      <c r="H5294">
        <v>0</v>
      </c>
    </row>
    <row r="5295" spans="8:8" x14ac:dyDescent="0.2">
      <c r="H5295">
        <v>0</v>
      </c>
    </row>
    <row r="5296" spans="8:8" x14ac:dyDescent="0.2">
      <c r="H5296">
        <v>0</v>
      </c>
    </row>
    <row r="5297" spans="8:8" x14ac:dyDescent="0.2">
      <c r="H5297">
        <v>0</v>
      </c>
    </row>
    <row r="5298" spans="8:8" x14ac:dyDescent="0.2">
      <c r="H5298">
        <v>0</v>
      </c>
    </row>
    <row r="5299" spans="8:8" x14ac:dyDescent="0.2">
      <c r="H5299">
        <v>0</v>
      </c>
    </row>
    <row r="5300" spans="8:8" x14ac:dyDescent="0.2">
      <c r="H5300">
        <v>0</v>
      </c>
    </row>
    <row r="5301" spans="8:8" x14ac:dyDescent="0.2">
      <c r="H5301">
        <v>0</v>
      </c>
    </row>
    <row r="5302" spans="8:8" x14ac:dyDescent="0.2">
      <c r="H5302">
        <v>0</v>
      </c>
    </row>
    <row r="5303" spans="8:8" x14ac:dyDescent="0.2">
      <c r="H5303">
        <v>0</v>
      </c>
    </row>
    <row r="5304" spans="8:8" x14ac:dyDescent="0.2">
      <c r="H5304">
        <v>0</v>
      </c>
    </row>
    <row r="5305" spans="8:8" x14ac:dyDescent="0.2">
      <c r="H5305">
        <v>0</v>
      </c>
    </row>
    <row r="5306" spans="8:8" x14ac:dyDescent="0.2">
      <c r="H5306">
        <v>0</v>
      </c>
    </row>
    <row r="5307" spans="8:8" x14ac:dyDescent="0.2">
      <c r="H5307">
        <v>0</v>
      </c>
    </row>
    <row r="5308" spans="8:8" x14ac:dyDescent="0.2">
      <c r="H5308">
        <v>0</v>
      </c>
    </row>
    <row r="5309" spans="8:8" x14ac:dyDescent="0.2">
      <c r="H5309">
        <v>0</v>
      </c>
    </row>
    <row r="5310" spans="8:8" x14ac:dyDescent="0.2">
      <c r="H5310">
        <v>0</v>
      </c>
    </row>
    <row r="5311" spans="8:8" x14ac:dyDescent="0.2">
      <c r="H5311">
        <v>0</v>
      </c>
    </row>
    <row r="5312" spans="8:8" x14ac:dyDescent="0.2">
      <c r="H5312">
        <v>0</v>
      </c>
    </row>
    <row r="5313" spans="8:8" x14ac:dyDescent="0.2">
      <c r="H5313">
        <v>0</v>
      </c>
    </row>
    <row r="5314" spans="8:8" x14ac:dyDescent="0.2">
      <c r="H5314">
        <v>0</v>
      </c>
    </row>
    <row r="5315" spans="8:8" x14ac:dyDescent="0.2">
      <c r="H5315">
        <v>0</v>
      </c>
    </row>
    <row r="5316" spans="8:8" x14ac:dyDescent="0.2">
      <c r="H5316">
        <v>0</v>
      </c>
    </row>
    <row r="5317" spans="8:8" x14ac:dyDescent="0.2">
      <c r="H5317">
        <v>0</v>
      </c>
    </row>
    <row r="5318" spans="8:8" x14ac:dyDescent="0.2">
      <c r="H5318">
        <v>0</v>
      </c>
    </row>
    <row r="5319" spans="8:8" x14ac:dyDescent="0.2">
      <c r="H5319">
        <v>0</v>
      </c>
    </row>
    <row r="5320" spans="8:8" x14ac:dyDescent="0.2">
      <c r="H5320">
        <v>0</v>
      </c>
    </row>
    <row r="5321" spans="8:8" x14ac:dyDescent="0.2">
      <c r="H5321">
        <v>0</v>
      </c>
    </row>
    <row r="5322" spans="8:8" x14ac:dyDescent="0.2">
      <c r="H5322">
        <v>0</v>
      </c>
    </row>
    <row r="5323" spans="8:8" x14ac:dyDescent="0.2">
      <c r="H5323">
        <v>0</v>
      </c>
    </row>
    <row r="5324" spans="8:8" x14ac:dyDescent="0.2">
      <c r="H5324">
        <v>0</v>
      </c>
    </row>
    <row r="5325" spans="8:8" x14ac:dyDescent="0.2">
      <c r="H5325">
        <v>0</v>
      </c>
    </row>
    <row r="5326" spans="8:8" x14ac:dyDescent="0.2">
      <c r="H5326">
        <v>0</v>
      </c>
    </row>
    <row r="5327" spans="8:8" x14ac:dyDescent="0.2">
      <c r="H5327">
        <v>0</v>
      </c>
    </row>
    <row r="5328" spans="8:8" x14ac:dyDescent="0.2">
      <c r="H5328">
        <v>0</v>
      </c>
    </row>
    <row r="5329" spans="8:8" x14ac:dyDescent="0.2">
      <c r="H5329">
        <v>0</v>
      </c>
    </row>
    <row r="5330" spans="8:8" x14ac:dyDescent="0.2">
      <c r="H5330">
        <v>0</v>
      </c>
    </row>
    <row r="5331" spans="8:8" x14ac:dyDescent="0.2">
      <c r="H5331">
        <v>0</v>
      </c>
    </row>
    <row r="5332" spans="8:8" x14ac:dyDescent="0.2">
      <c r="H5332">
        <v>0</v>
      </c>
    </row>
    <row r="5333" spans="8:8" x14ac:dyDescent="0.2">
      <c r="H5333">
        <v>0</v>
      </c>
    </row>
    <row r="5334" spans="8:8" x14ac:dyDescent="0.2">
      <c r="H5334">
        <v>0</v>
      </c>
    </row>
    <row r="5335" spans="8:8" x14ac:dyDescent="0.2">
      <c r="H5335">
        <v>0</v>
      </c>
    </row>
    <row r="5336" spans="8:8" x14ac:dyDescent="0.2">
      <c r="H5336">
        <v>0</v>
      </c>
    </row>
    <row r="5337" spans="8:8" x14ac:dyDescent="0.2">
      <c r="H5337">
        <v>0</v>
      </c>
    </row>
    <row r="5338" spans="8:8" x14ac:dyDescent="0.2">
      <c r="H5338">
        <v>0</v>
      </c>
    </row>
    <row r="5339" spans="8:8" x14ac:dyDescent="0.2">
      <c r="H5339">
        <v>0</v>
      </c>
    </row>
    <row r="5340" spans="8:8" x14ac:dyDescent="0.2">
      <c r="H5340">
        <v>0</v>
      </c>
    </row>
    <row r="5341" spans="8:8" x14ac:dyDescent="0.2">
      <c r="H5341">
        <v>0</v>
      </c>
    </row>
    <row r="5342" spans="8:8" x14ac:dyDescent="0.2">
      <c r="H5342">
        <v>0</v>
      </c>
    </row>
    <row r="5343" spans="8:8" x14ac:dyDescent="0.2">
      <c r="H5343">
        <v>0</v>
      </c>
    </row>
    <row r="5344" spans="8:8" x14ac:dyDescent="0.2">
      <c r="H5344">
        <v>0</v>
      </c>
    </row>
    <row r="5345" spans="8:8" x14ac:dyDescent="0.2">
      <c r="H5345">
        <v>0</v>
      </c>
    </row>
    <row r="5346" spans="8:8" x14ac:dyDescent="0.2">
      <c r="H5346">
        <v>0</v>
      </c>
    </row>
    <row r="5347" spans="8:8" x14ac:dyDescent="0.2">
      <c r="H5347">
        <v>0</v>
      </c>
    </row>
    <row r="5348" spans="8:8" x14ac:dyDescent="0.2">
      <c r="H5348">
        <v>0</v>
      </c>
    </row>
    <row r="5349" spans="8:8" x14ac:dyDescent="0.2">
      <c r="H5349">
        <v>0</v>
      </c>
    </row>
    <row r="5350" spans="8:8" x14ac:dyDescent="0.2">
      <c r="H5350">
        <v>0</v>
      </c>
    </row>
    <row r="5351" spans="8:8" x14ac:dyDescent="0.2">
      <c r="H5351">
        <v>0</v>
      </c>
    </row>
    <row r="5352" spans="8:8" x14ac:dyDescent="0.2">
      <c r="H5352">
        <v>0</v>
      </c>
    </row>
    <row r="5353" spans="8:8" x14ac:dyDescent="0.2">
      <c r="H5353">
        <v>0</v>
      </c>
    </row>
    <row r="5354" spans="8:8" x14ac:dyDescent="0.2">
      <c r="H5354">
        <v>0</v>
      </c>
    </row>
    <row r="5355" spans="8:8" x14ac:dyDescent="0.2">
      <c r="H5355">
        <v>0</v>
      </c>
    </row>
    <row r="5356" spans="8:8" x14ac:dyDescent="0.2">
      <c r="H5356">
        <v>0</v>
      </c>
    </row>
    <row r="5357" spans="8:8" x14ac:dyDescent="0.2">
      <c r="H5357">
        <v>0</v>
      </c>
    </row>
    <row r="5358" spans="8:8" x14ac:dyDescent="0.2">
      <c r="H5358">
        <v>0</v>
      </c>
    </row>
    <row r="5359" spans="8:8" x14ac:dyDescent="0.2">
      <c r="H5359">
        <v>0</v>
      </c>
    </row>
    <row r="5360" spans="8:8" x14ac:dyDescent="0.2">
      <c r="H5360">
        <v>0</v>
      </c>
    </row>
    <row r="5361" spans="8:8" x14ac:dyDescent="0.2">
      <c r="H5361">
        <v>0</v>
      </c>
    </row>
    <row r="5362" spans="8:8" x14ac:dyDescent="0.2">
      <c r="H5362">
        <v>0</v>
      </c>
    </row>
    <row r="5363" spans="8:8" x14ac:dyDescent="0.2">
      <c r="H5363">
        <v>0</v>
      </c>
    </row>
    <row r="5364" spans="8:8" x14ac:dyDescent="0.2">
      <c r="H5364">
        <v>0</v>
      </c>
    </row>
    <row r="5365" spans="8:8" x14ac:dyDescent="0.2">
      <c r="H5365">
        <v>0</v>
      </c>
    </row>
    <row r="5366" spans="8:8" x14ac:dyDescent="0.2">
      <c r="H5366">
        <v>0</v>
      </c>
    </row>
    <row r="5367" spans="8:8" x14ac:dyDescent="0.2">
      <c r="H5367">
        <v>0</v>
      </c>
    </row>
    <row r="5368" spans="8:8" x14ac:dyDescent="0.2">
      <c r="H5368">
        <v>0</v>
      </c>
    </row>
    <row r="5369" spans="8:8" x14ac:dyDescent="0.2">
      <c r="H5369">
        <v>0</v>
      </c>
    </row>
    <row r="5370" spans="8:8" x14ac:dyDescent="0.2">
      <c r="H5370">
        <v>0</v>
      </c>
    </row>
    <row r="5371" spans="8:8" x14ac:dyDescent="0.2">
      <c r="H5371">
        <v>0</v>
      </c>
    </row>
    <row r="5372" spans="8:8" x14ac:dyDescent="0.2">
      <c r="H5372">
        <v>0</v>
      </c>
    </row>
    <row r="5373" spans="8:8" x14ac:dyDescent="0.2">
      <c r="H5373">
        <v>0</v>
      </c>
    </row>
    <row r="5374" spans="8:8" x14ac:dyDescent="0.2">
      <c r="H5374">
        <v>0</v>
      </c>
    </row>
    <row r="5375" spans="8:8" x14ac:dyDescent="0.2">
      <c r="H5375">
        <v>0</v>
      </c>
    </row>
    <row r="5376" spans="8:8" x14ac:dyDescent="0.2">
      <c r="H5376">
        <v>0</v>
      </c>
    </row>
    <row r="5377" spans="8:8" x14ac:dyDescent="0.2">
      <c r="H5377">
        <v>0</v>
      </c>
    </row>
    <row r="5378" spans="8:8" x14ac:dyDescent="0.2">
      <c r="H5378">
        <v>0</v>
      </c>
    </row>
    <row r="5379" spans="8:8" x14ac:dyDescent="0.2">
      <c r="H5379">
        <v>0</v>
      </c>
    </row>
    <row r="5380" spans="8:8" x14ac:dyDescent="0.2">
      <c r="H5380">
        <v>0</v>
      </c>
    </row>
    <row r="5381" spans="8:8" x14ac:dyDescent="0.2">
      <c r="H5381">
        <v>0</v>
      </c>
    </row>
    <row r="5382" spans="8:8" x14ac:dyDescent="0.2">
      <c r="H5382">
        <v>0</v>
      </c>
    </row>
    <row r="5383" spans="8:8" x14ac:dyDescent="0.2">
      <c r="H5383">
        <v>0</v>
      </c>
    </row>
    <row r="5384" spans="8:8" x14ac:dyDescent="0.2">
      <c r="H5384">
        <v>0</v>
      </c>
    </row>
    <row r="5385" spans="8:8" x14ac:dyDescent="0.2">
      <c r="H5385">
        <v>0</v>
      </c>
    </row>
    <row r="5386" spans="8:8" x14ac:dyDescent="0.2">
      <c r="H5386">
        <v>0</v>
      </c>
    </row>
    <row r="5387" spans="8:8" x14ac:dyDescent="0.2">
      <c r="H5387">
        <v>0</v>
      </c>
    </row>
    <row r="5388" spans="8:8" x14ac:dyDescent="0.2">
      <c r="H5388">
        <v>0</v>
      </c>
    </row>
    <row r="5389" spans="8:8" x14ac:dyDescent="0.2">
      <c r="H5389">
        <v>0</v>
      </c>
    </row>
    <row r="5390" spans="8:8" x14ac:dyDescent="0.2">
      <c r="H5390">
        <v>0</v>
      </c>
    </row>
    <row r="5391" spans="8:8" x14ac:dyDescent="0.2">
      <c r="H5391">
        <v>0</v>
      </c>
    </row>
    <row r="5392" spans="8:8" x14ac:dyDescent="0.2">
      <c r="H5392">
        <v>0</v>
      </c>
    </row>
    <row r="5393" spans="8:8" x14ac:dyDescent="0.2">
      <c r="H5393">
        <v>0</v>
      </c>
    </row>
    <row r="5394" spans="8:8" x14ac:dyDescent="0.2">
      <c r="H5394">
        <v>0</v>
      </c>
    </row>
    <row r="5395" spans="8:8" x14ac:dyDescent="0.2">
      <c r="H5395">
        <v>0</v>
      </c>
    </row>
    <row r="5396" spans="8:8" x14ac:dyDescent="0.2">
      <c r="H5396">
        <v>0</v>
      </c>
    </row>
    <row r="5397" spans="8:8" x14ac:dyDescent="0.2">
      <c r="H5397">
        <v>0</v>
      </c>
    </row>
    <row r="5398" spans="8:8" x14ac:dyDescent="0.2">
      <c r="H5398">
        <v>0</v>
      </c>
    </row>
    <row r="5399" spans="8:8" x14ac:dyDescent="0.2">
      <c r="H5399">
        <v>0</v>
      </c>
    </row>
    <row r="5400" spans="8:8" x14ac:dyDescent="0.2">
      <c r="H5400">
        <v>0</v>
      </c>
    </row>
    <row r="5401" spans="8:8" x14ac:dyDescent="0.2">
      <c r="H5401">
        <v>0</v>
      </c>
    </row>
    <row r="5402" spans="8:8" x14ac:dyDescent="0.2">
      <c r="H5402">
        <v>0</v>
      </c>
    </row>
    <row r="5403" spans="8:8" x14ac:dyDescent="0.2">
      <c r="H5403">
        <v>0</v>
      </c>
    </row>
    <row r="5404" spans="8:8" x14ac:dyDescent="0.2">
      <c r="H5404">
        <v>0</v>
      </c>
    </row>
    <row r="5405" spans="8:8" x14ac:dyDescent="0.2">
      <c r="H5405">
        <v>0</v>
      </c>
    </row>
    <row r="5406" spans="8:8" x14ac:dyDescent="0.2">
      <c r="H5406">
        <v>0</v>
      </c>
    </row>
    <row r="5407" spans="8:8" x14ac:dyDescent="0.2">
      <c r="H5407">
        <v>0</v>
      </c>
    </row>
    <row r="5408" spans="8:8" x14ac:dyDescent="0.2">
      <c r="H5408">
        <v>0</v>
      </c>
    </row>
    <row r="5409" spans="8:8" x14ac:dyDescent="0.2">
      <c r="H5409">
        <v>0</v>
      </c>
    </row>
    <row r="5410" spans="8:8" x14ac:dyDescent="0.2">
      <c r="H5410">
        <v>0</v>
      </c>
    </row>
    <row r="5411" spans="8:8" x14ac:dyDescent="0.2">
      <c r="H5411">
        <v>0</v>
      </c>
    </row>
    <row r="5412" spans="8:8" x14ac:dyDescent="0.2">
      <c r="H5412">
        <v>0</v>
      </c>
    </row>
    <row r="5413" spans="8:8" x14ac:dyDescent="0.2">
      <c r="H5413">
        <v>0</v>
      </c>
    </row>
    <row r="5414" spans="8:8" x14ac:dyDescent="0.2">
      <c r="H5414">
        <v>0</v>
      </c>
    </row>
    <row r="5415" spans="8:8" x14ac:dyDescent="0.2">
      <c r="H5415">
        <v>0</v>
      </c>
    </row>
    <row r="5416" spans="8:8" x14ac:dyDescent="0.2">
      <c r="H5416">
        <v>0</v>
      </c>
    </row>
    <row r="5417" spans="8:8" x14ac:dyDescent="0.2">
      <c r="H5417">
        <v>0</v>
      </c>
    </row>
    <row r="5418" spans="8:8" x14ac:dyDescent="0.2">
      <c r="H5418">
        <v>0</v>
      </c>
    </row>
    <row r="5419" spans="8:8" x14ac:dyDescent="0.2">
      <c r="H5419">
        <v>0</v>
      </c>
    </row>
    <row r="5420" spans="8:8" x14ac:dyDescent="0.2">
      <c r="H5420">
        <v>0</v>
      </c>
    </row>
    <row r="5421" spans="8:8" x14ac:dyDescent="0.2">
      <c r="H5421">
        <v>0</v>
      </c>
    </row>
    <row r="5422" spans="8:8" x14ac:dyDescent="0.2">
      <c r="H5422">
        <v>0</v>
      </c>
    </row>
    <row r="5423" spans="8:8" x14ac:dyDescent="0.2">
      <c r="H5423">
        <v>0</v>
      </c>
    </row>
    <row r="5424" spans="8:8" x14ac:dyDescent="0.2">
      <c r="H5424">
        <v>0</v>
      </c>
    </row>
    <row r="5425" spans="8:8" x14ac:dyDescent="0.2">
      <c r="H5425">
        <v>0</v>
      </c>
    </row>
    <row r="5426" spans="8:8" x14ac:dyDescent="0.2">
      <c r="H5426">
        <v>0</v>
      </c>
    </row>
    <row r="5427" spans="8:8" x14ac:dyDescent="0.2">
      <c r="H5427">
        <v>0</v>
      </c>
    </row>
    <row r="5428" spans="8:8" x14ac:dyDescent="0.2">
      <c r="H5428">
        <v>0</v>
      </c>
    </row>
    <row r="5429" spans="8:8" x14ac:dyDescent="0.2">
      <c r="H5429">
        <v>0</v>
      </c>
    </row>
    <row r="5430" spans="8:8" x14ac:dyDescent="0.2">
      <c r="H5430">
        <v>0</v>
      </c>
    </row>
    <row r="5431" spans="8:8" x14ac:dyDescent="0.2">
      <c r="H5431">
        <v>0</v>
      </c>
    </row>
    <row r="5432" spans="8:8" x14ac:dyDescent="0.2">
      <c r="H5432">
        <v>0</v>
      </c>
    </row>
    <row r="5433" spans="8:8" x14ac:dyDescent="0.2">
      <c r="H5433">
        <v>0</v>
      </c>
    </row>
    <row r="5434" spans="8:8" x14ac:dyDescent="0.2">
      <c r="H5434">
        <v>0</v>
      </c>
    </row>
    <row r="5435" spans="8:8" x14ac:dyDescent="0.2">
      <c r="H5435">
        <v>0</v>
      </c>
    </row>
    <row r="5436" spans="8:8" x14ac:dyDescent="0.2">
      <c r="H5436">
        <v>0</v>
      </c>
    </row>
    <row r="5437" spans="8:8" x14ac:dyDescent="0.2">
      <c r="H5437">
        <v>0</v>
      </c>
    </row>
    <row r="5438" spans="8:8" x14ac:dyDescent="0.2">
      <c r="H5438">
        <v>0</v>
      </c>
    </row>
    <row r="5439" spans="8:8" x14ac:dyDescent="0.2">
      <c r="H5439">
        <v>0</v>
      </c>
    </row>
    <row r="5440" spans="8:8" x14ac:dyDescent="0.2">
      <c r="H5440">
        <v>0</v>
      </c>
    </row>
    <row r="5441" spans="8:8" x14ac:dyDescent="0.2">
      <c r="H5441">
        <v>0</v>
      </c>
    </row>
    <row r="5442" spans="8:8" x14ac:dyDescent="0.2">
      <c r="H5442">
        <v>0</v>
      </c>
    </row>
    <row r="5443" spans="8:8" x14ac:dyDescent="0.2">
      <c r="H5443">
        <v>0</v>
      </c>
    </row>
    <row r="5444" spans="8:8" x14ac:dyDescent="0.2">
      <c r="H5444">
        <v>0</v>
      </c>
    </row>
    <row r="5445" spans="8:8" x14ac:dyDescent="0.2">
      <c r="H5445">
        <v>0</v>
      </c>
    </row>
    <row r="5446" spans="8:8" x14ac:dyDescent="0.2">
      <c r="H5446">
        <v>0</v>
      </c>
    </row>
    <row r="5447" spans="8:8" x14ac:dyDescent="0.2">
      <c r="H5447">
        <v>0</v>
      </c>
    </row>
    <row r="5448" spans="8:8" x14ac:dyDescent="0.2">
      <c r="H5448">
        <v>0</v>
      </c>
    </row>
    <row r="5449" spans="8:8" x14ac:dyDescent="0.2">
      <c r="H5449">
        <v>0</v>
      </c>
    </row>
    <row r="5450" spans="8:8" x14ac:dyDescent="0.2">
      <c r="H5450">
        <v>0</v>
      </c>
    </row>
    <row r="5451" spans="8:8" x14ac:dyDescent="0.2">
      <c r="H5451">
        <v>0</v>
      </c>
    </row>
    <row r="5452" spans="8:8" x14ac:dyDescent="0.2">
      <c r="H5452">
        <v>0</v>
      </c>
    </row>
    <row r="5453" spans="8:8" x14ac:dyDescent="0.2">
      <c r="H5453">
        <v>0</v>
      </c>
    </row>
    <row r="5454" spans="8:8" x14ac:dyDescent="0.2">
      <c r="H5454">
        <v>0</v>
      </c>
    </row>
    <row r="5455" spans="8:8" x14ac:dyDescent="0.2">
      <c r="H5455">
        <v>0</v>
      </c>
    </row>
    <row r="5456" spans="8:8" x14ac:dyDescent="0.2">
      <c r="H5456">
        <v>0</v>
      </c>
    </row>
    <row r="5457" spans="8:8" x14ac:dyDescent="0.2">
      <c r="H5457">
        <v>0</v>
      </c>
    </row>
    <row r="5458" spans="8:8" x14ac:dyDescent="0.2">
      <c r="H5458">
        <v>0</v>
      </c>
    </row>
    <row r="5459" spans="8:8" x14ac:dyDescent="0.2">
      <c r="H5459">
        <v>0</v>
      </c>
    </row>
    <row r="5460" spans="8:8" x14ac:dyDescent="0.2">
      <c r="H5460">
        <v>0</v>
      </c>
    </row>
    <row r="5461" spans="8:8" x14ac:dyDescent="0.2">
      <c r="H5461">
        <v>0</v>
      </c>
    </row>
    <row r="5462" spans="8:8" x14ac:dyDescent="0.2">
      <c r="H5462">
        <v>0</v>
      </c>
    </row>
    <row r="5463" spans="8:8" x14ac:dyDescent="0.2">
      <c r="H5463">
        <v>0</v>
      </c>
    </row>
    <row r="5464" spans="8:8" x14ac:dyDescent="0.2">
      <c r="H5464">
        <v>0</v>
      </c>
    </row>
    <row r="5465" spans="8:8" x14ac:dyDescent="0.2">
      <c r="H5465">
        <v>0</v>
      </c>
    </row>
    <row r="5466" spans="8:8" x14ac:dyDescent="0.2">
      <c r="H5466">
        <v>0</v>
      </c>
    </row>
    <row r="5467" spans="8:8" x14ac:dyDescent="0.2">
      <c r="H5467">
        <v>0</v>
      </c>
    </row>
    <row r="5468" spans="8:8" x14ac:dyDescent="0.2">
      <c r="H5468">
        <v>0</v>
      </c>
    </row>
    <row r="5469" spans="8:8" x14ac:dyDescent="0.2">
      <c r="H5469">
        <v>0</v>
      </c>
    </row>
    <row r="5470" spans="8:8" x14ac:dyDescent="0.2">
      <c r="H5470">
        <v>0</v>
      </c>
    </row>
    <row r="5471" spans="8:8" x14ac:dyDescent="0.2">
      <c r="H5471">
        <v>0</v>
      </c>
    </row>
    <row r="5472" spans="8:8" x14ac:dyDescent="0.2">
      <c r="H5472">
        <v>0</v>
      </c>
    </row>
    <row r="5473" spans="8:8" x14ac:dyDescent="0.2">
      <c r="H5473">
        <v>0</v>
      </c>
    </row>
    <row r="5474" spans="8:8" x14ac:dyDescent="0.2">
      <c r="H5474">
        <v>0</v>
      </c>
    </row>
    <row r="5475" spans="8:8" x14ac:dyDescent="0.2">
      <c r="H5475">
        <v>0</v>
      </c>
    </row>
    <row r="5476" spans="8:8" x14ac:dyDescent="0.2">
      <c r="H5476">
        <v>0</v>
      </c>
    </row>
    <row r="5477" spans="8:8" x14ac:dyDescent="0.2">
      <c r="H5477">
        <v>0</v>
      </c>
    </row>
    <row r="5478" spans="8:8" x14ac:dyDescent="0.2">
      <c r="H5478">
        <v>0</v>
      </c>
    </row>
    <row r="5479" spans="8:8" x14ac:dyDescent="0.2">
      <c r="H5479">
        <v>0</v>
      </c>
    </row>
    <row r="5480" spans="8:8" x14ac:dyDescent="0.2">
      <c r="H5480">
        <v>0</v>
      </c>
    </row>
    <row r="5481" spans="8:8" x14ac:dyDescent="0.2">
      <c r="H5481">
        <v>0</v>
      </c>
    </row>
    <row r="5482" spans="8:8" x14ac:dyDescent="0.2">
      <c r="H5482">
        <v>0</v>
      </c>
    </row>
    <row r="5483" spans="8:8" x14ac:dyDescent="0.2">
      <c r="H5483">
        <v>0</v>
      </c>
    </row>
    <row r="5484" spans="8:8" x14ac:dyDescent="0.2">
      <c r="H5484">
        <v>0</v>
      </c>
    </row>
    <row r="5485" spans="8:8" x14ac:dyDescent="0.2">
      <c r="H5485">
        <v>0</v>
      </c>
    </row>
    <row r="5486" spans="8:8" x14ac:dyDescent="0.2">
      <c r="H5486">
        <v>0</v>
      </c>
    </row>
    <row r="5487" spans="8:8" x14ac:dyDescent="0.2">
      <c r="H5487">
        <v>0</v>
      </c>
    </row>
    <row r="5488" spans="8:8" x14ac:dyDescent="0.2">
      <c r="H5488">
        <v>0</v>
      </c>
    </row>
    <row r="5489" spans="8:8" x14ac:dyDescent="0.2">
      <c r="H5489">
        <v>0</v>
      </c>
    </row>
    <row r="5490" spans="8:8" x14ac:dyDescent="0.2">
      <c r="H5490">
        <v>0</v>
      </c>
    </row>
    <row r="5491" spans="8:8" x14ac:dyDescent="0.2">
      <c r="H5491">
        <v>0</v>
      </c>
    </row>
    <row r="5492" spans="8:8" x14ac:dyDescent="0.2">
      <c r="H5492">
        <v>0</v>
      </c>
    </row>
    <row r="5493" spans="8:8" x14ac:dyDescent="0.2">
      <c r="H5493">
        <v>0</v>
      </c>
    </row>
    <row r="5494" spans="8:8" x14ac:dyDescent="0.2">
      <c r="H5494">
        <v>0</v>
      </c>
    </row>
    <row r="5495" spans="8:8" x14ac:dyDescent="0.2">
      <c r="H5495">
        <v>0</v>
      </c>
    </row>
    <row r="5496" spans="8:8" x14ac:dyDescent="0.2">
      <c r="H5496">
        <v>0</v>
      </c>
    </row>
    <row r="5497" spans="8:8" x14ac:dyDescent="0.2">
      <c r="H5497">
        <v>0</v>
      </c>
    </row>
    <row r="5498" spans="8:8" x14ac:dyDescent="0.2">
      <c r="H5498">
        <v>0</v>
      </c>
    </row>
    <row r="5499" spans="8:8" x14ac:dyDescent="0.2">
      <c r="H5499">
        <v>0</v>
      </c>
    </row>
    <row r="5500" spans="8:8" x14ac:dyDescent="0.2">
      <c r="H5500">
        <v>0</v>
      </c>
    </row>
    <row r="5501" spans="8:8" x14ac:dyDescent="0.2">
      <c r="H5501">
        <v>0</v>
      </c>
    </row>
    <row r="5502" spans="8:8" x14ac:dyDescent="0.2">
      <c r="H5502">
        <v>0</v>
      </c>
    </row>
    <row r="5503" spans="8:8" x14ac:dyDescent="0.2">
      <c r="H5503">
        <v>0</v>
      </c>
    </row>
    <row r="5504" spans="8:8" x14ac:dyDescent="0.2">
      <c r="H5504">
        <v>0</v>
      </c>
    </row>
    <row r="5505" spans="8:8" x14ac:dyDescent="0.2">
      <c r="H5505">
        <v>0</v>
      </c>
    </row>
    <row r="5506" spans="8:8" x14ac:dyDescent="0.2">
      <c r="H5506">
        <v>0</v>
      </c>
    </row>
    <row r="5507" spans="8:8" x14ac:dyDescent="0.2">
      <c r="H5507">
        <v>0</v>
      </c>
    </row>
    <row r="5508" spans="8:8" x14ac:dyDescent="0.2">
      <c r="H5508">
        <v>0</v>
      </c>
    </row>
    <row r="5509" spans="8:8" x14ac:dyDescent="0.2">
      <c r="H5509">
        <v>0</v>
      </c>
    </row>
    <row r="5510" spans="8:8" x14ac:dyDescent="0.2">
      <c r="H5510">
        <v>0</v>
      </c>
    </row>
    <row r="5511" spans="8:8" x14ac:dyDescent="0.2">
      <c r="H5511">
        <v>0</v>
      </c>
    </row>
    <row r="5512" spans="8:8" x14ac:dyDescent="0.2">
      <c r="H5512">
        <v>0</v>
      </c>
    </row>
    <row r="5513" spans="8:8" x14ac:dyDescent="0.2">
      <c r="H5513">
        <v>0</v>
      </c>
    </row>
    <row r="5514" spans="8:8" x14ac:dyDescent="0.2">
      <c r="H5514">
        <v>0</v>
      </c>
    </row>
    <row r="5515" spans="8:8" x14ac:dyDescent="0.2">
      <c r="H5515">
        <v>0</v>
      </c>
    </row>
    <row r="5516" spans="8:8" x14ac:dyDescent="0.2">
      <c r="H5516">
        <v>0</v>
      </c>
    </row>
    <row r="5517" spans="8:8" x14ac:dyDescent="0.2">
      <c r="H5517">
        <v>0</v>
      </c>
    </row>
    <row r="5518" spans="8:8" x14ac:dyDescent="0.2">
      <c r="H5518">
        <v>0</v>
      </c>
    </row>
    <row r="5519" spans="8:8" x14ac:dyDescent="0.2">
      <c r="H5519">
        <v>0</v>
      </c>
    </row>
    <row r="5520" spans="8:8" x14ac:dyDescent="0.2">
      <c r="H5520">
        <v>0</v>
      </c>
    </row>
    <row r="5521" spans="8:8" x14ac:dyDescent="0.2">
      <c r="H5521">
        <v>0</v>
      </c>
    </row>
    <row r="5522" spans="8:8" x14ac:dyDescent="0.2">
      <c r="H5522">
        <v>0</v>
      </c>
    </row>
    <row r="5523" spans="8:8" x14ac:dyDescent="0.2">
      <c r="H5523">
        <v>0</v>
      </c>
    </row>
    <row r="5524" spans="8:8" x14ac:dyDescent="0.2">
      <c r="H5524">
        <v>0</v>
      </c>
    </row>
    <row r="5525" spans="8:8" x14ac:dyDescent="0.2">
      <c r="H5525">
        <v>0</v>
      </c>
    </row>
    <row r="5526" spans="8:8" x14ac:dyDescent="0.2">
      <c r="H5526">
        <v>0</v>
      </c>
    </row>
    <row r="5527" spans="8:8" x14ac:dyDescent="0.2">
      <c r="H5527">
        <v>0</v>
      </c>
    </row>
    <row r="5528" spans="8:8" x14ac:dyDescent="0.2">
      <c r="H5528">
        <v>0</v>
      </c>
    </row>
    <row r="5529" spans="8:8" x14ac:dyDescent="0.2">
      <c r="H5529">
        <v>0</v>
      </c>
    </row>
    <row r="5530" spans="8:8" x14ac:dyDescent="0.2">
      <c r="H5530">
        <v>0</v>
      </c>
    </row>
    <row r="5531" spans="8:8" x14ac:dyDescent="0.2">
      <c r="H5531">
        <v>0</v>
      </c>
    </row>
    <row r="5532" spans="8:8" x14ac:dyDescent="0.2">
      <c r="H5532">
        <v>0</v>
      </c>
    </row>
    <row r="5533" spans="8:8" x14ac:dyDescent="0.2">
      <c r="H5533">
        <v>0</v>
      </c>
    </row>
    <row r="5534" spans="8:8" x14ac:dyDescent="0.2">
      <c r="H5534">
        <v>0</v>
      </c>
    </row>
    <row r="5535" spans="8:8" x14ac:dyDescent="0.2">
      <c r="H5535">
        <v>0</v>
      </c>
    </row>
    <row r="5536" spans="8:8" x14ac:dyDescent="0.2">
      <c r="H5536">
        <v>0</v>
      </c>
    </row>
    <row r="5537" spans="8:8" x14ac:dyDescent="0.2">
      <c r="H5537">
        <v>0</v>
      </c>
    </row>
    <row r="5538" spans="8:8" x14ac:dyDescent="0.2">
      <c r="H5538">
        <v>0</v>
      </c>
    </row>
    <row r="5539" spans="8:8" x14ac:dyDescent="0.2">
      <c r="H5539">
        <v>0</v>
      </c>
    </row>
    <row r="5540" spans="8:8" x14ac:dyDescent="0.2">
      <c r="H5540">
        <v>0</v>
      </c>
    </row>
    <row r="5541" spans="8:8" x14ac:dyDescent="0.2">
      <c r="H5541">
        <v>0</v>
      </c>
    </row>
    <row r="5542" spans="8:8" x14ac:dyDescent="0.2">
      <c r="H5542">
        <v>0</v>
      </c>
    </row>
    <row r="5543" spans="8:8" x14ac:dyDescent="0.2">
      <c r="H5543">
        <v>0</v>
      </c>
    </row>
    <row r="5544" spans="8:8" x14ac:dyDescent="0.2">
      <c r="H5544">
        <v>0</v>
      </c>
    </row>
    <row r="5545" spans="8:8" x14ac:dyDescent="0.2">
      <c r="H5545">
        <v>0</v>
      </c>
    </row>
    <row r="5546" spans="8:8" x14ac:dyDescent="0.2">
      <c r="H5546">
        <v>0</v>
      </c>
    </row>
    <row r="5547" spans="8:8" x14ac:dyDescent="0.2">
      <c r="H5547">
        <v>0</v>
      </c>
    </row>
    <row r="5548" spans="8:8" x14ac:dyDescent="0.2">
      <c r="H5548">
        <v>0</v>
      </c>
    </row>
    <row r="5549" spans="8:8" x14ac:dyDescent="0.2">
      <c r="H5549">
        <v>0</v>
      </c>
    </row>
    <row r="5550" spans="8:8" x14ac:dyDescent="0.2">
      <c r="H5550">
        <v>0</v>
      </c>
    </row>
    <row r="5551" spans="8:8" x14ac:dyDescent="0.2">
      <c r="H5551">
        <v>0</v>
      </c>
    </row>
    <row r="5552" spans="8:8" x14ac:dyDescent="0.2">
      <c r="H5552">
        <v>0</v>
      </c>
    </row>
    <row r="5553" spans="8:8" x14ac:dyDescent="0.2">
      <c r="H5553">
        <v>0</v>
      </c>
    </row>
    <row r="5554" spans="8:8" x14ac:dyDescent="0.2">
      <c r="H5554">
        <v>0</v>
      </c>
    </row>
    <row r="5555" spans="8:8" x14ac:dyDescent="0.2">
      <c r="H5555">
        <v>0</v>
      </c>
    </row>
    <row r="5556" spans="8:8" x14ac:dyDescent="0.2">
      <c r="H5556">
        <v>0</v>
      </c>
    </row>
    <row r="5557" spans="8:8" x14ac:dyDescent="0.2">
      <c r="H5557">
        <v>0</v>
      </c>
    </row>
    <row r="5558" spans="8:8" x14ac:dyDescent="0.2">
      <c r="H5558">
        <v>0</v>
      </c>
    </row>
    <row r="5559" spans="8:8" x14ac:dyDescent="0.2">
      <c r="H5559">
        <v>0</v>
      </c>
    </row>
    <row r="5560" spans="8:8" x14ac:dyDescent="0.2">
      <c r="H5560">
        <v>0</v>
      </c>
    </row>
    <row r="5561" spans="8:8" x14ac:dyDescent="0.2">
      <c r="H5561">
        <v>0</v>
      </c>
    </row>
    <row r="5562" spans="8:8" x14ac:dyDescent="0.2">
      <c r="H5562">
        <v>0</v>
      </c>
    </row>
    <row r="5563" spans="8:8" x14ac:dyDescent="0.2">
      <c r="H5563">
        <v>0</v>
      </c>
    </row>
    <row r="5564" spans="8:8" x14ac:dyDescent="0.2">
      <c r="H5564">
        <v>0</v>
      </c>
    </row>
    <row r="5565" spans="8:8" x14ac:dyDescent="0.2">
      <c r="H5565">
        <v>0</v>
      </c>
    </row>
    <row r="5566" spans="8:8" x14ac:dyDescent="0.2">
      <c r="H5566">
        <v>0</v>
      </c>
    </row>
    <row r="5567" spans="8:8" x14ac:dyDescent="0.2">
      <c r="H5567">
        <v>0</v>
      </c>
    </row>
    <row r="5568" spans="8:8" x14ac:dyDescent="0.2">
      <c r="H5568">
        <v>0</v>
      </c>
    </row>
    <row r="5569" spans="8:8" x14ac:dyDescent="0.2">
      <c r="H5569">
        <v>0</v>
      </c>
    </row>
    <row r="5570" spans="8:8" x14ac:dyDescent="0.2">
      <c r="H5570">
        <v>0</v>
      </c>
    </row>
    <row r="5571" spans="8:8" x14ac:dyDescent="0.2">
      <c r="H5571">
        <v>0</v>
      </c>
    </row>
    <row r="5572" spans="8:8" x14ac:dyDescent="0.2">
      <c r="H5572">
        <v>0</v>
      </c>
    </row>
    <row r="5573" spans="8:8" x14ac:dyDescent="0.2">
      <c r="H5573">
        <v>0</v>
      </c>
    </row>
    <row r="5574" spans="8:8" x14ac:dyDescent="0.2">
      <c r="H5574">
        <v>0</v>
      </c>
    </row>
    <row r="5575" spans="8:8" x14ac:dyDescent="0.2">
      <c r="H5575">
        <v>0</v>
      </c>
    </row>
    <row r="5576" spans="8:8" x14ac:dyDescent="0.2">
      <c r="H5576">
        <v>0</v>
      </c>
    </row>
    <row r="5577" spans="8:8" x14ac:dyDescent="0.2">
      <c r="H5577">
        <v>0</v>
      </c>
    </row>
    <row r="5578" spans="8:8" x14ac:dyDescent="0.2">
      <c r="H5578">
        <v>0</v>
      </c>
    </row>
    <row r="5579" spans="8:8" x14ac:dyDescent="0.2">
      <c r="H5579">
        <v>0</v>
      </c>
    </row>
    <row r="5580" spans="8:8" x14ac:dyDescent="0.2">
      <c r="H5580">
        <v>0</v>
      </c>
    </row>
    <row r="5581" spans="8:8" x14ac:dyDescent="0.2">
      <c r="H5581">
        <v>0</v>
      </c>
    </row>
    <row r="5582" spans="8:8" x14ac:dyDescent="0.2">
      <c r="H5582">
        <v>0</v>
      </c>
    </row>
    <row r="5583" spans="8:8" x14ac:dyDescent="0.2">
      <c r="H5583">
        <v>0</v>
      </c>
    </row>
    <row r="5584" spans="8:8" x14ac:dyDescent="0.2">
      <c r="H5584">
        <v>0</v>
      </c>
    </row>
    <row r="5585" spans="8:8" x14ac:dyDescent="0.2">
      <c r="H5585">
        <v>0</v>
      </c>
    </row>
    <row r="5586" spans="8:8" x14ac:dyDescent="0.2">
      <c r="H5586">
        <v>0</v>
      </c>
    </row>
    <row r="5587" spans="8:8" x14ac:dyDescent="0.2">
      <c r="H5587">
        <v>0</v>
      </c>
    </row>
    <row r="5588" spans="8:8" x14ac:dyDescent="0.2">
      <c r="H5588">
        <v>0</v>
      </c>
    </row>
    <row r="5589" spans="8:8" x14ac:dyDescent="0.2">
      <c r="H5589">
        <v>0</v>
      </c>
    </row>
    <row r="5590" spans="8:8" x14ac:dyDescent="0.2">
      <c r="H5590">
        <v>0</v>
      </c>
    </row>
    <row r="5591" spans="8:8" x14ac:dyDescent="0.2">
      <c r="H5591">
        <v>0</v>
      </c>
    </row>
    <row r="5592" spans="8:8" x14ac:dyDescent="0.2">
      <c r="H5592">
        <v>0</v>
      </c>
    </row>
    <row r="5593" spans="8:8" x14ac:dyDescent="0.2">
      <c r="H5593">
        <v>0</v>
      </c>
    </row>
    <row r="5594" spans="8:8" x14ac:dyDescent="0.2">
      <c r="H5594">
        <v>0</v>
      </c>
    </row>
    <row r="5595" spans="8:8" x14ac:dyDescent="0.2">
      <c r="H5595">
        <v>0</v>
      </c>
    </row>
    <row r="5596" spans="8:8" x14ac:dyDescent="0.2">
      <c r="H5596">
        <v>0</v>
      </c>
    </row>
    <row r="5597" spans="8:8" x14ac:dyDescent="0.2">
      <c r="H5597">
        <v>0</v>
      </c>
    </row>
    <row r="5598" spans="8:8" x14ac:dyDescent="0.2">
      <c r="H5598">
        <v>0</v>
      </c>
    </row>
    <row r="5599" spans="8:8" x14ac:dyDescent="0.2">
      <c r="H5599">
        <v>0</v>
      </c>
    </row>
    <row r="5600" spans="8:8" x14ac:dyDescent="0.2">
      <c r="H5600">
        <v>0</v>
      </c>
    </row>
    <row r="5601" spans="8:8" x14ac:dyDescent="0.2">
      <c r="H5601">
        <v>0</v>
      </c>
    </row>
    <row r="5602" spans="8:8" x14ac:dyDescent="0.2">
      <c r="H5602">
        <v>0</v>
      </c>
    </row>
    <row r="5603" spans="8:8" x14ac:dyDescent="0.2">
      <c r="H5603">
        <v>0</v>
      </c>
    </row>
    <row r="5604" spans="8:8" x14ac:dyDescent="0.2">
      <c r="H5604">
        <v>0</v>
      </c>
    </row>
    <row r="5605" spans="8:8" x14ac:dyDescent="0.2">
      <c r="H5605">
        <v>0</v>
      </c>
    </row>
    <row r="5606" spans="8:8" x14ac:dyDescent="0.2">
      <c r="H5606">
        <v>0</v>
      </c>
    </row>
    <row r="5607" spans="8:8" x14ac:dyDescent="0.2">
      <c r="H5607">
        <v>0</v>
      </c>
    </row>
    <row r="5608" spans="8:8" x14ac:dyDescent="0.2">
      <c r="H5608">
        <v>0</v>
      </c>
    </row>
    <row r="5609" spans="8:8" x14ac:dyDescent="0.2">
      <c r="H5609">
        <v>0</v>
      </c>
    </row>
    <row r="5610" spans="8:8" x14ac:dyDescent="0.2">
      <c r="H5610">
        <v>0</v>
      </c>
    </row>
    <row r="5611" spans="8:8" x14ac:dyDescent="0.2">
      <c r="H5611">
        <v>0</v>
      </c>
    </row>
    <row r="5612" spans="8:8" x14ac:dyDescent="0.2">
      <c r="H5612">
        <v>0</v>
      </c>
    </row>
    <row r="5613" spans="8:8" x14ac:dyDescent="0.2">
      <c r="H5613">
        <v>0</v>
      </c>
    </row>
    <row r="5614" spans="8:8" x14ac:dyDescent="0.2">
      <c r="H5614">
        <v>0</v>
      </c>
    </row>
    <row r="5615" spans="8:8" x14ac:dyDescent="0.2">
      <c r="H5615">
        <v>0</v>
      </c>
    </row>
    <row r="5616" spans="8:8" x14ac:dyDescent="0.2">
      <c r="H5616">
        <v>0</v>
      </c>
    </row>
    <row r="5617" spans="8:8" x14ac:dyDescent="0.2">
      <c r="H5617">
        <v>0</v>
      </c>
    </row>
    <row r="5618" spans="8:8" x14ac:dyDescent="0.2">
      <c r="H5618">
        <v>0</v>
      </c>
    </row>
    <row r="5619" spans="8:8" x14ac:dyDescent="0.2">
      <c r="H5619">
        <v>0</v>
      </c>
    </row>
    <row r="5620" spans="8:8" x14ac:dyDescent="0.2">
      <c r="H5620">
        <v>0</v>
      </c>
    </row>
    <row r="5621" spans="8:8" x14ac:dyDescent="0.2">
      <c r="H5621">
        <v>0</v>
      </c>
    </row>
    <row r="5622" spans="8:8" x14ac:dyDescent="0.2">
      <c r="H5622">
        <v>0</v>
      </c>
    </row>
    <row r="5623" spans="8:8" x14ac:dyDescent="0.2">
      <c r="H5623">
        <v>0</v>
      </c>
    </row>
    <row r="5624" spans="8:8" x14ac:dyDescent="0.2">
      <c r="H5624">
        <v>0</v>
      </c>
    </row>
    <row r="5625" spans="8:8" x14ac:dyDescent="0.2">
      <c r="H5625">
        <v>0</v>
      </c>
    </row>
    <row r="5626" spans="8:8" x14ac:dyDescent="0.2">
      <c r="H5626">
        <v>0</v>
      </c>
    </row>
    <row r="5627" spans="8:8" x14ac:dyDescent="0.2">
      <c r="H5627">
        <v>0</v>
      </c>
    </row>
    <row r="5628" spans="8:8" x14ac:dyDescent="0.2">
      <c r="H5628">
        <v>0</v>
      </c>
    </row>
    <row r="5629" spans="8:8" x14ac:dyDescent="0.2">
      <c r="H5629">
        <v>0</v>
      </c>
    </row>
    <row r="5630" spans="8:8" x14ac:dyDescent="0.2">
      <c r="H5630">
        <v>0</v>
      </c>
    </row>
    <row r="5631" spans="8:8" x14ac:dyDescent="0.2">
      <c r="H5631">
        <v>0</v>
      </c>
    </row>
    <row r="5632" spans="8:8" x14ac:dyDescent="0.2">
      <c r="H5632">
        <v>0</v>
      </c>
    </row>
    <row r="5633" spans="8:8" x14ac:dyDescent="0.2">
      <c r="H5633">
        <v>0</v>
      </c>
    </row>
    <row r="5634" spans="8:8" x14ac:dyDescent="0.2">
      <c r="H5634">
        <v>0</v>
      </c>
    </row>
    <row r="5635" spans="8:8" x14ac:dyDescent="0.2">
      <c r="H5635">
        <v>0</v>
      </c>
    </row>
    <row r="5636" spans="8:8" x14ac:dyDescent="0.2">
      <c r="H5636">
        <v>0</v>
      </c>
    </row>
    <row r="5637" spans="8:8" x14ac:dyDescent="0.2">
      <c r="H5637">
        <v>0</v>
      </c>
    </row>
    <row r="5638" spans="8:8" x14ac:dyDescent="0.2">
      <c r="H5638">
        <v>0</v>
      </c>
    </row>
    <row r="5639" spans="8:8" x14ac:dyDescent="0.2">
      <c r="H5639">
        <v>0</v>
      </c>
    </row>
    <row r="5640" spans="8:8" x14ac:dyDescent="0.2">
      <c r="H5640">
        <v>0</v>
      </c>
    </row>
    <row r="5641" spans="8:8" x14ac:dyDescent="0.2">
      <c r="H5641">
        <v>0</v>
      </c>
    </row>
    <row r="5642" spans="8:8" x14ac:dyDescent="0.2">
      <c r="H5642">
        <v>0</v>
      </c>
    </row>
    <row r="5643" spans="8:8" x14ac:dyDescent="0.2">
      <c r="H5643">
        <v>0</v>
      </c>
    </row>
    <row r="5644" spans="8:8" x14ac:dyDescent="0.2">
      <c r="H5644">
        <v>0</v>
      </c>
    </row>
    <row r="5645" spans="8:8" x14ac:dyDescent="0.2">
      <c r="H5645">
        <v>0</v>
      </c>
    </row>
    <row r="5646" spans="8:8" x14ac:dyDescent="0.2">
      <c r="H5646">
        <v>0</v>
      </c>
    </row>
    <row r="5647" spans="8:8" x14ac:dyDescent="0.2">
      <c r="H5647">
        <v>0</v>
      </c>
    </row>
    <row r="5648" spans="8:8" x14ac:dyDescent="0.2">
      <c r="H5648">
        <v>0</v>
      </c>
    </row>
    <row r="5649" spans="8:8" x14ac:dyDescent="0.2">
      <c r="H5649">
        <v>0</v>
      </c>
    </row>
    <row r="5650" spans="8:8" x14ac:dyDescent="0.2">
      <c r="H5650">
        <v>0</v>
      </c>
    </row>
    <row r="5651" spans="8:8" x14ac:dyDescent="0.2">
      <c r="H5651">
        <v>0</v>
      </c>
    </row>
    <row r="5652" spans="8:8" x14ac:dyDescent="0.2">
      <c r="H5652">
        <v>0</v>
      </c>
    </row>
    <row r="5653" spans="8:8" x14ac:dyDescent="0.2">
      <c r="H5653">
        <v>0</v>
      </c>
    </row>
    <row r="5654" spans="8:8" x14ac:dyDescent="0.2">
      <c r="H5654">
        <v>0</v>
      </c>
    </row>
    <row r="5655" spans="8:8" x14ac:dyDescent="0.2">
      <c r="H5655">
        <v>0</v>
      </c>
    </row>
    <row r="5656" spans="8:8" x14ac:dyDescent="0.2">
      <c r="H5656">
        <v>0</v>
      </c>
    </row>
    <row r="5657" spans="8:8" x14ac:dyDescent="0.2">
      <c r="H5657">
        <v>0</v>
      </c>
    </row>
    <row r="5658" spans="8:8" x14ac:dyDescent="0.2">
      <c r="H5658">
        <v>0</v>
      </c>
    </row>
    <row r="5659" spans="8:8" x14ac:dyDescent="0.2">
      <c r="H5659">
        <v>0</v>
      </c>
    </row>
    <row r="5660" spans="8:8" x14ac:dyDescent="0.2">
      <c r="H5660">
        <v>0</v>
      </c>
    </row>
    <row r="5661" spans="8:8" x14ac:dyDescent="0.2">
      <c r="H5661">
        <v>0</v>
      </c>
    </row>
    <row r="5662" spans="8:8" x14ac:dyDescent="0.2">
      <c r="H5662">
        <v>0</v>
      </c>
    </row>
    <row r="5663" spans="8:8" x14ac:dyDescent="0.2">
      <c r="H5663">
        <v>0</v>
      </c>
    </row>
    <row r="5664" spans="8:8" x14ac:dyDescent="0.2">
      <c r="H5664">
        <v>0</v>
      </c>
    </row>
    <row r="5665" spans="8:8" x14ac:dyDescent="0.2">
      <c r="H5665">
        <v>0</v>
      </c>
    </row>
    <row r="5666" spans="8:8" x14ac:dyDescent="0.2">
      <c r="H5666">
        <v>0</v>
      </c>
    </row>
    <row r="5667" spans="8:8" x14ac:dyDescent="0.2">
      <c r="H5667">
        <v>0</v>
      </c>
    </row>
    <row r="5668" spans="8:8" x14ac:dyDescent="0.2">
      <c r="H5668">
        <v>0</v>
      </c>
    </row>
    <row r="5669" spans="8:8" x14ac:dyDescent="0.2">
      <c r="H5669">
        <v>0</v>
      </c>
    </row>
    <row r="5670" spans="8:8" x14ac:dyDescent="0.2">
      <c r="H5670">
        <v>0</v>
      </c>
    </row>
    <row r="5671" spans="8:8" x14ac:dyDescent="0.2">
      <c r="H5671">
        <v>0</v>
      </c>
    </row>
    <row r="5672" spans="8:8" x14ac:dyDescent="0.2">
      <c r="H5672">
        <v>0</v>
      </c>
    </row>
    <row r="5673" spans="8:8" x14ac:dyDescent="0.2">
      <c r="H5673">
        <v>0</v>
      </c>
    </row>
    <row r="5674" spans="8:8" x14ac:dyDescent="0.2">
      <c r="H5674">
        <v>0</v>
      </c>
    </row>
    <row r="5675" spans="8:8" x14ac:dyDescent="0.2">
      <c r="H5675">
        <v>0</v>
      </c>
    </row>
    <row r="5676" spans="8:8" x14ac:dyDescent="0.2">
      <c r="H5676">
        <v>0</v>
      </c>
    </row>
    <row r="5677" spans="8:8" x14ac:dyDescent="0.2">
      <c r="H5677">
        <v>0</v>
      </c>
    </row>
    <row r="5678" spans="8:8" x14ac:dyDescent="0.2">
      <c r="H5678">
        <v>0</v>
      </c>
    </row>
    <row r="5679" spans="8:8" x14ac:dyDescent="0.2">
      <c r="H5679">
        <v>0</v>
      </c>
    </row>
    <row r="5680" spans="8:8" x14ac:dyDescent="0.2">
      <c r="H5680">
        <v>0</v>
      </c>
    </row>
    <row r="5681" spans="8:8" x14ac:dyDescent="0.2">
      <c r="H5681">
        <v>0</v>
      </c>
    </row>
    <row r="5682" spans="8:8" x14ac:dyDescent="0.2">
      <c r="H5682">
        <v>0</v>
      </c>
    </row>
    <row r="5683" spans="8:8" x14ac:dyDescent="0.2">
      <c r="H5683">
        <v>0</v>
      </c>
    </row>
    <row r="5684" spans="8:8" x14ac:dyDescent="0.2">
      <c r="H5684">
        <v>0</v>
      </c>
    </row>
    <row r="5685" spans="8:8" x14ac:dyDescent="0.2">
      <c r="H5685">
        <v>0</v>
      </c>
    </row>
    <row r="5686" spans="8:8" x14ac:dyDescent="0.2">
      <c r="H5686">
        <v>0</v>
      </c>
    </row>
    <row r="5687" spans="8:8" x14ac:dyDescent="0.2">
      <c r="H5687">
        <v>0</v>
      </c>
    </row>
    <row r="5688" spans="8:8" x14ac:dyDescent="0.2">
      <c r="H5688">
        <v>0</v>
      </c>
    </row>
    <row r="5689" spans="8:8" x14ac:dyDescent="0.2">
      <c r="H5689">
        <v>0</v>
      </c>
    </row>
    <row r="5690" spans="8:8" x14ac:dyDescent="0.2">
      <c r="H5690">
        <v>0</v>
      </c>
    </row>
    <row r="5691" spans="8:8" x14ac:dyDescent="0.2">
      <c r="H5691">
        <v>0</v>
      </c>
    </row>
    <row r="5692" spans="8:8" x14ac:dyDescent="0.2">
      <c r="H5692">
        <v>0</v>
      </c>
    </row>
    <row r="5693" spans="8:8" x14ac:dyDescent="0.2">
      <c r="H5693">
        <v>0</v>
      </c>
    </row>
    <row r="5694" spans="8:8" x14ac:dyDescent="0.2">
      <c r="H5694">
        <v>0</v>
      </c>
    </row>
    <row r="5695" spans="8:8" x14ac:dyDescent="0.2">
      <c r="H5695">
        <v>0</v>
      </c>
    </row>
    <row r="5696" spans="8:8" x14ac:dyDescent="0.2">
      <c r="H5696">
        <v>0</v>
      </c>
    </row>
    <row r="5697" spans="8:8" x14ac:dyDescent="0.2">
      <c r="H5697">
        <v>0</v>
      </c>
    </row>
    <row r="5698" spans="8:8" x14ac:dyDescent="0.2">
      <c r="H5698">
        <v>0</v>
      </c>
    </row>
    <row r="5699" spans="8:8" x14ac:dyDescent="0.2">
      <c r="H5699">
        <v>0</v>
      </c>
    </row>
    <row r="5700" spans="8:8" x14ac:dyDescent="0.2">
      <c r="H5700">
        <v>0</v>
      </c>
    </row>
    <row r="5701" spans="8:8" x14ac:dyDescent="0.2">
      <c r="H5701">
        <v>0</v>
      </c>
    </row>
    <row r="5702" spans="8:8" x14ac:dyDescent="0.2">
      <c r="H5702">
        <v>0</v>
      </c>
    </row>
    <row r="5703" spans="8:8" x14ac:dyDescent="0.2">
      <c r="H5703">
        <v>0</v>
      </c>
    </row>
    <row r="5704" spans="8:8" x14ac:dyDescent="0.2">
      <c r="H5704">
        <v>0</v>
      </c>
    </row>
    <row r="5705" spans="8:8" x14ac:dyDescent="0.2">
      <c r="H5705">
        <v>0</v>
      </c>
    </row>
    <row r="5706" spans="8:8" x14ac:dyDescent="0.2">
      <c r="H5706">
        <v>0</v>
      </c>
    </row>
    <row r="5707" spans="8:8" x14ac:dyDescent="0.2">
      <c r="H5707">
        <v>0</v>
      </c>
    </row>
    <row r="5708" spans="8:8" x14ac:dyDescent="0.2">
      <c r="H5708">
        <v>0</v>
      </c>
    </row>
    <row r="5709" spans="8:8" x14ac:dyDescent="0.2">
      <c r="H5709">
        <v>0</v>
      </c>
    </row>
    <row r="5710" spans="8:8" x14ac:dyDescent="0.2">
      <c r="H5710">
        <v>0</v>
      </c>
    </row>
    <row r="5711" spans="8:8" x14ac:dyDescent="0.2">
      <c r="H5711">
        <v>0</v>
      </c>
    </row>
    <row r="5712" spans="8:8" x14ac:dyDescent="0.2">
      <c r="H5712">
        <v>0</v>
      </c>
    </row>
    <row r="5713" spans="8:8" x14ac:dyDescent="0.2">
      <c r="H5713">
        <v>0</v>
      </c>
    </row>
    <row r="5714" spans="8:8" x14ac:dyDescent="0.2">
      <c r="H5714">
        <v>0</v>
      </c>
    </row>
    <row r="5715" spans="8:8" x14ac:dyDescent="0.2">
      <c r="H5715">
        <v>0</v>
      </c>
    </row>
    <row r="5716" spans="8:8" x14ac:dyDescent="0.2">
      <c r="H5716">
        <v>0</v>
      </c>
    </row>
    <row r="5717" spans="8:8" x14ac:dyDescent="0.2">
      <c r="H5717">
        <v>0</v>
      </c>
    </row>
    <row r="5718" spans="8:8" x14ac:dyDescent="0.2">
      <c r="H5718">
        <v>0</v>
      </c>
    </row>
    <row r="5719" spans="8:8" x14ac:dyDescent="0.2">
      <c r="H5719">
        <v>0</v>
      </c>
    </row>
    <row r="5720" spans="8:8" x14ac:dyDescent="0.2">
      <c r="H5720">
        <v>0</v>
      </c>
    </row>
    <row r="5721" spans="8:8" x14ac:dyDescent="0.2">
      <c r="H5721">
        <v>0</v>
      </c>
    </row>
    <row r="5722" spans="8:8" x14ac:dyDescent="0.2">
      <c r="H5722">
        <v>0</v>
      </c>
    </row>
    <row r="5723" spans="8:8" x14ac:dyDescent="0.2">
      <c r="H5723">
        <v>0</v>
      </c>
    </row>
    <row r="5724" spans="8:8" x14ac:dyDescent="0.2">
      <c r="H5724">
        <v>0</v>
      </c>
    </row>
    <row r="5725" spans="8:8" x14ac:dyDescent="0.2">
      <c r="H5725">
        <v>0</v>
      </c>
    </row>
    <row r="5726" spans="8:8" x14ac:dyDescent="0.2">
      <c r="H5726">
        <v>0</v>
      </c>
    </row>
    <row r="5727" spans="8:8" x14ac:dyDescent="0.2">
      <c r="H5727">
        <v>0</v>
      </c>
    </row>
    <row r="5728" spans="8:8" x14ac:dyDescent="0.2">
      <c r="H5728">
        <v>0</v>
      </c>
    </row>
    <row r="5729" spans="8:8" x14ac:dyDescent="0.2">
      <c r="H5729">
        <v>0</v>
      </c>
    </row>
    <row r="5730" spans="8:8" x14ac:dyDescent="0.2">
      <c r="H5730">
        <v>0</v>
      </c>
    </row>
    <row r="5731" spans="8:8" x14ac:dyDescent="0.2">
      <c r="H5731">
        <v>0</v>
      </c>
    </row>
    <row r="5732" spans="8:8" x14ac:dyDescent="0.2">
      <c r="H5732">
        <v>0</v>
      </c>
    </row>
    <row r="5733" spans="8:8" x14ac:dyDescent="0.2">
      <c r="H5733">
        <v>0</v>
      </c>
    </row>
    <row r="5734" spans="8:8" x14ac:dyDescent="0.2">
      <c r="H5734">
        <v>0</v>
      </c>
    </row>
    <row r="5735" spans="8:8" x14ac:dyDescent="0.2">
      <c r="H5735">
        <v>0</v>
      </c>
    </row>
    <row r="5736" spans="8:8" x14ac:dyDescent="0.2">
      <c r="H5736">
        <v>0</v>
      </c>
    </row>
    <row r="5737" spans="8:8" x14ac:dyDescent="0.2">
      <c r="H5737">
        <v>0</v>
      </c>
    </row>
    <row r="5738" spans="8:8" x14ac:dyDescent="0.2">
      <c r="H5738">
        <v>0</v>
      </c>
    </row>
    <row r="5739" spans="8:8" x14ac:dyDescent="0.2">
      <c r="H5739">
        <v>0</v>
      </c>
    </row>
    <row r="5740" spans="8:8" x14ac:dyDescent="0.2">
      <c r="H5740">
        <v>0</v>
      </c>
    </row>
    <row r="5741" spans="8:8" x14ac:dyDescent="0.2">
      <c r="H5741">
        <v>0</v>
      </c>
    </row>
    <row r="5742" spans="8:8" x14ac:dyDescent="0.2">
      <c r="H5742">
        <v>0</v>
      </c>
    </row>
    <row r="5743" spans="8:8" x14ac:dyDescent="0.2">
      <c r="H5743">
        <v>0</v>
      </c>
    </row>
    <row r="5744" spans="8:8" x14ac:dyDescent="0.2">
      <c r="H5744">
        <v>0</v>
      </c>
    </row>
    <row r="5745" spans="8:8" x14ac:dyDescent="0.2">
      <c r="H5745">
        <v>0</v>
      </c>
    </row>
    <row r="5746" spans="8:8" x14ac:dyDescent="0.2">
      <c r="H5746">
        <v>0</v>
      </c>
    </row>
    <row r="5747" spans="8:8" x14ac:dyDescent="0.2">
      <c r="H5747">
        <v>0</v>
      </c>
    </row>
    <row r="5748" spans="8:8" x14ac:dyDescent="0.2">
      <c r="H5748">
        <v>0</v>
      </c>
    </row>
    <row r="5749" spans="8:8" x14ac:dyDescent="0.2">
      <c r="H5749">
        <v>0</v>
      </c>
    </row>
    <row r="5750" spans="8:8" x14ac:dyDescent="0.2">
      <c r="H5750">
        <v>0</v>
      </c>
    </row>
    <row r="5751" spans="8:8" x14ac:dyDescent="0.2">
      <c r="H5751">
        <v>0</v>
      </c>
    </row>
    <row r="5752" spans="8:8" x14ac:dyDescent="0.2">
      <c r="H5752">
        <v>0</v>
      </c>
    </row>
    <row r="5753" spans="8:8" x14ac:dyDescent="0.2">
      <c r="H5753">
        <v>0</v>
      </c>
    </row>
    <row r="5754" spans="8:8" x14ac:dyDescent="0.2">
      <c r="H5754">
        <v>0</v>
      </c>
    </row>
    <row r="5755" spans="8:8" x14ac:dyDescent="0.2">
      <c r="H5755">
        <v>0</v>
      </c>
    </row>
    <row r="5756" spans="8:8" x14ac:dyDescent="0.2">
      <c r="H5756">
        <v>0</v>
      </c>
    </row>
    <row r="5757" spans="8:8" x14ac:dyDescent="0.2">
      <c r="H5757">
        <v>0</v>
      </c>
    </row>
    <row r="5758" spans="8:8" x14ac:dyDescent="0.2">
      <c r="H5758">
        <v>0</v>
      </c>
    </row>
    <row r="5759" spans="8:8" x14ac:dyDescent="0.2">
      <c r="H5759">
        <v>0</v>
      </c>
    </row>
    <row r="5760" spans="8:8" x14ac:dyDescent="0.2">
      <c r="H5760">
        <v>0</v>
      </c>
    </row>
    <row r="5761" spans="8:8" x14ac:dyDescent="0.2">
      <c r="H5761">
        <v>0</v>
      </c>
    </row>
    <row r="5762" spans="8:8" x14ac:dyDescent="0.2">
      <c r="H5762">
        <v>0</v>
      </c>
    </row>
    <row r="5763" spans="8:8" x14ac:dyDescent="0.2">
      <c r="H5763">
        <v>0</v>
      </c>
    </row>
    <row r="5764" spans="8:8" x14ac:dyDescent="0.2">
      <c r="H5764">
        <v>0</v>
      </c>
    </row>
    <row r="5765" spans="8:8" x14ac:dyDescent="0.2">
      <c r="H5765">
        <v>0</v>
      </c>
    </row>
    <row r="5766" spans="8:8" x14ac:dyDescent="0.2">
      <c r="H5766">
        <v>0</v>
      </c>
    </row>
    <row r="5767" spans="8:8" x14ac:dyDescent="0.2">
      <c r="H5767">
        <v>0</v>
      </c>
    </row>
    <row r="5768" spans="8:8" x14ac:dyDescent="0.2">
      <c r="H5768">
        <v>0</v>
      </c>
    </row>
    <row r="5769" spans="8:8" x14ac:dyDescent="0.2">
      <c r="H5769">
        <v>0</v>
      </c>
    </row>
    <row r="5770" spans="8:8" x14ac:dyDescent="0.2">
      <c r="H5770">
        <v>0</v>
      </c>
    </row>
    <row r="5771" spans="8:8" x14ac:dyDescent="0.2">
      <c r="H5771">
        <v>0</v>
      </c>
    </row>
    <row r="5772" spans="8:8" x14ac:dyDescent="0.2">
      <c r="H5772">
        <v>0</v>
      </c>
    </row>
    <row r="5773" spans="8:8" x14ac:dyDescent="0.2">
      <c r="H5773">
        <v>0</v>
      </c>
    </row>
    <row r="5774" spans="8:8" x14ac:dyDescent="0.2">
      <c r="H5774">
        <v>0</v>
      </c>
    </row>
    <row r="5775" spans="8:8" x14ac:dyDescent="0.2">
      <c r="H5775">
        <v>0</v>
      </c>
    </row>
    <row r="5776" spans="8:8" x14ac:dyDescent="0.2">
      <c r="H5776">
        <v>0</v>
      </c>
    </row>
    <row r="5777" spans="8:8" x14ac:dyDescent="0.2">
      <c r="H5777">
        <v>0</v>
      </c>
    </row>
    <row r="5778" spans="8:8" x14ac:dyDescent="0.2">
      <c r="H5778">
        <v>0</v>
      </c>
    </row>
    <row r="5779" spans="8:8" x14ac:dyDescent="0.2">
      <c r="H5779">
        <v>0</v>
      </c>
    </row>
    <row r="5780" spans="8:8" x14ac:dyDescent="0.2">
      <c r="H5780">
        <v>0</v>
      </c>
    </row>
    <row r="5781" spans="8:8" x14ac:dyDescent="0.2">
      <c r="H5781">
        <v>0</v>
      </c>
    </row>
    <row r="5782" spans="8:8" x14ac:dyDescent="0.2">
      <c r="H5782">
        <v>0</v>
      </c>
    </row>
    <row r="5783" spans="8:8" x14ac:dyDescent="0.2">
      <c r="H5783">
        <v>0</v>
      </c>
    </row>
    <row r="5784" spans="8:8" x14ac:dyDescent="0.2">
      <c r="H5784">
        <v>0</v>
      </c>
    </row>
    <row r="5785" spans="8:8" x14ac:dyDescent="0.2">
      <c r="H5785">
        <v>0</v>
      </c>
    </row>
    <row r="5786" spans="8:8" x14ac:dyDescent="0.2">
      <c r="H5786">
        <v>0</v>
      </c>
    </row>
    <row r="5787" spans="8:8" x14ac:dyDescent="0.2">
      <c r="H5787">
        <v>0</v>
      </c>
    </row>
    <row r="5788" spans="8:8" x14ac:dyDescent="0.2">
      <c r="H5788">
        <v>0</v>
      </c>
    </row>
    <row r="5789" spans="8:8" x14ac:dyDescent="0.2">
      <c r="H5789">
        <v>0</v>
      </c>
    </row>
    <row r="5790" spans="8:8" x14ac:dyDescent="0.2">
      <c r="H5790">
        <v>0</v>
      </c>
    </row>
    <row r="5791" spans="8:8" x14ac:dyDescent="0.2">
      <c r="H5791">
        <v>0</v>
      </c>
    </row>
    <row r="5792" spans="8:8" x14ac:dyDescent="0.2">
      <c r="H5792">
        <v>0</v>
      </c>
    </row>
    <row r="5793" spans="8:8" x14ac:dyDescent="0.2">
      <c r="H5793">
        <v>0</v>
      </c>
    </row>
    <row r="5794" spans="8:8" x14ac:dyDescent="0.2">
      <c r="H5794">
        <v>0</v>
      </c>
    </row>
    <row r="5795" spans="8:8" x14ac:dyDescent="0.2">
      <c r="H5795">
        <v>0</v>
      </c>
    </row>
    <row r="5796" spans="8:8" x14ac:dyDescent="0.2">
      <c r="H5796">
        <v>0</v>
      </c>
    </row>
    <row r="5797" spans="8:8" x14ac:dyDescent="0.2">
      <c r="H5797">
        <v>0</v>
      </c>
    </row>
    <row r="5798" spans="8:8" x14ac:dyDescent="0.2">
      <c r="H5798">
        <v>0</v>
      </c>
    </row>
    <row r="5799" spans="8:8" x14ac:dyDescent="0.2">
      <c r="H5799">
        <v>0</v>
      </c>
    </row>
    <row r="5800" spans="8:8" x14ac:dyDescent="0.2">
      <c r="H5800">
        <v>0</v>
      </c>
    </row>
    <row r="5801" spans="8:8" x14ac:dyDescent="0.2">
      <c r="H5801">
        <v>0</v>
      </c>
    </row>
    <row r="5802" spans="8:8" x14ac:dyDescent="0.2">
      <c r="H5802">
        <v>0</v>
      </c>
    </row>
    <row r="5803" spans="8:8" x14ac:dyDescent="0.2">
      <c r="H5803">
        <v>0</v>
      </c>
    </row>
    <row r="5804" spans="8:8" x14ac:dyDescent="0.2">
      <c r="H5804">
        <v>0</v>
      </c>
    </row>
    <row r="5805" spans="8:8" x14ac:dyDescent="0.2">
      <c r="H5805">
        <v>0</v>
      </c>
    </row>
    <row r="5806" spans="8:8" x14ac:dyDescent="0.2">
      <c r="H5806">
        <v>0</v>
      </c>
    </row>
    <row r="5807" spans="8:8" x14ac:dyDescent="0.2">
      <c r="H5807">
        <v>0</v>
      </c>
    </row>
    <row r="5808" spans="8:8" x14ac:dyDescent="0.2">
      <c r="H5808">
        <v>0</v>
      </c>
    </row>
    <row r="5809" spans="8:8" x14ac:dyDescent="0.2">
      <c r="H5809">
        <v>0</v>
      </c>
    </row>
    <row r="5810" spans="8:8" x14ac:dyDescent="0.2">
      <c r="H5810">
        <v>0</v>
      </c>
    </row>
    <row r="5811" spans="8:8" x14ac:dyDescent="0.2">
      <c r="H5811">
        <v>0</v>
      </c>
    </row>
    <row r="5812" spans="8:8" x14ac:dyDescent="0.2">
      <c r="H5812">
        <v>0</v>
      </c>
    </row>
    <row r="5813" spans="8:8" x14ac:dyDescent="0.2">
      <c r="H5813">
        <v>0</v>
      </c>
    </row>
    <row r="5814" spans="8:8" x14ac:dyDescent="0.2">
      <c r="H5814">
        <v>0</v>
      </c>
    </row>
    <row r="5815" spans="8:8" x14ac:dyDescent="0.2">
      <c r="H5815">
        <v>0</v>
      </c>
    </row>
    <row r="5816" spans="8:8" x14ac:dyDescent="0.2">
      <c r="H5816">
        <v>0</v>
      </c>
    </row>
    <row r="5817" spans="8:8" x14ac:dyDescent="0.2">
      <c r="H5817">
        <v>0</v>
      </c>
    </row>
    <row r="5818" spans="8:8" x14ac:dyDescent="0.2">
      <c r="H5818">
        <v>0</v>
      </c>
    </row>
    <row r="5819" spans="8:8" x14ac:dyDescent="0.2">
      <c r="H5819">
        <v>0</v>
      </c>
    </row>
    <row r="5820" spans="8:8" x14ac:dyDescent="0.2">
      <c r="H5820">
        <v>0</v>
      </c>
    </row>
    <row r="5821" spans="8:8" x14ac:dyDescent="0.2">
      <c r="H5821">
        <v>0</v>
      </c>
    </row>
    <row r="5822" spans="8:8" x14ac:dyDescent="0.2">
      <c r="H5822">
        <v>0</v>
      </c>
    </row>
    <row r="5823" spans="8:8" x14ac:dyDescent="0.2">
      <c r="H5823">
        <v>0</v>
      </c>
    </row>
    <row r="5824" spans="8:8" x14ac:dyDescent="0.2">
      <c r="H5824">
        <v>0</v>
      </c>
    </row>
    <row r="5825" spans="8:8" x14ac:dyDescent="0.2">
      <c r="H5825">
        <v>0</v>
      </c>
    </row>
    <row r="5826" spans="8:8" x14ac:dyDescent="0.2">
      <c r="H5826">
        <v>0</v>
      </c>
    </row>
    <row r="5827" spans="8:8" x14ac:dyDescent="0.2">
      <c r="H5827">
        <v>0</v>
      </c>
    </row>
    <row r="5828" spans="8:8" x14ac:dyDescent="0.2">
      <c r="H5828">
        <v>0</v>
      </c>
    </row>
    <row r="5829" spans="8:8" x14ac:dyDescent="0.2">
      <c r="H5829">
        <v>0</v>
      </c>
    </row>
    <row r="5830" spans="8:8" x14ac:dyDescent="0.2">
      <c r="H5830">
        <v>0</v>
      </c>
    </row>
    <row r="5831" spans="8:8" x14ac:dyDescent="0.2">
      <c r="H5831">
        <v>0</v>
      </c>
    </row>
    <row r="5832" spans="8:8" x14ac:dyDescent="0.2">
      <c r="H5832">
        <v>0</v>
      </c>
    </row>
    <row r="5833" spans="8:8" x14ac:dyDescent="0.2">
      <c r="H5833">
        <v>0</v>
      </c>
    </row>
    <row r="5834" spans="8:8" x14ac:dyDescent="0.2">
      <c r="H5834">
        <v>0</v>
      </c>
    </row>
    <row r="5835" spans="8:8" x14ac:dyDescent="0.2">
      <c r="H5835">
        <v>0</v>
      </c>
    </row>
    <row r="5836" spans="8:8" x14ac:dyDescent="0.2">
      <c r="H5836">
        <v>0</v>
      </c>
    </row>
    <row r="5837" spans="8:8" x14ac:dyDescent="0.2">
      <c r="H5837">
        <v>0</v>
      </c>
    </row>
    <row r="5838" spans="8:8" x14ac:dyDescent="0.2">
      <c r="H5838">
        <v>0</v>
      </c>
    </row>
    <row r="5839" spans="8:8" x14ac:dyDescent="0.2">
      <c r="H5839">
        <v>0</v>
      </c>
    </row>
    <row r="5840" spans="8:8" x14ac:dyDescent="0.2">
      <c r="H5840">
        <v>0</v>
      </c>
    </row>
    <row r="5841" spans="8:8" x14ac:dyDescent="0.2">
      <c r="H5841">
        <v>0</v>
      </c>
    </row>
    <row r="5842" spans="8:8" x14ac:dyDescent="0.2">
      <c r="H5842">
        <v>0</v>
      </c>
    </row>
    <row r="5843" spans="8:8" x14ac:dyDescent="0.2">
      <c r="H5843">
        <v>0</v>
      </c>
    </row>
    <row r="5844" spans="8:8" x14ac:dyDescent="0.2">
      <c r="H5844">
        <v>0</v>
      </c>
    </row>
    <row r="5845" spans="8:8" x14ac:dyDescent="0.2">
      <c r="H5845">
        <v>0</v>
      </c>
    </row>
    <row r="5846" spans="8:8" x14ac:dyDescent="0.2">
      <c r="H5846">
        <v>0</v>
      </c>
    </row>
    <row r="5847" spans="8:8" x14ac:dyDescent="0.2">
      <c r="H5847">
        <v>0</v>
      </c>
    </row>
    <row r="5848" spans="8:8" x14ac:dyDescent="0.2">
      <c r="H5848">
        <v>0</v>
      </c>
    </row>
    <row r="5849" spans="8:8" x14ac:dyDescent="0.2">
      <c r="H5849">
        <v>0</v>
      </c>
    </row>
    <row r="5850" spans="8:8" x14ac:dyDescent="0.2">
      <c r="H5850">
        <v>0</v>
      </c>
    </row>
    <row r="5851" spans="8:8" x14ac:dyDescent="0.2">
      <c r="H5851">
        <v>0</v>
      </c>
    </row>
    <row r="5852" spans="8:8" x14ac:dyDescent="0.2">
      <c r="H5852">
        <v>0</v>
      </c>
    </row>
    <row r="5853" spans="8:8" x14ac:dyDescent="0.2">
      <c r="H5853">
        <v>0</v>
      </c>
    </row>
    <row r="5854" spans="8:8" x14ac:dyDescent="0.2">
      <c r="H5854">
        <v>0</v>
      </c>
    </row>
    <row r="5855" spans="8:8" x14ac:dyDescent="0.2">
      <c r="H5855">
        <v>0</v>
      </c>
    </row>
    <row r="5856" spans="8:8" x14ac:dyDescent="0.2">
      <c r="H5856">
        <v>0</v>
      </c>
    </row>
    <row r="5857" spans="8:8" x14ac:dyDescent="0.2">
      <c r="H5857">
        <v>0</v>
      </c>
    </row>
    <row r="5858" spans="8:8" x14ac:dyDescent="0.2">
      <c r="H5858">
        <v>0</v>
      </c>
    </row>
    <row r="5859" spans="8:8" x14ac:dyDescent="0.2">
      <c r="H5859">
        <v>0</v>
      </c>
    </row>
    <row r="5860" spans="8:8" x14ac:dyDescent="0.2">
      <c r="H5860">
        <v>0</v>
      </c>
    </row>
    <row r="5861" spans="8:8" x14ac:dyDescent="0.2">
      <c r="H5861">
        <v>0</v>
      </c>
    </row>
    <row r="5862" spans="8:8" x14ac:dyDescent="0.2">
      <c r="H5862">
        <v>0</v>
      </c>
    </row>
    <row r="5863" spans="8:8" x14ac:dyDescent="0.2">
      <c r="H5863">
        <v>0</v>
      </c>
    </row>
    <row r="5864" spans="8:8" x14ac:dyDescent="0.2">
      <c r="H5864">
        <v>0</v>
      </c>
    </row>
    <row r="5865" spans="8:8" x14ac:dyDescent="0.2">
      <c r="H5865">
        <v>0</v>
      </c>
    </row>
    <row r="5866" spans="8:8" x14ac:dyDescent="0.2">
      <c r="H5866">
        <v>0</v>
      </c>
    </row>
    <row r="5867" spans="8:8" x14ac:dyDescent="0.2">
      <c r="H5867">
        <v>0</v>
      </c>
    </row>
    <row r="5868" spans="8:8" x14ac:dyDescent="0.2">
      <c r="H5868">
        <v>0</v>
      </c>
    </row>
    <row r="5869" spans="8:8" x14ac:dyDescent="0.2">
      <c r="H5869">
        <v>0</v>
      </c>
    </row>
    <row r="5870" spans="8:8" x14ac:dyDescent="0.2">
      <c r="H5870">
        <v>0</v>
      </c>
    </row>
    <row r="5871" spans="8:8" x14ac:dyDescent="0.2">
      <c r="H5871">
        <v>0</v>
      </c>
    </row>
    <row r="5872" spans="8:8" x14ac:dyDescent="0.2">
      <c r="H5872">
        <v>0</v>
      </c>
    </row>
    <row r="5873" spans="8:8" x14ac:dyDescent="0.2">
      <c r="H5873">
        <v>0</v>
      </c>
    </row>
    <row r="5874" spans="8:8" x14ac:dyDescent="0.2">
      <c r="H5874">
        <v>0</v>
      </c>
    </row>
    <row r="5875" spans="8:8" x14ac:dyDescent="0.2">
      <c r="H5875">
        <v>0</v>
      </c>
    </row>
    <row r="5876" spans="8:8" x14ac:dyDescent="0.2">
      <c r="H5876">
        <v>0</v>
      </c>
    </row>
    <row r="5877" spans="8:8" x14ac:dyDescent="0.2">
      <c r="H5877">
        <v>0</v>
      </c>
    </row>
    <row r="5878" spans="8:8" x14ac:dyDescent="0.2">
      <c r="H5878">
        <v>0</v>
      </c>
    </row>
    <row r="5879" spans="8:8" x14ac:dyDescent="0.2">
      <c r="H5879">
        <v>0</v>
      </c>
    </row>
    <row r="5880" spans="8:8" x14ac:dyDescent="0.2">
      <c r="H5880">
        <v>0</v>
      </c>
    </row>
    <row r="5881" spans="8:8" x14ac:dyDescent="0.2">
      <c r="H5881">
        <v>0</v>
      </c>
    </row>
    <row r="5882" spans="8:8" x14ac:dyDescent="0.2">
      <c r="H5882">
        <v>0</v>
      </c>
    </row>
    <row r="5883" spans="8:8" x14ac:dyDescent="0.2">
      <c r="H5883">
        <v>0</v>
      </c>
    </row>
    <row r="5884" spans="8:8" x14ac:dyDescent="0.2">
      <c r="H5884">
        <v>0</v>
      </c>
    </row>
    <row r="5885" spans="8:8" x14ac:dyDescent="0.2">
      <c r="H5885">
        <v>0</v>
      </c>
    </row>
    <row r="5886" spans="8:8" x14ac:dyDescent="0.2">
      <c r="H5886">
        <v>0</v>
      </c>
    </row>
    <row r="5887" spans="8:8" x14ac:dyDescent="0.2">
      <c r="H5887">
        <v>0</v>
      </c>
    </row>
    <row r="5888" spans="8:8" x14ac:dyDescent="0.2">
      <c r="H5888">
        <v>0</v>
      </c>
    </row>
    <row r="5889" spans="8:8" x14ac:dyDescent="0.2">
      <c r="H5889">
        <v>0</v>
      </c>
    </row>
    <row r="5890" spans="8:8" x14ac:dyDescent="0.2">
      <c r="H5890">
        <v>0</v>
      </c>
    </row>
    <row r="5891" spans="8:8" x14ac:dyDescent="0.2">
      <c r="H5891">
        <v>0</v>
      </c>
    </row>
    <row r="5892" spans="8:8" x14ac:dyDescent="0.2">
      <c r="H5892">
        <v>0</v>
      </c>
    </row>
    <row r="5893" spans="8:8" x14ac:dyDescent="0.2">
      <c r="H5893">
        <v>0</v>
      </c>
    </row>
    <row r="5894" spans="8:8" x14ac:dyDescent="0.2">
      <c r="H5894">
        <v>0</v>
      </c>
    </row>
    <row r="5895" spans="8:8" x14ac:dyDescent="0.2">
      <c r="H5895">
        <v>0</v>
      </c>
    </row>
    <row r="5896" spans="8:8" x14ac:dyDescent="0.2">
      <c r="H5896">
        <v>0</v>
      </c>
    </row>
    <row r="5897" spans="8:8" x14ac:dyDescent="0.2">
      <c r="H5897">
        <v>0</v>
      </c>
    </row>
    <row r="5898" spans="8:8" x14ac:dyDescent="0.2">
      <c r="H5898">
        <v>0</v>
      </c>
    </row>
    <row r="5899" spans="8:8" x14ac:dyDescent="0.2">
      <c r="H5899">
        <v>0</v>
      </c>
    </row>
    <row r="5900" spans="8:8" x14ac:dyDescent="0.2">
      <c r="H5900">
        <v>0</v>
      </c>
    </row>
    <row r="5901" spans="8:8" x14ac:dyDescent="0.2">
      <c r="H5901">
        <v>0</v>
      </c>
    </row>
    <row r="5902" spans="8:8" x14ac:dyDescent="0.2">
      <c r="H5902">
        <v>0</v>
      </c>
    </row>
    <row r="5903" spans="8:8" x14ac:dyDescent="0.2">
      <c r="H5903">
        <v>0</v>
      </c>
    </row>
    <row r="5904" spans="8:8" x14ac:dyDescent="0.2">
      <c r="H5904">
        <v>0</v>
      </c>
    </row>
    <row r="5905" spans="8:8" x14ac:dyDescent="0.2">
      <c r="H5905">
        <v>0</v>
      </c>
    </row>
    <row r="5906" spans="8:8" x14ac:dyDescent="0.2">
      <c r="H5906">
        <v>0</v>
      </c>
    </row>
    <row r="5907" spans="8:8" x14ac:dyDescent="0.2">
      <c r="H5907">
        <v>0</v>
      </c>
    </row>
    <row r="5908" spans="8:8" x14ac:dyDescent="0.2">
      <c r="H5908">
        <v>0</v>
      </c>
    </row>
    <row r="5909" spans="8:8" x14ac:dyDescent="0.2">
      <c r="H5909">
        <v>0</v>
      </c>
    </row>
    <row r="5910" spans="8:8" x14ac:dyDescent="0.2">
      <c r="H5910">
        <v>0</v>
      </c>
    </row>
    <row r="5911" spans="8:8" x14ac:dyDescent="0.2">
      <c r="H5911">
        <v>0</v>
      </c>
    </row>
    <row r="5912" spans="8:8" x14ac:dyDescent="0.2">
      <c r="H5912">
        <v>0</v>
      </c>
    </row>
    <row r="5913" spans="8:8" x14ac:dyDescent="0.2">
      <c r="H5913">
        <v>0</v>
      </c>
    </row>
    <row r="5914" spans="8:8" x14ac:dyDescent="0.2">
      <c r="H5914">
        <v>0</v>
      </c>
    </row>
    <row r="5915" spans="8:8" x14ac:dyDescent="0.2">
      <c r="H5915">
        <v>0</v>
      </c>
    </row>
    <row r="5916" spans="8:8" x14ac:dyDescent="0.2">
      <c r="H5916">
        <v>0</v>
      </c>
    </row>
    <row r="5917" spans="8:8" x14ac:dyDescent="0.2">
      <c r="H5917">
        <v>0</v>
      </c>
    </row>
    <row r="5918" spans="8:8" x14ac:dyDescent="0.2">
      <c r="H5918">
        <v>0</v>
      </c>
    </row>
    <row r="5919" spans="8:8" x14ac:dyDescent="0.2">
      <c r="H5919">
        <v>0</v>
      </c>
    </row>
    <row r="5920" spans="8:8" x14ac:dyDescent="0.2">
      <c r="H5920">
        <v>0</v>
      </c>
    </row>
    <row r="5921" spans="8:8" x14ac:dyDescent="0.2">
      <c r="H5921">
        <v>0</v>
      </c>
    </row>
    <row r="5922" spans="8:8" x14ac:dyDescent="0.2">
      <c r="H5922">
        <v>0</v>
      </c>
    </row>
    <row r="5923" spans="8:8" x14ac:dyDescent="0.2">
      <c r="H5923">
        <v>0</v>
      </c>
    </row>
    <row r="5924" spans="8:8" x14ac:dyDescent="0.2">
      <c r="H5924">
        <v>0</v>
      </c>
    </row>
    <row r="5925" spans="8:8" x14ac:dyDescent="0.2">
      <c r="H5925">
        <v>0</v>
      </c>
    </row>
    <row r="5926" spans="8:8" x14ac:dyDescent="0.2">
      <c r="H5926">
        <v>0</v>
      </c>
    </row>
    <row r="5927" spans="8:8" x14ac:dyDescent="0.2">
      <c r="H5927">
        <v>0</v>
      </c>
    </row>
    <row r="5928" spans="8:8" x14ac:dyDescent="0.2">
      <c r="H5928">
        <v>0</v>
      </c>
    </row>
    <row r="5929" spans="8:8" x14ac:dyDescent="0.2">
      <c r="H5929">
        <v>0</v>
      </c>
    </row>
    <row r="5930" spans="8:8" x14ac:dyDescent="0.2">
      <c r="H5930">
        <v>0</v>
      </c>
    </row>
    <row r="5931" spans="8:8" x14ac:dyDescent="0.2">
      <c r="H5931">
        <v>0</v>
      </c>
    </row>
    <row r="5932" spans="8:8" x14ac:dyDescent="0.2">
      <c r="H5932">
        <v>0</v>
      </c>
    </row>
    <row r="5933" spans="8:8" x14ac:dyDescent="0.2">
      <c r="H5933">
        <v>0</v>
      </c>
    </row>
    <row r="5934" spans="8:8" x14ac:dyDescent="0.2">
      <c r="H5934">
        <v>0</v>
      </c>
    </row>
    <row r="5935" spans="8:8" x14ac:dyDescent="0.2">
      <c r="H5935">
        <v>0</v>
      </c>
    </row>
    <row r="5936" spans="8:8" x14ac:dyDescent="0.2">
      <c r="H5936">
        <v>0</v>
      </c>
    </row>
    <row r="5937" spans="8:8" x14ac:dyDescent="0.2">
      <c r="H5937">
        <v>0</v>
      </c>
    </row>
    <row r="5938" spans="8:8" x14ac:dyDescent="0.2">
      <c r="H5938">
        <v>0</v>
      </c>
    </row>
    <row r="5939" spans="8:8" x14ac:dyDescent="0.2">
      <c r="H5939">
        <v>0</v>
      </c>
    </row>
    <row r="5940" spans="8:8" x14ac:dyDescent="0.2">
      <c r="H5940">
        <v>0</v>
      </c>
    </row>
    <row r="5941" spans="8:8" x14ac:dyDescent="0.2">
      <c r="H5941">
        <v>0</v>
      </c>
    </row>
    <row r="5942" spans="8:8" x14ac:dyDescent="0.2">
      <c r="H5942">
        <v>0</v>
      </c>
    </row>
    <row r="5943" spans="8:8" x14ac:dyDescent="0.2">
      <c r="H5943">
        <v>0</v>
      </c>
    </row>
    <row r="5944" spans="8:8" x14ac:dyDescent="0.2">
      <c r="H5944">
        <v>0</v>
      </c>
    </row>
    <row r="5945" spans="8:8" x14ac:dyDescent="0.2">
      <c r="H5945">
        <v>0</v>
      </c>
    </row>
    <row r="5946" spans="8:8" x14ac:dyDescent="0.2">
      <c r="H5946">
        <v>0</v>
      </c>
    </row>
    <row r="5947" spans="8:8" x14ac:dyDescent="0.2">
      <c r="H5947">
        <v>0</v>
      </c>
    </row>
    <row r="5948" spans="8:8" x14ac:dyDescent="0.2">
      <c r="H5948">
        <v>0</v>
      </c>
    </row>
    <row r="5949" spans="8:8" x14ac:dyDescent="0.2">
      <c r="H5949">
        <v>0</v>
      </c>
    </row>
    <row r="5950" spans="8:8" x14ac:dyDescent="0.2">
      <c r="H5950">
        <v>0</v>
      </c>
    </row>
    <row r="5951" spans="8:8" x14ac:dyDescent="0.2">
      <c r="H5951">
        <v>0</v>
      </c>
    </row>
    <row r="5952" spans="8:8" x14ac:dyDescent="0.2">
      <c r="H5952">
        <v>0</v>
      </c>
    </row>
    <row r="5953" spans="8:8" x14ac:dyDescent="0.2">
      <c r="H5953">
        <v>0</v>
      </c>
    </row>
    <row r="5954" spans="8:8" x14ac:dyDescent="0.2">
      <c r="H5954">
        <v>0</v>
      </c>
    </row>
    <row r="5955" spans="8:8" x14ac:dyDescent="0.2">
      <c r="H5955">
        <v>0</v>
      </c>
    </row>
    <row r="5956" spans="8:8" x14ac:dyDescent="0.2">
      <c r="H5956">
        <v>0</v>
      </c>
    </row>
    <row r="5957" spans="8:8" x14ac:dyDescent="0.2">
      <c r="H5957">
        <v>0</v>
      </c>
    </row>
    <row r="5958" spans="8:8" x14ac:dyDescent="0.2">
      <c r="H5958">
        <v>0</v>
      </c>
    </row>
    <row r="5959" spans="8:8" x14ac:dyDescent="0.2">
      <c r="H5959">
        <v>0</v>
      </c>
    </row>
    <row r="5960" spans="8:8" x14ac:dyDescent="0.2">
      <c r="H5960">
        <v>0</v>
      </c>
    </row>
    <row r="5961" spans="8:8" x14ac:dyDescent="0.2">
      <c r="H5961">
        <v>0</v>
      </c>
    </row>
    <row r="5962" spans="8:8" x14ac:dyDescent="0.2">
      <c r="H5962">
        <v>0</v>
      </c>
    </row>
    <row r="5963" spans="8:8" x14ac:dyDescent="0.2">
      <c r="H5963">
        <v>0</v>
      </c>
    </row>
    <row r="5964" spans="8:8" x14ac:dyDescent="0.2">
      <c r="H5964">
        <v>0</v>
      </c>
    </row>
    <row r="5965" spans="8:8" x14ac:dyDescent="0.2">
      <c r="H5965">
        <v>0</v>
      </c>
    </row>
    <row r="5966" spans="8:8" x14ac:dyDescent="0.2">
      <c r="H5966">
        <v>0</v>
      </c>
    </row>
    <row r="5967" spans="8:8" x14ac:dyDescent="0.2">
      <c r="H5967">
        <v>0</v>
      </c>
    </row>
    <row r="5968" spans="8:8" x14ac:dyDescent="0.2">
      <c r="H5968">
        <v>0</v>
      </c>
    </row>
    <row r="5969" spans="8:8" x14ac:dyDescent="0.2">
      <c r="H5969">
        <v>0</v>
      </c>
    </row>
    <row r="5970" spans="8:8" x14ac:dyDescent="0.2">
      <c r="H5970">
        <v>0</v>
      </c>
    </row>
    <row r="5971" spans="8:8" x14ac:dyDescent="0.2">
      <c r="H5971">
        <v>0</v>
      </c>
    </row>
    <row r="5972" spans="8:8" x14ac:dyDescent="0.2">
      <c r="H5972">
        <v>0</v>
      </c>
    </row>
    <row r="5973" spans="8:8" x14ac:dyDescent="0.2">
      <c r="H5973">
        <v>0</v>
      </c>
    </row>
    <row r="5974" spans="8:8" x14ac:dyDescent="0.2">
      <c r="H5974">
        <v>0</v>
      </c>
    </row>
    <row r="5975" spans="8:8" x14ac:dyDescent="0.2">
      <c r="H5975">
        <v>0</v>
      </c>
    </row>
    <row r="5976" spans="8:8" x14ac:dyDescent="0.2">
      <c r="H5976">
        <v>0</v>
      </c>
    </row>
    <row r="5977" spans="8:8" x14ac:dyDescent="0.2">
      <c r="H5977">
        <v>0</v>
      </c>
    </row>
    <row r="5978" spans="8:8" x14ac:dyDescent="0.2">
      <c r="H5978">
        <v>0</v>
      </c>
    </row>
    <row r="5979" spans="8:8" x14ac:dyDescent="0.2">
      <c r="H5979">
        <v>0</v>
      </c>
    </row>
    <row r="5980" spans="8:8" x14ac:dyDescent="0.2">
      <c r="H5980">
        <v>0</v>
      </c>
    </row>
    <row r="5981" spans="8:8" x14ac:dyDescent="0.2">
      <c r="H5981">
        <v>0</v>
      </c>
    </row>
    <row r="5982" spans="8:8" x14ac:dyDescent="0.2">
      <c r="H5982">
        <v>0</v>
      </c>
    </row>
    <row r="5983" spans="8:8" x14ac:dyDescent="0.2">
      <c r="H5983">
        <v>0</v>
      </c>
    </row>
    <row r="5984" spans="8:8" x14ac:dyDescent="0.2">
      <c r="H5984">
        <v>0</v>
      </c>
    </row>
    <row r="5985" spans="8:8" x14ac:dyDescent="0.2">
      <c r="H5985">
        <v>0</v>
      </c>
    </row>
    <row r="5986" spans="8:8" x14ac:dyDescent="0.2">
      <c r="H5986">
        <v>0</v>
      </c>
    </row>
    <row r="5987" spans="8:8" x14ac:dyDescent="0.2">
      <c r="H5987">
        <v>0</v>
      </c>
    </row>
    <row r="5988" spans="8:8" x14ac:dyDescent="0.2">
      <c r="H5988">
        <v>0</v>
      </c>
    </row>
    <row r="5989" spans="8:8" x14ac:dyDescent="0.2">
      <c r="H5989">
        <v>0</v>
      </c>
    </row>
    <row r="5990" spans="8:8" x14ac:dyDescent="0.2">
      <c r="H5990">
        <v>0</v>
      </c>
    </row>
    <row r="5991" spans="8:8" x14ac:dyDescent="0.2">
      <c r="H5991">
        <v>0</v>
      </c>
    </row>
    <row r="5992" spans="8:8" x14ac:dyDescent="0.2">
      <c r="H5992">
        <v>0</v>
      </c>
    </row>
    <row r="5993" spans="8:8" x14ac:dyDescent="0.2">
      <c r="H5993">
        <v>0</v>
      </c>
    </row>
    <row r="5994" spans="8:8" x14ac:dyDescent="0.2">
      <c r="H5994">
        <v>0</v>
      </c>
    </row>
    <row r="5995" spans="8:8" x14ac:dyDescent="0.2">
      <c r="H5995">
        <v>0</v>
      </c>
    </row>
    <row r="5996" spans="8:8" x14ac:dyDescent="0.2">
      <c r="H5996">
        <v>0</v>
      </c>
    </row>
    <row r="5997" spans="8:8" x14ac:dyDescent="0.2">
      <c r="H5997">
        <v>0</v>
      </c>
    </row>
    <row r="5998" spans="8:8" x14ac:dyDescent="0.2">
      <c r="H5998">
        <v>0</v>
      </c>
    </row>
    <row r="5999" spans="8:8" x14ac:dyDescent="0.2">
      <c r="H5999">
        <v>0</v>
      </c>
    </row>
    <row r="6000" spans="8:8" x14ac:dyDescent="0.2">
      <c r="H6000">
        <v>0</v>
      </c>
    </row>
    <row r="6001" spans="8:8" x14ac:dyDescent="0.2">
      <c r="H6001">
        <v>0</v>
      </c>
    </row>
    <row r="6002" spans="8:8" x14ac:dyDescent="0.2">
      <c r="H6002">
        <v>0</v>
      </c>
    </row>
    <row r="6003" spans="8:8" x14ac:dyDescent="0.2">
      <c r="H6003">
        <v>0</v>
      </c>
    </row>
    <row r="6004" spans="8:8" x14ac:dyDescent="0.2">
      <c r="H6004">
        <v>0</v>
      </c>
    </row>
    <row r="6005" spans="8:8" x14ac:dyDescent="0.2">
      <c r="H6005">
        <v>0</v>
      </c>
    </row>
    <row r="6006" spans="8:8" x14ac:dyDescent="0.2">
      <c r="H6006">
        <v>0</v>
      </c>
    </row>
    <row r="6007" spans="8:8" x14ac:dyDescent="0.2">
      <c r="H6007">
        <v>0</v>
      </c>
    </row>
    <row r="6008" spans="8:8" x14ac:dyDescent="0.2">
      <c r="H6008">
        <v>0</v>
      </c>
    </row>
    <row r="6009" spans="8:8" x14ac:dyDescent="0.2">
      <c r="H6009">
        <v>0</v>
      </c>
    </row>
    <row r="6010" spans="8:8" x14ac:dyDescent="0.2">
      <c r="H6010">
        <v>0</v>
      </c>
    </row>
    <row r="6011" spans="8:8" x14ac:dyDescent="0.2">
      <c r="H6011">
        <v>0</v>
      </c>
    </row>
    <row r="6012" spans="8:8" x14ac:dyDescent="0.2">
      <c r="H6012">
        <v>0</v>
      </c>
    </row>
    <row r="6013" spans="8:8" x14ac:dyDescent="0.2">
      <c r="H6013">
        <v>0</v>
      </c>
    </row>
    <row r="6014" spans="8:8" x14ac:dyDescent="0.2">
      <c r="H6014">
        <v>0</v>
      </c>
    </row>
    <row r="6015" spans="8:8" x14ac:dyDescent="0.2">
      <c r="H6015">
        <v>0</v>
      </c>
    </row>
    <row r="6016" spans="8:8" x14ac:dyDescent="0.2">
      <c r="H6016">
        <v>0</v>
      </c>
    </row>
    <row r="6017" spans="8:8" x14ac:dyDescent="0.2">
      <c r="H6017">
        <v>0</v>
      </c>
    </row>
    <row r="6018" spans="8:8" x14ac:dyDescent="0.2">
      <c r="H6018">
        <v>0</v>
      </c>
    </row>
    <row r="6019" spans="8:8" x14ac:dyDescent="0.2">
      <c r="H6019">
        <v>0</v>
      </c>
    </row>
    <row r="6020" spans="8:8" x14ac:dyDescent="0.2">
      <c r="H6020">
        <v>0</v>
      </c>
    </row>
    <row r="6021" spans="8:8" x14ac:dyDescent="0.2">
      <c r="H6021">
        <v>0</v>
      </c>
    </row>
    <row r="6022" spans="8:8" x14ac:dyDescent="0.2">
      <c r="H6022">
        <v>0</v>
      </c>
    </row>
    <row r="6023" spans="8:8" x14ac:dyDescent="0.2">
      <c r="H6023">
        <v>0</v>
      </c>
    </row>
    <row r="6024" spans="8:8" x14ac:dyDescent="0.2">
      <c r="H6024">
        <v>0</v>
      </c>
    </row>
    <row r="6025" spans="8:8" x14ac:dyDescent="0.2">
      <c r="H6025">
        <v>0</v>
      </c>
    </row>
    <row r="6026" spans="8:8" x14ac:dyDescent="0.2">
      <c r="H6026">
        <v>0</v>
      </c>
    </row>
    <row r="6027" spans="8:8" x14ac:dyDescent="0.2">
      <c r="H6027">
        <v>0</v>
      </c>
    </row>
    <row r="6028" spans="8:8" x14ac:dyDescent="0.2">
      <c r="H6028">
        <v>0</v>
      </c>
    </row>
    <row r="6029" spans="8:8" x14ac:dyDescent="0.2">
      <c r="H6029">
        <v>0</v>
      </c>
    </row>
    <row r="6030" spans="8:8" x14ac:dyDescent="0.2">
      <c r="H6030">
        <v>0</v>
      </c>
    </row>
    <row r="6031" spans="8:8" x14ac:dyDescent="0.2">
      <c r="H6031">
        <v>0</v>
      </c>
    </row>
    <row r="6032" spans="8:8" x14ac:dyDescent="0.2">
      <c r="H6032">
        <v>0</v>
      </c>
    </row>
    <row r="6033" spans="8:8" x14ac:dyDescent="0.2">
      <c r="H6033">
        <v>0</v>
      </c>
    </row>
    <row r="6034" spans="8:8" x14ac:dyDescent="0.2">
      <c r="H6034">
        <v>0</v>
      </c>
    </row>
    <row r="6035" spans="8:8" x14ac:dyDescent="0.2">
      <c r="H6035">
        <v>0</v>
      </c>
    </row>
    <row r="6036" spans="8:8" x14ac:dyDescent="0.2">
      <c r="H6036">
        <v>0</v>
      </c>
    </row>
    <row r="6037" spans="8:8" x14ac:dyDescent="0.2">
      <c r="H6037">
        <v>0</v>
      </c>
    </row>
    <row r="6038" spans="8:8" x14ac:dyDescent="0.2">
      <c r="H6038">
        <v>0</v>
      </c>
    </row>
    <row r="6039" spans="8:8" x14ac:dyDescent="0.2">
      <c r="H6039">
        <v>0</v>
      </c>
    </row>
    <row r="6040" spans="8:8" x14ac:dyDescent="0.2">
      <c r="H6040">
        <v>0</v>
      </c>
    </row>
    <row r="6041" spans="8:8" x14ac:dyDescent="0.2">
      <c r="H6041">
        <v>0</v>
      </c>
    </row>
    <row r="6042" spans="8:8" x14ac:dyDescent="0.2">
      <c r="H6042">
        <v>0</v>
      </c>
    </row>
    <row r="6043" spans="8:8" x14ac:dyDescent="0.2">
      <c r="H6043">
        <v>0</v>
      </c>
    </row>
    <row r="6044" spans="8:8" x14ac:dyDescent="0.2">
      <c r="H6044">
        <v>0</v>
      </c>
    </row>
    <row r="6045" spans="8:8" x14ac:dyDescent="0.2">
      <c r="H6045">
        <v>0</v>
      </c>
    </row>
    <row r="6046" spans="8:8" x14ac:dyDescent="0.2">
      <c r="H6046">
        <v>0</v>
      </c>
    </row>
    <row r="6047" spans="8:8" x14ac:dyDescent="0.2">
      <c r="H6047">
        <v>0</v>
      </c>
    </row>
    <row r="6048" spans="8:8" x14ac:dyDescent="0.2">
      <c r="H6048">
        <v>0</v>
      </c>
    </row>
    <row r="6049" spans="8:8" x14ac:dyDescent="0.2">
      <c r="H6049">
        <v>0</v>
      </c>
    </row>
    <row r="6050" spans="8:8" x14ac:dyDescent="0.2">
      <c r="H6050">
        <v>0</v>
      </c>
    </row>
    <row r="6051" spans="8:8" x14ac:dyDescent="0.2">
      <c r="H6051">
        <v>0</v>
      </c>
    </row>
    <row r="6052" spans="8:8" x14ac:dyDescent="0.2">
      <c r="H6052">
        <v>0</v>
      </c>
    </row>
    <row r="6053" spans="8:8" x14ac:dyDescent="0.2">
      <c r="H6053">
        <v>0</v>
      </c>
    </row>
    <row r="6054" spans="8:8" x14ac:dyDescent="0.2">
      <c r="H6054">
        <v>0</v>
      </c>
    </row>
    <row r="6055" spans="8:8" x14ac:dyDescent="0.2">
      <c r="H6055">
        <v>0</v>
      </c>
    </row>
    <row r="6056" spans="8:8" x14ac:dyDescent="0.2">
      <c r="H6056">
        <v>0</v>
      </c>
    </row>
    <row r="6057" spans="8:8" x14ac:dyDescent="0.2">
      <c r="H6057">
        <v>0</v>
      </c>
    </row>
    <row r="6058" spans="8:8" x14ac:dyDescent="0.2">
      <c r="H6058">
        <v>0</v>
      </c>
    </row>
    <row r="6059" spans="8:8" x14ac:dyDescent="0.2">
      <c r="H6059">
        <v>0</v>
      </c>
    </row>
    <row r="6060" spans="8:8" x14ac:dyDescent="0.2">
      <c r="H6060">
        <v>0</v>
      </c>
    </row>
    <row r="6061" spans="8:8" x14ac:dyDescent="0.2">
      <c r="H6061">
        <v>0</v>
      </c>
    </row>
    <row r="6062" spans="8:8" x14ac:dyDescent="0.2">
      <c r="H6062">
        <v>0</v>
      </c>
    </row>
    <row r="6063" spans="8:8" x14ac:dyDescent="0.2">
      <c r="H6063">
        <v>0</v>
      </c>
    </row>
    <row r="6064" spans="8:8" x14ac:dyDescent="0.2">
      <c r="H6064">
        <v>0</v>
      </c>
    </row>
    <row r="6065" spans="8:8" x14ac:dyDescent="0.2">
      <c r="H6065">
        <v>0</v>
      </c>
    </row>
    <row r="6066" spans="8:8" x14ac:dyDescent="0.2">
      <c r="H6066">
        <v>0</v>
      </c>
    </row>
    <row r="6067" spans="8:8" x14ac:dyDescent="0.2">
      <c r="H6067">
        <v>0</v>
      </c>
    </row>
    <row r="6068" spans="8:8" x14ac:dyDescent="0.2">
      <c r="H6068">
        <v>0</v>
      </c>
    </row>
    <row r="6069" spans="8:8" x14ac:dyDescent="0.2">
      <c r="H6069">
        <v>0</v>
      </c>
    </row>
    <row r="6070" spans="8:8" x14ac:dyDescent="0.2">
      <c r="H6070">
        <v>0</v>
      </c>
    </row>
    <row r="6071" spans="8:8" x14ac:dyDescent="0.2">
      <c r="H6071">
        <v>0</v>
      </c>
    </row>
    <row r="6072" spans="8:8" x14ac:dyDescent="0.2">
      <c r="H6072">
        <v>0</v>
      </c>
    </row>
    <row r="6073" spans="8:8" x14ac:dyDescent="0.2">
      <c r="H6073">
        <v>0</v>
      </c>
    </row>
    <row r="6074" spans="8:8" x14ac:dyDescent="0.2">
      <c r="H6074">
        <v>0</v>
      </c>
    </row>
    <row r="6075" spans="8:8" x14ac:dyDescent="0.2">
      <c r="H6075">
        <v>0</v>
      </c>
    </row>
    <row r="6076" spans="8:8" x14ac:dyDescent="0.2">
      <c r="H6076">
        <v>0</v>
      </c>
    </row>
    <row r="6077" spans="8:8" x14ac:dyDescent="0.2">
      <c r="H6077">
        <v>0</v>
      </c>
    </row>
    <row r="6078" spans="8:8" x14ac:dyDescent="0.2">
      <c r="H6078">
        <v>0</v>
      </c>
    </row>
    <row r="6079" spans="8:8" x14ac:dyDescent="0.2">
      <c r="H6079">
        <v>0</v>
      </c>
    </row>
    <row r="6080" spans="8:8" x14ac:dyDescent="0.2">
      <c r="H6080">
        <v>0</v>
      </c>
    </row>
    <row r="6081" spans="8:8" x14ac:dyDescent="0.2">
      <c r="H6081">
        <v>0</v>
      </c>
    </row>
    <row r="6082" spans="8:8" x14ac:dyDescent="0.2">
      <c r="H6082">
        <v>0</v>
      </c>
    </row>
    <row r="6083" spans="8:8" x14ac:dyDescent="0.2">
      <c r="H6083">
        <v>0</v>
      </c>
    </row>
    <row r="6084" spans="8:8" x14ac:dyDescent="0.2">
      <c r="H6084">
        <v>0</v>
      </c>
    </row>
    <row r="6085" spans="8:8" x14ac:dyDescent="0.2">
      <c r="H6085">
        <v>0</v>
      </c>
    </row>
    <row r="6086" spans="8:8" x14ac:dyDescent="0.2">
      <c r="H6086">
        <v>0</v>
      </c>
    </row>
    <row r="6087" spans="8:8" x14ac:dyDescent="0.2">
      <c r="H6087">
        <v>0</v>
      </c>
    </row>
    <row r="6088" spans="8:8" x14ac:dyDescent="0.2">
      <c r="H6088">
        <v>0</v>
      </c>
    </row>
    <row r="6089" spans="8:8" x14ac:dyDescent="0.2">
      <c r="H6089">
        <v>0</v>
      </c>
    </row>
    <row r="6090" spans="8:8" x14ac:dyDescent="0.2">
      <c r="H6090">
        <v>0</v>
      </c>
    </row>
    <row r="6091" spans="8:8" x14ac:dyDescent="0.2">
      <c r="H6091">
        <v>0</v>
      </c>
    </row>
    <row r="6092" spans="8:8" x14ac:dyDescent="0.2">
      <c r="H6092">
        <v>0</v>
      </c>
    </row>
    <row r="6093" spans="8:8" x14ac:dyDescent="0.2">
      <c r="H6093">
        <v>0</v>
      </c>
    </row>
    <row r="6094" spans="8:8" x14ac:dyDescent="0.2">
      <c r="H6094">
        <v>0</v>
      </c>
    </row>
    <row r="6095" spans="8:8" x14ac:dyDescent="0.2">
      <c r="H6095">
        <v>0</v>
      </c>
    </row>
    <row r="6096" spans="8:8" x14ac:dyDescent="0.2">
      <c r="H6096">
        <v>0</v>
      </c>
    </row>
    <row r="6097" spans="8:8" x14ac:dyDescent="0.2">
      <c r="H6097">
        <v>0</v>
      </c>
    </row>
    <row r="6098" spans="8:8" x14ac:dyDescent="0.2">
      <c r="H6098">
        <v>0</v>
      </c>
    </row>
    <row r="6099" spans="8:8" x14ac:dyDescent="0.2">
      <c r="H6099">
        <v>0</v>
      </c>
    </row>
    <row r="6100" spans="8:8" x14ac:dyDescent="0.2">
      <c r="H6100">
        <v>0</v>
      </c>
    </row>
    <row r="6101" spans="8:8" x14ac:dyDescent="0.2">
      <c r="H6101">
        <v>0</v>
      </c>
    </row>
    <row r="6102" spans="8:8" x14ac:dyDescent="0.2">
      <c r="H6102">
        <v>0</v>
      </c>
    </row>
    <row r="6103" spans="8:8" x14ac:dyDescent="0.2">
      <c r="H6103">
        <v>0</v>
      </c>
    </row>
    <row r="6104" spans="8:8" x14ac:dyDescent="0.2">
      <c r="H6104">
        <v>0</v>
      </c>
    </row>
    <row r="6105" spans="8:8" x14ac:dyDescent="0.2">
      <c r="H6105">
        <v>0</v>
      </c>
    </row>
    <row r="6106" spans="8:8" x14ac:dyDescent="0.2">
      <c r="H6106">
        <v>0</v>
      </c>
    </row>
    <row r="6107" spans="8:8" x14ac:dyDescent="0.2">
      <c r="H6107">
        <v>0</v>
      </c>
    </row>
    <row r="6108" spans="8:8" x14ac:dyDescent="0.2">
      <c r="H6108">
        <v>0</v>
      </c>
    </row>
    <row r="6109" spans="8:8" x14ac:dyDescent="0.2">
      <c r="H6109">
        <v>0</v>
      </c>
    </row>
    <row r="6110" spans="8:8" x14ac:dyDescent="0.2">
      <c r="H6110">
        <v>0</v>
      </c>
    </row>
    <row r="6111" spans="8:8" x14ac:dyDescent="0.2">
      <c r="H6111">
        <v>0</v>
      </c>
    </row>
    <row r="6112" spans="8:8" x14ac:dyDescent="0.2">
      <c r="H6112">
        <v>0</v>
      </c>
    </row>
    <row r="6113" spans="8:8" x14ac:dyDescent="0.2">
      <c r="H6113">
        <v>0</v>
      </c>
    </row>
    <row r="6114" spans="8:8" x14ac:dyDescent="0.2">
      <c r="H6114">
        <v>0</v>
      </c>
    </row>
    <row r="6115" spans="8:8" x14ac:dyDescent="0.2">
      <c r="H6115">
        <v>0</v>
      </c>
    </row>
    <row r="6116" spans="8:8" x14ac:dyDescent="0.2">
      <c r="H6116">
        <v>0</v>
      </c>
    </row>
    <row r="6117" spans="8:8" x14ac:dyDescent="0.2">
      <c r="H6117">
        <v>0</v>
      </c>
    </row>
    <row r="6118" spans="8:8" x14ac:dyDescent="0.2">
      <c r="H6118">
        <v>0</v>
      </c>
    </row>
    <row r="6119" spans="8:8" x14ac:dyDescent="0.2">
      <c r="H6119">
        <v>0</v>
      </c>
    </row>
    <row r="6120" spans="8:8" x14ac:dyDescent="0.2">
      <c r="H6120">
        <v>0</v>
      </c>
    </row>
    <row r="6121" spans="8:8" x14ac:dyDescent="0.2">
      <c r="H6121">
        <v>0</v>
      </c>
    </row>
    <row r="6122" spans="8:8" x14ac:dyDescent="0.2">
      <c r="H6122">
        <v>0</v>
      </c>
    </row>
    <row r="6123" spans="8:8" x14ac:dyDescent="0.2">
      <c r="H6123">
        <v>0</v>
      </c>
    </row>
    <row r="6124" spans="8:8" x14ac:dyDescent="0.2">
      <c r="H6124">
        <v>0</v>
      </c>
    </row>
    <row r="6125" spans="8:8" x14ac:dyDescent="0.2">
      <c r="H6125">
        <v>0</v>
      </c>
    </row>
    <row r="6126" spans="8:8" x14ac:dyDescent="0.2">
      <c r="H6126">
        <v>0</v>
      </c>
    </row>
    <row r="6127" spans="8:8" x14ac:dyDescent="0.2">
      <c r="H6127">
        <v>0</v>
      </c>
    </row>
    <row r="6128" spans="8:8" x14ac:dyDescent="0.2">
      <c r="H6128">
        <v>0</v>
      </c>
    </row>
    <row r="6129" spans="8:8" x14ac:dyDescent="0.2">
      <c r="H6129">
        <v>0</v>
      </c>
    </row>
    <row r="6130" spans="8:8" x14ac:dyDescent="0.2">
      <c r="H6130">
        <v>0</v>
      </c>
    </row>
    <row r="6131" spans="8:8" x14ac:dyDescent="0.2">
      <c r="H6131">
        <v>0</v>
      </c>
    </row>
    <row r="6132" spans="8:8" x14ac:dyDescent="0.2">
      <c r="H6132">
        <v>0</v>
      </c>
    </row>
    <row r="6133" spans="8:8" x14ac:dyDescent="0.2">
      <c r="H6133">
        <v>0</v>
      </c>
    </row>
    <row r="6134" spans="8:8" x14ac:dyDescent="0.2">
      <c r="H6134">
        <v>0</v>
      </c>
    </row>
    <row r="6135" spans="8:8" x14ac:dyDescent="0.2">
      <c r="H6135">
        <v>0</v>
      </c>
    </row>
    <row r="6136" spans="8:8" x14ac:dyDescent="0.2">
      <c r="H6136">
        <v>0</v>
      </c>
    </row>
    <row r="6137" spans="8:8" x14ac:dyDescent="0.2">
      <c r="H6137">
        <v>0</v>
      </c>
    </row>
    <row r="6138" spans="8:8" x14ac:dyDescent="0.2">
      <c r="H6138">
        <v>0</v>
      </c>
    </row>
    <row r="6139" spans="8:8" x14ac:dyDescent="0.2">
      <c r="H6139">
        <v>0</v>
      </c>
    </row>
    <row r="6140" spans="8:8" x14ac:dyDescent="0.2">
      <c r="H6140">
        <v>0</v>
      </c>
    </row>
    <row r="6141" spans="8:8" x14ac:dyDescent="0.2">
      <c r="H6141">
        <v>0</v>
      </c>
    </row>
    <row r="6142" spans="8:8" x14ac:dyDescent="0.2">
      <c r="H6142">
        <v>0</v>
      </c>
    </row>
    <row r="6143" spans="8:8" x14ac:dyDescent="0.2">
      <c r="H6143">
        <v>0</v>
      </c>
    </row>
    <row r="6144" spans="8:8" x14ac:dyDescent="0.2">
      <c r="H6144">
        <v>0</v>
      </c>
    </row>
    <row r="6145" spans="8:8" x14ac:dyDescent="0.2">
      <c r="H6145">
        <v>0</v>
      </c>
    </row>
    <row r="6146" spans="8:8" x14ac:dyDescent="0.2">
      <c r="H6146">
        <v>0</v>
      </c>
    </row>
    <row r="6147" spans="8:8" x14ac:dyDescent="0.2">
      <c r="H6147">
        <v>0</v>
      </c>
    </row>
    <row r="6148" spans="8:8" x14ac:dyDescent="0.2">
      <c r="H6148">
        <v>0</v>
      </c>
    </row>
    <row r="6149" spans="8:8" x14ac:dyDescent="0.2">
      <c r="H6149">
        <v>0</v>
      </c>
    </row>
    <row r="6150" spans="8:8" x14ac:dyDescent="0.2">
      <c r="H6150">
        <v>0</v>
      </c>
    </row>
    <row r="6151" spans="8:8" x14ac:dyDescent="0.2">
      <c r="H6151">
        <v>0</v>
      </c>
    </row>
    <row r="6152" spans="8:8" x14ac:dyDescent="0.2">
      <c r="H6152">
        <v>0</v>
      </c>
    </row>
    <row r="6153" spans="8:8" x14ac:dyDescent="0.2">
      <c r="H6153">
        <v>0</v>
      </c>
    </row>
    <row r="6154" spans="8:8" x14ac:dyDescent="0.2">
      <c r="H6154">
        <v>0</v>
      </c>
    </row>
    <row r="6155" spans="8:8" x14ac:dyDescent="0.2">
      <c r="H6155">
        <v>0</v>
      </c>
    </row>
    <row r="6156" spans="8:8" x14ac:dyDescent="0.2">
      <c r="H6156">
        <v>0</v>
      </c>
    </row>
    <row r="6157" spans="8:8" x14ac:dyDescent="0.2">
      <c r="H6157">
        <v>0</v>
      </c>
    </row>
    <row r="6158" spans="8:8" x14ac:dyDescent="0.2">
      <c r="H6158">
        <v>0</v>
      </c>
    </row>
    <row r="6159" spans="8:8" x14ac:dyDescent="0.2">
      <c r="H6159">
        <v>0</v>
      </c>
    </row>
    <row r="6160" spans="8:8" x14ac:dyDescent="0.2">
      <c r="H6160">
        <v>0</v>
      </c>
    </row>
    <row r="6161" spans="8:8" x14ac:dyDescent="0.2">
      <c r="H6161">
        <v>0</v>
      </c>
    </row>
    <row r="6162" spans="8:8" x14ac:dyDescent="0.2">
      <c r="H6162">
        <v>0</v>
      </c>
    </row>
    <row r="6163" spans="8:8" x14ac:dyDescent="0.2">
      <c r="H6163">
        <v>0</v>
      </c>
    </row>
    <row r="6164" spans="8:8" x14ac:dyDescent="0.2">
      <c r="H6164">
        <v>0</v>
      </c>
    </row>
    <row r="6165" spans="8:8" x14ac:dyDescent="0.2">
      <c r="H6165">
        <v>0</v>
      </c>
    </row>
    <row r="6166" spans="8:8" x14ac:dyDescent="0.2">
      <c r="H6166">
        <v>0</v>
      </c>
    </row>
    <row r="6167" spans="8:8" x14ac:dyDescent="0.2">
      <c r="H6167">
        <v>0</v>
      </c>
    </row>
    <row r="6168" spans="8:8" x14ac:dyDescent="0.2">
      <c r="H6168">
        <v>0</v>
      </c>
    </row>
    <row r="6169" spans="8:8" x14ac:dyDescent="0.2">
      <c r="H6169">
        <v>0</v>
      </c>
    </row>
    <row r="6170" spans="8:8" x14ac:dyDescent="0.2">
      <c r="H6170">
        <v>0</v>
      </c>
    </row>
    <row r="6171" spans="8:8" x14ac:dyDescent="0.2">
      <c r="H6171">
        <v>0</v>
      </c>
    </row>
    <row r="6172" spans="8:8" x14ac:dyDescent="0.2">
      <c r="H6172">
        <v>0</v>
      </c>
    </row>
    <row r="6173" spans="8:8" x14ac:dyDescent="0.2">
      <c r="H6173">
        <v>0</v>
      </c>
    </row>
    <row r="6174" spans="8:8" x14ac:dyDescent="0.2">
      <c r="H6174">
        <v>0</v>
      </c>
    </row>
    <row r="6175" spans="8:8" x14ac:dyDescent="0.2">
      <c r="H6175">
        <v>0</v>
      </c>
    </row>
    <row r="6176" spans="8:8" x14ac:dyDescent="0.2">
      <c r="H6176">
        <v>0</v>
      </c>
    </row>
    <row r="6177" spans="8:8" x14ac:dyDescent="0.2">
      <c r="H6177">
        <v>0</v>
      </c>
    </row>
    <row r="6178" spans="8:8" x14ac:dyDescent="0.2">
      <c r="H6178">
        <v>0</v>
      </c>
    </row>
    <row r="6179" spans="8:8" x14ac:dyDescent="0.2">
      <c r="H6179">
        <v>0</v>
      </c>
    </row>
    <row r="6180" spans="8:8" x14ac:dyDescent="0.2">
      <c r="H6180">
        <v>0</v>
      </c>
    </row>
    <row r="6181" spans="8:8" x14ac:dyDescent="0.2">
      <c r="H6181">
        <v>0</v>
      </c>
    </row>
    <row r="6182" spans="8:8" x14ac:dyDescent="0.2">
      <c r="H6182">
        <v>0</v>
      </c>
    </row>
    <row r="6183" spans="8:8" x14ac:dyDescent="0.2">
      <c r="H6183">
        <v>0</v>
      </c>
    </row>
    <row r="6184" spans="8:8" x14ac:dyDescent="0.2">
      <c r="H6184">
        <v>0</v>
      </c>
    </row>
    <row r="6185" spans="8:8" x14ac:dyDescent="0.2">
      <c r="H6185">
        <v>0</v>
      </c>
    </row>
    <row r="6186" spans="8:8" x14ac:dyDescent="0.2">
      <c r="H6186">
        <v>0</v>
      </c>
    </row>
    <row r="6187" spans="8:8" x14ac:dyDescent="0.2">
      <c r="H6187">
        <v>0</v>
      </c>
    </row>
    <row r="6188" spans="8:8" x14ac:dyDescent="0.2">
      <c r="H6188">
        <v>0</v>
      </c>
    </row>
    <row r="6189" spans="8:8" x14ac:dyDescent="0.2">
      <c r="H6189">
        <v>0</v>
      </c>
    </row>
    <row r="6190" spans="8:8" x14ac:dyDescent="0.2">
      <c r="H6190">
        <v>0</v>
      </c>
    </row>
    <row r="6191" spans="8:8" x14ac:dyDescent="0.2">
      <c r="H6191">
        <v>0</v>
      </c>
    </row>
    <row r="6192" spans="8:8" x14ac:dyDescent="0.2">
      <c r="H6192">
        <v>0</v>
      </c>
    </row>
    <row r="6193" spans="8:8" x14ac:dyDescent="0.2">
      <c r="H6193">
        <v>0</v>
      </c>
    </row>
    <row r="6194" spans="8:8" x14ac:dyDescent="0.2">
      <c r="H6194">
        <v>0</v>
      </c>
    </row>
    <row r="6195" spans="8:8" x14ac:dyDescent="0.2">
      <c r="H6195">
        <v>0</v>
      </c>
    </row>
    <row r="6196" spans="8:8" x14ac:dyDescent="0.2">
      <c r="H6196">
        <v>0</v>
      </c>
    </row>
    <row r="6197" spans="8:8" x14ac:dyDescent="0.2">
      <c r="H6197">
        <v>0</v>
      </c>
    </row>
    <row r="6198" spans="8:8" x14ac:dyDescent="0.2">
      <c r="H6198">
        <v>0</v>
      </c>
    </row>
    <row r="6199" spans="8:8" x14ac:dyDescent="0.2">
      <c r="H6199">
        <v>0</v>
      </c>
    </row>
    <row r="6200" spans="8:8" x14ac:dyDescent="0.2">
      <c r="H6200">
        <v>0</v>
      </c>
    </row>
    <row r="6201" spans="8:8" x14ac:dyDescent="0.2">
      <c r="H6201">
        <v>0</v>
      </c>
    </row>
    <row r="6202" spans="8:8" x14ac:dyDescent="0.2">
      <c r="H6202">
        <v>0</v>
      </c>
    </row>
    <row r="6203" spans="8:8" x14ac:dyDescent="0.2">
      <c r="H6203">
        <v>0</v>
      </c>
    </row>
    <row r="6204" spans="8:8" x14ac:dyDescent="0.2">
      <c r="H6204">
        <v>0</v>
      </c>
    </row>
    <row r="6205" spans="8:8" x14ac:dyDescent="0.2">
      <c r="H6205">
        <v>0</v>
      </c>
    </row>
    <row r="6206" spans="8:8" x14ac:dyDescent="0.2">
      <c r="H6206">
        <v>0</v>
      </c>
    </row>
    <row r="6207" spans="8:8" x14ac:dyDescent="0.2">
      <c r="H6207">
        <v>0</v>
      </c>
    </row>
    <row r="6208" spans="8:8" x14ac:dyDescent="0.2">
      <c r="H6208">
        <v>0</v>
      </c>
    </row>
    <row r="6209" spans="8:8" x14ac:dyDescent="0.2">
      <c r="H6209">
        <v>0</v>
      </c>
    </row>
    <row r="6210" spans="8:8" x14ac:dyDescent="0.2">
      <c r="H6210">
        <v>0</v>
      </c>
    </row>
    <row r="6211" spans="8:8" x14ac:dyDescent="0.2">
      <c r="H6211">
        <v>0</v>
      </c>
    </row>
    <row r="6212" spans="8:8" x14ac:dyDescent="0.2">
      <c r="H6212">
        <v>0</v>
      </c>
    </row>
    <row r="6213" spans="8:8" x14ac:dyDescent="0.2">
      <c r="H6213">
        <v>0</v>
      </c>
    </row>
    <row r="6214" spans="8:8" x14ac:dyDescent="0.2">
      <c r="H6214">
        <v>0</v>
      </c>
    </row>
    <row r="6215" spans="8:8" x14ac:dyDescent="0.2">
      <c r="H6215">
        <v>0</v>
      </c>
    </row>
    <row r="6216" spans="8:8" x14ac:dyDescent="0.2">
      <c r="H6216">
        <v>0</v>
      </c>
    </row>
    <row r="6217" spans="8:8" x14ac:dyDescent="0.2">
      <c r="H6217">
        <v>0</v>
      </c>
    </row>
    <row r="6218" spans="8:8" x14ac:dyDescent="0.2">
      <c r="H6218">
        <v>0</v>
      </c>
    </row>
    <row r="6219" spans="8:8" x14ac:dyDescent="0.2">
      <c r="H6219">
        <v>0</v>
      </c>
    </row>
    <row r="6220" spans="8:8" x14ac:dyDescent="0.2">
      <c r="H6220">
        <v>0</v>
      </c>
    </row>
    <row r="6221" spans="8:8" x14ac:dyDescent="0.2">
      <c r="H6221">
        <v>0</v>
      </c>
    </row>
    <row r="6222" spans="8:8" x14ac:dyDescent="0.2">
      <c r="H6222">
        <v>0</v>
      </c>
    </row>
    <row r="6223" spans="8:8" x14ac:dyDescent="0.2">
      <c r="H6223">
        <v>0</v>
      </c>
    </row>
    <row r="6224" spans="8:8" x14ac:dyDescent="0.2">
      <c r="H6224">
        <v>0</v>
      </c>
    </row>
    <row r="6225" spans="8:8" x14ac:dyDescent="0.2">
      <c r="H6225">
        <v>0</v>
      </c>
    </row>
    <row r="6226" spans="8:8" x14ac:dyDescent="0.2">
      <c r="H6226">
        <v>0</v>
      </c>
    </row>
    <row r="6227" spans="8:8" x14ac:dyDescent="0.2">
      <c r="H6227">
        <v>0</v>
      </c>
    </row>
    <row r="6228" spans="8:8" x14ac:dyDescent="0.2">
      <c r="H6228">
        <v>0</v>
      </c>
    </row>
    <row r="6229" spans="8:8" x14ac:dyDescent="0.2">
      <c r="H6229">
        <v>0</v>
      </c>
    </row>
    <row r="6230" spans="8:8" x14ac:dyDescent="0.2">
      <c r="H6230">
        <v>0</v>
      </c>
    </row>
    <row r="6231" spans="8:8" x14ac:dyDescent="0.2">
      <c r="H6231">
        <v>0</v>
      </c>
    </row>
    <row r="6232" spans="8:8" x14ac:dyDescent="0.2">
      <c r="H6232">
        <v>0</v>
      </c>
    </row>
    <row r="6233" spans="8:8" x14ac:dyDescent="0.2">
      <c r="H6233">
        <v>0</v>
      </c>
    </row>
    <row r="6234" spans="8:8" x14ac:dyDescent="0.2">
      <c r="H6234">
        <v>0</v>
      </c>
    </row>
    <row r="6235" spans="8:8" x14ac:dyDescent="0.2">
      <c r="H6235">
        <v>0</v>
      </c>
    </row>
    <row r="6236" spans="8:8" x14ac:dyDescent="0.2">
      <c r="H6236">
        <v>0</v>
      </c>
    </row>
    <row r="6237" spans="8:8" x14ac:dyDescent="0.2">
      <c r="H6237">
        <v>0</v>
      </c>
    </row>
    <row r="6238" spans="8:8" x14ac:dyDescent="0.2">
      <c r="H6238">
        <v>0</v>
      </c>
    </row>
    <row r="6239" spans="8:8" x14ac:dyDescent="0.2">
      <c r="H6239">
        <v>0</v>
      </c>
    </row>
    <row r="6240" spans="8:8" x14ac:dyDescent="0.2">
      <c r="H6240">
        <v>0</v>
      </c>
    </row>
    <row r="6241" spans="8:8" x14ac:dyDescent="0.2">
      <c r="H6241">
        <v>0</v>
      </c>
    </row>
    <row r="6242" spans="8:8" x14ac:dyDescent="0.2">
      <c r="H6242">
        <v>0</v>
      </c>
    </row>
    <row r="6243" spans="8:8" x14ac:dyDescent="0.2">
      <c r="H6243">
        <v>0</v>
      </c>
    </row>
    <row r="6244" spans="8:8" x14ac:dyDescent="0.2">
      <c r="H6244">
        <v>0</v>
      </c>
    </row>
    <row r="6245" spans="8:8" x14ac:dyDescent="0.2">
      <c r="H6245">
        <v>0</v>
      </c>
    </row>
    <row r="6246" spans="8:8" x14ac:dyDescent="0.2">
      <c r="H6246">
        <v>0</v>
      </c>
    </row>
    <row r="6247" spans="8:8" x14ac:dyDescent="0.2">
      <c r="H6247">
        <v>0</v>
      </c>
    </row>
    <row r="6248" spans="8:8" x14ac:dyDescent="0.2">
      <c r="H6248">
        <v>0</v>
      </c>
    </row>
    <row r="6249" spans="8:8" x14ac:dyDescent="0.2">
      <c r="H6249">
        <v>0</v>
      </c>
    </row>
    <row r="6250" spans="8:8" x14ac:dyDescent="0.2">
      <c r="H6250">
        <v>0</v>
      </c>
    </row>
    <row r="6251" spans="8:8" x14ac:dyDescent="0.2">
      <c r="H6251">
        <v>0</v>
      </c>
    </row>
    <row r="6252" spans="8:8" x14ac:dyDescent="0.2">
      <c r="H6252">
        <v>0</v>
      </c>
    </row>
    <row r="6253" spans="8:8" x14ac:dyDescent="0.2">
      <c r="H6253">
        <v>0</v>
      </c>
    </row>
    <row r="6254" spans="8:8" x14ac:dyDescent="0.2">
      <c r="H6254">
        <v>0</v>
      </c>
    </row>
    <row r="6255" spans="8:8" x14ac:dyDescent="0.2">
      <c r="H6255">
        <v>0</v>
      </c>
    </row>
    <row r="6256" spans="8:8" x14ac:dyDescent="0.2">
      <c r="H6256">
        <v>0</v>
      </c>
    </row>
    <row r="6257" spans="8:8" x14ac:dyDescent="0.2">
      <c r="H6257">
        <v>0</v>
      </c>
    </row>
    <row r="6258" spans="8:8" x14ac:dyDescent="0.2">
      <c r="H6258">
        <v>0</v>
      </c>
    </row>
    <row r="6259" spans="8:8" x14ac:dyDescent="0.2">
      <c r="H6259">
        <v>0</v>
      </c>
    </row>
    <row r="6260" spans="8:8" x14ac:dyDescent="0.2">
      <c r="H6260">
        <v>0</v>
      </c>
    </row>
    <row r="6261" spans="8:8" x14ac:dyDescent="0.2">
      <c r="H6261">
        <v>0</v>
      </c>
    </row>
    <row r="6262" spans="8:8" x14ac:dyDescent="0.2">
      <c r="H6262">
        <v>0</v>
      </c>
    </row>
    <row r="6263" spans="8:8" x14ac:dyDescent="0.2">
      <c r="H6263">
        <v>0</v>
      </c>
    </row>
    <row r="6264" spans="8:8" x14ac:dyDescent="0.2">
      <c r="H6264">
        <v>0</v>
      </c>
    </row>
    <row r="6265" spans="8:8" x14ac:dyDescent="0.2">
      <c r="H6265">
        <v>0</v>
      </c>
    </row>
    <row r="6266" spans="8:8" x14ac:dyDescent="0.2">
      <c r="H6266">
        <v>0</v>
      </c>
    </row>
    <row r="6267" spans="8:8" x14ac:dyDescent="0.2">
      <c r="H6267">
        <v>0</v>
      </c>
    </row>
    <row r="6268" spans="8:8" x14ac:dyDescent="0.2">
      <c r="H6268">
        <v>0</v>
      </c>
    </row>
    <row r="6269" spans="8:8" x14ac:dyDescent="0.2">
      <c r="H6269">
        <v>0</v>
      </c>
    </row>
    <row r="6270" spans="8:8" x14ac:dyDescent="0.2">
      <c r="H6270">
        <v>0</v>
      </c>
    </row>
    <row r="6271" spans="8:8" x14ac:dyDescent="0.2">
      <c r="H6271">
        <v>0</v>
      </c>
    </row>
    <row r="6272" spans="8:8" x14ac:dyDescent="0.2">
      <c r="H6272">
        <v>0</v>
      </c>
    </row>
    <row r="6273" spans="8:8" x14ac:dyDescent="0.2">
      <c r="H6273">
        <v>0</v>
      </c>
    </row>
    <row r="6274" spans="8:8" x14ac:dyDescent="0.2">
      <c r="H6274">
        <v>0</v>
      </c>
    </row>
    <row r="6275" spans="8:8" x14ac:dyDescent="0.2">
      <c r="H6275">
        <v>0</v>
      </c>
    </row>
    <row r="6276" spans="8:8" x14ac:dyDescent="0.2">
      <c r="H6276">
        <v>0</v>
      </c>
    </row>
    <row r="6277" spans="8:8" x14ac:dyDescent="0.2">
      <c r="H6277">
        <v>0</v>
      </c>
    </row>
    <row r="6278" spans="8:8" x14ac:dyDescent="0.2">
      <c r="H6278">
        <v>0</v>
      </c>
    </row>
    <row r="6279" spans="8:8" x14ac:dyDescent="0.2">
      <c r="H6279">
        <v>0</v>
      </c>
    </row>
    <row r="6280" spans="8:8" x14ac:dyDescent="0.2">
      <c r="H6280">
        <v>0</v>
      </c>
    </row>
    <row r="6281" spans="8:8" x14ac:dyDescent="0.2">
      <c r="H6281">
        <v>0</v>
      </c>
    </row>
    <row r="6282" spans="8:8" x14ac:dyDescent="0.2">
      <c r="H6282">
        <v>0</v>
      </c>
    </row>
    <row r="6283" spans="8:8" x14ac:dyDescent="0.2">
      <c r="H6283">
        <v>0</v>
      </c>
    </row>
    <row r="6284" spans="8:8" x14ac:dyDescent="0.2">
      <c r="H6284">
        <v>0</v>
      </c>
    </row>
    <row r="6285" spans="8:8" x14ac:dyDescent="0.2">
      <c r="H6285">
        <v>0</v>
      </c>
    </row>
    <row r="6286" spans="8:8" x14ac:dyDescent="0.2">
      <c r="H6286">
        <v>0</v>
      </c>
    </row>
    <row r="6287" spans="8:8" x14ac:dyDescent="0.2">
      <c r="H6287">
        <v>0</v>
      </c>
    </row>
    <row r="6288" spans="8:8" x14ac:dyDescent="0.2">
      <c r="H6288">
        <v>0</v>
      </c>
    </row>
    <row r="6289" spans="8:8" x14ac:dyDescent="0.2">
      <c r="H6289">
        <v>0</v>
      </c>
    </row>
    <row r="6290" spans="8:8" x14ac:dyDescent="0.2">
      <c r="H6290">
        <v>0</v>
      </c>
    </row>
    <row r="6291" spans="8:8" x14ac:dyDescent="0.2">
      <c r="H6291">
        <v>0</v>
      </c>
    </row>
    <row r="6292" spans="8:8" x14ac:dyDescent="0.2">
      <c r="H6292">
        <v>0</v>
      </c>
    </row>
    <row r="6293" spans="8:8" x14ac:dyDescent="0.2">
      <c r="H6293">
        <v>0</v>
      </c>
    </row>
    <row r="6294" spans="8:8" x14ac:dyDescent="0.2">
      <c r="H6294">
        <v>0</v>
      </c>
    </row>
    <row r="6295" spans="8:8" x14ac:dyDescent="0.2">
      <c r="H6295">
        <v>0</v>
      </c>
    </row>
    <row r="6296" spans="8:8" x14ac:dyDescent="0.2">
      <c r="H6296">
        <v>0</v>
      </c>
    </row>
    <row r="6297" spans="8:8" x14ac:dyDescent="0.2">
      <c r="H6297">
        <v>0</v>
      </c>
    </row>
    <row r="6298" spans="8:8" x14ac:dyDescent="0.2">
      <c r="H6298">
        <v>0</v>
      </c>
    </row>
    <row r="6299" spans="8:8" x14ac:dyDescent="0.2">
      <c r="H6299">
        <v>0</v>
      </c>
    </row>
    <row r="6300" spans="8:8" x14ac:dyDescent="0.2">
      <c r="H6300">
        <v>0</v>
      </c>
    </row>
    <row r="6301" spans="8:8" x14ac:dyDescent="0.2">
      <c r="H6301">
        <v>0</v>
      </c>
    </row>
    <row r="6302" spans="8:8" x14ac:dyDescent="0.2">
      <c r="H6302">
        <v>0</v>
      </c>
    </row>
    <row r="6303" spans="8:8" x14ac:dyDescent="0.2">
      <c r="H6303">
        <v>0</v>
      </c>
    </row>
    <row r="6304" spans="8:8" x14ac:dyDescent="0.2">
      <c r="H6304">
        <v>0</v>
      </c>
    </row>
    <row r="6305" spans="8:8" x14ac:dyDescent="0.2">
      <c r="H6305">
        <v>0</v>
      </c>
    </row>
    <row r="6306" spans="8:8" x14ac:dyDescent="0.2">
      <c r="H6306">
        <v>0</v>
      </c>
    </row>
    <row r="6307" spans="8:8" x14ac:dyDescent="0.2">
      <c r="H6307">
        <v>0</v>
      </c>
    </row>
    <row r="6308" spans="8:8" x14ac:dyDescent="0.2">
      <c r="H6308">
        <v>0</v>
      </c>
    </row>
    <row r="6309" spans="8:8" x14ac:dyDescent="0.2">
      <c r="H6309">
        <v>0</v>
      </c>
    </row>
    <row r="6310" spans="8:8" x14ac:dyDescent="0.2">
      <c r="H6310">
        <v>0</v>
      </c>
    </row>
    <row r="6311" spans="8:8" x14ac:dyDescent="0.2">
      <c r="H6311">
        <v>0</v>
      </c>
    </row>
    <row r="6312" spans="8:8" x14ac:dyDescent="0.2">
      <c r="H6312">
        <v>0</v>
      </c>
    </row>
    <row r="6313" spans="8:8" x14ac:dyDescent="0.2">
      <c r="H6313">
        <v>0</v>
      </c>
    </row>
    <row r="6314" spans="8:8" x14ac:dyDescent="0.2">
      <c r="H6314">
        <v>0</v>
      </c>
    </row>
    <row r="6315" spans="8:8" x14ac:dyDescent="0.2">
      <c r="H6315">
        <v>0</v>
      </c>
    </row>
    <row r="6316" spans="8:8" x14ac:dyDescent="0.2">
      <c r="H6316">
        <v>0</v>
      </c>
    </row>
    <row r="6317" spans="8:8" x14ac:dyDescent="0.2">
      <c r="H6317">
        <v>0</v>
      </c>
    </row>
    <row r="6318" spans="8:8" x14ac:dyDescent="0.2">
      <c r="H6318">
        <v>0</v>
      </c>
    </row>
    <row r="6319" spans="8:8" x14ac:dyDescent="0.2">
      <c r="H6319">
        <v>0</v>
      </c>
    </row>
    <row r="6320" spans="8:8" x14ac:dyDescent="0.2">
      <c r="H6320">
        <v>0</v>
      </c>
    </row>
    <row r="6321" spans="8:8" x14ac:dyDescent="0.2">
      <c r="H6321">
        <v>0</v>
      </c>
    </row>
    <row r="6322" spans="8:8" x14ac:dyDescent="0.2">
      <c r="H6322">
        <v>0</v>
      </c>
    </row>
    <row r="6323" spans="8:8" x14ac:dyDescent="0.2">
      <c r="H6323">
        <v>0</v>
      </c>
    </row>
    <row r="6324" spans="8:8" x14ac:dyDescent="0.2">
      <c r="H6324">
        <v>0</v>
      </c>
    </row>
    <row r="6325" spans="8:8" x14ac:dyDescent="0.2">
      <c r="H6325">
        <v>0</v>
      </c>
    </row>
    <row r="6326" spans="8:8" x14ac:dyDescent="0.2">
      <c r="H6326">
        <v>0</v>
      </c>
    </row>
    <row r="6327" spans="8:8" x14ac:dyDescent="0.2">
      <c r="H6327">
        <v>0</v>
      </c>
    </row>
    <row r="6328" spans="8:8" x14ac:dyDescent="0.2">
      <c r="H6328">
        <v>0</v>
      </c>
    </row>
    <row r="6329" spans="8:8" x14ac:dyDescent="0.2">
      <c r="H6329">
        <v>0</v>
      </c>
    </row>
    <row r="6330" spans="8:8" x14ac:dyDescent="0.2">
      <c r="H6330">
        <v>0</v>
      </c>
    </row>
    <row r="6331" spans="8:8" x14ac:dyDescent="0.2">
      <c r="H6331">
        <v>0</v>
      </c>
    </row>
    <row r="6332" spans="8:8" x14ac:dyDescent="0.2">
      <c r="H6332">
        <v>0</v>
      </c>
    </row>
    <row r="6333" spans="8:8" x14ac:dyDescent="0.2">
      <c r="H6333">
        <v>0</v>
      </c>
    </row>
    <row r="6334" spans="8:8" x14ac:dyDescent="0.2">
      <c r="H6334">
        <v>0</v>
      </c>
    </row>
    <row r="6335" spans="8:8" x14ac:dyDescent="0.2">
      <c r="H6335">
        <v>0</v>
      </c>
    </row>
    <row r="6336" spans="8:8" x14ac:dyDescent="0.2">
      <c r="H6336">
        <v>0</v>
      </c>
    </row>
    <row r="6337" spans="8:8" x14ac:dyDescent="0.2">
      <c r="H6337">
        <v>0</v>
      </c>
    </row>
    <row r="6338" spans="8:8" x14ac:dyDescent="0.2">
      <c r="H6338">
        <v>0</v>
      </c>
    </row>
    <row r="6339" spans="8:8" x14ac:dyDescent="0.2">
      <c r="H6339">
        <v>0</v>
      </c>
    </row>
    <row r="6340" spans="8:8" x14ac:dyDescent="0.2">
      <c r="H6340">
        <v>0</v>
      </c>
    </row>
    <row r="6341" spans="8:8" x14ac:dyDescent="0.2">
      <c r="H6341">
        <v>0</v>
      </c>
    </row>
    <row r="6342" spans="8:8" x14ac:dyDescent="0.2">
      <c r="H6342">
        <v>0</v>
      </c>
    </row>
    <row r="6343" spans="8:8" x14ac:dyDescent="0.2">
      <c r="H6343">
        <v>0</v>
      </c>
    </row>
    <row r="6344" spans="8:8" x14ac:dyDescent="0.2">
      <c r="H6344">
        <v>0</v>
      </c>
    </row>
    <row r="6345" spans="8:8" x14ac:dyDescent="0.2">
      <c r="H6345">
        <v>0</v>
      </c>
    </row>
    <row r="6346" spans="8:8" x14ac:dyDescent="0.2">
      <c r="H6346">
        <v>0</v>
      </c>
    </row>
    <row r="6347" spans="8:8" x14ac:dyDescent="0.2">
      <c r="H6347">
        <v>0</v>
      </c>
    </row>
    <row r="6348" spans="8:8" x14ac:dyDescent="0.2">
      <c r="H6348">
        <v>0</v>
      </c>
    </row>
    <row r="6349" spans="8:8" x14ac:dyDescent="0.2">
      <c r="H6349">
        <v>0</v>
      </c>
    </row>
    <row r="6350" spans="8:8" x14ac:dyDescent="0.2">
      <c r="H6350">
        <v>0</v>
      </c>
    </row>
    <row r="6351" spans="8:8" x14ac:dyDescent="0.2">
      <c r="H6351">
        <v>0</v>
      </c>
    </row>
    <row r="6352" spans="8:8" x14ac:dyDescent="0.2">
      <c r="H6352">
        <v>0</v>
      </c>
    </row>
    <row r="6353" spans="8:8" x14ac:dyDescent="0.2">
      <c r="H6353">
        <v>0</v>
      </c>
    </row>
    <row r="6354" spans="8:8" x14ac:dyDescent="0.2">
      <c r="H6354">
        <v>0</v>
      </c>
    </row>
    <row r="6355" spans="8:8" x14ac:dyDescent="0.2">
      <c r="H6355">
        <v>0</v>
      </c>
    </row>
    <row r="6356" spans="8:8" x14ac:dyDescent="0.2">
      <c r="H6356">
        <v>0</v>
      </c>
    </row>
    <row r="6357" spans="8:8" x14ac:dyDescent="0.2">
      <c r="H6357">
        <v>0</v>
      </c>
    </row>
    <row r="6358" spans="8:8" x14ac:dyDescent="0.2">
      <c r="H6358">
        <v>0</v>
      </c>
    </row>
    <row r="6359" spans="8:8" x14ac:dyDescent="0.2">
      <c r="H6359">
        <v>0</v>
      </c>
    </row>
    <row r="6360" spans="8:8" x14ac:dyDescent="0.2">
      <c r="H6360">
        <v>0</v>
      </c>
    </row>
    <row r="6361" spans="8:8" x14ac:dyDescent="0.2">
      <c r="H6361">
        <v>0</v>
      </c>
    </row>
    <row r="6362" spans="8:8" x14ac:dyDescent="0.2">
      <c r="H6362">
        <v>0</v>
      </c>
    </row>
    <row r="6363" spans="8:8" x14ac:dyDescent="0.2">
      <c r="H6363">
        <v>0</v>
      </c>
    </row>
    <row r="6364" spans="8:8" x14ac:dyDescent="0.2">
      <c r="H6364">
        <v>0</v>
      </c>
    </row>
    <row r="6365" spans="8:8" x14ac:dyDescent="0.2">
      <c r="H6365">
        <v>0</v>
      </c>
    </row>
    <row r="6366" spans="8:8" x14ac:dyDescent="0.2">
      <c r="H6366">
        <v>0</v>
      </c>
    </row>
    <row r="6367" spans="8:8" x14ac:dyDescent="0.2">
      <c r="H6367">
        <v>0</v>
      </c>
    </row>
    <row r="6368" spans="8:8" x14ac:dyDescent="0.2">
      <c r="H6368">
        <v>0</v>
      </c>
    </row>
    <row r="6369" spans="8:8" x14ac:dyDescent="0.2">
      <c r="H6369">
        <v>0</v>
      </c>
    </row>
    <row r="6370" spans="8:8" x14ac:dyDescent="0.2">
      <c r="H6370">
        <v>0</v>
      </c>
    </row>
    <row r="6371" spans="8:8" x14ac:dyDescent="0.2">
      <c r="H6371">
        <v>0</v>
      </c>
    </row>
    <row r="6372" spans="8:8" x14ac:dyDescent="0.2">
      <c r="H6372">
        <v>0</v>
      </c>
    </row>
    <row r="6373" spans="8:8" x14ac:dyDescent="0.2">
      <c r="H6373">
        <v>0</v>
      </c>
    </row>
    <row r="6374" spans="8:8" x14ac:dyDescent="0.2">
      <c r="H6374">
        <v>0</v>
      </c>
    </row>
    <row r="6375" spans="8:8" x14ac:dyDescent="0.2">
      <c r="H6375">
        <v>0</v>
      </c>
    </row>
    <row r="6376" spans="8:8" x14ac:dyDescent="0.2">
      <c r="H6376">
        <v>0</v>
      </c>
    </row>
    <row r="6377" spans="8:8" x14ac:dyDescent="0.2">
      <c r="H6377">
        <v>0</v>
      </c>
    </row>
    <row r="6378" spans="8:8" x14ac:dyDescent="0.2">
      <c r="H6378">
        <v>0</v>
      </c>
    </row>
    <row r="6379" spans="8:8" x14ac:dyDescent="0.2">
      <c r="H6379">
        <v>0</v>
      </c>
    </row>
    <row r="6380" spans="8:8" x14ac:dyDescent="0.2">
      <c r="H6380">
        <v>0</v>
      </c>
    </row>
    <row r="6381" spans="8:8" x14ac:dyDescent="0.2">
      <c r="H6381">
        <v>0</v>
      </c>
    </row>
    <row r="6382" spans="8:8" x14ac:dyDescent="0.2">
      <c r="H6382">
        <v>0</v>
      </c>
    </row>
    <row r="6383" spans="8:8" x14ac:dyDescent="0.2">
      <c r="H6383">
        <v>0</v>
      </c>
    </row>
    <row r="6384" spans="8:8" x14ac:dyDescent="0.2">
      <c r="H6384">
        <v>0</v>
      </c>
    </row>
    <row r="6385" spans="8:8" x14ac:dyDescent="0.2">
      <c r="H6385">
        <v>0</v>
      </c>
    </row>
    <row r="6386" spans="8:8" x14ac:dyDescent="0.2">
      <c r="H6386">
        <v>0</v>
      </c>
    </row>
    <row r="6387" spans="8:8" x14ac:dyDescent="0.2">
      <c r="H6387">
        <v>0</v>
      </c>
    </row>
    <row r="6388" spans="8:8" x14ac:dyDescent="0.2">
      <c r="H6388">
        <v>0</v>
      </c>
    </row>
    <row r="6389" spans="8:8" x14ac:dyDescent="0.2">
      <c r="H6389">
        <v>0</v>
      </c>
    </row>
    <row r="6390" spans="8:8" x14ac:dyDescent="0.2">
      <c r="H6390">
        <v>0</v>
      </c>
    </row>
    <row r="6391" spans="8:8" x14ac:dyDescent="0.2">
      <c r="H6391">
        <v>0</v>
      </c>
    </row>
    <row r="6392" spans="8:8" x14ac:dyDescent="0.2">
      <c r="H6392">
        <v>0</v>
      </c>
    </row>
    <row r="6393" spans="8:8" x14ac:dyDescent="0.2">
      <c r="H6393">
        <v>0</v>
      </c>
    </row>
    <row r="6394" spans="8:8" x14ac:dyDescent="0.2">
      <c r="H6394">
        <v>0</v>
      </c>
    </row>
    <row r="6395" spans="8:8" x14ac:dyDescent="0.2">
      <c r="H6395">
        <v>0</v>
      </c>
    </row>
    <row r="6396" spans="8:8" x14ac:dyDescent="0.2">
      <c r="H6396">
        <v>0</v>
      </c>
    </row>
    <row r="6397" spans="8:8" x14ac:dyDescent="0.2">
      <c r="H6397">
        <v>0</v>
      </c>
    </row>
    <row r="6398" spans="8:8" x14ac:dyDescent="0.2">
      <c r="H6398">
        <v>0</v>
      </c>
    </row>
    <row r="6399" spans="8:8" x14ac:dyDescent="0.2">
      <c r="H6399">
        <v>0</v>
      </c>
    </row>
    <row r="6400" spans="8:8" x14ac:dyDescent="0.2">
      <c r="H6400">
        <v>0</v>
      </c>
    </row>
    <row r="6401" spans="8:8" x14ac:dyDescent="0.2">
      <c r="H6401">
        <v>0</v>
      </c>
    </row>
    <row r="6402" spans="8:8" x14ac:dyDescent="0.2">
      <c r="H6402">
        <v>0</v>
      </c>
    </row>
    <row r="6403" spans="8:8" x14ac:dyDescent="0.2">
      <c r="H6403">
        <v>0</v>
      </c>
    </row>
    <row r="6404" spans="8:8" x14ac:dyDescent="0.2">
      <c r="H6404">
        <v>0</v>
      </c>
    </row>
    <row r="6405" spans="8:8" x14ac:dyDescent="0.2">
      <c r="H6405">
        <v>0</v>
      </c>
    </row>
    <row r="6406" spans="8:8" x14ac:dyDescent="0.2">
      <c r="H6406">
        <v>0</v>
      </c>
    </row>
    <row r="6407" spans="8:8" x14ac:dyDescent="0.2">
      <c r="H6407">
        <v>0</v>
      </c>
    </row>
    <row r="6408" spans="8:8" x14ac:dyDescent="0.2">
      <c r="H6408">
        <v>0</v>
      </c>
    </row>
    <row r="6409" spans="8:8" x14ac:dyDescent="0.2">
      <c r="H6409">
        <v>0</v>
      </c>
    </row>
    <row r="6410" spans="8:8" x14ac:dyDescent="0.2">
      <c r="H6410">
        <v>0</v>
      </c>
    </row>
    <row r="6411" spans="8:8" x14ac:dyDescent="0.2">
      <c r="H6411">
        <v>0</v>
      </c>
    </row>
    <row r="6412" spans="8:8" x14ac:dyDescent="0.2">
      <c r="H6412">
        <v>0</v>
      </c>
    </row>
    <row r="6413" spans="8:8" x14ac:dyDescent="0.2">
      <c r="H6413">
        <v>0</v>
      </c>
    </row>
    <row r="6414" spans="8:8" x14ac:dyDescent="0.2">
      <c r="H6414">
        <v>0</v>
      </c>
    </row>
    <row r="6415" spans="8:8" x14ac:dyDescent="0.2">
      <c r="H6415">
        <v>0</v>
      </c>
    </row>
    <row r="6416" spans="8:8" x14ac:dyDescent="0.2">
      <c r="H6416">
        <v>0</v>
      </c>
    </row>
    <row r="6417" spans="8:8" x14ac:dyDescent="0.2">
      <c r="H6417">
        <v>0</v>
      </c>
    </row>
    <row r="6418" spans="8:8" x14ac:dyDescent="0.2">
      <c r="H6418">
        <v>0</v>
      </c>
    </row>
    <row r="6419" spans="8:8" x14ac:dyDescent="0.2">
      <c r="H6419">
        <v>0</v>
      </c>
    </row>
    <row r="6420" spans="8:8" x14ac:dyDescent="0.2">
      <c r="H6420">
        <v>0</v>
      </c>
    </row>
    <row r="6421" spans="8:8" x14ac:dyDescent="0.2">
      <c r="H6421">
        <v>0</v>
      </c>
    </row>
    <row r="6422" spans="8:8" x14ac:dyDescent="0.2">
      <c r="H6422">
        <v>0</v>
      </c>
    </row>
    <row r="6423" spans="8:8" x14ac:dyDescent="0.2">
      <c r="H6423">
        <v>0</v>
      </c>
    </row>
    <row r="6424" spans="8:8" x14ac:dyDescent="0.2">
      <c r="H6424">
        <v>0</v>
      </c>
    </row>
    <row r="6425" spans="8:8" x14ac:dyDescent="0.2">
      <c r="H6425">
        <v>0</v>
      </c>
    </row>
    <row r="6426" spans="8:8" x14ac:dyDescent="0.2">
      <c r="H6426">
        <v>0</v>
      </c>
    </row>
    <row r="6427" spans="8:8" x14ac:dyDescent="0.2">
      <c r="H6427">
        <v>0</v>
      </c>
    </row>
    <row r="6428" spans="8:8" x14ac:dyDescent="0.2">
      <c r="H6428">
        <v>0</v>
      </c>
    </row>
    <row r="6429" spans="8:8" x14ac:dyDescent="0.2">
      <c r="H6429">
        <v>0</v>
      </c>
    </row>
    <row r="6430" spans="8:8" x14ac:dyDescent="0.2">
      <c r="H6430">
        <v>0</v>
      </c>
    </row>
    <row r="6431" spans="8:8" x14ac:dyDescent="0.2">
      <c r="H6431">
        <v>0</v>
      </c>
    </row>
    <row r="6432" spans="8:8" x14ac:dyDescent="0.2">
      <c r="H6432">
        <v>0</v>
      </c>
    </row>
    <row r="6433" spans="8:8" x14ac:dyDescent="0.2">
      <c r="H6433">
        <v>0</v>
      </c>
    </row>
    <row r="6434" spans="8:8" x14ac:dyDescent="0.2">
      <c r="H6434">
        <v>0</v>
      </c>
    </row>
    <row r="6435" spans="8:8" x14ac:dyDescent="0.2">
      <c r="H6435">
        <v>0</v>
      </c>
    </row>
    <row r="6436" spans="8:8" x14ac:dyDescent="0.2">
      <c r="H6436">
        <v>0</v>
      </c>
    </row>
    <row r="6437" spans="8:8" x14ac:dyDescent="0.2">
      <c r="H6437">
        <v>0</v>
      </c>
    </row>
    <row r="6438" spans="8:8" x14ac:dyDescent="0.2">
      <c r="H6438">
        <v>0</v>
      </c>
    </row>
    <row r="6439" spans="8:8" x14ac:dyDescent="0.2">
      <c r="H6439">
        <v>0</v>
      </c>
    </row>
    <row r="6440" spans="8:8" x14ac:dyDescent="0.2">
      <c r="H6440">
        <v>0</v>
      </c>
    </row>
    <row r="6441" spans="8:8" x14ac:dyDescent="0.2">
      <c r="H6441">
        <v>0</v>
      </c>
    </row>
    <row r="6442" spans="8:8" x14ac:dyDescent="0.2">
      <c r="H6442">
        <v>0</v>
      </c>
    </row>
    <row r="6443" spans="8:8" x14ac:dyDescent="0.2">
      <c r="H6443">
        <v>0</v>
      </c>
    </row>
    <row r="6444" spans="8:8" x14ac:dyDescent="0.2">
      <c r="H6444">
        <v>0</v>
      </c>
    </row>
    <row r="6445" spans="8:8" x14ac:dyDescent="0.2">
      <c r="H6445">
        <v>0</v>
      </c>
    </row>
    <row r="6446" spans="8:8" x14ac:dyDescent="0.2">
      <c r="H6446">
        <v>0</v>
      </c>
    </row>
    <row r="6447" spans="8:8" x14ac:dyDescent="0.2">
      <c r="H6447">
        <v>0</v>
      </c>
    </row>
    <row r="6448" spans="8:8" x14ac:dyDescent="0.2">
      <c r="H6448">
        <v>0</v>
      </c>
    </row>
    <row r="6449" spans="8:8" x14ac:dyDescent="0.2">
      <c r="H6449">
        <v>0</v>
      </c>
    </row>
    <row r="6450" spans="8:8" x14ac:dyDescent="0.2">
      <c r="H6450">
        <v>0</v>
      </c>
    </row>
    <row r="6451" spans="8:8" x14ac:dyDescent="0.2">
      <c r="H6451">
        <v>0</v>
      </c>
    </row>
    <row r="6452" spans="8:8" x14ac:dyDescent="0.2">
      <c r="H6452">
        <v>0</v>
      </c>
    </row>
    <row r="6453" spans="8:8" x14ac:dyDescent="0.2">
      <c r="H6453">
        <v>0</v>
      </c>
    </row>
    <row r="6454" spans="8:8" x14ac:dyDescent="0.2">
      <c r="H6454">
        <v>0</v>
      </c>
    </row>
    <row r="6455" spans="8:8" x14ac:dyDescent="0.2">
      <c r="H6455">
        <v>0</v>
      </c>
    </row>
    <row r="6456" spans="8:8" x14ac:dyDescent="0.2">
      <c r="H6456">
        <v>0</v>
      </c>
    </row>
    <row r="6457" spans="8:8" x14ac:dyDescent="0.2">
      <c r="H6457">
        <v>0</v>
      </c>
    </row>
    <row r="6458" spans="8:8" x14ac:dyDescent="0.2">
      <c r="H6458">
        <v>0</v>
      </c>
    </row>
    <row r="6459" spans="8:8" x14ac:dyDescent="0.2">
      <c r="H6459">
        <v>0</v>
      </c>
    </row>
    <row r="6460" spans="8:8" x14ac:dyDescent="0.2">
      <c r="H6460">
        <v>0</v>
      </c>
    </row>
    <row r="6461" spans="8:8" x14ac:dyDescent="0.2">
      <c r="H6461">
        <v>0</v>
      </c>
    </row>
    <row r="6462" spans="8:8" x14ac:dyDescent="0.2">
      <c r="H6462">
        <v>0</v>
      </c>
    </row>
    <row r="6463" spans="8:8" x14ac:dyDescent="0.2">
      <c r="H6463">
        <v>0</v>
      </c>
    </row>
    <row r="6464" spans="8:8" x14ac:dyDescent="0.2">
      <c r="H6464">
        <v>0</v>
      </c>
    </row>
    <row r="6465" spans="8:8" x14ac:dyDescent="0.2">
      <c r="H6465">
        <v>0</v>
      </c>
    </row>
    <row r="6466" spans="8:8" x14ac:dyDescent="0.2">
      <c r="H6466">
        <v>0</v>
      </c>
    </row>
    <row r="6467" spans="8:8" x14ac:dyDescent="0.2">
      <c r="H6467">
        <v>0</v>
      </c>
    </row>
    <row r="6468" spans="8:8" x14ac:dyDescent="0.2">
      <c r="H6468">
        <v>0</v>
      </c>
    </row>
    <row r="6469" spans="8:8" x14ac:dyDescent="0.2">
      <c r="H6469">
        <v>0</v>
      </c>
    </row>
    <row r="6470" spans="8:8" x14ac:dyDescent="0.2">
      <c r="H6470">
        <v>0</v>
      </c>
    </row>
    <row r="6471" spans="8:8" x14ac:dyDescent="0.2">
      <c r="H6471">
        <v>0</v>
      </c>
    </row>
    <row r="6472" spans="8:8" x14ac:dyDescent="0.2">
      <c r="H6472">
        <v>0</v>
      </c>
    </row>
    <row r="6473" spans="8:8" x14ac:dyDescent="0.2">
      <c r="H6473">
        <v>0</v>
      </c>
    </row>
    <row r="6474" spans="8:8" x14ac:dyDescent="0.2">
      <c r="H6474">
        <v>0</v>
      </c>
    </row>
    <row r="6475" spans="8:8" x14ac:dyDescent="0.2">
      <c r="H6475">
        <v>0</v>
      </c>
    </row>
    <row r="6476" spans="8:8" x14ac:dyDescent="0.2">
      <c r="H6476">
        <v>0</v>
      </c>
    </row>
    <row r="6477" spans="8:8" x14ac:dyDescent="0.2">
      <c r="H6477">
        <v>0</v>
      </c>
    </row>
    <row r="6478" spans="8:8" x14ac:dyDescent="0.2">
      <c r="H6478">
        <v>0</v>
      </c>
    </row>
    <row r="6479" spans="8:8" x14ac:dyDescent="0.2">
      <c r="H6479">
        <v>0</v>
      </c>
    </row>
    <row r="6480" spans="8:8" x14ac:dyDescent="0.2">
      <c r="H6480">
        <v>0</v>
      </c>
    </row>
    <row r="6481" spans="8:8" x14ac:dyDescent="0.2">
      <c r="H6481">
        <v>0</v>
      </c>
    </row>
    <row r="6482" spans="8:8" x14ac:dyDescent="0.2">
      <c r="H6482">
        <v>0</v>
      </c>
    </row>
    <row r="6483" spans="8:8" x14ac:dyDescent="0.2">
      <c r="H6483">
        <v>0</v>
      </c>
    </row>
    <row r="6484" spans="8:8" x14ac:dyDescent="0.2">
      <c r="H6484">
        <v>0</v>
      </c>
    </row>
    <row r="6485" spans="8:8" x14ac:dyDescent="0.2">
      <c r="H6485">
        <v>0</v>
      </c>
    </row>
    <row r="6486" spans="8:8" x14ac:dyDescent="0.2">
      <c r="H6486">
        <v>0</v>
      </c>
    </row>
    <row r="6487" spans="8:8" x14ac:dyDescent="0.2">
      <c r="H6487">
        <v>0</v>
      </c>
    </row>
    <row r="6488" spans="8:8" x14ac:dyDescent="0.2">
      <c r="H6488">
        <v>0</v>
      </c>
    </row>
    <row r="6489" spans="8:8" x14ac:dyDescent="0.2">
      <c r="H6489">
        <v>0</v>
      </c>
    </row>
    <row r="6490" spans="8:8" x14ac:dyDescent="0.2">
      <c r="H6490">
        <v>0</v>
      </c>
    </row>
    <row r="6491" spans="8:8" x14ac:dyDescent="0.2">
      <c r="H6491">
        <v>0</v>
      </c>
    </row>
    <row r="6492" spans="8:8" x14ac:dyDescent="0.2">
      <c r="H6492">
        <v>0</v>
      </c>
    </row>
    <row r="6493" spans="8:8" x14ac:dyDescent="0.2">
      <c r="H6493">
        <v>0</v>
      </c>
    </row>
    <row r="6494" spans="8:8" x14ac:dyDescent="0.2">
      <c r="H6494">
        <v>0</v>
      </c>
    </row>
    <row r="6495" spans="8:8" x14ac:dyDescent="0.2">
      <c r="H6495">
        <v>0</v>
      </c>
    </row>
    <row r="6496" spans="8:8" x14ac:dyDescent="0.2">
      <c r="H6496">
        <v>0</v>
      </c>
    </row>
    <row r="6497" spans="8:8" x14ac:dyDescent="0.2">
      <c r="H6497">
        <v>0</v>
      </c>
    </row>
    <row r="6498" spans="8:8" x14ac:dyDescent="0.2">
      <c r="H6498">
        <v>0</v>
      </c>
    </row>
    <row r="6499" spans="8:8" x14ac:dyDescent="0.2">
      <c r="H6499">
        <v>0</v>
      </c>
    </row>
    <row r="6500" spans="8:8" x14ac:dyDescent="0.2">
      <c r="H6500">
        <v>0</v>
      </c>
    </row>
    <row r="6501" spans="8:8" x14ac:dyDescent="0.2">
      <c r="H6501">
        <v>0</v>
      </c>
    </row>
    <row r="6502" spans="8:8" x14ac:dyDescent="0.2">
      <c r="H6502">
        <v>0</v>
      </c>
    </row>
    <row r="6503" spans="8:8" x14ac:dyDescent="0.2">
      <c r="H6503">
        <v>0</v>
      </c>
    </row>
    <row r="6504" spans="8:8" x14ac:dyDescent="0.2">
      <c r="H6504">
        <v>0</v>
      </c>
    </row>
    <row r="6505" spans="8:8" x14ac:dyDescent="0.2">
      <c r="H6505">
        <v>0</v>
      </c>
    </row>
    <row r="6506" spans="8:8" x14ac:dyDescent="0.2">
      <c r="H6506">
        <v>0</v>
      </c>
    </row>
    <row r="6507" spans="8:8" x14ac:dyDescent="0.2">
      <c r="H6507">
        <v>0</v>
      </c>
    </row>
    <row r="6508" spans="8:8" x14ac:dyDescent="0.2">
      <c r="H6508">
        <v>0</v>
      </c>
    </row>
    <row r="6509" spans="8:8" x14ac:dyDescent="0.2">
      <c r="H6509">
        <v>0</v>
      </c>
    </row>
    <row r="6510" spans="8:8" x14ac:dyDescent="0.2">
      <c r="H6510">
        <v>0</v>
      </c>
    </row>
    <row r="6511" spans="8:8" x14ac:dyDescent="0.2">
      <c r="H6511">
        <v>0</v>
      </c>
    </row>
    <row r="6512" spans="8:8" x14ac:dyDescent="0.2">
      <c r="H6512">
        <v>0</v>
      </c>
    </row>
    <row r="6513" spans="8:8" x14ac:dyDescent="0.2">
      <c r="H6513">
        <v>0</v>
      </c>
    </row>
    <row r="6514" spans="8:8" x14ac:dyDescent="0.2">
      <c r="H6514">
        <v>0</v>
      </c>
    </row>
    <row r="6515" spans="8:8" x14ac:dyDescent="0.2">
      <c r="H6515">
        <v>0</v>
      </c>
    </row>
    <row r="6516" spans="8:8" x14ac:dyDescent="0.2">
      <c r="H6516">
        <v>0</v>
      </c>
    </row>
    <row r="6517" spans="8:8" x14ac:dyDescent="0.2">
      <c r="H6517">
        <v>0</v>
      </c>
    </row>
    <row r="6518" spans="8:8" x14ac:dyDescent="0.2">
      <c r="H6518">
        <v>0</v>
      </c>
    </row>
    <row r="6519" spans="8:8" x14ac:dyDescent="0.2">
      <c r="H6519">
        <v>0</v>
      </c>
    </row>
    <row r="6520" spans="8:8" x14ac:dyDescent="0.2">
      <c r="H6520">
        <v>0</v>
      </c>
    </row>
    <row r="6521" spans="8:8" x14ac:dyDescent="0.2">
      <c r="H6521">
        <v>0</v>
      </c>
    </row>
    <row r="6522" spans="8:8" x14ac:dyDescent="0.2">
      <c r="H6522">
        <v>0</v>
      </c>
    </row>
    <row r="6523" spans="8:8" x14ac:dyDescent="0.2">
      <c r="H6523">
        <v>0</v>
      </c>
    </row>
    <row r="6524" spans="8:8" x14ac:dyDescent="0.2">
      <c r="H6524">
        <v>0</v>
      </c>
    </row>
    <row r="6525" spans="8:8" x14ac:dyDescent="0.2">
      <c r="H6525">
        <v>0</v>
      </c>
    </row>
    <row r="6526" spans="8:8" x14ac:dyDescent="0.2">
      <c r="H6526">
        <v>0</v>
      </c>
    </row>
    <row r="6527" spans="8:8" x14ac:dyDescent="0.2">
      <c r="H6527">
        <v>0</v>
      </c>
    </row>
    <row r="6528" spans="8:8" x14ac:dyDescent="0.2">
      <c r="H6528">
        <v>0</v>
      </c>
    </row>
    <row r="6529" spans="8:8" x14ac:dyDescent="0.2">
      <c r="H6529">
        <v>0</v>
      </c>
    </row>
    <row r="6530" spans="8:8" x14ac:dyDescent="0.2">
      <c r="H6530">
        <v>0</v>
      </c>
    </row>
    <row r="6531" spans="8:8" x14ac:dyDescent="0.2">
      <c r="H6531">
        <v>0</v>
      </c>
    </row>
    <row r="6532" spans="8:8" x14ac:dyDescent="0.2">
      <c r="H6532">
        <v>0</v>
      </c>
    </row>
    <row r="6533" spans="8:8" x14ac:dyDescent="0.2">
      <c r="H6533">
        <v>0</v>
      </c>
    </row>
    <row r="6534" spans="8:8" x14ac:dyDescent="0.2">
      <c r="H6534">
        <v>0</v>
      </c>
    </row>
    <row r="6535" spans="8:8" x14ac:dyDescent="0.2">
      <c r="H6535">
        <v>0</v>
      </c>
    </row>
    <row r="6536" spans="8:8" x14ac:dyDescent="0.2">
      <c r="H6536">
        <v>0</v>
      </c>
    </row>
    <row r="6537" spans="8:8" x14ac:dyDescent="0.2">
      <c r="H6537">
        <v>0</v>
      </c>
    </row>
    <row r="6538" spans="8:8" x14ac:dyDescent="0.2">
      <c r="H6538">
        <v>0</v>
      </c>
    </row>
    <row r="6539" spans="8:8" x14ac:dyDescent="0.2">
      <c r="H6539">
        <v>0</v>
      </c>
    </row>
    <row r="6540" spans="8:8" x14ac:dyDescent="0.2">
      <c r="H6540">
        <v>0</v>
      </c>
    </row>
    <row r="6541" spans="8:8" x14ac:dyDescent="0.2">
      <c r="H6541">
        <v>0</v>
      </c>
    </row>
    <row r="6542" spans="8:8" x14ac:dyDescent="0.2">
      <c r="H6542">
        <v>0</v>
      </c>
    </row>
    <row r="6543" spans="8:8" x14ac:dyDescent="0.2">
      <c r="H6543">
        <v>0</v>
      </c>
    </row>
    <row r="6544" spans="8:8" x14ac:dyDescent="0.2">
      <c r="H6544">
        <v>0</v>
      </c>
    </row>
    <row r="6545" spans="8:8" x14ac:dyDescent="0.2">
      <c r="H6545">
        <v>0</v>
      </c>
    </row>
    <row r="6546" spans="8:8" x14ac:dyDescent="0.2">
      <c r="H6546">
        <v>0</v>
      </c>
    </row>
    <row r="6547" spans="8:8" x14ac:dyDescent="0.2">
      <c r="H6547">
        <v>0</v>
      </c>
    </row>
    <row r="6548" spans="8:8" x14ac:dyDescent="0.2">
      <c r="H6548">
        <v>0</v>
      </c>
    </row>
    <row r="6549" spans="8:8" x14ac:dyDescent="0.2">
      <c r="H6549">
        <v>0</v>
      </c>
    </row>
    <row r="6550" spans="8:8" x14ac:dyDescent="0.2">
      <c r="H6550">
        <v>0</v>
      </c>
    </row>
    <row r="6551" spans="8:8" x14ac:dyDescent="0.2">
      <c r="H6551">
        <v>0</v>
      </c>
    </row>
    <row r="6552" spans="8:8" x14ac:dyDescent="0.2">
      <c r="H6552">
        <v>0</v>
      </c>
    </row>
    <row r="6553" spans="8:8" x14ac:dyDescent="0.2">
      <c r="H6553">
        <v>0</v>
      </c>
    </row>
    <row r="6554" spans="8:8" x14ac:dyDescent="0.2">
      <c r="H6554">
        <v>0</v>
      </c>
    </row>
    <row r="6555" spans="8:8" x14ac:dyDescent="0.2">
      <c r="H6555">
        <v>0</v>
      </c>
    </row>
    <row r="6556" spans="8:8" x14ac:dyDescent="0.2">
      <c r="H6556">
        <v>0</v>
      </c>
    </row>
    <row r="6557" spans="8:8" x14ac:dyDescent="0.2">
      <c r="H6557">
        <v>0</v>
      </c>
    </row>
    <row r="6558" spans="8:8" x14ac:dyDescent="0.2">
      <c r="H6558">
        <v>0</v>
      </c>
    </row>
    <row r="6559" spans="8:8" x14ac:dyDescent="0.2">
      <c r="H6559">
        <v>0</v>
      </c>
    </row>
    <row r="6560" spans="8:8" x14ac:dyDescent="0.2">
      <c r="H6560">
        <v>0</v>
      </c>
    </row>
    <row r="6561" spans="8:8" x14ac:dyDescent="0.2">
      <c r="H6561">
        <v>0</v>
      </c>
    </row>
    <row r="6562" spans="8:8" x14ac:dyDescent="0.2">
      <c r="H6562">
        <v>0</v>
      </c>
    </row>
    <row r="6563" spans="8:8" x14ac:dyDescent="0.2">
      <c r="H6563">
        <v>0</v>
      </c>
    </row>
    <row r="6564" spans="8:8" x14ac:dyDescent="0.2">
      <c r="H6564">
        <v>0</v>
      </c>
    </row>
    <row r="6565" spans="8:8" x14ac:dyDescent="0.2">
      <c r="H6565">
        <v>0</v>
      </c>
    </row>
    <row r="6566" spans="8:8" x14ac:dyDescent="0.2">
      <c r="H6566">
        <v>0</v>
      </c>
    </row>
    <row r="6567" spans="8:8" x14ac:dyDescent="0.2">
      <c r="H6567">
        <v>0</v>
      </c>
    </row>
    <row r="6568" spans="8:8" x14ac:dyDescent="0.2">
      <c r="H6568">
        <v>0</v>
      </c>
    </row>
    <row r="6569" spans="8:8" x14ac:dyDescent="0.2">
      <c r="H6569">
        <v>0</v>
      </c>
    </row>
    <row r="6570" spans="8:8" x14ac:dyDescent="0.2">
      <c r="H6570">
        <v>0</v>
      </c>
    </row>
    <row r="6571" spans="8:8" x14ac:dyDescent="0.2">
      <c r="H6571">
        <v>0</v>
      </c>
    </row>
    <row r="6572" spans="8:8" x14ac:dyDescent="0.2">
      <c r="H6572">
        <v>0</v>
      </c>
    </row>
    <row r="6573" spans="8:8" x14ac:dyDescent="0.2">
      <c r="H6573">
        <v>0</v>
      </c>
    </row>
    <row r="6574" spans="8:8" x14ac:dyDescent="0.2">
      <c r="H6574">
        <v>0</v>
      </c>
    </row>
    <row r="6575" spans="8:8" x14ac:dyDescent="0.2">
      <c r="H6575">
        <v>0</v>
      </c>
    </row>
    <row r="6576" spans="8:8" x14ac:dyDescent="0.2">
      <c r="H6576">
        <v>0</v>
      </c>
    </row>
    <row r="6577" spans="8:8" x14ac:dyDescent="0.2">
      <c r="H6577">
        <v>0</v>
      </c>
    </row>
    <row r="6578" spans="8:8" x14ac:dyDescent="0.2">
      <c r="H6578">
        <v>0</v>
      </c>
    </row>
    <row r="6579" spans="8:8" x14ac:dyDescent="0.2">
      <c r="H6579">
        <v>0</v>
      </c>
    </row>
    <row r="6580" spans="8:8" x14ac:dyDescent="0.2">
      <c r="H6580">
        <v>0</v>
      </c>
    </row>
    <row r="6581" spans="8:8" x14ac:dyDescent="0.2">
      <c r="H6581">
        <v>0</v>
      </c>
    </row>
    <row r="6582" spans="8:8" x14ac:dyDescent="0.2">
      <c r="H6582">
        <v>0</v>
      </c>
    </row>
    <row r="6583" spans="8:8" x14ac:dyDescent="0.2">
      <c r="H6583">
        <v>0</v>
      </c>
    </row>
    <row r="6584" spans="8:8" x14ac:dyDescent="0.2">
      <c r="H6584">
        <v>0</v>
      </c>
    </row>
    <row r="6585" spans="8:8" x14ac:dyDescent="0.2">
      <c r="H6585">
        <v>0</v>
      </c>
    </row>
    <row r="6586" spans="8:8" x14ac:dyDescent="0.2">
      <c r="H6586">
        <v>0</v>
      </c>
    </row>
    <row r="6587" spans="8:8" x14ac:dyDescent="0.2">
      <c r="H6587">
        <v>0</v>
      </c>
    </row>
    <row r="6588" spans="8:8" x14ac:dyDescent="0.2">
      <c r="H6588">
        <v>0</v>
      </c>
    </row>
    <row r="6589" spans="8:8" x14ac:dyDescent="0.2">
      <c r="H6589">
        <v>0</v>
      </c>
    </row>
    <row r="6590" spans="8:8" x14ac:dyDescent="0.2">
      <c r="H6590">
        <v>0</v>
      </c>
    </row>
    <row r="6591" spans="8:8" x14ac:dyDescent="0.2">
      <c r="H6591">
        <v>0</v>
      </c>
    </row>
    <row r="6592" spans="8:8" x14ac:dyDescent="0.2">
      <c r="H6592">
        <v>0</v>
      </c>
    </row>
    <row r="6593" spans="8:8" x14ac:dyDescent="0.2">
      <c r="H6593">
        <v>0</v>
      </c>
    </row>
    <row r="6594" spans="8:8" x14ac:dyDescent="0.2">
      <c r="H6594">
        <v>0</v>
      </c>
    </row>
    <row r="6595" spans="8:8" x14ac:dyDescent="0.2">
      <c r="H6595">
        <v>0</v>
      </c>
    </row>
    <row r="6596" spans="8:8" x14ac:dyDescent="0.2">
      <c r="H6596">
        <v>0</v>
      </c>
    </row>
    <row r="6597" spans="8:8" x14ac:dyDescent="0.2">
      <c r="H6597">
        <v>0</v>
      </c>
    </row>
    <row r="6598" spans="8:8" x14ac:dyDescent="0.2">
      <c r="H6598">
        <v>0</v>
      </c>
    </row>
    <row r="6599" spans="8:8" x14ac:dyDescent="0.2">
      <c r="H6599">
        <v>0</v>
      </c>
    </row>
    <row r="6600" spans="8:8" x14ac:dyDescent="0.2">
      <c r="H6600">
        <v>0</v>
      </c>
    </row>
    <row r="6601" spans="8:8" x14ac:dyDescent="0.2">
      <c r="H6601">
        <v>0</v>
      </c>
    </row>
    <row r="6602" spans="8:8" x14ac:dyDescent="0.2">
      <c r="H6602">
        <v>0</v>
      </c>
    </row>
    <row r="6603" spans="8:8" x14ac:dyDescent="0.2">
      <c r="H6603">
        <v>0</v>
      </c>
    </row>
    <row r="6604" spans="8:8" x14ac:dyDescent="0.2">
      <c r="H6604">
        <v>0</v>
      </c>
    </row>
    <row r="6605" spans="8:8" x14ac:dyDescent="0.2">
      <c r="H6605">
        <v>0</v>
      </c>
    </row>
    <row r="6606" spans="8:8" x14ac:dyDescent="0.2">
      <c r="H6606">
        <v>0</v>
      </c>
    </row>
    <row r="6607" spans="8:8" x14ac:dyDescent="0.2">
      <c r="H6607">
        <v>0</v>
      </c>
    </row>
    <row r="6608" spans="8:8" x14ac:dyDescent="0.2">
      <c r="H6608">
        <v>0</v>
      </c>
    </row>
    <row r="6609" spans="8:8" x14ac:dyDescent="0.2">
      <c r="H6609">
        <v>0</v>
      </c>
    </row>
    <row r="6610" spans="8:8" x14ac:dyDescent="0.2">
      <c r="H6610">
        <v>0</v>
      </c>
    </row>
    <row r="6611" spans="8:8" x14ac:dyDescent="0.2">
      <c r="H6611">
        <v>0</v>
      </c>
    </row>
    <row r="6612" spans="8:8" x14ac:dyDescent="0.2">
      <c r="H6612">
        <v>0</v>
      </c>
    </row>
    <row r="6613" spans="8:8" x14ac:dyDescent="0.2">
      <c r="H6613">
        <v>0</v>
      </c>
    </row>
    <row r="6614" spans="8:8" x14ac:dyDescent="0.2">
      <c r="H6614">
        <v>0</v>
      </c>
    </row>
    <row r="6615" spans="8:8" x14ac:dyDescent="0.2">
      <c r="H6615">
        <v>0</v>
      </c>
    </row>
    <row r="6616" spans="8:8" x14ac:dyDescent="0.2">
      <c r="H6616">
        <v>0</v>
      </c>
    </row>
    <row r="6617" spans="8:8" x14ac:dyDescent="0.2">
      <c r="H6617">
        <v>0</v>
      </c>
    </row>
    <row r="6618" spans="8:8" x14ac:dyDescent="0.2">
      <c r="H6618">
        <v>0</v>
      </c>
    </row>
    <row r="6619" spans="8:8" x14ac:dyDescent="0.2">
      <c r="H6619">
        <v>0</v>
      </c>
    </row>
    <row r="6620" spans="8:8" x14ac:dyDescent="0.2">
      <c r="H6620">
        <v>0</v>
      </c>
    </row>
    <row r="6621" spans="8:8" x14ac:dyDescent="0.2">
      <c r="H6621">
        <v>0</v>
      </c>
    </row>
    <row r="6622" spans="8:8" x14ac:dyDescent="0.2">
      <c r="H6622">
        <v>0</v>
      </c>
    </row>
    <row r="6623" spans="8:8" x14ac:dyDescent="0.2">
      <c r="H6623">
        <v>0</v>
      </c>
    </row>
    <row r="6624" spans="8:8" x14ac:dyDescent="0.2">
      <c r="H6624">
        <v>0</v>
      </c>
    </row>
    <row r="6625" spans="8:8" x14ac:dyDescent="0.2">
      <c r="H6625">
        <v>0</v>
      </c>
    </row>
    <row r="6626" spans="8:8" x14ac:dyDescent="0.2">
      <c r="H6626">
        <v>0</v>
      </c>
    </row>
    <row r="6627" spans="8:8" x14ac:dyDescent="0.2">
      <c r="H6627">
        <v>0</v>
      </c>
    </row>
    <row r="6628" spans="8:8" x14ac:dyDescent="0.2">
      <c r="H6628">
        <v>0</v>
      </c>
    </row>
    <row r="6629" spans="8:8" x14ac:dyDescent="0.2">
      <c r="H6629">
        <v>0</v>
      </c>
    </row>
    <row r="6630" spans="8:8" x14ac:dyDescent="0.2">
      <c r="H6630">
        <v>0</v>
      </c>
    </row>
    <row r="6631" spans="8:8" x14ac:dyDescent="0.2">
      <c r="H6631">
        <v>0</v>
      </c>
    </row>
    <row r="6632" spans="8:8" x14ac:dyDescent="0.2">
      <c r="H6632">
        <v>0</v>
      </c>
    </row>
    <row r="6633" spans="8:8" x14ac:dyDescent="0.2">
      <c r="H6633">
        <v>0</v>
      </c>
    </row>
    <row r="6634" spans="8:8" x14ac:dyDescent="0.2">
      <c r="H6634">
        <v>0</v>
      </c>
    </row>
    <row r="6635" spans="8:8" x14ac:dyDescent="0.2">
      <c r="H6635">
        <v>0</v>
      </c>
    </row>
    <row r="6636" spans="8:8" x14ac:dyDescent="0.2">
      <c r="H6636">
        <v>0</v>
      </c>
    </row>
    <row r="6637" spans="8:8" x14ac:dyDescent="0.2">
      <c r="H6637">
        <v>0</v>
      </c>
    </row>
    <row r="6638" spans="8:8" x14ac:dyDescent="0.2">
      <c r="H6638">
        <v>0</v>
      </c>
    </row>
    <row r="6639" spans="8:8" x14ac:dyDescent="0.2">
      <c r="H6639">
        <v>0</v>
      </c>
    </row>
    <row r="6640" spans="8:8" x14ac:dyDescent="0.2">
      <c r="H6640">
        <v>0</v>
      </c>
    </row>
    <row r="6641" spans="8:8" x14ac:dyDescent="0.2">
      <c r="H6641">
        <v>0</v>
      </c>
    </row>
    <row r="6642" spans="8:8" x14ac:dyDescent="0.2">
      <c r="H6642">
        <v>0</v>
      </c>
    </row>
    <row r="6643" spans="8:8" x14ac:dyDescent="0.2">
      <c r="H6643">
        <v>0</v>
      </c>
    </row>
    <row r="6644" spans="8:8" x14ac:dyDescent="0.2">
      <c r="H6644">
        <v>0</v>
      </c>
    </row>
    <row r="6645" spans="8:8" x14ac:dyDescent="0.2">
      <c r="H6645">
        <v>0</v>
      </c>
    </row>
    <row r="6646" spans="8:8" x14ac:dyDescent="0.2">
      <c r="H6646">
        <v>0</v>
      </c>
    </row>
    <row r="6647" spans="8:8" x14ac:dyDescent="0.2">
      <c r="H6647">
        <v>0</v>
      </c>
    </row>
    <row r="6648" spans="8:8" x14ac:dyDescent="0.2">
      <c r="H6648">
        <v>0</v>
      </c>
    </row>
    <row r="6649" spans="8:8" x14ac:dyDescent="0.2">
      <c r="H6649">
        <v>0</v>
      </c>
    </row>
    <row r="6650" spans="8:8" x14ac:dyDescent="0.2">
      <c r="H6650">
        <v>0</v>
      </c>
    </row>
    <row r="6651" spans="8:8" x14ac:dyDescent="0.2">
      <c r="H6651">
        <v>0</v>
      </c>
    </row>
    <row r="6652" spans="8:8" x14ac:dyDescent="0.2">
      <c r="H6652">
        <v>0</v>
      </c>
    </row>
    <row r="6653" spans="8:8" x14ac:dyDescent="0.2">
      <c r="H6653">
        <v>0</v>
      </c>
    </row>
    <row r="6654" spans="8:8" x14ac:dyDescent="0.2">
      <c r="H6654">
        <v>0</v>
      </c>
    </row>
    <row r="6655" spans="8:8" x14ac:dyDescent="0.2">
      <c r="H6655">
        <v>0</v>
      </c>
    </row>
    <row r="6656" spans="8:8" x14ac:dyDescent="0.2">
      <c r="H6656">
        <v>0</v>
      </c>
    </row>
    <row r="6657" spans="8:8" x14ac:dyDescent="0.2">
      <c r="H6657">
        <v>0</v>
      </c>
    </row>
    <row r="6658" spans="8:8" x14ac:dyDescent="0.2">
      <c r="H6658">
        <v>0</v>
      </c>
    </row>
    <row r="6659" spans="8:8" x14ac:dyDescent="0.2">
      <c r="H6659">
        <v>0</v>
      </c>
    </row>
    <row r="6660" spans="8:8" x14ac:dyDescent="0.2">
      <c r="H6660">
        <v>0</v>
      </c>
    </row>
    <row r="6661" spans="8:8" x14ac:dyDescent="0.2">
      <c r="H6661">
        <v>0</v>
      </c>
    </row>
    <row r="6662" spans="8:8" x14ac:dyDescent="0.2">
      <c r="H6662">
        <v>0</v>
      </c>
    </row>
    <row r="6663" spans="8:8" x14ac:dyDescent="0.2">
      <c r="H6663">
        <v>0</v>
      </c>
    </row>
    <row r="6664" spans="8:8" x14ac:dyDescent="0.2">
      <c r="H6664">
        <v>0</v>
      </c>
    </row>
    <row r="6665" spans="8:8" x14ac:dyDescent="0.2">
      <c r="H6665">
        <v>0</v>
      </c>
    </row>
    <row r="6666" spans="8:8" x14ac:dyDescent="0.2">
      <c r="H6666">
        <v>0</v>
      </c>
    </row>
    <row r="6667" spans="8:8" x14ac:dyDescent="0.2">
      <c r="H6667">
        <v>0</v>
      </c>
    </row>
    <row r="6668" spans="8:8" x14ac:dyDescent="0.2">
      <c r="H6668">
        <v>0</v>
      </c>
    </row>
    <row r="6669" spans="8:8" x14ac:dyDescent="0.2">
      <c r="H6669">
        <v>0</v>
      </c>
    </row>
    <row r="6670" spans="8:8" x14ac:dyDescent="0.2">
      <c r="H6670">
        <v>0</v>
      </c>
    </row>
    <row r="6671" spans="8:8" x14ac:dyDescent="0.2">
      <c r="H6671">
        <v>0</v>
      </c>
    </row>
    <row r="6672" spans="8:8" x14ac:dyDescent="0.2">
      <c r="H6672">
        <v>0</v>
      </c>
    </row>
    <row r="6673" spans="8:8" x14ac:dyDescent="0.2">
      <c r="H6673">
        <v>0</v>
      </c>
    </row>
    <row r="6674" spans="8:8" x14ac:dyDescent="0.2">
      <c r="H6674">
        <v>0</v>
      </c>
    </row>
    <row r="6675" spans="8:8" x14ac:dyDescent="0.2">
      <c r="H6675">
        <v>0</v>
      </c>
    </row>
    <row r="6676" spans="8:8" x14ac:dyDescent="0.2">
      <c r="H6676">
        <v>0</v>
      </c>
    </row>
    <row r="6677" spans="8:8" x14ac:dyDescent="0.2">
      <c r="H6677">
        <v>0</v>
      </c>
    </row>
    <row r="6678" spans="8:8" x14ac:dyDescent="0.2">
      <c r="H6678">
        <v>0</v>
      </c>
    </row>
    <row r="6679" spans="8:8" x14ac:dyDescent="0.2">
      <c r="H6679">
        <v>0</v>
      </c>
    </row>
    <row r="6680" spans="8:8" x14ac:dyDescent="0.2">
      <c r="H6680">
        <v>0</v>
      </c>
    </row>
    <row r="6681" spans="8:8" x14ac:dyDescent="0.2">
      <c r="H6681">
        <v>0</v>
      </c>
    </row>
    <row r="6682" spans="8:8" x14ac:dyDescent="0.2">
      <c r="H6682">
        <v>0</v>
      </c>
    </row>
    <row r="6683" spans="8:8" x14ac:dyDescent="0.2">
      <c r="H6683">
        <v>0</v>
      </c>
    </row>
    <row r="6684" spans="8:8" x14ac:dyDescent="0.2">
      <c r="H6684">
        <v>0</v>
      </c>
    </row>
    <row r="6685" spans="8:8" x14ac:dyDescent="0.2">
      <c r="H6685">
        <v>0</v>
      </c>
    </row>
    <row r="6686" spans="8:8" x14ac:dyDescent="0.2">
      <c r="H6686">
        <v>0</v>
      </c>
    </row>
    <row r="6687" spans="8:8" x14ac:dyDescent="0.2">
      <c r="H6687">
        <v>0</v>
      </c>
    </row>
    <row r="6688" spans="8:8" x14ac:dyDescent="0.2">
      <c r="H6688">
        <v>0</v>
      </c>
    </row>
    <row r="6689" spans="8:8" x14ac:dyDescent="0.2">
      <c r="H6689">
        <v>0</v>
      </c>
    </row>
    <row r="6690" spans="8:8" x14ac:dyDescent="0.2">
      <c r="H6690">
        <v>0</v>
      </c>
    </row>
    <row r="6691" spans="8:8" x14ac:dyDescent="0.2">
      <c r="H6691">
        <v>0</v>
      </c>
    </row>
    <row r="6692" spans="8:8" x14ac:dyDescent="0.2">
      <c r="H6692">
        <v>0</v>
      </c>
    </row>
    <row r="6693" spans="8:8" x14ac:dyDescent="0.2">
      <c r="H6693">
        <v>0</v>
      </c>
    </row>
    <row r="6694" spans="8:8" x14ac:dyDescent="0.2">
      <c r="H6694">
        <v>0</v>
      </c>
    </row>
    <row r="6695" spans="8:8" x14ac:dyDescent="0.2">
      <c r="H6695">
        <v>0</v>
      </c>
    </row>
    <row r="6696" spans="8:8" x14ac:dyDescent="0.2">
      <c r="H6696">
        <v>0</v>
      </c>
    </row>
    <row r="6697" spans="8:8" x14ac:dyDescent="0.2">
      <c r="H6697">
        <v>0</v>
      </c>
    </row>
    <row r="6698" spans="8:8" x14ac:dyDescent="0.2">
      <c r="H6698">
        <v>0</v>
      </c>
    </row>
    <row r="6699" spans="8:8" x14ac:dyDescent="0.2">
      <c r="H6699">
        <v>0</v>
      </c>
    </row>
    <row r="6700" spans="8:8" x14ac:dyDescent="0.2">
      <c r="H6700">
        <v>0</v>
      </c>
    </row>
    <row r="6701" spans="8:8" x14ac:dyDescent="0.2">
      <c r="H6701">
        <v>0</v>
      </c>
    </row>
    <row r="6702" spans="8:8" x14ac:dyDescent="0.2">
      <c r="H6702">
        <v>0</v>
      </c>
    </row>
    <row r="6703" spans="8:8" x14ac:dyDescent="0.2">
      <c r="H6703">
        <v>0</v>
      </c>
    </row>
    <row r="6704" spans="8:8" x14ac:dyDescent="0.2">
      <c r="H6704">
        <v>0</v>
      </c>
    </row>
    <row r="6705" spans="8:8" x14ac:dyDescent="0.2">
      <c r="H6705">
        <v>0</v>
      </c>
    </row>
    <row r="6706" spans="8:8" x14ac:dyDescent="0.2">
      <c r="H6706">
        <v>0</v>
      </c>
    </row>
    <row r="6707" spans="8:8" x14ac:dyDescent="0.2">
      <c r="H6707">
        <v>0</v>
      </c>
    </row>
    <row r="6708" spans="8:8" x14ac:dyDescent="0.2">
      <c r="H6708">
        <v>0</v>
      </c>
    </row>
    <row r="6709" spans="8:8" x14ac:dyDescent="0.2">
      <c r="H6709">
        <v>0</v>
      </c>
    </row>
    <row r="6710" spans="8:8" x14ac:dyDescent="0.2">
      <c r="H6710">
        <v>0</v>
      </c>
    </row>
    <row r="6711" spans="8:8" x14ac:dyDescent="0.2">
      <c r="H6711">
        <v>0</v>
      </c>
    </row>
    <row r="6712" spans="8:8" x14ac:dyDescent="0.2">
      <c r="H6712">
        <v>0</v>
      </c>
    </row>
    <row r="6713" spans="8:8" x14ac:dyDescent="0.2">
      <c r="H6713">
        <v>0</v>
      </c>
    </row>
    <row r="6714" spans="8:8" x14ac:dyDescent="0.2">
      <c r="H6714">
        <v>0</v>
      </c>
    </row>
    <row r="6715" spans="8:8" x14ac:dyDescent="0.2">
      <c r="H6715">
        <v>0</v>
      </c>
    </row>
    <row r="6716" spans="8:8" x14ac:dyDescent="0.2">
      <c r="H6716">
        <v>0</v>
      </c>
    </row>
    <row r="6717" spans="8:8" x14ac:dyDescent="0.2">
      <c r="H6717">
        <v>0</v>
      </c>
    </row>
    <row r="6718" spans="8:8" x14ac:dyDescent="0.2">
      <c r="H6718">
        <v>0</v>
      </c>
    </row>
    <row r="6719" spans="8:8" x14ac:dyDescent="0.2">
      <c r="H6719">
        <v>0</v>
      </c>
    </row>
    <row r="6720" spans="8:8" x14ac:dyDescent="0.2">
      <c r="H6720">
        <v>0</v>
      </c>
    </row>
    <row r="6721" spans="8:8" x14ac:dyDescent="0.2">
      <c r="H6721">
        <v>0</v>
      </c>
    </row>
    <row r="6722" spans="8:8" x14ac:dyDescent="0.2">
      <c r="H6722">
        <v>0</v>
      </c>
    </row>
    <row r="6723" spans="8:8" x14ac:dyDescent="0.2">
      <c r="H6723">
        <v>0</v>
      </c>
    </row>
    <row r="6724" spans="8:8" x14ac:dyDescent="0.2">
      <c r="H6724">
        <v>0</v>
      </c>
    </row>
    <row r="6725" spans="8:8" x14ac:dyDescent="0.2">
      <c r="H6725">
        <v>0</v>
      </c>
    </row>
    <row r="6726" spans="8:8" x14ac:dyDescent="0.2">
      <c r="H6726">
        <v>0</v>
      </c>
    </row>
    <row r="6727" spans="8:8" x14ac:dyDescent="0.2">
      <c r="H6727">
        <v>0</v>
      </c>
    </row>
    <row r="6728" spans="8:8" x14ac:dyDescent="0.2">
      <c r="H6728">
        <v>0</v>
      </c>
    </row>
    <row r="6729" spans="8:8" x14ac:dyDescent="0.2">
      <c r="H6729">
        <v>0</v>
      </c>
    </row>
    <row r="6730" spans="8:8" x14ac:dyDescent="0.2">
      <c r="H6730">
        <v>0</v>
      </c>
    </row>
    <row r="6731" spans="8:8" x14ac:dyDescent="0.2">
      <c r="H6731">
        <v>0</v>
      </c>
    </row>
    <row r="6732" spans="8:8" x14ac:dyDescent="0.2">
      <c r="H6732">
        <v>0</v>
      </c>
    </row>
    <row r="6733" spans="8:8" x14ac:dyDescent="0.2">
      <c r="H6733">
        <v>0</v>
      </c>
    </row>
    <row r="6734" spans="8:8" x14ac:dyDescent="0.2">
      <c r="H6734">
        <v>0</v>
      </c>
    </row>
    <row r="6735" spans="8:8" x14ac:dyDescent="0.2">
      <c r="H6735">
        <v>0</v>
      </c>
    </row>
    <row r="6736" spans="8:8" x14ac:dyDescent="0.2">
      <c r="H6736">
        <v>0</v>
      </c>
    </row>
    <row r="6737" spans="8:8" x14ac:dyDescent="0.2">
      <c r="H6737">
        <v>0</v>
      </c>
    </row>
    <row r="6738" spans="8:8" x14ac:dyDescent="0.2">
      <c r="H6738">
        <v>0</v>
      </c>
    </row>
    <row r="6739" spans="8:8" x14ac:dyDescent="0.2">
      <c r="H6739">
        <v>0</v>
      </c>
    </row>
    <row r="6740" spans="8:8" x14ac:dyDescent="0.2">
      <c r="H6740">
        <v>0</v>
      </c>
    </row>
    <row r="6741" spans="8:8" x14ac:dyDescent="0.2">
      <c r="H6741">
        <v>0</v>
      </c>
    </row>
    <row r="6742" spans="8:8" x14ac:dyDescent="0.2">
      <c r="H6742">
        <v>0</v>
      </c>
    </row>
    <row r="6743" spans="8:8" x14ac:dyDescent="0.2">
      <c r="H6743">
        <v>0</v>
      </c>
    </row>
    <row r="6744" spans="8:8" x14ac:dyDescent="0.2">
      <c r="H6744">
        <v>0</v>
      </c>
    </row>
    <row r="6745" spans="8:8" x14ac:dyDescent="0.2">
      <c r="H6745">
        <v>0</v>
      </c>
    </row>
    <row r="6746" spans="8:8" x14ac:dyDescent="0.2">
      <c r="H6746">
        <v>0</v>
      </c>
    </row>
    <row r="6747" spans="8:8" x14ac:dyDescent="0.2">
      <c r="H6747">
        <v>0</v>
      </c>
    </row>
    <row r="6748" spans="8:8" x14ac:dyDescent="0.2">
      <c r="H6748">
        <v>0</v>
      </c>
    </row>
    <row r="6749" spans="8:8" x14ac:dyDescent="0.2">
      <c r="H6749">
        <v>0</v>
      </c>
    </row>
    <row r="6750" spans="8:8" x14ac:dyDescent="0.2">
      <c r="H6750">
        <v>0</v>
      </c>
    </row>
    <row r="6751" spans="8:8" x14ac:dyDescent="0.2">
      <c r="H6751">
        <v>0</v>
      </c>
    </row>
    <row r="6752" spans="8:8" x14ac:dyDescent="0.2">
      <c r="H6752">
        <v>0</v>
      </c>
    </row>
    <row r="6753" spans="8:8" x14ac:dyDescent="0.2">
      <c r="H6753">
        <v>0</v>
      </c>
    </row>
    <row r="6754" spans="8:8" x14ac:dyDescent="0.2">
      <c r="H6754">
        <v>0</v>
      </c>
    </row>
    <row r="6755" spans="8:8" x14ac:dyDescent="0.2">
      <c r="H6755">
        <v>0</v>
      </c>
    </row>
    <row r="6756" spans="8:8" x14ac:dyDescent="0.2">
      <c r="H6756">
        <v>0</v>
      </c>
    </row>
    <row r="6757" spans="8:8" x14ac:dyDescent="0.2">
      <c r="H6757">
        <v>0</v>
      </c>
    </row>
    <row r="6758" spans="8:8" x14ac:dyDescent="0.2">
      <c r="H6758">
        <v>0</v>
      </c>
    </row>
    <row r="6759" spans="8:8" x14ac:dyDescent="0.2">
      <c r="H6759">
        <v>0</v>
      </c>
    </row>
    <row r="6760" spans="8:8" x14ac:dyDescent="0.2">
      <c r="H6760">
        <v>0</v>
      </c>
    </row>
    <row r="6761" spans="8:8" x14ac:dyDescent="0.2">
      <c r="H6761">
        <v>0</v>
      </c>
    </row>
    <row r="6762" spans="8:8" x14ac:dyDescent="0.2">
      <c r="H6762">
        <v>0</v>
      </c>
    </row>
    <row r="6763" spans="8:8" x14ac:dyDescent="0.2">
      <c r="H6763">
        <v>0</v>
      </c>
    </row>
    <row r="6764" spans="8:8" x14ac:dyDescent="0.2">
      <c r="H6764">
        <v>0</v>
      </c>
    </row>
    <row r="6765" spans="8:8" x14ac:dyDescent="0.2">
      <c r="H6765">
        <v>0</v>
      </c>
    </row>
    <row r="6766" spans="8:8" x14ac:dyDescent="0.2">
      <c r="H6766">
        <v>0</v>
      </c>
    </row>
    <row r="6767" spans="8:8" x14ac:dyDescent="0.2">
      <c r="H6767">
        <v>0</v>
      </c>
    </row>
    <row r="6768" spans="8:8" x14ac:dyDescent="0.2">
      <c r="H6768">
        <v>0</v>
      </c>
    </row>
    <row r="6769" spans="8:8" x14ac:dyDescent="0.2">
      <c r="H6769">
        <v>0</v>
      </c>
    </row>
    <row r="6770" spans="8:8" x14ac:dyDescent="0.2">
      <c r="H6770">
        <v>0</v>
      </c>
    </row>
    <row r="6771" spans="8:8" x14ac:dyDescent="0.2">
      <c r="H6771">
        <v>0</v>
      </c>
    </row>
    <row r="6772" spans="8:8" x14ac:dyDescent="0.2">
      <c r="H6772">
        <v>0</v>
      </c>
    </row>
    <row r="6773" spans="8:8" x14ac:dyDescent="0.2">
      <c r="H6773">
        <v>0</v>
      </c>
    </row>
    <row r="6774" spans="8:8" x14ac:dyDescent="0.2">
      <c r="H6774">
        <v>0</v>
      </c>
    </row>
    <row r="6775" spans="8:8" x14ac:dyDescent="0.2">
      <c r="H6775">
        <v>0</v>
      </c>
    </row>
    <row r="6776" spans="8:8" x14ac:dyDescent="0.2">
      <c r="H6776">
        <v>0</v>
      </c>
    </row>
    <row r="6777" spans="8:8" x14ac:dyDescent="0.2">
      <c r="H6777">
        <v>0</v>
      </c>
    </row>
    <row r="6778" spans="8:8" x14ac:dyDescent="0.2">
      <c r="H6778">
        <v>0</v>
      </c>
    </row>
    <row r="6779" spans="8:8" x14ac:dyDescent="0.2">
      <c r="H6779">
        <v>0</v>
      </c>
    </row>
    <row r="6780" spans="8:8" x14ac:dyDescent="0.2">
      <c r="H6780">
        <v>0</v>
      </c>
    </row>
    <row r="6781" spans="8:8" x14ac:dyDescent="0.2">
      <c r="H6781">
        <v>0</v>
      </c>
    </row>
    <row r="6782" spans="8:8" x14ac:dyDescent="0.2">
      <c r="H6782">
        <v>0</v>
      </c>
    </row>
    <row r="6783" spans="8:8" x14ac:dyDescent="0.2">
      <c r="H6783">
        <v>0</v>
      </c>
    </row>
    <row r="6784" spans="8:8" x14ac:dyDescent="0.2">
      <c r="H6784">
        <v>0</v>
      </c>
    </row>
    <row r="6785" spans="8:8" x14ac:dyDescent="0.2">
      <c r="H6785">
        <v>0</v>
      </c>
    </row>
    <row r="6786" spans="8:8" x14ac:dyDescent="0.2">
      <c r="H6786">
        <v>0</v>
      </c>
    </row>
    <row r="6787" spans="8:8" x14ac:dyDescent="0.2">
      <c r="H6787">
        <v>0</v>
      </c>
    </row>
    <row r="6788" spans="8:8" x14ac:dyDescent="0.2">
      <c r="H6788">
        <v>0</v>
      </c>
    </row>
    <row r="6789" spans="8:8" x14ac:dyDescent="0.2">
      <c r="H6789">
        <v>0</v>
      </c>
    </row>
    <row r="6790" spans="8:8" x14ac:dyDescent="0.2">
      <c r="H6790">
        <v>0</v>
      </c>
    </row>
    <row r="6791" spans="8:8" x14ac:dyDescent="0.2">
      <c r="H6791">
        <v>0</v>
      </c>
    </row>
    <row r="6792" spans="8:8" x14ac:dyDescent="0.2">
      <c r="H6792">
        <v>0</v>
      </c>
    </row>
    <row r="6793" spans="8:8" x14ac:dyDescent="0.2">
      <c r="H6793">
        <v>0</v>
      </c>
    </row>
    <row r="6794" spans="8:8" x14ac:dyDescent="0.2">
      <c r="H6794">
        <v>0</v>
      </c>
    </row>
    <row r="6795" spans="8:8" x14ac:dyDescent="0.2">
      <c r="H6795">
        <v>0</v>
      </c>
    </row>
    <row r="6796" spans="8:8" x14ac:dyDescent="0.2">
      <c r="H6796">
        <v>0</v>
      </c>
    </row>
    <row r="6797" spans="8:8" x14ac:dyDescent="0.2">
      <c r="H6797">
        <v>0</v>
      </c>
    </row>
    <row r="6798" spans="8:8" x14ac:dyDescent="0.2">
      <c r="H6798">
        <v>0</v>
      </c>
    </row>
    <row r="6799" spans="8:8" x14ac:dyDescent="0.2">
      <c r="H6799">
        <v>0</v>
      </c>
    </row>
    <row r="6800" spans="8:8" x14ac:dyDescent="0.2">
      <c r="H6800">
        <v>0</v>
      </c>
    </row>
    <row r="6801" spans="8:8" x14ac:dyDescent="0.2">
      <c r="H6801">
        <v>0</v>
      </c>
    </row>
    <row r="6802" spans="8:8" x14ac:dyDescent="0.2">
      <c r="H6802">
        <v>0</v>
      </c>
    </row>
    <row r="6803" spans="8:8" x14ac:dyDescent="0.2">
      <c r="H6803">
        <v>0</v>
      </c>
    </row>
    <row r="6804" spans="8:8" x14ac:dyDescent="0.2">
      <c r="H6804">
        <v>0</v>
      </c>
    </row>
    <row r="6805" spans="8:8" x14ac:dyDescent="0.2">
      <c r="H6805">
        <v>0</v>
      </c>
    </row>
    <row r="6806" spans="8:8" x14ac:dyDescent="0.2">
      <c r="H6806">
        <v>0</v>
      </c>
    </row>
    <row r="6807" spans="8:8" x14ac:dyDescent="0.2">
      <c r="H6807">
        <v>0</v>
      </c>
    </row>
    <row r="6808" spans="8:8" x14ac:dyDescent="0.2">
      <c r="H6808">
        <v>0</v>
      </c>
    </row>
    <row r="6809" spans="8:8" x14ac:dyDescent="0.2">
      <c r="H6809">
        <v>0</v>
      </c>
    </row>
    <row r="6810" spans="8:8" x14ac:dyDescent="0.2">
      <c r="H6810">
        <v>0</v>
      </c>
    </row>
    <row r="6811" spans="8:8" x14ac:dyDescent="0.2">
      <c r="H6811">
        <v>0</v>
      </c>
    </row>
    <row r="6812" spans="8:8" x14ac:dyDescent="0.2">
      <c r="H6812">
        <v>0</v>
      </c>
    </row>
    <row r="6813" spans="8:8" x14ac:dyDescent="0.2">
      <c r="H6813">
        <v>0</v>
      </c>
    </row>
    <row r="6814" spans="8:8" x14ac:dyDescent="0.2">
      <c r="H6814">
        <v>0</v>
      </c>
    </row>
    <row r="6815" spans="8:8" x14ac:dyDescent="0.2">
      <c r="H6815">
        <v>0</v>
      </c>
    </row>
    <row r="6816" spans="8:8" x14ac:dyDescent="0.2">
      <c r="H6816">
        <v>0</v>
      </c>
    </row>
    <row r="6817" spans="8:8" x14ac:dyDescent="0.2">
      <c r="H6817">
        <v>0</v>
      </c>
    </row>
    <row r="6818" spans="8:8" x14ac:dyDescent="0.2">
      <c r="H6818">
        <v>0</v>
      </c>
    </row>
    <row r="6819" spans="8:8" x14ac:dyDescent="0.2">
      <c r="H6819">
        <v>0</v>
      </c>
    </row>
    <row r="6820" spans="8:8" x14ac:dyDescent="0.2">
      <c r="H6820">
        <v>0</v>
      </c>
    </row>
    <row r="6821" spans="8:8" x14ac:dyDescent="0.2">
      <c r="H6821">
        <v>0</v>
      </c>
    </row>
    <row r="6822" spans="8:8" x14ac:dyDescent="0.2">
      <c r="H6822">
        <v>0</v>
      </c>
    </row>
    <row r="6823" spans="8:8" x14ac:dyDescent="0.2">
      <c r="H6823">
        <v>0</v>
      </c>
    </row>
    <row r="6824" spans="8:8" x14ac:dyDescent="0.2">
      <c r="H6824">
        <v>0</v>
      </c>
    </row>
    <row r="6825" spans="8:8" x14ac:dyDescent="0.2">
      <c r="H6825">
        <v>0</v>
      </c>
    </row>
    <row r="6826" spans="8:8" x14ac:dyDescent="0.2">
      <c r="H6826">
        <v>0</v>
      </c>
    </row>
    <row r="6827" spans="8:8" x14ac:dyDescent="0.2">
      <c r="H6827">
        <v>0</v>
      </c>
    </row>
    <row r="6828" spans="8:8" x14ac:dyDescent="0.2">
      <c r="H6828">
        <v>0</v>
      </c>
    </row>
    <row r="6829" spans="8:8" x14ac:dyDescent="0.2">
      <c r="H6829">
        <v>0</v>
      </c>
    </row>
    <row r="6830" spans="8:8" x14ac:dyDescent="0.2">
      <c r="H6830">
        <v>0</v>
      </c>
    </row>
    <row r="6831" spans="8:8" x14ac:dyDescent="0.2">
      <c r="H6831">
        <v>0</v>
      </c>
    </row>
    <row r="6832" spans="8:8" x14ac:dyDescent="0.2">
      <c r="H6832">
        <v>0</v>
      </c>
    </row>
    <row r="6833" spans="8:8" x14ac:dyDescent="0.2">
      <c r="H6833">
        <v>0</v>
      </c>
    </row>
    <row r="6834" spans="8:8" x14ac:dyDescent="0.2">
      <c r="H6834">
        <v>0</v>
      </c>
    </row>
    <row r="6835" spans="8:8" x14ac:dyDescent="0.2">
      <c r="H6835">
        <v>0</v>
      </c>
    </row>
    <row r="6836" spans="8:8" x14ac:dyDescent="0.2">
      <c r="H6836">
        <v>0</v>
      </c>
    </row>
    <row r="6837" spans="8:8" x14ac:dyDescent="0.2">
      <c r="H6837">
        <v>0</v>
      </c>
    </row>
    <row r="6838" spans="8:8" x14ac:dyDescent="0.2">
      <c r="H6838">
        <v>0</v>
      </c>
    </row>
    <row r="6839" spans="8:8" x14ac:dyDescent="0.2">
      <c r="H6839">
        <v>0</v>
      </c>
    </row>
    <row r="6840" spans="8:8" x14ac:dyDescent="0.2">
      <c r="H6840">
        <v>0</v>
      </c>
    </row>
    <row r="6841" spans="8:8" x14ac:dyDescent="0.2">
      <c r="H6841">
        <v>0</v>
      </c>
    </row>
    <row r="6842" spans="8:8" x14ac:dyDescent="0.2">
      <c r="H6842">
        <v>0</v>
      </c>
    </row>
    <row r="6843" spans="8:8" x14ac:dyDescent="0.2">
      <c r="H6843">
        <v>0</v>
      </c>
    </row>
    <row r="6844" spans="8:8" x14ac:dyDescent="0.2">
      <c r="H6844">
        <v>0</v>
      </c>
    </row>
    <row r="6845" spans="8:8" x14ac:dyDescent="0.2">
      <c r="H6845">
        <v>0</v>
      </c>
    </row>
    <row r="6846" spans="8:8" x14ac:dyDescent="0.2">
      <c r="H6846">
        <v>0</v>
      </c>
    </row>
    <row r="6847" spans="8:8" x14ac:dyDescent="0.2">
      <c r="H6847">
        <v>0</v>
      </c>
    </row>
    <row r="6848" spans="8:8" x14ac:dyDescent="0.2">
      <c r="H6848">
        <v>0</v>
      </c>
    </row>
    <row r="6849" spans="8:8" x14ac:dyDescent="0.2">
      <c r="H6849">
        <v>0</v>
      </c>
    </row>
    <row r="6850" spans="8:8" x14ac:dyDescent="0.2">
      <c r="H6850">
        <v>0</v>
      </c>
    </row>
    <row r="6851" spans="8:8" x14ac:dyDescent="0.2">
      <c r="H6851">
        <v>0</v>
      </c>
    </row>
    <row r="6852" spans="8:8" x14ac:dyDescent="0.2">
      <c r="H6852">
        <v>0</v>
      </c>
    </row>
    <row r="6853" spans="8:8" x14ac:dyDescent="0.2">
      <c r="H6853">
        <v>0</v>
      </c>
    </row>
    <row r="6854" spans="8:8" x14ac:dyDescent="0.2">
      <c r="H6854">
        <v>0</v>
      </c>
    </row>
    <row r="6855" spans="8:8" x14ac:dyDescent="0.2">
      <c r="H6855">
        <v>0</v>
      </c>
    </row>
    <row r="6856" spans="8:8" x14ac:dyDescent="0.2">
      <c r="H6856">
        <v>0</v>
      </c>
    </row>
    <row r="6857" spans="8:8" x14ac:dyDescent="0.2">
      <c r="H6857">
        <v>0</v>
      </c>
    </row>
    <row r="6858" spans="8:8" x14ac:dyDescent="0.2">
      <c r="H6858">
        <v>0</v>
      </c>
    </row>
    <row r="6859" spans="8:8" x14ac:dyDescent="0.2">
      <c r="H6859">
        <v>0</v>
      </c>
    </row>
    <row r="6860" spans="8:8" x14ac:dyDescent="0.2">
      <c r="H6860">
        <v>0</v>
      </c>
    </row>
    <row r="6861" spans="8:8" x14ac:dyDescent="0.2">
      <c r="H6861">
        <v>0</v>
      </c>
    </row>
    <row r="6862" spans="8:8" x14ac:dyDescent="0.2">
      <c r="H6862">
        <v>0</v>
      </c>
    </row>
    <row r="6863" spans="8:8" x14ac:dyDescent="0.2">
      <c r="H6863">
        <v>0</v>
      </c>
    </row>
    <row r="6864" spans="8:8" x14ac:dyDescent="0.2">
      <c r="H6864">
        <v>0</v>
      </c>
    </row>
    <row r="6865" spans="8:8" x14ac:dyDescent="0.2">
      <c r="H6865">
        <v>0</v>
      </c>
    </row>
    <row r="6866" spans="8:8" x14ac:dyDescent="0.2">
      <c r="H6866">
        <v>0</v>
      </c>
    </row>
    <row r="6867" spans="8:8" x14ac:dyDescent="0.2">
      <c r="H6867">
        <v>0</v>
      </c>
    </row>
    <row r="6868" spans="8:8" x14ac:dyDescent="0.2">
      <c r="H6868">
        <v>0</v>
      </c>
    </row>
    <row r="6869" spans="8:8" x14ac:dyDescent="0.2">
      <c r="H6869">
        <v>0</v>
      </c>
    </row>
    <row r="6870" spans="8:8" x14ac:dyDescent="0.2">
      <c r="H6870">
        <v>0</v>
      </c>
    </row>
    <row r="6871" spans="8:8" x14ac:dyDescent="0.2">
      <c r="H6871">
        <v>0</v>
      </c>
    </row>
    <row r="6872" spans="8:8" x14ac:dyDescent="0.2">
      <c r="H6872">
        <v>0</v>
      </c>
    </row>
    <row r="6873" spans="8:8" x14ac:dyDescent="0.2">
      <c r="H6873">
        <v>0</v>
      </c>
    </row>
    <row r="6874" spans="8:8" x14ac:dyDescent="0.2">
      <c r="H6874">
        <v>0</v>
      </c>
    </row>
    <row r="6875" spans="8:8" x14ac:dyDescent="0.2">
      <c r="H6875">
        <v>0</v>
      </c>
    </row>
    <row r="6876" spans="8:8" x14ac:dyDescent="0.2">
      <c r="H6876">
        <v>0</v>
      </c>
    </row>
    <row r="6877" spans="8:8" x14ac:dyDescent="0.2">
      <c r="H6877">
        <v>0</v>
      </c>
    </row>
    <row r="6878" spans="8:8" x14ac:dyDescent="0.2">
      <c r="H6878">
        <v>0</v>
      </c>
    </row>
    <row r="6879" spans="8:8" x14ac:dyDescent="0.2">
      <c r="H6879">
        <v>0</v>
      </c>
    </row>
    <row r="6880" spans="8:8" x14ac:dyDescent="0.2">
      <c r="H6880">
        <v>0</v>
      </c>
    </row>
    <row r="6881" spans="8:8" x14ac:dyDescent="0.2">
      <c r="H6881">
        <v>0</v>
      </c>
    </row>
    <row r="6882" spans="8:8" x14ac:dyDescent="0.2">
      <c r="H6882">
        <v>0</v>
      </c>
    </row>
    <row r="6883" spans="8:8" x14ac:dyDescent="0.2">
      <c r="H6883">
        <v>0</v>
      </c>
    </row>
    <row r="6884" spans="8:8" x14ac:dyDescent="0.2">
      <c r="H6884">
        <v>0</v>
      </c>
    </row>
    <row r="6885" spans="8:8" x14ac:dyDescent="0.2">
      <c r="H6885">
        <v>0</v>
      </c>
    </row>
    <row r="6886" spans="8:8" x14ac:dyDescent="0.2">
      <c r="H6886">
        <v>0</v>
      </c>
    </row>
    <row r="6887" spans="8:8" x14ac:dyDescent="0.2">
      <c r="H6887">
        <v>0</v>
      </c>
    </row>
    <row r="6888" spans="8:8" x14ac:dyDescent="0.2">
      <c r="H6888">
        <v>0</v>
      </c>
    </row>
    <row r="6889" spans="8:8" x14ac:dyDescent="0.2">
      <c r="H6889">
        <v>0</v>
      </c>
    </row>
    <row r="6890" spans="8:8" x14ac:dyDescent="0.2">
      <c r="H6890">
        <v>0</v>
      </c>
    </row>
    <row r="6891" spans="8:8" x14ac:dyDescent="0.2">
      <c r="H6891">
        <v>0</v>
      </c>
    </row>
    <row r="6892" spans="8:8" x14ac:dyDescent="0.2">
      <c r="H6892">
        <v>0</v>
      </c>
    </row>
    <row r="6893" spans="8:8" x14ac:dyDescent="0.2">
      <c r="H6893">
        <v>0</v>
      </c>
    </row>
    <row r="6894" spans="8:8" x14ac:dyDescent="0.2">
      <c r="H6894">
        <v>0</v>
      </c>
    </row>
    <row r="6895" spans="8:8" x14ac:dyDescent="0.2">
      <c r="H6895">
        <v>0</v>
      </c>
    </row>
    <row r="6896" spans="8:8" x14ac:dyDescent="0.2">
      <c r="H6896">
        <v>0</v>
      </c>
    </row>
    <row r="6897" spans="8:8" x14ac:dyDescent="0.2">
      <c r="H6897">
        <v>0</v>
      </c>
    </row>
    <row r="6898" spans="8:8" x14ac:dyDescent="0.2">
      <c r="H6898">
        <v>0</v>
      </c>
    </row>
    <row r="6899" spans="8:8" x14ac:dyDescent="0.2">
      <c r="H6899">
        <v>0</v>
      </c>
    </row>
    <row r="6900" spans="8:8" x14ac:dyDescent="0.2">
      <c r="H6900">
        <v>0</v>
      </c>
    </row>
    <row r="6901" spans="8:8" x14ac:dyDescent="0.2">
      <c r="H6901">
        <v>0</v>
      </c>
    </row>
    <row r="6902" spans="8:8" x14ac:dyDescent="0.2">
      <c r="H6902">
        <v>0</v>
      </c>
    </row>
    <row r="6903" spans="8:8" x14ac:dyDescent="0.2">
      <c r="H6903">
        <v>0</v>
      </c>
    </row>
    <row r="6904" spans="8:8" x14ac:dyDescent="0.2">
      <c r="H6904">
        <v>0</v>
      </c>
    </row>
    <row r="6905" spans="8:8" x14ac:dyDescent="0.2">
      <c r="H6905">
        <v>0</v>
      </c>
    </row>
    <row r="6906" spans="8:8" x14ac:dyDescent="0.2">
      <c r="H6906">
        <v>0</v>
      </c>
    </row>
    <row r="6907" spans="8:8" x14ac:dyDescent="0.2">
      <c r="H6907">
        <v>0</v>
      </c>
    </row>
    <row r="6908" spans="8:8" x14ac:dyDescent="0.2">
      <c r="H6908">
        <v>0</v>
      </c>
    </row>
    <row r="6909" spans="8:8" x14ac:dyDescent="0.2">
      <c r="H6909">
        <v>0</v>
      </c>
    </row>
    <row r="6910" spans="8:8" x14ac:dyDescent="0.2">
      <c r="H6910">
        <v>0</v>
      </c>
    </row>
    <row r="6911" spans="8:8" x14ac:dyDescent="0.2">
      <c r="H6911">
        <v>0</v>
      </c>
    </row>
    <row r="6912" spans="8:8" x14ac:dyDescent="0.2">
      <c r="H6912">
        <v>0</v>
      </c>
    </row>
    <row r="6913" spans="8:8" x14ac:dyDescent="0.2">
      <c r="H6913">
        <v>0</v>
      </c>
    </row>
    <row r="6914" spans="8:8" x14ac:dyDescent="0.2">
      <c r="H6914">
        <v>0</v>
      </c>
    </row>
    <row r="6915" spans="8:8" x14ac:dyDescent="0.2">
      <c r="H6915">
        <v>0</v>
      </c>
    </row>
    <row r="6916" spans="8:8" x14ac:dyDescent="0.2">
      <c r="H6916">
        <v>0</v>
      </c>
    </row>
    <row r="6917" spans="8:8" x14ac:dyDescent="0.2">
      <c r="H6917">
        <v>0</v>
      </c>
    </row>
    <row r="6918" spans="8:8" x14ac:dyDescent="0.2">
      <c r="H6918">
        <v>0</v>
      </c>
    </row>
    <row r="6919" spans="8:8" x14ac:dyDescent="0.2">
      <c r="H6919">
        <v>0</v>
      </c>
    </row>
    <row r="6920" spans="8:8" x14ac:dyDescent="0.2">
      <c r="H6920">
        <v>0</v>
      </c>
    </row>
    <row r="6921" spans="8:8" x14ac:dyDescent="0.2">
      <c r="H6921">
        <v>0</v>
      </c>
    </row>
    <row r="6922" spans="8:8" x14ac:dyDescent="0.2">
      <c r="H6922">
        <v>0</v>
      </c>
    </row>
    <row r="6923" spans="8:8" x14ac:dyDescent="0.2">
      <c r="H6923">
        <v>0</v>
      </c>
    </row>
    <row r="6924" spans="8:8" x14ac:dyDescent="0.2">
      <c r="H6924">
        <v>0</v>
      </c>
    </row>
    <row r="6925" spans="8:8" x14ac:dyDescent="0.2">
      <c r="H6925">
        <v>0</v>
      </c>
    </row>
    <row r="6926" spans="8:8" x14ac:dyDescent="0.2">
      <c r="H6926">
        <v>0</v>
      </c>
    </row>
    <row r="6927" spans="8:8" x14ac:dyDescent="0.2">
      <c r="H6927">
        <v>0</v>
      </c>
    </row>
    <row r="6928" spans="8:8" x14ac:dyDescent="0.2">
      <c r="H6928">
        <v>0</v>
      </c>
    </row>
    <row r="6929" spans="8:8" x14ac:dyDescent="0.2">
      <c r="H6929">
        <v>0</v>
      </c>
    </row>
    <row r="6930" spans="8:8" x14ac:dyDescent="0.2">
      <c r="H6930">
        <v>0</v>
      </c>
    </row>
    <row r="6931" spans="8:8" x14ac:dyDescent="0.2">
      <c r="H6931">
        <v>0</v>
      </c>
    </row>
    <row r="6932" spans="8:8" x14ac:dyDescent="0.2">
      <c r="H6932">
        <v>0</v>
      </c>
    </row>
    <row r="6933" spans="8:8" x14ac:dyDescent="0.2">
      <c r="H6933">
        <v>0</v>
      </c>
    </row>
    <row r="6934" spans="8:8" x14ac:dyDescent="0.2">
      <c r="H6934">
        <v>0</v>
      </c>
    </row>
    <row r="6935" spans="8:8" x14ac:dyDescent="0.2">
      <c r="H6935">
        <v>0</v>
      </c>
    </row>
    <row r="6936" spans="8:8" x14ac:dyDescent="0.2">
      <c r="H6936">
        <v>0</v>
      </c>
    </row>
    <row r="6937" spans="8:8" x14ac:dyDescent="0.2">
      <c r="H6937">
        <v>0</v>
      </c>
    </row>
    <row r="6938" spans="8:8" x14ac:dyDescent="0.2">
      <c r="H6938">
        <v>0</v>
      </c>
    </row>
    <row r="6939" spans="8:8" x14ac:dyDescent="0.2">
      <c r="H6939">
        <v>0</v>
      </c>
    </row>
    <row r="6940" spans="8:8" x14ac:dyDescent="0.2">
      <c r="H6940">
        <v>0</v>
      </c>
    </row>
    <row r="6941" spans="8:8" x14ac:dyDescent="0.2">
      <c r="H6941">
        <v>0</v>
      </c>
    </row>
    <row r="6942" spans="8:8" x14ac:dyDescent="0.2">
      <c r="H6942">
        <v>0</v>
      </c>
    </row>
    <row r="6943" spans="8:8" x14ac:dyDescent="0.2">
      <c r="H6943">
        <v>0</v>
      </c>
    </row>
    <row r="6944" spans="8:8" x14ac:dyDescent="0.2">
      <c r="H6944">
        <v>0</v>
      </c>
    </row>
    <row r="6945" spans="8:8" x14ac:dyDescent="0.2">
      <c r="H6945">
        <v>0</v>
      </c>
    </row>
    <row r="6946" spans="8:8" x14ac:dyDescent="0.2">
      <c r="H6946">
        <v>0</v>
      </c>
    </row>
    <row r="6947" spans="8:8" x14ac:dyDescent="0.2">
      <c r="H6947">
        <v>0</v>
      </c>
    </row>
    <row r="6948" spans="8:8" x14ac:dyDescent="0.2">
      <c r="H6948">
        <v>0</v>
      </c>
    </row>
    <row r="6949" spans="8:8" x14ac:dyDescent="0.2">
      <c r="H6949">
        <v>0</v>
      </c>
    </row>
    <row r="6950" spans="8:8" x14ac:dyDescent="0.2">
      <c r="H6950">
        <v>0</v>
      </c>
    </row>
    <row r="6951" spans="8:8" x14ac:dyDescent="0.2">
      <c r="H6951">
        <v>0</v>
      </c>
    </row>
    <row r="6952" spans="8:8" x14ac:dyDescent="0.2">
      <c r="H6952">
        <v>0</v>
      </c>
    </row>
    <row r="6953" spans="8:8" x14ac:dyDescent="0.2">
      <c r="H6953">
        <v>0</v>
      </c>
    </row>
    <row r="6954" spans="8:8" x14ac:dyDescent="0.2">
      <c r="H6954">
        <v>0</v>
      </c>
    </row>
    <row r="6955" spans="8:8" x14ac:dyDescent="0.2">
      <c r="H6955">
        <v>0</v>
      </c>
    </row>
    <row r="6956" spans="8:8" x14ac:dyDescent="0.2">
      <c r="H6956">
        <v>0</v>
      </c>
    </row>
    <row r="6957" spans="8:8" x14ac:dyDescent="0.2">
      <c r="H6957">
        <v>0</v>
      </c>
    </row>
    <row r="6958" spans="8:8" x14ac:dyDescent="0.2">
      <c r="H6958">
        <v>0</v>
      </c>
    </row>
    <row r="6959" spans="8:8" x14ac:dyDescent="0.2">
      <c r="H6959">
        <v>0</v>
      </c>
    </row>
    <row r="6960" spans="8:8" x14ac:dyDescent="0.2">
      <c r="H6960">
        <v>0</v>
      </c>
    </row>
    <row r="6961" spans="8:8" x14ac:dyDescent="0.2">
      <c r="H6961">
        <v>0</v>
      </c>
    </row>
    <row r="6962" spans="8:8" x14ac:dyDescent="0.2">
      <c r="H6962">
        <v>0</v>
      </c>
    </row>
    <row r="6963" spans="8:8" x14ac:dyDescent="0.2">
      <c r="H6963">
        <v>0</v>
      </c>
    </row>
    <row r="6964" spans="8:8" x14ac:dyDescent="0.2">
      <c r="H6964">
        <v>0</v>
      </c>
    </row>
    <row r="6965" spans="8:8" x14ac:dyDescent="0.2">
      <c r="H6965">
        <v>0</v>
      </c>
    </row>
    <row r="6966" spans="8:8" x14ac:dyDescent="0.2">
      <c r="H6966">
        <v>0</v>
      </c>
    </row>
    <row r="6967" spans="8:8" x14ac:dyDescent="0.2">
      <c r="H6967">
        <v>0</v>
      </c>
    </row>
    <row r="6968" spans="8:8" x14ac:dyDescent="0.2">
      <c r="H6968">
        <v>0</v>
      </c>
    </row>
    <row r="6969" spans="8:8" x14ac:dyDescent="0.2">
      <c r="H6969">
        <v>0</v>
      </c>
    </row>
    <row r="6970" spans="8:8" x14ac:dyDescent="0.2">
      <c r="H6970">
        <v>0</v>
      </c>
    </row>
    <row r="6971" spans="8:8" x14ac:dyDescent="0.2">
      <c r="H6971">
        <v>0</v>
      </c>
    </row>
    <row r="6972" spans="8:8" x14ac:dyDescent="0.2">
      <c r="H6972">
        <v>0</v>
      </c>
    </row>
    <row r="6973" spans="8:8" x14ac:dyDescent="0.2">
      <c r="H6973">
        <v>0</v>
      </c>
    </row>
    <row r="6974" spans="8:8" x14ac:dyDescent="0.2">
      <c r="H6974">
        <v>0</v>
      </c>
    </row>
    <row r="6975" spans="8:8" x14ac:dyDescent="0.2">
      <c r="H6975">
        <v>0</v>
      </c>
    </row>
    <row r="6976" spans="8:8" x14ac:dyDescent="0.2">
      <c r="H6976">
        <v>0</v>
      </c>
    </row>
    <row r="6977" spans="8:8" x14ac:dyDescent="0.2">
      <c r="H6977">
        <v>0</v>
      </c>
    </row>
    <row r="6978" spans="8:8" x14ac:dyDescent="0.2">
      <c r="H6978">
        <v>0</v>
      </c>
    </row>
    <row r="6979" spans="8:8" x14ac:dyDescent="0.2">
      <c r="H6979">
        <v>0</v>
      </c>
    </row>
    <row r="6980" spans="8:8" x14ac:dyDescent="0.2">
      <c r="H6980">
        <v>0</v>
      </c>
    </row>
    <row r="6981" spans="8:8" x14ac:dyDescent="0.2">
      <c r="H6981">
        <v>0</v>
      </c>
    </row>
    <row r="6982" spans="8:8" x14ac:dyDescent="0.2">
      <c r="H6982">
        <v>0</v>
      </c>
    </row>
    <row r="6983" spans="8:8" x14ac:dyDescent="0.2">
      <c r="H6983">
        <v>0</v>
      </c>
    </row>
    <row r="6984" spans="8:8" x14ac:dyDescent="0.2">
      <c r="H6984">
        <v>0</v>
      </c>
    </row>
    <row r="6985" spans="8:8" x14ac:dyDescent="0.2">
      <c r="H6985">
        <v>0</v>
      </c>
    </row>
    <row r="6986" spans="8:8" x14ac:dyDescent="0.2">
      <c r="H6986">
        <v>0</v>
      </c>
    </row>
    <row r="6987" spans="8:8" x14ac:dyDescent="0.2">
      <c r="H6987">
        <v>0</v>
      </c>
    </row>
    <row r="6988" spans="8:8" x14ac:dyDescent="0.2">
      <c r="H6988">
        <v>0</v>
      </c>
    </row>
    <row r="6989" spans="8:8" x14ac:dyDescent="0.2">
      <c r="H6989">
        <v>0</v>
      </c>
    </row>
    <row r="6990" spans="8:8" x14ac:dyDescent="0.2">
      <c r="H6990">
        <v>0</v>
      </c>
    </row>
    <row r="6991" spans="8:8" x14ac:dyDescent="0.2">
      <c r="H6991">
        <v>0</v>
      </c>
    </row>
    <row r="6992" spans="8:8" x14ac:dyDescent="0.2">
      <c r="H6992">
        <v>0</v>
      </c>
    </row>
    <row r="6993" spans="8:8" x14ac:dyDescent="0.2">
      <c r="H6993">
        <v>0</v>
      </c>
    </row>
    <row r="6994" spans="8:8" x14ac:dyDescent="0.2">
      <c r="H6994">
        <v>0</v>
      </c>
    </row>
    <row r="6995" spans="8:8" x14ac:dyDescent="0.2">
      <c r="H6995">
        <v>0</v>
      </c>
    </row>
    <row r="6996" spans="8:8" x14ac:dyDescent="0.2">
      <c r="H6996">
        <v>0</v>
      </c>
    </row>
    <row r="6997" spans="8:8" x14ac:dyDescent="0.2">
      <c r="H6997">
        <v>0</v>
      </c>
    </row>
    <row r="6998" spans="8:8" x14ac:dyDescent="0.2">
      <c r="H6998">
        <v>0</v>
      </c>
    </row>
    <row r="6999" spans="8:8" x14ac:dyDescent="0.2">
      <c r="H6999">
        <v>0</v>
      </c>
    </row>
    <row r="7000" spans="8:8" x14ac:dyDescent="0.2">
      <c r="H7000">
        <v>0</v>
      </c>
    </row>
    <row r="7001" spans="8:8" x14ac:dyDescent="0.2">
      <c r="H7001">
        <v>0</v>
      </c>
    </row>
    <row r="7002" spans="8:8" x14ac:dyDescent="0.2">
      <c r="H7002">
        <v>0</v>
      </c>
    </row>
    <row r="7003" spans="8:8" x14ac:dyDescent="0.2">
      <c r="H7003">
        <v>0</v>
      </c>
    </row>
    <row r="7004" spans="8:8" x14ac:dyDescent="0.2">
      <c r="H7004">
        <v>0</v>
      </c>
    </row>
    <row r="7005" spans="8:8" x14ac:dyDescent="0.2">
      <c r="H7005">
        <v>0</v>
      </c>
    </row>
    <row r="7006" spans="8:8" x14ac:dyDescent="0.2">
      <c r="H7006">
        <v>0</v>
      </c>
    </row>
    <row r="7007" spans="8:8" x14ac:dyDescent="0.2">
      <c r="H7007">
        <v>0</v>
      </c>
    </row>
    <row r="7008" spans="8:8" x14ac:dyDescent="0.2">
      <c r="H7008">
        <v>0</v>
      </c>
    </row>
    <row r="7009" spans="8:8" x14ac:dyDescent="0.2">
      <c r="H7009">
        <v>0</v>
      </c>
    </row>
    <row r="7010" spans="8:8" x14ac:dyDescent="0.2">
      <c r="H7010">
        <v>0</v>
      </c>
    </row>
    <row r="7011" spans="8:8" x14ac:dyDescent="0.2">
      <c r="H7011">
        <v>0</v>
      </c>
    </row>
    <row r="7012" spans="8:8" x14ac:dyDescent="0.2">
      <c r="H7012">
        <v>0</v>
      </c>
    </row>
    <row r="7013" spans="8:8" x14ac:dyDescent="0.2">
      <c r="H7013">
        <v>0</v>
      </c>
    </row>
    <row r="7014" spans="8:8" x14ac:dyDescent="0.2">
      <c r="H7014">
        <v>0</v>
      </c>
    </row>
    <row r="7015" spans="8:8" x14ac:dyDescent="0.2">
      <c r="H7015">
        <v>0</v>
      </c>
    </row>
    <row r="7016" spans="8:8" x14ac:dyDescent="0.2">
      <c r="H7016">
        <v>0</v>
      </c>
    </row>
    <row r="7017" spans="8:8" x14ac:dyDescent="0.2">
      <c r="H7017">
        <v>0</v>
      </c>
    </row>
    <row r="7018" spans="8:8" x14ac:dyDescent="0.2">
      <c r="H7018">
        <v>0</v>
      </c>
    </row>
    <row r="7019" spans="8:8" x14ac:dyDescent="0.2">
      <c r="H7019">
        <v>0</v>
      </c>
    </row>
    <row r="7020" spans="8:8" x14ac:dyDescent="0.2">
      <c r="H7020">
        <v>0</v>
      </c>
    </row>
    <row r="7021" spans="8:8" x14ac:dyDescent="0.2">
      <c r="H7021">
        <v>0</v>
      </c>
    </row>
    <row r="7022" spans="8:8" x14ac:dyDescent="0.2">
      <c r="H7022">
        <v>0</v>
      </c>
    </row>
    <row r="7023" spans="8:8" x14ac:dyDescent="0.2">
      <c r="H7023">
        <v>0</v>
      </c>
    </row>
    <row r="7024" spans="8:8" x14ac:dyDescent="0.2">
      <c r="H7024">
        <v>0</v>
      </c>
    </row>
    <row r="7025" spans="8:8" x14ac:dyDescent="0.2">
      <c r="H7025">
        <v>0</v>
      </c>
    </row>
    <row r="7026" spans="8:8" x14ac:dyDescent="0.2">
      <c r="H7026">
        <v>0</v>
      </c>
    </row>
    <row r="7027" spans="8:8" x14ac:dyDescent="0.2">
      <c r="H7027">
        <v>0</v>
      </c>
    </row>
    <row r="7028" spans="8:8" x14ac:dyDescent="0.2">
      <c r="H7028">
        <v>0</v>
      </c>
    </row>
    <row r="7029" spans="8:8" x14ac:dyDescent="0.2">
      <c r="H7029">
        <v>0</v>
      </c>
    </row>
    <row r="7030" spans="8:8" x14ac:dyDescent="0.2">
      <c r="H7030">
        <v>0</v>
      </c>
    </row>
    <row r="7031" spans="8:8" x14ac:dyDescent="0.2">
      <c r="H7031">
        <v>0</v>
      </c>
    </row>
    <row r="7032" spans="8:8" x14ac:dyDescent="0.2">
      <c r="H7032">
        <v>0</v>
      </c>
    </row>
    <row r="7033" spans="8:8" x14ac:dyDescent="0.2">
      <c r="H7033">
        <v>0</v>
      </c>
    </row>
    <row r="7034" spans="8:8" x14ac:dyDescent="0.2">
      <c r="H7034">
        <v>0</v>
      </c>
    </row>
    <row r="7035" spans="8:8" x14ac:dyDescent="0.2">
      <c r="H7035">
        <v>0</v>
      </c>
    </row>
    <row r="7036" spans="8:8" x14ac:dyDescent="0.2">
      <c r="H7036">
        <v>0</v>
      </c>
    </row>
    <row r="7037" spans="8:8" x14ac:dyDescent="0.2">
      <c r="H7037">
        <v>0</v>
      </c>
    </row>
    <row r="7038" spans="8:8" x14ac:dyDescent="0.2">
      <c r="H7038">
        <v>0</v>
      </c>
    </row>
    <row r="7039" spans="8:8" x14ac:dyDescent="0.2">
      <c r="H7039">
        <v>0</v>
      </c>
    </row>
    <row r="7040" spans="8:8" x14ac:dyDescent="0.2">
      <c r="H7040">
        <v>0</v>
      </c>
    </row>
    <row r="7041" spans="8:8" x14ac:dyDescent="0.2">
      <c r="H7041">
        <v>0</v>
      </c>
    </row>
    <row r="7042" spans="8:8" x14ac:dyDescent="0.2">
      <c r="H7042">
        <v>0</v>
      </c>
    </row>
    <row r="7043" spans="8:8" x14ac:dyDescent="0.2">
      <c r="H7043">
        <v>0</v>
      </c>
    </row>
    <row r="7044" spans="8:8" x14ac:dyDescent="0.2">
      <c r="H7044">
        <v>0</v>
      </c>
    </row>
    <row r="7045" spans="8:8" x14ac:dyDescent="0.2">
      <c r="H7045">
        <v>0</v>
      </c>
    </row>
    <row r="7046" spans="8:8" x14ac:dyDescent="0.2">
      <c r="H7046">
        <v>0</v>
      </c>
    </row>
    <row r="7047" spans="8:8" x14ac:dyDescent="0.2">
      <c r="H7047">
        <v>0</v>
      </c>
    </row>
    <row r="7048" spans="8:8" x14ac:dyDescent="0.2">
      <c r="H7048">
        <v>0</v>
      </c>
    </row>
    <row r="7049" spans="8:8" x14ac:dyDescent="0.2">
      <c r="H7049">
        <v>0</v>
      </c>
    </row>
    <row r="7050" spans="8:8" x14ac:dyDescent="0.2">
      <c r="H7050">
        <v>0</v>
      </c>
    </row>
    <row r="7051" spans="8:8" x14ac:dyDescent="0.2">
      <c r="H7051">
        <v>0</v>
      </c>
    </row>
    <row r="7052" spans="8:8" x14ac:dyDescent="0.2">
      <c r="H7052">
        <v>0</v>
      </c>
    </row>
    <row r="7053" spans="8:8" x14ac:dyDescent="0.2">
      <c r="H7053">
        <v>0</v>
      </c>
    </row>
    <row r="7054" spans="8:8" x14ac:dyDescent="0.2">
      <c r="H7054">
        <v>0</v>
      </c>
    </row>
    <row r="7055" spans="8:8" x14ac:dyDescent="0.2">
      <c r="H7055">
        <v>0</v>
      </c>
    </row>
    <row r="7056" spans="8:8" x14ac:dyDescent="0.2">
      <c r="H7056">
        <v>0</v>
      </c>
    </row>
    <row r="7057" spans="8:8" x14ac:dyDescent="0.2">
      <c r="H7057">
        <v>0</v>
      </c>
    </row>
    <row r="7058" spans="8:8" x14ac:dyDescent="0.2">
      <c r="H7058">
        <v>0</v>
      </c>
    </row>
    <row r="7059" spans="8:8" x14ac:dyDescent="0.2">
      <c r="H7059">
        <v>0</v>
      </c>
    </row>
    <row r="7060" spans="8:8" x14ac:dyDescent="0.2">
      <c r="H7060">
        <v>0</v>
      </c>
    </row>
    <row r="7061" spans="8:8" x14ac:dyDescent="0.2">
      <c r="H7061">
        <v>0</v>
      </c>
    </row>
    <row r="7062" spans="8:8" x14ac:dyDescent="0.2">
      <c r="H7062">
        <v>0</v>
      </c>
    </row>
    <row r="7063" spans="8:8" x14ac:dyDescent="0.2">
      <c r="H7063">
        <v>0</v>
      </c>
    </row>
    <row r="7064" spans="8:8" x14ac:dyDescent="0.2">
      <c r="H7064">
        <v>0</v>
      </c>
    </row>
    <row r="7065" spans="8:8" x14ac:dyDescent="0.2">
      <c r="H7065">
        <v>0</v>
      </c>
    </row>
    <row r="7066" spans="8:8" x14ac:dyDescent="0.2">
      <c r="H7066">
        <v>0</v>
      </c>
    </row>
    <row r="7067" spans="8:8" x14ac:dyDescent="0.2">
      <c r="H7067">
        <v>0</v>
      </c>
    </row>
    <row r="7068" spans="8:8" x14ac:dyDescent="0.2">
      <c r="H7068">
        <v>0</v>
      </c>
    </row>
    <row r="7069" spans="8:8" x14ac:dyDescent="0.2">
      <c r="H7069">
        <v>0</v>
      </c>
    </row>
    <row r="7070" spans="8:8" x14ac:dyDescent="0.2">
      <c r="H7070">
        <v>0</v>
      </c>
    </row>
    <row r="7071" spans="8:8" x14ac:dyDescent="0.2">
      <c r="H7071">
        <v>0</v>
      </c>
    </row>
    <row r="7072" spans="8:8" x14ac:dyDescent="0.2">
      <c r="H7072">
        <v>0</v>
      </c>
    </row>
    <row r="7073" spans="8:8" x14ac:dyDescent="0.2">
      <c r="H7073">
        <v>0</v>
      </c>
    </row>
    <row r="7074" spans="8:8" x14ac:dyDescent="0.2">
      <c r="H7074">
        <v>0</v>
      </c>
    </row>
    <row r="7075" spans="8:8" x14ac:dyDescent="0.2">
      <c r="H7075">
        <v>0</v>
      </c>
    </row>
    <row r="7076" spans="8:8" x14ac:dyDescent="0.2">
      <c r="H7076">
        <v>0</v>
      </c>
    </row>
    <row r="7077" spans="8:8" x14ac:dyDescent="0.2">
      <c r="H7077">
        <v>0</v>
      </c>
    </row>
    <row r="7078" spans="8:8" x14ac:dyDescent="0.2">
      <c r="H7078">
        <v>0</v>
      </c>
    </row>
    <row r="7079" spans="8:8" x14ac:dyDescent="0.2">
      <c r="H7079">
        <v>0</v>
      </c>
    </row>
    <row r="7080" spans="8:8" x14ac:dyDescent="0.2">
      <c r="H7080">
        <v>0</v>
      </c>
    </row>
    <row r="7081" spans="8:8" x14ac:dyDescent="0.2">
      <c r="H7081">
        <v>0</v>
      </c>
    </row>
    <row r="7082" spans="8:8" x14ac:dyDescent="0.2">
      <c r="H7082">
        <v>0</v>
      </c>
    </row>
    <row r="7083" spans="8:8" x14ac:dyDescent="0.2">
      <c r="H7083">
        <v>0</v>
      </c>
    </row>
    <row r="7084" spans="8:8" x14ac:dyDescent="0.2">
      <c r="H7084">
        <v>0</v>
      </c>
    </row>
    <row r="7085" spans="8:8" x14ac:dyDescent="0.2">
      <c r="H7085">
        <v>0</v>
      </c>
    </row>
    <row r="7086" spans="8:8" x14ac:dyDescent="0.2">
      <c r="H7086">
        <v>0</v>
      </c>
    </row>
    <row r="7087" spans="8:8" x14ac:dyDescent="0.2">
      <c r="H7087">
        <v>0</v>
      </c>
    </row>
    <row r="7088" spans="8:8" x14ac:dyDescent="0.2">
      <c r="H7088">
        <v>0</v>
      </c>
    </row>
    <row r="7089" spans="8:8" x14ac:dyDescent="0.2">
      <c r="H7089">
        <v>0</v>
      </c>
    </row>
    <row r="7090" spans="8:8" x14ac:dyDescent="0.2">
      <c r="H7090">
        <v>0</v>
      </c>
    </row>
    <row r="7091" spans="8:8" x14ac:dyDescent="0.2">
      <c r="H7091">
        <v>0</v>
      </c>
    </row>
    <row r="7092" spans="8:8" x14ac:dyDescent="0.2">
      <c r="H7092">
        <v>0</v>
      </c>
    </row>
    <row r="7093" spans="8:8" x14ac:dyDescent="0.2">
      <c r="H7093">
        <v>0</v>
      </c>
    </row>
    <row r="7094" spans="8:8" x14ac:dyDescent="0.2">
      <c r="H7094">
        <v>0</v>
      </c>
    </row>
    <row r="7095" spans="8:8" x14ac:dyDescent="0.2">
      <c r="H7095">
        <v>0</v>
      </c>
    </row>
    <row r="7096" spans="8:8" x14ac:dyDescent="0.2">
      <c r="H7096">
        <v>0</v>
      </c>
    </row>
    <row r="7097" spans="8:8" x14ac:dyDescent="0.2">
      <c r="H7097">
        <v>0</v>
      </c>
    </row>
    <row r="7098" spans="8:8" x14ac:dyDescent="0.2">
      <c r="H7098">
        <v>0</v>
      </c>
    </row>
    <row r="7099" spans="8:8" x14ac:dyDescent="0.2">
      <c r="H7099">
        <v>0</v>
      </c>
    </row>
    <row r="7100" spans="8:8" x14ac:dyDescent="0.2">
      <c r="H7100">
        <v>0</v>
      </c>
    </row>
    <row r="7101" spans="8:8" x14ac:dyDescent="0.2">
      <c r="H7101">
        <v>0</v>
      </c>
    </row>
    <row r="7102" spans="8:8" x14ac:dyDescent="0.2">
      <c r="H7102">
        <v>0</v>
      </c>
    </row>
    <row r="7103" spans="8:8" x14ac:dyDescent="0.2">
      <c r="H7103">
        <v>0</v>
      </c>
    </row>
    <row r="7104" spans="8:8" x14ac:dyDescent="0.2">
      <c r="H7104">
        <v>0</v>
      </c>
    </row>
    <row r="7105" spans="8:8" x14ac:dyDescent="0.2">
      <c r="H7105">
        <v>0</v>
      </c>
    </row>
    <row r="7106" spans="8:8" x14ac:dyDescent="0.2">
      <c r="H7106">
        <v>0</v>
      </c>
    </row>
    <row r="7107" spans="8:8" x14ac:dyDescent="0.2">
      <c r="H7107">
        <v>0</v>
      </c>
    </row>
    <row r="7108" spans="8:8" x14ac:dyDescent="0.2">
      <c r="H7108">
        <v>0</v>
      </c>
    </row>
    <row r="7109" spans="8:8" x14ac:dyDescent="0.2">
      <c r="H7109">
        <v>0</v>
      </c>
    </row>
    <row r="7110" spans="8:8" x14ac:dyDescent="0.2">
      <c r="H7110">
        <v>0</v>
      </c>
    </row>
    <row r="7111" spans="8:8" x14ac:dyDescent="0.2">
      <c r="H7111">
        <v>0</v>
      </c>
    </row>
    <row r="7112" spans="8:8" x14ac:dyDescent="0.2">
      <c r="H7112">
        <v>0</v>
      </c>
    </row>
    <row r="7113" spans="8:8" x14ac:dyDescent="0.2">
      <c r="H7113">
        <v>0</v>
      </c>
    </row>
    <row r="7114" spans="8:8" x14ac:dyDescent="0.2">
      <c r="H7114">
        <v>0</v>
      </c>
    </row>
    <row r="7115" spans="8:8" x14ac:dyDescent="0.2">
      <c r="H7115">
        <v>0</v>
      </c>
    </row>
    <row r="7116" spans="8:8" x14ac:dyDescent="0.2">
      <c r="H7116">
        <v>0</v>
      </c>
    </row>
    <row r="7117" spans="8:8" x14ac:dyDescent="0.2">
      <c r="H7117">
        <v>0</v>
      </c>
    </row>
    <row r="7118" spans="8:8" x14ac:dyDescent="0.2">
      <c r="H7118">
        <v>0</v>
      </c>
    </row>
    <row r="7119" spans="8:8" x14ac:dyDescent="0.2">
      <c r="H7119">
        <v>0</v>
      </c>
    </row>
    <row r="7120" spans="8:8" x14ac:dyDescent="0.2">
      <c r="H7120">
        <v>0</v>
      </c>
    </row>
    <row r="7121" spans="8:8" x14ac:dyDescent="0.2">
      <c r="H7121">
        <v>0</v>
      </c>
    </row>
    <row r="7122" spans="8:8" x14ac:dyDescent="0.2">
      <c r="H7122">
        <v>0</v>
      </c>
    </row>
    <row r="7123" spans="8:8" x14ac:dyDescent="0.2">
      <c r="H7123">
        <v>0</v>
      </c>
    </row>
    <row r="7124" spans="8:8" x14ac:dyDescent="0.2">
      <c r="H7124">
        <v>0</v>
      </c>
    </row>
    <row r="7125" spans="8:8" x14ac:dyDescent="0.2">
      <c r="H7125">
        <v>0</v>
      </c>
    </row>
    <row r="7126" spans="8:8" x14ac:dyDescent="0.2">
      <c r="H7126">
        <v>0</v>
      </c>
    </row>
    <row r="7127" spans="8:8" x14ac:dyDescent="0.2">
      <c r="H7127">
        <v>0</v>
      </c>
    </row>
    <row r="7128" spans="8:8" x14ac:dyDescent="0.2">
      <c r="H7128">
        <v>0</v>
      </c>
    </row>
    <row r="7129" spans="8:8" x14ac:dyDescent="0.2">
      <c r="H7129">
        <v>0</v>
      </c>
    </row>
    <row r="7130" spans="8:8" x14ac:dyDescent="0.2">
      <c r="H7130">
        <v>0</v>
      </c>
    </row>
    <row r="7131" spans="8:8" x14ac:dyDescent="0.2">
      <c r="H7131">
        <v>0</v>
      </c>
    </row>
    <row r="7132" spans="8:8" x14ac:dyDescent="0.2">
      <c r="H7132">
        <v>0</v>
      </c>
    </row>
    <row r="7133" spans="8:8" x14ac:dyDescent="0.2">
      <c r="H7133">
        <v>0</v>
      </c>
    </row>
    <row r="7134" spans="8:8" x14ac:dyDescent="0.2">
      <c r="H7134">
        <v>0</v>
      </c>
    </row>
    <row r="7135" spans="8:8" x14ac:dyDescent="0.2">
      <c r="H7135">
        <v>0</v>
      </c>
    </row>
    <row r="7136" spans="8:8" x14ac:dyDescent="0.2">
      <c r="H7136">
        <v>0</v>
      </c>
    </row>
    <row r="7137" spans="8:8" x14ac:dyDescent="0.2">
      <c r="H7137">
        <v>0</v>
      </c>
    </row>
    <row r="7138" spans="8:8" x14ac:dyDescent="0.2">
      <c r="H7138">
        <v>0</v>
      </c>
    </row>
    <row r="7139" spans="8:8" x14ac:dyDescent="0.2">
      <c r="H7139">
        <v>0</v>
      </c>
    </row>
    <row r="7140" spans="8:8" x14ac:dyDescent="0.2">
      <c r="H7140">
        <v>0</v>
      </c>
    </row>
    <row r="7141" spans="8:8" x14ac:dyDescent="0.2">
      <c r="H7141">
        <v>0</v>
      </c>
    </row>
    <row r="7142" spans="8:8" x14ac:dyDescent="0.2">
      <c r="H7142">
        <v>0</v>
      </c>
    </row>
    <row r="7143" spans="8:8" x14ac:dyDescent="0.2">
      <c r="H7143">
        <v>0</v>
      </c>
    </row>
    <row r="7144" spans="8:8" x14ac:dyDescent="0.2">
      <c r="H7144">
        <v>0</v>
      </c>
    </row>
    <row r="7145" spans="8:8" x14ac:dyDescent="0.2">
      <c r="H7145">
        <v>0</v>
      </c>
    </row>
    <row r="7146" spans="8:8" x14ac:dyDescent="0.2">
      <c r="H7146">
        <v>0</v>
      </c>
    </row>
    <row r="7147" spans="8:8" x14ac:dyDescent="0.2">
      <c r="H7147">
        <v>0</v>
      </c>
    </row>
    <row r="7148" spans="8:8" x14ac:dyDescent="0.2">
      <c r="H7148">
        <v>0</v>
      </c>
    </row>
    <row r="7149" spans="8:8" x14ac:dyDescent="0.2">
      <c r="H7149">
        <v>0</v>
      </c>
    </row>
    <row r="7150" spans="8:8" x14ac:dyDescent="0.2">
      <c r="H7150">
        <v>0</v>
      </c>
    </row>
    <row r="7151" spans="8:8" x14ac:dyDescent="0.2">
      <c r="H7151">
        <v>0</v>
      </c>
    </row>
    <row r="7152" spans="8:8" x14ac:dyDescent="0.2">
      <c r="H7152">
        <v>0</v>
      </c>
    </row>
    <row r="7153" spans="8:8" x14ac:dyDescent="0.2">
      <c r="H7153">
        <v>0</v>
      </c>
    </row>
    <row r="7154" spans="8:8" x14ac:dyDescent="0.2">
      <c r="H7154">
        <v>0</v>
      </c>
    </row>
    <row r="7155" spans="8:8" x14ac:dyDescent="0.2">
      <c r="H7155">
        <v>0</v>
      </c>
    </row>
    <row r="7156" spans="8:8" x14ac:dyDescent="0.2">
      <c r="H7156">
        <v>0</v>
      </c>
    </row>
    <row r="7157" spans="8:8" x14ac:dyDescent="0.2">
      <c r="H7157">
        <v>0</v>
      </c>
    </row>
    <row r="7158" spans="8:8" x14ac:dyDescent="0.2">
      <c r="H7158">
        <v>0</v>
      </c>
    </row>
    <row r="7159" spans="8:8" x14ac:dyDescent="0.2">
      <c r="H7159">
        <v>0</v>
      </c>
    </row>
    <row r="7160" spans="8:8" x14ac:dyDescent="0.2">
      <c r="H7160">
        <v>0</v>
      </c>
    </row>
    <row r="7161" spans="8:8" x14ac:dyDescent="0.2">
      <c r="H7161">
        <v>0</v>
      </c>
    </row>
    <row r="7162" spans="8:8" x14ac:dyDescent="0.2">
      <c r="H7162">
        <v>0</v>
      </c>
    </row>
    <row r="7163" spans="8:8" x14ac:dyDescent="0.2">
      <c r="H7163">
        <v>0</v>
      </c>
    </row>
    <row r="7164" spans="8:8" x14ac:dyDescent="0.2">
      <c r="H7164">
        <v>0</v>
      </c>
    </row>
    <row r="7165" spans="8:8" x14ac:dyDescent="0.2">
      <c r="H7165">
        <v>0</v>
      </c>
    </row>
    <row r="7166" spans="8:8" x14ac:dyDescent="0.2">
      <c r="H7166">
        <v>0</v>
      </c>
    </row>
    <row r="7167" spans="8:8" x14ac:dyDescent="0.2">
      <c r="H7167">
        <v>0</v>
      </c>
    </row>
    <row r="7168" spans="8:8" x14ac:dyDescent="0.2">
      <c r="H7168">
        <v>0</v>
      </c>
    </row>
    <row r="7169" spans="8:8" x14ac:dyDescent="0.2">
      <c r="H7169">
        <v>0</v>
      </c>
    </row>
    <row r="7170" spans="8:8" x14ac:dyDescent="0.2">
      <c r="H7170">
        <v>0</v>
      </c>
    </row>
    <row r="7171" spans="8:8" x14ac:dyDescent="0.2">
      <c r="H7171">
        <v>0</v>
      </c>
    </row>
    <row r="7172" spans="8:8" x14ac:dyDescent="0.2">
      <c r="H7172">
        <v>0</v>
      </c>
    </row>
    <row r="7173" spans="8:8" x14ac:dyDescent="0.2">
      <c r="H7173">
        <v>0</v>
      </c>
    </row>
    <row r="7174" spans="8:8" x14ac:dyDescent="0.2">
      <c r="H7174">
        <v>0</v>
      </c>
    </row>
    <row r="7175" spans="8:8" x14ac:dyDescent="0.2">
      <c r="H7175">
        <v>0</v>
      </c>
    </row>
    <row r="7176" spans="8:8" x14ac:dyDescent="0.2">
      <c r="H7176">
        <v>0</v>
      </c>
    </row>
    <row r="7177" spans="8:8" x14ac:dyDescent="0.2">
      <c r="H7177">
        <v>0</v>
      </c>
    </row>
    <row r="7178" spans="8:8" x14ac:dyDescent="0.2">
      <c r="H7178">
        <v>0</v>
      </c>
    </row>
    <row r="7179" spans="8:8" x14ac:dyDescent="0.2">
      <c r="H7179">
        <v>0</v>
      </c>
    </row>
    <row r="7180" spans="8:8" x14ac:dyDescent="0.2">
      <c r="H7180">
        <v>0</v>
      </c>
    </row>
    <row r="7181" spans="8:8" x14ac:dyDescent="0.2">
      <c r="H7181">
        <v>0</v>
      </c>
    </row>
    <row r="7182" spans="8:8" x14ac:dyDescent="0.2">
      <c r="H7182">
        <v>0</v>
      </c>
    </row>
    <row r="7183" spans="8:8" x14ac:dyDescent="0.2">
      <c r="H7183">
        <v>0</v>
      </c>
    </row>
    <row r="7184" spans="8:8" x14ac:dyDescent="0.2">
      <c r="H7184">
        <v>0</v>
      </c>
    </row>
    <row r="7185" spans="8:8" x14ac:dyDescent="0.2">
      <c r="H7185">
        <v>0</v>
      </c>
    </row>
    <row r="7186" spans="8:8" x14ac:dyDescent="0.2">
      <c r="H7186">
        <v>0</v>
      </c>
    </row>
    <row r="7187" spans="8:8" x14ac:dyDescent="0.2">
      <c r="H7187">
        <v>0</v>
      </c>
    </row>
    <row r="7188" spans="8:8" x14ac:dyDescent="0.2">
      <c r="H7188">
        <v>0</v>
      </c>
    </row>
    <row r="7189" spans="8:8" x14ac:dyDescent="0.2">
      <c r="H7189">
        <v>0</v>
      </c>
    </row>
    <row r="7190" spans="8:8" x14ac:dyDescent="0.2">
      <c r="H7190">
        <v>0</v>
      </c>
    </row>
    <row r="7191" spans="8:8" x14ac:dyDescent="0.2">
      <c r="H7191">
        <v>0</v>
      </c>
    </row>
    <row r="7192" spans="8:8" x14ac:dyDescent="0.2">
      <c r="H7192">
        <v>0</v>
      </c>
    </row>
    <row r="7193" spans="8:8" x14ac:dyDescent="0.2">
      <c r="H7193">
        <v>0</v>
      </c>
    </row>
    <row r="7194" spans="8:8" x14ac:dyDescent="0.2">
      <c r="H7194">
        <v>0</v>
      </c>
    </row>
    <row r="7195" spans="8:8" x14ac:dyDescent="0.2">
      <c r="H7195">
        <v>0</v>
      </c>
    </row>
    <row r="7196" spans="8:8" x14ac:dyDescent="0.2">
      <c r="H7196">
        <v>0</v>
      </c>
    </row>
    <row r="7197" spans="8:8" x14ac:dyDescent="0.2">
      <c r="H7197">
        <v>0</v>
      </c>
    </row>
    <row r="7198" spans="8:8" x14ac:dyDescent="0.2">
      <c r="H7198">
        <v>0</v>
      </c>
    </row>
    <row r="7199" spans="8:8" x14ac:dyDescent="0.2">
      <c r="H7199">
        <v>0</v>
      </c>
    </row>
    <row r="7200" spans="8:8" x14ac:dyDescent="0.2">
      <c r="H7200">
        <v>0</v>
      </c>
    </row>
    <row r="7201" spans="8:8" x14ac:dyDescent="0.2">
      <c r="H7201">
        <v>0</v>
      </c>
    </row>
    <row r="7202" spans="8:8" x14ac:dyDescent="0.2">
      <c r="H7202">
        <v>0</v>
      </c>
    </row>
    <row r="7203" spans="8:8" x14ac:dyDescent="0.2">
      <c r="H7203">
        <v>0</v>
      </c>
    </row>
    <row r="7204" spans="8:8" x14ac:dyDescent="0.2">
      <c r="H7204">
        <v>0</v>
      </c>
    </row>
    <row r="7205" spans="8:8" x14ac:dyDescent="0.2">
      <c r="H7205">
        <v>0</v>
      </c>
    </row>
    <row r="7206" spans="8:8" x14ac:dyDescent="0.2">
      <c r="H7206">
        <v>0</v>
      </c>
    </row>
    <row r="7207" spans="8:8" x14ac:dyDescent="0.2">
      <c r="H7207">
        <v>0</v>
      </c>
    </row>
    <row r="7208" spans="8:8" x14ac:dyDescent="0.2">
      <c r="H7208">
        <v>0</v>
      </c>
    </row>
    <row r="7209" spans="8:8" x14ac:dyDescent="0.2">
      <c r="H7209">
        <v>0</v>
      </c>
    </row>
    <row r="7210" spans="8:8" x14ac:dyDescent="0.2">
      <c r="H7210">
        <v>0</v>
      </c>
    </row>
    <row r="7211" spans="8:8" x14ac:dyDescent="0.2">
      <c r="H7211">
        <v>0</v>
      </c>
    </row>
    <row r="7212" spans="8:8" x14ac:dyDescent="0.2">
      <c r="H7212">
        <v>0</v>
      </c>
    </row>
    <row r="7213" spans="8:8" x14ac:dyDescent="0.2">
      <c r="H7213">
        <v>0</v>
      </c>
    </row>
    <row r="7214" spans="8:8" x14ac:dyDescent="0.2">
      <c r="H7214">
        <v>0</v>
      </c>
    </row>
    <row r="7215" spans="8:8" x14ac:dyDescent="0.2">
      <c r="H7215">
        <v>0</v>
      </c>
    </row>
    <row r="7216" spans="8:8" x14ac:dyDescent="0.2">
      <c r="H7216">
        <v>0</v>
      </c>
    </row>
    <row r="7217" spans="8:8" x14ac:dyDescent="0.2">
      <c r="H7217">
        <v>0</v>
      </c>
    </row>
    <row r="7218" spans="8:8" x14ac:dyDescent="0.2">
      <c r="H7218">
        <v>0</v>
      </c>
    </row>
    <row r="7219" spans="8:8" x14ac:dyDescent="0.2">
      <c r="H7219">
        <v>0</v>
      </c>
    </row>
    <row r="7220" spans="8:8" x14ac:dyDescent="0.2">
      <c r="H7220">
        <v>0</v>
      </c>
    </row>
    <row r="7221" spans="8:8" x14ac:dyDescent="0.2">
      <c r="H7221">
        <v>0</v>
      </c>
    </row>
    <row r="7222" spans="8:8" x14ac:dyDescent="0.2">
      <c r="H7222">
        <v>0</v>
      </c>
    </row>
    <row r="7223" spans="8:8" x14ac:dyDescent="0.2">
      <c r="H7223">
        <v>0</v>
      </c>
    </row>
    <row r="7224" spans="8:8" x14ac:dyDescent="0.2">
      <c r="H7224">
        <v>0</v>
      </c>
    </row>
    <row r="7225" spans="8:8" x14ac:dyDescent="0.2">
      <c r="H7225">
        <v>0</v>
      </c>
    </row>
    <row r="7226" spans="8:8" x14ac:dyDescent="0.2">
      <c r="H7226">
        <v>0</v>
      </c>
    </row>
    <row r="7227" spans="8:8" x14ac:dyDescent="0.2">
      <c r="H7227">
        <v>0</v>
      </c>
    </row>
    <row r="7228" spans="8:8" x14ac:dyDescent="0.2">
      <c r="H7228">
        <v>0</v>
      </c>
    </row>
    <row r="7229" spans="8:8" x14ac:dyDescent="0.2">
      <c r="H7229">
        <v>0</v>
      </c>
    </row>
    <row r="7230" spans="8:8" x14ac:dyDescent="0.2">
      <c r="H7230">
        <v>0</v>
      </c>
    </row>
    <row r="7231" spans="8:8" x14ac:dyDescent="0.2">
      <c r="H7231">
        <v>0</v>
      </c>
    </row>
    <row r="7232" spans="8:8" x14ac:dyDescent="0.2">
      <c r="H7232">
        <v>0</v>
      </c>
    </row>
    <row r="7233" spans="8:8" x14ac:dyDescent="0.2">
      <c r="H7233">
        <v>0</v>
      </c>
    </row>
    <row r="7234" spans="8:8" x14ac:dyDescent="0.2">
      <c r="H7234">
        <v>0</v>
      </c>
    </row>
    <row r="7235" spans="8:8" x14ac:dyDescent="0.2">
      <c r="H7235">
        <v>0</v>
      </c>
    </row>
    <row r="7236" spans="8:8" x14ac:dyDescent="0.2">
      <c r="H7236">
        <v>0</v>
      </c>
    </row>
    <row r="7237" spans="8:8" x14ac:dyDescent="0.2">
      <c r="H7237">
        <v>0</v>
      </c>
    </row>
    <row r="7238" spans="8:8" x14ac:dyDescent="0.2">
      <c r="H7238">
        <v>0</v>
      </c>
    </row>
    <row r="7239" spans="8:8" x14ac:dyDescent="0.2">
      <c r="H7239">
        <v>0</v>
      </c>
    </row>
    <row r="7240" spans="8:8" x14ac:dyDescent="0.2">
      <c r="H7240">
        <v>0</v>
      </c>
    </row>
    <row r="7241" spans="8:8" x14ac:dyDescent="0.2">
      <c r="H7241">
        <v>0</v>
      </c>
    </row>
    <row r="7242" spans="8:8" x14ac:dyDescent="0.2">
      <c r="H7242">
        <v>0</v>
      </c>
    </row>
    <row r="7243" spans="8:8" x14ac:dyDescent="0.2">
      <c r="H7243">
        <v>0</v>
      </c>
    </row>
    <row r="7244" spans="8:8" x14ac:dyDescent="0.2">
      <c r="H7244">
        <v>0</v>
      </c>
    </row>
    <row r="7245" spans="8:8" x14ac:dyDescent="0.2">
      <c r="H7245">
        <v>0</v>
      </c>
    </row>
    <row r="7246" spans="8:8" x14ac:dyDescent="0.2">
      <c r="H7246">
        <v>0</v>
      </c>
    </row>
    <row r="7247" spans="8:8" x14ac:dyDescent="0.2">
      <c r="H7247">
        <v>0</v>
      </c>
    </row>
    <row r="7248" spans="8:8" x14ac:dyDescent="0.2">
      <c r="H7248">
        <v>0</v>
      </c>
    </row>
    <row r="7249" spans="8:8" x14ac:dyDescent="0.2">
      <c r="H7249">
        <v>0</v>
      </c>
    </row>
    <row r="7250" spans="8:8" x14ac:dyDescent="0.2">
      <c r="H7250">
        <v>0</v>
      </c>
    </row>
    <row r="7251" spans="8:8" x14ac:dyDescent="0.2">
      <c r="H7251">
        <v>0</v>
      </c>
    </row>
    <row r="7252" spans="8:8" x14ac:dyDescent="0.2">
      <c r="H7252">
        <v>0</v>
      </c>
    </row>
    <row r="7253" spans="8:8" x14ac:dyDescent="0.2">
      <c r="H7253">
        <v>0</v>
      </c>
    </row>
    <row r="7254" spans="8:8" x14ac:dyDescent="0.2">
      <c r="H7254">
        <v>0</v>
      </c>
    </row>
    <row r="7255" spans="8:8" x14ac:dyDescent="0.2">
      <c r="H7255">
        <v>0</v>
      </c>
    </row>
    <row r="7256" spans="8:8" x14ac:dyDescent="0.2">
      <c r="H7256">
        <v>0</v>
      </c>
    </row>
    <row r="7257" spans="8:8" x14ac:dyDescent="0.2">
      <c r="H7257">
        <v>0</v>
      </c>
    </row>
    <row r="7258" spans="8:8" x14ac:dyDescent="0.2">
      <c r="H7258">
        <v>0</v>
      </c>
    </row>
    <row r="7259" spans="8:8" x14ac:dyDescent="0.2">
      <c r="H7259">
        <v>0</v>
      </c>
    </row>
    <row r="7260" spans="8:8" x14ac:dyDescent="0.2">
      <c r="H7260">
        <v>0</v>
      </c>
    </row>
    <row r="7261" spans="8:8" x14ac:dyDescent="0.2">
      <c r="H7261">
        <v>0</v>
      </c>
    </row>
    <row r="7262" spans="8:8" x14ac:dyDescent="0.2">
      <c r="H7262">
        <v>0</v>
      </c>
    </row>
    <row r="7263" spans="8:8" x14ac:dyDescent="0.2">
      <c r="H7263">
        <v>0</v>
      </c>
    </row>
    <row r="7264" spans="8:8" x14ac:dyDescent="0.2">
      <c r="H7264">
        <v>0</v>
      </c>
    </row>
    <row r="7265" spans="8:8" x14ac:dyDescent="0.2">
      <c r="H7265">
        <v>0</v>
      </c>
    </row>
    <row r="7266" spans="8:8" x14ac:dyDescent="0.2">
      <c r="H7266">
        <v>0</v>
      </c>
    </row>
    <row r="7267" spans="8:8" x14ac:dyDescent="0.2">
      <c r="H7267">
        <v>0</v>
      </c>
    </row>
    <row r="7268" spans="8:8" x14ac:dyDescent="0.2">
      <c r="H7268">
        <v>0</v>
      </c>
    </row>
    <row r="7269" spans="8:8" x14ac:dyDescent="0.2">
      <c r="H7269">
        <v>0</v>
      </c>
    </row>
    <row r="7270" spans="8:8" x14ac:dyDescent="0.2">
      <c r="H7270">
        <v>0</v>
      </c>
    </row>
    <row r="7271" spans="8:8" x14ac:dyDescent="0.2">
      <c r="H7271">
        <v>0</v>
      </c>
    </row>
    <row r="7272" spans="8:8" x14ac:dyDescent="0.2">
      <c r="H7272">
        <v>0</v>
      </c>
    </row>
    <row r="7273" spans="8:8" x14ac:dyDescent="0.2">
      <c r="H7273">
        <v>0</v>
      </c>
    </row>
    <row r="7274" spans="8:8" x14ac:dyDescent="0.2">
      <c r="H7274">
        <v>0</v>
      </c>
    </row>
    <row r="7275" spans="8:8" x14ac:dyDescent="0.2">
      <c r="H7275">
        <v>0</v>
      </c>
    </row>
    <row r="7276" spans="8:8" x14ac:dyDescent="0.2">
      <c r="H7276">
        <v>0</v>
      </c>
    </row>
    <row r="7277" spans="8:8" x14ac:dyDescent="0.2">
      <c r="H7277">
        <v>0</v>
      </c>
    </row>
    <row r="7278" spans="8:8" x14ac:dyDescent="0.2">
      <c r="H7278">
        <v>0</v>
      </c>
    </row>
    <row r="7279" spans="8:8" x14ac:dyDescent="0.2">
      <c r="H7279">
        <v>0</v>
      </c>
    </row>
    <row r="7280" spans="8:8" x14ac:dyDescent="0.2">
      <c r="H7280">
        <v>0</v>
      </c>
    </row>
    <row r="7281" spans="8:8" x14ac:dyDescent="0.2">
      <c r="H7281">
        <v>0</v>
      </c>
    </row>
    <row r="7282" spans="8:8" x14ac:dyDescent="0.2">
      <c r="H7282">
        <v>0</v>
      </c>
    </row>
    <row r="7283" spans="8:8" x14ac:dyDescent="0.2">
      <c r="H7283">
        <v>0</v>
      </c>
    </row>
    <row r="7284" spans="8:8" x14ac:dyDescent="0.2">
      <c r="H7284">
        <v>0</v>
      </c>
    </row>
    <row r="7285" spans="8:8" x14ac:dyDescent="0.2">
      <c r="H7285">
        <v>0</v>
      </c>
    </row>
    <row r="7286" spans="8:8" x14ac:dyDescent="0.2">
      <c r="H7286">
        <v>0</v>
      </c>
    </row>
    <row r="7287" spans="8:8" x14ac:dyDescent="0.2">
      <c r="H7287">
        <v>0</v>
      </c>
    </row>
    <row r="7288" spans="8:8" x14ac:dyDescent="0.2">
      <c r="H7288">
        <v>0</v>
      </c>
    </row>
    <row r="7289" spans="8:8" x14ac:dyDescent="0.2">
      <c r="H7289">
        <v>0</v>
      </c>
    </row>
    <row r="7290" spans="8:8" x14ac:dyDescent="0.2">
      <c r="H7290">
        <v>0</v>
      </c>
    </row>
    <row r="7291" spans="8:8" x14ac:dyDescent="0.2">
      <c r="H7291">
        <v>0</v>
      </c>
    </row>
    <row r="7292" spans="8:8" x14ac:dyDescent="0.2">
      <c r="H7292">
        <v>0</v>
      </c>
    </row>
    <row r="7293" spans="8:8" x14ac:dyDescent="0.2">
      <c r="H7293">
        <v>0</v>
      </c>
    </row>
    <row r="7294" spans="8:8" x14ac:dyDescent="0.2">
      <c r="H7294">
        <v>0</v>
      </c>
    </row>
    <row r="7295" spans="8:8" x14ac:dyDescent="0.2">
      <c r="H7295">
        <v>0</v>
      </c>
    </row>
    <row r="7296" spans="8:8" x14ac:dyDescent="0.2">
      <c r="H7296">
        <v>0</v>
      </c>
    </row>
    <row r="7297" spans="8:8" x14ac:dyDescent="0.2">
      <c r="H7297">
        <v>0</v>
      </c>
    </row>
    <row r="7298" spans="8:8" x14ac:dyDescent="0.2">
      <c r="H7298">
        <v>0</v>
      </c>
    </row>
    <row r="7299" spans="8:8" x14ac:dyDescent="0.2">
      <c r="H7299">
        <v>0</v>
      </c>
    </row>
    <row r="7300" spans="8:8" x14ac:dyDescent="0.2">
      <c r="H7300">
        <v>0</v>
      </c>
    </row>
    <row r="7301" spans="8:8" x14ac:dyDescent="0.2">
      <c r="H7301">
        <v>0</v>
      </c>
    </row>
    <row r="7302" spans="8:8" x14ac:dyDescent="0.2">
      <c r="H7302">
        <v>0</v>
      </c>
    </row>
    <row r="7303" spans="8:8" x14ac:dyDescent="0.2">
      <c r="H7303">
        <v>0</v>
      </c>
    </row>
    <row r="7304" spans="8:8" x14ac:dyDescent="0.2">
      <c r="H7304">
        <v>0</v>
      </c>
    </row>
    <row r="7305" spans="8:8" x14ac:dyDescent="0.2">
      <c r="H7305">
        <v>0</v>
      </c>
    </row>
    <row r="7306" spans="8:8" x14ac:dyDescent="0.2">
      <c r="H7306">
        <v>0</v>
      </c>
    </row>
    <row r="7307" spans="8:8" x14ac:dyDescent="0.2">
      <c r="H7307">
        <v>0</v>
      </c>
    </row>
    <row r="7308" spans="8:8" x14ac:dyDescent="0.2">
      <c r="H7308">
        <v>0</v>
      </c>
    </row>
    <row r="7309" spans="8:8" x14ac:dyDescent="0.2">
      <c r="H7309">
        <v>0</v>
      </c>
    </row>
    <row r="7310" spans="8:8" x14ac:dyDescent="0.2">
      <c r="H7310">
        <v>0</v>
      </c>
    </row>
    <row r="7311" spans="8:8" x14ac:dyDescent="0.2">
      <c r="H7311">
        <v>0</v>
      </c>
    </row>
    <row r="7312" spans="8:8" x14ac:dyDescent="0.2">
      <c r="H7312">
        <v>0</v>
      </c>
    </row>
    <row r="7313" spans="8:8" x14ac:dyDescent="0.2">
      <c r="H7313">
        <v>0</v>
      </c>
    </row>
    <row r="7314" spans="8:8" x14ac:dyDescent="0.2">
      <c r="H7314">
        <v>0</v>
      </c>
    </row>
    <row r="7315" spans="8:8" x14ac:dyDescent="0.2">
      <c r="H7315">
        <v>0</v>
      </c>
    </row>
    <row r="7316" spans="8:8" x14ac:dyDescent="0.2">
      <c r="H7316">
        <v>0</v>
      </c>
    </row>
    <row r="7317" spans="8:8" x14ac:dyDescent="0.2">
      <c r="H7317">
        <v>0</v>
      </c>
    </row>
    <row r="7318" spans="8:8" x14ac:dyDescent="0.2">
      <c r="H7318">
        <v>0</v>
      </c>
    </row>
    <row r="7319" spans="8:8" x14ac:dyDescent="0.2">
      <c r="H7319">
        <v>0</v>
      </c>
    </row>
    <row r="7320" spans="8:8" x14ac:dyDescent="0.2">
      <c r="H7320">
        <v>0</v>
      </c>
    </row>
    <row r="7321" spans="8:8" x14ac:dyDescent="0.2">
      <c r="H7321">
        <v>0</v>
      </c>
    </row>
    <row r="7322" spans="8:8" x14ac:dyDescent="0.2">
      <c r="H7322">
        <v>0</v>
      </c>
    </row>
    <row r="7323" spans="8:8" x14ac:dyDescent="0.2">
      <c r="H7323">
        <v>0</v>
      </c>
    </row>
    <row r="7324" spans="8:8" x14ac:dyDescent="0.2">
      <c r="H7324">
        <v>0</v>
      </c>
    </row>
    <row r="7325" spans="8:8" x14ac:dyDescent="0.2">
      <c r="H7325">
        <v>0</v>
      </c>
    </row>
    <row r="7326" spans="8:8" x14ac:dyDescent="0.2">
      <c r="H7326">
        <v>0</v>
      </c>
    </row>
    <row r="7327" spans="8:8" x14ac:dyDescent="0.2">
      <c r="H7327">
        <v>0</v>
      </c>
    </row>
    <row r="7328" spans="8:8" x14ac:dyDescent="0.2">
      <c r="H7328">
        <v>0</v>
      </c>
    </row>
    <row r="7329" spans="8:8" x14ac:dyDescent="0.2">
      <c r="H7329">
        <v>0</v>
      </c>
    </row>
    <row r="7330" spans="8:8" x14ac:dyDescent="0.2">
      <c r="H7330">
        <v>0</v>
      </c>
    </row>
    <row r="7331" spans="8:8" x14ac:dyDescent="0.2">
      <c r="H7331">
        <v>0</v>
      </c>
    </row>
    <row r="7332" spans="8:8" x14ac:dyDescent="0.2">
      <c r="H7332">
        <v>0</v>
      </c>
    </row>
    <row r="7333" spans="8:8" x14ac:dyDescent="0.2">
      <c r="H7333">
        <v>0</v>
      </c>
    </row>
    <row r="7334" spans="8:8" x14ac:dyDescent="0.2">
      <c r="H7334">
        <v>0</v>
      </c>
    </row>
    <row r="7335" spans="8:8" x14ac:dyDescent="0.2">
      <c r="H7335">
        <v>0</v>
      </c>
    </row>
    <row r="7336" spans="8:8" x14ac:dyDescent="0.2">
      <c r="H7336">
        <v>0</v>
      </c>
    </row>
    <row r="7337" spans="8:8" x14ac:dyDescent="0.2">
      <c r="H7337">
        <v>0</v>
      </c>
    </row>
    <row r="7338" spans="8:8" x14ac:dyDescent="0.2">
      <c r="H7338">
        <v>0</v>
      </c>
    </row>
    <row r="7339" spans="8:8" x14ac:dyDescent="0.2">
      <c r="H7339">
        <v>0</v>
      </c>
    </row>
    <row r="7340" spans="8:8" x14ac:dyDescent="0.2">
      <c r="H7340">
        <v>0</v>
      </c>
    </row>
    <row r="7341" spans="8:8" x14ac:dyDescent="0.2">
      <c r="H7341">
        <v>0</v>
      </c>
    </row>
    <row r="7342" spans="8:8" x14ac:dyDescent="0.2">
      <c r="H7342">
        <v>0</v>
      </c>
    </row>
    <row r="7343" spans="8:8" x14ac:dyDescent="0.2">
      <c r="H7343">
        <v>0</v>
      </c>
    </row>
    <row r="7344" spans="8:8" x14ac:dyDescent="0.2">
      <c r="H7344">
        <v>0</v>
      </c>
    </row>
    <row r="7345" spans="8:8" x14ac:dyDescent="0.2">
      <c r="H7345">
        <v>0</v>
      </c>
    </row>
    <row r="7346" spans="8:8" x14ac:dyDescent="0.2">
      <c r="H7346">
        <v>0</v>
      </c>
    </row>
    <row r="7347" spans="8:8" x14ac:dyDescent="0.2">
      <c r="H7347">
        <v>0</v>
      </c>
    </row>
    <row r="7348" spans="8:8" x14ac:dyDescent="0.2">
      <c r="H7348">
        <v>0</v>
      </c>
    </row>
    <row r="7349" spans="8:8" x14ac:dyDescent="0.2">
      <c r="H7349">
        <v>0</v>
      </c>
    </row>
    <row r="7350" spans="8:8" x14ac:dyDescent="0.2">
      <c r="H7350">
        <v>0</v>
      </c>
    </row>
    <row r="7351" spans="8:8" x14ac:dyDescent="0.2">
      <c r="H7351">
        <v>0</v>
      </c>
    </row>
    <row r="7352" spans="8:8" x14ac:dyDescent="0.2">
      <c r="H7352">
        <v>0</v>
      </c>
    </row>
    <row r="7353" spans="8:8" x14ac:dyDescent="0.2">
      <c r="H7353">
        <v>0</v>
      </c>
    </row>
    <row r="7354" spans="8:8" x14ac:dyDescent="0.2">
      <c r="H7354">
        <v>0</v>
      </c>
    </row>
    <row r="7355" spans="8:8" x14ac:dyDescent="0.2">
      <c r="H7355">
        <v>0</v>
      </c>
    </row>
    <row r="7356" spans="8:8" x14ac:dyDescent="0.2">
      <c r="H7356">
        <v>0</v>
      </c>
    </row>
    <row r="7357" spans="8:8" x14ac:dyDescent="0.2">
      <c r="H7357">
        <v>0</v>
      </c>
    </row>
    <row r="7358" spans="8:8" x14ac:dyDescent="0.2">
      <c r="H7358">
        <v>0</v>
      </c>
    </row>
    <row r="7359" spans="8:8" x14ac:dyDescent="0.2">
      <c r="H7359">
        <v>0</v>
      </c>
    </row>
    <row r="7360" spans="8:8" x14ac:dyDescent="0.2">
      <c r="H7360">
        <v>0</v>
      </c>
    </row>
    <row r="7361" spans="8:8" x14ac:dyDescent="0.2">
      <c r="H7361">
        <v>0</v>
      </c>
    </row>
    <row r="7362" spans="8:8" x14ac:dyDescent="0.2">
      <c r="H7362">
        <v>0</v>
      </c>
    </row>
    <row r="7363" spans="8:8" x14ac:dyDescent="0.2">
      <c r="H7363">
        <v>0</v>
      </c>
    </row>
    <row r="7364" spans="8:8" x14ac:dyDescent="0.2">
      <c r="H7364">
        <v>0</v>
      </c>
    </row>
    <row r="7365" spans="8:8" x14ac:dyDescent="0.2">
      <c r="H7365">
        <v>0</v>
      </c>
    </row>
    <row r="7366" spans="8:8" x14ac:dyDescent="0.2">
      <c r="H7366">
        <v>0</v>
      </c>
    </row>
    <row r="7367" spans="8:8" x14ac:dyDescent="0.2">
      <c r="H7367">
        <v>0</v>
      </c>
    </row>
    <row r="7368" spans="8:8" x14ac:dyDescent="0.2">
      <c r="H7368">
        <v>0</v>
      </c>
    </row>
    <row r="7369" spans="8:8" x14ac:dyDescent="0.2">
      <c r="H7369">
        <v>0</v>
      </c>
    </row>
    <row r="7370" spans="8:8" x14ac:dyDescent="0.2">
      <c r="H7370">
        <v>0</v>
      </c>
    </row>
    <row r="7371" spans="8:8" x14ac:dyDescent="0.2">
      <c r="H7371">
        <v>0</v>
      </c>
    </row>
    <row r="7372" spans="8:8" x14ac:dyDescent="0.2">
      <c r="H7372">
        <v>0</v>
      </c>
    </row>
    <row r="7373" spans="8:8" x14ac:dyDescent="0.2">
      <c r="H7373">
        <v>0</v>
      </c>
    </row>
    <row r="7374" spans="8:8" x14ac:dyDescent="0.2">
      <c r="H7374">
        <v>0</v>
      </c>
    </row>
    <row r="7375" spans="8:8" x14ac:dyDescent="0.2">
      <c r="H7375">
        <v>0</v>
      </c>
    </row>
    <row r="7376" spans="8:8" x14ac:dyDescent="0.2">
      <c r="H7376">
        <v>0</v>
      </c>
    </row>
    <row r="7377" spans="8:8" x14ac:dyDescent="0.2">
      <c r="H7377">
        <v>0</v>
      </c>
    </row>
    <row r="7378" spans="8:8" x14ac:dyDescent="0.2">
      <c r="H7378">
        <v>0</v>
      </c>
    </row>
    <row r="7379" spans="8:8" x14ac:dyDescent="0.2">
      <c r="H7379">
        <v>0</v>
      </c>
    </row>
    <row r="7380" spans="8:8" x14ac:dyDescent="0.2">
      <c r="H7380">
        <v>0</v>
      </c>
    </row>
    <row r="7381" spans="8:8" x14ac:dyDescent="0.2">
      <c r="H7381">
        <v>0</v>
      </c>
    </row>
    <row r="7382" spans="8:8" x14ac:dyDescent="0.2">
      <c r="H7382">
        <v>0</v>
      </c>
    </row>
    <row r="7383" spans="8:8" x14ac:dyDescent="0.2">
      <c r="H7383">
        <v>0</v>
      </c>
    </row>
    <row r="7384" spans="8:8" x14ac:dyDescent="0.2">
      <c r="H7384">
        <v>0</v>
      </c>
    </row>
    <row r="7385" spans="8:8" x14ac:dyDescent="0.2">
      <c r="H7385">
        <v>0</v>
      </c>
    </row>
    <row r="7386" spans="8:8" x14ac:dyDescent="0.2">
      <c r="H7386">
        <v>0</v>
      </c>
    </row>
    <row r="7387" spans="8:8" x14ac:dyDescent="0.2">
      <c r="H7387">
        <v>0</v>
      </c>
    </row>
    <row r="7388" spans="8:8" x14ac:dyDescent="0.2">
      <c r="H7388">
        <v>0</v>
      </c>
    </row>
    <row r="7389" spans="8:8" x14ac:dyDescent="0.2">
      <c r="H7389">
        <v>0</v>
      </c>
    </row>
    <row r="7390" spans="8:8" x14ac:dyDescent="0.2">
      <c r="H7390">
        <v>0</v>
      </c>
    </row>
    <row r="7391" spans="8:8" x14ac:dyDescent="0.2">
      <c r="H7391">
        <v>0</v>
      </c>
    </row>
    <row r="7392" spans="8:8" x14ac:dyDescent="0.2">
      <c r="H7392">
        <v>0</v>
      </c>
    </row>
    <row r="7393" spans="8:8" x14ac:dyDescent="0.2">
      <c r="H7393">
        <v>0</v>
      </c>
    </row>
    <row r="7394" spans="8:8" x14ac:dyDescent="0.2">
      <c r="H7394">
        <v>0</v>
      </c>
    </row>
    <row r="7395" spans="8:8" x14ac:dyDescent="0.2">
      <c r="H7395">
        <v>0</v>
      </c>
    </row>
    <row r="7396" spans="8:8" x14ac:dyDescent="0.2">
      <c r="H7396">
        <v>0</v>
      </c>
    </row>
    <row r="7397" spans="8:8" x14ac:dyDescent="0.2">
      <c r="H7397">
        <v>0</v>
      </c>
    </row>
    <row r="7398" spans="8:8" x14ac:dyDescent="0.2">
      <c r="H7398">
        <v>0</v>
      </c>
    </row>
    <row r="7399" spans="8:8" x14ac:dyDescent="0.2">
      <c r="H7399">
        <v>0</v>
      </c>
    </row>
    <row r="7400" spans="8:8" x14ac:dyDescent="0.2">
      <c r="H7400">
        <v>0</v>
      </c>
    </row>
    <row r="7401" spans="8:8" x14ac:dyDescent="0.2">
      <c r="H7401">
        <v>0</v>
      </c>
    </row>
    <row r="7402" spans="8:8" x14ac:dyDescent="0.2">
      <c r="H7402">
        <v>0</v>
      </c>
    </row>
    <row r="7403" spans="8:8" x14ac:dyDescent="0.2">
      <c r="H7403">
        <v>0</v>
      </c>
    </row>
    <row r="7404" spans="8:8" x14ac:dyDescent="0.2">
      <c r="H7404">
        <v>0</v>
      </c>
    </row>
    <row r="7405" spans="8:8" x14ac:dyDescent="0.2">
      <c r="H7405">
        <v>0</v>
      </c>
    </row>
    <row r="7406" spans="8:8" x14ac:dyDescent="0.2">
      <c r="H7406">
        <v>0</v>
      </c>
    </row>
    <row r="7407" spans="8:8" x14ac:dyDescent="0.2">
      <c r="H7407">
        <v>0</v>
      </c>
    </row>
    <row r="7408" spans="8:8" x14ac:dyDescent="0.2">
      <c r="H7408">
        <v>0</v>
      </c>
    </row>
    <row r="7409" spans="8:8" x14ac:dyDescent="0.2">
      <c r="H7409">
        <v>0</v>
      </c>
    </row>
    <row r="7410" spans="8:8" x14ac:dyDescent="0.2">
      <c r="H7410">
        <v>0</v>
      </c>
    </row>
    <row r="7411" spans="8:8" x14ac:dyDescent="0.2">
      <c r="H7411">
        <v>0</v>
      </c>
    </row>
    <row r="7412" spans="8:8" x14ac:dyDescent="0.2">
      <c r="H7412">
        <v>0</v>
      </c>
    </row>
    <row r="7413" spans="8:8" x14ac:dyDescent="0.2">
      <c r="H7413">
        <v>0</v>
      </c>
    </row>
    <row r="7414" spans="8:8" x14ac:dyDescent="0.2">
      <c r="H7414">
        <v>0</v>
      </c>
    </row>
    <row r="7415" spans="8:8" x14ac:dyDescent="0.2">
      <c r="H7415">
        <v>0</v>
      </c>
    </row>
    <row r="7416" spans="8:8" x14ac:dyDescent="0.2">
      <c r="H7416">
        <v>0</v>
      </c>
    </row>
    <row r="7417" spans="8:8" x14ac:dyDescent="0.2">
      <c r="H7417">
        <v>0</v>
      </c>
    </row>
    <row r="7418" spans="8:8" x14ac:dyDescent="0.2">
      <c r="H7418">
        <v>0</v>
      </c>
    </row>
    <row r="7419" spans="8:8" x14ac:dyDescent="0.2">
      <c r="H7419">
        <v>0</v>
      </c>
    </row>
    <row r="7420" spans="8:8" x14ac:dyDescent="0.2">
      <c r="H7420">
        <v>0</v>
      </c>
    </row>
    <row r="7421" spans="8:8" x14ac:dyDescent="0.2">
      <c r="H7421">
        <v>0</v>
      </c>
    </row>
    <row r="7422" spans="8:8" x14ac:dyDescent="0.2">
      <c r="H7422">
        <v>0</v>
      </c>
    </row>
    <row r="7423" spans="8:8" x14ac:dyDescent="0.2">
      <c r="H7423">
        <v>0</v>
      </c>
    </row>
    <row r="7424" spans="8:8" x14ac:dyDescent="0.2">
      <c r="H7424">
        <v>0</v>
      </c>
    </row>
    <row r="7425" spans="8:8" x14ac:dyDescent="0.2">
      <c r="H7425">
        <v>0</v>
      </c>
    </row>
    <row r="7426" spans="8:8" x14ac:dyDescent="0.2">
      <c r="H7426">
        <v>0</v>
      </c>
    </row>
    <row r="7427" spans="8:8" x14ac:dyDescent="0.2">
      <c r="H7427">
        <v>0</v>
      </c>
    </row>
    <row r="7428" spans="8:8" x14ac:dyDescent="0.2">
      <c r="H7428">
        <v>0</v>
      </c>
    </row>
    <row r="7429" spans="8:8" x14ac:dyDescent="0.2">
      <c r="H7429">
        <v>0</v>
      </c>
    </row>
    <row r="7430" spans="8:8" x14ac:dyDescent="0.2">
      <c r="H7430">
        <v>0</v>
      </c>
    </row>
    <row r="7431" spans="8:8" x14ac:dyDescent="0.2">
      <c r="H7431">
        <v>0</v>
      </c>
    </row>
    <row r="7432" spans="8:8" x14ac:dyDescent="0.2">
      <c r="H7432">
        <v>0</v>
      </c>
    </row>
    <row r="7433" spans="8:8" x14ac:dyDescent="0.2">
      <c r="H7433">
        <v>0</v>
      </c>
    </row>
    <row r="7434" spans="8:8" x14ac:dyDescent="0.2">
      <c r="H7434">
        <v>0</v>
      </c>
    </row>
    <row r="7435" spans="8:8" x14ac:dyDescent="0.2">
      <c r="H7435">
        <v>0</v>
      </c>
    </row>
    <row r="7436" spans="8:8" x14ac:dyDescent="0.2">
      <c r="H7436">
        <v>0</v>
      </c>
    </row>
    <row r="7437" spans="8:8" x14ac:dyDescent="0.2">
      <c r="H7437">
        <v>0</v>
      </c>
    </row>
    <row r="7438" spans="8:8" x14ac:dyDescent="0.2">
      <c r="H7438">
        <v>0</v>
      </c>
    </row>
    <row r="7439" spans="8:8" x14ac:dyDescent="0.2">
      <c r="H7439">
        <v>0</v>
      </c>
    </row>
    <row r="7440" spans="8:8" x14ac:dyDescent="0.2">
      <c r="H7440">
        <v>0</v>
      </c>
    </row>
    <row r="7441" spans="8:8" x14ac:dyDescent="0.2">
      <c r="H7441">
        <v>0</v>
      </c>
    </row>
    <row r="7442" spans="8:8" x14ac:dyDescent="0.2">
      <c r="H7442">
        <v>0</v>
      </c>
    </row>
    <row r="7443" spans="8:8" x14ac:dyDescent="0.2">
      <c r="H7443">
        <v>0</v>
      </c>
    </row>
    <row r="7444" spans="8:8" x14ac:dyDescent="0.2">
      <c r="H7444">
        <v>0</v>
      </c>
    </row>
    <row r="7445" spans="8:8" x14ac:dyDescent="0.2">
      <c r="H7445">
        <v>0</v>
      </c>
    </row>
    <row r="7446" spans="8:8" x14ac:dyDescent="0.2">
      <c r="H7446">
        <v>0</v>
      </c>
    </row>
    <row r="7447" spans="8:8" x14ac:dyDescent="0.2">
      <c r="H7447">
        <v>0</v>
      </c>
    </row>
    <row r="7448" spans="8:8" x14ac:dyDescent="0.2">
      <c r="H7448">
        <v>0</v>
      </c>
    </row>
    <row r="7449" spans="8:8" x14ac:dyDescent="0.2">
      <c r="H7449">
        <v>0</v>
      </c>
    </row>
    <row r="7450" spans="8:8" x14ac:dyDescent="0.2">
      <c r="H7450">
        <v>0</v>
      </c>
    </row>
    <row r="7451" spans="8:8" x14ac:dyDescent="0.2">
      <c r="H7451">
        <v>0</v>
      </c>
    </row>
    <row r="7452" spans="8:8" x14ac:dyDescent="0.2">
      <c r="H7452">
        <v>0</v>
      </c>
    </row>
    <row r="7453" spans="8:8" x14ac:dyDescent="0.2">
      <c r="H7453">
        <v>0</v>
      </c>
    </row>
    <row r="7454" spans="8:8" x14ac:dyDescent="0.2">
      <c r="H7454">
        <v>0</v>
      </c>
    </row>
    <row r="7455" spans="8:8" x14ac:dyDescent="0.2">
      <c r="H7455">
        <v>0</v>
      </c>
    </row>
    <row r="7456" spans="8:8" x14ac:dyDescent="0.2">
      <c r="H7456">
        <v>0</v>
      </c>
    </row>
    <row r="7457" spans="8:8" x14ac:dyDescent="0.2">
      <c r="H7457">
        <v>0</v>
      </c>
    </row>
    <row r="7458" spans="8:8" x14ac:dyDescent="0.2">
      <c r="H7458">
        <v>0</v>
      </c>
    </row>
    <row r="7459" spans="8:8" x14ac:dyDescent="0.2">
      <c r="H7459">
        <v>0</v>
      </c>
    </row>
    <row r="7460" spans="8:8" x14ac:dyDescent="0.2">
      <c r="H7460">
        <v>0</v>
      </c>
    </row>
    <row r="7461" spans="8:8" x14ac:dyDescent="0.2">
      <c r="H7461">
        <v>0</v>
      </c>
    </row>
    <row r="7462" spans="8:8" x14ac:dyDescent="0.2">
      <c r="H7462">
        <v>0</v>
      </c>
    </row>
    <row r="7463" spans="8:8" x14ac:dyDescent="0.2">
      <c r="H7463">
        <v>0</v>
      </c>
    </row>
    <row r="7464" spans="8:8" x14ac:dyDescent="0.2">
      <c r="H7464">
        <v>0</v>
      </c>
    </row>
    <row r="7465" spans="8:8" x14ac:dyDescent="0.2">
      <c r="H7465">
        <v>0</v>
      </c>
    </row>
    <row r="7466" spans="8:8" x14ac:dyDescent="0.2">
      <c r="H7466">
        <v>0</v>
      </c>
    </row>
    <row r="7467" spans="8:8" x14ac:dyDescent="0.2">
      <c r="H7467">
        <v>0</v>
      </c>
    </row>
    <row r="7468" spans="8:8" x14ac:dyDescent="0.2">
      <c r="H7468">
        <v>0</v>
      </c>
    </row>
    <row r="7469" spans="8:8" x14ac:dyDescent="0.2">
      <c r="H7469">
        <v>0</v>
      </c>
    </row>
    <row r="7470" spans="8:8" x14ac:dyDescent="0.2">
      <c r="H7470">
        <v>0</v>
      </c>
    </row>
    <row r="7471" spans="8:8" x14ac:dyDescent="0.2">
      <c r="H7471">
        <v>0</v>
      </c>
    </row>
    <row r="7472" spans="8:8" x14ac:dyDescent="0.2">
      <c r="H7472">
        <v>0</v>
      </c>
    </row>
    <row r="7473" spans="8:8" x14ac:dyDescent="0.2">
      <c r="H7473">
        <v>0</v>
      </c>
    </row>
    <row r="7474" spans="8:8" x14ac:dyDescent="0.2">
      <c r="H7474">
        <v>0</v>
      </c>
    </row>
    <row r="7475" spans="8:8" x14ac:dyDescent="0.2">
      <c r="H7475">
        <v>0</v>
      </c>
    </row>
    <row r="7476" spans="8:8" x14ac:dyDescent="0.2">
      <c r="H7476">
        <v>0</v>
      </c>
    </row>
    <row r="7477" spans="8:8" x14ac:dyDescent="0.2">
      <c r="H7477">
        <v>0</v>
      </c>
    </row>
    <row r="7478" spans="8:8" x14ac:dyDescent="0.2">
      <c r="H7478">
        <v>0</v>
      </c>
    </row>
    <row r="7479" spans="8:8" x14ac:dyDescent="0.2">
      <c r="H7479">
        <v>0</v>
      </c>
    </row>
    <row r="7480" spans="8:8" x14ac:dyDescent="0.2">
      <c r="H7480">
        <v>0</v>
      </c>
    </row>
    <row r="7481" spans="8:8" x14ac:dyDescent="0.2">
      <c r="H7481">
        <v>0</v>
      </c>
    </row>
    <row r="7482" spans="8:8" x14ac:dyDescent="0.2">
      <c r="H7482">
        <v>0</v>
      </c>
    </row>
    <row r="7483" spans="8:8" x14ac:dyDescent="0.2">
      <c r="H7483">
        <v>0</v>
      </c>
    </row>
    <row r="7484" spans="8:8" x14ac:dyDescent="0.2">
      <c r="H7484">
        <v>0</v>
      </c>
    </row>
    <row r="7485" spans="8:8" x14ac:dyDescent="0.2">
      <c r="H7485">
        <v>0</v>
      </c>
    </row>
    <row r="7486" spans="8:8" x14ac:dyDescent="0.2">
      <c r="H7486">
        <v>0</v>
      </c>
    </row>
    <row r="7487" spans="8:8" x14ac:dyDescent="0.2">
      <c r="H7487">
        <v>0</v>
      </c>
    </row>
    <row r="7488" spans="8:8" x14ac:dyDescent="0.2">
      <c r="H7488">
        <v>0</v>
      </c>
    </row>
    <row r="7489" spans="8:8" x14ac:dyDescent="0.2">
      <c r="H7489">
        <v>0</v>
      </c>
    </row>
    <row r="7490" spans="8:8" x14ac:dyDescent="0.2">
      <c r="H7490">
        <v>0</v>
      </c>
    </row>
    <row r="7491" spans="8:8" x14ac:dyDescent="0.2">
      <c r="H7491">
        <v>0</v>
      </c>
    </row>
    <row r="7492" spans="8:8" x14ac:dyDescent="0.2">
      <c r="H7492">
        <v>0</v>
      </c>
    </row>
    <row r="7493" spans="8:8" x14ac:dyDescent="0.2">
      <c r="H7493">
        <v>0</v>
      </c>
    </row>
    <row r="7494" spans="8:8" x14ac:dyDescent="0.2">
      <c r="H7494">
        <v>0</v>
      </c>
    </row>
    <row r="7495" spans="8:8" x14ac:dyDescent="0.2">
      <c r="H7495">
        <v>0</v>
      </c>
    </row>
    <row r="7496" spans="8:8" x14ac:dyDescent="0.2">
      <c r="H7496">
        <v>0</v>
      </c>
    </row>
    <row r="7497" spans="8:8" x14ac:dyDescent="0.2">
      <c r="H7497">
        <v>0</v>
      </c>
    </row>
    <row r="7498" spans="8:8" x14ac:dyDescent="0.2">
      <c r="H7498">
        <v>0</v>
      </c>
    </row>
    <row r="7499" spans="8:8" x14ac:dyDescent="0.2">
      <c r="H7499">
        <v>0</v>
      </c>
    </row>
    <row r="7500" spans="8:8" x14ac:dyDescent="0.2">
      <c r="H7500">
        <v>0</v>
      </c>
    </row>
    <row r="7501" spans="8:8" x14ac:dyDescent="0.2">
      <c r="H7501">
        <v>0</v>
      </c>
    </row>
    <row r="7502" spans="8:8" x14ac:dyDescent="0.2">
      <c r="H7502">
        <v>0</v>
      </c>
    </row>
    <row r="7503" spans="8:8" x14ac:dyDescent="0.2">
      <c r="H7503">
        <v>0</v>
      </c>
    </row>
    <row r="7504" spans="8:8" x14ac:dyDescent="0.2">
      <c r="H7504">
        <v>0</v>
      </c>
    </row>
    <row r="7505" spans="8:8" x14ac:dyDescent="0.2">
      <c r="H7505">
        <v>0</v>
      </c>
    </row>
    <row r="7506" spans="8:8" x14ac:dyDescent="0.2">
      <c r="H7506">
        <v>0</v>
      </c>
    </row>
    <row r="7507" spans="8:8" x14ac:dyDescent="0.2">
      <c r="H7507">
        <v>0</v>
      </c>
    </row>
    <row r="7508" spans="8:8" x14ac:dyDescent="0.2">
      <c r="H7508">
        <v>0</v>
      </c>
    </row>
    <row r="7509" spans="8:8" x14ac:dyDescent="0.2">
      <c r="H7509">
        <v>0</v>
      </c>
    </row>
    <row r="7510" spans="8:8" x14ac:dyDescent="0.2">
      <c r="H7510">
        <v>0</v>
      </c>
    </row>
    <row r="7511" spans="8:8" x14ac:dyDescent="0.2">
      <c r="H7511">
        <v>0</v>
      </c>
    </row>
    <row r="7512" spans="8:8" x14ac:dyDescent="0.2">
      <c r="H7512">
        <v>0</v>
      </c>
    </row>
    <row r="7513" spans="8:8" x14ac:dyDescent="0.2">
      <c r="H7513">
        <v>0</v>
      </c>
    </row>
    <row r="7514" spans="8:8" x14ac:dyDescent="0.2">
      <c r="H7514">
        <v>0</v>
      </c>
    </row>
    <row r="7515" spans="8:8" x14ac:dyDescent="0.2">
      <c r="H7515">
        <v>0</v>
      </c>
    </row>
    <row r="7516" spans="8:8" x14ac:dyDescent="0.2">
      <c r="H7516">
        <v>0</v>
      </c>
    </row>
    <row r="7517" spans="8:8" x14ac:dyDescent="0.2">
      <c r="H7517">
        <v>0</v>
      </c>
    </row>
    <row r="7518" spans="8:8" x14ac:dyDescent="0.2">
      <c r="H7518">
        <v>0</v>
      </c>
    </row>
    <row r="7519" spans="8:8" x14ac:dyDescent="0.2">
      <c r="H7519">
        <v>0</v>
      </c>
    </row>
    <row r="7520" spans="8:8" x14ac:dyDescent="0.2">
      <c r="H7520">
        <v>0</v>
      </c>
    </row>
    <row r="7521" spans="8:8" x14ac:dyDescent="0.2">
      <c r="H7521">
        <v>0</v>
      </c>
    </row>
    <row r="7522" spans="8:8" x14ac:dyDescent="0.2">
      <c r="H7522">
        <v>0</v>
      </c>
    </row>
    <row r="7523" spans="8:8" x14ac:dyDescent="0.2">
      <c r="H7523">
        <v>0</v>
      </c>
    </row>
    <row r="7524" spans="8:8" x14ac:dyDescent="0.2">
      <c r="H7524">
        <v>0</v>
      </c>
    </row>
    <row r="7525" spans="8:8" x14ac:dyDescent="0.2">
      <c r="H7525">
        <v>0</v>
      </c>
    </row>
    <row r="7526" spans="8:8" x14ac:dyDescent="0.2">
      <c r="H7526">
        <v>0</v>
      </c>
    </row>
    <row r="7527" spans="8:8" x14ac:dyDescent="0.2">
      <c r="H7527">
        <v>0</v>
      </c>
    </row>
    <row r="7528" spans="8:8" x14ac:dyDescent="0.2">
      <c r="H7528">
        <v>0</v>
      </c>
    </row>
    <row r="7529" spans="8:8" x14ac:dyDescent="0.2">
      <c r="H7529">
        <v>0</v>
      </c>
    </row>
    <row r="7530" spans="8:8" x14ac:dyDescent="0.2">
      <c r="H7530">
        <v>0</v>
      </c>
    </row>
    <row r="7531" spans="8:8" x14ac:dyDescent="0.2">
      <c r="H7531">
        <v>0</v>
      </c>
    </row>
    <row r="7532" spans="8:8" x14ac:dyDescent="0.2">
      <c r="H7532">
        <v>0</v>
      </c>
    </row>
    <row r="7533" spans="8:8" x14ac:dyDescent="0.2">
      <c r="H7533">
        <v>0</v>
      </c>
    </row>
    <row r="7534" spans="8:8" x14ac:dyDescent="0.2">
      <c r="H7534">
        <v>0</v>
      </c>
    </row>
    <row r="7535" spans="8:8" x14ac:dyDescent="0.2">
      <c r="H7535">
        <v>0</v>
      </c>
    </row>
    <row r="7536" spans="8:8" x14ac:dyDescent="0.2">
      <c r="H7536">
        <v>0</v>
      </c>
    </row>
    <row r="7537" spans="8:8" x14ac:dyDescent="0.2">
      <c r="H7537">
        <v>0</v>
      </c>
    </row>
    <row r="7538" spans="8:8" x14ac:dyDescent="0.2">
      <c r="H7538">
        <v>0</v>
      </c>
    </row>
    <row r="7539" spans="8:8" x14ac:dyDescent="0.2">
      <c r="H7539">
        <v>0</v>
      </c>
    </row>
    <row r="7540" spans="8:8" x14ac:dyDescent="0.2">
      <c r="H7540">
        <v>0</v>
      </c>
    </row>
    <row r="7541" spans="8:8" x14ac:dyDescent="0.2">
      <c r="H7541">
        <v>0</v>
      </c>
    </row>
    <row r="7542" spans="8:8" x14ac:dyDescent="0.2">
      <c r="H7542">
        <v>0</v>
      </c>
    </row>
    <row r="7543" spans="8:8" x14ac:dyDescent="0.2">
      <c r="H7543">
        <v>0</v>
      </c>
    </row>
    <row r="7544" spans="8:8" x14ac:dyDescent="0.2">
      <c r="H7544">
        <v>0</v>
      </c>
    </row>
    <row r="7545" spans="8:8" x14ac:dyDescent="0.2">
      <c r="H7545">
        <v>0</v>
      </c>
    </row>
    <row r="7546" spans="8:8" x14ac:dyDescent="0.2">
      <c r="H7546">
        <v>0</v>
      </c>
    </row>
    <row r="7547" spans="8:8" x14ac:dyDescent="0.2">
      <c r="H7547">
        <v>0</v>
      </c>
    </row>
    <row r="7548" spans="8:8" x14ac:dyDescent="0.2">
      <c r="H7548">
        <v>0</v>
      </c>
    </row>
    <row r="7549" spans="8:8" x14ac:dyDescent="0.2">
      <c r="H7549">
        <v>0</v>
      </c>
    </row>
    <row r="7550" spans="8:8" x14ac:dyDescent="0.2">
      <c r="H7550">
        <v>0</v>
      </c>
    </row>
    <row r="7551" spans="8:8" x14ac:dyDescent="0.2">
      <c r="H7551">
        <v>0</v>
      </c>
    </row>
    <row r="7552" spans="8:8" x14ac:dyDescent="0.2">
      <c r="H7552">
        <v>0</v>
      </c>
    </row>
    <row r="7553" spans="8:8" x14ac:dyDescent="0.2">
      <c r="H7553">
        <v>0</v>
      </c>
    </row>
    <row r="7554" spans="8:8" x14ac:dyDescent="0.2">
      <c r="H7554">
        <v>0</v>
      </c>
    </row>
    <row r="7555" spans="8:8" x14ac:dyDescent="0.2">
      <c r="H7555">
        <v>0</v>
      </c>
    </row>
    <row r="7556" spans="8:8" x14ac:dyDescent="0.2">
      <c r="H7556">
        <v>0</v>
      </c>
    </row>
    <row r="7557" spans="8:8" x14ac:dyDescent="0.2">
      <c r="H7557">
        <v>0</v>
      </c>
    </row>
    <row r="7558" spans="8:8" x14ac:dyDescent="0.2">
      <c r="H7558">
        <v>0</v>
      </c>
    </row>
    <row r="7559" spans="8:8" x14ac:dyDescent="0.2">
      <c r="H7559">
        <v>0</v>
      </c>
    </row>
    <row r="7560" spans="8:8" x14ac:dyDescent="0.2">
      <c r="H7560">
        <v>0</v>
      </c>
    </row>
    <row r="7561" spans="8:8" x14ac:dyDescent="0.2">
      <c r="H7561">
        <v>0</v>
      </c>
    </row>
    <row r="7562" spans="8:8" x14ac:dyDescent="0.2">
      <c r="H7562">
        <v>0</v>
      </c>
    </row>
    <row r="7563" spans="8:8" x14ac:dyDescent="0.2">
      <c r="H7563">
        <v>0</v>
      </c>
    </row>
    <row r="7564" spans="8:8" x14ac:dyDescent="0.2">
      <c r="H7564">
        <v>0</v>
      </c>
    </row>
    <row r="7565" spans="8:8" x14ac:dyDescent="0.2">
      <c r="H7565">
        <v>0</v>
      </c>
    </row>
    <row r="7566" spans="8:8" x14ac:dyDescent="0.2">
      <c r="H7566">
        <v>0</v>
      </c>
    </row>
    <row r="7567" spans="8:8" x14ac:dyDescent="0.2">
      <c r="H7567">
        <v>0</v>
      </c>
    </row>
    <row r="7568" spans="8:8" x14ac:dyDescent="0.2">
      <c r="H7568">
        <v>0</v>
      </c>
    </row>
    <row r="7569" spans="8:8" x14ac:dyDescent="0.2">
      <c r="H7569">
        <v>0</v>
      </c>
    </row>
    <row r="7570" spans="8:8" x14ac:dyDescent="0.2">
      <c r="H7570">
        <v>0</v>
      </c>
    </row>
    <row r="7571" spans="8:8" x14ac:dyDescent="0.2">
      <c r="H7571">
        <v>0</v>
      </c>
    </row>
    <row r="7572" spans="8:8" x14ac:dyDescent="0.2">
      <c r="H7572">
        <v>0</v>
      </c>
    </row>
    <row r="7573" spans="8:8" x14ac:dyDescent="0.2">
      <c r="H7573">
        <v>0</v>
      </c>
    </row>
    <row r="7574" spans="8:8" x14ac:dyDescent="0.2">
      <c r="H7574">
        <v>0</v>
      </c>
    </row>
    <row r="7575" spans="8:8" x14ac:dyDescent="0.2">
      <c r="H7575">
        <v>0</v>
      </c>
    </row>
    <row r="7576" spans="8:8" x14ac:dyDescent="0.2">
      <c r="H7576">
        <v>0</v>
      </c>
    </row>
    <row r="7577" spans="8:8" x14ac:dyDescent="0.2">
      <c r="H7577">
        <v>0</v>
      </c>
    </row>
    <row r="7578" spans="8:8" x14ac:dyDescent="0.2">
      <c r="H7578">
        <v>0</v>
      </c>
    </row>
    <row r="7579" spans="8:8" x14ac:dyDescent="0.2">
      <c r="H7579">
        <v>0</v>
      </c>
    </row>
    <row r="7580" spans="8:8" x14ac:dyDescent="0.2">
      <c r="H7580">
        <v>0</v>
      </c>
    </row>
    <row r="7581" spans="8:8" x14ac:dyDescent="0.2">
      <c r="H7581">
        <v>0</v>
      </c>
    </row>
    <row r="7582" spans="8:8" x14ac:dyDescent="0.2">
      <c r="H7582">
        <v>0</v>
      </c>
    </row>
    <row r="7583" spans="8:8" x14ac:dyDescent="0.2">
      <c r="H7583">
        <v>0</v>
      </c>
    </row>
    <row r="7584" spans="8:8" x14ac:dyDescent="0.2">
      <c r="H7584">
        <v>0</v>
      </c>
    </row>
    <row r="7585" spans="8:8" x14ac:dyDescent="0.2">
      <c r="H7585">
        <v>0</v>
      </c>
    </row>
    <row r="7586" spans="8:8" x14ac:dyDescent="0.2">
      <c r="H7586">
        <v>0</v>
      </c>
    </row>
    <row r="7587" spans="8:8" x14ac:dyDescent="0.2">
      <c r="H7587">
        <v>0</v>
      </c>
    </row>
    <row r="7588" spans="8:8" x14ac:dyDescent="0.2">
      <c r="H7588">
        <v>0</v>
      </c>
    </row>
    <row r="7589" spans="8:8" x14ac:dyDescent="0.2">
      <c r="H7589">
        <v>0</v>
      </c>
    </row>
    <row r="7590" spans="8:8" x14ac:dyDescent="0.2">
      <c r="H7590">
        <v>0</v>
      </c>
    </row>
    <row r="7591" spans="8:8" x14ac:dyDescent="0.2">
      <c r="H7591">
        <v>0</v>
      </c>
    </row>
    <row r="7592" spans="8:8" x14ac:dyDescent="0.2">
      <c r="H7592">
        <v>0</v>
      </c>
    </row>
    <row r="7593" spans="8:8" x14ac:dyDescent="0.2">
      <c r="H7593">
        <v>0</v>
      </c>
    </row>
    <row r="7594" spans="8:8" x14ac:dyDescent="0.2">
      <c r="H7594">
        <v>0</v>
      </c>
    </row>
    <row r="7595" spans="8:8" x14ac:dyDescent="0.2">
      <c r="H7595">
        <v>0</v>
      </c>
    </row>
    <row r="7596" spans="8:8" x14ac:dyDescent="0.2">
      <c r="H7596">
        <v>0</v>
      </c>
    </row>
    <row r="7597" spans="8:8" x14ac:dyDescent="0.2">
      <c r="H7597">
        <v>0</v>
      </c>
    </row>
    <row r="7598" spans="8:8" x14ac:dyDescent="0.2">
      <c r="H7598">
        <v>0</v>
      </c>
    </row>
    <row r="7599" spans="8:8" x14ac:dyDescent="0.2">
      <c r="H7599">
        <v>0</v>
      </c>
    </row>
    <row r="7600" spans="8:8" x14ac:dyDescent="0.2">
      <c r="H7600">
        <v>0</v>
      </c>
    </row>
    <row r="7601" spans="8:8" x14ac:dyDescent="0.2">
      <c r="H7601">
        <v>0</v>
      </c>
    </row>
    <row r="7602" spans="8:8" x14ac:dyDescent="0.2">
      <c r="H7602">
        <v>0</v>
      </c>
    </row>
    <row r="7603" spans="8:8" x14ac:dyDescent="0.2">
      <c r="H7603">
        <v>0</v>
      </c>
    </row>
    <row r="7604" spans="8:8" x14ac:dyDescent="0.2">
      <c r="H7604">
        <v>0</v>
      </c>
    </row>
    <row r="7605" spans="8:8" x14ac:dyDescent="0.2">
      <c r="H7605">
        <v>0</v>
      </c>
    </row>
    <row r="7606" spans="8:8" x14ac:dyDescent="0.2">
      <c r="H7606">
        <v>0</v>
      </c>
    </row>
    <row r="7607" spans="8:8" x14ac:dyDescent="0.2">
      <c r="H7607">
        <v>0</v>
      </c>
    </row>
    <row r="7608" spans="8:8" x14ac:dyDescent="0.2">
      <c r="H7608">
        <v>0</v>
      </c>
    </row>
    <row r="7609" spans="8:8" x14ac:dyDescent="0.2">
      <c r="H7609">
        <v>0</v>
      </c>
    </row>
    <row r="7610" spans="8:8" x14ac:dyDescent="0.2">
      <c r="H7610">
        <v>0</v>
      </c>
    </row>
    <row r="7611" spans="8:8" x14ac:dyDescent="0.2">
      <c r="H7611">
        <v>0</v>
      </c>
    </row>
    <row r="7612" spans="8:8" x14ac:dyDescent="0.2">
      <c r="H7612">
        <v>0</v>
      </c>
    </row>
    <row r="7613" spans="8:8" x14ac:dyDescent="0.2">
      <c r="H7613">
        <v>0</v>
      </c>
    </row>
    <row r="7614" spans="8:8" x14ac:dyDescent="0.2">
      <c r="H7614">
        <v>0</v>
      </c>
    </row>
    <row r="7615" spans="8:8" x14ac:dyDescent="0.2">
      <c r="H7615">
        <v>0</v>
      </c>
    </row>
    <row r="7616" spans="8:8" x14ac:dyDescent="0.2">
      <c r="H7616">
        <v>0</v>
      </c>
    </row>
    <row r="7617" spans="8:8" x14ac:dyDescent="0.2">
      <c r="H7617">
        <v>0</v>
      </c>
    </row>
    <row r="7618" spans="8:8" x14ac:dyDescent="0.2">
      <c r="H7618">
        <v>0</v>
      </c>
    </row>
    <row r="7619" spans="8:8" x14ac:dyDescent="0.2">
      <c r="H7619">
        <v>0</v>
      </c>
    </row>
    <row r="7620" spans="8:8" x14ac:dyDescent="0.2">
      <c r="H7620">
        <v>0</v>
      </c>
    </row>
    <row r="7621" spans="8:8" x14ac:dyDescent="0.2">
      <c r="H7621">
        <v>0</v>
      </c>
    </row>
    <row r="7622" spans="8:8" x14ac:dyDescent="0.2">
      <c r="H7622">
        <v>0</v>
      </c>
    </row>
    <row r="7623" spans="8:8" x14ac:dyDescent="0.2">
      <c r="H7623">
        <v>0</v>
      </c>
    </row>
    <row r="7624" spans="8:8" x14ac:dyDescent="0.2">
      <c r="H7624">
        <v>0</v>
      </c>
    </row>
    <row r="7625" spans="8:8" x14ac:dyDescent="0.2">
      <c r="H7625">
        <v>0</v>
      </c>
    </row>
    <row r="7626" spans="8:8" x14ac:dyDescent="0.2">
      <c r="H7626">
        <v>0</v>
      </c>
    </row>
    <row r="7627" spans="8:8" x14ac:dyDescent="0.2">
      <c r="H7627">
        <v>0</v>
      </c>
    </row>
    <row r="7628" spans="8:8" x14ac:dyDescent="0.2">
      <c r="H7628">
        <v>0</v>
      </c>
    </row>
    <row r="7629" spans="8:8" x14ac:dyDescent="0.2">
      <c r="H7629">
        <v>0</v>
      </c>
    </row>
    <row r="7630" spans="8:8" x14ac:dyDescent="0.2">
      <c r="H7630">
        <v>0</v>
      </c>
    </row>
    <row r="7631" spans="8:8" x14ac:dyDescent="0.2">
      <c r="H7631">
        <v>0</v>
      </c>
    </row>
    <row r="7632" spans="8:8" x14ac:dyDescent="0.2">
      <c r="H7632">
        <v>0</v>
      </c>
    </row>
    <row r="7633" spans="8:8" x14ac:dyDescent="0.2">
      <c r="H7633">
        <v>0</v>
      </c>
    </row>
    <row r="7634" spans="8:8" x14ac:dyDescent="0.2">
      <c r="H7634">
        <v>0</v>
      </c>
    </row>
    <row r="7635" spans="8:8" x14ac:dyDescent="0.2">
      <c r="H7635">
        <v>0</v>
      </c>
    </row>
    <row r="7636" spans="8:8" x14ac:dyDescent="0.2">
      <c r="H7636">
        <v>0</v>
      </c>
    </row>
    <row r="7637" spans="8:8" x14ac:dyDescent="0.2">
      <c r="H7637">
        <v>0</v>
      </c>
    </row>
    <row r="7638" spans="8:8" x14ac:dyDescent="0.2">
      <c r="H7638">
        <v>0</v>
      </c>
    </row>
    <row r="7639" spans="8:8" x14ac:dyDescent="0.2">
      <c r="H7639">
        <v>0</v>
      </c>
    </row>
    <row r="7640" spans="8:8" x14ac:dyDescent="0.2">
      <c r="H7640">
        <v>0</v>
      </c>
    </row>
    <row r="7641" spans="8:8" x14ac:dyDescent="0.2">
      <c r="H7641">
        <v>0</v>
      </c>
    </row>
    <row r="7642" spans="8:8" x14ac:dyDescent="0.2">
      <c r="H7642">
        <v>0</v>
      </c>
    </row>
    <row r="7643" spans="8:8" x14ac:dyDescent="0.2">
      <c r="H7643">
        <v>0</v>
      </c>
    </row>
    <row r="7644" spans="8:8" x14ac:dyDescent="0.2">
      <c r="H7644">
        <v>0</v>
      </c>
    </row>
    <row r="7645" spans="8:8" x14ac:dyDescent="0.2">
      <c r="H7645">
        <v>0</v>
      </c>
    </row>
    <row r="7646" spans="8:8" x14ac:dyDescent="0.2">
      <c r="H7646">
        <v>0</v>
      </c>
    </row>
    <row r="7647" spans="8:8" x14ac:dyDescent="0.2">
      <c r="H7647">
        <v>0</v>
      </c>
    </row>
    <row r="7648" spans="8:8" x14ac:dyDescent="0.2">
      <c r="H7648">
        <v>0</v>
      </c>
    </row>
    <row r="7649" spans="8:8" x14ac:dyDescent="0.2">
      <c r="H7649">
        <v>0</v>
      </c>
    </row>
    <row r="7650" spans="8:8" x14ac:dyDescent="0.2">
      <c r="H7650">
        <v>0</v>
      </c>
    </row>
    <row r="7651" spans="8:8" x14ac:dyDescent="0.2">
      <c r="H7651">
        <v>0</v>
      </c>
    </row>
    <row r="7652" spans="8:8" x14ac:dyDescent="0.2">
      <c r="H7652">
        <v>0</v>
      </c>
    </row>
    <row r="7653" spans="8:8" x14ac:dyDescent="0.2">
      <c r="H7653">
        <v>0</v>
      </c>
    </row>
    <row r="7654" spans="8:8" x14ac:dyDescent="0.2">
      <c r="H7654">
        <v>0</v>
      </c>
    </row>
    <row r="7655" spans="8:8" x14ac:dyDescent="0.2">
      <c r="H7655">
        <v>0</v>
      </c>
    </row>
    <row r="7656" spans="8:8" x14ac:dyDescent="0.2">
      <c r="H7656">
        <v>0</v>
      </c>
    </row>
    <row r="7657" spans="8:8" x14ac:dyDescent="0.2">
      <c r="H7657">
        <v>0</v>
      </c>
    </row>
    <row r="7658" spans="8:8" x14ac:dyDescent="0.2">
      <c r="H7658">
        <v>0</v>
      </c>
    </row>
    <row r="7659" spans="8:8" x14ac:dyDescent="0.2">
      <c r="H7659">
        <v>0</v>
      </c>
    </row>
    <row r="7660" spans="8:8" x14ac:dyDescent="0.2">
      <c r="H7660">
        <v>0</v>
      </c>
    </row>
    <row r="7661" spans="8:8" x14ac:dyDescent="0.2">
      <c r="H7661">
        <v>0</v>
      </c>
    </row>
    <row r="7662" spans="8:8" x14ac:dyDescent="0.2">
      <c r="H7662">
        <v>0</v>
      </c>
    </row>
    <row r="7663" spans="8:8" x14ac:dyDescent="0.2">
      <c r="H7663">
        <v>0</v>
      </c>
    </row>
    <row r="7664" spans="8:8" x14ac:dyDescent="0.2">
      <c r="H7664">
        <v>0</v>
      </c>
    </row>
    <row r="7665" spans="8:8" x14ac:dyDescent="0.2">
      <c r="H7665">
        <v>0</v>
      </c>
    </row>
    <row r="7666" spans="8:8" x14ac:dyDescent="0.2">
      <c r="H7666">
        <v>0</v>
      </c>
    </row>
    <row r="7667" spans="8:8" x14ac:dyDescent="0.2">
      <c r="H7667">
        <v>0</v>
      </c>
    </row>
    <row r="7668" spans="8:8" x14ac:dyDescent="0.2">
      <c r="H7668">
        <v>0</v>
      </c>
    </row>
    <row r="7669" spans="8:8" x14ac:dyDescent="0.2">
      <c r="H7669">
        <v>0</v>
      </c>
    </row>
    <row r="7670" spans="8:8" x14ac:dyDescent="0.2">
      <c r="H7670">
        <v>0</v>
      </c>
    </row>
    <row r="7671" spans="8:8" x14ac:dyDescent="0.2">
      <c r="H7671">
        <v>0</v>
      </c>
    </row>
    <row r="7672" spans="8:8" x14ac:dyDescent="0.2">
      <c r="H7672">
        <v>0</v>
      </c>
    </row>
    <row r="7673" spans="8:8" x14ac:dyDescent="0.2">
      <c r="H7673">
        <v>0</v>
      </c>
    </row>
    <row r="7674" spans="8:8" x14ac:dyDescent="0.2">
      <c r="H7674">
        <v>0</v>
      </c>
    </row>
    <row r="7675" spans="8:8" x14ac:dyDescent="0.2">
      <c r="H7675">
        <v>0</v>
      </c>
    </row>
    <row r="7676" spans="8:8" x14ac:dyDescent="0.2">
      <c r="H7676">
        <v>0</v>
      </c>
    </row>
    <row r="7677" spans="8:8" x14ac:dyDescent="0.2">
      <c r="H7677">
        <v>0</v>
      </c>
    </row>
    <row r="7678" spans="8:8" x14ac:dyDescent="0.2">
      <c r="H7678">
        <v>0</v>
      </c>
    </row>
    <row r="7679" spans="8:8" x14ac:dyDescent="0.2">
      <c r="H7679">
        <v>0</v>
      </c>
    </row>
    <row r="7680" spans="8:8" x14ac:dyDescent="0.2">
      <c r="H7680">
        <v>0</v>
      </c>
    </row>
    <row r="7681" spans="8:8" x14ac:dyDescent="0.2">
      <c r="H7681">
        <v>0</v>
      </c>
    </row>
    <row r="7682" spans="8:8" x14ac:dyDescent="0.2">
      <c r="H7682">
        <v>0</v>
      </c>
    </row>
    <row r="7683" spans="8:8" x14ac:dyDescent="0.2">
      <c r="H7683">
        <v>0</v>
      </c>
    </row>
    <row r="7684" spans="8:8" x14ac:dyDescent="0.2">
      <c r="H7684">
        <v>0</v>
      </c>
    </row>
    <row r="7685" spans="8:8" x14ac:dyDescent="0.2">
      <c r="H7685">
        <v>0</v>
      </c>
    </row>
    <row r="7686" spans="8:8" x14ac:dyDescent="0.2">
      <c r="H7686">
        <v>0</v>
      </c>
    </row>
    <row r="7687" spans="8:8" x14ac:dyDescent="0.2">
      <c r="H7687">
        <v>0</v>
      </c>
    </row>
    <row r="7688" spans="8:8" x14ac:dyDescent="0.2">
      <c r="H7688">
        <v>0</v>
      </c>
    </row>
    <row r="7689" spans="8:8" x14ac:dyDescent="0.2">
      <c r="H7689">
        <v>0</v>
      </c>
    </row>
    <row r="7690" spans="8:8" x14ac:dyDescent="0.2">
      <c r="H7690">
        <v>0</v>
      </c>
    </row>
    <row r="7691" spans="8:8" x14ac:dyDescent="0.2">
      <c r="H7691">
        <v>0</v>
      </c>
    </row>
    <row r="7692" spans="8:8" x14ac:dyDescent="0.2">
      <c r="H7692">
        <v>0</v>
      </c>
    </row>
    <row r="7693" spans="8:8" x14ac:dyDescent="0.2">
      <c r="H7693">
        <v>0</v>
      </c>
    </row>
    <row r="7694" spans="8:8" x14ac:dyDescent="0.2">
      <c r="H7694">
        <v>0</v>
      </c>
    </row>
    <row r="7695" spans="8:8" x14ac:dyDescent="0.2">
      <c r="H7695">
        <v>0</v>
      </c>
    </row>
    <row r="7696" spans="8:8" x14ac:dyDescent="0.2">
      <c r="H7696">
        <v>0</v>
      </c>
    </row>
    <row r="7697" spans="8:8" x14ac:dyDescent="0.2">
      <c r="H7697">
        <v>0</v>
      </c>
    </row>
    <row r="7698" spans="8:8" x14ac:dyDescent="0.2">
      <c r="H7698">
        <v>0</v>
      </c>
    </row>
    <row r="7699" spans="8:8" x14ac:dyDescent="0.2">
      <c r="H7699">
        <v>0</v>
      </c>
    </row>
    <row r="7700" spans="8:8" x14ac:dyDescent="0.2">
      <c r="H7700">
        <v>0</v>
      </c>
    </row>
    <row r="7701" spans="8:8" x14ac:dyDescent="0.2">
      <c r="H7701">
        <v>0</v>
      </c>
    </row>
    <row r="7702" spans="8:8" x14ac:dyDescent="0.2">
      <c r="H7702">
        <v>0</v>
      </c>
    </row>
    <row r="7703" spans="8:8" x14ac:dyDescent="0.2">
      <c r="H7703">
        <v>0</v>
      </c>
    </row>
    <row r="7704" spans="8:8" x14ac:dyDescent="0.2">
      <c r="H7704">
        <v>0</v>
      </c>
    </row>
    <row r="7705" spans="8:8" x14ac:dyDescent="0.2">
      <c r="H7705">
        <v>0</v>
      </c>
    </row>
    <row r="7706" spans="8:8" x14ac:dyDescent="0.2">
      <c r="H7706">
        <v>0</v>
      </c>
    </row>
    <row r="7707" spans="8:8" x14ac:dyDescent="0.2">
      <c r="H7707">
        <v>0</v>
      </c>
    </row>
    <row r="7708" spans="8:8" x14ac:dyDescent="0.2">
      <c r="H7708">
        <v>0</v>
      </c>
    </row>
    <row r="7709" spans="8:8" x14ac:dyDescent="0.2">
      <c r="H7709">
        <v>0</v>
      </c>
    </row>
    <row r="7710" spans="8:8" x14ac:dyDescent="0.2">
      <c r="H7710">
        <v>0</v>
      </c>
    </row>
    <row r="7711" spans="8:8" x14ac:dyDescent="0.2">
      <c r="H7711">
        <v>0</v>
      </c>
    </row>
    <row r="7712" spans="8:8" x14ac:dyDescent="0.2">
      <c r="H7712">
        <v>0</v>
      </c>
    </row>
    <row r="7713" spans="8:8" x14ac:dyDescent="0.2">
      <c r="H7713">
        <v>0</v>
      </c>
    </row>
    <row r="7714" spans="8:8" x14ac:dyDescent="0.2">
      <c r="H7714">
        <v>0</v>
      </c>
    </row>
    <row r="7715" spans="8:8" x14ac:dyDescent="0.2">
      <c r="H7715">
        <v>0</v>
      </c>
    </row>
    <row r="7716" spans="8:8" x14ac:dyDescent="0.2">
      <c r="H7716">
        <v>0</v>
      </c>
    </row>
    <row r="7717" spans="8:8" x14ac:dyDescent="0.2">
      <c r="H7717">
        <v>0</v>
      </c>
    </row>
    <row r="7718" spans="8:8" x14ac:dyDescent="0.2">
      <c r="H7718">
        <v>0</v>
      </c>
    </row>
    <row r="7719" spans="8:8" x14ac:dyDescent="0.2">
      <c r="H7719">
        <v>0</v>
      </c>
    </row>
    <row r="7720" spans="8:8" x14ac:dyDescent="0.2">
      <c r="H7720">
        <v>0</v>
      </c>
    </row>
    <row r="7721" spans="8:8" x14ac:dyDescent="0.2">
      <c r="H7721">
        <v>0</v>
      </c>
    </row>
    <row r="7722" spans="8:8" x14ac:dyDescent="0.2">
      <c r="H7722">
        <v>0</v>
      </c>
    </row>
    <row r="7723" spans="8:8" x14ac:dyDescent="0.2">
      <c r="H7723">
        <v>0</v>
      </c>
    </row>
    <row r="7724" spans="8:8" x14ac:dyDescent="0.2">
      <c r="H7724">
        <v>0</v>
      </c>
    </row>
    <row r="7725" spans="8:8" x14ac:dyDescent="0.2">
      <c r="H7725">
        <v>0</v>
      </c>
    </row>
    <row r="7726" spans="8:8" x14ac:dyDescent="0.2">
      <c r="H7726">
        <v>0</v>
      </c>
    </row>
    <row r="7727" spans="8:8" x14ac:dyDescent="0.2">
      <c r="H7727">
        <v>0</v>
      </c>
    </row>
    <row r="7728" spans="8:8" x14ac:dyDescent="0.2">
      <c r="H7728">
        <v>0</v>
      </c>
    </row>
    <row r="7729" spans="8:8" x14ac:dyDescent="0.2">
      <c r="H7729">
        <v>0</v>
      </c>
    </row>
    <row r="7730" spans="8:8" x14ac:dyDescent="0.2">
      <c r="H7730">
        <v>0</v>
      </c>
    </row>
    <row r="7731" spans="8:8" x14ac:dyDescent="0.2">
      <c r="H7731">
        <v>0</v>
      </c>
    </row>
    <row r="7732" spans="8:8" x14ac:dyDescent="0.2">
      <c r="H7732">
        <v>0</v>
      </c>
    </row>
    <row r="7733" spans="8:8" x14ac:dyDescent="0.2">
      <c r="H7733">
        <v>0</v>
      </c>
    </row>
    <row r="7734" spans="8:8" x14ac:dyDescent="0.2">
      <c r="H7734">
        <v>0</v>
      </c>
    </row>
    <row r="7735" spans="8:8" x14ac:dyDescent="0.2">
      <c r="H7735">
        <v>0</v>
      </c>
    </row>
    <row r="7736" spans="8:8" x14ac:dyDescent="0.2">
      <c r="H7736">
        <v>0</v>
      </c>
    </row>
    <row r="7737" spans="8:8" x14ac:dyDescent="0.2">
      <c r="H7737">
        <v>0</v>
      </c>
    </row>
    <row r="7738" spans="8:8" x14ac:dyDescent="0.2">
      <c r="H7738">
        <v>0</v>
      </c>
    </row>
    <row r="7739" spans="8:8" x14ac:dyDescent="0.2">
      <c r="H7739">
        <v>0</v>
      </c>
    </row>
    <row r="7740" spans="8:8" x14ac:dyDescent="0.2">
      <c r="H7740">
        <v>0</v>
      </c>
    </row>
    <row r="7741" spans="8:8" x14ac:dyDescent="0.2">
      <c r="H7741">
        <v>0</v>
      </c>
    </row>
    <row r="7742" spans="8:8" x14ac:dyDescent="0.2">
      <c r="H7742">
        <v>0</v>
      </c>
    </row>
    <row r="7743" spans="8:8" x14ac:dyDescent="0.2">
      <c r="H7743">
        <v>0</v>
      </c>
    </row>
    <row r="7744" spans="8:8" x14ac:dyDescent="0.2">
      <c r="H7744">
        <v>0</v>
      </c>
    </row>
    <row r="7745" spans="8:8" x14ac:dyDescent="0.2">
      <c r="H7745">
        <v>0</v>
      </c>
    </row>
    <row r="7746" spans="8:8" x14ac:dyDescent="0.2">
      <c r="H7746">
        <v>0</v>
      </c>
    </row>
    <row r="7747" spans="8:8" x14ac:dyDescent="0.2">
      <c r="H7747">
        <v>0</v>
      </c>
    </row>
    <row r="7748" spans="8:8" x14ac:dyDescent="0.2">
      <c r="H7748">
        <v>0</v>
      </c>
    </row>
    <row r="7749" spans="8:8" x14ac:dyDescent="0.2">
      <c r="H7749">
        <v>0</v>
      </c>
    </row>
    <row r="7750" spans="8:8" x14ac:dyDescent="0.2">
      <c r="H7750">
        <v>0</v>
      </c>
    </row>
    <row r="7751" spans="8:8" x14ac:dyDescent="0.2">
      <c r="H7751">
        <v>0</v>
      </c>
    </row>
    <row r="7752" spans="8:8" x14ac:dyDescent="0.2">
      <c r="H7752">
        <v>0</v>
      </c>
    </row>
    <row r="7753" spans="8:8" x14ac:dyDescent="0.2">
      <c r="H7753">
        <v>0</v>
      </c>
    </row>
    <row r="7754" spans="8:8" x14ac:dyDescent="0.2">
      <c r="H7754">
        <v>0</v>
      </c>
    </row>
    <row r="7755" spans="8:8" x14ac:dyDescent="0.2">
      <c r="H7755">
        <v>0</v>
      </c>
    </row>
    <row r="7756" spans="8:8" x14ac:dyDescent="0.2">
      <c r="H7756">
        <v>0</v>
      </c>
    </row>
    <row r="7757" spans="8:8" x14ac:dyDescent="0.2">
      <c r="H7757">
        <v>0</v>
      </c>
    </row>
    <row r="7758" spans="8:8" x14ac:dyDescent="0.2">
      <c r="H7758">
        <v>0</v>
      </c>
    </row>
    <row r="7759" spans="8:8" x14ac:dyDescent="0.2">
      <c r="H7759">
        <v>0</v>
      </c>
    </row>
    <row r="7760" spans="8:8" x14ac:dyDescent="0.2">
      <c r="H7760">
        <v>0</v>
      </c>
    </row>
    <row r="7761" spans="8:8" x14ac:dyDescent="0.2">
      <c r="H7761">
        <v>0</v>
      </c>
    </row>
    <row r="7762" spans="8:8" x14ac:dyDescent="0.2">
      <c r="H7762">
        <v>0</v>
      </c>
    </row>
    <row r="7763" spans="8:8" x14ac:dyDescent="0.2">
      <c r="H7763">
        <v>0</v>
      </c>
    </row>
    <row r="7764" spans="8:8" x14ac:dyDescent="0.2">
      <c r="H7764">
        <v>0</v>
      </c>
    </row>
    <row r="7765" spans="8:8" x14ac:dyDescent="0.2">
      <c r="H7765">
        <v>0</v>
      </c>
    </row>
    <row r="7766" spans="8:8" x14ac:dyDescent="0.2">
      <c r="H7766">
        <v>0</v>
      </c>
    </row>
    <row r="7767" spans="8:8" x14ac:dyDescent="0.2">
      <c r="H7767">
        <v>0</v>
      </c>
    </row>
    <row r="7768" spans="8:8" x14ac:dyDescent="0.2">
      <c r="H7768">
        <v>0</v>
      </c>
    </row>
    <row r="7769" spans="8:8" x14ac:dyDescent="0.2">
      <c r="H7769">
        <v>0</v>
      </c>
    </row>
    <row r="7770" spans="8:8" x14ac:dyDescent="0.2">
      <c r="H7770">
        <v>0</v>
      </c>
    </row>
    <row r="7771" spans="8:8" x14ac:dyDescent="0.2">
      <c r="H7771">
        <v>0</v>
      </c>
    </row>
    <row r="7772" spans="8:8" x14ac:dyDescent="0.2">
      <c r="H7772">
        <v>0</v>
      </c>
    </row>
    <row r="7773" spans="8:8" x14ac:dyDescent="0.2">
      <c r="H7773">
        <v>0</v>
      </c>
    </row>
    <row r="7774" spans="8:8" x14ac:dyDescent="0.2">
      <c r="H7774">
        <v>0</v>
      </c>
    </row>
    <row r="7775" spans="8:8" x14ac:dyDescent="0.2">
      <c r="H7775">
        <v>0</v>
      </c>
    </row>
    <row r="7776" spans="8:8" x14ac:dyDescent="0.2">
      <c r="H7776">
        <v>0</v>
      </c>
    </row>
    <row r="7777" spans="8:8" x14ac:dyDescent="0.2">
      <c r="H7777">
        <v>0</v>
      </c>
    </row>
    <row r="7778" spans="8:8" x14ac:dyDescent="0.2">
      <c r="H7778">
        <v>0</v>
      </c>
    </row>
    <row r="7779" spans="8:8" x14ac:dyDescent="0.2">
      <c r="H7779">
        <v>0</v>
      </c>
    </row>
    <row r="7780" spans="8:8" x14ac:dyDescent="0.2">
      <c r="H7780">
        <v>0</v>
      </c>
    </row>
    <row r="7781" spans="8:8" x14ac:dyDescent="0.2">
      <c r="H7781">
        <v>0</v>
      </c>
    </row>
    <row r="7782" spans="8:8" x14ac:dyDescent="0.2">
      <c r="H7782">
        <v>0</v>
      </c>
    </row>
    <row r="7783" spans="8:8" x14ac:dyDescent="0.2">
      <c r="H7783">
        <v>0</v>
      </c>
    </row>
    <row r="7784" spans="8:8" x14ac:dyDescent="0.2">
      <c r="H7784">
        <v>0</v>
      </c>
    </row>
    <row r="7785" spans="8:8" x14ac:dyDescent="0.2">
      <c r="H7785">
        <v>0</v>
      </c>
    </row>
    <row r="7786" spans="8:8" x14ac:dyDescent="0.2">
      <c r="H7786">
        <v>0</v>
      </c>
    </row>
    <row r="7787" spans="8:8" x14ac:dyDescent="0.2">
      <c r="H7787">
        <v>0</v>
      </c>
    </row>
    <row r="7788" spans="8:8" x14ac:dyDescent="0.2">
      <c r="H7788">
        <v>0</v>
      </c>
    </row>
    <row r="7789" spans="8:8" x14ac:dyDescent="0.2">
      <c r="H7789">
        <v>0</v>
      </c>
    </row>
    <row r="7790" spans="8:8" x14ac:dyDescent="0.2">
      <c r="H7790">
        <v>0</v>
      </c>
    </row>
    <row r="7791" spans="8:8" x14ac:dyDescent="0.2">
      <c r="H7791">
        <v>0</v>
      </c>
    </row>
    <row r="7792" spans="8:8" x14ac:dyDescent="0.2">
      <c r="H7792">
        <v>0</v>
      </c>
    </row>
    <row r="7793" spans="8:8" x14ac:dyDescent="0.2">
      <c r="H7793">
        <v>0</v>
      </c>
    </row>
    <row r="7794" spans="8:8" x14ac:dyDescent="0.2">
      <c r="H7794">
        <v>0</v>
      </c>
    </row>
    <row r="7795" spans="8:8" x14ac:dyDescent="0.2">
      <c r="H7795">
        <v>0</v>
      </c>
    </row>
    <row r="7796" spans="8:8" x14ac:dyDescent="0.2">
      <c r="H7796">
        <v>0</v>
      </c>
    </row>
    <row r="7797" spans="8:8" x14ac:dyDescent="0.2">
      <c r="H7797">
        <v>0</v>
      </c>
    </row>
    <row r="7798" spans="8:8" x14ac:dyDescent="0.2">
      <c r="H7798">
        <v>0</v>
      </c>
    </row>
    <row r="7799" spans="8:8" x14ac:dyDescent="0.2">
      <c r="H7799">
        <v>0</v>
      </c>
    </row>
    <row r="7800" spans="8:8" x14ac:dyDescent="0.2">
      <c r="H7800">
        <v>0</v>
      </c>
    </row>
    <row r="7801" spans="8:8" x14ac:dyDescent="0.2">
      <c r="H7801">
        <v>0</v>
      </c>
    </row>
    <row r="7802" spans="8:8" x14ac:dyDescent="0.2">
      <c r="H7802">
        <v>0</v>
      </c>
    </row>
    <row r="7803" spans="8:8" x14ac:dyDescent="0.2">
      <c r="H7803">
        <v>0</v>
      </c>
    </row>
    <row r="7804" spans="8:8" x14ac:dyDescent="0.2">
      <c r="H7804">
        <v>0</v>
      </c>
    </row>
    <row r="7805" spans="8:8" x14ac:dyDescent="0.2">
      <c r="H7805">
        <v>0</v>
      </c>
    </row>
    <row r="7806" spans="8:8" x14ac:dyDescent="0.2">
      <c r="H7806">
        <v>0</v>
      </c>
    </row>
    <row r="7807" spans="8:8" x14ac:dyDescent="0.2">
      <c r="H7807">
        <v>0</v>
      </c>
    </row>
    <row r="7808" spans="8:8" x14ac:dyDescent="0.2">
      <c r="H7808">
        <v>0</v>
      </c>
    </row>
    <row r="7809" spans="8:8" x14ac:dyDescent="0.2">
      <c r="H7809">
        <v>0</v>
      </c>
    </row>
    <row r="7810" spans="8:8" x14ac:dyDescent="0.2">
      <c r="H7810">
        <v>0</v>
      </c>
    </row>
    <row r="7811" spans="8:8" x14ac:dyDescent="0.2">
      <c r="H7811">
        <v>0</v>
      </c>
    </row>
    <row r="7812" spans="8:8" x14ac:dyDescent="0.2">
      <c r="H7812">
        <v>0</v>
      </c>
    </row>
    <row r="7813" spans="8:8" x14ac:dyDescent="0.2">
      <c r="H7813">
        <v>0</v>
      </c>
    </row>
    <row r="7814" spans="8:8" x14ac:dyDescent="0.2">
      <c r="H7814">
        <v>0</v>
      </c>
    </row>
    <row r="7815" spans="8:8" x14ac:dyDescent="0.2">
      <c r="H7815">
        <v>0</v>
      </c>
    </row>
    <row r="7816" spans="8:8" x14ac:dyDescent="0.2">
      <c r="H7816">
        <v>0</v>
      </c>
    </row>
    <row r="7817" spans="8:8" x14ac:dyDescent="0.2">
      <c r="H7817">
        <v>0</v>
      </c>
    </row>
    <row r="7818" spans="8:8" x14ac:dyDescent="0.2">
      <c r="H7818">
        <v>0</v>
      </c>
    </row>
    <row r="7819" spans="8:8" x14ac:dyDescent="0.2">
      <c r="H7819">
        <v>0</v>
      </c>
    </row>
    <row r="7820" spans="8:8" x14ac:dyDescent="0.2">
      <c r="H7820">
        <v>0</v>
      </c>
    </row>
    <row r="7821" spans="8:8" x14ac:dyDescent="0.2">
      <c r="H7821">
        <v>0</v>
      </c>
    </row>
    <row r="7822" spans="8:8" x14ac:dyDescent="0.2">
      <c r="H7822">
        <v>0</v>
      </c>
    </row>
    <row r="7823" spans="8:8" x14ac:dyDescent="0.2">
      <c r="H7823">
        <v>0</v>
      </c>
    </row>
    <row r="7824" spans="8:8" x14ac:dyDescent="0.2">
      <c r="H7824">
        <v>0</v>
      </c>
    </row>
    <row r="7825" spans="8:8" x14ac:dyDescent="0.2">
      <c r="H7825">
        <v>0</v>
      </c>
    </row>
    <row r="7826" spans="8:8" x14ac:dyDescent="0.2">
      <c r="H7826">
        <v>0</v>
      </c>
    </row>
    <row r="7827" spans="8:8" x14ac:dyDescent="0.2">
      <c r="H7827">
        <v>0</v>
      </c>
    </row>
    <row r="7828" spans="8:8" x14ac:dyDescent="0.2">
      <c r="H7828">
        <v>0</v>
      </c>
    </row>
    <row r="7829" spans="8:8" x14ac:dyDescent="0.2">
      <c r="H7829">
        <v>0</v>
      </c>
    </row>
    <row r="7830" spans="8:8" x14ac:dyDescent="0.2">
      <c r="H7830">
        <v>0</v>
      </c>
    </row>
    <row r="7831" spans="8:8" x14ac:dyDescent="0.2">
      <c r="H7831">
        <v>0</v>
      </c>
    </row>
    <row r="7832" spans="8:8" x14ac:dyDescent="0.2">
      <c r="H7832">
        <v>0</v>
      </c>
    </row>
    <row r="7833" spans="8:8" x14ac:dyDescent="0.2">
      <c r="H7833">
        <v>0</v>
      </c>
    </row>
    <row r="7834" spans="8:8" x14ac:dyDescent="0.2">
      <c r="H7834">
        <v>0</v>
      </c>
    </row>
    <row r="7835" spans="8:8" x14ac:dyDescent="0.2">
      <c r="H7835">
        <v>0</v>
      </c>
    </row>
    <row r="7836" spans="8:8" x14ac:dyDescent="0.2">
      <c r="H7836">
        <v>0</v>
      </c>
    </row>
    <row r="7837" spans="8:8" x14ac:dyDescent="0.2">
      <c r="H7837">
        <v>0</v>
      </c>
    </row>
    <row r="7838" spans="8:8" x14ac:dyDescent="0.2">
      <c r="H7838">
        <v>0</v>
      </c>
    </row>
    <row r="7839" spans="8:8" x14ac:dyDescent="0.2">
      <c r="H7839">
        <v>0</v>
      </c>
    </row>
    <row r="7840" spans="8:8" x14ac:dyDescent="0.2">
      <c r="H7840">
        <v>0</v>
      </c>
    </row>
    <row r="7841" spans="8:8" x14ac:dyDescent="0.2">
      <c r="H7841">
        <v>0</v>
      </c>
    </row>
    <row r="7842" spans="8:8" x14ac:dyDescent="0.2">
      <c r="H7842">
        <v>0</v>
      </c>
    </row>
    <row r="7843" spans="8:8" x14ac:dyDescent="0.2">
      <c r="H7843">
        <v>0</v>
      </c>
    </row>
    <row r="7844" spans="8:8" x14ac:dyDescent="0.2">
      <c r="H7844">
        <v>0</v>
      </c>
    </row>
    <row r="7845" spans="8:8" x14ac:dyDescent="0.2">
      <c r="H7845">
        <v>0</v>
      </c>
    </row>
    <row r="7846" spans="8:8" x14ac:dyDescent="0.2">
      <c r="H7846">
        <v>0</v>
      </c>
    </row>
    <row r="7847" spans="8:8" x14ac:dyDescent="0.2">
      <c r="H7847">
        <v>0</v>
      </c>
    </row>
    <row r="7848" spans="8:8" x14ac:dyDescent="0.2">
      <c r="H7848">
        <v>0</v>
      </c>
    </row>
    <row r="7849" spans="8:8" x14ac:dyDescent="0.2">
      <c r="H7849">
        <v>0</v>
      </c>
    </row>
    <row r="7850" spans="8:8" x14ac:dyDescent="0.2">
      <c r="H7850">
        <v>0</v>
      </c>
    </row>
    <row r="7851" spans="8:8" x14ac:dyDescent="0.2">
      <c r="H7851">
        <v>0</v>
      </c>
    </row>
    <row r="7852" spans="8:8" x14ac:dyDescent="0.2">
      <c r="H7852">
        <v>0</v>
      </c>
    </row>
    <row r="7853" spans="8:8" x14ac:dyDescent="0.2">
      <c r="H7853">
        <v>0</v>
      </c>
    </row>
    <row r="7854" spans="8:8" x14ac:dyDescent="0.2">
      <c r="H7854">
        <v>0</v>
      </c>
    </row>
    <row r="7855" spans="8:8" x14ac:dyDescent="0.2">
      <c r="H7855">
        <v>0</v>
      </c>
    </row>
    <row r="7856" spans="8:8" x14ac:dyDescent="0.2">
      <c r="H7856">
        <v>0</v>
      </c>
    </row>
    <row r="7857" spans="8:8" x14ac:dyDescent="0.2">
      <c r="H7857">
        <v>0</v>
      </c>
    </row>
    <row r="7858" spans="8:8" x14ac:dyDescent="0.2">
      <c r="H7858">
        <v>0</v>
      </c>
    </row>
    <row r="7859" spans="8:8" x14ac:dyDescent="0.2">
      <c r="H7859">
        <v>0</v>
      </c>
    </row>
    <row r="7860" spans="8:8" x14ac:dyDescent="0.2">
      <c r="H7860">
        <v>0</v>
      </c>
    </row>
    <row r="7861" spans="8:8" x14ac:dyDescent="0.2">
      <c r="H7861">
        <v>0</v>
      </c>
    </row>
    <row r="7862" spans="8:8" x14ac:dyDescent="0.2">
      <c r="H7862">
        <v>0</v>
      </c>
    </row>
    <row r="7863" spans="8:8" x14ac:dyDescent="0.2">
      <c r="H7863">
        <v>0</v>
      </c>
    </row>
    <row r="7864" spans="8:8" x14ac:dyDescent="0.2">
      <c r="H7864">
        <v>0</v>
      </c>
    </row>
    <row r="7865" spans="8:8" x14ac:dyDescent="0.2">
      <c r="H7865">
        <v>0</v>
      </c>
    </row>
    <row r="7866" spans="8:8" x14ac:dyDescent="0.2">
      <c r="H7866">
        <v>0</v>
      </c>
    </row>
    <row r="7867" spans="8:8" x14ac:dyDescent="0.2">
      <c r="H7867">
        <v>0</v>
      </c>
    </row>
    <row r="7868" spans="8:8" x14ac:dyDescent="0.2">
      <c r="H7868">
        <v>0</v>
      </c>
    </row>
    <row r="7869" spans="8:8" x14ac:dyDescent="0.2">
      <c r="H7869">
        <v>0</v>
      </c>
    </row>
    <row r="7870" spans="8:8" x14ac:dyDescent="0.2">
      <c r="H7870">
        <v>0</v>
      </c>
    </row>
    <row r="7871" spans="8:8" x14ac:dyDescent="0.2">
      <c r="H7871">
        <v>0</v>
      </c>
    </row>
    <row r="7872" spans="8:8" x14ac:dyDescent="0.2">
      <c r="H7872">
        <v>0</v>
      </c>
    </row>
    <row r="7873" spans="8:8" x14ac:dyDescent="0.2">
      <c r="H7873">
        <v>0</v>
      </c>
    </row>
    <row r="7874" spans="8:8" x14ac:dyDescent="0.2">
      <c r="H7874">
        <v>0</v>
      </c>
    </row>
    <row r="7875" spans="8:8" x14ac:dyDescent="0.2">
      <c r="H7875">
        <v>0</v>
      </c>
    </row>
    <row r="7876" spans="8:8" x14ac:dyDescent="0.2">
      <c r="H7876">
        <v>0</v>
      </c>
    </row>
    <row r="7877" spans="8:8" x14ac:dyDescent="0.2">
      <c r="H7877">
        <v>0</v>
      </c>
    </row>
    <row r="7878" spans="8:8" x14ac:dyDescent="0.2">
      <c r="H7878">
        <v>0</v>
      </c>
    </row>
    <row r="7879" spans="8:8" x14ac:dyDescent="0.2">
      <c r="H7879">
        <v>0</v>
      </c>
    </row>
    <row r="7880" spans="8:8" x14ac:dyDescent="0.2">
      <c r="H7880">
        <v>0</v>
      </c>
    </row>
    <row r="7881" spans="8:8" x14ac:dyDescent="0.2">
      <c r="H7881">
        <v>0</v>
      </c>
    </row>
    <row r="7882" spans="8:8" x14ac:dyDescent="0.2">
      <c r="H7882">
        <v>0</v>
      </c>
    </row>
    <row r="7883" spans="8:8" x14ac:dyDescent="0.2">
      <c r="H7883">
        <v>0</v>
      </c>
    </row>
    <row r="7884" spans="8:8" x14ac:dyDescent="0.2">
      <c r="H7884">
        <v>0</v>
      </c>
    </row>
    <row r="7885" spans="8:8" x14ac:dyDescent="0.2">
      <c r="H7885">
        <v>0</v>
      </c>
    </row>
    <row r="7886" spans="8:8" x14ac:dyDescent="0.2">
      <c r="H7886">
        <v>0</v>
      </c>
    </row>
    <row r="7887" spans="8:8" x14ac:dyDescent="0.2">
      <c r="H7887">
        <v>0</v>
      </c>
    </row>
    <row r="7888" spans="8:8" x14ac:dyDescent="0.2">
      <c r="H7888">
        <v>0</v>
      </c>
    </row>
    <row r="7889" spans="8:8" x14ac:dyDescent="0.2">
      <c r="H7889">
        <v>0</v>
      </c>
    </row>
    <row r="7890" spans="8:8" x14ac:dyDescent="0.2">
      <c r="H7890">
        <v>0</v>
      </c>
    </row>
    <row r="7891" spans="8:8" x14ac:dyDescent="0.2">
      <c r="H7891">
        <v>0</v>
      </c>
    </row>
    <row r="7892" spans="8:8" x14ac:dyDescent="0.2">
      <c r="H7892">
        <v>0</v>
      </c>
    </row>
    <row r="7893" spans="8:8" x14ac:dyDescent="0.2">
      <c r="H7893">
        <v>0</v>
      </c>
    </row>
    <row r="7894" spans="8:8" x14ac:dyDescent="0.2">
      <c r="H7894">
        <v>0</v>
      </c>
    </row>
    <row r="7895" spans="8:8" x14ac:dyDescent="0.2">
      <c r="H7895">
        <v>0</v>
      </c>
    </row>
    <row r="7896" spans="8:8" x14ac:dyDescent="0.2">
      <c r="H7896">
        <v>0</v>
      </c>
    </row>
    <row r="7897" spans="8:8" x14ac:dyDescent="0.2">
      <c r="H7897">
        <v>0</v>
      </c>
    </row>
    <row r="7898" spans="8:8" x14ac:dyDescent="0.2">
      <c r="H7898">
        <v>0</v>
      </c>
    </row>
    <row r="7899" spans="8:8" x14ac:dyDescent="0.2">
      <c r="H7899">
        <v>0</v>
      </c>
    </row>
    <row r="7900" spans="8:8" x14ac:dyDescent="0.2">
      <c r="H7900">
        <v>0</v>
      </c>
    </row>
    <row r="7901" spans="8:8" x14ac:dyDescent="0.2">
      <c r="H7901">
        <v>0</v>
      </c>
    </row>
    <row r="7902" spans="8:8" x14ac:dyDescent="0.2">
      <c r="H7902">
        <v>0</v>
      </c>
    </row>
    <row r="7903" spans="8:8" x14ac:dyDescent="0.2">
      <c r="H7903">
        <v>0</v>
      </c>
    </row>
    <row r="7904" spans="8:8" x14ac:dyDescent="0.2">
      <c r="H7904">
        <v>0</v>
      </c>
    </row>
    <row r="7905" spans="8:8" x14ac:dyDescent="0.2">
      <c r="H7905">
        <v>0</v>
      </c>
    </row>
    <row r="7906" spans="8:8" x14ac:dyDescent="0.2">
      <c r="H7906">
        <v>0</v>
      </c>
    </row>
    <row r="7907" spans="8:8" x14ac:dyDescent="0.2">
      <c r="H7907">
        <v>0</v>
      </c>
    </row>
    <row r="7908" spans="8:8" x14ac:dyDescent="0.2">
      <c r="H7908">
        <v>0</v>
      </c>
    </row>
    <row r="7909" spans="8:8" x14ac:dyDescent="0.2">
      <c r="H7909">
        <v>0</v>
      </c>
    </row>
    <row r="7910" spans="8:8" x14ac:dyDescent="0.2">
      <c r="H7910">
        <v>0</v>
      </c>
    </row>
    <row r="7911" spans="8:8" x14ac:dyDescent="0.2">
      <c r="H7911">
        <v>0</v>
      </c>
    </row>
    <row r="7912" spans="8:8" x14ac:dyDescent="0.2">
      <c r="H7912">
        <v>0</v>
      </c>
    </row>
    <row r="7913" spans="8:8" x14ac:dyDescent="0.2">
      <c r="H7913">
        <v>0</v>
      </c>
    </row>
    <row r="7914" spans="8:8" x14ac:dyDescent="0.2">
      <c r="H7914">
        <v>0</v>
      </c>
    </row>
    <row r="7915" spans="8:8" x14ac:dyDescent="0.2">
      <c r="H7915">
        <v>0</v>
      </c>
    </row>
    <row r="7916" spans="8:8" x14ac:dyDescent="0.2">
      <c r="H7916">
        <v>0</v>
      </c>
    </row>
    <row r="7917" spans="8:8" x14ac:dyDescent="0.2">
      <c r="H7917">
        <v>0</v>
      </c>
    </row>
    <row r="7918" spans="8:8" x14ac:dyDescent="0.2">
      <c r="H7918">
        <v>0</v>
      </c>
    </row>
    <row r="7919" spans="8:8" x14ac:dyDescent="0.2">
      <c r="H7919">
        <v>0</v>
      </c>
    </row>
    <row r="7920" spans="8:8" x14ac:dyDescent="0.2">
      <c r="H7920">
        <v>0</v>
      </c>
    </row>
    <row r="7921" spans="8:8" x14ac:dyDescent="0.2">
      <c r="H7921">
        <v>0</v>
      </c>
    </row>
    <row r="7922" spans="8:8" x14ac:dyDescent="0.2">
      <c r="H7922">
        <v>0</v>
      </c>
    </row>
    <row r="7923" spans="8:8" x14ac:dyDescent="0.2">
      <c r="H7923">
        <v>0</v>
      </c>
    </row>
    <row r="7924" spans="8:8" x14ac:dyDescent="0.2">
      <c r="H7924">
        <v>0</v>
      </c>
    </row>
    <row r="7925" spans="8:8" x14ac:dyDescent="0.2">
      <c r="H7925">
        <v>0</v>
      </c>
    </row>
    <row r="7926" spans="8:8" x14ac:dyDescent="0.2">
      <c r="H7926">
        <v>0</v>
      </c>
    </row>
    <row r="7927" spans="8:8" x14ac:dyDescent="0.2">
      <c r="H7927">
        <v>0</v>
      </c>
    </row>
    <row r="7928" spans="8:8" x14ac:dyDescent="0.2">
      <c r="H7928">
        <v>0</v>
      </c>
    </row>
    <row r="7929" spans="8:8" x14ac:dyDescent="0.2">
      <c r="H7929">
        <v>0</v>
      </c>
    </row>
    <row r="7930" spans="8:8" x14ac:dyDescent="0.2">
      <c r="H7930">
        <v>0</v>
      </c>
    </row>
    <row r="7931" spans="8:8" x14ac:dyDescent="0.2">
      <c r="H7931">
        <v>0</v>
      </c>
    </row>
    <row r="7932" spans="8:8" x14ac:dyDescent="0.2">
      <c r="H7932">
        <v>0</v>
      </c>
    </row>
    <row r="7933" spans="8:8" x14ac:dyDescent="0.2">
      <c r="H7933">
        <v>0</v>
      </c>
    </row>
    <row r="7934" spans="8:8" x14ac:dyDescent="0.2">
      <c r="H7934">
        <v>0</v>
      </c>
    </row>
    <row r="7935" spans="8:8" x14ac:dyDescent="0.2">
      <c r="H7935">
        <v>0</v>
      </c>
    </row>
    <row r="7936" spans="8:8" x14ac:dyDescent="0.2">
      <c r="H7936">
        <v>0</v>
      </c>
    </row>
    <row r="7937" spans="8:8" x14ac:dyDescent="0.2">
      <c r="H7937">
        <v>0</v>
      </c>
    </row>
    <row r="7938" spans="8:8" x14ac:dyDescent="0.2">
      <c r="H7938">
        <v>0</v>
      </c>
    </row>
    <row r="7939" spans="8:8" x14ac:dyDescent="0.2">
      <c r="H7939">
        <v>0</v>
      </c>
    </row>
    <row r="7940" spans="8:8" x14ac:dyDescent="0.2">
      <c r="H7940">
        <v>0</v>
      </c>
    </row>
    <row r="7941" spans="8:8" x14ac:dyDescent="0.2">
      <c r="H7941">
        <v>0</v>
      </c>
    </row>
    <row r="7942" spans="8:8" x14ac:dyDescent="0.2">
      <c r="H7942">
        <v>0</v>
      </c>
    </row>
    <row r="7943" spans="8:8" x14ac:dyDescent="0.2">
      <c r="H7943">
        <v>0</v>
      </c>
    </row>
    <row r="7944" spans="8:8" x14ac:dyDescent="0.2">
      <c r="H7944">
        <v>0</v>
      </c>
    </row>
    <row r="7945" spans="8:8" x14ac:dyDescent="0.2">
      <c r="H7945">
        <v>0</v>
      </c>
    </row>
    <row r="7946" spans="8:8" x14ac:dyDescent="0.2">
      <c r="H7946">
        <v>0</v>
      </c>
    </row>
    <row r="7947" spans="8:8" x14ac:dyDescent="0.2">
      <c r="H7947">
        <v>0</v>
      </c>
    </row>
    <row r="7948" spans="8:8" x14ac:dyDescent="0.2">
      <c r="H7948">
        <v>0</v>
      </c>
    </row>
    <row r="7949" spans="8:8" x14ac:dyDescent="0.2">
      <c r="H7949">
        <v>0</v>
      </c>
    </row>
    <row r="7950" spans="8:8" x14ac:dyDescent="0.2">
      <c r="H7950">
        <v>0</v>
      </c>
    </row>
    <row r="7951" spans="8:8" x14ac:dyDescent="0.2">
      <c r="H7951">
        <v>0</v>
      </c>
    </row>
    <row r="7952" spans="8:8" x14ac:dyDescent="0.2">
      <c r="H7952">
        <v>0</v>
      </c>
    </row>
    <row r="7953" spans="8:8" x14ac:dyDescent="0.2">
      <c r="H7953">
        <v>0</v>
      </c>
    </row>
    <row r="7954" spans="8:8" x14ac:dyDescent="0.2">
      <c r="H7954">
        <v>0</v>
      </c>
    </row>
    <row r="7955" spans="8:8" x14ac:dyDescent="0.2">
      <c r="H7955">
        <v>0</v>
      </c>
    </row>
    <row r="7956" spans="8:8" x14ac:dyDescent="0.2">
      <c r="H7956">
        <v>0</v>
      </c>
    </row>
    <row r="7957" spans="8:8" x14ac:dyDescent="0.2">
      <c r="H7957">
        <v>0</v>
      </c>
    </row>
    <row r="7958" spans="8:8" x14ac:dyDescent="0.2">
      <c r="H7958">
        <v>0</v>
      </c>
    </row>
    <row r="7959" spans="8:8" x14ac:dyDescent="0.2">
      <c r="H7959">
        <v>0</v>
      </c>
    </row>
    <row r="7960" spans="8:8" x14ac:dyDescent="0.2">
      <c r="H7960">
        <v>0</v>
      </c>
    </row>
    <row r="7961" spans="8:8" x14ac:dyDescent="0.2">
      <c r="H7961">
        <v>0</v>
      </c>
    </row>
    <row r="7962" spans="8:8" x14ac:dyDescent="0.2">
      <c r="H7962">
        <v>0</v>
      </c>
    </row>
    <row r="7963" spans="8:8" x14ac:dyDescent="0.2">
      <c r="H7963">
        <v>0</v>
      </c>
    </row>
    <row r="7964" spans="8:8" x14ac:dyDescent="0.2">
      <c r="H7964">
        <v>0</v>
      </c>
    </row>
    <row r="7965" spans="8:8" x14ac:dyDescent="0.2">
      <c r="H7965">
        <v>0</v>
      </c>
    </row>
    <row r="7966" spans="8:8" x14ac:dyDescent="0.2">
      <c r="H7966">
        <v>0</v>
      </c>
    </row>
    <row r="7967" spans="8:8" x14ac:dyDescent="0.2">
      <c r="H7967">
        <v>0</v>
      </c>
    </row>
    <row r="7968" spans="8:8" x14ac:dyDescent="0.2">
      <c r="H7968">
        <v>0</v>
      </c>
    </row>
    <row r="7969" spans="8:8" x14ac:dyDescent="0.2">
      <c r="H7969">
        <v>0</v>
      </c>
    </row>
    <row r="7970" spans="8:8" x14ac:dyDescent="0.2">
      <c r="H7970">
        <v>0</v>
      </c>
    </row>
    <row r="7971" spans="8:8" x14ac:dyDescent="0.2">
      <c r="H7971">
        <v>0</v>
      </c>
    </row>
    <row r="7972" spans="8:8" x14ac:dyDescent="0.2">
      <c r="H7972">
        <v>0</v>
      </c>
    </row>
    <row r="7973" spans="8:8" x14ac:dyDescent="0.2">
      <c r="H7973">
        <v>0</v>
      </c>
    </row>
    <row r="7974" spans="8:8" x14ac:dyDescent="0.2">
      <c r="H7974">
        <v>0</v>
      </c>
    </row>
    <row r="7975" spans="8:8" x14ac:dyDescent="0.2">
      <c r="H7975">
        <v>0</v>
      </c>
    </row>
    <row r="7976" spans="8:8" x14ac:dyDescent="0.2">
      <c r="H7976">
        <v>0</v>
      </c>
    </row>
    <row r="7977" spans="8:8" x14ac:dyDescent="0.2">
      <c r="H7977">
        <v>0</v>
      </c>
    </row>
    <row r="7978" spans="8:8" x14ac:dyDescent="0.2">
      <c r="H7978">
        <v>0</v>
      </c>
    </row>
    <row r="7979" spans="8:8" x14ac:dyDescent="0.2">
      <c r="H7979">
        <v>0</v>
      </c>
    </row>
    <row r="7980" spans="8:8" x14ac:dyDescent="0.2">
      <c r="H7980">
        <v>0</v>
      </c>
    </row>
    <row r="7981" spans="8:8" x14ac:dyDescent="0.2">
      <c r="H7981">
        <v>0</v>
      </c>
    </row>
    <row r="7982" spans="8:8" x14ac:dyDescent="0.2">
      <c r="H7982">
        <v>0</v>
      </c>
    </row>
    <row r="7983" spans="8:8" x14ac:dyDescent="0.2">
      <c r="H7983">
        <v>0</v>
      </c>
    </row>
    <row r="7984" spans="8:8" x14ac:dyDescent="0.2">
      <c r="H7984">
        <v>0</v>
      </c>
    </row>
    <row r="7985" spans="8:8" x14ac:dyDescent="0.2">
      <c r="H7985">
        <v>0</v>
      </c>
    </row>
    <row r="7986" spans="8:8" x14ac:dyDescent="0.2">
      <c r="H7986">
        <v>0</v>
      </c>
    </row>
    <row r="7987" spans="8:8" x14ac:dyDescent="0.2">
      <c r="H7987">
        <v>0</v>
      </c>
    </row>
    <row r="7988" spans="8:8" x14ac:dyDescent="0.2">
      <c r="H7988">
        <v>0</v>
      </c>
    </row>
    <row r="7989" spans="8:8" x14ac:dyDescent="0.2">
      <c r="H7989">
        <v>0</v>
      </c>
    </row>
    <row r="7990" spans="8:8" x14ac:dyDescent="0.2">
      <c r="H7990">
        <v>0</v>
      </c>
    </row>
    <row r="7991" spans="8:8" x14ac:dyDescent="0.2">
      <c r="H7991">
        <v>0</v>
      </c>
    </row>
    <row r="7992" spans="8:8" x14ac:dyDescent="0.2">
      <c r="H7992">
        <v>0</v>
      </c>
    </row>
    <row r="7993" spans="8:8" x14ac:dyDescent="0.2">
      <c r="H7993">
        <v>0</v>
      </c>
    </row>
    <row r="7994" spans="8:8" x14ac:dyDescent="0.2">
      <c r="H7994">
        <v>0</v>
      </c>
    </row>
    <row r="7995" spans="8:8" x14ac:dyDescent="0.2">
      <c r="H7995">
        <v>0</v>
      </c>
    </row>
    <row r="7996" spans="8:8" x14ac:dyDescent="0.2">
      <c r="H7996">
        <v>0</v>
      </c>
    </row>
    <row r="7997" spans="8:8" x14ac:dyDescent="0.2">
      <c r="H7997">
        <v>0</v>
      </c>
    </row>
    <row r="7998" spans="8:8" x14ac:dyDescent="0.2">
      <c r="H7998">
        <v>0</v>
      </c>
    </row>
    <row r="7999" spans="8:8" x14ac:dyDescent="0.2">
      <c r="H7999">
        <v>0</v>
      </c>
    </row>
    <row r="8000" spans="8:8" x14ac:dyDescent="0.2">
      <c r="H8000">
        <v>0</v>
      </c>
    </row>
    <row r="8001" spans="8:8" x14ac:dyDescent="0.2">
      <c r="H8001">
        <v>0</v>
      </c>
    </row>
    <row r="8002" spans="8:8" x14ac:dyDescent="0.2">
      <c r="H8002">
        <v>0</v>
      </c>
    </row>
    <row r="8003" spans="8:8" x14ac:dyDescent="0.2">
      <c r="H8003">
        <v>0</v>
      </c>
    </row>
    <row r="8004" spans="8:8" x14ac:dyDescent="0.2">
      <c r="H8004">
        <v>0</v>
      </c>
    </row>
    <row r="8005" spans="8:8" x14ac:dyDescent="0.2">
      <c r="H8005">
        <v>0</v>
      </c>
    </row>
    <row r="8006" spans="8:8" x14ac:dyDescent="0.2">
      <c r="H8006">
        <v>0</v>
      </c>
    </row>
    <row r="8007" spans="8:8" x14ac:dyDescent="0.2">
      <c r="H8007">
        <v>0</v>
      </c>
    </row>
    <row r="8008" spans="8:8" x14ac:dyDescent="0.2">
      <c r="H8008">
        <v>0</v>
      </c>
    </row>
    <row r="8009" spans="8:8" x14ac:dyDescent="0.2">
      <c r="H8009">
        <v>0</v>
      </c>
    </row>
    <row r="8010" spans="8:8" x14ac:dyDescent="0.2">
      <c r="H8010">
        <v>0</v>
      </c>
    </row>
    <row r="8011" spans="8:8" x14ac:dyDescent="0.2">
      <c r="H8011">
        <v>0</v>
      </c>
    </row>
    <row r="8012" spans="8:8" x14ac:dyDescent="0.2">
      <c r="H8012">
        <v>0</v>
      </c>
    </row>
    <row r="8013" spans="8:8" x14ac:dyDescent="0.2">
      <c r="H8013">
        <v>0</v>
      </c>
    </row>
    <row r="8014" spans="8:8" x14ac:dyDescent="0.2">
      <c r="H8014">
        <v>0</v>
      </c>
    </row>
    <row r="8015" spans="8:8" x14ac:dyDescent="0.2">
      <c r="H8015">
        <v>0</v>
      </c>
    </row>
    <row r="8016" spans="8:8" x14ac:dyDescent="0.2">
      <c r="H8016">
        <v>0</v>
      </c>
    </row>
    <row r="8017" spans="8:8" x14ac:dyDescent="0.2">
      <c r="H8017">
        <v>0</v>
      </c>
    </row>
    <row r="8018" spans="8:8" x14ac:dyDescent="0.2">
      <c r="H8018">
        <v>0</v>
      </c>
    </row>
    <row r="8019" spans="8:8" x14ac:dyDescent="0.2">
      <c r="H8019">
        <v>0</v>
      </c>
    </row>
    <row r="8020" spans="8:8" x14ac:dyDescent="0.2">
      <c r="H8020">
        <v>0</v>
      </c>
    </row>
    <row r="8021" spans="8:8" x14ac:dyDescent="0.2">
      <c r="H8021">
        <v>0</v>
      </c>
    </row>
    <row r="8022" spans="8:8" x14ac:dyDescent="0.2">
      <c r="H8022">
        <v>0</v>
      </c>
    </row>
    <row r="8023" spans="8:8" x14ac:dyDescent="0.2">
      <c r="H8023">
        <v>0</v>
      </c>
    </row>
    <row r="8024" spans="8:8" x14ac:dyDescent="0.2">
      <c r="H8024">
        <v>0</v>
      </c>
    </row>
    <row r="8025" spans="8:8" x14ac:dyDescent="0.2">
      <c r="H8025">
        <v>0</v>
      </c>
    </row>
    <row r="8026" spans="8:8" x14ac:dyDescent="0.2">
      <c r="H8026">
        <v>0</v>
      </c>
    </row>
    <row r="8027" spans="8:8" x14ac:dyDescent="0.2">
      <c r="H8027">
        <v>0</v>
      </c>
    </row>
    <row r="8028" spans="8:8" x14ac:dyDescent="0.2">
      <c r="H8028">
        <v>0</v>
      </c>
    </row>
    <row r="8029" spans="8:8" x14ac:dyDescent="0.2">
      <c r="H8029">
        <v>0</v>
      </c>
    </row>
    <row r="8030" spans="8:8" x14ac:dyDescent="0.2">
      <c r="H8030">
        <v>0</v>
      </c>
    </row>
    <row r="8031" spans="8:8" x14ac:dyDescent="0.2">
      <c r="H8031">
        <v>0</v>
      </c>
    </row>
    <row r="8032" spans="8:8" x14ac:dyDescent="0.2">
      <c r="H8032">
        <v>0</v>
      </c>
    </row>
    <row r="8033" spans="8:8" x14ac:dyDescent="0.2">
      <c r="H8033">
        <v>0</v>
      </c>
    </row>
    <row r="8034" spans="8:8" x14ac:dyDescent="0.2">
      <c r="H8034">
        <v>0</v>
      </c>
    </row>
    <row r="8035" spans="8:8" x14ac:dyDescent="0.2">
      <c r="H8035">
        <v>0</v>
      </c>
    </row>
    <row r="8036" spans="8:8" x14ac:dyDescent="0.2">
      <c r="H8036">
        <v>0</v>
      </c>
    </row>
    <row r="8037" spans="8:8" x14ac:dyDescent="0.2">
      <c r="H8037">
        <v>0</v>
      </c>
    </row>
    <row r="8038" spans="8:8" x14ac:dyDescent="0.2">
      <c r="H8038">
        <v>0</v>
      </c>
    </row>
    <row r="8039" spans="8:8" x14ac:dyDescent="0.2">
      <c r="H8039">
        <v>0</v>
      </c>
    </row>
    <row r="8040" spans="8:8" x14ac:dyDescent="0.2">
      <c r="H8040">
        <v>0</v>
      </c>
    </row>
    <row r="8041" spans="8:8" x14ac:dyDescent="0.2">
      <c r="H8041">
        <v>0</v>
      </c>
    </row>
    <row r="8042" spans="8:8" x14ac:dyDescent="0.2">
      <c r="H8042">
        <v>0</v>
      </c>
    </row>
    <row r="8043" spans="8:8" x14ac:dyDescent="0.2">
      <c r="H8043">
        <v>0</v>
      </c>
    </row>
    <row r="8044" spans="8:8" x14ac:dyDescent="0.2">
      <c r="H8044">
        <v>0</v>
      </c>
    </row>
    <row r="8045" spans="8:8" x14ac:dyDescent="0.2">
      <c r="H8045">
        <v>0</v>
      </c>
    </row>
    <row r="8046" spans="8:8" x14ac:dyDescent="0.2">
      <c r="H8046">
        <v>0</v>
      </c>
    </row>
    <row r="8047" spans="8:8" x14ac:dyDescent="0.2">
      <c r="H8047">
        <v>0</v>
      </c>
    </row>
    <row r="8048" spans="8:8" x14ac:dyDescent="0.2">
      <c r="H8048">
        <v>0</v>
      </c>
    </row>
    <row r="8049" spans="8:8" x14ac:dyDescent="0.2">
      <c r="H8049">
        <v>0</v>
      </c>
    </row>
    <row r="8050" spans="8:8" x14ac:dyDescent="0.2">
      <c r="H8050">
        <v>0</v>
      </c>
    </row>
    <row r="8051" spans="8:8" x14ac:dyDescent="0.2">
      <c r="H8051">
        <v>0</v>
      </c>
    </row>
    <row r="8052" spans="8:8" x14ac:dyDescent="0.2">
      <c r="H8052">
        <v>0</v>
      </c>
    </row>
    <row r="8053" spans="8:8" x14ac:dyDescent="0.2">
      <c r="H8053">
        <v>0</v>
      </c>
    </row>
    <row r="8054" spans="8:8" x14ac:dyDescent="0.2">
      <c r="H8054">
        <v>0</v>
      </c>
    </row>
    <row r="8055" spans="8:8" x14ac:dyDescent="0.2">
      <c r="H8055">
        <v>0</v>
      </c>
    </row>
    <row r="8056" spans="8:8" x14ac:dyDescent="0.2">
      <c r="H8056">
        <v>0</v>
      </c>
    </row>
    <row r="8057" spans="8:8" x14ac:dyDescent="0.2">
      <c r="H8057">
        <v>0</v>
      </c>
    </row>
    <row r="8058" spans="8:8" x14ac:dyDescent="0.2">
      <c r="H8058">
        <v>0</v>
      </c>
    </row>
    <row r="8059" spans="8:8" x14ac:dyDescent="0.2">
      <c r="H8059">
        <v>0</v>
      </c>
    </row>
    <row r="8060" spans="8:8" x14ac:dyDescent="0.2">
      <c r="H8060">
        <v>0</v>
      </c>
    </row>
    <row r="8061" spans="8:8" x14ac:dyDescent="0.2">
      <c r="H8061">
        <v>0</v>
      </c>
    </row>
    <row r="8062" spans="8:8" x14ac:dyDescent="0.2">
      <c r="H8062">
        <v>0</v>
      </c>
    </row>
    <row r="8063" spans="8:8" x14ac:dyDescent="0.2">
      <c r="H8063">
        <v>0</v>
      </c>
    </row>
    <row r="8064" spans="8:8" x14ac:dyDescent="0.2">
      <c r="H8064">
        <v>0</v>
      </c>
    </row>
    <row r="8065" spans="8:8" x14ac:dyDescent="0.2">
      <c r="H8065">
        <v>0</v>
      </c>
    </row>
    <row r="8066" spans="8:8" x14ac:dyDescent="0.2">
      <c r="H8066">
        <v>0</v>
      </c>
    </row>
    <row r="8067" spans="8:8" x14ac:dyDescent="0.2">
      <c r="H8067">
        <v>0</v>
      </c>
    </row>
    <row r="8068" spans="8:8" x14ac:dyDescent="0.2">
      <c r="H8068">
        <v>0</v>
      </c>
    </row>
    <row r="8069" spans="8:8" x14ac:dyDescent="0.2">
      <c r="H8069">
        <v>0</v>
      </c>
    </row>
    <row r="8070" spans="8:8" x14ac:dyDescent="0.2">
      <c r="H8070">
        <v>0</v>
      </c>
    </row>
    <row r="8071" spans="8:8" x14ac:dyDescent="0.2">
      <c r="H8071">
        <v>0</v>
      </c>
    </row>
    <row r="8072" spans="8:8" x14ac:dyDescent="0.2">
      <c r="H8072">
        <v>0</v>
      </c>
    </row>
    <row r="8073" spans="8:8" x14ac:dyDescent="0.2">
      <c r="H8073">
        <v>0</v>
      </c>
    </row>
    <row r="8074" spans="8:8" x14ac:dyDescent="0.2">
      <c r="H8074">
        <v>0</v>
      </c>
    </row>
    <row r="8075" spans="8:8" x14ac:dyDescent="0.2">
      <c r="H8075">
        <v>0</v>
      </c>
    </row>
    <row r="8076" spans="8:8" x14ac:dyDescent="0.2">
      <c r="H8076">
        <v>0</v>
      </c>
    </row>
    <row r="8077" spans="8:8" x14ac:dyDescent="0.2">
      <c r="H8077">
        <v>0</v>
      </c>
    </row>
    <row r="8078" spans="8:8" x14ac:dyDescent="0.2">
      <c r="H8078">
        <v>0</v>
      </c>
    </row>
    <row r="8079" spans="8:8" x14ac:dyDescent="0.2">
      <c r="H8079">
        <v>0</v>
      </c>
    </row>
    <row r="8080" spans="8:8" x14ac:dyDescent="0.2">
      <c r="H8080">
        <v>0</v>
      </c>
    </row>
    <row r="8081" spans="8:8" x14ac:dyDescent="0.2">
      <c r="H8081">
        <v>0</v>
      </c>
    </row>
    <row r="8082" spans="8:8" x14ac:dyDescent="0.2">
      <c r="H8082">
        <v>0</v>
      </c>
    </row>
    <row r="8083" spans="8:8" x14ac:dyDescent="0.2">
      <c r="H8083">
        <v>0</v>
      </c>
    </row>
    <row r="8084" spans="8:8" x14ac:dyDescent="0.2">
      <c r="H8084">
        <v>0</v>
      </c>
    </row>
    <row r="8085" spans="8:8" x14ac:dyDescent="0.2">
      <c r="H8085">
        <v>0</v>
      </c>
    </row>
    <row r="8086" spans="8:8" x14ac:dyDescent="0.2">
      <c r="H8086">
        <v>0</v>
      </c>
    </row>
    <row r="8087" spans="8:8" x14ac:dyDescent="0.2">
      <c r="H8087">
        <v>0</v>
      </c>
    </row>
    <row r="8088" spans="8:8" x14ac:dyDescent="0.2">
      <c r="H8088">
        <v>0</v>
      </c>
    </row>
    <row r="8089" spans="8:8" x14ac:dyDescent="0.2">
      <c r="H8089">
        <v>0</v>
      </c>
    </row>
    <row r="8090" spans="8:8" x14ac:dyDescent="0.2">
      <c r="H8090">
        <v>0</v>
      </c>
    </row>
    <row r="8091" spans="8:8" x14ac:dyDescent="0.2">
      <c r="H8091">
        <v>0</v>
      </c>
    </row>
    <row r="8092" spans="8:8" x14ac:dyDescent="0.2">
      <c r="H8092">
        <v>0</v>
      </c>
    </row>
    <row r="8093" spans="8:8" x14ac:dyDescent="0.2">
      <c r="H8093">
        <v>0</v>
      </c>
    </row>
    <row r="8094" spans="8:8" x14ac:dyDescent="0.2">
      <c r="H8094">
        <v>0</v>
      </c>
    </row>
    <row r="8095" spans="8:8" x14ac:dyDescent="0.2">
      <c r="H8095">
        <v>0</v>
      </c>
    </row>
    <row r="8096" spans="8:8" x14ac:dyDescent="0.2">
      <c r="H8096">
        <v>0</v>
      </c>
    </row>
    <row r="8097" spans="8:8" x14ac:dyDescent="0.2">
      <c r="H8097">
        <v>0</v>
      </c>
    </row>
    <row r="8098" spans="8:8" x14ac:dyDescent="0.2">
      <c r="H8098">
        <v>0</v>
      </c>
    </row>
    <row r="8099" spans="8:8" x14ac:dyDescent="0.2">
      <c r="H8099">
        <v>0</v>
      </c>
    </row>
    <row r="8100" spans="8:8" x14ac:dyDescent="0.2">
      <c r="H8100">
        <v>0</v>
      </c>
    </row>
    <row r="8101" spans="8:8" x14ac:dyDescent="0.2">
      <c r="H8101">
        <v>0</v>
      </c>
    </row>
    <row r="8102" spans="8:8" x14ac:dyDescent="0.2">
      <c r="H8102">
        <v>0</v>
      </c>
    </row>
    <row r="8103" spans="8:8" x14ac:dyDescent="0.2">
      <c r="H8103">
        <v>0</v>
      </c>
    </row>
    <row r="8104" spans="8:8" x14ac:dyDescent="0.2">
      <c r="H8104">
        <v>0</v>
      </c>
    </row>
    <row r="8105" spans="8:8" x14ac:dyDescent="0.2">
      <c r="H8105">
        <v>0</v>
      </c>
    </row>
    <row r="8106" spans="8:8" x14ac:dyDescent="0.2">
      <c r="H8106">
        <v>0</v>
      </c>
    </row>
    <row r="8107" spans="8:8" x14ac:dyDescent="0.2">
      <c r="H8107">
        <v>0</v>
      </c>
    </row>
    <row r="8108" spans="8:8" x14ac:dyDescent="0.2">
      <c r="H8108">
        <v>0</v>
      </c>
    </row>
    <row r="8109" spans="8:8" x14ac:dyDescent="0.2">
      <c r="H8109">
        <v>0</v>
      </c>
    </row>
    <row r="8110" spans="8:8" x14ac:dyDescent="0.2">
      <c r="H8110">
        <v>0</v>
      </c>
    </row>
    <row r="8111" spans="8:8" x14ac:dyDescent="0.2">
      <c r="H8111">
        <v>0</v>
      </c>
    </row>
    <row r="8112" spans="8:8" x14ac:dyDescent="0.2">
      <c r="H8112">
        <v>0</v>
      </c>
    </row>
    <row r="8113" spans="8:8" x14ac:dyDescent="0.2">
      <c r="H8113">
        <v>0</v>
      </c>
    </row>
    <row r="8114" spans="8:8" x14ac:dyDescent="0.2">
      <c r="H8114">
        <v>0</v>
      </c>
    </row>
    <row r="8115" spans="8:8" x14ac:dyDescent="0.2">
      <c r="H8115">
        <v>0</v>
      </c>
    </row>
    <row r="8116" spans="8:8" x14ac:dyDescent="0.2">
      <c r="H8116">
        <v>0</v>
      </c>
    </row>
    <row r="8117" spans="8:8" x14ac:dyDescent="0.2">
      <c r="H8117">
        <v>0</v>
      </c>
    </row>
    <row r="8118" spans="8:8" x14ac:dyDescent="0.2">
      <c r="H8118">
        <v>0</v>
      </c>
    </row>
    <row r="8119" spans="8:8" x14ac:dyDescent="0.2">
      <c r="H8119">
        <v>0</v>
      </c>
    </row>
    <row r="8120" spans="8:8" x14ac:dyDescent="0.2">
      <c r="H8120">
        <v>0</v>
      </c>
    </row>
    <row r="8121" spans="8:8" x14ac:dyDescent="0.2">
      <c r="H8121">
        <v>0</v>
      </c>
    </row>
    <row r="8122" spans="8:8" x14ac:dyDescent="0.2">
      <c r="H8122">
        <v>0</v>
      </c>
    </row>
    <row r="8123" spans="8:8" x14ac:dyDescent="0.2">
      <c r="H8123">
        <v>0</v>
      </c>
    </row>
    <row r="8124" spans="8:8" x14ac:dyDescent="0.2">
      <c r="H8124">
        <v>0</v>
      </c>
    </row>
    <row r="8125" spans="8:8" x14ac:dyDescent="0.2">
      <c r="H8125">
        <v>0</v>
      </c>
    </row>
    <row r="8126" spans="8:8" x14ac:dyDescent="0.2">
      <c r="H8126">
        <v>0</v>
      </c>
    </row>
    <row r="8127" spans="8:8" x14ac:dyDescent="0.2">
      <c r="H8127">
        <v>0</v>
      </c>
    </row>
    <row r="8128" spans="8:8" x14ac:dyDescent="0.2">
      <c r="H8128">
        <v>0</v>
      </c>
    </row>
    <row r="8129" spans="8:8" x14ac:dyDescent="0.2">
      <c r="H8129">
        <v>0</v>
      </c>
    </row>
    <row r="8130" spans="8:8" x14ac:dyDescent="0.2">
      <c r="H8130">
        <v>0</v>
      </c>
    </row>
    <row r="8131" spans="8:8" x14ac:dyDescent="0.2">
      <c r="H8131">
        <v>0</v>
      </c>
    </row>
    <row r="8132" spans="8:8" x14ac:dyDescent="0.2">
      <c r="H8132">
        <v>0</v>
      </c>
    </row>
    <row r="8133" spans="8:8" x14ac:dyDescent="0.2">
      <c r="H8133">
        <v>0</v>
      </c>
    </row>
    <row r="8134" spans="8:8" x14ac:dyDescent="0.2">
      <c r="H8134">
        <v>0</v>
      </c>
    </row>
    <row r="8135" spans="8:8" x14ac:dyDescent="0.2">
      <c r="H8135">
        <v>0</v>
      </c>
    </row>
    <row r="8136" spans="8:8" x14ac:dyDescent="0.2">
      <c r="H8136">
        <v>0</v>
      </c>
    </row>
    <row r="8137" spans="8:8" x14ac:dyDescent="0.2">
      <c r="H8137">
        <v>0</v>
      </c>
    </row>
    <row r="8138" spans="8:8" x14ac:dyDescent="0.2">
      <c r="H8138">
        <v>0</v>
      </c>
    </row>
    <row r="8139" spans="8:8" x14ac:dyDescent="0.2">
      <c r="H8139">
        <v>0</v>
      </c>
    </row>
    <row r="8140" spans="8:8" x14ac:dyDescent="0.2">
      <c r="H8140">
        <v>0</v>
      </c>
    </row>
    <row r="8141" spans="8:8" x14ac:dyDescent="0.2">
      <c r="H8141">
        <v>0</v>
      </c>
    </row>
    <row r="8142" spans="8:8" x14ac:dyDescent="0.2">
      <c r="H8142">
        <v>0</v>
      </c>
    </row>
    <row r="8143" spans="8:8" x14ac:dyDescent="0.2">
      <c r="H8143">
        <v>0</v>
      </c>
    </row>
    <row r="8144" spans="8:8" x14ac:dyDescent="0.2">
      <c r="H8144">
        <v>0</v>
      </c>
    </row>
    <row r="8145" spans="8:8" x14ac:dyDescent="0.2">
      <c r="H8145">
        <v>0</v>
      </c>
    </row>
    <row r="8146" spans="8:8" x14ac:dyDescent="0.2">
      <c r="H8146">
        <v>0</v>
      </c>
    </row>
    <row r="8147" spans="8:8" x14ac:dyDescent="0.2">
      <c r="H8147">
        <v>0</v>
      </c>
    </row>
    <row r="8148" spans="8:8" x14ac:dyDescent="0.2">
      <c r="H8148">
        <v>0</v>
      </c>
    </row>
    <row r="8149" spans="8:8" x14ac:dyDescent="0.2">
      <c r="H8149">
        <v>0</v>
      </c>
    </row>
    <row r="8150" spans="8:8" x14ac:dyDescent="0.2">
      <c r="H8150">
        <v>0</v>
      </c>
    </row>
    <row r="8151" spans="8:8" x14ac:dyDescent="0.2">
      <c r="H8151">
        <v>0</v>
      </c>
    </row>
    <row r="8152" spans="8:8" x14ac:dyDescent="0.2">
      <c r="H8152">
        <v>0</v>
      </c>
    </row>
    <row r="8153" spans="8:8" x14ac:dyDescent="0.2">
      <c r="H8153">
        <v>0</v>
      </c>
    </row>
    <row r="8154" spans="8:8" x14ac:dyDescent="0.2">
      <c r="H8154">
        <v>0</v>
      </c>
    </row>
    <row r="8155" spans="8:8" x14ac:dyDescent="0.2">
      <c r="H8155">
        <v>0</v>
      </c>
    </row>
    <row r="8156" spans="8:8" x14ac:dyDescent="0.2">
      <c r="H8156">
        <v>0</v>
      </c>
    </row>
    <row r="8157" spans="8:8" x14ac:dyDescent="0.2">
      <c r="H8157">
        <v>0</v>
      </c>
    </row>
    <row r="8158" spans="8:8" x14ac:dyDescent="0.2">
      <c r="H8158">
        <v>0</v>
      </c>
    </row>
    <row r="8159" spans="8:8" x14ac:dyDescent="0.2">
      <c r="H8159">
        <v>0</v>
      </c>
    </row>
    <row r="8160" spans="8:8" x14ac:dyDescent="0.2">
      <c r="H8160">
        <v>0</v>
      </c>
    </row>
    <row r="8161" spans="8:8" x14ac:dyDescent="0.2">
      <c r="H8161">
        <v>0</v>
      </c>
    </row>
    <row r="8162" spans="8:8" x14ac:dyDescent="0.2">
      <c r="H8162">
        <v>0</v>
      </c>
    </row>
    <row r="8163" spans="8:8" x14ac:dyDescent="0.2">
      <c r="H8163">
        <v>0</v>
      </c>
    </row>
    <row r="8164" spans="8:8" x14ac:dyDescent="0.2">
      <c r="H8164">
        <v>0</v>
      </c>
    </row>
    <row r="8165" spans="8:8" x14ac:dyDescent="0.2">
      <c r="H8165">
        <v>0</v>
      </c>
    </row>
    <row r="8166" spans="8:8" x14ac:dyDescent="0.2">
      <c r="H8166">
        <v>0</v>
      </c>
    </row>
    <row r="8167" spans="8:8" x14ac:dyDescent="0.2">
      <c r="H8167">
        <v>0</v>
      </c>
    </row>
    <row r="8168" spans="8:8" x14ac:dyDescent="0.2">
      <c r="H8168">
        <v>0</v>
      </c>
    </row>
    <row r="8169" spans="8:8" x14ac:dyDescent="0.2">
      <c r="H8169">
        <v>0</v>
      </c>
    </row>
    <row r="8170" spans="8:8" x14ac:dyDescent="0.2">
      <c r="H8170">
        <v>0</v>
      </c>
    </row>
    <row r="8171" spans="8:8" x14ac:dyDescent="0.2">
      <c r="H8171">
        <v>0</v>
      </c>
    </row>
    <row r="8172" spans="8:8" x14ac:dyDescent="0.2">
      <c r="H8172">
        <v>0</v>
      </c>
    </row>
    <row r="8173" spans="8:8" x14ac:dyDescent="0.2">
      <c r="H8173">
        <v>0</v>
      </c>
    </row>
    <row r="8174" spans="8:8" x14ac:dyDescent="0.2">
      <c r="H8174">
        <v>0</v>
      </c>
    </row>
    <row r="8175" spans="8:8" x14ac:dyDescent="0.2">
      <c r="H8175">
        <v>0</v>
      </c>
    </row>
    <row r="8176" spans="8:8" x14ac:dyDescent="0.2">
      <c r="H8176">
        <v>0</v>
      </c>
    </row>
    <row r="8177" spans="8:8" x14ac:dyDescent="0.2">
      <c r="H8177">
        <v>0</v>
      </c>
    </row>
    <row r="8178" spans="8:8" x14ac:dyDescent="0.2">
      <c r="H8178">
        <v>0</v>
      </c>
    </row>
    <row r="8179" spans="8:8" x14ac:dyDescent="0.2">
      <c r="H8179">
        <v>0</v>
      </c>
    </row>
    <row r="8180" spans="8:8" x14ac:dyDescent="0.2">
      <c r="H8180">
        <v>0</v>
      </c>
    </row>
    <row r="8181" spans="8:8" x14ac:dyDescent="0.2">
      <c r="H8181">
        <v>0</v>
      </c>
    </row>
    <row r="8182" spans="8:8" x14ac:dyDescent="0.2">
      <c r="H8182">
        <v>0</v>
      </c>
    </row>
    <row r="8183" spans="8:8" x14ac:dyDescent="0.2">
      <c r="H8183">
        <v>0</v>
      </c>
    </row>
    <row r="8184" spans="8:8" x14ac:dyDescent="0.2">
      <c r="H8184">
        <v>0</v>
      </c>
    </row>
    <row r="8185" spans="8:8" x14ac:dyDescent="0.2">
      <c r="H8185">
        <v>0</v>
      </c>
    </row>
    <row r="8186" spans="8:8" x14ac:dyDescent="0.2">
      <c r="H8186">
        <v>0</v>
      </c>
    </row>
    <row r="8187" spans="8:8" x14ac:dyDescent="0.2">
      <c r="H8187">
        <v>0</v>
      </c>
    </row>
    <row r="8188" spans="8:8" x14ac:dyDescent="0.2">
      <c r="H8188">
        <v>0</v>
      </c>
    </row>
    <row r="8189" spans="8:8" x14ac:dyDescent="0.2">
      <c r="H8189">
        <v>0</v>
      </c>
    </row>
    <row r="8190" spans="8:8" x14ac:dyDescent="0.2">
      <c r="H8190">
        <v>0</v>
      </c>
    </row>
    <row r="8191" spans="8:8" x14ac:dyDescent="0.2">
      <c r="H8191">
        <v>0</v>
      </c>
    </row>
    <row r="8192" spans="8:8" x14ac:dyDescent="0.2">
      <c r="H8192">
        <v>0</v>
      </c>
    </row>
    <row r="8193" spans="8:8" x14ac:dyDescent="0.2">
      <c r="H8193">
        <v>0</v>
      </c>
    </row>
    <row r="8194" spans="8:8" x14ac:dyDescent="0.2">
      <c r="H8194">
        <v>0</v>
      </c>
    </row>
    <row r="8195" spans="8:8" x14ac:dyDescent="0.2">
      <c r="H8195">
        <v>0</v>
      </c>
    </row>
    <row r="8196" spans="8:8" x14ac:dyDescent="0.2">
      <c r="H8196">
        <v>0</v>
      </c>
    </row>
    <row r="8197" spans="8:8" x14ac:dyDescent="0.2">
      <c r="H8197">
        <v>0</v>
      </c>
    </row>
    <row r="8198" spans="8:8" x14ac:dyDescent="0.2">
      <c r="H8198">
        <v>0</v>
      </c>
    </row>
    <row r="8199" spans="8:8" x14ac:dyDescent="0.2">
      <c r="H8199">
        <v>0</v>
      </c>
    </row>
    <row r="8200" spans="8:8" x14ac:dyDescent="0.2">
      <c r="H8200">
        <v>0</v>
      </c>
    </row>
    <row r="8201" spans="8:8" x14ac:dyDescent="0.2">
      <c r="H8201">
        <v>0</v>
      </c>
    </row>
    <row r="8202" spans="8:8" x14ac:dyDescent="0.2">
      <c r="H8202">
        <v>0</v>
      </c>
    </row>
    <row r="8203" spans="8:8" x14ac:dyDescent="0.2">
      <c r="H8203">
        <v>0</v>
      </c>
    </row>
    <row r="8204" spans="8:8" x14ac:dyDescent="0.2">
      <c r="H8204">
        <v>0</v>
      </c>
    </row>
    <row r="8205" spans="8:8" x14ac:dyDescent="0.2">
      <c r="H8205">
        <v>0</v>
      </c>
    </row>
    <row r="8206" spans="8:8" x14ac:dyDescent="0.2">
      <c r="H8206">
        <v>0</v>
      </c>
    </row>
    <row r="8207" spans="8:8" x14ac:dyDescent="0.2">
      <c r="H8207">
        <v>0</v>
      </c>
    </row>
    <row r="8208" spans="8:8" x14ac:dyDescent="0.2">
      <c r="H8208">
        <v>0</v>
      </c>
    </row>
    <row r="8209" spans="8:8" x14ac:dyDescent="0.2">
      <c r="H8209">
        <v>0</v>
      </c>
    </row>
    <row r="8210" spans="8:8" x14ac:dyDescent="0.2">
      <c r="H8210">
        <v>0</v>
      </c>
    </row>
    <row r="8211" spans="8:8" x14ac:dyDescent="0.2">
      <c r="H8211">
        <v>0</v>
      </c>
    </row>
    <row r="8212" spans="8:8" x14ac:dyDescent="0.2">
      <c r="H8212">
        <v>0</v>
      </c>
    </row>
    <row r="8213" spans="8:8" x14ac:dyDescent="0.2">
      <c r="H8213">
        <v>0</v>
      </c>
    </row>
    <row r="8214" spans="8:8" x14ac:dyDescent="0.2">
      <c r="H8214">
        <v>0</v>
      </c>
    </row>
    <row r="8215" spans="8:8" x14ac:dyDescent="0.2">
      <c r="H8215">
        <v>0</v>
      </c>
    </row>
    <row r="8216" spans="8:8" x14ac:dyDescent="0.2">
      <c r="H8216">
        <v>0</v>
      </c>
    </row>
    <row r="8217" spans="8:8" x14ac:dyDescent="0.2">
      <c r="H8217">
        <v>0</v>
      </c>
    </row>
    <row r="8218" spans="8:8" x14ac:dyDescent="0.2">
      <c r="H8218">
        <v>0</v>
      </c>
    </row>
    <row r="8219" spans="8:8" x14ac:dyDescent="0.2">
      <c r="H8219">
        <v>0</v>
      </c>
    </row>
    <row r="8220" spans="8:8" x14ac:dyDescent="0.2">
      <c r="H8220">
        <v>0</v>
      </c>
    </row>
    <row r="8221" spans="8:8" x14ac:dyDescent="0.2">
      <c r="H8221">
        <v>0</v>
      </c>
    </row>
    <row r="8222" spans="8:8" x14ac:dyDescent="0.2">
      <c r="H8222">
        <v>0</v>
      </c>
    </row>
    <row r="8223" spans="8:8" x14ac:dyDescent="0.2">
      <c r="H8223">
        <v>0</v>
      </c>
    </row>
    <row r="8224" spans="8:8" x14ac:dyDescent="0.2">
      <c r="H8224">
        <v>0</v>
      </c>
    </row>
    <row r="8225" spans="8:8" x14ac:dyDescent="0.2">
      <c r="H8225">
        <v>0</v>
      </c>
    </row>
    <row r="8226" spans="8:8" x14ac:dyDescent="0.2">
      <c r="H8226">
        <v>0</v>
      </c>
    </row>
    <row r="8227" spans="8:8" x14ac:dyDescent="0.2">
      <c r="H8227">
        <v>0</v>
      </c>
    </row>
    <row r="8228" spans="8:8" x14ac:dyDescent="0.2">
      <c r="H8228">
        <v>0</v>
      </c>
    </row>
    <row r="8229" spans="8:8" x14ac:dyDescent="0.2">
      <c r="H8229">
        <v>0</v>
      </c>
    </row>
    <row r="8230" spans="8:8" x14ac:dyDescent="0.2">
      <c r="H8230">
        <v>0</v>
      </c>
    </row>
    <row r="8231" spans="8:8" x14ac:dyDescent="0.2">
      <c r="H8231">
        <v>0</v>
      </c>
    </row>
    <row r="8232" spans="8:8" x14ac:dyDescent="0.2">
      <c r="H8232">
        <v>0</v>
      </c>
    </row>
    <row r="8233" spans="8:8" x14ac:dyDescent="0.2">
      <c r="H8233">
        <v>0</v>
      </c>
    </row>
    <row r="8234" spans="8:8" x14ac:dyDescent="0.2">
      <c r="H8234">
        <v>0</v>
      </c>
    </row>
    <row r="8235" spans="8:8" x14ac:dyDescent="0.2">
      <c r="H8235">
        <v>0</v>
      </c>
    </row>
    <row r="8236" spans="8:8" x14ac:dyDescent="0.2">
      <c r="H8236">
        <v>0</v>
      </c>
    </row>
    <row r="8237" spans="8:8" x14ac:dyDescent="0.2">
      <c r="H8237">
        <v>0</v>
      </c>
    </row>
    <row r="8238" spans="8:8" x14ac:dyDescent="0.2">
      <c r="H8238">
        <v>0</v>
      </c>
    </row>
    <row r="8239" spans="8:8" x14ac:dyDescent="0.2">
      <c r="H8239">
        <v>0</v>
      </c>
    </row>
    <row r="8240" spans="8:8" x14ac:dyDescent="0.2">
      <c r="H8240">
        <v>0</v>
      </c>
    </row>
    <row r="8241" spans="8:8" x14ac:dyDescent="0.2">
      <c r="H8241">
        <v>0</v>
      </c>
    </row>
    <row r="8242" spans="8:8" x14ac:dyDescent="0.2">
      <c r="H8242">
        <v>0</v>
      </c>
    </row>
    <row r="8243" spans="8:8" x14ac:dyDescent="0.2">
      <c r="H8243">
        <v>0</v>
      </c>
    </row>
    <row r="8244" spans="8:8" x14ac:dyDescent="0.2">
      <c r="H8244">
        <v>0</v>
      </c>
    </row>
    <row r="8245" spans="8:8" x14ac:dyDescent="0.2">
      <c r="H8245">
        <v>0</v>
      </c>
    </row>
    <row r="8246" spans="8:8" x14ac:dyDescent="0.2">
      <c r="H8246">
        <v>0</v>
      </c>
    </row>
    <row r="8247" spans="8:8" x14ac:dyDescent="0.2">
      <c r="H8247">
        <v>0</v>
      </c>
    </row>
    <row r="8248" spans="8:8" x14ac:dyDescent="0.2">
      <c r="H8248">
        <v>0</v>
      </c>
    </row>
    <row r="8249" spans="8:8" x14ac:dyDescent="0.2">
      <c r="H8249">
        <v>0</v>
      </c>
    </row>
    <row r="8250" spans="8:8" x14ac:dyDescent="0.2">
      <c r="H8250">
        <v>0</v>
      </c>
    </row>
    <row r="8251" spans="8:8" x14ac:dyDescent="0.2">
      <c r="H8251">
        <v>0</v>
      </c>
    </row>
    <row r="8252" spans="8:8" x14ac:dyDescent="0.2">
      <c r="H8252">
        <v>0</v>
      </c>
    </row>
    <row r="8253" spans="8:8" x14ac:dyDescent="0.2">
      <c r="H8253">
        <v>0</v>
      </c>
    </row>
    <row r="8254" spans="8:8" x14ac:dyDescent="0.2">
      <c r="H8254">
        <v>0</v>
      </c>
    </row>
    <row r="8255" spans="8:8" x14ac:dyDescent="0.2">
      <c r="H8255">
        <v>0</v>
      </c>
    </row>
    <row r="8256" spans="8:8" x14ac:dyDescent="0.2">
      <c r="H8256">
        <v>0</v>
      </c>
    </row>
    <row r="8257" spans="8:8" x14ac:dyDescent="0.2">
      <c r="H8257">
        <v>0</v>
      </c>
    </row>
    <row r="8258" spans="8:8" x14ac:dyDescent="0.2">
      <c r="H8258">
        <v>0</v>
      </c>
    </row>
    <row r="8259" spans="8:8" x14ac:dyDescent="0.2">
      <c r="H8259">
        <v>0</v>
      </c>
    </row>
    <row r="8260" spans="8:8" x14ac:dyDescent="0.2">
      <c r="H8260">
        <v>0</v>
      </c>
    </row>
    <row r="8261" spans="8:8" x14ac:dyDescent="0.2">
      <c r="H8261">
        <v>0</v>
      </c>
    </row>
    <row r="8262" spans="8:8" x14ac:dyDescent="0.2">
      <c r="H8262">
        <v>0</v>
      </c>
    </row>
    <row r="8263" spans="8:8" x14ac:dyDescent="0.2">
      <c r="H8263">
        <v>0</v>
      </c>
    </row>
    <row r="8264" spans="8:8" x14ac:dyDescent="0.2">
      <c r="H8264">
        <v>0</v>
      </c>
    </row>
    <row r="8265" spans="8:8" x14ac:dyDescent="0.2">
      <c r="H8265">
        <v>0</v>
      </c>
    </row>
    <row r="8266" spans="8:8" x14ac:dyDescent="0.2">
      <c r="H8266">
        <v>0</v>
      </c>
    </row>
    <row r="8267" spans="8:8" x14ac:dyDescent="0.2">
      <c r="H8267">
        <v>0</v>
      </c>
    </row>
    <row r="8268" spans="8:8" x14ac:dyDescent="0.2">
      <c r="H8268">
        <v>0</v>
      </c>
    </row>
    <row r="8269" spans="8:8" x14ac:dyDescent="0.2">
      <c r="H8269">
        <v>0</v>
      </c>
    </row>
    <row r="8270" spans="8:8" x14ac:dyDescent="0.2">
      <c r="H8270">
        <v>0</v>
      </c>
    </row>
    <row r="8271" spans="8:8" x14ac:dyDescent="0.2">
      <c r="H8271">
        <v>0</v>
      </c>
    </row>
    <row r="8272" spans="8:8" x14ac:dyDescent="0.2">
      <c r="H8272">
        <v>0</v>
      </c>
    </row>
    <row r="8273" spans="8:8" x14ac:dyDescent="0.2">
      <c r="H8273">
        <v>0</v>
      </c>
    </row>
    <row r="8274" spans="8:8" x14ac:dyDescent="0.2">
      <c r="H8274">
        <v>0</v>
      </c>
    </row>
    <row r="8275" spans="8:8" x14ac:dyDescent="0.2">
      <c r="H8275">
        <v>0</v>
      </c>
    </row>
    <row r="8276" spans="8:8" x14ac:dyDescent="0.2">
      <c r="H8276">
        <v>0</v>
      </c>
    </row>
    <row r="8277" spans="8:8" x14ac:dyDescent="0.2">
      <c r="H8277">
        <v>0</v>
      </c>
    </row>
    <row r="8278" spans="8:8" x14ac:dyDescent="0.2">
      <c r="H8278">
        <v>0</v>
      </c>
    </row>
    <row r="8279" spans="8:8" x14ac:dyDescent="0.2">
      <c r="H8279">
        <v>0</v>
      </c>
    </row>
    <row r="8280" spans="8:8" x14ac:dyDescent="0.2">
      <c r="H8280">
        <v>0</v>
      </c>
    </row>
    <row r="8281" spans="8:8" x14ac:dyDescent="0.2">
      <c r="H8281">
        <v>0</v>
      </c>
    </row>
    <row r="8282" spans="8:8" x14ac:dyDescent="0.2">
      <c r="H8282">
        <v>0</v>
      </c>
    </row>
    <row r="8283" spans="8:8" x14ac:dyDescent="0.2">
      <c r="H8283">
        <v>0</v>
      </c>
    </row>
    <row r="8284" spans="8:8" x14ac:dyDescent="0.2">
      <c r="H8284">
        <v>0</v>
      </c>
    </row>
    <row r="8285" spans="8:8" x14ac:dyDescent="0.2">
      <c r="H8285">
        <v>0</v>
      </c>
    </row>
    <row r="8286" spans="8:8" x14ac:dyDescent="0.2">
      <c r="H8286">
        <v>0</v>
      </c>
    </row>
    <row r="8287" spans="8:8" x14ac:dyDescent="0.2">
      <c r="H8287">
        <v>0</v>
      </c>
    </row>
    <row r="8288" spans="8:8" x14ac:dyDescent="0.2">
      <c r="H8288">
        <v>0</v>
      </c>
    </row>
    <row r="8289" spans="8:8" x14ac:dyDescent="0.2">
      <c r="H8289">
        <v>0</v>
      </c>
    </row>
    <row r="8290" spans="8:8" x14ac:dyDescent="0.2">
      <c r="H8290">
        <v>0</v>
      </c>
    </row>
    <row r="8291" spans="8:8" x14ac:dyDescent="0.2">
      <c r="H8291">
        <v>0</v>
      </c>
    </row>
    <row r="8292" spans="8:8" x14ac:dyDescent="0.2">
      <c r="H8292">
        <v>0</v>
      </c>
    </row>
    <row r="8293" spans="8:8" x14ac:dyDescent="0.2">
      <c r="H8293">
        <v>0</v>
      </c>
    </row>
    <row r="8294" spans="8:8" x14ac:dyDescent="0.2">
      <c r="H8294">
        <v>0</v>
      </c>
    </row>
    <row r="8295" spans="8:8" x14ac:dyDescent="0.2">
      <c r="H8295">
        <v>0</v>
      </c>
    </row>
    <row r="8296" spans="8:8" x14ac:dyDescent="0.2">
      <c r="H8296">
        <v>0</v>
      </c>
    </row>
    <row r="8297" spans="8:8" x14ac:dyDescent="0.2">
      <c r="H8297">
        <v>0</v>
      </c>
    </row>
    <row r="8298" spans="8:8" x14ac:dyDescent="0.2">
      <c r="H8298">
        <v>0</v>
      </c>
    </row>
    <row r="8299" spans="8:8" x14ac:dyDescent="0.2">
      <c r="H8299">
        <v>0</v>
      </c>
    </row>
    <row r="8300" spans="8:8" x14ac:dyDescent="0.2">
      <c r="H8300">
        <v>0</v>
      </c>
    </row>
    <row r="8301" spans="8:8" x14ac:dyDescent="0.2">
      <c r="H8301">
        <v>0</v>
      </c>
    </row>
    <row r="8302" spans="8:8" x14ac:dyDescent="0.2">
      <c r="H8302">
        <v>0</v>
      </c>
    </row>
    <row r="8303" spans="8:8" x14ac:dyDescent="0.2">
      <c r="H8303">
        <v>0</v>
      </c>
    </row>
    <row r="8304" spans="8:8" x14ac:dyDescent="0.2">
      <c r="H8304">
        <v>0</v>
      </c>
    </row>
    <row r="8305" spans="8:8" x14ac:dyDescent="0.2">
      <c r="H8305">
        <v>0</v>
      </c>
    </row>
    <row r="8306" spans="8:8" x14ac:dyDescent="0.2">
      <c r="H8306">
        <v>0</v>
      </c>
    </row>
    <row r="8307" spans="8:8" x14ac:dyDescent="0.2">
      <c r="H8307">
        <v>0</v>
      </c>
    </row>
    <row r="8308" spans="8:8" x14ac:dyDescent="0.2">
      <c r="H8308">
        <v>0</v>
      </c>
    </row>
    <row r="8309" spans="8:8" x14ac:dyDescent="0.2">
      <c r="H8309">
        <v>0</v>
      </c>
    </row>
    <row r="8310" spans="8:8" x14ac:dyDescent="0.2">
      <c r="H8310">
        <v>0</v>
      </c>
    </row>
    <row r="8311" spans="8:8" x14ac:dyDescent="0.2">
      <c r="H8311">
        <v>0</v>
      </c>
    </row>
    <row r="8312" spans="8:8" x14ac:dyDescent="0.2">
      <c r="H8312">
        <v>0</v>
      </c>
    </row>
    <row r="8313" spans="8:8" x14ac:dyDescent="0.2">
      <c r="H8313">
        <v>0</v>
      </c>
    </row>
    <row r="8314" spans="8:8" x14ac:dyDescent="0.2">
      <c r="H8314">
        <v>0</v>
      </c>
    </row>
    <row r="8315" spans="8:8" x14ac:dyDescent="0.2">
      <c r="H8315">
        <v>0</v>
      </c>
    </row>
    <row r="8316" spans="8:8" x14ac:dyDescent="0.2">
      <c r="H8316">
        <v>0</v>
      </c>
    </row>
    <row r="8317" spans="8:8" x14ac:dyDescent="0.2">
      <c r="H8317">
        <v>0</v>
      </c>
    </row>
    <row r="8318" spans="8:8" x14ac:dyDescent="0.2">
      <c r="H8318">
        <v>0</v>
      </c>
    </row>
    <row r="8319" spans="8:8" x14ac:dyDescent="0.2">
      <c r="H8319">
        <v>0</v>
      </c>
    </row>
    <row r="8320" spans="8:8" x14ac:dyDescent="0.2">
      <c r="H8320">
        <v>0</v>
      </c>
    </row>
    <row r="8321" spans="8:8" x14ac:dyDescent="0.2">
      <c r="H8321">
        <v>0</v>
      </c>
    </row>
    <row r="8322" spans="8:8" x14ac:dyDescent="0.2">
      <c r="H8322">
        <v>0</v>
      </c>
    </row>
    <row r="8323" spans="8:8" x14ac:dyDescent="0.2">
      <c r="H8323">
        <v>0</v>
      </c>
    </row>
    <row r="8324" spans="8:8" x14ac:dyDescent="0.2">
      <c r="H8324">
        <v>0</v>
      </c>
    </row>
    <row r="8325" spans="8:8" x14ac:dyDescent="0.2">
      <c r="H8325">
        <v>0</v>
      </c>
    </row>
    <row r="8326" spans="8:8" x14ac:dyDescent="0.2">
      <c r="H8326">
        <v>0</v>
      </c>
    </row>
    <row r="8327" spans="8:8" x14ac:dyDescent="0.2">
      <c r="H8327">
        <v>0</v>
      </c>
    </row>
    <row r="8328" spans="8:8" x14ac:dyDescent="0.2">
      <c r="H8328">
        <v>0</v>
      </c>
    </row>
    <row r="8329" spans="8:8" x14ac:dyDescent="0.2">
      <c r="H8329">
        <v>0</v>
      </c>
    </row>
    <row r="8330" spans="8:8" x14ac:dyDescent="0.2">
      <c r="H8330">
        <v>0</v>
      </c>
    </row>
    <row r="8331" spans="8:8" x14ac:dyDescent="0.2">
      <c r="H8331">
        <v>0</v>
      </c>
    </row>
    <row r="8332" spans="8:8" x14ac:dyDescent="0.2">
      <c r="H8332">
        <v>0</v>
      </c>
    </row>
    <row r="8333" spans="8:8" x14ac:dyDescent="0.2">
      <c r="H8333">
        <v>0</v>
      </c>
    </row>
    <row r="8334" spans="8:8" x14ac:dyDescent="0.2">
      <c r="H8334">
        <v>0</v>
      </c>
    </row>
    <row r="8335" spans="8:8" x14ac:dyDescent="0.2">
      <c r="H8335">
        <v>0</v>
      </c>
    </row>
    <row r="8336" spans="8:8" x14ac:dyDescent="0.2">
      <c r="H8336">
        <v>0</v>
      </c>
    </row>
    <row r="8337" spans="8:8" x14ac:dyDescent="0.2">
      <c r="H8337">
        <v>0</v>
      </c>
    </row>
    <row r="8338" spans="8:8" x14ac:dyDescent="0.2">
      <c r="H8338">
        <v>0</v>
      </c>
    </row>
    <row r="8339" spans="8:8" x14ac:dyDescent="0.2">
      <c r="H8339">
        <v>0</v>
      </c>
    </row>
    <row r="8340" spans="8:8" x14ac:dyDescent="0.2">
      <c r="H8340">
        <v>0</v>
      </c>
    </row>
    <row r="8341" spans="8:8" x14ac:dyDescent="0.2">
      <c r="H8341">
        <v>0</v>
      </c>
    </row>
    <row r="8342" spans="8:8" x14ac:dyDescent="0.2">
      <c r="H8342">
        <v>0</v>
      </c>
    </row>
    <row r="8343" spans="8:8" x14ac:dyDescent="0.2">
      <c r="H8343">
        <v>0</v>
      </c>
    </row>
    <row r="8344" spans="8:8" x14ac:dyDescent="0.2">
      <c r="H8344">
        <v>0</v>
      </c>
    </row>
    <row r="8345" spans="8:8" x14ac:dyDescent="0.2">
      <c r="H8345">
        <v>0</v>
      </c>
    </row>
    <row r="8346" spans="8:8" x14ac:dyDescent="0.2">
      <c r="H8346">
        <v>0</v>
      </c>
    </row>
    <row r="8347" spans="8:8" x14ac:dyDescent="0.2">
      <c r="H8347">
        <v>0</v>
      </c>
    </row>
    <row r="8348" spans="8:8" x14ac:dyDescent="0.2">
      <c r="H8348">
        <v>0</v>
      </c>
    </row>
    <row r="8349" spans="8:8" x14ac:dyDescent="0.2">
      <c r="H8349">
        <v>0</v>
      </c>
    </row>
    <row r="8350" spans="8:8" x14ac:dyDescent="0.2">
      <c r="H8350">
        <v>0</v>
      </c>
    </row>
    <row r="8351" spans="8:8" x14ac:dyDescent="0.2">
      <c r="H8351">
        <v>0</v>
      </c>
    </row>
    <row r="8352" spans="8:8" x14ac:dyDescent="0.2">
      <c r="H8352">
        <v>0</v>
      </c>
    </row>
    <row r="8353" spans="8:8" x14ac:dyDescent="0.2">
      <c r="H8353">
        <v>0</v>
      </c>
    </row>
    <row r="8354" spans="8:8" x14ac:dyDescent="0.2">
      <c r="H8354">
        <v>0</v>
      </c>
    </row>
    <row r="8355" spans="8:8" x14ac:dyDescent="0.2">
      <c r="H8355">
        <v>0</v>
      </c>
    </row>
    <row r="8356" spans="8:8" x14ac:dyDescent="0.2">
      <c r="H8356">
        <v>0</v>
      </c>
    </row>
    <row r="8357" spans="8:8" x14ac:dyDescent="0.2">
      <c r="H8357">
        <v>0</v>
      </c>
    </row>
    <row r="8358" spans="8:8" x14ac:dyDescent="0.2">
      <c r="H8358">
        <v>0</v>
      </c>
    </row>
    <row r="8359" spans="8:8" x14ac:dyDescent="0.2">
      <c r="H8359">
        <v>0</v>
      </c>
    </row>
    <row r="8360" spans="8:8" x14ac:dyDescent="0.2">
      <c r="H8360">
        <v>0</v>
      </c>
    </row>
    <row r="8361" spans="8:8" x14ac:dyDescent="0.2">
      <c r="H8361">
        <v>0</v>
      </c>
    </row>
    <row r="8362" spans="8:8" x14ac:dyDescent="0.2">
      <c r="H8362">
        <v>0</v>
      </c>
    </row>
    <row r="8363" spans="8:8" x14ac:dyDescent="0.2">
      <c r="H8363">
        <v>0</v>
      </c>
    </row>
    <row r="8364" spans="8:8" x14ac:dyDescent="0.2">
      <c r="H8364">
        <v>0</v>
      </c>
    </row>
    <row r="8365" spans="8:8" x14ac:dyDescent="0.2">
      <c r="H8365">
        <v>0</v>
      </c>
    </row>
    <row r="8366" spans="8:8" x14ac:dyDescent="0.2">
      <c r="H8366">
        <v>0</v>
      </c>
    </row>
    <row r="8367" spans="8:8" x14ac:dyDescent="0.2">
      <c r="H8367">
        <v>0</v>
      </c>
    </row>
    <row r="8368" spans="8:8" x14ac:dyDescent="0.2">
      <c r="H8368">
        <v>0</v>
      </c>
    </row>
    <row r="8369" spans="8:8" x14ac:dyDescent="0.2">
      <c r="H8369">
        <v>0</v>
      </c>
    </row>
    <row r="8370" spans="8:8" x14ac:dyDescent="0.2">
      <c r="H8370">
        <v>0</v>
      </c>
    </row>
    <row r="8371" spans="8:8" x14ac:dyDescent="0.2">
      <c r="H8371">
        <v>0</v>
      </c>
    </row>
    <row r="8372" spans="8:8" x14ac:dyDescent="0.2">
      <c r="H8372">
        <v>0</v>
      </c>
    </row>
    <row r="8373" spans="8:8" x14ac:dyDescent="0.2">
      <c r="H8373">
        <v>0</v>
      </c>
    </row>
    <row r="8374" spans="8:8" x14ac:dyDescent="0.2">
      <c r="H8374">
        <v>0</v>
      </c>
    </row>
    <row r="8375" spans="8:8" x14ac:dyDescent="0.2">
      <c r="H8375">
        <v>0</v>
      </c>
    </row>
    <row r="8376" spans="8:8" x14ac:dyDescent="0.2">
      <c r="H8376">
        <v>0</v>
      </c>
    </row>
    <row r="8377" spans="8:8" x14ac:dyDescent="0.2">
      <c r="H8377">
        <v>0</v>
      </c>
    </row>
    <row r="8378" spans="8:8" x14ac:dyDescent="0.2">
      <c r="H8378">
        <v>0</v>
      </c>
    </row>
    <row r="8379" spans="8:8" x14ac:dyDescent="0.2">
      <c r="H8379">
        <v>0</v>
      </c>
    </row>
    <row r="8380" spans="8:8" x14ac:dyDescent="0.2">
      <c r="H8380">
        <v>0</v>
      </c>
    </row>
    <row r="8381" spans="8:8" x14ac:dyDescent="0.2">
      <c r="H8381">
        <v>0</v>
      </c>
    </row>
    <row r="8382" spans="8:8" x14ac:dyDescent="0.2">
      <c r="H8382">
        <v>0</v>
      </c>
    </row>
    <row r="8383" spans="8:8" x14ac:dyDescent="0.2">
      <c r="H8383">
        <v>0</v>
      </c>
    </row>
    <row r="8384" spans="8:8" x14ac:dyDescent="0.2">
      <c r="H8384">
        <v>0</v>
      </c>
    </row>
    <row r="8385" spans="8:8" x14ac:dyDescent="0.2">
      <c r="H8385">
        <v>0</v>
      </c>
    </row>
    <row r="8386" spans="8:8" x14ac:dyDescent="0.2">
      <c r="H8386">
        <v>0</v>
      </c>
    </row>
    <row r="8387" spans="8:8" x14ac:dyDescent="0.2">
      <c r="H8387">
        <v>0</v>
      </c>
    </row>
    <row r="8388" spans="8:8" x14ac:dyDescent="0.2">
      <c r="H8388">
        <v>0</v>
      </c>
    </row>
    <row r="8389" spans="8:8" x14ac:dyDescent="0.2">
      <c r="H8389">
        <v>0</v>
      </c>
    </row>
    <row r="8390" spans="8:8" x14ac:dyDescent="0.2">
      <c r="H8390">
        <v>0</v>
      </c>
    </row>
    <row r="8391" spans="8:8" x14ac:dyDescent="0.2">
      <c r="H8391">
        <v>0</v>
      </c>
    </row>
    <row r="8392" spans="8:8" x14ac:dyDescent="0.2">
      <c r="H8392">
        <v>0</v>
      </c>
    </row>
    <row r="8393" spans="8:8" x14ac:dyDescent="0.2">
      <c r="H8393">
        <v>0</v>
      </c>
    </row>
    <row r="8394" spans="8:8" x14ac:dyDescent="0.2">
      <c r="H8394">
        <v>0</v>
      </c>
    </row>
    <row r="8395" spans="8:8" x14ac:dyDescent="0.2">
      <c r="H8395">
        <v>0</v>
      </c>
    </row>
    <row r="8396" spans="8:8" x14ac:dyDescent="0.2">
      <c r="H8396">
        <v>0</v>
      </c>
    </row>
    <row r="8397" spans="8:8" x14ac:dyDescent="0.2">
      <c r="H8397">
        <v>0</v>
      </c>
    </row>
    <row r="8398" spans="8:8" x14ac:dyDescent="0.2">
      <c r="H8398">
        <v>0</v>
      </c>
    </row>
    <row r="8399" spans="8:8" x14ac:dyDescent="0.2">
      <c r="H8399">
        <v>0</v>
      </c>
    </row>
    <row r="8400" spans="8:8" x14ac:dyDescent="0.2">
      <c r="H8400">
        <v>0</v>
      </c>
    </row>
    <row r="8401" spans="8:8" x14ac:dyDescent="0.2">
      <c r="H8401">
        <v>0</v>
      </c>
    </row>
    <row r="8402" spans="8:8" x14ac:dyDescent="0.2">
      <c r="H8402">
        <v>0</v>
      </c>
    </row>
    <row r="8403" spans="8:8" x14ac:dyDescent="0.2">
      <c r="H8403">
        <v>0</v>
      </c>
    </row>
    <row r="8404" spans="8:8" x14ac:dyDescent="0.2">
      <c r="H8404">
        <v>0</v>
      </c>
    </row>
    <row r="8405" spans="8:8" x14ac:dyDescent="0.2">
      <c r="H8405">
        <v>0</v>
      </c>
    </row>
    <row r="8406" spans="8:8" x14ac:dyDescent="0.2">
      <c r="H8406">
        <v>0</v>
      </c>
    </row>
    <row r="8407" spans="8:8" x14ac:dyDescent="0.2">
      <c r="H8407">
        <v>0</v>
      </c>
    </row>
    <row r="8408" spans="8:8" x14ac:dyDescent="0.2">
      <c r="H8408">
        <v>0</v>
      </c>
    </row>
    <row r="8409" spans="8:8" x14ac:dyDescent="0.2">
      <c r="H8409">
        <v>0</v>
      </c>
    </row>
    <row r="8410" spans="8:8" x14ac:dyDescent="0.2">
      <c r="H8410">
        <v>0</v>
      </c>
    </row>
    <row r="8411" spans="8:8" x14ac:dyDescent="0.2">
      <c r="H8411">
        <v>0</v>
      </c>
    </row>
    <row r="8412" spans="8:8" x14ac:dyDescent="0.2">
      <c r="H8412">
        <v>0</v>
      </c>
    </row>
    <row r="8413" spans="8:8" x14ac:dyDescent="0.2">
      <c r="H8413">
        <v>0</v>
      </c>
    </row>
    <row r="8414" spans="8:8" x14ac:dyDescent="0.2">
      <c r="H8414">
        <v>0</v>
      </c>
    </row>
    <row r="8415" spans="8:8" x14ac:dyDescent="0.2">
      <c r="H8415">
        <v>0</v>
      </c>
    </row>
    <row r="8416" spans="8:8" x14ac:dyDescent="0.2">
      <c r="H8416">
        <v>0</v>
      </c>
    </row>
    <row r="8417" spans="8:8" x14ac:dyDescent="0.2">
      <c r="H8417">
        <v>0</v>
      </c>
    </row>
    <row r="8418" spans="8:8" x14ac:dyDescent="0.2">
      <c r="H8418">
        <v>0</v>
      </c>
    </row>
    <row r="8419" spans="8:8" x14ac:dyDescent="0.2">
      <c r="H8419">
        <v>0</v>
      </c>
    </row>
    <row r="8420" spans="8:8" x14ac:dyDescent="0.2">
      <c r="H8420">
        <v>0</v>
      </c>
    </row>
    <row r="8421" spans="8:8" x14ac:dyDescent="0.2">
      <c r="H8421">
        <v>0</v>
      </c>
    </row>
    <row r="8422" spans="8:8" x14ac:dyDescent="0.2">
      <c r="H8422">
        <v>0</v>
      </c>
    </row>
    <row r="8423" spans="8:8" x14ac:dyDescent="0.2">
      <c r="H8423">
        <v>0</v>
      </c>
    </row>
    <row r="8424" spans="8:8" x14ac:dyDescent="0.2">
      <c r="H8424">
        <v>0</v>
      </c>
    </row>
    <row r="8425" spans="8:8" x14ac:dyDescent="0.2">
      <c r="H8425">
        <v>0</v>
      </c>
    </row>
    <row r="8426" spans="8:8" x14ac:dyDescent="0.2">
      <c r="H8426">
        <v>0</v>
      </c>
    </row>
    <row r="8427" spans="8:8" x14ac:dyDescent="0.2">
      <c r="H8427">
        <v>0</v>
      </c>
    </row>
    <row r="8428" spans="8:8" x14ac:dyDescent="0.2">
      <c r="H8428">
        <v>0</v>
      </c>
    </row>
    <row r="8429" spans="8:8" x14ac:dyDescent="0.2">
      <c r="H8429">
        <v>0</v>
      </c>
    </row>
    <row r="8430" spans="8:8" x14ac:dyDescent="0.2">
      <c r="H8430">
        <v>0</v>
      </c>
    </row>
    <row r="8431" spans="8:8" x14ac:dyDescent="0.2">
      <c r="H8431">
        <v>0</v>
      </c>
    </row>
    <row r="8432" spans="8:8" x14ac:dyDescent="0.2">
      <c r="H8432">
        <v>0</v>
      </c>
    </row>
    <row r="8433" spans="8:8" x14ac:dyDescent="0.2">
      <c r="H8433">
        <v>0</v>
      </c>
    </row>
    <row r="8434" spans="8:8" x14ac:dyDescent="0.2">
      <c r="H8434">
        <v>0</v>
      </c>
    </row>
    <row r="8435" spans="8:8" x14ac:dyDescent="0.2">
      <c r="H8435">
        <v>0</v>
      </c>
    </row>
    <row r="8436" spans="8:8" x14ac:dyDescent="0.2">
      <c r="H8436">
        <v>0</v>
      </c>
    </row>
    <row r="8437" spans="8:8" x14ac:dyDescent="0.2">
      <c r="H8437">
        <v>0</v>
      </c>
    </row>
    <row r="8438" spans="8:8" x14ac:dyDescent="0.2">
      <c r="H8438">
        <v>0</v>
      </c>
    </row>
    <row r="8439" spans="8:8" x14ac:dyDescent="0.2">
      <c r="H8439">
        <v>0</v>
      </c>
    </row>
    <row r="8440" spans="8:8" x14ac:dyDescent="0.2">
      <c r="H8440">
        <v>0</v>
      </c>
    </row>
    <row r="8441" spans="8:8" x14ac:dyDescent="0.2">
      <c r="H8441">
        <v>0</v>
      </c>
    </row>
    <row r="8442" spans="8:8" x14ac:dyDescent="0.2">
      <c r="H8442">
        <v>0</v>
      </c>
    </row>
    <row r="8443" spans="8:8" x14ac:dyDescent="0.2">
      <c r="H8443">
        <v>0</v>
      </c>
    </row>
    <row r="8444" spans="8:8" x14ac:dyDescent="0.2">
      <c r="H8444">
        <v>0</v>
      </c>
    </row>
    <row r="8445" spans="8:8" x14ac:dyDescent="0.2">
      <c r="H8445">
        <v>0</v>
      </c>
    </row>
    <row r="8446" spans="8:8" x14ac:dyDescent="0.2">
      <c r="H8446">
        <v>0</v>
      </c>
    </row>
    <row r="8447" spans="8:8" x14ac:dyDescent="0.2">
      <c r="H8447">
        <v>0</v>
      </c>
    </row>
    <row r="8448" spans="8:8" x14ac:dyDescent="0.2">
      <c r="H8448">
        <v>0</v>
      </c>
    </row>
    <row r="8449" spans="8:8" x14ac:dyDescent="0.2">
      <c r="H8449">
        <v>0</v>
      </c>
    </row>
    <row r="8450" spans="8:8" x14ac:dyDescent="0.2">
      <c r="H8450">
        <v>0</v>
      </c>
    </row>
    <row r="8451" spans="8:8" x14ac:dyDescent="0.2">
      <c r="H8451">
        <v>0</v>
      </c>
    </row>
    <row r="8452" spans="8:8" x14ac:dyDescent="0.2">
      <c r="H8452">
        <v>0</v>
      </c>
    </row>
    <row r="8453" spans="8:8" x14ac:dyDescent="0.2">
      <c r="H8453">
        <v>0</v>
      </c>
    </row>
    <row r="8454" spans="8:8" x14ac:dyDescent="0.2">
      <c r="H8454">
        <v>0</v>
      </c>
    </row>
    <row r="8455" spans="8:8" x14ac:dyDescent="0.2">
      <c r="H8455">
        <v>0</v>
      </c>
    </row>
    <row r="8456" spans="8:8" x14ac:dyDescent="0.2">
      <c r="H8456">
        <v>0</v>
      </c>
    </row>
    <row r="8457" spans="8:8" x14ac:dyDescent="0.2">
      <c r="H8457">
        <v>0</v>
      </c>
    </row>
    <row r="8458" spans="8:8" x14ac:dyDescent="0.2">
      <c r="H8458">
        <v>0</v>
      </c>
    </row>
    <row r="8459" spans="8:8" x14ac:dyDescent="0.2">
      <c r="H8459">
        <v>0</v>
      </c>
    </row>
    <row r="8460" spans="8:8" x14ac:dyDescent="0.2">
      <c r="H8460">
        <v>0</v>
      </c>
    </row>
    <row r="8461" spans="8:8" x14ac:dyDescent="0.2">
      <c r="H8461">
        <v>0</v>
      </c>
    </row>
    <row r="8462" spans="8:8" x14ac:dyDescent="0.2">
      <c r="H8462">
        <v>0</v>
      </c>
    </row>
    <row r="8463" spans="8:8" x14ac:dyDescent="0.2">
      <c r="H8463">
        <v>0</v>
      </c>
    </row>
    <row r="8464" spans="8:8" x14ac:dyDescent="0.2">
      <c r="H8464">
        <v>0</v>
      </c>
    </row>
    <row r="8465" spans="8:8" x14ac:dyDescent="0.2">
      <c r="H8465">
        <v>0</v>
      </c>
    </row>
    <row r="8466" spans="8:8" x14ac:dyDescent="0.2">
      <c r="H8466">
        <v>0</v>
      </c>
    </row>
    <row r="8467" spans="8:8" x14ac:dyDescent="0.2">
      <c r="H8467">
        <v>0</v>
      </c>
    </row>
    <row r="8468" spans="8:8" x14ac:dyDescent="0.2">
      <c r="H8468">
        <v>0</v>
      </c>
    </row>
    <row r="8469" spans="8:8" x14ac:dyDescent="0.2">
      <c r="H8469">
        <v>0</v>
      </c>
    </row>
    <row r="8470" spans="8:8" x14ac:dyDescent="0.2">
      <c r="H8470">
        <v>0</v>
      </c>
    </row>
    <row r="8471" spans="8:8" x14ac:dyDescent="0.2">
      <c r="H8471">
        <v>0</v>
      </c>
    </row>
    <row r="8472" spans="8:8" x14ac:dyDescent="0.2">
      <c r="H8472">
        <v>0</v>
      </c>
    </row>
    <row r="8473" spans="8:8" x14ac:dyDescent="0.2">
      <c r="H8473">
        <v>0</v>
      </c>
    </row>
    <row r="8474" spans="8:8" x14ac:dyDescent="0.2">
      <c r="H8474">
        <v>0</v>
      </c>
    </row>
    <row r="8475" spans="8:8" x14ac:dyDescent="0.2">
      <c r="H8475">
        <v>0</v>
      </c>
    </row>
    <row r="8476" spans="8:8" x14ac:dyDescent="0.2">
      <c r="H8476">
        <v>0</v>
      </c>
    </row>
    <row r="8477" spans="8:8" x14ac:dyDescent="0.2">
      <c r="H8477">
        <v>0</v>
      </c>
    </row>
    <row r="8478" spans="8:8" x14ac:dyDescent="0.2">
      <c r="H8478">
        <v>0</v>
      </c>
    </row>
    <row r="8479" spans="8:8" x14ac:dyDescent="0.2">
      <c r="H8479">
        <v>0</v>
      </c>
    </row>
    <row r="8480" spans="8:8" x14ac:dyDescent="0.2">
      <c r="H8480">
        <v>0</v>
      </c>
    </row>
    <row r="8481" spans="8:8" x14ac:dyDescent="0.2">
      <c r="H8481">
        <v>0</v>
      </c>
    </row>
    <row r="8482" spans="8:8" x14ac:dyDescent="0.2">
      <c r="H8482">
        <v>0</v>
      </c>
    </row>
    <row r="8483" spans="8:8" x14ac:dyDescent="0.2">
      <c r="H8483">
        <v>0</v>
      </c>
    </row>
    <row r="8484" spans="8:8" x14ac:dyDescent="0.2">
      <c r="H8484">
        <v>0</v>
      </c>
    </row>
    <row r="8485" spans="8:8" x14ac:dyDescent="0.2">
      <c r="H8485">
        <v>0</v>
      </c>
    </row>
    <row r="8486" spans="8:8" x14ac:dyDescent="0.2">
      <c r="H8486">
        <v>0</v>
      </c>
    </row>
    <row r="8487" spans="8:8" x14ac:dyDescent="0.2">
      <c r="H8487">
        <v>0</v>
      </c>
    </row>
    <row r="8488" spans="8:8" x14ac:dyDescent="0.2">
      <c r="H8488">
        <v>0</v>
      </c>
    </row>
    <row r="8489" spans="8:8" x14ac:dyDescent="0.2">
      <c r="H8489">
        <v>0</v>
      </c>
    </row>
    <row r="8490" spans="8:8" x14ac:dyDescent="0.2">
      <c r="H8490">
        <v>0</v>
      </c>
    </row>
    <row r="8491" spans="8:8" x14ac:dyDescent="0.2">
      <c r="H8491">
        <v>0</v>
      </c>
    </row>
    <row r="8492" spans="8:8" x14ac:dyDescent="0.2">
      <c r="H8492">
        <v>0</v>
      </c>
    </row>
    <row r="8493" spans="8:8" x14ac:dyDescent="0.2">
      <c r="H8493">
        <v>0</v>
      </c>
    </row>
    <row r="8494" spans="8:8" x14ac:dyDescent="0.2">
      <c r="H8494">
        <v>0</v>
      </c>
    </row>
    <row r="8495" spans="8:8" x14ac:dyDescent="0.2">
      <c r="H8495">
        <v>0</v>
      </c>
    </row>
    <row r="8496" spans="8:8" x14ac:dyDescent="0.2">
      <c r="H8496">
        <v>0</v>
      </c>
    </row>
    <row r="8497" spans="8:8" x14ac:dyDescent="0.2">
      <c r="H8497">
        <v>0</v>
      </c>
    </row>
    <row r="8498" spans="8:8" x14ac:dyDescent="0.2">
      <c r="H8498">
        <v>0</v>
      </c>
    </row>
    <row r="8499" spans="8:8" x14ac:dyDescent="0.2">
      <c r="H8499">
        <v>0</v>
      </c>
    </row>
    <row r="8500" spans="8:8" x14ac:dyDescent="0.2">
      <c r="H8500">
        <v>0</v>
      </c>
    </row>
    <row r="8501" spans="8:8" x14ac:dyDescent="0.2">
      <c r="H8501">
        <v>0</v>
      </c>
    </row>
    <row r="8502" spans="8:8" x14ac:dyDescent="0.2">
      <c r="H8502">
        <v>0</v>
      </c>
    </row>
    <row r="8503" spans="8:8" x14ac:dyDescent="0.2">
      <c r="H8503">
        <v>0</v>
      </c>
    </row>
    <row r="8504" spans="8:8" x14ac:dyDescent="0.2">
      <c r="H8504">
        <v>0</v>
      </c>
    </row>
    <row r="8505" spans="8:8" x14ac:dyDescent="0.2">
      <c r="H8505">
        <v>0</v>
      </c>
    </row>
    <row r="8506" spans="8:8" x14ac:dyDescent="0.2">
      <c r="H8506">
        <v>0</v>
      </c>
    </row>
    <row r="8507" spans="8:8" x14ac:dyDescent="0.2">
      <c r="H8507">
        <v>0</v>
      </c>
    </row>
    <row r="8508" spans="8:8" x14ac:dyDescent="0.2">
      <c r="H8508">
        <v>0</v>
      </c>
    </row>
    <row r="8509" spans="8:8" x14ac:dyDescent="0.2">
      <c r="H8509">
        <v>0</v>
      </c>
    </row>
    <row r="8510" spans="8:8" x14ac:dyDescent="0.2">
      <c r="H8510">
        <v>0</v>
      </c>
    </row>
    <row r="8511" spans="8:8" x14ac:dyDescent="0.2">
      <c r="H8511">
        <v>0</v>
      </c>
    </row>
    <row r="8512" spans="8:8" x14ac:dyDescent="0.2">
      <c r="H8512">
        <v>0</v>
      </c>
    </row>
    <row r="8513" spans="8:8" x14ac:dyDescent="0.2">
      <c r="H8513">
        <v>0</v>
      </c>
    </row>
    <row r="8514" spans="8:8" x14ac:dyDescent="0.2">
      <c r="H8514">
        <v>0</v>
      </c>
    </row>
    <row r="8515" spans="8:8" x14ac:dyDescent="0.2">
      <c r="H8515">
        <v>0</v>
      </c>
    </row>
    <row r="8516" spans="8:8" x14ac:dyDescent="0.2">
      <c r="H8516">
        <v>0</v>
      </c>
    </row>
    <row r="8517" spans="8:8" x14ac:dyDescent="0.2">
      <c r="H8517">
        <v>0</v>
      </c>
    </row>
    <row r="8518" spans="8:8" x14ac:dyDescent="0.2">
      <c r="H8518">
        <v>0</v>
      </c>
    </row>
    <row r="8519" spans="8:8" x14ac:dyDescent="0.2">
      <c r="H8519">
        <v>0</v>
      </c>
    </row>
    <row r="8520" spans="8:8" x14ac:dyDescent="0.2">
      <c r="H8520">
        <v>0</v>
      </c>
    </row>
    <row r="8521" spans="8:8" x14ac:dyDescent="0.2">
      <c r="H8521">
        <v>0</v>
      </c>
    </row>
    <row r="8522" spans="8:8" x14ac:dyDescent="0.2">
      <c r="H8522">
        <v>0</v>
      </c>
    </row>
    <row r="8523" spans="8:8" x14ac:dyDescent="0.2">
      <c r="H8523">
        <v>0</v>
      </c>
    </row>
    <row r="8524" spans="8:8" x14ac:dyDescent="0.2">
      <c r="H8524">
        <v>0</v>
      </c>
    </row>
    <row r="8525" spans="8:8" x14ac:dyDescent="0.2">
      <c r="H8525">
        <v>0</v>
      </c>
    </row>
    <row r="8526" spans="8:8" x14ac:dyDescent="0.2">
      <c r="H8526">
        <v>0</v>
      </c>
    </row>
    <row r="8527" spans="8:8" x14ac:dyDescent="0.2">
      <c r="H8527">
        <v>0</v>
      </c>
    </row>
    <row r="8528" spans="8:8" x14ac:dyDescent="0.2">
      <c r="H8528">
        <v>0</v>
      </c>
    </row>
    <row r="8529" spans="8:8" x14ac:dyDescent="0.2">
      <c r="H8529">
        <v>0</v>
      </c>
    </row>
    <row r="8530" spans="8:8" x14ac:dyDescent="0.2">
      <c r="H8530">
        <v>0</v>
      </c>
    </row>
    <row r="8531" spans="8:8" x14ac:dyDescent="0.2">
      <c r="H8531">
        <v>0</v>
      </c>
    </row>
    <row r="8532" spans="8:8" x14ac:dyDescent="0.2">
      <c r="H8532">
        <v>0</v>
      </c>
    </row>
    <row r="8533" spans="8:8" x14ac:dyDescent="0.2">
      <c r="H8533">
        <v>0</v>
      </c>
    </row>
    <row r="8534" spans="8:8" x14ac:dyDescent="0.2">
      <c r="H8534">
        <v>0</v>
      </c>
    </row>
    <row r="8535" spans="8:8" x14ac:dyDescent="0.2">
      <c r="H8535">
        <v>0</v>
      </c>
    </row>
    <row r="8536" spans="8:8" x14ac:dyDescent="0.2">
      <c r="H8536">
        <v>0</v>
      </c>
    </row>
    <row r="8537" spans="8:8" x14ac:dyDescent="0.2">
      <c r="H8537">
        <v>0</v>
      </c>
    </row>
    <row r="8538" spans="8:8" x14ac:dyDescent="0.2">
      <c r="H8538">
        <v>0</v>
      </c>
    </row>
    <row r="8539" spans="8:8" x14ac:dyDescent="0.2">
      <c r="H8539">
        <v>0</v>
      </c>
    </row>
    <row r="8540" spans="8:8" x14ac:dyDescent="0.2">
      <c r="H8540">
        <v>0</v>
      </c>
    </row>
    <row r="8541" spans="8:8" x14ac:dyDescent="0.2">
      <c r="H8541">
        <v>0</v>
      </c>
    </row>
    <row r="8542" spans="8:8" x14ac:dyDescent="0.2">
      <c r="H8542">
        <v>0</v>
      </c>
    </row>
    <row r="8543" spans="8:8" x14ac:dyDescent="0.2">
      <c r="H8543">
        <v>0</v>
      </c>
    </row>
    <row r="8544" spans="8:8" x14ac:dyDescent="0.2">
      <c r="H8544">
        <v>0</v>
      </c>
    </row>
    <row r="8545" spans="8:8" x14ac:dyDescent="0.2">
      <c r="H8545">
        <v>0</v>
      </c>
    </row>
    <row r="8546" spans="8:8" x14ac:dyDescent="0.2">
      <c r="H8546">
        <v>0</v>
      </c>
    </row>
    <row r="8547" spans="8:8" x14ac:dyDescent="0.2">
      <c r="H8547">
        <v>0</v>
      </c>
    </row>
    <row r="8548" spans="8:8" x14ac:dyDescent="0.2">
      <c r="H8548">
        <v>0</v>
      </c>
    </row>
    <row r="8549" spans="8:8" x14ac:dyDescent="0.2">
      <c r="H8549">
        <v>0</v>
      </c>
    </row>
    <row r="8550" spans="8:8" x14ac:dyDescent="0.2">
      <c r="H8550">
        <v>0</v>
      </c>
    </row>
    <row r="8551" spans="8:8" x14ac:dyDescent="0.2">
      <c r="H8551">
        <v>0</v>
      </c>
    </row>
    <row r="8552" spans="8:8" x14ac:dyDescent="0.2">
      <c r="H8552">
        <v>0</v>
      </c>
    </row>
    <row r="8553" spans="8:8" x14ac:dyDescent="0.2">
      <c r="H8553">
        <v>0</v>
      </c>
    </row>
    <row r="8554" spans="8:8" x14ac:dyDescent="0.2">
      <c r="H8554">
        <v>0</v>
      </c>
    </row>
    <row r="8555" spans="8:8" x14ac:dyDescent="0.2">
      <c r="H8555">
        <v>0</v>
      </c>
    </row>
    <row r="8556" spans="8:8" x14ac:dyDescent="0.2">
      <c r="H8556">
        <v>0</v>
      </c>
    </row>
    <row r="8557" spans="8:8" x14ac:dyDescent="0.2">
      <c r="H8557">
        <v>0</v>
      </c>
    </row>
    <row r="8558" spans="8:8" x14ac:dyDescent="0.2">
      <c r="H8558">
        <v>0</v>
      </c>
    </row>
    <row r="8559" spans="8:8" x14ac:dyDescent="0.2">
      <c r="H8559">
        <v>0</v>
      </c>
    </row>
    <row r="8560" spans="8:8" x14ac:dyDescent="0.2">
      <c r="H8560">
        <v>0</v>
      </c>
    </row>
    <row r="8561" spans="8:8" x14ac:dyDescent="0.2">
      <c r="H8561">
        <v>0</v>
      </c>
    </row>
    <row r="8562" spans="8:8" x14ac:dyDescent="0.2">
      <c r="H8562">
        <v>0</v>
      </c>
    </row>
    <row r="8563" spans="8:8" x14ac:dyDescent="0.2">
      <c r="H8563">
        <v>0</v>
      </c>
    </row>
    <row r="8564" spans="8:8" x14ac:dyDescent="0.2">
      <c r="H8564">
        <v>0</v>
      </c>
    </row>
    <row r="8565" spans="8:8" x14ac:dyDescent="0.2">
      <c r="H8565">
        <v>0</v>
      </c>
    </row>
    <row r="8566" spans="8:8" x14ac:dyDescent="0.2">
      <c r="H8566">
        <v>0</v>
      </c>
    </row>
    <row r="8567" spans="8:8" x14ac:dyDescent="0.2">
      <c r="H8567">
        <v>0</v>
      </c>
    </row>
    <row r="8568" spans="8:8" x14ac:dyDescent="0.2">
      <c r="H8568">
        <v>0</v>
      </c>
    </row>
    <row r="8569" spans="8:8" x14ac:dyDescent="0.2">
      <c r="H8569">
        <v>0</v>
      </c>
    </row>
    <row r="8570" spans="8:8" x14ac:dyDescent="0.2">
      <c r="H8570">
        <v>0</v>
      </c>
    </row>
    <row r="8571" spans="8:8" x14ac:dyDescent="0.2">
      <c r="H8571">
        <v>0</v>
      </c>
    </row>
    <row r="8572" spans="8:8" x14ac:dyDescent="0.2">
      <c r="H8572">
        <v>0</v>
      </c>
    </row>
    <row r="8573" spans="8:8" x14ac:dyDescent="0.2">
      <c r="H8573">
        <v>0</v>
      </c>
    </row>
    <row r="8574" spans="8:8" x14ac:dyDescent="0.2">
      <c r="H8574">
        <v>0</v>
      </c>
    </row>
    <row r="8575" spans="8:8" x14ac:dyDescent="0.2">
      <c r="H8575">
        <v>0</v>
      </c>
    </row>
    <row r="8576" spans="8:8" x14ac:dyDescent="0.2">
      <c r="H8576">
        <v>0</v>
      </c>
    </row>
    <row r="8577" spans="8:8" x14ac:dyDescent="0.2">
      <c r="H8577">
        <v>0</v>
      </c>
    </row>
    <row r="8578" spans="8:8" x14ac:dyDescent="0.2">
      <c r="H8578">
        <v>0</v>
      </c>
    </row>
    <row r="8579" spans="8:8" x14ac:dyDescent="0.2">
      <c r="H8579">
        <v>0</v>
      </c>
    </row>
    <row r="8580" spans="8:8" x14ac:dyDescent="0.2">
      <c r="H8580">
        <v>0</v>
      </c>
    </row>
    <row r="8581" spans="8:8" x14ac:dyDescent="0.2">
      <c r="H8581">
        <v>0</v>
      </c>
    </row>
    <row r="8582" spans="8:8" x14ac:dyDescent="0.2">
      <c r="H8582">
        <v>0</v>
      </c>
    </row>
    <row r="8583" spans="8:8" x14ac:dyDescent="0.2">
      <c r="H8583">
        <v>0</v>
      </c>
    </row>
    <row r="8584" spans="8:8" x14ac:dyDescent="0.2">
      <c r="H8584">
        <v>0</v>
      </c>
    </row>
    <row r="8585" spans="8:8" x14ac:dyDescent="0.2">
      <c r="H8585">
        <v>0</v>
      </c>
    </row>
    <row r="8586" spans="8:8" x14ac:dyDescent="0.2">
      <c r="H8586">
        <v>0</v>
      </c>
    </row>
    <row r="8587" spans="8:8" x14ac:dyDescent="0.2">
      <c r="H8587">
        <v>0</v>
      </c>
    </row>
    <row r="8588" spans="8:8" x14ac:dyDescent="0.2">
      <c r="H8588">
        <v>0</v>
      </c>
    </row>
    <row r="8589" spans="8:8" x14ac:dyDescent="0.2">
      <c r="H8589">
        <v>0</v>
      </c>
    </row>
    <row r="8590" spans="8:8" x14ac:dyDescent="0.2">
      <c r="H8590">
        <v>0</v>
      </c>
    </row>
    <row r="8591" spans="8:8" x14ac:dyDescent="0.2">
      <c r="H8591">
        <v>0</v>
      </c>
    </row>
    <row r="8592" spans="8:8" x14ac:dyDescent="0.2">
      <c r="H8592">
        <v>0</v>
      </c>
    </row>
    <row r="8593" spans="8:8" x14ac:dyDescent="0.2">
      <c r="H8593">
        <v>0</v>
      </c>
    </row>
    <row r="8594" spans="8:8" x14ac:dyDescent="0.2">
      <c r="H8594">
        <v>0</v>
      </c>
    </row>
    <row r="8595" spans="8:8" x14ac:dyDescent="0.2">
      <c r="H8595">
        <v>0</v>
      </c>
    </row>
    <row r="8596" spans="8:8" x14ac:dyDescent="0.2">
      <c r="H8596">
        <v>0</v>
      </c>
    </row>
    <row r="8597" spans="8:8" x14ac:dyDescent="0.2">
      <c r="H8597">
        <v>0</v>
      </c>
    </row>
    <row r="8598" spans="8:8" x14ac:dyDescent="0.2">
      <c r="H8598">
        <v>0</v>
      </c>
    </row>
    <row r="8599" spans="8:8" x14ac:dyDescent="0.2">
      <c r="H8599">
        <v>0</v>
      </c>
    </row>
    <row r="8600" spans="8:8" x14ac:dyDescent="0.2">
      <c r="H8600">
        <v>0</v>
      </c>
    </row>
    <row r="8601" spans="8:8" x14ac:dyDescent="0.2">
      <c r="H8601">
        <v>0</v>
      </c>
    </row>
    <row r="8602" spans="8:8" x14ac:dyDescent="0.2">
      <c r="H8602">
        <v>0</v>
      </c>
    </row>
    <row r="8603" spans="8:8" x14ac:dyDescent="0.2">
      <c r="H8603">
        <v>0</v>
      </c>
    </row>
    <row r="8604" spans="8:8" x14ac:dyDescent="0.2">
      <c r="H8604">
        <v>0</v>
      </c>
    </row>
    <row r="8605" spans="8:8" x14ac:dyDescent="0.2">
      <c r="H8605">
        <v>0</v>
      </c>
    </row>
    <row r="8606" spans="8:8" x14ac:dyDescent="0.2">
      <c r="H8606">
        <v>0</v>
      </c>
    </row>
    <row r="8607" spans="8:8" x14ac:dyDescent="0.2">
      <c r="H8607">
        <v>0</v>
      </c>
    </row>
    <row r="8608" spans="8:8" x14ac:dyDescent="0.2">
      <c r="H8608">
        <v>0</v>
      </c>
    </row>
    <row r="8609" spans="8:8" x14ac:dyDescent="0.2">
      <c r="H8609">
        <v>0</v>
      </c>
    </row>
    <row r="8610" spans="8:8" x14ac:dyDescent="0.2">
      <c r="H8610">
        <v>0</v>
      </c>
    </row>
    <row r="8611" spans="8:8" x14ac:dyDescent="0.2">
      <c r="H8611">
        <v>0</v>
      </c>
    </row>
    <row r="8612" spans="8:8" x14ac:dyDescent="0.2">
      <c r="H8612">
        <v>0</v>
      </c>
    </row>
    <row r="8613" spans="8:8" x14ac:dyDescent="0.2">
      <c r="H8613">
        <v>0</v>
      </c>
    </row>
    <row r="8614" spans="8:8" x14ac:dyDescent="0.2">
      <c r="H8614">
        <v>0</v>
      </c>
    </row>
    <row r="8615" spans="8:8" x14ac:dyDescent="0.2">
      <c r="H8615">
        <v>0</v>
      </c>
    </row>
    <row r="8616" spans="8:8" x14ac:dyDescent="0.2">
      <c r="H8616">
        <v>0</v>
      </c>
    </row>
    <row r="8617" spans="8:8" x14ac:dyDescent="0.2">
      <c r="H8617">
        <v>0</v>
      </c>
    </row>
    <row r="8618" spans="8:8" x14ac:dyDescent="0.2">
      <c r="H8618">
        <v>0</v>
      </c>
    </row>
    <row r="8619" spans="8:8" x14ac:dyDescent="0.2">
      <c r="H8619">
        <v>0</v>
      </c>
    </row>
    <row r="8620" spans="8:8" x14ac:dyDescent="0.2">
      <c r="H8620">
        <v>0</v>
      </c>
    </row>
    <row r="8621" spans="8:8" x14ac:dyDescent="0.2">
      <c r="H8621">
        <v>0</v>
      </c>
    </row>
    <row r="8622" spans="8:8" x14ac:dyDescent="0.2">
      <c r="H8622">
        <v>0</v>
      </c>
    </row>
    <row r="8623" spans="8:8" x14ac:dyDescent="0.2">
      <c r="H8623">
        <v>0</v>
      </c>
    </row>
    <row r="8624" spans="8:8" x14ac:dyDescent="0.2">
      <c r="H8624">
        <v>0</v>
      </c>
    </row>
    <row r="8625" spans="8:8" x14ac:dyDescent="0.2">
      <c r="H8625">
        <v>0</v>
      </c>
    </row>
    <row r="8626" spans="8:8" x14ac:dyDescent="0.2">
      <c r="H8626">
        <v>0</v>
      </c>
    </row>
    <row r="8627" spans="8:8" x14ac:dyDescent="0.2">
      <c r="H8627">
        <v>0</v>
      </c>
    </row>
    <row r="8628" spans="8:8" x14ac:dyDescent="0.2">
      <c r="H8628">
        <v>0</v>
      </c>
    </row>
    <row r="8629" spans="8:8" x14ac:dyDescent="0.2">
      <c r="H8629">
        <v>0</v>
      </c>
    </row>
    <row r="8630" spans="8:8" x14ac:dyDescent="0.2">
      <c r="H8630">
        <v>0</v>
      </c>
    </row>
    <row r="8631" spans="8:8" x14ac:dyDescent="0.2">
      <c r="H8631">
        <v>0</v>
      </c>
    </row>
    <row r="8632" spans="8:8" x14ac:dyDescent="0.2">
      <c r="H8632">
        <v>0</v>
      </c>
    </row>
    <row r="8633" spans="8:8" x14ac:dyDescent="0.2">
      <c r="H8633">
        <v>0</v>
      </c>
    </row>
    <row r="8634" spans="8:8" x14ac:dyDescent="0.2">
      <c r="H8634">
        <v>0</v>
      </c>
    </row>
    <row r="8635" spans="8:8" x14ac:dyDescent="0.2">
      <c r="H8635">
        <v>0</v>
      </c>
    </row>
    <row r="8636" spans="8:8" x14ac:dyDescent="0.2">
      <c r="H8636">
        <v>0</v>
      </c>
    </row>
    <row r="8637" spans="8:8" x14ac:dyDescent="0.2">
      <c r="H8637">
        <v>0</v>
      </c>
    </row>
    <row r="8638" spans="8:8" x14ac:dyDescent="0.2">
      <c r="H8638">
        <v>0</v>
      </c>
    </row>
    <row r="8639" spans="8:8" x14ac:dyDescent="0.2">
      <c r="H8639">
        <v>0</v>
      </c>
    </row>
    <row r="8640" spans="8:8" x14ac:dyDescent="0.2">
      <c r="H8640">
        <v>0</v>
      </c>
    </row>
    <row r="8641" spans="8:8" x14ac:dyDescent="0.2">
      <c r="H8641">
        <v>0</v>
      </c>
    </row>
    <row r="8642" spans="8:8" x14ac:dyDescent="0.2">
      <c r="H8642">
        <v>0</v>
      </c>
    </row>
    <row r="8643" spans="8:8" x14ac:dyDescent="0.2">
      <c r="H8643">
        <v>0</v>
      </c>
    </row>
    <row r="8644" spans="8:8" x14ac:dyDescent="0.2">
      <c r="H8644">
        <v>0</v>
      </c>
    </row>
    <row r="8645" spans="8:8" x14ac:dyDescent="0.2">
      <c r="H8645">
        <v>0</v>
      </c>
    </row>
    <row r="8646" spans="8:8" x14ac:dyDescent="0.2">
      <c r="H8646">
        <v>0</v>
      </c>
    </row>
    <row r="8647" spans="8:8" x14ac:dyDescent="0.2">
      <c r="H8647">
        <v>0</v>
      </c>
    </row>
    <row r="8648" spans="8:8" x14ac:dyDescent="0.2">
      <c r="H8648">
        <v>0</v>
      </c>
    </row>
    <row r="8649" spans="8:8" x14ac:dyDescent="0.2">
      <c r="H8649">
        <v>0</v>
      </c>
    </row>
    <row r="8650" spans="8:8" x14ac:dyDescent="0.2">
      <c r="H8650">
        <v>0</v>
      </c>
    </row>
    <row r="8651" spans="8:8" x14ac:dyDescent="0.2">
      <c r="H8651">
        <v>0</v>
      </c>
    </row>
    <row r="8652" spans="8:8" x14ac:dyDescent="0.2">
      <c r="H8652">
        <v>0</v>
      </c>
    </row>
    <row r="8653" spans="8:8" x14ac:dyDescent="0.2">
      <c r="H8653">
        <v>0</v>
      </c>
    </row>
    <row r="8654" spans="8:8" x14ac:dyDescent="0.2">
      <c r="H8654">
        <v>0</v>
      </c>
    </row>
    <row r="8655" spans="8:8" x14ac:dyDescent="0.2">
      <c r="H8655">
        <v>0</v>
      </c>
    </row>
    <row r="8656" spans="8:8" x14ac:dyDescent="0.2">
      <c r="H8656">
        <v>0</v>
      </c>
    </row>
    <row r="8657" spans="8:8" x14ac:dyDescent="0.2">
      <c r="H8657">
        <v>0</v>
      </c>
    </row>
    <row r="8658" spans="8:8" x14ac:dyDescent="0.2">
      <c r="H8658">
        <v>0</v>
      </c>
    </row>
    <row r="8659" spans="8:8" x14ac:dyDescent="0.2">
      <c r="H8659">
        <v>0</v>
      </c>
    </row>
    <row r="8660" spans="8:8" x14ac:dyDescent="0.2">
      <c r="H8660">
        <v>0</v>
      </c>
    </row>
    <row r="8661" spans="8:8" x14ac:dyDescent="0.2">
      <c r="H8661">
        <v>0</v>
      </c>
    </row>
    <row r="8662" spans="8:8" x14ac:dyDescent="0.2">
      <c r="H8662">
        <v>0</v>
      </c>
    </row>
    <row r="8663" spans="8:8" x14ac:dyDescent="0.2">
      <c r="H8663">
        <v>0</v>
      </c>
    </row>
    <row r="8664" spans="8:8" x14ac:dyDescent="0.2">
      <c r="H8664">
        <v>0</v>
      </c>
    </row>
    <row r="8665" spans="8:8" x14ac:dyDescent="0.2">
      <c r="H8665">
        <v>0</v>
      </c>
    </row>
    <row r="8666" spans="8:8" x14ac:dyDescent="0.2">
      <c r="H8666">
        <v>0</v>
      </c>
    </row>
    <row r="8667" spans="8:8" x14ac:dyDescent="0.2">
      <c r="H8667">
        <v>0</v>
      </c>
    </row>
    <row r="8668" spans="8:8" x14ac:dyDescent="0.2">
      <c r="H8668">
        <v>0</v>
      </c>
    </row>
    <row r="8669" spans="8:8" x14ac:dyDescent="0.2">
      <c r="H8669">
        <v>0</v>
      </c>
    </row>
    <row r="8670" spans="8:8" x14ac:dyDescent="0.2">
      <c r="H8670">
        <v>0</v>
      </c>
    </row>
    <row r="8671" spans="8:8" x14ac:dyDescent="0.2">
      <c r="H8671">
        <v>0</v>
      </c>
    </row>
    <row r="8672" spans="8:8" x14ac:dyDescent="0.2">
      <c r="H8672">
        <v>0</v>
      </c>
    </row>
    <row r="8673" spans="8:8" x14ac:dyDescent="0.2">
      <c r="H8673">
        <v>0</v>
      </c>
    </row>
    <row r="8674" spans="8:8" x14ac:dyDescent="0.2">
      <c r="H8674">
        <v>0</v>
      </c>
    </row>
    <row r="8675" spans="8:8" x14ac:dyDescent="0.2">
      <c r="H8675">
        <v>0</v>
      </c>
    </row>
    <row r="8676" spans="8:8" x14ac:dyDescent="0.2">
      <c r="H8676">
        <v>0</v>
      </c>
    </row>
    <row r="8677" spans="8:8" x14ac:dyDescent="0.2">
      <c r="H8677">
        <v>0</v>
      </c>
    </row>
    <row r="8678" spans="8:8" x14ac:dyDescent="0.2">
      <c r="H8678">
        <v>0</v>
      </c>
    </row>
    <row r="8679" spans="8:8" x14ac:dyDescent="0.2">
      <c r="H8679">
        <v>0</v>
      </c>
    </row>
    <row r="8680" spans="8:8" x14ac:dyDescent="0.2">
      <c r="H8680">
        <v>0</v>
      </c>
    </row>
    <row r="8681" spans="8:8" x14ac:dyDescent="0.2">
      <c r="H8681">
        <v>0</v>
      </c>
    </row>
    <row r="8682" spans="8:8" x14ac:dyDescent="0.2">
      <c r="H8682">
        <v>0</v>
      </c>
    </row>
    <row r="8683" spans="8:8" x14ac:dyDescent="0.2">
      <c r="H8683">
        <v>0</v>
      </c>
    </row>
    <row r="8684" spans="8:8" x14ac:dyDescent="0.2">
      <c r="H8684">
        <v>0</v>
      </c>
    </row>
    <row r="8685" spans="8:8" x14ac:dyDescent="0.2">
      <c r="H8685">
        <v>0</v>
      </c>
    </row>
    <row r="8686" spans="8:8" x14ac:dyDescent="0.2">
      <c r="H8686">
        <v>0</v>
      </c>
    </row>
    <row r="8687" spans="8:8" x14ac:dyDescent="0.2">
      <c r="H8687">
        <v>0</v>
      </c>
    </row>
    <row r="8688" spans="8:8" x14ac:dyDescent="0.2">
      <c r="H8688">
        <v>0</v>
      </c>
    </row>
    <row r="8689" spans="8:8" x14ac:dyDescent="0.2">
      <c r="H8689">
        <v>0</v>
      </c>
    </row>
    <row r="8690" spans="8:8" x14ac:dyDescent="0.2">
      <c r="H8690">
        <v>0</v>
      </c>
    </row>
    <row r="8691" spans="8:8" x14ac:dyDescent="0.2">
      <c r="H8691">
        <v>0</v>
      </c>
    </row>
    <row r="8692" spans="8:8" x14ac:dyDescent="0.2">
      <c r="H8692">
        <v>0</v>
      </c>
    </row>
    <row r="8693" spans="8:8" x14ac:dyDescent="0.2">
      <c r="H8693">
        <v>0</v>
      </c>
    </row>
    <row r="8694" spans="8:8" x14ac:dyDescent="0.2">
      <c r="H8694">
        <v>0</v>
      </c>
    </row>
    <row r="8695" spans="8:8" x14ac:dyDescent="0.2">
      <c r="H8695">
        <v>0</v>
      </c>
    </row>
    <row r="8696" spans="8:8" x14ac:dyDescent="0.2">
      <c r="H8696">
        <v>0</v>
      </c>
    </row>
    <row r="8697" spans="8:8" x14ac:dyDescent="0.2">
      <c r="H8697">
        <v>0</v>
      </c>
    </row>
    <row r="8698" spans="8:8" x14ac:dyDescent="0.2">
      <c r="H8698">
        <v>0</v>
      </c>
    </row>
    <row r="8699" spans="8:8" x14ac:dyDescent="0.2">
      <c r="H8699">
        <v>0</v>
      </c>
    </row>
    <row r="8700" spans="8:8" x14ac:dyDescent="0.2">
      <c r="H8700">
        <v>0</v>
      </c>
    </row>
    <row r="8701" spans="8:8" x14ac:dyDescent="0.2">
      <c r="H8701">
        <v>0</v>
      </c>
    </row>
    <row r="8702" spans="8:8" x14ac:dyDescent="0.2">
      <c r="H8702">
        <v>0</v>
      </c>
    </row>
    <row r="8703" spans="8:8" x14ac:dyDescent="0.2">
      <c r="H8703">
        <v>0</v>
      </c>
    </row>
    <row r="8704" spans="8:8" x14ac:dyDescent="0.2">
      <c r="H8704">
        <v>0</v>
      </c>
    </row>
    <row r="8705" spans="8:8" x14ac:dyDescent="0.2">
      <c r="H8705">
        <v>0</v>
      </c>
    </row>
    <row r="8706" spans="8:8" x14ac:dyDescent="0.2">
      <c r="H8706">
        <v>0</v>
      </c>
    </row>
    <row r="8707" spans="8:8" x14ac:dyDescent="0.2">
      <c r="H8707">
        <v>0</v>
      </c>
    </row>
    <row r="8708" spans="8:8" x14ac:dyDescent="0.2">
      <c r="H8708">
        <v>0</v>
      </c>
    </row>
    <row r="8709" spans="8:8" x14ac:dyDescent="0.2">
      <c r="H8709">
        <v>0</v>
      </c>
    </row>
    <row r="8710" spans="8:8" x14ac:dyDescent="0.2">
      <c r="H8710">
        <v>0</v>
      </c>
    </row>
    <row r="8711" spans="8:8" x14ac:dyDescent="0.2">
      <c r="H8711">
        <v>0</v>
      </c>
    </row>
    <row r="8712" spans="8:8" x14ac:dyDescent="0.2">
      <c r="H8712">
        <v>0</v>
      </c>
    </row>
    <row r="8713" spans="8:8" x14ac:dyDescent="0.2">
      <c r="H8713">
        <v>0</v>
      </c>
    </row>
    <row r="8714" spans="8:8" x14ac:dyDescent="0.2">
      <c r="H8714">
        <v>0</v>
      </c>
    </row>
    <row r="8715" spans="8:8" x14ac:dyDescent="0.2">
      <c r="H8715">
        <v>0</v>
      </c>
    </row>
    <row r="8716" spans="8:8" x14ac:dyDescent="0.2">
      <c r="H8716">
        <v>0</v>
      </c>
    </row>
    <row r="8717" spans="8:8" x14ac:dyDescent="0.2">
      <c r="H8717">
        <v>0</v>
      </c>
    </row>
    <row r="8718" spans="8:8" x14ac:dyDescent="0.2">
      <c r="H8718">
        <v>0</v>
      </c>
    </row>
    <row r="8719" spans="8:8" x14ac:dyDescent="0.2">
      <c r="H8719">
        <v>0</v>
      </c>
    </row>
    <row r="8720" spans="8:8" x14ac:dyDescent="0.2">
      <c r="H8720">
        <v>0</v>
      </c>
    </row>
    <row r="8721" spans="8:8" x14ac:dyDescent="0.2">
      <c r="H8721">
        <v>0</v>
      </c>
    </row>
    <row r="8722" spans="8:8" x14ac:dyDescent="0.2">
      <c r="H8722">
        <v>0</v>
      </c>
    </row>
    <row r="8723" spans="8:8" x14ac:dyDescent="0.2">
      <c r="H8723">
        <v>0</v>
      </c>
    </row>
    <row r="8724" spans="8:8" x14ac:dyDescent="0.2">
      <c r="H8724">
        <v>0</v>
      </c>
    </row>
    <row r="8725" spans="8:8" x14ac:dyDescent="0.2">
      <c r="H8725">
        <v>0</v>
      </c>
    </row>
    <row r="8726" spans="8:8" x14ac:dyDescent="0.2">
      <c r="H8726">
        <v>0</v>
      </c>
    </row>
    <row r="8727" spans="8:8" x14ac:dyDescent="0.2">
      <c r="H8727">
        <v>0</v>
      </c>
    </row>
    <row r="8728" spans="8:8" x14ac:dyDescent="0.2">
      <c r="H8728">
        <v>0</v>
      </c>
    </row>
    <row r="8729" spans="8:8" x14ac:dyDescent="0.2">
      <c r="H8729">
        <v>0</v>
      </c>
    </row>
    <row r="8730" spans="8:8" x14ac:dyDescent="0.2">
      <c r="H8730">
        <v>0</v>
      </c>
    </row>
    <row r="8731" spans="8:8" x14ac:dyDescent="0.2">
      <c r="H8731">
        <v>0</v>
      </c>
    </row>
    <row r="8732" spans="8:8" x14ac:dyDescent="0.2">
      <c r="H8732">
        <v>0</v>
      </c>
    </row>
    <row r="8733" spans="8:8" x14ac:dyDescent="0.2">
      <c r="H8733">
        <v>0</v>
      </c>
    </row>
    <row r="8734" spans="8:8" x14ac:dyDescent="0.2">
      <c r="H8734">
        <v>0</v>
      </c>
    </row>
    <row r="8735" spans="8:8" x14ac:dyDescent="0.2">
      <c r="H8735">
        <v>0</v>
      </c>
    </row>
    <row r="8736" spans="8:8" x14ac:dyDescent="0.2">
      <c r="H8736">
        <v>0</v>
      </c>
    </row>
    <row r="8737" spans="8:8" x14ac:dyDescent="0.2">
      <c r="H8737">
        <v>0</v>
      </c>
    </row>
    <row r="8738" spans="8:8" x14ac:dyDescent="0.2">
      <c r="H8738">
        <v>0</v>
      </c>
    </row>
    <row r="8739" spans="8:8" x14ac:dyDescent="0.2">
      <c r="H8739">
        <v>0</v>
      </c>
    </row>
    <row r="8740" spans="8:8" x14ac:dyDescent="0.2">
      <c r="H8740">
        <v>0</v>
      </c>
    </row>
    <row r="8741" spans="8:8" x14ac:dyDescent="0.2">
      <c r="H8741">
        <v>0</v>
      </c>
    </row>
    <row r="8742" spans="8:8" x14ac:dyDescent="0.2">
      <c r="H8742">
        <v>0</v>
      </c>
    </row>
    <row r="8743" spans="8:8" x14ac:dyDescent="0.2">
      <c r="H8743">
        <v>0</v>
      </c>
    </row>
    <row r="8744" spans="8:8" x14ac:dyDescent="0.2">
      <c r="H8744">
        <v>0</v>
      </c>
    </row>
    <row r="8745" spans="8:8" x14ac:dyDescent="0.2">
      <c r="H8745">
        <v>0</v>
      </c>
    </row>
    <row r="8746" spans="8:8" x14ac:dyDescent="0.2">
      <c r="H8746">
        <v>0</v>
      </c>
    </row>
    <row r="8747" spans="8:8" x14ac:dyDescent="0.2">
      <c r="H8747">
        <v>0</v>
      </c>
    </row>
    <row r="8748" spans="8:8" x14ac:dyDescent="0.2">
      <c r="H8748">
        <v>0</v>
      </c>
    </row>
    <row r="8749" spans="8:8" x14ac:dyDescent="0.2">
      <c r="H8749">
        <v>0</v>
      </c>
    </row>
    <row r="8750" spans="8:8" x14ac:dyDescent="0.2">
      <c r="H8750">
        <v>0</v>
      </c>
    </row>
    <row r="8751" spans="8:8" x14ac:dyDescent="0.2">
      <c r="H8751">
        <v>0</v>
      </c>
    </row>
    <row r="8752" spans="8:8" x14ac:dyDescent="0.2">
      <c r="H8752">
        <v>0</v>
      </c>
    </row>
    <row r="8753" spans="8:8" x14ac:dyDescent="0.2">
      <c r="H8753">
        <v>0</v>
      </c>
    </row>
    <row r="8754" spans="8:8" x14ac:dyDescent="0.2">
      <c r="H8754">
        <v>0</v>
      </c>
    </row>
    <row r="8755" spans="8:8" x14ac:dyDescent="0.2">
      <c r="H8755">
        <v>0</v>
      </c>
    </row>
    <row r="8756" spans="8:8" x14ac:dyDescent="0.2">
      <c r="H8756">
        <v>0</v>
      </c>
    </row>
    <row r="8757" spans="8:8" x14ac:dyDescent="0.2">
      <c r="H8757">
        <v>0</v>
      </c>
    </row>
    <row r="8758" spans="8:8" x14ac:dyDescent="0.2">
      <c r="H8758">
        <v>0</v>
      </c>
    </row>
    <row r="8759" spans="8:8" x14ac:dyDescent="0.2">
      <c r="H8759">
        <v>0</v>
      </c>
    </row>
    <row r="8760" spans="8:8" x14ac:dyDescent="0.2">
      <c r="H8760">
        <v>0</v>
      </c>
    </row>
    <row r="8761" spans="8:8" x14ac:dyDescent="0.2">
      <c r="H8761">
        <v>0</v>
      </c>
    </row>
    <row r="8762" spans="8:8" x14ac:dyDescent="0.2">
      <c r="H8762">
        <v>0</v>
      </c>
    </row>
    <row r="8763" spans="8:8" x14ac:dyDescent="0.2">
      <c r="H8763">
        <v>0</v>
      </c>
    </row>
    <row r="8764" spans="8:8" x14ac:dyDescent="0.2">
      <c r="H8764">
        <v>0</v>
      </c>
    </row>
    <row r="8765" spans="8:8" x14ac:dyDescent="0.2">
      <c r="H8765">
        <v>0</v>
      </c>
    </row>
    <row r="8766" spans="8:8" x14ac:dyDescent="0.2">
      <c r="H8766">
        <v>0</v>
      </c>
    </row>
    <row r="8767" spans="8:8" x14ac:dyDescent="0.2">
      <c r="H8767">
        <v>0</v>
      </c>
    </row>
    <row r="8768" spans="8:8" x14ac:dyDescent="0.2">
      <c r="H8768">
        <v>0</v>
      </c>
    </row>
    <row r="8769" spans="8:8" x14ac:dyDescent="0.2">
      <c r="H8769">
        <v>0</v>
      </c>
    </row>
    <row r="8770" spans="8:8" x14ac:dyDescent="0.2">
      <c r="H8770">
        <v>0</v>
      </c>
    </row>
    <row r="8771" spans="8:8" x14ac:dyDescent="0.2">
      <c r="H8771">
        <v>0</v>
      </c>
    </row>
    <row r="8772" spans="8:8" x14ac:dyDescent="0.2">
      <c r="H8772">
        <v>0</v>
      </c>
    </row>
    <row r="8773" spans="8:8" x14ac:dyDescent="0.2">
      <c r="H8773">
        <v>0</v>
      </c>
    </row>
    <row r="8774" spans="8:8" x14ac:dyDescent="0.2">
      <c r="H8774">
        <v>0</v>
      </c>
    </row>
    <row r="8775" spans="8:8" x14ac:dyDescent="0.2">
      <c r="H8775">
        <v>0</v>
      </c>
    </row>
    <row r="8776" spans="8:8" x14ac:dyDescent="0.2">
      <c r="H8776">
        <v>0</v>
      </c>
    </row>
    <row r="8777" spans="8:8" x14ac:dyDescent="0.2">
      <c r="H8777">
        <v>0</v>
      </c>
    </row>
    <row r="8778" spans="8:8" x14ac:dyDescent="0.2">
      <c r="H8778">
        <v>0</v>
      </c>
    </row>
    <row r="8779" spans="8:8" x14ac:dyDescent="0.2">
      <c r="H8779">
        <v>0</v>
      </c>
    </row>
    <row r="8780" spans="8:8" x14ac:dyDescent="0.2">
      <c r="H8780">
        <v>0</v>
      </c>
    </row>
    <row r="8781" spans="8:8" x14ac:dyDescent="0.2">
      <c r="H8781">
        <v>0</v>
      </c>
    </row>
    <row r="8782" spans="8:8" x14ac:dyDescent="0.2">
      <c r="H8782">
        <v>0</v>
      </c>
    </row>
    <row r="8783" spans="8:8" x14ac:dyDescent="0.2">
      <c r="H8783">
        <v>0</v>
      </c>
    </row>
    <row r="8784" spans="8:8" x14ac:dyDescent="0.2">
      <c r="H8784">
        <v>0</v>
      </c>
    </row>
    <row r="8785" spans="8:8" x14ac:dyDescent="0.2">
      <c r="H8785">
        <v>0</v>
      </c>
    </row>
    <row r="8786" spans="8:8" x14ac:dyDescent="0.2">
      <c r="H8786">
        <v>0</v>
      </c>
    </row>
    <row r="8787" spans="8:8" x14ac:dyDescent="0.2">
      <c r="H8787">
        <v>0</v>
      </c>
    </row>
    <row r="8788" spans="8:8" x14ac:dyDescent="0.2">
      <c r="H8788">
        <v>0</v>
      </c>
    </row>
    <row r="8789" spans="8:8" x14ac:dyDescent="0.2">
      <c r="H8789">
        <v>0</v>
      </c>
    </row>
    <row r="8790" spans="8:8" x14ac:dyDescent="0.2">
      <c r="H8790">
        <v>0</v>
      </c>
    </row>
    <row r="8791" spans="8:8" x14ac:dyDescent="0.2">
      <c r="H8791">
        <v>0</v>
      </c>
    </row>
    <row r="8792" spans="8:8" x14ac:dyDescent="0.2">
      <c r="H8792">
        <v>0</v>
      </c>
    </row>
    <row r="8793" spans="8:8" x14ac:dyDescent="0.2">
      <c r="H8793">
        <v>0</v>
      </c>
    </row>
    <row r="8794" spans="8:8" x14ac:dyDescent="0.2">
      <c r="H8794">
        <v>0</v>
      </c>
    </row>
    <row r="8795" spans="8:8" x14ac:dyDescent="0.2">
      <c r="H8795">
        <v>0</v>
      </c>
    </row>
    <row r="8796" spans="8:8" x14ac:dyDescent="0.2">
      <c r="H8796">
        <v>0</v>
      </c>
    </row>
    <row r="8797" spans="8:8" x14ac:dyDescent="0.2">
      <c r="H8797">
        <v>0</v>
      </c>
    </row>
    <row r="8798" spans="8:8" x14ac:dyDescent="0.2">
      <c r="H8798">
        <v>0</v>
      </c>
    </row>
    <row r="8799" spans="8:8" x14ac:dyDescent="0.2">
      <c r="H8799">
        <v>0</v>
      </c>
    </row>
    <row r="8800" spans="8:8" x14ac:dyDescent="0.2">
      <c r="H8800">
        <v>0</v>
      </c>
    </row>
    <row r="8801" spans="8:8" x14ac:dyDescent="0.2">
      <c r="H8801">
        <v>0</v>
      </c>
    </row>
    <row r="8802" spans="8:8" x14ac:dyDescent="0.2">
      <c r="H8802">
        <v>0</v>
      </c>
    </row>
    <row r="8803" spans="8:8" x14ac:dyDescent="0.2">
      <c r="H8803">
        <v>0</v>
      </c>
    </row>
    <row r="8804" spans="8:8" x14ac:dyDescent="0.2">
      <c r="H8804">
        <v>0</v>
      </c>
    </row>
    <row r="8805" spans="8:8" x14ac:dyDescent="0.2">
      <c r="H8805">
        <v>0</v>
      </c>
    </row>
    <row r="8806" spans="8:8" x14ac:dyDescent="0.2">
      <c r="H8806">
        <v>0</v>
      </c>
    </row>
    <row r="8807" spans="8:8" x14ac:dyDescent="0.2">
      <c r="H8807">
        <v>0</v>
      </c>
    </row>
    <row r="8808" spans="8:8" x14ac:dyDescent="0.2">
      <c r="H8808">
        <v>0</v>
      </c>
    </row>
    <row r="8809" spans="8:8" x14ac:dyDescent="0.2">
      <c r="H8809">
        <v>0</v>
      </c>
    </row>
    <row r="8810" spans="8:8" x14ac:dyDescent="0.2">
      <c r="H8810">
        <v>0</v>
      </c>
    </row>
    <row r="8811" spans="8:8" x14ac:dyDescent="0.2">
      <c r="H8811">
        <v>0</v>
      </c>
    </row>
    <row r="8812" spans="8:8" x14ac:dyDescent="0.2">
      <c r="H8812">
        <v>0</v>
      </c>
    </row>
    <row r="8813" spans="8:8" x14ac:dyDescent="0.2">
      <c r="H8813">
        <v>0</v>
      </c>
    </row>
    <row r="8814" spans="8:8" x14ac:dyDescent="0.2">
      <c r="H8814">
        <v>0</v>
      </c>
    </row>
    <row r="8815" spans="8:8" x14ac:dyDescent="0.2">
      <c r="H8815">
        <v>0</v>
      </c>
    </row>
    <row r="8816" spans="8:8" x14ac:dyDescent="0.2">
      <c r="H8816">
        <v>0</v>
      </c>
    </row>
    <row r="8817" spans="8:8" x14ac:dyDescent="0.2">
      <c r="H8817">
        <v>0</v>
      </c>
    </row>
    <row r="8818" spans="8:8" x14ac:dyDescent="0.2">
      <c r="H8818">
        <v>0</v>
      </c>
    </row>
    <row r="8819" spans="8:8" x14ac:dyDescent="0.2">
      <c r="H8819">
        <v>0</v>
      </c>
    </row>
    <row r="8820" spans="8:8" x14ac:dyDescent="0.2">
      <c r="H8820">
        <v>0</v>
      </c>
    </row>
    <row r="8821" spans="8:8" x14ac:dyDescent="0.2">
      <c r="H8821">
        <v>0</v>
      </c>
    </row>
    <row r="8822" spans="8:8" x14ac:dyDescent="0.2">
      <c r="H8822">
        <v>0</v>
      </c>
    </row>
    <row r="8823" spans="8:8" x14ac:dyDescent="0.2">
      <c r="H8823">
        <v>0</v>
      </c>
    </row>
    <row r="8824" spans="8:8" x14ac:dyDescent="0.2">
      <c r="H8824">
        <v>0</v>
      </c>
    </row>
    <row r="8825" spans="8:8" x14ac:dyDescent="0.2">
      <c r="H8825">
        <v>0</v>
      </c>
    </row>
    <row r="8826" spans="8:8" x14ac:dyDescent="0.2">
      <c r="H8826">
        <v>0</v>
      </c>
    </row>
    <row r="8827" spans="8:8" x14ac:dyDescent="0.2">
      <c r="H8827">
        <v>0</v>
      </c>
    </row>
    <row r="8828" spans="8:8" x14ac:dyDescent="0.2">
      <c r="H8828">
        <v>0</v>
      </c>
    </row>
    <row r="8829" spans="8:8" x14ac:dyDescent="0.2">
      <c r="H8829">
        <v>0</v>
      </c>
    </row>
    <row r="8830" spans="8:8" x14ac:dyDescent="0.2">
      <c r="H8830">
        <v>0</v>
      </c>
    </row>
    <row r="8831" spans="8:8" x14ac:dyDescent="0.2">
      <c r="H8831">
        <v>0</v>
      </c>
    </row>
    <row r="8832" spans="8:8" x14ac:dyDescent="0.2">
      <c r="H8832">
        <v>0</v>
      </c>
    </row>
    <row r="8833" spans="8:8" x14ac:dyDescent="0.2">
      <c r="H8833">
        <v>0</v>
      </c>
    </row>
    <row r="8834" spans="8:8" x14ac:dyDescent="0.2">
      <c r="H8834">
        <v>0</v>
      </c>
    </row>
    <row r="8835" spans="8:8" x14ac:dyDescent="0.2">
      <c r="H8835">
        <v>0</v>
      </c>
    </row>
    <row r="8836" spans="8:8" x14ac:dyDescent="0.2">
      <c r="H8836">
        <v>0</v>
      </c>
    </row>
    <row r="8837" spans="8:8" x14ac:dyDescent="0.2">
      <c r="H8837">
        <v>0</v>
      </c>
    </row>
    <row r="8838" spans="8:8" x14ac:dyDescent="0.2">
      <c r="H8838">
        <v>0</v>
      </c>
    </row>
    <row r="8839" spans="8:8" x14ac:dyDescent="0.2">
      <c r="H8839">
        <v>0</v>
      </c>
    </row>
    <row r="8840" spans="8:8" x14ac:dyDescent="0.2">
      <c r="H8840">
        <v>0</v>
      </c>
    </row>
    <row r="8841" spans="8:8" x14ac:dyDescent="0.2">
      <c r="H8841">
        <v>0</v>
      </c>
    </row>
    <row r="8842" spans="8:8" x14ac:dyDescent="0.2">
      <c r="H8842">
        <v>0</v>
      </c>
    </row>
    <row r="8843" spans="8:8" x14ac:dyDescent="0.2">
      <c r="H8843">
        <v>0</v>
      </c>
    </row>
    <row r="8844" spans="8:8" x14ac:dyDescent="0.2">
      <c r="H8844">
        <v>0</v>
      </c>
    </row>
    <row r="8845" spans="8:8" x14ac:dyDescent="0.2">
      <c r="H8845">
        <v>0</v>
      </c>
    </row>
    <row r="8846" spans="8:8" x14ac:dyDescent="0.2">
      <c r="H8846">
        <v>0</v>
      </c>
    </row>
    <row r="8847" spans="8:8" x14ac:dyDescent="0.2">
      <c r="H8847">
        <v>0</v>
      </c>
    </row>
    <row r="8848" spans="8:8" x14ac:dyDescent="0.2">
      <c r="H8848">
        <v>0</v>
      </c>
    </row>
    <row r="8849" spans="8:8" x14ac:dyDescent="0.2">
      <c r="H8849">
        <v>0</v>
      </c>
    </row>
    <row r="8850" spans="8:8" x14ac:dyDescent="0.2">
      <c r="H8850">
        <v>0</v>
      </c>
    </row>
    <row r="8851" spans="8:8" x14ac:dyDescent="0.2">
      <c r="H8851">
        <v>0</v>
      </c>
    </row>
    <row r="8852" spans="8:8" x14ac:dyDescent="0.2">
      <c r="H8852">
        <v>0</v>
      </c>
    </row>
    <row r="8853" spans="8:8" x14ac:dyDescent="0.2">
      <c r="H8853">
        <v>0</v>
      </c>
    </row>
    <row r="8854" spans="8:8" x14ac:dyDescent="0.2">
      <c r="H8854">
        <v>0</v>
      </c>
    </row>
    <row r="8855" spans="8:8" x14ac:dyDescent="0.2">
      <c r="H8855">
        <v>0</v>
      </c>
    </row>
    <row r="8856" spans="8:8" x14ac:dyDescent="0.2">
      <c r="H8856">
        <v>0</v>
      </c>
    </row>
    <row r="8857" spans="8:8" x14ac:dyDescent="0.2">
      <c r="H8857">
        <v>0</v>
      </c>
    </row>
    <row r="8858" spans="8:8" x14ac:dyDescent="0.2">
      <c r="H8858">
        <v>0</v>
      </c>
    </row>
    <row r="8859" spans="8:8" x14ac:dyDescent="0.2">
      <c r="H8859">
        <v>0</v>
      </c>
    </row>
    <row r="8860" spans="8:8" x14ac:dyDescent="0.2">
      <c r="H8860">
        <v>0</v>
      </c>
    </row>
    <row r="8861" spans="8:8" x14ac:dyDescent="0.2">
      <c r="H8861">
        <v>0</v>
      </c>
    </row>
    <row r="8862" spans="8:8" x14ac:dyDescent="0.2">
      <c r="H8862">
        <v>0</v>
      </c>
    </row>
    <row r="8863" spans="8:8" x14ac:dyDescent="0.2">
      <c r="H8863">
        <v>0</v>
      </c>
    </row>
    <row r="8864" spans="8:8" x14ac:dyDescent="0.2">
      <c r="H8864">
        <v>0</v>
      </c>
    </row>
    <row r="8865" spans="8:8" x14ac:dyDescent="0.2">
      <c r="H8865">
        <v>0</v>
      </c>
    </row>
    <row r="8866" spans="8:8" x14ac:dyDescent="0.2">
      <c r="H8866">
        <v>0</v>
      </c>
    </row>
    <row r="8867" spans="8:8" x14ac:dyDescent="0.2">
      <c r="H8867">
        <v>0</v>
      </c>
    </row>
    <row r="8868" spans="8:8" x14ac:dyDescent="0.2">
      <c r="H8868">
        <v>0</v>
      </c>
    </row>
    <row r="8869" spans="8:8" x14ac:dyDescent="0.2">
      <c r="H8869">
        <v>0</v>
      </c>
    </row>
    <row r="8870" spans="8:8" x14ac:dyDescent="0.2">
      <c r="H8870">
        <v>0</v>
      </c>
    </row>
    <row r="8871" spans="8:8" x14ac:dyDescent="0.2">
      <c r="H8871">
        <v>0</v>
      </c>
    </row>
    <row r="8872" spans="8:8" x14ac:dyDescent="0.2">
      <c r="H8872">
        <v>0</v>
      </c>
    </row>
    <row r="8873" spans="8:8" x14ac:dyDescent="0.2">
      <c r="H8873">
        <v>0</v>
      </c>
    </row>
    <row r="8874" spans="8:8" x14ac:dyDescent="0.2">
      <c r="H8874">
        <v>0</v>
      </c>
    </row>
    <row r="8875" spans="8:8" x14ac:dyDescent="0.2">
      <c r="H8875">
        <v>0</v>
      </c>
    </row>
    <row r="8876" spans="8:8" x14ac:dyDescent="0.2">
      <c r="H8876">
        <v>0</v>
      </c>
    </row>
    <row r="8877" spans="8:8" x14ac:dyDescent="0.2">
      <c r="H8877">
        <v>0</v>
      </c>
    </row>
    <row r="8878" spans="8:8" x14ac:dyDescent="0.2">
      <c r="H8878">
        <v>0</v>
      </c>
    </row>
    <row r="8879" spans="8:8" x14ac:dyDescent="0.2">
      <c r="H8879">
        <v>0</v>
      </c>
    </row>
    <row r="8880" spans="8:8" x14ac:dyDescent="0.2">
      <c r="H8880">
        <v>0</v>
      </c>
    </row>
    <row r="8881" spans="8:8" x14ac:dyDescent="0.2">
      <c r="H8881">
        <v>0</v>
      </c>
    </row>
    <row r="8882" spans="8:8" x14ac:dyDescent="0.2">
      <c r="H8882">
        <v>0</v>
      </c>
    </row>
    <row r="8883" spans="8:8" x14ac:dyDescent="0.2">
      <c r="H8883">
        <v>0</v>
      </c>
    </row>
    <row r="8884" spans="8:8" x14ac:dyDescent="0.2">
      <c r="H8884">
        <v>0</v>
      </c>
    </row>
    <row r="8885" spans="8:8" x14ac:dyDescent="0.2">
      <c r="H8885">
        <v>0</v>
      </c>
    </row>
    <row r="8886" spans="8:8" x14ac:dyDescent="0.2">
      <c r="H8886">
        <v>0</v>
      </c>
    </row>
    <row r="8887" spans="8:8" x14ac:dyDescent="0.2">
      <c r="H8887">
        <v>0</v>
      </c>
    </row>
    <row r="8888" spans="8:8" x14ac:dyDescent="0.2">
      <c r="H8888">
        <v>0</v>
      </c>
    </row>
    <row r="8889" spans="8:8" x14ac:dyDescent="0.2">
      <c r="H8889">
        <v>0</v>
      </c>
    </row>
    <row r="8890" spans="8:8" x14ac:dyDescent="0.2">
      <c r="H8890">
        <v>0</v>
      </c>
    </row>
    <row r="8891" spans="8:8" x14ac:dyDescent="0.2">
      <c r="H8891">
        <v>0</v>
      </c>
    </row>
    <row r="8892" spans="8:8" x14ac:dyDescent="0.2">
      <c r="H8892">
        <v>0</v>
      </c>
    </row>
    <row r="8893" spans="8:8" x14ac:dyDescent="0.2">
      <c r="H8893">
        <v>0</v>
      </c>
    </row>
    <row r="8894" spans="8:8" x14ac:dyDescent="0.2">
      <c r="H8894">
        <v>0</v>
      </c>
    </row>
    <row r="8895" spans="8:8" x14ac:dyDescent="0.2">
      <c r="H8895">
        <v>0</v>
      </c>
    </row>
    <row r="8896" spans="8:8" x14ac:dyDescent="0.2">
      <c r="H8896">
        <v>0</v>
      </c>
    </row>
    <row r="8897" spans="8:8" x14ac:dyDescent="0.2">
      <c r="H8897">
        <v>0</v>
      </c>
    </row>
    <row r="8898" spans="8:8" x14ac:dyDescent="0.2">
      <c r="H8898">
        <v>0</v>
      </c>
    </row>
    <row r="8899" spans="8:8" x14ac:dyDescent="0.2">
      <c r="H8899">
        <v>0</v>
      </c>
    </row>
    <row r="8900" spans="8:8" x14ac:dyDescent="0.2">
      <c r="H8900">
        <v>0</v>
      </c>
    </row>
    <row r="8901" spans="8:8" x14ac:dyDescent="0.2">
      <c r="H8901">
        <v>0</v>
      </c>
    </row>
    <row r="8902" spans="8:8" x14ac:dyDescent="0.2">
      <c r="H8902">
        <v>0</v>
      </c>
    </row>
    <row r="8903" spans="8:8" x14ac:dyDescent="0.2">
      <c r="H8903">
        <v>0</v>
      </c>
    </row>
    <row r="8904" spans="8:8" x14ac:dyDescent="0.2">
      <c r="H8904">
        <v>0</v>
      </c>
    </row>
    <row r="8905" spans="8:8" x14ac:dyDescent="0.2">
      <c r="H8905">
        <v>0</v>
      </c>
    </row>
    <row r="8906" spans="8:8" x14ac:dyDescent="0.2">
      <c r="H8906">
        <v>0</v>
      </c>
    </row>
    <row r="8907" spans="8:8" x14ac:dyDescent="0.2">
      <c r="H8907">
        <v>0</v>
      </c>
    </row>
    <row r="8908" spans="8:8" x14ac:dyDescent="0.2">
      <c r="H8908">
        <v>0</v>
      </c>
    </row>
    <row r="8909" spans="8:8" x14ac:dyDescent="0.2">
      <c r="H8909">
        <v>0</v>
      </c>
    </row>
    <row r="8910" spans="8:8" x14ac:dyDescent="0.2">
      <c r="H8910">
        <v>0</v>
      </c>
    </row>
    <row r="8911" spans="8:8" x14ac:dyDescent="0.2">
      <c r="H8911">
        <v>0</v>
      </c>
    </row>
    <row r="8912" spans="8:8" x14ac:dyDescent="0.2">
      <c r="H8912">
        <v>0</v>
      </c>
    </row>
    <row r="8913" spans="8:8" x14ac:dyDescent="0.2">
      <c r="H8913">
        <v>0</v>
      </c>
    </row>
    <row r="8914" spans="8:8" x14ac:dyDescent="0.2">
      <c r="H8914">
        <v>0</v>
      </c>
    </row>
    <row r="8915" spans="8:8" x14ac:dyDescent="0.2">
      <c r="H8915">
        <v>0</v>
      </c>
    </row>
    <row r="8916" spans="8:8" x14ac:dyDescent="0.2">
      <c r="H8916">
        <v>0</v>
      </c>
    </row>
    <row r="8917" spans="8:8" x14ac:dyDescent="0.2">
      <c r="H8917">
        <v>0</v>
      </c>
    </row>
    <row r="8918" spans="8:8" x14ac:dyDescent="0.2">
      <c r="H8918">
        <v>0</v>
      </c>
    </row>
    <row r="8919" spans="8:8" x14ac:dyDescent="0.2">
      <c r="H8919">
        <v>0</v>
      </c>
    </row>
    <row r="8920" spans="8:8" x14ac:dyDescent="0.2">
      <c r="H8920">
        <v>0</v>
      </c>
    </row>
    <row r="8921" spans="8:8" x14ac:dyDescent="0.2">
      <c r="H8921">
        <v>0</v>
      </c>
    </row>
    <row r="8922" spans="8:8" x14ac:dyDescent="0.2">
      <c r="H8922">
        <v>0</v>
      </c>
    </row>
    <row r="8923" spans="8:8" x14ac:dyDescent="0.2">
      <c r="H8923">
        <v>0</v>
      </c>
    </row>
    <row r="8924" spans="8:8" x14ac:dyDescent="0.2">
      <c r="H8924">
        <v>0</v>
      </c>
    </row>
    <row r="8925" spans="8:8" x14ac:dyDescent="0.2">
      <c r="H8925">
        <v>0</v>
      </c>
    </row>
    <row r="8926" spans="8:8" x14ac:dyDescent="0.2">
      <c r="H8926">
        <v>0</v>
      </c>
    </row>
    <row r="8927" spans="8:8" x14ac:dyDescent="0.2">
      <c r="H8927">
        <v>0</v>
      </c>
    </row>
    <row r="8928" spans="8:8" x14ac:dyDescent="0.2">
      <c r="H8928">
        <v>0</v>
      </c>
    </row>
    <row r="8929" spans="8:8" x14ac:dyDescent="0.2">
      <c r="H8929">
        <v>0</v>
      </c>
    </row>
    <row r="8930" spans="8:8" x14ac:dyDescent="0.2">
      <c r="H8930">
        <v>0</v>
      </c>
    </row>
    <row r="8931" spans="8:8" x14ac:dyDescent="0.2">
      <c r="H8931">
        <v>0</v>
      </c>
    </row>
    <row r="8932" spans="8:8" x14ac:dyDescent="0.2">
      <c r="H8932">
        <v>0</v>
      </c>
    </row>
    <row r="8933" spans="8:8" x14ac:dyDescent="0.2">
      <c r="H8933">
        <v>0</v>
      </c>
    </row>
    <row r="8934" spans="8:8" x14ac:dyDescent="0.2">
      <c r="H8934">
        <v>0</v>
      </c>
    </row>
    <row r="8935" spans="8:8" x14ac:dyDescent="0.2">
      <c r="H8935">
        <v>0</v>
      </c>
    </row>
    <row r="8936" spans="8:8" x14ac:dyDescent="0.2">
      <c r="H8936">
        <v>0</v>
      </c>
    </row>
    <row r="8937" spans="8:8" x14ac:dyDescent="0.2">
      <c r="H8937">
        <v>0</v>
      </c>
    </row>
    <row r="8938" spans="8:8" x14ac:dyDescent="0.2">
      <c r="H8938">
        <v>0</v>
      </c>
    </row>
    <row r="8939" spans="8:8" x14ac:dyDescent="0.2">
      <c r="H8939">
        <v>0</v>
      </c>
    </row>
    <row r="8940" spans="8:8" x14ac:dyDescent="0.2">
      <c r="H8940">
        <v>0</v>
      </c>
    </row>
    <row r="8941" spans="8:8" x14ac:dyDescent="0.2">
      <c r="H8941">
        <v>0</v>
      </c>
    </row>
    <row r="8942" spans="8:8" x14ac:dyDescent="0.2">
      <c r="H8942">
        <v>0</v>
      </c>
    </row>
    <row r="8943" spans="8:8" x14ac:dyDescent="0.2">
      <c r="H8943">
        <v>0</v>
      </c>
    </row>
    <row r="8944" spans="8:8" x14ac:dyDescent="0.2">
      <c r="H8944">
        <v>0</v>
      </c>
    </row>
    <row r="8945" spans="8:8" x14ac:dyDescent="0.2">
      <c r="H8945">
        <v>0</v>
      </c>
    </row>
    <row r="8946" spans="8:8" x14ac:dyDescent="0.2">
      <c r="H8946">
        <v>0</v>
      </c>
    </row>
    <row r="8947" spans="8:8" x14ac:dyDescent="0.2">
      <c r="H8947">
        <v>0</v>
      </c>
    </row>
    <row r="8948" spans="8:8" x14ac:dyDescent="0.2">
      <c r="H8948">
        <v>0</v>
      </c>
    </row>
    <row r="8949" spans="8:8" x14ac:dyDescent="0.2">
      <c r="H8949">
        <v>0</v>
      </c>
    </row>
    <row r="8950" spans="8:8" x14ac:dyDescent="0.2">
      <c r="H8950">
        <v>0</v>
      </c>
    </row>
    <row r="8951" spans="8:8" x14ac:dyDescent="0.2">
      <c r="H8951">
        <v>0</v>
      </c>
    </row>
    <row r="8952" spans="8:8" x14ac:dyDescent="0.2">
      <c r="H8952">
        <v>0</v>
      </c>
    </row>
    <row r="8953" spans="8:8" x14ac:dyDescent="0.2">
      <c r="H8953">
        <v>0</v>
      </c>
    </row>
    <row r="8954" spans="8:8" x14ac:dyDescent="0.2">
      <c r="H8954">
        <v>0</v>
      </c>
    </row>
    <row r="8955" spans="8:8" x14ac:dyDescent="0.2">
      <c r="H8955">
        <v>0</v>
      </c>
    </row>
    <row r="8956" spans="8:8" x14ac:dyDescent="0.2">
      <c r="H8956">
        <v>0</v>
      </c>
    </row>
    <row r="8957" spans="8:8" x14ac:dyDescent="0.2">
      <c r="H8957">
        <v>0</v>
      </c>
    </row>
    <row r="8958" spans="8:8" x14ac:dyDescent="0.2">
      <c r="H8958">
        <v>0</v>
      </c>
    </row>
    <row r="8959" spans="8:8" x14ac:dyDescent="0.2">
      <c r="H8959">
        <v>0</v>
      </c>
    </row>
    <row r="8960" spans="8:8" x14ac:dyDescent="0.2">
      <c r="H8960">
        <v>0</v>
      </c>
    </row>
    <row r="8961" spans="8:8" x14ac:dyDescent="0.2">
      <c r="H8961">
        <v>0</v>
      </c>
    </row>
    <row r="8962" spans="8:8" x14ac:dyDescent="0.2">
      <c r="H8962">
        <v>0</v>
      </c>
    </row>
    <row r="8963" spans="8:8" x14ac:dyDescent="0.2">
      <c r="H8963">
        <v>0</v>
      </c>
    </row>
    <row r="8964" spans="8:8" x14ac:dyDescent="0.2">
      <c r="H8964">
        <v>0</v>
      </c>
    </row>
    <row r="8965" spans="8:8" x14ac:dyDescent="0.2">
      <c r="H8965">
        <v>0</v>
      </c>
    </row>
    <row r="8966" spans="8:8" x14ac:dyDescent="0.2">
      <c r="H8966">
        <v>0</v>
      </c>
    </row>
    <row r="8967" spans="8:8" x14ac:dyDescent="0.2">
      <c r="H8967">
        <v>0</v>
      </c>
    </row>
    <row r="8968" spans="8:8" x14ac:dyDescent="0.2">
      <c r="H8968">
        <v>0</v>
      </c>
    </row>
    <row r="8969" spans="8:8" x14ac:dyDescent="0.2">
      <c r="H8969">
        <v>0</v>
      </c>
    </row>
    <row r="8970" spans="8:8" x14ac:dyDescent="0.2">
      <c r="H8970">
        <v>0</v>
      </c>
    </row>
    <row r="8971" spans="8:8" x14ac:dyDescent="0.2">
      <c r="H8971">
        <v>0</v>
      </c>
    </row>
    <row r="8972" spans="8:8" x14ac:dyDescent="0.2">
      <c r="H8972">
        <v>0</v>
      </c>
    </row>
    <row r="8973" spans="8:8" x14ac:dyDescent="0.2">
      <c r="H8973">
        <v>0</v>
      </c>
    </row>
    <row r="8974" spans="8:8" x14ac:dyDescent="0.2">
      <c r="H8974">
        <v>0</v>
      </c>
    </row>
    <row r="8975" spans="8:8" x14ac:dyDescent="0.2">
      <c r="H8975">
        <v>0</v>
      </c>
    </row>
    <row r="8976" spans="8:8" x14ac:dyDescent="0.2">
      <c r="H8976">
        <v>0</v>
      </c>
    </row>
    <row r="8977" spans="8:8" x14ac:dyDescent="0.2">
      <c r="H8977">
        <v>0</v>
      </c>
    </row>
    <row r="8978" spans="8:8" x14ac:dyDescent="0.2">
      <c r="H8978">
        <v>0</v>
      </c>
    </row>
    <row r="8979" spans="8:8" x14ac:dyDescent="0.2">
      <c r="H8979">
        <v>0</v>
      </c>
    </row>
    <row r="8980" spans="8:8" x14ac:dyDescent="0.2">
      <c r="H8980">
        <v>0</v>
      </c>
    </row>
    <row r="8981" spans="8:8" x14ac:dyDescent="0.2">
      <c r="H8981">
        <v>0</v>
      </c>
    </row>
    <row r="8982" spans="8:8" x14ac:dyDescent="0.2">
      <c r="H8982">
        <v>0</v>
      </c>
    </row>
    <row r="8983" spans="8:8" x14ac:dyDescent="0.2">
      <c r="H8983">
        <v>0</v>
      </c>
    </row>
    <row r="8984" spans="8:8" x14ac:dyDescent="0.2">
      <c r="H8984">
        <v>0</v>
      </c>
    </row>
    <row r="8985" spans="8:8" x14ac:dyDescent="0.2">
      <c r="H8985">
        <v>0</v>
      </c>
    </row>
    <row r="8986" spans="8:8" x14ac:dyDescent="0.2">
      <c r="H8986">
        <v>0</v>
      </c>
    </row>
    <row r="8987" spans="8:8" x14ac:dyDescent="0.2">
      <c r="H8987">
        <v>0</v>
      </c>
    </row>
    <row r="8988" spans="8:8" x14ac:dyDescent="0.2">
      <c r="H8988">
        <v>0</v>
      </c>
    </row>
    <row r="8989" spans="8:8" x14ac:dyDescent="0.2">
      <c r="H8989">
        <v>0</v>
      </c>
    </row>
    <row r="8990" spans="8:8" x14ac:dyDescent="0.2">
      <c r="H8990">
        <v>0</v>
      </c>
    </row>
    <row r="8991" spans="8:8" x14ac:dyDescent="0.2">
      <c r="H8991">
        <v>0</v>
      </c>
    </row>
    <row r="8992" spans="8:8" x14ac:dyDescent="0.2">
      <c r="H8992">
        <v>0</v>
      </c>
    </row>
    <row r="8993" spans="8:8" x14ac:dyDescent="0.2">
      <c r="H8993">
        <v>0</v>
      </c>
    </row>
    <row r="8994" spans="8:8" x14ac:dyDescent="0.2">
      <c r="H8994">
        <v>0</v>
      </c>
    </row>
    <row r="8995" spans="8:8" x14ac:dyDescent="0.2">
      <c r="H8995">
        <v>0</v>
      </c>
    </row>
    <row r="8996" spans="8:8" x14ac:dyDescent="0.2">
      <c r="H8996">
        <v>0</v>
      </c>
    </row>
    <row r="8997" spans="8:8" x14ac:dyDescent="0.2">
      <c r="H8997">
        <v>0</v>
      </c>
    </row>
    <row r="8998" spans="8:8" x14ac:dyDescent="0.2">
      <c r="H8998">
        <v>0</v>
      </c>
    </row>
    <row r="8999" spans="8:8" x14ac:dyDescent="0.2">
      <c r="H8999">
        <v>0</v>
      </c>
    </row>
    <row r="9000" spans="8:8" x14ac:dyDescent="0.2">
      <c r="H9000">
        <v>0</v>
      </c>
    </row>
    <row r="9001" spans="8:8" x14ac:dyDescent="0.2">
      <c r="H9001">
        <v>0</v>
      </c>
    </row>
    <row r="9002" spans="8:8" x14ac:dyDescent="0.2">
      <c r="H9002">
        <v>0</v>
      </c>
    </row>
    <row r="9003" spans="8:8" x14ac:dyDescent="0.2">
      <c r="H9003">
        <v>0</v>
      </c>
    </row>
    <row r="9004" spans="8:8" x14ac:dyDescent="0.2">
      <c r="H9004">
        <v>0</v>
      </c>
    </row>
    <row r="9005" spans="8:8" x14ac:dyDescent="0.2">
      <c r="H9005">
        <v>0</v>
      </c>
    </row>
    <row r="9006" spans="8:8" x14ac:dyDescent="0.2">
      <c r="H9006">
        <v>0</v>
      </c>
    </row>
    <row r="9007" spans="8:8" x14ac:dyDescent="0.2">
      <c r="H9007">
        <v>0</v>
      </c>
    </row>
    <row r="9008" spans="8:8" x14ac:dyDescent="0.2">
      <c r="H9008">
        <v>0</v>
      </c>
    </row>
    <row r="9009" spans="8:8" x14ac:dyDescent="0.2">
      <c r="H9009">
        <v>0</v>
      </c>
    </row>
    <row r="9010" spans="8:8" x14ac:dyDescent="0.2">
      <c r="H9010">
        <v>0</v>
      </c>
    </row>
    <row r="9011" spans="8:8" x14ac:dyDescent="0.2">
      <c r="H9011">
        <v>0</v>
      </c>
    </row>
    <row r="9012" spans="8:8" x14ac:dyDescent="0.2">
      <c r="H9012">
        <v>0</v>
      </c>
    </row>
    <row r="9013" spans="8:8" x14ac:dyDescent="0.2">
      <c r="H9013">
        <v>0</v>
      </c>
    </row>
    <row r="9014" spans="8:8" x14ac:dyDescent="0.2">
      <c r="H9014">
        <v>0</v>
      </c>
    </row>
    <row r="9015" spans="8:8" x14ac:dyDescent="0.2">
      <c r="H9015">
        <v>0</v>
      </c>
    </row>
    <row r="9016" spans="8:8" x14ac:dyDescent="0.2">
      <c r="H9016">
        <v>0</v>
      </c>
    </row>
    <row r="9017" spans="8:8" x14ac:dyDescent="0.2">
      <c r="H9017">
        <v>0</v>
      </c>
    </row>
    <row r="9018" spans="8:8" x14ac:dyDescent="0.2">
      <c r="H9018">
        <v>0</v>
      </c>
    </row>
    <row r="9019" spans="8:8" x14ac:dyDescent="0.2">
      <c r="H9019">
        <v>0</v>
      </c>
    </row>
    <row r="9020" spans="8:8" x14ac:dyDescent="0.2">
      <c r="H9020">
        <v>0</v>
      </c>
    </row>
    <row r="9021" spans="8:8" x14ac:dyDescent="0.2">
      <c r="H9021">
        <v>0</v>
      </c>
    </row>
    <row r="9022" spans="8:8" x14ac:dyDescent="0.2">
      <c r="H9022">
        <v>0</v>
      </c>
    </row>
    <row r="9023" spans="8:8" x14ac:dyDescent="0.2">
      <c r="H9023">
        <v>0</v>
      </c>
    </row>
    <row r="9024" spans="8:8" x14ac:dyDescent="0.2">
      <c r="H9024">
        <v>0</v>
      </c>
    </row>
    <row r="9025" spans="8:8" x14ac:dyDescent="0.2">
      <c r="H9025">
        <v>0</v>
      </c>
    </row>
    <row r="9026" spans="8:8" x14ac:dyDescent="0.2">
      <c r="H9026">
        <v>0</v>
      </c>
    </row>
    <row r="9027" spans="8:8" x14ac:dyDescent="0.2">
      <c r="H9027">
        <v>0</v>
      </c>
    </row>
    <row r="9028" spans="8:8" x14ac:dyDescent="0.2">
      <c r="H9028">
        <v>0</v>
      </c>
    </row>
    <row r="9029" spans="8:8" x14ac:dyDescent="0.2">
      <c r="H9029">
        <v>0</v>
      </c>
    </row>
    <row r="9030" spans="8:8" x14ac:dyDescent="0.2">
      <c r="H9030">
        <v>0</v>
      </c>
    </row>
    <row r="9031" spans="8:8" x14ac:dyDescent="0.2">
      <c r="H9031">
        <v>0</v>
      </c>
    </row>
    <row r="9032" spans="8:8" x14ac:dyDescent="0.2">
      <c r="H9032">
        <v>0</v>
      </c>
    </row>
    <row r="9033" spans="8:8" x14ac:dyDescent="0.2">
      <c r="H9033">
        <v>0</v>
      </c>
    </row>
    <row r="9034" spans="8:8" x14ac:dyDescent="0.2">
      <c r="H9034">
        <v>0</v>
      </c>
    </row>
    <row r="9035" spans="8:8" x14ac:dyDescent="0.2">
      <c r="H9035">
        <v>0</v>
      </c>
    </row>
    <row r="9036" spans="8:8" x14ac:dyDescent="0.2">
      <c r="H9036">
        <v>0</v>
      </c>
    </row>
    <row r="9037" spans="8:8" x14ac:dyDescent="0.2">
      <c r="H9037">
        <v>0</v>
      </c>
    </row>
    <row r="9038" spans="8:8" x14ac:dyDescent="0.2">
      <c r="H9038">
        <v>0</v>
      </c>
    </row>
    <row r="9039" spans="8:8" x14ac:dyDescent="0.2">
      <c r="H9039">
        <v>0</v>
      </c>
    </row>
    <row r="9040" spans="8:8" x14ac:dyDescent="0.2">
      <c r="H9040">
        <v>0</v>
      </c>
    </row>
    <row r="9041" spans="8:8" x14ac:dyDescent="0.2">
      <c r="H9041">
        <v>0</v>
      </c>
    </row>
    <row r="9042" spans="8:8" x14ac:dyDescent="0.2">
      <c r="H9042">
        <v>0</v>
      </c>
    </row>
    <row r="9043" spans="8:8" x14ac:dyDescent="0.2">
      <c r="H9043">
        <v>0</v>
      </c>
    </row>
    <row r="9044" spans="8:8" x14ac:dyDescent="0.2">
      <c r="H9044">
        <v>0</v>
      </c>
    </row>
    <row r="9045" spans="8:8" x14ac:dyDescent="0.2">
      <c r="H9045">
        <v>0</v>
      </c>
    </row>
    <row r="9046" spans="8:8" x14ac:dyDescent="0.2">
      <c r="H9046">
        <v>0</v>
      </c>
    </row>
    <row r="9047" spans="8:8" x14ac:dyDescent="0.2">
      <c r="H9047">
        <v>0</v>
      </c>
    </row>
    <row r="9048" spans="8:8" x14ac:dyDescent="0.2">
      <c r="H9048">
        <v>0</v>
      </c>
    </row>
    <row r="9049" spans="8:8" x14ac:dyDescent="0.2">
      <c r="H9049">
        <v>0</v>
      </c>
    </row>
    <row r="9050" spans="8:8" x14ac:dyDescent="0.2">
      <c r="H9050">
        <v>0</v>
      </c>
    </row>
    <row r="9051" spans="8:8" x14ac:dyDescent="0.2">
      <c r="H9051">
        <v>0</v>
      </c>
    </row>
    <row r="9052" spans="8:8" x14ac:dyDescent="0.2">
      <c r="H9052">
        <v>0</v>
      </c>
    </row>
    <row r="9053" spans="8:8" x14ac:dyDescent="0.2">
      <c r="H9053">
        <v>0</v>
      </c>
    </row>
    <row r="9054" spans="8:8" x14ac:dyDescent="0.2">
      <c r="H9054">
        <v>0</v>
      </c>
    </row>
    <row r="9055" spans="8:8" x14ac:dyDescent="0.2">
      <c r="H9055">
        <v>0</v>
      </c>
    </row>
    <row r="9056" spans="8:8" x14ac:dyDescent="0.2">
      <c r="H9056">
        <v>0</v>
      </c>
    </row>
    <row r="9057" spans="8:8" x14ac:dyDescent="0.2">
      <c r="H9057">
        <v>0</v>
      </c>
    </row>
    <row r="9058" spans="8:8" x14ac:dyDescent="0.2">
      <c r="H9058">
        <v>0</v>
      </c>
    </row>
    <row r="9059" spans="8:8" x14ac:dyDescent="0.2">
      <c r="H9059">
        <v>0</v>
      </c>
    </row>
    <row r="9060" spans="8:8" x14ac:dyDescent="0.2">
      <c r="H9060">
        <v>0</v>
      </c>
    </row>
    <row r="9061" spans="8:8" x14ac:dyDescent="0.2">
      <c r="H9061">
        <v>0</v>
      </c>
    </row>
    <row r="9062" spans="8:8" x14ac:dyDescent="0.2">
      <c r="H9062">
        <v>0</v>
      </c>
    </row>
    <row r="9063" spans="8:8" x14ac:dyDescent="0.2">
      <c r="H9063">
        <v>0</v>
      </c>
    </row>
    <row r="9064" spans="8:8" x14ac:dyDescent="0.2">
      <c r="H9064">
        <v>0</v>
      </c>
    </row>
    <row r="9065" spans="8:8" x14ac:dyDescent="0.2">
      <c r="H9065">
        <v>0</v>
      </c>
    </row>
    <row r="9066" spans="8:8" x14ac:dyDescent="0.2">
      <c r="H9066">
        <v>0</v>
      </c>
    </row>
    <row r="9067" spans="8:8" x14ac:dyDescent="0.2">
      <c r="H9067">
        <v>0</v>
      </c>
    </row>
    <row r="9068" spans="8:8" x14ac:dyDescent="0.2">
      <c r="H9068">
        <v>0</v>
      </c>
    </row>
    <row r="9069" spans="8:8" x14ac:dyDescent="0.2">
      <c r="H9069">
        <v>0</v>
      </c>
    </row>
    <row r="9070" spans="8:8" x14ac:dyDescent="0.2">
      <c r="H9070">
        <v>0</v>
      </c>
    </row>
    <row r="9071" spans="8:8" x14ac:dyDescent="0.2">
      <c r="H9071">
        <v>0</v>
      </c>
    </row>
    <row r="9072" spans="8:8" x14ac:dyDescent="0.2">
      <c r="H9072">
        <v>0</v>
      </c>
    </row>
    <row r="9073" spans="8:8" x14ac:dyDescent="0.2">
      <c r="H9073">
        <v>0</v>
      </c>
    </row>
    <row r="9074" spans="8:8" x14ac:dyDescent="0.2">
      <c r="H9074">
        <v>0</v>
      </c>
    </row>
    <row r="9075" spans="8:8" x14ac:dyDescent="0.2">
      <c r="H9075">
        <v>0</v>
      </c>
    </row>
    <row r="9076" spans="8:8" x14ac:dyDescent="0.2">
      <c r="H9076">
        <v>0</v>
      </c>
    </row>
    <row r="9077" spans="8:8" x14ac:dyDescent="0.2">
      <c r="H9077">
        <v>0</v>
      </c>
    </row>
    <row r="9078" spans="8:8" x14ac:dyDescent="0.2">
      <c r="H9078">
        <v>0</v>
      </c>
    </row>
    <row r="9079" spans="8:8" x14ac:dyDescent="0.2">
      <c r="H9079">
        <v>0</v>
      </c>
    </row>
    <row r="9080" spans="8:8" x14ac:dyDescent="0.2">
      <c r="H9080">
        <v>0</v>
      </c>
    </row>
    <row r="9081" spans="8:8" x14ac:dyDescent="0.2">
      <c r="H9081">
        <v>0</v>
      </c>
    </row>
    <row r="9082" spans="8:8" x14ac:dyDescent="0.2">
      <c r="H9082">
        <v>0</v>
      </c>
    </row>
    <row r="9083" spans="8:8" x14ac:dyDescent="0.2">
      <c r="H9083">
        <v>0</v>
      </c>
    </row>
    <row r="9084" spans="8:8" x14ac:dyDescent="0.2">
      <c r="H9084">
        <v>0</v>
      </c>
    </row>
    <row r="9085" spans="8:8" x14ac:dyDescent="0.2">
      <c r="H9085">
        <v>0</v>
      </c>
    </row>
    <row r="9086" spans="8:8" x14ac:dyDescent="0.2">
      <c r="H9086">
        <v>0</v>
      </c>
    </row>
    <row r="9087" spans="8:8" x14ac:dyDescent="0.2">
      <c r="H9087">
        <v>0</v>
      </c>
    </row>
    <row r="9088" spans="8:8" x14ac:dyDescent="0.2">
      <c r="H9088">
        <v>0</v>
      </c>
    </row>
    <row r="9089" spans="8:8" x14ac:dyDescent="0.2">
      <c r="H9089">
        <v>0</v>
      </c>
    </row>
    <row r="9090" spans="8:8" x14ac:dyDescent="0.2">
      <c r="H9090">
        <v>0</v>
      </c>
    </row>
    <row r="9091" spans="8:8" x14ac:dyDescent="0.2">
      <c r="H9091">
        <v>0</v>
      </c>
    </row>
    <row r="9092" spans="8:8" x14ac:dyDescent="0.2">
      <c r="H9092">
        <v>0</v>
      </c>
    </row>
    <row r="9093" spans="8:8" x14ac:dyDescent="0.2">
      <c r="H9093">
        <v>0</v>
      </c>
    </row>
    <row r="9094" spans="8:8" x14ac:dyDescent="0.2">
      <c r="H9094">
        <v>0</v>
      </c>
    </row>
    <row r="9095" spans="8:8" x14ac:dyDescent="0.2">
      <c r="H9095">
        <v>0</v>
      </c>
    </row>
    <row r="9096" spans="8:8" x14ac:dyDescent="0.2">
      <c r="H9096">
        <v>0</v>
      </c>
    </row>
    <row r="9097" spans="8:8" x14ac:dyDescent="0.2">
      <c r="H9097">
        <v>0</v>
      </c>
    </row>
    <row r="9098" spans="8:8" x14ac:dyDescent="0.2">
      <c r="H9098">
        <v>0</v>
      </c>
    </row>
    <row r="9099" spans="8:8" x14ac:dyDescent="0.2">
      <c r="H9099">
        <v>0</v>
      </c>
    </row>
    <row r="9100" spans="8:8" x14ac:dyDescent="0.2">
      <c r="H9100">
        <v>0</v>
      </c>
    </row>
    <row r="9101" spans="8:8" x14ac:dyDescent="0.2">
      <c r="H9101">
        <v>0</v>
      </c>
    </row>
    <row r="9102" spans="8:8" x14ac:dyDescent="0.2">
      <c r="H9102">
        <v>0</v>
      </c>
    </row>
    <row r="9103" spans="8:8" x14ac:dyDescent="0.2">
      <c r="H9103">
        <v>0</v>
      </c>
    </row>
    <row r="9104" spans="8:8" x14ac:dyDescent="0.2">
      <c r="H9104">
        <v>0</v>
      </c>
    </row>
    <row r="9105" spans="8:8" x14ac:dyDescent="0.2">
      <c r="H9105">
        <v>0</v>
      </c>
    </row>
    <row r="9106" spans="8:8" x14ac:dyDescent="0.2">
      <c r="H9106">
        <v>0</v>
      </c>
    </row>
    <row r="9107" spans="8:8" x14ac:dyDescent="0.2">
      <c r="H9107">
        <v>0</v>
      </c>
    </row>
    <row r="9108" spans="8:8" x14ac:dyDescent="0.2">
      <c r="H9108">
        <v>0</v>
      </c>
    </row>
    <row r="9109" spans="8:8" x14ac:dyDescent="0.2">
      <c r="H9109">
        <v>0</v>
      </c>
    </row>
    <row r="9110" spans="8:8" x14ac:dyDescent="0.2">
      <c r="H9110">
        <v>0</v>
      </c>
    </row>
    <row r="9111" spans="8:8" x14ac:dyDescent="0.2">
      <c r="H9111">
        <v>0</v>
      </c>
    </row>
    <row r="9112" spans="8:8" x14ac:dyDescent="0.2">
      <c r="H9112">
        <v>0</v>
      </c>
    </row>
    <row r="9113" spans="8:8" x14ac:dyDescent="0.2">
      <c r="H9113">
        <v>0</v>
      </c>
    </row>
    <row r="9114" spans="8:8" x14ac:dyDescent="0.2">
      <c r="H9114">
        <v>0</v>
      </c>
    </row>
    <row r="9115" spans="8:8" x14ac:dyDescent="0.2">
      <c r="H9115">
        <v>0</v>
      </c>
    </row>
    <row r="9116" spans="8:8" x14ac:dyDescent="0.2">
      <c r="H9116">
        <v>0</v>
      </c>
    </row>
    <row r="9117" spans="8:8" x14ac:dyDescent="0.2">
      <c r="H9117">
        <v>0</v>
      </c>
    </row>
    <row r="9118" spans="8:8" x14ac:dyDescent="0.2">
      <c r="H9118">
        <v>0</v>
      </c>
    </row>
    <row r="9119" spans="8:8" x14ac:dyDescent="0.2">
      <c r="H9119">
        <v>0</v>
      </c>
    </row>
    <row r="9120" spans="8:8" x14ac:dyDescent="0.2">
      <c r="H9120">
        <v>0</v>
      </c>
    </row>
    <row r="9121" spans="8:8" x14ac:dyDescent="0.2">
      <c r="H9121">
        <v>0</v>
      </c>
    </row>
    <row r="9122" spans="8:8" x14ac:dyDescent="0.2">
      <c r="H9122">
        <v>0</v>
      </c>
    </row>
    <row r="9123" spans="8:8" x14ac:dyDescent="0.2">
      <c r="H9123">
        <v>0</v>
      </c>
    </row>
    <row r="9124" spans="8:8" x14ac:dyDescent="0.2">
      <c r="H9124">
        <v>0</v>
      </c>
    </row>
    <row r="9125" spans="8:8" x14ac:dyDescent="0.2">
      <c r="H9125">
        <v>0</v>
      </c>
    </row>
    <row r="9126" spans="8:8" x14ac:dyDescent="0.2">
      <c r="H9126">
        <v>0</v>
      </c>
    </row>
    <row r="9127" spans="8:8" x14ac:dyDescent="0.2">
      <c r="H9127">
        <v>0</v>
      </c>
    </row>
    <row r="9128" spans="8:8" x14ac:dyDescent="0.2">
      <c r="H9128">
        <v>0</v>
      </c>
    </row>
    <row r="9129" spans="8:8" x14ac:dyDescent="0.2">
      <c r="H9129">
        <v>0</v>
      </c>
    </row>
    <row r="9130" spans="8:8" x14ac:dyDescent="0.2">
      <c r="H9130">
        <v>0</v>
      </c>
    </row>
    <row r="9131" spans="8:8" x14ac:dyDescent="0.2">
      <c r="H9131">
        <v>0</v>
      </c>
    </row>
    <row r="9132" spans="8:8" x14ac:dyDescent="0.2">
      <c r="H9132">
        <v>0</v>
      </c>
    </row>
    <row r="9133" spans="8:8" x14ac:dyDescent="0.2">
      <c r="H9133">
        <v>0</v>
      </c>
    </row>
    <row r="9134" spans="8:8" x14ac:dyDescent="0.2">
      <c r="H9134">
        <v>0</v>
      </c>
    </row>
    <row r="9135" spans="8:8" x14ac:dyDescent="0.2">
      <c r="H9135">
        <v>0</v>
      </c>
    </row>
    <row r="9136" spans="8:8" x14ac:dyDescent="0.2">
      <c r="H9136">
        <v>0</v>
      </c>
    </row>
    <row r="9137" spans="8:8" x14ac:dyDescent="0.2">
      <c r="H9137">
        <v>0</v>
      </c>
    </row>
    <row r="9138" spans="8:8" x14ac:dyDescent="0.2">
      <c r="H9138">
        <v>0</v>
      </c>
    </row>
    <row r="9139" spans="8:8" x14ac:dyDescent="0.2">
      <c r="H9139">
        <v>0</v>
      </c>
    </row>
    <row r="9140" spans="8:8" x14ac:dyDescent="0.2">
      <c r="H9140">
        <v>0</v>
      </c>
    </row>
    <row r="9141" spans="8:8" x14ac:dyDescent="0.2">
      <c r="H9141">
        <v>0</v>
      </c>
    </row>
    <row r="9142" spans="8:8" x14ac:dyDescent="0.2">
      <c r="H9142">
        <v>0</v>
      </c>
    </row>
    <row r="9143" spans="8:8" x14ac:dyDescent="0.2">
      <c r="H9143">
        <v>0</v>
      </c>
    </row>
    <row r="9144" spans="8:8" x14ac:dyDescent="0.2">
      <c r="H9144">
        <v>0</v>
      </c>
    </row>
    <row r="9145" spans="8:8" x14ac:dyDescent="0.2">
      <c r="H9145">
        <v>0</v>
      </c>
    </row>
    <row r="9146" spans="8:8" x14ac:dyDescent="0.2">
      <c r="H9146">
        <v>0</v>
      </c>
    </row>
    <row r="9147" spans="8:8" x14ac:dyDescent="0.2">
      <c r="H9147">
        <v>0</v>
      </c>
    </row>
    <row r="9148" spans="8:8" x14ac:dyDescent="0.2">
      <c r="H9148">
        <v>0</v>
      </c>
    </row>
    <row r="9149" spans="8:8" x14ac:dyDescent="0.2">
      <c r="H9149">
        <v>0</v>
      </c>
    </row>
  </sheetData>
  <autoFilter ref="A3:F3" xr:uid="{1B4089B5-17B4-4873-8FA9-816046CA5156}"/>
  <sortState xmlns:xlrd2="http://schemas.microsoft.com/office/spreadsheetml/2017/richdata2" ref="A4:F42">
    <sortCondition ref="D3:D42"/>
  </sortState>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75814F-4FA7-4FFF-A9E0-68C44DE08E21}">
  <sheetPr codeName="Sheet23"/>
  <dimension ref="A1"/>
  <sheetViews>
    <sheetView workbookViewId="0"/>
  </sheetViews>
  <sheetFormatPr defaultRowHeight="12.75" x14ac:dyDescent="0.2"/>
  <cols>
    <col min="1" max="16384" width="9.140625" style="27"/>
  </cols>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3E1967-AA51-40D6-89A0-C108D6A64ACA}">
  <sheetPr codeName="Sheet31"/>
  <dimension ref="A1"/>
  <sheetViews>
    <sheetView workbookViewId="0"/>
  </sheetViews>
  <sheetFormatPr defaultRowHeight="12.75" x14ac:dyDescent="0.2"/>
  <cols>
    <col min="1" max="16384" width="9.140625" style="27"/>
  </cols>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D80CBD-899A-44D3-99BD-628F4595449B}">
  <sheetPr codeName="Sheet4">
    <tabColor rgb="FFC00000"/>
  </sheetPr>
  <dimension ref="B2:C18"/>
  <sheetViews>
    <sheetView workbookViewId="0"/>
  </sheetViews>
  <sheetFormatPr defaultRowHeight="12.75" x14ac:dyDescent="0.2"/>
  <cols>
    <col min="1" max="1" width="1.85546875" customWidth="1"/>
    <col min="2" max="2" width="2" bestFit="1" customWidth="1"/>
  </cols>
  <sheetData>
    <row r="2" spans="2:3" x14ac:dyDescent="0.2">
      <c r="B2" s="212" t="s">
        <v>254</v>
      </c>
    </row>
    <row r="3" spans="2:3" x14ac:dyDescent="0.2">
      <c r="B3" s="28" t="s">
        <v>197</v>
      </c>
      <c r="C3" s="28" t="s">
        <v>320</v>
      </c>
    </row>
    <row r="4" spans="2:3" x14ac:dyDescent="0.2">
      <c r="B4" s="28" t="s">
        <v>197</v>
      </c>
      <c r="C4" s="28" t="s">
        <v>321</v>
      </c>
    </row>
    <row r="5" spans="2:3" x14ac:dyDescent="0.2">
      <c r="B5" s="28" t="s">
        <v>197</v>
      </c>
      <c r="C5" s="28" t="s">
        <v>324</v>
      </c>
    </row>
    <row r="6" spans="2:3" x14ac:dyDescent="0.2">
      <c r="B6" s="28" t="s">
        <v>197</v>
      </c>
      <c r="C6" s="28" t="s">
        <v>325</v>
      </c>
    </row>
    <row r="7" spans="2:3" x14ac:dyDescent="0.2">
      <c r="B7" s="28" t="s">
        <v>197</v>
      </c>
      <c r="C7" s="28" t="s">
        <v>326</v>
      </c>
    </row>
    <row r="8" spans="2:3" x14ac:dyDescent="0.2">
      <c r="B8" s="28" t="s">
        <v>197</v>
      </c>
      <c r="C8" s="28" t="s">
        <v>327</v>
      </c>
    </row>
    <row r="10" spans="2:3" x14ac:dyDescent="0.2">
      <c r="B10" s="212" t="s">
        <v>253</v>
      </c>
    </row>
    <row r="11" spans="2:3" x14ac:dyDescent="0.2">
      <c r="B11" s="28" t="s">
        <v>197</v>
      </c>
      <c r="C11" s="28" t="s">
        <v>198</v>
      </c>
    </row>
    <row r="12" spans="2:3" x14ac:dyDescent="0.2">
      <c r="B12" s="28" t="s">
        <v>197</v>
      </c>
      <c r="C12" s="28" t="s">
        <v>203</v>
      </c>
    </row>
    <row r="13" spans="2:3" x14ac:dyDescent="0.2">
      <c r="B13" s="28" t="s">
        <v>197</v>
      </c>
      <c r="C13" s="28" t="s">
        <v>199</v>
      </c>
    </row>
    <row r="14" spans="2:3" x14ac:dyDescent="0.2">
      <c r="B14" s="28" t="s">
        <v>197</v>
      </c>
      <c r="C14" s="28" t="s">
        <v>205</v>
      </c>
    </row>
    <row r="15" spans="2:3" x14ac:dyDescent="0.2">
      <c r="B15" s="28" t="s">
        <v>197</v>
      </c>
      <c r="C15" s="28" t="s">
        <v>200</v>
      </c>
    </row>
    <row r="16" spans="2:3" x14ac:dyDescent="0.2">
      <c r="B16" s="28" t="s">
        <v>197</v>
      </c>
      <c r="C16" s="28" t="s">
        <v>201</v>
      </c>
    </row>
    <row r="17" spans="2:3" x14ac:dyDescent="0.2">
      <c r="B17" s="28" t="s">
        <v>197</v>
      </c>
      <c r="C17" s="28" t="s">
        <v>202</v>
      </c>
    </row>
    <row r="18" spans="2:3" x14ac:dyDescent="0.2">
      <c r="B18" s="28" t="s">
        <v>197</v>
      </c>
      <c r="C18" s="28" t="s">
        <v>204</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97C5CA-0AF3-461D-AB50-28AABC488268}">
  <sheetPr codeName="Sheet1">
    <tabColor rgb="FFFF0000"/>
  </sheetPr>
  <dimension ref="B2:C19"/>
  <sheetViews>
    <sheetView workbookViewId="0"/>
  </sheetViews>
  <sheetFormatPr defaultRowHeight="12.75" x14ac:dyDescent="0.2"/>
  <cols>
    <col min="1" max="1" width="2.7109375" customWidth="1"/>
    <col min="2" max="2" width="20" bestFit="1" customWidth="1"/>
    <col min="3" max="3" width="9.140625" style="220"/>
  </cols>
  <sheetData>
    <row r="2" spans="2:3" x14ac:dyDescent="0.2">
      <c r="B2" s="28" t="s">
        <v>185</v>
      </c>
    </row>
    <row r="3" spans="2:3" x14ac:dyDescent="0.2">
      <c r="B3" s="28" t="s">
        <v>176</v>
      </c>
    </row>
    <row r="4" spans="2:3" x14ac:dyDescent="0.2">
      <c r="B4" s="28" t="s">
        <v>186</v>
      </c>
    </row>
    <row r="5" spans="2:3" x14ac:dyDescent="0.2">
      <c r="B5" s="28" t="s">
        <v>251</v>
      </c>
    </row>
    <row r="6" spans="2:3" x14ac:dyDescent="0.2">
      <c r="B6" s="28" t="s">
        <v>175</v>
      </c>
    </row>
    <row r="7" spans="2:3" x14ac:dyDescent="0.2">
      <c r="B7" s="28" t="s">
        <v>196</v>
      </c>
    </row>
    <row r="8" spans="2:3" x14ac:dyDescent="0.2">
      <c r="B8" s="28" t="s">
        <v>250</v>
      </c>
    </row>
    <row r="11" spans="2:3" x14ac:dyDescent="0.2">
      <c r="B11" s="151" t="s">
        <v>217</v>
      </c>
    </row>
    <row r="12" spans="2:3" x14ac:dyDescent="0.2">
      <c r="B12" s="28" t="s">
        <v>194</v>
      </c>
      <c r="C12" s="221" t="s">
        <v>330</v>
      </c>
    </row>
    <row r="13" spans="2:3" x14ac:dyDescent="0.2">
      <c r="B13" s="28" t="s">
        <v>17</v>
      </c>
      <c r="C13" s="220">
        <v>20</v>
      </c>
    </row>
    <row r="14" spans="2:3" x14ac:dyDescent="0.2">
      <c r="B14" s="28" t="s">
        <v>6</v>
      </c>
      <c r="C14" s="221" t="s">
        <v>330</v>
      </c>
    </row>
    <row r="15" spans="2:3" x14ac:dyDescent="0.2">
      <c r="B15" s="28" t="s">
        <v>218</v>
      </c>
      <c r="C15" s="220">
        <v>50</v>
      </c>
    </row>
    <row r="16" spans="2:3" x14ac:dyDescent="0.2">
      <c r="B16" s="28" t="s">
        <v>93</v>
      </c>
      <c r="C16" s="220">
        <v>50</v>
      </c>
    </row>
    <row r="17" spans="2:3" x14ac:dyDescent="0.2">
      <c r="B17" s="28" t="s">
        <v>219</v>
      </c>
      <c r="C17" s="221" t="s">
        <v>330</v>
      </c>
    </row>
    <row r="18" spans="2:3" x14ac:dyDescent="0.2">
      <c r="B18" s="28" t="s">
        <v>220</v>
      </c>
      <c r="C18" s="220">
        <v>20</v>
      </c>
    </row>
    <row r="19" spans="2:3" x14ac:dyDescent="0.2">
      <c r="B19" s="28" t="s">
        <v>94</v>
      </c>
      <c r="C19" s="220">
        <v>50</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FE363-6E06-445A-A33D-5E17F3BDB645}">
  <sheetPr codeName="Sheet28"/>
  <dimension ref="A1"/>
  <sheetViews>
    <sheetView workbookViewId="0"/>
  </sheetViews>
  <sheetFormatPr defaultRowHeight="12.75" x14ac:dyDescent="0.2"/>
  <cols>
    <col min="1" max="16384" width="9.140625" style="27"/>
  </cols>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71E00-08A8-4C29-AC9B-000C205672BD}">
  <sheetPr codeName="Sheet18">
    <tabColor theme="9"/>
  </sheetPr>
  <dimension ref="A1:AY573"/>
  <sheetViews>
    <sheetView workbookViewId="0">
      <selection activeCell="E19" sqref="E19"/>
    </sheetView>
  </sheetViews>
  <sheetFormatPr defaultColWidth="8" defaultRowHeight="11.25" x14ac:dyDescent="0.2"/>
  <cols>
    <col min="1" max="1" width="17.28515625" style="181" bestFit="1" customWidth="1"/>
    <col min="2" max="51" width="15.7109375" style="181" customWidth="1"/>
    <col min="52" max="16384" width="8" style="181"/>
  </cols>
  <sheetData>
    <row r="1" spans="1:51" x14ac:dyDescent="0.2">
      <c r="B1" s="181">
        <v>1</v>
      </c>
      <c r="C1" s="181">
        <f>B1+1</f>
        <v>2</v>
      </c>
      <c r="D1" s="181">
        <f t="shared" ref="D1:AY1" si="0">C1+1</f>
        <v>3</v>
      </c>
      <c r="E1" s="181">
        <f t="shared" si="0"/>
        <v>4</v>
      </c>
      <c r="F1" s="181">
        <f t="shared" si="0"/>
        <v>5</v>
      </c>
      <c r="G1" s="181">
        <f t="shared" si="0"/>
        <v>6</v>
      </c>
      <c r="H1" s="181">
        <f t="shared" si="0"/>
        <v>7</v>
      </c>
      <c r="I1" s="181">
        <f t="shared" si="0"/>
        <v>8</v>
      </c>
      <c r="J1" s="181">
        <f t="shared" si="0"/>
        <v>9</v>
      </c>
      <c r="K1" s="181">
        <f t="shared" si="0"/>
        <v>10</v>
      </c>
      <c r="L1" s="181">
        <f t="shared" si="0"/>
        <v>11</v>
      </c>
      <c r="M1" s="181">
        <f t="shared" si="0"/>
        <v>12</v>
      </c>
      <c r="N1" s="181">
        <f t="shared" si="0"/>
        <v>13</v>
      </c>
      <c r="O1" s="181">
        <f t="shared" si="0"/>
        <v>14</v>
      </c>
      <c r="P1" s="181">
        <f t="shared" si="0"/>
        <v>15</v>
      </c>
      <c r="Q1" s="181">
        <f t="shared" si="0"/>
        <v>16</v>
      </c>
      <c r="R1" s="181">
        <f t="shared" si="0"/>
        <v>17</v>
      </c>
      <c r="S1" s="181">
        <f t="shared" si="0"/>
        <v>18</v>
      </c>
      <c r="T1" s="181">
        <f t="shared" si="0"/>
        <v>19</v>
      </c>
      <c r="U1" s="181">
        <f t="shared" si="0"/>
        <v>20</v>
      </c>
      <c r="V1" s="181">
        <f t="shared" si="0"/>
        <v>21</v>
      </c>
      <c r="W1" s="181">
        <f t="shared" si="0"/>
        <v>22</v>
      </c>
      <c r="X1" s="181">
        <f t="shared" si="0"/>
        <v>23</v>
      </c>
      <c r="Y1" s="181">
        <f t="shared" si="0"/>
        <v>24</v>
      </c>
      <c r="Z1" s="181">
        <f t="shared" si="0"/>
        <v>25</v>
      </c>
      <c r="AA1" s="181">
        <f t="shared" si="0"/>
        <v>26</v>
      </c>
      <c r="AB1" s="181">
        <f t="shared" si="0"/>
        <v>27</v>
      </c>
      <c r="AC1" s="181">
        <f t="shared" si="0"/>
        <v>28</v>
      </c>
      <c r="AD1" s="181">
        <f t="shared" si="0"/>
        <v>29</v>
      </c>
      <c r="AE1" s="181">
        <f t="shared" si="0"/>
        <v>30</v>
      </c>
      <c r="AF1" s="181">
        <f t="shared" si="0"/>
        <v>31</v>
      </c>
      <c r="AG1" s="181">
        <f t="shared" si="0"/>
        <v>32</v>
      </c>
      <c r="AH1" s="181">
        <f t="shared" si="0"/>
        <v>33</v>
      </c>
      <c r="AI1" s="181">
        <f t="shared" si="0"/>
        <v>34</v>
      </c>
      <c r="AJ1" s="181">
        <f t="shared" si="0"/>
        <v>35</v>
      </c>
      <c r="AK1" s="181">
        <f t="shared" si="0"/>
        <v>36</v>
      </c>
      <c r="AL1" s="181">
        <f t="shared" si="0"/>
        <v>37</v>
      </c>
      <c r="AM1" s="181">
        <f t="shared" si="0"/>
        <v>38</v>
      </c>
      <c r="AN1" s="181">
        <f t="shared" si="0"/>
        <v>39</v>
      </c>
      <c r="AO1" s="181">
        <f t="shared" si="0"/>
        <v>40</v>
      </c>
      <c r="AP1" s="181">
        <f t="shared" si="0"/>
        <v>41</v>
      </c>
      <c r="AQ1" s="181">
        <f t="shared" si="0"/>
        <v>42</v>
      </c>
      <c r="AR1" s="181">
        <f t="shared" si="0"/>
        <v>43</v>
      </c>
      <c r="AS1" s="181">
        <f t="shared" si="0"/>
        <v>44</v>
      </c>
      <c r="AT1" s="181">
        <f t="shared" si="0"/>
        <v>45</v>
      </c>
      <c r="AU1" s="181">
        <f t="shared" si="0"/>
        <v>46</v>
      </c>
      <c r="AV1" s="181">
        <f t="shared" si="0"/>
        <v>47</v>
      </c>
      <c r="AW1" s="181">
        <f t="shared" si="0"/>
        <v>48</v>
      </c>
      <c r="AX1" s="181">
        <f t="shared" si="0"/>
        <v>49</v>
      </c>
      <c r="AY1" s="181">
        <f t="shared" si="0"/>
        <v>50</v>
      </c>
    </row>
    <row r="2" spans="1:51" x14ac:dyDescent="0.2">
      <c r="A2" s="181" t="s">
        <v>182</v>
      </c>
      <c r="B2" s="199" t="e" cm="1" vm="1">
        <f t="array" ref="B2">TRANSPOSE(_xlfn._xlws.FILTER(Recurring!$B$4:$B$53,ISNUMBER(Recurring!$G$4:$G$53)))</f>
        <v>#VALUE!</v>
      </c>
    </row>
    <row r="3" spans="1:51" x14ac:dyDescent="0.2">
      <c r="A3" s="181" t="s">
        <v>233</v>
      </c>
      <c r="B3" s="182" t="e" cm="1" vm="1">
        <f t="array" ref="B3">TRANSPOSE(_xlfn._xlws.FILTER(Recurring!$E$4:$E$53,ISNUMBER(Recurring!$G$4:$G$53)))</f>
        <v>#VALUE!</v>
      </c>
    </row>
    <row r="4" spans="1:51" s="183" customFormat="1" x14ac:dyDescent="0.2">
      <c r="A4" s="183" t="s">
        <v>234</v>
      </c>
      <c r="B4" s="184" t="e" cm="1" vm="1">
        <f t="array" ref="B4">TRANSPOSE(_xlfn._xlws.FILTER(Recurring!$G$4:$G$53,ISNUMBER(Recurring!$G$4:$G$53)))</f>
        <v>#VALUE!</v>
      </c>
    </row>
    <row r="5" spans="1:51" s="185" customFormat="1" x14ac:dyDescent="0.2">
      <c r="A5" s="185" t="s">
        <v>183</v>
      </c>
      <c r="B5" s="186" t="e" cm="1" vm="1">
        <f t="array" ref="B5">TRANSPOSE(_xlfn._xlws.FILTER(Recurring!$I$4:$I$53,ISNUMBER(Recurring!$G$4:$G$53)))</f>
        <v>#VALUE!</v>
      </c>
    </row>
    <row r="6" spans="1:51" s="185" customFormat="1" x14ac:dyDescent="0.2"/>
    <row r="7" spans="1:51" s="185" customFormat="1" x14ac:dyDescent="0.2">
      <c r="A7" s="185" t="s">
        <v>184</v>
      </c>
      <c r="B7" s="187" t="str" cm="1">
        <f t="array" ref="B7">_xlfn.LET(
    _xlpm.frequency_type, B$3,
    _xlpm.frequency_value, B$4,
    _xlpm.start_date, B$5,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C7" s="187" t="str" cm="1">
        <f t="array" ref="C7">_xlfn.LET(
    _xlpm.frequency_type, C$3,
    _xlpm.frequency_value, C$4,
    _xlpm.start_date, C$5,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D7" s="187" t="str" cm="1">
        <f t="array" ref="D7">_xlfn.LET(
    _xlpm.frequency_type, D$3,
    _xlpm.frequency_value, D$4,
    _xlpm.start_date, D$5,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E7" s="187" t="str" cm="1">
        <f t="array" ref="E7">_xlfn.LET(
    _xlpm.frequency_type, E$3,
    _xlpm.frequency_value, E$4,
    _xlpm.start_date, E$5,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F7" s="187" t="str" cm="1">
        <f t="array" ref="F7">_xlfn.LET(
    _xlpm.frequency_type, F$3,
    _xlpm.frequency_value, F$4,
    _xlpm.start_date, F$5,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G7" s="187" t="str" cm="1">
        <f t="array" ref="G7">_xlfn.LET(
    _xlpm.frequency_type, G$3,
    _xlpm.frequency_value, G$4,
    _xlpm.start_date, G$5,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H7" s="187" t="str" cm="1">
        <f t="array" ref="H7">_xlfn.LET(
    _xlpm.frequency_type, H$3,
    _xlpm.frequency_value, H$4,
    _xlpm.start_date, H$5,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I7" s="187" t="str" cm="1">
        <f t="array" ref="I7">_xlfn.LET(
    _xlpm.frequency_type, I$3,
    _xlpm.frequency_value, I$4,
    _xlpm.start_date, I$5,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J7" s="187" t="str" cm="1">
        <f t="array" ref="J7">_xlfn.LET(
    _xlpm.frequency_type, J$3,
    _xlpm.frequency_value, J$4,
    _xlpm.start_date, J$5,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K7" s="187" t="str" cm="1">
        <f t="array" ref="K7">_xlfn.LET(
    _xlpm.frequency_type, K$3,
    _xlpm.frequency_value, K$4,
    _xlpm.start_date, K$5,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L7" s="187" t="str" cm="1">
        <f t="array" ref="L7">_xlfn.LET(
    _xlpm.frequency_type, L$3,
    _xlpm.frequency_value, L$4,
    _xlpm.start_date, L$5,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M7" s="187" t="str" cm="1">
        <f t="array" ref="M7">_xlfn.LET(
    _xlpm.frequency_type, M$3,
    _xlpm.frequency_value, M$4,
    _xlpm.start_date, M$5,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N7" s="187" t="str" cm="1">
        <f t="array" ref="N7">_xlfn.LET(
    _xlpm.frequency_type, N$3,
    _xlpm.frequency_value, N$4,
    _xlpm.start_date, N$5,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O7" s="187" t="str" cm="1">
        <f t="array" ref="O7">_xlfn.LET(
    _xlpm.frequency_type, O$3,
    _xlpm.frequency_value, O$4,
    _xlpm.start_date, O$5,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P7" s="187" t="str" cm="1">
        <f t="array" ref="P7">_xlfn.LET(
    _xlpm.frequency_type, P$3,
    _xlpm.frequency_value, P$4,
    _xlpm.start_date, P$5,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Q7" s="187" t="str" cm="1">
        <f t="array" ref="Q7">_xlfn.LET(
    _xlpm.frequency_type, Q$3,
    _xlpm.frequency_value, Q$4,
    _xlpm.start_date, Q$5,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R7" s="187" t="str" cm="1">
        <f t="array" ref="R7">_xlfn.LET(
    _xlpm.frequency_type, R$3,
    _xlpm.frequency_value, R$4,
    _xlpm.start_date, R$5,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S7" s="187" t="str" cm="1">
        <f t="array" ref="S7">_xlfn.LET(
    _xlpm.frequency_type, S$3,
    _xlpm.frequency_value, S$4,
    _xlpm.start_date, S$5,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T7" s="187" t="str" cm="1">
        <f t="array" ref="T7">_xlfn.LET(
    _xlpm.frequency_type, T$3,
    _xlpm.frequency_value, T$4,
    _xlpm.start_date, T$5,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U7" s="187" t="str" cm="1">
        <f t="array" ref="U7">_xlfn.LET(
    _xlpm.frequency_type, U$3,
    _xlpm.frequency_value, U$4,
    _xlpm.start_date, U$5,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V7" s="187" t="str" cm="1">
        <f t="array" ref="V7">_xlfn.LET(
    _xlpm.frequency_type, V$3,
    _xlpm.frequency_value, V$4,
    _xlpm.start_date, V$5,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W7" s="187" t="str" cm="1">
        <f t="array" ref="W7">_xlfn.LET(
    _xlpm.frequency_type, W$3,
    _xlpm.frequency_value, W$4,
    _xlpm.start_date, W$5,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X7" s="187" t="str" cm="1">
        <f t="array" ref="X7">_xlfn.LET(
    _xlpm.frequency_type, X$3,
    _xlpm.frequency_value, X$4,
    _xlpm.start_date, X$5,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Y7" s="187" t="str" cm="1">
        <f t="array" ref="Y7">_xlfn.LET(
    _xlpm.frequency_type, Y$3,
    _xlpm.frequency_value, Y$4,
    _xlpm.start_date, Y$5,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Z7" s="187" t="str" cm="1">
        <f t="array" ref="Z7">_xlfn.LET(
    _xlpm.frequency_type, Z$3,
    _xlpm.frequency_value, Z$4,
    _xlpm.start_date, Z$5,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A7" s="187" t="str" cm="1">
        <f t="array" ref="AA7">_xlfn.LET(
    _xlpm.frequency_type, AA$3,
    _xlpm.frequency_value, AA$4,
    _xlpm.start_date, AA$5,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B7" s="187" t="str" cm="1">
        <f t="array" ref="AB7">_xlfn.LET(
    _xlpm.frequency_type, AB$3,
    _xlpm.frequency_value, AB$4,
    _xlpm.start_date, AB$5,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C7" s="187" t="str" cm="1">
        <f t="array" ref="AC7">_xlfn.LET(
    _xlpm.frequency_type, AC$3,
    _xlpm.frequency_value, AC$4,
    _xlpm.start_date, AC$5,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D7" s="187" t="str" cm="1">
        <f t="array" ref="AD7">_xlfn.LET(
    _xlpm.frequency_type, AD$3,
    _xlpm.frequency_value, AD$4,
    _xlpm.start_date, AD$5,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E7" s="187" t="str" cm="1">
        <f t="array" ref="AE7">_xlfn.LET(
    _xlpm.frequency_type, AE$3,
    _xlpm.frequency_value, AE$4,
    _xlpm.start_date, AE$5,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F7" s="187" t="str" cm="1">
        <f t="array" ref="AF7">_xlfn.LET(
    _xlpm.frequency_type, AF$3,
    _xlpm.frequency_value, AF$4,
    _xlpm.start_date, AF$5,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G7" s="187" t="str" cm="1">
        <f t="array" ref="AG7">_xlfn.LET(
    _xlpm.frequency_type, AG$3,
    _xlpm.frequency_value, AG$4,
    _xlpm.start_date, AG$5,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H7" s="187" t="str" cm="1">
        <f t="array" ref="AH7">_xlfn.LET(
    _xlpm.frequency_type, AH$3,
    _xlpm.frequency_value, AH$4,
    _xlpm.start_date, AH$5,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I7" s="187" t="str" cm="1">
        <f t="array" ref="AI7">_xlfn.LET(
    _xlpm.frequency_type, AI$3,
    _xlpm.frequency_value, AI$4,
    _xlpm.start_date, AI$5,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J7" s="187" t="str" cm="1">
        <f t="array" ref="AJ7">_xlfn.LET(
    _xlpm.frequency_type, AJ$3,
    _xlpm.frequency_value, AJ$4,
    _xlpm.start_date, AJ$5,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K7" s="187" t="str" cm="1">
        <f t="array" ref="AK7">_xlfn.LET(
    _xlpm.frequency_type, AK$3,
    _xlpm.frequency_value, AK$4,
    _xlpm.start_date, AK$5,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L7" s="187" t="str" cm="1">
        <f t="array" ref="AL7">_xlfn.LET(
    _xlpm.frequency_type, AL$3,
    _xlpm.frequency_value, AL$4,
    _xlpm.start_date, AL$5,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M7" s="187" t="str" cm="1">
        <f t="array" ref="AM7">_xlfn.LET(
    _xlpm.frequency_type, AM$3,
    _xlpm.frequency_value, AM$4,
    _xlpm.start_date, AM$5,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N7" s="187" t="str" cm="1">
        <f t="array" ref="AN7">_xlfn.LET(
    _xlpm.frequency_type, AN$3,
    _xlpm.frequency_value, AN$4,
    _xlpm.start_date, AN$5,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O7" s="187" t="str" cm="1">
        <f t="array" ref="AO7">_xlfn.LET(
    _xlpm.frequency_type, AO$3,
    _xlpm.frequency_value, AO$4,
    _xlpm.start_date, AO$5,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P7" s="187" t="str" cm="1">
        <f t="array" ref="AP7">_xlfn.LET(
    _xlpm.frequency_type, AP$3,
    _xlpm.frequency_value, AP$4,
    _xlpm.start_date, AP$5,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Q7" s="187" t="str" cm="1">
        <f t="array" ref="AQ7">_xlfn.LET(
    _xlpm.frequency_type, AQ$3,
    _xlpm.frequency_value, AQ$4,
    _xlpm.start_date, AQ$5,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R7" s="187" t="str" cm="1">
        <f t="array" ref="AR7">_xlfn.LET(
    _xlpm.frequency_type, AR$3,
    _xlpm.frequency_value, AR$4,
    _xlpm.start_date, AR$5,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S7" s="187" t="str" cm="1">
        <f t="array" ref="AS7">_xlfn.LET(
    _xlpm.frequency_type, AS$3,
    _xlpm.frequency_value, AS$4,
    _xlpm.start_date, AS$5,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T7" s="187" t="str" cm="1">
        <f t="array" ref="AT7">_xlfn.LET(
    _xlpm.frequency_type, AT$3,
    _xlpm.frequency_value, AT$4,
    _xlpm.start_date, AT$5,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U7" s="187" t="str" cm="1">
        <f t="array" ref="AU7">_xlfn.LET(
    _xlpm.frequency_type, AU$3,
    _xlpm.frequency_value, AU$4,
    _xlpm.start_date, AU$5,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V7" s="187" t="str" cm="1">
        <f t="array" ref="AV7">_xlfn.LET(
    _xlpm.frequency_type, AV$3,
    _xlpm.frequency_value, AV$4,
    _xlpm.start_date, AV$5,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W7" s="187" t="str" cm="1">
        <f t="array" ref="AW7">_xlfn.LET(
    _xlpm.frequency_type, AW$3,
    _xlpm.frequency_value, AW$4,
    _xlpm.start_date, AW$5,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X7" s="187" t="str" cm="1">
        <f t="array" ref="AX7">_xlfn.LET(
    _xlpm.frequency_type, AX$3,
    _xlpm.frequency_value, AX$4,
    _xlpm.start_date, AX$5,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Y7" s="187" t="str" cm="1">
        <f t="array" ref="AY7">_xlfn.LET(
    _xlpm.frequency_type, AY$3,
    _xlpm.frequency_value, AY$4,
    _xlpm.start_date, AY$5,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row>
    <row r="8" spans="1:51" s="185" customFormat="1" x14ac:dyDescent="0.2">
      <c r="B8" s="188"/>
      <c r="C8" s="188"/>
      <c r="D8" s="188"/>
      <c r="E8" s="188"/>
      <c r="F8" s="188"/>
      <c r="G8" s="188"/>
    </row>
    <row r="9" spans="1:51" s="185" customFormat="1" x14ac:dyDescent="0.2"/>
    <row r="10" spans="1:51" s="185" customFormat="1" x14ac:dyDescent="0.2"/>
    <row r="11" spans="1:51" s="185" customFormat="1" x14ac:dyDescent="0.2"/>
    <row r="12" spans="1:51" s="185" customFormat="1" x14ac:dyDescent="0.2">
      <c r="G12" s="189"/>
    </row>
    <row r="13" spans="1:51" s="185" customFormat="1" x14ac:dyDescent="0.2"/>
    <row r="14" spans="1:51" s="185" customFormat="1" x14ac:dyDescent="0.2"/>
    <row r="15" spans="1:51" s="185" customFormat="1" x14ac:dyDescent="0.2"/>
    <row r="16" spans="1:51" s="185" customFormat="1" x14ac:dyDescent="0.2"/>
    <row r="17" s="185" customFormat="1" x14ac:dyDescent="0.2"/>
    <row r="18" s="185" customFormat="1" x14ac:dyDescent="0.2"/>
    <row r="19" s="185" customFormat="1" x14ac:dyDescent="0.2"/>
    <row r="20" s="185" customFormat="1" x14ac:dyDescent="0.2"/>
    <row r="21" s="185" customFormat="1" x14ac:dyDescent="0.2"/>
    <row r="22" s="185" customFormat="1" x14ac:dyDescent="0.2"/>
    <row r="23" s="185" customFormat="1" x14ac:dyDescent="0.2"/>
    <row r="24" s="185" customFormat="1" x14ac:dyDescent="0.2"/>
    <row r="25" s="185" customFormat="1" x14ac:dyDescent="0.2"/>
    <row r="26" s="185" customFormat="1" x14ac:dyDescent="0.2"/>
    <row r="27" s="185" customFormat="1" x14ac:dyDescent="0.2"/>
    <row r="28" s="185" customFormat="1" x14ac:dyDescent="0.2"/>
    <row r="29" s="185" customFormat="1" x14ac:dyDescent="0.2"/>
    <row r="30" s="185" customFormat="1" x14ac:dyDescent="0.2"/>
    <row r="31" s="185" customFormat="1" x14ac:dyDescent="0.2"/>
    <row r="32" s="185" customFormat="1" x14ac:dyDescent="0.2"/>
    <row r="33" s="185" customFormat="1" x14ac:dyDescent="0.2"/>
    <row r="34" s="185" customFormat="1" x14ac:dyDescent="0.2"/>
    <row r="35" s="185" customFormat="1" x14ac:dyDescent="0.2"/>
    <row r="36" s="185" customFormat="1" x14ac:dyDescent="0.2"/>
    <row r="37" s="185" customFormat="1" x14ac:dyDescent="0.2"/>
    <row r="38" s="185" customFormat="1" x14ac:dyDescent="0.2"/>
    <row r="39" s="185" customFormat="1" x14ac:dyDescent="0.2"/>
    <row r="40" s="185" customFormat="1" x14ac:dyDescent="0.2"/>
    <row r="41" s="185" customFormat="1" x14ac:dyDescent="0.2"/>
    <row r="42" s="185" customFormat="1" x14ac:dyDescent="0.2"/>
    <row r="43" s="185" customFormat="1" x14ac:dyDescent="0.2"/>
    <row r="44" s="185" customFormat="1" x14ac:dyDescent="0.2"/>
    <row r="45" s="185" customFormat="1" x14ac:dyDescent="0.2"/>
    <row r="46" s="185" customFormat="1" x14ac:dyDescent="0.2"/>
    <row r="47" s="185" customFormat="1" x14ac:dyDescent="0.2"/>
    <row r="48" s="185" customFormat="1" x14ac:dyDescent="0.2"/>
    <row r="49" s="185" customFormat="1" x14ac:dyDescent="0.2"/>
    <row r="50" s="185" customFormat="1" x14ac:dyDescent="0.2"/>
    <row r="51" s="185" customFormat="1" x14ac:dyDescent="0.2"/>
    <row r="52" s="185" customFormat="1" x14ac:dyDescent="0.2"/>
    <row r="53" s="185" customFormat="1" x14ac:dyDescent="0.2"/>
    <row r="54" s="185" customFormat="1" x14ac:dyDescent="0.2"/>
    <row r="55" s="185" customFormat="1" x14ac:dyDescent="0.2"/>
    <row r="56" s="185" customFormat="1" x14ac:dyDescent="0.2"/>
    <row r="57" s="185" customFormat="1" x14ac:dyDescent="0.2"/>
    <row r="58" s="185" customFormat="1" x14ac:dyDescent="0.2"/>
    <row r="59" s="185" customFormat="1" x14ac:dyDescent="0.2"/>
    <row r="60" s="185" customFormat="1" x14ac:dyDescent="0.2"/>
    <row r="61" s="185" customFormat="1" x14ac:dyDescent="0.2"/>
    <row r="62" s="185" customFormat="1" x14ac:dyDescent="0.2"/>
    <row r="63" s="185" customFormat="1" x14ac:dyDescent="0.2"/>
    <row r="64" s="185" customFormat="1" x14ac:dyDescent="0.2"/>
    <row r="65" s="185" customFormat="1" x14ac:dyDescent="0.2"/>
    <row r="66" s="185" customFormat="1" x14ac:dyDescent="0.2"/>
    <row r="67" s="185" customFormat="1" x14ac:dyDescent="0.2"/>
    <row r="68" s="185" customFormat="1" x14ac:dyDescent="0.2"/>
    <row r="69" s="185" customFormat="1" x14ac:dyDescent="0.2"/>
    <row r="70" s="185" customFormat="1" x14ac:dyDescent="0.2"/>
    <row r="71" s="185" customFormat="1" x14ac:dyDescent="0.2"/>
    <row r="72" s="185" customFormat="1" x14ac:dyDescent="0.2"/>
    <row r="73" s="185" customFormat="1" x14ac:dyDescent="0.2"/>
    <row r="74" s="185" customFormat="1" x14ac:dyDescent="0.2"/>
    <row r="75" s="185" customFormat="1" x14ac:dyDescent="0.2"/>
    <row r="76" s="185" customFormat="1" x14ac:dyDescent="0.2"/>
    <row r="77" s="185" customFormat="1" x14ac:dyDescent="0.2"/>
    <row r="78" s="185" customFormat="1" x14ac:dyDescent="0.2"/>
    <row r="79" s="185" customFormat="1" x14ac:dyDescent="0.2"/>
    <row r="80" s="185" customFormat="1" x14ac:dyDescent="0.2"/>
    <row r="81" s="185" customFormat="1" x14ac:dyDescent="0.2"/>
    <row r="82" s="185" customFormat="1" x14ac:dyDescent="0.2"/>
    <row r="83" s="185" customFormat="1" x14ac:dyDescent="0.2"/>
    <row r="84" s="185" customFormat="1" x14ac:dyDescent="0.2"/>
    <row r="85" s="185" customFormat="1" x14ac:dyDescent="0.2"/>
    <row r="86" s="185" customFormat="1" x14ac:dyDescent="0.2"/>
    <row r="87" s="185" customFormat="1" x14ac:dyDescent="0.2"/>
    <row r="88" s="185" customFormat="1" x14ac:dyDescent="0.2"/>
    <row r="89" s="185" customFormat="1" x14ac:dyDescent="0.2"/>
    <row r="90" s="185" customFormat="1" x14ac:dyDescent="0.2"/>
    <row r="91" s="185" customFormat="1" x14ac:dyDescent="0.2"/>
    <row r="92" s="185" customFormat="1" x14ac:dyDescent="0.2"/>
    <row r="93" s="185" customFormat="1" x14ac:dyDescent="0.2"/>
    <row r="94" s="185" customFormat="1" x14ac:dyDescent="0.2"/>
    <row r="95" s="185" customFormat="1" x14ac:dyDescent="0.2"/>
    <row r="96" s="185" customFormat="1" x14ac:dyDescent="0.2"/>
    <row r="97" s="185" customFormat="1" x14ac:dyDescent="0.2"/>
    <row r="98" s="185" customFormat="1" x14ac:dyDescent="0.2"/>
    <row r="99" s="185" customFormat="1" x14ac:dyDescent="0.2"/>
    <row r="100" s="185" customFormat="1" x14ac:dyDescent="0.2"/>
    <row r="101" s="185" customFormat="1" x14ac:dyDescent="0.2"/>
    <row r="102" s="185" customFormat="1" x14ac:dyDescent="0.2"/>
    <row r="103" s="185" customFormat="1" x14ac:dyDescent="0.2"/>
    <row r="104" s="185" customFormat="1" x14ac:dyDescent="0.2"/>
    <row r="105" s="185" customFormat="1" x14ac:dyDescent="0.2"/>
    <row r="106" s="185" customFormat="1" x14ac:dyDescent="0.2"/>
    <row r="107" s="185" customFormat="1" x14ac:dyDescent="0.2"/>
    <row r="108" s="185" customFormat="1" x14ac:dyDescent="0.2"/>
    <row r="109" s="185" customFormat="1" x14ac:dyDescent="0.2"/>
    <row r="110" s="185" customFormat="1" x14ac:dyDescent="0.2"/>
    <row r="111" s="185" customFormat="1" x14ac:dyDescent="0.2"/>
    <row r="112" s="185" customFormat="1" x14ac:dyDescent="0.2"/>
    <row r="113" s="185" customFormat="1" x14ac:dyDescent="0.2"/>
    <row r="114" s="185" customFormat="1" x14ac:dyDescent="0.2"/>
    <row r="115" s="185" customFormat="1" x14ac:dyDescent="0.2"/>
    <row r="116" s="185" customFormat="1" x14ac:dyDescent="0.2"/>
    <row r="117" s="185" customFormat="1" x14ac:dyDescent="0.2"/>
    <row r="118" s="185" customFormat="1" x14ac:dyDescent="0.2"/>
    <row r="119" s="185" customFormat="1" x14ac:dyDescent="0.2"/>
    <row r="120" s="185" customFormat="1" x14ac:dyDescent="0.2"/>
    <row r="121" s="185" customFormat="1" x14ac:dyDescent="0.2"/>
    <row r="122" s="185" customFormat="1" x14ac:dyDescent="0.2"/>
    <row r="123" s="185" customFormat="1" x14ac:dyDescent="0.2"/>
    <row r="124" s="185" customFormat="1" x14ac:dyDescent="0.2"/>
    <row r="125" s="185" customFormat="1" x14ac:dyDescent="0.2"/>
    <row r="126" s="185" customFormat="1" x14ac:dyDescent="0.2"/>
    <row r="127" s="185" customFormat="1" x14ac:dyDescent="0.2"/>
    <row r="128" s="185" customFormat="1" x14ac:dyDescent="0.2"/>
    <row r="129" s="185" customFormat="1" x14ac:dyDescent="0.2"/>
    <row r="130" s="185" customFormat="1" x14ac:dyDescent="0.2"/>
    <row r="131" s="185" customFormat="1" x14ac:dyDescent="0.2"/>
    <row r="132" s="185" customFormat="1" x14ac:dyDescent="0.2"/>
    <row r="133" s="185" customFormat="1" x14ac:dyDescent="0.2"/>
    <row r="134" s="185" customFormat="1" x14ac:dyDescent="0.2"/>
    <row r="135" s="185" customFormat="1" x14ac:dyDescent="0.2"/>
    <row r="136" s="185" customFormat="1" x14ac:dyDescent="0.2"/>
    <row r="137" s="185" customFormat="1" x14ac:dyDescent="0.2"/>
    <row r="138" s="185" customFormat="1" x14ac:dyDescent="0.2"/>
    <row r="139" s="185" customFormat="1" x14ac:dyDescent="0.2"/>
    <row r="140" s="185" customFormat="1" x14ac:dyDescent="0.2"/>
    <row r="141" s="185" customFormat="1" x14ac:dyDescent="0.2"/>
    <row r="142" s="185" customFormat="1" x14ac:dyDescent="0.2"/>
    <row r="143" s="185" customFormat="1" x14ac:dyDescent="0.2"/>
    <row r="144" s="185" customFormat="1" x14ac:dyDescent="0.2"/>
    <row r="145" s="185" customFormat="1" x14ac:dyDescent="0.2"/>
    <row r="146" s="185" customFormat="1" x14ac:dyDescent="0.2"/>
    <row r="147" s="185" customFormat="1" x14ac:dyDescent="0.2"/>
    <row r="148" s="185" customFormat="1" x14ac:dyDescent="0.2"/>
    <row r="149" s="185" customFormat="1" x14ac:dyDescent="0.2"/>
    <row r="150" s="185" customFormat="1" x14ac:dyDescent="0.2"/>
    <row r="151" s="185" customFormat="1" x14ac:dyDescent="0.2"/>
    <row r="152" s="185" customFormat="1" x14ac:dyDescent="0.2"/>
    <row r="153" s="185" customFormat="1" x14ac:dyDescent="0.2"/>
    <row r="154" s="185" customFormat="1" x14ac:dyDescent="0.2"/>
    <row r="155" s="185" customFormat="1" x14ac:dyDescent="0.2"/>
    <row r="156" s="185" customFormat="1" x14ac:dyDescent="0.2"/>
    <row r="157" s="185" customFormat="1" x14ac:dyDescent="0.2"/>
    <row r="158" s="185" customFormat="1" x14ac:dyDescent="0.2"/>
    <row r="159" s="185" customFormat="1" x14ac:dyDescent="0.2"/>
    <row r="160" s="185" customFormat="1" x14ac:dyDescent="0.2"/>
    <row r="161" s="185" customFormat="1" x14ac:dyDescent="0.2"/>
    <row r="162" s="185" customFormat="1" x14ac:dyDescent="0.2"/>
    <row r="163" s="185" customFormat="1" x14ac:dyDescent="0.2"/>
    <row r="164" s="185" customFormat="1" x14ac:dyDescent="0.2"/>
    <row r="165" s="185" customFormat="1" x14ac:dyDescent="0.2"/>
    <row r="166" s="185" customFormat="1" x14ac:dyDescent="0.2"/>
    <row r="167" s="185" customFormat="1" x14ac:dyDescent="0.2"/>
    <row r="168" s="185" customFormat="1" x14ac:dyDescent="0.2"/>
    <row r="169" s="185" customFormat="1" x14ac:dyDescent="0.2"/>
    <row r="170" s="185" customFormat="1" x14ac:dyDescent="0.2"/>
    <row r="171" s="185" customFormat="1" x14ac:dyDescent="0.2"/>
    <row r="172" s="185" customFormat="1" x14ac:dyDescent="0.2"/>
    <row r="173" s="185" customFormat="1" x14ac:dyDescent="0.2"/>
    <row r="174" s="185" customFormat="1" x14ac:dyDescent="0.2"/>
    <row r="175" s="185" customFormat="1" x14ac:dyDescent="0.2"/>
    <row r="176" s="185" customFormat="1" x14ac:dyDescent="0.2"/>
    <row r="177" s="185" customFormat="1" x14ac:dyDescent="0.2"/>
    <row r="178" s="185" customFormat="1" x14ac:dyDescent="0.2"/>
    <row r="179" s="185" customFormat="1" x14ac:dyDescent="0.2"/>
    <row r="180" s="185" customFormat="1" x14ac:dyDescent="0.2"/>
    <row r="181" s="185" customFormat="1" x14ac:dyDescent="0.2"/>
    <row r="182" s="185" customFormat="1" x14ac:dyDescent="0.2"/>
    <row r="183" s="185" customFormat="1" x14ac:dyDescent="0.2"/>
    <row r="184" s="185" customFormat="1" x14ac:dyDescent="0.2"/>
    <row r="185" s="185" customFormat="1" x14ac:dyDescent="0.2"/>
    <row r="186" s="185" customFormat="1" x14ac:dyDescent="0.2"/>
    <row r="187" s="185" customFormat="1" x14ac:dyDescent="0.2"/>
    <row r="188" s="185" customFormat="1" x14ac:dyDescent="0.2"/>
    <row r="189" s="185" customFormat="1" x14ac:dyDescent="0.2"/>
    <row r="190" s="185" customFormat="1" x14ac:dyDescent="0.2"/>
    <row r="191" s="185" customFormat="1" x14ac:dyDescent="0.2"/>
    <row r="192" s="185" customFormat="1" x14ac:dyDescent="0.2"/>
    <row r="193" s="185" customFormat="1" x14ac:dyDescent="0.2"/>
    <row r="194" s="185" customFormat="1" x14ac:dyDescent="0.2"/>
    <row r="195" s="185" customFormat="1" x14ac:dyDescent="0.2"/>
    <row r="196" s="185" customFormat="1" x14ac:dyDescent="0.2"/>
    <row r="197" s="185" customFormat="1" x14ac:dyDescent="0.2"/>
    <row r="198" s="185" customFormat="1" x14ac:dyDescent="0.2"/>
    <row r="199" s="185" customFormat="1" x14ac:dyDescent="0.2"/>
    <row r="200" s="185" customFormat="1" x14ac:dyDescent="0.2"/>
    <row r="201" s="185" customFormat="1" x14ac:dyDescent="0.2"/>
    <row r="202" s="185" customFormat="1" x14ac:dyDescent="0.2"/>
    <row r="203" s="185" customFormat="1" x14ac:dyDescent="0.2"/>
    <row r="204" s="185" customFormat="1" x14ac:dyDescent="0.2"/>
    <row r="205" s="185" customFormat="1" x14ac:dyDescent="0.2"/>
    <row r="206" s="185" customFormat="1" x14ac:dyDescent="0.2"/>
    <row r="207" s="185" customFormat="1" x14ac:dyDescent="0.2"/>
    <row r="208" s="185" customFormat="1" x14ac:dyDescent="0.2"/>
    <row r="209" s="185" customFormat="1" x14ac:dyDescent="0.2"/>
    <row r="210" s="185" customFormat="1" x14ac:dyDescent="0.2"/>
    <row r="211" s="185" customFormat="1" x14ac:dyDescent="0.2"/>
    <row r="212" s="185" customFormat="1" x14ac:dyDescent="0.2"/>
    <row r="213" s="185" customFormat="1" x14ac:dyDescent="0.2"/>
    <row r="214" s="185" customFormat="1" x14ac:dyDescent="0.2"/>
    <row r="215" s="185" customFormat="1" x14ac:dyDescent="0.2"/>
    <row r="216" s="185" customFormat="1" x14ac:dyDescent="0.2"/>
    <row r="217" s="185" customFormat="1" x14ac:dyDescent="0.2"/>
    <row r="218" s="185" customFormat="1" x14ac:dyDescent="0.2"/>
    <row r="219" s="185" customFormat="1" x14ac:dyDescent="0.2"/>
    <row r="220" s="185" customFormat="1" x14ac:dyDescent="0.2"/>
    <row r="221" s="185" customFormat="1" x14ac:dyDescent="0.2"/>
    <row r="222" s="185" customFormat="1" x14ac:dyDescent="0.2"/>
    <row r="223" s="185" customFormat="1" x14ac:dyDescent="0.2"/>
    <row r="224" s="185" customFormat="1" x14ac:dyDescent="0.2"/>
    <row r="225" s="185" customFormat="1" x14ac:dyDescent="0.2"/>
    <row r="226" s="185" customFormat="1" x14ac:dyDescent="0.2"/>
    <row r="227" s="185" customFormat="1" x14ac:dyDescent="0.2"/>
    <row r="228" s="185" customFormat="1" x14ac:dyDescent="0.2"/>
    <row r="229" s="185" customFormat="1" x14ac:dyDescent="0.2"/>
    <row r="230" s="185" customFormat="1" x14ac:dyDescent="0.2"/>
    <row r="231" s="185" customFormat="1" x14ac:dyDescent="0.2"/>
    <row r="232" s="185" customFormat="1" x14ac:dyDescent="0.2"/>
    <row r="233" s="185" customFormat="1" x14ac:dyDescent="0.2"/>
    <row r="234" s="185" customFormat="1" x14ac:dyDescent="0.2"/>
    <row r="235" s="185" customFormat="1" x14ac:dyDescent="0.2"/>
    <row r="236" s="185" customFormat="1" x14ac:dyDescent="0.2"/>
    <row r="237" s="185" customFormat="1" x14ac:dyDescent="0.2"/>
    <row r="238" s="185" customFormat="1" x14ac:dyDescent="0.2"/>
    <row r="239" s="185" customFormat="1" x14ac:dyDescent="0.2"/>
    <row r="240" s="185" customFormat="1" x14ac:dyDescent="0.2"/>
    <row r="241" s="185" customFormat="1" x14ac:dyDescent="0.2"/>
    <row r="242" s="185" customFormat="1" x14ac:dyDescent="0.2"/>
    <row r="243" s="185" customFormat="1" x14ac:dyDescent="0.2"/>
    <row r="244" s="185" customFormat="1" x14ac:dyDescent="0.2"/>
    <row r="245" s="185" customFormat="1" x14ac:dyDescent="0.2"/>
    <row r="246" s="185" customFormat="1" x14ac:dyDescent="0.2"/>
    <row r="247" s="185" customFormat="1" x14ac:dyDescent="0.2"/>
    <row r="248" s="185" customFormat="1" x14ac:dyDescent="0.2"/>
    <row r="249" s="185" customFormat="1" x14ac:dyDescent="0.2"/>
    <row r="250" s="185" customFormat="1" x14ac:dyDescent="0.2"/>
    <row r="251" s="185" customFormat="1" x14ac:dyDescent="0.2"/>
    <row r="252" s="185" customFormat="1" x14ac:dyDescent="0.2"/>
    <row r="253" s="185" customFormat="1" x14ac:dyDescent="0.2"/>
    <row r="254" s="185" customFormat="1" x14ac:dyDescent="0.2"/>
    <row r="255" s="185" customFormat="1" x14ac:dyDescent="0.2"/>
    <row r="256" s="185" customFormat="1" x14ac:dyDescent="0.2"/>
    <row r="257" s="185" customFormat="1" x14ac:dyDescent="0.2"/>
    <row r="258" s="185" customFormat="1" x14ac:dyDescent="0.2"/>
    <row r="259" s="185" customFormat="1" x14ac:dyDescent="0.2"/>
    <row r="260" s="185" customFormat="1" x14ac:dyDescent="0.2"/>
    <row r="261" s="185" customFormat="1" x14ac:dyDescent="0.2"/>
    <row r="262" s="185" customFormat="1" x14ac:dyDescent="0.2"/>
    <row r="263" s="185" customFormat="1" x14ac:dyDescent="0.2"/>
    <row r="264" s="185" customFormat="1" x14ac:dyDescent="0.2"/>
    <row r="265" s="185" customFormat="1" x14ac:dyDescent="0.2"/>
    <row r="266" s="185" customFormat="1" x14ac:dyDescent="0.2"/>
    <row r="267" s="185" customFormat="1" x14ac:dyDescent="0.2"/>
    <row r="268" s="185" customFormat="1" x14ac:dyDescent="0.2"/>
    <row r="269" s="185" customFormat="1" x14ac:dyDescent="0.2"/>
    <row r="270" s="185" customFormat="1" x14ac:dyDescent="0.2"/>
    <row r="271" s="185" customFormat="1" x14ac:dyDescent="0.2"/>
    <row r="272" s="185" customFormat="1" x14ac:dyDescent="0.2"/>
    <row r="273" s="185" customFormat="1" x14ac:dyDescent="0.2"/>
    <row r="274" s="185" customFormat="1" x14ac:dyDescent="0.2"/>
    <row r="275" s="185" customFormat="1" x14ac:dyDescent="0.2"/>
    <row r="276" s="185" customFormat="1" x14ac:dyDescent="0.2"/>
    <row r="277" s="185" customFormat="1" x14ac:dyDescent="0.2"/>
    <row r="278" s="185" customFormat="1" x14ac:dyDescent="0.2"/>
    <row r="279" s="185" customFormat="1" x14ac:dyDescent="0.2"/>
    <row r="280" s="185" customFormat="1" x14ac:dyDescent="0.2"/>
    <row r="281" s="185" customFormat="1" x14ac:dyDescent="0.2"/>
    <row r="282" s="185" customFormat="1" x14ac:dyDescent="0.2"/>
    <row r="283" s="185" customFormat="1" x14ac:dyDescent="0.2"/>
    <row r="284" s="185" customFormat="1" x14ac:dyDescent="0.2"/>
    <row r="285" s="185" customFormat="1" x14ac:dyDescent="0.2"/>
    <row r="286" s="185" customFormat="1" x14ac:dyDescent="0.2"/>
    <row r="287" s="185" customFormat="1" x14ac:dyDescent="0.2"/>
    <row r="288" s="185" customFormat="1" x14ac:dyDescent="0.2"/>
    <row r="289" s="185" customFormat="1" x14ac:dyDescent="0.2"/>
    <row r="290" s="185" customFormat="1" x14ac:dyDescent="0.2"/>
    <row r="291" s="185" customFormat="1" x14ac:dyDescent="0.2"/>
    <row r="292" s="185" customFormat="1" x14ac:dyDescent="0.2"/>
    <row r="293" s="185" customFormat="1" x14ac:dyDescent="0.2"/>
    <row r="294" s="185" customFormat="1" x14ac:dyDescent="0.2"/>
    <row r="295" s="185" customFormat="1" x14ac:dyDescent="0.2"/>
    <row r="296" s="185" customFormat="1" x14ac:dyDescent="0.2"/>
    <row r="297" s="185" customFormat="1" x14ac:dyDescent="0.2"/>
    <row r="298" s="185" customFormat="1" x14ac:dyDescent="0.2"/>
    <row r="299" s="185" customFormat="1" x14ac:dyDescent="0.2"/>
    <row r="300" s="185" customFormat="1" x14ac:dyDescent="0.2"/>
    <row r="301" s="185" customFormat="1" x14ac:dyDescent="0.2"/>
    <row r="302" s="185" customFormat="1" x14ac:dyDescent="0.2"/>
    <row r="303" s="185" customFormat="1" x14ac:dyDescent="0.2"/>
    <row r="304" s="185" customFormat="1" x14ac:dyDescent="0.2"/>
    <row r="305" s="185" customFormat="1" x14ac:dyDescent="0.2"/>
    <row r="306" s="185" customFormat="1" x14ac:dyDescent="0.2"/>
    <row r="307" s="185" customFormat="1" x14ac:dyDescent="0.2"/>
    <row r="308" s="185" customFormat="1" x14ac:dyDescent="0.2"/>
    <row r="309" s="185" customFormat="1" x14ac:dyDescent="0.2"/>
    <row r="310" s="185" customFormat="1" x14ac:dyDescent="0.2"/>
    <row r="311" s="185" customFormat="1" x14ac:dyDescent="0.2"/>
    <row r="312" s="185" customFormat="1" x14ac:dyDescent="0.2"/>
    <row r="313" s="185" customFormat="1" x14ac:dyDescent="0.2"/>
    <row r="314" s="185" customFormat="1" x14ac:dyDescent="0.2"/>
    <row r="315" s="185" customFormat="1" x14ac:dyDescent="0.2"/>
    <row r="316" s="185" customFormat="1" x14ac:dyDescent="0.2"/>
    <row r="317" s="185" customFormat="1" x14ac:dyDescent="0.2"/>
    <row r="318" s="185" customFormat="1" x14ac:dyDescent="0.2"/>
    <row r="319" s="185" customFormat="1" x14ac:dyDescent="0.2"/>
    <row r="320" s="185" customFormat="1" x14ac:dyDescent="0.2"/>
    <row r="321" s="185" customFormat="1" x14ac:dyDescent="0.2"/>
    <row r="322" s="185" customFormat="1" x14ac:dyDescent="0.2"/>
    <row r="323" s="185" customFormat="1" x14ac:dyDescent="0.2"/>
    <row r="324" s="185" customFormat="1" x14ac:dyDescent="0.2"/>
    <row r="325" s="185" customFormat="1" x14ac:dyDescent="0.2"/>
    <row r="326" s="185" customFormat="1" x14ac:dyDescent="0.2"/>
    <row r="327" s="185" customFormat="1" x14ac:dyDescent="0.2"/>
    <row r="328" s="185" customFormat="1" x14ac:dyDescent="0.2"/>
    <row r="329" s="185" customFormat="1" x14ac:dyDescent="0.2"/>
    <row r="330" s="185" customFormat="1" x14ac:dyDescent="0.2"/>
    <row r="331" s="185" customFormat="1" x14ac:dyDescent="0.2"/>
    <row r="332" s="185" customFormat="1" x14ac:dyDescent="0.2"/>
    <row r="333" s="185" customFormat="1" x14ac:dyDescent="0.2"/>
    <row r="334" s="185" customFormat="1" x14ac:dyDescent="0.2"/>
    <row r="335" s="185" customFormat="1" x14ac:dyDescent="0.2"/>
    <row r="336" s="185" customFormat="1" x14ac:dyDescent="0.2"/>
    <row r="337" s="185" customFormat="1" x14ac:dyDescent="0.2"/>
    <row r="338" s="185" customFormat="1" x14ac:dyDescent="0.2"/>
    <row r="339" s="185" customFormat="1" x14ac:dyDescent="0.2"/>
    <row r="340" s="185" customFormat="1" x14ac:dyDescent="0.2"/>
    <row r="341" s="185" customFormat="1" x14ac:dyDescent="0.2"/>
    <row r="342" s="185" customFormat="1" x14ac:dyDescent="0.2"/>
    <row r="343" s="185" customFormat="1" x14ac:dyDescent="0.2"/>
    <row r="344" s="185" customFormat="1" x14ac:dyDescent="0.2"/>
    <row r="345" s="185" customFormat="1" x14ac:dyDescent="0.2"/>
    <row r="346" s="185" customFormat="1" x14ac:dyDescent="0.2"/>
    <row r="347" s="185" customFormat="1" x14ac:dyDescent="0.2"/>
    <row r="348" s="185" customFormat="1" x14ac:dyDescent="0.2"/>
    <row r="349" s="185" customFormat="1" x14ac:dyDescent="0.2"/>
    <row r="350" s="185" customFormat="1" x14ac:dyDescent="0.2"/>
    <row r="351" s="185" customFormat="1" x14ac:dyDescent="0.2"/>
    <row r="352" s="185" customFormat="1" x14ac:dyDescent="0.2"/>
    <row r="353" s="185" customFormat="1" x14ac:dyDescent="0.2"/>
    <row r="354" s="185" customFormat="1" x14ac:dyDescent="0.2"/>
    <row r="355" s="185" customFormat="1" x14ac:dyDescent="0.2"/>
    <row r="356" s="185" customFormat="1" x14ac:dyDescent="0.2"/>
    <row r="357" s="185" customFormat="1" x14ac:dyDescent="0.2"/>
    <row r="358" s="185" customFormat="1" x14ac:dyDescent="0.2"/>
    <row r="359" s="185" customFormat="1" x14ac:dyDescent="0.2"/>
    <row r="360" s="185" customFormat="1" x14ac:dyDescent="0.2"/>
    <row r="361" s="185" customFormat="1" x14ac:dyDescent="0.2"/>
    <row r="362" s="185" customFormat="1" x14ac:dyDescent="0.2"/>
    <row r="363" s="185" customFormat="1" x14ac:dyDescent="0.2"/>
    <row r="364" s="185" customFormat="1" x14ac:dyDescent="0.2"/>
    <row r="365" s="185" customFormat="1" x14ac:dyDescent="0.2"/>
    <row r="366" s="185" customFormat="1" x14ac:dyDescent="0.2"/>
    <row r="367" s="185" customFormat="1" x14ac:dyDescent="0.2"/>
    <row r="368" s="185" customFormat="1" x14ac:dyDescent="0.2"/>
    <row r="369" spans="2:16" s="185" customFormat="1" x14ac:dyDescent="0.2"/>
    <row r="370" spans="2:16" s="185" customFormat="1" x14ac:dyDescent="0.2"/>
    <row r="371" spans="2:16" s="185" customFormat="1" x14ac:dyDescent="0.2"/>
    <row r="372" spans="2:16" s="185" customFormat="1" x14ac:dyDescent="0.2"/>
    <row r="373" spans="2:16" x14ac:dyDescent="0.2">
      <c r="B373" s="185"/>
      <c r="C373" s="185"/>
      <c r="D373" s="185"/>
      <c r="E373" s="185"/>
      <c r="F373" s="185"/>
      <c r="G373" s="185"/>
      <c r="H373" s="185"/>
      <c r="I373" s="185"/>
      <c r="J373" s="185"/>
      <c r="K373" s="185"/>
      <c r="L373" s="185"/>
      <c r="M373" s="185"/>
      <c r="N373" s="185"/>
      <c r="O373" s="185"/>
      <c r="P373" s="185"/>
    </row>
    <row r="374" spans="2:16" x14ac:dyDescent="0.2">
      <c r="B374" s="185"/>
      <c r="C374" s="185"/>
      <c r="D374" s="185"/>
      <c r="E374" s="185"/>
      <c r="F374" s="185"/>
      <c r="G374" s="185"/>
      <c r="H374" s="185"/>
      <c r="I374" s="185"/>
      <c r="J374" s="185"/>
      <c r="K374" s="185"/>
      <c r="L374" s="185"/>
      <c r="M374" s="185"/>
      <c r="N374" s="185"/>
      <c r="O374" s="185"/>
      <c r="P374" s="185"/>
    </row>
    <row r="375" spans="2:16" x14ac:dyDescent="0.2">
      <c r="B375" s="185"/>
      <c r="C375" s="185"/>
      <c r="D375" s="185"/>
      <c r="E375" s="185"/>
      <c r="F375" s="185"/>
      <c r="G375" s="185"/>
      <c r="H375" s="185"/>
      <c r="I375" s="185"/>
      <c r="J375" s="185"/>
      <c r="K375" s="185"/>
      <c r="L375" s="185"/>
      <c r="M375" s="185"/>
      <c r="N375" s="185"/>
      <c r="O375" s="185"/>
      <c r="P375" s="185"/>
    </row>
    <row r="376" spans="2:16" x14ac:dyDescent="0.2">
      <c r="B376" s="185"/>
      <c r="C376" s="185"/>
      <c r="D376" s="185"/>
      <c r="E376" s="185"/>
      <c r="F376" s="185"/>
      <c r="G376" s="185"/>
      <c r="H376" s="185"/>
      <c r="I376" s="185"/>
      <c r="J376" s="185"/>
      <c r="K376" s="185"/>
      <c r="L376" s="185"/>
      <c r="M376" s="185"/>
      <c r="N376" s="185"/>
      <c r="O376" s="185"/>
      <c r="P376" s="185"/>
    </row>
    <row r="377" spans="2:16" x14ac:dyDescent="0.2">
      <c r="B377" s="185"/>
      <c r="C377" s="185"/>
      <c r="D377" s="185"/>
      <c r="E377" s="185"/>
      <c r="F377" s="185"/>
      <c r="G377" s="185"/>
      <c r="H377" s="185"/>
      <c r="I377" s="185"/>
      <c r="J377" s="185"/>
      <c r="K377" s="185"/>
      <c r="L377" s="185"/>
      <c r="M377" s="185"/>
      <c r="N377" s="185"/>
      <c r="O377" s="185"/>
      <c r="P377" s="185"/>
    </row>
    <row r="378" spans="2:16" x14ac:dyDescent="0.2">
      <c r="B378" s="185"/>
      <c r="C378" s="185"/>
      <c r="D378" s="185"/>
      <c r="E378" s="185"/>
      <c r="F378" s="185"/>
      <c r="G378" s="185"/>
      <c r="H378" s="185"/>
      <c r="I378" s="185"/>
      <c r="J378" s="185"/>
      <c r="K378" s="185"/>
      <c r="L378" s="185"/>
      <c r="M378" s="185"/>
      <c r="N378" s="185"/>
      <c r="O378" s="185"/>
      <c r="P378" s="185"/>
    </row>
    <row r="379" spans="2:16" x14ac:dyDescent="0.2">
      <c r="B379" s="185"/>
      <c r="C379" s="185"/>
      <c r="D379" s="185"/>
      <c r="E379" s="185"/>
      <c r="F379" s="185"/>
      <c r="G379" s="185"/>
      <c r="H379" s="185"/>
      <c r="I379" s="185"/>
      <c r="J379" s="185"/>
      <c r="K379" s="185"/>
      <c r="L379" s="185"/>
      <c r="M379" s="185"/>
      <c r="N379" s="185"/>
      <c r="O379" s="185"/>
      <c r="P379" s="185"/>
    </row>
    <row r="380" spans="2:16" x14ac:dyDescent="0.2">
      <c r="B380" s="185"/>
      <c r="C380" s="185"/>
      <c r="D380" s="185"/>
      <c r="E380" s="185"/>
      <c r="F380" s="185"/>
      <c r="G380" s="185"/>
      <c r="H380" s="185"/>
      <c r="I380" s="185"/>
      <c r="J380" s="185"/>
      <c r="K380" s="185"/>
      <c r="L380" s="185"/>
      <c r="M380" s="185"/>
      <c r="N380" s="185"/>
      <c r="O380" s="185"/>
      <c r="P380" s="185"/>
    </row>
    <row r="381" spans="2:16" x14ac:dyDescent="0.2">
      <c r="B381" s="185"/>
      <c r="C381" s="185"/>
      <c r="D381" s="185"/>
      <c r="E381" s="185"/>
      <c r="F381" s="185"/>
      <c r="G381" s="185"/>
      <c r="H381" s="185"/>
      <c r="I381" s="185"/>
      <c r="J381" s="185"/>
      <c r="K381" s="185"/>
      <c r="L381" s="185"/>
      <c r="M381" s="185"/>
      <c r="N381" s="185"/>
      <c r="O381" s="185"/>
      <c r="P381" s="185"/>
    </row>
    <row r="382" spans="2:16" x14ac:dyDescent="0.2">
      <c r="B382" s="185"/>
      <c r="C382" s="185"/>
      <c r="D382" s="185"/>
      <c r="E382" s="185"/>
      <c r="F382" s="185"/>
      <c r="G382" s="185"/>
      <c r="H382" s="185"/>
      <c r="I382" s="185"/>
      <c r="J382" s="185"/>
      <c r="K382" s="185"/>
      <c r="L382" s="185"/>
      <c r="M382" s="185"/>
      <c r="N382" s="185"/>
      <c r="O382" s="185"/>
      <c r="P382" s="185"/>
    </row>
    <row r="383" spans="2:16" x14ac:dyDescent="0.2">
      <c r="B383" s="185"/>
      <c r="C383" s="185"/>
      <c r="D383" s="185"/>
      <c r="E383" s="185"/>
      <c r="F383" s="185"/>
      <c r="G383" s="185"/>
      <c r="H383" s="185"/>
      <c r="I383" s="185"/>
      <c r="J383" s="185"/>
      <c r="K383" s="185"/>
      <c r="L383" s="185"/>
      <c r="M383" s="185"/>
      <c r="N383" s="185"/>
      <c r="O383" s="185"/>
      <c r="P383" s="185"/>
    </row>
    <row r="384" spans="2:16" x14ac:dyDescent="0.2">
      <c r="B384" s="185"/>
      <c r="C384" s="185"/>
      <c r="D384" s="185"/>
      <c r="E384" s="185"/>
      <c r="F384" s="185"/>
      <c r="G384" s="185"/>
      <c r="H384" s="185"/>
      <c r="I384" s="185"/>
      <c r="J384" s="185"/>
      <c r="K384" s="185"/>
      <c r="L384" s="185"/>
      <c r="M384" s="185"/>
      <c r="N384" s="185"/>
      <c r="O384" s="185"/>
      <c r="P384" s="185"/>
    </row>
    <row r="385" spans="2:16" x14ac:dyDescent="0.2">
      <c r="B385" s="185"/>
      <c r="C385" s="185"/>
      <c r="D385" s="185"/>
      <c r="E385" s="185"/>
      <c r="F385" s="185"/>
      <c r="G385" s="185"/>
      <c r="H385" s="185"/>
      <c r="I385" s="185"/>
      <c r="J385" s="185"/>
      <c r="K385" s="185"/>
      <c r="L385" s="185"/>
      <c r="M385" s="185"/>
      <c r="N385" s="185"/>
      <c r="O385" s="185"/>
      <c r="P385" s="185"/>
    </row>
    <row r="386" spans="2:16" x14ac:dyDescent="0.2">
      <c r="B386" s="185"/>
      <c r="C386" s="185"/>
      <c r="D386" s="185"/>
      <c r="E386" s="185"/>
      <c r="F386" s="185"/>
      <c r="G386" s="185"/>
      <c r="H386" s="185"/>
      <c r="I386" s="185"/>
      <c r="J386" s="185"/>
      <c r="K386" s="185"/>
      <c r="L386" s="185"/>
      <c r="M386" s="185"/>
      <c r="N386" s="185"/>
      <c r="O386" s="185"/>
      <c r="P386" s="185"/>
    </row>
    <row r="387" spans="2:16" x14ac:dyDescent="0.2">
      <c r="B387" s="185"/>
      <c r="C387" s="185"/>
      <c r="D387" s="185"/>
      <c r="E387" s="185"/>
      <c r="F387" s="185"/>
      <c r="G387" s="185"/>
      <c r="H387" s="185"/>
      <c r="I387" s="185"/>
      <c r="J387" s="185"/>
      <c r="K387" s="185"/>
      <c r="L387" s="185"/>
      <c r="M387" s="185"/>
      <c r="N387" s="185"/>
      <c r="O387" s="185"/>
      <c r="P387" s="185"/>
    </row>
    <row r="388" spans="2:16" x14ac:dyDescent="0.2">
      <c r="B388" s="185"/>
      <c r="C388" s="185"/>
      <c r="D388" s="185"/>
      <c r="E388" s="185"/>
      <c r="F388" s="185"/>
      <c r="G388" s="185"/>
      <c r="H388" s="185"/>
      <c r="I388" s="185"/>
      <c r="J388" s="185"/>
      <c r="K388" s="185"/>
      <c r="L388" s="185"/>
      <c r="M388" s="185"/>
      <c r="N388" s="185"/>
      <c r="O388" s="185"/>
      <c r="P388" s="185"/>
    </row>
    <row r="389" spans="2:16" x14ac:dyDescent="0.2">
      <c r="B389" s="185"/>
      <c r="C389" s="185"/>
      <c r="D389" s="185"/>
      <c r="E389" s="185"/>
      <c r="F389" s="185"/>
      <c r="G389" s="185"/>
      <c r="H389" s="185"/>
      <c r="I389" s="185"/>
      <c r="J389" s="185"/>
      <c r="K389" s="185"/>
      <c r="L389" s="185"/>
      <c r="M389" s="185"/>
      <c r="N389" s="185"/>
      <c r="O389" s="185"/>
      <c r="P389" s="185"/>
    </row>
    <row r="390" spans="2:16" x14ac:dyDescent="0.2">
      <c r="B390" s="185"/>
      <c r="C390" s="185"/>
      <c r="D390" s="185"/>
      <c r="E390" s="185"/>
      <c r="F390" s="185"/>
      <c r="G390" s="185"/>
      <c r="H390" s="185"/>
      <c r="I390" s="185"/>
      <c r="J390" s="185"/>
      <c r="K390" s="185"/>
      <c r="L390" s="185"/>
      <c r="M390" s="185"/>
      <c r="N390" s="185"/>
      <c r="O390" s="185"/>
      <c r="P390" s="185"/>
    </row>
    <row r="391" spans="2:16" x14ac:dyDescent="0.2">
      <c r="B391" s="185"/>
      <c r="C391" s="185"/>
      <c r="D391" s="185"/>
      <c r="E391" s="185"/>
      <c r="F391" s="185"/>
      <c r="G391" s="185"/>
      <c r="H391" s="185"/>
      <c r="I391" s="185"/>
      <c r="J391" s="185"/>
      <c r="K391" s="185"/>
      <c r="L391" s="185"/>
      <c r="M391" s="185"/>
      <c r="N391" s="185"/>
      <c r="O391" s="185"/>
      <c r="P391" s="185"/>
    </row>
    <row r="392" spans="2:16" x14ac:dyDescent="0.2">
      <c r="B392" s="185"/>
      <c r="C392" s="185"/>
      <c r="D392" s="185"/>
      <c r="E392" s="185"/>
      <c r="F392" s="185"/>
      <c r="G392" s="185"/>
      <c r="H392" s="185"/>
      <c r="I392" s="185"/>
      <c r="J392" s="185"/>
      <c r="K392" s="185"/>
      <c r="L392" s="185"/>
      <c r="M392" s="185"/>
      <c r="N392" s="185"/>
      <c r="O392" s="185"/>
      <c r="P392" s="185"/>
    </row>
    <row r="393" spans="2:16" x14ac:dyDescent="0.2">
      <c r="B393" s="185"/>
      <c r="C393" s="185"/>
      <c r="D393" s="185"/>
      <c r="E393" s="185"/>
      <c r="F393" s="185"/>
      <c r="G393" s="185"/>
      <c r="H393" s="185"/>
      <c r="I393" s="185"/>
      <c r="J393" s="185"/>
      <c r="K393" s="185"/>
      <c r="L393" s="185"/>
      <c r="M393" s="185"/>
      <c r="N393" s="185"/>
      <c r="O393" s="185"/>
      <c r="P393" s="185"/>
    </row>
    <row r="394" spans="2:16" x14ac:dyDescent="0.2">
      <c r="B394" s="185"/>
      <c r="C394" s="185"/>
      <c r="D394" s="185"/>
      <c r="E394" s="185"/>
      <c r="F394" s="185"/>
      <c r="G394" s="185"/>
      <c r="H394" s="185"/>
      <c r="I394" s="185"/>
      <c r="J394" s="185"/>
      <c r="K394" s="185"/>
      <c r="L394" s="185"/>
      <c r="M394" s="185"/>
      <c r="N394" s="185"/>
      <c r="O394" s="185"/>
      <c r="P394" s="185"/>
    </row>
    <row r="395" spans="2:16" x14ac:dyDescent="0.2">
      <c r="B395" s="185"/>
      <c r="C395" s="185"/>
      <c r="D395" s="185"/>
      <c r="E395" s="185"/>
      <c r="F395" s="185"/>
      <c r="G395" s="185"/>
      <c r="H395" s="185"/>
      <c r="I395" s="185"/>
      <c r="J395" s="185"/>
      <c r="K395" s="185"/>
      <c r="L395" s="185"/>
      <c r="M395" s="185"/>
      <c r="N395" s="185"/>
      <c r="O395" s="185"/>
      <c r="P395" s="185"/>
    </row>
    <row r="396" spans="2:16" x14ac:dyDescent="0.2">
      <c r="B396" s="185"/>
      <c r="C396" s="185"/>
      <c r="D396" s="185"/>
      <c r="E396" s="185"/>
      <c r="F396" s="185"/>
      <c r="G396" s="185"/>
      <c r="H396" s="185"/>
      <c r="I396" s="185"/>
      <c r="J396" s="185"/>
      <c r="K396" s="185"/>
      <c r="L396" s="185"/>
      <c r="M396" s="185"/>
      <c r="N396" s="185"/>
      <c r="O396" s="185"/>
      <c r="P396" s="185"/>
    </row>
    <row r="397" spans="2:16" x14ac:dyDescent="0.2">
      <c r="B397" s="185"/>
      <c r="C397" s="185"/>
      <c r="D397" s="185"/>
      <c r="E397" s="185"/>
      <c r="F397" s="185"/>
      <c r="G397" s="185"/>
      <c r="H397" s="185"/>
      <c r="I397" s="185"/>
      <c r="J397" s="185"/>
      <c r="K397" s="185"/>
      <c r="L397" s="185"/>
      <c r="M397" s="185"/>
      <c r="N397" s="185"/>
      <c r="O397" s="185"/>
      <c r="P397" s="185"/>
    </row>
    <row r="398" spans="2:16" x14ac:dyDescent="0.2">
      <c r="B398" s="185"/>
      <c r="C398" s="185"/>
      <c r="D398" s="185"/>
      <c r="E398" s="185"/>
      <c r="F398" s="185"/>
      <c r="G398" s="185"/>
      <c r="H398" s="185"/>
      <c r="I398" s="185"/>
      <c r="J398" s="185"/>
      <c r="K398" s="185"/>
      <c r="L398" s="185"/>
      <c r="M398" s="185"/>
      <c r="N398" s="185"/>
      <c r="O398" s="185"/>
      <c r="P398" s="185"/>
    </row>
    <row r="399" spans="2:16" x14ac:dyDescent="0.2">
      <c r="B399" s="185"/>
      <c r="C399" s="185"/>
      <c r="D399" s="185"/>
      <c r="E399" s="185"/>
      <c r="F399" s="185"/>
      <c r="G399" s="185"/>
      <c r="H399" s="185"/>
      <c r="I399" s="185"/>
      <c r="J399" s="185"/>
      <c r="K399" s="185"/>
      <c r="L399" s="185"/>
      <c r="M399" s="185"/>
      <c r="N399" s="185"/>
      <c r="O399" s="185"/>
      <c r="P399" s="185"/>
    </row>
    <row r="400" spans="2:16" x14ac:dyDescent="0.2">
      <c r="B400" s="185"/>
      <c r="C400" s="185"/>
      <c r="D400" s="185"/>
      <c r="E400" s="185"/>
      <c r="F400" s="185"/>
      <c r="G400" s="185"/>
      <c r="H400" s="185"/>
      <c r="I400" s="185"/>
      <c r="J400" s="185"/>
      <c r="K400" s="185"/>
      <c r="L400" s="185"/>
      <c r="M400" s="185"/>
      <c r="N400" s="185"/>
      <c r="O400" s="185"/>
      <c r="P400" s="185"/>
    </row>
    <row r="401" spans="2:16" x14ac:dyDescent="0.2">
      <c r="B401" s="185"/>
      <c r="C401" s="185"/>
      <c r="D401" s="185"/>
      <c r="E401" s="185"/>
      <c r="F401" s="185"/>
      <c r="G401" s="185"/>
      <c r="H401" s="185"/>
      <c r="I401" s="185"/>
      <c r="J401" s="185"/>
      <c r="K401" s="185"/>
      <c r="L401" s="185"/>
      <c r="M401" s="185"/>
      <c r="N401" s="185"/>
      <c r="O401" s="185"/>
      <c r="P401" s="185"/>
    </row>
    <row r="402" spans="2:16" x14ac:dyDescent="0.2">
      <c r="B402" s="185"/>
      <c r="C402" s="185"/>
      <c r="D402" s="185"/>
      <c r="E402" s="185"/>
      <c r="F402" s="185"/>
      <c r="G402" s="185"/>
      <c r="H402" s="185"/>
      <c r="I402" s="185"/>
      <c r="J402" s="185"/>
      <c r="K402" s="185"/>
      <c r="L402" s="185"/>
      <c r="M402" s="185"/>
      <c r="N402" s="185"/>
      <c r="O402" s="185"/>
      <c r="P402" s="185"/>
    </row>
    <row r="403" spans="2:16" x14ac:dyDescent="0.2">
      <c r="B403" s="185"/>
      <c r="C403" s="185"/>
      <c r="D403" s="185"/>
      <c r="E403" s="185"/>
      <c r="F403" s="185"/>
      <c r="G403" s="185"/>
      <c r="H403" s="185"/>
      <c r="I403" s="185"/>
      <c r="J403" s="185"/>
      <c r="K403" s="185"/>
      <c r="L403" s="185"/>
      <c r="M403" s="185"/>
      <c r="N403" s="185"/>
      <c r="O403" s="185"/>
      <c r="P403" s="185"/>
    </row>
    <row r="404" spans="2:16" x14ac:dyDescent="0.2">
      <c r="B404" s="185"/>
      <c r="C404" s="185"/>
      <c r="D404" s="185"/>
      <c r="E404" s="185"/>
      <c r="F404" s="185"/>
      <c r="G404" s="185"/>
      <c r="H404" s="185"/>
      <c r="I404" s="185"/>
      <c r="J404" s="185"/>
      <c r="K404" s="185"/>
      <c r="L404" s="185"/>
      <c r="M404" s="185"/>
      <c r="N404" s="185"/>
      <c r="O404" s="185"/>
      <c r="P404" s="185"/>
    </row>
    <row r="405" spans="2:16" x14ac:dyDescent="0.2">
      <c r="B405" s="185"/>
      <c r="C405" s="185"/>
      <c r="D405" s="185"/>
      <c r="E405" s="185"/>
      <c r="F405" s="185"/>
      <c r="G405" s="185"/>
      <c r="H405" s="185"/>
      <c r="I405" s="185"/>
      <c r="J405" s="185"/>
      <c r="K405" s="185"/>
      <c r="L405" s="185"/>
      <c r="M405" s="185"/>
      <c r="N405" s="185"/>
      <c r="O405" s="185"/>
      <c r="P405" s="185"/>
    </row>
    <row r="406" spans="2:16" x14ac:dyDescent="0.2">
      <c r="B406" s="185"/>
      <c r="C406" s="185"/>
      <c r="D406" s="185"/>
      <c r="E406" s="185"/>
      <c r="F406" s="185"/>
      <c r="G406" s="185"/>
      <c r="H406" s="185"/>
      <c r="I406" s="185"/>
      <c r="J406" s="185"/>
      <c r="K406" s="185"/>
      <c r="L406" s="185"/>
      <c r="M406" s="185"/>
      <c r="N406" s="185"/>
      <c r="O406" s="185"/>
      <c r="P406" s="185"/>
    </row>
    <row r="407" spans="2:16" x14ac:dyDescent="0.2">
      <c r="B407" s="185"/>
      <c r="C407" s="185"/>
      <c r="D407" s="185"/>
      <c r="E407" s="185"/>
      <c r="F407" s="185"/>
      <c r="G407" s="185"/>
      <c r="H407" s="185"/>
      <c r="I407" s="185"/>
      <c r="J407" s="185"/>
      <c r="K407" s="185"/>
      <c r="L407" s="185"/>
      <c r="M407" s="185"/>
      <c r="N407" s="185"/>
      <c r="O407" s="185"/>
      <c r="P407" s="185"/>
    </row>
    <row r="408" spans="2:16" x14ac:dyDescent="0.2">
      <c r="B408" s="185"/>
      <c r="C408" s="185"/>
      <c r="D408" s="185"/>
      <c r="E408" s="185"/>
      <c r="F408" s="185"/>
      <c r="G408" s="185"/>
      <c r="H408" s="185"/>
      <c r="I408" s="185"/>
      <c r="J408" s="185"/>
      <c r="K408" s="185"/>
      <c r="L408" s="185"/>
      <c r="M408" s="185"/>
      <c r="N408" s="185"/>
      <c r="O408" s="185"/>
      <c r="P408" s="185"/>
    </row>
    <row r="409" spans="2:16" x14ac:dyDescent="0.2">
      <c r="B409" s="185"/>
      <c r="C409" s="185"/>
      <c r="D409" s="185"/>
      <c r="E409" s="185"/>
      <c r="F409" s="185"/>
      <c r="G409" s="185"/>
      <c r="H409" s="185"/>
      <c r="I409" s="185"/>
      <c r="J409" s="185"/>
      <c r="K409" s="185"/>
      <c r="L409" s="185"/>
      <c r="M409" s="185"/>
      <c r="N409" s="185"/>
      <c r="O409" s="185"/>
      <c r="P409" s="185"/>
    </row>
    <row r="410" spans="2:16" x14ac:dyDescent="0.2">
      <c r="B410" s="185"/>
      <c r="C410" s="185"/>
      <c r="D410" s="185"/>
      <c r="E410" s="185"/>
      <c r="F410" s="185"/>
      <c r="G410" s="185"/>
      <c r="H410" s="185"/>
      <c r="I410" s="185"/>
      <c r="J410" s="185"/>
      <c r="K410" s="185"/>
      <c r="L410" s="185"/>
      <c r="M410" s="185"/>
      <c r="N410" s="185"/>
      <c r="O410" s="185"/>
      <c r="P410" s="185"/>
    </row>
    <row r="411" spans="2:16" x14ac:dyDescent="0.2">
      <c r="B411" s="185"/>
      <c r="C411" s="185"/>
      <c r="D411" s="185"/>
      <c r="E411" s="185"/>
      <c r="F411" s="185"/>
      <c r="G411" s="185"/>
      <c r="H411" s="185"/>
      <c r="I411" s="185"/>
      <c r="J411" s="185"/>
      <c r="K411" s="185"/>
      <c r="L411" s="185"/>
      <c r="M411" s="185"/>
      <c r="N411" s="185"/>
      <c r="O411" s="185"/>
      <c r="P411" s="185"/>
    </row>
    <row r="412" spans="2:16" x14ac:dyDescent="0.2">
      <c r="B412" s="185"/>
      <c r="C412" s="185"/>
      <c r="D412" s="185"/>
      <c r="E412" s="185"/>
      <c r="F412" s="185"/>
      <c r="G412" s="185"/>
      <c r="H412" s="185"/>
      <c r="I412" s="185"/>
      <c r="J412" s="185"/>
      <c r="K412" s="185"/>
      <c r="L412" s="185"/>
      <c r="M412" s="185"/>
      <c r="N412" s="185"/>
      <c r="O412" s="185"/>
      <c r="P412" s="185"/>
    </row>
    <row r="413" spans="2:16" x14ac:dyDescent="0.2">
      <c r="B413" s="185"/>
      <c r="C413" s="185"/>
      <c r="D413" s="185"/>
      <c r="E413" s="185"/>
      <c r="F413" s="185"/>
      <c r="G413" s="185"/>
      <c r="H413" s="185"/>
      <c r="I413" s="185"/>
      <c r="J413" s="185"/>
      <c r="K413" s="185"/>
      <c r="L413" s="185"/>
      <c r="M413" s="185"/>
      <c r="N413" s="185"/>
      <c r="O413" s="185"/>
      <c r="P413" s="185"/>
    </row>
    <row r="414" spans="2:16" x14ac:dyDescent="0.2">
      <c r="B414" s="185"/>
      <c r="C414" s="185"/>
      <c r="D414" s="185"/>
      <c r="E414" s="185"/>
      <c r="F414" s="185"/>
      <c r="G414" s="185"/>
      <c r="H414" s="185"/>
      <c r="I414" s="185"/>
      <c r="J414" s="185"/>
      <c r="K414" s="185"/>
      <c r="L414" s="185"/>
      <c r="M414" s="185"/>
      <c r="N414" s="185"/>
      <c r="O414" s="185"/>
      <c r="P414" s="185"/>
    </row>
    <row r="415" spans="2:16" x14ac:dyDescent="0.2">
      <c r="B415" s="185"/>
      <c r="C415" s="185"/>
      <c r="D415" s="185"/>
      <c r="E415" s="185"/>
      <c r="F415" s="185"/>
      <c r="G415" s="185"/>
      <c r="H415" s="185"/>
      <c r="I415" s="185"/>
      <c r="J415" s="185"/>
      <c r="K415" s="185"/>
      <c r="L415" s="185"/>
      <c r="M415" s="185"/>
      <c r="N415" s="185"/>
      <c r="O415" s="185"/>
      <c r="P415" s="185"/>
    </row>
    <row r="416" spans="2:16" x14ac:dyDescent="0.2">
      <c r="B416" s="185"/>
      <c r="C416" s="185"/>
      <c r="D416" s="185"/>
      <c r="E416" s="185"/>
      <c r="F416" s="185"/>
      <c r="G416" s="185"/>
      <c r="H416" s="185"/>
      <c r="I416" s="185"/>
      <c r="J416" s="185"/>
      <c r="K416" s="185"/>
      <c r="L416" s="185"/>
      <c r="M416" s="185"/>
      <c r="N416" s="185"/>
      <c r="O416" s="185"/>
      <c r="P416" s="185"/>
    </row>
    <row r="417" spans="2:16" x14ac:dyDescent="0.2">
      <c r="B417" s="185"/>
      <c r="C417" s="185"/>
      <c r="D417" s="185"/>
      <c r="E417" s="185"/>
      <c r="F417" s="185"/>
      <c r="G417" s="185"/>
      <c r="H417" s="185"/>
      <c r="I417" s="185"/>
      <c r="J417" s="185"/>
      <c r="K417" s="185"/>
      <c r="L417" s="185"/>
      <c r="M417" s="185"/>
      <c r="N417" s="185"/>
      <c r="O417" s="185"/>
      <c r="P417" s="185"/>
    </row>
    <row r="418" spans="2:16" x14ac:dyDescent="0.2">
      <c r="B418" s="185"/>
      <c r="C418" s="185"/>
      <c r="D418" s="185"/>
      <c r="E418" s="185"/>
      <c r="F418" s="185"/>
      <c r="G418" s="185"/>
      <c r="H418" s="185"/>
      <c r="I418" s="185"/>
      <c r="J418" s="185"/>
      <c r="K418" s="185"/>
      <c r="L418" s="185"/>
      <c r="M418" s="185"/>
      <c r="N418" s="185"/>
      <c r="O418" s="185"/>
      <c r="P418" s="185"/>
    </row>
    <row r="419" spans="2:16" x14ac:dyDescent="0.2">
      <c r="B419" s="185"/>
      <c r="C419" s="185"/>
      <c r="D419" s="185"/>
      <c r="E419" s="185"/>
      <c r="F419" s="185"/>
      <c r="G419" s="185"/>
      <c r="H419" s="185"/>
      <c r="I419" s="185"/>
      <c r="J419" s="185"/>
      <c r="K419" s="185"/>
      <c r="L419" s="185"/>
      <c r="M419" s="185"/>
      <c r="N419" s="185"/>
      <c r="O419" s="185"/>
      <c r="P419" s="185"/>
    </row>
    <row r="420" spans="2:16" x14ac:dyDescent="0.2">
      <c r="B420" s="185"/>
      <c r="C420" s="185"/>
      <c r="D420" s="185"/>
      <c r="E420" s="185"/>
      <c r="F420" s="185"/>
      <c r="G420" s="185"/>
      <c r="H420" s="185"/>
      <c r="I420" s="185"/>
      <c r="J420" s="185"/>
      <c r="K420" s="185"/>
      <c r="L420" s="185"/>
      <c r="M420" s="185"/>
      <c r="N420" s="185"/>
      <c r="O420" s="185"/>
      <c r="P420" s="185"/>
    </row>
    <row r="421" spans="2:16" x14ac:dyDescent="0.2">
      <c r="B421" s="185"/>
      <c r="C421" s="185"/>
      <c r="D421" s="185"/>
      <c r="E421" s="185"/>
      <c r="F421" s="185"/>
      <c r="G421" s="185"/>
      <c r="H421" s="185"/>
      <c r="I421" s="185"/>
      <c r="J421" s="185"/>
      <c r="K421" s="185"/>
      <c r="L421" s="185"/>
      <c r="M421" s="185"/>
      <c r="N421" s="185"/>
      <c r="O421" s="185"/>
      <c r="P421" s="185"/>
    </row>
    <row r="422" spans="2:16" x14ac:dyDescent="0.2">
      <c r="B422" s="185"/>
      <c r="C422" s="185"/>
      <c r="D422" s="185"/>
      <c r="E422" s="185"/>
      <c r="F422" s="185"/>
      <c r="G422" s="185"/>
      <c r="H422" s="185"/>
      <c r="I422" s="185"/>
      <c r="J422" s="185"/>
      <c r="K422" s="185"/>
      <c r="L422" s="185"/>
      <c r="M422" s="185"/>
      <c r="N422" s="185"/>
      <c r="O422" s="185"/>
      <c r="P422" s="185"/>
    </row>
    <row r="423" spans="2:16" x14ac:dyDescent="0.2">
      <c r="B423" s="185"/>
      <c r="C423" s="185"/>
      <c r="D423" s="185"/>
      <c r="E423" s="185"/>
      <c r="F423" s="185"/>
      <c r="G423" s="185"/>
      <c r="H423" s="185"/>
      <c r="I423" s="185"/>
      <c r="J423" s="185"/>
      <c r="K423" s="185"/>
      <c r="L423" s="185"/>
      <c r="M423" s="185"/>
      <c r="N423" s="185"/>
      <c r="O423" s="185"/>
      <c r="P423" s="185"/>
    </row>
    <row r="424" spans="2:16" x14ac:dyDescent="0.2">
      <c r="B424" s="185"/>
      <c r="C424" s="185"/>
      <c r="D424" s="185"/>
      <c r="E424" s="185"/>
      <c r="F424" s="185"/>
      <c r="G424" s="185"/>
      <c r="H424" s="185"/>
      <c r="I424" s="185"/>
      <c r="J424" s="185"/>
      <c r="K424" s="185"/>
      <c r="L424" s="185"/>
      <c r="M424" s="185"/>
      <c r="N424" s="185"/>
      <c r="O424" s="185"/>
      <c r="P424" s="185"/>
    </row>
    <row r="425" spans="2:16" x14ac:dyDescent="0.2">
      <c r="B425" s="185"/>
      <c r="C425" s="185"/>
      <c r="D425" s="185"/>
      <c r="E425" s="185"/>
      <c r="F425" s="185"/>
      <c r="G425" s="185"/>
      <c r="H425" s="185"/>
      <c r="I425" s="185"/>
      <c r="J425" s="185"/>
      <c r="K425" s="185"/>
      <c r="L425" s="185"/>
      <c r="M425" s="185"/>
      <c r="N425" s="185"/>
      <c r="O425" s="185"/>
      <c r="P425" s="185"/>
    </row>
    <row r="426" spans="2:16" x14ac:dyDescent="0.2">
      <c r="B426" s="185"/>
      <c r="C426" s="185"/>
      <c r="D426" s="185"/>
      <c r="E426" s="185"/>
      <c r="F426" s="185"/>
      <c r="G426" s="185"/>
      <c r="H426" s="185"/>
      <c r="I426" s="185"/>
      <c r="J426" s="185"/>
      <c r="K426" s="185"/>
      <c r="L426" s="185"/>
      <c r="M426" s="185"/>
      <c r="N426" s="185"/>
      <c r="O426" s="185"/>
      <c r="P426" s="185"/>
    </row>
    <row r="427" spans="2:16" x14ac:dyDescent="0.2">
      <c r="B427" s="185"/>
      <c r="C427" s="185"/>
      <c r="D427" s="185"/>
      <c r="E427" s="185"/>
      <c r="F427" s="185"/>
      <c r="G427" s="185"/>
      <c r="H427" s="185"/>
      <c r="I427" s="185"/>
      <c r="J427" s="185"/>
      <c r="K427" s="185"/>
      <c r="L427" s="185"/>
      <c r="M427" s="185"/>
      <c r="N427" s="185"/>
      <c r="O427" s="185"/>
      <c r="P427" s="185"/>
    </row>
    <row r="428" spans="2:16" x14ac:dyDescent="0.2">
      <c r="B428" s="185"/>
      <c r="C428" s="185"/>
      <c r="D428" s="185"/>
      <c r="E428" s="185"/>
      <c r="F428" s="185"/>
      <c r="G428" s="185"/>
      <c r="H428" s="185"/>
      <c r="I428" s="185"/>
      <c r="J428" s="185"/>
      <c r="K428" s="185"/>
      <c r="L428" s="185"/>
      <c r="M428" s="185"/>
      <c r="N428" s="185"/>
      <c r="O428" s="185"/>
      <c r="P428" s="185"/>
    </row>
    <row r="429" spans="2:16" x14ac:dyDescent="0.2">
      <c r="B429" s="185"/>
      <c r="C429" s="185"/>
      <c r="D429" s="185"/>
      <c r="E429" s="185"/>
      <c r="F429" s="185"/>
      <c r="G429" s="185"/>
      <c r="H429" s="185"/>
      <c r="I429" s="185"/>
      <c r="J429" s="185"/>
      <c r="K429" s="185"/>
      <c r="L429" s="185"/>
      <c r="M429" s="185"/>
      <c r="N429" s="185"/>
      <c r="O429" s="185"/>
      <c r="P429" s="185"/>
    </row>
    <row r="430" spans="2:16" x14ac:dyDescent="0.2">
      <c r="B430" s="185"/>
      <c r="C430" s="185"/>
      <c r="D430" s="185"/>
      <c r="E430" s="185"/>
      <c r="F430" s="185"/>
      <c r="G430" s="185"/>
      <c r="H430" s="185"/>
      <c r="I430" s="185"/>
      <c r="J430" s="185"/>
      <c r="K430" s="185"/>
      <c r="L430" s="185"/>
      <c r="M430" s="185"/>
      <c r="N430" s="185"/>
      <c r="O430" s="185"/>
      <c r="P430" s="185"/>
    </row>
    <row r="431" spans="2:16" x14ac:dyDescent="0.2">
      <c r="B431" s="185"/>
      <c r="C431" s="185"/>
      <c r="D431" s="185"/>
      <c r="E431" s="185"/>
      <c r="F431" s="185"/>
      <c r="G431" s="185"/>
      <c r="H431" s="185"/>
      <c r="I431" s="185"/>
      <c r="J431" s="185"/>
      <c r="K431" s="185"/>
      <c r="L431" s="185"/>
      <c r="M431" s="185"/>
      <c r="N431" s="185"/>
      <c r="O431" s="185"/>
      <c r="P431" s="185"/>
    </row>
    <row r="432" spans="2:16" x14ac:dyDescent="0.2">
      <c r="B432" s="185"/>
      <c r="C432" s="185"/>
      <c r="D432" s="185"/>
      <c r="E432" s="185"/>
      <c r="F432" s="185"/>
      <c r="G432" s="185"/>
      <c r="H432" s="185"/>
      <c r="I432" s="185"/>
      <c r="J432" s="185"/>
      <c r="K432" s="185"/>
      <c r="L432" s="185"/>
      <c r="M432" s="185"/>
      <c r="N432" s="185"/>
      <c r="O432" s="185"/>
      <c r="P432" s="185"/>
    </row>
    <row r="433" spans="2:16" x14ac:dyDescent="0.2">
      <c r="B433" s="185"/>
      <c r="C433" s="185"/>
      <c r="D433" s="185"/>
      <c r="E433" s="185"/>
      <c r="F433" s="185"/>
      <c r="G433" s="185"/>
      <c r="H433" s="185"/>
      <c r="I433" s="185"/>
      <c r="J433" s="185"/>
      <c r="K433" s="185"/>
      <c r="L433" s="185"/>
      <c r="M433" s="185"/>
      <c r="N433" s="185"/>
      <c r="O433" s="185"/>
      <c r="P433" s="185"/>
    </row>
    <row r="434" spans="2:16" x14ac:dyDescent="0.2">
      <c r="B434" s="185"/>
      <c r="C434" s="185"/>
      <c r="D434" s="185"/>
      <c r="E434" s="185"/>
      <c r="F434" s="185"/>
      <c r="G434" s="185"/>
      <c r="H434" s="185"/>
      <c r="I434" s="185"/>
      <c r="J434" s="185"/>
      <c r="K434" s="185"/>
      <c r="L434" s="185"/>
      <c r="M434" s="185"/>
      <c r="N434" s="185"/>
      <c r="O434" s="185"/>
      <c r="P434" s="185"/>
    </row>
    <row r="435" spans="2:16" x14ac:dyDescent="0.2">
      <c r="B435" s="185"/>
      <c r="C435" s="185"/>
      <c r="D435" s="185"/>
      <c r="E435" s="185"/>
      <c r="F435" s="185"/>
      <c r="G435" s="185"/>
      <c r="H435" s="185"/>
      <c r="I435" s="185"/>
      <c r="J435" s="185"/>
      <c r="K435" s="185"/>
      <c r="L435" s="185"/>
      <c r="M435" s="185"/>
      <c r="N435" s="185"/>
      <c r="O435" s="185"/>
      <c r="P435" s="185"/>
    </row>
    <row r="436" spans="2:16" x14ac:dyDescent="0.2">
      <c r="B436" s="185"/>
      <c r="C436" s="185"/>
      <c r="D436" s="185"/>
      <c r="E436" s="185"/>
      <c r="F436" s="185"/>
      <c r="G436" s="185"/>
      <c r="H436" s="185"/>
      <c r="I436" s="185"/>
      <c r="J436" s="185"/>
      <c r="K436" s="185"/>
      <c r="L436" s="185"/>
      <c r="M436" s="185"/>
      <c r="N436" s="185"/>
      <c r="O436" s="185"/>
      <c r="P436" s="185"/>
    </row>
    <row r="437" spans="2:16" x14ac:dyDescent="0.2">
      <c r="B437" s="185"/>
      <c r="C437" s="185"/>
      <c r="D437" s="185"/>
      <c r="E437" s="185"/>
      <c r="F437" s="185"/>
      <c r="G437" s="185"/>
      <c r="H437" s="185"/>
      <c r="I437" s="185"/>
      <c r="J437" s="185"/>
      <c r="K437" s="185"/>
      <c r="L437" s="185"/>
      <c r="M437" s="185"/>
      <c r="N437" s="185"/>
      <c r="O437" s="185"/>
      <c r="P437" s="185"/>
    </row>
    <row r="438" spans="2:16" x14ac:dyDescent="0.2">
      <c r="B438" s="185"/>
      <c r="C438" s="185"/>
      <c r="D438" s="185"/>
      <c r="E438" s="185"/>
      <c r="F438" s="185"/>
      <c r="G438" s="185"/>
      <c r="H438" s="185"/>
      <c r="I438" s="185"/>
      <c r="J438" s="185"/>
      <c r="K438" s="185"/>
      <c r="L438" s="185"/>
      <c r="M438" s="185"/>
      <c r="N438" s="185"/>
      <c r="O438" s="185"/>
      <c r="P438" s="185"/>
    </row>
    <row r="439" spans="2:16" x14ac:dyDescent="0.2">
      <c r="B439" s="185"/>
      <c r="C439" s="185"/>
      <c r="D439" s="185"/>
      <c r="E439" s="185"/>
      <c r="F439" s="185"/>
      <c r="G439" s="185"/>
      <c r="H439" s="185"/>
      <c r="I439" s="185"/>
      <c r="J439" s="185"/>
      <c r="K439" s="185"/>
      <c r="L439" s="185"/>
      <c r="M439" s="185"/>
      <c r="N439" s="185"/>
      <c r="O439" s="185"/>
      <c r="P439" s="185"/>
    </row>
    <row r="440" spans="2:16" x14ac:dyDescent="0.2">
      <c r="B440" s="185"/>
      <c r="C440" s="185"/>
      <c r="D440" s="185"/>
      <c r="E440" s="185"/>
      <c r="F440" s="185"/>
      <c r="G440" s="185"/>
      <c r="H440" s="185"/>
      <c r="I440" s="185"/>
      <c r="J440" s="185"/>
      <c r="K440" s="185"/>
      <c r="L440" s="185"/>
      <c r="M440" s="185"/>
      <c r="N440" s="185"/>
      <c r="O440" s="185"/>
      <c r="P440" s="185"/>
    </row>
    <row r="441" spans="2:16" x14ac:dyDescent="0.2">
      <c r="B441" s="185"/>
      <c r="C441" s="185"/>
      <c r="D441" s="185"/>
      <c r="E441" s="185"/>
      <c r="F441" s="185"/>
      <c r="G441" s="185"/>
      <c r="H441" s="185"/>
      <c r="I441" s="185"/>
      <c r="J441" s="185"/>
      <c r="K441" s="185"/>
      <c r="L441" s="185"/>
      <c r="M441" s="185"/>
      <c r="N441" s="185"/>
      <c r="O441" s="185"/>
      <c r="P441" s="185"/>
    </row>
    <row r="442" spans="2:16" x14ac:dyDescent="0.2">
      <c r="B442" s="185"/>
      <c r="C442" s="185"/>
      <c r="D442" s="185"/>
      <c r="E442" s="185"/>
      <c r="F442" s="185"/>
      <c r="G442" s="185"/>
      <c r="H442" s="185"/>
      <c r="I442" s="185"/>
      <c r="J442" s="185"/>
      <c r="K442" s="185"/>
      <c r="L442" s="185"/>
      <c r="M442" s="185"/>
      <c r="N442" s="185"/>
      <c r="O442" s="185"/>
      <c r="P442" s="185"/>
    </row>
    <row r="443" spans="2:16" x14ac:dyDescent="0.2">
      <c r="B443" s="185"/>
      <c r="C443" s="185"/>
      <c r="D443" s="185"/>
      <c r="E443" s="185"/>
      <c r="F443" s="185"/>
      <c r="G443" s="185"/>
      <c r="H443" s="185"/>
      <c r="I443" s="185"/>
      <c r="J443" s="185"/>
      <c r="K443" s="185"/>
      <c r="L443" s="185"/>
      <c r="M443" s="185"/>
      <c r="N443" s="185"/>
      <c r="O443" s="185"/>
      <c r="P443" s="185"/>
    </row>
    <row r="444" spans="2:16" x14ac:dyDescent="0.2">
      <c r="B444" s="185"/>
      <c r="C444" s="185"/>
      <c r="D444" s="185"/>
      <c r="E444" s="185"/>
      <c r="F444" s="185"/>
      <c r="G444" s="185"/>
      <c r="H444" s="185"/>
      <c r="I444" s="185"/>
      <c r="J444" s="185"/>
      <c r="K444" s="185"/>
      <c r="L444" s="185"/>
      <c r="M444" s="185"/>
      <c r="N444" s="185"/>
      <c r="O444" s="185"/>
      <c r="P444" s="185"/>
    </row>
    <row r="445" spans="2:16" x14ac:dyDescent="0.2">
      <c r="B445" s="185"/>
      <c r="C445" s="185"/>
      <c r="D445" s="185"/>
      <c r="E445" s="185"/>
      <c r="F445" s="185"/>
      <c r="G445" s="185"/>
      <c r="H445" s="185"/>
      <c r="I445" s="185"/>
      <c r="J445" s="185"/>
      <c r="K445" s="185"/>
      <c r="L445" s="185"/>
      <c r="M445" s="185"/>
      <c r="N445" s="185"/>
      <c r="O445" s="185"/>
      <c r="P445" s="185"/>
    </row>
    <row r="446" spans="2:16" x14ac:dyDescent="0.2">
      <c r="B446" s="185"/>
      <c r="C446" s="185"/>
      <c r="D446" s="185"/>
      <c r="E446" s="185"/>
      <c r="F446" s="185"/>
      <c r="G446" s="185"/>
      <c r="H446" s="185"/>
      <c r="I446" s="185"/>
      <c r="J446" s="185"/>
      <c r="K446" s="185"/>
      <c r="L446" s="185"/>
      <c r="M446" s="185"/>
      <c r="N446" s="185"/>
      <c r="O446" s="185"/>
      <c r="P446" s="185"/>
    </row>
    <row r="447" spans="2:16" x14ac:dyDescent="0.2">
      <c r="B447" s="185"/>
      <c r="C447" s="185"/>
      <c r="D447" s="185"/>
      <c r="E447" s="185"/>
      <c r="F447" s="185"/>
      <c r="G447" s="185"/>
      <c r="H447" s="185"/>
      <c r="I447" s="185"/>
      <c r="J447" s="185"/>
      <c r="K447" s="185"/>
      <c r="L447" s="185"/>
      <c r="M447" s="185"/>
      <c r="N447" s="185"/>
      <c r="O447" s="185"/>
      <c r="P447" s="185"/>
    </row>
    <row r="448" spans="2:16" x14ac:dyDescent="0.2">
      <c r="B448" s="185"/>
      <c r="C448" s="185"/>
      <c r="D448" s="185"/>
      <c r="E448" s="185"/>
      <c r="F448" s="185"/>
      <c r="G448" s="185"/>
      <c r="H448" s="185"/>
      <c r="I448" s="185"/>
      <c r="J448" s="185"/>
      <c r="K448" s="185"/>
      <c r="L448" s="185"/>
      <c r="M448" s="185"/>
      <c r="N448" s="185"/>
      <c r="O448" s="185"/>
      <c r="P448" s="185"/>
    </row>
    <row r="449" spans="2:16" x14ac:dyDescent="0.2">
      <c r="B449" s="185"/>
      <c r="C449" s="185"/>
      <c r="D449" s="185"/>
      <c r="E449" s="185"/>
      <c r="F449" s="185"/>
      <c r="G449" s="185"/>
      <c r="H449" s="185"/>
      <c r="I449" s="185"/>
      <c r="J449" s="185"/>
      <c r="K449" s="185"/>
      <c r="L449" s="185"/>
      <c r="M449" s="185"/>
      <c r="N449" s="185"/>
      <c r="O449" s="185"/>
      <c r="P449" s="185"/>
    </row>
    <row r="450" spans="2:16" x14ac:dyDescent="0.2">
      <c r="B450" s="185"/>
      <c r="C450" s="185"/>
      <c r="D450" s="185"/>
      <c r="E450" s="185"/>
      <c r="F450" s="185"/>
      <c r="G450" s="185"/>
      <c r="H450" s="185"/>
      <c r="I450" s="185"/>
      <c r="J450" s="185"/>
      <c r="K450" s="185"/>
      <c r="L450" s="185"/>
      <c r="M450" s="185"/>
      <c r="N450" s="185"/>
      <c r="O450" s="185"/>
      <c r="P450" s="185"/>
    </row>
    <row r="451" spans="2:16" x14ac:dyDescent="0.2">
      <c r="B451" s="185"/>
      <c r="C451" s="185"/>
      <c r="D451" s="185"/>
      <c r="E451" s="185"/>
      <c r="F451" s="185"/>
      <c r="G451" s="185"/>
      <c r="H451" s="185"/>
      <c r="I451" s="185"/>
      <c r="J451" s="185"/>
      <c r="K451" s="185"/>
      <c r="L451" s="185"/>
      <c r="M451" s="185"/>
      <c r="N451" s="185"/>
      <c r="O451" s="185"/>
      <c r="P451" s="185"/>
    </row>
    <row r="452" spans="2:16" x14ac:dyDescent="0.2">
      <c r="B452" s="185"/>
      <c r="C452" s="185"/>
      <c r="D452" s="185"/>
      <c r="E452" s="185"/>
      <c r="F452" s="185"/>
      <c r="G452" s="185"/>
      <c r="H452" s="185"/>
      <c r="I452" s="185"/>
      <c r="J452" s="185"/>
      <c r="K452" s="185"/>
      <c r="L452" s="185"/>
      <c r="M452" s="185"/>
      <c r="N452" s="185"/>
      <c r="O452" s="185"/>
      <c r="P452" s="185"/>
    </row>
    <row r="453" spans="2:16" x14ac:dyDescent="0.2">
      <c r="B453" s="185"/>
      <c r="C453" s="185"/>
      <c r="D453" s="185"/>
      <c r="E453" s="185"/>
      <c r="F453" s="185"/>
      <c r="G453" s="185"/>
      <c r="H453" s="185"/>
      <c r="I453" s="185"/>
      <c r="J453" s="185"/>
      <c r="K453" s="185"/>
      <c r="L453" s="185"/>
      <c r="M453" s="185"/>
      <c r="N453" s="185"/>
      <c r="O453" s="185"/>
      <c r="P453" s="185"/>
    </row>
    <row r="454" spans="2:16" x14ac:dyDescent="0.2">
      <c r="B454" s="185"/>
      <c r="C454" s="185"/>
      <c r="D454" s="185"/>
      <c r="E454" s="185"/>
      <c r="F454" s="185"/>
      <c r="G454" s="185"/>
      <c r="H454" s="185"/>
      <c r="I454" s="185"/>
      <c r="J454" s="185"/>
      <c r="K454" s="185"/>
      <c r="L454" s="185"/>
      <c r="M454" s="185"/>
      <c r="N454" s="185"/>
      <c r="O454" s="185"/>
      <c r="P454" s="185"/>
    </row>
    <row r="455" spans="2:16" x14ac:dyDescent="0.2">
      <c r="B455" s="185"/>
      <c r="C455" s="185"/>
      <c r="D455" s="185"/>
      <c r="E455" s="185"/>
      <c r="F455" s="185"/>
      <c r="G455" s="185"/>
      <c r="H455" s="185"/>
      <c r="I455" s="185"/>
      <c r="J455" s="185"/>
      <c r="K455" s="185"/>
      <c r="L455" s="185"/>
      <c r="M455" s="185"/>
      <c r="N455" s="185"/>
      <c r="O455" s="185"/>
      <c r="P455" s="185"/>
    </row>
    <row r="456" spans="2:16" x14ac:dyDescent="0.2">
      <c r="B456" s="185"/>
      <c r="C456" s="185"/>
      <c r="D456" s="185"/>
      <c r="E456" s="185"/>
      <c r="F456" s="185"/>
      <c r="G456" s="185"/>
      <c r="H456" s="185"/>
      <c r="I456" s="185"/>
      <c r="J456" s="185"/>
      <c r="K456" s="185"/>
      <c r="L456" s="185"/>
      <c r="M456" s="185"/>
      <c r="N456" s="185"/>
      <c r="O456" s="185"/>
      <c r="P456" s="185"/>
    </row>
    <row r="457" spans="2:16" x14ac:dyDescent="0.2">
      <c r="B457" s="185"/>
      <c r="C457" s="185"/>
      <c r="D457" s="185"/>
      <c r="E457" s="185"/>
      <c r="F457" s="185"/>
      <c r="G457" s="185"/>
      <c r="H457" s="185"/>
      <c r="I457" s="185"/>
      <c r="J457" s="185"/>
      <c r="K457" s="185"/>
      <c r="L457" s="185"/>
      <c r="M457" s="185"/>
      <c r="N457" s="185"/>
      <c r="O457" s="185"/>
      <c r="P457" s="185"/>
    </row>
    <row r="458" spans="2:16" x14ac:dyDescent="0.2">
      <c r="B458" s="185"/>
      <c r="C458" s="185"/>
      <c r="D458" s="185"/>
      <c r="E458" s="185"/>
      <c r="F458" s="185"/>
      <c r="G458" s="185"/>
      <c r="H458" s="185"/>
      <c r="I458" s="185"/>
      <c r="J458" s="185"/>
      <c r="K458" s="185"/>
      <c r="L458" s="185"/>
      <c r="M458" s="185"/>
      <c r="N458" s="185"/>
      <c r="O458" s="185"/>
      <c r="P458" s="185"/>
    </row>
    <row r="459" spans="2:16" x14ac:dyDescent="0.2">
      <c r="B459" s="185"/>
      <c r="C459" s="185"/>
      <c r="D459" s="185"/>
      <c r="E459" s="185"/>
      <c r="F459" s="185"/>
      <c r="G459" s="185"/>
      <c r="H459" s="185"/>
      <c r="I459" s="185"/>
      <c r="J459" s="185"/>
      <c r="K459" s="185"/>
      <c r="L459" s="185"/>
      <c r="M459" s="185"/>
      <c r="N459" s="185"/>
      <c r="O459" s="185"/>
      <c r="P459" s="185"/>
    </row>
    <row r="460" spans="2:16" x14ac:dyDescent="0.2">
      <c r="B460" s="185"/>
      <c r="C460" s="185"/>
      <c r="D460" s="185"/>
      <c r="E460" s="185"/>
      <c r="F460" s="185"/>
      <c r="G460" s="185"/>
      <c r="H460" s="185"/>
      <c r="I460" s="185"/>
      <c r="J460" s="185"/>
      <c r="K460" s="185"/>
      <c r="L460" s="185"/>
      <c r="M460" s="185"/>
      <c r="N460" s="185"/>
      <c r="O460" s="185"/>
      <c r="P460" s="185"/>
    </row>
    <row r="461" spans="2:16" x14ac:dyDescent="0.2">
      <c r="B461" s="185"/>
      <c r="C461" s="185"/>
      <c r="D461" s="185"/>
      <c r="E461" s="185"/>
      <c r="F461" s="185"/>
      <c r="G461" s="185"/>
      <c r="H461" s="185"/>
      <c r="I461" s="185"/>
      <c r="J461" s="185"/>
      <c r="K461" s="185"/>
      <c r="L461" s="185"/>
      <c r="M461" s="185"/>
      <c r="N461" s="185"/>
      <c r="O461" s="185"/>
      <c r="P461" s="185"/>
    </row>
    <row r="462" spans="2:16" x14ac:dyDescent="0.2">
      <c r="B462" s="185"/>
      <c r="C462" s="185"/>
      <c r="D462" s="185"/>
      <c r="E462" s="185"/>
      <c r="F462" s="185"/>
      <c r="G462" s="185"/>
      <c r="H462" s="185"/>
      <c r="I462" s="185"/>
      <c r="J462" s="185"/>
      <c r="K462" s="185"/>
      <c r="L462" s="185"/>
      <c r="M462" s="185"/>
      <c r="N462" s="185"/>
      <c r="O462" s="185"/>
      <c r="P462" s="185"/>
    </row>
    <row r="463" spans="2:16" x14ac:dyDescent="0.2">
      <c r="B463" s="185"/>
      <c r="C463" s="185"/>
      <c r="D463" s="185"/>
      <c r="E463" s="185"/>
      <c r="F463" s="185"/>
      <c r="G463" s="185"/>
      <c r="H463" s="185"/>
      <c r="I463" s="185"/>
      <c r="J463" s="185"/>
      <c r="K463" s="185"/>
      <c r="L463" s="185"/>
      <c r="M463" s="185"/>
      <c r="N463" s="185"/>
      <c r="O463" s="185"/>
      <c r="P463" s="185"/>
    </row>
    <row r="464" spans="2:16" x14ac:dyDescent="0.2">
      <c r="B464" s="185"/>
      <c r="C464" s="185"/>
      <c r="D464" s="185"/>
      <c r="E464" s="185"/>
      <c r="F464" s="185"/>
      <c r="G464" s="185"/>
      <c r="H464" s="185"/>
      <c r="I464" s="185"/>
      <c r="J464" s="185"/>
      <c r="K464" s="185"/>
      <c r="L464" s="185"/>
      <c r="M464" s="185"/>
      <c r="N464" s="185"/>
      <c r="O464" s="185"/>
      <c r="P464" s="185"/>
    </row>
    <row r="465" spans="2:16" x14ac:dyDescent="0.2">
      <c r="B465" s="185"/>
      <c r="C465" s="185"/>
      <c r="D465" s="185"/>
      <c r="E465" s="185"/>
      <c r="F465" s="185"/>
      <c r="G465" s="185"/>
      <c r="H465" s="185"/>
      <c r="I465" s="185"/>
      <c r="J465" s="185"/>
      <c r="K465" s="185"/>
      <c r="L465" s="185"/>
      <c r="M465" s="185"/>
      <c r="N465" s="185"/>
      <c r="O465" s="185"/>
      <c r="P465" s="185"/>
    </row>
    <row r="466" spans="2:16" x14ac:dyDescent="0.2">
      <c r="B466" s="185"/>
      <c r="C466" s="185"/>
      <c r="D466" s="185"/>
      <c r="E466" s="185"/>
      <c r="F466" s="185"/>
      <c r="G466" s="185"/>
      <c r="H466" s="185"/>
      <c r="I466" s="185"/>
      <c r="J466" s="185"/>
      <c r="K466" s="185"/>
      <c r="L466" s="185"/>
      <c r="M466" s="185"/>
      <c r="N466" s="185"/>
      <c r="O466" s="185"/>
      <c r="P466" s="185"/>
    </row>
    <row r="467" spans="2:16" x14ac:dyDescent="0.2">
      <c r="B467" s="185"/>
      <c r="C467" s="185"/>
      <c r="D467" s="185"/>
      <c r="E467" s="185"/>
      <c r="F467" s="185"/>
      <c r="G467" s="185"/>
      <c r="H467" s="185"/>
      <c r="I467" s="185"/>
      <c r="J467" s="185"/>
      <c r="K467" s="185"/>
      <c r="L467" s="185"/>
      <c r="M467" s="185"/>
      <c r="N467" s="185"/>
      <c r="O467" s="185"/>
      <c r="P467" s="185"/>
    </row>
    <row r="468" spans="2:16" x14ac:dyDescent="0.2">
      <c r="B468" s="185"/>
      <c r="C468" s="185"/>
      <c r="D468" s="185"/>
      <c r="E468" s="185"/>
      <c r="F468" s="185"/>
      <c r="G468" s="185"/>
      <c r="H468" s="185"/>
      <c r="I468" s="185"/>
      <c r="J468" s="185"/>
      <c r="K468" s="185"/>
      <c r="L468" s="185"/>
      <c r="M468" s="185"/>
      <c r="N468" s="185"/>
      <c r="O468" s="185"/>
      <c r="P468" s="185"/>
    </row>
    <row r="469" spans="2:16" x14ac:dyDescent="0.2">
      <c r="B469" s="185"/>
      <c r="C469" s="185"/>
      <c r="D469" s="185"/>
      <c r="E469" s="185"/>
      <c r="F469" s="185"/>
      <c r="G469" s="185"/>
      <c r="H469" s="185"/>
      <c r="I469" s="185"/>
      <c r="J469" s="185"/>
      <c r="K469" s="185"/>
      <c r="L469" s="185"/>
      <c r="M469" s="185"/>
      <c r="N469" s="185"/>
      <c r="O469" s="185"/>
      <c r="P469" s="185"/>
    </row>
    <row r="470" spans="2:16" x14ac:dyDescent="0.2">
      <c r="B470" s="185"/>
      <c r="C470" s="185"/>
      <c r="D470" s="185"/>
      <c r="E470" s="185"/>
      <c r="F470" s="185"/>
      <c r="G470" s="185"/>
      <c r="H470" s="185"/>
      <c r="I470" s="185"/>
      <c r="J470" s="185"/>
      <c r="K470" s="185"/>
      <c r="L470" s="185"/>
      <c r="M470" s="185"/>
      <c r="N470" s="185"/>
      <c r="O470" s="185"/>
      <c r="P470" s="185"/>
    </row>
    <row r="471" spans="2:16" x14ac:dyDescent="0.2">
      <c r="B471" s="185"/>
      <c r="C471" s="185"/>
      <c r="D471" s="185"/>
      <c r="E471" s="185"/>
      <c r="F471" s="185"/>
      <c r="G471" s="185"/>
      <c r="H471" s="185"/>
      <c r="I471" s="185"/>
      <c r="J471" s="185"/>
      <c r="K471" s="185"/>
      <c r="L471" s="185"/>
      <c r="M471" s="185"/>
      <c r="N471" s="185"/>
      <c r="O471" s="185"/>
      <c r="P471" s="185"/>
    </row>
    <row r="472" spans="2:16" x14ac:dyDescent="0.2">
      <c r="B472" s="185"/>
      <c r="C472" s="185"/>
      <c r="D472" s="185"/>
      <c r="E472" s="185"/>
      <c r="F472" s="185"/>
      <c r="G472" s="185"/>
      <c r="H472" s="185"/>
      <c r="I472" s="185"/>
      <c r="J472" s="185"/>
      <c r="K472" s="185"/>
      <c r="L472" s="185"/>
      <c r="M472" s="185"/>
      <c r="N472" s="185"/>
      <c r="O472" s="185"/>
      <c r="P472" s="185"/>
    </row>
    <row r="473" spans="2:16" x14ac:dyDescent="0.2">
      <c r="B473" s="185"/>
      <c r="C473" s="185"/>
      <c r="D473" s="185"/>
      <c r="E473" s="185"/>
      <c r="F473" s="185"/>
      <c r="G473" s="185"/>
      <c r="H473" s="185"/>
      <c r="I473" s="185"/>
      <c r="J473" s="185"/>
      <c r="K473" s="185"/>
      <c r="L473" s="185"/>
      <c r="M473" s="185"/>
      <c r="N473" s="185"/>
      <c r="O473" s="185"/>
      <c r="P473" s="185"/>
    </row>
    <row r="474" spans="2:16" x14ac:dyDescent="0.2">
      <c r="B474" s="185"/>
      <c r="C474" s="185"/>
      <c r="D474" s="185"/>
      <c r="E474" s="185"/>
      <c r="F474" s="185"/>
      <c r="G474" s="185"/>
      <c r="H474" s="185"/>
      <c r="I474" s="185"/>
      <c r="J474" s="185"/>
      <c r="K474" s="185"/>
      <c r="L474" s="185"/>
      <c r="M474" s="185"/>
      <c r="N474" s="185"/>
      <c r="O474" s="185"/>
      <c r="P474" s="185"/>
    </row>
    <row r="475" spans="2:16" x14ac:dyDescent="0.2">
      <c r="B475" s="185"/>
      <c r="C475" s="185"/>
      <c r="D475" s="185"/>
      <c r="E475" s="185"/>
      <c r="F475" s="185"/>
      <c r="G475" s="185"/>
      <c r="H475" s="185"/>
      <c r="I475" s="185"/>
      <c r="J475" s="185"/>
      <c r="K475" s="185"/>
      <c r="L475" s="185"/>
      <c r="M475" s="185"/>
      <c r="N475" s="185"/>
      <c r="O475" s="185"/>
      <c r="P475" s="185"/>
    </row>
    <row r="476" spans="2:16" x14ac:dyDescent="0.2">
      <c r="B476" s="185"/>
      <c r="C476" s="185"/>
      <c r="D476" s="185"/>
      <c r="E476" s="185"/>
      <c r="F476" s="185"/>
      <c r="G476" s="185"/>
      <c r="H476" s="185"/>
      <c r="I476" s="185"/>
      <c r="J476" s="185"/>
      <c r="K476" s="185"/>
      <c r="L476" s="185"/>
      <c r="M476" s="185"/>
      <c r="N476" s="185"/>
      <c r="O476" s="185"/>
      <c r="P476" s="185"/>
    </row>
    <row r="477" spans="2:16" x14ac:dyDescent="0.2">
      <c r="B477" s="185"/>
      <c r="C477" s="185"/>
      <c r="D477" s="185"/>
      <c r="E477" s="185"/>
      <c r="F477" s="185"/>
      <c r="G477" s="185"/>
      <c r="H477" s="185"/>
      <c r="I477" s="185"/>
      <c r="J477" s="185"/>
      <c r="K477" s="185"/>
      <c r="L477" s="185"/>
      <c r="M477" s="185"/>
      <c r="N477" s="185"/>
      <c r="O477" s="185"/>
      <c r="P477" s="185"/>
    </row>
    <row r="478" spans="2:16" x14ac:dyDescent="0.2">
      <c r="B478" s="185"/>
      <c r="C478" s="185"/>
      <c r="D478" s="185"/>
      <c r="E478" s="185"/>
      <c r="F478" s="185"/>
      <c r="G478" s="185"/>
      <c r="H478" s="185"/>
      <c r="I478" s="185"/>
      <c r="J478" s="185"/>
      <c r="K478" s="185"/>
      <c r="L478" s="185"/>
      <c r="M478" s="185"/>
      <c r="N478" s="185"/>
      <c r="O478" s="185"/>
      <c r="P478" s="185"/>
    </row>
    <row r="479" spans="2:16" x14ac:dyDescent="0.2">
      <c r="B479" s="185"/>
      <c r="C479" s="185"/>
      <c r="D479" s="185"/>
      <c r="E479" s="185"/>
      <c r="F479" s="185"/>
      <c r="G479" s="185"/>
      <c r="H479" s="185"/>
      <c r="I479" s="185"/>
      <c r="J479" s="185"/>
      <c r="K479" s="185"/>
      <c r="L479" s="185"/>
      <c r="M479" s="185"/>
      <c r="N479" s="185"/>
      <c r="O479" s="185"/>
      <c r="P479" s="185"/>
    </row>
    <row r="480" spans="2:16" x14ac:dyDescent="0.2">
      <c r="B480" s="185"/>
      <c r="C480" s="185"/>
      <c r="D480" s="185"/>
      <c r="E480" s="185"/>
      <c r="F480" s="185"/>
      <c r="G480" s="185"/>
      <c r="H480" s="185"/>
      <c r="I480" s="185"/>
      <c r="J480" s="185"/>
      <c r="K480" s="185"/>
      <c r="L480" s="185"/>
      <c r="M480" s="185"/>
      <c r="N480" s="185"/>
      <c r="O480" s="185"/>
      <c r="P480" s="185"/>
    </row>
    <row r="481" spans="2:16" x14ac:dyDescent="0.2">
      <c r="B481" s="185"/>
      <c r="C481" s="185"/>
      <c r="D481" s="185"/>
      <c r="E481" s="185"/>
      <c r="F481" s="185"/>
      <c r="G481" s="185"/>
      <c r="H481" s="185"/>
      <c r="I481" s="185"/>
      <c r="J481" s="185"/>
      <c r="K481" s="185"/>
      <c r="L481" s="185"/>
      <c r="M481" s="185"/>
      <c r="N481" s="185"/>
      <c r="O481" s="185"/>
      <c r="P481" s="185"/>
    </row>
    <row r="482" spans="2:16" x14ac:dyDescent="0.2">
      <c r="B482" s="185"/>
      <c r="C482" s="185"/>
      <c r="D482" s="185"/>
      <c r="E482" s="185"/>
      <c r="F482" s="185"/>
      <c r="G482" s="185"/>
      <c r="H482" s="185"/>
      <c r="I482" s="185"/>
      <c r="J482" s="185"/>
      <c r="K482" s="185"/>
      <c r="L482" s="185"/>
      <c r="M482" s="185"/>
      <c r="N482" s="185"/>
      <c r="O482" s="185"/>
      <c r="P482" s="185"/>
    </row>
    <row r="483" spans="2:16" x14ac:dyDescent="0.2">
      <c r="B483" s="185"/>
      <c r="C483" s="185"/>
      <c r="D483" s="185"/>
      <c r="E483" s="185"/>
      <c r="F483" s="185"/>
      <c r="G483" s="185"/>
      <c r="H483" s="185"/>
      <c r="I483" s="185"/>
      <c r="J483" s="185"/>
      <c r="K483" s="185"/>
      <c r="L483" s="185"/>
      <c r="M483" s="185"/>
      <c r="N483" s="185"/>
      <c r="O483" s="185"/>
      <c r="P483" s="185"/>
    </row>
    <row r="484" spans="2:16" x14ac:dyDescent="0.2">
      <c r="B484" s="185"/>
      <c r="C484" s="185"/>
      <c r="D484" s="185"/>
      <c r="E484" s="185"/>
      <c r="F484" s="185"/>
      <c r="G484" s="185"/>
      <c r="H484" s="185"/>
      <c r="I484" s="185"/>
      <c r="J484" s="185"/>
      <c r="K484" s="185"/>
      <c r="L484" s="185"/>
      <c r="M484" s="185"/>
      <c r="N484" s="185"/>
      <c r="O484" s="185"/>
      <c r="P484" s="185"/>
    </row>
    <row r="485" spans="2:16" x14ac:dyDescent="0.2">
      <c r="B485" s="185"/>
      <c r="C485" s="185"/>
      <c r="D485" s="185"/>
      <c r="E485" s="185"/>
      <c r="F485" s="185"/>
      <c r="G485" s="185"/>
      <c r="H485" s="185"/>
      <c r="I485" s="185"/>
      <c r="J485" s="185"/>
      <c r="K485" s="185"/>
      <c r="L485" s="185"/>
      <c r="M485" s="185"/>
      <c r="N485" s="185"/>
      <c r="O485" s="185"/>
      <c r="P485" s="185"/>
    </row>
    <row r="486" spans="2:16" x14ac:dyDescent="0.2">
      <c r="B486" s="185"/>
      <c r="C486" s="185"/>
      <c r="D486" s="185"/>
      <c r="E486" s="185"/>
      <c r="F486" s="185"/>
      <c r="G486" s="185"/>
      <c r="H486" s="185"/>
      <c r="I486" s="185"/>
      <c r="J486" s="185"/>
      <c r="K486" s="185"/>
      <c r="L486" s="185"/>
      <c r="M486" s="185"/>
      <c r="N486" s="185"/>
      <c r="O486" s="185"/>
      <c r="P486" s="185"/>
    </row>
    <row r="487" spans="2:16" x14ac:dyDescent="0.2">
      <c r="B487" s="185"/>
      <c r="C487" s="185"/>
      <c r="D487" s="185"/>
      <c r="E487" s="185"/>
      <c r="F487" s="185"/>
      <c r="G487" s="185"/>
      <c r="H487" s="185"/>
      <c r="I487" s="185"/>
      <c r="J487" s="185"/>
      <c r="K487" s="185"/>
      <c r="L487" s="185"/>
      <c r="M487" s="185"/>
      <c r="N487" s="185"/>
      <c r="O487" s="185"/>
      <c r="P487" s="185"/>
    </row>
    <row r="488" spans="2:16" x14ac:dyDescent="0.2">
      <c r="B488" s="185"/>
      <c r="C488" s="185"/>
      <c r="D488" s="185"/>
      <c r="E488" s="185"/>
      <c r="F488" s="185"/>
      <c r="G488" s="185"/>
      <c r="H488" s="185"/>
      <c r="I488" s="185"/>
      <c r="J488" s="185"/>
      <c r="K488" s="185"/>
      <c r="L488" s="185"/>
      <c r="M488" s="185"/>
      <c r="N488" s="185"/>
      <c r="O488" s="185"/>
      <c r="P488" s="185"/>
    </row>
    <row r="489" spans="2:16" x14ac:dyDescent="0.2">
      <c r="B489" s="185"/>
      <c r="C489" s="185"/>
      <c r="D489" s="185"/>
      <c r="E489" s="185"/>
      <c r="F489" s="185"/>
      <c r="G489" s="185"/>
      <c r="H489" s="185"/>
      <c r="I489" s="185"/>
      <c r="J489" s="185"/>
      <c r="K489" s="185"/>
      <c r="L489" s="185"/>
      <c r="M489" s="185"/>
      <c r="N489" s="185"/>
      <c r="O489" s="185"/>
      <c r="P489" s="185"/>
    </row>
    <row r="490" spans="2:16" x14ac:dyDescent="0.2">
      <c r="B490" s="185"/>
      <c r="C490" s="185"/>
      <c r="D490" s="185"/>
      <c r="E490" s="185"/>
      <c r="F490" s="185"/>
      <c r="G490" s="185"/>
      <c r="H490" s="185"/>
      <c r="I490" s="185"/>
      <c r="J490" s="185"/>
      <c r="K490" s="185"/>
      <c r="L490" s="185"/>
      <c r="M490" s="185"/>
      <c r="N490" s="185"/>
      <c r="O490" s="185"/>
      <c r="P490" s="185"/>
    </row>
    <row r="491" spans="2:16" x14ac:dyDescent="0.2">
      <c r="B491" s="185"/>
      <c r="C491" s="185"/>
      <c r="D491" s="185"/>
      <c r="E491" s="185"/>
      <c r="F491" s="185"/>
      <c r="G491" s="185"/>
      <c r="H491" s="185"/>
      <c r="I491" s="185"/>
      <c r="J491" s="185"/>
      <c r="K491" s="185"/>
      <c r="L491" s="185"/>
      <c r="M491" s="185"/>
      <c r="N491" s="185"/>
      <c r="O491" s="185"/>
      <c r="P491" s="185"/>
    </row>
    <row r="492" spans="2:16" x14ac:dyDescent="0.2">
      <c r="B492" s="185"/>
      <c r="C492" s="185"/>
      <c r="D492" s="185"/>
      <c r="E492" s="185"/>
      <c r="F492" s="185"/>
      <c r="G492" s="185"/>
      <c r="H492" s="185"/>
      <c r="I492" s="185"/>
      <c r="J492" s="185"/>
      <c r="K492" s="185"/>
      <c r="L492" s="185"/>
      <c r="M492" s="185"/>
      <c r="N492" s="185"/>
      <c r="O492" s="185"/>
      <c r="P492" s="185"/>
    </row>
    <row r="493" spans="2:16" x14ac:dyDescent="0.2">
      <c r="B493" s="185"/>
      <c r="C493" s="185"/>
      <c r="D493" s="185"/>
      <c r="E493" s="185"/>
      <c r="F493" s="185"/>
      <c r="G493" s="185"/>
      <c r="H493" s="185"/>
      <c r="I493" s="185"/>
      <c r="J493" s="185"/>
      <c r="K493" s="185"/>
      <c r="L493" s="185"/>
      <c r="M493" s="185"/>
      <c r="N493" s="185"/>
      <c r="O493" s="185"/>
      <c r="P493" s="185"/>
    </row>
    <row r="494" spans="2:16" x14ac:dyDescent="0.2">
      <c r="B494" s="185"/>
      <c r="C494" s="185"/>
      <c r="D494" s="185"/>
      <c r="E494" s="185"/>
      <c r="F494" s="185"/>
      <c r="G494" s="185"/>
      <c r="H494" s="185"/>
      <c r="I494" s="185"/>
      <c r="J494" s="185"/>
      <c r="K494" s="185"/>
      <c r="L494" s="185"/>
      <c r="M494" s="185"/>
      <c r="N494" s="185"/>
      <c r="O494" s="185"/>
      <c r="P494" s="185"/>
    </row>
    <row r="495" spans="2:16" x14ac:dyDescent="0.2">
      <c r="B495" s="185"/>
      <c r="C495" s="185"/>
      <c r="D495" s="185"/>
      <c r="E495" s="185"/>
      <c r="F495" s="185"/>
      <c r="G495" s="185"/>
      <c r="H495" s="185"/>
      <c r="I495" s="185"/>
      <c r="J495" s="185"/>
      <c r="K495" s="185"/>
      <c r="L495" s="185"/>
      <c r="M495" s="185"/>
      <c r="N495" s="185"/>
      <c r="O495" s="185"/>
      <c r="P495" s="185"/>
    </row>
    <row r="496" spans="2:16" x14ac:dyDescent="0.2">
      <c r="B496" s="185"/>
      <c r="C496" s="185"/>
      <c r="D496" s="185"/>
      <c r="E496" s="185"/>
      <c r="F496" s="185"/>
      <c r="G496" s="185"/>
      <c r="H496" s="185"/>
      <c r="I496" s="185"/>
      <c r="J496" s="185"/>
      <c r="K496" s="185"/>
      <c r="L496" s="185"/>
      <c r="M496" s="185"/>
      <c r="N496" s="185"/>
      <c r="O496" s="185"/>
      <c r="P496" s="185"/>
    </row>
    <row r="497" spans="2:16" x14ac:dyDescent="0.2">
      <c r="B497" s="185"/>
      <c r="C497" s="185"/>
      <c r="D497" s="185"/>
      <c r="E497" s="185"/>
      <c r="F497" s="185"/>
      <c r="G497" s="185"/>
      <c r="H497" s="185"/>
      <c r="I497" s="185"/>
      <c r="J497" s="185"/>
      <c r="K497" s="185"/>
      <c r="L497" s="185"/>
      <c r="M497" s="185"/>
      <c r="N497" s="185"/>
      <c r="O497" s="185"/>
      <c r="P497" s="185"/>
    </row>
    <row r="498" spans="2:16" x14ac:dyDescent="0.2">
      <c r="B498" s="185"/>
      <c r="C498" s="185"/>
      <c r="D498" s="185"/>
      <c r="E498" s="185"/>
      <c r="F498" s="185"/>
      <c r="G498" s="185"/>
      <c r="H498" s="185"/>
      <c r="I498" s="185"/>
      <c r="J498" s="185"/>
      <c r="K498" s="185"/>
      <c r="L498" s="185"/>
      <c r="M498" s="185"/>
      <c r="N498" s="185"/>
      <c r="O498" s="185"/>
      <c r="P498" s="185"/>
    </row>
    <row r="499" spans="2:16" x14ac:dyDescent="0.2">
      <c r="B499" s="185"/>
      <c r="C499" s="185"/>
      <c r="D499" s="185"/>
      <c r="E499" s="185"/>
      <c r="F499" s="185"/>
      <c r="G499" s="185"/>
      <c r="H499" s="185"/>
      <c r="I499" s="185"/>
      <c r="J499" s="185"/>
      <c r="K499" s="185"/>
      <c r="L499" s="185"/>
      <c r="M499" s="185"/>
      <c r="N499" s="185"/>
      <c r="O499" s="185"/>
      <c r="P499" s="185"/>
    </row>
    <row r="500" spans="2:16" x14ac:dyDescent="0.2">
      <c r="B500" s="185"/>
      <c r="C500" s="185"/>
      <c r="D500" s="185"/>
      <c r="E500" s="185"/>
      <c r="F500" s="185"/>
      <c r="G500" s="185"/>
      <c r="H500" s="185"/>
      <c r="I500" s="185"/>
      <c r="J500" s="185"/>
      <c r="K500" s="185"/>
      <c r="L500" s="185"/>
      <c r="M500" s="185"/>
      <c r="N500" s="185"/>
      <c r="O500" s="185"/>
      <c r="P500" s="185"/>
    </row>
    <row r="501" spans="2:16" x14ac:dyDescent="0.2">
      <c r="B501" s="185"/>
      <c r="C501" s="185"/>
      <c r="D501" s="185"/>
      <c r="E501" s="185"/>
      <c r="F501" s="185"/>
      <c r="G501" s="185"/>
      <c r="H501" s="185"/>
      <c r="I501" s="185"/>
      <c r="J501" s="185"/>
      <c r="K501" s="185"/>
      <c r="L501" s="185"/>
      <c r="M501" s="185"/>
      <c r="N501" s="185"/>
      <c r="O501" s="185"/>
      <c r="P501" s="185"/>
    </row>
    <row r="502" spans="2:16" x14ac:dyDescent="0.2">
      <c r="B502" s="185"/>
      <c r="C502" s="185"/>
      <c r="D502" s="185"/>
      <c r="E502" s="185"/>
      <c r="F502" s="185"/>
      <c r="G502" s="185"/>
      <c r="H502" s="185"/>
      <c r="I502" s="185"/>
      <c r="J502" s="185"/>
      <c r="K502" s="185"/>
      <c r="L502" s="185"/>
      <c r="M502" s="185"/>
      <c r="N502" s="185"/>
      <c r="O502" s="185"/>
      <c r="P502" s="185"/>
    </row>
    <row r="503" spans="2:16" x14ac:dyDescent="0.2">
      <c r="B503" s="185"/>
      <c r="C503" s="185"/>
      <c r="D503" s="185"/>
      <c r="E503" s="185"/>
      <c r="F503" s="185"/>
      <c r="G503" s="185"/>
      <c r="H503" s="185"/>
      <c r="I503" s="185"/>
      <c r="J503" s="185"/>
      <c r="K503" s="185"/>
      <c r="L503" s="185"/>
      <c r="M503" s="185"/>
      <c r="N503" s="185"/>
      <c r="O503" s="185"/>
      <c r="P503" s="185"/>
    </row>
    <row r="504" spans="2:16" x14ac:dyDescent="0.2">
      <c r="B504" s="185"/>
      <c r="C504" s="185"/>
      <c r="D504" s="185"/>
      <c r="E504" s="185"/>
      <c r="F504" s="185"/>
      <c r="G504" s="185"/>
      <c r="H504" s="185"/>
      <c r="I504" s="185"/>
      <c r="J504" s="185"/>
      <c r="K504" s="185"/>
      <c r="L504" s="185"/>
      <c r="M504" s="185"/>
      <c r="N504" s="185"/>
      <c r="O504" s="185"/>
      <c r="P504" s="185"/>
    </row>
    <row r="505" spans="2:16" x14ac:dyDescent="0.2">
      <c r="B505" s="185"/>
      <c r="C505" s="185"/>
      <c r="D505" s="185"/>
      <c r="E505" s="185"/>
      <c r="F505" s="185"/>
      <c r="G505" s="185"/>
      <c r="H505" s="185"/>
      <c r="I505" s="185"/>
      <c r="J505" s="185"/>
      <c r="K505" s="185"/>
      <c r="L505" s="185"/>
      <c r="M505" s="185"/>
      <c r="N505" s="185"/>
      <c r="O505" s="185"/>
      <c r="P505" s="185"/>
    </row>
    <row r="506" spans="2:16" x14ac:dyDescent="0.2">
      <c r="B506" s="185"/>
      <c r="C506" s="185"/>
      <c r="D506" s="185"/>
      <c r="E506" s="185"/>
      <c r="F506" s="185"/>
      <c r="G506" s="185"/>
      <c r="H506" s="185"/>
      <c r="I506" s="185"/>
      <c r="J506" s="185"/>
      <c r="K506" s="185"/>
      <c r="L506" s="185"/>
      <c r="M506" s="185"/>
      <c r="N506" s="185"/>
      <c r="O506" s="185"/>
      <c r="P506" s="185"/>
    </row>
    <row r="507" spans="2:16" x14ac:dyDescent="0.2">
      <c r="B507" s="185"/>
      <c r="C507" s="185"/>
      <c r="D507" s="185"/>
      <c r="E507" s="185"/>
      <c r="F507" s="185"/>
      <c r="G507" s="185"/>
      <c r="H507" s="185"/>
      <c r="I507" s="185"/>
      <c r="J507" s="185"/>
      <c r="K507" s="185"/>
      <c r="L507" s="185"/>
      <c r="M507" s="185"/>
      <c r="N507" s="185"/>
      <c r="O507" s="185"/>
      <c r="P507" s="185"/>
    </row>
    <row r="508" spans="2:16" x14ac:dyDescent="0.2">
      <c r="B508" s="185"/>
      <c r="C508" s="185"/>
      <c r="D508" s="185"/>
      <c r="E508" s="185"/>
      <c r="F508" s="185"/>
      <c r="G508" s="185"/>
      <c r="H508" s="185"/>
      <c r="I508" s="185"/>
      <c r="J508" s="185"/>
      <c r="K508" s="185"/>
      <c r="L508" s="185"/>
      <c r="M508" s="185"/>
      <c r="N508" s="185"/>
      <c r="O508" s="185"/>
      <c r="P508" s="185"/>
    </row>
    <row r="509" spans="2:16" x14ac:dyDescent="0.2">
      <c r="B509" s="185"/>
      <c r="C509" s="185"/>
      <c r="D509" s="185"/>
      <c r="E509" s="185"/>
      <c r="F509" s="185"/>
      <c r="G509" s="185"/>
      <c r="H509" s="185"/>
      <c r="I509" s="185"/>
      <c r="J509" s="185"/>
      <c r="K509" s="185"/>
      <c r="L509" s="185"/>
      <c r="M509" s="185"/>
      <c r="N509" s="185"/>
      <c r="O509" s="185"/>
      <c r="P509" s="185"/>
    </row>
    <row r="510" spans="2:16" x14ac:dyDescent="0.2">
      <c r="B510" s="185"/>
      <c r="C510" s="185"/>
      <c r="D510" s="185"/>
      <c r="E510" s="185"/>
      <c r="F510" s="185"/>
      <c r="G510" s="185"/>
      <c r="H510" s="185"/>
      <c r="I510" s="185"/>
      <c r="J510" s="185"/>
      <c r="K510" s="185"/>
      <c r="L510" s="185"/>
      <c r="M510" s="185"/>
      <c r="N510" s="185"/>
      <c r="O510" s="185"/>
      <c r="P510" s="185"/>
    </row>
    <row r="511" spans="2:16" x14ac:dyDescent="0.2">
      <c r="B511" s="185"/>
      <c r="C511" s="185"/>
      <c r="D511" s="185"/>
      <c r="E511" s="185"/>
      <c r="F511" s="185"/>
      <c r="G511" s="185"/>
      <c r="H511" s="185"/>
      <c r="I511" s="185"/>
      <c r="J511" s="185"/>
      <c r="K511" s="185"/>
      <c r="L511" s="185"/>
      <c r="M511" s="185"/>
      <c r="N511" s="185"/>
      <c r="O511" s="185"/>
      <c r="P511" s="185"/>
    </row>
    <row r="512" spans="2:16" x14ac:dyDescent="0.2">
      <c r="B512" s="185"/>
      <c r="C512" s="185"/>
      <c r="D512" s="185"/>
      <c r="E512" s="185"/>
      <c r="F512" s="185"/>
      <c r="G512" s="185"/>
      <c r="H512" s="185"/>
      <c r="I512" s="185"/>
      <c r="J512" s="185"/>
      <c r="K512" s="185"/>
      <c r="L512" s="185"/>
      <c r="M512" s="185"/>
      <c r="N512" s="185"/>
      <c r="O512" s="185"/>
      <c r="P512" s="185"/>
    </row>
    <row r="513" spans="2:16" x14ac:dyDescent="0.2">
      <c r="B513" s="185"/>
      <c r="C513" s="185"/>
      <c r="D513" s="185"/>
      <c r="E513" s="185"/>
      <c r="F513" s="185"/>
      <c r="G513" s="185"/>
      <c r="H513" s="185"/>
      <c r="I513" s="185"/>
      <c r="J513" s="185"/>
      <c r="K513" s="185"/>
      <c r="L513" s="185"/>
      <c r="M513" s="185"/>
      <c r="N513" s="185"/>
      <c r="O513" s="185"/>
      <c r="P513" s="185"/>
    </row>
    <row r="514" spans="2:16" x14ac:dyDescent="0.2">
      <c r="B514" s="185"/>
      <c r="C514" s="185"/>
      <c r="D514" s="185"/>
      <c r="E514" s="185"/>
      <c r="F514" s="185"/>
      <c r="G514" s="185"/>
      <c r="H514" s="185"/>
      <c r="I514" s="185"/>
      <c r="J514" s="185"/>
      <c r="K514" s="185"/>
      <c r="L514" s="185"/>
      <c r="M514" s="185"/>
      <c r="N514" s="185"/>
      <c r="O514" s="185"/>
      <c r="P514" s="185"/>
    </row>
    <row r="515" spans="2:16" x14ac:dyDescent="0.2">
      <c r="B515" s="185"/>
      <c r="C515" s="185"/>
      <c r="D515" s="185"/>
      <c r="E515" s="185"/>
      <c r="F515" s="185"/>
      <c r="G515" s="185"/>
      <c r="H515" s="185"/>
      <c r="I515" s="185"/>
      <c r="J515" s="185"/>
      <c r="K515" s="185"/>
      <c r="L515" s="185"/>
      <c r="M515" s="185"/>
      <c r="N515" s="185"/>
      <c r="O515" s="185"/>
      <c r="P515" s="185"/>
    </row>
    <row r="516" spans="2:16" x14ac:dyDescent="0.2">
      <c r="B516" s="185"/>
      <c r="C516" s="185"/>
      <c r="D516" s="185"/>
      <c r="E516" s="185"/>
      <c r="F516" s="185"/>
      <c r="G516" s="185"/>
      <c r="H516" s="185"/>
      <c r="I516" s="185"/>
      <c r="J516" s="185"/>
      <c r="K516" s="185"/>
      <c r="L516" s="185"/>
      <c r="M516" s="185"/>
      <c r="N516" s="185"/>
      <c r="O516" s="185"/>
      <c r="P516" s="185"/>
    </row>
    <row r="517" spans="2:16" x14ac:dyDescent="0.2">
      <c r="B517" s="185"/>
      <c r="C517" s="185"/>
      <c r="D517" s="185"/>
      <c r="E517" s="185"/>
      <c r="F517" s="185"/>
      <c r="G517" s="185"/>
      <c r="H517" s="185"/>
      <c r="I517" s="185"/>
      <c r="J517" s="185"/>
      <c r="K517" s="185"/>
      <c r="L517" s="185"/>
      <c r="M517" s="185"/>
      <c r="N517" s="185"/>
      <c r="O517" s="185"/>
      <c r="P517" s="185"/>
    </row>
    <row r="518" spans="2:16" x14ac:dyDescent="0.2">
      <c r="B518" s="185"/>
      <c r="C518" s="185"/>
      <c r="D518" s="185"/>
      <c r="E518" s="185"/>
      <c r="F518" s="185"/>
      <c r="G518" s="185"/>
      <c r="H518" s="185"/>
      <c r="I518" s="185"/>
      <c r="J518" s="185"/>
      <c r="K518" s="185"/>
      <c r="L518" s="185"/>
      <c r="M518" s="185"/>
      <c r="N518" s="185"/>
      <c r="O518" s="185"/>
      <c r="P518" s="185"/>
    </row>
    <row r="519" spans="2:16" x14ac:dyDescent="0.2">
      <c r="B519" s="185"/>
      <c r="C519" s="185"/>
      <c r="D519" s="185"/>
      <c r="E519" s="185"/>
      <c r="F519" s="185"/>
      <c r="G519" s="185"/>
      <c r="H519" s="185"/>
      <c r="I519" s="185"/>
      <c r="J519" s="185"/>
      <c r="K519" s="185"/>
      <c r="L519" s="185"/>
      <c r="M519" s="185"/>
      <c r="N519" s="185"/>
      <c r="O519" s="185"/>
      <c r="P519" s="185"/>
    </row>
    <row r="520" spans="2:16" x14ac:dyDescent="0.2">
      <c r="B520" s="185"/>
      <c r="C520" s="185"/>
      <c r="D520" s="185"/>
      <c r="E520" s="185"/>
      <c r="F520" s="185"/>
      <c r="G520" s="185"/>
      <c r="H520" s="185"/>
      <c r="I520" s="185"/>
      <c r="J520" s="185"/>
      <c r="K520" s="185"/>
      <c r="L520" s="185"/>
      <c r="M520" s="185"/>
      <c r="N520" s="185"/>
      <c r="O520" s="185"/>
      <c r="P520" s="185"/>
    </row>
    <row r="521" spans="2:16" x14ac:dyDescent="0.2">
      <c r="B521" s="185"/>
      <c r="C521" s="185"/>
      <c r="D521" s="185"/>
      <c r="E521" s="185"/>
      <c r="F521" s="185"/>
      <c r="G521" s="185"/>
      <c r="H521" s="185"/>
      <c r="I521" s="185"/>
      <c r="J521" s="185"/>
      <c r="K521" s="185"/>
      <c r="L521" s="185"/>
      <c r="M521" s="185"/>
      <c r="N521" s="185"/>
      <c r="O521" s="185"/>
      <c r="P521" s="185"/>
    </row>
    <row r="522" spans="2:16" x14ac:dyDescent="0.2">
      <c r="B522" s="185"/>
      <c r="C522" s="185"/>
      <c r="D522" s="185"/>
      <c r="E522" s="185"/>
      <c r="F522" s="185"/>
      <c r="G522" s="185"/>
      <c r="H522" s="185"/>
      <c r="I522" s="185"/>
      <c r="J522" s="185"/>
      <c r="K522" s="185"/>
      <c r="L522" s="185"/>
      <c r="M522" s="185"/>
      <c r="N522" s="185"/>
      <c r="O522" s="185"/>
      <c r="P522" s="185"/>
    </row>
    <row r="523" spans="2:16" x14ac:dyDescent="0.2">
      <c r="B523" s="185"/>
      <c r="C523" s="185"/>
      <c r="D523" s="185"/>
      <c r="E523" s="185"/>
      <c r="F523" s="185"/>
      <c r="G523" s="185"/>
      <c r="H523" s="185"/>
      <c r="I523" s="185"/>
      <c r="J523" s="185"/>
      <c r="K523" s="185"/>
      <c r="L523" s="185"/>
      <c r="M523" s="185"/>
      <c r="N523" s="185"/>
      <c r="O523" s="185"/>
      <c r="P523" s="185"/>
    </row>
    <row r="524" spans="2:16" x14ac:dyDescent="0.2">
      <c r="B524" s="185"/>
      <c r="C524" s="185"/>
      <c r="D524" s="185"/>
      <c r="E524" s="185"/>
      <c r="F524" s="185"/>
      <c r="G524" s="185"/>
      <c r="H524" s="185"/>
      <c r="I524" s="185"/>
      <c r="J524" s="185"/>
      <c r="K524" s="185"/>
      <c r="L524" s="185"/>
      <c r="M524" s="185"/>
      <c r="N524" s="185"/>
      <c r="O524" s="185"/>
      <c r="P524" s="185"/>
    </row>
    <row r="525" spans="2:16" x14ac:dyDescent="0.2">
      <c r="B525" s="185"/>
      <c r="C525" s="185"/>
      <c r="D525" s="185"/>
      <c r="E525" s="185"/>
      <c r="F525" s="185"/>
      <c r="G525" s="185"/>
      <c r="H525" s="185"/>
      <c r="I525" s="185"/>
      <c r="J525" s="185"/>
      <c r="K525" s="185"/>
      <c r="L525" s="185"/>
      <c r="M525" s="185"/>
      <c r="N525" s="185"/>
      <c r="O525" s="185"/>
      <c r="P525" s="185"/>
    </row>
    <row r="526" spans="2:16" x14ac:dyDescent="0.2">
      <c r="B526" s="185"/>
      <c r="C526" s="185"/>
      <c r="D526" s="185"/>
      <c r="E526" s="185"/>
      <c r="F526" s="185"/>
      <c r="G526" s="185"/>
      <c r="H526" s="185"/>
      <c r="I526" s="185"/>
      <c r="J526" s="185"/>
      <c r="K526" s="185"/>
      <c r="L526" s="185"/>
      <c r="M526" s="185"/>
      <c r="N526" s="185"/>
      <c r="O526" s="185"/>
      <c r="P526" s="185"/>
    </row>
    <row r="527" spans="2:16" x14ac:dyDescent="0.2">
      <c r="B527" s="185"/>
      <c r="C527" s="185"/>
      <c r="D527" s="185"/>
      <c r="E527" s="185"/>
      <c r="F527" s="185"/>
      <c r="G527" s="185"/>
      <c r="H527" s="185"/>
      <c r="I527" s="185"/>
      <c r="J527" s="185"/>
      <c r="K527" s="185"/>
      <c r="L527" s="185"/>
      <c r="M527" s="185"/>
      <c r="N527" s="185"/>
      <c r="O527" s="185"/>
      <c r="P527" s="185"/>
    </row>
    <row r="528" spans="2:16" x14ac:dyDescent="0.2">
      <c r="B528" s="185"/>
      <c r="C528" s="185"/>
      <c r="D528" s="185"/>
      <c r="E528" s="185"/>
      <c r="F528" s="185"/>
      <c r="G528" s="185"/>
      <c r="H528" s="185"/>
      <c r="I528" s="185"/>
      <c r="J528" s="185"/>
      <c r="K528" s="185"/>
      <c r="L528" s="185"/>
      <c r="M528" s="185"/>
      <c r="N528" s="185"/>
      <c r="O528" s="185"/>
      <c r="P528" s="185"/>
    </row>
    <row r="529" spans="2:16" x14ac:dyDescent="0.2">
      <c r="B529" s="185"/>
      <c r="C529" s="185"/>
      <c r="D529" s="185"/>
      <c r="E529" s="185"/>
      <c r="F529" s="185"/>
      <c r="G529" s="185"/>
      <c r="H529" s="185"/>
      <c r="I529" s="185"/>
      <c r="J529" s="185"/>
      <c r="K529" s="185"/>
      <c r="L529" s="185"/>
      <c r="M529" s="185"/>
      <c r="N529" s="185"/>
      <c r="O529" s="185"/>
      <c r="P529" s="185"/>
    </row>
    <row r="530" spans="2:16" x14ac:dyDescent="0.2">
      <c r="B530" s="185"/>
      <c r="C530" s="185"/>
      <c r="D530" s="185"/>
      <c r="E530" s="185"/>
      <c r="F530" s="185"/>
      <c r="G530" s="185"/>
      <c r="H530" s="185"/>
      <c r="I530" s="185"/>
      <c r="J530" s="185"/>
      <c r="K530" s="185"/>
      <c r="L530" s="185"/>
      <c r="M530" s="185"/>
      <c r="N530" s="185"/>
      <c r="O530" s="185"/>
      <c r="P530" s="185"/>
    </row>
    <row r="531" spans="2:16" x14ac:dyDescent="0.2">
      <c r="B531" s="185"/>
      <c r="C531" s="185"/>
      <c r="D531" s="185"/>
      <c r="E531" s="185"/>
      <c r="F531" s="185"/>
      <c r="G531" s="185"/>
      <c r="H531" s="185"/>
      <c r="I531" s="185"/>
      <c r="J531" s="185"/>
      <c r="K531" s="185"/>
      <c r="L531" s="185"/>
      <c r="M531" s="185"/>
      <c r="N531" s="185"/>
      <c r="O531" s="185"/>
      <c r="P531" s="185"/>
    </row>
    <row r="532" spans="2:16" x14ac:dyDescent="0.2">
      <c r="B532" s="185"/>
      <c r="C532" s="185"/>
      <c r="D532" s="185"/>
      <c r="E532" s="185"/>
      <c r="F532" s="185"/>
      <c r="G532" s="185"/>
      <c r="H532" s="185"/>
      <c r="I532" s="185"/>
      <c r="J532" s="185"/>
      <c r="K532" s="185"/>
      <c r="L532" s="185"/>
      <c r="M532" s="185"/>
      <c r="N532" s="185"/>
      <c r="O532" s="185"/>
      <c r="P532" s="185"/>
    </row>
    <row r="533" spans="2:16" x14ac:dyDescent="0.2">
      <c r="B533" s="185"/>
      <c r="C533" s="185"/>
      <c r="D533" s="185"/>
      <c r="E533" s="185"/>
      <c r="F533" s="185"/>
      <c r="G533" s="185"/>
      <c r="H533" s="185"/>
      <c r="I533" s="185"/>
      <c r="J533" s="185"/>
      <c r="K533" s="185"/>
      <c r="L533" s="185"/>
      <c r="M533" s="185"/>
      <c r="N533" s="185"/>
      <c r="O533" s="185"/>
      <c r="P533" s="185"/>
    </row>
    <row r="534" spans="2:16" x14ac:dyDescent="0.2">
      <c r="B534" s="185"/>
      <c r="C534" s="185"/>
      <c r="D534" s="185"/>
      <c r="E534" s="185"/>
      <c r="F534" s="185"/>
      <c r="G534" s="185"/>
      <c r="H534" s="185"/>
      <c r="I534" s="185"/>
      <c r="J534" s="185"/>
      <c r="K534" s="185"/>
      <c r="L534" s="185"/>
      <c r="M534" s="185"/>
      <c r="N534" s="185"/>
      <c r="O534" s="185"/>
      <c r="P534" s="185"/>
    </row>
    <row r="535" spans="2:16" x14ac:dyDescent="0.2">
      <c r="B535" s="185"/>
      <c r="C535" s="185"/>
      <c r="D535" s="185"/>
      <c r="E535" s="185"/>
      <c r="F535" s="185"/>
      <c r="G535" s="185"/>
      <c r="H535" s="185"/>
      <c r="I535" s="185"/>
      <c r="J535" s="185"/>
      <c r="K535" s="185"/>
      <c r="L535" s="185"/>
      <c r="M535" s="185"/>
      <c r="N535" s="185"/>
      <c r="O535" s="185"/>
      <c r="P535" s="185"/>
    </row>
    <row r="536" spans="2:16" x14ac:dyDescent="0.2">
      <c r="B536" s="185"/>
      <c r="C536" s="185"/>
      <c r="D536" s="185"/>
      <c r="E536" s="185"/>
      <c r="F536" s="185"/>
      <c r="G536" s="185"/>
      <c r="H536" s="185"/>
      <c r="I536" s="185"/>
      <c r="J536" s="185"/>
      <c r="K536" s="185"/>
      <c r="L536" s="185"/>
      <c r="M536" s="185"/>
      <c r="N536" s="185"/>
      <c r="O536" s="185"/>
      <c r="P536" s="185"/>
    </row>
    <row r="537" spans="2:16" x14ac:dyDescent="0.2">
      <c r="B537" s="185"/>
      <c r="C537" s="185"/>
      <c r="D537" s="185"/>
      <c r="E537" s="185"/>
      <c r="F537" s="185"/>
      <c r="G537" s="185"/>
      <c r="H537" s="185"/>
      <c r="I537" s="185"/>
      <c r="J537" s="185"/>
      <c r="K537" s="185"/>
      <c r="L537" s="185"/>
      <c r="M537" s="185"/>
      <c r="N537" s="185"/>
      <c r="O537" s="185"/>
      <c r="P537" s="185"/>
    </row>
    <row r="538" spans="2:16" x14ac:dyDescent="0.2">
      <c r="B538" s="185"/>
      <c r="C538" s="185"/>
      <c r="D538" s="185"/>
      <c r="E538" s="185"/>
      <c r="F538" s="185"/>
      <c r="G538" s="185"/>
      <c r="H538" s="185"/>
      <c r="I538" s="185"/>
      <c r="J538" s="185"/>
      <c r="K538" s="185"/>
      <c r="L538" s="185"/>
      <c r="M538" s="185"/>
      <c r="N538" s="185"/>
      <c r="O538" s="185"/>
      <c r="P538" s="185"/>
    </row>
    <row r="539" spans="2:16" x14ac:dyDescent="0.2">
      <c r="B539" s="185"/>
      <c r="C539" s="185"/>
      <c r="D539" s="185"/>
      <c r="E539" s="185"/>
      <c r="F539" s="185"/>
      <c r="G539" s="185"/>
      <c r="H539" s="185"/>
      <c r="I539" s="185"/>
      <c r="J539" s="185"/>
      <c r="K539" s="185"/>
      <c r="L539" s="185"/>
      <c r="M539" s="185"/>
      <c r="N539" s="185"/>
      <c r="O539" s="185"/>
      <c r="P539" s="185"/>
    </row>
    <row r="540" spans="2:16" x14ac:dyDescent="0.2">
      <c r="B540" s="185"/>
      <c r="C540" s="185"/>
      <c r="D540" s="185"/>
      <c r="E540" s="185"/>
      <c r="F540" s="185"/>
      <c r="G540" s="185"/>
      <c r="H540" s="185"/>
      <c r="I540" s="185"/>
      <c r="J540" s="185"/>
      <c r="K540" s="185"/>
      <c r="L540" s="185"/>
      <c r="M540" s="185"/>
      <c r="N540" s="185"/>
      <c r="O540" s="185"/>
      <c r="P540" s="185"/>
    </row>
    <row r="541" spans="2:16" x14ac:dyDescent="0.2">
      <c r="B541" s="185"/>
      <c r="C541" s="185"/>
      <c r="D541" s="185"/>
      <c r="E541" s="185"/>
      <c r="F541" s="185"/>
      <c r="G541" s="185"/>
      <c r="H541" s="185"/>
      <c r="I541" s="185"/>
      <c r="J541" s="185"/>
      <c r="K541" s="185"/>
      <c r="L541" s="185"/>
      <c r="M541" s="185"/>
      <c r="N541" s="185"/>
      <c r="O541" s="185"/>
      <c r="P541" s="185"/>
    </row>
    <row r="542" spans="2:16" x14ac:dyDescent="0.2">
      <c r="B542" s="185"/>
      <c r="C542" s="185"/>
      <c r="D542" s="185"/>
      <c r="E542" s="185"/>
      <c r="F542" s="185"/>
      <c r="G542" s="185"/>
      <c r="H542" s="185"/>
      <c r="I542" s="185"/>
      <c r="J542" s="185"/>
      <c r="K542" s="185"/>
      <c r="L542" s="185"/>
      <c r="M542" s="185"/>
      <c r="N542" s="185"/>
      <c r="O542" s="185"/>
      <c r="P542" s="185"/>
    </row>
    <row r="543" spans="2:16" x14ac:dyDescent="0.2">
      <c r="B543" s="185"/>
      <c r="C543" s="185"/>
      <c r="D543" s="185"/>
      <c r="E543" s="185"/>
      <c r="F543" s="185"/>
      <c r="G543" s="185"/>
      <c r="H543" s="185"/>
      <c r="I543" s="185"/>
      <c r="J543" s="185"/>
      <c r="K543" s="185"/>
      <c r="L543" s="185"/>
      <c r="M543" s="185"/>
      <c r="N543" s="185"/>
      <c r="O543" s="185"/>
      <c r="P543" s="185"/>
    </row>
    <row r="544" spans="2:16" x14ac:dyDescent="0.2">
      <c r="B544" s="185"/>
      <c r="C544" s="185"/>
      <c r="D544" s="185"/>
      <c r="E544" s="185"/>
      <c r="F544" s="185"/>
      <c r="G544" s="185"/>
      <c r="H544" s="185"/>
      <c r="I544" s="185"/>
      <c r="J544" s="185"/>
      <c r="K544" s="185"/>
      <c r="L544" s="185"/>
      <c r="M544" s="185"/>
      <c r="N544" s="185"/>
      <c r="O544" s="185"/>
      <c r="P544" s="185"/>
    </row>
    <row r="545" spans="2:16" x14ac:dyDescent="0.2">
      <c r="B545" s="185"/>
      <c r="C545" s="185"/>
      <c r="D545" s="185"/>
      <c r="E545" s="185"/>
      <c r="F545" s="185"/>
      <c r="G545" s="185"/>
      <c r="H545" s="185"/>
      <c r="I545" s="185"/>
      <c r="J545" s="185"/>
      <c r="K545" s="185"/>
      <c r="L545" s="185"/>
      <c r="M545" s="185"/>
      <c r="N545" s="185"/>
      <c r="O545" s="185"/>
      <c r="P545" s="185"/>
    </row>
    <row r="546" spans="2:16" x14ac:dyDescent="0.2">
      <c r="B546" s="185"/>
      <c r="C546" s="185"/>
      <c r="D546" s="185"/>
      <c r="E546" s="185"/>
      <c r="F546" s="185"/>
      <c r="G546" s="185"/>
      <c r="H546" s="185"/>
      <c r="I546" s="185"/>
      <c r="J546" s="185"/>
      <c r="K546" s="185"/>
      <c r="L546" s="185"/>
      <c r="M546" s="185"/>
      <c r="N546" s="185"/>
      <c r="O546" s="185"/>
      <c r="P546" s="185"/>
    </row>
    <row r="547" spans="2:16" x14ac:dyDescent="0.2">
      <c r="B547" s="185"/>
      <c r="C547" s="185"/>
      <c r="D547" s="185"/>
      <c r="E547" s="185"/>
      <c r="F547" s="185"/>
      <c r="G547" s="185"/>
      <c r="H547" s="185"/>
      <c r="I547" s="185"/>
      <c r="J547" s="185"/>
      <c r="K547" s="185"/>
      <c r="L547" s="185"/>
      <c r="M547" s="185"/>
      <c r="N547" s="185"/>
      <c r="O547" s="185"/>
      <c r="P547" s="185"/>
    </row>
    <row r="548" spans="2:16" x14ac:dyDescent="0.2">
      <c r="B548" s="185"/>
      <c r="C548" s="185"/>
      <c r="D548" s="185"/>
      <c r="E548" s="185"/>
      <c r="F548" s="185"/>
      <c r="G548" s="185"/>
      <c r="H548" s="185"/>
      <c r="I548" s="185"/>
      <c r="J548" s="185"/>
      <c r="K548" s="185"/>
      <c r="L548" s="185"/>
      <c r="M548" s="185"/>
      <c r="N548" s="185"/>
      <c r="O548" s="185"/>
      <c r="P548" s="185"/>
    </row>
    <row r="549" spans="2:16" x14ac:dyDescent="0.2">
      <c r="B549" s="185"/>
      <c r="C549" s="185"/>
      <c r="D549" s="185"/>
      <c r="E549" s="185"/>
      <c r="F549" s="185"/>
      <c r="G549" s="185"/>
      <c r="H549" s="185"/>
      <c r="I549" s="185"/>
      <c r="J549" s="185"/>
      <c r="K549" s="185"/>
      <c r="L549" s="185"/>
      <c r="M549" s="185"/>
      <c r="N549" s="185"/>
      <c r="O549" s="185"/>
      <c r="P549" s="185"/>
    </row>
    <row r="550" spans="2:16" x14ac:dyDescent="0.2">
      <c r="B550" s="185"/>
      <c r="C550" s="185"/>
      <c r="D550" s="185"/>
      <c r="E550" s="185"/>
      <c r="F550" s="185"/>
      <c r="G550" s="185"/>
      <c r="H550" s="185"/>
      <c r="I550" s="185"/>
      <c r="J550" s="185"/>
      <c r="K550" s="185"/>
      <c r="L550" s="185"/>
      <c r="M550" s="185"/>
      <c r="N550" s="185"/>
      <c r="O550" s="185"/>
      <c r="P550" s="185"/>
    </row>
    <row r="551" spans="2:16" x14ac:dyDescent="0.2">
      <c r="B551" s="185"/>
      <c r="C551" s="185"/>
      <c r="D551" s="185"/>
      <c r="E551" s="185"/>
      <c r="F551" s="185"/>
      <c r="G551" s="185"/>
      <c r="H551" s="185"/>
      <c r="I551" s="185"/>
      <c r="J551" s="185"/>
      <c r="K551" s="185"/>
      <c r="L551" s="185"/>
      <c r="M551" s="185"/>
      <c r="N551" s="185"/>
      <c r="O551" s="185"/>
      <c r="P551" s="185"/>
    </row>
    <row r="552" spans="2:16" x14ac:dyDescent="0.2">
      <c r="B552" s="185"/>
      <c r="C552" s="185"/>
      <c r="D552" s="185"/>
      <c r="E552" s="185"/>
      <c r="F552" s="185"/>
      <c r="G552" s="185"/>
      <c r="H552" s="185"/>
      <c r="I552" s="185"/>
      <c r="J552" s="185"/>
      <c r="K552" s="185"/>
      <c r="L552" s="185"/>
      <c r="M552" s="185"/>
      <c r="N552" s="185"/>
      <c r="O552" s="185"/>
      <c r="P552" s="185"/>
    </row>
    <row r="553" spans="2:16" x14ac:dyDescent="0.2">
      <c r="B553" s="185"/>
      <c r="C553" s="185"/>
      <c r="D553" s="185"/>
      <c r="E553" s="185"/>
      <c r="F553" s="185"/>
      <c r="G553" s="185"/>
      <c r="H553" s="185"/>
      <c r="I553" s="185"/>
      <c r="J553" s="185"/>
      <c r="K553" s="185"/>
      <c r="L553" s="185"/>
      <c r="M553" s="185"/>
      <c r="N553" s="185"/>
      <c r="O553" s="185"/>
      <c r="P553" s="185"/>
    </row>
    <row r="554" spans="2:16" x14ac:dyDescent="0.2">
      <c r="B554" s="185"/>
      <c r="C554" s="185"/>
      <c r="D554" s="185"/>
      <c r="E554" s="185"/>
      <c r="F554" s="185"/>
      <c r="G554" s="185"/>
      <c r="H554" s="185"/>
      <c r="I554" s="185"/>
      <c r="J554" s="185"/>
      <c r="K554" s="185"/>
      <c r="L554" s="185"/>
      <c r="M554" s="185"/>
      <c r="N554" s="185"/>
      <c r="O554" s="185"/>
      <c r="P554" s="185"/>
    </row>
    <row r="555" spans="2:16" x14ac:dyDescent="0.2">
      <c r="B555" s="185"/>
      <c r="C555" s="185"/>
      <c r="D555" s="185"/>
      <c r="E555" s="185"/>
      <c r="F555" s="185"/>
      <c r="G555" s="185"/>
      <c r="H555" s="185"/>
      <c r="I555" s="185"/>
      <c r="J555" s="185"/>
      <c r="K555" s="185"/>
      <c r="L555" s="185"/>
      <c r="M555" s="185"/>
      <c r="N555" s="185"/>
      <c r="O555" s="185"/>
      <c r="P555" s="185"/>
    </row>
    <row r="556" spans="2:16" x14ac:dyDescent="0.2">
      <c r="B556" s="185"/>
      <c r="C556" s="185"/>
      <c r="D556" s="185"/>
      <c r="E556" s="185"/>
      <c r="F556" s="185"/>
      <c r="G556" s="185"/>
      <c r="H556" s="185"/>
      <c r="I556" s="185"/>
      <c r="J556" s="185"/>
      <c r="K556" s="185"/>
      <c r="L556" s="185"/>
      <c r="M556" s="185"/>
      <c r="N556" s="185"/>
      <c r="O556" s="185"/>
      <c r="P556" s="185"/>
    </row>
    <row r="557" spans="2:16" x14ac:dyDescent="0.2">
      <c r="B557" s="185"/>
      <c r="C557" s="185"/>
      <c r="D557" s="185"/>
      <c r="E557" s="185"/>
      <c r="F557" s="185"/>
      <c r="G557" s="185"/>
      <c r="H557" s="185"/>
      <c r="I557" s="185"/>
      <c r="J557" s="185"/>
      <c r="K557" s="185"/>
      <c r="L557" s="185"/>
      <c r="M557" s="185"/>
      <c r="N557" s="185"/>
      <c r="O557" s="185"/>
      <c r="P557" s="185"/>
    </row>
    <row r="558" spans="2:16" x14ac:dyDescent="0.2">
      <c r="B558" s="185"/>
      <c r="C558" s="185"/>
      <c r="D558" s="185"/>
      <c r="E558" s="185"/>
      <c r="F558" s="185"/>
      <c r="G558" s="185"/>
      <c r="H558" s="185"/>
      <c r="I558" s="185"/>
      <c r="J558" s="185"/>
      <c r="K558" s="185"/>
      <c r="L558" s="185"/>
      <c r="M558" s="185"/>
      <c r="N558" s="185"/>
      <c r="O558" s="185"/>
      <c r="P558" s="185"/>
    </row>
    <row r="559" spans="2:16" x14ac:dyDescent="0.2">
      <c r="B559" s="185"/>
      <c r="C559" s="185"/>
      <c r="D559" s="185"/>
      <c r="E559" s="185"/>
      <c r="F559" s="185"/>
      <c r="G559" s="185"/>
      <c r="H559" s="185"/>
      <c r="I559" s="185"/>
      <c r="J559" s="185"/>
      <c r="K559" s="185"/>
      <c r="L559" s="185"/>
      <c r="M559" s="185"/>
      <c r="N559" s="185"/>
      <c r="O559" s="185"/>
      <c r="P559" s="185"/>
    </row>
    <row r="560" spans="2:16" x14ac:dyDescent="0.2">
      <c r="B560" s="185"/>
      <c r="C560" s="185"/>
      <c r="D560" s="185"/>
      <c r="E560" s="185"/>
      <c r="F560" s="185"/>
      <c r="G560" s="185"/>
      <c r="H560" s="185"/>
      <c r="I560" s="185"/>
      <c r="J560" s="185"/>
      <c r="K560" s="185"/>
      <c r="L560" s="185"/>
      <c r="M560" s="185"/>
      <c r="N560" s="185"/>
      <c r="O560" s="185"/>
      <c r="P560" s="185"/>
    </row>
    <row r="561" spans="2:16" x14ac:dyDescent="0.2">
      <c r="B561" s="185"/>
      <c r="C561" s="185"/>
      <c r="D561" s="185"/>
      <c r="E561" s="185"/>
      <c r="F561" s="185"/>
      <c r="G561" s="185"/>
      <c r="H561" s="185"/>
      <c r="I561" s="185"/>
      <c r="J561" s="185"/>
      <c r="K561" s="185"/>
      <c r="L561" s="185"/>
      <c r="M561" s="185"/>
      <c r="N561" s="185"/>
      <c r="O561" s="185"/>
      <c r="P561" s="185"/>
    </row>
    <row r="562" spans="2:16" x14ac:dyDescent="0.2">
      <c r="B562" s="185"/>
      <c r="C562" s="185"/>
      <c r="D562" s="185"/>
      <c r="E562" s="185"/>
      <c r="F562" s="185"/>
      <c r="G562" s="185"/>
      <c r="H562" s="185"/>
      <c r="I562" s="185"/>
      <c r="J562" s="185"/>
      <c r="K562" s="185"/>
      <c r="L562" s="185"/>
      <c r="M562" s="185"/>
      <c r="N562" s="185"/>
      <c r="O562" s="185"/>
      <c r="P562" s="185"/>
    </row>
    <row r="563" spans="2:16" x14ac:dyDescent="0.2">
      <c r="B563" s="185"/>
      <c r="C563" s="185"/>
      <c r="D563" s="185"/>
      <c r="E563" s="185"/>
      <c r="F563" s="185"/>
      <c r="G563" s="185"/>
      <c r="H563" s="185"/>
      <c r="I563" s="185"/>
      <c r="J563" s="185"/>
      <c r="K563" s="185"/>
      <c r="L563" s="185"/>
      <c r="M563" s="185"/>
      <c r="N563" s="185"/>
      <c r="O563" s="185"/>
      <c r="P563" s="185"/>
    </row>
    <row r="564" spans="2:16" x14ac:dyDescent="0.2">
      <c r="B564" s="185"/>
      <c r="C564" s="185"/>
      <c r="D564" s="185"/>
      <c r="E564" s="185"/>
      <c r="F564" s="185"/>
      <c r="G564" s="185"/>
      <c r="H564" s="185"/>
      <c r="I564" s="185"/>
      <c r="J564" s="185"/>
      <c r="K564" s="185"/>
      <c r="L564" s="185"/>
      <c r="M564" s="185"/>
      <c r="N564" s="185"/>
      <c r="O564" s="185"/>
      <c r="P564" s="185"/>
    </row>
    <row r="565" spans="2:16" x14ac:dyDescent="0.2">
      <c r="B565" s="185"/>
      <c r="C565" s="185"/>
      <c r="D565" s="185"/>
      <c r="E565" s="185"/>
      <c r="F565" s="185"/>
      <c r="G565" s="185"/>
      <c r="H565" s="185"/>
      <c r="I565" s="185"/>
      <c r="J565" s="185"/>
      <c r="K565" s="185"/>
      <c r="L565" s="185"/>
      <c r="M565" s="185"/>
      <c r="N565" s="185"/>
      <c r="O565" s="185"/>
      <c r="P565" s="185"/>
    </row>
    <row r="566" spans="2:16" x14ac:dyDescent="0.2">
      <c r="B566" s="185"/>
      <c r="C566" s="185"/>
      <c r="D566" s="185"/>
      <c r="E566" s="185"/>
      <c r="F566" s="185"/>
      <c r="G566" s="185"/>
      <c r="H566" s="185"/>
      <c r="I566" s="185"/>
      <c r="J566" s="185"/>
      <c r="K566" s="185"/>
      <c r="L566" s="185"/>
      <c r="M566" s="185"/>
      <c r="N566" s="185"/>
      <c r="O566" s="185"/>
      <c r="P566" s="185"/>
    </row>
    <row r="567" spans="2:16" x14ac:dyDescent="0.2">
      <c r="B567" s="185"/>
      <c r="C567" s="185"/>
      <c r="D567" s="185"/>
      <c r="E567" s="185"/>
      <c r="F567" s="185"/>
      <c r="G567" s="185"/>
      <c r="H567" s="185"/>
      <c r="I567" s="185"/>
      <c r="J567" s="185"/>
      <c r="K567" s="185"/>
      <c r="L567" s="185"/>
      <c r="M567" s="185"/>
      <c r="N567" s="185"/>
      <c r="O567" s="185"/>
      <c r="P567" s="185"/>
    </row>
    <row r="568" spans="2:16" x14ac:dyDescent="0.2">
      <c r="B568" s="185"/>
      <c r="C568" s="185"/>
      <c r="D568" s="185"/>
      <c r="E568" s="185"/>
      <c r="F568" s="185"/>
      <c r="G568" s="185"/>
      <c r="H568" s="185"/>
      <c r="I568" s="185"/>
      <c r="J568" s="185"/>
      <c r="K568" s="185"/>
      <c r="L568" s="185"/>
      <c r="M568" s="185"/>
      <c r="N568" s="185"/>
      <c r="O568" s="185"/>
      <c r="P568" s="185"/>
    </row>
    <row r="569" spans="2:16" x14ac:dyDescent="0.2">
      <c r="B569" s="185"/>
      <c r="C569" s="185"/>
      <c r="D569" s="185"/>
      <c r="E569" s="185"/>
      <c r="F569" s="185"/>
      <c r="G569" s="185"/>
      <c r="H569" s="185"/>
      <c r="I569" s="185"/>
      <c r="J569" s="185"/>
      <c r="K569" s="185"/>
      <c r="L569" s="185"/>
      <c r="M569" s="185"/>
      <c r="N569" s="185"/>
      <c r="O569" s="185"/>
      <c r="P569" s="185"/>
    </row>
    <row r="570" spans="2:16" x14ac:dyDescent="0.2">
      <c r="B570" s="185"/>
      <c r="C570" s="185"/>
      <c r="D570" s="185"/>
      <c r="E570" s="185"/>
      <c r="F570" s="185"/>
      <c r="G570" s="185"/>
      <c r="H570" s="185"/>
      <c r="I570" s="185"/>
      <c r="J570" s="185"/>
      <c r="K570" s="185"/>
      <c r="L570" s="185"/>
      <c r="M570" s="185"/>
      <c r="N570" s="185"/>
      <c r="O570" s="185"/>
      <c r="P570" s="185"/>
    </row>
    <row r="571" spans="2:16" x14ac:dyDescent="0.2">
      <c r="B571" s="185"/>
      <c r="C571" s="185"/>
      <c r="D571" s="185"/>
      <c r="E571" s="185"/>
      <c r="F571" s="185"/>
      <c r="G571" s="185"/>
      <c r="H571" s="185"/>
      <c r="I571" s="185"/>
      <c r="J571" s="185"/>
      <c r="K571" s="185"/>
      <c r="L571" s="185"/>
      <c r="M571" s="185"/>
      <c r="N571" s="185"/>
      <c r="O571" s="185"/>
      <c r="P571" s="185"/>
    </row>
    <row r="572" spans="2:16" x14ac:dyDescent="0.2">
      <c r="B572" s="185"/>
      <c r="C572" s="185"/>
      <c r="D572" s="185"/>
      <c r="E572" s="185"/>
      <c r="F572" s="185"/>
      <c r="G572" s="185"/>
      <c r="H572" s="185"/>
      <c r="I572" s="185"/>
      <c r="J572" s="185"/>
      <c r="K572" s="185"/>
      <c r="L572" s="185"/>
      <c r="M572" s="185"/>
      <c r="N572" s="185"/>
      <c r="O572" s="185"/>
      <c r="P572" s="185"/>
    </row>
    <row r="573" spans="2:16" x14ac:dyDescent="0.2">
      <c r="B573" s="185"/>
      <c r="C573" s="185"/>
      <c r="D573" s="185"/>
      <c r="E573" s="185"/>
      <c r="F573" s="185"/>
      <c r="G573" s="185"/>
      <c r="H573" s="185"/>
      <c r="I573" s="185"/>
      <c r="J573" s="185"/>
      <c r="K573" s="185"/>
      <c r="L573" s="185"/>
      <c r="M573" s="185"/>
      <c r="N573" s="185"/>
      <c r="O573" s="185"/>
      <c r="P573" s="185"/>
    </row>
  </sheetData>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BBCFA-B061-48F7-80DD-A569B911F15F}">
  <sheetPr codeName="Sheet19">
    <tabColor theme="9"/>
  </sheetPr>
  <dimension ref="A1:AY567"/>
  <sheetViews>
    <sheetView workbookViewId="0"/>
  </sheetViews>
  <sheetFormatPr defaultColWidth="8" defaultRowHeight="12.75" x14ac:dyDescent="0.2"/>
  <cols>
    <col min="1" max="26" width="10.140625" style="33" bestFit="1" customWidth="1"/>
    <col min="27" max="16384" width="8" style="33"/>
  </cols>
  <sheetData>
    <row r="1" spans="1:51" x14ac:dyDescent="0.2">
      <c r="B1" s="33" t="e" cm="1" vm="1">
        <f t="array" ref="B1">TRANSPOSE(_xlfn._xlws.FILTER(Recurring!$B$4:$B$53,ISNUMBER(Recurring!$G$4:$G$53)))</f>
        <v>#VALUE!</v>
      </c>
    </row>
    <row r="2" spans="1:51" s="179" customFormat="1" x14ac:dyDescent="0.2">
      <c r="B2" s="179" t="e" cm="1" vm="1">
        <f t="array" ref="B2">TRANSPOSE(_xlfn._xlws.FILTER(Recurring!$D$4:$D$53,ISNUMBER(Recurring!$G$4:$G$53)))</f>
        <v>#VALUE!</v>
      </c>
    </row>
    <row r="3" spans="1:51" x14ac:dyDescent="0.2">
      <c r="A3" s="32" t="str">
        <f ca="1">TEXT(TODAY(),"yyyy-mm-dd")</f>
        <v>2025-04-05</v>
      </c>
      <c r="B3" s="179">
        <f ca="1">IF(ISNUMBER(MATCH(DATEVALUE($A3),'recurring1_based on steps'!B$1:B$400,0)),B$2,)</f>
        <v>0</v>
      </c>
      <c r="C3" s="179">
        <f ca="1">IF(ISNUMBER(MATCH(DATEVALUE($A3),'recurring1_based on steps'!C$1:C$400,0)),C$2,)</f>
        <v>0</v>
      </c>
      <c r="D3" s="179">
        <f ca="1">IF(ISNUMBER(MATCH(DATEVALUE($A3),'recurring1_based on steps'!D$1:D$400,0)),D$2,)</f>
        <v>0</v>
      </c>
      <c r="E3" s="179">
        <f ca="1">IF(ISNUMBER(MATCH(DATEVALUE($A3),'recurring1_based on steps'!E$1:E$400,0)),E$2,)</f>
        <v>0</v>
      </c>
      <c r="F3" s="179">
        <f ca="1">IF(ISNUMBER(MATCH(DATEVALUE($A3),'recurring1_based on steps'!F$1:F$400,0)),F$2,)</f>
        <v>0</v>
      </c>
      <c r="G3" s="179">
        <f ca="1">IF(ISNUMBER(MATCH(DATEVALUE($A3),'recurring1_based on steps'!G$1:G$400,0)),G$2,)</f>
        <v>0</v>
      </c>
      <c r="H3" s="179">
        <f ca="1">IF(ISNUMBER(MATCH(DATEVALUE($A3),'recurring1_based on steps'!H$1:H$400,0)),H$2,)</f>
        <v>0</v>
      </c>
      <c r="I3" s="179">
        <f ca="1">IF(ISNUMBER(MATCH(DATEVALUE($A3),'recurring1_based on steps'!I$1:I$400,0)),I$2,)</f>
        <v>0</v>
      </c>
      <c r="J3" s="179">
        <f ca="1">IF(ISNUMBER(MATCH(DATEVALUE($A3),'recurring1_based on steps'!J$1:J$400,0)),J$2,)</f>
        <v>0</v>
      </c>
      <c r="K3" s="179">
        <f ca="1">IF(ISNUMBER(MATCH(DATEVALUE($A3),'recurring1_based on steps'!K$1:K$400,0)),K$2,)</f>
        <v>0</v>
      </c>
      <c r="L3" s="179">
        <f ca="1">IF(ISNUMBER(MATCH(DATEVALUE($A3),'recurring1_based on steps'!L$1:L$400,0)),L$2,)</f>
        <v>0</v>
      </c>
      <c r="M3" s="179">
        <f ca="1">IF(ISNUMBER(MATCH(DATEVALUE($A3),'recurring1_based on steps'!M$1:M$400,0)),M$2,)</f>
        <v>0</v>
      </c>
      <c r="N3" s="179">
        <f ca="1">IF(ISNUMBER(MATCH(DATEVALUE($A3),'recurring1_based on steps'!N$1:N$400,0)),N$2,)</f>
        <v>0</v>
      </c>
      <c r="O3" s="179">
        <f ca="1">IF(ISNUMBER(MATCH(DATEVALUE($A3),'recurring1_based on steps'!O$1:O$400,0)),O$2,)</f>
        <v>0</v>
      </c>
      <c r="P3" s="179">
        <f ca="1">IF(ISNUMBER(MATCH(DATEVALUE($A3),'recurring1_based on steps'!P$1:P$400,0)),P$2,)</f>
        <v>0</v>
      </c>
      <c r="Q3" s="179">
        <f ca="1">IF(ISNUMBER(MATCH(DATEVALUE($A3),'recurring1_based on steps'!Q$1:Q$400,0)),Q$2,)</f>
        <v>0</v>
      </c>
      <c r="R3" s="179">
        <f ca="1">IF(ISNUMBER(MATCH(DATEVALUE($A3),'recurring1_based on steps'!R$1:R$400,0)),R$2,)</f>
        <v>0</v>
      </c>
      <c r="S3" s="179">
        <f ca="1">IF(ISNUMBER(MATCH(DATEVALUE($A3),'recurring1_based on steps'!S$1:S$400,0)),S$2,)</f>
        <v>0</v>
      </c>
      <c r="T3" s="179">
        <f ca="1">IF(ISNUMBER(MATCH(DATEVALUE($A3),'recurring1_based on steps'!T$1:T$400,0)),T$2,)</f>
        <v>0</v>
      </c>
      <c r="U3" s="179">
        <f ca="1">IF(ISNUMBER(MATCH(DATEVALUE($A3),'recurring1_based on steps'!U$1:U$400,0)),U$2,)</f>
        <v>0</v>
      </c>
      <c r="V3" s="179">
        <f ca="1">IF(ISNUMBER(MATCH(DATEVALUE($A3),'recurring1_based on steps'!V$1:V$400,0)),V$2,)</f>
        <v>0</v>
      </c>
      <c r="W3" s="179">
        <f ca="1">IF(ISNUMBER(MATCH(DATEVALUE($A3),'recurring1_based on steps'!W$1:W$400,0)),W$2,)</f>
        <v>0</v>
      </c>
      <c r="X3" s="179">
        <f ca="1">IF(ISNUMBER(MATCH(DATEVALUE($A3),'recurring1_based on steps'!X$1:X$400,0)),X$2,)</f>
        <v>0</v>
      </c>
      <c r="Y3" s="179">
        <f ca="1">IF(ISNUMBER(MATCH(DATEVALUE($A3),'recurring1_based on steps'!Y$1:Y$400,0)),Y$2,)</f>
        <v>0</v>
      </c>
      <c r="Z3" s="179">
        <f ca="1">IF(ISNUMBER(MATCH(DATEVALUE($A3),'recurring1_based on steps'!Z$1:Z$400,0)),Z$2,)</f>
        <v>0</v>
      </c>
      <c r="AA3" s="179">
        <f ca="1">IF(ISNUMBER(MATCH(DATEVALUE($A3),'recurring1_based on steps'!AA$1:AA$400,0)),AA$2,)</f>
        <v>0</v>
      </c>
      <c r="AB3" s="179">
        <f ca="1">IF(ISNUMBER(MATCH(DATEVALUE($A3),'recurring1_based on steps'!AB$1:AB$400,0)),AB$2,)</f>
        <v>0</v>
      </c>
      <c r="AC3" s="179">
        <f ca="1">IF(ISNUMBER(MATCH(DATEVALUE($A3),'recurring1_based on steps'!AC$1:AC$400,0)),AC$2,)</f>
        <v>0</v>
      </c>
      <c r="AD3" s="179">
        <f ca="1">IF(ISNUMBER(MATCH(DATEVALUE($A3),'recurring1_based on steps'!AD$1:AD$400,0)),AD$2,)</f>
        <v>0</v>
      </c>
      <c r="AE3" s="179">
        <f ca="1">IF(ISNUMBER(MATCH(DATEVALUE($A3),'recurring1_based on steps'!AE$1:AE$400,0)),AE$2,)</f>
        <v>0</v>
      </c>
      <c r="AF3" s="179">
        <f ca="1">IF(ISNUMBER(MATCH(DATEVALUE($A3),'recurring1_based on steps'!AF$1:AF$400,0)),AF$2,)</f>
        <v>0</v>
      </c>
      <c r="AG3" s="179">
        <f ca="1">IF(ISNUMBER(MATCH(DATEVALUE($A3),'recurring1_based on steps'!AG$1:AG$400,0)),AG$2,)</f>
        <v>0</v>
      </c>
      <c r="AH3" s="179">
        <f ca="1">IF(ISNUMBER(MATCH(DATEVALUE($A3),'recurring1_based on steps'!AH$1:AH$400,0)),AH$2,)</f>
        <v>0</v>
      </c>
      <c r="AI3" s="179">
        <f ca="1">IF(ISNUMBER(MATCH(DATEVALUE($A3),'recurring1_based on steps'!AI$1:AI$400,0)),AI$2,)</f>
        <v>0</v>
      </c>
      <c r="AJ3" s="179">
        <f ca="1">IF(ISNUMBER(MATCH(DATEVALUE($A3),'recurring1_based on steps'!AJ$1:AJ$400,0)),AJ$2,)</f>
        <v>0</v>
      </c>
      <c r="AK3" s="179">
        <f ca="1">IF(ISNUMBER(MATCH(DATEVALUE($A3),'recurring1_based on steps'!AK$1:AK$400,0)),AK$2,)</f>
        <v>0</v>
      </c>
      <c r="AL3" s="179">
        <f ca="1">IF(ISNUMBER(MATCH(DATEVALUE($A3),'recurring1_based on steps'!AL$1:AL$400,0)),AL$2,)</f>
        <v>0</v>
      </c>
      <c r="AM3" s="179">
        <f ca="1">IF(ISNUMBER(MATCH(DATEVALUE($A3),'recurring1_based on steps'!AM$1:AM$400,0)),AM$2,)</f>
        <v>0</v>
      </c>
      <c r="AN3" s="179">
        <f ca="1">IF(ISNUMBER(MATCH(DATEVALUE($A3),'recurring1_based on steps'!AN$1:AN$400,0)),AN$2,)</f>
        <v>0</v>
      </c>
      <c r="AO3" s="179">
        <f ca="1">IF(ISNUMBER(MATCH(DATEVALUE($A3),'recurring1_based on steps'!AO$1:AO$400,0)),AO$2,)</f>
        <v>0</v>
      </c>
      <c r="AP3" s="179">
        <f ca="1">IF(ISNUMBER(MATCH(DATEVALUE($A3),'recurring1_based on steps'!AP$1:AP$400,0)),AP$2,)</f>
        <v>0</v>
      </c>
      <c r="AQ3" s="179">
        <f ca="1">IF(ISNUMBER(MATCH(DATEVALUE($A3),'recurring1_based on steps'!AQ$1:AQ$400,0)),AQ$2,)</f>
        <v>0</v>
      </c>
      <c r="AR3" s="179">
        <f ca="1">IF(ISNUMBER(MATCH(DATEVALUE($A3),'recurring1_based on steps'!AR$1:AR$400,0)),AR$2,)</f>
        <v>0</v>
      </c>
      <c r="AS3" s="179">
        <f ca="1">IF(ISNUMBER(MATCH(DATEVALUE($A3),'recurring1_based on steps'!AS$1:AS$400,0)),AS$2,)</f>
        <v>0</v>
      </c>
      <c r="AT3" s="179">
        <f ca="1">IF(ISNUMBER(MATCH(DATEVALUE($A3),'recurring1_based on steps'!AT$1:AT$400,0)),AT$2,)</f>
        <v>0</v>
      </c>
      <c r="AU3" s="179">
        <f ca="1">IF(ISNUMBER(MATCH(DATEVALUE($A3),'recurring1_based on steps'!AU$1:AU$400,0)),AU$2,)</f>
        <v>0</v>
      </c>
      <c r="AV3" s="179">
        <f ca="1">IF(ISNUMBER(MATCH(DATEVALUE($A3),'recurring1_based on steps'!AV$1:AV$400,0)),AV$2,)</f>
        <v>0</v>
      </c>
      <c r="AW3" s="179">
        <f ca="1">IF(ISNUMBER(MATCH(DATEVALUE($A3),'recurring1_based on steps'!AW$1:AW$400,0)),AW$2,)</f>
        <v>0</v>
      </c>
      <c r="AX3" s="179">
        <f ca="1">IF(ISNUMBER(MATCH(DATEVALUE($A3),'recurring1_based on steps'!AX$1:AX$400,0)),AX$2,)</f>
        <v>0</v>
      </c>
      <c r="AY3" s="179">
        <f ca="1">IF(ISNUMBER(MATCH(DATEVALUE($A3),'recurring1_based on steps'!AY$1:AY$400,0)),AY$2,)</f>
        <v>0</v>
      </c>
    </row>
    <row r="4" spans="1:51" x14ac:dyDescent="0.2">
      <c r="A4" s="32" t="str">
        <f ca="1">TEXT(DATEVALUE(A3)+1,"yyyy-mm-dd")</f>
        <v>2025-04-06</v>
      </c>
      <c r="B4" s="179">
        <f ca="1">IF(ISNUMBER(MATCH(DATEVALUE($A4),'recurring1_based on steps'!B$1:B$400,0)),B$2,)</f>
        <v>0</v>
      </c>
      <c r="C4" s="179">
        <f ca="1">IF(ISNUMBER(MATCH(DATEVALUE($A4),'recurring1_based on steps'!C$1:C$400,0)),C$2,)</f>
        <v>0</v>
      </c>
      <c r="D4" s="179">
        <f ca="1">IF(ISNUMBER(MATCH(DATEVALUE($A4),'recurring1_based on steps'!D$1:D$400,0)),D$2,)</f>
        <v>0</v>
      </c>
      <c r="E4" s="179">
        <f ca="1">IF(ISNUMBER(MATCH(DATEVALUE($A4),'recurring1_based on steps'!E$1:E$400,0)),E$2,)</f>
        <v>0</v>
      </c>
      <c r="F4" s="179">
        <f ca="1">IF(ISNUMBER(MATCH(DATEVALUE($A4),'recurring1_based on steps'!F$1:F$400,0)),F$2,)</f>
        <v>0</v>
      </c>
      <c r="G4" s="179">
        <f ca="1">IF(ISNUMBER(MATCH(DATEVALUE($A4),'recurring1_based on steps'!G$1:G$400,0)),G$2,)</f>
        <v>0</v>
      </c>
      <c r="H4" s="179">
        <f ca="1">IF(ISNUMBER(MATCH(DATEVALUE($A4),'recurring1_based on steps'!H$1:H$400,0)),H$2,)</f>
        <v>0</v>
      </c>
      <c r="I4" s="179">
        <f ca="1">IF(ISNUMBER(MATCH(DATEVALUE($A4),'recurring1_based on steps'!I$1:I$400,0)),I$2,)</f>
        <v>0</v>
      </c>
      <c r="J4" s="179">
        <f ca="1">IF(ISNUMBER(MATCH(DATEVALUE($A4),'recurring1_based on steps'!J$1:J$400,0)),J$2,)</f>
        <v>0</v>
      </c>
      <c r="K4" s="179">
        <f ca="1">IF(ISNUMBER(MATCH(DATEVALUE($A4),'recurring1_based on steps'!K$1:K$400,0)),K$2,)</f>
        <v>0</v>
      </c>
      <c r="L4" s="179">
        <f ca="1">IF(ISNUMBER(MATCH(DATEVALUE($A4),'recurring1_based on steps'!L$1:L$400,0)),L$2,)</f>
        <v>0</v>
      </c>
      <c r="M4" s="179">
        <f ca="1">IF(ISNUMBER(MATCH(DATEVALUE($A4),'recurring1_based on steps'!M$1:M$400,0)),M$2,)</f>
        <v>0</v>
      </c>
      <c r="N4" s="179">
        <f ca="1">IF(ISNUMBER(MATCH(DATEVALUE($A4),'recurring1_based on steps'!N$1:N$400,0)),N$2,)</f>
        <v>0</v>
      </c>
      <c r="O4" s="179">
        <f ca="1">IF(ISNUMBER(MATCH(DATEVALUE($A4),'recurring1_based on steps'!O$1:O$400,0)),O$2,)</f>
        <v>0</v>
      </c>
      <c r="P4" s="179">
        <f ca="1">IF(ISNUMBER(MATCH(DATEVALUE($A4),'recurring1_based on steps'!P$1:P$400,0)),P$2,)</f>
        <v>0</v>
      </c>
      <c r="Q4" s="179">
        <f ca="1">IF(ISNUMBER(MATCH(DATEVALUE($A4),'recurring1_based on steps'!Q$1:Q$400,0)),Q$2,)</f>
        <v>0</v>
      </c>
      <c r="R4" s="179">
        <f ca="1">IF(ISNUMBER(MATCH(DATEVALUE($A4),'recurring1_based on steps'!R$1:R$400,0)),R$2,)</f>
        <v>0</v>
      </c>
      <c r="S4" s="179">
        <f ca="1">IF(ISNUMBER(MATCH(DATEVALUE($A4),'recurring1_based on steps'!S$1:S$400,0)),S$2,)</f>
        <v>0</v>
      </c>
      <c r="T4" s="179">
        <f ca="1">IF(ISNUMBER(MATCH(DATEVALUE($A4),'recurring1_based on steps'!T$1:T$400,0)),T$2,)</f>
        <v>0</v>
      </c>
      <c r="U4" s="179">
        <f ca="1">IF(ISNUMBER(MATCH(DATEVALUE($A4),'recurring1_based on steps'!U$1:U$400,0)),U$2,)</f>
        <v>0</v>
      </c>
      <c r="V4" s="179">
        <f ca="1">IF(ISNUMBER(MATCH(DATEVALUE($A4),'recurring1_based on steps'!V$1:V$400,0)),V$2,)</f>
        <v>0</v>
      </c>
      <c r="W4" s="179">
        <f ca="1">IF(ISNUMBER(MATCH(DATEVALUE($A4),'recurring1_based on steps'!W$1:W$400,0)),W$2,)</f>
        <v>0</v>
      </c>
      <c r="X4" s="179">
        <f ca="1">IF(ISNUMBER(MATCH(DATEVALUE($A4),'recurring1_based on steps'!X$1:X$400,0)),X$2,)</f>
        <v>0</v>
      </c>
      <c r="Y4" s="179">
        <f ca="1">IF(ISNUMBER(MATCH(DATEVALUE($A4),'recurring1_based on steps'!Y$1:Y$400,0)),Y$2,)</f>
        <v>0</v>
      </c>
      <c r="Z4" s="179">
        <f ca="1">IF(ISNUMBER(MATCH(DATEVALUE($A4),'recurring1_based on steps'!Z$1:Z$400,0)),Z$2,)</f>
        <v>0</v>
      </c>
      <c r="AA4" s="179">
        <f ca="1">IF(ISNUMBER(MATCH(DATEVALUE($A4),'recurring1_based on steps'!AA$1:AA$400,0)),AA$2,)</f>
        <v>0</v>
      </c>
      <c r="AB4" s="179">
        <f ca="1">IF(ISNUMBER(MATCH(DATEVALUE($A4),'recurring1_based on steps'!AB$1:AB$400,0)),AB$2,)</f>
        <v>0</v>
      </c>
      <c r="AC4" s="179">
        <f ca="1">IF(ISNUMBER(MATCH(DATEVALUE($A4),'recurring1_based on steps'!AC$1:AC$400,0)),AC$2,)</f>
        <v>0</v>
      </c>
      <c r="AD4" s="179">
        <f ca="1">IF(ISNUMBER(MATCH(DATEVALUE($A4),'recurring1_based on steps'!AD$1:AD$400,0)),AD$2,)</f>
        <v>0</v>
      </c>
      <c r="AE4" s="179">
        <f ca="1">IF(ISNUMBER(MATCH(DATEVALUE($A4),'recurring1_based on steps'!AE$1:AE$400,0)),AE$2,)</f>
        <v>0</v>
      </c>
      <c r="AF4" s="179">
        <f ca="1">IF(ISNUMBER(MATCH(DATEVALUE($A4),'recurring1_based on steps'!AF$1:AF$400,0)),AF$2,)</f>
        <v>0</v>
      </c>
      <c r="AG4" s="179">
        <f ca="1">IF(ISNUMBER(MATCH(DATEVALUE($A4),'recurring1_based on steps'!AG$1:AG$400,0)),AG$2,)</f>
        <v>0</v>
      </c>
      <c r="AH4" s="179">
        <f ca="1">IF(ISNUMBER(MATCH(DATEVALUE($A4),'recurring1_based on steps'!AH$1:AH$400,0)),AH$2,)</f>
        <v>0</v>
      </c>
      <c r="AI4" s="179">
        <f ca="1">IF(ISNUMBER(MATCH(DATEVALUE($A4),'recurring1_based on steps'!AI$1:AI$400,0)),AI$2,)</f>
        <v>0</v>
      </c>
      <c r="AJ4" s="179">
        <f ca="1">IF(ISNUMBER(MATCH(DATEVALUE($A4),'recurring1_based on steps'!AJ$1:AJ$400,0)),AJ$2,)</f>
        <v>0</v>
      </c>
      <c r="AK4" s="179">
        <f ca="1">IF(ISNUMBER(MATCH(DATEVALUE($A4),'recurring1_based on steps'!AK$1:AK$400,0)),AK$2,)</f>
        <v>0</v>
      </c>
      <c r="AL4" s="179">
        <f ca="1">IF(ISNUMBER(MATCH(DATEVALUE($A4),'recurring1_based on steps'!AL$1:AL$400,0)),AL$2,)</f>
        <v>0</v>
      </c>
      <c r="AM4" s="179">
        <f ca="1">IF(ISNUMBER(MATCH(DATEVALUE($A4),'recurring1_based on steps'!AM$1:AM$400,0)),AM$2,)</f>
        <v>0</v>
      </c>
      <c r="AN4" s="179">
        <f ca="1">IF(ISNUMBER(MATCH(DATEVALUE($A4),'recurring1_based on steps'!AN$1:AN$400,0)),AN$2,)</f>
        <v>0</v>
      </c>
      <c r="AO4" s="179">
        <f ca="1">IF(ISNUMBER(MATCH(DATEVALUE($A4),'recurring1_based on steps'!AO$1:AO$400,0)),AO$2,)</f>
        <v>0</v>
      </c>
      <c r="AP4" s="179">
        <f ca="1">IF(ISNUMBER(MATCH(DATEVALUE($A4),'recurring1_based on steps'!AP$1:AP$400,0)),AP$2,)</f>
        <v>0</v>
      </c>
      <c r="AQ4" s="179">
        <f ca="1">IF(ISNUMBER(MATCH(DATEVALUE($A4),'recurring1_based on steps'!AQ$1:AQ$400,0)),AQ$2,)</f>
        <v>0</v>
      </c>
      <c r="AR4" s="179">
        <f ca="1">IF(ISNUMBER(MATCH(DATEVALUE($A4),'recurring1_based on steps'!AR$1:AR$400,0)),AR$2,)</f>
        <v>0</v>
      </c>
      <c r="AS4" s="179">
        <f ca="1">IF(ISNUMBER(MATCH(DATEVALUE($A4),'recurring1_based on steps'!AS$1:AS$400,0)),AS$2,)</f>
        <v>0</v>
      </c>
      <c r="AT4" s="179">
        <f ca="1">IF(ISNUMBER(MATCH(DATEVALUE($A4),'recurring1_based on steps'!AT$1:AT$400,0)),AT$2,)</f>
        <v>0</v>
      </c>
      <c r="AU4" s="179">
        <f ca="1">IF(ISNUMBER(MATCH(DATEVALUE($A4),'recurring1_based on steps'!AU$1:AU$400,0)),AU$2,)</f>
        <v>0</v>
      </c>
      <c r="AV4" s="179">
        <f ca="1">IF(ISNUMBER(MATCH(DATEVALUE($A4),'recurring1_based on steps'!AV$1:AV$400,0)),AV$2,)</f>
        <v>0</v>
      </c>
      <c r="AW4" s="179">
        <f ca="1">IF(ISNUMBER(MATCH(DATEVALUE($A4),'recurring1_based on steps'!AW$1:AW$400,0)),AW$2,)</f>
        <v>0</v>
      </c>
      <c r="AX4" s="179">
        <f ca="1">IF(ISNUMBER(MATCH(DATEVALUE($A4),'recurring1_based on steps'!AX$1:AX$400,0)),AX$2,)</f>
        <v>0</v>
      </c>
      <c r="AY4" s="179">
        <f ca="1">IF(ISNUMBER(MATCH(DATEVALUE($A4),'recurring1_based on steps'!AY$1:AY$400,0)),AY$2,)</f>
        <v>0</v>
      </c>
    </row>
    <row r="5" spans="1:51" x14ac:dyDescent="0.2">
      <c r="A5" s="32" t="str">
        <f t="shared" ref="A5:A68" ca="1" si="0">TEXT(DATEVALUE(A4)+1,"yyyy-mm-dd")</f>
        <v>2025-04-07</v>
      </c>
      <c r="B5" s="179">
        <f ca="1">IF(ISNUMBER(MATCH(DATEVALUE($A5),'recurring1_based on steps'!B$1:B$400,0)),B$2,)</f>
        <v>0</v>
      </c>
      <c r="C5" s="179">
        <f ca="1">IF(ISNUMBER(MATCH(DATEVALUE($A5),'recurring1_based on steps'!C$1:C$400,0)),C$2,)</f>
        <v>0</v>
      </c>
      <c r="D5" s="179">
        <f ca="1">IF(ISNUMBER(MATCH(DATEVALUE($A5),'recurring1_based on steps'!D$1:D$400,0)),D$2,)</f>
        <v>0</v>
      </c>
      <c r="E5" s="179">
        <f ca="1">IF(ISNUMBER(MATCH(DATEVALUE($A5),'recurring1_based on steps'!E$1:E$400,0)),E$2,)</f>
        <v>0</v>
      </c>
      <c r="F5" s="179">
        <f ca="1">IF(ISNUMBER(MATCH(DATEVALUE($A5),'recurring1_based on steps'!F$1:F$400,0)),F$2,)</f>
        <v>0</v>
      </c>
      <c r="G5" s="179">
        <f ca="1">IF(ISNUMBER(MATCH(DATEVALUE($A5),'recurring1_based on steps'!G$1:G$400,0)),G$2,)</f>
        <v>0</v>
      </c>
      <c r="H5" s="179">
        <f ca="1">IF(ISNUMBER(MATCH(DATEVALUE($A5),'recurring1_based on steps'!H$1:H$400,0)),H$2,)</f>
        <v>0</v>
      </c>
      <c r="I5" s="179">
        <f ca="1">IF(ISNUMBER(MATCH(DATEVALUE($A5),'recurring1_based on steps'!I$1:I$400,0)),I$2,)</f>
        <v>0</v>
      </c>
      <c r="J5" s="179">
        <f ca="1">IF(ISNUMBER(MATCH(DATEVALUE($A5),'recurring1_based on steps'!J$1:J$400,0)),J$2,)</f>
        <v>0</v>
      </c>
      <c r="K5" s="179">
        <f ca="1">IF(ISNUMBER(MATCH(DATEVALUE($A5),'recurring1_based on steps'!K$1:K$400,0)),K$2,)</f>
        <v>0</v>
      </c>
      <c r="L5" s="179">
        <f ca="1">IF(ISNUMBER(MATCH(DATEVALUE($A5),'recurring1_based on steps'!L$1:L$400,0)),L$2,)</f>
        <v>0</v>
      </c>
      <c r="M5" s="179">
        <f ca="1">IF(ISNUMBER(MATCH(DATEVALUE($A5),'recurring1_based on steps'!M$1:M$400,0)),M$2,)</f>
        <v>0</v>
      </c>
      <c r="N5" s="179">
        <f ca="1">IF(ISNUMBER(MATCH(DATEVALUE($A5),'recurring1_based on steps'!N$1:N$400,0)),N$2,)</f>
        <v>0</v>
      </c>
      <c r="O5" s="179">
        <f ca="1">IF(ISNUMBER(MATCH(DATEVALUE($A5),'recurring1_based on steps'!O$1:O$400,0)),O$2,)</f>
        <v>0</v>
      </c>
      <c r="P5" s="179">
        <f ca="1">IF(ISNUMBER(MATCH(DATEVALUE($A5),'recurring1_based on steps'!P$1:P$400,0)),P$2,)</f>
        <v>0</v>
      </c>
      <c r="Q5" s="179">
        <f ca="1">IF(ISNUMBER(MATCH(DATEVALUE($A5),'recurring1_based on steps'!Q$1:Q$400,0)),Q$2,)</f>
        <v>0</v>
      </c>
      <c r="R5" s="179">
        <f ca="1">IF(ISNUMBER(MATCH(DATEVALUE($A5),'recurring1_based on steps'!R$1:R$400,0)),R$2,)</f>
        <v>0</v>
      </c>
      <c r="S5" s="179">
        <f ca="1">IF(ISNUMBER(MATCH(DATEVALUE($A5),'recurring1_based on steps'!S$1:S$400,0)),S$2,)</f>
        <v>0</v>
      </c>
      <c r="T5" s="179">
        <f ca="1">IF(ISNUMBER(MATCH(DATEVALUE($A5),'recurring1_based on steps'!T$1:T$400,0)),T$2,)</f>
        <v>0</v>
      </c>
      <c r="U5" s="179">
        <f ca="1">IF(ISNUMBER(MATCH(DATEVALUE($A5),'recurring1_based on steps'!U$1:U$400,0)),U$2,)</f>
        <v>0</v>
      </c>
      <c r="V5" s="179">
        <f ca="1">IF(ISNUMBER(MATCH(DATEVALUE($A5),'recurring1_based on steps'!V$1:V$400,0)),V$2,)</f>
        <v>0</v>
      </c>
      <c r="W5" s="179">
        <f ca="1">IF(ISNUMBER(MATCH(DATEVALUE($A5),'recurring1_based on steps'!W$1:W$400,0)),W$2,)</f>
        <v>0</v>
      </c>
      <c r="X5" s="179">
        <f ca="1">IF(ISNUMBER(MATCH(DATEVALUE($A5),'recurring1_based on steps'!X$1:X$400,0)),X$2,)</f>
        <v>0</v>
      </c>
      <c r="Y5" s="179">
        <f ca="1">IF(ISNUMBER(MATCH(DATEVALUE($A5),'recurring1_based on steps'!Y$1:Y$400,0)),Y$2,)</f>
        <v>0</v>
      </c>
      <c r="Z5" s="179">
        <f ca="1">IF(ISNUMBER(MATCH(DATEVALUE($A5),'recurring1_based on steps'!Z$1:Z$400,0)),Z$2,)</f>
        <v>0</v>
      </c>
      <c r="AA5" s="179">
        <f ca="1">IF(ISNUMBER(MATCH(DATEVALUE($A5),'recurring1_based on steps'!AA$1:AA$400,0)),AA$2,)</f>
        <v>0</v>
      </c>
      <c r="AB5" s="179">
        <f ca="1">IF(ISNUMBER(MATCH(DATEVALUE($A5),'recurring1_based on steps'!AB$1:AB$400,0)),AB$2,)</f>
        <v>0</v>
      </c>
      <c r="AC5" s="179">
        <f ca="1">IF(ISNUMBER(MATCH(DATEVALUE($A5),'recurring1_based on steps'!AC$1:AC$400,0)),AC$2,)</f>
        <v>0</v>
      </c>
      <c r="AD5" s="179">
        <f ca="1">IF(ISNUMBER(MATCH(DATEVALUE($A5),'recurring1_based on steps'!AD$1:AD$400,0)),AD$2,)</f>
        <v>0</v>
      </c>
      <c r="AE5" s="179">
        <f ca="1">IF(ISNUMBER(MATCH(DATEVALUE($A5),'recurring1_based on steps'!AE$1:AE$400,0)),AE$2,)</f>
        <v>0</v>
      </c>
      <c r="AF5" s="179">
        <f ca="1">IF(ISNUMBER(MATCH(DATEVALUE($A5),'recurring1_based on steps'!AF$1:AF$400,0)),AF$2,)</f>
        <v>0</v>
      </c>
      <c r="AG5" s="179">
        <f ca="1">IF(ISNUMBER(MATCH(DATEVALUE($A5),'recurring1_based on steps'!AG$1:AG$400,0)),AG$2,)</f>
        <v>0</v>
      </c>
      <c r="AH5" s="179">
        <f ca="1">IF(ISNUMBER(MATCH(DATEVALUE($A5),'recurring1_based on steps'!AH$1:AH$400,0)),AH$2,)</f>
        <v>0</v>
      </c>
      <c r="AI5" s="179">
        <f ca="1">IF(ISNUMBER(MATCH(DATEVALUE($A5),'recurring1_based on steps'!AI$1:AI$400,0)),AI$2,)</f>
        <v>0</v>
      </c>
      <c r="AJ5" s="179">
        <f ca="1">IF(ISNUMBER(MATCH(DATEVALUE($A5),'recurring1_based on steps'!AJ$1:AJ$400,0)),AJ$2,)</f>
        <v>0</v>
      </c>
      <c r="AK5" s="179">
        <f ca="1">IF(ISNUMBER(MATCH(DATEVALUE($A5),'recurring1_based on steps'!AK$1:AK$400,0)),AK$2,)</f>
        <v>0</v>
      </c>
      <c r="AL5" s="179">
        <f ca="1">IF(ISNUMBER(MATCH(DATEVALUE($A5),'recurring1_based on steps'!AL$1:AL$400,0)),AL$2,)</f>
        <v>0</v>
      </c>
      <c r="AM5" s="179">
        <f ca="1">IF(ISNUMBER(MATCH(DATEVALUE($A5),'recurring1_based on steps'!AM$1:AM$400,0)),AM$2,)</f>
        <v>0</v>
      </c>
      <c r="AN5" s="179">
        <f ca="1">IF(ISNUMBER(MATCH(DATEVALUE($A5),'recurring1_based on steps'!AN$1:AN$400,0)),AN$2,)</f>
        <v>0</v>
      </c>
      <c r="AO5" s="179">
        <f ca="1">IF(ISNUMBER(MATCH(DATEVALUE($A5),'recurring1_based on steps'!AO$1:AO$400,0)),AO$2,)</f>
        <v>0</v>
      </c>
      <c r="AP5" s="179">
        <f ca="1">IF(ISNUMBER(MATCH(DATEVALUE($A5),'recurring1_based on steps'!AP$1:AP$400,0)),AP$2,)</f>
        <v>0</v>
      </c>
      <c r="AQ5" s="179">
        <f ca="1">IF(ISNUMBER(MATCH(DATEVALUE($A5),'recurring1_based on steps'!AQ$1:AQ$400,0)),AQ$2,)</f>
        <v>0</v>
      </c>
      <c r="AR5" s="179">
        <f ca="1">IF(ISNUMBER(MATCH(DATEVALUE($A5),'recurring1_based on steps'!AR$1:AR$400,0)),AR$2,)</f>
        <v>0</v>
      </c>
      <c r="AS5" s="179">
        <f ca="1">IF(ISNUMBER(MATCH(DATEVALUE($A5),'recurring1_based on steps'!AS$1:AS$400,0)),AS$2,)</f>
        <v>0</v>
      </c>
      <c r="AT5" s="179">
        <f ca="1">IF(ISNUMBER(MATCH(DATEVALUE($A5),'recurring1_based on steps'!AT$1:AT$400,0)),AT$2,)</f>
        <v>0</v>
      </c>
      <c r="AU5" s="179">
        <f ca="1">IF(ISNUMBER(MATCH(DATEVALUE($A5),'recurring1_based on steps'!AU$1:AU$400,0)),AU$2,)</f>
        <v>0</v>
      </c>
      <c r="AV5" s="179">
        <f ca="1">IF(ISNUMBER(MATCH(DATEVALUE($A5),'recurring1_based on steps'!AV$1:AV$400,0)),AV$2,)</f>
        <v>0</v>
      </c>
      <c r="AW5" s="179">
        <f ca="1">IF(ISNUMBER(MATCH(DATEVALUE($A5),'recurring1_based on steps'!AW$1:AW$400,0)),AW$2,)</f>
        <v>0</v>
      </c>
      <c r="AX5" s="179">
        <f ca="1">IF(ISNUMBER(MATCH(DATEVALUE($A5),'recurring1_based on steps'!AX$1:AX$400,0)),AX$2,)</f>
        <v>0</v>
      </c>
      <c r="AY5" s="179">
        <f ca="1">IF(ISNUMBER(MATCH(DATEVALUE($A5),'recurring1_based on steps'!AY$1:AY$400,0)),AY$2,)</f>
        <v>0</v>
      </c>
    </row>
    <row r="6" spans="1:51" x14ac:dyDescent="0.2">
      <c r="A6" s="32" t="str">
        <f t="shared" ca="1" si="0"/>
        <v>2025-04-08</v>
      </c>
      <c r="B6" s="179">
        <f ca="1">IF(ISNUMBER(MATCH(DATEVALUE($A6),'recurring1_based on steps'!B$1:B$400,0)),B$2,)</f>
        <v>0</v>
      </c>
      <c r="C6" s="179">
        <f ca="1">IF(ISNUMBER(MATCH(DATEVALUE($A6),'recurring1_based on steps'!C$1:C$400,0)),C$2,)</f>
        <v>0</v>
      </c>
      <c r="D6" s="179">
        <f ca="1">IF(ISNUMBER(MATCH(DATEVALUE($A6),'recurring1_based on steps'!D$1:D$400,0)),D$2,)</f>
        <v>0</v>
      </c>
      <c r="E6" s="179">
        <f ca="1">IF(ISNUMBER(MATCH(DATEVALUE($A6),'recurring1_based on steps'!E$1:E$400,0)),E$2,)</f>
        <v>0</v>
      </c>
      <c r="F6" s="179">
        <f ca="1">IF(ISNUMBER(MATCH(DATEVALUE($A6),'recurring1_based on steps'!F$1:F$400,0)),F$2,)</f>
        <v>0</v>
      </c>
      <c r="G6" s="179">
        <f ca="1">IF(ISNUMBER(MATCH(DATEVALUE($A6),'recurring1_based on steps'!G$1:G$400,0)),G$2,)</f>
        <v>0</v>
      </c>
      <c r="H6" s="179">
        <f ca="1">IF(ISNUMBER(MATCH(DATEVALUE($A6),'recurring1_based on steps'!H$1:H$400,0)),H$2,)</f>
        <v>0</v>
      </c>
      <c r="I6" s="179">
        <f ca="1">IF(ISNUMBER(MATCH(DATEVALUE($A6),'recurring1_based on steps'!I$1:I$400,0)),I$2,)</f>
        <v>0</v>
      </c>
      <c r="J6" s="179">
        <f ca="1">IF(ISNUMBER(MATCH(DATEVALUE($A6),'recurring1_based on steps'!J$1:J$400,0)),J$2,)</f>
        <v>0</v>
      </c>
      <c r="K6" s="179">
        <f ca="1">IF(ISNUMBER(MATCH(DATEVALUE($A6),'recurring1_based on steps'!K$1:K$400,0)),K$2,)</f>
        <v>0</v>
      </c>
      <c r="L6" s="179">
        <f ca="1">IF(ISNUMBER(MATCH(DATEVALUE($A6),'recurring1_based on steps'!L$1:L$400,0)),L$2,)</f>
        <v>0</v>
      </c>
      <c r="M6" s="179">
        <f ca="1">IF(ISNUMBER(MATCH(DATEVALUE($A6),'recurring1_based on steps'!M$1:M$400,0)),M$2,)</f>
        <v>0</v>
      </c>
      <c r="N6" s="179">
        <f ca="1">IF(ISNUMBER(MATCH(DATEVALUE($A6),'recurring1_based on steps'!N$1:N$400,0)),N$2,)</f>
        <v>0</v>
      </c>
      <c r="O6" s="179">
        <f ca="1">IF(ISNUMBER(MATCH(DATEVALUE($A6),'recurring1_based on steps'!O$1:O$400,0)),O$2,)</f>
        <v>0</v>
      </c>
      <c r="P6" s="179">
        <f ca="1">IF(ISNUMBER(MATCH(DATEVALUE($A6),'recurring1_based on steps'!P$1:P$400,0)),P$2,)</f>
        <v>0</v>
      </c>
      <c r="Q6" s="179">
        <f ca="1">IF(ISNUMBER(MATCH(DATEVALUE($A6),'recurring1_based on steps'!Q$1:Q$400,0)),Q$2,)</f>
        <v>0</v>
      </c>
      <c r="R6" s="179">
        <f ca="1">IF(ISNUMBER(MATCH(DATEVALUE($A6),'recurring1_based on steps'!R$1:R$400,0)),R$2,)</f>
        <v>0</v>
      </c>
      <c r="S6" s="179">
        <f ca="1">IF(ISNUMBER(MATCH(DATEVALUE($A6),'recurring1_based on steps'!S$1:S$400,0)),S$2,)</f>
        <v>0</v>
      </c>
      <c r="T6" s="179">
        <f ca="1">IF(ISNUMBER(MATCH(DATEVALUE($A6),'recurring1_based on steps'!T$1:T$400,0)),T$2,)</f>
        <v>0</v>
      </c>
      <c r="U6" s="179">
        <f ca="1">IF(ISNUMBER(MATCH(DATEVALUE($A6),'recurring1_based on steps'!U$1:U$400,0)),U$2,)</f>
        <v>0</v>
      </c>
      <c r="V6" s="179">
        <f ca="1">IF(ISNUMBER(MATCH(DATEVALUE($A6),'recurring1_based on steps'!V$1:V$400,0)),V$2,)</f>
        <v>0</v>
      </c>
      <c r="W6" s="179">
        <f ca="1">IF(ISNUMBER(MATCH(DATEVALUE($A6),'recurring1_based on steps'!W$1:W$400,0)),W$2,)</f>
        <v>0</v>
      </c>
      <c r="X6" s="179">
        <f ca="1">IF(ISNUMBER(MATCH(DATEVALUE($A6),'recurring1_based on steps'!X$1:X$400,0)),X$2,)</f>
        <v>0</v>
      </c>
      <c r="Y6" s="179">
        <f ca="1">IF(ISNUMBER(MATCH(DATEVALUE($A6),'recurring1_based on steps'!Y$1:Y$400,0)),Y$2,)</f>
        <v>0</v>
      </c>
      <c r="Z6" s="179">
        <f ca="1">IF(ISNUMBER(MATCH(DATEVALUE($A6),'recurring1_based on steps'!Z$1:Z$400,0)),Z$2,)</f>
        <v>0</v>
      </c>
      <c r="AA6" s="179">
        <f ca="1">IF(ISNUMBER(MATCH(DATEVALUE($A6),'recurring1_based on steps'!AA$1:AA$400,0)),AA$2,)</f>
        <v>0</v>
      </c>
      <c r="AB6" s="179">
        <f ca="1">IF(ISNUMBER(MATCH(DATEVALUE($A6),'recurring1_based on steps'!AB$1:AB$400,0)),AB$2,)</f>
        <v>0</v>
      </c>
      <c r="AC6" s="179">
        <f ca="1">IF(ISNUMBER(MATCH(DATEVALUE($A6),'recurring1_based on steps'!AC$1:AC$400,0)),AC$2,)</f>
        <v>0</v>
      </c>
      <c r="AD6" s="179">
        <f ca="1">IF(ISNUMBER(MATCH(DATEVALUE($A6),'recurring1_based on steps'!AD$1:AD$400,0)),AD$2,)</f>
        <v>0</v>
      </c>
      <c r="AE6" s="179">
        <f ca="1">IF(ISNUMBER(MATCH(DATEVALUE($A6),'recurring1_based on steps'!AE$1:AE$400,0)),AE$2,)</f>
        <v>0</v>
      </c>
      <c r="AF6" s="179">
        <f ca="1">IF(ISNUMBER(MATCH(DATEVALUE($A6),'recurring1_based on steps'!AF$1:AF$400,0)),AF$2,)</f>
        <v>0</v>
      </c>
      <c r="AG6" s="179">
        <f ca="1">IF(ISNUMBER(MATCH(DATEVALUE($A6),'recurring1_based on steps'!AG$1:AG$400,0)),AG$2,)</f>
        <v>0</v>
      </c>
      <c r="AH6" s="179">
        <f ca="1">IF(ISNUMBER(MATCH(DATEVALUE($A6),'recurring1_based on steps'!AH$1:AH$400,0)),AH$2,)</f>
        <v>0</v>
      </c>
      <c r="AI6" s="179">
        <f ca="1">IF(ISNUMBER(MATCH(DATEVALUE($A6),'recurring1_based on steps'!AI$1:AI$400,0)),AI$2,)</f>
        <v>0</v>
      </c>
      <c r="AJ6" s="179">
        <f ca="1">IF(ISNUMBER(MATCH(DATEVALUE($A6),'recurring1_based on steps'!AJ$1:AJ$400,0)),AJ$2,)</f>
        <v>0</v>
      </c>
      <c r="AK6" s="179">
        <f ca="1">IF(ISNUMBER(MATCH(DATEVALUE($A6),'recurring1_based on steps'!AK$1:AK$400,0)),AK$2,)</f>
        <v>0</v>
      </c>
      <c r="AL6" s="179">
        <f ca="1">IF(ISNUMBER(MATCH(DATEVALUE($A6),'recurring1_based on steps'!AL$1:AL$400,0)),AL$2,)</f>
        <v>0</v>
      </c>
      <c r="AM6" s="179">
        <f ca="1">IF(ISNUMBER(MATCH(DATEVALUE($A6),'recurring1_based on steps'!AM$1:AM$400,0)),AM$2,)</f>
        <v>0</v>
      </c>
      <c r="AN6" s="179">
        <f ca="1">IF(ISNUMBER(MATCH(DATEVALUE($A6),'recurring1_based on steps'!AN$1:AN$400,0)),AN$2,)</f>
        <v>0</v>
      </c>
      <c r="AO6" s="179">
        <f ca="1">IF(ISNUMBER(MATCH(DATEVALUE($A6),'recurring1_based on steps'!AO$1:AO$400,0)),AO$2,)</f>
        <v>0</v>
      </c>
      <c r="AP6" s="179">
        <f ca="1">IF(ISNUMBER(MATCH(DATEVALUE($A6),'recurring1_based on steps'!AP$1:AP$400,0)),AP$2,)</f>
        <v>0</v>
      </c>
      <c r="AQ6" s="179">
        <f ca="1">IF(ISNUMBER(MATCH(DATEVALUE($A6),'recurring1_based on steps'!AQ$1:AQ$400,0)),AQ$2,)</f>
        <v>0</v>
      </c>
      <c r="AR6" s="179">
        <f ca="1">IF(ISNUMBER(MATCH(DATEVALUE($A6),'recurring1_based on steps'!AR$1:AR$400,0)),AR$2,)</f>
        <v>0</v>
      </c>
      <c r="AS6" s="179">
        <f ca="1">IF(ISNUMBER(MATCH(DATEVALUE($A6),'recurring1_based on steps'!AS$1:AS$400,0)),AS$2,)</f>
        <v>0</v>
      </c>
      <c r="AT6" s="179">
        <f ca="1">IF(ISNUMBER(MATCH(DATEVALUE($A6),'recurring1_based on steps'!AT$1:AT$400,0)),AT$2,)</f>
        <v>0</v>
      </c>
      <c r="AU6" s="179">
        <f ca="1">IF(ISNUMBER(MATCH(DATEVALUE($A6),'recurring1_based on steps'!AU$1:AU$400,0)),AU$2,)</f>
        <v>0</v>
      </c>
      <c r="AV6" s="179">
        <f ca="1">IF(ISNUMBER(MATCH(DATEVALUE($A6),'recurring1_based on steps'!AV$1:AV$400,0)),AV$2,)</f>
        <v>0</v>
      </c>
      <c r="AW6" s="179">
        <f ca="1">IF(ISNUMBER(MATCH(DATEVALUE($A6),'recurring1_based on steps'!AW$1:AW$400,0)),AW$2,)</f>
        <v>0</v>
      </c>
      <c r="AX6" s="179">
        <f ca="1">IF(ISNUMBER(MATCH(DATEVALUE($A6),'recurring1_based on steps'!AX$1:AX$400,0)),AX$2,)</f>
        <v>0</v>
      </c>
      <c r="AY6" s="179">
        <f ca="1">IF(ISNUMBER(MATCH(DATEVALUE($A6),'recurring1_based on steps'!AY$1:AY$400,0)),AY$2,)</f>
        <v>0</v>
      </c>
    </row>
    <row r="7" spans="1:51" x14ac:dyDescent="0.2">
      <c r="A7" s="32" t="str">
        <f t="shared" ca="1" si="0"/>
        <v>2025-04-09</v>
      </c>
      <c r="B7" s="179">
        <f ca="1">IF(ISNUMBER(MATCH(DATEVALUE($A7),'recurring1_based on steps'!B$1:B$400,0)),B$2,)</f>
        <v>0</v>
      </c>
      <c r="C7" s="179">
        <f ca="1">IF(ISNUMBER(MATCH(DATEVALUE($A7),'recurring1_based on steps'!C$1:C$400,0)),C$2,)</f>
        <v>0</v>
      </c>
      <c r="D7" s="179">
        <f ca="1">IF(ISNUMBER(MATCH(DATEVALUE($A7),'recurring1_based on steps'!D$1:D$400,0)),D$2,)</f>
        <v>0</v>
      </c>
      <c r="E7" s="179">
        <f ca="1">IF(ISNUMBER(MATCH(DATEVALUE($A7),'recurring1_based on steps'!E$1:E$400,0)),E$2,)</f>
        <v>0</v>
      </c>
      <c r="F7" s="179">
        <f ca="1">IF(ISNUMBER(MATCH(DATEVALUE($A7),'recurring1_based on steps'!F$1:F$400,0)),F$2,)</f>
        <v>0</v>
      </c>
      <c r="G7" s="179">
        <f ca="1">IF(ISNUMBER(MATCH(DATEVALUE($A7),'recurring1_based on steps'!G$1:G$400,0)),G$2,)</f>
        <v>0</v>
      </c>
      <c r="H7" s="179">
        <f ca="1">IF(ISNUMBER(MATCH(DATEVALUE($A7),'recurring1_based on steps'!H$1:H$400,0)),H$2,)</f>
        <v>0</v>
      </c>
      <c r="I7" s="179">
        <f ca="1">IF(ISNUMBER(MATCH(DATEVALUE($A7),'recurring1_based on steps'!I$1:I$400,0)),I$2,)</f>
        <v>0</v>
      </c>
      <c r="J7" s="179">
        <f ca="1">IF(ISNUMBER(MATCH(DATEVALUE($A7),'recurring1_based on steps'!J$1:J$400,0)),J$2,)</f>
        <v>0</v>
      </c>
      <c r="K7" s="179">
        <f ca="1">IF(ISNUMBER(MATCH(DATEVALUE($A7),'recurring1_based on steps'!K$1:K$400,0)),K$2,)</f>
        <v>0</v>
      </c>
      <c r="L7" s="179">
        <f ca="1">IF(ISNUMBER(MATCH(DATEVALUE($A7),'recurring1_based on steps'!L$1:L$400,0)),L$2,)</f>
        <v>0</v>
      </c>
      <c r="M7" s="179">
        <f ca="1">IF(ISNUMBER(MATCH(DATEVALUE($A7),'recurring1_based on steps'!M$1:M$400,0)),M$2,)</f>
        <v>0</v>
      </c>
      <c r="N7" s="179">
        <f ca="1">IF(ISNUMBER(MATCH(DATEVALUE($A7),'recurring1_based on steps'!N$1:N$400,0)),N$2,)</f>
        <v>0</v>
      </c>
      <c r="O7" s="179">
        <f ca="1">IF(ISNUMBER(MATCH(DATEVALUE($A7),'recurring1_based on steps'!O$1:O$400,0)),O$2,)</f>
        <v>0</v>
      </c>
      <c r="P7" s="179">
        <f ca="1">IF(ISNUMBER(MATCH(DATEVALUE($A7),'recurring1_based on steps'!P$1:P$400,0)),P$2,)</f>
        <v>0</v>
      </c>
      <c r="Q7" s="179">
        <f ca="1">IF(ISNUMBER(MATCH(DATEVALUE($A7),'recurring1_based on steps'!Q$1:Q$400,0)),Q$2,)</f>
        <v>0</v>
      </c>
      <c r="R7" s="179">
        <f ca="1">IF(ISNUMBER(MATCH(DATEVALUE($A7),'recurring1_based on steps'!R$1:R$400,0)),R$2,)</f>
        <v>0</v>
      </c>
      <c r="S7" s="179">
        <f ca="1">IF(ISNUMBER(MATCH(DATEVALUE($A7),'recurring1_based on steps'!S$1:S$400,0)),S$2,)</f>
        <v>0</v>
      </c>
      <c r="T7" s="179">
        <f ca="1">IF(ISNUMBER(MATCH(DATEVALUE($A7),'recurring1_based on steps'!T$1:T$400,0)),T$2,)</f>
        <v>0</v>
      </c>
      <c r="U7" s="179">
        <f ca="1">IF(ISNUMBER(MATCH(DATEVALUE($A7),'recurring1_based on steps'!U$1:U$400,0)),U$2,)</f>
        <v>0</v>
      </c>
      <c r="V7" s="179">
        <f ca="1">IF(ISNUMBER(MATCH(DATEVALUE($A7),'recurring1_based on steps'!V$1:V$400,0)),V$2,)</f>
        <v>0</v>
      </c>
      <c r="W7" s="179">
        <f ca="1">IF(ISNUMBER(MATCH(DATEVALUE($A7),'recurring1_based on steps'!W$1:W$400,0)),W$2,)</f>
        <v>0</v>
      </c>
      <c r="X7" s="179">
        <f ca="1">IF(ISNUMBER(MATCH(DATEVALUE($A7),'recurring1_based on steps'!X$1:X$400,0)),X$2,)</f>
        <v>0</v>
      </c>
      <c r="Y7" s="179">
        <f ca="1">IF(ISNUMBER(MATCH(DATEVALUE($A7),'recurring1_based on steps'!Y$1:Y$400,0)),Y$2,)</f>
        <v>0</v>
      </c>
      <c r="Z7" s="179">
        <f ca="1">IF(ISNUMBER(MATCH(DATEVALUE($A7),'recurring1_based on steps'!Z$1:Z$400,0)),Z$2,)</f>
        <v>0</v>
      </c>
      <c r="AA7" s="179">
        <f ca="1">IF(ISNUMBER(MATCH(DATEVALUE($A7),'recurring1_based on steps'!AA$1:AA$400,0)),AA$2,)</f>
        <v>0</v>
      </c>
      <c r="AB7" s="179">
        <f ca="1">IF(ISNUMBER(MATCH(DATEVALUE($A7),'recurring1_based on steps'!AB$1:AB$400,0)),AB$2,)</f>
        <v>0</v>
      </c>
      <c r="AC7" s="179">
        <f ca="1">IF(ISNUMBER(MATCH(DATEVALUE($A7),'recurring1_based on steps'!AC$1:AC$400,0)),AC$2,)</f>
        <v>0</v>
      </c>
      <c r="AD7" s="179">
        <f ca="1">IF(ISNUMBER(MATCH(DATEVALUE($A7),'recurring1_based on steps'!AD$1:AD$400,0)),AD$2,)</f>
        <v>0</v>
      </c>
      <c r="AE7" s="179">
        <f ca="1">IF(ISNUMBER(MATCH(DATEVALUE($A7),'recurring1_based on steps'!AE$1:AE$400,0)),AE$2,)</f>
        <v>0</v>
      </c>
      <c r="AF7" s="179">
        <f ca="1">IF(ISNUMBER(MATCH(DATEVALUE($A7),'recurring1_based on steps'!AF$1:AF$400,0)),AF$2,)</f>
        <v>0</v>
      </c>
      <c r="AG7" s="179">
        <f ca="1">IF(ISNUMBER(MATCH(DATEVALUE($A7),'recurring1_based on steps'!AG$1:AG$400,0)),AG$2,)</f>
        <v>0</v>
      </c>
      <c r="AH7" s="179">
        <f ca="1">IF(ISNUMBER(MATCH(DATEVALUE($A7),'recurring1_based on steps'!AH$1:AH$400,0)),AH$2,)</f>
        <v>0</v>
      </c>
      <c r="AI7" s="179">
        <f ca="1">IF(ISNUMBER(MATCH(DATEVALUE($A7),'recurring1_based on steps'!AI$1:AI$400,0)),AI$2,)</f>
        <v>0</v>
      </c>
      <c r="AJ7" s="179">
        <f ca="1">IF(ISNUMBER(MATCH(DATEVALUE($A7),'recurring1_based on steps'!AJ$1:AJ$400,0)),AJ$2,)</f>
        <v>0</v>
      </c>
      <c r="AK7" s="179">
        <f ca="1">IF(ISNUMBER(MATCH(DATEVALUE($A7),'recurring1_based on steps'!AK$1:AK$400,0)),AK$2,)</f>
        <v>0</v>
      </c>
      <c r="AL7" s="179">
        <f ca="1">IF(ISNUMBER(MATCH(DATEVALUE($A7),'recurring1_based on steps'!AL$1:AL$400,0)),AL$2,)</f>
        <v>0</v>
      </c>
      <c r="AM7" s="179">
        <f ca="1">IF(ISNUMBER(MATCH(DATEVALUE($A7),'recurring1_based on steps'!AM$1:AM$400,0)),AM$2,)</f>
        <v>0</v>
      </c>
      <c r="AN7" s="179">
        <f ca="1">IF(ISNUMBER(MATCH(DATEVALUE($A7),'recurring1_based on steps'!AN$1:AN$400,0)),AN$2,)</f>
        <v>0</v>
      </c>
      <c r="AO7" s="179">
        <f ca="1">IF(ISNUMBER(MATCH(DATEVALUE($A7),'recurring1_based on steps'!AO$1:AO$400,0)),AO$2,)</f>
        <v>0</v>
      </c>
      <c r="AP7" s="179">
        <f ca="1">IF(ISNUMBER(MATCH(DATEVALUE($A7),'recurring1_based on steps'!AP$1:AP$400,0)),AP$2,)</f>
        <v>0</v>
      </c>
      <c r="AQ7" s="179">
        <f ca="1">IF(ISNUMBER(MATCH(DATEVALUE($A7),'recurring1_based on steps'!AQ$1:AQ$400,0)),AQ$2,)</f>
        <v>0</v>
      </c>
      <c r="AR7" s="179">
        <f ca="1">IF(ISNUMBER(MATCH(DATEVALUE($A7),'recurring1_based on steps'!AR$1:AR$400,0)),AR$2,)</f>
        <v>0</v>
      </c>
      <c r="AS7" s="179">
        <f ca="1">IF(ISNUMBER(MATCH(DATEVALUE($A7),'recurring1_based on steps'!AS$1:AS$400,0)),AS$2,)</f>
        <v>0</v>
      </c>
      <c r="AT7" s="179">
        <f ca="1">IF(ISNUMBER(MATCH(DATEVALUE($A7),'recurring1_based on steps'!AT$1:AT$400,0)),AT$2,)</f>
        <v>0</v>
      </c>
      <c r="AU7" s="179">
        <f ca="1">IF(ISNUMBER(MATCH(DATEVALUE($A7),'recurring1_based on steps'!AU$1:AU$400,0)),AU$2,)</f>
        <v>0</v>
      </c>
      <c r="AV7" s="179">
        <f ca="1">IF(ISNUMBER(MATCH(DATEVALUE($A7),'recurring1_based on steps'!AV$1:AV$400,0)),AV$2,)</f>
        <v>0</v>
      </c>
      <c r="AW7" s="179">
        <f ca="1">IF(ISNUMBER(MATCH(DATEVALUE($A7),'recurring1_based on steps'!AW$1:AW$400,0)),AW$2,)</f>
        <v>0</v>
      </c>
      <c r="AX7" s="179">
        <f ca="1">IF(ISNUMBER(MATCH(DATEVALUE($A7),'recurring1_based on steps'!AX$1:AX$400,0)),AX$2,)</f>
        <v>0</v>
      </c>
      <c r="AY7" s="179">
        <f ca="1">IF(ISNUMBER(MATCH(DATEVALUE($A7),'recurring1_based on steps'!AY$1:AY$400,0)),AY$2,)</f>
        <v>0</v>
      </c>
    </row>
    <row r="8" spans="1:51" x14ac:dyDescent="0.2">
      <c r="A8" s="32" t="str">
        <f t="shared" ca="1" si="0"/>
        <v>2025-04-10</v>
      </c>
      <c r="B8" s="179">
        <f ca="1">IF(ISNUMBER(MATCH(DATEVALUE($A8),'recurring1_based on steps'!B$1:B$400,0)),B$2,)</f>
        <v>0</v>
      </c>
      <c r="C8" s="179">
        <f ca="1">IF(ISNUMBER(MATCH(DATEVALUE($A8),'recurring1_based on steps'!C$1:C$400,0)),C$2,)</f>
        <v>0</v>
      </c>
      <c r="D8" s="179">
        <f ca="1">IF(ISNUMBER(MATCH(DATEVALUE($A8),'recurring1_based on steps'!D$1:D$400,0)),D$2,)</f>
        <v>0</v>
      </c>
      <c r="E8" s="179">
        <f ca="1">IF(ISNUMBER(MATCH(DATEVALUE($A8),'recurring1_based on steps'!E$1:E$400,0)),E$2,)</f>
        <v>0</v>
      </c>
      <c r="F8" s="179">
        <f ca="1">IF(ISNUMBER(MATCH(DATEVALUE($A8),'recurring1_based on steps'!F$1:F$400,0)),F$2,)</f>
        <v>0</v>
      </c>
      <c r="G8" s="179">
        <f ca="1">IF(ISNUMBER(MATCH(DATEVALUE($A8),'recurring1_based on steps'!G$1:G$400,0)),G$2,)</f>
        <v>0</v>
      </c>
      <c r="H8" s="179">
        <f ca="1">IF(ISNUMBER(MATCH(DATEVALUE($A8),'recurring1_based on steps'!H$1:H$400,0)),H$2,)</f>
        <v>0</v>
      </c>
      <c r="I8" s="179">
        <f ca="1">IF(ISNUMBER(MATCH(DATEVALUE($A8),'recurring1_based on steps'!I$1:I$400,0)),I$2,)</f>
        <v>0</v>
      </c>
      <c r="J8" s="179">
        <f ca="1">IF(ISNUMBER(MATCH(DATEVALUE($A8),'recurring1_based on steps'!J$1:J$400,0)),J$2,)</f>
        <v>0</v>
      </c>
      <c r="K8" s="179">
        <f ca="1">IF(ISNUMBER(MATCH(DATEVALUE($A8),'recurring1_based on steps'!K$1:K$400,0)),K$2,)</f>
        <v>0</v>
      </c>
      <c r="L8" s="179">
        <f ca="1">IF(ISNUMBER(MATCH(DATEVALUE($A8),'recurring1_based on steps'!L$1:L$400,0)),L$2,)</f>
        <v>0</v>
      </c>
      <c r="M8" s="179">
        <f ca="1">IF(ISNUMBER(MATCH(DATEVALUE($A8),'recurring1_based on steps'!M$1:M$400,0)),M$2,)</f>
        <v>0</v>
      </c>
      <c r="N8" s="179">
        <f ca="1">IF(ISNUMBER(MATCH(DATEVALUE($A8),'recurring1_based on steps'!N$1:N$400,0)),N$2,)</f>
        <v>0</v>
      </c>
      <c r="O8" s="179">
        <f ca="1">IF(ISNUMBER(MATCH(DATEVALUE($A8),'recurring1_based on steps'!O$1:O$400,0)),O$2,)</f>
        <v>0</v>
      </c>
      <c r="P8" s="179">
        <f ca="1">IF(ISNUMBER(MATCH(DATEVALUE($A8),'recurring1_based on steps'!P$1:P$400,0)),P$2,)</f>
        <v>0</v>
      </c>
      <c r="Q8" s="179">
        <f ca="1">IF(ISNUMBER(MATCH(DATEVALUE($A8),'recurring1_based on steps'!Q$1:Q$400,0)),Q$2,)</f>
        <v>0</v>
      </c>
      <c r="R8" s="179">
        <f ca="1">IF(ISNUMBER(MATCH(DATEVALUE($A8),'recurring1_based on steps'!R$1:R$400,0)),R$2,)</f>
        <v>0</v>
      </c>
      <c r="S8" s="179">
        <f ca="1">IF(ISNUMBER(MATCH(DATEVALUE($A8),'recurring1_based on steps'!S$1:S$400,0)),S$2,)</f>
        <v>0</v>
      </c>
      <c r="T8" s="179">
        <f ca="1">IF(ISNUMBER(MATCH(DATEVALUE($A8),'recurring1_based on steps'!T$1:T$400,0)),T$2,)</f>
        <v>0</v>
      </c>
      <c r="U8" s="179">
        <f ca="1">IF(ISNUMBER(MATCH(DATEVALUE($A8),'recurring1_based on steps'!U$1:U$400,0)),U$2,)</f>
        <v>0</v>
      </c>
      <c r="V8" s="179">
        <f ca="1">IF(ISNUMBER(MATCH(DATEVALUE($A8),'recurring1_based on steps'!V$1:V$400,0)),V$2,)</f>
        <v>0</v>
      </c>
      <c r="W8" s="179">
        <f ca="1">IF(ISNUMBER(MATCH(DATEVALUE($A8),'recurring1_based on steps'!W$1:W$400,0)),W$2,)</f>
        <v>0</v>
      </c>
      <c r="X8" s="179">
        <f ca="1">IF(ISNUMBER(MATCH(DATEVALUE($A8),'recurring1_based on steps'!X$1:X$400,0)),X$2,)</f>
        <v>0</v>
      </c>
      <c r="Y8" s="179">
        <f ca="1">IF(ISNUMBER(MATCH(DATEVALUE($A8),'recurring1_based on steps'!Y$1:Y$400,0)),Y$2,)</f>
        <v>0</v>
      </c>
      <c r="Z8" s="179">
        <f ca="1">IF(ISNUMBER(MATCH(DATEVALUE($A8),'recurring1_based on steps'!Z$1:Z$400,0)),Z$2,)</f>
        <v>0</v>
      </c>
      <c r="AA8" s="179">
        <f ca="1">IF(ISNUMBER(MATCH(DATEVALUE($A8),'recurring1_based on steps'!AA$1:AA$400,0)),AA$2,)</f>
        <v>0</v>
      </c>
      <c r="AB8" s="179">
        <f ca="1">IF(ISNUMBER(MATCH(DATEVALUE($A8),'recurring1_based on steps'!AB$1:AB$400,0)),AB$2,)</f>
        <v>0</v>
      </c>
      <c r="AC8" s="179">
        <f ca="1">IF(ISNUMBER(MATCH(DATEVALUE($A8),'recurring1_based on steps'!AC$1:AC$400,0)),AC$2,)</f>
        <v>0</v>
      </c>
      <c r="AD8" s="179">
        <f ca="1">IF(ISNUMBER(MATCH(DATEVALUE($A8),'recurring1_based on steps'!AD$1:AD$400,0)),AD$2,)</f>
        <v>0</v>
      </c>
      <c r="AE8" s="179">
        <f ca="1">IF(ISNUMBER(MATCH(DATEVALUE($A8),'recurring1_based on steps'!AE$1:AE$400,0)),AE$2,)</f>
        <v>0</v>
      </c>
      <c r="AF8" s="179">
        <f ca="1">IF(ISNUMBER(MATCH(DATEVALUE($A8),'recurring1_based on steps'!AF$1:AF$400,0)),AF$2,)</f>
        <v>0</v>
      </c>
      <c r="AG8" s="179">
        <f ca="1">IF(ISNUMBER(MATCH(DATEVALUE($A8),'recurring1_based on steps'!AG$1:AG$400,0)),AG$2,)</f>
        <v>0</v>
      </c>
      <c r="AH8" s="179">
        <f ca="1">IF(ISNUMBER(MATCH(DATEVALUE($A8),'recurring1_based on steps'!AH$1:AH$400,0)),AH$2,)</f>
        <v>0</v>
      </c>
      <c r="AI8" s="179">
        <f ca="1">IF(ISNUMBER(MATCH(DATEVALUE($A8),'recurring1_based on steps'!AI$1:AI$400,0)),AI$2,)</f>
        <v>0</v>
      </c>
      <c r="AJ8" s="179">
        <f ca="1">IF(ISNUMBER(MATCH(DATEVALUE($A8),'recurring1_based on steps'!AJ$1:AJ$400,0)),AJ$2,)</f>
        <v>0</v>
      </c>
      <c r="AK8" s="179">
        <f ca="1">IF(ISNUMBER(MATCH(DATEVALUE($A8),'recurring1_based on steps'!AK$1:AK$400,0)),AK$2,)</f>
        <v>0</v>
      </c>
      <c r="AL8" s="179">
        <f ca="1">IF(ISNUMBER(MATCH(DATEVALUE($A8),'recurring1_based on steps'!AL$1:AL$400,0)),AL$2,)</f>
        <v>0</v>
      </c>
      <c r="AM8" s="179">
        <f ca="1">IF(ISNUMBER(MATCH(DATEVALUE($A8),'recurring1_based on steps'!AM$1:AM$400,0)),AM$2,)</f>
        <v>0</v>
      </c>
      <c r="AN8" s="179">
        <f ca="1">IF(ISNUMBER(MATCH(DATEVALUE($A8),'recurring1_based on steps'!AN$1:AN$400,0)),AN$2,)</f>
        <v>0</v>
      </c>
      <c r="AO8" s="179">
        <f ca="1">IF(ISNUMBER(MATCH(DATEVALUE($A8),'recurring1_based on steps'!AO$1:AO$400,0)),AO$2,)</f>
        <v>0</v>
      </c>
      <c r="AP8" s="179">
        <f ca="1">IF(ISNUMBER(MATCH(DATEVALUE($A8),'recurring1_based on steps'!AP$1:AP$400,0)),AP$2,)</f>
        <v>0</v>
      </c>
      <c r="AQ8" s="179">
        <f ca="1">IF(ISNUMBER(MATCH(DATEVALUE($A8),'recurring1_based on steps'!AQ$1:AQ$400,0)),AQ$2,)</f>
        <v>0</v>
      </c>
      <c r="AR8" s="179">
        <f ca="1">IF(ISNUMBER(MATCH(DATEVALUE($A8),'recurring1_based on steps'!AR$1:AR$400,0)),AR$2,)</f>
        <v>0</v>
      </c>
      <c r="AS8" s="179">
        <f ca="1">IF(ISNUMBER(MATCH(DATEVALUE($A8),'recurring1_based on steps'!AS$1:AS$400,0)),AS$2,)</f>
        <v>0</v>
      </c>
      <c r="AT8" s="179">
        <f ca="1">IF(ISNUMBER(MATCH(DATEVALUE($A8),'recurring1_based on steps'!AT$1:AT$400,0)),AT$2,)</f>
        <v>0</v>
      </c>
      <c r="AU8" s="179">
        <f ca="1">IF(ISNUMBER(MATCH(DATEVALUE($A8),'recurring1_based on steps'!AU$1:AU$400,0)),AU$2,)</f>
        <v>0</v>
      </c>
      <c r="AV8" s="179">
        <f ca="1">IF(ISNUMBER(MATCH(DATEVALUE($A8),'recurring1_based on steps'!AV$1:AV$400,0)),AV$2,)</f>
        <v>0</v>
      </c>
      <c r="AW8" s="179">
        <f ca="1">IF(ISNUMBER(MATCH(DATEVALUE($A8),'recurring1_based on steps'!AW$1:AW$400,0)),AW$2,)</f>
        <v>0</v>
      </c>
      <c r="AX8" s="179">
        <f ca="1">IF(ISNUMBER(MATCH(DATEVALUE($A8),'recurring1_based on steps'!AX$1:AX$400,0)),AX$2,)</f>
        <v>0</v>
      </c>
      <c r="AY8" s="179">
        <f ca="1">IF(ISNUMBER(MATCH(DATEVALUE($A8),'recurring1_based on steps'!AY$1:AY$400,0)),AY$2,)</f>
        <v>0</v>
      </c>
    </row>
    <row r="9" spans="1:51" x14ac:dyDescent="0.2">
      <c r="A9" s="32" t="str">
        <f t="shared" ca="1" si="0"/>
        <v>2025-04-11</v>
      </c>
      <c r="B9" s="179">
        <f ca="1">IF(ISNUMBER(MATCH(DATEVALUE($A9),'recurring1_based on steps'!B$1:B$400,0)),B$2,)</f>
        <v>0</v>
      </c>
      <c r="C9" s="179">
        <f ca="1">IF(ISNUMBER(MATCH(DATEVALUE($A9),'recurring1_based on steps'!C$1:C$400,0)),C$2,)</f>
        <v>0</v>
      </c>
      <c r="D9" s="179">
        <f ca="1">IF(ISNUMBER(MATCH(DATEVALUE($A9),'recurring1_based on steps'!D$1:D$400,0)),D$2,)</f>
        <v>0</v>
      </c>
      <c r="E9" s="179">
        <f ca="1">IF(ISNUMBER(MATCH(DATEVALUE($A9),'recurring1_based on steps'!E$1:E$400,0)),E$2,)</f>
        <v>0</v>
      </c>
      <c r="F9" s="179">
        <f ca="1">IF(ISNUMBER(MATCH(DATEVALUE($A9),'recurring1_based on steps'!F$1:F$400,0)),F$2,)</f>
        <v>0</v>
      </c>
      <c r="G9" s="179">
        <f ca="1">IF(ISNUMBER(MATCH(DATEVALUE($A9),'recurring1_based on steps'!G$1:G$400,0)),G$2,)</f>
        <v>0</v>
      </c>
      <c r="H9" s="179">
        <f ca="1">IF(ISNUMBER(MATCH(DATEVALUE($A9),'recurring1_based on steps'!H$1:H$400,0)),H$2,)</f>
        <v>0</v>
      </c>
      <c r="I9" s="179">
        <f ca="1">IF(ISNUMBER(MATCH(DATEVALUE($A9),'recurring1_based on steps'!I$1:I$400,0)),I$2,)</f>
        <v>0</v>
      </c>
      <c r="J9" s="179">
        <f ca="1">IF(ISNUMBER(MATCH(DATEVALUE($A9),'recurring1_based on steps'!J$1:J$400,0)),J$2,)</f>
        <v>0</v>
      </c>
      <c r="K9" s="179">
        <f ca="1">IF(ISNUMBER(MATCH(DATEVALUE($A9),'recurring1_based on steps'!K$1:K$400,0)),K$2,)</f>
        <v>0</v>
      </c>
      <c r="L9" s="179">
        <f ca="1">IF(ISNUMBER(MATCH(DATEVALUE($A9),'recurring1_based on steps'!L$1:L$400,0)),L$2,)</f>
        <v>0</v>
      </c>
      <c r="M9" s="179">
        <f ca="1">IF(ISNUMBER(MATCH(DATEVALUE($A9),'recurring1_based on steps'!M$1:M$400,0)),M$2,)</f>
        <v>0</v>
      </c>
      <c r="N9" s="179">
        <f ca="1">IF(ISNUMBER(MATCH(DATEVALUE($A9),'recurring1_based on steps'!N$1:N$400,0)),N$2,)</f>
        <v>0</v>
      </c>
      <c r="O9" s="179">
        <f ca="1">IF(ISNUMBER(MATCH(DATEVALUE($A9),'recurring1_based on steps'!O$1:O$400,0)),O$2,)</f>
        <v>0</v>
      </c>
      <c r="P9" s="179">
        <f ca="1">IF(ISNUMBER(MATCH(DATEVALUE($A9),'recurring1_based on steps'!P$1:P$400,0)),P$2,)</f>
        <v>0</v>
      </c>
      <c r="Q9" s="179">
        <f ca="1">IF(ISNUMBER(MATCH(DATEVALUE($A9),'recurring1_based on steps'!Q$1:Q$400,0)),Q$2,)</f>
        <v>0</v>
      </c>
      <c r="R9" s="179">
        <f ca="1">IF(ISNUMBER(MATCH(DATEVALUE($A9),'recurring1_based on steps'!R$1:R$400,0)),R$2,)</f>
        <v>0</v>
      </c>
      <c r="S9" s="179">
        <f ca="1">IF(ISNUMBER(MATCH(DATEVALUE($A9),'recurring1_based on steps'!S$1:S$400,0)),S$2,)</f>
        <v>0</v>
      </c>
      <c r="T9" s="179">
        <f ca="1">IF(ISNUMBER(MATCH(DATEVALUE($A9),'recurring1_based on steps'!T$1:T$400,0)),T$2,)</f>
        <v>0</v>
      </c>
      <c r="U9" s="179">
        <f ca="1">IF(ISNUMBER(MATCH(DATEVALUE($A9),'recurring1_based on steps'!U$1:U$400,0)),U$2,)</f>
        <v>0</v>
      </c>
      <c r="V9" s="179">
        <f ca="1">IF(ISNUMBER(MATCH(DATEVALUE($A9),'recurring1_based on steps'!V$1:V$400,0)),V$2,)</f>
        <v>0</v>
      </c>
      <c r="W9" s="179">
        <f ca="1">IF(ISNUMBER(MATCH(DATEVALUE($A9),'recurring1_based on steps'!W$1:W$400,0)),W$2,)</f>
        <v>0</v>
      </c>
      <c r="X9" s="179">
        <f ca="1">IF(ISNUMBER(MATCH(DATEVALUE($A9),'recurring1_based on steps'!X$1:X$400,0)),X$2,)</f>
        <v>0</v>
      </c>
      <c r="Y9" s="179">
        <f ca="1">IF(ISNUMBER(MATCH(DATEVALUE($A9),'recurring1_based on steps'!Y$1:Y$400,0)),Y$2,)</f>
        <v>0</v>
      </c>
      <c r="Z9" s="179">
        <f ca="1">IF(ISNUMBER(MATCH(DATEVALUE($A9),'recurring1_based on steps'!Z$1:Z$400,0)),Z$2,)</f>
        <v>0</v>
      </c>
      <c r="AA9" s="179">
        <f ca="1">IF(ISNUMBER(MATCH(DATEVALUE($A9),'recurring1_based on steps'!AA$1:AA$400,0)),AA$2,)</f>
        <v>0</v>
      </c>
      <c r="AB9" s="179">
        <f ca="1">IF(ISNUMBER(MATCH(DATEVALUE($A9),'recurring1_based on steps'!AB$1:AB$400,0)),AB$2,)</f>
        <v>0</v>
      </c>
      <c r="AC9" s="179">
        <f ca="1">IF(ISNUMBER(MATCH(DATEVALUE($A9),'recurring1_based on steps'!AC$1:AC$400,0)),AC$2,)</f>
        <v>0</v>
      </c>
      <c r="AD9" s="179">
        <f ca="1">IF(ISNUMBER(MATCH(DATEVALUE($A9),'recurring1_based on steps'!AD$1:AD$400,0)),AD$2,)</f>
        <v>0</v>
      </c>
      <c r="AE9" s="179">
        <f ca="1">IF(ISNUMBER(MATCH(DATEVALUE($A9),'recurring1_based on steps'!AE$1:AE$400,0)),AE$2,)</f>
        <v>0</v>
      </c>
      <c r="AF9" s="179">
        <f ca="1">IF(ISNUMBER(MATCH(DATEVALUE($A9),'recurring1_based on steps'!AF$1:AF$400,0)),AF$2,)</f>
        <v>0</v>
      </c>
      <c r="AG9" s="179">
        <f ca="1">IF(ISNUMBER(MATCH(DATEVALUE($A9),'recurring1_based on steps'!AG$1:AG$400,0)),AG$2,)</f>
        <v>0</v>
      </c>
      <c r="AH9" s="179">
        <f ca="1">IF(ISNUMBER(MATCH(DATEVALUE($A9),'recurring1_based on steps'!AH$1:AH$400,0)),AH$2,)</f>
        <v>0</v>
      </c>
      <c r="AI9" s="179">
        <f ca="1">IF(ISNUMBER(MATCH(DATEVALUE($A9),'recurring1_based on steps'!AI$1:AI$400,0)),AI$2,)</f>
        <v>0</v>
      </c>
      <c r="AJ9" s="179">
        <f ca="1">IF(ISNUMBER(MATCH(DATEVALUE($A9),'recurring1_based on steps'!AJ$1:AJ$400,0)),AJ$2,)</f>
        <v>0</v>
      </c>
      <c r="AK9" s="179">
        <f ca="1">IF(ISNUMBER(MATCH(DATEVALUE($A9),'recurring1_based on steps'!AK$1:AK$400,0)),AK$2,)</f>
        <v>0</v>
      </c>
      <c r="AL9" s="179">
        <f ca="1">IF(ISNUMBER(MATCH(DATEVALUE($A9),'recurring1_based on steps'!AL$1:AL$400,0)),AL$2,)</f>
        <v>0</v>
      </c>
      <c r="AM9" s="179">
        <f ca="1">IF(ISNUMBER(MATCH(DATEVALUE($A9),'recurring1_based on steps'!AM$1:AM$400,0)),AM$2,)</f>
        <v>0</v>
      </c>
      <c r="AN9" s="179">
        <f ca="1">IF(ISNUMBER(MATCH(DATEVALUE($A9),'recurring1_based on steps'!AN$1:AN$400,0)),AN$2,)</f>
        <v>0</v>
      </c>
      <c r="AO9" s="179">
        <f ca="1">IF(ISNUMBER(MATCH(DATEVALUE($A9),'recurring1_based on steps'!AO$1:AO$400,0)),AO$2,)</f>
        <v>0</v>
      </c>
      <c r="AP9" s="179">
        <f ca="1">IF(ISNUMBER(MATCH(DATEVALUE($A9),'recurring1_based on steps'!AP$1:AP$400,0)),AP$2,)</f>
        <v>0</v>
      </c>
      <c r="AQ9" s="179">
        <f ca="1">IF(ISNUMBER(MATCH(DATEVALUE($A9),'recurring1_based on steps'!AQ$1:AQ$400,0)),AQ$2,)</f>
        <v>0</v>
      </c>
      <c r="AR9" s="179">
        <f ca="1">IF(ISNUMBER(MATCH(DATEVALUE($A9),'recurring1_based on steps'!AR$1:AR$400,0)),AR$2,)</f>
        <v>0</v>
      </c>
      <c r="AS9" s="179">
        <f ca="1">IF(ISNUMBER(MATCH(DATEVALUE($A9),'recurring1_based on steps'!AS$1:AS$400,0)),AS$2,)</f>
        <v>0</v>
      </c>
      <c r="AT9" s="179">
        <f ca="1">IF(ISNUMBER(MATCH(DATEVALUE($A9),'recurring1_based on steps'!AT$1:AT$400,0)),AT$2,)</f>
        <v>0</v>
      </c>
      <c r="AU9" s="179">
        <f ca="1">IF(ISNUMBER(MATCH(DATEVALUE($A9),'recurring1_based on steps'!AU$1:AU$400,0)),AU$2,)</f>
        <v>0</v>
      </c>
      <c r="AV9" s="179">
        <f ca="1">IF(ISNUMBER(MATCH(DATEVALUE($A9),'recurring1_based on steps'!AV$1:AV$400,0)),AV$2,)</f>
        <v>0</v>
      </c>
      <c r="AW9" s="179">
        <f ca="1">IF(ISNUMBER(MATCH(DATEVALUE($A9),'recurring1_based on steps'!AW$1:AW$400,0)),AW$2,)</f>
        <v>0</v>
      </c>
      <c r="AX9" s="179">
        <f ca="1">IF(ISNUMBER(MATCH(DATEVALUE($A9),'recurring1_based on steps'!AX$1:AX$400,0)),AX$2,)</f>
        <v>0</v>
      </c>
      <c r="AY9" s="179">
        <f ca="1">IF(ISNUMBER(MATCH(DATEVALUE($A9),'recurring1_based on steps'!AY$1:AY$400,0)),AY$2,)</f>
        <v>0</v>
      </c>
    </row>
    <row r="10" spans="1:51" x14ac:dyDescent="0.2">
      <c r="A10" s="32" t="str">
        <f t="shared" ca="1" si="0"/>
        <v>2025-04-12</v>
      </c>
      <c r="B10" s="179">
        <f ca="1">IF(ISNUMBER(MATCH(DATEVALUE($A10),'recurring1_based on steps'!B$1:B$400,0)),B$2,)</f>
        <v>0</v>
      </c>
      <c r="C10" s="179">
        <f ca="1">IF(ISNUMBER(MATCH(DATEVALUE($A10),'recurring1_based on steps'!C$1:C$400,0)),C$2,)</f>
        <v>0</v>
      </c>
      <c r="D10" s="179">
        <f ca="1">IF(ISNUMBER(MATCH(DATEVALUE($A10),'recurring1_based on steps'!D$1:D$400,0)),D$2,)</f>
        <v>0</v>
      </c>
      <c r="E10" s="179">
        <f ca="1">IF(ISNUMBER(MATCH(DATEVALUE($A10),'recurring1_based on steps'!E$1:E$400,0)),E$2,)</f>
        <v>0</v>
      </c>
      <c r="F10" s="179">
        <f ca="1">IF(ISNUMBER(MATCH(DATEVALUE($A10),'recurring1_based on steps'!F$1:F$400,0)),F$2,)</f>
        <v>0</v>
      </c>
      <c r="G10" s="179">
        <f ca="1">IF(ISNUMBER(MATCH(DATEVALUE($A10),'recurring1_based on steps'!G$1:G$400,0)),G$2,)</f>
        <v>0</v>
      </c>
      <c r="H10" s="179">
        <f ca="1">IF(ISNUMBER(MATCH(DATEVALUE($A10),'recurring1_based on steps'!H$1:H$400,0)),H$2,)</f>
        <v>0</v>
      </c>
      <c r="I10" s="179">
        <f ca="1">IF(ISNUMBER(MATCH(DATEVALUE($A10),'recurring1_based on steps'!I$1:I$400,0)),I$2,)</f>
        <v>0</v>
      </c>
      <c r="J10" s="179">
        <f ca="1">IF(ISNUMBER(MATCH(DATEVALUE($A10),'recurring1_based on steps'!J$1:J$400,0)),J$2,)</f>
        <v>0</v>
      </c>
      <c r="K10" s="179">
        <f ca="1">IF(ISNUMBER(MATCH(DATEVALUE($A10),'recurring1_based on steps'!K$1:K$400,0)),K$2,)</f>
        <v>0</v>
      </c>
      <c r="L10" s="179">
        <f ca="1">IF(ISNUMBER(MATCH(DATEVALUE($A10),'recurring1_based on steps'!L$1:L$400,0)),L$2,)</f>
        <v>0</v>
      </c>
      <c r="M10" s="179">
        <f ca="1">IF(ISNUMBER(MATCH(DATEVALUE($A10),'recurring1_based on steps'!M$1:M$400,0)),M$2,)</f>
        <v>0</v>
      </c>
      <c r="N10" s="179">
        <f ca="1">IF(ISNUMBER(MATCH(DATEVALUE($A10),'recurring1_based on steps'!N$1:N$400,0)),N$2,)</f>
        <v>0</v>
      </c>
      <c r="O10" s="179">
        <f ca="1">IF(ISNUMBER(MATCH(DATEVALUE($A10),'recurring1_based on steps'!O$1:O$400,0)),O$2,)</f>
        <v>0</v>
      </c>
      <c r="P10" s="179">
        <f ca="1">IF(ISNUMBER(MATCH(DATEVALUE($A10),'recurring1_based on steps'!P$1:P$400,0)),P$2,)</f>
        <v>0</v>
      </c>
      <c r="Q10" s="179">
        <f ca="1">IF(ISNUMBER(MATCH(DATEVALUE($A10),'recurring1_based on steps'!Q$1:Q$400,0)),Q$2,)</f>
        <v>0</v>
      </c>
      <c r="R10" s="179">
        <f ca="1">IF(ISNUMBER(MATCH(DATEVALUE($A10),'recurring1_based on steps'!R$1:R$400,0)),R$2,)</f>
        <v>0</v>
      </c>
      <c r="S10" s="179">
        <f ca="1">IF(ISNUMBER(MATCH(DATEVALUE($A10),'recurring1_based on steps'!S$1:S$400,0)),S$2,)</f>
        <v>0</v>
      </c>
      <c r="T10" s="179">
        <f ca="1">IF(ISNUMBER(MATCH(DATEVALUE($A10),'recurring1_based on steps'!T$1:T$400,0)),T$2,)</f>
        <v>0</v>
      </c>
      <c r="U10" s="179">
        <f ca="1">IF(ISNUMBER(MATCH(DATEVALUE($A10),'recurring1_based on steps'!U$1:U$400,0)),U$2,)</f>
        <v>0</v>
      </c>
      <c r="V10" s="179">
        <f ca="1">IF(ISNUMBER(MATCH(DATEVALUE($A10),'recurring1_based on steps'!V$1:V$400,0)),V$2,)</f>
        <v>0</v>
      </c>
      <c r="W10" s="179">
        <f ca="1">IF(ISNUMBER(MATCH(DATEVALUE($A10),'recurring1_based on steps'!W$1:W$400,0)),W$2,)</f>
        <v>0</v>
      </c>
      <c r="X10" s="179">
        <f ca="1">IF(ISNUMBER(MATCH(DATEVALUE($A10),'recurring1_based on steps'!X$1:X$400,0)),X$2,)</f>
        <v>0</v>
      </c>
      <c r="Y10" s="179">
        <f ca="1">IF(ISNUMBER(MATCH(DATEVALUE($A10),'recurring1_based on steps'!Y$1:Y$400,0)),Y$2,)</f>
        <v>0</v>
      </c>
      <c r="Z10" s="179">
        <f ca="1">IF(ISNUMBER(MATCH(DATEVALUE($A10),'recurring1_based on steps'!Z$1:Z$400,0)),Z$2,)</f>
        <v>0</v>
      </c>
      <c r="AA10" s="179">
        <f ca="1">IF(ISNUMBER(MATCH(DATEVALUE($A10),'recurring1_based on steps'!AA$1:AA$400,0)),AA$2,)</f>
        <v>0</v>
      </c>
      <c r="AB10" s="179">
        <f ca="1">IF(ISNUMBER(MATCH(DATEVALUE($A10),'recurring1_based on steps'!AB$1:AB$400,0)),AB$2,)</f>
        <v>0</v>
      </c>
      <c r="AC10" s="179">
        <f ca="1">IF(ISNUMBER(MATCH(DATEVALUE($A10),'recurring1_based on steps'!AC$1:AC$400,0)),AC$2,)</f>
        <v>0</v>
      </c>
      <c r="AD10" s="179">
        <f ca="1">IF(ISNUMBER(MATCH(DATEVALUE($A10),'recurring1_based on steps'!AD$1:AD$400,0)),AD$2,)</f>
        <v>0</v>
      </c>
      <c r="AE10" s="179">
        <f ca="1">IF(ISNUMBER(MATCH(DATEVALUE($A10),'recurring1_based on steps'!AE$1:AE$400,0)),AE$2,)</f>
        <v>0</v>
      </c>
      <c r="AF10" s="179">
        <f ca="1">IF(ISNUMBER(MATCH(DATEVALUE($A10),'recurring1_based on steps'!AF$1:AF$400,0)),AF$2,)</f>
        <v>0</v>
      </c>
      <c r="AG10" s="179">
        <f ca="1">IF(ISNUMBER(MATCH(DATEVALUE($A10),'recurring1_based on steps'!AG$1:AG$400,0)),AG$2,)</f>
        <v>0</v>
      </c>
      <c r="AH10" s="179">
        <f ca="1">IF(ISNUMBER(MATCH(DATEVALUE($A10),'recurring1_based on steps'!AH$1:AH$400,0)),AH$2,)</f>
        <v>0</v>
      </c>
      <c r="AI10" s="179">
        <f ca="1">IF(ISNUMBER(MATCH(DATEVALUE($A10),'recurring1_based on steps'!AI$1:AI$400,0)),AI$2,)</f>
        <v>0</v>
      </c>
      <c r="AJ10" s="179">
        <f ca="1">IF(ISNUMBER(MATCH(DATEVALUE($A10),'recurring1_based on steps'!AJ$1:AJ$400,0)),AJ$2,)</f>
        <v>0</v>
      </c>
      <c r="AK10" s="179">
        <f ca="1">IF(ISNUMBER(MATCH(DATEVALUE($A10),'recurring1_based on steps'!AK$1:AK$400,0)),AK$2,)</f>
        <v>0</v>
      </c>
      <c r="AL10" s="179">
        <f ca="1">IF(ISNUMBER(MATCH(DATEVALUE($A10),'recurring1_based on steps'!AL$1:AL$400,0)),AL$2,)</f>
        <v>0</v>
      </c>
      <c r="AM10" s="179">
        <f ca="1">IF(ISNUMBER(MATCH(DATEVALUE($A10),'recurring1_based on steps'!AM$1:AM$400,0)),AM$2,)</f>
        <v>0</v>
      </c>
      <c r="AN10" s="179">
        <f ca="1">IF(ISNUMBER(MATCH(DATEVALUE($A10),'recurring1_based on steps'!AN$1:AN$400,0)),AN$2,)</f>
        <v>0</v>
      </c>
      <c r="AO10" s="179">
        <f ca="1">IF(ISNUMBER(MATCH(DATEVALUE($A10),'recurring1_based on steps'!AO$1:AO$400,0)),AO$2,)</f>
        <v>0</v>
      </c>
      <c r="AP10" s="179">
        <f ca="1">IF(ISNUMBER(MATCH(DATEVALUE($A10),'recurring1_based on steps'!AP$1:AP$400,0)),AP$2,)</f>
        <v>0</v>
      </c>
      <c r="AQ10" s="179">
        <f ca="1">IF(ISNUMBER(MATCH(DATEVALUE($A10),'recurring1_based on steps'!AQ$1:AQ$400,0)),AQ$2,)</f>
        <v>0</v>
      </c>
      <c r="AR10" s="179">
        <f ca="1">IF(ISNUMBER(MATCH(DATEVALUE($A10),'recurring1_based on steps'!AR$1:AR$400,0)),AR$2,)</f>
        <v>0</v>
      </c>
      <c r="AS10" s="179">
        <f ca="1">IF(ISNUMBER(MATCH(DATEVALUE($A10),'recurring1_based on steps'!AS$1:AS$400,0)),AS$2,)</f>
        <v>0</v>
      </c>
      <c r="AT10" s="179">
        <f ca="1">IF(ISNUMBER(MATCH(DATEVALUE($A10),'recurring1_based on steps'!AT$1:AT$400,0)),AT$2,)</f>
        <v>0</v>
      </c>
      <c r="AU10" s="179">
        <f ca="1">IF(ISNUMBER(MATCH(DATEVALUE($A10),'recurring1_based on steps'!AU$1:AU$400,0)),AU$2,)</f>
        <v>0</v>
      </c>
      <c r="AV10" s="179">
        <f ca="1">IF(ISNUMBER(MATCH(DATEVALUE($A10),'recurring1_based on steps'!AV$1:AV$400,0)),AV$2,)</f>
        <v>0</v>
      </c>
      <c r="AW10" s="179">
        <f ca="1">IF(ISNUMBER(MATCH(DATEVALUE($A10),'recurring1_based on steps'!AW$1:AW$400,0)),AW$2,)</f>
        <v>0</v>
      </c>
      <c r="AX10" s="179">
        <f ca="1">IF(ISNUMBER(MATCH(DATEVALUE($A10),'recurring1_based on steps'!AX$1:AX$400,0)),AX$2,)</f>
        <v>0</v>
      </c>
      <c r="AY10" s="179">
        <f ca="1">IF(ISNUMBER(MATCH(DATEVALUE($A10),'recurring1_based on steps'!AY$1:AY$400,0)),AY$2,)</f>
        <v>0</v>
      </c>
    </row>
    <row r="11" spans="1:51" x14ac:dyDescent="0.2">
      <c r="A11" s="32" t="str">
        <f t="shared" ca="1" si="0"/>
        <v>2025-04-13</v>
      </c>
      <c r="B11" s="179">
        <f ca="1">IF(ISNUMBER(MATCH(DATEVALUE($A11),'recurring1_based on steps'!B$1:B$400,0)),B$2,)</f>
        <v>0</v>
      </c>
      <c r="C11" s="179">
        <f ca="1">IF(ISNUMBER(MATCH(DATEVALUE($A11),'recurring1_based on steps'!C$1:C$400,0)),C$2,)</f>
        <v>0</v>
      </c>
      <c r="D11" s="179">
        <f ca="1">IF(ISNUMBER(MATCH(DATEVALUE($A11),'recurring1_based on steps'!D$1:D$400,0)),D$2,)</f>
        <v>0</v>
      </c>
      <c r="E11" s="179">
        <f ca="1">IF(ISNUMBER(MATCH(DATEVALUE($A11),'recurring1_based on steps'!E$1:E$400,0)),E$2,)</f>
        <v>0</v>
      </c>
      <c r="F11" s="179">
        <f ca="1">IF(ISNUMBER(MATCH(DATEVALUE($A11),'recurring1_based on steps'!F$1:F$400,0)),F$2,)</f>
        <v>0</v>
      </c>
      <c r="G11" s="179">
        <f ca="1">IF(ISNUMBER(MATCH(DATEVALUE($A11),'recurring1_based on steps'!G$1:G$400,0)),G$2,)</f>
        <v>0</v>
      </c>
      <c r="H11" s="179">
        <f ca="1">IF(ISNUMBER(MATCH(DATEVALUE($A11),'recurring1_based on steps'!H$1:H$400,0)),H$2,)</f>
        <v>0</v>
      </c>
      <c r="I11" s="179">
        <f ca="1">IF(ISNUMBER(MATCH(DATEVALUE($A11),'recurring1_based on steps'!I$1:I$400,0)),I$2,)</f>
        <v>0</v>
      </c>
      <c r="J11" s="179">
        <f ca="1">IF(ISNUMBER(MATCH(DATEVALUE($A11),'recurring1_based on steps'!J$1:J$400,0)),J$2,)</f>
        <v>0</v>
      </c>
      <c r="K11" s="179">
        <f ca="1">IF(ISNUMBER(MATCH(DATEVALUE($A11),'recurring1_based on steps'!K$1:K$400,0)),K$2,)</f>
        <v>0</v>
      </c>
      <c r="L11" s="179">
        <f ca="1">IF(ISNUMBER(MATCH(DATEVALUE($A11),'recurring1_based on steps'!L$1:L$400,0)),L$2,)</f>
        <v>0</v>
      </c>
      <c r="M11" s="179">
        <f ca="1">IF(ISNUMBER(MATCH(DATEVALUE($A11),'recurring1_based on steps'!M$1:M$400,0)),M$2,)</f>
        <v>0</v>
      </c>
      <c r="N11" s="179">
        <f ca="1">IF(ISNUMBER(MATCH(DATEVALUE($A11),'recurring1_based on steps'!N$1:N$400,0)),N$2,)</f>
        <v>0</v>
      </c>
      <c r="O11" s="179">
        <f ca="1">IF(ISNUMBER(MATCH(DATEVALUE($A11),'recurring1_based on steps'!O$1:O$400,0)),O$2,)</f>
        <v>0</v>
      </c>
      <c r="P11" s="179">
        <f ca="1">IF(ISNUMBER(MATCH(DATEVALUE($A11),'recurring1_based on steps'!P$1:P$400,0)),P$2,)</f>
        <v>0</v>
      </c>
      <c r="Q11" s="179">
        <f ca="1">IF(ISNUMBER(MATCH(DATEVALUE($A11),'recurring1_based on steps'!Q$1:Q$400,0)),Q$2,)</f>
        <v>0</v>
      </c>
      <c r="R11" s="179">
        <f ca="1">IF(ISNUMBER(MATCH(DATEVALUE($A11),'recurring1_based on steps'!R$1:R$400,0)),R$2,)</f>
        <v>0</v>
      </c>
      <c r="S11" s="179">
        <f ca="1">IF(ISNUMBER(MATCH(DATEVALUE($A11),'recurring1_based on steps'!S$1:S$400,0)),S$2,)</f>
        <v>0</v>
      </c>
      <c r="T11" s="179">
        <f ca="1">IF(ISNUMBER(MATCH(DATEVALUE($A11),'recurring1_based on steps'!T$1:T$400,0)),T$2,)</f>
        <v>0</v>
      </c>
      <c r="U11" s="179">
        <f ca="1">IF(ISNUMBER(MATCH(DATEVALUE($A11),'recurring1_based on steps'!U$1:U$400,0)),U$2,)</f>
        <v>0</v>
      </c>
      <c r="V11" s="179">
        <f ca="1">IF(ISNUMBER(MATCH(DATEVALUE($A11),'recurring1_based on steps'!V$1:V$400,0)),V$2,)</f>
        <v>0</v>
      </c>
      <c r="W11" s="179">
        <f ca="1">IF(ISNUMBER(MATCH(DATEVALUE($A11),'recurring1_based on steps'!W$1:W$400,0)),W$2,)</f>
        <v>0</v>
      </c>
      <c r="X11" s="179">
        <f ca="1">IF(ISNUMBER(MATCH(DATEVALUE($A11),'recurring1_based on steps'!X$1:X$400,0)),X$2,)</f>
        <v>0</v>
      </c>
      <c r="Y11" s="179">
        <f ca="1">IF(ISNUMBER(MATCH(DATEVALUE($A11),'recurring1_based on steps'!Y$1:Y$400,0)),Y$2,)</f>
        <v>0</v>
      </c>
      <c r="Z11" s="179">
        <f ca="1">IF(ISNUMBER(MATCH(DATEVALUE($A11),'recurring1_based on steps'!Z$1:Z$400,0)),Z$2,)</f>
        <v>0</v>
      </c>
      <c r="AA11" s="179">
        <f ca="1">IF(ISNUMBER(MATCH(DATEVALUE($A11),'recurring1_based on steps'!AA$1:AA$400,0)),AA$2,)</f>
        <v>0</v>
      </c>
      <c r="AB11" s="179">
        <f ca="1">IF(ISNUMBER(MATCH(DATEVALUE($A11),'recurring1_based on steps'!AB$1:AB$400,0)),AB$2,)</f>
        <v>0</v>
      </c>
      <c r="AC11" s="179">
        <f ca="1">IF(ISNUMBER(MATCH(DATEVALUE($A11),'recurring1_based on steps'!AC$1:AC$400,0)),AC$2,)</f>
        <v>0</v>
      </c>
      <c r="AD11" s="179">
        <f ca="1">IF(ISNUMBER(MATCH(DATEVALUE($A11),'recurring1_based on steps'!AD$1:AD$400,0)),AD$2,)</f>
        <v>0</v>
      </c>
      <c r="AE11" s="179">
        <f ca="1">IF(ISNUMBER(MATCH(DATEVALUE($A11),'recurring1_based on steps'!AE$1:AE$400,0)),AE$2,)</f>
        <v>0</v>
      </c>
      <c r="AF11" s="179">
        <f ca="1">IF(ISNUMBER(MATCH(DATEVALUE($A11),'recurring1_based on steps'!AF$1:AF$400,0)),AF$2,)</f>
        <v>0</v>
      </c>
      <c r="AG11" s="179">
        <f ca="1">IF(ISNUMBER(MATCH(DATEVALUE($A11),'recurring1_based on steps'!AG$1:AG$400,0)),AG$2,)</f>
        <v>0</v>
      </c>
      <c r="AH11" s="179">
        <f ca="1">IF(ISNUMBER(MATCH(DATEVALUE($A11),'recurring1_based on steps'!AH$1:AH$400,0)),AH$2,)</f>
        <v>0</v>
      </c>
      <c r="AI11" s="179">
        <f ca="1">IF(ISNUMBER(MATCH(DATEVALUE($A11),'recurring1_based on steps'!AI$1:AI$400,0)),AI$2,)</f>
        <v>0</v>
      </c>
      <c r="AJ11" s="179">
        <f ca="1">IF(ISNUMBER(MATCH(DATEVALUE($A11),'recurring1_based on steps'!AJ$1:AJ$400,0)),AJ$2,)</f>
        <v>0</v>
      </c>
      <c r="AK11" s="179">
        <f ca="1">IF(ISNUMBER(MATCH(DATEVALUE($A11),'recurring1_based on steps'!AK$1:AK$400,0)),AK$2,)</f>
        <v>0</v>
      </c>
      <c r="AL11" s="179">
        <f ca="1">IF(ISNUMBER(MATCH(DATEVALUE($A11),'recurring1_based on steps'!AL$1:AL$400,0)),AL$2,)</f>
        <v>0</v>
      </c>
      <c r="AM11" s="179">
        <f ca="1">IF(ISNUMBER(MATCH(DATEVALUE($A11),'recurring1_based on steps'!AM$1:AM$400,0)),AM$2,)</f>
        <v>0</v>
      </c>
      <c r="AN11" s="179">
        <f ca="1">IF(ISNUMBER(MATCH(DATEVALUE($A11),'recurring1_based on steps'!AN$1:AN$400,0)),AN$2,)</f>
        <v>0</v>
      </c>
      <c r="AO11" s="179">
        <f ca="1">IF(ISNUMBER(MATCH(DATEVALUE($A11),'recurring1_based on steps'!AO$1:AO$400,0)),AO$2,)</f>
        <v>0</v>
      </c>
      <c r="AP11" s="179">
        <f ca="1">IF(ISNUMBER(MATCH(DATEVALUE($A11),'recurring1_based on steps'!AP$1:AP$400,0)),AP$2,)</f>
        <v>0</v>
      </c>
      <c r="AQ11" s="179">
        <f ca="1">IF(ISNUMBER(MATCH(DATEVALUE($A11),'recurring1_based on steps'!AQ$1:AQ$400,0)),AQ$2,)</f>
        <v>0</v>
      </c>
      <c r="AR11" s="179">
        <f ca="1">IF(ISNUMBER(MATCH(DATEVALUE($A11),'recurring1_based on steps'!AR$1:AR$400,0)),AR$2,)</f>
        <v>0</v>
      </c>
      <c r="AS11" s="179">
        <f ca="1">IF(ISNUMBER(MATCH(DATEVALUE($A11),'recurring1_based on steps'!AS$1:AS$400,0)),AS$2,)</f>
        <v>0</v>
      </c>
      <c r="AT11" s="179">
        <f ca="1">IF(ISNUMBER(MATCH(DATEVALUE($A11),'recurring1_based on steps'!AT$1:AT$400,0)),AT$2,)</f>
        <v>0</v>
      </c>
      <c r="AU11" s="179">
        <f ca="1">IF(ISNUMBER(MATCH(DATEVALUE($A11),'recurring1_based on steps'!AU$1:AU$400,0)),AU$2,)</f>
        <v>0</v>
      </c>
      <c r="AV11" s="179">
        <f ca="1">IF(ISNUMBER(MATCH(DATEVALUE($A11),'recurring1_based on steps'!AV$1:AV$400,0)),AV$2,)</f>
        <v>0</v>
      </c>
      <c r="AW11" s="179">
        <f ca="1">IF(ISNUMBER(MATCH(DATEVALUE($A11),'recurring1_based on steps'!AW$1:AW$400,0)),AW$2,)</f>
        <v>0</v>
      </c>
      <c r="AX11" s="179">
        <f ca="1">IF(ISNUMBER(MATCH(DATEVALUE($A11),'recurring1_based on steps'!AX$1:AX$400,0)),AX$2,)</f>
        <v>0</v>
      </c>
      <c r="AY11" s="179">
        <f ca="1">IF(ISNUMBER(MATCH(DATEVALUE($A11),'recurring1_based on steps'!AY$1:AY$400,0)),AY$2,)</f>
        <v>0</v>
      </c>
    </row>
    <row r="12" spans="1:51" x14ac:dyDescent="0.2">
      <c r="A12" s="32" t="str">
        <f t="shared" ca="1" si="0"/>
        <v>2025-04-14</v>
      </c>
      <c r="B12" s="179">
        <f ca="1">IF(ISNUMBER(MATCH(DATEVALUE($A12),'recurring1_based on steps'!B$1:B$400,0)),B$2,)</f>
        <v>0</v>
      </c>
      <c r="C12" s="179">
        <f ca="1">IF(ISNUMBER(MATCH(DATEVALUE($A12),'recurring1_based on steps'!C$1:C$400,0)),C$2,)</f>
        <v>0</v>
      </c>
      <c r="D12" s="179">
        <f ca="1">IF(ISNUMBER(MATCH(DATEVALUE($A12),'recurring1_based on steps'!D$1:D$400,0)),D$2,)</f>
        <v>0</v>
      </c>
      <c r="E12" s="179">
        <f ca="1">IF(ISNUMBER(MATCH(DATEVALUE($A12),'recurring1_based on steps'!E$1:E$400,0)),E$2,)</f>
        <v>0</v>
      </c>
      <c r="F12" s="179">
        <f ca="1">IF(ISNUMBER(MATCH(DATEVALUE($A12),'recurring1_based on steps'!F$1:F$400,0)),F$2,)</f>
        <v>0</v>
      </c>
      <c r="G12" s="179">
        <f ca="1">IF(ISNUMBER(MATCH(DATEVALUE($A12),'recurring1_based on steps'!G$1:G$400,0)),G$2,)</f>
        <v>0</v>
      </c>
      <c r="H12" s="179">
        <f ca="1">IF(ISNUMBER(MATCH(DATEVALUE($A12),'recurring1_based on steps'!H$1:H$400,0)),H$2,)</f>
        <v>0</v>
      </c>
      <c r="I12" s="179">
        <f ca="1">IF(ISNUMBER(MATCH(DATEVALUE($A12),'recurring1_based on steps'!I$1:I$400,0)),I$2,)</f>
        <v>0</v>
      </c>
      <c r="J12" s="179">
        <f ca="1">IF(ISNUMBER(MATCH(DATEVALUE($A12),'recurring1_based on steps'!J$1:J$400,0)),J$2,)</f>
        <v>0</v>
      </c>
      <c r="K12" s="179">
        <f ca="1">IF(ISNUMBER(MATCH(DATEVALUE($A12),'recurring1_based on steps'!K$1:K$400,0)),K$2,)</f>
        <v>0</v>
      </c>
      <c r="L12" s="179">
        <f ca="1">IF(ISNUMBER(MATCH(DATEVALUE($A12),'recurring1_based on steps'!L$1:L$400,0)),L$2,)</f>
        <v>0</v>
      </c>
      <c r="M12" s="179">
        <f ca="1">IF(ISNUMBER(MATCH(DATEVALUE($A12),'recurring1_based on steps'!M$1:M$400,0)),M$2,)</f>
        <v>0</v>
      </c>
      <c r="N12" s="179">
        <f ca="1">IF(ISNUMBER(MATCH(DATEVALUE($A12),'recurring1_based on steps'!N$1:N$400,0)),N$2,)</f>
        <v>0</v>
      </c>
      <c r="O12" s="179">
        <f ca="1">IF(ISNUMBER(MATCH(DATEVALUE($A12),'recurring1_based on steps'!O$1:O$400,0)),O$2,)</f>
        <v>0</v>
      </c>
      <c r="P12" s="179">
        <f ca="1">IF(ISNUMBER(MATCH(DATEVALUE($A12),'recurring1_based on steps'!P$1:P$400,0)),P$2,)</f>
        <v>0</v>
      </c>
      <c r="Q12" s="179">
        <f ca="1">IF(ISNUMBER(MATCH(DATEVALUE($A12),'recurring1_based on steps'!Q$1:Q$400,0)),Q$2,)</f>
        <v>0</v>
      </c>
      <c r="R12" s="179">
        <f ca="1">IF(ISNUMBER(MATCH(DATEVALUE($A12),'recurring1_based on steps'!R$1:R$400,0)),R$2,)</f>
        <v>0</v>
      </c>
      <c r="S12" s="179">
        <f ca="1">IF(ISNUMBER(MATCH(DATEVALUE($A12),'recurring1_based on steps'!S$1:S$400,0)),S$2,)</f>
        <v>0</v>
      </c>
      <c r="T12" s="179">
        <f ca="1">IF(ISNUMBER(MATCH(DATEVALUE($A12),'recurring1_based on steps'!T$1:T$400,0)),T$2,)</f>
        <v>0</v>
      </c>
      <c r="U12" s="179">
        <f ca="1">IF(ISNUMBER(MATCH(DATEVALUE($A12),'recurring1_based on steps'!U$1:U$400,0)),U$2,)</f>
        <v>0</v>
      </c>
      <c r="V12" s="179">
        <f ca="1">IF(ISNUMBER(MATCH(DATEVALUE($A12),'recurring1_based on steps'!V$1:V$400,0)),V$2,)</f>
        <v>0</v>
      </c>
      <c r="W12" s="179">
        <f ca="1">IF(ISNUMBER(MATCH(DATEVALUE($A12),'recurring1_based on steps'!W$1:W$400,0)),W$2,)</f>
        <v>0</v>
      </c>
      <c r="X12" s="179">
        <f ca="1">IF(ISNUMBER(MATCH(DATEVALUE($A12),'recurring1_based on steps'!X$1:X$400,0)),X$2,)</f>
        <v>0</v>
      </c>
      <c r="Y12" s="179">
        <f ca="1">IF(ISNUMBER(MATCH(DATEVALUE($A12),'recurring1_based on steps'!Y$1:Y$400,0)),Y$2,)</f>
        <v>0</v>
      </c>
      <c r="Z12" s="179">
        <f ca="1">IF(ISNUMBER(MATCH(DATEVALUE($A12),'recurring1_based on steps'!Z$1:Z$400,0)),Z$2,)</f>
        <v>0</v>
      </c>
      <c r="AA12" s="179">
        <f ca="1">IF(ISNUMBER(MATCH(DATEVALUE($A12),'recurring1_based on steps'!AA$1:AA$400,0)),AA$2,)</f>
        <v>0</v>
      </c>
      <c r="AB12" s="179">
        <f ca="1">IF(ISNUMBER(MATCH(DATEVALUE($A12),'recurring1_based on steps'!AB$1:AB$400,0)),AB$2,)</f>
        <v>0</v>
      </c>
      <c r="AC12" s="179">
        <f ca="1">IF(ISNUMBER(MATCH(DATEVALUE($A12),'recurring1_based on steps'!AC$1:AC$400,0)),AC$2,)</f>
        <v>0</v>
      </c>
      <c r="AD12" s="179">
        <f ca="1">IF(ISNUMBER(MATCH(DATEVALUE($A12),'recurring1_based on steps'!AD$1:AD$400,0)),AD$2,)</f>
        <v>0</v>
      </c>
      <c r="AE12" s="179">
        <f ca="1">IF(ISNUMBER(MATCH(DATEVALUE($A12),'recurring1_based on steps'!AE$1:AE$400,0)),AE$2,)</f>
        <v>0</v>
      </c>
      <c r="AF12" s="179">
        <f ca="1">IF(ISNUMBER(MATCH(DATEVALUE($A12),'recurring1_based on steps'!AF$1:AF$400,0)),AF$2,)</f>
        <v>0</v>
      </c>
      <c r="AG12" s="179">
        <f ca="1">IF(ISNUMBER(MATCH(DATEVALUE($A12),'recurring1_based on steps'!AG$1:AG$400,0)),AG$2,)</f>
        <v>0</v>
      </c>
      <c r="AH12" s="179">
        <f ca="1">IF(ISNUMBER(MATCH(DATEVALUE($A12),'recurring1_based on steps'!AH$1:AH$400,0)),AH$2,)</f>
        <v>0</v>
      </c>
      <c r="AI12" s="179">
        <f ca="1">IF(ISNUMBER(MATCH(DATEVALUE($A12),'recurring1_based on steps'!AI$1:AI$400,0)),AI$2,)</f>
        <v>0</v>
      </c>
      <c r="AJ12" s="179">
        <f ca="1">IF(ISNUMBER(MATCH(DATEVALUE($A12),'recurring1_based on steps'!AJ$1:AJ$400,0)),AJ$2,)</f>
        <v>0</v>
      </c>
      <c r="AK12" s="179">
        <f ca="1">IF(ISNUMBER(MATCH(DATEVALUE($A12),'recurring1_based on steps'!AK$1:AK$400,0)),AK$2,)</f>
        <v>0</v>
      </c>
      <c r="AL12" s="179">
        <f ca="1">IF(ISNUMBER(MATCH(DATEVALUE($A12),'recurring1_based on steps'!AL$1:AL$400,0)),AL$2,)</f>
        <v>0</v>
      </c>
      <c r="AM12" s="179">
        <f ca="1">IF(ISNUMBER(MATCH(DATEVALUE($A12),'recurring1_based on steps'!AM$1:AM$400,0)),AM$2,)</f>
        <v>0</v>
      </c>
      <c r="AN12" s="179">
        <f ca="1">IF(ISNUMBER(MATCH(DATEVALUE($A12),'recurring1_based on steps'!AN$1:AN$400,0)),AN$2,)</f>
        <v>0</v>
      </c>
      <c r="AO12" s="179">
        <f ca="1">IF(ISNUMBER(MATCH(DATEVALUE($A12),'recurring1_based on steps'!AO$1:AO$400,0)),AO$2,)</f>
        <v>0</v>
      </c>
      <c r="AP12" s="179">
        <f ca="1">IF(ISNUMBER(MATCH(DATEVALUE($A12),'recurring1_based on steps'!AP$1:AP$400,0)),AP$2,)</f>
        <v>0</v>
      </c>
      <c r="AQ12" s="179">
        <f ca="1">IF(ISNUMBER(MATCH(DATEVALUE($A12),'recurring1_based on steps'!AQ$1:AQ$400,0)),AQ$2,)</f>
        <v>0</v>
      </c>
      <c r="AR12" s="179">
        <f ca="1">IF(ISNUMBER(MATCH(DATEVALUE($A12),'recurring1_based on steps'!AR$1:AR$400,0)),AR$2,)</f>
        <v>0</v>
      </c>
      <c r="AS12" s="179">
        <f ca="1">IF(ISNUMBER(MATCH(DATEVALUE($A12),'recurring1_based on steps'!AS$1:AS$400,0)),AS$2,)</f>
        <v>0</v>
      </c>
      <c r="AT12" s="179">
        <f ca="1">IF(ISNUMBER(MATCH(DATEVALUE($A12),'recurring1_based on steps'!AT$1:AT$400,0)),AT$2,)</f>
        <v>0</v>
      </c>
      <c r="AU12" s="179">
        <f ca="1">IF(ISNUMBER(MATCH(DATEVALUE($A12),'recurring1_based on steps'!AU$1:AU$400,0)),AU$2,)</f>
        <v>0</v>
      </c>
      <c r="AV12" s="179">
        <f ca="1">IF(ISNUMBER(MATCH(DATEVALUE($A12),'recurring1_based on steps'!AV$1:AV$400,0)),AV$2,)</f>
        <v>0</v>
      </c>
      <c r="AW12" s="179">
        <f ca="1">IF(ISNUMBER(MATCH(DATEVALUE($A12),'recurring1_based on steps'!AW$1:AW$400,0)),AW$2,)</f>
        <v>0</v>
      </c>
      <c r="AX12" s="179">
        <f ca="1">IF(ISNUMBER(MATCH(DATEVALUE($A12),'recurring1_based on steps'!AX$1:AX$400,0)),AX$2,)</f>
        <v>0</v>
      </c>
      <c r="AY12" s="179">
        <f ca="1">IF(ISNUMBER(MATCH(DATEVALUE($A12),'recurring1_based on steps'!AY$1:AY$400,0)),AY$2,)</f>
        <v>0</v>
      </c>
    </row>
    <row r="13" spans="1:51" x14ac:dyDescent="0.2">
      <c r="A13" s="32" t="str">
        <f t="shared" ca="1" si="0"/>
        <v>2025-04-15</v>
      </c>
      <c r="B13" s="179">
        <f ca="1">IF(ISNUMBER(MATCH(DATEVALUE($A13),'recurring1_based on steps'!B$1:B$400,0)),B$2,)</f>
        <v>0</v>
      </c>
      <c r="C13" s="179">
        <f ca="1">IF(ISNUMBER(MATCH(DATEVALUE($A13),'recurring1_based on steps'!C$1:C$400,0)),C$2,)</f>
        <v>0</v>
      </c>
      <c r="D13" s="179">
        <f ca="1">IF(ISNUMBER(MATCH(DATEVALUE($A13),'recurring1_based on steps'!D$1:D$400,0)),D$2,)</f>
        <v>0</v>
      </c>
      <c r="E13" s="179">
        <f ca="1">IF(ISNUMBER(MATCH(DATEVALUE($A13),'recurring1_based on steps'!E$1:E$400,0)),E$2,)</f>
        <v>0</v>
      </c>
      <c r="F13" s="179">
        <f ca="1">IF(ISNUMBER(MATCH(DATEVALUE($A13),'recurring1_based on steps'!F$1:F$400,0)),F$2,)</f>
        <v>0</v>
      </c>
      <c r="G13" s="179">
        <f ca="1">IF(ISNUMBER(MATCH(DATEVALUE($A13),'recurring1_based on steps'!G$1:G$400,0)),G$2,)</f>
        <v>0</v>
      </c>
      <c r="H13" s="179">
        <f ca="1">IF(ISNUMBER(MATCH(DATEVALUE($A13),'recurring1_based on steps'!H$1:H$400,0)),H$2,)</f>
        <v>0</v>
      </c>
      <c r="I13" s="179">
        <f ca="1">IF(ISNUMBER(MATCH(DATEVALUE($A13),'recurring1_based on steps'!I$1:I$400,0)),I$2,)</f>
        <v>0</v>
      </c>
      <c r="J13" s="179">
        <f ca="1">IF(ISNUMBER(MATCH(DATEVALUE($A13),'recurring1_based on steps'!J$1:J$400,0)),J$2,)</f>
        <v>0</v>
      </c>
      <c r="K13" s="179">
        <f ca="1">IF(ISNUMBER(MATCH(DATEVALUE($A13),'recurring1_based on steps'!K$1:K$400,0)),K$2,)</f>
        <v>0</v>
      </c>
      <c r="L13" s="179">
        <f ca="1">IF(ISNUMBER(MATCH(DATEVALUE($A13),'recurring1_based on steps'!L$1:L$400,0)),L$2,)</f>
        <v>0</v>
      </c>
      <c r="M13" s="179">
        <f ca="1">IF(ISNUMBER(MATCH(DATEVALUE($A13),'recurring1_based on steps'!M$1:M$400,0)),M$2,)</f>
        <v>0</v>
      </c>
      <c r="N13" s="179">
        <f ca="1">IF(ISNUMBER(MATCH(DATEVALUE($A13),'recurring1_based on steps'!N$1:N$400,0)),N$2,)</f>
        <v>0</v>
      </c>
      <c r="O13" s="179">
        <f ca="1">IF(ISNUMBER(MATCH(DATEVALUE($A13),'recurring1_based on steps'!O$1:O$400,0)),O$2,)</f>
        <v>0</v>
      </c>
      <c r="P13" s="179">
        <f ca="1">IF(ISNUMBER(MATCH(DATEVALUE($A13),'recurring1_based on steps'!P$1:P$400,0)),P$2,)</f>
        <v>0</v>
      </c>
      <c r="Q13" s="179">
        <f ca="1">IF(ISNUMBER(MATCH(DATEVALUE($A13),'recurring1_based on steps'!Q$1:Q$400,0)),Q$2,)</f>
        <v>0</v>
      </c>
      <c r="R13" s="179">
        <f ca="1">IF(ISNUMBER(MATCH(DATEVALUE($A13),'recurring1_based on steps'!R$1:R$400,0)),R$2,)</f>
        <v>0</v>
      </c>
      <c r="S13" s="179">
        <f ca="1">IF(ISNUMBER(MATCH(DATEVALUE($A13),'recurring1_based on steps'!S$1:S$400,0)),S$2,)</f>
        <v>0</v>
      </c>
      <c r="T13" s="179">
        <f ca="1">IF(ISNUMBER(MATCH(DATEVALUE($A13),'recurring1_based on steps'!T$1:T$400,0)),T$2,)</f>
        <v>0</v>
      </c>
      <c r="U13" s="179">
        <f ca="1">IF(ISNUMBER(MATCH(DATEVALUE($A13),'recurring1_based on steps'!U$1:U$400,0)),U$2,)</f>
        <v>0</v>
      </c>
      <c r="V13" s="179">
        <f ca="1">IF(ISNUMBER(MATCH(DATEVALUE($A13),'recurring1_based on steps'!V$1:V$400,0)),V$2,)</f>
        <v>0</v>
      </c>
      <c r="W13" s="179">
        <f ca="1">IF(ISNUMBER(MATCH(DATEVALUE($A13),'recurring1_based on steps'!W$1:W$400,0)),W$2,)</f>
        <v>0</v>
      </c>
      <c r="X13" s="179">
        <f ca="1">IF(ISNUMBER(MATCH(DATEVALUE($A13),'recurring1_based on steps'!X$1:X$400,0)),X$2,)</f>
        <v>0</v>
      </c>
      <c r="Y13" s="179">
        <f ca="1">IF(ISNUMBER(MATCH(DATEVALUE($A13),'recurring1_based on steps'!Y$1:Y$400,0)),Y$2,)</f>
        <v>0</v>
      </c>
      <c r="Z13" s="179">
        <f ca="1">IF(ISNUMBER(MATCH(DATEVALUE($A13),'recurring1_based on steps'!Z$1:Z$400,0)),Z$2,)</f>
        <v>0</v>
      </c>
      <c r="AA13" s="179">
        <f ca="1">IF(ISNUMBER(MATCH(DATEVALUE($A13),'recurring1_based on steps'!AA$1:AA$400,0)),AA$2,)</f>
        <v>0</v>
      </c>
      <c r="AB13" s="179">
        <f ca="1">IF(ISNUMBER(MATCH(DATEVALUE($A13),'recurring1_based on steps'!AB$1:AB$400,0)),AB$2,)</f>
        <v>0</v>
      </c>
      <c r="AC13" s="179">
        <f ca="1">IF(ISNUMBER(MATCH(DATEVALUE($A13),'recurring1_based on steps'!AC$1:AC$400,0)),AC$2,)</f>
        <v>0</v>
      </c>
      <c r="AD13" s="179">
        <f ca="1">IF(ISNUMBER(MATCH(DATEVALUE($A13),'recurring1_based on steps'!AD$1:AD$400,0)),AD$2,)</f>
        <v>0</v>
      </c>
      <c r="AE13" s="179">
        <f ca="1">IF(ISNUMBER(MATCH(DATEVALUE($A13),'recurring1_based on steps'!AE$1:AE$400,0)),AE$2,)</f>
        <v>0</v>
      </c>
      <c r="AF13" s="179">
        <f ca="1">IF(ISNUMBER(MATCH(DATEVALUE($A13),'recurring1_based on steps'!AF$1:AF$400,0)),AF$2,)</f>
        <v>0</v>
      </c>
      <c r="AG13" s="179">
        <f ca="1">IF(ISNUMBER(MATCH(DATEVALUE($A13),'recurring1_based on steps'!AG$1:AG$400,0)),AG$2,)</f>
        <v>0</v>
      </c>
      <c r="AH13" s="179">
        <f ca="1">IF(ISNUMBER(MATCH(DATEVALUE($A13),'recurring1_based on steps'!AH$1:AH$400,0)),AH$2,)</f>
        <v>0</v>
      </c>
      <c r="AI13" s="179">
        <f ca="1">IF(ISNUMBER(MATCH(DATEVALUE($A13),'recurring1_based on steps'!AI$1:AI$400,0)),AI$2,)</f>
        <v>0</v>
      </c>
      <c r="AJ13" s="179">
        <f ca="1">IF(ISNUMBER(MATCH(DATEVALUE($A13),'recurring1_based on steps'!AJ$1:AJ$400,0)),AJ$2,)</f>
        <v>0</v>
      </c>
      <c r="AK13" s="179">
        <f ca="1">IF(ISNUMBER(MATCH(DATEVALUE($A13),'recurring1_based on steps'!AK$1:AK$400,0)),AK$2,)</f>
        <v>0</v>
      </c>
      <c r="AL13" s="179">
        <f ca="1">IF(ISNUMBER(MATCH(DATEVALUE($A13),'recurring1_based on steps'!AL$1:AL$400,0)),AL$2,)</f>
        <v>0</v>
      </c>
      <c r="AM13" s="179">
        <f ca="1">IF(ISNUMBER(MATCH(DATEVALUE($A13),'recurring1_based on steps'!AM$1:AM$400,0)),AM$2,)</f>
        <v>0</v>
      </c>
      <c r="AN13" s="179">
        <f ca="1">IF(ISNUMBER(MATCH(DATEVALUE($A13),'recurring1_based on steps'!AN$1:AN$400,0)),AN$2,)</f>
        <v>0</v>
      </c>
      <c r="AO13" s="179">
        <f ca="1">IF(ISNUMBER(MATCH(DATEVALUE($A13),'recurring1_based on steps'!AO$1:AO$400,0)),AO$2,)</f>
        <v>0</v>
      </c>
      <c r="AP13" s="179">
        <f ca="1">IF(ISNUMBER(MATCH(DATEVALUE($A13),'recurring1_based on steps'!AP$1:AP$400,0)),AP$2,)</f>
        <v>0</v>
      </c>
      <c r="AQ13" s="179">
        <f ca="1">IF(ISNUMBER(MATCH(DATEVALUE($A13),'recurring1_based on steps'!AQ$1:AQ$400,0)),AQ$2,)</f>
        <v>0</v>
      </c>
      <c r="AR13" s="179">
        <f ca="1">IF(ISNUMBER(MATCH(DATEVALUE($A13),'recurring1_based on steps'!AR$1:AR$400,0)),AR$2,)</f>
        <v>0</v>
      </c>
      <c r="AS13" s="179">
        <f ca="1">IF(ISNUMBER(MATCH(DATEVALUE($A13),'recurring1_based on steps'!AS$1:AS$400,0)),AS$2,)</f>
        <v>0</v>
      </c>
      <c r="AT13" s="179">
        <f ca="1">IF(ISNUMBER(MATCH(DATEVALUE($A13),'recurring1_based on steps'!AT$1:AT$400,0)),AT$2,)</f>
        <v>0</v>
      </c>
      <c r="AU13" s="179">
        <f ca="1">IF(ISNUMBER(MATCH(DATEVALUE($A13),'recurring1_based on steps'!AU$1:AU$400,0)),AU$2,)</f>
        <v>0</v>
      </c>
      <c r="AV13" s="179">
        <f ca="1">IF(ISNUMBER(MATCH(DATEVALUE($A13),'recurring1_based on steps'!AV$1:AV$400,0)),AV$2,)</f>
        <v>0</v>
      </c>
      <c r="AW13" s="179">
        <f ca="1">IF(ISNUMBER(MATCH(DATEVALUE($A13),'recurring1_based on steps'!AW$1:AW$400,0)),AW$2,)</f>
        <v>0</v>
      </c>
      <c r="AX13" s="179">
        <f ca="1">IF(ISNUMBER(MATCH(DATEVALUE($A13),'recurring1_based on steps'!AX$1:AX$400,0)),AX$2,)</f>
        <v>0</v>
      </c>
      <c r="AY13" s="179">
        <f ca="1">IF(ISNUMBER(MATCH(DATEVALUE($A13),'recurring1_based on steps'!AY$1:AY$400,0)),AY$2,)</f>
        <v>0</v>
      </c>
    </row>
    <row r="14" spans="1:51" x14ac:dyDescent="0.2">
      <c r="A14" s="32" t="str">
        <f t="shared" ca="1" si="0"/>
        <v>2025-04-16</v>
      </c>
      <c r="B14" s="179">
        <f ca="1">IF(ISNUMBER(MATCH(DATEVALUE($A14),'recurring1_based on steps'!B$1:B$400,0)),B$2,)</f>
        <v>0</v>
      </c>
      <c r="C14" s="179">
        <f ca="1">IF(ISNUMBER(MATCH(DATEVALUE($A14),'recurring1_based on steps'!C$1:C$400,0)),C$2,)</f>
        <v>0</v>
      </c>
      <c r="D14" s="179">
        <f ca="1">IF(ISNUMBER(MATCH(DATEVALUE($A14),'recurring1_based on steps'!D$1:D$400,0)),D$2,)</f>
        <v>0</v>
      </c>
      <c r="E14" s="179">
        <f ca="1">IF(ISNUMBER(MATCH(DATEVALUE($A14),'recurring1_based on steps'!E$1:E$400,0)),E$2,)</f>
        <v>0</v>
      </c>
      <c r="F14" s="179">
        <f ca="1">IF(ISNUMBER(MATCH(DATEVALUE($A14),'recurring1_based on steps'!F$1:F$400,0)),F$2,)</f>
        <v>0</v>
      </c>
      <c r="G14" s="179">
        <f ca="1">IF(ISNUMBER(MATCH(DATEVALUE($A14),'recurring1_based on steps'!G$1:G$400,0)),G$2,)</f>
        <v>0</v>
      </c>
      <c r="H14" s="179">
        <f ca="1">IF(ISNUMBER(MATCH(DATEVALUE($A14),'recurring1_based on steps'!H$1:H$400,0)),H$2,)</f>
        <v>0</v>
      </c>
      <c r="I14" s="179">
        <f ca="1">IF(ISNUMBER(MATCH(DATEVALUE($A14),'recurring1_based on steps'!I$1:I$400,0)),I$2,)</f>
        <v>0</v>
      </c>
      <c r="J14" s="179">
        <f ca="1">IF(ISNUMBER(MATCH(DATEVALUE($A14),'recurring1_based on steps'!J$1:J$400,0)),J$2,)</f>
        <v>0</v>
      </c>
      <c r="K14" s="179">
        <f ca="1">IF(ISNUMBER(MATCH(DATEVALUE($A14),'recurring1_based on steps'!K$1:K$400,0)),K$2,)</f>
        <v>0</v>
      </c>
      <c r="L14" s="179">
        <f ca="1">IF(ISNUMBER(MATCH(DATEVALUE($A14),'recurring1_based on steps'!L$1:L$400,0)),L$2,)</f>
        <v>0</v>
      </c>
      <c r="M14" s="179">
        <f ca="1">IF(ISNUMBER(MATCH(DATEVALUE($A14),'recurring1_based on steps'!M$1:M$400,0)),M$2,)</f>
        <v>0</v>
      </c>
      <c r="N14" s="179">
        <f ca="1">IF(ISNUMBER(MATCH(DATEVALUE($A14),'recurring1_based on steps'!N$1:N$400,0)),N$2,)</f>
        <v>0</v>
      </c>
      <c r="O14" s="179">
        <f ca="1">IF(ISNUMBER(MATCH(DATEVALUE($A14),'recurring1_based on steps'!O$1:O$400,0)),O$2,)</f>
        <v>0</v>
      </c>
      <c r="P14" s="179">
        <f ca="1">IF(ISNUMBER(MATCH(DATEVALUE($A14),'recurring1_based on steps'!P$1:P$400,0)),P$2,)</f>
        <v>0</v>
      </c>
      <c r="Q14" s="179">
        <f ca="1">IF(ISNUMBER(MATCH(DATEVALUE($A14),'recurring1_based on steps'!Q$1:Q$400,0)),Q$2,)</f>
        <v>0</v>
      </c>
      <c r="R14" s="179">
        <f ca="1">IF(ISNUMBER(MATCH(DATEVALUE($A14),'recurring1_based on steps'!R$1:R$400,0)),R$2,)</f>
        <v>0</v>
      </c>
      <c r="S14" s="179">
        <f ca="1">IF(ISNUMBER(MATCH(DATEVALUE($A14),'recurring1_based on steps'!S$1:S$400,0)),S$2,)</f>
        <v>0</v>
      </c>
      <c r="T14" s="179">
        <f ca="1">IF(ISNUMBER(MATCH(DATEVALUE($A14),'recurring1_based on steps'!T$1:T$400,0)),T$2,)</f>
        <v>0</v>
      </c>
      <c r="U14" s="179">
        <f ca="1">IF(ISNUMBER(MATCH(DATEVALUE($A14),'recurring1_based on steps'!U$1:U$400,0)),U$2,)</f>
        <v>0</v>
      </c>
      <c r="V14" s="179">
        <f ca="1">IF(ISNUMBER(MATCH(DATEVALUE($A14),'recurring1_based on steps'!V$1:V$400,0)),V$2,)</f>
        <v>0</v>
      </c>
      <c r="W14" s="179">
        <f ca="1">IF(ISNUMBER(MATCH(DATEVALUE($A14),'recurring1_based on steps'!W$1:W$400,0)),W$2,)</f>
        <v>0</v>
      </c>
      <c r="X14" s="179">
        <f ca="1">IF(ISNUMBER(MATCH(DATEVALUE($A14),'recurring1_based on steps'!X$1:X$400,0)),X$2,)</f>
        <v>0</v>
      </c>
      <c r="Y14" s="179">
        <f ca="1">IF(ISNUMBER(MATCH(DATEVALUE($A14),'recurring1_based on steps'!Y$1:Y$400,0)),Y$2,)</f>
        <v>0</v>
      </c>
      <c r="Z14" s="179">
        <f ca="1">IF(ISNUMBER(MATCH(DATEVALUE($A14),'recurring1_based on steps'!Z$1:Z$400,0)),Z$2,)</f>
        <v>0</v>
      </c>
      <c r="AA14" s="179">
        <f ca="1">IF(ISNUMBER(MATCH(DATEVALUE($A14),'recurring1_based on steps'!AA$1:AA$400,0)),AA$2,)</f>
        <v>0</v>
      </c>
      <c r="AB14" s="179">
        <f ca="1">IF(ISNUMBER(MATCH(DATEVALUE($A14),'recurring1_based on steps'!AB$1:AB$400,0)),AB$2,)</f>
        <v>0</v>
      </c>
      <c r="AC14" s="179">
        <f ca="1">IF(ISNUMBER(MATCH(DATEVALUE($A14),'recurring1_based on steps'!AC$1:AC$400,0)),AC$2,)</f>
        <v>0</v>
      </c>
      <c r="AD14" s="179">
        <f ca="1">IF(ISNUMBER(MATCH(DATEVALUE($A14),'recurring1_based on steps'!AD$1:AD$400,0)),AD$2,)</f>
        <v>0</v>
      </c>
      <c r="AE14" s="179">
        <f ca="1">IF(ISNUMBER(MATCH(DATEVALUE($A14),'recurring1_based on steps'!AE$1:AE$400,0)),AE$2,)</f>
        <v>0</v>
      </c>
      <c r="AF14" s="179">
        <f ca="1">IF(ISNUMBER(MATCH(DATEVALUE($A14),'recurring1_based on steps'!AF$1:AF$400,0)),AF$2,)</f>
        <v>0</v>
      </c>
      <c r="AG14" s="179">
        <f ca="1">IF(ISNUMBER(MATCH(DATEVALUE($A14),'recurring1_based on steps'!AG$1:AG$400,0)),AG$2,)</f>
        <v>0</v>
      </c>
      <c r="AH14" s="179">
        <f ca="1">IF(ISNUMBER(MATCH(DATEVALUE($A14),'recurring1_based on steps'!AH$1:AH$400,0)),AH$2,)</f>
        <v>0</v>
      </c>
      <c r="AI14" s="179">
        <f ca="1">IF(ISNUMBER(MATCH(DATEVALUE($A14),'recurring1_based on steps'!AI$1:AI$400,0)),AI$2,)</f>
        <v>0</v>
      </c>
      <c r="AJ14" s="179">
        <f ca="1">IF(ISNUMBER(MATCH(DATEVALUE($A14),'recurring1_based on steps'!AJ$1:AJ$400,0)),AJ$2,)</f>
        <v>0</v>
      </c>
      <c r="AK14" s="179">
        <f ca="1">IF(ISNUMBER(MATCH(DATEVALUE($A14),'recurring1_based on steps'!AK$1:AK$400,0)),AK$2,)</f>
        <v>0</v>
      </c>
      <c r="AL14" s="179">
        <f ca="1">IF(ISNUMBER(MATCH(DATEVALUE($A14),'recurring1_based on steps'!AL$1:AL$400,0)),AL$2,)</f>
        <v>0</v>
      </c>
      <c r="AM14" s="179">
        <f ca="1">IF(ISNUMBER(MATCH(DATEVALUE($A14),'recurring1_based on steps'!AM$1:AM$400,0)),AM$2,)</f>
        <v>0</v>
      </c>
      <c r="AN14" s="179">
        <f ca="1">IF(ISNUMBER(MATCH(DATEVALUE($A14),'recurring1_based on steps'!AN$1:AN$400,0)),AN$2,)</f>
        <v>0</v>
      </c>
      <c r="AO14" s="179">
        <f ca="1">IF(ISNUMBER(MATCH(DATEVALUE($A14),'recurring1_based on steps'!AO$1:AO$400,0)),AO$2,)</f>
        <v>0</v>
      </c>
      <c r="AP14" s="179">
        <f ca="1">IF(ISNUMBER(MATCH(DATEVALUE($A14),'recurring1_based on steps'!AP$1:AP$400,0)),AP$2,)</f>
        <v>0</v>
      </c>
      <c r="AQ14" s="179">
        <f ca="1">IF(ISNUMBER(MATCH(DATEVALUE($A14),'recurring1_based on steps'!AQ$1:AQ$400,0)),AQ$2,)</f>
        <v>0</v>
      </c>
      <c r="AR14" s="179">
        <f ca="1">IF(ISNUMBER(MATCH(DATEVALUE($A14),'recurring1_based on steps'!AR$1:AR$400,0)),AR$2,)</f>
        <v>0</v>
      </c>
      <c r="AS14" s="179">
        <f ca="1">IF(ISNUMBER(MATCH(DATEVALUE($A14),'recurring1_based on steps'!AS$1:AS$400,0)),AS$2,)</f>
        <v>0</v>
      </c>
      <c r="AT14" s="179">
        <f ca="1">IF(ISNUMBER(MATCH(DATEVALUE($A14),'recurring1_based on steps'!AT$1:AT$400,0)),AT$2,)</f>
        <v>0</v>
      </c>
      <c r="AU14" s="179">
        <f ca="1">IF(ISNUMBER(MATCH(DATEVALUE($A14),'recurring1_based on steps'!AU$1:AU$400,0)),AU$2,)</f>
        <v>0</v>
      </c>
      <c r="AV14" s="179">
        <f ca="1">IF(ISNUMBER(MATCH(DATEVALUE($A14),'recurring1_based on steps'!AV$1:AV$400,0)),AV$2,)</f>
        <v>0</v>
      </c>
      <c r="AW14" s="179">
        <f ca="1">IF(ISNUMBER(MATCH(DATEVALUE($A14),'recurring1_based on steps'!AW$1:AW$400,0)),AW$2,)</f>
        <v>0</v>
      </c>
      <c r="AX14" s="179">
        <f ca="1">IF(ISNUMBER(MATCH(DATEVALUE($A14),'recurring1_based on steps'!AX$1:AX$400,0)),AX$2,)</f>
        <v>0</v>
      </c>
      <c r="AY14" s="179">
        <f ca="1">IF(ISNUMBER(MATCH(DATEVALUE($A14),'recurring1_based on steps'!AY$1:AY$400,0)),AY$2,)</f>
        <v>0</v>
      </c>
    </row>
    <row r="15" spans="1:51" x14ac:dyDescent="0.2">
      <c r="A15" s="32" t="str">
        <f t="shared" ca="1" si="0"/>
        <v>2025-04-17</v>
      </c>
      <c r="B15" s="179">
        <f ca="1">IF(ISNUMBER(MATCH(DATEVALUE($A15),'recurring1_based on steps'!B$1:B$400,0)),B$2,)</f>
        <v>0</v>
      </c>
      <c r="C15" s="179">
        <f ca="1">IF(ISNUMBER(MATCH(DATEVALUE($A15),'recurring1_based on steps'!C$1:C$400,0)),C$2,)</f>
        <v>0</v>
      </c>
      <c r="D15" s="179">
        <f ca="1">IF(ISNUMBER(MATCH(DATEVALUE($A15),'recurring1_based on steps'!D$1:D$400,0)),D$2,)</f>
        <v>0</v>
      </c>
      <c r="E15" s="179">
        <f ca="1">IF(ISNUMBER(MATCH(DATEVALUE($A15),'recurring1_based on steps'!E$1:E$400,0)),E$2,)</f>
        <v>0</v>
      </c>
      <c r="F15" s="179">
        <f ca="1">IF(ISNUMBER(MATCH(DATEVALUE($A15),'recurring1_based on steps'!F$1:F$400,0)),F$2,)</f>
        <v>0</v>
      </c>
      <c r="G15" s="179">
        <f ca="1">IF(ISNUMBER(MATCH(DATEVALUE($A15),'recurring1_based on steps'!G$1:G$400,0)),G$2,)</f>
        <v>0</v>
      </c>
      <c r="H15" s="179">
        <f ca="1">IF(ISNUMBER(MATCH(DATEVALUE($A15),'recurring1_based on steps'!H$1:H$400,0)),H$2,)</f>
        <v>0</v>
      </c>
      <c r="I15" s="179">
        <f ca="1">IF(ISNUMBER(MATCH(DATEVALUE($A15),'recurring1_based on steps'!I$1:I$400,0)),I$2,)</f>
        <v>0</v>
      </c>
      <c r="J15" s="179">
        <f ca="1">IF(ISNUMBER(MATCH(DATEVALUE($A15),'recurring1_based on steps'!J$1:J$400,0)),J$2,)</f>
        <v>0</v>
      </c>
      <c r="K15" s="179">
        <f ca="1">IF(ISNUMBER(MATCH(DATEVALUE($A15),'recurring1_based on steps'!K$1:K$400,0)),K$2,)</f>
        <v>0</v>
      </c>
      <c r="L15" s="179">
        <f ca="1">IF(ISNUMBER(MATCH(DATEVALUE($A15),'recurring1_based on steps'!L$1:L$400,0)),L$2,)</f>
        <v>0</v>
      </c>
      <c r="M15" s="179">
        <f ca="1">IF(ISNUMBER(MATCH(DATEVALUE($A15),'recurring1_based on steps'!M$1:M$400,0)),M$2,)</f>
        <v>0</v>
      </c>
      <c r="N15" s="179">
        <f ca="1">IF(ISNUMBER(MATCH(DATEVALUE($A15),'recurring1_based on steps'!N$1:N$400,0)),N$2,)</f>
        <v>0</v>
      </c>
      <c r="O15" s="179">
        <f ca="1">IF(ISNUMBER(MATCH(DATEVALUE($A15),'recurring1_based on steps'!O$1:O$400,0)),O$2,)</f>
        <v>0</v>
      </c>
      <c r="P15" s="179">
        <f ca="1">IF(ISNUMBER(MATCH(DATEVALUE($A15),'recurring1_based on steps'!P$1:P$400,0)),P$2,)</f>
        <v>0</v>
      </c>
      <c r="Q15" s="179">
        <f ca="1">IF(ISNUMBER(MATCH(DATEVALUE($A15),'recurring1_based on steps'!Q$1:Q$400,0)),Q$2,)</f>
        <v>0</v>
      </c>
      <c r="R15" s="179">
        <f ca="1">IF(ISNUMBER(MATCH(DATEVALUE($A15),'recurring1_based on steps'!R$1:R$400,0)),R$2,)</f>
        <v>0</v>
      </c>
      <c r="S15" s="179">
        <f ca="1">IF(ISNUMBER(MATCH(DATEVALUE($A15),'recurring1_based on steps'!S$1:S$400,0)),S$2,)</f>
        <v>0</v>
      </c>
      <c r="T15" s="179">
        <f ca="1">IF(ISNUMBER(MATCH(DATEVALUE($A15),'recurring1_based on steps'!T$1:T$400,0)),T$2,)</f>
        <v>0</v>
      </c>
      <c r="U15" s="179">
        <f ca="1">IF(ISNUMBER(MATCH(DATEVALUE($A15),'recurring1_based on steps'!U$1:U$400,0)),U$2,)</f>
        <v>0</v>
      </c>
      <c r="V15" s="179">
        <f ca="1">IF(ISNUMBER(MATCH(DATEVALUE($A15),'recurring1_based on steps'!V$1:V$400,0)),V$2,)</f>
        <v>0</v>
      </c>
      <c r="W15" s="179">
        <f ca="1">IF(ISNUMBER(MATCH(DATEVALUE($A15),'recurring1_based on steps'!W$1:W$400,0)),W$2,)</f>
        <v>0</v>
      </c>
      <c r="X15" s="179">
        <f ca="1">IF(ISNUMBER(MATCH(DATEVALUE($A15),'recurring1_based on steps'!X$1:X$400,0)),X$2,)</f>
        <v>0</v>
      </c>
      <c r="Y15" s="179">
        <f ca="1">IF(ISNUMBER(MATCH(DATEVALUE($A15),'recurring1_based on steps'!Y$1:Y$400,0)),Y$2,)</f>
        <v>0</v>
      </c>
      <c r="Z15" s="179">
        <f ca="1">IF(ISNUMBER(MATCH(DATEVALUE($A15),'recurring1_based on steps'!Z$1:Z$400,0)),Z$2,)</f>
        <v>0</v>
      </c>
      <c r="AA15" s="179">
        <f ca="1">IF(ISNUMBER(MATCH(DATEVALUE($A15),'recurring1_based on steps'!AA$1:AA$400,0)),AA$2,)</f>
        <v>0</v>
      </c>
      <c r="AB15" s="179">
        <f ca="1">IF(ISNUMBER(MATCH(DATEVALUE($A15),'recurring1_based on steps'!AB$1:AB$400,0)),AB$2,)</f>
        <v>0</v>
      </c>
      <c r="AC15" s="179">
        <f ca="1">IF(ISNUMBER(MATCH(DATEVALUE($A15),'recurring1_based on steps'!AC$1:AC$400,0)),AC$2,)</f>
        <v>0</v>
      </c>
      <c r="AD15" s="179">
        <f ca="1">IF(ISNUMBER(MATCH(DATEVALUE($A15),'recurring1_based on steps'!AD$1:AD$400,0)),AD$2,)</f>
        <v>0</v>
      </c>
      <c r="AE15" s="179">
        <f ca="1">IF(ISNUMBER(MATCH(DATEVALUE($A15),'recurring1_based on steps'!AE$1:AE$400,0)),AE$2,)</f>
        <v>0</v>
      </c>
      <c r="AF15" s="179">
        <f ca="1">IF(ISNUMBER(MATCH(DATEVALUE($A15),'recurring1_based on steps'!AF$1:AF$400,0)),AF$2,)</f>
        <v>0</v>
      </c>
      <c r="AG15" s="179">
        <f ca="1">IF(ISNUMBER(MATCH(DATEVALUE($A15),'recurring1_based on steps'!AG$1:AG$400,0)),AG$2,)</f>
        <v>0</v>
      </c>
      <c r="AH15" s="179">
        <f ca="1">IF(ISNUMBER(MATCH(DATEVALUE($A15),'recurring1_based on steps'!AH$1:AH$400,0)),AH$2,)</f>
        <v>0</v>
      </c>
      <c r="AI15" s="179">
        <f ca="1">IF(ISNUMBER(MATCH(DATEVALUE($A15),'recurring1_based on steps'!AI$1:AI$400,0)),AI$2,)</f>
        <v>0</v>
      </c>
      <c r="AJ15" s="179">
        <f ca="1">IF(ISNUMBER(MATCH(DATEVALUE($A15),'recurring1_based on steps'!AJ$1:AJ$400,0)),AJ$2,)</f>
        <v>0</v>
      </c>
      <c r="AK15" s="179">
        <f ca="1">IF(ISNUMBER(MATCH(DATEVALUE($A15),'recurring1_based on steps'!AK$1:AK$400,0)),AK$2,)</f>
        <v>0</v>
      </c>
      <c r="AL15" s="179">
        <f ca="1">IF(ISNUMBER(MATCH(DATEVALUE($A15),'recurring1_based on steps'!AL$1:AL$400,0)),AL$2,)</f>
        <v>0</v>
      </c>
      <c r="AM15" s="179">
        <f ca="1">IF(ISNUMBER(MATCH(DATEVALUE($A15),'recurring1_based on steps'!AM$1:AM$400,0)),AM$2,)</f>
        <v>0</v>
      </c>
      <c r="AN15" s="179">
        <f ca="1">IF(ISNUMBER(MATCH(DATEVALUE($A15),'recurring1_based on steps'!AN$1:AN$400,0)),AN$2,)</f>
        <v>0</v>
      </c>
      <c r="AO15" s="179">
        <f ca="1">IF(ISNUMBER(MATCH(DATEVALUE($A15),'recurring1_based on steps'!AO$1:AO$400,0)),AO$2,)</f>
        <v>0</v>
      </c>
      <c r="AP15" s="179">
        <f ca="1">IF(ISNUMBER(MATCH(DATEVALUE($A15),'recurring1_based on steps'!AP$1:AP$400,0)),AP$2,)</f>
        <v>0</v>
      </c>
      <c r="AQ15" s="179">
        <f ca="1">IF(ISNUMBER(MATCH(DATEVALUE($A15),'recurring1_based on steps'!AQ$1:AQ$400,0)),AQ$2,)</f>
        <v>0</v>
      </c>
      <c r="AR15" s="179">
        <f ca="1">IF(ISNUMBER(MATCH(DATEVALUE($A15),'recurring1_based on steps'!AR$1:AR$400,0)),AR$2,)</f>
        <v>0</v>
      </c>
      <c r="AS15" s="179">
        <f ca="1">IF(ISNUMBER(MATCH(DATEVALUE($A15),'recurring1_based on steps'!AS$1:AS$400,0)),AS$2,)</f>
        <v>0</v>
      </c>
      <c r="AT15" s="179">
        <f ca="1">IF(ISNUMBER(MATCH(DATEVALUE($A15),'recurring1_based on steps'!AT$1:AT$400,0)),AT$2,)</f>
        <v>0</v>
      </c>
      <c r="AU15" s="179">
        <f ca="1">IF(ISNUMBER(MATCH(DATEVALUE($A15),'recurring1_based on steps'!AU$1:AU$400,0)),AU$2,)</f>
        <v>0</v>
      </c>
      <c r="AV15" s="179">
        <f ca="1">IF(ISNUMBER(MATCH(DATEVALUE($A15),'recurring1_based on steps'!AV$1:AV$400,0)),AV$2,)</f>
        <v>0</v>
      </c>
      <c r="AW15" s="179">
        <f ca="1">IF(ISNUMBER(MATCH(DATEVALUE($A15),'recurring1_based on steps'!AW$1:AW$400,0)),AW$2,)</f>
        <v>0</v>
      </c>
      <c r="AX15" s="179">
        <f ca="1">IF(ISNUMBER(MATCH(DATEVALUE($A15),'recurring1_based on steps'!AX$1:AX$400,0)),AX$2,)</f>
        <v>0</v>
      </c>
      <c r="AY15" s="179">
        <f ca="1">IF(ISNUMBER(MATCH(DATEVALUE($A15),'recurring1_based on steps'!AY$1:AY$400,0)),AY$2,)</f>
        <v>0</v>
      </c>
    </row>
    <row r="16" spans="1:51" x14ac:dyDescent="0.2">
      <c r="A16" s="32" t="str">
        <f t="shared" ca="1" si="0"/>
        <v>2025-04-18</v>
      </c>
      <c r="B16" s="179">
        <f ca="1">IF(ISNUMBER(MATCH(DATEVALUE($A16),'recurring1_based on steps'!B$1:B$400,0)),B$2,)</f>
        <v>0</v>
      </c>
      <c r="C16" s="179">
        <f ca="1">IF(ISNUMBER(MATCH(DATEVALUE($A16),'recurring1_based on steps'!C$1:C$400,0)),C$2,)</f>
        <v>0</v>
      </c>
      <c r="D16" s="179">
        <f ca="1">IF(ISNUMBER(MATCH(DATEVALUE($A16),'recurring1_based on steps'!D$1:D$400,0)),D$2,)</f>
        <v>0</v>
      </c>
      <c r="E16" s="179">
        <f ca="1">IF(ISNUMBER(MATCH(DATEVALUE($A16),'recurring1_based on steps'!E$1:E$400,0)),E$2,)</f>
        <v>0</v>
      </c>
      <c r="F16" s="179">
        <f ca="1">IF(ISNUMBER(MATCH(DATEVALUE($A16),'recurring1_based on steps'!F$1:F$400,0)),F$2,)</f>
        <v>0</v>
      </c>
      <c r="G16" s="179">
        <f ca="1">IF(ISNUMBER(MATCH(DATEVALUE($A16),'recurring1_based on steps'!G$1:G$400,0)),G$2,)</f>
        <v>0</v>
      </c>
      <c r="H16" s="179">
        <f ca="1">IF(ISNUMBER(MATCH(DATEVALUE($A16),'recurring1_based on steps'!H$1:H$400,0)),H$2,)</f>
        <v>0</v>
      </c>
      <c r="I16" s="179">
        <f ca="1">IF(ISNUMBER(MATCH(DATEVALUE($A16),'recurring1_based on steps'!I$1:I$400,0)),I$2,)</f>
        <v>0</v>
      </c>
      <c r="J16" s="179">
        <f ca="1">IF(ISNUMBER(MATCH(DATEVALUE($A16),'recurring1_based on steps'!J$1:J$400,0)),J$2,)</f>
        <v>0</v>
      </c>
      <c r="K16" s="179">
        <f ca="1">IF(ISNUMBER(MATCH(DATEVALUE($A16),'recurring1_based on steps'!K$1:K$400,0)),K$2,)</f>
        <v>0</v>
      </c>
      <c r="L16" s="179">
        <f ca="1">IF(ISNUMBER(MATCH(DATEVALUE($A16),'recurring1_based on steps'!L$1:L$400,0)),L$2,)</f>
        <v>0</v>
      </c>
      <c r="M16" s="179">
        <f ca="1">IF(ISNUMBER(MATCH(DATEVALUE($A16),'recurring1_based on steps'!M$1:M$400,0)),M$2,)</f>
        <v>0</v>
      </c>
      <c r="N16" s="179">
        <f ca="1">IF(ISNUMBER(MATCH(DATEVALUE($A16),'recurring1_based on steps'!N$1:N$400,0)),N$2,)</f>
        <v>0</v>
      </c>
      <c r="O16" s="179">
        <f ca="1">IF(ISNUMBER(MATCH(DATEVALUE($A16),'recurring1_based on steps'!O$1:O$400,0)),O$2,)</f>
        <v>0</v>
      </c>
      <c r="P16" s="179">
        <f ca="1">IF(ISNUMBER(MATCH(DATEVALUE($A16),'recurring1_based on steps'!P$1:P$400,0)),P$2,)</f>
        <v>0</v>
      </c>
      <c r="Q16" s="179">
        <f ca="1">IF(ISNUMBER(MATCH(DATEVALUE($A16),'recurring1_based on steps'!Q$1:Q$400,0)),Q$2,)</f>
        <v>0</v>
      </c>
      <c r="R16" s="179">
        <f ca="1">IF(ISNUMBER(MATCH(DATEVALUE($A16),'recurring1_based on steps'!R$1:R$400,0)),R$2,)</f>
        <v>0</v>
      </c>
      <c r="S16" s="179">
        <f ca="1">IF(ISNUMBER(MATCH(DATEVALUE($A16),'recurring1_based on steps'!S$1:S$400,0)),S$2,)</f>
        <v>0</v>
      </c>
      <c r="T16" s="179">
        <f ca="1">IF(ISNUMBER(MATCH(DATEVALUE($A16),'recurring1_based on steps'!T$1:T$400,0)),T$2,)</f>
        <v>0</v>
      </c>
      <c r="U16" s="179">
        <f ca="1">IF(ISNUMBER(MATCH(DATEVALUE($A16),'recurring1_based on steps'!U$1:U$400,0)),U$2,)</f>
        <v>0</v>
      </c>
      <c r="V16" s="179">
        <f ca="1">IF(ISNUMBER(MATCH(DATEVALUE($A16),'recurring1_based on steps'!V$1:V$400,0)),V$2,)</f>
        <v>0</v>
      </c>
      <c r="W16" s="179">
        <f ca="1">IF(ISNUMBER(MATCH(DATEVALUE($A16),'recurring1_based on steps'!W$1:W$400,0)),W$2,)</f>
        <v>0</v>
      </c>
      <c r="X16" s="179">
        <f ca="1">IF(ISNUMBER(MATCH(DATEVALUE($A16),'recurring1_based on steps'!X$1:X$400,0)),X$2,)</f>
        <v>0</v>
      </c>
      <c r="Y16" s="179">
        <f ca="1">IF(ISNUMBER(MATCH(DATEVALUE($A16),'recurring1_based on steps'!Y$1:Y$400,0)),Y$2,)</f>
        <v>0</v>
      </c>
      <c r="Z16" s="179">
        <f ca="1">IF(ISNUMBER(MATCH(DATEVALUE($A16),'recurring1_based on steps'!Z$1:Z$400,0)),Z$2,)</f>
        <v>0</v>
      </c>
      <c r="AA16" s="179">
        <f ca="1">IF(ISNUMBER(MATCH(DATEVALUE($A16),'recurring1_based on steps'!AA$1:AA$400,0)),AA$2,)</f>
        <v>0</v>
      </c>
      <c r="AB16" s="179">
        <f ca="1">IF(ISNUMBER(MATCH(DATEVALUE($A16),'recurring1_based on steps'!AB$1:AB$400,0)),AB$2,)</f>
        <v>0</v>
      </c>
      <c r="AC16" s="179">
        <f ca="1">IF(ISNUMBER(MATCH(DATEVALUE($A16),'recurring1_based on steps'!AC$1:AC$400,0)),AC$2,)</f>
        <v>0</v>
      </c>
      <c r="AD16" s="179">
        <f ca="1">IF(ISNUMBER(MATCH(DATEVALUE($A16),'recurring1_based on steps'!AD$1:AD$400,0)),AD$2,)</f>
        <v>0</v>
      </c>
      <c r="AE16" s="179">
        <f ca="1">IF(ISNUMBER(MATCH(DATEVALUE($A16),'recurring1_based on steps'!AE$1:AE$400,0)),AE$2,)</f>
        <v>0</v>
      </c>
      <c r="AF16" s="179">
        <f ca="1">IF(ISNUMBER(MATCH(DATEVALUE($A16),'recurring1_based on steps'!AF$1:AF$400,0)),AF$2,)</f>
        <v>0</v>
      </c>
      <c r="AG16" s="179">
        <f ca="1">IF(ISNUMBER(MATCH(DATEVALUE($A16),'recurring1_based on steps'!AG$1:AG$400,0)),AG$2,)</f>
        <v>0</v>
      </c>
      <c r="AH16" s="179">
        <f ca="1">IF(ISNUMBER(MATCH(DATEVALUE($A16),'recurring1_based on steps'!AH$1:AH$400,0)),AH$2,)</f>
        <v>0</v>
      </c>
      <c r="AI16" s="179">
        <f ca="1">IF(ISNUMBER(MATCH(DATEVALUE($A16),'recurring1_based on steps'!AI$1:AI$400,0)),AI$2,)</f>
        <v>0</v>
      </c>
      <c r="AJ16" s="179">
        <f ca="1">IF(ISNUMBER(MATCH(DATEVALUE($A16),'recurring1_based on steps'!AJ$1:AJ$400,0)),AJ$2,)</f>
        <v>0</v>
      </c>
      <c r="AK16" s="179">
        <f ca="1">IF(ISNUMBER(MATCH(DATEVALUE($A16),'recurring1_based on steps'!AK$1:AK$400,0)),AK$2,)</f>
        <v>0</v>
      </c>
      <c r="AL16" s="179">
        <f ca="1">IF(ISNUMBER(MATCH(DATEVALUE($A16),'recurring1_based on steps'!AL$1:AL$400,0)),AL$2,)</f>
        <v>0</v>
      </c>
      <c r="AM16" s="179">
        <f ca="1">IF(ISNUMBER(MATCH(DATEVALUE($A16),'recurring1_based on steps'!AM$1:AM$400,0)),AM$2,)</f>
        <v>0</v>
      </c>
      <c r="AN16" s="179">
        <f ca="1">IF(ISNUMBER(MATCH(DATEVALUE($A16),'recurring1_based on steps'!AN$1:AN$400,0)),AN$2,)</f>
        <v>0</v>
      </c>
      <c r="AO16" s="179">
        <f ca="1">IF(ISNUMBER(MATCH(DATEVALUE($A16),'recurring1_based on steps'!AO$1:AO$400,0)),AO$2,)</f>
        <v>0</v>
      </c>
      <c r="AP16" s="179">
        <f ca="1">IF(ISNUMBER(MATCH(DATEVALUE($A16),'recurring1_based on steps'!AP$1:AP$400,0)),AP$2,)</f>
        <v>0</v>
      </c>
      <c r="AQ16" s="179">
        <f ca="1">IF(ISNUMBER(MATCH(DATEVALUE($A16),'recurring1_based on steps'!AQ$1:AQ$400,0)),AQ$2,)</f>
        <v>0</v>
      </c>
      <c r="AR16" s="179">
        <f ca="1">IF(ISNUMBER(MATCH(DATEVALUE($A16),'recurring1_based on steps'!AR$1:AR$400,0)),AR$2,)</f>
        <v>0</v>
      </c>
      <c r="AS16" s="179">
        <f ca="1">IF(ISNUMBER(MATCH(DATEVALUE($A16),'recurring1_based on steps'!AS$1:AS$400,0)),AS$2,)</f>
        <v>0</v>
      </c>
      <c r="AT16" s="179">
        <f ca="1">IF(ISNUMBER(MATCH(DATEVALUE($A16),'recurring1_based on steps'!AT$1:AT$400,0)),AT$2,)</f>
        <v>0</v>
      </c>
      <c r="AU16" s="179">
        <f ca="1">IF(ISNUMBER(MATCH(DATEVALUE($A16),'recurring1_based on steps'!AU$1:AU$400,0)),AU$2,)</f>
        <v>0</v>
      </c>
      <c r="AV16" s="179">
        <f ca="1">IF(ISNUMBER(MATCH(DATEVALUE($A16),'recurring1_based on steps'!AV$1:AV$400,0)),AV$2,)</f>
        <v>0</v>
      </c>
      <c r="AW16" s="179">
        <f ca="1">IF(ISNUMBER(MATCH(DATEVALUE($A16),'recurring1_based on steps'!AW$1:AW$400,0)),AW$2,)</f>
        <v>0</v>
      </c>
      <c r="AX16" s="179">
        <f ca="1">IF(ISNUMBER(MATCH(DATEVALUE($A16),'recurring1_based on steps'!AX$1:AX$400,0)),AX$2,)</f>
        <v>0</v>
      </c>
      <c r="AY16" s="179">
        <f ca="1">IF(ISNUMBER(MATCH(DATEVALUE($A16),'recurring1_based on steps'!AY$1:AY$400,0)),AY$2,)</f>
        <v>0</v>
      </c>
    </row>
    <row r="17" spans="1:51" x14ac:dyDescent="0.2">
      <c r="A17" s="32" t="str">
        <f t="shared" ca="1" si="0"/>
        <v>2025-04-19</v>
      </c>
      <c r="B17" s="179">
        <f ca="1">IF(ISNUMBER(MATCH(DATEVALUE($A17),'recurring1_based on steps'!B$1:B$400,0)),B$2,)</f>
        <v>0</v>
      </c>
      <c r="C17" s="179">
        <f ca="1">IF(ISNUMBER(MATCH(DATEVALUE($A17),'recurring1_based on steps'!C$1:C$400,0)),C$2,)</f>
        <v>0</v>
      </c>
      <c r="D17" s="179">
        <f ca="1">IF(ISNUMBER(MATCH(DATEVALUE($A17),'recurring1_based on steps'!D$1:D$400,0)),D$2,)</f>
        <v>0</v>
      </c>
      <c r="E17" s="179">
        <f ca="1">IF(ISNUMBER(MATCH(DATEVALUE($A17),'recurring1_based on steps'!E$1:E$400,0)),E$2,)</f>
        <v>0</v>
      </c>
      <c r="F17" s="179">
        <f ca="1">IF(ISNUMBER(MATCH(DATEVALUE($A17),'recurring1_based on steps'!F$1:F$400,0)),F$2,)</f>
        <v>0</v>
      </c>
      <c r="G17" s="179">
        <f ca="1">IF(ISNUMBER(MATCH(DATEVALUE($A17),'recurring1_based on steps'!G$1:G$400,0)),G$2,)</f>
        <v>0</v>
      </c>
      <c r="H17" s="179">
        <f ca="1">IF(ISNUMBER(MATCH(DATEVALUE($A17),'recurring1_based on steps'!H$1:H$400,0)),H$2,)</f>
        <v>0</v>
      </c>
      <c r="I17" s="179">
        <f ca="1">IF(ISNUMBER(MATCH(DATEVALUE($A17),'recurring1_based on steps'!I$1:I$400,0)),I$2,)</f>
        <v>0</v>
      </c>
      <c r="J17" s="179">
        <f ca="1">IF(ISNUMBER(MATCH(DATEVALUE($A17),'recurring1_based on steps'!J$1:J$400,0)),J$2,)</f>
        <v>0</v>
      </c>
      <c r="K17" s="179">
        <f ca="1">IF(ISNUMBER(MATCH(DATEVALUE($A17),'recurring1_based on steps'!K$1:K$400,0)),K$2,)</f>
        <v>0</v>
      </c>
      <c r="L17" s="179">
        <f ca="1">IF(ISNUMBER(MATCH(DATEVALUE($A17),'recurring1_based on steps'!L$1:L$400,0)),L$2,)</f>
        <v>0</v>
      </c>
      <c r="M17" s="179">
        <f ca="1">IF(ISNUMBER(MATCH(DATEVALUE($A17),'recurring1_based on steps'!M$1:M$400,0)),M$2,)</f>
        <v>0</v>
      </c>
      <c r="N17" s="179">
        <f ca="1">IF(ISNUMBER(MATCH(DATEVALUE($A17),'recurring1_based on steps'!N$1:N$400,0)),N$2,)</f>
        <v>0</v>
      </c>
      <c r="O17" s="179">
        <f ca="1">IF(ISNUMBER(MATCH(DATEVALUE($A17),'recurring1_based on steps'!O$1:O$400,0)),O$2,)</f>
        <v>0</v>
      </c>
      <c r="P17" s="179">
        <f ca="1">IF(ISNUMBER(MATCH(DATEVALUE($A17),'recurring1_based on steps'!P$1:P$400,0)),P$2,)</f>
        <v>0</v>
      </c>
      <c r="Q17" s="179">
        <f ca="1">IF(ISNUMBER(MATCH(DATEVALUE($A17),'recurring1_based on steps'!Q$1:Q$400,0)),Q$2,)</f>
        <v>0</v>
      </c>
      <c r="R17" s="179">
        <f ca="1">IF(ISNUMBER(MATCH(DATEVALUE($A17),'recurring1_based on steps'!R$1:R$400,0)),R$2,)</f>
        <v>0</v>
      </c>
      <c r="S17" s="179">
        <f ca="1">IF(ISNUMBER(MATCH(DATEVALUE($A17),'recurring1_based on steps'!S$1:S$400,0)),S$2,)</f>
        <v>0</v>
      </c>
      <c r="T17" s="179">
        <f ca="1">IF(ISNUMBER(MATCH(DATEVALUE($A17),'recurring1_based on steps'!T$1:T$400,0)),T$2,)</f>
        <v>0</v>
      </c>
      <c r="U17" s="179">
        <f ca="1">IF(ISNUMBER(MATCH(DATEVALUE($A17),'recurring1_based on steps'!U$1:U$400,0)),U$2,)</f>
        <v>0</v>
      </c>
      <c r="V17" s="179">
        <f ca="1">IF(ISNUMBER(MATCH(DATEVALUE($A17),'recurring1_based on steps'!V$1:V$400,0)),V$2,)</f>
        <v>0</v>
      </c>
      <c r="W17" s="179">
        <f ca="1">IF(ISNUMBER(MATCH(DATEVALUE($A17),'recurring1_based on steps'!W$1:W$400,0)),W$2,)</f>
        <v>0</v>
      </c>
      <c r="X17" s="179">
        <f ca="1">IF(ISNUMBER(MATCH(DATEVALUE($A17),'recurring1_based on steps'!X$1:X$400,0)),X$2,)</f>
        <v>0</v>
      </c>
      <c r="Y17" s="179">
        <f ca="1">IF(ISNUMBER(MATCH(DATEVALUE($A17),'recurring1_based on steps'!Y$1:Y$400,0)),Y$2,)</f>
        <v>0</v>
      </c>
      <c r="Z17" s="179">
        <f ca="1">IF(ISNUMBER(MATCH(DATEVALUE($A17),'recurring1_based on steps'!Z$1:Z$400,0)),Z$2,)</f>
        <v>0</v>
      </c>
      <c r="AA17" s="179">
        <f ca="1">IF(ISNUMBER(MATCH(DATEVALUE($A17),'recurring1_based on steps'!AA$1:AA$400,0)),AA$2,)</f>
        <v>0</v>
      </c>
      <c r="AB17" s="179">
        <f ca="1">IF(ISNUMBER(MATCH(DATEVALUE($A17),'recurring1_based on steps'!AB$1:AB$400,0)),AB$2,)</f>
        <v>0</v>
      </c>
      <c r="AC17" s="179">
        <f ca="1">IF(ISNUMBER(MATCH(DATEVALUE($A17),'recurring1_based on steps'!AC$1:AC$400,0)),AC$2,)</f>
        <v>0</v>
      </c>
      <c r="AD17" s="179">
        <f ca="1">IF(ISNUMBER(MATCH(DATEVALUE($A17),'recurring1_based on steps'!AD$1:AD$400,0)),AD$2,)</f>
        <v>0</v>
      </c>
      <c r="AE17" s="179">
        <f ca="1">IF(ISNUMBER(MATCH(DATEVALUE($A17),'recurring1_based on steps'!AE$1:AE$400,0)),AE$2,)</f>
        <v>0</v>
      </c>
      <c r="AF17" s="179">
        <f ca="1">IF(ISNUMBER(MATCH(DATEVALUE($A17),'recurring1_based on steps'!AF$1:AF$400,0)),AF$2,)</f>
        <v>0</v>
      </c>
      <c r="AG17" s="179">
        <f ca="1">IF(ISNUMBER(MATCH(DATEVALUE($A17),'recurring1_based on steps'!AG$1:AG$400,0)),AG$2,)</f>
        <v>0</v>
      </c>
      <c r="AH17" s="179">
        <f ca="1">IF(ISNUMBER(MATCH(DATEVALUE($A17),'recurring1_based on steps'!AH$1:AH$400,0)),AH$2,)</f>
        <v>0</v>
      </c>
      <c r="AI17" s="179">
        <f ca="1">IF(ISNUMBER(MATCH(DATEVALUE($A17),'recurring1_based on steps'!AI$1:AI$400,0)),AI$2,)</f>
        <v>0</v>
      </c>
      <c r="AJ17" s="179">
        <f ca="1">IF(ISNUMBER(MATCH(DATEVALUE($A17),'recurring1_based on steps'!AJ$1:AJ$400,0)),AJ$2,)</f>
        <v>0</v>
      </c>
      <c r="AK17" s="179">
        <f ca="1">IF(ISNUMBER(MATCH(DATEVALUE($A17),'recurring1_based on steps'!AK$1:AK$400,0)),AK$2,)</f>
        <v>0</v>
      </c>
      <c r="AL17" s="179">
        <f ca="1">IF(ISNUMBER(MATCH(DATEVALUE($A17),'recurring1_based on steps'!AL$1:AL$400,0)),AL$2,)</f>
        <v>0</v>
      </c>
      <c r="AM17" s="179">
        <f ca="1">IF(ISNUMBER(MATCH(DATEVALUE($A17),'recurring1_based on steps'!AM$1:AM$400,0)),AM$2,)</f>
        <v>0</v>
      </c>
      <c r="AN17" s="179">
        <f ca="1">IF(ISNUMBER(MATCH(DATEVALUE($A17),'recurring1_based on steps'!AN$1:AN$400,0)),AN$2,)</f>
        <v>0</v>
      </c>
      <c r="AO17" s="179">
        <f ca="1">IF(ISNUMBER(MATCH(DATEVALUE($A17),'recurring1_based on steps'!AO$1:AO$400,0)),AO$2,)</f>
        <v>0</v>
      </c>
      <c r="AP17" s="179">
        <f ca="1">IF(ISNUMBER(MATCH(DATEVALUE($A17),'recurring1_based on steps'!AP$1:AP$400,0)),AP$2,)</f>
        <v>0</v>
      </c>
      <c r="AQ17" s="179">
        <f ca="1">IF(ISNUMBER(MATCH(DATEVALUE($A17),'recurring1_based on steps'!AQ$1:AQ$400,0)),AQ$2,)</f>
        <v>0</v>
      </c>
      <c r="AR17" s="179">
        <f ca="1">IF(ISNUMBER(MATCH(DATEVALUE($A17),'recurring1_based on steps'!AR$1:AR$400,0)),AR$2,)</f>
        <v>0</v>
      </c>
      <c r="AS17" s="179">
        <f ca="1">IF(ISNUMBER(MATCH(DATEVALUE($A17),'recurring1_based on steps'!AS$1:AS$400,0)),AS$2,)</f>
        <v>0</v>
      </c>
      <c r="AT17" s="179">
        <f ca="1">IF(ISNUMBER(MATCH(DATEVALUE($A17),'recurring1_based on steps'!AT$1:AT$400,0)),AT$2,)</f>
        <v>0</v>
      </c>
      <c r="AU17" s="179">
        <f ca="1">IF(ISNUMBER(MATCH(DATEVALUE($A17),'recurring1_based on steps'!AU$1:AU$400,0)),AU$2,)</f>
        <v>0</v>
      </c>
      <c r="AV17" s="179">
        <f ca="1">IF(ISNUMBER(MATCH(DATEVALUE($A17),'recurring1_based on steps'!AV$1:AV$400,0)),AV$2,)</f>
        <v>0</v>
      </c>
      <c r="AW17" s="179">
        <f ca="1">IF(ISNUMBER(MATCH(DATEVALUE($A17),'recurring1_based on steps'!AW$1:AW$400,0)),AW$2,)</f>
        <v>0</v>
      </c>
      <c r="AX17" s="179">
        <f ca="1">IF(ISNUMBER(MATCH(DATEVALUE($A17),'recurring1_based on steps'!AX$1:AX$400,0)),AX$2,)</f>
        <v>0</v>
      </c>
      <c r="AY17" s="179">
        <f ca="1">IF(ISNUMBER(MATCH(DATEVALUE($A17),'recurring1_based on steps'!AY$1:AY$400,0)),AY$2,)</f>
        <v>0</v>
      </c>
    </row>
    <row r="18" spans="1:51" x14ac:dyDescent="0.2">
      <c r="A18" s="32" t="str">
        <f t="shared" ca="1" si="0"/>
        <v>2025-04-20</v>
      </c>
      <c r="B18" s="179">
        <f ca="1">IF(ISNUMBER(MATCH(DATEVALUE($A18),'recurring1_based on steps'!B$1:B$400,0)),B$2,)</f>
        <v>0</v>
      </c>
      <c r="C18" s="179">
        <f ca="1">IF(ISNUMBER(MATCH(DATEVALUE($A18),'recurring1_based on steps'!C$1:C$400,0)),C$2,)</f>
        <v>0</v>
      </c>
      <c r="D18" s="179">
        <f ca="1">IF(ISNUMBER(MATCH(DATEVALUE($A18),'recurring1_based on steps'!D$1:D$400,0)),D$2,)</f>
        <v>0</v>
      </c>
      <c r="E18" s="179">
        <f ca="1">IF(ISNUMBER(MATCH(DATEVALUE($A18),'recurring1_based on steps'!E$1:E$400,0)),E$2,)</f>
        <v>0</v>
      </c>
      <c r="F18" s="179">
        <f ca="1">IF(ISNUMBER(MATCH(DATEVALUE($A18),'recurring1_based on steps'!F$1:F$400,0)),F$2,)</f>
        <v>0</v>
      </c>
      <c r="G18" s="179">
        <f ca="1">IF(ISNUMBER(MATCH(DATEVALUE($A18),'recurring1_based on steps'!G$1:G$400,0)),G$2,)</f>
        <v>0</v>
      </c>
      <c r="H18" s="179">
        <f ca="1">IF(ISNUMBER(MATCH(DATEVALUE($A18),'recurring1_based on steps'!H$1:H$400,0)),H$2,)</f>
        <v>0</v>
      </c>
      <c r="I18" s="179">
        <f ca="1">IF(ISNUMBER(MATCH(DATEVALUE($A18),'recurring1_based on steps'!I$1:I$400,0)),I$2,)</f>
        <v>0</v>
      </c>
      <c r="J18" s="179">
        <f ca="1">IF(ISNUMBER(MATCH(DATEVALUE($A18),'recurring1_based on steps'!J$1:J$400,0)),J$2,)</f>
        <v>0</v>
      </c>
      <c r="K18" s="179">
        <f ca="1">IF(ISNUMBER(MATCH(DATEVALUE($A18),'recurring1_based on steps'!K$1:K$400,0)),K$2,)</f>
        <v>0</v>
      </c>
      <c r="L18" s="179">
        <f ca="1">IF(ISNUMBER(MATCH(DATEVALUE($A18),'recurring1_based on steps'!L$1:L$400,0)),L$2,)</f>
        <v>0</v>
      </c>
      <c r="M18" s="179">
        <f ca="1">IF(ISNUMBER(MATCH(DATEVALUE($A18),'recurring1_based on steps'!M$1:M$400,0)),M$2,)</f>
        <v>0</v>
      </c>
      <c r="N18" s="179">
        <f ca="1">IF(ISNUMBER(MATCH(DATEVALUE($A18),'recurring1_based on steps'!N$1:N$400,0)),N$2,)</f>
        <v>0</v>
      </c>
      <c r="O18" s="179">
        <f ca="1">IF(ISNUMBER(MATCH(DATEVALUE($A18),'recurring1_based on steps'!O$1:O$400,0)),O$2,)</f>
        <v>0</v>
      </c>
      <c r="P18" s="179">
        <f ca="1">IF(ISNUMBER(MATCH(DATEVALUE($A18),'recurring1_based on steps'!P$1:P$400,0)),P$2,)</f>
        <v>0</v>
      </c>
      <c r="Q18" s="179">
        <f ca="1">IF(ISNUMBER(MATCH(DATEVALUE($A18),'recurring1_based on steps'!Q$1:Q$400,0)),Q$2,)</f>
        <v>0</v>
      </c>
      <c r="R18" s="179">
        <f ca="1">IF(ISNUMBER(MATCH(DATEVALUE($A18),'recurring1_based on steps'!R$1:R$400,0)),R$2,)</f>
        <v>0</v>
      </c>
      <c r="S18" s="179">
        <f ca="1">IF(ISNUMBER(MATCH(DATEVALUE($A18),'recurring1_based on steps'!S$1:S$400,0)),S$2,)</f>
        <v>0</v>
      </c>
      <c r="T18" s="179">
        <f ca="1">IF(ISNUMBER(MATCH(DATEVALUE($A18),'recurring1_based on steps'!T$1:T$400,0)),T$2,)</f>
        <v>0</v>
      </c>
      <c r="U18" s="179">
        <f ca="1">IF(ISNUMBER(MATCH(DATEVALUE($A18),'recurring1_based on steps'!U$1:U$400,0)),U$2,)</f>
        <v>0</v>
      </c>
      <c r="V18" s="179">
        <f ca="1">IF(ISNUMBER(MATCH(DATEVALUE($A18),'recurring1_based on steps'!V$1:V$400,0)),V$2,)</f>
        <v>0</v>
      </c>
      <c r="W18" s="179">
        <f ca="1">IF(ISNUMBER(MATCH(DATEVALUE($A18),'recurring1_based on steps'!W$1:W$400,0)),W$2,)</f>
        <v>0</v>
      </c>
      <c r="X18" s="179">
        <f ca="1">IF(ISNUMBER(MATCH(DATEVALUE($A18),'recurring1_based on steps'!X$1:X$400,0)),X$2,)</f>
        <v>0</v>
      </c>
      <c r="Y18" s="179">
        <f ca="1">IF(ISNUMBER(MATCH(DATEVALUE($A18),'recurring1_based on steps'!Y$1:Y$400,0)),Y$2,)</f>
        <v>0</v>
      </c>
      <c r="Z18" s="179">
        <f ca="1">IF(ISNUMBER(MATCH(DATEVALUE($A18),'recurring1_based on steps'!Z$1:Z$400,0)),Z$2,)</f>
        <v>0</v>
      </c>
      <c r="AA18" s="179">
        <f ca="1">IF(ISNUMBER(MATCH(DATEVALUE($A18),'recurring1_based on steps'!AA$1:AA$400,0)),AA$2,)</f>
        <v>0</v>
      </c>
      <c r="AB18" s="179">
        <f ca="1">IF(ISNUMBER(MATCH(DATEVALUE($A18),'recurring1_based on steps'!AB$1:AB$400,0)),AB$2,)</f>
        <v>0</v>
      </c>
      <c r="AC18" s="179">
        <f ca="1">IF(ISNUMBER(MATCH(DATEVALUE($A18),'recurring1_based on steps'!AC$1:AC$400,0)),AC$2,)</f>
        <v>0</v>
      </c>
      <c r="AD18" s="179">
        <f ca="1">IF(ISNUMBER(MATCH(DATEVALUE($A18),'recurring1_based on steps'!AD$1:AD$400,0)),AD$2,)</f>
        <v>0</v>
      </c>
      <c r="AE18" s="179">
        <f ca="1">IF(ISNUMBER(MATCH(DATEVALUE($A18),'recurring1_based on steps'!AE$1:AE$400,0)),AE$2,)</f>
        <v>0</v>
      </c>
      <c r="AF18" s="179">
        <f ca="1">IF(ISNUMBER(MATCH(DATEVALUE($A18),'recurring1_based on steps'!AF$1:AF$400,0)),AF$2,)</f>
        <v>0</v>
      </c>
      <c r="AG18" s="179">
        <f ca="1">IF(ISNUMBER(MATCH(DATEVALUE($A18),'recurring1_based on steps'!AG$1:AG$400,0)),AG$2,)</f>
        <v>0</v>
      </c>
      <c r="AH18" s="179">
        <f ca="1">IF(ISNUMBER(MATCH(DATEVALUE($A18),'recurring1_based on steps'!AH$1:AH$400,0)),AH$2,)</f>
        <v>0</v>
      </c>
      <c r="AI18" s="179">
        <f ca="1">IF(ISNUMBER(MATCH(DATEVALUE($A18),'recurring1_based on steps'!AI$1:AI$400,0)),AI$2,)</f>
        <v>0</v>
      </c>
      <c r="AJ18" s="179">
        <f ca="1">IF(ISNUMBER(MATCH(DATEVALUE($A18),'recurring1_based on steps'!AJ$1:AJ$400,0)),AJ$2,)</f>
        <v>0</v>
      </c>
      <c r="AK18" s="179">
        <f ca="1">IF(ISNUMBER(MATCH(DATEVALUE($A18),'recurring1_based on steps'!AK$1:AK$400,0)),AK$2,)</f>
        <v>0</v>
      </c>
      <c r="AL18" s="179">
        <f ca="1">IF(ISNUMBER(MATCH(DATEVALUE($A18),'recurring1_based on steps'!AL$1:AL$400,0)),AL$2,)</f>
        <v>0</v>
      </c>
      <c r="AM18" s="179">
        <f ca="1">IF(ISNUMBER(MATCH(DATEVALUE($A18),'recurring1_based on steps'!AM$1:AM$400,0)),AM$2,)</f>
        <v>0</v>
      </c>
      <c r="AN18" s="179">
        <f ca="1">IF(ISNUMBER(MATCH(DATEVALUE($A18),'recurring1_based on steps'!AN$1:AN$400,0)),AN$2,)</f>
        <v>0</v>
      </c>
      <c r="AO18" s="179">
        <f ca="1">IF(ISNUMBER(MATCH(DATEVALUE($A18),'recurring1_based on steps'!AO$1:AO$400,0)),AO$2,)</f>
        <v>0</v>
      </c>
      <c r="AP18" s="179">
        <f ca="1">IF(ISNUMBER(MATCH(DATEVALUE($A18),'recurring1_based on steps'!AP$1:AP$400,0)),AP$2,)</f>
        <v>0</v>
      </c>
      <c r="AQ18" s="179">
        <f ca="1">IF(ISNUMBER(MATCH(DATEVALUE($A18),'recurring1_based on steps'!AQ$1:AQ$400,0)),AQ$2,)</f>
        <v>0</v>
      </c>
      <c r="AR18" s="179">
        <f ca="1">IF(ISNUMBER(MATCH(DATEVALUE($A18),'recurring1_based on steps'!AR$1:AR$400,0)),AR$2,)</f>
        <v>0</v>
      </c>
      <c r="AS18" s="179">
        <f ca="1">IF(ISNUMBER(MATCH(DATEVALUE($A18),'recurring1_based on steps'!AS$1:AS$400,0)),AS$2,)</f>
        <v>0</v>
      </c>
      <c r="AT18" s="179">
        <f ca="1">IF(ISNUMBER(MATCH(DATEVALUE($A18),'recurring1_based on steps'!AT$1:AT$400,0)),AT$2,)</f>
        <v>0</v>
      </c>
      <c r="AU18" s="179">
        <f ca="1">IF(ISNUMBER(MATCH(DATEVALUE($A18),'recurring1_based on steps'!AU$1:AU$400,0)),AU$2,)</f>
        <v>0</v>
      </c>
      <c r="AV18" s="179">
        <f ca="1">IF(ISNUMBER(MATCH(DATEVALUE($A18),'recurring1_based on steps'!AV$1:AV$400,0)),AV$2,)</f>
        <v>0</v>
      </c>
      <c r="AW18" s="179">
        <f ca="1">IF(ISNUMBER(MATCH(DATEVALUE($A18),'recurring1_based on steps'!AW$1:AW$400,0)),AW$2,)</f>
        <v>0</v>
      </c>
      <c r="AX18" s="179">
        <f ca="1">IF(ISNUMBER(MATCH(DATEVALUE($A18),'recurring1_based on steps'!AX$1:AX$400,0)),AX$2,)</f>
        <v>0</v>
      </c>
      <c r="AY18" s="179">
        <f ca="1">IF(ISNUMBER(MATCH(DATEVALUE($A18),'recurring1_based on steps'!AY$1:AY$400,0)),AY$2,)</f>
        <v>0</v>
      </c>
    </row>
    <row r="19" spans="1:51" x14ac:dyDescent="0.2">
      <c r="A19" s="32" t="str">
        <f t="shared" ca="1" si="0"/>
        <v>2025-04-21</v>
      </c>
      <c r="B19" s="179">
        <f ca="1">IF(ISNUMBER(MATCH(DATEVALUE($A19),'recurring1_based on steps'!B$1:B$400,0)),B$2,)</f>
        <v>0</v>
      </c>
      <c r="C19" s="179">
        <f ca="1">IF(ISNUMBER(MATCH(DATEVALUE($A19),'recurring1_based on steps'!C$1:C$400,0)),C$2,)</f>
        <v>0</v>
      </c>
      <c r="D19" s="179">
        <f ca="1">IF(ISNUMBER(MATCH(DATEVALUE($A19),'recurring1_based on steps'!D$1:D$400,0)),D$2,)</f>
        <v>0</v>
      </c>
      <c r="E19" s="179">
        <f ca="1">IF(ISNUMBER(MATCH(DATEVALUE($A19),'recurring1_based on steps'!E$1:E$400,0)),E$2,)</f>
        <v>0</v>
      </c>
      <c r="F19" s="179">
        <f ca="1">IF(ISNUMBER(MATCH(DATEVALUE($A19),'recurring1_based on steps'!F$1:F$400,0)),F$2,)</f>
        <v>0</v>
      </c>
      <c r="G19" s="179">
        <f ca="1">IF(ISNUMBER(MATCH(DATEVALUE($A19),'recurring1_based on steps'!G$1:G$400,0)),G$2,)</f>
        <v>0</v>
      </c>
      <c r="H19" s="179">
        <f ca="1">IF(ISNUMBER(MATCH(DATEVALUE($A19),'recurring1_based on steps'!H$1:H$400,0)),H$2,)</f>
        <v>0</v>
      </c>
      <c r="I19" s="179">
        <f ca="1">IF(ISNUMBER(MATCH(DATEVALUE($A19),'recurring1_based on steps'!I$1:I$400,0)),I$2,)</f>
        <v>0</v>
      </c>
      <c r="J19" s="179">
        <f ca="1">IF(ISNUMBER(MATCH(DATEVALUE($A19),'recurring1_based on steps'!J$1:J$400,0)),J$2,)</f>
        <v>0</v>
      </c>
      <c r="K19" s="179">
        <f ca="1">IF(ISNUMBER(MATCH(DATEVALUE($A19),'recurring1_based on steps'!K$1:K$400,0)),K$2,)</f>
        <v>0</v>
      </c>
      <c r="L19" s="179">
        <f ca="1">IF(ISNUMBER(MATCH(DATEVALUE($A19),'recurring1_based on steps'!L$1:L$400,0)),L$2,)</f>
        <v>0</v>
      </c>
      <c r="M19" s="179">
        <f ca="1">IF(ISNUMBER(MATCH(DATEVALUE($A19),'recurring1_based on steps'!M$1:M$400,0)),M$2,)</f>
        <v>0</v>
      </c>
      <c r="N19" s="179">
        <f ca="1">IF(ISNUMBER(MATCH(DATEVALUE($A19),'recurring1_based on steps'!N$1:N$400,0)),N$2,)</f>
        <v>0</v>
      </c>
      <c r="O19" s="179">
        <f ca="1">IF(ISNUMBER(MATCH(DATEVALUE($A19),'recurring1_based on steps'!O$1:O$400,0)),O$2,)</f>
        <v>0</v>
      </c>
      <c r="P19" s="179">
        <f ca="1">IF(ISNUMBER(MATCH(DATEVALUE($A19),'recurring1_based on steps'!P$1:P$400,0)),P$2,)</f>
        <v>0</v>
      </c>
      <c r="Q19" s="179">
        <f ca="1">IF(ISNUMBER(MATCH(DATEVALUE($A19),'recurring1_based on steps'!Q$1:Q$400,0)),Q$2,)</f>
        <v>0</v>
      </c>
      <c r="R19" s="179">
        <f ca="1">IF(ISNUMBER(MATCH(DATEVALUE($A19),'recurring1_based on steps'!R$1:R$400,0)),R$2,)</f>
        <v>0</v>
      </c>
      <c r="S19" s="179">
        <f ca="1">IF(ISNUMBER(MATCH(DATEVALUE($A19),'recurring1_based on steps'!S$1:S$400,0)),S$2,)</f>
        <v>0</v>
      </c>
      <c r="T19" s="179">
        <f ca="1">IF(ISNUMBER(MATCH(DATEVALUE($A19),'recurring1_based on steps'!T$1:T$400,0)),T$2,)</f>
        <v>0</v>
      </c>
      <c r="U19" s="179">
        <f ca="1">IF(ISNUMBER(MATCH(DATEVALUE($A19),'recurring1_based on steps'!U$1:U$400,0)),U$2,)</f>
        <v>0</v>
      </c>
      <c r="V19" s="179">
        <f ca="1">IF(ISNUMBER(MATCH(DATEVALUE($A19),'recurring1_based on steps'!V$1:V$400,0)),V$2,)</f>
        <v>0</v>
      </c>
      <c r="W19" s="179">
        <f ca="1">IF(ISNUMBER(MATCH(DATEVALUE($A19),'recurring1_based on steps'!W$1:W$400,0)),W$2,)</f>
        <v>0</v>
      </c>
      <c r="X19" s="179">
        <f ca="1">IF(ISNUMBER(MATCH(DATEVALUE($A19),'recurring1_based on steps'!X$1:X$400,0)),X$2,)</f>
        <v>0</v>
      </c>
      <c r="Y19" s="179">
        <f ca="1">IF(ISNUMBER(MATCH(DATEVALUE($A19),'recurring1_based on steps'!Y$1:Y$400,0)),Y$2,)</f>
        <v>0</v>
      </c>
      <c r="Z19" s="179">
        <f ca="1">IF(ISNUMBER(MATCH(DATEVALUE($A19),'recurring1_based on steps'!Z$1:Z$400,0)),Z$2,)</f>
        <v>0</v>
      </c>
      <c r="AA19" s="179">
        <f ca="1">IF(ISNUMBER(MATCH(DATEVALUE($A19),'recurring1_based on steps'!AA$1:AA$400,0)),AA$2,)</f>
        <v>0</v>
      </c>
      <c r="AB19" s="179">
        <f ca="1">IF(ISNUMBER(MATCH(DATEVALUE($A19),'recurring1_based on steps'!AB$1:AB$400,0)),AB$2,)</f>
        <v>0</v>
      </c>
      <c r="AC19" s="179">
        <f ca="1">IF(ISNUMBER(MATCH(DATEVALUE($A19),'recurring1_based on steps'!AC$1:AC$400,0)),AC$2,)</f>
        <v>0</v>
      </c>
      <c r="AD19" s="179">
        <f ca="1">IF(ISNUMBER(MATCH(DATEVALUE($A19),'recurring1_based on steps'!AD$1:AD$400,0)),AD$2,)</f>
        <v>0</v>
      </c>
      <c r="AE19" s="179">
        <f ca="1">IF(ISNUMBER(MATCH(DATEVALUE($A19),'recurring1_based on steps'!AE$1:AE$400,0)),AE$2,)</f>
        <v>0</v>
      </c>
      <c r="AF19" s="179">
        <f ca="1">IF(ISNUMBER(MATCH(DATEVALUE($A19),'recurring1_based on steps'!AF$1:AF$400,0)),AF$2,)</f>
        <v>0</v>
      </c>
      <c r="AG19" s="179">
        <f ca="1">IF(ISNUMBER(MATCH(DATEVALUE($A19),'recurring1_based on steps'!AG$1:AG$400,0)),AG$2,)</f>
        <v>0</v>
      </c>
      <c r="AH19" s="179">
        <f ca="1">IF(ISNUMBER(MATCH(DATEVALUE($A19),'recurring1_based on steps'!AH$1:AH$400,0)),AH$2,)</f>
        <v>0</v>
      </c>
      <c r="AI19" s="179">
        <f ca="1">IF(ISNUMBER(MATCH(DATEVALUE($A19),'recurring1_based on steps'!AI$1:AI$400,0)),AI$2,)</f>
        <v>0</v>
      </c>
      <c r="AJ19" s="179">
        <f ca="1">IF(ISNUMBER(MATCH(DATEVALUE($A19),'recurring1_based on steps'!AJ$1:AJ$400,0)),AJ$2,)</f>
        <v>0</v>
      </c>
      <c r="AK19" s="179">
        <f ca="1">IF(ISNUMBER(MATCH(DATEVALUE($A19),'recurring1_based on steps'!AK$1:AK$400,0)),AK$2,)</f>
        <v>0</v>
      </c>
      <c r="AL19" s="179">
        <f ca="1">IF(ISNUMBER(MATCH(DATEVALUE($A19),'recurring1_based on steps'!AL$1:AL$400,0)),AL$2,)</f>
        <v>0</v>
      </c>
      <c r="AM19" s="179">
        <f ca="1">IF(ISNUMBER(MATCH(DATEVALUE($A19),'recurring1_based on steps'!AM$1:AM$400,0)),AM$2,)</f>
        <v>0</v>
      </c>
      <c r="AN19" s="179">
        <f ca="1">IF(ISNUMBER(MATCH(DATEVALUE($A19),'recurring1_based on steps'!AN$1:AN$400,0)),AN$2,)</f>
        <v>0</v>
      </c>
      <c r="AO19" s="179">
        <f ca="1">IF(ISNUMBER(MATCH(DATEVALUE($A19),'recurring1_based on steps'!AO$1:AO$400,0)),AO$2,)</f>
        <v>0</v>
      </c>
      <c r="AP19" s="179">
        <f ca="1">IF(ISNUMBER(MATCH(DATEVALUE($A19),'recurring1_based on steps'!AP$1:AP$400,0)),AP$2,)</f>
        <v>0</v>
      </c>
      <c r="AQ19" s="179">
        <f ca="1">IF(ISNUMBER(MATCH(DATEVALUE($A19),'recurring1_based on steps'!AQ$1:AQ$400,0)),AQ$2,)</f>
        <v>0</v>
      </c>
      <c r="AR19" s="179">
        <f ca="1">IF(ISNUMBER(MATCH(DATEVALUE($A19),'recurring1_based on steps'!AR$1:AR$400,0)),AR$2,)</f>
        <v>0</v>
      </c>
      <c r="AS19" s="179">
        <f ca="1">IF(ISNUMBER(MATCH(DATEVALUE($A19),'recurring1_based on steps'!AS$1:AS$400,0)),AS$2,)</f>
        <v>0</v>
      </c>
      <c r="AT19" s="179">
        <f ca="1">IF(ISNUMBER(MATCH(DATEVALUE($A19),'recurring1_based on steps'!AT$1:AT$400,0)),AT$2,)</f>
        <v>0</v>
      </c>
      <c r="AU19" s="179">
        <f ca="1">IF(ISNUMBER(MATCH(DATEVALUE($A19),'recurring1_based on steps'!AU$1:AU$400,0)),AU$2,)</f>
        <v>0</v>
      </c>
      <c r="AV19" s="179">
        <f ca="1">IF(ISNUMBER(MATCH(DATEVALUE($A19),'recurring1_based on steps'!AV$1:AV$400,0)),AV$2,)</f>
        <v>0</v>
      </c>
      <c r="AW19" s="179">
        <f ca="1">IF(ISNUMBER(MATCH(DATEVALUE($A19),'recurring1_based on steps'!AW$1:AW$400,0)),AW$2,)</f>
        <v>0</v>
      </c>
      <c r="AX19" s="179">
        <f ca="1">IF(ISNUMBER(MATCH(DATEVALUE($A19),'recurring1_based on steps'!AX$1:AX$400,0)),AX$2,)</f>
        <v>0</v>
      </c>
      <c r="AY19" s="179">
        <f ca="1">IF(ISNUMBER(MATCH(DATEVALUE($A19),'recurring1_based on steps'!AY$1:AY$400,0)),AY$2,)</f>
        <v>0</v>
      </c>
    </row>
    <row r="20" spans="1:51" x14ac:dyDescent="0.2">
      <c r="A20" s="32" t="str">
        <f t="shared" ca="1" si="0"/>
        <v>2025-04-22</v>
      </c>
      <c r="B20" s="179">
        <f ca="1">IF(ISNUMBER(MATCH(DATEVALUE($A20),'recurring1_based on steps'!B$1:B$400,0)),B$2,)</f>
        <v>0</v>
      </c>
      <c r="C20" s="179">
        <f ca="1">IF(ISNUMBER(MATCH(DATEVALUE($A20),'recurring1_based on steps'!C$1:C$400,0)),C$2,)</f>
        <v>0</v>
      </c>
      <c r="D20" s="179">
        <f ca="1">IF(ISNUMBER(MATCH(DATEVALUE($A20),'recurring1_based on steps'!D$1:D$400,0)),D$2,)</f>
        <v>0</v>
      </c>
      <c r="E20" s="179">
        <f ca="1">IF(ISNUMBER(MATCH(DATEVALUE($A20),'recurring1_based on steps'!E$1:E$400,0)),E$2,)</f>
        <v>0</v>
      </c>
      <c r="F20" s="179">
        <f ca="1">IF(ISNUMBER(MATCH(DATEVALUE($A20),'recurring1_based on steps'!F$1:F$400,0)),F$2,)</f>
        <v>0</v>
      </c>
      <c r="G20" s="179">
        <f ca="1">IF(ISNUMBER(MATCH(DATEVALUE($A20),'recurring1_based on steps'!G$1:G$400,0)),G$2,)</f>
        <v>0</v>
      </c>
      <c r="H20" s="179">
        <f ca="1">IF(ISNUMBER(MATCH(DATEVALUE($A20),'recurring1_based on steps'!H$1:H$400,0)),H$2,)</f>
        <v>0</v>
      </c>
      <c r="I20" s="179">
        <f ca="1">IF(ISNUMBER(MATCH(DATEVALUE($A20),'recurring1_based on steps'!I$1:I$400,0)),I$2,)</f>
        <v>0</v>
      </c>
      <c r="J20" s="179">
        <f ca="1">IF(ISNUMBER(MATCH(DATEVALUE($A20),'recurring1_based on steps'!J$1:J$400,0)),J$2,)</f>
        <v>0</v>
      </c>
      <c r="K20" s="179">
        <f ca="1">IF(ISNUMBER(MATCH(DATEVALUE($A20),'recurring1_based on steps'!K$1:K$400,0)),K$2,)</f>
        <v>0</v>
      </c>
      <c r="L20" s="179">
        <f ca="1">IF(ISNUMBER(MATCH(DATEVALUE($A20),'recurring1_based on steps'!L$1:L$400,0)),L$2,)</f>
        <v>0</v>
      </c>
      <c r="M20" s="179">
        <f ca="1">IF(ISNUMBER(MATCH(DATEVALUE($A20),'recurring1_based on steps'!M$1:M$400,0)),M$2,)</f>
        <v>0</v>
      </c>
      <c r="N20" s="179">
        <f ca="1">IF(ISNUMBER(MATCH(DATEVALUE($A20),'recurring1_based on steps'!N$1:N$400,0)),N$2,)</f>
        <v>0</v>
      </c>
      <c r="O20" s="179">
        <f ca="1">IF(ISNUMBER(MATCH(DATEVALUE($A20),'recurring1_based on steps'!O$1:O$400,0)),O$2,)</f>
        <v>0</v>
      </c>
      <c r="P20" s="179">
        <f ca="1">IF(ISNUMBER(MATCH(DATEVALUE($A20),'recurring1_based on steps'!P$1:P$400,0)),P$2,)</f>
        <v>0</v>
      </c>
      <c r="Q20" s="179">
        <f ca="1">IF(ISNUMBER(MATCH(DATEVALUE($A20),'recurring1_based on steps'!Q$1:Q$400,0)),Q$2,)</f>
        <v>0</v>
      </c>
      <c r="R20" s="179">
        <f ca="1">IF(ISNUMBER(MATCH(DATEVALUE($A20),'recurring1_based on steps'!R$1:R$400,0)),R$2,)</f>
        <v>0</v>
      </c>
      <c r="S20" s="179">
        <f ca="1">IF(ISNUMBER(MATCH(DATEVALUE($A20),'recurring1_based on steps'!S$1:S$400,0)),S$2,)</f>
        <v>0</v>
      </c>
      <c r="T20" s="179">
        <f ca="1">IF(ISNUMBER(MATCH(DATEVALUE($A20),'recurring1_based on steps'!T$1:T$400,0)),T$2,)</f>
        <v>0</v>
      </c>
      <c r="U20" s="179">
        <f ca="1">IF(ISNUMBER(MATCH(DATEVALUE($A20),'recurring1_based on steps'!U$1:U$400,0)),U$2,)</f>
        <v>0</v>
      </c>
      <c r="V20" s="179">
        <f ca="1">IF(ISNUMBER(MATCH(DATEVALUE($A20),'recurring1_based on steps'!V$1:V$400,0)),V$2,)</f>
        <v>0</v>
      </c>
      <c r="W20" s="179">
        <f ca="1">IF(ISNUMBER(MATCH(DATEVALUE($A20),'recurring1_based on steps'!W$1:W$400,0)),W$2,)</f>
        <v>0</v>
      </c>
      <c r="X20" s="179">
        <f ca="1">IF(ISNUMBER(MATCH(DATEVALUE($A20),'recurring1_based on steps'!X$1:X$400,0)),X$2,)</f>
        <v>0</v>
      </c>
      <c r="Y20" s="179">
        <f ca="1">IF(ISNUMBER(MATCH(DATEVALUE($A20),'recurring1_based on steps'!Y$1:Y$400,0)),Y$2,)</f>
        <v>0</v>
      </c>
      <c r="Z20" s="179">
        <f ca="1">IF(ISNUMBER(MATCH(DATEVALUE($A20),'recurring1_based on steps'!Z$1:Z$400,0)),Z$2,)</f>
        <v>0</v>
      </c>
      <c r="AA20" s="179">
        <f ca="1">IF(ISNUMBER(MATCH(DATEVALUE($A20),'recurring1_based on steps'!AA$1:AA$400,0)),AA$2,)</f>
        <v>0</v>
      </c>
      <c r="AB20" s="179">
        <f ca="1">IF(ISNUMBER(MATCH(DATEVALUE($A20),'recurring1_based on steps'!AB$1:AB$400,0)),AB$2,)</f>
        <v>0</v>
      </c>
      <c r="AC20" s="179">
        <f ca="1">IF(ISNUMBER(MATCH(DATEVALUE($A20),'recurring1_based on steps'!AC$1:AC$400,0)),AC$2,)</f>
        <v>0</v>
      </c>
      <c r="AD20" s="179">
        <f ca="1">IF(ISNUMBER(MATCH(DATEVALUE($A20),'recurring1_based on steps'!AD$1:AD$400,0)),AD$2,)</f>
        <v>0</v>
      </c>
      <c r="AE20" s="179">
        <f ca="1">IF(ISNUMBER(MATCH(DATEVALUE($A20),'recurring1_based on steps'!AE$1:AE$400,0)),AE$2,)</f>
        <v>0</v>
      </c>
      <c r="AF20" s="179">
        <f ca="1">IF(ISNUMBER(MATCH(DATEVALUE($A20),'recurring1_based on steps'!AF$1:AF$400,0)),AF$2,)</f>
        <v>0</v>
      </c>
      <c r="AG20" s="179">
        <f ca="1">IF(ISNUMBER(MATCH(DATEVALUE($A20),'recurring1_based on steps'!AG$1:AG$400,0)),AG$2,)</f>
        <v>0</v>
      </c>
      <c r="AH20" s="179">
        <f ca="1">IF(ISNUMBER(MATCH(DATEVALUE($A20),'recurring1_based on steps'!AH$1:AH$400,0)),AH$2,)</f>
        <v>0</v>
      </c>
      <c r="AI20" s="179">
        <f ca="1">IF(ISNUMBER(MATCH(DATEVALUE($A20),'recurring1_based on steps'!AI$1:AI$400,0)),AI$2,)</f>
        <v>0</v>
      </c>
      <c r="AJ20" s="179">
        <f ca="1">IF(ISNUMBER(MATCH(DATEVALUE($A20),'recurring1_based on steps'!AJ$1:AJ$400,0)),AJ$2,)</f>
        <v>0</v>
      </c>
      <c r="AK20" s="179">
        <f ca="1">IF(ISNUMBER(MATCH(DATEVALUE($A20),'recurring1_based on steps'!AK$1:AK$400,0)),AK$2,)</f>
        <v>0</v>
      </c>
      <c r="AL20" s="179">
        <f ca="1">IF(ISNUMBER(MATCH(DATEVALUE($A20),'recurring1_based on steps'!AL$1:AL$400,0)),AL$2,)</f>
        <v>0</v>
      </c>
      <c r="AM20" s="179">
        <f ca="1">IF(ISNUMBER(MATCH(DATEVALUE($A20),'recurring1_based on steps'!AM$1:AM$400,0)),AM$2,)</f>
        <v>0</v>
      </c>
      <c r="AN20" s="179">
        <f ca="1">IF(ISNUMBER(MATCH(DATEVALUE($A20),'recurring1_based on steps'!AN$1:AN$400,0)),AN$2,)</f>
        <v>0</v>
      </c>
      <c r="AO20" s="179">
        <f ca="1">IF(ISNUMBER(MATCH(DATEVALUE($A20),'recurring1_based on steps'!AO$1:AO$400,0)),AO$2,)</f>
        <v>0</v>
      </c>
      <c r="AP20" s="179">
        <f ca="1">IF(ISNUMBER(MATCH(DATEVALUE($A20),'recurring1_based on steps'!AP$1:AP$400,0)),AP$2,)</f>
        <v>0</v>
      </c>
      <c r="AQ20" s="179">
        <f ca="1">IF(ISNUMBER(MATCH(DATEVALUE($A20),'recurring1_based on steps'!AQ$1:AQ$400,0)),AQ$2,)</f>
        <v>0</v>
      </c>
      <c r="AR20" s="179">
        <f ca="1">IF(ISNUMBER(MATCH(DATEVALUE($A20),'recurring1_based on steps'!AR$1:AR$400,0)),AR$2,)</f>
        <v>0</v>
      </c>
      <c r="AS20" s="179">
        <f ca="1">IF(ISNUMBER(MATCH(DATEVALUE($A20),'recurring1_based on steps'!AS$1:AS$400,0)),AS$2,)</f>
        <v>0</v>
      </c>
      <c r="AT20" s="179">
        <f ca="1">IF(ISNUMBER(MATCH(DATEVALUE($A20),'recurring1_based on steps'!AT$1:AT$400,0)),AT$2,)</f>
        <v>0</v>
      </c>
      <c r="AU20" s="179">
        <f ca="1">IF(ISNUMBER(MATCH(DATEVALUE($A20),'recurring1_based on steps'!AU$1:AU$400,0)),AU$2,)</f>
        <v>0</v>
      </c>
      <c r="AV20" s="179">
        <f ca="1">IF(ISNUMBER(MATCH(DATEVALUE($A20),'recurring1_based on steps'!AV$1:AV$400,0)),AV$2,)</f>
        <v>0</v>
      </c>
      <c r="AW20" s="179">
        <f ca="1">IF(ISNUMBER(MATCH(DATEVALUE($A20),'recurring1_based on steps'!AW$1:AW$400,0)),AW$2,)</f>
        <v>0</v>
      </c>
      <c r="AX20" s="179">
        <f ca="1">IF(ISNUMBER(MATCH(DATEVALUE($A20),'recurring1_based on steps'!AX$1:AX$400,0)),AX$2,)</f>
        <v>0</v>
      </c>
      <c r="AY20" s="179">
        <f ca="1">IF(ISNUMBER(MATCH(DATEVALUE($A20),'recurring1_based on steps'!AY$1:AY$400,0)),AY$2,)</f>
        <v>0</v>
      </c>
    </row>
    <row r="21" spans="1:51" x14ac:dyDescent="0.2">
      <c r="A21" s="32" t="str">
        <f t="shared" ca="1" si="0"/>
        <v>2025-04-23</v>
      </c>
      <c r="B21" s="179">
        <f ca="1">IF(ISNUMBER(MATCH(DATEVALUE($A21),'recurring1_based on steps'!B$1:B$400,0)),B$2,)</f>
        <v>0</v>
      </c>
      <c r="C21" s="179">
        <f ca="1">IF(ISNUMBER(MATCH(DATEVALUE($A21),'recurring1_based on steps'!C$1:C$400,0)),C$2,)</f>
        <v>0</v>
      </c>
      <c r="D21" s="179">
        <f ca="1">IF(ISNUMBER(MATCH(DATEVALUE($A21),'recurring1_based on steps'!D$1:D$400,0)),D$2,)</f>
        <v>0</v>
      </c>
      <c r="E21" s="179">
        <f ca="1">IF(ISNUMBER(MATCH(DATEVALUE($A21),'recurring1_based on steps'!E$1:E$400,0)),E$2,)</f>
        <v>0</v>
      </c>
      <c r="F21" s="179">
        <f ca="1">IF(ISNUMBER(MATCH(DATEVALUE($A21),'recurring1_based on steps'!F$1:F$400,0)),F$2,)</f>
        <v>0</v>
      </c>
      <c r="G21" s="179">
        <f ca="1">IF(ISNUMBER(MATCH(DATEVALUE($A21),'recurring1_based on steps'!G$1:G$400,0)),G$2,)</f>
        <v>0</v>
      </c>
      <c r="H21" s="179">
        <f ca="1">IF(ISNUMBER(MATCH(DATEVALUE($A21),'recurring1_based on steps'!H$1:H$400,0)),H$2,)</f>
        <v>0</v>
      </c>
      <c r="I21" s="179">
        <f ca="1">IF(ISNUMBER(MATCH(DATEVALUE($A21),'recurring1_based on steps'!I$1:I$400,0)),I$2,)</f>
        <v>0</v>
      </c>
      <c r="J21" s="179">
        <f ca="1">IF(ISNUMBER(MATCH(DATEVALUE($A21),'recurring1_based on steps'!J$1:J$400,0)),J$2,)</f>
        <v>0</v>
      </c>
      <c r="K21" s="179">
        <f ca="1">IF(ISNUMBER(MATCH(DATEVALUE($A21),'recurring1_based on steps'!K$1:K$400,0)),K$2,)</f>
        <v>0</v>
      </c>
      <c r="L21" s="179">
        <f ca="1">IF(ISNUMBER(MATCH(DATEVALUE($A21),'recurring1_based on steps'!L$1:L$400,0)),L$2,)</f>
        <v>0</v>
      </c>
      <c r="M21" s="179">
        <f ca="1">IF(ISNUMBER(MATCH(DATEVALUE($A21),'recurring1_based on steps'!M$1:M$400,0)),M$2,)</f>
        <v>0</v>
      </c>
      <c r="N21" s="179">
        <f ca="1">IF(ISNUMBER(MATCH(DATEVALUE($A21),'recurring1_based on steps'!N$1:N$400,0)),N$2,)</f>
        <v>0</v>
      </c>
      <c r="O21" s="179">
        <f ca="1">IF(ISNUMBER(MATCH(DATEVALUE($A21),'recurring1_based on steps'!O$1:O$400,0)),O$2,)</f>
        <v>0</v>
      </c>
      <c r="P21" s="179">
        <f ca="1">IF(ISNUMBER(MATCH(DATEVALUE($A21),'recurring1_based on steps'!P$1:P$400,0)),P$2,)</f>
        <v>0</v>
      </c>
      <c r="Q21" s="179">
        <f ca="1">IF(ISNUMBER(MATCH(DATEVALUE($A21),'recurring1_based on steps'!Q$1:Q$400,0)),Q$2,)</f>
        <v>0</v>
      </c>
      <c r="R21" s="179">
        <f ca="1">IF(ISNUMBER(MATCH(DATEVALUE($A21),'recurring1_based on steps'!R$1:R$400,0)),R$2,)</f>
        <v>0</v>
      </c>
      <c r="S21" s="179">
        <f ca="1">IF(ISNUMBER(MATCH(DATEVALUE($A21),'recurring1_based on steps'!S$1:S$400,0)),S$2,)</f>
        <v>0</v>
      </c>
      <c r="T21" s="179">
        <f ca="1">IF(ISNUMBER(MATCH(DATEVALUE($A21),'recurring1_based on steps'!T$1:T$400,0)),T$2,)</f>
        <v>0</v>
      </c>
      <c r="U21" s="179">
        <f ca="1">IF(ISNUMBER(MATCH(DATEVALUE($A21),'recurring1_based on steps'!U$1:U$400,0)),U$2,)</f>
        <v>0</v>
      </c>
      <c r="V21" s="179">
        <f ca="1">IF(ISNUMBER(MATCH(DATEVALUE($A21),'recurring1_based on steps'!V$1:V$400,0)),V$2,)</f>
        <v>0</v>
      </c>
      <c r="W21" s="179">
        <f ca="1">IF(ISNUMBER(MATCH(DATEVALUE($A21),'recurring1_based on steps'!W$1:W$400,0)),W$2,)</f>
        <v>0</v>
      </c>
      <c r="X21" s="179">
        <f ca="1">IF(ISNUMBER(MATCH(DATEVALUE($A21),'recurring1_based on steps'!X$1:X$400,0)),X$2,)</f>
        <v>0</v>
      </c>
      <c r="Y21" s="179">
        <f ca="1">IF(ISNUMBER(MATCH(DATEVALUE($A21),'recurring1_based on steps'!Y$1:Y$400,0)),Y$2,)</f>
        <v>0</v>
      </c>
      <c r="Z21" s="179">
        <f ca="1">IF(ISNUMBER(MATCH(DATEVALUE($A21),'recurring1_based on steps'!Z$1:Z$400,0)),Z$2,)</f>
        <v>0</v>
      </c>
      <c r="AA21" s="179">
        <f ca="1">IF(ISNUMBER(MATCH(DATEVALUE($A21),'recurring1_based on steps'!AA$1:AA$400,0)),AA$2,)</f>
        <v>0</v>
      </c>
      <c r="AB21" s="179">
        <f ca="1">IF(ISNUMBER(MATCH(DATEVALUE($A21),'recurring1_based on steps'!AB$1:AB$400,0)),AB$2,)</f>
        <v>0</v>
      </c>
      <c r="AC21" s="179">
        <f ca="1">IF(ISNUMBER(MATCH(DATEVALUE($A21),'recurring1_based on steps'!AC$1:AC$400,0)),AC$2,)</f>
        <v>0</v>
      </c>
      <c r="AD21" s="179">
        <f ca="1">IF(ISNUMBER(MATCH(DATEVALUE($A21),'recurring1_based on steps'!AD$1:AD$400,0)),AD$2,)</f>
        <v>0</v>
      </c>
      <c r="AE21" s="179">
        <f ca="1">IF(ISNUMBER(MATCH(DATEVALUE($A21),'recurring1_based on steps'!AE$1:AE$400,0)),AE$2,)</f>
        <v>0</v>
      </c>
      <c r="AF21" s="179">
        <f ca="1">IF(ISNUMBER(MATCH(DATEVALUE($A21),'recurring1_based on steps'!AF$1:AF$400,0)),AF$2,)</f>
        <v>0</v>
      </c>
      <c r="AG21" s="179">
        <f ca="1">IF(ISNUMBER(MATCH(DATEVALUE($A21),'recurring1_based on steps'!AG$1:AG$400,0)),AG$2,)</f>
        <v>0</v>
      </c>
      <c r="AH21" s="179">
        <f ca="1">IF(ISNUMBER(MATCH(DATEVALUE($A21),'recurring1_based on steps'!AH$1:AH$400,0)),AH$2,)</f>
        <v>0</v>
      </c>
      <c r="AI21" s="179">
        <f ca="1">IF(ISNUMBER(MATCH(DATEVALUE($A21),'recurring1_based on steps'!AI$1:AI$400,0)),AI$2,)</f>
        <v>0</v>
      </c>
      <c r="AJ21" s="179">
        <f ca="1">IF(ISNUMBER(MATCH(DATEVALUE($A21),'recurring1_based on steps'!AJ$1:AJ$400,0)),AJ$2,)</f>
        <v>0</v>
      </c>
      <c r="AK21" s="179">
        <f ca="1">IF(ISNUMBER(MATCH(DATEVALUE($A21),'recurring1_based on steps'!AK$1:AK$400,0)),AK$2,)</f>
        <v>0</v>
      </c>
      <c r="AL21" s="179">
        <f ca="1">IF(ISNUMBER(MATCH(DATEVALUE($A21),'recurring1_based on steps'!AL$1:AL$400,0)),AL$2,)</f>
        <v>0</v>
      </c>
      <c r="AM21" s="179">
        <f ca="1">IF(ISNUMBER(MATCH(DATEVALUE($A21),'recurring1_based on steps'!AM$1:AM$400,0)),AM$2,)</f>
        <v>0</v>
      </c>
      <c r="AN21" s="179">
        <f ca="1">IF(ISNUMBER(MATCH(DATEVALUE($A21),'recurring1_based on steps'!AN$1:AN$400,0)),AN$2,)</f>
        <v>0</v>
      </c>
      <c r="AO21" s="179">
        <f ca="1">IF(ISNUMBER(MATCH(DATEVALUE($A21),'recurring1_based on steps'!AO$1:AO$400,0)),AO$2,)</f>
        <v>0</v>
      </c>
      <c r="AP21" s="179">
        <f ca="1">IF(ISNUMBER(MATCH(DATEVALUE($A21),'recurring1_based on steps'!AP$1:AP$400,0)),AP$2,)</f>
        <v>0</v>
      </c>
      <c r="AQ21" s="179">
        <f ca="1">IF(ISNUMBER(MATCH(DATEVALUE($A21),'recurring1_based on steps'!AQ$1:AQ$400,0)),AQ$2,)</f>
        <v>0</v>
      </c>
      <c r="AR21" s="179">
        <f ca="1">IF(ISNUMBER(MATCH(DATEVALUE($A21),'recurring1_based on steps'!AR$1:AR$400,0)),AR$2,)</f>
        <v>0</v>
      </c>
      <c r="AS21" s="179">
        <f ca="1">IF(ISNUMBER(MATCH(DATEVALUE($A21),'recurring1_based on steps'!AS$1:AS$400,0)),AS$2,)</f>
        <v>0</v>
      </c>
      <c r="AT21" s="179">
        <f ca="1">IF(ISNUMBER(MATCH(DATEVALUE($A21),'recurring1_based on steps'!AT$1:AT$400,0)),AT$2,)</f>
        <v>0</v>
      </c>
      <c r="AU21" s="179">
        <f ca="1">IF(ISNUMBER(MATCH(DATEVALUE($A21),'recurring1_based on steps'!AU$1:AU$400,0)),AU$2,)</f>
        <v>0</v>
      </c>
      <c r="AV21" s="179">
        <f ca="1">IF(ISNUMBER(MATCH(DATEVALUE($A21),'recurring1_based on steps'!AV$1:AV$400,0)),AV$2,)</f>
        <v>0</v>
      </c>
      <c r="AW21" s="179">
        <f ca="1">IF(ISNUMBER(MATCH(DATEVALUE($A21),'recurring1_based on steps'!AW$1:AW$400,0)),AW$2,)</f>
        <v>0</v>
      </c>
      <c r="AX21" s="179">
        <f ca="1">IF(ISNUMBER(MATCH(DATEVALUE($A21),'recurring1_based on steps'!AX$1:AX$400,0)),AX$2,)</f>
        <v>0</v>
      </c>
      <c r="AY21" s="179">
        <f ca="1">IF(ISNUMBER(MATCH(DATEVALUE($A21),'recurring1_based on steps'!AY$1:AY$400,0)),AY$2,)</f>
        <v>0</v>
      </c>
    </row>
    <row r="22" spans="1:51" x14ac:dyDescent="0.2">
      <c r="A22" s="32" t="str">
        <f t="shared" ca="1" si="0"/>
        <v>2025-04-24</v>
      </c>
      <c r="B22" s="179">
        <f ca="1">IF(ISNUMBER(MATCH(DATEVALUE($A22),'recurring1_based on steps'!B$1:B$400,0)),B$2,)</f>
        <v>0</v>
      </c>
      <c r="C22" s="179">
        <f ca="1">IF(ISNUMBER(MATCH(DATEVALUE($A22),'recurring1_based on steps'!C$1:C$400,0)),C$2,)</f>
        <v>0</v>
      </c>
      <c r="D22" s="179">
        <f ca="1">IF(ISNUMBER(MATCH(DATEVALUE($A22),'recurring1_based on steps'!D$1:D$400,0)),D$2,)</f>
        <v>0</v>
      </c>
      <c r="E22" s="179">
        <f ca="1">IF(ISNUMBER(MATCH(DATEVALUE($A22),'recurring1_based on steps'!E$1:E$400,0)),E$2,)</f>
        <v>0</v>
      </c>
      <c r="F22" s="179">
        <f ca="1">IF(ISNUMBER(MATCH(DATEVALUE($A22),'recurring1_based on steps'!F$1:F$400,0)),F$2,)</f>
        <v>0</v>
      </c>
      <c r="G22" s="179">
        <f ca="1">IF(ISNUMBER(MATCH(DATEVALUE($A22),'recurring1_based on steps'!G$1:G$400,0)),G$2,)</f>
        <v>0</v>
      </c>
      <c r="H22" s="179">
        <f ca="1">IF(ISNUMBER(MATCH(DATEVALUE($A22),'recurring1_based on steps'!H$1:H$400,0)),H$2,)</f>
        <v>0</v>
      </c>
      <c r="I22" s="179">
        <f ca="1">IF(ISNUMBER(MATCH(DATEVALUE($A22),'recurring1_based on steps'!I$1:I$400,0)),I$2,)</f>
        <v>0</v>
      </c>
      <c r="J22" s="179">
        <f ca="1">IF(ISNUMBER(MATCH(DATEVALUE($A22),'recurring1_based on steps'!J$1:J$400,0)),J$2,)</f>
        <v>0</v>
      </c>
      <c r="K22" s="179">
        <f ca="1">IF(ISNUMBER(MATCH(DATEVALUE($A22),'recurring1_based on steps'!K$1:K$400,0)),K$2,)</f>
        <v>0</v>
      </c>
      <c r="L22" s="179">
        <f ca="1">IF(ISNUMBER(MATCH(DATEVALUE($A22),'recurring1_based on steps'!L$1:L$400,0)),L$2,)</f>
        <v>0</v>
      </c>
      <c r="M22" s="179">
        <f ca="1">IF(ISNUMBER(MATCH(DATEVALUE($A22),'recurring1_based on steps'!M$1:M$400,0)),M$2,)</f>
        <v>0</v>
      </c>
      <c r="N22" s="179">
        <f ca="1">IF(ISNUMBER(MATCH(DATEVALUE($A22),'recurring1_based on steps'!N$1:N$400,0)),N$2,)</f>
        <v>0</v>
      </c>
      <c r="O22" s="179">
        <f ca="1">IF(ISNUMBER(MATCH(DATEVALUE($A22),'recurring1_based on steps'!O$1:O$400,0)),O$2,)</f>
        <v>0</v>
      </c>
      <c r="P22" s="179">
        <f ca="1">IF(ISNUMBER(MATCH(DATEVALUE($A22),'recurring1_based on steps'!P$1:P$400,0)),P$2,)</f>
        <v>0</v>
      </c>
      <c r="Q22" s="179">
        <f ca="1">IF(ISNUMBER(MATCH(DATEVALUE($A22),'recurring1_based on steps'!Q$1:Q$400,0)),Q$2,)</f>
        <v>0</v>
      </c>
      <c r="R22" s="179">
        <f ca="1">IF(ISNUMBER(MATCH(DATEVALUE($A22),'recurring1_based on steps'!R$1:R$400,0)),R$2,)</f>
        <v>0</v>
      </c>
      <c r="S22" s="179">
        <f ca="1">IF(ISNUMBER(MATCH(DATEVALUE($A22),'recurring1_based on steps'!S$1:S$400,0)),S$2,)</f>
        <v>0</v>
      </c>
      <c r="T22" s="179">
        <f ca="1">IF(ISNUMBER(MATCH(DATEVALUE($A22),'recurring1_based on steps'!T$1:T$400,0)),T$2,)</f>
        <v>0</v>
      </c>
      <c r="U22" s="179">
        <f ca="1">IF(ISNUMBER(MATCH(DATEVALUE($A22),'recurring1_based on steps'!U$1:U$400,0)),U$2,)</f>
        <v>0</v>
      </c>
      <c r="V22" s="179">
        <f ca="1">IF(ISNUMBER(MATCH(DATEVALUE($A22),'recurring1_based on steps'!V$1:V$400,0)),V$2,)</f>
        <v>0</v>
      </c>
      <c r="W22" s="179">
        <f ca="1">IF(ISNUMBER(MATCH(DATEVALUE($A22),'recurring1_based on steps'!W$1:W$400,0)),W$2,)</f>
        <v>0</v>
      </c>
      <c r="X22" s="179">
        <f ca="1">IF(ISNUMBER(MATCH(DATEVALUE($A22),'recurring1_based on steps'!X$1:X$400,0)),X$2,)</f>
        <v>0</v>
      </c>
      <c r="Y22" s="179">
        <f ca="1">IF(ISNUMBER(MATCH(DATEVALUE($A22),'recurring1_based on steps'!Y$1:Y$400,0)),Y$2,)</f>
        <v>0</v>
      </c>
      <c r="Z22" s="179">
        <f ca="1">IF(ISNUMBER(MATCH(DATEVALUE($A22),'recurring1_based on steps'!Z$1:Z$400,0)),Z$2,)</f>
        <v>0</v>
      </c>
      <c r="AA22" s="179">
        <f ca="1">IF(ISNUMBER(MATCH(DATEVALUE($A22),'recurring1_based on steps'!AA$1:AA$400,0)),AA$2,)</f>
        <v>0</v>
      </c>
      <c r="AB22" s="179">
        <f ca="1">IF(ISNUMBER(MATCH(DATEVALUE($A22),'recurring1_based on steps'!AB$1:AB$400,0)),AB$2,)</f>
        <v>0</v>
      </c>
      <c r="AC22" s="179">
        <f ca="1">IF(ISNUMBER(MATCH(DATEVALUE($A22),'recurring1_based on steps'!AC$1:AC$400,0)),AC$2,)</f>
        <v>0</v>
      </c>
      <c r="AD22" s="179">
        <f ca="1">IF(ISNUMBER(MATCH(DATEVALUE($A22),'recurring1_based on steps'!AD$1:AD$400,0)),AD$2,)</f>
        <v>0</v>
      </c>
      <c r="AE22" s="179">
        <f ca="1">IF(ISNUMBER(MATCH(DATEVALUE($A22),'recurring1_based on steps'!AE$1:AE$400,0)),AE$2,)</f>
        <v>0</v>
      </c>
      <c r="AF22" s="179">
        <f ca="1">IF(ISNUMBER(MATCH(DATEVALUE($A22),'recurring1_based on steps'!AF$1:AF$400,0)),AF$2,)</f>
        <v>0</v>
      </c>
      <c r="AG22" s="179">
        <f ca="1">IF(ISNUMBER(MATCH(DATEVALUE($A22),'recurring1_based on steps'!AG$1:AG$400,0)),AG$2,)</f>
        <v>0</v>
      </c>
      <c r="AH22" s="179">
        <f ca="1">IF(ISNUMBER(MATCH(DATEVALUE($A22),'recurring1_based on steps'!AH$1:AH$400,0)),AH$2,)</f>
        <v>0</v>
      </c>
      <c r="AI22" s="179">
        <f ca="1">IF(ISNUMBER(MATCH(DATEVALUE($A22),'recurring1_based on steps'!AI$1:AI$400,0)),AI$2,)</f>
        <v>0</v>
      </c>
      <c r="AJ22" s="179">
        <f ca="1">IF(ISNUMBER(MATCH(DATEVALUE($A22),'recurring1_based on steps'!AJ$1:AJ$400,0)),AJ$2,)</f>
        <v>0</v>
      </c>
      <c r="AK22" s="179">
        <f ca="1">IF(ISNUMBER(MATCH(DATEVALUE($A22),'recurring1_based on steps'!AK$1:AK$400,0)),AK$2,)</f>
        <v>0</v>
      </c>
      <c r="AL22" s="179">
        <f ca="1">IF(ISNUMBER(MATCH(DATEVALUE($A22),'recurring1_based on steps'!AL$1:AL$400,0)),AL$2,)</f>
        <v>0</v>
      </c>
      <c r="AM22" s="179">
        <f ca="1">IF(ISNUMBER(MATCH(DATEVALUE($A22),'recurring1_based on steps'!AM$1:AM$400,0)),AM$2,)</f>
        <v>0</v>
      </c>
      <c r="AN22" s="179">
        <f ca="1">IF(ISNUMBER(MATCH(DATEVALUE($A22),'recurring1_based on steps'!AN$1:AN$400,0)),AN$2,)</f>
        <v>0</v>
      </c>
      <c r="AO22" s="179">
        <f ca="1">IF(ISNUMBER(MATCH(DATEVALUE($A22),'recurring1_based on steps'!AO$1:AO$400,0)),AO$2,)</f>
        <v>0</v>
      </c>
      <c r="AP22" s="179">
        <f ca="1">IF(ISNUMBER(MATCH(DATEVALUE($A22),'recurring1_based on steps'!AP$1:AP$400,0)),AP$2,)</f>
        <v>0</v>
      </c>
      <c r="AQ22" s="179">
        <f ca="1">IF(ISNUMBER(MATCH(DATEVALUE($A22),'recurring1_based on steps'!AQ$1:AQ$400,0)),AQ$2,)</f>
        <v>0</v>
      </c>
      <c r="AR22" s="179">
        <f ca="1">IF(ISNUMBER(MATCH(DATEVALUE($A22),'recurring1_based on steps'!AR$1:AR$400,0)),AR$2,)</f>
        <v>0</v>
      </c>
      <c r="AS22" s="179">
        <f ca="1">IF(ISNUMBER(MATCH(DATEVALUE($A22),'recurring1_based on steps'!AS$1:AS$400,0)),AS$2,)</f>
        <v>0</v>
      </c>
      <c r="AT22" s="179">
        <f ca="1">IF(ISNUMBER(MATCH(DATEVALUE($A22),'recurring1_based on steps'!AT$1:AT$400,0)),AT$2,)</f>
        <v>0</v>
      </c>
      <c r="AU22" s="179">
        <f ca="1">IF(ISNUMBER(MATCH(DATEVALUE($A22),'recurring1_based on steps'!AU$1:AU$400,0)),AU$2,)</f>
        <v>0</v>
      </c>
      <c r="AV22" s="179">
        <f ca="1">IF(ISNUMBER(MATCH(DATEVALUE($A22),'recurring1_based on steps'!AV$1:AV$400,0)),AV$2,)</f>
        <v>0</v>
      </c>
      <c r="AW22" s="179">
        <f ca="1">IF(ISNUMBER(MATCH(DATEVALUE($A22),'recurring1_based on steps'!AW$1:AW$400,0)),AW$2,)</f>
        <v>0</v>
      </c>
      <c r="AX22" s="179">
        <f ca="1">IF(ISNUMBER(MATCH(DATEVALUE($A22),'recurring1_based on steps'!AX$1:AX$400,0)),AX$2,)</f>
        <v>0</v>
      </c>
      <c r="AY22" s="179">
        <f ca="1">IF(ISNUMBER(MATCH(DATEVALUE($A22),'recurring1_based on steps'!AY$1:AY$400,0)),AY$2,)</f>
        <v>0</v>
      </c>
    </row>
    <row r="23" spans="1:51" x14ac:dyDescent="0.2">
      <c r="A23" s="32" t="str">
        <f t="shared" ca="1" si="0"/>
        <v>2025-04-25</v>
      </c>
      <c r="B23" s="179">
        <f ca="1">IF(ISNUMBER(MATCH(DATEVALUE($A23),'recurring1_based on steps'!B$1:B$400,0)),B$2,)</f>
        <v>0</v>
      </c>
      <c r="C23" s="179">
        <f ca="1">IF(ISNUMBER(MATCH(DATEVALUE($A23),'recurring1_based on steps'!C$1:C$400,0)),C$2,)</f>
        <v>0</v>
      </c>
      <c r="D23" s="179">
        <f ca="1">IF(ISNUMBER(MATCH(DATEVALUE($A23),'recurring1_based on steps'!D$1:D$400,0)),D$2,)</f>
        <v>0</v>
      </c>
      <c r="E23" s="179">
        <f ca="1">IF(ISNUMBER(MATCH(DATEVALUE($A23),'recurring1_based on steps'!E$1:E$400,0)),E$2,)</f>
        <v>0</v>
      </c>
      <c r="F23" s="179">
        <f ca="1">IF(ISNUMBER(MATCH(DATEVALUE($A23),'recurring1_based on steps'!F$1:F$400,0)),F$2,)</f>
        <v>0</v>
      </c>
      <c r="G23" s="179">
        <f ca="1">IF(ISNUMBER(MATCH(DATEVALUE($A23),'recurring1_based on steps'!G$1:G$400,0)),G$2,)</f>
        <v>0</v>
      </c>
      <c r="H23" s="179">
        <f ca="1">IF(ISNUMBER(MATCH(DATEVALUE($A23),'recurring1_based on steps'!H$1:H$400,0)),H$2,)</f>
        <v>0</v>
      </c>
      <c r="I23" s="179">
        <f ca="1">IF(ISNUMBER(MATCH(DATEVALUE($A23),'recurring1_based on steps'!I$1:I$400,0)),I$2,)</f>
        <v>0</v>
      </c>
      <c r="J23" s="179">
        <f ca="1">IF(ISNUMBER(MATCH(DATEVALUE($A23),'recurring1_based on steps'!J$1:J$400,0)),J$2,)</f>
        <v>0</v>
      </c>
      <c r="K23" s="179">
        <f ca="1">IF(ISNUMBER(MATCH(DATEVALUE($A23),'recurring1_based on steps'!K$1:K$400,0)),K$2,)</f>
        <v>0</v>
      </c>
      <c r="L23" s="179">
        <f ca="1">IF(ISNUMBER(MATCH(DATEVALUE($A23),'recurring1_based on steps'!L$1:L$400,0)),L$2,)</f>
        <v>0</v>
      </c>
      <c r="M23" s="179">
        <f ca="1">IF(ISNUMBER(MATCH(DATEVALUE($A23),'recurring1_based on steps'!M$1:M$400,0)),M$2,)</f>
        <v>0</v>
      </c>
      <c r="N23" s="179">
        <f ca="1">IF(ISNUMBER(MATCH(DATEVALUE($A23),'recurring1_based on steps'!N$1:N$400,0)),N$2,)</f>
        <v>0</v>
      </c>
      <c r="O23" s="179">
        <f ca="1">IF(ISNUMBER(MATCH(DATEVALUE($A23),'recurring1_based on steps'!O$1:O$400,0)),O$2,)</f>
        <v>0</v>
      </c>
      <c r="P23" s="179">
        <f ca="1">IF(ISNUMBER(MATCH(DATEVALUE($A23),'recurring1_based on steps'!P$1:P$400,0)),P$2,)</f>
        <v>0</v>
      </c>
      <c r="Q23" s="179">
        <f ca="1">IF(ISNUMBER(MATCH(DATEVALUE($A23),'recurring1_based on steps'!Q$1:Q$400,0)),Q$2,)</f>
        <v>0</v>
      </c>
      <c r="R23" s="179">
        <f ca="1">IF(ISNUMBER(MATCH(DATEVALUE($A23),'recurring1_based on steps'!R$1:R$400,0)),R$2,)</f>
        <v>0</v>
      </c>
      <c r="S23" s="179">
        <f ca="1">IF(ISNUMBER(MATCH(DATEVALUE($A23),'recurring1_based on steps'!S$1:S$400,0)),S$2,)</f>
        <v>0</v>
      </c>
      <c r="T23" s="179">
        <f ca="1">IF(ISNUMBER(MATCH(DATEVALUE($A23),'recurring1_based on steps'!T$1:T$400,0)),T$2,)</f>
        <v>0</v>
      </c>
      <c r="U23" s="179">
        <f ca="1">IF(ISNUMBER(MATCH(DATEVALUE($A23),'recurring1_based on steps'!U$1:U$400,0)),U$2,)</f>
        <v>0</v>
      </c>
      <c r="V23" s="179">
        <f ca="1">IF(ISNUMBER(MATCH(DATEVALUE($A23),'recurring1_based on steps'!V$1:V$400,0)),V$2,)</f>
        <v>0</v>
      </c>
      <c r="W23" s="179">
        <f ca="1">IF(ISNUMBER(MATCH(DATEVALUE($A23),'recurring1_based on steps'!W$1:W$400,0)),W$2,)</f>
        <v>0</v>
      </c>
      <c r="X23" s="179">
        <f ca="1">IF(ISNUMBER(MATCH(DATEVALUE($A23),'recurring1_based on steps'!X$1:X$400,0)),X$2,)</f>
        <v>0</v>
      </c>
      <c r="Y23" s="179">
        <f ca="1">IF(ISNUMBER(MATCH(DATEVALUE($A23),'recurring1_based on steps'!Y$1:Y$400,0)),Y$2,)</f>
        <v>0</v>
      </c>
      <c r="Z23" s="179">
        <f ca="1">IF(ISNUMBER(MATCH(DATEVALUE($A23),'recurring1_based on steps'!Z$1:Z$400,0)),Z$2,)</f>
        <v>0</v>
      </c>
      <c r="AA23" s="179">
        <f ca="1">IF(ISNUMBER(MATCH(DATEVALUE($A23),'recurring1_based on steps'!AA$1:AA$400,0)),AA$2,)</f>
        <v>0</v>
      </c>
      <c r="AB23" s="179">
        <f ca="1">IF(ISNUMBER(MATCH(DATEVALUE($A23),'recurring1_based on steps'!AB$1:AB$400,0)),AB$2,)</f>
        <v>0</v>
      </c>
      <c r="AC23" s="179">
        <f ca="1">IF(ISNUMBER(MATCH(DATEVALUE($A23),'recurring1_based on steps'!AC$1:AC$400,0)),AC$2,)</f>
        <v>0</v>
      </c>
      <c r="AD23" s="179">
        <f ca="1">IF(ISNUMBER(MATCH(DATEVALUE($A23),'recurring1_based on steps'!AD$1:AD$400,0)),AD$2,)</f>
        <v>0</v>
      </c>
      <c r="AE23" s="179">
        <f ca="1">IF(ISNUMBER(MATCH(DATEVALUE($A23),'recurring1_based on steps'!AE$1:AE$400,0)),AE$2,)</f>
        <v>0</v>
      </c>
      <c r="AF23" s="179">
        <f ca="1">IF(ISNUMBER(MATCH(DATEVALUE($A23),'recurring1_based on steps'!AF$1:AF$400,0)),AF$2,)</f>
        <v>0</v>
      </c>
      <c r="AG23" s="179">
        <f ca="1">IF(ISNUMBER(MATCH(DATEVALUE($A23),'recurring1_based on steps'!AG$1:AG$400,0)),AG$2,)</f>
        <v>0</v>
      </c>
      <c r="AH23" s="179">
        <f ca="1">IF(ISNUMBER(MATCH(DATEVALUE($A23),'recurring1_based on steps'!AH$1:AH$400,0)),AH$2,)</f>
        <v>0</v>
      </c>
      <c r="AI23" s="179">
        <f ca="1">IF(ISNUMBER(MATCH(DATEVALUE($A23),'recurring1_based on steps'!AI$1:AI$400,0)),AI$2,)</f>
        <v>0</v>
      </c>
      <c r="AJ23" s="179">
        <f ca="1">IF(ISNUMBER(MATCH(DATEVALUE($A23),'recurring1_based on steps'!AJ$1:AJ$400,0)),AJ$2,)</f>
        <v>0</v>
      </c>
      <c r="AK23" s="179">
        <f ca="1">IF(ISNUMBER(MATCH(DATEVALUE($A23),'recurring1_based on steps'!AK$1:AK$400,0)),AK$2,)</f>
        <v>0</v>
      </c>
      <c r="AL23" s="179">
        <f ca="1">IF(ISNUMBER(MATCH(DATEVALUE($A23),'recurring1_based on steps'!AL$1:AL$400,0)),AL$2,)</f>
        <v>0</v>
      </c>
      <c r="AM23" s="179">
        <f ca="1">IF(ISNUMBER(MATCH(DATEVALUE($A23),'recurring1_based on steps'!AM$1:AM$400,0)),AM$2,)</f>
        <v>0</v>
      </c>
      <c r="AN23" s="179">
        <f ca="1">IF(ISNUMBER(MATCH(DATEVALUE($A23),'recurring1_based on steps'!AN$1:AN$400,0)),AN$2,)</f>
        <v>0</v>
      </c>
      <c r="AO23" s="179">
        <f ca="1">IF(ISNUMBER(MATCH(DATEVALUE($A23),'recurring1_based on steps'!AO$1:AO$400,0)),AO$2,)</f>
        <v>0</v>
      </c>
      <c r="AP23" s="179">
        <f ca="1">IF(ISNUMBER(MATCH(DATEVALUE($A23),'recurring1_based on steps'!AP$1:AP$400,0)),AP$2,)</f>
        <v>0</v>
      </c>
      <c r="AQ23" s="179">
        <f ca="1">IF(ISNUMBER(MATCH(DATEVALUE($A23),'recurring1_based on steps'!AQ$1:AQ$400,0)),AQ$2,)</f>
        <v>0</v>
      </c>
      <c r="AR23" s="179">
        <f ca="1">IF(ISNUMBER(MATCH(DATEVALUE($A23),'recurring1_based on steps'!AR$1:AR$400,0)),AR$2,)</f>
        <v>0</v>
      </c>
      <c r="AS23" s="179">
        <f ca="1">IF(ISNUMBER(MATCH(DATEVALUE($A23),'recurring1_based on steps'!AS$1:AS$400,0)),AS$2,)</f>
        <v>0</v>
      </c>
      <c r="AT23" s="179">
        <f ca="1">IF(ISNUMBER(MATCH(DATEVALUE($A23),'recurring1_based on steps'!AT$1:AT$400,0)),AT$2,)</f>
        <v>0</v>
      </c>
      <c r="AU23" s="179">
        <f ca="1">IF(ISNUMBER(MATCH(DATEVALUE($A23),'recurring1_based on steps'!AU$1:AU$400,0)),AU$2,)</f>
        <v>0</v>
      </c>
      <c r="AV23" s="179">
        <f ca="1">IF(ISNUMBER(MATCH(DATEVALUE($A23),'recurring1_based on steps'!AV$1:AV$400,0)),AV$2,)</f>
        <v>0</v>
      </c>
      <c r="AW23" s="179">
        <f ca="1">IF(ISNUMBER(MATCH(DATEVALUE($A23),'recurring1_based on steps'!AW$1:AW$400,0)),AW$2,)</f>
        <v>0</v>
      </c>
      <c r="AX23" s="179">
        <f ca="1">IF(ISNUMBER(MATCH(DATEVALUE($A23),'recurring1_based on steps'!AX$1:AX$400,0)),AX$2,)</f>
        <v>0</v>
      </c>
      <c r="AY23" s="179">
        <f ca="1">IF(ISNUMBER(MATCH(DATEVALUE($A23),'recurring1_based on steps'!AY$1:AY$400,0)),AY$2,)</f>
        <v>0</v>
      </c>
    </row>
    <row r="24" spans="1:51" x14ac:dyDescent="0.2">
      <c r="A24" s="32" t="str">
        <f t="shared" ca="1" si="0"/>
        <v>2025-04-26</v>
      </c>
      <c r="B24" s="179">
        <f ca="1">IF(ISNUMBER(MATCH(DATEVALUE($A24),'recurring1_based on steps'!B$1:B$400,0)),B$2,)</f>
        <v>0</v>
      </c>
      <c r="C24" s="179">
        <f ca="1">IF(ISNUMBER(MATCH(DATEVALUE($A24),'recurring1_based on steps'!C$1:C$400,0)),C$2,)</f>
        <v>0</v>
      </c>
      <c r="D24" s="179">
        <f ca="1">IF(ISNUMBER(MATCH(DATEVALUE($A24),'recurring1_based on steps'!D$1:D$400,0)),D$2,)</f>
        <v>0</v>
      </c>
      <c r="E24" s="179">
        <f ca="1">IF(ISNUMBER(MATCH(DATEVALUE($A24),'recurring1_based on steps'!E$1:E$400,0)),E$2,)</f>
        <v>0</v>
      </c>
      <c r="F24" s="179">
        <f ca="1">IF(ISNUMBER(MATCH(DATEVALUE($A24),'recurring1_based on steps'!F$1:F$400,0)),F$2,)</f>
        <v>0</v>
      </c>
      <c r="G24" s="179">
        <f ca="1">IF(ISNUMBER(MATCH(DATEVALUE($A24),'recurring1_based on steps'!G$1:G$400,0)),G$2,)</f>
        <v>0</v>
      </c>
      <c r="H24" s="179">
        <f ca="1">IF(ISNUMBER(MATCH(DATEVALUE($A24),'recurring1_based on steps'!H$1:H$400,0)),H$2,)</f>
        <v>0</v>
      </c>
      <c r="I24" s="179">
        <f ca="1">IF(ISNUMBER(MATCH(DATEVALUE($A24),'recurring1_based on steps'!I$1:I$400,0)),I$2,)</f>
        <v>0</v>
      </c>
      <c r="J24" s="179">
        <f ca="1">IF(ISNUMBER(MATCH(DATEVALUE($A24),'recurring1_based on steps'!J$1:J$400,0)),J$2,)</f>
        <v>0</v>
      </c>
      <c r="K24" s="179">
        <f ca="1">IF(ISNUMBER(MATCH(DATEVALUE($A24),'recurring1_based on steps'!K$1:K$400,0)),K$2,)</f>
        <v>0</v>
      </c>
      <c r="L24" s="179">
        <f ca="1">IF(ISNUMBER(MATCH(DATEVALUE($A24),'recurring1_based on steps'!L$1:L$400,0)),L$2,)</f>
        <v>0</v>
      </c>
      <c r="M24" s="179">
        <f ca="1">IF(ISNUMBER(MATCH(DATEVALUE($A24),'recurring1_based on steps'!M$1:M$400,0)),M$2,)</f>
        <v>0</v>
      </c>
      <c r="N24" s="179">
        <f ca="1">IF(ISNUMBER(MATCH(DATEVALUE($A24),'recurring1_based on steps'!N$1:N$400,0)),N$2,)</f>
        <v>0</v>
      </c>
      <c r="O24" s="179">
        <f ca="1">IF(ISNUMBER(MATCH(DATEVALUE($A24),'recurring1_based on steps'!O$1:O$400,0)),O$2,)</f>
        <v>0</v>
      </c>
      <c r="P24" s="179">
        <f ca="1">IF(ISNUMBER(MATCH(DATEVALUE($A24),'recurring1_based on steps'!P$1:P$400,0)),P$2,)</f>
        <v>0</v>
      </c>
      <c r="Q24" s="179">
        <f ca="1">IF(ISNUMBER(MATCH(DATEVALUE($A24),'recurring1_based on steps'!Q$1:Q$400,0)),Q$2,)</f>
        <v>0</v>
      </c>
      <c r="R24" s="179">
        <f ca="1">IF(ISNUMBER(MATCH(DATEVALUE($A24),'recurring1_based on steps'!R$1:R$400,0)),R$2,)</f>
        <v>0</v>
      </c>
      <c r="S24" s="179">
        <f ca="1">IF(ISNUMBER(MATCH(DATEVALUE($A24),'recurring1_based on steps'!S$1:S$400,0)),S$2,)</f>
        <v>0</v>
      </c>
      <c r="T24" s="179">
        <f ca="1">IF(ISNUMBER(MATCH(DATEVALUE($A24),'recurring1_based on steps'!T$1:T$400,0)),T$2,)</f>
        <v>0</v>
      </c>
      <c r="U24" s="179">
        <f ca="1">IF(ISNUMBER(MATCH(DATEVALUE($A24),'recurring1_based on steps'!U$1:U$400,0)),U$2,)</f>
        <v>0</v>
      </c>
      <c r="V24" s="179">
        <f ca="1">IF(ISNUMBER(MATCH(DATEVALUE($A24),'recurring1_based on steps'!V$1:V$400,0)),V$2,)</f>
        <v>0</v>
      </c>
      <c r="W24" s="179">
        <f ca="1">IF(ISNUMBER(MATCH(DATEVALUE($A24),'recurring1_based on steps'!W$1:W$400,0)),W$2,)</f>
        <v>0</v>
      </c>
      <c r="X24" s="179">
        <f ca="1">IF(ISNUMBER(MATCH(DATEVALUE($A24),'recurring1_based on steps'!X$1:X$400,0)),X$2,)</f>
        <v>0</v>
      </c>
      <c r="Y24" s="179">
        <f ca="1">IF(ISNUMBER(MATCH(DATEVALUE($A24),'recurring1_based on steps'!Y$1:Y$400,0)),Y$2,)</f>
        <v>0</v>
      </c>
      <c r="Z24" s="179">
        <f ca="1">IF(ISNUMBER(MATCH(DATEVALUE($A24),'recurring1_based on steps'!Z$1:Z$400,0)),Z$2,)</f>
        <v>0</v>
      </c>
      <c r="AA24" s="179">
        <f ca="1">IF(ISNUMBER(MATCH(DATEVALUE($A24),'recurring1_based on steps'!AA$1:AA$400,0)),AA$2,)</f>
        <v>0</v>
      </c>
      <c r="AB24" s="179">
        <f ca="1">IF(ISNUMBER(MATCH(DATEVALUE($A24),'recurring1_based on steps'!AB$1:AB$400,0)),AB$2,)</f>
        <v>0</v>
      </c>
      <c r="AC24" s="179">
        <f ca="1">IF(ISNUMBER(MATCH(DATEVALUE($A24),'recurring1_based on steps'!AC$1:AC$400,0)),AC$2,)</f>
        <v>0</v>
      </c>
      <c r="AD24" s="179">
        <f ca="1">IF(ISNUMBER(MATCH(DATEVALUE($A24),'recurring1_based on steps'!AD$1:AD$400,0)),AD$2,)</f>
        <v>0</v>
      </c>
      <c r="AE24" s="179">
        <f ca="1">IF(ISNUMBER(MATCH(DATEVALUE($A24),'recurring1_based on steps'!AE$1:AE$400,0)),AE$2,)</f>
        <v>0</v>
      </c>
      <c r="AF24" s="179">
        <f ca="1">IF(ISNUMBER(MATCH(DATEVALUE($A24),'recurring1_based on steps'!AF$1:AF$400,0)),AF$2,)</f>
        <v>0</v>
      </c>
      <c r="AG24" s="179">
        <f ca="1">IF(ISNUMBER(MATCH(DATEVALUE($A24),'recurring1_based on steps'!AG$1:AG$400,0)),AG$2,)</f>
        <v>0</v>
      </c>
      <c r="AH24" s="179">
        <f ca="1">IF(ISNUMBER(MATCH(DATEVALUE($A24),'recurring1_based on steps'!AH$1:AH$400,0)),AH$2,)</f>
        <v>0</v>
      </c>
      <c r="AI24" s="179">
        <f ca="1">IF(ISNUMBER(MATCH(DATEVALUE($A24),'recurring1_based on steps'!AI$1:AI$400,0)),AI$2,)</f>
        <v>0</v>
      </c>
      <c r="AJ24" s="179">
        <f ca="1">IF(ISNUMBER(MATCH(DATEVALUE($A24),'recurring1_based on steps'!AJ$1:AJ$400,0)),AJ$2,)</f>
        <v>0</v>
      </c>
      <c r="AK24" s="179">
        <f ca="1">IF(ISNUMBER(MATCH(DATEVALUE($A24),'recurring1_based on steps'!AK$1:AK$400,0)),AK$2,)</f>
        <v>0</v>
      </c>
      <c r="AL24" s="179">
        <f ca="1">IF(ISNUMBER(MATCH(DATEVALUE($A24),'recurring1_based on steps'!AL$1:AL$400,0)),AL$2,)</f>
        <v>0</v>
      </c>
      <c r="AM24" s="179">
        <f ca="1">IF(ISNUMBER(MATCH(DATEVALUE($A24),'recurring1_based on steps'!AM$1:AM$400,0)),AM$2,)</f>
        <v>0</v>
      </c>
      <c r="AN24" s="179">
        <f ca="1">IF(ISNUMBER(MATCH(DATEVALUE($A24),'recurring1_based on steps'!AN$1:AN$400,0)),AN$2,)</f>
        <v>0</v>
      </c>
      <c r="AO24" s="179">
        <f ca="1">IF(ISNUMBER(MATCH(DATEVALUE($A24),'recurring1_based on steps'!AO$1:AO$400,0)),AO$2,)</f>
        <v>0</v>
      </c>
      <c r="AP24" s="179">
        <f ca="1">IF(ISNUMBER(MATCH(DATEVALUE($A24),'recurring1_based on steps'!AP$1:AP$400,0)),AP$2,)</f>
        <v>0</v>
      </c>
      <c r="AQ24" s="179">
        <f ca="1">IF(ISNUMBER(MATCH(DATEVALUE($A24),'recurring1_based on steps'!AQ$1:AQ$400,0)),AQ$2,)</f>
        <v>0</v>
      </c>
      <c r="AR24" s="179">
        <f ca="1">IF(ISNUMBER(MATCH(DATEVALUE($A24),'recurring1_based on steps'!AR$1:AR$400,0)),AR$2,)</f>
        <v>0</v>
      </c>
      <c r="AS24" s="179">
        <f ca="1">IF(ISNUMBER(MATCH(DATEVALUE($A24),'recurring1_based on steps'!AS$1:AS$400,0)),AS$2,)</f>
        <v>0</v>
      </c>
      <c r="AT24" s="179">
        <f ca="1">IF(ISNUMBER(MATCH(DATEVALUE($A24),'recurring1_based on steps'!AT$1:AT$400,0)),AT$2,)</f>
        <v>0</v>
      </c>
      <c r="AU24" s="179">
        <f ca="1">IF(ISNUMBER(MATCH(DATEVALUE($A24),'recurring1_based on steps'!AU$1:AU$400,0)),AU$2,)</f>
        <v>0</v>
      </c>
      <c r="AV24" s="179">
        <f ca="1">IF(ISNUMBER(MATCH(DATEVALUE($A24),'recurring1_based on steps'!AV$1:AV$400,0)),AV$2,)</f>
        <v>0</v>
      </c>
      <c r="AW24" s="179">
        <f ca="1">IF(ISNUMBER(MATCH(DATEVALUE($A24),'recurring1_based on steps'!AW$1:AW$400,0)),AW$2,)</f>
        <v>0</v>
      </c>
      <c r="AX24" s="179">
        <f ca="1">IF(ISNUMBER(MATCH(DATEVALUE($A24),'recurring1_based on steps'!AX$1:AX$400,0)),AX$2,)</f>
        <v>0</v>
      </c>
      <c r="AY24" s="179">
        <f ca="1">IF(ISNUMBER(MATCH(DATEVALUE($A24),'recurring1_based on steps'!AY$1:AY$400,0)),AY$2,)</f>
        <v>0</v>
      </c>
    </row>
    <row r="25" spans="1:51" x14ac:dyDescent="0.2">
      <c r="A25" s="32" t="str">
        <f t="shared" ca="1" si="0"/>
        <v>2025-04-27</v>
      </c>
      <c r="B25" s="179">
        <f ca="1">IF(ISNUMBER(MATCH(DATEVALUE($A25),'recurring1_based on steps'!B$1:B$400,0)),B$2,)</f>
        <v>0</v>
      </c>
      <c r="C25" s="179">
        <f ca="1">IF(ISNUMBER(MATCH(DATEVALUE($A25),'recurring1_based on steps'!C$1:C$400,0)),C$2,)</f>
        <v>0</v>
      </c>
      <c r="D25" s="179">
        <f ca="1">IF(ISNUMBER(MATCH(DATEVALUE($A25),'recurring1_based on steps'!D$1:D$400,0)),D$2,)</f>
        <v>0</v>
      </c>
      <c r="E25" s="179">
        <f ca="1">IF(ISNUMBER(MATCH(DATEVALUE($A25),'recurring1_based on steps'!E$1:E$400,0)),E$2,)</f>
        <v>0</v>
      </c>
      <c r="F25" s="179">
        <f ca="1">IF(ISNUMBER(MATCH(DATEVALUE($A25),'recurring1_based on steps'!F$1:F$400,0)),F$2,)</f>
        <v>0</v>
      </c>
      <c r="G25" s="179">
        <f ca="1">IF(ISNUMBER(MATCH(DATEVALUE($A25),'recurring1_based on steps'!G$1:G$400,0)),G$2,)</f>
        <v>0</v>
      </c>
      <c r="H25" s="179">
        <f ca="1">IF(ISNUMBER(MATCH(DATEVALUE($A25),'recurring1_based on steps'!H$1:H$400,0)),H$2,)</f>
        <v>0</v>
      </c>
      <c r="I25" s="179">
        <f ca="1">IF(ISNUMBER(MATCH(DATEVALUE($A25),'recurring1_based on steps'!I$1:I$400,0)),I$2,)</f>
        <v>0</v>
      </c>
      <c r="J25" s="179">
        <f ca="1">IF(ISNUMBER(MATCH(DATEVALUE($A25),'recurring1_based on steps'!J$1:J$400,0)),J$2,)</f>
        <v>0</v>
      </c>
      <c r="K25" s="179">
        <f ca="1">IF(ISNUMBER(MATCH(DATEVALUE($A25),'recurring1_based on steps'!K$1:K$400,0)),K$2,)</f>
        <v>0</v>
      </c>
      <c r="L25" s="179">
        <f ca="1">IF(ISNUMBER(MATCH(DATEVALUE($A25),'recurring1_based on steps'!L$1:L$400,0)),L$2,)</f>
        <v>0</v>
      </c>
      <c r="M25" s="179">
        <f ca="1">IF(ISNUMBER(MATCH(DATEVALUE($A25),'recurring1_based on steps'!M$1:M$400,0)),M$2,)</f>
        <v>0</v>
      </c>
      <c r="N25" s="179">
        <f ca="1">IF(ISNUMBER(MATCH(DATEVALUE($A25),'recurring1_based on steps'!N$1:N$400,0)),N$2,)</f>
        <v>0</v>
      </c>
      <c r="O25" s="179">
        <f ca="1">IF(ISNUMBER(MATCH(DATEVALUE($A25),'recurring1_based on steps'!O$1:O$400,0)),O$2,)</f>
        <v>0</v>
      </c>
      <c r="P25" s="179">
        <f ca="1">IF(ISNUMBER(MATCH(DATEVALUE($A25),'recurring1_based on steps'!P$1:P$400,0)),P$2,)</f>
        <v>0</v>
      </c>
      <c r="Q25" s="179">
        <f ca="1">IF(ISNUMBER(MATCH(DATEVALUE($A25),'recurring1_based on steps'!Q$1:Q$400,0)),Q$2,)</f>
        <v>0</v>
      </c>
      <c r="R25" s="179">
        <f ca="1">IF(ISNUMBER(MATCH(DATEVALUE($A25),'recurring1_based on steps'!R$1:R$400,0)),R$2,)</f>
        <v>0</v>
      </c>
      <c r="S25" s="179">
        <f ca="1">IF(ISNUMBER(MATCH(DATEVALUE($A25),'recurring1_based on steps'!S$1:S$400,0)),S$2,)</f>
        <v>0</v>
      </c>
      <c r="T25" s="179">
        <f ca="1">IF(ISNUMBER(MATCH(DATEVALUE($A25),'recurring1_based on steps'!T$1:T$400,0)),T$2,)</f>
        <v>0</v>
      </c>
      <c r="U25" s="179">
        <f ca="1">IF(ISNUMBER(MATCH(DATEVALUE($A25),'recurring1_based on steps'!U$1:U$400,0)),U$2,)</f>
        <v>0</v>
      </c>
      <c r="V25" s="179">
        <f ca="1">IF(ISNUMBER(MATCH(DATEVALUE($A25),'recurring1_based on steps'!V$1:V$400,0)),V$2,)</f>
        <v>0</v>
      </c>
      <c r="W25" s="179">
        <f ca="1">IF(ISNUMBER(MATCH(DATEVALUE($A25),'recurring1_based on steps'!W$1:W$400,0)),W$2,)</f>
        <v>0</v>
      </c>
      <c r="X25" s="179">
        <f ca="1">IF(ISNUMBER(MATCH(DATEVALUE($A25),'recurring1_based on steps'!X$1:X$400,0)),X$2,)</f>
        <v>0</v>
      </c>
      <c r="Y25" s="179">
        <f ca="1">IF(ISNUMBER(MATCH(DATEVALUE($A25),'recurring1_based on steps'!Y$1:Y$400,0)),Y$2,)</f>
        <v>0</v>
      </c>
      <c r="Z25" s="179">
        <f ca="1">IF(ISNUMBER(MATCH(DATEVALUE($A25),'recurring1_based on steps'!Z$1:Z$400,0)),Z$2,)</f>
        <v>0</v>
      </c>
      <c r="AA25" s="179">
        <f ca="1">IF(ISNUMBER(MATCH(DATEVALUE($A25),'recurring1_based on steps'!AA$1:AA$400,0)),AA$2,)</f>
        <v>0</v>
      </c>
      <c r="AB25" s="179">
        <f ca="1">IF(ISNUMBER(MATCH(DATEVALUE($A25),'recurring1_based on steps'!AB$1:AB$400,0)),AB$2,)</f>
        <v>0</v>
      </c>
      <c r="AC25" s="179">
        <f ca="1">IF(ISNUMBER(MATCH(DATEVALUE($A25),'recurring1_based on steps'!AC$1:AC$400,0)),AC$2,)</f>
        <v>0</v>
      </c>
      <c r="AD25" s="179">
        <f ca="1">IF(ISNUMBER(MATCH(DATEVALUE($A25),'recurring1_based on steps'!AD$1:AD$400,0)),AD$2,)</f>
        <v>0</v>
      </c>
      <c r="AE25" s="179">
        <f ca="1">IF(ISNUMBER(MATCH(DATEVALUE($A25),'recurring1_based on steps'!AE$1:AE$400,0)),AE$2,)</f>
        <v>0</v>
      </c>
      <c r="AF25" s="179">
        <f ca="1">IF(ISNUMBER(MATCH(DATEVALUE($A25),'recurring1_based on steps'!AF$1:AF$400,0)),AF$2,)</f>
        <v>0</v>
      </c>
      <c r="AG25" s="179">
        <f ca="1">IF(ISNUMBER(MATCH(DATEVALUE($A25),'recurring1_based on steps'!AG$1:AG$400,0)),AG$2,)</f>
        <v>0</v>
      </c>
      <c r="AH25" s="179">
        <f ca="1">IF(ISNUMBER(MATCH(DATEVALUE($A25),'recurring1_based on steps'!AH$1:AH$400,0)),AH$2,)</f>
        <v>0</v>
      </c>
      <c r="AI25" s="179">
        <f ca="1">IF(ISNUMBER(MATCH(DATEVALUE($A25),'recurring1_based on steps'!AI$1:AI$400,0)),AI$2,)</f>
        <v>0</v>
      </c>
      <c r="AJ25" s="179">
        <f ca="1">IF(ISNUMBER(MATCH(DATEVALUE($A25),'recurring1_based on steps'!AJ$1:AJ$400,0)),AJ$2,)</f>
        <v>0</v>
      </c>
      <c r="AK25" s="179">
        <f ca="1">IF(ISNUMBER(MATCH(DATEVALUE($A25),'recurring1_based on steps'!AK$1:AK$400,0)),AK$2,)</f>
        <v>0</v>
      </c>
      <c r="AL25" s="179">
        <f ca="1">IF(ISNUMBER(MATCH(DATEVALUE($A25),'recurring1_based on steps'!AL$1:AL$400,0)),AL$2,)</f>
        <v>0</v>
      </c>
      <c r="AM25" s="179">
        <f ca="1">IF(ISNUMBER(MATCH(DATEVALUE($A25),'recurring1_based on steps'!AM$1:AM$400,0)),AM$2,)</f>
        <v>0</v>
      </c>
      <c r="AN25" s="179">
        <f ca="1">IF(ISNUMBER(MATCH(DATEVALUE($A25),'recurring1_based on steps'!AN$1:AN$400,0)),AN$2,)</f>
        <v>0</v>
      </c>
      <c r="AO25" s="179">
        <f ca="1">IF(ISNUMBER(MATCH(DATEVALUE($A25),'recurring1_based on steps'!AO$1:AO$400,0)),AO$2,)</f>
        <v>0</v>
      </c>
      <c r="AP25" s="179">
        <f ca="1">IF(ISNUMBER(MATCH(DATEVALUE($A25),'recurring1_based on steps'!AP$1:AP$400,0)),AP$2,)</f>
        <v>0</v>
      </c>
      <c r="AQ25" s="179">
        <f ca="1">IF(ISNUMBER(MATCH(DATEVALUE($A25),'recurring1_based on steps'!AQ$1:AQ$400,0)),AQ$2,)</f>
        <v>0</v>
      </c>
      <c r="AR25" s="179">
        <f ca="1">IF(ISNUMBER(MATCH(DATEVALUE($A25),'recurring1_based on steps'!AR$1:AR$400,0)),AR$2,)</f>
        <v>0</v>
      </c>
      <c r="AS25" s="179">
        <f ca="1">IF(ISNUMBER(MATCH(DATEVALUE($A25),'recurring1_based on steps'!AS$1:AS$400,0)),AS$2,)</f>
        <v>0</v>
      </c>
      <c r="AT25" s="179">
        <f ca="1">IF(ISNUMBER(MATCH(DATEVALUE($A25),'recurring1_based on steps'!AT$1:AT$400,0)),AT$2,)</f>
        <v>0</v>
      </c>
      <c r="AU25" s="179">
        <f ca="1">IF(ISNUMBER(MATCH(DATEVALUE($A25),'recurring1_based on steps'!AU$1:AU$400,0)),AU$2,)</f>
        <v>0</v>
      </c>
      <c r="AV25" s="179">
        <f ca="1">IF(ISNUMBER(MATCH(DATEVALUE($A25),'recurring1_based on steps'!AV$1:AV$400,0)),AV$2,)</f>
        <v>0</v>
      </c>
      <c r="AW25" s="179">
        <f ca="1">IF(ISNUMBER(MATCH(DATEVALUE($A25),'recurring1_based on steps'!AW$1:AW$400,0)),AW$2,)</f>
        <v>0</v>
      </c>
      <c r="AX25" s="179">
        <f ca="1">IF(ISNUMBER(MATCH(DATEVALUE($A25),'recurring1_based on steps'!AX$1:AX$400,0)),AX$2,)</f>
        <v>0</v>
      </c>
      <c r="AY25" s="179">
        <f ca="1">IF(ISNUMBER(MATCH(DATEVALUE($A25),'recurring1_based on steps'!AY$1:AY$400,0)),AY$2,)</f>
        <v>0</v>
      </c>
    </row>
    <row r="26" spans="1:51" x14ac:dyDescent="0.2">
      <c r="A26" s="32" t="str">
        <f t="shared" ca="1" si="0"/>
        <v>2025-04-28</v>
      </c>
      <c r="B26" s="179">
        <f ca="1">IF(ISNUMBER(MATCH(DATEVALUE($A26),'recurring1_based on steps'!B$1:B$400,0)),B$2,)</f>
        <v>0</v>
      </c>
      <c r="C26" s="179">
        <f ca="1">IF(ISNUMBER(MATCH(DATEVALUE($A26),'recurring1_based on steps'!C$1:C$400,0)),C$2,)</f>
        <v>0</v>
      </c>
      <c r="D26" s="179">
        <f ca="1">IF(ISNUMBER(MATCH(DATEVALUE($A26),'recurring1_based on steps'!D$1:D$400,0)),D$2,)</f>
        <v>0</v>
      </c>
      <c r="E26" s="179">
        <f ca="1">IF(ISNUMBER(MATCH(DATEVALUE($A26),'recurring1_based on steps'!E$1:E$400,0)),E$2,)</f>
        <v>0</v>
      </c>
      <c r="F26" s="179">
        <f ca="1">IF(ISNUMBER(MATCH(DATEVALUE($A26),'recurring1_based on steps'!F$1:F$400,0)),F$2,)</f>
        <v>0</v>
      </c>
      <c r="G26" s="179">
        <f ca="1">IF(ISNUMBER(MATCH(DATEVALUE($A26),'recurring1_based on steps'!G$1:G$400,0)),G$2,)</f>
        <v>0</v>
      </c>
      <c r="H26" s="179">
        <f ca="1">IF(ISNUMBER(MATCH(DATEVALUE($A26),'recurring1_based on steps'!H$1:H$400,0)),H$2,)</f>
        <v>0</v>
      </c>
      <c r="I26" s="179">
        <f ca="1">IF(ISNUMBER(MATCH(DATEVALUE($A26),'recurring1_based on steps'!I$1:I$400,0)),I$2,)</f>
        <v>0</v>
      </c>
      <c r="J26" s="179">
        <f ca="1">IF(ISNUMBER(MATCH(DATEVALUE($A26),'recurring1_based on steps'!J$1:J$400,0)),J$2,)</f>
        <v>0</v>
      </c>
      <c r="K26" s="179">
        <f ca="1">IF(ISNUMBER(MATCH(DATEVALUE($A26),'recurring1_based on steps'!K$1:K$400,0)),K$2,)</f>
        <v>0</v>
      </c>
      <c r="L26" s="179">
        <f ca="1">IF(ISNUMBER(MATCH(DATEVALUE($A26),'recurring1_based on steps'!L$1:L$400,0)),L$2,)</f>
        <v>0</v>
      </c>
      <c r="M26" s="179">
        <f ca="1">IF(ISNUMBER(MATCH(DATEVALUE($A26),'recurring1_based on steps'!M$1:M$400,0)),M$2,)</f>
        <v>0</v>
      </c>
      <c r="N26" s="179">
        <f ca="1">IF(ISNUMBER(MATCH(DATEVALUE($A26),'recurring1_based on steps'!N$1:N$400,0)),N$2,)</f>
        <v>0</v>
      </c>
      <c r="O26" s="179">
        <f ca="1">IF(ISNUMBER(MATCH(DATEVALUE($A26),'recurring1_based on steps'!O$1:O$400,0)),O$2,)</f>
        <v>0</v>
      </c>
      <c r="P26" s="179">
        <f ca="1">IF(ISNUMBER(MATCH(DATEVALUE($A26),'recurring1_based on steps'!P$1:P$400,0)),P$2,)</f>
        <v>0</v>
      </c>
      <c r="Q26" s="179">
        <f ca="1">IF(ISNUMBER(MATCH(DATEVALUE($A26),'recurring1_based on steps'!Q$1:Q$400,0)),Q$2,)</f>
        <v>0</v>
      </c>
      <c r="R26" s="179">
        <f ca="1">IF(ISNUMBER(MATCH(DATEVALUE($A26),'recurring1_based on steps'!R$1:R$400,0)),R$2,)</f>
        <v>0</v>
      </c>
      <c r="S26" s="179">
        <f ca="1">IF(ISNUMBER(MATCH(DATEVALUE($A26),'recurring1_based on steps'!S$1:S$400,0)),S$2,)</f>
        <v>0</v>
      </c>
      <c r="T26" s="179">
        <f ca="1">IF(ISNUMBER(MATCH(DATEVALUE($A26),'recurring1_based on steps'!T$1:T$400,0)),T$2,)</f>
        <v>0</v>
      </c>
      <c r="U26" s="179">
        <f ca="1">IF(ISNUMBER(MATCH(DATEVALUE($A26),'recurring1_based on steps'!U$1:U$400,0)),U$2,)</f>
        <v>0</v>
      </c>
      <c r="V26" s="179">
        <f ca="1">IF(ISNUMBER(MATCH(DATEVALUE($A26),'recurring1_based on steps'!V$1:V$400,0)),V$2,)</f>
        <v>0</v>
      </c>
      <c r="W26" s="179">
        <f ca="1">IF(ISNUMBER(MATCH(DATEVALUE($A26),'recurring1_based on steps'!W$1:W$400,0)),W$2,)</f>
        <v>0</v>
      </c>
      <c r="X26" s="179">
        <f ca="1">IF(ISNUMBER(MATCH(DATEVALUE($A26),'recurring1_based on steps'!X$1:X$400,0)),X$2,)</f>
        <v>0</v>
      </c>
      <c r="Y26" s="179">
        <f ca="1">IF(ISNUMBER(MATCH(DATEVALUE($A26),'recurring1_based on steps'!Y$1:Y$400,0)),Y$2,)</f>
        <v>0</v>
      </c>
      <c r="Z26" s="179">
        <f ca="1">IF(ISNUMBER(MATCH(DATEVALUE($A26),'recurring1_based on steps'!Z$1:Z$400,0)),Z$2,)</f>
        <v>0</v>
      </c>
      <c r="AA26" s="179">
        <f ca="1">IF(ISNUMBER(MATCH(DATEVALUE($A26),'recurring1_based on steps'!AA$1:AA$400,0)),AA$2,)</f>
        <v>0</v>
      </c>
      <c r="AB26" s="179">
        <f ca="1">IF(ISNUMBER(MATCH(DATEVALUE($A26),'recurring1_based on steps'!AB$1:AB$400,0)),AB$2,)</f>
        <v>0</v>
      </c>
      <c r="AC26" s="179">
        <f ca="1">IF(ISNUMBER(MATCH(DATEVALUE($A26),'recurring1_based on steps'!AC$1:AC$400,0)),AC$2,)</f>
        <v>0</v>
      </c>
      <c r="AD26" s="179">
        <f ca="1">IF(ISNUMBER(MATCH(DATEVALUE($A26),'recurring1_based on steps'!AD$1:AD$400,0)),AD$2,)</f>
        <v>0</v>
      </c>
      <c r="AE26" s="179">
        <f ca="1">IF(ISNUMBER(MATCH(DATEVALUE($A26),'recurring1_based on steps'!AE$1:AE$400,0)),AE$2,)</f>
        <v>0</v>
      </c>
      <c r="AF26" s="179">
        <f ca="1">IF(ISNUMBER(MATCH(DATEVALUE($A26),'recurring1_based on steps'!AF$1:AF$400,0)),AF$2,)</f>
        <v>0</v>
      </c>
      <c r="AG26" s="179">
        <f ca="1">IF(ISNUMBER(MATCH(DATEVALUE($A26),'recurring1_based on steps'!AG$1:AG$400,0)),AG$2,)</f>
        <v>0</v>
      </c>
      <c r="AH26" s="179">
        <f ca="1">IF(ISNUMBER(MATCH(DATEVALUE($A26),'recurring1_based on steps'!AH$1:AH$400,0)),AH$2,)</f>
        <v>0</v>
      </c>
      <c r="AI26" s="179">
        <f ca="1">IF(ISNUMBER(MATCH(DATEVALUE($A26),'recurring1_based on steps'!AI$1:AI$400,0)),AI$2,)</f>
        <v>0</v>
      </c>
      <c r="AJ26" s="179">
        <f ca="1">IF(ISNUMBER(MATCH(DATEVALUE($A26),'recurring1_based on steps'!AJ$1:AJ$400,0)),AJ$2,)</f>
        <v>0</v>
      </c>
      <c r="AK26" s="179">
        <f ca="1">IF(ISNUMBER(MATCH(DATEVALUE($A26),'recurring1_based on steps'!AK$1:AK$400,0)),AK$2,)</f>
        <v>0</v>
      </c>
      <c r="AL26" s="179">
        <f ca="1">IF(ISNUMBER(MATCH(DATEVALUE($A26),'recurring1_based on steps'!AL$1:AL$400,0)),AL$2,)</f>
        <v>0</v>
      </c>
      <c r="AM26" s="179">
        <f ca="1">IF(ISNUMBER(MATCH(DATEVALUE($A26),'recurring1_based on steps'!AM$1:AM$400,0)),AM$2,)</f>
        <v>0</v>
      </c>
      <c r="AN26" s="179">
        <f ca="1">IF(ISNUMBER(MATCH(DATEVALUE($A26),'recurring1_based on steps'!AN$1:AN$400,0)),AN$2,)</f>
        <v>0</v>
      </c>
      <c r="AO26" s="179">
        <f ca="1">IF(ISNUMBER(MATCH(DATEVALUE($A26),'recurring1_based on steps'!AO$1:AO$400,0)),AO$2,)</f>
        <v>0</v>
      </c>
      <c r="AP26" s="179">
        <f ca="1">IF(ISNUMBER(MATCH(DATEVALUE($A26),'recurring1_based on steps'!AP$1:AP$400,0)),AP$2,)</f>
        <v>0</v>
      </c>
      <c r="AQ26" s="179">
        <f ca="1">IF(ISNUMBER(MATCH(DATEVALUE($A26),'recurring1_based on steps'!AQ$1:AQ$400,0)),AQ$2,)</f>
        <v>0</v>
      </c>
      <c r="AR26" s="179">
        <f ca="1">IF(ISNUMBER(MATCH(DATEVALUE($A26),'recurring1_based on steps'!AR$1:AR$400,0)),AR$2,)</f>
        <v>0</v>
      </c>
      <c r="AS26" s="179">
        <f ca="1">IF(ISNUMBER(MATCH(DATEVALUE($A26),'recurring1_based on steps'!AS$1:AS$400,0)),AS$2,)</f>
        <v>0</v>
      </c>
      <c r="AT26" s="179">
        <f ca="1">IF(ISNUMBER(MATCH(DATEVALUE($A26),'recurring1_based on steps'!AT$1:AT$400,0)),AT$2,)</f>
        <v>0</v>
      </c>
      <c r="AU26" s="179">
        <f ca="1">IF(ISNUMBER(MATCH(DATEVALUE($A26),'recurring1_based on steps'!AU$1:AU$400,0)),AU$2,)</f>
        <v>0</v>
      </c>
      <c r="AV26" s="179">
        <f ca="1">IF(ISNUMBER(MATCH(DATEVALUE($A26),'recurring1_based on steps'!AV$1:AV$400,0)),AV$2,)</f>
        <v>0</v>
      </c>
      <c r="AW26" s="179">
        <f ca="1">IF(ISNUMBER(MATCH(DATEVALUE($A26),'recurring1_based on steps'!AW$1:AW$400,0)),AW$2,)</f>
        <v>0</v>
      </c>
      <c r="AX26" s="179">
        <f ca="1">IF(ISNUMBER(MATCH(DATEVALUE($A26),'recurring1_based on steps'!AX$1:AX$400,0)),AX$2,)</f>
        <v>0</v>
      </c>
      <c r="AY26" s="179">
        <f ca="1">IF(ISNUMBER(MATCH(DATEVALUE($A26),'recurring1_based on steps'!AY$1:AY$400,0)),AY$2,)</f>
        <v>0</v>
      </c>
    </row>
    <row r="27" spans="1:51" x14ac:dyDescent="0.2">
      <c r="A27" s="32" t="str">
        <f t="shared" ca="1" si="0"/>
        <v>2025-04-29</v>
      </c>
      <c r="B27" s="179">
        <f ca="1">IF(ISNUMBER(MATCH(DATEVALUE($A27),'recurring1_based on steps'!B$1:B$400,0)),B$2,)</f>
        <v>0</v>
      </c>
      <c r="C27" s="179">
        <f ca="1">IF(ISNUMBER(MATCH(DATEVALUE($A27),'recurring1_based on steps'!C$1:C$400,0)),C$2,)</f>
        <v>0</v>
      </c>
      <c r="D27" s="179">
        <f ca="1">IF(ISNUMBER(MATCH(DATEVALUE($A27),'recurring1_based on steps'!D$1:D$400,0)),D$2,)</f>
        <v>0</v>
      </c>
      <c r="E27" s="179">
        <f ca="1">IF(ISNUMBER(MATCH(DATEVALUE($A27),'recurring1_based on steps'!E$1:E$400,0)),E$2,)</f>
        <v>0</v>
      </c>
      <c r="F27" s="179">
        <f ca="1">IF(ISNUMBER(MATCH(DATEVALUE($A27),'recurring1_based on steps'!F$1:F$400,0)),F$2,)</f>
        <v>0</v>
      </c>
      <c r="G27" s="179">
        <f ca="1">IF(ISNUMBER(MATCH(DATEVALUE($A27),'recurring1_based on steps'!G$1:G$400,0)),G$2,)</f>
        <v>0</v>
      </c>
      <c r="H27" s="179">
        <f ca="1">IF(ISNUMBER(MATCH(DATEVALUE($A27),'recurring1_based on steps'!H$1:H$400,0)),H$2,)</f>
        <v>0</v>
      </c>
      <c r="I27" s="179">
        <f ca="1">IF(ISNUMBER(MATCH(DATEVALUE($A27),'recurring1_based on steps'!I$1:I$400,0)),I$2,)</f>
        <v>0</v>
      </c>
      <c r="J27" s="179">
        <f ca="1">IF(ISNUMBER(MATCH(DATEVALUE($A27),'recurring1_based on steps'!J$1:J$400,0)),J$2,)</f>
        <v>0</v>
      </c>
      <c r="K27" s="179">
        <f ca="1">IF(ISNUMBER(MATCH(DATEVALUE($A27),'recurring1_based on steps'!K$1:K$400,0)),K$2,)</f>
        <v>0</v>
      </c>
      <c r="L27" s="179">
        <f ca="1">IF(ISNUMBER(MATCH(DATEVALUE($A27),'recurring1_based on steps'!L$1:L$400,0)),L$2,)</f>
        <v>0</v>
      </c>
      <c r="M27" s="179">
        <f ca="1">IF(ISNUMBER(MATCH(DATEVALUE($A27),'recurring1_based on steps'!M$1:M$400,0)),M$2,)</f>
        <v>0</v>
      </c>
      <c r="N27" s="179">
        <f ca="1">IF(ISNUMBER(MATCH(DATEVALUE($A27),'recurring1_based on steps'!N$1:N$400,0)),N$2,)</f>
        <v>0</v>
      </c>
      <c r="O27" s="179">
        <f ca="1">IF(ISNUMBER(MATCH(DATEVALUE($A27),'recurring1_based on steps'!O$1:O$400,0)),O$2,)</f>
        <v>0</v>
      </c>
      <c r="P27" s="179">
        <f ca="1">IF(ISNUMBER(MATCH(DATEVALUE($A27),'recurring1_based on steps'!P$1:P$400,0)),P$2,)</f>
        <v>0</v>
      </c>
      <c r="Q27" s="179">
        <f ca="1">IF(ISNUMBER(MATCH(DATEVALUE($A27),'recurring1_based on steps'!Q$1:Q$400,0)),Q$2,)</f>
        <v>0</v>
      </c>
      <c r="R27" s="179">
        <f ca="1">IF(ISNUMBER(MATCH(DATEVALUE($A27),'recurring1_based on steps'!R$1:R$400,0)),R$2,)</f>
        <v>0</v>
      </c>
      <c r="S27" s="179">
        <f ca="1">IF(ISNUMBER(MATCH(DATEVALUE($A27),'recurring1_based on steps'!S$1:S$400,0)),S$2,)</f>
        <v>0</v>
      </c>
      <c r="T27" s="179">
        <f ca="1">IF(ISNUMBER(MATCH(DATEVALUE($A27),'recurring1_based on steps'!T$1:T$400,0)),T$2,)</f>
        <v>0</v>
      </c>
      <c r="U27" s="179">
        <f ca="1">IF(ISNUMBER(MATCH(DATEVALUE($A27),'recurring1_based on steps'!U$1:U$400,0)),U$2,)</f>
        <v>0</v>
      </c>
      <c r="V27" s="179">
        <f ca="1">IF(ISNUMBER(MATCH(DATEVALUE($A27),'recurring1_based on steps'!V$1:V$400,0)),V$2,)</f>
        <v>0</v>
      </c>
      <c r="W27" s="179">
        <f ca="1">IF(ISNUMBER(MATCH(DATEVALUE($A27),'recurring1_based on steps'!W$1:W$400,0)),W$2,)</f>
        <v>0</v>
      </c>
      <c r="X27" s="179">
        <f ca="1">IF(ISNUMBER(MATCH(DATEVALUE($A27),'recurring1_based on steps'!X$1:X$400,0)),X$2,)</f>
        <v>0</v>
      </c>
      <c r="Y27" s="179">
        <f ca="1">IF(ISNUMBER(MATCH(DATEVALUE($A27),'recurring1_based on steps'!Y$1:Y$400,0)),Y$2,)</f>
        <v>0</v>
      </c>
      <c r="Z27" s="179">
        <f ca="1">IF(ISNUMBER(MATCH(DATEVALUE($A27),'recurring1_based on steps'!Z$1:Z$400,0)),Z$2,)</f>
        <v>0</v>
      </c>
      <c r="AA27" s="179">
        <f ca="1">IF(ISNUMBER(MATCH(DATEVALUE($A27),'recurring1_based on steps'!AA$1:AA$400,0)),AA$2,)</f>
        <v>0</v>
      </c>
      <c r="AB27" s="179">
        <f ca="1">IF(ISNUMBER(MATCH(DATEVALUE($A27),'recurring1_based on steps'!AB$1:AB$400,0)),AB$2,)</f>
        <v>0</v>
      </c>
      <c r="AC27" s="179">
        <f ca="1">IF(ISNUMBER(MATCH(DATEVALUE($A27),'recurring1_based on steps'!AC$1:AC$400,0)),AC$2,)</f>
        <v>0</v>
      </c>
      <c r="AD27" s="179">
        <f ca="1">IF(ISNUMBER(MATCH(DATEVALUE($A27),'recurring1_based on steps'!AD$1:AD$400,0)),AD$2,)</f>
        <v>0</v>
      </c>
      <c r="AE27" s="179">
        <f ca="1">IF(ISNUMBER(MATCH(DATEVALUE($A27),'recurring1_based on steps'!AE$1:AE$400,0)),AE$2,)</f>
        <v>0</v>
      </c>
      <c r="AF27" s="179">
        <f ca="1">IF(ISNUMBER(MATCH(DATEVALUE($A27),'recurring1_based on steps'!AF$1:AF$400,0)),AF$2,)</f>
        <v>0</v>
      </c>
      <c r="AG27" s="179">
        <f ca="1">IF(ISNUMBER(MATCH(DATEVALUE($A27),'recurring1_based on steps'!AG$1:AG$400,0)),AG$2,)</f>
        <v>0</v>
      </c>
      <c r="AH27" s="179">
        <f ca="1">IF(ISNUMBER(MATCH(DATEVALUE($A27),'recurring1_based on steps'!AH$1:AH$400,0)),AH$2,)</f>
        <v>0</v>
      </c>
      <c r="AI27" s="179">
        <f ca="1">IF(ISNUMBER(MATCH(DATEVALUE($A27),'recurring1_based on steps'!AI$1:AI$400,0)),AI$2,)</f>
        <v>0</v>
      </c>
      <c r="AJ27" s="179">
        <f ca="1">IF(ISNUMBER(MATCH(DATEVALUE($A27),'recurring1_based on steps'!AJ$1:AJ$400,0)),AJ$2,)</f>
        <v>0</v>
      </c>
      <c r="AK27" s="179">
        <f ca="1">IF(ISNUMBER(MATCH(DATEVALUE($A27),'recurring1_based on steps'!AK$1:AK$400,0)),AK$2,)</f>
        <v>0</v>
      </c>
      <c r="AL27" s="179">
        <f ca="1">IF(ISNUMBER(MATCH(DATEVALUE($A27),'recurring1_based on steps'!AL$1:AL$400,0)),AL$2,)</f>
        <v>0</v>
      </c>
      <c r="AM27" s="179">
        <f ca="1">IF(ISNUMBER(MATCH(DATEVALUE($A27),'recurring1_based on steps'!AM$1:AM$400,0)),AM$2,)</f>
        <v>0</v>
      </c>
      <c r="AN27" s="179">
        <f ca="1">IF(ISNUMBER(MATCH(DATEVALUE($A27),'recurring1_based on steps'!AN$1:AN$400,0)),AN$2,)</f>
        <v>0</v>
      </c>
      <c r="AO27" s="179">
        <f ca="1">IF(ISNUMBER(MATCH(DATEVALUE($A27),'recurring1_based on steps'!AO$1:AO$400,0)),AO$2,)</f>
        <v>0</v>
      </c>
      <c r="AP27" s="179">
        <f ca="1">IF(ISNUMBER(MATCH(DATEVALUE($A27),'recurring1_based on steps'!AP$1:AP$400,0)),AP$2,)</f>
        <v>0</v>
      </c>
      <c r="AQ27" s="179">
        <f ca="1">IF(ISNUMBER(MATCH(DATEVALUE($A27),'recurring1_based on steps'!AQ$1:AQ$400,0)),AQ$2,)</f>
        <v>0</v>
      </c>
      <c r="AR27" s="179">
        <f ca="1">IF(ISNUMBER(MATCH(DATEVALUE($A27),'recurring1_based on steps'!AR$1:AR$400,0)),AR$2,)</f>
        <v>0</v>
      </c>
      <c r="AS27" s="179">
        <f ca="1">IF(ISNUMBER(MATCH(DATEVALUE($A27),'recurring1_based on steps'!AS$1:AS$400,0)),AS$2,)</f>
        <v>0</v>
      </c>
      <c r="AT27" s="179">
        <f ca="1">IF(ISNUMBER(MATCH(DATEVALUE($A27),'recurring1_based on steps'!AT$1:AT$400,0)),AT$2,)</f>
        <v>0</v>
      </c>
      <c r="AU27" s="179">
        <f ca="1">IF(ISNUMBER(MATCH(DATEVALUE($A27),'recurring1_based on steps'!AU$1:AU$400,0)),AU$2,)</f>
        <v>0</v>
      </c>
      <c r="AV27" s="179">
        <f ca="1">IF(ISNUMBER(MATCH(DATEVALUE($A27),'recurring1_based on steps'!AV$1:AV$400,0)),AV$2,)</f>
        <v>0</v>
      </c>
      <c r="AW27" s="179">
        <f ca="1">IF(ISNUMBER(MATCH(DATEVALUE($A27),'recurring1_based on steps'!AW$1:AW$400,0)),AW$2,)</f>
        <v>0</v>
      </c>
      <c r="AX27" s="179">
        <f ca="1">IF(ISNUMBER(MATCH(DATEVALUE($A27),'recurring1_based on steps'!AX$1:AX$400,0)),AX$2,)</f>
        <v>0</v>
      </c>
      <c r="AY27" s="179">
        <f ca="1">IF(ISNUMBER(MATCH(DATEVALUE($A27),'recurring1_based on steps'!AY$1:AY$400,0)),AY$2,)</f>
        <v>0</v>
      </c>
    </row>
    <row r="28" spans="1:51" x14ac:dyDescent="0.2">
      <c r="A28" s="32" t="str">
        <f t="shared" ca="1" si="0"/>
        <v>2025-04-30</v>
      </c>
      <c r="B28" s="179">
        <f ca="1">IF(ISNUMBER(MATCH(DATEVALUE($A28),'recurring1_based on steps'!B$1:B$400,0)),B$2,)</f>
        <v>0</v>
      </c>
      <c r="C28" s="179">
        <f ca="1">IF(ISNUMBER(MATCH(DATEVALUE($A28),'recurring1_based on steps'!C$1:C$400,0)),C$2,)</f>
        <v>0</v>
      </c>
      <c r="D28" s="179">
        <f ca="1">IF(ISNUMBER(MATCH(DATEVALUE($A28),'recurring1_based on steps'!D$1:D$400,0)),D$2,)</f>
        <v>0</v>
      </c>
      <c r="E28" s="179">
        <f ca="1">IF(ISNUMBER(MATCH(DATEVALUE($A28),'recurring1_based on steps'!E$1:E$400,0)),E$2,)</f>
        <v>0</v>
      </c>
      <c r="F28" s="179">
        <f ca="1">IF(ISNUMBER(MATCH(DATEVALUE($A28),'recurring1_based on steps'!F$1:F$400,0)),F$2,)</f>
        <v>0</v>
      </c>
      <c r="G28" s="179">
        <f ca="1">IF(ISNUMBER(MATCH(DATEVALUE($A28),'recurring1_based on steps'!G$1:G$400,0)),G$2,)</f>
        <v>0</v>
      </c>
      <c r="H28" s="179">
        <f ca="1">IF(ISNUMBER(MATCH(DATEVALUE($A28),'recurring1_based on steps'!H$1:H$400,0)),H$2,)</f>
        <v>0</v>
      </c>
      <c r="I28" s="179">
        <f ca="1">IF(ISNUMBER(MATCH(DATEVALUE($A28),'recurring1_based on steps'!I$1:I$400,0)),I$2,)</f>
        <v>0</v>
      </c>
      <c r="J28" s="179">
        <f ca="1">IF(ISNUMBER(MATCH(DATEVALUE($A28),'recurring1_based on steps'!J$1:J$400,0)),J$2,)</f>
        <v>0</v>
      </c>
      <c r="K28" s="179">
        <f ca="1">IF(ISNUMBER(MATCH(DATEVALUE($A28),'recurring1_based on steps'!K$1:K$400,0)),K$2,)</f>
        <v>0</v>
      </c>
      <c r="L28" s="179">
        <f ca="1">IF(ISNUMBER(MATCH(DATEVALUE($A28),'recurring1_based on steps'!L$1:L$400,0)),L$2,)</f>
        <v>0</v>
      </c>
      <c r="M28" s="179">
        <f ca="1">IF(ISNUMBER(MATCH(DATEVALUE($A28),'recurring1_based on steps'!M$1:M$400,0)),M$2,)</f>
        <v>0</v>
      </c>
      <c r="N28" s="179">
        <f ca="1">IF(ISNUMBER(MATCH(DATEVALUE($A28),'recurring1_based on steps'!N$1:N$400,0)),N$2,)</f>
        <v>0</v>
      </c>
      <c r="O28" s="179">
        <f ca="1">IF(ISNUMBER(MATCH(DATEVALUE($A28),'recurring1_based on steps'!O$1:O$400,0)),O$2,)</f>
        <v>0</v>
      </c>
      <c r="P28" s="179">
        <f ca="1">IF(ISNUMBER(MATCH(DATEVALUE($A28),'recurring1_based on steps'!P$1:P$400,0)),P$2,)</f>
        <v>0</v>
      </c>
      <c r="Q28" s="179">
        <f ca="1">IF(ISNUMBER(MATCH(DATEVALUE($A28),'recurring1_based on steps'!Q$1:Q$400,0)),Q$2,)</f>
        <v>0</v>
      </c>
      <c r="R28" s="179">
        <f ca="1">IF(ISNUMBER(MATCH(DATEVALUE($A28),'recurring1_based on steps'!R$1:R$400,0)),R$2,)</f>
        <v>0</v>
      </c>
      <c r="S28" s="179">
        <f ca="1">IF(ISNUMBER(MATCH(DATEVALUE($A28),'recurring1_based on steps'!S$1:S$400,0)),S$2,)</f>
        <v>0</v>
      </c>
      <c r="T28" s="179">
        <f ca="1">IF(ISNUMBER(MATCH(DATEVALUE($A28),'recurring1_based on steps'!T$1:T$400,0)),T$2,)</f>
        <v>0</v>
      </c>
      <c r="U28" s="179">
        <f ca="1">IF(ISNUMBER(MATCH(DATEVALUE($A28),'recurring1_based on steps'!U$1:U$400,0)),U$2,)</f>
        <v>0</v>
      </c>
      <c r="V28" s="179">
        <f ca="1">IF(ISNUMBER(MATCH(DATEVALUE($A28),'recurring1_based on steps'!V$1:V$400,0)),V$2,)</f>
        <v>0</v>
      </c>
      <c r="W28" s="179">
        <f ca="1">IF(ISNUMBER(MATCH(DATEVALUE($A28),'recurring1_based on steps'!W$1:W$400,0)),W$2,)</f>
        <v>0</v>
      </c>
      <c r="X28" s="179">
        <f ca="1">IF(ISNUMBER(MATCH(DATEVALUE($A28),'recurring1_based on steps'!X$1:X$400,0)),X$2,)</f>
        <v>0</v>
      </c>
      <c r="Y28" s="179">
        <f ca="1">IF(ISNUMBER(MATCH(DATEVALUE($A28),'recurring1_based on steps'!Y$1:Y$400,0)),Y$2,)</f>
        <v>0</v>
      </c>
      <c r="Z28" s="179">
        <f ca="1">IF(ISNUMBER(MATCH(DATEVALUE($A28),'recurring1_based on steps'!Z$1:Z$400,0)),Z$2,)</f>
        <v>0</v>
      </c>
      <c r="AA28" s="179">
        <f ca="1">IF(ISNUMBER(MATCH(DATEVALUE($A28),'recurring1_based on steps'!AA$1:AA$400,0)),AA$2,)</f>
        <v>0</v>
      </c>
      <c r="AB28" s="179">
        <f ca="1">IF(ISNUMBER(MATCH(DATEVALUE($A28),'recurring1_based on steps'!AB$1:AB$400,0)),AB$2,)</f>
        <v>0</v>
      </c>
      <c r="AC28" s="179">
        <f ca="1">IF(ISNUMBER(MATCH(DATEVALUE($A28),'recurring1_based on steps'!AC$1:AC$400,0)),AC$2,)</f>
        <v>0</v>
      </c>
      <c r="AD28" s="179">
        <f ca="1">IF(ISNUMBER(MATCH(DATEVALUE($A28),'recurring1_based on steps'!AD$1:AD$400,0)),AD$2,)</f>
        <v>0</v>
      </c>
      <c r="AE28" s="179">
        <f ca="1">IF(ISNUMBER(MATCH(DATEVALUE($A28),'recurring1_based on steps'!AE$1:AE$400,0)),AE$2,)</f>
        <v>0</v>
      </c>
      <c r="AF28" s="179">
        <f ca="1">IF(ISNUMBER(MATCH(DATEVALUE($A28),'recurring1_based on steps'!AF$1:AF$400,0)),AF$2,)</f>
        <v>0</v>
      </c>
      <c r="AG28" s="179">
        <f ca="1">IF(ISNUMBER(MATCH(DATEVALUE($A28),'recurring1_based on steps'!AG$1:AG$400,0)),AG$2,)</f>
        <v>0</v>
      </c>
      <c r="AH28" s="179">
        <f ca="1">IF(ISNUMBER(MATCH(DATEVALUE($A28),'recurring1_based on steps'!AH$1:AH$400,0)),AH$2,)</f>
        <v>0</v>
      </c>
      <c r="AI28" s="179">
        <f ca="1">IF(ISNUMBER(MATCH(DATEVALUE($A28),'recurring1_based on steps'!AI$1:AI$400,0)),AI$2,)</f>
        <v>0</v>
      </c>
      <c r="AJ28" s="179">
        <f ca="1">IF(ISNUMBER(MATCH(DATEVALUE($A28),'recurring1_based on steps'!AJ$1:AJ$400,0)),AJ$2,)</f>
        <v>0</v>
      </c>
      <c r="AK28" s="179">
        <f ca="1">IF(ISNUMBER(MATCH(DATEVALUE($A28),'recurring1_based on steps'!AK$1:AK$400,0)),AK$2,)</f>
        <v>0</v>
      </c>
      <c r="AL28" s="179">
        <f ca="1">IF(ISNUMBER(MATCH(DATEVALUE($A28),'recurring1_based on steps'!AL$1:AL$400,0)),AL$2,)</f>
        <v>0</v>
      </c>
      <c r="AM28" s="179">
        <f ca="1">IF(ISNUMBER(MATCH(DATEVALUE($A28),'recurring1_based on steps'!AM$1:AM$400,0)),AM$2,)</f>
        <v>0</v>
      </c>
      <c r="AN28" s="179">
        <f ca="1">IF(ISNUMBER(MATCH(DATEVALUE($A28),'recurring1_based on steps'!AN$1:AN$400,0)),AN$2,)</f>
        <v>0</v>
      </c>
      <c r="AO28" s="179">
        <f ca="1">IF(ISNUMBER(MATCH(DATEVALUE($A28),'recurring1_based on steps'!AO$1:AO$400,0)),AO$2,)</f>
        <v>0</v>
      </c>
      <c r="AP28" s="179">
        <f ca="1">IF(ISNUMBER(MATCH(DATEVALUE($A28),'recurring1_based on steps'!AP$1:AP$400,0)),AP$2,)</f>
        <v>0</v>
      </c>
      <c r="AQ28" s="179">
        <f ca="1">IF(ISNUMBER(MATCH(DATEVALUE($A28),'recurring1_based on steps'!AQ$1:AQ$400,0)),AQ$2,)</f>
        <v>0</v>
      </c>
      <c r="AR28" s="179">
        <f ca="1">IF(ISNUMBER(MATCH(DATEVALUE($A28),'recurring1_based on steps'!AR$1:AR$400,0)),AR$2,)</f>
        <v>0</v>
      </c>
      <c r="AS28" s="179">
        <f ca="1">IF(ISNUMBER(MATCH(DATEVALUE($A28),'recurring1_based on steps'!AS$1:AS$400,0)),AS$2,)</f>
        <v>0</v>
      </c>
      <c r="AT28" s="179">
        <f ca="1">IF(ISNUMBER(MATCH(DATEVALUE($A28),'recurring1_based on steps'!AT$1:AT$400,0)),AT$2,)</f>
        <v>0</v>
      </c>
      <c r="AU28" s="179">
        <f ca="1">IF(ISNUMBER(MATCH(DATEVALUE($A28),'recurring1_based on steps'!AU$1:AU$400,0)),AU$2,)</f>
        <v>0</v>
      </c>
      <c r="AV28" s="179">
        <f ca="1">IF(ISNUMBER(MATCH(DATEVALUE($A28),'recurring1_based on steps'!AV$1:AV$400,0)),AV$2,)</f>
        <v>0</v>
      </c>
      <c r="AW28" s="179">
        <f ca="1">IF(ISNUMBER(MATCH(DATEVALUE($A28),'recurring1_based on steps'!AW$1:AW$400,0)),AW$2,)</f>
        <v>0</v>
      </c>
      <c r="AX28" s="179">
        <f ca="1">IF(ISNUMBER(MATCH(DATEVALUE($A28),'recurring1_based on steps'!AX$1:AX$400,0)),AX$2,)</f>
        <v>0</v>
      </c>
      <c r="AY28" s="179">
        <f ca="1">IF(ISNUMBER(MATCH(DATEVALUE($A28),'recurring1_based on steps'!AY$1:AY$400,0)),AY$2,)</f>
        <v>0</v>
      </c>
    </row>
    <row r="29" spans="1:51" x14ac:dyDescent="0.2">
      <c r="A29" s="32" t="str">
        <f t="shared" ca="1" si="0"/>
        <v>2025-05-01</v>
      </c>
      <c r="B29" s="179">
        <f ca="1">IF(ISNUMBER(MATCH(DATEVALUE($A29),'recurring1_based on steps'!B$1:B$400,0)),B$2,)</f>
        <v>0</v>
      </c>
      <c r="C29" s="179">
        <f ca="1">IF(ISNUMBER(MATCH(DATEVALUE($A29),'recurring1_based on steps'!C$1:C$400,0)),C$2,)</f>
        <v>0</v>
      </c>
      <c r="D29" s="179">
        <f ca="1">IF(ISNUMBER(MATCH(DATEVALUE($A29),'recurring1_based on steps'!D$1:D$400,0)),D$2,)</f>
        <v>0</v>
      </c>
      <c r="E29" s="179">
        <f ca="1">IF(ISNUMBER(MATCH(DATEVALUE($A29),'recurring1_based on steps'!E$1:E$400,0)),E$2,)</f>
        <v>0</v>
      </c>
      <c r="F29" s="179">
        <f ca="1">IF(ISNUMBER(MATCH(DATEVALUE($A29),'recurring1_based on steps'!F$1:F$400,0)),F$2,)</f>
        <v>0</v>
      </c>
      <c r="G29" s="179">
        <f ca="1">IF(ISNUMBER(MATCH(DATEVALUE($A29),'recurring1_based on steps'!G$1:G$400,0)),G$2,)</f>
        <v>0</v>
      </c>
      <c r="H29" s="179">
        <f ca="1">IF(ISNUMBER(MATCH(DATEVALUE($A29),'recurring1_based on steps'!H$1:H$400,0)),H$2,)</f>
        <v>0</v>
      </c>
      <c r="I29" s="179">
        <f ca="1">IF(ISNUMBER(MATCH(DATEVALUE($A29),'recurring1_based on steps'!I$1:I$400,0)),I$2,)</f>
        <v>0</v>
      </c>
      <c r="J29" s="179">
        <f ca="1">IF(ISNUMBER(MATCH(DATEVALUE($A29),'recurring1_based on steps'!J$1:J$400,0)),J$2,)</f>
        <v>0</v>
      </c>
      <c r="K29" s="179">
        <f ca="1">IF(ISNUMBER(MATCH(DATEVALUE($A29),'recurring1_based on steps'!K$1:K$400,0)),K$2,)</f>
        <v>0</v>
      </c>
      <c r="L29" s="179">
        <f ca="1">IF(ISNUMBER(MATCH(DATEVALUE($A29),'recurring1_based on steps'!L$1:L$400,0)),L$2,)</f>
        <v>0</v>
      </c>
      <c r="M29" s="179">
        <f ca="1">IF(ISNUMBER(MATCH(DATEVALUE($A29),'recurring1_based on steps'!M$1:M$400,0)),M$2,)</f>
        <v>0</v>
      </c>
      <c r="N29" s="179">
        <f ca="1">IF(ISNUMBER(MATCH(DATEVALUE($A29),'recurring1_based on steps'!N$1:N$400,0)),N$2,)</f>
        <v>0</v>
      </c>
      <c r="O29" s="179">
        <f ca="1">IF(ISNUMBER(MATCH(DATEVALUE($A29),'recurring1_based on steps'!O$1:O$400,0)),O$2,)</f>
        <v>0</v>
      </c>
      <c r="P29" s="179">
        <f ca="1">IF(ISNUMBER(MATCH(DATEVALUE($A29),'recurring1_based on steps'!P$1:P$400,0)),P$2,)</f>
        <v>0</v>
      </c>
      <c r="Q29" s="179">
        <f ca="1">IF(ISNUMBER(MATCH(DATEVALUE($A29),'recurring1_based on steps'!Q$1:Q$400,0)),Q$2,)</f>
        <v>0</v>
      </c>
      <c r="R29" s="179">
        <f ca="1">IF(ISNUMBER(MATCH(DATEVALUE($A29),'recurring1_based on steps'!R$1:R$400,0)),R$2,)</f>
        <v>0</v>
      </c>
      <c r="S29" s="179">
        <f ca="1">IF(ISNUMBER(MATCH(DATEVALUE($A29),'recurring1_based on steps'!S$1:S$400,0)),S$2,)</f>
        <v>0</v>
      </c>
      <c r="T29" s="179">
        <f ca="1">IF(ISNUMBER(MATCH(DATEVALUE($A29),'recurring1_based on steps'!T$1:T$400,0)),T$2,)</f>
        <v>0</v>
      </c>
      <c r="U29" s="179">
        <f ca="1">IF(ISNUMBER(MATCH(DATEVALUE($A29),'recurring1_based on steps'!U$1:U$400,0)),U$2,)</f>
        <v>0</v>
      </c>
      <c r="V29" s="179">
        <f ca="1">IF(ISNUMBER(MATCH(DATEVALUE($A29),'recurring1_based on steps'!V$1:V$400,0)),V$2,)</f>
        <v>0</v>
      </c>
      <c r="W29" s="179">
        <f ca="1">IF(ISNUMBER(MATCH(DATEVALUE($A29),'recurring1_based on steps'!W$1:W$400,0)),W$2,)</f>
        <v>0</v>
      </c>
      <c r="X29" s="179">
        <f ca="1">IF(ISNUMBER(MATCH(DATEVALUE($A29),'recurring1_based on steps'!X$1:X$400,0)),X$2,)</f>
        <v>0</v>
      </c>
      <c r="Y29" s="179">
        <f ca="1">IF(ISNUMBER(MATCH(DATEVALUE($A29),'recurring1_based on steps'!Y$1:Y$400,0)),Y$2,)</f>
        <v>0</v>
      </c>
      <c r="Z29" s="179">
        <f ca="1">IF(ISNUMBER(MATCH(DATEVALUE($A29),'recurring1_based on steps'!Z$1:Z$400,0)),Z$2,)</f>
        <v>0</v>
      </c>
      <c r="AA29" s="179">
        <f ca="1">IF(ISNUMBER(MATCH(DATEVALUE($A29),'recurring1_based on steps'!AA$1:AA$400,0)),AA$2,)</f>
        <v>0</v>
      </c>
      <c r="AB29" s="179">
        <f ca="1">IF(ISNUMBER(MATCH(DATEVALUE($A29),'recurring1_based on steps'!AB$1:AB$400,0)),AB$2,)</f>
        <v>0</v>
      </c>
      <c r="AC29" s="179">
        <f ca="1">IF(ISNUMBER(MATCH(DATEVALUE($A29),'recurring1_based on steps'!AC$1:AC$400,0)),AC$2,)</f>
        <v>0</v>
      </c>
      <c r="AD29" s="179">
        <f ca="1">IF(ISNUMBER(MATCH(DATEVALUE($A29),'recurring1_based on steps'!AD$1:AD$400,0)),AD$2,)</f>
        <v>0</v>
      </c>
      <c r="AE29" s="179">
        <f ca="1">IF(ISNUMBER(MATCH(DATEVALUE($A29),'recurring1_based on steps'!AE$1:AE$400,0)),AE$2,)</f>
        <v>0</v>
      </c>
      <c r="AF29" s="179">
        <f ca="1">IF(ISNUMBER(MATCH(DATEVALUE($A29),'recurring1_based on steps'!AF$1:AF$400,0)),AF$2,)</f>
        <v>0</v>
      </c>
      <c r="AG29" s="179">
        <f ca="1">IF(ISNUMBER(MATCH(DATEVALUE($A29),'recurring1_based on steps'!AG$1:AG$400,0)),AG$2,)</f>
        <v>0</v>
      </c>
      <c r="AH29" s="179">
        <f ca="1">IF(ISNUMBER(MATCH(DATEVALUE($A29),'recurring1_based on steps'!AH$1:AH$400,0)),AH$2,)</f>
        <v>0</v>
      </c>
      <c r="AI29" s="179">
        <f ca="1">IF(ISNUMBER(MATCH(DATEVALUE($A29),'recurring1_based on steps'!AI$1:AI$400,0)),AI$2,)</f>
        <v>0</v>
      </c>
      <c r="AJ29" s="179">
        <f ca="1">IF(ISNUMBER(MATCH(DATEVALUE($A29),'recurring1_based on steps'!AJ$1:AJ$400,0)),AJ$2,)</f>
        <v>0</v>
      </c>
      <c r="AK29" s="179">
        <f ca="1">IF(ISNUMBER(MATCH(DATEVALUE($A29),'recurring1_based on steps'!AK$1:AK$400,0)),AK$2,)</f>
        <v>0</v>
      </c>
      <c r="AL29" s="179">
        <f ca="1">IF(ISNUMBER(MATCH(DATEVALUE($A29),'recurring1_based on steps'!AL$1:AL$400,0)),AL$2,)</f>
        <v>0</v>
      </c>
      <c r="AM29" s="179">
        <f ca="1">IF(ISNUMBER(MATCH(DATEVALUE($A29),'recurring1_based on steps'!AM$1:AM$400,0)),AM$2,)</f>
        <v>0</v>
      </c>
      <c r="AN29" s="179">
        <f ca="1">IF(ISNUMBER(MATCH(DATEVALUE($A29),'recurring1_based on steps'!AN$1:AN$400,0)),AN$2,)</f>
        <v>0</v>
      </c>
      <c r="AO29" s="179">
        <f ca="1">IF(ISNUMBER(MATCH(DATEVALUE($A29),'recurring1_based on steps'!AO$1:AO$400,0)),AO$2,)</f>
        <v>0</v>
      </c>
      <c r="AP29" s="179">
        <f ca="1">IF(ISNUMBER(MATCH(DATEVALUE($A29),'recurring1_based on steps'!AP$1:AP$400,0)),AP$2,)</f>
        <v>0</v>
      </c>
      <c r="AQ29" s="179">
        <f ca="1">IF(ISNUMBER(MATCH(DATEVALUE($A29),'recurring1_based on steps'!AQ$1:AQ$400,0)),AQ$2,)</f>
        <v>0</v>
      </c>
      <c r="AR29" s="179">
        <f ca="1">IF(ISNUMBER(MATCH(DATEVALUE($A29),'recurring1_based on steps'!AR$1:AR$400,0)),AR$2,)</f>
        <v>0</v>
      </c>
      <c r="AS29" s="179">
        <f ca="1">IF(ISNUMBER(MATCH(DATEVALUE($A29),'recurring1_based on steps'!AS$1:AS$400,0)),AS$2,)</f>
        <v>0</v>
      </c>
      <c r="AT29" s="179">
        <f ca="1">IF(ISNUMBER(MATCH(DATEVALUE($A29),'recurring1_based on steps'!AT$1:AT$400,0)),AT$2,)</f>
        <v>0</v>
      </c>
      <c r="AU29" s="179">
        <f ca="1">IF(ISNUMBER(MATCH(DATEVALUE($A29),'recurring1_based on steps'!AU$1:AU$400,0)),AU$2,)</f>
        <v>0</v>
      </c>
      <c r="AV29" s="179">
        <f ca="1">IF(ISNUMBER(MATCH(DATEVALUE($A29),'recurring1_based on steps'!AV$1:AV$400,0)),AV$2,)</f>
        <v>0</v>
      </c>
      <c r="AW29" s="179">
        <f ca="1">IF(ISNUMBER(MATCH(DATEVALUE($A29),'recurring1_based on steps'!AW$1:AW$400,0)),AW$2,)</f>
        <v>0</v>
      </c>
      <c r="AX29" s="179">
        <f ca="1">IF(ISNUMBER(MATCH(DATEVALUE($A29),'recurring1_based on steps'!AX$1:AX$400,0)),AX$2,)</f>
        <v>0</v>
      </c>
      <c r="AY29" s="179">
        <f ca="1">IF(ISNUMBER(MATCH(DATEVALUE($A29),'recurring1_based on steps'!AY$1:AY$400,0)),AY$2,)</f>
        <v>0</v>
      </c>
    </row>
    <row r="30" spans="1:51" x14ac:dyDescent="0.2">
      <c r="A30" s="32" t="str">
        <f t="shared" ca="1" si="0"/>
        <v>2025-05-02</v>
      </c>
      <c r="B30" s="179">
        <f ca="1">IF(ISNUMBER(MATCH(DATEVALUE($A30),'recurring1_based on steps'!B$1:B$400,0)),B$2,)</f>
        <v>0</v>
      </c>
      <c r="C30" s="179">
        <f ca="1">IF(ISNUMBER(MATCH(DATEVALUE($A30),'recurring1_based on steps'!C$1:C$400,0)),C$2,)</f>
        <v>0</v>
      </c>
      <c r="D30" s="179">
        <f ca="1">IF(ISNUMBER(MATCH(DATEVALUE($A30),'recurring1_based on steps'!D$1:D$400,0)),D$2,)</f>
        <v>0</v>
      </c>
      <c r="E30" s="179">
        <f ca="1">IF(ISNUMBER(MATCH(DATEVALUE($A30),'recurring1_based on steps'!E$1:E$400,0)),E$2,)</f>
        <v>0</v>
      </c>
      <c r="F30" s="179">
        <f ca="1">IF(ISNUMBER(MATCH(DATEVALUE($A30),'recurring1_based on steps'!F$1:F$400,0)),F$2,)</f>
        <v>0</v>
      </c>
      <c r="G30" s="179">
        <f ca="1">IF(ISNUMBER(MATCH(DATEVALUE($A30),'recurring1_based on steps'!G$1:G$400,0)),G$2,)</f>
        <v>0</v>
      </c>
      <c r="H30" s="179">
        <f ca="1">IF(ISNUMBER(MATCH(DATEVALUE($A30),'recurring1_based on steps'!H$1:H$400,0)),H$2,)</f>
        <v>0</v>
      </c>
      <c r="I30" s="179">
        <f ca="1">IF(ISNUMBER(MATCH(DATEVALUE($A30),'recurring1_based on steps'!I$1:I$400,0)),I$2,)</f>
        <v>0</v>
      </c>
      <c r="J30" s="179">
        <f ca="1">IF(ISNUMBER(MATCH(DATEVALUE($A30),'recurring1_based on steps'!J$1:J$400,0)),J$2,)</f>
        <v>0</v>
      </c>
      <c r="K30" s="179">
        <f ca="1">IF(ISNUMBER(MATCH(DATEVALUE($A30),'recurring1_based on steps'!K$1:K$400,0)),K$2,)</f>
        <v>0</v>
      </c>
      <c r="L30" s="179">
        <f ca="1">IF(ISNUMBER(MATCH(DATEVALUE($A30),'recurring1_based on steps'!L$1:L$400,0)),L$2,)</f>
        <v>0</v>
      </c>
      <c r="M30" s="179">
        <f ca="1">IF(ISNUMBER(MATCH(DATEVALUE($A30),'recurring1_based on steps'!M$1:M$400,0)),M$2,)</f>
        <v>0</v>
      </c>
      <c r="N30" s="179">
        <f ca="1">IF(ISNUMBER(MATCH(DATEVALUE($A30),'recurring1_based on steps'!N$1:N$400,0)),N$2,)</f>
        <v>0</v>
      </c>
      <c r="O30" s="179">
        <f ca="1">IF(ISNUMBER(MATCH(DATEVALUE($A30),'recurring1_based on steps'!O$1:O$400,0)),O$2,)</f>
        <v>0</v>
      </c>
      <c r="P30" s="179">
        <f ca="1">IF(ISNUMBER(MATCH(DATEVALUE($A30),'recurring1_based on steps'!P$1:P$400,0)),P$2,)</f>
        <v>0</v>
      </c>
      <c r="Q30" s="179">
        <f ca="1">IF(ISNUMBER(MATCH(DATEVALUE($A30),'recurring1_based on steps'!Q$1:Q$400,0)),Q$2,)</f>
        <v>0</v>
      </c>
      <c r="R30" s="179">
        <f ca="1">IF(ISNUMBER(MATCH(DATEVALUE($A30),'recurring1_based on steps'!R$1:R$400,0)),R$2,)</f>
        <v>0</v>
      </c>
      <c r="S30" s="179">
        <f ca="1">IF(ISNUMBER(MATCH(DATEVALUE($A30),'recurring1_based on steps'!S$1:S$400,0)),S$2,)</f>
        <v>0</v>
      </c>
      <c r="T30" s="179">
        <f ca="1">IF(ISNUMBER(MATCH(DATEVALUE($A30),'recurring1_based on steps'!T$1:T$400,0)),T$2,)</f>
        <v>0</v>
      </c>
      <c r="U30" s="179">
        <f ca="1">IF(ISNUMBER(MATCH(DATEVALUE($A30),'recurring1_based on steps'!U$1:U$400,0)),U$2,)</f>
        <v>0</v>
      </c>
      <c r="V30" s="179">
        <f ca="1">IF(ISNUMBER(MATCH(DATEVALUE($A30),'recurring1_based on steps'!V$1:V$400,0)),V$2,)</f>
        <v>0</v>
      </c>
      <c r="W30" s="179">
        <f ca="1">IF(ISNUMBER(MATCH(DATEVALUE($A30),'recurring1_based on steps'!W$1:W$400,0)),W$2,)</f>
        <v>0</v>
      </c>
      <c r="X30" s="179">
        <f ca="1">IF(ISNUMBER(MATCH(DATEVALUE($A30),'recurring1_based on steps'!X$1:X$400,0)),X$2,)</f>
        <v>0</v>
      </c>
      <c r="Y30" s="179">
        <f ca="1">IF(ISNUMBER(MATCH(DATEVALUE($A30),'recurring1_based on steps'!Y$1:Y$400,0)),Y$2,)</f>
        <v>0</v>
      </c>
      <c r="Z30" s="179">
        <f ca="1">IF(ISNUMBER(MATCH(DATEVALUE($A30),'recurring1_based on steps'!Z$1:Z$400,0)),Z$2,)</f>
        <v>0</v>
      </c>
      <c r="AA30" s="179">
        <f ca="1">IF(ISNUMBER(MATCH(DATEVALUE($A30),'recurring1_based on steps'!AA$1:AA$400,0)),AA$2,)</f>
        <v>0</v>
      </c>
      <c r="AB30" s="179">
        <f ca="1">IF(ISNUMBER(MATCH(DATEVALUE($A30),'recurring1_based on steps'!AB$1:AB$400,0)),AB$2,)</f>
        <v>0</v>
      </c>
      <c r="AC30" s="179">
        <f ca="1">IF(ISNUMBER(MATCH(DATEVALUE($A30),'recurring1_based on steps'!AC$1:AC$400,0)),AC$2,)</f>
        <v>0</v>
      </c>
      <c r="AD30" s="179">
        <f ca="1">IF(ISNUMBER(MATCH(DATEVALUE($A30),'recurring1_based on steps'!AD$1:AD$400,0)),AD$2,)</f>
        <v>0</v>
      </c>
      <c r="AE30" s="179">
        <f ca="1">IF(ISNUMBER(MATCH(DATEVALUE($A30),'recurring1_based on steps'!AE$1:AE$400,0)),AE$2,)</f>
        <v>0</v>
      </c>
      <c r="AF30" s="179">
        <f ca="1">IF(ISNUMBER(MATCH(DATEVALUE($A30),'recurring1_based on steps'!AF$1:AF$400,0)),AF$2,)</f>
        <v>0</v>
      </c>
      <c r="AG30" s="179">
        <f ca="1">IF(ISNUMBER(MATCH(DATEVALUE($A30),'recurring1_based on steps'!AG$1:AG$400,0)),AG$2,)</f>
        <v>0</v>
      </c>
      <c r="AH30" s="179">
        <f ca="1">IF(ISNUMBER(MATCH(DATEVALUE($A30),'recurring1_based on steps'!AH$1:AH$400,0)),AH$2,)</f>
        <v>0</v>
      </c>
      <c r="AI30" s="179">
        <f ca="1">IF(ISNUMBER(MATCH(DATEVALUE($A30),'recurring1_based on steps'!AI$1:AI$400,0)),AI$2,)</f>
        <v>0</v>
      </c>
      <c r="AJ30" s="179">
        <f ca="1">IF(ISNUMBER(MATCH(DATEVALUE($A30),'recurring1_based on steps'!AJ$1:AJ$400,0)),AJ$2,)</f>
        <v>0</v>
      </c>
      <c r="AK30" s="179">
        <f ca="1">IF(ISNUMBER(MATCH(DATEVALUE($A30),'recurring1_based on steps'!AK$1:AK$400,0)),AK$2,)</f>
        <v>0</v>
      </c>
      <c r="AL30" s="179">
        <f ca="1">IF(ISNUMBER(MATCH(DATEVALUE($A30),'recurring1_based on steps'!AL$1:AL$400,0)),AL$2,)</f>
        <v>0</v>
      </c>
      <c r="AM30" s="179">
        <f ca="1">IF(ISNUMBER(MATCH(DATEVALUE($A30),'recurring1_based on steps'!AM$1:AM$400,0)),AM$2,)</f>
        <v>0</v>
      </c>
      <c r="AN30" s="179">
        <f ca="1">IF(ISNUMBER(MATCH(DATEVALUE($A30),'recurring1_based on steps'!AN$1:AN$400,0)),AN$2,)</f>
        <v>0</v>
      </c>
      <c r="AO30" s="179">
        <f ca="1">IF(ISNUMBER(MATCH(DATEVALUE($A30),'recurring1_based on steps'!AO$1:AO$400,0)),AO$2,)</f>
        <v>0</v>
      </c>
      <c r="AP30" s="179">
        <f ca="1">IF(ISNUMBER(MATCH(DATEVALUE($A30),'recurring1_based on steps'!AP$1:AP$400,0)),AP$2,)</f>
        <v>0</v>
      </c>
      <c r="AQ30" s="179">
        <f ca="1">IF(ISNUMBER(MATCH(DATEVALUE($A30),'recurring1_based on steps'!AQ$1:AQ$400,0)),AQ$2,)</f>
        <v>0</v>
      </c>
      <c r="AR30" s="179">
        <f ca="1">IF(ISNUMBER(MATCH(DATEVALUE($A30),'recurring1_based on steps'!AR$1:AR$400,0)),AR$2,)</f>
        <v>0</v>
      </c>
      <c r="AS30" s="179">
        <f ca="1">IF(ISNUMBER(MATCH(DATEVALUE($A30),'recurring1_based on steps'!AS$1:AS$400,0)),AS$2,)</f>
        <v>0</v>
      </c>
      <c r="AT30" s="179">
        <f ca="1">IF(ISNUMBER(MATCH(DATEVALUE($A30),'recurring1_based on steps'!AT$1:AT$400,0)),AT$2,)</f>
        <v>0</v>
      </c>
      <c r="AU30" s="179">
        <f ca="1">IF(ISNUMBER(MATCH(DATEVALUE($A30),'recurring1_based on steps'!AU$1:AU$400,0)),AU$2,)</f>
        <v>0</v>
      </c>
      <c r="AV30" s="179">
        <f ca="1">IF(ISNUMBER(MATCH(DATEVALUE($A30),'recurring1_based on steps'!AV$1:AV$400,0)),AV$2,)</f>
        <v>0</v>
      </c>
      <c r="AW30" s="179">
        <f ca="1">IF(ISNUMBER(MATCH(DATEVALUE($A30),'recurring1_based on steps'!AW$1:AW$400,0)),AW$2,)</f>
        <v>0</v>
      </c>
      <c r="AX30" s="179">
        <f ca="1">IF(ISNUMBER(MATCH(DATEVALUE($A30),'recurring1_based on steps'!AX$1:AX$400,0)),AX$2,)</f>
        <v>0</v>
      </c>
      <c r="AY30" s="179">
        <f ca="1">IF(ISNUMBER(MATCH(DATEVALUE($A30),'recurring1_based on steps'!AY$1:AY$400,0)),AY$2,)</f>
        <v>0</v>
      </c>
    </row>
    <row r="31" spans="1:51" x14ac:dyDescent="0.2">
      <c r="A31" s="32" t="str">
        <f t="shared" ca="1" si="0"/>
        <v>2025-05-03</v>
      </c>
      <c r="B31" s="179">
        <f ca="1">IF(ISNUMBER(MATCH(DATEVALUE($A31),'recurring1_based on steps'!B$1:B$400,0)),B$2,)</f>
        <v>0</v>
      </c>
      <c r="C31" s="179">
        <f ca="1">IF(ISNUMBER(MATCH(DATEVALUE($A31),'recurring1_based on steps'!C$1:C$400,0)),C$2,)</f>
        <v>0</v>
      </c>
      <c r="D31" s="179">
        <f ca="1">IF(ISNUMBER(MATCH(DATEVALUE($A31),'recurring1_based on steps'!D$1:D$400,0)),D$2,)</f>
        <v>0</v>
      </c>
      <c r="E31" s="179">
        <f ca="1">IF(ISNUMBER(MATCH(DATEVALUE($A31),'recurring1_based on steps'!E$1:E$400,0)),E$2,)</f>
        <v>0</v>
      </c>
      <c r="F31" s="179">
        <f ca="1">IF(ISNUMBER(MATCH(DATEVALUE($A31),'recurring1_based on steps'!F$1:F$400,0)),F$2,)</f>
        <v>0</v>
      </c>
      <c r="G31" s="179">
        <f ca="1">IF(ISNUMBER(MATCH(DATEVALUE($A31),'recurring1_based on steps'!G$1:G$400,0)),G$2,)</f>
        <v>0</v>
      </c>
      <c r="H31" s="179">
        <f ca="1">IF(ISNUMBER(MATCH(DATEVALUE($A31),'recurring1_based on steps'!H$1:H$400,0)),H$2,)</f>
        <v>0</v>
      </c>
      <c r="I31" s="179">
        <f ca="1">IF(ISNUMBER(MATCH(DATEVALUE($A31),'recurring1_based on steps'!I$1:I$400,0)),I$2,)</f>
        <v>0</v>
      </c>
      <c r="J31" s="179">
        <f ca="1">IF(ISNUMBER(MATCH(DATEVALUE($A31),'recurring1_based on steps'!J$1:J$400,0)),J$2,)</f>
        <v>0</v>
      </c>
      <c r="K31" s="179">
        <f ca="1">IF(ISNUMBER(MATCH(DATEVALUE($A31),'recurring1_based on steps'!K$1:K$400,0)),K$2,)</f>
        <v>0</v>
      </c>
      <c r="L31" s="179">
        <f ca="1">IF(ISNUMBER(MATCH(DATEVALUE($A31),'recurring1_based on steps'!L$1:L$400,0)),L$2,)</f>
        <v>0</v>
      </c>
      <c r="M31" s="179">
        <f ca="1">IF(ISNUMBER(MATCH(DATEVALUE($A31),'recurring1_based on steps'!M$1:M$400,0)),M$2,)</f>
        <v>0</v>
      </c>
      <c r="N31" s="179">
        <f ca="1">IF(ISNUMBER(MATCH(DATEVALUE($A31),'recurring1_based on steps'!N$1:N$400,0)),N$2,)</f>
        <v>0</v>
      </c>
      <c r="O31" s="179">
        <f ca="1">IF(ISNUMBER(MATCH(DATEVALUE($A31),'recurring1_based on steps'!O$1:O$400,0)),O$2,)</f>
        <v>0</v>
      </c>
      <c r="P31" s="179">
        <f ca="1">IF(ISNUMBER(MATCH(DATEVALUE($A31),'recurring1_based on steps'!P$1:P$400,0)),P$2,)</f>
        <v>0</v>
      </c>
      <c r="Q31" s="179">
        <f ca="1">IF(ISNUMBER(MATCH(DATEVALUE($A31),'recurring1_based on steps'!Q$1:Q$400,0)),Q$2,)</f>
        <v>0</v>
      </c>
      <c r="R31" s="179">
        <f ca="1">IF(ISNUMBER(MATCH(DATEVALUE($A31),'recurring1_based on steps'!R$1:R$400,0)),R$2,)</f>
        <v>0</v>
      </c>
      <c r="S31" s="179">
        <f ca="1">IF(ISNUMBER(MATCH(DATEVALUE($A31),'recurring1_based on steps'!S$1:S$400,0)),S$2,)</f>
        <v>0</v>
      </c>
      <c r="T31" s="179">
        <f ca="1">IF(ISNUMBER(MATCH(DATEVALUE($A31),'recurring1_based on steps'!T$1:T$400,0)),T$2,)</f>
        <v>0</v>
      </c>
      <c r="U31" s="179">
        <f ca="1">IF(ISNUMBER(MATCH(DATEVALUE($A31),'recurring1_based on steps'!U$1:U$400,0)),U$2,)</f>
        <v>0</v>
      </c>
      <c r="V31" s="179">
        <f ca="1">IF(ISNUMBER(MATCH(DATEVALUE($A31),'recurring1_based on steps'!V$1:V$400,0)),V$2,)</f>
        <v>0</v>
      </c>
      <c r="W31" s="179">
        <f ca="1">IF(ISNUMBER(MATCH(DATEVALUE($A31),'recurring1_based on steps'!W$1:W$400,0)),W$2,)</f>
        <v>0</v>
      </c>
      <c r="X31" s="179">
        <f ca="1">IF(ISNUMBER(MATCH(DATEVALUE($A31),'recurring1_based on steps'!X$1:X$400,0)),X$2,)</f>
        <v>0</v>
      </c>
      <c r="Y31" s="179">
        <f ca="1">IF(ISNUMBER(MATCH(DATEVALUE($A31),'recurring1_based on steps'!Y$1:Y$400,0)),Y$2,)</f>
        <v>0</v>
      </c>
      <c r="Z31" s="179">
        <f ca="1">IF(ISNUMBER(MATCH(DATEVALUE($A31),'recurring1_based on steps'!Z$1:Z$400,0)),Z$2,)</f>
        <v>0</v>
      </c>
      <c r="AA31" s="179">
        <f ca="1">IF(ISNUMBER(MATCH(DATEVALUE($A31),'recurring1_based on steps'!AA$1:AA$400,0)),AA$2,)</f>
        <v>0</v>
      </c>
      <c r="AB31" s="179">
        <f ca="1">IF(ISNUMBER(MATCH(DATEVALUE($A31),'recurring1_based on steps'!AB$1:AB$400,0)),AB$2,)</f>
        <v>0</v>
      </c>
      <c r="AC31" s="179">
        <f ca="1">IF(ISNUMBER(MATCH(DATEVALUE($A31),'recurring1_based on steps'!AC$1:AC$400,0)),AC$2,)</f>
        <v>0</v>
      </c>
      <c r="AD31" s="179">
        <f ca="1">IF(ISNUMBER(MATCH(DATEVALUE($A31),'recurring1_based on steps'!AD$1:AD$400,0)),AD$2,)</f>
        <v>0</v>
      </c>
      <c r="AE31" s="179">
        <f ca="1">IF(ISNUMBER(MATCH(DATEVALUE($A31),'recurring1_based on steps'!AE$1:AE$400,0)),AE$2,)</f>
        <v>0</v>
      </c>
      <c r="AF31" s="179">
        <f ca="1">IF(ISNUMBER(MATCH(DATEVALUE($A31),'recurring1_based on steps'!AF$1:AF$400,0)),AF$2,)</f>
        <v>0</v>
      </c>
      <c r="AG31" s="179">
        <f ca="1">IF(ISNUMBER(MATCH(DATEVALUE($A31),'recurring1_based on steps'!AG$1:AG$400,0)),AG$2,)</f>
        <v>0</v>
      </c>
      <c r="AH31" s="179">
        <f ca="1">IF(ISNUMBER(MATCH(DATEVALUE($A31),'recurring1_based on steps'!AH$1:AH$400,0)),AH$2,)</f>
        <v>0</v>
      </c>
      <c r="AI31" s="179">
        <f ca="1">IF(ISNUMBER(MATCH(DATEVALUE($A31),'recurring1_based on steps'!AI$1:AI$400,0)),AI$2,)</f>
        <v>0</v>
      </c>
      <c r="AJ31" s="179">
        <f ca="1">IF(ISNUMBER(MATCH(DATEVALUE($A31),'recurring1_based on steps'!AJ$1:AJ$400,0)),AJ$2,)</f>
        <v>0</v>
      </c>
      <c r="AK31" s="179">
        <f ca="1">IF(ISNUMBER(MATCH(DATEVALUE($A31),'recurring1_based on steps'!AK$1:AK$400,0)),AK$2,)</f>
        <v>0</v>
      </c>
      <c r="AL31" s="179">
        <f ca="1">IF(ISNUMBER(MATCH(DATEVALUE($A31),'recurring1_based on steps'!AL$1:AL$400,0)),AL$2,)</f>
        <v>0</v>
      </c>
      <c r="AM31" s="179">
        <f ca="1">IF(ISNUMBER(MATCH(DATEVALUE($A31),'recurring1_based on steps'!AM$1:AM$400,0)),AM$2,)</f>
        <v>0</v>
      </c>
      <c r="AN31" s="179">
        <f ca="1">IF(ISNUMBER(MATCH(DATEVALUE($A31),'recurring1_based on steps'!AN$1:AN$400,0)),AN$2,)</f>
        <v>0</v>
      </c>
      <c r="AO31" s="179">
        <f ca="1">IF(ISNUMBER(MATCH(DATEVALUE($A31),'recurring1_based on steps'!AO$1:AO$400,0)),AO$2,)</f>
        <v>0</v>
      </c>
      <c r="AP31" s="179">
        <f ca="1">IF(ISNUMBER(MATCH(DATEVALUE($A31),'recurring1_based on steps'!AP$1:AP$400,0)),AP$2,)</f>
        <v>0</v>
      </c>
      <c r="AQ31" s="179">
        <f ca="1">IF(ISNUMBER(MATCH(DATEVALUE($A31),'recurring1_based on steps'!AQ$1:AQ$400,0)),AQ$2,)</f>
        <v>0</v>
      </c>
      <c r="AR31" s="179">
        <f ca="1">IF(ISNUMBER(MATCH(DATEVALUE($A31),'recurring1_based on steps'!AR$1:AR$400,0)),AR$2,)</f>
        <v>0</v>
      </c>
      <c r="AS31" s="179">
        <f ca="1">IF(ISNUMBER(MATCH(DATEVALUE($A31),'recurring1_based on steps'!AS$1:AS$400,0)),AS$2,)</f>
        <v>0</v>
      </c>
      <c r="AT31" s="179">
        <f ca="1">IF(ISNUMBER(MATCH(DATEVALUE($A31),'recurring1_based on steps'!AT$1:AT$400,0)),AT$2,)</f>
        <v>0</v>
      </c>
      <c r="AU31" s="179">
        <f ca="1">IF(ISNUMBER(MATCH(DATEVALUE($A31),'recurring1_based on steps'!AU$1:AU$400,0)),AU$2,)</f>
        <v>0</v>
      </c>
      <c r="AV31" s="179">
        <f ca="1">IF(ISNUMBER(MATCH(DATEVALUE($A31),'recurring1_based on steps'!AV$1:AV$400,0)),AV$2,)</f>
        <v>0</v>
      </c>
      <c r="AW31" s="179">
        <f ca="1">IF(ISNUMBER(MATCH(DATEVALUE($A31),'recurring1_based on steps'!AW$1:AW$400,0)),AW$2,)</f>
        <v>0</v>
      </c>
      <c r="AX31" s="179">
        <f ca="1">IF(ISNUMBER(MATCH(DATEVALUE($A31),'recurring1_based on steps'!AX$1:AX$400,0)),AX$2,)</f>
        <v>0</v>
      </c>
      <c r="AY31" s="179">
        <f ca="1">IF(ISNUMBER(MATCH(DATEVALUE($A31),'recurring1_based on steps'!AY$1:AY$400,0)),AY$2,)</f>
        <v>0</v>
      </c>
    </row>
    <row r="32" spans="1:51" x14ac:dyDescent="0.2">
      <c r="A32" s="32" t="str">
        <f t="shared" ca="1" si="0"/>
        <v>2025-05-04</v>
      </c>
      <c r="B32" s="179">
        <f ca="1">IF(ISNUMBER(MATCH(DATEVALUE($A32),'recurring1_based on steps'!B$1:B$400,0)),B$2,)</f>
        <v>0</v>
      </c>
      <c r="C32" s="179">
        <f ca="1">IF(ISNUMBER(MATCH(DATEVALUE($A32),'recurring1_based on steps'!C$1:C$400,0)),C$2,)</f>
        <v>0</v>
      </c>
      <c r="D32" s="179">
        <f ca="1">IF(ISNUMBER(MATCH(DATEVALUE($A32),'recurring1_based on steps'!D$1:D$400,0)),D$2,)</f>
        <v>0</v>
      </c>
      <c r="E32" s="179">
        <f ca="1">IF(ISNUMBER(MATCH(DATEVALUE($A32),'recurring1_based on steps'!E$1:E$400,0)),E$2,)</f>
        <v>0</v>
      </c>
      <c r="F32" s="179">
        <f ca="1">IF(ISNUMBER(MATCH(DATEVALUE($A32),'recurring1_based on steps'!F$1:F$400,0)),F$2,)</f>
        <v>0</v>
      </c>
      <c r="G32" s="179">
        <f ca="1">IF(ISNUMBER(MATCH(DATEVALUE($A32),'recurring1_based on steps'!G$1:G$400,0)),G$2,)</f>
        <v>0</v>
      </c>
      <c r="H32" s="179">
        <f ca="1">IF(ISNUMBER(MATCH(DATEVALUE($A32),'recurring1_based on steps'!H$1:H$400,0)),H$2,)</f>
        <v>0</v>
      </c>
      <c r="I32" s="179">
        <f ca="1">IF(ISNUMBER(MATCH(DATEVALUE($A32),'recurring1_based on steps'!I$1:I$400,0)),I$2,)</f>
        <v>0</v>
      </c>
      <c r="J32" s="179">
        <f ca="1">IF(ISNUMBER(MATCH(DATEVALUE($A32),'recurring1_based on steps'!J$1:J$400,0)),J$2,)</f>
        <v>0</v>
      </c>
      <c r="K32" s="179">
        <f ca="1">IF(ISNUMBER(MATCH(DATEVALUE($A32),'recurring1_based on steps'!K$1:K$400,0)),K$2,)</f>
        <v>0</v>
      </c>
      <c r="L32" s="179">
        <f ca="1">IF(ISNUMBER(MATCH(DATEVALUE($A32),'recurring1_based on steps'!L$1:L$400,0)),L$2,)</f>
        <v>0</v>
      </c>
      <c r="M32" s="179">
        <f ca="1">IF(ISNUMBER(MATCH(DATEVALUE($A32),'recurring1_based on steps'!M$1:M$400,0)),M$2,)</f>
        <v>0</v>
      </c>
      <c r="N32" s="179">
        <f ca="1">IF(ISNUMBER(MATCH(DATEVALUE($A32),'recurring1_based on steps'!N$1:N$400,0)),N$2,)</f>
        <v>0</v>
      </c>
      <c r="O32" s="179">
        <f ca="1">IF(ISNUMBER(MATCH(DATEVALUE($A32),'recurring1_based on steps'!O$1:O$400,0)),O$2,)</f>
        <v>0</v>
      </c>
      <c r="P32" s="179">
        <f ca="1">IF(ISNUMBER(MATCH(DATEVALUE($A32),'recurring1_based on steps'!P$1:P$400,0)),P$2,)</f>
        <v>0</v>
      </c>
      <c r="Q32" s="179">
        <f ca="1">IF(ISNUMBER(MATCH(DATEVALUE($A32),'recurring1_based on steps'!Q$1:Q$400,0)),Q$2,)</f>
        <v>0</v>
      </c>
      <c r="R32" s="179">
        <f ca="1">IF(ISNUMBER(MATCH(DATEVALUE($A32),'recurring1_based on steps'!R$1:R$400,0)),R$2,)</f>
        <v>0</v>
      </c>
      <c r="S32" s="179">
        <f ca="1">IF(ISNUMBER(MATCH(DATEVALUE($A32),'recurring1_based on steps'!S$1:S$400,0)),S$2,)</f>
        <v>0</v>
      </c>
      <c r="T32" s="179">
        <f ca="1">IF(ISNUMBER(MATCH(DATEVALUE($A32),'recurring1_based on steps'!T$1:T$400,0)),T$2,)</f>
        <v>0</v>
      </c>
      <c r="U32" s="179">
        <f ca="1">IF(ISNUMBER(MATCH(DATEVALUE($A32),'recurring1_based on steps'!U$1:U$400,0)),U$2,)</f>
        <v>0</v>
      </c>
      <c r="V32" s="179">
        <f ca="1">IF(ISNUMBER(MATCH(DATEVALUE($A32),'recurring1_based on steps'!V$1:V$400,0)),V$2,)</f>
        <v>0</v>
      </c>
      <c r="W32" s="179">
        <f ca="1">IF(ISNUMBER(MATCH(DATEVALUE($A32),'recurring1_based on steps'!W$1:W$400,0)),W$2,)</f>
        <v>0</v>
      </c>
      <c r="X32" s="179">
        <f ca="1">IF(ISNUMBER(MATCH(DATEVALUE($A32),'recurring1_based on steps'!X$1:X$400,0)),X$2,)</f>
        <v>0</v>
      </c>
      <c r="Y32" s="179">
        <f ca="1">IF(ISNUMBER(MATCH(DATEVALUE($A32),'recurring1_based on steps'!Y$1:Y$400,0)),Y$2,)</f>
        <v>0</v>
      </c>
      <c r="Z32" s="179">
        <f ca="1">IF(ISNUMBER(MATCH(DATEVALUE($A32),'recurring1_based on steps'!Z$1:Z$400,0)),Z$2,)</f>
        <v>0</v>
      </c>
      <c r="AA32" s="179">
        <f ca="1">IF(ISNUMBER(MATCH(DATEVALUE($A32),'recurring1_based on steps'!AA$1:AA$400,0)),AA$2,)</f>
        <v>0</v>
      </c>
      <c r="AB32" s="179">
        <f ca="1">IF(ISNUMBER(MATCH(DATEVALUE($A32),'recurring1_based on steps'!AB$1:AB$400,0)),AB$2,)</f>
        <v>0</v>
      </c>
      <c r="AC32" s="179">
        <f ca="1">IF(ISNUMBER(MATCH(DATEVALUE($A32),'recurring1_based on steps'!AC$1:AC$400,0)),AC$2,)</f>
        <v>0</v>
      </c>
      <c r="AD32" s="179">
        <f ca="1">IF(ISNUMBER(MATCH(DATEVALUE($A32),'recurring1_based on steps'!AD$1:AD$400,0)),AD$2,)</f>
        <v>0</v>
      </c>
      <c r="AE32" s="179">
        <f ca="1">IF(ISNUMBER(MATCH(DATEVALUE($A32),'recurring1_based on steps'!AE$1:AE$400,0)),AE$2,)</f>
        <v>0</v>
      </c>
      <c r="AF32" s="179">
        <f ca="1">IF(ISNUMBER(MATCH(DATEVALUE($A32),'recurring1_based on steps'!AF$1:AF$400,0)),AF$2,)</f>
        <v>0</v>
      </c>
      <c r="AG32" s="179">
        <f ca="1">IF(ISNUMBER(MATCH(DATEVALUE($A32),'recurring1_based on steps'!AG$1:AG$400,0)),AG$2,)</f>
        <v>0</v>
      </c>
      <c r="AH32" s="179">
        <f ca="1">IF(ISNUMBER(MATCH(DATEVALUE($A32),'recurring1_based on steps'!AH$1:AH$400,0)),AH$2,)</f>
        <v>0</v>
      </c>
      <c r="AI32" s="179">
        <f ca="1">IF(ISNUMBER(MATCH(DATEVALUE($A32),'recurring1_based on steps'!AI$1:AI$400,0)),AI$2,)</f>
        <v>0</v>
      </c>
      <c r="AJ32" s="179">
        <f ca="1">IF(ISNUMBER(MATCH(DATEVALUE($A32),'recurring1_based on steps'!AJ$1:AJ$400,0)),AJ$2,)</f>
        <v>0</v>
      </c>
      <c r="AK32" s="179">
        <f ca="1">IF(ISNUMBER(MATCH(DATEVALUE($A32),'recurring1_based on steps'!AK$1:AK$400,0)),AK$2,)</f>
        <v>0</v>
      </c>
      <c r="AL32" s="179">
        <f ca="1">IF(ISNUMBER(MATCH(DATEVALUE($A32),'recurring1_based on steps'!AL$1:AL$400,0)),AL$2,)</f>
        <v>0</v>
      </c>
      <c r="AM32" s="179">
        <f ca="1">IF(ISNUMBER(MATCH(DATEVALUE($A32),'recurring1_based on steps'!AM$1:AM$400,0)),AM$2,)</f>
        <v>0</v>
      </c>
      <c r="AN32" s="179">
        <f ca="1">IF(ISNUMBER(MATCH(DATEVALUE($A32),'recurring1_based on steps'!AN$1:AN$400,0)),AN$2,)</f>
        <v>0</v>
      </c>
      <c r="AO32" s="179">
        <f ca="1">IF(ISNUMBER(MATCH(DATEVALUE($A32),'recurring1_based on steps'!AO$1:AO$400,0)),AO$2,)</f>
        <v>0</v>
      </c>
      <c r="AP32" s="179">
        <f ca="1">IF(ISNUMBER(MATCH(DATEVALUE($A32),'recurring1_based on steps'!AP$1:AP$400,0)),AP$2,)</f>
        <v>0</v>
      </c>
      <c r="AQ32" s="179">
        <f ca="1">IF(ISNUMBER(MATCH(DATEVALUE($A32),'recurring1_based on steps'!AQ$1:AQ$400,0)),AQ$2,)</f>
        <v>0</v>
      </c>
      <c r="AR32" s="179">
        <f ca="1">IF(ISNUMBER(MATCH(DATEVALUE($A32),'recurring1_based on steps'!AR$1:AR$400,0)),AR$2,)</f>
        <v>0</v>
      </c>
      <c r="AS32" s="179">
        <f ca="1">IF(ISNUMBER(MATCH(DATEVALUE($A32),'recurring1_based on steps'!AS$1:AS$400,0)),AS$2,)</f>
        <v>0</v>
      </c>
      <c r="AT32" s="179">
        <f ca="1">IF(ISNUMBER(MATCH(DATEVALUE($A32),'recurring1_based on steps'!AT$1:AT$400,0)),AT$2,)</f>
        <v>0</v>
      </c>
      <c r="AU32" s="179">
        <f ca="1">IF(ISNUMBER(MATCH(DATEVALUE($A32),'recurring1_based on steps'!AU$1:AU$400,0)),AU$2,)</f>
        <v>0</v>
      </c>
      <c r="AV32" s="179">
        <f ca="1">IF(ISNUMBER(MATCH(DATEVALUE($A32),'recurring1_based on steps'!AV$1:AV$400,0)),AV$2,)</f>
        <v>0</v>
      </c>
      <c r="AW32" s="179">
        <f ca="1">IF(ISNUMBER(MATCH(DATEVALUE($A32),'recurring1_based on steps'!AW$1:AW$400,0)),AW$2,)</f>
        <v>0</v>
      </c>
      <c r="AX32" s="179">
        <f ca="1">IF(ISNUMBER(MATCH(DATEVALUE($A32),'recurring1_based on steps'!AX$1:AX$400,0)),AX$2,)</f>
        <v>0</v>
      </c>
      <c r="AY32" s="179">
        <f ca="1">IF(ISNUMBER(MATCH(DATEVALUE($A32),'recurring1_based on steps'!AY$1:AY$400,0)),AY$2,)</f>
        <v>0</v>
      </c>
    </row>
    <row r="33" spans="1:51" x14ac:dyDescent="0.2">
      <c r="A33" s="32" t="str">
        <f t="shared" ca="1" si="0"/>
        <v>2025-05-05</v>
      </c>
      <c r="B33" s="179">
        <f ca="1">IF(ISNUMBER(MATCH(DATEVALUE($A33),'recurring1_based on steps'!B$1:B$400,0)),B$2,)</f>
        <v>0</v>
      </c>
      <c r="C33" s="179">
        <f ca="1">IF(ISNUMBER(MATCH(DATEVALUE($A33),'recurring1_based on steps'!C$1:C$400,0)),C$2,)</f>
        <v>0</v>
      </c>
      <c r="D33" s="179">
        <f ca="1">IF(ISNUMBER(MATCH(DATEVALUE($A33),'recurring1_based on steps'!D$1:D$400,0)),D$2,)</f>
        <v>0</v>
      </c>
      <c r="E33" s="179">
        <f ca="1">IF(ISNUMBER(MATCH(DATEVALUE($A33),'recurring1_based on steps'!E$1:E$400,0)),E$2,)</f>
        <v>0</v>
      </c>
      <c r="F33" s="179">
        <f ca="1">IF(ISNUMBER(MATCH(DATEVALUE($A33),'recurring1_based on steps'!F$1:F$400,0)),F$2,)</f>
        <v>0</v>
      </c>
      <c r="G33" s="179">
        <f ca="1">IF(ISNUMBER(MATCH(DATEVALUE($A33),'recurring1_based on steps'!G$1:G$400,0)),G$2,)</f>
        <v>0</v>
      </c>
      <c r="H33" s="179">
        <f ca="1">IF(ISNUMBER(MATCH(DATEVALUE($A33),'recurring1_based on steps'!H$1:H$400,0)),H$2,)</f>
        <v>0</v>
      </c>
      <c r="I33" s="179">
        <f ca="1">IF(ISNUMBER(MATCH(DATEVALUE($A33),'recurring1_based on steps'!I$1:I$400,0)),I$2,)</f>
        <v>0</v>
      </c>
      <c r="J33" s="179">
        <f ca="1">IF(ISNUMBER(MATCH(DATEVALUE($A33),'recurring1_based on steps'!J$1:J$400,0)),J$2,)</f>
        <v>0</v>
      </c>
      <c r="K33" s="179">
        <f ca="1">IF(ISNUMBER(MATCH(DATEVALUE($A33),'recurring1_based on steps'!K$1:K$400,0)),K$2,)</f>
        <v>0</v>
      </c>
      <c r="L33" s="179">
        <f ca="1">IF(ISNUMBER(MATCH(DATEVALUE($A33),'recurring1_based on steps'!L$1:L$400,0)),L$2,)</f>
        <v>0</v>
      </c>
      <c r="M33" s="179">
        <f ca="1">IF(ISNUMBER(MATCH(DATEVALUE($A33),'recurring1_based on steps'!M$1:M$400,0)),M$2,)</f>
        <v>0</v>
      </c>
      <c r="N33" s="179">
        <f ca="1">IF(ISNUMBER(MATCH(DATEVALUE($A33),'recurring1_based on steps'!N$1:N$400,0)),N$2,)</f>
        <v>0</v>
      </c>
      <c r="O33" s="179">
        <f ca="1">IF(ISNUMBER(MATCH(DATEVALUE($A33),'recurring1_based on steps'!O$1:O$400,0)),O$2,)</f>
        <v>0</v>
      </c>
      <c r="P33" s="179">
        <f ca="1">IF(ISNUMBER(MATCH(DATEVALUE($A33),'recurring1_based on steps'!P$1:P$400,0)),P$2,)</f>
        <v>0</v>
      </c>
      <c r="Q33" s="179">
        <f ca="1">IF(ISNUMBER(MATCH(DATEVALUE($A33),'recurring1_based on steps'!Q$1:Q$400,0)),Q$2,)</f>
        <v>0</v>
      </c>
      <c r="R33" s="179">
        <f ca="1">IF(ISNUMBER(MATCH(DATEVALUE($A33),'recurring1_based on steps'!R$1:R$400,0)),R$2,)</f>
        <v>0</v>
      </c>
      <c r="S33" s="179">
        <f ca="1">IF(ISNUMBER(MATCH(DATEVALUE($A33),'recurring1_based on steps'!S$1:S$400,0)),S$2,)</f>
        <v>0</v>
      </c>
      <c r="T33" s="179">
        <f ca="1">IF(ISNUMBER(MATCH(DATEVALUE($A33),'recurring1_based on steps'!T$1:T$400,0)),T$2,)</f>
        <v>0</v>
      </c>
      <c r="U33" s="179">
        <f ca="1">IF(ISNUMBER(MATCH(DATEVALUE($A33),'recurring1_based on steps'!U$1:U$400,0)),U$2,)</f>
        <v>0</v>
      </c>
      <c r="V33" s="179">
        <f ca="1">IF(ISNUMBER(MATCH(DATEVALUE($A33),'recurring1_based on steps'!V$1:V$400,0)),V$2,)</f>
        <v>0</v>
      </c>
      <c r="W33" s="179">
        <f ca="1">IF(ISNUMBER(MATCH(DATEVALUE($A33),'recurring1_based on steps'!W$1:W$400,0)),W$2,)</f>
        <v>0</v>
      </c>
      <c r="X33" s="179">
        <f ca="1">IF(ISNUMBER(MATCH(DATEVALUE($A33),'recurring1_based on steps'!X$1:X$400,0)),X$2,)</f>
        <v>0</v>
      </c>
      <c r="Y33" s="179">
        <f ca="1">IF(ISNUMBER(MATCH(DATEVALUE($A33),'recurring1_based on steps'!Y$1:Y$400,0)),Y$2,)</f>
        <v>0</v>
      </c>
      <c r="Z33" s="179">
        <f ca="1">IF(ISNUMBER(MATCH(DATEVALUE($A33),'recurring1_based on steps'!Z$1:Z$400,0)),Z$2,)</f>
        <v>0</v>
      </c>
      <c r="AA33" s="179">
        <f ca="1">IF(ISNUMBER(MATCH(DATEVALUE($A33),'recurring1_based on steps'!AA$1:AA$400,0)),AA$2,)</f>
        <v>0</v>
      </c>
      <c r="AB33" s="179">
        <f ca="1">IF(ISNUMBER(MATCH(DATEVALUE($A33),'recurring1_based on steps'!AB$1:AB$400,0)),AB$2,)</f>
        <v>0</v>
      </c>
      <c r="AC33" s="179">
        <f ca="1">IF(ISNUMBER(MATCH(DATEVALUE($A33),'recurring1_based on steps'!AC$1:AC$400,0)),AC$2,)</f>
        <v>0</v>
      </c>
      <c r="AD33" s="179">
        <f ca="1">IF(ISNUMBER(MATCH(DATEVALUE($A33),'recurring1_based on steps'!AD$1:AD$400,0)),AD$2,)</f>
        <v>0</v>
      </c>
      <c r="AE33" s="179">
        <f ca="1">IF(ISNUMBER(MATCH(DATEVALUE($A33),'recurring1_based on steps'!AE$1:AE$400,0)),AE$2,)</f>
        <v>0</v>
      </c>
      <c r="AF33" s="179">
        <f ca="1">IF(ISNUMBER(MATCH(DATEVALUE($A33),'recurring1_based on steps'!AF$1:AF$400,0)),AF$2,)</f>
        <v>0</v>
      </c>
      <c r="AG33" s="179">
        <f ca="1">IF(ISNUMBER(MATCH(DATEVALUE($A33),'recurring1_based on steps'!AG$1:AG$400,0)),AG$2,)</f>
        <v>0</v>
      </c>
      <c r="AH33" s="179">
        <f ca="1">IF(ISNUMBER(MATCH(DATEVALUE($A33),'recurring1_based on steps'!AH$1:AH$400,0)),AH$2,)</f>
        <v>0</v>
      </c>
      <c r="AI33" s="179">
        <f ca="1">IF(ISNUMBER(MATCH(DATEVALUE($A33),'recurring1_based on steps'!AI$1:AI$400,0)),AI$2,)</f>
        <v>0</v>
      </c>
      <c r="AJ33" s="179">
        <f ca="1">IF(ISNUMBER(MATCH(DATEVALUE($A33),'recurring1_based on steps'!AJ$1:AJ$400,0)),AJ$2,)</f>
        <v>0</v>
      </c>
      <c r="AK33" s="179">
        <f ca="1">IF(ISNUMBER(MATCH(DATEVALUE($A33),'recurring1_based on steps'!AK$1:AK$400,0)),AK$2,)</f>
        <v>0</v>
      </c>
      <c r="AL33" s="179">
        <f ca="1">IF(ISNUMBER(MATCH(DATEVALUE($A33),'recurring1_based on steps'!AL$1:AL$400,0)),AL$2,)</f>
        <v>0</v>
      </c>
      <c r="AM33" s="179">
        <f ca="1">IF(ISNUMBER(MATCH(DATEVALUE($A33),'recurring1_based on steps'!AM$1:AM$400,0)),AM$2,)</f>
        <v>0</v>
      </c>
      <c r="AN33" s="179">
        <f ca="1">IF(ISNUMBER(MATCH(DATEVALUE($A33),'recurring1_based on steps'!AN$1:AN$400,0)),AN$2,)</f>
        <v>0</v>
      </c>
      <c r="AO33" s="179">
        <f ca="1">IF(ISNUMBER(MATCH(DATEVALUE($A33),'recurring1_based on steps'!AO$1:AO$400,0)),AO$2,)</f>
        <v>0</v>
      </c>
      <c r="AP33" s="179">
        <f ca="1">IF(ISNUMBER(MATCH(DATEVALUE($A33),'recurring1_based on steps'!AP$1:AP$400,0)),AP$2,)</f>
        <v>0</v>
      </c>
      <c r="AQ33" s="179">
        <f ca="1">IF(ISNUMBER(MATCH(DATEVALUE($A33),'recurring1_based on steps'!AQ$1:AQ$400,0)),AQ$2,)</f>
        <v>0</v>
      </c>
      <c r="AR33" s="179">
        <f ca="1">IF(ISNUMBER(MATCH(DATEVALUE($A33),'recurring1_based on steps'!AR$1:AR$400,0)),AR$2,)</f>
        <v>0</v>
      </c>
      <c r="AS33" s="179">
        <f ca="1">IF(ISNUMBER(MATCH(DATEVALUE($A33),'recurring1_based on steps'!AS$1:AS$400,0)),AS$2,)</f>
        <v>0</v>
      </c>
      <c r="AT33" s="179">
        <f ca="1">IF(ISNUMBER(MATCH(DATEVALUE($A33),'recurring1_based on steps'!AT$1:AT$400,0)),AT$2,)</f>
        <v>0</v>
      </c>
      <c r="AU33" s="179">
        <f ca="1">IF(ISNUMBER(MATCH(DATEVALUE($A33),'recurring1_based on steps'!AU$1:AU$400,0)),AU$2,)</f>
        <v>0</v>
      </c>
      <c r="AV33" s="179">
        <f ca="1">IF(ISNUMBER(MATCH(DATEVALUE($A33),'recurring1_based on steps'!AV$1:AV$400,0)),AV$2,)</f>
        <v>0</v>
      </c>
      <c r="AW33" s="179">
        <f ca="1">IF(ISNUMBER(MATCH(DATEVALUE($A33),'recurring1_based on steps'!AW$1:AW$400,0)),AW$2,)</f>
        <v>0</v>
      </c>
      <c r="AX33" s="179">
        <f ca="1">IF(ISNUMBER(MATCH(DATEVALUE($A33),'recurring1_based on steps'!AX$1:AX$400,0)),AX$2,)</f>
        <v>0</v>
      </c>
      <c r="AY33" s="179">
        <f ca="1">IF(ISNUMBER(MATCH(DATEVALUE($A33),'recurring1_based on steps'!AY$1:AY$400,0)),AY$2,)</f>
        <v>0</v>
      </c>
    </row>
    <row r="34" spans="1:51" x14ac:dyDescent="0.2">
      <c r="A34" s="32" t="str">
        <f t="shared" ca="1" si="0"/>
        <v>2025-05-06</v>
      </c>
      <c r="B34" s="179">
        <f ca="1">IF(ISNUMBER(MATCH(DATEVALUE($A34),'recurring1_based on steps'!B$1:B$400,0)),B$2,)</f>
        <v>0</v>
      </c>
      <c r="C34" s="179">
        <f ca="1">IF(ISNUMBER(MATCH(DATEVALUE($A34),'recurring1_based on steps'!C$1:C$400,0)),C$2,)</f>
        <v>0</v>
      </c>
      <c r="D34" s="179">
        <f ca="1">IF(ISNUMBER(MATCH(DATEVALUE($A34),'recurring1_based on steps'!D$1:D$400,0)),D$2,)</f>
        <v>0</v>
      </c>
      <c r="E34" s="179">
        <f ca="1">IF(ISNUMBER(MATCH(DATEVALUE($A34),'recurring1_based on steps'!E$1:E$400,0)),E$2,)</f>
        <v>0</v>
      </c>
      <c r="F34" s="179">
        <f ca="1">IF(ISNUMBER(MATCH(DATEVALUE($A34),'recurring1_based on steps'!F$1:F$400,0)),F$2,)</f>
        <v>0</v>
      </c>
      <c r="G34" s="179">
        <f ca="1">IF(ISNUMBER(MATCH(DATEVALUE($A34),'recurring1_based on steps'!G$1:G$400,0)),G$2,)</f>
        <v>0</v>
      </c>
      <c r="H34" s="179">
        <f ca="1">IF(ISNUMBER(MATCH(DATEVALUE($A34),'recurring1_based on steps'!H$1:H$400,0)),H$2,)</f>
        <v>0</v>
      </c>
      <c r="I34" s="179">
        <f ca="1">IF(ISNUMBER(MATCH(DATEVALUE($A34),'recurring1_based on steps'!I$1:I$400,0)),I$2,)</f>
        <v>0</v>
      </c>
      <c r="J34" s="179">
        <f ca="1">IF(ISNUMBER(MATCH(DATEVALUE($A34),'recurring1_based on steps'!J$1:J$400,0)),J$2,)</f>
        <v>0</v>
      </c>
      <c r="K34" s="179">
        <f ca="1">IF(ISNUMBER(MATCH(DATEVALUE($A34),'recurring1_based on steps'!K$1:K$400,0)),K$2,)</f>
        <v>0</v>
      </c>
      <c r="L34" s="179">
        <f ca="1">IF(ISNUMBER(MATCH(DATEVALUE($A34),'recurring1_based on steps'!L$1:L$400,0)),L$2,)</f>
        <v>0</v>
      </c>
      <c r="M34" s="179">
        <f ca="1">IF(ISNUMBER(MATCH(DATEVALUE($A34),'recurring1_based on steps'!M$1:M$400,0)),M$2,)</f>
        <v>0</v>
      </c>
      <c r="N34" s="179">
        <f ca="1">IF(ISNUMBER(MATCH(DATEVALUE($A34),'recurring1_based on steps'!N$1:N$400,0)),N$2,)</f>
        <v>0</v>
      </c>
      <c r="O34" s="179">
        <f ca="1">IF(ISNUMBER(MATCH(DATEVALUE($A34),'recurring1_based on steps'!O$1:O$400,0)),O$2,)</f>
        <v>0</v>
      </c>
      <c r="P34" s="179">
        <f ca="1">IF(ISNUMBER(MATCH(DATEVALUE($A34),'recurring1_based on steps'!P$1:P$400,0)),P$2,)</f>
        <v>0</v>
      </c>
      <c r="Q34" s="179">
        <f ca="1">IF(ISNUMBER(MATCH(DATEVALUE($A34),'recurring1_based on steps'!Q$1:Q$400,0)),Q$2,)</f>
        <v>0</v>
      </c>
      <c r="R34" s="179">
        <f ca="1">IF(ISNUMBER(MATCH(DATEVALUE($A34),'recurring1_based on steps'!R$1:R$400,0)),R$2,)</f>
        <v>0</v>
      </c>
      <c r="S34" s="179">
        <f ca="1">IF(ISNUMBER(MATCH(DATEVALUE($A34),'recurring1_based on steps'!S$1:S$400,0)),S$2,)</f>
        <v>0</v>
      </c>
      <c r="T34" s="179">
        <f ca="1">IF(ISNUMBER(MATCH(DATEVALUE($A34),'recurring1_based on steps'!T$1:T$400,0)),T$2,)</f>
        <v>0</v>
      </c>
      <c r="U34" s="179">
        <f ca="1">IF(ISNUMBER(MATCH(DATEVALUE($A34),'recurring1_based on steps'!U$1:U$400,0)),U$2,)</f>
        <v>0</v>
      </c>
      <c r="V34" s="179">
        <f ca="1">IF(ISNUMBER(MATCH(DATEVALUE($A34),'recurring1_based on steps'!V$1:V$400,0)),V$2,)</f>
        <v>0</v>
      </c>
      <c r="W34" s="179">
        <f ca="1">IF(ISNUMBER(MATCH(DATEVALUE($A34),'recurring1_based on steps'!W$1:W$400,0)),W$2,)</f>
        <v>0</v>
      </c>
      <c r="X34" s="179">
        <f ca="1">IF(ISNUMBER(MATCH(DATEVALUE($A34),'recurring1_based on steps'!X$1:X$400,0)),X$2,)</f>
        <v>0</v>
      </c>
      <c r="Y34" s="179">
        <f ca="1">IF(ISNUMBER(MATCH(DATEVALUE($A34),'recurring1_based on steps'!Y$1:Y$400,0)),Y$2,)</f>
        <v>0</v>
      </c>
      <c r="Z34" s="179">
        <f ca="1">IF(ISNUMBER(MATCH(DATEVALUE($A34),'recurring1_based on steps'!Z$1:Z$400,0)),Z$2,)</f>
        <v>0</v>
      </c>
      <c r="AA34" s="179">
        <f ca="1">IF(ISNUMBER(MATCH(DATEVALUE($A34),'recurring1_based on steps'!AA$1:AA$400,0)),AA$2,)</f>
        <v>0</v>
      </c>
      <c r="AB34" s="179">
        <f ca="1">IF(ISNUMBER(MATCH(DATEVALUE($A34),'recurring1_based on steps'!AB$1:AB$400,0)),AB$2,)</f>
        <v>0</v>
      </c>
      <c r="AC34" s="179">
        <f ca="1">IF(ISNUMBER(MATCH(DATEVALUE($A34),'recurring1_based on steps'!AC$1:AC$400,0)),AC$2,)</f>
        <v>0</v>
      </c>
      <c r="AD34" s="179">
        <f ca="1">IF(ISNUMBER(MATCH(DATEVALUE($A34),'recurring1_based on steps'!AD$1:AD$400,0)),AD$2,)</f>
        <v>0</v>
      </c>
      <c r="AE34" s="179">
        <f ca="1">IF(ISNUMBER(MATCH(DATEVALUE($A34),'recurring1_based on steps'!AE$1:AE$400,0)),AE$2,)</f>
        <v>0</v>
      </c>
      <c r="AF34" s="179">
        <f ca="1">IF(ISNUMBER(MATCH(DATEVALUE($A34),'recurring1_based on steps'!AF$1:AF$400,0)),AF$2,)</f>
        <v>0</v>
      </c>
      <c r="AG34" s="179">
        <f ca="1">IF(ISNUMBER(MATCH(DATEVALUE($A34),'recurring1_based on steps'!AG$1:AG$400,0)),AG$2,)</f>
        <v>0</v>
      </c>
      <c r="AH34" s="179">
        <f ca="1">IF(ISNUMBER(MATCH(DATEVALUE($A34),'recurring1_based on steps'!AH$1:AH$400,0)),AH$2,)</f>
        <v>0</v>
      </c>
      <c r="AI34" s="179">
        <f ca="1">IF(ISNUMBER(MATCH(DATEVALUE($A34),'recurring1_based on steps'!AI$1:AI$400,0)),AI$2,)</f>
        <v>0</v>
      </c>
      <c r="AJ34" s="179">
        <f ca="1">IF(ISNUMBER(MATCH(DATEVALUE($A34),'recurring1_based on steps'!AJ$1:AJ$400,0)),AJ$2,)</f>
        <v>0</v>
      </c>
      <c r="AK34" s="179">
        <f ca="1">IF(ISNUMBER(MATCH(DATEVALUE($A34),'recurring1_based on steps'!AK$1:AK$400,0)),AK$2,)</f>
        <v>0</v>
      </c>
      <c r="AL34" s="179">
        <f ca="1">IF(ISNUMBER(MATCH(DATEVALUE($A34),'recurring1_based on steps'!AL$1:AL$400,0)),AL$2,)</f>
        <v>0</v>
      </c>
      <c r="AM34" s="179">
        <f ca="1">IF(ISNUMBER(MATCH(DATEVALUE($A34),'recurring1_based on steps'!AM$1:AM$400,0)),AM$2,)</f>
        <v>0</v>
      </c>
      <c r="AN34" s="179">
        <f ca="1">IF(ISNUMBER(MATCH(DATEVALUE($A34),'recurring1_based on steps'!AN$1:AN$400,0)),AN$2,)</f>
        <v>0</v>
      </c>
      <c r="AO34" s="179">
        <f ca="1">IF(ISNUMBER(MATCH(DATEVALUE($A34),'recurring1_based on steps'!AO$1:AO$400,0)),AO$2,)</f>
        <v>0</v>
      </c>
      <c r="AP34" s="179">
        <f ca="1">IF(ISNUMBER(MATCH(DATEVALUE($A34),'recurring1_based on steps'!AP$1:AP$400,0)),AP$2,)</f>
        <v>0</v>
      </c>
      <c r="AQ34" s="179">
        <f ca="1">IF(ISNUMBER(MATCH(DATEVALUE($A34),'recurring1_based on steps'!AQ$1:AQ$400,0)),AQ$2,)</f>
        <v>0</v>
      </c>
      <c r="AR34" s="179">
        <f ca="1">IF(ISNUMBER(MATCH(DATEVALUE($A34),'recurring1_based on steps'!AR$1:AR$400,0)),AR$2,)</f>
        <v>0</v>
      </c>
      <c r="AS34" s="179">
        <f ca="1">IF(ISNUMBER(MATCH(DATEVALUE($A34),'recurring1_based on steps'!AS$1:AS$400,0)),AS$2,)</f>
        <v>0</v>
      </c>
      <c r="AT34" s="179">
        <f ca="1">IF(ISNUMBER(MATCH(DATEVALUE($A34),'recurring1_based on steps'!AT$1:AT$400,0)),AT$2,)</f>
        <v>0</v>
      </c>
      <c r="AU34" s="179">
        <f ca="1">IF(ISNUMBER(MATCH(DATEVALUE($A34),'recurring1_based on steps'!AU$1:AU$400,0)),AU$2,)</f>
        <v>0</v>
      </c>
      <c r="AV34" s="179">
        <f ca="1">IF(ISNUMBER(MATCH(DATEVALUE($A34),'recurring1_based on steps'!AV$1:AV$400,0)),AV$2,)</f>
        <v>0</v>
      </c>
      <c r="AW34" s="179">
        <f ca="1">IF(ISNUMBER(MATCH(DATEVALUE($A34),'recurring1_based on steps'!AW$1:AW$400,0)),AW$2,)</f>
        <v>0</v>
      </c>
      <c r="AX34" s="179">
        <f ca="1">IF(ISNUMBER(MATCH(DATEVALUE($A34),'recurring1_based on steps'!AX$1:AX$400,0)),AX$2,)</f>
        <v>0</v>
      </c>
      <c r="AY34" s="179">
        <f ca="1">IF(ISNUMBER(MATCH(DATEVALUE($A34),'recurring1_based on steps'!AY$1:AY$400,0)),AY$2,)</f>
        <v>0</v>
      </c>
    </row>
    <row r="35" spans="1:51" x14ac:dyDescent="0.2">
      <c r="A35" s="32" t="str">
        <f t="shared" ca="1" si="0"/>
        <v>2025-05-07</v>
      </c>
      <c r="B35" s="179">
        <f ca="1">IF(ISNUMBER(MATCH(DATEVALUE($A35),'recurring1_based on steps'!B$1:B$400,0)),B$2,)</f>
        <v>0</v>
      </c>
      <c r="C35" s="179">
        <f ca="1">IF(ISNUMBER(MATCH(DATEVALUE($A35),'recurring1_based on steps'!C$1:C$400,0)),C$2,)</f>
        <v>0</v>
      </c>
      <c r="D35" s="179">
        <f ca="1">IF(ISNUMBER(MATCH(DATEVALUE($A35),'recurring1_based on steps'!D$1:D$400,0)),D$2,)</f>
        <v>0</v>
      </c>
      <c r="E35" s="179">
        <f ca="1">IF(ISNUMBER(MATCH(DATEVALUE($A35),'recurring1_based on steps'!E$1:E$400,0)),E$2,)</f>
        <v>0</v>
      </c>
      <c r="F35" s="179">
        <f ca="1">IF(ISNUMBER(MATCH(DATEVALUE($A35),'recurring1_based on steps'!F$1:F$400,0)),F$2,)</f>
        <v>0</v>
      </c>
      <c r="G35" s="179">
        <f ca="1">IF(ISNUMBER(MATCH(DATEVALUE($A35),'recurring1_based on steps'!G$1:G$400,0)),G$2,)</f>
        <v>0</v>
      </c>
      <c r="H35" s="179">
        <f ca="1">IF(ISNUMBER(MATCH(DATEVALUE($A35),'recurring1_based on steps'!H$1:H$400,0)),H$2,)</f>
        <v>0</v>
      </c>
      <c r="I35" s="179">
        <f ca="1">IF(ISNUMBER(MATCH(DATEVALUE($A35),'recurring1_based on steps'!I$1:I$400,0)),I$2,)</f>
        <v>0</v>
      </c>
      <c r="J35" s="179">
        <f ca="1">IF(ISNUMBER(MATCH(DATEVALUE($A35),'recurring1_based on steps'!J$1:J$400,0)),J$2,)</f>
        <v>0</v>
      </c>
      <c r="K35" s="179">
        <f ca="1">IF(ISNUMBER(MATCH(DATEVALUE($A35),'recurring1_based on steps'!K$1:K$400,0)),K$2,)</f>
        <v>0</v>
      </c>
      <c r="L35" s="179">
        <f ca="1">IF(ISNUMBER(MATCH(DATEVALUE($A35),'recurring1_based on steps'!L$1:L$400,0)),L$2,)</f>
        <v>0</v>
      </c>
      <c r="M35" s="179">
        <f ca="1">IF(ISNUMBER(MATCH(DATEVALUE($A35),'recurring1_based on steps'!M$1:M$400,0)),M$2,)</f>
        <v>0</v>
      </c>
      <c r="N35" s="179">
        <f ca="1">IF(ISNUMBER(MATCH(DATEVALUE($A35),'recurring1_based on steps'!N$1:N$400,0)),N$2,)</f>
        <v>0</v>
      </c>
      <c r="O35" s="179">
        <f ca="1">IF(ISNUMBER(MATCH(DATEVALUE($A35),'recurring1_based on steps'!O$1:O$400,0)),O$2,)</f>
        <v>0</v>
      </c>
      <c r="P35" s="179">
        <f ca="1">IF(ISNUMBER(MATCH(DATEVALUE($A35),'recurring1_based on steps'!P$1:P$400,0)),P$2,)</f>
        <v>0</v>
      </c>
      <c r="Q35" s="179">
        <f ca="1">IF(ISNUMBER(MATCH(DATEVALUE($A35),'recurring1_based on steps'!Q$1:Q$400,0)),Q$2,)</f>
        <v>0</v>
      </c>
      <c r="R35" s="179">
        <f ca="1">IF(ISNUMBER(MATCH(DATEVALUE($A35),'recurring1_based on steps'!R$1:R$400,0)),R$2,)</f>
        <v>0</v>
      </c>
      <c r="S35" s="179">
        <f ca="1">IF(ISNUMBER(MATCH(DATEVALUE($A35),'recurring1_based on steps'!S$1:S$400,0)),S$2,)</f>
        <v>0</v>
      </c>
      <c r="T35" s="179">
        <f ca="1">IF(ISNUMBER(MATCH(DATEVALUE($A35),'recurring1_based on steps'!T$1:T$400,0)),T$2,)</f>
        <v>0</v>
      </c>
      <c r="U35" s="179">
        <f ca="1">IF(ISNUMBER(MATCH(DATEVALUE($A35),'recurring1_based on steps'!U$1:U$400,0)),U$2,)</f>
        <v>0</v>
      </c>
      <c r="V35" s="179">
        <f ca="1">IF(ISNUMBER(MATCH(DATEVALUE($A35),'recurring1_based on steps'!V$1:V$400,0)),V$2,)</f>
        <v>0</v>
      </c>
      <c r="W35" s="179">
        <f ca="1">IF(ISNUMBER(MATCH(DATEVALUE($A35),'recurring1_based on steps'!W$1:W$400,0)),W$2,)</f>
        <v>0</v>
      </c>
      <c r="X35" s="179">
        <f ca="1">IF(ISNUMBER(MATCH(DATEVALUE($A35),'recurring1_based on steps'!X$1:X$400,0)),X$2,)</f>
        <v>0</v>
      </c>
      <c r="Y35" s="179">
        <f ca="1">IF(ISNUMBER(MATCH(DATEVALUE($A35),'recurring1_based on steps'!Y$1:Y$400,0)),Y$2,)</f>
        <v>0</v>
      </c>
      <c r="Z35" s="179">
        <f ca="1">IF(ISNUMBER(MATCH(DATEVALUE($A35),'recurring1_based on steps'!Z$1:Z$400,0)),Z$2,)</f>
        <v>0</v>
      </c>
      <c r="AA35" s="179">
        <f ca="1">IF(ISNUMBER(MATCH(DATEVALUE($A35),'recurring1_based on steps'!AA$1:AA$400,0)),AA$2,)</f>
        <v>0</v>
      </c>
      <c r="AB35" s="179">
        <f ca="1">IF(ISNUMBER(MATCH(DATEVALUE($A35),'recurring1_based on steps'!AB$1:AB$400,0)),AB$2,)</f>
        <v>0</v>
      </c>
      <c r="AC35" s="179">
        <f ca="1">IF(ISNUMBER(MATCH(DATEVALUE($A35),'recurring1_based on steps'!AC$1:AC$400,0)),AC$2,)</f>
        <v>0</v>
      </c>
      <c r="AD35" s="179">
        <f ca="1">IF(ISNUMBER(MATCH(DATEVALUE($A35),'recurring1_based on steps'!AD$1:AD$400,0)),AD$2,)</f>
        <v>0</v>
      </c>
      <c r="AE35" s="179">
        <f ca="1">IF(ISNUMBER(MATCH(DATEVALUE($A35),'recurring1_based on steps'!AE$1:AE$400,0)),AE$2,)</f>
        <v>0</v>
      </c>
      <c r="AF35" s="179">
        <f ca="1">IF(ISNUMBER(MATCH(DATEVALUE($A35),'recurring1_based on steps'!AF$1:AF$400,0)),AF$2,)</f>
        <v>0</v>
      </c>
      <c r="AG35" s="179">
        <f ca="1">IF(ISNUMBER(MATCH(DATEVALUE($A35),'recurring1_based on steps'!AG$1:AG$400,0)),AG$2,)</f>
        <v>0</v>
      </c>
      <c r="AH35" s="179">
        <f ca="1">IF(ISNUMBER(MATCH(DATEVALUE($A35),'recurring1_based on steps'!AH$1:AH$400,0)),AH$2,)</f>
        <v>0</v>
      </c>
      <c r="AI35" s="179">
        <f ca="1">IF(ISNUMBER(MATCH(DATEVALUE($A35),'recurring1_based on steps'!AI$1:AI$400,0)),AI$2,)</f>
        <v>0</v>
      </c>
      <c r="AJ35" s="179">
        <f ca="1">IF(ISNUMBER(MATCH(DATEVALUE($A35),'recurring1_based on steps'!AJ$1:AJ$400,0)),AJ$2,)</f>
        <v>0</v>
      </c>
      <c r="AK35" s="179">
        <f ca="1">IF(ISNUMBER(MATCH(DATEVALUE($A35),'recurring1_based on steps'!AK$1:AK$400,0)),AK$2,)</f>
        <v>0</v>
      </c>
      <c r="AL35" s="179">
        <f ca="1">IF(ISNUMBER(MATCH(DATEVALUE($A35),'recurring1_based on steps'!AL$1:AL$400,0)),AL$2,)</f>
        <v>0</v>
      </c>
      <c r="AM35" s="179">
        <f ca="1">IF(ISNUMBER(MATCH(DATEVALUE($A35),'recurring1_based on steps'!AM$1:AM$400,0)),AM$2,)</f>
        <v>0</v>
      </c>
      <c r="AN35" s="179">
        <f ca="1">IF(ISNUMBER(MATCH(DATEVALUE($A35),'recurring1_based on steps'!AN$1:AN$400,0)),AN$2,)</f>
        <v>0</v>
      </c>
      <c r="AO35" s="179">
        <f ca="1">IF(ISNUMBER(MATCH(DATEVALUE($A35),'recurring1_based on steps'!AO$1:AO$400,0)),AO$2,)</f>
        <v>0</v>
      </c>
      <c r="AP35" s="179">
        <f ca="1">IF(ISNUMBER(MATCH(DATEVALUE($A35),'recurring1_based on steps'!AP$1:AP$400,0)),AP$2,)</f>
        <v>0</v>
      </c>
      <c r="AQ35" s="179">
        <f ca="1">IF(ISNUMBER(MATCH(DATEVALUE($A35),'recurring1_based on steps'!AQ$1:AQ$400,0)),AQ$2,)</f>
        <v>0</v>
      </c>
      <c r="AR35" s="179">
        <f ca="1">IF(ISNUMBER(MATCH(DATEVALUE($A35),'recurring1_based on steps'!AR$1:AR$400,0)),AR$2,)</f>
        <v>0</v>
      </c>
      <c r="AS35" s="179">
        <f ca="1">IF(ISNUMBER(MATCH(DATEVALUE($A35),'recurring1_based on steps'!AS$1:AS$400,0)),AS$2,)</f>
        <v>0</v>
      </c>
      <c r="AT35" s="179">
        <f ca="1">IF(ISNUMBER(MATCH(DATEVALUE($A35),'recurring1_based on steps'!AT$1:AT$400,0)),AT$2,)</f>
        <v>0</v>
      </c>
      <c r="AU35" s="179">
        <f ca="1">IF(ISNUMBER(MATCH(DATEVALUE($A35),'recurring1_based on steps'!AU$1:AU$400,0)),AU$2,)</f>
        <v>0</v>
      </c>
      <c r="AV35" s="179">
        <f ca="1">IF(ISNUMBER(MATCH(DATEVALUE($A35),'recurring1_based on steps'!AV$1:AV$400,0)),AV$2,)</f>
        <v>0</v>
      </c>
      <c r="AW35" s="179">
        <f ca="1">IF(ISNUMBER(MATCH(DATEVALUE($A35),'recurring1_based on steps'!AW$1:AW$400,0)),AW$2,)</f>
        <v>0</v>
      </c>
      <c r="AX35" s="179">
        <f ca="1">IF(ISNUMBER(MATCH(DATEVALUE($A35),'recurring1_based on steps'!AX$1:AX$400,0)),AX$2,)</f>
        <v>0</v>
      </c>
      <c r="AY35" s="179">
        <f ca="1">IF(ISNUMBER(MATCH(DATEVALUE($A35),'recurring1_based on steps'!AY$1:AY$400,0)),AY$2,)</f>
        <v>0</v>
      </c>
    </row>
    <row r="36" spans="1:51" x14ac:dyDescent="0.2">
      <c r="A36" s="32" t="str">
        <f t="shared" ca="1" si="0"/>
        <v>2025-05-08</v>
      </c>
      <c r="B36" s="179">
        <f ca="1">IF(ISNUMBER(MATCH(DATEVALUE($A36),'recurring1_based on steps'!B$1:B$400,0)),B$2,)</f>
        <v>0</v>
      </c>
      <c r="C36" s="179">
        <f ca="1">IF(ISNUMBER(MATCH(DATEVALUE($A36),'recurring1_based on steps'!C$1:C$400,0)),C$2,)</f>
        <v>0</v>
      </c>
      <c r="D36" s="179">
        <f ca="1">IF(ISNUMBER(MATCH(DATEVALUE($A36),'recurring1_based on steps'!D$1:D$400,0)),D$2,)</f>
        <v>0</v>
      </c>
      <c r="E36" s="179">
        <f ca="1">IF(ISNUMBER(MATCH(DATEVALUE($A36),'recurring1_based on steps'!E$1:E$400,0)),E$2,)</f>
        <v>0</v>
      </c>
      <c r="F36" s="179">
        <f ca="1">IF(ISNUMBER(MATCH(DATEVALUE($A36),'recurring1_based on steps'!F$1:F$400,0)),F$2,)</f>
        <v>0</v>
      </c>
      <c r="G36" s="179">
        <f ca="1">IF(ISNUMBER(MATCH(DATEVALUE($A36),'recurring1_based on steps'!G$1:G$400,0)),G$2,)</f>
        <v>0</v>
      </c>
      <c r="H36" s="179">
        <f ca="1">IF(ISNUMBER(MATCH(DATEVALUE($A36),'recurring1_based on steps'!H$1:H$400,0)),H$2,)</f>
        <v>0</v>
      </c>
      <c r="I36" s="179">
        <f ca="1">IF(ISNUMBER(MATCH(DATEVALUE($A36),'recurring1_based on steps'!I$1:I$400,0)),I$2,)</f>
        <v>0</v>
      </c>
      <c r="J36" s="179">
        <f ca="1">IF(ISNUMBER(MATCH(DATEVALUE($A36),'recurring1_based on steps'!J$1:J$400,0)),J$2,)</f>
        <v>0</v>
      </c>
      <c r="K36" s="179">
        <f ca="1">IF(ISNUMBER(MATCH(DATEVALUE($A36),'recurring1_based on steps'!K$1:K$400,0)),K$2,)</f>
        <v>0</v>
      </c>
      <c r="L36" s="179">
        <f ca="1">IF(ISNUMBER(MATCH(DATEVALUE($A36),'recurring1_based on steps'!L$1:L$400,0)),L$2,)</f>
        <v>0</v>
      </c>
      <c r="M36" s="179">
        <f ca="1">IF(ISNUMBER(MATCH(DATEVALUE($A36),'recurring1_based on steps'!M$1:M$400,0)),M$2,)</f>
        <v>0</v>
      </c>
      <c r="N36" s="179">
        <f ca="1">IF(ISNUMBER(MATCH(DATEVALUE($A36),'recurring1_based on steps'!N$1:N$400,0)),N$2,)</f>
        <v>0</v>
      </c>
      <c r="O36" s="179">
        <f ca="1">IF(ISNUMBER(MATCH(DATEVALUE($A36),'recurring1_based on steps'!O$1:O$400,0)),O$2,)</f>
        <v>0</v>
      </c>
      <c r="P36" s="179">
        <f ca="1">IF(ISNUMBER(MATCH(DATEVALUE($A36),'recurring1_based on steps'!P$1:P$400,0)),P$2,)</f>
        <v>0</v>
      </c>
      <c r="Q36" s="179">
        <f ca="1">IF(ISNUMBER(MATCH(DATEVALUE($A36),'recurring1_based on steps'!Q$1:Q$400,0)),Q$2,)</f>
        <v>0</v>
      </c>
      <c r="R36" s="179">
        <f ca="1">IF(ISNUMBER(MATCH(DATEVALUE($A36),'recurring1_based on steps'!R$1:R$400,0)),R$2,)</f>
        <v>0</v>
      </c>
      <c r="S36" s="179">
        <f ca="1">IF(ISNUMBER(MATCH(DATEVALUE($A36),'recurring1_based on steps'!S$1:S$400,0)),S$2,)</f>
        <v>0</v>
      </c>
      <c r="T36" s="179">
        <f ca="1">IF(ISNUMBER(MATCH(DATEVALUE($A36),'recurring1_based on steps'!T$1:T$400,0)),T$2,)</f>
        <v>0</v>
      </c>
      <c r="U36" s="179">
        <f ca="1">IF(ISNUMBER(MATCH(DATEVALUE($A36),'recurring1_based on steps'!U$1:U$400,0)),U$2,)</f>
        <v>0</v>
      </c>
      <c r="V36" s="179">
        <f ca="1">IF(ISNUMBER(MATCH(DATEVALUE($A36),'recurring1_based on steps'!V$1:V$400,0)),V$2,)</f>
        <v>0</v>
      </c>
      <c r="W36" s="179">
        <f ca="1">IF(ISNUMBER(MATCH(DATEVALUE($A36),'recurring1_based on steps'!W$1:W$400,0)),W$2,)</f>
        <v>0</v>
      </c>
      <c r="X36" s="179">
        <f ca="1">IF(ISNUMBER(MATCH(DATEVALUE($A36),'recurring1_based on steps'!X$1:X$400,0)),X$2,)</f>
        <v>0</v>
      </c>
      <c r="Y36" s="179">
        <f ca="1">IF(ISNUMBER(MATCH(DATEVALUE($A36),'recurring1_based on steps'!Y$1:Y$400,0)),Y$2,)</f>
        <v>0</v>
      </c>
      <c r="Z36" s="179">
        <f ca="1">IF(ISNUMBER(MATCH(DATEVALUE($A36),'recurring1_based on steps'!Z$1:Z$400,0)),Z$2,)</f>
        <v>0</v>
      </c>
      <c r="AA36" s="179">
        <f ca="1">IF(ISNUMBER(MATCH(DATEVALUE($A36),'recurring1_based on steps'!AA$1:AA$400,0)),AA$2,)</f>
        <v>0</v>
      </c>
      <c r="AB36" s="179">
        <f ca="1">IF(ISNUMBER(MATCH(DATEVALUE($A36),'recurring1_based on steps'!AB$1:AB$400,0)),AB$2,)</f>
        <v>0</v>
      </c>
      <c r="AC36" s="179">
        <f ca="1">IF(ISNUMBER(MATCH(DATEVALUE($A36),'recurring1_based on steps'!AC$1:AC$400,0)),AC$2,)</f>
        <v>0</v>
      </c>
      <c r="AD36" s="179">
        <f ca="1">IF(ISNUMBER(MATCH(DATEVALUE($A36),'recurring1_based on steps'!AD$1:AD$400,0)),AD$2,)</f>
        <v>0</v>
      </c>
      <c r="AE36" s="179">
        <f ca="1">IF(ISNUMBER(MATCH(DATEVALUE($A36),'recurring1_based on steps'!AE$1:AE$400,0)),AE$2,)</f>
        <v>0</v>
      </c>
      <c r="AF36" s="179">
        <f ca="1">IF(ISNUMBER(MATCH(DATEVALUE($A36),'recurring1_based on steps'!AF$1:AF$400,0)),AF$2,)</f>
        <v>0</v>
      </c>
      <c r="AG36" s="179">
        <f ca="1">IF(ISNUMBER(MATCH(DATEVALUE($A36),'recurring1_based on steps'!AG$1:AG$400,0)),AG$2,)</f>
        <v>0</v>
      </c>
      <c r="AH36" s="179">
        <f ca="1">IF(ISNUMBER(MATCH(DATEVALUE($A36),'recurring1_based on steps'!AH$1:AH$400,0)),AH$2,)</f>
        <v>0</v>
      </c>
      <c r="AI36" s="179">
        <f ca="1">IF(ISNUMBER(MATCH(DATEVALUE($A36),'recurring1_based on steps'!AI$1:AI$400,0)),AI$2,)</f>
        <v>0</v>
      </c>
      <c r="AJ36" s="179">
        <f ca="1">IF(ISNUMBER(MATCH(DATEVALUE($A36),'recurring1_based on steps'!AJ$1:AJ$400,0)),AJ$2,)</f>
        <v>0</v>
      </c>
      <c r="AK36" s="179">
        <f ca="1">IF(ISNUMBER(MATCH(DATEVALUE($A36),'recurring1_based on steps'!AK$1:AK$400,0)),AK$2,)</f>
        <v>0</v>
      </c>
      <c r="AL36" s="179">
        <f ca="1">IF(ISNUMBER(MATCH(DATEVALUE($A36),'recurring1_based on steps'!AL$1:AL$400,0)),AL$2,)</f>
        <v>0</v>
      </c>
      <c r="AM36" s="179">
        <f ca="1">IF(ISNUMBER(MATCH(DATEVALUE($A36),'recurring1_based on steps'!AM$1:AM$400,0)),AM$2,)</f>
        <v>0</v>
      </c>
      <c r="AN36" s="179">
        <f ca="1">IF(ISNUMBER(MATCH(DATEVALUE($A36),'recurring1_based on steps'!AN$1:AN$400,0)),AN$2,)</f>
        <v>0</v>
      </c>
      <c r="AO36" s="179">
        <f ca="1">IF(ISNUMBER(MATCH(DATEVALUE($A36),'recurring1_based on steps'!AO$1:AO$400,0)),AO$2,)</f>
        <v>0</v>
      </c>
      <c r="AP36" s="179">
        <f ca="1">IF(ISNUMBER(MATCH(DATEVALUE($A36),'recurring1_based on steps'!AP$1:AP$400,0)),AP$2,)</f>
        <v>0</v>
      </c>
      <c r="AQ36" s="179">
        <f ca="1">IF(ISNUMBER(MATCH(DATEVALUE($A36),'recurring1_based on steps'!AQ$1:AQ$400,0)),AQ$2,)</f>
        <v>0</v>
      </c>
      <c r="AR36" s="179">
        <f ca="1">IF(ISNUMBER(MATCH(DATEVALUE($A36),'recurring1_based on steps'!AR$1:AR$400,0)),AR$2,)</f>
        <v>0</v>
      </c>
      <c r="AS36" s="179">
        <f ca="1">IF(ISNUMBER(MATCH(DATEVALUE($A36),'recurring1_based on steps'!AS$1:AS$400,0)),AS$2,)</f>
        <v>0</v>
      </c>
      <c r="AT36" s="179">
        <f ca="1">IF(ISNUMBER(MATCH(DATEVALUE($A36),'recurring1_based on steps'!AT$1:AT$400,0)),AT$2,)</f>
        <v>0</v>
      </c>
      <c r="AU36" s="179">
        <f ca="1">IF(ISNUMBER(MATCH(DATEVALUE($A36),'recurring1_based on steps'!AU$1:AU$400,0)),AU$2,)</f>
        <v>0</v>
      </c>
      <c r="AV36" s="179">
        <f ca="1">IF(ISNUMBER(MATCH(DATEVALUE($A36),'recurring1_based on steps'!AV$1:AV$400,0)),AV$2,)</f>
        <v>0</v>
      </c>
      <c r="AW36" s="179">
        <f ca="1">IF(ISNUMBER(MATCH(DATEVALUE($A36),'recurring1_based on steps'!AW$1:AW$400,0)),AW$2,)</f>
        <v>0</v>
      </c>
      <c r="AX36" s="179">
        <f ca="1">IF(ISNUMBER(MATCH(DATEVALUE($A36),'recurring1_based on steps'!AX$1:AX$400,0)),AX$2,)</f>
        <v>0</v>
      </c>
      <c r="AY36" s="179">
        <f ca="1">IF(ISNUMBER(MATCH(DATEVALUE($A36),'recurring1_based on steps'!AY$1:AY$400,0)),AY$2,)</f>
        <v>0</v>
      </c>
    </row>
    <row r="37" spans="1:51" x14ac:dyDescent="0.2">
      <c r="A37" s="32" t="str">
        <f t="shared" ca="1" si="0"/>
        <v>2025-05-09</v>
      </c>
      <c r="B37" s="179">
        <f ca="1">IF(ISNUMBER(MATCH(DATEVALUE($A37),'recurring1_based on steps'!B$1:B$400,0)),B$2,)</f>
        <v>0</v>
      </c>
      <c r="C37" s="179">
        <f ca="1">IF(ISNUMBER(MATCH(DATEVALUE($A37),'recurring1_based on steps'!C$1:C$400,0)),C$2,)</f>
        <v>0</v>
      </c>
      <c r="D37" s="179">
        <f ca="1">IF(ISNUMBER(MATCH(DATEVALUE($A37),'recurring1_based on steps'!D$1:D$400,0)),D$2,)</f>
        <v>0</v>
      </c>
      <c r="E37" s="179">
        <f ca="1">IF(ISNUMBER(MATCH(DATEVALUE($A37),'recurring1_based on steps'!E$1:E$400,0)),E$2,)</f>
        <v>0</v>
      </c>
      <c r="F37" s="179">
        <f ca="1">IF(ISNUMBER(MATCH(DATEVALUE($A37),'recurring1_based on steps'!F$1:F$400,0)),F$2,)</f>
        <v>0</v>
      </c>
      <c r="G37" s="179">
        <f ca="1">IF(ISNUMBER(MATCH(DATEVALUE($A37),'recurring1_based on steps'!G$1:G$400,0)),G$2,)</f>
        <v>0</v>
      </c>
      <c r="H37" s="179">
        <f ca="1">IF(ISNUMBER(MATCH(DATEVALUE($A37),'recurring1_based on steps'!H$1:H$400,0)),H$2,)</f>
        <v>0</v>
      </c>
      <c r="I37" s="179">
        <f ca="1">IF(ISNUMBER(MATCH(DATEVALUE($A37),'recurring1_based on steps'!I$1:I$400,0)),I$2,)</f>
        <v>0</v>
      </c>
      <c r="J37" s="179">
        <f ca="1">IF(ISNUMBER(MATCH(DATEVALUE($A37),'recurring1_based on steps'!J$1:J$400,0)),J$2,)</f>
        <v>0</v>
      </c>
      <c r="K37" s="179">
        <f ca="1">IF(ISNUMBER(MATCH(DATEVALUE($A37),'recurring1_based on steps'!K$1:K$400,0)),K$2,)</f>
        <v>0</v>
      </c>
      <c r="L37" s="179">
        <f ca="1">IF(ISNUMBER(MATCH(DATEVALUE($A37),'recurring1_based on steps'!L$1:L$400,0)),L$2,)</f>
        <v>0</v>
      </c>
      <c r="M37" s="179">
        <f ca="1">IF(ISNUMBER(MATCH(DATEVALUE($A37),'recurring1_based on steps'!M$1:M$400,0)),M$2,)</f>
        <v>0</v>
      </c>
      <c r="N37" s="179">
        <f ca="1">IF(ISNUMBER(MATCH(DATEVALUE($A37),'recurring1_based on steps'!N$1:N$400,0)),N$2,)</f>
        <v>0</v>
      </c>
      <c r="O37" s="179">
        <f ca="1">IF(ISNUMBER(MATCH(DATEVALUE($A37),'recurring1_based on steps'!O$1:O$400,0)),O$2,)</f>
        <v>0</v>
      </c>
      <c r="P37" s="179">
        <f ca="1">IF(ISNUMBER(MATCH(DATEVALUE($A37),'recurring1_based on steps'!P$1:P$400,0)),P$2,)</f>
        <v>0</v>
      </c>
      <c r="Q37" s="179">
        <f ca="1">IF(ISNUMBER(MATCH(DATEVALUE($A37),'recurring1_based on steps'!Q$1:Q$400,0)),Q$2,)</f>
        <v>0</v>
      </c>
      <c r="R37" s="179">
        <f ca="1">IF(ISNUMBER(MATCH(DATEVALUE($A37),'recurring1_based on steps'!R$1:R$400,0)),R$2,)</f>
        <v>0</v>
      </c>
      <c r="S37" s="179">
        <f ca="1">IF(ISNUMBER(MATCH(DATEVALUE($A37),'recurring1_based on steps'!S$1:S$400,0)),S$2,)</f>
        <v>0</v>
      </c>
      <c r="T37" s="179">
        <f ca="1">IF(ISNUMBER(MATCH(DATEVALUE($A37),'recurring1_based on steps'!T$1:T$400,0)),T$2,)</f>
        <v>0</v>
      </c>
      <c r="U37" s="179">
        <f ca="1">IF(ISNUMBER(MATCH(DATEVALUE($A37),'recurring1_based on steps'!U$1:U$400,0)),U$2,)</f>
        <v>0</v>
      </c>
      <c r="V37" s="179">
        <f ca="1">IF(ISNUMBER(MATCH(DATEVALUE($A37),'recurring1_based on steps'!V$1:V$400,0)),V$2,)</f>
        <v>0</v>
      </c>
      <c r="W37" s="179">
        <f ca="1">IF(ISNUMBER(MATCH(DATEVALUE($A37),'recurring1_based on steps'!W$1:W$400,0)),W$2,)</f>
        <v>0</v>
      </c>
      <c r="X37" s="179">
        <f ca="1">IF(ISNUMBER(MATCH(DATEVALUE($A37),'recurring1_based on steps'!X$1:X$400,0)),X$2,)</f>
        <v>0</v>
      </c>
      <c r="Y37" s="179">
        <f ca="1">IF(ISNUMBER(MATCH(DATEVALUE($A37),'recurring1_based on steps'!Y$1:Y$400,0)),Y$2,)</f>
        <v>0</v>
      </c>
      <c r="Z37" s="179">
        <f ca="1">IF(ISNUMBER(MATCH(DATEVALUE($A37),'recurring1_based on steps'!Z$1:Z$400,0)),Z$2,)</f>
        <v>0</v>
      </c>
      <c r="AA37" s="179">
        <f ca="1">IF(ISNUMBER(MATCH(DATEVALUE($A37),'recurring1_based on steps'!AA$1:AA$400,0)),AA$2,)</f>
        <v>0</v>
      </c>
      <c r="AB37" s="179">
        <f ca="1">IF(ISNUMBER(MATCH(DATEVALUE($A37),'recurring1_based on steps'!AB$1:AB$400,0)),AB$2,)</f>
        <v>0</v>
      </c>
      <c r="AC37" s="179">
        <f ca="1">IF(ISNUMBER(MATCH(DATEVALUE($A37),'recurring1_based on steps'!AC$1:AC$400,0)),AC$2,)</f>
        <v>0</v>
      </c>
      <c r="AD37" s="179">
        <f ca="1">IF(ISNUMBER(MATCH(DATEVALUE($A37),'recurring1_based on steps'!AD$1:AD$400,0)),AD$2,)</f>
        <v>0</v>
      </c>
      <c r="AE37" s="179">
        <f ca="1">IF(ISNUMBER(MATCH(DATEVALUE($A37),'recurring1_based on steps'!AE$1:AE$400,0)),AE$2,)</f>
        <v>0</v>
      </c>
      <c r="AF37" s="179">
        <f ca="1">IF(ISNUMBER(MATCH(DATEVALUE($A37),'recurring1_based on steps'!AF$1:AF$400,0)),AF$2,)</f>
        <v>0</v>
      </c>
      <c r="AG37" s="179">
        <f ca="1">IF(ISNUMBER(MATCH(DATEVALUE($A37),'recurring1_based on steps'!AG$1:AG$400,0)),AG$2,)</f>
        <v>0</v>
      </c>
      <c r="AH37" s="179">
        <f ca="1">IF(ISNUMBER(MATCH(DATEVALUE($A37),'recurring1_based on steps'!AH$1:AH$400,0)),AH$2,)</f>
        <v>0</v>
      </c>
      <c r="AI37" s="179">
        <f ca="1">IF(ISNUMBER(MATCH(DATEVALUE($A37),'recurring1_based on steps'!AI$1:AI$400,0)),AI$2,)</f>
        <v>0</v>
      </c>
      <c r="AJ37" s="179">
        <f ca="1">IF(ISNUMBER(MATCH(DATEVALUE($A37),'recurring1_based on steps'!AJ$1:AJ$400,0)),AJ$2,)</f>
        <v>0</v>
      </c>
      <c r="AK37" s="179">
        <f ca="1">IF(ISNUMBER(MATCH(DATEVALUE($A37),'recurring1_based on steps'!AK$1:AK$400,0)),AK$2,)</f>
        <v>0</v>
      </c>
      <c r="AL37" s="179">
        <f ca="1">IF(ISNUMBER(MATCH(DATEVALUE($A37),'recurring1_based on steps'!AL$1:AL$400,0)),AL$2,)</f>
        <v>0</v>
      </c>
      <c r="AM37" s="179">
        <f ca="1">IF(ISNUMBER(MATCH(DATEVALUE($A37),'recurring1_based on steps'!AM$1:AM$400,0)),AM$2,)</f>
        <v>0</v>
      </c>
      <c r="AN37" s="179">
        <f ca="1">IF(ISNUMBER(MATCH(DATEVALUE($A37),'recurring1_based on steps'!AN$1:AN$400,0)),AN$2,)</f>
        <v>0</v>
      </c>
      <c r="AO37" s="179">
        <f ca="1">IF(ISNUMBER(MATCH(DATEVALUE($A37),'recurring1_based on steps'!AO$1:AO$400,0)),AO$2,)</f>
        <v>0</v>
      </c>
      <c r="AP37" s="179">
        <f ca="1">IF(ISNUMBER(MATCH(DATEVALUE($A37),'recurring1_based on steps'!AP$1:AP$400,0)),AP$2,)</f>
        <v>0</v>
      </c>
      <c r="AQ37" s="179">
        <f ca="1">IF(ISNUMBER(MATCH(DATEVALUE($A37),'recurring1_based on steps'!AQ$1:AQ$400,0)),AQ$2,)</f>
        <v>0</v>
      </c>
      <c r="AR37" s="179">
        <f ca="1">IF(ISNUMBER(MATCH(DATEVALUE($A37),'recurring1_based on steps'!AR$1:AR$400,0)),AR$2,)</f>
        <v>0</v>
      </c>
      <c r="AS37" s="179">
        <f ca="1">IF(ISNUMBER(MATCH(DATEVALUE($A37),'recurring1_based on steps'!AS$1:AS$400,0)),AS$2,)</f>
        <v>0</v>
      </c>
      <c r="AT37" s="179">
        <f ca="1">IF(ISNUMBER(MATCH(DATEVALUE($A37),'recurring1_based on steps'!AT$1:AT$400,0)),AT$2,)</f>
        <v>0</v>
      </c>
      <c r="AU37" s="179">
        <f ca="1">IF(ISNUMBER(MATCH(DATEVALUE($A37),'recurring1_based on steps'!AU$1:AU$400,0)),AU$2,)</f>
        <v>0</v>
      </c>
      <c r="AV37" s="179">
        <f ca="1">IF(ISNUMBER(MATCH(DATEVALUE($A37),'recurring1_based on steps'!AV$1:AV$400,0)),AV$2,)</f>
        <v>0</v>
      </c>
      <c r="AW37" s="179">
        <f ca="1">IF(ISNUMBER(MATCH(DATEVALUE($A37),'recurring1_based on steps'!AW$1:AW$400,0)),AW$2,)</f>
        <v>0</v>
      </c>
      <c r="AX37" s="179">
        <f ca="1">IF(ISNUMBER(MATCH(DATEVALUE($A37),'recurring1_based on steps'!AX$1:AX$400,0)),AX$2,)</f>
        <v>0</v>
      </c>
      <c r="AY37" s="179">
        <f ca="1">IF(ISNUMBER(MATCH(DATEVALUE($A37),'recurring1_based on steps'!AY$1:AY$400,0)),AY$2,)</f>
        <v>0</v>
      </c>
    </row>
    <row r="38" spans="1:51" x14ac:dyDescent="0.2">
      <c r="A38" s="32" t="str">
        <f t="shared" ca="1" si="0"/>
        <v>2025-05-10</v>
      </c>
      <c r="B38" s="179">
        <f ca="1">IF(ISNUMBER(MATCH(DATEVALUE($A38),'recurring1_based on steps'!B$1:B$400,0)),B$2,)</f>
        <v>0</v>
      </c>
      <c r="C38" s="179">
        <f ca="1">IF(ISNUMBER(MATCH(DATEVALUE($A38),'recurring1_based on steps'!C$1:C$400,0)),C$2,)</f>
        <v>0</v>
      </c>
      <c r="D38" s="179">
        <f ca="1">IF(ISNUMBER(MATCH(DATEVALUE($A38),'recurring1_based on steps'!D$1:D$400,0)),D$2,)</f>
        <v>0</v>
      </c>
      <c r="E38" s="179">
        <f ca="1">IF(ISNUMBER(MATCH(DATEVALUE($A38),'recurring1_based on steps'!E$1:E$400,0)),E$2,)</f>
        <v>0</v>
      </c>
      <c r="F38" s="179">
        <f ca="1">IF(ISNUMBER(MATCH(DATEVALUE($A38),'recurring1_based on steps'!F$1:F$400,0)),F$2,)</f>
        <v>0</v>
      </c>
      <c r="G38" s="179">
        <f ca="1">IF(ISNUMBER(MATCH(DATEVALUE($A38),'recurring1_based on steps'!G$1:G$400,0)),G$2,)</f>
        <v>0</v>
      </c>
      <c r="H38" s="179">
        <f ca="1">IF(ISNUMBER(MATCH(DATEVALUE($A38),'recurring1_based on steps'!H$1:H$400,0)),H$2,)</f>
        <v>0</v>
      </c>
      <c r="I38" s="179">
        <f ca="1">IF(ISNUMBER(MATCH(DATEVALUE($A38),'recurring1_based on steps'!I$1:I$400,0)),I$2,)</f>
        <v>0</v>
      </c>
      <c r="J38" s="179">
        <f ca="1">IF(ISNUMBER(MATCH(DATEVALUE($A38),'recurring1_based on steps'!J$1:J$400,0)),J$2,)</f>
        <v>0</v>
      </c>
      <c r="K38" s="179">
        <f ca="1">IF(ISNUMBER(MATCH(DATEVALUE($A38),'recurring1_based on steps'!K$1:K$400,0)),K$2,)</f>
        <v>0</v>
      </c>
      <c r="L38" s="179">
        <f ca="1">IF(ISNUMBER(MATCH(DATEVALUE($A38),'recurring1_based on steps'!L$1:L$400,0)),L$2,)</f>
        <v>0</v>
      </c>
      <c r="M38" s="179">
        <f ca="1">IF(ISNUMBER(MATCH(DATEVALUE($A38),'recurring1_based on steps'!M$1:M$400,0)),M$2,)</f>
        <v>0</v>
      </c>
      <c r="N38" s="179">
        <f ca="1">IF(ISNUMBER(MATCH(DATEVALUE($A38),'recurring1_based on steps'!N$1:N$400,0)),N$2,)</f>
        <v>0</v>
      </c>
      <c r="O38" s="179">
        <f ca="1">IF(ISNUMBER(MATCH(DATEVALUE($A38),'recurring1_based on steps'!O$1:O$400,0)),O$2,)</f>
        <v>0</v>
      </c>
      <c r="P38" s="179">
        <f ca="1">IF(ISNUMBER(MATCH(DATEVALUE($A38),'recurring1_based on steps'!P$1:P$400,0)),P$2,)</f>
        <v>0</v>
      </c>
      <c r="Q38" s="179">
        <f ca="1">IF(ISNUMBER(MATCH(DATEVALUE($A38),'recurring1_based on steps'!Q$1:Q$400,0)),Q$2,)</f>
        <v>0</v>
      </c>
      <c r="R38" s="179">
        <f ca="1">IF(ISNUMBER(MATCH(DATEVALUE($A38),'recurring1_based on steps'!R$1:R$400,0)),R$2,)</f>
        <v>0</v>
      </c>
      <c r="S38" s="179">
        <f ca="1">IF(ISNUMBER(MATCH(DATEVALUE($A38),'recurring1_based on steps'!S$1:S$400,0)),S$2,)</f>
        <v>0</v>
      </c>
      <c r="T38" s="179">
        <f ca="1">IF(ISNUMBER(MATCH(DATEVALUE($A38),'recurring1_based on steps'!T$1:T$400,0)),T$2,)</f>
        <v>0</v>
      </c>
      <c r="U38" s="179">
        <f ca="1">IF(ISNUMBER(MATCH(DATEVALUE($A38),'recurring1_based on steps'!U$1:U$400,0)),U$2,)</f>
        <v>0</v>
      </c>
      <c r="V38" s="179">
        <f ca="1">IF(ISNUMBER(MATCH(DATEVALUE($A38),'recurring1_based on steps'!V$1:V$400,0)),V$2,)</f>
        <v>0</v>
      </c>
      <c r="W38" s="179">
        <f ca="1">IF(ISNUMBER(MATCH(DATEVALUE($A38),'recurring1_based on steps'!W$1:W$400,0)),W$2,)</f>
        <v>0</v>
      </c>
      <c r="X38" s="179">
        <f ca="1">IF(ISNUMBER(MATCH(DATEVALUE($A38),'recurring1_based on steps'!X$1:X$400,0)),X$2,)</f>
        <v>0</v>
      </c>
      <c r="Y38" s="179">
        <f ca="1">IF(ISNUMBER(MATCH(DATEVALUE($A38),'recurring1_based on steps'!Y$1:Y$400,0)),Y$2,)</f>
        <v>0</v>
      </c>
      <c r="Z38" s="179">
        <f ca="1">IF(ISNUMBER(MATCH(DATEVALUE($A38),'recurring1_based on steps'!Z$1:Z$400,0)),Z$2,)</f>
        <v>0</v>
      </c>
      <c r="AA38" s="179">
        <f ca="1">IF(ISNUMBER(MATCH(DATEVALUE($A38),'recurring1_based on steps'!AA$1:AA$400,0)),AA$2,)</f>
        <v>0</v>
      </c>
      <c r="AB38" s="179">
        <f ca="1">IF(ISNUMBER(MATCH(DATEVALUE($A38),'recurring1_based on steps'!AB$1:AB$400,0)),AB$2,)</f>
        <v>0</v>
      </c>
      <c r="AC38" s="179">
        <f ca="1">IF(ISNUMBER(MATCH(DATEVALUE($A38),'recurring1_based on steps'!AC$1:AC$400,0)),AC$2,)</f>
        <v>0</v>
      </c>
      <c r="AD38" s="179">
        <f ca="1">IF(ISNUMBER(MATCH(DATEVALUE($A38),'recurring1_based on steps'!AD$1:AD$400,0)),AD$2,)</f>
        <v>0</v>
      </c>
      <c r="AE38" s="179">
        <f ca="1">IF(ISNUMBER(MATCH(DATEVALUE($A38),'recurring1_based on steps'!AE$1:AE$400,0)),AE$2,)</f>
        <v>0</v>
      </c>
      <c r="AF38" s="179">
        <f ca="1">IF(ISNUMBER(MATCH(DATEVALUE($A38),'recurring1_based on steps'!AF$1:AF$400,0)),AF$2,)</f>
        <v>0</v>
      </c>
      <c r="AG38" s="179">
        <f ca="1">IF(ISNUMBER(MATCH(DATEVALUE($A38),'recurring1_based on steps'!AG$1:AG$400,0)),AG$2,)</f>
        <v>0</v>
      </c>
      <c r="AH38" s="179">
        <f ca="1">IF(ISNUMBER(MATCH(DATEVALUE($A38),'recurring1_based on steps'!AH$1:AH$400,0)),AH$2,)</f>
        <v>0</v>
      </c>
      <c r="AI38" s="179">
        <f ca="1">IF(ISNUMBER(MATCH(DATEVALUE($A38),'recurring1_based on steps'!AI$1:AI$400,0)),AI$2,)</f>
        <v>0</v>
      </c>
      <c r="AJ38" s="179">
        <f ca="1">IF(ISNUMBER(MATCH(DATEVALUE($A38),'recurring1_based on steps'!AJ$1:AJ$400,0)),AJ$2,)</f>
        <v>0</v>
      </c>
      <c r="AK38" s="179">
        <f ca="1">IF(ISNUMBER(MATCH(DATEVALUE($A38),'recurring1_based on steps'!AK$1:AK$400,0)),AK$2,)</f>
        <v>0</v>
      </c>
      <c r="AL38" s="179">
        <f ca="1">IF(ISNUMBER(MATCH(DATEVALUE($A38),'recurring1_based on steps'!AL$1:AL$400,0)),AL$2,)</f>
        <v>0</v>
      </c>
      <c r="AM38" s="179">
        <f ca="1">IF(ISNUMBER(MATCH(DATEVALUE($A38),'recurring1_based on steps'!AM$1:AM$400,0)),AM$2,)</f>
        <v>0</v>
      </c>
      <c r="AN38" s="179">
        <f ca="1">IF(ISNUMBER(MATCH(DATEVALUE($A38),'recurring1_based on steps'!AN$1:AN$400,0)),AN$2,)</f>
        <v>0</v>
      </c>
      <c r="AO38" s="179">
        <f ca="1">IF(ISNUMBER(MATCH(DATEVALUE($A38),'recurring1_based on steps'!AO$1:AO$400,0)),AO$2,)</f>
        <v>0</v>
      </c>
      <c r="AP38" s="179">
        <f ca="1">IF(ISNUMBER(MATCH(DATEVALUE($A38),'recurring1_based on steps'!AP$1:AP$400,0)),AP$2,)</f>
        <v>0</v>
      </c>
      <c r="AQ38" s="179">
        <f ca="1">IF(ISNUMBER(MATCH(DATEVALUE($A38),'recurring1_based on steps'!AQ$1:AQ$400,0)),AQ$2,)</f>
        <v>0</v>
      </c>
      <c r="AR38" s="179">
        <f ca="1">IF(ISNUMBER(MATCH(DATEVALUE($A38),'recurring1_based on steps'!AR$1:AR$400,0)),AR$2,)</f>
        <v>0</v>
      </c>
      <c r="AS38" s="179">
        <f ca="1">IF(ISNUMBER(MATCH(DATEVALUE($A38),'recurring1_based on steps'!AS$1:AS$400,0)),AS$2,)</f>
        <v>0</v>
      </c>
      <c r="AT38" s="179">
        <f ca="1">IF(ISNUMBER(MATCH(DATEVALUE($A38),'recurring1_based on steps'!AT$1:AT$400,0)),AT$2,)</f>
        <v>0</v>
      </c>
      <c r="AU38" s="179">
        <f ca="1">IF(ISNUMBER(MATCH(DATEVALUE($A38),'recurring1_based on steps'!AU$1:AU$400,0)),AU$2,)</f>
        <v>0</v>
      </c>
      <c r="AV38" s="179">
        <f ca="1">IF(ISNUMBER(MATCH(DATEVALUE($A38),'recurring1_based on steps'!AV$1:AV$400,0)),AV$2,)</f>
        <v>0</v>
      </c>
      <c r="AW38" s="179">
        <f ca="1">IF(ISNUMBER(MATCH(DATEVALUE($A38),'recurring1_based on steps'!AW$1:AW$400,0)),AW$2,)</f>
        <v>0</v>
      </c>
      <c r="AX38" s="179">
        <f ca="1">IF(ISNUMBER(MATCH(DATEVALUE($A38),'recurring1_based on steps'!AX$1:AX$400,0)),AX$2,)</f>
        <v>0</v>
      </c>
      <c r="AY38" s="179">
        <f ca="1">IF(ISNUMBER(MATCH(DATEVALUE($A38),'recurring1_based on steps'!AY$1:AY$400,0)),AY$2,)</f>
        <v>0</v>
      </c>
    </row>
    <row r="39" spans="1:51" x14ac:dyDescent="0.2">
      <c r="A39" s="32" t="str">
        <f t="shared" ca="1" si="0"/>
        <v>2025-05-11</v>
      </c>
      <c r="B39" s="179">
        <f ca="1">IF(ISNUMBER(MATCH(DATEVALUE($A39),'recurring1_based on steps'!B$1:B$400,0)),B$2,)</f>
        <v>0</v>
      </c>
      <c r="C39" s="179">
        <f ca="1">IF(ISNUMBER(MATCH(DATEVALUE($A39),'recurring1_based on steps'!C$1:C$400,0)),C$2,)</f>
        <v>0</v>
      </c>
      <c r="D39" s="179">
        <f ca="1">IF(ISNUMBER(MATCH(DATEVALUE($A39),'recurring1_based on steps'!D$1:D$400,0)),D$2,)</f>
        <v>0</v>
      </c>
      <c r="E39" s="179">
        <f ca="1">IF(ISNUMBER(MATCH(DATEVALUE($A39),'recurring1_based on steps'!E$1:E$400,0)),E$2,)</f>
        <v>0</v>
      </c>
      <c r="F39" s="179">
        <f ca="1">IF(ISNUMBER(MATCH(DATEVALUE($A39),'recurring1_based on steps'!F$1:F$400,0)),F$2,)</f>
        <v>0</v>
      </c>
      <c r="G39" s="179">
        <f ca="1">IF(ISNUMBER(MATCH(DATEVALUE($A39),'recurring1_based on steps'!G$1:G$400,0)),G$2,)</f>
        <v>0</v>
      </c>
      <c r="H39" s="179">
        <f ca="1">IF(ISNUMBER(MATCH(DATEVALUE($A39),'recurring1_based on steps'!H$1:H$400,0)),H$2,)</f>
        <v>0</v>
      </c>
      <c r="I39" s="179">
        <f ca="1">IF(ISNUMBER(MATCH(DATEVALUE($A39),'recurring1_based on steps'!I$1:I$400,0)),I$2,)</f>
        <v>0</v>
      </c>
      <c r="J39" s="179">
        <f ca="1">IF(ISNUMBER(MATCH(DATEVALUE($A39),'recurring1_based on steps'!J$1:J$400,0)),J$2,)</f>
        <v>0</v>
      </c>
      <c r="K39" s="179">
        <f ca="1">IF(ISNUMBER(MATCH(DATEVALUE($A39),'recurring1_based on steps'!K$1:K$400,0)),K$2,)</f>
        <v>0</v>
      </c>
      <c r="L39" s="179">
        <f ca="1">IF(ISNUMBER(MATCH(DATEVALUE($A39),'recurring1_based on steps'!L$1:L$400,0)),L$2,)</f>
        <v>0</v>
      </c>
      <c r="M39" s="179">
        <f ca="1">IF(ISNUMBER(MATCH(DATEVALUE($A39),'recurring1_based on steps'!M$1:M$400,0)),M$2,)</f>
        <v>0</v>
      </c>
      <c r="N39" s="179">
        <f ca="1">IF(ISNUMBER(MATCH(DATEVALUE($A39),'recurring1_based on steps'!N$1:N$400,0)),N$2,)</f>
        <v>0</v>
      </c>
      <c r="O39" s="179">
        <f ca="1">IF(ISNUMBER(MATCH(DATEVALUE($A39),'recurring1_based on steps'!O$1:O$400,0)),O$2,)</f>
        <v>0</v>
      </c>
      <c r="P39" s="179">
        <f ca="1">IF(ISNUMBER(MATCH(DATEVALUE($A39),'recurring1_based on steps'!P$1:P$400,0)),P$2,)</f>
        <v>0</v>
      </c>
      <c r="Q39" s="179">
        <f ca="1">IF(ISNUMBER(MATCH(DATEVALUE($A39),'recurring1_based on steps'!Q$1:Q$400,0)),Q$2,)</f>
        <v>0</v>
      </c>
      <c r="R39" s="179">
        <f ca="1">IF(ISNUMBER(MATCH(DATEVALUE($A39),'recurring1_based on steps'!R$1:R$400,0)),R$2,)</f>
        <v>0</v>
      </c>
      <c r="S39" s="179">
        <f ca="1">IF(ISNUMBER(MATCH(DATEVALUE($A39),'recurring1_based on steps'!S$1:S$400,0)),S$2,)</f>
        <v>0</v>
      </c>
      <c r="T39" s="179">
        <f ca="1">IF(ISNUMBER(MATCH(DATEVALUE($A39),'recurring1_based on steps'!T$1:T$400,0)),T$2,)</f>
        <v>0</v>
      </c>
      <c r="U39" s="179">
        <f ca="1">IF(ISNUMBER(MATCH(DATEVALUE($A39),'recurring1_based on steps'!U$1:U$400,0)),U$2,)</f>
        <v>0</v>
      </c>
      <c r="V39" s="179">
        <f ca="1">IF(ISNUMBER(MATCH(DATEVALUE($A39),'recurring1_based on steps'!V$1:V$400,0)),V$2,)</f>
        <v>0</v>
      </c>
      <c r="W39" s="179">
        <f ca="1">IF(ISNUMBER(MATCH(DATEVALUE($A39),'recurring1_based on steps'!W$1:W$400,0)),W$2,)</f>
        <v>0</v>
      </c>
      <c r="X39" s="179">
        <f ca="1">IF(ISNUMBER(MATCH(DATEVALUE($A39),'recurring1_based on steps'!X$1:X$400,0)),X$2,)</f>
        <v>0</v>
      </c>
      <c r="Y39" s="179">
        <f ca="1">IF(ISNUMBER(MATCH(DATEVALUE($A39),'recurring1_based on steps'!Y$1:Y$400,0)),Y$2,)</f>
        <v>0</v>
      </c>
      <c r="Z39" s="179">
        <f ca="1">IF(ISNUMBER(MATCH(DATEVALUE($A39),'recurring1_based on steps'!Z$1:Z$400,0)),Z$2,)</f>
        <v>0</v>
      </c>
      <c r="AA39" s="179">
        <f ca="1">IF(ISNUMBER(MATCH(DATEVALUE($A39),'recurring1_based on steps'!AA$1:AA$400,0)),AA$2,)</f>
        <v>0</v>
      </c>
      <c r="AB39" s="179">
        <f ca="1">IF(ISNUMBER(MATCH(DATEVALUE($A39),'recurring1_based on steps'!AB$1:AB$400,0)),AB$2,)</f>
        <v>0</v>
      </c>
      <c r="AC39" s="179">
        <f ca="1">IF(ISNUMBER(MATCH(DATEVALUE($A39),'recurring1_based on steps'!AC$1:AC$400,0)),AC$2,)</f>
        <v>0</v>
      </c>
      <c r="AD39" s="179">
        <f ca="1">IF(ISNUMBER(MATCH(DATEVALUE($A39),'recurring1_based on steps'!AD$1:AD$400,0)),AD$2,)</f>
        <v>0</v>
      </c>
      <c r="AE39" s="179">
        <f ca="1">IF(ISNUMBER(MATCH(DATEVALUE($A39),'recurring1_based on steps'!AE$1:AE$400,0)),AE$2,)</f>
        <v>0</v>
      </c>
      <c r="AF39" s="179">
        <f ca="1">IF(ISNUMBER(MATCH(DATEVALUE($A39),'recurring1_based on steps'!AF$1:AF$400,0)),AF$2,)</f>
        <v>0</v>
      </c>
      <c r="AG39" s="179">
        <f ca="1">IF(ISNUMBER(MATCH(DATEVALUE($A39),'recurring1_based on steps'!AG$1:AG$400,0)),AG$2,)</f>
        <v>0</v>
      </c>
      <c r="AH39" s="179">
        <f ca="1">IF(ISNUMBER(MATCH(DATEVALUE($A39),'recurring1_based on steps'!AH$1:AH$400,0)),AH$2,)</f>
        <v>0</v>
      </c>
      <c r="AI39" s="179">
        <f ca="1">IF(ISNUMBER(MATCH(DATEVALUE($A39),'recurring1_based on steps'!AI$1:AI$400,0)),AI$2,)</f>
        <v>0</v>
      </c>
      <c r="AJ39" s="179">
        <f ca="1">IF(ISNUMBER(MATCH(DATEVALUE($A39),'recurring1_based on steps'!AJ$1:AJ$400,0)),AJ$2,)</f>
        <v>0</v>
      </c>
      <c r="AK39" s="179">
        <f ca="1">IF(ISNUMBER(MATCH(DATEVALUE($A39),'recurring1_based on steps'!AK$1:AK$400,0)),AK$2,)</f>
        <v>0</v>
      </c>
      <c r="AL39" s="179">
        <f ca="1">IF(ISNUMBER(MATCH(DATEVALUE($A39),'recurring1_based on steps'!AL$1:AL$400,0)),AL$2,)</f>
        <v>0</v>
      </c>
      <c r="AM39" s="179">
        <f ca="1">IF(ISNUMBER(MATCH(DATEVALUE($A39),'recurring1_based on steps'!AM$1:AM$400,0)),AM$2,)</f>
        <v>0</v>
      </c>
      <c r="AN39" s="179">
        <f ca="1">IF(ISNUMBER(MATCH(DATEVALUE($A39),'recurring1_based on steps'!AN$1:AN$400,0)),AN$2,)</f>
        <v>0</v>
      </c>
      <c r="AO39" s="179">
        <f ca="1">IF(ISNUMBER(MATCH(DATEVALUE($A39),'recurring1_based on steps'!AO$1:AO$400,0)),AO$2,)</f>
        <v>0</v>
      </c>
      <c r="AP39" s="179">
        <f ca="1">IF(ISNUMBER(MATCH(DATEVALUE($A39),'recurring1_based on steps'!AP$1:AP$400,0)),AP$2,)</f>
        <v>0</v>
      </c>
      <c r="AQ39" s="179">
        <f ca="1">IF(ISNUMBER(MATCH(DATEVALUE($A39),'recurring1_based on steps'!AQ$1:AQ$400,0)),AQ$2,)</f>
        <v>0</v>
      </c>
      <c r="AR39" s="179">
        <f ca="1">IF(ISNUMBER(MATCH(DATEVALUE($A39),'recurring1_based on steps'!AR$1:AR$400,0)),AR$2,)</f>
        <v>0</v>
      </c>
      <c r="AS39" s="179">
        <f ca="1">IF(ISNUMBER(MATCH(DATEVALUE($A39),'recurring1_based on steps'!AS$1:AS$400,0)),AS$2,)</f>
        <v>0</v>
      </c>
      <c r="AT39" s="179">
        <f ca="1">IF(ISNUMBER(MATCH(DATEVALUE($A39),'recurring1_based on steps'!AT$1:AT$400,0)),AT$2,)</f>
        <v>0</v>
      </c>
      <c r="AU39" s="179">
        <f ca="1">IF(ISNUMBER(MATCH(DATEVALUE($A39),'recurring1_based on steps'!AU$1:AU$400,0)),AU$2,)</f>
        <v>0</v>
      </c>
      <c r="AV39" s="179">
        <f ca="1">IF(ISNUMBER(MATCH(DATEVALUE($A39),'recurring1_based on steps'!AV$1:AV$400,0)),AV$2,)</f>
        <v>0</v>
      </c>
      <c r="AW39" s="179">
        <f ca="1">IF(ISNUMBER(MATCH(DATEVALUE($A39),'recurring1_based on steps'!AW$1:AW$400,0)),AW$2,)</f>
        <v>0</v>
      </c>
      <c r="AX39" s="179">
        <f ca="1">IF(ISNUMBER(MATCH(DATEVALUE($A39),'recurring1_based on steps'!AX$1:AX$400,0)),AX$2,)</f>
        <v>0</v>
      </c>
      <c r="AY39" s="179">
        <f ca="1">IF(ISNUMBER(MATCH(DATEVALUE($A39),'recurring1_based on steps'!AY$1:AY$400,0)),AY$2,)</f>
        <v>0</v>
      </c>
    </row>
    <row r="40" spans="1:51" x14ac:dyDescent="0.2">
      <c r="A40" s="32" t="str">
        <f t="shared" ca="1" si="0"/>
        <v>2025-05-12</v>
      </c>
      <c r="B40" s="179">
        <f ca="1">IF(ISNUMBER(MATCH(DATEVALUE($A40),'recurring1_based on steps'!B$1:B$400,0)),B$2,)</f>
        <v>0</v>
      </c>
      <c r="C40" s="179">
        <f ca="1">IF(ISNUMBER(MATCH(DATEVALUE($A40),'recurring1_based on steps'!C$1:C$400,0)),C$2,)</f>
        <v>0</v>
      </c>
      <c r="D40" s="179">
        <f ca="1">IF(ISNUMBER(MATCH(DATEVALUE($A40),'recurring1_based on steps'!D$1:D$400,0)),D$2,)</f>
        <v>0</v>
      </c>
      <c r="E40" s="179">
        <f ca="1">IF(ISNUMBER(MATCH(DATEVALUE($A40),'recurring1_based on steps'!E$1:E$400,0)),E$2,)</f>
        <v>0</v>
      </c>
      <c r="F40" s="179">
        <f ca="1">IF(ISNUMBER(MATCH(DATEVALUE($A40),'recurring1_based on steps'!F$1:F$400,0)),F$2,)</f>
        <v>0</v>
      </c>
      <c r="G40" s="179">
        <f ca="1">IF(ISNUMBER(MATCH(DATEVALUE($A40),'recurring1_based on steps'!G$1:G$400,0)),G$2,)</f>
        <v>0</v>
      </c>
      <c r="H40" s="179">
        <f ca="1">IF(ISNUMBER(MATCH(DATEVALUE($A40),'recurring1_based on steps'!H$1:H$400,0)),H$2,)</f>
        <v>0</v>
      </c>
      <c r="I40" s="179">
        <f ca="1">IF(ISNUMBER(MATCH(DATEVALUE($A40),'recurring1_based on steps'!I$1:I$400,0)),I$2,)</f>
        <v>0</v>
      </c>
      <c r="J40" s="179">
        <f ca="1">IF(ISNUMBER(MATCH(DATEVALUE($A40),'recurring1_based on steps'!J$1:J$400,0)),J$2,)</f>
        <v>0</v>
      </c>
      <c r="K40" s="179">
        <f ca="1">IF(ISNUMBER(MATCH(DATEVALUE($A40),'recurring1_based on steps'!K$1:K$400,0)),K$2,)</f>
        <v>0</v>
      </c>
      <c r="L40" s="179">
        <f ca="1">IF(ISNUMBER(MATCH(DATEVALUE($A40),'recurring1_based on steps'!L$1:L$400,0)),L$2,)</f>
        <v>0</v>
      </c>
      <c r="M40" s="179">
        <f ca="1">IF(ISNUMBER(MATCH(DATEVALUE($A40),'recurring1_based on steps'!M$1:M$400,0)),M$2,)</f>
        <v>0</v>
      </c>
      <c r="N40" s="179">
        <f ca="1">IF(ISNUMBER(MATCH(DATEVALUE($A40),'recurring1_based on steps'!N$1:N$400,0)),N$2,)</f>
        <v>0</v>
      </c>
      <c r="O40" s="179">
        <f ca="1">IF(ISNUMBER(MATCH(DATEVALUE($A40),'recurring1_based on steps'!O$1:O$400,0)),O$2,)</f>
        <v>0</v>
      </c>
      <c r="P40" s="179">
        <f ca="1">IF(ISNUMBER(MATCH(DATEVALUE($A40),'recurring1_based on steps'!P$1:P$400,0)),P$2,)</f>
        <v>0</v>
      </c>
      <c r="Q40" s="179">
        <f ca="1">IF(ISNUMBER(MATCH(DATEVALUE($A40),'recurring1_based on steps'!Q$1:Q$400,0)),Q$2,)</f>
        <v>0</v>
      </c>
      <c r="R40" s="179">
        <f ca="1">IF(ISNUMBER(MATCH(DATEVALUE($A40),'recurring1_based on steps'!R$1:R$400,0)),R$2,)</f>
        <v>0</v>
      </c>
      <c r="S40" s="179">
        <f ca="1">IF(ISNUMBER(MATCH(DATEVALUE($A40),'recurring1_based on steps'!S$1:S$400,0)),S$2,)</f>
        <v>0</v>
      </c>
      <c r="T40" s="179">
        <f ca="1">IF(ISNUMBER(MATCH(DATEVALUE($A40),'recurring1_based on steps'!T$1:T$400,0)),T$2,)</f>
        <v>0</v>
      </c>
      <c r="U40" s="179">
        <f ca="1">IF(ISNUMBER(MATCH(DATEVALUE($A40),'recurring1_based on steps'!U$1:U$400,0)),U$2,)</f>
        <v>0</v>
      </c>
      <c r="V40" s="179">
        <f ca="1">IF(ISNUMBER(MATCH(DATEVALUE($A40),'recurring1_based on steps'!V$1:V$400,0)),V$2,)</f>
        <v>0</v>
      </c>
      <c r="W40" s="179">
        <f ca="1">IF(ISNUMBER(MATCH(DATEVALUE($A40),'recurring1_based on steps'!W$1:W$400,0)),W$2,)</f>
        <v>0</v>
      </c>
      <c r="X40" s="179">
        <f ca="1">IF(ISNUMBER(MATCH(DATEVALUE($A40),'recurring1_based on steps'!X$1:X$400,0)),X$2,)</f>
        <v>0</v>
      </c>
      <c r="Y40" s="179">
        <f ca="1">IF(ISNUMBER(MATCH(DATEVALUE($A40),'recurring1_based on steps'!Y$1:Y$400,0)),Y$2,)</f>
        <v>0</v>
      </c>
      <c r="Z40" s="179">
        <f ca="1">IF(ISNUMBER(MATCH(DATEVALUE($A40),'recurring1_based on steps'!Z$1:Z$400,0)),Z$2,)</f>
        <v>0</v>
      </c>
      <c r="AA40" s="179">
        <f ca="1">IF(ISNUMBER(MATCH(DATEVALUE($A40),'recurring1_based on steps'!AA$1:AA$400,0)),AA$2,)</f>
        <v>0</v>
      </c>
      <c r="AB40" s="179">
        <f ca="1">IF(ISNUMBER(MATCH(DATEVALUE($A40),'recurring1_based on steps'!AB$1:AB$400,0)),AB$2,)</f>
        <v>0</v>
      </c>
      <c r="AC40" s="179">
        <f ca="1">IF(ISNUMBER(MATCH(DATEVALUE($A40),'recurring1_based on steps'!AC$1:AC$400,0)),AC$2,)</f>
        <v>0</v>
      </c>
      <c r="AD40" s="179">
        <f ca="1">IF(ISNUMBER(MATCH(DATEVALUE($A40),'recurring1_based on steps'!AD$1:AD$400,0)),AD$2,)</f>
        <v>0</v>
      </c>
      <c r="AE40" s="179">
        <f ca="1">IF(ISNUMBER(MATCH(DATEVALUE($A40),'recurring1_based on steps'!AE$1:AE$400,0)),AE$2,)</f>
        <v>0</v>
      </c>
      <c r="AF40" s="179">
        <f ca="1">IF(ISNUMBER(MATCH(DATEVALUE($A40),'recurring1_based on steps'!AF$1:AF$400,0)),AF$2,)</f>
        <v>0</v>
      </c>
      <c r="AG40" s="179">
        <f ca="1">IF(ISNUMBER(MATCH(DATEVALUE($A40),'recurring1_based on steps'!AG$1:AG$400,0)),AG$2,)</f>
        <v>0</v>
      </c>
      <c r="AH40" s="179">
        <f ca="1">IF(ISNUMBER(MATCH(DATEVALUE($A40),'recurring1_based on steps'!AH$1:AH$400,0)),AH$2,)</f>
        <v>0</v>
      </c>
      <c r="AI40" s="179">
        <f ca="1">IF(ISNUMBER(MATCH(DATEVALUE($A40),'recurring1_based on steps'!AI$1:AI$400,0)),AI$2,)</f>
        <v>0</v>
      </c>
      <c r="AJ40" s="179">
        <f ca="1">IF(ISNUMBER(MATCH(DATEVALUE($A40),'recurring1_based on steps'!AJ$1:AJ$400,0)),AJ$2,)</f>
        <v>0</v>
      </c>
      <c r="AK40" s="179">
        <f ca="1">IF(ISNUMBER(MATCH(DATEVALUE($A40),'recurring1_based on steps'!AK$1:AK$400,0)),AK$2,)</f>
        <v>0</v>
      </c>
      <c r="AL40" s="179">
        <f ca="1">IF(ISNUMBER(MATCH(DATEVALUE($A40),'recurring1_based on steps'!AL$1:AL$400,0)),AL$2,)</f>
        <v>0</v>
      </c>
      <c r="AM40" s="179">
        <f ca="1">IF(ISNUMBER(MATCH(DATEVALUE($A40),'recurring1_based on steps'!AM$1:AM$400,0)),AM$2,)</f>
        <v>0</v>
      </c>
      <c r="AN40" s="179">
        <f ca="1">IF(ISNUMBER(MATCH(DATEVALUE($A40),'recurring1_based on steps'!AN$1:AN$400,0)),AN$2,)</f>
        <v>0</v>
      </c>
      <c r="AO40" s="179">
        <f ca="1">IF(ISNUMBER(MATCH(DATEVALUE($A40),'recurring1_based on steps'!AO$1:AO$400,0)),AO$2,)</f>
        <v>0</v>
      </c>
      <c r="AP40" s="179">
        <f ca="1">IF(ISNUMBER(MATCH(DATEVALUE($A40),'recurring1_based on steps'!AP$1:AP$400,0)),AP$2,)</f>
        <v>0</v>
      </c>
      <c r="AQ40" s="179">
        <f ca="1">IF(ISNUMBER(MATCH(DATEVALUE($A40),'recurring1_based on steps'!AQ$1:AQ$400,0)),AQ$2,)</f>
        <v>0</v>
      </c>
      <c r="AR40" s="179">
        <f ca="1">IF(ISNUMBER(MATCH(DATEVALUE($A40),'recurring1_based on steps'!AR$1:AR$400,0)),AR$2,)</f>
        <v>0</v>
      </c>
      <c r="AS40" s="179">
        <f ca="1">IF(ISNUMBER(MATCH(DATEVALUE($A40),'recurring1_based on steps'!AS$1:AS$400,0)),AS$2,)</f>
        <v>0</v>
      </c>
      <c r="AT40" s="179">
        <f ca="1">IF(ISNUMBER(MATCH(DATEVALUE($A40),'recurring1_based on steps'!AT$1:AT$400,0)),AT$2,)</f>
        <v>0</v>
      </c>
      <c r="AU40" s="179">
        <f ca="1">IF(ISNUMBER(MATCH(DATEVALUE($A40),'recurring1_based on steps'!AU$1:AU$400,0)),AU$2,)</f>
        <v>0</v>
      </c>
      <c r="AV40" s="179">
        <f ca="1">IF(ISNUMBER(MATCH(DATEVALUE($A40),'recurring1_based on steps'!AV$1:AV$400,0)),AV$2,)</f>
        <v>0</v>
      </c>
      <c r="AW40" s="179">
        <f ca="1">IF(ISNUMBER(MATCH(DATEVALUE($A40),'recurring1_based on steps'!AW$1:AW$400,0)),AW$2,)</f>
        <v>0</v>
      </c>
      <c r="AX40" s="179">
        <f ca="1">IF(ISNUMBER(MATCH(DATEVALUE($A40),'recurring1_based on steps'!AX$1:AX$400,0)),AX$2,)</f>
        <v>0</v>
      </c>
      <c r="AY40" s="179">
        <f ca="1">IF(ISNUMBER(MATCH(DATEVALUE($A40),'recurring1_based on steps'!AY$1:AY$400,0)),AY$2,)</f>
        <v>0</v>
      </c>
    </row>
    <row r="41" spans="1:51" x14ac:dyDescent="0.2">
      <c r="A41" s="32" t="str">
        <f t="shared" ca="1" si="0"/>
        <v>2025-05-13</v>
      </c>
      <c r="B41" s="179">
        <f ca="1">IF(ISNUMBER(MATCH(DATEVALUE($A41),'recurring1_based on steps'!B$1:B$400,0)),B$2,)</f>
        <v>0</v>
      </c>
      <c r="C41" s="179">
        <f ca="1">IF(ISNUMBER(MATCH(DATEVALUE($A41),'recurring1_based on steps'!C$1:C$400,0)),C$2,)</f>
        <v>0</v>
      </c>
      <c r="D41" s="179">
        <f ca="1">IF(ISNUMBER(MATCH(DATEVALUE($A41),'recurring1_based on steps'!D$1:D$400,0)),D$2,)</f>
        <v>0</v>
      </c>
      <c r="E41" s="179">
        <f ca="1">IF(ISNUMBER(MATCH(DATEVALUE($A41),'recurring1_based on steps'!E$1:E$400,0)),E$2,)</f>
        <v>0</v>
      </c>
      <c r="F41" s="179">
        <f ca="1">IF(ISNUMBER(MATCH(DATEVALUE($A41),'recurring1_based on steps'!F$1:F$400,0)),F$2,)</f>
        <v>0</v>
      </c>
      <c r="G41" s="179">
        <f ca="1">IF(ISNUMBER(MATCH(DATEVALUE($A41),'recurring1_based on steps'!G$1:G$400,0)),G$2,)</f>
        <v>0</v>
      </c>
      <c r="H41" s="179">
        <f ca="1">IF(ISNUMBER(MATCH(DATEVALUE($A41),'recurring1_based on steps'!H$1:H$400,0)),H$2,)</f>
        <v>0</v>
      </c>
      <c r="I41" s="179">
        <f ca="1">IF(ISNUMBER(MATCH(DATEVALUE($A41),'recurring1_based on steps'!I$1:I$400,0)),I$2,)</f>
        <v>0</v>
      </c>
      <c r="J41" s="179">
        <f ca="1">IF(ISNUMBER(MATCH(DATEVALUE($A41),'recurring1_based on steps'!J$1:J$400,0)),J$2,)</f>
        <v>0</v>
      </c>
      <c r="K41" s="179">
        <f ca="1">IF(ISNUMBER(MATCH(DATEVALUE($A41),'recurring1_based on steps'!K$1:K$400,0)),K$2,)</f>
        <v>0</v>
      </c>
      <c r="L41" s="179">
        <f ca="1">IF(ISNUMBER(MATCH(DATEVALUE($A41),'recurring1_based on steps'!L$1:L$400,0)),L$2,)</f>
        <v>0</v>
      </c>
      <c r="M41" s="179">
        <f ca="1">IF(ISNUMBER(MATCH(DATEVALUE($A41),'recurring1_based on steps'!M$1:M$400,0)),M$2,)</f>
        <v>0</v>
      </c>
      <c r="N41" s="179">
        <f ca="1">IF(ISNUMBER(MATCH(DATEVALUE($A41),'recurring1_based on steps'!N$1:N$400,0)),N$2,)</f>
        <v>0</v>
      </c>
      <c r="O41" s="179">
        <f ca="1">IF(ISNUMBER(MATCH(DATEVALUE($A41),'recurring1_based on steps'!O$1:O$400,0)),O$2,)</f>
        <v>0</v>
      </c>
      <c r="P41" s="179">
        <f ca="1">IF(ISNUMBER(MATCH(DATEVALUE($A41),'recurring1_based on steps'!P$1:P$400,0)),P$2,)</f>
        <v>0</v>
      </c>
      <c r="Q41" s="179">
        <f ca="1">IF(ISNUMBER(MATCH(DATEVALUE($A41),'recurring1_based on steps'!Q$1:Q$400,0)),Q$2,)</f>
        <v>0</v>
      </c>
      <c r="R41" s="179">
        <f ca="1">IF(ISNUMBER(MATCH(DATEVALUE($A41),'recurring1_based on steps'!R$1:R$400,0)),R$2,)</f>
        <v>0</v>
      </c>
      <c r="S41" s="179">
        <f ca="1">IF(ISNUMBER(MATCH(DATEVALUE($A41),'recurring1_based on steps'!S$1:S$400,0)),S$2,)</f>
        <v>0</v>
      </c>
      <c r="T41" s="179">
        <f ca="1">IF(ISNUMBER(MATCH(DATEVALUE($A41),'recurring1_based on steps'!T$1:T$400,0)),T$2,)</f>
        <v>0</v>
      </c>
      <c r="U41" s="179">
        <f ca="1">IF(ISNUMBER(MATCH(DATEVALUE($A41),'recurring1_based on steps'!U$1:U$400,0)),U$2,)</f>
        <v>0</v>
      </c>
      <c r="V41" s="179">
        <f ca="1">IF(ISNUMBER(MATCH(DATEVALUE($A41),'recurring1_based on steps'!V$1:V$400,0)),V$2,)</f>
        <v>0</v>
      </c>
      <c r="W41" s="179">
        <f ca="1">IF(ISNUMBER(MATCH(DATEVALUE($A41),'recurring1_based on steps'!W$1:W$400,0)),W$2,)</f>
        <v>0</v>
      </c>
      <c r="X41" s="179">
        <f ca="1">IF(ISNUMBER(MATCH(DATEVALUE($A41),'recurring1_based on steps'!X$1:X$400,0)),X$2,)</f>
        <v>0</v>
      </c>
      <c r="Y41" s="179">
        <f ca="1">IF(ISNUMBER(MATCH(DATEVALUE($A41),'recurring1_based on steps'!Y$1:Y$400,0)),Y$2,)</f>
        <v>0</v>
      </c>
      <c r="Z41" s="179">
        <f ca="1">IF(ISNUMBER(MATCH(DATEVALUE($A41),'recurring1_based on steps'!Z$1:Z$400,0)),Z$2,)</f>
        <v>0</v>
      </c>
      <c r="AA41" s="179">
        <f ca="1">IF(ISNUMBER(MATCH(DATEVALUE($A41),'recurring1_based on steps'!AA$1:AA$400,0)),AA$2,)</f>
        <v>0</v>
      </c>
      <c r="AB41" s="179">
        <f ca="1">IF(ISNUMBER(MATCH(DATEVALUE($A41),'recurring1_based on steps'!AB$1:AB$400,0)),AB$2,)</f>
        <v>0</v>
      </c>
      <c r="AC41" s="179">
        <f ca="1">IF(ISNUMBER(MATCH(DATEVALUE($A41),'recurring1_based on steps'!AC$1:AC$400,0)),AC$2,)</f>
        <v>0</v>
      </c>
      <c r="AD41" s="179">
        <f ca="1">IF(ISNUMBER(MATCH(DATEVALUE($A41),'recurring1_based on steps'!AD$1:AD$400,0)),AD$2,)</f>
        <v>0</v>
      </c>
      <c r="AE41" s="179">
        <f ca="1">IF(ISNUMBER(MATCH(DATEVALUE($A41),'recurring1_based on steps'!AE$1:AE$400,0)),AE$2,)</f>
        <v>0</v>
      </c>
      <c r="AF41" s="179">
        <f ca="1">IF(ISNUMBER(MATCH(DATEVALUE($A41),'recurring1_based on steps'!AF$1:AF$400,0)),AF$2,)</f>
        <v>0</v>
      </c>
      <c r="AG41" s="179">
        <f ca="1">IF(ISNUMBER(MATCH(DATEVALUE($A41),'recurring1_based on steps'!AG$1:AG$400,0)),AG$2,)</f>
        <v>0</v>
      </c>
      <c r="AH41" s="179">
        <f ca="1">IF(ISNUMBER(MATCH(DATEVALUE($A41),'recurring1_based on steps'!AH$1:AH$400,0)),AH$2,)</f>
        <v>0</v>
      </c>
      <c r="AI41" s="179">
        <f ca="1">IF(ISNUMBER(MATCH(DATEVALUE($A41),'recurring1_based on steps'!AI$1:AI$400,0)),AI$2,)</f>
        <v>0</v>
      </c>
      <c r="AJ41" s="179">
        <f ca="1">IF(ISNUMBER(MATCH(DATEVALUE($A41),'recurring1_based on steps'!AJ$1:AJ$400,0)),AJ$2,)</f>
        <v>0</v>
      </c>
      <c r="AK41" s="179">
        <f ca="1">IF(ISNUMBER(MATCH(DATEVALUE($A41),'recurring1_based on steps'!AK$1:AK$400,0)),AK$2,)</f>
        <v>0</v>
      </c>
      <c r="AL41" s="179">
        <f ca="1">IF(ISNUMBER(MATCH(DATEVALUE($A41),'recurring1_based on steps'!AL$1:AL$400,0)),AL$2,)</f>
        <v>0</v>
      </c>
      <c r="AM41" s="179">
        <f ca="1">IF(ISNUMBER(MATCH(DATEVALUE($A41),'recurring1_based on steps'!AM$1:AM$400,0)),AM$2,)</f>
        <v>0</v>
      </c>
      <c r="AN41" s="179">
        <f ca="1">IF(ISNUMBER(MATCH(DATEVALUE($A41),'recurring1_based on steps'!AN$1:AN$400,0)),AN$2,)</f>
        <v>0</v>
      </c>
      <c r="AO41" s="179">
        <f ca="1">IF(ISNUMBER(MATCH(DATEVALUE($A41),'recurring1_based on steps'!AO$1:AO$400,0)),AO$2,)</f>
        <v>0</v>
      </c>
      <c r="AP41" s="179">
        <f ca="1">IF(ISNUMBER(MATCH(DATEVALUE($A41),'recurring1_based on steps'!AP$1:AP$400,0)),AP$2,)</f>
        <v>0</v>
      </c>
      <c r="AQ41" s="179">
        <f ca="1">IF(ISNUMBER(MATCH(DATEVALUE($A41),'recurring1_based on steps'!AQ$1:AQ$400,0)),AQ$2,)</f>
        <v>0</v>
      </c>
      <c r="AR41" s="179">
        <f ca="1">IF(ISNUMBER(MATCH(DATEVALUE($A41),'recurring1_based on steps'!AR$1:AR$400,0)),AR$2,)</f>
        <v>0</v>
      </c>
      <c r="AS41" s="179">
        <f ca="1">IF(ISNUMBER(MATCH(DATEVALUE($A41),'recurring1_based on steps'!AS$1:AS$400,0)),AS$2,)</f>
        <v>0</v>
      </c>
      <c r="AT41" s="179">
        <f ca="1">IF(ISNUMBER(MATCH(DATEVALUE($A41),'recurring1_based on steps'!AT$1:AT$400,0)),AT$2,)</f>
        <v>0</v>
      </c>
      <c r="AU41" s="179">
        <f ca="1">IF(ISNUMBER(MATCH(DATEVALUE($A41),'recurring1_based on steps'!AU$1:AU$400,0)),AU$2,)</f>
        <v>0</v>
      </c>
      <c r="AV41" s="179">
        <f ca="1">IF(ISNUMBER(MATCH(DATEVALUE($A41),'recurring1_based on steps'!AV$1:AV$400,0)),AV$2,)</f>
        <v>0</v>
      </c>
      <c r="AW41" s="179">
        <f ca="1">IF(ISNUMBER(MATCH(DATEVALUE($A41),'recurring1_based on steps'!AW$1:AW$400,0)),AW$2,)</f>
        <v>0</v>
      </c>
      <c r="AX41" s="179">
        <f ca="1">IF(ISNUMBER(MATCH(DATEVALUE($A41),'recurring1_based on steps'!AX$1:AX$400,0)),AX$2,)</f>
        <v>0</v>
      </c>
      <c r="AY41" s="179">
        <f ca="1">IF(ISNUMBER(MATCH(DATEVALUE($A41),'recurring1_based on steps'!AY$1:AY$400,0)),AY$2,)</f>
        <v>0</v>
      </c>
    </row>
    <row r="42" spans="1:51" x14ac:dyDescent="0.2">
      <c r="A42" s="32" t="str">
        <f t="shared" ca="1" si="0"/>
        <v>2025-05-14</v>
      </c>
      <c r="B42" s="179">
        <f ca="1">IF(ISNUMBER(MATCH(DATEVALUE($A42),'recurring1_based on steps'!B$1:B$400,0)),B$2,)</f>
        <v>0</v>
      </c>
      <c r="C42" s="179">
        <f ca="1">IF(ISNUMBER(MATCH(DATEVALUE($A42),'recurring1_based on steps'!C$1:C$400,0)),C$2,)</f>
        <v>0</v>
      </c>
      <c r="D42" s="179">
        <f ca="1">IF(ISNUMBER(MATCH(DATEVALUE($A42),'recurring1_based on steps'!D$1:D$400,0)),D$2,)</f>
        <v>0</v>
      </c>
      <c r="E42" s="179">
        <f ca="1">IF(ISNUMBER(MATCH(DATEVALUE($A42),'recurring1_based on steps'!E$1:E$400,0)),E$2,)</f>
        <v>0</v>
      </c>
      <c r="F42" s="179">
        <f ca="1">IF(ISNUMBER(MATCH(DATEVALUE($A42),'recurring1_based on steps'!F$1:F$400,0)),F$2,)</f>
        <v>0</v>
      </c>
      <c r="G42" s="179">
        <f ca="1">IF(ISNUMBER(MATCH(DATEVALUE($A42),'recurring1_based on steps'!G$1:G$400,0)),G$2,)</f>
        <v>0</v>
      </c>
      <c r="H42" s="179">
        <f ca="1">IF(ISNUMBER(MATCH(DATEVALUE($A42),'recurring1_based on steps'!H$1:H$400,0)),H$2,)</f>
        <v>0</v>
      </c>
      <c r="I42" s="179">
        <f ca="1">IF(ISNUMBER(MATCH(DATEVALUE($A42),'recurring1_based on steps'!I$1:I$400,0)),I$2,)</f>
        <v>0</v>
      </c>
      <c r="J42" s="179">
        <f ca="1">IF(ISNUMBER(MATCH(DATEVALUE($A42),'recurring1_based on steps'!J$1:J$400,0)),J$2,)</f>
        <v>0</v>
      </c>
      <c r="K42" s="179">
        <f ca="1">IF(ISNUMBER(MATCH(DATEVALUE($A42),'recurring1_based on steps'!K$1:K$400,0)),K$2,)</f>
        <v>0</v>
      </c>
      <c r="L42" s="179">
        <f ca="1">IF(ISNUMBER(MATCH(DATEVALUE($A42),'recurring1_based on steps'!L$1:L$400,0)),L$2,)</f>
        <v>0</v>
      </c>
      <c r="M42" s="179">
        <f ca="1">IF(ISNUMBER(MATCH(DATEVALUE($A42),'recurring1_based on steps'!M$1:M$400,0)),M$2,)</f>
        <v>0</v>
      </c>
      <c r="N42" s="179">
        <f ca="1">IF(ISNUMBER(MATCH(DATEVALUE($A42),'recurring1_based on steps'!N$1:N$400,0)),N$2,)</f>
        <v>0</v>
      </c>
      <c r="O42" s="179">
        <f ca="1">IF(ISNUMBER(MATCH(DATEVALUE($A42),'recurring1_based on steps'!O$1:O$400,0)),O$2,)</f>
        <v>0</v>
      </c>
      <c r="P42" s="179">
        <f ca="1">IF(ISNUMBER(MATCH(DATEVALUE($A42),'recurring1_based on steps'!P$1:P$400,0)),P$2,)</f>
        <v>0</v>
      </c>
      <c r="Q42" s="179">
        <f ca="1">IF(ISNUMBER(MATCH(DATEVALUE($A42),'recurring1_based on steps'!Q$1:Q$400,0)),Q$2,)</f>
        <v>0</v>
      </c>
      <c r="R42" s="179">
        <f ca="1">IF(ISNUMBER(MATCH(DATEVALUE($A42),'recurring1_based on steps'!R$1:R$400,0)),R$2,)</f>
        <v>0</v>
      </c>
      <c r="S42" s="179">
        <f ca="1">IF(ISNUMBER(MATCH(DATEVALUE($A42),'recurring1_based on steps'!S$1:S$400,0)),S$2,)</f>
        <v>0</v>
      </c>
      <c r="T42" s="179">
        <f ca="1">IF(ISNUMBER(MATCH(DATEVALUE($A42),'recurring1_based on steps'!T$1:T$400,0)),T$2,)</f>
        <v>0</v>
      </c>
      <c r="U42" s="179">
        <f ca="1">IF(ISNUMBER(MATCH(DATEVALUE($A42),'recurring1_based on steps'!U$1:U$400,0)),U$2,)</f>
        <v>0</v>
      </c>
      <c r="V42" s="179">
        <f ca="1">IF(ISNUMBER(MATCH(DATEVALUE($A42),'recurring1_based on steps'!V$1:V$400,0)),V$2,)</f>
        <v>0</v>
      </c>
      <c r="W42" s="179">
        <f ca="1">IF(ISNUMBER(MATCH(DATEVALUE($A42),'recurring1_based on steps'!W$1:W$400,0)),W$2,)</f>
        <v>0</v>
      </c>
      <c r="X42" s="179">
        <f ca="1">IF(ISNUMBER(MATCH(DATEVALUE($A42),'recurring1_based on steps'!X$1:X$400,0)),X$2,)</f>
        <v>0</v>
      </c>
      <c r="Y42" s="179">
        <f ca="1">IF(ISNUMBER(MATCH(DATEVALUE($A42),'recurring1_based on steps'!Y$1:Y$400,0)),Y$2,)</f>
        <v>0</v>
      </c>
      <c r="Z42" s="179">
        <f ca="1">IF(ISNUMBER(MATCH(DATEVALUE($A42),'recurring1_based on steps'!Z$1:Z$400,0)),Z$2,)</f>
        <v>0</v>
      </c>
      <c r="AA42" s="179">
        <f ca="1">IF(ISNUMBER(MATCH(DATEVALUE($A42),'recurring1_based on steps'!AA$1:AA$400,0)),AA$2,)</f>
        <v>0</v>
      </c>
      <c r="AB42" s="179">
        <f ca="1">IF(ISNUMBER(MATCH(DATEVALUE($A42),'recurring1_based on steps'!AB$1:AB$400,0)),AB$2,)</f>
        <v>0</v>
      </c>
      <c r="AC42" s="179">
        <f ca="1">IF(ISNUMBER(MATCH(DATEVALUE($A42),'recurring1_based on steps'!AC$1:AC$400,0)),AC$2,)</f>
        <v>0</v>
      </c>
      <c r="AD42" s="179">
        <f ca="1">IF(ISNUMBER(MATCH(DATEVALUE($A42),'recurring1_based on steps'!AD$1:AD$400,0)),AD$2,)</f>
        <v>0</v>
      </c>
      <c r="AE42" s="179">
        <f ca="1">IF(ISNUMBER(MATCH(DATEVALUE($A42),'recurring1_based on steps'!AE$1:AE$400,0)),AE$2,)</f>
        <v>0</v>
      </c>
      <c r="AF42" s="179">
        <f ca="1">IF(ISNUMBER(MATCH(DATEVALUE($A42),'recurring1_based on steps'!AF$1:AF$400,0)),AF$2,)</f>
        <v>0</v>
      </c>
      <c r="AG42" s="179">
        <f ca="1">IF(ISNUMBER(MATCH(DATEVALUE($A42),'recurring1_based on steps'!AG$1:AG$400,0)),AG$2,)</f>
        <v>0</v>
      </c>
      <c r="AH42" s="179">
        <f ca="1">IF(ISNUMBER(MATCH(DATEVALUE($A42),'recurring1_based on steps'!AH$1:AH$400,0)),AH$2,)</f>
        <v>0</v>
      </c>
      <c r="AI42" s="179">
        <f ca="1">IF(ISNUMBER(MATCH(DATEVALUE($A42),'recurring1_based on steps'!AI$1:AI$400,0)),AI$2,)</f>
        <v>0</v>
      </c>
      <c r="AJ42" s="179">
        <f ca="1">IF(ISNUMBER(MATCH(DATEVALUE($A42),'recurring1_based on steps'!AJ$1:AJ$400,0)),AJ$2,)</f>
        <v>0</v>
      </c>
      <c r="AK42" s="179">
        <f ca="1">IF(ISNUMBER(MATCH(DATEVALUE($A42),'recurring1_based on steps'!AK$1:AK$400,0)),AK$2,)</f>
        <v>0</v>
      </c>
      <c r="AL42" s="179">
        <f ca="1">IF(ISNUMBER(MATCH(DATEVALUE($A42),'recurring1_based on steps'!AL$1:AL$400,0)),AL$2,)</f>
        <v>0</v>
      </c>
      <c r="AM42" s="179">
        <f ca="1">IF(ISNUMBER(MATCH(DATEVALUE($A42),'recurring1_based on steps'!AM$1:AM$400,0)),AM$2,)</f>
        <v>0</v>
      </c>
      <c r="AN42" s="179">
        <f ca="1">IF(ISNUMBER(MATCH(DATEVALUE($A42),'recurring1_based on steps'!AN$1:AN$400,0)),AN$2,)</f>
        <v>0</v>
      </c>
      <c r="AO42" s="179">
        <f ca="1">IF(ISNUMBER(MATCH(DATEVALUE($A42),'recurring1_based on steps'!AO$1:AO$400,0)),AO$2,)</f>
        <v>0</v>
      </c>
      <c r="AP42" s="179">
        <f ca="1">IF(ISNUMBER(MATCH(DATEVALUE($A42),'recurring1_based on steps'!AP$1:AP$400,0)),AP$2,)</f>
        <v>0</v>
      </c>
      <c r="AQ42" s="179">
        <f ca="1">IF(ISNUMBER(MATCH(DATEVALUE($A42),'recurring1_based on steps'!AQ$1:AQ$400,0)),AQ$2,)</f>
        <v>0</v>
      </c>
      <c r="AR42" s="179">
        <f ca="1">IF(ISNUMBER(MATCH(DATEVALUE($A42),'recurring1_based on steps'!AR$1:AR$400,0)),AR$2,)</f>
        <v>0</v>
      </c>
      <c r="AS42" s="179">
        <f ca="1">IF(ISNUMBER(MATCH(DATEVALUE($A42),'recurring1_based on steps'!AS$1:AS$400,0)),AS$2,)</f>
        <v>0</v>
      </c>
      <c r="AT42" s="179">
        <f ca="1">IF(ISNUMBER(MATCH(DATEVALUE($A42),'recurring1_based on steps'!AT$1:AT$400,0)),AT$2,)</f>
        <v>0</v>
      </c>
      <c r="AU42" s="179">
        <f ca="1">IF(ISNUMBER(MATCH(DATEVALUE($A42),'recurring1_based on steps'!AU$1:AU$400,0)),AU$2,)</f>
        <v>0</v>
      </c>
      <c r="AV42" s="179">
        <f ca="1">IF(ISNUMBER(MATCH(DATEVALUE($A42),'recurring1_based on steps'!AV$1:AV$400,0)),AV$2,)</f>
        <v>0</v>
      </c>
      <c r="AW42" s="179">
        <f ca="1">IF(ISNUMBER(MATCH(DATEVALUE($A42),'recurring1_based on steps'!AW$1:AW$400,0)),AW$2,)</f>
        <v>0</v>
      </c>
      <c r="AX42" s="179">
        <f ca="1">IF(ISNUMBER(MATCH(DATEVALUE($A42),'recurring1_based on steps'!AX$1:AX$400,0)),AX$2,)</f>
        <v>0</v>
      </c>
      <c r="AY42" s="179">
        <f ca="1">IF(ISNUMBER(MATCH(DATEVALUE($A42),'recurring1_based on steps'!AY$1:AY$400,0)),AY$2,)</f>
        <v>0</v>
      </c>
    </row>
    <row r="43" spans="1:51" x14ac:dyDescent="0.2">
      <c r="A43" s="32" t="str">
        <f t="shared" ca="1" si="0"/>
        <v>2025-05-15</v>
      </c>
      <c r="B43" s="179">
        <f ca="1">IF(ISNUMBER(MATCH(DATEVALUE($A43),'recurring1_based on steps'!B$1:B$400,0)),B$2,)</f>
        <v>0</v>
      </c>
      <c r="C43" s="179">
        <f ca="1">IF(ISNUMBER(MATCH(DATEVALUE($A43),'recurring1_based on steps'!C$1:C$400,0)),C$2,)</f>
        <v>0</v>
      </c>
      <c r="D43" s="179">
        <f ca="1">IF(ISNUMBER(MATCH(DATEVALUE($A43),'recurring1_based on steps'!D$1:D$400,0)),D$2,)</f>
        <v>0</v>
      </c>
      <c r="E43" s="179">
        <f ca="1">IF(ISNUMBER(MATCH(DATEVALUE($A43),'recurring1_based on steps'!E$1:E$400,0)),E$2,)</f>
        <v>0</v>
      </c>
      <c r="F43" s="179">
        <f ca="1">IF(ISNUMBER(MATCH(DATEVALUE($A43),'recurring1_based on steps'!F$1:F$400,0)),F$2,)</f>
        <v>0</v>
      </c>
      <c r="G43" s="179">
        <f ca="1">IF(ISNUMBER(MATCH(DATEVALUE($A43),'recurring1_based on steps'!G$1:G$400,0)),G$2,)</f>
        <v>0</v>
      </c>
      <c r="H43" s="179">
        <f ca="1">IF(ISNUMBER(MATCH(DATEVALUE($A43),'recurring1_based on steps'!H$1:H$400,0)),H$2,)</f>
        <v>0</v>
      </c>
      <c r="I43" s="179">
        <f ca="1">IF(ISNUMBER(MATCH(DATEVALUE($A43),'recurring1_based on steps'!I$1:I$400,0)),I$2,)</f>
        <v>0</v>
      </c>
      <c r="J43" s="179">
        <f ca="1">IF(ISNUMBER(MATCH(DATEVALUE($A43),'recurring1_based on steps'!J$1:J$400,0)),J$2,)</f>
        <v>0</v>
      </c>
      <c r="K43" s="179">
        <f ca="1">IF(ISNUMBER(MATCH(DATEVALUE($A43),'recurring1_based on steps'!K$1:K$400,0)),K$2,)</f>
        <v>0</v>
      </c>
      <c r="L43" s="179">
        <f ca="1">IF(ISNUMBER(MATCH(DATEVALUE($A43),'recurring1_based on steps'!L$1:L$400,0)),L$2,)</f>
        <v>0</v>
      </c>
      <c r="M43" s="179">
        <f ca="1">IF(ISNUMBER(MATCH(DATEVALUE($A43),'recurring1_based on steps'!M$1:M$400,0)),M$2,)</f>
        <v>0</v>
      </c>
      <c r="N43" s="179">
        <f ca="1">IF(ISNUMBER(MATCH(DATEVALUE($A43),'recurring1_based on steps'!N$1:N$400,0)),N$2,)</f>
        <v>0</v>
      </c>
      <c r="O43" s="179">
        <f ca="1">IF(ISNUMBER(MATCH(DATEVALUE($A43),'recurring1_based on steps'!O$1:O$400,0)),O$2,)</f>
        <v>0</v>
      </c>
      <c r="P43" s="179">
        <f ca="1">IF(ISNUMBER(MATCH(DATEVALUE($A43),'recurring1_based on steps'!P$1:P$400,0)),P$2,)</f>
        <v>0</v>
      </c>
      <c r="Q43" s="179">
        <f ca="1">IF(ISNUMBER(MATCH(DATEVALUE($A43),'recurring1_based on steps'!Q$1:Q$400,0)),Q$2,)</f>
        <v>0</v>
      </c>
      <c r="R43" s="179">
        <f ca="1">IF(ISNUMBER(MATCH(DATEVALUE($A43),'recurring1_based on steps'!R$1:R$400,0)),R$2,)</f>
        <v>0</v>
      </c>
      <c r="S43" s="179">
        <f ca="1">IF(ISNUMBER(MATCH(DATEVALUE($A43),'recurring1_based on steps'!S$1:S$400,0)),S$2,)</f>
        <v>0</v>
      </c>
      <c r="T43" s="179">
        <f ca="1">IF(ISNUMBER(MATCH(DATEVALUE($A43),'recurring1_based on steps'!T$1:T$400,0)),T$2,)</f>
        <v>0</v>
      </c>
      <c r="U43" s="179">
        <f ca="1">IF(ISNUMBER(MATCH(DATEVALUE($A43),'recurring1_based on steps'!U$1:U$400,0)),U$2,)</f>
        <v>0</v>
      </c>
      <c r="V43" s="179">
        <f ca="1">IF(ISNUMBER(MATCH(DATEVALUE($A43),'recurring1_based on steps'!V$1:V$400,0)),V$2,)</f>
        <v>0</v>
      </c>
      <c r="W43" s="179">
        <f ca="1">IF(ISNUMBER(MATCH(DATEVALUE($A43),'recurring1_based on steps'!W$1:W$400,0)),W$2,)</f>
        <v>0</v>
      </c>
      <c r="X43" s="179">
        <f ca="1">IF(ISNUMBER(MATCH(DATEVALUE($A43),'recurring1_based on steps'!X$1:X$400,0)),X$2,)</f>
        <v>0</v>
      </c>
      <c r="Y43" s="179">
        <f ca="1">IF(ISNUMBER(MATCH(DATEVALUE($A43),'recurring1_based on steps'!Y$1:Y$400,0)),Y$2,)</f>
        <v>0</v>
      </c>
      <c r="Z43" s="179">
        <f ca="1">IF(ISNUMBER(MATCH(DATEVALUE($A43),'recurring1_based on steps'!Z$1:Z$400,0)),Z$2,)</f>
        <v>0</v>
      </c>
      <c r="AA43" s="179">
        <f ca="1">IF(ISNUMBER(MATCH(DATEVALUE($A43),'recurring1_based on steps'!AA$1:AA$400,0)),AA$2,)</f>
        <v>0</v>
      </c>
      <c r="AB43" s="179">
        <f ca="1">IF(ISNUMBER(MATCH(DATEVALUE($A43),'recurring1_based on steps'!AB$1:AB$400,0)),AB$2,)</f>
        <v>0</v>
      </c>
      <c r="AC43" s="179">
        <f ca="1">IF(ISNUMBER(MATCH(DATEVALUE($A43),'recurring1_based on steps'!AC$1:AC$400,0)),AC$2,)</f>
        <v>0</v>
      </c>
      <c r="AD43" s="179">
        <f ca="1">IF(ISNUMBER(MATCH(DATEVALUE($A43),'recurring1_based on steps'!AD$1:AD$400,0)),AD$2,)</f>
        <v>0</v>
      </c>
      <c r="AE43" s="179">
        <f ca="1">IF(ISNUMBER(MATCH(DATEVALUE($A43),'recurring1_based on steps'!AE$1:AE$400,0)),AE$2,)</f>
        <v>0</v>
      </c>
      <c r="AF43" s="179">
        <f ca="1">IF(ISNUMBER(MATCH(DATEVALUE($A43),'recurring1_based on steps'!AF$1:AF$400,0)),AF$2,)</f>
        <v>0</v>
      </c>
      <c r="AG43" s="179">
        <f ca="1">IF(ISNUMBER(MATCH(DATEVALUE($A43),'recurring1_based on steps'!AG$1:AG$400,0)),AG$2,)</f>
        <v>0</v>
      </c>
      <c r="AH43" s="179">
        <f ca="1">IF(ISNUMBER(MATCH(DATEVALUE($A43),'recurring1_based on steps'!AH$1:AH$400,0)),AH$2,)</f>
        <v>0</v>
      </c>
      <c r="AI43" s="179">
        <f ca="1">IF(ISNUMBER(MATCH(DATEVALUE($A43),'recurring1_based on steps'!AI$1:AI$400,0)),AI$2,)</f>
        <v>0</v>
      </c>
      <c r="AJ43" s="179">
        <f ca="1">IF(ISNUMBER(MATCH(DATEVALUE($A43),'recurring1_based on steps'!AJ$1:AJ$400,0)),AJ$2,)</f>
        <v>0</v>
      </c>
      <c r="AK43" s="179">
        <f ca="1">IF(ISNUMBER(MATCH(DATEVALUE($A43),'recurring1_based on steps'!AK$1:AK$400,0)),AK$2,)</f>
        <v>0</v>
      </c>
      <c r="AL43" s="179">
        <f ca="1">IF(ISNUMBER(MATCH(DATEVALUE($A43),'recurring1_based on steps'!AL$1:AL$400,0)),AL$2,)</f>
        <v>0</v>
      </c>
      <c r="AM43" s="179">
        <f ca="1">IF(ISNUMBER(MATCH(DATEVALUE($A43),'recurring1_based on steps'!AM$1:AM$400,0)),AM$2,)</f>
        <v>0</v>
      </c>
      <c r="AN43" s="179">
        <f ca="1">IF(ISNUMBER(MATCH(DATEVALUE($A43),'recurring1_based on steps'!AN$1:AN$400,0)),AN$2,)</f>
        <v>0</v>
      </c>
      <c r="AO43" s="179">
        <f ca="1">IF(ISNUMBER(MATCH(DATEVALUE($A43),'recurring1_based on steps'!AO$1:AO$400,0)),AO$2,)</f>
        <v>0</v>
      </c>
      <c r="AP43" s="179">
        <f ca="1">IF(ISNUMBER(MATCH(DATEVALUE($A43),'recurring1_based on steps'!AP$1:AP$400,0)),AP$2,)</f>
        <v>0</v>
      </c>
      <c r="AQ43" s="179">
        <f ca="1">IF(ISNUMBER(MATCH(DATEVALUE($A43),'recurring1_based on steps'!AQ$1:AQ$400,0)),AQ$2,)</f>
        <v>0</v>
      </c>
      <c r="AR43" s="179">
        <f ca="1">IF(ISNUMBER(MATCH(DATEVALUE($A43),'recurring1_based on steps'!AR$1:AR$400,0)),AR$2,)</f>
        <v>0</v>
      </c>
      <c r="AS43" s="179">
        <f ca="1">IF(ISNUMBER(MATCH(DATEVALUE($A43),'recurring1_based on steps'!AS$1:AS$400,0)),AS$2,)</f>
        <v>0</v>
      </c>
      <c r="AT43" s="179">
        <f ca="1">IF(ISNUMBER(MATCH(DATEVALUE($A43),'recurring1_based on steps'!AT$1:AT$400,0)),AT$2,)</f>
        <v>0</v>
      </c>
      <c r="AU43" s="179">
        <f ca="1">IF(ISNUMBER(MATCH(DATEVALUE($A43),'recurring1_based on steps'!AU$1:AU$400,0)),AU$2,)</f>
        <v>0</v>
      </c>
      <c r="AV43" s="179">
        <f ca="1">IF(ISNUMBER(MATCH(DATEVALUE($A43),'recurring1_based on steps'!AV$1:AV$400,0)),AV$2,)</f>
        <v>0</v>
      </c>
      <c r="AW43" s="179">
        <f ca="1">IF(ISNUMBER(MATCH(DATEVALUE($A43),'recurring1_based on steps'!AW$1:AW$400,0)),AW$2,)</f>
        <v>0</v>
      </c>
      <c r="AX43" s="179">
        <f ca="1">IF(ISNUMBER(MATCH(DATEVALUE($A43),'recurring1_based on steps'!AX$1:AX$400,0)),AX$2,)</f>
        <v>0</v>
      </c>
      <c r="AY43" s="179">
        <f ca="1">IF(ISNUMBER(MATCH(DATEVALUE($A43),'recurring1_based on steps'!AY$1:AY$400,0)),AY$2,)</f>
        <v>0</v>
      </c>
    </row>
    <row r="44" spans="1:51" x14ac:dyDescent="0.2">
      <c r="A44" s="32" t="str">
        <f t="shared" ca="1" si="0"/>
        <v>2025-05-16</v>
      </c>
      <c r="B44" s="179">
        <f ca="1">IF(ISNUMBER(MATCH(DATEVALUE($A44),'recurring1_based on steps'!B$1:B$400,0)),B$2,)</f>
        <v>0</v>
      </c>
      <c r="C44" s="179">
        <f ca="1">IF(ISNUMBER(MATCH(DATEVALUE($A44),'recurring1_based on steps'!C$1:C$400,0)),C$2,)</f>
        <v>0</v>
      </c>
      <c r="D44" s="179">
        <f ca="1">IF(ISNUMBER(MATCH(DATEVALUE($A44),'recurring1_based on steps'!D$1:D$400,0)),D$2,)</f>
        <v>0</v>
      </c>
      <c r="E44" s="179">
        <f ca="1">IF(ISNUMBER(MATCH(DATEVALUE($A44),'recurring1_based on steps'!E$1:E$400,0)),E$2,)</f>
        <v>0</v>
      </c>
      <c r="F44" s="179">
        <f ca="1">IF(ISNUMBER(MATCH(DATEVALUE($A44),'recurring1_based on steps'!F$1:F$400,0)),F$2,)</f>
        <v>0</v>
      </c>
      <c r="G44" s="179">
        <f ca="1">IF(ISNUMBER(MATCH(DATEVALUE($A44),'recurring1_based on steps'!G$1:G$400,0)),G$2,)</f>
        <v>0</v>
      </c>
      <c r="H44" s="179">
        <f ca="1">IF(ISNUMBER(MATCH(DATEVALUE($A44),'recurring1_based on steps'!H$1:H$400,0)),H$2,)</f>
        <v>0</v>
      </c>
      <c r="I44" s="179">
        <f ca="1">IF(ISNUMBER(MATCH(DATEVALUE($A44),'recurring1_based on steps'!I$1:I$400,0)),I$2,)</f>
        <v>0</v>
      </c>
      <c r="J44" s="179">
        <f ca="1">IF(ISNUMBER(MATCH(DATEVALUE($A44),'recurring1_based on steps'!J$1:J$400,0)),J$2,)</f>
        <v>0</v>
      </c>
      <c r="K44" s="179">
        <f ca="1">IF(ISNUMBER(MATCH(DATEVALUE($A44),'recurring1_based on steps'!K$1:K$400,0)),K$2,)</f>
        <v>0</v>
      </c>
      <c r="L44" s="179">
        <f ca="1">IF(ISNUMBER(MATCH(DATEVALUE($A44),'recurring1_based on steps'!L$1:L$400,0)),L$2,)</f>
        <v>0</v>
      </c>
      <c r="M44" s="179">
        <f ca="1">IF(ISNUMBER(MATCH(DATEVALUE($A44),'recurring1_based on steps'!M$1:M$400,0)),M$2,)</f>
        <v>0</v>
      </c>
      <c r="N44" s="179">
        <f ca="1">IF(ISNUMBER(MATCH(DATEVALUE($A44),'recurring1_based on steps'!N$1:N$400,0)),N$2,)</f>
        <v>0</v>
      </c>
      <c r="O44" s="179">
        <f ca="1">IF(ISNUMBER(MATCH(DATEVALUE($A44),'recurring1_based on steps'!O$1:O$400,0)),O$2,)</f>
        <v>0</v>
      </c>
      <c r="P44" s="179">
        <f ca="1">IF(ISNUMBER(MATCH(DATEVALUE($A44),'recurring1_based on steps'!P$1:P$400,0)),P$2,)</f>
        <v>0</v>
      </c>
      <c r="Q44" s="179">
        <f ca="1">IF(ISNUMBER(MATCH(DATEVALUE($A44),'recurring1_based on steps'!Q$1:Q$400,0)),Q$2,)</f>
        <v>0</v>
      </c>
      <c r="R44" s="179">
        <f ca="1">IF(ISNUMBER(MATCH(DATEVALUE($A44),'recurring1_based on steps'!R$1:R$400,0)),R$2,)</f>
        <v>0</v>
      </c>
      <c r="S44" s="179">
        <f ca="1">IF(ISNUMBER(MATCH(DATEVALUE($A44),'recurring1_based on steps'!S$1:S$400,0)),S$2,)</f>
        <v>0</v>
      </c>
      <c r="T44" s="179">
        <f ca="1">IF(ISNUMBER(MATCH(DATEVALUE($A44),'recurring1_based on steps'!T$1:T$400,0)),T$2,)</f>
        <v>0</v>
      </c>
      <c r="U44" s="179">
        <f ca="1">IF(ISNUMBER(MATCH(DATEVALUE($A44),'recurring1_based on steps'!U$1:U$400,0)),U$2,)</f>
        <v>0</v>
      </c>
      <c r="V44" s="179">
        <f ca="1">IF(ISNUMBER(MATCH(DATEVALUE($A44),'recurring1_based on steps'!V$1:V$400,0)),V$2,)</f>
        <v>0</v>
      </c>
      <c r="W44" s="179">
        <f ca="1">IF(ISNUMBER(MATCH(DATEVALUE($A44),'recurring1_based on steps'!W$1:W$400,0)),W$2,)</f>
        <v>0</v>
      </c>
      <c r="X44" s="179">
        <f ca="1">IF(ISNUMBER(MATCH(DATEVALUE($A44),'recurring1_based on steps'!X$1:X$400,0)),X$2,)</f>
        <v>0</v>
      </c>
      <c r="Y44" s="179">
        <f ca="1">IF(ISNUMBER(MATCH(DATEVALUE($A44),'recurring1_based on steps'!Y$1:Y$400,0)),Y$2,)</f>
        <v>0</v>
      </c>
      <c r="Z44" s="179">
        <f ca="1">IF(ISNUMBER(MATCH(DATEVALUE($A44),'recurring1_based on steps'!Z$1:Z$400,0)),Z$2,)</f>
        <v>0</v>
      </c>
      <c r="AA44" s="179">
        <f ca="1">IF(ISNUMBER(MATCH(DATEVALUE($A44),'recurring1_based on steps'!AA$1:AA$400,0)),AA$2,)</f>
        <v>0</v>
      </c>
      <c r="AB44" s="179">
        <f ca="1">IF(ISNUMBER(MATCH(DATEVALUE($A44),'recurring1_based on steps'!AB$1:AB$400,0)),AB$2,)</f>
        <v>0</v>
      </c>
      <c r="AC44" s="179">
        <f ca="1">IF(ISNUMBER(MATCH(DATEVALUE($A44),'recurring1_based on steps'!AC$1:AC$400,0)),AC$2,)</f>
        <v>0</v>
      </c>
      <c r="AD44" s="179">
        <f ca="1">IF(ISNUMBER(MATCH(DATEVALUE($A44),'recurring1_based on steps'!AD$1:AD$400,0)),AD$2,)</f>
        <v>0</v>
      </c>
      <c r="AE44" s="179">
        <f ca="1">IF(ISNUMBER(MATCH(DATEVALUE($A44),'recurring1_based on steps'!AE$1:AE$400,0)),AE$2,)</f>
        <v>0</v>
      </c>
      <c r="AF44" s="179">
        <f ca="1">IF(ISNUMBER(MATCH(DATEVALUE($A44),'recurring1_based on steps'!AF$1:AF$400,0)),AF$2,)</f>
        <v>0</v>
      </c>
      <c r="AG44" s="179">
        <f ca="1">IF(ISNUMBER(MATCH(DATEVALUE($A44),'recurring1_based on steps'!AG$1:AG$400,0)),AG$2,)</f>
        <v>0</v>
      </c>
      <c r="AH44" s="179">
        <f ca="1">IF(ISNUMBER(MATCH(DATEVALUE($A44),'recurring1_based on steps'!AH$1:AH$400,0)),AH$2,)</f>
        <v>0</v>
      </c>
      <c r="AI44" s="179">
        <f ca="1">IF(ISNUMBER(MATCH(DATEVALUE($A44),'recurring1_based on steps'!AI$1:AI$400,0)),AI$2,)</f>
        <v>0</v>
      </c>
      <c r="AJ44" s="179">
        <f ca="1">IF(ISNUMBER(MATCH(DATEVALUE($A44),'recurring1_based on steps'!AJ$1:AJ$400,0)),AJ$2,)</f>
        <v>0</v>
      </c>
      <c r="AK44" s="179">
        <f ca="1">IF(ISNUMBER(MATCH(DATEVALUE($A44),'recurring1_based on steps'!AK$1:AK$400,0)),AK$2,)</f>
        <v>0</v>
      </c>
      <c r="AL44" s="179">
        <f ca="1">IF(ISNUMBER(MATCH(DATEVALUE($A44),'recurring1_based on steps'!AL$1:AL$400,0)),AL$2,)</f>
        <v>0</v>
      </c>
      <c r="AM44" s="179">
        <f ca="1">IF(ISNUMBER(MATCH(DATEVALUE($A44),'recurring1_based on steps'!AM$1:AM$400,0)),AM$2,)</f>
        <v>0</v>
      </c>
      <c r="AN44" s="179">
        <f ca="1">IF(ISNUMBER(MATCH(DATEVALUE($A44),'recurring1_based on steps'!AN$1:AN$400,0)),AN$2,)</f>
        <v>0</v>
      </c>
      <c r="AO44" s="179">
        <f ca="1">IF(ISNUMBER(MATCH(DATEVALUE($A44),'recurring1_based on steps'!AO$1:AO$400,0)),AO$2,)</f>
        <v>0</v>
      </c>
      <c r="AP44" s="179">
        <f ca="1">IF(ISNUMBER(MATCH(DATEVALUE($A44),'recurring1_based on steps'!AP$1:AP$400,0)),AP$2,)</f>
        <v>0</v>
      </c>
      <c r="AQ44" s="179">
        <f ca="1">IF(ISNUMBER(MATCH(DATEVALUE($A44),'recurring1_based on steps'!AQ$1:AQ$400,0)),AQ$2,)</f>
        <v>0</v>
      </c>
      <c r="AR44" s="179">
        <f ca="1">IF(ISNUMBER(MATCH(DATEVALUE($A44),'recurring1_based on steps'!AR$1:AR$400,0)),AR$2,)</f>
        <v>0</v>
      </c>
      <c r="AS44" s="179">
        <f ca="1">IF(ISNUMBER(MATCH(DATEVALUE($A44),'recurring1_based on steps'!AS$1:AS$400,0)),AS$2,)</f>
        <v>0</v>
      </c>
      <c r="AT44" s="179">
        <f ca="1">IF(ISNUMBER(MATCH(DATEVALUE($A44),'recurring1_based on steps'!AT$1:AT$400,0)),AT$2,)</f>
        <v>0</v>
      </c>
      <c r="AU44" s="179">
        <f ca="1">IF(ISNUMBER(MATCH(DATEVALUE($A44),'recurring1_based on steps'!AU$1:AU$400,0)),AU$2,)</f>
        <v>0</v>
      </c>
      <c r="AV44" s="179">
        <f ca="1">IF(ISNUMBER(MATCH(DATEVALUE($A44),'recurring1_based on steps'!AV$1:AV$400,0)),AV$2,)</f>
        <v>0</v>
      </c>
      <c r="AW44" s="179">
        <f ca="1">IF(ISNUMBER(MATCH(DATEVALUE($A44),'recurring1_based on steps'!AW$1:AW$400,0)),AW$2,)</f>
        <v>0</v>
      </c>
      <c r="AX44" s="179">
        <f ca="1">IF(ISNUMBER(MATCH(DATEVALUE($A44),'recurring1_based on steps'!AX$1:AX$400,0)),AX$2,)</f>
        <v>0</v>
      </c>
      <c r="AY44" s="179">
        <f ca="1">IF(ISNUMBER(MATCH(DATEVALUE($A44),'recurring1_based on steps'!AY$1:AY$400,0)),AY$2,)</f>
        <v>0</v>
      </c>
    </row>
    <row r="45" spans="1:51" x14ac:dyDescent="0.2">
      <c r="A45" s="32" t="str">
        <f t="shared" ca="1" si="0"/>
        <v>2025-05-17</v>
      </c>
      <c r="B45" s="179">
        <f ca="1">IF(ISNUMBER(MATCH(DATEVALUE($A45),'recurring1_based on steps'!B$1:B$400,0)),B$2,)</f>
        <v>0</v>
      </c>
      <c r="C45" s="179">
        <f ca="1">IF(ISNUMBER(MATCH(DATEVALUE($A45),'recurring1_based on steps'!C$1:C$400,0)),C$2,)</f>
        <v>0</v>
      </c>
      <c r="D45" s="179">
        <f ca="1">IF(ISNUMBER(MATCH(DATEVALUE($A45),'recurring1_based on steps'!D$1:D$400,0)),D$2,)</f>
        <v>0</v>
      </c>
      <c r="E45" s="179">
        <f ca="1">IF(ISNUMBER(MATCH(DATEVALUE($A45),'recurring1_based on steps'!E$1:E$400,0)),E$2,)</f>
        <v>0</v>
      </c>
      <c r="F45" s="179">
        <f ca="1">IF(ISNUMBER(MATCH(DATEVALUE($A45),'recurring1_based on steps'!F$1:F$400,0)),F$2,)</f>
        <v>0</v>
      </c>
      <c r="G45" s="179">
        <f ca="1">IF(ISNUMBER(MATCH(DATEVALUE($A45),'recurring1_based on steps'!G$1:G$400,0)),G$2,)</f>
        <v>0</v>
      </c>
      <c r="H45" s="179">
        <f ca="1">IF(ISNUMBER(MATCH(DATEVALUE($A45),'recurring1_based on steps'!H$1:H$400,0)),H$2,)</f>
        <v>0</v>
      </c>
      <c r="I45" s="179">
        <f ca="1">IF(ISNUMBER(MATCH(DATEVALUE($A45),'recurring1_based on steps'!I$1:I$400,0)),I$2,)</f>
        <v>0</v>
      </c>
      <c r="J45" s="179">
        <f ca="1">IF(ISNUMBER(MATCH(DATEVALUE($A45),'recurring1_based on steps'!J$1:J$400,0)),J$2,)</f>
        <v>0</v>
      </c>
      <c r="K45" s="179">
        <f ca="1">IF(ISNUMBER(MATCH(DATEVALUE($A45),'recurring1_based on steps'!K$1:K$400,0)),K$2,)</f>
        <v>0</v>
      </c>
      <c r="L45" s="179">
        <f ca="1">IF(ISNUMBER(MATCH(DATEVALUE($A45),'recurring1_based on steps'!L$1:L$400,0)),L$2,)</f>
        <v>0</v>
      </c>
      <c r="M45" s="179">
        <f ca="1">IF(ISNUMBER(MATCH(DATEVALUE($A45),'recurring1_based on steps'!M$1:M$400,0)),M$2,)</f>
        <v>0</v>
      </c>
      <c r="N45" s="179">
        <f ca="1">IF(ISNUMBER(MATCH(DATEVALUE($A45),'recurring1_based on steps'!N$1:N$400,0)),N$2,)</f>
        <v>0</v>
      </c>
      <c r="O45" s="179">
        <f ca="1">IF(ISNUMBER(MATCH(DATEVALUE($A45),'recurring1_based on steps'!O$1:O$400,0)),O$2,)</f>
        <v>0</v>
      </c>
      <c r="P45" s="179">
        <f ca="1">IF(ISNUMBER(MATCH(DATEVALUE($A45),'recurring1_based on steps'!P$1:P$400,0)),P$2,)</f>
        <v>0</v>
      </c>
      <c r="Q45" s="179">
        <f ca="1">IF(ISNUMBER(MATCH(DATEVALUE($A45),'recurring1_based on steps'!Q$1:Q$400,0)),Q$2,)</f>
        <v>0</v>
      </c>
      <c r="R45" s="179">
        <f ca="1">IF(ISNUMBER(MATCH(DATEVALUE($A45),'recurring1_based on steps'!R$1:R$400,0)),R$2,)</f>
        <v>0</v>
      </c>
      <c r="S45" s="179">
        <f ca="1">IF(ISNUMBER(MATCH(DATEVALUE($A45),'recurring1_based on steps'!S$1:S$400,0)),S$2,)</f>
        <v>0</v>
      </c>
      <c r="T45" s="179">
        <f ca="1">IF(ISNUMBER(MATCH(DATEVALUE($A45),'recurring1_based on steps'!T$1:T$400,0)),T$2,)</f>
        <v>0</v>
      </c>
      <c r="U45" s="179">
        <f ca="1">IF(ISNUMBER(MATCH(DATEVALUE($A45),'recurring1_based on steps'!U$1:U$400,0)),U$2,)</f>
        <v>0</v>
      </c>
      <c r="V45" s="179">
        <f ca="1">IF(ISNUMBER(MATCH(DATEVALUE($A45),'recurring1_based on steps'!V$1:V$400,0)),V$2,)</f>
        <v>0</v>
      </c>
      <c r="W45" s="179">
        <f ca="1">IF(ISNUMBER(MATCH(DATEVALUE($A45),'recurring1_based on steps'!W$1:W$400,0)),W$2,)</f>
        <v>0</v>
      </c>
      <c r="X45" s="179">
        <f ca="1">IF(ISNUMBER(MATCH(DATEVALUE($A45),'recurring1_based on steps'!X$1:X$400,0)),X$2,)</f>
        <v>0</v>
      </c>
      <c r="Y45" s="179">
        <f ca="1">IF(ISNUMBER(MATCH(DATEVALUE($A45),'recurring1_based on steps'!Y$1:Y$400,0)),Y$2,)</f>
        <v>0</v>
      </c>
      <c r="Z45" s="179">
        <f ca="1">IF(ISNUMBER(MATCH(DATEVALUE($A45),'recurring1_based on steps'!Z$1:Z$400,0)),Z$2,)</f>
        <v>0</v>
      </c>
      <c r="AA45" s="179">
        <f ca="1">IF(ISNUMBER(MATCH(DATEVALUE($A45),'recurring1_based on steps'!AA$1:AA$400,0)),AA$2,)</f>
        <v>0</v>
      </c>
      <c r="AB45" s="179">
        <f ca="1">IF(ISNUMBER(MATCH(DATEVALUE($A45),'recurring1_based on steps'!AB$1:AB$400,0)),AB$2,)</f>
        <v>0</v>
      </c>
      <c r="AC45" s="179">
        <f ca="1">IF(ISNUMBER(MATCH(DATEVALUE($A45),'recurring1_based on steps'!AC$1:AC$400,0)),AC$2,)</f>
        <v>0</v>
      </c>
      <c r="AD45" s="179">
        <f ca="1">IF(ISNUMBER(MATCH(DATEVALUE($A45),'recurring1_based on steps'!AD$1:AD$400,0)),AD$2,)</f>
        <v>0</v>
      </c>
      <c r="AE45" s="179">
        <f ca="1">IF(ISNUMBER(MATCH(DATEVALUE($A45),'recurring1_based on steps'!AE$1:AE$400,0)),AE$2,)</f>
        <v>0</v>
      </c>
      <c r="AF45" s="179">
        <f ca="1">IF(ISNUMBER(MATCH(DATEVALUE($A45),'recurring1_based on steps'!AF$1:AF$400,0)),AF$2,)</f>
        <v>0</v>
      </c>
      <c r="AG45" s="179">
        <f ca="1">IF(ISNUMBER(MATCH(DATEVALUE($A45),'recurring1_based on steps'!AG$1:AG$400,0)),AG$2,)</f>
        <v>0</v>
      </c>
      <c r="AH45" s="179">
        <f ca="1">IF(ISNUMBER(MATCH(DATEVALUE($A45),'recurring1_based on steps'!AH$1:AH$400,0)),AH$2,)</f>
        <v>0</v>
      </c>
      <c r="AI45" s="179">
        <f ca="1">IF(ISNUMBER(MATCH(DATEVALUE($A45),'recurring1_based on steps'!AI$1:AI$400,0)),AI$2,)</f>
        <v>0</v>
      </c>
      <c r="AJ45" s="179">
        <f ca="1">IF(ISNUMBER(MATCH(DATEVALUE($A45),'recurring1_based on steps'!AJ$1:AJ$400,0)),AJ$2,)</f>
        <v>0</v>
      </c>
      <c r="AK45" s="179">
        <f ca="1">IF(ISNUMBER(MATCH(DATEVALUE($A45),'recurring1_based on steps'!AK$1:AK$400,0)),AK$2,)</f>
        <v>0</v>
      </c>
      <c r="AL45" s="179">
        <f ca="1">IF(ISNUMBER(MATCH(DATEVALUE($A45),'recurring1_based on steps'!AL$1:AL$400,0)),AL$2,)</f>
        <v>0</v>
      </c>
      <c r="AM45" s="179">
        <f ca="1">IF(ISNUMBER(MATCH(DATEVALUE($A45),'recurring1_based on steps'!AM$1:AM$400,0)),AM$2,)</f>
        <v>0</v>
      </c>
      <c r="AN45" s="179">
        <f ca="1">IF(ISNUMBER(MATCH(DATEVALUE($A45),'recurring1_based on steps'!AN$1:AN$400,0)),AN$2,)</f>
        <v>0</v>
      </c>
      <c r="AO45" s="179">
        <f ca="1">IF(ISNUMBER(MATCH(DATEVALUE($A45),'recurring1_based on steps'!AO$1:AO$400,0)),AO$2,)</f>
        <v>0</v>
      </c>
      <c r="AP45" s="179">
        <f ca="1">IF(ISNUMBER(MATCH(DATEVALUE($A45),'recurring1_based on steps'!AP$1:AP$400,0)),AP$2,)</f>
        <v>0</v>
      </c>
      <c r="AQ45" s="179">
        <f ca="1">IF(ISNUMBER(MATCH(DATEVALUE($A45),'recurring1_based on steps'!AQ$1:AQ$400,0)),AQ$2,)</f>
        <v>0</v>
      </c>
      <c r="AR45" s="179">
        <f ca="1">IF(ISNUMBER(MATCH(DATEVALUE($A45),'recurring1_based on steps'!AR$1:AR$400,0)),AR$2,)</f>
        <v>0</v>
      </c>
      <c r="AS45" s="179">
        <f ca="1">IF(ISNUMBER(MATCH(DATEVALUE($A45),'recurring1_based on steps'!AS$1:AS$400,0)),AS$2,)</f>
        <v>0</v>
      </c>
      <c r="AT45" s="179">
        <f ca="1">IF(ISNUMBER(MATCH(DATEVALUE($A45),'recurring1_based on steps'!AT$1:AT$400,0)),AT$2,)</f>
        <v>0</v>
      </c>
      <c r="AU45" s="179">
        <f ca="1">IF(ISNUMBER(MATCH(DATEVALUE($A45),'recurring1_based on steps'!AU$1:AU$400,0)),AU$2,)</f>
        <v>0</v>
      </c>
      <c r="AV45" s="179">
        <f ca="1">IF(ISNUMBER(MATCH(DATEVALUE($A45),'recurring1_based on steps'!AV$1:AV$400,0)),AV$2,)</f>
        <v>0</v>
      </c>
      <c r="AW45" s="179">
        <f ca="1">IF(ISNUMBER(MATCH(DATEVALUE($A45),'recurring1_based on steps'!AW$1:AW$400,0)),AW$2,)</f>
        <v>0</v>
      </c>
      <c r="AX45" s="179">
        <f ca="1">IF(ISNUMBER(MATCH(DATEVALUE($A45),'recurring1_based on steps'!AX$1:AX$400,0)),AX$2,)</f>
        <v>0</v>
      </c>
      <c r="AY45" s="179">
        <f ca="1">IF(ISNUMBER(MATCH(DATEVALUE($A45),'recurring1_based on steps'!AY$1:AY$400,0)),AY$2,)</f>
        <v>0</v>
      </c>
    </row>
    <row r="46" spans="1:51" x14ac:dyDescent="0.2">
      <c r="A46" s="32" t="str">
        <f t="shared" ca="1" si="0"/>
        <v>2025-05-18</v>
      </c>
      <c r="B46" s="179">
        <f ca="1">IF(ISNUMBER(MATCH(DATEVALUE($A46),'recurring1_based on steps'!B$1:B$400,0)),B$2,)</f>
        <v>0</v>
      </c>
      <c r="C46" s="179">
        <f ca="1">IF(ISNUMBER(MATCH(DATEVALUE($A46),'recurring1_based on steps'!C$1:C$400,0)),C$2,)</f>
        <v>0</v>
      </c>
      <c r="D46" s="179">
        <f ca="1">IF(ISNUMBER(MATCH(DATEVALUE($A46),'recurring1_based on steps'!D$1:D$400,0)),D$2,)</f>
        <v>0</v>
      </c>
      <c r="E46" s="179">
        <f ca="1">IF(ISNUMBER(MATCH(DATEVALUE($A46),'recurring1_based on steps'!E$1:E$400,0)),E$2,)</f>
        <v>0</v>
      </c>
      <c r="F46" s="179">
        <f ca="1">IF(ISNUMBER(MATCH(DATEVALUE($A46),'recurring1_based on steps'!F$1:F$400,0)),F$2,)</f>
        <v>0</v>
      </c>
      <c r="G46" s="179">
        <f ca="1">IF(ISNUMBER(MATCH(DATEVALUE($A46),'recurring1_based on steps'!G$1:G$400,0)),G$2,)</f>
        <v>0</v>
      </c>
      <c r="H46" s="179">
        <f ca="1">IF(ISNUMBER(MATCH(DATEVALUE($A46),'recurring1_based on steps'!H$1:H$400,0)),H$2,)</f>
        <v>0</v>
      </c>
      <c r="I46" s="179">
        <f ca="1">IF(ISNUMBER(MATCH(DATEVALUE($A46),'recurring1_based on steps'!I$1:I$400,0)),I$2,)</f>
        <v>0</v>
      </c>
      <c r="J46" s="179">
        <f ca="1">IF(ISNUMBER(MATCH(DATEVALUE($A46),'recurring1_based on steps'!J$1:J$400,0)),J$2,)</f>
        <v>0</v>
      </c>
      <c r="K46" s="179">
        <f ca="1">IF(ISNUMBER(MATCH(DATEVALUE($A46),'recurring1_based on steps'!K$1:K$400,0)),K$2,)</f>
        <v>0</v>
      </c>
      <c r="L46" s="179">
        <f ca="1">IF(ISNUMBER(MATCH(DATEVALUE($A46),'recurring1_based on steps'!L$1:L$400,0)),L$2,)</f>
        <v>0</v>
      </c>
      <c r="M46" s="179">
        <f ca="1">IF(ISNUMBER(MATCH(DATEVALUE($A46),'recurring1_based on steps'!M$1:M$400,0)),M$2,)</f>
        <v>0</v>
      </c>
      <c r="N46" s="179">
        <f ca="1">IF(ISNUMBER(MATCH(DATEVALUE($A46),'recurring1_based on steps'!N$1:N$400,0)),N$2,)</f>
        <v>0</v>
      </c>
      <c r="O46" s="179">
        <f ca="1">IF(ISNUMBER(MATCH(DATEVALUE($A46),'recurring1_based on steps'!O$1:O$400,0)),O$2,)</f>
        <v>0</v>
      </c>
      <c r="P46" s="179">
        <f ca="1">IF(ISNUMBER(MATCH(DATEVALUE($A46),'recurring1_based on steps'!P$1:P$400,0)),P$2,)</f>
        <v>0</v>
      </c>
      <c r="Q46" s="179">
        <f ca="1">IF(ISNUMBER(MATCH(DATEVALUE($A46),'recurring1_based on steps'!Q$1:Q$400,0)),Q$2,)</f>
        <v>0</v>
      </c>
      <c r="R46" s="179">
        <f ca="1">IF(ISNUMBER(MATCH(DATEVALUE($A46),'recurring1_based on steps'!R$1:R$400,0)),R$2,)</f>
        <v>0</v>
      </c>
      <c r="S46" s="179">
        <f ca="1">IF(ISNUMBER(MATCH(DATEVALUE($A46),'recurring1_based on steps'!S$1:S$400,0)),S$2,)</f>
        <v>0</v>
      </c>
      <c r="T46" s="179">
        <f ca="1">IF(ISNUMBER(MATCH(DATEVALUE($A46),'recurring1_based on steps'!T$1:T$400,0)),T$2,)</f>
        <v>0</v>
      </c>
      <c r="U46" s="179">
        <f ca="1">IF(ISNUMBER(MATCH(DATEVALUE($A46),'recurring1_based on steps'!U$1:U$400,0)),U$2,)</f>
        <v>0</v>
      </c>
      <c r="V46" s="179">
        <f ca="1">IF(ISNUMBER(MATCH(DATEVALUE($A46),'recurring1_based on steps'!V$1:V$400,0)),V$2,)</f>
        <v>0</v>
      </c>
      <c r="W46" s="179">
        <f ca="1">IF(ISNUMBER(MATCH(DATEVALUE($A46),'recurring1_based on steps'!W$1:W$400,0)),W$2,)</f>
        <v>0</v>
      </c>
      <c r="X46" s="179">
        <f ca="1">IF(ISNUMBER(MATCH(DATEVALUE($A46),'recurring1_based on steps'!X$1:X$400,0)),X$2,)</f>
        <v>0</v>
      </c>
      <c r="Y46" s="179">
        <f ca="1">IF(ISNUMBER(MATCH(DATEVALUE($A46),'recurring1_based on steps'!Y$1:Y$400,0)),Y$2,)</f>
        <v>0</v>
      </c>
      <c r="Z46" s="179">
        <f ca="1">IF(ISNUMBER(MATCH(DATEVALUE($A46),'recurring1_based on steps'!Z$1:Z$400,0)),Z$2,)</f>
        <v>0</v>
      </c>
      <c r="AA46" s="179">
        <f ca="1">IF(ISNUMBER(MATCH(DATEVALUE($A46),'recurring1_based on steps'!AA$1:AA$400,0)),AA$2,)</f>
        <v>0</v>
      </c>
      <c r="AB46" s="179">
        <f ca="1">IF(ISNUMBER(MATCH(DATEVALUE($A46),'recurring1_based on steps'!AB$1:AB$400,0)),AB$2,)</f>
        <v>0</v>
      </c>
      <c r="AC46" s="179">
        <f ca="1">IF(ISNUMBER(MATCH(DATEVALUE($A46),'recurring1_based on steps'!AC$1:AC$400,0)),AC$2,)</f>
        <v>0</v>
      </c>
      <c r="AD46" s="179">
        <f ca="1">IF(ISNUMBER(MATCH(DATEVALUE($A46),'recurring1_based on steps'!AD$1:AD$400,0)),AD$2,)</f>
        <v>0</v>
      </c>
      <c r="AE46" s="179">
        <f ca="1">IF(ISNUMBER(MATCH(DATEVALUE($A46),'recurring1_based on steps'!AE$1:AE$400,0)),AE$2,)</f>
        <v>0</v>
      </c>
      <c r="AF46" s="179">
        <f ca="1">IF(ISNUMBER(MATCH(DATEVALUE($A46),'recurring1_based on steps'!AF$1:AF$400,0)),AF$2,)</f>
        <v>0</v>
      </c>
      <c r="AG46" s="179">
        <f ca="1">IF(ISNUMBER(MATCH(DATEVALUE($A46),'recurring1_based on steps'!AG$1:AG$400,0)),AG$2,)</f>
        <v>0</v>
      </c>
      <c r="AH46" s="179">
        <f ca="1">IF(ISNUMBER(MATCH(DATEVALUE($A46),'recurring1_based on steps'!AH$1:AH$400,0)),AH$2,)</f>
        <v>0</v>
      </c>
      <c r="AI46" s="179">
        <f ca="1">IF(ISNUMBER(MATCH(DATEVALUE($A46),'recurring1_based on steps'!AI$1:AI$400,0)),AI$2,)</f>
        <v>0</v>
      </c>
      <c r="AJ46" s="179">
        <f ca="1">IF(ISNUMBER(MATCH(DATEVALUE($A46),'recurring1_based on steps'!AJ$1:AJ$400,0)),AJ$2,)</f>
        <v>0</v>
      </c>
      <c r="AK46" s="179">
        <f ca="1">IF(ISNUMBER(MATCH(DATEVALUE($A46),'recurring1_based on steps'!AK$1:AK$400,0)),AK$2,)</f>
        <v>0</v>
      </c>
      <c r="AL46" s="179">
        <f ca="1">IF(ISNUMBER(MATCH(DATEVALUE($A46),'recurring1_based on steps'!AL$1:AL$400,0)),AL$2,)</f>
        <v>0</v>
      </c>
      <c r="AM46" s="179">
        <f ca="1">IF(ISNUMBER(MATCH(DATEVALUE($A46),'recurring1_based on steps'!AM$1:AM$400,0)),AM$2,)</f>
        <v>0</v>
      </c>
      <c r="AN46" s="179">
        <f ca="1">IF(ISNUMBER(MATCH(DATEVALUE($A46),'recurring1_based on steps'!AN$1:AN$400,0)),AN$2,)</f>
        <v>0</v>
      </c>
      <c r="AO46" s="179">
        <f ca="1">IF(ISNUMBER(MATCH(DATEVALUE($A46),'recurring1_based on steps'!AO$1:AO$400,0)),AO$2,)</f>
        <v>0</v>
      </c>
      <c r="AP46" s="179">
        <f ca="1">IF(ISNUMBER(MATCH(DATEVALUE($A46),'recurring1_based on steps'!AP$1:AP$400,0)),AP$2,)</f>
        <v>0</v>
      </c>
      <c r="AQ46" s="179">
        <f ca="1">IF(ISNUMBER(MATCH(DATEVALUE($A46),'recurring1_based on steps'!AQ$1:AQ$400,0)),AQ$2,)</f>
        <v>0</v>
      </c>
      <c r="AR46" s="179">
        <f ca="1">IF(ISNUMBER(MATCH(DATEVALUE($A46),'recurring1_based on steps'!AR$1:AR$400,0)),AR$2,)</f>
        <v>0</v>
      </c>
      <c r="AS46" s="179">
        <f ca="1">IF(ISNUMBER(MATCH(DATEVALUE($A46),'recurring1_based on steps'!AS$1:AS$400,0)),AS$2,)</f>
        <v>0</v>
      </c>
      <c r="AT46" s="179">
        <f ca="1">IF(ISNUMBER(MATCH(DATEVALUE($A46),'recurring1_based on steps'!AT$1:AT$400,0)),AT$2,)</f>
        <v>0</v>
      </c>
      <c r="AU46" s="179">
        <f ca="1">IF(ISNUMBER(MATCH(DATEVALUE($A46),'recurring1_based on steps'!AU$1:AU$400,0)),AU$2,)</f>
        <v>0</v>
      </c>
      <c r="AV46" s="179">
        <f ca="1">IF(ISNUMBER(MATCH(DATEVALUE($A46),'recurring1_based on steps'!AV$1:AV$400,0)),AV$2,)</f>
        <v>0</v>
      </c>
      <c r="AW46" s="179">
        <f ca="1">IF(ISNUMBER(MATCH(DATEVALUE($A46),'recurring1_based on steps'!AW$1:AW$400,0)),AW$2,)</f>
        <v>0</v>
      </c>
      <c r="AX46" s="179">
        <f ca="1">IF(ISNUMBER(MATCH(DATEVALUE($A46),'recurring1_based on steps'!AX$1:AX$400,0)),AX$2,)</f>
        <v>0</v>
      </c>
      <c r="AY46" s="179">
        <f ca="1">IF(ISNUMBER(MATCH(DATEVALUE($A46),'recurring1_based on steps'!AY$1:AY$400,0)),AY$2,)</f>
        <v>0</v>
      </c>
    </row>
    <row r="47" spans="1:51" x14ac:dyDescent="0.2">
      <c r="A47" s="32" t="str">
        <f t="shared" ca="1" si="0"/>
        <v>2025-05-19</v>
      </c>
      <c r="B47" s="179">
        <f ca="1">IF(ISNUMBER(MATCH(DATEVALUE($A47),'recurring1_based on steps'!B$1:B$400,0)),B$2,)</f>
        <v>0</v>
      </c>
      <c r="C47" s="179">
        <f ca="1">IF(ISNUMBER(MATCH(DATEVALUE($A47),'recurring1_based on steps'!C$1:C$400,0)),C$2,)</f>
        <v>0</v>
      </c>
      <c r="D47" s="179">
        <f ca="1">IF(ISNUMBER(MATCH(DATEVALUE($A47),'recurring1_based on steps'!D$1:D$400,0)),D$2,)</f>
        <v>0</v>
      </c>
      <c r="E47" s="179">
        <f ca="1">IF(ISNUMBER(MATCH(DATEVALUE($A47),'recurring1_based on steps'!E$1:E$400,0)),E$2,)</f>
        <v>0</v>
      </c>
      <c r="F47" s="179">
        <f ca="1">IF(ISNUMBER(MATCH(DATEVALUE($A47),'recurring1_based on steps'!F$1:F$400,0)),F$2,)</f>
        <v>0</v>
      </c>
      <c r="G47" s="179">
        <f ca="1">IF(ISNUMBER(MATCH(DATEVALUE($A47),'recurring1_based on steps'!G$1:G$400,0)),G$2,)</f>
        <v>0</v>
      </c>
      <c r="H47" s="179">
        <f ca="1">IF(ISNUMBER(MATCH(DATEVALUE($A47),'recurring1_based on steps'!H$1:H$400,0)),H$2,)</f>
        <v>0</v>
      </c>
      <c r="I47" s="179">
        <f ca="1">IF(ISNUMBER(MATCH(DATEVALUE($A47),'recurring1_based on steps'!I$1:I$400,0)),I$2,)</f>
        <v>0</v>
      </c>
      <c r="J47" s="179">
        <f ca="1">IF(ISNUMBER(MATCH(DATEVALUE($A47),'recurring1_based on steps'!J$1:J$400,0)),J$2,)</f>
        <v>0</v>
      </c>
      <c r="K47" s="179">
        <f ca="1">IF(ISNUMBER(MATCH(DATEVALUE($A47),'recurring1_based on steps'!K$1:K$400,0)),K$2,)</f>
        <v>0</v>
      </c>
      <c r="L47" s="179">
        <f ca="1">IF(ISNUMBER(MATCH(DATEVALUE($A47),'recurring1_based on steps'!L$1:L$400,0)),L$2,)</f>
        <v>0</v>
      </c>
      <c r="M47" s="179">
        <f ca="1">IF(ISNUMBER(MATCH(DATEVALUE($A47),'recurring1_based on steps'!M$1:M$400,0)),M$2,)</f>
        <v>0</v>
      </c>
      <c r="N47" s="179">
        <f ca="1">IF(ISNUMBER(MATCH(DATEVALUE($A47),'recurring1_based on steps'!N$1:N$400,0)),N$2,)</f>
        <v>0</v>
      </c>
      <c r="O47" s="179">
        <f ca="1">IF(ISNUMBER(MATCH(DATEVALUE($A47),'recurring1_based on steps'!O$1:O$400,0)),O$2,)</f>
        <v>0</v>
      </c>
      <c r="P47" s="179">
        <f ca="1">IF(ISNUMBER(MATCH(DATEVALUE($A47),'recurring1_based on steps'!P$1:P$400,0)),P$2,)</f>
        <v>0</v>
      </c>
      <c r="Q47" s="179">
        <f ca="1">IF(ISNUMBER(MATCH(DATEVALUE($A47),'recurring1_based on steps'!Q$1:Q$400,0)),Q$2,)</f>
        <v>0</v>
      </c>
      <c r="R47" s="179">
        <f ca="1">IF(ISNUMBER(MATCH(DATEVALUE($A47),'recurring1_based on steps'!R$1:R$400,0)),R$2,)</f>
        <v>0</v>
      </c>
      <c r="S47" s="179">
        <f ca="1">IF(ISNUMBER(MATCH(DATEVALUE($A47),'recurring1_based on steps'!S$1:S$400,0)),S$2,)</f>
        <v>0</v>
      </c>
      <c r="T47" s="179">
        <f ca="1">IF(ISNUMBER(MATCH(DATEVALUE($A47),'recurring1_based on steps'!T$1:T$400,0)),T$2,)</f>
        <v>0</v>
      </c>
      <c r="U47" s="179">
        <f ca="1">IF(ISNUMBER(MATCH(DATEVALUE($A47),'recurring1_based on steps'!U$1:U$400,0)),U$2,)</f>
        <v>0</v>
      </c>
      <c r="V47" s="179">
        <f ca="1">IF(ISNUMBER(MATCH(DATEVALUE($A47),'recurring1_based on steps'!V$1:V$400,0)),V$2,)</f>
        <v>0</v>
      </c>
      <c r="W47" s="179">
        <f ca="1">IF(ISNUMBER(MATCH(DATEVALUE($A47),'recurring1_based on steps'!W$1:W$400,0)),W$2,)</f>
        <v>0</v>
      </c>
      <c r="X47" s="179">
        <f ca="1">IF(ISNUMBER(MATCH(DATEVALUE($A47),'recurring1_based on steps'!X$1:X$400,0)),X$2,)</f>
        <v>0</v>
      </c>
      <c r="Y47" s="179">
        <f ca="1">IF(ISNUMBER(MATCH(DATEVALUE($A47),'recurring1_based on steps'!Y$1:Y$400,0)),Y$2,)</f>
        <v>0</v>
      </c>
      <c r="Z47" s="179">
        <f ca="1">IF(ISNUMBER(MATCH(DATEVALUE($A47),'recurring1_based on steps'!Z$1:Z$400,0)),Z$2,)</f>
        <v>0</v>
      </c>
      <c r="AA47" s="179">
        <f ca="1">IF(ISNUMBER(MATCH(DATEVALUE($A47),'recurring1_based on steps'!AA$1:AA$400,0)),AA$2,)</f>
        <v>0</v>
      </c>
      <c r="AB47" s="179">
        <f ca="1">IF(ISNUMBER(MATCH(DATEVALUE($A47),'recurring1_based on steps'!AB$1:AB$400,0)),AB$2,)</f>
        <v>0</v>
      </c>
      <c r="AC47" s="179">
        <f ca="1">IF(ISNUMBER(MATCH(DATEVALUE($A47),'recurring1_based on steps'!AC$1:AC$400,0)),AC$2,)</f>
        <v>0</v>
      </c>
      <c r="AD47" s="179">
        <f ca="1">IF(ISNUMBER(MATCH(DATEVALUE($A47),'recurring1_based on steps'!AD$1:AD$400,0)),AD$2,)</f>
        <v>0</v>
      </c>
      <c r="AE47" s="179">
        <f ca="1">IF(ISNUMBER(MATCH(DATEVALUE($A47),'recurring1_based on steps'!AE$1:AE$400,0)),AE$2,)</f>
        <v>0</v>
      </c>
      <c r="AF47" s="179">
        <f ca="1">IF(ISNUMBER(MATCH(DATEVALUE($A47),'recurring1_based on steps'!AF$1:AF$400,0)),AF$2,)</f>
        <v>0</v>
      </c>
      <c r="AG47" s="179">
        <f ca="1">IF(ISNUMBER(MATCH(DATEVALUE($A47),'recurring1_based on steps'!AG$1:AG$400,0)),AG$2,)</f>
        <v>0</v>
      </c>
      <c r="AH47" s="179">
        <f ca="1">IF(ISNUMBER(MATCH(DATEVALUE($A47),'recurring1_based on steps'!AH$1:AH$400,0)),AH$2,)</f>
        <v>0</v>
      </c>
      <c r="AI47" s="179">
        <f ca="1">IF(ISNUMBER(MATCH(DATEVALUE($A47),'recurring1_based on steps'!AI$1:AI$400,0)),AI$2,)</f>
        <v>0</v>
      </c>
      <c r="AJ47" s="179">
        <f ca="1">IF(ISNUMBER(MATCH(DATEVALUE($A47),'recurring1_based on steps'!AJ$1:AJ$400,0)),AJ$2,)</f>
        <v>0</v>
      </c>
      <c r="AK47" s="179">
        <f ca="1">IF(ISNUMBER(MATCH(DATEVALUE($A47),'recurring1_based on steps'!AK$1:AK$400,0)),AK$2,)</f>
        <v>0</v>
      </c>
      <c r="AL47" s="179">
        <f ca="1">IF(ISNUMBER(MATCH(DATEVALUE($A47),'recurring1_based on steps'!AL$1:AL$400,0)),AL$2,)</f>
        <v>0</v>
      </c>
      <c r="AM47" s="179">
        <f ca="1">IF(ISNUMBER(MATCH(DATEVALUE($A47),'recurring1_based on steps'!AM$1:AM$400,0)),AM$2,)</f>
        <v>0</v>
      </c>
      <c r="AN47" s="179">
        <f ca="1">IF(ISNUMBER(MATCH(DATEVALUE($A47),'recurring1_based on steps'!AN$1:AN$400,0)),AN$2,)</f>
        <v>0</v>
      </c>
      <c r="AO47" s="179">
        <f ca="1">IF(ISNUMBER(MATCH(DATEVALUE($A47),'recurring1_based on steps'!AO$1:AO$400,0)),AO$2,)</f>
        <v>0</v>
      </c>
      <c r="AP47" s="179">
        <f ca="1">IF(ISNUMBER(MATCH(DATEVALUE($A47),'recurring1_based on steps'!AP$1:AP$400,0)),AP$2,)</f>
        <v>0</v>
      </c>
      <c r="AQ47" s="179">
        <f ca="1">IF(ISNUMBER(MATCH(DATEVALUE($A47),'recurring1_based on steps'!AQ$1:AQ$400,0)),AQ$2,)</f>
        <v>0</v>
      </c>
      <c r="AR47" s="179">
        <f ca="1">IF(ISNUMBER(MATCH(DATEVALUE($A47),'recurring1_based on steps'!AR$1:AR$400,0)),AR$2,)</f>
        <v>0</v>
      </c>
      <c r="AS47" s="179">
        <f ca="1">IF(ISNUMBER(MATCH(DATEVALUE($A47),'recurring1_based on steps'!AS$1:AS$400,0)),AS$2,)</f>
        <v>0</v>
      </c>
      <c r="AT47" s="179">
        <f ca="1">IF(ISNUMBER(MATCH(DATEVALUE($A47),'recurring1_based on steps'!AT$1:AT$400,0)),AT$2,)</f>
        <v>0</v>
      </c>
      <c r="AU47" s="179">
        <f ca="1">IF(ISNUMBER(MATCH(DATEVALUE($A47),'recurring1_based on steps'!AU$1:AU$400,0)),AU$2,)</f>
        <v>0</v>
      </c>
      <c r="AV47" s="179">
        <f ca="1">IF(ISNUMBER(MATCH(DATEVALUE($A47),'recurring1_based on steps'!AV$1:AV$400,0)),AV$2,)</f>
        <v>0</v>
      </c>
      <c r="AW47" s="179">
        <f ca="1">IF(ISNUMBER(MATCH(DATEVALUE($A47),'recurring1_based on steps'!AW$1:AW$400,0)),AW$2,)</f>
        <v>0</v>
      </c>
      <c r="AX47" s="179">
        <f ca="1">IF(ISNUMBER(MATCH(DATEVALUE($A47),'recurring1_based on steps'!AX$1:AX$400,0)),AX$2,)</f>
        <v>0</v>
      </c>
      <c r="AY47" s="179">
        <f ca="1">IF(ISNUMBER(MATCH(DATEVALUE($A47),'recurring1_based on steps'!AY$1:AY$400,0)),AY$2,)</f>
        <v>0</v>
      </c>
    </row>
    <row r="48" spans="1:51" x14ac:dyDescent="0.2">
      <c r="A48" s="32" t="str">
        <f t="shared" ca="1" si="0"/>
        <v>2025-05-20</v>
      </c>
      <c r="B48" s="179">
        <f ca="1">IF(ISNUMBER(MATCH(DATEVALUE($A48),'recurring1_based on steps'!B$1:B$400,0)),B$2,)</f>
        <v>0</v>
      </c>
      <c r="C48" s="179">
        <f ca="1">IF(ISNUMBER(MATCH(DATEVALUE($A48),'recurring1_based on steps'!C$1:C$400,0)),C$2,)</f>
        <v>0</v>
      </c>
      <c r="D48" s="179">
        <f ca="1">IF(ISNUMBER(MATCH(DATEVALUE($A48),'recurring1_based on steps'!D$1:D$400,0)),D$2,)</f>
        <v>0</v>
      </c>
      <c r="E48" s="179">
        <f ca="1">IF(ISNUMBER(MATCH(DATEVALUE($A48),'recurring1_based on steps'!E$1:E$400,0)),E$2,)</f>
        <v>0</v>
      </c>
      <c r="F48" s="179">
        <f ca="1">IF(ISNUMBER(MATCH(DATEVALUE($A48),'recurring1_based on steps'!F$1:F$400,0)),F$2,)</f>
        <v>0</v>
      </c>
      <c r="G48" s="179">
        <f ca="1">IF(ISNUMBER(MATCH(DATEVALUE($A48),'recurring1_based on steps'!G$1:G$400,0)),G$2,)</f>
        <v>0</v>
      </c>
      <c r="H48" s="179">
        <f ca="1">IF(ISNUMBER(MATCH(DATEVALUE($A48),'recurring1_based on steps'!H$1:H$400,0)),H$2,)</f>
        <v>0</v>
      </c>
      <c r="I48" s="179">
        <f ca="1">IF(ISNUMBER(MATCH(DATEVALUE($A48),'recurring1_based on steps'!I$1:I$400,0)),I$2,)</f>
        <v>0</v>
      </c>
      <c r="J48" s="179">
        <f ca="1">IF(ISNUMBER(MATCH(DATEVALUE($A48),'recurring1_based on steps'!J$1:J$400,0)),J$2,)</f>
        <v>0</v>
      </c>
      <c r="K48" s="179">
        <f ca="1">IF(ISNUMBER(MATCH(DATEVALUE($A48),'recurring1_based on steps'!K$1:K$400,0)),K$2,)</f>
        <v>0</v>
      </c>
      <c r="L48" s="179">
        <f ca="1">IF(ISNUMBER(MATCH(DATEVALUE($A48),'recurring1_based on steps'!L$1:L$400,0)),L$2,)</f>
        <v>0</v>
      </c>
      <c r="M48" s="179">
        <f ca="1">IF(ISNUMBER(MATCH(DATEVALUE($A48),'recurring1_based on steps'!M$1:M$400,0)),M$2,)</f>
        <v>0</v>
      </c>
      <c r="N48" s="179">
        <f ca="1">IF(ISNUMBER(MATCH(DATEVALUE($A48),'recurring1_based on steps'!N$1:N$400,0)),N$2,)</f>
        <v>0</v>
      </c>
      <c r="O48" s="179">
        <f ca="1">IF(ISNUMBER(MATCH(DATEVALUE($A48),'recurring1_based on steps'!O$1:O$400,0)),O$2,)</f>
        <v>0</v>
      </c>
      <c r="P48" s="179">
        <f ca="1">IF(ISNUMBER(MATCH(DATEVALUE($A48),'recurring1_based on steps'!P$1:P$400,0)),P$2,)</f>
        <v>0</v>
      </c>
      <c r="Q48" s="179">
        <f ca="1">IF(ISNUMBER(MATCH(DATEVALUE($A48),'recurring1_based on steps'!Q$1:Q$400,0)),Q$2,)</f>
        <v>0</v>
      </c>
      <c r="R48" s="179">
        <f ca="1">IF(ISNUMBER(MATCH(DATEVALUE($A48),'recurring1_based on steps'!R$1:R$400,0)),R$2,)</f>
        <v>0</v>
      </c>
      <c r="S48" s="179">
        <f ca="1">IF(ISNUMBER(MATCH(DATEVALUE($A48),'recurring1_based on steps'!S$1:S$400,0)),S$2,)</f>
        <v>0</v>
      </c>
      <c r="T48" s="179">
        <f ca="1">IF(ISNUMBER(MATCH(DATEVALUE($A48),'recurring1_based on steps'!T$1:T$400,0)),T$2,)</f>
        <v>0</v>
      </c>
      <c r="U48" s="179">
        <f ca="1">IF(ISNUMBER(MATCH(DATEVALUE($A48),'recurring1_based on steps'!U$1:U$400,0)),U$2,)</f>
        <v>0</v>
      </c>
      <c r="V48" s="179">
        <f ca="1">IF(ISNUMBER(MATCH(DATEVALUE($A48),'recurring1_based on steps'!V$1:V$400,0)),V$2,)</f>
        <v>0</v>
      </c>
      <c r="W48" s="179">
        <f ca="1">IF(ISNUMBER(MATCH(DATEVALUE($A48),'recurring1_based on steps'!W$1:W$400,0)),W$2,)</f>
        <v>0</v>
      </c>
      <c r="X48" s="179">
        <f ca="1">IF(ISNUMBER(MATCH(DATEVALUE($A48),'recurring1_based on steps'!X$1:X$400,0)),X$2,)</f>
        <v>0</v>
      </c>
      <c r="Y48" s="179">
        <f ca="1">IF(ISNUMBER(MATCH(DATEVALUE($A48),'recurring1_based on steps'!Y$1:Y$400,0)),Y$2,)</f>
        <v>0</v>
      </c>
      <c r="Z48" s="179">
        <f ca="1">IF(ISNUMBER(MATCH(DATEVALUE($A48),'recurring1_based on steps'!Z$1:Z$400,0)),Z$2,)</f>
        <v>0</v>
      </c>
      <c r="AA48" s="179">
        <f ca="1">IF(ISNUMBER(MATCH(DATEVALUE($A48),'recurring1_based on steps'!AA$1:AA$400,0)),AA$2,)</f>
        <v>0</v>
      </c>
      <c r="AB48" s="179">
        <f ca="1">IF(ISNUMBER(MATCH(DATEVALUE($A48),'recurring1_based on steps'!AB$1:AB$400,0)),AB$2,)</f>
        <v>0</v>
      </c>
      <c r="AC48" s="179">
        <f ca="1">IF(ISNUMBER(MATCH(DATEVALUE($A48),'recurring1_based on steps'!AC$1:AC$400,0)),AC$2,)</f>
        <v>0</v>
      </c>
      <c r="AD48" s="179">
        <f ca="1">IF(ISNUMBER(MATCH(DATEVALUE($A48),'recurring1_based on steps'!AD$1:AD$400,0)),AD$2,)</f>
        <v>0</v>
      </c>
      <c r="AE48" s="179">
        <f ca="1">IF(ISNUMBER(MATCH(DATEVALUE($A48),'recurring1_based on steps'!AE$1:AE$400,0)),AE$2,)</f>
        <v>0</v>
      </c>
      <c r="AF48" s="179">
        <f ca="1">IF(ISNUMBER(MATCH(DATEVALUE($A48),'recurring1_based on steps'!AF$1:AF$400,0)),AF$2,)</f>
        <v>0</v>
      </c>
      <c r="AG48" s="179">
        <f ca="1">IF(ISNUMBER(MATCH(DATEVALUE($A48),'recurring1_based on steps'!AG$1:AG$400,0)),AG$2,)</f>
        <v>0</v>
      </c>
      <c r="AH48" s="179">
        <f ca="1">IF(ISNUMBER(MATCH(DATEVALUE($A48),'recurring1_based on steps'!AH$1:AH$400,0)),AH$2,)</f>
        <v>0</v>
      </c>
      <c r="AI48" s="179">
        <f ca="1">IF(ISNUMBER(MATCH(DATEVALUE($A48),'recurring1_based on steps'!AI$1:AI$400,0)),AI$2,)</f>
        <v>0</v>
      </c>
      <c r="AJ48" s="179">
        <f ca="1">IF(ISNUMBER(MATCH(DATEVALUE($A48),'recurring1_based on steps'!AJ$1:AJ$400,0)),AJ$2,)</f>
        <v>0</v>
      </c>
      <c r="AK48" s="179">
        <f ca="1">IF(ISNUMBER(MATCH(DATEVALUE($A48),'recurring1_based on steps'!AK$1:AK$400,0)),AK$2,)</f>
        <v>0</v>
      </c>
      <c r="AL48" s="179">
        <f ca="1">IF(ISNUMBER(MATCH(DATEVALUE($A48),'recurring1_based on steps'!AL$1:AL$400,0)),AL$2,)</f>
        <v>0</v>
      </c>
      <c r="AM48" s="179">
        <f ca="1">IF(ISNUMBER(MATCH(DATEVALUE($A48),'recurring1_based on steps'!AM$1:AM$400,0)),AM$2,)</f>
        <v>0</v>
      </c>
      <c r="AN48" s="179">
        <f ca="1">IF(ISNUMBER(MATCH(DATEVALUE($A48),'recurring1_based on steps'!AN$1:AN$400,0)),AN$2,)</f>
        <v>0</v>
      </c>
      <c r="AO48" s="179">
        <f ca="1">IF(ISNUMBER(MATCH(DATEVALUE($A48),'recurring1_based on steps'!AO$1:AO$400,0)),AO$2,)</f>
        <v>0</v>
      </c>
      <c r="AP48" s="179">
        <f ca="1">IF(ISNUMBER(MATCH(DATEVALUE($A48),'recurring1_based on steps'!AP$1:AP$400,0)),AP$2,)</f>
        <v>0</v>
      </c>
      <c r="AQ48" s="179">
        <f ca="1">IF(ISNUMBER(MATCH(DATEVALUE($A48),'recurring1_based on steps'!AQ$1:AQ$400,0)),AQ$2,)</f>
        <v>0</v>
      </c>
      <c r="AR48" s="179">
        <f ca="1">IF(ISNUMBER(MATCH(DATEVALUE($A48),'recurring1_based on steps'!AR$1:AR$400,0)),AR$2,)</f>
        <v>0</v>
      </c>
      <c r="AS48" s="179">
        <f ca="1">IF(ISNUMBER(MATCH(DATEVALUE($A48),'recurring1_based on steps'!AS$1:AS$400,0)),AS$2,)</f>
        <v>0</v>
      </c>
      <c r="AT48" s="179">
        <f ca="1">IF(ISNUMBER(MATCH(DATEVALUE($A48),'recurring1_based on steps'!AT$1:AT$400,0)),AT$2,)</f>
        <v>0</v>
      </c>
      <c r="AU48" s="179">
        <f ca="1">IF(ISNUMBER(MATCH(DATEVALUE($A48),'recurring1_based on steps'!AU$1:AU$400,0)),AU$2,)</f>
        <v>0</v>
      </c>
      <c r="AV48" s="179">
        <f ca="1">IF(ISNUMBER(MATCH(DATEVALUE($A48),'recurring1_based on steps'!AV$1:AV$400,0)),AV$2,)</f>
        <v>0</v>
      </c>
      <c r="AW48" s="179">
        <f ca="1">IF(ISNUMBER(MATCH(DATEVALUE($A48),'recurring1_based on steps'!AW$1:AW$400,0)),AW$2,)</f>
        <v>0</v>
      </c>
      <c r="AX48" s="179">
        <f ca="1">IF(ISNUMBER(MATCH(DATEVALUE($A48),'recurring1_based on steps'!AX$1:AX$400,0)),AX$2,)</f>
        <v>0</v>
      </c>
      <c r="AY48" s="179">
        <f ca="1">IF(ISNUMBER(MATCH(DATEVALUE($A48),'recurring1_based on steps'!AY$1:AY$400,0)),AY$2,)</f>
        <v>0</v>
      </c>
    </row>
    <row r="49" spans="1:51" x14ac:dyDescent="0.2">
      <c r="A49" s="32" t="str">
        <f t="shared" ca="1" si="0"/>
        <v>2025-05-21</v>
      </c>
      <c r="B49" s="179">
        <f ca="1">IF(ISNUMBER(MATCH(DATEVALUE($A49),'recurring1_based on steps'!B$1:B$400,0)),B$2,)</f>
        <v>0</v>
      </c>
      <c r="C49" s="179">
        <f ca="1">IF(ISNUMBER(MATCH(DATEVALUE($A49),'recurring1_based on steps'!C$1:C$400,0)),C$2,)</f>
        <v>0</v>
      </c>
      <c r="D49" s="179">
        <f ca="1">IF(ISNUMBER(MATCH(DATEVALUE($A49),'recurring1_based on steps'!D$1:D$400,0)),D$2,)</f>
        <v>0</v>
      </c>
      <c r="E49" s="179">
        <f ca="1">IF(ISNUMBER(MATCH(DATEVALUE($A49),'recurring1_based on steps'!E$1:E$400,0)),E$2,)</f>
        <v>0</v>
      </c>
      <c r="F49" s="179">
        <f ca="1">IF(ISNUMBER(MATCH(DATEVALUE($A49),'recurring1_based on steps'!F$1:F$400,0)),F$2,)</f>
        <v>0</v>
      </c>
      <c r="G49" s="179">
        <f ca="1">IF(ISNUMBER(MATCH(DATEVALUE($A49),'recurring1_based on steps'!G$1:G$400,0)),G$2,)</f>
        <v>0</v>
      </c>
      <c r="H49" s="179">
        <f ca="1">IF(ISNUMBER(MATCH(DATEVALUE($A49),'recurring1_based on steps'!H$1:H$400,0)),H$2,)</f>
        <v>0</v>
      </c>
      <c r="I49" s="179">
        <f ca="1">IF(ISNUMBER(MATCH(DATEVALUE($A49),'recurring1_based on steps'!I$1:I$400,0)),I$2,)</f>
        <v>0</v>
      </c>
      <c r="J49" s="179">
        <f ca="1">IF(ISNUMBER(MATCH(DATEVALUE($A49),'recurring1_based on steps'!J$1:J$400,0)),J$2,)</f>
        <v>0</v>
      </c>
      <c r="K49" s="179">
        <f ca="1">IF(ISNUMBER(MATCH(DATEVALUE($A49),'recurring1_based on steps'!K$1:K$400,0)),K$2,)</f>
        <v>0</v>
      </c>
      <c r="L49" s="179">
        <f ca="1">IF(ISNUMBER(MATCH(DATEVALUE($A49),'recurring1_based on steps'!L$1:L$400,0)),L$2,)</f>
        <v>0</v>
      </c>
      <c r="M49" s="179">
        <f ca="1">IF(ISNUMBER(MATCH(DATEVALUE($A49),'recurring1_based on steps'!M$1:M$400,0)),M$2,)</f>
        <v>0</v>
      </c>
      <c r="N49" s="179">
        <f ca="1">IF(ISNUMBER(MATCH(DATEVALUE($A49),'recurring1_based on steps'!N$1:N$400,0)),N$2,)</f>
        <v>0</v>
      </c>
      <c r="O49" s="179">
        <f ca="1">IF(ISNUMBER(MATCH(DATEVALUE($A49),'recurring1_based on steps'!O$1:O$400,0)),O$2,)</f>
        <v>0</v>
      </c>
      <c r="P49" s="179">
        <f ca="1">IF(ISNUMBER(MATCH(DATEVALUE($A49),'recurring1_based on steps'!P$1:P$400,0)),P$2,)</f>
        <v>0</v>
      </c>
      <c r="Q49" s="179">
        <f ca="1">IF(ISNUMBER(MATCH(DATEVALUE($A49),'recurring1_based on steps'!Q$1:Q$400,0)),Q$2,)</f>
        <v>0</v>
      </c>
      <c r="R49" s="179">
        <f ca="1">IF(ISNUMBER(MATCH(DATEVALUE($A49),'recurring1_based on steps'!R$1:R$400,0)),R$2,)</f>
        <v>0</v>
      </c>
      <c r="S49" s="179">
        <f ca="1">IF(ISNUMBER(MATCH(DATEVALUE($A49),'recurring1_based on steps'!S$1:S$400,0)),S$2,)</f>
        <v>0</v>
      </c>
      <c r="T49" s="179">
        <f ca="1">IF(ISNUMBER(MATCH(DATEVALUE($A49),'recurring1_based on steps'!T$1:T$400,0)),T$2,)</f>
        <v>0</v>
      </c>
      <c r="U49" s="179">
        <f ca="1">IF(ISNUMBER(MATCH(DATEVALUE($A49),'recurring1_based on steps'!U$1:U$400,0)),U$2,)</f>
        <v>0</v>
      </c>
      <c r="V49" s="179">
        <f ca="1">IF(ISNUMBER(MATCH(DATEVALUE($A49),'recurring1_based on steps'!V$1:V$400,0)),V$2,)</f>
        <v>0</v>
      </c>
      <c r="W49" s="179">
        <f ca="1">IF(ISNUMBER(MATCH(DATEVALUE($A49),'recurring1_based on steps'!W$1:W$400,0)),W$2,)</f>
        <v>0</v>
      </c>
      <c r="X49" s="179">
        <f ca="1">IF(ISNUMBER(MATCH(DATEVALUE($A49),'recurring1_based on steps'!X$1:X$400,0)),X$2,)</f>
        <v>0</v>
      </c>
      <c r="Y49" s="179">
        <f ca="1">IF(ISNUMBER(MATCH(DATEVALUE($A49),'recurring1_based on steps'!Y$1:Y$400,0)),Y$2,)</f>
        <v>0</v>
      </c>
      <c r="Z49" s="179">
        <f ca="1">IF(ISNUMBER(MATCH(DATEVALUE($A49),'recurring1_based on steps'!Z$1:Z$400,0)),Z$2,)</f>
        <v>0</v>
      </c>
      <c r="AA49" s="179">
        <f ca="1">IF(ISNUMBER(MATCH(DATEVALUE($A49),'recurring1_based on steps'!AA$1:AA$400,0)),AA$2,)</f>
        <v>0</v>
      </c>
      <c r="AB49" s="179">
        <f ca="1">IF(ISNUMBER(MATCH(DATEVALUE($A49),'recurring1_based on steps'!AB$1:AB$400,0)),AB$2,)</f>
        <v>0</v>
      </c>
      <c r="AC49" s="179">
        <f ca="1">IF(ISNUMBER(MATCH(DATEVALUE($A49),'recurring1_based on steps'!AC$1:AC$400,0)),AC$2,)</f>
        <v>0</v>
      </c>
      <c r="AD49" s="179">
        <f ca="1">IF(ISNUMBER(MATCH(DATEVALUE($A49),'recurring1_based on steps'!AD$1:AD$400,0)),AD$2,)</f>
        <v>0</v>
      </c>
      <c r="AE49" s="179">
        <f ca="1">IF(ISNUMBER(MATCH(DATEVALUE($A49),'recurring1_based on steps'!AE$1:AE$400,0)),AE$2,)</f>
        <v>0</v>
      </c>
      <c r="AF49" s="179">
        <f ca="1">IF(ISNUMBER(MATCH(DATEVALUE($A49),'recurring1_based on steps'!AF$1:AF$400,0)),AF$2,)</f>
        <v>0</v>
      </c>
      <c r="AG49" s="179">
        <f ca="1">IF(ISNUMBER(MATCH(DATEVALUE($A49),'recurring1_based on steps'!AG$1:AG$400,0)),AG$2,)</f>
        <v>0</v>
      </c>
      <c r="AH49" s="179">
        <f ca="1">IF(ISNUMBER(MATCH(DATEVALUE($A49),'recurring1_based on steps'!AH$1:AH$400,0)),AH$2,)</f>
        <v>0</v>
      </c>
      <c r="AI49" s="179">
        <f ca="1">IF(ISNUMBER(MATCH(DATEVALUE($A49),'recurring1_based on steps'!AI$1:AI$400,0)),AI$2,)</f>
        <v>0</v>
      </c>
      <c r="AJ49" s="179">
        <f ca="1">IF(ISNUMBER(MATCH(DATEVALUE($A49),'recurring1_based on steps'!AJ$1:AJ$400,0)),AJ$2,)</f>
        <v>0</v>
      </c>
      <c r="AK49" s="179">
        <f ca="1">IF(ISNUMBER(MATCH(DATEVALUE($A49),'recurring1_based on steps'!AK$1:AK$400,0)),AK$2,)</f>
        <v>0</v>
      </c>
      <c r="AL49" s="179">
        <f ca="1">IF(ISNUMBER(MATCH(DATEVALUE($A49),'recurring1_based on steps'!AL$1:AL$400,0)),AL$2,)</f>
        <v>0</v>
      </c>
      <c r="AM49" s="179">
        <f ca="1">IF(ISNUMBER(MATCH(DATEVALUE($A49),'recurring1_based on steps'!AM$1:AM$400,0)),AM$2,)</f>
        <v>0</v>
      </c>
      <c r="AN49" s="179">
        <f ca="1">IF(ISNUMBER(MATCH(DATEVALUE($A49),'recurring1_based on steps'!AN$1:AN$400,0)),AN$2,)</f>
        <v>0</v>
      </c>
      <c r="AO49" s="179">
        <f ca="1">IF(ISNUMBER(MATCH(DATEVALUE($A49),'recurring1_based on steps'!AO$1:AO$400,0)),AO$2,)</f>
        <v>0</v>
      </c>
      <c r="AP49" s="179">
        <f ca="1">IF(ISNUMBER(MATCH(DATEVALUE($A49),'recurring1_based on steps'!AP$1:AP$400,0)),AP$2,)</f>
        <v>0</v>
      </c>
      <c r="AQ49" s="179">
        <f ca="1">IF(ISNUMBER(MATCH(DATEVALUE($A49),'recurring1_based on steps'!AQ$1:AQ$400,0)),AQ$2,)</f>
        <v>0</v>
      </c>
      <c r="AR49" s="179">
        <f ca="1">IF(ISNUMBER(MATCH(DATEVALUE($A49),'recurring1_based on steps'!AR$1:AR$400,0)),AR$2,)</f>
        <v>0</v>
      </c>
      <c r="AS49" s="179">
        <f ca="1">IF(ISNUMBER(MATCH(DATEVALUE($A49),'recurring1_based on steps'!AS$1:AS$400,0)),AS$2,)</f>
        <v>0</v>
      </c>
      <c r="AT49" s="179">
        <f ca="1">IF(ISNUMBER(MATCH(DATEVALUE($A49),'recurring1_based on steps'!AT$1:AT$400,0)),AT$2,)</f>
        <v>0</v>
      </c>
      <c r="AU49" s="179">
        <f ca="1">IF(ISNUMBER(MATCH(DATEVALUE($A49),'recurring1_based on steps'!AU$1:AU$400,0)),AU$2,)</f>
        <v>0</v>
      </c>
      <c r="AV49" s="179">
        <f ca="1">IF(ISNUMBER(MATCH(DATEVALUE($A49),'recurring1_based on steps'!AV$1:AV$400,0)),AV$2,)</f>
        <v>0</v>
      </c>
      <c r="AW49" s="179">
        <f ca="1">IF(ISNUMBER(MATCH(DATEVALUE($A49),'recurring1_based on steps'!AW$1:AW$400,0)),AW$2,)</f>
        <v>0</v>
      </c>
      <c r="AX49" s="179">
        <f ca="1">IF(ISNUMBER(MATCH(DATEVALUE($A49),'recurring1_based on steps'!AX$1:AX$400,0)),AX$2,)</f>
        <v>0</v>
      </c>
      <c r="AY49" s="179">
        <f ca="1">IF(ISNUMBER(MATCH(DATEVALUE($A49),'recurring1_based on steps'!AY$1:AY$400,0)),AY$2,)</f>
        <v>0</v>
      </c>
    </row>
    <row r="50" spans="1:51" x14ac:dyDescent="0.2">
      <c r="A50" s="32" t="str">
        <f t="shared" ca="1" si="0"/>
        <v>2025-05-22</v>
      </c>
      <c r="B50" s="179">
        <f ca="1">IF(ISNUMBER(MATCH(DATEVALUE($A50),'recurring1_based on steps'!B$1:B$400,0)),B$2,)</f>
        <v>0</v>
      </c>
      <c r="C50" s="179">
        <f ca="1">IF(ISNUMBER(MATCH(DATEVALUE($A50),'recurring1_based on steps'!C$1:C$400,0)),C$2,)</f>
        <v>0</v>
      </c>
      <c r="D50" s="179">
        <f ca="1">IF(ISNUMBER(MATCH(DATEVALUE($A50),'recurring1_based on steps'!D$1:D$400,0)),D$2,)</f>
        <v>0</v>
      </c>
      <c r="E50" s="179">
        <f ca="1">IF(ISNUMBER(MATCH(DATEVALUE($A50),'recurring1_based on steps'!E$1:E$400,0)),E$2,)</f>
        <v>0</v>
      </c>
      <c r="F50" s="179">
        <f ca="1">IF(ISNUMBER(MATCH(DATEVALUE($A50),'recurring1_based on steps'!F$1:F$400,0)),F$2,)</f>
        <v>0</v>
      </c>
      <c r="G50" s="179">
        <f ca="1">IF(ISNUMBER(MATCH(DATEVALUE($A50),'recurring1_based on steps'!G$1:G$400,0)),G$2,)</f>
        <v>0</v>
      </c>
      <c r="H50" s="179">
        <f ca="1">IF(ISNUMBER(MATCH(DATEVALUE($A50),'recurring1_based on steps'!H$1:H$400,0)),H$2,)</f>
        <v>0</v>
      </c>
      <c r="I50" s="179">
        <f ca="1">IF(ISNUMBER(MATCH(DATEVALUE($A50),'recurring1_based on steps'!I$1:I$400,0)),I$2,)</f>
        <v>0</v>
      </c>
      <c r="J50" s="179">
        <f ca="1">IF(ISNUMBER(MATCH(DATEVALUE($A50),'recurring1_based on steps'!J$1:J$400,0)),J$2,)</f>
        <v>0</v>
      </c>
      <c r="K50" s="179">
        <f ca="1">IF(ISNUMBER(MATCH(DATEVALUE($A50),'recurring1_based on steps'!K$1:K$400,0)),K$2,)</f>
        <v>0</v>
      </c>
      <c r="L50" s="179">
        <f ca="1">IF(ISNUMBER(MATCH(DATEVALUE($A50),'recurring1_based on steps'!L$1:L$400,0)),L$2,)</f>
        <v>0</v>
      </c>
      <c r="M50" s="179">
        <f ca="1">IF(ISNUMBER(MATCH(DATEVALUE($A50),'recurring1_based on steps'!M$1:M$400,0)),M$2,)</f>
        <v>0</v>
      </c>
      <c r="N50" s="179">
        <f ca="1">IF(ISNUMBER(MATCH(DATEVALUE($A50),'recurring1_based on steps'!N$1:N$400,0)),N$2,)</f>
        <v>0</v>
      </c>
      <c r="O50" s="179">
        <f ca="1">IF(ISNUMBER(MATCH(DATEVALUE($A50),'recurring1_based on steps'!O$1:O$400,0)),O$2,)</f>
        <v>0</v>
      </c>
      <c r="P50" s="179">
        <f ca="1">IF(ISNUMBER(MATCH(DATEVALUE($A50),'recurring1_based on steps'!P$1:P$400,0)),P$2,)</f>
        <v>0</v>
      </c>
      <c r="Q50" s="179">
        <f ca="1">IF(ISNUMBER(MATCH(DATEVALUE($A50),'recurring1_based on steps'!Q$1:Q$400,0)),Q$2,)</f>
        <v>0</v>
      </c>
      <c r="R50" s="179">
        <f ca="1">IF(ISNUMBER(MATCH(DATEVALUE($A50),'recurring1_based on steps'!R$1:R$400,0)),R$2,)</f>
        <v>0</v>
      </c>
      <c r="S50" s="179">
        <f ca="1">IF(ISNUMBER(MATCH(DATEVALUE($A50),'recurring1_based on steps'!S$1:S$400,0)),S$2,)</f>
        <v>0</v>
      </c>
      <c r="T50" s="179">
        <f ca="1">IF(ISNUMBER(MATCH(DATEVALUE($A50),'recurring1_based on steps'!T$1:T$400,0)),T$2,)</f>
        <v>0</v>
      </c>
      <c r="U50" s="179">
        <f ca="1">IF(ISNUMBER(MATCH(DATEVALUE($A50),'recurring1_based on steps'!U$1:U$400,0)),U$2,)</f>
        <v>0</v>
      </c>
      <c r="V50" s="179">
        <f ca="1">IF(ISNUMBER(MATCH(DATEVALUE($A50),'recurring1_based on steps'!V$1:V$400,0)),V$2,)</f>
        <v>0</v>
      </c>
      <c r="W50" s="179">
        <f ca="1">IF(ISNUMBER(MATCH(DATEVALUE($A50),'recurring1_based on steps'!W$1:W$400,0)),W$2,)</f>
        <v>0</v>
      </c>
      <c r="X50" s="179">
        <f ca="1">IF(ISNUMBER(MATCH(DATEVALUE($A50),'recurring1_based on steps'!X$1:X$400,0)),X$2,)</f>
        <v>0</v>
      </c>
      <c r="Y50" s="179">
        <f ca="1">IF(ISNUMBER(MATCH(DATEVALUE($A50),'recurring1_based on steps'!Y$1:Y$400,0)),Y$2,)</f>
        <v>0</v>
      </c>
      <c r="Z50" s="179">
        <f ca="1">IF(ISNUMBER(MATCH(DATEVALUE($A50),'recurring1_based on steps'!Z$1:Z$400,0)),Z$2,)</f>
        <v>0</v>
      </c>
      <c r="AA50" s="179">
        <f ca="1">IF(ISNUMBER(MATCH(DATEVALUE($A50),'recurring1_based on steps'!AA$1:AA$400,0)),AA$2,)</f>
        <v>0</v>
      </c>
      <c r="AB50" s="179">
        <f ca="1">IF(ISNUMBER(MATCH(DATEVALUE($A50),'recurring1_based on steps'!AB$1:AB$400,0)),AB$2,)</f>
        <v>0</v>
      </c>
      <c r="AC50" s="179">
        <f ca="1">IF(ISNUMBER(MATCH(DATEVALUE($A50),'recurring1_based on steps'!AC$1:AC$400,0)),AC$2,)</f>
        <v>0</v>
      </c>
      <c r="AD50" s="179">
        <f ca="1">IF(ISNUMBER(MATCH(DATEVALUE($A50),'recurring1_based on steps'!AD$1:AD$400,0)),AD$2,)</f>
        <v>0</v>
      </c>
      <c r="AE50" s="179">
        <f ca="1">IF(ISNUMBER(MATCH(DATEVALUE($A50),'recurring1_based on steps'!AE$1:AE$400,0)),AE$2,)</f>
        <v>0</v>
      </c>
      <c r="AF50" s="179">
        <f ca="1">IF(ISNUMBER(MATCH(DATEVALUE($A50),'recurring1_based on steps'!AF$1:AF$400,0)),AF$2,)</f>
        <v>0</v>
      </c>
      <c r="AG50" s="179">
        <f ca="1">IF(ISNUMBER(MATCH(DATEVALUE($A50),'recurring1_based on steps'!AG$1:AG$400,0)),AG$2,)</f>
        <v>0</v>
      </c>
      <c r="AH50" s="179">
        <f ca="1">IF(ISNUMBER(MATCH(DATEVALUE($A50),'recurring1_based on steps'!AH$1:AH$400,0)),AH$2,)</f>
        <v>0</v>
      </c>
      <c r="AI50" s="179">
        <f ca="1">IF(ISNUMBER(MATCH(DATEVALUE($A50),'recurring1_based on steps'!AI$1:AI$400,0)),AI$2,)</f>
        <v>0</v>
      </c>
      <c r="AJ50" s="179">
        <f ca="1">IF(ISNUMBER(MATCH(DATEVALUE($A50),'recurring1_based on steps'!AJ$1:AJ$400,0)),AJ$2,)</f>
        <v>0</v>
      </c>
      <c r="AK50" s="179">
        <f ca="1">IF(ISNUMBER(MATCH(DATEVALUE($A50),'recurring1_based on steps'!AK$1:AK$400,0)),AK$2,)</f>
        <v>0</v>
      </c>
      <c r="AL50" s="179">
        <f ca="1">IF(ISNUMBER(MATCH(DATEVALUE($A50),'recurring1_based on steps'!AL$1:AL$400,0)),AL$2,)</f>
        <v>0</v>
      </c>
      <c r="AM50" s="179">
        <f ca="1">IF(ISNUMBER(MATCH(DATEVALUE($A50),'recurring1_based on steps'!AM$1:AM$400,0)),AM$2,)</f>
        <v>0</v>
      </c>
      <c r="AN50" s="179">
        <f ca="1">IF(ISNUMBER(MATCH(DATEVALUE($A50),'recurring1_based on steps'!AN$1:AN$400,0)),AN$2,)</f>
        <v>0</v>
      </c>
      <c r="AO50" s="179">
        <f ca="1">IF(ISNUMBER(MATCH(DATEVALUE($A50),'recurring1_based on steps'!AO$1:AO$400,0)),AO$2,)</f>
        <v>0</v>
      </c>
      <c r="AP50" s="179">
        <f ca="1">IF(ISNUMBER(MATCH(DATEVALUE($A50),'recurring1_based on steps'!AP$1:AP$400,0)),AP$2,)</f>
        <v>0</v>
      </c>
      <c r="AQ50" s="179">
        <f ca="1">IF(ISNUMBER(MATCH(DATEVALUE($A50),'recurring1_based on steps'!AQ$1:AQ$400,0)),AQ$2,)</f>
        <v>0</v>
      </c>
      <c r="AR50" s="179">
        <f ca="1">IF(ISNUMBER(MATCH(DATEVALUE($A50),'recurring1_based on steps'!AR$1:AR$400,0)),AR$2,)</f>
        <v>0</v>
      </c>
      <c r="AS50" s="179">
        <f ca="1">IF(ISNUMBER(MATCH(DATEVALUE($A50),'recurring1_based on steps'!AS$1:AS$400,0)),AS$2,)</f>
        <v>0</v>
      </c>
      <c r="AT50" s="179">
        <f ca="1">IF(ISNUMBER(MATCH(DATEVALUE($A50),'recurring1_based on steps'!AT$1:AT$400,0)),AT$2,)</f>
        <v>0</v>
      </c>
      <c r="AU50" s="179">
        <f ca="1">IF(ISNUMBER(MATCH(DATEVALUE($A50),'recurring1_based on steps'!AU$1:AU$400,0)),AU$2,)</f>
        <v>0</v>
      </c>
      <c r="AV50" s="179">
        <f ca="1">IF(ISNUMBER(MATCH(DATEVALUE($A50),'recurring1_based on steps'!AV$1:AV$400,0)),AV$2,)</f>
        <v>0</v>
      </c>
      <c r="AW50" s="179">
        <f ca="1">IF(ISNUMBER(MATCH(DATEVALUE($A50),'recurring1_based on steps'!AW$1:AW$400,0)),AW$2,)</f>
        <v>0</v>
      </c>
      <c r="AX50" s="179">
        <f ca="1">IF(ISNUMBER(MATCH(DATEVALUE($A50),'recurring1_based on steps'!AX$1:AX$400,0)),AX$2,)</f>
        <v>0</v>
      </c>
      <c r="AY50" s="179">
        <f ca="1">IF(ISNUMBER(MATCH(DATEVALUE($A50),'recurring1_based on steps'!AY$1:AY$400,0)),AY$2,)</f>
        <v>0</v>
      </c>
    </row>
    <row r="51" spans="1:51" x14ac:dyDescent="0.2">
      <c r="A51" s="32" t="str">
        <f t="shared" ca="1" si="0"/>
        <v>2025-05-23</v>
      </c>
      <c r="B51" s="179">
        <f ca="1">IF(ISNUMBER(MATCH(DATEVALUE($A51),'recurring1_based on steps'!B$1:B$400,0)),B$2,)</f>
        <v>0</v>
      </c>
      <c r="C51" s="179">
        <f ca="1">IF(ISNUMBER(MATCH(DATEVALUE($A51),'recurring1_based on steps'!C$1:C$400,0)),C$2,)</f>
        <v>0</v>
      </c>
      <c r="D51" s="179">
        <f ca="1">IF(ISNUMBER(MATCH(DATEVALUE($A51),'recurring1_based on steps'!D$1:D$400,0)),D$2,)</f>
        <v>0</v>
      </c>
      <c r="E51" s="179">
        <f ca="1">IF(ISNUMBER(MATCH(DATEVALUE($A51),'recurring1_based on steps'!E$1:E$400,0)),E$2,)</f>
        <v>0</v>
      </c>
      <c r="F51" s="179">
        <f ca="1">IF(ISNUMBER(MATCH(DATEVALUE($A51),'recurring1_based on steps'!F$1:F$400,0)),F$2,)</f>
        <v>0</v>
      </c>
      <c r="G51" s="179">
        <f ca="1">IF(ISNUMBER(MATCH(DATEVALUE($A51),'recurring1_based on steps'!G$1:G$400,0)),G$2,)</f>
        <v>0</v>
      </c>
      <c r="H51" s="179">
        <f ca="1">IF(ISNUMBER(MATCH(DATEVALUE($A51),'recurring1_based on steps'!H$1:H$400,0)),H$2,)</f>
        <v>0</v>
      </c>
      <c r="I51" s="179">
        <f ca="1">IF(ISNUMBER(MATCH(DATEVALUE($A51),'recurring1_based on steps'!I$1:I$400,0)),I$2,)</f>
        <v>0</v>
      </c>
      <c r="J51" s="179">
        <f ca="1">IF(ISNUMBER(MATCH(DATEVALUE($A51),'recurring1_based on steps'!J$1:J$400,0)),J$2,)</f>
        <v>0</v>
      </c>
      <c r="K51" s="179">
        <f ca="1">IF(ISNUMBER(MATCH(DATEVALUE($A51),'recurring1_based on steps'!K$1:K$400,0)),K$2,)</f>
        <v>0</v>
      </c>
      <c r="L51" s="179">
        <f ca="1">IF(ISNUMBER(MATCH(DATEVALUE($A51),'recurring1_based on steps'!L$1:L$400,0)),L$2,)</f>
        <v>0</v>
      </c>
      <c r="M51" s="179">
        <f ca="1">IF(ISNUMBER(MATCH(DATEVALUE($A51),'recurring1_based on steps'!M$1:M$400,0)),M$2,)</f>
        <v>0</v>
      </c>
      <c r="N51" s="179">
        <f ca="1">IF(ISNUMBER(MATCH(DATEVALUE($A51),'recurring1_based on steps'!N$1:N$400,0)),N$2,)</f>
        <v>0</v>
      </c>
      <c r="O51" s="179">
        <f ca="1">IF(ISNUMBER(MATCH(DATEVALUE($A51),'recurring1_based on steps'!O$1:O$400,0)),O$2,)</f>
        <v>0</v>
      </c>
      <c r="P51" s="179">
        <f ca="1">IF(ISNUMBER(MATCH(DATEVALUE($A51),'recurring1_based on steps'!P$1:P$400,0)),P$2,)</f>
        <v>0</v>
      </c>
      <c r="Q51" s="179">
        <f ca="1">IF(ISNUMBER(MATCH(DATEVALUE($A51),'recurring1_based on steps'!Q$1:Q$400,0)),Q$2,)</f>
        <v>0</v>
      </c>
      <c r="R51" s="179">
        <f ca="1">IF(ISNUMBER(MATCH(DATEVALUE($A51),'recurring1_based on steps'!R$1:R$400,0)),R$2,)</f>
        <v>0</v>
      </c>
      <c r="S51" s="179">
        <f ca="1">IF(ISNUMBER(MATCH(DATEVALUE($A51),'recurring1_based on steps'!S$1:S$400,0)),S$2,)</f>
        <v>0</v>
      </c>
      <c r="T51" s="179">
        <f ca="1">IF(ISNUMBER(MATCH(DATEVALUE($A51),'recurring1_based on steps'!T$1:T$400,0)),T$2,)</f>
        <v>0</v>
      </c>
      <c r="U51" s="179">
        <f ca="1">IF(ISNUMBER(MATCH(DATEVALUE($A51),'recurring1_based on steps'!U$1:U$400,0)),U$2,)</f>
        <v>0</v>
      </c>
      <c r="V51" s="179">
        <f ca="1">IF(ISNUMBER(MATCH(DATEVALUE($A51),'recurring1_based on steps'!V$1:V$400,0)),V$2,)</f>
        <v>0</v>
      </c>
      <c r="W51" s="179">
        <f ca="1">IF(ISNUMBER(MATCH(DATEVALUE($A51),'recurring1_based on steps'!W$1:W$400,0)),W$2,)</f>
        <v>0</v>
      </c>
      <c r="X51" s="179">
        <f ca="1">IF(ISNUMBER(MATCH(DATEVALUE($A51),'recurring1_based on steps'!X$1:X$400,0)),X$2,)</f>
        <v>0</v>
      </c>
      <c r="Y51" s="179">
        <f ca="1">IF(ISNUMBER(MATCH(DATEVALUE($A51),'recurring1_based on steps'!Y$1:Y$400,0)),Y$2,)</f>
        <v>0</v>
      </c>
      <c r="Z51" s="179">
        <f ca="1">IF(ISNUMBER(MATCH(DATEVALUE($A51),'recurring1_based on steps'!Z$1:Z$400,0)),Z$2,)</f>
        <v>0</v>
      </c>
      <c r="AA51" s="179">
        <f ca="1">IF(ISNUMBER(MATCH(DATEVALUE($A51),'recurring1_based on steps'!AA$1:AA$400,0)),AA$2,)</f>
        <v>0</v>
      </c>
      <c r="AB51" s="179">
        <f ca="1">IF(ISNUMBER(MATCH(DATEVALUE($A51),'recurring1_based on steps'!AB$1:AB$400,0)),AB$2,)</f>
        <v>0</v>
      </c>
      <c r="AC51" s="179">
        <f ca="1">IF(ISNUMBER(MATCH(DATEVALUE($A51),'recurring1_based on steps'!AC$1:AC$400,0)),AC$2,)</f>
        <v>0</v>
      </c>
      <c r="AD51" s="179">
        <f ca="1">IF(ISNUMBER(MATCH(DATEVALUE($A51),'recurring1_based on steps'!AD$1:AD$400,0)),AD$2,)</f>
        <v>0</v>
      </c>
      <c r="AE51" s="179">
        <f ca="1">IF(ISNUMBER(MATCH(DATEVALUE($A51),'recurring1_based on steps'!AE$1:AE$400,0)),AE$2,)</f>
        <v>0</v>
      </c>
      <c r="AF51" s="179">
        <f ca="1">IF(ISNUMBER(MATCH(DATEVALUE($A51),'recurring1_based on steps'!AF$1:AF$400,0)),AF$2,)</f>
        <v>0</v>
      </c>
      <c r="AG51" s="179">
        <f ca="1">IF(ISNUMBER(MATCH(DATEVALUE($A51),'recurring1_based on steps'!AG$1:AG$400,0)),AG$2,)</f>
        <v>0</v>
      </c>
      <c r="AH51" s="179">
        <f ca="1">IF(ISNUMBER(MATCH(DATEVALUE($A51),'recurring1_based on steps'!AH$1:AH$400,0)),AH$2,)</f>
        <v>0</v>
      </c>
      <c r="AI51" s="179">
        <f ca="1">IF(ISNUMBER(MATCH(DATEVALUE($A51),'recurring1_based on steps'!AI$1:AI$400,0)),AI$2,)</f>
        <v>0</v>
      </c>
      <c r="AJ51" s="179">
        <f ca="1">IF(ISNUMBER(MATCH(DATEVALUE($A51),'recurring1_based on steps'!AJ$1:AJ$400,0)),AJ$2,)</f>
        <v>0</v>
      </c>
      <c r="AK51" s="179">
        <f ca="1">IF(ISNUMBER(MATCH(DATEVALUE($A51),'recurring1_based on steps'!AK$1:AK$400,0)),AK$2,)</f>
        <v>0</v>
      </c>
      <c r="AL51" s="179">
        <f ca="1">IF(ISNUMBER(MATCH(DATEVALUE($A51),'recurring1_based on steps'!AL$1:AL$400,0)),AL$2,)</f>
        <v>0</v>
      </c>
      <c r="AM51" s="179">
        <f ca="1">IF(ISNUMBER(MATCH(DATEVALUE($A51),'recurring1_based on steps'!AM$1:AM$400,0)),AM$2,)</f>
        <v>0</v>
      </c>
      <c r="AN51" s="179">
        <f ca="1">IF(ISNUMBER(MATCH(DATEVALUE($A51),'recurring1_based on steps'!AN$1:AN$400,0)),AN$2,)</f>
        <v>0</v>
      </c>
      <c r="AO51" s="179">
        <f ca="1">IF(ISNUMBER(MATCH(DATEVALUE($A51),'recurring1_based on steps'!AO$1:AO$400,0)),AO$2,)</f>
        <v>0</v>
      </c>
      <c r="AP51" s="179">
        <f ca="1">IF(ISNUMBER(MATCH(DATEVALUE($A51),'recurring1_based on steps'!AP$1:AP$400,0)),AP$2,)</f>
        <v>0</v>
      </c>
      <c r="AQ51" s="179">
        <f ca="1">IF(ISNUMBER(MATCH(DATEVALUE($A51),'recurring1_based on steps'!AQ$1:AQ$400,0)),AQ$2,)</f>
        <v>0</v>
      </c>
      <c r="AR51" s="179">
        <f ca="1">IF(ISNUMBER(MATCH(DATEVALUE($A51),'recurring1_based on steps'!AR$1:AR$400,0)),AR$2,)</f>
        <v>0</v>
      </c>
      <c r="AS51" s="179">
        <f ca="1">IF(ISNUMBER(MATCH(DATEVALUE($A51),'recurring1_based on steps'!AS$1:AS$400,0)),AS$2,)</f>
        <v>0</v>
      </c>
      <c r="AT51" s="179">
        <f ca="1">IF(ISNUMBER(MATCH(DATEVALUE($A51),'recurring1_based on steps'!AT$1:AT$400,0)),AT$2,)</f>
        <v>0</v>
      </c>
      <c r="AU51" s="179">
        <f ca="1">IF(ISNUMBER(MATCH(DATEVALUE($A51),'recurring1_based on steps'!AU$1:AU$400,0)),AU$2,)</f>
        <v>0</v>
      </c>
      <c r="AV51" s="179">
        <f ca="1">IF(ISNUMBER(MATCH(DATEVALUE($A51),'recurring1_based on steps'!AV$1:AV$400,0)),AV$2,)</f>
        <v>0</v>
      </c>
      <c r="AW51" s="179">
        <f ca="1">IF(ISNUMBER(MATCH(DATEVALUE($A51),'recurring1_based on steps'!AW$1:AW$400,0)),AW$2,)</f>
        <v>0</v>
      </c>
      <c r="AX51" s="179">
        <f ca="1">IF(ISNUMBER(MATCH(DATEVALUE($A51),'recurring1_based on steps'!AX$1:AX$400,0)),AX$2,)</f>
        <v>0</v>
      </c>
      <c r="AY51" s="179">
        <f ca="1">IF(ISNUMBER(MATCH(DATEVALUE($A51),'recurring1_based on steps'!AY$1:AY$400,0)),AY$2,)</f>
        <v>0</v>
      </c>
    </row>
    <row r="52" spans="1:51" x14ac:dyDescent="0.2">
      <c r="A52" s="32" t="str">
        <f t="shared" ca="1" si="0"/>
        <v>2025-05-24</v>
      </c>
      <c r="B52" s="179">
        <f ca="1">IF(ISNUMBER(MATCH(DATEVALUE($A52),'recurring1_based on steps'!B$1:B$400,0)),B$2,)</f>
        <v>0</v>
      </c>
      <c r="C52" s="179">
        <f ca="1">IF(ISNUMBER(MATCH(DATEVALUE($A52),'recurring1_based on steps'!C$1:C$400,0)),C$2,)</f>
        <v>0</v>
      </c>
      <c r="D52" s="179">
        <f ca="1">IF(ISNUMBER(MATCH(DATEVALUE($A52),'recurring1_based on steps'!D$1:D$400,0)),D$2,)</f>
        <v>0</v>
      </c>
      <c r="E52" s="179">
        <f ca="1">IF(ISNUMBER(MATCH(DATEVALUE($A52),'recurring1_based on steps'!E$1:E$400,0)),E$2,)</f>
        <v>0</v>
      </c>
      <c r="F52" s="179">
        <f ca="1">IF(ISNUMBER(MATCH(DATEVALUE($A52),'recurring1_based on steps'!F$1:F$400,0)),F$2,)</f>
        <v>0</v>
      </c>
      <c r="G52" s="179">
        <f ca="1">IF(ISNUMBER(MATCH(DATEVALUE($A52),'recurring1_based on steps'!G$1:G$400,0)),G$2,)</f>
        <v>0</v>
      </c>
      <c r="H52" s="179">
        <f ca="1">IF(ISNUMBER(MATCH(DATEVALUE($A52),'recurring1_based on steps'!H$1:H$400,0)),H$2,)</f>
        <v>0</v>
      </c>
      <c r="I52" s="179">
        <f ca="1">IF(ISNUMBER(MATCH(DATEVALUE($A52),'recurring1_based on steps'!I$1:I$400,0)),I$2,)</f>
        <v>0</v>
      </c>
      <c r="J52" s="179">
        <f ca="1">IF(ISNUMBER(MATCH(DATEVALUE($A52),'recurring1_based on steps'!J$1:J$400,0)),J$2,)</f>
        <v>0</v>
      </c>
      <c r="K52" s="179">
        <f ca="1">IF(ISNUMBER(MATCH(DATEVALUE($A52),'recurring1_based on steps'!K$1:K$400,0)),K$2,)</f>
        <v>0</v>
      </c>
      <c r="L52" s="179">
        <f ca="1">IF(ISNUMBER(MATCH(DATEVALUE($A52),'recurring1_based on steps'!L$1:L$400,0)),L$2,)</f>
        <v>0</v>
      </c>
      <c r="M52" s="179">
        <f ca="1">IF(ISNUMBER(MATCH(DATEVALUE($A52),'recurring1_based on steps'!M$1:M$400,0)),M$2,)</f>
        <v>0</v>
      </c>
      <c r="N52" s="179">
        <f ca="1">IF(ISNUMBER(MATCH(DATEVALUE($A52),'recurring1_based on steps'!N$1:N$400,0)),N$2,)</f>
        <v>0</v>
      </c>
      <c r="O52" s="179">
        <f ca="1">IF(ISNUMBER(MATCH(DATEVALUE($A52),'recurring1_based on steps'!O$1:O$400,0)),O$2,)</f>
        <v>0</v>
      </c>
      <c r="P52" s="179">
        <f ca="1">IF(ISNUMBER(MATCH(DATEVALUE($A52),'recurring1_based on steps'!P$1:P$400,0)),P$2,)</f>
        <v>0</v>
      </c>
      <c r="Q52" s="179">
        <f ca="1">IF(ISNUMBER(MATCH(DATEVALUE($A52),'recurring1_based on steps'!Q$1:Q$400,0)),Q$2,)</f>
        <v>0</v>
      </c>
      <c r="R52" s="179">
        <f ca="1">IF(ISNUMBER(MATCH(DATEVALUE($A52),'recurring1_based on steps'!R$1:R$400,0)),R$2,)</f>
        <v>0</v>
      </c>
      <c r="S52" s="179">
        <f ca="1">IF(ISNUMBER(MATCH(DATEVALUE($A52),'recurring1_based on steps'!S$1:S$400,0)),S$2,)</f>
        <v>0</v>
      </c>
      <c r="T52" s="179">
        <f ca="1">IF(ISNUMBER(MATCH(DATEVALUE($A52),'recurring1_based on steps'!T$1:T$400,0)),T$2,)</f>
        <v>0</v>
      </c>
      <c r="U52" s="179">
        <f ca="1">IF(ISNUMBER(MATCH(DATEVALUE($A52),'recurring1_based on steps'!U$1:U$400,0)),U$2,)</f>
        <v>0</v>
      </c>
      <c r="V52" s="179">
        <f ca="1">IF(ISNUMBER(MATCH(DATEVALUE($A52),'recurring1_based on steps'!V$1:V$400,0)),V$2,)</f>
        <v>0</v>
      </c>
      <c r="W52" s="179">
        <f ca="1">IF(ISNUMBER(MATCH(DATEVALUE($A52),'recurring1_based on steps'!W$1:W$400,0)),W$2,)</f>
        <v>0</v>
      </c>
      <c r="X52" s="179">
        <f ca="1">IF(ISNUMBER(MATCH(DATEVALUE($A52),'recurring1_based on steps'!X$1:X$400,0)),X$2,)</f>
        <v>0</v>
      </c>
      <c r="Y52" s="179">
        <f ca="1">IF(ISNUMBER(MATCH(DATEVALUE($A52),'recurring1_based on steps'!Y$1:Y$400,0)),Y$2,)</f>
        <v>0</v>
      </c>
      <c r="Z52" s="179">
        <f ca="1">IF(ISNUMBER(MATCH(DATEVALUE($A52),'recurring1_based on steps'!Z$1:Z$400,0)),Z$2,)</f>
        <v>0</v>
      </c>
      <c r="AA52" s="179">
        <f ca="1">IF(ISNUMBER(MATCH(DATEVALUE($A52),'recurring1_based on steps'!AA$1:AA$400,0)),AA$2,)</f>
        <v>0</v>
      </c>
      <c r="AB52" s="179">
        <f ca="1">IF(ISNUMBER(MATCH(DATEVALUE($A52),'recurring1_based on steps'!AB$1:AB$400,0)),AB$2,)</f>
        <v>0</v>
      </c>
      <c r="AC52" s="179">
        <f ca="1">IF(ISNUMBER(MATCH(DATEVALUE($A52),'recurring1_based on steps'!AC$1:AC$400,0)),AC$2,)</f>
        <v>0</v>
      </c>
      <c r="AD52" s="179">
        <f ca="1">IF(ISNUMBER(MATCH(DATEVALUE($A52),'recurring1_based on steps'!AD$1:AD$400,0)),AD$2,)</f>
        <v>0</v>
      </c>
      <c r="AE52" s="179">
        <f ca="1">IF(ISNUMBER(MATCH(DATEVALUE($A52),'recurring1_based on steps'!AE$1:AE$400,0)),AE$2,)</f>
        <v>0</v>
      </c>
      <c r="AF52" s="179">
        <f ca="1">IF(ISNUMBER(MATCH(DATEVALUE($A52),'recurring1_based on steps'!AF$1:AF$400,0)),AF$2,)</f>
        <v>0</v>
      </c>
      <c r="AG52" s="179">
        <f ca="1">IF(ISNUMBER(MATCH(DATEVALUE($A52),'recurring1_based on steps'!AG$1:AG$400,0)),AG$2,)</f>
        <v>0</v>
      </c>
      <c r="AH52" s="179">
        <f ca="1">IF(ISNUMBER(MATCH(DATEVALUE($A52),'recurring1_based on steps'!AH$1:AH$400,0)),AH$2,)</f>
        <v>0</v>
      </c>
      <c r="AI52" s="179">
        <f ca="1">IF(ISNUMBER(MATCH(DATEVALUE($A52),'recurring1_based on steps'!AI$1:AI$400,0)),AI$2,)</f>
        <v>0</v>
      </c>
      <c r="AJ52" s="179">
        <f ca="1">IF(ISNUMBER(MATCH(DATEVALUE($A52),'recurring1_based on steps'!AJ$1:AJ$400,0)),AJ$2,)</f>
        <v>0</v>
      </c>
      <c r="AK52" s="179">
        <f ca="1">IF(ISNUMBER(MATCH(DATEVALUE($A52),'recurring1_based on steps'!AK$1:AK$400,0)),AK$2,)</f>
        <v>0</v>
      </c>
      <c r="AL52" s="179">
        <f ca="1">IF(ISNUMBER(MATCH(DATEVALUE($A52),'recurring1_based on steps'!AL$1:AL$400,0)),AL$2,)</f>
        <v>0</v>
      </c>
      <c r="AM52" s="179">
        <f ca="1">IF(ISNUMBER(MATCH(DATEVALUE($A52),'recurring1_based on steps'!AM$1:AM$400,0)),AM$2,)</f>
        <v>0</v>
      </c>
      <c r="AN52" s="179">
        <f ca="1">IF(ISNUMBER(MATCH(DATEVALUE($A52),'recurring1_based on steps'!AN$1:AN$400,0)),AN$2,)</f>
        <v>0</v>
      </c>
      <c r="AO52" s="179">
        <f ca="1">IF(ISNUMBER(MATCH(DATEVALUE($A52),'recurring1_based on steps'!AO$1:AO$400,0)),AO$2,)</f>
        <v>0</v>
      </c>
      <c r="AP52" s="179">
        <f ca="1">IF(ISNUMBER(MATCH(DATEVALUE($A52),'recurring1_based on steps'!AP$1:AP$400,0)),AP$2,)</f>
        <v>0</v>
      </c>
      <c r="AQ52" s="179">
        <f ca="1">IF(ISNUMBER(MATCH(DATEVALUE($A52),'recurring1_based on steps'!AQ$1:AQ$400,0)),AQ$2,)</f>
        <v>0</v>
      </c>
      <c r="AR52" s="179">
        <f ca="1">IF(ISNUMBER(MATCH(DATEVALUE($A52),'recurring1_based on steps'!AR$1:AR$400,0)),AR$2,)</f>
        <v>0</v>
      </c>
      <c r="AS52" s="179">
        <f ca="1">IF(ISNUMBER(MATCH(DATEVALUE($A52),'recurring1_based on steps'!AS$1:AS$400,0)),AS$2,)</f>
        <v>0</v>
      </c>
      <c r="AT52" s="179">
        <f ca="1">IF(ISNUMBER(MATCH(DATEVALUE($A52),'recurring1_based on steps'!AT$1:AT$400,0)),AT$2,)</f>
        <v>0</v>
      </c>
      <c r="AU52" s="179">
        <f ca="1">IF(ISNUMBER(MATCH(DATEVALUE($A52),'recurring1_based on steps'!AU$1:AU$400,0)),AU$2,)</f>
        <v>0</v>
      </c>
      <c r="AV52" s="179">
        <f ca="1">IF(ISNUMBER(MATCH(DATEVALUE($A52),'recurring1_based on steps'!AV$1:AV$400,0)),AV$2,)</f>
        <v>0</v>
      </c>
      <c r="AW52" s="179">
        <f ca="1">IF(ISNUMBER(MATCH(DATEVALUE($A52),'recurring1_based on steps'!AW$1:AW$400,0)),AW$2,)</f>
        <v>0</v>
      </c>
      <c r="AX52" s="179">
        <f ca="1">IF(ISNUMBER(MATCH(DATEVALUE($A52),'recurring1_based on steps'!AX$1:AX$400,0)),AX$2,)</f>
        <v>0</v>
      </c>
      <c r="AY52" s="179">
        <f ca="1">IF(ISNUMBER(MATCH(DATEVALUE($A52),'recurring1_based on steps'!AY$1:AY$400,0)),AY$2,)</f>
        <v>0</v>
      </c>
    </row>
    <row r="53" spans="1:51" x14ac:dyDescent="0.2">
      <c r="A53" s="32" t="str">
        <f t="shared" ca="1" si="0"/>
        <v>2025-05-25</v>
      </c>
      <c r="B53" s="179">
        <f ca="1">IF(ISNUMBER(MATCH(DATEVALUE($A53),'recurring1_based on steps'!B$1:B$400,0)),B$2,)</f>
        <v>0</v>
      </c>
      <c r="C53" s="179">
        <f ca="1">IF(ISNUMBER(MATCH(DATEVALUE($A53),'recurring1_based on steps'!C$1:C$400,0)),C$2,)</f>
        <v>0</v>
      </c>
      <c r="D53" s="179">
        <f ca="1">IF(ISNUMBER(MATCH(DATEVALUE($A53),'recurring1_based on steps'!D$1:D$400,0)),D$2,)</f>
        <v>0</v>
      </c>
      <c r="E53" s="179">
        <f ca="1">IF(ISNUMBER(MATCH(DATEVALUE($A53),'recurring1_based on steps'!E$1:E$400,0)),E$2,)</f>
        <v>0</v>
      </c>
      <c r="F53" s="179">
        <f ca="1">IF(ISNUMBER(MATCH(DATEVALUE($A53),'recurring1_based on steps'!F$1:F$400,0)),F$2,)</f>
        <v>0</v>
      </c>
      <c r="G53" s="179">
        <f ca="1">IF(ISNUMBER(MATCH(DATEVALUE($A53),'recurring1_based on steps'!G$1:G$400,0)),G$2,)</f>
        <v>0</v>
      </c>
      <c r="H53" s="179">
        <f ca="1">IF(ISNUMBER(MATCH(DATEVALUE($A53),'recurring1_based on steps'!H$1:H$400,0)),H$2,)</f>
        <v>0</v>
      </c>
      <c r="I53" s="179">
        <f ca="1">IF(ISNUMBER(MATCH(DATEVALUE($A53),'recurring1_based on steps'!I$1:I$400,0)),I$2,)</f>
        <v>0</v>
      </c>
      <c r="J53" s="179">
        <f ca="1">IF(ISNUMBER(MATCH(DATEVALUE($A53),'recurring1_based on steps'!J$1:J$400,0)),J$2,)</f>
        <v>0</v>
      </c>
      <c r="K53" s="179">
        <f ca="1">IF(ISNUMBER(MATCH(DATEVALUE($A53),'recurring1_based on steps'!K$1:K$400,0)),K$2,)</f>
        <v>0</v>
      </c>
      <c r="L53" s="179">
        <f ca="1">IF(ISNUMBER(MATCH(DATEVALUE($A53),'recurring1_based on steps'!L$1:L$400,0)),L$2,)</f>
        <v>0</v>
      </c>
      <c r="M53" s="179">
        <f ca="1">IF(ISNUMBER(MATCH(DATEVALUE($A53),'recurring1_based on steps'!M$1:M$400,0)),M$2,)</f>
        <v>0</v>
      </c>
      <c r="N53" s="179">
        <f ca="1">IF(ISNUMBER(MATCH(DATEVALUE($A53),'recurring1_based on steps'!N$1:N$400,0)),N$2,)</f>
        <v>0</v>
      </c>
      <c r="O53" s="179">
        <f ca="1">IF(ISNUMBER(MATCH(DATEVALUE($A53),'recurring1_based on steps'!O$1:O$400,0)),O$2,)</f>
        <v>0</v>
      </c>
      <c r="P53" s="179">
        <f ca="1">IF(ISNUMBER(MATCH(DATEVALUE($A53),'recurring1_based on steps'!P$1:P$400,0)),P$2,)</f>
        <v>0</v>
      </c>
      <c r="Q53" s="179">
        <f ca="1">IF(ISNUMBER(MATCH(DATEVALUE($A53),'recurring1_based on steps'!Q$1:Q$400,0)),Q$2,)</f>
        <v>0</v>
      </c>
      <c r="R53" s="179">
        <f ca="1">IF(ISNUMBER(MATCH(DATEVALUE($A53),'recurring1_based on steps'!R$1:R$400,0)),R$2,)</f>
        <v>0</v>
      </c>
      <c r="S53" s="179">
        <f ca="1">IF(ISNUMBER(MATCH(DATEVALUE($A53),'recurring1_based on steps'!S$1:S$400,0)),S$2,)</f>
        <v>0</v>
      </c>
      <c r="T53" s="179">
        <f ca="1">IF(ISNUMBER(MATCH(DATEVALUE($A53),'recurring1_based on steps'!T$1:T$400,0)),T$2,)</f>
        <v>0</v>
      </c>
      <c r="U53" s="179">
        <f ca="1">IF(ISNUMBER(MATCH(DATEVALUE($A53),'recurring1_based on steps'!U$1:U$400,0)),U$2,)</f>
        <v>0</v>
      </c>
      <c r="V53" s="179">
        <f ca="1">IF(ISNUMBER(MATCH(DATEVALUE($A53),'recurring1_based on steps'!V$1:V$400,0)),V$2,)</f>
        <v>0</v>
      </c>
      <c r="W53" s="179">
        <f ca="1">IF(ISNUMBER(MATCH(DATEVALUE($A53),'recurring1_based on steps'!W$1:W$400,0)),W$2,)</f>
        <v>0</v>
      </c>
      <c r="X53" s="179">
        <f ca="1">IF(ISNUMBER(MATCH(DATEVALUE($A53),'recurring1_based on steps'!X$1:X$400,0)),X$2,)</f>
        <v>0</v>
      </c>
      <c r="Y53" s="179">
        <f ca="1">IF(ISNUMBER(MATCH(DATEVALUE($A53),'recurring1_based on steps'!Y$1:Y$400,0)),Y$2,)</f>
        <v>0</v>
      </c>
      <c r="Z53" s="179">
        <f ca="1">IF(ISNUMBER(MATCH(DATEVALUE($A53),'recurring1_based on steps'!Z$1:Z$400,0)),Z$2,)</f>
        <v>0</v>
      </c>
      <c r="AA53" s="179">
        <f ca="1">IF(ISNUMBER(MATCH(DATEVALUE($A53),'recurring1_based on steps'!AA$1:AA$400,0)),AA$2,)</f>
        <v>0</v>
      </c>
      <c r="AB53" s="179">
        <f ca="1">IF(ISNUMBER(MATCH(DATEVALUE($A53),'recurring1_based on steps'!AB$1:AB$400,0)),AB$2,)</f>
        <v>0</v>
      </c>
      <c r="AC53" s="179">
        <f ca="1">IF(ISNUMBER(MATCH(DATEVALUE($A53),'recurring1_based on steps'!AC$1:AC$400,0)),AC$2,)</f>
        <v>0</v>
      </c>
      <c r="AD53" s="179">
        <f ca="1">IF(ISNUMBER(MATCH(DATEVALUE($A53),'recurring1_based on steps'!AD$1:AD$400,0)),AD$2,)</f>
        <v>0</v>
      </c>
      <c r="AE53" s="179">
        <f ca="1">IF(ISNUMBER(MATCH(DATEVALUE($A53),'recurring1_based on steps'!AE$1:AE$400,0)),AE$2,)</f>
        <v>0</v>
      </c>
      <c r="AF53" s="179">
        <f ca="1">IF(ISNUMBER(MATCH(DATEVALUE($A53),'recurring1_based on steps'!AF$1:AF$400,0)),AF$2,)</f>
        <v>0</v>
      </c>
      <c r="AG53" s="179">
        <f ca="1">IF(ISNUMBER(MATCH(DATEVALUE($A53),'recurring1_based on steps'!AG$1:AG$400,0)),AG$2,)</f>
        <v>0</v>
      </c>
      <c r="AH53" s="179">
        <f ca="1">IF(ISNUMBER(MATCH(DATEVALUE($A53),'recurring1_based on steps'!AH$1:AH$400,0)),AH$2,)</f>
        <v>0</v>
      </c>
      <c r="AI53" s="179">
        <f ca="1">IF(ISNUMBER(MATCH(DATEVALUE($A53),'recurring1_based on steps'!AI$1:AI$400,0)),AI$2,)</f>
        <v>0</v>
      </c>
      <c r="AJ53" s="179">
        <f ca="1">IF(ISNUMBER(MATCH(DATEVALUE($A53),'recurring1_based on steps'!AJ$1:AJ$400,0)),AJ$2,)</f>
        <v>0</v>
      </c>
      <c r="AK53" s="179">
        <f ca="1">IF(ISNUMBER(MATCH(DATEVALUE($A53),'recurring1_based on steps'!AK$1:AK$400,0)),AK$2,)</f>
        <v>0</v>
      </c>
      <c r="AL53" s="179">
        <f ca="1">IF(ISNUMBER(MATCH(DATEVALUE($A53),'recurring1_based on steps'!AL$1:AL$400,0)),AL$2,)</f>
        <v>0</v>
      </c>
      <c r="AM53" s="179">
        <f ca="1">IF(ISNUMBER(MATCH(DATEVALUE($A53),'recurring1_based on steps'!AM$1:AM$400,0)),AM$2,)</f>
        <v>0</v>
      </c>
      <c r="AN53" s="179">
        <f ca="1">IF(ISNUMBER(MATCH(DATEVALUE($A53),'recurring1_based on steps'!AN$1:AN$400,0)),AN$2,)</f>
        <v>0</v>
      </c>
      <c r="AO53" s="179">
        <f ca="1">IF(ISNUMBER(MATCH(DATEVALUE($A53),'recurring1_based on steps'!AO$1:AO$400,0)),AO$2,)</f>
        <v>0</v>
      </c>
      <c r="AP53" s="179">
        <f ca="1">IF(ISNUMBER(MATCH(DATEVALUE($A53),'recurring1_based on steps'!AP$1:AP$400,0)),AP$2,)</f>
        <v>0</v>
      </c>
      <c r="AQ53" s="179">
        <f ca="1">IF(ISNUMBER(MATCH(DATEVALUE($A53),'recurring1_based on steps'!AQ$1:AQ$400,0)),AQ$2,)</f>
        <v>0</v>
      </c>
      <c r="AR53" s="179">
        <f ca="1">IF(ISNUMBER(MATCH(DATEVALUE($A53),'recurring1_based on steps'!AR$1:AR$400,0)),AR$2,)</f>
        <v>0</v>
      </c>
      <c r="AS53" s="179">
        <f ca="1">IF(ISNUMBER(MATCH(DATEVALUE($A53),'recurring1_based on steps'!AS$1:AS$400,0)),AS$2,)</f>
        <v>0</v>
      </c>
      <c r="AT53" s="179">
        <f ca="1">IF(ISNUMBER(MATCH(DATEVALUE($A53),'recurring1_based on steps'!AT$1:AT$400,0)),AT$2,)</f>
        <v>0</v>
      </c>
      <c r="AU53" s="179">
        <f ca="1">IF(ISNUMBER(MATCH(DATEVALUE($A53),'recurring1_based on steps'!AU$1:AU$400,0)),AU$2,)</f>
        <v>0</v>
      </c>
      <c r="AV53" s="179">
        <f ca="1">IF(ISNUMBER(MATCH(DATEVALUE($A53),'recurring1_based on steps'!AV$1:AV$400,0)),AV$2,)</f>
        <v>0</v>
      </c>
      <c r="AW53" s="179">
        <f ca="1">IF(ISNUMBER(MATCH(DATEVALUE($A53),'recurring1_based on steps'!AW$1:AW$400,0)),AW$2,)</f>
        <v>0</v>
      </c>
      <c r="AX53" s="179">
        <f ca="1">IF(ISNUMBER(MATCH(DATEVALUE($A53),'recurring1_based on steps'!AX$1:AX$400,0)),AX$2,)</f>
        <v>0</v>
      </c>
      <c r="AY53" s="179">
        <f ca="1">IF(ISNUMBER(MATCH(DATEVALUE($A53),'recurring1_based on steps'!AY$1:AY$400,0)),AY$2,)</f>
        <v>0</v>
      </c>
    </row>
    <row r="54" spans="1:51" x14ac:dyDescent="0.2">
      <c r="A54" s="32" t="str">
        <f t="shared" ca="1" si="0"/>
        <v>2025-05-26</v>
      </c>
      <c r="B54" s="179">
        <f ca="1">IF(ISNUMBER(MATCH(DATEVALUE($A54),'recurring1_based on steps'!B$1:B$400,0)),B$2,)</f>
        <v>0</v>
      </c>
      <c r="C54" s="179">
        <f ca="1">IF(ISNUMBER(MATCH(DATEVALUE($A54),'recurring1_based on steps'!C$1:C$400,0)),C$2,)</f>
        <v>0</v>
      </c>
      <c r="D54" s="179">
        <f ca="1">IF(ISNUMBER(MATCH(DATEVALUE($A54),'recurring1_based on steps'!D$1:D$400,0)),D$2,)</f>
        <v>0</v>
      </c>
      <c r="E54" s="179">
        <f ca="1">IF(ISNUMBER(MATCH(DATEVALUE($A54),'recurring1_based on steps'!E$1:E$400,0)),E$2,)</f>
        <v>0</v>
      </c>
      <c r="F54" s="179">
        <f ca="1">IF(ISNUMBER(MATCH(DATEVALUE($A54),'recurring1_based on steps'!F$1:F$400,0)),F$2,)</f>
        <v>0</v>
      </c>
      <c r="G54" s="179">
        <f ca="1">IF(ISNUMBER(MATCH(DATEVALUE($A54),'recurring1_based on steps'!G$1:G$400,0)),G$2,)</f>
        <v>0</v>
      </c>
      <c r="H54" s="179">
        <f ca="1">IF(ISNUMBER(MATCH(DATEVALUE($A54),'recurring1_based on steps'!H$1:H$400,0)),H$2,)</f>
        <v>0</v>
      </c>
      <c r="I54" s="179">
        <f ca="1">IF(ISNUMBER(MATCH(DATEVALUE($A54),'recurring1_based on steps'!I$1:I$400,0)),I$2,)</f>
        <v>0</v>
      </c>
      <c r="J54" s="179">
        <f ca="1">IF(ISNUMBER(MATCH(DATEVALUE($A54),'recurring1_based on steps'!J$1:J$400,0)),J$2,)</f>
        <v>0</v>
      </c>
      <c r="K54" s="179">
        <f ca="1">IF(ISNUMBER(MATCH(DATEVALUE($A54),'recurring1_based on steps'!K$1:K$400,0)),K$2,)</f>
        <v>0</v>
      </c>
      <c r="L54" s="179">
        <f ca="1">IF(ISNUMBER(MATCH(DATEVALUE($A54),'recurring1_based on steps'!L$1:L$400,0)),L$2,)</f>
        <v>0</v>
      </c>
      <c r="M54" s="179">
        <f ca="1">IF(ISNUMBER(MATCH(DATEVALUE($A54),'recurring1_based on steps'!M$1:M$400,0)),M$2,)</f>
        <v>0</v>
      </c>
      <c r="N54" s="179">
        <f ca="1">IF(ISNUMBER(MATCH(DATEVALUE($A54),'recurring1_based on steps'!N$1:N$400,0)),N$2,)</f>
        <v>0</v>
      </c>
      <c r="O54" s="179">
        <f ca="1">IF(ISNUMBER(MATCH(DATEVALUE($A54),'recurring1_based on steps'!O$1:O$400,0)),O$2,)</f>
        <v>0</v>
      </c>
      <c r="P54" s="179">
        <f ca="1">IF(ISNUMBER(MATCH(DATEVALUE($A54),'recurring1_based on steps'!P$1:P$400,0)),P$2,)</f>
        <v>0</v>
      </c>
      <c r="Q54" s="179">
        <f ca="1">IF(ISNUMBER(MATCH(DATEVALUE($A54),'recurring1_based on steps'!Q$1:Q$400,0)),Q$2,)</f>
        <v>0</v>
      </c>
      <c r="R54" s="179">
        <f ca="1">IF(ISNUMBER(MATCH(DATEVALUE($A54),'recurring1_based on steps'!R$1:R$400,0)),R$2,)</f>
        <v>0</v>
      </c>
      <c r="S54" s="179">
        <f ca="1">IF(ISNUMBER(MATCH(DATEVALUE($A54),'recurring1_based on steps'!S$1:S$400,0)),S$2,)</f>
        <v>0</v>
      </c>
      <c r="T54" s="179">
        <f ca="1">IF(ISNUMBER(MATCH(DATEVALUE($A54),'recurring1_based on steps'!T$1:T$400,0)),T$2,)</f>
        <v>0</v>
      </c>
      <c r="U54" s="179">
        <f ca="1">IF(ISNUMBER(MATCH(DATEVALUE($A54),'recurring1_based on steps'!U$1:U$400,0)),U$2,)</f>
        <v>0</v>
      </c>
      <c r="V54" s="179">
        <f ca="1">IF(ISNUMBER(MATCH(DATEVALUE($A54),'recurring1_based on steps'!V$1:V$400,0)),V$2,)</f>
        <v>0</v>
      </c>
      <c r="W54" s="179">
        <f ca="1">IF(ISNUMBER(MATCH(DATEVALUE($A54),'recurring1_based on steps'!W$1:W$400,0)),W$2,)</f>
        <v>0</v>
      </c>
      <c r="X54" s="179">
        <f ca="1">IF(ISNUMBER(MATCH(DATEVALUE($A54),'recurring1_based on steps'!X$1:X$400,0)),X$2,)</f>
        <v>0</v>
      </c>
      <c r="Y54" s="179">
        <f ca="1">IF(ISNUMBER(MATCH(DATEVALUE($A54),'recurring1_based on steps'!Y$1:Y$400,0)),Y$2,)</f>
        <v>0</v>
      </c>
      <c r="Z54" s="179">
        <f ca="1">IF(ISNUMBER(MATCH(DATEVALUE($A54),'recurring1_based on steps'!Z$1:Z$400,0)),Z$2,)</f>
        <v>0</v>
      </c>
      <c r="AA54" s="179">
        <f ca="1">IF(ISNUMBER(MATCH(DATEVALUE($A54),'recurring1_based on steps'!AA$1:AA$400,0)),AA$2,)</f>
        <v>0</v>
      </c>
      <c r="AB54" s="179">
        <f ca="1">IF(ISNUMBER(MATCH(DATEVALUE($A54),'recurring1_based on steps'!AB$1:AB$400,0)),AB$2,)</f>
        <v>0</v>
      </c>
      <c r="AC54" s="179">
        <f ca="1">IF(ISNUMBER(MATCH(DATEVALUE($A54),'recurring1_based on steps'!AC$1:AC$400,0)),AC$2,)</f>
        <v>0</v>
      </c>
      <c r="AD54" s="179">
        <f ca="1">IF(ISNUMBER(MATCH(DATEVALUE($A54),'recurring1_based on steps'!AD$1:AD$400,0)),AD$2,)</f>
        <v>0</v>
      </c>
      <c r="AE54" s="179">
        <f ca="1">IF(ISNUMBER(MATCH(DATEVALUE($A54),'recurring1_based on steps'!AE$1:AE$400,0)),AE$2,)</f>
        <v>0</v>
      </c>
      <c r="AF54" s="179">
        <f ca="1">IF(ISNUMBER(MATCH(DATEVALUE($A54),'recurring1_based on steps'!AF$1:AF$400,0)),AF$2,)</f>
        <v>0</v>
      </c>
      <c r="AG54" s="179">
        <f ca="1">IF(ISNUMBER(MATCH(DATEVALUE($A54),'recurring1_based on steps'!AG$1:AG$400,0)),AG$2,)</f>
        <v>0</v>
      </c>
      <c r="AH54" s="179">
        <f ca="1">IF(ISNUMBER(MATCH(DATEVALUE($A54),'recurring1_based on steps'!AH$1:AH$400,0)),AH$2,)</f>
        <v>0</v>
      </c>
      <c r="AI54" s="179">
        <f ca="1">IF(ISNUMBER(MATCH(DATEVALUE($A54),'recurring1_based on steps'!AI$1:AI$400,0)),AI$2,)</f>
        <v>0</v>
      </c>
      <c r="AJ54" s="179">
        <f ca="1">IF(ISNUMBER(MATCH(DATEVALUE($A54),'recurring1_based on steps'!AJ$1:AJ$400,0)),AJ$2,)</f>
        <v>0</v>
      </c>
      <c r="AK54" s="179">
        <f ca="1">IF(ISNUMBER(MATCH(DATEVALUE($A54),'recurring1_based on steps'!AK$1:AK$400,0)),AK$2,)</f>
        <v>0</v>
      </c>
      <c r="AL54" s="179">
        <f ca="1">IF(ISNUMBER(MATCH(DATEVALUE($A54),'recurring1_based on steps'!AL$1:AL$400,0)),AL$2,)</f>
        <v>0</v>
      </c>
      <c r="AM54" s="179">
        <f ca="1">IF(ISNUMBER(MATCH(DATEVALUE($A54),'recurring1_based on steps'!AM$1:AM$400,0)),AM$2,)</f>
        <v>0</v>
      </c>
      <c r="AN54" s="179">
        <f ca="1">IF(ISNUMBER(MATCH(DATEVALUE($A54),'recurring1_based on steps'!AN$1:AN$400,0)),AN$2,)</f>
        <v>0</v>
      </c>
      <c r="AO54" s="179">
        <f ca="1">IF(ISNUMBER(MATCH(DATEVALUE($A54),'recurring1_based on steps'!AO$1:AO$400,0)),AO$2,)</f>
        <v>0</v>
      </c>
      <c r="AP54" s="179">
        <f ca="1">IF(ISNUMBER(MATCH(DATEVALUE($A54),'recurring1_based on steps'!AP$1:AP$400,0)),AP$2,)</f>
        <v>0</v>
      </c>
      <c r="AQ54" s="179">
        <f ca="1">IF(ISNUMBER(MATCH(DATEVALUE($A54),'recurring1_based on steps'!AQ$1:AQ$400,0)),AQ$2,)</f>
        <v>0</v>
      </c>
      <c r="AR54" s="179">
        <f ca="1">IF(ISNUMBER(MATCH(DATEVALUE($A54),'recurring1_based on steps'!AR$1:AR$400,0)),AR$2,)</f>
        <v>0</v>
      </c>
      <c r="AS54" s="179">
        <f ca="1">IF(ISNUMBER(MATCH(DATEVALUE($A54),'recurring1_based on steps'!AS$1:AS$400,0)),AS$2,)</f>
        <v>0</v>
      </c>
      <c r="AT54" s="179">
        <f ca="1">IF(ISNUMBER(MATCH(DATEVALUE($A54),'recurring1_based on steps'!AT$1:AT$400,0)),AT$2,)</f>
        <v>0</v>
      </c>
      <c r="AU54" s="179">
        <f ca="1">IF(ISNUMBER(MATCH(DATEVALUE($A54),'recurring1_based on steps'!AU$1:AU$400,0)),AU$2,)</f>
        <v>0</v>
      </c>
      <c r="AV54" s="179">
        <f ca="1">IF(ISNUMBER(MATCH(DATEVALUE($A54),'recurring1_based on steps'!AV$1:AV$400,0)),AV$2,)</f>
        <v>0</v>
      </c>
      <c r="AW54" s="179">
        <f ca="1">IF(ISNUMBER(MATCH(DATEVALUE($A54),'recurring1_based on steps'!AW$1:AW$400,0)),AW$2,)</f>
        <v>0</v>
      </c>
      <c r="AX54" s="179">
        <f ca="1">IF(ISNUMBER(MATCH(DATEVALUE($A54),'recurring1_based on steps'!AX$1:AX$400,0)),AX$2,)</f>
        <v>0</v>
      </c>
      <c r="AY54" s="179">
        <f ca="1">IF(ISNUMBER(MATCH(DATEVALUE($A54),'recurring1_based on steps'!AY$1:AY$400,0)),AY$2,)</f>
        <v>0</v>
      </c>
    </row>
    <row r="55" spans="1:51" x14ac:dyDescent="0.2">
      <c r="A55" s="32" t="str">
        <f t="shared" ca="1" si="0"/>
        <v>2025-05-27</v>
      </c>
      <c r="B55" s="179">
        <f ca="1">IF(ISNUMBER(MATCH(DATEVALUE($A55),'recurring1_based on steps'!B$1:B$400,0)),B$2,)</f>
        <v>0</v>
      </c>
      <c r="C55" s="179">
        <f ca="1">IF(ISNUMBER(MATCH(DATEVALUE($A55),'recurring1_based on steps'!C$1:C$400,0)),C$2,)</f>
        <v>0</v>
      </c>
      <c r="D55" s="179">
        <f ca="1">IF(ISNUMBER(MATCH(DATEVALUE($A55),'recurring1_based on steps'!D$1:D$400,0)),D$2,)</f>
        <v>0</v>
      </c>
      <c r="E55" s="179">
        <f ca="1">IF(ISNUMBER(MATCH(DATEVALUE($A55),'recurring1_based on steps'!E$1:E$400,0)),E$2,)</f>
        <v>0</v>
      </c>
      <c r="F55" s="179">
        <f ca="1">IF(ISNUMBER(MATCH(DATEVALUE($A55),'recurring1_based on steps'!F$1:F$400,0)),F$2,)</f>
        <v>0</v>
      </c>
      <c r="G55" s="179">
        <f ca="1">IF(ISNUMBER(MATCH(DATEVALUE($A55),'recurring1_based on steps'!G$1:G$400,0)),G$2,)</f>
        <v>0</v>
      </c>
      <c r="H55" s="179">
        <f ca="1">IF(ISNUMBER(MATCH(DATEVALUE($A55),'recurring1_based on steps'!H$1:H$400,0)),H$2,)</f>
        <v>0</v>
      </c>
      <c r="I55" s="179">
        <f ca="1">IF(ISNUMBER(MATCH(DATEVALUE($A55),'recurring1_based on steps'!I$1:I$400,0)),I$2,)</f>
        <v>0</v>
      </c>
      <c r="J55" s="179">
        <f ca="1">IF(ISNUMBER(MATCH(DATEVALUE($A55),'recurring1_based on steps'!J$1:J$400,0)),J$2,)</f>
        <v>0</v>
      </c>
      <c r="K55" s="179">
        <f ca="1">IF(ISNUMBER(MATCH(DATEVALUE($A55),'recurring1_based on steps'!K$1:K$400,0)),K$2,)</f>
        <v>0</v>
      </c>
      <c r="L55" s="179">
        <f ca="1">IF(ISNUMBER(MATCH(DATEVALUE($A55),'recurring1_based on steps'!L$1:L$400,0)),L$2,)</f>
        <v>0</v>
      </c>
      <c r="M55" s="179">
        <f ca="1">IF(ISNUMBER(MATCH(DATEVALUE($A55),'recurring1_based on steps'!M$1:M$400,0)),M$2,)</f>
        <v>0</v>
      </c>
      <c r="N55" s="179">
        <f ca="1">IF(ISNUMBER(MATCH(DATEVALUE($A55),'recurring1_based on steps'!N$1:N$400,0)),N$2,)</f>
        <v>0</v>
      </c>
      <c r="O55" s="179">
        <f ca="1">IF(ISNUMBER(MATCH(DATEVALUE($A55),'recurring1_based on steps'!O$1:O$400,0)),O$2,)</f>
        <v>0</v>
      </c>
      <c r="P55" s="179">
        <f ca="1">IF(ISNUMBER(MATCH(DATEVALUE($A55),'recurring1_based on steps'!P$1:P$400,0)),P$2,)</f>
        <v>0</v>
      </c>
      <c r="Q55" s="179">
        <f ca="1">IF(ISNUMBER(MATCH(DATEVALUE($A55),'recurring1_based on steps'!Q$1:Q$400,0)),Q$2,)</f>
        <v>0</v>
      </c>
      <c r="R55" s="179">
        <f ca="1">IF(ISNUMBER(MATCH(DATEVALUE($A55),'recurring1_based on steps'!R$1:R$400,0)),R$2,)</f>
        <v>0</v>
      </c>
      <c r="S55" s="179">
        <f ca="1">IF(ISNUMBER(MATCH(DATEVALUE($A55),'recurring1_based on steps'!S$1:S$400,0)),S$2,)</f>
        <v>0</v>
      </c>
      <c r="T55" s="179">
        <f ca="1">IF(ISNUMBER(MATCH(DATEVALUE($A55),'recurring1_based on steps'!T$1:T$400,0)),T$2,)</f>
        <v>0</v>
      </c>
      <c r="U55" s="179">
        <f ca="1">IF(ISNUMBER(MATCH(DATEVALUE($A55),'recurring1_based on steps'!U$1:U$400,0)),U$2,)</f>
        <v>0</v>
      </c>
      <c r="V55" s="179">
        <f ca="1">IF(ISNUMBER(MATCH(DATEVALUE($A55),'recurring1_based on steps'!V$1:V$400,0)),V$2,)</f>
        <v>0</v>
      </c>
      <c r="W55" s="179">
        <f ca="1">IF(ISNUMBER(MATCH(DATEVALUE($A55),'recurring1_based on steps'!W$1:W$400,0)),W$2,)</f>
        <v>0</v>
      </c>
      <c r="X55" s="179">
        <f ca="1">IF(ISNUMBER(MATCH(DATEVALUE($A55),'recurring1_based on steps'!X$1:X$400,0)),X$2,)</f>
        <v>0</v>
      </c>
      <c r="Y55" s="179">
        <f ca="1">IF(ISNUMBER(MATCH(DATEVALUE($A55),'recurring1_based on steps'!Y$1:Y$400,0)),Y$2,)</f>
        <v>0</v>
      </c>
      <c r="Z55" s="179">
        <f ca="1">IF(ISNUMBER(MATCH(DATEVALUE($A55),'recurring1_based on steps'!Z$1:Z$400,0)),Z$2,)</f>
        <v>0</v>
      </c>
      <c r="AA55" s="179">
        <f ca="1">IF(ISNUMBER(MATCH(DATEVALUE($A55),'recurring1_based on steps'!AA$1:AA$400,0)),AA$2,)</f>
        <v>0</v>
      </c>
      <c r="AB55" s="179">
        <f ca="1">IF(ISNUMBER(MATCH(DATEVALUE($A55),'recurring1_based on steps'!AB$1:AB$400,0)),AB$2,)</f>
        <v>0</v>
      </c>
      <c r="AC55" s="179">
        <f ca="1">IF(ISNUMBER(MATCH(DATEVALUE($A55),'recurring1_based on steps'!AC$1:AC$400,0)),AC$2,)</f>
        <v>0</v>
      </c>
      <c r="AD55" s="179">
        <f ca="1">IF(ISNUMBER(MATCH(DATEVALUE($A55),'recurring1_based on steps'!AD$1:AD$400,0)),AD$2,)</f>
        <v>0</v>
      </c>
      <c r="AE55" s="179">
        <f ca="1">IF(ISNUMBER(MATCH(DATEVALUE($A55),'recurring1_based on steps'!AE$1:AE$400,0)),AE$2,)</f>
        <v>0</v>
      </c>
      <c r="AF55" s="179">
        <f ca="1">IF(ISNUMBER(MATCH(DATEVALUE($A55),'recurring1_based on steps'!AF$1:AF$400,0)),AF$2,)</f>
        <v>0</v>
      </c>
      <c r="AG55" s="179">
        <f ca="1">IF(ISNUMBER(MATCH(DATEVALUE($A55),'recurring1_based on steps'!AG$1:AG$400,0)),AG$2,)</f>
        <v>0</v>
      </c>
      <c r="AH55" s="179">
        <f ca="1">IF(ISNUMBER(MATCH(DATEVALUE($A55),'recurring1_based on steps'!AH$1:AH$400,0)),AH$2,)</f>
        <v>0</v>
      </c>
      <c r="AI55" s="179">
        <f ca="1">IF(ISNUMBER(MATCH(DATEVALUE($A55),'recurring1_based on steps'!AI$1:AI$400,0)),AI$2,)</f>
        <v>0</v>
      </c>
      <c r="AJ55" s="179">
        <f ca="1">IF(ISNUMBER(MATCH(DATEVALUE($A55),'recurring1_based on steps'!AJ$1:AJ$400,0)),AJ$2,)</f>
        <v>0</v>
      </c>
      <c r="AK55" s="179">
        <f ca="1">IF(ISNUMBER(MATCH(DATEVALUE($A55),'recurring1_based on steps'!AK$1:AK$400,0)),AK$2,)</f>
        <v>0</v>
      </c>
      <c r="AL55" s="179">
        <f ca="1">IF(ISNUMBER(MATCH(DATEVALUE($A55),'recurring1_based on steps'!AL$1:AL$400,0)),AL$2,)</f>
        <v>0</v>
      </c>
      <c r="AM55" s="179">
        <f ca="1">IF(ISNUMBER(MATCH(DATEVALUE($A55),'recurring1_based on steps'!AM$1:AM$400,0)),AM$2,)</f>
        <v>0</v>
      </c>
      <c r="AN55" s="179">
        <f ca="1">IF(ISNUMBER(MATCH(DATEVALUE($A55),'recurring1_based on steps'!AN$1:AN$400,0)),AN$2,)</f>
        <v>0</v>
      </c>
      <c r="AO55" s="179">
        <f ca="1">IF(ISNUMBER(MATCH(DATEVALUE($A55),'recurring1_based on steps'!AO$1:AO$400,0)),AO$2,)</f>
        <v>0</v>
      </c>
      <c r="AP55" s="179">
        <f ca="1">IF(ISNUMBER(MATCH(DATEVALUE($A55),'recurring1_based on steps'!AP$1:AP$400,0)),AP$2,)</f>
        <v>0</v>
      </c>
      <c r="AQ55" s="179">
        <f ca="1">IF(ISNUMBER(MATCH(DATEVALUE($A55),'recurring1_based on steps'!AQ$1:AQ$400,0)),AQ$2,)</f>
        <v>0</v>
      </c>
      <c r="AR55" s="179">
        <f ca="1">IF(ISNUMBER(MATCH(DATEVALUE($A55),'recurring1_based on steps'!AR$1:AR$400,0)),AR$2,)</f>
        <v>0</v>
      </c>
      <c r="AS55" s="179">
        <f ca="1">IF(ISNUMBER(MATCH(DATEVALUE($A55),'recurring1_based on steps'!AS$1:AS$400,0)),AS$2,)</f>
        <v>0</v>
      </c>
      <c r="AT55" s="179">
        <f ca="1">IF(ISNUMBER(MATCH(DATEVALUE($A55),'recurring1_based on steps'!AT$1:AT$400,0)),AT$2,)</f>
        <v>0</v>
      </c>
      <c r="AU55" s="179">
        <f ca="1">IF(ISNUMBER(MATCH(DATEVALUE($A55),'recurring1_based on steps'!AU$1:AU$400,0)),AU$2,)</f>
        <v>0</v>
      </c>
      <c r="AV55" s="179">
        <f ca="1">IF(ISNUMBER(MATCH(DATEVALUE($A55),'recurring1_based on steps'!AV$1:AV$400,0)),AV$2,)</f>
        <v>0</v>
      </c>
      <c r="AW55" s="179">
        <f ca="1">IF(ISNUMBER(MATCH(DATEVALUE($A55),'recurring1_based on steps'!AW$1:AW$400,0)),AW$2,)</f>
        <v>0</v>
      </c>
      <c r="AX55" s="179">
        <f ca="1">IF(ISNUMBER(MATCH(DATEVALUE($A55),'recurring1_based on steps'!AX$1:AX$400,0)),AX$2,)</f>
        <v>0</v>
      </c>
      <c r="AY55" s="179">
        <f ca="1">IF(ISNUMBER(MATCH(DATEVALUE($A55),'recurring1_based on steps'!AY$1:AY$400,0)),AY$2,)</f>
        <v>0</v>
      </c>
    </row>
    <row r="56" spans="1:51" x14ac:dyDescent="0.2">
      <c r="A56" s="32" t="str">
        <f t="shared" ca="1" si="0"/>
        <v>2025-05-28</v>
      </c>
      <c r="B56" s="179">
        <f ca="1">IF(ISNUMBER(MATCH(DATEVALUE($A56),'recurring1_based on steps'!B$1:B$400,0)),B$2,)</f>
        <v>0</v>
      </c>
      <c r="C56" s="179">
        <f ca="1">IF(ISNUMBER(MATCH(DATEVALUE($A56),'recurring1_based on steps'!C$1:C$400,0)),C$2,)</f>
        <v>0</v>
      </c>
      <c r="D56" s="179">
        <f ca="1">IF(ISNUMBER(MATCH(DATEVALUE($A56),'recurring1_based on steps'!D$1:D$400,0)),D$2,)</f>
        <v>0</v>
      </c>
      <c r="E56" s="179">
        <f ca="1">IF(ISNUMBER(MATCH(DATEVALUE($A56),'recurring1_based on steps'!E$1:E$400,0)),E$2,)</f>
        <v>0</v>
      </c>
      <c r="F56" s="179">
        <f ca="1">IF(ISNUMBER(MATCH(DATEVALUE($A56),'recurring1_based on steps'!F$1:F$400,0)),F$2,)</f>
        <v>0</v>
      </c>
      <c r="G56" s="179">
        <f ca="1">IF(ISNUMBER(MATCH(DATEVALUE($A56),'recurring1_based on steps'!G$1:G$400,0)),G$2,)</f>
        <v>0</v>
      </c>
      <c r="H56" s="179">
        <f ca="1">IF(ISNUMBER(MATCH(DATEVALUE($A56),'recurring1_based on steps'!H$1:H$400,0)),H$2,)</f>
        <v>0</v>
      </c>
      <c r="I56" s="179">
        <f ca="1">IF(ISNUMBER(MATCH(DATEVALUE($A56),'recurring1_based on steps'!I$1:I$400,0)),I$2,)</f>
        <v>0</v>
      </c>
      <c r="J56" s="179">
        <f ca="1">IF(ISNUMBER(MATCH(DATEVALUE($A56),'recurring1_based on steps'!J$1:J$400,0)),J$2,)</f>
        <v>0</v>
      </c>
      <c r="K56" s="179">
        <f ca="1">IF(ISNUMBER(MATCH(DATEVALUE($A56),'recurring1_based on steps'!K$1:K$400,0)),K$2,)</f>
        <v>0</v>
      </c>
      <c r="L56" s="179">
        <f ca="1">IF(ISNUMBER(MATCH(DATEVALUE($A56),'recurring1_based on steps'!L$1:L$400,0)),L$2,)</f>
        <v>0</v>
      </c>
      <c r="M56" s="179">
        <f ca="1">IF(ISNUMBER(MATCH(DATEVALUE($A56),'recurring1_based on steps'!M$1:M$400,0)),M$2,)</f>
        <v>0</v>
      </c>
      <c r="N56" s="179">
        <f ca="1">IF(ISNUMBER(MATCH(DATEVALUE($A56),'recurring1_based on steps'!N$1:N$400,0)),N$2,)</f>
        <v>0</v>
      </c>
      <c r="O56" s="179">
        <f ca="1">IF(ISNUMBER(MATCH(DATEVALUE($A56),'recurring1_based on steps'!O$1:O$400,0)),O$2,)</f>
        <v>0</v>
      </c>
      <c r="P56" s="179">
        <f ca="1">IF(ISNUMBER(MATCH(DATEVALUE($A56),'recurring1_based on steps'!P$1:P$400,0)),P$2,)</f>
        <v>0</v>
      </c>
      <c r="Q56" s="179">
        <f ca="1">IF(ISNUMBER(MATCH(DATEVALUE($A56),'recurring1_based on steps'!Q$1:Q$400,0)),Q$2,)</f>
        <v>0</v>
      </c>
      <c r="R56" s="179">
        <f ca="1">IF(ISNUMBER(MATCH(DATEVALUE($A56),'recurring1_based on steps'!R$1:R$400,0)),R$2,)</f>
        <v>0</v>
      </c>
      <c r="S56" s="179">
        <f ca="1">IF(ISNUMBER(MATCH(DATEVALUE($A56),'recurring1_based on steps'!S$1:S$400,0)),S$2,)</f>
        <v>0</v>
      </c>
      <c r="T56" s="179">
        <f ca="1">IF(ISNUMBER(MATCH(DATEVALUE($A56),'recurring1_based on steps'!T$1:T$400,0)),T$2,)</f>
        <v>0</v>
      </c>
      <c r="U56" s="179">
        <f ca="1">IF(ISNUMBER(MATCH(DATEVALUE($A56),'recurring1_based on steps'!U$1:U$400,0)),U$2,)</f>
        <v>0</v>
      </c>
      <c r="V56" s="179">
        <f ca="1">IF(ISNUMBER(MATCH(DATEVALUE($A56),'recurring1_based on steps'!V$1:V$400,0)),V$2,)</f>
        <v>0</v>
      </c>
      <c r="W56" s="179">
        <f ca="1">IF(ISNUMBER(MATCH(DATEVALUE($A56),'recurring1_based on steps'!W$1:W$400,0)),W$2,)</f>
        <v>0</v>
      </c>
      <c r="X56" s="179">
        <f ca="1">IF(ISNUMBER(MATCH(DATEVALUE($A56),'recurring1_based on steps'!X$1:X$400,0)),X$2,)</f>
        <v>0</v>
      </c>
      <c r="Y56" s="179">
        <f ca="1">IF(ISNUMBER(MATCH(DATEVALUE($A56),'recurring1_based on steps'!Y$1:Y$400,0)),Y$2,)</f>
        <v>0</v>
      </c>
      <c r="Z56" s="179">
        <f ca="1">IF(ISNUMBER(MATCH(DATEVALUE($A56),'recurring1_based on steps'!Z$1:Z$400,0)),Z$2,)</f>
        <v>0</v>
      </c>
      <c r="AA56" s="179">
        <f ca="1">IF(ISNUMBER(MATCH(DATEVALUE($A56),'recurring1_based on steps'!AA$1:AA$400,0)),AA$2,)</f>
        <v>0</v>
      </c>
      <c r="AB56" s="179">
        <f ca="1">IF(ISNUMBER(MATCH(DATEVALUE($A56),'recurring1_based on steps'!AB$1:AB$400,0)),AB$2,)</f>
        <v>0</v>
      </c>
      <c r="AC56" s="179">
        <f ca="1">IF(ISNUMBER(MATCH(DATEVALUE($A56),'recurring1_based on steps'!AC$1:AC$400,0)),AC$2,)</f>
        <v>0</v>
      </c>
      <c r="AD56" s="179">
        <f ca="1">IF(ISNUMBER(MATCH(DATEVALUE($A56),'recurring1_based on steps'!AD$1:AD$400,0)),AD$2,)</f>
        <v>0</v>
      </c>
      <c r="AE56" s="179">
        <f ca="1">IF(ISNUMBER(MATCH(DATEVALUE($A56),'recurring1_based on steps'!AE$1:AE$400,0)),AE$2,)</f>
        <v>0</v>
      </c>
      <c r="AF56" s="179">
        <f ca="1">IF(ISNUMBER(MATCH(DATEVALUE($A56),'recurring1_based on steps'!AF$1:AF$400,0)),AF$2,)</f>
        <v>0</v>
      </c>
      <c r="AG56" s="179">
        <f ca="1">IF(ISNUMBER(MATCH(DATEVALUE($A56),'recurring1_based on steps'!AG$1:AG$400,0)),AG$2,)</f>
        <v>0</v>
      </c>
      <c r="AH56" s="179">
        <f ca="1">IF(ISNUMBER(MATCH(DATEVALUE($A56),'recurring1_based on steps'!AH$1:AH$400,0)),AH$2,)</f>
        <v>0</v>
      </c>
      <c r="AI56" s="179">
        <f ca="1">IF(ISNUMBER(MATCH(DATEVALUE($A56),'recurring1_based on steps'!AI$1:AI$400,0)),AI$2,)</f>
        <v>0</v>
      </c>
      <c r="AJ56" s="179">
        <f ca="1">IF(ISNUMBER(MATCH(DATEVALUE($A56),'recurring1_based on steps'!AJ$1:AJ$400,0)),AJ$2,)</f>
        <v>0</v>
      </c>
      <c r="AK56" s="179">
        <f ca="1">IF(ISNUMBER(MATCH(DATEVALUE($A56),'recurring1_based on steps'!AK$1:AK$400,0)),AK$2,)</f>
        <v>0</v>
      </c>
      <c r="AL56" s="179">
        <f ca="1">IF(ISNUMBER(MATCH(DATEVALUE($A56),'recurring1_based on steps'!AL$1:AL$400,0)),AL$2,)</f>
        <v>0</v>
      </c>
      <c r="AM56" s="179">
        <f ca="1">IF(ISNUMBER(MATCH(DATEVALUE($A56),'recurring1_based on steps'!AM$1:AM$400,0)),AM$2,)</f>
        <v>0</v>
      </c>
      <c r="AN56" s="179">
        <f ca="1">IF(ISNUMBER(MATCH(DATEVALUE($A56),'recurring1_based on steps'!AN$1:AN$400,0)),AN$2,)</f>
        <v>0</v>
      </c>
      <c r="AO56" s="179">
        <f ca="1">IF(ISNUMBER(MATCH(DATEVALUE($A56),'recurring1_based on steps'!AO$1:AO$400,0)),AO$2,)</f>
        <v>0</v>
      </c>
      <c r="AP56" s="179">
        <f ca="1">IF(ISNUMBER(MATCH(DATEVALUE($A56),'recurring1_based on steps'!AP$1:AP$400,0)),AP$2,)</f>
        <v>0</v>
      </c>
      <c r="AQ56" s="179">
        <f ca="1">IF(ISNUMBER(MATCH(DATEVALUE($A56),'recurring1_based on steps'!AQ$1:AQ$400,0)),AQ$2,)</f>
        <v>0</v>
      </c>
      <c r="AR56" s="179">
        <f ca="1">IF(ISNUMBER(MATCH(DATEVALUE($A56),'recurring1_based on steps'!AR$1:AR$400,0)),AR$2,)</f>
        <v>0</v>
      </c>
      <c r="AS56" s="179">
        <f ca="1">IF(ISNUMBER(MATCH(DATEVALUE($A56),'recurring1_based on steps'!AS$1:AS$400,0)),AS$2,)</f>
        <v>0</v>
      </c>
      <c r="AT56" s="179">
        <f ca="1">IF(ISNUMBER(MATCH(DATEVALUE($A56),'recurring1_based on steps'!AT$1:AT$400,0)),AT$2,)</f>
        <v>0</v>
      </c>
      <c r="AU56" s="179">
        <f ca="1">IF(ISNUMBER(MATCH(DATEVALUE($A56),'recurring1_based on steps'!AU$1:AU$400,0)),AU$2,)</f>
        <v>0</v>
      </c>
      <c r="AV56" s="179">
        <f ca="1">IF(ISNUMBER(MATCH(DATEVALUE($A56),'recurring1_based on steps'!AV$1:AV$400,0)),AV$2,)</f>
        <v>0</v>
      </c>
      <c r="AW56" s="179">
        <f ca="1">IF(ISNUMBER(MATCH(DATEVALUE($A56),'recurring1_based on steps'!AW$1:AW$400,0)),AW$2,)</f>
        <v>0</v>
      </c>
      <c r="AX56" s="179">
        <f ca="1">IF(ISNUMBER(MATCH(DATEVALUE($A56),'recurring1_based on steps'!AX$1:AX$400,0)),AX$2,)</f>
        <v>0</v>
      </c>
      <c r="AY56" s="179">
        <f ca="1">IF(ISNUMBER(MATCH(DATEVALUE($A56),'recurring1_based on steps'!AY$1:AY$400,0)),AY$2,)</f>
        <v>0</v>
      </c>
    </row>
    <row r="57" spans="1:51" x14ac:dyDescent="0.2">
      <c r="A57" s="32" t="str">
        <f t="shared" ca="1" si="0"/>
        <v>2025-05-29</v>
      </c>
      <c r="B57" s="179">
        <f ca="1">IF(ISNUMBER(MATCH(DATEVALUE($A57),'recurring1_based on steps'!B$1:B$400,0)),B$2,)</f>
        <v>0</v>
      </c>
      <c r="C57" s="179">
        <f ca="1">IF(ISNUMBER(MATCH(DATEVALUE($A57),'recurring1_based on steps'!C$1:C$400,0)),C$2,)</f>
        <v>0</v>
      </c>
      <c r="D57" s="179">
        <f ca="1">IF(ISNUMBER(MATCH(DATEVALUE($A57),'recurring1_based on steps'!D$1:D$400,0)),D$2,)</f>
        <v>0</v>
      </c>
      <c r="E57" s="179">
        <f ca="1">IF(ISNUMBER(MATCH(DATEVALUE($A57),'recurring1_based on steps'!E$1:E$400,0)),E$2,)</f>
        <v>0</v>
      </c>
      <c r="F57" s="179">
        <f ca="1">IF(ISNUMBER(MATCH(DATEVALUE($A57),'recurring1_based on steps'!F$1:F$400,0)),F$2,)</f>
        <v>0</v>
      </c>
      <c r="G57" s="179">
        <f ca="1">IF(ISNUMBER(MATCH(DATEVALUE($A57),'recurring1_based on steps'!G$1:G$400,0)),G$2,)</f>
        <v>0</v>
      </c>
      <c r="H57" s="179">
        <f ca="1">IF(ISNUMBER(MATCH(DATEVALUE($A57),'recurring1_based on steps'!H$1:H$400,0)),H$2,)</f>
        <v>0</v>
      </c>
      <c r="I57" s="179">
        <f ca="1">IF(ISNUMBER(MATCH(DATEVALUE($A57),'recurring1_based on steps'!I$1:I$400,0)),I$2,)</f>
        <v>0</v>
      </c>
      <c r="J57" s="179">
        <f ca="1">IF(ISNUMBER(MATCH(DATEVALUE($A57),'recurring1_based on steps'!J$1:J$400,0)),J$2,)</f>
        <v>0</v>
      </c>
      <c r="K57" s="179">
        <f ca="1">IF(ISNUMBER(MATCH(DATEVALUE($A57),'recurring1_based on steps'!K$1:K$400,0)),K$2,)</f>
        <v>0</v>
      </c>
      <c r="L57" s="179">
        <f ca="1">IF(ISNUMBER(MATCH(DATEVALUE($A57),'recurring1_based on steps'!L$1:L$400,0)),L$2,)</f>
        <v>0</v>
      </c>
      <c r="M57" s="179">
        <f ca="1">IF(ISNUMBER(MATCH(DATEVALUE($A57),'recurring1_based on steps'!M$1:M$400,0)),M$2,)</f>
        <v>0</v>
      </c>
      <c r="N57" s="179">
        <f ca="1">IF(ISNUMBER(MATCH(DATEVALUE($A57),'recurring1_based on steps'!N$1:N$400,0)),N$2,)</f>
        <v>0</v>
      </c>
      <c r="O57" s="179">
        <f ca="1">IF(ISNUMBER(MATCH(DATEVALUE($A57),'recurring1_based on steps'!O$1:O$400,0)),O$2,)</f>
        <v>0</v>
      </c>
      <c r="P57" s="179">
        <f ca="1">IF(ISNUMBER(MATCH(DATEVALUE($A57),'recurring1_based on steps'!P$1:P$400,0)),P$2,)</f>
        <v>0</v>
      </c>
      <c r="Q57" s="179">
        <f ca="1">IF(ISNUMBER(MATCH(DATEVALUE($A57),'recurring1_based on steps'!Q$1:Q$400,0)),Q$2,)</f>
        <v>0</v>
      </c>
      <c r="R57" s="179">
        <f ca="1">IF(ISNUMBER(MATCH(DATEVALUE($A57),'recurring1_based on steps'!R$1:R$400,0)),R$2,)</f>
        <v>0</v>
      </c>
      <c r="S57" s="179">
        <f ca="1">IF(ISNUMBER(MATCH(DATEVALUE($A57),'recurring1_based on steps'!S$1:S$400,0)),S$2,)</f>
        <v>0</v>
      </c>
      <c r="T57" s="179">
        <f ca="1">IF(ISNUMBER(MATCH(DATEVALUE($A57),'recurring1_based on steps'!T$1:T$400,0)),T$2,)</f>
        <v>0</v>
      </c>
      <c r="U57" s="179">
        <f ca="1">IF(ISNUMBER(MATCH(DATEVALUE($A57),'recurring1_based on steps'!U$1:U$400,0)),U$2,)</f>
        <v>0</v>
      </c>
      <c r="V57" s="179">
        <f ca="1">IF(ISNUMBER(MATCH(DATEVALUE($A57),'recurring1_based on steps'!V$1:V$400,0)),V$2,)</f>
        <v>0</v>
      </c>
      <c r="W57" s="179">
        <f ca="1">IF(ISNUMBER(MATCH(DATEVALUE($A57),'recurring1_based on steps'!W$1:W$400,0)),W$2,)</f>
        <v>0</v>
      </c>
      <c r="X57" s="179">
        <f ca="1">IF(ISNUMBER(MATCH(DATEVALUE($A57),'recurring1_based on steps'!X$1:X$400,0)),X$2,)</f>
        <v>0</v>
      </c>
      <c r="Y57" s="179">
        <f ca="1">IF(ISNUMBER(MATCH(DATEVALUE($A57),'recurring1_based on steps'!Y$1:Y$400,0)),Y$2,)</f>
        <v>0</v>
      </c>
      <c r="Z57" s="179">
        <f ca="1">IF(ISNUMBER(MATCH(DATEVALUE($A57),'recurring1_based on steps'!Z$1:Z$400,0)),Z$2,)</f>
        <v>0</v>
      </c>
      <c r="AA57" s="179">
        <f ca="1">IF(ISNUMBER(MATCH(DATEVALUE($A57),'recurring1_based on steps'!AA$1:AA$400,0)),AA$2,)</f>
        <v>0</v>
      </c>
      <c r="AB57" s="179">
        <f ca="1">IF(ISNUMBER(MATCH(DATEVALUE($A57),'recurring1_based on steps'!AB$1:AB$400,0)),AB$2,)</f>
        <v>0</v>
      </c>
      <c r="AC57" s="179">
        <f ca="1">IF(ISNUMBER(MATCH(DATEVALUE($A57),'recurring1_based on steps'!AC$1:AC$400,0)),AC$2,)</f>
        <v>0</v>
      </c>
      <c r="AD57" s="179">
        <f ca="1">IF(ISNUMBER(MATCH(DATEVALUE($A57),'recurring1_based on steps'!AD$1:AD$400,0)),AD$2,)</f>
        <v>0</v>
      </c>
      <c r="AE57" s="179">
        <f ca="1">IF(ISNUMBER(MATCH(DATEVALUE($A57),'recurring1_based on steps'!AE$1:AE$400,0)),AE$2,)</f>
        <v>0</v>
      </c>
      <c r="AF57" s="179">
        <f ca="1">IF(ISNUMBER(MATCH(DATEVALUE($A57),'recurring1_based on steps'!AF$1:AF$400,0)),AF$2,)</f>
        <v>0</v>
      </c>
      <c r="AG57" s="179">
        <f ca="1">IF(ISNUMBER(MATCH(DATEVALUE($A57),'recurring1_based on steps'!AG$1:AG$400,0)),AG$2,)</f>
        <v>0</v>
      </c>
      <c r="AH57" s="179">
        <f ca="1">IF(ISNUMBER(MATCH(DATEVALUE($A57),'recurring1_based on steps'!AH$1:AH$400,0)),AH$2,)</f>
        <v>0</v>
      </c>
      <c r="AI57" s="179">
        <f ca="1">IF(ISNUMBER(MATCH(DATEVALUE($A57),'recurring1_based on steps'!AI$1:AI$400,0)),AI$2,)</f>
        <v>0</v>
      </c>
      <c r="AJ57" s="179">
        <f ca="1">IF(ISNUMBER(MATCH(DATEVALUE($A57),'recurring1_based on steps'!AJ$1:AJ$400,0)),AJ$2,)</f>
        <v>0</v>
      </c>
      <c r="AK57" s="179">
        <f ca="1">IF(ISNUMBER(MATCH(DATEVALUE($A57),'recurring1_based on steps'!AK$1:AK$400,0)),AK$2,)</f>
        <v>0</v>
      </c>
      <c r="AL57" s="179">
        <f ca="1">IF(ISNUMBER(MATCH(DATEVALUE($A57),'recurring1_based on steps'!AL$1:AL$400,0)),AL$2,)</f>
        <v>0</v>
      </c>
      <c r="AM57" s="179">
        <f ca="1">IF(ISNUMBER(MATCH(DATEVALUE($A57),'recurring1_based on steps'!AM$1:AM$400,0)),AM$2,)</f>
        <v>0</v>
      </c>
      <c r="AN57" s="179">
        <f ca="1">IF(ISNUMBER(MATCH(DATEVALUE($A57),'recurring1_based on steps'!AN$1:AN$400,0)),AN$2,)</f>
        <v>0</v>
      </c>
      <c r="AO57" s="179">
        <f ca="1">IF(ISNUMBER(MATCH(DATEVALUE($A57),'recurring1_based on steps'!AO$1:AO$400,0)),AO$2,)</f>
        <v>0</v>
      </c>
      <c r="AP57" s="179">
        <f ca="1">IF(ISNUMBER(MATCH(DATEVALUE($A57),'recurring1_based on steps'!AP$1:AP$400,0)),AP$2,)</f>
        <v>0</v>
      </c>
      <c r="AQ57" s="179">
        <f ca="1">IF(ISNUMBER(MATCH(DATEVALUE($A57),'recurring1_based on steps'!AQ$1:AQ$400,0)),AQ$2,)</f>
        <v>0</v>
      </c>
      <c r="AR57" s="179">
        <f ca="1">IF(ISNUMBER(MATCH(DATEVALUE($A57),'recurring1_based on steps'!AR$1:AR$400,0)),AR$2,)</f>
        <v>0</v>
      </c>
      <c r="AS57" s="179">
        <f ca="1">IF(ISNUMBER(MATCH(DATEVALUE($A57),'recurring1_based on steps'!AS$1:AS$400,0)),AS$2,)</f>
        <v>0</v>
      </c>
      <c r="AT57" s="179">
        <f ca="1">IF(ISNUMBER(MATCH(DATEVALUE($A57),'recurring1_based on steps'!AT$1:AT$400,0)),AT$2,)</f>
        <v>0</v>
      </c>
      <c r="AU57" s="179">
        <f ca="1">IF(ISNUMBER(MATCH(DATEVALUE($A57),'recurring1_based on steps'!AU$1:AU$400,0)),AU$2,)</f>
        <v>0</v>
      </c>
      <c r="AV57" s="179">
        <f ca="1">IF(ISNUMBER(MATCH(DATEVALUE($A57),'recurring1_based on steps'!AV$1:AV$400,0)),AV$2,)</f>
        <v>0</v>
      </c>
      <c r="AW57" s="179">
        <f ca="1">IF(ISNUMBER(MATCH(DATEVALUE($A57),'recurring1_based on steps'!AW$1:AW$400,0)),AW$2,)</f>
        <v>0</v>
      </c>
      <c r="AX57" s="179">
        <f ca="1">IF(ISNUMBER(MATCH(DATEVALUE($A57),'recurring1_based on steps'!AX$1:AX$400,0)),AX$2,)</f>
        <v>0</v>
      </c>
      <c r="AY57" s="179">
        <f ca="1">IF(ISNUMBER(MATCH(DATEVALUE($A57),'recurring1_based on steps'!AY$1:AY$400,0)),AY$2,)</f>
        <v>0</v>
      </c>
    </row>
    <row r="58" spans="1:51" x14ac:dyDescent="0.2">
      <c r="A58" s="32" t="str">
        <f t="shared" ca="1" si="0"/>
        <v>2025-05-30</v>
      </c>
      <c r="B58" s="179">
        <f ca="1">IF(ISNUMBER(MATCH(DATEVALUE($A58),'recurring1_based on steps'!B$1:B$400,0)),B$2,)</f>
        <v>0</v>
      </c>
      <c r="C58" s="179">
        <f ca="1">IF(ISNUMBER(MATCH(DATEVALUE($A58),'recurring1_based on steps'!C$1:C$400,0)),C$2,)</f>
        <v>0</v>
      </c>
      <c r="D58" s="179">
        <f ca="1">IF(ISNUMBER(MATCH(DATEVALUE($A58),'recurring1_based on steps'!D$1:D$400,0)),D$2,)</f>
        <v>0</v>
      </c>
      <c r="E58" s="179">
        <f ca="1">IF(ISNUMBER(MATCH(DATEVALUE($A58),'recurring1_based on steps'!E$1:E$400,0)),E$2,)</f>
        <v>0</v>
      </c>
      <c r="F58" s="179">
        <f ca="1">IF(ISNUMBER(MATCH(DATEVALUE($A58),'recurring1_based on steps'!F$1:F$400,0)),F$2,)</f>
        <v>0</v>
      </c>
      <c r="G58" s="179">
        <f ca="1">IF(ISNUMBER(MATCH(DATEVALUE($A58),'recurring1_based on steps'!G$1:G$400,0)),G$2,)</f>
        <v>0</v>
      </c>
      <c r="H58" s="179">
        <f ca="1">IF(ISNUMBER(MATCH(DATEVALUE($A58),'recurring1_based on steps'!H$1:H$400,0)),H$2,)</f>
        <v>0</v>
      </c>
      <c r="I58" s="179">
        <f ca="1">IF(ISNUMBER(MATCH(DATEVALUE($A58),'recurring1_based on steps'!I$1:I$400,0)),I$2,)</f>
        <v>0</v>
      </c>
      <c r="J58" s="179">
        <f ca="1">IF(ISNUMBER(MATCH(DATEVALUE($A58),'recurring1_based on steps'!J$1:J$400,0)),J$2,)</f>
        <v>0</v>
      </c>
      <c r="K58" s="179">
        <f ca="1">IF(ISNUMBER(MATCH(DATEVALUE($A58),'recurring1_based on steps'!K$1:K$400,0)),K$2,)</f>
        <v>0</v>
      </c>
      <c r="L58" s="179">
        <f ca="1">IF(ISNUMBER(MATCH(DATEVALUE($A58),'recurring1_based on steps'!L$1:L$400,0)),L$2,)</f>
        <v>0</v>
      </c>
      <c r="M58" s="179">
        <f ca="1">IF(ISNUMBER(MATCH(DATEVALUE($A58),'recurring1_based on steps'!M$1:M$400,0)),M$2,)</f>
        <v>0</v>
      </c>
      <c r="N58" s="179">
        <f ca="1">IF(ISNUMBER(MATCH(DATEVALUE($A58),'recurring1_based on steps'!N$1:N$400,0)),N$2,)</f>
        <v>0</v>
      </c>
      <c r="O58" s="179">
        <f ca="1">IF(ISNUMBER(MATCH(DATEVALUE($A58),'recurring1_based on steps'!O$1:O$400,0)),O$2,)</f>
        <v>0</v>
      </c>
      <c r="P58" s="179">
        <f ca="1">IF(ISNUMBER(MATCH(DATEVALUE($A58),'recurring1_based on steps'!P$1:P$400,0)),P$2,)</f>
        <v>0</v>
      </c>
      <c r="Q58" s="179">
        <f ca="1">IF(ISNUMBER(MATCH(DATEVALUE($A58),'recurring1_based on steps'!Q$1:Q$400,0)),Q$2,)</f>
        <v>0</v>
      </c>
      <c r="R58" s="179">
        <f ca="1">IF(ISNUMBER(MATCH(DATEVALUE($A58),'recurring1_based on steps'!R$1:R$400,0)),R$2,)</f>
        <v>0</v>
      </c>
      <c r="S58" s="179">
        <f ca="1">IF(ISNUMBER(MATCH(DATEVALUE($A58),'recurring1_based on steps'!S$1:S$400,0)),S$2,)</f>
        <v>0</v>
      </c>
      <c r="T58" s="179">
        <f ca="1">IF(ISNUMBER(MATCH(DATEVALUE($A58),'recurring1_based on steps'!T$1:T$400,0)),T$2,)</f>
        <v>0</v>
      </c>
      <c r="U58" s="179">
        <f ca="1">IF(ISNUMBER(MATCH(DATEVALUE($A58),'recurring1_based on steps'!U$1:U$400,0)),U$2,)</f>
        <v>0</v>
      </c>
      <c r="V58" s="179">
        <f ca="1">IF(ISNUMBER(MATCH(DATEVALUE($A58),'recurring1_based on steps'!V$1:V$400,0)),V$2,)</f>
        <v>0</v>
      </c>
      <c r="W58" s="179">
        <f ca="1">IF(ISNUMBER(MATCH(DATEVALUE($A58),'recurring1_based on steps'!W$1:W$400,0)),W$2,)</f>
        <v>0</v>
      </c>
      <c r="X58" s="179">
        <f ca="1">IF(ISNUMBER(MATCH(DATEVALUE($A58),'recurring1_based on steps'!X$1:X$400,0)),X$2,)</f>
        <v>0</v>
      </c>
      <c r="Y58" s="179">
        <f ca="1">IF(ISNUMBER(MATCH(DATEVALUE($A58),'recurring1_based on steps'!Y$1:Y$400,0)),Y$2,)</f>
        <v>0</v>
      </c>
      <c r="Z58" s="179">
        <f ca="1">IF(ISNUMBER(MATCH(DATEVALUE($A58),'recurring1_based on steps'!Z$1:Z$400,0)),Z$2,)</f>
        <v>0</v>
      </c>
      <c r="AA58" s="179">
        <f ca="1">IF(ISNUMBER(MATCH(DATEVALUE($A58),'recurring1_based on steps'!AA$1:AA$400,0)),AA$2,)</f>
        <v>0</v>
      </c>
      <c r="AB58" s="179">
        <f ca="1">IF(ISNUMBER(MATCH(DATEVALUE($A58),'recurring1_based on steps'!AB$1:AB$400,0)),AB$2,)</f>
        <v>0</v>
      </c>
      <c r="AC58" s="179">
        <f ca="1">IF(ISNUMBER(MATCH(DATEVALUE($A58),'recurring1_based on steps'!AC$1:AC$400,0)),AC$2,)</f>
        <v>0</v>
      </c>
      <c r="AD58" s="179">
        <f ca="1">IF(ISNUMBER(MATCH(DATEVALUE($A58),'recurring1_based on steps'!AD$1:AD$400,0)),AD$2,)</f>
        <v>0</v>
      </c>
      <c r="AE58" s="179">
        <f ca="1">IF(ISNUMBER(MATCH(DATEVALUE($A58),'recurring1_based on steps'!AE$1:AE$400,0)),AE$2,)</f>
        <v>0</v>
      </c>
      <c r="AF58" s="179">
        <f ca="1">IF(ISNUMBER(MATCH(DATEVALUE($A58),'recurring1_based on steps'!AF$1:AF$400,0)),AF$2,)</f>
        <v>0</v>
      </c>
      <c r="AG58" s="179">
        <f ca="1">IF(ISNUMBER(MATCH(DATEVALUE($A58),'recurring1_based on steps'!AG$1:AG$400,0)),AG$2,)</f>
        <v>0</v>
      </c>
      <c r="AH58" s="179">
        <f ca="1">IF(ISNUMBER(MATCH(DATEVALUE($A58),'recurring1_based on steps'!AH$1:AH$400,0)),AH$2,)</f>
        <v>0</v>
      </c>
      <c r="AI58" s="179">
        <f ca="1">IF(ISNUMBER(MATCH(DATEVALUE($A58),'recurring1_based on steps'!AI$1:AI$400,0)),AI$2,)</f>
        <v>0</v>
      </c>
      <c r="AJ58" s="179">
        <f ca="1">IF(ISNUMBER(MATCH(DATEVALUE($A58),'recurring1_based on steps'!AJ$1:AJ$400,0)),AJ$2,)</f>
        <v>0</v>
      </c>
      <c r="AK58" s="179">
        <f ca="1">IF(ISNUMBER(MATCH(DATEVALUE($A58),'recurring1_based on steps'!AK$1:AK$400,0)),AK$2,)</f>
        <v>0</v>
      </c>
      <c r="AL58" s="179">
        <f ca="1">IF(ISNUMBER(MATCH(DATEVALUE($A58),'recurring1_based on steps'!AL$1:AL$400,0)),AL$2,)</f>
        <v>0</v>
      </c>
      <c r="AM58" s="179">
        <f ca="1">IF(ISNUMBER(MATCH(DATEVALUE($A58),'recurring1_based on steps'!AM$1:AM$400,0)),AM$2,)</f>
        <v>0</v>
      </c>
      <c r="AN58" s="179">
        <f ca="1">IF(ISNUMBER(MATCH(DATEVALUE($A58),'recurring1_based on steps'!AN$1:AN$400,0)),AN$2,)</f>
        <v>0</v>
      </c>
      <c r="AO58" s="179">
        <f ca="1">IF(ISNUMBER(MATCH(DATEVALUE($A58),'recurring1_based on steps'!AO$1:AO$400,0)),AO$2,)</f>
        <v>0</v>
      </c>
      <c r="AP58" s="179">
        <f ca="1">IF(ISNUMBER(MATCH(DATEVALUE($A58),'recurring1_based on steps'!AP$1:AP$400,0)),AP$2,)</f>
        <v>0</v>
      </c>
      <c r="AQ58" s="179">
        <f ca="1">IF(ISNUMBER(MATCH(DATEVALUE($A58),'recurring1_based on steps'!AQ$1:AQ$400,0)),AQ$2,)</f>
        <v>0</v>
      </c>
      <c r="AR58" s="179">
        <f ca="1">IF(ISNUMBER(MATCH(DATEVALUE($A58),'recurring1_based on steps'!AR$1:AR$400,0)),AR$2,)</f>
        <v>0</v>
      </c>
      <c r="AS58" s="179">
        <f ca="1">IF(ISNUMBER(MATCH(DATEVALUE($A58),'recurring1_based on steps'!AS$1:AS$400,0)),AS$2,)</f>
        <v>0</v>
      </c>
      <c r="AT58" s="179">
        <f ca="1">IF(ISNUMBER(MATCH(DATEVALUE($A58),'recurring1_based on steps'!AT$1:AT$400,0)),AT$2,)</f>
        <v>0</v>
      </c>
      <c r="AU58" s="179">
        <f ca="1">IF(ISNUMBER(MATCH(DATEVALUE($A58),'recurring1_based on steps'!AU$1:AU$400,0)),AU$2,)</f>
        <v>0</v>
      </c>
      <c r="AV58" s="179">
        <f ca="1">IF(ISNUMBER(MATCH(DATEVALUE($A58),'recurring1_based on steps'!AV$1:AV$400,0)),AV$2,)</f>
        <v>0</v>
      </c>
      <c r="AW58" s="179">
        <f ca="1">IF(ISNUMBER(MATCH(DATEVALUE($A58),'recurring1_based on steps'!AW$1:AW$400,0)),AW$2,)</f>
        <v>0</v>
      </c>
      <c r="AX58" s="179">
        <f ca="1">IF(ISNUMBER(MATCH(DATEVALUE($A58),'recurring1_based on steps'!AX$1:AX$400,0)),AX$2,)</f>
        <v>0</v>
      </c>
      <c r="AY58" s="179">
        <f ca="1">IF(ISNUMBER(MATCH(DATEVALUE($A58),'recurring1_based on steps'!AY$1:AY$400,0)),AY$2,)</f>
        <v>0</v>
      </c>
    </row>
    <row r="59" spans="1:51" x14ac:dyDescent="0.2">
      <c r="A59" s="32" t="str">
        <f t="shared" ca="1" si="0"/>
        <v>2025-05-31</v>
      </c>
      <c r="B59" s="179">
        <f ca="1">IF(ISNUMBER(MATCH(DATEVALUE($A59),'recurring1_based on steps'!B$1:B$400,0)),B$2,)</f>
        <v>0</v>
      </c>
      <c r="C59" s="179">
        <f ca="1">IF(ISNUMBER(MATCH(DATEVALUE($A59),'recurring1_based on steps'!C$1:C$400,0)),C$2,)</f>
        <v>0</v>
      </c>
      <c r="D59" s="179">
        <f ca="1">IF(ISNUMBER(MATCH(DATEVALUE($A59),'recurring1_based on steps'!D$1:D$400,0)),D$2,)</f>
        <v>0</v>
      </c>
      <c r="E59" s="179">
        <f ca="1">IF(ISNUMBER(MATCH(DATEVALUE($A59),'recurring1_based on steps'!E$1:E$400,0)),E$2,)</f>
        <v>0</v>
      </c>
      <c r="F59" s="179">
        <f ca="1">IF(ISNUMBER(MATCH(DATEVALUE($A59),'recurring1_based on steps'!F$1:F$400,0)),F$2,)</f>
        <v>0</v>
      </c>
      <c r="G59" s="179">
        <f ca="1">IF(ISNUMBER(MATCH(DATEVALUE($A59),'recurring1_based on steps'!G$1:G$400,0)),G$2,)</f>
        <v>0</v>
      </c>
      <c r="H59" s="179">
        <f ca="1">IF(ISNUMBER(MATCH(DATEVALUE($A59),'recurring1_based on steps'!H$1:H$400,0)),H$2,)</f>
        <v>0</v>
      </c>
      <c r="I59" s="179">
        <f ca="1">IF(ISNUMBER(MATCH(DATEVALUE($A59),'recurring1_based on steps'!I$1:I$400,0)),I$2,)</f>
        <v>0</v>
      </c>
      <c r="J59" s="179">
        <f ca="1">IF(ISNUMBER(MATCH(DATEVALUE($A59),'recurring1_based on steps'!J$1:J$400,0)),J$2,)</f>
        <v>0</v>
      </c>
      <c r="K59" s="179">
        <f ca="1">IF(ISNUMBER(MATCH(DATEVALUE($A59),'recurring1_based on steps'!K$1:K$400,0)),K$2,)</f>
        <v>0</v>
      </c>
      <c r="L59" s="179">
        <f ca="1">IF(ISNUMBER(MATCH(DATEVALUE($A59),'recurring1_based on steps'!L$1:L$400,0)),L$2,)</f>
        <v>0</v>
      </c>
      <c r="M59" s="179">
        <f ca="1">IF(ISNUMBER(MATCH(DATEVALUE($A59),'recurring1_based on steps'!M$1:M$400,0)),M$2,)</f>
        <v>0</v>
      </c>
      <c r="N59" s="179">
        <f ca="1">IF(ISNUMBER(MATCH(DATEVALUE($A59),'recurring1_based on steps'!N$1:N$400,0)),N$2,)</f>
        <v>0</v>
      </c>
      <c r="O59" s="179">
        <f ca="1">IF(ISNUMBER(MATCH(DATEVALUE($A59),'recurring1_based on steps'!O$1:O$400,0)),O$2,)</f>
        <v>0</v>
      </c>
      <c r="P59" s="179">
        <f ca="1">IF(ISNUMBER(MATCH(DATEVALUE($A59),'recurring1_based on steps'!P$1:P$400,0)),P$2,)</f>
        <v>0</v>
      </c>
      <c r="Q59" s="179">
        <f ca="1">IF(ISNUMBER(MATCH(DATEVALUE($A59),'recurring1_based on steps'!Q$1:Q$400,0)),Q$2,)</f>
        <v>0</v>
      </c>
      <c r="R59" s="179">
        <f ca="1">IF(ISNUMBER(MATCH(DATEVALUE($A59),'recurring1_based on steps'!R$1:R$400,0)),R$2,)</f>
        <v>0</v>
      </c>
      <c r="S59" s="179">
        <f ca="1">IF(ISNUMBER(MATCH(DATEVALUE($A59),'recurring1_based on steps'!S$1:S$400,0)),S$2,)</f>
        <v>0</v>
      </c>
      <c r="T59" s="179">
        <f ca="1">IF(ISNUMBER(MATCH(DATEVALUE($A59),'recurring1_based on steps'!T$1:T$400,0)),T$2,)</f>
        <v>0</v>
      </c>
      <c r="U59" s="179">
        <f ca="1">IF(ISNUMBER(MATCH(DATEVALUE($A59),'recurring1_based on steps'!U$1:U$400,0)),U$2,)</f>
        <v>0</v>
      </c>
      <c r="V59" s="179">
        <f ca="1">IF(ISNUMBER(MATCH(DATEVALUE($A59),'recurring1_based on steps'!V$1:V$400,0)),V$2,)</f>
        <v>0</v>
      </c>
      <c r="W59" s="179">
        <f ca="1">IF(ISNUMBER(MATCH(DATEVALUE($A59),'recurring1_based on steps'!W$1:W$400,0)),W$2,)</f>
        <v>0</v>
      </c>
      <c r="X59" s="179">
        <f ca="1">IF(ISNUMBER(MATCH(DATEVALUE($A59),'recurring1_based on steps'!X$1:X$400,0)),X$2,)</f>
        <v>0</v>
      </c>
      <c r="Y59" s="179">
        <f ca="1">IF(ISNUMBER(MATCH(DATEVALUE($A59),'recurring1_based on steps'!Y$1:Y$400,0)),Y$2,)</f>
        <v>0</v>
      </c>
      <c r="Z59" s="179">
        <f ca="1">IF(ISNUMBER(MATCH(DATEVALUE($A59),'recurring1_based on steps'!Z$1:Z$400,0)),Z$2,)</f>
        <v>0</v>
      </c>
      <c r="AA59" s="179">
        <f ca="1">IF(ISNUMBER(MATCH(DATEVALUE($A59),'recurring1_based on steps'!AA$1:AA$400,0)),AA$2,)</f>
        <v>0</v>
      </c>
      <c r="AB59" s="179">
        <f ca="1">IF(ISNUMBER(MATCH(DATEVALUE($A59),'recurring1_based on steps'!AB$1:AB$400,0)),AB$2,)</f>
        <v>0</v>
      </c>
      <c r="AC59" s="179">
        <f ca="1">IF(ISNUMBER(MATCH(DATEVALUE($A59),'recurring1_based on steps'!AC$1:AC$400,0)),AC$2,)</f>
        <v>0</v>
      </c>
      <c r="AD59" s="179">
        <f ca="1">IF(ISNUMBER(MATCH(DATEVALUE($A59),'recurring1_based on steps'!AD$1:AD$400,0)),AD$2,)</f>
        <v>0</v>
      </c>
      <c r="AE59" s="179">
        <f ca="1">IF(ISNUMBER(MATCH(DATEVALUE($A59),'recurring1_based on steps'!AE$1:AE$400,0)),AE$2,)</f>
        <v>0</v>
      </c>
      <c r="AF59" s="179">
        <f ca="1">IF(ISNUMBER(MATCH(DATEVALUE($A59),'recurring1_based on steps'!AF$1:AF$400,0)),AF$2,)</f>
        <v>0</v>
      </c>
      <c r="AG59" s="179">
        <f ca="1">IF(ISNUMBER(MATCH(DATEVALUE($A59),'recurring1_based on steps'!AG$1:AG$400,0)),AG$2,)</f>
        <v>0</v>
      </c>
      <c r="AH59" s="179">
        <f ca="1">IF(ISNUMBER(MATCH(DATEVALUE($A59),'recurring1_based on steps'!AH$1:AH$400,0)),AH$2,)</f>
        <v>0</v>
      </c>
      <c r="AI59" s="179">
        <f ca="1">IF(ISNUMBER(MATCH(DATEVALUE($A59),'recurring1_based on steps'!AI$1:AI$400,0)),AI$2,)</f>
        <v>0</v>
      </c>
      <c r="AJ59" s="179">
        <f ca="1">IF(ISNUMBER(MATCH(DATEVALUE($A59),'recurring1_based on steps'!AJ$1:AJ$400,0)),AJ$2,)</f>
        <v>0</v>
      </c>
      <c r="AK59" s="179">
        <f ca="1">IF(ISNUMBER(MATCH(DATEVALUE($A59),'recurring1_based on steps'!AK$1:AK$400,0)),AK$2,)</f>
        <v>0</v>
      </c>
      <c r="AL59" s="179">
        <f ca="1">IF(ISNUMBER(MATCH(DATEVALUE($A59),'recurring1_based on steps'!AL$1:AL$400,0)),AL$2,)</f>
        <v>0</v>
      </c>
      <c r="AM59" s="179">
        <f ca="1">IF(ISNUMBER(MATCH(DATEVALUE($A59),'recurring1_based on steps'!AM$1:AM$400,0)),AM$2,)</f>
        <v>0</v>
      </c>
      <c r="AN59" s="179">
        <f ca="1">IF(ISNUMBER(MATCH(DATEVALUE($A59),'recurring1_based on steps'!AN$1:AN$400,0)),AN$2,)</f>
        <v>0</v>
      </c>
      <c r="AO59" s="179">
        <f ca="1">IF(ISNUMBER(MATCH(DATEVALUE($A59),'recurring1_based on steps'!AO$1:AO$400,0)),AO$2,)</f>
        <v>0</v>
      </c>
      <c r="AP59" s="179">
        <f ca="1">IF(ISNUMBER(MATCH(DATEVALUE($A59),'recurring1_based on steps'!AP$1:AP$400,0)),AP$2,)</f>
        <v>0</v>
      </c>
      <c r="AQ59" s="179">
        <f ca="1">IF(ISNUMBER(MATCH(DATEVALUE($A59),'recurring1_based on steps'!AQ$1:AQ$400,0)),AQ$2,)</f>
        <v>0</v>
      </c>
      <c r="AR59" s="179">
        <f ca="1">IF(ISNUMBER(MATCH(DATEVALUE($A59),'recurring1_based on steps'!AR$1:AR$400,0)),AR$2,)</f>
        <v>0</v>
      </c>
      <c r="AS59" s="179">
        <f ca="1">IF(ISNUMBER(MATCH(DATEVALUE($A59),'recurring1_based on steps'!AS$1:AS$400,0)),AS$2,)</f>
        <v>0</v>
      </c>
      <c r="AT59" s="179">
        <f ca="1">IF(ISNUMBER(MATCH(DATEVALUE($A59),'recurring1_based on steps'!AT$1:AT$400,0)),AT$2,)</f>
        <v>0</v>
      </c>
      <c r="AU59" s="179">
        <f ca="1">IF(ISNUMBER(MATCH(DATEVALUE($A59),'recurring1_based on steps'!AU$1:AU$400,0)),AU$2,)</f>
        <v>0</v>
      </c>
      <c r="AV59" s="179">
        <f ca="1">IF(ISNUMBER(MATCH(DATEVALUE($A59),'recurring1_based on steps'!AV$1:AV$400,0)),AV$2,)</f>
        <v>0</v>
      </c>
      <c r="AW59" s="179">
        <f ca="1">IF(ISNUMBER(MATCH(DATEVALUE($A59),'recurring1_based on steps'!AW$1:AW$400,0)),AW$2,)</f>
        <v>0</v>
      </c>
      <c r="AX59" s="179">
        <f ca="1">IF(ISNUMBER(MATCH(DATEVALUE($A59),'recurring1_based on steps'!AX$1:AX$400,0)),AX$2,)</f>
        <v>0</v>
      </c>
      <c r="AY59" s="179">
        <f ca="1">IF(ISNUMBER(MATCH(DATEVALUE($A59),'recurring1_based on steps'!AY$1:AY$400,0)),AY$2,)</f>
        <v>0</v>
      </c>
    </row>
    <row r="60" spans="1:51" x14ac:dyDescent="0.2">
      <c r="A60" s="32" t="str">
        <f t="shared" ca="1" si="0"/>
        <v>2025-06-01</v>
      </c>
      <c r="B60" s="179">
        <f ca="1">IF(ISNUMBER(MATCH(DATEVALUE($A60),'recurring1_based on steps'!B$1:B$400,0)),B$2,)</f>
        <v>0</v>
      </c>
      <c r="C60" s="179">
        <f ca="1">IF(ISNUMBER(MATCH(DATEVALUE($A60),'recurring1_based on steps'!C$1:C$400,0)),C$2,)</f>
        <v>0</v>
      </c>
      <c r="D60" s="179">
        <f ca="1">IF(ISNUMBER(MATCH(DATEVALUE($A60),'recurring1_based on steps'!D$1:D$400,0)),D$2,)</f>
        <v>0</v>
      </c>
      <c r="E60" s="179">
        <f ca="1">IF(ISNUMBER(MATCH(DATEVALUE($A60),'recurring1_based on steps'!E$1:E$400,0)),E$2,)</f>
        <v>0</v>
      </c>
      <c r="F60" s="179">
        <f ca="1">IF(ISNUMBER(MATCH(DATEVALUE($A60),'recurring1_based on steps'!F$1:F$400,0)),F$2,)</f>
        <v>0</v>
      </c>
      <c r="G60" s="179">
        <f ca="1">IF(ISNUMBER(MATCH(DATEVALUE($A60),'recurring1_based on steps'!G$1:G$400,0)),G$2,)</f>
        <v>0</v>
      </c>
      <c r="H60" s="179">
        <f ca="1">IF(ISNUMBER(MATCH(DATEVALUE($A60),'recurring1_based on steps'!H$1:H$400,0)),H$2,)</f>
        <v>0</v>
      </c>
      <c r="I60" s="179">
        <f ca="1">IF(ISNUMBER(MATCH(DATEVALUE($A60),'recurring1_based on steps'!I$1:I$400,0)),I$2,)</f>
        <v>0</v>
      </c>
      <c r="J60" s="179">
        <f ca="1">IF(ISNUMBER(MATCH(DATEVALUE($A60),'recurring1_based on steps'!J$1:J$400,0)),J$2,)</f>
        <v>0</v>
      </c>
      <c r="K60" s="179">
        <f ca="1">IF(ISNUMBER(MATCH(DATEVALUE($A60),'recurring1_based on steps'!K$1:K$400,0)),K$2,)</f>
        <v>0</v>
      </c>
      <c r="L60" s="179">
        <f ca="1">IF(ISNUMBER(MATCH(DATEVALUE($A60),'recurring1_based on steps'!L$1:L$400,0)),L$2,)</f>
        <v>0</v>
      </c>
      <c r="M60" s="179">
        <f ca="1">IF(ISNUMBER(MATCH(DATEVALUE($A60),'recurring1_based on steps'!M$1:M$400,0)),M$2,)</f>
        <v>0</v>
      </c>
      <c r="N60" s="179">
        <f ca="1">IF(ISNUMBER(MATCH(DATEVALUE($A60),'recurring1_based on steps'!N$1:N$400,0)),N$2,)</f>
        <v>0</v>
      </c>
      <c r="O60" s="179">
        <f ca="1">IF(ISNUMBER(MATCH(DATEVALUE($A60),'recurring1_based on steps'!O$1:O$400,0)),O$2,)</f>
        <v>0</v>
      </c>
      <c r="P60" s="179">
        <f ca="1">IF(ISNUMBER(MATCH(DATEVALUE($A60),'recurring1_based on steps'!P$1:P$400,0)),P$2,)</f>
        <v>0</v>
      </c>
      <c r="Q60" s="179">
        <f ca="1">IF(ISNUMBER(MATCH(DATEVALUE($A60),'recurring1_based on steps'!Q$1:Q$400,0)),Q$2,)</f>
        <v>0</v>
      </c>
      <c r="R60" s="179">
        <f ca="1">IF(ISNUMBER(MATCH(DATEVALUE($A60),'recurring1_based on steps'!R$1:R$400,0)),R$2,)</f>
        <v>0</v>
      </c>
      <c r="S60" s="179">
        <f ca="1">IF(ISNUMBER(MATCH(DATEVALUE($A60),'recurring1_based on steps'!S$1:S$400,0)),S$2,)</f>
        <v>0</v>
      </c>
      <c r="T60" s="179">
        <f ca="1">IF(ISNUMBER(MATCH(DATEVALUE($A60),'recurring1_based on steps'!T$1:T$400,0)),T$2,)</f>
        <v>0</v>
      </c>
      <c r="U60" s="179">
        <f ca="1">IF(ISNUMBER(MATCH(DATEVALUE($A60),'recurring1_based on steps'!U$1:U$400,0)),U$2,)</f>
        <v>0</v>
      </c>
      <c r="V60" s="179">
        <f ca="1">IF(ISNUMBER(MATCH(DATEVALUE($A60),'recurring1_based on steps'!V$1:V$400,0)),V$2,)</f>
        <v>0</v>
      </c>
      <c r="W60" s="179">
        <f ca="1">IF(ISNUMBER(MATCH(DATEVALUE($A60),'recurring1_based on steps'!W$1:W$400,0)),W$2,)</f>
        <v>0</v>
      </c>
      <c r="X60" s="179">
        <f ca="1">IF(ISNUMBER(MATCH(DATEVALUE($A60),'recurring1_based on steps'!X$1:X$400,0)),X$2,)</f>
        <v>0</v>
      </c>
      <c r="Y60" s="179">
        <f ca="1">IF(ISNUMBER(MATCH(DATEVALUE($A60),'recurring1_based on steps'!Y$1:Y$400,0)),Y$2,)</f>
        <v>0</v>
      </c>
      <c r="Z60" s="179">
        <f ca="1">IF(ISNUMBER(MATCH(DATEVALUE($A60),'recurring1_based on steps'!Z$1:Z$400,0)),Z$2,)</f>
        <v>0</v>
      </c>
      <c r="AA60" s="179">
        <f ca="1">IF(ISNUMBER(MATCH(DATEVALUE($A60),'recurring1_based on steps'!AA$1:AA$400,0)),AA$2,)</f>
        <v>0</v>
      </c>
      <c r="AB60" s="179">
        <f ca="1">IF(ISNUMBER(MATCH(DATEVALUE($A60),'recurring1_based on steps'!AB$1:AB$400,0)),AB$2,)</f>
        <v>0</v>
      </c>
      <c r="AC60" s="179">
        <f ca="1">IF(ISNUMBER(MATCH(DATEVALUE($A60),'recurring1_based on steps'!AC$1:AC$400,0)),AC$2,)</f>
        <v>0</v>
      </c>
      <c r="AD60" s="179">
        <f ca="1">IF(ISNUMBER(MATCH(DATEVALUE($A60),'recurring1_based on steps'!AD$1:AD$400,0)),AD$2,)</f>
        <v>0</v>
      </c>
      <c r="AE60" s="179">
        <f ca="1">IF(ISNUMBER(MATCH(DATEVALUE($A60),'recurring1_based on steps'!AE$1:AE$400,0)),AE$2,)</f>
        <v>0</v>
      </c>
      <c r="AF60" s="179">
        <f ca="1">IF(ISNUMBER(MATCH(DATEVALUE($A60),'recurring1_based on steps'!AF$1:AF$400,0)),AF$2,)</f>
        <v>0</v>
      </c>
      <c r="AG60" s="179">
        <f ca="1">IF(ISNUMBER(MATCH(DATEVALUE($A60),'recurring1_based on steps'!AG$1:AG$400,0)),AG$2,)</f>
        <v>0</v>
      </c>
      <c r="AH60" s="179">
        <f ca="1">IF(ISNUMBER(MATCH(DATEVALUE($A60),'recurring1_based on steps'!AH$1:AH$400,0)),AH$2,)</f>
        <v>0</v>
      </c>
      <c r="AI60" s="179">
        <f ca="1">IF(ISNUMBER(MATCH(DATEVALUE($A60),'recurring1_based on steps'!AI$1:AI$400,0)),AI$2,)</f>
        <v>0</v>
      </c>
      <c r="AJ60" s="179">
        <f ca="1">IF(ISNUMBER(MATCH(DATEVALUE($A60),'recurring1_based on steps'!AJ$1:AJ$400,0)),AJ$2,)</f>
        <v>0</v>
      </c>
      <c r="AK60" s="179">
        <f ca="1">IF(ISNUMBER(MATCH(DATEVALUE($A60),'recurring1_based on steps'!AK$1:AK$400,0)),AK$2,)</f>
        <v>0</v>
      </c>
      <c r="AL60" s="179">
        <f ca="1">IF(ISNUMBER(MATCH(DATEVALUE($A60),'recurring1_based on steps'!AL$1:AL$400,0)),AL$2,)</f>
        <v>0</v>
      </c>
      <c r="AM60" s="179">
        <f ca="1">IF(ISNUMBER(MATCH(DATEVALUE($A60),'recurring1_based on steps'!AM$1:AM$400,0)),AM$2,)</f>
        <v>0</v>
      </c>
      <c r="AN60" s="179">
        <f ca="1">IF(ISNUMBER(MATCH(DATEVALUE($A60),'recurring1_based on steps'!AN$1:AN$400,0)),AN$2,)</f>
        <v>0</v>
      </c>
      <c r="AO60" s="179">
        <f ca="1">IF(ISNUMBER(MATCH(DATEVALUE($A60),'recurring1_based on steps'!AO$1:AO$400,0)),AO$2,)</f>
        <v>0</v>
      </c>
      <c r="AP60" s="179">
        <f ca="1">IF(ISNUMBER(MATCH(DATEVALUE($A60),'recurring1_based on steps'!AP$1:AP$400,0)),AP$2,)</f>
        <v>0</v>
      </c>
      <c r="AQ60" s="179">
        <f ca="1">IF(ISNUMBER(MATCH(DATEVALUE($A60),'recurring1_based on steps'!AQ$1:AQ$400,0)),AQ$2,)</f>
        <v>0</v>
      </c>
      <c r="AR60" s="179">
        <f ca="1">IF(ISNUMBER(MATCH(DATEVALUE($A60),'recurring1_based on steps'!AR$1:AR$400,0)),AR$2,)</f>
        <v>0</v>
      </c>
      <c r="AS60" s="179">
        <f ca="1">IF(ISNUMBER(MATCH(DATEVALUE($A60),'recurring1_based on steps'!AS$1:AS$400,0)),AS$2,)</f>
        <v>0</v>
      </c>
      <c r="AT60" s="179">
        <f ca="1">IF(ISNUMBER(MATCH(DATEVALUE($A60),'recurring1_based on steps'!AT$1:AT$400,0)),AT$2,)</f>
        <v>0</v>
      </c>
      <c r="AU60" s="179">
        <f ca="1">IF(ISNUMBER(MATCH(DATEVALUE($A60),'recurring1_based on steps'!AU$1:AU$400,0)),AU$2,)</f>
        <v>0</v>
      </c>
      <c r="AV60" s="179">
        <f ca="1">IF(ISNUMBER(MATCH(DATEVALUE($A60),'recurring1_based on steps'!AV$1:AV$400,0)),AV$2,)</f>
        <v>0</v>
      </c>
      <c r="AW60" s="179">
        <f ca="1">IF(ISNUMBER(MATCH(DATEVALUE($A60),'recurring1_based on steps'!AW$1:AW$400,0)),AW$2,)</f>
        <v>0</v>
      </c>
      <c r="AX60" s="179">
        <f ca="1">IF(ISNUMBER(MATCH(DATEVALUE($A60),'recurring1_based on steps'!AX$1:AX$400,0)),AX$2,)</f>
        <v>0</v>
      </c>
      <c r="AY60" s="179">
        <f ca="1">IF(ISNUMBER(MATCH(DATEVALUE($A60),'recurring1_based on steps'!AY$1:AY$400,0)),AY$2,)</f>
        <v>0</v>
      </c>
    </row>
    <row r="61" spans="1:51" x14ac:dyDescent="0.2">
      <c r="A61" s="32" t="str">
        <f t="shared" ca="1" si="0"/>
        <v>2025-06-02</v>
      </c>
      <c r="B61" s="179">
        <f ca="1">IF(ISNUMBER(MATCH(DATEVALUE($A61),'recurring1_based on steps'!B$1:B$400,0)),B$2,)</f>
        <v>0</v>
      </c>
      <c r="C61" s="179">
        <f ca="1">IF(ISNUMBER(MATCH(DATEVALUE($A61),'recurring1_based on steps'!C$1:C$400,0)),C$2,)</f>
        <v>0</v>
      </c>
      <c r="D61" s="179">
        <f ca="1">IF(ISNUMBER(MATCH(DATEVALUE($A61),'recurring1_based on steps'!D$1:D$400,0)),D$2,)</f>
        <v>0</v>
      </c>
      <c r="E61" s="179">
        <f ca="1">IF(ISNUMBER(MATCH(DATEVALUE($A61),'recurring1_based on steps'!E$1:E$400,0)),E$2,)</f>
        <v>0</v>
      </c>
      <c r="F61" s="179">
        <f ca="1">IF(ISNUMBER(MATCH(DATEVALUE($A61),'recurring1_based on steps'!F$1:F$400,0)),F$2,)</f>
        <v>0</v>
      </c>
      <c r="G61" s="179">
        <f ca="1">IF(ISNUMBER(MATCH(DATEVALUE($A61),'recurring1_based on steps'!G$1:G$400,0)),G$2,)</f>
        <v>0</v>
      </c>
      <c r="H61" s="179">
        <f ca="1">IF(ISNUMBER(MATCH(DATEVALUE($A61),'recurring1_based on steps'!H$1:H$400,0)),H$2,)</f>
        <v>0</v>
      </c>
      <c r="I61" s="179">
        <f ca="1">IF(ISNUMBER(MATCH(DATEVALUE($A61),'recurring1_based on steps'!I$1:I$400,0)),I$2,)</f>
        <v>0</v>
      </c>
      <c r="J61" s="179">
        <f ca="1">IF(ISNUMBER(MATCH(DATEVALUE($A61),'recurring1_based on steps'!J$1:J$400,0)),J$2,)</f>
        <v>0</v>
      </c>
      <c r="K61" s="179">
        <f ca="1">IF(ISNUMBER(MATCH(DATEVALUE($A61),'recurring1_based on steps'!K$1:K$400,0)),K$2,)</f>
        <v>0</v>
      </c>
      <c r="L61" s="179">
        <f ca="1">IF(ISNUMBER(MATCH(DATEVALUE($A61),'recurring1_based on steps'!L$1:L$400,0)),L$2,)</f>
        <v>0</v>
      </c>
      <c r="M61" s="179">
        <f ca="1">IF(ISNUMBER(MATCH(DATEVALUE($A61),'recurring1_based on steps'!M$1:M$400,0)),M$2,)</f>
        <v>0</v>
      </c>
      <c r="N61" s="179">
        <f ca="1">IF(ISNUMBER(MATCH(DATEVALUE($A61),'recurring1_based on steps'!N$1:N$400,0)),N$2,)</f>
        <v>0</v>
      </c>
      <c r="O61" s="179">
        <f ca="1">IF(ISNUMBER(MATCH(DATEVALUE($A61),'recurring1_based on steps'!O$1:O$400,0)),O$2,)</f>
        <v>0</v>
      </c>
      <c r="P61" s="179">
        <f ca="1">IF(ISNUMBER(MATCH(DATEVALUE($A61),'recurring1_based on steps'!P$1:P$400,0)),P$2,)</f>
        <v>0</v>
      </c>
      <c r="Q61" s="179">
        <f ca="1">IF(ISNUMBER(MATCH(DATEVALUE($A61),'recurring1_based on steps'!Q$1:Q$400,0)),Q$2,)</f>
        <v>0</v>
      </c>
      <c r="R61" s="179">
        <f ca="1">IF(ISNUMBER(MATCH(DATEVALUE($A61),'recurring1_based on steps'!R$1:R$400,0)),R$2,)</f>
        <v>0</v>
      </c>
      <c r="S61" s="179">
        <f ca="1">IF(ISNUMBER(MATCH(DATEVALUE($A61),'recurring1_based on steps'!S$1:S$400,0)),S$2,)</f>
        <v>0</v>
      </c>
      <c r="T61" s="179">
        <f ca="1">IF(ISNUMBER(MATCH(DATEVALUE($A61),'recurring1_based on steps'!T$1:T$400,0)),T$2,)</f>
        <v>0</v>
      </c>
      <c r="U61" s="179">
        <f ca="1">IF(ISNUMBER(MATCH(DATEVALUE($A61),'recurring1_based on steps'!U$1:U$400,0)),U$2,)</f>
        <v>0</v>
      </c>
      <c r="V61" s="179">
        <f ca="1">IF(ISNUMBER(MATCH(DATEVALUE($A61),'recurring1_based on steps'!V$1:V$400,0)),V$2,)</f>
        <v>0</v>
      </c>
      <c r="W61" s="179">
        <f ca="1">IF(ISNUMBER(MATCH(DATEVALUE($A61),'recurring1_based on steps'!W$1:W$400,0)),W$2,)</f>
        <v>0</v>
      </c>
      <c r="X61" s="179">
        <f ca="1">IF(ISNUMBER(MATCH(DATEVALUE($A61),'recurring1_based on steps'!X$1:X$400,0)),X$2,)</f>
        <v>0</v>
      </c>
      <c r="Y61" s="179">
        <f ca="1">IF(ISNUMBER(MATCH(DATEVALUE($A61),'recurring1_based on steps'!Y$1:Y$400,0)),Y$2,)</f>
        <v>0</v>
      </c>
      <c r="Z61" s="179">
        <f ca="1">IF(ISNUMBER(MATCH(DATEVALUE($A61),'recurring1_based on steps'!Z$1:Z$400,0)),Z$2,)</f>
        <v>0</v>
      </c>
      <c r="AA61" s="179">
        <f ca="1">IF(ISNUMBER(MATCH(DATEVALUE($A61),'recurring1_based on steps'!AA$1:AA$400,0)),AA$2,)</f>
        <v>0</v>
      </c>
      <c r="AB61" s="179">
        <f ca="1">IF(ISNUMBER(MATCH(DATEVALUE($A61),'recurring1_based on steps'!AB$1:AB$400,0)),AB$2,)</f>
        <v>0</v>
      </c>
      <c r="AC61" s="179">
        <f ca="1">IF(ISNUMBER(MATCH(DATEVALUE($A61),'recurring1_based on steps'!AC$1:AC$400,0)),AC$2,)</f>
        <v>0</v>
      </c>
      <c r="AD61" s="179">
        <f ca="1">IF(ISNUMBER(MATCH(DATEVALUE($A61),'recurring1_based on steps'!AD$1:AD$400,0)),AD$2,)</f>
        <v>0</v>
      </c>
      <c r="AE61" s="179">
        <f ca="1">IF(ISNUMBER(MATCH(DATEVALUE($A61),'recurring1_based on steps'!AE$1:AE$400,0)),AE$2,)</f>
        <v>0</v>
      </c>
      <c r="AF61" s="179">
        <f ca="1">IF(ISNUMBER(MATCH(DATEVALUE($A61),'recurring1_based on steps'!AF$1:AF$400,0)),AF$2,)</f>
        <v>0</v>
      </c>
      <c r="AG61" s="179">
        <f ca="1">IF(ISNUMBER(MATCH(DATEVALUE($A61),'recurring1_based on steps'!AG$1:AG$400,0)),AG$2,)</f>
        <v>0</v>
      </c>
      <c r="AH61" s="179">
        <f ca="1">IF(ISNUMBER(MATCH(DATEVALUE($A61),'recurring1_based on steps'!AH$1:AH$400,0)),AH$2,)</f>
        <v>0</v>
      </c>
      <c r="AI61" s="179">
        <f ca="1">IF(ISNUMBER(MATCH(DATEVALUE($A61),'recurring1_based on steps'!AI$1:AI$400,0)),AI$2,)</f>
        <v>0</v>
      </c>
      <c r="AJ61" s="179">
        <f ca="1">IF(ISNUMBER(MATCH(DATEVALUE($A61),'recurring1_based on steps'!AJ$1:AJ$400,0)),AJ$2,)</f>
        <v>0</v>
      </c>
      <c r="AK61" s="179">
        <f ca="1">IF(ISNUMBER(MATCH(DATEVALUE($A61),'recurring1_based on steps'!AK$1:AK$400,0)),AK$2,)</f>
        <v>0</v>
      </c>
      <c r="AL61" s="179">
        <f ca="1">IF(ISNUMBER(MATCH(DATEVALUE($A61),'recurring1_based on steps'!AL$1:AL$400,0)),AL$2,)</f>
        <v>0</v>
      </c>
      <c r="AM61" s="179">
        <f ca="1">IF(ISNUMBER(MATCH(DATEVALUE($A61),'recurring1_based on steps'!AM$1:AM$400,0)),AM$2,)</f>
        <v>0</v>
      </c>
      <c r="AN61" s="179">
        <f ca="1">IF(ISNUMBER(MATCH(DATEVALUE($A61),'recurring1_based on steps'!AN$1:AN$400,0)),AN$2,)</f>
        <v>0</v>
      </c>
      <c r="AO61" s="179">
        <f ca="1">IF(ISNUMBER(MATCH(DATEVALUE($A61),'recurring1_based on steps'!AO$1:AO$400,0)),AO$2,)</f>
        <v>0</v>
      </c>
      <c r="AP61" s="179">
        <f ca="1">IF(ISNUMBER(MATCH(DATEVALUE($A61),'recurring1_based on steps'!AP$1:AP$400,0)),AP$2,)</f>
        <v>0</v>
      </c>
      <c r="AQ61" s="179">
        <f ca="1">IF(ISNUMBER(MATCH(DATEVALUE($A61),'recurring1_based on steps'!AQ$1:AQ$400,0)),AQ$2,)</f>
        <v>0</v>
      </c>
      <c r="AR61" s="179">
        <f ca="1">IF(ISNUMBER(MATCH(DATEVALUE($A61),'recurring1_based on steps'!AR$1:AR$400,0)),AR$2,)</f>
        <v>0</v>
      </c>
      <c r="AS61" s="179">
        <f ca="1">IF(ISNUMBER(MATCH(DATEVALUE($A61),'recurring1_based on steps'!AS$1:AS$400,0)),AS$2,)</f>
        <v>0</v>
      </c>
      <c r="AT61" s="179">
        <f ca="1">IF(ISNUMBER(MATCH(DATEVALUE($A61),'recurring1_based on steps'!AT$1:AT$400,0)),AT$2,)</f>
        <v>0</v>
      </c>
      <c r="AU61" s="179">
        <f ca="1">IF(ISNUMBER(MATCH(DATEVALUE($A61),'recurring1_based on steps'!AU$1:AU$400,0)),AU$2,)</f>
        <v>0</v>
      </c>
      <c r="AV61" s="179">
        <f ca="1">IF(ISNUMBER(MATCH(DATEVALUE($A61),'recurring1_based on steps'!AV$1:AV$400,0)),AV$2,)</f>
        <v>0</v>
      </c>
      <c r="AW61" s="179">
        <f ca="1">IF(ISNUMBER(MATCH(DATEVALUE($A61),'recurring1_based on steps'!AW$1:AW$400,0)),AW$2,)</f>
        <v>0</v>
      </c>
      <c r="AX61" s="179">
        <f ca="1">IF(ISNUMBER(MATCH(DATEVALUE($A61),'recurring1_based on steps'!AX$1:AX$400,0)),AX$2,)</f>
        <v>0</v>
      </c>
      <c r="AY61" s="179">
        <f ca="1">IF(ISNUMBER(MATCH(DATEVALUE($A61),'recurring1_based on steps'!AY$1:AY$400,0)),AY$2,)</f>
        <v>0</v>
      </c>
    </row>
    <row r="62" spans="1:51" x14ac:dyDescent="0.2">
      <c r="A62" s="32" t="str">
        <f t="shared" ca="1" si="0"/>
        <v>2025-06-03</v>
      </c>
      <c r="B62" s="179">
        <f ca="1">IF(ISNUMBER(MATCH(DATEVALUE($A62),'recurring1_based on steps'!B$1:B$400,0)),B$2,)</f>
        <v>0</v>
      </c>
      <c r="C62" s="179">
        <f ca="1">IF(ISNUMBER(MATCH(DATEVALUE($A62),'recurring1_based on steps'!C$1:C$400,0)),C$2,)</f>
        <v>0</v>
      </c>
      <c r="D62" s="179">
        <f ca="1">IF(ISNUMBER(MATCH(DATEVALUE($A62),'recurring1_based on steps'!D$1:D$400,0)),D$2,)</f>
        <v>0</v>
      </c>
      <c r="E62" s="179">
        <f ca="1">IF(ISNUMBER(MATCH(DATEVALUE($A62),'recurring1_based on steps'!E$1:E$400,0)),E$2,)</f>
        <v>0</v>
      </c>
      <c r="F62" s="179">
        <f ca="1">IF(ISNUMBER(MATCH(DATEVALUE($A62),'recurring1_based on steps'!F$1:F$400,0)),F$2,)</f>
        <v>0</v>
      </c>
      <c r="G62" s="179">
        <f ca="1">IF(ISNUMBER(MATCH(DATEVALUE($A62),'recurring1_based on steps'!G$1:G$400,0)),G$2,)</f>
        <v>0</v>
      </c>
      <c r="H62" s="179">
        <f ca="1">IF(ISNUMBER(MATCH(DATEVALUE($A62),'recurring1_based on steps'!H$1:H$400,0)),H$2,)</f>
        <v>0</v>
      </c>
      <c r="I62" s="179">
        <f ca="1">IF(ISNUMBER(MATCH(DATEVALUE($A62),'recurring1_based on steps'!I$1:I$400,0)),I$2,)</f>
        <v>0</v>
      </c>
      <c r="J62" s="179">
        <f ca="1">IF(ISNUMBER(MATCH(DATEVALUE($A62),'recurring1_based on steps'!J$1:J$400,0)),J$2,)</f>
        <v>0</v>
      </c>
      <c r="K62" s="179">
        <f ca="1">IF(ISNUMBER(MATCH(DATEVALUE($A62),'recurring1_based on steps'!K$1:K$400,0)),K$2,)</f>
        <v>0</v>
      </c>
      <c r="L62" s="179">
        <f ca="1">IF(ISNUMBER(MATCH(DATEVALUE($A62),'recurring1_based on steps'!L$1:L$400,0)),L$2,)</f>
        <v>0</v>
      </c>
      <c r="M62" s="179">
        <f ca="1">IF(ISNUMBER(MATCH(DATEVALUE($A62),'recurring1_based on steps'!M$1:M$400,0)),M$2,)</f>
        <v>0</v>
      </c>
      <c r="N62" s="179">
        <f ca="1">IF(ISNUMBER(MATCH(DATEVALUE($A62),'recurring1_based on steps'!N$1:N$400,0)),N$2,)</f>
        <v>0</v>
      </c>
      <c r="O62" s="179">
        <f ca="1">IF(ISNUMBER(MATCH(DATEVALUE($A62),'recurring1_based on steps'!O$1:O$400,0)),O$2,)</f>
        <v>0</v>
      </c>
      <c r="P62" s="179">
        <f ca="1">IF(ISNUMBER(MATCH(DATEVALUE($A62),'recurring1_based on steps'!P$1:P$400,0)),P$2,)</f>
        <v>0</v>
      </c>
      <c r="Q62" s="179">
        <f ca="1">IF(ISNUMBER(MATCH(DATEVALUE($A62),'recurring1_based on steps'!Q$1:Q$400,0)),Q$2,)</f>
        <v>0</v>
      </c>
      <c r="R62" s="179">
        <f ca="1">IF(ISNUMBER(MATCH(DATEVALUE($A62),'recurring1_based on steps'!R$1:R$400,0)),R$2,)</f>
        <v>0</v>
      </c>
      <c r="S62" s="179">
        <f ca="1">IF(ISNUMBER(MATCH(DATEVALUE($A62),'recurring1_based on steps'!S$1:S$400,0)),S$2,)</f>
        <v>0</v>
      </c>
      <c r="T62" s="179">
        <f ca="1">IF(ISNUMBER(MATCH(DATEVALUE($A62),'recurring1_based on steps'!T$1:T$400,0)),T$2,)</f>
        <v>0</v>
      </c>
      <c r="U62" s="179">
        <f ca="1">IF(ISNUMBER(MATCH(DATEVALUE($A62),'recurring1_based on steps'!U$1:U$400,0)),U$2,)</f>
        <v>0</v>
      </c>
      <c r="V62" s="179">
        <f ca="1">IF(ISNUMBER(MATCH(DATEVALUE($A62),'recurring1_based on steps'!V$1:V$400,0)),V$2,)</f>
        <v>0</v>
      </c>
      <c r="W62" s="179">
        <f ca="1">IF(ISNUMBER(MATCH(DATEVALUE($A62),'recurring1_based on steps'!W$1:W$400,0)),W$2,)</f>
        <v>0</v>
      </c>
      <c r="X62" s="179">
        <f ca="1">IF(ISNUMBER(MATCH(DATEVALUE($A62),'recurring1_based on steps'!X$1:X$400,0)),X$2,)</f>
        <v>0</v>
      </c>
      <c r="Y62" s="179">
        <f ca="1">IF(ISNUMBER(MATCH(DATEVALUE($A62),'recurring1_based on steps'!Y$1:Y$400,0)),Y$2,)</f>
        <v>0</v>
      </c>
      <c r="Z62" s="179">
        <f ca="1">IF(ISNUMBER(MATCH(DATEVALUE($A62),'recurring1_based on steps'!Z$1:Z$400,0)),Z$2,)</f>
        <v>0</v>
      </c>
      <c r="AA62" s="179">
        <f ca="1">IF(ISNUMBER(MATCH(DATEVALUE($A62),'recurring1_based on steps'!AA$1:AA$400,0)),AA$2,)</f>
        <v>0</v>
      </c>
      <c r="AB62" s="179">
        <f ca="1">IF(ISNUMBER(MATCH(DATEVALUE($A62),'recurring1_based on steps'!AB$1:AB$400,0)),AB$2,)</f>
        <v>0</v>
      </c>
      <c r="AC62" s="179">
        <f ca="1">IF(ISNUMBER(MATCH(DATEVALUE($A62),'recurring1_based on steps'!AC$1:AC$400,0)),AC$2,)</f>
        <v>0</v>
      </c>
      <c r="AD62" s="179">
        <f ca="1">IF(ISNUMBER(MATCH(DATEVALUE($A62),'recurring1_based on steps'!AD$1:AD$400,0)),AD$2,)</f>
        <v>0</v>
      </c>
      <c r="AE62" s="179">
        <f ca="1">IF(ISNUMBER(MATCH(DATEVALUE($A62),'recurring1_based on steps'!AE$1:AE$400,0)),AE$2,)</f>
        <v>0</v>
      </c>
      <c r="AF62" s="179">
        <f ca="1">IF(ISNUMBER(MATCH(DATEVALUE($A62),'recurring1_based on steps'!AF$1:AF$400,0)),AF$2,)</f>
        <v>0</v>
      </c>
      <c r="AG62" s="179">
        <f ca="1">IF(ISNUMBER(MATCH(DATEVALUE($A62),'recurring1_based on steps'!AG$1:AG$400,0)),AG$2,)</f>
        <v>0</v>
      </c>
      <c r="AH62" s="179">
        <f ca="1">IF(ISNUMBER(MATCH(DATEVALUE($A62),'recurring1_based on steps'!AH$1:AH$400,0)),AH$2,)</f>
        <v>0</v>
      </c>
      <c r="AI62" s="179">
        <f ca="1">IF(ISNUMBER(MATCH(DATEVALUE($A62),'recurring1_based on steps'!AI$1:AI$400,0)),AI$2,)</f>
        <v>0</v>
      </c>
      <c r="AJ62" s="179">
        <f ca="1">IF(ISNUMBER(MATCH(DATEVALUE($A62),'recurring1_based on steps'!AJ$1:AJ$400,0)),AJ$2,)</f>
        <v>0</v>
      </c>
      <c r="AK62" s="179">
        <f ca="1">IF(ISNUMBER(MATCH(DATEVALUE($A62),'recurring1_based on steps'!AK$1:AK$400,0)),AK$2,)</f>
        <v>0</v>
      </c>
      <c r="AL62" s="179">
        <f ca="1">IF(ISNUMBER(MATCH(DATEVALUE($A62),'recurring1_based on steps'!AL$1:AL$400,0)),AL$2,)</f>
        <v>0</v>
      </c>
      <c r="AM62" s="179">
        <f ca="1">IF(ISNUMBER(MATCH(DATEVALUE($A62),'recurring1_based on steps'!AM$1:AM$400,0)),AM$2,)</f>
        <v>0</v>
      </c>
      <c r="AN62" s="179">
        <f ca="1">IF(ISNUMBER(MATCH(DATEVALUE($A62),'recurring1_based on steps'!AN$1:AN$400,0)),AN$2,)</f>
        <v>0</v>
      </c>
      <c r="AO62" s="179">
        <f ca="1">IF(ISNUMBER(MATCH(DATEVALUE($A62),'recurring1_based on steps'!AO$1:AO$400,0)),AO$2,)</f>
        <v>0</v>
      </c>
      <c r="AP62" s="179">
        <f ca="1">IF(ISNUMBER(MATCH(DATEVALUE($A62),'recurring1_based on steps'!AP$1:AP$400,0)),AP$2,)</f>
        <v>0</v>
      </c>
      <c r="AQ62" s="179">
        <f ca="1">IF(ISNUMBER(MATCH(DATEVALUE($A62),'recurring1_based on steps'!AQ$1:AQ$400,0)),AQ$2,)</f>
        <v>0</v>
      </c>
      <c r="AR62" s="179">
        <f ca="1">IF(ISNUMBER(MATCH(DATEVALUE($A62),'recurring1_based on steps'!AR$1:AR$400,0)),AR$2,)</f>
        <v>0</v>
      </c>
      <c r="AS62" s="179">
        <f ca="1">IF(ISNUMBER(MATCH(DATEVALUE($A62),'recurring1_based on steps'!AS$1:AS$400,0)),AS$2,)</f>
        <v>0</v>
      </c>
      <c r="AT62" s="179">
        <f ca="1">IF(ISNUMBER(MATCH(DATEVALUE($A62),'recurring1_based on steps'!AT$1:AT$400,0)),AT$2,)</f>
        <v>0</v>
      </c>
      <c r="AU62" s="179">
        <f ca="1">IF(ISNUMBER(MATCH(DATEVALUE($A62),'recurring1_based on steps'!AU$1:AU$400,0)),AU$2,)</f>
        <v>0</v>
      </c>
      <c r="AV62" s="179">
        <f ca="1">IF(ISNUMBER(MATCH(DATEVALUE($A62),'recurring1_based on steps'!AV$1:AV$400,0)),AV$2,)</f>
        <v>0</v>
      </c>
      <c r="AW62" s="179">
        <f ca="1">IF(ISNUMBER(MATCH(DATEVALUE($A62),'recurring1_based on steps'!AW$1:AW$400,0)),AW$2,)</f>
        <v>0</v>
      </c>
      <c r="AX62" s="179">
        <f ca="1">IF(ISNUMBER(MATCH(DATEVALUE($A62),'recurring1_based on steps'!AX$1:AX$400,0)),AX$2,)</f>
        <v>0</v>
      </c>
      <c r="AY62" s="179">
        <f ca="1">IF(ISNUMBER(MATCH(DATEVALUE($A62),'recurring1_based on steps'!AY$1:AY$400,0)),AY$2,)</f>
        <v>0</v>
      </c>
    </row>
    <row r="63" spans="1:51" x14ac:dyDescent="0.2">
      <c r="A63" s="32" t="str">
        <f t="shared" ca="1" si="0"/>
        <v>2025-06-04</v>
      </c>
      <c r="B63" s="179">
        <f ca="1">IF(ISNUMBER(MATCH(DATEVALUE($A63),'recurring1_based on steps'!B$1:B$400,0)),B$2,)</f>
        <v>0</v>
      </c>
      <c r="C63" s="179">
        <f ca="1">IF(ISNUMBER(MATCH(DATEVALUE($A63),'recurring1_based on steps'!C$1:C$400,0)),C$2,)</f>
        <v>0</v>
      </c>
      <c r="D63" s="179">
        <f ca="1">IF(ISNUMBER(MATCH(DATEVALUE($A63),'recurring1_based on steps'!D$1:D$400,0)),D$2,)</f>
        <v>0</v>
      </c>
      <c r="E63" s="179">
        <f ca="1">IF(ISNUMBER(MATCH(DATEVALUE($A63),'recurring1_based on steps'!E$1:E$400,0)),E$2,)</f>
        <v>0</v>
      </c>
      <c r="F63" s="179">
        <f ca="1">IF(ISNUMBER(MATCH(DATEVALUE($A63),'recurring1_based on steps'!F$1:F$400,0)),F$2,)</f>
        <v>0</v>
      </c>
      <c r="G63" s="179">
        <f ca="1">IF(ISNUMBER(MATCH(DATEVALUE($A63),'recurring1_based on steps'!G$1:G$400,0)),G$2,)</f>
        <v>0</v>
      </c>
      <c r="H63" s="179">
        <f ca="1">IF(ISNUMBER(MATCH(DATEVALUE($A63),'recurring1_based on steps'!H$1:H$400,0)),H$2,)</f>
        <v>0</v>
      </c>
      <c r="I63" s="179">
        <f ca="1">IF(ISNUMBER(MATCH(DATEVALUE($A63),'recurring1_based on steps'!I$1:I$400,0)),I$2,)</f>
        <v>0</v>
      </c>
      <c r="J63" s="179">
        <f ca="1">IF(ISNUMBER(MATCH(DATEVALUE($A63),'recurring1_based on steps'!J$1:J$400,0)),J$2,)</f>
        <v>0</v>
      </c>
      <c r="K63" s="179">
        <f ca="1">IF(ISNUMBER(MATCH(DATEVALUE($A63),'recurring1_based on steps'!K$1:K$400,0)),K$2,)</f>
        <v>0</v>
      </c>
      <c r="L63" s="179">
        <f ca="1">IF(ISNUMBER(MATCH(DATEVALUE($A63),'recurring1_based on steps'!L$1:L$400,0)),L$2,)</f>
        <v>0</v>
      </c>
      <c r="M63" s="179">
        <f ca="1">IF(ISNUMBER(MATCH(DATEVALUE($A63),'recurring1_based on steps'!M$1:M$400,0)),M$2,)</f>
        <v>0</v>
      </c>
      <c r="N63" s="179">
        <f ca="1">IF(ISNUMBER(MATCH(DATEVALUE($A63),'recurring1_based on steps'!N$1:N$400,0)),N$2,)</f>
        <v>0</v>
      </c>
      <c r="O63" s="179">
        <f ca="1">IF(ISNUMBER(MATCH(DATEVALUE($A63),'recurring1_based on steps'!O$1:O$400,0)),O$2,)</f>
        <v>0</v>
      </c>
      <c r="P63" s="179">
        <f ca="1">IF(ISNUMBER(MATCH(DATEVALUE($A63),'recurring1_based on steps'!P$1:P$400,0)),P$2,)</f>
        <v>0</v>
      </c>
      <c r="Q63" s="179">
        <f ca="1">IF(ISNUMBER(MATCH(DATEVALUE($A63),'recurring1_based on steps'!Q$1:Q$400,0)),Q$2,)</f>
        <v>0</v>
      </c>
      <c r="R63" s="179">
        <f ca="1">IF(ISNUMBER(MATCH(DATEVALUE($A63),'recurring1_based on steps'!R$1:R$400,0)),R$2,)</f>
        <v>0</v>
      </c>
      <c r="S63" s="179">
        <f ca="1">IF(ISNUMBER(MATCH(DATEVALUE($A63),'recurring1_based on steps'!S$1:S$400,0)),S$2,)</f>
        <v>0</v>
      </c>
      <c r="T63" s="179">
        <f ca="1">IF(ISNUMBER(MATCH(DATEVALUE($A63),'recurring1_based on steps'!T$1:T$400,0)),T$2,)</f>
        <v>0</v>
      </c>
      <c r="U63" s="179">
        <f ca="1">IF(ISNUMBER(MATCH(DATEVALUE($A63),'recurring1_based on steps'!U$1:U$400,0)),U$2,)</f>
        <v>0</v>
      </c>
      <c r="V63" s="179">
        <f ca="1">IF(ISNUMBER(MATCH(DATEVALUE($A63),'recurring1_based on steps'!V$1:V$400,0)),V$2,)</f>
        <v>0</v>
      </c>
      <c r="W63" s="179">
        <f ca="1">IF(ISNUMBER(MATCH(DATEVALUE($A63),'recurring1_based on steps'!W$1:W$400,0)),W$2,)</f>
        <v>0</v>
      </c>
      <c r="X63" s="179">
        <f ca="1">IF(ISNUMBER(MATCH(DATEVALUE($A63),'recurring1_based on steps'!X$1:X$400,0)),X$2,)</f>
        <v>0</v>
      </c>
      <c r="Y63" s="179">
        <f ca="1">IF(ISNUMBER(MATCH(DATEVALUE($A63),'recurring1_based on steps'!Y$1:Y$400,0)),Y$2,)</f>
        <v>0</v>
      </c>
      <c r="Z63" s="179">
        <f ca="1">IF(ISNUMBER(MATCH(DATEVALUE($A63),'recurring1_based on steps'!Z$1:Z$400,0)),Z$2,)</f>
        <v>0</v>
      </c>
      <c r="AA63" s="179">
        <f ca="1">IF(ISNUMBER(MATCH(DATEVALUE($A63),'recurring1_based on steps'!AA$1:AA$400,0)),AA$2,)</f>
        <v>0</v>
      </c>
      <c r="AB63" s="179">
        <f ca="1">IF(ISNUMBER(MATCH(DATEVALUE($A63),'recurring1_based on steps'!AB$1:AB$400,0)),AB$2,)</f>
        <v>0</v>
      </c>
      <c r="AC63" s="179">
        <f ca="1">IF(ISNUMBER(MATCH(DATEVALUE($A63),'recurring1_based on steps'!AC$1:AC$400,0)),AC$2,)</f>
        <v>0</v>
      </c>
      <c r="AD63" s="179">
        <f ca="1">IF(ISNUMBER(MATCH(DATEVALUE($A63),'recurring1_based on steps'!AD$1:AD$400,0)),AD$2,)</f>
        <v>0</v>
      </c>
      <c r="AE63" s="179">
        <f ca="1">IF(ISNUMBER(MATCH(DATEVALUE($A63),'recurring1_based on steps'!AE$1:AE$400,0)),AE$2,)</f>
        <v>0</v>
      </c>
      <c r="AF63" s="179">
        <f ca="1">IF(ISNUMBER(MATCH(DATEVALUE($A63),'recurring1_based on steps'!AF$1:AF$400,0)),AF$2,)</f>
        <v>0</v>
      </c>
      <c r="AG63" s="179">
        <f ca="1">IF(ISNUMBER(MATCH(DATEVALUE($A63),'recurring1_based on steps'!AG$1:AG$400,0)),AG$2,)</f>
        <v>0</v>
      </c>
      <c r="AH63" s="179">
        <f ca="1">IF(ISNUMBER(MATCH(DATEVALUE($A63),'recurring1_based on steps'!AH$1:AH$400,0)),AH$2,)</f>
        <v>0</v>
      </c>
      <c r="AI63" s="179">
        <f ca="1">IF(ISNUMBER(MATCH(DATEVALUE($A63),'recurring1_based on steps'!AI$1:AI$400,0)),AI$2,)</f>
        <v>0</v>
      </c>
      <c r="AJ63" s="179">
        <f ca="1">IF(ISNUMBER(MATCH(DATEVALUE($A63),'recurring1_based on steps'!AJ$1:AJ$400,0)),AJ$2,)</f>
        <v>0</v>
      </c>
      <c r="AK63" s="179">
        <f ca="1">IF(ISNUMBER(MATCH(DATEVALUE($A63),'recurring1_based on steps'!AK$1:AK$400,0)),AK$2,)</f>
        <v>0</v>
      </c>
      <c r="AL63" s="179">
        <f ca="1">IF(ISNUMBER(MATCH(DATEVALUE($A63),'recurring1_based on steps'!AL$1:AL$400,0)),AL$2,)</f>
        <v>0</v>
      </c>
      <c r="AM63" s="179">
        <f ca="1">IF(ISNUMBER(MATCH(DATEVALUE($A63),'recurring1_based on steps'!AM$1:AM$400,0)),AM$2,)</f>
        <v>0</v>
      </c>
      <c r="AN63" s="179">
        <f ca="1">IF(ISNUMBER(MATCH(DATEVALUE($A63),'recurring1_based on steps'!AN$1:AN$400,0)),AN$2,)</f>
        <v>0</v>
      </c>
      <c r="AO63" s="179">
        <f ca="1">IF(ISNUMBER(MATCH(DATEVALUE($A63),'recurring1_based on steps'!AO$1:AO$400,0)),AO$2,)</f>
        <v>0</v>
      </c>
      <c r="AP63" s="179">
        <f ca="1">IF(ISNUMBER(MATCH(DATEVALUE($A63),'recurring1_based on steps'!AP$1:AP$400,0)),AP$2,)</f>
        <v>0</v>
      </c>
      <c r="AQ63" s="179">
        <f ca="1">IF(ISNUMBER(MATCH(DATEVALUE($A63),'recurring1_based on steps'!AQ$1:AQ$400,0)),AQ$2,)</f>
        <v>0</v>
      </c>
      <c r="AR63" s="179">
        <f ca="1">IF(ISNUMBER(MATCH(DATEVALUE($A63),'recurring1_based on steps'!AR$1:AR$400,0)),AR$2,)</f>
        <v>0</v>
      </c>
      <c r="AS63" s="179">
        <f ca="1">IF(ISNUMBER(MATCH(DATEVALUE($A63),'recurring1_based on steps'!AS$1:AS$400,0)),AS$2,)</f>
        <v>0</v>
      </c>
      <c r="AT63" s="179">
        <f ca="1">IF(ISNUMBER(MATCH(DATEVALUE($A63),'recurring1_based on steps'!AT$1:AT$400,0)),AT$2,)</f>
        <v>0</v>
      </c>
      <c r="AU63" s="179">
        <f ca="1">IF(ISNUMBER(MATCH(DATEVALUE($A63),'recurring1_based on steps'!AU$1:AU$400,0)),AU$2,)</f>
        <v>0</v>
      </c>
      <c r="AV63" s="179">
        <f ca="1">IF(ISNUMBER(MATCH(DATEVALUE($A63),'recurring1_based on steps'!AV$1:AV$400,0)),AV$2,)</f>
        <v>0</v>
      </c>
      <c r="AW63" s="179">
        <f ca="1">IF(ISNUMBER(MATCH(DATEVALUE($A63),'recurring1_based on steps'!AW$1:AW$400,0)),AW$2,)</f>
        <v>0</v>
      </c>
      <c r="AX63" s="179">
        <f ca="1">IF(ISNUMBER(MATCH(DATEVALUE($A63),'recurring1_based on steps'!AX$1:AX$400,0)),AX$2,)</f>
        <v>0</v>
      </c>
      <c r="AY63" s="179">
        <f ca="1">IF(ISNUMBER(MATCH(DATEVALUE($A63),'recurring1_based on steps'!AY$1:AY$400,0)),AY$2,)</f>
        <v>0</v>
      </c>
    </row>
    <row r="64" spans="1:51" x14ac:dyDescent="0.2">
      <c r="A64" s="32" t="str">
        <f t="shared" ca="1" si="0"/>
        <v>2025-06-05</v>
      </c>
      <c r="B64" s="179">
        <f ca="1">IF(ISNUMBER(MATCH(DATEVALUE($A64),'recurring1_based on steps'!B$1:B$400,0)),B$2,)</f>
        <v>0</v>
      </c>
      <c r="C64" s="179">
        <f ca="1">IF(ISNUMBER(MATCH(DATEVALUE($A64),'recurring1_based on steps'!C$1:C$400,0)),C$2,)</f>
        <v>0</v>
      </c>
      <c r="D64" s="179">
        <f ca="1">IF(ISNUMBER(MATCH(DATEVALUE($A64),'recurring1_based on steps'!D$1:D$400,0)),D$2,)</f>
        <v>0</v>
      </c>
      <c r="E64" s="179">
        <f ca="1">IF(ISNUMBER(MATCH(DATEVALUE($A64),'recurring1_based on steps'!E$1:E$400,0)),E$2,)</f>
        <v>0</v>
      </c>
      <c r="F64" s="179">
        <f ca="1">IF(ISNUMBER(MATCH(DATEVALUE($A64),'recurring1_based on steps'!F$1:F$400,0)),F$2,)</f>
        <v>0</v>
      </c>
      <c r="G64" s="179">
        <f ca="1">IF(ISNUMBER(MATCH(DATEVALUE($A64),'recurring1_based on steps'!G$1:G$400,0)),G$2,)</f>
        <v>0</v>
      </c>
      <c r="H64" s="179">
        <f ca="1">IF(ISNUMBER(MATCH(DATEVALUE($A64),'recurring1_based on steps'!H$1:H$400,0)),H$2,)</f>
        <v>0</v>
      </c>
      <c r="I64" s="179">
        <f ca="1">IF(ISNUMBER(MATCH(DATEVALUE($A64),'recurring1_based on steps'!I$1:I$400,0)),I$2,)</f>
        <v>0</v>
      </c>
      <c r="J64" s="179">
        <f ca="1">IF(ISNUMBER(MATCH(DATEVALUE($A64),'recurring1_based on steps'!J$1:J$400,0)),J$2,)</f>
        <v>0</v>
      </c>
      <c r="K64" s="179">
        <f ca="1">IF(ISNUMBER(MATCH(DATEVALUE($A64),'recurring1_based on steps'!K$1:K$400,0)),K$2,)</f>
        <v>0</v>
      </c>
      <c r="L64" s="179">
        <f ca="1">IF(ISNUMBER(MATCH(DATEVALUE($A64),'recurring1_based on steps'!L$1:L$400,0)),L$2,)</f>
        <v>0</v>
      </c>
      <c r="M64" s="179">
        <f ca="1">IF(ISNUMBER(MATCH(DATEVALUE($A64),'recurring1_based on steps'!M$1:M$400,0)),M$2,)</f>
        <v>0</v>
      </c>
      <c r="N64" s="179">
        <f ca="1">IF(ISNUMBER(MATCH(DATEVALUE($A64),'recurring1_based on steps'!N$1:N$400,0)),N$2,)</f>
        <v>0</v>
      </c>
      <c r="O64" s="179">
        <f ca="1">IF(ISNUMBER(MATCH(DATEVALUE($A64),'recurring1_based on steps'!O$1:O$400,0)),O$2,)</f>
        <v>0</v>
      </c>
      <c r="P64" s="179">
        <f ca="1">IF(ISNUMBER(MATCH(DATEVALUE($A64),'recurring1_based on steps'!P$1:P$400,0)),P$2,)</f>
        <v>0</v>
      </c>
      <c r="Q64" s="179">
        <f ca="1">IF(ISNUMBER(MATCH(DATEVALUE($A64),'recurring1_based on steps'!Q$1:Q$400,0)),Q$2,)</f>
        <v>0</v>
      </c>
      <c r="R64" s="179">
        <f ca="1">IF(ISNUMBER(MATCH(DATEVALUE($A64),'recurring1_based on steps'!R$1:R$400,0)),R$2,)</f>
        <v>0</v>
      </c>
      <c r="S64" s="179">
        <f ca="1">IF(ISNUMBER(MATCH(DATEVALUE($A64),'recurring1_based on steps'!S$1:S$400,0)),S$2,)</f>
        <v>0</v>
      </c>
      <c r="T64" s="179">
        <f ca="1">IF(ISNUMBER(MATCH(DATEVALUE($A64),'recurring1_based on steps'!T$1:T$400,0)),T$2,)</f>
        <v>0</v>
      </c>
      <c r="U64" s="179">
        <f ca="1">IF(ISNUMBER(MATCH(DATEVALUE($A64),'recurring1_based on steps'!U$1:U$400,0)),U$2,)</f>
        <v>0</v>
      </c>
      <c r="V64" s="179">
        <f ca="1">IF(ISNUMBER(MATCH(DATEVALUE($A64),'recurring1_based on steps'!V$1:V$400,0)),V$2,)</f>
        <v>0</v>
      </c>
      <c r="W64" s="179">
        <f ca="1">IF(ISNUMBER(MATCH(DATEVALUE($A64),'recurring1_based on steps'!W$1:W$400,0)),W$2,)</f>
        <v>0</v>
      </c>
      <c r="X64" s="179">
        <f ca="1">IF(ISNUMBER(MATCH(DATEVALUE($A64),'recurring1_based on steps'!X$1:X$400,0)),X$2,)</f>
        <v>0</v>
      </c>
      <c r="Y64" s="179">
        <f ca="1">IF(ISNUMBER(MATCH(DATEVALUE($A64),'recurring1_based on steps'!Y$1:Y$400,0)),Y$2,)</f>
        <v>0</v>
      </c>
      <c r="Z64" s="179">
        <f ca="1">IF(ISNUMBER(MATCH(DATEVALUE($A64),'recurring1_based on steps'!Z$1:Z$400,0)),Z$2,)</f>
        <v>0</v>
      </c>
      <c r="AA64" s="179">
        <f ca="1">IF(ISNUMBER(MATCH(DATEVALUE($A64),'recurring1_based on steps'!AA$1:AA$400,0)),AA$2,)</f>
        <v>0</v>
      </c>
      <c r="AB64" s="179">
        <f ca="1">IF(ISNUMBER(MATCH(DATEVALUE($A64),'recurring1_based on steps'!AB$1:AB$400,0)),AB$2,)</f>
        <v>0</v>
      </c>
      <c r="AC64" s="179">
        <f ca="1">IF(ISNUMBER(MATCH(DATEVALUE($A64),'recurring1_based on steps'!AC$1:AC$400,0)),AC$2,)</f>
        <v>0</v>
      </c>
      <c r="AD64" s="179">
        <f ca="1">IF(ISNUMBER(MATCH(DATEVALUE($A64),'recurring1_based on steps'!AD$1:AD$400,0)),AD$2,)</f>
        <v>0</v>
      </c>
      <c r="AE64" s="179">
        <f ca="1">IF(ISNUMBER(MATCH(DATEVALUE($A64),'recurring1_based on steps'!AE$1:AE$400,0)),AE$2,)</f>
        <v>0</v>
      </c>
      <c r="AF64" s="179">
        <f ca="1">IF(ISNUMBER(MATCH(DATEVALUE($A64),'recurring1_based on steps'!AF$1:AF$400,0)),AF$2,)</f>
        <v>0</v>
      </c>
      <c r="AG64" s="179">
        <f ca="1">IF(ISNUMBER(MATCH(DATEVALUE($A64),'recurring1_based on steps'!AG$1:AG$400,0)),AG$2,)</f>
        <v>0</v>
      </c>
      <c r="AH64" s="179">
        <f ca="1">IF(ISNUMBER(MATCH(DATEVALUE($A64),'recurring1_based on steps'!AH$1:AH$400,0)),AH$2,)</f>
        <v>0</v>
      </c>
      <c r="AI64" s="179">
        <f ca="1">IF(ISNUMBER(MATCH(DATEVALUE($A64),'recurring1_based on steps'!AI$1:AI$400,0)),AI$2,)</f>
        <v>0</v>
      </c>
      <c r="AJ64" s="179">
        <f ca="1">IF(ISNUMBER(MATCH(DATEVALUE($A64),'recurring1_based on steps'!AJ$1:AJ$400,0)),AJ$2,)</f>
        <v>0</v>
      </c>
      <c r="AK64" s="179">
        <f ca="1">IF(ISNUMBER(MATCH(DATEVALUE($A64),'recurring1_based on steps'!AK$1:AK$400,0)),AK$2,)</f>
        <v>0</v>
      </c>
      <c r="AL64" s="179">
        <f ca="1">IF(ISNUMBER(MATCH(DATEVALUE($A64),'recurring1_based on steps'!AL$1:AL$400,0)),AL$2,)</f>
        <v>0</v>
      </c>
      <c r="AM64" s="179">
        <f ca="1">IF(ISNUMBER(MATCH(DATEVALUE($A64),'recurring1_based on steps'!AM$1:AM$400,0)),AM$2,)</f>
        <v>0</v>
      </c>
      <c r="AN64" s="179">
        <f ca="1">IF(ISNUMBER(MATCH(DATEVALUE($A64),'recurring1_based on steps'!AN$1:AN$400,0)),AN$2,)</f>
        <v>0</v>
      </c>
      <c r="AO64" s="179">
        <f ca="1">IF(ISNUMBER(MATCH(DATEVALUE($A64),'recurring1_based on steps'!AO$1:AO$400,0)),AO$2,)</f>
        <v>0</v>
      </c>
      <c r="AP64" s="179">
        <f ca="1">IF(ISNUMBER(MATCH(DATEVALUE($A64),'recurring1_based on steps'!AP$1:AP$400,0)),AP$2,)</f>
        <v>0</v>
      </c>
      <c r="AQ64" s="179">
        <f ca="1">IF(ISNUMBER(MATCH(DATEVALUE($A64),'recurring1_based on steps'!AQ$1:AQ$400,0)),AQ$2,)</f>
        <v>0</v>
      </c>
      <c r="AR64" s="179">
        <f ca="1">IF(ISNUMBER(MATCH(DATEVALUE($A64),'recurring1_based on steps'!AR$1:AR$400,0)),AR$2,)</f>
        <v>0</v>
      </c>
      <c r="AS64" s="179">
        <f ca="1">IF(ISNUMBER(MATCH(DATEVALUE($A64),'recurring1_based on steps'!AS$1:AS$400,0)),AS$2,)</f>
        <v>0</v>
      </c>
      <c r="AT64" s="179">
        <f ca="1">IF(ISNUMBER(MATCH(DATEVALUE($A64),'recurring1_based on steps'!AT$1:AT$400,0)),AT$2,)</f>
        <v>0</v>
      </c>
      <c r="AU64" s="179">
        <f ca="1">IF(ISNUMBER(MATCH(DATEVALUE($A64),'recurring1_based on steps'!AU$1:AU$400,0)),AU$2,)</f>
        <v>0</v>
      </c>
      <c r="AV64" s="179">
        <f ca="1">IF(ISNUMBER(MATCH(DATEVALUE($A64),'recurring1_based on steps'!AV$1:AV$400,0)),AV$2,)</f>
        <v>0</v>
      </c>
      <c r="AW64" s="179">
        <f ca="1">IF(ISNUMBER(MATCH(DATEVALUE($A64),'recurring1_based on steps'!AW$1:AW$400,0)),AW$2,)</f>
        <v>0</v>
      </c>
      <c r="AX64" s="179">
        <f ca="1">IF(ISNUMBER(MATCH(DATEVALUE($A64),'recurring1_based on steps'!AX$1:AX$400,0)),AX$2,)</f>
        <v>0</v>
      </c>
      <c r="AY64" s="179">
        <f ca="1">IF(ISNUMBER(MATCH(DATEVALUE($A64),'recurring1_based on steps'!AY$1:AY$400,0)),AY$2,)</f>
        <v>0</v>
      </c>
    </row>
    <row r="65" spans="1:51" x14ac:dyDescent="0.2">
      <c r="A65" s="32" t="str">
        <f t="shared" ca="1" si="0"/>
        <v>2025-06-06</v>
      </c>
      <c r="B65" s="179">
        <f ca="1">IF(ISNUMBER(MATCH(DATEVALUE($A65),'recurring1_based on steps'!B$1:B$400,0)),B$2,)</f>
        <v>0</v>
      </c>
      <c r="C65" s="179">
        <f ca="1">IF(ISNUMBER(MATCH(DATEVALUE($A65),'recurring1_based on steps'!C$1:C$400,0)),C$2,)</f>
        <v>0</v>
      </c>
      <c r="D65" s="179">
        <f ca="1">IF(ISNUMBER(MATCH(DATEVALUE($A65),'recurring1_based on steps'!D$1:D$400,0)),D$2,)</f>
        <v>0</v>
      </c>
      <c r="E65" s="179">
        <f ca="1">IF(ISNUMBER(MATCH(DATEVALUE($A65),'recurring1_based on steps'!E$1:E$400,0)),E$2,)</f>
        <v>0</v>
      </c>
      <c r="F65" s="179">
        <f ca="1">IF(ISNUMBER(MATCH(DATEVALUE($A65),'recurring1_based on steps'!F$1:F$400,0)),F$2,)</f>
        <v>0</v>
      </c>
      <c r="G65" s="179">
        <f ca="1">IF(ISNUMBER(MATCH(DATEVALUE($A65),'recurring1_based on steps'!G$1:G$400,0)),G$2,)</f>
        <v>0</v>
      </c>
      <c r="H65" s="179">
        <f ca="1">IF(ISNUMBER(MATCH(DATEVALUE($A65),'recurring1_based on steps'!H$1:H$400,0)),H$2,)</f>
        <v>0</v>
      </c>
      <c r="I65" s="179">
        <f ca="1">IF(ISNUMBER(MATCH(DATEVALUE($A65),'recurring1_based on steps'!I$1:I$400,0)),I$2,)</f>
        <v>0</v>
      </c>
      <c r="J65" s="179">
        <f ca="1">IF(ISNUMBER(MATCH(DATEVALUE($A65),'recurring1_based on steps'!J$1:J$400,0)),J$2,)</f>
        <v>0</v>
      </c>
      <c r="K65" s="179">
        <f ca="1">IF(ISNUMBER(MATCH(DATEVALUE($A65),'recurring1_based on steps'!K$1:K$400,0)),K$2,)</f>
        <v>0</v>
      </c>
      <c r="L65" s="179">
        <f ca="1">IF(ISNUMBER(MATCH(DATEVALUE($A65),'recurring1_based on steps'!L$1:L$400,0)),L$2,)</f>
        <v>0</v>
      </c>
      <c r="M65" s="179">
        <f ca="1">IF(ISNUMBER(MATCH(DATEVALUE($A65),'recurring1_based on steps'!M$1:M$400,0)),M$2,)</f>
        <v>0</v>
      </c>
      <c r="N65" s="179">
        <f ca="1">IF(ISNUMBER(MATCH(DATEVALUE($A65),'recurring1_based on steps'!N$1:N$400,0)),N$2,)</f>
        <v>0</v>
      </c>
      <c r="O65" s="179">
        <f ca="1">IF(ISNUMBER(MATCH(DATEVALUE($A65),'recurring1_based on steps'!O$1:O$400,0)),O$2,)</f>
        <v>0</v>
      </c>
      <c r="P65" s="179">
        <f ca="1">IF(ISNUMBER(MATCH(DATEVALUE($A65),'recurring1_based on steps'!P$1:P$400,0)),P$2,)</f>
        <v>0</v>
      </c>
      <c r="Q65" s="179">
        <f ca="1">IF(ISNUMBER(MATCH(DATEVALUE($A65),'recurring1_based on steps'!Q$1:Q$400,0)),Q$2,)</f>
        <v>0</v>
      </c>
      <c r="R65" s="179">
        <f ca="1">IF(ISNUMBER(MATCH(DATEVALUE($A65),'recurring1_based on steps'!R$1:R$400,0)),R$2,)</f>
        <v>0</v>
      </c>
      <c r="S65" s="179">
        <f ca="1">IF(ISNUMBER(MATCH(DATEVALUE($A65),'recurring1_based on steps'!S$1:S$400,0)),S$2,)</f>
        <v>0</v>
      </c>
      <c r="T65" s="179">
        <f ca="1">IF(ISNUMBER(MATCH(DATEVALUE($A65),'recurring1_based on steps'!T$1:T$400,0)),T$2,)</f>
        <v>0</v>
      </c>
      <c r="U65" s="179">
        <f ca="1">IF(ISNUMBER(MATCH(DATEVALUE($A65),'recurring1_based on steps'!U$1:U$400,0)),U$2,)</f>
        <v>0</v>
      </c>
      <c r="V65" s="179">
        <f ca="1">IF(ISNUMBER(MATCH(DATEVALUE($A65),'recurring1_based on steps'!V$1:V$400,0)),V$2,)</f>
        <v>0</v>
      </c>
      <c r="W65" s="179">
        <f ca="1">IF(ISNUMBER(MATCH(DATEVALUE($A65),'recurring1_based on steps'!W$1:W$400,0)),W$2,)</f>
        <v>0</v>
      </c>
      <c r="X65" s="179">
        <f ca="1">IF(ISNUMBER(MATCH(DATEVALUE($A65),'recurring1_based on steps'!X$1:X$400,0)),X$2,)</f>
        <v>0</v>
      </c>
      <c r="Y65" s="179">
        <f ca="1">IF(ISNUMBER(MATCH(DATEVALUE($A65),'recurring1_based on steps'!Y$1:Y$400,0)),Y$2,)</f>
        <v>0</v>
      </c>
      <c r="Z65" s="179">
        <f ca="1">IF(ISNUMBER(MATCH(DATEVALUE($A65),'recurring1_based on steps'!Z$1:Z$400,0)),Z$2,)</f>
        <v>0</v>
      </c>
      <c r="AA65" s="179">
        <f ca="1">IF(ISNUMBER(MATCH(DATEVALUE($A65),'recurring1_based on steps'!AA$1:AA$400,0)),AA$2,)</f>
        <v>0</v>
      </c>
      <c r="AB65" s="179">
        <f ca="1">IF(ISNUMBER(MATCH(DATEVALUE($A65),'recurring1_based on steps'!AB$1:AB$400,0)),AB$2,)</f>
        <v>0</v>
      </c>
      <c r="AC65" s="179">
        <f ca="1">IF(ISNUMBER(MATCH(DATEVALUE($A65),'recurring1_based on steps'!AC$1:AC$400,0)),AC$2,)</f>
        <v>0</v>
      </c>
      <c r="AD65" s="179">
        <f ca="1">IF(ISNUMBER(MATCH(DATEVALUE($A65),'recurring1_based on steps'!AD$1:AD$400,0)),AD$2,)</f>
        <v>0</v>
      </c>
      <c r="AE65" s="179">
        <f ca="1">IF(ISNUMBER(MATCH(DATEVALUE($A65),'recurring1_based on steps'!AE$1:AE$400,0)),AE$2,)</f>
        <v>0</v>
      </c>
      <c r="AF65" s="179">
        <f ca="1">IF(ISNUMBER(MATCH(DATEVALUE($A65),'recurring1_based on steps'!AF$1:AF$400,0)),AF$2,)</f>
        <v>0</v>
      </c>
      <c r="AG65" s="179">
        <f ca="1">IF(ISNUMBER(MATCH(DATEVALUE($A65),'recurring1_based on steps'!AG$1:AG$400,0)),AG$2,)</f>
        <v>0</v>
      </c>
      <c r="AH65" s="179">
        <f ca="1">IF(ISNUMBER(MATCH(DATEVALUE($A65),'recurring1_based on steps'!AH$1:AH$400,0)),AH$2,)</f>
        <v>0</v>
      </c>
      <c r="AI65" s="179">
        <f ca="1">IF(ISNUMBER(MATCH(DATEVALUE($A65),'recurring1_based on steps'!AI$1:AI$400,0)),AI$2,)</f>
        <v>0</v>
      </c>
      <c r="AJ65" s="179">
        <f ca="1">IF(ISNUMBER(MATCH(DATEVALUE($A65),'recurring1_based on steps'!AJ$1:AJ$400,0)),AJ$2,)</f>
        <v>0</v>
      </c>
      <c r="AK65" s="179">
        <f ca="1">IF(ISNUMBER(MATCH(DATEVALUE($A65),'recurring1_based on steps'!AK$1:AK$400,0)),AK$2,)</f>
        <v>0</v>
      </c>
      <c r="AL65" s="179">
        <f ca="1">IF(ISNUMBER(MATCH(DATEVALUE($A65),'recurring1_based on steps'!AL$1:AL$400,0)),AL$2,)</f>
        <v>0</v>
      </c>
      <c r="AM65" s="179">
        <f ca="1">IF(ISNUMBER(MATCH(DATEVALUE($A65),'recurring1_based on steps'!AM$1:AM$400,0)),AM$2,)</f>
        <v>0</v>
      </c>
      <c r="AN65" s="179">
        <f ca="1">IF(ISNUMBER(MATCH(DATEVALUE($A65),'recurring1_based on steps'!AN$1:AN$400,0)),AN$2,)</f>
        <v>0</v>
      </c>
      <c r="AO65" s="179">
        <f ca="1">IF(ISNUMBER(MATCH(DATEVALUE($A65),'recurring1_based on steps'!AO$1:AO$400,0)),AO$2,)</f>
        <v>0</v>
      </c>
      <c r="AP65" s="179">
        <f ca="1">IF(ISNUMBER(MATCH(DATEVALUE($A65),'recurring1_based on steps'!AP$1:AP$400,0)),AP$2,)</f>
        <v>0</v>
      </c>
      <c r="AQ65" s="179">
        <f ca="1">IF(ISNUMBER(MATCH(DATEVALUE($A65),'recurring1_based on steps'!AQ$1:AQ$400,0)),AQ$2,)</f>
        <v>0</v>
      </c>
      <c r="AR65" s="179">
        <f ca="1">IF(ISNUMBER(MATCH(DATEVALUE($A65),'recurring1_based on steps'!AR$1:AR$400,0)),AR$2,)</f>
        <v>0</v>
      </c>
      <c r="AS65" s="179">
        <f ca="1">IF(ISNUMBER(MATCH(DATEVALUE($A65),'recurring1_based on steps'!AS$1:AS$400,0)),AS$2,)</f>
        <v>0</v>
      </c>
      <c r="AT65" s="179">
        <f ca="1">IF(ISNUMBER(MATCH(DATEVALUE($A65),'recurring1_based on steps'!AT$1:AT$400,0)),AT$2,)</f>
        <v>0</v>
      </c>
      <c r="AU65" s="179">
        <f ca="1">IF(ISNUMBER(MATCH(DATEVALUE($A65),'recurring1_based on steps'!AU$1:AU$400,0)),AU$2,)</f>
        <v>0</v>
      </c>
      <c r="AV65" s="179">
        <f ca="1">IF(ISNUMBER(MATCH(DATEVALUE($A65),'recurring1_based on steps'!AV$1:AV$400,0)),AV$2,)</f>
        <v>0</v>
      </c>
      <c r="AW65" s="179">
        <f ca="1">IF(ISNUMBER(MATCH(DATEVALUE($A65),'recurring1_based on steps'!AW$1:AW$400,0)),AW$2,)</f>
        <v>0</v>
      </c>
      <c r="AX65" s="179">
        <f ca="1">IF(ISNUMBER(MATCH(DATEVALUE($A65),'recurring1_based on steps'!AX$1:AX$400,0)),AX$2,)</f>
        <v>0</v>
      </c>
      <c r="AY65" s="179">
        <f ca="1">IF(ISNUMBER(MATCH(DATEVALUE($A65),'recurring1_based on steps'!AY$1:AY$400,0)),AY$2,)</f>
        <v>0</v>
      </c>
    </row>
    <row r="66" spans="1:51" x14ac:dyDescent="0.2">
      <c r="A66" s="32" t="str">
        <f t="shared" ca="1" si="0"/>
        <v>2025-06-07</v>
      </c>
      <c r="B66" s="179">
        <f ca="1">IF(ISNUMBER(MATCH(DATEVALUE($A66),'recurring1_based on steps'!B$1:B$400,0)),B$2,)</f>
        <v>0</v>
      </c>
      <c r="C66" s="179">
        <f ca="1">IF(ISNUMBER(MATCH(DATEVALUE($A66),'recurring1_based on steps'!C$1:C$400,0)),C$2,)</f>
        <v>0</v>
      </c>
      <c r="D66" s="179">
        <f ca="1">IF(ISNUMBER(MATCH(DATEVALUE($A66),'recurring1_based on steps'!D$1:D$400,0)),D$2,)</f>
        <v>0</v>
      </c>
      <c r="E66" s="179">
        <f ca="1">IF(ISNUMBER(MATCH(DATEVALUE($A66),'recurring1_based on steps'!E$1:E$400,0)),E$2,)</f>
        <v>0</v>
      </c>
      <c r="F66" s="179">
        <f ca="1">IF(ISNUMBER(MATCH(DATEVALUE($A66),'recurring1_based on steps'!F$1:F$400,0)),F$2,)</f>
        <v>0</v>
      </c>
      <c r="G66" s="179">
        <f ca="1">IF(ISNUMBER(MATCH(DATEVALUE($A66),'recurring1_based on steps'!G$1:G$400,0)),G$2,)</f>
        <v>0</v>
      </c>
      <c r="H66" s="179">
        <f ca="1">IF(ISNUMBER(MATCH(DATEVALUE($A66),'recurring1_based on steps'!H$1:H$400,0)),H$2,)</f>
        <v>0</v>
      </c>
      <c r="I66" s="179">
        <f ca="1">IF(ISNUMBER(MATCH(DATEVALUE($A66),'recurring1_based on steps'!I$1:I$400,0)),I$2,)</f>
        <v>0</v>
      </c>
      <c r="J66" s="179">
        <f ca="1">IF(ISNUMBER(MATCH(DATEVALUE($A66),'recurring1_based on steps'!J$1:J$400,0)),J$2,)</f>
        <v>0</v>
      </c>
      <c r="K66" s="179">
        <f ca="1">IF(ISNUMBER(MATCH(DATEVALUE($A66),'recurring1_based on steps'!K$1:K$400,0)),K$2,)</f>
        <v>0</v>
      </c>
      <c r="L66" s="179">
        <f ca="1">IF(ISNUMBER(MATCH(DATEVALUE($A66),'recurring1_based on steps'!L$1:L$400,0)),L$2,)</f>
        <v>0</v>
      </c>
      <c r="M66" s="179">
        <f ca="1">IF(ISNUMBER(MATCH(DATEVALUE($A66),'recurring1_based on steps'!M$1:M$400,0)),M$2,)</f>
        <v>0</v>
      </c>
      <c r="N66" s="179">
        <f ca="1">IF(ISNUMBER(MATCH(DATEVALUE($A66),'recurring1_based on steps'!N$1:N$400,0)),N$2,)</f>
        <v>0</v>
      </c>
      <c r="O66" s="179">
        <f ca="1">IF(ISNUMBER(MATCH(DATEVALUE($A66),'recurring1_based on steps'!O$1:O$400,0)),O$2,)</f>
        <v>0</v>
      </c>
      <c r="P66" s="179">
        <f ca="1">IF(ISNUMBER(MATCH(DATEVALUE($A66),'recurring1_based on steps'!P$1:P$400,0)),P$2,)</f>
        <v>0</v>
      </c>
      <c r="Q66" s="179">
        <f ca="1">IF(ISNUMBER(MATCH(DATEVALUE($A66),'recurring1_based on steps'!Q$1:Q$400,0)),Q$2,)</f>
        <v>0</v>
      </c>
      <c r="R66" s="179">
        <f ca="1">IF(ISNUMBER(MATCH(DATEVALUE($A66),'recurring1_based on steps'!R$1:R$400,0)),R$2,)</f>
        <v>0</v>
      </c>
      <c r="S66" s="179">
        <f ca="1">IF(ISNUMBER(MATCH(DATEVALUE($A66),'recurring1_based on steps'!S$1:S$400,0)),S$2,)</f>
        <v>0</v>
      </c>
      <c r="T66" s="179">
        <f ca="1">IF(ISNUMBER(MATCH(DATEVALUE($A66),'recurring1_based on steps'!T$1:T$400,0)),T$2,)</f>
        <v>0</v>
      </c>
      <c r="U66" s="179">
        <f ca="1">IF(ISNUMBER(MATCH(DATEVALUE($A66),'recurring1_based on steps'!U$1:U$400,0)),U$2,)</f>
        <v>0</v>
      </c>
      <c r="V66" s="179">
        <f ca="1">IF(ISNUMBER(MATCH(DATEVALUE($A66),'recurring1_based on steps'!V$1:V$400,0)),V$2,)</f>
        <v>0</v>
      </c>
      <c r="W66" s="179">
        <f ca="1">IF(ISNUMBER(MATCH(DATEVALUE($A66),'recurring1_based on steps'!W$1:W$400,0)),W$2,)</f>
        <v>0</v>
      </c>
      <c r="X66" s="179">
        <f ca="1">IF(ISNUMBER(MATCH(DATEVALUE($A66),'recurring1_based on steps'!X$1:X$400,0)),X$2,)</f>
        <v>0</v>
      </c>
      <c r="Y66" s="179">
        <f ca="1">IF(ISNUMBER(MATCH(DATEVALUE($A66),'recurring1_based on steps'!Y$1:Y$400,0)),Y$2,)</f>
        <v>0</v>
      </c>
      <c r="Z66" s="179">
        <f ca="1">IF(ISNUMBER(MATCH(DATEVALUE($A66),'recurring1_based on steps'!Z$1:Z$400,0)),Z$2,)</f>
        <v>0</v>
      </c>
      <c r="AA66" s="179">
        <f ca="1">IF(ISNUMBER(MATCH(DATEVALUE($A66),'recurring1_based on steps'!AA$1:AA$400,0)),AA$2,)</f>
        <v>0</v>
      </c>
      <c r="AB66" s="179">
        <f ca="1">IF(ISNUMBER(MATCH(DATEVALUE($A66),'recurring1_based on steps'!AB$1:AB$400,0)),AB$2,)</f>
        <v>0</v>
      </c>
      <c r="AC66" s="179">
        <f ca="1">IF(ISNUMBER(MATCH(DATEVALUE($A66),'recurring1_based on steps'!AC$1:AC$400,0)),AC$2,)</f>
        <v>0</v>
      </c>
      <c r="AD66" s="179">
        <f ca="1">IF(ISNUMBER(MATCH(DATEVALUE($A66),'recurring1_based on steps'!AD$1:AD$400,0)),AD$2,)</f>
        <v>0</v>
      </c>
      <c r="AE66" s="179">
        <f ca="1">IF(ISNUMBER(MATCH(DATEVALUE($A66),'recurring1_based on steps'!AE$1:AE$400,0)),AE$2,)</f>
        <v>0</v>
      </c>
      <c r="AF66" s="179">
        <f ca="1">IF(ISNUMBER(MATCH(DATEVALUE($A66),'recurring1_based on steps'!AF$1:AF$400,0)),AF$2,)</f>
        <v>0</v>
      </c>
      <c r="AG66" s="179">
        <f ca="1">IF(ISNUMBER(MATCH(DATEVALUE($A66),'recurring1_based on steps'!AG$1:AG$400,0)),AG$2,)</f>
        <v>0</v>
      </c>
      <c r="AH66" s="179">
        <f ca="1">IF(ISNUMBER(MATCH(DATEVALUE($A66),'recurring1_based on steps'!AH$1:AH$400,0)),AH$2,)</f>
        <v>0</v>
      </c>
      <c r="AI66" s="179">
        <f ca="1">IF(ISNUMBER(MATCH(DATEVALUE($A66),'recurring1_based on steps'!AI$1:AI$400,0)),AI$2,)</f>
        <v>0</v>
      </c>
      <c r="AJ66" s="179">
        <f ca="1">IF(ISNUMBER(MATCH(DATEVALUE($A66),'recurring1_based on steps'!AJ$1:AJ$400,0)),AJ$2,)</f>
        <v>0</v>
      </c>
      <c r="AK66" s="179">
        <f ca="1">IF(ISNUMBER(MATCH(DATEVALUE($A66),'recurring1_based on steps'!AK$1:AK$400,0)),AK$2,)</f>
        <v>0</v>
      </c>
      <c r="AL66" s="179">
        <f ca="1">IF(ISNUMBER(MATCH(DATEVALUE($A66),'recurring1_based on steps'!AL$1:AL$400,0)),AL$2,)</f>
        <v>0</v>
      </c>
      <c r="AM66" s="179">
        <f ca="1">IF(ISNUMBER(MATCH(DATEVALUE($A66),'recurring1_based on steps'!AM$1:AM$400,0)),AM$2,)</f>
        <v>0</v>
      </c>
      <c r="AN66" s="179">
        <f ca="1">IF(ISNUMBER(MATCH(DATEVALUE($A66),'recurring1_based on steps'!AN$1:AN$400,0)),AN$2,)</f>
        <v>0</v>
      </c>
      <c r="AO66" s="179">
        <f ca="1">IF(ISNUMBER(MATCH(DATEVALUE($A66),'recurring1_based on steps'!AO$1:AO$400,0)),AO$2,)</f>
        <v>0</v>
      </c>
      <c r="AP66" s="179">
        <f ca="1">IF(ISNUMBER(MATCH(DATEVALUE($A66),'recurring1_based on steps'!AP$1:AP$400,0)),AP$2,)</f>
        <v>0</v>
      </c>
      <c r="AQ66" s="179">
        <f ca="1">IF(ISNUMBER(MATCH(DATEVALUE($A66),'recurring1_based on steps'!AQ$1:AQ$400,0)),AQ$2,)</f>
        <v>0</v>
      </c>
      <c r="AR66" s="179">
        <f ca="1">IF(ISNUMBER(MATCH(DATEVALUE($A66),'recurring1_based on steps'!AR$1:AR$400,0)),AR$2,)</f>
        <v>0</v>
      </c>
      <c r="AS66" s="179">
        <f ca="1">IF(ISNUMBER(MATCH(DATEVALUE($A66),'recurring1_based on steps'!AS$1:AS$400,0)),AS$2,)</f>
        <v>0</v>
      </c>
      <c r="AT66" s="179">
        <f ca="1">IF(ISNUMBER(MATCH(DATEVALUE($A66),'recurring1_based on steps'!AT$1:AT$400,0)),AT$2,)</f>
        <v>0</v>
      </c>
      <c r="AU66" s="179">
        <f ca="1">IF(ISNUMBER(MATCH(DATEVALUE($A66),'recurring1_based on steps'!AU$1:AU$400,0)),AU$2,)</f>
        <v>0</v>
      </c>
      <c r="AV66" s="179">
        <f ca="1">IF(ISNUMBER(MATCH(DATEVALUE($A66),'recurring1_based on steps'!AV$1:AV$400,0)),AV$2,)</f>
        <v>0</v>
      </c>
      <c r="AW66" s="179">
        <f ca="1">IF(ISNUMBER(MATCH(DATEVALUE($A66),'recurring1_based on steps'!AW$1:AW$400,0)),AW$2,)</f>
        <v>0</v>
      </c>
      <c r="AX66" s="179">
        <f ca="1">IF(ISNUMBER(MATCH(DATEVALUE($A66),'recurring1_based on steps'!AX$1:AX$400,0)),AX$2,)</f>
        <v>0</v>
      </c>
      <c r="AY66" s="179">
        <f ca="1">IF(ISNUMBER(MATCH(DATEVALUE($A66),'recurring1_based on steps'!AY$1:AY$400,0)),AY$2,)</f>
        <v>0</v>
      </c>
    </row>
    <row r="67" spans="1:51" x14ac:dyDescent="0.2">
      <c r="A67" s="32" t="str">
        <f t="shared" ca="1" si="0"/>
        <v>2025-06-08</v>
      </c>
      <c r="B67" s="179">
        <f ca="1">IF(ISNUMBER(MATCH(DATEVALUE($A67),'recurring1_based on steps'!B$1:B$400,0)),B$2,)</f>
        <v>0</v>
      </c>
      <c r="C67" s="179">
        <f ca="1">IF(ISNUMBER(MATCH(DATEVALUE($A67),'recurring1_based on steps'!C$1:C$400,0)),C$2,)</f>
        <v>0</v>
      </c>
      <c r="D67" s="179">
        <f ca="1">IF(ISNUMBER(MATCH(DATEVALUE($A67),'recurring1_based on steps'!D$1:D$400,0)),D$2,)</f>
        <v>0</v>
      </c>
      <c r="E67" s="179">
        <f ca="1">IF(ISNUMBER(MATCH(DATEVALUE($A67),'recurring1_based on steps'!E$1:E$400,0)),E$2,)</f>
        <v>0</v>
      </c>
      <c r="F67" s="179">
        <f ca="1">IF(ISNUMBER(MATCH(DATEVALUE($A67),'recurring1_based on steps'!F$1:F$400,0)),F$2,)</f>
        <v>0</v>
      </c>
      <c r="G67" s="179">
        <f ca="1">IF(ISNUMBER(MATCH(DATEVALUE($A67),'recurring1_based on steps'!G$1:G$400,0)),G$2,)</f>
        <v>0</v>
      </c>
      <c r="H67" s="179">
        <f ca="1">IF(ISNUMBER(MATCH(DATEVALUE($A67),'recurring1_based on steps'!H$1:H$400,0)),H$2,)</f>
        <v>0</v>
      </c>
      <c r="I67" s="179">
        <f ca="1">IF(ISNUMBER(MATCH(DATEVALUE($A67),'recurring1_based on steps'!I$1:I$400,0)),I$2,)</f>
        <v>0</v>
      </c>
      <c r="J67" s="179">
        <f ca="1">IF(ISNUMBER(MATCH(DATEVALUE($A67),'recurring1_based on steps'!J$1:J$400,0)),J$2,)</f>
        <v>0</v>
      </c>
      <c r="K67" s="179">
        <f ca="1">IF(ISNUMBER(MATCH(DATEVALUE($A67),'recurring1_based on steps'!K$1:K$400,0)),K$2,)</f>
        <v>0</v>
      </c>
      <c r="L67" s="179">
        <f ca="1">IF(ISNUMBER(MATCH(DATEVALUE($A67),'recurring1_based on steps'!L$1:L$400,0)),L$2,)</f>
        <v>0</v>
      </c>
      <c r="M67" s="179">
        <f ca="1">IF(ISNUMBER(MATCH(DATEVALUE($A67),'recurring1_based on steps'!M$1:M$400,0)),M$2,)</f>
        <v>0</v>
      </c>
      <c r="N67" s="179">
        <f ca="1">IF(ISNUMBER(MATCH(DATEVALUE($A67),'recurring1_based on steps'!N$1:N$400,0)),N$2,)</f>
        <v>0</v>
      </c>
      <c r="O67" s="179">
        <f ca="1">IF(ISNUMBER(MATCH(DATEVALUE($A67),'recurring1_based on steps'!O$1:O$400,0)),O$2,)</f>
        <v>0</v>
      </c>
      <c r="P67" s="179">
        <f ca="1">IF(ISNUMBER(MATCH(DATEVALUE($A67),'recurring1_based on steps'!P$1:P$400,0)),P$2,)</f>
        <v>0</v>
      </c>
      <c r="Q67" s="179">
        <f ca="1">IF(ISNUMBER(MATCH(DATEVALUE($A67),'recurring1_based on steps'!Q$1:Q$400,0)),Q$2,)</f>
        <v>0</v>
      </c>
      <c r="R67" s="179">
        <f ca="1">IF(ISNUMBER(MATCH(DATEVALUE($A67),'recurring1_based on steps'!R$1:R$400,0)),R$2,)</f>
        <v>0</v>
      </c>
      <c r="S67" s="179">
        <f ca="1">IF(ISNUMBER(MATCH(DATEVALUE($A67),'recurring1_based on steps'!S$1:S$400,0)),S$2,)</f>
        <v>0</v>
      </c>
      <c r="T67" s="179">
        <f ca="1">IF(ISNUMBER(MATCH(DATEVALUE($A67),'recurring1_based on steps'!T$1:T$400,0)),T$2,)</f>
        <v>0</v>
      </c>
      <c r="U67" s="179">
        <f ca="1">IF(ISNUMBER(MATCH(DATEVALUE($A67),'recurring1_based on steps'!U$1:U$400,0)),U$2,)</f>
        <v>0</v>
      </c>
      <c r="V67" s="179">
        <f ca="1">IF(ISNUMBER(MATCH(DATEVALUE($A67),'recurring1_based on steps'!V$1:V$400,0)),V$2,)</f>
        <v>0</v>
      </c>
      <c r="W67" s="179">
        <f ca="1">IF(ISNUMBER(MATCH(DATEVALUE($A67),'recurring1_based on steps'!W$1:W$400,0)),W$2,)</f>
        <v>0</v>
      </c>
      <c r="X67" s="179">
        <f ca="1">IF(ISNUMBER(MATCH(DATEVALUE($A67),'recurring1_based on steps'!X$1:X$400,0)),X$2,)</f>
        <v>0</v>
      </c>
      <c r="Y67" s="179">
        <f ca="1">IF(ISNUMBER(MATCH(DATEVALUE($A67),'recurring1_based on steps'!Y$1:Y$400,0)),Y$2,)</f>
        <v>0</v>
      </c>
      <c r="Z67" s="179">
        <f ca="1">IF(ISNUMBER(MATCH(DATEVALUE($A67),'recurring1_based on steps'!Z$1:Z$400,0)),Z$2,)</f>
        <v>0</v>
      </c>
      <c r="AA67" s="179">
        <f ca="1">IF(ISNUMBER(MATCH(DATEVALUE($A67),'recurring1_based on steps'!AA$1:AA$400,0)),AA$2,)</f>
        <v>0</v>
      </c>
      <c r="AB67" s="179">
        <f ca="1">IF(ISNUMBER(MATCH(DATEVALUE($A67),'recurring1_based on steps'!AB$1:AB$400,0)),AB$2,)</f>
        <v>0</v>
      </c>
      <c r="AC67" s="179">
        <f ca="1">IF(ISNUMBER(MATCH(DATEVALUE($A67),'recurring1_based on steps'!AC$1:AC$400,0)),AC$2,)</f>
        <v>0</v>
      </c>
      <c r="AD67" s="179">
        <f ca="1">IF(ISNUMBER(MATCH(DATEVALUE($A67),'recurring1_based on steps'!AD$1:AD$400,0)),AD$2,)</f>
        <v>0</v>
      </c>
      <c r="AE67" s="179">
        <f ca="1">IF(ISNUMBER(MATCH(DATEVALUE($A67),'recurring1_based on steps'!AE$1:AE$400,0)),AE$2,)</f>
        <v>0</v>
      </c>
      <c r="AF67" s="179">
        <f ca="1">IF(ISNUMBER(MATCH(DATEVALUE($A67),'recurring1_based on steps'!AF$1:AF$400,0)),AF$2,)</f>
        <v>0</v>
      </c>
      <c r="AG67" s="179">
        <f ca="1">IF(ISNUMBER(MATCH(DATEVALUE($A67),'recurring1_based on steps'!AG$1:AG$400,0)),AG$2,)</f>
        <v>0</v>
      </c>
      <c r="AH67" s="179">
        <f ca="1">IF(ISNUMBER(MATCH(DATEVALUE($A67),'recurring1_based on steps'!AH$1:AH$400,0)),AH$2,)</f>
        <v>0</v>
      </c>
      <c r="AI67" s="179">
        <f ca="1">IF(ISNUMBER(MATCH(DATEVALUE($A67),'recurring1_based on steps'!AI$1:AI$400,0)),AI$2,)</f>
        <v>0</v>
      </c>
      <c r="AJ67" s="179">
        <f ca="1">IF(ISNUMBER(MATCH(DATEVALUE($A67),'recurring1_based on steps'!AJ$1:AJ$400,0)),AJ$2,)</f>
        <v>0</v>
      </c>
      <c r="AK67" s="179">
        <f ca="1">IF(ISNUMBER(MATCH(DATEVALUE($A67),'recurring1_based on steps'!AK$1:AK$400,0)),AK$2,)</f>
        <v>0</v>
      </c>
      <c r="AL67" s="179">
        <f ca="1">IF(ISNUMBER(MATCH(DATEVALUE($A67),'recurring1_based on steps'!AL$1:AL$400,0)),AL$2,)</f>
        <v>0</v>
      </c>
      <c r="AM67" s="179">
        <f ca="1">IF(ISNUMBER(MATCH(DATEVALUE($A67),'recurring1_based on steps'!AM$1:AM$400,0)),AM$2,)</f>
        <v>0</v>
      </c>
      <c r="AN67" s="179">
        <f ca="1">IF(ISNUMBER(MATCH(DATEVALUE($A67),'recurring1_based on steps'!AN$1:AN$400,0)),AN$2,)</f>
        <v>0</v>
      </c>
      <c r="AO67" s="179">
        <f ca="1">IF(ISNUMBER(MATCH(DATEVALUE($A67),'recurring1_based on steps'!AO$1:AO$400,0)),AO$2,)</f>
        <v>0</v>
      </c>
      <c r="AP67" s="179">
        <f ca="1">IF(ISNUMBER(MATCH(DATEVALUE($A67),'recurring1_based on steps'!AP$1:AP$400,0)),AP$2,)</f>
        <v>0</v>
      </c>
      <c r="AQ67" s="179">
        <f ca="1">IF(ISNUMBER(MATCH(DATEVALUE($A67),'recurring1_based on steps'!AQ$1:AQ$400,0)),AQ$2,)</f>
        <v>0</v>
      </c>
      <c r="AR67" s="179">
        <f ca="1">IF(ISNUMBER(MATCH(DATEVALUE($A67),'recurring1_based on steps'!AR$1:AR$400,0)),AR$2,)</f>
        <v>0</v>
      </c>
      <c r="AS67" s="179">
        <f ca="1">IF(ISNUMBER(MATCH(DATEVALUE($A67),'recurring1_based on steps'!AS$1:AS$400,0)),AS$2,)</f>
        <v>0</v>
      </c>
      <c r="AT67" s="179">
        <f ca="1">IF(ISNUMBER(MATCH(DATEVALUE($A67),'recurring1_based on steps'!AT$1:AT$400,0)),AT$2,)</f>
        <v>0</v>
      </c>
      <c r="AU67" s="179">
        <f ca="1">IF(ISNUMBER(MATCH(DATEVALUE($A67),'recurring1_based on steps'!AU$1:AU$400,0)),AU$2,)</f>
        <v>0</v>
      </c>
      <c r="AV67" s="179">
        <f ca="1">IF(ISNUMBER(MATCH(DATEVALUE($A67),'recurring1_based on steps'!AV$1:AV$400,0)),AV$2,)</f>
        <v>0</v>
      </c>
      <c r="AW67" s="179">
        <f ca="1">IF(ISNUMBER(MATCH(DATEVALUE($A67),'recurring1_based on steps'!AW$1:AW$400,0)),AW$2,)</f>
        <v>0</v>
      </c>
      <c r="AX67" s="179">
        <f ca="1">IF(ISNUMBER(MATCH(DATEVALUE($A67),'recurring1_based on steps'!AX$1:AX$400,0)),AX$2,)</f>
        <v>0</v>
      </c>
      <c r="AY67" s="179">
        <f ca="1">IF(ISNUMBER(MATCH(DATEVALUE($A67),'recurring1_based on steps'!AY$1:AY$400,0)),AY$2,)</f>
        <v>0</v>
      </c>
    </row>
    <row r="68" spans="1:51" x14ac:dyDescent="0.2">
      <c r="A68" s="32" t="str">
        <f t="shared" ca="1" si="0"/>
        <v>2025-06-09</v>
      </c>
      <c r="B68" s="179">
        <f ca="1">IF(ISNUMBER(MATCH(DATEVALUE($A68),'recurring1_based on steps'!B$1:B$400,0)),B$2,)</f>
        <v>0</v>
      </c>
      <c r="C68" s="179">
        <f ca="1">IF(ISNUMBER(MATCH(DATEVALUE($A68),'recurring1_based on steps'!C$1:C$400,0)),C$2,)</f>
        <v>0</v>
      </c>
      <c r="D68" s="179">
        <f ca="1">IF(ISNUMBER(MATCH(DATEVALUE($A68),'recurring1_based on steps'!D$1:D$400,0)),D$2,)</f>
        <v>0</v>
      </c>
      <c r="E68" s="179">
        <f ca="1">IF(ISNUMBER(MATCH(DATEVALUE($A68),'recurring1_based on steps'!E$1:E$400,0)),E$2,)</f>
        <v>0</v>
      </c>
      <c r="F68" s="179">
        <f ca="1">IF(ISNUMBER(MATCH(DATEVALUE($A68),'recurring1_based on steps'!F$1:F$400,0)),F$2,)</f>
        <v>0</v>
      </c>
      <c r="G68" s="179">
        <f ca="1">IF(ISNUMBER(MATCH(DATEVALUE($A68),'recurring1_based on steps'!G$1:G$400,0)),G$2,)</f>
        <v>0</v>
      </c>
      <c r="H68" s="179">
        <f ca="1">IF(ISNUMBER(MATCH(DATEVALUE($A68),'recurring1_based on steps'!H$1:H$400,0)),H$2,)</f>
        <v>0</v>
      </c>
      <c r="I68" s="179">
        <f ca="1">IF(ISNUMBER(MATCH(DATEVALUE($A68),'recurring1_based on steps'!I$1:I$400,0)),I$2,)</f>
        <v>0</v>
      </c>
      <c r="J68" s="179">
        <f ca="1">IF(ISNUMBER(MATCH(DATEVALUE($A68),'recurring1_based on steps'!J$1:J$400,0)),J$2,)</f>
        <v>0</v>
      </c>
      <c r="K68" s="179">
        <f ca="1">IF(ISNUMBER(MATCH(DATEVALUE($A68),'recurring1_based on steps'!K$1:K$400,0)),K$2,)</f>
        <v>0</v>
      </c>
      <c r="L68" s="179">
        <f ca="1">IF(ISNUMBER(MATCH(DATEVALUE($A68),'recurring1_based on steps'!L$1:L$400,0)),L$2,)</f>
        <v>0</v>
      </c>
      <c r="M68" s="179">
        <f ca="1">IF(ISNUMBER(MATCH(DATEVALUE($A68),'recurring1_based on steps'!M$1:M$400,0)),M$2,)</f>
        <v>0</v>
      </c>
      <c r="N68" s="179">
        <f ca="1">IF(ISNUMBER(MATCH(DATEVALUE($A68),'recurring1_based on steps'!N$1:N$400,0)),N$2,)</f>
        <v>0</v>
      </c>
      <c r="O68" s="179">
        <f ca="1">IF(ISNUMBER(MATCH(DATEVALUE($A68),'recurring1_based on steps'!O$1:O$400,0)),O$2,)</f>
        <v>0</v>
      </c>
      <c r="P68" s="179">
        <f ca="1">IF(ISNUMBER(MATCH(DATEVALUE($A68),'recurring1_based on steps'!P$1:P$400,0)),P$2,)</f>
        <v>0</v>
      </c>
      <c r="Q68" s="179">
        <f ca="1">IF(ISNUMBER(MATCH(DATEVALUE($A68),'recurring1_based on steps'!Q$1:Q$400,0)),Q$2,)</f>
        <v>0</v>
      </c>
      <c r="R68" s="179">
        <f ca="1">IF(ISNUMBER(MATCH(DATEVALUE($A68),'recurring1_based on steps'!R$1:R$400,0)),R$2,)</f>
        <v>0</v>
      </c>
      <c r="S68" s="179">
        <f ca="1">IF(ISNUMBER(MATCH(DATEVALUE($A68),'recurring1_based on steps'!S$1:S$400,0)),S$2,)</f>
        <v>0</v>
      </c>
      <c r="T68" s="179">
        <f ca="1">IF(ISNUMBER(MATCH(DATEVALUE($A68),'recurring1_based on steps'!T$1:T$400,0)),T$2,)</f>
        <v>0</v>
      </c>
      <c r="U68" s="179">
        <f ca="1">IF(ISNUMBER(MATCH(DATEVALUE($A68),'recurring1_based on steps'!U$1:U$400,0)),U$2,)</f>
        <v>0</v>
      </c>
      <c r="V68" s="179">
        <f ca="1">IF(ISNUMBER(MATCH(DATEVALUE($A68),'recurring1_based on steps'!V$1:V$400,0)),V$2,)</f>
        <v>0</v>
      </c>
      <c r="W68" s="179">
        <f ca="1">IF(ISNUMBER(MATCH(DATEVALUE($A68),'recurring1_based on steps'!W$1:W$400,0)),W$2,)</f>
        <v>0</v>
      </c>
      <c r="X68" s="179">
        <f ca="1">IF(ISNUMBER(MATCH(DATEVALUE($A68),'recurring1_based on steps'!X$1:X$400,0)),X$2,)</f>
        <v>0</v>
      </c>
      <c r="Y68" s="179">
        <f ca="1">IF(ISNUMBER(MATCH(DATEVALUE($A68),'recurring1_based on steps'!Y$1:Y$400,0)),Y$2,)</f>
        <v>0</v>
      </c>
      <c r="Z68" s="179">
        <f ca="1">IF(ISNUMBER(MATCH(DATEVALUE($A68),'recurring1_based on steps'!Z$1:Z$400,0)),Z$2,)</f>
        <v>0</v>
      </c>
      <c r="AA68" s="179">
        <f ca="1">IF(ISNUMBER(MATCH(DATEVALUE($A68),'recurring1_based on steps'!AA$1:AA$400,0)),AA$2,)</f>
        <v>0</v>
      </c>
      <c r="AB68" s="179">
        <f ca="1">IF(ISNUMBER(MATCH(DATEVALUE($A68),'recurring1_based on steps'!AB$1:AB$400,0)),AB$2,)</f>
        <v>0</v>
      </c>
      <c r="AC68" s="179">
        <f ca="1">IF(ISNUMBER(MATCH(DATEVALUE($A68),'recurring1_based on steps'!AC$1:AC$400,0)),AC$2,)</f>
        <v>0</v>
      </c>
      <c r="AD68" s="179">
        <f ca="1">IF(ISNUMBER(MATCH(DATEVALUE($A68),'recurring1_based on steps'!AD$1:AD$400,0)),AD$2,)</f>
        <v>0</v>
      </c>
      <c r="AE68" s="179">
        <f ca="1">IF(ISNUMBER(MATCH(DATEVALUE($A68),'recurring1_based on steps'!AE$1:AE$400,0)),AE$2,)</f>
        <v>0</v>
      </c>
      <c r="AF68" s="179">
        <f ca="1">IF(ISNUMBER(MATCH(DATEVALUE($A68),'recurring1_based on steps'!AF$1:AF$400,0)),AF$2,)</f>
        <v>0</v>
      </c>
      <c r="AG68" s="179">
        <f ca="1">IF(ISNUMBER(MATCH(DATEVALUE($A68),'recurring1_based on steps'!AG$1:AG$400,0)),AG$2,)</f>
        <v>0</v>
      </c>
      <c r="AH68" s="179">
        <f ca="1">IF(ISNUMBER(MATCH(DATEVALUE($A68),'recurring1_based on steps'!AH$1:AH$400,0)),AH$2,)</f>
        <v>0</v>
      </c>
      <c r="AI68" s="179">
        <f ca="1">IF(ISNUMBER(MATCH(DATEVALUE($A68),'recurring1_based on steps'!AI$1:AI$400,0)),AI$2,)</f>
        <v>0</v>
      </c>
      <c r="AJ68" s="179">
        <f ca="1">IF(ISNUMBER(MATCH(DATEVALUE($A68),'recurring1_based on steps'!AJ$1:AJ$400,0)),AJ$2,)</f>
        <v>0</v>
      </c>
      <c r="AK68" s="179">
        <f ca="1">IF(ISNUMBER(MATCH(DATEVALUE($A68),'recurring1_based on steps'!AK$1:AK$400,0)),AK$2,)</f>
        <v>0</v>
      </c>
      <c r="AL68" s="179">
        <f ca="1">IF(ISNUMBER(MATCH(DATEVALUE($A68),'recurring1_based on steps'!AL$1:AL$400,0)),AL$2,)</f>
        <v>0</v>
      </c>
      <c r="AM68" s="179">
        <f ca="1">IF(ISNUMBER(MATCH(DATEVALUE($A68),'recurring1_based on steps'!AM$1:AM$400,0)),AM$2,)</f>
        <v>0</v>
      </c>
      <c r="AN68" s="179">
        <f ca="1">IF(ISNUMBER(MATCH(DATEVALUE($A68),'recurring1_based on steps'!AN$1:AN$400,0)),AN$2,)</f>
        <v>0</v>
      </c>
      <c r="AO68" s="179">
        <f ca="1">IF(ISNUMBER(MATCH(DATEVALUE($A68),'recurring1_based on steps'!AO$1:AO$400,0)),AO$2,)</f>
        <v>0</v>
      </c>
      <c r="AP68" s="179">
        <f ca="1">IF(ISNUMBER(MATCH(DATEVALUE($A68),'recurring1_based on steps'!AP$1:AP$400,0)),AP$2,)</f>
        <v>0</v>
      </c>
      <c r="AQ68" s="179">
        <f ca="1">IF(ISNUMBER(MATCH(DATEVALUE($A68),'recurring1_based on steps'!AQ$1:AQ$400,0)),AQ$2,)</f>
        <v>0</v>
      </c>
      <c r="AR68" s="179">
        <f ca="1">IF(ISNUMBER(MATCH(DATEVALUE($A68),'recurring1_based on steps'!AR$1:AR$400,0)),AR$2,)</f>
        <v>0</v>
      </c>
      <c r="AS68" s="179">
        <f ca="1">IF(ISNUMBER(MATCH(DATEVALUE($A68),'recurring1_based on steps'!AS$1:AS$400,0)),AS$2,)</f>
        <v>0</v>
      </c>
      <c r="AT68" s="179">
        <f ca="1">IF(ISNUMBER(MATCH(DATEVALUE($A68),'recurring1_based on steps'!AT$1:AT$400,0)),AT$2,)</f>
        <v>0</v>
      </c>
      <c r="AU68" s="179">
        <f ca="1">IF(ISNUMBER(MATCH(DATEVALUE($A68),'recurring1_based on steps'!AU$1:AU$400,0)),AU$2,)</f>
        <v>0</v>
      </c>
      <c r="AV68" s="179">
        <f ca="1">IF(ISNUMBER(MATCH(DATEVALUE($A68),'recurring1_based on steps'!AV$1:AV$400,0)),AV$2,)</f>
        <v>0</v>
      </c>
      <c r="AW68" s="179">
        <f ca="1">IF(ISNUMBER(MATCH(DATEVALUE($A68),'recurring1_based on steps'!AW$1:AW$400,0)),AW$2,)</f>
        <v>0</v>
      </c>
      <c r="AX68" s="179">
        <f ca="1">IF(ISNUMBER(MATCH(DATEVALUE($A68),'recurring1_based on steps'!AX$1:AX$400,0)),AX$2,)</f>
        <v>0</v>
      </c>
      <c r="AY68" s="179">
        <f ca="1">IF(ISNUMBER(MATCH(DATEVALUE($A68),'recurring1_based on steps'!AY$1:AY$400,0)),AY$2,)</f>
        <v>0</v>
      </c>
    </row>
    <row r="69" spans="1:51" x14ac:dyDescent="0.2">
      <c r="A69" s="32" t="str">
        <f t="shared" ref="A69:A132" ca="1" si="1">TEXT(DATEVALUE(A68)+1,"yyyy-mm-dd")</f>
        <v>2025-06-10</v>
      </c>
      <c r="B69" s="179">
        <f ca="1">IF(ISNUMBER(MATCH(DATEVALUE($A69),'recurring1_based on steps'!B$1:B$400,0)),B$2,)</f>
        <v>0</v>
      </c>
      <c r="C69" s="179">
        <f ca="1">IF(ISNUMBER(MATCH(DATEVALUE($A69),'recurring1_based on steps'!C$1:C$400,0)),C$2,)</f>
        <v>0</v>
      </c>
      <c r="D69" s="179">
        <f ca="1">IF(ISNUMBER(MATCH(DATEVALUE($A69),'recurring1_based on steps'!D$1:D$400,0)),D$2,)</f>
        <v>0</v>
      </c>
      <c r="E69" s="179">
        <f ca="1">IF(ISNUMBER(MATCH(DATEVALUE($A69),'recurring1_based on steps'!E$1:E$400,0)),E$2,)</f>
        <v>0</v>
      </c>
      <c r="F69" s="179">
        <f ca="1">IF(ISNUMBER(MATCH(DATEVALUE($A69),'recurring1_based on steps'!F$1:F$400,0)),F$2,)</f>
        <v>0</v>
      </c>
      <c r="G69" s="179">
        <f ca="1">IF(ISNUMBER(MATCH(DATEVALUE($A69),'recurring1_based on steps'!G$1:G$400,0)),G$2,)</f>
        <v>0</v>
      </c>
      <c r="H69" s="179">
        <f ca="1">IF(ISNUMBER(MATCH(DATEVALUE($A69),'recurring1_based on steps'!H$1:H$400,0)),H$2,)</f>
        <v>0</v>
      </c>
      <c r="I69" s="179">
        <f ca="1">IF(ISNUMBER(MATCH(DATEVALUE($A69),'recurring1_based on steps'!I$1:I$400,0)),I$2,)</f>
        <v>0</v>
      </c>
      <c r="J69" s="179">
        <f ca="1">IF(ISNUMBER(MATCH(DATEVALUE($A69),'recurring1_based on steps'!J$1:J$400,0)),J$2,)</f>
        <v>0</v>
      </c>
      <c r="K69" s="179">
        <f ca="1">IF(ISNUMBER(MATCH(DATEVALUE($A69),'recurring1_based on steps'!K$1:K$400,0)),K$2,)</f>
        <v>0</v>
      </c>
      <c r="L69" s="179">
        <f ca="1">IF(ISNUMBER(MATCH(DATEVALUE($A69),'recurring1_based on steps'!L$1:L$400,0)),L$2,)</f>
        <v>0</v>
      </c>
      <c r="M69" s="179">
        <f ca="1">IF(ISNUMBER(MATCH(DATEVALUE($A69),'recurring1_based on steps'!M$1:M$400,0)),M$2,)</f>
        <v>0</v>
      </c>
      <c r="N69" s="179">
        <f ca="1">IF(ISNUMBER(MATCH(DATEVALUE($A69),'recurring1_based on steps'!N$1:N$400,0)),N$2,)</f>
        <v>0</v>
      </c>
      <c r="O69" s="179">
        <f ca="1">IF(ISNUMBER(MATCH(DATEVALUE($A69),'recurring1_based on steps'!O$1:O$400,0)),O$2,)</f>
        <v>0</v>
      </c>
      <c r="P69" s="179">
        <f ca="1">IF(ISNUMBER(MATCH(DATEVALUE($A69),'recurring1_based on steps'!P$1:P$400,0)),P$2,)</f>
        <v>0</v>
      </c>
      <c r="Q69" s="179">
        <f ca="1">IF(ISNUMBER(MATCH(DATEVALUE($A69),'recurring1_based on steps'!Q$1:Q$400,0)),Q$2,)</f>
        <v>0</v>
      </c>
      <c r="R69" s="179">
        <f ca="1">IF(ISNUMBER(MATCH(DATEVALUE($A69),'recurring1_based on steps'!R$1:R$400,0)),R$2,)</f>
        <v>0</v>
      </c>
      <c r="S69" s="179">
        <f ca="1">IF(ISNUMBER(MATCH(DATEVALUE($A69),'recurring1_based on steps'!S$1:S$400,0)),S$2,)</f>
        <v>0</v>
      </c>
      <c r="T69" s="179">
        <f ca="1">IF(ISNUMBER(MATCH(DATEVALUE($A69),'recurring1_based on steps'!T$1:T$400,0)),T$2,)</f>
        <v>0</v>
      </c>
      <c r="U69" s="179">
        <f ca="1">IF(ISNUMBER(MATCH(DATEVALUE($A69),'recurring1_based on steps'!U$1:U$400,0)),U$2,)</f>
        <v>0</v>
      </c>
      <c r="V69" s="179">
        <f ca="1">IF(ISNUMBER(MATCH(DATEVALUE($A69),'recurring1_based on steps'!V$1:V$400,0)),V$2,)</f>
        <v>0</v>
      </c>
      <c r="W69" s="179">
        <f ca="1">IF(ISNUMBER(MATCH(DATEVALUE($A69),'recurring1_based on steps'!W$1:W$400,0)),W$2,)</f>
        <v>0</v>
      </c>
      <c r="X69" s="179">
        <f ca="1">IF(ISNUMBER(MATCH(DATEVALUE($A69),'recurring1_based on steps'!X$1:X$400,0)),X$2,)</f>
        <v>0</v>
      </c>
      <c r="Y69" s="179">
        <f ca="1">IF(ISNUMBER(MATCH(DATEVALUE($A69),'recurring1_based on steps'!Y$1:Y$400,0)),Y$2,)</f>
        <v>0</v>
      </c>
      <c r="Z69" s="179">
        <f ca="1">IF(ISNUMBER(MATCH(DATEVALUE($A69),'recurring1_based on steps'!Z$1:Z$400,0)),Z$2,)</f>
        <v>0</v>
      </c>
      <c r="AA69" s="179">
        <f ca="1">IF(ISNUMBER(MATCH(DATEVALUE($A69),'recurring1_based on steps'!AA$1:AA$400,0)),AA$2,)</f>
        <v>0</v>
      </c>
      <c r="AB69" s="179">
        <f ca="1">IF(ISNUMBER(MATCH(DATEVALUE($A69),'recurring1_based on steps'!AB$1:AB$400,0)),AB$2,)</f>
        <v>0</v>
      </c>
      <c r="AC69" s="179">
        <f ca="1">IF(ISNUMBER(MATCH(DATEVALUE($A69),'recurring1_based on steps'!AC$1:AC$400,0)),AC$2,)</f>
        <v>0</v>
      </c>
      <c r="AD69" s="179">
        <f ca="1">IF(ISNUMBER(MATCH(DATEVALUE($A69),'recurring1_based on steps'!AD$1:AD$400,0)),AD$2,)</f>
        <v>0</v>
      </c>
      <c r="AE69" s="179">
        <f ca="1">IF(ISNUMBER(MATCH(DATEVALUE($A69),'recurring1_based on steps'!AE$1:AE$400,0)),AE$2,)</f>
        <v>0</v>
      </c>
      <c r="AF69" s="179">
        <f ca="1">IF(ISNUMBER(MATCH(DATEVALUE($A69),'recurring1_based on steps'!AF$1:AF$400,0)),AF$2,)</f>
        <v>0</v>
      </c>
      <c r="AG69" s="179">
        <f ca="1">IF(ISNUMBER(MATCH(DATEVALUE($A69),'recurring1_based on steps'!AG$1:AG$400,0)),AG$2,)</f>
        <v>0</v>
      </c>
      <c r="AH69" s="179">
        <f ca="1">IF(ISNUMBER(MATCH(DATEVALUE($A69),'recurring1_based on steps'!AH$1:AH$400,0)),AH$2,)</f>
        <v>0</v>
      </c>
      <c r="AI69" s="179">
        <f ca="1">IF(ISNUMBER(MATCH(DATEVALUE($A69),'recurring1_based on steps'!AI$1:AI$400,0)),AI$2,)</f>
        <v>0</v>
      </c>
      <c r="AJ69" s="179">
        <f ca="1">IF(ISNUMBER(MATCH(DATEVALUE($A69),'recurring1_based on steps'!AJ$1:AJ$400,0)),AJ$2,)</f>
        <v>0</v>
      </c>
      <c r="AK69" s="179">
        <f ca="1">IF(ISNUMBER(MATCH(DATEVALUE($A69),'recurring1_based on steps'!AK$1:AK$400,0)),AK$2,)</f>
        <v>0</v>
      </c>
      <c r="AL69" s="179">
        <f ca="1">IF(ISNUMBER(MATCH(DATEVALUE($A69),'recurring1_based on steps'!AL$1:AL$400,0)),AL$2,)</f>
        <v>0</v>
      </c>
      <c r="AM69" s="179">
        <f ca="1">IF(ISNUMBER(MATCH(DATEVALUE($A69),'recurring1_based on steps'!AM$1:AM$400,0)),AM$2,)</f>
        <v>0</v>
      </c>
      <c r="AN69" s="179">
        <f ca="1">IF(ISNUMBER(MATCH(DATEVALUE($A69),'recurring1_based on steps'!AN$1:AN$400,0)),AN$2,)</f>
        <v>0</v>
      </c>
      <c r="AO69" s="179">
        <f ca="1">IF(ISNUMBER(MATCH(DATEVALUE($A69),'recurring1_based on steps'!AO$1:AO$400,0)),AO$2,)</f>
        <v>0</v>
      </c>
      <c r="AP69" s="179">
        <f ca="1">IF(ISNUMBER(MATCH(DATEVALUE($A69),'recurring1_based on steps'!AP$1:AP$400,0)),AP$2,)</f>
        <v>0</v>
      </c>
      <c r="AQ69" s="179">
        <f ca="1">IF(ISNUMBER(MATCH(DATEVALUE($A69),'recurring1_based on steps'!AQ$1:AQ$400,0)),AQ$2,)</f>
        <v>0</v>
      </c>
      <c r="AR69" s="179">
        <f ca="1">IF(ISNUMBER(MATCH(DATEVALUE($A69),'recurring1_based on steps'!AR$1:AR$400,0)),AR$2,)</f>
        <v>0</v>
      </c>
      <c r="AS69" s="179">
        <f ca="1">IF(ISNUMBER(MATCH(DATEVALUE($A69),'recurring1_based on steps'!AS$1:AS$400,0)),AS$2,)</f>
        <v>0</v>
      </c>
      <c r="AT69" s="179">
        <f ca="1">IF(ISNUMBER(MATCH(DATEVALUE($A69),'recurring1_based on steps'!AT$1:AT$400,0)),AT$2,)</f>
        <v>0</v>
      </c>
      <c r="AU69" s="179">
        <f ca="1">IF(ISNUMBER(MATCH(DATEVALUE($A69),'recurring1_based on steps'!AU$1:AU$400,0)),AU$2,)</f>
        <v>0</v>
      </c>
      <c r="AV69" s="179">
        <f ca="1">IF(ISNUMBER(MATCH(DATEVALUE($A69),'recurring1_based on steps'!AV$1:AV$400,0)),AV$2,)</f>
        <v>0</v>
      </c>
      <c r="AW69" s="179">
        <f ca="1">IF(ISNUMBER(MATCH(DATEVALUE($A69),'recurring1_based on steps'!AW$1:AW$400,0)),AW$2,)</f>
        <v>0</v>
      </c>
      <c r="AX69" s="179">
        <f ca="1">IF(ISNUMBER(MATCH(DATEVALUE($A69),'recurring1_based on steps'!AX$1:AX$400,0)),AX$2,)</f>
        <v>0</v>
      </c>
      <c r="AY69" s="179">
        <f ca="1">IF(ISNUMBER(MATCH(DATEVALUE($A69),'recurring1_based on steps'!AY$1:AY$400,0)),AY$2,)</f>
        <v>0</v>
      </c>
    </row>
    <row r="70" spans="1:51" x14ac:dyDescent="0.2">
      <c r="A70" s="32" t="str">
        <f t="shared" ca="1" si="1"/>
        <v>2025-06-11</v>
      </c>
      <c r="B70" s="179">
        <f ca="1">IF(ISNUMBER(MATCH(DATEVALUE($A70),'recurring1_based on steps'!B$1:B$400,0)),B$2,)</f>
        <v>0</v>
      </c>
      <c r="C70" s="179">
        <f ca="1">IF(ISNUMBER(MATCH(DATEVALUE($A70),'recurring1_based on steps'!C$1:C$400,0)),C$2,)</f>
        <v>0</v>
      </c>
      <c r="D70" s="179">
        <f ca="1">IF(ISNUMBER(MATCH(DATEVALUE($A70),'recurring1_based on steps'!D$1:D$400,0)),D$2,)</f>
        <v>0</v>
      </c>
      <c r="E70" s="179">
        <f ca="1">IF(ISNUMBER(MATCH(DATEVALUE($A70),'recurring1_based on steps'!E$1:E$400,0)),E$2,)</f>
        <v>0</v>
      </c>
      <c r="F70" s="179">
        <f ca="1">IF(ISNUMBER(MATCH(DATEVALUE($A70),'recurring1_based on steps'!F$1:F$400,0)),F$2,)</f>
        <v>0</v>
      </c>
      <c r="G70" s="179">
        <f ca="1">IF(ISNUMBER(MATCH(DATEVALUE($A70),'recurring1_based on steps'!G$1:G$400,0)),G$2,)</f>
        <v>0</v>
      </c>
      <c r="H70" s="179">
        <f ca="1">IF(ISNUMBER(MATCH(DATEVALUE($A70),'recurring1_based on steps'!H$1:H$400,0)),H$2,)</f>
        <v>0</v>
      </c>
      <c r="I70" s="179">
        <f ca="1">IF(ISNUMBER(MATCH(DATEVALUE($A70),'recurring1_based on steps'!I$1:I$400,0)),I$2,)</f>
        <v>0</v>
      </c>
      <c r="J70" s="179">
        <f ca="1">IF(ISNUMBER(MATCH(DATEVALUE($A70),'recurring1_based on steps'!J$1:J$400,0)),J$2,)</f>
        <v>0</v>
      </c>
      <c r="K70" s="179">
        <f ca="1">IF(ISNUMBER(MATCH(DATEVALUE($A70),'recurring1_based on steps'!K$1:K$400,0)),K$2,)</f>
        <v>0</v>
      </c>
      <c r="L70" s="179">
        <f ca="1">IF(ISNUMBER(MATCH(DATEVALUE($A70),'recurring1_based on steps'!L$1:L$400,0)),L$2,)</f>
        <v>0</v>
      </c>
      <c r="M70" s="179">
        <f ca="1">IF(ISNUMBER(MATCH(DATEVALUE($A70),'recurring1_based on steps'!M$1:M$400,0)),M$2,)</f>
        <v>0</v>
      </c>
      <c r="N70" s="179">
        <f ca="1">IF(ISNUMBER(MATCH(DATEVALUE($A70),'recurring1_based on steps'!N$1:N$400,0)),N$2,)</f>
        <v>0</v>
      </c>
      <c r="O70" s="179">
        <f ca="1">IF(ISNUMBER(MATCH(DATEVALUE($A70),'recurring1_based on steps'!O$1:O$400,0)),O$2,)</f>
        <v>0</v>
      </c>
      <c r="P70" s="179">
        <f ca="1">IF(ISNUMBER(MATCH(DATEVALUE($A70),'recurring1_based on steps'!P$1:P$400,0)),P$2,)</f>
        <v>0</v>
      </c>
      <c r="Q70" s="179">
        <f ca="1">IF(ISNUMBER(MATCH(DATEVALUE($A70),'recurring1_based on steps'!Q$1:Q$400,0)),Q$2,)</f>
        <v>0</v>
      </c>
      <c r="R70" s="179">
        <f ca="1">IF(ISNUMBER(MATCH(DATEVALUE($A70),'recurring1_based on steps'!R$1:R$400,0)),R$2,)</f>
        <v>0</v>
      </c>
      <c r="S70" s="179">
        <f ca="1">IF(ISNUMBER(MATCH(DATEVALUE($A70),'recurring1_based on steps'!S$1:S$400,0)),S$2,)</f>
        <v>0</v>
      </c>
      <c r="T70" s="179">
        <f ca="1">IF(ISNUMBER(MATCH(DATEVALUE($A70),'recurring1_based on steps'!T$1:T$400,0)),T$2,)</f>
        <v>0</v>
      </c>
      <c r="U70" s="179">
        <f ca="1">IF(ISNUMBER(MATCH(DATEVALUE($A70),'recurring1_based on steps'!U$1:U$400,0)),U$2,)</f>
        <v>0</v>
      </c>
      <c r="V70" s="179">
        <f ca="1">IF(ISNUMBER(MATCH(DATEVALUE($A70),'recurring1_based on steps'!V$1:V$400,0)),V$2,)</f>
        <v>0</v>
      </c>
      <c r="W70" s="179">
        <f ca="1">IF(ISNUMBER(MATCH(DATEVALUE($A70),'recurring1_based on steps'!W$1:W$400,0)),W$2,)</f>
        <v>0</v>
      </c>
      <c r="X70" s="179">
        <f ca="1">IF(ISNUMBER(MATCH(DATEVALUE($A70),'recurring1_based on steps'!X$1:X$400,0)),X$2,)</f>
        <v>0</v>
      </c>
      <c r="Y70" s="179">
        <f ca="1">IF(ISNUMBER(MATCH(DATEVALUE($A70),'recurring1_based on steps'!Y$1:Y$400,0)),Y$2,)</f>
        <v>0</v>
      </c>
      <c r="Z70" s="179">
        <f ca="1">IF(ISNUMBER(MATCH(DATEVALUE($A70),'recurring1_based on steps'!Z$1:Z$400,0)),Z$2,)</f>
        <v>0</v>
      </c>
      <c r="AA70" s="179">
        <f ca="1">IF(ISNUMBER(MATCH(DATEVALUE($A70),'recurring1_based on steps'!AA$1:AA$400,0)),AA$2,)</f>
        <v>0</v>
      </c>
      <c r="AB70" s="179">
        <f ca="1">IF(ISNUMBER(MATCH(DATEVALUE($A70),'recurring1_based on steps'!AB$1:AB$400,0)),AB$2,)</f>
        <v>0</v>
      </c>
      <c r="AC70" s="179">
        <f ca="1">IF(ISNUMBER(MATCH(DATEVALUE($A70),'recurring1_based on steps'!AC$1:AC$400,0)),AC$2,)</f>
        <v>0</v>
      </c>
      <c r="AD70" s="179">
        <f ca="1">IF(ISNUMBER(MATCH(DATEVALUE($A70),'recurring1_based on steps'!AD$1:AD$400,0)),AD$2,)</f>
        <v>0</v>
      </c>
      <c r="AE70" s="179">
        <f ca="1">IF(ISNUMBER(MATCH(DATEVALUE($A70),'recurring1_based on steps'!AE$1:AE$400,0)),AE$2,)</f>
        <v>0</v>
      </c>
      <c r="AF70" s="179">
        <f ca="1">IF(ISNUMBER(MATCH(DATEVALUE($A70),'recurring1_based on steps'!AF$1:AF$400,0)),AF$2,)</f>
        <v>0</v>
      </c>
      <c r="AG70" s="179">
        <f ca="1">IF(ISNUMBER(MATCH(DATEVALUE($A70),'recurring1_based on steps'!AG$1:AG$400,0)),AG$2,)</f>
        <v>0</v>
      </c>
      <c r="AH70" s="179">
        <f ca="1">IF(ISNUMBER(MATCH(DATEVALUE($A70),'recurring1_based on steps'!AH$1:AH$400,0)),AH$2,)</f>
        <v>0</v>
      </c>
      <c r="AI70" s="179">
        <f ca="1">IF(ISNUMBER(MATCH(DATEVALUE($A70),'recurring1_based on steps'!AI$1:AI$400,0)),AI$2,)</f>
        <v>0</v>
      </c>
      <c r="AJ70" s="179">
        <f ca="1">IF(ISNUMBER(MATCH(DATEVALUE($A70),'recurring1_based on steps'!AJ$1:AJ$400,0)),AJ$2,)</f>
        <v>0</v>
      </c>
      <c r="AK70" s="179">
        <f ca="1">IF(ISNUMBER(MATCH(DATEVALUE($A70),'recurring1_based on steps'!AK$1:AK$400,0)),AK$2,)</f>
        <v>0</v>
      </c>
      <c r="AL70" s="179">
        <f ca="1">IF(ISNUMBER(MATCH(DATEVALUE($A70),'recurring1_based on steps'!AL$1:AL$400,0)),AL$2,)</f>
        <v>0</v>
      </c>
      <c r="AM70" s="179">
        <f ca="1">IF(ISNUMBER(MATCH(DATEVALUE($A70),'recurring1_based on steps'!AM$1:AM$400,0)),AM$2,)</f>
        <v>0</v>
      </c>
      <c r="AN70" s="179">
        <f ca="1">IF(ISNUMBER(MATCH(DATEVALUE($A70),'recurring1_based on steps'!AN$1:AN$400,0)),AN$2,)</f>
        <v>0</v>
      </c>
      <c r="AO70" s="179">
        <f ca="1">IF(ISNUMBER(MATCH(DATEVALUE($A70),'recurring1_based on steps'!AO$1:AO$400,0)),AO$2,)</f>
        <v>0</v>
      </c>
      <c r="AP70" s="179">
        <f ca="1">IF(ISNUMBER(MATCH(DATEVALUE($A70),'recurring1_based on steps'!AP$1:AP$400,0)),AP$2,)</f>
        <v>0</v>
      </c>
      <c r="AQ70" s="179">
        <f ca="1">IF(ISNUMBER(MATCH(DATEVALUE($A70),'recurring1_based on steps'!AQ$1:AQ$400,0)),AQ$2,)</f>
        <v>0</v>
      </c>
      <c r="AR70" s="179">
        <f ca="1">IF(ISNUMBER(MATCH(DATEVALUE($A70),'recurring1_based on steps'!AR$1:AR$400,0)),AR$2,)</f>
        <v>0</v>
      </c>
      <c r="AS70" s="179">
        <f ca="1">IF(ISNUMBER(MATCH(DATEVALUE($A70),'recurring1_based on steps'!AS$1:AS$400,0)),AS$2,)</f>
        <v>0</v>
      </c>
      <c r="AT70" s="179">
        <f ca="1">IF(ISNUMBER(MATCH(DATEVALUE($A70),'recurring1_based on steps'!AT$1:AT$400,0)),AT$2,)</f>
        <v>0</v>
      </c>
      <c r="AU70" s="179">
        <f ca="1">IF(ISNUMBER(MATCH(DATEVALUE($A70),'recurring1_based on steps'!AU$1:AU$400,0)),AU$2,)</f>
        <v>0</v>
      </c>
      <c r="AV70" s="179">
        <f ca="1">IF(ISNUMBER(MATCH(DATEVALUE($A70),'recurring1_based on steps'!AV$1:AV$400,0)),AV$2,)</f>
        <v>0</v>
      </c>
      <c r="AW70" s="179">
        <f ca="1">IF(ISNUMBER(MATCH(DATEVALUE($A70),'recurring1_based on steps'!AW$1:AW$400,0)),AW$2,)</f>
        <v>0</v>
      </c>
      <c r="AX70" s="179">
        <f ca="1">IF(ISNUMBER(MATCH(DATEVALUE($A70),'recurring1_based on steps'!AX$1:AX$400,0)),AX$2,)</f>
        <v>0</v>
      </c>
      <c r="AY70" s="179">
        <f ca="1">IF(ISNUMBER(MATCH(DATEVALUE($A70),'recurring1_based on steps'!AY$1:AY$400,0)),AY$2,)</f>
        <v>0</v>
      </c>
    </row>
    <row r="71" spans="1:51" x14ac:dyDescent="0.2">
      <c r="A71" s="32" t="str">
        <f t="shared" ca="1" si="1"/>
        <v>2025-06-12</v>
      </c>
      <c r="B71" s="179">
        <f ca="1">IF(ISNUMBER(MATCH(DATEVALUE($A71),'recurring1_based on steps'!B$1:B$400,0)),B$2,)</f>
        <v>0</v>
      </c>
      <c r="C71" s="179">
        <f ca="1">IF(ISNUMBER(MATCH(DATEVALUE($A71),'recurring1_based on steps'!C$1:C$400,0)),C$2,)</f>
        <v>0</v>
      </c>
      <c r="D71" s="179">
        <f ca="1">IF(ISNUMBER(MATCH(DATEVALUE($A71),'recurring1_based on steps'!D$1:D$400,0)),D$2,)</f>
        <v>0</v>
      </c>
      <c r="E71" s="179">
        <f ca="1">IF(ISNUMBER(MATCH(DATEVALUE($A71),'recurring1_based on steps'!E$1:E$400,0)),E$2,)</f>
        <v>0</v>
      </c>
      <c r="F71" s="179">
        <f ca="1">IF(ISNUMBER(MATCH(DATEVALUE($A71),'recurring1_based on steps'!F$1:F$400,0)),F$2,)</f>
        <v>0</v>
      </c>
      <c r="G71" s="179">
        <f ca="1">IF(ISNUMBER(MATCH(DATEVALUE($A71),'recurring1_based on steps'!G$1:G$400,0)),G$2,)</f>
        <v>0</v>
      </c>
      <c r="H71" s="179">
        <f ca="1">IF(ISNUMBER(MATCH(DATEVALUE($A71),'recurring1_based on steps'!H$1:H$400,0)),H$2,)</f>
        <v>0</v>
      </c>
      <c r="I71" s="179">
        <f ca="1">IF(ISNUMBER(MATCH(DATEVALUE($A71),'recurring1_based on steps'!I$1:I$400,0)),I$2,)</f>
        <v>0</v>
      </c>
      <c r="J71" s="179">
        <f ca="1">IF(ISNUMBER(MATCH(DATEVALUE($A71),'recurring1_based on steps'!J$1:J$400,0)),J$2,)</f>
        <v>0</v>
      </c>
      <c r="K71" s="179">
        <f ca="1">IF(ISNUMBER(MATCH(DATEVALUE($A71),'recurring1_based on steps'!K$1:K$400,0)),K$2,)</f>
        <v>0</v>
      </c>
      <c r="L71" s="179">
        <f ca="1">IF(ISNUMBER(MATCH(DATEVALUE($A71),'recurring1_based on steps'!L$1:L$400,0)),L$2,)</f>
        <v>0</v>
      </c>
      <c r="M71" s="179">
        <f ca="1">IF(ISNUMBER(MATCH(DATEVALUE($A71),'recurring1_based on steps'!M$1:M$400,0)),M$2,)</f>
        <v>0</v>
      </c>
      <c r="N71" s="179">
        <f ca="1">IF(ISNUMBER(MATCH(DATEVALUE($A71),'recurring1_based on steps'!N$1:N$400,0)),N$2,)</f>
        <v>0</v>
      </c>
      <c r="O71" s="179">
        <f ca="1">IF(ISNUMBER(MATCH(DATEVALUE($A71),'recurring1_based on steps'!O$1:O$400,0)),O$2,)</f>
        <v>0</v>
      </c>
      <c r="P71" s="179">
        <f ca="1">IF(ISNUMBER(MATCH(DATEVALUE($A71),'recurring1_based on steps'!P$1:P$400,0)),P$2,)</f>
        <v>0</v>
      </c>
      <c r="Q71" s="179">
        <f ca="1">IF(ISNUMBER(MATCH(DATEVALUE($A71),'recurring1_based on steps'!Q$1:Q$400,0)),Q$2,)</f>
        <v>0</v>
      </c>
      <c r="R71" s="179">
        <f ca="1">IF(ISNUMBER(MATCH(DATEVALUE($A71),'recurring1_based on steps'!R$1:R$400,0)),R$2,)</f>
        <v>0</v>
      </c>
      <c r="S71" s="179">
        <f ca="1">IF(ISNUMBER(MATCH(DATEVALUE($A71),'recurring1_based on steps'!S$1:S$400,0)),S$2,)</f>
        <v>0</v>
      </c>
      <c r="T71" s="179">
        <f ca="1">IF(ISNUMBER(MATCH(DATEVALUE($A71),'recurring1_based on steps'!T$1:T$400,0)),T$2,)</f>
        <v>0</v>
      </c>
      <c r="U71" s="179">
        <f ca="1">IF(ISNUMBER(MATCH(DATEVALUE($A71),'recurring1_based on steps'!U$1:U$400,0)),U$2,)</f>
        <v>0</v>
      </c>
      <c r="V71" s="179">
        <f ca="1">IF(ISNUMBER(MATCH(DATEVALUE($A71),'recurring1_based on steps'!V$1:V$400,0)),V$2,)</f>
        <v>0</v>
      </c>
      <c r="W71" s="179">
        <f ca="1">IF(ISNUMBER(MATCH(DATEVALUE($A71),'recurring1_based on steps'!W$1:W$400,0)),W$2,)</f>
        <v>0</v>
      </c>
      <c r="X71" s="179">
        <f ca="1">IF(ISNUMBER(MATCH(DATEVALUE($A71),'recurring1_based on steps'!X$1:X$400,0)),X$2,)</f>
        <v>0</v>
      </c>
      <c r="Y71" s="179">
        <f ca="1">IF(ISNUMBER(MATCH(DATEVALUE($A71),'recurring1_based on steps'!Y$1:Y$400,0)),Y$2,)</f>
        <v>0</v>
      </c>
      <c r="Z71" s="179">
        <f ca="1">IF(ISNUMBER(MATCH(DATEVALUE($A71),'recurring1_based on steps'!Z$1:Z$400,0)),Z$2,)</f>
        <v>0</v>
      </c>
      <c r="AA71" s="179">
        <f ca="1">IF(ISNUMBER(MATCH(DATEVALUE($A71),'recurring1_based on steps'!AA$1:AA$400,0)),AA$2,)</f>
        <v>0</v>
      </c>
      <c r="AB71" s="179">
        <f ca="1">IF(ISNUMBER(MATCH(DATEVALUE($A71),'recurring1_based on steps'!AB$1:AB$400,0)),AB$2,)</f>
        <v>0</v>
      </c>
      <c r="AC71" s="179">
        <f ca="1">IF(ISNUMBER(MATCH(DATEVALUE($A71),'recurring1_based on steps'!AC$1:AC$400,0)),AC$2,)</f>
        <v>0</v>
      </c>
      <c r="AD71" s="179">
        <f ca="1">IF(ISNUMBER(MATCH(DATEVALUE($A71),'recurring1_based on steps'!AD$1:AD$400,0)),AD$2,)</f>
        <v>0</v>
      </c>
      <c r="AE71" s="179">
        <f ca="1">IF(ISNUMBER(MATCH(DATEVALUE($A71),'recurring1_based on steps'!AE$1:AE$400,0)),AE$2,)</f>
        <v>0</v>
      </c>
      <c r="AF71" s="179">
        <f ca="1">IF(ISNUMBER(MATCH(DATEVALUE($A71),'recurring1_based on steps'!AF$1:AF$400,0)),AF$2,)</f>
        <v>0</v>
      </c>
      <c r="AG71" s="179">
        <f ca="1">IF(ISNUMBER(MATCH(DATEVALUE($A71),'recurring1_based on steps'!AG$1:AG$400,0)),AG$2,)</f>
        <v>0</v>
      </c>
      <c r="AH71" s="179">
        <f ca="1">IF(ISNUMBER(MATCH(DATEVALUE($A71),'recurring1_based on steps'!AH$1:AH$400,0)),AH$2,)</f>
        <v>0</v>
      </c>
      <c r="AI71" s="179">
        <f ca="1">IF(ISNUMBER(MATCH(DATEVALUE($A71),'recurring1_based on steps'!AI$1:AI$400,0)),AI$2,)</f>
        <v>0</v>
      </c>
      <c r="AJ71" s="179">
        <f ca="1">IF(ISNUMBER(MATCH(DATEVALUE($A71),'recurring1_based on steps'!AJ$1:AJ$400,0)),AJ$2,)</f>
        <v>0</v>
      </c>
      <c r="AK71" s="179">
        <f ca="1">IF(ISNUMBER(MATCH(DATEVALUE($A71),'recurring1_based on steps'!AK$1:AK$400,0)),AK$2,)</f>
        <v>0</v>
      </c>
      <c r="AL71" s="179">
        <f ca="1">IF(ISNUMBER(MATCH(DATEVALUE($A71),'recurring1_based on steps'!AL$1:AL$400,0)),AL$2,)</f>
        <v>0</v>
      </c>
      <c r="AM71" s="179">
        <f ca="1">IF(ISNUMBER(MATCH(DATEVALUE($A71),'recurring1_based on steps'!AM$1:AM$400,0)),AM$2,)</f>
        <v>0</v>
      </c>
      <c r="AN71" s="179">
        <f ca="1">IF(ISNUMBER(MATCH(DATEVALUE($A71),'recurring1_based on steps'!AN$1:AN$400,0)),AN$2,)</f>
        <v>0</v>
      </c>
      <c r="AO71" s="179">
        <f ca="1">IF(ISNUMBER(MATCH(DATEVALUE($A71),'recurring1_based on steps'!AO$1:AO$400,0)),AO$2,)</f>
        <v>0</v>
      </c>
      <c r="AP71" s="179">
        <f ca="1">IF(ISNUMBER(MATCH(DATEVALUE($A71),'recurring1_based on steps'!AP$1:AP$400,0)),AP$2,)</f>
        <v>0</v>
      </c>
      <c r="AQ71" s="179">
        <f ca="1">IF(ISNUMBER(MATCH(DATEVALUE($A71),'recurring1_based on steps'!AQ$1:AQ$400,0)),AQ$2,)</f>
        <v>0</v>
      </c>
      <c r="AR71" s="179">
        <f ca="1">IF(ISNUMBER(MATCH(DATEVALUE($A71),'recurring1_based on steps'!AR$1:AR$400,0)),AR$2,)</f>
        <v>0</v>
      </c>
      <c r="AS71" s="179">
        <f ca="1">IF(ISNUMBER(MATCH(DATEVALUE($A71),'recurring1_based on steps'!AS$1:AS$400,0)),AS$2,)</f>
        <v>0</v>
      </c>
      <c r="AT71" s="179">
        <f ca="1">IF(ISNUMBER(MATCH(DATEVALUE($A71),'recurring1_based on steps'!AT$1:AT$400,0)),AT$2,)</f>
        <v>0</v>
      </c>
      <c r="AU71" s="179">
        <f ca="1">IF(ISNUMBER(MATCH(DATEVALUE($A71),'recurring1_based on steps'!AU$1:AU$400,0)),AU$2,)</f>
        <v>0</v>
      </c>
      <c r="AV71" s="179">
        <f ca="1">IF(ISNUMBER(MATCH(DATEVALUE($A71),'recurring1_based on steps'!AV$1:AV$400,0)),AV$2,)</f>
        <v>0</v>
      </c>
      <c r="AW71" s="179">
        <f ca="1">IF(ISNUMBER(MATCH(DATEVALUE($A71),'recurring1_based on steps'!AW$1:AW$400,0)),AW$2,)</f>
        <v>0</v>
      </c>
      <c r="AX71" s="179">
        <f ca="1">IF(ISNUMBER(MATCH(DATEVALUE($A71),'recurring1_based on steps'!AX$1:AX$400,0)),AX$2,)</f>
        <v>0</v>
      </c>
      <c r="AY71" s="179">
        <f ca="1">IF(ISNUMBER(MATCH(DATEVALUE($A71),'recurring1_based on steps'!AY$1:AY$400,0)),AY$2,)</f>
        <v>0</v>
      </c>
    </row>
    <row r="72" spans="1:51" x14ac:dyDescent="0.2">
      <c r="A72" s="32" t="str">
        <f t="shared" ca="1" si="1"/>
        <v>2025-06-13</v>
      </c>
      <c r="B72" s="179">
        <f ca="1">IF(ISNUMBER(MATCH(DATEVALUE($A72),'recurring1_based on steps'!B$1:B$400,0)),B$2,)</f>
        <v>0</v>
      </c>
      <c r="C72" s="179">
        <f ca="1">IF(ISNUMBER(MATCH(DATEVALUE($A72),'recurring1_based on steps'!C$1:C$400,0)),C$2,)</f>
        <v>0</v>
      </c>
      <c r="D72" s="179">
        <f ca="1">IF(ISNUMBER(MATCH(DATEVALUE($A72),'recurring1_based on steps'!D$1:D$400,0)),D$2,)</f>
        <v>0</v>
      </c>
      <c r="E72" s="179">
        <f ca="1">IF(ISNUMBER(MATCH(DATEVALUE($A72),'recurring1_based on steps'!E$1:E$400,0)),E$2,)</f>
        <v>0</v>
      </c>
      <c r="F72" s="179">
        <f ca="1">IF(ISNUMBER(MATCH(DATEVALUE($A72),'recurring1_based on steps'!F$1:F$400,0)),F$2,)</f>
        <v>0</v>
      </c>
      <c r="G72" s="179">
        <f ca="1">IF(ISNUMBER(MATCH(DATEVALUE($A72),'recurring1_based on steps'!G$1:G$400,0)),G$2,)</f>
        <v>0</v>
      </c>
      <c r="H72" s="179">
        <f ca="1">IF(ISNUMBER(MATCH(DATEVALUE($A72),'recurring1_based on steps'!H$1:H$400,0)),H$2,)</f>
        <v>0</v>
      </c>
      <c r="I72" s="179">
        <f ca="1">IF(ISNUMBER(MATCH(DATEVALUE($A72),'recurring1_based on steps'!I$1:I$400,0)),I$2,)</f>
        <v>0</v>
      </c>
      <c r="J72" s="179">
        <f ca="1">IF(ISNUMBER(MATCH(DATEVALUE($A72),'recurring1_based on steps'!J$1:J$400,0)),J$2,)</f>
        <v>0</v>
      </c>
      <c r="K72" s="179">
        <f ca="1">IF(ISNUMBER(MATCH(DATEVALUE($A72),'recurring1_based on steps'!K$1:K$400,0)),K$2,)</f>
        <v>0</v>
      </c>
      <c r="L72" s="179">
        <f ca="1">IF(ISNUMBER(MATCH(DATEVALUE($A72),'recurring1_based on steps'!L$1:L$400,0)),L$2,)</f>
        <v>0</v>
      </c>
      <c r="M72" s="179">
        <f ca="1">IF(ISNUMBER(MATCH(DATEVALUE($A72),'recurring1_based on steps'!M$1:M$400,0)),M$2,)</f>
        <v>0</v>
      </c>
      <c r="N72" s="179">
        <f ca="1">IF(ISNUMBER(MATCH(DATEVALUE($A72),'recurring1_based on steps'!N$1:N$400,0)),N$2,)</f>
        <v>0</v>
      </c>
      <c r="O72" s="179">
        <f ca="1">IF(ISNUMBER(MATCH(DATEVALUE($A72),'recurring1_based on steps'!O$1:O$400,0)),O$2,)</f>
        <v>0</v>
      </c>
      <c r="P72" s="179">
        <f ca="1">IF(ISNUMBER(MATCH(DATEVALUE($A72),'recurring1_based on steps'!P$1:P$400,0)),P$2,)</f>
        <v>0</v>
      </c>
      <c r="Q72" s="179">
        <f ca="1">IF(ISNUMBER(MATCH(DATEVALUE($A72),'recurring1_based on steps'!Q$1:Q$400,0)),Q$2,)</f>
        <v>0</v>
      </c>
      <c r="R72" s="179">
        <f ca="1">IF(ISNUMBER(MATCH(DATEVALUE($A72),'recurring1_based on steps'!R$1:R$400,0)),R$2,)</f>
        <v>0</v>
      </c>
      <c r="S72" s="179">
        <f ca="1">IF(ISNUMBER(MATCH(DATEVALUE($A72),'recurring1_based on steps'!S$1:S$400,0)),S$2,)</f>
        <v>0</v>
      </c>
      <c r="T72" s="179">
        <f ca="1">IF(ISNUMBER(MATCH(DATEVALUE($A72),'recurring1_based on steps'!T$1:T$400,0)),T$2,)</f>
        <v>0</v>
      </c>
      <c r="U72" s="179">
        <f ca="1">IF(ISNUMBER(MATCH(DATEVALUE($A72),'recurring1_based on steps'!U$1:U$400,0)),U$2,)</f>
        <v>0</v>
      </c>
      <c r="V72" s="179">
        <f ca="1">IF(ISNUMBER(MATCH(DATEVALUE($A72),'recurring1_based on steps'!V$1:V$400,0)),V$2,)</f>
        <v>0</v>
      </c>
      <c r="W72" s="179">
        <f ca="1">IF(ISNUMBER(MATCH(DATEVALUE($A72),'recurring1_based on steps'!W$1:W$400,0)),W$2,)</f>
        <v>0</v>
      </c>
      <c r="X72" s="179">
        <f ca="1">IF(ISNUMBER(MATCH(DATEVALUE($A72),'recurring1_based on steps'!X$1:X$400,0)),X$2,)</f>
        <v>0</v>
      </c>
      <c r="Y72" s="179">
        <f ca="1">IF(ISNUMBER(MATCH(DATEVALUE($A72),'recurring1_based on steps'!Y$1:Y$400,0)),Y$2,)</f>
        <v>0</v>
      </c>
      <c r="Z72" s="179">
        <f ca="1">IF(ISNUMBER(MATCH(DATEVALUE($A72),'recurring1_based on steps'!Z$1:Z$400,0)),Z$2,)</f>
        <v>0</v>
      </c>
      <c r="AA72" s="179">
        <f ca="1">IF(ISNUMBER(MATCH(DATEVALUE($A72),'recurring1_based on steps'!AA$1:AA$400,0)),AA$2,)</f>
        <v>0</v>
      </c>
      <c r="AB72" s="179">
        <f ca="1">IF(ISNUMBER(MATCH(DATEVALUE($A72),'recurring1_based on steps'!AB$1:AB$400,0)),AB$2,)</f>
        <v>0</v>
      </c>
      <c r="AC72" s="179">
        <f ca="1">IF(ISNUMBER(MATCH(DATEVALUE($A72),'recurring1_based on steps'!AC$1:AC$400,0)),AC$2,)</f>
        <v>0</v>
      </c>
      <c r="AD72" s="179">
        <f ca="1">IF(ISNUMBER(MATCH(DATEVALUE($A72),'recurring1_based on steps'!AD$1:AD$400,0)),AD$2,)</f>
        <v>0</v>
      </c>
      <c r="AE72" s="179">
        <f ca="1">IF(ISNUMBER(MATCH(DATEVALUE($A72),'recurring1_based on steps'!AE$1:AE$400,0)),AE$2,)</f>
        <v>0</v>
      </c>
      <c r="AF72" s="179">
        <f ca="1">IF(ISNUMBER(MATCH(DATEVALUE($A72),'recurring1_based on steps'!AF$1:AF$400,0)),AF$2,)</f>
        <v>0</v>
      </c>
      <c r="AG72" s="179">
        <f ca="1">IF(ISNUMBER(MATCH(DATEVALUE($A72),'recurring1_based on steps'!AG$1:AG$400,0)),AG$2,)</f>
        <v>0</v>
      </c>
      <c r="AH72" s="179">
        <f ca="1">IF(ISNUMBER(MATCH(DATEVALUE($A72),'recurring1_based on steps'!AH$1:AH$400,0)),AH$2,)</f>
        <v>0</v>
      </c>
      <c r="AI72" s="179">
        <f ca="1">IF(ISNUMBER(MATCH(DATEVALUE($A72),'recurring1_based on steps'!AI$1:AI$400,0)),AI$2,)</f>
        <v>0</v>
      </c>
      <c r="AJ72" s="179">
        <f ca="1">IF(ISNUMBER(MATCH(DATEVALUE($A72),'recurring1_based on steps'!AJ$1:AJ$400,0)),AJ$2,)</f>
        <v>0</v>
      </c>
      <c r="AK72" s="179">
        <f ca="1">IF(ISNUMBER(MATCH(DATEVALUE($A72),'recurring1_based on steps'!AK$1:AK$400,0)),AK$2,)</f>
        <v>0</v>
      </c>
      <c r="AL72" s="179">
        <f ca="1">IF(ISNUMBER(MATCH(DATEVALUE($A72),'recurring1_based on steps'!AL$1:AL$400,0)),AL$2,)</f>
        <v>0</v>
      </c>
      <c r="AM72" s="179">
        <f ca="1">IF(ISNUMBER(MATCH(DATEVALUE($A72),'recurring1_based on steps'!AM$1:AM$400,0)),AM$2,)</f>
        <v>0</v>
      </c>
      <c r="AN72" s="179">
        <f ca="1">IF(ISNUMBER(MATCH(DATEVALUE($A72),'recurring1_based on steps'!AN$1:AN$400,0)),AN$2,)</f>
        <v>0</v>
      </c>
      <c r="AO72" s="179">
        <f ca="1">IF(ISNUMBER(MATCH(DATEVALUE($A72),'recurring1_based on steps'!AO$1:AO$400,0)),AO$2,)</f>
        <v>0</v>
      </c>
      <c r="AP72" s="179">
        <f ca="1">IF(ISNUMBER(MATCH(DATEVALUE($A72),'recurring1_based on steps'!AP$1:AP$400,0)),AP$2,)</f>
        <v>0</v>
      </c>
      <c r="AQ72" s="179">
        <f ca="1">IF(ISNUMBER(MATCH(DATEVALUE($A72),'recurring1_based on steps'!AQ$1:AQ$400,0)),AQ$2,)</f>
        <v>0</v>
      </c>
      <c r="AR72" s="179">
        <f ca="1">IF(ISNUMBER(MATCH(DATEVALUE($A72),'recurring1_based on steps'!AR$1:AR$400,0)),AR$2,)</f>
        <v>0</v>
      </c>
      <c r="AS72" s="179">
        <f ca="1">IF(ISNUMBER(MATCH(DATEVALUE($A72),'recurring1_based on steps'!AS$1:AS$400,0)),AS$2,)</f>
        <v>0</v>
      </c>
      <c r="AT72" s="179">
        <f ca="1">IF(ISNUMBER(MATCH(DATEVALUE($A72),'recurring1_based on steps'!AT$1:AT$400,0)),AT$2,)</f>
        <v>0</v>
      </c>
      <c r="AU72" s="179">
        <f ca="1">IF(ISNUMBER(MATCH(DATEVALUE($A72),'recurring1_based on steps'!AU$1:AU$400,0)),AU$2,)</f>
        <v>0</v>
      </c>
      <c r="AV72" s="179">
        <f ca="1">IF(ISNUMBER(MATCH(DATEVALUE($A72),'recurring1_based on steps'!AV$1:AV$400,0)),AV$2,)</f>
        <v>0</v>
      </c>
      <c r="AW72" s="179">
        <f ca="1">IF(ISNUMBER(MATCH(DATEVALUE($A72),'recurring1_based on steps'!AW$1:AW$400,0)),AW$2,)</f>
        <v>0</v>
      </c>
      <c r="AX72" s="179">
        <f ca="1">IF(ISNUMBER(MATCH(DATEVALUE($A72),'recurring1_based on steps'!AX$1:AX$400,0)),AX$2,)</f>
        <v>0</v>
      </c>
      <c r="AY72" s="179">
        <f ca="1">IF(ISNUMBER(MATCH(DATEVALUE($A72),'recurring1_based on steps'!AY$1:AY$400,0)),AY$2,)</f>
        <v>0</v>
      </c>
    </row>
    <row r="73" spans="1:51" x14ac:dyDescent="0.2">
      <c r="A73" s="32" t="str">
        <f t="shared" ca="1" si="1"/>
        <v>2025-06-14</v>
      </c>
      <c r="B73" s="179">
        <f ca="1">IF(ISNUMBER(MATCH(DATEVALUE($A73),'recurring1_based on steps'!B$1:B$400,0)),B$2,)</f>
        <v>0</v>
      </c>
      <c r="C73" s="179">
        <f ca="1">IF(ISNUMBER(MATCH(DATEVALUE($A73),'recurring1_based on steps'!C$1:C$400,0)),C$2,)</f>
        <v>0</v>
      </c>
      <c r="D73" s="179">
        <f ca="1">IF(ISNUMBER(MATCH(DATEVALUE($A73),'recurring1_based on steps'!D$1:D$400,0)),D$2,)</f>
        <v>0</v>
      </c>
      <c r="E73" s="179">
        <f ca="1">IF(ISNUMBER(MATCH(DATEVALUE($A73),'recurring1_based on steps'!E$1:E$400,0)),E$2,)</f>
        <v>0</v>
      </c>
      <c r="F73" s="179">
        <f ca="1">IF(ISNUMBER(MATCH(DATEVALUE($A73),'recurring1_based on steps'!F$1:F$400,0)),F$2,)</f>
        <v>0</v>
      </c>
      <c r="G73" s="179">
        <f ca="1">IF(ISNUMBER(MATCH(DATEVALUE($A73),'recurring1_based on steps'!G$1:G$400,0)),G$2,)</f>
        <v>0</v>
      </c>
      <c r="H73" s="179">
        <f ca="1">IF(ISNUMBER(MATCH(DATEVALUE($A73),'recurring1_based on steps'!H$1:H$400,0)),H$2,)</f>
        <v>0</v>
      </c>
      <c r="I73" s="179">
        <f ca="1">IF(ISNUMBER(MATCH(DATEVALUE($A73),'recurring1_based on steps'!I$1:I$400,0)),I$2,)</f>
        <v>0</v>
      </c>
      <c r="J73" s="179">
        <f ca="1">IF(ISNUMBER(MATCH(DATEVALUE($A73),'recurring1_based on steps'!J$1:J$400,0)),J$2,)</f>
        <v>0</v>
      </c>
      <c r="K73" s="179">
        <f ca="1">IF(ISNUMBER(MATCH(DATEVALUE($A73),'recurring1_based on steps'!K$1:K$400,0)),K$2,)</f>
        <v>0</v>
      </c>
      <c r="L73" s="179">
        <f ca="1">IF(ISNUMBER(MATCH(DATEVALUE($A73),'recurring1_based on steps'!L$1:L$400,0)),L$2,)</f>
        <v>0</v>
      </c>
      <c r="M73" s="179">
        <f ca="1">IF(ISNUMBER(MATCH(DATEVALUE($A73),'recurring1_based on steps'!M$1:M$400,0)),M$2,)</f>
        <v>0</v>
      </c>
      <c r="N73" s="179">
        <f ca="1">IF(ISNUMBER(MATCH(DATEVALUE($A73),'recurring1_based on steps'!N$1:N$400,0)),N$2,)</f>
        <v>0</v>
      </c>
      <c r="O73" s="179">
        <f ca="1">IF(ISNUMBER(MATCH(DATEVALUE($A73),'recurring1_based on steps'!O$1:O$400,0)),O$2,)</f>
        <v>0</v>
      </c>
      <c r="P73" s="179">
        <f ca="1">IF(ISNUMBER(MATCH(DATEVALUE($A73),'recurring1_based on steps'!P$1:P$400,0)),P$2,)</f>
        <v>0</v>
      </c>
      <c r="Q73" s="179">
        <f ca="1">IF(ISNUMBER(MATCH(DATEVALUE($A73),'recurring1_based on steps'!Q$1:Q$400,0)),Q$2,)</f>
        <v>0</v>
      </c>
      <c r="R73" s="179">
        <f ca="1">IF(ISNUMBER(MATCH(DATEVALUE($A73),'recurring1_based on steps'!R$1:R$400,0)),R$2,)</f>
        <v>0</v>
      </c>
      <c r="S73" s="179">
        <f ca="1">IF(ISNUMBER(MATCH(DATEVALUE($A73),'recurring1_based on steps'!S$1:S$400,0)),S$2,)</f>
        <v>0</v>
      </c>
      <c r="T73" s="179">
        <f ca="1">IF(ISNUMBER(MATCH(DATEVALUE($A73),'recurring1_based on steps'!T$1:T$400,0)),T$2,)</f>
        <v>0</v>
      </c>
      <c r="U73" s="179">
        <f ca="1">IF(ISNUMBER(MATCH(DATEVALUE($A73),'recurring1_based on steps'!U$1:U$400,0)),U$2,)</f>
        <v>0</v>
      </c>
      <c r="V73" s="179">
        <f ca="1">IF(ISNUMBER(MATCH(DATEVALUE($A73),'recurring1_based on steps'!V$1:V$400,0)),V$2,)</f>
        <v>0</v>
      </c>
      <c r="W73" s="179">
        <f ca="1">IF(ISNUMBER(MATCH(DATEVALUE($A73),'recurring1_based on steps'!W$1:W$400,0)),W$2,)</f>
        <v>0</v>
      </c>
      <c r="X73" s="179">
        <f ca="1">IF(ISNUMBER(MATCH(DATEVALUE($A73),'recurring1_based on steps'!X$1:X$400,0)),X$2,)</f>
        <v>0</v>
      </c>
      <c r="Y73" s="179">
        <f ca="1">IF(ISNUMBER(MATCH(DATEVALUE($A73),'recurring1_based on steps'!Y$1:Y$400,0)),Y$2,)</f>
        <v>0</v>
      </c>
      <c r="Z73" s="179">
        <f ca="1">IF(ISNUMBER(MATCH(DATEVALUE($A73),'recurring1_based on steps'!Z$1:Z$400,0)),Z$2,)</f>
        <v>0</v>
      </c>
      <c r="AA73" s="179">
        <f ca="1">IF(ISNUMBER(MATCH(DATEVALUE($A73),'recurring1_based on steps'!AA$1:AA$400,0)),AA$2,)</f>
        <v>0</v>
      </c>
      <c r="AB73" s="179">
        <f ca="1">IF(ISNUMBER(MATCH(DATEVALUE($A73),'recurring1_based on steps'!AB$1:AB$400,0)),AB$2,)</f>
        <v>0</v>
      </c>
      <c r="AC73" s="179">
        <f ca="1">IF(ISNUMBER(MATCH(DATEVALUE($A73),'recurring1_based on steps'!AC$1:AC$400,0)),AC$2,)</f>
        <v>0</v>
      </c>
      <c r="AD73" s="179">
        <f ca="1">IF(ISNUMBER(MATCH(DATEVALUE($A73),'recurring1_based on steps'!AD$1:AD$400,0)),AD$2,)</f>
        <v>0</v>
      </c>
      <c r="AE73" s="179">
        <f ca="1">IF(ISNUMBER(MATCH(DATEVALUE($A73),'recurring1_based on steps'!AE$1:AE$400,0)),AE$2,)</f>
        <v>0</v>
      </c>
      <c r="AF73" s="179">
        <f ca="1">IF(ISNUMBER(MATCH(DATEVALUE($A73),'recurring1_based on steps'!AF$1:AF$400,0)),AF$2,)</f>
        <v>0</v>
      </c>
      <c r="AG73" s="179">
        <f ca="1">IF(ISNUMBER(MATCH(DATEVALUE($A73),'recurring1_based on steps'!AG$1:AG$400,0)),AG$2,)</f>
        <v>0</v>
      </c>
      <c r="AH73" s="179">
        <f ca="1">IF(ISNUMBER(MATCH(DATEVALUE($A73),'recurring1_based on steps'!AH$1:AH$400,0)),AH$2,)</f>
        <v>0</v>
      </c>
      <c r="AI73" s="179">
        <f ca="1">IF(ISNUMBER(MATCH(DATEVALUE($A73),'recurring1_based on steps'!AI$1:AI$400,0)),AI$2,)</f>
        <v>0</v>
      </c>
      <c r="AJ73" s="179">
        <f ca="1">IF(ISNUMBER(MATCH(DATEVALUE($A73),'recurring1_based on steps'!AJ$1:AJ$400,0)),AJ$2,)</f>
        <v>0</v>
      </c>
      <c r="AK73" s="179">
        <f ca="1">IF(ISNUMBER(MATCH(DATEVALUE($A73),'recurring1_based on steps'!AK$1:AK$400,0)),AK$2,)</f>
        <v>0</v>
      </c>
      <c r="AL73" s="179">
        <f ca="1">IF(ISNUMBER(MATCH(DATEVALUE($A73),'recurring1_based on steps'!AL$1:AL$400,0)),AL$2,)</f>
        <v>0</v>
      </c>
      <c r="AM73" s="179">
        <f ca="1">IF(ISNUMBER(MATCH(DATEVALUE($A73),'recurring1_based on steps'!AM$1:AM$400,0)),AM$2,)</f>
        <v>0</v>
      </c>
      <c r="AN73" s="179">
        <f ca="1">IF(ISNUMBER(MATCH(DATEVALUE($A73),'recurring1_based on steps'!AN$1:AN$400,0)),AN$2,)</f>
        <v>0</v>
      </c>
      <c r="AO73" s="179">
        <f ca="1">IF(ISNUMBER(MATCH(DATEVALUE($A73),'recurring1_based on steps'!AO$1:AO$400,0)),AO$2,)</f>
        <v>0</v>
      </c>
      <c r="AP73" s="179">
        <f ca="1">IF(ISNUMBER(MATCH(DATEVALUE($A73),'recurring1_based on steps'!AP$1:AP$400,0)),AP$2,)</f>
        <v>0</v>
      </c>
      <c r="AQ73" s="179">
        <f ca="1">IF(ISNUMBER(MATCH(DATEVALUE($A73),'recurring1_based on steps'!AQ$1:AQ$400,0)),AQ$2,)</f>
        <v>0</v>
      </c>
      <c r="AR73" s="179">
        <f ca="1">IF(ISNUMBER(MATCH(DATEVALUE($A73),'recurring1_based on steps'!AR$1:AR$400,0)),AR$2,)</f>
        <v>0</v>
      </c>
      <c r="AS73" s="179">
        <f ca="1">IF(ISNUMBER(MATCH(DATEVALUE($A73),'recurring1_based on steps'!AS$1:AS$400,0)),AS$2,)</f>
        <v>0</v>
      </c>
      <c r="AT73" s="179">
        <f ca="1">IF(ISNUMBER(MATCH(DATEVALUE($A73),'recurring1_based on steps'!AT$1:AT$400,0)),AT$2,)</f>
        <v>0</v>
      </c>
      <c r="AU73" s="179">
        <f ca="1">IF(ISNUMBER(MATCH(DATEVALUE($A73),'recurring1_based on steps'!AU$1:AU$400,0)),AU$2,)</f>
        <v>0</v>
      </c>
      <c r="AV73" s="179">
        <f ca="1">IF(ISNUMBER(MATCH(DATEVALUE($A73),'recurring1_based on steps'!AV$1:AV$400,0)),AV$2,)</f>
        <v>0</v>
      </c>
      <c r="AW73" s="179">
        <f ca="1">IF(ISNUMBER(MATCH(DATEVALUE($A73),'recurring1_based on steps'!AW$1:AW$400,0)),AW$2,)</f>
        <v>0</v>
      </c>
      <c r="AX73" s="179">
        <f ca="1">IF(ISNUMBER(MATCH(DATEVALUE($A73),'recurring1_based on steps'!AX$1:AX$400,0)),AX$2,)</f>
        <v>0</v>
      </c>
      <c r="AY73" s="179">
        <f ca="1">IF(ISNUMBER(MATCH(DATEVALUE($A73),'recurring1_based on steps'!AY$1:AY$400,0)),AY$2,)</f>
        <v>0</v>
      </c>
    </row>
    <row r="74" spans="1:51" x14ac:dyDescent="0.2">
      <c r="A74" s="32" t="str">
        <f t="shared" ca="1" si="1"/>
        <v>2025-06-15</v>
      </c>
      <c r="B74" s="179">
        <f ca="1">IF(ISNUMBER(MATCH(DATEVALUE($A74),'recurring1_based on steps'!B$1:B$400,0)),B$2,)</f>
        <v>0</v>
      </c>
      <c r="C74" s="179">
        <f ca="1">IF(ISNUMBER(MATCH(DATEVALUE($A74),'recurring1_based on steps'!C$1:C$400,0)),C$2,)</f>
        <v>0</v>
      </c>
      <c r="D74" s="179">
        <f ca="1">IF(ISNUMBER(MATCH(DATEVALUE($A74),'recurring1_based on steps'!D$1:D$400,0)),D$2,)</f>
        <v>0</v>
      </c>
      <c r="E74" s="179">
        <f ca="1">IF(ISNUMBER(MATCH(DATEVALUE($A74),'recurring1_based on steps'!E$1:E$400,0)),E$2,)</f>
        <v>0</v>
      </c>
      <c r="F74" s="179">
        <f ca="1">IF(ISNUMBER(MATCH(DATEVALUE($A74),'recurring1_based on steps'!F$1:F$400,0)),F$2,)</f>
        <v>0</v>
      </c>
      <c r="G74" s="179">
        <f ca="1">IF(ISNUMBER(MATCH(DATEVALUE($A74),'recurring1_based on steps'!G$1:G$400,0)),G$2,)</f>
        <v>0</v>
      </c>
      <c r="H74" s="179">
        <f ca="1">IF(ISNUMBER(MATCH(DATEVALUE($A74),'recurring1_based on steps'!H$1:H$400,0)),H$2,)</f>
        <v>0</v>
      </c>
      <c r="I74" s="179">
        <f ca="1">IF(ISNUMBER(MATCH(DATEVALUE($A74),'recurring1_based on steps'!I$1:I$400,0)),I$2,)</f>
        <v>0</v>
      </c>
      <c r="J74" s="179">
        <f ca="1">IF(ISNUMBER(MATCH(DATEVALUE($A74),'recurring1_based on steps'!J$1:J$400,0)),J$2,)</f>
        <v>0</v>
      </c>
      <c r="K74" s="179">
        <f ca="1">IF(ISNUMBER(MATCH(DATEVALUE($A74),'recurring1_based on steps'!K$1:K$400,0)),K$2,)</f>
        <v>0</v>
      </c>
      <c r="L74" s="179">
        <f ca="1">IF(ISNUMBER(MATCH(DATEVALUE($A74),'recurring1_based on steps'!L$1:L$400,0)),L$2,)</f>
        <v>0</v>
      </c>
      <c r="M74" s="179">
        <f ca="1">IF(ISNUMBER(MATCH(DATEVALUE($A74),'recurring1_based on steps'!M$1:M$400,0)),M$2,)</f>
        <v>0</v>
      </c>
      <c r="N74" s="179">
        <f ca="1">IF(ISNUMBER(MATCH(DATEVALUE($A74),'recurring1_based on steps'!N$1:N$400,0)),N$2,)</f>
        <v>0</v>
      </c>
      <c r="O74" s="179">
        <f ca="1">IF(ISNUMBER(MATCH(DATEVALUE($A74),'recurring1_based on steps'!O$1:O$400,0)),O$2,)</f>
        <v>0</v>
      </c>
      <c r="P74" s="179">
        <f ca="1">IF(ISNUMBER(MATCH(DATEVALUE($A74),'recurring1_based on steps'!P$1:P$400,0)),P$2,)</f>
        <v>0</v>
      </c>
      <c r="Q74" s="179">
        <f ca="1">IF(ISNUMBER(MATCH(DATEVALUE($A74),'recurring1_based on steps'!Q$1:Q$400,0)),Q$2,)</f>
        <v>0</v>
      </c>
      <c r="R74" s="179">
        <f ca="1">IF(ISNUMBER(MATCH(DATEVALUE($A74),'recurring1_based on steps'!R$1:R$400,0)),R$2,)</f>
        <v>0</v>
      </c>
      <c r="S74" s="179">
        <f ca="1">IF(ISNUMBER(MATCH(DATEVALUE($A74),'recurring1_based on steps'!S$1:S$400,0)),S$2,)</f>
        <v>0</v>
      </c>
      <c r="T74" s="179">
        <f ca="1">IF(ISNUMBER(MATCH(DATEVALUE($A74),'recurring1_based on steps'!T$1:T$400,0)),T$2,)</f>
        <v>0</v>
      </c>
      <c r="U74" s="179">
        <f ca="1">IF(ISNUMBER(MATCH(DATEVALUE($A74),'recurring1_based on steps'!U$1:U$400,0)),U$2,)</f>
        <v>0</v>
      </c>
      <c r="V74" s="179">
        <f ca="1">IF(ISNUMBER(MATCH(DATEVALUE($A74),'recurring1_based on steps'!V$1:V$400,0)),V$2,)</f>
        <v>0</v>
      </c>
      <c r="W74" s="179">
        <f ca="1">IF(ISNUMBER(MATCH(DATEVALUE($A74),'recurring1_based on steps'!W$1:W$400,0)),W$2,)</f>
        <v>0</v>
      </c>
      <c r="X74" s="179">
        <f ca="1">IF(ISNUMBER(MATCH(DATEVALUE($A74),'recurring1_based on steps'!X$1:X$400,0)),X$2,)</f>
        <v>0</v>
      </c>
      <c r="Y74" s="179">
        <f ca="1">IF(ISNUMBER(MATCH(DATEVALUE($A74),'recurring1_based on steps'!Y$1:Y$400,0)),Y$2,)</f>
        <v>0</v>
      </c>
      <c r="Z74" s="179">
        <f ca="1">IF(ISNUMBER(MATCH(DATEVALUE($A74),'recurring1_based on steps'!Z$1:Z$400,0)),Z$2,)</f>
        <v>0</v>
      </c>
      <c r="AA74" s="179">
        <f ca="1">IF(ISNUMBER(MATCH(DATEVALUE($A74),'recurring1_based on steps'!AA$1:AA$400,0)),AA$2,)</f>
        <v>0</v>
      </c>
      <c r="AB74" s="179">
        <f ca="1">IF(ISNUMBER(MATCH(DATEVALUE($A74),'recurring1_based on steps'!AB$1:AB$400,0)),AB$2,)</f>
        <v>0</v>
      </c>
      <c r="AC74" s="179">
        <f ca="1">IF(ISNUMBER(MATCH(DATEVALUE($A74),'recurring1_based on steps'!AC$1:AC$400,0)),AC$2,)</f>
        <v>0</v>
      </c>
      <c r="AD74" s="179">
        <f ca="1">IF(ISNUMBER(MATCH(DATEVALUE($A74),'recurring1_based on steps'!AD$1:AD$400,0)),AD$2,)</f>
        <v>0</v>
      </c>
      <c r="AE74" s="179">
        <f ca="1">IF(ISNUMBER(MATCH(DATEVALUE($A74),'recurring1_based on steps'!AE$1:AE$400,0)),AE$2,)</f>
        <v>0</v>
      </c>
      <c r="AF74" s="179">
        <f ca="1">IF(ISNUMBER(MATCH(DATEVALUE($A74),'recurring1_based on steps'!AF$1:AF$400,0)),AF$2,)</f>
        <v>0</v>
      </c>
      <c r="AG74" s="179">
        <f ca="1">IF(ISNUMBER(MATCH(DATEVALUE($A74),'recurring1_based on steps'!AG$1:AG$400,0)),AG$2,)</f>
        <v>0</v>
      </c>
      <c r="AH74" s="179">
        <f ca="1">IF(ISNUMBER(MATCH(DATEVALUE($A74),'recurring1_based on steps'!AH$1:AH$400,0)),AH$2,)</f>
        <v>0</v>
      </c>
      <c r="AI74" s="179">
        <f ca="1">IF(ISNUMBER(MATCH(DATEVALUE($A74),'recurring1_based on steps'!AI$1:AI$400,0)),AI$2,)</f>
        <v>0</v>
      </c>
      <c r="AJ74" s="179">
        <f ca="1">IF(ISNUMBER(MATCH(DATEVALUE($A74),'recurring1_based on steps'!AJ$1:AJ$400,0)),AJ$2,)</f>
        <v>0</v>
      </c>
      <c r="AK74" s="179">
        <f ca="1">IF(ISNUMBER(MATCH(DATEVALUE($A74),'recurring1_based on steps'!AK$1:AK$400,0)),AK$2,)</f>
        <v>0</v>
      </c>
      <c r="AL74" s="179">
        <f ca="1">IF(ISNUMBER(MATCH(DATEVALUE($A74),'recurring1_based on steps'!AL$1:AL$400,0)),AL$2,)</f>
        <v>0</v>
      </c>
      <c r="AM74" s="179">
        <f ca="1">IF(ISNUMBER(MATCH(DATEVALUE($A74),'recurring1_based on steps'!AM$1:AM$400,0)),AM$2,)</f>
        <v>0</v>
      </c>
      <c r="AN74" s="179">
        <f ca="1">IF(ISNUMBER(MATCH(DATEVALUE($A74),'recurring1_based on steps'!AN$1:AN$400,0)),AN$2,)</f>
        <v>0</v>
      </c>
      <c r="AO74" s="179">
        <f ca="1">IF(ISNUMBER(MATCH(DATEVALUE($A74),'recurring1_based on steps'!AO$1:AO$400,0)),AO$2,)</f>
        <v>0</v>
      </c>
      <c r="AP74" s="179">
        <f ca="1">IF(ISNUMBER(MATCH(DATEVALUE($A74),'recurring1_based on steps'!AP$1:AP$400,0)),AP$2,)</f>
        <v>0</v>
      </c>
      <c r="AQ74" s="179">
        <f ca="1">IF(ISNUMBER(MATCH(DATEVALUE($A74),'recurring1_based on steps'!AQ$1:AQ$400,0)),AQ$2,)</f>
        <v>0</v>
      </c>
      <c r="AR74" s="179">
        <f ca="1">IF(ISNUMBER(MATCH(DATEVALUE($A74),'recurring1_based on steps'!AR$1:AR$400,0)),AR$2,)</f>
        <v>0</v>
      </c>
      <c r="AS74" s="179">
        <f ca="1">IF(ISNUMBER(MATCH(DATEVALUE($A74),'recurring1_based on steps'!AS$1:AS$400,0)),AS$2,)</f>
        <v>0</v>
      </c>
      <c r="AT74" s="179">
        <f ca="1">IF(ISNUMBER(MATCH(DATEVALUE($A74),'recurring1_based on steps'!AT$1:AT$400,0)),AT$2,)</f>
        <v>0</v>
      </c>
      <c r="AU74" s="179">
        <f ca="1">IF(ISNUMBER(MATCH(DATEVALUE($A74),'recurring1_based on steps'!AU$1:AU$400,0)),AU$2,)</f>
        <v>0</v>
      </c>
      <c r="AV74" s="179">
        <f ca="1">IF(ISNUMBER(MATCH(DATEVALUE($A74),'recurring1_based on steps'!AV$1:AV$400,0)),AV$2,)</f>
        <v>0</v>
      </c>
      <c r="AW74" s="179">
        <f ca="1">IF(ISNUMBER(MATCH(DATEVALUE($A74),'recurring1_based on steps'!AW$1:AW$400,0)),AW$2,)</f>
        <v>0</v>
      </c>
      <c r="AX74" s="179">
        <f ca="1">IF(ISNUMBER(MATCH(DATEVALUE($A74),'recurring1_based on steps'!AX$1:AX$400,0)),AX$2,)</f>
        <v>0</v>
      </c>
      <c r="AY74" s="179">
        <f ca="1">IF(ISNUMBER(MATCH(DATEVALUE($A74),'recurring1_based on steps'!AY$1:AY$400,0)),AY$2,)</f>
        <v>0</v>
      </c>
    </row>
    <row r="75" spans="1:51" x14ac:dyDescent="0.2">
      <c r="A75" s="32" t="str">
        <f t="shared" ca="1" si="1"/>
        <v>2025-06-16</v>
      </c>
      <c r="B75" s="179">
        <f ca="1">IF(ISNUMBER(MATCH(DATEVALUE($A75),'recurring1_based on steps'!B$1:B$400,0)),B$2,)</f>
        <v>0</v>
      </c>
      <c r="C75" s="179">
        <f ca="1">IF(ISNUMBER(MATCH(DATEVALUE($A75),'recurring1_based on steps'!C$1:C$400,0)),C$2,)</f>
        <v>0</v>
      </c>
      <c r="D75" s="179">
        <f ca="1">IF(ISNUMBER(MATCH(DATEVALUE($A75),'recurring1_based on steps'!D$1:D$400,0)),D$2,)</f>
        <v>0</v>
      </c>
      <c r="E75" s="179">
        <f ca="1">IF(ISNUMBER(MATCH(DATEVALUE($A75),'recurring1_based on steps'!E$1:E$400,0)),E$2,)</f>
        <v>0</v>
      </c>
      <c r="F75" s="179">
        <f ca="1">IF(ISNUMBER(MATCH(DATEVALUE($A75),'recurring1_based on steps'!F$1:F$400,0)),F$2,)</f>
        <v>0</v>
      </c>
      <c r="G75" s="179">
        <f ca="1">IF(ISNUMBER(MATCH(DATEVALUE($A75),'recurring1_based on steps'!G$1:G$400,0)),G$2,)</f>
        <v>0</v>
      </c>
      <c r="H75" s="179">
        <f ca="1">IF(ISNUMBER(MATCH(DATEVALUE($A75),'recurring1_based on steps'!H$1:H$400,0)),H$2,)</f>
        <v>0</v>
      </c>
      <c r="I75" s="179">
        <f ca="1">IF(ISNUMBER(MATCH(DATEVALUE($A75),'recurring1_based on steps'!I$1:I$400,0)),I$2,)</f>
        <v>0</v>
      </c>
      <c r="J75" s="179">
        <f ca="1">IF(ISNUMBER(MATCH(DATEVALUE($A75),'recurring1_based on steps'!J$1:J$400,0)),J$2,)</f>
        <v>0</v>
      </c>
      <c r="K75" s="179">
        <f ca="1">IF(ISNUMBER(MATCH(DATEVALUE($A75),'recurring1_based on steps'!K$1:K$400,0)),K$2,)</f>
        <v>0</v>
      </c>
      <c r="L75" s="179">
        <f ca="1">IF(ISNUMBER(MATCH(DATEVALUE($A75),'recurring1_based on steps'!L$1:L$400,0)),L$2,)</f>
        <v>0</v>
      </c>
      <c r="M75" s="179">
        <f ca="1">IF(ISNUMBER(MATCH(DATEVALUE($A75),'recurring1_based on steps'!M$1:M$400,0)),M$2,)</f>
        <v>0</v>
      </c>
      <c r="N75" s="179">
        <f ca="1">IF(ISNUMBER(MATCH(DATEVALUE($A75),'recurring1_based on steps'!N$1:N$400,0)),N$2,)</f>
        <v>0</v>
      </c>
      <c r="O75" s="179">
        <f ca="1">IF(ISNUMBER(MATCH(DATEVALUE($A75),'recurring1_based on steps'!O$1:O$400,0)),O$2,)</f>
        <v>0</v>
      </c>
      <c r="P75" s="179">
        <f ca="1">IF(ISNUMBER(MATCH(DATEVALUE($A75),'recurring1_based on steps'!P$1:P$400,0)),P$2,)</f>
        <v>0</v>
      </c>
      <c r="Q75" s="179">
        <f ca="1">IF(ISNUMBER(MATCH(DATEVALUE($A75),'recurring1_based on steps'!Q$1:Q$400,0)),Q$2,)</f>
        <v>0</v>
      </c>
      <c r="R75" s="179">
        <f ca="1">IF(ISNUMBER(MATCH(DATEVALUE($A75),'recurring1_based on steps'!R$1:R$400,0)),R$2,)</f>
        <v>0</v>
      </c>
      <c r="S75" s="179">
        <f ca="1">IF(ISNUMBER(MATCH(DATEVALUE($A75),'recurring1_based on steps'!S$1:S$400,0)),S$2,)</f>
        <v>0</v>
      </c>
      <c r="T75" s="179">
        <f ca="1">IF(ISNUMBER(MATCH(DATEVALUE($A75),'recurring1_based on steps'!T$1:T$400,0)),T$2,)</f>
        <v>0</v>
      </c>
      <c r="U75" s="179">
        <f ca="1">IF(ISNUMBER(MATCH(DATEVALUE($A75),'recurring1_based on steps'!U$1:U$400,0)),U$2,)</f>
        <v>0</v>
      </c>
      <c r="V75" s="179">
        <f ca="1">IF(ISNUMBER(MATCH(DATEVALUE($A75),'recurring1_based on steps'!V$1:V$400,0)),V$2,)</f>
        <v>0</v>
      </c>
      <c r="W75" s="179">
        <f ca="1">IF(ISNUMBER(MATCH(DATEVALUE($A75),'recurring1_based on steps'!W$1:W$400,0)),W$2,)</f>
        <v>0</v>
      </c>
      <c r="X75" s="179">
        <f ca="1">IF(ISNUMBER(MATCH(DATEVALUE($A75),'recurring1_based on steps'!X$1:X$400,0)),X$2,)</f>
        <v>0</v>
      </c>
      <c r="Y75" s="179">
        <f ca="1">IF(ISNUMBER(MATCH(DATEVALUE($A75),'recurring1_based on steps'!Y$1:Y$400,0)),Y$2,)</f>
        <v>0</v>
      </c>
      <c r="Z75" s="179">
        <f ca="1">IF(ISNUMBER(MATCH(DATEVALUE($A75),'recurring1_based on steps'!Z$1:Z$400,0)),Z$2,)</f>
        <v>0</v>
      </c>
      <c r="AA75" s="179">
        <f ca="1">IF(ISNUMBER(MATCH(DATEVALUE($A75),'recurring1_based on steps'!AA$1:AA$400,0)),AA$2,)</f>
        <v>0</v>
      </c>
      <c r="AB75" s="179">
        <f ca="1">IF(ISNUMBER(MATCH(DATEVALUE($A75),'recurring1_based on steps'!AB$1:AB$400,0)),AB$2,)</f>
        <v>0</v>
      </c>
      <c r="AC75" s="179">
        <f ca="1">IF(ISNUMBER(MATCH(DATEVALUE($A75),'recurring1_based on steps'!AC$1:AC$400,0)),AC$2,)</f>
        <v>0</v>
      </c>
      <c r="AD75" s="179">
        <f ca="1">IF(ISNUMBER(MATCH(DATEVALUE($A75),'recurring1_based on steps'!AD$1:AD$400,0)),AD$2,)</f>
        <v>0</v>
      </c>
      <c r="AE75" s="179">
        <f ca="1">IF(ISNUMBER(MATCH(DATEVALUE($A75),'recurring1_based on steps'!AE$1:AE$400,0)),AE$2,)</f>
        <v>0</v>
      </c>
      <c r="AF75" s="179">
        <f ca="1">IF(ISNUMBER(MATCH(DATEVALUE($A75),'recurring1_based on steps'!AF$1:AF$400,0)),AF$2,)</f>
        <v>0</v>
      </c>
      <c r="AG75" s="179">
        <f ca="1">IF(ISNUMBER(MATCH(DATEVALUE($A75),'recurring1_based on steps'!AG$1:AG$400,0)),AG$2,)</f>
        <v>0</v>
      </c>
      <c r="AH75" s="179">
        <f ca="1">IF(ISNUMBER(MATCH(DATEVALUE($A75),'recurring1_based on steps'!AH$1:AH$400,0)),AH$2,)</f>
        <v>0</v>
      </c>
      <c r="AI75" s="179">
        <f ca="1">IF(ISNUMBER(MATCH(DATEVALUE($A75),'recurring1_based on steps'!AI$1:AI$400,0)),AI$2,)</f>
        <v>0</v>
      </c>
      <c r="AJ75" s="179">
        <f ca="1">IF(ISNUMBER(MATCH(DATEVALUE($A75),'recurring1_based on steps'!AJ$1:AJ$400,0)),AJ$2,)</f>
        <v>0</v>
      </c>
      <c r="AK75" s="179">
        <f ca="1">IF(ISNUMBER(MATCH(DATEVALUE($A75),'recurring1_based on steps'!AK$1:AK$400,0)),AK$2,)</f>
        <v>0</v>
      </c>
      <c r="AL75" s="179">
        <f ca="1">IF(ISNUMBER(MATCH(DATEVALUE($A75),'recurring1_based on steps'!AL$1:AL$400,0)),AL$2,)</f>
        <v>0</v>
      </c>
      <c r="AM75" s="179">
        <f ca="1">IF(ISNUMBER(MATCH(DATEVALUE($A75),'recurring1_based on steps'!AM$1:AM$400,0)),AM$2,)</f>
        <v>0</v>
      </c>
      <c r="AN75" s="179">
        <f ca="1">IF(ISNUMBER(MATCH(DATEVALUE($A75),'recurring1_based on steps'!AN$1:AN$400,0)),AN$2,)</f>
        <v>0</v>
      </c>
      <c r="AO75" s="179">
        <f ca="1">IF(ISNUMBER(MATCH(DATEVALUE($A75),'recurring1_based on steps'!AO$1:AO$400,0)),AO$2,)</f>
        <v>0</v>
      </c>
      <c r="AP75" s="179">
        <f ca="1">IF(ISNUMBER(MATCH(DATEVALUE($A75),'recurring1_based on steps'!AP$1:AP$400,0)),AP$2,)</f>
        <v>0</v>
      </c>
      <c r="AQ75" s="179">
        <f ca="1">IF(ISNUMBER(MATCH(DATEVALUE($A75),'recurring1_based on steps'!AQ$1:AQ$400,0)),AQ$2,)</f>
        <v>0</v>
      </c>
      <c r="AR75" s="179">
        <f ca="1">IF(ISNUMBER(MATCH(DATEVALUE($A75),'recurring1_based on steps'!AR$1:AR$400,0)),AR$2,)</f>
        <v>0</v>
      </c>
      <c r="AS75" s="179">
        <f ca="1">IF(ISNUMBER(MATCH(DATEVALUE($A75),'recurring1_based on steps'!AS$1:AS$400,0)),AS$2,)</f>
        <v>0</v>
      </c>
      <c r="AT75" s="179">
        <f ca="1">IF(ISNUMBER(MATCH(DATEVALUE($A75),'recurring1_based on steps'!AT$1:AT$400,0)),AT$2,)</f>
        <v>0</v>
      </c>
      <c r="AU75" s="179">
        <f ca="1">IF(ISNUMBER(MATCH(DATEVALUE($A75),'recurring1_based on steps'!AU$1:AU$400,0)),AU$2,)</f>
        <v>0</v>
      </c>
      <c r="AV75" s="179">
        <f ca="1">IF(ISNUMBER(MATCH(DATEVALUE($A75),'recurring1_based on steps'!AV$1:AV$400,0)),AV$2,)</f>
        <v>0</v>
      </c>
      <c r="AW75" s="179">
        <f ca="1">IF(ISNUMBER(MATCH(DATEVALUE($A75),'recurring1_based on steps'!AW$1:AW$400,0)),AW$2,)</f>
        <v>0</v>
      </c>
      <c r="AX75" s="179">
        <f ca="1">IF(ISNUMBER(MATCH(DATEVALUE($A75),'recurring1_based on steps'!AX$1:AX$400,0)),AX$2,)</f>
        <v>0</v>
      </c>
      <c r="AY75" s="179">
        <f ca="1">IF(ISNUMBER(MATCH(DATEVALUE($A75),'recurring1_based on steps'!AY$1:AY$400,0)),AY$2,)</f>
        <v>0</v>
      </c>
    </row>
    <row r="76" spans="1:51" x14ac:dyDescent="0.2">
      <c r="A76" s="32" t="str">
        <f t="shared" ca="1" si="1"/>
        <v>2025-06-17</v>
      </c>
      <c r="B76" s="179">
        <f ca="1">IF(ISNUMBER(MATCH(DATEVALUE($A76),'recurring1_based on steps'!B$1:B$400,0)),B$2,)</f>
        <v>0</v>
      </c>
      <c r="C76" s="179">
        <f ca="1">IF(ISNUMBER(MATCH(DATEVALUE($A76),'recurring1_based on steps'!C$1:C$400,0)),C$2,)</f>
        <v>0</v>
      </c>
      <c r="D76" s="179">
        <f ca="1">IF(ISNUMBER(MATCH(DATEVALUE($A76),'recurring1_based on steps'!D$1:D$400,0)),D$2,)</f>
        <v>0</v>
      </c>
      <c r="E76" s="179">
        <f ca="1">IF(ISNUMBER(MATCH(DATEVALUE($A76),'recurring1_based on steps'!E$1:E$400,0)),E$2,)</f>
        <v>0</v>
      </c>
      <c r="F76" s="179">
        <f ca="1">IF(ISNUMBER(MATCH(DATEVALUE($A76),'recurring1_based on steps'!F$1:F$400,0)),F$2,)</f>
        <v>0</v>
      </c>
      <c r="G76" s="179">
        <f ca="1">IF(ISNUMBER(MATCH(DATEVALUE($A76),'recurring1_based on steps'!G$1:G$400,0)),G$2,)</f>
        <v>0</v>
      </c>
      <c r="H76" s="179">
        <f ca="1">IF(ISNUMBER(MATCH(DATEVALUE($A76),'recurring1_based on steps'!H$1:H$400,0)),H$2,)</f>
        <v>0</v>
      </c>
      <c r="I76" s="179">
        <f ca="1">IF(ISNUMBER(MATCH(DATEVALUE($A76),'recurring1_based on steps'!I$1:I$400,0)),I$2,)</f>
        <v>0</v>
      </c>
      <c r="J76" s="179">
        <f ca="1">IF(ISNUMBER(MATCH(DATEVALUE($A76),'recurring1_based on steps'!J$1:J$400,0)),J$2,)</f>
        <v>0</v>
      </c>
      <c r="K76" s="179">
        <f ca="1">IF(ISNUMBER(MATCH(DATEVALUE($A76),'recurring1_based on steps'!K$1:K$400,0)),K$2,)</f>
        <v>0</v>
      </c>
      <c r="L76" s="179">
        <f ca="1">IF(ISNUMBER(MATCH(DATEVALUE($A76),'recurring1_based on steps'!L$1:L$400,0)),L$2,)</f>
        <v>0</v>
      </c>
      <c r="M76" s="179">
        <f ca="1">IF(ISNUMBER(MATCH(DATEVALUE($A76),'recurring1_based on steps'!M$1:M$400,0)),M$2,)</f>
        <v>0</v>
      </c>
      <c r="N76" s="179">
        <f ca="1">IF(ISNUMBER(MATCH(DATEVALUE($A76),'recurring1_based on steps'!N$1:N$400,0)),N$2,)</f>
        <v>0</v>
      </c>
      <c r="O76" s="179">
        <f ca="1">IF(ISNUMBER(MATCH(DATEVALUE($A76),'recurring1_based on steps'!O$1:O$400,0)),O$2,)</f>
        <v>0</v>
      </c>
      <c r="P76" s="179">
        <f ca="1">IF(ISNUMBER(MATCH(DATEVALUE($A76),'recurring1_based on steps'!P$1:P$400,0)),P$2,)</f>
        <v>0</v>
      </c>
      <c r="Q76" s="179">
        <f ca="1">IF(ISNUMBER(MATCH(DATEVALUE($A76),'recurring1_based on steps'!Q$1:Q$400,0)),Q$2,)</f>
        <v>0</v>
      </c>
      <c r="R76" s="179">
        <f ca="1">IF(ISNUMBER(MATCH(DATEVALUE($A76),'recurring1_based on steps'!R$1:R$400,0)),R$2,)</f>
        <v>0</v>
      </c>
      <c r="S76" s="179">
        <f ca="1">IF(ISNUMBER(MATCH(DATEVALUE($A76),'recurring1_based on steps'!S$1:S$400,0)),S$2,)</f>
        <v>0</v>
      </c>
      <c r="T76" s="179">
        <f ca="1">IF(ISNUMBER(MATCH(DATEVALUE($A76),'recurring1_based on steps'!T$1:T$400,0)),T$2,)</f>
        <v>0</v>
      </c>
      <c r="U76" s="179">
        <f ca="1">IF(ISNUMBER(MATCH(DATEVALUE($A76),'recurring1_based on steps'!U$1:U$400,0)),U$2,)</f>
        <v>0</v>
      </c>
      <c r="V76" s="179">
        <f ca="1">IF(ISNUMBER(MATCH(DATEVALUE($A76),'recurring1_based on steps'!V$1:V$400,0)),V$2,)</f>
        <v>0</v>
      </c>
      <c r="W76" s="179">
        <f ca="1">IF(ISNUMBER(MATCH(DATEVALUE($A76),'recurring1_based on steps'!W$1:W$400,0)),W$2,)</f>
        <v>0</v>
      </c>
      <c r="X76" s="179">
        <f ca="1">IF(ISNUMBER(MATCH(DATEVALUE($A76),'recurring1_based on steps'!X$1:X$400,0)),X$2,)</f>
        <v>0</v>
      </c>
      <c r="Y76" s="179">
        <f ca="1">IF(ISNUMBER(MATCH(DATEVALUE($A76),'recurring1_based on steps'!Y$1:Y$400,0)),Y$2,)</f>
        <v>0</v>
      </c>
      <c r="Z76" s="179">
        <f ca="1">IF(ISNUMBER(MATCH(DATEVALUE($A76),'recurring1_based on steps'!Z$1:Z$400,0)),Z$2,)</f>
        <v>0</v>
      </c>
      <c r="AA76" s="179">
        <f ca="1">IF(ISNUMBER(MATCH(DATEVALUE($A76),'recurring1_based on steps'!AA$1:AA$400,0)),AA$2,)</f>
        <v>0</v>
      </c>
      <c r="AB76" s="179">
        <f ca="1">IF(ISNUMBER(MATCH(DATEVALUE($A76),'recurring1_based on steps'!AB$1:AB$400,0)),AB$2,)</f>
        <v>0</v>
      </c>
      <c r="AC76" s="179">
        <f ca="1">IF(ISNUMBER(MATCH(DATEVALUE($A76),'recurring1_based on steps'!AC$1:AC$400,0)),AC$2,)</f>
        <v>0</v>
      </c>
      <c r="AD76" s="179">
        <f ca="1">IF(ISNUMBER(MATCH(DATEVALUE($A76),'recurring1_based on steps'!AD$1:AD$400,0)),AD$2,)</f>
        <v>0</v>
      </c>
      <c r="AE76" s="179">
        <f ca="1">IF(ISNUMBER(MATCH(DATEVALUE($A76),'recurring1_based on steps'!AE$1:AE$400,0)),AE$2,)</f>
        <v>0</v>
      </c>
      <c r="AF76" s="179">
        <f ca="1">IF(ISNUMBER(MATCH(DATEVALUE($A76),'recurring1_based on steps'!AF$1:AF$400,0)),AF$2,)</f>
        <v>0</v>
      </c>
      <c r="AG76" s="179">
        <f ca="1">IF(ISNUMBER(MATCH(DATEVALUE($A76),'recurring1_based on steps'!AG$1:AG$400,0)),AG$2,)</f>
        <v>0</v>
      </c>
      <c r="AH76" s="179">
        <f ca="1">IF(ISNUMBER(MATCH(DATEVALUE($A76),'recurring1_based on steps'!AH$1:AH$400,0)),AH$2,)</f>
        <v>0</v>
      </c>
      <c r="AI76" s="179">
        <f ca="1">IF(ISNUMBER(MATCH(DATEVALUE($A76),'recurring1_based on steps'!AI$1:AI$400,0)),AI$2,)</f>
        <v>0</v>
      </c>
      <c r="AJ76" s="179">
        <f ca="1">IF(ISNUMBER(MATCH(DATEVALUE($A76),'recurring1_based on steps'!AJ$1:AJ$400,0)),AJ$2,)</f>
        <v>0</v>
      </c>
      <c r="AK76" s="179">
        <f ca="1">IF(ISNUMBER(MATCH(DATEVALUE($A76),'recurring1_based on steps'!AK$1:AK$400,0)),AK$2,)</f>
        <v>0</v>
      </c>
      <c r="AL76" s="179">
        <f ca="1">IF(ISNUMBER(MATCH(DATEVALUE($A76),'recurring1_based on steps'!AL$1:AL$400,0)),AL$2,)</f>
        <v>0</v>
      </c>
      <c r="AM76" s="179">
        <f ca="1">IF(ISNUMBER(MATCH(DATEVALUE($A76),'recurring1_based on steps'!AM$1:AM$400,0)),AM$2,)</f>
        <v>0</v>
      </c>
      <c r="AN76" s="179">
        <f ca="1">IF(ISNUMBER(MATCH(DATEVALUE($A76),'recurring1_based on steps'!AN$1:AN$400,0)),AN$2,)</f>
        <v>0</v>
      </c>
      <c r="AO76" s="179">
        <f ca="1">IF(ISNUMBER(MATCH(DATEVALUE($A76),'recurring1_based on steps'!AO$1:AO$400,0)),AO$2,)</f>
        <v>0</v>
      </c>
      <c r="AP76" s="179">
        <f ca="1">IF(ISNUMBER(MATCH(DATEVALUE($A76),'recurring1_based on steps'!AP$1:AP$400,0)),AP$2,)</f>
        <v>0</v>
      </c>
      <c r="AQ76" s="179">
        <f ca="1">IF(ISNUMBER(MATCH(DATEVALUE($A76),'recurring1_based on steps'!AQ$1:AQ$400,0)),AQ$2,)</f>
        <v>0</v>
      </c>
      <c r="AR76" s="179">
        <f ca="1">IF(ISNUMBER(MATCH(DATEVALUE($A76),'recurring1_based on steps'!AR$1:AR$400,0)),AR$2,)</f>
        <v>0</v>
      </c>
      <c r="AS76" s="179">
        <f ca="1">IF(ISNUMBER(MATCH(DATEVALUE($A76),'recurring1_based on steps'!AS$1:AS$400,0)),AS$2,)</f>
        <v>0</v>
      </c>
      <c r="AT76" s="179">
        <f ca="1">IF(ISNUMBER(MATCH(DATEVALUE($A76),'recurring1_based on steps'!AT$1:AT$400,0)),AT$2,)</f>
        <v>0</v>
      </c>
      <c r="AU76" s="179">
        <f ca="1">IF(ISNUMBER(MATCH(DATEVALUE($A76),'recurring1_based on steps'!AU$1:AU$400,0)),AU$2,)</f>
        <v>0</v>
      </c>
      <c r="AV76" s="179">
        <f ca="1">IF(ISNUMBER(MATCH(DATEVALUE($A76),'recurring1_based on steps'!AV$1:AV$400,0)),AV$2,)</f>
        <v>0</v>
      </c>
      <c r="AW76" s="179">
        <f ca="1">IF(ISNUMBER(MATCH(DATEVALUE($A76),'recurring1_based on steps'!AW$1:AW$400,0)),AW$2,)</f>
        <v>0</v>
      </c>
      <c r="AX76" s="179">
        <f ca="1">IF(ISNUMBER(MATCH(DATEVALUE($A76),'recurring1_based on steps'!AX$1:AX$400,0)),AX$2,)</f>
        <v>0</v>
      </c>
      <c r="AY76" s="179">
        <f ca="1">IF(ISNUMBER(MATCH(DATEVALUE($A76),'recurring1_based on steps'!AY$1:AY$400,0)),AY$2,)</f>
        <v>0</v>
      </c>
    </row>
    <row r="77" spans="1:51" x14ac:dyDescent="0.2">
      <c r="A77" s="32" t="str">
        <f t="shared" ca="1" si="1"/>
        <v>2025-06-18</v>
      </c>
      <c r="B77" s="179">
        <f ca="1">IF(ISNUMBER(MATCH(DATEVALUE($A77),'recurring1_based on steps'!B$1:B$400,0)),B$2,)</f>
        <v>0</v>
      </c>
      <c r="C77" s="179">
        <f ca="1">IF(ISNUMBER(MATCH(DATEVALUE($A77),'recurring1_based on steps'!C$1:C$400,0)),C$2,)</f>
        <v>0</v>
      </c>
      <c r="D77" s="179">
        <f ca="1">IF(ISNUMBER(MATCH(DATEVALUE($A77),'recurring1_based on steps'!D$1:D$400,0)),D$2,)</f>
        <v>0</v>
      </c>
      <c r="E77" s="179">
        <f ca="1">IF(ISNUMBER(MATCH(DATEVALUE($A77),'recurring1_based on steps'!E$1:E$400,0)),E$2,)</f>
        <v>0</v>
      </c>
      <c r="F77" s="179">
        <f ca="1">IF(ISNUMBER(MATCH(DATEVALUE($A77),'recurring1_based on steps'!F$1:F$400,0)),F$2,)</f>
        <v>0</v>
      </c>
      <c r="G77" s="179">
        <f ca="1">IF(ISNUMBER(MATCH(DATEVALUE($A77),'recurring1_based on steps'!G$1:G$400,0)),G$2,)</f>
        <v>0</v>
      </c>
      <c r="H77" s="179">
        <f ca="1">IF(ISNUMBER(MATCH(DATEVALUE($A77),'recurring1_based on steps'!H$1:H$400,0)),H$2,)</f>
        <v>0</v>
      </c>
      <c r="I77" s="179">
        <f ca="1">IF(ISNUMBER(MATCH(DATEVALUE($A77),'recurring1_based on steps'!I$1:I$400,0)),I$2,)</f>
        <v>0</v>
      </c>
      <c r="J77" s="179">
        <f ca="1">IF(ISNUMBER(MATCH(DATEVALUE($A77),'recurring1_based on steps'!J$1:J$400,0)),J$2,)</f>
        <v>0</v>
      </c>
      <c r="K77" s="179">
        <f ca="1">IF(ISNUMBER(MATCH(DATEVALUE($A77),'recurring1_based on steps'!K$1:K$400,0)),K$2,)</f>
        <v>0</v>
      </c>
      <c r="L77" s="179">
        <f ca="1">IF(ISNUMBER(MATCH(DATEVALUE($A77),'recurring1_based on steps'!L$1:L$400,0)),L$2,)</f>
        <v>0</v>
      </c>
      <c r="M77" s="179">
        <f ca="1">IF(ISNUMBER(MATCH(DATEVALUE($A77),'recurring1_based on steps'!M$1:M$400,0)),M$2,)</f>
        <v>0</v>
      </c>
      <c r="N77" s="179">
        <f ca="1">IF(ISNUMBER(MATCH(DATEVALUE($A77),'recurring1_based on steps'!N$1:N$400,0)),N$2,)</f>
        <v>0</v>
      </c>
      <c r="O77" s="179">
        <f ca="1">IF(ISNUMBER(MATCH(DATEVALUE($A77),'recurring1_based on steps'!O$1:O$400,0)),O$2,)</f>
        <v>0</v>
      </c>
      <c r="P77" s="179">
        <f ca="1">IF(ISNUMBER(MATCH(DATEVALUE($A77),'recurring1_based on steps'!P$1:P$400,0)),P$2,)</f>
        <v>0</v>
      </c>
      <c r="Q77" s="179">
        <f ca="1">IF(ISNUMBER(MATCH(DATEVALUE($A77),'recurring1_based on steps'!Q$1:Q$400,0)),Q$2,)</f>
        <v>0</v>
      </c>
      <c r="R77" s="179">
        <f ca="1">IF(ISNUMBER(MATCH(DATEVALUE($A77),'recurring1_based on steps'!R$1:R$400,0)),R$2,)</f>
        <v>0</v>
      </c>
      <c r="S77" s="179">
        <f ca="1">IF(ISNUMBER(MATCH(DATEVALUE($A77),'recurring1_based on steps'!S$1:S$400,0)),S$2,)</f>
        <v>0</v>
      </c>
      <c r="T77" s="179">
        <f ca="1">IF(ISNUMBER(MATCH(DATEVALUE($A77),'recurring1_based on steps'!T$1:T$400,0)),T$2,)</f>
        <v>0</v>
      </c>
      <c r="U77" s="179">
        <f ca="1">IF(ISNUMBER(MATCH(DATEVALUE($A77),'recurring1_based on steps'!U$1:U$400,0)),U$2,)</f>
        <v>0</v>
      </c>
      <c r="V77" s="179">
        <f ca="1">IF(ISNUMBER(MATCH(DATEVALUE($A77),'recurring1_based on steps'!V$1:V$400,0)),V$2,)</f>
        <v>0</v>
      </c>
      <c r="W77" s="179">
        <f ca="1">IF(ISNUMBER(MATCH(DATEVALUE($A77),'recurring1_based on steps'!W$1:W$400,0)),W$2,)</f>
        <v>0</v>
      </c>
      <c r="X77" s="179">
        <f ca="1">IF(ISNUMBER(MATCH(DATEVALUE($A77),'recurring1_based on steps'!X$1:X$400,0)),X$2,)</f>
        <v>0</v>
      </c>
      <c r="Y77" s="179">
        <f ca="1">IF(ISNUMBER(MATCH(DATEVALUE($A77),'recurring1_based on steps'!Y$1:Y$400,0)),Y$2,)</f>
        <v>0</v>
      </c>
      <c r="Z77" s="179">
        <f ca="1">IF(ISNUMBER(MATCH(DATEVALUE($A77),'recurring1_based on steps'!Z$1:Z$400,0)),Z$2,)</f>
        <v>0</v>
      </c>
      <c r="AA77" s="179">
        <f ca="1">IF(ISNUMBER(MATCH(DATEVALUE($A77),'recurring1_based on steps'!AA$1:AA$400,0)),AA$2,)</f>
        <v>0</v>
      </c>
      <c r="AB77" s="179">
        <f ca="1">IF(ISNUMBER(MATCH(DATEVALUE($A77),'recurring1_based on steps'!AB$1:AB$400,0)),AB$2,)</f>
        <v>0</v>
      </c>
      <c r="AC77" s="179">
        <f ca="1">IF(ISNUMBER(MATCH(DATEVALUE($A77),'recurring1_based on steps'!AC$1:AC$400,0)),AC$2,)</f>
        <v>0</v>
      </c>
      <c r="AD77" s="179">
        <f ca="1">IF(ISNUMBER(MATCH(DATEVALUE($A77),'recurring1_based on steps'!AD$1:AD$400,0)),AD$2,)</f>
        <v>0</v>
      </c>
      <c r="AE77" s="179">
        <f ca="1">IF(ISNUMBER(MATCH(DATEVALUE($A77),'recurring1_based on steps'!AE$1:AE$400,0)),AE$2,)</f>
        <v>0</v>
      </c>
      <c r="AF77" s="179">
        <f ca="1">IF(ISNUMBER(MATCH(DATEVALUE($A77),'recurring1_based on steps'!AF$1:AF$400,0)),AF$2,)</f>
        <v>0</v>
      </c>
      <c r="AG77" s="179">
        <f ca="1">IF(ISNUMBER(MATCH(DATEVALUE($A77),'recurring1_based on steps'!AG$1:AG$400,0)),AG$2,)</f>
        <v>0</v>
      </c>
      <c r="AH77" s="179">
        <f ca="1">IF(ISNUMBER(MATCH(DATEVALUE($A77),'recurring1_based on steps'!AH$1:AH$400,0)),AH$2,)</f>
        <v>0</v>
      </c>
      <c r="AI77" s="179">
        <f ca="1">IF(ISNUMBER(MATCH(DATEVALUE($A77),'recurring1_based on steps'!AI$1:AI$400,0)),AI$2,)</f>
        <v>0</v>
      </c>
      <c r="AJ77" s="179">
        <f ca="1">IF(ISNUMBER(MATCH(DATEVALUE($A77),'recurring1_based on steps'!AJ$1:AJ$400,0)),AJ$2,)</f>
        <v>0</v>
      </c>
      <c r="AK77" s="179">
        <f ca="1">IF(ISNUMBER(MATCH(DATEVALUE($A77),'recurring1_based on steps'!AK$1:AK$400,0)),AK$2,)</f>
        <v>0</v>
      </c>
      <c r="AL77" s="179">
        <f ca="1">IF(ISNUMBER(MATCH(DATEVALUE($A77),'recurring1_based on steps'!AL$1:AL$400,0)),AL$2,)</f>
        <v>0</v>
      </c>
      <c r="AM77" s="179">
        <f ca="1">IF(ISNUMBER(MATCH(DATEVALUE($A77),'recurring1_based on steps'!AM$1:AM$400,0)),AM$2,)</f>
        <v>0</v>
      </c>
      <c r="AN77" s="179">
        <f ca="1">IF(ISNUMBER(MATCH(DATEVALUE($A77),'recurring1_based on steps'!AN$1:AN$400,0)),AN$2,)</f>
        <v>0</v>
      </c>
      <c r="AO77" s="179">
        <f ca="1">IF(ISNUMBER(MATCH(DATEVALUE($A77),'recurring1_based on steps'!AO$1:AO$400,0)),AO$2,)</f>
        <v>0</v>
      </c>
      <c r="AP77" s="179">
        <f ca="1">IF(ISNUMBER(MATCH(DATEVALUE($A77),'recurring1_based on steps'!AP$1:AP$400,0)),AP$2,)</f>
        <v>0</v>
      </c>
      <c r="AQ77" s="179">
        <f ca="1">IF(ISNUMBER(MATCH(DATEVALUE($A77),'recurring1_based on steps'!AQ$1:AQ$400,0)),AQ$2,)</f>
        <v>0</v>
      </c>
      <c r="AR77" s="179">
        <f ca="1">IF(ISNUMBER(MATCH(DATEVALUE($A77),'recurring1_based on steps'!AR$1:AR$400,0)),AR$2,)</f>
        <v>0</v>
      </c>
      <c r="AS77" s="179">
        <f ca="1">IF(ISNUMBER(MATCH(DATEVALUE($A77),'recurring1_based on steps'!AS$1:AS$400,0)),AS$2,)</f>
        <v>0</v>
      </c>
      <c r="AT77" s="179">
        <f ca="1">IF(ISNUMBER(MATCH(DATEVALUE($A77),'recurring1_based on steps'!AT$1:AT$400,0)),AT$2,)</f>
        <v>0</v>
      </c>
      <c r="AU77" s="179">
        <f ca="1">IF(ISNUMBER(MATCH(DATEVALUE($A77),'recurring1_based on steps'!AU$1:AU$400,0)),AU$2,)</f>
        <v>0</v>
      </c>
      <c r="AV77" s="179">
        <f ca="1">IF(ISNUMBER(MATCH(DATEVALUE($A77),'recurring1_based on steps'!AV$1:AV$400,0)),AV$2,)</f>
        <v>0</v>
      </c>
      <c r="AW77" s="179">
        <f ca="1">IF(ISNUMBER(MATCH(DATEVALUE($A77),'recurring1_based on steps'!AW$1:AW$400,0)),AW$2,)</f>
        <v>0</v>
      </c>
      <c r="AX77" s="179">
        <f ca="1">IF(ISNUMBER(MATCH(DATEVALUE($A77),'recurring1_based on steps'!AX$1:AX$400,0)),AX$2,)</f>
        <v>0</v>
      </c>
      <c r="AY77" s="179">
        <f ca="1">IF(ISNUMBER(MATCH(DATEVALUE($A77),'recurring1_based on steps'!AY$1:AY$400,0)),AY$2,)</f>
        <v>0</v>
      </c>
    </row>
    <row r="78" spans="1:51" x14ac:dyDescent="0.2">
      <c r="A78" s="32" t="str">
        <f t="shared" ca="1" si="1"/>
        <v>2025-06-19</v>
      </c>
      <c r="B78" s="179">
        <f ca="1">IF(ISNUMBER(MATCH(DATEVALUE($A78),'recurring1_based on steps'!B$1:B$400,0)),B$2,)</f>
        <v>0</v>
      </c>
      <c r="C78" s="179">
        <f ca="1">IF(ISNUMBER(MATCH(DATEVALUE($A78),'recurring1_based on steps'!C$1:C$400,0)),C$2,)</f>
        <v>0</v>
      </c>
      <c r="D78" s="179">
        <f ca="1">IF(ISNUMBER(MATCH(DATEVALUE($A78),'recurring1_based on steps'!D$1:D$400,0)),D$2,)</f>
        <v>0</v>
      </c>
      <c r="E78" s="179">
        <f ca="1">IF(ISNUMBER(MATCH(DATEVALUE($A78),'recurring1_based on steps'!E$1:E$400,0)),E$2,)</f>
        <v>0</v>
      </c>
      <c r="F78" s="179">
        <f ca="1">IF(ISNUMBER(MATCH(DATEVALUE($A78),'recurring1_based on steps'!F$1:F$400,0)),F$2,)</f>
        <v>0</v>
      </c>
      <c r="G78" s="179">
        <f ca="1">IF(ISNUMBER(MATCH(DATEVALUE($A78),'recurring1_based on steps'!G$1:G$400,0)),G$2,)</f>
        <v>0</v>
      </c>
      <c r="H78" s="179">
        <f ca="1">IF(ISNUMBER(MATCH(DATEVALUE($A78),'recurring1_based on steps'!H$1:H$400,0)),H$2,)</f>
        <v>0</v>
      </c>
      <c r="I78" s="179">
        <f ca="1">IF(ISNUMBER(MATCH(DATEVALUE($A78),'recurring1_based on steps'!I$1:I$400,0)),I$2,)</f>
        <v>0</v>
      </c>
      <c r="J78" s="179">
        <f ca="1">IF(ISNUMBER(MATCH(DATEVALUE($A78),'recurring1_based on steps'!J$1:J$400,0)),J$2,)</f>
        <v>0</v>
      </c>
      <c r="K78" s="179">
        <f ca="1">IF(ISNUMBER(MATCH(DATEVALUE($A78),'recurring1_based on steps'!K$1:K$400,0)),K$2,)</f>
        <v>0</v>
      </c>
      <c r="L78" s="179">
        <f ca="1">IF(ISNUMBER(MATCH(DATEVALUE($A78),'recurring1_based on steps'!L$1:L$400,0)),L$2,)</f>
        <v>0</v>
      </c>
      <c r="M78" s="179">
        <f ca="1">IF(ISNUMBER(MATCH(DATEVALUE($A78),'recurring1_based on steps'!M$1:M$400,0)),M$2,)</f>
        <v>0</v>
      </c>
      <c r="N78" s="179">
        <f ca="1">IF(ISNUMBER(MATCH(DATEVALUE($A78),'recurring1_based on steps'!N$1:N$400,0)),N$2,)</f>
        <v>0</v>
      </c>
      <c r="O78" s="179">
        <f ca="1">IF(ISNUMBER(MATCH(DATEVALUE($A78),'recurring1_based on steps'!O$1:O$400,0)),O$2,)</f>
        <v>0</v>
      </c>
      <c r="P78" s="179">
        <f ca="1">IF(ISNUMBER(MATCH(DATEVALUE($A78),'recurring1_based on steps'!P$1:P$400,0)),P$2,)</f>
        <v>0</v>
      </c>
      <c r="Q78" s="179">
        <f ca="1">IF(ISNUMBER(MATCH(DATEVALUE($A78),'recurring1_based on steps'!Q$1:Q$400,0)),Q$2,)</f>
        <v>0</v>
      </c>
      <c r="R78" s="179">
        <f ca="1">IF(ISNUMBER(MATCH(DATEVALUE($A78),'recurring1_based on steps'!R$1:R$400,0)),R$2,)</f>
        <v>0</v>
      </c>
      <c r="S78" s="179">
        <f ca="1">IF(ISNUMBER(MATCH(DATEVALUE($A78),'recurring1_based on steps'!S$1:S$400,0)),S$2,)</f>
        <v>0</v>
      </c>
      <c r="T78" s="179">
        <f ca="1">IF(ISNUMBER(MATCH(DATEVALUE($A78),'recurring1_based on steps'!T$1:T$400,0)),T$2,)</f>
        <v>0</v>
      </c>
      <c r="U78" s="179">
        <f ca="1">IF(ISNUMBER(MATCH(DATEVALUE($A78),'recurring1_based on steps'!U$1:U$400,0)),U$2,)</f>
        <v>0</v>
      </c>
      <c r="V78" s="179">
        <f ca="1">IF(ISNUMBER(MATCH(DATEVALUE($A78),'recurring1_based on steps'!V$1:V$400,0)),V$2,)</f>
        <v>0</v>
      </c>
      <c r="W78" s="179">
        <f ca="1">IF(ISNUMBER(MATCH(DATEVALUE($A78),'recurring1_based on steps'!W$1:W$400,0)),W$2,)</f>
        <v>0</v>
      </c>
      <c r="X78" s="179">
        <f ca="1">IF(ISNUMBER(MATCH(DATEVALUE($A78),'recurring1_based on steps'!X$1:X$400,0)),X$2,)</f>
        <v>0</v>
      </c>
      <c r="Y78" s="179">
        <f ca="1">IF(ISNUMBER(MATCH(DATEVALUE($A78),'recurring1_based on steps'!Y$1:Y$400,0)),Y$2,)</f>
        <v>0</v>
      </c>
      <c r="Z78" s="179">
        <f ca="1">IF(ISNUMBER(MATCH(DATEVALUE($A78),'recurring1_based on steps'!Z$1:Z$400,0)),Z$2,)</f>
        <v>0</v>
      </c>
      <c r="AA78" s="179">
        <f ca="1">IF(ISNUMBER(MATCH(DATEVALUE($A78),'recurring1_based on steps'!AA$1:AA$400,0)),AA$2,)</f>
        <v>0</v>
      </c>
      <c r="AB78" s="179">
        <f ca="1">IF(ISNUMBER(MATCH(DATEVALUE($A78),'recurring1_based on steps'!AB$1:AB$400,0)),AB$2,)</f>
        <v>0</v>
      </c>
      <c r="AC78" s="179">
        <f ca="1">IF(ISNUMBER(MATCH(DATEVALUE($A78),'recurring1_based on steps'!AC$1:AC$400,0)),AC$2,)</f>
        <v>0</v>
      </c>
      <c r="AD78" s="179">
        <f ca="1">IF(ISNUMBER(MATCH(DATEVALUE($A78),'recurring1_based on steps'!AD$1:AD$400,0)),AD$2,)</f>
        <v>0</v>
      </c>
      <c r="AE78" s="179">
        <f ca="1">IF(ISNUMBER(MATCH(DATEVALUE($A78),'recurring1_based on steps'!AE$1:AE$400,0)),AE$2,)</f>
        <v>0</v>
      </c>
      <c r="AF78" s="179">
        <f ca="1">IF(ISNUMBER(MATCH(DATEVALUE($A78),'recurring1_based on steps'!AF$1:AF$400,0)),AF$2,)</f>
        <v>0</v>
      </c>
      <c r="AG78" s="179">
        <f ca="1">IF(ISNUMBER(MATCH(DATEVALUE($A78),'recurring1_based on steps'!AG$1:AG$400,0)),AG$2,)</f>
        <v>0</v>
      </c>
      <c r="AH78" s="179">
        <f ca="1">IF(ISNUMBER(MATCH(DATEVALUE($A78),'recurring1_based on steps'!AH$1:AH$400,0)),AH$2,)</f>
        <v>0</v>
      </c>
      <c r="AI78" s="179">
        <f ca="1">IF(ISNUMBER(MATCH(DATEVALUE($A78),'recurring1_based on steps'!AI$1:AI$400,0)),AI$2,)</f>
        <v>0</v>
      </c>
      <c r="AJ78" s="179">
        <f ca="1">IF(ISNUMBER(MATCH(DATEVALUE($A78),'recurring1_based on steps'!AJ$1:AJ$400,0)),AJ$2,)</f>
        <v>0</v>
      </c>
      <c r="AK78" s="179">
        <f ca="1">IF(ISNUMBER(MATCH(DATEVALUE($A78),'recurring1_based on steps'!AK$1:AK$400,0)),AK$2,)</f>
        <v>0</v>
      </c>
      <c r="AL78" s="179">
        <f ca="1">IF(ISNUMBER(MATCH(DATEVALUE($A78),'recurring1_based on steps'!AL$1:AL$400,0)),AL$2,)</f>
        <v>0</v>
      </c>
      <c r="AM78" s="179">
        <f ca="1">IF(ISNUMBER(MATCH(DATEVALUE($A78),'recurring1_based on steps'!AM$1:AM$400,0)),AM$2,)</f>
        <v>0</v>
      </c>
      <c r="AN78" s="179">
        <f ca="1">IF(ISNUMBER(MATCH(DATEVALUE($A78),'recurring1_based on steps'!AN$1:AN$400,0)),AN$2,)</f>
        <v>0</v>
      </c>
      <c r="AO78" s="179">
        <f ca="1">IF(ISNUMBER(MATCH(DATEVALUE($A78),'recurring1_based on steps'!AO$1:AO$400,0)),AO$2,)</f>
        <v>0</v>
      </c>
      <c r="AP78" s="179">
        <f ca="1">IF(ISNUMBER(MATCH(DATEVALUE($A78),'recurring1_based on steps'!AP$1:AP$400,0)),AP$2,)</f>
        <v>0</v>
      </c>
      <c r="AQ78" s="179">
        <f ca="1">IF(ISNUMBER(MATCH(DATEVALUE($A78),'recurring1_based on steps'!AQ$1:AQ$400,0)),AQ$2,)</f>
        <v>0</v>
      </c>
      <c r="AR78" s="179">
        <f ca="1">IF(ISNUMBER(MATCH(DATEVALUE($A78),'recurring1_based on steps'!AR$1:AR$400,0)),AR$2,)</f>
        <v>0</v>
      </c>
      <c r="AS78" s="179">
        <f ca="1">IF(ISNUMBER(MATCH(DATEVALUE($A78),'recurring1_based on steps'!AS$1:AS$400,0)),AS$2,)</f>
        <v>0</v>
      </c>
      <c r="AT78" s="179">
        <f ca="1">IF(ISNUMBER(MATCH(DATEVALUE($A78),'recurring1_based on steps'!AT$1:AT$400,0)),AT$2,)</f>
        <v>0</v>
      </c>
      <c r="AU78" s="179">
        <f ca="1">IF(ISNUMBER(MATCH(DATEVALUE($A78),'recurring1_based on steps'!AU$1:AU$400,0)),AU$2,)</f>
        <v>0</v>
      </c>
      <c r="AV78" s="179">
        <f ca="1">IF(ISNUMBER(MATCH(DATEVALUE($A78),'recurring1_based on steps'!AV$1:AV$400,0)),AV$2,)</f>
        <v>0</v>
      </c>
      <c r="AW78" s="179">
        <f ca="1">IF(ISNUMBER(MATCH(DATEVALUE($A78),'recurring1_based on steps'!AW$1:AW$400,0)),AW$2,)</f>
        <v>0</v>
      </c>
      <c r="AX78" s="179">
        <f ca="1">IF(ISNUMBER(MATCH(DATEVALUE($A78),'recurring1_based on steps'!AX$1:AX$400,0)),AX$2,)</f>
        <v>0</v>
      </c>
      <c r="AY78" s="179">
        <f ca="1">IF(ISNUMBER(MATCH(DATEVALUE($A78),'recurring1_based on steps'!AY$1:AY$400,0)),AY$2,)</f>
        <v>0</v>
      </c>
    </row>
    <row r="79" spans="1:51" x14ac:dyDescent="0.2">
      <c r="A79" s="32" t="str">
        <f t="shared" ca="1" si="1"/>
        <v>2025-06-20</v>
      </c>
      <c r="B79" s="179">
        <f ca="1">IF(ISNUMBER(MATCH(DATEVALUE($A79),'recurring1_based on steps'!B$1:B$400,0)),B$2,)</f>
        <v>0</v>
      </c>
      <c r="C79" s="179">
        <f ca="1">IF(ISNUMBER(MATCH(DATEVALUE($A79),'recurring1_based on steps'!C$1:C$400,0)),C$2,)</f>
        <v>0</v>
      </c>
      <c r="D79" s="179">
        <f ca="1">IF(ISNUMBER(MATCH(DATEVALUE($A79),'recurring1_based on steps'!D$1:D$400,0)),D$2,)</f>
        <v>0</v>
      </c>
      <c r="E79" s="179">
        <f ca="1">IF(ISNUMBER(MATCH(DATEVALUE($A79),'recurring1_based on steps'!E$1:E$400,0)),E$2,)</f>
        <v>0</v>
      </c>
      <c r="F79" s="179">
        <f ca="1">IF(ISNUMBER(MATCH(DATEVALUE($A79),'recurring1_based on steps'!F$1:F$400,0)),F$2,)</f>
        <v>0</v>
      </c>
      <c r="G79" s="179">
        <f ca="1">IF(ISNUMBER(MATCH(DATEVALUE($A79),'recurring1_based on steps'!G$1:G$400,0)),G$2,)</f>
        <v>0</v>
      </c>
      <c r="H79" s="179">
        <f ca="1">IF(ISNUMBER(MATCH(DATEVALUE($A79),'recurring1_based on steps'!H$1:H$400,0)),H$2,)</f>
        <v>0</v>
      </c>
      <c r="I79" s="179">
        <f ca="1">IF(ISNUMBER(MATCH(DATEVALUE($A79),'recurring1_based on steps'!I$1:I$400,0)),I$2,)</f>
        <v>0</v>
      </c>
      <c r="J79" s="179">
        <f ca="1">IF(ISNUMBER(MATCH(DATEVALUE($A79),'recurring1_based on steps'!J$1:J$400,0)),J$2,)</f>
        <v>0</v>
      </c>
      <c r="K79" s="179">
        <f ca="1">IF(ISNUMBER(MATCH(DATEVALUE($A79),'recurring1_based on steps'!K$1:K$400,0)),K$2,)</f>
        <v>0</v>
      </c>
      <c r="L79" s="179">
        <f ca="1">IF(ISNUMBER(MATCH(DATEVALUE($A79),'recurring1_based on steps'!L$1:L$400,0)),L$2,)</f>
        <v>0</v>
      </c>
      <c r="M79" s="179">
        <f ca="1">IF(ISNUMBER(MATCH(DATEVALUE($A79),'recurring1_based on steps'!M$1:M$400,0)),M$2,)</f>
        <v>0</v>
      </c>
      <c r="N79" s="179">
        <f ca="1">IF(ISNUMBER(MATCH(DATEVALUE($A79),'recurring1_based on steps'!N$1:N$400,0)),N$2,)</f>
        <v>0</v>
      </c>
      <c r="O79" s="179">
        <f ca="1">IF(ISNUMBER(MATCH(DATEVALUE($A79),'recurring1_based on steps'!O$1:O$400,0)),O$2,)</f>
        <v>0</v>
      </c>
      <c r="P79" s="179">
        <f ca="1">IF(ISNUMBER(MATCH(DATEVALUE($A79),'recurring1_based on steps'!P$1:P$400,0)),P$2,)</f>
        <v>0</v>
      </c>
      <c r="Q79" s="179">
        <f ca="1">IF(ISNUMBER(MATCH(DATEVALUE($A79),'recurring1_based on steps'!Q$1:Q$400,0)),Q$2,)</f>
        <v>0</v>
      </c>
      <c r="R79" s="179">
        <f ca="1">IF(ISNUMBER(MATCH(DATEVALUE($A79),'recurring1_based on steps'!R$1:R$400,0)),R$2,)</f>
        <v>0</v>
      </c>
      <c r="S79" s="179">
        <f ca="1">IF(ISNUMBER(MATCH(DATEVALUE($A79),'recurring1_based on steps'!S$1:S$400,0)),S$2,)</f>
        <v>0</v>
      </c>
      <c r="T79" s="179">
        <f ca="1">IF(ISNUMBER(MATCH(DATEVALUE($A79),'recurring1_based on steps'!T$1:T$400,0)),T$2,)</f>
        <v>0</v>
      </c>
      <c r="U79" s="179">
        <f ca="1">IF(ISNUMBER(MATCH(DATEVALUE($A79),'recurring1_based on steps'!U$1:U$400,0)),U$2,)</f>
        <v>0</v>
      </c>
      <c r="V79" s="179">
        <f ca="1">IF(ISNUMBER(MATCH(DATEVALUE($A79),'recurring1_based on steps'!V$1:V$400,0)),V$2,)</f>
        <v>0</v>
      </c>
      <c r="W79" s="179">
        <f ca="1">IF(ISNUMBER(MATCH(DATEVALUE($A79),'recurring1_based on steps'!W$1:W$400,0)),W$2,)</f>
        <v>0</v>
      </c>
      <c r="X79" s="179">
        <f ca="1">IF(ISNUMBER(MATCH(DATEVALUE($A79),'recurring1_based on steps'!X$1:X$400,0)),X$2,)</f>
        <v>0</v>
      </c>
      <c r="Y79" s="179">
        <f ca="1">IF(ISNUMBER(MATCH(DATEVALUE($A79),'recurring1_based on steps'!Y$1:Y$400,0)),Y$2,)</f>
        <v>0</v>
      </c>
      <c r="Z79" s="179">
        <f ca="1">IF(ISNUMBER(MATCH(DATEVALUE($A79),'recurring1_based on steps'!Z$1:Z$400,0)),Z$2,)</f>
        <v>0</v>
      </c>
      <c r="AA79" s="179">
        <f ca="1">IF(ISNUMBER(MATCH(DATEVALUE($A79),'recurring1_based on steps'!AA$1:AA$400,0)),AA$2,)</f>
        <v>0</v>
      </c>
      <c r="AB79" s="179">
        <f ca="1">IF(ISNUMBER(MATCH(DATEVALUE($A79),'recurring1_based on steps'!AB$1:AB$400,0)),AB$2,)</f>
        <v>0</v>
      </c>
      <c r="AC79" s="179">
        <f ca="1">IF(ISNUMBER(MATCH(DATEVALUE($A79),'recurring1_based on steps'!AC$1:AC$400,0)),AC$2,)</f>
        <v>0</v>
      </c>
      <c r="AD79" s="179">
        <f ca="1">IF(ISNUMBER(MATCH(DATEVALUE($A79),'recurring1_based on steps'!AD$1:AD$400,0)),AD$2,)</f>
        <v>0</v>
      </c>
      <c r="AE79" s="179">
        <f ca="1">IF(ISNUMBER(MATCH(DATEVALUE($A79),'recurring1_based on steps'!AE$1:AE$400,0)),AE$2,)</f>
        <v>0</v>
      </c>
      <c r="AF79" s="179">
        <f ca="1">IF(ISNUMBER(MATCH(DATEVALUE($A79),'recurring1_based on steps'!AF$1:AF$400,0)),AF$2,)</f>
        <v>0</v>
      </c>
      <c r="AG79" s="179">
        <f ca="1">IF(ISNUMBER(MATCH(DATEVALUE($A79),'recurring1_based on steps'!AG$1:AG$400,0)),AG$2,)</f>
        <v>0</v>
      </c>
      <c r="AH79" s="179">
        <f ca="1">IF(ISNUMBER(MATCH(DATEVALUE($A79),'recurring1_based on steps'!AH$1:AH$400,0)),AH$2,)</f>
        <v>0</v>
      </c>
      <c r="AI79" s="179">
        <f ca="1">IF(ISNUMBER(MATCH(DATEVALUE($A79),'recurring1_based on steps'!AI$1:AI$400,0)),AI$2,)</f>
        <v>0</v>
      </c>
      <c r="AJ79" s="179">
        <f ca="1">IF(ISNUMBER(MATCH(DATEVALUE($A79),'recurring1_based on steps'!AJ$1:AJ$400,0)),AJ$2,)</f>
        <v>0</v>
      </c>
      <c r="AK79" s="179">
        <f ca="1">IF(ISNUMBER(MATCH(DATEVALUE($A79),'recurring1_based on steps'!AK$1:AK$400,0)),AK$2,)</f>
        <v>0</v>
      </c>
      <c r="AL79" s="179">
        <f ca="1">IF(ISNUMBER(MATCH(DATEVALUE($A79),'recurring1_based on steps'!AL$1:AL$400,0)),AL$2,)</f>
        <v>0</v>
      </c>
      <c r="AM79" s="179">
        <f ca="1">IF(ISNUMBER(MATCH(DATEVALUE($A79),'recurring1_based on steps'!AM$1:AM$400,0)),AM$2,)</f>
        <v>0</v>
      </c>
      <c r="AN79" s="179">
        <f ca="1">IF(ISNUMBER(MATCH(DATEVALUE($A79),'recurring1_based on steps'!AN$1:AN$400,0)),AN$2,)</f>
        <v>0</v>
      </c>
      <c r="AO79" s="179">
        <f ca="1">IF(ISNUMBER(MATCH(DATEVALUE($A79),'recurring1_based on steps'!AO$1:AO$400,0)),AO$2,)</f>
        <v>0</v>
      </c>
      <c r="AP79" s="179">
        <f ca="1">IF(ISNUMBER(MATCH(DATEVALUE($A79),'recurring1_based on steps'!AP$1:AP$400,0)),AP$2,)</f>
        <v>0</v>
      </c>
      <c r="AQ79" s="179">
        <f ca="1">IF(ISNUMBER(MATCH(DATEVALUE($A79),'recurring1_based on steps'!AQ$1:AQ$400,0)),AQ$2,)</f>
        <v>0</v>
      </c>
      <c r="AR79" s="179">
        <f ca="1">IF(ISNUMBER(MATCH(DATEVALUE($A79),'recurring1_based on steps'!AR$1:AR$400,0)),AR$2,)</f>
        <v>0</v>
      </c>
      <c r="AS79" s="179">
        <f ca="1">IF(ISNUMBER(MATCH(DATEVALUE($A79),'recurring1_based on steps'!AS$1:AS$400,0)),AS$2,)</f>
        <v>0</v>
      </c>
      <c r="AT79" s="179">
        <f ca="1">IF(ISNUMBER(MATCH(DATEVALUE($A79),'recurring1_based on steps'!AT$1:AT$400,0)),AT$2,)</f>
        <v>0</v>
      </c>
      <c r="AU79" s="179">
        <f ca="1">IF(ISNUMBER(MATCH(DATEVALUE($A79),'recurring1_based on steps'!AU$1:AU$400,0)),AU$2,)</f>
        <v>0</v>
      </c>
      <c r="AV79" s="179">
        <f ca="1">IF(ISNUMBER(MATCH(DATEVALUE($A79),'recurring1_based on steps'!AV$1:AV$400,0)),AV$2,)</f>
        <v>0</v>
      </c>
      <c r="AW79" s="179">
        <f ca="1">IF(ISNUMBER(MATCH(DATEVALUE($A79),'recurring1_based on steps'!AW$1:AW$400,0)),AW$2,)</f>
        <v>0</v>
      </c>
      <c r="AX79" s="179">
        <f ca="1">IF(ISNUMBER(MATCH(DATEVALUE($A79),'recurring1_based on steps'!AX$1:AX$400,0)),AX$2,)</f>
        <v>0</v>
      </c>
      <c r="AY79" s="179">
        <f ca="1">IF(ISNUMBER(MATCH(DATEVALUE($A79),'recurring1_based on steps'!AY$1:AY$400,0)),AY$2,)</f>
        <v>0</v>
      </c>
    </row>
    <row r="80" spans="1:51" x14ac:dyDescent="0.2">
      <c r="A80" s="32" t="str">
        <f t="shared" ca="1" si="1"/>
        <v>2025-06-21</v>
      </c>
      <c r="B80" s="179">
        <f ca="1">IF(ISNUMBER(MATCH(DATEVALUE($A80),'recurring1_based on steps'!B$1:B$400,0)),B$2,)</f>
        <v>0</v>
      </c>
      <c r="C80" s="179">
        <f ca="1">IF(ISNUMBER(MATCH(DATEVALUE($A80),'recurring1_based on steps'!C$1:C$400,0)),C$2,)</f>
        <v>0</v>
      </c>
      <c r="D80" s="179">
        <f ca="1">IF(ISNUMBER(MATCH(DATEVALUE($A80),'recurring1_based on steps'!D$1:D$400,0)),D$2,)</f>
        <v>0</v>
      </c>
      <c r="E80" s="179">
        <f ca="1">IF(ISNUMBER(MATCH(DATEVALUE($A80),'recurring1_based on steps'!E$1:E$400,0)),E$2,)</f>
        <v>0</v>
      </c>
      <c r="F80" s="179">
        <f ca="1">IF(ISNUMBER(MATCH(DATEVALUE($A80),'recurring1_based on steps'!F$1:F$400,0)),F$2,)</f>
        <v>0</v>
      </c>
      <c r="G80" s="179">
        <f ca="1">IF(ISNUMBER(MATCH(DATEVALUE($A80),'recurring1_based on steps'!G$1:G$400,0)),G$2,)</f>
        <v>0</v>
      </c>
      <c r="H80" s="179">
        <f ca="1">IF(ISNUMBER(MATCH(DATEVALUE($A80),'recurring1_based on steps'!H$1:H$400,0)),H$2,)</f>
        <v>0</v>
      </c>
      <c r="I80" s="179">
        <f ca="1">IF(ISNUMBER(MATCH(DATEVALUE($A80),'recurring1_based on steps'!I$1:I$400,0)),I$2,)</f>
        <v>0</v>
      </c>
      <c r="J80" s="179">
        <f ca="1">IF(ISNUMBER(MATCH(DATEVALUE($A80),'recurring1_based on steps'!J$1:J$400,0)),J$2,)</f>
        <v>0</v>
      </c>
      <c r="K80" s="179">
        <f ca="1">IF(ISNUMBER(MATCH(DATEVALUE($A80),'recurring1_based on steps'!K$1:K$400,0)),K$2,)</f>
        <v>0</v>
      </c>
      <c r="L80" s="179">
        <f ca="1">IF(ISNUMBER(MATCH(DATEVALUE($A80),'recurring1_based on steps'!L$1:L$400,0)),L$2,)</f>
        <v>0</v>
      </c>
      <c r="M80" s="179">
        <f ca="1">IF(ISNUMBER(MATCH(DATEVALUE($A80),'recurring1_based on steps'!M$1:M$400,0)),M$2,)</f>
        <v>0</v>
      </c>
      <c r="N80" s="179">
        <f ca="1">IF(ISNUMBER(MATCH(DATEVALUE($A80),'recurring1_based on steps'!N$1:N$400,0)),N$2,)</f>
        <v>0</v>
      </c>
      <c r="O80" s="179">
        <f ca="1">IF(ISNUMBER(MATCH(DATEVALUE($A80),'recurring1_based on steps'!O$1:O$400,0)),O$2,)</f>
        <v>0</v>
      </c>
      <c r="P80" s="179">
        <f ca="1">IF(ISNUMBER(MATCH(DATEVALUE($A80),'recurring1_based on steps'!P$1:P$400,0)),P$2,)</f>
        <v>0</v>
      </c>
      <c r="Q80" s="179">
        <f ca="1">IF(ISNUMBER(MATCH(DATEVALUE($A80),'recurring1_based on steps'!Q$1:Q$400,0)),Q$2,)</f>
        <v>0</v>
      </c>
      <c r="R80" s="179">
        <f ca="1">IF(ISNUMBER(MATCH(DATEVALUE($A80),'recurring1_based on steps'!R$1:R$400,0)),R$2,)</f>
        <v>0</v>
      </c>
      <c r="S80" s="179">
        <f ca="1">IF(ISNUMBER(MATCH(DATEVALUE($A80),'recurring1_based on steps'!S$1:S$400,0)),S$2,)</f>
        <v>0</v>
      </c>
      <c r="T80" s="179">
        <f ca="1">IF(ISNUMBER(MATCH(DATEVALUE($A80),'recurring1_based on steps'!T$1:T$400,0)),T$2,)</f>
        <v>0</v>
      </c>
      <c r="U80" s="179">
        <f ca="1">IF(ISNUMBER(MATCH(DATEVALUE($A80),'recurring1_based on steps'!U$1:U$400,0)),U$2,)</f>
        <v>0</v>
      </c>
      <c r="V80" s="179">
        <f ca="1">IF(ISNUMBER(MATCH(DATEVALUE($A80),'recurring1_based on steps'!V$1:V$400,0)),V$2,)</f>
        <v>0</v>
      </c>
      <c r="W80" s="179">
        <f ca="1">IF(ISNUMBER(MATCH(DATEVALUE($A80),'recurring1_based on steps'!W$1:W$400,0)),W$2,)</f>
        <v>0</v>
      </c>
      <c r="X80" s="179">
        <f ca="1">IF(ISNUMBER(MATCH(DATEVALUE($A80),'recurring1_based on steps'!X$1:X$400,0)),X$2,)</f>
        <v>0</v>
      </c>
      <c r="Y80" s="179">
        <f ca="1">IF(ISNUMBER(MATCH(DATEVALUE($A80),'recurring1_based on steps'!Y$1:Y$400,0)),Y$2,)</f>
        <v>0</v>
      </c>
      <c r="Z80" s="179">
        <f ca="1">IF(ISNUMBER(MATCH(DATEVALUE($A80),'recurring1_based on steps'!Z$1:Z$400,0)),Z$2,)</f>
        <v>0</v>
      </c>
      <c r="AA80" s="179">
        <f ca="1">IF(ISNUMBER(MATCH(DATEVALUE($A80),'recurring1_based on steps'!AA$1:AA$400,0)),AA$2,)</f>
        <v>0</v>
      </c>
      <c r="AB80" s="179">
        <f ca="1">IF(ISNUMBER(MATCH(DATEVALUE($A80),'recurring1_based on steps'!AB$1:AB$400,0)),AB$2,)</f>
        <v>0</v>
      </c>
      <c r="AC80" s="179">
        <f ca="1">IF(ISNUMBER(MATCH(DATEVALUE($A80),'recurring1_based on steps'!AC$1:AC$400,0)),AC$2,)</f>
        <v>0</v>
      </c>
      <c r="AD80" s="179">
        <f ca="1">IF(ISNUMBER(MATCH(DATEVALUE($A80),'recurring1_based on steps'!AD$1:AD$400,0)),AD$2,)</f>
        <v>0</v>
      </c>
      <c r="AE80" s="179">
        <f ca="1">IF(ISNUMBER(MATCH(DATEVALUE($A80),'recurring1_based on steps'!AE$1:AE$400,0)),AE$2,)</f>
        <v>0</v>
      </c>
      <c r="AF80" s="179">
        <f ca="1">IF(ISNUMBER(MATCH(DATEVALUE($A80),'recurring1_based on steps'!AF$1:AF$400,0)),AF$2,)</f>
        <v>0</v>
      </c>
      <c r="AG80" s="179">
        <f ca="1">IF(ISNUMBER(MATCH(DATEVALUE($A80),'recurring1_based on steps'!AG$1:AG$400,0)),AG$2,)</f>
        <v>0</v>
      </c>
      <c r="AH80" s="179">
        <f ca="1">IF(ISNUMBER(MATCH(DATEVALUE($A80),'recurring1_based on steps'!AH$1:AH$400,0)),AH$2,)</f>
        <v>0</v>
      </c>
      <c r="AI80" s="179">
        <f ca="1">IF(ISNUMBER(MATCH(DATEVALUE($A80),'recurring1_based on steps'!AI$1:AI$400,0)),AI$2,)</f>
        <v>0</v>
      </c>
      <c r="AJ80" s="179">
        <f ca="1">IF(ISNUMBER(MATCH(DATEVALUE($A80),'recurring1_based on steps'!AJ$1:AJ$400,0)),AJ$2,)</f>
        <v>0</v>
      </c>
      <c r="AK80" s="179">
        <f ca="1">IF(ISNUMBER(MATCH(DATEVALUE($A80),'recurring1_based on steps'!AK$1:AK$400,0)),AK$2,)</f>
        <v>0</v>
      </c>
      <c r="AL80" s="179">
        <f ca="1">IF(ISNUMBER(MATCH(DATEVALUE($A80),'recurring1_based on steps'!AL$1:AL$400,0)),AL$2,)</f>
        <v>0</v>
      </c>
      <c r="AM80" s="179">
        <f ca="1">IF(ISNUMBER(MATCH(DATEVALUE($A80),'recurring1_based on steps'!AM$1:AM$400,0)),AM$2,)</f>
        <v>0</v>
      </c>
      <c r="AN80" s="179">
        <f ca="1">IF(ISNUMBER(MATCH(DATEVALUE($A80),'recurring1_based on steps'!AN$1:AN$400,0)),AN$2,)</f>
        <v>0</v>
      </c>
      <c r="AO80" s="179">
        <f ca="1">IF(ISNUMBER(MATCH(DATEVALUE($A80),'recurring1_based on steps'!AO$1:AO$400,0)),AO$2,)</f>
        <v>0</v>
      </c>
      <c r="AP80" s="179">
        <f ca="1">IF(ISNUMBER(MATCH(DATEVALUE($A80),'recurring1_based on steps'!AP$1:AP$400,0)),AP$2,)</f>
        <v>0</v>
      </c>
      <c r="AQ80" s="179">
        <f ca="1">IF(ISNUMBER(MATCH(DATEVALUE($A80),'recurring1_based on steps'!AQ$1:AQ$400,0)),AQ$2,)</f>
        <v>0</v>
      </c>
      <c r="AR80" s="179">
        <f ca="1">IF(ISNUMBER(MATCH(DATEVALUE($A80),'recurring1_based on steps'!AR$1:AR$400,0)),AR$2,)</f>
        <v>0</v>
      </c>
      <c r="AS80" s="179">
        <f ca="1">IF(ISNUMBER(MATCH(DATEVALUE($A80),'recurring1_based on steps'!AS$1:AS$400,0)),AS$2,)</f>
        <v>0</v>
      </c>
      <c r="AT80" s="179">
        <f ca="1">IF(ISNUMBER(MATCH(DATEVALUE($A80),'recurring1_based on steps'!AT$1:AT$400,0)),AT$2,)</f>
        <v>0</v>
      </c>
      <c r="AU80" s="179">
        <f ca="1">IF(ISNUMBER(MATCH(DATEVALUE($A80),'recurring1_based on steps'!AU$1:AU$400,0)),AU$2,)</f>
        <v>0</v>
      </c>
      <c r="AV80" s="179">
        <f ca="1">IF(ISNUMBER(MATCH(DATEVALUE($A80),'recurring1_based on steps'!AV$1:AV$400,0)),AV$2,)</f>
        <v>0</v>
      </c>
      <c r="AW80" s="179">
        <f ca="1">IF(ISNUMBER(MATCH(DATEVALUE($A80),'recurring1_based on steps'!AW$1:AW$400,0)),AW$2,)</f>
        <v>0</v>
      </c>
      <c r="AX80" s="179">
        <f ca="1">IF(ISNUMBER(MATCH(DATEVALUE($A80),'recurring1_based on steps'!AX$1:AX$400,0)),AX$2,)</f>
        <v>0</v>
      </c>
      <c r="AY80" s="179">
        <f ca="1">IF(ISNUMBER(MATCH(DATEVALUE($A80),'recurring1_based on steps'!AY$1:AY$400,0)),AY$2,)</f>
        <v>0</v>
      </c>
    </row>
    <row r="81" spans="1:51" x14ac:dyDescent="0.2">
      <c r="A81" s="32" t="str">
        <f t="shared" ca="1" si="1"/>
        <v>2025-06-22</v>
      </c>
      <c r="B81" s="179">
        <f ca="1">IF(ISNUMBER(MATCH(DATEVALUE($A81),'recurring1_based on steps'!B$1:B$400,0)),B$2,)</f>
        <v>0</v>
      </c>
      <c r="C81" s="179">
        <f ca="1">IF(ISNUMBER(MATCH(DATEVALUE($A81),'recurring1_based on steps'!C$1:C$400,0)),C$2,)</f>
        <v>0</v>
      </c>
      <c r="D81" s="179">
        <f ca="1">IF(ISNUMBER(MATCH(DATEVALUE($A81),'recurring1_based on steps'!D$1:D$400,0)),D$2,)</f>
        <v>0</v>
      </c>
      <c r="E81" s="179">
        <f ca="1">IF(ISNUMBER(MATCH(DATEVALUE($A81),'recurring1_based on steps'!E$1:E$400,0)),E$2,)</f>
        <v>0</v>
      </c>
      <c r="F81" s="179">
        <f ca="1">IF(ISNUMBER(MATCH(DATEVALUE($A81),'recurring1_based on steps'!F$1:F$400,0)),F$2,)</f>
        <v>0</v>
      </c>
      <c r="G81" s="179">
        <f ca="1">IF(ISNUMBER(MATCH(DATEVALUE($A81),'recurring1_based on steps'!G$1:G$400,0)),G$2,)</f>
        <v>0</v>
      </c>
      <c r="H81" s="179">
        <f ca="1">IF(ISNUMBER(MATCH(DATEVALUE($A81),'recurring1_based on steps'!H$1:H$400,0)),H$2,)</f>
        <v>0</v>
      </c>
      <c r="I81" s="179">
        <f ca="1">IF(ISNUMBER(MATCH(DATEVALUE($A81),'recurring1_based on steps'!I$1:I$400,0)),I$2,)</f>
        <v>0</v>
      </c>
      <c r="J81" s="179">
        <f ca="1">IF(ISNUMBER(MATCH(DATEVALUE($A81),'recurring1_based on steps'!J$1:J$400,0)),J$2,)</f>
        <v>0</v>
      </c>
      <c r="K81" s="179">
        <f ca="1">IF(ISNUMBER(MATCH(DATEVALUE($A81),'recurring1_based on steps'!K$1:K$400,0)),K$2,)</f>
        <v>0</v>
      </c>
      <c r="L81" s="179">
        <f ca="1">IF(ISNUMBER(MATCH(DATEVALUE($A81),'recurring1_based on steps'!L$1:L$400,0)),L$2,)</f>
        <v>0</v>
      </c>
      <c r="M81" s="179">
        <f ca="1">IF(ISNUMBER(MATCH(DATEVALUE($A81),'recurring1_based on steps'!M$1:M$400,0)),M$2,)</f>
        <v>0</v>
      </c>
      <c r="N81" s="179">
        <f ca="1">IF(ISNUMBER(MATCH(DATEVALUE($A81),'recurring1_based on steps'!N$1:N$400,0)),N$2,)</f>
        <v>0</v>
      </c>
      <c r="O81" s="179">
        <f ca="1">IF(ISNUMBER(MATCH(DATEVALUE($A81),'recurring1_based on steps'!O$1:O$400,0)),O$2,)</f>
        <v>0</v>
      </c>
      <c r="P81" s="179">
        <f ca="1">IF(ISNUMBER(MATCH(DATEVALUE($A81),'recurring1_based on steps'!P$1:P$400,0)),P$2,)</f>
        <v>0</v>
      </c>
      <c r="Q81" s="179">
        <f ca="1">IF(ISNUMBER(MATCH(DATEVALUE($A81),'recurring1_based on steps'!Q$1:Q$400,0)),Q$2,)</f>
        <v>0</v>
      </c>
      <c r="R81" s="179">
        <f ca="1">IF(ISNUMBER(MATCH(DATEVALUE($A81),'recurring1_based on steps'!R$1:R$400,0)),R$2,)</f>
        <v>0</v>
      </c>
      <c r="S81" s="179">
        <f ca="1">IF(ISNUMBER(MATCH(DATEVALUE($A81),'recurring1_based on steps'!S$1:S$400,0)),S$2,)</f>
        <v>0</v>
      </c>
      <c r="T81" s="179">
        <f ca="1">IF(ISNUMBER(MATCH(DATEVALUE($A81),'recurring1_based on steps'!T$1:T$400,0)),T$2,)</f>
        <v>0</v>
      </c>
      <c r="U81" s="179">
        <f ca="1">IF(ISNUMBER(MATCH(DATEVALUE($A81),'recurring1_based on steps'!U$1:U$400,0)),U$2,)</f>
        <v>0</v>
      </c>
      <c r="V81" s="179">
        <f ca="1">IF(ISNUMBER(MATCH(DATEVALUE($A81),'recurring1_based on steps'!V$1:V$400,0)),V$2,)</f>
        <v>0</v>
      </c>
      <c r="W81" s="179">
        <f ca="1">IF(ISNUMBER(MATCH(DATEVALUE($A81),'recurring1_based on steps'!W$1:W$400,0)),W$2,)</f>
        <v>0</v>
      </c>
      <c r="X81" s="179">
        <f ca="1">IF(ISNUMBER(MATCH(DATEVALUE($A81),'recurring1_based on steps'!X$1:X$400,0)),X$2,)</f>
        <v>0</v>
      </c>
      <c r="Y81" s="179">
        <f ca="1">IF(ISNUMBER(MATCH(DATEVALUE($A81),'recurring1_based on steps'!Y$1:Y$400,0)),Y$2,)</f>
        <v>0</v>
      </c>
      <c r="Z81" s="179">
        <f ca="1">IF(ISNUMBER(MATCH(DATEVALUE($A81),'recurring1_based on steps'!Z$1:Z$400,0)),Z$2,)</f>
        <v>0</v>
      </c>
      <c r="AA81" s="179">
        <f ca="1">IF(ISNUMBER(MATCH(DATEVALUE($A81),'recurring1_based on steps'!AA$1:AA$400,0)),AA$2,)</f>
        <v>0</v>
      </c>
      <c r="AB81" s="179">
        <f ca="1">IF(ISNUMBER(MATCH(DATEVALUE($A81),'recurring1_based on steps'!AB$1:AB$400,0)),AB$2,)</f>
        <v>0</v>
      </c>
      <c r="AC81" s="179">
        <f ca="1">IF(ISNUMBER(MATCH(DATEVALUE($A81),'recurring1_based on steps'!AC$1:AC$400,0)),AC$2,)</f>
        <v>0</v>
      </c>
      <c r="AD81" s="179">
        <f ca="1">IF(ISNUMBER(MATCH(DATEVALUE($A81),'recurring1_based on steps'!AD$1:AD$400,0)),AD$2,)</f>
        <v>0</v>
      </c>
      <c r="AE81" s="179">
        <f ca="1">IF(ISNUMBER(MATCH(DATEVALUE($A81),'recurring1_based on steps'!AE$1:AE$400,0)),AE$2,)</f>
        <v>0</v>
      </c>
      <c r="AF81" s="179">
        <f ca="1">IF(ISNUMBER(MATCH(DATEVALUE($A81),'recurring1_based on steps'!AF$1:AF$400,0)),AF$2,)</f>
        <v>0</v>
      </c>
      <c r="AG81" s="179">
        <f ca="1">IF(ISNUMBER(MATCH(DATEVALUE($A81),'recurring1_based on steps'!AG$1:AG$400,0)),AG$2,)</f>
        <v>0</v>
      </c>
      <c r="AH81" s="179">
        <f ca="1">IF(ISNUMBER(MATCH(DATEVALUE($A81),'recurring1_based on steps'!AH$1:AH$400,0)),AH$2,)</f>
        <v>0</v>
      </c>
      <c r="AI81" s="179">
        <f ca="1">IF(ISNUMBER(MATCH(DATEVALUE($A81),'recurring1_based on steps'!AI$1:AI$400,0)),AI$2,)</f>
        <v>0</v>
      </c>
      <c r="AJ81" s="179">
        <f ca="1">IF(ISNUMBER(MATCH(DATEVALUE($A81),'recurring1_based on steps'!AJ$1:AJ$400,0)),AJ$2,)</f>
        <v>0</v>
      </c>
      <c r="AK81" s="179">
        <f ca="1">IF(ISNUMBER(MATCH(DATEVALUE($A81),'recurring1_based on steps'!AK$1:AK$400,0)),AK$2,)</f>
        <v>0</v>
      </c>
      <c r="AL81" s="179">
        <f ca="1">IF(ISNUMBER(MATCH(DATEVALUE($A81),'recurring1_based on steps'!AL$1:AL$400,0)),AL$2,)</f>
        <v>0</v>
      </c>
      <c r="AM81" s="179">
        <f ca="1">IF(ISNUMBER(MATCH(DATEVALUE($A81),'recurring1_based on steps'!AM$1:AM$400,0)),AM$2,)</f>
        <v>0</v>
      </c>
      <c r="AN81" s="179">
        <f ca="1">IF(ISNUMBER(MATCH(DATEVALUE($A81),'recurring1_based on steps'!AN$1:AN$400,0)),AN$2,)</f>
        <v>0</v>
      </c>
      <c r="AO81" s="179">
        <f ca="1">IF(ISNUMBER(MATCH(DATEVALUE($A81),'recurring1_based on steps'!AO$1:AO$400,0)),AO$2,)</f>
        <v>0</v>
      </c>
      <c r="AP81" s="179">
        <f ca="1">IF(ISNUMBER(MATCH(DATEVALUE($A81),'recurring1_based on steps'!AP$1:AP$400,0)),AP$2,)</f>
        <v>0</v>
      </c>
      <c r="AQ81" s="179">
        <f ca="1">IF(ISNUMBER(MATCH(DATEVALUE($A81),'recurring1_based on steps'!AQ$1:AQ$400,0)),AQ$2,)</f>
        <v>0</v>
      </c>
      <c r="AR81" s="179">
        <f ca="1">IF(ISNUMBER(MATCH(DATEVALUE($A81),'recurring1_based on steps'!AR$1:AR$400,0)),AR$2,)</f>
        <v>0</v>
      </c>
      <c r="AS81" s="179">
        <f ca="1">IF(ISNUMBER(MATCH(DATEVALUE($A81),'recurring1_based on steps'!AS$1:AS$400,0)),AS$2,)</f>
        <v>0</v>
      </c>
      <c r="AT81" s="179">
        <f ca="1">IF(ISNUMBER(MATCH(DATEVALUE($A81),'recurring1_based on steps'!AT$1:AT$400,0)),AT$2,)</f>
        <v>0</v>
      </c>
      <c r="AU81" s="179">
        <f ca="1">IF(ISNUMBER(MATCH(DATEVALUE($A81),'recurring1_based on steps'!AU$1:AU$400,0)),AU$2,)</f>
        <v>0</v>
      </c>
      <c r="AV81" s="179">
        <f ca="1">IF(ISNUMBER(MATCH(DATEVALUE($A81),'recurring1_based on steps'!AV$1:AV$400,0)),AV$2,)</f>
        <v>0</v>
      </c>
      <c r="AW81" s="179">
        <f ca="1">IF(ISNUMBER(MATCH(DATEVALUE($A81),'recurring1_based on steps'!AW$1:AW$400,0)),AW$2,)</f>
        <v>0</v>
      </c>
      <c r="AX81" s="179">
        <f ca="1">IF(ISNUMBER(MATCH(DATEVALUE($A81),'recurring1_based on steps'!AX$1:AX$400,0)),AX$2,)</f>
        <v>0</v>
      </c>
      <c r="AY81" s="179">
        <f ca="1">IF(ISNUMBER(MATCH(DATEVALUE($A81),'recurring1_based on steps'!AY$1:AY$400,0)),AY$2,)</f>
        <v>0</v>
      </c>
    </row>
    <row r="82" spans="1:51" x14ac:dyDescent="0.2">
      <c r="A82" s="32" t="str">
        <f t="shared" ca="1" si="1"/>
        <v>2025-06-23</v>
      </c>
      <c r="B82" s="179">
        <f ca="1">IF(ISNUMBER(MATCH(DATEVALUE($A82),'recurring1_based on steps'!B$1:B$400,0)),B$2,)</f>
        <v>0</v>
      </c>
      <c r="C82" s="179">
        <f ca="1">IF(ISNUMBER(MATCH(DATEVALUE($A82),'recurring1_based on steps'!C$1:C$400,0)),C$2,)</f>
        <v>0</v>
      </c>
      <c r="D82" s="179">
        <f ca="1">IF(ISNUMBER(MATCH(DATEVALUE($A82),'recurring1_based on steps'!D$1:D$400,0)),D$2,)</f>
        <v>0</v>
      </c>
      <c r="E82" s="179">
        <f ca="1">IF(ISNUMBER(MATCH(DATEVALUE($A82),'recurring1_based on steps'!E$1:E$400,0)),E$2,)</f>
        <v>0</v>
      </c>
      <c r="F82" s="179">
        <f ca="1">IF(ISNUMBER(MATCH(DATEVALUE($A82),'recurring1_based on steps'!F$1:F$400,0)),F$2,)</f>
        <v>0</v>
      </c>
      <c r="G82" s="179">
        <f ca="1">IF(ISNUMBER(MATCH(DATEVALUE($A82),'recurring1_based on steps'!G$1:G$400,0)),G$2,)</f>
        <v>0</v>
      </c>
      <c r="H82" s="179">
        <f ca="1">IF(ISNUMBER(MATCH(DATEVALUE($A82),'recurring1_based on steps'!H$1:H$400,0)),H$2,)</f>
        <v>0</v>
      </c>
      <c r="I82" s="179">
        <f ca="1">IF(ISNUMBER(MATCH(DATEVALUE($A82),'recurring1_based on steps'!I$1:I$400,0)),I$2,)</f>
        <v>0</v>
      </c>
      <c r="J82" s="179">
        <f ca="1">IF(ISNUMBER(MATCH(DATEVALUE($A82),'recurring1_based on steps'!J$1:J$400,0)),J$2,)</f>
        <v>0</v>
      </c>
      <c r="K82" s="179">
        <f ca="1">IF(ISNUMBER(MATCH(DATEVALUE($A82),'recurring1_based on steps'!K$1:K$400,0)),K$2,)</f>
        <v>0</v>
      </c>
      <c r="L82" s="179">
        <f ca="1">IF(ISNUMBER(MATCH(DATEVALUE($A82),'recurring1_based on steps'!L$1:L$400,0)),L$2,)</f>
        <v>0</v>
      </c>
      <c r="M82" s="179">
        <f ca="1">IF(ISNUMBER(MATCH(DATEVALUE($A82),'recurring1_based on steps'!M$1:M$400,0)),M$2,)</f>
        <v>0</v>
      </c>
      <c r="N82" s="179">
        <f ca="1">IF(ISNUMBER(MATCH(DATEVALUE($A82),'recurring1_based on steps'!N$1:N$400,0)),N$2,)</f>
        <v>0</v>
      </c>
      <c r="O82" s="179">
        <f ca="1">IF(ISNUMBER(MATCH(DATEVALUE($A82),'recurring1_based on steps'!O$1:O$400,0)),O$2,)</f>
        <v>0</v>
      </c>
      <c r="P82" s="179">
        <f ca="1">IF(ISNUMBER(MATCH(DATEVALUE($A82),'recurring1_based on steps'!P$1:P$400,0)),P$2,)</f>
        <v>0</v>
      </c>
      <c r="Q82" s="179">
        <f ca="1">IF(ISNUMBER(MATCH(DATEVALUE($A82),'recurring1_based on steps'!Q$1:Q$400,0)),Q$2,)</f>
        <v>0</v>
      </c>
      <c r="R82" s="179">
        <f ca="1">IF(ISNUMBER(MATCH(DATEVALUE($A82),'recurring1_based on steps'!R$1:R$400,0)),R$2,)</f>
        <v>0</v>
      </c>
      <c r="S82" s="179">
        <f ca="1">IF(ISNUMBER(MATCH(DATEVALUE($A82),'recurring1_based on steps'!S$1:S$400,0)),S$2,)</f>
        <v>0</v>
      </c>
      <c r="T82" s="179">
        <f ca="1">IF(ISNUMBER(MATCH(DATEVALUE($A82),'recurring1_based on steps'!T$1:T$400,0)),T$2,)</f>
        <v>0</v>
      </c>
      <c r="U82" s="179">
        <f ca="1">IF(ISNUMBER(MATCH(DATEVALUE($A82),'recurring1_based on steps'!U$1:U$400,0)),U$2,)</f>
        <v>0</v>
      </c>
      <c r="V82" s="179">
        <f ca="1">IF(ISNUMBER(MATCH(DATEVALUE($A82),'recurring1_based on steps'!V$1:V$400,0)),V$2,)</f>
        <v>0</v>
      </c>
      <c r="W82" s="179">
        <f ca="1">IF(ISNUMBER(MATCH(DATEVALUE($A82),'recurring1_based on steps'!W$1:W$400,0)),W$2,)</f>
        <v>0</v>
      </c>
      <c r="X82" s="179">
        <f ca="1">IF(ISNUMBER(MATCH(DATEVALUE($A82),'recurring1_based on steps'!X$1:X$400,0)),X$2,)</f>
        <v>0</v>
      </c>
      <c r="Y82" s="179">
        <f ca="1">IF(ISNUMBER(MATCH(DATEVALUE($A82),'recurring1_based on steps'!Y$1:Y$400,0)),Y$2,)</f>
        <v>0</v>
      </c>
      <c r="Z82" s="179">
        <f ca="1">IF(ISNUMBER(MATCH(DATEVALUE($A82),'recurring1_based on steps'!Z$1:Z$400,0)),Z$2,)</f>
        <v>0</v>
      </c>
      <c r="AA82" s="179">
        <f ca="1">IF(ISNUMBER(MATCH(DATEVALUE($A82),'recurring1_based on steps'!AA$1:AA$400,0)),AA$2,)</f>
        <v>0</v>
      </c>
      <c r="AB82" s="179">
        <f ca="1">IF(ISNUMBER(MATCH(DATEVALUE($A82),'recurring1_based on steps'!AB$1:AB$400,0)),AB$2,)</f>
        <v>0</v>
      </c>
      <c r="AC82" s="179">
        <f ca="1">IF(ISNUMBER(MATCH(DATEVALUE($A82),'recurring1_based on steps'!AC$1:AC$400,0)),AC$2,)</f>
        <v>0</v>
      </c>
      <c r="AD82" s="179">
        <f ca="1">IF(ISNUMBER(MATCH(DATEVALUE($A82),'recurring1_based on steps'!AD$1:AD$400,0)),AD$2,)</f>
        <v>0</v>
      </c>
      <c r="AE82" s="179">
        <f ca="1">IF(ISNUMBER(MATCH(DATEVALUE($A82),'recurring1_based on steps'!AE$1:AE$400,0)),AE$2,)</f>
        <v>0</v>
      </c>
      <c r="AF82" s="179">
        <f ca="1">IF(ISNUMBER(MATCH(DATEVALUE($A82),'recurring1_based on steps'!AF$1:AF$400,0)),AF$2,)</f>
        <v>0</v>
      </c>
      <c r="AG82" s="179">
        <f ca="1">IF(ISNUMBER(MATCH(DATEVALUE($A82),'recurring1_based on steps'!AG$1:AG$400,0)),AG$2,)</f>
        <v>0</v>
      </c>
      <c r="AH82" s="179">
        <f ca="1">IF(ISNUMBER(MATCH(DATEVALUE($A82),'recurring1_based on steps'!AH$1:AH$400,0)),AH$2,)</f>
        <v>0</v>
      </c>
      <c r="AI82" s="179">
        <f ca="1">IF(ISNUMBER(MATCH(DATEVALUE($A82),'recurring1_based on steps'!AI$1:AI$400,0)),AI$2,)</f>
        <v>0</v>
      </c>
      <c r="AJ82" s="179">
        <f ca="1">IF(ISNUMBER(MATCH(DATEVALUE($A82),'recurring1_based on steps'!AJ$1:AJ$400,0)),AJ$2,)</f>
        <v>0</v>
      </c>
      <c r="AK82" s="179">
        <f ca="1">IF(ISNUMBER(MATCH(DATEVALUE($A82),'recurring1_based on steps'!AK$1:AK$400,0)),AK$2,)</f>
        <v>0</v>
      </c>
      <c r="AL82" s="179">
        <f ca="1">IF(ISNUMBER(MATCH(DATEVALUE($A82),'recurring1_based on steps'!AL$1:AL$400,0)),AL$2,)</f>
        <v>0</v>
      </c>
      <c r="AM82" s="179">
        <f ca="1">IF(ISNUMBER(MATCH(DATEVALUE($A82),'recurring1_based on steps'!AM$1:AM$400,0)),AM$2,)</f>
        <v>0</v>
      </c>
      <c r="AN82" s="179">
        <f ca="1">IF(ISNUMBER(MATCH(DATEVALUE($A82),'recurring1_based on steps'!AN$1:AN$400,0)),AN$2,)</f>
        <v>0</v>
      </c>
      <c r="AO82" s="179">
        <f ca="1">IF(ISNUMBER(MATCH(DATEVALUE($A82),'recurring1_based on steps'!AO$1:AO$400,0)),AO$2,)</f>
        <v>0</v>
      </c>
      <c r="AP82" s="179">
        <f ca="1">IF(ISNUMBER(MATCH(DATEVALUE($A82),'recurring1_based on steps'!AP$1:AP$400,0)),AP$2,)</f>
        <v>0</v>
      </c>
      <c r="AQ82" s="179">
        <f ca="1">IF(ISNUMBER(MATCH(DATEVALUE($A82),'recurring1_based on steps'!AQ$1:AQ$400,0)),AQ$2,)</f>
        <v>0</v>
      </c>
      <c r="AR82" s="179">
        <f ca="1">IF(ISNUMBER(MATCH(DATEVALUE($A82),'recurring1_based on steps'!AR$1:AR$400,0)),AR$2,)</f>
        <v>0</v>
      </c>
      <c r="AS82" s="179">
        <f ca="1">IF(ISNUMBER(MATCH(DATEVALUE($A82),'recurring1_based on steps'!AS$1:AS$400,0)),AS$2,)</f>
        <v>0</v>
      </c>
      <c r="AT82" s="179">
        <f ca="1">IF(ISNUMBER(MATCH(DATEVALUE($A82),'recurring1_based on steps'!AT$1:AT$400,0)),AT$2,)</f>
        <v>0</v>
      </c>
      <c r="AU82" s="179">
        <f ca="1">IF(ISNUMBER(MATCH(DATEVALUE($A82),'recurring1_based on steps'!AU$1:AU$400,0)),AU$2,)</f>
        <v>0</v>
      </c>
      <c r="AV82" s="179">
        <f ca="1">IF(ISNUMBER(MATCH(DATEVALUE($A82),'recurring1_based on steps'!AV$1:AV$400,0)),AV$2,)</f>
        <v>0</v>
      </c>
      <c r="AW82" s="179">
        <f ca="1">IF(ISNUMBER(MATCH(DATEVALUE($A82),'recurring1_based on steps'!AW$1:AW$400,0)),AW$2,)</f>
        <v>0</v>
      </c>
      <c r="AX82" s="179">
        <f ca="1">IF(ISNUMBER(MATCH(DATEVALUE($A82),'recurring1_based on steps'!AX$1:AX$400,0)),AX$2,)</f>
        <v>0</v>
      </c>
      <c r="AY82" s="179">
        <f ca="1">IF(ISNUMBER(MATCH(DATEVALUE($A82),'recurring1_based on steps'!AY$1:AY$400,0)),AY$2,)</f>
        <v>0</v>
      </c>
    </row>
    <row r="83" spans="1:51" x14ac:dyDescent="0.2">
      <c r="A83" s="32" t="str">
        <f t="shared" ca="1" si="1"/>
        <v>2025-06-24</v>
      </c>
      <c r="B83" s="179">
        <f ca="1">IF(ISNUMBER(MATCH(DATEVALUE($A83),'recurring1_based on steps'!B$1:B$400,0)),B$2,)</f>
        <v>0</v>
      </c>
      <c r="C83" s="179">
        <f ca="1">IF(ISNUMBER(MATCH(DATEVALUE($A83),'recurring1_based on steps'!C$1:C$400,0)),C$2,)</f>
        <v>0</v>
      </c>
      <c r="D83" s="179">
        <f ca="1">IF(ISNUMBER(MATCH(DATEVALUE($A83),'recurring1_based on steps'!D$1:D$400,0)),D$2,)</f>
        <v>0</v>
      </c>
      <c r="E83" s="179">
        <f ca="1">IF(ISNUMBER(MATCH(DATEVALUE($A83),'recurring1_based on steps'!E$1:E$400,0)),E$2,)</f>
        <v>0</v>
      </c>
      <c r="F83" s="179">
        <f ca="1">IF(ISNUMBER(MATCH(DATEVALUE($A83),'recurring1_based on steps'!F$1:F$400,0)),F$2,)</f>
        <v>0</v>
      </c>
      <c r="G83" s="179">
        <f ca="1">IF(ISNUMBER(MATCH(DATEVALUE($A83),'recurring1_based on steps'!G$1:G$400,0)),G$2,)</f>
        <v>0</v>
      </c>
      <c r="H83" s="179">
        <f ca="1">IF(ISNUMBER(MATCH(DATEVALUE($A83),'recurring1_based on steps'!H$1:H$400,0)),H$2,)</f>
        <v>0</v>
      </c>
      <c r="I83" s="179">
        <f ca="1">IF(ISNUMBER(MATCH(DATEVALUE($A83),'recurring1_based on steps'!I$1:I$400,0)),I$2,)</f>
        <v>0</v>
      </c>
      <c r="J83" s="179">
        <f ca="1">IF(ISNUMBER(MATCH(DATEVALUE($A83),'recurring1_based on steps'!J$1:J$400,0)),J$2,)</f>
        <v>0</v>
      </c>
      <c r="K83" s="179">
        <f ca="1">IF(ISNUMBER(MATCH(DATEVALUE($A83),'recurring1_based on steps'!K$1:K$400,0)),K$2,)</f>
        <v>0</v>
      </c>
      <c r="L83" s="179">
        <f ca="1">IF(ISNUMBER(MATCH(DATEVALUE($A83),'recurring1_based on steps'!L$1:L$400,0)),L$2,)</f>
        <v>0</v>
      </c>
      <c r="M83" s="179">
        <f ca="1">IF(ISNUMBER(MATCH(DATEVALUE($A83),'recurring1_based on steps'!M$1:M$400,0)),M$2,)</f>
        <v>0</v>
      </c>
      <c r="N83" s="179">
        <f ca="1">IF(ISNUMBER(MATCH(DATEVALUE($A83),'recurring1_based on steps'!N$1:N$400,0)),N$2,)</f>
        <v>0</v>
      </c>
      <c r="O83" s="179">
        <f ca="1">IF(ISNUMBER(MATCH(DATEVALUE($A83),'recurring1_based on steps'!O$1:O$400,0)),O$2,)</f>
        <v>0</v>
      </c>
      <c r="P83" s="179">
        <f ca="1">IF(ISNUMBER(MATCH(DATEVALUE($A83),'recurring1_based on steps'!P$1:P$400,0)),P$2,)</f>
        <v>0</v>
      </c>
      <c r="Q83" s="179">
        <f ca="1">IF(ISNUMBER(MATCH(DATEVALUE($A83),'recurring1_based on steps'!Q$1:Q$400,0)),Q$2,)</f>
        <v>0</v>
      </c>
      <c r="R83" s="179">
        <f ca="1">IF(ISNUMBER(MATCH(DATEVALUE($A83),'recurring1_based on steps'!R$1:R$400,0)),R$2,)</f>
        <v>0</v>
      </c>
      <c r="S83" s="179">
        <f ca="1">IF(ISNUMBER(MATCH(DATEVALUE($A83),'recurring1_based on steps'!S$1:S$400,0)),S$2,)</f>
        <v>0</v>
      </c>
      <c r="T83" s="179">
        <f ca="1">IF(ISNUMBER(MATCH(DATEVALUE($A83),'recurring1_based on steps'!T$1:T$400,0)),T$2,)</f>
        <v>0</v>
      </c>
      <c r="U83" s="179">
        <f ca="1">IF(ISNUMBER(MATCH(DATEVALUE($A83),'recurring1_based on steps'!U$1:U$400,0)),U$2,)</f>
        <v>0</v>
      </c>
      <c r="V83" s="179">
        <f ca="1">IF(ISNUMBER(MATCH(DATEVALUE($A83),'recurring1_based on steps'!V$1:V$400,0)),V$2,)</f>
        <v>0</v>
      </c>
      <c r="W83" s="179">
        <f ca="1">IF(ISNUMBER(MATCH(DATEVALUE($A83),'recurring1_based on steps'!W$1:W$400,0)),W$2,)</f>
        <v>0</v>
      </c>
      <c r="X83" s="179">
        <f ca="1">IF(ISNUMBER(MATCH(DATEVALUE($A83),'recurring1_based on steps'!X$1:X$400,0)),X$2,)</f>
        <v>0</v>
      </c>
      <c r="Y83" s="179">
        <f ca="1">IF(ISNUMBER(MATCH(DATEVALUE($A83),'recurring1_based on steps'!Y$1:Y$400,0)),Y$2,)</f>
        <v>0</v>
      </c>
      <c r="Z83" s="179">
        <f ca="1">IF(ISNUMBER(MATCH(DATEVALUE($A83),'recurring1_based on steps'!Z$1:Z$400,0)),Z$2,)</f>
        <v>0</v>
      </c>
      <c r="AA83" s="179">
        <f ca="1">IF(ISNUMBER(MATCH(DATEVALUE($A83),'recurring1_based on steps'!AA$1:AA$400,0)),AA$2,)</f>
        <v>0</v>
      </c>
      <c r="AB83" s="179">
        <f ca="1">IF(ISNUMBER(MATCH(DATEVALUE($A83),'recurring1_based on steps'!AB$1:AB$400,0)),AB$2,)</f>
        <v>0</v>
      </c>
      <c r="AC83" s="179">
        <f ca="1">IF(ISNUMBER(MATCH(DATEVALUE($A83),'recurring1_based on steps'!AC$1:AC$400,0)),AC$2,)</f>
        <v>0</v>
      </c>
      <c r="AD83" s="179">
        <f ca="1">IF(ISNUMBER(MATCH(DATEVALUE($A83),'recurring1_based on steps'!AD$1:AD$400,0)),AD$2,)</f>
        <v>0</v>
      </c>
      <c r="AE83" s="179">
        <f ca="1">IF(ISNUMBER(MATCH(DATEVALUE($A83),'recurring1_based on steps'!AE$1:AE$400,0)),AE$2,)</f>
        <v>0</v>
      </c>
      <c r="AF83" s="179">
        <f ca="1">IF(ISNUMBER(MATCH(DATEVALUE($A83),'recurring1_based on steps'!AF$1:AF$400,0)),AF$2,)</f>
        <v>0</v>
      </c>
      <c r="AG83" s="179">
        <f ca="1">IF(ISNUMBER(MATCH(DATEVALUE($A83),'recurring1_based on steps'!AG$1:AG$400,0)),AG$2,)</f>
        <v>0</v>
      </c>
      <c r="AH83" s="179">
        <f ca="1">IF(ISNUMBER(MATCH(DATEVALUE($A83),'recurring1_based on steps'!AH$1:AH$400,0)),AH$2,)</f>
        <v>0</v>
      </c>
      <c r="AI83" s="179">
        <f ca="1">IF(ISNUMBER(MATCH(DATEVALUE($A83),'recurring1_based on steps'!AI$1:AI$400,0)),AI$2,)</f>
        <v>0</v>
      </c>
      <c r="AJ83" s="179">
        <f ca="1">IF(ISNUMBER(MATCH(DATEVALUE($A83),'recurring1_based on steps'!AJ$1:AJ$400,0)),AJ$2,)</f>
        <v>0</v>
      </c>
      <c r="AK83" s="179">
        <f ca="1">IF(ISNUMBER(MATCH(DATEVALUE($A83),'recurring1_based on steps'!AK$1:AK$400,0)),AK$2,)</f>
        <v>0</v>
      </c>
      <c r="AL83" s="179">
        <f ca="1">IF(ISNUMBER(MATCH(DATEVALUE($A83),'recurring1_based on steps'!AL$1:AL$400,0)),AL$2,)</f>
        <v>0</v>
      </c>
      <c r="AM83" s="179">
        <f ca="1">IF(ISNUMBER(MATCH(DATEVALUE($A83),'recurring1_based on steps'!AM$1:AM$400,0)),AM$2,)</f>
        <v>0</v>
      </c>
      <c r="AN83" s="179">
        <f ca="1">IF(ISNUMBER(MATCH(DATEVALUE($A83),'recurring1_based on steps'!AN$1:AN$400,0)),AN$2,)</f>
        <v>0</v>
      </c>
      <c r="AO83" s="179">
        <f ca="1">IF(ISNUMBER(MATCH(DATEVALUE($A83),'recurring1_based on steps'!AO$1:AO$400,0)),AO$2,)</f>
        <v>0</v>
      </c>
      <c r="AP83" s="179">
        <f ca="1">IF(ISNUMBER(MATCH(DATEVALUE($A83),'recurring1_based on steps'!AP$1:AP$400,0)),AP$2,)</f>
        <v>0</v>
      </c>
      <c r="AQ83" s="179">
        <f ca="1">IF(ISNUMBER(MATCH(DATEVALUE($A83),'recurring1_based on steps'!AQ$1:AQ$400,0)),AQ$2,)</f>
        <v>0</v>
      </c>
      <c r="AR83" s="179">
        <f ca="1">IF(ISNUMBER(MATCH(DATEVALUE($A83),'recurring1_based on steps'!AR$1:AR$400,0)),AR$2,)</f>
        <v>0</v>
      </c>
      <c r="AS83" s="179">
        <f ca="1">IF(ISNUMBER(MATCH(DATEVALUE($A83),'recurring1_based on steps'!AS$1:AS$400,0)),AS$2,)</f>
        <v>0</v>
      </c>
      <c r="AT83" s="179">
        <f ca="1">IF(ISNUMBER(MATCH(DATEVALUE($A83),'recurring1_based on steps'!AT$1:AT$400,0)),AT$2,)</f>
        <v>0</v>
      </c>
      <c r="AU83" s="179">
        <f ca="1">IF(ISNUMBER(MATCH(DATEVALUE($A83),'recurring1_based on steps'!AU$1:AU$400,0)),AU$2,)</f>
        <v>0</v>
      </c>
      <c r="AV83" s="179">
        <f ca="1">IF(ISNUMBER(MATCH(DATEVALUE($A83),'recurring1_based on steps'!AV$1:AV$400,0)),AV$2,)</f>
        <v>0</v>
      </c>
      <c r="AW83" s="179">
        <f ca="1">IF(ISNUMBER(MATCH(DATEVALUE($A83),'recurring1_based on steps'!AW$1:AW$400,0)),AW$2,)</f>
        <v>0</v>
      </c>
      <c r="AX83" s="179">
        <f ca="1">IF(ISNUMBER(MATCH(DATEVALUE($A83),'recurring1_based on steps'!AX$1:AX$400,0)),AX$2,)</f>
        <v>0</v>
      </c>
      <c r="AY83" s="179">
        <f ca="1">IF(ISNUMBER(MATCH(DATEVALUE($A83),'recurring1_based on steps'!AY$1:AY$400,0)),AY$2,)</f>
        <v>0</v>
      </c>
    </row>
    <row r="84" spans="1:51" x14ac:dyDescent="0.2">
      <c r="A84" s="32" t="str">
        <f t="shared" ca="1" si="1"/>
        <v>2025-06-25</v>
      </c>
      <c r="B84" s="179">
        <f ca="1">IF(ISNUMBER(MATCH(DATEVALUE($A84),'recurring1_based on steps'!B$1:B$400,0)),B$2,)</f>
        <v>0</v>
      </c>
      <c r="C84" s="179">
        <f ca="1">IF(ISNUMBER(MATCH(DATEVALUE($A84),'recurring1_based on steps'!C$1:C$400,0)),C$2,)</f>
        <v>0</v>
      </c>
      <c r="D84" s="179">
        <f ca="1">IF(ISNUMBER(MATCH(DATEVALUE($A84),'recurring1_based on steps'!D$1:D$400,0)),D$2,)</f>
        <v>0</v>
      </c>
      <c r="E84" s="179">
        <f ca="1">IF(ISNUMBER(MATCH(DATEVALUE($A84),'recurring1_based on steps'!E$1:E$400,0)),E$2,)</f>
        <v>0</v>
      </c>
      <c r="F84" s="179">
        <f ca="1">IF(ISNUMBER(MATCH(DATEVALUE($A84),'recurring1_based on steps'!F$1:F$400,0)),F$2,)</f>
        <v>0</v>
      </c>
      <c r="G84" s="179">
        <f ca="1">IF(ISNUMBER(MATCH(DATEVALUE($A84),'recurring1_based on steps'!G$1:G$400,0)),G$2,)</f>
        <v>0</v>
      </c>
      <c r="H84" s="179">
        <f ca="1">IF(ISNUMBER(MATCH(DATEVALUE($A84),'recurring1_based on steps'!H$1:H$400,0)),H$2,)</f>
        <v>0</v>
      </c>
      <c r="I84" s="179">
        <f ca="1">IF(ISNUMBER(MATCH(DATEVALUE($A84),'recurring1_based on steps'!I$1:I$400,0)),I$2,)</f>
        <v>0</v>
      </c>
      <c r="J84" s="179">
        <f ca="1">IF(ISNUMBER(MATCH(DATEVALUE($A84),'recurring1_based on steps'!J$1:J$400,0)),J$2,)</f>
        <v>0</v>
      </c>
      <c r="K84" s="179">
        <f ca="1">IF(ISNUMBER(MATCH(DATEVALUE($A84),'recurring1_based on steps'!K$1:K$400,0)),K$2,)</f>
        <v>0</v>
      </c>
      <c r="L84" s="179">
        <f ca="1">IF(ISNUMBER(MATCH(DATEVALUE($A84),'recurring1_based on steps'!L$1:L$400,0)),L$2,)</f>
        <v>0</v>
      </c>
      <c r="M84" s="179">
        <f ca="1">IF(ISNUMBER(MATCH(DATEVALUE($A84),'recurring1_based on steps'!M$1:M$400,0)),M$2,)</f>
        <v>0</v>
      </c>
      <c r="N84" s="179">
        <f ca="1">IF(ISNUMBER(MATCH(DATEVALUE($A84),'recurring1_based on steps'!N$1:N$400,0)),N$2,)</f>
        <v>0</v>
      </c>
      <c r="O84" s="179">
        <f ca="1">IF(ISNUMBER(MATCH(DATEVALUE($A84),'recurring1_based on steps'!O$1:O$400,0)),O$2,)</f>
        <v>0</v>
      </c>
      <c r="P84" s="179">
        <f ca="1">IF(ISNUMBER(MATCH(DATEVALUE($A84),'recurring1_based on steps'!P$1:P$400,0)),P$2,)</f>
        <v>0</v>
      </c>
      <c r="Q84" s="179">
        <f ca="1">IF(ISNUMBER(MATCH(DATEVALUE($A84),'recurring1_based on steps'!Q$1:Q$400,0)),Q$2,)</f>
        <v>0</v>
      </c>
      <c r="R84" s="179">
        <f ca="1">IF(ISNUMBER(MATCH(DATEVALUE($A84),'recurring1_based on steps'!R$1:R$400,0)),R$2,)</f>
        <v>0</v>
      </c>
      <c r="S84" s="179">
        <f ca="1">IF(ISNUMBER(MATCH(DATEVALUE($A84),'recurring1_based on steps'!S$1:S$400,0)),S$2,)</f>
        <v>0</v>
      </c>
      <c r="T84" s="179">
        <f ca="1">IF(ISNUMBER(MATCH(DATEVALUE($A84),'recurring1_based on steps'!T$1:T$400,0)),T$2,)</f>
        <v>0</v>
      </c>
      <c r="U84" s="179">
        <f ca="1">IF(ISNUMBER(MATCH(DATEVALUE($A84),'recurring1_based on steps'!U$1:U$400,0)),U$2,)</f>
        <v>0</v>
      </c>
      <c r="V84" s="179">
        <f ca="1">IF(ISNUMBER(MATCH(DATEVALUE($A84),'recurring1_based on steps'!V$1:V$400,0)),V$2,)</f>
        <v>0</v>
      </c>
      <c r="W84" s="179">
        <f ca="1">IF(ISNUMBER(MATCH(DATEVALUE($A84),'recurring1_based on steps'!W$1:W$400,0)),W$2,)</f>
        <v>0</v>
      </c>
      <c r="X84" s="179">
        <f ca="1">IF(ISNUMBER(MATCH(DATEVALUE($A84),'recurring1_based on steps'!X$1:X$400,0)),X$2,)</f>
        <v>0</v>
      </c>
      <c r="Y84" s="179">
        <f ca="1">IF(ISNUMBER(MATCH(DATEVALUE($A84),'recurring1_based on steps'!Y$1:Y$400,0)),Y$2,)</f>
        <v>0</v>
      </c>
      <c r="Z84" s="179">
        <f ca="1">IF(ISNUMBER(MATCH(DATEVALUE($A84),'recurring1_based on steps'!Z$1:Z$400,0)),Z$2,)</f>
        <v>0</v>
      </c>
      <c r="AA84" s="179">
        <f ca="1">IF(ISNUMBER(MATCH(DATEVALUE($A84),'recurring1_based on steps'!AA$1:AA$400,0)),AA$2,)</f>
        <v>0</v>
      </c>
      <c r="AB84" s="179">
        <f ca="1">IF(ISNUMBER(MATCH(DATEVALUE($A84),'recurring1_based on steps'!AB$1:AB$400,0)),AB$2,)</f>
        <v>0</v>
      </c>
      <c r="AC84" s="179">
        <f ca="1">IF(ISNUMBER(MATCH(DATEVALUE($A84),'recurring1_based on steps'!AC$1:AC$400,0)),AC$2,)</f>
        <v>0</v>
      </c>
      <c r="AD84" s="179">
        <f ca="1">IF(ISNUMBER(MATCH(DATEVALUE($A84),'recurring1_based on steps'!AD$1:AD$400,0)),AD$2,)</f>
        <v>0</v>
      </c>
      <c r="AE84" s="179">
        <f ca="1">IF(ISNUMBER(MATCH(DATEVALUE($A84),'recurring1_based on steps'!AE$1:AE$400,0)),AE$2,)</f>
        <v>0</v>
      </c>
      <c r="AF84" s="179">
        <f ca="1">IF(ISNUMBER(MATCH(DATEVALUE($A84),'recurring1_based on steps'!AF$1:AF$400,0)),AF$2,)</f>
        <v>0</v>
      </c>
      <c r="AG84" s="179">
        <f ca="1">IF(ISNUMBER(MATCH(DATEVALUE($A84),'recurring1_based on steps'!AG$1:AG$400,0)),AG$2,)</f>
        <v>0</v>
      </c>
      <c r="AH84" s="179">
        <f ca="1">IF(ISNUMBER(MATCH(DATEVALUE($A84),'recurring1_based on steps'!AH$1:AH$400,0)),AH$2,)</f>
        <v>0</v>
      </c>
      <c r="AI84" s="179">
        <f ca="1">IF(ISNUMBER(MATCH(DATEVALUE($A84),'recurring1_based on steps'!AI$1:AI$400,0)),AI$2,)</f>
        <v>0</v>
      </c>
      <c r="AJ84" s="179">
        <f ca="1">IF(ISNUMBER(MATCH(DATEVALUE($A84),'recurring1_based on steps'!AJ$1:AJ$400,0)),AJ$2,)</f>
        <v>0</v>
      </c>
      <c r="AK84" s="179">
        <f ca="1">IF(ISNUMBER(MATCH(DATEVALUE($A84),'recurring1_based on steps'!AK$1:AK$400,0)),AK$2,)</f>
        <v>0</v>
      </c>
      <c r="AL84" s="179">
        <f ca="1">IF(ISNUMBER(MATCH(DATEVALUE($A84),'recurring1_based on steps'!AL$1:AL$400,0)),AL$2,)</f>
        <v>0</v>
      </c>
      <c r="AM84" s="179">
        <f ca="1">IF(ISNUMBER(MATCH(DATEVALUE($A84),'recurring1_based on steps'!AM$1:AM$400,0)),AM$2,)</f>
        <v>0</v>
      </c>
      <c r="AN84" s="179">
        <f ca="1">IF(ISNUMBER(MATCH(DATEVALUE($A84),'recurring1_based on steps'!AN$1:AN$400,0)),AN$2,)</f>
        <v>0</v>
      </c>
      <c r="AO84" s="179">
        <f ca="1">IF(ISNUMBER(MATCH(DATEVALUE($A84),'recurring1_based on steps'!AO$1:AO$400,0)),AO$2,)</f>
        <v>0</v>
      </c>
      <c r="AP84" s="179">
        <f ca="1">IF(ISNUMBER(MATCH(DATEVALUE($A84),'recurring1_based on steps'!AP$1:AP$400,0)),AP$2,)</f>
        <v>0</v>
      </c>
      <c r="AQ84" s="179">
        <f ca="1">IF(ISNUMBER(MATCH(DATEVALUE($A84),'recurring1_based on steps'!AQ$1:AQ$400,0)),AQ$2,)</f>
        <v>0</v>
      </c>
      <c r="AR84" s="179">
        <f ca="1">IF(ISNUMBER(MATCH(DATEVALUE($A84),'recurring1_based on steps'!AR$1:AR$400,0)),AR$2,)</f>
        <v>0</v>
      </c>
      <c r="AS84" s="179">
        <f ca="1">IF(ISNUMBER(MATCH(DATEVALUE($A84),'recurring1_based on steps'!AS$1:AS$400,0)),AS$2,)</f>
        <v>0</v>
      </c>
      <c r="AT84" s="179">
        <f ca="1">IF(ISNUMBER(MATCH(DATEVALUE($A84),'recurring1_based on steps'!AT$1:AT$400,0)),AT$2,)</f>
        <v>0</v>
      </c>
      <c r="AU84" s="179">
        <f ca="1">IF(ISNUMBER(MATCH(DATEVALUE($A84),'recurring1_based on steps'!AU$1:AU$400,0)),AU$2,)</f>
        <v>0</v>
      </c>
      <c r="AV84" s="179">
        <f ca="1">IF(ISNUMBER(MATCH(DATEVALUE($A84),'recurring1_based on steps'!AV$1:AV$400,0)),AV$2,)</f>
        <v>0</v>
      </c>
      <c r="AW84" s="179">
        <f ca="1">IF(ISNUMBER(MATCH(DATEVALUE($A84),'recurring1_based on steps'!AW$1:AW$400,0)),AW$2,)</f>
        <v>0</v>
      </c>
      <c r="AX84" s="179">
        <f ca="1">IF(ISNUMBER(MATCH(DATEVALUE($A84),'recurring1_based on steps'!AX$1:AX$400,0)),AX$2,)</f>
        <v>0</v>
      </c>
      <c r="AY84" s="179">
        <f ca="1">IF(ISNUMBER(MATCH(DATEVALUE($A84),'recurring1_based on steps'!AY$1:AY$400,0)),AY$2,)</f>
        <v>0</v>
      </c>
    </row>
    <row r="85" spans="1:51" x14ac:dyDescent="0.2">
      <c r="A85" s="32" t="str">
        <f t="shared" ca="1" si="1"/>
        <v>2025-06-26</v>
      </c>
      <c r="B85" s="179">
        <f ca="1">IF(ISNUMBER(MATCH(DATEVALUE($A85),'recurring1_based on steps'!B$1:B$400,0)),B$2,)</f>
        <v>0</v>
      </c>
      <c r="C85" s="179">
        <f ca="1">IF(ISNUMBER(MATCH(DATEVALUE($A85),'recurring1_based on steps'!C$1:C$400,0)),C$2,)</f>
        <v>0</v>
      </c>
      <c r="D85" s="179">
        <f ca="1">IF(ISNUMBER(MATCH(DATEVALUE($A85),'recurring1_based on steps'!D$1:D$400,0)),D$2,)</f>
        <v>0</v>
      </c>
      <c r="E85" s="179">
        <f ca="1">IF(ISNUMBER(MATCH(DATEVALUE($A85),'recurring1_based on steps'!E$1:E$400,0)),E$2,)</f>
        <v>0</v>
      </c>
      <c r="F85" s="179">
        <f ca="1">IF(ISNUMBER(MATCH(DATEVALUE($A85),'recurring1_based on steps'!F$1:F$400,0)),F$2,)</f>
        <v>0</v>
      </c>
      <c r="G85" s="179">
        <f ca="1">IF(ISNUMBER(MATCH(DATEVALUE($A85),'recurring1_based on steps'!G$1:G$400,0)),G$2,)</f>
        <v>0</v>
      </c>
      <c r="H85" s="179">
        <f ca="1">IF(ISNUMBER(MATCH(DATEVALUE($A85),'recurring1_based on steps'!H$1:H$400,0)),H$2,)</f>
        <v>0</v>
      </c>
      <c r="I85" s="179">
        <f ca="1">IF(ISNUMBER(MATCH(DATEVALUE($A85),'recurring1_based on steps'!I$1:I$400,0)),I$2,)</f>
        <v>0</v>
      </c>
      <c r="J85" s="179">
        <f ca="1">IF(ISNUMBER(MATCH(DATEVALUE($A85),'recurring1_based on steps'!J$1:J$400,0)),J$2,)</f>
        <v>0</v>
      </c>
      <c r="K85" s="179">
        <f ca="1">IF(ISNUMBER(MATCH(DATEVALUE($A85),'recurring1_based on steps'!K$1:K$400,0)),K$2,)</f>
        <v>0</v>
      </c>
      <c r="L85" s="179">
        <f ca="1">IF(ISNUMBER(MATCH(DATEVALUE($A85),'recurring1_based on steps'!L$1:L$400,0)),L$2,)</f>
        <v>0</v>
      </c>
      <c r="M85" s="179">
        <f ca="1">IF(ISNUMBER(MATCH(DATEVALUE($A85),'recurring1_based on steps'!M$1:M$400,0)),M$2,)</f>
        <v>0</v>
      </c>
      <c r="N85" s="179">
        <f ca="1">IF(ISNUMBER(MATCH(DATEVALUE($A85),'recurring1_based on steps'!N$1:N$400,0)),N$2,)</f>
        <v>0</v>
      </c>
      <c r="O85" s="179">
        <f ca="1">IF(ISNUMBER(MATCH(DATEVALUE($A85),'recurring1_based on steps'!O$1:O$400,0)),O$2,)</f>
        <v>0</v>
      </c>
      <c r="P85" s="179">
        <f ca="1">IF(ISNUMBER(MATCH(DATEVALUE($A85),'recurring1_based on steps'!P$1:P$400,0)),P$2,)</f>
        <v>0</v>
      </c>
      <c r="Q85" s="179">
        <f ca="1">IF(ISNUMBER(MATCH(DATEVALUE($A85),'recurring1_based on steps'!Q$1:Q$400,0)),Q$2,)</f>
        <v>0</v>
      </c>
      <c r="R85" s="179">
        <f ca="1">IF(ISNUMBER(MATCH(DATEVALUE($A85),'recurring1_based on steps'!R$1:R$400,0)),R$2,)</f>
        <v>0</v>
      </c>
      <c r="S85" s="179">
        <f ca="1">IF(ISNUMBER(MATCH(DATEVALUE($A85),'recurring1_based on steps'!S$1:S$400,0)),S$2,)</f>
        <v>0</v>
      </c>
      <c r="T85" s="179">
        <f ca="1">IF(ISNUMBER(MATCH(DATEVALUE($A85),'recurring1_based on steps'!T$1:T$400,0)),T$2,)</f>
        <v>0</v>
      </c>
      <c r="U85" s="179">
        <f ca="1">IF(ISNUMBER(MATCH(DATEVALUE($A85),'recurring1_based on steps'!U$1:U$400,0)),U$2,)</f>
        <v>0</v>
      </c>
      <c r="V85" s="179">
        <f ca="1">IF(ISNUMBER(MATCH(DATEVALUE($A85),'recurring1_based on steps'!V$1:V$400,0)),V$2,)</f>
        <v>0</v>
      </c>
      <c r="W85" s="179">
        <f ca="1">IF(ISNUMBER(MATCH(DATEVALUE($A85),'recurring1_based on steps'!W$1:W$400,0)),W$2,)</f>
        <v>0</v>
      </c>
      <c r="X85" s="179">
        <f ca="1">IF(ISNUMBER(MATCH(DATEVALUE($A85),'recurring1_based on steps'!X$1:X$400,0)),X$2,)</f>
        <v>0</v>
      </c>
      <c r="Y85" s="179">
        <f ca="1">IF(ISNUMBER(MATCH(DATEVALUE($A85),'recurring1_based on steps'!Y$1:Y$400,0)),Y$2,)</f>
        <v>0</v>
      </c>
      <c r="Z85" s="179">
        <f ca="1">IF(ISNUMBER(MATCH(DATEVALUE($A85),'recurring1_based on steps'!Z$1:Z$400,0)),Z$2,)</f>
        <v>0</v>
      </c>
      <c r="AA85" s="179">
        <f ca="1">IF(ISNUMBER(MATCH(DATEVALUE($A85),'recurring1_based on steps'!AA$1:AA$400,0)),AA$2,)</f>
        <v>0</v>
      </c>
      <c r="AB85" s="179">
        <f ca="1">IF(ISNUMBER(MATCH(DATEVALUE($A85),'recurring1_based on steps'!AB$1:AB$400,0)),AB$2,)</f>
        <v>0</v>
      </c>
      <c r="AC85" s="179">
        <f ca="1">IF(ISNUMBER(MATCH(DATEVALUE($A85),'recurring1_based on steps'!AC$1:AC$400,0)),AC$2,)</f>
        <v>0</v>
      </c>
      <c r="AD85" s="179">
        <f ca="1">IF(ISNUMBER(MATCH(DATEVALUE($A85),'recurring1_based on steps'!AD$1:AD$400,0)),AD$2,)</f>
        <v>0</v>
      </c>
      <c r="AE85" s="179">
        <f ca="1">IF(ISNUMBER(MATCH(DATEVALUE($A85),'recurring1_based on steps'!AE$1:AE$400,0)),AE$2,)</f>
        <v>0</v>
      </c>
      <c r="AF85" s="179">
        <f ca="1">IF(ISNUMBER(MATCH(DATEVALUE($A85),'recurring1_based on steps'!AF$1:AF$400,0)),AF$2,)</f>
        <v>0</v>
      </c>
      <c r="AG85" s="179">
        <f ca="1">IF(ISNUMBER(MATCH(DATEVALUE($A85),'recurring1_based on steps'!AG$1:AG$400,0)),AG$2,)</f>
        <v>0</v>
      </c>
      <c r="AH85" s="179">
        <f ca="1">IF(ISNUMBER(MATCH(DATEVALUE($A85),'recurring1_based on steps'!AH$1:AH$400,0)),AH$2,)</f>
        <v>0</v>
      </c>
      <c r="AI85" s="179">
        <f ca="1">IF(ISNUMBER(MATCH(DATEVALUE($A85),'recurring1_based on steps'!AI$1:AI$400,0)),AI$2,)</f>
        <v>0</v>
      </c>
      <c r="AJ85" s="179">
        <f ca="1">IF(ISNUMBER(MATCH(DATEVALUE($A85),'recurring1_based on steps'!AJ$1:AJ$400,0)),AJ$2,)</f>
        <v>0</v>
      </c>
      <c r="AK85" s="179">
        <f ca="1">IF(ISNUMBER(MATCH(DATEVALUE($A85),'recurring1_based on steps'!AK$1:AK$400,0)),AK$2,)</f>
        <v>0</v>
      </c>
      <c r="AL85" s="179">
        <f ca="1">IF(ISNUMBER(MATCH(DATEVALUE($A85),'recurring1_based on steps'!AL$1:AL$400,0)),AL$2,)</f>
        <v>0</v>
      </c>
      <c r="AM85" s="179">
        <f ca="1">IF(ISNUMBER(MATCH(DATEVALUE($A85),'recurring1_based on steps'!AM$1:AM$400,0)),AM$2,)</f>
        <v>0</v>
      </c>
      <c r="AN85" s="179">
        <f ca="1">IF(ISNUMBER(MATCH(DATEVALUE($A85),'recurring1_based on steps'!AN$1:AN$400,0)),AN$2,)</f>
        <v>0</v>
      </c>
      <c r="AO85" s="179">
        <f ca="1">IF(ISNUMBER(MATCH(DATEVALUE($A85),'recurring1_based on steps'!AO$1:AO$400,0)),AO$2,)</f>
        <v>0</v>
      </c>
      <c r="AP85" s="179">
        <f ca="1">IF(ISNUMBER(MATCH(DATEVALUE($A85),'recurring1_based on steps'!AP$1:AP$400,0)),AP$2,)</f>
        <v>0</v>
      </c>
      <c r="AQ85" s="179">
        <f ca="1">IF(ISNUMBER(MATCH(DATEVALUE($A85),'recurring1_based on steps'!AQ$1:AQ$400,0)),AQ$2,)</f>
        <v>0</v>
      </c>
      <c r="AR85" s="179">
        <f ca="1">IF(ISNUMBER(MATCH(DATEVALUE($A85),'recurring1_based on steps'!AR$1:AR$400,0)),AR$2,)</f>
        <v>0</v>
      </c>
      <c r="AS85" s="179">
        <f ca="1">IF(ISNUMBER(MATCH(DATEVALUE($A85),'recurring1_based on steps'!AS$1:AS$400,0)),AS$2,)</f>
        <v>0</v>
      </c>
      <c r="AT85" s="179">
        <f ca="1">IF(ISNUMBER(MATCH(DATEVALUE($A85),'recurring1_based on steps'!AT$1:AT$400,0)),AT$2,)</f>
        <v>0</v>
      </c>
      <c r="AU85" s="179">
        <f ca="1">IF(ISNUMBER(MATCH(DATEVALUE($A85),'recurring1_based on steps'!AU$1:AU$400,0)),AU$2,)</f>
        <v>0</v>
      </c>
      <c r="AV85" s="179">
        <f ca="1">IF(ISNUMBER(MATCH(DATEVALUE($A85),'recurring1_based on steps'!AV$1:AV$400,0)),AV$2,)</f>
        <v>0</v>
      </c>
      <c r="AW85" s="179">
        <f ca="1">IF(ISNUMBER(MATCH(DATEVALUE($A85),'recurring1_based on steps'!AW$1:AW$400,0)),AW$2,)</f>
        <v>0</v>
      </c>
      <c r="AX85" s="179">
        <f ca="1">IF(ISNUMBER(MATCH(DATEVALUE($A85),'recurring1_based on steps'!AX$1:AX$400,0)),AX$2,)</f>
        <v>0</v>
      </c>
      <c r="AY85" s="179">
        <f ca="1">IF(ISNUMBER(MATCH(DATEVALUE($A85),'recurring1_based on steps'!AY$1:AY$400,0)),AY$2,)</f>
        <v>0</v>
      </c>
    </row>
    <row r="86" spans="1:51" x14ac:dyDescent="0.2">
      <c r="A86" s="32" t="str">
        <f t="shared" ca="1" si="1"/>
        <v>2025-06-27</v>
      </c>
      <c r="B86" s="179">
        <f ca="1">IF(ISNUMBER(MATCH(DATEVALUE($A86),'recurring1_based on steps'!B$1:B$400,0)),B$2,)</f>
        <v>0</v>
      </c>
      <c r="C86" s="179">
        <f ca="1">IF(ISNUMBER(MATCH(DATEVALUE($A86),'recurring1_based on steps'!C$1:C$400,0)),C$2,)</f>
        <v>0</v>
      </c>
      <c r="D86" s="179">
        <f ca="1">IF(ISNUMBER(MATCH(DATEVALUE($A86),'recurring1_based on steps'!D$1:D$400,0)),D$2,)</f>
        <v>0</v>
      </c>
      <c r="E86" s="179">
        <f ca="1">IF(ISNUMBER(MATCH(DATEVALUE($A86),'recurring1_based on steps'!E$1:E$400,0)),E$2,)</f>
        <v>0</v>
      </c>
      <c r="F86" s="179">
        <f ca="1">IF(ISNUMBER(MATCH(DATEVALUE($A86),'recurring1_based on steps'!F$1:F$400,0)),F$2,)</f>
        <v>0</v>
      </c>
      <c r="G86" s="179">
        <f ca="1">IF(ISNUMBER(MATCH(DATEVALUE($A86),'recurring1_based on steps'!G$1:G$400,0)),G$2,)</f>
        <v>0</v>
      </c>
      <c r="H86" s="179">
        <f ca="1">IF(ISNUMBER(MATCH(DATEVALUE($A86),'recurring1_based on steps'!H$1:H$400,0)),H$2,)</f>
        <v>0</v>
      </c>
      <c r="I86" s="179">
        <f ca="1">IF(ISNUMBER(MATCH(DATEVALUE($A86),'recurring1_based on steps'!I$1:I$400,0)),I$2,)</f>
        <v>0</v>
      </c>
      <c r="J86" s="179">
        <f ca="1">IF(ISNUMBER(MATCH(DATEVALUE($A86),'recurring1_based on steps'!J$1:J$400,0)),J$2,)</f>
        <v>0</v>
      </c>
      <c r="K86" s="179">
        <f ca="1">IF(ISNUMBER(MATCH(DATEVALUE($A86),'recurring1_based on steps'!K$1:K$400,0)),K$2,)</f>
        <v>0</v>
      </c>
      <c r="L86" s="179">
        <f ca="1">IF(ISNUMBER(MATCH(DATEVALUE($A86),'recurring1_based on steps'!L$1:L$400,0)),L$2,)</f>
        <v>0</v>
      </c>
      <c r="M86" s="179">
        <f ca="1">IF(ISNUMBER(MATCH(DATEVALUE($A86),'recurring1_based on steps'!M$1:M$400,0)),M$2,)</f>
        <v>0</v>
      </c>
      <c r="N86" s="179">
        <f ca="1">IF(ISNUMBER(MATCH(DATEVALUE($A86),'recurring1_based on steps'!N$1:N$400,0)),N$2,)</f>
        <v>0</v>
      </c>
      <c r="O86" s="179">
        <f ca="1">IF(ISNUMBER(MATCH(DATEVALUE($A86),'recurring1_based on steps'!O$1:O$400,0)),O$2,)</f>
        <v>0</v>
      </c>
      <c r="P86" s="179">
        <f ca="1">IF(ISNUMBER(MATCH(DATEVALUE($A86),'recurring1_based on steps'!P$1:P$400,0)),P$2,)</f>
        <v>0</v>
      </c>
      <c r="Q86" s="179">
        <f ca="1">IF(ISNUMBER(MATCH(DATEVALUE($A86),'recurring1_based on steps'!Q$1:Q$400,0)),Q$2,)</f>
        <v>0</v>
      </c>
      <c r="R86" s="179">
        <f ca="1">IF(ISNUMBER(MATCH(DATEVALUE($A86),'recurring1_based on steps'!R$1:R$400,0)),R$2,)</f>
        <v>0</v>
      </c>
      <c r="S86" s="179">
        <f ca="1">IF(ISNUMBER(MATCH(DATEVALUE($A86),'recurring1_based on steps'!S$1:S$400,0)),S$2,)</f>
        <v>0</v>
      </c>
      <c r="T86" s="179">
        <f ca="1">IF(ISNUMBER(MATCH(DATEVALUE($A86),'recurring1_based on steps'!T$1:T$400,0)),T$2,)</f>
        <v>0</v>
      </c>
      <c r="U86" s="179">
        <f ca="1">IF(ISNUMBER(MATCH(DATEVALUE($A86),'recurring1_based on steps'!U$1:U$400,0)),U$2,)</f>
        <v>0</v>
      </c>
      <c r="V86" s="179">
        <f ca="1">IF(ISNUMBER(MATCH(DATEVALUE($A86),'recurring1_based on steps'!V$1:V$400,0)),V$2,)</f>
        <v>0</v>
      </c>
      <c r="W86" s="179">
        <f ca="1">IF(ISNUMBER(MATCH(DATEVALUE($A86),'recurring1_based on steps'!W$1:W$400,0)),W$2,)</f>
        <v>0</v>
      </c>
      <c r="X86" s="179">
        <f ca="1">IF(ISNUMBER(MATCH(DATEVALUE($A86),'recurring1_based on steps'!X$1:X$400,0)),X$2,)</f>
        <v>0</v>
      </c>
      <c r="Y86" s="179">
        <f ca="1">IF(ISNUMBER(MATCH(DATEVALUE($A86),'recurring1_based on steps'!Y$1:Y$400,0)),Y$2,)</f>
        <v>0</v>
      </c>
      <c r="Z86" s="179">
        <f ca="1">IF(ISNUMBER(MATCH(DATEVALUE($A86),'recurring1_based on steps'!Z$1:Z$400,0)),Z$2,)</f>
        <v>0</v>
      </c>
      <c r="AA86" s="179">
        <f ca="1">IF(ISNUMBER(MATCH(DATEVALUE($A86),'recurring1_based on steps'!AA$1:AA$400,0)),AA$2,)</f>
        <v>0</v>
      </c>
      <c r="AB86" s="179">
        <f ca="1">IF(ISNUMBER(MATCH(DATEVALUE($A86),'recurring1_based on steps'!AB$1:AB$400,0)),AB$2,)</f>
        <v>0</v>
      </c>
      <c r="AC86" s="179">
        <f ca="1">IF(ISNUMBER(MATCH(DATEVALUE($A86),'recurring1_based on steps'!AC$1:AC$400,0)),AC$2,)</f>
        <v>0</v>
      </c>
      <c r="AD86" s="179">
        <f ca="1">IF(ISNUMBER(MATCH(DATEVALUE($A86),'recurring1_based on steps'!AD$1:AD$400,0)),AD$2,)</f>
        <v>0</v>
      </c>
      <c r="AE86" s="179">
        <f ca="1">IF(ISNUMBER(MATCH(DATEVALUE($A86),'recurring1_based on steps'!AE$1:AE$400,0)),AE$2,)</f>
        <v>0</v>
      </c>
      <c r="AF86" s="179">
        <f ca="1">IF(ISNUMBER(MATCH(DATEVALUE($A86),'recurring1_based on steps'!AF$1:AF$400,0)),AF$2,)</f>
        <v>0</v>
      </c>
      <c r="AG86" s="179">
        <f ca="1">IF(ISNUMBER(MATCH(DATEVALUE($A86),'recurring1_based on steps'!AG$1:AG$400,0)),AG$2,)</f>
        <v>0</v>
      </c>
      <c r="AH86" s="179">
        <f ca="1">IF(ISNUMBER(MATCH(DATEVALUE($A86),'recurring1_based on steps'!AH$1:AH$400,0)),AH$2,)</f>
        <v>0</v>
      </c>
      <c r="AI86" s="179">
        <f ca="1">IF(ISNUMBER(MATCH(DATEVALUE($A86),'recurring1_based on steps'!AI$1:AI$400,0)),AI$2,)</f>
        <v>0</v>
      </c>
      <c r="AJ86" s="179">
        <f ca="1">IF(ISNUMBER(MATCH(DATEVALUE($A86),'recurring1_based on steps'!AJ$1:AJ$400,0)),AJ$2,)</f>
        <v>0</v>
      </c>
      <c r="AK86" s="179">
        <f ca="1">IF(ISNUMBER(MATCH(DATEVALUE($A86),'recurring1_based on steps'!AK$1:AK$400,0)),AK$2,)</f>
        <v>0</v>
      </c>
      <c r="AL86" s="179">
        <f ca="1">IF(ISNUMBER(MATCH(DATEVALUE($A86),'recurring1_based on steps'!AL$1:AL$400,0)),AL$2,)</f>
        <v>0</v>
      </c>
      <c r="AM86" s="179">
        <f ca="1">IF(ISNUMBER(MATCH(DATEVALUE($A86),'recurring1_based on steps'!AM$1:AM$400,0)),AM$2,)</f>
        <v>0</v>
      </c>
      <c r="AN86" s="179">
        <f ca="1">IF(ISNUMBER(MATCH(DATEVALUE($A86),'recurring1_based on steps'!AN$1:AN$400,0)),AN$2,)</f>
        <v>0</v>
      </c>
      <c r="AO86" s="179">
        <f ca="1">IF(ISNUMBER(MATCH(DATEVALUE($A86),'recurring1_based on steps'!AO$1:AO$400,0)),AO$2,)</f>
        <v>0</v>
      </c>
      <c r="AP86" s="179">
        <f ca="1">IF(ISNUMBER(MATCH(DATEVALUE($A86),'recurring1_based on steps'!AP$1:AP$400,0)),AP$2,)</f>
        <v>0</v>
      </c>
      <c r="AQ86" s="179">
        <f ca="1">IF(ISNUMBER(MATCH(DATEVALUE($A86),'recurring1_based on steps'!AQ$1:AQ$400,0)),AQ$2,)</f>
        <v>0</v>
      </c>
      <c r="AR86" s="179">
        <f ca="1">IF(ISNUMBER(MATCH(DATEVALUE($A86),'recurring1_based on steps'!AR$1:AR$400,0)),AR$2,)</f>
        <v>0</v>
      </c>
      <c r="AS86" s="179">
        <f ca="1">IF(ISNUMBER(MATCH(DATEVALUE($A86),'recurring1_based on steps'!AS$1:AS$400,0)),AS$2,)</f>
        <v>0</v>
      </c>
      <c r="AT86" s="179">
        <f ca="1">IF(ISNUMBER(MATCH(DATEVALUE($A86),'recurring1_based on steps'!AT$1:AT$400,0)),AT$2,)</f>
        <v>0</v>
      </c>
      <c r="AU86" s="179">
        <f ca="1">IF(ISNUMBER(MATCH(DATEVALUE($A86),'recurring1_based on steps'!AU$1:AU$400,0)),AU$2,)</f>
        <v>0</v>
      </c>
      <c r="AV86" s="179">
        <f ca="1">IF(ISNUMBER(MATCH(DATEVALUE($A86),'recurring1_based on steps'!AV$1:AV$400,0)),AV$2,)</f>
        <v>0</v>
      </c>
      <c r="AW86" s="179">
        <f ca="1">IF(ISNUMBER(MATCH(DATEVALUE($A86),'recurring1_based on steps'!AW$1:AW$400,0)),AW$2,)</f>
        <v>0</v>
      </c>
      <c r="AX86" s="179">
        <f ca="1">IF(ISNUMBER(MATCH(DATEVALUE($A86),'recurring1_based on steps'!AX$1:AX$400,0)),AX$2,)</f>
        <v>0</v>
      </c>
      <c r="AY86" s="179">
        <f ca="1">IF(ISNUMBER(MATCH(DATEVALUE($A86),'recurring1_based on steps'!AY$1:AY$400,0)),AY$2,)</f>
        <v>0</v>
      </c>
    </row>
    <row r="87" spans="1:51" x14ac:dyDescent="0.2">
      <c r="A87" s="32" t="str">
        <f t="shared" ca="1" si="1"/>
        <v>2025-06-28</v>
      </c>
      <c r="B87" s="179">
        <f ca="1">IF(ISNUMBER(MATCH(DATEVALUE($A87),'recurring1_based on steps'!B$1:B$400,0)),B$2,)</f>
        <v>0</v>
      </c>
      <c r="C87" s="179">
        <f ca="1">IF(ISNUMBER(MATCH(DATEVALUE($A87),'recurring1_based on steps'!C$1:C$400,0)),C$2,)</f>
        <v>0</v>
      </c>
      <c r="D87" s="179">
        <f ca="1">IF(ISNUMBER(MATCH(DATEVALUE($A87),'recurring1_based on steps'!D$1:D$400,0)),D$2,)</f>
        <v>0</v>
      </c>
      <c r="E87" s="179">
        <f ca="1">IF(ISNUMBER(MATCH(DATEVALUE($A87),'recurring1_based on steps'!E$1:E$400,0)),E$2,)</f>
        <v>0</v>
      </c>
      <c r="F87" s="179">
        <f ca="1">IF(ISNUMBER(MATCH(DATEVALUE($A87),'recurring1_based on steps'!F$1:F$400,0)),F$2,)</f>
        <v>0</v>
      </c>
      <c r="G87" s="179">
        <f ca="1">IF(ISNUMBER(MATCH(DATEVALUE($A87),'recurring1_based on steps'!G$1:G$400,0)),G$2,)</f>
        <v>0</v>
      </c>
      <c r="H87" s="179">
        <f ca="1">IF(ISNUMBER(MATCH(DATEVALUE($A87),'recurring1_based on steps'!H$1:H$400,0)),H$2,)</f>
        <v>0</v>
      </c>
      <c r="I87" s="179">
        <f ca="1">IF(ISNUMBER(MATCH(DATEVALUE($A87),'recurring1_based on steps'!I$1:I$400,0)),I$2,)</f>
        <v>0</v>
      </c>
      <c r="J87" s="179">
        <f ca="1">IF(ISNUMBER(MATCH(DATEVALUE($A87),'recurring1_based on steps'!J$1:J$400,0)),J$2,)</f>
        <v>0</v>
      </c>
      <c r="K87" s="179">
        <f ca="1">IF(ISNUMBER(MATCH(DATEVALUE($A87),'recurring1_based on steps'!K$1:K$400,0)),K$2,)</f>
        <v>0</v>
      </c>
      <c r="L87" s="179">
        <f ca="1">IF(ISNUMBER(MATCH(DATEVALUE($A87),'recurring1_based on steps'!L$1:L$400,0)),L$2,)</f>
        <v>0</v>
      </c>
      <c r="M87" s="179">
        <f ca="1">IF(ISNUMBER(MATCH(DATEVALUE($A87),'recurring1_based on steps'!M$1:M$400,0)),M$2,)</f>
        <v>0</v>
      </c>
      <c r="N87" s="179">
        <f ca="1">IF(ISNUMBER(MATCH(DATEVALUE($A87),'recurring1_based on steps'!N$1:N$400,0)),N$2,)</f>
        <v>0</v>
      </c>
      <c r="O87" s="179">
        <f ca="1">IF(ISNUMBER(MATCH(DATEVALUE($A87),'recurring1_based on steps'!O$1:O$400,0)),O$2,)</f>
        <v>0</v>
      </c>
      <c r="P87" s="179">
        <f ca="1">IF(ISNUMBER(MATCH(DATEVALUE($A87),'recurring1_based on steps'!P$1:P$400,0)),P$2,)</f>
        <v>0</v>
      </c>
      <c r="Q87" s="179">
        <f ca="1">IF(ISNUMBER(MATCH(DATEVALUE($A87),'recurring1_based on steps'!Q$1:Q$400,0)),Q$2,)</f>
        <v>0</v>
      </c>
      <c r="R87" s="179">
        <f ca="1">IF(ISNUMBER(MATCH(DATEVALUE($A87),'recurring1_based on steps'!R$1:R$400,0)),R$2,)</f>
        <v>0</v>
      </c>
      <c r="S87" s="179">
        <f ca="1">IF(ISNUMBER(MATCH(DATEVALUE($A87),'recurring1_based on steps'!S$1:S$400,0)),S$2,)</f>
        <v>0</v>
      </c>
      <c r="T87" s="179">
        <f ca="1">IF(ISNUMBER(MATCH(DATEVALUE($A87),'recurring1_based on steps'!T$1:T$400,0)),T$2,)</f>
        <v>0</v>
      </c>
      <c r="U87" s="179">
        <f ca="1">IF(ISNUMBER(MATCH(DATEVALUE($A87),'recurring1_based on steps'!U$1:U$400,0)),U$2,)</f>
        <v>0</v>
      </c>
      <c r="V87" s="179">
        <f ca="1">IF(ISNUMBER(MATCH(DATEVALUE($A87),'recurring1_based on steps'!V$1:V$400,0)),V$2,)</f>
        <v>0</v>
      </c>
      <c r="W87" s="179">
        <f ca="1">IF(ISNUMBER(MATCH(DATEVALUE($A87),'recurring1_based on steps'!W$1:W$400,0)),W$2,)</f>
        <v>0</v>
      </c>
      <c r="X87" s="179">
        <f ca="1">IF(ISNUMBER(MATCH(DATEVALUE($A87),'recurring1_based on steps'!X$1:X$400,0)),X$2,)</f>
        <v>0</v>
      </c>
      <c r="Y87" s="179">
        <f ca="1">IF(ISNUMBER(MATCH(DATEVALUE($A87),'recurring1_based on steps'!Y$1:Y$400,0)),Y$2,)</f>
        <v>0</v>
      </c>
      <c r="Z87" s="179">
        <f ca="1">IF(ISNUMBER(MATCH(DATEVALUE($A87),'recurring1_based on steps'!Z$1:Z$400,0)),Z$2,)</f>
        <v>0</v>
      </c>
      <c r="AA87" s="179">
        <f ca="1">IF(ISNUMBER(MATCH(DATEVALUE($A87),'recurring1_based on steps'!AA$1:AA$400,0)),AA$2,)</f>
        <v>0</v>
      </c>
      <c r="AB87" s="179">
        <f ca="1">IF(ISNUMBER(MATCH(DATEVALUE($A87),'recurring1_based on steps'!AB$1:AB$400,0)),AB$2,)</f>
        <v>0</v>
      </c>
      <c r="AC87" s="179">
        <f ca="1">IF(ISNUMBER(MATCH(DATEVALUE($A87),'recurring1_based on steps'!AC$1:AC$400,0)),AC$2,)</f>
        <v>0</v>
      </c>
      <c r="AD87" s="179">
        <f ca="1">IF(ISNUMBER(MATCH(DATEVALUE($A87),'recurring1_based on steps'!AD$1:AD$400,0)),AD$2,)</f>
        <v>0</v>
      </c>
      <c r="AE87" s="179">
        <f ca="1">IF(ISNUMBER(MATCH(DATEVALUE($A87),'recurring1_based on steps'!AE$1:AE$400,0)),AE$2,)</f>
        <v>0</v>
      </c>
      <c r="AF87" s="179">
        <f ca="1">IF(ISNUMBER(MATCH(DATEVALUE($A87),'recurring1_based on steps'!AF$1:AF$400,0)),AF$2,)</f>
        <v>0</v>
      </c>
      <c r="AG87" s="179">
        <f ca="1">IF(ISNUMBER(MATCH(DATEVALUE($A87),'recurring1_based on steps'!AG$1:AG$400,0)),AG$2,)</f>
        <v>0</v>
      </c>
      <c r="AH87" s="179">
        <f ca="1">IF(ISNUMBER(MATCH(DATEVALUE($A87),'recurring1_based on steps'!AH$1:AH$400,0)),AH$2,)</f>
        <v>0</v>
      </c>
      <c r="AI87" s="179">
        <f ca="1">IF(ISNUMBER(MATCH(DATEVALUE($A87),'recurring1_based on steps'!AI$1:AI$400,0)),AI$2,)</f>
        <v>0</v>
      </c>
      <c r="AJ87" s="179">
        <f ca="1">IF(ISNUMBER(MATCH(DATEVALUE($A87),'recurring1_based on steps'!AJ$1:AJ$400,0)),AJ$2,)</f>
        <v>0</v>
      </c>
      <c r="AK87" s="179">
        <f ca="1">IF(ISNUMBER(MATCH(DATEVALUE($A87),'recurring1_based on steps'!AK$1:AK$400,0)),AK$2,)</f>
        <v>0</v>
      </c>
      <c r="AL87" s="179">
        <f ca="1">IF(ISNUMBER(MATCH(DATEVALUE($A87),'recurring1_based on steps'!AL$1:AL$400,0)),AL$2,)</f>
        <v>0</v>
      </c>
      <c r="AM87" s="179">
        <f ca="1">IF(ISNUMBER(MATCH(DATEVALUE($A87),'recurring1_based on steps'!AM$1:AM$400,0)),AM$2,)</f>
        <v>0</v>
      </c>
      <c r="AN87" s="179">
        <f ca="1">IF(ISNUMBER(MATCH(DATEVALUE($A87),'recurring1_based on steps'!AN$1:AN$400,0)),AN$2,)</f>
        <v>0</v>
      </c>
      <c r="AO87" s="179">
        <f ca="1">IF(ISNUMBER(MATCH(DATEVALUE($A87),'recurring1_based on steps'!AO$1:AO$400,0)),AO$2,)</f>
        <v>0</v>
      </c>
      <c r="AP87" s="179">
        <f ca="1">IF(ISNUMBER(MATCH(DATEVALUE($A87),'recurring1_based on steps'!AP$1:AP$400,0)),AP$2,)</f>
        <v>0</v>
      </c>
      <c r="AQ87" s="179">
        <f ca="1">IF(ISNUMBER(MATCH(DATEVALUE($A87),'recurring1_based on steps'!AQ$1:AQ$400,0)),AQ$2,)</f>
        <v>0</v>
      </c>
      <c r="AR87" s="179">
        <f ca="1">IF(ISNUMBER(MATCH(DATEVALUE($A87),'recurring1_based on steps'!AR$1:AR$400,0)),AR$2,)</f>
        <v>0</v>
      </c>
      <c r="AS87" s="179">
        <f ca="1">IF(ISNUMBER(MATCH(DATEVALUE($A87),'recurring1_based on steps'!AS$1:AS$400,0)),AS$2,)</f>
        <v>0</v>
      </c>
      <c r="AT87" s="179">
        <f ca="1">IF(ISNUMBER(MATCH(DATEVALUE($A87),'recurring1_based on steps'!AT$1:AT$400,0)),AT$2,)</f>
        <v>0</v>
      </c>
      <c r="AU87" s="179">
        <f ca="1">IF(ISNUMBER(MATCH(DATEVALUE($A87),'recurring1_based on steps'!AU$1:AU$400,0)),AU$2,)</f>
        <v>0</v>
      </c>
      <c r="AV87" s="179">
        <f ca="1">IF(ISNUMBER(MATCH(DATEVALUE($A87),'recurring1_based on steps'!AV$1:AV$400,0)),AV$2,)</f>
        <v>0</v>
      </c>
      <c r="AW87" s="179">
        <f ca="1">IF(ISNUMBER(MATCH(DATEVALUE($A87),'recurring1_based on steps'!AW$1:AW$400,0)),AW$2,)</f>
        <v>0</v>
      </c>
      <c r="AX87" s="179">
        <f ca="1">IF(ISNUMBER(MATCH(DATEVALUE($A87),'recurring1_based on steps'!AX$1:AX$400,0)),AX$2,)</f>
        <v>0</v>
      </c>
      <c r="AY87" s="179">
        <f ca="1">IF(ISNUMBER(MATCH(DATEVALUE($A87),'recurring1_based on steps'!AY$1:AY$400,0)),AY$2,)</f>
        <v>0</v>
      </c>
    </row>
    <row r="88" spans="1:51" x14ac:dyDescent="0.2">
      <c r="A88" s="32" t="str">
        <f t="shared" ca="1" si="1"/>
        <v>2025-06-29</v>
      </c>
      <c r="B88" s="179">
        <f ca="1">IF(ISNUMBER(MATCH(DATEVALUE($A88),'recurring1_based on steps'!B$1:B$400,0)),B$2,)</f>
        <v>0</v>
      </c>
      <c r="C88" s="179">
        <f ca="1">IF(ISNUMBER(MATCH(DATEVALUE($A88),'recurring1_based on steps'!C$1:C$400,0)),C$2,)</f>
        <v>0</v>
      </c>
      <c r="D88" s="179">
        <f ca="1">IF(ISNUMBER(MATCH(DATEVALUE($A88),'recurring1_based on steps'!D$1:D$400,0)),D$2,)</f>
        <v>0</v>
      </c>
      <c r="E88" s="179">
        <f ca="1">IF(ISNUMBER(MATCH(DATEVALUE($A88),'recurring1_based on steps'!E$1:E$400,0)),E$2,)</f>
        <v>0</v>
      </c>
      <c r="F88" s="179">
        <f ca="1">IF(ISNUMBER(MATCH(DATEVALUE($A88),'recurring1_based on steps'!F$1:F$400,0)),F$2,)</f>
        <v>0</v>
      </c>
      <c r="G88" s="179">
        <f ca="1">IF(ISNUMBER(MATCH(DATEVALUE($A88),'recurring1_based on steps'!G$1:G$400,0)),G$2,)</f>
        <v>0</v>
      </c>
      <c r="H88" s="179">
        <f ca="1">IF(ISNUMBER(MATCH(DATEVALUE($A88),'recurring1_based on steps'!H$1:H$400,0)),H$2,)</f>
        <v>0</v>
      </c>
      <c r="I88" s="179">
        <f ca="1">IF(ISNUMBER(MATCH(DATEVALUE($A88),'recurring1_based on steps'!I$1:I$400,0)),I$2,)</f>
        <v>0</v>
      </c>
      <c r="J88" s="179">
        <f ca="1">IF(ISNUMBER(MATCH(DATEVALUE($A88),'recurring1_based on steps'!J$1:J$400,0)),J$2,)</f>
        <v>0</v>
      </c>
      <c r="K88" s="179">
        <f ca="1">IF(ISNUMBER(MATCH(DATEVALUE($A88),'recurring1_based on steps'!K$1:K$400,0)),K$2,)</f>
        <v>0</v>
      </c>
      <c r="L88" s="179">
        <f ca="1">IF(ISNUMBER(MATCH(DATEVALUE($A88),'recurring1_based on steps'!L$1:L$400,0)),L$2,)</f>
        <v>0</v>
      </c>
      <c r="M88" s="179">
        <f ca="1">IF(ISNUMBER(MATCH(DATEVALUE($A88),'recurring1_based on steps'!M$1:M$400,0)),M$2,)</f>
        <v>0</v>
      </c>
      <c r="N88" s="179">
        <f ca="1">IF(ISNUMBER(MATCH(DATEVALUE($A88),'recurring1_based on steps'!N$1:N$400,0)),N$2,)</f>
        <v>0</v>
      </c>
      <c r="O88" s="179">
        <f ca="1">IF(ISNUMBER(MATCH(DATEVALUE($A88),'recurring1_based on steps'!O$1:O$400,0)),O$2,)</f>
        <v>0</v>
      </c>
      <c r="P88" s="179">
        <f ca="1">IF(ISNUMBER(MATCH(DATEVALUE($A88),'recurring1_based on steps'!P$1:P$400,0)),P$2,)</f>
        <v>0</v>
      </c>
      <c r="Q88" s="179">
        <f ca="1">IF(ISNUMBER(MATCH(DATEVALUE($A88),'recurring1_based on steps'!Q$1:Q$400,0)),Q$2,)</f>
        <v>0</v>
      </c>
      <c r="R88" s="179">
        <f ca="1">IF(ISNUMBER(MATCH(DATEVALUE($A88),'recurring1_based on steps'!R$1:R$400,0)),R$2,)</f>
        <v>0</v>
      </c>
      <c r="S88" s="179">
        <f ca="1">IF(ISNUMBER(MATCH(DATEVALUE($A88),'recurring1_based on steps'!S$1:S$400,0)),S$2,)</f>
        <v>0</v>
      </c>
      <c r="T88" s="179">
        <f ca="1">IF(ISNUMBER(MATCH(DATEVALUE($A88),'recurring1_based on steps'!T$1:T$400,0)),T$2,)</f>
        <v>0</v>
      </c>
      <c r="U88" s="179">
        <f ca="1">IF(ISNUMBER(MATCH(DATEVALUE($A88),'recurring1_based on steps'!U$1:U$400,0)),U$2,)</f>
        <v>0</v>
      </c>
      <c r="V88" s="179">
        <f ca="1">IF(ISNUMBER(MATCH(DATEVALUE($A88),'recurring1_based on steps'!V$1:V$400,0)),V$2,)</f>
        <v>0</v>
      </c>
      <c r="W88" s="179">
        <f ca="1">IF(ISNUMBER(MATCH(DATEVALUE($A88),'recurring1_based on steps'!W$1:W$400,0)),W$2,)</f>
        <v>0</v>
      </c>
      <c r="X88" s="179">
        <f ca="1">IF(ISNUMBER(MATCH(DATEVALUE($A88),'recurring1_based on steps'!X$1:X$400,0)),X$2,)</f>
        <v>0</v>
      </c>
      <c r="Y88" s="179">
        <f ca="1">IF(ISNUMBER(MATCH(DATEVALUE($A88),'recurring1_based on steps'!Y$1:Y$400,0)),Y$2,)</f>
        <v>0</v>
      </c>
      <c r="Z88" s="179">
        <f ca="1">IF(ISNUMBER(MATCH(DATEVALUE($A88),'recurring1_based on steps'!Z$1:Z$400,0)),Z$2,)</f>
        <v>0</v>
      </c>
      <c r="AA88" s="179">
        <f ca="1">IF(ISNUMBER(MATCH(DATEVALUE($A88),'recurring1_based on steps'!AA$1:AA$400,0)),AA$2,)</f>
        <v>0</v>
      </c>
      <c r="AB88" s="179">
        <f ca="1">IF(ISNUMBER(MATCH(DATEVALUE($A88),'recurring1_based on steps'!AB$1:AB$400,0)),AB$2,)</f>
        <v>0</v>
      </c>
      <c r="AC88" s="179">
        <f ca="1">IF(ISNUMBER(MATCH(DATEVALUE($A88),'recurring1_based on steps'!AC$1:AC$400,0)),AC$2,)</f>
        <v>0</v>
      </c>
      <c r="AD88" s="179">
        <f ca="1">IF(ISNUMBER(MATCH(DATEVALUE($A88),'recurring1_based on steps'!AD$1:AD$400,0)),AD$2,)</f>
        <v>0</v>
      </c>
      <c r="AE88" s="179">
        <f ca="1">IF(ISNUMBER(MATCH(DATEVALUE($A88),'recurring1_based on steps'!AE$1:AE$400,0)),AE$2,)</f>
        <v>0</v>
      </c>
      <c r="AF88" s="179">
        <f ca="1">IF(ISNUMBER(MATCH(DATEVALUE($A88),'recurring1_based on steps'!AF$1:AF$400,0)),AF$2,)</f>
        <v>0</v>
      </c>
      <c r="AG88" s="179">
        <f ca="1">IF(ISNUMBER(MATCH(DATEVALUE($A88),'recurring1_based on steps'!AG$1:AG$400,0)),AG$2,)</f>
        <v>0</v>
      </c>
      <c r="AH88" s="179">
        <f ca="1">IF(ISNUMBER(MATCH(DATEVALUE($A88),'recurring1_based on steps'!AH$1:AH$400,0)),AH$2,)</f>
        <v>0</v>
      </c>
      <c r="AI88" s="179">
        <f ca="1">IF(ISNUMBER(MATCH(DATEVALUE($A88),'recurring1_based on steps'!AI$1:AI$400,0)),AI$2,)</f>
        <v>0</v>
      </c>
      <c r="AJ88" s="179">
        <f ca="1">IF(ISNUMBER(MATCH(DATEVALUE($A88),'recurring1_based on steps'!AJ$1:AJ$400,0)),AJ$2,)</f>
        <v>0</v>
      </c>
      <c r="AK88" s="179">
        <f ca="1">IF(ISNUMBER(MATCH(DATEVALUE($A88),'recurring1_based on steps'!AK$1:AK$400,0)),AK$2,)</f>
        <v>0</v>
      </c>
      <c r="AL88" s="179">
        <f ca="1">IF(ISNUMBER(MATCH(DATEVALUE($A88),'recurring1_based on steps'!AL$1:AL$400,0)),AL$2,)</f>
        <v>0</v>
      </c>
      <c r="AM88" s="179">
        <f ca="1">IF(ISNUMBER(MATCH(DATEVALUE($A88),'recurring1_based on steps'!AM$1:AM$400,0)),AM$2,)</f>
        <v>0</v>
      </c>
      <c r="AN88" s="179">
        <f ca="1">IF(ISNUMBER(MATCH(DATEVALUE($A88),'recurring1_based on steps'!AN$1:AN$400,0)),AN$2,)</f>
        <v>0</v>
      </c>
      <c r="AO88" s="179">
        <f ca="1">IF(ISNUMBER(MATCH(DATEVALUE($A88),'recurring1_based on steps'!AO$1:AO$400,0)),AO$2,)</f>
        <v>0</v>
      </c>
      <c r="AP88" s="179">
        <f ca="1">IF(ISNUMBER(MATCH(DATEVALUE($A88),'recurring1_based on steps'!AP$1:AP$400,0)),AP$2,)</f>
        <v>0</v>
      </c>
      <c r="AQ88" s="179">
        <f ca="1">IF(ISNUMBER(MATCH(DATEVALUE($A88),'recurring1_based on steps'!AQ$1:AQ$400,0)),AQ$2,)</f>
        <v>0</v>
      </c>
      <c r="AR88" s="179">
        <f ca="1">IF(ISNUMBER(MATCH(DATEVALUE($A88),'recurring1_based on steps'!AR$1:AR$400,0)),AR$2,)</f>
        <v>0</v>
      </c>
      <c r="AS88" s="179">
        <f ca="1">IF(ISNUMBER(MATCH(DATEVALUE($A88),'recurring1_based on steps'!AS$1:AS$400,0)),AS$2,)</f>
        <v>0</v>
      </c>
      <c r="AT88" s="179">
        <f ca="1">IF(ISNUMBER(MATCH(DATEVALUE($A88),'recurring1_based on steps'!AT$1:AT$400,0)),AT$2,)</f>
        <v>0</v>
      </c>
      <c r="AU88" s="179">
        <f ca="1">IF(ISNUMBER(MATCH(DATEVALUE($A88),'recurring1_based on steps'!AU$1:AU$400,0)),AU$2,)</f>
        <v>0</v>
      </c>
      <c r="AV88" s="179">
        <f ca="1">IF(ISNUMBER(MATCH(DATEVALUE($A88),'recurring1_based on steps'!AV$1:AV$400,0)),AV$2,)</f>
        <v>0</v>
      </c>
      <c r="AW88" s="179">
        <f ca="1">IF(ISNUMBER(MATCH(DATEVALUE($A88),'recurring1_based on steps'!AW$1:AW$400,0)),AW$2,)</f>
        <v>0</v>
      </c>
      <c r="AX88" s="179">
        <f ca="1">IF(ISNUMBER(MATCH(DATEVALUE($A88),'recurring1_based on steps'!AX$1:AX$400,0)),AX$2,)</f>
        <v>0</v>
      </c>
      <c r="AY88" s="179">
        <f ca="1">IF(ISNUMBER(MATCH(DATEVALUE($A88),'recurring1_based on steps'!AY$1:AY$400,0)),AY$2,)</f>
        <v>0</v>
      </c>
    </row>
    <row r="89" spans="1:51" x14ac:dyDescent="0.2">
      <c r="A89" s="32" t="str">
        <f t="shared" ca="1" si="1"/>
        <v>2025-06-30</v>
      </c>
      <c r="B89" s="179">
        <f ca="1">IF(ISNUMBER(MATCH(DATEVALUE($A89),'recurring1_based on steps'!B$1:B$400,0)),B$2,)</f>
        <v>0</v>
      </c>
      <c r="C89" s="179">
        <f ca="1">IF(ISNUMBER(MATCH(DATEVALUE($A89),'recurring1_based on steps'!C$1:C$400,0)),C$2,)</f>
        <v>0</v>
      </c>
      <c r="D89" s="179">
        <f ca="1">IF(ISNUMBER(MATCH(DATEVALUE($A89),'recurring1_based on steps'!D$1:D$400,0)),D$2,)</f>
        <v>0</v>
      </c>
      <c r="E89" s="179">
        <f ca="1">IF(ISNUMBER(MATCH(DATEVALUE($A89),'recurring1_based on steps'!E$1:E$400,0)),E$2,)</f>
        <v>0</v>
      </c>
      <c r="F89" s="179">
        <f ca="1">IF(ISNUMBER(MATCH(DATEVALUE($A89),'recurring1_based on steps'!F$1:F$400,0)),F$2,)</f>
        <v>0</v>
      </c>
      <c r="G89" s="179">
        <f ca="1">IF(ISNUMBER(MATCH(DATEVALUE($A89),'recurring1_based on steps'!G$1:G$400,0)),G$2,)</f>
        <v>0</v>
      </c>
      <c r="H89" s="179">
        <f ca="1">IF(ISNUMBER(MATCH(DATEVALUE($A89),'recurring1_based on steps'!H$1:H$400,0)),H$2,)</f>
        <v>0</v>
      </c>
      <c r="I89" s="179">
        <f ca="1">IF(ISNUMBER(MATCH(DATEVALUE($A89),'recurring1_based on steps'!I$1:I$400,0)),I$2,)</f>
        <v>0</v>
      </c>
      <c r="J89" s="179">
        <f ca="1">IF(ISNUMBER(MATCH(DATEVALUE($A89),'recurring1_based on steps'!J$1:J$400,0)),J$2,)</f>
        <v>0</v>
      </c>
      <c r="K89" s="179">
        <f ca="1">IF(ISNUMBER(MATCH(DATEVALUE($A89),'recurring1_based on steps'!K$1:K$400,0)),K$2,)</f>
        <v>0</v>
      </c>
      <c r="L89" s="179">
        <f ca="1">IF(ISNUMBER(MATCH(DATEVALUE($A89),'recurring1_based on steps'!L$1:L$400,0)),L$2,)</f>
        <v>0</v>
      </c>
      <c r="M89" s="179">
        <f ca="1">IF(ISNUMBER(MATCH(DATEVALUE($A89),'recurring1_based on steps'!M$1:M$400,0)),M$2,)</f>
        <v>0</v>
      </c>
      <c r="N89" s="179">
        <f ca="1">IF(ISNUMBER(MATCH(DATEVALUE($A89),'recurring1_based on steps'!N$1:N$400,0)),N$2,)</f>
        <v>0</v>
      </c>
      <c r="O89" s="179">
        <f ca="1">IF(ISNUMBER(MATCH(DATEVALUE($A89),'recurring1_based on steps'!O$1:O$400,0)),O$2,)</f>
        <v>0</v>
      </c>
      <c r="P89" s="179">
        <f ca="1">IF(ISNUMBER(MATCH(DATEVALUE($A89),'recurring1_based on steps'!P$1:P$400,0)),P$2,)</f>
        <v>0</v>
      </c>
      <c r="Q89" s="179">
        <f ca="1">IF(ISNUMBER(MATCH(DATEVALUE($A89),'recurring1_based on steps'!Q$1:Q$400,0)),Q$2,)</f>
        <v>0</v>
      </c>
      <c r="R89" s="179">
        <f ca="1">IF(ISNUMBER(MATCH(DATEVALUE($A89),'recurring1_based on steps'!R$1:R$400,0)),R$2,)</f>
        <v>0</v>
      </c>
      <c r="S89" s="179">
        <f ca="1">IF(ISNUMBER(MATCH(DATEVALUE($A89),'recurring1_based on steps'!S$1:S$400,0)),S$2,)</f>
        <v>0</v>
      </c>
      <c r="T89" s="179">
        <f ca="1">IF(ISNUMBER(MATCH(DATEVALUE($A89),'recurring1_based on steps'!T$1:T$400,0)),T$2,)</f>
        <v>0</v>
      </c>
      <c r="U89" s="179">
        <f ca="1">IF(ISNUMBER(MATCH(DATEVALUE($A89),'recurring1_based on steps'!U$1:U$400,0)),U$2,)</f>
        <v>0</v>
      </c>
      <c r="V89" s="179">
        <f ca="1">IF(ISNUMBER(MATCH(DATEVALUE($A89),'recurring1_based on steps'!V$1:V$400,0)),V$2,)</f>
        <v>0</v>
      </c>
      <c r="W89" s="179">
        <f ca="1">IF(ISNUMBER(MATCH(DATEVALUE($A89),'recurring1_based on steps'!W$1:W$400,0)),W$2,)</f>
        <v>0</v>
      </c>
      <c r="X89" s="179">
        <f ca="1">IF(ISNUMBER(MATCH(DATEVALUE($A89),'recurring1_based on steps'!X$1:X$400,0)),X$2,)</f>
        <v>0</v>
      </c>
      <c r="Y89" s="179">
        <f ca="1">IF(ISNUMBER(MATCH(DATEVALUE($A89),'recurring1_based on steps'!Y$1:Y$400,0)),Y$2,)</f>
        <v>0</v>
      </c>
      <c r="Z89" s="179">
        <f ca="1">IF(ISNUMBER(MATCH(DATEVALUE($A89),'recurring1_based on steps'!Z$1:Z$400,0)),Z$2,)</f>
        <v>0</v>
      </c>
      <c r="AA89" s="179">
        <f ca="1">IF(ISNUMBER(MATCH(DATEVALUE($A89),'recurring1_based on steps'!AA$1:AA$400,0)),AA$2,)</f>
        <v>0</v>
      </c>
      <c r="AB89" s="179">
        <f ca="1">IF(ISNUMBER(MATCH(DATEVALUE($A89),'recurring1_based on steps'!AB$1:AB$400,0)),AB$2,)</f>
        <v>0</v>
      </c>
      <c r="AC89" s="179">
        <f ca="1">IF(ISNUMBER(MATCH(DATEVALUE($A89),'recurring1_based on steps'!AC$1:AC$400,0)),AC$2,)</f>
        <v>0</v>
      </c>
      <c r="AD89" s="179">
        <f ca="1">IF(ISNUMBER(MATCH(DATEVALUE($A89),'recurring1_based on steps'!AD$1:AD$400,0)),AD$2,)</f>
        <v>0</v>
      </c>
      <c r="AE89" s="179">
        <f ca="1">IF(ISNUMBER(MATCH(DATEVALUE($A89),'recurring1_based on steps'!AE$1:AE$400,0)),AE$2,)</f>
        <v>0</v>
      </c>
      <c r="AF89" s="179">
        <f ca="1">IF(ISNUMBER(MATCH(DATEVALUE($A89),'recurring1_based on steps'!AF$1:AF$400,0)),AF$2,)</f>
        <v>0</v>
      </c>
      <c r="AG89" s="179">
        <f ca="1">IF(ISNUMBER(MATCH(DATEVALUE($A89),'recurring1_based on steps'!AG$1:AG$400,0)),AG$2,)</f>
        <v>0</v>
      </c>
      <c r="AH89" s="179">
        <f ca="1">IF(ISNUMBER(MATCH(DATEVALUE($A89),'recurring1_based on steps'!AH$1:AH$400,0)),AH$2,)</f>
        <v>0</v>
      </c>
      <c r="AI89" s="179">
        <f ca="1">IF(ISNUMBER(MATCH(DATEVALUE($A89),'recurring1_based on steps'!AI$1:AI$400,0)),AI$2,)</f>
        <v>0</v>
      </c>
      <c r="AJ89" s="179">
        <f ca="1">IF(ISNUMBER(MATCH(DATEVALUE($A89),'recurring1_based on steps'!AJ$1:AJ$400,0)),AJ$2,)</f>
        <v>0</v>
      </c>
      <c r="AK89" s="179">
        <f ca="1">IF(ISNUMBER(MATCH(DATEVALUE($A89),'recurring1_based on steps'!AK$1:AK$400,0)),AK$2,)</f>
        <v>0</v>
      </c>
      <c r="AL89" s="179">
        <f ca="1">IF(ISNUMBER(MATCH(DATEVALUE($A89),'recurring1_based on steps'!AL$1:AL$400,0)),AL$2,)</f>
        <v>0</v>
      </c>
      <c r="AM89" s="179">
        <f ca="1">IF(ISNUMBER(MATCH(DATEVALUE($A89),'recurring1_based on steps'!AM$1:AM$400,0)),AM$2,)</f>
        <v>0</v>
      </c>
      <c r="AN89" s="179">
        <f ca="1">IF(ISNUMBER(MATCH(DATEVALUE($A89),'recurring1_based on steps'!AN$1:AN$400,0)),AN$2,)</f>
        <v>0</v>
      </c>
      <c r="AO89" s="179">
        <f ca="1">IF(ISNUMBER(MATCH(DATEVALUE($A89),'recurring1_based on steps'!AO$1:AO$400,0)),AO$2,)</f>
        <v>0</v>
      </c>
      <c r="AP89" s="179">
        <f ca="1">IF(ISNUMBER(MATCH(DATEVALUE($A89),'recurring1_based on steps'!AP$1:AP$400,0)),AP$2,)</f>
        <v>0</v>
      </c>
      <c r="AQ89" s="179">
        <f ca="1">IF(ISNUMBER(MATCH(DATEVALUE($A89),'recurring1_based on steps'!AQ$1:AQ$400,0)),AQ$2,)</f>
        <v>0</v>
      </c>
      <c r="AR89" s="179">
        <f ca="1">IF(ISNUMBER(MATCH(DATEVALUE($A89),'recurring1_based on steps'!AR$1:AR$400,0)),AR$2,)</f>
        <v>0</v>
      </c>
      <c r="AS89" s="179">
        <f ca="1">IF(ISNUMBER(MATCH(DATEVALUE($A89),'recurring1_based on steps'!AS$1:AS$400,0)),AS$2,)</f>
        <v>0</v>
      </c>
      <c r="AT89" s="179">
        <f ca="1">IF(ISNUMBER(MATCH(DATEVALUE($A89),'recurring1_based on steps'!AT$1:AT$400,0)),AT$2,)</f>
        <v>0</v>
      </c>
      <c r="AU89" s="179">
        <f ca="1">IF(ISNUMBER(MATCH(DATEVALUE($A89),'recurring1_based on steps'!AU$1:AU$400,0)),AU$2,)</f>
        <v>0</v>
      </c>
      <c r="AV89" s="179">
        <f ca="1">IF(ISNUMBER(MATCH(DATEVALUE($A89),'recurring1_based on steps'!AV$1:AV$400,0)),AV$2,)</f>
        <v>0</v>
      </c>
      <c r="AW89" s="179">
        <f ca="1">IF(ISNUMBER(MATCH(DATEVALUE($A89),'recurring1_based on steps'!AW$1:AW$400,0)),AW$2,)</f>
        <v>0</v>
      </c>
      <c r="AX89" s="179">
        <f ca="1">IF(ISNUMBER(MATCH(DATEVALUE($A89),'recurring1_based on steps'!AX$1:AX$400,0)),AX$2,)</f>
        <v>0</v>
      </c>
      <c r="AY89" s="179">
        <f ca="1">IF(ISNUMBER(MATCH(DATEVALUE($A89),'recurring1_based on steps'!AY$1:AY$400,0)),AY$2,)</f>
        <v>0</v>
      </c>
    </row>
    <row r="90" spans="1:51" x14ac:dyDescent="0.2">
      <c r="A90" s="32" t="str">
        <f t="shared" ca="1" si="1"/>
        <v>2025-07-01</v>
      </c>
      <c r="B90" s="179">
        <f ca="1">IF(ISNUMBER(MATCH(DATEVALUE($A90),'recurring1_based on steps'!B$1:B$400,0)),B$2,)</f>
        <v>0</v>
      </c>
      <c r="C90" s="179">
        <f ca="1">IF(ISNUMBER(MATCH(DATEVALUE($A90),'recurring1_based on steps'!C$1:C$400,0)),C$2,)</f>
        <v>0</v>
      </c>
      <c r="D90" s="179">
        <f ca="1">IF(ISNUMBER(MATCH(DATEVALUE($A90),'recurring1_based on steps'!D$1:D$400,0)),D$2,)</f>
        <v>0</v>
      </c>
      <c r="E90" s="179">
        <f ca="1">IF(ISNUMBER(MATCH(DATEVALUE($A90),'recurring1_based on steps'!E$1:E$400,0)),E$2,)</f>
        <v>0</v>
      </c>
      <c r="F90" s="179">
        <f ca="1">IF(ISNUMBER(MATCH(DATEVALUE($A90),'recurring1_based on steps'!F$1:F$400,0)),F$2,)</f>
        <v>0</v>
      </c>
      <c r="G90" s="179">
        <f ca="1">IF(ISNUMBER(MATCH(DATEVALUE($A90),'recurring1_based on steps'!G$1:G$400,0)),G$2,)</f>
        <v>0</v>
      </c>
      <c r="H90" s="179">
        <f ca="1">IF(ISNUMBER(MATCH(DATEVALUE($A90),'recurring1_based on steps'!H$1:H$400,0)),H$2,)</f>
        <v>0</v>
      </c>
      <c r="I90" s="179">
        <f ca="1">IF(ISNUMBER(MATCH(DATEVALUE($A90),'recurring1_based on steps'!I$1:I$400,0)),I$2,)</f>
        <v>0</v>
      </c>
      <c r="J90" s="179">
        <f ca="1">IF(ISNUMBER(MATCH(DATEVALUE($A90),'recurring1_based on steps'!J$1:J$400,0)),J$2,)</f>
        <v>0</v>
      </c>
      <c r="K90" s="179">
        <f ca="1">IF(ISNUMBER(MATCH(DATEVALUE($A90),'recurring1_based on steps'!K$1:K$400,0)),K$2,)</f>
        <v>0</v>
      </c>
      <c r="L90" s="179">
        <f ca="1">IF(ISNUMBER(MATCH(DATEVALUE($A90),'recurring1_based on steps'!L$1:L$400,0)),L$2,)</f>
        <v>0</v>
      </c>
      <c r="M90" s="179">
        <f ca="1">IF(ISNUMBER(MATCH(DATEVALUE($A90),'recurring1_based on steps'!M$1:M$400,0)),M$2,)</f>
        <v>0</v>
      </c>
      <c r="N90" s="179">
        <f ca="1">IF(ISNUMBER(MATCH(DATEVALUE($A90),'recurring1_based on steps'!N$1:N$400,0)),N$2,)</f>
        <v>0</v>
      </c>
      <c r="O90" s="179">
        <f ca="1">IF(ISNUMBER(MATCH(DATEVALUE($A90),'recurring1_based on steps'!O$1:O$400,0)),O$2,)</f>
        <v>0</v>
      </c>
      <c r="P90" s="179">
        <f ca="1">IF(ISNUMBER(MATCH(DATEVALUE($A90),'recurring1_based on steps'!P$1:P$400,0)),P$2,)</f>
        <v>0</v>
      </c>
      <c r="Q90" s="179">
        <f ca="1">IF(ISNUMBER(MATCH(DATEVALUE($A90),'recurring1_based on steps'!Q$1:Q$400,0)),Q$2,)</f>
        <v>0</v>
      </c>
      <c r="R90" s="179">
        <f ca="1">IF(ISNUMBER(MATCH(DATEVALUE($A90),'recurring1_based on steps'!R$1:R$400,0)),R$2,)</f>
        <v>0</v>
      </c>
      <c r="S90" s="179">
        <f ca="1">IF(ISNUMBER(MATCH(DATEVALUE($A90),'recurring1_based on steps'!S$1:S$400,0)),S$2,)</f>
        <v>0</v>
      </c>
      <c r="T90" s="179">
        <f ca="1">IF(ISNUMBER(MATCH(DATEVALUE($A90),'recurring1_based on steps'!T$1:T$400,0)),T$2,)</f>
        <v>0</v>
      </c>
      <c r="U90" s="179">
        <f ca="1">IF(ISNUMBER(MATCH(DATEVALUE($A90),'recurring1_based on steps'!U$1:U$400,0)),U$2,)</f>
        <v>0</v>
      </c>
      <c r="V90" s="179">
        <f ca="1">IF(ISNUMBER(MATCH(DATEVALUE($A90),'recurring1_based on steps'!V$1:V$400,0)),V$2,)</f>
        <v>0</v>
      </c>
      <c r="W90" s="179">
        <f ca="1">IF(ISNUMBER(MATCH(DATEVALUE($A90),'recurring1_based on steps'!W$1:W$400,0)),W$2,)</f>
        <v>0</v>
      </c>
      <c r="X90" s="179">
        <f ca="1">IF(ISNUMBER(MATCH(DATEVALUE($A90),'recurring1_based on steps'!X$1:X$400,0)),X$2,)</f>
        <v>0</v>
      </c>
      <c r="Y90" s="179">
        <f ca="1">IF(ISNUMBER(MATCH(DATEVALUE($A90),'recurring1_based on steps'!Y$1:Y$400,0)),Y$2,)</f>
        <v>0</v>
      </c>
      <c r="Z90" s="179">
        <f ca="1">IF(ISNUMBER(MATCH(DATEVALUE($A90),'recurring1_based on steps'!Z$1:Z$400,0)),Z$2,)</f>
        <v>0</v>
      </c>
      <c r="AA90" s="179">
        <f ca="1">IF(ISNUMBER(MATCH(DATEVALUE($A90),'recurring1_based on steps'!AA$1:AA$400,0)),AA$2,)</f>
        <v>0</v>
      </c>
      <c r="AB90" s="179">
        <f ca="1">IF(ISNUMBER(MATCH(DATEVALUE($A90),'recurring1_based on steps'!AB$1:AB$400,0)),AB$2,)</f>
        <v>0</v>
      </c>
      <c r="AC90" s="179">
        <f ca="1">IF(ISNUMBER(MATCH(DATEVALUE($A90),'recurring1_based on steps'!AC$1:AC$400,0)),AC$2,)</f>
        <v>0</v>
      </c>
      <c r="AD90" s="179">
        <f ca="1">IF(ISNUMBER(MATCH(DATEVALUE($A90),'recurring1_based on steps'!AD$1:AD$400,0)),AD$2,)</f>
        <v>0</v>
      </c>
      <c r="AE90" s="179">
        <f ca="1">IF(ISNUMBER(MATCH(DATEVALUE($A90),'recurring1_based on steps'!AE$1:AE$400,0)),AE$2,)</f>
        <v>0</v>
      </c>
      <c r="AF90" s="179">
        <f ca="1">IF(ISNUMBER(MATCH(DATEVALUE($A90),'recurring1_based on steps'!AF$1:AF$400,0)),AF$2,)</f>
        <v>0</v>
      </c>
      <c r="AG90" s="179">
        <f ca="1">IF(ISNUMBER(MATCH(DATEVALUE($A90),'recurring1_based on steps'!AG$1:AG$400,0)),AG$2,)</f>
        <v>0</v>
      </c>
      <c r="AH90" s="179">
        <f ca="1">IF(ISNUMBER(MATCH(DATEVALUE($A90),'recurring1_based on steps'!AH$1:AH$400,0)),AH$2,)</f>
        <v>0</v>
      </c>
      <c r="AI90" s="179">
        <f ca="1">IF(ISNUMBER(MATCH(DATEVALUE($A90),'recurring1_based on steps'!AI$1:AI$400,0)),AI$2,)</f>
        <v>0</v>
      </c>
      <c r="AJ90" s="179">
        <f ca="1">IF(ISNUMBER(MATCH(DATEVALUE($A90),'recurring1_based on steps'!AJ$1:AJ$400,0)),AJ$2,)</f>
        <v>0</v>
      </c>
      <c r="AK90" s="179">
        <f ca="1">IF(ISNUMBER(MATCH(DATEVALUE($A90),'recurring1_based on steps'!AK$1:AK$400,0)),AK$2,)</f>
        <v>0</v>
      </c>
      <c r="AL90" s="179">
        <f ca="1">IF(ISNUMBER(MATCH(DATEVALUE($A90),'recurring1_based on steps'!AL$1:AL$400,0)),AL$2,)</f>
        <v>0</v>
      </c>
      <c r="AM90" s="179">
        <f ca="1">IF(ISNUMBER(MATCH(DATEVALUE($A90),'recurring1_based on steps'!AM$1:AM$400,0)),AM$2,)</f>
        <v>0</v>
      </c>
      <c r="AN90" s="179">
        <f ca="1">IF(ISNUMBER(MATCH(DATEVALUE($A90),'recurring1_based on steps'!AN$1:AN$400,0)),AN$2,)</f>
        <v>0</v>
      </c>
      <c r="AO90" s="179">
        <f ca="1">IF(ISNUMBER(MATCH(DATEVALUE($A90),'recurring1_based on steps'!AO$1:AO$400,0)),AO$2,)</f>
        <v>0</v>
      </c>
      <c r="AP90" s="179">
        <f ca="1">IF(ISNUMBER(MATCH(DATEVALUE($A90),'recurring1_based on steps'!AP$1:AP$400,0)),AP$2,)</f>
        <v>0</v>
      </c>
      <c r="AQ90" s="179">
        <f ca="1">IF(ISNUMBER(MATCH(DATEVALUE($A90),'recurring1_based on steps'!AQ$1:AQ$400,0)),AQ$2,)</f>
        <v>0</v>
      </c>
      <c r="AR90" s="179">
        <f ca="1">IF(ISNUMBER(MATCH(DATEVALUE($A90),'recurring1_based on steps'!AR$1:AR$400,0)),AR$2,)</f>
        <v>0</v>
      </c>
      <c r="AS90" s="179">
        <f ca="1">IF(ISNUMBER(MATCH(DATEVALUE($A90),'recurring1_based on steps'!AS$1:AS$400,0)),AS$2,)</f>
        <v>0</v>
      </c>
      <c r="AT90" s="179">
        <f ca="1">IF(ISNUMBER(MATCH(DATEVALUE($A90),'recurring1_based on steps'!AT$1:AT$400,0)),AT$2,)</f>
        <v>0</v>
      </c>
      <c r="AU90" s="179">
        <f ca="1">IF(ISNUMBER(MATCH(DATEVALUE($A90),'recurring1_based on steps'!AU$1:AU$400,0)),AU$2,)</f>
        <v>0</v>
      </c>
      <c r="AV90" s="179">
        <f ca="1">IF(ISNUMBER(MATCH(DATEVALUE($A90),'recurring1_based on steps'!AV$1:AV$400,0)),AV$2,)</f>
        <v>0</v>
      </c>
      <c r="AW90" s="179">
        <f ca="1">IF(ISNUMBER(MATCH(DATEVALUE($A90),'recurring1_based on steps'!AW$1:AW$400,0)),AW$2,)</f>
        <v>0</v>
      </c>
      <c r="AX90" s="179">
        <f ca="1">IF(ISNUMBER(MATCH(DATEVALUE($A90),'recurring1_based on steps'!AX$1:AX$400,0)),AX$2,)</f>
        <v>0</v>
      </c>
      <c r="AY90" s="179">
        <f ca="1">IF(ISNUMBER(MATCH(DATEVALUE($A90),'recurring1_based on steps'!AY$1:AY$400,0)),AY$2,)</f>
        <v>0</v>
      </c>
    </row>
    <row r="91" spans="1:51" x14ac:dyDescent="0.2">
      <c r="A91" s="32" t="str">
        <f t="shared" ca="1" si="1"/>
        <v>2025-07-02</v>
      </c>
      <c r="B91" s="179">
        <f ca="1">IF(ISNUMBER(MATCH(DATEVALUE($A91),'recurring1_based on steps'!B$1:B$400,0)),B$2,)</f>
        <v>0</v>
      </c>
      <c r="C91" s="179">
        <f ca="1">IF(ISNUMBER(MATCH(DATEVALUE($A91),'recurring1_based on steps'!C$1:C$400,0)),C$2,)</f>
        <v>0</v>
      </c>
      <c r="D91" s="179">
        <f ca="1">IF(ISNUMBER(MATCH(DATEVALUE($A91),'recurring1_based on steps'!D$1:D$400,0)),D$2,)</f>
        <v>0</v>
      </c>
      <c r="E91" s="179">
        <f ca="1">IF(ISNUMBER(MATCH(DATEVALUE($A91),'recurring1_based on steps'!E$1:E$400,0)),E$2,)</f>
        <v>0</v>
      </c>
      <c r="F91" s="179">
        <f ca="1">IF(ISNUMBER(MATCH(DATEVALUE($A91),'recurring1_based on steps'!F$1:F$400,0)),F$2,)</f>
        <v>0</v>
      </c>
      <c r="G91" s="179">
        <f ca="1">IF(ISNUMBER(MATCH(DATEVALUE($A91),'recurring1_based on steps'!G$1:G$400,0)),G$2,)</f>
        <v>0</v>
      </c>
      <c r="H91" s="179">
        <f ca="1">IF(ISNUMBER(MATCH(DATEVALUE($A91),'recurring1_based on steps'!H$1:H$400,0)),H$2,)</f>
        <v>0</v>
      </c>
      <c r="I91" s="179">
        <f ca="1">IF(ISNUMBER(MATCH(DATEVALUE($A91),'recurring1_based on steps'!I$1:I$400,0)),I$2,)</f>
        <v>0</v>
      </c>
      <c r="J91" s="179">
        <f ca="1">IF(ISNUMBER(MATCH(DATEVALUE($A91),'recurring1_based on steps'!J$1:J$400,0)),J$2,)</f>
        <v>0</v>
      </c>
      <c r="K91" s="179">
        <f ca="1">IF(ISNUMBER(MATCH(DATEVALUE($A91),'recurring1_based on steps'!K$1:K$400,0)),K$2,)</f>
        <v>0</v>
      </c>
      <c r="L91" s="179">
        <f ca="1">IF(ISNUMBER(MATCH(DATEVALUE($A91),'recurring1_based on steps'!L$1:L$400,0)),L$2,)</f>
        <v>0</v>
      </c>
      <c r="M91" s="179">
        <f ca="1">IF(ISNUMBER(MATCH(DATEVALUE($A91),'recurring1_based on steps'!M$1:M$400,0)),M$2,)</f>
        <v>0</v>
      </c>
      <c r="N91" s="179">
        <f ca="1">IF(ISNUMBER(MATCH(DATEVALUE($A91),'recurring1_based on steps'!N$1:N$400,0)),N$2,)</f>
        <v>0</v>
      </c>
      <c r="O91" s="179">
        <f ca="1">IF(ISNUMBER(MATCH(DATEVALUE($A91),'recurring1_based on steps'!O$1:O$400,0)),O$2,)</f>
        <v>0</v>
      </c>
      <c r="P91" s="179">
        <f ca="1">IF(ISNUMBER(MATCH(DATEVALUE($A91),'recurring1_based on steps'!P$1:P$400,0)),P$2,)</f>
        <v>0</v>
      </c>
      <c r="Q91" s="179">
        <f ca="1">IF(ISNUMBER(MATCH(DATEVALUE($A91),'recurring1_based on steps'!Q$1:Q$400,0)),Q$2,)</f>
        <v>0</v>
      </c>
      <c r="R91" s="179">
        <f ca="1">IF(ISNUMBER(MATCH(DATEVALUE($A91),'recurring1_based on steps'!R$1:R$400,0)),R$2,)</f>
        <v>0</v>
      </c>
      <c r="S91" s="179">
        <f ca="1">IF(ISNUMBER(MATCH(DATEVALUE($A91),'recurring1_based on steps'!S$1:S$400,0)),S$2,)</f>
        <v>0</v>
      </c>
      <c r="T91" s="179">
        <f ca="1">IF(ISNUMBER(MATCH(DATEVALUE($A91),'recurring1_based on steps'!T$1:T$400,0)),T$2,)</f>
        <v>0</v>
      </c>
      <c r="U91" s="179">
        <f ca="1">IF(ISNUMBER(MATCH(DATEVALUE($A91),'recurring1_based on steps'!U$1:U$400,0)),U$2,)</f>
        <v>0</v>
      </c>
      <c r="V91" s="179">
        <f ca="1">IF(ISNUMBER(MATCH(DATEVALUE($A91),'recurring1_based on steps'!V$1:V$400,0)),V$2,)</f>
        <v>0</v>
      </c>
      <c r="W91" s="179">
        <f ca="1">IF(ISNUMBER(MATCH(DATEVALUE($A91),'recurring1_based on steps'!W$1:W$400,0)),W$2,)</f>
        <v>0</v>
      </c>
      <c r="X91" s="179">
        <f ca="1">IF(ISNUMBER(MATCH(DATEVALUE($A91),'recurring1_based on steps'!X$1:X$400,0)),X$2,)</f>
        <v>0</v>
      </c>
      <c r="Y91" s="179">
        <f ca="1">IF(ISNUMBER(MATCH(DATEVALUE($A91),'recurring1_based on steps'!Y$1:Y$400,0)),Y$2,)</f>
        <v>0</v>
      </c>
      <c r="Z91" s="179">
        <f ca="1">IF(ISNUMBER(MATCH(DATEVALUE($A91),'recurring1_based on steps'!Z$1:Z$400,0)),Z$2,)</f>
        <v>0</v>
      </c>
      <c r="AA91" s="179">
        <f ca="1">IF(ISNUMBER(MATCH(DATEVALUE($A91),'recurring1_based on steps'!AA$1:AA$400,0)),AA$2,)</f>
        <v>0</v>
      </c>
      <c r="AB91" s="179">
        <f ca="1">IF(ISNUMBER(MATCH(DATEVALUE($A91),'recurring1_based on steps'!AB$1:AB$400,0)),AB$2,)</f>
        <v>0</v>
      </c>
      <c r="AC91" s="179">
        <f ca="1">IF(ISNUMBER(MATCH(DATEVALUE($A91),'recurring1_based on steps'!AC$1:AC$400,0)),AC$2,)</f>
        <v>0</v>
      </c>
      <c r="AD91" s="179">
        <f ca="1">IF(ISNUMBER(MATCH(DATEVALUE($A91),'recurring1_based on steps'!AD$1:AD$400,0)),AD$2,)</f>
        <v>0</v>
      </c>
      <c r="AE91" s="179">
        <f ca="1">IF(ISNUMBER(MATCH(DATEVALUE($A91),'recurring1_based on steps'!AE$1:AE$400,0)),AE$2,)</f>
        <v>0</v>
      </c>
      <c r="AF91" s="179">
        <f ca="1">IF(ISNUMBER(MATCH(DATEVALUE($A91),'recurring1_based on steps'!AF$1:AF$400,0)),AF$2,)</f>
        <v>0</v>
      </c>
      <c r="AG91" s="179">
        <f ca="1">IF(ISNUMBER(MATCH(DATEVALUE($A91),'recurring1_based on steps'!AG$1:AG$400,0)),AG$2,)</f>
        <v>0</v>
      </c>
      <c r="AH91" s="179">
        <f ca="1">IF(ISNUMBER(MATCH(DATEVALUE($A91),'recurring1_based on steps'!AH$1:AH$400,0)),AH$2,)</f>
        <v>0</v>
      </c>
      <c r="AI91" s="179">
        <f ca="1">IF(ISNUMBER(MATCH(DATEVALUE($A91),'recurring1_based on steps'!AI$1:AI$400,0)),AI$2,)</f>
        <v>0</v>
      </c>
      <c r="AJ91" s="179">
        <f ca="1">IF(ISNUMBER(MATCH(DATEVALUE($A91),'recurring1_based on steps'!AJ$1:AJ$400,0)),AJ$2,)</f>
        <v>0</v>
      </c>
      <c r="AK91" s="179">
        <f ca="1">IF(ISNUMBER(MATCH(DATEVALUE($A91),'recurring1_based on steps'!AK$1:AK$400,0)),AK$2,)</f>
        <v>0</v>
      </c>
      <c r="AL91" s="179">
        <f ca="1">IF(ISNUMBER(MATCH(DATEVALUE($A91),'recurring1_based on steps'!AL$1:AL$400,0)),AL$2,)</f>
        <v>0</v>
      </c>
      <c r="AM91" s="179">
        <f ca="1">IF(ISNUMBER(MATCH(DATEVALUE($A91),'recurring1_based on steps'!AM$1:AM$400,0)),AM$2,)</f>
        <v>0</v>
      </c>
      <c r="AN91" s="179">
        <f ca="1">IF(ISNUMBER(MATCH(DATEVALUE($A91),'recurring1_based on steps'!AN$1:AN$400,0)),AN$2,)</f>
        <v>0</v>
      </c>
      <c r="AO91" s="179">
        <f ca="1">IF(ISNUMBER(MATCH(DATEVALUE($A91),'recurring1_based on steps'!AO$1:AO$400,0)),AO$2,)</f>
        <v>0</v>
      </c>
      <c r="AP91" s="179">
        <f ca="1">IF(ISNUMBER(MATCH(DATEVALUE($A91),'recurring1_based on steps'!AP$1:AP$400,0)),AP$2,)</f>
        <v>0</v>
      </c>
      <c r="AQ91" s="179">
        <f ca="1">IF(ISNUMBER(MATCH(DATEVALUE($A91),'recurring1_based on steps'!AQ$1:AQ$400,0)),AQ$2,)</f>
        <v>0</v>
      </c>
      <c r="AR91" s="179">
        <f ca="1">IF(ISNUMBER(MATCH(DATEVALUE($A91),'recurring1_based on steps'!AR$1:AR$400,0)),AR$2,)</f>
        <v>0</v>
      </c>
      <c r="AS91" s="179">
        <f ca="1">IF(ISNUMBER(MATCH(DATEVALUE($A91),'recurring1_based on steps'!AS$1:AS$400,0)),AS$2,)</f>
        <v>0</v>
      </c>
      <c r="AT91" s="179">
        <f ca="1">IF(ISNUMBER(MATCH(DATEVALUE($A91),'recurring1_based on steps'!AT$1:AT$400,0)),AT$2,)</f>
        <v>0</v>
      </c>
      <c r="AU91" s="179">
        <f ca="1">IF(ISNUMBER(MATCH(DATEVALUE($A91),'recurring1_based on steps'!AU$1:AU$400,0)),AU$2,)</f>
        <v>0</v>
      </c>
      <c r="AV91" s="179">
        <f ca="1">IF(ISNUMBER(MATCH(DATEVALUE($A91),'recurring1_based on steps'!AV$1:AV$400,0)),AV$2,)</f>
        <v>0</v>
      </c>
      <c r="AW91" s="179">
        <f ca="1">IF(ISNUMBER(MATCH(DATEVALUE($A91),'recurring1_based on steps'!AW$1:AW$400,0)),AW$2,)</f>
        <v>0</v>
      </c>
      <c r="AX91" s="179">
        <f ca="1">IF(ISNUMBER(MATCH(DATEVALUE($A91),'recurring1_based on steps'!AX$1:AX$400,0)),AX$2,)</f>
        <v>0</v>
      </c>
      <c r="AY91" s="179">
        <f ca="1">IF(ISNUMBER(MATCH(DATEVALUE($A91),'recurring1_based on steps'!AY$1:AY$400,0)),AY$2,)</f>
        <v>0</v>
      </c>
    </row>
    <row r="92" spans="1:51" x14ac:dyDescent="0.2">
      <c r="A92" s="32" t="str">
        <f t="shared" ca="1" si="1"/>
        <v>2025-07-03</v>
      </c>
      <c r="B92" s="179">
        <f ca="1">IF(ISNUMBER(MATCH(DATEVALUE($A92),'recurring1_based on steps'!B$1:B$400,0)),B$2,)</f>
        <v>0</v>
      </c>
      <c r="C92" s="179">
        <f ca="1">IF(ISNUMBER(MATCH(DATEVALUE($A92),'recurring1_based on steps'!C$1:C$400,0)),C$2,)</f>
        <v>0</v>
      </c>
      <c r="D92" s="179">
        <f ca="1">IF(ISNUMBER(MATCH(DATEVALUE($A92),'recurring1_based on steps'!D$1:D$400,0)),D$2,)</f>
        <v>0</v>
      </c>
      <c r="E92" s="179">
        <f ca="1">IF(ISNUMBER(MATCH(DATEVALUE($A92),'recurring1_based on steps'!E$1:E$400,0)),E$2,)</f>
        <v>0</v>
      </c>
      <c r="F92" s="179">
        <f ca="1">IF(ISNUMBER(MATCH(DATEVALUE($A92),'recurring1_based on steps'!F$1:F$400,0)),F$2,)</f>
        <v>0</v>
      </c>
      <c r="G92" s="179">
        <f ca="1">IF(ISNUMBER(MATCH(DATEVALUE($A92),'recurring1_based on steps'!G$1:G$400,0)),G$2,)</f>
        <v>0</v>
      </c>
      <c r="H92" s="179">
        <f ca="1">IF(ISNUMBER(MATCH(DATEVALUE($A92),'recurring1_based on steps'!H$1:H$400,0)),H$2,)</f>
        <v>0</v>
      </c>
      <c r="I92" s="179">
        <f ca="1">IF(ISNUMBER(MATCH(DATEVALUE($A92),'recurring1_based on steps'!I$1:I$400,0)),I$2,)</f>
        <v>0</v>
      </c>
      <c r="J92" s="179">
        <f ca="1">IF(ISNUMBER(MATCH(DATEVALUE($A92),'recurring1_based on steps'!J$1:J$400,0)),J$2,)</f>
        <v>0</v>
      </c>
      <c r="K92" s="179">
        <f ca="1">IF(ISNUMBER(MATCH(DATEVALUE($A92),'recurring1_based on steps'!K$1:K$400,0)),K$2,)</f>
        <v>0</v>
      </c>
      <c r="L92" s="179">
        <f ca="1">IF(ISNUMBER(MATCH(DATEVALUE($A92),'recurring1_based on steps'!L$1:L$400,0)),L$2,)</f>
        <v>0</v>
      </c>
      <c r="M92" s="179">
        <f ca="1">IF(ISNUMBER(MATCH(DATEVALUE($A92),'recurring1_based on steps'!M$1:M$400,0)),M$2,)</f>
        <v>0</v>
      </c>
      <c r="N92" s="179">
        <f ca="1">IF(ISNUMBER(MATCH(DATEVALUE($A92),'recurring1_based on steps'!N$1:N$400,0)),N$2,)</f>
        <v>0</v>
      </c>
      <c r="O92" s="179">
        <f ca="1">IF(ISNUMBER(MATCH(DATEVALUE($A92),'recurring1_based on steps'!O$1:O$400,0)),O$2,)</f>
        <v>0</v>
      </c>
      <c r="P92" s="179">
        <f ca="1">IF(ISNUMBER(MATCH(DATEVALUE($A92),'recurring1_based on steps'!P$1:P$400,0)),P$2,)</f>
        <v>0</v>
      </c>
      <c r="Q92" s="179">
        <f ca="1">IF(ISNUMBER(MATCH(DATEVALUE($A92),'recurring1_based on steps'!Q$1:Q$400,0)),Q$2,)</f>
        <v>0</v>
      </c>
      <c r="R92" s="179">
        <f ca="1">IF(ISNUMBER(MATCH(DATEVALUE($A92),'recurring1_based on steps'!R$1:R$400,0)),R$2,)</f>
        <v>0</v>
      </c>
      <c r="S92" s="179">
        <f ca="1">IF(ISNUMBER(MATCH(DATEVALUE($A92),'recurring1_based on steps'!S$1:S$400,0)),S$2,)</f>
        <v>0</v>
      </c>
      <c r="T92" s="179">
        <f ca="1">IF(ISNUMBER(MATCH(DATEVALUE($A92),'recurring1_based on steps'!T$1:T$400,0)),T$2,)</f>
        <v>0</v>
      </c>
      <c r="U92" s="179">
        <f ca="1">IF(ISNUMBER(MATCH(DATEVALUE($A92),'recurring1_based on steps'!U$1:U$400,0)),U$2,)</f>
        <v>0</v>
      </c>
      <c r="V92" s="179">
        <f ca="1">IF(ISNUMBER(MATCH(DATEVALUE($A92),'recurring1_based on steps'!V$1:V$400,0)),V$2,)</f>
        <v>0</v>
      </c>
      <c r="W92" s="179">
        <f ca="1">IF(ISNUMBER(MATCH(DATEVALUE($A92),'recurring1_based on steps'!W$1:W$400,0)),W$2,)</f>
        <v>0</v>
      </c>
      <c r="X92" s="179">
        <f ca="1">IF(ISNUMBER(MATCH(DATEVALUE($A92),'recurring1_based on steps'!X$1:X$400,0)),X$2,)</f>
        <v>0</v>
      </c>
      <c r="Y92" s="179">
        <f ca="1">IF(ISNUMBER(MATCH(DATEVALUE($A92),'recurring1_based on steps'!Y$1:Y$400,0)),Y$2,)</f>
        <v>0</v>
      </c>
      <c r="Z92" s="179">
        <f ca="1">IF(ISNUMBER(MATCH(DATEVALUE($A92),'recurring1_based on steps'!Z$1:Z$400,0)),Z$2,)</f>
        <v>0</v>
      </c>
      <c r="AA92" s="179">
        <f ca="1">IF(ISNUMBER(MATCH(DATEVALUE($A92),'recurring1_based on steps'!AA$1:AA$400,0)),AA$2,)</f>
        <v>0</v>
      </c>
      <c r="AB92" s="179">
        <f ca="1">IF(ISNUMBER(MATCH(DATEVALUE($A92),'recurring1_based on steps'!AB$1:AB$400,0)),AB$2,)</f>
        <v>0</v>
      </c>
      <c r="AC92" s="179">
        <f ca="1">IF(ISNUMBER(MATCH(DATEVALUE($A92),'recurring1_based on steps'!AC$1:AC$400,0)),AC$2,)</f>
        <v>0</v>
      </c>
      <c r="AD92" s="179">
        <f ca="1">IF(ISNUMBER(MATCH(DATEVALUE($A92),'recurring1_based on steps'!AD$1:AD$400,0)),AD$2,)</f>
        <v>0</v>
      </c>
      <c r="AE92" s="179">
        <f ca="1">IF(ISNUMBER(MATCH(DATEVALUE($A92),'recurring1_based on steps'!AE$1:AE$400,0)),AE$2,)</f>
        <v>0</v>
      </c>
      <c r="AF92" s="179">
        <f ca="1">IF(ISNUMBER(MATCH(DATEVALUE($A92),'recurring1_based on steps'!AF$1:AF$400,0)),AF$2,)</f>
        <v>0</v>
      </c>
      <c r="AG92" s="179">
        <f ca="1">IF(ISNUMBER(MATCH(DATEVALUE($A92),'recurring1_based on steps'!AG$1:AG$400,0)),AG$2,)</f>
        <v>0</v>
      </c>
      <c r="AH92" s="179">
        <f ca="1">IF(ISNUMBER(MATCH(DATEVALUE($A92),'recurring1_based on steps'!AH$1:AH$400,0)),AH$2,)</f>
        <v>0</v>
      </c>
      <c r="AI92" s="179">
        <f ca="1">IF(ISNUMBER(MATCH(DATEVALUE($A92),'recurring1_based on steps'!AI$1:AI$400,0)),AI$2,)</f>
        <v>0</v>
      </c>
      <c r="AJ92" s="179">
        <f ca="1">IF(ISNUMBER(MATCH(DATEVALUE($A92),'recurring1_based on steps'!AJ$1:AJ$400,0)),AJ$2,)</f>
        <v>0</v>
      </c>
      <c r="AK92" s="179">
        <f ca="1">IF(ISNUMBER(MATCH(DATEVALUE($A92),'recurring1_based on steps'!AK$1:AK$400,0)),AK$2,)</f>
        <v>0</v>
      </c>
      <c r="AL92" s="179">
        <f ca="1">IF(ISNUMBER(MATCH(DATEVALUE($A92),'recurring1_based on steps'!AL$1:AL$400,0)),AL$2,)</f>
        <v>0</v>
      </c>
      <c r="AM92" s="179">
        <f ca="1">IF(ISNUMBER(MATCH(DATEVALUE($A92),'recurring1_based on steps'!AM$1:AM$400,0)),AM$2,)</f>
        <v>0</v>
      </c>
      <c r="AN92" s="179">
        <f ca="1">IF(ISNUMBER(MATCH(DATEVALUE($A92),'recurring1_based on steps'!AN$1:AN$400,0)),AN$2,)</f>
        <v>0</v>
      </c>
      <c r="AO92" s="179">
        <f ca="1">IF(ISNUMBER(MATCH(DATEVALUE($A92),'recurring1_based on steps'!AO$1:AO$400,0)),AO$2,)</f>
        <v>0</v>
      </c>
      <c r="AP92" s="179">
        <f ca="1">IF(ISNUMBER(MATCH(DATEVALUE($A92),'recurring1_based on steps'!AP$1:AP$400,0)),AP$2,)</f>
        <v>0</v>
      </c>
      <c r="AQ92" s="179">
        <f ca="1">IF(ISNUMBER(MATCH(DATEVALUE($A92),'recurring1_based on steps'!AQ$1:AQ$400,0)),AQ$2,)</f>
        <v>0</v>
      </c>
      <c r="AR92" s="179">
        <f ca="1">IF(ISNUMBER(MATCH(DATEVALUE($A92),'recurring1_based on steps'!AR$1:AR$400,0)),AR$2,)</f>
        <v>0</v>
      </c>
      <c r="AS92" s="179">
        <f ca="1">IF(ISNUMBER(MATCH(DATEVALUE($A92),'recurring1_based on steps'!AS$1:AS$400,0)),AS$2,)</f>
        <v>0</v>
      </c>
      <c r="AT92" s="179">
        <f ca="1">IF(ISNUMBER(MATCH(DATEVALUE($A92),'recurring1_based on steps'!AT$1:AT$400,0)),AT$2,)</f>
        <v>0</v>
      </c>
      <c r="AU92" s="179">
        <f ca="1">IF(ISNUMBER(MATCH(DATEVALUE($A92),'recurring1_based on steps'!AU$1:AU$400,0)),AU$2,)</f>
        <v>0</v>
      </c>
      <c r="AV92" s="179">
        <f ca="1">IF(ISNUMBER(MATCH(DATEVALUE($A92),'recurring1_based on steps'!AV$1:AV$400,0)),AV$2,)</f>
        <v>0</v>
      </c>
      <c r="AW92" s="179">
        <f ca="1">IF(ISNUMBER(MATCH(DATEVALUE($A92),'recurring1_based on steps'!AW$1:AW$400,0)),AW$2,)</f>
        <v>0</v>
      </c>
      <c r="AX92" s="179">
        <f ca="1">IF(ISNUMBER(MATCH(DATEVALUE($A92),'recurring1_based on steps'!AX$1:AX$400,0)),AX$2,)</f>
        <v>0</v>
      </c>
      <c r="AY92" s="179">
        <f ca="1">IF(ISNUMBER(MATCH(DATEVALUE($A92),'recurring1_based on steps'!AY$1:AY$400,0)),AY$2,)</f>
        <v>0</v>
      </c>
    </row>
    <row r="93" spans="1:51" x14ac:dyDescent="0.2">
      <c r="A93" s="32" t="str">
        <f t="shared" ca="1" si="1"/>
        <v>2025-07-04</v>
      </c>
      <c r="B93" s="179">
        <f ca="1">IF(ISNUMBER(MATCH(DATEVALUE($A93),'recurring1_based on steps'!B$1:B$400,0)),B$2,)</f>
        <v>0</v>
      </c>
      <c r="C93" s="179">
        <f ca="1">IF(ISNUMBER(MATCH(DATEVALUE($A93),'recurring1_based on steps'!C$1:C$400,0)),C$2,)</f>
        <v>0</v>
      </c>
      <c r="D93" s="179">
        <f ca="1">IF(ISNUMBER(MATCH(DATEVALUE($A93),'recurring1_based on steps'!D$1:D$400,0)),D$2,)</f>
        <v>0</v>
      </c>
      <c r="E93" s="179">
        <f ca="1">IF(ISNUMBER(MATCH(DATEVALUE($A93),'recurring1_based on steps'!E$1:E$400,0)),E$2,)</f>
        <v>0</v>
      </c>
      <c r="F93" s="179">
        <f ca="1">IF(ISNUMBER(MATCH(DATEVALUE($A93),'recurring1_based on steps'!F$1:F$400,0)),F$2,)</f>
        <v>0</v>
      </c>
      <c r="G93" s="179">
        <f ca="1">IF(ISNUMBER(MATCH(DATEVALUE($A93),'recurring1_based on steps'!G$1:G$400,0)),G$2,)</f>
        <v>0</v>
      </c>
      <c r="H93" s="179">
        <f ca="1">IF(ISNUMBER(MATCH(DATEVALUE($A93),'recurring1_based on steps'!H$1:H$400,0)),H$2,)</f>
        <v>0</v>
      </c>
      <c r="I93" s="179">
        <f ca="1">IF(ISNUMBER(MATCH(DATEVALUE($A93),'recurring1_based on steps'!I$1:I$400,0)),I$2,)</f>
        <v>0</v>
      </c>
      <c r="J93" s="179">
        <f ca="1">IF(ISNUMBER(MATCH(DATEVALUE($A93),'recurring1_based on steps'!J$1:J$400,0)),J$2,)</f>
        <v>0</v>
      </c>
      <c r="K93" s="179">
        <f ca="1">IF(ISNUMBER(MATCH(DATEVALUE($A93),'recurring1_based on steps'!K$1:K$400,0)),K$2,)</f>
        <v>0</v>
      </c>
      <c r="L93" s="179">
        <f ca="1">IF(ISNUMBER(MATCH(DATEVALUE($A93),'recurring1_based on steps'!L$1:L$400,0)),L$2,)</f>
        <v>0</v>
      </c>
      <c r="M93" s="179">
        <f ca="1">IF(ISNUMBER(MATCH(DATEVALUE($A93),'recurring1_based on steps'!M$1:M$400,0)),M$2,)</f>
        <v>0</v>
      </c>
      <c r="N93" s="179">
        <f ca="1">IF(ISNUMBER(MATCH(DATEVALUE($A93),'recurring1_based on steps'!N$1:N$400,0)),N$2,)</f>
        <v>0</v>
      </c>
      <c r="O93" s="179">
        <f ca="1">IF(ISNUMBER(MATCH(DATEVALUE($A93),'recurring1_based on steps'!O$1:O$400,0)),O$2,)</f>
        <v>0</v>
      </c>
      <c r="P93" s="179">
        <f ca="1">IF(ISNUMBER(MATCH(DATEVALUE($A93),'recurring1_based on steps'!P$1:P$400,0)),P$2,)</f>
        <v>0</v>
      </c>
      <c r="Q93" s="179">
        <f ca="1">IF(ISNUMBER(MATCH(DATEVALUE($A93),'recurring1_based on steps'!Q$1:Q$400,0)),Q$2,)</f>
        <v>0</v>
      </c>
      <c r="R93" s="179">
        <f ca="1">IF(ISNUMBER(MATCH(DATEVALUE($A93),'recurring1_based on steps'!R$1:R$400,0)),R$2,)</f>
        <v>0</v>
      </c>
      <c r="S93" s="179">
        <f ca="1">IF(ISNUMBER(MATCH(DATEVALUE($A93),'recurring1_based on steps'!S$1:S$400,0)),S$2,)</f>
        <v>0</v>
      </c>
      <c r="T93" s="179">
        <f ca="1">IF(ISNUMBER(MATCH(DATEVALUE($A93),'recurring1_based on steps'!T$1:T$400,0)),T$2,)</f>
        <v>0</v>
      </c>
      <c r="U93" s="179">
        <f ca="1">IF(ISNUMBER(MATCH(DATEVALUE($A93),'recurring1_based on steps'!U$1:U$400,0)),U$2,)</f>
        <v>0</v>
      </c>
      <c r="V93" s="179">
        <f ca="1">IF(ISNUMBER(MATCH(DATEVALUE($A93),'recurring1_based on steps'!V$1:V$400,0)),V$2,)</f>
        <v>0</v>
      </c>
      <c r="W93" s="179">
        <f ca="1">IF(ISNUMBER(MATCH(DATEVALUE($A93),'recurring1_based on steps'!W$1:W$400,0)),W$2,)</f>
        <v>0</v>
      </c>
      <c r="X93" s="179">
        <f ca="1">IF(ISNUMBER(MATCH(DATEVALUE($A93),'recurring1_based on steps'!X$1:X$400,0)),X$2,)</f>
        <v>0</v>
      </c>
      <c r="Y93" s="179">
        <f ca="1">IF(ISNUMBER(MATCH(DATEVALUE($A93),'recurring1_based on steps'!Y$1:Y$400,0)),Y$2,)</f>
        <v>0</v>
      </c>
      <c r="Z93" s="179">
        <f ca="1">IF(ISNUMBER(MATCH(DATEVALUE($A93),'recurring1_based on steps'!Z$1:Z$400,0)),Z$2,)</f>
        <v>0</v>
      </c>
      <c r="AA93" s="179">
        <f ca="1">IF(ISNUMBER(MATCH(DATEVALUE($A93),'recurring1_based on steps'!AA$1:AA$400,0)),AA$2,)</f>
        <v>0</v>
      </c>
      <c r="AB93" s="179">
        <f ca="1">IF(ISNUMBER(MATCH(DATEVALUE($A93),'recurring1_based on steps'!AB$1:AB$400,0)),AB$2,)</f>
        <v>0</v>
      </c>
      <c r="AC93" s="179">
        <f ca="1">IF(ISNUMBER(MATCH(DATEVALUE($A93),'recurring1_based on steps'!AC$1:AC$400,0)),AC$2,)</f>
        <v>0</v>
      </c>
      <c r="AD93" s="179">
        <f ca="1">IF(ISNUMBER(MATCH(DATEVALUE($A93),'recurring1_based on steps'!AD$1:AD$400,0)),AD$2,)</f>
        <v>0</v>
      </c>
      <c r="AE93" s="179">
        <f ca="1">IF(ISNUMBER(MATCH(DATEVALUE($A93),'recurring1_based on steps'!AE$1:AE$400,0)),AE$2,)</f>
        <v>0</v>
      </c>
      <c r="AF93" s="179">
        <f ca="1">IF(ISNUMBER(MATCH(DATEVALUE($A93),'recurring1_based on steps'!AF$1:AF$400,0)),AF$2,)</f>
        <v>0</v>
      </c>
      <c r="AG93" s="179">
        <f ca="1">IF(ISNUMBER(MATCH(DATEVALUE($A93),'recurring1_based on steps'!AG$1:AG$400,0)),AG$2,)</f>
        <v>0</v>
      </c>
      <c r="AH93" s="179">
        <f ca="1">IF(ISNUMBER(MATCH(DATEVALUE($A93),'recurring1_based on steps'!AH$1:AH$400,0)),AH$2,)</f>
        <v>0</v>
      </c>
      <c r="AI93" s="179">
        <f ca="1">IF(ISNUMBER(MATCH(DATEVALUE($A93),'recurring1_based on steps'!AI$1:AI$400,0)),AI$2,)</f>
        <v>0</v>
      </c>
      <c r="AJ93" s="179">
        <f ca="1">IF(ISNUMBER(MATCH(DATEVALUE($A93),'recurring1_based on steps'!AJ$1:AJ$400,0)),AJ$2,)</f>
        <v>0</v>
      </c>
      <c r="AK93" s="179">
        <f ca="1">IF(ISNUMBER(MATCH(DATEVALUE($A93),'recurring1_based on steps'!AK$1:AK$400,0)),AK$2,)</f>
        <v>0</v>
      </c>
      <c r="AL93" s="179">
        <f ca="1">IF(ISNUMBER(MATCH(DATEVALUE($A93),'recurring1_based on steps'!AL$1:AL$400,0)),AL$2,)</f>
        <v>0</v>
      </c>
      <c r="AM93" s="179">
        <f ca="1">IF(ISNUMBER(MATCH(DATEVALUE($A93),'recurring1_based on steps'!AM$1:AM$400,0)),AM$2,)</f>
        <v>0</v>
      </c>
      <c r="AN93" s="179">
        <f ca="1">IF(ISNUMBER(MATCH(DATEVALUE($A93),'recurring1_based on steps'!AN$1:AN$400,0)),AN$2,)</f>
        <v>0</v>
      </c>
      <c r="AO93" s="179">
        <f ca="1">IF(ISNUMBER(MATCH(DATEVALUE($A93),'recurring1_based on steps'!AO$1:AO$400,0)),AO$2,)</f>
        <v>0</v>
      </c>
      <c r="AP93" s="179">
        <f ca="1">IF(ISNUMBER(MATCH(DATEVALUE($A93),'recurring1_based on steps'!AP$1:AP$400,0)),AP$2,)</f>
        <v>0</v>
      </c>
      <c r="AQ93" s="179">
        <f ca="1">IF(ISNUMBER(MATCH(DATEVALUE($A93),'recurring1_based on steps'!AQ$1:AQ$400,0)),AQ$2,)</f>
        <v>0</v>
      </c>
      <c r="AR93" s="179">
        <f ca="1">IF(ISNUMBER(MATCH(DATEVALUE($A93),'recurring1_based on steps'!AR$1:AR$400,0)),AR$2,)</f>
        <v>0</v>
      </c>
      <c r="AS93" s="179">
        <f ca="1">IF(ISNUMBER(MATCH(DATEVALUE($A93),'recurring1_based on steps'!AS$1:AS$400,0)),AS$2,)</f>
        <v>0</v>
      </c>
      <c r="AT93" s="179">
        <f ca="1">IF(ISNUMBER(MATCH(DATEVALUE($A93),'recurring1_based on steps'!AT$1:AT$400,0)),AT$2,)</f>
        <v>0</v>
      </c>
      <c r="AU93" s="179">
        <f ca="1">IF(ISNUMBER(MATCH(DATEVALUE($A93),'recurring1_based on steps'!AU$1:AU$400,0)),AU$2,)</f>
        <v>0</v>
      </c>
      <c r="AV93" s="179">
        <f ca="1">IF(ISNUMBER(MATCH(DATEVALUE($A93),'recurring1_based on steps'!AV$1:AV$400,0)),AV$2,)</f>
        <v>0</v>
      </c>
      <c r="AW93" s="179">
        <f ca="1">IF(ISNUMBER(MATCH(DATEVALUE($A93),'recurring1_based on steps'!AW$1:AW$400,0)),AW$2,)</f>
        <v>0</v>
      </c>
      <c r="AX93" s="179">
        <f ca="1">IF(ISNUMBER(MATCH(DATEVALUE($A93),'recurring1_based on steps'!AX$1:AX$400,0)),AX$2,)</f>
        <v>0</v>
      </c>
      <c r="AY93" s="179">
        <f ca="1">IF(ISNUMBER(MATCH(DATEVALUE($A93),'recurring1_based on steps'!AY$1:AY$400,0)),AY$2,)</f>
        <v>0</v>
      </c>
    </row>
    <row r="94" spans="1:51" x14ac:dyDescent="0.2">
      <c r="A94" s="32" t="str">
        <f t="shared" ca="1" si="1"/>
        <v>2025-07-05</v>
      </c>
      <c r="B94" s="179">
        <f ca="1">IF(ISNUMBER(MATCH(DATEVALUE($A94),'recurring1_based on steps'!B$1:B$400,0)),B$2,)</f>
        <v>0</v>
      </c>
      <c r="C94" s="179">
        <f ca="1">IF(ISNUMBER(MATCH(DATEVALUE($A94),'recurring1_based on steps'!C$1:C$400,0)),C$2,)</f>
        <v>0</v>
      </c>
      <c r="D94" s="179">
        <f ca="1">IF(ISNUMBER(MATCH(DATEVALUE($A94),'recurring1_based on steps'!D$1:D$400,0)),D$2,)</f>
        <v>0</v>
      </c>
      <c r="E94" s="179">
        <f ca="1">IF(ISNUMBER(MATCH(DATEVALUE($A94),'recurring1_based on steps'!E$1:E$400,0)),E$2,)</f>
        <v>0</v>
      </c>
      <c r="F94" s="179">
        <f ca="1">IF(ISNUMBER(MATCH(DATEVALUE($A94),'recurring1_based on steps'!F$1:F$400,0)),F$2,)</f>
        <v>0</v>
      </c>
      <c r="G94" s="179">
        <f ca="1">IF(ISNUMBER(MATCH(DATEVALUE($A94),'recurring1_based on steps'!G$1:G$400,0)),G$2,)</f>
        <v>0</v>
      </c>
      <c r="H94" s="179">
        <f ca="1">IF(ISNUMBER(MATCH(DATEVALUE($A94),'recurring1_based on steps'!H$1:H$400,0)),H$2,)</f>
        <v>0</v>
      </c>
      <c r="I94" s="179">
        <f ca="1">IF(ISNUMBER(MATCH(DATEVALUE($A94),'recurring1_based on steps'!I$1:I$400,0)),I$2,)</f>
        <v>0</v>
      </c>
      <c r="J94" s="179">
        <f ca="1">IF(ISNUMBER(MATCH(DATEVALUE($A94),'recurring1_based on steps'!J$1:J$400,0)),J$2,)</f>
        <v>0</v>
      </c>
      <c r="K94" s="179">
        <f ca="1">IF(ISNUMBER(MATCH(DATEVALUE($A94),'recurring1_based on steps'!K$1:K$400,0)),K$2,)</f>
        <v>0</v>
      </c>
      <c r="L94" s="179">
        <f ca="1">IF(ISNUMBER(MATCH(DATEVALUE($A94),'recurring1_based on steps'!L$1:L$400,0)),L$2,)</f>
        <v>0</v>
      </c>
      <c r="M94" s="179">
        <f ca="1">IF(ISNUMBER(MATCH(DATEVALUE($A94),'recurring1_based on steps'!M$1:M$400,0)),M$2,)</f>
        <v>0</v>
      </c>
      <c r="N94" s="179">
        <f ca="1">IF(ISNUMBER(MATCH(DATEVALUE($A94),'recurring1_based on steps'!N$1:N$400,0)),N$2,)</f>
        <v>0</v>
      </c>
      <c r="O94" s="179">
        <f ca="1">IF(ISNUMBER(MATCH(DATEVALUE($A94),'recurring1_based on steps'!O$1:O$400,0)),O$2,)</f>
        <v>0</v>
      </c>
      <c r="P94" s="179">
        <f ca="1">IF(ISNUMBER(MATCH(DATEVALUE($A94),'recurring1_based on steps'!P$1:P$400,0)),P$2,)</f>
        <v>0</v>
      </c>
      <c r="Q94" s="179">
        <f ca="1">IF(ISNUMBER(MATCH(DATEVALUE($A94),'recurring1_based on steps'!Q$1:Q$400,0)),Q$2,)</f>
        <v>0</v>
      </c>
      <c r="R94" s="179">
        <f ca="1">IF(ISNUMBER(MATCH(DATEVALUE($A94),'recurring1_based on steps'!R$1:R$400,0)),R$2,)</f>
        <v>0</v>
      </c>
      <c r="S94" s="179">
        <f ca="1">IF(ISNUMBER(MATCH(DATEVALUE($A94),'recurring1_based on steps'!S$1:S$400,0)),S$2,)</f>
        <v>0</v>
      </c>
      <c r="T94" s="179">
        <f ca="1">IF(ISNUMBER(MATCH(DATEVALUE($A94),'recurring1_based on steps'!T$1:T$400,0)),T$2,)</f>
        <v>0</v>
      </c>
      <c r="U94" s="179">
        <f ca="1">IF(ISNUMBER(MATCH(DATEVALUE($A94),'recurring1_based on steps'!U$1:U$400,0)),U$2,)</f>
        <v>0</v>
      </c>
      <c r="V94" s="179">
        <f ca="1">IF(ISNUMBER(MATCH(DATEVALUE($A94),'recurring1_based on steps'!V$1:V$400,0)),V$2,)</f>
        <v>0</v>
      </c>
      <c r="W94" s="179">
        <f ca="1">IF(ISNUMBER(MATCH(DATEVALUE($A94),'recurring1_based on steps'!W$1:W$400,0)),W$2,)</f>
        <v>0</v>
      </c>
      <c r="X94" s="179">
        <f ca="1">IF(ISNUMBER(MATCH(DATEVALUE($A94),'recurring1_based on steps'!X$1:X$400,0)),X$2,)</f>
        <v>0</v>
      </c>
      <c r="Y94" s="179">
        <f ca="1">IF(ISNUMBER(MATCH(DATEVALUE($A94),'recurring1_based on steps'!Y$1:Y$400,0)),Y$2,)</f>
        <v>0</v>
      </c>
      <c r="Z94" s="179">
        <f ca="1">IF(ISNUMBER(MATCH(DATEVALUE($A94),'recurring1_based on steps'!Z$1:Z$400,0)),Z$2,)</f>
        <v>0</v>
      </c>
      <c r="AA94" s="179">
        <f ca="1">IF(ISNUMBER(MATCH(DATEVALUE($A94),'recurring1_based on steps'!AA$1:AA$400,0)),AA$2,)</f>
        <v>0</v>
      </c>
      <c r="AB94" s="179">
        <f ca="1">IF(ISNUMBER(MATCH(DATEVALUE($A94),'recurring1_based on steps'!AB$1:AB$400,0)),AB$2,)</f>
        <v>0</v>
      </c>
      <c r="AC94" s="179">
        <f ca="1">IF(ISNUMBER(MATCH(DATEVALUE($A94),'recurring1_based on steps'!AC$1:AC$400,0)),AC$2,)</f>
        <v>0</v>
      </c>
      <c r="AD94" s="179">
        <f ca="1">IF(ISNUMBER(MATCH(DATEVALUE($A94),'recurring1_based on steps'!AD$1:AD$400,0)),AD$2,)</f>
        <v>0</v>
      </c>
      <c r="AE94" s="179">
        <f ca="1">IF(ISNUMBER(MATCH(DATEVALUE($A94),'recurring1_based on steps'!AE$1:AE$400,0)),AE$2,)</f>
        <v>0</v>
      </c>
      <c r="AF94" s="179">
        <f ca="1">IF(ISNUMBER(MATCH(DATEVALUE($A94),'recurring1_based on steps'!AF$1:AF$400,0)),AF$2,)</f>
        <v>0</v>
      </c>
      <c r="AG94" s="179">
        <f ca="1">IF(ISNUMBER(MATCH(DATEVALUE($A94),'recurring1_based on steps'!AG$1:AG$400,0)),AG$2,)</f>
        <v>0</v>
      </c>
      <c r="AH94" s="179">
        <f ca="1">IF(ISNUMBER(MATCH(DATEVALUE($A94),'recurring1_based on steps'!AH$1:AH$400,0)),AH$2,)</f>
        <v>0</v>
      </c>
      <c r="AI94" s="179">
        <f ca="1">IF(ISNUMBER(MATCH(DATEVALUE($A94),'recurring1_based on steps'!AI$1:AI$400,0)),AI$2,)</f>
        <v>0</v>
      </c>
      <c r="AJ94" s="179">
        <f ca="1">IF(ISNUMBER(MATCH(DATEVALUE($A94),'recurring1_based on steps'!AJ$1:AJ$400,0)),AJ$2,)</f>
        <v>0</v>
      </c>
      <c r="AK94" s="179">
        <f ca="1">IF(ISNUMBER(MATCH(DATEVALUE($A94),'recurring1_based on steps'!AK$1:AK$400,0)),AK$2,)</f>
        <v>0</v>
      </c>
      <c r="AL94" s="179">
        <f ca="1">IF(ISNUMBER(MATCH(DATEVALUE($A94),'recurring1_based on steps'!AL$1:AL$400,0)),AL$2,)</f>
        <v>0</v>
      </c>
      <c r="AM94" s="179">
        <f ca="1">IF(ISNUMBER(MATCH(DATEVALUE($A94),'recurring1_based on steps'!AM$1:AM$400,0)),AM$2,)</f>
        <v>0</v>
      </c>
      <c r="AN94" s="179">
        <f ca="1">IF(ISNUMBER(MATCH(DATEVALUE($A94),'recurring1_based on steps'!AN$1:AN$400,0)),AN$2,)</f>
        <v>0</v>
      </c>
      <c r="AO94" s="179">
        <f ca="1">IF(ISNUMBER(MATCH(DATEVALUE($A94),'recurring1_based on steps'!AO$1:AO$400,0)),AO$2,)</f>
        <v>0</v>
      </c>
      <c r="AP94" s="179">
        <f ca="1">IF(ISNUMBER(MATCH(DATEVALUE($A94),'recurring1_based on steps'!AP$1:AP$400,0)),AP$2,)</f>
        <v>0</v>
      </c>
      <c r="AQ94" s="179">
        <f ca="1">IF(ISNUMBER(MATCH(DATEVALUE($A94),'recurring1_based on steps'!AQ$1:AQ$400,0)),AQ$2,)</f>
        <v>0</v>
      </c>
      <c r="AR94" s="179">
        <f ca="1">IF(ISNUMBER(MATCH(DATEVALUE($A94),'recurring1_based on steps'!AR$1:AR$400,0)),AR$2,)</f>
        <v>0</v>
      </c>
      <c r="AS94" s="179">
        <f ca="1">IF(ISNUMBER(MATCH(DATEVALUE($A94),'recurring1_based on steps'!AS$1:AS$400,0)),AS$2,)</f>
        <v>0</v>
      </c>
      <c r="AT94" s="179">
        <f ca="1">IF(ISNUMBER(MATCH(DATEVALUE($A94),'recurring1_based on steps'!AT$1:AT$400,0)),AT$2,)</f>
        <v>0</v>
      </c>
      <c r="AU94" s="179">
        <f ca="1">IF(ISNUMBER(MATCH(DATEVALUE($A94),'recurring1_based on steps'!AU$1:AU$400,0)),AU$2,)</f>
        <v>0</v>
      </c>
      <c r="AV94" s="179">
        <f ca="1">IF(ISNUMBER(MATCH(DATEVALUE($A94),'recurring1_based on steps'!AV$1:AV$400,0)),AV$2,)</f>
        <v>0</v>
      </c>
      <c r="AW94" s="179">
        <f ca="1">IF(ISNUMBER(MATCH(DATEVALUE($A94),'recurring1_based on steps'!AW$1:AW$400,0)),AW$2,)</f>
        <v>0</v>
      </c>
      <c r="AX94" s="179">
        <f ca="1">IF(ISNUMBER(MATCH(DATEVALUE($A94),'recurring1_based on steps'!AX$1:AX$400,0)),AX$2,)</f>
        <v>0</v>
      </c>
      <c r="AY94" s="179">
        <f ca="1">IF(ISNUMBER(MATCH(DATEVALUE($A94),'recurring1_based on steps'!AY$1:AY$400,0)),AY$2,)</f>
        <v>0</v>
      </c>
    </row>
    <row r="95" spans="1:51" x14ac:dyDescent="0.2">
      <c r="A95" s="32" t="str">
        <f t="shared" ca="1" si="1"/>
        <v>2025-07-06</v>
      </c>
      <c r="B95" s="179">
        <f ca="1">IF(ISNUMBER(MATCH(DATEVALUE($A95),'recurring1_based on steps'!B$1:B$400,0)),B$2,)</f>
        <v>0</v>
      </c>
      <c r="C95" s="179">
        <f ca="1">IF(ISNUMBER(MATCH(DATEVALUE($A95),'recurring1_based on steps'!C$1:C$400,0)),C$2,)</f>
        <v>0</v>
      </c>
      <c r="D95" s="179">
        <f ca="1">IF(ISNUMBER(MATCH(DATEVALUE($A95),'recurring1_based on steps'!D$1:D$400,0)),D$2,)</f>
        <v>0</v>
      </c>
      <c r="E95" s="179">
        <f ca="1">IF(ISNUMBER(MATCH(DATEVALUE($A95),'recurring1_based on steps'!E$1:E$400,0)),E$2,)</f>
        <v>0</v>
      </c>
      <c r="F95" s="179">
        <f ca="1">IF(ISNUMBER(MATCH(DATEVALUE($A95),'recurring1_based on steps'!F$1:F$400,0)),F$2,)</f>
        <v>0</v>
      </c>
      <c r="G95" s="179">
        <f ca="1">IF(ISNUMBER(MATCH(DATEVALUE($A95),'recurring1_based on steps'!G$1:G$400,0)),G$2,)</f>
        <v>0</v>
      </c>
      <c r="H95" s="179">
        <f ca="1">IF(ISNUMBER(MATCH(DATEVALUE($A95),'recurring1_based on steps'!H$1:H$400,0)),H$2,)</f>
        <v>0</v>
      </c>
      <c r="I95" s="179">
        <f ca="1">IF(ISNUMBER(MATCH(DATEVALUE($A95),'recurring1_based on steps'!I$1:I$400,0)),I$2,)</f>
        <v>0</v>
      </c>
      <c r="J95" s="179">
        <f ca="1">IF(ISNUMBER(MATCH(DATEVALUE($A95),'recurring1_based on steps'!J$1:J$400,0)),J$2,)</f>
        <v>0</v>
      </c>
      <c r="K95" s="179">
        <f ca="1">IF(ISNUMBER(MATCH(DATEVALUE($A95),'recurring1_based on steps'!K$1:K$400,0)),K$2,)</f>
        <v>0</v>
      </c>
      <c r="L95" s="179">
        <f ca="1">IF(ISNUMBER(MATCH(DATEVALUE($A95),'recurring1_based on steps'!L$1:L$400,0)),L$2,)</f>
        <v>0</v>
      </c>
      <c r="M95" s="179">
        <f ca="1">IF(ISNUMBER(MATCH(DATEVALUE($A95),'recurring1_based on steps'!M$1:M$400,0)),M$2,)</f>
        <v>0</v>
      </c>
      <c r="N95" s="179">
        <f ca="1">IF(ISNUMBER(MATCH(DATEVALUE($A95),'recurring1_based on steps'!N$1:N$400,0)),N$2,)</f>
        <v>0</v>
      </c>
      <c r="O95" s="179">
        <f ca="1">IF(ISNUMBER(MATCH(DATEVALUE($A95),'recurring1_based on steps'!O$1:O$400,0)),O$2,)</f>
        <v>0</v>
      </c>
      <c r="P95" s="179">
        <f ca="1">IF(ISNUMBER(MATCH(DATEVALUE($A95),'recurring1_based on steps'!P$1:P$400,0)),P$2,)</f>
        <v>0</v>
      </c>
      <c r="Q95" s="179">
        <f ca="1">IF(ISNUMBER(MATCH(DATEVALUE($A95),'recurring1_based on steps'!Q$1:Q$400,0)),Q$2,)</f>
        <v>0</v>
      </c>
      <c r="R95" s="179">
        <f ca="1">IF(ISNUMBER(MATCH(DATEVALUE($A95),'recurring1_based on steps'!R$1:R$400,0)),R$2,)</f>
        <v>0</v>
      </c>
      <c r="S95" s="179">
        <f ca="1">IF(ISNUMBER(MATCH(DATEVALUE($A95),'recurring1_based on steps'!S$1:S$400,0)),S$2,)</f>
        <v>0</v>
      </c>
      <c r="T95" s="179">
        <f ca="1">IF(ISNUMBER(MATCH(DATEVALUE($A95),'recurring1_based on steps'!T$1:T$400,0)),T$2,)</f>
        <v>0</v>
      </c>
      <c r="U95" s="179">
        <f ca="1">IF(ISNUMBER(MATCH(DATEVALUE($A95),'recurring1_based on steps'!U$1:U$400,0)),U$2,)</f>
        <v>0</v>
      </c>
      <c r="V95" s="179">
        <f ca="1">IF(ISNUMBER(MATCH(DATEVALUE($A95),'recurring1_based on steps'!V$1:V$400,0)),V$2,)</f>
        <v>0</v>
      </c>
      <c r="W95" s="179">
        <f ca="1">IF(ISNUMBER(MATCH(DATEVALUE($A95),'recurring1_based on steps'!W$1:W$400,0)),W$2,)</f>
        <v>0</v>
      </c>
      <c r="X95" s="179">
        <f ca="1">IF(ISNUMBER(MATCH(DATEVALUE($A95),'recurring1_based on steps'!X$1:X$400,0)),X$2,)</f>
        <v>0</v>
      </c>
      <c r="Y95" s="179">
        <f ca="1">IF(ISNUMBER(MATCH(DATEVALUE($A95),'recurring1_based on steps'!Y$1:Y$400,0)),Y$2,)</f>
        <v>0</v>
      </c>
      <c r="Z95" s="179">
        <f ca="1">IF(ISNUMBER(MATCH(DATEVALUE($A95),'recurring1_based on steps'!Z$1:Z$400,0)),Z$2,)</f>
        <v>0</v>
      </c>
      <c r="AA95" s="179">
        <f ca="1">IF(ISNUMBER(MATCH(DATEVALUE($A95),'recurring1_based on steps'!AA$1:AA$400,0)),AA$2,)</f>
        <v>0</v>
      </c>
      <c r="AB95" s="179">
        <f ca="1">IF(ISNUMBER(MATCH(DATEVALUE($A95),'recurring1_based on steps'!AB$1:AB$400,0)),AB$2,)</f>
        <v>0</v>
      </c>
      <c r="AC95" s="179">
        <f ca="1">IF(ISNUMBER(MATCH(DATEVALUE($A95),'recurring1_based on steps'!AC$1:AC$400,0)),AC$2,)</f>
        <v>0</v>
      </c>
      <c r="AD95" s="179">
        <f ca="1">IF(ISNUMBER(MATCH(DATEVALUE($A95),'recurring1_based on steps'!AD$1:AD$400,0)),AD$2,)</f>
        <v>0</v>
      </c>
      <c r="AE95" s="179">
        <f ca="1">IF(ISNUMBER(MATCH(DATEVALUE($A95),'recurring1_based on steps'!AE$1:AE$400,0)),AE$2,)</f>
        <v>0</v>
      </c>
      <c r="AF95" s="179">
        <f ca="1">IF(ISNUMBER(MATCH(DATEVALUE($A95),'recurring1_based on steps'!AF$1:AF$400,0)),AF$2,)</f>
        <v>0</v>
      </c>
      <c r="AG95" s="179">
        <f ca="1">IF(ISNUMBER(MATCH(DATEVALUE($A95),'recurring1_based on steps'!AG$1:AG$400,0)),AG$2,)</f>
        <v>0</v>
      </c>
      <c r="AH95" s="179">
        <f ca="1">IF(ISNUMBER(MATCH(DATEVALUE($A95),'recurring1_based on steps'!AH$1:AH$400,0)),AH$2,)</f>
        <v>0</v>
      </c>
      <c r="AI95" s="179">
        <f ca="1">IF(ISNUMBER(MATCH(DATEVALUE($A95),'recurring1_based on steps'!AI$1:AI$400,0)),AI$2,)</f>
        <v>0</v>
      </c>
      <c r="AJ95" s="179">
        <f ca="1">IF(ISNUMBER(MATCH(DATEVALUE($A95),'recurring1_based on steps'!AJ$1:AJ$400,0)),AJ$2,)</f>
        <v>0</v>
      </c>
      <c r="AK95" s="179">
        <f ca="1">IF(ISNUMBER(MATCH(DATEVALUE($A95),'recurring1_based on steps'!AK$1:AK$400,0)),AK$2,)</f>
        <v>0</v>
      </c>
      <c r="AL95" s="179">
        <f ca="1">IF(ISNUMBER(MATCH(DATEVALUE($A95),'recurring1_based on steps'!AL$1:AL$400,0)),AL$2,)</f>
        <v>0</v>
      </c>
      <c r="AM95" s="179">
        <f ca="1">IF(ISNUMBER(MATCH(DATEVALUE($A95),'recurring1_based on steps'!AM$1:AM$400,0)),AM$2,)</f>
        <v>0</v>
      </c>
      <c r="AN95" s="179">
        <f ca="1">IF(ISNUMBER(MATCH(DATEVALUE($A95),'recurring1_based on steps'!AN$1:AN$400,0)),AN$2,)</f>
        <v>0</v>
      </c>
      <c r="AO95" s="179">
        <f ca="1">IF(ISNUMBER(MATCH(DATEVALUE($A95),'recurring1_based on steps'!AO$1:AO$400,0)),AO$2,)</f>
        <v>0</v>
      </c>
      <c r="AP95" s="179">
        <f ca="1">IF(ISNUMBER(MATCH(DATEVALUE($A95),'recurring1_based on steps'!AP$1:AP$400,0)),AP$2,)</f>
        <v>0</v>
      </c>
      <c r="AQ95" s="179">
        <f ca="1">IF(ISNUMBER(MATCH(DATEVALUE($A95),'recurring1_based on steps'!AQ$1:AQ$400,0)),AQ$2,)</f>
        <v>0</v>
      </c>
      <c r="AR95" s="179">
        <f ca="1">IF(ISNUMBER(MATCH(DATEVALUE($A95),'recurring1_based on steps'!AR$1:AR$400,0)),AR$2,)</f>
        <v>0</v>
      </c>
      <c r="AS95" s="179">
        <f ca="1">IF(ISNUMBER(MATCH(DATEVALUE($A95),'recurring1_based on steps'!AS$1:AS$400,0)),AS$2,)</f>
        <v>0</v>
      </c>
      <c r="AT95" s="179">
        <f ca="1">IF(ISNUMBER(MATCH(DATEVALUE($A95),'recurring1_based on steps'!AT$1:AT$400,0)),AT$2,)</f>
        <v>0</v>
      </c>
      <c r="AU95" s="179">
        <f ca="1">IF(ISNUMBER(MATCH(DATEVALUE($A95),'recurring1_based on steps'!AU$1:AU$400,0)),AU$2,)</f>
        <v>0</v>
      </c>
      <c r="AV95" s="179">
        <f ca="1">IF(ISNUMBER(MATCH(DATEVALUE($A95),'recurring1_based on steps'!AV$1:AV$400,0)),AV$2,)</f>
        <v>0</v>
      </c>
      <c r="AW95" s="179">
        <f ca="1">IF(ISNUMBER(MATCH(DATEVALUE($A95),'recurring1_based on steps'!AW$1:AW$400,0)),AW$2,)</f>
        <v>0</v>
      </c>
      <c r="AX95" s="179">
        <f ca="1">IF(ISNUMBER(MATCH(DATEVALUE($A95),'recurring1_based on steps'!AX$1:AX$400,0)),AX$2,)</f>
        <v>0</v>
      </c>
      <c r="AY95" s="179">
        <f ca="1">IF(ISNUMBER(MATCH(DATEVALUE($A95),'recurring1_based on steps'!AY$1:AY$400,0)),AY$2,)</f>
        <v>0</v>
      </c>
    </row>
    <row r="96" spans="1:51" x14ac:dyDescent="0.2">
      <c r="A96" s="32" t="str">
        <f t="shared" ca="1" si="1"/>
        <v>2025-07-07</v>
      </c>
      <c r="B96" s="179">
        <f ca="1">IF(ISNUMBER(MATCH(DATEVALUE($A96),'recurring1_based on steps'!B$1:B$400,0)),B$2,)</f>
        <v>0</v>
      </c>
      <c r="C96" s="179">
        <f ca="1">IF(ISNUMBER(MATCH(DATEVALUE($A96),'recurring1_based on steps'!C$1:C$400,0)),C$2,)</f>
        <v>0</v>
      </c>
      <c r="D96" s="179">
        <f ca="1">IF(ISNUMBER(MATCH(DATEVALUE($A96),'recurring1_based on steps'!D$1:D$400,0)),D$2,)</f>
        <v>0</v>
      </c>
      <c r="E96" s="179">
        <f ca="1">IF(ISNUMBER(MATCH(DATEVALUE($A96),'recurring1_based on steps'!E$1:E$400,0)),E$2,)</f>
        <v>0</v>
      </c>
      <c r="F96" s="179">
        <f ca="1">IF(ISNUMBER(MATCH(DATEVALUE($A96),'recurring1_based on steps'!F$1:F$400,0)),F$2,)</f>
        <v>0</v>
      </c>
      <c r="G96" s="179">
        <f ca="1">IF(ISNUMBER(MATCH(DATEVALUE($A96),'recurring1_based on steps'!G$1:G$400,0)),G$2,)</f>
        <v>0</v>
      </c>
      <c r="H96" s="179">
        <f ca="1">IF(ISNUMBER(MATCH(DATEVALUE($A96),'recurring1_based on steps'!H$1:H$400,0)),H$2,)</f>
        <v>0</v>
      </c>
      <c r="I96" s="179">
        <f ca="1">IF(ISNUMBER(MATCH(DATEVALUE($A96),'recurring1_based on steps'!I$1:I$400,0)),I$2,)</f>
        <v>0</v>
      </c>
      <c r="J96" s="179">
        <f ca="1">IF(ISNUMBER(MATCH(DATEVALUE($A96),'recurring1_based on steps'!J$1:J$400,0)),J$2,)</f>
        <v>0</v>
      </c>
      <c r="K96" s="179">
        <f ca="1">IF(ISNUMBER(MATCH(DATEVALUE($A96),'recurring1_based on steps'!K$1:K$400,0)),K$2,)</f>
        <v>0</v>
      </c>
      <c r="L96" s="179">
        <f ca="1">IF(ISNUMBER(MATCH(DATEVALUE($A96),'recurring1_based on steps'!L$1:L$400,0)),L$2,)</f>
        <v>0</v>
      </c>
      <c r="M96" s="179">
        <f ca="1">IF(ISNUMBER(MATCH(DATEVALUE($A96),'recurring1_based on steps'!M$1:M$400,0)),M$2,)</f>
        <v>0</v>
      </c>
      <c r="N96" s="179">
        <f ca="1">IF(ISNUMBER(MATCH(DATEVALUE($A96),'recurring1_based on steps'!N$1:N$400,0)),N$2,)</f>
        <v>0</v>
      </c>
      <c r="O96" s="179">
        <f ca="1">IF(ISNUMBER(MATCH(DATEVALUE($A96),'recurring1_based on steps'!O$1:O$400,0)),O$2,)</f>
        <v>0</v>
      </c>
      <c r="P96" s="179">
        <f ca="1">IF(ISNUMBER(MATCH(DATEVALUE($A96),'recurring1_based on steps'!P$1:P$400,0)),P$2,)</f>
        <v>0</v>
      </c>
      <c r="Q96" s="179">
        <f ca="1">IF(ISNUMBER(MATCH(DATEVALUE($A96),'recurring1_based on steps'!Q$1:Q$400,0)),Q$2,)</f>
        <v>0</v>
      </c>
      <c r="R96" s="179">
        <f ca="1">IF(ISNUMBER(MATCH(DATEVALUE($A96),'recurring1_based on steps'!R$1:R$400,0)),R$2,)</f>
        <v>0</v>
      </c>
      <c r="S96" s="179">
        <f ca="1">IF(ISNUMBER(MATCH(DATEVALUE($A96),'recurring1_based on steps'!S$1:S$400,0)),S$2,)</f>
        <v>0</v>
      </c>
      <c r="T96" s="179">
        <f ca="1">IF(ISNUMBER(MATCH(DATEVALUE($A96),'recurring1_based on steps'!T$1:T$400,0)),T$2,)</f>
        <v>0</v>
      </c>
      <c r="U96" s="179">
        <f ca="1">IF(ISNUMBER(MATCH(DATEVALUE($A96),'recurring1_based on steps'!U$1:U$400,0)),U$2,)</f>
        <v>0</v>
      </c>
      <c r="V96" s="179">
        <f ca="1">IF(ISNUMBER(MATCH(DATEVALUE($A96),'recurring1_based on steps'!V$1:V$400,0)),V$2,)</f>
        <v>0</v>
      </c>
      <c r="W96" s="179">
        <f ca="1">IF(ISNUMBER(MATCH(DATEVALUE($A96),'recurring1_based on steps'!W$1:W$400,0)),W$2,)</f>
        <v>0</v>
      </c>
      <c r="X96" s="179">
        <f ca="1">IF(ISNUMBER(MATCH(DATEVALUE($A96),'recurring1_based on steps'!X$1:X$400,0)),X$2,)</f>
        <v>0</v>
      </c>
      <c r="Y96" s="179">
        <f ca="1">IF(ISNUMBER(MATCH(DATEVALUE($A96),'recurring1_based on steps'!Y$1:Y$400,0)),Y$2,)</f>
        <v>0</v>
      </c>
      <c r="Z96" s="179">
        <f ca="1">IF(ISNUMBER(MATCH(DATEVALUE($A96),'recurring1_based on steps'!Z$1:Z$400,0)),Z$2,)</f>
        <v>0</v>
      </c>
      <c r="AA96" s="179">
        <f ca="1">IF(ISNUMBER(MATCH(DATEVALUE($A96),'recurring1_based on steps'!AA$1:AA$400,0)),AA$2,)</f>
        <v>0</v>
      </c>
      <c r="AB96" s="179">
        <f ca="1">IF(ISNUMBER(MATCH(DATEVALUE($A96),'recurring1_based on steps'!AB$1:AB$400,0)),AB$2,)</f>
        <v>0</v>
      </c>
      <c r="AC96" s="179">
        <f ca="1">IF(ISNUMBER(MATCH(DATEVALUE($A96),'recurring1_based on steps'!AC$1:AC$400,0)),AC$2,)</f>
        <v>0</v>
      </c>
      <c r="AD96" s="179">
        <f ca="1">IF(ISNUMBER(MATCH(DATEVALUE($A96),'recurring1_based on steps'!AD$1:AD$400,0)),AD$2,)</f>
        <v>0</v>
      </c>
      <c r="AE96" s="179">
        <f ca="1">IF(ISNUMBER(MATCH(DATEVALUE($A96),'recurring1_based on steps'!AE$1:AE$400,0)),AE$2,)</f>
        <v>0</v>
      </c>
      <c r="AF96" s="179">
        <f ca="1">IF(ISNUMBER(MATCH(DATEVALUE($A96),'recurring1_based on steps'!AF$1:AF$400,0)),AF$2,)</f>
        <v>0</v>
      </c>
      <c r="AG96" s="179">
        <f ca="1">IF(ISNUMBER(MATCH(DATEVALUE($A96),'recurring1_based on steps'!AG$1:AG$400,0)),AG$2,)</f>
        <v>0</v>
      </c>
      <c r="AH96" s="179">
        <f ca="1">IF(ISNUMBER(MATCH(DATEVALUE($A96),'recurring1_based on steps'!AH$1:AH$400,0)),AH$2,)</f>
        <v>0</v>
      </c>
      <c r="AI96" s="179">
        <f ca="1">IF(ISNUMBER(MATCH(DATEVALUE($A96),'recurring1_based on steps'!AI$1:AI$400,0)),AI$2,)</f>
        <v>0</v>
      </c>
      <c r="AJ96" s="179">
        <f ca="1">IF(ISNUMBER(MATCH(DATEVALUE($A96),'recurring1_based on steps'!AJ$1:AJ$400,0)),AJ$2,)</f>
        <v>0</v>
      </c>
      <c r="AK96" s="179">
        <f ca="1">IF(ISNUMBER(MATCH(DATEVALUE($A96),'recurring1_based on steps'!AK$1:AK$400,0)),AK$2,)</f>
        <v>0</v>
      </c>
      <c r="AL96" s="179">
        <f ca="1">IF(ISNUMBER(MATCH(DATEVALUE($A96),'recurring1_based on steps'!AL$1:AL$400,0)),AL$2,)</f>
        <v>0</v>
      </c>
      <c r="AM96" s="179">
        <f ca="1">IF(ISNUMBER(MATCH(DATEVALUE($A96),'recurring1_based on steps'!AM$1:AM$400,0)),AM$2,)</f>
        <v>0</v>
      </c>
      <c r="AN96" s="179">
        <f ca="1">IF(ISNUMBER(MATCH(DATEVALUE($A96),'recurring1_based on steps'!AN$1:AN$400,0)),AN$2,)</f>
        <v>0</v>
      </c>
      <c r="AO96" s="179">
        <f ca="1">IF(ISNUMBER(MATCH(DATEVALUE($A96),'recurring1_based on steps'!AO$1:AO$400,0)),AO$2,)</f>
        <v>0</v>
      </c>
      <c r="AP96" s="179">
        <f ca="1">IF(ISNUMBER(MATCH(DATEVALUE($A96),'recurring1_based on steps'!AP$1:AP$400,0)),AP$2,)</f>
        <v>0</v>
      </c>
      <c r="AQ96" s="179">
        <f ca="1">IF(ISNUMBER(MATCH(DATEVALUE($A96),'recurring1_based on steps'!AQ$1:AQ$400,0)),AQ$2,)</f>
        <v>0</v>
      </c>
      <c r="AR96" s="179">
        <f ca="1">IF(ISNUMBER(MATCH(DATEVALUE($A96),'recurring1_based on steps'!AR$1:AR$400,0)),AR$2,)</f>
        <v>0</v>
      </c>
      <c r="AS96" s="179">
        <f ca="1">IF(ISNUMBER(MATCH(DATEVALUE($A96),'recurring1_based on steps'!AS$1:AS$400,0)),AS$2,)</f>
        <v>0</v>
      </c>
      <c r="AT96" s="179">
        <f ca="1">IF(ISNUMBER(MATCH(DATEVALUE($A96),'recurring1_based on steps'!AT$1:AT$400,0)),AT$2,)</f>
        <v>0</v>
      </c>
      <c r="AU96" s="179">
        <f ca="1">IF(ISNUMBER(MATCH(DATEVALUE($A96),'recurring1_based on steps'!AU$1:AU$400,0)),AU$2,)</f>
        <v>0</v>
      </c>
      <c r="AV96" s="179">
        <f ca="1">IF(ISNUMBER(MATCH(DATEVALUE($A96),'recurring1_based on steps'!AV$1:AV$400,0)),AV$2,)</f>
        <v>0</v>
      </c>
      <c r="AW96" s="179">
        <f ca="1">IF(ISNUMBER(MATCH(DATEVALUE($A96),'recurring1_based on steps'!AW$1:AW$400,0)),AW$2,)</f>
        <v>0</v>
      </c>
      <c r="AX96" s="179">
        <f ca="1">IF(ISNUMBER(MATCH(DATEVALUE($A96),'recurring1_based on steps'!AX$1:AX$400,0)),AX$2,)</f>
        <v>0</v>
      </c>
      <c r="AY96" s="179">
        <f ca="1">IF(ISNUMBER(MATCH(DATEVALUE($A96),'recurring1_based on steps'!AY$1:AY$400,0)),AY$2,)</f>
        <v>0</v>
      </c>
    </row>
    <row r="97" spans="1:51" x14ac:dyDescent="0.2">
      <c r="A97" s="32" t="str">
        <f t="shared" ca="1" si="1"/>
        <v>2025-07-08</v>
      </c>
      <c r="B97" s="179">
        <f ca="1">IF(ISNUMBER(MATCH(DATEVALUE($A97),'recurring1_based on steps'!B$1:B$400,0)),B$2,)</f>
        <v>0</v>
      </c>
      <c r="C97" s="179">
        <f ca="1">IF(ISNUMBER(MATCH(DATEVALUE($A97),'recurring1_based on steps'!C$1:C$400,0)),C$2,)</f>
        <v>0</v>
      </c>
      <c r="D97" s="179">
        <f ca="1">IF(ISNUMBER(MATCH(DATEVALUE($A97),'recurring1_based on steps'!D$1:D$400,0)),D$2,)</f>
        <v>0</v>
      </c>
      <c r="E97" s="179">
        <f ca="1">IF(ISNUMBER(MATCH(DATEVALUE($A97),'recurring1_based on steps'!E$1:E$400,0)),E$2,)</f>
        <v>0</v>
      </c>
      <c r="F97" s="179">
        <f ca="1">IF(ISNUMBER(MATCH(DATEVALUE($A97),'recurring1_based on steps'!F$1:F$400,0)),F$2,)</f>
        <v>0</v>
      </c>
      <c r="G97" s="179">
        <f ca="1">IF(ISNUMBER(MATCH(DATEVALUE($A97),'recurring1_based on steps'!G$1:G$400,0)),G$2,)</f>
        <v>0</v>
      </c>
      <c r="H97" s="179">
        <f ca="1">IF(ISNUMBER(MATCH(DATEVALUE($A97),'recurring1_based on steps'!H$1:H$400,0)),H$2,)</f>
        <v>0</v>
      </c>
      <c r="I97" s="179">
        <f ca="1">IF(ISNUMBER(MATCH(DATEVALUE($A97),'recurring1_based on steps'!I$1:I$400,0)),I$2,)</f>
        <v>0</v>
      </c>
      <c r="J97" s="179">
        <f ca="1">IF(ISNUMBER(MATCH(DATEVALUE($A97),'recurring1_based on steps'!J$1:J$400,0)),J$2,)</f>
        <v>0</v>
      </c>
      <c r="K97" s="179">
        <f ca="1">IF(ISNUMBER(MATCH(DATEVALUE($A97),'recurring1_based on steps'!K$1:K$400,0)),K$2,)</f>
        <v>0</v>
      </c>
      <c r="L97" s="179">
        <f ca="1">IF(ISNUMBER(MATCH(DATEVALUE($A97),'recurring1_based on steps'!L$1:L$400,0)),L$2,)</f>
        <v>0</v>
      </c>
      <c r="M97" s="179">
        <f ca="1">IF(ISNUMBER(MATCH(DATEVALUE($A97),'recurring1_based on steps'!M$1:M$400,0)),M$2,)</f>
        <v>0</v>
      </c>
      <c r="N97" s="179">
        <f ca="1">IF(ISNUMBER(MATCH(DATEVALUE($A97),'recurring1_based on steps'!N$1:N$400,0)),N$2,)</f>
        <v>0</v>
      </c>
      <c r="O97" s="179">
        <f ca="1">IF(ISNUMBER(MATCH(DATEVALUE($A97),'recurring1_based on steps'!O$1:O$400,0)),O$2,)</f>
        <v>0</v>
      </c>
      <c r="P97" s="179">
        <f ca="1">IF(ISNUMBER(MATCH(DATEVALUE($A97),'recurring1_based on steps'!P$1:P$400,0)),P$2,)</f>
        <v>0</v>
      </c>
      <c r="Q97" s="179">
        <f ca="1">IF(ISNUMBER(MATCH(DATEVALUE($A97),'recurring1_based on steps'!Q$1:Q$400,0)),Q$2,)</f>
        <v>0</v>
      </c>
      <c r="R97" s="179">
        <f ca="1">IF(ISNUMBER(MATCH(DATEVALUE($A97),'recurring1_based on steps'!R$1:R$400,0)),R$2,)</f>
        <v>0</v>
      </c>
      <c r="S97" s="179">
        <f ca="1">IF(ISNUMBER(MATCH(DATEVALUE($A97),'recurring1_based on steps'!S$1:S$400,0)),S$2,)</f>
        <v>0</v>
      </c>
      <c r="T97" s="179">
        <f ca="1">IF(ISNUMBER(MATCH(DATEVALUE($A97),'recurring1_based on steps'!T$1:T$400,0)),T$2,)</f>
        <v>0</v>
      </c>
      <c r="U97" s="179">
        <f ca="1">IF(ISNUMBER(MATCH(DATEVALUE($A97),'recurring1_based on steps'!U$1:U$400,0)),U$2,)</f>
        <v>0</v>
      </c>
      <c r="V97" s="179">
        <f ca="1">IF(ISNUMBER(MATCH(DATEVALUE($A97),'recurring1_based on steps'!V$1:V$400,0)),V$2,)</f>
        <v>0</v>
      </c>
      <c r="W97" s="179">
        <f ca="1">IF(ISNUMBER(MATCH(DATEVALUE($A97),'recurring1_based on steps'!W$1:W$400,0)),W$2,)</f>
        <v>0</v>
      </c>
      <c r="X97" s="179">
        <f ca="1">IF(ISNUMBER(MATCH(DATEVALUE($A97),'recurring1_based on steps'!X$1:X$400,0)),X$2,)</f>
        <v>0</v>
      </c>
      <c r="Y97" s="179">
        <f ca="1">IF(ISNUMBER(MATCH(DATEVALUE($A97),'recurring1_based on steps'!Y$1:Y$400,0)),Y$2,)</f>
        <v>0</v>
      </c>
      <c r="Z97" s="179">
        <f ca="1">IF(ISNUMBER(MATCH(DATEVALUE($A97),'recurring1_based on steps'!Z$1:Z$400,0)),Z$2,)</f>
        <v>0</v>
      </c>
      <c r="AA97" s="179">
        <f ca="1">IF(ISNUMBER(MATCH(DATEVALUE($A97),'recurring1_based on steps'!AA$1:AA$400,0)),AA$2,)</f>
        <v>0</v>
      </c>
      <c r="AB97" s="179">
        <f ca="1">IF(ISNUMBER(MATCH(DATEVALUE($A97),'recurring1_based on steps'!AB$1:AB$400,0)),AB$2,)</f>
        <v>0</v>
      </c>
      <c r="AC97" s="179">
        <f ca="1">IF(ISNUMBER(MATCH(DATEVALUE($A97),'recurring1_based on steps'!AC$1:AC$400,0)),AC$2,)</f>
        <v>0</v>
      </c>
      <c r="AD97" s="179">
        <f ca="1">IF(ISNUMBER(MATCH(DATEVALUE($A97),'recurring1_based on steps'!AD$1:AD$400,0)),AD$2,)</f>
        <v>0</v>
      </c>
      <c r="AE97" s="179">
        <f ca="1">IF(ISNUMBER(MATCH(DATEVALUE($A97),'recurring1_based on steps'!AE$1:AE$400,0)),AE$2,)</f>
        <v>0</v>
      </c>
      <c r="AF97" s="179">
        <f ca="1">IF(ISNUMBER(MATCH(DATEVALUE($A97),'recurring1_based on steps'!AF$1:AF$400,0)),AF$2,)</f>
        <v>0</v>
      </c>
      <c r="AG97" s="179">
        <f ca="1">IF(ISNUMBER(MATCH(DATEVALUE($A97),'recurring1_based on steps'!AG$1:AG$400,0)),AG$2,)</f>
        <v>0</v>
      </c>
      <c r="AH97" s="179">
        <f ca="1">IF(ISNUMBER(MATCH(DATEVALUE($A97),'recurring1_based on steps'!AH$1:AH$400,0)),AH$2,)</f>
        <v>0</v>
      </c>
      <c r="AI97" s="179">
        <f ca="1">IF(ISNUMBER(MATCH(DATEVALUE($A97),'recurring1_based on steps'!AI$1:AI$400,0)),AI$2,)</f>
        <v>0</v>
      </c>
      <c r="AJ97" s="179">
        <f ca="1">IF(ISNUMBER(MATCH(DATEVALUE($A97),'recurring1_based on steps'!AJ$1:AJ$400,0)),AJ$2,)</f>
        <v>0</v>
      </c>
      <c r="AK97" s="179">
        <f ca="1">IF(ISNUMBER(MATCH(DATEVALUE($A97),'recurring1_based on steps'!AK$1:AK$400,0)),AK$2,)</f>
        <v>0</v>
      </c>
      <c r="AL97" s="179">
        <f ca="1">IF(ISNUMBER(MATCH(DATEVALUE($A97),'recurring1_based on steps'!AL$1:AL$400,0)),AL$2,)</f>
        <v>0</v>
      </c>
      <c r="AM97" s="179">
        <f ca="1">IF(ISNUMBER(MATCH(DATEVALUE($A97),'recurring1_based on steps'!AM$1:AM$400,0)),AM$2,)</f>
        <v>0</v>
      </c>
      <c r="AN97" s="179">
        <f ca="1">IF(ISNUMBER(MATCH(DATEVALUE($A97),'recurring1_based on steps'!AN$1:AN$400,0)),AN$2,)</f>
        <v>0</v>
      </c>
      <c r="AO97" s="179">
        <f ca="1">IF(ISNUMBER(MATCH(DATEVALUE($A97),'recurring1_based on steps'!AO$1:AO$400,0)),AO$2,)</f>
        <v>0</v>
      </c>
      <c r="AP97" s="179">
        <f ca="1">IF(ISNUMBER(MATCH(DATEVALUE($A97),'recurring1_based on steps'!AP$1:AP$400,0)),AP$2,)</f>
        <v>0</v>
      </c>
      <c r="AQ97" s="179">
        <f ca="1">IF(ISNUMBER(MATCH(DATEVALUE($A97),'recurring1_based on steps'!AQ$1:AQ$400,0)),AQ$2,)</f>
        <v>0</v>
      </c>
      <c r="AR97" s="179">
        <f ca="1">IF(ISNUMBER(MATCH(DATEVALUE($A97),'recurring1_based on steps'!AR$1:AR$400,0)),AR$2,)</f>
        <v>0</v>
      </c>
      <c r="AS97" s="179">
        <f ca="1">IF(ISNUMBER(MATCH(DATEVALUE($A97),'recurring1_based on steps'!AS$1:AS$400,0)),AS$2,)</f>
        <v>0</v>
      </c>
      <c r="AT97" s="179">
        <f ca="1">IF(ISNUMBER(MATCH(DATEVALUE($A97),'recurring1_based on steps'!AT$1:AT$400,0)),AT$2,)</f>
        <v>0</v>
      </c>
      <c r="AU97" s="179">
        <f ca="1">IF(ISNUMBER(MATCH(DATEVALUE($A97),'recurring1_based on steps'!AU$1:AU$400,0)),AU$2,)</f>
        <v>0</v>
      </c>
      <c r="AV97" s="179">
        <f ca="1">IF(ISNUMBER(MATCH(DATEVALUE($A97),'recurring1_based on steps'!AV$1:AV$400,0)),AV$2,)</f>
        <v>0</v>
      </c>
      <c r="AW97" s="179">
        <f ca="1">IF(ISNUMBER(MATCH(DATEVALUE($A97),'recurring1_based on steps'!AW$1:AW$400,0)),AW$2,)</f>
        <v>0</v>
      </c>
      <c r="AX97" s="179">
        <f ca="1">IF(ISNUMBER(MATCH(DATEVALUE($A97),'recurring1_based on steps'!AX$1:AX$400,0)),AX$2,)</f>
        <v>0</v>
      </c>
      <c r="AY97" s="179">
        <f ca="1">IF(ISNUMBER(MATCH(DATEVALUE($A97),'recurring1_based on steps'!AY$1:AY$400,0)),AY$2,)</f>
        <v>0</v>
      </c>
    </row>
    <row r="98" spans="1:51" x14ac:dyDescent="0.2">
      <c r="A98" s="32" t="str">
        <f t="shared" ca="1" si="1"/>
        <v>2025-07-09</v>
      </c>
      <c r="B98" s="179">
        <f ca="1">IF(ISNUMBER(MATCH(DATEVALUE($A98),'recurring1_based on steps'!B$1:B$400,0)),B$2,)</f>
        <v>0</v>
      </c>
      <c r="C98" s="179">
        <f ca="1">IF(ISNUMBER(MATCH(DATEVALUE($A98),'recurring1_based on steps'!C$1:C$400,0)),C$2,)</f>
        <v>0</v>
      </c>
      <c r="D98" s="179">
        <f ca="1">IF(ISNUMBER(MATCH(DATEVALUE($A98),'recurring1_based on steps'!D$1:D$400,0)),D$2,)</f>
        <v>0</v>
      </c>
      <c r="E98" s="179">
        <f ca="1">IF(ISNUMBER(MATCH(DATEVALUE($A98),'recurring1_based on steps'!E$1:E$400,0)),E$2,)</f>
        <v>0</v>
      </c>
      <c r="F98" s="179">
        <f ca="1">IF(ISNUMBER(MATCH(DATEVALUE($A98),'recurring1_based on steps'!F$1:F$400,0)),F$2,)</f>
        <v>0</v>
      </c>
      <c r="G98" s="179">
        <f ca="1">IF(ISNUMBER(MATCH(DATEVALUE($A98),'recurring1_based on steps'!G$1:G$400,0)),G$2,)</f>
        <v>0</v>
      </c>
      <c r="H98" s="179">
        <f ca="1">IF(ISNUMBER(MATCH(DATEVALUE($A98),'recurring1_based on steps'!H$1:H$400,0)),H$2,)</f>
        <v>0</v>
      </c>
      <c r="I98" s="179">
        <f ca="1">IF(ISNUMBER(MATCH(DATEVALUE($A98),'recurring1_based on steps'!I$1:I$400,0)),I$2,)</f>
        <v>0</v>
      </c>
      <c r="J98" s="179">
        <f ca="1">IF(ISNUMBER(MATCH(DATEVALUE($A98),'recurring1_based on steps'!J$1:J$400,0)),J$2,)</f>
        <v>0</v>
      </c>
      <c r="K98" s="179">
        <f ca="1">IF(ISNUMBER(MATCH(DATEVALUE($A98),'recurring1_based on steps'!K$1:K$400,0)),K$2,)</f>
        <v>0</v>
      </c>
      <c r="L98" s="179">
        <f ca="1">IF(ISNUMBER(MATCH(DATEVALUE($A98),'recurring1_based on steps'!L$1:L$400,0)),L$2,)</f>
        <v>0</v>
      </c>
      <c r="M98" s="179">
        <f ca="1">IF(ISNUMBER(MATCH(DATEVALUE($A98),'recurring1_based on steps'!M$1:M$400,0)),M$2,)</f>
        <v>0</v>
      </c>
      <c r="N98" s="179">
        <f ca="1">IF(ISNUMBER(MATCH(DATEVALUE($A98),'recurring1_based on steps'!N$1:N$400,0)),N$2,)</f>
        <v>0</v>
      </c>
      <c r="O98" s="179">
        <f ca="1">IF(ISNUMBER(MATCH(DATEVALUE($A98),'recurring1_based on steps'!O$1:O$400,0)),O$2,)</f>
        <v>0</v>
      </c>
      <c r="P98" s="179">
        <f ca="1">IF(ISNUMBER(MATCH(DATEVALUE($A98),'recurring1_based on steps'!P$1:P$400,0)),P$2,)</f>
        <v>0</v>
      </c>
      <c r="Q98" s="179">
        <f ca="1">IF(ISNUMBER(MATCH(DATEVALUE($A98),'recurring1_based on steps'!Q$1:Q$400,0)),Q$2,)</f>
        <v>0</v>
      </c>
      <c r="R98" s="179">
        <f ca="1">IF(ISNUMBER(MATCH(DATEVALUE($A98),'recurring1_based on steps'!R$1:R$400,0)),R$2,)</f>
        <v>0</v>
      </c>
      <c r="S98" s="179">
        <f ca="1">IF(ISNUMBER(MATCH(DATEVALUE($A98),'recurring1_based on steps'!S$1:S$400,0)),S$2,)</f>
        <v>0</v>
      </c>
      <c r="T98" s="179">
        <f ca="1">IF(ISNUMBER(MATCH(DATEVALUE($A98),'recurring1_based on steps'!T$1:T$400,0)),T$2,)</f>
        <v>0</v>
      </c>
      <c r="U98" s="179">
        <f ca="1">IF(ISNUMBER(MATCH(DATEVALUE($A98),'recurring1_based on steps'!U$1:U$400,0)),U$2,)</f>
        <v>0</v>
      </c>
      <c r="V98" s="179">
        <f ca="1">IF(ISNUMBER(MATCH(DATEVALUE($A98),'recurring1_based on steps'!V$1:V$400,0)),V$2,)</f>
        <v>0</v>
      </c>
      <c r="W98" s="179">
        <f ca="1">IF(ISNUMBER(MATCH(DATEVALUE($A98),'recurring1_based on steps'!W$1:W$400,0)),W$2,)</f>
        <v>0</v>
      </c>
      <c r="X98" s="179">
        <f ca="1">IF(ISNUMBER(MATCH(DATEVALUE($A98),'recurring1_based on steps'!X$1:X$400,0)),X$2,)</f>
        <v>0</v>
      </c>
      <c r="Y98" s="179">
        <f ca="1">IF(ISNUMBER(MATCH(DATEVALUE($A98),'recurring1_based on steps'!Y$1:Y$400,0)),Y$2,)</f>
        <v>0</v>
      </c>
      <c r="Z98" s="179">
        <f ca="1">IF(ISNUMBER(MATCH(DATEVALUE($A98),'recurring1_based on steps'!Z$1:Z$400,0)),Z$2,)</f>
        <v>0</v>
      </c>
      <c r="AA98" s="179">
        <f ca="1">IF(ISNUMBER(MATCH(DATEVALUE($A98),'recurring1_based on steps'!AA$1:AA$400,0)),AA$2,)</f>
        <v>0</v>
      </c>
      <c r="AB98" s="179">
        <f ca="1">IF(ISNUMBER(MATCH(DATEVALUE($A98),'recurring1_based on steps'!AB$1:AB$400,0)),AB$2,)</f>
        <v>0</v>
      </c>
      <c r="AC98" s="179">
        <f ca="1">IF(ISNUMBER(MATCH(DATEVALUE($A98),'recurring1_based on steps'!AC$1:AC$400,0)),AC$2,)</f>
        <v>0</v>
      </c>
      <c r="AD98" s="179">
        <f ca="1">IF(ISNUMBER(MATCH(DATEVALUE($A98),'recurring1_based on steps'!AD$1:AD$400,0)),AD$2,)</f>
        <v>0</v>
      </c>
      <c r="AE98" s="179">
        <f ca="1">IF(ISNUMBER(MATCH(DATEVALUE($A98),'recurring1_based on steps'!AE$1:AE$400,0)),AE$2,)</f>
        <v>0</v>
      </c>
      <c r="AF98" s="179">
        <f ca="1">IF(ISNUMBER(MATCH(DATEVALUE($A98),'recurring1_based on steps'!AF$1:AF$400,0)),AF$2,)</f>
        <v>0</v>
      </c>
      <c r="AG98" s="179">
        <f ca="1">IF(ISNUMBER(MATCH(DATEVALUE($A98),'recurring1_based on steps'!AG$1:AG$400,0)),AG$2,)</f>
        <v>0</v>
      </c>
      <c r="AH98" s="179">
        <f ca="1">IF(ISNUMBER(MATCH(DATEVALUE($A98),'recurring1_based on steps'!AH$1:AH$400,0)),AH$2,)</f>
        <v>0</v>
      </c>
      <c r="AI98" s="179">
        <f ca="1">IF(ISNUMBER(MATCH(DATEVALUE($A98),'recurring1_based on steps'!AI$1:AI$400,0)),AI$2,)</f>
        <v>0</v>
      </c>
      <c r="AJ98" s="179">
        <f ca="1">IF(ISNUMBER(MATCH(DATEVALUE($A98),'recurring1_based on steps'!AJ$1:AJ$400,0)),AJ$2,)</f>
        <v>0</v>
      </c>
      <c r="AK98" s="179">
        <f ca="1">IF(ISNUMBER(MATCH(DATEVALUE($A98),'recurring1_based on steps'!AK$1:AK$400,0)),AK$2,)</f>
        <v>0</v>
      </c>
      <c r="AL98" s="179">
        <f ca="1">IF(ISNUMBER(MATCH(DATEVALUE($A98),'recurring1_based on steps'!AL$1:AL$400,0)),AL$2,)</f>
        <v>0</v>
      </c>
      <c r="AM98" s="179">
        <f ca="1">IF(ISNUMBER(MATCH(DATEVALUE($A98),'recurring1_based on steps'!AM$1:AM$400,0)),AM$2,)</f>
        <v>0</v>
      </c>
      <c r="AN98" s="179">
        <f ca="1">IF(ISNUMBER(MATCH(DATEVALUE($A98),'recurring1_based on steps'!AN$1:AN$400,0)),AN$2,)</f>
        <v>0</v>
      </c>
      <c r="AO98" s="179">
        <f ca="1">IF(ISNUMBER(MATCH(DATEVALUE($A98),'recurring1_based on steps'!AO$1:AO$400,0)),AO$2,)</f>
        <v>0</v>
      </c>
      <c r="AP98" s="179">
        <f ca="1">IF(ISNUMBER(MATCH(DATEVALUE($A98),'recurring1_based on steps'!AP$1:AP$400,0)),AP$2,)</f>
        <v>0</v>
      </c>
      <c r="AQ98" s="179">
        <f ca="1">IF(ISNUMBER(MATCH(DATEVALUE($A98),'recurring1_based on steps'!AQ$1:AQ$400,0)),AQ$2,)</f>
        <v>0</v>
      </c>
      <c r="AR98" s="179">
        <f ca="1">IF(ISNUMBER(MATCH(DATEVALUE($A98),'recurring1_based on steps'!AR$1:AR$400,0)),AR$2,)</f>
        <v>0</v>
      </c>
      <c r="AS98" s="179">
        <f ca="1">IF(ISNUMBER(MATCH(DATEVALUE($A98),'recurring1_based on steps'!AS$1:AS$400,0)),AS$2,)</f>
        <v>0</v>
      </c>
      <c r="AT98" s="179">
        <f ca="1">IF(ISNUMBER(MATCH(DATEVALUE($A98),'recurring1_based on steps'!AT$1:AT$400,0)),AT$2,)</f>
        <v>0</v>
      </c>
      <c r="AU98" s="179">
        <f ca="1">IF(ISNUMBER(MATCH(DATEVALUE($A98),'recurring1_based on steps'!AU$1:AU$400,0)),AU$2,)</f>
        <v>0</v>
      </c>
      <c r="AV98" s="179">
        <f ca="1">IF(ISNUMBER(MATCH(DATEVALUE($A98),'recurring1_based on steps'!AV$1:AV$400,0)),AV$2,)</f>
        <v>0</v>
      </c>
      <c r="AW98" s="179">
        <f ca="1">IF(ISNUMBER(MATCH(DATEVALUE($A98),'recurring1_based on steps'!AW$1:AW$400,0)),AW$2,)</f>
        <v>0</v>
      </c>
      <c r="AX98" s="179">
        <f ca="1">IF(ISNUMBER(MATCH(DATEVALUE($A98),'recurring1_based on steps'!AX$1:AX$400,0)),AX$2,)</f>
        <v>0</v>
      </c>
      <c r="AY98" s="179">
        <f ca="1">IF(ISNUMBER(MATCH(DATEVALUE($A98),'recurring1_based on steps'!AY$1:AY$400,0)),AY$2,)</f>
        <v>0</v>
      </c>
    </row>
    <row r="99" spans="1:51" x14ac:dyDescent="0.2">
      <c r="A99" s="32" t="str">
        <f t="shared" ca="1" si="1"/>
        <v>2025-07-10</v>
      </c>
      <c r="B99" s="179">
        <f ca="1">IF(ISNUMBER(MATCH(DATEVALUE($A99),'recurring1_based on steps'!B$1:B$400,0)),B$2,)</f>
        <v>0</v>
      </c>
      <c r="C99" s="179">
        <f ca="1">IF(ISNUMBER(MATCH(DATEVALUE($A99),'recurring1_based on steps'!C$1:C$400,0)),C$2,)</f>
        <v>0</v>
      </c>
      <c r="D99" s="179">
        <f ca="1">IF(ISNUMBER(MATCH(DATEVALUE($A99),'recurring1_based on steps'!D$1:D$400,0)),D$2,)</f>
        <v>0</v>
      </c>
      <c r="E99" s="179">
        <f ca="1">IF(ISNUMBER(MATCH(DATEVALUE($A99),'recurring1_based on steps'!E$1:E$400,0)),E$2,)</f>
        <v>0</v>
      </c>
      <c r="F99" s="179">
        <f ca="1">IF(ISNUMBER(MATCH(DATEVALUE($A99),'recurring1_based on steps'!F$1:F$400,0)),F$2,)</f>
        <v>0</v>
      </c>
      <c r="G99" s="179">
        <f ca="1">IF(ISNUMBER(MATCH(DATEVALUE($A99),'recurring1_based on steps'!G$1:G$400,0)),G$2,)</f>
        <v>0</v>
      </c>
      <c r="H99" s="179">
        <f ca="1">IF(ISNUMBER(MATCH(DATEVALUE($A99),'recurring1_based on steps'!H$1:H$400,0)),H$2,)</f>
        <v>0</v>
      </c>
      <c r="I99" s="179">
        <f ca="1">IF(ISNUMBER(MATCH(DATEVALUE($A99),'recurring1_based on steps'!I$1:I$400,0)),I$2,)</f>
        <v>0</v>
      </c>
      <c r="J99" s="179">
        <f ca="1">IF(ISNUMBER(MATCH(DATEVALUE($A99),'recurring1_based on steps'!J$1:J$400,0)),J$2,)</f>
        <v>0</v>
      </c>
      <c r="K99" s="179">
        <f ca="1">IF(ISNUMBER(MATCH(DATEVALUE($A99),'recurring1_based on steps'!K$1:K$400,0)),K$2,)</f>
        <v>0</v>
      </c>
      <c r="L99" s="179">
        <f ca="1">IF(ISNUMBER(MATCH(DATEVALUE($A99),'recurring1_based on steps'!L$1:L$400,0)),L$2,)</f>
        <v>0</v>
      </c>
      <c r="M99" s="179">
        <f ca="1">IF(ISNUMBER(MATCH(DATEVALUE($A99),'recurring1_based on steps'!M$1:M$400,0)),M$2,)</f>
        <v>0</v>
      </c>
      <c r="N99" s="179">
        <f ca="1">IF(ISNUMBER(MATCH(DATEVALUE($A99),'recurring1_based on steps'!N$1:N$400,0)),N$2,)</f>
        <v>0</v>
      </c>
      <c r="O99" s="179">
        <f ca="1">IF(ISNUMBER(MATCH(DATEVALUE($A99),'recurring1_based on steps'!O$1:O$400,0)),O$2,)</f>
        <v>0</v>
      </c>
      <c r="P99" s="179">
        <f ca="1">IF(ISNUMBER(MATCH(DATEVALUE($A99),'recurring1_based on steps'!P$1:P$400,0)),P$2,)</f>
        <v>0</v>
      </c>
      <c r="Q99" s="179">
        <f ca="1">IF(ISNUMBER(MATCH(DATEVALUE($A99),'recurring1_based on steps'!Q$1:Q$400,0)),Q$2,)</f>
        <v>0</v>
      </c>
      <c r="R99" s="179">
        <f ca="1">IF(ISNUMBER(MATCH(DATEVALUE($A99),'recurring1_based on steps'!R$1:R$400,0)),R$2,)</f>
        <v>0</v>
      </c>
      <c r="S99" s="179">
        <f ca="1">IF(ISNUMBER(MATCH(DATEVALUE($A99),'recurring1_based on steps'!S$1:S$400,0)),S$2,)</f>
        <v>0</v>
      </c>
      <c r="T99" s="179">
        <f ca="1">IF(ISNUMBER(MATCH(DATEVALUE($A99),'recurring1_based on steps'!T$1:T$400,0)),T$2,)</f>
        <v>0</v>
      </c>
      <c r="U99" s="179">
        <f ca="1">IF(ISNUMBER(MATCH(DATEVALUE($A99),'recurring1_based on steps'!U$1:U$400,0)),U$2,)</f>
        <v>0</v>
      </c>
      <c r="V99" s="179">
        <f ca="1">IF(ISNUMBER(MATCH(DATEVALUE($A99),'recurring1_based on steps'!V$1:V$400,0)),V$2,)</f>
        <v>0</v>
      </c>
      <c r="W99" s="179">
        <f ca="1">IF(ISNUMBER(MATCH(DATEVALUE($A99),'recurring1_based on steps'!W$1:W$400,0)),W$2,)</f>
        <v>0</v>
      </c>
      <c r="X99" s="179">
        <f ca="1">IF(ISNUMBER(MATCH(DATEVALUE($A99),'recurring1_based on steps'!X$1:X$400,0)),X$2,)</f>
        <v>0</v>
      </c>
      <c r="Y99" s="179">
        <f ca="1">IF(ISNUMBER(MATCH(DATEVALUE($A99),'recurring1_based on steps'!Y$1:Y$400,0)),Y$2,)</f>
        <v>0</v>
      </c>
      <c r="Z99" s="179">
        <f ca="1">IF(ISNUMBER(MATCH(DATEVALUE($A99),'recurring1_based on steps'!Z$1:Z$400,0)),Z$2,)</f>
        <v>0</v>
      </c>
      <c r="AA99" s="179">
        <f ca="1">IF(ISNUMBER(MATCH(DATEVALUE($A99),'recurring1_based on steps'!AA$1:AA$400,0)),AA$2,)</f>
        <v>0</v>
      </c>
      <c r="AB99" s="179">
        <f ca="1">IF(ISNUMBER(MATCH(DATEVALUE($A99),'recurring1_based on steps'!AB$1:AB$400,0)),AB$2,)</f>
        <v>0</v>
      </c>
      <c r="AC99" s="179">
        <f ca="1">IF(ISNUMBER(MATCH(DATEVALUE($A99),'recurring1_based on steps'!AC$1:AC$400,0)),AC$2,)</f>
        <v>0</v>
      </c>
      <c r="AD99" s="179">
        <f ca="1">IF(ISNUMBER(MATCH(DATEVALUE($A99),'recurring1_based on steps'!AD$1:AD$400,0)),AD$2,)</f>
        <v>0</v>
      </c>
      <c r="AE99" s="179">
        <f ca="1">IF(ISNUMBER(MATCH(DATEVALUE($A99),'recurring1_based on steps'!AE$1:AE$400,0)),AE$2,)</f>
        <v>0</v>
      </c>
      <c r="AF99" s="179">
        <f ca="1">IF(ISNUMBER(MATCH(DATEVALUE($A99),'recurring1_based on steps'!AF$1:AF$400,0)),AF$2,)</f>
        <v>0</v>
      </c>
      <c r="AG99" s="179">
        <f ca="1">IF(ISNUMBER(MATCH(DATEVALUE($A99),'recurring1_based on steps'!AG$1:AG$400,0)),AG$2,)</f>
        <v>0</v>
      </c>
      <c r="AH99" s="179">
        <f ca="1">IF(ISNUMBER(MATCH(DATEVALUE($A99),'recurring1_based on steps'!AH$1:AH$400,0)),AH$2,)</f>
        <v>0</v>
      </c>
      <c r="AI99" s="179">
        <f ca="1">IF(ISNUMBER(MATCH(DATEVALUE($A99),'recurring1_based on steps'!AI$1:AI$400,0)),AI$2,)</f>
        <v>0</v>
      </c>
      <c r="AJ99" s="179">
        <f ca="1">IF(ISNUMBER(MATCH(DATEVALUE($A99),'recurring1_based on steps'!AJ$1:AJ$400,0)),AJ$2,)</f>
        <v>0</v>
      </c>
      <c r="AK99" s="179">
        <f ca="1">IF(ISNUMBER(MATCH(DATEVALUE($A99),'recurring1_based on steps'!AK$1:AK$400,0)),AK$2,)</f>
        <v>0</v>
      </c>
      <c r="AL99" s="179">
        <f ca="1">IF(ISNUMBER(MATCH(DATEVALUE($A99),'recurring1_based on steps'!AL$1:AL$400,0)),AL$2,)</f>
        <v>0</v>
      </c>
      <c r="AM99" s="179">
        <f ca="1">IF(ISNUMBER(MATCH(DATEVALUE($A99),'recurring1_based on steps'!AM$1:AM$400,0)),AM$2,)</f>
        <v>0</v>
      </c>
      <c r="AN99" s="179">
        <f ca="1">IF(ISNUMBER(MATCH(DATEVALUE($A99),'recurring1_based on steps'!AN$1:AN$400,0)),AN$2,)</f>
        <v>0</v>
      </c>
      <c r="AO99" s="179">
        <f ca="1">IF(ISNUMBER(MATCH(DATEVALUE($A99),'recurring1_based on steps'!AO$1:AO$400,0)),AO$2,)</f>
        <v>0</v>
      </c>
      <c r="AP99" s="179">
        <f ca="1">IF(ISNUMBER(MATCH(DATEVALUE($A99),'recurring1_based on steps'!AP$1:AP$400,0)),AP$2,)</f>
        <v>0</v>
      </c>
      <c r="AQ99" s="179">
        <f ca="1">IF(ISNUMBER(MATCH(DATEVALUE($A99),'recurring1_based on steps'!AQ$1:AQ$400,0)),AQ$2,)</f>
        <v>0</v>
      </c>
      <c r="AR99" s="179">
        <f ca="1">IF(ISNUMBER(MATCH(DATEVALUE($A99),'recurring1_based on steps'!AR$1:AR$400,0)),AR$2,)</f>
        <v>0</v>
      </c>
      <c r="AS99" s="179">
        <f ca="1">IF(ISNUMBER(MATCH(DATEVALUE($A99),'recurring1_based on steps'!AS$1:AS$400,0)),AS$2,)</f>
        <v>0</v>
      </c>
      <c r="AT99" s="179">
        <f ca="1">IF(ISNUMBER(MATCH(DATEVALUE($A99),'recurring1_based on steps'!AT$1:AT$400,0)),AT$2,)</f>
        <v>0</v>
      </c>
      <c r="AU99" s="179">
        <f ca="1">IF(ISNUMBER(MATCH(DATEVALUE($A99),'recurring1_based on steps'!AU$1:AU$400,0)),AU$2,)</f>
        <v>0</v>
      </c>
      <c r="AV99" s="179">
        <f ca="1">IF(ISNUMBER(MATCH(DATEVALUE($A99),'recurring1_based on steps'!AV$1:AV$400,0)),AV$2,)</f>
        <v>0</v>
      </c>
      <c r="AW99" s="179">
        <f ca="1">IF(ISNUMBER(MATCH(DATEVALUE($A99),'recurring1_based on steps'!AW$1:AW$400,0)),AW$2,)</f>
        <v>0</v>
      </c>
      <c r="AX99" s="179">
        <f ca="1">IF(ISNUMBER(MATCH(DATEVALUE($A99),'recurring1_based on steps'!AX$1:AX$400,0)),AX$2,)</f>
        <v>0</v>
      </c>
      <c r="AY99" s="179">
        <f ca="1">IF(ISNUMBER(MATCH(DATEVALUE($A99),'recurring1_based on steps'!AY$1:AY$400,0)),AY$2,)</f>
        <v>0</v>
      </c>
    </row>
    <row r="100" spans="1:51" x14ac:dyDescent="0.2">
      <c r="A100" s="32" t="str">
        <f t="shared" ca="1" si="1"/>
        <v>2025-07-11</v>
      </c>
      <c r="B100" s="179">
        <f ca="1">IF(ISNUMBER(MATCH(DATEVALUE($A100),'recurring1_based on steps'!B$1:B$400,0)),B$2,)</f>
        <v>0</v>
      </c>
      <c r="C100" s="179">
        <f ca="1">IF(ISNUMBER(MATCH(DATEVALUE($A100),'recurring1_based on steps'!C$1:C$400,0)),C$2,)</f>
        <v>0</v>
      </c>
      <c r="D100" s="179">
        <f ca="1">IF(ISNUMBER(MATCH(DATEVALUE($A100),'recurring1_based on steps'!D$1:D$400,0)),D$2,)</f>
        <v>0</v>
      </c>
      <c r="E100" s="179">
        <f ca="1">IF(ISNUMBER(MATCH(DATEVALUE($A100),'recurring1_based on steps'!E$1:E$400,0)),E$2,)</f>
        <v>0</v>
      </c>
      <c r="F100" s="179">
        <f ca="1">IF(ISNUMBER(MATCH(DATEVALUE($A100),'recurring1_based on steps'!F$1:F$400,0)),F$2,)</f>
        <v>0</v>
      </c>
      <c r="G100" s="179">
        <f ca="1">IF(ISNUMBER(MATCH(DATEVALUE($A100),'recurring1_based on steps'!G$1:G$400,0)),G$2,)</f>
        <v>0</v>
      </c>
      <c r="H100" s="179">
        <f ca="1">IF(ISNUMBER(MATCH(DATEVALUE($A100),'recurring1_based on steps'!H$1:H$400,0)),H$2,)</f>
        <v>0</v>
      </c>
      <c r="I100" s="179">
        <f ca="1">IF(ISNUMBER(MATCH(DATEVALUE($A100),'recurring1_based on steps'!I$1:I$400,0)),I$2,)</f>
        <v>0</v>
      </c>
      <c r="J100" s="179">
        <f ca="1">IF(ISNUMBER(MATCH(DATEVALUE($A100),'recurring1_based on steps'!J$1:J$400,0)),J$2,)</f>
        <v>0</v>
      </c>
      <c r="K100" s="179">
        <f ca="1">IF(ISNUMBER(MATCH(DATEVALUE($A100),'recurring1_based on steps'!K$1:K$400,0)),K$2,)</f>
        <v>0</v>
      </c>
      <c r="L100" s="179">
        <f ca="1">IF(ISNUMBER(MATCH(DATEVALUE($A100),'recurring1_based on steps'!L$1:L$400,0)),L$2,)</f>
        <v>0</v>
      </c>
      <c r="M100" s="179">
        <f ca="1">IF(ISNUMBER(MATCH(DATEVALUE($A100),'recurring1_based on steps'!M$1:M$400,0)),M$2,)</f>
        <v>0</v>
      </c>
      <c r="N100" s="179">
        <f ca="1">IF(ISNUMBER(MATCH(DATEVALUE($A100),'recurring1_based on steps'!N$1:N$400,0)),N$2,)</f>
        <v>0</v>
      </c>
      <c r="O100" s="179">
        <f ca="1">IF(ISNUMBER(MATCH(DATEVALUE($A100),'recurring1_based on steps'!O$1:O$400,0)),O$2,)</f>
        <v>0</v>
      </c>
      <c r="P100" s="179">
        <f ca="1">IF(ISNUMBER(MATCH(DATEVALUE($A100),'recurring1_based on steps'!P$1:P$400,0)),P$2,)</f>
        <v>0</v>
      </c>
      <c r="Q100" s="179">
        <f ca="1">IF(ISNUMBER(MATCH(DATEVALUE($A100),'recurring1_based on steps'!Q$1:Q$400,0)),Q$2,)</f>
        <v>0</v>
      </c>
      <c r="R100" s="179">
        <f ca="1">IF(ISNUMBER(MATCH(DATEVALUE($A100),'recurring1_based on steps'!R$1:R$400,0)),R$2,)</f>
        <v>0</v>
      </c>
      <c r="S100" s="179">
        <f ca="1">IF(ISNUMBER(MATCH(DATEVALUE($A100),'recurring1_based on steps'!S$1:S$400,0)),S$2,)</f>
        <v>0</v>
      </c>
      <c r="T100" s="179">
        <f ca="1">IF(ISNUMBER(MATCH(DATEVALUE($A100),'recurring1_based on steps'!T$1:T$400,0)),T$2,)</f>
        <v>0</v>
      </c>
      <c r="U100" s="179">
        <f ca="1">IF(ISNUMBER(MATCH(DATEVALUE($A100),'recurring1_based on steps'!U$1:U$400,0)),U$2,)</f>
        <v>0</v>
      </c>
      <c r="V100" s="179">
        <f ca="1">IF(ISNUMBER(MATCH(DATEVALUE($A100),'recurring1_based on steps'!V$1:V$400,0)),V$2,)</f>
        <v>0</v>
      </c>
      <c r="W100" s="179">
        <f ca="1">IF(ISNUMBER(MATCH(DATEVALUE($A100),'recurring1_based on steps'!W$1:W$400,0)),W$2,)</f>
        <v>0</v>
      </c>
      <c r="X100" s="179">
        <f ca="1">IF(ISNUMBER(MATCH(DATEVALUE($A100),'recurring1_based on steps'!X$1:X$400,0)),X$2,)</f>
        <v>0</v>
      </c>
      <c r="Y100" s="179">
        <f ca="1">IF(ISNUMBER(MATCH(DATEVALUE($A100),'recurring1_based on steps'!Y$1:Y$400,0)),Y$2,)</f>
        <v>0</v>
      </c>
      <c r="Z100" s="179">
        <f ca="1">IF(ISNUMBER(MATCH(DATEVALUE($A100),'recurring1_based on steps'!Z$1:Z$400,0)),Z$2,)</f>
        <v>0</v>
      </c>
      <c r="AA100" s="179">
        <f ca="1">IF(ISNUMBER(MATCH(DATEVALUE($A100),'recurring1_based on steps'!AA$1:AA$400,0)),AA$2,)</f>
        <v>0</v>
      </c>
      <c r="AB100" s="179">
        <f ca="1">IF(ISNUMBER(MATCH(DATEVALUE($A100),'recurring1_based on steps'!AB$1:AB$400,0)),AB$2,)</f>
        <v>0</v>
      </c>
      <c r="AC100" s="179">
        <f ca="1">IF(ISNUMBER(MATCH(DATEVALUE($A100),'recurring1_based on steps'!AC$1:AC$400,0)),AC$2,)</f>
        <v>0</v>
      </c>
      <c r="AD100" s="179">
        <f ca="1">IF(ISNUMBER(MATCH(DATEVALUE($A100),'recurring1_based on steps'!AD$1:AD$400,0)),AD$2,)</f>
        <v>0</v>
      </c>
      <c r="AE100" s="179">
        <f ca="1">IF(ISNUMBER(MATCH(DATEVALUE($A100),'recurring1_based on steps'!AE$1:AE$400,0)),AE$2,)</f>
        <v>0</v>
      </c>
      <c r="AF100" s="179">
        <f ca="1">IF(ISNUMBER(MATCH(DATEVALUE($A100),'recurring1_based on steps'!AF$1:AF$400,0)),AF$2,)</f>
        <v>0</v>
      </c>
      <c r="AG100" s="179">
        <f ca="1">IF(ISNUMBER(MATCH(DATEVALUE($A100),'recurring1_based on steps'!AG$1:AG$400,0)),AG$2,)</f>
        <v>0</v>
      </c>
      <c r="AH100" s="179">
        <f ca="1">IF(ISNUMBER(MATCH(DATEVALUE($A100),'recurring1_based on steps'!AH$1:AH$400,0)),AH$2,)</f>
        <v>0</v>
      </c>
      <c r="AI100" s="179">
        <f ca="1">IF(ISNUMBER(MATCH(DATEVALUE($A100),'recurring1_based on steps'!AI$1:AI$400,0)),AI$2,)</f>
        <v>0</v>
      </c>
      <c r="AJ100" s="179">
        <f ca="1">IF(ISNUMBER(MATCH(DATEVALUE($A100),'recurring1_based on steps'!AJ$1:AJ$400,0)),AJ$2,)</f>
        <v>0</v>
      </c>
      <c r="AK100" s="179">
        <f ca="1">IF(ISNUMBER(MATCH(DATEVALUE($A100),'recurring1_based on steps'!AK$1:AK$400,0)),AK$2,)</f>
        <v>0</v>
      </c>
      <c r="AL100" s="179">
        <f ca="1">IF(ISNUMBER(MATCH(DATEVALUE($A100),'recurring1_based on steps'!AL$1:AL$400,0)),AL$2,)</f>
        <v>0</v>
      </c>
      <c r="AM100" s="179">
        <f ca="1">IF(ISNUMBER(MATCH(DATEVALUE($A100),'recurring1_based on steps'!AM$1:AM$400,0)),AM$2,)</f>
        <v>0</v>
      </c>
      <c r="AN100" s="179">
        <f ca="1">IF(ISNUMBER(MATCH(DATEVALUE($A100),'recurring1_based on steps'!AN$1:AN$400,0)),AN$2,)</f>
        <v>0</v>
      </c>
      <c r="AO100" s="179">
        <f ca="1">IF(ISNUMBER(MATCH(DATEVALUE($A100),'recurring1_based on steps'!AO$1:AO$400,0)),AO$2,)</f>
        <v>0</v>
      </c>
      <c r="AP100" s="179">
        <f ca="1">IF(ISNUMBER(MATCH(DATEVALUE($A100),'recurring1_based on steps'!AP$1:AP$400,0)),AP$2,)</f>
        <v>0</v>
      </c>
      <c r="AQ100" s="179">
        <f ca="1">IF(ISNUMBER(MATCH(DATEVALUE($A100),'recurring1_based on steps'!AQ$1:AQ$400,0)),AQ$2,)</f>
        <v>0</v>
      </c>
      <c r="AR100" s="179">
        <f ca="1">IF(ISNUMBER(MATCH(DATEVALUE($A100),'recurring1_based on steps'!AR$1:AR$400,0)),AR$2,)</f>
        <v>0</v>
      </c>
      <c r="AS100" s="179">
        <f ca="1">IF(ISNUMBER(MATCH(DATEVALUE($A100),'recurring1_based on steps'!AS$1:AS$400,0)),AS$2,)</f>
        <v>0</v>
      </c>
      <c r="AT100" s="179">
        <f ca="1">IF(ISNUMBER(MATCH(DATEVALUE($A100),'recurring1_based on steps'!AT$1:AT$400,0)),AT$2,)</f>
        <v>0</v>
      </c>
      <c r="AU100" s="179">
        <f ca="1">IF(ISNUMBER(MATCH(DATEVALUE($A100),'recurring1_based on steps'!AU$1:AU$400,0)),AU$2,)</f>
        <v>0</v>
      </c>
      <c r="AV100" s="179">
        <f ca="1">IF(ISNUMBER(MATCH(DATEVALUE($A100),'recurring1_based on steps'!AV$1:AV$400,0)),AV$2,)</f>
        <v>0</v>
      </c>
      <c r="AW100" s="179">
        <f ca="1">IF(ISNUMBER(MATCH(DATEVALUE($A100),'recurring1_based on steps'!AW$1:AW$400,0)),AW$2,)</f>
        <v>0</v>
      </c>
      <c r="AX100" s="179">
        <f ca="1">IF(ISNUMBER(MATCH(DATEVALUE($A100),'recurring1_based on steps'!AX$1:AX$400,0)),AX$2,)</f>
        <v>0</v>
      </c>
      <c r="AY100" s="179">
        <f ca="1">IF(ISNUMBER(MATCH(DATEVALUE($A100),'recurring1_based on steps'!AY$1:AY$400,0)),AY$2,)</f>
        <v>0</v>
      </c>
    </row>
    <row r="101" spans="1:51" x14ac:dyDescent="0.2">
      <c r="A101" s="32" t="str">
        <f t="shared" ca="1" si="1"/>
        <v>2025-07-12</v>
      </c>
      <c r="B101" s="179">
        <f ca="1">IF(ISNUMBER(MATCH(DATEVALUE($A101),'recurring1_based on steps'!B$1:B$400,0)),B$2,)</f>
        <v>0</v>
      </c>
      <c r="C101" s="179">
        <f ca="1">IF(ISNUMBER(MATCH(DATEVALUE($A101),'recurring1_based on steps'!C$1:C$400,0)),C$2,)</f>
        <v>0</v>
      </c>
      <c r="D101" s="179">
        <f ca="1">IF(ISNUMBER(MATCH(DATEVALUE($A101),'recurring1_based on steps'!D$1:D$400,0)),D$2,)</f>
        <v>0</v>
      </c>
      <c r="E101" s="179">
        <f ca="1">IF(ISNUMBER(MATCH(DATEVALUE($A101),'recurring1_based on steps'!E$1:E$400,0)),E$2,)</f>
        <v>0</v>
      </c>
      <c r="F101" s="179">
        <f ca="1">IF(ISNUMBER(MATCH(DATEVALUE($A101),'recurring1_based on steps'!F$1:F$400,0)),F$2,)</f>
        <v>0</v>
      </c>
      <c r="G101" s="179">
        <f ca="1">IF(ISNUMBER(MATCH(DATEVALUE($A101),'recurring1_based on steps'!G$1:G$400,0)),G$2,)</f>
        <v>0</v>
      </c>
      <c r="H101" s="179">
        <f ca="1">IF(ISNUMBER(MATCH(DATEVALUE($A101),'recurring1_based on steps'!H$1:H$400,0)),H$2,)</f>
        <v>0</v>
      </c>
      <c r="I101" s="179">
        <f ca="1">IF(ISNUMBER(MATCH(DATEVALUE($A101),'recurring1_based on steps'!I$1:I$400,0)),I$2,)</f>
        <v>0</v>
      </c>
      <c r="J101" s="179">
        <f ca="1">IF(ISNUMBER(MATCH(DATEVALUE($A101),'recurring1_based on steps'!J$1:J$400,0)),J$2,)</f>
        <v>0</v>
      </c>
      <c r="K101" s="179">
        <f ca="1">IF(ISNUMBER(MATCH(DATEVALUE($A101),'recurring1_based on steps'!K$1:K$400,0)),K$2,)</f>
        <v>0</v>
      </c>
      <c r="L101" s="179">
        <f ca="1">IF(ISNUMBER(MATCH(DATEVALUE($A101),'recurring1_based on steps'!L$1:L$400,0)),L$2,)</f>
        <v>0</v>
      </c>
      <c r="M101" s="179">
        <f ca="1">IF(ISNUMBER(MATCH(DATEVALUE($A101),'recurring1_based on steps'!M$1:M$400,0)),M$2,)</f>
        <v>0</v>
      </c>
      <c r="N101" s="179">
        <f ca="1">IF(ISNUMBER(MATCH(DATEVALUE($A101),'recurring1_based on steps'!N$1:N$400,0)),N$2,)</f>
        <v>0</v>
      </c>
      <c r="O101" s="179">
        <f ca="1">IF(ISNUMBER(MATCH(DATEVALUE($A101),'recurring1_based on steps'!O$1:O$400,0)),O$2,)</f>
        <v>0</v>
      </c>
      <c r="P101" s="179">
        <f ca="1">IF(ISNUMBER(MATCH(DATEVALUE($A101),'recurring1_based on steps'!P$1:P$400,0)),P$2,)</f>
        <v>0</v>
      </c>
      <c r="Q101" s="179">
        <f ca="1">IF(ISNUMBER(MATCH(DATEVALUE($A101),'recurring1_based on steps'!Q$1:Q$400,0)),Q$2,)</f>
        <v>0</v>
      </c>
      <c r="R101" s="179">
        <f ca="1">IF(ISNUMBER(MATCH(DATEVALUE($A101),'recurring1_based on steps'!R$1:R$400,0)),R$2,)</f>
        <v>0</v>
      </c>
      <c r="S101" s="179">
        <f ca="1">IF(ISNUMBER(MATCH(DATEVALUE($A101),'recurring1_based on steps'!S$1:S$400,0)),S$2,)</f>
        <v>0</v>
      </c>
      <c r="T101" s="179">
        <f ca="1">IF(ISNUMBER(MATCH(DATEVALUE($A101),'recurring1_based on steps'!T$1:T$400,0)),T$2,)</f>
        <v>0</v>
      </c>
      <c r="U101" s="179">
        <f ca="1">IF(ISNUMBER(MATCH(DATEVALUE($A101),'recurring1_based on steps'!U$1:U$400,0)),U$2,)</f>
        <v>0</v>
      </c>
      <c r="V101" s="179">
        <f ca="1">IF(ISNUMBER(MATCH(DATEVALUE($A101),'recurring1_based on steps'!V$1:V$400,0)),V$2,)</f>
        <v>0</v>
      </c>
      <c r="W101" s="179">
        <f ca="1">IF(ISNUMBER(MATCH(DATEVALUE($A101),'recurring1_based on steps'!W$1:W$400,0)),W$2,)</f>
        <v>0</v>
      </c>
      <c r="X101" s="179">
        <f ca="1">IF(ISNUMBER(MATCH(DATEVALUE($A101),'recurring1_based on steps'!X$1:X$400,0)),X$2,)</f>
        <v>0</v>
      </c>
      <c r="Y101" s="179">
        <f ca="1">IF(ISNUMBER(MATCH(DATEVALUE($A101),'recurring1_based on steps'!Y$1:Y$400,0)),Y$2,)</f>
        <v>0</v>
      </c>
      <c r="Z101" s="179">
        <f ca="1">IF(ISNUMBER(MATCH(DATEVALUE($A101),'recurring1_based on steps'!Z$1:Z$400,0)),Z$2,)</f>
        <v>0</v>
      </c>
      <c r="AA101" s="179">
        <f ca="1">IF(ISNUMBER(MATCH(DATEVALUE($A101),'recurring1_based on steps'!AA$1:AA$400,0)),AA$2,)</f>
        <v>0</v>
      </c>
      <c r="AB101" s="179">
        <f ca="1">IF(ISNUMBER(MATCH(DATEVALUE($A101),'recurring1_based on steps'!AB$1:AB$400,0)),AB$2,)</f>
        <v>0</v>
      </c>
      <c r="AC101" s="179">
        <f ca="1">IF(ISNUMBER(MATCH(DATEVALUE($A101),'recurring1_based on steps'!AC$1:AC$400,0)),AC$2,)</f>
        <v>0</v>
      </c>
      <c r="AD101" s="179">
        <f ca="1">IF(ISNUMBER(MATCH(DATEVALUE($A101),'recurring1_based on steps'!AD$1:AD$400,0)),AD$2,)</f>
        <v>0</v>
      </c>
      <c r="AE101" s="179">
        <f ca="1">IF(ISNUMBER(MATCH(DATEVALUE($A101),'recurring1_based on steps'!AE$1:AE$400,0)),AE$2,)</f>
        <v>0</v>
      </c>
      <c r="AF101" s="179">
        <f ca="1">IF(ISNUMBER(MATCH(DATEVALUE($A101),'recurring1_based on steps'!AF$1:AF$400,0)),AF$2,)</f>
        <v>0</v>
      </c>
      <c r="AG101" s="179">
        <f ca="1">IF(ISNUMBER(MATCH(DATEVALUE($A101),'recurring1_based on steps'!AG$1:AG$400,0)),AG$2,)</f>
        <v>0</v>
      </c>
      <c r="AH101" s="179">
        <f ca="1">IF(ISNUMBER(MATCH(DATEVALUE($A101),'recurring1_based on steps'!AH$1:AH$400,0)),AH$2,)</f>
        <v>0</v>
      </c>
      <c r="AI101" s="179">
        <f ca="1">IF(ISNUMBER(MATCH(DATEVALUE($A101),'recurring1_based on steps'!AI$1:AI$400,0)),AI$2,)</f>
        <v>0</v>
      </c>
      <c r="AJ101" s="179">
        <f ca="1">IF(ISNUMBER(MATCH(DATEVALUE($A101),'recurring1_based on steps'!AJ$1:AJ$400,0)),AJ$2,)</f>
        <v>0</v>
      </c>
      <c r="AK101" s="179">
        <f ca="1">IF(ISNUMBER(MATCH(DATEVALUE($A101),'recurring1_based on steps'!AK$1:AK$400,0)),AK$2,)</f>
        <v>0</v>
      </c>
      <c r="AL101" s="179">
        <f ca="1">IF(ISNUMBER(MATCH(DATEVALUE($A101),'recurring1_based on steps'!AL$1:AL$400,0)),AL$2,)</f>
        <v>0</v>
      </c>
      <c r="AM101" s="179">
        <f ca="1">IF(ISNUMBER(MATCH(DATEVALUE($A101),'recurring1_based on steps'!AM$1:AM$400,0)),AM$2,)</f>
        <v>0</v>
      </c>
      <c r="AN101" s="179">
        <f ca="1">IF(ISNUMBER(MATCH(DATEVALUE($A101),'recurring1_based on steps'!AN$1:AN$400,0)),AN$2,)</f>
        <v>0</v>
      </c>
      <c r="AO101" s="179">
        <f ca="1">IF(ISNUMBER(MATCH(DATEVALUE($A101),'recurring1_based on steps'!AO$1:AO$400,0)),AO$2,)</f>
        <v>0</v>
      </c>
      <c r="AP101" s="179">
        <f ca="1">IF(ISNUMBER(MATCH(DATEVALUE($A101),'recurring1_based on steps'!AP$1:AP$400,0)),AP$2,)</f>
        <v>0</v>
      </c>
      <c r="AQ101" s="179">
        <f ca="1">IF(ISNUMBER(MATCH(DATEVALUE($A101),'recurring1_based on steps'!AQ$1:AQ$400,0)),AQ$2,)</f>
        <v>0</v>
      </c>
      <c r="AR101" s="179">
        <f ca="1">IF(ISNUMBER(MATCH(DATEVALUE($A101),'recurring1_based on steps'!AR$1:AR$400,0)),AR$2,)</f>
        <v>0</v>
      </c>
      <c r="AS101" s="179">
        <f ca="1">IF(ISNUMBER(MATCH(DATEVALUE($A101),'recurring1_based on steps'!AS$1:AS$400,0)),AS$2,)</f>
        <v>0</v>
      </c>
      <c r="AT101" s="179">
        <f ca="1">IF(ISNUMBER(MATCH(DATEVALUE($A101),'recurring1_based on steps'!AT$1:AT$400,0)),AT$2,)</f>
        <v>0</v>
      </c>
      <c r="AU101" s="179">
        <f ca="1">IF(ISNUMBER(MATCH(DATEVALUE($A101),'recurring1_based on steps'!AU$1:AU$400,0)),AU$2,)</f>
        <v>0</v>
      </c>
      <c r="AV101" s="179">
        <f ca="1">IF(ISNUMBER(MATCH(DATEVALUE($A101),'recurring1_based on steps'!AV$1:AV$400,0)),AV$2,)</f>
        <v>0</v>
      </c>
      <c r="AW101" s="179">
        <f ca="1">IF(ISNUMBER(MATCH(DATEVALUE($A101),'recurring1_based on steps'!AW$1:AW$400,0)),AW$2,)</f>
        <v>0</v>
      </c>
      <c r="AX101" s="179">
        <f ca="1">IF(ISNUMBER(MATCH(DATEVALUE($A101),'recurring1_based on steps'!AX$1:AX$400,0)),AX$2,)</f>
        <v>0</v>
      </c>
      <c r="AY101" s="179">
        <f ca="1">IF(ISNUMBER(MATCH(DATEVALUE($A101),'recurring1_based on steps'!AY$1:AY$400,0)),AY$2,)</f>
        <v>0</v>
      </c>
    </row>
    <row r="102" spans="1:51" x14ac:dyDescent="0.2">
      <c r="A102" s="32" t="str">
        <f t="shared" ca="1" si="1"/>
        <v>2025-07-13</v>
      </c>
      <c r="B102" s="179">
        <f ca="1">IF(ISNUMBER(MATCH(DATEVALUE($A102),'recurring1_based on steps'!B$1:B$400,0)),B$2,)</f>
        <v>0</v>
      </c>
      <c r="C102" s="179">
        <f ca="1">IF(ISNUMBER(MATCH(DATEVALUE($A102),'recurring1_based on steps'!C$1:C$400,0)),C$2,)</f>
        <v>0</v>
      </c>
      <c r="D102" s="179">
        <f ca="1">IF(ISNUMBER(MATCH(DATEVALUE($A102),'recurring1_based on steps'!D$1:D$400,0)),D$2,)</f>
        <v>0</v>
      </c>
      <c r="E102" s="179">
        <f ca="1">IF(ISNUMBER(MATCH(DATEVALUE($A102),'recurring1_based on steps'!E$1:E$400,0)),E$2,)</f>
        <v>0</v>
      </c>
      <c r="F102" s="179">
        <f ca="1">IF(ISNUMBER(MATCH(DATEVALUE($A102),'recurring1_based on steps'!F$1:F$400,0)),F$2,)</f>
        <v>0</v>
      </c>
      <c r="G102" s="179">
        <f ca="1">IF(ISNUMBER(MATCH(DATEVALUE($A102),'recurring1_based on steps'!G$1:G$400,0)),G$2,)</f>
        <v>0</v>
      </c>
      <c r="H102" s="179">
        <f ca="1">IF(ISNUMBER(MATCH(DATEVALUE($A102),'recurring1_based on steps'!H$1:H$400,0)),H$2,)</f>
        <v>0</v>
      </c>
      <c r="I102" s="179">
        <f ca="1">IF(ISNUMBER(MATCH(DATEVALUE($A102),'recurring1_based on steps'!I$1:I$400,0)),I$2,)</f>
        <v>0</v>
      </c>
      <c r="J102" s="179">
        <f ca="1">IF(ISNUMBER(MATCH(DATEVALUE($A102),'recurring1_based on steps'!J$1:J$400,0)),J$2,)</f>
        <v>0</v>
      </c>
      <c r="K102" s="179">
        <f ca="1">IF(ISNUMBER(MATCH(DATEVALUE($A102),'recurring1_based on steps'!K$1:K$400,0)),K$2,)</f>
        <v>0</v>
      </c>
      <c r="L102" s="179">
        <f ca="1">IF(ISNUMBER(MATCH(DATEVALUE($A102),'recurring1_based on steps'!L$1:L$400,0)),L$2,)</f>
        <v>0</v>
      </c>
      <c r="M102" s="179">
        <f ca="1">IF(ISNUMBER(MATCH(DATEVALUE($A102),'recurring1_based on steps'!M$1:M$400,0)),M$2,)</f>
        <v>0</v>
      </c>
      <c r="N102" s="179">
        <f ca="1">IF(ISNUMBER(MATCH(DATEVALUE($A102),'recurring1_based on steps'!N$1:N$400,0)),N$2,)</f>
        <v>0</v>
      </c>
      <c r="O102" s="179">
        <f ca="1">IF(ISNUMBER(MATCH(DATEVALUE($A102),'recurring1_based on steps'!O$1:O$400,0)),O$2,)</f>
        <v>0</v>
      </c>
      <c r="P102" s="179">
        <f ca="1">IF(ISNUMBER(MATCH(DATEVALUE($A102),'recurring1_based on steps'!P$1:P$400,0)),P$2,)</f>
        <v>0</v>
      </c>
      <c r="Q102" s="179">
        <f ca="1">IF(ISNUMBER(MATCH(DATEVALUE($A102),'recurring1_based on steps'!Q$1:Q$400,0)),Q$2,)</f>
        <v>0</v>
      </c>
      <c r="R102" s="179">
        <f ca="1">IF(ISNUMBER(MATCH(DATEVALUE($A102),'recurring1_based on steps'!R$1:R$400,0)),R$2,)</f>
        <v>0</v>
      </c>
      <c r="S102" s="179">
        <f ca="1">IF(ISNUMBER(MATCH(DATEVALUE($A102),'recurring1_based on steps'!S$1:S$400,0)),S$2,)</f>
        <v>0</v>
      </c>
      <c r="T102" s="179">
        <f ca="1">IF(ISNUMBER(MATCH(DATEVALUE($A102),'recurring1_based on steps'!T$1:T$400,0)),T$2,)</f>
        <v>0</v>
      </c>
      <c r="U102" s="179">
        <f ca="1">IF(ISNUMBER(MATCH(DATEVALUE($A102),'recurring1_based on steps'!U$1:U$400,0)),U$2,)</f>
        <v>0</v>
      </c>
      <c r="V102" s="179">
        <f ca="1">IF(ISNUMBER(MATCH(DATEVALUE($A102),'recurring1_based on steps'!V$1:V$400,0)),V$2,)</f>
        <v>0</v>
      </c>
      <c r="W102" s="179">
        <f ca="1">IF(ISNUMBER(MATCH(DATEVALUE($A102),'recurring1_based on steps'!W$1:W$400,0)),W$2,)</f>
        <v>0</v>
      </c>
      <c r="X102" s="179">
        <f ca="1">IF(ISNUMBER(MATCH(DATEVALUE($A102),'recurring1_based on steps'!X$1:X$400,0)),X$2,)</f>
        <v>0</v>
      </c>
      <c r="Y102" s="179">
        <f ca="1">IF(ISNUMBER(MATCH(DATEVALUE($A102),'recurring1_based on steps'!Y$1:Y$400,0)),Y$2,)</f>
        <v>0</v>
      </c>
      <c r="Z102" s="179">
        <f ca="1">IF(ISNUMBER(MATCH(DATEVALUE($A102),'recurring1_based on steps'!Z$1:Z$400,0)),Z$2,)</f>
        <v>0</v>
      </c>
      <c r="AA102" s="179">
        <f ca="1">IF(ISNUMBER(MATCH(DATEVALUE($A102),'recurring1_based on steps'!AA$1:AA$400,0)),AA$2,)</f>
        <v>0</v>
      </c>
      <c r="AB102" s="179">
        <f ca="1">IF(ISNUMBER(MATCH(DATEVALUE($A102),'recurring1_based on steps'!AB$1:AB$400,0)),AB$2,)</f>
        <v>0</v>
      </c>
      <c r="AC102" s="179">
        <f ca="1">IF(ISNUMBER(MATCH(DATEVALUE($A102),'recurring1_based on steps'!AC$1:AC$400,0)),AC$2,)</f>
        <v>0</v>
      </c>
      <c r="AD102" s="179">
        <f ca="1">IF(ISNUMBER(MATCH(DATEVALUE($A102),'recurring1_based on steps'!AD$1:AD$400,0)),AD$2,)</f>
        <v>0</v>
      </c>
      <c r="AE102" s="179">
        <f ca="1">IF(ISNUMBER(MATCH(DATEVALUE($A102),'recurring1_based on steps'!AE$1:AE$400,0)),AE$2,)</f>
        <v>0</v>
      </c>
      <c r="AF102" s="179">
        <f ca="1">IF(ISNUMBER(MATCH(DATEVALUE($A102),'recurring1_based on steps'!AF$1:AF$400,0)),AF$2,)</f>
        <v>0</v>
      </c>
      <c r="AG102" s="179">
        <f ca="1">IF(ISNUMBER(MATCH(DATEVALUE($A102),'recurring1_based on steps'!AG$1:AG$400,0)),AG$2,)</f>
        <v>0</v>
      </c>
      <c r="AH102" s="179">
        <f ca="1">IF(ISNUMBER(MATCH(DATEVALUE($A102),'recurring1_based on steps'!AH$1:AH$400,0)),AH$2,)</f>
        <v>0</v>
      </c>
      <c r="AI102" s="179">
        <f ca="1">IF(ISNUMBER(MATCH(DATEVALUE($A102),'recurring1_based on steps'!AI$1:AI$400,0)),AI$2,)</f>
        <v>0</v>
      </c>
      <c r="AJ102" s="179">
        <f ca="1">IF(ISNUMBER(MATCH(DATEVALUE($A102),'recurring1_based on steps'!AJ$1:AJ$400,0)),AJ$2,)</f>
        <v>0</v>
      </c>
      <c r="AK102" s="179">
        <f ca="1">IF(ISNUMBER(MATCH(DATEVALUE($A102),'recurring1_based on steps'!AK$1:AK$400,0)),AK$2,)</f>
        <v>0</v>
      </c>
      <c r="AL102" s="179">
        <f ca="1">IF(ISNUMBER(MATCH(DATEVALUE($A102),'recurring1_based on steps'!AL$1:AL$400,0)),AL$2,)</f>
        <v>0</v>
      </c>
      <c r="AM102" s="179">
        <f ca="1">IF(ISNUMBER(MATCH(DATEVALUE($A102),'recurring1_based on steps'!AM$1:AM$400,0)),AM$2,)</f>
        <v>0</v>
      </c>
      <c r="AN102" s="179">
        <f ca="1">IF(ISNUMBER(MATCH(DATEVALUE($A102),'recurring1_based on steps'!AN$1:AN$400,0)),AN$2,)</f>
        <v>0</v>
      </c>
      <c r="AO102" s="179">
        <f ca="1">IF(ISNUMBER(MATCH(DATEVALUE($A102),'recurring1_based on steps'!AO$1:AO$400,0)),AO$2,)</f>
        <v>0</v>
      </c>
      <c r="AP102" s="179">
        <f ca="1">IF(ISNUMBER(MATCH(DATEVALUE($A102),'recurring1_based on steps'!AP$1:AP$400,0)),AP$2,)</f>
        <v>0</v>
      </c>
      <c r="AQ102" s="179">
        <f ca="1">IF(ISNUMBER(MATCH(DATEVALUE($A102),'recurring1_based on steps'!AQ$1:AQ$400,0)),AQ$2,)</f>
        <v>0</v>
      </c>
      <c r="AR102" s="179">
        <f ca="1">IF(ISNUMBER(MATCH(DATEVALUE($A102),'recurring1_based on steps'!AR$1:AR$400,0)),AR$2,)</f>
        <v>0</v>
      </c>
      <c r="AS102" s="179">
        <f ca="1">IF(ISNUMBER(MATCH(DATEVALUE($A102),'recurring1_based on steps'!AS$1:AS$400,0)),AS$2,)</f>
        <v>0</v>
      </c>
      <c r="AT102" s="179">
        <f ca="1">IF(ISNUMBER(MATCH(DATEVALUE($A102),'recurring1_based on steps'!AT$1:AT$400,0)),AT$2,)</f>
        <v>0</v>
      </c>
      <c r="AU102" s="179">
        <f ca="1">IF(ISNUMBER(MATCH(DATEVALUE($A102),'recurring1_based on steps'!AU$1:AU$400,0)),AU$2,)</f>
        <v>0</v>
      </c>
      <c r="AV102" s="179">
        <f ca="1">IF(ISNUMBER(MATCH(DATEVALUE($A102),'recurring1_based on steps'!AV$1:AV$400,0)),AV$2,)</f>
        <v>0</v>
      </c>
      <c r="AW102" s="179">
        <f ca="1">IF(ISNUMBER(MATCH(DATEVALUE($A102),'recurring1_based on steps'!AW$1:AW$400,0)),AW$2,)</f>
        <v>0</v>
      </c>
      <c r="AX102" s="179">
        <f ca="1">IF(ISNUMBER(MATCH(DATEVALUE($A102),'recurring1_based on steps'!AX$1:AX$400,0)),AX$2,)</f>
        <v>0</v>
      </c>
      <c r="AY102" s="179">
        <f ca="1">IF(ISNUMBER(MATCH(DATEVALUE($A102),'recurring1_based on steps'!AY$1:AY$400,0)),AY$2,)</f>
        <v>0</v>
      </c>
    </row>
    <row r="103" spans="1:51" x14ac:dyDescent="0.2">
      <c r="A103" s="32" t="str">
        <f t="shared" ca="1" si="1"/>
        <v>2025-07-14</v>
      </c>
      <c r="B103" s="179">
        <f ca="1">IF(ISNUMBER(MATCH(DATEVALUE($A103),'recurring1_based on steps'!B$1:B$400,0)),B$2,)</f>
        <v>0</v>
      </c>
      <c r="C103" s="179">
        <f ca="1">IF(ISNUMBER(MATCH(DATEVALUE($A103),'recurring1_based on steps'!C$1:C$400,0)),C$2,)</f>
        <v>0</v>
      </c>
      <c r="D103" s="179">
        <f ca="1">IF(ISNUMBER(MATCH(DATEVALUE($A103),'recurring1_based on steps'!D$1:D$400,0)),D$2,)</f>
        <v>0</v>
      </c>
      <c r="E103" s="179">
        <f ca="1">IF(ISNUMBER(MATCH(DATEVALUE($A103),'recurring1_based on steps'!E$1:E$400,0)),E$2,)</f>
        <v>0</v>
      </c>
      <c r="F103" s="179">
        <f ca="1">IF(ISNUMBER(MATCH(DATEVALUE($A103),'recurring1_based on steps'!F$1:F$400,0)),F$2,)</f>
        <v>0</v>
      </c>
      <c r="G103" s="179">
        <f ca="1">IF(ISNUMBER(MATCH(DATEVALUE($A103),'recurring1_based on steps'!G$1:G$400,0)),G$2,)</f>
        <v>0</v>
      </c>
      <c r="H103" s="179">
        <f ca="1">IF(ISNUMBER(MATCH(DATEVALUE($A103),'recurring1_based on steps'!H$1:H$400,0)),H$2,)</f>
        <v>0</v>
      </c>
      <c r="I103" s="179">
        <f ca="1">IF(ISNUMBER(MATCH(DATEVALUE($A103),'recurring1_based on steps'!I$1:I$400,0)),I$2,)</f>
        <v>0</v>
      </c>
      <c r="J103" s="179">
        <f ca="1">IF(ISNUMBER(MATCH(DATEVALUE($A103),'recurring1_based on steps'!J$1:J$400,0)),J$2,)</f>
        <v>0</v>
      </c>
      <c r="K103" s="179">
        <f ca="1">IF(ISNUMBER(MATCH(DATEVALUE($A103),'recurring1_based on steps'!K$1:K$400,0)),K$2,)</f>
        <v>0</v>
      </c>
      <c r="L103" s="179">
        <f ca="1">IF(ISNUMBER(MATCH(DATEVALUE($A103),'recurring1_based on steps'!L$1:L$400,0)),L$2,)</f>
        <v>0</v>
      </c>
      <c r="M103" s="179">
        <f ca="1">IF(ISNUMBER(MATCH(DATEVALUE($A103),'recurring1_based on steps'!M$1:M$400,0)),M$2,)</f>
        <v>0</v>
      </c>
      <c r="N103" s="179">
        <f ca="1">IF(ISNUMBER(MATCH(DATEVALUE($A103),'recurring1_based on steps'!N$1:N$400,0)),N$2,)</f>
        <v>0</v>
      </c>
      <c r="O103" s="179">
        <f ca="1">IF(ISNUMBER(MATCH(DATEVALUE($A103),'recurring1_based on steps'!O$1:O$400,0)),O$2,)</f>
        <v>0</v>
      </c>
      <c r="P103" s="179">
        <f ca="1">IF(ISNUMBER(MATCH(DATEVALUE($A103),'recurring1_based on steps'!P$1:P$400,0)),P$2,)</f>
        <v>0</v>
      </c>
      <c r="Q103" s="179">
        <f ca="1">IF(ISNUMBER(MATCH(DATEVALUE($A103),'recurring1_based on steps'!Q$1:Q$400,0)),Q$2,)</f>
        <v>0</v>
      </c>
      <c r="R103" s="179">
        <f ca="1">IF(ISNUMBER(MATCH(DATEVALUE($A103),'recurring1_based on steps'!R$1:R$400,0)),R$2,)</f>
        <v>0</v>
      </c>
      <c r="S103" s="179">
        <f ca="1">IF(ISNUMBER(MATCH(DATEVALUE($A103),'recurring1_based on steps'!S$1:S$400,0)),S$2,)</f>
        <v>0</v>
      </c>
      <c r="T103" s="179">
        <f ca="1">IF(ISNUMBER(MATCH(DATEVALUE($A103),'recurring1_based on steps'!T$1:T$400,0)),T$2,)</f>
        <v>0</v>
      </c>
      <c r="U103" s="179">
        <f ca="1">IF(ISNUMBER(MATCH(DATEVALUE($A103),'recurring1_based on steps'!U$1:U$400,0)),U$2,)</f>
        <v>0</v>
      </c>
      <c r="V103" s="179">
        <f ca="1">IF(ISNUMBER(MATCH(DATEVALUE($A103),'recurring1_based on steps'!V$1:V$400,0)),V$2,)</f>
        <v>0</v>
      </c>
      <c r="W103" s="179">
        <f ca="1">IF(ISNUMBER(MATCH(DATEVALUE($A103),'recurring1_based on steps'!W$1:W$400,0)),W$2,)</f>
        <v>0</v>
      </c>
      <c r="X103" s="179">
        <f ca="1">IF(ISNUMBER(MATCH(DATEVALUE($A103),'recurring1_based on steps'!X$1:X$400,0)),X$2,)</f>
        <v>0</v>
      </c>
      <c r="Y103" s="179">
        <f ca="1">IF(ISNUMBER(MATCH(DATEVALUE($A103),'recurring1_based on steps'!Y$1:Y$400,0)),Y$2,)</f>
        <v>0</v>
      </c>
      <c r="Z103" s="179">
        <f ca="1">IF(ISNUMBER(MATCH(DATEVALUE($A103),'recurring1_based on steps'!Z$1:Z$400,0)),Z$2,)</f>
        <v>0</v>
      </c>
      <c r="AA103" s="179">
        <f ca="1">IF(ISNUMBER(MATCH(DATEVALUE($A103),'recurring1_based on steps'!AA$1:AA$400,0)),AA$2,)</f>
        <v>0</v>
      </c>
      <c r="AB103" s="179">
        <f ca="1">IF(ISNUMBER(MATCH(DATEVALUE($A103),'recurring1_based on steps'!AB$1:AB$400,0)),AB$2,)</f>
        <v>0</v>
      </c>
      <c r="AC103" s="179">
        <f ca="1">IF(ISNUMBER(MATCH(DATEVALUE($A103),'recurring1_based on steps'!AC$1:AC$400,0)),AC$2,)</f>
        <v>0</v>
      </c>
      <c r="AD103" s="179">
        <f ca="1">IF(ISNUMBER(MATCH(DATEVALUE($A103),'recurring1_based on steps'!AD$1:AD$400,0)),AD$2,)</f>
        <v>0</v>
      </c>
      <c r="AE103" s="179">
        <f ca="1">IF(ISNUMBER(MATCH(DATEVALUE($A103),'recurring1_based on steps'!AE$1:AE$400,0)),AE$2,)</f>
        <v>0</v>
      </c>
      <c r="AF103" s="179">
        <f ca="1">IF(ISNUMBER(MATCH(DATEVALUE($A103),'recurring1_based on steps'!AF$1:AF$400,0)),AF$2,)</f>
        <v>0</v>
      </c>
      <c r="AG103" s="179">
        <f ca="1">IF(ISNUMBER(MATCH(DATEVALUE($A103),'recurring1_based on steps'!AG$1:AG$400,0)),AG$2,)</f>
        <v>0</v>
      </c>
      <c r="AH103" s="179">
        <f ca="1">IF(ISNUMBER(MATCH(DATEVALUE($A103),'recurring1_based on steps'!AH$1:AH$400,0)),AH$2,)</f>
        <v>0</v>
      </c>
      <c r="AI103" s="179">
        <f ca="1">IF(ISNUMBER(MATCH(DATEVALUE($A103),'recurring1_based on steps'!AI$1:AI$400,0)),AI$2,)</f>
        <v>0</v>
      </c>
      <c r="AJ103" s="179">
        <f ca="1">IF(ISNUMBER(MATCH(DATEVALUE($A103),'recurring1_based on steps'!AJ$1:AJ$400,0)),AJ$2,)</f>
        <v>0</v>
      </c>
      <c r="AK103" s="179">
        <f ca="1">IF(ISNUMBER(MATCH(DATEVALUE($A103),'recurring1_based on steps'!AK$1:AK$400,0)),AK$2,)</f>
        <v>0</v>
      </c>
      <c r="AL103" s="179">
        <f ca="1">IF(ISNUMBER(MATCH(DATEVALUE($A103),'recurring1_based on steps'!AL$1:AL$400,0)),AL$2,)</f>
        <v>0</v>
      </c>
      <c r="AM103" s="179">
        <f ca="1">IF(ISNUMBER(MATCH(DATEVALUE($A103),'recurring1_based on steps'!AM$1:AM$400,0)),AM$2,)</f>
        <v>0</v>
      </c>
      <c r="AN103" s="179">
        <f ca="1">IF(ISNUMBER(MATCH(DATEVALUE($A103),'recurring1_based on steps'!AN$1:AN$400,0)),AN$2,)</f>
        <v>0</v>
      </c>
      <c r="AO103" s="179">
        <f ca="1">IF(ISNUMBER(MATCH(DATEVALUE($A103),'recurring1_based on steps'!AO$1:AO$400,0)),AO$2,)</f>
        <v>0</v>
      </c>
      <c r="AP103" s="179">
        <f ca="1">IF(ISNUMBER(MATCH(DATEVALUE($A103),'recurring1_based on steps'!AP$1:AP$400,0)),AP$2,)</f>
        <v>0</v>
      </c>
      <c r="AQ103" s="179">
        <f ca="1">IF(ISNUMBER(MATCH(DATEVALUE($A103),'recurring1_based on steps'!AQ$1:AQ$400,0)),AQ$2,)</f>
        <v>0</v>
      </c>
      <c r="AR103" s="179">
        <f ca="1">IF(ISNUMBER(MATCH(DATEVALUE($A103),'recurring1_based on steps'!AR$1:AR$400,0)),AR$2,)</f>
        <v>0</v>
      </c>
      <c r="AS103" s="179">
        <f ca="1">IF(ISNUMBER(MATCH(DATEVALUE($A103),'recurring1_based on steps'!AS$1:AS$400,0)),AS$2,)</f>
        <v>0</v>
      </c>
      <c r="AT103" s="179">
        <f ca="1">IF(ISNUMBER(MATCH(DATEVALUE($A103),'recurring1_based on steps'!AT$1:AT$400,0)),AT$2,)</f>
        <v>0</v>
      </c>
      <c r="AU103" s="179">
        <f ca="1">IF(ISNUMBER(MATCH(DATEVALUE($A103),'recurring1_based on steps'!AU$1:AU$400,0)),AU$2,)</f>
        <v>0</v>
      </c>
      <c r="AV103" s="179">
        <f ca="1">IF(ISNUMBER(MATCH(DATEVALUE($A103),'recurring1_based on steps'!AV$1:AV$400,0)),AV$2,)</f>
        <v>0</v>
      </c>
      <c r="AW103" s="179">
        <f ca="1">IF(ISNUMBER(MATCH(DATEVALUE($A103),'recurring1_based on steps'!AW$1:AW$400,0)),AW$2,)</f>
        <v>0</v>
      </c>
      <c r="AX103" s="179">
        <f ca="1">IF(ISNUMBER(MATCH(DATEVALUE($A103),'recurring1_based on steps'!AX$1:AX$400,0)),AX$2,)</f>
        <v>0</v>
      </c>
      <c r="AY103" s="179">
        <f ca="1">IF(ISNUMBER(MATCH(DATEVALUE($A103),'recurring1_based on steps'!AY$1:AY$400,0)),AY$2,)</f>
        <v>0</v>
      </c>
    </row>
    <row r="104" spans="1:51" x14ac:dyDescent="0.2">
      <c r="A104" s="32" t="str">
        <f t="shared" ca="1" si="1"/>
        <v>2025-07-15</v>
      </c>
      <c r="B104" s="179">
        <f ca="1">IF(ISNUMBER(MATCH(DATEVALUE($A104),'recurring1_based on steps'!B$1:B$400,0)),B$2,)</f>
        <v>0</v>
      </c>
      <c r="C104" s="179">
        <f ca="1">IF(ISNUMBER(MATCH(DATEVALUE($A104),'recurring1_based on steps'!C$1:C$400,0)),C$2,)</f>
        <v>0</v>
      </c>
      <c r="D104" s="179">
        <f ca="1">IF(ISNUMBER(MATCH(DATEVALUE($A104),'recurring1_based on steps'!D$1:D$400,0)),D$2,)</f>
        <v>0</v>
      </c>
      <c r="E104" s="179">
        <f ca="1">IF(ISNUMBER(MATCH(DATEVALUE($A104),'recurring1_based on steps'!E$1:E$400,0)),E$2,)</f>
        <v>0</v>
      </c>
      <c r="F104" s="179">
        <f ca="1">IF(ISNUMBER(MATCH(DATEVALUE($A104),'recurring1_based on steps'!F$1:F$400,0)),F$2,)</f>
        <v>0</v>
      </c>
      <c r="G104" s="179">
        <f ca="1">IF(ISNUMBER(MATCH(DATEVALUE($A104),'recurring1_based on steps'!G$1:G$400,0)),G$2,)</f>
        <v>0</v>
      </c>
      <c r="H104" s="179">
        <f ca="1">IF(ISNUMBER(MATCH(DATEVALUE($A104),'recurring1_based on steps'!H$1:H$400,0)),H$2,)</f>
        <v>0</v>
      </c>
      <c r="I104" s="179">
        <f ca="1">IF(ISNUMBER(MATCH(DATEVALUE($A104),'recurring1_based on steps'!I$1:I$400,0)),I$2,)</f>
        <v>0</v>
      </c>
      <c r="J104" s="179">
        <f ca="1">IF(ISNUMBER(MATCH(DATEVALUE($A104),'recurring1_based on steps'!J$1:J$400,0)),J$2,)</f>
        <v>0</v>
      </c>
      <c r="K104" s="179">
        <f ca="1">IF(ISNUMBER(MATCH(DATEVALUE($A104),'recurring1_based on steps'!K$1:K$400,0)),K$2,)</f>
        <v>0</v>
      </c>
      <c r="L104" s="179">
        <f ca="1">IF(ISNUMBER(MATCH(DATEVALUE($A104),'recurring1_based on steps'!L$1:L$400,0)),L$2,)</f>
        <v>0</v>
      </c>
      <c r="M104" s="179">
        <f ca="1">IF(ISNUMBER(MATCH(DATEVALUE($A104),'recurring1_based on steps'!M$1:M$400,0)),M$2,)</f>
        <v>0</v>
      </c>
      <c r="N104" s="179">
        <f ca="1">IF(ISNUMBER(MATCH(DATEVALUE($A104),'recurring1_based on steps'!N$1:N$400,0)),N$2,)</f>
        <v>0</v>
      </c>
      <c r="O104" s="179">
        <f ca="1">IF(ISNUMBER(MATCH(DATEVALUE($A104),'recurring1_based on steps'!O$1:O$400,0)),O$2,)</f>
        <v>0</v>
      </c>
      <c r="P104" s="179">
        <f ca="1">IF(ISNUMBER(MATCH(DATEVALUE($A104),'recurring1_based on steps'!P$1:P$400,0)),P$2,)</f>
        <v>0</v>
      </c>
      <c r="Q104" s="179">
        <f ca="1">IF(ISNUMBER(MATCH(DATEVALUE($A104),'recurring1_based on steps'!Q$1:Q$400,0)),Q$2,)</f>
        <v>0</v>
      </c>
      <c r="R104" s="179">
        <f ca="1">IF(ISNUMBER(MATCH(DATEVALUE($A104),'recurring1_based on steps'!R$1:R$400,0)),R$2,)</f>
        <v>0</v>
      </c>
      <c r="S104" s="179">
        <f ca="1">IF(ISNUMBER(MATCH(DATEVALUE($A104),'recurring1_based on steps'!S$1:S$400,0)),S$2,)</f>
        <v>0</v>
      </c>
      <c r="T104" s="179">
        <f ca="1">IF(ISNUMBER(MATCH(DATEVALUE($A104),'recurring1_based on steps'!T$1:T$400,0)),T$2,)</f>
        <v>0</v>
      </c>
      <c r="U104" s="179">
        <f ca="1">IF(ISNUMBER(MATCH(DATEVALUE($A104),'recurring1_based on steps'!U$1:U$400,0)),U$2,)</f>
        <v>0</v>
      </c>
      <c r="V104" s="179">
        <f ca="1">IF(ISNUMBER(MATCH(DATEVALUE($A104),'recurring1_based on steps'!V$1:V$400,0)),V$2,)</f>
        <v>0</v>
      </c>
      <c r="W104" s="179">
        <f ca="1">IF(ISNUMBER(MATCH(DATEVALUE($A104),'recurring1_based on steps'!W$1:W$400,0)),W$2,)</f>
        <v>0</v>
      </c>
      <c r="X104" s="179">
        <f ca="1">IF(ISNUMBER(MATCH(DATEVALUE($A104),'recurring1_based on steps'!X$1:X$400,0)),X$2,)</f>
        <v>0</v>
      </c>
      <c r="Y104" s="179">
        <f ca="1">IF(ISNUMBER(MATCH(DATEVALUE($A104),'recurring1_based on steps'!Y$1:Y$400,0)),Y$2,)</f>
        <v>0</v>
      </c>
      <c r="Z104" s="179">
        <f ca="1">IF(ISNUMBER(MATCH(DATEVALUE($A104),'recurring1_based on steps'!Z$1:Z$400,0)),Z$2,)</f>
        <v>0</v>
      </c>
      <c r="AA104" s="179">
        <f ca="1">IF(ISNUMBER(MATCH(DATEVALUE($A104),'recurring1_based on steps'!AA$1:AA$400,0)),AA$2,)</f>
        <v>0</v>
      </c>
      <c r="AB104" s="179">
        <f ca="1">IF(ISNUMBER(MATCH(DATEVALUE($A104),'recurring1_based on steps'!AB$1:AB$400,0)),AB$2,)</f>
        <v>0</v>
      </c>
      <c r="AC104" s="179">
        <f ca="1">IF(ISNUMBER(MATCH(DATEVALUE($A104),'recurring1_based on steps'!AC$1:AC$400,0)),AC$2,)</f>
        <v>0</v>
      </c>
      <c r="AD104" s="179">
        <f ca="1">IF(ISNUMBER(MATCH(DATEVALUE($A104),'recurring1_based on steps'!AD$1:AD$400,0)),AD$2,)</f>
        <v>0</v>
      </c>
      <c r="AE104" s="179">
        <f ca="1">IF(ISNUMBER(MATCH(DATEVALUE($A104),'recurring1_based on steps'!AE$1:AE$400,0)),AE$2,)</f>
        <v>0</v>
      </c>
      <c r="AF104" s="179">
        <f ca="1">IF(ISNUMBER(MATCH(DATEVALUE($A104),'recurring1_based on steps'!AF$1:AF$400,0)),AF$2,)</f>
        <v>0</v>
      </c>
      <c r="AG104" s="179">
        <f ca="1">IF(ISNUMBER(MATCH(DATEVALUE($A104),'recurring1_based on steps'!AG$1:AG$400,0)),AG$2,)</f>
        <v>0</v>
      </c>
      <c r="AH104" s="179">
        <f ca="1">IF(ISNUMBER(MATCH(DATEVALUE($A104),'recurring1_based on steps'!AH$1:AH$400,0)),AH$2,)</f>
        <v>0</v>
      </c>
      <c r="AI104" s="179">
        <f ca="1">IF(ISNUMBER(MATCH(DATEVALUE($A104),'recurring1_based on steps'!AI$1:AI$400,0)),AI$2,)</f>
        <v>0</v>
      </c>
      <c r="AJ104" s="179">
        <f ca="1">IF(ISNUMBER(MATCH(DATEVALUE($A104),'recurring1_based on steps'!AJ$1:AJ$400,0)),AJ$2,)</f>
        <v>0</v>
      </c>
      <c r="AK104" s="179">
        <f ca="1">IF(ISNUMBER(MATCH(DATEVALUE($A104),'recurring1_based on steps'!AK$1:AK$400,0)),AK$2,)</f>
        <v>0</v>
      </c>
      <c r="AL104" s="179">
        <f ca="1">IF(ISNUMBER(MATCH(DATEVALUE($A104),'recurring1_based on steps'!AL$1:AL$400,0)),AL$2,)</f>
        <v>0</v>
      </c>
      <c r="AM104" s="179">
        <f ca="1">IF(ISNUMBER(MATCH(DATEVALUE($A104),'recurring1_based on steps'!AM$1:AM$400,0)),AM$2,)</f>
        <v>0</v>
      </c>
      <c r="AN104" s="179">
        <f ca="1">IF(ISNUMBER(MATCH(DATEVALUE($A104),'recurring1_based on steps'!AN$1:AN$400,0)),AN$2,)</f>
        <v>0</v>
      </c>
      <c r="AO104" s="179">
        <f ca="1">IF(ISNUMBER(MATCH(DATEVALUE($A104),'recurring1_based on steps'!AO$1:AO$400,0)),AO$2,)</f>
        <v>0</v>
      </c>
      <c r="AP104" s="179">
        <f ca="1">IF(ISNUMBER(MATCH(DATEVALUE($A104),'recurring1_based on steps'!AP$1:AP$400,0)),AP$2,)</f>
        <v>0</v>
      </c>
      <c r="AQ104" s="179">
        <f ca="1">IF(ISNUMBER(MATCH(DATEVALUE($A104),'recurring1_based on steps'!AQ$1:AQ$400,0)),AQ$2,)</f>
        <v>0</v>
      </c>
      <c r="AR104" s="179">
        <f ca="1">IF(ISNUMBER(MATCH(DATEVALUE($A104),'recurring1_based on steps'!AR$1:AR$400,0)),AR$2,)</f>
        <v>0</v>
      </c>
      <c r="AS104" s="179">
        <f ca="1">IF(ISNUMBER(MATCH(DATEVALUE($A104),'recurring1_based on steps'!AS$1:AS$400,0)),AS$2,)</f>
        <v>0</v>
      </c>
      <c r="AT104" s="179">
        <f ca="1">IF(ISNUMBER(MATCH(DATEVALUE($A104),'recurring1_based on steps'!AT$1:AT$400,0)),AT$2,)</f>
        <v>0</v>
      </c>
      <c r="AU104" s="179">
        <f ca="1">IF(ISNUMBER(MATCH(DATEVALUE($A104),'recurring1_based on steps'!AU$1:AU$400,0)),AU$2,)</f>
        <v>0</v>
      </c>
      <c r="AV104" s="179">
        <f ca="1">IF(ISNUMBER(MATCH(DATEVALUE($A104),'recurring1_based on steps'!AV$1:AV$400,0)),AV$2,)</f>
        <v>0</v>
      </c>
      <c r="AW104" s="179">
        <f ca="1">IF(ISNUMBER(MATCH(DATEVALUE($A104),'recurring1_based on steps'!AW$1:AW$400,0)),AW$2,)</f>
        <v>0</v>
      </c>
      <c r="AX104" s="179">
        <f ca="1">IF(ISNUMBER(MATCH(DATEVALUE($A104),'recurring1_based on steps'!AX$1:AX$400,0)),AX$2,)</f>
        <v>0</v>
      </c>
      <c r="AY104" s="179">
        <f ca="1">IF(ISNUMBER(MATCH(DATEVALUE($A104),'recurring1_based on steps'!AY$1:AY$400,0)),AY$2,)</f>
        <v>0</v>
      </c>
    </row>
    <row r="105" spans="1:51" x14ac:dyDescent="0.2">
      <c r="A105" s="32" t="str">
        <f t="shared" ca="1" si="1"/>
        <v>2025-07-16</v>
      </c>
      <c r="B105" s="179">
        <f ca="1">IF(ISNUMBER(MATCH(DATEVALUE($A105),'recurring1_based on steps'!B$1:B$400,0)),B$2,)</f>
        <v>0</v>
      </c>
      <c r="C105" s="179">
        <f ca="1">IF(ISNUMBER(MATCH(DATEVALUE($A105),'recurring1_based on steps'!C$1:C$400,0)),C$2,)</f>
        <v>0</v>
      </c>
      <c r="D105" s="179">
        <f ca="1">IF(ISNUMBER(MATCH(DATEVALUE($A105),'recurring1_based on steps'!D$1:D$400,0)),D$2,)</f>
        <v>0</v>
      </c>
      <c r="E105" s="179">
        <f ca="1">IF(ISNUMBER(MATCH(DATEVALUE($A105),'recurring1_based on steps'!E$1:E$400,0)),E$2,)</f>
        <v>0</v>
      </c>
      <c r="F105" s="179">
        <f ca="1">IF(ISNUMBER(MATCH(DATEVALUE($A105),'recurring1_based on steps'!F$1:F$400,0)),F$2,)</f>
        <v>0</v>
      </c>
      <c r="G105" s="179">
        <f ca="1">IF(ISNUMBER(MATCH(DATEVALUE($A105),'recurring1_based on steps'!G$1:G$400,0)),G$2,)</f>
        <v>0</v>
      </c>
      <c r="H105" s="179">
        <f ca="1">IF(ISNUMBER(MATCH(DATEVALUE($A105),'recurring1_based on steps'!H$1:H$400,0)),H$2,)</f>
        <v>0</v>
      </c>
      <c r="I105" s="179">
        <f ca="1">IF(ISNUMBER(MATCH(DATEVALUE($A105),'recurring1_based on steps'!I$1:I$400,0)),I$2,)</f>
        <v>0</v>
      </c>
      <c r="J105" s="179">
        <f ca="1">IF(ISNUMBER(MATCH(DATEVALUE($A105),'recurring1_based on steps'!J$1:J$400,0)),J$2,)</f>
        <v>0</v>
      </c>
      <c r="K105" s="179">
        <f ca="1">IF(ISNUMBER(MATCH(DATEVALUE($A105),'recurring1_based on steps'!K$1:K$400,0)),K$2,)</f>
        <v>0</v>
      </c>
      <c r="L105" s="179">
        <f ca="1">IF(ISNUMBER(MATCH(DATEVALUE($A105),'recurring1_based on steps'!L$1:L$400,0)),L$2,)</f>
        <v>0</v>
      </c>
      <c r="M105" s="179">
        <f ca="1">IF(ISNUMBER(MATCH(DATEVALUE($A105),'recurring1_based on steps'!M$1:M$400,0)),M$2,)</f>
        <v>0</v>
      </c>
      <c r="N105" s="179">
        <f ca="1">IF(ISNUMBER(MATCH(DATEVALUE($A105),'recurring1_based on steps'!N$1:N$400,0)),N$2,)</f>
        <v>0</v>
      </c>
      <c r="O105" s="179">
        <f ca="1">IF(ISNUMBER(MATCH(DATEVALUE($A105),'recurring1_based on steps'!O$1:O$400,0)),O$2,)</f>
        <v>0</v>
      </c>
      <c r="P105" s="179">
        <f ca="1">IF(ISNUMBER(MATCH(DATEVALUE($A105),'recurring1_based on steps'!P$1:P$400,0)),P$2,)</f>
        <v>0</v>
      </c>
      <c r="Q105" s="179">
        <f ca="1">IF(ISNUMBER(MATCH(DATEVALUE($A105),'recurring1_based on steps'!Q$1:Q$400,0)),Q$2,)</f>
        <v>0</v>
      </c>
      <c r="R105" s="179">
        <f ca="1">IF(ISNUMBER(MATCH(DATEVALUE($A105),'recurring1_based on steps'!R$1:R$400,0)),R$2,)</f>
        <v>0</v>
      </c>
      <c r="S105" s="179">
        <f ca="1">IF(ISNUMBER(MATCH(DATEVALUE($A105),'recurring1_based on steps'!S$1:S$400,0)),S$2,)</f>
        <v>0</v>
      </c>
      <c r="T105" s="179">
        <f ca="1">IF(ISNUMBER(MATCH(DATEVALUE($A105),'recurring1_based on steps'!T$1:T$400,0)),T$2,)</f>
        <v>0</v>
      </c>
      <c r="U105" s="179">
        <f ca="1">IF(ISNUMBER(MATCH(DATEVALUE($A105),'recurring1_based on steps'!U$1:U$400,0)),U$2,)</f>
        <v>0</v>
      </c>
      <c r="V105" s="179">
        <f ca="1">IF(ISNUMBER(MATCH(DATEVALUE($A105),'recurring1_based on steps'!V$1:V$400,0)),V$2,)</f>
        <v>0</v>
      </c>
      <c r="W105" s="179">
        <f ca="1">IF(ISNUMBER(MATCH(DATEVALUE($A105),'recurring1_based on steps'!W$1:W$400,0)),W$2,)</f>
        <v>0</v>
      </c>
      <c r="X105" s="179">
        <f ca="1">IF(ISNUMBER(MATCH(DATEVALUE($A105),'recurring1_based on steps'!X$1:X$400,0)),X$2,)</f>
        <v>0</v>
      </c>
      <c r="Y105" s="179">
        <f ca="1">IF(ISNUMBER(MATCH(DATEVALUE($A105),'recurring1_based on steps'!Y$1:Y$400,0)),Y$2,)</f>
        <v>0</v>
      </c>
      <c r="Z105" s="179">
        <f ca="1">IF(ISNUMBER(MATCH(DATEVALUE($A105),'recurring1_based on steps'!Z$1:Z$400,0)),Z$2,)</f>
        <v>0</v>
      </c>
      <c r="AA105" s="179">
        <f ca="1">IF(ISNUMBER(MATCH(DATEVALUE($A105),'recurring1_based on steps'!AA$1:AA$400,0)),AA$2,)</f>
        <v>0</v>
      </c>
      <c r="AB105" s="179">
        <f ca="1">IF(ISNUMBER(MATCH(DATEVALUE($A105),'recurring1_based on steps'!AB$1:AB$400,0)),AB$2,)</f>
        <v>0</v>
      </c>
      <c r="AC105" s="179">
        <f ca="1">IF(ISNUMBER(MATCH(DATEVALUE($A105),'recurring1_based on steps'!AC$1:AC$400,0)),AC$2,)</f>
        <v>0</v>
      </c>
      <c r="AD105" s="179">
        <f ca="1">IF(ISNUMBER(MATCH(DATEVALUE($A105),'recurring1_based on steps'!AD$1:AD$400,0)),AD$2,)</f>
        <v>0</v>
      </c>
      <c r="AE105" s="179">
        <f ca="1">IF(ISNUMBER(MATCH(DATEVALUE($A105),'recurring1_based on steps'!AE$1:AE$400,0)),AE$2,)</f>
        <v>0</v>
      </c>
      <c r="AF105" s="179">
        <f ca="1">IF(ISNUMBER(MATCH(DATEVALUE($A105),'recurring1_based on steps'!AF$1:AF$400,0)),AF$2,)</f>
        <v>0</v>
      </c>
      <c r="AG105" s="179">
        <f ca="1">IF(ISNUMBER(MATCH(DATEVALUE($A105),'recurring1_based on steps'!AG$1:AG$400,0)),AG$2,)</f>
        <v>0</v>
      </c>
      <c r="AH105" s="179">
        <f ca="1">IF(ISNUMBER(MATCH(DATEVALUE($A105),'recurring1_based on steps'!AH$1:AH$400,0)),AH$2,)</f>
        <v>0</v>
      </c>
      <c r="AI105" s="179">
        <f ca="1">IF(ISNUMBER(MATCH(DATEVALUE($A105),'recurring1_based on steps'!AI$1:AI$400,0)),AI$2,)</f>
        <v>0</v>
      </c>
      <c r="AJ105" s="179">
        <f ca="1">IF(ISNUMBER(MATCH(DATEVALUE($A105),'recurring1_based on steps'!AJ$1:AJ$400,0)),AJ$2,)</f>
        <v>0</v>
      </c>
      <c r="AK105" s="179">
        <f ca="1">IF(ISNUMBER(MATCH(DATEVALUE($A105),'recurring1_based on steps'!AK$1:AK$400,0)),AK$2,)</f>
        <v>0</v>
      </c>
      <c r="AL105" s="179">
        <f ca="1">IF(ISNUMBER(MATCH(DATEVALUE($A105),'recurring1_based on steps'!AL$1:AL$400,0)),AL$2,)</f>
        <v>0</v>
      </c>
      <c r="AM105" s="179">
        <f ca="1">IF(ISNUMBER(MATCH(DATEVALUE($A105),'recurring1_based on steps'!AM$1:AM$400,0)),AM$2,)</f>
        <v>0</v>
      </c>
      <c r="AN105" s="179">
        <f ca="1">IF(ISNUMBER(MATCH(DATEVALUE($A105),'recurring1_based on steps'!AN$1:AN$400,0)),AN$2,)</f>
        <v>0</v>
      </c>
      <c r="AO105" s="179">
        <f ca="1">IF(ISNUMBER(MATCH(DATEVALUE($A105),'recurring1_based on steps'!AO$1:AO$400,0)),AO$2,)</f>
        <v>0</v>
      </c>
      <c r="AP105" s="179">
        <f ca="1">IF(ISNUMBER(MATCH(DATEVALUE($A105),'recurring1_based on steps'!AP$1:AP$400,0)),AP$2,)</f>
        <v>0</v>
      </c>
      <c r="AQ105" s="179">
        <f ca="1">IF(ISNUMBER(MATCH(DATEVALUE($A105),'recurring1_based on steps'!AQ$1:AQ$400,0)),AQ$2,)</f>
        <v>0</v>
      </c>
      <c r="AR105" s="179">
        <f ca="1">IF(ISNUMBER(MATCH(DATEVALUE($A105),'recurring1_based on steps'!AR$1:AR$400,0)),AR$2,)</f>
        <v>0</v>
      </c>
      <c r="AS105" s="179">
        <f ca="1">IF(ISNUMBER(MATCH(DATEVALUE($A105),'recurring1_based on steps'!AS$1:AS$400,0)),AS$2,)</f>
        <v>0</v>
      </c>
      <c r="AT105" s="179">
        <f ca="1">IF(ISNUMBER(MATCH(DATEVALUE($A105),'recurring1_based on steps'!AT$1:AT$400,0)),AT$2,)</f>
        <v>0</v>
      </c>
      <c r="AU105" s="179">
        <f ca="1">IF(ISNUMBER(MATCH(DATEVALUE($A105),'recurring1_based on steps'!AU$1:AU$400,0)),AU$2,)</f>
        <v>0</v>
      </c>
      <c r="AV105" s="179">
        <f ca="1">IF(ISNUMBER(MATCH(DATEVALUE($A105),'recurring1_based on steps'!AV$1:AV$400,0)),AV$2,)</f>
        <v>0</v>
      </c>
      <c r="AW105" s="179">
        <f ca="1">IF(ISNUMBER(MATCH(DATEVALUE($A105),'recurring1_based on steps'!AW$1:AW$400,0)),AW$2,)</f>
        <v>0</v>
      </c>
      <c r="AX105" s="179">
        <f ca="1">IF(ISNUMBER(MATCH(DATEVALUE($A105),'recurring1_based on steps'!AX$1:AX$400,0)),AX$2,)</f>
        <v>0</v>
      </c>
      <c r="AY105" s="179">
        <f ca="1">IF(ISNUMBER(MATCH(DATEVALUE($A105),'recurring1_based on steps'!AY$1:AY$400,0)),AY$2,)</f>
        <v>0</v>
      </c>
    </row>
    <row r="106" spans="1:51" x14ac:dyDescent="0.2">
      <c r="A106" s="32" t="str">
        <f t="shared" ca="1" si="1"/>
        <v>2025-07-17</v>
      </c>
      <c r="B106" s="179">
        <f ca="1">IF(ISNUMBER(MATCH(DATEVALUE($A106),'recurring1_based on steps'!B$1:B$400,0)),B$2,)</f>
        <v>0</v>
      </c>
      <c r="C106" s="179">
        <f ca="1">IF(ISNUMBER(MATCH(DATEVALUE($A106),'recurring1_based on steps'!C$1:C$400,0)),C$2,)</f>
        <v>0</v>
      </c>
      <c r="D106" s="179">
        <f ca="1">IF(ISNUMBER(MATCH(DATEVALUE($A106),'recurring1_based on steps'!D$1:D$400,0)),D$2,)</f>
        <v>0</v>
      </c>
      <c r="E106" s="179">
        <f ca="1">IF(ISNUMBER(MATCH(DATEVALUE($A106),'recurring1_based on steps'!E$1:E$400,0)),E$2,)</f>
        <v>0</v>
      </c>
      <c r="F106" s="179">
        <f ca="1">IF(ISNUMBER(MATCH(DATEVALUE($A106),'recurring1_based on steps'!F$1:F$400,0)),F$2,)</f>
        <v>0</v>
      </c>
      <c r="G106" s="179">
        <f ca="1">IF(ISNUMBER(MATCH(DATEVALUE($A106),'recurring1_based on steps'!G$1:G$400,0)),G$2,)</f>
        <v>0</v>
      </c>
      <c r="H106" s="179">
        <f ca="1">IF(ISNUMBER(MATCH(DATEVALUE($A106),'recurring1_based on steps'!H$1:H$400,0)),H$2,)</f>
        <v>0</v>
      </c>
      <c r="I106" s="179">
        <f ca="1">IF(ISNUMBER(MATCH(DATEVALUE($A106),'recurring1_based on steps'!I$1:I$400,0)),I$2,)</f>
        <v>0</v>
      </c>
      <c r="J106" s="179">
        <f ca="1">IF(ISNUMBER(MATCH(DATEVALUE($A106),'recurring1_based on steps'!J$1:J$400,0)),J$2,)</f>
        <v>0</v>
      </c>
      <c r="K106" s="179">
        <f ca="1">IF(ISNUMBER(MATCH(DATEVALUE($A106),'recurring1_based on steps'!K$1:K$400,0)),K$2,)</f>
        <v>0</v>
      </c>
      <c r="L106" s="179">
        <f ca="1">IF(ISNUMBER(MATCH(DATEVALUE($A106),'recurring1_based on steps'!L$1:L$400,0)),L$2,)</f>
        <v>0</v>
      </c>
      <c r="M106" s="179">
        <f ca="1">IF(ISNUMBER(MATCH(DATEVALUE($A106),'recurring1_based on steps'!M$1:M$400,0)),M$2,)</f>
        <v>0</v>
      </c>
      <c r="N106" s="179">
        <f ca="1">IF(ISNUMBER(MATCH(DATEVALUE($A106),'recurring1_based on steps'!N$1:N$400,0)),N$2,)</f>
        <v>0</v>
      </c>
      <c r="O106" s="179">
        <f ca="1">IF(ISNUMBER(MATCH(DATEVALUE($A106),'recurring1_based on steps'!O$1:O$400,0)),O$2,)</f>
        <v>0</v>
      </c>
      <c r="P106" s="179">
        <f ca="1">IF(ISNUMBER(MATCH(DATEVALUE($A106),'recurring1_based on steps'!P$1:P$400,0)),P$2,)</f>
        <v>0</v>
      </c>
      <c r="Q106" s="179">
        <f ca="1">IF(ISNUMBER(MATCH(DATEVALUE($A106),'recurring1_based on steps'!Q$1:Q$400,0)),Q$2,)</f>
        <v>0</v>
      </c>
      <c r="R106" s="179">
        <f ca="1">IF(ISNUMBER(MATCH(DATEVALUE($A106),'recurring1_based on steps'!R$1:R$400,0)),R$2,)</f>
        <v>0</v>
      </c>
      <c r="S106" s="179">
        <f ca="1">IF(ISNUMBER(MATCH(DATEVALUE($A106),'recurring1_based on steps'!S$1:S$400,0)),S$2,)</f>
        <v>0</v>
      </c>
      <c r="T106" s="179">
        <f ca="1">IF(ISNUMBER(MATCH(DATEVALUE($A106),'recurring1_based on steps'!T$1:T$400,0)),T$2,)</f>
        <v>0</v>
      </c>
      <c r="U106" s="179">
        <f ca="1">IF(ISNUMBER(MATCH(DATEVALUE($A106),'recurring1_based on steps'!U$1:U$400,0)),U$2,)</f>
        <v>0</v>
      </c>
      <c r="V106" s="179">
        <f ca="1">IF(ISNUMBER(MATCH(DATEVALUE($A106),'recurring1_based on steps'!V$1:V$400,0)),V$2,)</f>
        <v>0</v>
      </c>
      <c r="W106" s="179">
        <f ca="1">IF(ISNUMBER(MATCH(DATEVALUE($A106),'recurring1_based on steps'!W$1:W$400,0)),W$2,)</f>
        <v>0</v>
      </c>
      <c r="X106" s="179">
        <f ca="1">IF(ISNUMBER(MATCH(DATEVALUE($A106),'recurring1_based on steps'!X$1:X$400,0)),X$2,)</f>
        <v>0</v>
      </c>
      <c r="Y106" s="179">
        <f ca="1">IF(ISNUMBER(MATCH(DATEVALUE($A106),'recurring1_based on steps'!Y$1:Y$400,0)),Y$2,)</f>
        <v>0</v>
      </c>
      <c r="Z106" s="179">
        <f ca="1">IF(ISNUMBER(MATCH(DATEVALUE($A106),'recurring1_based on steps'!Z$1:Z$400,0)),Z$2,)</f>
        <v>0</v>
      </c>
      <c r="AA106" s="179">
        <f ca="1">IF(ISNUMBER(MATCH(DATEVALUE($A106),'recurring1_based on steps'!AA$1:AA$400,0)),AA$2,)</f>
        <v>0</v>
      </c>
      <c r="AB106" s="179">
        <f ca="1">IF(ISNUMBER(MATCH(DATEVALUE($A106),'recurring1_based on steps'!AB$1:AB$400,0)),AB$2,)</f>
        <v>0</v>
      </c>
      <c r="AC106" s="179">
        <f ca="1">IF(ISNUMBER(MATCH(DATEVALUE($A106),'recurring1_based on steps'!AC$1:AC$400,0)),AC$2,)</f>
        <v>0</v>
      </c>
      <c r="AD106" s="179">
        <f ca="1">IF(ISNUMBER(MATCH(DATEVALUE($A106),'recurring1_based on steps'!AD$1:AD$400,0)),AD$2,)</f>
        <v>0</v>
      </c>
      <c r="AE106" s="179">
        <f ca="1">IF(ISNUMBER(MATCH(DATEVALUE($A106),'recurring1_based on steps'!AE$1:AE$400,0)),AE$2,)</f>
        <v>0</v>
      </c>
      <c r="AF106" s="179">
        <f ca="1">IF(ISNUMBER(MATCH(DATEVALUE($A106),'recurring1_based on steps'!AF$1:AF$400,0)),AF$2,)</f>
        <v>0</v>
      </c>
      <c r="AG106" s="179">
        <f ca="1">IF(ISNUMBER(MATCH(DATEVALUE($A106),'recurring1_based on steps'!AG$1:AG$400,0)),AG$2,)</f>
        <v>0</v>
      </c>
      <c r="AH106" s="179">
        <f ca="1">IF(ISNUMBER(MATCH(DATEVALUE($A106),'recurring1_based on steps'!AH$1:AH$400,0)),AH$2,)</f>
        <v>0</v>
      </c>
      <c r="AI106" s="179">
        <f ca="1">IF(ISNUMBER(MATCH(DATEVALUE($A106),'recurring1_based on steps'!AI$1:AI$400,0)),AI$2,)</f>
        <v>0</v>
      </c>
      <c r="AJ106" s="179">
        <f ca="1">IF(ISNUMBER(MATCH(DATEVALUE($A106),'recurring1_based on steps'!AJ$1:AJ$400,0)),AJ$2,)</f>
        <v>0</v>
      </c>
      <c r="AK106" s="179">
        <f ca="1">IF(ISNUMBER(MATCH(DATEVALUE($A106),'recurring1_based on steps'!AK$1:AK$400,0)),AK$2,)</f>
        <v>0</v>
      </c>
      <c r="AL106" s="179">
        <f ca="1">IF(ISNUMBER(MATCH(DATEVALUE($A106),'recurring1_based on steps'!AL$1:AL$400,0)),AL$2,)</f>
        <v>0</v>
      </c>
      <c r="AM106" s="179">
        <f ca="1">IF(ISNUMBER(MATCH(DATEVALUE($A106),'recurring1_based on steps'!AM$1:AM$400,0)),AM$2,)</f>
        <v>0</v>
      </c>
      <c r="AN106" s="179">
        <f ca="1">IF(ISNUMBER(MATCH(DATEVALUE($A106),'recurring1_based on steps'!AN$1:AN$400,0)),AN$2,)</f>
        <v>0</v>
      </c>
      <c r="AO106" s="179">
        <f ca="1">IF(ISNUMBER(MATCH(DATEVALUE($A106),'recurring1_based on steps'!AO$1:AO$400,0)),AO$2,)</f>
        <v>0</v>
      </c>
      <c r="AP106" s="179">
        <f ca="1">IF(ISNUMBER(MATCH(DATEVALUE($A106),'recurring1_based on steps'!AP$1:AP$400,0)),AP$2,)</f>
        <v>0</v>
      </c>
      <c r="AQ106" s="179">
        <f ca="1">IF(ISNUMBER(MATCH(DATEVALUE($A106),'recurring1_based on steps'!AQ$1:AQ$400,0)),AQ$2,)</f>
        <v>0</v>
      </c>
      <c r="AR106" s="179">
        <f ca="1">IF(ISNUMBER(MATCH(DATEVALUE($A106),'recurring1_based on steps'!AR$1:AR$400,0)),AR$2,)</f>
        <v>0</v>
      </c>
      <c r="AS106" s="179">
        <f ca="1">IF(ISNUMBER(MATCH(DATEVALUE($A106),'recurring1_based on steps'!AS$1:AS$400,0)),AS$2,)</f>
        <v>0</v>
      </c>
      <c r="AT106" s="179">
        <f ca="1">IF(ISNUMBER(MATCH(DATEVALUE($A106),'recurring1_based on steps'!AT$1:AT$400,0)),AT$2,)</f>
        <v>0</v>
      </c>
      <c r="AU106" s="179">
        <f ca="1">IF(ISNUMBER(MATCH(DATEVALUE($A106),'recurring1_based on steps'!AU$1:AU$400,0)),AU$2,)</f>
        <v>0</v>
      </c>
      <c r="AV106" s="179">
        <f ca="1">IF(ISNUMBER(MATCH(DATEVALUE($A106),'recurring1_based on steps'!AV$1:AV$400,0)),AV$2,)</f>
        <v>0</v>
      </c>
      <c r="AW106" s="179">
        <f ca="1">IF(ISNUMBER(MATCH(DATEVALUE($A106),'recurring1_based on steps'!AW$1:AW$400,0)),AW$2,)</f>
        <v>0</v>
      </c>
      <c r="AX106" s="179">
        <f ca="1">IF(ISNUMBER(MATCH(DATEVALUE($A106),'recurring1_based on steps'!AX$1:AX$400,0)),AX$2,)</f>
        <v>0</v>
      </c>
      <c r="AY106" s="179">
        <f ca="1">IF(ISNUMBER(MATCH(DATEVALUE($A106),'recurring1_based on steps'!AY$1:AY$400,0)),AY$2,)</f>
        <v>0</v>
      </c>
    </row>
    <row r="107" spans="1:51" x14ac:dyDescent="0.2">
      <c r="A107" s="32" t="str">
        <f t="shared" ca="1" si="1"/>
        <v>2025-07-18</v>
      </c>
      <c r="B107" s="179">
        <f ca="1">IF(ISNUMBER(MATCH(DATEVALUE($A107),'recurring1_based on steps'!B$1:B$400,0)),B$2,)</f>
        <v>0</v>
      </c>
      <c r="C107" s="179">
        <f ca="1">IF(ISNUMBER(MATCH(DATEVALUE($A107),'recurring1_based on steps'!C$1:C$400,0)),C$2,)</f>
        <v>0</v>
      </c>
      <c r="D107" s="179">
        <f ca="1">IF(ISNUMBER(MATCH(DATEVALUE($A107),'recurring1_based on steps'!D$1:D$400,0)),D$2,)</f>
        <v>0</v>
      </c>
      <c r="E107" s="179">
        <f ca="1">IF(ISNUMBER(MATCH(DATEVALUE($A107),'recurring1_based on steps'!E$1:E$400,0)),E$2,)</f>
        <v>0</v>
      </c>
      <c r="F107" s="179">
        <f ca="1">IF(ISNUMBER(MATCH(DATEVALUE($A107),'recurring1_based on steps'!F$1:F$400,0)),F$2,)</f>
        <v>0</v>
      </c>
      <c r="G107" s="179">
        <f ca="1">IF(ISNUMBER(MATCH(DATEVALUE($A107),'recurring1_based on steps'!G$1:G$400,0)),G$2,)</f>
        <v>0</v>
      </c>
      <c r="H107" s="179">
        <f ca="1">IF(ISNUMBER(MATCH(DATEVALUE($A107),'recurring1_based on steps'!H$1:H$400,0)),H$2,)</f>
        <v>0</v>
      </c>
      <c r="I107" s="179">
        <f ca="1">IF(ISNUMBER(MATCH(DATEVALUE($A107),'recurring1_based on steps'!I$1:I$400,0)),I$2,)</f>
        <v>0</v>
      </c>
      <c r="J107" s="179">
        <f ca="1">IF(ISNUMBER(MATCH(DATEVALUE($A107),'recurring1_based on steps'!J$1:J$400,0)),J$2,)</f>
        <v>0</v>
      </c>
      <c r="K107" s="179">
        <f ca="1">IF(ISNUMBER(MATCH(DATEVALUE($A107),'recurring1_based on steps'!K$1:K$400,0)),K$2,)</f>
        <v>0</v>
      </c>
      <c r="L107" s="179">
        <f ca="1">IF(ISNUMBER(MATCH(DATEVALUE($A107),'recurring1_based on steps'!L$1:L$400,0)),L$2,)</f>
        <v>0</v>
      </c>
      <c r="M107" s="179">
        <f ca="1">IF(ISNUMBER(MATCH(DATEVALUE($A107),'recurring1_based on steps'!M$1:M$400,0)),M$2,)</f>
        <v>0</v>
      </c>
      <c r="N107" s="179">
        <f ca="1">IF(ISNUMBER(MATCH(DATEVALUE($A107),'recurring1_based on steps'!N$1:N$400,0)),N$2,)</f>
        <v>0</v>
      </c>
      <c r="O107" s="179">
        <f ca="1">IF(ISNUMBER(MATCH(DATEVALUE($A107),'recurring1_based on steps'!O$1:O$400,0)),O$2,)</f>
        <v>0</v>
      </c>
      <c r="P107" s="179">
        <f ca="1">IF(ISNUMBER(MATCH(DATEVALUE($A107),'recurring1_based on steps'!P$1:P$400,0)),P$2,)</f>
        <v>0</v>
      </c>
      <c r="Q107" s="179">
        <f ca="1">IF(ISNUMBER(MATCH(DATEVALUE($A107),'recurring1_based on steps'!Q$1:Q$400,0)),Q$2,)</f>
        <v>0</v>
      </c>
      <c r="R107" s="179">
        <f ca="1">IF(ISNUMBER(MATCH(DATEVALUE($A107),'recurring1_based on steps'!R$1:R$400,0)),R$2,)</f>
        <v>0</v>
      </c>
      <c r="S107" s="179">
        <f ca="1">IF(ISNUMBER(MATCH(DATEVALUE($A107),'recurring1_based on steps'!S$1:S$400,0)),S$2,)</f>
        <v>0</v>
      </c>
      <c r="T107" s="179">
        <f ca="1">IF(ISNUMBER(MATCH(DATEVALUE($A107),'recurring1_based on steps'!T$1:T$400,0)),T$2,)</f>
        <v>0</v>
      </c>
      <c r="U107" s="179">
        <f ca="1">IF(ISNUMBER(MATCH(DATEVALUE($A107),'recurring1_based on steps'!U$1:U$400,0)),U$2,)</f>
        <v>0</v>
      </c>
      <c r="V107" s="179">
        <f ca="1">IF(ISNUMBER(MATCH(DATEVALUE($A107),'recurring1_based on steps'!V$1:V$400,0)),V$2,)</f>
        <v>0</v>
      </c>
      <c r="W107" s="179">
        <f ca="1">IF(ISNUMBER(MATCH(DATEVALUE($A107),'recurring1_based on steps'!W$1:W$400,0)),W$2,)</f>
        <v>0</v>
      </c>
      <c r="X107" s="179">
        <f ca="1">IF(ISNUMBER(MATCH(DATEVALUE($A107),'recurring1_based on steps'!X$1:X$400,0)),X$2,)</f>
        <v>0</v>
      </c>
      <c r="Y107" s="179">
        <f ca="1">IF(ISNUMBER(MATCH(DATEVALUE($A107),'recurring1_based on steps'!Y$1:Y$400,0)),Y$2,)</f>
        <v>0</v>
      </c>
      <c r="Z107" s="179">
        <f ca="1">IF(ISNUMBER(MATCH(DATEVALUE($A107),'recurring1_based on steps'!Z$1:Z$400,0)),Z$2,)</f>
        <v>0</v>
      </c>
      <c r="AA107" s="179">
        <f ca="1">IF(ISNUMBER(MATCH(DATEVALUE($A107),'recurring1_based on steps'!AA$1:AA$400,0)),AA$2,)</f>
        <v>0</v>
      </c>
      <c r="AB107" s="179">
        <f ca="1">IF(ISNUMBER(MATCH(DATEVALUE($A107),'recurring1_based on steps'!AB$1:AB$400,0)),AB$2,)</f>
        <v>0</v>
      </c>
      <c r="AC107" s="179">
        <f ca="1">IF(ISNUMBER(MATCH(DATEVALUE($A107),'recurring1_based on steps'!AC$1:AC$400,0)),AC$2,)</f>
        <v>0</v>
      </c>
      <c r="AD107" s="179">
        <f ca="1">IF(ISNUMBER(MATCH(DATEVALUE($A107),'recurring1_based on steps'!AD$1:AD$400,0)),AD$2,)</f>
        <v>0</v>
      </c>
      <c r="AE107" s="179">
        <f ca="1">IF(ISNUMBER(MATCH(DATEVALUE($A107),'recurring1_based on steps'!AE$1:AE$400,0)),AE$2,)</f>
        <v>0</v>
      </c>
      <c r="AF107" s="179">
        <f ca="1">IF(ISNUMBER(MATCH(DATEVALUE($A107),'recurring1_based on steps'!AF$1:AF$400,0)),AF$2,)</f>
        <v>0</v>
      </c>
      <c r="AG107" s="179">
        <f ca="1">IF(ISNUMBER(MATCH(DATEVALUE($A107),'recurring1_based on steps'!AG$1:AG$400,0)),AG$2,)</f>
        <v>0</v>
      </c>
      <c r="AH107" s="179">
        <f ca="1">IF(ISNUMBER(MATCH(DATEVALUE($A107),'recurring1_based on steps'!AH$1:AH$400,0)),AH$2,)</f>
        <v>0</v>
      </c>
      <c r="AI107" s="179">
        <f ca="1">IF(ISNUMBER(MATCH(DATEVALUE($A107),'recurring1_based on steps'!AI$1:AI$400,0)),AI$2,)</f>
        <v>0</v>
      </c>
      <c r="AJ107" s="179">
        <f ca="1">IF(ISNUMBER(MATCH(DATEVALUE($A107),'recurring1_based on steps'!AJ$1:AJ$400,0)),AJ$2,)</f>
        <v>0</v>
      </c>
      <c r="AK107" s="179">
        <f ca="1">IF(ISNUMBER(MATCH(DATEVALUE($A107),'recurring1_based on steps'!AK$1:AK$400,0)),AK$2,)</f>
        <v>0</v>
      </c>
      <c r="AL107" s="179">
        <f ca="1">IF(ISNUMBER(MATCH(DATEVALUE($A107),'recurring1_based on steps'!AL$1:AL$400,0)),AL$2,)</f>
        <v>0</v>
      </c>
      <c r="AM107" s="179">
        <f ca="1">IF(ISNUMBER(MATCH(DATEVALUE($A107),'recurring1_based on steps'!AM$1:AM$400,0)),AM$2,)</f>
        <v>0</v>
      </c>
      <c r="AN107" s="179">
        <f ca="1">IF(ISNUMBER(MATCH(DATEVALUE($A107),'recurring1_based on steps'!AN$1:AN$400,0)),AN$2,)</f>
        <v>0</v>
      </c>
      <c r="AO107" s="179">
        <f ca="1">IF(ISNUMBER(MATCH(DATEVALUE($A107),'recurring1_based on steps'!AO$1:AO$400,0)),AO$2,)</f>
        <v>0</v>
      </c>
      <c r="AP107" s="179">
        <f ca="1">IF(ISNUMBER(MATCH(DATEVALUE($A107),'recurring1_based on steps'!AP$1:AP$400,0)),AP$2,)</f>
        <v>0</v>
      </c>
      <c r="AQ107" s="179">
        <f ca="1">IF(ISNUMBER(MATCH(DATEVALUE($A107),'recurring1_based on steps'!AQ$1:AQ$400,0)),AQ$2,)</f>
        <v>0</v>
      </c>
      <c r="AR107" s="179">
        <f ca="1">IF(ISNUMBER(MATCH(DATEVALUE($A107),'recurring1_based on steps'!AR$1:AR$400,0)),AR$2,)</f>
        <v>0</v>
      </c>
      <c r="AS107" s="179">
        <f ca="1">IF(ISNUMBER(MATCH(DATEVALUE($A107),'recurring1_based on steps'!AS$1:AS$400,0)),AS$2,)</f>
        <v>0</v>
      </c>
      <c r="AT107" s="179">
        <f ca="1">IF(ISNUMBER(MATCH(DATEVALUE($A107),'recurring1_based on steps'!AT$1:AT$400,0)),AT$2,)</f>
        <v>0</v>
      </c>
      <c r="AU107" s="179">
        <f ca="1">IF(ISNUMBER(MATCH(DATEVALUE($A107),'recurring1_based on steps'!AU$1:AU$400,0)),AU$2,)</f>
        <v>0</v>
      </c>
      <c r="AV107" s="179">
        <f ca="1">IF(ISNUMBER(MATCH(DATEVALUE($A107),'recurring1_based on steps'!AV$1:AV$400,0)),AV$2,)</f>
        <v>0</v>
      </c>
      <c r="AW107" s="179">
        <f ca="1">IF(ISNUMBER(MATCH(DATEVALUE($A107),'recurring1_based on steps'!AW$1:AW$400,0)),AW$2,)</f>
        <v>0</v>
      </c>
      <c r="AX107" s="179">
        <f ca="1">IF(ISNUMBER(MATCH(DATEVALUE($A107),'recurring1_based on steps'!AX$1:AX$400,0)),AX$2,)</f>
        <v>0</v>
      </c>
      <c r="AY107" s="179">
        <f ca="1">IF(ISNUMBER(MATCH(DATEVALUE($A107),'recurring1_based on steps'!AY$1:AY$400,0)),AY$2,)</f>
        <v>0</v>
      </c>
    </row>
    <row r="108" spans="1:51" x14ac:dyDescent="0.2">
      <c r="A108" s="32" t="str">
        <f t="shared" ca="1" si="1"/>
        <v>2025-07-19</v>
      </c>
      <c r="B108" s="179">
        <f ca="1">IF(ISNUMBER(MATCH(DATEVALUE($A108),'recurring1_based on steps'!B$1:B$400,0)),B$2,)</f>
        <v>0</v>
      </c>
      <c r="C108" s="179">
        <f ca="1">IF(ISNUMBER(MATCH(DATEVALUE($A108),'recurring1_based on steps'!C$1:C$400,0)),C$2,)</f>
        <v>0</v>
      </c>
      <c r="D108" s="179">
        <f ca="1">IF(ISNUMBER(MATCH(DATEVALUE($A108),'recurring1_based on steps'!D$1:D$400,0)),D$2,)</f>
        <v>0</v>
      </c>
      <c r="E108" s="179">
        <f ca="1">IF(ISNUMBER(MATCH(DATEVALUE($A108),'recurring1_based on steps'!E$1:E$400,0)),E$2,)</f>
        <v>0</v>
      </c>
      <c r="F108" s="179">
        <f ca="1">IF(ISNUMBER(MATCH(DATEVALUE($A108),'recurring1_based on steps'!F$1:F$400,0)),F$2,)</f>
        <v>0</v>
      </c>
      <c r="G108" s="179">
        <f ca="1">IF(ISNUMBER(MATCH(DATEVALUE($A108),'recurring1_based on steps'!G$1:G$400,0)),G$2,)</f>
        <v>0</v>
      </c>
      <c r="H108" s="179">
        <f ca="1">IF(ISNUMBER(MATCH(DATEVALUE($A108),'recurring1_based on steps'!H$1:H$400,0)),H$2,)</f>
        <v>0</v>
      </c>
      <c r="I108" s="179">
        <f ca="1">IF(ISNUMBER(MATCH(DATEVALUE($A108),'recurring1_based on steps'!I$1:I$400,0)),I$2,)</f>
        <v>0</v>
      </c>
      <c r="J108" s="179">
        <f ca="1">IF(ISNUMBER(MATCH(DATEVALUE($A108),'recurring1_based on steps'!J$1:J$400,0)),J$2,)</f>
        <v>0</v>
      </c>
      <c r="K108" s="179">
        <f ca="1">IF(ISNUMBER(MATCH(DATEVALUE($A108),'recurring1_based on steps'!K$1:K$400,0)),K$2,)</f>
        <v>0</v>
      </c>
      <c r="L108" s="179">
        <f ca="1">IF(ISNUMBER(MATCH(DATEVALUE($A108),'recurring1_based on steps'!L$1:L$400,0)),L$2,)</f>
        <v>0</v>
      </c>
      <c r="M108" s="179">
        <f ca="1">IF(ISNUMBER(MATCH(DATEVALUE($A108),'recurring1_based on steps'!M$1:M$400,0)),M$2,)</f>
        <v>0</v>
      </c>
      <c r="N108" s="179">
        <f ca="1">IF(ISNUMBER(MATCH(DATEVALUE($A108),'recurring1_based on steps'!N$1:N$400,0)),N$2,)</f>
        <v>0</v>
      </c>
      <c r="O108" s="179">
        <f ca="1">IF(ISNUMBER(MATCH(DATEVALUE($A108),'recurring1_based on steps'!O$1:O$400,0)),O$2,)</f>
        <v>0</v>
      </c>
      <c r="P108" s="179">
        <f ca="1">IF(ISNUMBER(MATCH(DATEVALUE($A108),'recurring1_based on steps'!P$1:P$400,0)),P$2,)</f>
        <v>0</v>
      </c>
      <c r="Q108" s="179">
        <f ca="1">IF(ISNUMBER(MATCH(DATEVALUE($A108),'recurring1_based on steps'!Q$1:Q$400,0)),Q$2,)</f>
        <v>0</v>
      </c>
      <c r="R108" s="179">
        <f ca="1">IF(ISNUMBER(MATCH(DATEVALUE($A108),'recurring1_based on steps'!R$1:R$400,0)),R$2,)</f>
        <v>0</v>
      </c>
      <c r="S108" s="179">
        <f ca="1">IF(ISNUMBER(MATCH(DATEVALUE($A108),'recurring1_based on steps'!S$1:S$400,0)),S$2,)</f>
        <v>0</v>
      </c>
      <c r="T108" s="179">
        <f ca="1">IF(ISNUMBER(MATCH(DATEVALUE($A108),'recurring1_based on steps'!T$1:T$400,0)),T$2,)</f>
        <v>0</v>
      </c>
      <c r="U108" s="179">
        <f ca="1">IF(ISNUMBER(MATCH(DATEVALUE($A108),'recurring1_based on steps'!U$1:U$400,0)),U$2,)</f>
        <v>0</v>
      </c>
      <c r="V108" s="179">
        <f ca="1">IF(ISNUMBER(MATCH(DATEVALUE($A108),'recurring1_based on steps'!V$1:V$400,0)),V$2,)</f>
        <v>0</v>
      </c>
      <c r="W108" s="179">
        <f ca="1">IF(ISNUMBER(MATCH(DATEVALUE($A108),'recurring1_based on steps'!W$1:W$400,0)),W$2,)</f>
        <v>0</v>
      </c>
      <c r="X108" s="179">
        <f ca="1">IF(ISNUMBER(MATCH(DATEVALUE($A108),'recurring1_based on steps'!X$1:X$400,0)),X$2,)</f>
        <v>0</v>
      </c>
      <c r="Y108" s="179">
        <f ca="1">IF(ISNUMBER(MATCH(DATEVALUE($A108),'recurring1_based on steps'!Y$1:Y$400,0)),Y$2,)</f>
        <v>0</v>
      </c>
      <c r="Z108" s="179">
        <f ca="1">IF(ISNUMBER(MATCH(DATEVALUE($A108),'recurring1_based on steps'!Z$1:Z$400,0)),Z$2,)</f>
        <v>0</v>
      </c>
      <c r="AA108" s="179">
        <f ca="1">IF(ISNUMBER(MATCH(DATEVALUE($A108),'recurring1_based on steps'!AA$1:AA$400,0)),AA$2,)</f>
        <v>0</v>
      </c>
      <c r="AB108" s="179">
        <f ca="1">IF(ISNUMBER(MATCH(DATEVALUE($A108),'recurring1_based on steps'!AB$1:AB$400,0)),AB$2,)</f>
        <v>0</v>
      </c>
      <c r="AC108" s="179">
        <f ca="1">IF(ISNUMBER(MATCH(DATEVALUE($A108),'recurring1_based on steps'!AC$1:AC$400,0)),AC$2,)</f>
        <v>0</v>
      </c>
      <c r="AD108" s="179">
        <f ca="1">IF(ISNUMBER(MATCH(DATEVALUE($A108),'recurring1_based on steps'!AD$1:AD$400,0)),AD$2,)</f>
        <v>0</v>
      </c>
      <c r="AE108" s="179">
        <f ca="1">IF(ISNUMBER(MATCH(DATEVALUE($A108),'recurring1_based on steps'!AE$1:AE$400,0)),AE$2,)</f>
        <v>0</v>
      </c>
      <c r="AF108" s="179">
        <f ca="1">IF(ISNUMBER(MATCH(DATEVALUE($A108),'recurring1_based on steps'!AF$1:AF$400,0)),AF$2,)</f>
        <v>0</v>
      </c>
      <c r="AG108" s="179">
        <f ca="1">IF(ISNUMBER(MATCH(DATEVALUE($A108),'recurring1_based on steps'!AG$1:AG$400,0)),AG$2,)</f>
        <v>0</v>
      </c>
      <c r="AH108" s="179">
        <f ca="1">IF(ISNUMBER(MATCH(DATEVALUE($A108),'recurring1_based on steps'!AH$1:AH$400,0)),AH$2,)</f>
        <v>0</v>
      </c>
      <c r="AI108" s="179">
        <f ca="1">IF(ISNUMBER(MATCH(DATEVALUE($A108),'recurring1_based on steps'!AI$1:AI$400,0)),AI$2,)</f>
        <v>0</v>
      </c>
      <c r="AJ108" s="179">
        <f ca="1">IF(ISNUMBER(MATCH(DATEVALUE($A108),'recurring1_based on steps'!AJ$1:AJ$400,0)),AJ$2,)</f>
        <v>0</v>
      </c>
      <c r="AK108" s="179">
        <f ca="1">IF(ISNUMBER(MATCH(DATEVALUE($A108),'recurring1_based on steps'!AK$1:AK$400,0)),AK$2,)</f>
        <v>0</v>
      </c>
      <c r="AL108" s="179">
        <f ca="1">IF(ISNUMBER(MATCH(DATEVALUE($A108),'recurring1_based on steps'!AL$1:AL$400,0)),AL$2,)</f>
        <v>0</v>
      </c>
      <c r="AM108" s="179">
        <f ca="1">IF(ISNUMBER(MATCH(DATEVALUE($A108),'recurring1_based on steps'!AM$1:AM$400,0)),AM$2,)</f>
        <v>0</v>
      </c>
      <c r="AN108" s="179">
        <f ca="1">IF(ISNUMBER(MATCH(DATEVALUE($A108),'recurring1_based on steps'!AN$1:AN$400,0)),AN$2,)</f>
        <v>0</v>
      </c>
      <c r="AO108" s="179">
        <f ca="1">IF(ISNUMBER(MATCH(DATEVALUE($A108),'recurring1_based on steps'!AO$1:AO$400,0)),AO$2,)</f>
        <v>0</v>
      </c>
      <c r="AP108" s="179">
        <f ca="1">IF(ISNUMBER(MATCH(DATEVALUE($A108),'recurring1_based on steps'!AP$1:AP$400,0)),AP$2,)</f>
        <v>0</v>
      </c>
      <c r="AQ108" s="179">
        <f ca="1">IF(ISNUMBER(MATCH(DATEVALUE($A108),'recurring1_based on steps'!AQ$1:AQ$400,0)),AQ$2,)</f>
        <v>0</v>
      </c>
      <c r="AR108" s="179">
        <f ca="1">IF(ISNUMBER(MATCH(DATEVALUE($A108),'recurring1_based on steps'!AR$1:AR$400,0)),AR$2,)</f>
        <v>0</v>
      </c>
      <c r="AS108" s="179">
        <f ca="1">IF(ISNUMBER(MATCH(DATEVALUE($A108),'recurring1_based on steps'!AS$1:AS$400,0)),AS$2,)</f>
        <v>0</v>
      </c>
      <c r="AT108" s="179">
        <f ca="1">IF(ISNUMBER(MATCH(DATEVALUE($A108),'recurring1_based on steps'!AT$1:AT$400,0)),AT$2,)</f>
        <v>0</v>
      </c>
      <c r="AU108" s="179">
        <f ca="1">IF(ISNUMBER(MATCH(DATEVALUE($A108),'recurring1_based on steps'!AU$1:AU$400,0)),AU$2,)</f>
        <v>0</v>
      </c>
      <c r="AV108" s="179">
        <f ca="1">IF(ISNUMBER(MATCH(DATEVALUE($A108),'recurring1_based on steps'!AV$1:AV$400,0)),AV$2,)</f>
        <v>0</v>
      </c>
      <c r="AW108" s="179">
        <f ca="1">IF(ISNUMBER(MATCH(DATEVALUE($A108),'recurring1_based on steps'!AW$1:AW$400,0)),AW$2,)</f>
        <v>0</v>
      </c>
      <c r="AX108" s="179">
        <f ca="1">IF(ISNUMBER(MATCH(DATEVALUE($A108),'recurring1_based on steps'!AX$1:AX$400,0)),AX$2,)</f>
        <v>0</v>
      </c>
      <c r="AY108" s="179">
        <f ca="1">IF(ISNUMBER(MATCH(DATEVALUE($A108),'recurring1_based on steps'!AY$1:AY$400,0)),AY$2,)</f>
        <v>0</v>
      </c>
    </row>
    <row r="109" spans="1:51" x14ac:dyDescent="0.2">
      <c r="A109" s="32" t="str">
        <f t="shared" ca="1" si="1"/>
        <v>2025-07-20</v>
      </c>
      <c r="B109" s="179">
        <f ca="1">IF(ISNUMBER(MATCH(DATEVALUE($A109),'recurring1_based on steps'!B$1:B$400,0)),B$2,)</f>
        <v>0</v>
      </c>
      <c r="C109" s="179">
        <f ca="1">IF(ISNUMBER(MATCH(DATEVALUE($A109),'recurring1_based on steps'!C$1:C$400,0)),C$2,)</f>
        <v>0</v>
      </c>
      <c r="D109" s="179">
        <f ca="1">IF(ISNUMBER(MATCH(DATEVALUE($A109),'recurring1_based on steps'!D$1:D$400,0)),D$2,)</f>
        <v>0</v>
      </c>
      <c r="E109" s="179">
        <f ca="1">IF(ISNUMBER(MATCH(DATEVALUE($A109),'recurring1_based on steps'!E$1:E$400,0)),E$2,)</f>
        <v>0</v>
      </c>
      <c r="F109" s="179">
        <f ca="1">IF(ISNUMBER(MATCH(DATEVALUE($A109),'recurring1_based on steps'!F$1:F$400,0)),F$2,)</f>
        <v>0</v>
      </c>
      <c r="G109" s="179">
        <f ca="1">IF(ISNUMBER(MATCH(DATEVALUE($A109),'recurring1_based on steps'!G$1:G$400,0)),G$2,)</f>
        <v>0</v>
      </c>
      <c r="H109" s="179">
        <f ca="1">IF(ISNUMBER(MATCH(DATEVALUE($A109),'recurring1_based on steps'!H$1:H$400,0)),H$2,)</f>
        <v>0</v>
      </c>
      <c r="I109" s="179">
        <f ca="1">IF(ISNUMBER(MATCH(DATEVALUE($A109),'recurring1_based on steps'!I$1:I$400,0)),I$2,)</f>
        <v>0</v>
      </c>
      <c r="J109" s="179">
        <f ca="1">IF(ISNUMBER(MATCH(DATEVALUE($A109),'recurring1_based on steps'!J$1:J$400,0)),J$2,)</f>
        <v>0</v>
      </c>
      <c r="K109" s="179">
        <f ca="1">IF(ISNUMBER(MATCH(DATEVALUE($A109),'recurring1_based on steps'!K$1:K$400,0)),K$2,)</f>
        <v>0</v>
      </c>
      <c r="L109" s="179">
        <f ca="1">IF(ISNUMBER(MATCH(DATEVALUE($A109),'recurring1_based on steps'!L$1:L$400,0)),L$2,)</f>
        <v>0</v>
      </c>
      <c r="M109" s="179">
        <f ca="1">IF(ISNUMBER(MATCH(DATEVALUE($A109),'recurring1_based on steps'!M$1:M$400,0)),M$2,)</f>
        <v>0</v>
      </c>
      <c r="N109" s="179">
        <f ca="1">IF(ISNUMBER(MATCH(DATEVALUE($A109),'recurring1_based on steps'!N$1:N$400,0)),N$2,)</f>
        <v>0</v>
      </c>
      <c r="O109" s="179">
        <f ca="1">IF(ISNUMBER(MATCH(DATEVALUE($A109),'recurring1_based on steps'!O$1:O$400,0)),O$2,)</f>
        <v>0</v>
      </c>
      <c r="P109" s="179">
        <f ca="1">IF(ISNUMBER(MATCH(DATEVALUE($A109),'recurring1_based on steps'!P$1:P$400,0)),P$2,)</f>
        <v>0</v>
      </c>
      <c r="Q109" s="179">
        <f ca="1">IF(ISNUMBER(MATCH(DATEVALUE($A109),'recurring1_based on steps'!Q$1:Q$400,0)),Q$2,)</f>
        <v>0</v>
      </c>
      <c r="R109" s="179">
        <f ca="1">IF(ISNUMBER(MATCH(DATEVALUE($A109),'recurring1_based on steps'!R$1:R$400,0)),R$2,)</f>
        <v>0</v>
      </c>
      <c r="S109" s="179">
        <f ca="1">IF(ISNUMBER(MATCH(DATEVALUE($A109),'recurring1_based on steps'!S$1:S$400,0)),S$2,)</f>
        <v>0</v>
      </c>
      <c r="T109" s="179">
        <f ca="1">IF(ISNUMBER(MATCH(DATEVALUE($A109),'recurring1_based on steps'!T$1:T$400,0)),T$2,)</f>
        <v>0</v>
      </c>
      <c r="U109" s="179">
        <f ca="1">IF(ISNUMBER(MATCH(DATEVALUE($A109),'recurring1_based on steps'!U$1:U$400,0)),U$2,)</f>
        <v>0</v>
      </c>
      <c r="V109" s="179">
        <f ca="1">IF(ISNUMBER(MATCH(DATEVALUE($A109),'recurring1_based on steps'!V$1:V$400,0)),V$2,)</f>
        <v>0</v>
      </c>
      <c r="W109" s="179">
        <f ca="1">IF(ISNUMBER(MATCH(DATEVALUE($A109),'recurring1_based on steps'!W$1:W$400,0)),W$2,)</f>
        <v>0</v>
      </c>
      <c r="X109" s="179">
        <f ca="1">IF(ISNUMBER(MATCH(DATEVALUE($A109),'recurring1_based on steps'!X$1:X$400,0)),X$2,)</f>
        <v>0</v>
      </c>
      <c r="Y109" s="179">
        <f ca="1">IF(ISNUMBER(MATCH(DATEVALUE($A109),'recurring1_based on steps'!Y$1:Y$400,0)),Y$2,)</f>
        <v>0</v>
      </c>
      <c r="Z109" s="179">
        <f ca="1">IF(ISNUMBER(MATCH(DATEVALUE($A109),'recurring1_based on steps'!Z$1:Z$400,0)),Z$2,)</f>
        <v>0</v>
      </c>
      <c r="AA109" s="179">
        <f ca="1">IF(ISNUMBER(MATCH(DATEVALUE($A109),'recurring1_based on steps'!AA$1:AA$400,0)),AA$2,)</f>
        <v>0</v>
      </c>
      <c r="AB109" s="179">
        <f ca="1">IF(ISNUMBER(MATCH(DATEVALUE($A109),'recurring1_based on steps'!AB$1:AB$400,0)),AB$2,)</f>
        <v>0</v>
      </c>
      <c r="AC109" s="179">
        <f ca="1">IF(ISNUMBER(MATCH(DATEVALUE($A109),'recurring1_based on steps'!AC$1:AC$400,0)),AC$2,)</f>
        <v>0</v>
      </c>
      <c r="AD109" s="179">
        <f ca="1">IF(ISNUMBER(MATCH(DATEVALUE($A109),'recurring1_based on steps'!AD$1:AD$400,0)),AD$2,)</f>
        <v>0</v>
      </c>
      <c r="AE109" s="179">
        <f ca="1">IF(ISNUMBER(MATCH(DATEVALUE($A109),'recurring1_based on steps'!AE$1:AE$400,0)),AE$2,)</f>
        <v>0</v>
      </c>
      <c r="AF109" s="179">
        <f ca="1">IF(ISNUMBER(MATCH(DATEVALUE($A109),'recurring1_based on steps'!AF$1:AF$400,0)),AF$2,)</f>
        <v>0</v>
      </c>
      <c r="AG109" s="179">
        <f ca="1">IF(ISNUMBER(MATCH(DATEVALUE($A109),'recurring1_based on steps'!AG$1:AG$400,0)),AG$2,)</f>
        <v>0</v>
      </c>
      <c r="AH109" s="179">
        <f ca="1">IF(ISNUMBER(MATCH(DATEVALUE($A109),'recurring1_based on steps'!AH$1:AH$400,0)),AH$2,)</f>
        <v>0</v>
      </c>
      <c r="AI109" s="179">
        <f ca="1">IF(ISNUMBER(MATCH(DATEVALUE($A109),'recurring1_based on steps'!AI$1:AI$400,0)),AI$2,)</f>
        <v>0</v>
      </c>
      <c r="AJ109" s="179">
        <f ca="1">IF(ISNUMBER(MATCH(DATEVALUE($A109),'recurring1_based on steps'!AJ$1:AJ$400,0)),AJ$2,)</f>
        <v>0</v>
      </c>
      <c r="AK109" s="179">
        <f ca="1">IF(ISNUMBER(MATCH(DATEVALUE($A109),'recurring1_based on steps'!AK$1:AK$400,0)),AK$2,)</f>
        <v>0</v>
      </c>
      <c r="AL109" s="179">
        <f ca="1">IF(ISNUMBER(MATCH(DATEVALUE($A109),'recurring1_based on steps'!AL$1:AL$400,0)),AL$2,)</f>
        <v>0</v>
      </c>
      <c r="AM109" s="179">
        <f ca="1">IF(ISNUMBER(MATCH(DATEVALUE($A109),'recurring1_based on steps'!AM$1:AM$400,0)),AM$2,)</f>
        <v>0</v>
      </c>
      <c r="AN109" s="179">
        <f ca="1">IF(ISNUMBER(MATCH(DATEVALUE($A109),'recurring1_based on steps'!AN$1:AN$400,0)),AN$2,)</f>
        <v>0</v>
      </c>
      <c r="AO109" s="179">
        <f ca="1">IF(ISNUMBER(MATCH(DATEVALUE($A109),'recurring1_based on steps'!AO$1:AO$400,0)),AO$2,)</f>
        <v>0</v>
      </c>
      <c r="AP109" s="179">
        <f ca="1">IF(ISNUMBER(MATCH(DATEVALUE($A109),'recurring1_based on steps'!AP$1:AP$400,0)),AP$2,)</f>
        <v>0</v>
      </c>
      <c r="AQ109" s="179">
        <f ca="1">IF(ISNUMBER(MATCH(DATEVALUE($A109),'recurring1_based on steps'!AQ$1:AQ$400,0)),AQ$2,)</f>
        <v>0</v>
      </c>
      <c r="AR109" s="179">
        <f ca="1">IF(ISNUMBER(MATCH(DATEVALUE($A109),'recurring1_based on steps'!AR$1:AR$400,0)),AR$2,)</f>
        <v>0</v>
      </c>
      <c r="AS109" s="179">
        <f ca="1">IF(ISNUMBER(MATCH(DATEVALUE($A109),'recurring1_based on steps'!AS$1:AS$400,0)),AS$2,)</f>
        <v>0</v>
      </c>
      <c r="AT109" s="179">
        <f ca="1">IF(ISNUMBER(MATCH(DATEVALUE($A109),'recurring1_based on steps'!AT$1:AT$400,0)),AT$2,)</f>
        <v>0</v>
      </c>
      <c r="AU109" s="179">
        <f ca="1">IF(ISNUMBER(MATCH(DATEVALUE($A109),'recurring1_based on steps'!AU$1:AU$400,0)),AU$2,)</f>
        <v>0</v>
      </c>
      <c r="AV109" s="179">
        <f ca="1">IF(ISNUMBER(MATCH(DATEVALUE($A109),'recurring1_based on steps'!AV$1:AV$400,0)),AV$2,)</f>
        <v>0</v>
      </c>
      <c r="AW109" s="179">
        <f ca="1">IF(ISNUMBER(MATCH(DATEVALUE($A109),'recurring1_based on steps'!AW$1:AW$400,0)),AW$2,)</f>
        <v>0</v>
      </c>
      <c r="AX109" s="179">
        <f ca="1">IF(ISNUMBER(MATCH(DATEVALUE($A109),'recurring1_based on steps'!AX$1:AX$400,0)),AX$2,)</f>
        <v>0</v>
      </c>
      <c r="AY109" s="179">
        <f ca="1">IF(ISNUMBER(MATCH(DATEVALUE($A109),'recurring1_based on steps'!AY$1:AY$400,0)),AY$2,)</f>
        <v>0</v>
      </c>
    </row>
    <row r="110" spans="1:51" x14ac:dyDescent="0.2">
      <c r="A110" s="32" t="str">
        <f t="shared" ca="1" si="1"/>
        <v>2025-07-21</v>
      </c>
      <c r="B110" s="179">
        <f ca="1">IF(ISNUMBER(MATCH(DATEVALUE($A110),'recurring1_based on steps'!B$1:B$400,0)),B$2,)</f>
        <v>0</v>
      </c>
      <c r="C110" s="179">
        <f ca="1">IF(ISNUMBER(MATCH(DATEVALUE($A110),'recurring1_based on steps'!C$1:C$400,0)),C$2,)</f>
        <v>0</v>
      </c>
      <c r="D110" s="179">
        <f ca="1">IF(ISNUMBER(MATCH(DATEVALUE($A110),'recurring1_based on steps'!D$1:D$400,0)),D$2,)</f>
        <v>0</v>
      </c>
      <c r="E110" s="179">
        <f ca="1">IF(ISNUMBER(MATCH(DATEVALUE($A110),'recurring1_based on steps'!E$1:E$400,0)),E$2,)</f>
        <v>0</v>
      </c>
      <c r="F110" s="179">
        <f ca="1">IF(ISNUMBER(MATCH(DATEVALUE($A110),'recurring1_based on steps'!F$1:F$400,0)),F$2,)</f>
        <v>0</v>
      </c>
      <c r="G110" s="179">
        <f ca="1">IF(ISNUMBER(MATCH(DATEVALUE($A110),'recurring1_based on steps'!G$1:G$400,0)),G$2,)</f>
        <v>0</v>
      </c>
      <c r="H110" s="179">
        <f ca="1">IF(ISNUMBER(MATCH(DATEVALUE($A110),'recurring1_based on steps'!H$1:H$400,0)),H$2,)</f>
        <v>0</v>
      </c>
      <c r="I110" s="179">
        <f ca="1">IF(ISNUMBER(MATCH(DATEVALUE($A110),'recurring1_based on steps'!I$1:I$400,0)),I$2,)</f>
        <v>0</v>
      </c>
      <c r="J110" s="179">
        <f ca="1">IF(ISNUMBER(MATCH(DATEVALUE($A110),'recurring1_based on steps'!J$1:J$400,0)),J$2,)</f>
        <v>0</v>
      </c>
      <c r="K110" s="179">
        <f ca="1">IF(ISNUMBER(MATCH(DATEVALUE($A110),'recurring1_based on steps'!K$1:K$400,0)),K$2,)</f>
        <v>0</v>
      </c>
      <c r="L110" s="179">
        <f ca="1">IF(ISNUMBER(MATCH(DATEVALUE($A110),'recurring1_based on steps'!L$1:L$400,0)),L$2,)</f>
        <v>0</v>
      </c>
      <c r="M110" s="179">
        <f ca="1">IF(ISNUMBER(MATCH(DATEVALUE($A110),'recurring1_based on steps'!M$1:M$400,0)),M$2,)</f>
        <v>0</v>
      </c>
      <c r="N110" s="179">
        <f ca="1">IF(ISNUMBER(MATCH(DATEVALUE($A110),'recurring1_based on steps'!N$1:N$400,0)),N$2,)</f>
        <v>0</v>
      </c>
      <c r="O110" s="179">
        <f ca="1">IF(ISNUMBER(MATCH(DATEVALUE($A110),'recurring1_based on steps'!O$1:O$400,0)),O$2,)</f>
        <v>0</v>
      </c>
      <c r="P110" s="179">
        <f ca="1">IF(ISNUMBER(MATCH(DATEVALUE($A110),'recurring1_based on steps'!P$1:P$400,0)),P$2,)</f>
        <v>0</v>
      </c>
      <c r="Q110" s="179">
        <f ca="1">IF(ISNUMBER(MATCH(DATEVALUE($A110),'recurring1_based on steps'!Q$1:Q$400,0)),Q$2,)</f>
        <v>0</v>
      </c>
      <c r="R110" s="179">
        <f ca="1">IF(ISNUMBER(MATCH(DATEVALUE($A110),'recurring1_based on steps'!R$1:R$400,0)),R$2,)</f>
        <v>0</v>
      </c>
      <c r="S110" s="179">
        <f ca="1">IF(ISNUMBER(MATCH(DATEVALUE($A110),'recurring1_based on steps'!S$1:S$400,0)),S$2,)</f>
        <v>0</v>
      </c>
      <c r="T110" s="179">
        <f ca="1">IF(ISNUMBER(MATCH(DATEVALUE($A110),'recurring1_based on steps'!T$1:T$400,0)),T$2,)</f>
        <v>0</v>
      </c>
      <c r="U110" s="179">
        <f ca="1">IF(ISNUMBER(MATCH(DATEVALUE($A110),'recurring1_based on steps'!U$1:U$400,0)),U$2,)</f>
        <v>0</v>
      </c>
      <c r="V110" s="179">
        <f ca="1">IF(ISNUMBER(MATCH(DATEVALUE($A110),'recurring1_based on steps'!V$1:V$400,0)),V$2,)</f>
        <v>0</v>
      </c>
      <c r="W110" s="179">
        <f ca="1">IF(ISNUMBER(MATCH(DATEVALUE($A110),'recurring1_based on steps'!W$1:W$400,0)),W$2,)</f>
        <v>0</v>
      </c>
      <c r="X110" s="179">
        <f ca="1">IF(ISNUMBER(MATCH(DATEVALUE($A110),'recurring1_based on steps'!X$1:X$400,0)),X$2,)</f>
        <v>0</v>
      </c>
      <c r="Y110" s="179">
        <f ca="1">IF(ISNUMBER(MATCH(DATEVALUE($A110),'recurring1_based on steps'!Y$1:Y$400,0)),Y$2,)</f>
        <v>0</v>
      </c>
      <c r="Z110" s="179">
        <f ca="1">IF(ISNUMBER(MATCH(DATEVALUE($A110),'recurring1_based on steps'!Z$1:Z$400,0)),Z$2,)</f>
        <v>0</v>
      </c>
      <c r="AA110" s="179">
        <f ca="1">IF(ISNUMBER(MATCH(DATEVALUE($A110),'recurring1_based on steps'!AA$1:AA$400,0)),AA$2,)</f>
        <v>0</v>
      </c>
      <c r="AB110" s="179">
        <f ca="1">IF(ISNUMBER(MATCH(DATEVALUE($A110),'recurring1_based on steps'!AB$1:AB$400,0)),AB$2,)</f>
        <v>0</v>
      </c>
      <c r="AC110" s="179">
        <f ca="1">IF(ISNUMBER(MATCH(DATEVALUE($A110),'recurring1_based on steps'!AC$1:AC$400,0)),AC$2,)</f>
        <v>0</v>
      </c>
      <c r="AD110" s="179">
        <f ca="1">IF(ISNUMBER(MATCH(DATEVALUE($A110),'recurring1_based on steps'!AD$1:AD$400,0)),AD$2,)</f>
        <v>0</v>
      </c>
      <c r="AE110" s="179">
        <f ca="1">IF(ISNUMBER(MATCH(DATEVALUE($A110),'recurring1_based on steps'!AE$1:AE$400,0)),AE$2,)</f>
        <v>0</v>
      </c>
      <c r="AF110" s="179">
        <f ca="1">IF(ISNUMBER(MATCH(DATEVALUE($A110),'recurring1_based on steps'!AF$1:AF$400,0)),AF$2,)</f>
        <v>0</v>
      </c>
      <c r="AG110" s="179">
        <f ca="1">IF(ISNUMBER(MATCH(DATEVALUE($A110),'recurring1_based on steps'!AG$1:AG$400,0)),AG$2,)</f>
        <v>0</v>
      </c>
      <c r="AH110" s="179">
        <f ca="1">IF(ISNUMBER(MATCH(DATEVALUE($A110),'recurring1_based on steps'!AH$1:AH$400,0)),AH$2,)</f>
        <v>0</v>
      </c>
      <c r="AI110" s="179">
        <f ca="1">IF(ISNUMBER(MATCH(DATEVALUE($A110),'recurring1_based on steps'!AI$1:AI$400,0)),AI$2,)</f>
        <v>0</v>
      </c>
      <c r="AJ110" s="179">
        <f ca="1">IF(ISNUMBER(MATCH(DATEVALUE($A110),'recurring1_based on steps'!AJ$1:AJ$400,0)),AJ$2,)</f>
        <v>0</v>
      </c>
      <c r="AK110" s="179">
        <f ca="1">IF(ISNUMBER(MATCH(DATEVALUE($A110),'recurring1_based on steps'!AK$1:AK$400,0)),AK$2,)</f>
        <v>0</v>
      </c>
      <c r="AL110" s="179">
        <f ca="1">IF(ISNUMBER(MATCH(DATEVALUE($A110),'recurring1_based on steps'!AL$1:AL$400,0)),AL$2,)</f>
        <v>0</v>
      </c>
      <c r="AM110" s="179">
        <f ca="1">IF(ISNUMBER(MATCH(DATEVALUE($A110),'recurring1_based on steps'!AM$1:AM$400,0)),AM$2,)</f>
        <v>0</v>
      </c>
      <c r="AN110" s="179">
        <f ca="1">IF(ISNUMBER(MATCH(DATEVALUE($A110),'recurring1_based on steps'!AN$1:AN$400,0)),AN$2,)</f>
        <v>0</v>
      </c>
      <c r="AO110" s="179">
        <f ca="1">IF(ISNUMBER(MATCH(DATEVALUE($A110),'recurring1_based on steps'!AO$1:AO$400,0)),AO$2,)</f>
        <v>0</v>
      </c>
      <c r="AP110" s="179">
        <f ca="1">IF(ISNUMBER(MATCH(DATEVALUE($A110),'recurring1_based on steps'!AP$1:AP$400,0)),AP$2,)</f>
        <v>0</v>
      </c>
      <c r="AQ110" s="179">
        <f ca="1">IF(ISNUMBER(MATCH(DATEVALUE($A110),'recurring1_based on steps'!AQ$1:AQ$400,0)),AQ$2,)</f>
        <v>0</v>
      </c>
      <c r="AR110" s="179">
        <f ca="1">IF(ISNUMBER(MATCH(DATEVALUE($A110),'recurring1_based on steps'!AR$1:AR$400,0)),AR$2,)</f>
        <v>0</v>
      </c>
      <c r="AS110" s="179">
        <f ca="1">IF(ISNUMBER(MATCH(DATEVALUE($A110),'recurring1_based on steps'!AS$1:AS$400,0)),AS$2,)</f>
        <v>0</v>
      </c>
      <c r="AT110" s="179">
        <f ca="1">IF(ISNUMBER(MATCH(DATEVALUE($A110),'recurring1_based on steps'!AT$1:AT$400,0)),AT$2,)</f>
        <v>0</v>
      </c>
      <c r="AU110" s="179">
        <f ca="1">IF(ISNUMBER(MATCH(DATEVALUE($A110),'recurring1_based on steps'!AU$1:AU$400,0)),AU$2,)</f>
        <v>0</v>
      </c>
      <c r="AV110" s="179">
        <f ca="1">IF(ISNUMBER(MATCH(DATEVALUE($A110),'recurring1_based on steps'!AV$1:AV$400,0)),AV$2,)</f>
        <v>0</v>
      </c>
      <c r="AW110" s="179">
        <f ca="1">IF(ISNUMBER(MATCH(DATEVALUE($A110),'recurring1_based on steps'!AW$1:AW$400,0)),AW$2,)</f>
        <v>0</v>
      </c>
      <c r="AX110" s="179">
        <f ca="1">IF(ISNUMBER(MATCH(DATEVALUE($A110),'recurring1_based on steps'!AX$1:AX$400,0)),AX$2,)</f>
        <v>0</v>
      </c>
      <c r="AY110" s="179">
        <f ca="1">IF(ISNUMBER(MATCH(DATEVALUE($A110),'recurring1_based on steps'!AY$1:AY$400,0)),AY$2,)</f>
        <v>0</v>
      </c>
    </row>
    <row r="111" spans="1:51" x14ac:dyDescent="0.2">
      <c r="A111" s="32" t="str">
        <f t="shared" ca="1" si="1"/>
        <v>2025-07-22</v>
      </c>
      <c r="B111" s="179">
        <f ca="1">IF(ISNUMBER(MATCH(DATEVALUE($A111),'recurring1_based on steps'!B$1:B$400,0)),B$2,)</f>
        <v>0</v>
      </c>
      <c r="C111" s="179">
        <f ca="1">IF(ISNUMBER(MATCH(DATEVALUE($A111),'recurring1_based on steps'!C$1:C$400,0)),C$2,)</f>
        <v>0</v>
      </c>
      <c r="D111" s="179">
        <f ca="1">IF(ISNUMBER(MATCH(DATEVALUE($A111),'recurring1_based on steps'!D$1:D$400,0)),D$2,)</f>
        <v>0</v>
      </c>
      <c r="E111" s="179">
        <f ca="1">IF(ISNUMBER(MATCH(DATEVALUE($A111),'recurring1_based on steps'!E$1:E$400,0)),E$2,)</f>
        <v>0</v>
      </c>
      <c r="F111" s="179">
        <f ca="1">IF(ISNUMBER(MATCH(DATEVALUE($A111),'recurring1_based on steps'!F$1:F$400,0)),F$2,)</f>
        <v>0</v>
      </c>
      <c r="G111" s="179">
        <f ca="1">IF(ISNUMBER(MATCH(DATEVALUE($A111),'recurring1_based on steps'!G$1:G$400,0)),G$2,)</f>
        <v>0</v>
      </c>
      <c r="H111" s="179">
        <f ca="1">IF(ISNUMBER(MATCH(DATEVALUE($A111),'recurring1_based on steps'!H$1:H$400,0)),H$2,)</f>
        <v>0</v>
      </c>
      <c r="I111" s="179">
        <f ca="1">IF(ISNUMBER(MATCH(DATEVALUE($A111),'recurring1_based on steps'!I$1:I$400,0)),I$2,)</f>
        <v>0</v>
      </c>
      <c r="J111" s="179">
        <f ca="1">IF(ISNUMBER(MATCH(DATEVALUE($A111),'recurring1_based on steps'!J$1:J$400,0)),J$2,)</f>
        <v>0</v>
      </c>
      <c r="K111" s="179">
        <f ca="1">IF(ISNUMBER(MATCH(DATEVALUE($A111),'recurring1_based on steps'!K$1:K$400,0)),K$2,)</f>
        <v>0</v>
      </c>
      <c r="L111" s="179">
        <f ca="1">IF(ISNUMBER(MATCH(DATEVALUE($A111),'recurring1_based on steps'!L$1:L$400,0)),L$2,)</f>
        <v>0</v>
      </c>
      <c r="M111" s="179">
        <f ca="1">IF(ISNUMBER(MATCH(DATEVALUE($A111),'recurring1_based on steps'!M$1:M$400,0)),M$2,)</f>
        <v>0</v>
      </c>
      <c r="N111" s="179">
        <f ca="1">IF(ISNUMBER(MATCH(DATEVALUE($A111),'recurring1_based on steps'!N$1:N$400,0)),N$2,)</f>
        <v>0</v>
      </c>
      <c r="O111" s="179">
        <f ca="1">IF(ISNUMBER(MATCH(DATEVALUE($A111),'recurring1_based on steps'!O$1:O$400,0)),O$2,)</f>
        <v>0</v>
      </c>
      <c r="P111" s="179">
        <f ca="1">IF(ISNUMBER(MATCH(DATEVALUE($A111),'recurring1_based on steps'!P$1:P$400,0)),P$2,)</f>
        <v>0</v>
      </c>
      <c r="Q111" s="179">
        <f ca="1">IF(ISNUMBER(MATCH(DATEVALUE($A111),'recurring1_based on steps'!Q$1:Q$400,0)),Q$2,)</f>
        <v>0</v>
      </c>
      <c r="R111" s="179">
        <f ca="1">IF(ISNUMBER(MATCH(DATEVALUE($A111),'recurring1_based on steps'!R$1:R$400,0)),R$2,)</f>
        <v>0</v>
      </c>
      <c r="S111" s="179">
        <f ca="1">IF(ISNUMBER(MATCH(DATEVALUE($A111),'recurring1_based on steps'!S$1:S$400,0)),S$2,)</f>
        <v>0</v>
      </c>
      <c r="T111" s="179">
        <f ca="1">IF(ISNUMBER(MATCH(DATEVALUE($A111),'recurring1_based on steps'!T$1:T$400,0)),T$2,)</f>
        <v>0</v>
      </c>
      <c r="U111" s="179">
        <f ca="1">IF(ISNUMBER(MATCH(DATEVALUE($A111),'recurring1_based on steps'!U$1:U$400,0)),U$2,)</f>
        <v>0</v>
      </c>
      <c r="V111" s="179">
        <f ca="1">IF(ISNUMBER(MATCH(DATEVALUE($A111),'recurring1_based on steps'!V$1:V$400,0)),V$2,)</f>
        <v>0</v>
      </c>
      <c r="W111" s="179">
        <f ca="1">IF(ISNUMBER(MATCH(DATEVALUE($A111),'recurring1_based on steps'!W$1:W$400,0)),W$2,)</f>
        <v>0</v>
      </c>
      <c r="X111" s="179">
        <f ca="1">IF(ISNUMBER(MATCH(DATEVALUE($A111),'recurring1_based on steps'!X$1:X$400,0)),X$2,)</f>
        <v>0</v>
      </c>
      <c r="Y111" s="179">
        <f ca="1">IF(ISNUMBER(MATCH(DATEVALUE($A111),'recurring1_based on steps'!Y$1:Y$400,0)),Y$2,)</f>
        <v>0</v>
      </c>
      <c r="Z111" s="179">
        <f ca="1">IF(ISNUMBER(MATCH(DATEVALUE($A111),'recurring1_based on steps'!Z$1:Z$400,0)),Z$2,)</f>
        <v>0</v>
      </c>
      <c r="AA111" s="179">
        <f ca="1">IF(ISNUMBER(MATCH(DATEVALUE($A111),'recurring1_based on steps'!AA$1:AA$400,0)),AA$2,)</f>
        <v>0</v>
      </c>
      <c r="AB111" s="179">
        <f ca="1">IF(ISNUMBER(MATCH(DATEVALUE($A111),'recurring1_based on steps'!AB$1:AB$400,0)),AB$2,)</f>
        <v>0</v>
      </c>
      <c r="AC111" s="179">
        <f ca="1">IF(ISNUMBER(MATCH(DATEVALUE($A111),'recurring1_based on steps'!AC$1:AC$400,0)),AC$2,)</f>
        <v>0</v>
      </c>
      <c r="AD111" s="179">
        <f ca="1">IF(ISNUMBER(MATCH(DATEVALUE($A111),'recurring1_based on steps'!AD$1:AD$400,0)),AD$2,)</f>
        <v>0</v>
      </c>
      <c r="AE111" s="179">
        <f ca="1">IF(ISNUMBER(MATCH(DATEVALUE($A111),'recurring1_based on steps'!AE$1:AE$400,0)),AE$2,)</f>
        <v>0</v>
      </c>
      <c r="AF111" s="179">
        <f ca="1">IF(ISNUMBER(MATCH(DATEVALUE($A111),'recurring1_based on steps'!AF$1:AF$400,0)),AF$2,)</f>
        <v>0</v>
      </c>
      <c r="AG111" s="179">
        <f ca="1">IF(ISNUMBER(MATCH(DATEVALUE($A111),'recurring1_based on steps'!AG$1:AG$400,0)),AG$2,)</f>
        <v>0</v>
      </c>
      <c r="AH111" s="179">
        <f ca="1">IF(ISNUMBER(MATCH(DATEVALUE($A111),'recurring1_based on steps'!AH$1:AH$400,0)),AH$2,)</f>
        <v>0</v>
      </c>
      <c r="AI111" s="179">
        <f ca="1">IF(ISNUMBER(MATCH(DATEVALUE($A111),'recurring1_based on steps'!AI$1:AI$400,0)),AI$2,)</f>
        <v>0</v>
      </c>
      <c r="AJ111" s="179">
        <f ca="1">IF(ISNUMBER(MATCH(DATEVALUE($A111),'recurring1_based on steps'!AJ$1:AJ$400,0)),AJ$2,)</f>
        <v>0</v>
      </c>
      <c r="AK111" s="179">
        <f ca="1">IF(ISNUMBER(MATCH(DATEVALUE($A111),'recurring1_based on steps'!AK$1:AK$400,0)),AK$2,)</f>
        <v>0</v>
      </c>
      <c r="AL111" s="179">
        <f ca="1">IF(ISNUMBER(MATCH(DATEVALUE($A111),'recurring1_based on steps'!AL$1:AL$400,0)),AL$2,)</f>
        <v>0</v>
      </c>
      <c r="AM111" s="179">
        <f ca="1">IF(ISNUMBER(MATCH(DATEVALUE($A111),'recurring1_based on steps'!AM$1:AM$400,0)),AM$2,)</f>
        <v>0</v>
      </c>
      <c r="AN111" s="179">
        <f ca="1">IF(ISNUMBER(MATCH(DATEVALUE($A111),'recurring1_based on steps'!AN$1:AN$400,0)),AN$2,)</f>
        <v>0</v>
      </c>
      <c r="AO111" s="179">
        <f ca="1">IF(ISNUMBER(MATCH(DATEVALUE($A111),'recurring1_based on steps'!AO$1:AO$400,0)),AO$2,)</f>
        <v>0</v>
      </c>
      <c r="AP111" s="179">
        <f ca="1">IF(ISNUMBER(MATCH(DATEVALUE($A111),'recurring1_based on steps'!AP$1:AP$400,0)),AP$2,)</f>
        <v>0</v>
      </c>
      <c r="AQ111" s="179">
        <f ca="1">IF(ISNUMBER(MATCH(DATEVALUE($A111),'recurring1_based on steps'!AQ$1:AQ$400,0)),AQ$2,)</f>
        <v>0</v>
      </c>
      <c r="AR111" s="179">
        <f ca="1">IF(ISNUMBER(MATCH(DATEVALUE($A111),'recurring1_based on steps'!AR$1:AR$400,0)),AR$2,)</f>
        <v>0</v>
      </c>
      <c r="AS111" s="179">
        <f ca="1">IF(ISNUMBER(MATCH(DATEVALUE($A111),'recurring1_based on steps'!AS$1:AS$400,0)),AS$2,)</f>
        <v>0</v>
      </c>
      <c r="AT111" s="179">
        <f ca="1">IF(ISNUMBER(MATCH(DATEVALUE($A111),'recurring1_based on steps'!AT$1:AT$400,0)),AT$2,)</f>
        <v>0</v>
      </c>
      <c r="AU111" s="179">
        <f ca="1">IF(ISNUMBER(MATCH(DATEVALUE($A111),'recurring1_based on steps'!AU$1:AU$400,0)),AU$2,)</f>
        <v>0</v>
      </c>
      <c r="AV111" s="179">
        <f ca="1">IF(ISNUMBER(MATCH(DATEVALUE($A111),'recurring1_based on steps'!AV$1:AV$400,0)),AV$2,)</f>
        <v>0</v>
      </c>
      <c r="AW111" s="179">
        <f ca="1">IF(ISNUMBER(MATCH(DATEVALUE($A111),'recurring1_based on steps'!AW$1:AW$400,0)),AW$2,)</f>
        <v>0</v>
      </c>
      <c r="AX111" s="179">
        <f ca="1">IF(ISNUMBER(MATCH(DATEVALUE($A111),'recurring1_based on steps'!AX$1:AX$400,0)),AX$2,)</f>
        <v>0</v>
      </c>
      <c r="AY111" s="179">
        <f ca="1">IF(ISNUMBER(MATCH(DATEVALUE($A111),'recurring1_based on steps'!AY$1:AY$400,0)),AY$2,)</f>
        <v>0</v>
      </c>
    </row>
    <row r="112" spans="1:51" x14ac:dyDescent="0.2">
      <c r="A112" s="32" t="str">
        <f t="shared" ca="1" si="1"/>
        <v>2025-07-23</v>
      </c>
      <c r="B112" s="179">
        <f ca="1">IF(ISNUMBER(MATCH(DATEVALUE($A112),'recurring1_based on steps'!B$1:B$400,0)),B$2,)</f>
        <v>0</v>
      </c>
      <c r="C112" s="179">
        <f ca="1">IF(ISNUMBER(MATCH(DATEVALUE($A112),'recurring1_based on steps'!C$1:C$400,0)),C$2,)</f>
        <v>0</v>
      </c>
      <c r="D112" s="179">
        <f ca="1">IF(ISNUMBER(MATCH(DATEVALUE($A112),'recurring1_based on steps'!D$1:D$400,0)),D$2,)</f>
        <v>0</v>
      </c>
      <c r="E112" s="179">
        <f ca="1">IF(ISNUMBER(MATCH(DATEVALUE($A112),'recurring1_based on steps'!E$1:E$400,0)),E$2,)</f>
        <v>0</v>
      </c>
      <c r="F112" s="179">
        <f ca="1">IF(ISNUMBER(MATCH(DATEVALUE($A112),'recurring1_based on steps'!F$1:F$400,0)),F$2,)</f>
        <v>0</v>
      </c>
      <c r="G112" s="179">
        <f ca="1">IF(ISNUMBER(MATCH(DATEVALUE($A112),'recurring1_based on steps'!G$1:G$400,0)),G$2,)</f>
        <v>0</v>
      </c>
      <c r="H112" s="179">
        <f ca="1">IF(ISNUMBER(MATCH(DATEVALUE($A112),'recurring1_based on steps'!H$1:H$400,0)),H$2,)</f>
        <v>0</v>
      </c>
      <c r="I112" s="179">
        <f ca="1">IF(ISNUMBER(MATCH(DATEVALUE($A112),'recurring1_based on steps'!I$1:I$400,0)),I$2,)</f>
        <v>0</v>
      </c>
      <c r="J112" s="179">
        <f ca="1">IF(ISNUMBER(MATCH(DATEVALUE($A112),'recurring1_based on steps'!J$1:J$400,0)),J$2,)</f>
        <v>0</v>
      </c>
      <c r="K112" s="179">
        <f ca="1">IF(ISNUMBER(MATCH(DATEVALUE($A112),'recurring1_based on steps'!K$1:K$400,0)),K$2,)</f>
        <v>0</v>
      </c>
      <c r="L112" s="179">
        <f ca="1">IF(ISNUMBER(MATCH(DATEVALUE($A112),'recurring1_based on steps'!L$1:L$400,0)),L$2,)</f>
        <v>0</v>
      </c>
      <c r="M112" s="179">
        <f ca="1">IF(ISNUMBER(MATCH(DATEVALUE($A112),'recurring1_based on steps'!M$1:M$400,0)),M$2,)</f>
        <v>0</v>
      </c>
      <c r="N112" s="179">
        <f ca="1">IF(ISNUMBER(MATCH(DATEVALUE($A112),'recurring1_based on steps'!N$1:N$400,0)),N$2,)</f>
        <v>0</v>
      </c>
      <c r="O112" s="179">
        <f ca="1">IF(ISNUMBER(MATCH(DATEVALUE($A112),'recurring1_based on steps'!O$1:O$400,0)),O$2,)</f>
        <v>0</v>
      </c>
      <c r="P112" s="179">
        <f ca="1">IF(ISNUMBER(MATCH(DATEVALUE($A112),'recurring1_based on steps'!P$1:P$400,0)),P$2,)</f>
        <v>0</v>
      </c>
      <c r="Q112" s="179">
        <f ca="1">IF(ISNUMBER(MATCH(DATEVALUE($A112),'recurring1_based on steps'!Q$1:Q$400,0)),Q$2,)</f>
        <v>0</v>
      </c>
      <c r="R112" s="179">
        <f ca="1">IF(ISNUMBER(MATCH(DATEVALUE($A112),'recurring1_based on steps'!R$1:R$400,0)),R$2,)</f>
        <v>0</v>
      </c>
      <c r="S112" s="179">
        <f ca="1">IF(ISNUMBER(MATCH(DATEVALUE($A112),'recurring1_based on steps'!S$1:S$400,0)),S$2,)</f>
        <v>0</v>
      </c>
      <c r="T112" s="179">
        <f ca="1">IF(ISNUMBER(MATCH(DATEVALUE($A112),'recurring1_based on steps'!T$1:T$400,0)),T$2,)</f>
        <v>0</v>
      </c>
      <c r="U112" s="179">
        <f ca="1">IF(ISNUMBER(MATCH(DATEVALUE($A112),'recurring1_based on steps'!U$1:U$400,0)),U$2,)</f>
        <v>0</v>
      </c>
      <c r="V112" s="179">
        <f ca="1">IF(ISNUMBER(MATCH(DATEVALUE($A112),'recurring1_based on steps'!V$1:V$400,0)),V$2,)</f>
        <v>0</v>
      </c>
      <c r="W112" s="179">
        <f ca="1">IF(ISNUMBER(MATCH(DATEVALUE($A112),'recurring1_based on steps'!W$1:W$400,0)),W$2,)</f>
        <v>0</v>
      </c>
      <c r="X112" s="179">
        <f ca="1">IF(ISNUMBER(MATCH(DATEVALUE($A112),'recurring1_based on steps'!X$1:X$400,0)),X$2,)</f>
        <v>0</v>
      </c>
      <c r="Y112" s="179">
        <f ca="1">IF(ISNUMBER(MATCH(DATEVALUE($A112),'recurring1_based on steps'!Y$1:Y$400,0)),Y$2,)</f>
        <v>0</v>
      </c>
      <c r="Z112" s="179">
        <f ca="1">IF(ISNUMBER(MATCH(DATEVALUE($A112),'recurring1_based on steps'!Z$1:Z$400,0)),Z$2,)</f>
        <v>0</v>
      </c>
      <c r="AA112" s="179">
        <f ca="1">IF(ISNUMBER(MATCH(DATEVALUE($A112),'recurring1_based on steps'!AA$1:AA$400,0)),AA$2,)</f>
        <v>0</v>
      </c>
      <c r="AB112" s="179">
        <f ca="1">IF(ISNUMBER(MATCH(DATEVALUE($A112),'recurring1_based on steps'!AB$1:AB$400,0)),AB$2,)</f>
        <v>0</v>
      </c>
      <c r="AC112" s="179">
        <f ca="1">IF(ISNUMBER(MATCH(DATEVALUE($A112),'recurring1_based on steps'!AC$1:AC$400,0)),AC$2,)</f>
        <v>0</v>
      </c>
      <c r="AD112" s="179">
        <f ca="1">IF(ISNUMBER(MATCH(DATEVALUE($A112),'recurring1_based on steps'!AD$1:AD$400,0)),AD$2,)</f>
        <v>0</v>
      </c>
      <c r="AE112" s="179">
        <f ca="1">IF(ISNUMBER(MATCH(DATEVALUE($A112),'recurring1_based on steps'!AE$1:AE$400,0)),AE$2,)</f>
        <v>0</v>
      </c>
      <c r="AF112" s="179">
        <f ca="1">IF(ISNUMBER(MATCH(DATEVALUE($A112),'recurring1_based on steps'!AF$1:AF$400,0)),AF$2,)</f>
        <v>0</v>
      </c>
      <c r="AG112" s="179">
        <f ca="1">IF(ISNUMBER(MATCH(DATEVALUE($A112),'recurring1_based on steps'!AG$1:AG$400,0)),AG$2,)</f>
        <v>0</v>
      </c>
      <c r="AH112" s="179">
        <f ca="1">IF(ISNUMBER(MATCH(DATEVALUE($A112),'recurring1_based on steps'!AH$1:AH$400,0)),AH$2,)</f>
        <v>0</v>
      </c>
      <c r="AI112" s="179">
        <f ca="1">IF(ISNUMBER(MATCH(DATEVALUE($A112),'recurring1_based on steps'!AI$1:AI$400,0)),AI$2,)</f>
        <v>0</v>
      </c>
      <c r="AJ112" s="179">
        <f ca="1">IF(ISNUMBER(MATCH(DATEVALUE($A112),'recurring1_based on steps'!AJ$1:AJ$400,0)),AJ$2,)</f>
        <v>0</v>
      </c>
      <c r="AK112" s="179">
        <f ca="1">IF(ISNUMBER(MATCH(DATEVALUE($A112),'recurring1_based on steps'!AK$1:AK$400,0)),AK$2,)</f>
        <v>0</v>
      </c>
      <c r="AL112" s="179">
        <f ca="1">IF(ISNUMBER(MATCH(DATEVALUE($A112),'recurring1_based on steps'!AL$1:AL$400,0)),AL$2,)</f>
        <v>0</v>
      </c>
      <c r="AM112" s="179">
        <f ca="1">IF(ISNUMBER(MATCH(DATEVALUE($A112),'recurring1_based on steps'!AM$1:AM$400,0)),AM$2,)</f>
        <v>0</v>
      </c>
      <c r="AN112" s="179">
        <f ca="1">IF(ISNUMBER(MATCH(DATEVALUE($A112),'recurring1_based on steps'!AN$1:AN$400,0)),AN$2,)</f>
        <v>0</v>
      </c>
      <c r="AO112" s="179">
        <f ca="1">IF(ISNUMBER(MATCH(DATEVALUE($A112),'recurring1_based on steps'!AO$1:AO$400,0)),AO$2,)</f>
        <v>0</v>
      </c>
      <c r="AP112" s="179">
        <f ca="1">IF(ISNUMBER(MATCH(DATEVALUE($A112),'recurring1_based on steps'!AP$1:AP$400,0)),AP$2,)</f>
        <v>0</v>
      </c>
      <c r="AQ112" s="179">
        <f ca="1">IF(ISNUMBER(MATCH(DATEVALUE($A112),'recurring1_based on steps'!AQ$1:AQ$400,0)),AQ$2,)</f>
        <v>0</v>
      </c>
      <c r="AR112" s="179">
        <f ca="1">IF(ISNUMBER(MATCH(DATEVALUE($A112),'recurring1_based on steps'!AR$1:AR$400,0)),AR$2,)</f>
        <v>0</v>
      </c>
      <c r="AS112" s="179">
        <f ca="1">IF(ISNUMBER(MATCH(DATEVALUE($A112),'recurring1_based on steps'!AS$1:AS$400,0)),AS$2,)</f>
        <v>0</v>
      </c>
      <c r="AT112" s="179">
        <f ca="1">IF(ISNUMBER(MATCH(DATEVALUE($A112),'recurring1_based on steps'!AT$1:AT$400,0)),AT$2,)</f>
        <v>0</v>
      </c>
      <c r="AU112" s="179">
        <f ca="1">IF(ISNUMBER(MATCH(DATEVALUE($A112),'recurring1_based on steps'!AU$1:AU$400,0)),AU$2,)</f>
        <v>0</v>
      </c>
      <c r="AV112" s="179">
        <f ca="1">IF(ISNUMBER(MATCH(DATEVALUE($A112),'recurring1_based on steps'!AV$1:AV$400,0)),AV$2,)</f>
        <v>0</v>
      </c>
      <c r="AW112" s="179">
        <f ca="1">IF(ISNUMBER(MATCH(DATEVALUE($A112),'recurring1_based on steps'!AW$1:AW$400,0)),AW$2,)</f>
        <v>0</v>
      </c>
      <c r="AX112" s="179">
        <f ca="1">IF(ISNUMBER(MATCH(DATEVALUE($A112),'recurring1_based on steps'!AX$1:AX$400,0)),AX$2,)</f>
        <v>0</v>
      </c>
      <c r="AY112" s="179">
        <f ca="1">IF(ISNUMBER(MATCH(DATEVALUE($A112),'recurring1_based on steps'!AY$1:AY$400,0)),AY$2,)</f>
        <v>0</v>
      </c>
    </row>
    <row r="113" spans="1:51" x14ac:dyDescent="0.2">
      <c r="A113" s="32" t="str">
        <f t="shared" ca="1" si="1"/>
        <v>2025-07-24</v>
      </c>
      <c r="B113" s="179">
        <f ca="1">IF(ISNUMBER(MATCH(DATEVALUE($A113),'recurring1_based on steps'!B$1:B$400,0)),B$2,)</f>
        <v>0</v>
      </c>
      <c r="C113" s="179">
        <f ca="1">IF(ISNUMBER(MATCH(DATEVALUE($A113),'recurring1_based on steps'!C$1:C$400,0)),C$2,)</f>
        <v>0</v>
      </c>
      <c r="D113" s="179">
        <f ca="1">IF(ISNUMBER(MATCH(DATEVALUE($A113),'recurring1_based on steps'!D$1:D$400,0)),D$2,)</f>
        <v>0</v>
      </c>
      <c r="E113" s="179">
        <f ca="1">IF(ISNUMBER(MATCH(DATEVALUE($A113),'recurring1_based on steps'!E$1:E$400,0)),E$2,)</f>
        <v>0</v>
      </c>
      <c r="F113" s="179">
        <f ca="1">IF(ISNUMBER(MATCH(DATEVALUE($A113),'recurring1_based on steps'!F$1:F$400,0)),F$2,)</f>
        <v>0</v>
      </c>
      <c r="G113" s="179">
        <f ca="1">IF(ISNUMBER(MATCH(DATEVALUE($A113),'recurring1_based on steps'!G$1:G$400,0)),G$2,)</f>
        <v>0</v>
      </c>
      <c r="H113" s="179">
        <f ca="1">IF(ISNUMBER(MATCH(DATEVALUE($A113),'recurring1_based on steps'!H$1:H$400,0)),H$2,)</f>
        <v>0</v>
      </c>
      <c r="I113" s="179">
        <f ca="1">IF(ISNUMBER(MATCH(DATEVALUE($A113),'recurring1_based on steps'!I$1:I$400,0)),I$2,)</f>
        <v>0</v>
      </c>
      <c r="J113" s="179">
        <f ca="1">IF(ISNUMBER(MATCH(DATEVALUE($A113),'recurring1_based on steps'!J$1:J$400,0)),J$2,)</f>
        <v>0</v>
      </c>
      <c r="K113" s="179">
        <f ca="1">IF(ISNUMBER(MATCH(DATEVALUE($A113),'recurring1_based on steps'!K$1:K$400,0)),K$2,)</f>
        <v>0</v>
      </c>
      <c r="L113" s="179">
        <f ca="1">IF(ISNUMBER(MATCH(DATEVALUE($A113),'recurring1_based on steps'!L$1:L$400,0)),L$2,)</f>
        <v>0</v>
      </c>
      <c r="M113" s="179">
        <f ca="1">IF(ISNUMBER(MATCH(DATEVALUE($A113),'recurring1_based on steps'!M$1:M$400,0)),M$2,)</f>
        <v>0</v>
      </c>
      <c r="N113" s="179">
        <f ca="1">IF(ISNUMBER(MATCH(DATEVALUE($A113),'recurring1_based on steps'!N$1:N$400,0)),N$2,)</f>
        <v>0</v>
      </c>
      <c r="O113" s="179">
        <f ca="1">IF(ISNUMBER(MATCH(DATEVALUE($A113),'recurring1_based on steps'!O$1:O$400,0)),O$2,)</f>
        <v>0</v>
      </c>
      <c r="P113" s="179">
        <f ca="1">IF(ISNUMBER(MATCH(DATEVALUE($A113),'recurring1_based on steps'!P$1:P$400,0)),P$2,)</f>
        <v>0</v>
      </c>
      <c r="Q113" s="179">
        <f ca="1">IF(ISNUMBER(MATCH(DATEVALUE($A113),'recurring1_based on steps'!Q$1:Q$400,0)),Q$2,)</f>
        <v>0</v>
      </c>
      <c r="R113" s="179">
        <f ca="1">IF(ISNUMBER(MATCH(DATEVALUE($A113),'recurring1_based on steps'!R$1:R$400,0)),R$2,)</f>
        <v>0</v>
      </c>
      <c r="S113" s="179">
        <f ca="1">IF(ISNUMBER(MATCH(DATEVALUE($A113),'recurring1_based on steps'!S$1:S$400,0)),S$2,)</f>
        <v>0</v>
      </c>
      <c r="T113" s="179">
        <f ca="1">IF(ISNUMBER(MATCH(DATEVALUE($A113),'recurring1_based on steps'!T$1:T$400,0)),T$2,)</f>
        <v>0</v>
      </c>
      <c r="U113" s="179">
        <f ca="1">IF(ISNUMBER(MATCH(DATEVALUE($A113),'recurring1_based on steps'!U$1:U$400,0)),U$2,)</f>
        <v>0</v>
      </c>
      <c r="V113" s="179">
        <f ca="1">IF(ISNUMBER(MATCH(DATEVALUE($A113),'recurring1_based on steps'!V$1:V$400,0)),V$2,)</f>
        <v>0</v>
      </c>
      <c r="W113" s="179">
        <f ca="1">IF(ISNUMBER(MATCH(DATEVALUE($A113),'recurring1_based on steps'!W$1:W$400,0)),W$2,)</f>
        <v>0</v>
      </c>
      <c r="X113" s="179">
        <f ca="1">IF(ISNUMBER(MATCH(DATEVALUE($A113),'recurring1_based on steps'!X$1:X$400,0)),X$2,)</f>
        <v>0</v>
      </c>
      <c r="Y113" s="179">
        <f ca="1">IF(ISNUMBER(MATCH(DATEVALUE($A113),'recurring1_based on steps'!Y$1:Y$400,0)),Y$2,)</f>
        <v>0</v>
      </c>
      <c r="Z113" s="179">
        <f ca="1">IF(ISNUMBER(MATCH(DATEVALUE($A113),'recurring1_based on steps'!Z$1:Z$400,0)),Z$2,)</f>
        <v>0</v>
      </c>
      <c r="AA113" s="179">
        <f ca="1">IF(ISNUMBER(MATCH(DATEVALUE($A113),'recurring1_based on steps'!AA$1:AA$400,0)),AA$2,)</f>
        <v>0</v>
      </c>
      <c r="AB113" s="179">
        <f ca="1">IF(ISNUMBER(MATCH(DATEVALUE($A113),'recurring1_based on steps'!AB$1:AB$400,0)),AB$2,)</f>
        <v>0</v>
      </c>
      <c r="AC113" s="179">
        <f ca="1">IF(ISNUMBER(MATCH(DATEVALUE($A113),'recurring1_based on steps'!AC$1:AC$400,0)),AC$2,)</f>
        <v>0</v>
      </c>
      <c r="AD113" s="179">
        <f ca="1">IF(ISNUMBER(MATCH(DATEVALUE($A113),'recurring1_based on steps'!AD$1:AD$400,0)),AD$2,)</f>
        <v>0</v>
      </c>
      <c r="AE113" s="179">
        <f ca="1">IF(ISNUMBER(MATCH(DATEVALUE($A113),'recurring1_based on steps'!AE$1:AE$400,0)),AE$2,)</f>
        <v>0</v>
      </c>
      <c r="AF113" s="179">
        <f ca="1">IF(ISNUMBER(MATCH(DATEVALUE($A113),'recurring1_based on steps'!AF$1:AF$400,0)),AF$2,)</f>
        <v>0</v>
      </c>
      <c r="AG113" s="179">
        <f ca="1">IF(ISNUMBER(MATCH(DATEVALUE($A113),'recurring1_based on steps'!AG$1:AG$400,0)),AG$2,)</f>
        <v>0</v>
      </c>
      <c r="AH113" s="179">
        <f ca="1">IF(ISNUMBER(MATCH(DATEVALUE($A113),'recurring1_based on steps'!AH$1:AH$400,0)),AH$2,)</f>
        <v>0</v>
      </c>
      <c r="AI113" s="179">
        <f ca="1">IF(ISNUMBER(MATCH(DATEVALUE($A113),'recurring1_based on steps'!AI$1:AI$400,0)),AI$2,)</f>
        <v>0</v>
      </c>
      <c r="AJ113" s="179">
        <f ca="1">IF(ISNUMBER(MATCH(DATEVALUE($A113),'recurring1_based on steps'!AJ$1:AJ$400,0)),AJ$2,)</f>
        <v>0</v>
      </c>
      <c r="AK113" s="179">
        <f ca="1">IF(ISNUMBER(MATCH(DATEVALUE($A113),'recurring1_based on steps'!AK$1:AK$400,0)),AK$2,)</f>
        <v>0</v>
      </c>
      <c r="AL113" s="179">
        <f ca="1">IF(ISNUMBER(MATCH(DATEVALUE($A113),'recurring1_based on steps'!AL$1:AL$400,0)),AL$2,)</f>
        <v>0</v>
      </c>
      <c r="AM113" s="179">
        <f ca="1">IF(ISNUMBER(MATCH(DATEVALUE($A113),'recurring1_based on steps'!AM$1:AM$400,0)),AM$2,)</f>
        <v>0</v>
      </c>
      <c r="AN113" s="179">
        <f ca="1">IF(ISNUMBER(MATCH(DATEVALUE($A113),'recurring1_based on steps'!AN$1:AN$400,0)),AN$2,)</f>
        <v>0</v>
      </c>
      <c r="AO113" s="179">
        <f ca="1">IF(ISNUMBER(MATCH(DATEVALUE($A113),'recurring1_based on steps'!AO$1:AO$400,0)),AO$2,)</f>
        <v>0</v>
      </c>
      <c r="AP113" s="179">
        <f ca="1">IF(ISNUMBER(MATCH(DATEVALUE($A113),'recurring1_based on steps'!AP$1:AP$400,0)),AP$2,)</f>
        <v>0</v>
      </c>
      <c r="AQ113" s="179">
        <f ca="1">IF(ISNUMBER(MATCH(DATEVALUE($A113),'recurring1_based on steps'!AQ$1:AQ$400,0)),AQ$2,)</f>
        <v>0</v>
      </c>
      <c r="AR113" s="179">
        <f ca="1">IF(ISNUMBER(MATCH(DATEVALUE($A113),'recurring1_based on steps'!AR$1:AR$400,0)),AR$2,)</f>
        <v>0</v>
      </c>
      <c r="AS113" s="179">
        <f ca="1">IF(ISNUMBER(MATCH(DATEVALUE($A113),'recurring1_based on steps'!AS$1:AS$400,0)),AS$2,)</f>
        <v>0</v>
      </c>
      <c r="AT113" s="179">
        <f ca="1">IF(ISNUMBER(MATCH(DATEVALUE($A113),'recurring1_based on steps'!AT$1:AT$400,0)),AT$2,)</f>
        <v>0</v>
      </c>
      <c r="AU113" s="179">
        <f ca="1">IF(ISNUMBER(MATCH(DATEVALUE($A113),'recurring1_based on steps'!AU$1:AU$400,0)),AU$2,)</f>
        <v>0</v>
      </c>
      <c r="AV113" s="179">
        <f ca="1">IF(ISNUMBER(MATCH(DATEVALUE($A113),'recurring1_based on steps'!AV$1:AV$400,0)),AV$2,)</f>
        <v>0</v>
      </c>
      <c r="AW113" s="179">
        <f ca="1">IF(ISNUMBER(MATCH(DATEVALUE($A113),'recurring1_based on steps'!AW$1:AW$400,0)),AW$2,)</f>
        <v>0</v>
      </c>
      <c r="AX113" s="179">
        <f ca="1">IF(ISNUMBER(MATCH(DATEVALUE($A113),'recurring1_based on steps'!AX$1:AX$400,0)),AX$2,)</f>
        <v>0</v>
      </c>
      <c r="AY113" s="179">
        <f ca="1">IF(ISNUMBER(MATCH(DATEVALUE($A113),'recurring1_based on steps'!AY$1:AY$400,0)),AY$2,)</f>
        <v>0</v>
      </c>
    </row>
    <row r="114" spans="1:51" x14ac:dyDescent="0.2">
      <c r="A114" s="32" t="str">
        <f t="shared" ca="1" si="1"/>
        <v>2025-07-25</v>
      </c>
      <c r="B114" s="179">
        <f ca="1">IF(ISNUMBER(MATCH(DATEVALUE($A114),'recurring1_based on steps'!B$1:B$400,0)),B$2,)</f>
        <v>0</v>
      </c>
      <c r="C114" s="179">
        <f ca="1">IF(ISNUMBER(MATCH(DATEVALUE($A114),'recurring1_based on steps'!C$1:C$400,0)),C$2,)</f>
        <v>0</v>
      </c>
      <c r="D114" s="179">
        <f ca="1">IF(ISNUMBER(MATCH(DATEVALUE($A114),'recurring1_based on steps'!D$1:D$400,0)),D$2,)</f>
        <v>0</v>
      </c>
      <c r="E114" s="179">
        <f ca="1">IF(ISNUMBER(MATCH(DATEVALUE($A114),'recurring1_based on steps'!E$1:E$400,0)),E$2,)</f>
        <v>0</v>
      </c>
      <c r="F114" s="179">
        <f ca="1">IF(ISNUMBER(MATCH(DATEVALUE($A114),'recurring1_based on steps'!F$1:F$400,0)),F$2,)</f>
        <v>0</v>
      </c>
      <c r="G114" s="179">
        <f ca="1">IF(ISNUMBER(MATCH(DATEVALUE($A114),'recurring1_based on steps'!G$1:G$400,0)),G$2,)</f>
        <v>0</v>
      </c>
      <c r="H114" s="179">
        <f ca="1">IF(ISNUMBER(MATCH(DATEVALUE($A114),'recurring1_based on steps'!H$1:H$400,0)),H$2,)</f>
        <v>0</v>
      </c>
      <c r="I114" s="179">
        <f ca="1">IF(ISNUMBER(MATCH(DATEVALUE($A114),'recurring1_based on steps'!I$1:I$400,0)),I$2,)</f>
        <v>0</v>
      </c>
      <c r="J114" s="179">
        <f ca="1">IF(ISNUMBER(MATCH(DATEVALUE($A114),'recurring1_based on steps'!J$1:J$400,0)),J$2,)</f>
        <v>0</v>
      </c>
      <c r="K114" s="179">
        <f ca="1">IF(ISNUMBER(MATCH(DATEVALUE($A114),'recurring1_based on steps'!K$1:K$400,0)),K$2,)</f>
        <v>0</v>
      </c>
      <c r="L114" s="179">
        <f ca="1">IF(ISNUMBER(MATCH(DATEVALUE($A114),'recurring1_based on steps'!L$1:L$400,0)),L$2,)</f>
        <v>0</v>
      </c>
      <c r="M114" s="179">
        <f ca="1">IF(ISNUMBER(MATCH(DATEVALUE($A114),'recurring1_based on steps'!M$1:M$400,0)),M$2,)</f>
        <v>0</v>
      </c>
      <c r="N114" s="179">
        <f ca="1">IF(ISNUMBER(MATCH(DATEVALUE($A114),'recurring1_based on steps'!N$1:N$400,0)),N$2,)</f>
        <v>0</v>
      </c>
      <c r="O114" s="179">
        <f ca="1">IF(ISNUMBER(MATCH(DATEVALUE($A114),'recurring1_based on steps'!O$1:O$400,0)),O$2,)</f>
        <v>0</v>
      </c>
      <c r="P114" s="179">
        <f ca="1">IF(ISNUMBER(MATCH(DATEVALUE($A114),'recurring1_based on steps'!P$1:P$400,0)),P$2,)</f>
        <v>0</v>
      </c>
      <c r="Q114" s="179">
        <f ca="1">IF(ISNUMBER(MATCH(DATEVALUE($A114),'recurring1_based on steps'!Q$1:Q$400,0)),Q$2,)</f>
        <v>0</v>
      </c>
      <c r="R114" s="179">
        <f ca="1">IF(ISNUMBER(MATCH(DATEVALUE($A114),'recurring1_based on steps'!R$1:R$400,0)),R$2,)</f>
        <v>0</v>
      </c>
      <c r="S114" s="179">
        <f ca="1">IF(ISNUMBER(MATCH(DATEVALUE($A114),'recurring1_based on steps'!S$1:S$400,0)),S$2,)</f>
        <v>0</v>
      </c>
      <c r="T114" s="179">
        <f ca="1">IF(ISNUMBER(MATCH(DATEVALUE($A114),'recurring1_based on steps'!T$1:T$400,0)),T$2,)</f>
        <v>0</v>
      </c>
      <c r="U114" s="179">
        <f ca="1">IF(ISNUMBER(MATCH(DATEVALUE($A114),'recurring1_based on steps'!U$1:U$400,0)),U$2,)</f>
        <v>0</v>
      </c>
      <c r="V114" s="179">
        <f ca="1">IF(ISNUMBER(MATCH(DATEVALUE($A114),'recurring1_based on steps'!V$1:V$400,0)),V$2,)</f>
        <v>0</v>
      </c>
      <c r="W114" s="179">
        <f ca="1">IF(ISNUMBER(MATCH(DATEVALUE($A114),'recurring1_based on steps'!W$1:W$400,0)),W$2,)</f>
        <v>0</v>
      </c>
      <c r="X114" s="179">
        <f ca="1">IF(ISNUMBER(MATCH(DATEVALUE($A114),'recurring1_based on steps'!X$1:X$400,0)),X$2,)</f>
        <v>0</v>
      </c>
      <c r="Y114" s="179">
        <f ca="1">IF(ISNUMBER(MATCH(DATEVALUE($A114),'recurring1_based on steps'!Y$1:Y$400,0)),Y$2,)</f>
        <v>0</v>
      </c>
      <c r="Z114" s="179">
        <f ca="1">IF(ISNUMBER(MATCH(DATEVALUE($A114),'recurring1_based on steps'!Z$1:Z$400,0)),Z$2,)</f>
        <v>0</v>
      </c>
      <c r="AA114" s="179">
        <f ca="1">IF(ISNUMBER(MATCH(DATEVALUE($A114),'recurring1_based on steps'!AA$1:AA$400,0)),AA$2,)</f>
        <v>0</v>
      </c>
      <c r="AB114" s="179">
        <f ca="1">IF(ISNUMBER(MATCH(DATEVALUE($A114),'recurring1_based on steps'!AB$1:AB$400,0)),AB$2,)</f>
        <v>0</v>
      </c>
      <c r="AC114" s="179">
        <f ca="1">IF(ISNUMBER(MATCH(DATEVALUE($A114),'recurring1_based on steps'!AC$1:AC$400,0)),AC$2,)</f>
        <v>0</v>
      </c>
      <c r="AD114" s="179">
        <f ca="1">IF(ISNUMBER(MATCH(DATEVALUE($A114),'recurring1_based on steps'!AD$1:AD$400,0)),AD$2,)</f>
        <v>0</v>
      </c>
      <c r="AE114" s="179">
        <f ca="1">IF(ISNUMBER(MATCH(DATEVALUE($A114),'recurring1_based on steps'!AE$1:AE$400,0)),AE$2,)</f>
        <v>0</v>
      </c>
      <c r="AF114" s="179">
        <f ca="1">IF(ISNUMBER(MATCH(DATEVALUE($A114),'recurring1_based on steps'!AF$1:AF$400,0)),AF$2,)</f>
        <v>0</v>
      </c>
      <c r="AG114" s="179">
        <f ca="1">IF(ISNUMBER(MATCH(DATEVALUE($A114),'recurring1_based on steps'!AG$1:AG$400,0)),AG$2,)</f>
        <v>0</v>
      </c>
      <c r="AH114" s="179">
        <f ca="1">IF(ISNUMBER(MATCH(DATEVALUE($A114),'recurring1_based on steps'!AH$1:AH$400,0)),AH$2,)</f>
        <v>0</v>
      </c>
      <c r="AI114" s="179">
        <f ca="1">IF(ISNUMBER(MATCH(DATEVALUE($A114),'recurring1_based on steps'!AI$1:AI$400,0)),AI$2,)</f>
        <v>0</v>
      </c>
      <c r="AJ114" s="179">
        <f ca="1">IF(ISNUMBER(MATCH(DATEVALUE($A114),'recurring1_based on steps'!AJ$1:AJ$400,0)),AJ$2,)</f>
        <v>0</v>
      </c>
      <c r="AK114" s="179">
        <f ca="1">IF(ISNUMBER(MATCH(DATEVALUE($A114),'recurring1_based on steps'!AK$1:AK$400,0)),AK$2,)</f>
        <v>0</v>
      </c>
      <c r="AL114" s="179">
        <f ca="1">IF(ISNUMBER(MATCH(DATEVALUE($A114),'recurring1_based on steps'!AL$1:AL$400,0)),AL$2,)</f>
        <v>0</v>
      </c>
      <c r="AM114" s="179">
        <f ca="1">IF(ISNUMBER(MATCH(DATEVALUE($A114),'recurring1_based on steps'!AM$1:AM$400,0)),AM$2,)</f>
        <v>0</v>
      </c>
      <c r="AN114" s="179">
        <f ca="1">IF(ISNUMBER(MATCH(DATEVALUE($A114),'recurring1_based on steps'!AN$1:AN$400,0)),AN$2,)</f>
        <v>0</v>
      </c>
      <c r="AO114" s="179">
        <f ca="1">IF(ISNUMBER(MATCH(DATEVALUE($A114),'recurring1_based on steps'!AO$1:AO$400,0)),AO$2,)</f>
        <v>0</v>
      </c>
      <c r="AP114" s="179">
        <f ca="1">IF(ISNUMBER(MATCH(DATEVALUE($A114),'recurring1_based on steps'!AP$1:AP$400,0)),AP$2,)</f>
        <v>0</v>
      </c>
      <c r="AQ114" s="179">
        <f ca="1">IF(ISNUMBER(MATCH(DATEVALUE($A114),'recurring1_based on steps'!AQ$1:AQ$400,0)),AQ$2,)</f>
        <v>0</v>
      </c>
      <c r="AR114" s="179">
        <f ca="1">IF(ISNUMBER(MATCH(DATEVALUE($A114),'recurring1_based on steps'!AR$1:AR$400,0)),AR$2,)</f>
        <v>0</v>
      </c>
      <c r="AS114" s="179">
        <f ca="1">IF(ISNUMBER(MATCH(DATEVALUE($A114),'recurring1_based on steps'!AS$1:AS$400,0)),AS$2,)</f>
        <v>0</v>
      </c>
      <c r="AT114" s="179">
        <f ca="1">IF(ISNUMBER(MATCH(DATEVALUE($A114),'recurring1_based on steps'!AT$1:AT$400,0)),AT$2,)</f>
        <v>0</v>
      </c>
      <c r="AU114" s="179">
        <f ca="1">IF(ISNUMBER(MATCH(DATEVALUE($A114),'recurring1_based on steps'!AU$1:AU$400,0)),AU$2,)</f>
        <v>0</v>
      </c>
      <c r="AV114" s="179">
        <f ca="1">IF(ISNUMBER(MATCH(DATEVALUE($A114),'recurring1_based on steps'!AV$1:AV$400,0)),AV$2,)</f>
        <v>0</v>
      </c>
      <c r="AW114" s="179">
        <f ca="1">IF(ISNUMBER(MATCH(DATEVALUE($A114),'recurring1_based on steps'!AW$1:AW$400,0)),AW$2,)</f>
        <v>0</v>
      </c>
      <c r="AX114" s="179">
        <f ca="1">IF(ISNUMBER(MATCH(DATEVALUE($A114),'recurring1_based on steps'!AX$1:AX$400,0)),AX$2,)</f>
        <v>0</v>
      </c>
      <c r="AY114" s="179">
        <f ca="1">IF(ISNUMBER(MATCH(DATEVALUE($A114),'recurring1_based on steps'!AY$1:AY$400,0)),AY$2,)</f>
        <v>0</v>
      </c>
    </row>
    <row r="115" spans="1:51" x14ac:dyDescent="0.2">
      <c r="A115" s="32" t="str">
        <f t="shared" ca="1" si="1"/>
        <v>2025-07-26</v>
      </c>
      <c r="B115" s="179">
        <f ca="1">IF(ISNUMBER(MATCH(DATEVALUE($A115),'recurring1_based on steps'!B$1:B$400,0)),B$2,)</f>
        <v>0</v>
      </c>
      <c r="C115" s="179">
        <f ca="1">IF(ISNUMBER(MATCH(DATEVALUE($A115),'recurring1_based on steps'!C$1:C$400,0)),C$2,)</f>
        <v>0</v>
      </c>
      <c r="D115" s="179">
        <f ca="1">IF(ISNUMBER(MATCH(DATEVALUE($A115),'recurring1_based on steps'!D$1:D$400,0)),D$2,)</f>
        <v>0</v>
      </c>
      <c r="E115" s="179">
        <f ca="1">IF(ISNUMBER(MATCH(DATEVALUE($A115),'recurring1_based on steps'!E$1:E$400,0)),E$2,)</f>
        <v>0</v>
      </c>
      <c r="F115" s="179">
        <f ca="1">IF(ISNUMBER(MATCH(DATEVALUE($A115),'recurring1_based on steps'!F$1:F$400,0)),F$2,)</f>
        <v>0</v>
      </c>
      <c r="G115" s="179">
        <f ca="1">IF(ISNUMBER(MATCH(DATEVALUE($A115),'recurring1_based on steps'!G$1:G$400,0)),G$2,)</f>
        <v>0</v>
      </c>
      <c r="H115" s="179">
        <f ca="1">IF(ISNUMBER(MATCH(DATEVALUE($A115),'recurring1_based on steps'!H$1:H$400,0)),H$2,)</f>
        <v>0</v>
      </c>
      <c r="I115" s="179">
        <f ca="1">IF(ISNUMBER(MATCH(DATEVALUE($A115),'recurring1_based on steps'!I$1:I$400,0)),I$2,)</f>
        <v>0</v>
      </c>
      <c r="J115" s="179">
        <f ca="1">IF(ISNUMBER(MATCH(DATEVALUE($A115),'recurring1_based on steps'!J$1:J$400,0)),J$2,)</f>
        <v>0</v>
      </c>
      <c r="K115" s="179">
        <f ca="1">IF(ISNUMBER(MATCH(DATEVALUE($A115),'recurring1_based on steps'!K$1:K$400,0)),K$2,)</f>
        <v>0</v>
      </c>
      <c r="L115" s="179">
        <f ca="1">IF(ISNUMBER(MATCH(DATEVALUE($A115),'recurring1_based on steps'!L$1:L$400,0)),L$2,)</f>
        <v>0</v>
      </c>
      <c r="M115" s="179">
        <f ca="1">IF(ISNUMBER(MATCH(DATEVALUE($A115),'recurring1_based on steps'!M$1:M$400,0)),M$2,)</f>
        <v>0</v>
      </c>
      <c r="N115" s="179">
        <f ca="1">IF(ISNUMBER(MATCH(DATEVALUE($A115),'recurring1_based on steps'!N$1:N$400,0)),N$2,)</f>
        <v>0</v>
      </c>
      <c r="O115" s="179">
        <f ca="1">IF(ISNUMBER(MATCH(DATEVALUE($A115),'recurring1_based on steps'!O$1:O$400,0)),O$2,)</f>
        <v>0</v>
      </c>
      <c r="P115" s="179">
        <f ca="1">IF(ISNUMBER(MATCH(DATEVALUE($A115),'recurring1_based on steps'!P$1:P$400,0)),P$2,)</f>
        <v>0</v>
      </c>
      <c r="Q115" s="179">
        <f ca="1">IF(ISNUMBER(MATCH(DATEVALUE($A115),'recurring1_based on steps'!Q$1:Q$400,0)),Q$2,)</f>
        <v>0</v>
      </c>
      <c r="R115" s="179">
        <f ca="1">IF(ISNUMBER(MATCH(DATEVALUE($A115),'recurring1_based on steps'!R$1:R$400,0)),R$2,)</f>
        <v>0</v>
      </c>
      <c r="S115" s="179">
        <f ca="1">IF(ISNUMBER(MATCH(DATEVALUE($A115),'recurring1_based on steps'!S$1:S$400,0)),S$2,)</f>
        <v>0</v>
      </c>
      <c r="T115" s="179">
        <f ca="1">IF(ISNUMBER(MATCH(DATEVALUE($A115),'recurring1_based on steps'!T$1:T$400,0)),T$2,)</f>
        <v>0</v>
      </c>
      <c r="U115" s="179">
        <f ca="1">IF(ISNUMBER(MATCH(DATEVALUE($A115),'recurring1_based on steps'!U$1:U$400,0)),U$2,)</f>
        <v>0</v>
      </c>
      <c r="V115" s="179">
        <f ca="1">IF(ISNUMBER(MATCH(DATEVALUE($A115),'recurring1_based on steps'!V$1:V$400,0)),V$2,)</f>
        <v>0</v>
      </c>
      <c r="W115" s="179">
        <f ca="1">IF(ISNUMBER(MATCH(DATEVALUE($A115),'recurring1_based on steps'!W$1:W$400,0)),W$2,)</f>
        <v>0</v>
      </c>
      <c r="X115" s="179">
        <f ca="1">IF(ISNUMBER(MATCH(DATEVALUE($A115),'recurring1_based on steps'!X$1:X$400,0)),X$2,)</f>
        <v>0</v>
      </c>
      <c r="Y115" s="179">
        <f ca="1">IF(ISNUMBER(MATCH(DATEVALUE($A115),'recurring1_based on steps'!Y$1:Y$400,0)),Y$2,)</f>
        <v>0</v>
      </c>
      <c r="Z115" s="179">
        <f ca="1">IF(ISNUMBER(MATCH(DATEVALUE($A115),'recurring1_based on steps'!Z$1:Z$400,0)),Z$2,)</f>
        <v>0</v>
      </c>
      <c r="AA115" s="179">
        <f ca="1">IF(ISNUMBER(MATCH(DATEVALUE($A115),'recurring1_based on steps'!AA$1:AA$400,0)),AA$2,)</f>
        <v>0</v>
      </c>
      <c r="AB115" s="179">
        <f ca="1">IF(ISNUMBER(MATCH(DATEVALUE($A115),'recurring1_based on steps'!AB$1:AB$400,0)),AB$2,)</f>
        <v>0</v>
      </c>
      <c r="AC115" s="179">
        <f ca="1">IF(ISNUMBER(MATCH(DATEVALUE($A115),'recurring1_based on steps'!AC$1:AC$400,0)),AC$2,)</f>
        <v>0</v>
      </c>
      <c r="AD115" s="179">
        <f ca="1">IF(ISNUMBER(MATCH(DATEVALUE($A115),'recurring1_based on steps'!AD$1:AD$400,0)),AD$2,)</f>
        <v>0</v>
      </c>
      <c r="AE115" s="179">
        <f ca="1">IF(ISNUMBER(MATCH(DATEVALUE($A115),'recurring1_based on steps'!AE$1:AE$400,0)),AE$2,)</f>
        <v>0</v>
      </c>
      <c r="AF115" s="179">
        <f ca="1">IF(ISNUMBER(MATCH(DATEVALUE($A115),'recurring1_based on steps'!AF$1:AF$400,0)),AF$2,)</f>
        <v>0</v>
      </c>
      <c r="AG115" s="179">
        <f ca="1">IF(ISNUMBER(MATCH(DATEVALUE($A115),'recurring1_based on steps'!AG$1:AG$400,0)),AG$2,)</f>
        <v>0</v>
      </c>
      <c r="AH115" s="179">
        <f ca="1">IF(ISNUMBER(MATCH(DATEVALUE($A115),'recurring1_based on steps'!AH$1:AH$400,0)),AH$2,)</f>
        <v>0</v>
      </c>
      <c r="AI115" s="179">
        <f ca="1">IF(ISNUMBER(MATCH(DATEVALUE($A115),'recurring1_based on steps'!AI$1:AI$400,0)),AI$2,)</f>
        <v>0</v>
      </c>
      <c r="AJ115" s="179">
        <f ca="1">IF(ISNUMBER(MATCH(DATEVALUE($A115),'recurring1_based on steps'!AJ$1:AJ$400,0)),AJ$2,)</f>
        <v>0</v>
      </c>
      <c r="AK115" s="179">
        <f ca="1">IF(ISNUMBER(MATCH(DATEVALUE($A115),'recurring1_based on steps'!AK$1:AK$400,0)),AK$2,)</f>
        <v>0</v>
      </c>
      <c r="AL115" s="179">
        <f ca="1">IF(ISNUMBER(MATCH(DATEVALUE($A115),'recurring1_based on steps'!AL$1:AL$400,0)),AL$2,)</f>
        <v>0</v>
      </c>
      <c r="AM115" s="179">
        <f ca="1">IF(ISNUMBER(MATCH(DATEVALUE($A115),'recurring1_based on steps'!AM$1:AM$400,0)),AM$2,)</f>
        <v>0</v>
      </c>
      <c r="AN115" s="179">
        <f ca="1">IF(ISNUMBER(MATCH(DATEVALUE($A115),'recurring1_based on steps'!AN$1:AN$400,0)),AN$2,)</f>
        <v>0</v>
      </c>
      <c r="AO115" s="179">
        <f ca="1">IF(ISNUMBER(MATCH(DATEVALUE($A115),'recurring1_based on steps'!AO$1:AO$400,0)),AO$2,)</f>
        <v>0</v>
      </c>
      <c r="AP115" s="179">
        <f ca="1">IF(ISNUMBER(MATCH(DATEVALUE($A115),'recurring1_based on steps'!AP$1:AP$400,0)),AP$2,)</f>
        <v>0</v>
      </c>
      <c r="AQ115" s="179">
        <f ca="1">IF(ISNUMBER(MATCH(DATEVALUE($A115),'recurring1_based on steps'!AQ$1:AQ$400,0)),AQ$2,)</f>
        <v>0</v>
      </c>
      <c r="AR115" s="179">
        <f ca="1">IF(ISNUMBER(MATCH(DATEVALUE($A115),'recurring1_based on steps'!AR$1:AR$400,0)),AR$2,)</f>
        <v>0</v>
      </c>
      <c r="AS115" s="179">
        <f ca="1">IF(ISNUMBER(MATCH(DATEVALUE($A115),'recurring1_based on steps'!AS$1:AS$400,0)),AS$2,)</f>
        <v>0</v>
      </c>
      <c r="AT115" s="179">
        <f ca="1">IF(ISNUMBER(MATCH(DATEVALUE($A115),'recurring1_based on steps'!AT$1:AT$400,0)),AT$2,)</f>
        <v>0</v>
      </c>
      <c r="AU115" s="179">
        <f ca="1">IF(ISNUMBER(MATCH(DATEVALUE($A115),'recurring1_based on steps'!AU$1:AU$400,0)),AU$2,)</f>
        <v>0</v>
      </c>
      <c r="AV115" s="179">
        <f ca="1">IF(ISNUMBER(MATCH(DATEVALUE($A115),'recurring1_based on steps'!AV$1:AV$400,0)),AV$2,)</f>
        <v>0</v>
      </c>
      <c r="AW115" s="179">
        <f ca="1">IF(ISNUMBER(MATCH(DATEVALUE($A115),'recurring1_based on steps'!AW$1:AW$400,0)),AW$2,)</f>
        <v>0</v>
      </c>
      <c r="AX115" s="179">
        <f ca="1">IF(ISNUMBER(MATCH(DATEVALUE($A115),'recurring1_based on steps'!AX$1:AX$400,0)),AX$2,)</f>
        <v>0</v>
      </c>
      <c r="AY115" s="179">
        <f ca="1">IF(ISNUMBER(MATCH(DATEVALUE($A115),'recurring1_based on steps'!AY$1:AY$400,0)),AY$2,)</f>
        <v>0</v>
      </c>
    </row>
    <row r="116" spans="1:51" x14ac:dyDescent="0.2">
      <c r="A116" s="32" t="str">
        <f t="shared" ca="1" si="1"/>
        <v>2025-07-27</v>
      </c>
      <c r="B116" s="179">
        <f ca="1">IF(ISNUMBER(MATCH(DATEVALUE($A116),'recurring1_based on steps'!B$1:B$400,0)),B$2,)</f>
        <v>0</v>
      </c>
      <c r="C116" s="179">
        <f ca="1">IF(ISNUMBER(MATCH(DATEVALUE($A116),'recurring1_based on steps'!C$1:C$400,0)),C$2,)</f>
        <v>0</v>
      </c>
      <c r="D116" s="179">
        <f ca="1">IF(ISNUMBER(MATCH(DATEVALUE($A116),'recurring1_based on steps'!D$1:D$400,0)),D$2,)</f>
        <v>0</v>
      </c>
      <c r="E116" s="179">
        <f ca="1">IF(ISNUMBER(MATCH(DATEVALUE($A116),'recurring1_based on steps'!E$1:E$400,0)),E$2,)</f>
        <v>0</v>
      </c>
      <c r="F116" s="179">
        <f ca="1">IF(ISNUMBER(MATCH(DATEVALUE($A116),'recurring1_based on steps'!F$1:F$400,0)),F$2,)</f>
        <v>0</v>
      </c>
      <c r="G116" s="179">
        <f ca="1">IF(ISNUMBER(MATCH(DATEVALUE($A116),'recurring1_based on steps'!G$1:G$400,0)),G$2,)</f>
        <v>0</v>
      </c>
      <c r="H116" s="179">
        <f ca="1">IF(ISNUMBER(MATCH(DATEVALUE($A116),'recurring1_based on steps'!H$1:H$400,0)),H$2,)</f>
        <v>0</v>
      </c>
      <c r="I116" s="179">
        <f ca="1">IF(ISNUMBER(MATCH(DATEVALUE($A116),'recurring1_based on steps'!I$1:I$400,0)),I$2,)</f>
        <v>0</v>
      </c>
      <c r="J116" s="179">
        <f ca="1">IF(ISNUMBER(MATCH(DATEVALUE($A116),'recurring1_based on steps'!J$1:J$400,0)),J$2,)</f>
        <v>0</v>
      </c>
      <c r="K116" s="179">
        <f ca="1">IF(ISNUMBER(MATCH(DATEVALUE($A116),'recurring1_based on steps'!K$1:K$400,0)),K$2,)</f>
        <v>0</v>
      </c>
      <c r="L116" s="179">
        <f ca="1">IF(ISNUMBER(MATCH(DATEVALUE($A116),'recurring1_based on steps'!L$1:L$400,0)),L$2,)</f>
        <v>0</v>
      </c>
      <c r="M116" s="179">
        <f ca="1">IF(ISNUMBER(MATCH(DATEVALUE($A116),'recurring1_based on steps'!M$1:M$400,0)),M$2,)</f>
        <v>0</v>
      </c>
      <c r="N116" s="179">
        <f ca="1">IF(ISNUMBER(MATCH(DATEVALUE($A116),'recurring1_based on steps'!N$1:N$400,0)),N$2,)</f>
        <v>0</v>
      </c>
      <c r="O116" s="179">
        <f ca="1">IF(ISNUMBER(MATCH(DATEVALUE($A116),'recurring1_based on steps'!O$1:O$400,0)),O$2,)</f>
        <v>0</v>
      </c>
      <c r="P116" s="179">
        <f ca="1">IF(ISNUMBER(MATCH(DATEVALUE($A116),'recurring1_based on steps'!P$1:P$400,0)),P$2,)</f>
        <v>0</v>
      </c>
      <c r="Q116" s="179">
        <f ca="1">IF(ISNUMBER(MATCH(DATEVALUE($A116),'recurring1_based on steps'!Q$1:Q$400,0)),Q$2,)</f>
        <v>0</v>
      </c>
      <c r="R116" s="179">
        <f ca="1">IF(ISNUMBER(MATCH(DATEVALUE($A116),'recurring1_based on steps'!R$1:R$400,0)),R$2,)</f>
        <v>0</v>
      </c>
      <c r="S116" s="179">
        <f ca="1">IF(ISNUMBER(MATCH(DATEVALUE($A116),'recurring1_based on steps'!S$1:S$400,0)),S$2,)</f>
        <v>0</v>
      </c>
      <c r="T116" s="179">
        <f ca="1">IF(ISNUMBER(MATCH(DATEVALUE($A116),'recurring1_based on steps'!T$1:T$400,0)),T$2,)</f>
        <v>0</v>
      </c>
      <c r="U116" s="179">
        <f ca="1">IF(ISNUMBER(MATCH(DATEVALUE($A116),'recurring1_based on steps'!U$1:U$400,0)),U$2,)</f>
        <v>0</v>
      </c>
      <c r="V116" s="179">
        <f ca="1">IF(ISNUMBER(MATCH(DATEVALUE($A116),'recurring1_based on steps'!V$1:V$400,0)),V$2,)</f>
        <v>0</v>
      </c>
      <c r="W116" s="179">
        <f ca="1">IF(ISNUMBER(MATCH(DATEVALUE($A116),'recurring1_based on steps'!W$1:W$400,0)),W$2,)</f>
        <v>0</v>
      </c>
      <c r="X116" s="179">
        <f ca="1">IF(ISNUMBER(MATCH(DATEVALUE($A116),'recurring1_based on steps'!X$1:X$400,0)),X$2,)</f>
        <v>0</v>
      </c>
      <c r="Y116" s="179">
        <f ca="1">IF(ISNUMBER(MATCH(DATEVALUE($A116),'recurring1_based on steps'!Y$1:Y$400,0)),Y$2,)</f>
        <v>0</v>
      </c>
      <c r="Z116" s="179">
        <f ca="1">IF(ISNUMBER(MATCH(DATEVALUE($A116),'recurring1_based on steps'!Z$1:Z$400,0)),Z$2,)</f>
        <v>0</v>
      </c>
      <c r="AA116" s="179">
        <f ca="1">IF(ISNUMBER(MATCH(DATEVALUE($A116),'recurring1_based on steps'!AA$1:AA$400,0)),AA$2,)</f>
        <v>0</v>
      </c>
      <c r="AB116" s="179">
        <f ca="1">IF(ISNUMBER(MATCH(DATEVALUE($A116),'recurring1_based on steps'!AB$1:AB$400,0)),AB$2,)</f>
        <v>0</v>
      </c>
      <c r="AC116" s="179">
        <f ca="1">IF(ISNUMBER(MATCH(DATEVALUE($A116),'recurring1_based on steps'!AC$1:AC$400,0)),AC$2,)</f>
        <v>0</v>
      </c>
      <c r="AD116" s="179">
        <f ca="1">IF(ISNUMBER(MATCH(DATEVALUE($A116),'recurring1_based on steps'!AD$1:AD$400,0)),AD$2,)</f>
        <v>0</v>
      </c>
      <c r="AE116" s="179">
        <f ca="1">IF(ISNUMBER(MATCH(DATEVALUE($A116),'recurring1_based on steps'!AE$1:AE$400,0)),AE$2,)</f>
        <v>0</v>
      </c>
      <c r="AF116" s="179">
        <f ca="1">IF(ISNUMBER(MATCH(DATEVALUE($A116),'recurring1_based on steps'!AF$1:AF$400,0)),AF$2,)</f>
        <v>0</v>
      </c>
      <c r="AG116" s="179">
        <f ca="1">IF(ISNUMBER(MATCH(DATEVALUE($A116),'recurring1_based on steps'!AG$1:AG$400,0)),AG$2,)</f>
        <v>0</v>
      </c>
      <c r="AH116" s="179">
        <f ca="1">IF(ISNUMBER(MATCH(DATEVALUE($A116),'recurring1_based on steps'!AH$1:AH$400,0)),AH$2,)</f>
        <v>0</v>
      </c>
      <c r="AI116" s="179">
        <f ca="1">IF(ISNUMBER(MATCH(DATEVALUE($A116),'recurring1_based on steps'!AI$1:AI$400,0)),AI$2,)</f>
        <v>0</v>
      </c>
      <c r="AJ116" s="179">
        <f ca="1">IF(ISNUMBER(MATCH(DATEVALUE($A116),'recurring1_based on steps'!AJ$1:AJ$400,0)),AJ$2,)</f>
        <v>0</v>
      </c>
      <c r="AK116" s="179">
        <f ca="1">IF(ISNUMBER(MATCH(DATEVALUE($A116),'recurring1_based on steps'!AK$1:AK$400,0)),AK$2,)</f>
        <v>0</v>
      </c>
      <c r="AL116" s="179">
        <f ca="1">IF(ISNUMBER(MATCH(DATEVALUE($A116),'recurring1_based on steps'!AL$1:AL$400,0)),AL$2,)</f>
        <v>0</v>
      </c>
      <c r="AM116" s="179">
        <f ca="1">IF(ISNUMBER(MATCH(DATEVALUE($A116),'recurring1_based on steps'!AM$1:AM$400,0)),AM$2,)</f>
        <v>0</v>
      </c>
      <c r="AN116" s="179">
        <f ca="1">IF(ISNUMBER(MATCH(DATEVALUE($A116),'recurring1_based on steps'!AN$1:AN$400,0)),AN$2,)</f>
        <v>0</v>
      </c>
      <c r="AO116" s="179">
        <f ca="1">IF(ISNUMBER(MATCH(DATEVALUE($A116),'recurring1_based on steps'!AO$1:AO$400,0)),AO$2,)</f>
        <v>0</v>
      </c>
      <c r="AP116" s="179">
        <f ca="1">IF(ISNUMBER(MATCH(DATEVALUE($A116),'recurring1_based on steps'!AP$1:AP$400,0)),AP$2,)</f>
        <v>0</v>
      </c>
      <c r="AQ116" s="179">
        <f ca="1">IF(ISNUMBER(MATCH(DATEVALUE($A116),'recurring1_based on steps'!AQ$1:AQ$400,0)),AQ$2,)</f>
        <v>0</v>
      </c>
      <c r="AR116" s="179">
        <f ca="1">IF(ISNUMBER(MATCH(DATEVALUE($A116),'recurring1_based on steps'!AR$1:AR$400,0)),AR$2,)</f>
        <v>0</v>
      </c>
      <c r="AS116" s="179">
        <f ca="1">IF(ISNUMBER(MATCH(DATEVALUE($A116),'recurring1_based on steps'!AS$1:AS$400,0)),AS$2,)</f>
        <v>0</v>
      </c>
      <c r="AT116" s="179">
        <f ca="1">IF(ISNUMBER(MATCH(DATEVALUE($A116),'recurring1_based on steps'!AT$1:AT$400,0)),AT$2,)</f>
        <v>0</v>
      </c>
      <c r="AU116" s="179">
        <f ca="1">IF(ISNUMBER(MATCH(DATEVALUE($A116),'recurring1_based on steps'!AU$1:AU$400,0)),AU$2,)</f>
        <v>0</v>
      </c>
      <c r="AV116" s="179">
        <f ca="1">IF(ISNUMBER(MATCH(DATEVALUE($A116),'recurring1_based on steps'!AV$1:AV$400,0)),AV$2,)</f>
        <v>0</v>
      </c>
      <c r="AW116" s="179">
        <f ca="1">IF(ISNUMBER(MATCH(DATEVALUE($A116),'recurring1_based on steps'!AW$1:AW$400,0)),AW$2,)</f>
        <v>0</v>
      </c>
      <c r="AX116" s="179">
        <f ca="1">IF(ISNUMBER(MATCH(DATEVALUE($A116),'recurring1_based on steps'!AX$1:AX$400,0)),AX$2,)</f>
        <v>0</v>
      </c>
      <c r="AY116" s="179">
        <f ca="1">IF(ISNUMBER(MATCH(DATEVALUE($A116),'recurring1_based on steps'!AY$1:AY$400,0)),AY$2,)</f>
        <v>0</v>
      </c>
    </row>
    <row r="117" spans="1:51" x14ac:dyDescent="0.2">
      <c r="A117" s="32" t="str">
        <f t="shared" ca="1" si="1"/>
        <v>2025-07-28</v>
      </c>
      <c r="B117" s="179">
        <f ca="1">IF(ISNUMBER(MATCH(DATEVALUE($A117),'recurring1_based on steps'!B$1:B$400,0)),B$2,)</f>
        <v>0</v>
      </c>
      <c r="C117" s="179">
        <f ca="1">IF(ISNUMBER(MATCH(DATEVALUE($A117),'recurring1_based on steps'!C$1:C$400,0)),C$2,)</f>
        <v>0</v>
      </c>
      <c r="D117" s="179">
        <f ca="1">IF(ISNUMBER(MATCH(DATEVALUE($A117),'recurring1_based on steps'!D$1:D$400,0)),D$2,)</f>
        <v>0</v>
      </c>
      <c r="E117" s="179">
        <f ca="1">IF(ISNUMBER(MATCH(DATEVALUE($A117),'recurring1_based on steps'!E$1:E$400,0)),E$2,)</f>
        <v>0</v>
      </c>
      <c r="F117" s="179">
        <f ca="1">IF(ISNUMBER(MATCH(DATEVALUE($A117),'recurring1_based on steps'!F$1:F$400,0)),F$2,)</f>
        <v>0</v>
      </c>
      <c r="G117" s="179">
        <f ca="1">IF(ISNUMBER(MATCH(DATEVALUE($A117),'recurring1_based on steps'!G$1:G$400,0)),G$2,)</f>
        <v>0</v>
      </c>
      <c r="H117" s="179">
        <f ca="1">IF(ISNUMBER(MATCH(DATEVALUE($A117),'recurring1_based on steps'!H$1:H$400,0)),H$2,)</f>
        <v>0</v>
      </c>
      <c r="I117" s="179">
        <f ca="1">IF(ISNUMBER(MATCH(DATEVALUE($A117),'recurring1_based on steps'!I$1:I$400,0)),I$2,)</f>
        <v>0</v>
      </c>
      <c r="J117" s="179">
        <f ca="1">IF(ISNUMBER(MATCH(DATEVALUE($A117),'recurring1_based on steps'!J$1:J$400,0)),J$2,)</f>
        <v>0</v>
      </c>
      <c r="K117" s="179">
        <f ca="1">IF(ISNUMBER(MATCH(DATEVALUE($A117),'recurring1_based on steps'!K$1:K$400,0)),K$2,)</f>
        <v>0</v>
      </c>
      <c r="L117" s="179">
        <f ca="1">IF(ISNUMBER(MATCH(DATEVALUE($A117),'recurring1_based on steps'!L$1:L$400,0)),L$2,)</f>
        <v>0</v>
      </c>
      <c r="M117" s="179">
        <f ca="1">IF(ISNUMBER(MATCH(DATEVALUE($A117),'recurring1_based on steps'!M$1:M$400,0)),M$2,)</f>
        <v>0</v>
      </c>
      <c r="N117" s="179">
        <f ca="1">IF(ISNUMBER(MATCH(DATEVALUE($A117),'recurring1_based on steps'!N$1:N$400,0)),N$2,)</f>
        <v>0</v>
      </c>
      <c r="O117" s="179">
        <f ca="1">IF(ISNUMBER(MATCH(DATEVALUE($A117),'recurring1_based on steps'!O$1:O$400,0)),O$2,)</f>
        <v>0</v>
      </c>
      <c r="P117" s="179">
        <f ca="1">IF(ISNUMBER(MATCH(DATEVALUE($A117),'recurring1_based on steps'!P$1:P$400,0)),P$2,)</f>
        <v>0</v>
      </c>
      <c r="Q117" s="179">
        <f ca="1">IF(ISNUMBER(MATCH(DATEVALUE($A117),'recurring1_based on steps'!Q$1:Q$400,0)),Q$2,)</f>
        <v>0</v>
      </c>
      <c r="R117" s="179">
        <f ca="1">IF(ISNUMBER(MATCH(DATEVALUE($A117),'recurring1_based on steps'!R$1:R$400,0)),R$2,)</f>
        <v>0</v>
      </c>
      <c r="S117" s="179">
        <f ca="1">IF(ISNUMBER(MATCH(DATEVALUE($A117),'recurring1_based on steps'!S$1:S$400,0)),S$2,)</f>
        <v>0</v>
      </c>
      <c r="T117" s="179">
        <f ca="1">IF(ISNUMBER(MATCH(DATEVALUE($A117),'recurring1_based on steps'!T$1:T$400,0)),T$2,)</f>
        <v>0</v>
      </c>
      <c r="U117" s="179">
        <f ca="1">IF(ISNUMBER(MATCH(DATEVALUE($A117),'recurring1_based on steps'!U$1:U$400,0)),U$2,)</f>
        <v>0</v>
      </c>
      <c r="V117" s="179">
        <f ca="1">IF(ISNUMBER(MATCH(DATEVALUE($A117),'recurring1_based on steps'!V$1:V$400,0)),V$2,)</f>
        <v>0</v>
      </c>
      <c r="W117" s="179">
        <f ca="1">IF(ISNUMBER(MATCH(DATEVALUE($A117),'recurring1_based on steps'!W$1:W$400,0)),W$2,)</f>
        <v>0</v>
      </c>
      <c r="X117" s="179">
        <f ca="1">IF(ISNUMBER(MATCH(DATEVALUE($A117),'recurring1_based on steps'!X$1:X$400,0)),X$2,)</f>
        <v>0</v>
      </c>
      <c r="Y117" s="179">
        <f ca="1">IF(ISNUMBER(MATCH(DATEVALUE($A117),'recurring1_based on steps'!Y$1:Y$400,0)),Y$2,)</f>
        <v>0</v>
      </c>
      <c r="Z117" s="179">
        <f ca="1">IF(ISNUMBER(MATCH(DATEVALUE($A117),'recurring1_based on steps'!Z$1:Z$400,0)),Z$2,)</f>
        <v>0</v>
      </c>
      <c r="AA117" s="179">
        <f ca="1">IF(ISNUMBER(MATCH(DATEVALUE($A117),'recurring1_based on steps'!AA$1:AA$400,0)),AA$2,)</f>
        <v>0</v>
      </c>
      <c r="AB117" s="179">
        <f ca="1">IF(ISNUMBER(MATCH(DATEVALUE($A117),'recurring1_based on steps'!AB$1:AB$400,0)),AB$2,)</f>
        <v>0</v>
      </c>
      <c r="AC117" s="179">
        <f ca="1">IF(ISNUMBER(MATCH(DATEVALUE($A117),'recurring1_based on steps'!AC$1:AC$400,0)),AC$2,)</f>
        <v>0</v>
      </c>
      <c r="AD117" s="179">
        <f ca="1">IF(ISNUMBER(MATCH(DATEVALUE($A117),'recurring1_based on steps'!AD$1:AD$400,0)),AD$2,)</f>
        <v>0</v>
      </c>
      <c r="AE117" s="179">
        <f ca="1">IF(ISNUMBER(MATCH(DATEVALUE($A117),'recurring1_based on steps'!AE$1:AE$400,0)),AE$2,)</f>
        <v>0</v>
      </c>
      <c r="AF117" s="179">
        <f ca="1">IF(ISNUMBER(MATCH(DATEVALUE($A117),'recurring1_based on steps'!AF$1:AF$400,0)),AF$2,)</f>
        <v>0</v>
      </c>
      <c r="AG117" s="179">
        <f ca="1">IF(ISNUMBER(MATCH(DATEVALUE($A117),'recurring1_based on steps'!AG$1:AG$400,0)),AG$2,)</f>
        <v>0</v>
      </c>
      <c r="AH117" s="179">
        <f ca="1">IF(ISNUMBER(MATCH(DATEVALUE($A117),'recurring1_based on steps'!AH$1:AH$400,0)),AH$2,)</f>
        <v>0</v>
      </c>
      <c r="AI117" s="179">
        <f ca="1">IF(ISNUMBER(MATCH(DATEVALUE($A117),'recurring1_based on steps'!AI$1:AI$400,0)),AI$2,)</f>
        <v>0</v>
      </c>
      <c r="AJ117" s="179">
        <f ca="1">IF(ISNUMBER(MATCH(DATEVALUE($A117),'recurring1_based on steps'!AJ$1:AJ$400,0)),AJ$2,)</f>
        <v>0</v>
      </c>
      <c r="AK117" s="179">
        <f ca="1">IF(ISNUMBER(MATCH(DATEVALUE($A117),'recurring1_based on steps'!AK$1:AK$400,0)),AK$2,)</f>
        <v>0</v>
      </c>
      <c r="AL117" s="179">
        <f ca="1">IF(ISNUMBER(MATCH(DATEVALUE($A117),'recurring1_based on steps'!AL$1:AL$400,0)),AL$2,)</f>
        <v>0</v>
      </c>
      <c r="AM117" s="179">
        <f ca="1">IF(ISNUMBER(MATCH(DATEVALUE($A117),'recurring1_based on steps'!AM$1:AM$400,0)),AM$2,)</f>
        <v>0</v>
      </c>
      <c r="AN117" s="179">
        <f ca="1">IF(ISNUMBER(MATCH(DATEVALUE($A117),'recurring1_based on steps'!AN$1:AN$400,0)),AN$2,)</f>
        <v>0</v>
      </c>
      <c r="AO117" s="179">
        <f ca="1">IF(ISNUMBER(MATCH(DATEVALUE($A117),'recurring1_based on steps'!AO$1:AO$400,0)),AO$2,)</f>
        <v>0</v>
      </c>
      <c r="AP117" s="179">
        <f ca="1">IF(ISNUMBER(MATCH(DATEVALUE($A117),'recurring1_based on steps'!AP$1:AP$400,0)),AP$2,)</f>
        <v>0</v>
      </c>
      <c r="AQ117" s="179">
        <f ca="1">IF(ISNUMBER(MATCH(DATEVALUE($A117),'recurring1_based on steps'!AQ$1:AQ$400,0)),AQ$2,)</f>
        <v>0</v>
      </c>
      <c r="AR117" s="179">
        <f ca="1">IF(ISNUMBER(MATCH(DATEVALUE($A117),'recurring1_based on steps'!AR$1:AR$400,0)),AR$2,)</f>
        <v>0</v>
      </c>
      <c r="AS117" s="179">
        <f ca="1">IF(ISNUMBER(MATCH(DATEVALUE($A117),'recurring1_based on steps'!AS$1:AS$400,0)),AS$2,)</f>
        <v>0</v>
      </c>
      <c r="AT117" s="179">
        <f ca="1">IF(ISNUMBER(MATCH(DATEVALUE($A117),'recurring1_based on steps'!AT$1:AT$400,0)),AT$2,)</f>
        <v>0</v>
      </c>
      <c r="AU117" s="179">
        <f ca="1">IF(ISNUMBER(MATCH(DATEVALUE($A117),'recurring1_based on steps'!AU$1:AU$400,0)),AU$2,)</f>
        <v>0</v>
      </c>
      <c r="AV117" s="179">
        <f ca="1">IF(ISNUMBER(MATCH(DATEVALUE($A117),'recurring1_based on steps'!AV$1:AV$400,0)),AV$2,)</f>
        <v>0</v>
      </c>
      <c r="AW117" s="179">
        <f ca="1">IF(ISNUMBER(MATCH(DATEVALUE($A117),'recurring1_based on steps'!AW$1:AW$400,0)),AW$2,)</f>
        <v>0</v>
      </c>
      <c r="AX117" s="179">
        <f ca="1">IF(ISNUMBER(MATCH(DATEVALUE($A117),'recurring1_based on steps'!AX$1:AX$400,0)),AX$2,)</f>
        <v>0</v>
      </c>
      <c r="AY117" s="179">
        <f ca="1">IF(ISNUMBER(MATCH(DATEVALUE($A117),'recurring1_based on steps'!AY$1:AY$400,0)),AY$2,)</f>
        <v>0</v>
      </c>
    </row>
    <row r="118" spans="1:51" x14ac:dyDescent="0.2">
      <c r="A118" s="32" t="str">
        <f t="shared" ca="1" si="1"/>
        <v>2025-07-29</v>
      </c>
      <c r="B118" s="179">
        <f ca="1">IF(ISNUMBER(MATCH(DATEVALUE($A118),'recurring1_based on steps'!B$1:B$400,0)),B$2,)</f>
        <v>0</v>
      </c>
      <c r="C118" s="179">
        <f ca="1">IF(ISNUMBER(MATCH(DATEVALUE($A118),'recurring1_based on steps'!C$1:C$400,0)),C$2,)</f>
        <v>0</v>
      </c>
      <c r="D118" s="179">
        <f ca="1">IF(ISNUMBER(MATCH(DATEVALUE($A118),'recurring1_based on steps'!D$1:D$400,0)),D$2,)</f>
        <v>0</v>
      </c>
      <c r="E118" s="179">
        <f ca="1">IF(ISNUMBER(MATCH(DATEVALUE($A118),'recurring1_based on steps'!E$1:E$400,0)),E$2,)</f>
        <v>0</v>
      </c>
      <c r="F118" s="179">
        <f ca="1">IF(ISNUMBER(MATCH(DATEVALUE($A118),'recurring1_based on steps'!F$1:F$400,0)),F$2,)</f>
        <v>0</v>
      </c>
      <c r="G118" s="179">
        <f ca="1">IF(ISNUMBER(MATCH(DATEVALUE($A118),'recurring1_based on steps'!G$1:G$400,0)),G$2,)</f>
        <v>0</v>
      </c>
      <c r="H118" s="179">
        <f ca="1">IF(ISNUMBER(MATCH(DATEVALUE($A118),'recurring1_based on steps'!H$1:H$400,0)),H$2,)</f>
        <v>0</v>
      </c>
      <c r="I118" s="179">
        <f ca="1">IF(ISNUMBER(MATCH(DATEVALUE($A118),'recurring1_based on steps'!I$1:I$400,0)),I$2,)</f>
        <v>0</v>
      </c>
      <c r="J118" s="179">
        <f ca="1">IF(ISNUMBER(MATCH(DATEVALUE($A118),'recurring1_based on steps'!J$1:J$400,0)),J$2,)</f>
        <v>0</v>
      </c>
      <c r="K118" s="179">
        <f ca="1">IF(ISNUMBER(MATCH(DATEVALUE($A118),'recurring1_based on steps'!K$1:K$400,0)),K$2,)</f>
        <v>0</v>
      </c>
      <c r="L118" s="179">
        <f ca="1">IF(ISNUMBER(MATCH(DATEVALUE($A118),'recurring1_based on steps'!L$1:L$400,0)),L$2,)</f>
        <v>0</v>
      </c>
      <c r="M118" s="179">
        <f ca="1">IF(ISNUMBER(MATCH(DATEVALUE($A118),'recurring1_based on steps'!M$1:M$400,0)),M$2,)</f>
        <v>0</v>
      </c>
      <c r="N118" s="179">
        <f ca="1">IF(ISNUMBER(MATCH(DATEVALUE($A118),'recurring1_based on steps'!N$1:N$400,0)),N$2,)</f>
        <v>0</v>
      </c>
      <c r="O118" s="179">
        <f ca="1">IF(ISNUMBER(MATCH(DATEVALUE($A118),'recurring1_based on steps'!O$1:O$400,0)),O$2,)</f>
        <v>0</v>
      </c>
      <c r="P118" s="179">
        <f ca="1">IF(ISNUMBER(MATCH(DATEVALUE($A118),'recurring1_based on steps'!P$1:P$400,0)),P$2,)</f>
        <v>0</v>
      </c>
      <c r="Q118" s="179">
        <f ca="1">IF(ISNUMBER(MATCH(DATEVALUE($A118),'recurring1_based on steps'!Q$1:Q$400,0)),Q$2,)</f>
        <v>0</v>
      </c>
      <c r="R118" s="179">
        <f ca="1">IF(ISNUMBER(MATCH(DATEVALUE($A118),'recurring1_based on steps'!R$1:R$400,0)),R$2,)</f>
        <v>0</v>
      </c>
      <c r="S118" s="179">
        <f ca="1">IF(ISNUMBER(MATCH(DATEVALUE($A118),'recurring1_based on steps'!S$1:S$400,0)),S$2,)</f>
        <v>0</v>
      </c>
      <c r="T118" s="179">
        <f ca="1">IF(ISNUMBER(MATCH(DATEVALUE($A118),'recurring1_based on steps'!T$1:T$400,0)),T$2,)</f>
        <v>0</v>
      </c>
      <c r="U118" s="179">
        <f ca="1">IF(ISNUMBER(MATCH(DATEVALUE($A118),'recurring1_based on steps'!U$1:U$400,0)),U$2,)</f>
        <v>0</v>
      </c>
      <c r="V118" s="179">
        <f ca="1">IF(ISNUMBER(MATCH(DATEVALUE($A118),'recurring1_based on steps'!V$1:V$400,0)),V$2,)</f>
        <v>0</v>
      </c>
      <c r="W118" s="179">
        <f ca="1">IF(ISNUMBER(MATCH(DATEVALUE($A118),'recurring1_based on steps'!W$1:W$400,0)),W$2,)</f>
        <v>0</v>
      </c>
      <c r="X118" s="179">
        <f ca="1">IF(ISNUMBER(MATCH(DATEVALUE($A118),'recurring1_based on steps'!X$1:X$400,0)),X$2,)</f>
        <v>0</v>
      </c>
      <c r="Y118" s="179">
        <f ca="1">IF(ISNUMBER(MATCH(DATEVALUE($A118),'recurring1_based on steps'!Y$1:Y$400,0)),Y$2,)</f>
        <v>0</v>
      </c>
      <c r="Z118" s="179">
        <f ca="1">IF(ISNUMBER(MATCH(DATEVALUE($A118),'recurring1_based on steps'!Z$1:Z$400,0)),Z$2,)</f>
        <v>0</v>
      </c>
      <c r="AA118" s="179">
        <f ca="1">IF(ISNUMBER(MATCH(DATEVALUE($A118),'recurring1_based on steps'!AA$1:AA$400,0)),AA$2,)</f>
        <v>0</v>
      </c>
      <c r="AB118" s="179">
        <f ca="1">IF(ISNUMBER(MATCH(DATEVALUE($A118),'recurring1_based on steps'!AB$1:AB$400,0)),AB$2,)</f>
        <v>0</v>
      </c>
      <c r="AC118" s="179">
        <f ca="1">IF(ISNUMBER(MATCH(DATEVALUE($A118),'recurring1_based on steps'!AC$1:AC$400,0)),AC$2,)</f>
        <v>0</v>
      </c>
      <c r="AD118" s="179">
        <f ca="1">IF(ISNUMBER(MATCH(DATEVALUE($A118),'recurring1_based on steps'!AD$1:AD$400,0)),AD$2,)</f>
        <v>0</v>
      </c>
      <c r="AE118" s="179">
        <f ca="1">IF(ISNUMBER(MATCH(DATEVALUE($A118),'recurring1_based on steps'!AE$1:AE$400,0)),AE$2,)</f>
        <v>0</v>
      </c>
      <c r="AF118" s="179">
        <f ca="1">IF(ISNUMBER(MATCH(DATEVALUE($A118),'recurring1_based on steps'!AF$1:AF$400,0)),AF$2,)</f>
        <v>0</v>
      </c>
      <c r="AG118" s="179">
        <f ca="1">IF(ISNUMBER(MATCH(DATEVALUE($A118),'recurring1_based on steps'!AG$1:AG$400,0)),AG$2,)</f>
        <v>0</v>
      </c>
      <c r="AH118" s="179">
        <f ca="1">IF(ISNUMBER(MATCH(DATEVALUE($A118),'recurring1_based on steps'!AH$1:AH$400,0)),AH$2,)</f>
        <v>0</v>
      </c>
      <c r="AI118" s="179">
        <f ca="1">IF(ISNUMBER(MATCH(DATEVALUE($A118),'recurring1_based on steps'!AI$1:AI$400,0)),AI$2,)</f>
        <v>0</v>
      </c>
      <c r="AJ118" s="179">
        <f ca="1">IF(ISNUMBER(MATCH(DATEVALUE($A118),'recurring1_based on steps'!AJ$1:AJ$400,0)),AJ$2,)</f>
        <v>0</v>
      </c>
      <c r="AK118" s="179">
        <f ca="1">IF(ISNUMBER(MATCH(DATEVALUE($A118),'recurring1_based on steps'!AK$1:AK$400,0)),AK$2,)</f>
        <v>0</v>
      </c>
      <c r="AL118" s="179">
        <f ca="1">IF(ISNUMBER(MATCH(DATEVALUE($A118),'recurring1_based on steps'!AL$1:AL$400,0)),AL$2,)</f>
        <v>0</v>
      </c>
      <c r="AM118" s="179">
        <f ca="1">IF(ISNUMBER(MATCH(DATEVALUE($A118),'recurring1_based on steps'!AM$1:AM$400,0)),AM$2,)</f>
        <v>0</v>
      </c>
      <c r="AN118" s="179">
        <f ca="1">IF(ISNUMBER(MATCH(DATEVALUE($A118),'recurring1_based on steps'!AN$1:AN$400,0)),AN$2,)</f>
        <v>0</v>
      </c>
      <c r="AO118" s="179">
        <f ca="1">IF(ISNUMBER(MATCH(DATEVALUE($A118),'recurring1_based on steps'!AO$1:AO$400,0)),AO$2,)</f>
        <v>0</v>
      </c>
      <c r="AP118" s="179">
        <f ca="1">IF(ISNUMBER(MATCH(DATEVALUE($A118),'recurring1_based on steps'!AP$1:AP$400,0)),AP$2,)</f>
        <v>0</v>
      </c>
      <c r="AQ118" s="179">
        <f ca="1">IF(ISNUMBER(MATCH(DATEVALUE($A118),'recurring1_based on steps'!AQ$1:AQ$400,0)),AQ$2,)</f>
        <v>0</v>
      </c>
      <c r="AR118" s="179">
        <f ca="1">IF(ISNUMBER(MATCH(DATEVALUE($A118),'recurring1_based on steps'!AR$1:AR$400,0)),AR$2,)</f>
        <v>0</v>
      </c>
      <c r="AS118" s="179">
        <f ca="1">IF(ISNUMBER(MATCH(DATEVALUE($A118),'recurring1_based on steps'!AS$1:AS$400,0)),AS$2,)</f>
        <v>0</v>
      </c>
      <c r="AT118" s="179">
        <f ca="1">IF(ISNUMBER(MATCH(DATEVALUE($A118),'recurring1_based on steps'!AT$1:AT$400,0)),AT$2,)</f>
        <v>0</v>
      </c>
      <c r="AU118" s="179">
        <f ca="1">IF(ISNUMBER(MATCH(DATEVALUE($A118),'recurring1_based on steps'!AU$1:AU$400,0)),AU$2,)</f>
        <v>0</v>
      </c>
      <c r="AV118" s="179">
        <f ca="1">IF(ISNUMBER(MATCH(DATEVALUE($A118),'recurring1_based on steps'!AV$1:AV$400,0)),AV$2,)</f>
        <v>0</v>
      </c>
      <c r="AW118" s="179">
        <f ca="1">IF(ISNUMBER(MATCH(DATEVALUE($A118),'recurring1_based on steps'!AW$1:AW$400,0)),AW$2,)</f>
        <v>0</v>
      </c>
      <c r="AX118" s="179">
        <f ca="1">IF(ISNUMBER(MATCH(DATEVALUE($A118),'recurring1_based on steps'!AX$1:AX$400,0)),AX$2,)</f>
        <v>0</v>
      </c>
      <c r="AY118" s="179">
        <f ca="1">IF(ISNUMBER(MATCH(DATEVALUE($A118),'recurring1_based on steps'!AY$1:AY$400,0)),AY$2,)</f>
        <v>0</v>
      </c>
    </row>
    <row r="119" spans="1:51" x14ac:dyDescent="0.2">
      <c r="A119" s="32" t="str">
        <f t="shared" ca="1" si="1"/>
        <v>2025-07-30</v>
      </c>
      <c r="B119" s="179">
        <f ca="1">IF(ISNUMBER(MATCH(DATEVALUE($A119),'recurring1_based on steps'!B$1:B$400,0)),B$2,)</f>
        <v>0</v>
      </c>
      <c r="C119" s="179">
        <f ca="1">IF(ISNUMBER(MATCH(DATEVALUE($A119),'recurring1_based on steps'!C$1:C$400,0)),C$2,)</f>
        <v>0</v>
      </c>
      <c r="D119" s="179">
        <f ca="1">IF(ISNUMBER(MATCH(DATEVALUE($A119),'recurring1_based on steps'!D$1:D$400,0)),D$2,)</f>
        <v>0</v>
      </c>
      <c r="E119" s="179">
        <f ca="1">IF(ISNUMBER(MATCH(DATEVALUE($A119),'recurring1_based on steps'!E$1:E$400,0)),E$2,)</f>
        <v>0</v>
      </c>
      <c r="F119" s="179">
        <f ca="1">IF(ISNUMBER(MATCH(DATEVALUE($A119),'recurring1_based on steps'!F$1:F$400,0)),F$2,)</f>
        <v>0</v>
      </c>
      <c r="G119" s="179">
        <f ca="1">IF(ISNUMBER(MATCH(DATEVALUE($A119),'recurring1_based on steps'!G$1:G$400,0)),G$2,)</f>
        <v>0</v>
      </c>
      <c r="H119" s="179">
        <f ca="1">IF(ISNUMBER(MATCH(DATEVALUE($A119),'recurring1_based on steps'!H$1:H$400,0)),H$2,)</f>
        <v>0</v>
      </c>
      <c r="I119" s="179">
        <f ca="1">IF(ISNUMBER(MATCH(DATEVALUE($A119),'recurring1_based on steps'!I$1:I$400,0)),I$2,)</f>
        <v>0</v>
      </c>
      <c r="J119" s="179">
        <f ca="1">IF(ISNUMBER(MATCH(DATEVALUE($A119),'recurring1_based on steps'!J$1:J$400,0)),J$2,)</f>
        <v>0</v>
      </c>
      <c r="K119" s="179">
        <f ca="1">IF(ISNUMBER(MATCH(DATEVALUE($A119),'recurring1_based on steps'!K$1:K$400,0)),K$2,)</f>
        <v>0</v>
      </c>
      <c r="L119" s="179">
        <f ca="1">IF(ISNUMBER(MATCH(DATEVALUE($A119),'recurring1_based on steps'!L$1:L$400,0)),L$2,)</f>
        <v>0</v>
      </c>
      <c r="M119" s="179">
        <f ca="1">IF(ISNUMBER(MATCH(DATEVALUE($A119),'recurring1_based on steps'!M$1:M$400,0)),M$2,)</f>
        <v>0</v>
      </c>
      <c r="N119" s="179">
        <f ca="1">IF(ISNUMBER(MATCH(DATEVALUE($A119),'recurring1_based on steps'!N$1:N$400,0)),N$2,)</f>
        <v>0</v>
      </c>
      <c r="O119" s="179">
        <f ca="1">IF(ISNUMBER(MATCH(DATEVALUE($A119),'recurring1_based on steps'!O$1:O$400,0)),O$2,)</f>
        <v>0</v>
      </c>
      <c r="P119" s="179">
        <f ca="1">IF(ISNUMBER(MATCH(DATEVALUE($A119),'recurring1_based on steps'!P$1:P$400,0)),P$2,)</f>
        <v>0</v>
      </c>
      <c r="Q119" s="179">
        <f ca="1">IF(ISNUMBER(MATCH(DATEVALUE($A119),'recurring1_based on steps'!Q$1:Q$400,0)),Q$2,)</f>
        <v>0</v>
      </c>
      <c r="R119" s="179">
        <f ca="1">IF(ISNUMBER(MATCH(DATEVALUE($A119),'recurring1_based on steps'!R$1:R$400,0)),R$2,)</f>
        <v>0</v>
      </c>
      <c r="S119" s="179">
        <f ca="1">IF(ISNUMBER(MATCH(DATEVALUE($A119),'recurring1_based on steps'!S$1:S$400,0)),S$2,)</f>
        <v>0</v>
      </c>
      <c r="T119" s="179">
        <f ca="1">IF(ISNUMBER(MATCH(DATEVALUE($A119),'recurring1_based on steps'!T$1:T$400,0)),T$2,)</f>
        <v>0</v>
      </c>
      <c r="U119" s="179">
        <f ca="1">IF(ISNUMBER(MATCH(DATEVALUE($A119),'recurring1_based on steps'!U$1:U$400,0)),U$2,)</f>
        <v>0</v>
      </c>
      <c r="V119" s="179">
        <f ca="1">IF(ISNUMBER(MATCH(DATEVALUE($A119),'recurring1_based on steps'!V$1:V$400,0)),V$2,)</f>
        <v>0</v>
      </c>
      <c r="W119" s="179">
        <f ca="1">IF(ISNUMBER(MATCH(DATEVALUE($A119),'recurring1_based on steps'!W$1:W$400,0)),W$2,)</f>
        <v>0</v>
      </c>
      <c r="X119" s="179">
        <f ca="1">IF(ISNUMBER(MATCH(DATEVALUE($A119),'recurring1_based on steps'!X$1:X$400,0)),X$2,)</f>
        <v>0</v>
      </c>
      <c r="Y119" s="179">
        <f ca="1">IF(ISNUMBER(MATCH(DATEVALUE($A119),'recurring1_based on steps'!Y$1:Y$400,0)),Y$2,)</f>
        <v>0</v>
      </c>
      <c r="Z119" s="179">
        <f ca="1">IF(ISNUMBER(MATCH(DATEVALUE($A119),'recurring1_based on steps'!Z$1:Z$400,0)),Z$2,)</f>
        <v>0</v>
      </c>
      <c r="AA119" s="179">
        <f ca="1">IF(ISNUMBER(MATCH(DATEVALUE($A119),'recurring1_based on steps'!AA$1:AA$400,0)),AA$2,)</f>
        <v>0</v>
      </c>
      <c r="AB119" s="179">
        <f ca="1">IF(ISNUMBER(MATCH(DATEVALUE($A119),'recurring1_based on steps'!AB$1:AB$400,0)),AB$2,)</f>
        <v>0</v>
      </c>
      <c r="AC119" s="179">
        <f ca="1">IF(ISNUMBER(MATCH(DATEVALUE($A119),'recurring1_based on steps'!AC$1:AC$400,0)),AC$2,)</f>
        <v>0</v>
      </c>
      <c r="AD119" s="179">
        <f ca="1">IF(ISNUMBER(MATCH(DATEVALUE($A119),'recurring1_based on steps'!AD$1:AD$400,0)),AD$2,)</f>
        <v>0</v>
      </c>
      <c r="AE119" s="179">
        <f ca="1">IF(ISNUMBER(MATCH(DATEVALUE($A119),'recurring1_based on steps'!AE$1:AE$400,0)),AE$2,)</f>
        <v>0</v>
      </c>
      <c r="AF119" s="179">
        <f ca="1">IF(ISNUMBER(MATCH(DATEVALUE($A119),'recurring1_based on steps'!AF$1:AF$400,0)),AF$2,)</f>
        <v>0</v>
      </c>
      <c r="AG119" s="179">
        <f ca="1">IF(ISNUMBER(MATCH(DATEVALUE($A119),'recurring1_based on steps'!AG$1:AG$400,0)),AG$2,)</f>
        <v>0</v>
      </c>
      <c r="AH119" s="179">
        <f ca="1">IF(ISNUMBER(MATCH(DATEVALUE($A119),'recurring1_based on steps'!AH$1:AH$400,0)),AH$2,)</f>
        <v>0</v>
      </c>
      <c r="AI119" s="179">
        <f ca="1">IF(ISNUMBER(MATCH(DATEVALUE($A119),'recurring1_based on steps'!AI$1:AI$400,0)),AI$2,)</f>
        <v>0</v>
      </c>
      <c r="AJ119" s="179">
        <f ca="1">IF(ISNUMBER(MATCH(DATEVALUE($A119),'recurring1_based on steps'!AJ$1:AJ$400,0)),AJ$2,)</f>
        <v>0</v>
      </c>
      <c r="AK119" s="179">
        <f ca="1">IF(ISNUMBER(MATCH(DATEVALUE($A119),'recurring1_based on steps'!AK$1:AK$400,0)),AK$2,)</f>
        <v>0</v>
      </c>
      <c r="AL119" s="179">
        <f ca="1">IF(ISNUMBER(MATCH(DATEVALUE($A119),'recurring1_based on steps'!AL$1:AL$400,0)),AL$2,)</f>
        <v>0</v>
      </c>
      <c r="AM119" s="179">
        <f ca="1">IF(ISNUMBER(MATCH(DATEVALUE($A119),'recurring1_based on steps'!AM$1:AM$400,0)),AM$2,)</f>
        <v>0</v>
      </c>
      <c r="AN119" s="179">
        <f ca="1">IF(ISNUMBER(MATCH(DATEVALUE($A119),'recurring1_based on steps'!AN$1:AN$400,0)),AN$2,)</f>
        <v>0</v>
      </c>
      <c r="AO119" s="179">
        <f ca="1">IF(ISNUMBER(MATCH(DATEVALUE($A119),'recurring1_based on steps'!AO$1:AO$400,0)),AO$2,)</f>
        <v>0</v>
      </c>
      <c r="AP119" s="179">
        <f ca="1">IF(ISNUMBER(MATCH(DATEVALUE($A119),'recurring1_based on steps'!AP$1:AP$400,0)),AP$2,)</f>
        <v>0</v>
      </c>
      <c r="AQ119" s="179">
        <f ca="1">IF(ISNUMBER(MATCH(DATEVALUE($A119),'recurring1_based on steps'!AQ$1:AQ$400,0)),AQ$2,)</f>
        <v>0</v>
      </c>
      <c r="AR119" s="179">
        <f ca="1">IF(ISNUMBER(MATCH(DATEVALUE($A119),'recurring1_based on steps'!AR$1:AR$400,0)),AR$2,)</f>
        <v>0</v>
      </c>
      <c r="AS119" s="179">
        <f ca="1">IF(ISNUMBER(MATCH(DATEVALUE($A119),'recurring1_based on steps'!AS$1:AS$400,0)),AS$2,)</f>
        <v>0</v>
      </c>
      <c r="AT119" s="179">
        <f ca="1">IF(ISNUMBER(MATCH(DATEVALUE($A119),'recurring1_based on steps'!AT$1:AT$400,0)),AT$2,)</f>
        <v>0</v>
      </c>
      <c r="AU119" s="179">
        <f ca="1">IF(ISNUMBER(MATCH(DATEVALUE($A119),'recurring1_based on steps'!AU$1:AU$400,0)),AU$2,)</f>
        <v>0</v>
      </c>
      <c r="AV119" s="179">
        <f ca="1">IF(ISNUMBER(MATCH(DATEVALUE($A119),'recurring1_based on steps'!AV$1:AV$400,0)),AV$2,)</f>
        <v>0</v>
      </c>
      <c r="AW119" s="179">
        <f ca="1">IF(ISNUMBER(MATCH(DATEVALUE($A119),'recurring1_based on steps'!AW$1:AW$400,0)),AW$2,)</f>
        <v>0</v>
      </c>
      <c r="AX119" s="179">
        <f ca="1">IF(ISNUMBER(MATCH(DATEVALUE($A119),'recurring1_based on steps'!AX$1:AX$400,0)),AX$2,)</f>
        <v>0</v>
      </c>
      <c r="AY119" s="179">
        <f ca="1">IF(ISNUMBER(MATCH(DATEVALUE($A119),'recurring1_based on steps'!AY$1:AY$400,0)),AY$2,)</f>
        <v>0</v>
      </c>
    </row>
    <row r="120" spans="1:51" x14ac:dyDescent="0.2">
      <c r="A120" s="32" t="str">
        <f t="shared" ca="1" si="1"/>
        <v>2025-07-31</v>
      </c>
      <c r="B120" s="179">
        <f ca="1">IF(ISNUMBER(MATCH(DATEVALUE($A120),'recurring1_based on steps'!B$1:B$400,0)),B$2,)</f>
        <v>0</v>
      </c>
      <c r="C120" s="179">
        <f ca="1">IF(ISNUMBER(MATCH(DATEVALUE($A120),'recurring1_based on steps'!C$1:C$400,0)),C$2,)</f>
        <v>0</v>
      </c>
      <c r="D120" s="179">
        <f ca="1">IF(ISNUMBER(MATCH(DATEVALUE($A120),'recurring1_based on steps'!D$1:D$400,0)),D$2,)</f>
        <v>0</v>
      </c>
      <c r="E120" s="179">
        <f ca="1">IF(ISNUMBER(MATCH(DATEVALUE($A120),'recurring1_based on steps'!E$1:E$400,0)),E$2,)</f>
        <v>0</v>
      </c>
      <c r="F120" s="179">
        <f ca="1">IF(ISNUMBER(MATCH(DATEVALUE($A120),'recurring1_based on steps'!F$1:F$400,0)),F$2,)</f>
        <v>0</v>
      </c>
      <c r="G120" s="179">
        <f ca="1">IF(ISNUMBER(MATCH(DATEVALUE($A120),'recurring1_based on steps'!G$1:G$400,0)),G$2,)</f>
        <v>0</v>
      </c>
      <c r="H120" s="179">
        <f ca="1">IF(ISNUMBER(MATCH(DATEVALUE($A120),'recurring1_based on steps'!H$1:H$400,0)),H$2,)</f>
        <v>0</v>
      </c>
      <c r="I120" s="179">
        <f ca="1">IF(ISNUMBER(MATCH(DATEVALUE($A120),'recurring1_based on steps'!I$1:I$400,0)),I$2,)</f>
        <v>0</v>
      </c>
      <c r="J120" s="179">
        <f ca="1">IF(ISNUMBER(MATCH(DATEVALUE($A120),'recurring1_based on steps'!J$1:J$400,0)),J$2,)</f>
        <v>0</v>
      </c>
      <c r="K120" s="179">
        <f ca="1">IF(ISNUMBER(MATCH(DATEVALUE($A120),'recurring1_based on steps'!K$1:K$400,0)),K$2,)</f>
        <v>0</v>
      </c>
      <c r="L120" s="179">
        <f ca="1">IF(ISNUMBER(MATCH(DATEVALUE($A120),'recurring1_based on steps'!L$1:L$400,0)),L$2,)</f>
        <v>0</v>
      </c>
      <c r="M120" s="179">
        <f ca="1">IF(ISNUMBER(MATCH(DATEVALUE($A120),'recurring1_based on steps'!M$1:M$400,0)),M$2,)</f>
        <v>0</v>
      </c>
      <c r="N120" s="179">
        <f ca="1">IF(ISNUMBER(MATCH(DATEVALUE($A120),'recurring1_based on steps'!N$1:N$400,0)),N$2,)</f>
        <v>0</v>
      </c>
      <c r="O120" s="179">
        <f ca="1">IF(ISNUMBER(MATCH(DATEVALUE($A120),'recurring1_based on steps'!O$1:O$400,0)),O$2,)</f>
        <v>0</v>
      </c>
      <c r="P120" s="179">
        <f ca="1">IF(ISNUMBER(MATCH(DATEVALUE($A120),'recurring1_based on steps'!P$1:P$400,0)),P$2,)</f>
        <v>0</v>
      </c>
      <c r="Q120" s="179">
        <f ca="1">IF(ISNUMBER(MATCH(DATEVALUE($A120),'recurring1_based on steps'!Q$1:Q$400,0)),Q$2,)</f>
        <v>0</v>
      </c>
      <c r="R120" s="179">
        <f ca="1">IF(ISNUMBER(MATCH(DATEVALUE($A120),'recurring1_based on steps'!R$1:R$400,0)),R$2,)</f>
        <v>0</v>
      </c>
      <c r="S120" s="179">
        <f ca="1">IF(ISNUMBER(MATCH(DATEVALUE($A120),'recurring1_based on steps'!S$1:S$400,0)),S$2,)</f>
        <v>0</v>
      </c>
      <c r="T120" s="179">
        <f ca="1">IF(ISNUMBER(MATCH(DATEVALUE($A120),'recurring1_based on steps'!T$1:T$400,0)),T$2,)</f>
        <v>0</v>
      </c>
      <c r="U120" s="179">
        <f ca="1">IF(ISNUMBER(MATCH(DATEVALUE($A120),'recurring1_based on steps'!U$1:U$400,0)),U$2,)</f>
        <v>0</v>
      </c>
      <c r="V120" s="179">
        <f ca="1">IF(ISNUMBER(MATCH(DATEVALUE($A120),'recurring1_based on steps'!V$1:V$400,0)),V$2,)</f>
        <v>0</v>
      </c>
      <c r="W120" s="179">
        <f ca="1">IF(ISNUMBER(MATCH(DATEVALUE($A120),'recurring1_based on steps'!W$1:W$400,0)),W$2,)</f>
        <v>0</v>
      </c>
      <c r="X120" s="179">
        <f ca="1">IF(ISNUMBER(MATCH(DATEVALUE($A120),'recurring1_based on steps'!X$1:X$400,0)),X$2,)</f>
        <v>0</v>
      </c>
      <c r="Y120" s="179">
        <f ca="1">IF(ISNUMBER(MATCH(DATEVALUE($A120),'recurring1_based on steps'!Y$1:Y$400,0)),Y$2,)</f>
        <v>0</v>
      </c>
      <c r="Z120" s="179">
        <f ca="1">IF(ISNUMBER(MATCH(DATEVALUE($A120),'recurring1_based on steps'!Z$1:Z$400,0)),Z$2,)</f>
        <v>0</v>
      </c>
      <c r="AA120" s="179">
        <f ca="1">IF(ISNUMBER(MATCH(DATEVALUE($A120),'recurring1_based on steps'!AA$1:AA$400,0)),AA$2,)</f>
        <v>0</v>
      </c>
      <c r="AB120" s="179">
        <f ca="1">IF(ISNUMBER(MATCH(DATEVALUE($A120),'recurring1_based on steps'!AB$1:AB$400,0)),AB$2,)</f>
        <v>0</v>
      </c>
      <c r="AC120" s="179">
        <f ca="1">IF(ISNUMBER(MATCH(DATEVALUE($A120),'recurring1_based on steps'!AC$1:AC$400,0)),AC$2,)</f>
        <v>0</v>
      </c>
      <c r="AD120" s="179">
        <f ca="1">IF(ISNUMBER(MATCH(DATEVALUE($A120),'recurring1_based on steps'!AD$1:AD$400,0)),AD$2,)</f>
        <v>0</v>
      </c>
      <c r="AE120" s="179">
        <f ca="1">IF(ISNUMBER(MATCH(DATEVALUE($A120),'recurring1_based on steps'!AE$1:AE$400,0)),AE$2,)</f>
        <v>0</v>
      </c>
      <c r="AF120" s="179">
        <f ca="1">IF(ISNUMBER(MATCH(DATEVALUE($A120),'recurring1_based on steps'!AF$1:AF$400,0)),AF$2,)</f>
        <v>0</v>
      </c>
      <c r="AG120" s="179">
        <f ca="1">IF(ISNUMBER(MATCH(DATEVALUE($A120),'recurring1_based on steps'!AG$1:AG$400,0)),AG$2,)</f>
        <v>0</v>
      </c>
      <c r="AH120" s="179">
        <f ca="1">IF(ISNUMBER(MATCH(DATEVALUE($A120),'recurring1_based on steps'!AH$1:AH$400,0)),AH$2,)</f>
        <v>0</v>
      </c>
      <c r="AI120" s="179">
        <f ca="1">IF(ISNUMBER(MATCH(DATEVALUE($A120),'recurring1_based on steps'!AI$1:AI$400,0)),AI$2,)</f>
        <v>0</v>
      </c>
      <c r="AJ120" s="179">
        <f ca="1">IF(ISNUMBER(MATCH(DATEVALUE($A120),'recurring1_based on steps'!AJ$1:AJ$400,0)),AJ$2,)</f>
        <v>0</v>
      </c>
      <c r="AK120" s="179">
        <f ca="1">IF(ISNUMBER(MATCH(DATEVALUE($A120),'recurring1_based on steps'!AK$1:AK$400,0)),AK$2,)</f>
        <v>0</v>
      </c>
      <c r="AL120" s="179">
        <f ca="1">IF(ISNUMBER(MATCH(DATEVALUE($A120),'recurring1_based on steps'!AL$1:AL$400,0)),AL$2,)</f>
        <v>0</v>
      </c>
      <c r="AM120" s="179">
        <f ca="1">IF(ISNUMBER(MATCH(DATEVALUE($A120),'recurring1_based on steps'!AM$1:AM$400,0)),AM$2,)</f>
        <v>0</v>
      </c>
      <c r="AN120" s="179">
        <f ca="1">IF(ISNUMBER(MATCH(DATEVALUE($A120),'recurring1_based on steps'!AN$1:AN$400,0)),AN$2,)</f>
        <v>0</v>
      </c>
      <c r="AO120" s="179">
        <f ca="1">IF(ISNUMBER(MATCH(DATEVALUE($A120),'recurring1_based on steps'!AO$1:AO$400,0)),AO$2,)</f>
        <v>0</v>
      </c>
      <c r="AP120" s="179">
        <f ca="1">IF(ISNUMBER(MATCH(DATEVALUE($A120),'recurring1_based on steps'!AP$1:AP$400,0)),AP$2,)</f>
        <v>0</v>
      </c>
      <c r="AQ120" s="179">
        <f ca="1">IF(ISNUMBER(MATCH(DATEVALUE($A120),'recurring1_based on steps'!AQ$1:AQ$400,0)),AQ$2,)</f>
        <v>0</v>
      </c>
      <c r="AR120" s="179">
        <f ca="1">IF(ISNUMBER(MATCH(DATEVALUE($A120),'recurring1_based on steps'!AR$1:AR$400,0)),AR$2,)</f>
        <v>0</v>
      </c>
      <c r="AS120" s="179">
        <f ca="1">IF(ISNUMBER(MATCH(DATEVALUE($A120),'recurring1_based on steps'!AS$1:AS$400,0)),AS$2,)</f>
        <v>0</v>
      </c>
      <c r="AT120" s="179">
        <f ca="1">IF(ISNUMBER(MATCH(DATEVALUE($A120),'recurring1_based on steps'!AT$1:AT$400,0)),AT$2,)</f>
        <v>0</v>
      </c>
      <c r="AU120" s="179">
        <f ca="1">IF(ISNUMBER(MATCH(DATEVALUE($A120),'recurring1_based on steps'!AU$1:AU$400,0)),AU$2,)</f>
        <v>0</v>
      </c>
      <c r="AV120" s="179">
        <f ca="1">IF(ISNUMBER(MATCH(DATEVALUE($A120),'recurring1_based on steps'!AV$1:AV$400,0)),AV$2,)</f>
        <v>0</v>
      </c>
      <c r="AW120" s="179">
        <f ca="1">IF(ISNUMBER(MATCH(DATEVALUE($A120),'recurring1_based on steps'!AW$1:AW$400,0)),AW$2,)</f>
        <v>0</v>
      </c>
      <c r="AX120" s="179">
        <f ca="1">IF(ISNUMBER(MATCH(DATEVALUE($A120),'recurring1_based on steps'!AX$1:AX$400,0)),AX$2,)</f>
        <v>0</v>
      </c>
      <c r="AY120" s="179">
        <f ca="1">IF(ISNUMBER(MATCH(DATEVALUE($A120),'recurring1_based on steps'!AY$1:AY$400,0)),AY$2,)</f>
        <v>0</v>
      </c>
    </row>
    <row r="121" spans="1:51" x14ac:dyDescent="0.2">
      <c r="A121" s="32" t="str">
        <f t="shared" ca="1" si="1"/>
        <v>2025-08-01</v>
      </c>
      <c r="B121" s="179">
        <f ca="1">IF(ISNUMBER(MATCH(DATEVALUE($A121),'recurring1_based on steps'!B$1:B$400,0)),B$2,)</f>
        <v>0</v>
      </c>
      <c r="C121" s="179">
        <f ca="1">IF(ISNUMBER(MATCH(DATEVALUE($A121),'recurring1_based on steps'!C$1:C$400,0)),C$2,)</f>
        <v>0</v>
      </c>
      <c r="D121" s="179">
        <f ca="1">IF(ISNUMBER(MATCH(DATEVALUE($A121),'recurring1_based on steps'!D$1:D$400,0)),D$2,)</f>
        <v>0</v>
      </c>
      <c r="E121" s="179">
        <f ca="1">IF(ISNUMBER(MATCH(DATEVALUE($A121),'recurring1_based on steps'!E$1:E$400,0)),E$2,)</f>
        <v>0</v>
      </c>
      <c r="F121" s="179">
        <f ca="1">IF(ISNUMBER(MATCH(DATEVALUE($A121),'recurring1_based on steps'!F$1:F$400,0)),F$2,)</f>
        <v>0</v>
      </c>
      <c r="G121" s="179">
        <f ca="1">IF(ISNUMBER(MATCH(DATEVALUE($A121),'recurring1_based on steps'!G$1:G$400,0)),G$2,)</f>
        <v>0</v>
      </c>
      <c r="H121" s="179">
        <f ca="1">IF(ISNUMBER(MATCH(DATEVALUE($A121),'recurring1_based on steps'!H$1:H$400,0)),H$2,)</f>
        <v>0</v>
      </c>
      <c r="I121" s="179">
        <f ca="1">IF(ISNUMBER(MATCH(DATEVALUE($A121),'recurring1_based on steps'!I$1:I$400,0)),I$2,)</f>
        <v>0</v>
      </c>
      <c r="J121" s="179">
        <f ca="1">IF(ISNUMBER(MATCH(DATEVALUE($A121),'recurring1_based on steps'!J$1:J$400,0)),J$2,)</f>
        <v>0</v>
      </c>
      <c r="K121" s="179">
        <f ca="1">IF(ISNUMBER(MATCH(DATEVALUE($A121),'recurring1_based on steps'!K$1:K$400,0)),K$2,)</f>
        <v>0</v>
      </c>
      <c r="L121" s="179">
        <f ca="1">IF(ISNUMBER(MATCH(DATEVALUE($A121),'recurring1_based on steps'!L$1:L$400,0)),L$2,)</f>
        <v>0</v>
      </c>
      <c r="M121" s="179">
        <f ca="1">IF(ISNUMBER(MATCH(DATEVALUE($A121),'recurring1_based on steps'!M$1:M$400,0)),M$2,)</f>
        <v>0</v>
      </c>
      <c r="N121" s="179">
        <f ca="1">IF(ISNUMBER(MATCH(DATEVALUE($A121),'recurring1_based on steps'!N$1:N$400,0)),N$2,)</f>
        <v>0</v>
      </c>
      <c r="O121" s="179">
        <f ca="1">IF(ISNUMBER(MATCH(DATEVALUE($A121),'recurring1_based on steps'!O$1:O$400,0)),O$2,)</f>
        <v>0</v>
      </c>
      <c r="P121" s="179">
        <f ca="1">IF(ISNUMBER(MATCH(DATEVALUE($A121),'recurring1_based on steps'!P$1:P$400,0)),P$2,)</f>
        <v>0</v>
      </c>
      <c r="Q121" s="179">
        <f ca="1">IF(ISNUMBER(MATCH(DATEVALUE($A121),'recurring1_based on steps'!Q$1:Q$400,0)),Q$2,)</f>
        <v>0</v>
      </c>
      <c r="R121" s="179">
        <f ca="1">IF(ISNUMBER(MATCH(DATEVALUE($A121),'recurring1_based on steps'!R$1:R$400,0)),R$2,)</f>
        <v>0</v>
      </c>
      <c r="S121" s="179">
        <f ca="1">IF(ISNUMBER(MATCH(DATEVALUE($A121),'recurring1_based on steps'!S$1:S$400,0)),S$2,)</f>
        <v>0</v>
      </c>
      <c r="T121" s="179">
        <f ca="1">IF(ISNUMBER(MATCH(DATEVALUE($A121),'recurring1_based on steps'!T$1:T$400,0)),T$2,)</f>
        <v>0</v>
      </c>
      <c r="U121" s="179">
        <f ca="1">IF(ISNUMBER(MATCH(DATEVALUE($A121),'recurring1_based on steps'!U$1:U$400,0)),U$2,)</f>
        <v>0</v>
      </c>
      <c r="V121" s="179">
        <f ca="1">IF(ISNUMBER(MATCH(DATEVALUE($A121),'recurring1_based on steps'!V$1:V$400,0)),V$2,)</f>
        <v>0</v>
      </c>
      <c r="W121" s="179">
        <f ca="1">IF(ISNUMBER(MATCH(DATEVALUE($A121),'recurring1_based on steps'!W$1:W$400,0)),W$2,)</f>
        <v>0</v>
      </c>
      <c r="X121" s="179">
        <f ca="1">IF(ISNUMBER(MATCH(DATEVALUE($A121),'recurring1_based on steps'!X$1:X$400,0)),X$2,)</f>
        <v>0</v>
      </c>
      <c r="Y121" s="179">
        <f ca="1">IF(ISNUMBER(MATCH(DATEVALUE($A121),'recurring1_based on steps'!Y$1:Y$400,0)),Y$2,)</f>
        <v>0</v>
      </c>
      <c r="Z121" s="179">
        <f ca="1">IF(ISNUMBER(MATCH(DATEVALUE($A121),'recurring1_based on steps'!Z$1:Z$400,0)),Z$2,)</f>
        <v>0</v>
      </c>
      <c r="AA121" s="179">
        <f ca="1">IF(ISNUMBER(MATCH(DATEVALUE($A121),'recurring1_based on steps'!AA$1:AA$400,0)),AA$2,)</f>
        <v>0</v>
      </c>
      <c r="AB121" s="179">
        <f ca="1">IF(ISNUMBER(MATCH(DATEVALUE($A121),'recurring1_based on steps'!AB$1:AB$400,0)),AB$2,)</f>
        <v>0</v>
      </c>
      <c r="AC121" s="179">
        <f ca="1">IF(ISNUMBER(MATCH(DATEVALUE($A121),'recurring1_based on steps'!AC$1:AC$400,0)),AC$2,)</f>
        <v>0</v>
      </c>
      <c r="AD121" s="179">
        <f ca="1">IF(ISNUMBER(MATCH(DATEVALUE($A121),'recurring1_based on steps'!AD$1:AD$400,0)),AD$2,)</f>
        <v>0</v>
      </c>
      <c r="AE121" s="179">
        <f ca="1">IF(ISNUMBER(MATCH(DATEVALUE($A121),'recurring1_based on steps'!AE$1:AE$400,0)),AE$2,)</f>
        <v>0</v>
      </c>
      <c r="AF121" s="179">
        <f ca="1">IF(ISNUMBER(MATCH(DATEVALUE($A121),'recurring1_based on steps'!AF$1:AF$400,0)),AF$2,)</f>
        <v>0</v>
      </c>
      <c r="AG121" s="179">
        <f ca="1">IF(ISNUMBER(MATCH(DATEVALUE($A121),'recurring1_based on steps'!AG$1:AG$400,0)),AG$2,)</f>
        <v>0</v>
      </c>
      <c r="AH121" s="179">
        <f ca="1">IF(ISNUMBER(MATCH(DATEVALUE($A121),'recurring1_based on steps'!AH$1:AH$400,0)),AH$2,)</f>
        <v>0</v>
      </c>
      <c r="AI121" s="179">
        <f ca="1">IF(ISNUMBER(MATCH(DATEVALUE($A121),'recurring1_based on steps'!AI$1:AI$400,0)),AI$2,)</f>
        <v>0</v>
      </c>
      <c r="AJ121" s="179">
        <f ca="1">IF(ISNUMBER(MATCH(DATEVALUE($A121),'recurring1_based on steps'!AJ$1:AJ$400,0)),AJ$2,)</f>
        <v>0</v>
      </c>
      <c r="AK121" s="179">
        <f ca="1">IF(ISNUMBER(MATCH(DATEVALUE($A121),'recurring1_based on steps'!AK$1:AK$400,0)),AK$2,)</f>
        <v>0</v>
      </c>
      <c r="AL121" s="179">
        <f ca="1">IF(ISNUMBER(MATCH(DATEVALUE($A121),'recurring1_based on steps'!AL$1:AL$400,0)),AL$2,)</f>
        <v>0</v>
      </c>
      <c r="AM121" s="179">
        <f ca="1">IF(ISNUMBER(MATCH(DATEVALUE($A121),'recurring1_based on steps'!AM$1:AM$400,0)),AM$2,)</f>
        <v>0</v>
      </c>
      <c r="AN121" s="179">
        <f ca="1">IF(ISNUMBER(MATCH(DATEVALUE($A121),'recurring1_based on steps'!AN$1:AN$400,0)),AN$2,)</f>
        <v>0</v>
      </c>
      <c r="AO121" s="179">
        <f ca="1">IF(ISNUMBER(MATCH(DATEVALUE($A121),'recurring1_based on steps'!AO$1:AO$400,0)),AO$2,)</f>
        <v>0</v>
      </c>
      <c r="AP121" s="179">
        <f ca="1">IF(ISNUMBER(MATCH(DATEVALUE($A121),'recurring1_based on steps'!AP$1:AP$400,0)),AP$2,)</f>
        <v>0</v>
      </c>
      <c r="AQ121" s="179">
        <f ca="1">IF(ISNUMBER(MATCH(DATEVALUE($A121),'recurring1_based on steps'!AQ$1:AQ$400,0)),AQ$2,)</f>
        <v>0</v>
      </c>
      <c r="AR121" s="179">
        <f ca="1">IF(ISNUMBER(MATCH(DATEVALUE($A121),'recurring1_based on steps'!AR$1:AR$400,0)),AR$2,)</f>
        <v>0</v>
      </c>
      <c r="AS121" s="179">
        <f ca="1">IF(ISNUMBER(MATCH(DATEVALUE($A121),'recurring1_based on steps'!AS$1:AS$400,0)),AS$2,)</f>
        <v>0</v>
      </c>
      <c r="AT121" s="179">
        <f ca="1">IF(ISNUMBER(MATCH(DATEVALUE($A121),'recurring1_based on steps'!AT$1:AT$400,0)),AT$2,)</f>
        <v>0</v>
      </c>
      <c r="AU121" s="179">
        <f ca="1">IF(ISNUMBER(MATCH(DATEVALUE($A121),'recurring1_based on steps'!AU$1:AU$400,0)),AU$2,)</f>
        <v>0</v>
      </c>
      <c r="AV121" s="179">
        <f ca="1">IF(ISNUMBER(MATCH(DATEVALUE($A121),'recurring1_based on steps'!AV$1:AV$400,0)),AV$2,)</f>
        <v>0</v>
      </c>
      <c r="AW121" s="179">
        <f ca="1">IF(ISNUMBER(MATCH(DATEVALUE($A121),'recurring1_based on steps'!AW$1:AW$400,0)),AW$2,)</f>
        <v>0</v>
      </c>
      <c r="AX121" s="179">
        <f ca="1">IF(ISNUMBER(MATCH(DATEVALUE($A121),'recurring1_based on steps'!AX$1:AX$400,0)),AX$2,)</f>
        <v>0</v>
      </c>
      <c r="AY121" s="179">
        <f ca="1">IF(ISNUMBER(MATCH(DATEVALUE($A121),'recurring1_based on steps'!AY$1:AY$400,0)),AY$2,)</f>
        <v>0</v>
      </c>
    </row>
    <row r="122" spans="1:51" x14ac:dyDescent="0.2">
      <c r="A122" s="32" t="str">
        <f t="shared" ca="1" si="1"/>
        <v>2025-08-02</v>
      </c>
      <c r="B122" s="179">
        <f ca="1">IF(ISNUMBER(MATCH(DATEVALUE($A122),'recurring1_based on steps'!B$1:B$400,0)),B$2,)</f>
        <v>0</v>
      </c>
      <c r="C122" s="179">
        <f ca="1">IF(ISNUMBER(MATCH(DATEVALUE($A122),'recurring1_based on steps'!C$1:C$400,0)),C$2,)</f>
        <v>0</v>
      </c>
      <c r="D122" s="179">
        <f ca="1">IF(ISNUMBER(MATCH(DATEVALUE($A122),'recurring1_based on steps'!D$1:D$400,0)),D$2,)</f>
        <v>0</v>
      </c>
      <c r="E122" s="179">
        <f ca="1">IF(ISNUMBER(MATCH(DATEVALUE($A122),'recurring1_based on steps'!E$1:E$400,0)),E$2,)</f>
        <v>0</v>
      </c>
      <c r="F122" s="179">
        <f ca="1">IF(ISNUMBER(MATCH(DATEVALUE($A122),'recurring1_based on steps'!F$1:F$400,0)),F$2,)</f>
        <v>0</v>
      </c>
      <c r="G122" s="179">
        <f ca="1">IF(ISNUMBER(MATCH(DATEVALUE($A122),'recurring1_based on steps'!G$1:G$400,0)),G$2,)</f>
        <v>0</v>
      </c>
      <c r="H122" s="179">
        <f ca="1">IF(ISNUMBER(MATCH(DATEVALUE($A122),'recurring1_based on steps'!H$1:H$400,0)),H$2,)</f>
        <v>0</v>
      </c>
      <c r="I122" s="179">
        <f ca="1">IF(ISNUMBER(MATCH(DATEVALUE($A122),'recurring1_based on steps'!I$1:I$400,0)),I$2,)</f>
        <v>0</v>
      </c>
      <c r="J122" s="179">
        <f ca="1">IF(ISNUMBER(MATCH(DATEVALUE($A122),'recurring1_based on steps'!J$1:J$400,0)),J$2,)</f>
        <v>0</v>
      </c>
      <c r="K122" s="179">
        <f ca="1">IF(ISNUMBER(MATCH(DATEVALUE($A122),'recurring1_based on steps'!K$1:K$400,0)),K$2,)</f>
        <v>0</v>
      </c>
      <c r="L122" s="179">
        <f ca="1">IF(ISNUMBER(MATCH(DATEVALUE($A122),'recurring1_based on steps'!L$1:L$400,0)),L$2,)</f>
        <v>0</v>
      </c>
      <c r="M122" s="179">
        <f ca="1">IF(ISNUMBER(MATCH(DATEVALUE($A122),'recurring1_based on steps'!M$1:M$400,0)),M$2,)</f>
        <v>0</v>
      </c>
      <c r="N122" s="179">
        <f ca="1">IF(ISNUMBER(MATCH(DATEVALUE($A122),'recurring1_based on steps'!N$1:N$400,0)),N$2,)</f>
        <v>0</v>
      </c>
      <c r="O122" s="179">
        <f ca="1">IF(ISNUMBER(MATCH(DATEVALUE($A122),'recurring1_based on steps'!O$1:O$400,0)),O$2,)</f>
        <v>0</v>
      </c>
      <c r="P122" s="179">
        <f ca="1">IF(ISNUMBER(MATCH(DATEVALUE($A122),'recurring1_based on steps'!P$1:P$400,0)),P$2,)</f>
        <v>0</v>
      </c>
      <c r="Q122" s="179">
        <f ca="1">IF(ISNUMBER(MATCH(DATEVALUE($A122),'recurring1_based on steps'!Q$1:Q$400,0)),Q$2,)</f>
        <v>0</v>
      </c>
      <c r="R122" s="179">
        <f ca="1">IF(ISNUMBER(MATCH(DATEVALUE($A122),'recurring1_based on steps'!R$1:R$400,0)),R$2,)</f>
        <v>0</v>
      </c>
      <c r="S122" s="179">
        <f ca="1">IF(ISNUMBER(MATCH(DATEVALUE($A122),'recurring1_based on steps'!S$1:S$400,0)),S$2,)</f>
        <v>0</v>
      </c>
      <c r="T122" s="179">
        <f ca="1">IF(ISNUMBER(MATCH(DATEVALUE($A122),'recurring1_based on steps'!T$1:T$400,0)),T$2,)</f>
        <v>0</v>
      </c>
      <c r="U122" s="179">
        <f ca="1">IF(ISNUMBER(MATCH(DATEVALUE($A122),'recurring1_based on steps'!U$1:U$400,0)),U$2,)</f>
        <v>0</v>
      </c>
      <c r="V122" s="179">
        <f ca="1">IF(ISNUMBER(MATCH(DATEVALUE($A122),'recurring1_based on steps'!V$1:V$400,0)),V$2,)</f>
        <v>0</v>
      </c>
      <c r="W122" s="179">
        <f ca="1">IF(ISNUMBER(MATCH(DATEVALUE($A122),'recurring1_based on steps'!W$1:W$400,0)),W$2,)</f>
        <v>0</v>
      </c>
      <c r="X122" s="179">
        <f ca="1">IF(ISNUMBER(MATCH(DATEVALUE($A122),'recurring1_based on steps'!X$1:X$400,0)),X$2,)</f>
        <v>0</v>
      </c>
      <c r="Y122" s="179">
        <f ca="1">IF(ISNUMBER(MATCH(DATEVALUE($A122),'recurring1_based on steps'!Y$1:Y$400,0)),Y$2,)</f>
        <v>0</v>
      </c>
      <c r="Z122" s="179">
        <f ca="1">IF(ISNUMBER(MATCH(DATEVALUE($A122),'recurring1_based on steps'!Z$1:Z$400,0)),Z$2,)</f>
        <v>0</v>
      </c>
      <c r="AA122" s="179">
        <f ca="1">IF(ISNUMBER(MATCH(DATEVALUE($A122),'recurring1_based on steps'!AA$1:AA$400,0)),AA$2,)</f>
        <v>0</v>
      </c>
      <c r="AB122" s="179">
        <f ca="1">IF(ISNUMBER(MATCH(DATEVALUE($A122),'recurring1_based on steps'!AB$1:AB$400,0)),AB$2,)</f>
        <v>0</v>
      </c>
      <c r="AC122" s="179">
        <f ca="1">IF(ISNUMBER(MATCH(DATEVALUE($A122),'recurring1_based on steps'!AC$1:AC$400,0)),AC$2,)</f>
        <v>0</v>
      </c>
      <c r="AD122" s="179">
        <f ca="1">IF(ISNUMBER(MATCH(DATEVALUE($A122),'recurring1_based on steps'!AD$1:AD$400,0)),AD$2,)</f>
        <v>0</v>
      </c>
      <c r="AE122" s="179">
        <f ca="1">IF(ISNUMBER(MATCH(DATEVALUE($A122),'recurring1_based on steps'!AE$1:AE$400,0)),AE$2,)</f>
        <v>0</v>
      </c>
      <c r="AF122" s="179">
        <f ca="1">IF(ISNUMBER(MATCH(DATEVALUE($A122),'recurring1_based on steps'!AF$1:AF$400,0)),AF$2,)</f>
        <v>0</v>
      </c>
      <c r="AG122" s="179">
        <f ca="1">IF(ISNUMBER(MATCH(DATEVALUE($A122),'recurring1_based on steps'!AG$1:AG$400,0)),AG$2,)</f>
        <v>0</v>
      </c>
      <c r="AH122" s="179">
        <f ca="1">IF(ISNUMBER(MATCH(DATEVALUE($A122),'recurring1_based on steps'!AH$1:AH$400,0)),AH$2,)</f>
        <v>0</v>
      </c>
      <c r="AI122" s="179">
        <f ca="1">IF(ISNUMBER(MATCH(DATEVALUE($A122),'recurring1_based on steps'!AI$1:AI$400,0)),AI$2,)</f>
        <v>0</v>
      </c>
      <c r="AJ122" s="179">
        <f ca="1">IF(ISNUMBER(MATCH(DATEVALUE($A122),'recurring1_based on steps'!AJ$1:AJ$400,0)),AJ$2,)</f>
        <v>0</v>
      </c>
      <c r="AK122" s="179">
        <f ca="1">IF(ISNUMBER(MATCH(DATEVALUE($A122),'recurring1_based on steps'!AK$1:AK$400,0)),AK$2,)</f>
        <v>0</v>
      </c>
      <c r="AL122" s="179">
        <f ca="1">IF(ISNUMBER(MATCH(DATEVALUE($A122),'recurring1_based on steps'!AL$1:AL$400,0)),AL$2,)</f>
        <v>0</v>
      </c>
      <c r="AM122" s="179">
        <f ca="1">IF(ISNUMBER(MATCH(DATEVALUE($A122),'recurring1_based on steps'!AM$1:AM$400,0)),AM$2,)</f>
        <v>0</v>
      </c>
      <c r="AN122" s="179">
        <f ca="1">IF(ISNUMBER(MATCH(DATEVALUE($A122),'recurring1_based on steps'!AN$1:AN$400,0)),AN$2,)</f>
        <v>0</v>
      </c>
      <c r="AO122" s="179">
        <f ca="1">IF(ISNUMBER(MATCH(DATEVALUE($A122),'recurring1_based on steps'!AO$1:AO$400,0)),AO$2,)</f>
        <v>0</v>
      </c>
      <c r="AP122" s="179">
        <f ca="1">IF(ISNUMBER(MATCH(DATEVALUE($A122),'recurring1_based on steps'!AP$1:AP$400,0)),AP$2,)</f>
        <v>0</v>
      </c>
      <c r="AQ122" s="179">
        <f ca="1">IF(ISNUMBER(MATCH(DATEVALUE($A122),'recurring1_based on steps'!AQ$1:AQ$400,0)),AQ$2,)</f>
        <v>0</v>
      </c>
      <c r="AR122" s="179">
        <f ca="1">IF(ISNUMBER(MATCH(DATEVALUE($A122),'recurring1_based on steps'!AR$1:AR$400,0)),AR$2,)</f>
        <v>0</v>
      </c>
      <c r="AS122" s="179">
        <f ca="1">IF(ISNUMBER(MATCH(DATEVALUE($A122),'recurring1_based on steps'!AS$1:AS$400,0)),AS$2,)</f>
        <v>0</v>
      </c>
      <c r="AT122" s="179">
        <f ca="1">IF(ISNUMBER(MATCH(DATEVALUE($A122),'recurring1_based on steps'!AT$1:AT$400,0)),AT$2,)</f>
        <v>0</v>
      </c>
      <c r="AU122" s="179">
        <f ca="1">IF(ISNUMBER(MATCH(DATEVALUE($A122),'recurring1_based on steps'!AU$1:AU$400,0)),AU$2,)</f>
        <v>0</v>
      </c>
      <c r="AV122" s="179">
        <f ca="1">IF(ISNUMBER(MATCH(DATEVALUE($A122),'recurring1_based on steps'!AV$1:AV$400,0)),AV$2,)</f>
        <v>0</v>
      </c>
      <c r="AW122" s="179">
        <f ca="1">IF(ISNUMBER(MATCH(DATEVALUE($A122),'recurring1_based on steps'!AW$1:AW$400,0)),AW$2,)</f>
        <v>0</v>
      </c>
      <c r="AX122" s="179">
        <f ca="1">IF(ISNUMBER(MATCH(DATEVALUE($A122),'recurring1_based on steps'!AX$1:AX$400,0)),AX$2,)</f>
        <v>0</v>
      </c>
      <c r="AY122" s="179">
        <f ca="1">IF(ISNUMBER(MATCH(DATEVALUE($A122),'recurring1_based on steps'!AY$1:AY$400,0)),AY$2,)</f>
        <v>0</v>
      </c>
    </row>
    <row r="123" spans="1:51" x14ac:dyDescent="0.2">
      <c r="A123" s="32" t="str">
        <f t="shared" ca="1" si="1"/>
        <v>2025-08-03</v>
      </c>
      <c r="B123" s="179">
        <f ca="1">IF(ISNUMBER(MATCH(DATEVALUE($A123),'recurring1_based on steps'!B$1:B$400,0)),B$2,)</f>
        <v>0</v>
      </c>
      <c r="C123" s="179">
        <f ca="1">IF(ISNUMBER(MATCH(DATEVALUE($A123),'recurring1_based on steps'!C$1:C$400,0)),C$2,)</f>
        <v>0</v>
      </c>
      <c r="D123" s="179">
        <f ca="1">IF(ISNUMBER(MATCH(DATEVALUE($A123),'recurring1_based on steps'!D$1:D$400,0)),D$2,)</f>
        <v>0</v>
      </c>
      <c r="E123" s="179">
        <f ca="1">IF(ISNUMBER(MATCH(DATEVALUE($A123),'recurring1_based on steps'!E$1:E$400,0)),E$2,)</f>
        <v>0</v>
      </c>
      <c r="F123" s="179">
        <f ca="1">IF(ISNUMBER(MATCH(DATEVALUE($A123),'recurring1_based on steps'!F$1:F$400,0)),F$2,)</f>
        <v>0</v>
      </c>
      <c r="G123" s="179">
        <f ca="1">IF(ISNUMBER(MATCH(DATEVALUE($A123),'recurring1_based on steps'!G$1:G$400,0)),G$2,)</f>
        <v>0</v>
      </c>
      <c r="H123" s="179">
        <f ca="1">IF(ISNUMBER(MATCH(DATEVALUE($A123),'recurring1_based on steps'!H$1:H$400,0)),H$2,)</f>
        <v>0</v>
      </c>
      <c r="I123" s="179">
        <f ca="1">IF(ISNUMBER(MATCH(DATEVALUE($A123),'recurring1_based on steps'!I$1:I$400,0)),I$2,)</f>
        <v>0</v>
      </c>
      <c r="J123" s="179">
        <f ca="1">IF(ISNUMBER(MATCH(DATEVALUE($A123),'recurring1_based on steps'!J$1:J$400,0)),J$2,)</f>
        <v>0</v>
      </c>
      <c r="K123" s="179">
        <f ca="1">IF(ISNUMBER(MATCH(DATEVALUE($A123),'recurring1_based on steps'!K$1:K$400,0)),K$2,)</f>
        <v>0</v>
      </c>
      <c r="L123" s="179">
        <f ca="1">IF(ISNUMBER(MATCH(DATEVALUE($A123),'recurring1_based on steps'!L$1:L$400,0)),L$2,)</f>
        <v>0</v>
      </c>
      <c r="M123" s="179">
        <f ca="1">IF(ISNUMBER(MATCH(DATEVALUE($A123),'recurring1_based on steps'!M$1:M$400,0)),M$2,)</f>
        <v>0</v>
      </c>
      <c r="N123" s="179">
        <f ca="1">IF(ISNUMBER(MATCH(DATEVALUE($A123),'recurring1_based on steps'!N$1:N$400,0)),N$2,)</f>
        <v>0</v>
      </c>
      <c r="O123" s="179">
        <f ca="1">IF(ISNUMBER(MATCH(DATEVALUE($A123),'recurring1_based on steps'!O$1:O$400,0)),O$2,)</f>
        <v>0</v>
      </c>
      <c r="P123" s="179">
        <f ca="1">IF(ISNUMBER(MATCH(DATEVALUE($A123),'recurring1_based on steps'!P$1:P$400,0)),P$2,)</f>
        <v>0</v>
      </c>
      <c r="Q123" s="179">
        <f ca="1">IF(ISNUMBER(MATCH(DATEVALUE($A123),'recurring1_based on steps'!Q$1:Q$400,0)),Q$2,)</f>
        <v>0</v>
      </c>
      <c r="R123" s="179">
        <f ca="1">IF(ISNUMBER(MATCH(DATEVALUE($A123),'recurring1_based on steps'!R$1:R$400,0)),R$2,)</f>
        <v>0</v>
      </c>
      <c r="S123" s="179">
        <f ca="1">IF(ISNUMBER(MATCH(DATEVALUE($A123),'recurring1_based on steps'!S$1:S$400,0)),S$2,)</f>
        <v>0</v>
      </c>
      <c r="T123" s="179">
        <f ca="1">IF(ISNUMBER(MATCH(DATEVALUE($A123),'recurring1_based on steps'!T$1:T$400,0)),T$2,)</f>
        <v>0</v>
      </c>
      <c r="U123" s="179">
        <f ca="1">IF(ISNUMBER(MATCH(DATEVALUE($A123),'recurring1_based on steps'!U$1:U$400,0)),U$2,)</f>
        <v>0</v>
      </c>
      <c r="V123" s="179">
        <f ca="1">IF(ISNUMBER(MATCH(DATEVALUE($A123),'recurring1_based on steps'!V$1:V$400,0)),V$2,)</f>
        <v>0</v>
      </c>
      <c r="W123" s="179">
        <f ca="1">IF(ISNUMBER(MATCH(DATEVALUE($A123),'recurring1_based on steps'!W$1:W$400,0)),W$2,)</f>
        <v>0</v>
      </c>
      <c r="X123" s="179">
        <f ca="1">IF(ISNUMBER(MATCH(DATEVALUE($A123),'recurring1_based on steps'!X$1:X$400,0)),X$2,)</f>
        <v>0</v>
      </c>
      <c r="Y123" s="179">
        <f ca="1">IF(ISNUMBER(MATCH(DATEVALUE($A123),'recurring1_based on steps'!Y$1:Y$400,0)),Y$2,)</f>
        <v>0</v>
      </c>
      <c r="Z123" s="179">
        <f ca="1">IF(ISNUMBER(MATCH(DATEVALUE($A123),'recurring1_based on steps'!Z$1:Z$400,0)),Z$2,)</f>
        <v>0</v>
      </c>
      <c r="AA123" s="179">
        <f ca="1">IF(ISNUMBER(MATCH(DATEVALUE($A123),'recurring1_based on steps'!AA$1:AA$400,0)),AA$2,)</f>
        <v>0</v>
      </c>
      <c r="AB123" s="179">
        <f ca="1">IF(ISNUMBER(MATCH(DATEVALUE($A123),'recurring1_based on steps'!AB$1:AB$400,0)),AB$2,)</f>
        <v>0</v>
      </c>
      <c r="AC123" s="179">
        <f ca="1">IF(ISNUMBER(MATCH(DATEVALUE($A123),'recurring1_based on steps'!AC$1:AC$400,0)),AC$2,)</f>
        <v>0</v>
      </c>
      <c r="AD123" s="179">
        <f ca="1">IF(ISNUMBER(MATCH(DATEVALUE($A123),'recurring1_based on steps'!AD$1:AD$400,0)),AD$2,)</f>
        <v>0</v>
      </c>
      <c r="AE123" s="179">
        <f ca="1">IF(ISNUMBER(MATCH(DATEVALUE($A123),'recurring1_based on steps'!AE$1:AE$400,0)),AE$2,)</f>
        <v>0</v>
      </c>
      <c r="AF123" s="179">
        <f ca="1">IF(ISNUMBER(MATCH(DATEVALUE($A123),'recurring1_based on steps'!AF$1:AF$400,0)),AF$2,)</f>
        <v>0</v>
      </c>
      <c r="AG123" s="179">
        <f ca="1">IF(ISNUMBER(MATCH(DATEVALUE($A123),'recurring1_based on steps'!AG$1:AG$400,0)),AG$2,)</f>
        <v>0</v>
      </c>
      <c r="AH123" s="179">
        <f ca="1">IF(ISNUMBER(MATCH(DATEVALUE($A123),'recurring1_based on steps'!AH$1:AH$400,0)),AH$2,)</f>
        <v>0</v>
      </c>
      <c r="AI123" s="179">
        <f ca="1">IF(ISNUMBER(MATCH(DATEVALUE($A123),'recurring1_based on steps'!AI$1:AI$400,0)),AI$2,)</f>
        <v>0</v>
      </c>
      <c r="AJ123" s="179">
        <f ca="1">IF(ISNUMBER(MATCH(DATEVALUE($A123),'recurring1_based on steps'!AJ$1:AJ$400,0)),AJ$2,)</f>
        <v>0</v>
      </c>
      <c r="AK123" s="179">
        <f ca="1">IF(ISNUMBER(MATCH(DATEVALUE($A123),'recurring1_based on steps'!AK$1:AK$400,0)),AK$2,)</f>
        <v>0</v>
      </c>
      <c r="AL123" s="179">
        <f ca="1">IF(ISNUMBER(MATCH(DATEVALUE($A123),'recurring1_based on steps'!AL$1:AL$400,0)),AL$2,)</f>
        <v>0</v>
      </c>
      <c r="AM123" s="179">
        <f ca="1">IF(ISNUMBER(MATCH(DATEVALUE($A123),'recurring1_based on steps'!AM$1:AM$400,0)),AM$2,)</f>
        <v>0</v>
      </c>
      <c r="AN123" s="179">
        <f ca="1">IF(ISNUMBER(MATCH(DATEVALUE($A123),'recurring1_based on steps'!AN$1:AN$400,0)),AN$2,)</f>
        <v>0</v>
      </c>
      <c r="AO123" s="179">
        <f ca="1">IF(ISNUMBER(MATCH(DATEVALUE($A123),'recurring1_based on steps'!AO$1:AO$400,0)),AO$2,)</f>
        <v>0</v>
      </c>
      <c r="AP123" s="179">
        <f ca="1">IF(ISNUMBER(MATCH(DATEVALUE($A123),'recurring1_based on steps'!AP$1:AP$400,0)),AP$2,)</f>
        <v>0</v>
      </c>
      <c r="AQ123" s="179">
        <f ca="1">IF(ISNUMBER(MATCH(DATEVALUE($A123),'recurring1_based on steps'!AQ$1:AQ$400,0)),AQ$2,)</f>
        <v>0</v>
      </c>
      <c r="AR123" s="179">
        <f ca="1">IF(ISNUMBER(MATCH(DATEVALUE($A123),'recurring1_based on steps'!AR$1:AR$400,0)),AR$2,)</f>
        <v>0</v>
      </c>
      <c r="AS123" s="179">
        <f ca="1">IF(ISNUMBER(MATCH(DATEVALUE($A123),'recurring1_based on steps'!AS$1:AS$400,0)),AS$2,)</f>
        <v>0</v>
      </c>
      <c r="AT123" s="179">
        <f ca="1">IF(ISNUMBER(MATCH(DATEVALUE($A123),'recurring1_based on steps'!AT$1:AT$400,0)),AT$2,)</f>
        <v>0</v>
      </c>
      <c r="AU123" s="179">
        <f ca="1">IF(ISNUMBER(MATCH(DATEVALUE($A123),'recurring1_based on steps'!AU$1:AU$400,0)),AU$2,)</f>
        <v>0</v>
      </c>
      <c r="AV123" s="179">
        <f ca="1">IF(ISNUMBER(MATCH(DATEVALUE($A123),'recurring1_based on steps'!AV$1:AV$400,0)),AV$2,)</f>
        <v>0</v>
      </c>
      <c r="AW123" s="179">
        <f ca="1">IF(ISNUMBER(MATCH(DATEVALUE($A123),'recurring1_based on steps'!AW$1:AW$400,0)),AW$2,)</f>
        <v>0</v>
      </c>
      <c r="AX123" s="179">
        <f ca="1">IF(ISNUMBER(MATCH(DATEVALUE($A123),'recurring1_based on steps'!AX$1:AX$400,0)),AX$2,)</f>
        <v>0</v>
      </c>
      <c r="AY123" s="179">
        <f ca="1">IF(ISNUMBER(MATCH(DATEVALUE($A123),'recurring1_based on steps'!AY$1:AY$400,0)),AY$2,)</f>
        <v>0</v>
      </c>
    </row>
    <row r="124" spans="1:51" x14ac:dyDescent="0.2">
      <c r="A124" s="32" t="str">
        <f t="shared" ca="1" si="1"/>
        <v>2025-08-04</v>
      </c>
      <c r="B124" s="179">
        <f ca="1">IF(ISNUMBER(MATCH(DATEVALUE($A124),'recurring1_based on steps'!B$1:B$400,0)),B$2,)</f>
        <v>0</v>
      </c>
      <c r="C124" s="179">
        <f ca="1">IF(ISNUMBER(MATCH(DATEVALUE($A124),'recurring1_based on steps'!C$1:C$400,0)),C$2,)</f>
        <v>0</v>
      </c>
      <c r="D124" s="179">
        <f ca="1">IF(ISNUMBER(MATCH(DATEVALUE($A124),'recurring1_based on steps'!D$1:D$400,0)),D$2,)</f>
        <v>0</v>
      </c>
      <c r="E124" s="179">
        <f ca="1">IF(ISNUMBER(MATCH(DATEVALUE($A124),'recurring1_based on steps'!E$1:E$400,0)),E$2,)</f>
        <v>0</v>
      </c>
      <c r="F124" s="179">
        <f ca="1">IF(ISNUMBER(MATCH(DATEVALUE($A124),'recurring1_based on steps'!F$1:F$400,0)),F$2,)</f>
        <v>0</v>
      </c>
      <c r="G124" s="179">
        <f ca="1">IF(ISNUMBER(MATCH(DATEVALUE($A124),'recurring1_based on steps'!G$1:G$400,0)),G$2,)</f>
        <v>0</v>
      </c>
      <c r="H124" s="179">
        <f ca="1">IF(ISNUMBER(MATCH(DATEVALUE($A124),'recurring1_based on steps'!H$1:H$400,0)),H$2,)</f>
        <v>0</v>
      </c>
      <c r="I124" s="179">
        <f ca="1">IF(ISNUMBER(MATCH(DATEVALUE($A124),'recurring1_based on steps'!I$1:I$400,0)),I$2,)</f>
        <v>0</v>
      </c>
      <c r="J124" s="179">
        <f ca="1">IF(ISNUMBER(MATCH(DATEVALUE($A124),'recurring1_based on steps'!J$1:J$400,0)),J$2,)</f>
        <v>0</v>
      </c>
      <c r="K124" s="179">
        <f ca="1">IF(ISNUMBER(MATCH(DATEVALUE($A124),'recurring1_based on steps'!K$1:K$400,0)),K$2,)</f>
        <v>0</v>
      </c>
      <c r="L124" s="179">
        <f ca="1">IF(ISNUMBER(MATCH(DATEVALUE($A124),'recurring1_based on steps'!L$1:L$400,0)),L$2,)</f>
        <v>0</v>
      </c>
      <c r="M124" s="179">
        <f ca="1">IF(ISNUMBER(MATCH(DATEVALUE($A124),'recurring1_based on steps'!M$1:M$400,0)),M$2,)</f>
        <v>0</v>
      </c>
      <c r="N124" s="179">
        <f ca="1">IF(ISNUMBER(MATCH(DATEVALUE($A124),'recurring1_based on steps'!N$1:N$400,0)),N$2,)</f>
        <v>0</v>
      </c>
      <c r="O124" s="179">
        <f ca="1">IF(ISNUMBER(MATCH(DATEVALUE($A124),'recurring1_based on steps'!O$1:O$400,0)),O$2,)</f>
        <v>0</v>
      </c>
      <c r="P124" s="179">
        <f ca="1">IF(ISNUMBER(MATCH(DATEVALUE($A124),'recurring1_based on steps'!P$1:P$400,0)),P$2,)</f>
        <v>0</v>
      </c>
      <c r="Q124" s="179">
        <f ca="1">IF(ISNUMBER(MATCH(DATEVALUE($A124),'recurring1_based on steps'!Q$1:Q$400,0)),Q$2,)</f>
        <v>0</v>
      </c>
      <c r="R124" s="179">
        <f ca="1">IF(ISNUMBER(MATCH(DATEVALUE($A124),'recurring1_based on steps'!R$1:R$400,0)),R$2,)</f>
        <v>0</v>
      </c>
      <c r="S124" s="179">
        <f ca="1">IF(ISNUMBER(MATCH(DATEVALUE($A124),'recurring1_based on steps'!S$1:S$400,0)),S$2,)</f>
        <v>0</v>
      </c>
      <c r="T124" s="179">
        <f ca="1">IF(ISNUMBER(MATCH(DATEVALUE($A124),'recurring1_based on steps'!T$1:T$400,0)),T$2,)</f>
        <v>0</v>
      </c>
      <c r="U124" s="179">
        <f ca="1">IF(ISNUMBER(MATCH(DATEVALUE($A124),'recurring1_based on steps'!U$1:U$400,0)),U$2,)</f>
        <v>0</v>
      </c>
      <c r="V124" s="179">
        <f ca="1">IF(ISNUMBER(MATCH(DATEVALUE($A124),'recurring1_based on steps'!V$1:V$400,0)),V$2,)</f>
        <v>0</v>
      </c>
      <c r="W124" s="179">
        <f ca="1">IF(ISNUMBER(MATCH(DATEVALUE($A124),'recurring1_based on steps'!W$1:W$400,0)),W$2,)</f>
        <v>0</v>
      </c>
      <c r="X124" s="179">
        <f ca="1">IF(ISNUMBER(MATCH(DATEVALUE($A124),'recurring1_based on steps'!X$1:X$400,0)),X$2,)</f>
        <v>0</v>
      </c>
      <c r="Y124" s="179">
        <f ca="1">IF(ISNUMBER(MATCH(DATEVALUE($A124),'recurring1_based on steps'!Y$1:Y$400,0)),Y$2,)</f>
        <v>0</v>
      </c>
      <c r="Z124" s="179">
        <f ca="1">IF(ISNUMBER(MATCH(DATEVALUE($A124),'recurring1_based on steps'!Z$1:Z$400,0)),Z$2,)</f>
        <v>0</v>
      </c>
      <c r="AA124" s="179">
        <f ca="1">IF(ISNUMBER(MATCH(DATEVALUE($A124),'recurring1_based on steps'!AA$1:AA$400,0)),AA$2,)</f>
        <v>0</v>
      </c>
      <c r="AB124" s="179">
        <f ca="1">IF(ISNUMBER(MATCH(DATEVALUE($A124),'recurring1_based on steps'!AB$1:AB$400,0)),AB$2,)</f>
        <v>0</v>
      </c>
      <c r="AC124" s="179">
        <f ca="1">IF(ISNUMBER(MATCH(DATEVALUE($A124),'recurring1_based on steps'!AC$1:AC$400,0)),AC$2,)</f>
        <v>0</v>
      </c>
      <c r="AD124" s="179">
        <f ca="1">IF(ISNUMBER(MATCH(DATEVALUE($A124),'recurring1_based on steps'!AD$1:AD$400,0)),AD$2,)</f>
        <v>0</v>
      </c>
      <c r="AE124" s="179">
        <f ca="1">IF(ISNUMBER(MATCH(DATEVALUE($A124),'recurring1_based on steps'!AE$1:AE$400,0)),AE$2,)</f>
        <v>0</v>
      </c>
      <c r="AF124" s="179">
        <f ca="1">IF(ISNUMBER(MATCH(DATEVALUE($A124),'recurring1_based on steps'!AF$1:AF$400,0)),AF$2,)</f>
        <v>0</v>
      </c>
      <c r="AG124" s="179">
        <f ca="1">IF(ISNUMBER(MATCH(DATEVALUE($A124),'recurring1_based on steps'!AG$1:AG$400,0)),AG$2,)</f>
        <v>0</v>
      </c>
      <c r="AH124" s="179">
        <f ca="1">IF(ISNUMBER(MATCH(DATEVALUE($A124),'recurring1_based on steps'!AH$1:AH$400,0)),AH$2,)</f>
        <v>0</v>
      </c>
      <c r="AI124" s="179">
        <f ca="1">IF(ISNUMBER(MATCH(DATEVALUE($A124),'recurring1_based on steps'!AI$1:AI$400,0)),AI$2,)</f>
        <v>0</v>
      </c>
      <c r="AJ124" s="179">
        <f ca="1">IF(ISNUMBER(MATCH(DATEVALUE($A124),'recurring1_based on steps'!AJ$1:AJ$400,0)),AJ$2,)</f>
        <v>0</v>
      </c>
      <c r="AK124" s="179">
        <f ca="1">IF(ISNUMBER(MATCH(DATEVALUE($A124),'recurring1_based on steps'!AK$1:AK$400,0)),AK$2,)</f>
        <v>0</v>
      </c>
      <c r="AL124" s="179">
        <f ca="1">IF(ISNUMBER(MATCH(DATEVALUE($A124),'recurring1_based on steps'!AL$1:AL$400,0)),AL$2,)</f>
        <v>0</v>
      </c>
      <c r="AM124" s="179">
        <f ca="1">IF(ISNUMBER(MATCH(DATEVALUE($A124),'recurring1_based on steps'!AM$1:AM$400,0)),AM$2,)</f>
        <v>0</v>
      </c>
      <c r="AN124" s="179">
        <f ca="1">IF(ISNUMBER(MATCH(DATEVALUE($A124),'recurring1_based on steps'!AN$1:AN$400,0)),AN$2,)</f>
        <v>0</v>
      </c>
      <c r="AO124" s="179">
        <f ca="1">IF(ISNUMBER(MATCH(DATEVALUE($A124),'recurring1_based on steps'!AO$1:AO$400,0)),AO$2,)</f>
        <v>0</v>
      </c>
      <c r="AP124" s="179">
        <f ca="1">IF(ISNUMBER(MATCH(DATEVALUE($A124),'recurring1_based on steps'!AP$1:AP$400,0)),AP$2,)</f>
        <v>0</v>
      </c>
      <c r="AQ124" s="179">
        <f ca="1">IF(ISNUMBER(MATCH(DATEVALUE($A124),'recurring1_based on steps'!AQ$1:AQ$400,0)),AQ$2,)</f>
        <v>0</v>
      </c>
      <c r="AR124" s="179">
        <f ca="1">IF(ISNUMBER(MATCH(DATEVALUE($A124),'recurring1_based on steps'!AR$1:AR$400,0)),AR$2,)</f>
        <v>0</v>
      </c>
      <c r="AS124" s="179">
        <f ca="1">IF(ISNUMBER(MATCH(DATEVALUE($A124),'recurring1_based on steps'!AS$1:AS$400,0)),AS$2,)</f>
        <v>0</v>
      </c>
      <c r="AT124" s="179">
        <f ca="1">IF(ISNUMBER(MATCH(DATEVALUE($A124),'recurring1_based on steps'!AT$1:AT$400,0)),AT$2,)</f>
        <v>0</v>
      </c>
      <c r="AU124" s="179">
        <f ca="1">IF(ISNUMBER(MATCH(DATEVALUE($A124),'recurring1_based on steps'!AU$1:AU$400,0)),AU$2,)</f>
        <v>0</v>
      </c>
      <c r="AV124" s="179">
        <f ca="1">IF(ISNUMBER(MATCH(DATEVALUE($A124),'recurring1_based on steps'!AV$1:AV$400,0)),AV$2,)</f>
        <v>0</v>
      </c>
      <c r="AW124" s="179">
        <f ca="1">IF(ISNUMBER(MATCH(DATEVALUE($A124),'recurring1_based on steps'!AW$1:AW$400,0)),AW$2,)</f>
        <v>0</v>
      </c>
      <c r="AX124" s="179">
        <f ca="1">IF(ISNUMBER(MATCH(DATEVALUE($A124),'recurring1_based on steps'!AX$1:AX$400,0)),AX$2,)</f>
        <v>0</v>
      </c>
      <c r="AY124" s="179">
        <f ca="1">IF(ISNUMBER(MATCH(DATEVALUE($A124),'recurring1_based on steps'!AY$1:AY$400,0)),AY$2,)</f>
        <v>0</v>
      </c>
    </row>
    <row r="125" spans="1:51" x14ac:dyDescent="0.2">
      <c r="A125" s="32" t="str">
        <f t="shared" ca="1" si="1"/>
        <v>2025-08-05</v>
      </c>
      <c r="B125" s="179">
        <f ca="1">IF(ISNUMBER(MATCH(DATEVALUE($A125),'recurring1_based on steps'!B$1:B$400,0)),B$2,)</f>
        <v>0</v>
      </c>
      <c r="C125" s="179">
        <f ca="1">IF(ISNUMBER(MATCH(DATEVALUE($A125),'recurring1_based on steps'!C$1:C$400,0)),C$2,)</f>
        <v>0</v>
      </c>
      <c r="D125" s="179">
        <f ca="1">IF(ISNUMBER(MATCH(DATEVALUE($A125),'recurring1_based on steps'!D$1:D$400,0)),D$2,)</f>
        <v>0</v>
      </c>
      <c r="E125" s="179">
        <f ca="1">IF(ISNUMBER(MATCH(DATEVALUE($A125),'recurring1_based on steps'!E$1:E$400,0)),E$2,)</f>
        <v>0</v>
      </c>
      <c r="F125" s="179">
        <f ca="1">IF(ISNUMBER(MATCH(DATEVALUE($A125),'recurring1_based on steps'!F$1:F$400,0)),F$2,)</f>
        <v>0</v>
      </c>
      <c r="G125" s="179">
        <f ca="1">IF(ISNUMBER(MATCH(DATEVALUE($A125),'recurring1_based on steps'!G$1:G$400,0)),G$2,)</f>
        <v>0</v>
      </c>
      <c r="H125" s="179">
        <f ca="1">IF(ISNUMBER(MATCH(DATEVALUE($A125),'recurring1_based on steps'!H$1:H$400,0)),H$2,)</f>
        <v>0</v>
      </c>
      <c r="I125" s="179">
        <f ca="1">IF(ISNUMBER(MATCH(DATEVALUE($A125),'recurring1_based on steps'!I$1:I$400,0)),I$2,)</f>
        <v>0</v>
      </c>
      <c r="J125" s="179">
        <f ca="1">IF(ISNUMBER(MATCH(DATEVALUE($A125),'recurring1_based on steps'!J$1:J$400,0)),J$2,)</f>
        <v>0</v>
      </c>
      <c r="K125" s="179">
        <f ca="1">IF(ISNUMBER(MATCH(DATEVALUE($A125),'recurring1_based on steps'!K$1:K$400,0)),K$2,)</f>
        <v>0</v>
      </c>
      <c r="L125" s="179">
        <f ca="1">IF(ISNUMBER(MATCH(DATEVALUE($A125),'recurring1_based on steps'!L$1:L$400,0)),L$2,)</f>
        <v>0</v>
      </c>
      <c r="M125" s="179">
        <f ca="1">IF(ISNUMBER(MATCH(DATEVALUE($A125),'recurring1_based on steps'!M$1:M$400,0)),M$2,)</f>
        <v>0</v>
      </c>
      <c r="N125" s="179">
        <f ca="1">IF(ISNUMBER(MATCH(DATEVALUE($A125),'recurring1_based on steps'!N$1:N$400,0)),N$2,)</f>
        <v>0</v>
      </c>
      <c r="O125" s="179">
        <f ca="1">IF(ISNUMBER(MATCH(DATEVALUE($A125),'recurring1_based on steps'!O$1:O$400,0)),O$2,)</f>
        <v>0</v>
      </c>
      <c r="P125" s="179">
        <f ca="1">IF(ISNUMBER(MATCH(DATEVALUE($A125),'recurring1_based on steps'!P$1:P$400,0)),P$2,)</f>
        <v>0</v>
      </c>
      <c r="Q125" s="179">
        <f ca="1">IF(ISNUMBER(MATCH(DATEVALUE($A125),'recurring1_based on steps'!Q$1:Q$400,0)),Q$2,)</f>
        <v>0</v>
      </c>
      <c r="R125" s="179">
        <f ca="1">IF(ISNUMBER(MATCH(DATEVALUE($A125),'recurring1_based on steps'!R$1:R$400,0)),R$2,)</f>
        <v>0</v>
      </c>
      <c r="S125" s="179">
        <f ca="1">IF(ISNUMBER(MATCH(DATEVALUE($A125),'recurring1_based on steps'!S$1:S$400,0)),S$2,)</f>
        <v>0</v>
      </c>
      <c r="T125" s="179">
        <f ca="1">IF(ISNUMBER(MATCH(DATEVALUE($A125),'recurring1_based on steps'!T$1:T$400,0)),T$2,)</f>
        <v>0</v>
      </c>
      <c r="U125" s="179">
        <f ca="1">IF(ISNUMBER(MATCH(DATEVALUE($A125),'recurring1_based on steps'!U$1:U$400,0)),U$2,)</f>
        <v>0</v>
      </c>
      <c r="V125" s="179">
        <f ca="1">IF(ISNUMBER(MATCH(DATEVALUE($A125),'recurring1_based on steps'!V$1:V$400,0)),V$2,)</f>
        <v>0</v>
      </c>
      <c r="W125" s="179">
        <f ca="1">IF(ISNUMBER(MATCH(DATEVALUE($A125),'recurring1_based on steps'!W$1:W$400,0)),W$2,)</f>
        <v>0</v>
      </c>
      <c r="X125" s="179">
        <f ca="1">IF(ISNUMBER(MATCH(DATEVALUE($A125),'recurring1_based on steps'!X$1:X$400,0)),X$2,)</f>
        <v>0</v>
      </c>
      <c r="Y125" s="179">
        <f ca="1">IF(ISNUMBER(MATCH(DATEVALUE($A125),'recurring1_based on steps'!Y$1:Y$400,0)),Y$2,)</f>
        <v>0</v>
      </c>
      <c r="Z125" s="179">
        <f ca="1">IF(ISNUMBER(MATCH(DATEVALUE($A125),'recurring1_based on steps'!Z$1:Z$400,0)),Z$2,)</f>
        <v>0</v>
      </c>
      <c r="AA125" s="179">
        <f ca="1">IF(ISNUMBER(MATCH(DATEVALUE($A125),'recurring1_based on steps'!AA$1:AA$400,0)),AA$2,)</f>
        <v>0</v>
      </c>
      <c r="AB125" s="179">
        <f ca="1">IF(ISNUMBER(MATCH(DATEVALUE($A125),'recurring1_based on steps'!AB$1:AB$400,0)),AB$2,)</f>
        <v>0</v>
      </c>
      <c r="AC125" s="179">
        <f ca="1">IF(ISNUMBER(MATCH(DATEVALUE($A125),'recurring1_based on steps'!AC$1:AC$400,0)),AC$2,)</f>
        <v>0</v>
      </c>
      <c r="AD125" s="179">
        <f ca="1">IF(ISNUMBER(MATCH(DATEVALUE($A125),'recurring1_based on steps'!AD$1:AD$400,0)),AD$2,)</f>
        <v>0</v>
      </c>
      <c r="AE125" s="179">
        <f ca="1">IF(ISNUMBER(MATCH(DATEVALUE($A125),'recurring1_based on steps'!AE$1:AE$400,0)),AE$2,)</f>
        <v>0</v>
      </c>
      <c r="AF125" s="179">
        <f ca="1">IF(ISNUMBER(MATCH(DATEVALUE($A125),'recurring1_based on steps'!AF$1:AF$400,0)),AF$2,)</f>
        <v>0</v>
      </c>
      <c r="AG125" s="179">
        <f ca="1">IF(ISNUMBER(MATCH(DATEVALUE($A125),'recurring1_based on steps'!AG$1:AG$400,0)),AG$2,)</f>
        <v>0</v>
      </c>
      <c r="AH125" s="179">
        <f ca="1">IF(ISNUMBER(MATCH(DATEVALUE($A125),'recurring1_based on steps'!AH$1:AH$400,0)),AH$2,)</f>
        <v>0</v>
      </c>
      <c r="AI125" s="179">
        <f ca="1">IF(ISNUMBER(MATCH(DATEVALUE($A125),'recurring1_based on steps'!AI$1:AI$400,0)),AI$2,)</f>
        <v>0</v>
      </c>
      <c r="AJ125" s="179">
        <f ca="1">IF(ISNUMBER(MATCH(DATEVALUE($A125),'recurring1_based on steps'!AJ$1:AJ$400,0)),AJ$2,)</f>
        <v>0</v>
      </c>
      <c r="AK125" s="179">
        <f ca="1">IF(ISNUMBER(MATCH(DATEVALUE($A125),'recurring1_based on steps'!AK$1:AK$400,0)),AK$2,)</f>
        <v>0</v>
      </c>
      <c r="AL125" s="179">
        <f ca="1">IF(ISNUMBER(MATCH(DATEVALUE($A125),'recurring1_based on steps'!AL$1:AL$400,0)),AL$2,)</f>
        <v>0</v>
      </c>
      <c r="AM125" s="179">
        <f ca="1">IF(ISNUMBER(MATCH(DATEVALUE($A125),'recurring1_based on steps'!AM$1:AM$400,0)),AM$2,)</f>
        <v>0</v>
      </c>
      <c r="AN125" s="179">
        <f ca="1">IF(ISNUMBER(MATCH(DATEVALUE($A125),'recurring1_based on steps'!AN$1:AN$400,0)),AN$2,)</f>
        <v>0</v>
      </c>
      <c r="AO125" s="179">
        <f ca="1">IF(ISNUMBER(MATCH(DATEVALUE($A125),'recurring1_based on steps'!AO$1:AO$400,0)),AO$2,)</f>
        <v>0</v>
      </c>
      <c r="AP125" s="179">
        <f ca="1">IF(ISNUMBER(MATCH(DATEVALUE($A125),'recurring1_based on steps'!AP$1:AP$400,0)),AP$2,)</f>
        <v>0</v>
      </c>
      <c r="AQ125" s="179">
        <f ca="1">IF(ISNUMBER(MATCH(DATEVALUE($A125),'recurring1_based on steps'!AQ$1:AQ$400,0)),AQ$2,)</f>
        <v>0</v>
      </c>
      <c r="AR125" s="179">
        <f ca="1">IF(ISNUMBER(MATCH(DATEVALUE($A125),'recurring1_based on steps'!AR$1:AR$400,0)),AR$2,)</f>
        <v>0</v>
      </c>
      <c r="AS125" s="179">
        <f ca="1">IF(ISNUMBER(MATCH(DATEVALUE($A125),'recurring1_based on steps'!AS$1:AS$400,0)),AS$2,)</f>
        <v>0</v>
      </c>
      <c r="AT125" s="179">
        <f ca="1">IF(ISNUMBER(MATCH(DATEVALUE($A125),'recurring1_based on steps'!AT$1:AT$400,0)),AT$2,)</f>
        <v>0</v>
      </c>
      <c r="AU125" s="179">
        <f ca="1">IF(ISNUMBER(MATCH(DATEVALUE($A125),'recurring1_based on steps'!AU$1:AU$400,0)),AU$2,)</f>
        <v>0</v>
      </c>
      <c r="AV125" s="179">
        <f ca="1">IF(ISNUMBER(MATCH(DATEVALUE($A125),'recurring1_based on steps'!AV$1:AV$400,0)),AV$2,)</f>
        <v>0</v>
      </c>
      <c r="AW125" s="179">
        <f ca="1">IF(ISNUMBER(MATCH(DATEVALUE($A125),'recurring1_based on steps'!AW$1:AW$400,0)),AW$2,)</f>
        <v>0</v>
      </c>
      <c r="AX125" s="179">
        <f ca="1">IF(ISNUMBER(MATCH(DATEVALUE($A125),'recurring1_based on steps'!AX$1:AX$400,0)),AX$2,)</f>
        <v>0</v>
      </c>
      <c r="AY125" s="179">
        <f ca="1">IF(ISNUMBER(MATCH(DATEVALUE($A125),'recurring1_based on steps'!AY$1:AY$400,0)),AY$2,)</f>
        <v>0</v>
      </c>
    </row>
    <row r="126" spans="1:51" x14ac:dyDescent="0.2">
      <c r="A126" s="32" t="str">
        <f t="shared" ca="1" si="1"/>
        <v>2025-08-06</v>
      </c>
      <c r="B126" s="179">
        <f ca="1">IF(ISNUMBER(MATCH(DATEVALUE($A126),'recurring1_based on steps'!B$1:B$400,0)),B$2,)</f>
        <v>0</v>
      </c>
      <c r="C126" s="179">
        <f ca="1">IF(ISNUMBER(MATCH(DATEVALUE($A126),'recurring1_based on steps'!C$1:C$400,0)),C$2,)</f>
        <v>0</v>
      </c>
      <c r="D126" s="179">
        <f ca="1">IF(ISNUMBER(MATCH(DATEVALUE($A126),'recurring1_based on steps'!D$1:D$400,0)),D$2,)</f>
        <v>0</v>
      </c>
      <c r="E126" s="179">
        <f ca="1">IF(ISNUMBER(MATCH(DATEVALUE($A126),'recurring1_based on steps'!E$1:E$400,0)),E$2,)</f>
        <v>0</v>
      </c>
      <c r="F126" s="179">
        <f ca="1">IF(ISNUMBER(MATCH(DATEVALUE($A126),'recurring1_based on steps'!F$1:F$400,0)),F$2,)</f>
        <v>0</v>
      </c>
      <c r="G126" s="179">
        <f ca="1">IF(ISNUMBER(MATCH(DATEVALUE($A126),'recurring1_based on steps'!G$1:G$400,0)),G$2,)</f>
        <v>0</v>
      </c>
      <c r="H126" s="179">
        <f ca="1">IF(ISNUMBER(MATCH(DATEVALUE($A126),'recurring1_based on steps'!H$1:H$400,0)),H$2,)</f>
        <v>0</v>
      </c>
      <c r="I126" s="179">
        <f ca="1">IF(ISNUMBER(MATCH(DATEVALUE($A126),'recurring1_based on steps'!I$1:I$400,0)),I$2,)</f>
        <v>0</v>
      </c>
      <c r="J126" s="179">
        <f ca="1">IF(ISNUMBER(MATCH(DATEVALUE($A126),'recurring1_based on steps'!J$1:J$400,0)),J$2,)</f>
        <v>0</v>
      </c>
      <c r="K126" s="179">
        <f ca="1">IF(ISNUMBER(MATCH(DATEVALUE($A126),'recurring1_based on steps'!K$1:K$400,0)),K$2,)</f>
        <v>0</v>
      </c>
      <c r="L126" s="179">
        <f ca="1">IF(ISNUMBER(MATCH(DATEVALUE($A126),'recurring1_based on steps'!L$1:L$400,0)),L$2,)</f>
        <v>0</v>
      </c>
      <c r="M126" s="179">
        <f ca="1">IF(ISNUMBER(MATCH(DATEVALUE($A126),'recurring1_based on steps'!M$1:M$400,0)),M$2,)</f>
        <v>0</v>
      </c>
      <c r="N126" s="179">
        <f ca="1">IF(ISNUMBER(MATCH(DATEVALUE($A126),'recurring1_based on steps'!N$1:N$400,0)),N$2,)</f>
        <v>0</v>
      </c>
      <c r="O126" s="179">
        <f ca="1">IF(ISNUMBER(MATCH(DATEVALUE($A126),'recurring1_based on steps'!O$1:O$400,0)),O$2,)</f>
        <v>0</v>
      </c>
      <c r="P126" s="179">
        <f ca="1">IF(ISNUMBER(MATCH(DATEVALUE($A126),'recurring1_based on steps'!P$1:P$400,0)),P$2,)</f>
        <v>0</v>
      </c>
      <c r="Q126" s="179">
        <f ca="1">IF(ISNUMBER(MATCH(DATEVALUE($A126),'recurring1_based on steps'!Q$1:Q$400,0)),Q$2,)</f>
        <v>0</v>
      </c>
      <c r="R126" s="179">
        <f ca="1">IF(ISNUMBER(MATCH(DATEVALUE($A126),'recurring1_based on steps'!R$1:R$400,0)),R$2,)</f>
        <v>0</v>
      </c>
      <c r="S126" s="179">
        <f ca="1">IF(ISNUMBER(MATCH(DATEVALUE($A126),'recurring1_based on steps'!S$1:S$400,0)),S$2,)</f>
        <v>0</v>
      </c>
      <c r="T126" s="179">
        <f ca="1">IF(ISNUMBER(MATCH(DATEVALUE($A126),'recurring1_based on steps'!T$1:T$400,0)),T$2,)</f>
        <v>0</v>
      </c>
      <c r="U126" s="179">
        <f ca="1">IF(ISNUMBER(MATCH(DATEVALUE($A126),'recurring1_based on steps'!U$1:U$400,0)),U$2,)</f>
        <v>0</v>
      </c>
      <c r="V126" s="179">
        <f ca="1">IF(ISNUMBER(MATCH(DATEVALUE($A126),'recurring1_based on steps'!V$1:V$400,0)),V$2,)</f>
        <v>0</v>
      </c>
      <c r="W126" s="179">
        <f ca="1">IF(ISNUMBER(MATCH(DATEVALUE($A126),'recurring1_based on steps'!W$1:W$400,0)),W$2,)</f>
        <v>0</v>
      </c>
      <c r="X126" s="179">
        <f ca="1">IF(ISNUMBER(MATCH(DATEVALUE($A126),'recurring1_based on steps'!X$1:X$400,0)),X$2,)</f>
        <v>0</v>
      </c>
      <c r="Y126" s="179">
        <f ca="1">IF(ISNUMBER(MATCH(DATEVALUE($A126),'recurring1_based on steps'!Y$1:Y$400,0)),Y$2,)</f>
        <v>0</v>
      </c>
      <c r="Z126" s="179">
        <f ca="1">IF(ISNUMBER(MATCH(DATEVALUE($A126),'recurring1_based on steps'!Z$1:Z$400,0)),Z$2,)</f>
        <v>0</v>
      </c>
      <c r="AA126" s="179">
        <f ca="1">IF(ISNUMBER(MATCH(DATEVALUE($A126),'recurring1_based on steps'!AA$1:AA$400,0)),AA$2,)</f>
        <v>0</v>
      </c>
      <c r="AB126" s="179">
        <f ca="1">IF(ISNUMBER(MATCH(DATEVALUE($A126),'recurring1_based on steps'!AB$1:AB$400,0)),AB$2,)</f>
        <v>0</v>
      </c>
      <c r="AC126" s="179">
        <f ca="1">IF(ISNUMBER(MATCH(DATEVALUE($A126),'recurring1_based on steps'!AC$1:AC$400,0)),AC$2,)</f>
        <v>0</v>
      </c>
      <c r="AD126" s="179">
        <f ca="1">IF(ISNUMBER(MATCH(DATEVALUE($A126),'recurring1_based on steps'!AD$1:AD$400,0)),AD$2,)</f>
        <v>0</v>
      </c>
      <c r="AE126" s="179">
        <f ca="1">IF(ISNUMBER(MATCH(DATEVALUE($A126),'recurring1_based on steps'!AE$1:AE$400,0)),AE$2,)</f>
        <v>0</v>
      </c>
      <c r="AF126" s="179">
        <f ca="1">IF(ISNUMBER(MATCH(DATEVALUE($A126),'recurring1_based on steps'!AF$1:AF$400,0)),AF$2,)</f>
        <v>0</v>
      </c>
      <c r="AG126" s="179">
        <f ca="1">IF(ISNUMBER(MATCH(DATEVALUE($A126),'recurring1_based on steps'!AG$1:AG$400,0)),AG$2,)</f>
        <v>0</v>
      </c>
      <c r="AH126" s="179">
        <f ca="1">IF(ISNUMBER(MATCH(DATEVALUE($A126),'recurring1_based on steps'!AH$1:AH$400,0)),AH$2,)</f>
        <v>0</v>
      </c>
      <c r="AI126" s="179">
        <f ca="1">IF(ISNUMBER(MATCH(DATEVALUE($A126),'recurring1_based on steps'!AI$1:AI$400,0)),AI$2,)</f>
        <v>0</v>
      </c>
      <c r="AJ126" s="179">
        <f ca="1">IF(ISNUMBER(MATCH(DATEVALUE($A126),'recurring1_based on steps'!AJ$1:AJ$400,0)),AJ$2,)</f>
        <v>0</v>
      </c>
      <c r="AK126" s="179">
        <f ca="1">IF(ISNUMBER(MATCH(DATEVALUE($A126),'recurring1_based on steps'!AK$1:AK$400,0)),AK$2,)</f>
        <v>0</v>
      </c>
      <c r="AL126" s="179">
        <f ca="1">IF(ISNUMBER(MATCH(DATEVALUE($A126),'recurring1_based on steps'!AL$1:AL$400,0)),AL$2,)</f>
        <v>0</v>
      </c>
      <c r="AM126" s="179">
        <f ca="1">IF(ISNUMBER(MATCH(DATEVALUE($A126),'recurring1_based on steps'!AM$1:AM$400,0)),AM$2,)</f>
        <v>0</v>
      </c>
      <c r="AN126" s="179">
        <f ca="1">IF(ISNUMBER(MATCH(DATEVALUE($A126),'recurring1_based on steps'!AN$1:AN$400,0)),AN$2,)</f>
        <v>0</v>
      </c>
      <c r="AO126" s="179">
        <f ca="1">IF(ISNUMBER(MATCH(DATEVALUE($A126),'recurring1_based on steps'!AO$1:AO$400,0)),AO$2,)</f>
        <v>0</v>
      </c>
      <c r="AP126" s="179">
        <f ca="1">IF(ISNUMBER(MATCH(DATEVALUE($A126),'recurring1_based on steps'!AP$1:AP$400,0)),AP$2,)</f>
        <v>0</v>
      </c>
      <c r="AQ126" s="179">
        <f ca="1">IF(ISNUMBER(MATCH(DATEVALUE($A126),'recurring1_based on steps'!AQ$1:AQ$400,0)),AQ$2,)</f>
        <v>0</v>
      </c>
      <c r="AR126" s="179">
        <f ca="1">IF(ISNUMBER(MATCH(DATEVALUE($A126),'recurring1_based on steps'!AR$1:AR$400,0)),AR$2,)</f>
        <v>0</v>
      </c>
      <c r="AS126" s="179">
        <f ca="1">IF(ISNUMBER(MATCH(DATEVALUE($A126),'recurring1_based on steps'!AS$1:AS$400,0)),AS$2,)</f>
        <v>0</v>
      </c>
      <c r="AT126" s="179">
        <f ca="1">IF(ISNUMBER(MATCH(DATEVALUE($A126),'recurring1_based on steps'!AT$1:AT$400,0)),AT$2,)</f>
        <v>0</v>
      </c>
      <c r="AU126" s="179">
        <f ca="1">IF(ISNUMBER(MATCH(DATEVALUE($A126),'recurring1_based on steps'!AU$1:AU$400,0)),AU$2,)</f>
        <v>0</v>
      </c>
      <c r="AV126" s="179">
        <f ca="1">IF(ISNUMBER(MATCH(DATEVALUE($A126),'recurring1_based on steps'!AV$1:AV$400,0)),AV$2,)</f>
        <v>0</v>
      </c>
      <c r="AW126" s="179">
        <f ca="1">IF(ISNUMBER(MATCH(DATEVALUE($A126),'recurring1_based on steps'!AW$1:AW$400,0)),AW$2,)</f>
        <v>0</v>
      </c>
      <c r="AX126" s="179">
        <f ca="1">IF(ISNUMBER(MATCH(DATEVALUE($A126),'recurring1_based on steps'!AX$1:AX$400,0)),AX$2,)</f>
        <v>0</v>
      </c>
      <c r="AY126" s="179">
        <f ca="1">IF(ISNUMBER(MATCH(DATEVALUE($A126),'recurring1_based on steps'!AY$1:AY$400,0)),AY$2,)</f>
        <v>0</v>
      </c>
    </row>
    <row r="127" spans="1:51" x14ac:dyDescent="0.2">
      <c r="A127" s="32" t="str">
        <f t="shared" ca="1" si="1"/>
        <v>2025-08-07</v>
      </c>
      <c r="B127" s="179">
        <f ca="1">IF(ISNUMBER(MATCH(DATEVALUE($A127),'recurring1_based on steps'!B$1:B$400,0)),B$2,)</f>
        <v>0</v>
      </c>
      <c r="C127" s="179">
        <f ca="1">IF(ISNUMBER(MATCH(DATEVALUE($A127),'recurring1_based on steps'!C$1:C$400,0)),C$2,)</f>
        <v>0</v>
      </c>
      <c r="D127" s="179">
        <f ca="1">IF(ISNUMBER(MATCH(DATEVALUE($A127),'recurring1_based on steps'!D$1:D$400,0)),D$2,)</f>
        <v>0</v>
      </c>
      <c r="E127" s="179">
        <f ca="1">IF(ISNUMBER(MATCH(DATEVALUE($A127),'recurring1_based on steps'!E$1:E$400,0)),E$2,)</f>
        <v>0</v>
      </c>
      <c r="F127" s="179">
        <f ca="1">IF(ISNUMBER(MATCH(DATEVALUE($A127),'recurring1_based on steps'!F$1:F$400,0)),F$2,)</f>
        <v>0</v>
      </c>
      <c r="G127" s="179">
        <f ca="1">IF(ISNUMBER(MATCH(DATEVALUE($A127),'recurring1_based on steps'!G$1:G$400,0)),G$2,)</f>
        <v>0</v>
      </c>
      <c r="H127" s="179">
        <f ca="1">IF(ISNUMBER(MATCH(DATEVALUE($A127),'recurring1_based on steps'!H$1:H$400,0)),H$2,)</f>
        <v>0</v>
      </c>
      <c r="I127" s="179">
        <f ca="1">IF(ISNUMBER(MATCH(DATEVALUE($A127),'recurring1_based on steps'!I$1:I$400,0)),I$2,)</f>
        <v>0</v>
      </c>
      <c r="J127" s="179">
        <f ca="1">IF(ISNUMBER(MATCH(DATEVALUE($A127),'recurring1_based on steps'!J$1:J$400,0)),J$2,)</f>
        <v>0</v>
      </c>
      <c r="K127" s="179">
        <f ca="1">IF(ISNUMBER(MATCH(DATEVALUE($A127),'recurring1_based on steps'!K$1:K$400,0)),K$2,)</f>
        <v>0</v>
      </c>
      <c r="L127" s="179">
        <f ca="1">IF(ISNUMBER(MATCH(DATEVALUE($A127),'recurring1_based on steps'!L$1:L$400,0)),L$2,)</f>
        <v>0</v>
      </c>
      <c r="M127" s="179">
        <f ca="1">IF(ISNUMBER(MATCH(DATEVALUE($A127),'recurring1_based on steps'!M$1:M$400,0)),M$2,)</f>
        <v>0</v>
      </c>
      <c r="N127" s="179">
        <f ca="1">IF(ISNUMBER(MATCH(DATEVALUE($A127),'recurring1_based on steps'!N$1:N$400,0)),N$2,)</f>
        <v>0</v>
      </c>
      <c r="O127" s="179">
        <f ca="1">IF(ISNUMBER(MATCH(DATEVALUE($A127),'recurring1_based on steps'!O$1:O$400,0)),O$2,)</f>
        <v>0</v>
      </c>
      <c r="P127" s="179">
        <f ca="1">IF(ISNUMBER(MATCH(DATEVALUE($A127),'recurring1_based on steps'!P$1:P$400,0)),P$2,)</f>
        <v>0</v>
      </c>
      <c r="Q127" s="179">
        <f ca="1">IF(ISNUMBER(MATCH(DATEVALUE($A127),'recurring1_based on steps'!Q$1:Q$400,0)),Q$2,)</f>
        <v>0</v>
      </c>
      <c r="R127" s="179">
        <f ca="1">IF(ISNUMBER(MATCH(DATEVALUE($A127),'recurring1_based on steps'!R$1:R$400,0)),R$2,)</f>
        <v>0</v>
      </c>
      <c r="S127" s="179">
        <f ca="1">IF(ISNUMBER(MATCH(DATEVALUE($A127),'recurring1_based on steps'!S$1:S$400,0)),S$2,)</f>
        <v>0</v>
      </c>
      <c r="T127" s="179">
        <f ca="1">IF(ISNUMBER(MATCH(DATEVALUE($A127),'recurring1_based on steps'!T$1:T$400,0)),T$2,)</f>
        <v>0</v>
      </c>
      <c r="U127" s="179">
        <f ca="1">IF(ISNUMBER(MATCH(DATEVALUE($A127),'recurring1_based on steps'!U$1:U$400,0)),U$2,)</f>
        <v>0</v>
      </c>
      <c r="V127" s="179">
        <f ca="1">IF(ISNUMBER(MATCH(DATEVALUE($A127),'recurring1_based on steps'!V$1:V$400,0)),V$2,)</f>
        <v>0</v>
      </c>
      <c r="W127" s="179">
        <f ca="1">IF(ISNUMBER(MATCH(DATEVALUE($A127),'recurring1_based on steps'!W$1:W$400,0)),W$2,)</f>
        <v>0</v>
      </c>
      <c r="X127" s="179">
        <f ca="1">IF(ISNUMBER(MATCH(DATEVALUE($A127),'recurring1_based on steps'!X$1:X$400,0)),X$2,)</f>
        <v>0</v>
      </c>
      <c r="Y127" s="179">
        <f ca="1">IF(ISNUMBER(MATCH(DATEVALUE($A127),'recurring1_based on steps'!Y$1:Y$400,0)),Y$2,)</f>
        <v>0</v>
      </c>
      <c r="Z127" s="179">
        <f ca="1">IF(ISNUMBER(MATCH(DATEVALUE($A127),'recurring1_based on steps'!Z$1:Z$400,0)),Z$2,)</f>
        <v>0</v>
      </c>
      <c r="AA127" s="179">
        <f ca="1">IF(ISNUMBER(MATCH(DATEVALUE($A127),'recurring1_based on steps'!AA$1:AA$400,0)),AA$2,)</f>
        <v>0</v>
      </c>
      <c r="AB127" s="179">
        <f ca="1">IF(ISNUMBER(MATCH(DATEVALUE($A127),'recurring1_based on steps'!AB$1:AB$400,0)),AB$2,)</f>
        <v>0</v>
      </c>
      <c r="AC127" s="179">
        <f ca="1">IF(ISNUMBER(MATCH(DATEVALUE($A127),'recurring1_based on steps'!AC$1:AC$400,0)),AC$2,)</f>
        <v>0</v>
      </c>
      <c r="AD127" s="179">
        <f ca="1">IF(ISNUMBER(MATCH(DATEVALUE($A127),'recurring1_based on steps'!AD$1:AD$400,0)),AD$2,)</f>
        <v>0</v>
      </c>
      <c r="AE127" s="179">
        <f ca="1">IF(ISNUMBER(MATCH(DATEVALUE($A127),'recurring1_based on steps'!AE$1:AE$400,0)),AE$2,)</f>
        <v>0</v>
      </c>
      <c r="AF127" s="179">
        <f ca="1">IF(ISNUMBER(MATCH(DATEVALUE($A127),'recurring1_based on steps'!AF$1:AF$400,0)),AF$2,)</f>
        <v>0</v>
      </c>
      <c r="AG127" s="179">
        <f ca="1">IF(ISNUMBER(MATCH(DATEVALUE($A127),'recurring1_based on steps'!AG$1:AG$400,0)),AG$2,)</f>
        <v>0</v>
      </c>
      <c r="AH127" s="179">
        <f ca="1">IF(ISNUMBER(MATCH(DATEVALUE($A127),'recurring1_based on steps'!AH$1:AH$400,0)),AH$2,)</f>
        <v>0</v>
      </c>
      <c r="AI127" s="179">
        <f ca="1">IF(ISNUMBER(MATCH(DATEVALUE($A127),'recurring1_based on steps'!AI$1:AI$400,0)),AI$2,)</f>
        <v>0</v>
      </c>
      <c r="AJ127" s="179">
        <f ca="1">IF(ISNUMBER(MATCH(DATEVALUE($A127),'recurring1_based on steps'!AJ$1:AJ$400,0)),AJ$2,)</f>
        <v>0</v>
      </c>
      <c r="AK127" s="179">
        <f ca="1">IF(ISNUMBER(MATCH(DATEVALUE($A127),'recurring1_based on steps'!AK$1:AK$400,0)),AK$2,)</f>
        <v>0</v>
      </c>
      <c r="AL127" s="179">
        <f ca="1">IF(ISNUMBER(MATCH(DATEVALUE($A127),'recurring1_based on steps'!AL$1:AL$400,0)),AL$2,)</f>
        <v>0</v>
      </c>
      <c r="AM127" s="179">
        <f ca="1">IF(ISNUMBER(MATCH(DATEVALUE($A127),'recurring1_based on steps'!AM$1:AM$400,0)),AM$2,)</f>
        <v>0</v>
      </c>
      <c r="AN127" s="179">
        <f ca="1">IF(ISNUMBER(MATCH(DATEVALUE($A127),'recurring1_based on steps'!AN$1:AN$400,0)),AN$2,)</f>
        <v>0</v>
      </c>
      <c r="AO127" s="179">
        <f ca="1">IF(ISNUMBER(MATCH(DATEVALUE($A127),'recurring1_based on steps'!AO$1:AO$400,0)),AO$2,)</f>
        <v>0</v>
      </c>
      <c r="AP127" s="179">
        <f ca="1">IF(ISNUMBER(MATCH(DATEVALUE($A127),'recurring1_based on steps'!AP$1:AP$400,0)),AP$2,)</f>
        <v>0</v>
      </c>
      <c r="AQ127" s="179">
        <f ca="1">IF(ISNUMBER(MATCH(DATEVALUE($A127),'recurring1_based on steps'!AQ$1:AQ$400,0)),AQ$2,)</f>
        <v>0</v>
      </c>
      <c r="AR127" s="179">
        <f ca="1">IF(ISNUMBER(MATCH(DATEVALUE($A127),'recurring1_based on steps'!AR$1:AR$400,0)),AR$2,)</f>
        <v>0</v>
      </c>
      <c r="AS127" s="179">
        <f ca="1">IF(ISNUMBER(MATCH(DATEVALUE($A127),'recurring1_based on steps'!AS$1:AS$400,0)),AS$2,)</f>
        <v>0</v>
      </c>
      <c r="AT127" s="179">
        <f ca="1">IF(ISNUMBER(MATCH(DATEVALUE($A127),'recurring1_based on steps'!AT$1:AT$400,0)),AT$2,)</f>
        <v>0</v>
      </c>
      <c r="AU127" s="179">
        <f ca="1">IF(ISNUMBER(MATCH(DATEVALUE($A127),'recurring1_based on steps'!AU$1:AU$400,0)),AU$2,)</f>
        <v>0</v>
      </c>
      <c r="AV127" s="179">
        <f ca="1">IF(ISNUMBER(MATCH(DATEVALUE($A127),'recurring1_based on steps'!AV$1:AV$400,0)),AV$2,)</f>
        <v>0</v>
      </c>
      <c r="AW127" s="179">
        <f ca="1">IF(ISNUMBER(MATCH(DATEVALUE($A127),'recurring1_based on steps'!AW$1:AW$400,0)),AW$2,)</f>
        <v>0</v>
      </c>
      <c r="AX127" s="179">
        <f ca="1">IF(ISNUMBER(MATCH(DATEVALUE($A127),'recurring1_based on steps'!AX$1:AX$400,0)),AX$2,)</f>
        <v>0</v>
      </c>
      <c r="AY127" s="179">
        <f ca="1">IF(ISNUMBER(MATCH(DATEVALUE($A127),'recurring1_based on steps'!AY$1:AY$400,0)),AY$2,)</f>
        <v>0</v>
      </c>
    </row>
    <row r="128" spans="1:51" x14ac:dyDescent="0.2">
      <c r="A128" s="32" t="str">
        <f t="shared" ca="1" si="1"/>
        <v>2025-08-08</v>
      </c>
      <c r="B128" s="179">
        <f ca="1">IF(ISNUMBER(MATCH(DATEVALUE($A128),'recurring1_based on steps'!B$1:B$400,0)),B$2,)</f>
        <v>0</v>
      </c>
      <c r="C128" s="179">
        <f ca="1">IF(ISNUMBER(MATCH(DATEVALUE($A128),'recurring1_based on steps'!C$1:C$400,0)),C$2,)</f>
        <v>0</v>
      </c>
      <c r="D128" s="179">
        <f ca="1">IF(ISNUMBER(MATCH(DATEVALUE($A128),'recurring1_based on steps'!D$1:D$400,0)),D$2,)</f>
        <v>0</v>
      </c>
      <c r="E128" s="179">
        <f ca="1">IF(ISNUMBER(MATCH(DATEVALUE($A128),'recurring1_based on steps'!E$1:E$400,0)),E$2,)</f>
        <v>0</v>
      </c>
      <c r="F128" s="179">
        <f ca="1">IF(ISNUMBER(MATCH(DATEVALUE($A128),'recurring1_based on steps'!F$1:F$400,0)),F$2,)</f>
        <v>0</v>
      </c>
      <c r="G128" s="179">
        <f ca="1">IF(ISNUMBER(MATCH(DATEVALUE($A128),'recurring1_based on steps'!G$1:G$400,0)),G$2,)</f>
        <v>0</v>
      </c>
      <c r="H128" s="179">
        <f ca="1">IF(ISNUMBER(MATCH(DATEVALUE($A128),'recurring1_based on steps'!H$1:H$400,0)),H$2,)</f>
        <v>0</v>
      </c>
      <c r="I128" s="179">
        <f ca="1">IF(ISNUMBER(MATCH(DATEVALUE($A128),'recurring1_based on steps'!I$1:I$400,0)),I$2,)</f>
        <v>0</v>
      </c>
      <c r="J128" s="179">
        <f ca="1">IF(ISNUMBER(MATCH(DATEVALUE($A128),'recurring1_based on steps'!J$1:J$400,0)),J$2,)</f>
        <v>0</v>
      </c>
      <c r="K128" s="179">
        <f ca="1">IF(ISNUMBER(MATCH(DATEVALUE($A128),'recurring1_based on steps'!K$1:K$400,0)),K$2,)</f>
        <v>0</v>
      </c>
      <c r="L128" s="179">
        <f ca="1">IF(ISNUMBER(MATCH(DATEVALUE($A128),'recurring1_based on steps'!L$1:L$400,0)),L$2,)</f>
        <v>0</v>
      </c>
      <c r="M128" s="179">
        <f ca="1">IF(ISNUMBER(MATCH(DATEVALUE($A128),'recurring1_based on steps'!M$1:M$400,0)),M$2,)</f>
        <v>0</v>
      </c>
      <c r="N128" s="179">
        <f ca="1">IF(ISNUMBER(MATCH(DATEVALUE($A128),'recurring1_based on steps'!N$1:N$400,0)),N$2,)</f>
        <v>0</v>
      </c>
      <c r="O128" s="179">
        <f ca="1">IF(ISNUMBER(MATCH(DATEVALUE($A128),'recurring1_based on steps'!O$1:O$400,0)),O$2,)</f>
        <v>0</v>
      </c>
      <c r="P128" s="179">
        <f ca="1">IF(ISNUMBER(MATCH(DATEVALUE($A128),'recurring1_based on steps'!P$1:P$400,0)),P$2,)</f>
        <v>0</v>
      </c>
      <c r="Q128" s="179">
        <f ca="1">IF(ISNUMBER(MATCH(DATEVALUE($A128),'recurring1_based on steps'!Q$1:Q$400,0)),Q$2,)</f>
        <v>0</v>
      </c>
      <c r="R128" s="179">
        <f ca="1">IF(ISNUMBER(MATCH(DATEVALUE($A128),'recurring1_based on steps'!R$1:R$400,0)),R$2,)</f>
        <v>0</v>
      </c>
      <c r="S128" s="179">
        <f ca="1">IF(ISNUMBER(MATCH(DATEVALUE($A128),'recurring1_based on steps'!S$1:S$400,0)),S$2,)</f>
        <v>0</v>
      </c>
      <c r="T128" s="179">
        <f ca="1">IF(ISNUMBER(MATCH(DATEVALUE($A128),'recurring1_based on steps'!T$1:T$400,0)),T$2,)</f>
        <v>0</v>
      </c>
      <c r="U128" s="179">
        <f ca="1">IF(ISNUMBER(MATCH(DATEVALUE($A128),'recurring1_based on steps'!U$1:U$400,0)),U$2,)</f>
        <v>0</v>
      </c>
      <c r="V128" s="179">
        <f ca="1">IF(ISNUMBER(MATCH(DATEVALUE($A128),'recurring1_based on steps'!V$1:V$400,0)),V$2,)</f>
        <v>0</v>
      </c>
      <c r="W128" s="179">
        <f ca="1">IF(ISNUMBER(MATCH(DATEVALUE($A128),'recurring1_based on steps'!W$1:W$400,0)),W$2,)</f>
        <v>0</v>
      </c>
      <c r="X128" s="179">
        <f ca="1">IF(ISNUMBER(MATCH(DATEVALUE($A128),'recurring1_based on steps'!X$1:X$400,0)),X$2,)</f>
        <v>0</v>
      </c>
      <c r="Y128" s="179">
        <f ca="1">IF(ISNUMBER(MATCH(DATEVALUE($A128),'recurring1_based on steps'!Y$1:Y$400,0)),Y$2,)</f>
        <v>0</v>
      </c>
      <c r="Z128" s="179">
        <f ca="1">IF(ISNUMBER(MATCH(DATEVALUE($A128),'recurring1_based on steps'!Z$1:Z$400,0)),Z$2,)</f>
        <v>0</v>
      </c>
      <c r="AA128" s="179">
        <f ca="1">IF(ISNUMBER(MATCH(DATEVALUE($A128),'recurring1_based on steps'!AA$1:AA$400,0)),AA$2,)</f>
        <v>0</v>
      </c>
      <c r="AB128" s="179">
        <f ca="1">IF(ISNUMBER(MATCH(DATEVALUE($A128),'recurring1_based on steps'!AB$1:AB$400,0)),AB$2,)</f>
        <v>0</v>
      </c>
      <c r="AC128" s="179">
        <f ca="1">IF(ISNUMBER(MATCH(DATEVALUE($A128),'recurring1_based on steps'!AC$1:AC$400,0)),AC$2,)</f>
        <v>0</v>
      </c>
      <c r="AD128" s="179">
        <f ca="1">IF(ISNUMBER(MATCH(DATEVALUE($A128),'recurring1_based on steps'!AD$1:AD$400,0)),AD$2,)</f>
        <v>0</v>
      </c>
      <c r="AE128" s="179">
        <f ca="1">IF(ISNUMBER(MATCH(DATEVALUE($A128),'recurring1_based on steps'!AE$1:AE$400,0)),AE$2,)</f>
        <v>0</v>
      </c>
      <c r="AF128" s="179">
        <f ca="1">IF(ISNUMBER(MATCH(DATEVALUE($A128),'recurring1_based on steps'!AF$1:AF$400,0)),AF$2,)</f>
        <v>0</v>
      </c>
      <c r="AG128" s="179">
        <f ca="1">IF(ISNUMBER(MATCH(DATEVALUE($A128),'recurring1_based on steps'!AG$1:AG$400,0)),AG$2,)</f>
        <v>0</v>
      </c>
      <c r="AH128" s="179">
        <f ca="1">IF(ISNUMBER(MATCH(DATEVALUE($A128),'recurring1_based on steps'!AH$1:AH$400,0)),AH$2,)</f>
        <v>0</v>
      </c>
      <c r="AI128" s="179">
        <f ca="1">IF(ISNUMBER(MATCH(DATEVALUE($A128),'recurring1_based on steps'!AI$1:AI$400,0)),AI$2,)</f>
        <v>0</v>
      </c>
      <c r="AJ128" s="179">
        <f ca="1">IF(ISNUMBER(MATCH(DATEVALUE($A128),'recurring1_based on steps'!AJ$1:AJ$400,0)),AJ$2,)</f>
        <v>0</v>
      </c>
      <c r="AK128" s="179">
        <f ca="1">IF(ISNUMBER(MATCH(DATEVALUE($A128),'recurring1_based on steps'!AK$1:AK$400,0)),AK$2,)</f>
        <v>0</v>
      </c>
      <c r="AL128" s="179">
        <f ca="1">IF(ISNUMBER(MATCH(DATEVALUE($A128),'recurring1_based on steps'!AL$1:AL$400,0)),AL$2,)</f>
        <v>0</v>
      </c>
      <c r="AM128" s="179">
        <f ca="1">IF(ISNUMBER(MATCH(DATEVALUE($A128),'recurring1_based on steps'!AM$1:AM$400,0)),AM$2,)</f>
        <v>0</v>
      </c>
      <c r="AN128" s="179">
        <f ca="1">IF(ISNUMBER(MATCH(DATEVALUE($A128),'recurring1_based on steps'!AN$1:AN$400,0)),AN$2,)</f>
        <v>0</v>
      </c>
      <c r="AO128" s="179">
        <f ca="1">IF(ISNUMBER(MATCH(DATEVALUE($A128),'recurring1_based on steps'!AO$1:AO$400,0)),AO$2,)</f>
        <v>0</v>
      </c>
      <c r="AP128" s="179">
        <f ca="1">IF(ISNUMBER(MATCH(DATEVALUE($A128),'recurring1_based on steps'!AP$1:AP$400,0)),AP$2,)</f>
        <v>0</v>
      </c>
      <c r="AQ128" s="179">
        <f ca="1">IF(ISNUMBER(MATCH(DATEVALUE($A128),'recurring1_based on steps'!AQ$1:AQ$400,0)),AQ$2,)</f>
        <v>0</v>
      </c>
      <c r="AR128" s="179">
        <f ca="1">IF(ISNUMBER(MATCH(DATEVALUE($A128),'recurring1_based on steps'!AR$1:AR$400,0)),AR$2,)</f>
        <v>0</v>
      </c>
      <c r="AS128" s="179">
        <f ca="1">IF(ISNUMBER(MATCH(DATEVALUE($A128),'recurring1_based on steps'!AS$1:AS$400,0)),AS$2,)</f>
        <v>0</v>
      </c>
      <c r="AT128" s="179">
        <f ca="1">IF(ISNUMBER(MATCH(DATEVALUE($A128),'recurring1_based on steps'!AT$1:AT$400,0)),AT$2,)</f>
        <v>0</v>
      </c>
      <c r="AU128" s="179">
        <f ca="1">IF(ISNUMBER(MATCH(DATEVALUE($A128),'recurring1_based on steps'!AU$1:AU$400,0)),AU$2,)</f>
        <v>0</v>
      </c>
      <c r="AV128" s="179">
        <f ca="1">IF(ISNUMBER(MATCH(DATEVALUE($A128),'recurring1_based on steps'!AV$1:AV$400,0)),AV$2,)</f>
        <v>0</v>
      </c>
      <c r="AW128" s="179">
        <f ca="1">IF(ISNUMBER(MATCH(DATEVALUE($A128),'recurring1_based on steps'!AW$1:AW$400,0)),AW$2,)</f>
        <v>0</v>
      </c>
      <c r="AX128" s="179">
        <f ca="1">IF(ISNUMBER(MATCH(DATEVALUE($A128),'recurring1_based on steps'!AX$1:AX$400,0)),AX$2,)</f>
        <v>0</v>
      </c>
      <c r="AY128" s="179">
        <f ca="1">IF(ISNUMBER(MATCH(DATEVALUE($A128),'recurring1_based on steps'!AY$1:AY$400,0)),AY$2,)</f>
        <v>0</v>
      </c>
    </row>
    <row r="129" spans="1:51" x14ac:dyDescent="0.2">
      <c r="A129" s="32" t="str">
        <f t="shared" ca="1" si="1"/>
        <v>2025-08-09</v>
      </c>
      <c r="B129" s="179">
        <f ca="1">IF(ISNUMBER(MATCH(DATEVALUE($A129),'recurring1_based on steps'!B$1:B$400,0)),B$2,)</f>
        <v>0</v>
      </c>
      <c r="C129" s="179">
        <f ca="1">IF(ISNUMBER(MATCH(DATEVALUE($A129),'recurring1_based on steps'!C$1:C$400,0)),C$2,)</f>
        <v>0</v>
      </c>
      <c r="D129" s="179">
        <f ca="1">IF(ISNUMBER(MATCH(DATEVALUE($A129),'recurring1_based on steps'!D$1:D$400,0)),D$2,)</f>
        <v>0</v>
      </c>
      <c r="E129" s="179">
        <f ca="1">IF(ISNUMBER(MATCH(DATEVALUE($A129),'recurring1_based on steps'!E$1:E$400,0)),E$2,)</f>
        <v>0</v>
      </c>
      <c r="F129" s="179">
        <f ca="1">IF(ISNUMBER(MATCH(DATEVALUE($A129),'recurring1_based on steps'!F$1:F$400,0)),F$2,)</f>
        <v>0</v>
      </c>
      <c r="G129" s="179">
        <f ca="1">IF(ISNUMBER(MATCH(DATEVALUE($A129),'recurring1_based on steps'!G$1:G$400,0)),G$2,)</f>
        <v>0</v>
      </c>
      <c r="H129" s="179">
        <f ca="1">IF(ISNUMBER(MATCH(DATEVALUE($A129),'recurring1_based on steps'!H$1:H$400,0)),H$2,)</f>
        <v>0</v>
      </c>
      <c r="I129" s="179">
        <f ca="1">IF(ISNUMBER(MATCH(DATEVALUE($A129),'recurring1_based on steps'!I$1:I$400,0)),I$2,)</f>
        <v>0</v>
      </c>
      <c r="J129" s="179">
        <f ca="1">IF(ISNUMBER(MATCH(DATEVALUE($A129),'recurring1_based on steps'!J$1:J$400,0)),J$2,)</f>
        <v>0</v>
      </c>
      <c r="K129" s="179">
        <f ca="1">IF(ISNUMBER(MATCH(DATEVALUE($A129),'recurring1_based on steps'!K$1:K$400,0)),K$2,)</f>
        <v>0</v>
      </c>
      <c r="L129" s="179">
        <f ca="1">IF(ISNUMBER(MATCH(DATEVALUE($A129),'recurring1_based on steps'!L$1:L$400,0)),L$2,)</f>
        <v>0</v>
      </c>
      <c r="M129" s="179">
        <f ca="1">IF(ISNUMBER(MATCH(DATEVALUE($A129),'recurring1_based on steps'!M$1:M$400,0)),M$2,)</f>
        <v>0</v>
      </c>
      <c r="N129" s="179">
        <f ca="1">IF(ISNUMBER(MATCH(DATEVALUE($A129),'recurring1_based on steps'!N$1:N$400,0)),N$2,)</f>
        <v>0</v>
      </c>
      <c r="O129" s="179">
        <f ca="1">IF(ISNUMBER(MATCH(DATEVALUE($A129),'recurring1_based on steps'!O$1:O$400,0)),O$2,)</f>
        <v>0</v>
      </c>
      <c r="P129" s="179">
        <f ca="1">IF(ISNUMBER(MATCH(DATEVALUE($A129),'recurring1_based on steps'!P$1:P$400,0)),P$2,)</f>
        <v>0</v>
      </c>
      <c r="Q129" s="179">
        <f ca="1">IF(ISNUMBER(MATCH(DATEVALUE($A129),'recurring1_based on steps'!Q$1:Q$400,0)),Q$2,)</f>
        <v>0</v>
      </c>
      <c r="R129" s="179">
        <f ca="1">IF(ISNUMBER(MATCH(DATEVALUE($A129),'recurring1_based on steps'!R$1:R$400,0)),R$2,)</f>
        <v>0</v>
      </c>
      <c r="S129" s="179">
        <f ca="1">IF(ISNUMBER(MATCH(DATEVALUE($A129),'recurring1_based on steps'!S$1:S$400,0)),S$2,)</f>
        <v>0</v>
      </c>
      <c r="T129" s="179">
        <f ca="1">IF(ISNUMBER(MATCH(DATEVALUE($A129),'recurring1_based on steps'!T$1:T$400,0)),T$2,)</f>
        <v>0</v>
      </c>
      <c r="U129" s="179">
        <f ca="1">IF(ISNUMBER(MATCH(DATEVALUE($A129),'recurring1_based on steps'!U$1:U$400,0)),U$2,)</f>
        <v>0</v>
      </c>
      <c r="V129" s="179">
        <f ca="1">IF(ISNUMBER(MATCH(DATEVALUE($A129),'recurring1_based on steps'!V$1:V$400,0)),V$2,)</f>
        <v>0</v>
      </c>
      <c r="W129" s="179">
        <f ca="1">IF(ISNUMBER(MATCH(DATEVALUE($A129),'recurring1_based on steps'!W$1:W$400,0)),W$2,)</f>
        <v>0</v>
      </c>
      <c r="X129" s="179">
        <f ca="1">IF(ISNUMBER(MATCH(DATEVALUE($A129),'recurring1_based on steps'!X$1:X$400,0)),X$2,)</f>
        <v>0</v>
      </c>
      <c r="Y129" s="179">
        <f ca="1">IF(ISNUMBER(MATCH(DATEVALUE($A129),'recurring1_based on steps'!Y$1:Y$400,0)),Y$2,)</f>
        <v>0</v>
      </c>
      <c r="Z129" s="179">
        <f ca="1">IF(ISNUMBER(MATCH(DATEVALUE($A129),'recurring1_based on steps'!Z$1:Z$400,0)),Z$2,)</f>
        <v>0</v>
      </c>
      <c r="AA129" s="179">
        <f ca="1">IF(ISNUMBER(MATCH(DATEVALUE($A129),'recurring1_based on steps'!AA$1:AA$400,0)),AA$2,)</f>
        <v>0</v>
      </c>
      <c r="AB129" s="179">
        <f ca="1">IF(ISNUMBER(MATCH(DATEVALUE($A129),'recurring1_based on steps'!AB$1:AB$400,0)),AB$2,)</f>
        <v>0</v>
      </c>
      <c r="AC129" s="179">
        <f ca="1">IF(ISNUMBER(MATCH(DATEVALUE($A129),'recurring1_based on steps'!AC$1:AC$400,0)),AC$2,)</f>
        <v>0</v>
      </c>
      <c r="AD129" s="179">
        <f ca="1">IF(ISNUMBER(MATCH(DATEVALUE($A129),'recurring1_based on steps'!AD$1:AD$400,0)),AD$2,)</f>
        <v>0</v>
      </c>
      <c r="AE129" s="179">
        <f ca="1">IF(ISNUMBER(MATCH(DATEVALUE($A129),'recurring1_based on steps'!AE$1:AE$400,0)),AE$2,)</f>
        <v>0</v>
      </c>
      <c r="AF129" s="179">
        <f ca="1">IF(ISNUMBER(MATCH(DATEVALUE($A129),'recurring1_based on steps'!AF$1:AF$400,0)),AF$2,)</f>
        <v>0</v>
      </c>
      <c r="AG129" s="179">
        <f ca="1">IF(ISNUMBER(MATCH(DATEVALUE($A129),'recurring1_based on steps'!AG$1:AG$400,0)),AG$2,)</f>
        <v>0</v>
      </c>
      <c r="AH129" s="179">
        <f ca="1">IF(ISNUMBER(MATCH(DATEVALUE($A129),'recurring1_based on steps'!AH$1:AH$400,0)),AH$2,)</f>
        <v>0</v>
      </c>
      <c r="AI129" s="179">
        <f ca="1">IF(ISNUMBER(MATCH(DATEVALUE($A129),'recurring1_based on steps'!AI$1:AI$400,0)),AI$2,)</f>
        <v>0</v>
      </c>
      <c r="AJ129" s="179">
        <f ca="1">IF(ISNUMBER(MATCH(DATEVALUE($A129),'recurring1_based on steps'!AJ$1:AJ$400,0)),AJ$2,)</f>
        <v>0</v>
      </c>
      <c r="AK129" s="179">
        <f ca="1">IF(ISNUMBER(MATCH(DATEVALUE($A129),'recurring1_based on steps'!AK$1:AK$400,0)),AK$2,)</f>
        <v>0</v>
      </c>
      <c r="AL129" s="179">
        <f ca="1">IF(ISNUMBER(MATCH(DATEVALUE($A129),'recurring1_based on steps'!AL$1:AL$400,0)),AL$2,)</f>
        <v>0</v>
      </c>
      <c r="AM129" s="179">
        <f ca="1">IF(ISNUMBER(MATCH(DATEVALUE($A129),'recurring1_based on steps'!AM$1:AM$400,0)),AM$2,)</f>
        <v>0</v>
      </c>
      <c r="AN129" s="179">
        <f ca="1">IF(ISNUMBER(MATCH(DATEVALUE($A129),'recurring1_based on steps'!AN$1:AN$400,0)),AN$2,)</f>
        <v>0</v>
      </c>
      <c r="AO129" s="179">
        <f ca="1">IF(ISNUMBER(MATCH(DATEVALUE($A129),'recurring1_based on steps'!AO$1:AO$400,0)),AO$2,)</f>
        <v>0</v>
      </c>
      <c r="AP129" s="179">
        <f ca="1">IF(ISNUMBER(MATCH(DATEVALUE($A129),'recurring1_based on steps'!AP$1:AP$400,0)),AP$2,)</f>
        <v>0</v>
      </c>
      <c r="AQ129" s="179">
        <f ca="1">IF(ISNUMBER(MATCH(DATEVALUE($A129),'recurring1_based on steps'!AQ$1:AQ$400,0)),AQ$2,)</f>
        <v>0</v>
      </c>
      <c r="AR129" s="179">
        <f ca="1">IF(ISNUMBER(MATCH(DATEVALUE($A129),'recurring1_based on steps'!AR$1:AR$400,0)),AR$2,)</f>
        <v>0</v>
      </c>
      <c r="AS129" s="179">
        <f ca="1">IF(ISNUMBER(MATCH(DATEVALUE($A129),'recurring1_based on steps'!AS$1:AS$400,0)),AS$2,)</f>
        <v>0</v>
      </c>
      <c r="AT129" s="179">
        <f ca="1">IF(ISNUMBER(MATCH(DATEVALUE($A129),'recurring1_based on steps'!AT$1:AT$400,0)),AT$2,)</f>
        <v>0</v>
      </c>
      <c r="AU129" s="179">
        <f ca="1">IF(ISNUMBER(MATCH(DATEVALUE($A129),'recurring1_based on steps'!AU$1:AU$400,0)),AU$2,)</f>
        <v>0</v>
      </c>
      <c r="AV129" s="179">
        <f ca="1">IF(ISNUMBER(MATCH(DATEVALUE($A129),'recurring1_based on steps'!AV$1:AV$400,0)),AV$2,)</f>
        <v>0</v>
      </c>
      <c r="AW129" s="179">
        <f ca="1">IF(ISNUMBER(MATCH(DATEVALUE($A129),'recurring1_based on steps'!AW$1:AW$400,0)),AW$2,)</f>
        <v>0</v>
      </c>
      <c r="AX129" s="179">
        <f ca="1">IF(ISNUMBER(MATCH(DATEVALUE($A129),'recurring1_based on steps'!AX$1:AX$400,0)),AX$2,)</f>
        <v>0</v>
      </c>
      <c r="AY129" s="179">
        <f ca="1">IF(ISNUMBER(MATCH(DATEVALUE($A129),'recurring1_based on steps'!AY$1:AY$400,0)),AY$2,)</f>
        <v>0</v>
      </c>
    </row>
    <row r="130" spans="1:51" x14ac:dyDescent="0.2">
      <c r="A130" s="32" t="str">
        <f t="shared" ca="1" si="1"/>
        <v>2025-08-10</v>
      </c>
      <c r="B130" s="179">
        <f ca="1">IF(ISNUMBER(MATCH(DATEVALUE($A130),'recurring1_based on steps'!B$1:B$400,0)),B$2,)</f>
        <v>0</v>
      </c>
      <c r="C130" s="179">
        <f ca="1">IF(ISNUMBER(MATCH(DATEVALUE($A130),'recurring1_based on steps'!C$1:C$400,0)),C$2,)</f>
        <v>0</v>
      </c>
      <c r="D130" s="179">
        <f ca="1">IF(ISNUMBER(MATCH(DATEVALUE($A130),'recurring1_based on steps'!D$1:D$400,0)),D$2,)</f>
        <v>0</v>
      </c>
      <c r="E130" s="179">
        <f ca="1">IF(ISNUMBER(MATCH(DATEVALUE($A130),'recurring1_based on steps'!E$1:E$400,0)),E$2,)</f>
        <v>0</v>
      </c>
      <c r="F130" s="179">
        <f ca="1">IF(ISNUMBER(MATCH(DATEVALUE($A130),'recurring1_based on steps'!F$1:F$400,0)),F$2,)</f>
        <v>0</v>
      </c>
      <c r="G130" s="179">
        <f ca="1">IF(ISNUMBER(MATCH(DATEVALUE($A130),'recurring1_based on steps'!G$1:G$400,0)),G$2,)</f>
        <v>0</v>
      </c>
      <c r="H130" s="179">
        <f ca="1">IF(ISNUMBER(MATCH(DATEVALUE($A130),'recurring1_based on steps'!H$1:H$400,0)),H$2,)</f>
        <v>0</v>
      </c>
      <c r="I130" s="179">
        <f ca="1">IF(ISNUMBER(MATCH(DATEVALUE($A130),'recurring1_based on steps'!I$1:I$400,0)),I$2,)</f>
        <v>0</v>
      </c>
      <c r="J130" s="179">
        <f ca="1">IF(ISNUMBER(MATCH(DATEVALUE($A130),'recurring1_based on steps'!J$1:J$400,0)),J$2,)</f>
        <v>0</v>
      </c>
      <c r="K130" s="179">
        <f ca="1">IF(ISNUMBER(MATCH(DATEVALUE($A130),'recurring1_based on steps'!K$1:K$400,0)),K$2,)</f>
        <v>0</v>
      </c>
      <c r="L130" s="179">
        <f ca="1">IF(ISNUMBER(MATCH(DATEVALUE($A130),'recurring1_based on steps'!L$1:L$400,0)),L$2,)</f>
        <v>0</v>
      </c>
      <c r="M130" s="179">
        <f ca="1">IF(ISNUMBER(MATCH(DATEVALUE($A130),'recurring1_based on steps'!M$1:M$400,0)),M$2,)</f>
        <v>0</v>
      </c>
      <c r="N130" s="179">
        <f ca="1">IF(ISNUMBER(MATCH(DATEVALUE($A130),'recurring1_based on steps'!N$1:N$400,0)),N$2,)</f>
        <v>0</v>
      </c>
      <c r="O130" s="179">
        <f ca="1">IF(ISNUMBER(MATCH(DATEVALUE($A130),'recurring1_based on steps'!O$1:O$400,0)),O$2,)</f>
        <v>0</v>
      </c>
      <c r="P130" s="179">
        <f ca="1">IF(ISNUMBER(MATCH(DATEVALUE($A130),'recurring1_based on steps'!P$1:P$400,0)),P$2,)</f>
        <v>0</v>
      </c>
      <c r="Q130" s="179">
        <f ca="1">IF(ISNUMBER(MATCH(DATEVALUE($A130),'recurring1_based on steps'!Q$1:Q$400,0)),Q$2,)</f>
        <v>0</v>
      </c>
      <c r="R130" s="179">
        <f ca="1">IF(ISNUMBER(MATCH(DATEVALUE($A130),'recurring1_based on steps'!R$1:R$400,0)),R$2,)</f>
        <v>0</v>
      </c>
      <c r="S130" s="179">
        <f ca="1">IF(ISNUMBER(MATCH(DATEVALUE($A130),'recurring1_based on steps'!S$1:S$400,0)),S$2,)</f>
        <v>0</v>
      </c>
      <c r="T130" s="179">
        <f ca="1">IF(ISNUMBER(MATCH(DATEVALUE($A130),'recurring1_based on steps'!T$1:T$400,0)),T$2,)</f>
        <v>0</v>
      </c>
      <c r="U130" s="179">
        <f ca="1">IF(ISNUMBER(MATCH(DATEVALUE($A130),'recurring1_based on steps'!U$1:U$400,0)),U$2,)</f>
        <v>0</v>
      </c>
      <c r="V130" s="179">
        <f ca="1">IF(ISNUMBER(MATCH(DATEVALUE($A130),'recurring1_based on steps'!V$1:V$400,0)),V$2,)</f>
        <v>0</v>
      </c>
      <c r="W130" s="179">
        <f ca="1">IF(ISNUMBER(MATCH(DATEVALUE($A130),'recurring1_based on steps'!W$1:W$400,0)),W$2,)</f>
        <v>0</v>
      </c>
      <c r="X130" s="179">
        <f ca="1">IF(ISNUMBER(MATCH(DATEVALUE($A130),'recurring1_based on steps'!X$1:X$400,0)),X$2,)</f>
        <v>0</v>
      </c>
      <c r="Y130" s="179">
        <f ca="1">IF(ISNUMBER(MATCH(DATEVALUE($A130),'recurring1_based on steps'!Y$1:Y$400,0)),Y$2,)</f>
        <v>0</v>
      </c>
      <c r="Z130" s="179">
        <f ca="1">IF(ISNUMBER(MATCH(DATEVALUE($A130),'recurring1_based on steps'!Z$1:Z$400,0)),Z$2,)</f>
        <v>0</v>
      </c>
      <c r="AA130" s="179">
        <f ca="1">IF(ISNUMBER(MATCH(DATEVALUE($A130),'recurring1_based on steps'!AA$1:AA$400,0)),AA$2,)</f>
        <v>0</v>
      </c>
      <c r="AB130" s="179">
        <f ca="1">IF(ISNUMBER(MATCH(DATEVALUE($A130),'recurring1_based on steps'!AB$1:AB$400,0)),AB$2,)</f>
        <v>0</v>
      </c>
      <c r="AC130" s="179">
        <f ca="1">IF(ISNUMBER(MATCH(DATEVALUE($A130),'recurring1_based on steps'!AC$1:AC$400,0)),AC$2,)</f>
        <v>0</v>
      </c>
      <c r="AD130" s="179">
        <f ca="1">IF(ISNUMBER(MATCH(DATEVALUE($A130),'recurring1_based on steps'!AD$1:AD$400,0)),AD$2,)</f>
        <v>0</v>
      </c>
      <c r="AE130" s="179">
        <f ca="1">IF(ISNUMBER(MATCH(DATEVALUE($A130),'recurring1_based on steps'!AE$1:AE$400,0)),AE$2,)</f>
        <v>0</v>
      </c>
      <c r="AF130" s="179">
        <f ca="1">IF(ISNUMBER(MATCH(DATEVALUE($A130),'recurring1_based on steps'!AF$1:AF$400,0)),AF$2,)</f>
        <v>0</v>
      </c>
      <c r="AG130" s="179">
        <f ca="1">IF(ISNUMBER(MATCH(DATEVALUE($A130),'recurring1_based on steps'!AG$1:AG$400,0)),AG$2,)</f>
        <v>0</v>
      </c>
      <c r="AH130" s="179">
        <f ca="1">IF(ISNUMBER(MATCH(DATEVALUE($A130),'recurring1_based on steps'!AH$1:AH$400,0)),AH$2,)</f>
        <v>0</v>
      </c>
      <c r="AI130" s="179">
        <f ca="1">IF(ISNUMBER(MATCH(DATEVALUE($A130),'recurring1_based on steps'!AI$1:AI$400,0)),AI$2,)</f>
        <v>0</v>
      </c>
      <c r="AJ130" s="179">
        <f ca="1">IF(ISNUMBER(MATCH(DATEVALUE($A130),'recurring1_based on steps'!AJ$1:AJ$400,0)),AJ$2,)</f>
        <v>0</v>
      </c>
      <c r="AK130" s="179">
        <f ca="1">IF(ISNUMBER(MATCH(DATEVALUE($A130),'recurring1_based on steps'!AK$1:AK$400,0)),AK$2,)</f>
        <v>0</v>
      </c>
      <c r="AL130" s="179">
        <f ca="1">IF(ISNUMBER(MATCH(DATEVALUE($A130),'recurring1_based on steps'!AL$1:AL$400,0)),AL$2,)</f>
        <v>0</v>
      </c>
      <c r="AM130" s="179">
        <f ca="1">IF(ISNUMBER(MATCH(DATEVALUE($A130),'recurring1_based on steps'!AM$1:AM$400,0)),AM$2,)</f>
        <v>0</v>
      </c>
      <c r="AN130" s="179">
        <f ca="1">IF(ISNUMBER(MATCH(DATEVALUE($A130),'recurring1_based on steps'!AN$1:AN$400,0)),AN$2,)</f>
        <v>0</v>
      </c>
      <c r="AO130" s="179">
        <f ca="1">IF(ISNUMBER(MATCH(DATEVALUE($A130),'recurring1_based on steps'!AO$1:AO$400,0)),AO$2,)</f>
        <v>0</v>
      </c>
      <c r="AP130" s="179">
        <f ca="1">IF(ISNUMBER(MATCH(DATEVALUE($A130),'recurring1_based on steps'!AP$1:AP$400,0)),AP$2,)</f>
        <v>0</v>
      </c>
      <c r="AQ130" s="179">
        <f ca="1">IF(ISNUMBER(MATCH(DATEVALUE($A130),'recurring1_based on steps'!AQ$1:AQ$400,0)),AQ$2,)</f>
        <v>0</v>
      </c>
      <c r="AR130" s="179">
        <f ca="1">IF(ISNUMBER(MATCH(DATEVALUE($A130),'recurring1_based on steps'!AR$1:AR$400,0)),AR$2,)</f>
        <v>0</v>
      </c>
      <c r="AS130" s="179">
        <f ca="1">IF(ISNUMBER(MATCH(DATEVALUE($A130),'recurring1_based on steps'!AS$1:AS$400,0)),AS$2,)</f>
        <v>0</v>
      </c>
      <c r="AT130" s="179">
        <f ca="1">IF(ISNUMBER(MATCH(DATEVALUE($A130),'recurring1_based on steps'!AT$1:AT$400,0)),AT$2,)</f>
        <v>0</v>
      </c>
      <c r="AU130" s="179">
        <f ca="1">IF(ISNUMBER(MATCH(DATEVALUE($A130),'recurring1_based on steps'!AU$1:AU$400,0)),AU$2,)</f>
        <v>0</v>
      </c>
      <c r="AV130" s="179">
        <f ca="1">IF(ISNUMBER(MATCH(DATEVALUE($A130),'recurring1_based on steps'!AV$1:AV$400,0)),AV$2,)</f>
        <v>0</v>
      </c>
      <c r="AW130" s="179">
        <f ca="1">IF(ISNUMBER(MATCH(DATEVALUE($A130),'recurring1_based on steps'!AW$1:AW$400,0)),AW$2,)</f>
        <v>0</v>
      </c>
      <c r="AX130" s="179">
        <f ca="1">IF(ISNUMBER(MATCH(DATEVALUE($A130),'recurring1_based on steps'!AX$1:AX$400,0)),AX$2,)</f>
        <v>0</v>
      </c>
      <c r="AY130" s="179">
        <f ca="1">IF(ISNUMBER(MATCH(DATEVALUE($A130),'recurring1_based on steps'!AY$1:AY$400,0)),AY$2,)</f>
        <v>0</v>
      </c>
    </row>
    <row r="131" spans="1:51" x14ac:dyDescent="0.2">
      <c r="A131" s="32" t="str">
        <f t="shared" ca="1" si="1"/>
        <v>2025-08-11</v>
      </c>
      <c r="B131" s="179">
        <f ca="1">IF(ISNUMBER(MATCH(DATEVALUE($A131),'recurring1_based on steps'!B$1:B$400,0)),B$2,)</f>
        <v>0</v>
      </c>
      <c r="C131" s="179">
        <f ca="1">IF(ISNUMBER(MATCH(DATEVALUE($A131),'recurring1_based on steps'!C$1:C$400,0)),C$2,)</f>
        <v>0</v>
      </c>
      <c r="D131" s="179">
        <f ca="1">IF(ISNUMBER(MATCH(DATEVALUE($A131),'recurring1_based on steps'!D$1:D$400,0)),D$2,)</f>
        <v>0</v>
      </c>
      <c r="E131" s="179">
        <f ca="1">IF(ISNUMBER(MATCH(DATEVALUE($A131),'recurring1_based on steps'!E$1:E$400,0)),E$2,)</f>
        <v>0</v>
      </c>
      <c r="F131" s="179">
        <f ca="1">IF(ISNUMBER(MATCH(DATEVALUE($A131),'recurring1_based on steps'!F$1:F$400,0)),F$2,)</f>
        <v>0</v>
      </c>
      <c r="G131" s="179">
        <f ca="1">IF(ISNUMBER(MATCH(DATEVALUE($A131),'recurring1_based on steps'!G$1:G$400,0)),G$2,)</f>
        <v>0</v>
      </c>
      <c r="H131" s="179">
        <f ca="1">IF(ISNUMBER(MATCH(DATEVALUE($A131),'recurring1_based on steps'!H$1:H$400,0)),H$2,)</f>
        <v>0</v>
      </c>
      <c r="I131" s="179">
        <f ca="1">IF(ISNUMBER(MATCH(DATEVALUE($A131),'recurring1_based on steps'!I$1:I$400,0)),I$2,)</f>
        <v>0</v>
      </c>
      <c r="J131" s="179">
        <f ca="1">IF(ISNUMBER(MATCH(DATEVALUE($A131),'recurring1_based on steps'!J$1:J$400,0)),J$2,)</f>
        <v>0</v>
      </c>
      <c r="K131" s="179">
        <f ca="1">IF(ISNUMBER(MATCH(DATEVALUE($A131),'recurring1_based on steps'!K$1:K$400,0)),K$2,)</f>
        <v>0</v>
      </c>
      <c r="L131" s="179">
        <f ca="1">IF(ISNUMBER(MATCH(DATEVALUE($A131),'recurring1_based on steps'!L$1:L$400,0)),L$2,)</f>
        <v>0</v>
      </c>
      <c r="M131" s="179">
        <f ca="1">IF(ISNUMBER(MATCH(DATEVALUE($A131),'recurring1_based on steps'!M$1:M$400,0)),M$2,)</f>
        <v>0</v>
      </c>
      <c r="N131" s="179">
        <f ca="1">IF(ISNUMBER(MATCH(DATEVALUE($A131),'recurring1_based on steps'!N$1:N$400,0)),N$2,)</f>
        <v>0</v>
      </c>
      <c r="O131" s="179">
        <f ca="1">IF(ISNUMBER(MATCH(DATEVALUE($A131),'recurring1_based on steps'!O$1:O$400,0)),O$2,)</f>
        <v>0</v>
      </c>
      <c r="P131" s="179">
        <f ca="1">IF(ISNUMBER(MATCH(DATEVALUE($A131),'recurring1_based on steps'!P$1:P$400,0)),P$2,)</f>
        <v>0</v>
      </c>
      <c r="Q131" s="179">
        <f ca="1">IF(ISNUMBER(MATCH(DATEVALUE($A131),'recurring1_based on steps'!Q$1:Q$400,0)),Q$2,)</f>
        <v>0</v>
      </c>
      <c r="R131" s="179">
        <f ca="1">IF(ISNUMBER(MATCH(DATEVALUE($A131),'recurring1_based on steps'!R$1:R$400,0)),R$2,)</f>
        <v>0</v>
      </c>
      <c r="S131" s="179">
        <f ca="1">IF(ISNUMBER(MATCH(DATEVALUE($A131),'recurring1_based on steps'!S$1:S$400,0)),S$2,)</f>
        <v>0</v>
      </c>
      <c r="T131" s="179">
        <f ca="1">IF(ISNUMBER(MATCH(DATEVALUE($A131),'recurring1_based on steps'!T$1:T$400,0)),T$2,)</f>
        <v>0</v>
      </c>
      <c r="U131" s="179">
        <f ca="1">IF(ISNUMBER(MATCH(DATEVALUE($A131),'recurring1_based on steps'!U$1:U$400,0)),U$2,)</f>
        <v>0</v>
      </c>
      <c r="V131" s="179">
        <f ca="1">IF(ISNUMBER(MATCH(DATEVALUE($A131),'recurring1_based on steps'!V$1:V$400,0)),V$2,)</f>
        <v>0</v>
      </c>
      <c r="W131" s="179">
        <f ca="1">IF(ISNUMBER(MATCH(DATEVALUE($A131),'recurring1_based on steps'!W$1:W$400,0)),W$2,)</f>
        <v>0</v>
      </c>
      <c r="X131" s="179">
        <f ca="1">IF(ISNUMBER(MATCH(DATEVALUE($A131),'recurring1_based on steps'!X$1:X$400,0)),X$2,)</f>
        <v>0</v>
      </c>
      <c r="Y131" s="179">
        <f ca="1">IF(ISNUMBER(MATCH(DATEVALUE($A131),'recurring1_based on steps'!Y$1:Y$400,0)),Y$2,)</f>
        <v>0</v>
      </c>
      <c r="Z131" s="179">
        <f ca="1">IF(ISNUMBER(MATCH(DATEVALUE($A131),'recurring1_based on steps'!Z$1:Z$400,0)),Z$2,)</f>
        <v>0</v>
      </c>
      <c r="AA131" s="179">
        <f ca="1">IF(ISNUMBER(MATCH(DATEVALUE($A131),'recurring1_based on steps'!AA$1:AA$400,0)),AA$2,)</f>
        <v>0</v>
      </c>
      <c r="AB131" s="179">
        <f ca="1">IF(ISNUMBER(MATCH(DATEVALUE($A131),'recurring1_based on steps'!AB$1:AB$400,0)),AB$2,)</f>
        <v>0</v>
      </c>
      <c r="AC131" s="179">
        <f ca="1">IF(ISNUMBER(MATCH(DATEVALUE($A131),'recurring1_based on steps'!AC$1:AC$400,0)),AC$2,)</f>
        <v>0</v>
      </c>
      <c r="AD131" s="179">
        <f ca="1">IF(ISNUMBER(MATCH(DATEVALUE($A131),'recurring1_based on steps'!AD$1:AD$400,0)),AD$2,)</f>
        <v>0</v>
      </c>
      <c r="AE131" s="179">
        <f ca="1">IF(ISNUMBER(MATCH(DATEVALUE($A131),'recurring1_based on steps'!AE$1:AE$400,0)),AE$2,)</f>
        <v>0</v>
      </c>
      <c r="AF131" s="179">
        <f ca="1">IF(ISNUMBER(MATCH(DATEVALUE($A131),'recurring1_based on steps'!AF$1:AF$400,0)),AF$2,)</f>
        <v>0</v>
      </c>
      <c r="AG131" s="179">
        <f ca="1">IF(ISNUMBER(MATCH(DATEVALUE($A131),'recurring1_based on steps'!AG$1:AG$400,0)),AG$2,)</f>
        <v>0</v>
      </c>
      <c r="AH131" s="179">
        <f ca="1">IF(ISNUMBER(MATCH(DATEVALUE($A131),'recurring1_based on steps'!AH$1:AH$400,0)),AH$2,)</f>
        <v>0</v>
      </c>
      <c r="AI131" s="179">
        <f ca="1">IF(ISNUMBER(MATCH(DATEVALUE($A131),'recurring1_based on steps'!AI$1:AI$400,0)),AI$2,)</f>
        <v>0</v>
      </c>
      <c r="AJ131" s="179">
        <f ca="1">IF(ISNUMBER(MATCH(DATEVALUE($A131),'recurring1_based on steps'!AJ$1:AJ$400,0)),AJ$2,)</f>
        <v>0</v>
      </c>
      <c r="AK131" s="179">
        <f ca="1">IF(ISNUMBER(MATCH(DATEVALUE($A131),'recurring1_based on steps'!AK$1:AK$400,0)),AK$2,)</f>
        <v>0</v>
      </c>
      <c r="AL131" s="179">
        <f ca="1">IF(ISNUMBER(MATCH(DATEVALUE($A131),'recurring1_based on steps'!AL$1:AL$400,0)),AL$2,)</f>
        <v>0</v>
      </c>
      <c r="AM131" s="179">
        <f ca="1">IF(ISNUMBER(MATCH(DATEVALUE($A131),'recurring1_based on steps'!AM$1:AM$400,0)),AM$2,)</f>
        <v>0</v>
      </c>
      <c r="AN131" s="179">
        <f ca="1">IF(ISNUMBER(MATCH(DATEVALUE($A131),'recurring1_based on steps'!AN$1:AN$400,0)),AN$2,)</f>
        <v>0</v>
      </c>
      <c r="AO131" s="179">
        <f ca="1">IF(ISNUMBER(MATCH(DATEVALUE($A131),'recurring1_based on steps'!AO$1:AO$400,0)),AO$2,)</f>
        <v>0</v>
      </c>
      <c r="AP131" s="179">
        <f ca="1">IF(ISNUMBER(MATCH(DATEVALUE($A131),'recurring1_based on steps'!AP$1:AP$400,0)),AP$2,)</f>
        <v>0</v>
      </c>
      <c r="AQ131" s="179">
        <f ca="1">IF(ISNUMBER(MATCH(DATEVALUE($A131),'recurring1_based on steps'!AQ$1:AQ$400,0)),AQ$2,)</f>
        <v>0</v>
      </c>
      <c r="AR131" s="179">
        <f ca="1">IF(ISNUMBER(MATCH(DATEVALUE($A131),'recurring1_based on steps'!AR$1:AR$400,0)),AR$2,)</f>
        <v>0</v>
      </c>
      <c r="AS131" s="179">
        <f ca="1">IF(ISNUMBER(MATCH(DATEVALUE($A131),'recurring1_based on steps'!AS$1:AS$400,0)),AS$2,)</f>
        <v>0</v>
      </c>
      <c r="AT131" s="179">
        <f ca="1">IF(ISNUMBER(MATCH(DATEVALUE($A131),'recurring1_based on steps'!AT$1:AT$400,0)),AT$2,)</f>
        <v>0</v>
      </c>
      <c r="AU131" s="179">
        <f ca="1">IF(ISNUMBER(MATCH(DATEVALUE($A131),'recurring1_based on steps'!AU$1:AU$400,0)),AU$2,)</f>
        <v>0</v>
      </c>
      <c r="AV131" s="179">
        <f ca="1">IF(ISNUMBER(MATCH(DATEVALUE($A131),'recurring1_based on steps'!AV$1:AV$400,0)),AV$2,)</f>
        <v>0</v>
      </c>
      <c r="AW131" s="179">
        <f ca="1">IF(ISNUMBER(MATCH(DATEVALUE($A131),'recurring1_based on steps'!AW$1:AW$400,0)),AW$2,)</f>
        <v>0</v>
      </c>
      <c r="AX131" s="179">
        <f ca="1">IF(ISNUMBER(MATCH(DATEVALUE($A131),'recurring1_based on steps'!AX$1:AX$400,0)),AX$2,)</f>
        <v>0</v>
      </c>
      <c r="AY131" s="179">
        <f ca="1">IF(ISNUMBER(MATCH(DATEVALUE($A131),'recurring1_based on steps'!AY$1:AY$400,0)),AY$2,)</f>
        <v>0</v>
      </c>
    </row>
    <row r="132" spans="1:51" x14ac:dyDescent="0.2">
      <c r="A132" s="32" t="str">
        <f t="shared" ca="1" si="1"/>
        <v>2025-08-12</v>
      </c>
      <c r="B132" s="179">
        <f ca="1">IF(ISNUMBER(MATCH(DATEVALUE($A132),'recurring1_based on steps'!B$1:B$400,0)),B$2,)</f>
        <v>0</v>
      </c>
      <c r="C132" s="179">
        <f ca="1">IF(ISNUMBER(MATCH(DATEVALUE($A132),'recurring1_based on steps'!C$1:C$400,0)),C$2,)</f>
        <v>0</v>
      </c>
      <c r="D132" s="179">
        <f ca="1">IF(ISNUMBER(MATCH(DATEVALUE($A132),'recurring1_based on steps'!D$1:D$400,0)),D$2,)</f>
        <v>0</v>
      </c>
      <c r="E132" s="179">
        <f ca="1">IF(ISNUMBER(MATCH(DATEVALUE($A132),'recurring1_based on steps'!E$1:E$400,0)),E$2,)</f>
        <v>0</v>
      </c>
      <c r="F132" s="179">
        <f ca="1">IF(ISNUMBER(MATCH(DATEVALUE($A132),'recurring1_based on steps'!F$1:F$400,0)),F$2,)</f>
        <v>0</v>
      </c>
      <c r="G132" s="179">
        <f ca="1">IF(ISNUMBER(MATCH(DATEVALUE($A132),'recurring1_based on steps'!G$1:G$400,0)),G$2,)</f>
        <v>0</v>
      </c>
      <c r="H132" s="179">
        <f ca="1">IF(ISNUMBER(MATCH(DATEVALUE($A132),'recurring1_based on steps'!H$1:H$400,0)),H$2,)</f>
        <v>0</v>
      </c>
      <c r="I132" s="179">
        <f ca="1">IF(ISNUMBER(MATCH(DATEVALUE($A132),'recurring1_based on steps'!I$1:I$400,0)),I$2,)</f>
        <v>0</v>
      </c>
      <c r="J132" s="179">
        <f ca="1">IF(ISNUMBER(MATCH(DATEVALUE($A132),'recurring1_based on steps'!J$1:J$400,0)),J$2,)</f>
        <v>0</v>
      </c>
      <c r="K132" s="179">
        <f ca="1">IF(ISNUMBER(MATCH(DATEVALUE($A132),'recurring1_based on steps'!K$1:K$400,0)),K$2,)</f>
        <v>0</v>
      </c>
      <c r="L132" s="179">
        <f ca="1">IF(ISNUMBER(MATCH(DATEVALUE($A132),'recurring1_based on steps'!L$1:L$400,0)),L$2,)</f>
        <v>0</v>
      </c>
      <c r="M132" s="179">
        <f ca="1">IF(ISNUMBER(MATCH(DATEVALUE($A132),'recurring1_based on steps'!M$1:M$400,0)),M$2,)</f>
        <v>0</v>
      </c>
      <c r="N132" s="179">
        <f ca="1">IF(ISNUMBER(MATCH(DATEVALUE($A132),'recurring1_based on steps'!N$1:N$400,0)),N$2,)</f>
        <v>0</v>
      </c>
      <c r="O132" s="179">
        <f ca="1">IF(ISNUMBER(MATCH(DATEVALUE($A132),'recurring1_based on steps'!O$1:O$400,0)),O$2,)</f>
        <v>0</v>
      </c>
      <c r="P132" s="179">
        <f ca="1">IF(ISNUMBER(MATCH(DATEVALUE($A132),'recurring1_based on steps'!P$1:P$400,0)),P$2,)</f>
        <v>0</v>
      </c>
      <c r="Q132" s="179">
        <f ca="1">IF(ISNUMBER(MATCH(DATEVALUE($A132),'recurring1_based on steps'!Q$1:Q$400,0)),Q$2,)</f>
        <v>0</v>
      </c>
      <c r="R132" s="179">
        <f ca="1">IF(ISNUMBER(MATCH(DATEVALUE($A132),'recurring1_based on steps'!R$1:R$400,0)),R$2,)</f>
        <v>0</v>
      </c>
      <c r="S132" s="179">
        <f ca="1">IF(ISNUMBER(MATCH(DATEVALUE($A132),'recurring1_based on steps'!S$1:S$400,0)),S$2,)</f>
        <v>0</v>
      </c>
      <c r="T132" s="179">
        <f ca="1">IF(ISNUMBER(MATCH(DATEVALUE($A132),'recurring1_based on steps'!T$1:T$400,0)),T$2,)</f>
        <v>0</v>
      </c>
      <c r="U132" s="179">
        <f ca="1">IF(ISNUMBER(MATCH(DATEVALUE($A132),'recurring1_based on steps'!U$1:U$400,0)),U$2,)</f>
        <v>0</v>
      </c>
      <c r="V132" s="179">
        <f ca="1">IF(ISNUMBER(MATCH(DATEVALUE($A132),'recurring1_based on steps'!V$1:V$400,0)),V$2,)</f>
        <v>0</v>
      </c>
      <c r="W132" s="179">
        <f ca="1">IF(ISNUMBER(MATCH(DATEVALUE($A132),'recurring1_based on steps'!W$1:W$400,0)),W$2,)</f>
        <v>0</v>
      </c>
      <c r="X132" s="179">
        <f ca="1">IF(ISNUMBER(MATCH(DATEVALUE($A132),'recurring1_based on steps'!X$1:X$400,0)),X$2,)</f>
        <v>0</v>
      </c>
      <c r="Y132" s="179">
        <f ca="1">IF(ISNUMBER(MATCH(DATEVALUE($A132),'recurring1_based on steps'!Y$1:Y$400,0)),Y$2,)</f>
        <v>0</v>
      </c>
      <c r="Z132" s="179">
        <f ca="1">IF(ISNUMBER(MATCH(DATEVALUE($A132),'recurring1_based on steps'!Z$1:Z$400,0)),Z$2,)</f>
        <v>0</v>
      </c>
      <c r="AA132" s="179">
        <f ca="1">IF(ISNUMBER(MATCH(DATEVALUE($A132),'recurring1_based on steps'!AA$1:AA$400,0)),AA$2,)</f>
        <v>0</v>
      </c>
      <c r="AB132" s="179">
        <f ca="1">IF(ISNUMBER(MATCH(DATEVALUE($A132),'recurring1_based on steps'!AB$1:AB$400,0)),AB$2,)</f>
        <v>0</v>
      </c>
      <c r="AC132" s="179">
        <f ca="1">IF(ISNUMBER(MATCH(DATEVALUE($A132),'recurring1_based on steps'!AC$1:AC$400,0)),AC$2,)</f>
        <v>0</v>
      </c>
      <c r="AD132" s="179">
        <f ca="1">IF(ISNUMBER(MATCH(DATEVALUE($A132),'recurring1_based on steps'!AD$1:AD$400,0)),AD$2,)</f>
        <v>0</v>
      </c>
      <c r="AE132" s="179">
        <f ca="1">IF(ISNUMBER(MATCH(DATEVALUE($A132),'recurring1_based on steps'!AE$1:AE$400,0)),AE$2,)</f>
        <v>0</v>
      </c>
      <c r="AF132" s="179">
        <f ca="1">IF(ISNUMBER(MATCH(DATEVALUE($A132),'recurring1_based on steps'!AF$1:AF$400,0)),AF$2,)</f>
        <v>0</v>
      </c>
      <c r="AG132" s="179">
        <f ca="1">IF(ISNUMBER(MATCH(DATEVALUE($A132),'recurring1_based on steps'!AG$1:AG$400,0)),AG$2,)</f>
        <v>0</v>
      </c>
      <c r="AH132" s="179">
        <f ca="1">IF(ISNUMBER(MATCH(DATEVALUE($A132),'recurring1_based on steps'!AH$1:AH$400,0)),AH$2,)</f>
        <v>0</v>
      </c>
      <c r="AI132" s="179">
        <f ca="1">IF(ISNUMBER(MATCH(DATEVALUE($A132),'recurring1_based on steps'!AI$1:AI$400,0)),AI$2,)</f>
        <v>0</v>
      </c>
      <c r="AJ132" s="179">
        <f ca="1">IF(ISNUMBER(MATCH(DATEVALUE($A132),'recurring1_based on steps'!AJ$1:AJ$400,0)),AJ$2,)</f>
        <v>0</v>
      </c>
      <c r="AK132" s="179">
        <f ca="1">IF(ISNUMBER(MATCH(DATEVALUE($A132),'recurring1_based on steps'!AK$1:AK$400,0)),AK$2,)</f>
        <v>0</v>
      </c>
      <c r="AL132" s="179">
        <f ca="1">IF(ISNUMBER(MATCH(DATEVALUE($A132),'recurring1_based on steps'!AL$1:AL$400,0)),AL$2,)</f>
        <v>0</v>
      </c>
      <c r="AM132" s="179">
        <f ca="1">IF(ISNUMBER(MATCH(DATEVALUE($A132),'recurring1_based on steps'!AM$1:AM$400,0)),AM$2,)</f>
        <v>0</v>
      </c>
      <c r="AN132" s="179">
        <f ca="1">IF(ISNUMBER(MATCH(DATEVALUE($A132),'recurring1_based on steps'!AN$1:AN$400,0)),AN$2,)</f>
        <v>0</v>
      </c>
      <c r="AO132" s="179">
        <f ca="1">IF(ISNUMBER(MATCH(DATEVALUE($A132),'recurring1_based on steps'!AO$1:AO$400,0)),AO$2,)</f>
        <v>0</v>
      </c>
      <c r="AP132" s="179">
        <f ca="1">IF(ISNUMBER(MATCH(DATEVALUE($A132),'recurring1_based on steps'!AP$1:AP$400,0)),AP$2,)</f>
        <v>0</v>
      </c>
      <c r="AQ132" s="179">
        <f ca="1">IF(ISNUMBER(MATCH(DATEVALUE($A132),'recurring1_based on steps'!AQ$1:AQ$400,0)),AQ$2,)</f>
        <v>0</v>
      </c>
      <c r="AR132" s="179">
        <f ca="1">IF(ISNUMBER(MATCH(DATEVALUE($A132),'recurring1_based on steps'!AR$1:AR$400,0)),AR$2,)</f>
        <v>0</v>
      </c>
      <c r="AS132" s="179">
        <f ca="1">IF(ISNUMBER(MATCH(DATEVALUE($A132),'recurring1_based on steps'!AS$1:AS$400,0)),AS$2,)</f>
        <v>0</v>
      </c>
      <c r="AT132" s="179">
        <f ca="1">IF(ISNUMBER(MATCH(DATEVALUE($A132),'recurring1_based on steps'!AT$1:AT$400,0)),AT$2,)</f>
        <v>0</v>
      </c>
      <c r="AU132" s="179">
        <f ca="1">IF(ISNUMBER(MATCH(DATEVALUE($A132),'recurring1_based on steps'!AU$1:AU$400,0)),AU$2,)</f>
        <v>0</v>
      </c>
      <c r="AV132" s="179">
        <f ca="1">IF(ISNUMBER(MATCH(DATEVALUE($A132),'recurring1_based on steps'!AV$1:AV$400,0)),AV$2,)</f>
        <v>0</v>
      </c>
      <c r="AW132" s="179">
        <f ca="1">IF(ISNUMBER(MATCH(DATEVALUE($A132),'recurring1_based on steps'!AW$1:AW$400,0)),AW$2,)</f>
        <v>0</v>
      </c>
      <c r="AX132" s="179">
        <f ca="1">IF(ISNUMBER(MATCH(DATEVALUE($A132),'recurring1_based on steps'!AX$1:AX$400,0)),AX$2,)</f>
        <v>0</v>
      </c>
      <c r="AY132" s="179">
        <f ca="1">IF(ISNUMBER(MATCH(DATEVALUE($A132),'recurring1_based on steps'!AY$1:AY$400,0)),AY$2,)</f>
        <v>0</v>
      </c>
    </row>
    <row r="133" spans="1:51" x14ac:dyDescent="0.2">
      <c r="A133" s="32" t="str">
        <f t="shared" ref="A133:A196" ca="1" si="2">TEXT(DATEVALUE(A132)+1,"yyyy-mm-dd")</f>
        <v>2025-08-13</v>
      </c>
      <c r="B133" s="179">
        <f ca="1">IF(ISNUMBER(MATCH(DATEVALUE($A133),'recurring1_based on steps'!B$1:B$400,0)),B$2,)</f>
        <v>0</v>
      </c>
      <c r="C133" s="179">
        <f ca="1">IF(ISNUMBER(MATCH(DATEVALUE($A133),'recurring1_based on steps'!C$1:C$400,0)),C$2,)</f>
        <v>0</v>
      </c>
      <c r="D133" s="179">
        <f ca="1">IF(ISNUMBER(MATCH(DATEVALUE($A133),'recurring1_based on steps'!D$1:D$400,0)),D$2,)</f>
        <v>0</v>
      </c>
      <c r="E133" s="179">
        <f ca="1">IF(ISNUMBER(MATCH(DATEVALUE($A133),'recurring1_based on steps'!E$1:E$400,0)),E$2,)</f>
        <v>0</v>
      </c>
      <c r="F133" s="179">
        <f ca="1">IF(ISNUMBER(MATCH(DATEVALUE($A133),'recurring1_based on steps'!F$1:F$400,0)),F$2,)</f>
        <v>0</v>
      </c>
      <c r="G133" s="179">
        <f ca="1">IF(ISNUMBER(MATCH(DATEVALUE($A133),'recurring1_based on steps'!G$1:G$400,0)),G$2,)</f>
        <v>0</v>
      </c>
      <c r="H133" s="179">
        <f ca="1">IF(ISNUMBER(MATCH(DATEVALUE($A133),'recurring1_based on steps'!H$1:H$400,0)),H$2,)</f>
        <v>0</v>
      </c>
      <c r="I133" s="179">
        <f ca="1">IF(ISNUMBER(MATCH(DATEVALUE($A133),'recurring1_based on steps'!I$1:I$400,0)),I$2,)</f>
        <v>0</v>
      </c>
      <c r="J133" s="179">
        <f ca="1">IF(ISNUMBER(MATCH(DATEVALUE($A133),'recurring1_based on steps'!J$1:J$400,0)),J$2,)</f>
        <v>0</v>
      </c>
      <c r="K133" s="179">
        <f ca="1">IF(ISNUMBER(MATCH(DATEVALUE($A133),'recurring1_based on steps'!K$1:K$400,0)),K$2,)</f>
        <v>0</v>
      </c>
      <c r="L133" s="179">
        <f ca="1">IF(ISNUMBER(MATCH(DATEVALUE($A133),'recurring1_based on steps'!L$1:L$400,0)),L$2,)</f>
        <v>0</v>
      </c>
      <c r="M133" s="179">
        <f ca="1">IF(ISNUMBER(MATCH(DATEVALUE($A133),'recurring1_based on steps'!M$1:M$400,0)),M$2,)</f>
        <v>0</v>
      </c>
      <c r="N133" s="179">
        <f ca="1">IF(ISNUMBER(MATCH(DATEVALUE($A133),'recurring1_based on steps'!N$1:N$400,0)),N$2,)</f>
        <v>0</v>
      </c>
      <c r="O133" s="179">
        <f ca="1">IF(ISNUMBER(MATCH(DATEVALUE($A133),'recurring1_based on steps'!O$1:O$400,0)),O$2,)</f>
        <v>0</v>
      </c>
      <c r="P133" s="179">
        <f ca="1">IF(ISNUMBER(MATCH(DATEVALUE($A133),'recurring1_based on steps'!P$1:P$400,0)),P$2,)</f>
        <v>0</v>
      </c>
      <c r="Q133" s="179">
        <f ca="1">IF(ISNUMBER(MATCH(DATEVALUE($A133),'recurring1_based on steps'!Q$1:Q$400,0)),Q$2,)</f>
        <v>0</v>
      </c>
      <c r="R133" s="179">
        <f ca="1">IF(ISNUMBER(MATCH(DATEVALUE($A133),'recurring1_based on steps'!R$1:R$400,0)),R$2,)</f>
        <v>0</v>
      </c>
      <c r="S133" s="179">
        <f ca="1">IF(ISNUMBER(MATCH(DATEVALUE($A133),'recurring1_based on steps'!S$1:S$400,0)),S$2,)</f>
        <v>0</v>
      </c>
      <c r="T133" s="179">
        <f ca="1">IF(ISNUMBER(MATCH(DATEVALUE($A133),'recurring1_based on steps'!T$1:T$400,0)),T$2,)</f>
        <v>0</v>
      </c>
      <c r="U133" s="179">
        <f ca="1">IF(ISNUMBER(MATCH(DATEVALUE($A133),'recurring1_based on steps'!U$1:U$400,0)),U$2,)</f>
        <v>0</v>
      </c>
      <c r="V133" s="179">
        <f ca="1">IF(ISNUMBER(MATCH(DATEVALUE($A133),'recurring1_based on steps'!V$1:V$400,0)),V$2,)</f>
        <v>0</v>
      </c>
      <c r="W133" s="179">
        <f ca="1">IF(ISNUMBER(MATCH(DATEVALUE($A133),'recurring1_based on steps'!W$1:W$400,0)),W$2,)</f>
        <v>0</v>
      </c>
      <c r="X133" s="179">
        <f ca="1">IF(ISNUMBER(MATCH(DATEVALUE($A133),'recurring1_based on steps'!X$1:X$400,0)),X$2,)</f>
        <v>0</v>
      </c>
      <c r="Y133" s="179">
        <f ca="1">IF(ISNUMBER(MATCH(DATEVALUE($A133),'recurring1_based on steps'!Y$1:Y$400,0)),Y$2,)</f>
        <v>0</v>
      </c>
      <c r="Z133" s="179">
        <f ca="1">IF(ISNUMBER(MATCH(DATEVALUE($A133),'recurring1_based on steps'!Z$1:Z$400,0)),Z$2,)</f>
        <v>0</v>
      </c>
      <c r="AA133" s="179">
        <f ca="1">IF(ISNUMBER(MATCH(DATEVALUE($A133),'recurring1_based on steps'!AA$1:AA$400,0)),AA$2,)</f>
        <v>0</v>
      </c>
      <c r="AB133" s="179">
        <f ca="1">IF(ISNUMBER(MATCH(DATEVALUE($A133),'recurring1_based on steps'!AB$1:AB$400,0)),AB$2,)</f>
        <v>0</v>
      </c>
      <c r="AC133" s="179">
        <f ca="1">IF(ISNUMBER(MATCH(DATEVALUE($A133),'recurring1_based on steps'!AC$1:AC$400,0)),AC$2,)</f>
        <v>0</v>
      </c>
      <c r="AD133" s="179">
        <f ca="1">IF(ISNUMBER(MATCH(DATEVALUE($A133),'recurring1_based on steps'!AD$1:AD$400,0)),AD$2,)</f>
        <v>0</v>
      </c>
      <c r="AE133" s="179">
        <f ca="1">IF(ISNUMBER(MATCH(DATEVALUE($A133),'recurring1_based on steps'!AE$1:AE$400,0)),AE$2,)</f>
        <v>0</v>
      </c>
      <c r="AF133" s="179">
        <f ca="1">IF(ISNUMBER(MATCH(DATEVALUE($A133),'recurring1_based on steps'!AF$1:AF$400,0)),AF$2,)</f>
        <v>0</v>
      </c>
      <c r="AG133" s="179">
        <f ca="1">IF(ISNUMBER(MATCH(DATEVALUE($A133),'recurring1_based on steps'!AG$1:AG$400,0)),AG$2,)</f>
        <v>0</v>
      </c>
      <c r="AH133" s="179">
        <f ca="1">IF(ISNUMBER(MATCH(DATEVALUE($A133),'recurring1_based on steps'!AH$1:AH$400,0)),AH$2,)</f>
        <v>0</v>
      </c>
      <c r="AI133" s="179">
        <f ca="1">IF(ISNUMBER(MATCH(DATEVALUE($A133),'recurring1_based on steps'!AI$1:AI$400,0)),AI$2,)</f>
        <v>0</v>
      </c>
      <c r="AJ133" s="179">
        <f ca="1">IF(ISNUMBER(MATCH(DATEVALUE($A133),'recurring1_based on steps'!AJ$1:AJ$400,0)),AJ$2,)</f>
        <v>0</v>
      </c>
      <c r="AK133" s="179">
        <f ca="1">IF(ISNUMBER(MATCH(DATEVALUE($A133),'recurring1_based on steps'!AK$1:AK$400,0)),AK$2,)</f>
        <v>0</v>
      </c>
      <c r="AL133" s="179">
        <f ca="1">IF(ISNUMBER(MATCH(DATEVALUE($A133),'recurring1_based on steps'!AL$1:AL$400,0)),AL$2,)</f>
        <v>0</v>
      </c>
      <c r="AM133" s="179">
        <f ca="1">IF(ISNUMBER(MATCH(DATEVALUE($A133),'recurring1_based on steps'!AM$1:AM$400,0)),AM$2,)</f>
        <v>0</v>
      </c>
      <c r="AN133" s="179">
        <f ca="1">IF(ISNUMBER(MATCH(DATEVALUE($A133),'recurring1_based on steps'!AN$1:AN$400,0)),AN$2,)</f>
        <v>0</v>
      </c>
      <c r="AO133" s="179">
        <f ca="1">IF(ISNUMBER(MATCH(DATEVALUE($A133),'recurring1_based on steps'!AO$1:AO$400,0)),AO$2,)</f>
        <v>0</v>
      </c>
      <c r="AP133" s="179">
        <f ca="1">IF(ISNUMBER(MATCH(DATEVALUE($A133),'recurring1_based on steps'!AP$1:AP$400,0)),AP$2,)</f>
        <v>0</v>
      </c>
      <c r="AQ133" s="179">
        <f ca="1">IF(ISNUMBER(MATCH(DATEVALUE($A133),'recurring1_based on steps'!AQ$1:AQ$400,0)),AQ$2,)</f>
        <v>0</v>
      </c>
      <c r="AR133" s="179">
        <f ca="1">IF(ISNUMBER(MATCH(DATEVALUE($A133),'recurring1_based on steps'!AR$1:AR$400,0)),AR$2,)</f>
        <v>0</v>
      </c>
      <c r="AS133" s="179">
        <f ca="1">IF(ISNUMBER(MATCH(DATEVALUE($A133),'recurring1_based on steps'!AS$1:AS$400,0)),AS$2,)</f>
        <v>0</v>
      </c>
      <c r="AT133" s="179">
        <f ca="1">IF(ISNUMBER(MATCH(DATEVALUE($A133),'recurring1_based on steps'!AT$1:AT$400,0)),AT$2,)</f>
        <v>0</v>
      </c>
      <c r="AU133" s="179">
        <f ca="1">IF(ISNUMBER(MATCH(DATEVALUE($A133),'recurring1_based on steps'!AU$1:AU$400,0)),AU$2,)</f>
        <v>0</v>
      </c>
      <c r="AV133" s="179">
        <f ca="1">IF(ISNUMBER(MATCH(DATEVALUE($A133),'recurring1_based on steps'!AV$1:AV$400,0)),AV$2,)</f>
        <v>0</v>
      </c>
      <c r="AW133" s="179">
        <f ca="1">IF(ISNUMBER(MATCH(DATEVALUE($A133),'recurring1_based on steps'!AW$1:AW$400,0)),AW$2,)</f>
        <v>0</v>
      </c>
      <c r="AX133" s="179">
        <f ca="1">IF(ISNUMBER(MATCH(DATEVALUE($A133),'recurring1_based on steps'!AX$1:AX$400,0)),AX$2,)</f>
        <v>0</v>
      </c>
      <c r="AY133" s="179">
        <f ca="1">IF(ISNUMBER(MATCH(DATEVALUE($A133),'recurring1_based on steps'!AY$1:AY$400,0)),AY$2,)</f>
        <v>0</v>
      </c>
    </row>
    <row r="134" spans="1:51" x14ac:dyDescent="0.2">
      <c r="A134" s="32" t="str">
        <f t="shared" ca="1" si="2"/>
        <v>2025-08-14</v>
      </c>
      <c r="B134" s="179">
        <f ca="1">IF(ISNUMBER(MATCH(DATEVALUE($A134),'recurring1_based on steps'!B$1:B$400,0)),B$2,)</f>
        <v>0</v>
      </c>
      <c r="C134" s="179">
        <f ca="1">IF(ISNUMBER(MATCH(DATEVALUE($A134),'recurring1_based on steps'!C$1:C$400,0)),C$2,)</f>
        <v>0</v>
      </c>
      <c r="D134" s="179">
        <f ca="1">IF(ISNUMBER(MATCH(DATEVALUE($A134),'recurring1_based on steps'!D$1:D$400,0)),D$2,)</f>
        <v>0</v>
      </c>
      <c r="E134" s="179">
        <f ca="1">IF(ISNUMBER(MATCH(DATEVALUE($A134),'recurring1_based on steps'!E$1:E$400,0)),E$2,)</f>
        <v>0</v>
      </c>
      <c r="F134" s="179">
        <f ca="1">IF(ISNUMBER(MATCH(DATEVALUE($A134),'recurring1_based on steps'!F$1:F$400,0)),F$2,)</f>
        <v>0</v>
      </c>
      <c r="G134" s="179">
        <f ca="1">IF(ISNUMBER(MATCH(DATEVALUE($A134),'recurring1_based on steps'!G$1:G$400,0)),G$2,)</f>
        <v>0</v>
      </c>
      <c r="H134" s="179">
        <f ca="1">IF(ISNUMBER(MATCH(DATEVALUE($A134),'recurring1_based on steps'!H$1:H$400,0)),H$2,)</f>
        <v>0</v>
      </c>
      <c r="I134" s="179">
        <f ca="1">IF(ISNUMBER(MATCH(DATEVALUE($A134),'recurring1_based on steps'!I$1:I$400,0)),I$2,)</f>
        <v>0</v>
      </c>
      <c r="J134" s="179">
        <f ca="1">IF(ISNUMBER(MATCH(DATEVALUE($A134),'recurring1_based on steps'!J$1:J$400,0)),J$2,)</f>
        <v>0</v>
      </c>
      <c r="K134" s="179">
        <f ca="1">IF(ISNUMBER(MATCH(DATEVALUE($A134),'recurring1_based on steps'!K$1:K$400,0)),K$2,)</f>
        <v>0</v>
      </c>
      <c r="L134" s="179">
        <f ca="1">IF(ISNUMBER(MATCH(DATEVALUE($A134),'recurring1_based on steps'!L$1:L$400,0)),L$2,)</f>
        <v>0</v>
      </c>
      <c r="M134" s="179">
        <f ca="1">IF(ISNUMBER(MATCH(DATEVALUE($A134),'recurring1_based on steps'!M$1:M$400,0)),M$2,)</f>
        <v>0</v>
      </c>
      <c r="N134" s="179">
        <f ca="1">IF(ISNUMBER(MATCH(DATEVALUE($A134),'recurring1_based on steps'!N$1:N$400,0)),N$2,)</f>
        <v>0</v>
      </c>
      <c r="O134" s="179">
        <f ca="1">IF(ISNUMBER(MATCH(DATEVALUE($A134),'recurring1_based on steps'!O$1:O$400,0)),O$2,)</f>
        <v>0</v>
      </c>
      <c r="P134" s="179">
        <f ca="1">IF(ISNUMBER(MATCH(DATEVALUE($A134),'recurring1_based on steps'!P$1:P$400,0)),P$2,)</f>
        <v>0</v>
      </c>
      <c r="Q134" s="179">
        <f ca="1">IF(ISNUMBER(MATCH(DATEVALUE($A134),'recurring1_based on steps'!Q$1:Q$400,0)),Q$2,)</f>
        <v>0</v>
      </c>
      <c r="R134" s="179">
        <f ca="1">IF(ISNUMBER(MATCH(DATEVALUE($A134),'recurring1_based on steps'!R$1:R$400,0)),R$2,)</f>
        <v>0</v>
      </c>
      <c r="S134" s="179">
        <f ca="1">IF(ISNUMBER(MATCH(DATEVALUE($A134),'recurring1_based on steps'!S$1:S$400,0)),S$2,)</f>
        <v>0</v>
      </c>
      <c r="T134" s="179">
        <f ca="1">IF(ISNUMBER(MATCH(DATEVALUE($A134),'recurring1_based on steps'!T$1:T$400,0)),T$2,)</f>
        <v>0</v>
      </c>
      <c r="U134" s="179">
        <f ca="1">IF(ISNUMBER(MATCH(DATEVALUE($A134),'recurring1_based on steps'!U$1:U$400,0)),U$2,)</f>
        <v>0</v>
      </c>
      <c r="V134" s="179">
        <f ca="1">IF(ISNUMBER(MATCH(DATEVALUE($A134),'recurring1_based on steps'!V$1:V$400,0)),V$2,)</f>
        <v>0</v>
      </c>
      <c r="W134" s="179">
        <f ca="1">IF(ISNUMBER(MATCH(DATEVALUE($A134),'recurring1_based on steps'!W$1:W$400,0)),W$2,)</f>
        <v>0</v>
      </c>
      <c r="X134" s="179">
        <f ca="1">IF(ISNUMBER(MATCH(DATEVALUE($A134),'recurring1_based on steps'!X$1:X$400,0)),X$2,)</f>
        <v>0</v>
      </c>
      <c r="Y134" s="179">
        <f ca="1">IF(ISNUMBER(MATCH(DATEVALUE($A134),'recurring1_based on steps'!Y$1:Y$400,0)),Y$2,)</f>
        <v>0</v>
      </c>
      <c r="Z134" s="179">
        <f ca="1">IF(ISNUMBER(MATCH(DATEVALUE($A134),'recurring1_based on steps'!Z$1:Z$400,0)),Z$2,)</f>
        <v>0</v>
      </c>
      <c r="AA134" s="179">
        <f ca="1">IF(ISNUMBER(MATCH(DATEVALUE($A134),'recurring1_based on steps'!AA$1:AA$400,0)),AA$2,)</f>
        <v>0</v>
      </c>
      <c r="AB134" s="179">
        <f ca="1">IF(ISNUMBER(MATCH(DATEVALUE($A134),'recurring1_based on steps'!AB$1:AB$400,0)),AB$2,)</f>
        <v>0</v>
      </c>
      <c r="AC134" s="179">
        <f ca="1">IF(ISNUMBER(MATCH(DATEVALUE($A134),'recurring1_based on steps'!AC$1:AC$400,0)),AC$2,)</f>
        <v>0</v>
      </c>
      <c r="AD134" s="179">
        <f ca="1">IF(ISNUMBER(MATCH(DATEVALUE($A134),'recurring1_based on steps'!AD$1:AD$400,0)),AD$2,)</f>
        <v>0</v>
      </c>
      <c r="AE134" s="179">
        <f ca="1">IF(ISNUMBER(MATCH(DATEVALUE($A134),'recurring1_based on steps'!AE$1:AE$400,0)),AE$2,)</f>
        <v>0</v>
      </c>
      <c r="AF134" s="179">
        <f ca="1">IF(ISNUMBER(MATCH(DATEVALUE($A134),'recurring1_based on steps'!AF$1:AF$400,0)),AF$2,)</f>
        <v>0</v>
      </c>
      <c r="AG134" s="179">
        <f ca="1">IF(ISNUMBER(MATCH(DATEVALUE($A134),'recurring1_based on steps'!AG$1:AG$400,0)),AG$2,)</f>
        <v>0</v>
      </c>
      <c r="AH134" s="179">
        <f ca="1">IF(ISNUMBER(MATCH(DATEVALUE($A134),'recurring1_based on steps'!AH$1:AH$400,0)),AH$2,)</f>
        <v>0</v>
      </c>
      <c r="AI134" s="179">
        <f ca="1">IF(ISNUMBER(MATCH(DATEVALUE($A134),'recurring1_based on steps'!AI$1:AI$400,0)),AI$2,)</f>
        <v>0</v>
      </c>
      <c r="AJ134" s="179">
        <f ca="1">IF(ISNUMBER(MATCH(DATEVALUE($A134),'recurring1_based on steps'!AJ$1:AJ$400,0)),AJ$2,)</f>
        <v>0</v>
      </c>
      <c r="AK134" s="179">
        <f ca="1">IF(ISNUMBER(MATCH(DATEVALUE($A134),'recurring1_based on steps'!AK$1:AK$400,0)),AK$2,)</f>
        <v>0</v>
      </c>
      <c r="AL134" s="179">
        <f ca="1">IF(ISNUMBER(MATCH(DATEVALUE($A134),'recurring1_based on steps'!AL$1:AL$400,0)),AL$2,)</f>
        <v>0</v>
      </c>
      <c r="AM134" s="179">
        <f ca="1">IF(ISNUMBER(MATCH(DATEVALUE($A134),'recurring1_based on steps'!AM$1:AM$400,0)),AM$2,)</f>
        <v>0</v>
      </c>
      <c r="AN134" s="179">
        <f ca="1">IF(ISNUMBER(MATCH(DATEVALUE($A134),'recurring1_based on steps'!AN$1:AN$400,0)),AN$2,)</f>
        <v>0</v>
      </c>
      <c r="AO134" s="179">
        <f ca="1">IF(ISNUMBER(MATCH(DATEVALUE($A134),'recurring1_based on steps'!AO$1:AO$400,0)),AO$2,)</f>
        <v>0</v>
      </c>
      <c r="AP134" s="179">
        <f ca="1">IF(ISNUMBER(MATCH(DATEVALUE($A134),'recurring1_based on steps'!AP$1:AP$400,0)),AP$2,)</f>
        <v>0</v>
      </c>
      <c r="AQ134" s="179">
        <f ca="1">IF(ISNUMBER(MATCH(DATEVALUE($A134),'recurring1_based on steps'!AQ$1:AQ$400,0)),AQ$2,)</f>
        <v>0</v>
      </c>
      <c r="AR134" s="179">
        <f ca="1">IF(ISNUMBER(MATCH(DATEVALUE($A134),'recurring1_based on steps'!AR$1:AR$400,0)),AR$2,)</f>
        <v>0</v>
      </c>
      <c r="AS134" s="179">
        <f ca="1">IF(ISNUMBER(MATCH(DATEVALUE($A134),'recurring1_based on steps'!AS$1:AS$400,0)),AS$2,)</f>
        <v>0</v>
      </c>
      <c r="AT134" s="179">
        <f ca="1">IF(ISNUMBER(MATCH(DATEVALUE($A134),'recurring1_based on steps'!AT$1:AT$400,0)),AT$2,)</f>
        <v>0</v>
      </c>
      <c r="AU134" s="179">
        <f ca="1">IF(ISNUMBER(MATCH(DATEVALUE($A134),'recurring1_based on steps'!AU$1:AU$400,0)),AU$2,)</f>
        <v>0</v>
      </c>
      <c r="AV134" s="179">
        <f ca="1">IF(ISNUMBER(MATCH(DATEVALUE($A134),'recurring1_based on steps'!AV$1:AV$400,0)),AV$2,)</f>
        <v>0</v>
      </c>
      <c r="AW134" s="179">
        <f ca="1">IF(ISNUMBER(MATCH(DATEVALUE($A134),'recurring1_based on steps'!AW$1:AW$400,0)),AW$2,)</f>
        <v>0</v>
      </c>
      <c r="AX134" s="179">
        <f ca="1">IF(ISNUMBER(MATCH(DATEVALUE($A134),'recurring1_based on steps'!AX$1:AX$400,0)),AX$2,)</f>
        <v>0</v>
      </c>
      <c r="AY134" s="179">
        <f ca="1">IF(ISNUMBER(MATCH(DATEVALUE($A134),'recurring1_based on steps'!AY$1:AY$400,0)),AY$2,)</f>
        <v>0</v>
      </c>
    </row>
    <row r="135" spans="1:51" x14ac:dyDescent="0.2">
      <c r="A135" s="32" t="str">
        <f t="shared" ca="1" si="2"/>
        <v>2025-08-15</v>
      </c>
      <c r="B135" s="179">
        <f ca="1">IF(ISNUMBER(MATCH(DATEVALUE($A135),'recurring1_based on steps'!B$1:B$400,0)),B$2,)</f>
        <v>0</v>
      </c>
      <c r="C135" s="179">
        <f ca="1">IF(ISNUMBER(MATCH(DATEVALUE($A135),'recurring1_based on steps'!C$1:C$400,0)),C$2,)</f>
        <v>0</v>
      </c>
      <c r="D135" s="179">
        <f ca="1">IF(ISNUMBER(MATCH(DATEVALUE($A135),'recurring1_based on steps'!D$1:D$400,0)),D$2,)</f>
        <v>0</v>
      </c>
      <c r="E135" s="179">
        <f ca="1">IF(ISNUMBER(MATCH(DATEVALUE($A135),'recurring1_based on steps'!E$1:E$400,0)),E$2,)</f>
        <v>0</v>
      </c>
      <c r="F135" s="179">
        <f ca="1">IF(ISNUMBER(MATCH(DATEVALUE($A135),'recurring1_based on steps'!F$1:F$400,0)),F$2,)</f>
        <v>0</v>
      </c>
      <c r="G135" s="179">
        <f ca="1">IF(ISNUMBER(MATCH(DATEVALUE($A135),'recurring1_based on steps'!G$1:G$400,0)),G$2,)</f>
        <v>0</v>
      </c>
      <c r="H135" s="179">
        <f ca="1">IF(ISNUMBER(MATCH(DATEVALUE($A135),'recurring1_based on steps'!H$1:H$400,0)),H$2,)</f>
        <v>0</v>
      </c>
      <c r="I135" s="179">
        <f ca="1">IF(ISNUMBER(MATCH(DATEVALUE($A135),'recurring1_based on steps'!I$1:I$400,0)),I$2,)</f>
        <v>0</v>
      </c>
      <c r="J135" s="179">
        <f ca="1">IF(ISNUMBER(MATCH(DATEVALUE($A135),'recurring1_based on steps'!J$1:J$400,0)),J$2,)</f>
        <v>0</v>
      </c>
      <c r="K135" s="179">
        <f ca="1">IF(ISNUMBER(MATCH(DATEVALUE($A135),'recurring1_based on steps'!K$1:K$400,0)),K$2,)</f>
        <v>0</v>
      </c>
      <c r="L135" s="179">
        <f ca="1">IF(ISNUMBER(MATCH(DATEVALUE($A135),'recurring1_based on steps'!L$1:L$400,0)),L$2,)</f>
        <v>0</v>
      </c>
      <c r="M135" s="179">
        <f ca="1">IF(ISNUMBER(MATCH(DATEVALUE($A135),'recurring1_based on steps'!M$1:M$400,0)),M$2,)</f>
        <v>0</v>
      </c>
      <c r="N135" s="179">
        <f ca="1">IF(ISNUMBER(MATCH(DATEVALUE($A135),'recurring1_based on steps'!N$1:N$400,0)),N$2,)</f>
        <v>0</v>
      </c>
      <c r="O135" s="179">
        <f ca="1">IF(ISNUMBER(MATCH(DATEVALUE($A135),'recurring1_based on steps'!O$1:O$400,0)),O$2,)</f>
        <v>0</v>
      </c>
      <c r="P135" s="179">
        <f ca="1">IF(ISNUMBER(MATCH(DATEVALUE($A135),'recurring1_based on steps'!P$1:P$400,0)),P$2,)</f>
        <v>0</v>
      </c>
      <c r="Q135" s="179">
        <f ca="1">IF(ISNUMBER(MATCH(DATEVALUE($A135),'recurring1_based on steps'!Q$1:Q$400,0)),Q$2,)</f>
        <v>0</v>
      </c>
      <c r="R135" s="179">
        <f ca="1">IF(ISNUMBER(MATCH(DATEVALUE($A135),'recurring1_based on steps'!R$1:R$400,0)),R$2,)</f>
        <v>0</v>
      </c>
      <c r="S135" s="179">
        <f ca="1">IF(ISNUMBER(MATCH(DATEVALUE($A135),'recurring1_based on steps'!S$1:S$400,0)),S$2,)</f>
        <v>0</v>
      </c>
      <c r="T135" s="179">
        <f ca="1">IF(ISNUMBER(MATCH(DATEVALUE($A135),'recurring1_based on steps'!T$1:T$400,0)),T$2,)</f>
        <v>0</v>
      </c>
      <c r="U135" s="179">
        <f ca="1">IF(ISNUMBER(MATCH(DATEVALUE($A135),'recurring1_based on steps'!U$1:U$400,0)),U$2,)</f>
        <v>0</v>
      </c>
      <c r="V135" s="179">
        <f ca="1">IF(ISNUMBER(MATCH(DATEVALUE($A135),'recurring1_based on steps'!V$1:V$400,0)),V$2,)</f>
        <v>0</v>
      </c>
      <c r="W135" s="179">
        <f ca="1">IF(ISNUMBER(MATCH(DATEVALUE($A135),'recurring1_based on steps'!W$1:W$400,0)),W$2,)</f>
        <v>0</v>
      </c>
      <c r="X135" s="179">
        <f ca="1">IF(ISNUMBER(MATCH(DATEVALUE($A135),'recurring1_based on steps'!X$1:X$400,0)),X$2,)</f>
        <v>0</v>
      </c>
      <c r="Y135" s="179">
        <f ca="1">IF(ISNUMBER(MATCH(DATEVALUE($A135),'recurring1_based on steps'!Y$1:Y$400,0)),Y$2,)</f>
        <v>0</v>
      </c>
      <c r="Z135" s="179">
        <f ca="1">IF(ISNUMBER(MATCH(DATEVALUE($A135),'recurring1_based on steps'!Z$1:Z$400,0)),Z$2,)</f>
        <v>0</v>
      </c>
      <c r="AA135" s="179">
        <f ca="1">IF(ISNUMBER(MATCH(DATEVALUE($A135),'recurring1_based on steps'!AA$1:AA$400,0)),AA$2,)</f>
        <v>0</v>
      </c>
      <c r="AB135" s="179">
        <f ca="1">IF(ISNUMBER(MATCH(DATEVALUE($A135),'recurring1_based on steps'!AB$1:AB$400,0)),AB$2,)</f>
        <v>0</v>
      </c>
      <c r="AC135" s="179">
        <f ca="1">IF(ISNUMBER(MATCH(DATEVALUE($A135),'recurring1_based on steps'!AC$1:AC$400,0)),AC$2,)</f>
        <v>0</v>
      </c>
      <c r="AD135" s="179">
        <f ca="1">IF(ISNUMBER(MATCH(DATEVALUE($A135),'recurring1_based on steps'!AD$1:AD$400,0)),AD$2,)</f>
        <v>0</v>
      </c>
      <c r="AE135" s="179">
        <f ca="1">IF(ISNUMBER(MATCH(DATEVALUE($A135),'recurring1_based on steps'!AE$1:AE$400,0)),AE$2,)</f>
        <v>0</v>
      </c>
      <c r="AF135" s="179">
        <f ca="1">IF(ISNUMBER(MATCH(DATEVALUE($A135),'recurring1_based on steps'!AF$1:AF$400,0)),AF$2,)</f>
        <v>0</v>
      </c>
      <c r="AG135" s="179">
        <f ca="1">IF(ISNUMBER(MATCH(DATEVALUE($A135),'recurring1_based on steps'!AG$1:AG$400,0)),AG$2,)</f>
        <v>0</v>
      </c>
      <c r="AH135" s="179">
        <f ca="1">IF(ISNUMBER(MATCH(DATEVALUE($A135),'recurring1_based on steps'!AH$1:AH$400,0)),AH$2,)</f>
        <v>0</v>
      </c>
      <c r="AI135" s="179">
        <f ca="1">IF(ISNUMBER(MATCH(DATEVALUE($A135),'recurring1_based on steps'!AI$1:AI$400,0)),AI$2,)</f>
        <v>0</v>
      </c>
      <c r="AJ135" s="179">
        <f ca="1">IF(ISNUMBER(MATCH(DATEVALUE($A135),'recurring1_based on steps'!AJ$1:AJ$400,0)),AJ$2,)</f>
        <v>0</v>
      </c>
      <c r="AK135" s="179">
        <f ca="1">IF(ISNUMBER(MATCH(DATEVALUE($A135),'recurring1_based on steps'!AK$1:AK$400,0)),AK$2,)</f>
        <v>0</v>
      </c>
      <c r="AL135" s="179">
        <f ca="1">IF(ISNUMBER(MATCH(DATEVALUE($A135),'recurring1_based on steps'!AL$1:AL$400,0)),AL$2,)</f>
        <v>0</v>
      </c>
      <c r="AM135" s="179">
        <f ca="1">IF(ISNUMBER(MATCH(DATEVALUE($A135),'recurring1_based on steps'!AM$1:AM$400,0)),AM$2,)</f>
        <v>0</v>
      </c>
      <c r="AN135" s="179">
        <f ca="1">IF(ISNUMBER(MATCH(DATEVALUE($A135),'recurring1_based on steps'!AN$1:AN$400,0)),AN$2,)</f>
        <v>0</v>
      </c>
      <c r="AO135" s="179">
        <f ca="1">IF(ISNUMBER(MATCH(DATEVALUE($A135),'recurring1_based on steps'!AO$1:AO$400,0)),AO$2,)</f>
        <v>0</v>
      </c>
      <c r="AP135" s="179">
        <f ca="1">IF(ISNUMBER(MATCH(DATEVALUE($A135),'recurring1_based on steps'!AP$1:AP$400,0)),AP$2,)</f>
        <v>0</v>
      </c>
      <c r="AQ135" s="179">
        <f ca="1">IF(ISNUMBER(MATCH(DATEVALUE($A135),'recurring1_based on steps'!AQ$1:AQ$400,0)),AQ$2,)</f>
        <v>0</v>
      </c>
      <c r="AR135" s="179">
        <f ca="1">IF(ISNUMBER(MATCH(DATEVALUE($A135),'recurring1_based on steps'!AR$1:AR$400,0)),AR$2,)</f>
        <v>0</v>
      </c>
      <c r="AS135" s="179">
        <f ca="1">IF(ISNUMBER(MATCH(DATEVALUE($A135),'recurring1_based on steps'!AS$1:AS$400,0)),AS$2,)</f>
        <v>0</v>
      </c>
      <c r="AT135" s="179">
        <f ca="1">IF(ISNUMBER(MATCH(DATEVALUE($A135),'recurring1_based on steps'!AT$1:AT$400,0)),AT$2,)</f>
        <v>0</v>
      </c>
      <c r="AU135" s="179">
        <f ca="1">IF(ISNUMBER(MATCH(DATEVALUE($A135),'recurring1_based on steps'!AU$1:AU$400,0)),AU$2,)</f>
        <v>0</v>
      </c>
      <c r="AV135" s="179">
        <f ca="1">IF(ISNUMBER(MATCH(DATEVALUE($A135),'recurring1_based on steps'!AV$1:AV$400,0)),AV$2,)</f>
        <v>0</v>
      </c>
      <c r="AW135" s="179">
        <f ca="1">IF(ISNUMBER(MATCH(DATEVALUE($A135),'recurring1_based on steps'!AW$1:AW$400,0)),AW$2,)</f>
        <v>0</v>
      </c>
      <c r="AX135" s="179">
        <f ca="1">IF(ISNUMBER(MATCH(DATEVALUE($A135),'recurring1_based on steps'!AX$1:AX$400,0)),AX$2,)</f>
        <v>0</v>
      </c>
      <c r="AY135" s="179">
        <f ca="1">IF(ISNUMBER(MATCH(DATEVALUE($A135),'recurring1_based on steps'!AY$1:AY$400,0)),AY$2,)</f>
        <v>0</v>
      </c>
    </row>
    <row r="136" spans="1:51" x14ac:dyDescent="0.2">
      <c r="A136" s="32" t="str">
        <f t="shared" ca="1" si="2"/>
        <v>2025-08-16</v>
      </c>
      <c r="B136" s="179">
        <f ca="1">IF(ISNUMBER(MATCH(DATEVALUE($A136),'recurring1_based on steps'!B$1:B$400,0)),B$2,)</f>
        <v>0</v>
      </c>
      <c r="C136" s="179">
        <f ca="1">IF(ISNUMBER(MATCH(DATEVALUE($A136),'recurring1_based on steps'!C$1:C$400,0)),C$2,)</f>
        <v>0</v>
      </c>
      <c r="D136" s="179">
        <f ca="1">IF(ISNUMBER(MATCH(DATEVALUE($A136),'recurring1_based on steps'!D$1:D$400,0)),D$2,)</f>
        <v>0</v>
      </c>
      <c r="E136" s="179">
        <f ca="1">IF(ISNUMBER(MATCH(DATEVALUE($A136),'recurring1_based on steps'!E$1:E$400,0)),E$2,)</f>
        <v>0</v>
      </c>
      <c r="F136" s="179">
        <f ca="1">IF(ISNUMBER(MATCH(DATEVALUE($A136),'recurring1_based on steps'!F$1:F$400,0)),F$2,)</f>
        <v>0</v>
      </c>
      <c r="G136" s="179">
        <f ca="1">IF(ISNUMBER(MATCH(DATEVALUE($A136),'recurring1_based on steps'!G$1:G$400,0)),G$2,)</f>
        <v>0</v>
      </c>
      <c r="H136" s="179">
        <f ca="1">IF(ISNUMBER(MATCH(DATEVALUE($A136),'recurring1_based on steps'!H$1:H$400,0)),H$2,)</f>
        <v>0</v>
      </c>
      <c r="I136" s="179">
        <f ca="1">IF(ISNUMBER(MATCH(DATEVALUE($A136),'recurring1_based on steps'!I$1:I$400,0)),I$2,)</f>
        <v>0</v>
      </c>
      <c r="J136" s="179">
        <f ca="1">IF(ISNUMBER(MATCH(DATEVALUE($A136),'recurring1_based on steps'!J$1:J$400,0)),J$2,)</f>
        <v>0</v>
      </c>
      <c r="K136" s="179">
        <f ca="1">IF(ISNUMBER(MATCH(DATEVALUE($A136),'recurring1_based on steps'!K$1:K$400,0)),K$2,)</f>
        <v>0</v>
      </c>
      <c r="L136" s="179">
        <f ca="1">IF(ISNUMBER(MATCH(DATEVALUE($A136),'recurring1_based on steps'!L$1:L$400,0)),L$2,)</f>
        <v>0</v>
      </c>
      <c r="M136" s="179">
        <f ca="1">IF(ISNUMBER(MATCH(DATEVALUE($A136),'recurring1_based on steps'!M$1:M$400,0)),M$2,)</f>
        <v>0</v>
      </c>
      <c r="N136" s="179">
        <f ca="1">IF(ISNUMBER(MATCH(DATEVALUE($A136),'recurring1_based on steps'!N$1:N$400,0)),N$2,)</f>
        <v>0</v>
      </c>
      <c r="O136" s="179">
        <f ca="1">IF(ISNUMBER(MATCH(DATEVALUE($A136),'recurring1_based on steps'!O$1:O$400,0)),O$2,)</f>
        <v>0</v>
      </c>
      <c r="P136" s="179">
        <f ca="1">IF(ISNUMBER(MATCH(DATEVALUE($A136),'recurring1_based on steps'!P$1:P$400,0)),P$2,)</f>
        <v>0</v>
      </c>
      <c r="Q136" s="179">
        <f ca="1">IF(ISNUMBER(MATCH(DATEVALUE($A136),'recurring1_based on steps'!Q$1:Q$400,0)),Q$2,)</f>
        <v>0</v>
      </c>
      <c r="R136" s="179">
        <f ca="1">IF(ISNUMBER(MATCH(DATEVALUE($A136),'recurring1_based on steps'!R$1:R$400,0)),R$2,)</f>
        <v>0</v>
      </c>
      <c r="S136" s="179">
        <f ca="1">IF(ISNUMBER(MATCH(DATEVALUE($A136),'recurring1_based on steps'!S$1:S$400,0)),S$2,)</f>
        <v>0</v>
      </c>
      <c r="T136" s="179">
        <f ca="1">IF(ISNUMBER(MATCH(DATEVALUE($A136),'recurring1_based on steps'!T$1:T$400,0)),T$2,)</f>
        <v>0</v>
      </c>
      <c r="U136" s="179">
        <f ca="1">IF(ISNUMBER(MATCH(DATEVALUE($A136),'recurring1_based on steps'!U$1:U$400,0)),U$2,)</f>
        <v>0</v>
      </c>
      <c r="V136" s="179">
        <f ca="1">IF(ISNUMBER(MATCH(DATEVALUE($A136),'recurring1_based on steps'!V$1:V$400,0)),V$2,)</f>
        <v>0</v>
      </c>
      <c r="W136" s="179">
        <f ca="1">IF(ISNUMBER(MATCH(DATEVALUE($A136),'recurring1_based on steps'!W$1:W$400,0)),W$2,)</f>
        <v>0</v>
      </c>
      <c r="X136" s="179">
        <f ca="1">IF(ISNUMBER(MATCH(DATEVALUE($A136),'recurring1_based on steps'!X$1:X$400,0)),X$2,)</f>
        <v>0</v>
      </c>
      <c r="Y136" s="179">
        <f ca="1">IF(ISNUMBER(MATCH(DATEVALUE($A136),'recurring1_based on steps'!Y$1:Y$400,0)),Y$2,)</f>
        <v>0</v>
      </c>
      <c r="Z136" s="179">
        <f ca="1">IF(ISNUMBER(MATCH(DATEVALUE($A136),'recurring1_based on steps'!Z$1:Z$400,0)),Z$2,)</f>
        <v>0</v>
      </c>
      <c r="AA136" s="179">
        <f ca="1">IF(ISNUMBER(MATCH(DATEVALUE($A136),'recurring1_based on steps'!AA$1:AA$400,0)),AA$2,)</f>
        <v>0</v>
      </c>
      <c r="AB136" s="179">
        <f ca="1">IF(ISNUMBER(MATCH(DATEVALUE($A136),'recurring1_based on steps'!AB$1:AB$400,0)),AB$2,)</f>
        <v>0</v>
      </c>
      <c r="AC136" s="179">
        <f ca="1">IF(ISNUMBER(MATCH(DATEVALUE($A136),'recurring1_based on steps'!AC$1:AC$400,0)),AC$2,)</f>
        <v>0</v>
      </c>
      <c r="AD136" s="179">
        <f ca="1">IF(ISNUMBER(MATCH(DATEVALUE($A136),'recurring1_based on steps'!AD$1:AD$400,0)),AD$2,)</f>
        <v>0</v>
      </c>
      <c r="AE136" s="179">
        <f ca="1">IF(ISNUMBER(MATCH(DATEVALUE($A136),'recurring1_based on steps'!AE$1:AE$400,0)),AE$2,)</f>
        <v>0</v>
      </c>
      <c r="AF136" s="179">
        <f ca="1">IF(ISNUMBER(MATCH(DATEVALUE($A136),'recurring1_based on steps'!AF$1:AF$400,0)),AF$2,)</f>
        <v>0</v>
      </c>
      <c r="AG136" s="179">
        <f ca="1">IF(ISNUMBER(MATCH(DATEVALUE($A136),'recurring1_based on steps'!AG$1:AG$400,0)),AG$2,)</f>
        <v>0</v>
      </c>
      <c r="AH136" s="179">
        <f ca="1">IF(ISNUMBER(MATCH(DATEVALUE($A136),'recurring1_based on steps'!AH$1:AH$400,0)),AH$2,)</f>
        <v>0</v>
      </c>
      <c r="AI136" s="179">
        <f ca="1">IF(ISNUMBER(MATCH(DATEVALUE($A136),'recurring1_based on steps'!AI$1:AI$400,0)),AI$2,)</f>
        <v>0</v>
      </c>
      <c r="AJ136" s="179">
        <f ca="1">IF(ISNUMBER(MATCH(DATEVALUE($A136),'recurring1_based on steps'!AJ$1:AJ$400,0)),AJ$2,)</f>
        <v>0</v>
      </c>
      <c r="AK136" s="179">
        <f ca="1">IF(ISNUMBER(MATCH(DATEVALUE($A136),'recurring1_based on steps'!AK$1:AK$400,0)),AK$2,)</f>
        <v>0</v>
      </c>
      <c r="AL136" s="179">
        <f ca="1">IF(ISNUMBER(MATCH(DATEVALUE($A136),'recurring1_based on steps'!AL$1:AL$400,0)),AL$2,)</f>
        <v>0</v>
      </c>
      <c r="AM136" s="179">
        <f ca="1">IF(ISNUMBER(MATCH(DATEVALUE($A136),'recurring1_based on steps'!AM$1:AM$400,0)),AM$2,)</f>
        <v>0</v>
      </c>
      <c r="AN136" s="179">
        <f ca="1">IF(ISNUMBER(MATCH(DATEVALUE($A136),'recurring1_based on steps'!AN$1:AN$400,0)),AN$2,)</f>
        <v>0</v>
      </c>
      <c r="AO136" s="179">
        <f ca="1">IF(ISNUMBER(MATCH(DATEVALUE($A136),'recurring1_based on steps'!AO$1:AO$400,0)),AO$2,)</f>
        <v>0</v>
      </c>
      <c r="AP136" s="179">
        <f ca="1">IF(ISNUMBER(MATCH(DATEVALUE($A136),'recurring1_based on steps'!AP$1:AP$400,0)),AP$2,)</f>
        <v>0</v>
      </c>
      <c r="AQ136" s="179">
        <f ca="1">IF(ISNUMBER(MATCH(DATEVALUE($A136),'recurring1_based on steps'!AQ$1:AQ$400,0)),AQ$2,)</f>
        <v>0</v>
      </c>
      <c r="AR136" s="179">
        <f ca="1">IF(ISNUMBER(MATCH(DATEVALUE($A136),'recurring1_based on steps'!AR$1:AR$400,0)),AR$2,)</f>
        <v>0</v>
      </c>
      <c r="AS136" s="179">
        <f ca="1">IF(ISNUMBER(MATCH(DATEVALUE($A136),'recurring1_based on steps'!AS$1:AS$400,0)),AS$2,)</f>
        <v>0</v>
      </c>
      <c r="AT136" s="179">
        <f ca="1">IF(ISNUMBER(MATCH(DATEVALUE($A136),'recurring1_based on steps'!AT$1:AT$400,0)),AT$2,)</f>
        <v>0</v>
      </c>
      <c r="AU136" s="179">
        <f ca="1">IF(ISNUMBER(MATCH(DATEVALUE($A136),'recurring1_based on steps'!AU$1:AU$400,0)),AU$2,)</f>
        <v>0</v>
      </c>
      <c r="AV136" s="179">
        <f ca="1">IF(ISNUMBER(MATCH(DATEVALUE($A136),'recurring1_based on steps'!AV$1:AV$400,0)),AV$2,)</f>
        <v>0</v>
      </c>
      <c r="AW136" s="179">
        <f ca="1">IF(ISNUMBER(MATCH(DATEVALUE($A136),'recurring1_based on steps'!AW$1:AW$400,0)),AW$2,)</f>
        <v>0</v>
      </c>
      <c r="AX136" s="179">
        <f ca="1">IF(ISNUMBER(MATCH(DATEVALUE($A136),'recurring1_based on steps'!AX$1:AX$400,0)),AX$2,)</f>
        <v>0</v>
      </c>
      <c r="AY136" s="179">
        <f ca="1">IF(ISNUMBER(MATCH(DATEVALUE($A136),'recurring1_based on steps'!AY$1:AY$400,0)),AY$2,)</f>
        <v>0</v>
      </c>
    </row>
    <row r="137" spans="1:51" x14ac:dyDescent="0.2">
      <c r="A137" s="32" t="str">
        <f t="shared" ca="1" si="2"/>
        <v>2025-08-17</v>
      </c>
      <c r="B137" s="179">
        <f ca="1">IF(ISNUMBER(MATCH(DATEVALUE($A137),'recurring1_based on steps'!B$1:B$400,0)),B$2,)</f>
        <v>0</v>
      </c>
      <c r="C137" s="179">
        <f ca="1">IF(ISNUMBER(MATCH(DATEVALUE($A137),'recurring1_based on steps'!C$1:C$400,0)),C$2,)</f>
        <v>0</v>
      </c>
      <c r="D137" s="179">
        <f ca="1">IF(ISNUMBER(MATCH(DATEVALUE($A137),'recurring1_based on steps'!D$1:D$400,0)),D$2,)</f>
        <v>0</v>
      </c>
      <c r="E137" s="179">
        <f ca="1">IF(ISNUMBER(MATCH(DATEVALUE($A137),'recurring1_based on steps'!E$1:E$400,0)),E$2,)</f>
        <v>0</v>
      </c>
      <c r="F137" s="179">
        <f ca="1">IF(ISNUMBER(MATCH(DATEVALUE($A137),'recurring1_based on steps'!F$1:F$400,0)),F$2,)</f>
        <v>0</v>
      </c>
      <c r="G137" s="179">
        <f ca="1">IF(ISNUMBER(MATCH(DATEVALUE($A137),'recurring1_based on steps'!G$1:G$400,0)),G$2,)</f>
        <v>0</v>
      </c>
      <c r="H137" s="179">
        <f ca="1">IF(ISNUMBER(MATCH(DATEVALUE($A137),'recurring1_based on steps'!H$1:H$400,0)),H$2,)</f>
        <v>0</v>
      </c>
      <c r="I137" s="179">
        <f ca="1">IF(ISNUMBER(MATCH(DATEVALUE($A137),'recurring1_based on steps'!I$1:I$400,0)),I$2,)</f>
        <v>0</v>
      </c>
      <c r="J137" s="179">
        <f ca="1">IF(ISNUMBER(MATCH(DATEVALUE($A137),'recurring1_based on steps'!J$1:J$400,0)),J$2,)</f>
        <v>0</v>
      </c>
      <c r="K137" s="179">
        <f ca="1">IF(ISNUMBER(MATCH(DATEVALUE($A137),'recurring1_based on steps'!K$1:K$400,0)),K$2,)</f>
        <v>0</v>
      </c>
      <c r="L137" s="179">
        <f ca="1">IF(ISNUMBER(MATCH(DATEVALUE($A137),'recurring1_based on steps'!L$1:L$400,0)),L$2,)</f>
        <v>0</v>
      </c>
      <c r="M137" s="179">
        <f ca="1">IF(ISNUMBER(MATCH(DATEVALUE($A137),'recurring1_based on steps'!M$1:M$400,0)),M$2,)</f>
        <v>0</v>
      </c>
      <c r="N137" s="179">
        <f ca="1">IF(ISNUMBER(MATCH(DATEVALUE($A137),'recurring1_based on steps'!N$1:N$400,0)),N$2,)</f>
        <v>0</v>
      </c>
      <c r="O137" s="179">
        <f ca="1">IF(ISNUMBER(MATCH(DATEVALUE($A137),'recurring1_based on steps'!O$1:O$400,0)),O$2,)</f>
        <v>0</v>
      </c>
      <c r="P137" s="179">
        <f ca="1">IF(ISNUMBER(MATCH(DATEVALUE($A137),'recurring1_based on steps'!P$1:P$400,0)),P$2,)</f>
        <v>0</v>
      </c>
      <c r="Q137" s="179">
        <f ca="1">IF(ISNUMBER(MATCH(DATEVALUE($A137),'recurring1_based on steps'!Q$1:Q$400,0)),Q$2,)</f>
        <v>0</v>
      </c>
      <c r="R137" s="179">
        <f ca="1">IF(ISNUMBER(MATCH(DATEVALUE($A137),'recurring1_based on steps'!R$1:R$400,0)),R$2,)</f>
        <v>0</v>
      </c>
      <c r="S137" s="179">
        <f ca="1">IF(ISNUMBER(MATCH(DATEVALUE($A137),'recurring1_based on steps'!S$1:S$400,0)),S$2,)</f>
        <v>0</v>
      </c>
      <c r="T137" s="179">
        <f ca="1">IF(ISNUMBER(MATCH(DATEVALUE($A137),'recurring1_based on steps'!T$1:T$400,0)),T$2,)</f>
        <v>0</v>
      </c>
      <c r="U137" s="179">
        <f ca="1">IF(ISNUMBER(MATCH(DATEVALUE($A137),'recurring1_based on steps'!U$1:U$400,0)),U$2,)</f>
        <v>0</v>
      </c>
      <c r="V137" s="179">
        <f ca="1">IF(ISNUMBER(MATCH(DATEVALUE($A137),'recurring1_based on steps'!V$1:V$400,0)),V$2,)</f>
        <v>0</v>
      </c>
      <c r="W137" s="179">
        <f ca="1">IF(ISNUMBER(MATCH(DATEVALUE($A137),'recurring1_based on steps'!W$1:W$400,0)),W$2,)</f>
        <v>0</v>
      </c>
      <c r="X137" s="179">
        <f ca="1">IF(ISNUMBER(MATCH(DATEVALUE($A137),'recurring1_based on steps'!X$1:X$400,0)),X$2,)</f>
        <v>0</v>
      </c>
      <c r="Y137" s="179">
        <f ca="1">IF(ISNUMBER(MATCH(DATEVALUE($A137),'recurring1_based on steps'!Y$1:Y$400,0)),Y$2,)</f>
        <v>0</v>
      </c>
      <c r="Z137" s="179">
        <f ca="1">IF(ISNUMBER(MATCH(DATEVALUE($A137),'recurring1_based on steps'!Z$1:Z$400,0)),Z$2,)</f>
        <v>0</v>
      </c>
      <c r="AA137" s="179">
        <f ca="1">IF(ISNUMBER(MATCH(DATEVALUE($A137),'recurring1_based on steps'!AA$1:AA$400,0)),AA$2,)</f>
        <v>0</v>
      </c>
      <c r="AB137" s="179">
        <f ca="1">IF(ISNUMBER(MATCH(DATEVALUE($A137),'recurring1_based on steps'!AB$1:AB$400,0)),AB$2,)</f>
        <v>0</v>
      </c>
      <c r="AC137" s="179">
        <f ca="1">IF(ISNUMBER(MATCH(DATEVALUE($A137),'recurring1_based on steps'!AC$1:AC$400,0)),AC$2,)</f>
        <v>0</v>
      </c>
      <c r="AD137" s="179">
        <f ca="1">IF(ISNUMBER(MATCH(DATEVALUE($A137),'recurring1_based on steps'!AD$1:AD$400,0)),AD$2,)</f>
        <v>0</v>
      </c>
      <c r="AE137" s="179">
        <f ca="1">IF(ISNUMBER(MATCH(DATEVALUE($A137),'recurring1_based on steps'!AE$1:AE$400,0)),AE$2,)</f>
        <v>0</v>
      </c>
      <c r="AF137" s="179">
        <f ca="1">IF(ISNUMBER(MATCH(DATEVALUE($A137),'recurring1_based on steps'!AF$1:AF$400,0)),AF$2,)</f>
        <v>0</v>
      </c>
      <c r="AG137" s="179">
        <f ca="1">IF(ISNUMBER(MATCH(DATEVALUE($A137),'recurring1_based on steps'!AG$1:AG$400,0)),AG$2,)</f>
        <v>0</v>
      </c>
      <c r="AH137" s="179">
        <f ca="1">IF(ISNUMBER(MATCH(DATEVALUE($A137),'recurring1_based on steps'!AH$1:AH$400,0)),AH$2,)</f>
        <v>0</v>
      </c>
      <c r="AI137" s="179">
        <f ca="1">IF(ISNUMBER(MATCH(DATEVALUE($A137),'recurring1_based on steps'!AI$1:AI$400,0)),AI$2,)</f>
        <v>0</v>
      </c>
      <c r="AJ137" s="179">
        <f ca="1">IF(ISNUMBER(MATCH(DATEVALUE($A137),'recurring1_based on steps'!AJ$1:AJ$400,0)),AJ$2,)</f>
        <v>0</v>
      </c>
      <c r="AK137" s="179">
        <f ca="1">IF(ISNUMBER(MATCH(DATEVALUE($A137),'recurring1_based on steps'!AK$1:AK$400,0)),AK$2,)</f>
        <v>0</v>
      </c>
      <c r="AL137" s="179">
        <f ca="1">IF(ISNUMBER(MATCH(DATEVALUE($A137),'recurring1_based on steps'!AL$1:AL$400,0)),AL$2,)</f>
        <v>0</v>
      </c>
      <c r="AM137" s="179">
        <f ca="1">IF(ISNUMBER(MATCH(DATEVALUE($A137),'recurring1_based on steps'!AM$1:AM$400,0)),AM$2,)</f>
        <v>0</v>
      </c>
      <c r="AN137" s="179">
        <f ca="1">IF(ISNUMBER(MATCH(DATEVALUE($A137),'recurring1_based on steps'!AN$1:AN$400,0)),AN$2,)</f>
        <v>0</v>
      </c>
      <c r="AO137" s="179">
        <f ca="1">IF(ISNUMBER(MATCH(DATEVALUE($A137),'recurring1_based on steps'!AO$1:AO$400,0)),AO$2,)</f>
        <v>0</v>
      </c>
      <c r="AP137" s="179">
        <f ca="1">IF(ISNUMBER(MATCH(DATEVALUE($A137),'recurring1_based on steps'!AP$1:AP$400,0)),AP$2,)</f>
        <v>0</v>
      </c>
      <c r="AQ137" s="179">
        <f ca="1">IF(ISNUMBER(MATCH(DATEVALUE($A137),'recurring1_based on steps'!AQ$1:AQ$400,0)),AQ$2,)</f>
        <v>0</v>
      </c>
      <c r="AR137" s="179">
        <f ca="1">IF(ISNUMBER(MATCH(DATEVALUE($A137),'recurring1_based on steps'!AR$1:AR$400,0)),AR$2,)</f>
        <v>0</v>
      </c>
      <c r="AS137" s="179">
        <f ca="1">IF(ISNUMBER(MATCH(DATEVALUE($A137),'recurring1_based on steps'!AS$1:AS$400,0)),AS$2,)</f>
        <v>0</v>
      </c>
      <c r="AT137" s="179">
        <f ca="1">IF(ISNUMBER(MATCH(DATEVALUE($A137),'recurring1_based on steps'!AT$1:AT$400,0)),AT$2,)</f>
        <v>0</v>
      </c>
      <c r="AU137" s="179">
        <f ca="1">IF(ISNUMBER(MATCH(DATEVALUE($A137),'recurring1_based on steps'!AU$1:AU$400,0)),AU$2,)</f>
        <v>0</v>
      </c>
      <c r="AV137" s="179">
        <f ca="1">IF(ISNUMBER(MATCH(DATEVALUE($A137),'recurring1_based on steps'!AV$1:AV$400,0)),AV$2,)</f>
        <v>0</v>
      </c>
      <c r="AW137" s="179">
        <f ca="1">IF(ISNUMBER(MATCH(DATEVALUE($A137),'recurring1_based on steps'!AW$1:AW$400,0)),AW$2,)</f>
        <v>0</v>
      </c>
      <c r="AX137" s="179">
        <f ca="1">IF(ISNUMBER(MATCH(DATEVALUE($A137),'recurring1_based on steps'!AX$1:AX$400,0)),AX$2,)</f>
        <v>0</v>
      </c>
      <c r="AY137" s="179">
        <f ca="1">IF(ISNUMBER(MATCH(DATEVALUE($A137),'recurring1_based on steps'!AY$1:AY$400,0)),AY$2,)</f>
        <v>0</v>
      </c>
    </row>
    <row r="138" spans="1:51" x14ac:dyDescent="0.2">
      <c r="A138" s="32" t="str">
        <f t="shared" ca="1" si="2"/>
        <v>2025-08-18</v>
      </c>
      <c r="B138" s="179">
        <f ca="1">IF(ISNUMBER(MATCH(DATEVALUE($A138),'recurring1_based on steps'!B$1:B$400,0)),B$2,)</f>
        <v>0</v>
      </c>
      <c r="C138" s="179">
        <f ca="1">IF(ISNUMBER(MATCH(DATEVALUE($A138),'recurring1_based on steps'!C$1:C$400,0)),C$2,)</f>
        <v>0</v>
      </c>
      <c r="D138" s="179">
        <f ca="1">IF(ISNUMBER(MATCH(DATEVALUE($A138),'recurring1_based on steps'!D$1:D$400,0)),D$2,)</f>
        <v>0</v>
      </c>
      <c r="E138" s="179">
        <f ca="1">IF(ISNUMBER(MATCH(DATEVALUE($A138),'recurring1_based on steps'!E$1:E$400,0)),E$2,)</f>
        <v>0</v>
      </c>
      <c r="F138" s="179">
        <f ca="1">IF(ISNUMBER(MATCH(DATEVALUE($A138),'recurring1_based on steps'!F$1:F$400,0)),F$2,)</f>
        <v>0</v>
      </c>
      <c r="G138" s="179">
        <f ca="1">IF(ISNUMBER(MATCH(DATEVALUE($A138),'recurring1_based on steps'!G$1:G$400,0)),G$2,)</f>
        <v>0</v>
      </c>
      <c r="H138" s="179">
        <f ca="1">IF(ISNUMBER(MATCH(DATEVALUE($A138),'recurring1_based on steps'!H$1:H$400,0)),H$2,)</f>
        <v>0</v>
      </c>
      <c r="I138" s="179">
        <f ca="1">IF(ISNUMBER(MATCH(DATEVALUE($A138),'recurring1_based on steps'!I$1:I$400,0)),I$2,)</f>
        <v>0</v>
      </c>
      <c r="J138" s="179">
        <f ca="1">IF(ISNUMBER(MATCH(DATEVALUE($A138),'recurring1_based on steps'!J$1:J$400,0)),J$2,)</f>
        <v>0</v>
      </c>
      <c r="K138" s="179">
        <f ca="1">IF(ISNUMBER(MATCH(DATEVALUE($A138),'recurring1_based on steps'!K$1:K$400,0)),K$2,)</f>
        <v>0</v>
      </c>
      <c r="L138" s="179">
        <f ca="1">IF(ISNUMBER(MATCH(DATEVALUE($A138),'recurring1_based on steps'!L$1:L$400,0)),L$2,)</f>
        <v>0</v>
      </c>
      <c r="M138" s="179">
        <f ca="1">IF(ISNUMBER(MATCH(DATEVALUE($A138),'recurring1_based on steps'!M$1:M$400,0)),M$2,)</f>
        <v>0</v>
      </c>
      <c r="N138" s="179">
        <f ca="1">IF(ISNUMBER(MATCH(DATEVALUE($A138),'recurring1_based on steps'!N$1:N$400,0)),N$2,)</f>
        <v>0</v>
      </c>
      <c r="O138" s="179">
        <f ca="1">IF(ISNUMBER(MATCH(DATEVALUE($A138),'recurring1_based on steps'!O$1:O$400,0)),O$2,)</f>
        <v>0</v>
      </c>
      <c r="P138" s="179">
        <f ca="1">IF(ISNUMBER(MATCH(DATEVALUE($A138),'recurring1_based on steps'!P$1:P$400,0)),P$2,)</f>
        <v>0</v>
      </c>
      <c r="Q138" s="179">
        <f ca="1">IF(ISNUMBER(MATCH(DATEVALUE($A138),'recurring1_based on steps'!Q$1:Q$400,0)),Q$2,)</f>
        <v>0</v>
      </c>
      <c r="R138" s="179">
        <f ca="1">IF(ISNUMBER(MATCH(DATEVALUE($A138),'recurring1_based on steps'!R$1:R$400,0)),R$2,)</f>
        <v>0</v>
      </c>
      <c r="S138" s="179">
        <f ca="1">IF(ISNUMBER(MATCH(DATEVALUE($A138),'recurring1_based on steps'!S$1:S$400,0)),S$2,)</f>
        <v>0</v>
      </c>
      <c r="T138" s="179">
        <f ca="1">IF(ISNUMBER(MATCH(DATEVALUE($A138),'recurring1_based on steps'!T$1:T$400,0)),T$2,)</f>
        <v>0</v>
      </c>
      <c r="U138" s="179">
        <f ca="1">IF(ISNUMBER(MATCH(DATEVALUE($A138),'recurring1_based on steps'!U$1:U$400,0)),U$2,)</f>
        <v>0</v>
      </c>
      <c r="V138" s="179">
        <f ca="1">IF(ISNUMBER(MATCH(DATEVALUE($A138),'recurring1_based on steps'!V$1:V$400,0)),V$2,)</f>
        <v>0</v>
      </c>
      <c r="W138" s="179">
        <f ca="1">IF(ISNUMBER(MATCH(DATEVALUE($A138),'recurring1_based on steps'!W$1:W$400,0)),W$2,)</f>
        <v>0</v>
      </c>
      <c r="X138" s="179">
        <f ca="1">IF(ISNUMBER(MATCH(DATEVALUE($A138),'recurring1_based on steps'!X$1:X$400,0)),X$2,)</f>
        <v>0</v>
      </c>
      <c r="Y138" s="179">
        <f ca="1">IF(ISNUMBER(MATCH(DATEVALUE($A138),'recurring1_based on steps'!Y$1:Y$400,0)),Y$2,)</f>
        <v>0</v>
      </c>
      <c r="Z138" s="179">
        <f ca="1">IF(ISNUMBER(MATCH(DATEVALUE($A138),'recurring1_based on steps'!Z$1:Z$400,0)),Z$2,)</f>
        <v>0</v>
      </c>
      <c r="AA138" s="179">
        <f ca="1">IF(ISNUMBER(MATCH(DATEVALUE($A138),'recurring1_based on steps'!AA$1:AA$400,0)),AA$2,)</f>
        <v>0</v>
      </c>
      <c r="AB138" s="179">
        <f ca="1">IF(ISNUMBER(MATCH(DATEVALUE($A138),'recurring1_based on steps'!AB$1:AB$400,0)),AB$2,)</f>
        <v>0</v>
      </c>
      <c r="AC138" s="179">
        <f ca="1">IF(ISNUMBER(MATCH(DATEVALUE($A138),'recurring1_based on steps'!AC$1:AC$400,0)),AC$2,)</f>
        <v>0</v>
      </c>
      <c r="AD138" s="179">
        <f ca="1">IF(ISNUMBER(MATCH(DATEVALUE($A138),'recurring1_based on steps'!AD$1:AD$400,0)),AD$2,)</f>
        <v>0</v>
      </c>
      <c r="AE138" s="179">
        <f ca="1">IF(ISNUMBER(MATCH(DATEVALUE($A138),'recurring1_based on steps'!AE$1:AE$400,0)),AE$2,)</f>
        <v>0</v>
      </c>
      <c r="AF138" s="179">
        <f ca="1">IF(ISNUMBER(MATCH(DATEVALUE($A138),'recurring1_based on steps'!AF$1:AF$400,0)),AF$2,)</f>
        <v>0</v>
      </c>
      <c r="AG138" s="179">
        <f ca="1">IF(ISNUMBER(MATCH(DATEVALUE($A138),'recurring1_based on steps'!AG$1:AG$400,0)),AG$2,)</f>
        <v>0</v>
      </c>
      <c r="AH138" s="179">
        <f ca="1">IF(ISNUMBER(MATCH(DATEVALUE($A138),'recurring1_based on steps'!AH$1:AH$400,0)),AH$2,)</f>
        <v>0</v>
      </c>
      <c r="AI138" s="179">
        <f ca="1">IF(ISNUMBER(MATCH(DATEVALUE($A138),'recurring1_based on steps'!AI$1:AI$400,0)),AI$2,)</f>
        <v>0</v>
      </c>
      <c r="AJ138" s="179">
        <f ca="1">IF(ISNUMBER(MATCH(DATEVALUE($A138),'recurring1_based on steps'!AJ$1:AJ$400,0)),AJ$2,)</f>
        <v>0</v>
      </c>
      <c r="AK138" s="179">
        <f ca="1">IF(ISNUMBER(MATCH(DATEVALUE($A138),'recurring1_based on steps'!AK$1:AK$400,0)),AK$2,)</f>
        <v>0</v>
      </c>
      <c r="AL138" s="179">
        <f ca="1">IF(ISNUMBER(MATCH(DATEVALUE($A138),'recurring1_based on steps'!AL$1:AL$400,0)),AL$2,)</f>
        <v>0</v>
      </c>
      <c r="AM138" s="179">
        <f ca="1">IF(ISNUMBER(MATCH(DATEVALUE($A138),'recurring1_based on steps'!AM$1:AM$400,0)),AM$2,)</f>
        <v>0</v>
      </c>
      <c r="AN138" s="179">
        <f ca="1">IF(ISNUMBER(MATCH(DATEVALUE($A138),'recurring1_based on steps'!AN$1:AN$400,0)),AN$2,)</f>
        <v>0</v>
      </c>
      <c r="AO138" s="179">
        <f ca="1">IF(ISNUMBER(MATCH(DATEVALUE($A138),'recurring1_based on steps'!AO$1:AO$400,0)),AO$2,)</f>
        <v>0</v>
      </c>
      <c r="AP138" s="179">
        <f ca="1">IF(ISNUMBER(MATCH(DATEVALUE($A138),'recurring1_based on steps'!AP$1:AP$400,0)),AP$2,)</f>
        <v>0</v>
      </c>
      <c r="AQ138" s="179">
        <f ca="1">IF(ISNUMBER(MATCH(DATEVALUE($A138),'recurring1_based on steps'!AQ$1:AQ$400,0)),AQ$2,)</f>
        <v>0</v>
      </c>
      <c r="AR138" s="179">
        <f ca="1">IF(ISNUMBER(MATCH(DATEVALUE($A138),'recurring1_based on steps'!AR$1:AR$400,0)),AR$2,)</f>
        <v>0</v>
      </c>
      <c r="AS138" s="179">
        <f ca="1">IF(ISNUMBER(MATCH(DATEVALUE($A138),'recurring1_based on steps'!AS$1:AS$400,0)),AS$2,)</f>
        <v>0</v>
      </c>
      <c r="AT138" s="179">
        <f ca="1">IF(ISNUMBER(MATCH(DATEVALUE($A138),'recurring1_based on steps'!AT$1:AT$400,0)),AT$2,)</f>
        <v>0</v>
      </c>
      <c r="AU138" s="179">
        <f ca="1">IF(ISNUMBER(MATCH(DATEVALUE($A138),'recurring1_based on steps'!AU$1:AU$400,0)),AU$2,)</f>
        <v>0</v>
      </c>
      <c r="AV138" s="179">
        <f ca="1">IF(ISNUMBER(MATCH(DATEVALUE($A138),'recurring1_based on steps'!AV$1:AV$400,0)),AV$2,)</f>
        <v>0</v>
      </c>
      <c r="AW138" s="179">
        <f ca="1">IF(ISNUMBER(MATCH(DATEVALUE($A138),'recurring1_based on steps'!AW$1:AW$400,0)),AW$2,)</f>
        <v>0</v>
      </c>
      <c r="AX138" s="179">
        <f ca="1">IF(ISNUMBER(MATCH(DATEVALUE($A138),'recurring1_based on steps'!AX$1:AX$400,0)),AX$2,)</f>
        <v>0</v>
      </c>
      <c r="AY138" s="179">
        <f ca="1">IF(ISNUMBER(MATCH(DATEVALUE($A138),'recurring1_based on steps'!AY$1:AY$400,0)),AY$2,)</f>
        <v>0</v>
      </c>
    </row>
    <row r="139" spans="1:51" x14ac:dyDescent="0.2">
      <c r="A139" s="32" t="str">
        <f t="shared" ca="1" si="2"/>
        <v>2025-08-19</v>
      </c>
      <c r="B139" s="179">
        <f ca="1">IF(ISNUMBER(MATCH(DATEVALUE($A139),'recurring1_based on steps'!B$1:B$400,0)),B$2,)</f>
        <v>0</v>
      </c>
      <c r="C139" s="179">
        <f ca="1">IF(ISNUMBER(MATCH(DATEVALUE($A139),'recurring1_based on steps'!C$1:C$400,0)),C$2,)</f>
        <v>0</v>
      </c>
      <c r="D139" s="179">
        <f ca="1">IF(ISNUMBER(MATCH(DATEVALUE($A139),'recurring1_based on steps'!D$1:D$400,0)),D$2,)</f>
        <v>0</v>
      </c>
      <c r="E139" s="179">
        <f ca="1">IF(ISNUMBER(MATCH(DATEVALUE($A139),'recurring1_based on steps'!E$1:E$400,0)),E$2,)</f>
        <v>0</v>
      </c>
      <c r="F139" s="179">
        <f ca="1">IF(ISNUMBER(MATCH(DATEVALUE($A139),'recurring1_based on steps'!F$1:F$400,0)),F$2,)</f>
        <v>0</v>
      </c>
      <c r="G139" s="179">
        <f ca="1">IF(ISNUMBER(MATCH(DATEVALUE($A139),'recurring1_based on steps'!G$1:G$400,0)),G$2,)</f>
        <v>0</v>
      </c>
      <c r="H139" s="179">
        <f ca="1">IF(ISNUMBER(MATCH(DATEVALUE($A139),'recurring1_based on steps'!H$1:H$400,0)),H$2,)</f>
        <v>0</v>
      </c>
      <c r="I139" s="179">
        <f ca="1">IF(ISNUMBER(MATCH(DATEVALUE($A139),'recurring1_based on steps'!I$1:I$400,0)),I$2,)</f>
        <v>0</v>
      </c>
      <c r="J139" s="179">
        <f ca="1">IF(ISNUMBER(MATCH(DATEVALUE($A139),'recurring1_based on steps'!J$1:J$400,0)),J$2,)</f>
        <v>0</v>
      </c>
      <c r="K139" s="179">
        <f ca="1">IF(ISNUMBER(MATCH(DATEVALUE($A139),'recurring1_based on steps'!K$1:K$400,0)),K$2,)</f>
        <v>0</v>
      </c>
      <c r="L139" s="179">
        <f ca="1">IF(ISNUMBER(MATCH(DATEVALUE($A139),'recurring1_based on steps'!L$1:L$400,0)),L$2,)</f>
        <v>0</v>
      </c>
      <c r="M139" s="179">
        <f ca="1">IF(ISNUMBER(MATCH(DATEVALUE($A139),'recurring1_based on steps'!M$1:M$400,0)),M$2,)</f>
        <v>0</v>
      </c>
      <c r="N139" s="179">
        <f ca="1">IF(ISNUMBER(MATCH(DATEVALUE($A139),'recurring1_based on steps'!N$1:N$400,0)),N$2,)</f>
        <v>0</v>
      </c>
      <c r="O139" s="179">
        <f ca="1">IF(ISNUMBER(MATCH(DATEVALUE($A139),'recurring1_based on steps'!O$1:O$400,0)),O$2,)</f>
        <v>0</v>
      </c>
      <c r="P139" s="179">
        <f ca="1">IF(ISNUMBER(MATCH(DATEVALUE($A139),'recurring1_based on steps'!P$1:P$400,0)),P$2,)</f>
        <v>0</v>
      </c>
      <c r="Q139" s="179">
        <f ca="1">IF(ISNUMBER(MATCH(DATEVALUE($A139),'recurring1_based on steps'!Q$1:Q$400,0)),Q$2,)</f>
        <v>0</v>
      </c>
      <c r="R139" s="179">
        <f ca="1">IF(ISNUMBER(MATCH(DATEVALUE($A139),'recurring1_based on steps'!R$1:R$400,0)),R$2,)</f>
        <v>0</v>
      </c>
      <c r="S139" s="179">
        <f ca="1">IF(ISNUMBER(MATCH(DATEVALUE($A139),'recurring1_based on steps'!S$1:S$400,0)),S$2,)</f>
        <v>0</v>
      </c>
      <c r="T139" s="179">
        <f ca="1">IF(ISNUMBER(MATCH(DATEVALUE($A139),'recurring1_based on steps'!T$1:T$400,0)),T$2,)</f>
        <v>0</v>
      </c>
      <c r="U139" s="179">
        <f ca="1">IF(ISNUMBER(MATCH(DATEVALUE($A139),'recurring1_based on steps'!U$1:U$400,0)),U$2,)</f>
        <v>0</v>
      </c>
      <c r="V139" s="179">
        <f ca="1">IF(ISNUMBER(MATCH(DATEVALUE($A139),'recurring1_based on steps'!V$1:V$400,0)),V$2,)</f>
        <v>0</v>
      </c>
      <c r="W139" s="179">
        <f ca="1">IF(ISNUMBER(MATCH(DATEVALUE($A139),'recurring1_based on steps'!W$1:W$400,0)),W$2,)</f>
        <v>0</v>
      </c>
      <c r="X139" s="179">
        <f ca="1">IF(ISNUMBER(MATCH(DATEVALUE($A139),'recurring1_based on steps'!X$1:X$400,0)),X$2,)</f>
        <v>0</v>
      </c>
      <c r="Y139" s="179">
        <f ca="1">IF(ISNUMBER(MATCH(DATEVALUE($A139),'recurring1_based on steps'!Y$1:Y$400,0)),Y$2,)</f>
        <v>0</v>
      </c>
      <c r="Z139" s="179">
        <f ca="1">IF(ISNUMBER(MATCH(DATEVALUE($A139),'recurring1_based on steps'!Z$1:Z$400,0)),Z$2,)</f>
        <v>0</v>
      </c>
      <c r="AA139" s="179">
        <f ca="1">IF(ISNUMBER(MATCH(DATEVALUE($A139),'recurring1_based on steps'!AA$1:AA$400,0)),AA$2,)</f>
        <v>0</v>
      </c>
      <c r="AB139" s="179">
        <f ca="1">IF(ISNUMBER(MATCH(DATEVALUE($A139),'recurring1_based on steps'!AB$1:AB$400,0)),AB$2,)</f>
        <v>0</v>
      </c>
      <c r="AC139" s="179">
        <f ca="1">IF(ISNUMBER(MATCH(DATEVALUE($A139),'recurring1_based on steps'!AC$1:AC$400,0)),AC$2,)</f>
        <v>0</v>
      </c>
      <c r="AD139" s="179">
        <f ca="1">IF(ISNUMBER(MATCH(DATEVALUE($A139),'recurring1_based on steps'!AD$1:AD$400,0)),AD$2,)</f>
        <v>0</v>
      </c>
      <c r="AE139" s="179">
        <f ca="1">IF(ISNUMBER(MATCH(DATEVALUE($A139),'recurring1_based on steps'!AE$1:AE$400,0)),AE$2,)</f>
        <v>0</v>
      </c>
      <c r="AF139" s="179">
        <f ca="1">IF(ISNUMBER(MATCH(DATEVALUE($A139),'recurring1_based on steps'!AF$1:AF$400,0)),AF$2,)</f>
        <v>0</v>
      </c>
      <c r="AG139" s="179">
        <f ca="1">IF(ISNUMBER(MATCH(DATEVALUE($A139),'recurring1_based on steps'!AG$1:AG$400,0)),AG$2,)</f>
        <v>0</v>
      </c>
      <c r="AH139" s="179">
        <f ca="1">IF(ISNUMBER(MATCH(DATEVALUE($A139),'recurring1_based on steps'!AH$1:AH$400,0)),AH$2,)</f>
        <v>0</v>
      </c>
      <c r="AI139" s="179">
        <f ca="1">IF(ISNUMBER(MATCH(DATEVALUE($A139),'recurring1_based on steps'!AI$1:AI$400,0)),AI$2,)</f>
        <v>0</v>
      </c>
      <c r="AJ139" s="179">
        <f ca="1">IF(ISNUMBER(MATCH(DATEVALUE($A139),'recurring1_based on steps'!AJ$1:AJ$400,0)),AJ$2,)</f>
        <v>0</v>
      </c>
      <c r="AK139" s="179">
        <f ca="1">IF(ISNUMBER(MATCH(DATEVALUE($A139),'recurring1_based on steps'!AK$1:AK$400,0)),AK$2,)</f>
        <v>0</v>
      </c>
      <c r="AL139" s="179">
        <f ca="1">IF(ISNUMBER(MATCH(DATEVALUE($A139),'recurring1_based on steps'!AL$1:AL$400,0)),AL$2,)</f>
        <v>0</v>
      </c>
      <c r="AM139" s="179">
        <f ca="1">IF(ISNUMBER(MATCH(DATEVALUE($A139),'recurring1_based on steps'!AM$1:AM$400,0)),AM$2,)</f>
        <v>0</v>
      </c>
      <c r="AN139" s="179">
        <f ca="1">IF(ISNUMBER(MATCH(DATEVALUE($A139),'recurring1_based on steps'!AN$1:AN$400,0)),AN$2,)</f>
        <v>0</v>
      </c>
      <c r="AO139" s="179">
        <f ca="1">IF(ISNUMBER(MATCH(DATEVALUE($A139),'recurring1_based on steps'!AO$1:AO$400,0)),AO$2,)</f>
        <v>0</v>
      </c>
      <c r="AP139" s="179">
        <f ca="1">IF(ISNUMBER(MATCH(DATEVALUE($A139),'recurring1_based on steps'!AP$1:AP$400,0)),AP$2,)</f>
        <v>0</v>
      </c>
      <c r="AQ139" s="179">
        <f ca="1">IF(ISNUMBER(MATCH(DATEVALUE($A139),'recurring1_based on steps'!AQ$1:AQ$400,0)),AQ$2,)</f>
        <v>0</v>
      </c>
      <c r="AR139" s="179">
        <f ca="1">IF(ISNUMBER(MATCH(DATEVALUE($A139),'recurring1_based on steps'!AR$1:AR$400,0)),AR$2,)</f>
        <v>0</v>
      </c>
      <c r="AS139" s="179">
        <f ca="1">IF(ISNUMBER(MATCH(DATEVALUE($A139),'recurring1_based on steps'!AS$1:AS$400,0)),AS$2,)</f>
        <v>0</v>
      </c>
      <c r="AT139" s="179">
        <f ca="1">IF(ISNUMBER(MATCH(DATEVALUE($A139),'recurring1_based on steps'!AT$1:AT$400,0)),AT$2,)</f>
        <v>0</v>
      </c>
      <c r="AU139" s="179">
        <f ca="1">IF(ISNUMBER(MATCH(DATEVALUE($A139),'recurring1_based on steps'!AU$1:AU$400,0)),AU$2,)</f>
        <v>0</v>
      </c>
      <c r="AV139" s="179">
        <f ca="1">IF(ISNUMBER(MATCH(DATEVALUE($A139),'recurring1_based on steps'!AV$1:AV$400,0)),AV$2,)</f>
        <v>0</v>
      </c>
      <c r="AW139" s="179">
        <f ca="1">IF(ISNUMBER(MATCH(DATEVALUE($A139),'recurring1_based on steps'!AW$1:AW$400,0)),AW$2,)</f>
        <v>0</v>
      </c>
      <c r="AX139" s="179">
        <f ca="1">IF(ISNUMBER(MATCH(DATEVALUE($A139),'recurring1_based on steps'!AX$1:AX$400,0)),AX$2,)</f>
        <v>0</v>
      </c>
      <c r="AY139" s="179">
        <f ca="1">IF(ISNUMBER(MATCH(DATEVALUE($A139),'recurring1_based on steps'!AY$1:AY$400,0)),AY$2,)</f>
        <v>0</v>
      </c>
    </row>
    <row r="140" spans="1:51" x14ac:dyDescent="0.2">
      <c r="A140" s="32" t="str">
        <f t="shared" ca="1" si="2"/>
        <v>2025-08-20</v>
      </c>
      <c r="B140" s="179">
        <f ca="1">IF(ISNUMBER(MATCH(DATEVALUE($A140),'recurring1_based on steps'!B$1:B$400,0)),B$2,)</f>
        <v>0</v>
      </c>
      <c r="C140" s="179">
        <f ca="1">IF(ISNUMBER(MATCH(DATEVALUE($A140),'recurring1_based on steps'!C$1:C$400,0)),C$2,)</f>
        <v>0</v>
      </c>
      <c r="D140" s="179">
        <f ca="1">IF(ISNUMBER(MATCH(DATEVALUE($A140),'recurring1_based on steps'!D$1:D$400,0)),D$2,)</f>
        <v>0</v>
      </c>
      <c r="E140" s="179">
        <f ca="1">IF(ISNUMBER(MATCH(DATEVALUE($A140),'recurring1_based on steps'!E$1:E$400,0)),E$2,)</f>
        <v>0</v>
      </c>
      <c r="F140" s="179">
        <f ca="1">IF(ISNUMBER(MATCH(DATEVALUE($A140),'recurring1_based on steps'!F$1:F$400,0)),F$2,)</f>
        <v>0</v>
      </c>
      <c r="G140" s="179">
        <f ca="1">IF(ISNUMBER(MATCH(DATEVALUE($A140),'recurring1_based on steps'!G$1:G$400,0)),G$2,)</f>
        <v>0</v>
      </c>
      <c r="H140" s="179">
        <f ca="1">IF(ISNUMBER(MATCH(DATEVALUE($A140),'recurring1_based on steps'!H$1:H$400,0)),H$2,)</f>
        <v>0</v>
      </c>
      <c r="I140" s="179">
        <f ca="1">IF(ISNUMBER(MATCH(DATEVALUE($A140),'recurring1_based on steps'!I$1:I$400,0)),I$2,)</f>
        <v>0</v>
      </c>
      <c r="J140" s="179">
        <f ca="1">IF(ISNUMBER(MATCH(DATEVALUE($A140),'recurring1_based on steps'!J$1:J$400,0)),J$2,)</f>
        <v>0</v>
      </c>
      <c r="K140" s="179">
        <f ca="1">IF(ISNUMBER(MATCH(DATEVALUE($A140),'recurring1_based on steps'!K$1:K$400,0)),K$2,)</f>
        <v>0</v>
      </c>
      <c r="L140" s="179">
        <f ca="1">IF(ISNUMBER(MATCH(DATEVALUE($A140),'recurring1_based on steps'!L$1:L$400,0)),L$2,)</f>
        <v>0</v>
      </c>
      <c r="M140" s="179">
        <f ca="1">IF(ISNUMBER(MATCH(DATEVALUE($A140),'recurring1_based on steps'!M$1:M$400,0)),M$2,)</f>
        <v>0</v>
      </c>
      <c r="N140" s="179">
        <f ca="1">IF(ISNUMBER(MATCH(DATEVALUE($A140),'recurring1_based on steps'!N$1:N$400,0)),N$2,)</f>
        <v>0</v>
      </c>
      <c r="O140" s="179">
        <f ca="1">IF(ISNUMBER(MATCH(DATEVALUE($A140),'recurring1_based on steps'!O$1:O$400,0)),O$2,)</f>
        <v>0</v>
      </c>
      <c r="P140" s="179">
        <f ca="1">IF(ISNUMBER(MATCH(DATEVALUE($A140),'recurring1_based on steps'!P$1:P$400,0)),P$2,)</f>
        <v>0</v>
      </c>
      <c r="Q140" s="179">
        <f ca="1">IF(ISNUMBER(MATCH(DATEVALUE($A140),'recurring1_based on steps'!Q$1:Q$400,0)),Q$2,)</f>
        <v>0</v>
      </c>
      <c r="R140" s="179">
        <f ca="1">IF(ISNUMBER(MATCH(DATEVALUE($A140),'recurring1_based on steps'!R$1:R$400,0)),R$2,)</f>
        <v>0</v>
      </c>
      <c r="S140" s="179">
        <f ca="1">IF(ISNUMBER(MATCH(DATEVALUE($A140),'recurring1_based on steps'!S$1:S$400,0)),S$2,)</f>
        <v>0</v>
      </c>
      <c r="T140" s="179">
        <f ca="1">IF(ISNUMBER(MATCH(DATEVALUE($A140),'recurring1_based on steps'!T$1:T$400,0)),T$2,)</f>
        <v>0</v>
      </c>
      <c r="U140" s="179">
        <f ca="1">IF(ISNUMBER(MATCH(DATEVALUE($A140),'recurring1_based on steps'!U$1:U$400,0)),U$2,)</f>
        <v>0</v>
      </c>
      <c r="V140" s="179">
        <f ca="1">IF(ISNUMBER(MATCH(DATEVALUE($A140),'recurring1_based on steps'!V$1:V$400,0)),V$2,)</f>
        <v>0</v>
      </c>
      <c r="W140" s="179">
        <f ca="1">IF(ISNUMBER(MATCH(DATEVALUE($A140),'recurring1_based on steps'!W$1:W$400,0)),W$2,)</f>
        <v>0</v>
      </c>
      <c r="X140" s="179">
        <f ca="1">IF(ISNUMBER(MATCH(DATEVALUE($A140),'recurring1_based on steps'!X$1:X$400,0)),X$2,)</f>
        <v>0</v>
      </c>
      <c r="Y140" s="179">
        <f ca="1">IF(ISNUMBER(MATCH(DATEVALUE($A140),'recurring1_based on steps'!Y$1:Y$400,0)),Y$2,)</f>
        <v>0</v>
      </c>
      <c r="Z140" s="179">
        <f ca="1">IF(ISNUMBER(MATCH(DATEVALUE($A140),'recurring1_based on steps'!Z$1:Z$400,0)),Z$2,)</f>
        <v>0</v>
      </c>
      <c r="AA140" s="179">
        <f ca="1">IF(ISNUMBER(MATCH(DATEVALUE($A140),'recurring1_based on steps'!AA$1:AA$400,0)),AA$2,)</f>
        <v>0</v>
      </c>
      <c r="AB140" s="179">
        <f ca="1">IF(ISNUMBER(MATCH(DATEVALUE($A140),'recurring1_based on steps'!AB$1:AB$400,0)),AB$2,)</f>
        <v>0</v>
      </c>
      <c r="AC140" s="179">
        <f ca="1">IF(ISNUMBER(MATCH(DATEVALUE($A140),'recurring1_based on steps'!AC$1:AC$400,0)),AC$2,)</f>
        <v>0</v>
      </c>
      <c r="AD140" s="179">
        <f ca="1">IF(ISNUMBER(MATCH(DATEVALUE($A140),'recurring1_based on steps'!AD$1:AD$400,0)),AD$2,)</f>
        <v>0</v>
      </c>
      <c r="AE140" s="179">
        <f ca="1">IF(ISNUMBER(MATCH(DATEVALUE($A140),'recurring1_based on steps'!AE$1:AE$400,0)),AE$2,)</f>
        <v>0</v>
      </c>
      <c r="AF140" s="179">
        <f ca="1">IF(ISNUMBER(MATCH(DATEVALUE($A140),'recurring1_based on steps'!AF$1:AF$400,0)),AF$2,)</f>
        <v>0</v>
      </c>
      <c r="AG140" s="179">
        <f ca="1">IF(ISNUMBER(MATCH(DATEVALUE($A140),'recurring1_based on steps'!AG$1:AG$400,0)),AG$2,)</f>
        <v>0</v>
      </c>
      <c r="AH140" s="179">
        <f ca="1">IF(ISNUMBER(MATCH(DATEVALUE($A140),'recurring1_based on steps'!AH$1:AH$400,0)),AH$2,)</f>
        <v>0</v>
      </c>
      <c r="AI140" s="179">
        <f ca="1">IF(ISNUMBER(MATCH(DATEVALUE($A140),'recurring1_based on steps'!AI$1:AI$400,0)),AI$2,)</f>
        <v>0</v>
      </c>
      <c r="AJ140" s="179">
        <f ca="1">IF(ISNUMBER(MATCH(DATEVALUE($A140),'recurring1_based on steps'!AJ$1:AJ$400,0)),AJ$2,)</f>
        <v>0</v>
      </c>
      <c r="AK140" s="179">
        <f ca="1">IF(ISNUMBER(MATCH(DATEVALUE($A140),'recurring1_based on steps'!AK$1:AK$400,0)),AK$2,)</f>
        <v>0</v>
      </c>
      <c r="AL140" s="179">
        <f ca="1">IF(ISNUMBER(MATCH(DATEVALUE($A140),'recurring1_based on steps'!AL$1:AL$400,0)),AL$2,)</f>
        <v>0</v>
      </c>
      <c r="AM140" s="179">
        <f ca="1">IF(ISNUMBER(MATCH(DATEVALUE($A140),'recurring1_based on steps'!AM$1:AM$400,0)),AM$2,)</f>
        <v>0</v>
      </c>
      <c r="AN140" s="179">
        <f ca="1">IF(ISNUMBER(MATCH(DATEVALUE($A140),'recurring1_based on steps'!AN$1:AN$400,0)),AN$2,)</f>
        <v>0</v>
      </c>
      <c r="AO140" s="179">
        <f ca="1">IF(ISNUMBER(MATCH(DATEVALUE($A140),'recurring1_based on steps'!AO$1:AO$400,0)),AO$2,)</f>
        <v>0</v>
      </c>
      <c r="AP140" s="179">
        <f ca="1">IF(ISNUMBER(MATCH(DATEVALUE($A140),'recurring1_based on steps'!AP$1:AP$400,0)),AP$2,)</f>
        <v>0</v>
      </c>
      <c r="AQ140" s="179">
        <f ca="1">IF(ISNUMBER(MATCH(DATEVALUE($A140),'recurring1_based on steps'!AQ$1:AQ$400,0)),AQ$2,)</f>
        <v>0</v>
      </c>
      <c r="AR140" s="179">
        <f ca="1">IF(ISNUMBER(MATCH(DATEVALUE($A140),'recurring1_based on steps'!AR$1:AR$400,0)),AR$2,)</f>
        <v>0</v>
      </c>
      <c r="AS140" s="179">
        <f ca="1">IF(ISNUMBER(MATCH(DATEVALUE($A140),'recurring1_based on steps'!AS$1:AS$400,0)),AS$2,)</f>
        <v>0</v>
      </c>
      <c r="AT140" s="179">
        <f ca="1">IF(ISNUMBER(MATCH(DATEVALUE($A140),'recurring1_based on steps'!AT$1:AT$400,0)),AT$2,)</f>
        <v>0</v>
      </c>
      <c r="AU140" s="179">
        <f ca="1">IF(ISNUMBER(MATCH(DATEVALUE($A140),'recurring1_based on steps'!AU$1:AU$400,0)),AU$2,)</f>
        <v>0</v>
      </c>
      <c r="AV140" s="179">
        <f ca="1">IF(ISNUMBER(MATCH(DATEVALUE($A140),'recurring1_based on steps'!AV$1:AV$400,0)),AV$2,)</f>
        <v>0</v>
      </c>
      <c r="AW140" s="179">
        <f ca="1">IF(ISNUMBER(MATCH(DATEVALUE($A140),'recurring1_based on steps'!AW$1:AW$400,0)),AW$2,)</f>
        <v>0</v>
      </c>
      <c r="AX140" s="179">
        <f ca="1">IF(ISNUMBER(MATCH(DATEVALUE($A140),'recurring1_based on steps'!AX$1:AX$400,0)),AX$2,)</f>
        <v>0</v>
      </c>
      <c r="AY140" s="179">
        <f ca="1">IF(ISNUMBER(MATCH(DATEVALUE($A140),'recurring1_based on steps'!AY$1:AY$400,0)),AY$2,)</f>
        <v>0</v>
      </c>
    </row>
    <row r="141" spans="1:51" x14ac:dyDescent="0.2">
      <c r="A141" s="32" t="str">
        <f t="shared" ca="1" si="2"/>
        <v>2025-08-21</v>
      </c>
      <c r="B141" s="179">
        <f ca="1">IF(ISNUMBER(MATCH(DATEVALUE($A141),'recurring1_based on steps'!B$1:B$400,0)),B$2,)</f>
        <v>0</v>
      </c>
      <c r="C141" s="179">
        <f ca="1">IF(ISNUMBER(MATCH(DATEVALUE($A141),'recurring1_based on steps'!C$1:C$400,0)),C$2,)</f>
        <v>0</v>
      </c>
      <c r="D141" s="179">
        <f ca="1">IF(ISNUMBER(MATCH(DATEVALUE($A141),'recurring1_based on steps'!D$1:D$400,0)),D$2,)</f>
        <v>0</v>
      </c>
      <c r="E141" s="179">
        <f ca="1">IF(ISNUMBER(MATCH(DATEVALUE($A141),'recurring1_based on steps'!E$1:E$400,0)),E$2,)</f>
        <v>0</v>
      </c>
      <c r="F141" s="179">
        <f ca="1">IF(ISNUMBER(MATCH(DATEVALUE($A141),'recurring1_based on steps'!F$1:F$400,0)),F$2,)</f>
        <v>0</v>
      </c>
      <c r="G141" s="179">
        <f ca="1">IF(ISNUMBER(MATCH(DATEVALUE($A141),'recurring1_based on steps'!G$1:G$400,0)),G$2,)</f>
        <v>0</v>
      </c>
      <c r="H141" s="179">
        <f ca="1">IF(ISNUMBER(MATCH(DATEVALUE($A141),'recurring1_based on steps'!H$1:H$400,0)),H$2,)</f>
        <v>0</v>
      </c>
      <c r="I141" s="179">
        <f ca="1">IF(ISNUMBER(MATCH(DATEVALUE($A141),'recurring1_based on steps'!I$1:I$400,0)),I$2,)</f>
        <v>0</v>
      </c>
      <c r="J141" s="179">
        <f ca="1">IF(ISNUMBER(MATCH(DATEVALUE($A141),'recurring1_based on steps'!J$1:J$400,0)),J$2,)</f>
        <v>0</v>
      </c>
      <c r="K141" s="179">
        <f ca="1">IF(ISNUMBER(MATCH(DATEVALUE($A141),'recurring1_based on steps'!K$1:K$400,0)),K$2,)</f>
        <v>0</v>
      </c>
      <c r="L141" s="179">
        <f ca="1">IF(ISNUMBER(MATCH(DATEVALUE($A141),'recurring1_based on steps'!L$1:L$400,0)),L$2,)</f>
        <v>0</v>
      </c>
      <c r="M141" s="179">
        <f ca="1">IF(ISNUMBER(MATCH(DATEVALUE($A141),'recurring1_based on steps'!M$1:M$400,0)),M$2,)</f>
        <v>0</v>
      </c>
      <c r="N141" s="179">
        <f ca="1">IF(ISNUMBER(MATCH(DATEVALUE($A141),'recurring1_based on steps'!N$1:N$400,0)),N$2,)</f>
        <v>0</v>
      </c>
      <c r="O141" s="179">
        <f ca="1">IF(ISNUMBER(MATCH(DATEVALUE($A141),'recurring1_based on steps'!O$1:O$400,0)),O$2,)</f>
        <v>0</v>
      </c>
      <c r="P141" s="179">
        <f ca="1">IF(ISNUMBER(MATCH(DATEVALUE($A141),'recurring1_based on steps'!P$1:P$400,0)),P$2,)</f>
        <v>0</v>
      </c>
      <c r="Q141" s="179">
        <f ca="1">IF(ISNUMBER(MATCH(DATEVALUE($A141),'recurring1_based on steps'!Q$1:Q$400,0)),Q$2,)</f>
        <v>0</v>
      </c>
      <c r="R141" s="179">
        <f ca="1">IF(ISNUMBER(MATCH(DATEVALUE($A141),'recurring1_based on steps'!R$1:R$400,0)),R$2,)</f>
        <v>0</v>
      </c>
      <c r="S141" s="179">
        <f ca="1">IF(ISNUMBER(MATCH(DATEVALUE($A141),'recurring1_based on steps'!S$1:S$400,0)),S$2,)</f>
        <v>0</v>
      </c>
      <c r="T141" s="179">
        <f ca="1">IF(ISNUMBER(MATCH(DATEVALUE($A141),'recurring1_based on steps'!T$1:T$400,0)),T$2,)</f>
        <v>0</v>
      </c>
      <c r="U141" s="179">
        <f ca="1">IF(ISNUMBER(MATCH(DATEVALUE($A141),'recurring1_based on steps'!U$1:U$400,0)),U$2,)</f>
        <v>0</v>
      </c>
      <c r="V141" s="179">
        <f ca="1">IF(ISNUMBER(MATCH(DATEVALUE($A141),'recurring1_based on steps'!V$1:V$400,0)),V$2,)</f>
        <v>0</v>
      </c>
      <c r="W141" s="179">
        <f ca="1">IF(ISNUMBER(MATCH(DATEVALUE($A141),'recurring1_based on steps'!W$1:W$400,0)),W$2,)</f>
        <v>0</v>
      </c>
      <c r="X141" s="179">
        <f ca="1">IF(ISNUMBER(MATCH(DATEVALUE($A141),'recurring1_based on steps'!X$1:X$400,0)),X$2,)</f>
        <v>0</v>
      </c>
      <c r="Y141" s="179">
        <f ca="1">IF(ISNUMBER(MATCH(DATEVALUE($A141),'recurring1_based on steps'!Y$1:Y$400,0)),Y$2,)</f>
        <v>0</v>
      </c>
      <c r="Z141" s="179">
        <f ca="1">IF(ISNUMBER(MATCH(DATEVALUE($A141),'recurring1_based on steps'!Z$1:Z$400,0)),Z$2,)</f>
        <v>0</v>
      </c>
      <c r="AA141" s="179">
        <f ca="1">IF(ISNUMBER(MATCH(DATEVALUE($A141),'recurring1_based on steps'!AA$1:AA$400,0)),AA$2,)</f>
        <v>0</v>
      </c>
      <c r="AB141" s="179">
        <f ca="1">IF(ISNUMBER(MATCH(DATEVALUE($A141),'recurring1_based on steps'!AB$1:AB$400,0)),AB$2,)</f>
        <v>0</v>
      </c>
      <c r="AC141" s="179">
        <f ca="1">IF(ISNUMBER(MATCH(DATEVALUE($A141),'recurring1_based on steps'!AC$1:AC$400,0)),AC$2,)</f>
        <v>0</v>
      </c>
      <c r="AD141" s="179">
        <f ca="1">IF(ISNUMBER(MATCH(DATEVALUE($A141),'recurring1_based on steps'!AD$1:AD$400,0)),AD$2,)</f>
        <v>0</v>
      </c>
      <c r="AE141" s="179">
        <f ca="1">IF(ISNUMBER(MATCH(DATEVALUE($A141),'recurring1_based on steps'!AE$1:AE$400,0)),AE$2,)</f>
        <v>0</v>
      </c>
      <c r="AF141" s="179">
        <f ca="1">IF(ISNUMBER(MATCH(DATEVALUE($A141),'recurring1_based on steps'!AF$1:AF$400,0)),AF$2,)</f>
        <v>0</v>
      </c>
      <c r="AG141" s="179">
        <f ca="1">IF(ISNUMBER(MATCH(DATEVALUE($A141),'recurring1_based on steps'!AG$1:AG$400,0)),AG$2,)</f>
        <v>0</v>
      </c>
      <c r="AH141" s="179">
        <f ca="1">IF(ISNUMBER(MATCH(DATEVALUE($A141),'recurring1_based on steps'!AH$1:AH$400,0)),AH$2,)</f>
        <v>0</v>
      </c>
      <c r="AI141" s="179">
        <f ca="1">IF(ISNUMBER(MATCH(DATEVALUE($A141),'recurring1_based on steps'!AI$1:AI$400,0)),AI$2,)</f>
        <v>0</v>
      </c>
      <c r="AJ141" s="179">
        <f ca="1">IF(ISNUMBER(MATCH(DATEVALUE($A141),'recurring1_based on steps'!AJ$1:AJ$400,0)),AJ$2,)</f>
        <v>0</v>
      </c>
      <c r="AK141" s="179">
        <f ca="1">IF(ISNUMBER(MATCH(DATEVALUE($A141),'recurring1_based on steps'!AK$1:AK$400,0)),AK$2,)</f>
        <v>0</v>
      </c>
      <c r="AL141" s="179">
        <f ca="1">IF(ISNUMBER(MATCH(DATEVALUE($A141),'recurring1_based on steps'!AL$1:AL$400,0)),AL$2,)</f>
        <v>0</v>
      </c>
      <c r="AM141" s="179">
        <f ca="1">IF(ISNUMBER(MATCH(DATEVALUE($A141),'recurring1_based on steps'!AM$1:AM$400,0)),AM$2,)</f>
        <v>0</v>
      </c>
      <c r="AN141" s="179">
        <f ca="1">IF(ISNUMBER(MATCH(DATEVALUE($A141),'recurring1_based on steps'!AN$1:AN$400,0)),AN$2,)</f>
        <v>0</v>
      </c>
      <c r="AO141" s="179">
        <f ca="1">IF(ISNUMBER(MATCH(DATEVALUE($A141),'recurring1_based on steps'!AO$1:AO$400,0)),AO$2,)</f>
        <v>0</v>
      </c>
      <c r="AP141" s="179">
        <f ca="1">IF(ISNUMBER(MATCH(DATEVALUE($A141),'recurring1_based on steps'!AP$1:AP$400,0)),AP$2,)</f>
        <v>0</v>
      </c>
      <c r="AQ141" s="179">
        <f ca="1">IF(ISNUMBER(MATCH(DATEVALUE($A141),'recurring1_based on steps'!AQ$1:AQ$400,0)),AQ$2,)</f>
        <v>0</v>
      </c>
      <c r="AR141" s="179">
        <f ca="1">IF(ISNUMBER(MATCH(DATEVALUE($A141),'recurring1_based on steps'!AR$1:AR$400,0)),AR$2,)</f>
        <v>0</v>
      </c>
      <c r="AS141" s="179">
        <f ca="1">IF(ISNUMBER(MATCH(DATEVALUE($A141),'recurring1_based on steps'!AS$1:AS$400,0)),AS$2,)</f>
        <v>0</v>
      </c>
      <c r="AT141" s="179">
        <f ca="1">IF(ISNUMBER(MATCH(DATEVALUE($A141),'recurring1_based on steps'!AT$1:AT$400,0)),AT$2,)</f>
        <v>0</v>
      </c>
      <c r="AU141" s="179">
        <f ca="1">IF(ISNUMBER(MATCH(DATEVALUE($A141),'recurring1_based on steps'!AU$1:AU$400,0)),AU$2,)</f>
        <v>0</v>
      </c>
      <c r="AV141" s="179">
        <f ca="1">IF(ISNUMBER(MATCH(DATEVALUE($A141),'recurring1_based on steps'!AV$1:AV$400,0)),AV$2,)</f>
        <v>0</v>
      </c>
      <c r="AW141" s="179">
        <f ca="1">IF(ISNUMBER(MATCH(DATEVALUE($A141),'recurring1_based on steps'!AW$1:AW$400,0)),AW$2,)</f>
        <v>0</v>
      </c>
      <c r="AX141" s="179">
        <f ca="1">IF(ISNUMBER(MATCH(DATEVALUE($A141),'recurring1_based on steps'!AX$1:AX$400,0)),AX$2,)</f>
        <v>0</v>
      </c>
      <c r="AY141" s="179">
        <f ca="1">IF(ISNUMBER(MATCH(DATEVALUE($A141),'recurring1_based on steps'!AY$1:AY$400,0)),AY$2,)</f>
        <v>0</v>
      </c>
    </row>
    <row r="142" spans="1:51" x14ac:dyDescent="0.2">
      <c r="A142" s="32" t="str">
        <f t="shared" ca="1" si="2"/>
        <v>2025-08-22</v>
      </c>
      <c r="B142" s="179">
        <f ca="1">IF(ISNUMBER(MATCH(DATEVALUE($A142),'recurring1_based on steps'!B$1:B$400,0)),B$2,)</f>
        <v>0</v>
      </c>
      <c r="C142" s="179">
        <f ca="1">IF(ISNUMBER(MATCH(DATEVALUE($A142),'recurring1_based on steps'!C$1:C$400,0)),C$2,)</f>
        <v>0</v>
      </c>
      <c r="D142" s="179">
        <f ca="1">IF(ISNUMBER(MATCH(DATEVALUE($A142),'recurring1_based on steps'!D$1:D$400,0)),D$2,)</f>
        <v>0</v>
      </c>
      <c r="E142" s="179">
        <f ca="1">IF(ISNUMBER(MATCH(DATEVALUE($A142),'recurring1_based on steps'!E$1:E$400,0)),E$2,)</f>
        <v>0</v>
      </c>
      <c r="F142" s="179">
        <f ca="1">IF(ISNUMBER(MATCH(DATEVALUE($A142),'recurring1_based on steps'!F$1:F$400,0)),F$2,)</f>
        <v>0</v>
      </c>
      <c r="G142" s="179">
        <f ca="1">IF(ISNUMBER(MATCH(DATEVALUE($A142),'recurring1_based on steps'!G$1:G$400,0)),G$2,)</f>
        <v>0</v>
      </c>
      <c r="H142" s="179">
        <f ca="1">IF(ISNUMBER(MATCH(DATEVALUE($A142),'recurring1_based on steps'!H$1:H$400,0)),H$2,)</f>
        <v>0</v>
      </c>
      <c r="I142" s="179">
        <f ca="1">IF(ISNUMBER(MATCH(DATEVALUE($A142),'recurring1_based on steps'!I$1:I$400,0)),I$2,)</f>
        <v>0</v>
      </c>
      <c r="J142" s="179">
        <f ca="1">IF(ISNUMBER(MATCH(DATEVALUE($A142),'recurring1_based on steps'!J$1:J$400,0)),J$2,)</f>
        <v>0</v>
      </c>
      <c r="K142" s="179">
        <f ca="1">IF(ISNUMBER(MATCH(DATEVALUE($A142),'recurring1_based on steps'!K$1:K$400,0)),K$2,)</f>
        <v>0</v>
      </c>
      <c r="L142" s="179">
        <f ca="1">IF(ISNUMBER(MATCH(DATEVALUE($A142),'recurring1_based on steps'!L$1:L$400,0)),L$2,)</f>
        <v>0</v>
      </c>
      <c r="M142" s="179">
        <f ca="1">IF(ISNUMBER(MATCH(DATEVALUE($A142),'recurring1_based on steps'!M$1:M$400,0)),M$2,)</f>
        <v>0</v>
      </c>
      <c r="N142" s="179">
        <f ca="1">IF(ISNUMBER(MATCH(DATEVALUE($A142),'recurring1_based on steps'!N$1:N$400,0)),N$2,)</f>
        <v>0</v>
      </c>
      <c r="O142" s="179">
        <f ca="1">IF(ISNUMBER(MATCH(DATEVALUE($A142),'recurring1_based on steps'!O$1:O$400,0)),O$2,)</f>
        <v>0</v>
      </c>
      <c r="P142" s="179">
        <f ca="1">IF(ISNUMBER(MATCH(DATEVALUE($A142),'recurring1_based on steps'!P$1:P$400,0)),P$2,)</f>
        <v>0</v>
      </c>
      <c r="Q142" s="179">
        <f ca="1">IF(ISNUMBER(MATCH(DATEVALUE($A142),'recurring1_based on steps'!Q$1:Q$400,0)),Q$2,)</f>
        <v>0</v>
      </c>
      <c r="R142" s="179">
        <f ca="1">IF(ISNUMBER(MATCH(DATEVALUE($A142),'recurring1_based on steps'!R$1:R$400,0)),R$2,)</f>
        <v>0</v>
      </c>
      <c r="S142" s="179">
        <f ca="1">IF(ISNUMBER(MATCH(DATEVALUE($A142),'recurring1_based on steps'!S$1:S$400,0)),S$2,)</f>
        <v>0</v>
      </c>
      <c r="T142" s="179">
        <f ca="1">IF(ISNUMBER(MATCH(DATEVALUE($A142),'recurring1_based on steps'!T$1:T$400,0)),T$2,)</f>
        <v>0</v>
      </c>
      <c r="U142" s="179">
        <f ca="1">IF(ISNUMBER(MATCH(DATEVALUE($A142),'recurring1_based on steps'!U$1:U$400,0)),U$2,)</f>
        <v>0</v>
      </c>
      <c r="V142" s="179">
        <f ca="1">IF(ISNUMBER(MATCH(DATEVALUE($A142),'recurring1_based on steps'!V$1:V$400,0)),V$2,)</f>
        <v>0</v>
      </c>
      <c r="W142" s="179">
        <f ca="1">IF(ISNUMBER(MATCH(DATEVALUE($A142),'recurring1_based on steps'!W$1:W$400,0)),W$2,)</f>
        <v>0</v>
      </c>
      <c r="X142" s="179">
        <f ca="1">IF(ISNUMBER(MATCH(DATEVALUE($A142),'recurring1_based on steps'!X$1:X$400,0)),X$2,)</f>
        <v>0</v>
      </c>
      <c r="Y142" s="179">
        <f ca="1">IF(ISNUMBER(MATCH(DATEVALUE($A142),'recurring1_based on steps'!Y$1:Y$400,0)),Y$2,)</f>
        <v>0</v>
      </c>
      <c r="Z142" s="179">
        <f ca="1">IF(ISNUMBER(MATCH(DATEVALUE($A142),'recurring1_based on steps'!Z$1:Z$400,0)),Z$2,)</f>
        <v>0</v>
      </c>
      <c r="AA142" s="179">
        <f ca="1">IF(ISNUMBER(MATCH(DATEVALUE($A142),'recurring1_based on steps'!AA$1:AA$400,0)),AA$2,)</f>
        <v>0</v>
      </c>
      <c r="AB142" s="179">
        <f ca="1">IF(ISNUMBER(MATCH(DATEVALUE($A142),'recurring1_based on steps'!AB$1:AB$400,0)),AB$2,)</f>
        <v>0</v>
      </c>
      <c r="AC142" s="179">
        <f ca="1">IF(ISNUMBER(MATCH(DATEVALUE($A142),'recurring1_based on steps'!AC$1:AC$400,0)),AC$2,)</f>
        <v>0</v>
      </c>
      <c r="AD142" s="179">
        <f ca="1">IF(ISNUMBER(MATCH(DATEVALUE($A142),'recurring1_based on steps'!AD$1:AD$400,0)),AD$2,)</f>
        <v>0</v>
      </c>
      <c r="AE142" s="179">
        <f ca="1">IF(ISNUMBER(MATCH(DATEVALUE($A142),'recurring1_based on steps'!AE$1:AE$400,0)),AE$2,)</f>
        <v>0</v>
      </c>
      <c r="AF142" s="179">
        <f ca="1">IF(ISNUMBER(MATCH(DATEVALUE($A142),'recurring1_based on steps'!AF$1:AF$400,0)),AF$2,)</f>
        <v>0</v>
      </c>
      <c r="AG142" s="179">
        <f ca="1">IF(ISNUMBER(MATCH(DATEVALUE($A142),'recurring1_based on steps'!AG$1:AG$400,0)),AG$2,)</f>
        <v>0</v>
      </c>
      <c r="AH142" s="179">
        <f ca="1">IF(ISNUMBER(MATCH(DATEVALUE($A142),'recurring1_based on steps'!AH$1:AH$400,0)),AH$2,)</f>
        <v>0</v>
      </c>
      <c r="AI142" s="179">
        <f ca="1">IF(ISNUMBER(MATCH(DATEVALUE($A142),'recurring1_based on steps'!AI$1:AI$400,0)),AI$2,)</f>
        <v>0</v>
      </c>
      <c r="AJ142" s="179">
        <f ca="1">IF(ISNUMBER(MATCH(DATEVALUE($A142),'recurring1_based on steps'!AJ$1:AJ$400,0)),AJ$2,)</f>
        <v>0</v>
      </c>
      <c r="AK142" s="179">
        <f ca="1">IF(ISNUMBER(MATCH(DATEVALUE($A142),'recurring1_based on steps'!AK$1:AK$400,0)),AK$2,)</f>
        <v>0</v>
      </c>
      <c r="AL142" s="179">
        <f ca="1">IF(ISNUMBER(MATCH(DATEVALUE($A142),'recurring1_based on steps'!AL$1:AL$400,0)),AL$2,)</f>
        <v>0</v>
      </c>
      <c r="AM142" s="179">
        <f ca="1">IF(ISNUMBER(MATCH(DATEVALUE($A142),'recurring1_based on steps'!AM$1:AM$400,0)),AM$2,)</f>
        <v>0</v>
      </c>
      <c r="AN142" s="179">
        <f ca="1">IF(ISNUMBER(MATCH(DATEVALUE($A142),'recurring1_based on steps'!AN$1:AN$400,0)),AN$2,)</f>
        <v>0</v>
      </c>
      <c r="AO142" s="179">
        <f ca="1">IF(ISNUMBER(MATCH(DATEVALUE($A142),'recurring1_based on steps'!AO$1:AO$400,0)),AO$2,)</f>
        <v>0</v>
      </c>
      <c r="AP142" s="179">
        <f ca="1">IF(ISNUMBER(MATCH(DATEVALUE($A142),'recurring1_based on steps'!AP$1:AP$400,0)),AP$2,)</f>
        <v>0</v>
      </c>
      <c r="AQ142" s="179">
        <f ca="1">IF(ISNUMBER(MATCH(DATEVALUE($A142),'recurring1_based on steps'!AQ$1:AQ$400,0)),AQ$2,)</f>
        <v>0</v>
      </c>
      <c r="AR142" s="179">
        <f ca="1">IF(ISNUMBER(MATCH(DATEVALUE($A142),'recurring1_based on steps'!AR$1:AR$400,0)),AR$2,)</f>
        <v>0</v>
      </c>
      <c r="AS142" s="179">
        <f ca="1">IF(ISNUMBER(MATCH(DATEVALUE($A142),'recurring1_based on steps'!AS$1:AS$400,0)),AS$2,)</f>
        <v>0</v>
      </c>
      <c r="AT142" s="179">
        <f ca="1">IF(ISNUMBER(MATCH(DATEVALUE($A142),'recurring1_based on steps'!AT$1:AT$400,0)),AT$2,)</f>
        <v>0</v>
      </c>
      <c r="AU142" s="179">
        <f ca="1">IF(ISNUMBER(MATCH(DATEVALUE($A142),'recurring1_based on steps'!AU$1:AU$400,0)),AU$2,)</f>
        <v>0</v>
      </c>
      <c r="AV142" s="179">
        <f ca="1">IF(ISNUMBER(MATCH(DATEVALUE($A142),'recurring1_based on steps'!AV$1:AV$400,0)),AV$2,)</f>
        <v>0</v>
      </c>
      <c r="AW142" s="179">
        <f ca="1">IF(ISNUMBER(MATCH(DATEVALUE($A142),'recurring1_based on steps'!AW$1:AW$400,0)),AW$2,)</f>
        <v>0</v>
      </c>
      <c r="AX142" s="179">
        <f ca="1">IF(ISNUMBER(MATCH(DATEVALUE($A142),'recurring1_based on steps'!AX$1:AX$400,0)),AX$2,)</f>
        <v>0</v>
      </c>
      <c r="AY142" s="179">
        <f ca="1">IF(ISNUMBER(MATCH(DATEVALUE($A142),'recurring1_based on steps'!AY$1:AY$400,0)),AY$2,)</f>
        <v>0</v>
      </c>
    </row>
    <row r="143" spans="1:51" x14ac:dyDescent="0.2">
      <c r="A143" s="32" t="str">
        <f t="shared" ca="1" si="2"/>
        <v>2025-08-23</v>
      </c>
      <c r="B143" s="179">
        <f ca="1">IF(ISNUMBER(MATCH(DATEVALUE($A143),'recurring1_based on steps'!B$1:B$400,0)),B$2,)</f>
        <v>0</v>
      </c>
      <c r="C143" s="179">
        <f ca="1">IF(ISNUMBER(MATCH(DATEVALUE($A143),'recurring1_based on steps'!C$1:C$400,0)),C$2,)</f>
        <v>0</v>
      </c>
      <c r="D143" s="179">
        <f ca="1">IF(ISNUMBER(MATCH(DATEVALUE($A143),'recurring1_based on steps'!D$1:D$400,0)),D$2,)</f>
        <v>0</v>
      </c>
      <c r="E143" s="179">
        <f ca="1">IF(ISNUMBER(MATCH(DATEVALUE($A143),'recurring1_based on steps'!E$1:E$400,0)),E$2,)</f>
        <v>0</v>
      </c>
      <c r="F143" s="179">
        <f ca="1">IF(ISNUMBER(MATCH(DATEVALUE($A143),'recurring1_based on steps'!F$1:F$400,0)),F$2,)</f>
        <v>0</v>
      </c>
      <c r="G143" s="179">
        <f ca="1">IF(ISNUMBER(MATCH(DATEVALUE($A143),'recurring1_based on steps'!G$1:G$400,0)),G$2,)</f>
        <v>0</v>
      </c>
      <c r="H143" s="179">
        <f ca="1">IF(ISNUMBER(MATCH(DATEVALUE($A143),'recurring1_based on steps'!H$1:H$400,0)),H$2,)</f>
        <v>0</v>
      </c>
      <c r="I143" s="179">
        <f ca="1">IF(ISNUMBER(MATCH(DATEVALUE($A143),'recurring1_based on steps'!I$1:I$400,0)),I$2,)</f>
        <v>0</v>
      </c>
      <c r="J143" s="179">
        <f ca="1">IF(ISNUMBER(MATCH(DATEVALUE($A143),'recurring1_based on steps'!J$1:J$400,0)),J$2,)</f>
        <v>0</v>
      </c>
      <c r="K143" s="179">
        <f ca="1">IF(ISNUMBER(MATCH(DATEVALUE($A143),'recurring1_based on steps'!K$1:K$400,0)),K$2,)</f>
        <v>0</v>
      </c>
      <c r="L143" s="179">
        <f ca="1">IF(ISNUMBER(MATCH(DATEVALUE($A143),'recurring1_based on steps'!L$1:L$400,0)),L$2,)</f>
        <v>0</v>
      </c>
      <c r="M143" s="179">
        <f ca="1">IF(ISNUMBER(MATCH(DATEVALUE($A143),'recurring1_based on steps'!M$1:M$400,0)),M$2,)</f>
        <v>0</v>
      </c>
      <c r="N143" s="179">
        <f ca="1">IF(ISNUMBER(MATCH(DATEVALUE($A143),'recurring1_based on steps'!N$1:N$400,0)),N$2,)</f>
        <v>0</v>
      </c>
      <c r="O143" s="179">
        <f ca="1">IF(ISNUMBER(MATCH(DATEVALUE($A143),'recurring1_based on steps'!O$1:O$400,0)),O$2,)</f>
        <v>0</v>
      </c>
      <c r="P143" s="179">
        <f ca="1">IF(ISNUMBER(MATCH(DATEVALUE($A143),'recurring1_based on steps'!P$1:P$400,0)),P$2,)</f>
        <v>0</v>
      </c>
      <c r="Q143" s="179">
        <f ca="1">IF(ISNUMBER(MATCH(DATEVALUE($A143),'recurring1_based on steps'!Q$1:Q$400,0)),Q$2,)</f>
        <v>0</v>
      </c>
      <c r="R143" s="179">
        <f ca="1">IF(ISNUMBER(MATCH(DATEVALUE($A143),'recurring1_based on steps'!R$1:R$400,0)),R$2,)</f>
        <v>0</v>
      </c>
      <c r="S143" s="179">
        <f ca="1">IF(ISNUMBER(MATCH(DATEVALUE($A143),'recurring1_based on steps'!S$1:S$400,0)),S$2,)</f>
        <v>0</v>
      </c>
      <c r="T143" s="179">
        <f ca="1">IF(ISNUMBER(MATCH(DATEVALUE($A143),'recurring1_based on steps'!T$1:T$400,0)),T$2,)</f>
        <v>0</v>
      </c>
      <c r="U143" s="179">
        <f ca="1">IF(ISNUMBER(MATCH(DATEVALUE($A143),'recurring1_based on steps'!U$1:U$400,0)),U$2,)</f>
        <v>0</v>
      </c>
      <c r="V143" s="179">
        <f ca="1">IF(ISNUMBER(MATCH(DATEVALUE($A143),'recurring1_based on steps'!V$1:V$400,0)),V$2,)</f>
        <v>0</v>
      </c>
      <c r="W143" s="179">
        <f ca="1">IF(ISNUMBER(MATCH(DATEVALUE($A143),'recurring1_based on steps'!W$1:W$400,0)),W$2,)</f>
        <v>0</v>
      </c>
      <c r="X143" s="179">
        <f ca="1">IF(ISNUMBER(MATCH(DATEVALUE($A143),'recurring1_based on steps'!X$1:X$400,0)),X$2,)</f>
        <v>0</v>
      </c>
      <c r="Y143" s="179">
        <f ca="1">IF(ISNUMBER(MATCH(DATEVALUE($A143),'recurring1_based on steps'!Y$1:Y$400,0)),Y$2,)</f>
        <v>0</v>
      </c>
      <c r="Z143" s="179">
        <f ca="1">IF(ISNUMBER(MATCH(DATEVALUE($A143),'recurring1_based on steps'!Z$1:Z$400,0)),Z$2,)</f>
        <v>0</v>
      </c>
      <c r="AA143" s="179">
        <f ca="1">IF(ISNUMBER(MATCH(DATEVALUE($A143),'recurring1_based on steps'!AA$1:AA$400,0)),AA$2,)</f>
        <v>0</v>
      </c>
      <c r="AB143" s="179">
        <f ca="1">IF(ISNUMBER(MATCH(DATEVALUE($A143),'recurring1_based on steps'!AB$1:AB$400,0)),AB$2,)</f>
        <v>0</v>
      </c>
      <c r="AC143" s="179">
        <f ca="1">IF(ISNUMBER(MATCH(DATEVALUE($A143),'recurring1_based on steps'!AC$1:AC$400,0)),AC$2,)</f>
        <v>0</v>
      </c>
      <c r="AD143" s="179">
        <f ca="1">IF(ISNUMBER(MATCH(DATEVALUE($A143),'recurring1_based on steps'!AD$1:AD$400,0)),AD$2,)</f>
        <v>0</v>
      </c>
      <c r="AE143" s="179">
        <f ca="1">IF(ISNUMBER(MATCH(DATEVALUE($A143),'recurring1_based on steps'!AE$1:AE$400,0)),AE$2,)</f>
        <v>0</v>
      </c>
      <c r="AF143" s="179">
        <f ca="1">IF(ISNUMBER(MATCH(DATEVALUE($A143),'recurring1_based on steps'!AF$1:AF$400,0)),AF$2,)</f>
        <v>0</v>
      </c>
      <c r="AG143" s="179">
        <f ca="1">IF(ISNUMBER(MATCH(DATEVALUE($A143),'recurring1_based on steps'!AG$1:AG$400,0)),AG$2,)</f>
        <v>0</v>
      </c>
      <c r="AH143" s="179">
        <f ca="1">IF(ISNUMBER(MATCH(DATEVALUE($A143),'recurring1_based on steps'!AH$1:AH$400,0)),AH$2,)</f>
        <v>0</v>
      </c>
      <c r="AI143" s="179">
        <f ca="1">IF(ISNUMBER(MATCH(DATEVALUE($A143),'recurring1_based on steps'!AI$1:AI$400,0)),AI$2,)</f>
        <v>0</v>
      </c>
      <c r="AJ143" s="179">
        <f ca="1">IF(ISNUMBER(MATCH(DATEVALUE($A143),'recurring1_based on steps'!AJ$1:AJ$400,0)),AJ$2,)</f>
        <v>0</v>
      </c>
      <c r="AK143" s="179">
        <f ca="1">IF(ISNUMBER(MATCH(DATEVALUE($A143),'recurring1_based on steps'!AK$1:AK$400,0)),AK$2,)</f>
        <v>0</v>
      </c>
      <c r="AL143" s="179">
        <f ca="1">IF(ISNUMBER(MATCH(DATEVALUE($A143),'recurring1_based on steps'!AL$1:AL$400,0)),AL$2,)</f>
        <v>0</v>
      </c>
      <c r="AM143" s="179">
        <f ca="1">IF(ISNUMBER(MATCH(DATEVALUE($A143),'recurring1_based on steps'!AM$1:AM$400,0)),AM$2,)</f>
        <v>0</v>
      </c>
      <c r="AN143" s="179">
        <f ca="1">IF(ISNUMBER(MATCH(DATEVALUE($A143),'recurring1_based on steps'!AN$1:AN$400,0)),AN$2,)</f>
        <v>0</v>
      </c>
      <c r="AO143" s="179">
        <f ca="1">IF(ISNUMBER(MATCH(DATEVALUE($A143),'recurring1_based on steps'!AO$1:AO$400,0)),AO$2,)</f>
        <v>0</v>
      </c>
      <c r="AP143" s="179">
        <f ca="1">IF(ISNUMBER(MATCH(DATEVALUE($A143),'recurring1_based on steps'!AP$1:AP$400,0)),AP$2,)</f>
        <v>0</v>
      </c>
      <c r="AQ143" s="179">
        <f ca="1">IF(ISNUMBER(MATCH(DATEVALUE($A143),'recurring1_based on steps'!AQ$1:AQ$400,0)),AQ$2,)</f>
        <v>0</v>
      </c>
      <c r="AR143" s="179">
        <f ca="1">IF(ISNUMBER(MATCH(DATEVALUE($A143),'recurring1_based on steps'!AR$1:AR$400,0)),AR$2,)</f>
        <v>0</v>
      </c>
      <c r="AS143" s="179">
        <f ca="1">IF(ISNUMBER(MATCH(DATEVALUE($A143),'recurring1_based on steps'!AS$1:AS$400,0)),AS$2,)</f>
        <v>0</v>
      </c>
      <c r="AT143" s="179">
        <f ca="1">IF(ISNUMBER(MATCH(DATEVALUE($A143),'recurring1_based on steps'!AT$1:AT$400,0)),AT$2,)</f>
        <v>0</v>
      </c>
      <c r="AU143" s="179">
        <f ca="1">IF(ISNUMBER(MATCH(DATEVALUE($A143),'recurring1_based on steps'!AU$1:AU$400,0)),AU$2,)</f>
        <v>0</v>
      </c>
      <c r="AV143" s="179">
        <f ca="1">IF(ISNUMBER(MATCH(DATEVALUE($A143),'recurring1_based on steps'!AV$1:AV$400,0)),AV$2,)</f>
        <v>0</v>
      </c>
      <c r="AW143" s="179">
        <f ca="1">IF(ISNUMBER(MATCH(DATEVALUE($A143),'recurring1_based on steps'!AW$1:AW$400,0)),AW$2,)</f>
        <v>0</v>
      </c>
      <c r="AX143" s="179">
        <f ca="1">IF(ISNUMBER(MATCH(DATEVALUE($A143),'recurring1_based on steps'!AX$1:AX$400,0)),AX$2,)</f>
        <v>0</v>
      </c>
      <c r="AY143" s="179">
        <f ca="1">IF(ISNUMBER(MATCH(DATEVALUE($A143),'recurring1_based on steps'!AY$1:AY$400,0)),AY$2,)</f>
        <v>0</v>
      </c>
    </row>
    <row r="144" spans="1:51" x14ac:dyDescent="0.2">
      <c r="A144" s="32" t="str">
        <f t="shared" ca="1" si="2"/>
        <v>2025-08-24</v>
      </c>
      <c r="B144" s="179">
        <f ca="1">IF(ISNUMBER(MATCH(DATEVALUE($A144),'recurring1_based on steps'!B$1:B$400,0)),B$2,)</f>
        <v>0</v>
      </c>
      <c r="C144" s="179">
        <f ca="1">IF(ISNUMBER(MATCH(DATEVALUE($A144),'recurring1_based on steps'!C$1:C$400,0)),C$2,)</f>
        <v>0</v>
      </c>
      <c r="D144" s="179">
        <f ca="1">IF(ISNUMBER(MATCH(DATEVALUE($A144),'recurring1_based on steps'!D$1:D$400,0)),D$2,)</f>
        <v>0</v>
      </c>
      <c r="E144" s="179">
        <f ca="1">IF(ISNUMBER(MATCH(DATEVALUE($A144),'recurring1_based on steps'!E$1:E$400,0)),E$2,)</f>
        <v>0</v>
      </c>
      <c r="F144" s="179">
        <f ca="1">IF(ISNUMBER(MATCH(DATEVALUE($A144),'recurring1_based on steps'!F$1:F$400,0)),F$2,)</f>
        <v>0</v>
      </c>
      <c r="G144" s="179">
        <f ca="1">IF(ISNUMBER(MATCH(DATEVALUE($A144),'recurring1_based on steps'!G$1:G$400,0)),G$2,)</f>
        <v>0</v>
      </c>
      <c r="H144" s="179">
        <f ca="1">IF(ISNUMBER(MATCH(DATEVALUE($A144),'recurring1_based on steps'!H$1:H$400,0)),H$2,)</f>
        <v>0</v>
      </c>
      <c r="I144" s="179">
        <f ca="1">IF(ISNUMBER(MATCH(DATEVALUE($A144),'recurring1_based on steps'!I$1:I$400,0)),I$2,)</f>
        <v>0</v>
      </c>
      <c r="J144" s="179">
        <f ca="1">IF(ISNUMBER(MATCH(DATEVALUE($A144),'recurring1_based on steps'!J$1:J$400,0)),J$2,)</f>
        <v>0</v>
      </c>
      <c r="K144" s="179">
        <f ca="1">IF(ISNUMBER(MATCH(DATEVALUE($A144),'recurring1_based on steps'!K$1:K$400,0)),K$2,)</f>
        <v>0</v>
      </c>
      <c r="L144" s="179">
        <f ca="1">IF(ISNUMBER(MATCH(DATEVALUE($A144),'recurring1_based on steps'!L$1:L$400,0)),L$2,)</f>
        <v>0</v>
      </c>
      <c r="M144" s="179">
        <f ca="1">IF(ISNUMBER(MATCH(DATEVALUE($A144),'recurring1_based on steps'!M$1:M$400,0)),M$2,)</f>
        <v>0</v>
      </c>
      <c r="N144" s="179">
        <f ca="1">IF(ISNUMBER(MATCH(DATEVALUE($A144),'recurring1_based on steps'!N$1:N$400,0)),N$2,)</f>
        <v>0</v>
      </c>
      <c r="O144" s="179">
        <f ca="1">IF(ISNUMBER(MATCH(DATEVALUE($A144),'recurring1_based on steps'!O$1:O$400,0)),O$2,)</f>
        <v>0</v>
      </c>
      <c r="P144" s="179">
        <f ca="1">IF(ISNUMBER(MATCH(DATEVALUE($A144),'recurring1_based on steps'!P$1:P$400,0)),P$2,)</f>
        <v>0</v>
      </c>
      <c r="Q144" s="179">
        <f ca="1">IF(ISNUMBER(MATCH(DATEVALUE($A144),'recurring1_based on steps'!Q$1:Q$400,0)),Q$2,)</f>
        <v>0</v>
      </c>
      <c r="R144" s="179">
        <f ca="1">IF(ISNUMBER(MATCH(DATEVALUE($A144),'recurring1_based on steps'!R$1:R$400,0)),R$2,)</f>
        <v>0</v>
      </c>
      <c r="S144" s="179">
        <f ca="1">IF(ISNUMBER(MATCH(DATEVALUE($A144),'recurring1_based on steps'!S$1:S$400,0)),S$2,)</f>
        <v>0</v>
      </c>
      <c r="T144" s="179">
        <f ca="1">IF(ISNUMBER(MATCH(DATEVALUE($A144),'recurring1_based on steps'!T$1:T$400,0)),T$2,)</f>
        <v>0</v>
      </c>
      <c r="U144" s="179">
        <f ca="1">IF(ISNUMBER(MATCH(DATEVALUE($A144),'recurring1_based on steps'!U$1:U$400,0)),U$2,)</f>
        <v>0</v>
      </c>
      <c r="V144" s="179">
        <f ca="1">IF(ISNUMBER(MATCH(DATEVALUE($A144),'recurring1_based on steps'!V$1:V$400,0)),V$2,)</f>
        <v>0</v>
      </c>
      <c r="W144" s="179">
        <f ca="1">IF(ISNUMBER(MATCH(DATEVALUE($A144),'recurring1_based on steps'!W$1:W$400,0)),W$2,)</f>
        <v>0</v>
      </c>
      <c r="X144" s="179">
        <f ca="1">IF(ISNUMBER(MATCH(DATEVALUE($A144),'recurring1_based on steps'!X$1:X$400,0)),X$2,)</f>
        <v>0</v>
      </c>
      <c r="Y144" s="179">
        <f ca="1">IF(ISNUMBER(MATCH(DATEVALUE($A144),'recurring1_based on steps'!Y$1:Y$400,0)),Y$2,)</f>
        <v>0</v>
      </c>
      <c r="Z144" s="179">
        <f ca="1">IF(ISNUMBER(MATCH(DATEVALUE($A144),'recurring1_based on steps'!Z$1:Z$400,0)),Z$2,)</f>
        <v>0</v>
      </c>
      <c r="AA144" s="179">
        <f ca="1">IF(ISNUMBER(MATCH(DATEVALUE($A144),'recurring1_based on steps'!AA$1:AA$400,0)),AA$2,)</f>
        <v>0</v>
      </c>
      <c r="AB144" s="179">
        <f ca="1">IF(ISNUMBER(MATCH(DATEVALUE($A144),'recurring1_based on steps'!AB$1:AB$400,0)),AB$2,)</f>
        <v>0</v>
      </c>
      <c r="AC144" s="179">
        <f ca="1">IF(ISNUMBER(MATCH(DATEVALUE($A144),'recurring1_based on steps'!AC$1:AC$400,0)),AC$2,)</f>
        <v>0</v>
      </c>
      <c r="AD144" s="179">
        <f ca="1">IF(ISNUMBER(MATCH(DATEVALUE($A144),'recurring1_based on steps'!AD$1:AD$400,0)),AD$2,)</f>
        <v>0</v>
      </c>
      <c r="AE144" s="179">
        <f ca="1">IF(ISNUMBER(MATCH(DATEVALUE($A144),'recurring1_based on steps'!AE$1:AE$400,0)),AE$2,)</f>
        <v>0</v>
      </c>
      <c r="AF144" s="179">
        <f ca="1">IF(ISNUMBER(MATCH(DATEVALUE($A144),'recurring1_based on steps'!AF$1:AF$400,0)),AF$2,)</f>
        <v>0</v>
      </c>
      <c r="AG144" s="179">
        <f ca="1">IF(ISNUMBER(MATCH(DATEVALUE($A144),'recurring1_based on steps'!AG$1:AG$400,0)),AG$2,)</f>
        <v>0</v>
      </c>
      <c r="AH144" s="179">
        <f ca="1">IF(ISNUMBER(MATCH(DATEVALUE($A144),'recurring1_based on steps'!AH$1:AH$400,0)),AH$2,)</f>
        <v>0</v>
      </c>
      <c r="AI144" s="179">
        <f ca="1">IF(ISNUMBER(MATCH(DATEVALUE($A144),'recurring1_based on steps'!AI$1:AI$400,0)),AI$2,)</f>
        <v>0</v>
      </c>
      <c r="AJ144" s="179">
        <f ca="1">IF(ISNUMBER(MATCH(DATEVALUE($A144),'recurring1_based on steps'!AJ$1:AJ$400,0)),AJ$2,)</f>
        <v>0</v>
      </c>
      <c r="AK144" s="179">
        <f ca="1">IF(ISNUMBER(MATCH(DATEVALUE($A144),'recurring1_based on steps'!AK$1:AK$400,0)),AK$2,)</f>
        <v>0</v>
      </c>
      <c r="AL144" s="179">
        <f ca="1">IF(ISNUMBER(MATCH(DATEVALUE($A144),'recurring1_based on steps'!AL$1:AL$400,0)),AL$2,)</f>
        <v>0</v>
      </c>
      <c r="AM144" s="179">
        <f ca="1">IF(ISNUMBER(MATCH(DATEVALUE($A144),'recurring1_based on steps'!AM$1:AM$400,0)),AM$2,)</f>
        <v>0</v>
      </c>
      <c r="AN144" s="179">
        <f ca="1">IF(ISNUMBER(MATCH(DATEVALUE($A144),'recurring1_based on steps'!AN$1:AN$400,0)),AN$2,)</f>
        <v>0</v>
      </c>
      <c r="AO144" s="179">
        <f ca="1">IF(ISNUMBER(MATCH(DATEVALUE($A144),'recurring1_based on steps'!AO$1:AO$400,0)),AO$2,)</f>
        <v>0</v>
      </c>
      <c r="AP144" s="179">
        <f ca="1">IF(ISNUMBER(MATCH(DATEVALUE($A144),'recurring1_based on steps'!AP$1:AP$400,0)),AP$2,)</f>
        <v>0</v>
      </c>
      <c r="AQ144" s="179">
        <f ca="1">IF(ISNUMBER(MATCH(DATEVALUE($A144),'recurring1_based on steps'!AQ$1:AQ$400,0)),AQ$2,)</f>
        <v>0</v>
      </c>
      <c r="AR144" s="179">
        <f ca="1">IF(ISNUMBER(MATCH(DATEVALUE($A144),'recurring1_based on steps'!AR$1:AR$400,0)),AR$2,)</f>
        <v>0</v>
      </c>
      <c r="AS144" s="179">
        <f ca="1">IF(ISNUMBER(MATCH(DATEVALUE($A144),'recurring1_based on steps'!AS$1:AS$400,0)),AS$2,)</f>
        <v>0</v>
      </c>
      <c r="AT144" s="179">
        <f ca="1">IF(ISNUMBER(MATCH(DATEVALUE($A144),'recurring1_based on steps'!AT$1:AT$400,0)),AT$2,)</f>
        <v>0</v>
      </c>
      <c r="AU144" s="179">
        <f ca="1">IF(ISNUMBER(MATCH(DATEVALUE($A144),'recurring1_based on steps'!AU$1:AU$400,0)),AU$2,)</f>
        <v>0</v>
      </c>
      <c r="AV144" s="179">
        <f ca="1">IF(ISNUMBER(MATCH(DATEVALUE($A144),'recurring1_based on steps'!AV$1:AV$400,0)),AV$2,)</f>
        <v>0</v>
      </c>
      <c r="AW144" s="179">
        <f ca="1">IF(ISNUMBER(MATCH(DATEVALUE($A144),'recurring1_based on steps'!AW$1:AW$400,0)),AW$2,)</f>
        <v>0</v>
      </c>
      <c r="AX144" s="179">
        <f ca="1">IF(ISNUMBER(MATCH(DATEVALUE($A144),'recurring1_based on steps'!AX$1:AX$400,0)),AX$2,)</f>
        <v>0</v>
      </c>
      <c r="AY144" s="179">
        <f ca="1">IF(ISNUMBER(MATCH(DATEVALUE($A144),'recurring1_based on steps'!AY$1:AY$400,0)),AY$2,)</f>
        <v>0</v>
      </c>
    </row>
    <row r="145" spans="1:51" x14ac:dyDescent="0.2">
      <c r="A145" s="32" t="str">
        <f t="shared" ca="1" si="2"/>
        <v>2025-08-25</v>
      </c>
      <c r="B145" s="179">
        <f ca="1">IF(ISNUMBER(MATCH(DATEVALUE($A145),'recurring1_based on steps'!B$1:B$400,0)),B$2,)</f>
        <v>0</v>
      </c>
      <c r="C145" s="179">
        <f ca="1">IF(ISNUMBER(MATCH(DATEVALUE($A145),'recurring1_based on steps'!C$1:C$400,0)),C$2,)</f>
        <v>0</v>
      </c>
      <c r="D145" s="179">
        <f ca="1">IF(ISNUMBER(MATCH(DATEVALUE($A145),'recurring1_based on steps'!D$1:D$400,0)),D$2,)</f>
        <v>0</v>
      </c>
      <c r="E145" s="179">
        <f ca="1">IF(ISNUMBER(MATCH(DATEVALUE($A145),'recurring1_based on steps'!E$1:E$400,0)),E$2,)</f>
        <v>0</v>
      </c>
      <c r="F145" s="179">
        <f ca="1">IF(ISNUMBER(MATCH(DATEVALUE($A145),'recurring1_based on steps'!F$1:F$400,0)),F$2,)</f>
        <v>0</v>
      </c>
      <c r="G145" s="179">
        <f ca="1">IF(ISNUMBER(MATCH(DATEVALUE($A145),'recurring1_based on steps'!G$1:G$400,0)),G$2,)</f>
        <v>0</v>
      </c>
      <c r="H145" s="179">
        <f ca="1">IF(ISNUMBER(MATCH(DATEVALUE($A145),'recurring1_based on steps'!H$1:H$400,0)),H$2,)</f>
        <v>0</v>
      </c>
      <c r="I145" s="179">
        <f ca="1">IF(ISNUMBER(MATCH(DATEVALUE($A145),'recurring1_based on steps'!I$1:I$400,0)),I$2,)</f>
        <v>0</v>
      </c>
      <c r="J145" s="179">
        <f ca="1">IF(ISNUMBER(MATCH(DATEVALUE($A145),'recurring1_based on steps'!J$1:J$400,0)),J$2,)</f>
        <v>0</v>
      </c>
      <c r="K145" s="179">
        <f ca="1">IF(ISNUMBER(MATCH(DATEVALUE($A145),'recurring1_based on steps'!K$1:K$400,0)),K$2,)</f>
        <v>0</v>
      </c>
      <c r="L145" s="179">
        <f ca="1">IF(ISNUMBER(MATCH(DATEVALUE($A145),'recurring1_based on steps'!L$1:L$400,0)),L$2,)</f>
        <v>0</v>
      </c>
      <c r="M145" s="179">
        <f ca="1">IF(ISNUMBER(MATCH(DATEVALUE($A145),'recurring1_based on steps'!M$1:M$400,0)),M$2,)</f>
        <v>0</v>
      </c>
      <c r="N145" s="179">
        <f ca="1">IF(ISNUMBER(MATCH(DATEVALUE($A145),'recurring1_based on steps'!N$1:N$400,0)),N$2,)</f>
        <v>0</v>
      </c>
      <c r="O145" s="179">
        <f ca="1">IF(ISNUMBER(MATCH(DATEVALUE($A145),'recurring1_based on steps'!O$1:O$400,0)),O$2,)</f>
        <v>0</v>
      </c>
      <c r="P145" s="179">
        <f ca="1">IF(ISNUMBER(MATCH(DATEVALUE($A145),'recurring1_based on steps'!P$1:P$400,0)),P$2,)</f>
        <v>0</v>
      </c>
      <c r="Q145" s="179">
        <f ca="1">IF(ISNUMBER(MATCH(DATEVALUE($A145),'recurring1_based on steps'!Q$1:Q$400,0)),Q$2,)</f>
        <v>0</v>
      </c>
      <c r="R145" s="179">
        <f ca="1">IF(ISNUMBER(MATCH(DATEVALUE($A145),'recurring1_based on steps'!R$1:R$400,0)),R$2,)</f>
        <v>0</v>
      </c>
      <c r="S145" s="179">
        <f ca="1">IF(ISNUMBER(MATCH(DATEVALUE($A145),'recurring1_based on steps'!S$1:S$400,0)),S$2,)</f>
        <v>0</v>
      </c>
      <c r="T145" s="179">
        <f ca="1">IF(ISNUMBER(MATCH(DATEVALUE($A145),'recurring1_based on steps'!T$1:T$400,0)),T$2,)</f>
        <v>0</v>
      </c>
      <c r="U145" s="179">
        <f ca="1">IF(ISNUMBER(MATCH(DATEVALUE($A145),'recurring1_based on steps'!U$1:U$400,0)),U$2,)</f>
        <v>0</v>
      </c>
      <c r="V145" s="179">
        <f ca="1">IF(ISNUMBER(MATCH(DATEVALUE($A145),'recurring1_based on steps'!V$1:V$400,0)),V$2,)</f>
        <v>0</v>
      </c>
      <c r="W145" s="179">
        <f ca="1">IF(ISNUMBER(MATCH(DATEVALUE($A145),'recurring1_based on steps'!W$1:W$400,0)),W$2,)</f>
        <v>0</v>
      </c>
      <c r="X145" s="179">
        <f ca="1">IF(ISNUMBER(MATCH(DATEVALUE($A145),'recurring1_based on steps'!X$1:X$400,0)),X$2,)</f>
        <v>0</v>
      </c>
      <c r="Y145" s="179">
        <f ca="1">IF(ISNUMBER(MATCH(DATEVALUE($A145),'recurring1_based on steps'!Y$1:Y$400,0)),Y$2,)</f>
        <v>0</v>
      </c>
      <c r="Z145" s="179">
        <f ca="1">IF(ISNUMBER(MATCH(DATEVALUE($A145),'recurring1_based on steps'!Z$1:Z$400,0)),Z$2,)</f>
        <v>0</v>
      </c>
      <c r="AA145" s="179">
        <f ca="1">IF(ISNUMBER(MATCH(DATEVALUE($A145),'recurring1_based on steps'!AA$1:AA$400,0)),AA$2,)</f>
        <v>0</v>
      </c>
      <c r="AB145" s="179">
        <f ca="1">IF(ISNUMBER(MATCH(DATEVALUE($A145),'recurring1_based on steps'!AB$1:AB$400,0)),AB$2,)</f>
        <v>0</v>
      </c>
      <c r="AC145" s="179">
        <f ca="1">IF(ISNUMBER(MATCH(DATEVALUE($A145),'recurring1_based on steps'!AC$1:AC$400,0)),AC$2,)</f>
        <v>0</v>
      </c>
      <c r="AD145" s="179">
        <f ca="1">IF(ISNUMBER(MATCH(DATEVALUE($A145),'recurring1_based on steps'!AD$1:AD$400,0)),AD$2,)</f>
        <v>0</v>
      </c>
      <c r="AE145" s="179">
        <f ca="1">IF(ISNUMBER(MATCH(DATEVALUE($A145),'recurring1_based on steps'!AE$1:AE$400,0)),AE$2,)</f>
        <v>0</v>
      </c>
      <c r="AF145" s="179">
        <f ca="1">IF(ISNUMBER(MATCH(DATEVALUE($A145),'recurring1_based on steps'!AF$1:AF$400,0)),AF$2,)</f>
        <v>0</v>
      </c>
      <c r="AG145" s="179">
        <f ca="1">IF(ISNUMBER(MATCH(DATEVALUE($A145),'recurring1_based on steps'!AG$1:AG$400,0)),AG$2,)</f>
        <v>0</v>
      </c>
      <c r="AH145" s="179">
        <f ca="1">IF(ISNUMBER(MATCH(DATEVALUE($A145),'recurring1_based on steps'!AH$1:AH$400,0)),AH$2,)</f>
        <v>0</v>
      </c>
      <c r="AI145" s="179">
        <f ca="1">IF(ISNUMBER(MATCH(DATEVALUE($A145),'recurring1_based on steps'!AI$1:AI$400,0)),AI$2,)</f>
        <v>0</v>
      </c>
      <c r="AJ145" s="179">
        <f ca="1">IF(ISNUMBER(MATCH(DATEVALUE($A145),'recurring1_based on steps'!AJ$1:AJ$400,0)),AJ$2,)</f>
        <v>0</v>
      </c>
      <c r="AK145" s="179">
        <f ca="1">IF(ISNUMBER(MATCH(DATEVALUE($A145),'recurring1_based on steps'!AK$1:AK$400,0)),AK$2,)</f>
        <v>0</v>
      </c>
      <c r="AL145" s="179">
        <f ca="1">IF(ISNUMBER(MATCH(DATEVALUE($A145),'recurring1_based on steps'!AL$1:AL$400,0)),AL$2,)</f>
        <v>0</v>
      </c>
      <c r="AM145" s="179">
        <f ca="1">IF(ISNUMBER(MATCH(DATEVALUE($A145),'recurring1_based on steps'!AM$1:AM$400,0)),AM$2,)</f>
        <v>0</v>
      </c>
      <c r="AN145" s="179">
        <f ca="1">IF(ISNUMBER(MATCH(DATEVALUE($A145),'recurring1_based on steps'!AN$1:AN$400,0)),AN$2,)</f>
        <v>0</v>
      </c>
      <c r="AO145" s="179">
        <f ca="1">IF(ISNUMBER(MATCH(DATEVALUE($A145),'recurring1_based on steps'!AO$1:AO$400,0)),AO$2,)</f>
        <v>0</v>
      </c>
      <c r="AP145" s="179">
        <f ca="1">IF(ISNUMBER(MATCH(DATEVALUE($A145),'recurring1_based on steps'!AP$1:AP$400,0)),AP$2,)</f>
        <v>0</v>
      </c>
      <c r="AQ145" s="179">
        <f ca="1">IF(ISNUMBER(MATCH(DATEVALUE($A145),'recurring1_based on steps'!AQ$1:AQ$400,0)),AQ$2,)</f>
        <v>0</v>
      </c>
      <c r="AR145" s="179">
        <f ca="1">IF(ISNUMBER(MATCH(DATEVALUE($A145),'recurring1_based on steps'!AR$1:AR$400,0)),AR$2,)</f>
        <v>0</v>
      </c>
      <c r="AS145" s="179">
        <f ca="1">IF(ISNUMBER(MATCH(DATEVALUE($A145),'recurring1_based on steps'!AS$1:AS$400,0)),AS$2,)</f>
        <v>0</v>
      </c>
      <c r="AT145" s="179">
        <f ca="1">IF(ISNUMBER(MATCH(DATEVALUE($A145),'recurring1_based on steps'!AT$1:AT$400,0)),AT$2,)</f>
        <v>0</v>
      </c>
      <c r="AU145" s="179">
        <f ca="1">IF(ISNUMBER(MATCH(DATEVALUE($A145),'recurring1_based on steps'!AU$1:AU$400,0)),AU$2,)</f>
        <v>0</v>
      </c>
      <c r="AV145" s="179">
        <f ca="1">IF(ISNUMBER(MATCH(DATEVALUE($A145),'recurring1_based on steps'!AV$1:AV$400,0)),AV$2,)</f>
        <v>0</v>
      </c>
      <c r="AW145" s="179">
        <f ca="1">IF(ISNUMBER(MATCH(DATEVALUE($A145),'recurring1_based on steps'!AW$1:AW$400,0)),AW$2,)</f>
        <v>0</v>
      </c>
      <c r="AX145" s="179">
        <f ca="1">IF(ISNUMBER(MATCH(DATEVALUE($A145),'recurring1_based on steps'!AX$1:AX$400,0)),AX$2,)</f>
        <v>0</v>
      </c>
      <c r="AY145" s="179">
        <f ca="1">IF(ISNUMBER(MATCH(DATEVALUE($A145),'recurring1_based on steps'!AY$1:AY$400,0)),AY$2,)</f>
        <v>0</v>
      </c>
    </row>
    <row r="146" spans="1:51" x14ac:dyDescent="0.2">
      <c r="A146" s="32" t="str">
        <f t="shared" ca="1" si="2"/>
        <v>2025-08-26</v>
      </c>
      <c r="B146" s="179">
        <f ca="1">IF(ISNUMBER(MATCH(DATEVALUE($A146),'recurring1_based on steps'!B$1:B$400,0)),B$2,)</f>
        <v>0</v>
      </c>
      <c r="C146" s="179">
        <f ca="1">IF(ISNUMBER(MATCH(DATEVALUE($A146),'recurring1_based on steps'!C$1:C$400,0)),C$2,)</f>
        <v>0</v>
      </c>
      <c r="D146" s="179">
        <f ca="1">IF(ISNUMBER(MATCH(DATEVALUE($A146),'recurring1_based on steps'!D$1:D$400,0)),D$2,)</f>
        <v>0</v>
      </c>
      <c r="E146" s="179">
        <f ca="1">IF(ISNUMBER(MATCH(DATEVALUE($A146),'recurring1_based on steps'!E$1:E$400,0)),E$2,)</f>
        <v>0</v>
      </c>
      <c r="F146" s="179">
        <f ca="1">IF(ISNUMBER(MATCH(DATEVALUE($A146),'recurring1_based on steps'!F$1:F$400,0)),F$2,)</f>
        <v>0</v>
      </c>
      <c r="G146" s="179">
        <f ca="1">IF(ISNUMBER(MATCH(DATEVALUE($A146),'recurring1_based on steps'!G$1:G$400,0)),G$2,)</f>
        <v>0</v>
      </c>
      <c r="H146" s="179">
        <f ca="1">IF(ISNUMBER(MATCH(DATEVALUE($A146),'recurring1_based on steps'!H$1:H$400,0)),H$2,)</f>
        <v>0</v>
      </c>
      <c r="I146" s="179">
        <f ca="1">IF(ISNUMBER(MATCH(DATEVALUE($A146),'recurring1_based on steps'!I$1:I$400,0)),I$2,)</f>
        <v>0</v>
      </c>
      <c r="J146" s="179">
        <f ca="1">IF(ISNUMBER(MATCH(DATEVALUE($A146),'recurring1_based on steps'!J$1:J$400,0)),J$2,)</f>
        <v>0</v>
      </c>
      <c r="K146" s="179">
        <f ca="1">IF(ISNUMBER(MATCH(DATEVALUE($A146),'recurring1_based on steps'!K$1:K$400,0)),K$2,)</f>
        <v>0</v>
      </c>
      <c r="L146" s="179">
        <f ca="1">IF(ISNUMBER(MATCH(DATEVALUE($A146),'recurring1_based on steps'!L$1:L$400,0)),L$2,)</f>
        <v>0</v>
      </c>
      <c r="M146" s="179">
        <f ca="1">IF(ISNUMBER(MATCH(DATEVALUE($A146),'recurring1_based on steps'!M$1:M$400,0)),M$2,)</f>
        <v>0</v>
      </c>
      <c r="N146" s="179">
        <f ca="1">IF(ISNUMBER(MATCH(DATEVALUE($A146),'recurring1_based on steps'!N$1:N$400,0)),N$2,)</f>
        <v>0</v>
      </c>
      <c r="O146" s="179">
        <f ca="1">IF(ISNUMBER(MATCH(DATEVALUE($A146),'recurring1_based on steps'!O$1:O$400,0)),O$2,)</f>
        <v>0</v>
      </c>
      <c r="P146" s="179">
        <f ca="1">IF(ISNUMBER(MATCH(DATEVALUE($A146),'recurring1_based on steps'!P$1:P$400,0)),P$2,)</f>
        <v>0</v>
      </c>
      <c r="Q146" s="179">
        <f ca="1">IF(ISNUMBER(MATCH(DATEVALUE($A146),'recurring1_based on steps'!Q$1:Q$400,0)),Q$2,)</f>
        <v>0</v>
      </c>
      <c r="R146" s="179">
        <f ca="1">IF(ISNUMBER(MATCH(DATEVALUE($A146),'recurring1_based on steps'!R$1:R$400,0)),R$2,)</f>
        <v>0</v>
      </c>
      <c r="S146" s="179">
        <f ca="1">IF(ISNUMBER(MATCH(DATEVALUE($A146),'recurring1_based on steps'!S$1:S$400,0)),S$2,)</f>
        <v>0</v>
      </c>
      <c r="T146" s="179">
        <f ca="1">IF(ISNUMBER(MATCH(DATEVALUE($A146),'recurring1_based on steps'!T$1:T$400,0)),T$2,)</f>
        <v>0</v>
      </c>
      <c r="U146" s="179">
        <f ca="1">IF(ISNUMBER(MATCH(DATEVALUE($A146),'recurring1_based on steps'!U$1:U$400,0)),U$2,)</f>
        <v>0</v>
      </c>
      <c r="V146" s="179">
        <f ca="1">IF(ISNUMBER(MATCH(DATEVALUE($A146),'recurring1_based on steps'!V$1:V$400,0)),V$2,)</f>
        <v>0</v>
      </c>
      <c r="W146" s="179">
        <f ca="1">IF(ISNUMBER(MATCH(DATEVALUE($A146),'recurring1_based on steps'!W$1:W$400,0)),W$2,)</f>
        <v>0</v>
      </c>
      <c r="X146" s="179">
        <f ca="1">IF(ISNUMBER(MATCH(DATEVALUE($A146),'recurring1_based on steps'!X$1:X$400,0)),X$2,)</f>
        <v>0</v>
      </c>
      <c r="Y146" s="179">
        <f ca="1">IF(ISNUMBER(MATCH(DATEVALUE($A146),'recurring1_based on steps'!Y$1:Y$400,0)),Y$2,)</f>
        <v>0</v>
      </c>
      <c r="Z146" s="179">
        <f ca="1">IF(ISNUMBER(MATCH(DATEVALUE($A146),'recurring1_based on steps'!Z$1:Z$400,0)),Z$2,)</f>
        <v>0</v>
      </c>
      <c r="AA146" s="179">
        <f ca="1">IF(ISNUMBER(MATCH(DATEVALUE($A146),'recurring1_based on steps'!AA$1:AA$400,0)),AA$2,)</f>
        <v>0</v>
      </c>
      <c r="AB146" s="179">
        <f ca="1">IF(ISNUMBER(MATCH(DATEVALUE($A146),'recurring1_based on steps'!AB$1:AB$400,0)),AB$2,)</f>
        <v>0</v>
      </c>
      <c r="AC146" s="179">
        <f ca="1">IF(ISNUMBER(MATCH(DATEVALUE($A146),'recurring1_based on steps'!AC$1:AC$400,0)),AC$2,)</f>
        <v>0</v>
      </c>
      <c r="AD146" s="179">
        <f ca="1">IF(ISNUMBER(MATCH(DATEVALUE($A146),'recurring1_based on steps'!AD$1:AD$400,0)),AD$2,)</f>
        <v>0</v>
      </c>
      <c r="AE146" s="179">
        <f ca="1">IF(ISNUMBER(MATCH(DATEVALUE($A146),'recurring1_based on steps'!AE$1:AE$400,0)),AE$2,)</f>
        <v>0</v>
      </c>
      <c r="AF146" s="179">
        <f ca="1">IF(ISNUMBER(MATCH(DATEVALUE($A146),'recurring1_based on steps'!AF$1:AF$400,0)),AF$2,)</f>
        <v>0</v>
      </c>
      <c r="AG146" s="179">
        <f ca="1">IF(ISNUMBER(MATCH(DATEVALUE($A146),'recurring1_based on steps'!AG$1:AG$400,0)),AG$2,)</f>
        <v>0</v>
      </c>
      <c r="AH146" s="179">
        <f ca="1">IF(ISNUMBER(MATCH(DATEVALUE($A146),'recurring1_based on steps'!AH$1:AH$400,0)),AH$2,)</f>
        <v>0</v>
      </c>
      <c r="AI146" s="179">
        <f ca="1">IF(ISNUMBER(MATCH(DATEVALUE($A146),'recurring1_based on steps'!AI$1:AI$400,0)),AI$2,)</f>
        <v>0</v>
      </c>
      <c r="AJ146" s="179">
        <f ca="1">IF(ISNUMBER(MATCH(DATEVALUE($A146),'recurring1_based on steps'!AJ$1:AJ$400,0)),AJ$2,)</f>
        <v>0</v>
      </c>
      <c r="AK146" s="179">
        <f ca="1">IF(ISNUMBER(MATCH(DATEVALUE($A146),'recurring1_based on steps'!AK$1:AK$400,0)),AK$2,)</f>
        <v>0</v>
      </c>
      <c r="AL146" s="179">
        <f ca="1">IF(ISNUMBER(MATCH(DATEVALUE($A146),'recurring1_based on steps'!AL$1:AL$400,0)),AL$2,)</f>
        <v>0</v>
      </c>
      <c r="AM146" s="179">
        <f ca="1">IF(ISNUMBER(MATCH(DATEVALUE($A146),'recurring1_based on steps'!AM$1:AM$400,0)),AM$2,)</f>
        <v>0</v>
      </c>
      <c r="AN146" s="179">
        <f ca="1">IF(ISNUMBER(MATCH(DATEVALUE($A146),'recurring1_based on steps'!AN$1:AN$400,0)),AN$2,)</f>
        <v>0</v>
      </c>
      <c r="AO146" s="179">
        <f ca="1">IF(ISNUMBER(MATCH(DATEVALUE($A146),'recurring1_based on steps'!AO$1:AO$400,0)),AO$2,)</f>
        <v>0</v>
      </c>
      <c r="AP146" s="179">
        <f ca="1">IF(ISNUMBER(MATCH(DATEVALUE($A146),'recurring1_based on steps'!AP$1:AP$400,0)),AP$2,)</f>
        <v>0</v>
      </c>
      <c r="AQ146" s="179">
        <f ca="1">IF(ISNUMBER(MATCH(DATEVALUE($A146),'recurring1_based on steps'!AQ$1:AQ$400,0)),AQ$2,)</f>
        <v>0</v>
      </c>
      <c r="AR146" s="179">
        <f ca="1">IF(ISNUMBER(MATCH(DATEVALUE($A146),'recurring1_based on steps'!AR$1:AR$400,0)),AR$2,)</f>
        <v>0</v>
      </c>
      <c r="AS146" s="179">
        <f ca="1">IF(ISNUMBER(MATCH(DATEVALUE($A146),'recurring1_based on steps'!AS$1:AS$400,0)),AS$2,)</f>
        <v>0</v>
      </c>
      <c r="AT146" s="179">
        <f ca="1">IF(ISNUMBER(MATCH(DATEVALUE($A146),'recurring1_based on steps'!AT$1:AT$400,0)),AT$2,)</f>
        <v>0</v>
      </c>
      <c r="AU146" s="179">
        <f ca="1">IF(ISNUMBER(MATCH(DATEVALUE($A146),'recurring1_based on steps'!AU$1:AU$400,0)),AU$2,)</f>
        <v>0</v>
      </c>
      <c r="AV146" s="179">
        <f ca="1">IF(ISNUMBER(MATCH(DATEVALUE($A146),'recurring1_based on steps'!AV$1:AV$400,0)),AV$2,)</f>
        <v>0</v>
      </c>
      <c r="AW146" s="179">
        <f ca="1">IF(ISNUMBER(MATCH(DATEVALUE($A146),'recurring1_based on steps'!AW$1:AW$400,0)),AW$2,)</f>
        <v>0</v>
      </c>
      <c r="AX146" s="179">
        <f ca="1">IF(ISNUMBER(MATCH(DATEVALUE($A146),'recurring1_based on steps'!AX$1:AX$400,0)),AX$2,)</f>
        <v>0</v>
      </c>
      <c r="AY146" s="179">
        <f ca="1">IF(ISNUMBER(MATCH(DATEVALUE($A146),'recurring1_based on steps'!AY$1:AY$400,0)),AY$2,)</f>
        <v>0</v>
      </c>
    </row>
    <row r="147" spans="1:51" x14ac:dyDescent="0.2">
      <c r="A147" s="32" t="str">
        <f t="shared" ca="1" si="2"/>
        <v>2025-08-27</v>
      </c>
      <c r="B147" s="179">
        <f ca="1">IF(ISNUMBER(MATCH(DATEVALUE($A147),'recurring1_based on steps'!B$1:B$400,0)),B$2,)</f>
        <v>0</v>
      </c>
      <c r="C147" s="179">
        <f ca="1">IF(ISNUMBER(MATCH(DATEVALUE($A147),'recurring1_based on steps'!C$1:C$400,0)),C$2,)</f>
        <v>0</v>
      </c>
      <c r="D147" s="179">
        <f ca="1">IF(ISNUMBER(MATCH(DATEVALUE($A147),'recurring1_based on steps'!D$1:D$400,0)),D$2,)</f>
        <v>0</v>
      </c>
      <c r="E147" s="179">
        <f ca="1">IF(ISNUMBER(MATCH(DATEVALUE($A147),'recurring1_based on steps'!E$1:E$400,0)),E$2,)</f>
        <v>0</v>
      </c>
      <c r="F147" s="179">
        <f ca="1">IF(ISNUMBER(MATCH(DATEVALUE($A147),'recurring1_based on steps'!F$1:F$400,0)),F$2,)</f>
        <v>0</v>
      </c>
      <c r="G147" s="179">
        <f ca="1">IF(ISNUMBER(MATCH(DATEVALUE($A147),'recurring1_based on steps'!G$1:G$400,0)),G$2,)</f>
        <v>0</v>
      </c>
      <c r="H147" s="179">
        <f ca="1">IF(ISNUMBER(MATCH(DATEVALUE($A147),'recurring1_based on steps'!H$1:H$400,0)),H$2,)</f>
        <v>0</v>
      </c>
      <c r="I147" s="179">
        <f ca="1">IF(ISNUMBER(MATCH(DATEVALUE($A147),'recurring1_based on steps'!I$1:I$400,0)),I$2,)</f>
        <v>0</v>
      </c>
      <c r="J147" s="179">
        <f ca="1">IF(ISNUMBER(MATCH(DATEVALUE($A147),'recurring1_based on steps'!J$1:J$400,0)),J$2,)</f>
        <v>0</v>
      </c>
      <c r="K147" s="179">
        <f ca="1">IF(ISNUMBER(MATCH(DATEVALUE($A147),'recurring1_based on steps'!K$1:K$400,0)),K$2,)</f>
        <v>0</v>
      </c>
      <c r="L147" s="179">
        <f ca="1">IF(ISNUMBER(MATCH(DATEVALUE($A147),'recurring1_based on steps'!L$1:L$400,0)),L$2,)</f>
        <v>0</v>
      </c>
      <c r="M147" s="179">
        <f ca="1">IF(ISNUMBER(MATCH(DATEVALUE($A147),'recurring1_based on steps'!M$1:M$400,0)),M$2,)</f>
        <v>0</v>
      </c>
      <c r="N147" s="179">
        <f ca="1">IF(ISNUMBER(MATCH(DATEVALUE($A147),'recurring1_based on steps'!N$1:N$400,0)),N$2,)</f>
        <v>0</v>
      </c>
      <c r="O147" s="179">
        <f ca="1">IF(ISNUMBER(MATCH(DATEVALUE($A147),'recurring1_based on steps'!O$1:O$400,0)),O$2,)</f>
        <v>0</v>
      </c>
      <c r="P147" s="179">
        <f ca="1">IF(ISNUMBER(MATCH(DATEVALUE($A147),'recurring1_based on steps'!P$1:P$400,0)),P$2,)</f>
        <v>0</v>
      </c>
      <c r="Q147" s="179">
        <f ca="1">IF(ISNUMBER(MATCH(DATEVALUE($A147),'recurring1_based on steps'!Q$1:Q$400,0)),Q$2,)</f>
        <v>0</v>
      </c>
      <c r="R147" s="179">
        <f ca="1">IF(ISNUMBER(MATCH(DATEVALUE($A147),'recurring1_based on steps'!R$1:R$400,0)),R$2,)</f>
        <v>0</v>
      </c>
      <c r="S147" s="179">
        <f ca="1">IF(ISNUMBER(MATCH(DATEVALUE($A147),'recurring1_based on steps'!S$1:S$400,0)),S$2,)</f>
        <v>0</v>
      </c>
      <c r="T147" s="179">
        <f ca="1">IF(ISNUMBER(MATCH(DATEVALUE($A147),'recurring1_based on steps'!T$1:T$400,0)),T$2,)</f>
        <v>0</v>
      </c>
      <c r="U147" s="179">
        <f ca="1">IF(ISNUMBER(MATCH(DATEVALUE($A147),'recurring1_based on steps'!U$1:U$400,0)),U$2,)</f>
        <v>0</v>
      </c>
      <c r="V147" s="179">
        <f ca="1">IF(ISNUMBER(MATCH(DATEVALUE($A147),'recurring1_based on steps'!V$1:V$400,0)),V$2,)</f>
        <v>0</v>
      </c>
      <c r="W147" s="179">
        <f ca="1">IF(ISNUMBER(MATCH(DATEVALUE($A147),'recurring1_based on steps'!W$1:W$400,0)),W$2,)</f>
        <v>0</v>
      </c>
      <c r="X147" s="179">
        <f ca="1">IF(ISNUMBER(MATCH(DATEVALUE($A147),'recurring1_based on steps'!X$1:X$400,0)),X$2,)</f>
        <v>0</v>
      </c>
      <c r="Y147" s="179">
        <f ca="1">IF(ISNUMBER(MATCH(DATEVALUE($A147),'recurring1_based on steps'!Y$1:Y$400,0)),Y$2,)</f>
        <v>0</v>
      </c>
      <c r="Z147" s="179">
        <f ca="1">IF(ISNUMBER(MATCH(DATEVALUE($A147),'recurring1_based on steps'!Z$1:Z$400,0)),Z$2,)</f>
        <v>0</v>
      </c>
      <c r="AA147" s="179">
        <f ca="1">IF(ISNUMBER(MATCH(DATEVALUE($A147),'recurring1_based on steps'!AA$1:AA$400,0)),AA$2,)</f>
        <v>0</v>
      </c>
      <c r="AB147" s="179">
        <f ca="1">IF(ISNUMBER(MATCH(DATEVALUE($A147),'recurring1_based on steps'!AB$1:AB$400,0)),AB$2,)</f>
        <v>0</v>
      </c>
      <c r="AC147" s="179">
        <f ca="1">IF(ISNUMBER(MATCH(DATEVALUE($A147),'recurring1_based on steps'!AC$1:AC$400,0)),AC$2,)</f>
        <v>0</v>
      </c>
      <c r="AD147" s="179">
        <f ca="1">IF(ISNUMBER(MATCH(DATEVALUE($A147),'recurring1_based on steps'!AD$1:AD$400,0)),AD$2,)</f>
        <v>0</v>
      </c>
      <c r="AE147" s="179">
        <f ca="1">IF(ISNUMBER(MATCH(DATEVALUE($A147),'recurring1_based on steps'!AE$1:AE$400,0)),AE$2,)</f>
        <v>0</v>
      </c>
      <c r="AF147" s="179">
        <f ca="1">IF(ISNUMBER(MATCH(DATEVALUE($A147),'recurring1_based on steps'!AF$1:AF$400,0)),AF$2,)</f>
        <v>0</v>
      </c>
      <c r="AG147" s="179">
        <f ca="1">IF(ISNUMBER(MATCH(DATEVALUE($A147),'recurring1_based on steps'!AG$1:AG$400,0)),AG$2,)</f>
        <v>0</v>
      </c>
      <c r="AH147" s="179">
        <f ca="1">IF(ISNUMBER(MATCH(DATEVALUE($A147),'recurring1_based on steps'!AH$1:AH$400,0)),AH$2,)</f>
        <v>0</v>
      </c>
      <c r="AI147" s="179">
        <f ca="1">IF(ISNUMBER(MATCH(DATEVALUE($A147),'recurring1_based on steps'!AI$1:AI$400,0)),AI$2,)</f>
        <v>0</v>
      </c>
      <c r="AJ147" s="179">
        <f ca="1">IF(ISNUMBER(MATCH(DATEVALUE($A147),'recurring1_based on steps'!AJ$1:AJ$400,0)),AJ$2,)</f>
        <v>0</v>
      </c>
      <c r="AK147" s="179">
        <f ca="1">IF(ISNUMBER(MATCH(DATEVALUE($A147),'recurring1_based on steps'!AK$1:AK$400,0)),AK$2,)</f>
        <v>0</v>
      </c>
      <c r="AL147" s="179">
        <f ca="1">IF(ISNUMBER(MATCH(DATEVALUE($A147),'recurring1_based on steps'!AL$1:AL$400,0)),AL$2,)</f>
        <v>0</v>
      </c>
      <c r="AM147" s="179">
        <f ca="1">IF(ISNUMBER(MATCH(DATEVALUE($A147),'recurring1_based on steps'!AM$1:AM$400,0)),AM$2,)</f>
        <v>0</v>
      </c>
      <c r="AN147" s="179">
        <f ca="1">IF(ISNUMBER(MATCH(DATEVALUE($A147),'recurring1_based on steps'!AN$1:AN$400,0)),AN$2,)</f>
        <v>0</v>
      </c>
      <c r="AO147" s="179">
        <f ca="1">IF(ISNUMBER(MATCH(DATEVALUE($A147),'recurring1_based on steps'!AO$1:AO$400,0)),AO$2,)</f>
        <v>0</v>
      </c>
      <c r="AP147" s="179">
        <f ca="1">IF(ISNUMBER(MATCH(DATEVALUE($A147),'recurring1_based on steps'!AP$1:AP$400,0)),AP$2,)</f>
        <v>0</v>
      </c>
      <c r="AQ147" s="179">
        <f ca="1">IF(ISNUMBER(MATCH(DATEVALUE($A147),'recurring1_based on steps'!AQ$1:AQ$400,0)),AQ$2,)</f>
        <v>0</v>
      </c>
      <c r="AR147" s="179">
        <f ca="1">IF(ISNUMBER(MATCH(DATEVALUE($A147),'recurring1_based on steps'!AR$1:AR$400,0)),AR$2,)</f>
        <v>0</v>
      </c>
      <c r="AS147" s="179">
        <f ca="1">IF(ISNUMBER(MATCH(DATEVALUE($A147),'recurring1_based on steps'!AS$1:AS$400,0)),AS$2,)</f>
        <v>0</v>
      </c>
      <c r="AT147" s="179">
        <f ca="1">IF(ISNUMBER(MATCH(DATEVALUE($A147),'recurring1_based on steps'!AT$1:AT$400,0)),AT$2,)</f>
        <v>0</v>
      </c>
      <c r="AU147" s="179">
        <f ca="1">IF(ISNUMBER(MATCH(DATEVALUE($A147),'recurring1_based on steps'!AU$1:AU$400,0)),AU$2,)</f>
        <v>0</v>
      </c>
      <c r="AV147" s="179">
        <f ca="1">IF(ISNUMBER(MATCH(DATEVALUE($A147),'recurring1_based on steps'!AV$1:AV$400,0)),AV$2,)</f>
        <v>0</v>
      </c>
      <c r="AW147" s="179">
        <f ca="1">IF(ISNUMBER(MATCH(DATEVALUE($A147),'recurring1_based on steps'!AW$1:AW$400,0)),AW$2,)</f>
        <v>0</v>
      </c>
      <c r="AX147" s="179">
        <f ca="1">IF(ISNUMBER(MATCH(DATEVALUE($A147),'recurring1_based on steps'!AX$1:AX$400,0)),AX$2,)</f>
        <v>0</v>
      </c>
      <c r="AY147" s="179">
        <f ca="1">IF(ISNUMBER(MATCH(DATEVALUE($A147),'recurring1_based on steps'!AY$1:AY$400,0)),AY$2,)</f>
        <v>0</v>
      </c>
    </row>
    <row r="148" spans="1:51" x14ac:dyDescent="0.2">
      <c r="A148" s="32" t="str">
        <f t="shared" ca="1" si="2"/>
        <v>2025-08-28</v>
      </c>
      <c r="B148" s="179">
        <f ca="1">IF(ISNUMBER(MATCH(DATEVALUE($A148),'recurring1_based on steps'!B$1:B$400,0)),B$2,)</f>
        <v>0</v>
      </c>
      <c r="C148" s="179">
        <f ca="1">IF(ISNUMBER(MATCH(DATEVALUE($A148),'recurring1_based on steps'!C$1:C$400,0)),C$2,)</f>
        <v>0</v>
      </c>
      <c r="D148" s="179">
        <f ca="1">IF(ISNUMBER(MATCH(DATEVALUE($A148),'recurring1_based on steps'!D$1:D$400,0)),D$2,)</f>
        <v>0</v>
      </c>
      <c r="E148" s="179">
        <f ca="1">IF(ISNUMBER(MATCH(DATEVALUE($A148),'recurring1_based on steps'!E$1:E$400,0)),E$2,)</f>
        <v>0</v>
      </c>
      <c r="F148" s="179">
        <f ca="1">IF(ISNUMBER(MATCH(DATEVALUE($A148),'recurring1_based on steps'!F$1:F$400,0)),F$2,)</f>
        <v>0</v>
      </c>
      <c r="G148" s="179">
        <f ca="1">IF(ISNUMBER(MATCH(DATEVALUE($A148),'recurring1_based on steps'!G$1:G$400,0)),G$2,)</f>
        <v>0</v>
      </c>
      <c r="H148" s="179">
        <f ca="1">IF(ISNUMBER(MATCH(DATEVALUE($A148),'recurring1_based on steps'!H$1:H$400,0)),H$2,)</f>
        <v>0</v>
      </c>
      <c r="I148" s="179">
        <f ca="1">IF(ISNUMBER(MATCH(DATEVALUE($A148),'recurring1_based on steps'!I$1:I$400,0)),I$2,)</f>
        <v>0</v>
      </c>
      <c r="J148" s="179">
        <f ca="1">IF(ISNUMBER(MATCH(DATEVALUE($A148),'recurring1_based on steps'!J$1:J$400,0)),J$2,)</f>
        <v>0</v>
      </c>
      <c r="K148" s="179">
        <f ca="1">IF(ISNUMBER(MATCH(DATEVALUE($A148),'recurring1_based on steps'!K$1:K$400,0)),K$2,)</f>
        <v>0</v>
      </c>
      <c r="L148" s="179">
        <f ca="1">IF(ISNUMBER(MATCH(DATEVALUE($A148),'recurring1_based on steps'!L$1:L$400,0)),L$2,)</f>
        <v>0</v>
      </c>
      <c r="M148" s="179">
        <f ca="1">IF(ISNUMBER(MATCH(DATEVALUE($A148),'recurring1_based on steps'!M$1:M$400,0)),M$2,)</f>
        <v>0</v>
      </c>
      <c r="N148" s="179">
        <f ca="1">IF(ISNUMBER(MATCH(DATEVALUE($A148),'recurring1_based on steps'!N$1:N$400,0)),N$2,)</f>
        <v>0</v>
      </c>
      <c r="O148" s="179">
        <f ca="1">IF(ISNUMBER(MATCH(DATEVALUE($A148),'recurring1_based on steps'!O$1:O$400,0)),O$2,)</f>
        <v>0</v>
      </c>
      <c r="P148" s="179">
        <f ca="1">IF(ISNUMBER(MATCH(DATEVALUE($A148),'recurring1_based on steps'!P$1:P$400,0)),P$2,)</f>
        <v>0</v>
      </c>
      <c r="Q148" s="179">
        <f ca="1">IF(ISNUMBER(MATCH(DATEVALUE($A148),'recurring1_based on steps'!Q$1:Q$400,0)),Q$2,)</f>
        <v>0</v>
      </c>
      <c r="R148" s="179">
        <f ca="1">IF(ISNUMBER(MATCH(DATEVALUE($A148),'recurring1_based on steps'!R$1:R$400,0)),R$2,)</f>
        <v>0</v>
      </c>
      <c r="S148" s="179">
        <f ca="1">IF(ISNUMBER(MATCH(DATEVALUE($A148),'recurring1_based on steps'!S$1:S$400,0)),S$2,)</f>
        <v>0</v>
      </c>
      <c r="T148" s="179">
        <f ca="1">IF(ISNUMBER(MATCH(DATEVALUE($A148),'recurring1_based on steps'!T$1:T$400,0)),T$2,)</f>
        <v>0</v>
      </c>
      <c r="U148" s="179">
        <f ca="1">IF(ISNUMBER(MATCH(DATEVALUE($A148),'recurring1_based on steps'!U$1:U$400,0)),U$2,)</f>
        <v>0</v>
      </c>
      <c r="V148" s="179">
        <f ca="1">IF(ISNUMBER(MATCH(DATEVALUE($A148),'recurring1_based on steps'!V$1:V$400,0)),V$2,)</f>
        <v>0</v>
      </c>
      <c r="W148" s="179">
        <f ca="1">IF(ISNUMBER(MATCH(DATEVALUE($A148),'recurring1_based on steps'!W$1:W$400,0)),W$2,)</f>
        <v>0</v>
      </c>
      <c r="X148" s="179">
        <f ca="1">IF(ISNUMBER(MATCH(DATEVALUE($A148),'recurring1_based on steps'!X$1:X$400,0)),X$2,)</f>
        <v>0</v>
      </c>
      <c r="Y148" s="179">
        <f ca="1">IF(ISNUMBER(MATCH(DATEVALUE($A148),'recurring1_based on steps'!Y$1:Y$400,0)),Y$2,)</f>
        <v>0</v>
      </c>
      <c r="Z148" s="179">
        <f ca="1">IF(ISNUMBER(MATCH(DATEVALUE($A148),'recurring1_based on steps'!Z$1:Z$400,0)),Z$2,)</f>
        <v>0</v>
      </c>
      <c r="AA148" s="179">
        <f ca="1">IF(ISNUMBER(MATCH(DATEVALUE($A148),'recurring1_based on steps'!AA$1:AA$400,0)),AA$2,)</f>
        <v>0</v>
      </c>
      <c r="AB148" s="179">
        <f ca="1">IF(ISNUMBER(MATCH(DATEVALUE($A148),'recurring1_based on steps'!AB$1:AB$400,0)),AB$2,)</f>
        <v>0</v>
      </c>
      <c r="AC148" s="179">
        <f ca="1">IF(ISNUMBER(MATCH(DATEVALUE($A148),'recurring1_based on steps'!AC$1:AC$400,0)),AC$2,)</f>
        <v>0</v>
      </c>
      <c r="AD148" s="179">
        <f ca="1">IF(ISNUMBER(MATCH(DATEVALUE($A148),'recurring1_based on steps'!AD$1:AD$400,0)),AD$2,)</f>
        <v>0</v>
      </c>
      <c r="AE148" s="179">
        <f ca="1">IF(ISNUMBER(MATCH(DATEVALUE($A148),'recurring1_based on steps'!AE$1:AE$400,0)),AE$2,)</f>
        <v>0</v>
      </c>
      <c r="AF148" s="179">
        <f ca="1">IF(ISNUMBER(MATCH(DATEVALUE($A148),'recurring1_based on steps'!AF$1:AF$400,0)),AF$2,)</f>
        <v>0</v>
      </c>
      <c r="AG148" s="179">
        <f ca="1">IF(ISNUMBER(MATCH(DATEVALUE($A148),'recurring1_based on steps'!AG$1:AG$400,0)),AG$2,)</f>
        <v>0</v>
      </c>
      <c r="AH148" s="179">
        <f ca="1">IF(ISNUMBER(MATCH(DATEVALUE($A148),'recurring1_based on steps'!AH$1:AH$400,0)),AH$2,)</f>
        <v>0</v>
      </c>
      <c r="AI148" s="179">
        <f ca="1">IF(ISNUMBER(MATCH(DATEVALUE($A148),'recurring1_based on steps'!AI$1:AI$400,0)),AI$2,)</f>
        <v>0</v>
      </c>
      <c r="AJ148" s="179">
        <f ca="1">IF(ISNUMBER(MATCH(DATEVALUE($A148),'recurring1_based on steps'!AJ$1:AJ$400,0)),AJ$2,)</f>
        <v>0</v>
      </c>
      <c r="AK148" s="179">
        <f ca="1">IF(ISNUMBER(MATCH(DATEVALUE($A148),'recurring1_based on steps'!AK$1:AK$400,0)),AK$2,)</f>
        <v>0</v>
      </c>
      <c r="AL148" s="179">
        <f ca="1">IF(ISNUMBER(MATCH(DATEVALUE($A148),'recurring1_based on steps'!AL$1:AL$400,0)),AL$2,)</f>
        <v>0</v>
      </c>
      <c r="AM148" s="179">
        <f ca="1">IF(ISNUMBER(MATCH(DATEVALUE($A148),'recurring1_based on steps'!AM$1:AM$400,0)),AM$2,)</f>
        <v>0</v>
      </c>
      <c r="AN148" s="179">
        <f ca="1">IF(ISNUMBER(MATCH(DATEVALUE($A148),'recurring1_based on steps'!AN$1:AN$400,0)),AN$2,)</f>
        <v>0</v>
      </c>
      <c r="AO148" s="179">
        <f ca="1">IF(ISNUMBER(MATCH(DATEVALUE($A148),'recurring1_based on steps'!AO$1:AO$400,0)),AO$2,)</f>
        <v>0</v>
      </c>
      <c r="AP148" s="179">
        <f ca="1">IF(ISNUMBER(MATCH(DATEVALUE($A148),'recurring1_based on steps'!AP$1:AP$400,0)),AP$2,)</f>
        <v>0</v>
      </c>
      <c r="AQ148" s="179">
        <f ca="1">IF(ISNUMBER(MATCH(DATEVALUE($A148),'recurring1_based on steps'!AQ$1:AQ$400,0)),AQ$2,)</f>
        <v>0</v>
      </c>
      <c r="AR148" s="179">
        <f ca="1">IF(ISNUMBER(MATCH(DATEVALUE($A148),'recurring1_based on steps'!AR$1:AR$400,0)),AR$2,)</f>
        <v>0</v>
      </c>
      <c r="AS148" s="179">
        <f ca="1">IF(ISNUMBER(MATCH(DATEVALUE($A148),'recurring1_based on steps'!AS$1:AS$400,0)),AS$2,)</f>
        <v>0</v>
      </c>
      <c r="AT148" s="179">
        <f ca="1">IF(ISNUMBER(MATCH(DATEVALUE($A148),'recurring1_based on steps'!AT$1:AT$400,0)),AT$2,)</f>
        <v>0</v>
      </c>
      <c r="AU148" s="179">
        <f ca="1">IF(ISNUMBER(MATCH(DATEVALUE($A148),'recurring1_based on steps'!AU$1:AU$400,0)),AU$2,)</f>
        <v>0</v>
      </c>
      <c r="AV148" s="179">
        <f ca="1">IF(ISNUMBER(MATCH(DATEVALUE($A148),'recurring1_based on steps'!AV$1:AV$400,0)),AV$2,)</f>
        <v>0</v>
      </c>
      <c r="AW148" s="179">
        <f ca="1">IF(ISNUMBER(MATCH(DATEVALUE($A148),'recurring1_based on steps'!AW$1:AW$400,0)),AW$2,)</f>
        <v>0</v>
      </c>
      <c r="AX148" s="179">
        <f ca="1">IF(ISNUMBER(MATCH(DATEVALUE($A148),'recurring1_based on steps'!AX$1:AX$400,0)),AX$2,)</f>
        <v>0</v>
      </c>
      <c r="AY148" s="179">
        <f ca="1">IF(ISNUMBER(MATCH(DATEVALUE($A148),'recurring1_based on steps'!AY$1:AY$400,0)),AY$2,)</f>
        <v>0</v>
      </c>
    </row>
    <row r="149" spans="1:51" x14ac:dyDescent="0.2">
      <c r="A149" s="32" t="str">
        <f t="shared" ca="1" si="2"/>
        <v>2025-08-29</v>
      </c>
      <c r="B149" s="179">
        <f ca="1">IF(ISNUMBER(MATCH(DATEVALUE($A149),'recurring1_based on steps'!B$1:B$400,0)),B$2,)</f>
        <v>0</v>
      </c>
      <c r="C149" s="179">
        <f ca="1">IF(ISNUMBER(MATCH(DATEVALUE($A149),'recurring1_based on steps'!C$1:C$400,0)),C$2,)</f>
        <v>0</v>
      </c>
      <c r="D149" s="179">
        <f ca="1">IF(ISNUMBER(MATCH(DATEVALUE($A149),'recurring1_based on steps'!D$1:D$400,0)),D$2,)</f>
        <v>0</v>
      </c>
      <c r="E149" s="179">
        <f ca="1">IF(ISNUMBER(MATCH(DATEVALUE($A149),'recurring1_based on steps'!E$1:E$400,0)),E$2,)</f>
        <v>0</v>
      </c>
      <c r="F149" s="179">
        <f ca="1">IF(ISNUMBER(MATCH(DATEVALUE($A149),'recurring1_based on steps'!F$1:F$400,0)),F$2,)</f>
        <v>0</v>
      </c>
      <c r="G149" s="179">
        <f ca="1">IF(ISNUMBER(MATCH(DATEVALUE($A149),'recurring1_based on steps'!G$1:G$400,0)),G$2,)</f>
        <v>0</v>
      </c>
      <c r="H149" s="179">
        <f ca="1">IF(ISNUMBER(MATCH(DATEVALUE($A149),'recurring1_based on steps'!H$1:H$400,0)),H$2,)</f>
        <v>0</v>
      </c>
      <c r="I149" s="179">
        <f ca="1">IF(ISNUMBER(MATCH(DATEVALUE($A149),'recurring1_based on steps'!I$1:I$400,0)),I$2,)</f>
        <v>0</v>
      </c>
      <c r="J149" s="179">
        <f ca="1">IF(ISNUMBER(MATCH(DATEVALUE($A149),'recurring1_based on steps'!J$1:J$400,0)),J$2,)</f>
        <v>0</v>
      </c>
      <c r="K149" s="179">
        <f ca="1">IF(ISNUMBER(MATCH(DATEVALUE($A149),'recurring1_based on steps'!K$1:K$400,0)),K$2,)</f>
        <v>0</v>
      </c>
      <c r="L149" s="179">
        <f ca="1">IF(ISNUMBER(MATCH(DATEVALUE($A149),'recurring1_based on steps'!L$1:L$400,0)),L$2,)</f>
        <v>0</v>
      </c>
      <c r="M149" s="179">
        <f ca="1">IF(ISNUMBER(MATCH(DATEVALUE($A149),'recurring1_based on steps'!M$1:M$400,0)),M$2,)</f>
        <v>0</v>
      </c>
      <c r="N149" s="179">
        <f ca="1">IF(ISNUMBER(MATCH(DATEVALUE($A149),'recurring1_based on steps'!N$1:N$400,0)),N$2,)</f>
        <v>0</v>
      </c>
      <c r="O149" s="179">
        <f ca="1">IF(ISNUMBER(MATCH(DATEVALUE($A149),'recurring1_based on steps'!O$1:O$400,0)),O$2,)</f>
        <v>0</v>
      </c>
      <c r="P149" s="179">
        <f ca="1">IF(ISNUMBER(MATCH(DATEVALUE($A149),'recurring1_based on steps'!P$1:P$400,0)),P$2,)</f>
        <v>0</v>
      </c>
      <c r="Q149" s="179">
        <f ca="1">IF(ISNUMBER(MATCH(DATEVALUE($A149),'recurring1_based on steps'!Q$1:Q$400,0)),Q$2,)</f>
        <v>0</v>
      </c>
      <c r="R149" s="179">
        <f ca="1">IF(ISNUMBER(MATCH(DATEVALUE($A149),'recurring1_based on steps'!R$1:R$400,0)),R$2,)</f>
        <v>0</v>
      </c>
      <c r="S149" s="179">
        <f ca="1">IF(ISNUMBER(MATCH(DATEVALUE($A149),'recurring1_based on steps'!S$1:S$400,0)),S$2,)</f>
        <v>0</v>
      </c>
      <c r="T149" s="179">
        <f ca="1">IF(ISNUMBER(MATCH(DATEVALUE($A149),'recurring1_based on steps'!T$1:T$400,0)),T$2,)</f>
        <v>0</v>
      </c>
      <c r="U149" s="179">
        <f ca="1">IF(ISNUMBER(MATCH(DATEVALUE($A149),'recurring1_based on steps'!U$1:U$400,0)),U$2,)</f>
        <v>0</v>
      </c>
      <c r="V149" s="179">
        <f ca="1">IF(ISNUMBER(MATCH(DATEVALUE($A149),'recurring1_based on steps'!V$1:V$400,0)),V$2,)</f>
        <v>0</v>
      </c>
      <c r="W149" s="179">
        <f ca="1">IF(ISNUMBER(MATCH(DATEVALUE($A149),'recurring1_based on steps'!W$1:W$400,0)),W$2,)</f>
        <v>0</v>
      </c>
      <c r="X149" s="179">
        <f ca="1">IF(ISNUMBER(MATCH(DATEVALUE($A149),'recurring1_based on steps'!X$1:X$400,0)),X$2,)</f>
        <v>0</v>
      </c>
      <c r="Y149" s="179">
        <f ca="1">IF(ISNUMBER(MATCH(DATEVALUE($A149),'recurring1_based on steps'!Y$1:Y$400,0)),Y$2,)</f>
        <v>0</v>
      </c>
      <c r="Z149" s="179">
        <f ca="1">IF(ISNUMBER(MATCH(DATEVALUE($A149),'recurring1_based on steps'!Z$1:Z$400,0)),Z$2,)</f>
        <v>0</v>
      </c>
      <c r="AA149" s="179">
        <f ca="1">IF(ISNUMBER(MATCH(DATEVALUE($A149),'recurring1_based on steps'!AA$1:AA$400,0)),AA$2,)</f>
        <v>0</v>
      </c>
      <c r="AB149" s="179">
        <f ca="1">IF(ISNUMBER(MATCH(DATEVALUE($A149),'recurring1_based on steps'!AB$1:AB$400,0)),AB$2,)</f>
        <v>0</v>
      </c>
      <c r="AC149" s="179">
        <f ca="1">IF(ISNUMBER(MATCH(DATEVALUE($A149),'recurring1_based on steps'!AC$1:AC$400,0)),AC$2,)</f>
        <v>0</v>
      </c>
      <c r="AD149" s="179">
        <f ca="1">IF(ISNUMBER(MATCH(DATEVALUE($A149),'recurring1_based on steps'!AD$1:AD$400,0)),AD$2,)</f>
        <v>0</v>
      </c>
      <c r="AE149" s="179">
        <f ca="1">IF(ISNUMBER(MATCH(DATEVALUE($A149),'recurring1_based on steps'!AE$1:AE$400,0)),AE$2,)</f>
        <v>0</v>
      </c>
      <c r="AF149" s="179">
        <f ca="1">IF(ISNUMBER(MATCH(DATEVALUE($A149),'recurring1_based on steps'!AF$1:AF$400,0)),AF$2,)</f>
        <v>0</v>
      </c>
      <c r="AG149" s="179">
        <f ca="1">IF(ISNUMBER(MATCH(DATEVALUE($A149),'recurring1_based on steps'!AG$1:AG$400,0)),AG$2,)</f>
        <v>0</v>
      </c>
      <c r="AH149" s="179">
        <f ca="1">IF(ISNUMBER(MATCH(DATEVALUE($A149),'recurring1_based on steps'!AH$1:AH$400,0)),AH$2,)</f>
        <v>0</v>
      </c>
      <c r="AI149" s="179">
        <f ca="1">IF(ISNUMBER(MATCH(DATEVALUE($A149),'recurring1_based on steps'!AI$1:AI$400,0)),AI$2,)</f>
        <v>0</v>
      </c>
      <c r="AJ149" s="179">
        <f ca="1">IF(ISNUMBER(MATCH(DATEVALUE($A149),'recurring1_based on steps'!AJ$1:AJ$400,0)),AJ$2,)</f>
        <v>0</v>
      </c>
      <c r="AK149" s="179">
        <f ca="1">IF(ISNUMBER(MATCH(DATEVALUE($A149),'recurring1_based on steps'!AK$1:AK$400,0)),AK$2,)</f>
        <v>0</v>
      </c>
      <c r="AL149" s="179">
        <f ca="1">IF(ISNUMBER(MATCH(DATEVALUE($A149),'recurring1_based on steps'!AL$1:AL$400,0)),AL$2,)</f>
        <v>0</v>
      </c>
      <c r="AM149" s="179">
        <f ca="1">IF(ISNUMBER(MATCH(DATEVALUE($A149),'recurring1_based on steps'!AM$1:AM$400,0)),AM$2,)</f>
        <v>0</v>
      </c>
      <c r="AN149" s="179">
        <f ca="1">IF(ISNUMBER(MATCH(DATEVALUE($A149),'recurring1_based on steps'!AN$1:AN$400,0)),AN$2,)</f>
        <v>0</v>
      </c>
      <c r="AO149" s="179">
        <f ca="1">IF(ISNUMBER(MATCH(DATEVALUE($A149),'recurring1_based on steps'!AO$1:AO$400,0)),AO$2,)</f>
        <v>0</v>
      </c>
      <c r="AP149" s="179">
        <f ca="1">IF(ISNUMBER(MATCH(DATEVALUE($A149),'recurring1_based on steps'!AP$1:AP$400,0)),AP$2,)</f>
        <v>0</v>
      </c>
      <c r="AQ149" s="179">
        <f ca="1">IF(ISNUMBER(MATCH(DATEVALUE($A149),'recurring1_based on steps'!AQ$1:AQ$400,0)),AQ$2,)</f>
        <v>0</v>
      </c>
      <c r="AR149" s="179">
        <f ca="1">IF(ISNUMBER(MATCH(DATEVALUE($A149),'recurring1_based on steps'!AR$1:AR$400,0)),AR$2,)</f>
        <v>0</v>
      </c>
      <c r="AS149" s="179">
        <f ca="1">IF(ISNUMBER(MATCH(DATEVALUE($A149),'recurring1_based on steps'!AS$1:AS$400,0)),AS$2,)</f>
        <v>0</v>
      </c>
      <c r="AT149" s="179">
        <f ca="1">IF(ISNUMBER(MATCH(DATEVALUE($A149),'recurring1_based on steps'!AT$1:AT$400,0)),AT$2,)</f>
        <v>0</v>
      </c>
      <c r="AU149" s="179">
        <f ca="1">IF(ISNUMBER(MATCH(DATEVALUE($A149),'recurring1_based on steps'!AU$1:AU$400,0)),AU$2,)</f>
        <v>0</v>
      </c>
      <c r="AV149" s="179">
        <f ca="1">IF(ISNUMBER(MATCH(DATEVALUE($A149),'recurring1_based on steps'!AV$1:AV$400,0)),AV$2,)</f>
        <v>0</v>
      </c>
      <c r="AW149" s="179">
        <f ca="1">IF(ISNUMBER(MATCH(DATEVALUE($A149),'recurring1_based on steps'!AW$1:AW$400,0)),AW$2,)</f>
        <v>0</v>
      </c>
      <c r="AX149" s="179">
        <f ca="1">IF(ISNUMBER(MATCH(DATEVALUE($A149),'recurring1_based on steps'!AX$1:AX$400,0)),AX$2,)</f>
        <v>0</v>
      </c>
      <c r="AY149" s="179">
        <f ca="1">IF(ISNUMBER(MATCH(DATEVALUE($A149),'recurring1_based on steps'!AY$1:AY$400,0)),AY$2,)</f>
        <v>0</v>
      </c>
    </row>
    <row r="150" spans="1:51" x14ac:dyDescent="0.2">
      <c r="A150" s="32" t="str">
        <f t="shared" ca="1" si="2"/>
        <v>2025-08-30</v>
      </c>
      <c r="B150" s="179">
        <f ca="1">IF(ISNUMBER(MATCH(DATEVALUE($A150),'recurring1_based on steps'!B$1:B$400,0)),B$2,)</f>
        <v>0</v>
      </c>
      <c r="C150" s="179">
        <f ca="1">IF(ISNUMBER(MATCH(DATEVALUE($A150),'recurring1_based on steps'!C$1:C$400,0)),C$2,)</f>
        <v>0</v>
      </c>
      <c r="D150" s="179">
        <f ca="1">IF(ISNUMBER(MATCH(DATEVALUE($A150),'recurring1_based on steps'!D$1:D$400,0)),D$2,)</f>
        <v>0</v>
      </c>
      <c r="E150" s="179">
        <f ca="1">IF(ISNUMBER(MATCH(DATEVALUE($A150),'recurring1_based on steps'!E$1:E$400,0)),E$2,)</f>
        <v>0</v>
      </c>
      <c r="F150" s="179">
        <f ca="1">IF(ISNUMBER(MATCH(DATEVALUE($A150),'recurring1_based on steps'!F$1:F$400,0)),F$2,)</f>
        <v>0</v>
      </c>
      <c r="G150" s="179">
        <f ca="1">IF(ISNUMBER(MATCH(DATEVALUE($A150),'recurring1_based on steps'!G$1:G$400,0)),G$2,)</f>
        <v>0</v>
      </c>
      <c r="H150" s="179">
        <f ca="1">IF(ISNUMBER(MATCH(DATEVALUE($A150),'recurring1_based on steps'!H$1:H$400,0)),H$2,)</f>
        <v>0</v>
      </c>
      <c r="I150" s="179">
        <f ca="1">IF(ISNUMBER(MATCH(DATEVALUE($A150),'recurring1_based on steps'!I$1:I$400,0)),I$2,)</f>
        <v>0</v>
      </c>
      <c r="J150" s="179">
        <f ca="1">IF(ISNUMBER(MATCH(DATEVALUE($A150),'recurring1_based on steps'!J$1:J$400,0)),J$2,)</f>
        <v>0</v>
      </c>
      <c r="K150" s="179">
        <f ca="1">IF(ISNUMBER(MATCH(DATEVALUE($A150),'recurring1_based on steps'!K$1:K$400,0)),K$2,)</f>
        <v>0</v>
      </c>
      <c r="L150" s="179">
        <f ca="1">IF(ISNUMBER(MATCH(DATEVALUE($A150),'recurring1_based on steps'!L$1:L$400,0)),L$2,)</f>
        <v>0</v>
      </c>
      <c r="M150" s="179">
        <f ca="1">IF(ISNUMBER(MATCH(DATEVALUE($A150),'recurring1_based on steps'!M$1:M$400,0)),M$2,)</f>
        <v>0</v>
      </c>
      <c r="N150" s="179">
        <f ca="1">IF(ISNUMBER(MATCH(DATEVALUE($A150),'recurring1_based on steps'!N$1:N$400,0)),N$2,)</f>
        <v>0</v>
      </c>
      <c r="O150" s="179">
        <f ca="1">IF(ISNUMBER(MATCH(DATEVALUE($A150),'recurring1_based on steps'!O$1:O$400,0)),O$2,)</f>
        <v>0</v>
      </c>
      <c r="P150" s="179">
        <f ca="1">IF(ISNUMBER(MATCH(DATEVALUE($A150),'recurring1_based on steps'!P$1:P$400,0)),P$2,)</f>
        <v>0</v>
      </c>
      <c r="Q150" s="179">
        <f ca="1">IF(ISNUMBER(MATCH(DATEVALUE($A150),'recurring1_based on steps'!Q$1:Q$400,0)),Q$2,)</f>
        <v>0</v>
      </c>
      <c r="R150" s="179">
        <f ca="1">IF(ISNUMBER(MATCH(DATEVALUE($A150),'recurring1_based on steps'!R$1:R$400,0)),R$2,)</f>
        <v>0</v>
      </c>
      <c r="S150" s="179">
        <f ca="1">IF(ISNUMBER(MATCH(DATEVALUE($A150),'recurring1_based on steps'!S$1:S$400,0)),S$2,)</f>
        <v>0</v>
      </c>
      <c r="T150" s="179">
        <f ca="1">IF(ISNUMBER(MATCH(DATEVALUE($A150),'recurring1_based on steps'!T$1:T$400,0)),T$2,)</f>
        <v>0</v>
      </c>
      <c r="U150" s="179">
        <f ca="1">IF(ISNUMBER(MATCH(DATEVALUE($A150),'recurring1_based on steps'!U$1:U$400,0)),U$2,)</f>
        <v>0</v>
      </c>
      <c r="V150" s="179">
        <f ca="1">IF(ISNUMBER(MATCH(DATEVALUE($A150),'recurring1_based on steps'!V$1:V$400,0)),V$2,)</f>
        <v>0</v>
      </c>
      <c r="W150" s="179">
        <f ca="1">IF(ISNUMBER(MATCH(DATEVALUE($A150),'recurring1_based on steps'!W$1:W$400,0)),W$2,)</f>
        <v>0</v>
      </c>
      <c r="X150" s="179">
        <f ca="1">IF(ISNUMBER(MATCH(DATEVALUE($A150),'recurring1_based on steps'!X$1:X$400,0)),X$2,)</f>
        <v>0</v>
      </c>
      <c r="Y150" s="179">
        <f ca="1">IF(ISNUMBER(MATCH(DATEVALUE($A150),'recurring1_based on steps'!Y$1:Y$400,0)),Y$2,)</f>
        <v>0</v>
      </c>
      <c r="Z150" s="179">
        <f ca="1">IF(ISNUMBER(MATCH(DATEVALUE($A150),'recurring1_based on steps'!Z$1:Z$400,0)),Z$2,)</f>
        <v>0</v>
      </c>
      <c r="AA150" s="179">
        <f ca="1">IF(ISNUMBER(MATCH(DATEVALUE($A150),'recurring1_based on steps'!AA$1:AA$400,0)),AA$2,)</f>
        <v>0</v>
      </c>
      <c r="AB150" s="179">
        <f ca="1">IF(ISNUMBER(MATCH(DATEVALUE($A150),'recurring1_based on steps'!AB$1:AB$400,0)),AB$2,)</f>
        <v>0</v>
      </c>
      <c r="AC150" s="179">
        <f ca="1">IF(ISNUMBER(MATCH(DATEVALUE($A150),'recurring1_based on steps'!AC$1:AC$400,0)),AC$2,)</f>
        <v>0</v>
      </c>
      <c r="AD150" s="179">
        <f ca="1">IF(ISNUMBER(MATCH(DATEVALUE($A150),'recurring1_based on steps'!AD$1:AD$400,0)),AD$2,)</f>
        <v>0</v>
      </c>
      <c r="AE150" s="179">
        <f ca="1">IF(ISNUMBER(MATCH(DATEVALUE($A150),'recurring1_based on steps'!AE$1:AE$400,0)),AE$2,)</f>
        <v>0</v>
      </c>
      <c r="AF150" s="179">
        <f ca="1">IF(ISNUMBER(MATCH(DATEVALUE($A150),'recurring1_based on steps'!AF$1:AF$400,0)),AF$2,)</f>
        <v>0</v>
      </c>
      <c r="AG150" s="179">
        <f ca="1">IF(ISNUMBER(MATCH(DATEVALUE($A150),'recurring1_based on steps'!AG$1:AG$400,0)),AG$2,)</f>
        <v>0</v>
      </c>
      <c r="AH150" s="179">
        <f ca="1">IF(ISNUMBER(MATCH(DATEVALUE($A150),'recurring1_based on steps'!AH$1:AH$400,0)),AH$2,)</f>
        <v>0</v>
      </c>
      <c r="AI150" s="179">
        <f ca="1">IF(ISNUMBER(MATCH(DATEVALUE($A150),'recurring1_based on steps'!AI$1:AI$400,0)),AI$2,)</f>
        <v>0</v>
      </c>
      <c r="AJ150" s="179">
        <f ca="1">IF(ISNUMBER(MATCH(DATEVALUE($A150),'recurring1_based on steps'!AJ$1:AJ$400,0)),AJ$2,)</f>
        <v>0</v>
      </c>
      <c r="AK150" s="179">
        <f ca="1">IF(ISNUMBER(MATCH(DATEVALUE($A150),'recurring1_based on steps'!AK$1:AK$400,0)),AK$2,)</f>
        <v>0</v>
      </c>
      <c r="AL150" s="179">
        <f ca="1">IF(ISNUMBER(MATCH(DATEVALUE($A150),'recurring1_based on steps'!AL$1:AL$400,0)),AL$2,)</f>
        <v>0</v>
      </c>
      <c r="AM150" s="179">
        <f ca="1">IF(ISNUMBER(MATCH(DATEVALUE($A150),'recurring1_based on steps'!AM$1:AM$400,0)),AM$2,)</f>
        <v>0</v>
      </c>
      <c r="AN150" s="179">
        <f ca="1">IF(ISNUMBER(MATCH(DATEVALUE($A150),'recurring1_based on steps'!AN$1:AN$400,0)),AN$2,)</f>
        <v>0</v>
      </c>
      <c r="AO150" s="179">
        <f ca="1">IF(ISNUMBER(MATCH(DATEVALUE($A150),'recurring1_based on steps'!AO$1:AO$400,0)),AO$2,)</f>
        <v>0</v>
      </c>
      <c r="AP150" s="179">
        <f ca="1">IF(ISNUMBER(MATCH(DATEVALUE($A150),'recurring1_based on steps'!AP$1:AP$400,0)),AP$2,)</f>
        <v>0</v>
      </c>
      <c r="AQ150" s="179">
        <f ca="1">IF(ISNUMBER(MATCH(DATEVALUE($A150),'recurring1_based on steps'!AQ$1:AQ$400,0)),AQ$2,)</f>
        <v>0</v>
      </c>
      <c r="AR150" s="179">
        <f ca="1">IF(ISNUMBER(MATCH(DATEVALUE($A150),'recurring1_based on steps'!AR$1:AR$400,0)),AR$2,)</f>
        <v>0</v>
      </c>
      <c r="AS150" s="179">
        <f ca="1">IF(ISNUMBER(MATCH(DATEVALUE($A150),'recurring1_based on steps'!AS$1:AS$400,0)),AS$2,)</f>
        <v>0</v>
      </c>
      <c r="AT150" s="179">
        <f ca="1">IF(ISNUMBER(MATCH(DATEVALUE($A150),'recurring1_based on steps'!AT$1:AT$400,0)),AT$2,)</f>
        <v>0</v>
      </c>
      <c r="AU150" s="179">
        <f ca="1">IF(ISNUMBER(MATCH(DATEVALUE($A150),'recurring1_based on steps'!AU$1:AU$400,0)),AU$2,)</f>
        <v>0</v>
      </c>
      <c r="AV150" s="179">
        <f ca="1">IF(ISNUMBER(MATCH(DATEVALUE($A150),'recurring1_based on steps'!AV$1:AV$400,0)),AV$2,)</f>
        <v>0</v>
      </c>
      <c r="AW150" s="179">
        <f ca="1">IF(ISNUMBER(MATCH(DATEVALUE($A150),'recurring1_based on steps'!AW$1:AW$400,0)),AW$2,)</f>
        <v>0</v>
      </c>
      <c r="AX150" s="179">
        <f ca="1">IF(ISNUMBER(MATCH(DATEVALUE($A150),'recurring1_based on steps'!AX$1:AX$400,0)),AX$2,)</f>
        <v>0</v>
      </c>
      <c r="AY150" s="179">
        <f ca="1">IF(ISNUMBER(MATCH(DATEVALUE($A150),'recurring1_based on steps'!AY$1:AY$400,0)),AY$2,)</f>
        <v>0</v>
      </c>
    </row>
    <row r="151" spans="1:51" x14ac:dyDescent="0.2">
      <c r="A151" s="32" t="str">
        <f t="shared" ca="1" si="2"/>
        <v>2025-08-31</v>
      </c>
      <c r="B151" s="179">
        <f ca="1">IF(ISNUMBER(MATCH(DATEVALUE($A151),'recurring1_based on steps'!B$1:B$400,0)),B$2,)</f>
        <v>0</v>
      </c>
      <c r="C151" s="179">
        <f ca="1">IF(ISNUMBER(MATCH(DATEVALUE($A151),'recurring1_based on steps'!C$1:C$400,0)),C$2,)</f>
        <v>0</v>
      </c>
      <c r="D151" s="179">
        <f ca="1">IF(ISNUMBER(MATCH(DATEVALUE($A151),'recurring1_based on steps'!D$1:D$400,0)),D$2,)</f>
        <v>0</v>
      </c>
      <c r="E151" s="179">
        <f ca="1">IF(ISNUMBER(MATCH(DATEVALUE($A151),'recurring1_based on steps'!E$1:E$400,0)),E$2,)</f>
        <v>0</v>
      </c>
      <c r="F151" s="179">
        <f ca="1">IF(ISNUMBER(MATCH(DATEVALUE($A151),'recurring1_based on steps'!F$1:F$400,0)),F$2,)</f>
        <v>0</v>
      </c>
      <c r="G151" s="179">
        <f ca="1">IF(ISNUMBER(MATCH(DATEVALUE($A151),'recurring1_based on steps'!G$1:G$400,0)),G$2,)</f>
        <v>0</v>
      </c>
      <c r="H151" s="179">
        <f ca="1">IF(ISNUMBER(MATCH(DATEVALUE($A151),'recurring1_based on steps'!H$1:H$400,0)),H$2,)</f>
        <v>0</v>
      </c>
      <c r="I151" s="179">
        <f ca="1">IF(ISNUMBER(MATCH(DATEVALUE($A151),'recurring1_based on steps'!I$1:I$400,0)),I$2,)</f>
        <v>0</v>
      </c>
      <c r="J151" s="179">
        <f ca="1">IF(ISNUMBER(MATCH(DATEVALUE($A151),'recurring1_based on steps'!J$1:J$400,0)),J$2,)</f>
        <v>0</v>
      </c>
      <c r="K151" s="179">
        <f ca="1">IF(ISNUMBER(MATCH(DATEVALUE($A151),'recurring1_based on steps'!K$1:K$400,0)),K$2,)</f>
        <v>0</v>
      </c>
      <c r="L151" s="179">
        <f ca="1">IF(ISNUMBER(MATCH(DATEVALUE($A151),'recurring1_based on steps'!L$1:L$400,0)),L$2,)</f>
        <v>0</v>
      </c>
      <c r="M151" s="179">
        <f ca="1">IF(ISNUMBER(MATCH(DATEVALUE($A151),'recurring1_based on steps'!M$1:M$400,0)),M$2,)</f>
        <v>0</v>
      </c>
      <c r="N151" s="179">
        <f ca="1">IF(ISNUMBER(MATCH(DATEVALUE($A151),'recurring1_based on steps'!N$1:N$400,0)),N$2,)</f>
        <v>0</v>
      </c>
      <c r="O151" s="179">
        <f ca="1">IF(ISNUMBER(MATCH(DATEVALUE($A151),'recurring1_based on steps'!O$1:O$400,0)),O$2,)</f>
        <v>0</v>
      </c>
      <c r="P151" s="179">
        <f ca="1">IF(ISNUMBER(MATCH(DATEVALUE($A151),'recurring1_based on steps'!P$1:P$400,0)),P$2,)</f>
        <v>0</v>
      </c>
      <c r="Q151" s="179">
        <f ca="1">IF(ISNUMBER(MATCH(DATEVALUE($A151),'recurring1_based on steps'!Q$1:Q$400,0)),Q$2,)</f>
        <v>0</v>
      </c>
      <c r="R151" s="179">
        <f ca="1">IF(ISNUMBER(MATCH(DATEVALUE($A151),'recurring1_based on steps'!R$1:R$400,0)),R$2,)</f>
        <v>0</v>
      </c>
      <c r="S151" s="179">
        <f ca="1">IF(ISNUMBER(MATCH(DATEVALUE($A151),'recurring1_based on steps'!S$1:S$400,0)),S$2,)</f>
        <v>0</v>
      </c>
      <c r="T151" s="179">
        <f ca="1">IF(ISNUMBER(MATCH(DATEVALUE($A151),'recurring1_based on steps'!T$1:T$400,0)),T$2,)</f>
        <v>0</v>
      </c>
      <c r="U151" s="179">
        <f ca="1">IF(ISNUMBER(MATCH(DATEVALUE($A151),'recurring1_based on steps'!U$1:U$400,0)),U$2,)</f>
        <v>0</v>
      </c>
      <c r="V151" s="179">
        <f ca="1">IF(ISNUMBER(MATCH(DATEVALUE($A151),'recurring1_based on steps'!V$1:V$400,0)),V$2,)</f>
        <v>0</v>
      </c>
      <c r="W151" s="179">
        <f ca="1">IF(ISNUMBER(MATCH(DATEVALUE($A151),'recurring1_based on steps'!W$1:W$400,0)),W$2,)</f>
        <v>0</v>
      </c>
      <c r="X151" s="179">
        <f ca="1">IF(ISNUMBER(MATCH(DATEVALUE($A151),'recurring1_based on steps'!X$1:X$400,0)),X$2,)</f>
        <v>0</v>
      </c>
      <c r="Y151" s="179">
        <f ca="1">IF(ISNUMBER(MATCH(DATEVALUE($A151),'recurring1_based on steps'!Y$1:Y$400,0)),Y$2,)</f>
        <v>0</v>
      </c>
      <c r="Z151" s="179">
        <f ca="1">IF(ISNUMBER(MATCH(DATEVALUE($A151),'recurring1_based on steps'!Z$1:Z$400,0)),Z$2,)</f>
        <v>0</v>
      </c>
      <c r="AA151" s="179">
        <f ca="1">IF(ISNUMBER(MATCH(DATEVALUE($A151),'recurring1_based on steps'!AA$1:AA$400,0)),AA$2,)</f>
        <v>0</v>
      </c>
      <c r="AB151" s="179">
        <f ca="1">IF(ISNUMBER(MATCH(DATEVALUE($A151),'recurring1_based on steps'!AB$1:AB$400,0)),AB$2,)</f>
        <v>0</v>
      </c>
      <c r="AC151" s="179">
        <f ca="1">IF(ISNUMBER(MATCH(DATEVALUE($A151),'recurring1_based on steps'!AC$1:AC$400,0)),AC$2,)</f>
        <v>0</v>
      </c>
      <c r="AD151" s="179">
        <f ca="1">IF(ISNUMBER(MATCH(DATEVALUE($A151),'recurring1_based on steps'!AD$1:AD$400,0)),AD$2,)</f>
        <v>0</v>
      </c>
      <c r="AE151" s="179">
        <f ca="1">IF(ISNUMBER(MATCH(DATEVALUE($A151),'recurring1_based on steps'!AE$1:AE$400,0)),AE$2,)</f>
        <v>0</v>
      </c>
      <c r="AF151" s="179">
        <f ca="1">IF(ISNUMBER(MATCH(DATEVALUE($A151),'recurring1_based on steps'!AF$1:AF$400,0)),AF$2,)</f>
        <v>0</v>
      </c>
      <c r="AG151" s="179">
        <f ca="1">IF(ISNUMBER(MATCH(DATEVALUE($A151),'recurring1_based on steps'!AG$1:AG$400,0)),AG$2,)</f>
        <v>0</v>
      </c>
      <c r="AH151" s="179">
        <f ca="1">IF(ISNUMBER(MATCH(DATEVALUE($A151),'recurring1_based on steps'!AH$1:AH$400,0)),AH$2,)</f>
        <v>0</v>
      </c>
      <c r="AI151" s="179">
        <f ca="1">IF(ISNUMBER(MATCH(DATEVALUE($A151),'recurring1_based on steps'!AI$1:AI$400,0)),AI$2,)</f>
        <v>0</v>
      </c>
      <c r="AJ151" s="179">
        <f ca="1">IF(ISNUMBER(MATCH(DATEVALUE($A151),'recurring1_based on steps'!AJ$1:AJ$400,0)),AJ$2,)</f>
        <v>0</v>
      </c>
      <c r="AK151" s="179">
        <f ca="1">IF(ISNUMBER(MATCH(DATEVALUE($A151),'recurring1_based on steps'!AK$1:AK$400,0)),AK$2,)</f>
        <v>0</v>
      </c>
      <c r="AL151" s="179">
        <f ca="1">IF(ISNUMBER(MATCH(DATEVALUE($A151),'recurring1_based on steps'!AL$1:AL$400,0)),AL$2,)</f>
        <v>0</v>
      </c>
      <c r="AM151" s="179">
        <f ca="1">IF(ISNUMBER(MATCH(DATEVALUE($A151),'recurring1_based on steps'!AM$1:AM$400,0)),AM$2,)</f>
        <v>0</v>
      </c>
      <c r="AN151" s="179">
        <f ca="1">IF(ISNUMBER(MATCH(DATEVALUE($A151),'recurring1_based on steps'!AN$1:AN$400,0)),AN$2,)</f>
        <v>0</v>
      </c>
      <c r="AO151" s="179">
        <f ca="1">IF(ISNUMBER(MATCH(DATEVALUE($A151),'recurring1_based on steps'!AO$1:AO$400,0)),AO$2,)</f>
        <v>0</v>
      </c>
      <c r="AP151" s="179">
        <f ca="1">IF(ISNUMBER(MATCH(DATEVALUE($A151),'recurring1_based on steps'!AP$1:AP$400,0)),AP$2,)</f>
        <v>0</v>
      </c>
      <c r="AQ151" s="179">
        <f ca="1">IF(ISNUMBER(MATCH(DATEVALUE($A151),'recurring1_based on steps'!AQ$1:AQ$400,0)),AQ$2,)</f>
        <v>0</v>
      </c>
      <c r="AR151" s="179">
        <f ca="1">IF(ISNUMBER(MATCH(DATEVALUE($A151),'recurring1_based on steps'!AR$1:AR$400,0)),AR$2,)</f>
        <v>0</v>
      </c>
      <c r="AS151" s="179">
        <f ca="1">IF(ISNUMBER(MATCH(DATEVALUE($A151),'recurring1_based on steps'!AS$1:AS$400,0)),AS$2,)</f>
        <v>0</v>
      </c>
      <c r="AT151" s="179">
        <f ca="1">IF(ISNUMBER(MATCH(DATEVALUE($A151),'recurring1_based on steps'!AT$1:AT$400,0)),AT$2,)</f>
        <v>0</v>
      </c>
      <c r="AU151" s="179">
        <f ca="1">IF(ISNUMBER(MATCH(DATEVALUE($A151),'recurring1_based on steps'!AU$1:AU$400,0)),AU$2,)</f>
        <v>0</v>
      </c>
      <c r="AV151" s="179">
        <f ca="1">IF(ISNUMBER(MATCH(DATEVALUE($A151),'recurring1_based on steps'!AV$1:AV$400,0)),AV$2,)</f>
        <v>0</v>
      </c>
      <c r="AW151" s="179">
        <f ca="1">IF(ISNUMBER(MATCH(DATEVALUE($A151),'recurring1_based on steps'!AW$1:AW$400,0)),AW$2,)</f>
        <v>0</v>
      </c>
      <c r="AX151" s="179">
        <f ca="1">IF(ISNUMBER(MATCH(DATEVALUE($A151),'recurring1_based on steps'!AX$1:AX$400,0)),AX$2,)</f>
        <v>0</v>
      </c>
      <c r="AY151" s="179">
        <f ca="1">IF(ISNUMBER(MATCH(DATEVALUE($A151),'recurring1_based on steps'!AY$1:AY$400,0)),AY$2,)</f>
        <v>0</v>
      </c>
    </row>
    <row r="152" spans="1:51" x14ac:dyDescent="0.2">
      <c r="A152" s="32" t="str">
        <f t="shared" ca="1" si="2"/>
        <v>2025-09-01</v>
      </c>
      <c r="B152" s="179">
        <f ca="1">IF(ISNUMBER(MATCH(DATEVALUE($A152),'recurring1_based on steps'!B$1:B$400,0)),B$2,)</f>
        <v>0</v>
      </c>
      <c r="C152" s="179">
        <f ca="1">IF(ISNUMBER(MATCH(DATEVALUE($A152),'recurring1_based on steps'!C$1:C$400,0)),C$2,)</f>
        <v>0</v>
      </c>
      <c r="D152" s="179">
        <f ca="1">IF(ISNUMBER(MATCH(DATEVALUE($A152),'recurring1_based on steps'!D$1:D$400,0)),D$2,)</f>
        <v>0</v>
      </c>
      <c r="E152" s="179">
        <f ca="1">IF(ISNUMBER(MATCH(DATEVALUE($A152),'recurring1_based on steps'!E$1:E$400,0)),E$2,)</f>
        <v>0</v>
      </c>
      <c r="F152" s="179">
        <f ca="1">IF(ISNUMBER(MATCH(DATEVALUE($A152),'recurring1_based on steps'!F$1:F$400,0)),F$2,)</f>
        <v>0</v>
      </c>
      <c r="G152" s="179">
        <f ca="1">IF(ISNUMBER(MATCH(DATEVALUE($A152),'recurring1_based on steps'!G$1:G$400,0)),G$2,)</f>
        <v>0</v>
      </c>
      <c r="H152" s="179">
        <f ca="1">IF(ISNUMBER(MATCH(DATEVALUE($A152),'recurring1_based on steps'!H$1:H$400,0)),H$2,)</f>
        <v>0</v>
      </c>
      <c r="I152" s="179">
        <f ca="1">IF(ISNUMBER(MATCH(DATEVALUE($A152),'recurring1_based on steps'!I$1:I$400,0)),I$2,)</f>
        <v>0</v>
      </c>
      <c r="J152" s="179">
        <f ca="1">IF(ISNUMBER(MATCH(DATEVALUE($A152),'recurring1_based on steps'!J$1:J$400,0)),J$2,)</f>
        <v>0</v>
      </c>
      <c r="K152" s="179">
        <f ca="1">IF(ISNUMBER(MATCH(DATEVALUE($A152),'recurring1_based on steps'!K$1:K$400,0)),K$2,)</f>
        <v>0</v>
      </c>
      <c r="L152" s="179">
        <f ca="1">IF(ISNUMBER(MATCH(DATEVALUE($A152),'recurring1_based on steps'!L$1:L$400,0)),L$2,)</f>
        <v>0</v>
      </c>
      <c r="M152" s="179">
        <f ca="1">IF(ISNUMBER(MATCH(DATEVALUE($A152),'recurring1_based on steps'!M$1:M$400,0)),M$2,)</f>
        <v>0</v>
      </c>
      <c r="N152" s="179">
        <f ca="1">IF(ISNUMBER(MATCH(DATEVALUE($A152),'recurring1_based on steps'!N$1:N$400,0)),N$2,)</f>
        <v>0</v>
      </c>
      <c r="O152" s="179">
        <f ca="1">IF(ISNUMBER(MATCH(DATEVALUE($A152),'recurring1_based on steps'!O$1:O$400,0)),O$2,)</f>
        <v>0</v>
      </c>
      <c r="P152" s="179">
        <f ca="1">IF(ISNUMBER(MATCH(DATEVALUE($A152),'recurring1_based on steps'!P$1:P$400,0)),P$2,)</f>
        <v>0</v>
      </c>
      <c r="Q152" s="179">
        <f ca="1">IF(ISNUMBER(MATCH(DATEVALUE($A152),'recurring1_based on steps'!Q$1:Q$400,0)),Q$2,)</f>
        <v>0</v>
      </c>
      <c r="R152" s="179">
        <f ca="1">IF(ISNUMBER(MATCH(DATEVALUE($A152),'recurring1_based on steps'!R$1:R$400,0)),R$2,)</f>
        <v>0</v>
      </c>
      <c r="S152" s="179">
        <f ca="1">IF(ISNUMBER(MATCH(DATEVALUE($A152),'recurring1_based on steps'!S$1:S$400,0)),S$2,)</f>
        <v>0</v>
      </c>
      <c r="T152" s="179">
        <f ca="1">IF(ISNUMBER(MATCH(DATEVALUE($A152),'recurring1_based on steps'!T$1:T$400,0)),T$2,)</f>
        <v>0</v>
      </c>
      <c r="U152" s="179">
        <f ca="1">IF(ISNUMBER(MATCH(DATEVALUE($A152),'recurring1_based on steps'!U$1:U$400,0)),U$2,)</f>
        <v>0</v>
      </c>
      <c r="V152" s="179">
        <f ca="1">IF(ISNUMBER(MATCH(DATEVALUE($A152),'recurring1_based on steps'!V$1:V$400,0)),V$2,)</f>
        <v>0</v>
      </c>
      <c r="W152" s="179">
        <f ca="1">IF(ISNUMBER(MATCH(DATEVALUE($A152),'recurring1_based on steps'!W$1:W$400,0)),W$2,)</f>
        <v>0</v>
      </c>
      <c r="X152" s="179">
        <f ca="1">IF(ISNUMBER(MATCH(DATEVALUE($A152),'recurring1_based on steps'!X$1:X$400,0)),X$2,)</f>
        <v>0</v>
      </c>
      <c r="Y152" s="179">
        <f ca="1">IF(ISNUMBER(MATCH(DATEVALUE($A152),'recurring1_based on steps'!Y$1:Y$400,0)),Y$2,)</f>
        <v>0</v>
      </c>
      <c r="Z152" s="179">
        <f ca="1">IF(ISNUMBER(MATCH(DATEVALUE($A152),'recurring1_based on steps'!Z$1:Z$400,0)),Z$2,)</f>
        <v>0</v>
      </c>
      <c r="AA152" s="179">
        <f ca="1">IF(ISNUMBER(MATCH(DATEVALUE($A152),'recurring1_based on steps'!AA$1:AA$400,0)),AA$2,)</f>
        <v>0</v>
      </c>
      <c r="AB152" s="179">
        <f ca="1">IF(ISNUMBER(MATCH(DATEVALUE($A152),'recurring1_based on steps'!AB$1:AB$400,0)),AB$2,)</f>
        <v>0</v>
      </c>
      <c r="AC152" s="179">
        <f ca="1">IF(ISNUMBER(MATCH(DATEVALUE($A152),'recurring1_based on steps'!AC$1:AC$400,0)),AC$2,)</f>
        <v>0</v>
      </c>
      <c r="AD152" s="179">
        <f ca="1">IF(ISNUMBER(MATCH(DATEVALUE($A152),'recurring1_based on steps'!AD$1:AD$400,0)),AD$2,)</f>
        <v>0</v>
      </c>
      <c r="AE152" s="179">
        <f ca="1">IF(ISNUMBER(MATCH(DATEVALUE($A152),'recurring1_based on steps'!AE$1:AE$400,0)),AE$2,)</f>
        <v>0</v>
      </c>
      <c r="AF152" s="179">
        <f ca="1">IF(ISNUMBER(MATCH(DATEVALUE($A152),'recurring1_based on steps'!AF$1:AF$400,0)),AF$2,)</f>
        <v>0</v>
      </c>
      <c r="AG152" s="179">
        <f ca="1">IF(ISNUMBER(MATCH(DATEVALUE($A152),'recurring1_based on steps'!AG$1:AG$400,0)),AG$2,)</f>
        <v>0</v>
      </c>
      <c r="AH152" s="179">
        <f ca="1">IF(ISNUMBER(MATCH(DATEVALUE($A152),'recurring1_based on steps'!AH$1:AH$400,0)),AH$2,)</f>
        <v>0</v>
      </c>
      <c r="AI152" s="179">
        <f ca="1">IF(ISNUMBER(MATCH(DATEVALUE($A152),'recurring1_based on steps'!AI$1:AI$400,0)),AI$2,)</f>
        <v>0</v>
      </c>
      <c r="AJ152" s="179">
        <f ca="1">IF(ISNUMBER(MATCH(DATEVALUE($A152),'recurring1_based on steps'!AJ$1:AJ$400,0)),AJ$2,)</f>
        <v>0</v>
      </c>
      <c r="AK152" s="179">
        <f ca="1">IF(ISNUMBER(MATCH(DATEVALUE($A152),'recurring1_based on steps'!AK$1:AK$400,0)),AK$2,)</f>
        <v>0</v>
      </c>
      <c r="AL152" s="179">
        <f ca="1">IF(ISNUMBER(MATCH(DATEVALUE($A152),'recurring1_based on steps'!AL$1:AL$400,0)),AL$2,)</f>
        <v>0</v>
      </c>
      <c r="AM152" s="179">
        <f ca="1">IF(ISNUMBER(MATCH(DATEVALUE($A152),'recurring1_based on steps'!AM$1:AM$400,0)),AM$2,)</f>
        <v>0</v>
      </c>
      <c r="AN152" s="179">
        <f ca="1">IF(ISNUMBER(MATCH(DATEVALUE($A152),'recurring1_based on steps'!AN$1:AN$400,0)),AN$2,)</f>
        <v>0</v>
      </c>
      <c r="AO152" s="179">
        <f ca="1">IF(ISNUMBER(MATCH(DATEVALUE($A152),'recurring1_based on steps'!AO$1:AO$400,0)),AO$2,)</f>
        <v>0</v>
      </c>
      <c r="AP152" s="179">
        <f ca="1">IF(ISNUMBER(MATCH(DATEVALUE($A152),'recurring1_based on steps'!AP$1:AP$400,0)),AP$2,)</f>
        <v>0</v>
      </c>
      <c r="AQ152" s="179">
        <f ca="1">IF(ISNUMBER(MATCH(DATEVALUE($A152),'recurring1_based on steps'!AQ$1:AQ$400,0)),AQ$2,)</f>
        <v>0</v>
      </c>
      <c r="AR152" s="179">
        <f ca="1">IF(ISNUMBER(MATCH(DATEVALUE($A152),'recurring1_based on steps'!AR$1:AR$400,0)),AR$2,)</f>
        <v>0</v>
      </c>
      <c r="AS152" s="179">
        <f ca="1">IF(ISNUMBER(MATCH(DATEVALUE($A152),'recurring1_based on steps'!AS$1:AS$400,0)),AS$2,)</f>
        <v>0</v>
      </c>
      <c r="AT152" s="179">
        <f ca="1">IF(ISNUMBER(MATCH(DATEVALUE($A152),'recurring1_based on steps'!AT$1:AT$400,0)),AT$2,)</f>
        <v>0</v>
      </c>
      <c r="AU152" s="179">
        <f ca="1">IF(ISNUMBER(MATCH(DATEVALUE($A152),'recurring1_based on steps'!AU$1:AU$400,0)),AU$2,)</f>
        <v>0</v>
      </c>
      <c r="AV152" s="179">
        <f ca="1">IF(ISNUMBER(MATCH(DATEVALUE($A152),'recurring1_based on steps'!AV$1:AV$400,0)),AV$2,)</f>
        <v>0</v>
      </c>
      <c r="AW152" s="179">
        <f ca="1">IF(ISNUMBER(MATCH(DATEVALUE($A152),'recurring1_based on steps'!AW$1:AW$400,0)),AW$2,)</f>
        <v>0</v>
      </c>
      <c r="AX152" s="179">
        <f ca="1">IF(ISNUMBER(MATCH(DATEVALUE($A152),'recurring1_based on steps'!AX$1:AX$400,0)),AX$2,)</f>
        <v>0</v>
      </c>
      <c r="AY152" s="179">
        <f ca="1">IF(ISNUMBER(MATCH(DATEVALUE($A152),'recurring1_based on steps'!AY$1:AY$400,0)),AY$2,)</f>
        <v>0</v>
      </c>
    </row>
    <row r="153" spans="1:51" x14ac:dyDescent="0.2">
      <c r="A153" s="32" t="str">
        <f t="shared" ca="1" si="2"/>
        <v>2025-09-02</v>
      </c>
      <c r="B153" s="179">
        <f ca="1">IF(ISNUMBER(MATCH(DATEVALUE($A153),'recurring1_based on steps'!B$1:B$400,0)),B$2,)</f>
        <v>0</v>
      </c>
      <c r="C153" s="179">
        <f ca="1">IF(ISNUMBER(MATCH(DATEVALUE($A153),'recurring1_based on steps'!C$1:C$400,0)),C$2,)</f>
        <v>0</v>
      </c>
      <c r="D153" s="179">
        <f ca="1">IF(ISNUMBER(MATCH(DATEVALUE($A153),'recurring1_based on steps'!D$1:D$400,0)),D$2,)</f>
        <v>0</v>
      </c>
      <c r="E153" s="179">
        <f ca="1">IF(ISNUMBER(MATCH(DATEVALUE($A153),'recurring1_based on steps'!E$1:E$400,0)),E$2,)</f>
        <v>0</v>
      </c>
      <c r="F153" s="179">
        <f ca="1">IF(ISNUMBER(MATCH(DATEVALUE($A153),'recurring1_based on steps'!F$1:F$400,0)),F$2,)</f>
        <v>0</v>
      </c>
      <c r="G153" s="179">
        <f ca="1">IF(ISNUMBER(MATCH(DATEVALUE($A153),'recurring1_based on steps'!G$1:G$400,0)),G$2,)</f>
        <v>0</v>
      </c>
      <c r="H153" s="179">
        <f ca="1">IF(ISNUMBER(MATCH(DATEVALUE($A153),'recurring1_based on steps'!H$1:H$400,0)),H$2,)</f>
        <v>0</v>
      </c>
      <c r="I153" s="179">
        <f ca="1">IF(ISNUMBER(MATCH(DATEVALUE($A153),'recurring1_based on steps'!I$1:I$400,0)),I$2,)</f>
        <v>0</v>
      </c>
      <c r="J153" s="179">
        <f ca="1">IF(ISNUMBER(MATCH(DATEVALUE($A153),'recurring1_based on steps'!J$1:J$400,0)),J$2,)</f>
        <v>0</v>
      </c>
      <c r="K153" s="179">
        <f ca="1">IF(ISNUMBER(MATCH(DATEVALUE($A153),'recurring1_based on steps'!K$1:K$400,0)),K$2,)</f>
        <v>0</v>
      </c>
      <c r="L153" s="179">
        <f ca="1">IF(ISNUMBER(MATCH(DATEVALUE($A153),'recurring1_based on steps'!L$1:L$400,0)),L$2,)</f>
        <v>0</v>
      </c>
      <c r="M153" s="179">
        <f ca="1">IF(ISNUMBER(MATCH(DATEVALUE($A153),'recurring1_based on steps'!M$1:M$400,0)),M$2,)</f>
        <v>0</v>
      </c>
      <c r="N153" s="179">
        <f ca="1">IF(ISNUMBER(MATCH(DATEVALUE($A153),'recurring1_based on steps'!N$1:N$400,0)),N$2,)</f>
        <v>0</v>
      </c>
      <c r="O153" s="179">
        <f ca="1">IF(ISNUMBER(MATCH(DATEVALUE($A153),'recurring1_based on steps'!O$1:O$400,0)),O$2,)</f>
        <v>0</v>
      </c>
      <c r="P153" s="179">
        <f ca="1">IF(ISNUMBER(MATCH(DATEVALUE($A153),'recurring1_based on steps'!P$1:P$400,0)),P$2,)</f>
        <v>0</v>
      </c>
      <c r="Q153" s="179">
        <f ca="1">IF(ISNUMBER(MATCH(DATEVALUE($A153),'recurring1_based on steps'!Q$1:Q$400,0)),Q$2,)</f>
        <v>0</v>
      </c>
      <c r="R153" s="179">
        <f ca="1">IF(ISNUMBER(MATCH(DATEVALUE($A153),'recurring1_based on steps'!R$1:R$400,0)),R$2,)</f>
        <v>0</v>
      </c>
      <c r="S153" s="179">
        <f ca="1">IF(ISNUMBER(MATCH(DATEVALUE($A153),'recurring1_based on steps'!S$1:S$400,0)),S$2,)</f>
        <v>0</v>
      </c>
      <c r="T153" s="179">
        <f ca="1">IF(ISNUMBER(MATCH(DATEVALUE($A153),'recurring1_based on steps'!T$1:T$400,0)),T$2,)</f>
        <v>0</v>
      </c>
      <c r="U153" s="179">
        <f ca="1">IF(ISNUMBER(MATCH(DATEVALUE($A153),'recurring1_based on steps'!U$1:U$400,0)),U$2,)</f>
        <v>0</v>
      </c>
      <c r="V153" s="179">
        <f ca="1">IF(ISNUMBER(MATCH(DATEVALUE($A153),'recurring1_based on steps'!V$1:V$400,0)),V$2,)</f>
        <v>0</v>
      </c>
      <c r="W153" s="179">
        <f ca="1">IF(ISNUMBER(MATCH(DATEVALUE($A153),'recurring1_based on steps'!W$1:W$400,0)),W$2,)</f>
        <v>0</v>
      </c>
      <c r="X153" s="179">
        <f ca="1">IF(ISNUMBER(MATCH(DATEVALUE($A153),'recurring1_based on steps'!X$1:X$400,0)),X$2,)</f>
        <v>0</v>
      </c>
      <c r="Y153" s="179">
        <f ca="1">IF(ISNUMBER(MATCH(DATEVALUE($A153),'recurring1_based on steps'!Y$1:Y$400,0)),Y$2,)</f>
        <v>0</v>
      </c>
      <c r="Z153" s="179">
        <f ca="1">IF(ISNUMBER(MATCH(DATEVALUE($A153),'recurring1_based on steps'!Z$1:Z$400,0)),Z$2,)</f>
        <v>0</v>
      </c>
      <c r="AA153" s="179">
        <f ca="1">IF(ISNUMBER(MATCH(DATEVALUE($A153),'recurring1_based on steps'!AA$1:AA$400,0)),AA$2,)</f>
        <v>0</v>
      </c>
      <c r="AB153" s="179">
        <f ca="1">IF(ISNUMBER(MATCH(DATEVALUE($A153),'recurring1_based on steps'!AB$1:AB$400,0)),AB$2,)</f>
        <v>0</v>
      </c>
      <c r="AC153" s="179">
        <f ca="1">IF(ISNUMBER(MATCH(DATEVALUE($A153),'recurring1_based on steps'!AC$1:AC$400,0)),AC$2,)</f>
        <v>0</v>
      </c>
      <c r="AD153" s="179">
        <f ca="1">IF(ISNUMBER(MATCH(DATEVALUE($A153),'recurring1_based on steps'!AD$1:AD$400,0)),AD$2,)</f>
        <v>0</v>
      </c>
      <c r="AE153" s="179">
        <f ca="1">IF(ISNUMBER(MATCH(DATEVALUE($A153),'recurring1_based on steps'!AE$1:AE$400,0)),AE$2,)</f>
        <v>0</v>
      </c>
      <c r="AF153" s="179">
        <f ca="1">IF(ISNUMBER(MATCH(DATEVALUE($A153),'recurring1_based on steps'!AF$1:AF$400,0)),AF$2,)</f>
        <v>0</v>
      </c>
      <c r="AG153" s="179">
        <f ca="1">IF(ISNUMBER(MATCH(DATEVALUE($A153),'recurring1_based on steps'!AG$1:AG$400,0)),AG$2,)</f>
        <v>0</v>
      </c>
      <c r="AH153" s="179">
        <f ca="1">IF(ISNUMBER(MATCH(DATEVALUE($A153),'recurring1_based on steps'!AH$1:AH$400,0)),AH$2,)</f>
        <v>0</v>
      </c>
      <c r="AI153" s="179">
        <f ca="1">IF(ISNUMBER(MATCH(DATEVALUE($A153),'recurring1_based on steps'!AI$1:AI$400,0)),AI$2,)</f>
        <v>0</v>
      </c>
      <c r="AJ153" s="179">
        <f ca="1">IF(ISNUMBER(MATCH(DATEVALUE($A153),'recurring1_based on steps'!AJ$1:AJ$400,0)),AJ$2,)</f>
        <v>0</v>
      </c>
      <c r="AK153" s="179">
        <f ca="1">IF(ISNUMBER(MATCH(DATEVALUE($A153),'recurring1_based on steps'!AK$1:AK$400,0)),AK$2,)</f>
        <v>0</v>
      </c>
      <c r="AL153" s="179">
        <f ca="1">IF(ISNUMBER(MATCH(DATEVALUE($A153),'recurring1_based on steps'!AL$1:AL$400,0)),AL$2,)</f>
        <v>0</v>
      </c>
      <c r="AM153" s="179">
        <f ca="1">IF(ISNUMBER(MATCH(DATEVALUE($A153),'recurring1_based on steps'!AM$1:AM$400,0)),AM$2,)</f>
        <v>0</v>
      </c>
      <c r="AN153" s="179">
        <f ca="1">IF(ISNUMBER(MATCH(DATEVALUE($A153),'recurring1_based on steps'!AN$1:AN$400,0)),AN$2,)</f>
        <v>0</v>
      </c>
      <c r="AO153" s="179">
        <f ca="1">IF(ISNUMBER(MATCH(DATEVALUE($A153),'recurring1_based on steps'!AO$1:AO$400,0)),AO$2,)</f>
        <v>0</v>
      </c>
      <c r="AP153" s="179">
        <f ca="1">IF(ISNUMBER(MATCH(DATEVALUE($A153),'recurring1_based on steps'!AP$1:AP$400,0)),AP$2,)</f>
        <v>0</v>
      </c>
      <c r="AQ153" s="179">
        <f ca="1">IF(ISNUMBER(MATCH(DATEVALUE($A153),'recurring1_based on steps'!AQ$1:AQ$400,0)),AQ$2,)</f>
        <v>0</v>
      </c>
      <c r="AR153" s="179">
        <f ca="1">IF(ISNUMBER(MATCH(DATEVALUE($A153),'recurring1_based on steps'!AR$1:AR$400,0)),AR$2,)</f>
        <v>0</v>
      </c>
      <c r="AS153" s="179">
        <f ca="1">IF(ISNUMBER(MATCH(DATEVALUE($A153),'recurring1_based on steps'!AS$1:AS$400,0)),AS$2,)</f>
        <v>0</v>
      </c>
      <c r="AT153" s="179">
        <f ca="1">IF(ISNUMBER(MATCH(DATEVALUE($A153),'recurring1_based on steps'!AT$1:AT$400,0)),AT$2,)</f>
        <v>0</v>
      </c>
      <c r="AU153" s="179">
        <f ca="1">IF(ISNUMBER(MATCH(DATEVALUE($A153),'recurring1_based on steps'!AU$1:AU$400,0)),AU$2,)</f>
        <v>0</v>
      </c>
      <c r="AV153" s="179">
        <f ca="1">IF(ISNUMBER(MATCH(DATEVALUE($A153),'recurring1_based on steps'!AV$1:AV$400,0)),AV$2,)</f>
        <v>0</v>
      </c>
      <c r="AW153" s="179">
        <f ca="1">IF(ISNUMBER(MATCH(DATEVALUE($A153),'recurring1_based on steps'!AW$1:AW$400,0)),AW$2,)</f>
        <v>0</v>
      </c>
      <c r="AX153" s="179">
        <f ca="1">IF(ISNUMBER(MATCH(DATEVALUE($A153),'recurring1_based on steps'!AX$1:AX$400,0)),AX$2,)</f>
        <v>0</v>
      </c>
      <c r="AY153" s="179">
        <f ca="1">IF(ISNUMBER(MATCH(DATEVALUE($A153),'recurring1_based on steps'!AY$1:AY$400,0)),AY$2,)</f>
        <v>0</v>
      </c>
    </row>
    <row r="154" spans="1:51" x14ac:dyDescent="0.2">
      <c r="A154" s="32" t="str">
        <f t="shared" ca="1" si="2"/>
        <v>2025-09-03</v>
      </c>
      <c r="B154" s="179">
        <f ca="1">IF(ISNUMBER(MATCH(DATEVALUE($A154),'recurring1_based on steps'!B$1:B$400,0)),B$2,)</f>
        <v>0</v>
      </c>
      <c r="C154" s="179">
        <f ca="1">IF(ISNUMBER(MATCH(DATEVALUE($A154),'recurring1_based on steps'!C$1:C$400,0)),C$2,)</f>
        <v>0</v>
      </c>
      <c r="D154" s="179">
        <f ca="1">IF(ISNUMBER(MATCH(DATEVALUE($A154),'recurring1_based on steps'!D$1:D$400,0)),D$2,)</f>
        <v>0</v>
      </c>
      <c r="E154" s="179">
        <f ca="1">IF(ISNUMBER(MATCH(DATEVALUE($A154),'recurring1_based on steps'!E$1:E$400,0)),E$2,)</f>
        <v>0</v>
      </c>
      <c r="F154" s="179">
        <f ca="1">IF(ISNUMBER(MATCH(DATEVALUE($A154),'recurring1_based on steps'!F$1:F$400,0)),F$2,)</f>
        <v>0</v>
      </c>
      <c r="G154" s="179">
        <f ca="1">IF(ISNUMBER(MATCH(DATEVALUE($A154),'recurring1_based on steps'!G$1:G$400,0)),G$2,)</f>
        <v>0</v>
      </c>
      <c r="H154" s="179">
        <f ca="1">IF(ISNUMBER(MATCH(DATEVALUE($A154),'recurring1_based on steps'!H$1:H$400,0)),H$2,)</f>
        <v>0</v>
      </c>
      <c r="I154" s="179">
        <f ca="1">IF(ISNUMBER(MATCH(DATEVALUE($A154),'recurring1_based on steps'!I$1:I$400,0)),I$2,)</f>
        <v>0</v>
      </c>
      <c r="J154" s="179">
        <f ca="1">IF(ISNUMBER(MATCH(DATEVALUE($A154),'recurring1_based on steps'!J$1:J$400,0)),J$2,)</f>
        <v>0</v>
      </c>
      <c r="K154" s="179">
        <f ca="1">IF(ISNUMBER(MATCH(DATEVALUE($A154),'recurring1_based on steps'!K$1:K$400,0)),K$2,)</f>
        <v>0</v>
      </c>
      <c r="L154" s="179">
        <f ca="1">IF(ISNUMBER(MATCH(DATEVALUE($A154),'recurring1_based on steps'!L$1:L$400,0)),L$2,)</f>
        <v>0</v>
      </c>
      <c r="M154" s="179">
        <f ca="1">IF(ISNUMBER(MATCH(DATEVALUE($A154),'recurring1_based on steps'!M$1:M$400,0)),M$2,)</f>
        <v>0</v>
      </c>
      <c r="N154" s="179">
        <f ca="1">IF(ISNUMBER(MATCH(DATEVALUE($A154),'recurring1_based on steps'!N$1:N$400,0)),N$2,)</f>
        <v>0</v>
      </c>
      <c r="O154" s="179">
        <f ca="1">IF(ISNUMBER(MATCH(DATEVALUE($A154),'recurring1_based on steps'!O$1:O$400,0)),O$2,)</f>
        <v>0</v>
      </c>
      <c r="P154" s="179">
        <f ca="1">IF(ISNUMBER(MATCH(DATEVALUE($A154),'recurring1_based on steps'!P$1:P$400,0)),P$2,)</f>
        <v>0</v>
      </c>
      <c r="Q154" s="179">
        <f ca="1">IF(ISNUMBER(MATCH(DATEVALUE($A154),'recurring1_based on steps'!Q$1:Q$400,0)),Q$2,)</f>
        <v>0</v>
      </c>
      <c r="R154" s="179">
        <f ca="1">IF(ISNUMBER(MATCH(DATEVALUE($A154),'recurring1_based on steps'!R$1:R$400,0)),R$2,)</f>
        <v>0</v>
      </c>
      <c r="S154" s="179">
        <f ca="1">IF(ISNUMBER(MATCH(DATEVALUE($A154),'recurring1_based on steps'!S$1:S$400,0)),S$2,)</f>
        <v>0</v>
      </c>
      <c r="T154" s="179">
        <f ca="1">IF(ISNUMBER(MATCH(DATEVALUE($A154),'recurring1_based on steps'!T$1:T$400,0)),T$2,)</f>
        <v>0</v>
      </c>
      <c r="U154" s="179">
        <f ca="1">IF(ISNUMBER(MATCH(DATEVALUE($A154),'recurring1_based on steps'!U$1:U$400,0)),U$2,)</f>
        <v>0</v>
      </c>
      <c r="V154" s="179">
        <f ca="1">IF(ISNUMBER(MATCH(DATEVALUE($A154),'recurring1_based on steps'!V$1:V$400,0)),V$2,)</f>
        <v>0</v>
      </c>
      <c r="W154" s="179">
        <f ca="1">IF(ISNUMBER(MATCH(DATEVALUE($A154),'recurring1_based on steps'!W$1:W$400,0)),W$2,)</f>
        <v>0</v>
      </c>
      <c r="X154" s="179">
        <f ca="1">IF(ISNUMBER(MATCH(DATEVALUE($A154),'recurring1_based on steps'!X$1:X$400,0)),X$2,)</f>
        <v>0</v>
      </c>
      <c r="Y154" s="179">
        <f ca="1">IF(ISNUMBER(MATCH(DATEVALUE($A154),'recurring1_based on steps'!Y$1:Y$400,0)),Y$2,)</f>
        <v>0</v>
      </c>
      <c r="Z154" s="179">
        <f ca="1">IF(ISNUMBER(MATCH(DATEVALUE($A154),'recurring1_based on steps'!Z$1:Z$400,0)),Z$2,)</f>
        <v>0</v>
      </c>
      <c r="AA154" s="179">
        <f ca="1">IF(ISNUMBER(MATCH(DATEVALUE($A154),'recurring1_based on steps'!AA$1:AA$400,0)),AA$2,)</f>
        <v>0</v>
      </c>
      <c r="AB154" s="179">
        <f ca="1">IF(ISNUMBER(MATCH(DATEVALUE($A154),'recurring1_based on steps'!AB$1:AB$400,0)),AB$2,)</f>
        <v>0</v>
      </c>
      <c r="AC154" s="179">
        <f ca="1">IF(ISNUMBER(MATCH(DATEVALUE($A154),'recurring1_based on steps'!AC$1:AC$400,0)),AC$2,)</f>
        <v>0</v>
      </c>
      <c r="AD154" s="179">
        <f ca="1">IF(ISNUMBER(MATCH(DATEVALUE($A154),'recurring1_based on steps'!AD$1:AD$400,0)),AD$2,)</f>
        <v>0</v>
      </c>
      <c r="AE154" s="179">
        <f ca="1">IF(ISNUMBER(MATCH(DATEVALUE($A154),'recurring1_based on steps'!AE$1:AE$400,0)),AE$2,)</f>
        <v>0</v>
      </c>
      <c r="AF154" s="179">
        <f ca="1">IF(ISNUMBER(MATCH(DATEVALUE($A154),'recurring1_based on steps'!AF$1:AF$400,0)),AF$2,)</f>
        <v>0</v>
      </c>
      <c r="AG154" s="179">
        <f ca="1">IF(ISNUMBER(MATCH(DATEVALUE($A154),'recurring1_based on steps'!AG$1:AG$400,0)),AG$2,)</f>
        <v>0</v>
      </c>
      <c r="AH154" s="179">
        <f ca="1">IF(ISNUMBER(MATCH(DATEVALUE($A154),'recurring1_based on steps'!AH$1:AH$400,0)),AH$2,)</f>
        <v>0</v>
      </c>
      <c r="AI154" s="179">
        <f ca="1">IF(ISNUMBER(MATCH(DATEVALUE($A154),'recurring1_based on steps'!AI$1:AI$400,0)),AI$2,)</f>
        <v>0</v>
      </c>
      <c r="AJ154" s="179">
        <f ca="1">IF(ISNUMBER(MATCH(DATEVALUE($A154),'recurring1_based on steps'!AJ$1:AJ$400,0)),AJ$2,)</f>
        <v>0</v>
      </c>
      <c r="AK154" s="179">
        <f ca="1">IF(ISNUMBER(MATCH(DATEVALUE($A154),'recurring1_based on steps'!AK$1:AK$400,0)),AK$2,)</f>
        <v>0</v>
      </c>
      <c r="AL154" s="179">
        <f ca="1">IF(ISNUMBER(MATCH(DATEVALUE($A154),'recurring1_based on steps'!AL$1:AL$400,0)),AL$2,)</f>
        <v>0</v>
      </c>
      <c r="AM154" s="179">
        <f ca="1">IF(ISNUMBER(MATCH(DATEVALUE($A154),'recurring1_based on steps'!AM$1:AM$400,0)),AM$2,)</f>
        <v>0</v>
      </c>
      <c r="AN154" s="179">
        <f ca="1">IF(ISNUMBER(MATCH(DATEVALUE($A154),'recurring1_based on steps'!AN$1:AN$400,0)),AN$2,)</f>
        <v>0</v>
      </c>
      <c r="AO154" s="179">
        <f ca="1">IF(ISNUMBER(MATCH(DATEVALUE($A154),'recurring1_based on steps'!AO$1:AO$400,0)),AO$2,)</f>
        <v>0</v>
      </c>
      <c r="AP154" s="179">
        <f ca="1">IF(ISNUMBER(MATCH(DATEVALUE($A154),'recurring1_based on steps'!AP$1:AP$400,0)),AP$2,)</f>
        <v>0</v>
      </c>
      <c r="AQ154" s="179">
        <f ca="1">IF(ISNUMBER(MATCH(DATEVALUE($A154),'recurring1_based on steps'!AQ$1:AQ$400,0)),AQ$2,)</f>
        <v>0</v>
      </c>
      <c r="AR154" s="179">
        <f ca="1">IF(ISNUMBER(MATCH(DATEVALUE($A154),'recurring1_based on steps'!AR$1:AR$400,0)),AR$2,)</f>
        <v>0</v>
      </c>
      <c r="AS154" s="179">
        <f ca="1">IF(ISNUMBER(MATCH(DATEVALUE($A154),'recurring1_based on steps'!AS$1:AS$400,0)),AS$2,)</f>
        <v>0</v>
      </c>
      <c r="AT154" s="179">
        <f ca="1">IF(ISNUMBER(MATCH(DATEVALUE($A154),'recurring1_based on steps'!AT$1:AT$400,0)),AT$2,)</f>
        <v>0</v>
      </c>
      <c r="AU154" s="179">
        <f ca="1">IF(ISNUMBER(MATCH(DATEVALUE($A154),'recurring1_based on steps'!AU$1:AU$400,0)),AU$2,)</f>
        <v>0</v>
      </c>
      <c r="AV154" s="179">
        <f ca="1">IF(ISNUMBER(MATCH(DATEVALUE($A154),'recurring1_based on steps'!AV$1:AV$400,0)),AV$2,)</f>
        <v>0</v>
      </c>
      <c r="AW154" s="179">
        <f ca="1">IF(ISNUMBER(MATCH(DATEVALUE($A154),'recurring1_based on steps'!AW$1:AW$400,0)),AW$2,)</f>
        <v>0</v>
      </c>
      <c r="AX154" s="179">
        <f ca="1">IF(ISNUMBER(MATCH(DATEVALUE($A154),'recurring1_based on steps'!AX$1:AX$400,0)),AX$2,)</f>
        <v>0</v>
      </c>
      <c r="AY154" s="179">
        <f ca="1">IF(ISNUMBER(MATCH(DATEVALUE($A154),'recurring1_based on steps'!AY$1:AY$400,0)),AY$2,)</f>
        <v>0</v>
      </c>
    </row>
    <row r="155" spans="1:51" x14ac:dyDescent="0.2">
      <c r="A155" s="32" t="str">
        <f t="shared" ca="1" si="2"/>
        <v>2025-09-04</v>
      </c>
      <c r="B155" s="179">
        <f ca="1">IF(ISNUMBER(MATCH(DATEVALUE($A155),'recurring1_based on steps'!B$1:B$400,0)),B$2,)</f>
        <v>0</v>
      </c>
      <c r="C155" s="179">
        <f ca="1">IF(ISNUMBER(MATCH(DATEVALUE($A155),'recurring1_based on steps'!C$1:C$400,0)),C$2,)</f>
        <v>0</v>
      </c>
      <c r="D155" s="179">
        <f ca="1">IF(ISNUMBER(MATCH(DATEVALUE($A155),'recurring1_based on steps'!D$1:D$400,0)),D$2,)</f>
        <v>0</v>
      </c>
      <c r="E155" s="179">
        <f ca="1">IF(ISNUMBER(MATCH(DATEVALUE($A155),'recurring1_based on steps'!E$1:E$400,0)),E$2,)</f>
        <v>0</v>
      </c>
      <c r="F155" s="179">
        <f ca="1">IF(ISNUMBER(MATCH(DATEVALUE($A155),'recurring1_based on steps'!F$1:F$400,0)),F$2,)</f>
        <v>0</v>
      </c>
      <c r="G155" s="179">
        <f ca="1">IF(ISNUMBER(MATCH(DATEVALUE($A155),'recurring1_based on steps'!G$1:G$400,0)),G$2,)</f>
        <v>0</v>
      </c>
      <c r="H155" s="179">
        <f ca="1">IF(ISNUMBER(MATCH(DATEVALUE($A155),'recurring1_based on steps'!H$1:H$400,0)),H$2,)</f>
        <v>0</v>
      </c>
      <c r="I155" s="179">
        <f ca="1">IF(ISNUMBER(MATCH(DATEVALUE($A155),'recurring1_based on steps'!I$1:I$400,0)),I$2,)</f>
        <v>0</v>
      </c>
      <c r="J155" s="179">
        <f ca="1">IF(ISNUMBER(MATCH(DATEVALUE($A155),'recurring1_based on steps'!J$1:J$400,0)),J$2,)</f>
        <v>0</v>
      </c>
      <c r="K155" s="179">
        <f ca="1">IF(ISNUMBER(MATCH(DATEVALUE($A155),'recurring1_based on steps'!K$1:K$400,0)),K$2,)</f>
        <v>0</v>
      </c>
      <c r="L155" s="179">
        <f ca="1">IF(ISNUMBER(MATCH(DATEVALUE($A155),'recurring1_based on steps'!L$1:L$400,0)),L$2,)</f>
        <v>0</v>
      </c>
      <c r="M155" s="179">
        <f ca="1">IF(ISNUMBER(MATCH(DATEVALUE($A155),'recurring1_based on steps'!M$1:M$400,0)),M$2,)</f>
        <v>0</v>
      </c>
      <c r="N155" s="179">
        <f ca="1">IF(ISNUMBER(MATCH(DATEVALUE($A155),'recurring1_based on steps'!N$1:N$400,0)),N$2,)</f>
        <v>0</v>
      </c>
      <c r="O155" s="179">
        <f ca="1">IF(ISNUMBER(MATCH(DATEVALUE($A155),'recurring1_based on steps'!O$1:O$400,0)),O$2,)</f>
        <v>0</v>
      </c>
      <c r="P155" s="179">
        <f ca="1">IF(ISNUMBER(MATCH(DATEVALUE($A155),'recurring1_based on steps'!P$1:P$400,0)),P$2,)</f>
        <v>0</v>
      </c>
      <c r="Q155" s="179">
        <f ca="1">IF(ISNUMBER(MATCH(DATEVALUE($A155),'recurring1_based on steps'!Q$1:Q$400,0)),Q$2,)</f>
        <v>0</v>
      </c>
      <c r="R155" s="179">
        <f ca="1">IF(ISNUMBER(MATCH(DATEVALUE($A155),'recurring1_based on steps'!R$1:R$400,0)),R$2,)</f>
        <v>0</v>
      </c>
      <c r="S155" s="179">
        <f ca="1">IF(ISNUMBER(MATCH(DATEVALUE($A155),'recurring1_based on steps'!S$1:S$400,0)),S$2,)</f>
        <v>0</v>
      </c>
      <c r="T155" s="179">
        <f ca="1">IF(ISNUMBER(MATCH(DATEVALUE($A155),'recurring1_based on steps'!T$1:T$400,0)),T$2,)</f>
        <v>0</v>
      </c>
      <c r="U155" s="179">
        <f ca="1">IF(ISNUMBER(MATCH(DATEVALUE($A155),'recurring1_based on steps'!U$1:U$400,0)),U$2,)</f>
        <v>0</v>
      </c>
      <c r="V155" s="179">
        <f ca="1">IF(ISNUMBER(MATCH(DATEVALUE($A155),'recurring1_based on steps'!V$1:V$400,0)),V$2,)</f>
        <v>0</v>
      </c>
      <c r="W155" s="179">
        <f ca="1">IF(ISNUMBER(MATCH(DATEVALUE($A155),'recurring1_based on steps'!W$1:W$400,0)),W$2,)</f>
        <v>0</v>
      </c>
      <c r="X155" s="179">
        <f ca="1">IF(ISNUMBER(MATCH(DATEVALUE($A155),'recurring1_based on steps'!X$1:X$400,0)),X$2,)</f>
        <v>0</v>
      </c>
      <c r="Y155" s="179">
        <f ca="1">IF(ISNUMBER(MATCH(DATEVALUE($A155),'recurring1_based on steps'!Y$1:Y$400,0)),Y$2,)</f>
        <v>0</v>
      </c>
      <c r="Z155" s="179">
        <f ca="1">IF(ISNUMBER(MATCH(DATEVALUE($A155),'recurring1_based on steps'!Z$1:Z$400,0)),Z$2,)</f>
        <v>0</v>
      </c>
      <c r="AA155" s="179">
        <f ca="1">IF(ISNUMBER(MATCH(DATEVALUE($A155),'recurring1_based on steps'!AA$1:AA$400,0)),AA$2,)</f>
        <v>0</v>
      </c>
      <c r="AB155" s="179">
        <f ca="1">IF(ISNUMBER(MATCH(DATEVALUE($A155),'recurring1_based on steps'!AB$1:AB$400,0)),AB$2,)</f>
        <v>0</v>
      </c>
      <c r="AC155" s="179">
        <f ca="1">IF(ISNUMBER(MATCH(DATEVALUE($A155),'recurring1_based on steps'!AC$1:AC$400,0)),AC$2,)</f>
        <v>0</v>
      </c>
      <c r="AD155" s="179">
        <f ca="1">IF(ISNUMBER(MATCH(DATEVALUE($A155),'recurring1_based on steps'!AD$1:AD$400,0)),AD$2,)</f>
        <v>0</v>
      </c>
      <c r="AE155" s="179">
        <f ca="1">IF(ISNUMBER(MATCH(DATEVALUE($A155),'recurring1_based on steps'!AE$1:AE$400,0)),AE$2,)</f>
        <v>0</v>
      </c>
      <c r="AF155" s="179">
        <f ca="1">IF(ISNUMBER(MATCH(DATEVALUE($A155),'recurring1_based on steps'!AF$1:AF$400,0)),AF$2,)</f>
        <v>0</v>
      </c>
      <c r="AG155" s="179">
        <f ca="1">IF(ISNUMBER(MATCH(DATEVALUE($A155),'recurring1_based on steps'!AG$1:AG$400,0)),AG$2,)</f>
        <v>0</v>
      </c>
      <c r="AH155" s="179">
        <f ca="1">IF(ISNUMBER(MATCH(DATEVALUE($A155),'recurring1_based on steps'!AH$1:AH$400,0)),AH$2,)</f>
        <v>0</v>
      </c>
      <c r="AI155" s="179">
        <f ca="1">IF(ISNUMBER(MATCH(DATEVALUE($A155),'recurring1_based on steps'!AI$1:AI$400,0)),AI$2,)</f>
        <v>0</v>
      </c>
      <c r="AJ155" s="179">
        <f ca="1">IF(ISNUMBER(MATCH(DATEVALUE($A155),'recurring1_based on steps'!AJ$1:AJ$400,0)),AJ$2,)</f>
        <v>0</v>
      </c>
      <c r="AK155" s="179">
        <f ca="1">IF(ISNUMBER(MATCH(DATEVALUE($A155),'recurring1_based on steps'!AK$1:AK$400,0)),AK$2,)</f>
        <v>0</v>
      </c>
      <c r="AL155" s="179">
        <f ca="1">IF(ISNUMBER(MATCH(DATEVALUE($A155),'recurring1_based on steps'!AL$1:AL$400,0)),AL$2,)</f>
        <v>0</v>
      </c>
      <c r="AM155" s="179">
        <f ca="1">IF(ISNUMBER(MATCH(DATEVALUE($A155),'recurring1_based on steps'!AM$1:AM$400,0)),AM$2,)</f>
        <v>0</v>
      </c>
      <c r="AN155" s="179">
        <f ca="1">IF(ISNUMBER(MATCH(DATEVALUE($A155),'recurring1_based on steps'!AN$1:AN$400,0)),AN$2,)</f>
        <v>0</v>
      </c>
      <c r="AO155" s="179">
        <f ca="1">IF(ISNUMBER(MATCH(DATEVALUE($A155),'recurring1_based on steps'!AO$1:AO$400,0)),AO$2,)</f>
        <v>0</v>
      </c>
      <c r="AP155" s="179">
        <f ca="1">IF(ISNUMBER(MATCH(DATEVALUE($A155),'recurring1_based on steps'!AP$1:AP$400,0)),AP$2,)</f>
        <v>0</v>
      </c>
      <c r="AQ155" s="179">
        <f ca="1">IF(ISNUMBER(MATCH(DATEVALUE($A155),'recurring1_based on steps'!AQ$1:AQ$400,0)),AQ$2,)</f>
        <v>0</v>
      </c>
      <c r="AR155" s="179">
        <f ca="1">IF(ISNUMBER(MATCH(DATEVALUE($A155),'recurring1_based on steps'!AR$1:AR$400,0)),AR$2,)</f>
        <v>0</v>
      </c>
      <c r="AS155" s="179">
        <f ca="1">IF(ISNUMBER(MATCH(DATEVALUE($A155),'recurring1_based on steps'!AS$1:AS$400,0)),AS$2,)</f>
        <v>0</v>
      </c>
      <c r="AT155" s="179">
        <f ca="1">IF(ISNUMBER(MATCH(DATEVALUE($A155),'recurring1_based on steps'!AT$1:AT$400,0)),AT$2,)</f>
        <v>0</v>
      </c>
      <c r="AU155" s="179">
        <f ca="1">IF(ISNUMBER(MATCH(DATEVALUE($A155),'recurring1_based on steps'!AU$1:AU$400,0)),AU$2,)</f>
        <v>0</v>
      </c>
      <c r="AV155" s="179">
        <f ca="1">IF(ISNUMBER(MATCH(DATEVALUE($A155),'recurring1_based on steps'!AV$1:AV$400,0)),AV$2,)</f>
        <v>0</v>
      </c>
      <c r="AW155" s="179">
        <f ca="1">IF(ISNUMBER(MATCH(DATEVALUE($A155),'recurring1_based on steps'!AW$1:AW$400,0)),AW$2,)</f>
        <v>0</v>
      </c>
      <c r="AX155" s="179">
        <f ca="1">IF(ISNUMBER(MATCH(DATEVALUE($A155),'recurring1_based on steps'!AX$1:AX$400,0)),AX$2,)</f>
        <v>0</v>
      </c>
      <c r="AY155" s="179">
        <f ca="1">IF(ISNUMBER(MATCH(DATEVALUE($A155),'recurring1_based on steps'!AY$1:AY$400,0)),AY$2,)</f>
        <v>0</v>
      </c>
    </row>
    <row r="156" spans="1:51" x14ac:dyDescent="0.2">
      <c r="A156" s="32" t="str">
        <f t="shared" ca="1" si="2"/>
        <v>2025-09-05</v>
      </c>
      <c r="B156" s="179">
        <f ca="1">IF(ISNUMBER(MATCH(DATEVALUE($A156),'recurring1_based on steps'!B$1:B$400,0)),B$2,)</f>
        <v>0</v>
      </c>
      <c r="C156" s="179">
        <f ca="1">IF(ISNUMBER(MATCH(DATEVALUE($A156),'recurring1_based on steps'!C$1:C$400,0)),C$2,)</f>
        <v>0</v>
      </c>
      <c r="D156" s="179">
        <f ca="1">IF(ISNUMBER(MATCH(DATEVALUE($A156),'recurring1_based on steps'!D$1:D$400,0)),D$2,)</f>
        <v>0</v>
      </c>
      <c r="E156" s="179">
        <f ca="1">IF(ISNUMBER(MATCH(DATEVALUE($A156),'recurring1_based on steps'!E$1:E$400,0)),E$2,)</f>
        <v>0</v>
      </c>
      <c r="F156" s="179">
        <f ca="1">IF(ISNUMBER(MATCH(DATEVALUE($A156),'recurring1_based on steps'!F$1:F$400,0)),F$2,)</f>
        <v>0</v>
      </c>
      <c r="G156" s="179">
        <f ca="1">IF(ISNUMBER(MATCH(DATEVALUE($A156),'recurring1_based on steps'!G$1:G$400,0)),G$2,)</f>
        <v>0</v>
      </c>
      <c r="H156" s="179">
        <f ca="1">IF(ISNUMBER(MATCH(DATEVALUE($A156),'recurring1_based on steps'!H$1:H$400,0)),H$2,)</f>
        <v>0</v>
      </c>
      <c r="I156" s="179">
        <f ca="1">IF(ISNUMBER(MATCH(DATEVALUE($A156),'recurring1_based on steps'!I$1:I$400,0)),I$2,)</f>
        <v>0</v>
      </c>
      <c r="J156" s="179">
        <f ca="1">IF(ISNUMBER(MATCH(DATEVALUE($A156),'recurring1_based on steps'!J$1:J$400,0)),J$2,)</f>
        <v>0</v>
      </c>
      <c r="K156" s="179">
        <f ca="1">IF(ISNUMBER(MATCH(DATEVALUE($A156),'recurring1_based on steps'!K$1:K$400,0)),K$2,)</f>
        <v>0</v>
      </c>
      <c r="L156" s="179">
        <f ca="1">IF(ISNUMBER(MATCH(DATEVALUE($A156),'recurring1_based on steps'!L$1:L$400,0)),L$2,)</f>
        <v>0</v>
      </c>
      <c r="M156" s="179">
        <f ca="1">IF(ISNUMBER(MATCH(DATEVALUE($A156),'recurring1_based on steps'!M$1:M$400,0)),M$2,)</f>
        <v>0</v>
      </c>
      <c r="N156" s="179">
        <f ca="1">IF(ISNUMBER(MATCH(DATEVALUE($A156),'recurring1_based on steps'!N$1:N$400,0)),N$2,)</f>
        <v>0</v>
      </c>
      <c r="O156" s="179">
        <f ca="1">IF(ISNUMBER(MATCH(DATEVALUE($A156),'recurring1_based on steps'!O$1:O$400,0)),O$2,)</f>
        <v>0</v>
      </c>
      <c r="P156" s="179">
        <f ca="1">IF(ISNUMBER(MATCH(DATEVALUE($A156),'recurring1_based on steps'!P$1:P$400,0)),P$2,)</f>
        <v>0</v>
      </c>
      <c r="Q156" s="179">
        <f ca="1">IF(ISNUMBER(MATCH(DATEVALUE($A156),'recurring1_based on steps'!Q$1:Q$400,0)),Q$2,)</f>
        <v>0</v>
      </c>
      <c r="R156" s="179">
        <f ca="1">IF(ISNUMBER(MATCH(DATEVALUE($A156),'recurring1_based on steps'!R$1:R$400,0)),R$2,)</f>
        <v>0</v>
      </c>
      <c r="S156" s="179">
        <f ca="1">IF(ISNUMBER(MATCH(DATEVALUE($A156),'recurring1_based on steps'!S$1:S$400,0)),S$2,)</f>
        <v>0</v>
      </c>
      <c r="T156" s="179">
        <f ca="1">IF(ISNUMBER(MATCH(DATEVALUE($A156),'recurring1_based on steps'!T$1:T$400,0)),T$2,)</f>
        <v>0</v>
      </c>
      <c r="U156" s="179">
        <f ca="1">IF(ISNUMBER(MATCH(DATEVALUE($A156),'recurring1_based on steps'!U$1:U$400,0)),U$2,)</f>
        <v>0</v>
      </c>
      <c r="V156" s="179">
        <f ca="1">IF(ISNUMBER(MATCH(DATEVALUE($A156),'recurring1_based on steps'!V$1:V$400,0)),V$2,)</f>
        <v>0</v>
      </c>
      <c r="W156" s="179">
        <f ca="1">IF(ISNUMBER(MATCH(DATEVALUE($A156),'recurring1_based on steps'!W$1:W$400,0)),W$2,)</f>
        <v>0</v>
      </c>
      <c r="X156" s="179">
        <f ca="1">IF(ISNUMBER(MATCH(DATEVALUE($A156),'recurring1_based on steps'!X$1:X$400,0)),X$2,)</f>
        <v>0</v>
      </c>
      <c r="Y156" s="179">
        <f ca="1">IF(ISNUMBER(MATCH(DATEVALUE($A156),'recurring1_based on steps'!Y$1:Y$400,0)),Y$2,)</f>
        <v>0</v>
      </c>
      <c r="Z156" s="179">
        <f ca="1">IF(ISNUMBER(MATCH(DATEVALUE($A156),'recurring1_based on steps'!Z$1:Z$400,0)),Z$2,)</f>
        <v>0</v>
      </c>
      <c r="AA156" s="179">
        <f ca="1">IF(ISNUMBER(MATCH(DATEVALUE($A156),'recurring1_based on steps'!AA$1:AA$400,0)),AA$2,)</f>
        <v>0</v>
      </c>
      <c r="AB156" s="179">
        <f ca="1">IF(ISNUMBER(MATCH(DATEVALUE($A156),'recurring1_based on steps'!AB$1:AB$400,0)),AB$2,)</f>
        <v>0</v>
      </c>
      <c r="AC156" s="179">
        <f ca="1">IF(ISNUMBER(MATCH(DATEVALUE($A156),'recurring1_based on steps'!AC$1:AC$400,0)),AC$2,)</f>
        <v>0</v>
      </c>
      <c r="AD156" s="179">
        <f ca="1">IF(ISNUMBER(MATCH(DATEVALUE($A156),'recurring1_based on steps'!AD$1:AD$400,0)),AD$2,)</f>
        <v>0</v>
      </c>
      <c r="AE156" s="179">
        <f ca="1">IF(ISNUMBER(MATCH(DATEVALUE($A156),'recurring1_based on steps'!AE$1:AE$400,0)),AE$2,)</f>
        <v>0</v>
      </c>
      <c r="AF156" s="179">
        <f ca="1">IF(ISNUMBER(MATCH(DATEVALUE($A156),'recurring1_based on steps'!AF$1:AF$400,0)),AF$2,)</f>
        <v>0</v>
      </c>
      <c r="AG156" s="179">
        <f ca="1">IF(ISNUMBER(MATCH(DATEVALUE($A156),'recurring1_based on steps'!AG$1:AG$400,0)),AG$2,)</f>
        <v>0</v>
      </c>
      <c r="AH156" s="179">
        <f ca="1">IF(ISNUMBER(MATCH(DATEVALUE($A156),'recurring1_based on steps'!AH$1:AH$400,0)),AH$2,)</f>
        <v>0</v>
      </c>
      <c r="AI156" s="179">
        <f ca="1">IF(ISNUMBER(MATCH(DATEVALUE($A156),'recurring1_based on steps'!AI$1:AI$400,0)),AI$2,)</f>
        <v>0</v>
      </c>
      <c r="AJ156" s="179">
        <f ca="1">IF(ISNUMBER(MATCH(DATEVALUE($A156),'recurring1_based on steps'!AJ$1:AJ$400,0)),AJ$2,)</f>
        <v>0</v>
      </c>
      <c r="AK156" s="179">
        <f ca="1">IF(ISNUMBER(MATCH(DATEVALUE($A156),'recurring1_based on steps'!AK$1:AK$400,0)),AK$2,)</f>
        <v>0</v>
      </c>
      <c r="AL156" s="179">
        <f ca="1">IF(ISNUMBER(MATCH(DATEVALUE($A156),'recurring1_based on steps'!AL$1:AL$400,0)),AL$2,)</f>
        <v>0</v>
      </c>
      <c r="AM156" s="179">
        <f ca="1">IF(ISNUMBER(MATCH(DATEVALUE($A156),'recurring1_based on steps'!AM$1:AM$400,0)),AM$2,)</f>
        <v>0</v>
      </c>
      <c r="AN156" s="179">
        <f ca="1">IF(ISNUMBER(MATCH(DATEVALUE($A156),'recurring1_based on steps'!AN$1:AN$400,0)),AN$2,)</f>
        <v>0</v>
      </c>
      <c r="AO156" s="179">
        <f ca="1">IF(ISNUMBER(MATCH(DATEVALUE($A156),'recurring1_based on steps'!AO$1:AO$400,0)),AO$2,)</f>
        <v>0</v>
      </c>
      <c r="AP156" s="179">
        <f ca="1">IF(ISNUMBER(MATCH(DATEVALUE($A156),'recurring1_based on steps'!AP$1:AP$400,0)),AP$2,)</f>
        <v>0</v>
      </c>
      <c r="AQ156" s="179">
        <f ca="1">IF(ISNUMBER(MATCH(DATEVALUE($A156),'recurring1_based on steps'!AQ$1:AQ$400,0)),AQ$2,)</f>
        <v>0</v>
      </c>
      <c r="AR156" s="179">
        <f ca="1">IF(ISNUMBER(MATCH(DATEVALUE($A156),'recurring1_based on steps'!AR$1:AR$400,0)),AR$2,)</f>
        <v>0</v>
      </c>
      <c r="AS156" s="179">
        <f ca="1">IF(ISNUMBER(MATCH(DATEVALUE($A156),'recurring1_based on steps'!AS$1:AS$400,0)),AS$2,)</f>
        <v>0</v>
      </c>
      <c r="AT156" s="179">
        <f ca="1">IF(ISNUMBER(MATCH(DATEVALUE($A156),'recurring1_based on steps'!AT$1:AT$400,0)),AT$2,)</f>
        <v>0</v>
      </c>
      <c r="AU156" s="179">
        <f ca="1">IF(ISNUMBER(MATCH(DATEVALUE($A156),'recurring1_based on steps'!AU$1:AU$400,0)),AU$2,)</f>
        <v>0</v>
      </c>
      <c r="AV156" s="179">
        <f ca="1">IF(ISNUMBER(MATCH(DATEVALUE($A156),'recurring1_based on steps'!AV$1:AV$400,0)),AV$2,)</f>
        <v>0</v>
      </c>
      <c r="AW156" s="179">
        <f ca="1">IF(ISNUMBER(MATCH(DATEVALUE($A156),'recurring1_based on steps'!AW$1:AW$400,0)),AW$2,)</f>
        <v>0</v>
      </c>
      <c r="AX156" s="179">
        <f ca="1">IF(ISNUMBER(MATCH(DATEVALUE($A156),'recurring1_based on steps'!AX$1:AX$400,0)),AX$2,)</f>
        <v>0</v>
      </c>
      <c r="AY156" s="179">
        <f ca="1">IF(ISNUMBER(MATCH(DATEVALUE($A156),'recurring1_based on steps'!AY$1:AY$400,0)),AY$2,)</f>
        <v>0</v>
      </c>
    </row>
    <row r="157" spans="1:51" x14ac:dyDescent="0.2">
      <c r="A157" s="32" t="str">
        <f t="shared" ca="1" si="2"/>
        <v>2025-09-06</v>
      </c>
      <c r="B157" s="179">
        <f ca="1">IF(ISNUMBER(MATCH(DATEVALUE($A157),'recurring1_based on steps'!B$1:B$400,0)),B$2,)</f>
        <v>0</v>
      </c>
      <c r="C157" s="179">
        <f ca="1">IF(ISNUMBER(MATCH(DATEVALUE($A157),'recurring1_based on steps'!C$1:C$400,0)),C$2,)</f>
        <v>0</v>
      </c>
      <c r="D157" s="179">
        <f ca="1">IF(ISNUMBER(MATCH(DATEVALUE($A157),'recurring1_based on steps'!D$1:D$400,0)),D$2,)</f>
        <v>0</v>
      </c>
      <c r="E157" s="179">
        <f ca="1">IF(ISNUMBER(MATCH(DATEVALUE($A157),'recurring1_based on steps'!E$1:E$400,0)),E$2,)</f>
        <v>0</v>
      </c>
      <c r="F157" s="179">
        <f ca="1">IF(ISNUMBER(MATCH(DATEVALUE($A157),'recurring1_based on steps'!F$1:F$400,0)),F$2,)</f>
        <v>0</v>
      </c>
      <c r="G157" s="179">
        <f ca="1">IF(ISNUMBER(MATCH(DATEVALUE($A157),'recurring1_based on steps'!G$1:G$400,0)),G$2,)</f>
        <v>0</v>
      </c>
      <c r="H157" s="179">
        <f ca="1">IF(ISNUMBER(MATCH(DATEVALUE($A157),'recurring1_based on steps'!H$1:H$400,0)),H$2,)</f>
        <v>0</v>
      </c>
      <c r="I157" s="179">
        <f ca="1">IF(ISNUMBER(MATCH(DATEVALUE($A157),'recurring1_based on steps'!I$1:I$400,0)),I$2,)</f>
        <v>0</v>
      </c>
      <c r="J157" s="179">
        <f ca="1">IF(ISNUMBER(MATCH(DATEVALUE($A157),'recurring1_based on steps'!J$1:J$400,0)),J$2,)</f>
        <v>0</v>
      </c>
      <c r="K157" s="179">
        <f ca="1">IF(ISNUMBER(MATCH(DATEVALUE($A157),'recurring1_based on steps'!K$1:K$400,0)),K$2,)</f>
        <v>0</v>
      </c>
      <c r="L157" s="179">
        <f ca="1">IF(ISNUMBER(MATCH(DATEVALUE($A157),'recurring1_based on steps'!L$1:L$400,0)),L$2,)</f>
        <v>0</v>
      </c>
      <c r="M157" s="179">
        <f ca="1">IF(ISNUMBER(MATCH(DATEVALUE($A157),'recurring1_based on steps'!M$1:M$400,0)),M$2,)</f>
        <v>0</v>
      </c>
      <c r="N157" s="179">
        <f ca="1">IF(ISNUMBER(MATCH(DATEVALUE($A157),'recurring1_based on steps'!N$1:N$400,0)),N$2,)</f>
        <v>0</v>
      </c>
      <c r="O157" s="179">
        <f ca="1">IF(ISNUMBER(MATCH(DATEVALUE($A157),'recurring1_based on steps'!O$1:O$400,0)),O$2,)</f>
        <v>0</v>
      </c>
      <c r="P157" s="179">
        <f ca="1">IF(ISNUMBER(MATCH(DATEVALUE($A157),'recurring1_based on steps'!P$1:P$400,0)),P$2,)</f>
        <v>0</v>
      </c>
      <c r="Q157" s="179">
        <f ca="1">IF(ISNUMBER(MATCH(DATEVALUE($A157),'recurring1_based on steps'!Q$1:Q$400,0)),Q$2,)</f>
        <v>0</v>
      </c>
      <c r="R157" s="179">
        <f ca="1">IF(ISNUMBER(MATCH(DATEVALUE($A157),'recurring1_based on steps'!R$1:R$400,0)),R$2,)</f>
        <v>0</v>
      </c>
      <c r="S157" s="179">
        <f ca="1">IF(ISNUMBER(MATCH(DATEVALUE($A157),'recurring1_based on steps'!S$1:S$400,0)),S$2,)</f>
        <v>0</v>
      </c>
      <c r="T157" s="179">
        <f ca="1">IF(ISNUMBER(MATCH(DATEVALUE($A157),'recurring1_based on steps'!T$1:T$400,0)),T$2,)</f>
        <v>0</v>
      </c>
      <c r="U157" s="179">
        <f ca="1">IF(ISNUMBER(MATCH(DATEVALUE($A157),'recurring1_based on steps'!U$1:U$400,0)),U$2,)</f>
        <v>0</v>
      </c>
      <c r="V157" s="179">
        <f ca="1">IF(ISNUMBER(MATCH(DATEVALUE($A157),'recurring1_based on steps'!V$1:V$400,0)),V$2,)</f>
        <v>0</v>
      </c>
      <c r="W157" s="179">
        <f ca="1">IF(ISNUMBER(MATCH(DATEVALUE($A157),'recurring1_based on steps'!W$1:W$400,0)),W$2,)</f>
        <v>0</v>
      </c>
      <c r="X157" s="179">
        <f ca="1">IF(ISNUMBER(MATCH(DATEVALUE($A157),'recurring1_based on steps'!X$1:X$400,0)),X$2,)</f>
        <v>0</v>
      </c>
      <c r="Y157" s="179">
        <f ca="1">IF(ISNUMBER(MATCH(DATEVALUE($A157),'recurring1_based on steps'!Y$1:Y$400,0)),Y$2,)</f>
        <v>0</v>
      </c>
      <c r="Z157" s="179">
        <f ca="1">IF(ISNUMBER(MATCH(DATEVALUE($A157),'recurring1_based on steps'!Z$1:Z$400,0)),Z$2,)</f>
        <v>0</v>
      </c>
      <c r="AA157" s="179">
        <f ca="1">IF(ISNUMBER(MATCH(DATEVALUE($A157),'recurring1_based on steps'!AA$1:AA$400,0)),AA$2,)</f>
        <v>0</v>
      </c>
      <c r="AB157" s="179">
        <f ca="1">IF(ISNUMBER(MATCH(DATEVALUE($A157),'recurring1_based on steps'!AB$1:AB$400,0)),AB$2,)</f>
        <v>0</v>
      </c>
      <c r="AC157" s="179">
        <f ca="1">IF(ISNUMBER(MATCH(DATEVALUE($A157),'recurring1_based on steps'!AC$1:AC$400,0)),AC$2,)</f>
        <v>0</v>
      </c>
      <c r="AD157" s="179">
        <f ca="1">IF(ISNUMBER(MATCH(DATEVALUE($A157),'recurring1_based on steps'!AD$1:AD$400,0)),AD$2,)</f>
        <v>0</v>
      </c>
      <c r="AE157" s="179">
        <f ca="1">IF(ISNUMBER(MATCH(DATEVALUE($A157),'recurring1_based on steps'!AE$1:AE$400,0)),AE$2,)</f>
        <v>0</v>
      </c>
      <c r="AF157" s="179">
        <f ca="1">IF(ISNUMBER(MATCH(DATEVALUE($A157),'recurring1_based on steps'!AF$1:AF$400,0)),AF$2,)</f>
        <v>0</v>
      </c>
      <c r="AG157" s="179">
        <f ca="1">IF(ISNUMBER(MATCH(DATEVALUE($A157),'recurring1_based on steps'!AG$1:AG$400,0)),AG$2,)</f>
        <v>0</v>
      </c>
      <c r="AH157" s="179">
        <f ca="1">IF(ISNUMBER(MATCH(DATEVALUE($A157),'recurring1_based on steps'!AH$1:AH$400,0)),AH$2,)</f>
        <v>0</v>
      </c>
      <c r="AI157" s="179">
        <f ca="1">IF(ISNUMBER(MATCH(DATEVALUE($A157),'recurring1_based on steps'!AI$1:AI$400,0)),AI$2,)</f>
        <v>0</v>
      </c>
      <c r="AJ157" s="179">
        <f ca="1">IF(ISNUMBER(MATCH(DATEVALUE($A157),'recurring1_based on steps'!AJ$1:AJ$400,0)),AJ$2,)</f>
        <v>0</v>
      </c>
      <c r="AK157" s="179">
        <f ca="1">IF(ISNUMBER(MATCH(DATEVALUE($A157),'recurring1_based on steps'!AK$1:AK$400,0)),AK$2,)</f>
        <v>0</v>
      </c>
      <c r="AL157" s="179">
        <f ca="1">IF(ISNUMBER(MATCH(DATEVALUE($A157),'recurring1_based on steps'!AL$1:AL$400,0)),AL$2,)</f>
        <v>0</v>
      </c>
      <c r="AM157" s="179">
        <f ca="1">IF(ISNUMBER(MATCH(DATEVALUE($A157),'recurring1_based on steps'!AM$1:AM$400,0)),AM$2,)</f>
        <v>0</v>
      </c>
      <c r="AN157" s="179">
        <f ca="1">IF(ISNUMBER(MATCH(DATEVALUE($A157),'recurring1_based on steps'!AN$1:AN$400,0)),AN$2,)</f>
        <v>0</v>
      </c>
      <c r="AO157" s="179">
        <f ca="1">IF(ISNUMBER(MATCH(DATEVALUE($A157),'recurring1_based on steps'!AO$1:AO$400,0)),AO$2,)</f>
        <v>0</v>
      </c>
      <c r="AP157" s="179">
        <f ca="1">IF(ISNUMBER(MATCH(DATEVALUE($A157),'recurring1_based on steps'!AP$1:AP$400,0)),AP$2,)</f>
        <v>0</v>
      </c>
      <c r="AQ157" s="179">
        <f ca="1">IF(ISNUMBER(MATCH(DATEVALUE($A157),'recurring1_based on steps'!AQ$1:AQ$400,0)),AQ$2,)</f>
        <v>0</v>
      </c>
      <c r="AR157" s="179">
        <f ca="1">IF(ISNUMBER(MATCH(DATEVALUE($A157),'recurring1_based on steps'!AR$1:AR$400,0)),AR$2,)</f>
        <v>0</v>
      </c>
      <c r="AS157" s="179">
        <f ca="1">IF(ISNUMBER(MATCH(DATEVALUE($A157),'recurring1_based on steps'!AS$1:AS$400,0)),AS$2,)</f>
        <v>0</v>
      </c>
      <c r="AT157" s="179">
        <f ca="1">IF(ISNUMBER(MATCH(DATEVALUE($A157),'recurring1_based on steps'!AT$1:AT$400,0)),AT$2,)</f>
        <v>0</v>
      </c>
      <c r="AU157" s="179">
        <f ca="1">IF(ISNUMBER(MATCH(DATEVALUE($A157),'recurring1_based on steps'!AU$1:AU$400,0)),AU$2,)</f>
        <v>0</v>
      </c>
      <c r="AV157" s="179">
        <f ca="1">IF(ISNUMBER(MATCH(DATEVALUE($A157),'recurring1_based on steps'!AV$1:AV$400,0)),AV$2,)</f>
        <v>0</v>
      </c>
      <c r="AW157" s="179">
        <f ca="1">IF(ISNUMBER(MATCH(DATEVALUE($A157),'recurring1_based on steps'!AW$1:AW$400,0)),AW$2,)</f>
        <v>0</v>
      </c>
      <c r="AX157" s="179">
        <f ca="1">IF(ISNUMBER(MATCH(DATEVALUE($A157),'recurring1_based on steps'!AX$1:AX$400,0)),AX$2,)</f>
        <v>0</v>
      </c>
      <c r="AY157" s="179">
        <f ca="1">IF(ISNUMBER(MATCH(DATEVALUE($A157),'recurring1_based on steps'!AY$1:AY$400,0)),AY$2,)</f>
        <v>0</v>
      </c>
    </row>
    <row r="158" spans="1:51" x14ac:dyDescent="0.2">
      <c r="A158" s="32" t="str">
        <f t="shared" ca="1" si="2"/>
        <v>2025-09-07</v>
      </c>
      <c r="B158" s="179">
        <f ca="1">IF(ISNUMBER(MATCH(DATEVALUE($A158),'recurring1_based on steps'!B$1:B$400,0)),B$2,)</f>
        <v>0</v>
      </c>
      <c r="C158" s="179">
        <f ca="1">IF(ISNUMBER(MATCH(DATEVALUE($A158),'recurring1_based on steps'!C$1:C$400,0)),C$2,)</f>
        <v>0</v>
      </c>
      <c r="D158" s="179">
        <f ca="1">IF(ISNUMBER(MATCH(DATEVALUE($A158),'recurring1_based on steps'!D$1:D$400,0)),D$2,)</f>
        <v>0</v>
      </c>
      <c r="E158" s="179">
        <f ca="1">IF(ISNUMBER(MATCH(DATEVALUE($A158),'recurring1_based on steps'!E$1:E$400,0)),E$2,)</f>
        <v>0</v>
      </c>
      <c r="F158" s="179">
        <f ca="1">IF(ISNUMBER(MATCH(DATEVALUE($A158),'recurring1_based on steps'!F$1:F$400,0)),F$2,)</f>
        <v>0</v>
      </c>
      <c r="G158" s="179">
        <f ca="1">IF(ISNUMBER(MATCH(DATEVALUE($A158),'recurring1_based on steps'!G$1:G$400,0)),G$2,)</f>
        <v>0</v>
      </c>
      <c r="H158" s="179">
        <f ca="1">IF(ISNUMBER(MATCH(DATEVALUE($A158),'recurring1_based on steps'!H$1:H$400,0)),H$2,)</f>
        <v>0</v>
      </c>
      <c r="I158" s="179">
        <f ca="1">IF(ISNUMBER(MATCH(DATEVALUE($A158),'recurring1_based on steps'!I$1:I$400,0)),I$2,)</f>
        <v>0</v>
      </c>
      <c r="J158" s="179">
        <f ca="1">IF(ISNUMBER(MATCH(DATEVALUE($A158),'recurring1_based on steps'!J$1:J$400,0)),J$2,)</f>
        <v>0</v>
      </c>
      <c r="K158" s="179">
        <f ca="1">IF(ISNUMBER(MATCH(DATEVALUE($A158),'recurring1_based on steps'!K$1:K$400,0)),K$2,)</f>
        <v>0</v>
      </c>
      <c r="L158" s="179">
        <f ca="1">IF(ISNUMBER(MATCH(DATEVALUE($A158),'recurring1_based on steps'!L$1:L$400,0)),L$2,)</f>
        <v>0</v>
      </c>
      <c r="M158" s="179">
        <f ca="1">IF(ISNUMBER(MATCH(DATEVALUE($A158),'recurring1_based on steps'!M$1:M$400,0)),M$2,)</f>
        <v>0</v>
      </c>
      <c r="N158" s="179">
        <f ca="1">IF(ISNUMBER(MATCH(DATEVALUE($A158),'recurring1_based on steps'!N$1:N$400,0)),N$2,)</f>
        <v>0</v>
      </c>
      <c r="O158" s="179">
        <f ca="1">IF(ISNUMBER(MATCH(DATEVALUE($A158),'recurring1_based on steps'!O$1:O$400,0)),O$2,)</f>
        <v>0</v>
      </c>
      <c r="P158" s="179">
        <f ca="1">IF(ISNUMBER(MATCH(DATEVALUE($A158),'recurring1_based on steps'!P$1:P$400,0)),P$2,)</f>
        <v>0</v>
      </c>
      <c r="Q158" s="179">
        <f ca="1">IF(ISNUMBER(MATCH(DATEVALUE($A158),'recurring1_based on steps'!Q$1:Q$400,0)),Q$2,)</f>
        <v>0</v>
      </c>
      <c r="R158" s="179">
        <f ca="1">IF(ISNUMBER(MATCH(DATEVALUE($A158),'recurring1_based on steps'!R$1:R$400,0)),R$2,)</f>
        <v>0</v>
      </c>
      <c r="S158" s="179">
        <f ca="1">IF(ISNUMBER(MATCH(DATEVALUE($A158),'recurring1_based on steps'!S$1:S$400,0)),S$2,)</f>
        <v>0</v>
      </c>
      <c r="T158" s="179">
        <f ca="1">IF(ISNUMBER(MATCH(DATEVALUE($A158),'recurring1_based on steps'!T$1:T$400,0)),T$2,)</f>
        <v>0</v>
      </c>
      <c r="U158" s="179">
        <f ca="1">IF(ISNUMBER(MATCH(DATEVALUE($A158),'recurring1_based on steps'!U$1:U$400,0)),U$2,)</f>
        <v>0</v>
      </c>
      <c r="V158" s="179">
        <f ca="1">IF(ISNUMBER(MATCH(DATEVALUE($A158),'recurring1_based on steps'!V$1:V$400,0)),V$2,)</f>
        <v>0</v>
      </c>
      <c r="W158" s="179">
        <f ca="1">IF(ISNUMBER(MATCH(DATEVALUE($A158),'recurring1_based on steps'!W$1:W$400,0)),W$2,)</f>
        <v>0</v>
      </c>
      <c r="X158" s="179">
        <f ca="1">IF(ISNUMBER(MATCH(DATEVALUE($A158),'recurring1_based on steps'!X$1:X$400,0)),X$2,)</f>
        <v>0</v>
      </c>
      <c r="Y158" s="179">
        <f ca="1">IF(ISNUMBER(MATCH(DATEVALUE($A158),'recurring1_based on steps'!Y$1:Y$400,0)),Y$2,)</f>
        <v>0</v>
      </c>
      <c r="Z158" s="179">
        <f ca="1">IF(ISNUMBER(MATCH(DATEVALUE($A158),'recurring1_based on steps'!Z$1:Z$400,0)),Z$2,)</f>
        <v>0</v>
      </c>
      <c r="AA158" s="179">
        <f ca="1">IF(ISNUMBER(MATCH(DATEVALUE($A158),'recurring1_based on steps'!AA$1:AA$400,0)),AA$2,)</f>
        <v>0</v>
      </c>
      <c r="AB158" s="179">
        <f ca="1">IF(ISNUMBER(MATCH(DATEVALUE($A158),'recurring1_based on steps'!AB$1:AB$400,0)),AB$2,)</f>
        <v>0</v>
      </c>
      <c r="AC158" s="179">
        <f ca="1">IF(ISNUMBER(MATCH(DATEVALUE($A158),'recurring1_based on steps'!AC$1:AC$400,0)),AC$2,)</f>
        <v>0</v>
      </c>
      <c r="AD158" s="179">
        <f ca="1">IF(ISNUMBER(MATCH(DATEVALUE($A158),'recurring1_based on steps'!AD$1:AD$400,0)),AD$2,)</f>
        <v>0</v>
      </c>
      <c r="AE158" s="179">
        <f ca="1">IF(ISNUMBER(MATCH(DATEVALUE($A158),'recurring1_based on steps'!AE$1:AE$400,0)),AE$2,)</f>
        <v>0</v>
      </c>
      <c r="AF158" s="179">
        <f ca="1">IF(ISNUMBER(MATCH(DATEVALUE($A158),'recurring1_based on steps'!AF$1:AF$400,0)),AF$2,)</f>
        <v>0</v>
      </c>
      <c r="AG158" s="179">
        <f ca="1">IF(ISNUMBER(MATCH(DATEVALUE($A158),'recurring1_based on steps'!AG$1:AG$400,0)),AG$2,)</f>
        <v>0</v>
      </c>
      <c r="AH158" s="179">
        <f ca="1">IF(ISNUMBER(MATCH(DATEVALUE($A158),'recurring1_based on steps'!AH$1:AH$400,0)),AH$2,)</f>
        <v>0</v>
      </c>
      <c r="AI158" s="179">
        <f ca="1">IF(ISNUMBER(MATCH(DATEVALUE($A158),'recurring1_based on steps'!AI$1:AI$400,0)),AI$2,)</f>
        <v>0</v>
      </c>
      <c r="AJ158" s="179">
        <f ca="1">IF(ISNUMBER(MATCH(DATEVALUE($A158),'recurring1_based on steps'!AJ$1:AJ$400,0)),AJ$2,)</f>
        <v>0</v>
      </c>
      <c r="AK158" s="179">
        <f ca="1">IF(ISNUMBER(MATCH(DATEVALUE($A158),'recurring1_based on steps'!AK$1:AK$400,0)),AK$2,)</f>
        <v>0</v>
      </c>
      <c r="AL158" s="179">
        <f ca="1">IF(ISNUMBER(MATCH(DATEVALUE($A158),'recurring1_based on steps'!AL$1:AL$400,0)),AL$2,)</f>
        <v>0</v>
      </c>
      <c r="AM158" s="179">
        <f ca="1">IF(ISNUMBER(MATCH(DATEVALUE($A158),'recurring1_based on steps'!AM$1:AM$400,0)),AM$2,)</f>
        <v>0</v>
      </c>
      <c r="AN158" s="179">
        <f ca="1">IF(ISNUMBER(MATCH(DATEVALUE($A158),'recurring1_based on steps'!AN$1:AN$400,0)),AN$2,)</f>
        <v>0</v>
      </c>
      <c r="AO158" s="179">
        <f ca="1">IF(ISNUMBER(MATCH(DATEVALUE($A158),'recurring1_based on steps'!AO$1:AO$400,0)),AO$2,)</f>
        <v>0</v>
      </c>
      <c r="AP158" s="179">
        <f ca="1">IF(ISNUMBER(MATCH(DATEVALUE($A158),'recurring1_based on steps'!AP$1:AP$400,0)),AP$2,)</f>
        <v>0</v>
      </c>
      <c r="AQ158" s="179">
        <f ca="1">IF(ISNUMBER(MATCH(DATEVALUE($A158),'recurring1_based on steps'!AQ$1:AQ$400,0)),AQ$2,)</f>
        <v>0</v>
      </c>
      <c r="AR158" s="179">
        <f ca="1">IF(ISNUMBER(MATCH(DATEVALUE($A158),'recurring1_based on steps'!AR$1:AR$400,0)),AR$2,)</f>
        <v>0</v>
      </c>
      <c r="AS158" s="179">
        <f ca="1">IF(ISNUMBER(MATCH(DATEVALUE($A158),'recurring1_based on steps'!AS$1:AS$400,0)),AS$2,)</f>
        <v>0</v>
      </c>
      <c r="AT158" s="179">
        <f ca="1">IF(ISNUMBER(MATCH(DATEVALUE($A158),'recurring1_based on steps'!AT$1:AT$400,0)),AT$2,)</f>
        <v>0</v>
      </c>
      <c r="AU158" s="179">
        <f ca="1">IF(ISNUMBER(MATCH(DATEVALUE($A158),'recurring1_based on steps'!AU$1:AU$400,0)),AU$2,)</f>
        <v>0</v>
      </c>
      <c r="AV158" s="179">
        <f ca="1">IF(ISNUMBER(MATCH(DATEVALUE($A158),'recurring1_based on steps'!AV$1:AV$400,0)),AV$2,)</f>
        <v>0</v>
      </c>
      <c r="AW158" s="179">
        <f ca="1">IF(ISNUMBER(MATCH(DATEVALUE($A158),'recurring1_based on steps'!AW$1:AW$400,0)),AW$2,)</f>
        <v>0</v>
      </c>
      <c r="AX158" s="179">
        <f ca="1">IF(ISNUMBER(MATCH(DATEVALUE($A158),'recurring1_based on steps'!AX$1:AX$400,0)),AX$2,)</f>
        <v>0</v>
      </c>
      <c r="AY158" s="179">
        <f ca="1">IF(ISNUMBER(MATCH(DATEVALUE($A158),'recurring1_based on steps'!AY$1:AY$400,0)),AY$2,)</f>
        <v>0</v>
      </c>
    </row>
    <row r="159" spans="1:51" x14ac:dyDescent="0.2">
      <c r="A159" s="32" t="str">
        <f t="shared" ca="1" si="2"/>
        <v>2025-09-08</v>
      </c>
      <c r="B159" s="179">
        <f ca="1">IF(ISNUMBER(MATCH(DATEVALUE($A159),'recurring1_based on steps'!B$1:B$400,0)),B$2,)</f>
        <v>0</v>
      </c>
      <c r="C159" s="179">
        <f ca="1">IF(ISNUMBER(MATCH(DATEVALUE($A159),'recurring1_based on steps'!C$1:C$400,0)),C$2,)</f>
        <v>0</v>
      </c>
      <c r="D159" s="179">
        <f ca="1">IF(ISNUMBER(MATCH(DATEVALUE($A159),'recurring1_based on steps'!D$1:D$400,0)),D$2,)</f>
        <v>0</v>
      </c>
      <c r="E159" s="179">
        <f ca="1">IF(ISNUMBER(MATCH(DATEVALUE($A159),'recurring1_based on steps'!E$1:E$400,0)),E$2,)</f>
        <v>0</v>
      </c>
      <c r="F159" s="179">
        <f ca="1">IF(ISNUMBER(MATCH(DATEVALUE($A159),'recurring1_based on steps'!F$1:F$400,0)),F$2,)</f>
        <v>0</v>
      </c>
      <c r="G159" s="179">
        <f ca="1">IF(ISNUMBER(MATCH(DATEVALUE($A159),'recurring1_based on steps'!G$1:G$400,0)),G$2,)</f>
        <v>0</v>
      </c>
      <c r="H159" s="179">
        <f ca="1">IF(ISNUMBER(MATCH(DATEVALUE($A159),'recurring1_based on steps'!H$1:H$400,0)),H$2,)</f>
        <v>0</v>
      </c>
      <c r="I159" s="179">
        <f ca="1">IF(ISNUMBER(MATCH(DATEVALUE($A159),'recurring1_based on steps'!I$1:I$400,0)),I$2,)</f>
        <v>0</v>
      </c>
      <c r="J159" s="179">
        <f ca="1">IF(ISNUMBER(MATCH(DATEVALUE($A159),'recurring1_based on steps'!J$1:J$400,0)),J$2,)</f>
        <v>0</v>
      </c>
      <c r="K159" s="179">
        <f ca="1">IF(ISNUMBER(MATCH(DATEVALUE($A159),'recurring1_based on steps'!K$1:K$400,0)),K$2,)</f>
        <v>0</v>
      </c>
      <c r="L159" s="179">
        <f ca="1">IF(ISNUMBER(MATCH(DATEVALUE($A159),'recurring1_based on steps'!L$1:L$400,0)),L$2,)</f>
        <v>0</v>
      </c>
      <c r="M159" s="179">
        <f ca="1">IF(ISNUMBER(MATCH(DATEVALUE($A159),'recurring1_based on steps'!M$1:M$400,0)),M$2,)</f>
        <v>0</v>
      </c>
      <c r="N159" s="179">
        <f ca="1">IF(ISNUMBER(MATCH(DATEVALUE($A159),'recurring1_based on steps'!N$1:N$400,0)),N$2,)</f>
        <v>0</v>
      </c>
      <c r="O159" s="179">
        <f ca="1">IF(ISNUMBER(MATCH(DATEVALUE($A159),'recurring1_based on steps'!O$1:O$400,0)),O$2,)</f>
        <v>0</v>
      </c>
      <c r="P159" s="179">
        <f ca="1">IF(ISNUMBER(MATCH(DATEVALUE($A159),'recurring1_based on steps'!P$1:P$400,0)),P$2,)</f>
        <v>0</v>
      </c>
      <c r="Q159" s="179">
        <f ca="1">IF(ISNUMBER(MATCH(DATEVALUE($A159),'recurring1_based on steps'!Q$1:Q$400,0)),Q$2,)</f>
        <v>0</v>
      </c>
      <c r="R159" s="179">
        <f ca="1">IF(ISNUMBER(MATCH(DATEVALUE($A159),'recurring1_based on steps'!R$1:R$400,0)),R$2,)</f>
        <v>0</v>
      </c>
      <c r="S159" s="179">
        <f ca="1">IF(ISNUMBER(MATCH(DATEVALUE($A159),'recurring1_based on steps'!S$1:S$400,0)),S$2,)</f>
        <v>0</v>
      </c>
      <c r="T159" s="179">
        <f ca="1">IF(ISNUMBER(MATCH(DATEVALUE($A159),'recurring1_based on steps'!T$1:T$400,0)),T$2,)</f>
        <v>0</v>
      </c>
      <c r="U159" s="179">
        <f ca="1">IF(ISNUMBER(MATCH(DATEVALUE($A159),'recurring1_based on steps'!U$1:U$400,0)),U$2,)</f>
        <v>0</v>
      </c>
      <c r="V159" s="179">
        <f ca="1">IF(ISNUMBER(MATCH(DATEVALUE($A159),'recurring1_based on steps'!V$1:V$400,0)),V$2,)</f>
        <v>0</v>
      </c>
      <c r="W159" s="179">
        <f ca="1">IF(ISNUMBER(MATCH(DATEVALUE($A159),'recurring1_based on steps'!W$1:W$400,0)),W$2,)</f>
        <v>0</v>
      </c>
      <c r="X159" s="179">
        <f ca="1">IF(ISNUMBER(MATCH(DATEVALUE($A159),'recurring1_based on steps'!X$1:X$400,0)),X$2,)</f>
        <v>0</v>
      </c>
      <c r="Y159" s="179">
        <f ca="1">IF(ISNUMBER(MATCH(DATEVALUE($A159),'recurring1_based on steps'!Y$1:Y$400,0)),Y$2,)</f>
        <v>0</v>
      </c>
      <c r="Z159" s="179">
        <f ca="1">IF(ISNUMBER(MATCH(DATEVALUE($A159),'recurring1_based on steps'!Z$1:Z$400,0)),Z$2,)</f>
        <v>0</v>
      </c>
      <c r="AA159" s="179">
        <f ca="1">IF(ISNUMBER(MATCH(DATEVALUE($A159),'recurring1_based on steps'!AA$1:AA$400,0)),AA$2,)</f>
        <v>0</v>
      </c>
      <c r="AB159" s="179">
        <f ca="1">IF(ISNUMBER(MATCH(DATEVALUE($A159),'recurring1_based on steps'!AB$1:AB$400,0)),AB$2,)</f>
        <v>0</v>
      </c>
      <c r="AC159" s="179">
        <f ca="1">IF(ISNUMBER(MATCH(DATEVALUE($A159),'recurring1_based on steps'!AC$1:AC$400,0)),AC$2,)</f>
        <v>0</v>
      </c>
      <c r="AD159" s="179">
        <f ca="1">IF(ISNUMBER(MATCH(DATEVALUE($A159),'recurring1_based on steps'!AD$1:AD$400,0)),AD$2,)</f>
        <v>0</v>
      </c>
      <c r="AE159" s="179">
        <f ca="1">IF(ISNUMBER(MATCH(DATEVALUE($A159),'recurring1_based on steps'!AE$1:AE$400,0)),AE$2,)</f>
        <v>0</v>
      </c>
      <c r="AF159" s="179">
        <f ca="1">IF(ISNUMBER(MATCH(DATEVALUE($A159),'recurring1_based on steps'!AF$1:AF$400,0)),AF$2,)</f>
        <v>0</v>
      </c>
      <c r="AG159" s="179">
        <f ca="1">IF(ISNUMBER(MATCH(DATEVALUE($A159),'recurring1_based on steps'!AG$1:AG$400,0)),AG$2,)</f>
        <v>0</v>
      </c>
      <c r="AH159" s="179">
        <f ca="1">IF(ISNUMBER(MATCH(DATEVALUE($A159),'recurring1_based on steps'!AH$1:AH$400,0)),AH$2,)</f>
        <v>0</v>
      </c>
      <c r="AI159" s="179">
        <f ca="1">IF(ISNUMBER(MATCH(DATEVALUE($A159),'recurring1_based on steps'!AI$1:AI$400,0)),AI$2,)</f>
        <v>0</v>
      </c>
      <c r="AJ159" s="179">
        <f ca="1">IF(ISNUMBER(MATCH(DATEVALUE($A159),'recurring1_based on steps'!AJ$1:AJ$400,0)),AJ$2,)</f>
        <v>0</v>
      </c>
      <c r="AK159" s="179">
        <f ca="1">IF(ISNUMBER(MATCH(DATEVALUE($A159),'recurring1_based on steps'!AK$1:AK$400,0)),AK$2,)</f>
        <v>0</v>
      </c>
      <c r="AL159" s="179">
        <f ca="1">IF(ISNUMBER(MATCH(DATEVALUE($A159),'recurring1_based on steps'!AL$1:AL$400,0)),AL$2,)</f>
        <v>0</v>
      </c>
      <c r="AM159" s="179">
        <f ca="1">IF(ISNUMBER(MATCH(DATEVALUE($A159),'recurring1_based on steps'!AM$1:AM$400,0)),AM$2,)</f>
        <v>0</v>
      </c>
      <c r="AN159" s="179">
        <f ca="1">IF(ISNUMBER(MATCH(DATEVALUE($A159),'recurring1_based on steps'!AN$1:AN$400,0)),AN$2,)</f>
        <v>0</v>
      </c>
      <c r="AO159" s="179">
        <f ca="1">IF(ISNUMBER(MATCH(DATEVALUE($A159),'recurring1_based on steps'!AO$1:AO$400,0)),AO$2,)</f>
        <v>0</v>
      </c>
      <c r="AP159" s="179">
        <f ca="1">IF(ISNUMBER(MATCH(DATEVALUE($A159),'recurring1_based on steps'!AP$1:AP$400,0)),AP$2,)</f>
        <v>0</v>
      </c>
      <c r="AQ159" s="179">
        <f ca="1">IF(ISNUMBER(MATCH(DATEVALUE($A159),'recurring1_based on steps'!AQ$1:AQ$400,0)),AQ$2,)</f>
        <v>0</v>
      </c>
      <c r="AR159" s="179">
        <f ca="1">IF(ISNUMBER(MATCH(DATEVALUE($A159),'recurring1_based on steps'!AR$1:AR$400,0)),AR$2,)</f>
        <v>0</v>
      </c>
      <c r="AS159" s="179">
        <f ca="1">IF(ISNUMBER(MATCH(DATEVALUE($A159),'recurring1_based on steps'!AS$1:AS$400,0)),AS$2,)</f>
        <v>0</v>
      </c>
      <c r="AT159" s="179">
        <f ca="1">IF(ISNUMBER(MATCH(DATEVALUE($A159),'recurring1_based on steps'!AT$1:AT$400,0)),AT$2,)</f>
        <v>0</v>
      </c>
      <c r="AU159" s="179">
        <f ca="1">IF(ISNUMBER(MATCH(DATEVALUE($A159),'recurring1_based on steps'!AU$1:AU$400,0)),AU$2,)</f>
        <v>0</v>
      </c>
      <c r="AV159" s="179">
        <f ca="1">IF(ISNUMBER(MATCH(DATEVALUE($A159),'recurring1_based on steps'!AV$1:AV$400,0)),AV$2,)</f>
        <v>0</v>
      </c>
      <c r="AW159" s="179">
        <f ca="1">IF(ISNUMBER(MATCH(DATEVALUE($A159),'recurring1_based on steps'!AW$1:AW$400,0)),AW$2,)</f>
        <v>0</v>
      </c>
      <c r="AX159" s="179">
        <f ca="1">IF(ISNUMBER(MATCH(DATEVALUE($A159),'recurring1_based on steps'!AX$1:AX$400,0)),AX$2,)</f>
        <v>0</v>
      </c>
      <c r="AY159" s="179">
        <f ca="1">IF(ISNUMBER(MATCH(DATEVALUE($A159),'recurring1_based on steps'!AY$1:AY$400,0)),AY$2,)</f>
        <v>0</v>
      </c>
    </row>
    <row r="160" spans="1:51" x14ac:dyDescent="0.2">
      <c r="A160" s="32" t="str">
        <f t="shared" ca="1" si="2"/>
        <v>2025-09-09</v>
      </c>
      <c r="B160" s="179">
        <f ca="1">IF(ISNUMBER(MATCH(DATEVALUE($A160),'recurring1_based on steps'!B$1:B$400,0)),B$2,)</f>
        <v>0</v>
      </c>
      <c r="C160" s="179">
        <f ca="1">IF(ISNUMBER(MATCH(DATEVALUE($A160),'recurring1_based on steps'!C$1:C$400,0)),C$2,)</f>
        <v>0</v>
      </c>
      <c r="D160" s="179">
        <f ca="1">IF(ISNUMBER(MATCH(DATEVALUE($A160),'recurring1_based on steps'!D$1:D$400,0)),D$2,)</f>
        <v>0</v>
      </c>
      <c r="E160" s="179">
        <f ca="1">IF(ISNUMBER(MATCH(DATEVALUE($A160),'recurring1_based on steps'!E$1:E$400,0)),E$2,)</f>
        <v>0</v>
      </c>
      <c r="F160" s="179">
        <f ca="1">IF(ISNUMBER(MATCH(DATEVALUE($A160),'recurring1_based on steps'!F$1:F$400,0)),F$2,)</f>
        <v>0</v>
      </c>
      <c r="G160" s="179">
        <f ca="1">IF(ISNUMBER(MATCH(DATEVALUE($A160),'recurring1_based on steps'!G$1:G$400,0)),G$2,)</f>
        <v>0</v>
      </c>
      <c r="H160" s="179">
        <f ca="1">IF(ISNUMBER(MATCH(DATEVALUE($A160),'recurring1_based on steps'!H$1:H$400,0)),H$2,)</f>
        <v>0</v>
      </c>
      <c r="I160" s="179">
        <f ca="1">IF(ISNUMBER(MATCH(DATEVALUE($A160),'recurring1_based on steps'!I$1:I$400,0)),I$2,)</f>
        <v>0</v>
      </c>
      <c r="J160" s="179">
        <f ca="1">IF(ISNUMBER(MATCH(DATEVALUE($A160),'recurring1_based on steps'!J$1:J$400,0)),J$2,)</f>
        <v>0</v>
      </c>
      <c r="K160" s="179">
        <f ca="1">IF(ISNUMBER(MATCH(DATEVALUE($A160),'recurring1_based on steps'!K$1:K$400,0)),K$2,)</f>
        <v>0</v>
      </c>
      <c r="L160" s="179">
        <f ca="1">IF(ISNUMBER(MATCH(DATEVALUE($A160),'recurring1_based on steps'!L$1:L$400,0)),L$2,)</f>
        <v>0</v>
      </c>
      <c r="M160" s="179">
        <f ca="1">IF(ISNUMBER(MATCH(DATEVALUE($A160),'recurring1_based on steps'!M$1:M$400,0)),M$2,)</f>
        <v>0</v>
      </c>
      <c r="N160" s="179">
        <f ca="1">IF(ISNUMBER(MATCH(DATEVALUE($A160),'recurring1_based on steps'!N$1:N$400,0)),N$2,)</f>
        <v>0</v>
      </c>
      <c r="O160" s="179">
        <f ca="1">IF(ISNUMBER(MATCH(DATEVALUE($A160),'recurring1_based on steps'!O$1:O$400,0)),O$2,)</f>
        <v>0</v>
      </c>
      <c r="P160" s="179">
        <f ca="1">IF(ISNUMBER(MATCH(DATEVALUE($A160),'recurring1_based on steps'!P$1:P$400,0)),P$2,)</f>
        <v>0</v>
      </c>
      <c r="Q160" s="179">
        <f ca="1">IF(ISNUMBER(MATCH(DATEVALUE($A160),'recurring1_based on steps'!Q$1:Q$400,0)),Q$2,)</f>
        <v>0</v>
      </c>
      <c r="R160" s="179">
        <f ca="1">IF(ISNUMBER(MATCH(DATEVALUE($A160),'recurring1_based on steps'!R$1:R$400,0)),R$2,)</f>
        <v>0</v>
      </c>
      <c r="S160" s="179">
        <f ca="1">IF(ISNUMBER(MATCH(DATEVALUE($A160),'recurring1_based on steps'!S$1:S$400,0)),S$2,)</f>
        <v>0</v>
      </c>
      <c r="T160" s="179">
        <f ca="1">IF(ISNUMBER(MATCH(DATEVALUE($A160),'recurring1_based on steps'!T$1:T$400,0)),T$2,)</f>
        <v>0</v>
      </c>
      <c r="U160" s="179">
        <f ca="1">IF(ISNUMBER(MATCH(DATEVALUE($A160),'recurring1_based on steps'!U$1:U$400,0)),U$2,)</f>
        <v>0</v>
      </c>
      <c r="V160" s="179">
        <f ca="1">IF(ISNUMBER(MATCH(DATEVALUE($A160),'recurring1_based on steps'!V$1:V$400,0)),V$2,)</f>
        <v>0</v>
      </c>
      <c r="W160" s="179">
        <f ca="1">IF(ISNUMBER(MATCH(DATEVALUE($A160),'recurring1_based on steps'!W$1:W$400,0)),W$2,)</f>
        <v>0</v>
      </c>
      <c r="X160" s="179">
        <f ca="1">IF(ISNUMBER(MATCH(DATEVALUE($A160),'recurring1_based on steps'!X$1:X$400,0)),X$2,)</f>
        <v>0</v>
      </c>
      <c r="Y160" s="179">
        <f ca="1">IF(ISNUMBER(MATCH(DATEVALUE($A160),'recurring1_based on steps'!Y$1:Y$400,0)),Y$2,)</f>
        <v>0</v>
      </c>
      <c r="Z160" s="179">
        <f ca="1">IF(ISNUMBER(MATCH(DATEVALUE($A160),'recurring1_based on steps'!Z$1:Z$400,0)),Z$2,)</f>
        <v>0</v>
      </c>
      <c r="AA160" s="179">
        <f ca="1">IF(ISNUMBER(MATCH(DATEVALUE($A160),'recurring1_based on steps'!AA$1:AA$400,0)),AA$2,)</f>
        <v>0</v>
      </c>
      <c r="AB160" s="179">
        <f ca="1">IF(ISNUMBER(MATCH(DATEVALUE($A160),'recurring1_based on steps'!AB$1:AB$400,0)),AB$2,)</f>
        <v>0</v>
      </c>
      <c r="AC160" s="179">
        <f ca="1">IF(ISNUMBER(MATCH(DATEVALUE($A160),'recurring1_based on steps'!AC$1:AC$400,0)),AC$2,)</f>
        <v>0</v>
      </c>
      <c r="AD160" s="179">
        <f ca="1">IF(ISNUMBER(MATCH(DATEVALUE($A160),'recurring1_based on steps'!AD$1:AD$400,0)),AD$2,)</f>
        <v>0</v>
      </c>
      <c r="AE160" s="179">
        <f ca="1">IF(ISNUMBER(MATCH(DATEVALUE($A160),'recurring1_based on steps'!AE$1:AE$400,0)),AE$2,)</f>
        <v>0</v>
      </c>
      <c r="AF160" s="179">
        <f ca="1">IF(ISNUMBER(MATCH(DATEVALUE($A160),'recurring1_based on steps'!AF$1:AF$400,0)),AF$2,)</f>
        <v>0</v>
      </c>
      <c r="AG160" s="179">
        <f ca="1">IF(ISNUMBER(MATCH(DATEVALUE($A160),'recurring1_based on steps'!AG$1:AG$400,0)),AG$2,)</f>
        <v>0</v>
      </c>
      <c r="AH160" s="179">
        <f ca="1">IF(ISNUMBER(MATCH(DATEVALUE($A160),'recurring1_based on steps'!AH$1:AH$400,0)),AH$2,)</f>
        <v>0</v>
      </c>
      <c r="AI160" s="179">
        <f ca="1">IF(ISNUMBER(MATCH(DATEVALUE($A160),'recurring1_based on steps'!AI$1:AI$400,0)),AI$2,)</f>
        <v>0</v>
      </c>
      <c r="AJ160" s="179">
        <f ca="1">IF(ISNUMBER(MATCH(DATEVALUE($A160),'recurring1_based on steps'!AJ$1:AJ$400,0)),AJ$2,)</f>
        <v>0</v>
      </c>
      <c r="AK160" s="179">
        <f ca="1">IF(ISNUMBER(MATCH(DATEVALUE($A160),'recurring1_based on steps'!AK$1:AK$400,0)),AK$2,)</f>
        <v>0</v>
      </c>
      <c r="AL160" s="179">
        <f ca="1">IF(ISNUMBER(MATCH(DATEVALUE($A160),'recurring1_based on steps'!AL$1:AL$400,0)),AL$2,)</f>
        <v>0</v>
      </c>
      <c r="AM160" s="179">
        <f ca="1">IF(ISNUMBER(MATCH(DATEVALUE($A160),'recurring1_based on steps'!AM$1:AM$400,0)),AM$2,)</f>
        <v>0</v>
      </c>
      <c r="AN160" s="179">
        <f ca="1">IF(ISNUMBER(MATCH(DATEVALUE($A160),'recurring1_based on steps'!AN$1:AN$400,0)),AN$2,)</f>
        <v>0</v>
      </c>
      <c r="AO160" s="179">
        <f ca="1">IF(ISNUMBER(MATCH(DATEVALUE($A160),'recurring1_based on steps'!AO$1:AO$400,0)),AO$2,)</f>
        <v>0</v>
      </c>
      <c r="AP160" s="179">
        <f ca="1">IF(ISNUMBER(MATCH(DATEVALUE($A160),'recurring1_based on steps'!AP$1:AP$400,0)),AP$2,)</f>
        <v>0</v>
      </c>
      <c r="AQ160" s="179">
        <f ca="1">IF(ISNUMBER(MATCH(DATEVALUE($A160),'recurring1_based on steps'!AQ$1:AQ$400,0)),AQ$2,)</f>
        <v>0</v>
      </c>
      <c r="AR160" s="179">
        <f ca="1">IF(ISNUMBER(MATCH(DATEVALUE($A160),'recurring1_based on steps'!AR$1:AR$400,0)),AR$2,)</f>
        <v>0</v>
      </c>
      <c r="AS160" s="179">
        <f ca="1">IF(ISNUMBER(MATCH(DATEVALUE($A160),'recurring1_based on steps'!AS$1:AS$400,0)),AS$2,)</f>
        <v>0</v>
      </c>
      <c r="AT160" s="179">
        <f ca="1">IF(ISNUMBER(MATCH(DATEVALUE($A160),'recurring1_based on steps'!AT$1:AT$400,0)),AT$2,)</f>
        <v>0</v>
      </c>
      <c r="AU160" s="179">
        <f ca="1">IF(ISNUMBER(MATCH(DATEVALUE($A160),'recurring1_based on steps'!AU$1:AU$400,0)),AU$2,)</f>
        <v>0</v>
      </c>
      <c r="AV160" s="179">
        <f ca="1">IF(ISNUMBER(MATCH(DATEVALUE($A160),'recurring1_based on steps'!AV$1:AV$400,0)),AV$2,)</f>
        <v>0</v>
      </c>
      <c r="AW160" s="179">
        <f ca="1">IF(ISNUMBER(MATCH(DATEVALUE($A160),'recurring1_based on steps'!AW$1:AW$400,0)),AW$2,)</f>
        <v>0</v>
      </c>
      <c r="AX160" s="179">
        <f ca="1">IF(ISNUMBER(MATCH(DATEVALUE($A160),'recurring1_based on steps'!AX$1:AX$400,0)),AX$2,)</f>
        <v>0</v>
      </c>
      <c r="AY160" s="179">
        <f ca="1">IF(ISNUMBER(MATCH(DATEVALUE($A160),'recurring1_based on steps'!AY$1:AY$400,0)),AY$2,)</f>
        <v>0</v>
      </c>
    </row>
    <row r="161" spans="1:51" x14ac:dyDescent="0.2">
      <c r="A161" s="32" t="str">
        <f t="shared" ca="1" si="2"/>
        <v>2025-09-10</v>
      </c>
      <c r="B161" s="179">
        <f ca="1">IF(ISNUMBER(MATCH(DATEVALUE($A161),'recurring1_based on steps'!B$1:B$400,0)),B$2,)</f>
        <v>0</v>
      </c>
      <c r="C161" s="179">
        <f ca="1">IF(ISNUMBER(MATCH(DATEVALUE($A161),'recurring1_based on steps'!C$1:C$400,0)),C$2,)</f>
        <v>0</v>
      </c>
      <c r="D161" s="179">
        <f ca="1">IF(ISNUMBER(MATCH(DATEVALUE($A161),'recurring1_based on steps'!D$1:D$400,0)),D$2,)</f>
        <v>0</v>
      </c>
      <c r="E161" s="179">
        <f ca="1">IF(ISNUMBER(MATCH(DATEVALUE($A161),'recurring1_based on steps'!E$1:E$400,0)),E$2,)</f>
        <v>0</v>
      </c>
      <c r="F161" s="179">
        <f ca="1">IF(ISNUMBER(MATCH(DATEVALUE($A161),'recurring1_based on steps'!F$1:F$400,0)),F$2,)</f>
        <v>0</v>
      </c>
      <c r="G161" s="179">
        <f ca="1">IF(ISNUMBER(MATCH(DATEVALUE($A161),'recurring1_based on steps'!G$1:G$400,0)),G$2,)</f>
        <v>0</v>
      </c>
      <c r="H161" s="179">
        <f ca="1">IF(ISNUMBER(MATCH(DATEVALUE($A161),'recurring1_based on steps'!H$1:H$400,0)),H$2,)</f>
        <v>0</v>
      </c>
      <c r="I161" s="179">
        <f ca="1">IF(ISNUMBER(MATCH(DATEVALUE($A161),'recurring1_based on steps'!I$1:I$400,0)),I$2,)</f>
        <v>0</v>
      </c>
      <c r="J161" s="179">
        <f ca="1">IF(ISNUMBER(MATCH(DATEVALUE($A161),'recurring1_based on steps'!J$1:J$400,0)),J$2,)</f>
        <v>0</v>
      </c>
      <c r="K161" s="179">
        <f ca="1">IF(ISNUMBER(MATCH(DATEVALUE($A161),'recurring1_based on steps'!K$1:K$400,0)),K$2,)</f>
        <v>0</v>
      </c>
      <c r="L161" s="179">
        <f ca="1">IF(ISNUMBER(MATCH(DATEVALUE($A161),'recurring1_based on steps'!L$1:L$400,0)),L$2,)</f>
        <v>0</v>
      </c>
      <c r="M161" s="179">
        <f ca="1">IF(ISNUMBER(MATCH(DATEVALUE($A161),'recurring1_based on steps'!M$1:M$400,0)),M$2,)</f>
        <v>0</v>
      </c>
      <c r="N161" s="179">
        <f ca="1">IF(ISNUMBER(MATCH(DATEVALUE($A161),'recurring1_based on steps'!N$1:N$400,0)),N$2,)</f>
        <v>0</v>
      </c>
      <c r="O161" s="179">
        <f ca="1">IF(ISNUMBER(MATCH(DATEVALUE($A161),'recurring1_based on steps'!O$1:O$400,0)),O$2,)</f>
        <v>0</v>
      </c>
      <c r="P161" s="179">
        <f ca="1">IF(ISNUMBER(MATCH(DATEVALUE($A161),'recurring1_based on steps'!P$1:P$400,0)),P$2,)</f>
        <v>0</v>
      </c>
      <c r="Q161" s="179">
        <f ca="1">IF(ISNUMBER(MATCH(DATEVALUE($A161),'recurring1_based on steps'!Q$1:Q$400,0)),Q$2,)</f>
        <v>0</v>
      </c>
      <c r="R161" s="179">
        <f ca="1">IF(ISNUMBER(MATCH(DATEVALUE($A161),'recurring1_based on steps'!R$1:R$400,0)),R$2,)</f>
        <v>0</v>
      </c>
      <c r="S161" s="179">
        <f ca="1">IF(ISNUMBER(MATCH(DATEVALUE($A161),'recurring1_based on steps'!S$1:S$400,0)),S$2,)</f>
        <v>0</v>
      </c>
      <c r="T161" s="179">
        <f ca="1">IF(ISNUMBER(MATCH(DATEVALUE($A161),'recurring1_based on steps'!T$1:T$400,0)),T$2,)</f>
        <v>0</v>
      </c>
      <c r="U161" s="179">
        <f ca="1">IF(ISNUMBER(MATCH(DATEVALUE($A161),'recurring1_based on steps'!U$1:U$400,0)),U$2,)</f>
        <v>0</v>
      </c>
      <c r="V161" s="179">
        <f ca="1">IF(ISNUMBER(MATCH(DATEVALUE($A161),'recurring1_based on steps'!V$1:V$400,0)),V$2,)</f>
        <v>0</v>
      </c>
      <c r="W161" s="179">
        <f ca="1">IF(ISNUMBER(MATCH(DATEVALUE($A161),'recurring1_based on steps'!W$1:W$400,0)),W$2,)</f>
        <v>0</v>
      </c>
      <c r="X161" s="179">
        <f ca="1">IF(ISNUMBER(MATCH(DATEVALUE($A161),'recurring1_based on steps'!X$1:X$400,0)),X$2,)</f>
        <v>0</v>
      </c>
      <c r="Y161" s="179">
        <f ca="1">IF(ISNUMBER(MATCH(DATEVALUE($A161),'recurring1_based on steps'!Y$1:Y$400,0)),Y$2,)</f>
        <v>0</v>
      </c>
      <c r="Z161" s="179">
        <f ca="1">IF(ISNUMBER(MATCH(DATEVALUE($A161),'recurring1_based on steps'!Z$1:Z$400,0)),Z$2,)</f>
        <v>0</v>
      </c>
      <c r="AA161" s="179">
        <f ca="1">IF(ISNUMBER(MATCH(DATEVALUE($A161),'recurring1_based on steps'!AA$1:AA$400,0)),AA$2,)</f>
        <v>0</v>
      </c>
      <c r="AB161" s="179">
        <f ca="1">IF(ISNUMBER(MATCH(DATEVALUE($A161),'recurring1_based on steps'!AB$1:AB$400,0)),AB$2,)</f>
        <v>0</v>
      </c>
      <c r="AC161" s="179">
        <f ca="1">IF(ISNUMBER(MATCH(DATEVALUE($A161),'recurring1_based on steps'!AC$1:AC$400,0)),AC$2,)</f>
        <v>0</v>
      </c>
      <c r="AD161" s="179">
        <f ca="1">IF(ISNUMBER(MATCH(DATEVALUE($A161),'recurring1_based on steps'!AD$1:AD$400,0)),AD$2,)</f>
        <v>0</v>
      </c>
      <c r="AE161" s="179">
        <f ca="1">IF(ISNUMBER(MATCH(DATEVALUE($A161),'recurring1_based on steps'!AE$1:AE$400,0)),AE$2,)</f>
        <v>0</v>
      </c>
      <c r="AF161" s="179">
        <f ca="1">IF(ISNUMBER(MATCH(DATEVALUE($A161),'recurring1_based on steps'!AF$1:AF$400,0)),AF$2,)</f>
        <v>0</v>
      </c>
      <c r="AG161" s="179">
        <f ca="1">IF(ISNUMBER(MATCH(DATEVALUE($A161),'recurring1_based on steps'!AG$1:AG$400,0)),AG$2,)</f>
        <v>0</v>
      </c>
      <c r="AH161" s="179">
        <f ca="1">IF(ISNUMBER(MATCH(DATEVALUE($A161),'recurring1_based on steps'!AH$1:AH$400,0)),AH$2,)</f>
        <v>0</v>
      </c>
      <c r="AI161" s="179">
        <f ca="1">IF(ISNUMBER(MATCH(DATEVALUE($A161),'recurring1_based on steps'!AI$1:AI$400,0)),AI$2,)</f>
        <v>0</v>
      </c>
      <c r="AJ161" s="179">
        <f ca="1">IF(ISNUMBER(MATCH(DATEVALUE($A161),'recurring1_based on steps'!AJ$1:AJ$400,0)),AJ$2,)</f>
        <v>0</v>
      </c>
      <c r="AK161" s="179">
        <f ca="1">IF(ISNUMBER(MATCH(DATEVALUE($A161),'recurring1_based on steps'!AK$1:AK$400,0)),AK$2,)</f>
        <v>0</v>
      </c>
      <c r="AL161" s="179">
        <f ca="1">IF(ISNUMBER(MATCH(DATEVALUE($A161),'recurring1_based on steps'!AL$1:AL$400,0)),AL$2,)</f>
        <v>0</v>
      </c>
      <c r="AM161" s="179">
        <f ca="1">IF(ISNUMBER(MATCH(DATEVALUE($A161),'recurring1_based on steps'!AM$1:AM$400,0)),AM$2,)</f>
        <v>0</v>
      </c>
      <c r="AN161" s="179">
        <f ca="1">IF(ISNUMBER(MATCH(DATEVALUE($A161),'recurring1_based on steps'!AN$1:AN$400,0)),AN$2,)</f>
        <v>0</v>
      </c>
      <c r="AO161" s="179">
        <f ca="1">IF(ISNUMBER(MATCH(DATEVALUE($A161),'recurring1_based on steps'!AO$1:AO$400,0)),AO$2,)</f>
        <v>0</v>
      </c>
      <c r="AP161" s="179">
        <f ca="1">IF(ISNUMBER(MATCH(DATEVALUE($A161),'recurring1_based on steps'!AP$1:AP$400,0)),AP$2,)</f>
        <v>0</v>
      </c>
      <c r="AQ161" s="179">
        <f ca="1">IF(ISNUMBER(MATCH(DATEVALUE($A161),'recurring1_based on steps'!AQ$1:AQ$400,0)),AQ$2,)</f>
        <v>0</v>
      </c>
      <c r="AR161" s="179">
        <f ca="1">IF(ISNUMBER(MATCH(DATEVALUE($A161),'recurring1_based on steps'!AR$1:AR$400,0)),AR$2,)</f>
        <v>0</v>
      </c>
      <c r="AS161" s="179">
        <f ca="1">IF(ISNUMBER(MATCH(DATEVALUE($A161),'recurring1_based on steps'!AS$1:AS$400,0)),AS$2,)</f>
        <v>0</v>
      </c>
      <c r="AT161" s="179">
        <f ca="1">IF(ISNUMBER(MATCH(DATEVALUE($A161),'recurring1_based on steps'!AT$1:AT$400,0)),AT$2,)</f>
        <v>0</v>
      </c>
      <c r="AU161" s="179">
        <f ca="1">IF(ISNUMBER(MATCH(DATEVALUE($A161),'recurring1_based on steps'!AU$1:AU$400,0)),AU$2,)</f>
        <v>0</v>
      </c>
      <c r="AV161" s="179">
        <f ca="1">IF(ISNUMBER(MATCH(DATEVALUE($A161),'recurring1_based on steps'!AV$1:AV$400,0)),AV$2,)</f>
        <v>0</v>
      </c>
      <c r="AW161" s="179">
        <f ca="1">IF(ISNUMBER(MATCH(DATEVALUE($A161),'recurring1_based on steps'!AW$1:AW$400,0)),AW$2,)</f>
        <v>0</v>
      </c>
      <c r="AX161" s="179">
        <f ca="1">IF(ISNUMBER(MATCH(DATEVALUE($A161),'recurring1_based on steps'!AX$1:AX$400,0)),AX$2,)</f>
        <v>0</v>
      </c>
      <c r="AY161" s="179">
        <f ca="1">IF(ISNUMBER(MATCH(DATEVALUE($A161),'recurring1_based on steps'!AY$1:AY$400,0)),AY$2,)</f>
        <v>0</v>
      </c>
    </row>
    <row r="162" spans="1:51" x14ac:dyDescent="0.2">
      <c r="A162" s="32" t="str">
        <f t="shared" ca="1" si="2"/>
        <v>2025-09-11</v>
      </c>
      <c r="B162" s="179">
        <f ca="1">IF(ISNUMBER(MATCH(DATEVALUE($A162),'recurring1_based on steps'!B$1:B$400,0)),B$2,)</f>
        <v>0</v>
      </c>
      <c r="C162" s="179">
        <f ca="1">IF(ISNUMBER(MATCH(DATEVALUE($A162),'recurring1_based on steps'!C$1:C$400,0)),C$2,)</f>
        <v>0</v>
      </c>
      <c r="D162" s="179">
        <f ca="1">IF(ISNUMBER(MATCH(DATEVALUE($A162),'recurring1_based on steps'!D$1:D$400,0)),D$2,)</f>
        <v>0</v>
      </c>
      <c r="E162" s="179">
        <f ca="1">IF(ISNUMBER(MATCH(DATEVALUE($A162),'recurring1_based on steps'!E$1:E$400,0)),E$2,)</f>
        <v>0</v>
      </c>
      <c r="F162" s="179">
        <f ca="1">IF(ISNUMBER(MATCH(DATEVALUE($A162),'recurring1_based on steps'!F$1:F$400,0)),F$2,)</f>
        <v>0</v>
      </c>
      <c r="G162" s="179">
        <f ca="1">IF(ISNUMBER(MATCH(DATEVALUE($A162),'recurring1_based on steps'!G$1:G$400,0)),G$2,)</f>
        <v>0</v>
      </c>
      <c r="H162" s="179">
        <f ca="1">IF(ISNUMBER(MATCH(DATEVALUE($A162),'recurring1_based on steps'!H$1:H$400,0)),H$2,)</f>
        <v>0</v>
      </c>
      <c r="I162" s="179">
        <f ca="1">IF(ISNUMBER(MATCH(DATEVALUE($A162),'recurring1_based on steps'!I$1:I$400,0)),I$2,)</f>
        <v>0</v>
      </c>
      <c r="J162" s="179">
        <f ca="1">IF(ISNUMBER(MATCH(DATEVALUE($A162),'recurring1_based on steps'!J$1:J$400,0)),J$2,)</f>
        <v>0</v>
      </c>
      <c r="K162" s="179">
        <f ca="1">IF(ISNUMBER(MATCH(DATEVALUE($A162),'recurring1_based on steps'!K$1:K$400,0)),K$2,)</f>
        <v>0</v>
      </c>
      <c r="L162" s="179">
        <f ca="1">IF(ISNUMBER(MATCH(DATEVALUE($A162),'recurring1_based on steps'!L$1:L$400,0)),L$2,)</f>
        <v>0</v>
      </c>
      <c r="M162" s="179">
        <f ca="1">IF(ISNUMBER(MATCH(DATEVALUE($A162),'recurring1_based on steps'!M$1:M$400,0)),M$2,)</f>
        <v>0</v>
      </c>
      <c r="N162" s="179">
        <f ca="1">IF(ISNUMBER(MATCH(DATEVALUE($A162),'recurring1_based on steps'!N$1:N$400,0)),N$2,)</f>
        <v>0</v>
      </c>
      <c r="O162" s="179">
        <f ca="1">IF(ISNUMBER(MATCH(DATEVALUE($A162),'recurring1_based on steps'!O$1:O$400,0)),O$2,)</f>
        <v>0</v>
      </c>
      <c r="P162" s="179">
        <f ca="1">IF(ISNUMBER(MATCH(DATEVALUE($A162),'recurring1_based on steps'!P$1:P$400,0)),P$2,)</f>
        <v>0</v>
      </c>
      <c r="Q162" s="179">
        <f ca="1">IF(ISNUMBER(MATCH(DATEVALUE($A162),'recurring1_based on steps'!Q$1:Q$400,0)),Q$2,)</f>
        <v>0</v>
      </c>
      <c r="R162" s="179">
        <f ca="1">IF(ISNUMBER(MATCH(DATEVALUE($A162),'recurring1_based on steps'!R$1:R$400,0)),R$2,)</f>
        <v>0</v>
      </c>
      <c r="S162" s="179">
        <f ca="1">IF(ISNUMBER(MATCH(DATEVALUE($A162),'recurring1_based on steps'!S$1:S$400,0)),S$2,)</f>
        <v>0</v>
      </c>
      <c r="T162" s="179">
        <f ca="1">IF(ISNUMBER(MATCH(DATEVALUE($A162),'recurring1_based on steps'!T$1:T$400,0)),T$2,)</f>
        <v>0</v>
      </c>
      <c r="U162" s="179">
        <f ca="1">IF(ISNUMBER(MATCH(DATEVALUE($A162),'recurring1_based on steps'!U$1:U$400,0)),U$2,)</f>
        <v>0</v>
      </c>
      <c r="V162" s="179">
        <f ca="1">IF(ISNUMBER(MATCH(DATEVALUE($A162),'recurring1_based on steps'!V$1:V$400,0)),V$2,)</f>
        <v>0</v>
      </c>
      <c r="W162" s="179">
        <f ca="1">IF(ISNUMBER(MATCH(DATEVALUE($A162),'recurring1_based on steps'!W$1:W$400,0)),W$2,)</f>
        <v>0</v>
      </c>
      <c r="X162" s="179">
        <f ca="1">IF(ISNUMBER(MATCH(DATEVALUE($A162),'recurring1_based on steps'!X$1:X$400,0)),X$2,)</f>
        <v>0</v>
      </c>
      <c r="Y162" s="179">
        <f ca="1">IF(ISNUMBER(MATCH(DATEVALUE($A162),'recurring1_based on steps'!Y$1:Y$400,0)),Y$2,)</f>
        <v>0</v>
      </c>
      <c r="Z162" s="179">
        <f ca="1">IF(ISNUMBER(MATCH(DATEVALUE($A162),'recurring1_based on steps'!Z$1:Z$400,0)),Z$2,)</f>
        <v>0</v>
      </c>
      <c r="AA162" s="179">
        <f ca="1">IF(ISNUMBER(MATCH(DATEVALUE($A162),'recurring1_based on steps'!AA$1:AA$400,0)),AA$2,)</f>
        <v>0</v>
      </c>
      <c r="AB162" s="179">
        <f ca="1">IF(ISNUMBER(MATCH(DATEVALUE($A162),'recurring1_based on steps'!AB$1:AB$400,0)),AB$2,)</f>
        <v>0</v>
      </c>
      <c r="AC162" s="179">
        <f ca="1">IF(ISNUMBER(MATCH(DATEVALUE($A162),'recurring1_based on steps'!AC$1:AC$400,0)),AC$2,)</f>
        <v>0</v>
      </c>
      <c r="AD162" s="179">
        <f ca="1">IF(ISNUMBER(MATCH(DATEVALUE($A162),'recurring1_based on steps'!AD$1:AD$400,0)),AD$2,)</f>
        <v>0</v>
      </c>
      <c r="AE162" s="179">
        <f ca="1">IF(ISNUMBER(MATCH(DATEVALUE($A162),'recurring1_based on steps'!AE$1:AE$400,0)),AE$2,)</f>
        <v>0</v>
      </c>
      <c r="AF162" s="179">
        <f ca="1">IF(ISNUMBER(MATCH(DATEVALUE($A162),'recurring1_based on steps'!AF$1:AF$400,0)),AF$2,)</f>
        <v>0</v>
      </c>
      <c r="AG162" s="179">
        <f ca="1">IF(ISNUMBER(MATCH(DATEVALUE($A162),'recurring1_based on steps'!AG$1:AG$400,0)),AG$2,)</f>
        <v>0</v>
      </c>
      <c r="AH162" s="179">
        <f ca="1">IF(ISNUMBER(MATCH(DATEVALUE($A162),'recurring1_based on steps'!AH$1:AH$400,0)),AH$2,)</f>
        <v>0</v>
      </c>
      <c r="AI162" s="179">
        <f ca="1">IF(ISNUMBER(MATCH(DATEVALUE($A162),'recurring1_based on steps'!AI$1:AI$400,0)),AI$2,)</f>
        <v>0</v>
      </c>
      <c r="AJ162" s="179">
        <f ca="1">IF(ISNUMBER(MATCH(DATEVALUE($A162),'recurring1_based on steps'!AJ$1:AJ$400,0)),AJ$2,)</f>
        <v>0</v>
      </c>
      <c r="AK162" s="179">
        <f ca="1">IF(ISNUMBER(MATCH(DATEVALUE($A162),'recurring1_based on steps'!AK$1:AK$400,0)),AK$2,)</f>
        <v>0</v>
      </c>
      <c r="AL162" s="179">
        <f ca="1">IF(ISNUMBER(MATCH(DATEVALUE($A162),'recurring1_based on steps'!AL$1:AL$400,0)),AL$2,)</f>
        <v>0</v>
      </c>
      <c r="AM162" s="179">
        <f ca="1">IF(ISNUMBER(MATCH(DATEVALUE($A162),'recurring1_based on steps'!AM$1:AM$400,0)),AM$2,)</f>
        <v>0</v>
      </c>
      <c r="AN162" s="179">
        <f ca="1">IF(ISNUMBER(MATCH(DATEVALUE($A162),'recurring1_based on steps'!AN$1:AN$400,0)),AN$2,)</f>
        <v>0</v>
      </c>
      <c r="AO162" s="179">
        <f ca="1">IF(ISNUMBER(MATCH(DATEVALUE($A162),'recurring1_based on steps'!AO$1:AO$400,0)),AO$2,)</f>
        <v>0</v>
      </c>
      <c r="AP162" s="179">
        <f ca="1">IF(ISNUMBER(MATCH(DATEVALUE($A162),'recurring1_based on steps'!AP$1:AP$400,0)),AP$2,)</f>
        <v>0</v>
      </c>
      <c r="AQ162" s="179">
        <f ca="1">IF(ISNUMBER(MATCH(DATEVALUE($A162),'recurring1_based on steps'!AQ$1:AQ$400,0)),AQ$2,)</f>
        <v>0</v>
      </c>
      <c r="AR162" s="179">
        <f ca="1">IF(ISNUMBER(MATCH(DATEVALUE($A162),'recurring1_based on steps'!AR$1:AR$400,0)),AR$2,)</f>
        <v>0</v>
      </c>
      <c r="AS162" s="179">
        <f ca="1">IF(ISNUMBER(MATCH(DATEVALUE($A162),'recurring1_based on steps'!AS$1:AS$400,0)),AS$2,)</f>
        <v>0</v>
      </c>
      <c r="AT162" s="179">
        <f ca="1">IF(ISNUMBER(MATCH(DATEVALUE($A162),'recurring1_based on steps'!AT$1:AT$400,0)),AT$2,)</f>
        <v>0</v>
      </c>
      <c r="AU162" s="179">
        <f ca="1">IF(ISNUMBER(MATCH(DATEVALUE($A162),'recurring1_based on steps'!AU$1:AU$400,0)),AU$2,)</f>
        <v>0</v>
      </c>
      <c r="AV162" s="179">
        <f ca="1">IF(ISNUMBER(MATCH(DATEVALUE($A162),'recurring1_based on steps'!AV$1:AV$400,0)),AV$2,)</f>
        <v>0</v>
      </c>
      <c r="AW162" s="179">
        <f ca="1">IF(ISNUMBER(MATCH(DATEVALUE($A162),'recurring1_based on steps'!AW$1:AW$400,0)),AW$2,)</f>
        <v>0</v>
      </c>
      <c r="AX162" s="179">
        <f ca="1">IF(ISNUMBER(MATCH(DATEVALUE($A162),'recurring1_based on steps'!AX$1:AX$400,0)),AX$2,)</f>
        <v>0</v>
      </c>
      <c r="AY162" s="179">
        <f ca="1">IF(ISNUMBER(MATCH(DATEVALUE($A162),'recurring1_based on steps'!AY$1:AY$400,0)),AY$2,)</f>
        <v>0</v>
      </c>
    </row>
    <row r="163" spans="1:51" x14ac:dyDescent="0.2">
      <c r="A163" s="32" t="str">
        <f t="shared" ca="1" si="2"/>
        <v>2025-09-12</v>
      </c>
      <c r="B163" s="179">
        <f ca="1">IF(ISNUMBER(MATCH(DATEVALUE($A163),'recurring1_based on steps'!B$1:B$400,0)),B$2,)</f>
        <v>0</v>
      </c>
      <c r="C163" s="179">
        <f ca="1">IF(ISNUMBER(MATCH(DATEVALUE($A163),'recurring1_based on steps'!C$1:C$400,0)),C$2,)</f>
        <v>0</v>
      </c>
      <c r="D163" s="179">
        <f ca="1">IF(ISNUMBER(MATCH(DATEVALUE($A163),'recurring1_based on steps'!D$1:D$400,0)),D$2,)</f>
        <v>0</v>
      </c>
      <c r="E163" s="179">
        <f ca="1">IF(ISNUMBER(MATCH(DATEVALUE($A163),'recurring1_based on steps'!E$1:E$400,0)),E$2,)</f>
        <v>0</v>
      </c>
      <c r="F163" s="179">
        <f ca="1">IF(ISNUMBER(MATCH(DATEVALUE($A163),'recurring1_based on steps'!F$1:F$400,0)),F$2,)</f>
        <v>0</v>
      </c>
      <c r="G163" s="179">
        <f ca="1">IF(ISNUMBER(MATCH(DATEVALUE($A163),'recurring1_based on steps'!G$1:G$400,0)),G$2,)</f>
        <v>0</v>
      </c>
      <c r="H163" s="179">
        <f ca="1">IF(ISNUMBER(MATCH(DATEVALUE($A163),'recurring1_based on steps'!H$1:H$400,0)),H$2,)</f>
        <v>0</v>
      </c>
      <c r="I163" s="179">
        <f ca="1">IF(ISNUMBER(MATCH(DATEVALUE($A163),'recurring1_based on steps'!I$1:I$400,0)),I$2,)</f>
        <v>0</v>
      </c>
      <c r="J163" s="179">
        <f ca="1">IF(ISNUMBER(MATCH(DATEVALUE($A163),'recurring1_based on steps'!J$1:J$400,0)),J$2,)</f>
        <v>0</v>
      </c>
      <c r="K163" s="179">
        <f ca="1">IF(ISNUMBER(MATCH(DATEVALUE($A163),'recurring1_based on steps'!K$1:K$400,0)),K$2,)</f>
        <v>0</v>
      </c>
      <c r="L163" s="179">
        <f ca="1">IF(ISNUMBER(MATCH(DATEVALUE($A163),'recurring1_based on steps'!L$1:L$400,0)),L$2,)</f>
        <v>0</v>
      </c>
      <c r="M163" s="179">
        <f ca="1">IF(ISNUMBER(MATCH(DATEVALUE($A163),'recurring1_based on steps'!M$1:M$400,0)),M$2,)</f>
        <v>0</v>
      </c>
      <c r="N163" s="179">
        <f ca="1">IF(ISNUMBER(MATCH(DATEVALUE($A163),'recurring1_based on steps'!N$1:N$400,0)),N$2,)</f>
        <v>0</v>
      </c>
      <c r="O163" s="179">
        <f ca="1">IF(ISNUMBER(MATCH(DATEVALUE($A163),'recurring1_based on steps'!O$1:O$400,0)),O$2,)</f>
        <v>0</v>
      </c>
      <c r="P163" s="179">
        <f ca="1">IF(ISNUMBER(MATCH(DATEVALUE($A163),'recurring1_based on steps'!P$1:P$400,0)),P$2,)</f>
        <v>0</v>
      </c>
      <c r="Q163" s="179">
        <f ca="1">IF(ISNUMBER(MATCH(DATEVALUE($A163),'recurring1_based on steps'!Q$1:Q$400,0)),Q$2,)</f>
        <v>0</v>
      </c>
      <c r="R163" s="179">
        <f ca="1">IF(ISNUMBER(MATCH(DATEVALUE($A163),'recurring1_based on steps'!R$1:R$400,0)),R$2,)</f>
        <v>0</v>
      </c>
      <c r="S163" s="179">
        <f ca="1">IF(ISNUMBER(MATCH(DATEVALUE($A163),'recurring1_based on steps'!S$1:S$400,0)),S$2,)</f>
        <v>0</v>
      </c>
      <c r="T163" s="179">
        <f ca="1">IF(ISNUMBER(MATCH(DATEVALUE($A163),'recurring1_based on steps'!T$1:T$400,0)),T$2,)</f>
        <v>0</v>
      </c>
      <c r="U163" s="179">
        <f ca="1">IF(ISNUMBER(MATCH(DATEVALUE($A163),'recurring1_based on steps'!U$1:U$400,0)),U$2,)</f>
        <v>0</v>
      </c>
      <c r="V163" s="179">
        <f ca="1">IF(ISNUMBER(MATCH(DATEVALUE($A163),'recurring1_based on steps'!V$1:V$400,0)),V$2,)</f>
        <v>0</v>
      </c>
      <c r="W163" s="179">
        <f ca="1">IF(ISNUMBER(MATCH(DATEVALUE($A163),'recurring1_based on steps'!W$1:W$400,0)),W$2,)</f>
        <v>0</v>
      </c>
      <c r="X163" s="179">
        <f ca="1">IF(ISNUMBER(MATCH(DATEVALUE($A163),'recurring1_based on steps'!X$1:X$400,0)),X$2,)</f>
        <v>0</v>
      </c>
      <c r="Y163" s="179">
        <f ca="1">IF(ISNUMBER(MATCH(DATEVALUE($A163),'recurring1_based on steps'!Y$1:Y$400,0)),Y$2,)</f>
        <v>0</v>
      </c>
      <c r="Z163" s="179">
        <f ca="1">IF(ISNUMBER(MATCH(DATEVALUE($A163),'recurring1_based on steps'!Z$1:Z$400,0)),Z$2,)</f>
        <v>0</v>
      </c>
      <c r="AA163" s="179">
        <f ca="1">IF(ISNUMBER(MATCH(DATEVALUE($A163),'recurring1_based on steps'!AA$1:AA$400,0)),AA$2,)</f>
        <v>0</v>
      </c>
      <c r="AB163" s="179">
        <f ca="1">IF(ISNUMBER(MATCH(DATEVALUE($A163),'recurring1_based on steps'!AB$1:AB$400,0)),AB$2,)</f>
        <v>0</v>
      </c>
      <c r="AC163" s="179">
        <f ca="1">IF(ISNUMBER(MATCH(DATEVALUE($A163),'recurring1_based on steps'!AC$1:AC$400,0)),AC$2,)</f>
        <v>0</v>
      </c>
      <c r="AD163" s="179">
        <f ca="1">IF(ISNUMBER(MATCH(DATEVALUE($A163),'recurring1_based on steps'!AD$1:AD$400,0)),AD$2,)</f>
        <v>0</v>
      </c>
      <c r="AE163" s="179">
        <f ca="1">IF(ISNUMBER(MATCH(DATEVALUE($A163),'recurring1_based on steps'!AE$1:AE$400,0)),AE$2,)</f>
        <v>0</v>
      </c>
      <c r="AF163" s="179">
        <f ca="1">IF(ISNUMBER(MATCH(DATEVALUE($A163),'recurring1_based on steps'!AF$1:AF$400,0)),AF$2,)</f>
        <v>0</v>
      </c>
      <c r="AG163" s="179">
        <f ca="1">IF(ISNUMBER(MATCH(DATEVALUE($A163),'recurring1_based on steps'!AG$1:AG$400,0)),AG$2,)</f>
        <v>0</v>
      </c>
      <c r="AH163" s="179">
        <f ca="1">IF(ISNUMBER(MATCH(DATEVALUE($A163),'recurring1_based on steps'!AH$1:AH$400,0)),AH$2,)</f>
        <v>0</v>
      </c>
      <c r="AI163" s="179">
        <f ca="1">IF(ISNUMBER(MATCH(DATEVALUE($A163),'recurring1_based on steps'!AI$1:AI$400,0)),AI$2,)</f>
        <v>0</v>
      </c>
      <c r="AJ163" s="179">
        <f ca="1">IF(ISNUMBER(MATCH(DATEVALUE($A163),'recurring1_based on steps'!AJ$1:AJ$400,0)),AJ$2,)</f>
        <v>0</v>
      </c>
      <c r="AK163" s="179">
        <f ca="1">IF(ISNUMBER(MATCH(DATEVALUE($A163),'recurring1_based on steps'!AK$1:AK$400,0)),AK$2,)</f>
        <v>0</v>
      </c>
      <c r="AL163" s="179">
        <f ca="1">IF(ISNUMBER(MATCH(DATEVALUE($A163),'recurring1_based on steps'!AL$1:AL$400,0)),AL$2,)</f>
        <v>0</v>
      </c>
      <c r="AM163" s="179">
        <f ca="1">IF(ISNUMBER(MATCH(DATEVALUE($A163),'recurring1_based on steps'!AM$1:AM$400,0)),AM$2,)</f>
        <v>0</v>
      </c>
      <c r="AN163" s="179">
        <f ca="1">IF(ISNUMBER(MATCH(DATEVALUE($A163),'recurring1_based on steps'!AN$1:AN$400,0)),AN$2,)</f>
        <v>0</v>
      </c>
      <c r="AO163" s="179">
        <f ca="1">IF(ISNUMBER(MATCH(DATEVALUE($A163),'recurring1_based on steps'!AO$1:AO$400,0)),AO$2,)</f>
        <v>0</v>
      </c>
      <c r="AP163" s="179">
        <f ca="1">IF(ISNUMBER(MATCH(DATEVALUE($A163),'recurring1_based on steps'!AP$1:AP$400,0)),AP$2,)</f>
        <v>0</v>
      </c>
      <c r="AQ163" s="179">
        <f ca="1">IF(ISNUMBER(MATCH(DATEVALUE($A163),'recurring1_based on steps'!AQ$1:AQ$400,0)),AQ$2,)</f>
        <v>0</v>
      </c>
      <c r="AR163" s="179">
        <f ca="1">IF(ISNUMBER(MATCH(DATEVALUE($A163),'recurring1_based on steps'!AR$1:AR$400,0)),AR$2,)</f>
        <v>0</v>
      </c>
      <c r="AS163" s="179">
        <f ca="1">IF(ISNUMBER(MATCH(DATEVALUE($A163),'recurring1_based on steps'!AS$1:AS$400,0)),AS$2,)</f>
        <v>0</v>
      </c>
      <c r="AT163" s="179">
        <f ca="1">IF(ISNUMBER(MATCH(DATEVALUE($A163),'recurring1_based on steps'!AT$1:AT$400,0)),AT$2,)</f>
        <v>0</v>
      </c>
      <c r="AU163" s="179">
        <f ca="1">IF(ISNUMBER(MATCH(DATEVALUE($A163),'recurring1_based on steps'!AU$1:AU$400,0)),AU$2,)</f>
        <v>0</v>
      </c>
      <c r="AV163" s="179">
        <f ca="1">IF(ISNUMBER(MATCH(DATEVALUE($A163),'recurring1_based on steps'!AV$1:AV$400,0)),AV$2,)</f>
        <v>0</v>
      </c>
      <c r="AW163" s="179">
        <f ca="1">IF(ISNUMBER(MATCH(DATEVALUE($A163),'recurring1_based on steps'!AW$1:AW$400,0)),AW$2,)</f>
        <v>0</v>
      </c>
      <c r="AX163" s="179">
        <f ca="1">IF(ISNUMBER(MATCH(DATEVALUE($A163),'recurring1_based on steps'!AX$1:AX$400,0)),AX$2,)</f>
        <v>0</v>
      </c>
      <c r="AY163" s="179">
        <f ca="1">IF(ISNUMBER(MATCH(DATEVALUE($A163),'recurring1_based on steps'!AY$1:AY$400,0)),AY$2,)</f>
        <v>0</v>
      </c>
    </row>
    <row r="164" spans="1:51" x14ac:dyDescent="0.2">
      <c r="A164" s="32" t="str">
        <f t="shared" ca="1" si="2"/>
        <v>2025-09-13</v>
      </c>
      <c r="B164" s="179">
        <f ca="1">IF(ISNUMBER(MATCH(DATEVALUE($A164),'recurring1_based on steps'!B$1:B$400,0)),B$2,)</f>
        <v>0</v>
      </c>
      <c r="C164" s="179">
        <f ca="1">IF(ISNUMBER(MATCH(DATEVALUE($A164),'recurring1_based on steps'!C$1:C$400,0)),C$2,)</f>
        <v>0</v>
      </c>
      <c r="D164" s="179">
        <f ca="1">IF(ISNUMBER(MATCH(DATEVALUE($A164),'recurring1_based on steps'!D$1:D$400,0)),D$2,)</f>
        <v>0</v>
      </c>
      <c r="E164" s="179">
        <f ca="1">IF(ISNUMBER(MATCH(DATEVALUE($A164),'recurring1_based on steps'!E$1:E$400,0)),E$2,)</f>
        <v>0</v>
      </c>
      <c r="F164" s="179">
        <f ca="1">IF(ISNUMBER(MATCH(DATEVALUE($A164),'recurring1_based on steps'!F$1:F$400,0)),F$2,)</f>
        <v>0</v>
      </c>
      <c r="G164" s="179">
        <f ca="1">IF(ISNUMBER(MATCH(DATEVALUE($A164),'recurring1_based on steps'!G$1:G$400,0)),G$2,)</f>
        <v>0</v>
      </c>
      <c r="H164" s="179">
        <f ca="1">IF(ISNUMBER(MATCH(DATEVALUE($A164),'recurring1_based on steps'!H$1:H$400,0)),H$2,)</f>
        <v>0</v>
      </c>
      <c r="I164" s="179">
        <f ca="1">IF(ISNUMBER(MATCH(DATEVALUE($A164),'recurring1_based on steps'!I$1:I$400,0)),I$2,)</f>
        <v>0</v>
      </c>
      <c r="J164" s="179">
        <f ca="1">IF(ISNUMBER(MATCH(DATEVALUE($A164),'recurring1_based on steps'!J$1:J$400,0)),J$2,)</f>
        <v>0</v>
      </c>
      <c r="K164" s="179">
        <f ca="1">IF(ISNUMBER(MATCH(DATEVALUE($A164),'recurring1_based on steps'!K$1:K$400,0)),K$2,)</f>
        <v>0</v>
      </c>
      <c r="L164" s="179">
        <f ca="1">IF(ISNUMBER(MATCH(DATEVALUE($A164),'recurring1_based on steps'!L$1:L$400,0)),L$2,)</f>
        <v>0</v>
      </c>
      <c r="M164" s="179">
        <f ca="1">IF(ISNUMBER(MATCH(DATEVALUE($A164),'recurring1_based on steps'!M$1:M$400,0)),M$2,)</f>
        <v>0</v>
      </c>
      <c r="N164" s="179">
        <f ca="1">IF(ISNUMBER(MATCH(DATEVALUE($A164),'recurring1_based on steps'!N$1:N$400,0)),N$2,)</f>
        <v>0</v>
      </c>
      <c r="O164" s="179">
        <f ca="1">IF(ISNUMBER(MATCH(DATEVALUE($A164),'recurring1_based on steps'!O$1:O$400,0)),O$2,)</f>
        <v>0</v>
      </c>
      <c r="P164" s="179">
        <f ca="1">IF(ISNUMBER(MATCH(DATEVALUE($A164),'recurring1_based on steps'!P$1:P$400,0)),P$2,)</f>
        <v>0</v>
      </c>
      <c r="Q164" s="179">
        <f ca="1">IF(ISNUMBER(MATCH(DATEVALUE($A164),'recurring1_based on steps'!Q$1:Q$400,0)),Q$2,)</f>
        <v>0</v>
      </c>
      <c r="R164" s="179">
        <f ca="1">IF(ISNUMBER(MATCH(DATEVALUE($A164),'recurring1_based on steps'!R$1:R$400,0)),R$2,)</f>
        <v>0</v>
      </c>
      <c r="S164" s="179">
        <f ca="1">IF(ISNUMBER(MATCH(DATEVALUE($A164),'recurring1_based on steps'!S$1:S$400,0)),S$2,)</f>
        <v>0</v>
      </c>
      <c r="T164" s="179">
        <f ca="1">IF(ISNUMBER(MATCH(DATEVALUE($A164),'recurring1_based on steps'!T$1:T$400,0)),T$2,)</f>
        <v>0</v>
      </c>
      <c r="U164" s="179">
        <f ca="1">IF(ISNUMBER(MATCH(DATEVALUE($A164),'recurring1_based on steps'!U$1:U$400,0)),U$2,)</f>
        <v>0</v>
      </c>
      <c r="V164" s="179">
        <f ca="1">IF(ISNUMBER(MATCH(DATEVALUE($A164),'recurring1_based on steps'!V$1:V$400,0)),V$2,)</f>
        <v>0</v>
      </c>
      <c r="W164" s="179">
        <f ca="1">IF(ISNUMBER(MATCH(DATEVALUE($A164),'recurring1_based on steps'!W$1:W$400,0)),W$2,)</f>
        <v>0</v>
      </c>
      <c r="X164" s="179">
        <f ca="1">IF(ISNUMBER(MATCH(DATEVALUE($A164),'recurring1_based on steps'!X$1:X$400,0)),X$2,)</f>
        <v>0</v>
      </c>
      <c r="Y164" s="179">
        <f ca="1">IF(ISNUMBER(MATCH(DATEVALUE($A164),'recurring1_based on steps'!Y$1:Y$400,0)),Y$2,)</f>
        <v>0</v>
      </c>
      <c r="Z164" s="179">
        <f ca="1">IF(ISNUMBER(MATCH(DATEVALUE($A164),'recurring1_based on steps'!Z$1:Z$400,0)),Z$2,)</f>
        <v>0</v>
      </c>
      <c r="AA164" s="179">
        <f ca="1">IF(ISNUMBER(MATCH(DATEVALUE($A164),'recurring1_based on steps'!AA$1:AA$400,0)),AA$2,)</f>
        <v>0</v>
      </c>
      <c r="AB164" s="179">
        <f ca="1">IF(ISNUMBER(MATCH(DATEVALUE($A164),'recurring1_based on steps'!AB$1:AB$400,0)),AB$2,)</f>
        <v>0</v>
      </c>
      <c r="AC164" s="179">
        <f ca="1">IF(ISNUMBER(MATCH(DATEVALUE($A164),'recurring1_based on steps'!AC$1:AC$400,0)),AC$2,)</f>
        <v>0</v>
      </c>
      <c r="AD164" s="179">
        <f ca="1">IF(ISNUMBER(MATCH(DATEVALUE($A164),'recurring1_based on steps'!AD$1:AD$400,0)),AD$2,)</f>
        <v>0</v>
      </c>
      <c r="AE164" s="179">
        <f ca="1">IF(ISNUMBER(MATCH(DATEVALUE($A164),'recurring1_based on steps'!AE$1:AE$400,0)),AE$2,)</f>
        <v>0</v>
      </c>
      <c r="AF164" s="179">
        <f ca="1">IF(ISNUMBER(MATCH(DATEVALUE($A164),'recurring1_based on steps'!AF$1:AF$400,0)),AF$2,)</f>
        <v>0</v>
      </c>
      <c r="AG164" s="179">
        <f ca="1">IF(ISNUMBER(MATCH(DATEVALUE($A164),'recurring1_based on steps'!AG$1:AG$400,0)),AG$2,)</f>
        <v>0</v>
      </c>
      <c r="AH164" s="179">
        <f ca="1">IF(ISNUMBER(MATCH(DATEVALUE($A164),'recurring1_based on steps'!AH$1:AH$400,0)),AH$2,)</f>
        <v>0</v>
      </c>
      <c r="AI164" s="179">
        <f ca="1">IF(ISNUMBER(MATCH(DATEVALUE($A164),'recurring1_based on steps'!AI$1:AI$400,0)),AI$2,)</f>
        <v>0</v>
      </c>
      <c r="AJ164" s="179">
        <f ca="1">IF(ISNUMBER(MATCH(DATEVALUE($A164),'recurring1_based on steps'!AJ$1:AJ$400,0)),AJ$2,)</f>
        <v>0</v>
      </c>
      <c r="AK164" s="179">
        <f ca="1">IF(ISNUMBER(MATCH(DATEVALUE($A164),'recurring1_based on steps'!AK$1:AK$400,0)),AK$2,)</f>
        <v>0</v>
      </c>
      <c r="AL164" s="179">
        <f ca="1">IF(ISNUMBER(MATCH(DATEVALUE($A164),'recurring1_based on steps'!AL$1:AL$400,0)),AL$2,)</f>
        <v>0</v>
      </c>
      <c r="AM164" s="179">
        <f ca="1">IF(ISNUMBER(MATCH(DATEVALUE($A164),'recurring1_based on steps'!AM$1:AM$400,0)),AM$2,)</f>
        <v>0</v>
      </c>
      <c r="AN164" s="179">
        <f ca="1">IF(ISNUMBER(MATCH(DATEVALUE($A164),'recurring1_based on steps'!AN$1:AN$400,0)),AN$2,)</f>
        <v>0</v>
      </c>
      <c r="AO164" s="179">
        <f ca="1">IF(ISNUMBER(MATCH(DATEVALUE($A164),'recurring1_based on steps'!AO$1:AO$400,0)),AO$2,)</f>
        <v>0</v>
      </c>
      <c r="AP164" s="179">
        <f ca="1">IF(ISNUMBER(MATCH(DATEVALUE($A164),'recurring1_based on steps'!AP$1:AP$400,0)),AP$2,)</f>
        <v>0</v>
      </c>
      <c r="AQ164" s="179">
        <f ca="1">IF(ISNUMBER(MATCH(DATEVALUE($A164),'recurring1_based on steps'!AQ$1:AQ$400,0)),AQ$2,)</f>
        <v>0</v>
      </c>
      <c r="AR164" s="179">
        <f ca="1">IF(ISNUMBER(MATCH(DATEVALUE($A164),'recurring1_based on steps'!AR$1:AR$400,0)),AR$2,)</f>
        <v>0</v>
      </c>
      <c r="AS164" s="179">
        <f ca="1">IF(ISNUMBER(MATCH(DATEVALUE($A164),'recurring1_based on steps'!AS$1:AS$400,0)),AS$2,)</f>
        <v>0</v>
      </c>
      <c r="AT164" s="179">
        <f ca="1">IF(ISNUMBER(MATCH(DATEVALUE($A164),'recurring1_based on steps'!AT$1:AT$400,0)),AT$2,)</f>
        <v>0</v>
      </c>
      <c r="AU164" s="179">
        <f ca="1">IF(ISNUMBER(MATCH(DATEVALUE($A164),'recurring1_based on steps'!AU$1:AU$400,0)),AU$2,)</f>
        <v>0</v>
      </c>
      <c r="AV164" s="179">
        <f ca="1">IF(ISNUMBER(MATCH(DATEVALUE($A164),'recurring1_based on steps'!AV$1:AV$400,0)),AV$2,)</f>
        <v>0</v>
      </c>
      <c r="AW164" s="179">
        <f ca="1">IF(ISNUMBER(MATCH(DATEVALUE($A164),'recurring1_based on steps'!AW$1:AW$400,0)),AW$2,)</f>
        <v>0</v>
      </c>
      <c r="AX164" s="179">
        <f ca="1">IF(ISNUMBER(MATCH(DATEVALUE($A164),'recurring1_based on steps'!AX$1:AX$400,0)),AX$2,)</f>
        <v>0</v>
      </c>
      <c r="AY164" s="179">
        <f ca="1">IF(ISNUMBER(MATCH(DATEVALUE($A164),'recurring1_based on steps'!AY$1:AY$400,0)),AY$2,)</f>
        <v>0</v>
      </c>
    </row>
    <row r="165" spans="1:51" x14ac:dyDescent="0.2">
      <c r="A165" s="32" t="str">
        <f t="shared" ca="1" si="2"/>
        <v>2025-09-14</v>
      </c>
      <c r="B165" s="179">
        <f ca="1">IF(ISNUMBER(MATCH(DATEVALUE($A165),'recurring1_based on steps'!B$1:B$400,0)),B$2,)</f>
        <v>0</v>
      </c>
      <c r="C165" s="179">
        <f ca="1">IF(ISNUMBER(MATCH(DATEVALUE($A165),'recurring1_based on steps'!C$1:C$400,0)),C$2,)</f>
        <v>0</v>
      </c>
      <c r="D165" s="179">
        <f ca="1">IF(ISNUMBER(MATCH(DATEVALUE($A165),'recurring1_based on steps'!D$1:D$400,0)),D$2,)</f>
        <v>0</v>
      </c>
      <c r="E165" s="179">
        <f ca="1">IF(ISNUMBER(MATCH(DATEVALUE($A165),'recurring1_based on steps'!E$1:E$400,0)),E$2,)</f>
        <v>0</v>
      </c>
      <c r="F165" s="179">
        <f ca="1">IF(ISNUMBER(MATCH(DATEVALUE($A165),'recurring1_based on steps'!F$1:F$400,0)),F$2,)</f>
        <v>0</v>
      </c>
      <c r="G165" s="179">
        <f ca="1">IF(ISNUMBER(MATCH(DATEVALUE($A165),'recurring1_based on steps'!G$1:G$400,0)),G$2,)</f>
        <v>0</v>
      </c>
      <c r="H165" s="179">
        <f ca="1">IF(ISNUMBER(MATCH(DATEVALUE($A165),'recurring1_based on steps'!H$1:H$400,0)),H$2,)</f>
        <v>0</v>
      </c>
      <c r="I165" s="179">
        <f ca="1">IF(ISNUMBER(MATCH(DATEVALUE($A165),'recurring1_based on steps'!I$1:I$400,0)),I$2,)</f>
        <v>0</v>
      </c>
      <c r="J165" s="179">
        <f ca="1">IF(ISNUMBER(MATCH(DATEVALUE($A165),'recurring1_based on steps'!J$1:J$400,0)),J$2,)</f>
        <v>0</v>
      </c>
      <c r="K165" s="179">
        <f ca="1">IF(ISNUMBER(MATCH(DATEVALUE($A165),'recurring1_based on steps'!K$1:K$400,0)),K$2,)</f>
        <v>0</v>
      </c>
      <c r="L165" s="179">
        <f ca="1">IF(ISNUMBER(MATCH(DATEVALUE($A165),'recurring1_based on steps'!L$1:L$400,0)),L$2,)</f>
        <v>0</v>
      </c>
      <c r="M165" s="179">
        <f ca="1">IF(ISNUMBER(MATCH(DATEVALUE($A165),'recurring1_based on steps'!M$1:M$400,0)),M$2,)</f>
        <v>0</v>
      </c>
      <c r="N165" s="179">
        <f ca="1">IF(ISNUMBER(MATCH(DATEVALUE($A165),'recurring1_based on steps'!N$1:N$400,0)),N$2,)</f>
        <v>0</v>
      </c>
      <c r="O165" s="179">
        <f ca="1">IF(ISNUMBER(MATCH(DATEVALUE($A165),'recurring1_based on steps'!O$1:O$400,0)),O$2,)</f>
        <v>0</v>
      </c>
      <c r="P165" s="179">
        <f ca="1">IF(ISNUMBER(MATCH(DATEVALUE($A165),'recurring1_based on steps'!P$1:P$400,0)),P$2,)</f>
        <v>0</v>
      </c>
      <c r="Q165" s="179">
        <f ca="1">IF(ISNUMBER(MATCH(DATEVALUE($A165),'recurring1_based on steps'!Q$1:Q$400,0)),Q$2,)</f>
        <v>0</v>
      </c>
      <c r="R165" s="179">
        <f ca="1">IF(ISNUMBER(MATCH(DATEVALUE($A165),'recurring1_based on steps'!R$1:R$400,0)),R$2,)</f>
        <v>0</v>
      </c>
      <c r="S165" s="179">
        <f ca="1">IF(ISNUMBER(MATCH(DATEVALUE($A165),'recurring1_based on steps'!S$1:S$400,0)),S$2,)</f>
        <v>0</v>
      </c>
      <c r="T165" s="179">
        <f ca="1">IF(ISNUMBER(MATCH(DATEVALUE($A165),'recurring1_based on steps'!T$1:T$400,0)),T$2,)</f>
        <v>0</v>
      </c>
      <c r="U165" s="179">
        <f ca="1">IF(ISNUMBER(MATCH(DATEVALUE($A165),'recurring1_based on steps'!U$1:U$400,0)),U$2,)</f>
        <v>0</v>
      </c>
      <c r="V165" s="179">
        <f ca="1">IF(ISNUMBER(MATCH(DATEVALUE($A165),'recurring1_based on steps'!V$1:V$400,0)),V$2,)</f>
        <v>0</v>
      </c>
      <c r="W165" s="179">
        <f ca="1">IF(ISNUMBER(MATCH(DATEVALUE($A165),'recurring1_based on steps'!W$1:W$400,0)),W$2,)</f>
        <v>0</v>
      </c>
      <c r="X165" s="179">
        <f ca="1">IF(ISNUMBER(MATCH(DATEVALUE($A165),'recurring1_based on steps'!X$1:X$400,0)),X$2,)</f>
        <v>0</v>
      </c>
      <c r="Y165" s="179">
        <f ca="1">IF(ISNUMBER(MATCH(DATEVALUE($A165),'recurring1_based on steps'!Y$1:Y$400,0)),Y$2,)</f>
        <v>0</v>
      </c>
      <c r="Z165" s="179">
        <f ca="1">IF(ISNUMBER(MATCH(DATEVALUE($A165),'recurring1_based on steps'!Z$1:Z$400,0)),Z$2,)</f>
        <v>0</v>
      </c>
      <c r="AA165" s="179">
        <f ca="1">IF(ISNUMBER(MATCH(DATEVALUE($A165),'recurring1_based on steps'!AA$1:AA$400,0)),AA$2,)</f>
        <v>0</v>
      </c>
      <c r="AB165" s="179">
        <f ca="1">IF(ISNUMBER(MATCH(DATEVALUE($A165),'recurring1_based on steps'!AB$1:AB$400,0)),AB$2,)</f>
        <v>0</v>
      </c>
      <c r="AC165" s="179">
        <f ca="1">IF(ISNUMBER(MATCH(DATEVALUE($A165),'recurring1_based on steps'!AC$1:AC$400,0)),AC$2,)</f>
        <v>0</v>
      </c>
      <c r="AD165" s="179">
        <f ca="1">IF(ISNUMBER(MATCH(DATEVALUE($A165),'recurring1_based on steps'!AD$1:AD$400,0)),AD$2,)</f>
        <v>0</v>
      </c>
      <c r="AE165" s="179">
        <f ca="1">IF(ISNUMBER(MATCH(DATEVALUE($A165),'recurring1_based on steps'!AE$1:AE$400,0)),AE$2,)</f>
        <v>0</v>
      </c>
      <c r="AF165" s="179">
        <f ca="1">IF(ISNUMBER(MATCH(DATEVALUE($A165),'recurring1_based on steps'!AF$1:AF$400,0)),AF$2,)</f>
        <v>0</v>
      </c>
      <c r="AG165" s="179">
        <f ca="1">IF(ISNUMBER(MATCH(DATEVALUE($A165),'recurring1_based on steps'!AG$1:AG$400,0)),AG$2,)</f>
        <v>0</v>
      </c>
      <c r="AH165" s="179">
        <f ca="1">IF(ISNUMBER(MATCH(DATEVALUE($A165),'recurring1_based on steps'!AH$1:AH$400,0)),AH$2,)</f>
        <v>0</v>
      </c>
      <c r="AI165" s="179">
        <f ca="1">IF(ISNUMBER(MATCH(DATEVALUE($A165),'recurring1_based on steps'!AI$1:AI$400,0)),AI$2,)</f>
        <v>0</v>
      </c>
      <c r="AJ165" s="179">
        <f ca="1">IF(ISNUMBER(MATCH(DATEVALUE($A165),'recurring1_based on steps'!AJ$1:AJ$400,0)),AJ$2,)</f>
        <v>0</v>
      </c>
      <c r="AK165" s="179">
        <f ca="1">IF(ISNUMBER(MATCH(DATEVALUE($A165),'recurring1_based on steps'!AK$1:AK$400,0)),AK$2,)</f>
        <v>0</v>
      </c>
      <c r="AL165" s="179">
        <f ca="1">IF(ISNUMBER(MATCH(DATEVALUE($A165),'recurring1_based on steps'!AL$1:AL$400,0)),AL$2,)</f>
        <v>0</v>
      </c>
      <c r="AM165" s="179">
        <f ca="1">IF(ISNUMBER(MATCH(DATEVALUE($A165),'recurring1_based on steps'!AM$1:AM$400,0)),AM$2,)</f>
        <v>0</v>
      </c>
      <c r="AN165" s="179">
        <f ca="1">IF(ISNUMBER(MATCH(DATEVALUE($A165),'recurring1_based on steps'!AN$1:AN$400,0)),AN$2,)</f>
        <v>0</v>
      </c>
      <c r="AO165" s="179">
        <f ca="1">IF(ISNUMBER(MATCH(DATEVALUE($A165),'recurring1_based on steps'!AO$1:AO$400,0)),AO$2,)</f>
        <v>0</v>
      </c>
      <c r="AP165" s="179">
        <f ca="1">IF(ISNUMBER(MATCH(DATEVALUE($A165),'recurring1_based on steps'!AP$1:AP$400,0)),AP$2,)</f>
        <v>0</v>
      </c>
      <c r="AQ165" s="179">
        <f ca="1">IF(ISNUMBER(MATCH(DATEVALUE($A165),'recurring1_based on steps'!AQ$1:AQ$400,0)),AQ$2,)</f>
        <v>0</v>
      </c>
      <c r="AR165" s="179">
        <f ca="1">IF(ISNUMBER(MATCH(DATEVALUE($A165),'recurring1_based on steps'!AR$1:AR$400,0)),AR$2,)</f>
        <v>0</v>
      </c>
      <c r="AS165" s="179">
        <f ca="1">IF(ISNUMBER(MATCH(DATEVALUE($A165),'recurring1_based on steps'!AS$1:AS$400,0)),AS$2,)</f>
        <v>0</v>
      </c>
      <c r="AT165" s="179">
        <f ca="1">IF(ISNUMBER(MATCH(DATEVALUE($A165),'recurring1_based on steps'!AT$1:AT$400,0)),AT$2,)</f>
        <v>0</v>
      </c>
      <c r="AU165" s="179">
        <f ca="1">IF(ISNUMBER(MATCH(DATEVALUE($A165),'recurring1_based on steps'!AU$1:AU$400,0)),AU$2,)</f>
        <v>0</v>
      </c>
      <c r="AV165" s="179">
        <f ca="1">IF(ISNUMBER(MATCH(DATEVALUE($A165),'recurring1_based on steps'!AV$1:AV$400,0)),AV$2,)</f>
        <v>0</v>
      </c>
      <c r="AW165" s="179">
        <f ca="1">IF(ISNUMBER(MATCH(DATEVALUE($A165),'recurring1_based on steps'!AW$1:AW$400,0)),AW$2,)</f>
        <v>0</v>
      </c>
      <c r="AX165" s="179">
        <f ca="1">IF(ISNUMBER(MATCH(DATEVALUE($A165),'recurring1_based on steps'!AX$1:AX$400,0)),AX$2,)</f>
        <v>0</v>
      </c>
      <c r="AY165" s="179">
        <f ca="1">IF(ISNUMBER(MATCH(DATEVALUE($A165),'recurring1_based on steps'!AY$1:AY$400,0)),AY$2,)</f>
        <v>0</v>
      </c>
    </row>
    <row r="166" spans="1:51" x14ac:dyDescent="0.2">
      <c r="A166" s="32" t="str">
        <f t="shared" ca="1" si="2"/>
        <v>2025-09-15</v>
      </c>
      <c r="B166" s="179">
        <f ca="1">IF(ISNUMBER(MATCH(DATEVALUE($A166),'recurring1_based on steps'!B$1:B$400,0)),B$2,)</f>
        <v>0</v>
      </c>
      <c r="C166" s="179">
        <f ca="1">IF(ISNUMBER(MATCH(DATEVALUE($A166),'recurring1_based on steps'!C$1:C$400,0)),C$2,)</f>
        <v>0</v>
      </c>
      <c r="D166" s="179">
        <f ca="1">IF(ISNUMBER(MATCH(DATEVALUE($A166),'recurring1_based on steps'!D$1:D$400,0)),D$2,)</f>
        <v>0</v>
      </c>
      <c r="E166" s="179">
        <f ca="1">IF(ISNUMBER(MATCH(DATEVALUE($A166),'recurring1_based on steps'!E$1:E$400,0)),E$2,)</f>
        <v>0</v>
      </c>
      <c r="F166" s="179">
        <f ca="1">IF(ISNUMBER(MATCH(DATEVALUE($A166),'recurring1_based on steps'!F$1:F$400,0)),F$2,)</f>
        <v>0</v>
      </c>
      <c r="G166" s="179">
        <f ca="1">IF(ISNUMBER(MATCH(DATEVALUE($A166),'recurring1_based on steps'!G$1:G$400,0)),G$2,)</f>
        <v>0</v>
      </c>
      <c r="H166" s="179">
        <f ca="1">IF(ISNUMBER(MATCH(DATEVALUE($A166),'recurring1_based on steps'!H$1:H$400,0)),H$2,)</f>
        <v>0</v>
      </c>
      <c r="I166" s="179">
        <f ca="1">IF(ISNUMBER(MATCH(DATEVALUE($A166),'recurring1_based on steps'!I$1:I$400,0)),I$2,)</f>
        <v>0</v>
      </c>
      <c r="J166" s="179">
        <f ca="1">IF(ISNUMBER(MATCH(DATEVALUE($A166),'recurring1_based on steps'!J$1:J$400,0)),J$2,)</f>
        <v>0</v>
      </c>
      <c r="K166" s="179">
        <f ca="1">IF(ISNUMBER(MATCH(DATEVALUE($A166),'recurring1_based on steps'!K$1:K$400,0)),K$2,)</f>
        <v>0</v>
      </c>
      <c r="L166" s="179">
        <f ca="1">IF(ISNUMBER(MATCH(DATEVALUE($A166),'recurring1_based on steps'!L$1:L$400,0)),L$2,)</f>
        <v>0</v>
      </c>
      <c r="M166" s="179">
        <f ca="1">IF(ISNUMBER(MATCH(DATEVALUE($A166),'recurring1_based on steps'!M$1:M$400,0)),M$2,)</f>
        <v>0</v>
      </c>
      <c r="N166" s="179">
        <f ca="1">IF(ISNUMBER(MATCH(DATEVALUE($A166),'recurring1_based on steps'!N$1:N$400,0)),N$2,)</f>
        <v>0</v>
      </c>
      <c r="O166" s="179">
        <f ca="1">IF(ISNUMBER(MATCH(DATEVALUE($A166),'recurring1_based on steps'!O$1:O$400,0)),O$2,)</f>
        <v>0</v>
      </c>
      <c r="P166" s="179">
        <f ca="1">IF(ISNUMBER(MATCH(DATEVALUE($A166),'recurring1_based on steps'!P$1:P$400,0)),P$2,)</f>
        <v>0</v>
      </c>
      <c r="Q166" s="179">
        <f ca="1">IF(ISNUMBER(MATCH(DATEVALUE($A166),'recurring1_based on steps'!Q$1:Q$400,0)),Q$2,)</f>
        <v>0</v>
      </c>
      <c r="R166" s="179">
        <f ca="1">IF(ISNUMBER(MATCH(DATEVALUE($A166),'recurring1_based on steps'!R$1:R$400,0)),R$2,)</f>
        <v>0</v>
      </c>
      <c r="S166" s="179">
        <f ca="1">IF(ISNUMBER(MATCH(DATEVALUE($A166),'recurring1_based on steps'!S$1:S$400,0)),S$2,)</f>
        <v>0</v>
      </c>
      <c r="T166" s="179">
        <f ca="1">IF(ISNUMBER(MATCH(DATEVALUE($A166),'recurring1_based on steps'!T$1:T$400,0)),T$2,)</f>
        <v>0</v>
      </c>
      <c r="U166" s="179">
        <f ca="1">IF(ISNUMBER(MATCH(DATEVALUE($A166),'recurring1_based on steps'!U$1:U$400,0)),U$2,)</f>
        <v>0</v>
      </c>
      <c r="V166" s="179">
        <f ca="1">IF(ISNUMBER(MATCH(DATEVALUE($A166),'recurring1_based on steps'!V$1:V$400,0)),V$2,)</f>
        <v>0</v>
      </c>
      <c r="W166" s="179">
        <f ca="1">IF(ISNUMBER(MATCH(DATEVALUE($A166),'recurring1_based on steps'!W$1:W$400,0)),W$2,)</f>
        <v>0</v>
      </c>
      <c r="X166" s="179">
        <f ca="1">IF(ISNUMBER(MATCH(DATEVALUE($A166),'recurring1_based on steps'!X$1:X$400,0)),X$2,)</f>
        <v>0</v>
      </c>
      <c r="Y166" s="179">
        <f ca="1">IF(ISNUMBER(MATCH(DATEVALUE($A166),'recurring1_based on steps'!Y$1:Y$400,0)),Y$2,)</f>
        <v>0</v>
      </c>
      <c r="Z166" s="179">
        <f ca="1">IF(ISNUMBER(MATCH(DATEVALUE($A166),'recurring1_based on steps'!Z$1:Z$400,0)),Z$2,)</f>
        <v>0</v>
      </c>
      <c r="AA166" s="179">
        <f ca="1">IF(ISNUMBER(MATCH(DATEVALUE($A166),'recurring1_based on steps'!AA$1:AA$400,0)),AA$2,)</f>
        <v>0</v>
      </c>
      <c r="AB166" s="179">
        <f ca="1">IF(ISNUMBER(MATCH(DATEVALUE($A166),'recurring1_based on steps'!AB$1:AB$400,0)),AB$2,)</f>
        <v>0</v>
      </c>
      <c r="AC166" s="179">
        <f ca="1">IF(ISNUMBER(MATCH(DATEVALUE($A166),'recurring1_based on steps'!AC$1:AC$400,0)),AC$2,)</f>
        <v>0</v>
      </c>
      <c r="AD166" s="179">
        <f ca="1">IF(ISNUMBER(MATCH(DATEVALUE($A166),'recurring1_based on steps'!AD$1:AD$400,0)),AD$2,)</f>
        <v>0</v>
      </c>
      <c r="AE166" s="179">
        <f ca="1">IF(ISNUMBER(MATCH(DATEVALUE($A166),'recurring1_based on steps'!AE$1:AE$400,0)),AE$2,)</f>
        <v>0</v>
      </c>
      <c r="AF166" s="179">
        <f ca="1">IF(ISNUMBER(MATCH(DATEVALUE($A166),'recurring1_based on steps'!AF$1:AF$400,0)),AF$2,)</f>
        <v>0</v>
      </c>
      <c r="AG166" s="179">
        <f ca="1">IF(ISNUMBER(MATCH(DATEVALUE($A166),'recurring1_based on steps'!AG$1:AG$400,0)),AG$2,)</f>
        <v>0</v>
      </c>
      <c r="AH166" s="179">
        <f ca="1">IF(ISNUMBER(MATCH(DATEVALUE($A166),'recurring1_based on steps'!AH$1:AH$400,0)),AH$2,)</f>
        <v>0</v>
      </c>
      <c r="AI166" s="179">
        <f ca="1">IF(ISNUMBER(MATCH(DATEVALUE($A166),'recurring1_based on steps'!AI$1:AI$400,0)),AI$2,)</f>
        <v>0</v>
      </c>
      <c r="AJ166" s="179">
        <f ca="1">IF(ISNUMBER(MATCH(DATEVALUE($A166),'recurring1_based on steps'!AJ$1:AJ$400,0)),AJ$2,)</f>
        <v>0</v>
      </c>
      <c r="AK166" s="179">
        <f ca="1">IF(ISNUMBER(MATCH(DATEVALUE($A166),'recurring1_based on steps'!AK$1:AK$400,0)),AK$2,)</f>
        <v>0</v>
      </c>
      <c r="AL166" s="179">
        <f ca="1">IF(ISNUMBER(MATCH(DATEVALUE($A166),'recurring1_based on steps'!AL$1:AL$400,0)),AL$2,)</f>
        <v>0</v>
      </c>
      <c r="AM166" s="179">
        <f ca="1">IF(ISNUMBER(MATCH(DATEVALUE($A166),'recurring1_based on steps'!AM$1:AM$400,0)),AM$2,)</f>
        <v>0</v>
      </c>
      <c r="AN166" s="179">
        <f ca="1">IF(ISNUMBER(MATCH(DATEVALUE($A166),'recurring1_based on steps'!AN$1:AN$400,0)),AN$2,)</f>
        <v>0</v>
      </c>
      <c r="AO166" s="179">
        <f ca="1">IF(ISNUMBER(MATCH(DATEVALUE($A166),'recurring1_based on steps'!AO$1:AO$400,0)),AO$2,)</f>
        <v>0</v>
      </c>
      <c r="AP166" s="179">
        <f ca="1">IF(ISNUMBER(MATCH(DATEVALUE($A166),'recurring1_based on steps'!AP$1:AP$400,0)),AP$2,)</f>
        <v>0</v>
      </c>
      <c r="AQ166" s="179">
        <f ca="1">IF(ISNUMBER(MATCH(DATEVALUE($A166),'recurring1_based on steps'!AQ$1:AQ$400,0)),AQ$2,)</f>
        <v>0</v>
      </c>
      <c r="AR166" s="179">
        <f ca="1">IF(ISNUMBER(MATCH(DATEVALUE($A166),'recurring1_based on steps'!AR$1:AR$400,0)),AR$2,)</f>
        <v>0</v>
      </c>
      <c r="AS166" s="179">
        <f ca="1">IF(ISNUMBER(MATCH(DATEVALUE($A166),'recurring1_based on steps'!AS$1:AS$400,0)),AS$2,)</f>
        <v>0</v>
      </c>
      <c r="AT166" s="179">
        <f ca="1">IF(ISNUMBER(MATCH(DATEVALUE($A166),'recurring1_based on steps'!AT$1:AT$400,0)),AT$2,)</f>
        <v>0</v>
      </c>
      <c r="AU166" s="179">
        <f ca="1">IF(ISNUMBER(MATCH(DATEVALUE($A166),'recurring1_based on steps'!AU$1:AU$400,0)),AU$2,)</f>
        <v>0</v>
      </c>
      <c r="AV166" s="179">
        <f ca="1">IF(ISNUMBER(MATCH(DATEVALUE($A166),'recurring1_based on steps'!AV$1:AV$400,0)),AV$2,)</f>
        <v>0</v>
      </c>
      <c r="AW166" s="179">
        <f ca="1">IF(ISNUMBER(MATCH(DATEVALUE($A166),'recurring1_based on steps'!AW$1:AW$400,0)),AW$2,)</f>
        <v>0</v>
      </c>
      <c r="AX166" s="179">
        <f ca="1">IF(ISNUMBER(MATCH(DATEVALUE($A166),'recurring1_based on steps'!AX$1:AX$400,0)),AX$2,)</f>
        <v>0</v>
      </c>
      <c r="AY166" s="179">
        <f ca="1">IF(ISNUMBER(MATCH(DATEVALUE($A166),'recurring1_based on steps'!AY$1:AY$400,0)),AY$2,)</f>
        <v>0</v>
      </c>
    </row>
    <row r="167" spans="1:51" x14ac:dyDescent="0.2">
      <c r="A167" s="32" t="str">
        <f t="shared" ca="1" si="2"/>
        <v>2025-09-16</v>
      </c>
      <c r="B167" s="179">
        <f ca="1">IF(ISNUMBER(MATCH(DATEVALUE($A167),'recurring1_based on steps'!B$1:B$400,0)),B$2,)</f>
        <v>0</v>
      </c>
      <c r="C167" s="179">
        <f ca="1">IF(ISNUMBER(MATCH(DATEVALUE($A167),'recurring1_based on steps'!C$1:C$400,0)),C$2,)</f>
        <v>0</v>
      </c>
      <c r="D167" s="179">
        <f ca="1">IF(ISNUMBER(MATCH(DATEVALUE($A167),'recurring1_based on steps'!D$1:D$400,0)),D$2,)</f>
        <v>0</v>
      </c>
      <c r="E167" s="179">
        <f ca="1">IF(ISNUMBER(MATCH(DATEVALUE($A167),'recurring1_based on steps'!E$1:E$400,0)),E$2,)</f>
        <v>0</v>
      </c>
      <c r="F167" s="179">
        <f ca="1">IF(ISNUMBER(MATCH(DATEVALUE($A167),'recurring1_based on steps'!F$1:F$400,0)),F$2,)</f>
        <v>0</v>
      </c>
      <c r="G167" s="179">
        <f ca="1">IF(ISNUMBER(MATCH(DATEVALUE($A167),'recurring1_based on steps'!G$1:G$400,0)),G$2,)</f>
        <v>0</v>
      </c>
      <c r="H167" s="179">
        <f ca="1">IF(ISNUMBER(MATCH(DATEVALUE($A167),'recurring1_based on steps'!H$1:H$400,0)),H$2,)</f>
        <v>0</v>
      </c>
      <c r="I167" s="179">
        <f ca="1">IF(ISNUMBER(MATCH(DATEVALUE($A167),'recurring1_based on steps'!I$1:I$400,0)),I$2,)</f>
        <v>0</v>
      </c>
      <c r="J167" s="179">
        <f ca="1">IF(ISNUMBER(MATCH(DATEVALUE($A167),'recurring1_based on steps'!J$1:J$400,0)),J$2,)</f>
        <v>0</v>
      </c>
      <c r="K167" s="179">
        <f ca="1">IF(ISNUMBER(MATCH(DATEVALUE($A167),'recurring1_based on steps'!K$1:K$400,0)),K$2,)</f>
        <v>0</v>
      </c>
      <c r="L167" s="179">
        <f ca="1">IF(ISNUMBER(MATCH(DATEVALUE($A167),'recurring1_based on steps'!L$1:L$400,0)),L$2,)</f>
        <v>0</v>
      </c>
      <c r="M167" s="179">
        <f ca="1">IF(ISNUMBER(MATCH(DATEVALUE($A167),'recurring1_based on steps'!M$1:M$400,0)),M$2,)</f>
        <v>0</v>
      </c>
      <c r="N167" s="179">
        <f ca="1">IF(ISNUMBER(MATCH(DATEVALUE($A167),'recurring1_based on steps'!N$1:N$400,0)),N$2,)</f>
        <v>0</v>
      </c>
      <c r="O167" s="179">
        <f ca="1">IF(ISNUMBER(MATCH(DATEVALUE($A167),'recurring1_based on steps'!O$1:O$400,0)),O$2,)</f>
        <v>0</v>
      </c>
      <c r="P167" s="179">
        <f ca="1">IF(ISNUMBER(MATCH(DATEVALUE($A167),'recurring1_based on steps'!P$1:P$400,0)),P$2,)</f>
        <v>0</v>
      </c>
      <c r="Q167" s="179">
        <f ca="1">IF(ISNUMBER(MATCH(DATEVALUE($A167),'recurring1_based on steps'!Q$1:Q$400,0)),Q$2,)</f>
        <v>0</v>
      </c>
      <c r="R167" s="179">
        <f ca="1">IF(ISNUMBER(MATCH(DATEVALUE($A167),'recurring1_based on steps'!R$1:R$400,0)),R$2,)</f>
        <v>0</v>
      </c>
      <c r="S167" s="179">
        <f ca="1">IF(ISNUMBER(MATCH(DATEVALUE($A167),'recurring1_based on steps'!S$1:S$400,0)),S$2,)</f>
        <v>0</v>
      </c>
      <c r="T167" s="179">
        <f ca="1">IF(ISNUMBER(MATCH(DATEVALUE($A167),'recurring1_based on steps'!T$1:T$400,0)),T$2,)</f>
        <v>0</v>
      </c>
      <c r="U167" s="179">
        <f ca="1">IF(ISNUMBER(MATCH(DATEVALUE($A167),'recurring1_based on steps'!U$1:U$400,0)),U$2,)</f>
        <v>0</v>
      </c>
      <c r="V167" s="179">
        <f ca="1">IF(ISNUMBER(MATCH(DATEVALUE($A167),'recurring1_based on steps'!V$1:V$400,0)),V$2,)</f>
        <v>0</v>
      </c>
      <c r="W167" s="179">
        <f ca="1">IF(ISNUMBER(MATCH(DATEVALUE($A167),'recurring1_based on steps'!W$1:W$400,0)),W$2,)</f>
        <v>0</v>
      </c>
      <c r="X167" s="179">
        <f ca="1">IF(ISNUMBER(MATCH(DATEVALUE($A167),'recurring1_based on steps'!X$1:X$400,0)),X$2,)</f>
        <v>0</v>
      </c>
      <c r="Y167" s="179">
        <f ca="1">IF(ISNUMBER(MATCH(DATEVALUE($A167),'recurring1_based on steps'!Y$1:Y$400,0)),Y$2,)</f>
        <v>0</v>
      </c>
      <c r="Z167" s="179">
        <f ca="1">IF(ISNUMBER(MATCH(DATEVALUE($A167),'recurring1_based on steps'!Z$1:Z$400,0)),Z$2,)</f>
        <v>0</v>
      </c>
      <c r="AA167" s="179">
        <f ca="1">IF(ISNUMBER(MATCH(DATEVALUE($A167),'recurring1_based on steps'!AA$1:AA$400,0)),AA$2,)</f>
        <v>0</v>
      </c>
      <c r="AB167" s="179">
        <f ca="1">IF(ISNUMBER(MATCH(DATEVALUE($A167),'recurring1_based on steps'!AB$1:AB$400,0)),AB$2,)</f>
        <v>0</v>
      </c>
      <c r="AC167" s="179">
        <f ca="1">IF(ISNUMBER(MATCH(DATEVALUE($A167),'recurring1_based on steps'!AC$1:AC$400,0)),AC$2,)</f>
        <v>0</v>
      </c>
      <c r="AD167" s="179">
        <f ca="1">IF(ISNUMBER(MATCH(DATEVALUE($A167),'recurring1_based on steps'!AD$1:AD$400,0)),AD$2,)</f>
        <v>0</v>
      </c>
      <c r="AE167" s="179">
        <f ca="1">IF(ISNUMBER(MATCH(DATEVALUE($A167),'recurring1_based on steps'!AE$1:AE$400,0)),AE$2,)</f>
        <v>0</v>
      </c>
      <c r="AF167" s="179">
        <f ca="1">IF(ISNUMBER(MATCH(DATEVALUE($A167),'recurring1_based on steps'!AF$1:AF$400,0)),AF$2,)</f>
        <v>0</v>
      </c>
      <c r="AG167" s="179">
        <f ca="1">IF(ISNUMBER(MATCH(DATEVALUE($A167),'recurring1_based on steps'!AG$1:AG$400,0)),AG$2,)</f>
        <v>0</v>
      </c>
      <c r="AH167" s="179">
        <f ca="1">IF(ISNUMBER(MATCH(DATEVALUE($A167),'recurring1_based on steps'!AH$1:AH$400,0)),AH$2,)</f>
        <v>0</v>
      </c>
      <c r="AI167" s="179">
        <f ca="1">IF(ISNUMBER(MATCH(DATEVALUE($A167),'recurring1_based on steps'!AI$1:AI$400,0)),AI$2,)</f>
        <v>0</v>
      </c>
      <c r="AJ167" s="179">
        <f ca="1">IF(ISNUMBER(MATCH(DATEVALUE($A167),'recurring1_based on steps'!AJ$1:AJ$400,0)),AJ$2,)</f>
        <v>0</v>
      </c>
      <c r="AK167" s="179">
        <f ca="1">IF(ISNUMBER(MATCH(DATEVALUE($A167),'recurring1_based on steps'!AK$1:AK$400,0)),AK$2,)</f>
        <v>0</v>
      </c>
      <c r="AL167" s="179">
        <f ca="1">IF(ISNUMBER(MATCH(DATEVALUE($A167),'recurring1_based on steps'!AL$1:AL$400,0)),AL$2,)</f>
        <v>0</v>
      </c>
      <c r="AM167" s="179">
        <f ca="1">IF(ISNUMBER(MATCH(DATEVALUE($A167),'recurring1_based on steps'!AM$1:AM$400,0)),AM$2,)</f>
        <v>0</v>
      </c>
      <c r="AN167" s="179">
        <f ca="1">IF(ISNUMBER(MATCH(DATEVALUE($A167),'recurring1_based on steps'!AN$1:AN$400,0)),AN$2,)</f>
        <v>0</v>
      </c>
      <c r="AO167" s="179">
        <f ca="1">IF(ISNUMBER(MATCH(DATEVALUE($A167),'recurring1_based on steps'!AO$1:AO$400,0)),AO$2,)</f>
        <v>0</v>
      </c>
      <c r="AP167" s="179">
        <f ca="1">IF(ISNUMBER(MATCH(DATEVALUE($A167),'recurring1_based on steps'!AP$1:AP$400,0)),AP$2,)</f>
        <v>0</v>
      </c>
      <c r="AQ167" s="179">
        <f ca="1">IF(ISNUMBER(MATCH(DATEVALUE($A167),'recurring1_based on steps'!AQ$1:AQ$400,0)),AQ$2,)</f>
        <v>0</v>
      </c>
      <c r="AR167" s="179">
        <f ca="1">IF(ISNUMBER(MATCH(DATEVALUE($A167),'recurring1_based on steps'!AR$1:AR$400,0)),AR$2,)</f>
        <v>0</v>
      </c>
      <c r="AS167" s="179">
        <f ca="1">IF(ISNUMBER(MATCH(DATEVALUE($A167),'recurring1_based on steps'!AS$1:AS$400,0)),AS$2,)</f>
        <v>0</v>
      </c>
      <c r="AT167" s="179">
        <f ca="1">IF(ISNUMBER(MATCH(DATEVALUE($A167),'recurring1_based on steps'!AT$1:AT$400,0)),AT$2,)</f>
        <v>0</v>
      </c>
      <c r="AU167" s="179">
        <f ca="1">IF(ISNUMBER(MATCH(DATEVALUE($A167),'recurring1_based on steps'!AU$1:AU$400,0)),AU$2,)</f>
        <v>0</v>
      </c>
      <c r="AV167" s="179">
        <f ca="1">IF(ISNUMBER(MATCH(DATEVALUE($A167),'recurring1_based on steps'!AV$1:AV$400,0)),AV$2,)</f>
        <v>0</v>
      </c>
      <c r="AW167" s="179">
        <f ca="1">IF(ISNUMBER(MATCH(DATEVALUE($A167),'recurring1_based on steps'!AW$1:AW$400,0)),AW$2,)</f>
        <v>0</v>
      </c>
      <c r="AX167" s="179">
        <f ca="1">IF(ISNUMBER(MATCH(DATEVALUE($A167),'recurring1_based on steps'!AX$1:AX$400,0)),AX$2,)</f>
        <v>0</v>
      </c>
      <c r="AY167" s="179">
        <f ca="1">IF(ISNUMBER(MATCH(DATEVALUE($A167),'recurring1_based on steps'!AY$1:AY$400,0)),AY$2,)</f>
        <v>0</v>
      </c>
    </row>
    <row r="168" spans="1:51" x14ac:dyDescent="0.2">
      <c r="A168" s="32" t="str">
        <f t="shared" ca="1" si="2"/>
        <v>2025-09-17</v>
      </c>
      <c r="B168" s="179">
        <f ca="1">IF(ISNUMBER(MATCH(DATEVALUE($A168),'recurring1_based on steps'!B$1:B$400,0)),B$2,)</f>
        <v>0</v>
      </c>
      <c r="C168" s="179">
        <f ca="1">IF(ISNUMBER(MATCH(DATEVALUE($A168),'recurring1_based on steps'!C$1:C$400,0)),C$2,)</f>
        <v>0</v>
      </c>
      <c r="D168" s="179">
        <f ca="1">IF(ISNUMBER(MATCH(DATEVALUE($A168),'recurring1_based on steps'!D$1:D$400,0)),D$2,)</f>
        <v>0</v>
      </c>
      <c r="E168" s="179">
        <f ca="1">IF(ISNUMBER(MATCH(DATEVALUE($A168),'recurring1_based on steps'!E$1:E$400,0)),E$2,)</f>
        <v>0</v>
      </c>
      <c r="F168" s="179">
        <f ca="1">IF(ISNUMBER(MATCH(DATEVALUE($A168),'recurring1_based on steps'!F$1:F$400,0)),F$2,)</f>
        <v>0</v>
      </c>
      <c r="G168" s="179">
        <f ca="1">IF(ISNUMBER(MATCH(DATEVALUE($A168),'recurring1_based on steps'!G$1:G$400,0)),G$2,)</f>
        <v>0</v>
      </c>
      <c r="H168" s="179">
        <f ca="1">IF(ISNUMBER(MATCH(DATEVALUE($A168),'recurring1_based on steps'!H$1:H$400,0)),H$2,)</f>
        <v>0</v>
      </c>
      <c r="I168" s="179">
        <f ca="1">IF(ISNUMBER(MATCH(DATEVALUE($A168),'recurring1_based on steps'!I$1:I$400,0)),I$2,)</f>
        <v>0</v>
      </c>
      <c r="J168" s="179">
        <f ca="1">IF(ISNUMBER(MATCH(DATEVALUE($A168),'recurring1_based on steps'!J$1:J$400,0)),J$2,)</f>
        <v>0</v>
      </c>
      <c r="K168" s="179">
        <f ca="1">IF(ISNUMBER(MATCH(DATEVALUE($A168),'recurring1_based on steps'!K$1:K$400,0)),K$2,)</f>
        <v>0</v>
      </c>
      <c r="L168" s="179">
        <f ca="1">IF(ISNUMBER(MATCH(DATEVALUE($A168),'recurring1_based on steps'!L$1:L$400,0)),L$2,)</f>
        <v>0</v>
      </c>
      <c r="M168" s="179">
        <f ca="1">IF(ISNUMBER(MATCH(DATEVALUE($A168),'recurring1_based on steps'!M$1:M$400,0)),M$2,)</f>
        <v>0</v>
      </c>
      <c r="N168" s="179">
        <f ca="1">IF(ISNUMBER(MATCH(DATEVALUE($A168),'recurring1_based on steps'!N$1:N$400,0)),N$2,)</f>
        <v>0</v>
      </c>
      <c r="O168" s="179">
        <f ca="1">IF(ISNUMBER(MATCH(DATEVALUE($A168),'recurring1_based on steps'!O$1:O$400,0)),O$2,)</f>
        <v>0</v>
      </c>
      <c r="P168" s="179">
        <f ca="1">IF(ISNUMBER(MATCH(DATEVALUE($A168),'recurring1_based on steps'!P$1:P$400,0)),P$2,)</f>
        <v>0</v>
      </c>
      <c r="Q168" s="179">
        <f ca="1">IF(ISNUMBER(MATCH(DATEVALUE($A168),'recurring1_based on steps'!Q$1:Q$400,0)),Q$2,)</f>
        <v>0</v>
      </c>
      <c r="R168" s="179">
        <f ca="1">IF(ISNUMBER(MATCH(DATEVALUE($A168),'recurring1_based on steps'!R$1:R$400,0)),R$2,)</f>
        <v>0</v>
      </c>
      <c r="S168" s="179">
        <f ca="1">IF(ISNUMBER(MATCH(DATEVALUE($A168),'recurring1_based on steps'!S$1:S$400,0)),S$2,)</f>
        <v>0</v>
      </c>
      <c r="T168" s="179">
        <f ca="1">IF(ISNUMBER(MATCH(DATEVALUE($A168),'recurring1_based on steps'!T$1:T$400,0)),T$2,)</f>
        <v>0</v>
      </c>
      <c r="U168" s="179">
        <f ca="1">IF(ISNUMBER(MATCH(DATEVALUE($A168),'recurring1_based on steps'!U$1:U$400,0)),U$2,)</f>
        <v>0</v>
      </c>
      <c r="V168" s="179">
        <f ca="1">IF(ISNUMBER(MATCH(DATEVALUE($A168),'recurring1_based on steps'!V$1:V$400,0)),V$2,)</f>
        <v>0</v>
      </c>
      <c r="W168" s="179">
        <f ca="1">IF(ISNUMBER(MATCH(DATEVALUE($A168),'recurring1_based on steps'!W$1:W$400,0)),W$2,)</f>
        <v>0</v>
      </c>
      <c r="X168" s="179">
        <f ca="1">IF(ISNUMBER(MATCH(DATEVALUE($A168),'recurring1_based on steps'!X$1:X$400,0)),X$2,)</f>
        <v>0</v>
      </c>
      <c r="Y168" s="179">
        <f ca="1">IF(ISNUMBER(MATCH(DATEVALUE($A168),'recurring1_based on steps'!Y$1:Y$400,0)),Y$2,)</f>
        <v>0</v>
      </c>
      <c r="Z168" s="179">
        <f ca="1">IF(ISNUMBER(MATCH(DATEVALUE($A168),'recurring1_based on steps'!Z$1:Z$400,0)),Z$2,)</f>
        <v>0</v>
      </c>
      <c r="AA168" s="179">
        <f ca="1">IF(ISNUMBER(MATCH(DATEVALUE($A168),'recurring1_based on steps'!AA$1:AA$400,0)),AA$2,)</f>
        <v>0</v>
      </c>
      <c r="AB168" s="179">
        <f ca="1">IF(ISNUMBER(MATCH(DATEVALUE($A168),'recurring1_based on steps'!AB$1:AB$400,0)),AB$2,)</f>
        <v>0</v>
      </c>
      <c r="AC168" s="179">
        <f ca="1">IF(ISNUMBER(MATCH(DATEVALUE($A168),'recurring1_based on steps'!AC$1:AC$400,0)),AC$2,)</f>
        <v>0</v>
      </c>
      <c r="AD168" s="179">
        <f ca="1">IF(ISNUMBER(MATCH(DATEVALUE($A168),'recurring1_based on steps'!AD$1:AD$400,0)),AD$2,)</f>
        <v>0</v>
      </c>
      <c r="AE168" s="179">
        <f ca="1">IF(ISNUMBER(MATCH(DATEVALUE($A168),'recurring1_based on steps'!AE$1:AE$400,0)),AE$2,)</f>
        <v>0</v>
      </c>
      <c r="AF168" s="179">
        <f ca="1">IF(ISNUMBER(MATCH(DATEVALUE($A168),'recurring1_based on steps'!AF$1:AF$400,0)),AF$2,)</f>
        <v>0</v>
      </c>
      <c r="AG168" s="179">
        <f ca="1">IF(ISNUMBER(MATCH(DATEVALUE($A168),'recurring1_based on steps'!AG$1:AG$400,0)),AG$2,)</f>
        <v>0</v>
      </c>
      <c r="AH168" s="179">
        <f ca="1">IF(ISNUMBER(MATCH(DATEVALUE($A168),'recurring1_based on steps'!AH$1:AH$400,0)),AH$2,)</f>
        <v>0</v>
      </c>
      <c r="AI168" s="179">
        <f ca="1">IF(ISNUMBER(MATCH(DATEVALUE($A168),'recurring1_based on steps'!AI$1:AI$400,0)),AI$2,)</f>
        <v>0</v>
      </c>
      <c r="AJ168" s="179">
        <f ca="1">IF(ISNUMBER(MATCH(DATEVALUE($A168),'recurring1_based on steps'!AJ$1:AJ$400,0)),AJ$2,)</f>
        <v>0</v>
      </c>
      <c r="AK168" s="179">
        <f ca="1">IF(ISNUMBER(MATCH(DATEVALUE($A168),'recurring1_based on steps'!AK$1:AK$400,0)),AK$2,)</f>
        <v>0</v>
      </c>
      <c r="AL168" s="179">
        <f ca="1">IF(ISNUMBER(MATCH(DATEVALUE($A168),'recurring1_based on steps'!AL$1:AL$400,0)),AL$2,)</f>
        <v>0</v>
      </c>
      <c r="AM168" s="179">
        <f ca="1">IF(ISNUMBER(MATCH(DATEVALUE($A168),'recurring1_based on steps'!AM$1:AM$400,0)),AM$2,)</f>
        <v>0</v>
      </c>
      <c r="AN168" s="179">
        <f ca="1">IF(ISNUMBER(MATCH(DATEVALUE($A168),'recurring1_based on steps'!AN$1:AN$400,0)),AN$2,)</f>
        <v>0</v>
      </c>
      <c r="AO168" s="179">
        <f ca="1">IF(ISNUMBER(MATCH(DATEVALUE($A168),'recurring1_based on steps'!AO$1:AO$400,0)),AO$2,)</f>
        <v>0</v>
      </c>
      <c r="AP168" s="179">
        <f ca="1">IF(ISNUMBER(MATCH(DATEVALUE($A168),'recurring1_based on steps'!AP$1:AP$400,0)),AP$2,)</f>
        <v>0</v>
      </c>
      <c r="AQ168" s="179">
        <f ca="1">IF(ISNUMBER(MATCH(DATEVALUE($A168),'recurring1_based on steps'!AQ$1:AQ$400,0)),AQ$2,)</f>
        <v>0</v>
      </c>
      <c r="AR168" s="179">
        <f ca="1">IF(ISNUMBER(MATCH(DATEVALUE($A168),'recurring1_based on steps'!AR$1:AR$400,0)),AR$2,)</f>
        <v>0</v>
      </c>
      <c r="AS168" s="179">
        <f ca="1">IF(ISNUMBER(MATCH(DATEVALUE($A168),'recurring1_based on steps'!AS$1:AS$400,0)),AS$2,)</f>
        <v>0</v>
      </c>
      <c r="AT168" s="179">
        <f ca="1">IF(ISNUMBER(MATCH(DATEVALUE($A168),'recurring1_based on steps'!AT$1:AT$400,0)),AT$2,)</f>
        <v>0</v>
      </c>
      <c r="AU168" s="179">
        <f ca="1">IF(ISNUMBER(MATCH(DATEVALUE($A168),'recurring1_based on steps'!AU$1:AU$400,0)),AU$2,)</f>
        <v>0</v>
      </c>
      <c r="AV168" s="179">
        <f ca="1">IF(ISNUMBER(MATCH(DATEVALUE($A168),'recurring1_based on steps'!AV$1:AV$400,0)),AV$2,)</f>
        <v>0</v>
      </c>
      <c r="AW168" s="179">
        <f ca="1">IF(ISNUMBER(MATCH(DATEVALUE($A168),'recurring1_based on steps'!AW$1:AW$400,0)),AW$2,)</f>
        <v>0</v>
      </c>
      <c r="AX168" s="179">
        <f ca="1">IF(ISNUMBER(MATCH(DATEVALUE($A168),'recurring1_based on steps'!AX$1:AX$400,0)),AX$2,)</f>
        <v>0</v>
      </c>
      <c r="AY168" s="179">
        <f ca="1">IF(ISNUMBER(MATCH(DATEVALUE($A168),'recurring1_based on steps'!AY$1:AY$400,0)),AY$2,)</f>
        <v>0</v>
      </c>
    </row>
    <row r="169" spans="1:51" x14ac:dyDescent="0.2">
      <c r="A169" s="32" t="str">
        <f t="shared" ca="1" si="2"/>
        <v>2025-09-18</v>
      </c>
      <c r="B169" s="179">
        <f ca="1">IF(ISNUMBER(MATCH(DATEVALUE($A169),'recurring1_based on steps'!B$1:B$400,0)),B$2,)</f>
        <v>0</v>
      </c>
      <c r="C169" s="179">
        <f ca="1">IF(ISNUMBER(MATCH(DATEVALUE($A169),'recurring1_based on steps'!C$1:C$400,0)),C$2,)</f>
        <v>0</v>
      </c>
      <c r="D169" s="179">
        <f ca="1">IF(ISNUMBER(MATCH(DATEVALUE($A169),'recurring1_based on steps'!D$1:D$400,0)),D$2,)</f>
        <v>0</v>
      </c>
      <c r="E169" s="179">
        <f ca="1">IF(ISNUMBER(MATCH(DATEVALUE($A169),'recurring1_based on steps'!E$1:E$400,0)),E$2,)</f>
        <v>0</v>
      </c>
      <c r="F169" s="179">
        <f ca="1">IF(ISNUMBER(MATCH(DATEVALUE($A169),'recurring1_based on steps'!F$1:F$400,0)),F$2,)</f>
        <v>0</v>
      </c>
      <c r="G169" s="179">
        <f ca="1">IF(ISNUMBER(MATCH(DATEVALUE($A169),'recurring1_based on steps'!G$1:G$400,0)),G$2,)</f>
        <v>0</v>
      </c>
      <c r="H169" s="179">
        <f ca="1">IF(ISNUMBER(MATCH(DATEVALUE($A169),'recurring1_based on steps'!H$1:H$400,0)),H$2,)</f>
        <v>0</v>
      </c>
      <c r="I169" s="179">
        <f ca="1">IF(ISNUMBER(MATCH(DATEVALUE($A169),'recurring1_based on steps'!I$1:I$400,0)),I$2,)</f>
        <v>0</v>
      </c>
      <c r="J169" s="179">
        <f ca="1">IF(ISNUMBER(MATCH(DATEVALUE($A169),'recurring1_based on steps'!J$1:J$400,0)),J$2,)</f>
        <v>0</v>
      </c>
      <c r="K169" s="179">
        <f ca="1">IF(ISNUMBER(MATCH(DATEVALUE($A169),'recurring1_based on steps'!K$1:K$400,0)),K$2,)</f>
        <v>0</v>
      </c>
      <c r="L169" s="179">
        <f ca="1">IF(ISNUMBER(MATCH(DATEVALUE($A169),'recurring1_based on steps'!L$1:L$400,0)),L$2,)</f>
        <v>0</v>
      </c>
      <c r="M169" s="179">
        <f ca="1">IF(ISNUMBER(MATCH(DATEVALUE($A169),'recurring1_based on steps'!M$1:M$400,0)),M$2,)</f>
        <v>0</v>
      </c>
      <c r="N169" s="179">
        <f ca="1">IF(ISNUMBER(MATCH(DATEVALUE($A169),'recurring1_based on steps'!N$1:N$400,0)),N$2,)</f>
        <v>0</v>
      </c>
      <c r="O169" s="179">
        <f ca="1">IF(ISNUMBER(MATCH(DATEVALUE($A169),'recurring1_based on steps'!O$1:O$400,0)),O$2,)</f>
        <v>0</v>
      </c>
      <c r="P169" s="179">
        <f ca="1">IF(ISNUMBER(MATCH(DATEVALUE($A169),'recurring1_based on steps'!P$1:P$400,0)),P$2,)</f>
        <v>0</v>
      </c>
      <c r="Q169" s="179">
        <f ca="1">IF(ISNUMBER(MATCH(DATEVALUE($A169),'recurring1_based on steps'!Q$1:Q$400,0)),Q$2,)</f>
        <v>0</v>
      </c>
      <c r="R169" s="179">
        <f ca="1">IF(ISNUMBER(MATCH(DATEVALUE($A169),'recurring1_based on steps'!R$1:R$400,0)),R$2,)</f>
        <v>0</v>
      </c>
      <c r="S169" s="179">
        <f ca="1">IF(ISNUMBER(MATCH(DATEVALUE($A169),'recurring1_based on steps'!S$1:S$400,0)),S$2,)</f>
        <v>0</v>
      </c>
      <c r="T169" s="179">
        <f ca="1">IF(ISNUMBER(MATCH(DATEVALUE($A169),'recurring1_based on steps'!T$1:T$400,0)),T$2,)</f>
        <v>0</v>
      </c>
      <c r="U169" s="179">
        <f ca="1">IF(ISNUMBER(MATCH(DATEVALUE($A169),'recurring1_based on steps'!U$1:U$400,0)),U$2,)</f>
        <v>0</v>
      </c>
      <c r="V169" s="179">
        <f ca="1">IF(ISNUMBER(MATCH(DATEVALUE($A169),'recurring1_based on steps'!V$1:V$400,0)),V$2,)</f>
        <v>0</v>
      </c>
      <c r="W169" s="179">
        <f ca="1">IF(ISNUMBER(MATCH(DATEVALUE($A169),'recurring1_based on steps'!W$1:W$400,0)),W$2,)</f>
        <v>0</v>
      </c>
      <c r="X169" s="179">
        <f ca="1">IF(ISNUMBER(MATCH(DATEVALUE($A169),'recurring1_based on steps'!X$1:X$400,0)),X$2,)</f>
        <v>0</v>
      </c>
      <c r="Y169" s="179">
        <f ca="1">IF(ISNUMBER(MATCH(DATEVALUE($A169),'recurring1_based on steps'!Y$1:Y$400,0)),Y$2,)</f>
        <v>0</v>
      </c>
      <c r="Z169" s="179">
        <f ca="1">IF(ISNUMBER(MATCH(DATEVALUE($A169),'recurring1_based on steps'!Z$1:Z$400,0)),Z$2,)</f>
        <v>0</v>
      </c>
      <c r="AA169" s="179">
        <f ca="1">IF(ISNUMBER(MATCH(DATEVALUE($A169),'recurring1_based on steps'!AA$1:AA$400,0)),AA$2,)</f>
        <v>0</v>
      </c>
      <c r="AB169" s="179">
        <f ca="1">IF(ISNUMBER(MATCH(DATEVALUE($A169),'recurring1_based on steps'!AB$1:AB$400,0)),AB$2,)</f>
        <v>0</v>
      </c>
      <c r="AC169" s="179">
        <f ca="1">IF(ISNUMBER(MATCH(DATEVALUE($A169),'recurring1_based on steps'!AC$1:AC$400,0)),AC$2,)</f>
        <v>0</v>
      </c>
      <c r="AD169" s="179">
        <f ca="1">IF(ISNUMBER(MATCH(DATEVALUE($A169),'recurring1_based on steps'!AD$1:AD$400,0)),AD$2,)</f>
        <v>0</v>
      </c>
      <c r="AE169" s="179">
        <f ca="1">IF(ISNUMBER(MATCH(DATEVALUE($A169),'recurring1_based on steps'!AE$1:AE$400,0)),AE$2,)</f>
        <v>0</v>
      </c>
      <c r="AF169" s="179">
        <f ca="1">IF(ISNUMBER(MATCH(DATEVALUE($A169),'recurring1_based on steps'!AF$1:AF$400,0)),AF$2,)</f>
        <v>0</v>
      </c>
      <c r="AG169" s="179">
        <f ca="1">IF(ISNUMBER(MATCH(DATEVALUE($A169),'recurring1_based on steps'!AG$1:AG$400,0)),AG$2,)</f>
        <v>0</v>
      </c>
      <c r="AH169" s="179">
        <f ca="1">IF(ISNUMBER(MATCH(DATEVALUE($A169),'recurring1_based on steps'!AH$1:AH$400,0)),AH$2,)</f>
        <v>0</v>
      </c>
      <c r="AI169" s="179">
        <f ca="1">IF(ISNUMBER(MATCH(DATEVALUE($A169),'recurring1_based on steps'!AI$1:AI$400,0)),AI$2,)</f>
        <v>0</v>
      </c>
      <c r="AJ169" s="179">
        <f ca="1">IF(ISNUMBER(MATCH(DATEVALUE($A169),'recurring1_based on steps'!AJ$1:AJ$400,0)),AJ$2,)</f>
        <v>0</v>
      </c>
      <c r="AK169" s="179">
        <f ca="1">IF(ISNUMBER(MATCH(DATEVALUE($A169),'recurring1_based on steps'!AK$1:AK$400,0)),AK$2,)</f>
        <v>0</v>
      </c>
      <c r="AL169" s="179">
        <f ca="1">IF(ISNUMBER(MATCH(DATEVALUE($A169),'recurring1_based on steps'!AL$1:AL$400,0)),AL$2,)</f>
        <v>0</v>
      </c>
      <c r="AM169" s="179">
        <f ca="1">IF(ISNUMBER(MATCH(DATEVALUE($A169),'recurring1_based on steps'!AM$1:AM$400,0)),AM$2,)</f>
        <v>0</v>
      </c>
      <c r="AN169" s="179">
        <f ca="1">IF(ISNUMBER(MATCH(DATEVALUE($A169),'recurring1_based on steps'!AN$1:AN$400,0)),AN$2,)</f>
        <v>0</v>
      </c>
      <c r="AO169" s="179">
        <f ca="1">IF(ISNUMBER(MATCH(DATEVALUE($A169),'recurring1_based on steps'!AO$1:AO$400,0)),AO$2,)</f>
        <v>0</v>
      </c>
      <c r="AP169" s="179">
        <f ca="1">IF(ISNUMBER(MATCH(DATEVALUE($A169),'recurring1_based on steps'!AP$1:AP$400,0)),AP$2,)</f>
        <v>0</v>
      </c>
      <c r="AQ169" s="179">
        <f ca="1">IF(ISNUMBER(MATCH(DATEVALUE($A169),'recurring1_based on steps'!AQ$1:AQ$400,0)),AQ$2,)</f>
        <v>0</v>
      </c>
      <c r="AR169" s="179">
        <f ca="1">IF(ISNUMBER(MATCH(DATEVALUE($A169),'recurring1_based on steps'!AR$1:AR$400,0)),AR$2,)</f>
        <v>0</v>
      </c>
      <c r="AS169" s="179">
        <f ca="1">IF(ISNUMBER(MATCH(DATEVALUE($A169),'recurring1_based on steps'!AS$1:AS$400,0)),AS$2,)</f>
        <v>0</v>
      </c>
      <c r="AT169" s="179">
        <f ca="1">IF(ISNUMBER(MATCH(DATEVALUE($A169),'recurring1_based on steps'!AT$1:AT$400,0)),AT$2,)</f>
        <v>0</v>
      </c>
      <c r="AU169" s="179">
        <f ca="1">IF(ISNUMBER(MATCH(DATEVALUE($A169),'recurring1_based on steps'!AU$1:AU$400,0)),AU$2,)</f>
        <v>0</v>
      </c>
      <c r="AV169" s="179">
        <f ca="1">IF(ISNUMBER(MATCH(DATEVALUE($A169),'recurring1_based on steps'!AV$1:AV$400,0)),AV$2,)</f>
        <v>0</v>
      </c>
      <c r="AW169" s="179">
        <f ca="1">IF(ISNUMBER(MATCH(DATEVALUE($A169),'recurring1_based on steps'!AW$1:AW$400,0)),AW$2,)</f>
        <v>0</v>
      </c>
      <c r="AX169" s="179">
        <f ca="1">IF(ISNUMBER(MATCH(DATEVALUE($A169),'recurring1_based on steps'!AX$1:AX$400,0)),AX$2,)</f>
        <v>0</v>
      </c>
      <c r="AY169" s="179">
        <f ca="1">IF(ISNUMBER(MATCH(DATEVALUE($A169),'recurring1_based on steps'!AY$1:AY$400,0)),AY$2,)</f>
        <v>0</v>
      </c>
    </row>
    <row r="170" spans="1:51" x14ac:dyDescent="0.2">
      <c r="A170" s="32" t="str">
        <f t="shared" ca="1" si="2"/>
        <v>2025-09-19</v>
      </c>
      <c r="B170" s="179">
        <f ca="1">IF(ISNUMBER(MATCH(DATEVALUE($A170),'recurring1_based on steps'!B$1:B$400,0)),B$2,)</f>
        <v>0</v>
      </c>
      <c r="C170" s="179">
        <f ca="1">IF(ISNUMBER(MATCH(DATEVALUE($A170),'recurring1_based on steps'!C$1:C$400,0)),C$2,)</f>
        <v>0</v>
      </c>
      <c r="D170" s="179">
        <f ca="1">IF(ISNUMBER(MATCH(DATEVALUE($A170),'recurring1_based on steps'!D$1:D$400,0)),D$2,)</f>
        <v>0</v>
      </c>
      <c r="E170" s="179">
        <f ca="1">IF(ISNUMBER(MATCH(DATEVALUE($A170),'recurring1_based on steps'!E$1:E$400,0)),E$2,)</f>
        <v>0</v>
      </c>
      <c r="F170" s="179">
        <f ca="1">IF(ISNUMBER(MATCH(DATEVALUE($A170),'recurring1_based on steps'!F$1:F$400,0)),F$2,)</f>
        <v>0</v>
      </c>
      <c r="G170" s="179">
        <f ca="1">IF(ISNUMBER(MATCH(DATEVALUE($A170),'recurring1_based on steps'!G$1:G$400,0)),G$2,)</f>
        <v>0</v>
      </c>
      <c r="H170" s="179">
        <f ca="1">IF(ISNUMBER(MATCH(DATEVALUE($A170),'recurring1_based on steps'!H$1:H$400,0)),H$2,)</f>
        <v>0</v>
      </c>
      <c r="I170" s="179">
        <f ca="1">IF(ISNUMBER(MATCH(DATEVALUE($A170),'recurring1_based on steps'!I$1:I$400,0)),I$2,)</f>
        <v>0</v>
      </c>
      <c r="J170" s="179">
        <f ca="1">IF(ISNUMBER(MATCH(DATEVALUE($A170),'recurring1_based on steps'!J$1:J$400,0)),J$2,)</f>
        <v>0</v>
      </c>
      <c r="K170" s="179">
        <f ca="1">IF(ISNUMBER(MATCH(DATEVALUE($A170),'recurring1_based on steps'!K$1:K$400,0)),K$2,)</f>
        <v>0</v>
      </c>
      <c r="L170" s="179">
        <f ca="1">IF(ISNUMBER(MATCH(DATEVALUE($A170),'recurring1_based on steps'!L$1:L$400,0)),L$2,)</f>
        <v>0</v>
      </c>
      <c r="M170" s="179">
        <f ca="1">IF(ISNUMBER(MATCH(DATEVALUE($A170),'recurring1_based on steps'!M$1:M$400,0)),M$2,)</f>
        <v>0</v>
      </c>
      <c r="N170" s="179">
        <f ca="1">IF(ISNUMBER(MATCH(DATEVALUE($A170),'recurring1_based on steps'!N$1:N$400,0)),N$2,)</f>
        <v>0</v>
      </c>
      <c r="O170" s="179">
        <f ca="1">IF(ISNUMBER(MATCH(DATEVALUE($A170),'recurring1_based on steps'!O$1:O$400,0)),O$2,)</f>
        <v>0</v>
      </c>
      <c r="P170" s="179">
        <f ca="1">IF(ISNUMBER(MATCH(DATEVALUE($A170),'recurring1_based on steps'!P$1:P$400,0)),P$2,)</f>
        <v>0</v>
      </c>
      <c r="Q170" s="179">
        <f ca="1">IF(ISNUMBER(MATCH(DATEVALUE($A170),'recurring1_based on steps'!Q$1:Q$400,0)),Q$2,)</f>
        <v>0</v>
      </c>
      <c r="R170" s="179">
        <f ca="1">IF(ISNUMBER(MATCH(DATEVALUE($A170),'recurring1_based on steps'!R$1:R$400,0)),R$2,)</f>
        <v>0</v>
      </c>
      <c r="S170" s="179">
        <f ca="1">IF(ISNUMBER(MATCH(DATEVALUE($A170),'recurring1_based on steps'!S$1:S$400,0)),S$2,)</f>
        <v>0</v>
      </c>
      <c r="T170" s="179">
        <f ca="1">IF(ISNUMBER(MATCH(DATEVALUE($A170),'recurring1_based on steps'!T$1:T$400,0)),T$2,)</f>
        <v>0</v>
      </c>
      <c r="U170" s="179">
        <f ca="1">IF(ISNUMBER(MATCH(DATEVALUE($A170),'recurring1_based on steps'!U$1:U$400,0)),U$2,)</f>
        <v>0</v>
      </c>
      <c r="V170" s="179">
        <f ca="1">IF(ISNUMBER(MATCH(DATEVALUE($A170),'recurring1_based on steps'!V$1:V$400,0)),V$2,)</f>
        <v>0</v>
      </c>
      <c r="W170" s="179">
        <f ca="1">IF(ISNUMBER(MATCH(DATEVALUE($A170),'recurring1_based on steps'!W$1:W$400,0)),W$2,)</f>
        <v>0</v>
      </c>
      <c r="X170" s="179">
        <f ca="1">IF(ISNUMBER(MATCH(DATEVALUE($A170),'recurring1_based on steps'!X$1:X$400,0)),X$2,)</f>
        <v>0</v>
      </c>
      <c r="Y170" s="179">
        <f ca="1">IF(ISNUMBER(MATCH(DATEVALUE($A170),'recurring1_based on steps'!Y$1:Y$400,0)),Y$2,)</f>
        <v>0</v>
      </c>
      <c r="Z170" s="179">
        <f ca="1">IF(ISNUMBER(MATCH(DATEVALUE($A170),'recurring1_based on steps'!Z$1:Z$400,0)),Z$2,)</f>
        <v>0</v>
      </c>
      <c r="AA170" s="179">
        <f ca="1">IF(ISNUMBER(MATCH(DATEVALUE($A170),'recurring1_based on steps'!AA$1:AA$400,0)),AA$2,)</f>
        <v>0</v>
      </c>
      <c r="AB170" s="179">
        <f ca="1">IF(ISNUMBER(MATCH(DATEVALUE($A170),'recurring1_based on steps'!AB$1:AB$400,0)),AB$2,)</f>
        <v>0</v>
      </c>
      <c r="AC170" s="179">
        <f ca="1">IF(ISNUMBER(MATCH(DATEVALUE($A170),'recurring1_based on steps'!AC$1:AC$400,0)),AC$2,)</f>
        <v>0</v>
      </c>
      <c r="AD170" s="179">
        <f ca="1">IF(ISNUMBER(MATCH(DATEVALUE($A170),'recurring1_based on steps'!AD$1:AD$400,0)),AD$2,)</f>
        <v>0</v>
      </c>
      <c r="AE170" s="179">
        <f ca="1">IF(ISNUMBER(MATCH(DATEVALUE($A170),'recurring1_based on steps'!AE$1:AE$400,0)),AE$2,)</f>
        <v>0</v>
      </c>
      <c r="AF170" s="179">
        <f ca="1">IF(ISNUMBER(MATCH(DATEVALUE($A170),'recurring1_based on steps'!AF$1:AF$400,0)),AF$2,)</f>
        <v>0</v>
      </c>
      <c r="AG170" s="179">
        <f ca="1">IF(ISNUMBER(MATCH(DATEVALUE($A170),'recurring1_based on steps'!AG$1:AG$400,0)),AG$2,)</f>
        <v>0</v>
      </c>
      <c r="AH170" s="179">
        <f ca="1">IF(ISNUMBER(MATCH(DATEVALUE($A170),'recurring1_based on steps'!AH$1:AH$400,0)),AH$2,)</f>
        <v>0</v>
      </c>
      <c r="AI170" s="179">
        <f ca="1">IF(ISNUMBER(MATCH(DATEVALUE($A170),'recurring1_based on steps'!AI$1:AI$400,0)),AI$2,)</f>
        <v>0</v>
      </c>
      <c r="AJ170" s="179">
        <f ca="1">IF(ISNUMBER(MATCH(DATEVALUE($A170),'recurring1_based on steps'!AJ$1:AJ$400,0)),AJ$2,)</f>
        <v>0</v>
      </c>
      <c r="AK170" s="179">
        <f ca="1">IF(ISNUMBER(MATCH(DATEVALUE($A170),'recurring1_based on steps'!AK$1:AK$400,0)),AK$2,)</f>
        <v>0</v>
      </c>
      <c r="AL170" s="179">
        <f ca="1">IF(ISNUMBER(MATCH(DATEVALUE($A170),'recurring1_based on steps'!AL$1:AL$400,0)),AL$2,)</f>
        <v>0</v>
      </c>
      <c r="AM170" s="179">
        <f ca="1">IF(ISNUMBER(MATCH(DATEVALUE($A170),'recurring1_based on steps'!AM$1:AM$400,0)),AM$2,)</f>
        <v>0</v>
      </c>
      <c r="AN170" s="179">
        <f ca="1">IF(ISNUMBER(MATCH(DATEVALUE($A170),'recurring1_based on steps'!AN$1:AN$400,0)),AN$2,)</f>
        <v>0</v>
      </c>
      <c r="AO170" s="179">
        <f ca="1">IF(ISNUMBER(MATCH(DATEVALUE($A170),'recurring1_based on steps'!AO$1:AO$400,0)),AO$2,)</f>
        <v>0</v>
      </c>
      <c r="AP170" s="179">
        <f ca="1">IF(ISNUMBER(MATCH(DATEVALUE($A170),'recurring1_based on steps'!AP$1:AP$400,0)),AP$2,)</f>
        <v>0</v>
      </c>
      <c r="AQ170" s="179">
        <f ca="1">IF(ISNUMBER(MATCH(DATEVALUE($A170),'recurring1_based on steps'!AQ$1:AQ$400,0)),AQ$2,)</f>
        <v>0</v>
      </c>
      <c r="AR170" s="179">
        <f ca="1">IF(ISNUMBER(MATCH(DATEVALUE($A170),'recurring1_based on steps'!AR$1:AR$400,0)),AR$2,)</f>
        <v>0</v>
      </c>
      <c r="AS170" s="179">
        <f ca="1">IF(ISNUMBER(MATCH(DATEVALUE($A170),'recurring1_based on steps'!AS$1:AS$400,0)),AS$2,)</f>
        <v>0</v>
      </c>
      <c r="AT170" s="179">
        <f ca="1">IF(ISNUMBER(MATCH(DATEVALUE($A170),'recurring1_based on steps'!AT$1:AT$400,0)),AT$2,)</f>
        <v>0</v>
      </c>
      <c r="AU170" s="179">
        <f ca="1">IF(ISNUMBER(MATCH(DATEVALUE($A170),'recurring1_based on steps'!AU$1:AU$400,0)),AU$2,)</f>
        <v>0</v>
      </c>
      <c r="AV170" s="179">
        <f ca="1">IF(ISNUMBER(MATCH(DATEVALUE($A170),'recurring1_based on steps'!AV$1:AV$400,0)),AV$2,)</f>
        <v>0</v>
      </c>
      <c r="AW170" s="179">
        <f ca="1">IF(ISNUMBER(MATCH(DATEVALUE($A170),'recurring1_based on steps'!AW$1:AW$400,0)),AW$2,)</f>
        <v>0</v>
      </c>
      <c r="AX170" s="179">
        <f ca="1">IF(ISNUMBER(MATCH(DATEVALUE($A170),'recurring1_based on steps'!AX$1:AX$400,0)),AX$2,)</f>
        <v>0</v>
      </c>
      <c r="AY170" s="179">
        <f ca="1">IF(ISNUMBER(MATCH(DATEVALUE($A170),'recurring1_based on steps'!AY$1:AY$400,0)),AY$2,)</f>
        <v>0</v>
      </c>
    </row>
    <row r="171" spans="1:51" x14ac:dyDescent="0.2">
      <c r="A171" s="32" t="str">
        <f t="shared" ca="1" si="2"/>
        <v>2025-09-20</v>
      </c>
      <c r="B171" s="179">
        <f ca="1">IF(ISNUMBER(MATCH(DATEVALUE($A171),'recurring1_based on steps'!B$1:B$400,0)),B$2,)</f>
        <v>0</v>
      </c>
      <c r="C171" s="179">
        <f ca="1">IF(ISNUMBER(MATCH(DATEVALUE($A171),'recurring1_based on steps'!C$1:C$400,0)),C$2,)</f>
        <v>0</v>
      </c>
      <c r="D171" s="179">
        <f ca="1">IF(ISNUMBER(MATCH(DATEVALUE($A171),'recurring1_based on steps'!D$1:D$400,0)),D$2,)</f>
        <v>0</v>
      </c>
      <c r="E171" s="179">
        <f ca="1">IF(ISNUMBER(MATCH(DATEVALUE($A171),'recurring1_based on steps'!E$1:E$400,0)),E$2,)</f>
        <v>0</v>
      </c>
      <c r="F171" s="179">
        <f ca="1">IF(ISNUMBER(MATCH(DATEVALUE($A171),'recurring1_based on steps'!F$1:F$400,0)),F$2,)</f>
        <v>0</v>
      </c>
      <c r="G171" s="179">
        <f ca="1">IF(ISNUMBER(MATCH(DATEVALUE($A171),'recurring1_based on steps'!G$1:G$400,0)),G$2,)</f>
        <v>0</v>
      </c>
      <c r="H171" s="179">
        <f ca="1">IF(ISNUMBER(MATCH(DATEVALUE($A171),'recurring1_based on steps'!H$1:H$400,0)),H$2,)</f>
        <v>0</v>
      </c>
      <c r="I171" s="179">
        <f ca="1">IF(ISNUMBER(MATCH(DATEVALUE($A171),'recurring1_based on steps'!I$1:I$400,0)),I$2,)</f>
        <v>0</v>
      </c>
      <c r="J171" s="179">
        <f ca="1">IF(ISNUMBER(MATCH(DATEVALUE($A171),'recurring1_based on steps'!J$1:J$400,0)),J$2,)</f>
        <v>0</v>
      </c>
      <c r="K171" s="179">
        <f ca="1">IF(ISNUMBER(MATCH(DATEVALUE($A171),'recurring1_based on steps'!K$1:K$400,0)),K$2,)</f>
        <v>0</v>
      </c>
      <c r="L171" s="179">
        <f ca="1">IF(ISNUMBER(MATCH(DATEVALUE($A171),'recurring1_based on steps'!L$1:L$400,0)),L$2,)</f>
        <v>0</v>
      </c>
      <c r="M171" s="179">
        <f ca="1">IF(ISNUMBER(MATCH(DATEVALUE($A171),'recurring1_based on steps'!M$1:M$400,0)),M$2,)</f>
        <v>0</v>
      </c>
      <c r="N171" s="179">
        <f ca="1">IF(ISNUMBER(MATCH(DATEVALUE($A171),'recurring1_based on steps'!N$1:N$400,0)),N$2,)</f>
        <v>0</v>
      </c>
      <c r="O171" s="179">
        <f ca="1">IF(ISNUMBER(MATCH(DATEVALUE($A171),'recurring1_based on steps'!O$1:O$400,0)),O$2,)</f>
        <v>0</v>
      </c>
      <c r="P171" s="179">
        <f ca="1">IF(ISNUMBER(MATCH(DATEVALUE($A171),'recurring1_based on steps'!P$1:P$400,0)),P$2,)</f>
        <v>0</v>
      </c>
      <c r="Q171" s="179">
        <f ca="1">IF(ISNUMBER(MATCH(DATEVALUE($A171),'recurring1_based on steps'!Q$1:Q$400,0)),Q$2,)</f>
        <v>0</v>
      </c>
      <c r="R171" s="179">
        <f ca="1">IF(ISNUMBER(MATCH(DATEVALUE($A171),'recurring1_based on steps'!R$1:R$400,0)),R$2,)</f>
        <v>0</v>
      </c>
      <c r="S171" s="179">
        <f ca="1">IF(ISNUMBER(MATCH(DATEVALUE($A171),'recurring1_based on steps'!S$1:S$400,0)),S$2,)</f>
        <v>0</v>
      </c>
      <c r="T171" s="179">
        <f ca="1">IF(ISNUMBER(MATCH(DATEVALUE($A171),'recurring1_based on steps'!T$1:T$400,0)),T$2,)</f>
        <v>0</v>
      </c>
      <c r="U171" s="179">
        <f ca="1">IF(ISNUMBER(MATCH(DATEVALUE($A171),'recurring1_based on steps'!U$1:U$400,0)),U$2,)</f>
        <v>0</v>
      </c>
      <c r="V171" s="179">
        <f ca="1">IF(ISNUMBER(MATCH(DATEVALUE($A171),'recurring1_based on steps'!V$1:V$400,0)),V$2,)</f>
        <v>0</v>
      </c>
      <c r="W171" s="179">
        <f ca="1">IF(ISNUMBER(MATCH(DATEVALUE($A171),'recurring1_based on steps'!W$1:W$400,0)),W$2,)</f>
        <v>0</v>
      </c>
      <c r="X171" s="179">
        <f ca="1">IF(ISNUMBER(MATCH(DATEVALUE($A171),'recurring1_based on steps'!X$1:X$400,0)),X$2,)</f>
        <v>0</v>
      </c>
      <c r="Y171" s="179">
        <f ca="1">IF(ISNUMBER(MATCH(DATEVALUE($A171),'recurring1_based on steps'!Y$1:Y$400,0)),Y$2,)</f>
        <v>0</v>
      </c>
      <c r="Z171" s="179">
        <f ca="1">IF(ISNUMBER(MATCH(DATEVALUE($A171),'recurring1_based on steps'!Z$1:Z$400,0)),Z$2,)</f>
        <v>0</v>
      </c>
      <c r="AA171" s="179">
        <f ca="1">IF(ISNUMBER(MATCH(DATEVALUE($A171),'recurring1_based on steps'!AA$1:AA$400,0)),AA$2,)</f>
        <v>0</v>
      </c>
      <c r="AB171" s="179">
        <f ca="1">IF(ISNUMBER(MATCH(DATEVALUE($A171),'recurring1_based on steps'!AB$1:AB$400,0)),AB$2,)</f>
        <v>0</v>
      </c>
      <c r="AC171" s="179">
        <f ca="1">IF(ISNUMBER(MATCH(DATEVALUE($A171),'recurring1_based on steps'!AC$1:AC$400,0)),AC$2,)</f>
        <v>0</v>
      </c>
      <c r="AD171" s="179">
        <f ca="1">IF(ISNUMBER(MATCH(DATEVALUE($A171),'recurring1_based on steps'!AD$1:AD$400,0)),AD$2,)</f>
        <v>0</v>
      </c>
      <c r="AE171" s="179">
        <f ca="1">IF(ISNUMBER(MATCH(DATEVALUE($A171),'recurring1_based on steps'!AE$1:AE$400,0)),AE$2,)</f>
        <v>0</v>
      </c>
      <c r="AF171" s="179">
        <f ca="1">IF(ISNUMBER(MATCH(DATEVALUE($A171),'recurring1_based on steps'!AF$1:AF$400,0)),AF$2,)</f>
        <v>0</v>
      </c>
      <c r="AG171" s="179">
        <f ca="1">IF(ISNUMBER(MATCH(DATEVALUE($A171),'recurring1_based on steps'!AG$1:AG$400,0)),AG$2,)</f>
        <v>0</v>
      </c>
      <c r="AH171" s="179">
        <f ca="1">IF(ISNUMBER(MATCH(DATEVALUE($A171),'recurring1_based on steps'!AH$1:AH$400,0)),AH$2,)</f>
        <v>0</v>
      </c>
      <c r="AI171" s="179">
        <f ca="1">IF(ISNUMBER(MATCH(DATEVALUE($A171),'recurring1_based on steps'!AI$1:AI$400,0)),AI$2,)</f>
        <v>0</v>
      </c>
      <c r="AJ171" s="179">
        <f ca="1">IF(ISNUMBER(MATCH(DATEVALUE($A171),'recurring1_based on steps'!AJ$1:AJ$400,0)),AJ$2,)</f>
        <v>0</v>
      </c>
      <c r="AK171" s="179">
        <f ca="1">IF(ISNUMBER(MATCH(DATEVALUE($A171),'recurring1_based on steps'!AK$1:AK$400,0)),AK$2,)</f>
        <v>0</v>
      </c>
      <c r="AL171" s="179">
        <f ca="1">IF(ISNUMBER(MATCH(DATEVALUE($A171),'recurring1_based on steps'!AL$1:AL$400,0)),AL$2,)</f>
        <v>0</v>
      </c>
      <c r="AM171" s="179">
        <f ca="1">IF(ISNUMBER(MATCH(DATEVALUE($A171),'recurring1_based on steps'!AM$1:AM$400,0)),AM$2,)</f>
        <v>0</v>
      </c>
      <c r="AN171" s="179">
        <f ca="1">IF(ISNUMBER(MATCH(DATEVALUE($A171),'recurring1_based on steps'!AN$1:AN$400,0)),AN$2,)</f>
        <v>0</v>
      </c>
      <c r="AO171" s="179">
        <f ca="1">IF(ISNUMBER(MATCH(DATEVALUE($A171),'recurring1_based on steps'!AO$1:AO$400,0)),AO$2,)</f>
        <v>0</v>
      </c>
      <c r="AP171" s="179">
        <f ca="1">IF(ISNUMBER(MATCH(DATEVALUE($A171),'recurring1_based on steps'!AP$1:AP$400,0)),AP$2,)</f>
        <v>0</v>
      </c>
      <c r="AQ171" s="179">
        <f ca="1">IF(ISNUMBER(MATCH(DATEVALUE($A171),'recurring1_based on steps'!AQ$1:AQ$400,0)),AQ$2,)</f>
        <v>0</v>
      </c>
      <c r="AR171" s="179">
        <f ca="1">IF(ISNUMBER(MATCH(DATEVALUE($A171),'recurring1_based on steps'!AR$1:AR$400,0)),AR$2,)</f>
        <v>0</v>
      </c>
      <c r="AS171" s="179">
        <f ca="1">IF(ISNUMBER(MATCH(DATEVALUE($A171),'recurring1_based on steps'!AS$1:AS$400,0)),AS$2,)</f>
        <v>0</v>
      </c>
      <c r="AT171" s="179">
        <f ca="1">IF(ISNUMBER(MATCH(DATEVALUE($A171),'recurring1_based on steps'!AT$1:AT$400,0)),AT$2,)</f>
        <v>0</v>
      </c>
      <c r="AU171" s="179">
        <f ca="1">IF(ISNUMBER(MATCH(DATEVALUE($A171),'recurring1_based on steps'!AU$1:AU$400,0)),AU$2,)</f>
        <v>0</v>
      </c>
      <c r="AV171" s="179">
        <f ca="1">IF(ISNUMBER(MATCH(DATEVALUE($A171),'recurring1_based on steps'!AV$1:AV$400,0)),AV$2,)</f>
        <v>0</v>
      </c>
      <c r="AW171" s="179">
        <f ca="1">IF(ISNUMBER(MATCH(DATEVALUE($A171),'recurring1_based on steps'!AW$1:AW$400,0)),AW$2,)</f>
        <v>0</v>
      </c>
      <c r="AX171" s="179">
        <f ca="1">IF(ISNUMBER(MATCH(DATEVALUE($A171),'recurring1_based on steps'!AX$1:AX$400,0)),AX$2,)</f>
        <v>0</v>
      </c>
      <c r="AY171" s="179">
        <f ca="1">IF(ISNUMBER(MATCH(DATEVALUE($A171),'recurring1_based on steps'!AY$1:AY$400,0)),AY$2,)</f>
        <v>0</v>
      </c>
    </row>
    <row r="172" spans="1:51" x14ac:dyDescent="0.2">
      <c r="A172" s="32" t="str">
        <f t="shared" ca="1" si="2"/>
        <v>2025-09-21</v>
      </c>
      <c r="B172" s="179">
        <f ca="1">IF(ISNUMBER(MATCH(DATEVALUE($A172),'recurring1_based on steps'!B$1:B$400,0)),B$2,)</f>
        <v>0</v>
      </c>
      <c r="C172" s="179">
        <f ca="1">IF(ISNUMBER(MATCH(DATEVALUE($A172),'recurring1_based on steps'!C$1:C$400,0)),C$2,)</f>
        <v>0</v>
      </c>
      <c r="D172" s="179">
        <f ca="1">IF(ISNUMBER(MATCH(DATEVALUE($A172),'recurring1_based on steps'!D$1:D$400,0)),D$2,)</f>
        <v>0</v>
      </c>
      <c r="E172" s="179">
        <f ca="1">IF(ISNUMBER(MATCH(DATEVALUE($A172),'recurring1_based on steps'!E$1:E$400,0)),E$2,)</f>
        <v>0</v>
      </c>
      <c r="F172" s="179">
        <f ca="1">IF(ISNUMBER(MATCH(DATEVALUE($A172),'recurring1_based on steps'!F$1:F$400,0)),F$2,)</f>
        <v>0</v>
      </c>
      <c r="G172" s="179">
        <f ca="1">IF(ISNUMBER(MATCH(DATEVALUE($A172),'recurring1_based on steps'!G$1:G$400,0)),G$2,)</f>
        <v>0</v>
      </c>
      <c r="H172" s="179">
        <f ca="1">IF(ISNUMBER(MATCH(DATEVALUE($A172),'recurring1_based on steps'!H$1:H$400,0)),H$2,)</f>
        <v>0</v>
      </c>
      <c r="I172" s="179">
        <f ca="1">IF(ISNUMBER(MATCH(DATEVALUE($A172),'recurring1_based on steps'!I$1:I$400,0)),I$2,)</f>
        <v>0</v>
      </c>
      <c r="J172" s="179">
        <f ca="1">IF(ISNUMBER(MATCH(DATEVALUE($A172),'recurring1_based on steps'!J$1:J$400,0)),J$2,)</f>
        <v>0</v>
      </c>
      <c r="K172" s="179">
        <f ca="1">IF(ISNUMBER(MATCH(DATEVALUE($A172),'recurring1_based on steps'!K$1:K$400,0)),K$2,)</f>
        <v>0</v>
      </c>
      <c r="L172" s="179">
        <f ca="1">IF(ISNUMBER(MATCH(DATEVALUE($A172),'recurring1_based on steps'!L$1:L$400,0)),L$2,)</f>
        <v>0</v>
      </c>
      <c r="M172" s="179">
        <f ca="1">IF(ISNUMBER(MATCH(DATEVALUE($A172),'recurring1_based on steps'!M$1:M$400,0)),M$2,)</f>
        <v>0</v>
      </c>
      <c r="N172" s="179">
        <f ca="1">IF(ISNUMBER(MATCH(DATEVALUE($A172),'recurring1_based on steps'!N$1:N$400,0)),N$2,)</f>
        <v>0</v>
      </c>
      <c r="O172" s="179">
        <f ca="1">IF(ISNUMBER(MATCH(DATEVALUE($A172),'recurring1_based on steps'!O$1:O$400,0)),O$2,)</f>
        <v>0</v>
      </c>
      <c r="P172" s="179">
        <f ca="1">IF(ISNUMBER(MATCH(DATEVALUE($A172),'recurring1_based on steps'!P$1:P$400,0)),P$2,)</f>
        <v>0</v>
      </c>
      <c r="Q172" s="179">
        <f ca="1">IF(ISNUMBER(MATCH(DATEVALUE($A172),'recurring1_based on steps'!Q$1:Q$400,0)),Q$2,)</f>
        <v>0</v>
      </c>
      <c r="R172" s="179">
        <f ca="1">IF(ISNUMBER(MATCH(DATEVALUE($A172),'recurring1_based on steps'!R$1:R$400,0)),R$2,)</f>
        <v>0</v>
      </c>
      <c r="S172" s="179">
        <f ca="1">IF(ISNUMBER(MATCH(DATEVALUE($A172),'recurring1_based on steps'!S$1:S$400,0)),S$2,)</f>
        <v>0</v>
      </c>
      <c r="T172" s="179">
        <f ca="1">IF(ISNUMBER(MATCH(DATEVALUE($A172),'recurring1_based on steps'!T$1:T$400,0)),T$2,)</f>
        <v>0</v>
      </c>
      <c r="U172" s="179">
        <f ca="1">IF(ISNUMBER(MATCH(DATEVALUE($A172),'recurring1_based on steps'!U$1:U$400,0)),U$2,)</f>
        <v>0</v>
      </c>
      <c r="V172" s="179">
        <f ca="1">IF(ISNUMBER(MATCH(DATEVALUE($A172),'recurring1_based on steps'!V$1:V$400,0)),V$2,)</f>
        <v>0</v>
      </c>
      <c r="W172" s="179">
        <f ca="1">IF(ISNUMBER(MATCH(DATEVALUE($A172),'recurring1_based on steps'!W$1:W$400,0)),W$2,)</f>
        <v>0</v>
      </c>
      <c r="X172" s="179">
        <f ca="1">IF(ISNUMBER(MATCH(DATEVALUE($A172),'recurring1_based on steps'!X$1:X$400,0)),X$2,)</f>
        <v>0</v>
      </c>
      <c r="Y172" s="179">
        <f ca="1">IF(ISNUMBER(MATCH(DATEVALUE($A172),'recurring1_based on steps'!Y$1:Y$400,0)),Y$2,)</f>
        <v>0</v>
      </c>
      <c r="Z172" s="179">
        <f ca="1">IF(ISNUMBER(MATCH(DATEVALUE($A172),'recurring1_based on steps'!Z$1:Z$400,0)),Z$2,)</f>
        <v>0</v>
      </c>
      <c r="AA172" s="179">
        <f ca="1">IF(ISNUMBER(MATCH(DATEVALUE($A172),'recurring1_based on steps'!AA$1:AA$400,0)),AA$2,)</f>
        <v>0</v>
      </c>
      <c r="AB172" s="179">
        <f ca="1">IF(ISNUMBER(MATCH(DATEVALUE($A172),'recurring1_based on steps'!AB$1:AB$400,0)),AB$2,)</f>
        <v>0</v>
      </c>
      <c r="AC172" s="179">
        <f ca="1">IF(ISNUMBER(MATCH(DATEVALUE($A172),'recurring1_based on steps'!AC$1:AC$400,0)),AC$2,)</f>
        <v>0</v>
      </c>
      <c r="AD172" s="179">
        <f ca="1">IF(ISNUMBER(MATCH(DATEVALUE($A172),'recurring1_based on steps'!AD$1:AD$400,0)),AD$2,)</f>
        <v>0</v>
      </c>
      <c r="AE172" s="179">
        <f ca="1">IF(ISNUMBER(MATCH(DATEVALUE($A172),'recurring1_based on steps'!AE$1:AE$400,0)),AE$2,)</f>
        <v>0</v>
      </c>
      <c r="AF172" s="179">
        <f ca="1">IF(ISNUMBER(MATCH(DATEVALUE($A172),'recurring1_based on steps'!AF$1:AF$400,0)),AF$2,)</f>
        <v>0</v>
      </c>
      <c r="AG172" s="179">
        <f ca="1">IF(ISNUMBER(MATCH(DATEVALUE($A172),'recurring1_based on steps'!AG$1:AG$400,0)),AG$2,)</f>
        <v>0</v>
      </c>
      <c r="AH172" s="179">
        <f ca="1">IF(ISNUMBER(MATCH(DATEVALUE($A172),'recurring1_based on steps'!AH$1:AH$400,0)),AH$2,)</f>
        <v>0</v>
      </c>
      <c r="AI172" s="179">
        <f ca="1">IF(ISNUMBER(MATCH(DATEVALUE($A172),'recurring1_based on steps'!AI$1:AI$400,0)),AI$2,)</f>
        <v>0</v>
      </c>
      <c r="AJ172" s="179">
        <f ca="1">IF(ISNUMBER(MATCH(DATEVALUE($A172),'recurring1_based on steps'!AJ$1:AJ$400,0)),AJ$2,)</f>
        <v>0</v>
      </c>
      <c r="AK172" s="179">
        <f ca="1">IF(ISNUMBER(MATCH(DATEVALUE($A172),'recurring1_based on steps'!AK$1:AK$400,0)),AK$2,)</f>
        <v>0</v>
      </c>
      <c r="AL172" s="179">
        <f ca="1">IF(ISNUMBER(MATCH(DATEVALUE($A172),'recurring1_based on steps'!AL$1:AL$400,0)),AL$2,)</f>
        <v>0</v>
      </c>
      <c r="AM172" s="179">
        <f ca="1">IF(ISNUMBER(MATCH(DATEVALUE($A172),'recurring1_based on steps'!AM$1:AM$400,0)),AM$2,)</f>
        <v>0</v>
      </c>
      <c r="AN172" s="179">
        <f ca="1">IF(ISNUMBER(MATCH(DATEVALUE($A172),'recurring1_based on steps'!AN$1:AN$400,0)),AN$2,)</f>
        <v>0</v>
      </c>
      <c r="AO172" s="179">
        <f ca="1">IF(ISNUMBER(MATCH(DATEVALUE($A172),'recurring1_based on steps'!AO$1:AO$400,0)),AO$2,)</f>
        <v>0</v>
      </c>
      <c r="AP172" s="179">
        <f ca="1">IF(ISNUMBER(MATCH(DATEVALUE($A172),'recurring1_based on steps'!AP$1:AP$400,0)),AP$2,)</f>
        <v>0</v>
      </c>
      <c r="AQ172" s="179">
        <f ca="1">IF(ISNUMBER(MATCH(DATEVALUE($A172),'recurring1_based on steps'!AQ$1:AQ$400,0)),AQ$2,)</f>
        <v>0</v>
      </c>
      <c r="AR172" s="179">
        <f ca="1">IF(ISNUMBER(MATCH(DATEVALUE($A172),'recurring1_based on steps'!AR$1:AR$400,0)),AR$2,)</f>
        <v>0</v>
      </c>
      <c r="AS172" s="179">
        <f ca="1">IF(ISNUMBER(MATCH(DATEVALUE($A172),'recurring1_based on steps'!AS$1:AS$400,0)),AS$2,)</f>
        <v>0</v>
      </c>
      <c r="AT172" s="179">
        <f ca="1">IF(ISNUMBER(MATCH(DATEVALUE($A172),'recurring1_based on steps'!AT$1:AT$400,0)),AT$2,)</f>
        <v>0</v>
      </c>
      <c r="AU172" s="179">
        <f ca="1">IF(ISNUMBER(MATCH(DATEVALUE($A172),'recurring1_based on steps'!AU$1:AU$400,0)),AU$2,)</f>
        <v>0</v>
      </c>
      <c r="AV172" s="179">
        <f ca="1">IF(ISNUMBER(MATCH(DATEVALUE($A172),'recurring1_based on steps'!AV$1:AV$400,0)),AV$2,)</f>
        <v>0</v>
      </c>
      <c r="AW172" s="179">
        <f ca="1">IF(ISNUMBER(MATCH(DATEVALUE($A172),'recurring1_based on steps'!AW$1:AW$400,0)),AW$2,)</f>
        <v>0</v>
      </c>
      <c r="AX172" s="179">
        <f ca="1">IF(ISNUMBER(MATCH(DATEVALUE($A172),'recurring1_based on steps'!AX$1:AX$400,0)),AX$2,)</f>
        <v>0</v>
      </c>
      <c r="AY172" s="179">
        <f ca="1">IF(ISNUMBER(MATCH(DATEVALUE($A172),'recurring1_based on steps'!AY$1:AY$400,0)),AY$2,)</f>
        <v>0</v>
      </c>
    </row>
    <row r="173" spans="1:51" x14ac:dyDescent="0.2">
      <c r="A173" s="32" t="str">
        <f t="shared" ca="1" si="2"/>
        <v>2025-09-22</v>
      </c>
      <c r="B173" s="179">
        <f ca="1">IF(ISNUMBER(MATCH(DATEVALUE($A173),'recurring1_based on steps'!B$1:B$400,0)),B$2,)</f>
        <v>0</v>
      </c>
      <c r="C173" s="179">
        <f ca="1">IF(ISNUMBER(MATCH(DATEVALUE($A173),'recurring1_based on steps'!C$1:C$400,0)),C$2,)</f>
        <v>0</v>
      </c>
      <c r="D173" s="179">
        <f ca="1">IF(ISNUMBER(MATCH(DATEVALUE($A173),'recurring1_based on steps'!D$1:D$400,0)),D$2,)</f>
        <v>0</v>
      </c>
      <c r="E173" s="179">
        <f ca="1">IF(ISNUMBER(MATCH(DATEVALUE($A173),'recurring1_based on steps'!E$1:E$400,0)),E$2,)</f>
        <v>0</v>
      </c>
      <c r="F173" s="179">
        <f ca="1">IF(ISNUMBER(MATCH(DATEVALUE($A173),'recurring1_based on steps'!F$1:F$400,0)),F$2,)</f>
        <v>0</v>
      </c>
      <c r="G173" s="179">
        <f ca="1">IF(ISNUMBER(MATCH(DATEVALUE($A173),'recurring1_based on steps'!G$1:G$400,0)),G$2,)</f>
        <v>0</v>
      </c>
      <c r="H173" s="179">
        <f ca="1">IF(ISNUMBER(MATCH(DATEVALUE($A173),'recurring1_based on steps'!H$1:H$400,0)),H$2,)</f>
        <v>0</v>
      </c>
      <c r="I173" s="179">
        <f ca="1">IF(ISNUMBER(MATCH(DATEVALUE($A173),'recurring1_based on steps'!I$1:I$400,0)),I$2,)</f>
        <v>0</v>
      </c>
      <c r="J173" s="179">
        <f ca="1">IF(ISNUMBER(MATCH(DATEVALUE($A173),'recurring1_based on steps'!J$1:J$400,0)),J$2,)</f>
        <v>0</v>
      </c>
      <c r="K173" s="179">
        <f ca="1">IF(ISNUMBER(MATCH(DATEVALUE($A173),'recurring1_based on steps'!K$1:K$400,0)),K$2,)</f>
        <v>0</v>
      </c>
      <c r="L173" s="179">
        <f ca="1">IF(ISNUMBER(MATCH(DATEVALUE($A173),'recurring1_based on steps'!L$1:L$400,0)),L$2,)</f>
        <v>0</v>
      </c>
      <c r="M173" s="179">
        <f ca="1">IF(ISNUMBER(MATCH(DATEVALUE($A173),'recurring1_based on steps'!M$1:M$400,0)),M$2,)</f>
        <v>0</v>
      </c>
      <c r="N173" s="179">
        <f ca="1">IF(ISNUMBER(MATCH(DATEVALUE($A173),'recurring1_based on steps'!N$1:N$400,0)),N$2,)</f>
        <v>0</v>
      </c>
      <c r="O173" s="179">
        <f ca="1">IF(ISNUMBER(MATCH(DATEVALUE($A173),'recurring1_based on steps'!O$1:O$400,0)),O$2,)</f>
        <v>0</v>
      </c>
      <c r="P173" s="179">
        <f ca="1">IF(ISNUMBER(MATCH(DATEVALUE($A173),'recurring1_based on steps'!P$1:P$400,0)),P$2,)</f>
        <v>0</v>
      </c>
      <c r="Q173" s="179">
        <f ca="1">IF(ISNUMBER(MATCH(DATEVALUE($A173),'recurring1_based on steps'!Q$1:Q$400,0)),Q$2,)</f>
        <v>0</v>
      </c>
      <c r="R173" s="179">
        <f ca="1">IF(ISNUMBER(MATCH(DATEVALUE($A173),'recurring1_based on steps'!R$1:R$400,0)),R$2,)</f>
        <v>0</v>
      </c>
      <c r="S173" s="179">
        <f ca="1">IF(ISNUMBER(MATCH(DATEVALUE($A173),'recurring1_based on steps'!S$1:S$400,0)),S$2,)</f>
        <v>0</v>
      </c>
      <c r="T173" s="179">
        <f ca="1">IF(ISNUMBER(MATCH(DATEVALUE($A173),'recurring1_based on steps'!T$1:T$400,0)),T$2,)</f>
        <v>0</v>
      </c>
      <c r="U173" s="179">
        <f ca="1">IF(ISNUMBER(MATCH(DATEVALUE($A173),'recurring1_based on steps'!U$1:U$400,0)),U$2,)</f>
        <v>0</v>
      </c>
      <c r="V173" s="179">
        <f ca="1">IF(ISNUMBER(MATCH(DATEVALUE($A173),'recurring1_based on steps'!V$1:V$400,0)),V$2,)</f>
        <v>0</v>
      </c>
      <c r="W173" s="179">
        <f ca="1">IF(ISNUMBER(MATCH(DATEVALUE($A173),'recurring1_based on steps'!W$1:W$400,0)),W$2,)</f>
        <v>0</v>
      </c>
      <c r="X173" s="179">
        <f ca="1">IF(ISNUMBER(MATCH(DATEVALUE($A173),'recurring1_based on steps'!X$1:X$400,0)),X$2,)</f>
        <v>0</v>
      </c>
      <c r="Y173" s="179">
        <f ca="1">IF(ISNUMBER(MATCH(DATEVALUE($A173),'recurring1_based on steps'!Y$1:Y$400,0)),Y$2,)</f>
        <v>0</v>
      </c>
      <c r="Z173" s="179">
        <f ca="1">IF(ISNUMBER(MATCH(DATEVALUE($A173),'recurring1_based on steps'!Z$1:Z$400,0)),Z$2,)</f>
        <v>0</v>
      </c>
      <c r="AA173" s="179">
        <f ca="1">IF(ISNUMBER(MATCH(DATEVALUE($A173),'recurring1_based on steps'!AA$1:AA$400,0)),AA$2,)</f>
        <v>0</v>
      </c>
      <c r="AB173" s="179">
        <f ca="1">IF(ISNUMBER(MATCH(DATEVALUE($A173),'recurring1_based on steps'!AB$1:AB$400,0)),AB$2,)</f>
        <v>0</v>
      </c>
      <c r="AC173" s="179">
        <f ca="1">IF(ISNUMBER(MATCH(DATEVALUE($A173),'recurring1_based on steps'!AC$1:AC$400,0)),AC$2,)</f>
        <v>0</v>
      </c>
      <c r="AD173" s="179">
        <f ca="1">IF(ISNUMBER(MATCH(DATEVALUE($A173),'recurring1_based on steps'!AD$1:AD$400,0)),AD$2,)</f>
        <v>0</v>
      </c>
      <c r="AE173" s="179">
        <f ca="1">IF(ISNUMBER(MATCH(DATEVALUE($A173),'recurring1_based on steps'!AE$1:AE$400,0)),AE$2,)</f>
        <v>0</v>
      </c>
      <c r="AF173" s="179">
        <f ca="1">IF(ISNUMBER(MATCH(DATEVALUE($A173),'recurring1_based on steps'!AF$1:AF$400,0)),AF$2,)</f>
        <v>0</v>
      </c>
      <c r="AG173" s="179">
        <f ca="1">IF(ISNUMBER(MATCH(DATEVALUE($A173),'recurring1_based on steps'!AG$1:AG$400,0)),AG$2,)</f>
        <v>0</v>
      </c>
      <c r="AH173" s="179">
        <f ca="1">IF(ISNUMBER(MATCH(DATEVALUE($A173),'recurring1_based on steps'!AH$1:AH$400,0)),AH$2,)</f>
        <v>0</v>
      </c>
      <c r="AI173" s="179">
        <f ca="1">IF(ISNUMBER(MATCH(DATEVALUE($A173),'recurring1_based on steps'!AI$1:AI$400,0)),AI$2,)</f>
        <v>0</v>
      </c>
      <c r="AJ173" s="179">
        <f ca="1">IF(ISNUMBER(MATCH(DATEVALUE($A173),'recurring1_based on steps'!AJ$1:AJ$400,0)),AJ$2,)</f>
        <v>0</v>
      </c>
      <c r="AK173" s="179">
        <f ca="1">IF(ISNUMBER(MATCH(DATEVALUE($A173),'recurring1_based on steps'!AK$1:AK$400,0)),AK$2,)</f>
        <v>0</v>
      </c>
      <c r="AL173" s="179">
        <f ca="1">IF(ISNUMBER(MATCH(DATEVALUE($A173),'recurring1_based on steps'!AL$1:AL$400,0)),AL$2,)</f>
        <v>0</v>
      </c>
      <c r="AM173" s="179">
        <f ca="1">IF(ISNUMBER(MATCH(DATEVALUE($A173),'recurring1_based on steps'!AM$1:AM$400,0)),AM$2,)</f>
        <v>0</v>
      </c>
      <c r="AN173" s="179">
        <f ca="1">IF(ISNUMBER(MATCH(DATEVALUE($A173),'recurring1_based on steps'!AN$1:AN$400,0)),AN$2,)</f>
        <v>0</v>
      </c>
      <c r="AO173" s="179">
        <f ca="1">IF(ISNUMBER(MATCH(DATEVALUE($A173),'recurring1_based on steps'!AO$1:AO$400,0)),AO$2,)</f>
        <v>0</v>
      </c>
      <c r="AP173" s="179">
        <f ca="1">IF(ISNUMBER(MATCH(DATEVALUE($A173),'recurring1_based on steps'!AP$1:AP$400,0)),AP$2,)</f>
        <v>0</v>
      </c>
      <c r="AQ173" s="179">
        <f ca="1">IF(ISNUMBER(MATCH(DATEVALUE($A173),'recurring1_based on steps'!AQ$1:AQ$400,0)),AQ$2,)</f>
        <v>0</v>
      </c>
      <c r="AR173" s="179">
        <f ca="1">IF(ISNUMBER(MATCH(DATEVALUE($A173),'recurring1_based on steps'!AR$1:AR$400,0)),AR$2,)</f>
        <v>0</v>
      </c>
      <c r="AS173" s="179">
        <f ca="1">IF(ISNUMBER(MATCH(DATEVALUE($A173),'recurring1_based on steps'!AS$1:AS$400,0)),AS$2,)</f>
        <v>0</v>
      </c>
      <c r="AT173" s="179">
        <f ca="1">IF(ISNUMBER(MATCH(DATEVALUE($A173),'recurring1_based on steps'!AT$1:AT$400,0)),AT$2,)</f>
        <v>0</v>
      </c>
      <c r="AU173" s="179">
        <f ca="1">IF(ISNUMBER(MATCH(DATEVALUE($A173),'recurring1_based on steps'!AU$1:AU$400,0)),AU$2,)</f>
        <v>0</v>
      </c>
      <c r="AV173" s="179">
        <f ca="1">IF(ISNUMBER(MATCH(DATEVALUE($A173),'recurring1_based on steps'!AV$1:AV$400,0)),AV$2,)</f>
        <v>0</v>
      </c>
      <c r="AW173" s="179">
        <f ca="1">IF(ISNUMBER(MATCH(DATEVALUE($A173),'recurring1_based on steps'!AW$1:AW$400,0)),AW$2,)</f>
        <v>0</v>
      </c>
      <c r="AX173" s="179">
        <f ca="1">IF(ISNUMBER(MATCH(DATEVALUE($A173),'recurring1_based on steps'!AX$1:AX$400,0)),AX$2,)</f>
        <v>0</v>
      </c>
      <c r="AY173" s="179">
        <f ca="1">IF(ISNUMBER(MATCH(DATEVALUE($A173),'recurring1_based on steps'!AY$1:AY$400,0)),AY$2,)</f>
        <v>0</v>
      </c>
    </row>
    <row r="174" spans="1:51" x14ac:dyDescent="0.2">
      <c r="A174" s="32" t="str">
        <f t="shared" ca="1" si="2"/>
        <v>2025-09-23</v>
      </c>
      <c r="B174" s="179">
        <f ca="1">IF(ISNUMBER(MATCH(DATEVALUE($A174),'recurring1_based on steps'!B$1:B$400,0)),B$2,)</f>
        <v>0</v>
      </c>
      <c r="C174" s="179">
        <f ca="1">IF(ISNUMBER(MATCH(DATEVALUE($A174),'recurring1_based on steps'!C$1:C$400,0)),C$2,)</f>
        <v>0</v>
      </c>
      <c r="D174" s="179">
        <f ca="1">IF(ISNUMBER(MATCH(DATEVALUE($A174),'recurring1_based on steps'!D$1:D$400,0)),D$2,)</f>
        <v>0</v>
      </c>
      <c r="E174" s="179">
        <f ca="1">IF(ISNUMBER(MATCH(DATEVALUE($A174),'recurring1_based on steps'!E$1:E$400,0)),E$2,)</f>
        <v>0</v>
      </c>
      <c r="F174" s="179">
        <f ca="1">IF(ISNUMBER(MATCH(DATEVALUE($A174),'recurring1_based on steps'!F$1:F$400,0)),F$2,)</f>
        <v>0</v>
      </c>
      <c r="G174" s="179">
        <f ca="1">IF(ISNUMBER(MATCH(DATEVALUE($A174),'recurring1_based on steps'!G$1:G$400,0)),G$2,)</f>
        <v>0</v>
      </c>
      <c r="H174" s="179">
        <f ca="1">IF(ISNUMBER(MATCH(DATEVALUE($A174),'recurring1_based on steps'!H$1:H$400,0)),H$2,)</f>
        <v>0</v>
      </c>
      <c r="I174" s="179">
        <f ca="1">IF(ISNUMBER(MATCH(DATEVALUE($A174),'recurring1_based on steps'!I$1:I$400,0)),I$2,)</f>
        <v>0</v>
      </c>
      <c r="J174" s="179">
        <f ca="1">IF(ISNUMBER(MATCH(DATEVALUE($A174),'recurring1_based on steps'!J$1:J$400,0)),J$2,)</f>
        <v>0</v>
      </c>
      <c r="K174" s="179">
        <f ca="1">IF(ISNUMBER(MATCH(DATEVALUE($A174),'recurring1_based on steps'!K$1:K$400,0)),K$2,)</f>
        <v>0</v>
      </c>
      <c r="L174" s="179">
        <f ca="1">IF(ISNUMBER(MATCH(DATEVALUE($A174),'recurring1_based on steps'!L$1:L$400,0)),L$2,)</f>
        <v>0</v>
      </c>
      <c r="M174" s="179">
        <f ca="1">IF(ISNUMBER(MATCH(DATEVALUE($A174),'recurring1_based on steps'!M$1:M$400,0)),M$2,)</f>
        <v>0</v>
      </c>
      <c r="N174" s="179">
        <f ca="1">IF(ISNUMBER(MATCH(DATEVALUE($A174),'recurring1_based on steps'!N$1:N$400,0)),N$2,)</f>
        <v>0</v>
      </c>
      <c r="O174" s="179">
        <f ca="1">IF(ISNUMBER(MATCH(DATEVALUE($A174),'recurring1_based on steps'!O$1:O$400,0)),O$2,)</f>
        <v>0</v>
      </c>
      <c r="P174" s="179">
        <f ca="1">IF(ISNUMBER(MATCH(DATEVALUE($A174),'recurring1_based on steps'!P$1:P$400,0)),P$2,)</f>
        <v>0</v>
      </c>
      <c r="Q174" s="179">
        <f ca="1">IF(ISNUMBER(MATCH(DATEVALUE($A174),'recurring1_based on steps'!Q$1:Q$400,0)),Q$2,)</f>
        <v>0</v>
      </c>
      <c r="R174" s="179">
        <f ca="1">IF(ISNUMBER(MATCH(DATEVALUE($A174),'recurring1_based on steps'!R$1:R$400,0)),R$2,)</f>
        <v>0</v>
      </c>
      <c r="S174" s="179">
        <f ca="1">IF(ISNUMBER(MATCH(DATEVALUE($A174),'recurring1_based on steps'!S$1:S$400,0)),S$2,)</f>
        <v>0</v>
      </c>
      <c r="T174" s="179">
        <f ca="1">IF(ISNUMBER(MATCH(DATEVALUE($A174),'recurring1_based on steps'!T$1:T$400,0)),T$2,)</f>
        <v>0</v>
      </c>
      <c r="U174" s="179">
        <f ca="1">IF(ISNUMBER(MATCH(DATEVALUE($A174),'recurring1_based on steps'!U$1:U$400,0)),U$2,)</f>
        <v>0</v>
      </c>
      <c r="V174" s="179">
        <f ca="1">IF(ISNUMBER(MATCH(DATEVALUE($A174),'recurring1_based on steps'!V$1:V$400,0)),V$2,)</f>
        <v>0</v>
      </c>
      <c r="W174" s="179">
        <f ca="1">IF(ISNUMBER(MATCH(DATEVALUE($A174),'recurring1_based on steps'!W$1:W$400,0)),W$2,)</f>
        <v>0</v>
      </c>
      <c r="X174" s="179">
        <f ca="1">IF(ISNUMBER(MATCH(DATEVALUE($A174),'recurring1_based on steps'!X$1:X$400,0)),X$2,)</f>
        <v>0</v>
      </c>
      <c r="Y174" s="179">
        <f ca="1">IF(ISNUMBER(MATCH(DATEVALUE($A174),'recurring1_based on steps'!Y$1:Y$400,0)),Y$2,)</f>
        <v>0</v>
      </c>
      <c r="Z174" s="179">
        <f ca="1">IF(ISNUMBER(MATCH(DATEVALUE($A174),'recurring1_based on steps'!Z$1:Z$400,0)),Z$2,)</f>
        <v>0</v>
      </c>
      <c r="AA174" s="179">
        <f ca="1">IF(ISNUMBER(MATCH(DATEVALUE($A174),'recurring1_based on steps'!AA$1:AA$400,0)),AA$2,)</f>
        <v>0</v>
      </c>
      <c r="AB174" s="179">
        <f ca="1">IF(ISNUMBER(MATCH(DATEVALUE($A174),'recurring1_based on steps'!AB$1:AB$400,0)),AB$2,)</f>
        <v>0</v>
      </c>
      <c r="AC174" s="179">
        <f ca="1">IF(ISNUMBER(MATCH(DATEVALUE($A174),'recurring1_based on steps'!AC$1:AC$400,0)),AC$2,)</f>
        <v>0</v>
      </c>
      <c r="AD174" s="179">
        <f ca="1">IF(ISNUMBER(MATCH(DATEVALUE($A174),'recurring1_based on steps'!AD$1:AD$400,0)),AD$2,)</f>
        <v>0</v>
      </c>
      <c r="AE174" s="179">
        <f ca="1">IF(ISNUMBER(MATCH(DATEVALUE($A174),'recurring1_based on steps'!AE$1:AE$400,0)),AE$2,)</f>
        <v>0</v>
      </c>
      <c r="AF174" s="179">
        <f ca="1">IF(ISNUMBER(MATCH(DATEVALUE($A174),'recurring1_based on steps'!AF$1:AF$400,0)),AF$2,)</f>
        <v>0</v>
      </c>
      <c r="AG174" s="179">
        <f ca="1">IF(ISNUMBER(MATCH(DATEVALUE($A174),'recurring1_based on steps'!AG$1:AG$400,0)),AG$2,)</f>
        <v>0</v>
      </c>
      <c r="AH174" s="179">
        <f ca="1">IF(ISNUMBER(MATCH(DATEVALUE($A174),'recurring1_based on steps'!AH$1:AH$400,0)),AH$2,)</f>
        <v>0</v>
      </c>
      <c r="AI174" s="179">
        <f ca="1">IF(ISNUMBER(MATCH(DATEVALUE($A174),'recurring1_based on steps'!AI$1:AI$400,0)),AI$2,)</f>
        <v>0</v>
      </c>
      <c r="AJ174" s="179">
        <f ca="1">IF(ISNUMBER(MATCH(DATEVALUE($A174),'recurring1_based on steps'!AJ$1:AJ$400,0)),AJ$2,)</f>
        <v>0</v>
      </c>
      <c r="AK174" s="179">
        <f ca="1">IF(ISNUMBER(MATCH(DATEVALUE($A174),'recurring1_based on steps'!AK$1:AK$400,0)),AK$2,)</f>
        <v>0</v>
      </c>
      <c r="AL174" s="179">
        <f ca="1">IF(ISNUMBER(MATCH(DATEVALUE($A174),'recurring1_based on steps'!AL$1:AL$400,0)),AL$2,)</f>
        <v>0</v>
      </c>
      <c r="AM174" s="179">
        <f ca="1">IF(ISNUMBER(MATCH(DATEVALUE($A174),'recurring1_based on steps'!AM$1:AM$400,0)),AM$2,)</f>
        <v>0</v>
      </c>
      <c r="AN174" s="179">
        <f ca="1">IF(ISNUMBER(MATCH(DATEVALUE($A174),'recurring1_based on steps'!AN$1:AN$400,0)),AN$2,)</f>
        <v>0</v>
      </c>
      <c r="AO174" s="179">
        <f ca="1">IF(ISNUMBER(MATCH(DATEVALUE($A174),'recurring1_based on steps'!AO$1:AO$400,0)),AO$2,)</f>
        <v>0</v>
      </c>
      <c r="AP174" s="179">
        <f ca="1">IF(ISNUMBER(MATCH(DATEVALUE($A174),'recurring1_based on steps'!AP$1:AP$400,0)),AP$2,)</f>
        <v>0</v>
      </c>
      <c r="AQ174" s="179">
        <f ca="1">IF(ISNUMBER(MATCH(DATEVALUE($A174),'recurring1_based on steps'!AQ$1:AQ$400,0)),AQ$2,)</f>
        <v>0</v>
      </c>
      <c r="AR174" s="179">
        <f ca="1">IF(ISNUMBER(MATCH(DATEVALUE($A174),'recurring1_based on steps'!AR$1:AR$400,0)),AR$2,)</f>
        <v>0</v>
      </c>
      <c r="AS174" s="179">
        <f ca="1">IF(ISNUMBER(MATCH(DATEVALUE($A174),'recurring1_based on steps'!AS$1:AS$400,0)),AS$2,)</f>
        <v>0</v>
      </c>
      <c r="AT174" s="179">
        <f ca="1">IF(ISNUMBER(MATCH(DATEVALUE($A174),'recurring1_based on steps'!AT$1:AT$400,0)),AT$2,)</f>
        <v>0</v>
      </c>
      <c r="AU174" s="179">
        <f ca="1">IF(ISNUMBER(MATCH(DATEVALUE($A174),'recurring1_based on steps'!AU$1:AU$400,0)),AU$2,)</f>
        <v>0</v>
      </c>
      <c r="AV174" s="179">
        <f ca="1">IF(ISNUMBER(MATCH(DATEVALUE($A174),'recurring1_based on steps'!AV$1:AV$400,0)),AV$2,)</f>
        <v>0</v>
      </c>
      <c r="AW174" s="179">
        <f ca="1">IF(ISNUMBER(MATCH(DATEVALUE($A174),'recurring1_based on steps'!AW$1:AW$400,0)),AW$2,)</f>
        <v>0</v>
      </c>
      <c r="AX174" s="179">
        <f ca="1">IF(ISNUMBER(MATCH(DATEVALUE($A174),'recurring1_based on steps'!AX$1:AX$400,0)),AX$2,)</f>
        <v>0</v>
      </c>
      <c r="AY174" s="179">
        <f ca="1">IF(ISNUMBER(MATCH(DATEVALUE($A174),'recurring1_based on steps'!AY$1:AY$400,0)),AY$2,)</f>
        <v>0</v>
      </c>
    </row>
    <row r="175" spans="1:51" x14ac:dyDescent="0.2">
      <c r="A175" s="32" t="str">
        <f t="shared" ca="1" si="2"/>
        <v>2025-09-24</v>
      </c>
      <c r="B175" s="179">
        <f ca="1">IF(ISNUMBER(MATCH(DATEVALUE($A175),'recurring1_based on steps'!B$1:B$400,0)),B$2,)</f>
        <v>0</v>
      </c>
      <c r="C175" s="179">
        <f ca="1">IF(ISNUMBER(MATCH(DATEVALUE($A175),'recurring1_based on steps'!C$1:C$400,0)),C$2,)</f>
        <v>0</v>
      </c>
      <c r="D175" s="179">
        <f ca="1">IF(ISNUMBER(MATCH(DATEVALUE($A175),'recurring1_based on steps'!D$1:D$400,0)),D$2,)</f>
        <v>0</v>
      </c>
      <c r="E175" s="179">
        <f ca="1">IF(ISNUMBER(MATCH(DATEVALUE($A175),'recurring1_based on steps'!E$1:E$400,0)),E$2,)</f>
        <v>0</v>
      </c>
      <c r="F175" s="179">
        <f ca="1">IF(ISNUMBER(MATCH(DATEVALUE($A175),'recurring1_based on steps'!F$1:F$400,0)),F$2,)</f>
        <v>0</v>
      </c>
      <c r="G175" s="179">
        <f ca="1">IF(ISNUMBER(MATCH(DATEVALUE($A175),'recurring1_based on steps'!G$1:G$400,0)),G$2,)</f>
        <v>0</v>
      </c>
      <c r="H175" s="179">
        <f ca="1">IF(ISNUMBER(MATCH(DATEVALUE($A175),'recurring1_based on steps'!H$1:H$400,0)),H$2,)</f>
        <v>0</v>
      </c>
      <c r="I175" s="179">
        <f ca="1">IF(ISNUMBER(MATCH(DATEVALUE($A175),'recurring1_based on steps'!I$1:I$400,0)),I$2,)</f>
        <v>0</v>
      </c>
      <c r="J175" s="179">
        <f ca="1">IF(ISNUMBER(MATCH(DATEVALUE($A175),'recurring1_based on steps'!J$1:J$400,0)),J$2,)</f>
        <v>0</v>
      </c>
      <c r="K175" s="179">
        <f ca="1">IF(ISNUMBER(MATCH(DATEVALUE($A175),'recurring1_based on steps'!K$1:K$400,0)),K$2,)</f>
        <v>0</v>
      </c>
      <c r="L175" s="179">
        <f ca="1">IF(ISNUMBER(MATCH(DATEVALUE($A175),'recurring1_based on steps'!L$1:L$400,0)),L$2,)</f>
        <v>0</v>
      </c>
      <c r="M175" s="179">
        <f ca="1">IF(ISNUMBER(MATCH(DATEVALUE($A175),'recurring1_based on steps'!M$1:M$400,0)),M$2,)</f>
        <v>0</v>
      </c>
      <c r="N175" s="179">
        <f ca="1">IF(ISNUMBER(MATCH(DATEVALUE($A175),'recurring1_based on steps'!N$1:N$400,0)),N$2,)</f>
        <v>0</v>
      </c>
      <c r="O175" s="179">
        <f ca="1">IF(ISNUMBER(MATCH(DATEVALUE($A175),'recurring1_based on steps'!O$1:O$400,0)),O$2,)</f>
        <v>0</v>
      </c>
      <c r="P175" s="179">
        <f ca="1">IF(ISNUMBER(MATCH(DATEVALUE($A175),'recurring1_based on steps'!P$1:P$400,0)),P$2,)</f>
        <v>0</v>
      </c>
      <c r="Q175" s="179">
        <f ca="1">IF(ISNUMBER(MATCH(DATEVALUE($A175),'recurring1_based on steps'!Q$1:Q$400,0)),Q$2,)</f>
        <v>0</v>
      </c>
      <c r="R175" s="179">
        <f ca="1">IF(ISNUMBER(MATCH(DATEVALUE($A175),'recurring1_based on steps'!R$1:R$400,0)),R$2,)</f>
        <v>0</v>
      </c>
      <c r="S175" s="179">
        <f ca="1">IF(ISNUMBER(MATCH(DATEVALUE($A175),'recurring1_based on steps'!S$1:S$400,0)),S$2,)</f>
        <v>0</v>
      </c>
      <c r="T175" s="179">
        <f ca="1">IF(ISNUMBER(MATCH(DATEVALUE($A175),'recurring1_based on steps'!T$1:T$400,0)),T$2,)</f>
        <v>0</v>
      </c>
      <c r="U175" s="179">
        <f ca="1">IF(ISNUMBER(MATCH(DATEVALUE($A175),'recurring1_based on steps'!U$1:U$400,0)),U$2,)</f>
        <v>0</v>
      </c>
      <c r="V175" s="179">
        <f ca="1">IF(ISNUMBER(MATCH(DATEVALUE($A175),'recurring1_based on steps'!V$1:V$400,0)),V$2,)</f>
        <v>0</v>
      </c>
      <c r="W175" s="179">
        <f ca="1">IF(ISNUMBER(MATCH(DATEVALUE($A175),'recurring1_based on steps'!W$1:W$400,0)),W$2,)</f>
        <v>0</v>
      </c>
      <c r="X175" s="179">
        <f ca="1">IF(ISNUMBER(MATCH(DATEVALUE($A175),'recurring1_based on steps'!X$1:X$400,0)),X$2,)</f>
        <v>0</v>
      </c>
      <c r="Y175" s="179">
        <f ca="1">IF(ISNUMBER(MATCH(DATEVALUE($A175),'recurring1_based on steps'!Y$1:Y$400,0)),Y$2,)</f>
        <v>0</v>
      </c>
      <c r="Z175" s="179">
        <f ca="1">IF(ISNUMBER(MATCH(DATEVALUE($A175),'recurring1_based on steps'!Z$1:Z$400,0)),Z$2,)</f>
        <v>0</v>
      </c>
      <c r="AA175" s="179">
        <f ca="1">IF(ISNUMBER(MATCH(DATEVALUE($A175),'recurring1_based on steps'!AA$1:AA$400,0)),AA$2,)</f>
        <v>0</v>
      </c>
      <c r="AB175" s="179">
        <f ca="1">IF(ISNUMBER(MATCH(DATEVALUE($A175),'recurring1_based on steps'!AB$1:AB$400,0)),AB$2,)</f>
        <v>0</v>
      </c>
      <c r="AC175" s="179">
        <f ca="1">IF(ISNUMBER(MATCH(DATEVALUE($A175),'recurring1_based on steps'!AC$1:AC$400,0)),AC$2,)</f>
        <v>0</v>
      </c>
      <c r="AD175" s="179">
        <f ca="1">IF(ISNUMBER(MATCH(DATEVALUE($A175),'recurring1_based on steps'!AD$1:AD$400,0)),AD$2,)</f>
        <v>0</v>
      </c>
      <c r="AE175" s="179">
        <f ca="1">IF(ISNUMBER(MATCH(DATEVALUE($A175),'recurring1_based on steps'!AE$1:AE$400,0)),AE$2,)</f>
        <v>0</v>
      </c>
      <c r="AF175" s="179">
        <f ca="1">IF(ISNUMBER(MATCH(DATEVALUE($A175),'recurring1_based on steps'!AF$1:AF$400,0)),AF$2,)</f>
        <v>0</v>
      </c>
      <c r="AG175" s="179">
        <f ca="1">IF(ISNUMBER(MATCH(DATEVALUE($A175),'recurring1_based on steps'!AG$1:AG$400,0)),AG$2,)</f>
        <v>0</v>
      </c>
      <c r="AH175" s="179">
        <f ca="1">IF(ISNUMBER(MATCH(DATEVALUE($A175),'recurring1_based on steps'!AH$1:AH$400,0)),AH$2,)</f>
        <v>0</v>
      </c>
      <c r="AI175" s="179">
        <f ca="1">IF(ISNUMBER(MATCH(DATEVALUE($A175),'recurring1_based on steps'!AI$1:AI$400,0)),AI$2,)</f>
        <v>0</v>
      </c>
      <c r="AJ175" s="179">
        <f ca="1">IF(ISNUMBER(MATCH(DATEVALUE($A175),'recurring1_based on steps'!AJ$1:AJ$400,0)),AJ$2,)</f>
        <v>0</v>
      </c>
      <c r="AK175" s="179">
        <f ca="1">IF(ISNUMBER(MATCH(DATEVALUE($A175),'recurring1_based on steps'!AK$1:AK$400,0)),AK$2,)</f>
        <v>0</v>
      </c>
      <c r="AL175" s="179">
        <f ca="1">IF(ISNUMBER(MATCH(DATEVALUE($A175),'recurring1_based on steps'!AL$1:AL$400,0)),AL$2,)</f>
        <v>0</v>
      </c>
      <c r="AM175" s="179">
        <f ca="1">IF(ISNUMBER(MATCH(DATEVALUE($A175),'recurring1_based on steps'!AM$1:AM$400,0)),AM$2,)</f>
        <v>0</v>
      </c>
      <c r="AN175" s="179">
        <f ca="1">IF(ISNUMBER(MATCH(DATEVALUE($A175),'recurring1_based on steps'!AN$1:AN$400,0)),AN$2,)</f>
        <v>0</v>
      </c>
      <c r="AO175" s="179">
        <f ca="1">IF(ISNUMBER(MATCH(DATEVALUE($A175),'recurring1_based on steps'!AO$1:AO$400,0)),AO$2,)</f>
        <v>0</v>
      </c>
      <c r="AP175" s="179">
        <f ca="1">IF(ISNUMBER(MATCH(DATEVALUE($A175),'recurring1_based on steps'!AP$1:AP$400,0)),AP$2,)</f>
        <v>0</v>
      </c>
      <c r="AQ175" s="179">
        <f ca="1">IF(ISNUMBER(MATCH(DATEVALUE($A175),'recurring1_based on steps'!AQ$1:AQ$400,0)),AQ$2,)</f>
        <v>0</v>
      </c>
      <c r="AR175" s="179">
        <f ca="1">IF(ISNUMBER(MATCH(DATEVALUE($A175),'recurring1_based on steps'!AR$1:AR$400,0)),AR$2,)</f>
        <v>0</v>
      </c>
      <c r="AS175" s="179">
        <f ca="1">IF(ISNUMBER(MATCH(DATEVALUE($A175),'recurring1_based on steps'!AS$1:AS$400,0)),AS$2,)</f>
        <v>0</v>
      </c>
      <c r="AT175" s="179">
        <f ca="1">IF(ISNUMBER(MATCH(DATEVALUE($A175),'recurring1_based on steps'!AT$1:AT$400,0)),AT$2,)</f>
        <v>0</v>
      </c>
      <c r="AU175" s="179">
        <f ca="1">IF(ISNUMBER(MATCH(DATEVALUE($A175),'recurring1_based on steps'!AU$1:AU$400,0)),AU$2,)</f>
        <v>0</v>
      </c>
      <c r="AV175" s="179">
        <f ca="1">IF(ISNUMBER(MATCH(DATEVALUE($A175),'recurring1_based on steps'!AV$1:AV$400,0)),AV$2,)</f>
        <v>0</v>
      </c>
      <c r="AW175" s="179">
        <f ca="1">IF(ISNUMBER(MATCH(DATEVALUE($A175),'recurring1_based on steps'!AW$1:AW$400,0)),AW$2,)</f>
        <v>0</v>
      </c>
      <c r="AX175" s="179">
        <f ca="1">IF(ISNUMBER(MATCH(DATEVALUE($A175),'recurring1_based on steps'!AX$1:AX$400,0)),AX$2,)</f>
        <v>0</v>
      </c>
      <c r="AY175" s="179">
        <f ca="1">IF(ISNUMBER(MATCH(DATEVALUE($A175),'recurring1_based on steps'!AY$1:AY$400,0)),AY$2,)</f>
        <v>0</v>
      </c>
    </row>
    <row r="176" spans="1:51" x14ac:dyDescent="0.2">
      <c r="A176" s="32" t="str">
        <f t="shared" ca="1" si="2"/>
        <v>2025-09-25</v>
      </c>
      <c r="B176" s="179">
        <f ca="1">IF(ISNUMBER(MATCH(DATEVALUE($A176),'recurring1_based on steps'!B$1:B$400,0)),B$2,)</f>
        <v>0</v>
      </c>
      <c r="C176" s="179">
        <f ca="1">IF(ISNUMBER(MATCH(DATEVALUE($A176),'recurring1_based on steps'!C$1:C$400,0)),C$2,)</f>
        <v>0</v>
      </c>
      <c r="D176" s="179">
        <f ca="1">IF(ISNUMBER(MATCH(DATEVALUE($A176),'recurring1_based on steps'!D$1:D$400,0)),D$2,)</f>
        <v>0</v>
      </c>
      <c r="E176" s="179">
        <f ca="1">IF(ISNUMBER(MATCH(DATEVALUE($A176),'recurring1_based on steps'!E$1:E$400,0)),E$2,)</f>
        <v>0</v>
      </c>
      <c r="F176" s="179">
        <f ca="1">IF(ISNUMBER(MATCH(DATEVALUE($A176),'recurring1_based on steps'!F$1:F$400,0)),F$2,)</f>
        <v>0</v>
      </c>
      <c r="G176" s="179">
        <f ca="1">IF(ISNUMBER(MATCH(DATEVALUE($A176),'recurring1_based on steps'!G$1:G$400,0)),G$2,)</f>
        <v>0</v>
      </c>
      <c r="H176" s="179">
        <f ca="1">IF(ISNUMBER(MATCH(DATEVALUE($A176),'recurring1_based on steps'!H$1:H$400,0)),H$2,)</f>
        <v>0</v>
      </c>
      <c r="I176" s="179">
        <f ca="1">IF(ISNUMBER(MATCH(DATEVALUE($A176),'recurring1_based on steps'!I$1:I$400,0)),I$2,)</f>
        <v>0</v>
      </c>
      <c r="J176" s="179">
        <f ca="1">IF(ISNUMBER(MATCH(DATEVALUE($A176),'recurring1_based on steps'!J$1:J$400,0)),J$2,)</f>
        <v>0</v>
      </c>
      <c r="K176" s="179">
        <f ca="1">IF(ISNUMBER(MATCH(DATEVALUE($A176),'recurring1_based on steps'!K$1:K$400,0)),K$2,)</f>
        <v>0</v>
      </c>
      <c r="L176" s="179">
        <f ca="1">IF(ISNUMBER(MATCH(DATEVALUE($A176),'recurring1_based on steps'!L$1:L$400,0)),L$2,)</f>
        <v>0</v>
      </c>
      <c r="M176" s="179">
        <f ca="1">IF(ISNUMBER(MATCH(DATEVALUE($A176),'recurring1_based on steps'!M$1:M$400,0)),M$2,)</f>
        <v>0</v>
      </c>
      <c r="N176" s="179">
        <f ca="1">IF(ISNUMBER(MATCH(DATEVALUE($A176),'recurring1_based on steps'!N$1:N$400,0)),N$2,)</f>
        <v>0</v>
      </c>
      <c r="O176" s="179">
        <f ca="1">IF(ISNUMBER(MATCH(DATEVALUE($A176),'recurring1_based on steps'!O$1:O$400,0)),O$2,)</f>
        <v>0</v>
      </c>
      <c r="P176" s="179">
        <f ca="1">IF(ISNUMBER(MATCH(DATEVALUE($A176),'recurring1_based on steps'!P$1:P$400,0)),P$2,)</f>
        <v>0</v>
      </c>
      <c r="Q176" s="179">
        <f ca="1">IF(ISNUMBER(MATCH(DATEVALUE($A176),'recurring1_based on steps'!Q$1:Q$400,0)),Q$2,)</f>
        <v>0</v>
      </c>
      <c r="R176" s="179">
        <f ca="1">IF(ISNUMBER(MATCH(DATEVALUE($A176),'recurring1_based on steps'!R$1:R$400,0)),R$2,)</f>
        <v>0</v>
      </c>
      <c r="S176" s="179">
        <f ca="1">IF(ISNUMBER(MATCH(DATEVALUE($A176),'recurring1_based on steps'!S$1:S$400,0)),S$2,)</f>
        <v>0</v>
      </c>
      <c r="T176" s="179">
        <f ca="1">IF(ISNUMBER(MATCH(DATEVALUE($A176),'recurring1_based on steps'!T$1:T$400,0)),T$2,)</f>
        <v>0</v>
      </c>
      <c r="U176" s="179">
        <f ca="1">IF(ISNUMBER(MATCH(DATEVALUE($A176),'recurring1_based on steps'!U$1:U$400,0)),U$2,)</f>
        <v>0</v>
      </c>
      <c r="V176" s="179">
        <f ca="1">IF(ISNUMBER(MATCH(DATEVALUE($A176),'recurring1_based on steps'!V$1:V$400,0)),V$2,)</f>
        <v>0</v>
      </c>
      <c r="W176" s="179">
        <f ca="1">IF(ISNUMBER(MATCH(DATEVALUE($A176),'recurring1_based on steps'!W$1:W$400,0)),W$2,)</f>
        <v>0</v>
      </c>
      <c r="X176" s="179">
        <f ca="1">IF(ISNUMBER(MATCH(DATEVALUE($A176),'recurring1_based on steps'!X$1:X$400,0)),X$2,)</f>
        <v>0</v>
      </c>
      <c r="Y176" s="179">
        <f ca="1">IF(ISNUMBER(MATCH(DATEVALUE($A176),'recurring1_based on steps'!Y$1:Y$400,0)),Y$2,)</f>
        <v>0</v>
      </c>
      <c r="Z176" s="179">
        <f ca="1">IF(ISNUMBER(MATCH(DATEVALUE($A176),'recurring1_based on steps'!Z$1:Z$400,0)),Z$2,)</f>
        <v>0</v>
      </c>
      <c r="AA176" s="179">
        <f ca="1">IF(ISNUMBER(MATCH(DATEVALUE($A176),'recurring1_based on steps'!AA$1:AA$400,0)),AA$2,)</f>
        <v>0</v>
      </c>
      <c r="AB176" s="179">
        <f ca="1">IF(ISNUMBER(MATCH(DATEVALUE($A176),'recurring1_based on steps'!AB$1:AB$400,0)),AB$2,)</f>
        <v>0</v>
      </c>
      <c r="AC176" s="179">
        <f ca="1">IF(ISNUMBER(MATCH(DATEVALUE($A176),'recurring1_based on steps'!AC$1:AC$400,0)),AC$2,)</f>
        <v>0</v>
      </c>
      <c r="AD176" s="179">
        <f ca="1">IF(ISNUMBER(MATCH(DATEVALUE($A176),'recurring1_based on steps'!AD$1:AD$400,0)),AD$2,)</f>
        <v>0</v>
      </c>
      <c r="AE176" s="179">
        <f ca="1">IF(ISNUMBER(MATCH(DATEVALUE($A176),'recurring1_based on steps'!AE$1:AE$400,0)),AE$2,)</f>
        <v>0</v>
      </c>
      <c r="AF176" s="179">
        <f ca="1">IF(ISNUMBER(MATCH(DATEVALUE($A176),'recurring1_based on steps'!AF$1:AF$400,0)),AF$2,)</f>
        <v>0</v>
      </c>
      <c r="AG176" s="179">
        <f ca="1">IF(ISNUMBER(MATCH(DATEVALUE($A176),'recurring1_based on steps'!AG$1:AG$400,0)),AG$2,)</f>
        <v>0</v>
      </c>
      <c r="AH176" s="179">
        <f ca="1">IF(ISNUMBER(MATCH(DATEVALUE($A176),'recurring1_based on steps'!AH$1:AH$400,0)),AH$2,)</f>
        <v>0</v>
      </c>
      <c r="AI176" s="179">
        <f ca="1">IF(ISNUMBER(MATCH(DATEVALUE($A176),'recurring1_based on steps'!AI$1:AI$400,0)),AI$2,)</f>
        <v>0</v>
      </c>
      <c r="AJ176" s="179">
        <f ca="1">IF(ISNUMBER(MATCH(DATEVALUE($A176),'recurring1_based on steps'!AJ$1:AJ$400,0)),AJ$2,)</f>
        <v>0</v>
      </c>
      <c r="AK176" s="179">
        <f ca="1">IF(ISNUMBER(MATCH(DATEVALUE($A176),'recurring1_based on steps'!AK$1:AK$400,0)),AK$2,)</f>
        <v>0</v>
      </c>
      <c r="AL176" s="179">
        <f ca="1">IF(ISNUMBER(MATCH(DATEVALUE($A176),'recurring1_based on steps'!AL$1:AL$400,0)),AL$2,)</f>
        <v>0</v>
      </c>
      <c r="AM176" s="179">
        <f ca="1">IF(ISNUMBER(MATCH(DATEVALUE($A176),'recurring1_based on steps'!AM$1:AM$400,0)),AM$2,)</f>
        <v>0</v>
      </c>
      <c r="AN176" s="179">
        <f ca="1">IF(ISNUMBER(MATCH(DATEVALUE($A176),'recurring1_based on steps'!AN$1:AN$400,0)),AN$2,)</f>
        <v>0</v>
      </c>
      <c r="AO176" s="179">
        <f ca="1">IF(ISNUMBER(MATCH(DATEVALUE($A176),'recurring1_based on steps'!AO$1:AO$400,0)),AO$2,)</f>
        <v>0</v>
      </c>
      <c r="AP176" s="179">
        <f ca="1">IF(ISNUMBER(MATCH(DATEVALUE($A176),'recurring1_based on steps'!AP$1:AP$400,0)),AP$2,)</f>
        <v>0</v>
      </c>
      <c r="AQ176" s="179">
        <f ca="1">IF(ISNUMBER(MATCH(DATEVALUE($A176),'recurring1_based on steps'!AQ$1:AQ$400,0)),AQ$2,)</f>
        <v>0</v>
      </c>
      <c r="AR176" s="179">
        <f ca="1">IF(ISNUMBER(MATCH(DATEVALUE($A176),'recurring1_based on steps'!AR$1:AR$400,0)),AR$2,)</f>
        <v>0</v>
      </c>
      <c r="AS176" s="179">
        <f ca="1">IF(ISNUMBER(MATCH(DATEVALUE($A176),'recurring1_based on steps'!AS$1:AS$400,0)),AS$2,)</f>
        <v>0</v>
      </c>
      <c r="AT176" s="179">
        <f ca="1">IF(ISNUMBER(MATCH(DATEVALUE($A176),'recurring1_based on steps'!AT$1:AT$400,0)),AT$2,)</f>
        <v>0</v>
      </c>
      <c r="AU176" s="179">
        <f ca="1">IF(ISNUMBER(MATCH(DATEVALUE($A176),'recurring1_based on steps'!AU$1:AU$400,0)),AU$2,)</f>
        <v>0</v>
      </c>
      <c r="AV176" s="179">
        <f ca="1">IF(ISNUMBER(MATCH(DATEVALUE($A176),'recurring1_based on steps'!AV$1:AV$400,0)),AV$2,)</f>
        <v>0</v>
      </c>
      <c r="AW176" s="179">
        <f ca="1">IF(ISNUMBER(MATCH(DATEVALUE($A176),'recurring1_based on steps'!AW$1:AW$400,0)),AW$2,)</f>
        <v>0</v>
      </c>
      <c r="AX176" s="179">
        <f ca="1">IF(ISNUMBER(MATCH(DATEVALUE($A176),'recurring1_based on steps'!AX$1:AX$400,0)),AX$2,)</f>
        <v>0</v>
      </c>
      <c r="AY176" s="179">
        <f ca="1">IF(ISNUMBER(MATCH(DATEVALUE($A176),'recurring1_based on steps'!AY$1:AY$400,0)),AY$2,)</f>
        <v>0</v>
      </c>
    </row>
    <row r="177" spans="1:51" x14ac:dyDescent="0.2">
      <c r="A177" s="32" t="str">
        <f t="shared" ca="1" si="2"/>
        <v>2025-09-26</v>
      </c>
      <c r="B177" s="179">
        <f ca="1">IF(ISNUMBER(MATCH(DATEVALUE($A177),'recurring1_based on steps'!B$1:B$400,0)),B$2,)</f>
        <v>0</v>
      </c>
      <c r="C177" s="179">
        <f ca="1">IF(ISNUMBER(MATCH(DATEVALUE($A177),'recurring1_based on steps'!C$1:C$400,0)),C$2,)</f>
        <v>0</v>
      </c>
      <c r="D177" s="179">
        <f ca="1">IF(ISNUMBER(MATCH(DATEVALUE($A177),'recurring1_based on steps'!D$1:D$400,0)),D$2,)</f>
        <v>0</v>
      </c>
      <c r="E177" s="179">
        <f ca="1">IF(ISNUMBER(MATCH(DATEVALUE($A177),'recurring1_based on steps'!E$1:E$400,0)),E$2,)</f>
        <v>0</v>
      </c>
      <c r="F177" s="179">
        <f ca="1">IF(ISNUMBER(MATCH(DATEVALUE($A177),'recurring1_based on steps'!F$1:F$400,0)),F$2,)</f>
        <v>0</v>
      </c>
      <c r="G177" s="179">
        <f ca="1">IF(ISNUMBER(MATCH(DATEVALUE($A177),'recurring1_based on steps'!G$1:G$400,0)),G$2,)</f>
        <v>0</v>
      </c>
      <c r="H177" s="179">
        <f ca="1">IF(ISNUMBER(MATCH(DATEVALUE($A177),'recurring1_based on steps'!H$1:H$400,0)),H$2,)</f>
        <v>0</v>
      </c>
      <c r="I177" s="179">
        <f ca="1">IF(ISNUMBER(MATCH(DATEVALUE($A177),'recurring1_based on steps'!I$1:I$400,0)),I$2,)</f>
        <v>0</v>
      </c>
      <c r="J177" s="179">
        <f ca="1">IF(ISNUMBER(MATCH(DATEVALUE($A177),'recurring1_based on steps'!J$1:J$400,0)),J$2,)</f>
        <v>0</v>
      </c>
      <c r="K177" s="179">
        <f ca="1">IF(ISNUMBER(MATCH(DATEVALUE($A177),'recurring1_based on steps'!K$1:K$400,0)),K$2,)</f>
        <v>0</v>
      </c>
      <c r="L177" s="179">
        <f ca="1">IF(ISNUMBER(MATCH(DATEVALUE($A177),'recurring1_based on steps'!L$1:L$400,0)),L$2,)</f>
        <v>0</v>
      </c>
      <c r="M177" s="179">
        <f ca="1">IF(ISNUMBER(MATCH(DATEVALUE($A177),'recurring1_based on steps'!M$1:M$400,0)),M$2,)</f>
        <v>0</v>
      </c>
      <c r="N177" s="179">
        <f ca="1">IF(ISNUMBER(MATCH(DATEVALUE($A177),'recurring1_based on steps'!N$1:N$400,0)),N$2,)</f>
        <v>0</v>
      </c>
      <c r="O177" s="179">
        <f ca="1">IF(ISNUMBER(MATCH(DATEVALUE($A177),'recurring1_based on steps'!O$1:O$400,0)),O$2,)</f>
        <v>0</v>
      </c>
      <c r="P177" s="179">
        <f ca="1">IF(ISNUMBER(MATCH(DATEVALUE($A177),'recurring1_based on steps'!P$1:P$400,0)),P$2,)</f>
        <v>0</v>
      </c>
      <c r="Q177" s="179">
        <f ca="1">IF(ISNUMBER(MATCH(DATEVALUE($A177),'recurring1_based on steps'!Q$1:Q$400,0)),Q$2,)</f>
        <v>0</v>
      </c>
      <c r="R177" s="179">
        <f ca="1">IF(ISNUMBER(MATCH(DATEVALUE($A177),'recurring1_based on steps'!R$1:R$400,0)),R$2,)</f>
        <v>0</v>
      </c>
      <c r="S177" s="179">
        <f ca="1">IF(ISNUMBER(MATCH(DATEVALUE($A177),'recurring1_based on steps'!S$1:S$400,0)),S$2,)</f>
        <v>0</v>
      </c>
      <c r="T177" s="179">
        <f ca="1">IF(ISNUMBER(MATCH(DATEVALUE($A177),'recurring1_based on steps'!T$1:T$400,0)),T$2,)</f>
        <v>0</v>
      </c>
      <c r="U177" s="179">
        <f ca="1">IF(ISNUMBER(MATCH(DATEVALUE($A177),'recurring1_based on steps'!U$1:U$400,0)),U$2,)</f>
        <v>0</v>
      </c>
      <c r="V177" s="179">
        <f ca="1">IF(ISNUMBER(MATCH(DATEVALUE($A177),'recurring1_based on steps'!V$1:V$400,0)),V$2,)</f>
        <v>0</v>
      </c>
      <c r="W177" s="179">
        <f ca="1">IF(ISNUMBER(MATCH(DATEVALUE($A177),'recurring1_based on steps'!W$1:W$400,0)),W$2,)</f>
        <v>0</v>
      </c>
      <c r="X177" s="179">
        <f ca="1">IF(ISNUMBER(MATCH(DATEVALUE($A177),'recurring1_based on steps'!X$1:X$400,0)),X$2,)</f>
        <v>0</v>
      </c>
      <c r="Y177" s="179">
        <f ca="1">IF(ISNUMBER(MATCH(DATEVALUE($A177),'recurring1_based on steps'!Y$1:Y$400,0)),Y$2,)</f>
        <v>0</v>
      </c>
      <c r="Z177" s="179">
        <f ca="1">IF(ISNUMBER(MATCH(DATEVALUE($A177),'recurring1_based on steps'!Z$1:Z$400,0)),Z$2,)</f>
        <v>0</v>
      </c>
      <c r="AA177" s="179">
        <f ca="1">IF(ISNUMBER(MATCH(DATEVALUE($A177),'recurring1_based on steps'!AA$1:AA$400,0)),AA$2,)</f>
        <v>0</v>
      </c>
      <c r="AB177" s="179">
        <f ca="1">IF(ISNUMBER(MATCH(DATEVALUE($A177),'recurring1_based on steps'!AB$1:AB$400,0)),AB$2,)</f>
        <v>0</v>
      </c>
      <c r="AC177" s="179">
        <f ca="1">IF(ISNUMBER(MATCH(DATEVALUE($A177),'recurring1_based on steps'!AC$1:AC$400,0)),AC$2,)</f>
        <v>0</v>
      </c>
      <c r="AD177" s="179">
        <f ca="1">IF(ISNUMBER(MATCH(DATEVALUE($A177),'recurring1_based on steps'!AD$1:AD$400,0)),AD$2,)</f>
        <v>0</v>
      </c>
      <c r="AE177" s="179">
        <f ca="1">IF(ISNUMBER(MATCH(DATEVALUE($A177),'recurring1_based on steps'!AE$1:AE$400,0)),AE$2,)</f>
        <v>0</v>
      </c>
      <c r="AF177" s="179">
        <f ca="1">IF(ISNUMBER(MATCH(DATEVALUE($A177),'recurring1_based on steps'!AF$1:AF$400,0)),AF$2,)</f>
        <v>0</v>
      </c>
      <c r="AG177" s="179">
        <f ca="1">IF(ISNUMBER(MATCH(DATEVALUE($A177),'recurring1_based on steps'!AG$1:AG$400,0)),AG$2,)</f>
        <v>0</v>
      </c>
      <c r="AH177" s="179">
        <f ca="1">IF(ISNUMBER(MATCH(DATEVALUE($A177),'recurring1_based on steps'!AH$1:AH$400,0)),AH$2,)</f>
        <v>0</v>
      </c>
      <c r="AI177" s="179">
        <f ca="1">IF(ISNUMBER(MATCH(DATEVALUE($A177),'recurring1_based on steps'!AI$1:AI$400,0)),AI$2,)</f>
        <v>0</v>
      </c>
      <c r="AJ177" s="179">
        <f ca="1">IF(ISNUMBER(MATCH(DATEVALUE($A177),'recurring1_based on steps'!AJ$1:AJ$400,0)),AJ$2,)</f>
        <v>0</v>
      </c>
      <c r="AK177" s="179">
        <f ca="1">IF(ISNUMBER(MATCH(DATEVALUE($A177),'recurring1_based on steps'!AK$1:AK$400,0)),AK$2,)</f>
        <v>0</v>
      </c>
      <c r="AL177" s="179">
        <f ca="1">IF(ISNUMBER(MATCH(DATEVALUE($A177),'recurring1_based on steps'!AL$1:AL$400,0)),AL$2,)</f>
        <v>0</v>
      </c>
      <c r="AM177" s="179">
        <f ca="1">IF(ISNUMBER(MATCH(DATEVALUE($A177),'recurring1_based on steps'!AM$1:AM$400,0)),AM$2,)</f>
        <v>0</v>
      </c>
      <c r="AN177" s="179">
        <f ca="1">IF(ISNUMBER(MATCH(DATEVALUE($A177),'recurring1_based on steps'!AN$1:AN$400,0)),AN$2,)</f>
        <v>0</v>
      </c>
      <c r="AO177" s="179">
        <f ca="1">IF(ISNUMBER(MATCH(DATEVALUE($A177),'recurring1_based on steps'!AO$1:AO$400,0)),AO$2,)</f>
        <v>0</v>
      </c>
      <c r="AP177" s="179">
        <f ca="1">IF(ISNUMBER(MATCH(DATEVALUE($A177),'recurring1_based on steps'!AP$1:AP$400,0)),AP$2,)</f>
        <v>0</v>
      </c>
      <c r="AQ177" s="179">
        <f ca="1">IF(ISNUMBER(MATCH(DATEVALUE($A177),'recurring1_based on steps'!AQ$1:AQ$400,0)),AQ$2,)</f>
        <v>0</v>
      </c>
      <c r="AR177" s="179">
        <f ca="1">IF(ISNUMBER(MATCH(DATEVALUE($A177),'recurring1_based on steps'!AR$1:AR$400,0)),AR$2,)</f>
        <v>0</v>
      </c>
      <c r="AS177" s="179">
        <f ca="1">IF(ISNUMBER(MATCH(DATEVALUE($A177),'recurring1_based on steps'!AS$1:AS$400,0)),AS$2,)</f>
        <v>0</v>
      </c>
      <c r="AT177" s="179">
        <f ca="1">IF(ISNUMBER(MATCH(DATEVALUE($A177),'recurring1_based on steps'!AT$1:AT$400,0)),AT$2,)</f>
        <v>0</v>
      </c>
      <c r="AU177" s="179">
        <f ca="1">IF(ISNUMBER(MATCH(DATEVALUE($A177),'recurring1_based on steps'!AU$1:AU$400,0)),AU$2,)</f>
        <v>0</v>
      </c>
      <c r="AV177" s="179">
        <f ca="1">IF(ISNUMBER(MATCH(DATEVALUE($A177),'recurring1_based on steps'!AV$1:AV$400,0)),AV$2,)</f>
        <v>0</v>
      </c>
      <c r="AW177" s="179">
        <f ca="1">IF(ISNUMBER(MATCH(DATEVALUE($A177),'recurring1_based on steps'!AW$1:AW$400,0)),AW$2,)</f>
        <v>0</v>
      </c>
      <c r="AX177" s="179">
        <f ca="1">IF(ISNUMBER(MATCH(DATEVALUE($A177),'recurring1_based on steps'!AX$1:AX$400,0)),AX$2,)</f>
        <v>0</v>
      </c>
      <c r="AY177" s="179">
        <f ca="1">IF(ISNUMBER(MATCH(DATEVALUE($A177),'recurring1_based on steps'!AY$1:AY$400,0)),AY$2,)</f>
        <v>0</v>
      </c>
    </row>
    <row r="178" spans="1:51" x14ac:dyDescent="0.2">
      <c r="A178" s="32" t="str">
        <f t="shared" ca="1" si="2"/>
        <v>2025-09-27</v>
      </c>
      <c r="B178" s="179">
        <f ca="1">IF(ISNUMBER(MATCH(DATEVALUE($A178),'recurring1_based on steps'!B$1:B$400,0)),B$2,)</f>
        <v>0</v>
      </c>
      <c r="C178" s="179">
        <f ca="1">IF(ISNUMBER(MATCH(DATEVALUE($A178),'recurring1_based on steps'!C$1:C$400,0)),C$2,)</f>
        <v>0</v>
      </c>
      <c r="D178" s="179">
        <f ca="1">IF(ISNUMBER(MATCH(DATEVALUE($A178),'recurring1_based on steps'!D$1:D$400,0)),D$2,)</f>
        <v>0</v>
      </c>
      <c r="E178" s="179">
        <f ca="1">IF(ISNUMBER(MATCH(DATEVALUE($A178),'recurring1_based on steps'!E$1:E$400,0)),E$2,)</f>
        <v>0</v>
      </c>
      <c r="F178" s="179">
        <f ca="1">IF(ISNUMBER(MATCH(DATEVALUE($A178),'recurring1_based on steps'!F$1:F$400,0)),F$2,)</f>
        <v>0</v>
      </c>
      <c r="G178" s="179">
        <f ca="1">IF(ISNUMBER(MATCH(DATEVALUE($A178),'recurring1_based on steps'!G$1:G$400,0)),G$2,)</f>
        <v>0</v>
      </c>
      <c r="H178" s="179">
        <f ca="1">IF(ISNUMBER(MATCH(DATEVALUE($A178),'recurring1_based on steps'!H$1:H$400,0)),H$2,)</f>
        <v>0</v>
      </c>
      <c r="I178" s="179">
        <f ca="1">IF(ISNUMBER(MATCH(DATEVALUE($A178),'recurring1_based on steps'!I$1:I$400,0)),I$2,)</f>
        <v>0</v>
      </c>
      <c r="J178" s="179">
        <f ca="1">IF(ISNUMBER(MATCH(DATEVALUE($A178),'recurring1_based on steps'!J$1:J$400,0)),J$2,)</f>
        <v>0</v>
      </c>
      <c r="K178" s="179">
        <f ca="1">IF(ISNUMBER(MATCH(DATEVALUE($A178),'recurring1_based on steps'!K$1:K$400,0)),K$2,)</f>
        <v>0</v>
      </c>
      <c r="L178" s="179">
        <f ca="1">IF(ISNUMBER(MATCH(DATEVALUE($A178),'recurring1_based on steps'!L$1:L$400,0)),L$2,)</f>
        <v>0</v>
      </c>
      <c r="M178" s="179">
        <f ca="1">IF(ISNUMBER(MATCH(DATEVALUE($A178),'recurring1_based on steps'!M$1:M$400,0)),M$2,)</f>
        <v>0</v>
      </c>
      <c r="N178" s="179">
        <f ca="1">IF(ISNUMBER(MATCH(DATEVALUE($A178),'recurring1_based on steps'!N$1:N$400,0)),N$2,)</f>
        <v>0</v>
      </c>
      <c r="O178" s="179">
        <f ca="1">IF(ISNUMBER(MATCH(DATEVALUE($A178),'recurring1_based on steps'!O$1:O$400,0)),O$2,)</f>
        <v>0</v>
      </c>
      <c r="P178" s="179">
        <f ca="1">IF(ISNUMBER(MATCH(DATEVALUE($A178),'recurring1_based on steps'!P$1:P$400,0)),P$2,)</f>
        <v>0</v>
      </c>
      <c r="Q178" s="179">
        <f ca="1">IF(ISNUMBER(MATCH(DATEVALUE($A178),'recurring1_based on steps'!Q$1:Q$400,0)),Q$2,)</f>
        <v>0</v>
      </c>
      <c r="R178" s="179">
        <f ca="1">IF(ISNUMBER(MATCH(DATEVALUE($A178),'recurring1_based on steps'!R$1:R$400,0)),R$2,)</f>
        <v>0</v>
      </c>
      <c r="S178" s="179">
        <f ca="1">IF(ISNUMBER(MATCH(DATEVALUE($A178),'recurring1_based on steps'!S$1:S$400,0)),S$2,)</f>
        <v>0</v>
      </c>
      <c r="T178" s="179">
        <f ca="1">IF(ISNUMBER(MATCH(DATEVALUE($A178),'recurring1_based on steps'!T$1:T$400,0)),T$2,)</f>
        <v>0</v>
      </c>
      <c r="U178" s="179">
        <f ca="1">IF(ISNUMBER(MATCH(DATEVALUE($A178),'recurring1_based on steps'!U$1:U$400,0)),U$2,)</f>
        <v>0</v>
      </c>
      <c r="V178" s="179">
        <f ca="1">IF(ISNUMBER(MATCH(DATEVALUE($A178),'recurring1_based on steps'!V$1:V$400,0)),V$2,)</f>
        <v>0</v>
      </c>
      <c r="W178" s="179">
        <f ca="1">IF(ISNUMBER(MATCH(DATEVALUE($A178),'recurring1_based on steps'!W$1:W$400,0)),W$2,)</f>
        <v>0</v>
      </c>
      <c r="X178" s="179">
        <f ca="1">IF(ISNUMBER(MATCH(DATEVALUE($A178),'recurring1_based on steps'!X$1:X$400,0)),X$2,)</f>
        <v>0</v>
      </c>
      <c r="Y178" s="179">
        <f ca="1">IF(ISNUMBER(MATCH(DATEVALUE($A178),'recurring1_based on steps'!Y$1:Y$400,0)),Y$2,)</f>
        <v>0</v>
      </c>
      <c r="Z178" s="179">
        <f ca="1">IF(ISNUMBER(MATCH(DATEVALUE($A178),'recurring1_based on steps'!Z$1:Z$400,0)),Z$2,)</f>
        <v>0</v>
      </c>
      <c r="AA178" s="179">
        <f ca="1">IF(ISNUMBER(MATCH(DATEVALUE($A178),'recurring1_based on steps'!AA$1:AA$400,0)),AA$2,)</f>
        <v>0</v>
      </c>
      <c r="AB178" s="179">
        <f ca="1">IF(ISNUMBER(MATCH(DATEVALUE($A178),'recurring1_based on steps'!AB$1:AB$400,0)),AB$2,)</f>
        <v>0</v>
      </c>
      <c r="AC178" s="179">
        <f ca="1">IF(ISNUMBER(MATCH(DATEVALUE($A178),'recurring1_based on steps'!AC$1:AC$400,0)),AC$2,)</f>
        <v>0</v>
      </c>
      <c r="AD178" s="179">
        <f ca="1">IF(ISNUMBER(MATCH(DATEVALUE($A178),'recurring1_based on steps'!AD$1:AD$400,0)),AD$2,)</f>
        <v>0</v>
      </c>
      <c r="AE178" s="179">
        <f ca="1">IF(ISNUMBER(MATCH(DATEVALUE($A178),'recurring1_based on steps'!AE$1:AE$400,0)),AE$2,)</f>
        <v>0</v>
      </c>
      <c r="AF178" s="179">
        <f ca="1">IF(ISNUMBER(MATCH(DATEVALUE($A178),'recurring1_based on steps'!AF$1:AF$400,0)),AF$2,)</f>
        <v>0</v>
      </c>
      <c r="AG178" s="179">
        <f ca="1">IF(ISNUMBER(MATCH(DATEVALUE($A178),'recurring1_based on steps'!AG$1:AG$400,0)),AG$2,)</f>
        <v>0</v>
      </c>
      <c r="AH178" s="179">
        <f ca="1">IF(ISNUMBER(MATCH(DATEVALUE($A178),'recurring1_based on steps'!AH$1:AH$400,0)),AH$2,)</f>
        <v>0</v>
      </c>
      <c r="AI178" s="179">
        <f ca="1">IF(ISNUMBER(MATCH(DATEVALUE($A178),'recurring1_based on steps'!AI$1:AI$400,0)),AI$2,)</f>
        <v>0</v>
      </c>
      <c r="AJ178" s="179">
        <f ca="1">IF(ISNUMBER(MATCH(DATEVALUE($A178),'recurring1_based on steps'!AJ$1:AJ$400,0)),AJ$2,)</f>
        <v>0</v>
      </c>
      <c r="AK178" s="179">
        <f ca="1">IF(ISNUMBER(MATCH(DATEVALUE($A178),'recurring1_based on steps'!AK$1:AK$400,0)),AK$2,)</f>
        <v>0</v>
      </c>
      <c r="AL178" s="179">
        <f ca="1">IF(ISNUMBER(MATCH(DATEVALUE($A178),'recurring1_based on steps'!AL$1:AL$400,0)),AL$2,)</f>
        <v>0</v>
      </c>
      <c r="AM178" s="179">
        <f ca="1">IF(ISNUMBER(MATCH(DATEVALUE($A178),'recurring1_based on steps'!AM$1:AM$400,0)),AM$2,)</f>
        <v>0</v>
      </c>
      <c r="AN178" s="179">
        <f ca="1">IF(ISNUMBER(MATCH(DATEVALUE($A178),'recurring1_based on steps'!AN$1:AN$400,0)),AN$2,)</f>
        <v>0</v>
      </c>
      <c r="AO178" s="179">
        <f ca="1">IF(ISNUMBER(MATCH(DATEVALUE($A178),'recurring1_based on steps'!AO$1:AO$400,0)),AO$2,)</f>
        <v>0</v>
      </c>
      <c r="AP178" s="179">
        <f ca="1">IF(ISNUMBER(MATCH(DATEVALUE($A178),'recurring1_based on steps'!AP$1:AP$400,0)),AP$2,)</f>
        <v>0</v>
      </c>
      <c r="AQ178" s="179">
        <f ca="1">IF(ISNUMBER(MATCH(DATEVALUE($A178),'recurring1_based on steps'!AQ$1:AQ$400,0)),AQ$2,)</f>
        <v>0</v>
      </c>
      <c r="AR178" s="179">
        <f ca="1">IF(ISNUMBER(MATCH(DATEVALUE($A178),'recurring1_based on steps'!AR$1:AR$400,0)),AR$2,)</f>
        <v>0</v>
      </c>
      <c r="AS178" s="179">
        <f ca="1">IF(ISNUMBER(MATCH(DATEVALUE($A178),'recurring1_based on steps'!AS$1:AS$400,0)),AS$2,)</f>
        <v>0</v>
      </c>
      <c r="AT178" s="179">
        <f ca="1">IF(ISNUMBER(MATCH(DATEVALUE($A178),'recurring1_based on steps'!AT$1:AT$400,0)),AT$2,)</f>
        <v>0</v>
      </c>
      <c r="AU178" s="179">
        <f ca="1">IF(ISNUMBER(MATCH(DATEVALUE($A178),'recurring1_based on steps'!AU$1:AU$400,0)),AU$2,)</f>
        <v>0</v>
      </c>
      <c r="AV178" s="179">
        <f ca="1">IF(ISNUMBER(MATCH(DATEVALUE($A178),'recurring1_based on steps'!AV$1:AV$400,0)),AV$2,)</f>
        <v>0</v>
      </c>
      <c r="AW178" s="179">
        <f ca="1">IF(ISNUMBER(MATCH(DATEVALUE($A178),'recurring1_based on steps'!AW$1:AW$400,0)),AW$2,)</f>
        <v>0</v>
      </c>
      <c r="AX178" s="179">
        <f ca="1">IF(ISNUMBER(MATCH(DATEVALUE($A178),'recurring1_based on steps'!AX$1:AX$400,0)),AX$2,)</f>
        <v>0</v>
      </c>
      <c r="AY178" s="179">
        <f ca="1">IF(ISNUMBER(MATCH(DATEVALUE($A178),'recurring1_based on steps'!AY$1:AY$400,0)),AY$2,)</f>
        <v>0</v>
      </c>
    </row>
    <row r="179" spans="1:51" x14ac:dyDescent="0.2">
      <c r="A179" s="32" t="str">
        <f t="shared" ca="1" si="2"/>
        <v>2025-09-28</v>
      </c>
      <c r="B179" s="179">
        <f ca="1">IF(ISNUMBER(MATCH(DATEVALUE($A179),'recurring1_based on steps'!B$1:B$400,0)),B$2,)</f>
        <v>0</v>
      </c>
      <c r="C179" s="179">
        <f ca="1">IF(ISNUMBER(MATCH(DATEVALUE($A179),'recurring1_based on steps'!C$1:C$400,0)),C$2,)</f>
        <v>0</v>
      </c>
      <c r="D179" s="179">
        <f ca="1">IF(ISNUMBER(MATCH(DATEVALUE($A179),'recurring1_based on steps'!D$1:D$400,0)),D$2,)</f>
        <v>0</v>
      </c>
      <c r="E179" s="179">
        <f ca="1">IF(ISNUMBER(MATCH(DATEVALUE($A179),'recurring1_based on steps'!E$1:E$400,0)),E$2,)</f>
        <v>0</v>
      </c>
      <c r="F179" s="179">
        <f ca="1">IF(ISNUMBER(MATCH(DATEVALUE($A179),'recurring1_based on steps'!F$1:F$400,0)),F$2,)</f>
        <v>0</v>
      </c>
      <c r="G179" s="179">
        <f ca="1">IF(ISNUMBER(MATCH(DATEVALUE($A179),'recurring1_based on steps'!G$1:G$400,0)),G$2,)</f>
        <v>0</v>
      </c>
      <c r="H179" s="179">
        <f ca="1">IF(ISNUMBER(MATCH(DATEVALUE($A179),'recurring1_based on steps'!H$1:H$400,0)),H$2,)</f>
        <v>0</v>
      </c>
      <c r="I179" s="179">
        <f ca="1">IF(ISNUMBER(MATCH(DATEVALUE($A179),'recurring1_based on steps'!I$1:I$400,0)),I$2,)</f>
        <v>0</v>
      </c>
      <c r="J179" s="179">
        <f ca="1">IF(ISNUMBER(MATCH(DATEVALUE($A179),'recurring1_based on steps'!J$1:J$400,0)),J$2,)</f>
        <v>0</v>
      </c>
      <c r="K179" s="179">
        <f ca="1">IF(ISNUMBER(MATCH(DATEVALUE($A179),'recurring1_based on steps'!K$1:K$400,0)),K$2,)</f>
        <v>0</v>
      </c>
      <c r="L179" s="179">
        <f ca="1">IF(ISNUMBER(MATCH(DATEVALUE($A179),'recurring1_based on steps'!L$1:L$400,0)),L$2,)</f>
        <v>0</v>
      </c>
      <c r="M179" s="179">
        <f ca="1">IF(ISNUMBER(MATCH(DATEVALUE($A179),'recurring1_based on steps'!M$1:M$400,0)),M$2,)</f>
        <v>0</v>
      </c>
      <c r="N179" s="179">
        <f ca="1">IF(ISNUMBER(MATCH(DATEVALUE($A179),'recurring1_based on steps'!N$1:N$400,0)),N$2,)</f>
        <v>0</v>
      </c>
      <c r="O179" s="179">
        <f ca="1">IF(ISNUMBER(MATCH(DATEVALUE($A179),'recurring1_based on steps'!O$1:O$400,0)),O$2,)</f>
        <v>0</v>
      </c>
      <c r="P179" s="179">
        <f ca="1">IF(ISNUMBER(MATCH(DATEVALUE($A179),'recurring1_based on steps'!P$1:P$400,0)),P$2,)</f>
        <v>0</v>
      </c>
      <c r="Q179" s="179">
        <f ca="1">IF(ISNUMBER(MATCH(DATEVALUE($A179),'recurring1_based on steps'!Q$1:Q$400,0)),Q$2,)</f>
        <v>0</v>
      </c>
      <c r="R179" s="179">
        <f ca="1">IF(ISNUMBER(MATCH(DATEVALUE($A179),'recurring1_based on steps'!R$1:R$400,0)),R$2,)</f>
        <v>0</v>
      </c>
      <c r="S179" s="179">
        <f ca="1">IF(ISNUMBER(MATCH(DATEVALUE($A179),'recurring1_based on steps'!S$1:S$400,0)),S$2,)</f>
        <v>0</v>
      </c>
      <c r="T179" s="179">
        <f ca="1">IF(ISNUMBER(MATCH(DATEVALUE($A179),'recurring1_based on steps'!T$1:T$400,0)),T$2,)</f>
        <v>0</v>
      </c>
      <c r="U179" s="179">
        <f ca="1">IF(ISNUMBER(MATCH(DATEVALUE($A179),'recurring1_based on steps'!U$1:U$400,0)),U$2,)</f>
        <v>0</v>
      </c>
      <c r="V179" s="179">
        <f ca="1">IF(ISNUMBER(MATCH(DATEVALUE($A179),'recurring1_based on steps'!V$1:V$400,0)),V$2,)</f>
        <v>0</v>
      </c>
      <c r="W179" s="179">
        <f ca="1">IF(ISNUMBER(MATCH(DATEVALUE($A179),'recurring1_based on steps'!W$1:W$400,0)),W$2,)</f>
        <v>0</v>
      </c>
      <c r="X179" s="179">
        <f ca="1">IF(ISNUMBER(MATCH(DATEVALUE($A179),'recurring1_based on steps'!X$1:X$400,0)),X$2,)</f>
        <v>0</v>
      </c>
      <c r="Y179" s="179">
        <f ca="1">IF(ISNUMBER(MATCH(DATEVALUE($A179),'recurring1_based on steps'!Y$1:Y$400,0)),Y$2,)</f>
        <v>0</v>
      </c>
      <c r="Z179" s="179">
        <f ca="1">IF(ISNUMBER(MATCH(DATEVALUE($A179),'recurring1_based on steps'!Z$1:Z$400,0)),Z$2,)</f>
        <v>0</v>
      </c>
      <c r="AA179" s="179">
        <f ca="1">IF(ISNUMBER(MATCH(DATEVALUE($A179),'recurring1_based on steps'!AA$1:AA$400,0)),AA$2,)</f>
        <v>0</v>
      </c>
      <c r="AB179" s="179">
        <f ca="1">IF(ISNUMBER(MATCH(DATEVALUE($A179),'recurring1_based on steps'!AB$1:AB$400,0)),AB$2,)</f>
        <v>0</v>
      </c>
      <c r="AC179" s="179">
        <f ca="1">IF(ISNUMBER(MATCH(DATEVALUE($A179),'recurring1_based on steps'!AC$1:AC$400,0)),AC$2,)</f>
        <v>0</v>
      </c>
      <c r="AD179" s="179">
        <f ca="1">IF(ISNUMBER(MATCH(DATEVALUE($A179),'recurring1_based on steps'!AD$1:AD$400,0)),AD$2,)</f>
        <v>0</v>
      </c>
      <c r="AE179" s="179">
        <f ca="1">IF(ISNUMBER(MATCH(DATEVALUE($A179),'recurring1_based on steps'!AE$1:AE$400,0)),AE$2,)</f>
        <v>0</v>
      </c>
      <c r="AF179" s="179">
        <f ca="1">IF(ISNUMBER(MATCH(DATEVALUE($A179),'recurring1_based on steps'!AF$1:AF$400,0)),AF$2,)</f>
        <v>0</v>
      </c>
      <c r="AG179" s="179">
        <f ca="1">IF(ISNUMBER(MATCH(DATEVALUE($A179),'recurring1_based on steps'!AG$1:AG$400,0)),AG$2,)</f>
        <v>0</v>
      </c>
      <c r="AH179" s="179">
        <f ca="1">IF(ISNUMBER(MATCH(DATEVALUE($A179),'recurring1_based on steps'!AH$1:AH$400,0)),AH$2,)</f>
        <v>0</v>
      </c>
      <c r="AI179" s="179">
        <f ca="1">IF(ISNUMBER(MATCH(DATEVALUE($A179),'recurring1_based on steps'!AI$1:AI$400,0)),AI$2,)</f>
        <v>0</v>
      </c>
      <c r="AJ179" s="179">
        <f ca="1">IF(ISNUMBER(MATCH(DATEVALUE($A179),'recurring1_based on steps'!AJ$1:AJ$400,0)),AJ$2,)</f>
        <v>0</v>
      </c>
      <c r="AK179" s="179">
        <f ca="1">IF(ISNUMBER(MATCH(DATEVALUE($A179),'recurring1_based on steps'!AK$1:AK$400,0)),AK$2,)</f>
        <v>0</v>
      </c>
      <c r="AL179" s="179">
        <f ca="1">IF(ISNUMBER(MATCH(DATEVALUE($A179),'recurring1_based on steps'!AL$1:AL$400,0)),AL$2,)</f>
        <v>0</v>
      </c>
      <c r="AM179" s="179">
        <f ca="1">IF(ISNUMBER(MATCH(DATEVALUE($A179),'recurring1_based on steps'!AM$1:AM$400,0)),AM$2,)</f>
        <v>0</v>
      </c>
      <c r="AN179" s="179">
        <f ca="1">IF(ISNUMBER(MATCH(DATEVALUE($A179),'recurring1_based on steps'!AN$1:AN$400,0)),AN$2,)</f>
        <v>0</v>
      </c>
      <c r="AO179" s="179">
        <f ca="1">IF(ISNUMBER(MATCH(DATEVALUE($A179),'recurring1_based on steps'!AO$1:AO$400,0)),AO$2,)</f>
        <v>0</v>
      </c>
      <c r="AP179" s="179">
        <f ca="1">IF(ISNUMBER(MATCH(DATEVALUE($A179),'recurring1_based on steps'!AP$1:AP$400,0)),AP$2,)</f>
        <v>0</v>
      </c>
      <c r="AQ179" s="179">
        <f ca="1">IF(ISNUMBER(MATCH(DATEVALUE($A179),'recurring1_based on steps'!AQ$1:AQ$400,0)),AQ$2,)</f>
        <v>0</v>
      </c>
      <c r="AR179" s="179">
        <f ca="1">IF(ISNUMBER(MATCH(DATEVALUE($A179),'recurring1_based on steps'!AR$1:AR$400,0)),AR$2,)</f>
        <v>0</v>
      </c>
      <c r="AS179" s="179">
        <f ca="1">IF(ISNUMBER(MATCH(DATEVALUE($A179),'recurring1_based on steps'!AS$1:AS$400,0)),AS$2,)</f>
        <v>0</v>
      </c>
      <c r="AT179" s="179">
        <f ca="1">IF(ISNUMBER(MATCH(DATEVALUE($A179),'recurring1_based on steps'!AT$1:AT$400,0)),AT$2,)</f>
        <v>0</v>
      </c>
      <c r="AU179" s="179">
        <f ca="1">IF(ISNUMBER(MATCH(DATEVALUE($A179),'recurring1_based on steps'!AU$1:AU$400,0)),AU$2,)</f>
        <v>0</v>
      </c>
      <c r="AV179" s="179">
        <f ca="1">IF(ISNUMBER(MATCH(DATEVALUE($A179),'recurring1_based on steps'!AV$1:AV$400,0)),AV$2,)</f>
        <v>0</v>
      </c>
      <c r="AW179" s="179">
        <f ca="1">IF(ISNUMBER(MATCH(DATEVALUE($A179),'recurring1_based on steps'!AW$1:AW$400,0)),AW$2,)</f>
        <v>0</v>
      </c>
      <c r="AX179" s="179">
        <f ca="1">IF(ISNUMBER(MATCH(DATEVALUE($A179),'recurring1_based on steps'!AX$1:AX$400,0)),AX$2,)</f>
        <v>0</v>
      </c>
      <c r="AY179" s="179">
        <f ca="1">IF(ISNUMBER(MATCH(DATEVALUE($A179),'recurring1_based on steps'!AY$1:AY$400,0)),AY$2,)</f>
        <v>0</v>
      </c>
    </row>
    <row r="180" spans="1:51" x14ac:dyDescent="0.2">
      <c r="A180" s="32" t="str">
        <f t="shared" ca="1" si="2"/>
        <v>2025-09-29</v>
      </c>
      <c r="B180" s="179">
        <f ca="1">IF(ISNUMBER(MATCH(DATEVALUE($A180),'recurring1_based on steps'!B$1:B$400,0)),B$2,)</f>
        <v>0</v>
      </c>
      <c r="C180" s="179">
        <f ca="1">IF(ISNUMBER(MATCH(DATEVALUE($A180),'recurring1_based on steps'!C$1:C$400,0)),C$2,)</f>
        <v>0</v>
      </c>
      <c r="D180" s="179">
        <f ca="1">IF(ISNUMBER(MATCH(DATEVALUE($A180),'recurring1_based on steps'!D$1:D$400,0)),D$2,)</f>
        <v>0</v>
      </c>
      <c r="E180" s="179">
        <f ca="1">IF(ISNUMBER(MATCH(DATEVALUE($A180),'recurring1_based on steps'!E$1:E$400,0)),E$2,)</f>
        <v>0</v>
      </c>
      <c r="F180" s="179">
        <f ca="1">IF(ISNUMBER(MATCH(DATEVALUE($A180),'recurring1_based on steps'!F$1:F$400,0)),F$2,)</f>
        <v>0</v>
      </c>
      <c r="G180" s="179">
        <f ca="1">IF(ISNUMBER(MATCH(DATEVALUE($A180),'recurring1_based on steps'!G$1:G$400,0)),G$2,)</f>
        <v>0</v>
      </c>
      <c r="H180" s="179">
        <f ca="1">IF(ISNUMBER(MATCH(DATEVALUE($A180),'recurring1_based on steps'!H$1:H$400,0)),H$2,)</f>
        <v>0</v>
      </c>
      <c r="I180" s="179">
        <f ca="1">IF(ISNUMBER(MATCH(DATEVALUE($A180),'recurring1_based on steps'!I$1:I$400,0)),I$2,)</f>
        <v>0</v>
      </c>
      <c r="J180" s="179">
        <f ca="1">IF(ISNUMBER(MATCH(DATEVALUE($A180),'recurring1_based on steps'!J$1:J$400,0)),J$2,)</f>
        <v>0</v>
      </c>
      <c r="K180" s="179">
        <f ca="1">IF(ISNUMBER(MATCH(DATEVALUE($A180),'recurring1_based on steps'!K$1:K$400,0)),K$2,)</f>
        <v>0</v>
      </c>
      <c r="L180" s="179">
        <f ca="1">IF(ISNUMBER(MATCH(DATEVALUE($A180),'recurring1_based on steps'!L$1:L$400,0)),L$2,)</f>
        <v>0</v>
      </c>
      <c r="M180" s="179">
        <f ca="1">IF(ISNUMBER(MATCH(DATEVALUE($A180),'recurring1_based on steps'!M$1:M$400,0)),M$2,)</f>
        <v>0</v>
      </c>
      <c r="N180" s="179">
        <f ca="1">IF(ISNUMBER(MATCH(DATEVALUE($A180),'recurring1_based on steps'!N$1:N$400,0)),N$2,)</f>
        <v>0</v>
      </c>
      <c r="O180" s="179">
        <f ca="1">IF(ISNUMBER(MATCH(DATEVALUE($A180),'recurring1_based on steps'!O$1:O$400,0)),O$2,)</f>
        <v>0</v>
      </c>
      <c r="P180" s="179">
        <f ca="1">IF(ISNUMBER(MATCH(DATEVALUE($A180),'recurring1_based on steps'!P$1:P$400,0)),P$2,)</f>
        <v>0</v>
      </c>
      <c r="Q180" s="179">
        <f ca="1">IF(ISNUMBER(MATCH(DATEVALUE($A180),'recurring1_based on steps'!Q$1:Q$400,0)),Q$2,)</f>
        <v>0</v>
      </c>
      <c r="R180" s="179">
        <f ca="1">IF(ISNUMBER(MATCH(DATEVALUE($A180),'recurring1_based on steps'!R$1:R$400,0)),R$2,)</f>
        <v>0</v>
      </c>
      <c r="S180" s="179">
        <f ca="1">IF(ISNUMBER(MATCH(DATEVALUE($A180),'recurring1_based on steps'!S$1:S$400,0)),S$2,)</f>
        <v>0</v>
      </c>
      <c r="T180" s="179">
        <f ca="1">IF(ISNUMBER(MATCH(DATEVALUE($A180),'recurring1_based on steps'!T$1:T$400,0)),T$2,)</f>
        <v>0</v>
      </c>
      <c r="U180" s="179">
        <f ca="1">IF(ISNUMBER(MATCH(DATEVALUE($A180),'recurring1_based on steps'!U$1:U$400,0)),U$2,)</f>
        <v>0</v>
      </c>
      <c r="V180" s="179">
        <f ca="1">IF(ISNUMBER(MATCH(DATEVALUE($A180),'recurring1_based on steps'!V$1:V$400,0)),V$2,)</f>
        <v>0</v>
      </c>
      <c r="W180" s="179">
        <f ca="1">IF(ISNUMBER(MATCH(DATEVALUE($A180),'recurring1_based on steps'!W$1:W$400,0)),W$2,)</f>
        <v>0</v>
      </c>
      <c r="X180" s="179">
        <f ca="1">IF(ISNUMBER(MATCH(DATEVALUE($A180),'recurring1_based on steps'!X$1:X$400,0)),X$2,)</f>
        <v>0</v>
      </c>
      <c r="Y180" s="179">
        <f ca="1">IF(ISNUMBER(MATCH(DATEVALUE($A180),'recurring1_based on steps'!Y$1:Y$400,0)),Y$2,)</f>
        <v>0</v>
      </c>
      <c r="Z180" s="179">
        <f ca="1">IF(ISNUMBER(MATCH(DATEVALUE($A180),'recurring1_based on steps'!Z$1:Z$400,0)),Z$2,)</f>
        <v>0</v>
      </c>
      <c r="AA180" s="179">
        <f ca="1">IF(ISNUMBER(MATCH(DATEVALUE($A180),'recurring1_based on steps'!AA$1:AA$400,0)),AA$2,)</f>
        <v>0</v>
      </c>
      <c r="AB180" s="179">
        <f ca="1">IF(ISNUMBER(MATCH(DATEVALUE($A180),'recurring1_based on steps'!AB$1:AB$400,0)),AB$2,)</f>
        <v>0</v>
      </c>
      <c r="AC180" s="179">
        <f ca="1">IF(ISNUMBER(MATCH(DATEVALUE($A180),'recurring1_based on steps'!AC$1:AC$400,0)),AC$2,)</f>
        <v>0</v>
      </c>
      <c r="AD180" s="179">
        <f ca="1">IF(ISNUMBER(MATCH(DATEVALUE($A180),'recurring1_based on steps'!AD$1:AD$400,0)),AD$2,)</f>
        <v>0</v>
      </c>
      <c r="AE180" s="179">
        <f ca="1">IF(ISNUMBER(MATCH(DATEVALUE($A180),'recurring1_based on steps'!AE$1:AE$400,0)),AE$2,)</f>
        <v>0</v>
      </c>
      <c r="AF180" s="179">
        <f ca="1">IF(ISNUMBER(MATCH(DATEVALUE($A180),'recurring1_based on steps'!AF$1:AF$400,0)),AF$2,)</f>
        <v>0</v>
      </c>
      <c r="AG180" s="179">
        <f ca="1">IF(ISNUMBER(MATCH(DATEVALUE($A180),'recurring1_based on steps'!AG$1:AG$400,0)),AG$2,)</f>
        <v>0</v>
      </c>
      <c r="AH180" s="179">
        <f ca="1">IF(ISNUMBER(MATCH(DATEVALUE($A180),'recurring1_based on steps'!AH$1:AH$400,0)),AH$2,)</f>
        <v>0</v>
      </c>
      <c r="AI180" s="179">
        <f ca="1">IF(ISNUMBER(MATCH(DATEVALUE($A180),'recurring1_based on steps'!AI$1:AI$400,0)),AI$2,)</f>
        <v>0</v>
      </c>
      <c r="AJ180" s="179">
        <f ca="1">IF(ISNUMBER(MATCH(DATEVALUE($A180),'recurring1_based on steps'!AJ$1:AJ$400,0)),AJ$2,)</f>
        <v>0</v>
      </c>
      <c r="AK180" s="179">
        <f ca="1">IF(ISNUMBER(MATCH(DATEVALUE($A180),'recurring1_based on steps'!AK$1:AK$400,0)),AK$2,)</f>
        <v>0</v>
      </c>
      <c r="AL180" s="179">
        <f ca="1">IF(ISNUMBER(MATCH(DATEVALUE($A180),'recurring1_based on steps'!AL$1:AL$400,0)),AL$2,)</f>
        <v>0</v>
      </c>
      <c r="AM180" s="179">
        <f ca="1">IF(ISNUMBER(MATCH(DATEVALUE($A180),'recurring1_based on steps'!AM$1:AM$400,0)),AM$2,)</f>
        <v>0</v>
      </c>
      <c r="AN180" s="179">
        <f ca="1">IF(ISNUMBER(MATCH(DATEVALUE($A180),'recurring1_based on steps'!AN$1:AN$400,0)),AN$2,)</f>
        <v>0</v>
      </c>
      <c r="AO180" s="179">
        <f ca="1">IF(ISNUMBER(MATCH(DATEVALUE($A180),'recurring1_based on steps'!AO$1:AO$400,0)),AO$2,)</f>
        <v>0</v>
      </c>
      <c r="AP180" s="179">
        <f ca="1">IF(ISNUMBER(MATCH(DATEVALUE($A180),'recurring1_based on steps'!AP$1:AP$400,0)),AP$2,)</f>
        <v>0</v>
      </c>
      <c r="AQ180" s="179">
        <f ca="1">IF(ISNUMBER(MATCH(DATEVALUE($A180),'recurring1_based on steps'!AQ$1:AQ$400,0)),AQ$2,)</f>
        <v>0</v>
      </c>
      <c r="AR180" s="179">
        <f ca="1">IF(ISNUMBER(MATCH(DATEVALUE($A180),'recurring1_based on steps'!AR$1:AR$400,0)),AR$2,)</f>
        <v>0</v>
      </c>
      <c r="AS180" s="179">
        <f ca="1">IF(ISNUMBER(MATCH(DATEVALUE($A180),'recurring1_based on steps'!AS$1:AS$400,0)),AS$2,)</f>
        <v>0</v>
      </c>
      <c r="AT180" s="179">
        <f ca="1">IF(ISNUMBER(MATCH(DATEVALUE($A180),'recurring1_based on steps'!AT$1:AT$400,0)),AT$2,)</f>
        <v>0</v>
      </c>
      <c r="AU180" s="179">
        <f ca="1">IF(ISNUMBER(MATCH(DATEVALUE($A180),'recurring1_based on steps'!AU$1:AU$400,0)),AU$2,)</f>
        <v>0</v>
      </c>
      <c r="AV180" s="179">
        <f ca="1">IF(ISNUMBER(MATCH(DATEVALUE($A180),'recurring1_based on steps'!AV$1:AV$400,0)),AV$2,)</f>
        <v>0</v>
      </c>
      <c r="AW180" s="179">
        <f ca="1">IF(ISNUMBER(MATCH(DATEVALUE($A180),'recurring1_based on steps'!AW$1:AW$400,0)),AW$2,)</f>
        <v>0</v>
      </c>
      <c r="AX180" s="179">
        <f ca="1">IF(ISNUMBER(MATCH(DATEVALUE($A180),'recurring1_based on steps'!AX$1:AX$400,0)),AX$2,)</f>
        <v>0</v>
      </c>
      <c r="AY180" s="179">
        <f ca="1">IF(ISNUMBER(MATCH(DATEVALUE($A180),'recurring1_based on steps'!AY$1:AY$400,0)),AY$2,)</f>
        <v>0</v>
      </c>
    </row>
    <row r="181" spans="1:51" x14ac:dyDescent="0.2">
      <c r="A181" s="32" t="str">
        <f t="shared" ca="1" si="2"/>
        <v>2025-09-30</v>
      </c>
      <c r="B181" s="179">
        <f ca="1">IF(ISNUMBER(MATCH(DATEVALUE($A181),'recurring1_based on steps'!B$1:B$400,0)),B$2,)</f>
        <v>0</v>
      </c>
      <c r="C181" s="179">
        <f ca="1">IF(ISNUMBER(MATCH(DATEVALUE($A181),'recurring1_based on steps'!C$1:C$400,0)),C$2,)</f>
        <v>0</v>
      </c>
      <c r="D181" s="179">
        <f ca="1">IF(ISNUMBER(MATCH(DATEVALUE($A181),'recurring1_based on steps'!D$1:D$400,0)),D$2,)</f>
        <v>0</v>
      </c>
      <c r="E181" s="179">
        <f ca="1">IF(ISNUMBER(MATCH(DATEVALUE($A181),'recurring1_based on steps'!E$1:E$400,0)),E$2,)</f>
        <v>0</v>
      </c>
      <c r="F181" s="179">
        <f ca="1">IF(ISNUMBER(MATCH(DATEVALUE($A181),'recurring1_based on steps'!F$1:F$400,0)),F$2,)</f>
        <v>0</v>
      </c>
      <c r="G181" s="179">
        <f ca="1">IF(ISNUMBER(MATCH(DATEVALUE($A181),'recurring1_based on steps'!G$1:G$400,0)),G$2,)</f>
        <v>0</v>
      </c>
      <c r="H181" s="179">
        <f ca="1">IF(ISNUMBER(MATCH(DATEVALUE($A181),'recurring1_based on steps'!H$1:H$400,0)),H$2,)</f>
        <v>0</v>
      </c>
      <c r="I181" s="179">
        <f ca="1">IF(ISNUMBER(MATCH(DATEVALUE($A181),'recurring1_based on steps'!I$1:I$400,0)),I$2,)</f>
        <v>0</v>
      </c>
      <c r="J181" s="179">
        <f ca="1">IF(ISNUMBER(MATCH(DATEVALUE($A181),'recurring1_based on steps'!J$1:J$400,0)),J$2,)</f>
        <v>0</v>
      </c>
      <c r="K181" s="179">
        <f ca="1">IF(ISNUMBER(MATCH(DATEVALUE($A181),'recurring1_based on steps'!K$1:K$400,0)),K$2,)</f>
        <v>0</v>
      </c>
      <c r="L181" s="179">
        <f ca="1">IF(ISNUMBER(MATCH(DATEVALUE($A181),'recurring1_based on steps'!L$1:L$400,0)),L$2,)</f>
        <v>0</v>
      </c>
      <c r="M181" s="179">
        <f ca="1">IF(ISNUMBER(MATCH(DATEVALUE($A181),'recurring1_based on steps'!M$1:M$400,0)),M$2,)</f>
        <v>0</v>
      </c>
      <c r="N181" s="179">
        <f ca="1">IF(ISNUMBER(MATCH(DATEVALUE($A181),'recurring1_based on steps'!N$1:N$400,0)),N$2,)</f>
        <v>0</v>
      </c>
      <c r="O181" s="179">
        <f ca="1">IF(ISNUMBER(MATCH(DATEVALUE($A181),'recurring1_based on steps'!O$1:O$400,0)),O$2,)</f>
        <v>0</v>
      </c>
      <c r="P181" s="179">
        <f ca="1">IF(ISNUMBER(MATCH(DATEVALUE($A181),'recurring1_based on steps'!P$1:P$400,0)),P$2,)</f>
        <v>0</v>
      </c>
      <c r="Q181" s="179">
        <f ca="1">IF(ISNUMBER(MATCH(DATEVALUE($A181),'recurring1_based on steps'!Q$1:Q$400,0)),Q$2,)</f>
        <v>0</v>
      </c>
      <c r="R181" s="179">
        <f ca="1">IF(ISNUMBER(MATCH(DATEVALUE($A181),'recurring1_based on steps'!R$1:R$400,0)),R$2,)</f>
        <v>0</v>
      </c>
      <c r="S181" s="179">
        <f ca="1">IF(ISNUMBER(MATCH(DATEVALUE($A181),'recurring1_based on steps'!S$1:S$400,0)),S$2,)</f>
        <v>0</v>
      </c>
      <c r="T181" s="179">
        <f ca="1">IF(ISNUMBER(MATCH(DATEVALUE($A181),'recurring1_based on steps'!T$1:T$400,0)),T$2,)</f>
        <v>0</v>
      </c>
      <c r="U181" s="179">
        <f ca="1">IF(ISNUMBER(MATCH(DATEVALUE($A181),'recurring1_based on steps'!U$1:U$400,0)),U$2,)</f>
        <v>0</v>
      </c>
      <c r="V181" s="179">
        <f ca="1">IF(ISNUMBER(MATCH(DATEVALUE($A181),'recurring1_based on steps'!V$1:V$400,0)),V$2,)</f>
        <v>0</v>
      </c>
      <c r="W181" s="179">
        <f ca="1">IF(ISNUMBER(MATCH(DATEVALUE($A181),'recurring1_based on steps'!W$1:W$400,0)),W$2,)</f>
        <v>0</v>
      </c>
      <c r="X181" s="179">
        <f ca="1">IF(ISNUMBER(MATCH(DATEVALUE($A181),'recurring1_based on steps'!X$1:X$400,0)),X$2,)</f>
        <v>0</v>
      </c>
      <c r="Y181" s="179">
        <f ca="1">IF(ISNUMBER(MATCH(DATEVALUE($A181),'recurring1_based on steps'!Y$1:Y$400,0)),Y$2,)</f>
        <v>0</v>
      </c>
      <c r="Z181" s="179">
        <f ca="1">IF(ISNUMBER(MATCH(DATEVALUE($A181),'recurring1_based on steps'!Z$1:Z$400,0)),Z$2,)</f>
        <v>0</v>
      </c>
      <c r="AA181" s="179">
        <f ca="1">IF(ISNUMBER(MATCH(DATEVALUE($A181),'recurring1_based on steps'!AA$1:AA$400,0)),AA$2,)</f>
        <v>0</v>
      </c>
      <c r="AB181" s="179">
        <f ca="1">IF(ISNUMBER(MATCH(DATEVALUE($A181),'recurring1_based on steps'!AB$1:AB$400,0)),AB$2,)</f>
        <v>0</v>
      </c>
      <c r="AC181" s="179">
        <f ca="1">IF(ISNUMBER(MATCH(DATEVALUE($A181),'recurring1_based on steps'!AC$1:AC$400,0)),AC$2,)</f>
        <v>0</v>
      </c>
      <c r="AD181" s="179">
        <f ca="1">IF(ISNUMBER(MATCH(DATEVALUE($A181),'recurring1_based on steps'!AD$1:AD$400,0)),AD$2,)</f>
        <v>0</v>
      </c>
      <c r="AE181" s="179">
        <f ca="1">IF(ISNUMBER(MATCH(DATEVALUE($A181),'recurring1_based on steps'!AE$1:AE$400,0)),AE$2,)</f>
        <v>0</v>
      </c>
      <c r="AF181" s="179">
        <f ca="1">IF(ISNUMBER(MATCH(DATEVALUE($A181),'recurring1_based on steps'!AF$1:AF$400,0)),AF$2,)</f>
        <v>0</v>
      </c>
      <c r="AG181" s="179">
        <f ca="1">IF(ISNUMBER(MATCH(DATEVALUE($A181),'recurring1_based on steps'!AG$1:AG$400,0)),AG$2,)</f>
        <v>0</v>
      </c>
      <c r="AH181" s="179">
        <f ca="1">IF(ISNUMBER(MATCH(DATEVALUE($A181),'recurring1_based on steps'!AH$1:AH$400,0)),AH$2,)</f>
        <v>0</v>
      </c>
      <c r="AI181" s="179">
        <f ca="1">IF(ISNUMBER(MATCH(DATEVALUE($A181),'recurring1_based on steps'!AI$1:AI$400,0)),AI$2,)</f>
        <v>0</v>
      </c>
      <c r="AJ181" s="179">
        <f ca="1">IF(ISNUMBER(MATCH(DATEVALUE($A181),'recurring1_based on steps'!AJ$1:AJ$400,0)),AJ$2,)</f>
        <v>0</v>
      </c>
      <c r="AK181" s="179">
        <f ca="1">IF(ISNUMBER(MATCH(DATEVALUE($A181),'recurring1_based on steps'!AK$1:AK$400,0)),AK$2,)</f>
        <v>0</v>
      </c>
      <c r="AL181" s="179">
        <f ca="1">IF(ISNUMBER(MATCH(DATEVALUE($A181),'recurring1_based on steps'!AL$1:AL$400,0)),AL$2,)</f>
        <v>0</v>
      </c>
      <c r="AM181" s="179">
        <f ca="1">IF(ISNUMBER(MATCH(DATEVALUE($A181),'recurring1_based on steps'!AM$1:AM$400,0)),AM$2,)</f>
        <v>0</v>
      </c>
      <c r="AN181" s="179">
        <f ca="1">IF(ISNUMBER(MATCH(DATEVALUE($A181),'recurring1_based on steps'!AN$1:AN$400,0)),AN$2,)</f>
        <v>0</v>
      </c>
      <c r="AO181" s="179">
        <f ca="1">IF(ISNUMBER(MATCH(DATEVALUE($A181),'recurring1_based on steps'!AO$1:AO$400,0)),AO$2,)</f>
        <v>0</v>
      </c>
      <c r="AP181" s="179">
        <f ca="1">IF(ISNUMBER(MATCH(DATEVALUE($A181),'recurring1_based on steps'!AP$1:AP$400,0)),AP$2,)</f>
        <v>0</v>
      </c>
      <c r="AQ181" s="179">
        <f ca="1">IF(ISNUMBER(MATCH(DATEVALUE($A181),'recurring1_based on steps'!AQ$1:AQ$400,0)),AQ$2,)</f>
        <v>0</v>
      </c>
      <c r="AR181" s="179">
        <f ca="1">IF(ISNUMBER(MATCH(DATEVALUE($A181),'recurring1_based on steps'!AR$1:AR$400,0)),AR$2,)</f>
        <v>0</v>
      </c>
      <c r="AS181" s="179">
        <f ca="1">IF(ISNUMBER(MATCH(DATEVALUE($A181),'recurring1_based on steps'!AS$1:AS$400,0)),AS$2,)</f>
        <v>0</v>
      </c>
      <c r="AT181" s="179">
        <f ca="1">IF(ISNUMBER(MATCH(DATEVALUE($A181),'recurring1_based on steps'!AT$1:AT$400,0)),AT$2,)</f>
        <v>0</v>
      </c>
      <c r="AU181" s="179">
        <f ca="1">IF(ISNUMBER(MATCH(DATEVALUE($A181),'recurring1_based on steps'!AU$1:AU$400,0)),AU$2,)</f>
        <v>0</v>
      </c>
      <c r="AV181" s="179">
        <f ca="1">IF(ISNUMBER(MATCH(DATEVALUE($A181),'recurring1_based on steps'!AV$1:AV$400,0)),AV$2,)</f>
        <v>0</v>
      </c>
      <c r="AW181" s="179">
        <f ca="1">IF(ISNUMBER(MATCH(DATEVALUE($A181),'recurring1_based on steps'!AW$1:AW$400,0)),AW$2,)</f>
        <v>0</v>
      </c>
      <c r="AX181" s="179">
        <f ca="1">IF(ISNUMBER(MATCH(DATEVALUE($A181),'recurring1_based on steps'!AX$1:AX$400,0)),AX$2,)</f>
        <v>0</v>
      </c>
      <c r="AY181" s="179">
        <f ca="1">IF(ISNUMBER(MATCH(DATEVALUE($A181),'recurring1_based on steps'!AY$1:AY$400,0)),AY$2,)</f>
        <v>0</v>
      </c>
    </row>
    <row r="182" spans="1:51" x14ac:dyDescent="0.2">
      <c r="A182" s="32" t="str">
        <f t="shared" ca="1" si="2"/>
        <v>2025-10-01</v>
      </c>
      <c r="B182" s="179">
        <f ca="1">IF(ISNUMBER(MATCH(DATEVALUE($A182),'recurring1_based on steps'!B$1:B$400,0)),B$2,)</f>
        <v>0</v>
      </c>
      <c r="C182" s="179">
        <f ca="1">IF(ISNUMBER(MATCH(DATEVALUE($A182),'recurring1_based on steps'!C$1:C$400,0)),C$2,)</f>
        <v>0</v>
      </c>
      <c r="D182" s="179">
        <f ca="1">IF(ISNUMBER(MATCH(DATEVALUE($A182),'recurring1_based on steps'!D$1:D$400,0)),D$2,)</f>
        <v>0</v>
      </c>
      <c r="E182" s="179">
        <f ca="1">IF(ISNUMBER(MATCH(DATEVALUE($A182),'recurring1_based on steps'!E$1:E$400,0)),E$2,)</f>
        <v>0</v>
      </c>
      <c r="F182" s="179">
        <f ca="1">IF(ISNUMBER(MATCH(DATEVALUE($A182),'recurring1_based on steps'!F$1:F$400,0)),F$2,)</f>
        <v>0</v>
      </c>
      <c r="G182" s="179">
        <f ca="1">IF(ISNUMBER(MATCH(DATEVALUE($A182),'recurring1_based on steps'!G$1:G$400,0)),G$2,)</f>
        <v>0</v>
      </c>
      <c r="H182" s="179">
        <f ca="1">IF(ISNUMBER(MATCH(DATEVALUE($A182),'recurring1_based on steps'!H$1:H$400,0)),H$2,)</f>
        <v>0</v>
      </c>
      <c r="I182" s="179">
        <f ca="1">IF(ISNUMBER(MATCH(DATEVALUE($A182),'recurring1_based on steps'!I$1:I$400,0)),I$2,)</f>
        <v>0</v>
      </c>
      <c r="J182" s="179">
        <f ca="1">IF(ISNUMBER(MATCH(DATEVALUE($A182),'recurring1_based on steps'!J$1:J$400,0)),J$2,)</f>
        <v>0</v>
      </c>
      <c r="K182" s="179">
        <f ca="1">IF(ISNUMBER(MATCH(DATEVALUE($A182),'recurring1_based on steps'!K$1:K$400,0)),K$2,)</f>
        <v>0</v>
      </c>
      <c r="L182" s="179">
        <f ca="1">IF(ISNUMBER(MATCH(DATEVALUE($A182),'recurring1_based on steps'!L$1:L$400,0)),L$2,)</f>
        <v>0</v>
      </c>
      <c r="M182" s="179">
        <f ca="1">IF(ISNUMBER(MATCH(DATEVALUE($A182),'recurring1_based on steps'!M$1:M$400,0)),M$2,)</f>
        <v>0</v>
      </c>
      <c r="N182" s="179">
        <f ca="1">IF(ISNUMBER(MATCH(DATEVALUE($A182),'recurring1_based on steps'!N$1:N$400,0)),N$2,)</f>
        <v>0</v>
      </c>
      <c r="O182" s="179">
        <f ca="1">IF(ISNUMBER(MATCH(DATEVALUE($A182),'recurring1_based on steps'!O$1:O$400,0)),O$2,)</f>
        <v>0</v>
      </c>
      <c r="P182" s="179">
        <f ca="1">IF(ISNUMBER(MATCH(DATEVALUE($A182),'recurring1_based on steps'!P$1:P$400,0)),P$2,)</f>
        <v>0</v>
      </c>
      <c r="Q182" s="179">
        <f ca="1">IF(ISNUMBER(MATCH(DATEVALUE($A182),'recurring1_based on steps'!Q$1:Q$400,0)),Q$2,)</f>
        <v>0</v>
      </c>
      <c r="R182" s="179">
        <f ca="1">IF(ISNUMBER(MATCH(DATEVALUE($A182),'recurring1_based on steps'!R$1:R$400,0)),R$2,)</f>
        <v>0</v>
      </c>
      <c r="S182" s="179">
        <f ca="1">IF(ISNUMBER(MATCH(DATEVALUE($A182),'recurring1_based on steps'!S$1:S$400,0)),S$2,)</f>
        <v>0</v>
      </c>
      <c r="T182" s="179">
        <f ca="1">IF(ISNUMBER(MATCH(DATEVALUE($A182),'recurring1_based on steps'!T$1:T$400,0)),T$2,)</f>
        <v>0</v>
      </c>
      <c r="U182" s="179">
        <f ca="1">IF(ISNUMBER(MATCH(DATEVALUE($A182),'recurring1_based on steps'!U$1:U$400,0)),U$2,)</f>
        <v>0</v>
      </c>
      <c r="V182" s="179">
        <f ca="1">IF(ISNUMBER(MATCH(DATEVALUE($A182),'recurring1_based on steps'!V$1:V$400,0)),V$2,)</f>
        <v>0</v>
      </c>
      <c r="W182" s="179">
        <f ca="1">IF(ISNUMBER(MATCH(DATEVALUE($A182),'recurring1_based on steps'!W$1:W$400,0)),W$2,)</f>
        <v>0</v>
      </c>
      <c r="X182" s="179">
        <f ca="1">IF(ISNUMBER(MATCH(DATEVALUE($A182),'recurring1_based on steps'!X$1:X$400,0)),X$2,)</f>
        <v>0</v>
      </c>
      <c r="Y182" s="179">
        <f ca="1">IF(ISNUMBER(MATCH(DATEVALUE($A182),'recurring1_based on steps'!Y$1:Y$400,0)),Y$2,)</f>
        <v>0</v>
      </c>
      <c r="Z182" s="179">
        <f ca="1">IF(ISNUMBER(MATCH(DATEVALUE($A182),'recurring1_based on steps'!Z$1:Z$400,0)),Z$2,)</f>
        <v>0</v>
      </c>
      <c r="AA182" s="179">
        <f ca="1">IF(ISNUMBER(MATCH(DATEVALUE($A182),'recurring1_based on steps'!AA$1:AA$400,0)),AA$2,)</f>
        <v>0</v>
      </c>
      <c r="AB182" s="179">
        <f ca="1">IF(ISNUMBER(MATCH(DATEVALUE($A182),'recurring1_based on steps'!AB$1:AB$400,0)),AB$2,)</f>
        <v>0</v>
      </c>
      <c r="AC182" s="179">
        <f ca="1">IF(ISNUMBER(MATCH(DATEVALUE($A182),'recurring1_based on steps'!AC$1:AC$400,0)),AC$2,)</f>
        <v>0</v>
      </c>
      <c r="AD182" s="179">
        <f ca="1">IF(ISNUMBER(MATCH(DATEVALUE($A182),'recurring1_based on steps'!AD$1:AD$400,0)),AD$2,)</f>
        <v>0</v>
      </c>
      <c r="AE182" s="179">
        <f ca="1">IF(ISNUMBER(MATCH(DATEVALUE($A182),'recurring1_based on steps'!AE$1:AE$400,0)),AE$2,)</f>
        <v>0</v>
      </c>
      <c r="AF182" s="179">
        <f ca="1">IF(ISNUMBER(MATCH(DATEVALUE($A182),'recurring1_based on steps'!AF$1:AF$400,0)),AF$2,)</f>
        <v>0</v>
      </c>
      <c r="AG182" s="179">
        <f ca="1">IF(ISNUMBER(MATCH(DATEVALUE($A182),'recurring1_based on steps'!AG$1:AG$400,0)),AG$2,)</f>
        <v>0</v>
      </c>
      <c r="AH182" s="179">
        <f ca="1">IF(ISNUMBER(MATCH(DATEVALUE($A182),'recurring1_based on steps'!AH$1:AH$400,0)),AH$2,)</f>
        <v>0</v>
      </c>
      <c r="AI182" s="179">
        <f ca="1">IF(ISNUMBER(MATCH(DATEVALUE($A182),'recurring1_based on steps'!AI$1:AI$400,0)),AI$2,)</f>
        <v>0</v>
      </c>
      <c r="AJ182" s="179">
        <f ca="1">IF(ISNUMBER(MATCH(DATEVALUE($A182),'recurring1_based on steps'!AJ$1:AJ$400,0)),AJ$2,)</f>
        <v>0</v>
      </c>
      <c r="AK182" s="179">
        <f ca="1">IF(ISNUMBER(MATCH(DATEVALUE($A182),'recurring1_based on steps'!AK$1:AK$400,0)),AK$2,)</f>
        <v>0</v>
      </c>
      <c r="AL182" s="179">
        <f ca="1">IF(ISNUMBER(MATCH(DATEVALUE($A182),'recurring1_based on steps'!AL$1:AL$400,0)),AL$2,)</f>
        <v>0</v>
      </c>
      <c r="AM182" s="179">
        <f ca="1">IF(ISNUMBER(MATCH(DATEVALUE($A182),'recurring1_based on steps'!AM$1:AM$400,0)),AM$2,)</f>
        <v>0</v>
      </c>
      <c r="AN182" s="179">
        <f ca="1">IF(ISNUMBER(MATCH(DATEVALUE($A182),'recurring1_based on steps'!AN$1:AN$400,0)),AN$2,)</f>
        <v>0</v>
      </c>
      <c r="AO182" s="179">
        <f ca="1">IF(ISNUMBER(MATCH(DATEVALUE($A182),'recurring1_based on steps'!AO$1:AO$400,0)),AO$2,)</f>
        <v>0</v>
      </c>
      <c r="AP182" s="179">
        <f ca="1">IF(ISNUMBER(MATCH(DATEVALUE($A182),'recurring1_based on steps'!AP$1:AP$400,0)),AP$2,)</f>
        <v>0</v>
      </c>
      <c r="AQ182" s="179">
        <f ca="1">IF(ISNUMBER(MATCH(DATEVALUE($A182),'recurring1_based on steps'!AQ$1:AQ$400,0)),AQ$2,)</f>
        <v>0</v>
      </c>
      <c r="AR182" s="179">
        <f ca="1">IF(ISNUMBER(MATCH(DATEVALUE($A182),'recurring1_based on steps'!AR$1:AR$400,0)),AR$2,)</f>
        <v>0</v>
      </c>
      <c r="AS182" s="179">
        <f ca="1">IF(ISNUMBER(MATCH(DATEVALUE($A182),'recurring1_based on steps'!AS$1:AS$400,0)),AS$2,)</f>
        <v>0</v>
      </c>
      <c r="AT182" s="179">
        <f ca="1">IF(ISNUMBER(MATCH(DATEVALUE($A182),'recurring1_based on steps'!AT$1:AT$400,0)),AT$2,)</f>
        <v>0</v>
      </c>
      <c r="AU182" s="179">
        <f ca="1">IF(ISNUMBER(MATCH(DATEVALUE($A182),'recurring1_based on steps'!AU$1:AU$400,0)),AU$2,)</f>
        <v>0</v>
      </c>
      <c r="AV182" s="179">
        <f ca="1">IF(ISNUMBER(MATCH(DATEVALUE($A182),'recurring1_based on steps'!AV$1:AV$400,0)),AV$2,)</f>
        <v>0</v>
      </c>
      <c r="AW182" s="179">
        <f ca="1">IF(ISNUMBER(MATCH(DATEVALUE($A182),'recurring1_based on steps'!AW$1:AW$400,0)),AW$2,)</f>
        <v>0</v>
      </c>
      <c r="AX182" s="179">
        <f ca="1">IF(ISNUMBER(MATCH(DATEVALUE($A182),'recurring1_based on steps'!AX$1:AX$400,0)),AX$2,)</f>
        <v>0</v>
      </c>
      <c r="AY182" s="179">
        <f ca="1">IF(ISNUMBER(MATCH(DATEVALUE($A182),'recurring1_based on steps'!AY$1:AY$400,0)),AY$2,)</f>
        <v>0</v>
      </c>
    </row>
    <row r="183" spans="1:51" x14ac:dyDescent="0.2">
      <c r="A183" s="32" t="str">
        <f t="shared" ca="1" si="2"/>
        <v>2025-10-02</v>
      </c>
      <c r="B183" s="179">
        <f ca="1">IF(ISNUMBER(MATCH(DATEVALUE($A183),'recurring1_based on steps'!B$1:B$400,0)),B$2,)</f>
        <v>0</v>
      </c>
      <c r="C183" s="179">
        <f ca="1">IF(ISNUMBER(MATCH(DATEVALUE($A183),'recurring1_based on steps'!C$1:C$400,0)),C$2,)</f>
        <v>0</v>
      </c>
      <c r="D183" s="179">
        <f ca="1">IF(ISNUMBER(MATCH(DATEVALUE($A183),'recurring1_based on steps'!D$1:D$400,0)),D$2,)</f>
        <v>0</v>
      </c>
      <c r="E183" s="179">
        <f ca="1">IF(ISNUMBER(MATCH(DATEVALUE($A183),'recurring1_based on steps'!E$1:E$400,0)),E$2,)</f>
        <v>0</v>
      </c>
      <c r="F183" s="179">
        <f ca="1">IF(ISNUMBER(MATCH(DATEVALUE($A183),'recurring1_based on steps'!F$1:F$400,0)),F$2,)</f>
        <v>0</v>
      </c>
      <c r="G183" s="179">
        <f ca="1">IF(ISNUMBER(MATCH(DATEVALUE($A183),'recurring1_based on steps'!G$1:G$400,0)),G$2,)</f>
        <v>0</v>
      </c>
      <c r="H183" s="179">
        <f ca="1">IF(ISNUMBER(MATCH(DATEVALUE($A183),'recurring1_based on steps'!H$1:H$400,0)),H$2,)</f>
        <v>0</v>
      </c>
      <c r="I183" s="179">
        <f ca="1">IF(ISNUMBER(MATCH(DATEVALUE($A183),'recurring1_based on steps'!I$1:I$400,0)),I$2,)</f>
        <v>0</v>
      </c>
      <c r="J183" s="179">
        <f ca="1">IF(ISNUMBER(MATCH(DATEVALUE($A183),'recurring1_based on steps'!J$1:J$400,0)),J$2,)</f>
        <v>0</v>
      </c>
      <c r="K183" s="179">
        <f ca="1">IF(ISNUMBER(MATCH(DATEVALUE($A183),'recurring1_based on steps'!K$1:K$400,0)),K$2,)</f>
        <v>0</v>
      </c>
      <c r="L183" s="179">
        <f ca="1">IF(ISNUMBER(MATCH(DATEVALUE($A183),'recurring1_based on steps'!L$1:L$400,0)),L$2,)</f>
        <v>0</v>
      </c>
      <c r="M183" s="179">
        <f ca="1">IF(ISNUMBER(MATCH(DATEVALUE($A183),'recurring1_based on steps'!M$1:M$400,0)),M$2,)</f>
        <v>0</v>
      </c>
      <c r="N183" s="179">
        <f ca="1">IF(ISNUMBER(MATCH(DATEVALUE($A183),'recurring1_based on steps'!N$1:N$400,0)),N$2,)</f>
        <v>0</v>
      </c>
      <c r="O183" s="179">
        <f ca="1">IF(ISNUMBER(MATCH(DATEVALUE($A183),'recurring1_based on steps'!O$1:O$400,0)),O$2,)</f>
        <v>0</v>
      </c>
      <c r="P183" s="179">
        <f ca="1">IF(ISNUMBER(MATCH(DATEVALUE($A183),'recurring1_based on steps'!P$1:P$400,0)),P$2,)</f>
        <v>0</v>
      </c>
      <c r="Q183" s="179">
        <f ca="1">IF(ISNUMBER(MATCH(DATEVALUE($A183),'recurring1_based on steps'!Q$1:Q$400,0)),Q$2,)</f>
        <v>0</v>
      </c>
      <c r="R183" s="179">
        <f ca="1">IF(ISNUMBER(MATCH(DATEVALUE($A183),'recurring1_based on steps'!R$1:R$400,0)),R$2,)</f>
        <v>0</v>
      </c>
      <c r="S183" s="179">
        <f ca="1">IF(ISNUMBER(MATCH(DATEVALUE($A183),'recurring1_based on steps'!S$1:S$400,0)),S$2,)</f>
        <v>0</v>
      </c>
      <c r="T183" s="179">
        <f ca="1">IF(ISNUMBER(MATCH(DATEVALUE($A183),'recurring1_based on steps'!T$1:T$400,0)),T$2,)</f>
        <v>0</v>
      </c>
      <c r="U183" s="179">
        <f ca="1">IF(ISNUMBER(MATCH(DATEVALUE($A183),'recurring1_based on steps'!U$1:U$400,0)),U$2,)</f>
        <v>0</v>
      </c>
      <c r="V183" s="179">
        <f ca="1">IF(ISNUMBER(MATCH(DATEVALUE($A183),'recurring1_based on steps'!V$1:V$400,0)),V$2,)</f>
        <v>0</v>
      </c>
      <c r="W183" s="179">
        <f ca="1">IF(ISNUMBER(MATCH(DATEVALUE($A183),'recurring1_based on steps'!W$1:W$400,0)),W$2,)</f>
        <v>0</v>
      </c>
      <c r="X183" s="179">
        <f ca="1">IF(ISNUMBER(MATCH(DATEVALUE($A183),'recurring1_based on steps'!X$1:X$400,0)),X$2,)</f>
        <v>0</v>
      </c>
      <c r="Y183" s="179">
        <f ca="1">IF(ISNUMBER(MATCH(DATEVALUE($A183),'recurring1_based on steps'!Y$1:Y$400,0)),Y$2,)</f>
        <v>0</v>
      </c>
      <c r="Z183" s="179">
        <f ca="1">IF(ISNUMBER(MATCH(DATEVALUE($A183),'recurring1_based on steps'!Z$1:Z$400,0)),Z$2,)</f>
        <v>0</v>
      </c>
      <c r="AA183" s="179">
        <f ca="1">IF(ISNUMBER(MATCH(DATEVALUE($A183),'recurring1_based on steps'!AA$1:AA$400,0)),AA$2,)</f>
        <v>0</v>
      </c>
      <c r="AB183" s="179">
        <f ca="1">IF(ISNUMBER(MATCH(DATEVALUE($A183),'recurring1_based on steps'!AB$1:AB$400,0)),AB$2,)</f>
        <v>0</v>
      </c>
      <c r="AC183" s="179">
        <f ca="1">IF(ISNUMBER(MATCH(DATEVALUE($A183),'recurring1_based on steps'!AC$1:AC$400,0)),AC$2,)</f>
        <v>0</v>
      </c>
      <c r="AD183" s="179">
        <f ca="1">IF(ISNUMBER(MATCH(DATEVALUE($A183),'recurring1_based on steps'!AD$1:AD$400,0)),AD$2,)</f>
        <v>0</v>
      </c>
      <c r="AE183" s="179">
        <f ca="1">IF(ISNUMBER(MATCH(DATEVALUE($A183),'recurring1_based on steps'!AE$1:AE$400,0)),AE$2,)</f>
        <v>0</v>
      </c>
      <c r="AF183" s="179">
        <f ca="1">IF(ISNUMBER(MATCH(DATEVALUE($A183),'recurring1_based on steps'!AF$1:AF$400,0)),AF$2,)</f>
        <v>0</v>
      </c>
      <c r="AG183" s="179">
        <f ca="1">IF(ISNUMBER(MATCH(DATEVALUE($A183),'recurring1_based on steps'!AG$1:AG$400,0)),AG$2,)</f>
        <v>0</v>
      </c>
      <c r="AH183" s="179">
        <f ca="1">IF(ISNUMBER(MATCH(DATEVALUE($A183),'recurring1_based on steps'!AH$1:AH$400,0)),AH$2,)</f>
        <v>0</v>
      </c>
      <c r="AI183" s="179">
        <f ca="1">IF(ISNUMBER(MATCH(DATEVALUE($A183),'recurring1_based on steps'!AI$1:AI$400,0)),AI$2,)</f>
        <v>0</v>
      </c>
      <c r="AJ183" s="179">
        <f ca="1">IF(ISNUMBER(MATCH(DATEVALUE($A183),'recurring1_based on steps'!AJ$1:AJ$400,0)),AJ$2,)</f>
        <v>0</v>
      </c>
      <c r="AK183" s="179">
        <f ca="1">IF(ISNUMBER(MATCH(DATEVALUE($A183),'recurring1_based on steps'!AK$1:AK$400,0)),AK$2,)</f>
        <v>0</v>
      </c>
      <c r="AL183" s="179">
        <f ca="1">IF(ISNUMBER(MATCH(DATEVALUE($A183),'recurring1_based on steps'!AL$1:AL$400,0)),AL$2,)</f>
        <v>0</v>
      </c>
      <c r="AM183" s="179">
        <f ca="1">IF(ISNUMBER(MATCH(DATEVALUE($A183),'recurring1_based on steps'!AM$1:AM$400,0)),AM$2,)</f>
        <v>0</v>
      </c>
      <c r="AN183" s="179">
        <f ca="1">IF(ISNUMBER(MATCH(DATEVALUE($A183),'recurring1_based on steps'!AN$1:AN$400,0)),AN$2,)</f>
        <v>0</v>
      </c>
      <c r="AO183" s="179">
        <f ca="1">IF(ISNUMBER(MATCH(DATEVALUE($A183),'recurring1_based on steps'!AO$1:AO$400,0)),AO$2,)</f>
        <v>0</v>
      </c>
      <c r="AP183" s="179">
        <f ca="1">IF(ISNUMBER(MATCH(DATEVALUE($A183),'recurring1_based on steps'!AP$1:AP$400,0)),AP$2,)</f>
        <v>0</v>
      </c>
      <c r="AQ183" s="179">
        <f ca="1">IF(ISNUMBER(MATCH(DATEVALUE($A183),'recurring1_based on steps'!AQ$1:AQ$400,0)),AQ$2,)</f>
        <v>0</v>
      </c>
      <c r="AR183" s="179">
        <f ca="1">IF(ISNUMBER(MATCH(DATEVALUE($A183),'recurring1_based on steps'!AR$1:AR$400,0)),AR$2,)</f>
        <v>0</v>
      </c>
      <c r="AS183" s="179">
        <f ca="1">IF(ISNUMBER(MATCH(DATEVALUE($A183),'recurring1_based on steps'!AS$1:AS$400,0)),AS$2,)</f>
        <v>0</v>
      </c>
      <c r="AT183" s="179">
        <f ca="1">IF(ISNUMBER(MATCH(DATEVALUE($A183),'recurring1_based on steps'!AT$1:AT$400,0)),AT$2,)</f>
        <v>0</v>
      </c>
      <c r="AU183" s="179">
        <f ca="1">IF(ISNUMBER(MATCH(DATEVALUE($A183),'recurring1_based on steps'!AU$1:AU$400,0)),AU$2,)</f>
        <v>0</v>
      </c>
      <c r="AV183" s="179">
        <f ca="1">IF(ISNUMBER(MATCH(DATEVALUE($A183),'recurring1_based on steps'!AV$1:AV$400,0)),AV$2,)</f>
        <v>0</v>
      </c>
      <c r="AW183" s="179">
        <f ca="1">IF(ISNUMBER(MATCH(DATEVALUE($A183),'recurring1_based on steps'!AW$1:AW$400,0)),AW$2,)</f>
        <v>0</v>
      </c>
      <c r="AX183" s="179">
        <f ca="1">IF(ISNUMBER(MATCH(DATEVALUE($A183),'recurring1_based on steps'!AX$1:AX$400,0)),AX$2,)</f>
        <v>0</v>
      </c>
      <c r="AY183" s="179">
        <f ca="1">IF(ISNUMBER(MATCH(DATEVALUE($A183),'recurring1_based on steps'!AY$1:AY$400,0)),AY$2,)</f>
        <v>0</v>
      </c>
    </row>
    <row r="184" spans="1:51" x14ac:dyDescent="0.2">
      <c r="A184" s="32" t="str">
        <f t="shared" ca="1" si="2"/>
        <v>2025-10-03</v>
      </c>
      <c r="B184" s="179">
        <f ca="1">IF(ISNUMBER(MATCH(DATEVALUE($A184),'recurring1_based on steps'!B$1:B$400,0)),B$2,)</f>
        <v>0</v>
      </c>
      <c r="C184" s="179">
        <f ca="1">IF(ISNUMBER(MATCH(DATEVALUE($A184),'recurring1_based on steps'!C$1:C$400,0)),C$2,)</f>
        <v>0</v>
      </c>
      <c r="D184" s="179">
        <f ca="1">IF(ISNUMBER(MATCH(DATEVALUE($A184),'recurring1_based on steps'!D$1:D$400,0)),D$2,)</f>
        <v>0</v>
      </c>
      <c r="E184" s="179">
        <f ca="1">IF(ISNUMBER(MATCH(DATEVALUE($A184),'recurring1_based on steps'!E$1:E$400,0)),E$2,)</f>
        <v>0</v>
      </c>
      <c r="F184" s="179">
        <f ca="1">IF(ISNUMBER(MATCH(DATEVALUE($A184),'recurring1_based on steps'!F$1:F$400,0)),F$2,)</f>
        <v>0</v>
      </c>
      <c r="G184" s="179">
        <f ca="1">IF(ISNUMBER(MATCH(DATEVALUE($A184),'recurring1_based on steps'!G$1:G$400,0)),G$2,)</f>
        <v>0</v>
      </c>
      <c r="H184" s="179">
        <f ca="1">IF(ISNUMBER(MATCH(DATEVALUE($A184),'recurring1_based on steps'!H$1:H$400,0)),H$2,)</f>
        <v>0</v>
      </c>
      <c r="I184" s="179">
        <f ca="1">IF(ISNUMBER(MATCH(DATEVALUE($A184),'recurring1_based on steps'!I$1:I$400,0)),I$2,)</f>
        <v>0</v>
      </c>
      <c r="J184" s="179">
        <f ca="1">IF(ISNUMBER(MATCH(DATEVALUE($A184),'recurring1_based on steps'!J$1:J$400,0)),J$2,)</f>
        <v>0</v>
      </c>
      <c r="K184" s="179">
        <f ca="1">IF(ISNUMBER(MATCH(DATEVALUE($A184),'recurring1_based on steps'!K$1:K$400,0)),K$2,)</f>
        <v>0</v>
      </c>
      <c r="L184" s="179">
        <f ca="1">IF(ISNUMBER(MATCH(DATEVALUE($A184),'recurring1_based on steps'!L$1:L$400,0)),L$2,)</f>
        <v>0</v>
      </c>
      <c r="M184" s="179">
        <f ca="1">IF(ISNUMBER(MATCH(DATEVALUE($A184),'recurring1_based on steps'!M$1:M$400,0)),M$2,)</f>
        <v>0</v>
      </c>
      <c r="N184" s="179">
        <f ca="1">IF(ISNUMBER(MATCH(DATEVALUE($A184),'recurring1_based on steps'!N$1:N$400,0)),N$2,)</f>
        <v>0</v>
      </c>
      <c r="O184" s="179">
        <f ca="1">IF(ISNUMBER(MATCH(DATEVALUE($A184),'recurring1_based on steps'!O$1:O$400,0)),O$2,)</f>
        <v>0</v>
      </c>
      <c r="P184" s="179">
        <f ca="1">IF(ISNUMBER(MATCH(DATEVALUE($A184),'recurring1_based on steps'!P$1:P$400,0)),P$2,)</f>
        <v>0</v>
      </c>
      <c r="Q184" s="179">
        <f ca="1">IF(ISNUMBER(MATCH(DATEVALUE($A184),'recurring1_based on steps'!Q$1:Q$400,0)),Q$2,)</f>
        <v>0</v>
      </c>
      <c r="R184" s="179">
        <f ca="1">IF(ISNUMBER(MATCH(DATEVALUE($A184),'recurring1_based on steps'!R$1:R$400,0)),R$2,)</f>
        <v>0</v>
      </c>
      <c r="S184" s="179">
        <f ca="1">IF(ISNUMBER(MATCH(DATEVALUE($A184),'recurring1_based on steps'!S$1:S$400,0)),S$2,)</f>
        <v>0</v>
      </c>
      <c r="T184" s="179">
        <f ca="1">IF(ISNUMBER(MATCH(DATEVALUE($A184),'recurring1_based on steps'!T$1:T$400,0)),T$2,)</f>
        <v>0</v>
      </c>
      <c r="U184" s="179">
        <f ca="1">IF(ISNUMBER(MATCH(DATEVALUE($A184),'recurring1_based on steps'!U$1:U$400,0)),U$2,)</f>
        <v>0</v>
      </c>
      <c r="V184" s="179">
        <f ca="1">IF(ISNUMBER(MATCH(DATEVALUE($A184),'recurring1_based on steps'!V$1:V$400,0)),V$2,)</f>
        <v>0</v>
      </c>
      <c r="W184" s="179">
        <f ca="1">IF(ISNUMBER(MATCH(DATEVALUE($A184),'recurring1_based on steps'!W$1:W$400,0)),W$2,)</f>
        <v>0</v>
      </c>
      <c r="X184" s="179">
        <f ca="1">IF(ISNUMBER(MATCH(DATEVALUE($A184),'recurring1_based on steps'!X$1:X$400,0)),X$2,)</f>
        <v>0</v>
      </c>
      <c r="Y184" s="179">
        <f ca="1">IF(ISNUMBER(MATCH(DATEVALUE($A184),'recurring1_based on steps'!Y$1:Y$400,0)),Y$2,)</f>
        <v>0</v>
      </c>
      <c r="Z184" s="179">
        <f ca="1">IF(ISNUMBER(MATCH(DATEVALUE($A184),'recurring1_based on steps'!Z$1:Z$400,0)),Z$2,)</f>
        <v>0</v>
      </c>
      <c r="AA184" s="179">
        <f ca="1">IF(ISNUMBER(MATCH(DATEVALUE($A184),'recurring1_based on steps'!AA$1:AA$400,0)),AA$2,)</f>
        <v>0</v>
      </c>
      <c r="AB184" s="179">
        <f ca="1">IF(ISNUMBER(MATCH(DATEVALUE($A184),'recurring1_based on steps'!AB$1:AB$400,0)),AB$2,)</f>
        <v>0</v>
      </c>
      <c r="AC184" s="179">
        <f ca="1">IF(ISNUMBER(MATCH(DATEVALUE($A184),'recurring1_based on steps'!AC$1:AC$400,0)),AC$2,)</f>
        <v>0</v>
      </c>
      <c r="AD184" s="179">
        <f ca="1">IF(ISNUMBER(MATCH(DATEVALUE($A184),'recurring1_based on steps'!AD$1:AD$400,0)),AD$2,)</f>
        <v>0</v>
      </c>
      <c r="AE184" s="179">
        <f ca="1">IF(ISNUMBER(MATCH(DATEVALUE($A184),'recurring1_based on steps'!AE$1:AE$400,0)),AE$2,)</f>
        <v>0</v>
      </c>
      <c r="AF184" s="179">
        <f ca="1">IF(ISNUMBER(MATCH(DATEVALUE($A184),'recurring1_based on steps'!AF$1:AF$400,0)),AF$2,)</f>
        <v>0</v>
      </c>
      <c r="AG184" s="179">
        <f ca="1">IF(ISNUMBER(MATCH(DATEVALUE($A184),'recurring1_based on steps'!AG$1:AG$400,0)),AG$2,)</f>
        <v>0</v>
      </c>
      <c r="AH184" s="179">
        <f ca="1">IF(ISNUMBER(MATCH(DATEVALUE($A184),'recurring1_based on steps'!AH$1:AH$400,0)),AH$2,)</f>
        <v>0</v>
      </c>
      <c r="AI184" s="179">
        <f ca="1">IF(ISNUMBER(MATCH(DATEVALUE($A184),'recurring1_based on steps'!AI$1:AI$400,0)),AI$2,)</f>
        <v>0</v>
      </c>
      <c r="AJ184" s="179">
        <f ca="1">IF(ISNUMBER(MATCH(DATEVALUE($A184),'recurring1_based on steps'!AJ$1:AJ$400,0)),AJ$2,)</f>
        <v>0</v>
      </c>
      <c r="AK184" s="179">
        <f ca="1">IF(ISNUMBER(MATCH(DATEVALUE($A184),'recurring1_based on steps'!AK$1:AK$400,0)),AK$2,)</f>
        <v>0</v>
      </c>
      <c r="AL184" s="179">
        <f ca="1">IF(ISNUMBER(MATCH(DATEVALUE($A184),'recurring1_based on steps'!AL$1:AL$400,0)),AL$2,)</f>
        <v>0</v>
      </c>
      <c r="AM184" s="179">
        <f ca="1">IF(ISNUMBER(MATCH(DATEVALUE($A184),'recurring1_based on steps'!AM$1:AM$400,0)),AM$2,)</f>
        <v>0</v>
      </c>
      <c r="AN184" s="179">
        <f ca="1">IF(ISNUMBER(MATCH(DATEVALUE($A184),'recurring1_based on steps'!AN$1:AN$400,0)),AN$2,)</f>
        <v>0</v>
      </c>
      <c r="AO184" s="179">
        <f ca="1">IF(ISNUMBER(MATCH(DATEVALUE($A184),'recurring1_based on steps'!AO$1:AO$400,0)),AO$2,)</f>
        <v>0</v>
      </c>
      <c r="AP184" s="179">
        <f ca="1">IF(ISNUMBER(MATCH(DATEVALUE($A184),'recurring1_based on steps'!AP$1:AP$400,0)),AP$2,)</f>
        <v>0</v>
      </c>
      <c r="AQ184" s="179">
        <f ca="1">IF(ISNUMBER(MATCH(DATEVALUE($A184),'recurring1_based on steps'!AQ$1:AQ$400,0)),AQ$2,)</f>
        <v>0</v>
      </c>
      <c r="AR184" s="179">
        <f ca="1">IF(ISNUMBER(MATCH(DATEVALUE($A184),'recurring1_based on steps'!AR$1:AR$400,0)),AR$2,)</f>
        <v>0</v>
      </c>
      <c r="AS184" s="179">
        <f ca="1">IF(ISNUMBER(MATCH(DATEVALUE($A184),'recurring1_based on steps'!AS$1:AS$400,0)),AS$2,)</f>
        <v>0</v>
      </c>
      <c r="AT184" s="179">
        <f ca="1">IF(ISNUMBER(MATCH(DATEVALUE($A184),'recurring1_based on steps'!AT$1:AT$400,0)),AT$2,)</f>
        <v>0</v>
      </c>
      <c r="AU184" s="179">
        <f ca="1">IF(ISNUMBER(MATCH(DATEVALUE($A184),'recurring1_based on steps'!AU$1:AU$400,0)),AU$2,)</f>
        <v>0</v>
      </c>
      <c r="AV184" s="179">
        <f ca="1">IF(ISNUMBER(MATCH(DATEVALUE($A184),'recurring1_based on steps'!AV$1:AV$400,0)),AV$2,)</f>
        <v>0</v>
      </c>
      <c r="AW184" s="179">
        <f ca="1">IF(ISNUMBER(MATCH(DATEVALUE($A184),'recurring1_based on steps'!AW$1:AW$400,0)),AW$2,)</f>
        <v>0</v>
      </c>
      <c r="AX184" s="179">
        <f ca="1">IF(ISNUMBER(MATCH(DATEVALUE($A184),'recurring1_based on steps'!AX$1:AX$400,0)),AX$2,)</f>
        <v>0</v>
      </c>
      <c r="AY184" s="179">
        <f ca="1">IF(ISNUMBER(MATCH(DATEVALUE($A184),'recurring1_based on steps'!AY$1:AY$400,0)),AY$2,)</f>
        <v>0</v>
      </c>
    </row>
    <row r="185" spans="1:51" x14ac:dyDescent="0.2">
      <c r="A185" s="32" t="str">
        <f t="shared" ca="1" si="2"/>
        <v>2025-10-04</v>
      </c>
      <c r="B185" s="179">
        <f ca="1">IF(ISNUMBER(MATCH(DATEVALUE($A185),'recurring1_based on steps'!B$1:B$400,0)),B$2,)</f>
        <v>0</v>
      </c>
      <c r="C185" s="179">
        <f ca="1">IF(ISNUMBER(MATCH(DATEVALUE($A185),'recurring1_based on steps'!C$1:C$400,0)),C$2,)</f>
        <v>0</v>
      </c>
      <c r="D185" s="179">
        <f ca="1">IF(ISNUMBER(MATCH(DATEVALUE($A185),'recurring1_based on steps'!D$1:D$400,0)),D$2,)</f>
        <v>0</v>
      </c>
      <c r="E185" s="179">
        <f ca="1">IF(ISNUMBER(MATCH(DATEVALUE($A185),'recurring1_based on steps'!E$1:E$400,0)),E$2,)</f>
        <v>0</v>
      </c>
      <c r="F185" s="179">
        <f ca="1">IF(ISNUMBER(MATCH(DATEVALUE($A185),'recurring1_based on steps'!F$1:F$400,0)),F$2,)</f>
        <v>0</v>
      </c>
      <c r="G185" s="179">
        <f ca="1">IF(ISNUMBER(MATCH(DATEVALUE($A185),'recurring1_based on steps'!G$1:G$400,0)),G$2,)</f>
        <v>0</v>
      </c>
      <c r="H185" s="179">
        <f ca="1">IF(ISNUMBER(MATCH(DATEVALUE($A185),'recurring1_based on steps'!H$1:H$400,0)),H$2,)</f>
        <v>0</v>
      </c>
      <c r="I185" s="179">
        <f ca="1">IF(ISNUMBER(MATCH(DATEVALUE($A185),'recurring1_based on steps'!I$1:I$400,0)),I$2,)</f>
        <v>0</v>
      </c>
      <c r="J185" s="179">
        <f ca="1">IF(ISNUMBER(MATCH(DATEVALUE($A185),'recurring1_based on steps'!J$1:J$400,0)),J$2,)</f>
        <v>0</v>
      </c>
      <c r="K185" s="179">
        <f ca="1">IF(ISNUMBER(MATCH(DATEVALUE($A185),'recurring1_based on steps'!K$1:K$400,0)),K$2,)</f>
        <v>0</v>
      </c>
      <c r="L185" s="179">
        <f ca="1">IF(ISNUMBER(MATCH(DATEVALUE($A185),'recurring1_based on steps'!L$1:L$400,0)),L$2,)</f>
        <v>0</v>
      </c>
      <c r="M185" s="179">
        <f ca="1">IF(ISNUMBER(MATCH(DATEVALUE($A185),'recurring1_based on steps'!M$1:M$400,0)),M$2,)</f>
        <v>0</v>
      </c>
      <c r="N185" s="179">
        <f ca="1">IF(ISNUMBER(MATCH(DATEVALUE($A185),'recurring1_based on steps'!N$1:N$400,0)),N$2,)</f>
        <v>0</v>
      </c>
      <c r="O185" s="179">
        <f ca="1">IF(ISNUMBER(MATCH(DATEVALUE($A185),'recurring1_based on steps'!O$1:O$400,0)),O$2,)</f>
        <v>0</v>
      </c>
      <c r="P185" s="179">
        <f ca="1">IF(ISNUMBER(MATCH(DATEVALUE($A185),'recurring1_based on steps'!P$1:P$400,0)),P$2,)</f>
        <v>0</v>
      </c>
      <c r="Q185" s="179">
        <f ca="1">IF(ISNUMBER(MATCH(DATEVALUE($A185),'recurring1_based on steps'!Q$1:Q$400,0)),Q$2,)</f>
        <v>0</v>
      </c>
      <c r="R185" s="179">
        <f ca="1">IF(ISNUMBER(MATCH(DATEVALUE($A185),'recurring1_based on steps'!R$1:R$400,0)),R$2,)</f>
        <v>0</v>
      </c>
      <c r="S185" s="179">
        <f ca="1">IF(ISNUMBER(MATCH(DATEVALUE($A185),'recurring1_based on steps'!S$1:S$400,0)),S$2,)</f>
        <v>0</v>
      </c>
      <c r="T185" s="179">
        <f ca="1">IF(ISNUMBER(MATCH(DATEVALUE($A185),'recurring1_based on steps'!T$1:T$400,0)),T$2,)</f>
        <v>0</v>
      </c>
      <c r="U185" s="179">
        <f ca="1">IF(ISNUMBER(MATCH(DATEVALUE($A185),'recurring1_based on steps'!U$1:U$400,0)),U$2,)</f>
        <v>0</v>
      </c>
      <c r="V185" s="179">
        <f ca="1">IF(ISNUMBER(MATCH(DATEVALUE($A185),'recurring1_based on steps'!V$1:V$400,0)),V$2,)</f>
        <v>0</v>
      </c>
      <c r="W185" s="179">
        <f ca="1">IF(ISNUMBER(MATCH(DATEVALUE($A185),'recurring1_based on steps'!W$1:W$400,0)),W$2,)</f>
        <v>0</v>
      </c>
      <c r="X185" s="179">
        <f ca="1">IF(ISNUMBER(MATCH(DATEVALUE($A185),'recurring1_based on steps'!X$1:X$400,0)),X$2,)</f>
        <v>0</v>
      </c>
      <c r="Y185" s="179">
        <f ca="1">IF(ISNUMBER(MATCH(DATEVALUE($A185),'recurring1_based on steps'!Y$1:Y$400,0)),Y$2,)</f>
        <v>0</v>
      </c>
      <c r="Z185" s="179">
        <f ca="1">IF(ISNUMBER(MATCH(DATEVALUE($A185),'recurring1_based on steps'!Z$1:Z$400,0)),Z$2,)</f>
        <v>0</v>
      </c>
      <c r="AA185" s="179">
        <f ca="1">IF(ISNUMBER(MATCH(DATEVALUE($A185),'recurring1_based on steps'!AA$1:AA$400,0)),AA$2,)</f>
        <v>0</v>
      </c>
      <c r="AB185" s="179">
        <f ca="1">IF(ISNUMBER(MATCH(DATEVALUE($A185),'recurring1_based on steps'!AB$1:AB$400,0)),AB$2,)</f>
        <v>0</v>
      </c>
      <c r="AC185" s="179">
        <f ca="1">IF(ISNUMBER(MATCH(DATEVALUE($A185),'recurring1_based on steps'!AC$1:AC$400,0)),AC$2,)</f>
        <v>0</v>
      </c>
      <c r="AD185" s="179">
        <f ca="1">IF(ISNUMBER(MATCH(DATEVALUE($A185),'recurring1_based on steps'!AD$1:AD$400,0)),AD$2,)</f>
        <v>0</v>
      </c>
      <c r="AE185" s="179">
        <f ca="1">IF(ISNUMBER(MATCH(DATEVALUE($A185),'recurring1_based on steps'!AE$1:AE$400,0)),AE$2,)</f>
        <v>0</v>
      </c>
      <c r="AF185" s="179">
        <f ca="1">IF(ISNUMBER(MATCH(DATEVALUE($A185),'recurring1_based on steps'!AF$1:AF$400,0)),AF$2,)</f>
        <v>0</v>
      </c>
      <c r="AG185" s="179">
        <f ca="1">IF(ISNUMBER(MATCH(DATEVALUE($A185),'recurring1_based on steps'!AG$1:AG$400,0)),AG$2,)</f>
        <v>0</v>
      </c>
      <c r="AH185" s="179">
        <f ca="1">IF(ISNUMBER(MATCH(DATEVALUE($A185),'recurring1_based on steps'!AH$1:AH$400,0)),AH$2,)</f>
        <v>0</v>
      </c>
      <c r="AI185" s="179">
        <f ca="1">IF(ISNUMBER(MATCH(DATEVALUE($A185),'recurring1_based on steps'!AI$1:AI$400,0)),AI$2,)</f>
        <v>0</v>
      </c>
      <c r="AJ185" s="179">
        <f ca="1">IF(ISNUMBER(MATCH(DATEVALUE($A185),'recurring1_based on steps'!AJ$1:AJ$400,0)),AJ$2,)</f>
        <v>0</v>
      </c>
      <c r="AK185" s="179">
        <f ca="1">IF(ISNUMBER(MATCH(DATEVALUE($A185),'recurring1_based on steps'!AK$1:AK$400,0)),AK$2,)</f>
        <v>0</v>
      </c>
      <c r="AL185" s="179">
        <f ca="1">IF(ISNUMBER(MATCH(DATEVALUE($A185),'recurring1_based on steps'!AL$1:AL$400,0)),AL$2,)</f>
        <v>0</v>
      </c>
      <c r="AM185" s="179">
        <f ca="1">IF(ISNUMBER(MATCH(DATEVALUE($A185),'recurring1_based on steps'!AM$1:AM$400,0)),AM$2,)</f>
        <v>0</v>
      </c>
      <c r="AN185" s="179">
        <f ca="1">IF(ISNUMBER(MATCH(DATEVALUE($A185),'recurring1_based on steps'!AN$1:AN$400,0)),AN$2,)</f>
        <v>0</v>
      </c>
      <c r="AO185" s="179">
        <f ca="1">IF(ISNUMBER(MATCH(DATEVALUE($A185),'recurring1_based on steps'!AO$1:AO$400,0)),AO$2,)</f>
        <v>0</v>
      </c>
      <c r="AP185" s="179">
        <f ca="1">IF(ISNUMBER(MATCH(DATEVALUE($A185),'recurring1_based on steps'!AP$1:AP$400,0)),AP$2,)</f>
        <v>0</v>
      </c>
      <c r="AQ185" s="179">
        <f ca="1">IF(ISNUMBER(MATCH(DATEVALUE($A185),'recurring1_based on steps'!AQ$1:AQ$400,0)),AQ$2,)</f>
        <v>0</v>
      </c>
      <c r="AR185" s="179">
        <f ca="1">IF(ISNUMBER(MATCH(DATEVALUE($A185),'recurring1_based on steps'!AR$1:AR$400,0)),AR$2,)</f>
        <v>0</v>
      </c>
      <c r="AS185" s="179">
        <f ca="1">IF(ISNUMBER(MATCH(DATEVALUE($A185),'recurring1_based on steps'!AS$1:AS$400,0)),AS$2,)</f>
        <v>0</v>
      </c>
      <c r="AT185" s="179">
        <f ca="1">IF(ISNUMBER(MATCH(DATEVALUE($A185),'recurring1_based on steps'!AT$1:AT$400,0)),AT$2,)</f>
        <v>0</v>
      </c>
      <c r="AU185" s="179">
        <f ca="1">IF(ISNUMBER(MATCH(DATEVALUE($A185),'recurring1_based on steps'!AU$1:AU$400,0)),AU$2,)</f>
        <v>0</v>
      </c>
      <c r="AV185" s="179">
        <f ca="1">IF(ISNUMBER(MATCH(DATEVALUE($A185),'recurring1_based on steps'!AV$1:AV$400,0)),AV$2,)</f>
        <v>0</v>
      </c>
      <c r="AW185" s="179">
        <f ca="1">IF(ISNUMBER(MATCH(DATEVALUE($A185),'recurring1_based on steps'!AW$1:AW$400,0)),AW$2,)</f>
        <v>0</v>
      </c>
      <c r="AX185" s="179">
        <f ca="1">IF(ISNUMBER(MATCH(DATEVALUE($A185),'recurring1_based on steps'!AX$1:AX$400,0)),AX$2,)</f>
        <v>0</v>
      </c>
      <c r="AY185" s="179">
        <f ca="1">IF(ISNUMBER(MATCH(DATEVALUE($A185),'recurring1_based on steps'!AY$1:AY$400,0)),AY$2,)</f>
        <v>0</v>
      </c>
    </row>
    <row r="186" spans="1:51" x14ac:dyDescent="0.2">
      <c r="A186" s="32" t="str">
        <f t="shared" ca="1" si="2"/>
        <v>2025-10-05</v>
      </c>
      <c r="B186" s="179">
        <f ca="1">IF(ISNUMBER(MATCH(DATEVALUE($A186),'recurring1_based on steps'!B$1:B$400,0)),B$2,)</f>
        <v>0</v>
      </c>
      <c r="C186" s="179">
        <f ca="1">IF(ISNUMBER(MATCH(DATEVALUE($A186),'recurring1_based on steps'!C$1:C$400,0)),C$2,)</f>
        <v>0</v>
      </c>
      <c r="D186" s="179">
        <f ca="1">IF(ISNUMBER(MATCH(DATEVALUE($A186),'recurring1_based on steps'!D$1:D$400,0)),D$2,)</f>
        <v>0</v>
      </c>
      <c r="E186" s="179">
        <f ca="1">IF(ISNUMBER(MATCH(DATEVALUE($A186),'recurring1_based on steps'!E$1:E$400,0)),E$2,)</f>
        <v>0</v>
      </c>
      <c r="F186" s="179">
        <f ca="1">IF(ISNUMBER(MATCH(DATEVALUE($A186),'recurring1_based on steps'!F$1:F$400,0)),F$2,)</f>
        <v>0</v>
      </c>
      <c r="G186" s="179">
        <f ca="1">IF(ISNUMBER(MATCH(DATEVALUE($A186),'recurring1_based on steps'!G$1:G$400,0)),G$2,)</f>
        <v>0</v>
      </c>
      <c r="H186" s="179">
        <f ca="1">IF(ISNUMBER(MATCH(DATEVALUE($A186),'recurring1_based on steps'!H$1:H$400,0)),H$2,)</f>
        <v>0</v>
      </c>
      <c r="I186" s="179">
        <f ca="1">IF(ISNUMBER(MATCH(DATEVALUE($A186),'recurring1_based on steps'!I$1:I$400,0)),I$2,)</f>
        <v>0</v>
      </c>
      <c r="J186" s="179">
        <f ca="1">IF(ISNUMBER(MATCH(DATEVALUE($A186),'recurring1_based on steps'!J$1:J$400,0)),J$2,)</f>
        <v>0</v>
      </c>
      <c r="K186" s="179">
        <f ca="1">IF(ISNUMBER(MATCH(DATEVALUE($A186),'recurring1_based on steps'!K$1:K$400,0)),K$2,)</f>
        <v>0</v>
      </c>
      <c r="L186" s="179">
        <f ca="1">IF(ISNUMBER(MATCH(DATEVALUE($A186),'recurring1_based on steps'!L$1:L$400,0)),L$2,)</f>
        <v>0</v>
      </c>
      <c r="M186" s="179">
        <f ca="1">IF(ISNUMBER(MATCH(DATEVALUE($A186),'recurring1_based on steps'!M$1:M$400,0)),M$2,)</f>
        <v>0</v>
      </c>
      <c r="N186" s="179">
        <f ca="1">IF(ISNUMBER(MATCH(DATEVALUE($A186),'recurring1_based on steps'!N$1:N$400,0)),N$2,)</f>
        <v>0</v>
      </c>
      <c r="O186" s="179">
        <f ca="1">IF(ISNUMBER(MATCH(DATEVALUE($A186),'recurring1_based on steps'!O$1:O$400,0)),O$2,)</f>
        <v>0</v>
      </c>
      <c r="P186" s="179">
        <f ca="1">IF(ISNUMBER(MATCH(DATEVALUE($A186),'recurring1_based on steps'!P$1:P$400,0)),P$2,)</f>
        <v>0</v>
      </c>
      <c r="Q186" s="179">
        <f ca="1">IF(ISNUMBER(MATCH(DATEVALUE($A186),'recurring1_based on steps'!Q$1:Q$400,0)),Q$2,)</f>
        <v>0</v>
      </c>
      <c r="R186" s="179">
        <f ca="1">IF(ISNUMBER(MATCH(DATEVALUE($A186),'recurring1_based on steps'!R$1:R$400,0)),R$2,)</f>
        <v>0</v>
      </c>
      <c r="S186" s="179">
        <f ca="1">IF(ISNUMBER(MATCH(DATEVALUE($A186),'recurring1_based on steps'!S$1:S$400,0)),S$2,)</f>
        <v>0</v>
      </c>
      <c r="T186" s="179">
        <f ca="1">IF(ISNUMBER(MATCH(DATEVALUE($A186),'recurring1_based on steps'!T$1:T$400,0)),T$2,)</f>
        <v>0</v>
      </c>
      <c r="U186" s="179">
        <f ca="1">IF(ISNUMBER(MATCH(DATEVALUE($A186),'recurring1_based on steps'!U$1:U$400,0)),U$2,)</f>
        <v>0</v>
      </c>
      <c r="V186" s="179">
        <f ca="1">IF(ISNUMBER(MATCH(DATEVALUE($A186),'recurring1_based on steps'!V$1:V$400,0)),V$2,)</f>
        <v>0</v>
      </c>
      <c r="W186" s="179">
        <f ca="1">IF(ISNUMBER(MATCH(DATEVALUE($A186),'recurring1_based on steps'!W$1:W$400,0)),W$2,)</f>
        <v>0</v>
      </c>
      <c r="X186" s="179">
        <f ca="1">IF(ISNUMBER(MATCH(DATEVALUE($A186),'recurring1_based on steps'!X$1:X$400,0)),X$2,)</f>
        <v>0</v>
      </c>
      <c r="Y186" s="179">
        <f ca="1">IF(ISNUMBER(MATCH(DATEVALUE($A186),'recurring1_based on steps'!Y$1:Y$400,0)),Y$2,)</f>
        <v>0</v>
      </c>
      <c r="Z186" s="179">
        <f ca="1">IF(ISNUMBER(MATCH(DATEVALUE($A186),'recurring1_based on steps'!Z$1:Z$400,0)),Z$2,)</f>
        <v>0</v>
      </c>
      <c r="AA186" s="179">
        <f ca="1">IF(ISNUMBER(MATCH(DATEVALUE($A186),'recurring1_based on steps'!AA$1:AA$400,0)),AA$2,)</f>
        <v>0</v>
      </c>
      <c r="AB186" s="179">
        <f ca="1">IF(ISNUMBER(MATCH(DATEVALUE($A186),'recurring1_based on steps'!AB$1:AB$400,0)),AB$2,)</f>
        <v>0</v>
      </c>
      <c r="AC186" s="179">
        <f ca="1">IF(ISNUMBER(MATCH(DATEVALUE($A186),'recurring1_based on steps'!AC$1:AC$400,0)),AC$2,)</f>
        <v>0</v>
      </c>
      <c r="AD186" s="179">
        <f ca="1">IF(ISNUMBER(MATCH(DATEVALUE($A186),'recurring1_based on steps'!AD$1:AD$400,0)),AD$2,)</f>
        <v>0</v>
      </c>
      <c r="AE186" s="179">
        <f ca="1">IF(ISNUMBER(MATCH(DATEVALUE($A186),'recurring1_based on steps'!AE$1:AE$400,0)),AE$2,)</f>
        <v>0</v>
      </c>
      <c r="AF186" s="179">
        <f ca="1">IF(ISNUMBER(MATCH(DATEVALUE($A186),'recurring1_based on steps'!AF$1:AF$400,0)),AF$2,)</f>
        <v>0</v>
      </c>
      <c r="AG186" s="179">
        <f ca="1">IF(ISNUMBER(MATCH(DATEVALUE($A186),'recurring1_based on steps'!AG$1:AG$400,0)),AG$2,)</f>
        <v>0</v>
      </c>
      <c r="AH186" s="179">
        <f ca="1">IF(ISNUMBER(MATCH(DATEVALUE($A186),'recurring1_based on steps'!AH$1:AH$400,0)),AH$2,)</f>
        <v>0</v>
      </c>
      <c r="AI186" s="179">
        <f ca="1">IF(ISNUMBER(MATCH(DATEVALUE($A186),'recurring1_based on steps'!AI$1:AI$400,0)),AI$2,)</f>
        <v>0</v>
      </c>
      <c r="AJ186" s="179">
        <f ca="1">IF(ISNUMBER(MATCH(DATEVALUE($A186),'recurring1_based on steps'!AJ$1:AJ$400,0)),AJ$2,)</f>
        <v>0</v>
      </c>
      <c r="AK186" s="179">
        <f ca="1">IF(ISNUMBER(MATCH(DATEVALUE($A186),'recurring1_based on steps'!AK$1:AK$400,0)),AK$2,)</f>
        <v>0</v>
      </c>
      <c r="AL186" s="179">
        <f ca="1">IF(ISNUMBER(MATCH(DATEVALUE($A186),'recurring1_based on steps'!AL$1:AL$400,0)),AL$2,)</f>
        <v>0</v>
      </c>
      <c r="AM186" s="179">
        <f ca="1">IF(ISNUMBER(MATCH(DATEVALUE($A186),'recurring1_based on steps'!AM$1:AM$400,0)),AM$2,)</f>
        <v>0</v>
      </c>
      <c r="AN186" s="179">
        <f ca="1">IF(ISNUMBER(MATCH(DATEVALUE($A186),'recurring1_based on steps'!AN$1:AN$400,0)),AN$2,)</f>
        <v>0</v>
      </c>
      <c r="AO186" s="179">
        <f ca="1">IF(ISNUMBER(MATCH(DATEVALUE($A186),'recurring1_based on steps'!AO$1:AO$400,0)),AO$2,)</f>
        <v>0</v>
      </c>
      <c r="AP186" s="179">
        <f ca="1">IF(ISNUMBER(MATCH(DATEVALUE($A186),'recurring1_based on steps'!AP$1:AP$400,0)),AP$2,)</f>
        <v>0</v>
      </c>
      <c r="AQ186" s="179">
        <f ca="1">IF(ISNUMBER(MATCH(DATEVALUE($A186),'recurring1_based on steps'!AQ$1:AQ$400,0)),AQ$2,)</f>
        <v>0</v>
      </c>
      <c r="AR186" s="179">
        <f ca="1">IF(ISNUMBER(MATCH(DATEVALUE($A186),'recurring1_based on steps'!AR$1:AR$400,0)),AR$2,)</f>
        <v>0</v>
      </c>
      <c r="AS186" s="179">
        <f ca="1">IF(ISNUMBER(MATCH(DATEVALUE($A186),'recurring1_based on steps'!AS$1:AS$400,0)),AS$2,)</f>
        <v>0</v>
      </c>
      <c r="AT186" s="179">
        <f ca="1">IF(ISNUMBER(MATCH(DATEVALUE($A186),'recurring1_based on steps'!AT$1:AT$400,0)),AT$2,)</f>
        <v>0</v>
      </c>
      <c r="AU186" s="179">
        <f ca="1">IF(ISNUMBER(MATCH(DATEVALUE($A186),'recurring1_based on steps'!AU$1:AU$400,0)),AU$2,)</f>
        <v>0</v>
      </c>
      <c r="AV186" s="179">
        <f ca="1">IF(ISNUMBER(MATCH(DATEVALUE($A186),'recurring1_based on steps'!AV$1:AV$400,0)),AV$2,)</f>
        <v>0</v>
      </c>
      <c r="AW186" s="179">
        <f ca="1">IF(ISNUMBER(MATCH(DATEVALUE($A186),'recurring1_based on steps'!AW$1:AW$400,0)),AW$2,)</f>
        <v>0</v>
      </c>
      <c r="AX186" s="179">
        <f ca="1">IF(ISNUMBER(MATCH(DATEVALUE($A186),'recurring1_based on steps'!AX$1:AX$400,0)),AX$2,)</f>
        <v>0</v>
      </c>
      <c r="AY186" s="179">
        <f ca="1">IF(ISNUMBER(MATCH(DATEVALUE($A186),'recurring1_based on steps'!AY$1:AY$400,0)),AY$2,)</f>
        <v>0</v>
      </c>
    </row>
    <row r="187" spans="1:51" x14ac:dyDescent="0.2">
      <c r="A187" s="32" t="str">
        <f t="shared" ca="1" si="2"/>
        <v>2025-10-06</v>
      </c>
      <c r="B187" s="179">
        <f ca="1">IF(ISNUMBER(MATCH(DATEVALUE($A187),'recurring1_based on steps'!B$1:B$400,0)),B$2,)</f>
        <v>0</v>
      </c>
      <c r="C187" s="179">
        <f ca="1">IF(ISNUMBER(MATCH(DATEVALUE($A187),'recurring1_based on steps'!C$1:C$400,0)),C$2,)</f>
        <v>0</v>
      </c>
      <c r="D187" s="179">
        <f ca="1">IF(ISNUMBER(MATCH(DATEVALUE($A187),'recurring1_based on steps'!D$1:D$400,0)),D$2,)</f>
        <v>0</v>
      </c>
      <c r="E187" s="179">
        <f ca="1">IF(ISNUMBER(MATCH(DATEVALUE($A187),'recurring1_based on steps'!E$1:E$400,0)),E$2,)</f>
        <v>0</v>
      </c>
      <c r="F187" s="179">
        <f ca="1">IF(ISNUMBER(MATCH(DATEVALUE($A187),'recurring1_based on steps'!F$1:F$400,0)),F$2,)</f>
        <v>0</v>
      </c>
      <c r="G187" s="179">
        <f ca="1">IF(ISNUMBER(MATCH(DATEVALUE($A187),'recurring1_based on steps'!G$1:G$400,0)),G$2,)</f>
        <v>0</v>
      </c>
      <c r="H187" s="179">
        <f ca="1">IF(ISNUMBER(MATCH(DATEVALUE($A187),'recurring1_based on steps'!H$1:H$400,0)),H$2,)</f>
        <v>0</v>
      </c>
      <c r="I187" s="179">
        <f ca="1">IF(ISNUMBER(MATCH(DATEVALUE($A187),'recurring1_based on steps'!I$1:I$400,0)),I$2,)</f>
        <v>0</v>
      </c>
      <c r="J187" s="179">
        <f ca="1">IF(ISNUMBER(MATCH(DATEVALUE($A187),'recurring1_based on steps'!J$1:J$400,0)),J$2,)</f>
        <v>0</v>
      </c>
      <c r="K187" s="179">
        <f ca="1">IF(ISNUMBER(MATCH(DATEVALUE($A187),'recurring1_based on steps'!K$1:K$400,0)),K$2,)</f>
        <v>0</v>
      </c>
      <c r="L187" s="179">
        <f ca="1">IF(ISNUMBER(MATCH(DATEVALUE($A187),'recurring1_based on steps'!L$1:L$400,0)),L$2,)</f>
        <v>0</v>
      </c>
      <c r="M187" s="179">
        <f ca="1">IF(ISNUMBER(MATCH(DATEVALUE($A187),'recurring1_based on steps'!M$1:M$400,0)),M$2,)</f>
        <v>0</v>
      </c>
      <c r="N187" s="179">
        <f ca="1">IF(ISNUMBER(MATCH(DATEVALUE($A187),'recurring1_based on steps'!N$1:N$400,0)),N$2,)</f>
        <v>0</v>
      </c>
      <c r="O187" s="179">
        <f ca="1">IF(ISNUMBER(MATCH(DATEVALUE($A187),'recurring1_based on steps'!O$1:O$400,0)),O$2,)</f>
        <v>0</v>
      </c>
      <c r="P187" s="179">
        <f ca="1">IF(ISNUMBER(MATCH(DATEVALUE($A187),'recurring1_based on steps'!P$1:P$400,0)),P$2,)</f>
        <v>0</v>
      </c>
      <c r="Q187" s="179">
        <f ca="1">IF(ISNUMBER(MATCH(DATEVALUE($A187),'recurring1_based on steps'!Q$1:Q$400,0)),Q$2,)</f>
        <v>0</v>
      </c>
      <c r="R187" s="179">
        <f ca="1">IF(ISNUMBER(MATCH(DATEVALUE($A187),'recurring1_based on steps'!R$1:R$400,0)),R$2,)</f>
        <v>0</v>
      </c>
      <c r="S187" s="179">
        <f ca="1">IF(ISNUMBER(MATCH(DATEVALUE($A187),'recurring1_based on steps'!S$1:S$400,0)),S$2,)</f>
        <v>0</v>
      </c>
      <c r="T187" s="179">
        <f ca="1">IF(ISNUMBER(MATCH(DATEVALUE($A187),'recurring1_based on steps'!T$1:T$400,0)),T$2,)</f>
        <v>0</v>
      </c>
      <c r="U187" s="179">
        <f ca="1">IF(ISNUMBER(MATCH(DATEVALUE($A187),'recurring1_based on steps'!U$1:U$400,0)),U$2,)</f>
        <v>0</v>
      </c>
      <c r="V187" s="179">
        <f ca="1">IF(ISNUMBER(MATCH(DATEVALUE($A187),'recurring1_based on steps'!V$1:V$400,0)),V$2,)</f>
        <v>0</v>
      </c>
      <c r="W187" s="179">
        <f ca="1">IF(ISNUMBER(MATCH(DATEVALUE($A187),'recurring1_based on steps'!W$1:W$400,0)),W$2,)</f>
        <v>0</v>
      </c>
      <c r="X187" s="179">
        <f ca="1">IF(ISNUMBER(MATCH(DATEVALUE($A187),'recurring1_based on steps'!X$1:X$400,0)),X$2,)</f>
        <v>0</v>
      </c>
      <c r="Y187" s="179">
        <f ca="1">IF(ISNUMBER(MATCH(DATEVALUE($A187),'recurring1_based on steps'!Y$1:Y$400,0)),Y$2,)</f>
        <v>0</v>
      </c>
      <c r="Z187" s="179">
        <f ca="1">IF(ISNUMBER(MATCH(DATEVALUE($A187),'recurring1_based on steps'!Z$1:Z$400,0)),Z$2,)</f>
        <v>0</v>
      </c>
      <c r="AA187" s="179">
        <f ca="1">IF(ISNUMBER(MATCH(DATEVALUE($A187),'recurring1_based on steps'!AA$1:AA$400,0)),AA$2,)</f>
        <v>0</v>
      </c>
      <c r="AB187" s="179">
        <f ca="1">IF(ISNUMBER(MATCH(DATEVALUE($A187),'recurring1_based on steps'!AB$1:AB$400,0)),AB$2,)</f>
        <v>0</v>
      </c>
      <c r="AC187" s="179">
        <f ca="1">IF(ISNUMBER(MATCH(DATEVALUE($A187),'recurring1_based on steps'!AC$1:AC$400,0)),AC$2,)</f>
        <v>0</v>
      </c>
      <c r="AD187" s="179">
        <f ca="1">IF(ISNUMBER(MATCH(DATEVALUE($A187),'recurring1_based on steps'!AD$1:AD$400,0)),AD$2,)</f>
        <v>0</v>
      </c>
      <c r="AE187" s="179">
        <f ca="1">IF(ISNUMBER(MATCH(DATEVALUE($A187),'recurring1_based on steps'!AE$1:AE$400,0)),AE$2,)</f>
        <v>0</v>
      </c>
      <c r="AF187" s="179">
        <f ca="1">IF(ISNUMBER(MATCH(DATEVALUE($A187),'recurring1_based on steps'!AF$1:AF$400,0)),AF$2,)</f>
        <v>0</v>
      </c>
      <c r="AG187" s="179">
        <f ca="1">IF(ISNUMBER(MATCH(DATEVALUE($A187),'recurring1_based on steps'!AG$1:AG$400,0)),AG$2,)</f>
        <v>0</v>
      </c>
      <c r="AH187" s="179">
        <f ca="1">IF(ISNUMBER(MATCH(DATEVALUE($A187),'recurring1_based on steps'!AH$1:AH$400,0)),AH$2,)</f>
        <v>0</v>
      </c>
      <c r="AI187" s="179">
        <f ca="1">IF(ISNUMBER(MATCH(DATEVALUE($A187),'recurring1_based on steps'!AI$1:AI$400,0)),AI$2,)</f>
        <v>0</v>
      </c>
      <c r="AJ187" s="179">
        <f ca="1">IF(ISNUMBER(MATCH(DATEVALUE($A187),'recurring1_based on steps'!AJ$1:AJ$400,0)),AJ$2,)</f>
        <v>0</v>
      </c>
      <c r="AK187" s="179">
        <f ca="1">IF(ISNUMBER(MATCH(DATEVALUE($A187),'recurring1_based on steps'!AK$1:AK$400,0)),AK$2,)</f>
        <v>0</v>
      </c>
      <c r="AL187" s="179">
        <f ca="1">IF(ISNUMBER(MATCH(DATEVALUE($A187),'recurring1_based on steps'!AL$1:AL$400,0)),AL$2,)</f>
        <v>0</v>
      </c>
      <c r="AM187" s="179">
        <f ca="1">IF(ISNUMBER(MATCH(DATEVALUE($A187),'recurring1_based on steps'!AM$1:AM$400,0)),AM$2,)</f>
        <v>0</v>
      </c>
      <c r="AN187" s="179">
        <f ca="1">IF(ISNUMBER(MATCH(DATEVALUE($A187),'recurring1_based on steps'!AN$1:AN$400,0)),AN$2,)</f>
        <v>0</v>
      </c>
      <c r="AO187" s="179">
        <f ca="1">IF(ISNUMBER(MATCH(DATEVALUE($A187),'recurring1_based on steps'!AO$1:AO$400,0)),AO$2,)</f>
        <v>0</v>
      </c>
      <c r="AP187" s="179">
        <f ca="1">IF(ISNUMBER(MATCH(DATEVALUE($A187),'recurring1_based on steps'!AP$1:AP$400,0)),AP$2,)</f>
        <v>0</v>
      </c>
      <c r="AQ187" s="179">
        <f ca="1">IF(ISNUMBER(MATCH(DATEVALUE($A187),'recurring1_based on steps'!AQ$1:AQ$400,0)),AQ$2,)</f>
        <v>0</v>
      </c>
      <c r="AR187" s="179">
        <f ca="1">IF(ISNUMBER(MATCH(DATEVALUE($A187),'recurring1_based on steps'!AR$1:AR$400,0)),AR$2,)</f>
        <v>0</v>
      </c>
      <c r="AS187" s="179">
        <f ca="1">IF(ISNUMBER(MATCH(DATEVALUE($A187),'recurring1_based on steps'!AS$1:AS$400,0)),AS$2,)</f>
        <v>0</v>
      </c>
      <c r="AT187" s="179">
        <f ca="1">IF(ISNUMBER(MATCH(DATEVALUE($A187),'recurring1_based on steps'!AT$1:AT$400,0)),AT$2,)</f>
        <v>0</v>
      </c>
      <c r="AU187" s="179">
        <f ca="1">IF(ISNUMBER(MATCH(DATEVALUE($A187),'recurring1_based on steps'!AU$1:AU$400,0)),AU$2,)</f>
        <v>0</v>
      </c>
      <c r="AV187" s="179">
        <f ca="1">IF(ISNUMBER(MATCH(DATEVALUE($A187),'recurring1_based on steps'!AV$1:AV$400,0)),AV$2,)</f>
        <v>0</v>
      </c>
      <c r="AW187" s="179">
        <f ca="1">IF(ISNUMBER(MATCH(DATEVALUE($A187),'recurring1_based on steps'!AW$1:AW$400,0)),AW$2,)</f>
        <v>0</v>
      </c>
      <c r="AX187" s="179">
        <f ca="1">IF(ISNUMBER(MATCH(DATEVALUE($A187),'recurring1_based on steps'!AX$1:AX$400,0)),AX$2,)</f>
        <v>0</v>
      </c>
      <c r="AY187" s="179">
        <f ca="1">IF(ISNUMBER(MATCH(DATEVALUE($A187),'recurring1_based on steps'!AY$1:AY$400,0)),AY$2,)</f>
        <v>0</v>
      </c>
    </row>
    <row r="188" spans="1:51" x14ac:dyDescent="0.2">
      <c r="A188" s="32" t="str">
        <f t="shared" ca="1" si="2"/>
        <v>2025-10-07</v>
      </c>
      <c r="B188" s="179">
        <f ca="1">IF(ISNUMBER(MATCH(DATEVALUE($A188),'recurring1_based on steps'!B$1:B$400,0)),B$2,)</f>
        <v>0</v>
      </c>
      <c r="C188" s="179">
        <f ca="1">IF(ISNUMBER(MATCH(DATEVALUE($A188),'recurring1_based on steps'!C$1:C$400,0)),C$2,)</f>
        <v>0</v>
      </c>
      <c r="D188" s="179">
        <f ca="1">IF(ISNUMBER(MATCH(DATEVALUE($A188),'recurring1_based on steps'!D$1:D$400,0)),D$2,)</f>
        <v>0</v>
      </c>
      <c r="E188" s="179">
        <f ca="1">IF(ISNUMBER(MATCH(DATEVALUE($A188),'recurring1_based on steps'!E$1:E$400,0)),E$2,)</f>
        <v>0</v>
      </c>
      <c r="F188" s="179">
        <f ca="1">IF(ISNUMBER(MATCH(DATEVALUE($A188),'recurring1_based on steps'!F$1:F$400,0)),F$2,)</f>
        <v>0</v>
      </c>
      <c r="G188" s="179">
        <f ca="1">IF(ISNUMBER(MATCH(DATEVALUE($A188),'recurring1_based on steps'!G$1:G$400,0)),G$2,)</f>
        <v>0</v>
      </c>
      <c r="H188" s="179">
        <f ca="1">IF(ISNUMBER(MATCH(DATEVALUE($A188),'recurring1_based on steps'!H$1:H$400,0)),H$2,)</f>
        <v>0</v>
      </c>
      <c r="I188" s="179">
        <f ca="1">IF(ISNUMBER(MATCH(DATEVALUE($A188),'recurring1_based on steps'!I$1:I$400,0)),I$2,)</f>
        <v>0</v>
      </c>
      <c r="J188" s="179">
        <f ca="1">IF(ISNUMBER(MATCH(DATEVALUE($A188),'recurring1_based on steps'!J$1:J$400,0)),J$2,)</f>
        <v>0</v>
      </c>
      <c r="K188" s="179">
        <f ca="1">IF(ISNUMBER(MATCH(DATEVALUE($A188),'recurring1_based on steps'!K$1:K$400,0)),K$2,)</f>
        <v>0</v>
      </c>
      <c r="L188" s="179">
        <f ca="1">IF(ISNUMBER(MATCH(DATEVALUE($A188),'recurring1_based on steps'!L$1:L$400,0)),L$2,)</f>
        <v>0</v>
      </c>
      <c r="M188" s="179">
        <f ca="1">IF(ISNUMBER(MATCH(DATEVALUE($A188),'recurring1_based on steps'!M$1:M$400,0)),M$2,)</f>
        <v>0</v>
      </c>
      <c r="N188" s="179">
        <f ca="1">IF(ISNUMBER(MATCH(DATEVALUE($A188),'recurring1_based on steps'!N$1:N$400,0)),N$2,)</f>
        <v>0</v>
      </c>
      <c r="O188" s="179">
        <f ca="1">IF(ISNUMBER(MATCH(DATEVALUE($A188),'recurring1_based on steps'!O$1:O$400,0)),O$2,)</f>
        <v>0</v>
      </c>
      <c r="P188" s="179">
        <f ca="1">IF(ISNUMBER(MATCH(DATEVALUE($A188),'recurring1_based on steps'!P$1:P$400,0)),P$2,)</f>
        <v>0</v>
      </c>
      <c r="Q188" s="179">
        <f ca="1">IF(ISNUMBER(MATCH(DATEVALUE($A188),'recurring1_based on steps'!Q$1:Q$400,0)),Q$2,)</f>
        <v>0</v>
      </c>
      <c r="R188" s="179">
        <f ca="1">IF(ISNUMBER(MATCH(DATEVALUE($A188),'recurring1_based on steps'!R$1:R$400,0)),R$2,)</f>
        <v>0</v>
      </c>
      <c r="S188" s="179">
        <f ca="1">IF(ISNUMBER(MATCH(DATEVALUE($A188),'recurring1_based on steps'!S$1:S$400,0)),S$2,)</f>
        <v>0</v>
      </c>
      <c r="T188" s="179">
        <f ca="1">IF(ISNUMBER(MATCH(DATEVALUE($A188),'recurring1_based on steps'!T$1:T$400,0)),T$2,)</f>
        <v>0</v>
      </c>
      <c r="U188" s="179">
        <f ca="1">IF(ISNUMBER(MATCH(DATEVALUE($A188),'recurring1_based on steps'!U$1:U$400,0)),U$2,)</f>
        <v>0</v>
      </c>
      <c r="V188" s="179">
        <f ca="1">IF(ISNUMBER(MATCH(DATEVALUE($A188),'recurring1_based on steps'!V$1:V$400,0)),V$2,)</f>
        <v>0</v>
      </c>
      <c r="W188" s="179">
        <f ca="1">IF(ISNUMBER(MATCH(DATEVALUE($A188),'recurring1_based on steps'!W$1:W$400,0)),W$2,)</f>
        <v>0</v>
      </c>
      <c r="X188" s="179">
        <f ca="1">IF(ISNUMBER(MATCH(DATEVALUE($A188),'recurring1_based on steps'!X$1:X$400,0)),X$2,)</f>
        <v>0</v>
      </c>
      <c r="Y188" s="179">
        <f ca="1">IF(ISNUMBER(MATCH(DATEVALUE($A188),'recurring1_based on steps'!Y$1:Y$400,0)),Y$2,)</f>
        <v>0</v>
      </c>
      <c r="Z188" s="179">
        <f ca="1">IF(ISNUMBER(MATCH(DATEVALUE($A188),'recurring1_based on steps'!Z$1:Z$400,0)),Z$2,)</f>
        <v>0</v>
      </c>
      <c r="AA188" s="179">
        <f ca="1">IF(ISNUMBER(MATCH(DATEVALUE($A188),'recurring1_based on steps'!AA$1:AA$400,0)),AA$2,)</f>
        <v>0</v>
      </c>
      <c r="AB188" s="179">
        <f ca="1">IF(ISNUMBER(MATCH(DATEVALUE($A188),'recurring1_based on steps'!AB$1:AB$400,0)),AB$2,)</f>
        <v>0</v>
      </c>
      <c r="AC188" s="179">
        <f ca="1">IF(ISNUMBER(MATCH(DATEVALUE($A188),'recurring1_based on steps'!AC$1:AC$400,0)),AC$2,)</f>
        <v>0</v>
      </c>
      <c r="AD188" s="179">
        <f ca="1">IF(ISNUMBER(MATCH(DATEVALUE($A188),'recurring1_based on steps'!AD$1:AD$400,0)),AD$2,)</f>
        <v>0</v>
      </c>
      <c r="AE188" s="179">
        <f ca="1">IF(ISNUMBER(MATCH(DATEVALUE($A188),'recurring1_based on steps'!AE$1:AE$400,0)),AE$2,)</f>
        <v>0</v>
      </c>
      <c r="AF188" s="179">
        <f ca="1">IF(ISNUMBER(MATCH(DATEVALUE($A188),'recurring1_based on steps'!AF$1:AF$400,0)),AF$2,)</f>
        <v>0</v>
      </c>
      <c r="AG188" s="179">
        <f ca="1">IF(ISNUMBER(MATCH(DATEVALUE($A188),'recurring1_based on steps'!AG$1:AG$400,0)),AG$2,)</f>
        <v>0</v>
      </c>
      <c r="AH188" s="179">
        <f ca="1">IF(ISNUMBER(MATCH(DATEVALUE($A188),'recurring1_based on steps'!AH$1:AH$400,0)),AH$2,)</f>
        <v>0</v>
      </c>
      <c r="AI188" s="179">
        <f ca="1">IF(ISNUMBER(MATCH(DATEVALUE($A188),'recurring1_based on steps'!AI$1:AI$400,0)),AI$2,)</f>
        <v>0</v>
      </c>
      <c r="AJ188" s="179">
        <f ca="1">IF(ISNUMBER(MATCH(DATEVALUE($A188),'recurring1_based on steps'!AJ$1:AJ$400,0)),AJ$2,)</f>
        <v>0</v>
      </c>
      <c r="AK188" s="179">
        <f ca="1">IF(ISNUMBER(MATCH(DATEVALUE($A188),'recurring1_based on steps'!AK$1:AK$400,0)),AK$2,)</f>
        <v>0</v>
      </c>
      <c r="AL188" s="179">
        <f ca="1">IF(ISNUMBER(MATCH(DATEVALUE($A188),'recurring1_based on steps'!AL$1:AL$400,0)),AL$2,)</f>
        <v>0</v>
      </c>
      <c r="AM188" s="179">
        <f ca="1">IF(ISNUMBER(MATCH(DATEVALUE($A188),'recurring1_based on steps'!AM$1:AM$400,0)),AM$2,)</f>
        <v>0</v>
      </c>
      <c r="AN188" s="179">
        <f ca="1">IF(ISNUMBER(MATCH(DATEVALUE($A188),'recurring1_based on steps'!AN$1:AN$400,0)),AN$2,)</f>
        <v>0</v>
      </c>
      <c r="AO188" s="179">
        <f ca="1">IF(ISNUMBER(MATCH(DATEVALUE($A188),'recurring1_based on steps'!AO$1:AO$400,0)),AO$2,)</f>
        <v>0</v>
      </c>
      <c r="AP188" s="179">
        <f ca="1">IF(ISNUMBER(MATCH(DATEVALUE($A188),'recurring1_based on steps'!AP$1:AP$400,0)),AP$2,)</f>
        <v>0</v>
      </c>
      <c r="AQ188" s="179">
        <f ca="1">IF(ISNUMBER(MATCH(DATEVALUE($A188),'recurring1_based on steps'!AQ$1:AQ$400,0)),AQ$2,)</f>
        <v>0</v>
      </c>
      <c r="AR188" s="179">
        <f ca="1">IF(ISNUMBER(MATCH(DATEVALUE($A188),'recurring1_based on steps'!AR$1:AR$400,0)),AR$2,)</f>
        <v>0</v>
      </c>
      <c r="AS188" s="179">
        <f ca="1">IF(ISNUMBER(MATCH(DATEVALUE($A188),'recurring1_based on steps'!AS$1:AS$400,0)),AS$2,)</f>
        <v>0</v>
      </c>
      <c r="AT188" s="179">
        <f ca="1">IF(ISNUMBER(MATCH(DATEVALUE($A188),'recurring1_based on steps'!AT$1:AT$400,0)),AT$2,)</f>
        <v>0</v>
      </c>
      <c r="AU188" s="179">
        <f ca="1">IF(ISNUMBER(MATCH(DATEVALUE($A188),'recurring1_based on steps'!AU$1:AU$400,0)),AU$2,)</f>
        <v>0</v>
      </c>
      <c r="AV188" s="179">
        <f ca="1">IF(ISNUMBER(MATCH(DATEVALUE($A188),'recurring1_based on steps'!AV$1:AV$400,0)),AV$2,)</f>
        <v>0</v>
      </c>
      <c r="AW188" s="179">
        <f ca="1">IF(ISNUMBER(MATCH(DATEVALUE($A188),'recurring1_based on steps'!AW$1:AW$400,0)),AW$2,)</f>
        <v>0</v>
      </c>
      <c r="AX188" s="179">
        <f ca="1">IF(ISNUMBER(MATCH(DATEVALUE($A188),'recurring1_based on steps'!AX$1:AX$400,0)),AX$2,)</f>
        <v>0</v>
      </c>
      <c r="AY188" s="179">
        <f ca="1">IF(ISNUMBER(MATCH(DATEVALUE($A188),'recurring1_based on steps'!AY$1:AY$400,0)),AY$2,)</f>
        <v>0</v>
      </c>
    </row>
    <row r="189" spans="1:51" x14ac:dyDescent="0.2">
      <c r="A189" s="32" t="str">
        <f t="shared" ca="1" si="2"/>
        <v>2025-10-08</v>
      </c>
      <c r="B189" s="179">
        <f ca="1">IF(ISNUMBER(MATCH(DATEVALUE($A189),'recurring1_based on steps'!B$1:B$400,0)),B$2,)</f>
        <v>0</v>
      </c>
      <c r="C189" s="179">
        <f ca="1">IF(ISNUMBER(MATCH(DATEVALUE($A189),'recurring1_based on steps'!C$1:C$400,0)),C$2,)</f>
        <v>0</v>
      </c>
      <c r="D189" s="179">
        <f ca="1">IF(ISNUMBER(MATCH(DATEVALUE($A189),'recurring1_based on steps'!D$1:D$400,0)),D$2,)</f>
        <v>0</v>
      </c>
      <c r="E189" s="179">
        <f ca="1">IF(ISNUMBER(MATCH(DATEVALUE($A189),'recurring1_based on steps'!E$1:E$400,0)),E$2,)</f>
        <v>0</v>
      </c>
      <c r="F189" s="179">
        <f ca="1">IF(ISNUMBER(MATCH(DATEVALUE($A189),'recurring1_based on steps'!F$1:F$400,0)),F$2,)</f>
        <v>0</v>
      </c>
      <c r="G189" s="179">
        <f ca="1">IF(ISNUMBER(MATCH(DATEVALUE($A189),'recurring1_based on steps'!G$1:G$400,0)),G$2,)</f>
        <v>0</v>
      </c>
      <c r="H189" s="179">
        <f ca="1">IF(ISNUMBER(MATCH(DATEVALUE($A189),'recurring1_based on steps'!H$1:H$400,0)),H$2,)</f>
        <v>0</v>
      </c>
      <c r="I189" s="179">
        <f ca="1">IF(ISNUMBER(MATCH(DATEVALUE($A189),'recurring1_based on steps'!I$1:I$400,0)),I$2,)</f>
        <v>0</v>
      </c>
      <c r="J189" s="179">
        <f ca="1">IF(ISNUMBER(MATCH(DATEVALUE($A189),'recurring1_based on steps'!J$1:J$400,0)),J$2,)</f>
        <v>0</v>
      </c>
      <c r="K189" s="179">
        <f ca="1">IF(ISNUMBER(MATCH(DATEVALUE($A189),'recurring1_based on steps'!K$1:K$400,0)),K$2,)</f>
        <v>0</v>
      </c>
      <c r="L189" s="179">
        <f ca="1">IF(ISNUMBER(MATCH(DATEVALUE($A189),'recurring1_based on steps'!L$1:L$400,0)),L$2,)</f>
        <v>0</v>
      </c>
      <c r="M189" s="179">
        <f ca="1">IF(ISNUMBER(MATCH(DATEVALUE($A189),'recurring1_based on steps'!M$1:M$400,0)),M$2,)</f>
        <v>0</v>
      </c>
      <c r="N189" s="179">
        <f ca="1">IF(ISNUMBER(MATCH(DATEVALUE($A189),'recurring1_based on steps'!N$1:N$400,0)),N$2,)</f>
        <v>0</v>
      </c>
      <c r="O189" s="179">
        <f ca="1">IF(ISNUMBER(MATCH(DATEVALUE($A189),'recurring1_based on steps'!O$1:O$400,0)),O$2,)</f>
        <v>0</v>
      </c>
      <c r="P189" s="179">
        <f ca="1">IF(ISNUMBER(MATCH(DATEVALUE($A189),'recurring1_based on steps'!P$1:P$400,0)),P$2,)</f>
        <v>0</v>
      </c>
      <c r="Q189" s="179">
        <f ca="1">IF(ISNUMBER(MATCH(DATEVALUE($A189),'recurring1_based on steps'!Q$1:Q$400,0)),Q$2,)</f>
        <v>0</v>
      </c>
      <c r="R189" s="179">
        <f ca="1">IF(ISNUMBER(MATCH(DATEVALUE($A189),'recurring1_based on steps'!R$1:R$400,0)),R$2,)</f>
        <v>0</v>
      </c>
      <c r="S189" s="179">
        <f ca="1">IF(ISNUMBER(MATCH(DATEVALUE($A189),'recurring1_based on steps'!S$1:S$400,0)),S$2,)</f>
        <v>0</v>
      </c>
      <c r="T189" s="179">
        <f ca="1">IF(ISNUMBER(MATCH(DATEVALUE($A189),'recurring1_based on steps'!T$1:T$400,0)),T$2,)</f>
        <v>0</v>
      </c>
      <c r="U189" s="179">
        <f ca="1">IF(ISNUMBER(MATCH(DATEVALUE($A189),'recurring1_based on steps'!U$1:U$400,0)),U$2,)</f>
        <v>0</v>
      </c>
      <c r="V189" s="179">
        <f ca="1">IF(ISNUMBER(MATCH(DATEVALUE($A189),'recurring1_based on steps'!V$1:V$400,0)),V$2,)</f>
        <v>0</v>
      </c>
      <c r="W189" s="179">
        <f ca="1">IF(ISNUMBER(MATCH(DATEVALUE($A189),'recurring1_based on steps'!W$1:W$400,0)),W$2,)</f>
        <v>0</v>
      </c>
      <c r="X189" s="179">
        <f ca="1">IF(ISNUMBER(MATCH(DATEVALUE($A189),'recurring1_based on steps'!X$1:X$400,0)),X$2,)</f>
        <v>0</v>
      </c>
      <c r="Y189" s="179">
        <f ca="1">IF(ISNUMBER(MATCH(DATEVALUE($A189),'recurring1_based on steps'!Y$1:Y$400,0)),Y$2,)</f>
        <v>0</v>
      </c>
      <c r="Z189" s="179">
        <f ca="1">IF(ISNUMBER(MATCH(DATEVALUE($A189),'recurring1_based on steps'!Z$1:Z$400,0)),Z$2,)</f>
        <v>0</v>
      </c>
      <c r="AA189" s="179">
        <f ca="1">IF(ISNUMBER(MATCH(DATEVALUE($A189),'recurring1_based on steps'!AA$1:AA$400,0)),AA$2,)</f>
        <v>0</v>
      </c>
      <c r="AB189" s="179">
        <f ca="1">IF(ISNUMBER(MATCH(DATEVALUE($A189),'recurring1_based on steps'!AB$1:AB$400,0)),AB$2,)</f>
        <v>0</v>
      </c>
      <c r="AC189" s="179">
        <f ca="1">IF(ISNUMBER(MATCH(DATEVALUE($A189),'recurring1_based on steps'!AC$1:AC$400,0)),AC$2,)</f>
        <v>0</v>
      </c>
      <c r="AD189" s="179">
        <f ca="1">IF(ISNUMBER(MATCH(DATEVALUE($A189),'recurring1_based on steps'!AD$1:AD$400,0)),AD$2,)</f>
        <v>0</v>
      </c>
      <c r="AE189" s="179">
        <f ca="1">IF(ISNUMBER(MATCH(DATEVALUE($A189),'recurring1_based on steps'!AE$1:AE$400,0)),AE$2,)</f>
        <v>0</v>
      </c>
      <c r="AF189" s="179">
        <f ca="1">IF(ISNUMBER(MATCH(DATEVALUE($A189),'recurring1_based on steps'!AF$1:AF$400,0)),AF$2,)</f>
        <v>0</v>
      </c>
      <c r="AG189" s="179">
        <f ca="1">IF(ISNUMBER(MATCH(DATEVALUE($A189),'recurring1_based on steps'!AG$1:AG$400,0)),AG$2,)</f>
        <v>0</v>
      </c>
      <c r="AH189" s="179">
        <f ca="1">IF(ISNUMBER(MATCH(DATEVALUE($A189),'recurring1_based on steps'!AH$1:AH$400,0)),AH$2,)</f>
        <v>0</v>
      </c>
      <c r="AI189" s="179">
        <f ca="1">IF(ISNUMBER(MATCH(DATEVALUE($A189),'recurring1_based on steps'!AI$1:AI$400,0)),AI$2,)</f>
        <v>0</v>
      </c>
      <c r="AJ189" s="179">
        <f ca="1">IF(ISNUMBER(MATCH(DATEVALUE($A189),'recurring1_based on steps'!AJ$1:AJ$400,0)),AJ$2,)</f>
        <v>0</v>
      </c>
      <c r="AK189" s="179">
        <f ca="1">IF(ISNUMBER(MATCH(DATEVALUE($A189),'recurring1_based on steps'!AK$1:AK$400,0)),AK$2,)</f>
        <v>0</v>
      </c>
      <c r="AL189" s="179">
        <f ca="1">IF(ISNUMBER(MATCH(DATEVALUE($A189),'recurring1_based on steps'!AL$1:AL$400,0)),AL$2,)</f>
        <v>0</v>
      </c>
      <c r="AM189" s="179">
        <f ca="1">IF(ISNUMBER(MATCH(DATEVALUE($A189),'recurring1_based on steps'!AM$1:AM$400,0)),AM$2,)</f>
        <v>0</v>
      </c>
      <c r="AN189" s="179">
        <f ca="1">IF(ISNUMBER(MATCH(DATEVALUE($A189),'recurring1_based on steps'!AN$1:AN$400,0)),AN$2,)</f>
        <v>0</v>
      </c>
      <c r="AO189" s="179">
        <f ca="1">IF(ISNUMBER(MATCH(DATEVALUE($A189),'recurring1_based on steps'!AO$1:AO$400,0)),AO$2,)</f>
        <v>0</v>
      </c>
      <c r="AP189" s="179">
        <f ca="1">IF(ISNUMBER(MATCH(DATEVALUE($A189),'recurring1_based on steps'!AP$1:AP$400,0)),AP$2,)</f>
        <v>0</v>
      </c>
      <c r="AQ189" s="179">
        <f ca="1">IF(ISNUMBER(MATCH(DATEVALUE($A189),'recurring1_based on steps'!AQ$1:AQ$400,0)),AQ$2,)</f>
        <v>0</v>
      </c>
      <c r="AR189" s="179">
        <f ca="1">IF(ISNUMBER(MATCH(DATEVALUE($A189),'recurring1_based on steps'!AR$1:AR$400,0)),AR$2,)</f>
        <v>0</v>
      </c>
      <c r="AS189" s="179">
        <f ca="1">IF(ISNUMBER(MATCH(DATEVALUE($A189),'recurring1_based on steps'!AS$1:AS$400,0)),AS$2,)</f>
        <v>0</v>
      </c>
      <c r="AT189" s="179">
        <f ca="1">IF(ISNUMBER(MATCH(DATEVALUE($A189),'recurring1_based on steps'!AT$1:AT$400,0)),AT$2,)</f>
        <v>0</v>
      </c>
      <c r="AU189" s="179">
        <f ca="1">IF(ISNUMBER(MATCH(DATEVALUE($A189),'recurring1_based on steps'!AU$1:AU$400,0)),AU$2,)</f>
        <v>0</v>
      </c>
      <c r="AV189" s="179">
        <f ca="1">IF(ISNUMBER(MATCH(DATEVALUE($A189),'recurring1_based on steps'!AV$1:AV$400,0)),AV$2,)</f>
        <v>0</v>
      </c>
      <c r="AW189" s="179">
        <f ca="1">IF(ISNUMBER(MATCH(DATEVALUE($A189),'recurring1_based on steps'!AW$1:AW$400,0)),AW$2,)</f>
        <v>0</v>
      </c>
      <c r="AX189" s="179">
        <f ca="1">IF(ISNUMBER(MATCH(DATEVALUE($A189),'recurring1_based on steps'!AX$1:AX$400,0)),AX$2,)</f>
        <v>0</v>
      </c>
      <c r="AY189" s="179">
        <f ca="1">IF(ISNUMBER(MATCH(DATEVALUE($A189),'recurring1_based on steps'!AY$1:AY$400,0)),AY$2,)</f>
        <v>0</v>
      </c>
    </row>
    <row r="190" spans="1:51" x14ac:dyDescent="0.2">
      <c r="A190" s="32" t="str">
        <f t="shared" ca="1" si="2"/>
        <v>2025-10-09</v>
      </c>
      <c r="B190" s="179">
        <f ca="1">IF(ISNUMBER(MATCH(DATEVALUE($A190),'recurring1_based on steps'!B$1:B$400,0)),B$2,)</f>
        <v>0</v>
      </c>
      <c r="C190" s="179">
        <f ca="1">IF(ISNUMBER(MATCH(DATEVALUE($A190),'recurring1_based on steps'!C$1:C$400,0)),C$2,)</f>
        <v>0</v>
      </c>
      <c r="D190" s="179">
        <f ca="1">IF(ISNUMBER(MATCH(DATEVALUE($A190),'recurring1_based on steps'!D$1:D$400,0)),D$2,)</f>
        <v>0</v>
      </c>
      <c r="E190" s="179">
        <f ca="1">IF(ISNUMBER(MATCH(DATEVALUE($A190),'recurring1_based on steps'!E$1:E$400,0)),E$2,)</f>
        <v>0</v>
      </c>
      <c r="F190" s="179">
        <f ca="1">IF(ISNUMBER(MATCH(DATEVALUE($A190),'recurring1_based on steps'!F$1:F$400,0)),F$2,)</f>
        <v>0</v>
      </c>
      <c r="G190" s="179">
        <f ca="1">IF(ISNUMBER(MATCH(DATEVALUE($A190),'recurring1_based on steps'!G$1:G$400,0)),G$2,)</f>
        <v>0</v>
      </c>
      <c r="H190" s="179">
        <f ca="1">IF(ISNUMBER(MATCH(DATEVALUE($A190),'recurring1_based on steps'!H$1:H$400,0)),H$2,)</f>
        <v>0</v>
      </c>
      <c r="I190" s="179">
        <f ca="1">IF(ISNUMBER(MATCH(DATEVALUE($A190),'recurring1_based on steps'!I$1:I$400,0)),I$2,)</f>
        <v>0</v>
      </c>
      <c r="J190" s="179">
        <f ca="1">IF(ISNUMBER(MATCH(DATEVALUE($A190),'recurring1_based on steps'!J$1:J$400,0)),J$2,)</f>
        <v>0</v>
      </c>
      <c r="K190" s="179">
        <f ca="1">IF(ISNUMBER(MATCH(DATEVALUE($A190),'recurring1_based on steps'!K$1:K$400,0)),K$2,)</f>
        <v>0</v>
      </c>
      <c r="L190" s="179">
        <f ca="1">IF(ISNUMBER(MATCH(DATEVALUE($A190),'recurring1_based on steps'!L$1:L$400,0)),L$2,)</f>
        <v>0</v>
      </c>
      <c r="M190" s="179">
        <f ca="1">IF(ISNUMBER(MATCH(DATEVALUE($A190),'recurring1_based on steps'!M$1:M$400,0)),M$2,)</f>
        <v>0</v>
      </c>
      <c r="N190" s="179">
        <f ca="1">IF(ISNUMBER(MATCH(DATEVALUE($A190),'recurring1_based on steps'!N$1:N$400,0)),N$2,)</f>
        <v>0</v>
      </c>
      <c r="O190" s="179">
        <f ca="1">IF(ISNUMBER(MATCH(DATEVALUE($A190),'recurring1_based on steps'!O$1:O$400,0)),O$2,)</f>
        <v>0</v>
      </c>
      <c r="P190" s="179">
        <f ca="1">IF(ISNUMBER(MATCH(DATEVALUE($A190),'recurring1_based on steps'!P$1:P$400,0)),P$2,)</f>
        <v>0</v>
      </c>
      <c r="Q190" s="179">
        <f ca="1">IF(ISNUMBER(MATCH(DATEVALUE($A190),'recurring1_based on steps'!Q$1:Q$400,0)),Q$2,)</f>
        <v>0</v>
      </c>
      <c r="R190" s="179">
        <f ca="1">IF(ISNUMBER(MATCH(DATEVALUE($A190),'recurring1_based on steps'!R$1:R$400,0)),R$2,)</f>
        <v>0</v>
      </c>
      <c r="S190" s="179">
        <f ca="1">IF(ISNUMBER(MATCH(DATEVALUE($A190),'recurring1_based on steps'!S$1:S$400,0)),S$2,)</f>
        <v>0</v>
      </c>
      <c r="T190" s="179">
        <f ca="1">IF(ISNUMBER(MATCH(DATEVALUE($A190),'recurring1_based on steps'!T$1:T$400,0)),T$2,)</f>
        <v>0</v>
      </c>
      <c r="U190" s="179">
        <f ca="1">IF(ISNUMBER(MATCH(DATEVALUE($A190),'recurring1_based on steps'!U$1:U$400,0)),U$2,)</f>
        <v>0</v>
      </c>
      <c r="V190" s="179">
        <f ca="1">IF(ISNUMBER(MATCH(DATEVALUE($A190),'recurring1_based on steps'!V$1:V$400,0)),V$2,)</f>
        <v>0</v>
      </c>
      <c r="W190" s="179">
        <f ca="1">IF(ISNUMBER(MATCH(DATEVALUE($A190),'recurring1_based on steps'!W$1:W$400,0)),W$2,)</f>
        <v>0</v>
      </c>
      <c r="X190" s="179">
        <f ca="1">IF(ISNUMBER(MATCH(DATEVALUE($A190),'recurring1_based on steps'!X$1:X$400,0)),X$2,)</f>
        <v>0</v>
      </c>
      <c r="Y190" s="179">
        <f ca="1">IF(ISNUMBER(MATCH(DATEVALUE($A190),'recurring1_based on steps'!Y$1:Y$400,0)),Y$2,)</f>
        <v>0</v>
      </c>
      <c r="Z190" s="179">
        <f ca="1">IF(ISNUMBER(MATCH(DATEVALUE($A190),'recurring1_based on steps'!Z$1:Z$400,0)),Z$2,)</f>
        <v>0</v>
      </c>
      <c r="AA190" s="179">
        <f ca="1">IF(ISNUMBER(MATCH(DATEVALUE($A190),'recurring1_based on steps'!AA$1:AA$400,0)),AA$2,)</f>
        <v>0</v>
      </c>
      <c r="AB190" s="179">
        <f ca="1">IF(ISNUMBER(MATCH(DATEVALUE($A190),'recurring1_based on steps'!AB$1:AB$400,0)),AB$2,)</f>
        <v>0</v>
      </c>
      <c r="AC190" s="179">
        <f ca="1">IF(ISNUMBER(MATCH(DATEVALUE($A190),'recurring1_based on steps'!AC$1:AC$400,0)),AC$2,)</f>
        <v>0</v>
      </c>
      <c r="AD190" s="179">
        <f ca="1">IF(ISNUMBER(MATCH(DATEVALUE($A190),'recurring1_based on steps'!AD$1:AD$400,0)),AD$2,)</f>
        <v>0</v>
      </c>
      <c r="AE190" s="179">
        <f ca="1">IF(ISNUMBER(MATCH(DATEVALUE($A190),'recurring1_based on steps'!AE$1:AE$400,0)),AE$2,)</f>
        <v>0</v>
      </c>
      <c r="AF190" s="179">
        <f ca="1">IF(ISNUMBER(MATCH(DATEVALUE($A190),'recurring1_based on steps'!AF$1:AF$400,0)),AF$2,)</f>
        <v>0</v>
      </c>
      <c r="AG190" s="179">
        <f ca="1">IF(ISNUMBER(MATCH(DATEVALUE($A190),'recurring1_based on steps'!AG$1:AG$400,0)),AG$2,)</f>
        <v>0</v>
      </c>
      <c r="AH190" s="179">
        <f ca="1">IF(ISNUMBER(MATCH(DATEVALUE($A190),'recurring1_based on steps'!AH$1:AH$400,0)),AH$2,)</f>
        <v>0</v>
      </c>
      <c r="AI190" s="179">
        <f ca="1">IF(ISNUMBER(MATCH(DATEVALUE($A190),'recurring1_based on steps'!AI$1:AI$400,0)),AI$2,)</f>
        <v>0</v>
      </c>
      <c r="AJ190" s="179">
        <f ca="1">IF(ISNUMBER(MATCH(DATEVALUE($A190),'recurring1_based on steps'!AJ$1:AJ$400,0)),AJ$2,)</f>
        <v>0</v>
      </c>
      <c r="AK190" s="179">
        <f ca="1">IF(ISNUMBER(MATCH(DATEVALUE($A190),'recurring1_based on steps'!AK$1:AK$400,0)),AK$2,)</f>
        <v>0</v>
      </c>
      <c r="AL190" s="179">
        <f ca="1">IF(ISNUMBER(MATCH(DATEVALUE($A190),'recurring1_based on steps'!AL$1:AL$400,0)),AL$2,)</f>
        <v>0</v>
      </c>
      <c r="AM190" s="179">
        <f ca="1">IF(ISNUMBER(MATCH(DATEVALUE($A190),'recurring1_based on steps'!AM$1:AM$400,0)),AM$2,)</f>
        <v>0</v>
      </c>
      <c r="AN190" s="179">
        <f ca="1">IF(ISNUMBER(MATCH(DATEVALUE($A190),'recurring1_based on steps'!AN$1:AN$400,0)),AN$2,)</f>
        <v>0</v>
      </c>
      <c r="AO190" s="179">
        <f ca="1">IF(ISNUMBER(MATCH(DATEVALUE($A190),'recurring1_based on steps'!AO$1:AO$400,0)),AO$2,)</f>
        <v>0</v>
      </c>
      <c r="AP190" s="179">
        <f ca="1">IF(ISNUMBER(MATCH(DATEVALUE($A190),'recurring1_based on steps'!AP$1:AP$400,0)),AP$2,)</f>
        <v>0</v>
      </c>
      <c r="AQ190" s="179">
        <f ca="1">IF(ISNUMBER(MATCH(DATEVALUE($A190),'recurring1_based on steps'!AQ$1:AQ$400,0)),AQ$2,)</f>
        <v>0</v>
      </c>
      <c r="AR190" s="179">
        <f ca="1">IF(ISNUMBER(MATCH(DATEVALUE($A190),'recurring1_based on steps'!AR$1:AR$400,0)),AR$2,)</f>
        <v>0</v>
      </c>
      <c r="AS190" s="179">
        <f ca="1">IF(ISNUMBER(MATCH(DATEVALUE($A190),'recurring1_based on steps'!AS$1:AS$400,0)),AS$2,)</f>
        <v>0</v>
      </c>
      <c r="AT190" s="179">
        <f ca="1">IF(ISNUMBER(MATCH(DATEVALUE($A190),'recurring1_based on steps'!AT$1:AT$400,0)),AT$2,)</f>
        <v>0</v>
      </c>
      <c r="AU190" s="179">
        <f ca="1">IF(ISNUMBER(MATCH(DATEVALUE($A190),'recurring1_based on steps'!AU$1:AU$400,0)),AU$2,)</f>
        <v>0</v>
      </c>
      <c r="AV190" s="179">
        <f ca="1">IF(ISNUMBER(MATCH(DATEVALUE($A190),'recurring1_based on steps'!AV$1:AV$400,0)),AV$2,)</f>
        <v>0</v>
      </c>
      <c r="AW190" s="179">
        <f ca="1">IF(ISNUMBER(MATCH(DATEVALUE($A190),'recurring1_based on steps'!AW$1:AW$400,0)),AW$2,)</f>
        <v>0</v>
      </c>
      <c r="AX190" s="179">
        <f ca="1">IF(ISNUMBER(MATCH(DATEVALUE($A190),'recurring1_based on steps'!AX$1:AX$400,0)),AX$2,)</f>
        <v>0</v>
      </c>
      <c r="AY190" s="179">
        <f ca="1">IF(ISNUMBER(MATCH(DATEVALUE($A190),'recurring1_based on steps'!AY$1:AY$400,0)),AY$2,)</f>
        <v>0</v>
      </c>
    </row>
    <row r="191" spans="1:51" x14ac:dyDescent="0.2">
      <c r="A191" s="32" t="str">
        <f t="shared" ca="1" si="2"/>
        <v>2025-10-10</v>
      </c>
      <c r="B191" s="179">
        <f ca="1">IF(ISNUMBER(MATCH(DATEVALUE($A191),'recurring1_based on steps'!B$1:B$400,0)),B$2,)</f>
        <v>0</v>
      </c>
      <c r="C191" s="179">
        <f ca="1">IF(ISNUMBER(MATCH(DATEVALUE($A191),'recurring1_based on steps'!C$1:C$400,0)),C$2,)</f>
        <v>0</v>
      </c>
      <c r="D191" s="179">
        <f ca="1">IF(ISNUMBER(MATCH(DATEVALUE($A191),'recurring1_based on steps'!D$1:D$400,0)),D$2,)</f>
        <v>0</v>
      </c>
      <c r="E191" s="179">
        <f ca="1">IF(ISNUMBER(MATCH(DATEVALUE($A191),'recurring1_based on steps'!E$1:E$400,0)),E$2,)</f>
        <v>0</v>
      </c>
      <c r="F191" s="179">
        <f ca="1">IF(ISNUMBER(MATCH(DATEVALUE($A191),'recurring1_based on steps'!F$1:F$400,0)),F$2,)</f>
        <v>0</v>
      </c>
      <c r="G191" s="179">
        <f ca="1">IF(ISNUMBER(MATCH(DATEVALUE($A191),'recurring1_based on steps'!G$1:G$400,0)),G$2,)</f>
        <v>0</v>
      </c>
      <c r="H191" s="179">
        <f ca="1">IF(ISNUMBER(MATCH(DATEVALUE($A191),'recurring1_based on steps'!H$1:H$400,0)),H$2,)</f>
        <v>0</v>
      </c>
      <c r="I191" s="179">
        <f ca="1">IF(ISNUMBER(MATCH(DATEVALUE($A191),'recurring1_based on steps'!I$1:I$400,0)),I$2,)</f>
        <v>0</v>
      </c>
      <c r="J191" s="179">
        <f ca="1">IF(ISNUMBER(MATCH(DATEVALUE($A191),'recurring1_based on steps'!J$1:J$400,0)),J$2,)</f>
        <v>0</v>
      </c>
      <c r="K191" s="179">
        <f ca="1">IF(ISNUMBER(MATCH(DATEVALUE($A191),'recurring1_based on steps'!K$1:K$400,0)),K$2,)</f>
        <v>0</v>
      </c>
      <c r="L191" s="179">
        <f ca="1">IF(ISNUMBER(MATCH(DATEVALUE($A191),'recurring1_based on steps'!L$1:L$400,0)),L$2,)</f>
        <v>0</v>
      </c>
      <c r="M191" s="179">
        <f ca="1">IF(ISNUMBER(MATCH(DATEVALUE($A191),'recurring1_based on steps'!M$1:M$400,0)),M$2,)</f>
        <v>0</v>
      </c>
      <c r="N191" s="179">
        <f ca="1">IF(ISNUMBER(MATCH(DATEVALUE($A191),'recurring1_based on steps'!N$1:N$400,0)),N$2,)</f>
        <v>0</v>
      </c>
      <c r="O191" s="179">
        <f ca="1">IF(ISNUMBER(MATCH(DATEVALUE($A191),'recurring1_based on steps'!O$1:O$400,0)),O$2,)</f>
        <v>0</v>
      </c>
      <c r="P191" s="179">
        <f ca="1">IF(ISNUMBER(MATCH(DATEVALUE($A191),'recurring1_based on steps'!P$1:P$400,0)),P$2,)</f>
        <v>0</v>
      </c>
      <c r="Q191" s="179">
        <f ca="1">IF(ISNUMBER(MATCH(DATEVALUE($A191),'recurring1_based on steps'!Q$1:Q$400,0)),Q$2,)</f>
        <v>0</v>
      </c>
      <c r="R191" s="179">
        <f ca="1">IF(ISNUMBER(MATCH(DATEVALUE($A191),'recurring1_based on steps'!R$1:R$400,0)),R$2,)</f>
        <v>0</v>
      </c>
      <c r="S191" s="179">
        <f ca="1">IF(ISNUMBER(MATCH(DATEVALUE($A191),'recurring1_based on steps'!S$1:S$400,0)),S$2,)</f>
        <v>0</v>
      </c>
      <c r="T191" s="179">
        <f ca="1">IF(ISNUMBER(MATCH(DATEVALUE($A191),'recurring1_based on steps'!T$1:T$400,0)),T$2,)</f>
        <v>0</v>
      </c>
      <c r="U191" s="179">
        <f ca="1">IF(ISNUMBER(MATCH(DATEVALUE($A191),'recurring1_based on steps'!U$1:U$400,0)),U$2,)</f>
        <v>0</v>
      </c>
      <c r="V191" s="179">
        <f ca="1">IF(ISNUMBER(MATCH(DATEVALUE($A191),'recurring1_based on steps'!V$1:V$400,0)),V$2,)</f>
        <v>0</v>
      </c>
      <c r="W191" s="179">
        <f ca="1">IF(ISNUMBER(MATCH(DATEVALUE($A191),'recurring1_based on steps'!W$1:W$400,0)),W$2,)</f>
        <v>0</v>
      </c>
      <c r="X191" s="179">
        <f ca="1">IF(ISNUMBER(MATCH(DATEVALUE($A191),'recurring1_based on steps'!X$1:X$400,0)),X$2,)</f>
        <v>0</v>
      </c>
      <c r="Y191" s="179">
        <f ca="1">IF(ISNUMBER(MATCH(DATEVALUE($A191),'recurring1_based on steps'!Y$1:Y$400,0)),Y$2,)</f>
        <v>0</v>
      </c>
      <c r="Z191" s="179">
        <f ca="1">IF(ISNUMBER(MATCH(DATEVALUE($A191),'recurring1_based on steps'!Z$1:Z$400,0)),Z$2,)</f>
        <v>0</v>
      </c>
      <c r="AA191" s="179">
        <f ca="1">IF(ISNUMBER(MATCH(DATEVALUE($A191),'recurring1_based on steps'!AA$1:AA$400,0)),AA$2,)</f>
        <v>0</v>
      </c>
      <c r="AB191" s="179">
        <f ca="1">IF(ISNUMBER(MATCH(DATEVALUE($A191),'recurring1_based on steps'!AB$1:AB$400,0)),AB$2,)</f>
        <v>0</v>
      </c>
      <c r="AC191" s="179">
        <f ca="1">IF(ISNUMBER(MATCH(DATEVALUE($A191),'recurring1_based on steps'!AC$1:AC$400,0)),AC$2,)</f>
        <v>0</v>
      </c>
      <c r="AD191" s="179">
        <f ca="1">IF(ISNUMBER(MATCH(DATEVALUE($A191),'recurring1_based on steps'!AD$1:AD$400,0)),AD$2,)</f>
        <v>0</v>
      </c>
      <c r="AE191" s="179">
        <f ca="1">IF(ISNUMBER(MATCH(DATEVALUE($A191),'recurring1_based on steps'!AE$1:AE$400,0)),AE$2,)</f>
        <v>0</v>
      </c>
      <c r="AF191" s="179">
        <f ca="1">IF(ISNUMBER(MATCH(DATEVALUE($A191),'recurring1_based on steps'!AF$1:AF$400,0)),AF$2,)</f>
        <v>0</v>
      </c>
      <c r="AG191" s="179">
        <f ca="1">IF(ISNUMBER(MATCH(DATEVALUE($A191),'recurring1_based on steps'!AG$1:AG$400,0)),AG$2,)</f>
        <v>0</v>
      </c>
      <c r="AH191" s="179">
        <f ca="1">IF(ISNUMBER(MATCH(DATEVALUE($A191),'recurring1_based on steps'!AH$1:AH$400,0)),AH$2,)</f>
        <v>0</v>
      </c>
      <c r="AI191" s="179">
        <f ca="1">IF(ISNUMBER(MATCH(DATEVALUE($A191),'recurring1_based on steps'!AI$1:AI$400,0)),AI$2,)</f>
        <v>0</v>
      </c>
      <c r="AJ191" s="179">
        <f ca="1">IF(ISNUMBER(MATCH(DATEVALUE($A191),'recurring1_based on steps'!AJ$1:AJ$400,0)),AJ$2,)</f>
        <v>0</v>
      </c>
      <c r="AK191" s="179">
        <f ca="1">IF(ISNUMBER(MATCH(DATEVALUE($A191),'recurring1_based on steps'!AK$1:AK$400,0)),AK$2,)</f>
        <v>0</v>
      </c>
      <c r="AL191" s="179">
        <f ca="1">IF(ISNUMBER(MATCH(DATEVALUE($A191),'recurring1_based on steps'!AL$1:AL$400,0)),AL$2,)</f>
        <v>0</v>
      </c>
      <c r="AM191" s="179">
        <f ca="1">IF(ISNUMBER(MATCH(DATEVALUE($A191),'recurring1_based on steps'!AM$1:AM$400,0)),AM$2,)</f>
        <v>0</v>
      </c>
      <c r="AN191" s="179">
        <f ca="1">IF(ISNUMBER(MATCH(DATEVALUE($A191),'recurring1_based on steps'!AN$1:AN$400,0)),AN$2,)</f>
        <v>0</v>
      </c>
      <c r="AO191" s="179">
        <f ca="1">IF(ISNUMBER(MATCH(DATEVALUE($A191),'recurring1_based on steps'!AO$1:AO$400,0)),AO$2,)</f>
        <v>0</v>
      </c>
      <c r="AP191" s="179">
        <f ca="1">IF(ISNUMBER(MATCH(DATEVALUE($A191),'recurring1_based on steps'!AP$1:AP$400,0)),AP$2,)</f>
        <v>0</v>
      </c>
      <c r="AQ191" s="179">
        <f ca="1">IF(ISNUMBER(MATCH(DATEVALUE($A191),'recurring1_based on steps'!AQ$1:AQ$400,0)),AQ$2,)</f>
        <v>0</v>
      </c>
      <c r="AR191" s="179">
        <f ca="1">IF(ISNUMBER(MATCH(DATEVALUE($A191),'recurring1_based on steps'!AR$1:AR$400,0)),AR$2,)</f>
        <v>0</v>
      </c>
      <c r="AS191" s="179">
        <f ca="1">IF(ISNUMBER(MATCH(DATEVALUE($A191),'recurring1_based on steps'!AS$1:AS$400,0)),AS$2,)</f>
        <v>0</v>
      </c>
      <c r="AT191" s="179">
        <f ca="1">IF(ISNUMBER(MATCH(DATEVALUE($A191),'recurring1_based on steps'!AT$1:AT$400,0)),AT$2,)</f>
        <v>0</v>
      </c>
      <c r="AU191" s="179">
        <f ca="1">IF(ISNUMBER(MATCH(DATEVALUE($A191),'recurring1_based on steps'!AU$1:AU$400,0)),AU$2,)</f>
        <v>0</v>
      </c>
      <c r="AV191" s="179">
        <f ca="1">IF(ISNUMBER(MATCH(DATEVALUE($A191),'recurring1_based on steps'!AV$1:AV$400,0)),AV$2,)</f>
        <v>0</v>
      </c>
      <c r="AW191" s="179">
        <f ca="1">IF(ISNUMBER(MATCH(DATEVALUE($A191),'recurring1_based on steps'!AW$1:AW$400,0)),AW$2,)</f>
        <v>0</v>
      </c>
      <c r="AX191" s="179">
        <f ca="1">IF(ISNUMBER(MATCH(DATEVALUE($A191),'recurring1_based on steps'!AX$1:AX$400,0)),AX$2,)</f>
        <v>0</v>
      </c>
      <c r="AY191" s="179">
        <f ca="1">IF(ISNUMBER(MATCH(DATEVALUE($A191),'recurring1_based on steps'!AY$1:AY$400,0)),AY$2,)</f>
        <v>0</v>
      </c>
    </row>
    <row r="192" spans="1:51" x14ac:dyDescent="0.2">
      <c r="A192" s="32" t="str">
        <f t="shared" ca="1" si="2"/>
        <v>2025-10-11</v>
      </c>
      <c r="B192" s="179">
        <f ca="1">IF(ISNUMBER(MATCH(DATEVALUE($A192),'recurring1_based on steps'!B$1:B$400,0)),B$2,)</f>
        <v>0</v>
      </c>
      <c r="C192" s="179">
        <f ca="1">IF(ISNUMBER(MATCH(DATEVALUE($A192),'recurring1_based on steps'!C$1:C$400,0)),C$2,)</f>
        <v>0</v>
      </c>
      <c r="D192" s="179">
        <f ca="1">IF(ISNUMBER(MATCH(DATEVALUE($A192),'recurring1_based on steps'!D$1:D$400,0)),D$2,)</f>
        <v>0</v>
      </c>
      <c r="E192" s="179">
        <f ca="1">IF(ISNUMBER(MATCH(DATEVALUE($A192),'recurring1_based on steps'!E$1:E$400,0)),E$2,)</f>
        <v>0</v>
      </c>
      <c r="F192" s="179">
        <f ca="1">IF(ISNUMBER(MATCH(DATEVALUE($A192),'recurring1_based on steps'!F$1:F$400,0)),F$2,)</f>
        <v>0</v>
      </c>
      <c r="G192" s="179">
        <f ca="1">IF(ISNUMBER(MATCH(DATEVALUE($A192),'recurring1_based on steps'!G$1:G$400,0)),G$2,)</f>
        <v>0</v>
      </c>
      <c r="H192" s="179">
        <f ca="1">IF(ISNUMBER(MATCH(DATEVALUE($A192),'recurring1_based on steps'!H$1:H$400,0)),H$2,)</f>
        <v>0</v>
      </c>
      <c r="I192" s="179">
        <f ca="1">IF(ISNUMBER(MATCH(DATEVALUE($A192),'recurring1_based on steps'!I$1:I$400,0)),I$2,)</f>
        <v>0</v>
      </c>
      <c r="J192" s="179">
        <f ca="1">IF(ISNUMBER(MATCH(DATEVALUE($A192),'recurring1_based on steps'!J$1:J$400,0)),J$2,)</f>
        <v>0</v>
      </c>
      <c r="K192" s="179">
        <f ca="1">IF(ISNUMBER(MATCH(DATEVALUE($A192),'recurring1_based on steps'!K$1:K$400,0)),K$2,)</f>
        <v>0</v>
      </c>
      <c r="L192" s="179">
        <f ca="1">IF(ISNUMBER(MATCH(DATEVALUE($A192),'recurring1_based on steps'!L$1:L$400,0)),L$2,)</f>
        <v>0</v>
      </c>
      <c r="M192" s="179">
        <f ca="1">IF(ISNUMBER(MATCH(DATEVALUE($A192),'recurring1_based on steps'!M$1:M$400,0)),M$2,)</f>
        <v>0</v>
      </c>
      <c r="N192" s="179">
        <f ca="1">IF(ISNUMBER(MATCH(DATEVALUE($A192),'recurring1_based on steps'!N$1:N$400,0)),N$2,)</f>
        <v>0</v>
      </c>
      <c r="O192" s="179">
        <f ca="1">IF(ISNUMBER(MATCH(DATEVALUE($A192),'recurring1_based on steps'!O$1:O$400,0)),O$2,)</f>
        <v>0</v>
      </c>
      <c r="P192" s="179">
        <f ca="1">IF(ISNUMBER(MATCH(DATEVALUE($A192),'recurring1_based on steps'!P$1:P$400,0)),P$2,)</f>
        <v>0</v>
      </c>
      <c r="Q192" s="179">
        <f ca="1">IF(ISNUMBER(MATCH(DATEVALUE($A192),'recurring1_based on steps'!Q$1:Q$400,0)),Q$2,)</f>
        <v>0</v>
      </c>
      <c r="R192" s="179">
        <f ca="1">IF(ISNUMBER(MATCH(DATEVALUE($A192),'recurring1_based on steps'!R$1:R$400,0)),R$2,)</f>
        <v>0</v>
      </c>
      <c r="S192" s="179">
        <f ca="1">IF(ISNUMBER(MATCH(DATEVALUE($A192),'recurring1_based on steps'!S$1:S$400,0)),S$2,)</f>
        <v>0</v>
      </c>
      <c r="T192" s="179">
        <f ca="1">IF(ISNUMBER(MATCH(DATEVALUE($A192),'recurring1_based on steps'!T$1:T$400,0)),T$2,)</f>
        <v>0</v>
      </c>
      <c r="U192" s="179">
        <f ca="1">IF(ISNUMBER(MATCH(DATEVALUE($A192),'recurring1_based on steps'!U$1:U$400,0)),U$2,)</f>
        <v>0</v>
      </c>
      <c r="V192" s="179">
        <f ca="1">IF(ISNUMBER(MATCH(DATEVALUE($A192),'recurring1_based on steps'!V$1:V$400,0)),V$2,)</f>
        <v>0</v>
      </c>
      <c r="W192" s="179">
        <f ca="1">IF(ISNUMBER(MATCH(DATEVALUE($A192),'recurring1_based on steps'!W$1:W$400,0)),W$2,)</f>
        <v>0</v>
      </c>
      <c r="X192" s="179">
        <f ca="1">IF(ISNUMBER(MATCH(DATEVALUE($A192),'recurring1_based on steps'!X$1:X$400,0)),X$2,)</f>
        <v>0</v>
      </c>
      <c r="Y192" s="179">
        <f ca="1">IF(ISNUMBER(MATCH(DATEVALUE($A192),'recurring1_based on steps'!Y$1:Y$400,0)),Y$2,)</f>
        <v>0</v>
      </c>
      <c r="Z192" s="179">
        <f ca="1">IF(ISNUMBER(MATCH(DATEVALUE($A192),'recurring1_based on steps'!Z$1:Z$400,0)),Z$2,)</f>
        <v>0</v>
      </c>
      <c r="AA192" s="179">
        <f ca="1">IF(ISNUMBER(MATCH(DATEVALUE($A192),'recurring1_based on steps'!AA$1:AA$400,0)),AA$2,)</f>
        <v>0</v>
      </c>
      <c r="AB192" s="179">
        <f ca="1">IF(ISNUMBER(MATCH(DATEVALUE($A192),'recurring1_based on steps'!AB$1:AB$400,0)),AB$2,)</f>
        <v>0</v>
      </c>
      <c r="AC192" s="179">
        <f ca="1">IF(ISNUMBER(MATCH(DATEVALUE($A192),'recurring1_based on steps'!AC$1:AC$400,0)),AC$2,)</f>
        <v>0</v>
      </c>
      <c r="AD192" s="179">
        <f ca="1">IF(ISNUMBER(MATCH(DATEVALUE($A192),'recurring1_based on steps'!AD$1:AD$400,0)),AD$2,)</f>
        <v>0</v>
      </c>
      <c r="AE192" s="179">
        <f ca="1">IF(ISNUMBER(MATCH(DATEVALUE($A192),'recurring1_based on steps'!AE$1:AE$400,0)),AE$2,)</f>
        <v>0</v>
      </c>
      <c r="AF192" s="179">
        <f ca="1">IF(ISNUMBER(MATCH(DATEVALUE($A192),'recurring1_based on steps'!AF$1:AF$400,0)),AF$2,)</f>
        <v>0</v>
      </c>
      <c r="AG192" s="179">
        <f ca="1">IF(ISNUMBER(MATCH(DATEVALUE($A192),'recurring1_based on steps'!AG$1:AG$400,0)),AG$2,)</f>
        <v>0</v>
      </c>
      <c r="AH192" s="179">
        <f ca="1">IF(ISNUMBER(MATCH(DATEVALUE($A192),'recurring1_based on steps'!AH$1:AH$400,0)),AH$2,)</f>
        <v>0</v>
      </c>
      <c r="AI192" s="179">
        <f ca="1">IF(ISNUMBER(MATCH(DATEVALUE($A192),'recurring1_based on steps'!AI$1:AI$400,0)),AI$2,)</f>
        <v>0</v>
      </c>
      <c r="AJ192" s="179">
        <f ca="1">IF(ISNUMBER(MATCH(DATEVALUE($A192),'recurring1_based on steps'!AJ$1:AJ$400,0)),AJ$2,)</f>
        <v>0</v>
      </c>
      <c r="AK192" s="179">
        <f ca="1">IF(ISNUMBER(MATCH(DATEVALUE($A192),'recurring1_based on steps'!AK$1:AK$400,0)),AK$2,)</f>
        <v>0</v>
      </c>
      <c r="AL192" s="179">
        <f ca="1">IF(ISNUMBER(MATCH(DATEVALUE($A192),'recurring1_based on steps'!AL$1:AL$400,0)),AL$2,)</f>
        <v>0</v>
      </c>
      <c r="AM192" s="179">
        <f ca="1">IF(ISNUMBER(MATCH(DATEVALUE($A192),'recurring1_based on steps'!AM$1:AM$400,0)),AM$2,)</f>
        <v>0</v>
      </c>
      <c r="AN192" s="179">
        <f ca="1">IF(ISNUMBER(MATCH(DATEVALUE($A192),'recurring1_based on steps'!AN$1:AN$400,0)),AN$2,)</f>
        <v>0</v>
      </c>
      <c r="AO192" s="179">
        <f ca="1">IF(ISNUMBER(MATCH(DATEVALUE($A192),'recurring1_based on steps'!AO$1:AO$400,0)),AO$2,)</f>
        <v>0</v>
      </c>
      <c r="AP192" s="179">
        <f ca="1">IF(ISNUMBER(MATCH(DATEVALUE($A192),'recurring1_based on steps'!AP$1:AP$400,0)),AP$2,)</f>
        <v>0</v>
      </c>
      <c r="AQ192" s="179">
        <f ca="1">IF(ISNUMBER(MATCH(DATEVALUE($A192),'recurring1_based on steps'!AQ$1:AQ$400,0)),AQ$2,)</f>
        <v>0</v>
      </c>
      <c r="AR192" s="179">
        <f ca="1">IF(ISNUMBER(MATCH(DATEVALUE($A192),'recurring1_based on steps'!AR$1:AR$400,0)),AR$2,)</f>
        <v>0</v>
      </c>
      <c r="AS192" s="179">
        <f ca="1">IF(ISNUMBER(MATCH(DATEVALUE($A192),'recurring1_based on steps'!AS$1:AS$400,0)),AS$2,)</f>
        <v>0</v>
      </c>
      <c r="AT192" s="179">
        <f ca="1">IF(ISNUMBER(MATCH(DATEVALUE($A192),'recurring1_based on steps'!AT$1:AT$400,0)),AT$2,)</f>
        <v>0</v>
      </c>
      <c r="AU192" s="179">
        <f ca="1">IF(ISNUMBER(MATCH(DATEVALUE($A192),'recurring1_based on steps'!AU$1:AU$400,0)),AU$2,)</f>
        <v>0</v>
      </c>
      <c r="AV192" s="179">
        <f ca="1">IF(ISNUMBER(MATCH(DATEVALUE($A192),'recurring1_based on steps'!AV$1:AV$400,0)),AV$2,)</f>
        <v>0</v>
      </c>
      <c r="AW192" s="179">
        <f ca="1">IF(ISNUMBER(MATCH(DATEVALUE($A192),'recurring1_based on steps'!AW$1:AW$400,0)),AW$2,)</f>
        <v>0</v>
      </c>
      <c r="AX192" s="179">
        <f ca="1">IF(ISNUMBER(MATCH(DATEVALUE($A192),'recurring1_based on steps'!AX$1:AX$400,0)),AX$2,)</f>
        <v>0</v>
      </c>
      <c r="AY192" s="179">
        <f ca="1">IF(ISNUMBER(MATCH(DATEVALUE($A192),'recurring1_based on steps'!AY$1:AY$400,0)),AY$2,)</f>
        <v>0</v>
      </c>
    </row>
    <row r="193" spans="1:51" x14ac:dyDescent="0.2">
      <c r="A193" s="32" t="str">
        <f t="shared" ca="1" si="2"/>
        <v>2025-10-12</v>
      </c>
      <c r="B193" s="179">
        <f ca="1">IF(ISNUMBER(MATCH(DATEVALUE($A193),'recurring1_based on steps'!B$1:B$400,0)),B$2,)</f>
        <v>0</v>
      </c>
      <c r="C193" s="179">
        <f ca="1">IF(ISNUMBER(MATCH(DATEVALUE($A193),'recurring1_based on steps'!C$1:C$400,0)),C$2,)</f>
        <v>0</v>
      </c>
      <c r="D193" s="179">
        <f ca="1">IF(ISNUMBER(MATCH(DATEVALUE($A193),'recurring1_based on steps'!D$1:D$400,0)),D$2,)</f>
        <v>0</v>
      </c>
      <c r="E193" s="179">
        <f ca="1">IF(ISNUMBER(MATCH(DATEVALUE($A193),'recurring1_based on steps'!E$1:E$400,0)),E$2,)</f>
        <v>0</v>
      </c>
      <c r="F193" s="179">
        <f ca="1">IF(ISNUMBER(MATCH(DATEVALUE($A193),'recurring1_based on steps'!F$1:F$400,0)),F$2,)</f>
        <v>0</v>
      </c>
      <c r="G193" s="179">
        <f ca="1">IF(ISNUMBER(MATCH(DATEVALUE($A193),'recurring1_based on steps'!G$1:G$400,0)),G$2,)</f>
        <v>0</v>
      </c>
      <c r="H193" s="179">
        <f ca="1">IF(ISNUMBER(MATCH(DATEVALUE($A193),'recurring1_based on steps'!H$1:H$400,0)),H$2,)</f>
        <v>0</v>
      </c>
      <c r="I193" s="179">
        <f ca="1">IF(ISNUMBER(MATCH(DATEVALUE($A193),'recurring1_based on steps'!I$1:I$400,0)),I$2,)</f>
        <v>0</v>
      </c>
      <c r="J193" s="179">
        <f ca="1">IF(ISNUMBER(MATCH(DATEVALUE($A193),'recurring1_based on steps'!J$1:J$400,0)),J$2,)</f>
        <v>0</v>
      </c>
      <c r="K193" s="179">
        <f ca="1">IF(ISNUMBER(MATCH(DATEVALUE($A193),'recurring1_based on steps'!K$1:K$400,0)),K$2,)</f>
        <v>0</v>
      </c>
      <c r="L193" s="179">
        <f ca="1">IF(ISNUMBER(MATCH(DATEVALUE($A193),'recurring1_based on steps'!L$1:L$400,0)),L$2,)</f>
        <v>0</v>
      </c>
      <c r="M193" s="179">
        <f ca="1">IF(ISNUMBER(MATCH(DATEVALUE($A193),'recurring1_based on steps'!M$1:M$400,0)),M$2,)</f>
        <v>0</v>
      </c>
      <c r="N193" s="179">
        <f ca="1">IF(ISNUMBER(MATCH(DATEVALUE($A193),'recurring1_based on steps'!N$1:N$400,0)),N$2,)</f>
        <v>0</v>
      </c>
      <c r="O193" s="179">
        <f ca="1">IF(ISNUMBER(MATCH(DATEVALUE($A193),'recurring1_based on steps'!O$1:O$400,0)),O$2,)</f>
        <v>0</v>
      </c>
      <c r="P193" s="179">
        <f ca="1">IF(ISNUMBER(MATCH(DATEVALUE($A193),'recurring1_based on steps'!P$1:P$400,0)),P$2,)</f>
        <v>0</v>
      </c>
      <c r="Q193" s="179">
        <f ca="1">IF(ISNUMBER(MATCH(DATEVALUE($A193),'recurring1_based on steps'!Q$1:Q$400,0)),Q$2,)</f>
        <v>0</v>
      </c>
      <c r="R193" s="179">
        <f ca="1">IF(ISNUMBER(MATCH(DATEVALUE($A193),'recurring1_based on steps'!R$1:R$400,0)),R$2,)</f>
        <v>0</v>
      </c>
      <c r="S193" s="179">
        <f ca="1">IF(ISNUMBER(MATCH(DATEVALUE($A193),'recurring1_based on steps'!S$1:S$400,0)),S$2,)</f>
        <v>0</v>
      </c>
      <c r="T193" s="179">
        <f ca="1">IF(ISNUMBER(MATCH(DATEVALUE($A193),'recurring1_based on steps'!T$1:T$400,0)),T$2,)</f>
        <v>0</v>
      </c>
      <c r="U193" s="179">
        <f ca="1">IF(ISNUMBER(MATCH(DATEVALUE($A193),'recurring1_based on steps'!U$1:U$400,0)),U$2,)</f>
        <v>0</v>
      </c>
      <c r="V193" s="179">
        <f ca="1">IF(ISNUMBER(MATCH(DATEVALUE($A193),'recurring1_based on steps'!V$1:V$400,0)),V$2,)</f>
        <v>0</v>
      </c>
      <c r="W193" s="179">
        <f ca="1">IF(ISNUMBER(MATCH(DATEVALUE($A193),'recurring1_based on steps'!W$1:W$400,0)),W$2,)</f>
        <v>0</v>
      </c>
      <c r="X193" s="179">
        <f ca="1">IF(ISNUMBER(MATCH(DATEVALUE($A193),'recurring1_based on steps'!X$1:X$400,0)),X$2,)</f>
        <v>0</v>
      </c>
      <c r="Y193" s="179">
        <f ca="1">IF(ISNUMBER(MATCH(DATEVALUE($A193),'recurring1_based on steps'!Y$1:Y$400,0)),Y$2,)</f>
        <v>0</v>
      </c>
      <c r="Z193" s="179">
        <f ca="1">IF(ISNUMBER(MATCH(DATEVALUE($A193),'recurring1_based on steps'!Z$1:Z$400,0)),Z$2,)</f>
        <v>0</v>
      </c>
      <c r="AA193" s="179">
        <f ca="1">IF(ISNUMBER(MATCH(DATEVALUE($A193),'recurring1_based on steps'!AA$1:AA$400,0)),AA$2,)</f>
        <v>0</v>
      </c>
      <c r="AB193" s="179">
        <f ca="1">IF(ISNUMBER(MATCH(DATEVALUE($A193),'recurring1_based on steps'!AB$1:AB$400,0)),AB$2,)</f>
        <v>0</v>
      </c>
      <c r="AC193" s="179">
        <f ca="1">IF(ISNUMBER(MATCH(DATEVALUE($A193),'recurring1_based on steps'!AC$1:AC$400,0)),AC$2,)</f>
        <v>0</v>
      </c>
      <c r="AD193" s="179">
        <f ca="1">IF(ISNUMBER(MATCH(DATEVALUE($A193),'recurring1_based on steps'!AD$1:AD$400,0)),AD$2,)</f>
        <v>0</v>
      </c>
      <c r="AE193" s="179">
        <f ca="1">IF(ISNUMBER(MATCH(DATEVALUE($A193),'recurring1_based on steps'!AE$1:AE$400,0)),AE$2,)</f>
        <v>0</v>
      </c>
      <c r="AF193" s="179">
        <f ca="1">IF(ISNUMBER(MATCH(DATEVALUE($A193),'recurring1_based on steps'!AF$1:AF$400,0)),AF$2,)</f>
        <v>0</v>
      </c>
      <c r="AG193" s="179">
        <f ca="1">IF(ISNUMBER(MATCH(DATEVALUE($A193),'recurring1_based on steps'!AG$1:AG$400,0)),AG$2,)</f>
        <v>0</v>
      </c>
      <c r="AH193" s="179">
        <f ca="1">IF(ISNUMBER(MATCH(DATEVALUE($A193),'recurring1_based on steps'!AH$1:AH$400,0)),AH$2,)</f>
        <v>0</v>
      </c>
      <c r="AI193" s="179">
        <f ca="1">IF(ISNUMBER(MATCH(DATEVALUE($A193),'recurring1_based on steps'!AI$1:AI$400,0)),AI$2,)</f>
        <v>0</v>
      </c>
      <c r="AJ193" s="179">
        <f ca="1">IF(ISNUMBER(MATCH(DATEVALUE($A193),'recurring1_based on steps'!AJ$1:AJ$400,0)),AJ$2,)</f>
        <v>0</v>
      </c>
      <c r="AK193" s="179">
        <f ca="1">IF(ISNUMBER(MATCH(DATEVALUE($A193),'recurring1_based on steps'!AK$1:AK$400,0)),AK$2,)</f>
        <v>0</v>
      </c>
      <c r="AL193" s="179">
        <f ca="1">IF(ISNUMBER(MATCH(DATEVALUE($A193),'recurring1_based on steps'!AL$1:AL$400,0)),AL$2,)</f>
        <v>0</v>
      </c>
      <c r="AM193" s="179">
        <f ca="1">IF(ISNUMBER(MATCH(DATEVALUE($A193),'recurring1_based on steps'!AM$1:AM$400,0)),AM$2,)</f>
        <v>0</v>
      </c>
      <c r="AN193" s="179">
        <f ca="1">IF(ISNUMBER(MATCH(DATEVALUE($A193),'recurring1_based on steps'!AN$1:AN$400,0)),AN$2,)</f>
        <v>0</v>
      </c>
      <c r="AO193" s="179">
        <f ca="1">IF(ISNUMBER(MATCH(DATEVALUE($A193),'recurring1_based on steps'!AO$1:AO$400,0)),AO$2,)</f>
        <v>0</v>
      </c>
      <c r="AP193" s="179">
        <f ca="1">IF(ISNUMBER(MATCH(DATEVALUE($A193),'recurring1_based on steps'!AP$1:AP$400,0)),AP$2,)</f>
        <v>0</v>
      </c>
      <c r="AQ193" s="179">
        <f ca="1">IF(ISNUMBER(MATCH(DATEVALUE($A193),'recurring1_based on steps'!AQ$1:AQ$400,0)),AQ$2,)</f>
        <v>0</v>
      </c>
      <c r="AR193" s="179">
        <f ca="1">IF(ISNUMBER(MATCH(DATEVALUE($A193),'recurring1_based on steps'!AR$1:AR$400,0)),AR$2,)</f>
        <v>0</v>
      </c>
      <c r="AS193" s="179">
        <f ca="1">IF(ISNUMBER(MATCH(DATEVALUE($A193),'recurring1_based on steps'!AS$1:AS$400,0)),AS$2,)</f>
        <v>0</v>
      </c>
      <c r="AT193" s="179">
        <f ca="1">IF(ISNUMBER(MATCH(DATEVALUE($A193),'recurring1_based on steps'!AT$1:AT$400,0)),AT$2,)</f>
        <v>0</v>
      </c>
      <c r="AU193" s="179">
        <f ca="1">IF(ISNUMBER(MATCH(DATEVALUE($A193),'recurring1_based on steps'!AU$1:AU$400,0)),AU$2,)</f>
        <v>0</v>
      </c>
      <c r="AV193" s="179">
        <f ca="1">IF(ISNUMBER(MATCH(DATEVALUE($A193),'recurring1_based on steps'!AV$1:AV$400,0)),AV$2,)</f>
        <v>0</v>
      </c>
      <c r="AW193" s="179">
        <f ca="1">IF(ISNUMBER(MATCH(DATEVALUE($A193),'recurring1_based on steps'!AW$1:AW$400,0)),AW$2,)</f>
        <v>0</v>
      </c>
      <c r="AX193" s="179">
        <f ca="1">IF(ISNUMBER(MATCH(DATEVALUE($A193),'recurring1_based on steps'!AX$1:AX$400,0)),AX$2,)</f>
        <v>0</v>
      </c>
      <c r="AY193" s="179">
        <f ca="1">IF(ISNUMBER(MATCH(DATEVALUE($A193),'recurring1_based on steps'!AY$1:AY$400,0)),AY$2,)</f>
        <v>0</v>
      </c>
    </row>
    <row r="194" spans="1:51" x14ac:dyDescent="0.2">
      <c r="A194" s="32" t="str">
        <f t="shared" ca="1" si="2"/>
        <v>2025-10-13</v>
      </c>
      <c r="B194" s="179">
        <f ca="1">IF(ISNUMBER(MATCH(DATEVALUE($A194),'recurring1_based on steps'!B$1:B$400,0)),B$2,)</f>
        <v>0</v>
      </c>
      <c r="C194" s="179">
        <f ca="1">IF(ISNUMBER(MATCH(DATEVALUE($A194),'recurring1_based on steps'!C$1:C$400,0)),C$2,)</f>
        <v>0</v>
      </c>
      <c r="D194" s="179">
        <f ca="1">IF(ISNUMBER(MATCH(DATEVALUE($A194),'recurring1_based on steps'!D$1:D$400,0)),D$2,)</f>
        <v>0</v>
      </c>
      <c r="E194" s="179">
        <f ca="1">IF(ISNUMBER(MATCH(DATEVALUE($A194),'recurring1_based on steps'!E$1:E$400,0)),E$2,)</f>
        <v>0</v>
      </c>
      <c r="F194" s="179">
        <f ca="1">IF(ISNUMBER(MATCH(DATEVALUE($A194),'recurring1_based on steps'!F$1:F$400,0)),F$2,)</f>
        <v>0</v>
      </c>
      <c r="G194" s="179">
        <f ca="1">IF(ISNUMBER(MATCH(DATEVALUE($A194),'recurring1_based on steps'!G$1:G$400,0)),G$2,)</f>
        <v>0</v>
      </c>
      <c r="H194" s="179">
        <f ca="1">IF(ISNUMBER(MATCH(DATEVALUE($A194),'recurring1_based on steps'!H$1:H$400,0)),H$2,)</f>
        <v>0</v>
      </c>
      <c r="I194" s="179">
        <f ca="1">IF(ISNUMBER(MATCH(DATEVALUE($A194),'recurring1_based on steps'!I$1:I$400,0)),I$2,)</f>
        <v>0</v>
      </c>
      <c r="J194" s="179">
        <f ca="1">IF(ISNUMBER(MATCH(DATEVALUE($A194),'recurring1_based on steps'!J$1:J$400,0)),J$2,)</f>
        <v>0</v>
      </c>
      <c r="K194" s="179">
        <f ca="1">IF(ISNUMBER(MATCH(DATEVALUE($A194),'recurring1_based on steps'!K$1:K$400,0)),K$2,)</f>
        <v>0</v>
      </c>
      <c r="L194" s="179">
        <f ca="1">IF(ISNUMBER(MATCH(DATEVALUE($A194),'recurring1_based on steps'!L$1:L$400,0)),L$2,)</f>
        <v>0</v>
      </c>
      <c r="M194" s="179">
        <f ca="1">IF(ISNUMBER(MATCH(DATEVALUE($A194),'recurring1_based on steps'!M$1:M$400,0)),M$2,)</f>
        <v>0</v>
      </c>
      <c r="N194" s="179">
        <f ca="1">IF(ISNUMBER(MATCH(DATEVALUE($A194),'recurring1_based on steps'!N$1:N$400,0)),N$2,)</f>
        <v>0</v>
      </c>
      <c r="O194" s="179">
        <f ca="1">IF(ISNUMBER(MATCH(DATEVALUE($A194),'recurring1_based on steps'!O$1:O$400,0)),O$2,)</f>
        <v>0</v>
      </c>
      <c r="P194" s="179">
        <f ca="1">IF(ISNUMBER(MATCH(DATEVALUE($A194),'recurring1_based on steps'!P$1:P$400,0)),P$2,)</f>
        <v>0</v>
      </c>
      <c r="Q194" s="179">
        <f ca="1">IF(ISNUMBER(MATCH(DATEVALUE($A194),'recurring1_based on steps'!Q$1:Q$400,0)),Q$2,)</f>
        <v>0</v>
      </c>
      <c r="R194" s="179">
        <f ca="1">IF(ISNUMBER(MATCH(DATEVALUE($A194),'recurring1_based on steps'!R$1:R$400,0)),R$2,)</f>
        <v>0</v>
      </c>
      <c r="S194" s="179">
        <f ca="1">IF(ISNUMBER(MATCH(DATEVALUE($A194),'recurring1_based on steps'!S$1:S$400,0)),S$2,)</f>
        <v>0</v>
      </c>
      <c r="T194" s="179">
        <f ca="1">IF(ISNUMBER(MATCH(DATEVALUE($A194),'recurring1_based on steps'!T$1:T$400,0)),T$2,)</f>
        <v>0</v>
      </c>
      <c r="U194" s="179">
        <f ca="1">IF(ISNUMBER(MATCH(DATEVALUE($A194),'recurring1_based on steps'!U$1:U$400,0)),U$2,)</f>
        <v>0</v>
      </c>
      <c r="V194" s="179">
        <f ca="1">IF(ISNUMBER(MATCH(DATEVALUE($A194),'recurring1_based on steps'!V$1:V$400,0)),V$2,)</f>
        <v>0</v>
      </c>
      <c r="W194" s="179">
        <f ca="1">IF(ISNUMBER(MATCH(DATEVALUE($A194),'recurring1_based on steps'!W$1:W$400,0)),W$2,)</f>
        <v>0</v>
      </c>
      <c r="X194" s="179">
        <f ca="1">IF(ISNUMBER(MATCH(DATEVALUE($A194),'recurring1_based on steps'!X$1:X$400,0)),X$2,)</f>
        <v>0</v>
      </c>
      <c r="Y194" s="179">
        <f ca="1">IF(ISNUMBER(MATCH(DATEVALUE($A194),'recurring1_based on steps'!Y$1:Y$400,0)),Y$2,)</f>
        <v>0</v>
      </c>
      <c r="Z194" s="179">
        <f ca="1">IF(ISNUMBER(MATCH(DATEVALUE($A194),'recurring1_based on steps'!Z$1:Z$400,0)),Z$2,)</f>
        <v>0</v>
      </c>
      <c r="AA194" s="179">
        <f ca="1">IF(ISNUMBER(MATCH(DATEVALUE($A194),'recurring1_based on steps'!AA$1:AA$400,0)),AA$2,)</f>
        <v>0</v>
      </c>
      <c r="AB194" s="179">
        <f ca="1">IF(ISNUMBER(MATCH(DATEVALUE($A194),'recurring1_based on steps'!AB$1:AB$400,0)),AB$2,)</f>
        <v>0</v>
      </c>
      <c r="AC194" s="179">
        <f ca="1">IF(ISNUMBER(MATCH(DATEVALUE($A194),'recurring1_based on steps'!AC$1:AC$400,0)),AC$2,)</f>
        <v>0</v>
      </c>
      <c r="AD194" s="179">
        <f ca="1">IF(ISNUMBER(MATCH(DATEVALUE($A194),'recurring1_based on steps'!AD$1:AD$400,0)),AD$2,)</f>
        <v>0</v>
      </c>
      <c r="AE194" s="179">
        <f ca="1">IF(ISNUMBER(MATCH(DATEVALUE($A194),'recurring1_based on steps'!AE$1:AE$400,0)),AE$2,)</f>
        <v>0</v>
      </c>
      <c r="AF194" s="179">
        <f ca="1">IF(ISNUMBER(MATCH(DATEVALUE($A194),'recurring1_based on steps'!AF$1:AF$400,0)),AF$2,)</f>
        <v>0</v>
      </c>
      <c r="AG194" s="179">
        <f ca="1">IF(ISNUMBER(MATCH(DATEVALUE($A194),'recurring1_based on steps'!AG$1:AG$400,0)),AG$2,)</f>
        <v>0</v>
      </c>
      <c r="AH194" s="179">
        <f ca="1">IF(ISNUMBER(MATCH(DATEVALUE($A194),'recurring1_based on steps'!AH$1:AH$400,0)),AH$2,)</f>
        <v>0</v>
      </c>
      <c r="AI194" s="179">
        <f ca="1">IF(ISNUMBER(MATCH(DATEVALUE($A194),'recurring1_based on steps'!AI$1:AI$400,0)),AI$2,)</f>
        <v>0</v>
      </c>
      <c r="AJ194" s="179">
        <f ca="1">IF(ISNUMBER(MATCH(DATEVALUE($A194),'recurring1_based on steps'!AJ$1:AJ$400,0)),AJ$2,)</f>
        <v>0</v>
      </c>
      <c r="AK194" s="179">
        <f ca="1">IF(ISNUMBER(MATCH(DATEVALUE($A194),'recurring1_based on steps'!AK$1:AK$400,0)),AK$2,)</f>
        <v>0</v>
      </c>
      <c r="AL194" s="179">
        <f ca="1">IF(ISNUMBER(MATCH(DATEVALUE($A194),'recurring1_based on steps'!AL$1:AL$400,0)),AL$2,)</f>
        <v>0</v>
      </c>
      <c r="AM194" s="179">
        <f ca="1">IF(ISNUMBER(MATCH(DATEVALUE($A194),'recurring1_based on steps'!AM$1:AM$400,0)),AM$2,)</f>
        <v>0</v>
      </c>
      <c r="AN194" s="179">
        <f ca="1">IF(ISNUMBER(MATCH(DATEVALUE($A194),'recurring1_based on steps'!AN$1:AN$400,0)),AN$2,)</f>
        <v>0</v>
      </c>
      <c r="AO194" s="179">
        <f ca="1">IF(ISNUMBER(MATCH(DATEVALUE($A194),'recurring1_based on steps'!AO$1:AO$400,0)),AO$2,)</f>
        <v>0</v>
      </c>
      <c r="AP194" s="179">
        <f ca="1">IF(ISNUMBER(MATCH(DATEVALUE($A194),'recurring1_based on steps'!AP$1:AP$400,0)),AP$2,)</f>
        <v>0</v>
      </c>
      <c r="AQ194" s="179">
        <f ca="1">IF(ISNUMBER(MATCH(DATEVALUE($A194),'recurring1_based on steps'!AQ$1:AQ$400,0)),AQ$2,)</f>
        <v>0</v>
      </c>
      <c r="AR194" s="179">
        <f ca="1">IF(ISNUMBER(MATCH(DATEVALUE($A194),'recurring1_based on steps'!AR$1:AR$400,0)),AR$2,)</f>
        <v>0</v>
      </c>
      <c r="AS194" s="179">
        <f ca="1">IF(ISNUMBER(MATCH(DATEVALUE($A194),'recurring1_based on steps'!AS$1:AS$400,0)),AS$2,)</f>
        <v>0</v>
      </c>
      <c r="AT194" s="179">
        <f ca="1">IF(ISNUMBER(MATCH(DATEVALUE($A194),'recurring1_based on steps'!AT$1:AT$400,0)),AT$2,)</f>
        <v>0</v>
      </c>
      <c r="AU194" s="179">
        <f ca="1">IF(ISNUMBER(MATCH(DATEVALUE($A194),'recurring1_based on steps'!AU$1:AU$400,0)),AU$2,)</f>
        <v>0</v>
      </c>
      <c r="AV194" s="179">
        <f ca="1">IF(ISNUMBER(MATCH(DATEVALUE($A194),'recurring1_based on steps'!AV$1:AV$400,0)),AV$2,)</f>
        <v>0</v>
      </c>
      <c r="AW194" s="179">
        <f ca="1">IF(ISNUMBER(MATCH(DATEVALUE($A194),'recurring1_based on steps'!AW$1:AW$400,0)),AW$2,)</f>
        <v>0</v>
      </c>
      <c r="AX194" s="179">
        <f ca="1">IF(ISNUMBER(MATCH(DATEVALUE($A194),'recurring1_based on steps'!AX$1:AX$400,0)),AX$2,)</f>
        <v>0</v>
      </c>
      <c r="AY194" s="179">
        <f ca="1">IF(ISNUMBER(MATCH(DATEVALUE($A194),'recurring1_based on steps'!AY$1:AY$400,0)),AY$2,)</f>
        <v>0</v>
      </c>
    </row>
    <row r="195" spans="1:51" x14ac:dyDescent="0.2">
      <c r="A195" s="32" t="str">
        <f t="shared" ca="1" si="2"/>
        <v>2025-10-14</v>
      </c>
      <c r="B195" s="179">
        <f ca="1">IF(ISNUMBER(MATCH(DATEVALUE($A195),'recurring1_based on steps'!B$1:B$400,0)),B$2,)</f>
        <v>0</v>
      </c>
      <c r="C195" s="179">
        <f ca="1">IF(ISNUMBER(MATCH(DATEVALUE($A195),'recurring1_based on steps'!C$1:C$400,0)),C$2,)</f>
        <v>0</v>
      </c>
      <c r="D195" s="179">
        <f ca="1">IF(ISNUMBER(MATCH(DATEVALUE($A195),'recurring1_based on steps'!D$1:D$400,0)),D$2,)</f>
        <v>0</v>
      </c>
      <c r="E195" s="179">
        <f ca="1">IF(ISNUMBER(MATCH(DATEVALUE($A195),'recurring1_based on steps'!E$1:E$400,0)),E$2,)</f>
        <v>0</v>
      </c>
      <c r="F195" s="179">
        <f ca="1">IF(ISNUMBER(MATCH(DATEVALUE($A195),'recurring1_based on steps'!F$1:F$400,0)),F$2,)</f>
        <v>0</v>
      </c>
      <c r="G195" s="179">
        <f ca="1">IF(ISNUMBER(MATCH(DATEVALUE($A195),'recurring1_based on steps'!G$1:G$400,0)),G$2,)</f>
        <v>0</v>
      </c>
      <c r="H195" s="179">
        <f ca="1">IF(ISNUMBER(MATCH(DATEVALUE($A195),'recurring1_based on steps'!H$1:H$400,0)),H$2,)</f>
        <v>0</v>
      </c>
      <c r="I195" s="179">
        <f ca="1">IF(ISNUMBER(MATCH(DATEVALUE($A195),'recurring1_based on steps'!I$1:I$400,0)),I$2,)</f>
        <v>0</v>
      </c>
      <c r="J195" s="179">
        <f ca="1">IF(ISNUMBER(MATCH(DATEVALUE($A195),'recurring1_based on steps'!J$1:J$400,0)),J$2,)</f>
        <v>0</v>
      </c>
      <c r="K195" s="179">
        <f ca="1">IF(ISNUMBER(MATCH(DATEVALUE($A195),'recurring1_based on steps'!K$1:K$400,0)),K$2,)</f>
        <v>0</v>
      </c>
      <c r="L195" s="179">
        <f ca="1">IF(ISNUMBER(MATCH(DATEVALUE($A195),'recurring1_based on steps'!L$1:L$400,0)),L$2,)</f>
        <v>0</v>
      </c>
      <c r="M195" s="179">
        <f ca="1">IF(ISNUMBER(MATCH(DATEVALUE($A195),'recurring1_based on steps'!M$1:M$400,0)),M$2,)</f>
        <v>0</v>
      </c>
      <c r="N195" s="179">
        <f ca="1">IF(ISNUMBER(MATCH(DATEVALUE($A195),'recurring1_based on steps'!N$1:N$400,0)),N$2,)</f>
        <v>0</v>
      </c>
      <c r="O195" s="179">
        <f ca="1">IF(ISNUMBER(MATCH(DATEVALUE($A195),'recurring1_based on steps'!O$1:O$400,0)),O$2,)</f>
        <v>0</v>
      </c>
      <c r="P195" s="179">
        <f ca="1">IF(ISNUMBER(MATCH(DATEVALUE($A195),'recurring1_based on steps'!P$1:P$400,0)),P$2,)</f>
        <v>0</v>
      </c>
      <c r="Q195" s="179">
        <f ca="1">IF(ISNUMBER(MATCH(DATEVALUE($A195),'recurring1_based on steps'!Q$1:Q$400,0)),Q$2,)</f>
        <v>0</v>
      </c>
      <c r="R195" s="179">
        <f ca="1">IF(ISNUMBER(MATCH(DATEVALUE($A195),'recurring1_based on steps'!R$1:R$400,0)),R$2,)</f>
        <v>0</v>
      </c>
      <c r="S195" s="179">
        <f ca="1">IF(ISNUMBER(MATCH(DATEVALUE($A195),'recurring1_based on steps'!S$1:S$400,0)),S$2,)</f>
        <v>0</v>
      </c>
      <c r="T195" s="179">
        <f ca="1">IF(ISNUMBER(MATCH(DATEVALUE($A195),'recurring1_based on steps'!T$1:T$400,0)),T$2,)</f>
        <v>0</v>
      </c>
      <c r="U195" s="179">
        <f ca="1">IF(ISNUMBER(MATCH(DATEVALUE($A195),'recurring1_based on steps'!U$1:U$400,0)),U$2,)</f>
        <v>0</v>
      </c>
      <c r="V195" s="179">
        <f ca="1">IF(ISNUMBER(MATCH(DATEVALUE($A195),'recurring1_based on steps'!V$1:V$400,0)),V$2,)</f>
        <v>0</v>
      </c>
      <c r="W195" s="179">
        <f ca="1">IF(ISNUMBER(MATCH(DATEVALUE($A195),'recurring1_based on steps'!W$1:W$400,0)),W$2,)</f>
        <v>0</v>
      </c>
      <c r="X195" s="179">
        <f ca="1">IF(ISNUMBER(MATCH(DATEVALUE($A195),'recurring1_based on steps'!X$1:X$400,0)),X$2,)</f>
        <v>0</v>
      </c>
      <c r="Y195" s="179">
        <f ca="1">IF(ISNUMBER(MATCH(DATEVALUE($A195),'recurring1_based on steps'!Y$1:Y$400,0)),Y$2,)</f>
        <v>0</v>
      </c>
      <c r="Z195" s="179">
        <f ca="1">IF(ISNUMBER(MATCH(DATEVALUE($A195),'recurring1_based on steps'!Z$1:Z$400,0)),Z$2,)</f>
        <v>0</v>
      </c>
      <c r="AA195" s="179">
        <f ca="1">IF(ISNUMBER(MATCH(DATEVALUE($A195),'recurring1_based on steps'!AA$1:AA$400,0)),AA$2,)</f>
        <v>0</v>
      </c>
      <c r="AB195" s="179">
        <f ca="1">IF(ISNUMBER(MATCH(DATEVALUE($A195),'recurring1_based on steps'!AB$1:AB$400,0)),AB$2,)</f>
        <v>0</v>
      </c>
      <c r="AC195" s="179">
        <f ca="1">IF(ISNUMBER(MATCH(DATEVALUE($A195),'recurring1_based on steps'!AC$1:AC$400,0)),AC$2,)</f>
        <v>0</v>
      </c>
      <c r="AD195" s="179">
        <f ca="1">IF(ISNUMBER(MATCH(DATEVALUE($A195),'recurring1_based on steps'!AD$1:AD$400,0)),AD$2,)</f>
        <v>0</v>
      </c>
      <c r="AE195" s="179">
        <f ca="1">IF(ISNUMBER(MATCH(DATEVALUE($A195),'recurring1_based on steps'!AE$1:AE$400,0)),AE$2,)</f>
        <v>0</v>
      </c>
      <c r="AF195" s="179">
        <f ca="1">IF(ISNUMBER(MATCH(DATEVALUE($A195),'recurring1_based on steps'!AF$1:AF$400,0)),AF$2,)</f>
        <v>0</v>
      </c>
      <c r="AG195" s="179">
        <f ca="1">IF(ISNUMBER(MATCH(DATEVALUE($A195),'recurring1_based on steps'!AG$1:AG$400,0)),AG$2,)</f>
        <v>0</v>
      </c>
      <c r="AH195" s="179">
        <f ca="1">IF(ISNUMBER(MATCH(DATEVALUE($A195),'recurring1_based on steps'!AH$1:AH$400,0)),AH$2,)</f>
        <v>0</v>
      </c>
      <c r="AI195" s="179">
        <f ca="1">IF(ISNUMBER(MATCH(DATEVALUE($A195),'recurring1_based on steps'!AI$1:AI$400,0)),AI$2,)</f>
        <v>0</v>
      </c>
      <c r="AJ195" s="179">
        <f ca="1">IF(ISNUMBER(MATCH(DATEVALUE($A195),'recurring1_based on steps'!AJ$1:AJ$400,0)),AJ$2,)</f>
        <v>0</v>
      </c>
      <c r="AK195" s="179">
        <f ca="1">IF(ISNUMBER(MATCH(DATEVALUE($A195),'recurring1_based on steps'!AK$1:AK$400,0)),AK$2,)</f>
        <v>0</v>
      </c>
      <c r="AL195" s="179">
        <f ca="1">IF(ISNUMBER(MATCH(DATEVALUE($A195),'recurring1_based on steps'!AL$1:AL$400,0)),AL$2,)</f>
        <v>0</v>
      </c>
      <c r="AM195" s="179">
        <f ca="1">IF(ISNUMBER(MATCH(DATEVALUE($A195),'recurring1_based on steps'!AM$1:AM$400,0)),AM$2,)</f>
        <v>0</v>
      </c>
      <c r="AN195" s="179">
        <f ca="1">IF(ISNUMBER(MATCH(DATEVALUE($A195),'recurring1_based on steps'!AN$1:AN$400,0)),AN$2,)</f>
        <v>0</v>
      </c>
      <c r="AO195" s="179">
        <f ca="1">IF(ISNUMBER(MATCH(DATEVALUE($A195),'recurring1_based on steps'!AO$1:AO$400,0)),AO$2,)</f>
        <v>0</v>
      </c>
      <c r="AP195" s="179">
        <f ca="1">IF(ISNUMBER(MATCH(DATEVALUE($A195),'recurring1_based on steps'!AP$1:AP$400,0)),AP$2,)</f>
        <v>0</v>
      </c>
      <c r="AQ195" s="179">
        <f ca="1">IF(ISNUMBER(MATCH(DATEVALUE($A195),'recurring1_based on steps'!AQ$1:AQ$400,0)),AQ$2,)</f>
        <v>0</v>
      </c>
      <c r="AR195" s="179">
        <f ca="1">IF(ISNUMBER(MATCH(DATEVALUE($A195),'recurring1_based on steps'!AR$1:AR$400,0)),AR$2,)</f>
        <v>0</v>
      </c>
      <c r="AS195" s="179">
        <f ca="1">IF(ISNUMBER(MATCH(DATEVALUE($A195),'recurring1_based on steps'!AS$1:AS$400,0)),AS$2,)</f>
        <v>0</v>
      </c>
      <c r="AT195" s="179">
        <f ca="1">IF(ISNUMBER(MATCH(DATEVALUE($A195),'recurring1_based on steps'!AT$1:AT$400,0)),AT$2,)</f>
        <v>0</v>
      </c>
      <c r="AU195" s="179">
        <f ca="1">IF(ISNUMBER(MATCH(DATEVALUE($A195),'recurring1_based on steps'!AU$1:AU$400,0)),AU$2,)</f>
        <v>0</v>
      </c>
      <c r="AV195" s="179">
        <f ca="1">IF(ISNUMBER(MATCH(DATEVALUE($A195),'recurring1_based on steps'!AV$1:AV$400,0)),AV$2,)</f>
        <v>0</v>
      </c>
      <c r="AW195" s="179">
        <f ca="1">IF(ISNUMBER(MATCH(DATEVALUE($A195),'recurring1_based on steps'!AW$1:AW$400,0)),AW$2,)</f>
        <v>0</v>
      </c>
      <c r="AX195" s="179">
        <f ca="1">IF(ISNUMBER(MATCH(DATEVALUE($A195),'recurring1_based on steps'!AX$1:AX$400,0)),AX$2,)</f>
        <v>0</v>
      </c>
      <c r="AY195" s="179">
        <f ca="1">IF(ISNUMBER(MATCH(DATEVALUE($A195),'recurring1_based on steps'!AY$1:AY$400,0)),AY$2,)</f>
        <v>0</v>
      </c>
    </row>
    <row r="196" spans="1:51" x14ac:dyDescent="0.2">
      <c r="A196" s="32" t="str">
        <f t="shared" ca="1" si="2"/>
        <v>2025-10-15</v>
      </c>
      <c r="B196" s="179">
        <f ca="1">IF(ISNUMBER(MATCH(DATEVALUE($A196),'recurring1_based on steps'!B$1:B$400,0)),B$2,)</f>
        <v>0</v>
      </c>
      <c r="C196" s="179">
        <f ca="1">IF(ISNUMBER(MATCH(DATEVALUE($A196),'recurring1_based on steps'!C$1:C$400,0)),C$2,)</f>
        <v>0</v>
      </c>
      <c r="D196" s="179">
        <f ca="1">IF(ISNUMBER(MATCH(DATEVALUE($A196),'recurring1_based on steps'!D$1:D$400,0)),D$2,)</f>
        <v>0</v>
      </c>
      <c r="E196" s="179">
        <f ca="1">IF(ISNUMBER(MATCH(DATEVALUE($A196),'recurring1_based on steps'!E$1:E$400,0)),E$2,)</f>
        <v>0</v>
      </c>
      <c r="F196" s="179">
        <f ca="1">IF(ISNUMBER(MATCH(DATEVALUE($A196),'recurring1_based on steps'!F$1:F$400,0)),F$2,)</f>
        <v>0</v>
      </c>
      <c r="G196" s="179">
        <f ca="1">IF(ISNUMBER(MATCH(DATEVALUE($A196),'recurring1_based on steps'!G$1:G$400,0)),G$2,)</f>
        <v>0</v>
      </c>
      <c r="H196" s="179">
        <f ca="1">IF(ISNUMBER(MATCH(DATEVALUE($A196),'recurring1_based on steps'!H$1:H$400,0)),H$2,)</f>
        <v>0</v>
      </c>
      <c r="I196" s="179">
        <f ca="1">IF(ISNUMBER(MATCH(DATEVALUE($A196),'recurring1_based on steps'!I$1:I$400,0)),I$2,)</f>
        <v>0</v>
      </c>
      <c r="J196" s="179">
        <f ca="1">IF(ISNUMBER(MATCH(DATEVALUE($A196),'recurring1_based on steps'!J$1:J$400,0)),J$2,)</f>
        <v>0</v>
      </c>
      <c r="K196" s="179">
        <f ca="1">IF(ISNUMBER(MATCH(DATEVALUE($A196),'recurring1_based on steps'!K$1:K$400,0)),K$2,)</f>
        <v>0</v>
      </c>
      <c r="L196" s="179">
        <f ca="1">IF(ISNUMBER(MATCH(DATEVALUE($A196),'recurring1_based on steps'!L$1:L$400,0)),L$2,)</f>
        <v>0</v>
      </c>
      <c r="M196" s="179">
        <f ca="1">IF(ISNUMBER(MATCH(DATEVALUE($A196),'recurring1_based on steps'!M$1:M$400,0)),M$2,)</f>
        <v>0</v>
      </c>
      <c r="N196" s="179">
        <f ca="1">IF(ISNUMBER(MATCH(DATEVALUE($A196),'recurring1_based on steps'!N$1:N$400,0)),N$2,)</f>
        <v>0</v>
      </c>
      <c r="O196" s="179">
        <f ca="1">IF(ISNUMBER(MATCH(DATEVALUE($A196),'recurring1_based on steps'!O$1:O$400,0)),O$2,)</f>
        <v>0</v>
      </c>
      <c r="P196" s="179">
        <f ca="1">IF(ISNUMBER(MATCH(DATEVALUE($A196),'recurring1_based on steps'!P$1:P$400,0)),P$2,)</f>
        <v>0</v>
      </c>
      <c r="Q196" s="179">
        <f ca="1">IF(ISNUMBER(MATCH(DATEVALUE($A196),'recurring1_based on steps'!Q$1:Q$400,0)),Q$2,)</f>
        <v>0</v>
      </c>
      <c r="R196" s="179">
        <f ca="1">IF(ISNUMBER(MATCH(DATEVALUE($A196),'recurring1_based on steps'!R$1:R$400,0)),R$2,)</f>
        <v>0</v>
      </c>
      <c r="S196" s="179">
        <f ca="1">IF(ISNUMBER(MATCH(DATEVALUE($A196),'recurring1_based on steps'!S$1:S$400,0)),S$2,)</f>
        <v>0</v>
      </c>
      <c r="T196" s="179">
        <f ca="1">IF(ISNUMBER(MATCH(DATEVALUE($A196),'recurring1_based on steps'!T$1:T$400,0)),T$2,)</f>
        <v>0</v>
      </c>
      <c r="U196" s="179">
        <f ca="1">IF(ISNUMBER(MATCH(DATEVALUE($A196),'recurring1_based on steps'!U$1:U$400,0)),U$2,)</f>
        <v>0</v>
      </c>
      <c r="V196" s="179">
        <f ca="1">IF(ISNUMBER(MATCH(DATEVALUE($A196),'recurring1_based on steps'!V$1:V$400,0)),V$2,)</f>
        <v>0</v>
      </c>
      <c r="W196" s="179">
        <f ca="1">IF(ISNUMBER(MATCH(DATEVALUE($A196),'recurring1_based on steps'!W$1:W$400,0)),W$2,)</f>
        <v>0</v>
      </c>
      <c r="X196" s="179">
        <f ca="1">IF(ISNUMBER(MATCH(DATEVALUE($A196),'recurring1_based on steps'!X$1:X$400,0)),X$2,)</f>
        <v>0</v>
      </c>
      <c r="Y196" s="179">
        <f ca="1">IF(ISNUMBER(MATCH(DATEVALUE($A196),'recurring1_based on steps'!Y$1:Y$400,0)),Y$2,)</f>
        <v>0</v>
      </c>
      <c r="Z196" s="179">
        <f ca="1">IF(ISNUMBER(MATCH(DATEVALUE($A196),'recurring1_based on steps'!Z$1:Z$400,0)),Z$2,)</f>
        <v>0</v>
      </c>
      <c r="AA196" s="179">
        <f ca="1">IF(ISNUMBER(MATCH(DATEVALUE($A196),'recurring1_based on steps'!AA$1:AA$400,0)),AA$2,)</f>
        <v>0</v>
      </c>
      <c r="AB196" s="179">
        <f ca="1">IF(ISNUMBER(MATCH(DATEVALUE($A196),'recurring1_based on steps'!AB$1:AB$400,0)),AB$2,)</f>
        <v>0</v>
      </c>
      <c r="AC196" s="179">
        <f ca="1">IF(ISNUMBER(MATCH(DATEVALUE($A196),'recurring1_based on steps'!AC$1:AC$400,0)),AC$2,)</f>
        <v>0</v>
      </c>
      <c r="AD196" s="179">
        <f ca="1">IF(ISNUMBER(MATCH(DATEVALUE($A196),'recurring1_based on steps'!AD$1:AD$400,0)),AD$2,)</f>
        <v>0</v>
      </c>
      <c r="AE196" s="179">
        <f ca="1">IF(ISNUMBER(MATCH(DATEVALUE($A196),'recurring1_based on steps'!AE$1:AE$400,0)),AE$2,)</f>
        <v>0</v>
      </c>
      <c r="AF196" s="179">
        <f ca="1">IF(ISNUMBER(MATCH(DATEVALUE($A196),'recurring1_based on steps'!AF$1:AF$400,0)),AF$2,)</f>
        <v>0</v>
      </c>
      <c r="AG196" s="179">
        <f ca="1">IF(ISNUMBER(MATCH(DATEVALUE($A196),'recurring1_based on steps'!AG$1:AG$400,0)),AG$2,)</f>
        <v>0</v>
      </c>
      <c r="AH196" s="179">
        <f ca="1">IF(ISNUMBER(MATCH(DATEVALUE($A196),'recurring1_based on steps'!AH$1:AH$400,0)),AH$2,)</f>
        <v>0</v>
      </c>
      <c r="AI196" s="179">
        <f ca="1">IF(ISNUMBER(MATCH(DATEVALUE($A196),'recurring1_based on steps'!AI$1:AI$400,0)),AI$2,)</f>
        <v>0</v>
      </c>
      <c r="AJ196" s="179">
        <f ca="1">IF(ISNUMBER(MATCH(DATEVALUE($A196),'recurring1_based on steps'!AJ$1:AJ$400,0)),AJ$2,)</f>
        <v>0</v>
      </c>
      <c r="AK196" s="179">
        <f ca="1">IF(ISNUMBER(MATCH(DATEVALUE($A196),'recurring1_based on steps'!AK$1:AK$400,0)),AK$2,)</f>
        <v>0</v>
      </c>
      <c r="AL196" s="179">
        <f ca="1">IF(ISNUMBER(MATCH(DATEVALUE($A196),'recurring1_based on steps'!AL$1:AL$400,0)),AL$2,)</f>
        <v>0</v>
      </c>
      <c r="AM196" s="179">
        <f ca="1">IF(ISNUMBER(MATCH(DATEVALUE($A196),'recurring1_based on steps'!AM$1:AM$400,0)),AM$2,)</f>
        <v>0</v>
      </c>
      <c r="AN196" s="179">
        <f ca="1">IF(ISNUMBER(MATCH(DATEVALUE($A196),'recurring1_based on steps'!AN$1:AN$400,0)),AN$2,)</f>
        <v>0</v>
      </c>
      <c r="AO196" s="179">
        <f ca="1">IF(ISNUMBER(MATCH(DATEVALUE($A196),'recurring1_based on steps'!AO$1:AO$400,0)),AO$2,)</f>
        <v>0</v>
      </c>
      <c r="AP196" s="179">
        <f ca="1">IF(ISNUMBER(MATCH(DATEVALUE($A196),'recurring1_based on steps'!AP$1:AP$400,0)),AP$2,)</f>
        <v>0</v>
      </c>
      <c r="AQ196" s="179">
        <f ca="1">IF(ISNUMBER(MATCH(DATEVALUE($A196),'recurring1_based on steps'!AQ$1:AQ$400,0)),AQ$2,)</f>
        <v>0</v>
      </c>
      <c r="AR196" s="179">
        <f ca="1">IF(ISNUMBER(MATCH(DATEVALUE($A196),'recurring1_based on steps'!AR$1:AR$400,0)),AR$2,)</f>
        <v>0</v>
      </c>
      <c r="AS196" s="179">
        <f ca="1">IF(ISNUMBER(MATCH(DATEVALUE($A196),'recurring1_based on steps'!AS$1:AS$400,0)),AS$2,)</f>
        <v>0</v>
      </c>
      <c r="AT196" s="179">
        <f ca="1">IF(ISNUMBER(MATCH(DATEVALUE($A196),'recurring1_based on steps'!AT$1:AT$400,0)),AT$2,)</f>
        <v>0</v>
      </c>
      <c r="AU196" s="179">
        <f ca="1">IF(ISNUMBER(MATCH(DATEVALUE($A196),'recurring1_based on steps'!AU$1:AU$400,0)),AU$2,)</f>
        <v>0</v>
      </c>
      <c r="AV196" s="179">
        <f ca="1">IF(ISNUMBER(MATCH(DATEVALUE($A196),'recurring1_based on steps'!AV$1:AV$400,0)),AV$2,)</f>
        <v>0</v>
      </c>
      <c r="AW196" s="179">
        <f ca="1">IF(ISNUMBER(MATCH(DATEVALUE($A196),'recurring1_based on steps'!AW$1:AW$400,0)),AW$2,)</f>
        <v>0</v>
      </c>
      <c r="AX196" s="179">
        <f ca="1">IF(ISNUMBER(MATCH(DATEVALUE($A196),'recurring1_based on steps'!AX$1:AX$400,0)),AX$2,)</f>
        <v>0</v>
      </c>
      <c r="AY196" s="179">
        <f ca="1">IF(ISNUMBER(MATCH(DATEVALUE($A196),'recurring1_based on steps'!AY$1:AY$400,0)),AY$2,)</f>
        <v>0</v>
      </c>
    </row>
    <row r="197" spans="1:51" x14ac:dyDescent="0.2">
      <c r="A197" s="32" t="str">
        <f t="shared" ref="A197:A260" ca="1" si="3">TEXT(DATEVALUE(A196)+1,"yyyy-mm-dd")</f>
        <v>2025-10-16</v>
      </c>
      <c r="B197" s="179">
        <f ca="1">IF(ISNUMBER(MATCH(DATEVALUE($A197),'recurring1_based on steps'!B$1:B$400,0)),B$2,)</f>
        <v>0</v>
      </c>
      <c r="C197" s="179">
        <f ca="1">IF(ISNUMBER(MATCH(DATEVALUE($A197),'recurring1_based on steps'!C$1:C$400,0)),C$2,)</f>
        <v>0</v>
      </c>
      <c r="D197" s="179">
        <f ca="1">IF(ISNUMBER(MATCH(DATEVALUE($A197),'recurring1_based on steps'!D$1:D$400,0)),D$2,)</f>
        <v>0</v>
      </c>
      <c r="E197" s="179">
        <f ca="1">IF(ISNUMBER(MATCH(DATEVALUE($A197),'recurring1_based on steps'!E$1:E$400,0)),E$2,)</f>
        <v>0</v>
      </c>
      <c r="F197" s="179">
        <f ca="1">IF(ISNUMBER(MATCH(DATEVALUE($A197),'recurring1_based on steps'!F$1:F$400,0)),F$2,)</f>
        <v>0</v>
      </c>
      <c r="G197" s="179">
        <f ca="1">IF(ISNUMBER(MATCH(DATEVALUE($A197),'recurring1_based on steps'!G$1:G$400,0)),G$2,)</f>
        <v>0</v>
      </c>
      <c r="H197" s="179">
        <f ca="1">IF(ISNUMBER(MATCH(DATEVALUE($A197),'recurring1_based on steps'!H$1:H$400,0)),H$2,)</f>
        <v>0</v>
      </c>
      <c r="I197" s="179">
        <f ca="1">IF(ISNUMBER(MATCH(DATEVALUE($A197),'recurring1_based on steps'!I$1:I$400,0)),I$2,)</f>
        <v>0</v>
      </c>
      <c r="J197" s="179">
        <f ca="1">IF(ISNUMBER(MATCH(DATEVALUE($A197),'recurring1_based on steps'!J$1:J$400,0)),J$2,)</f>
        <v>0</v>
      </c>
      <c r="K197" s="179">
        <f ca="1">IF(ISNUMBER(MATCH(DATEVALUE($A197),'recurring1_based on steps'!K$1:K$400,0)),K$2,)</f>
        <v>0</v>
      </c>
      <c r="L197" s="179">
        <f ca="1">IF(ISNUMBER(MATCH(DATEVALUE($A197),'recurring1_based on steps'!L$1:L$400,0)),L$2,)</f>
        <v>0</v>
      </c>
      <c r="M197" s="179">
        <f ca="1">IF(ISNUMBER(MATCH(DATEVALUE($A197),'recurring1_based on steps'!M$1:M$400,0)),M$2,)</f>
        <v>0</v>
      </c>
      <c r="N197" s="179">
        <f ca="1">IF(ISNUMBER(MATCH(DATEVALUE($A197),'recurring1_based on steps'!N$1:N$400,0)),N$2,)</f>
        <v>0</v>
      </c>
      <c r="O197" s="179">
        <f ca="1">IF(ISNUMBER(MATCH(DATEVALUE($A197),'recurring1_based on steps'!O$1:O$400,0)),O$2,)</f>
        <v>0</v>
      </c>
      <c r="P197" s="179">
        <f ca="1">IF(ISNUMBER(MATCH(DATEVALUE($A197),'recurring1_based on steps'!P$1:P$400,0)),P$2,)</f>
        <v>0</v>
      </c>
      <c r="Q197" s="179">
        <f ca="1">IF(ISNUMBER(MATCH(DATEVALUE($A197),'recurring1_based on steps'!Q$1:Q$400,0)),Q$2,)</f>
        <v>0</v>
      </c>
      <c r="R197" s="179">
        <f ca="1">IF(ISNUMBER(MATCH(DATEVALUE($A197),'recurring1_based on steps'!R$1:R$400,0)),R$2,)</f>
        <v>0</v>
      </c>
      <c r="S197" s="179">
        <f ca="1">IF(ISNUMBER(MATCH(DATEVALUE($A197),'recurring1_based on steps'!S$1:S$400,0)),S$2,)</f>
        <v>0</v>
      </c>
      <c r="T197" s="179">
        <f ca="1">IF(ISNUMBER(MATCH(DATEVALUE($A197),'recurring1_based on steps'!T$1:T$400,0)),T$2,)</f>
        <v>0</v>
      </c>
      <c r="U197" s="179">
        <f ca="1">IF(ISNUMBER(MATCH(DATEVALUE($A197),'recurring1_based on steps'!U$1:U$400,0)),U$2,)</f>
        <v>0</v>
      </c>
      <c r="V197" s="179">
        <f ca="1">IF(ISNUMBER(MATCH(DATEVALUE($A197),'recurring1_based on steps'!V$1:V$400,0)),V$2,)</f>
        <v>0</v>
      </c>
      <c r="W197" s="179">
        <f ca="1">IF(ISNUMBER(MATCH(DATEVALUE($A197),'recurring1_based on steps'!W$1:W$400,0)),W$2,)</f>
        <v>0</v>
      </c>
      <c r="X197" s="179">
        <f ca="1">IF(ISNUMBER(MATCH(DATEVALUE($A197),'recurring1_based on steps'!X$1:X$400,0)),X$2,)</f>
        <v>0</v>
      </c>
      <c r="Y197" s="179">
        <f ca="1">IF(ISNUMBER(MATCH(DATEVALUE($A197),'recurring1_based on steps'!Y$1:Y$400,0)),Y$2,)</f>
        <v>0</v>
      </c>
      <c r="Z197" s="179">
        <f ca="1">IF(ISNUMBER(MATCH(DATEVALUE($A197),'recurring1_based on steps'!Z$1:Z$400,0)),Z$2,)</f>
        <v>0</v>
      </c>
      <c r="AA197" s="179">
        <f ca="1">IF(ISNUMBER(MATCH(DATEVALUE($A197),'recurring1_based on steps'!AA$1:AA$400,0)),AA$2,)</f>
        <v>0</v>
      </c>
      <c r="AB197" s="179">
        <f ca="1">IF(ISNUMBER(MATCH(DATEVALUE($A197),'recurring1_based on steps'!AB$1:AB$400,0)),AB$2,)</f>
        <v>0</v>
      </c>
      <c r="AC197" s="179">
        <f ca="1">IF(ISNUMBER(MATCH(DATEVALUE($A197),'recurring1_based on steps'!AC$1:AC$400,0)),AC$2,)</f>
        <v>0</v>
      </c>
      <c r="AD197" s="179">
        <f ca="1">IF(ISNUMBER(MATCH(DATEVALUE($A197),'recurring1_based on steps'!AD$1:AD$400,0)),AD$2,)</f>
        <v>0</v>
      </c>
      <c r="AE197" s="179">
        <f ca="1">IF(ISNUMBER(MATCH(DATEVALUE($A197),'recurring1_based on steps'!AE$1:AE$400,0)),AE$2,)</f>
        <v>0</v>
      </c>
      <c r="AF197" s="179">
        <f ca="1">IF(ISNUMBER(MATCH(DATEVALUE($A197),'recurring1_based on steps'!AF$1:AF$400,0)),AF$2,)</f>
        <v>0</v>
      </c>
      <c r="AG197" s="179">
        <f ca="1">IF(ISNUMBER(MATCH(DATEVALUE($A197),'recurring1_based on steps'!AG$1:AG$400,0)),AG$2,)</f>
        <v>0</v>
      </c>
      <c r="AH197" s="179">
        <f ca="1">IF(ISNUMBER(MATCH(DATEVALUE($A197),'recurring1_based on steps'!AH$1:AH$400,0)),AH$2,)</f>
        <v>0</v>
      </c>
      <c r="AI197" s="179">
        <f ca="1">IF(ISNUMBER(MATCH(DATEVALUE($A197),'recurring1_based on steps'!AI$1:AI$400,0)),AI$2,)</f>
        <v>0</v>
      </c>
      <c r="AJ197" s="179">
        <f ca="1">IF(ISNUMBER(MATCH(DATEVALUE($A197),'recurring1_based on steps'!AJ$1:AJ$400,0)),AJ$2,)</f>
        <v>0</v>
      </c>
      <c r="AK197" s="179">
        <f ca="1">IF(ISNUMBER(MATCH(DATEVALUE($A197),'recurring1_based on steps'!AK$1:AK$400,0)),AK$2,)</f>
        <v>0</v>
      </c>
      <c r="AL197" s="179">
        <f ca="1">IF(ISNUMBER(MATCH(DATEVALUE($A197),'recurring1_based on steps'!AL$1:AL$400,0)),AL$2,)</f>
        <v>0</v>
      </c>
      <c r="AM197" s="179">
        <f ca="1">IF(ISNUMBER(MATCH(DATEVALUE($A197),'recurring1_based on steps'!AM$1:AM$400,0)),AM$2,)</f>
        <v>0</v>
      </c>
      <c r="AN197" s="179">
        <f ca="1">IF(ISNUMBER(MATCH(DATEVALUE($A197),'recurring1_based on steps'!AN$1:AN$400,0)),AN$2,)</f>
        <v>0</v>
      </c>
      <c r="AO197" s="179">
        <f ca="1">IF(ISNUMBER(MATCH(DATEVALUE($A197),'recurring1_based on steps'!AO$1:AO$400,0)),AO$2,)</f>
        <v>0</v>
      </c>
      <c r="AP197" s="179">
        <f ca="1">IF(ISNUMBER(MATCH(DATEVALUE($A197),'recurring1_based on steps'!AP$1:AP$400,0)),AP$2,)</f>
        <v>0</v>
      </c>
      <c r="AQ197" s="179">
        <f ca="1">IF(ISNUMBER(MATCH(DATEVALUE($A197),'recurring1_based on steps'!AQ$1:AQ$400,0)),AQ$2,)</f>
        <v>0</v>
      </c>
      <c r="AR197" s="179">
        <f ca="1">IF(ISNUMBER(MATCH(DATEVALUE($A197),'recurring1_based on steps'!AR$1:AR$400,0)),AR$2,)</f>
        <v>0</v>
      </c>
      <c r="AS197" s="179">
        <f ca="1">IF(ISNUMBER(MATCH(DATEVALUE($A197),'recurring1_based on steps'!AS$1:AS$400,0)),AS$2,)</f>
        <v>0</v>
      </c>
      <c r="AT197" s="179">
        <f ca="1">IF(ISNUMBER(MATCH(DATEVALUE($A197),'recurring1_based on steps'!AT$1:AT$400,0)),AT$2,)</f>
        <v>0</v>
      </c>
      <c r="AU197" s="179">
        <f ca="1">IF(ISNUMBER(MATCH(DATEVALUE($A197),'recurring1_based on steps'!AU$1:AU$400,0)),AU$2,)</f>
        <v>0</v>
      </c>
      <c r="AV197" s="179">
        <f ca="1">IF(ISNUMBER(MATCH(DATEVALUE($A197),'recurring1_based on steps'!AV$1:AV$400,0)),AV$2,)</f>
        <v>0</v>
      </c>
      <c r="AW197" s="179">
        <f ca="1">IF(ISNUMBER(MATCH(DATEVALUE($A197),'recurring1_based on steps'!AW$1:AW$400,0)),AW$2,)</f>
        <v>0</v>
      </c>
      <c r="AX197" s="179">
        <f ca="1">IF(ISNUMBER(MATCH(DATEVALUE($A197),'recurring1_based on steps'!AX$1:AX$400,0)),AX$2,)</f>
        <v>0</v>
      </c>
      <c r="AY197" s="179">
        <f ca="1">IF(ISNUMBER(MATCH(DATEVALUE($A197),'recurring1_based on steps'!AY$1:AY$400,0)),AY$2,)</f>
        <v>0</v>
      </c>
    </row>
    <row r="198" spans="1:51" x14ac:dyDescent="0.2">
      <c r="A198" s="32" t="str">
        <f t="shared" ca="1" si="3"/>
        <v>2025-10-17</v>
      </c>
      <c r="B198" s="179">
        <f ca="1">IF(ISNUMBER(MATCH(DATEVALUE($A198),'recurring1_based on steps'!B$1:B$400,0)),B$2,)</f>
        <v>0</v>
      </c>
      <c r="C198" s="179">
        <f ca="1">IF(ISNUMBER(MATCH(DATEVALUE($A198),'recurring1_based on steps'!C$1:C$400,0)),C$2,)</f>
        <v>0</v>
      </c>
      <c r="D198" s="179">
        <f ca="1">IF(ISNUMBER(MATCH(DATEVALUE($A198),'recurring1_based on steps'!D$1:D$400,0)),D$2,)</f>
        <v>0</v>
      </c>
      <c r="E198" s="179">
        <f ca="1">IF(ISNUMBER(MATCH(DATEVALUE($A198),'recurring1_based on steps'!E$1:E$400,0)),E$2,)</f>
        <v>0</v>
      </c>
      <c r="F198" s="179">
        <f ca="1">IF(ISNUMBER(MATCH(DATEVALUE($A198),'recurring1_based on steps'!F$1:F$400,0)),F$2,)</f>
        <v>0</v>
      </c>
      <c r="G198" s="179">
        <f ca="1">IF(ISNUMBER(MATCH(DATEVALUE($A198),'recurring1_based on steps'!G$1:G$400,0)),G$2,)</f>
        <v>0</v>
      </c>
      <c r="H198" s="179">
        <f ca="1">IF(ISNUMBER(MATCH(DATEVALUE($A198),'recurring1_based on steps'!H$1:H$400,0)),H$2,)</f>
        <v>0</v>
      </c>
      <c r="I198" s="179">
        <f ca="1">IF(ISNUMBER(MATCH(DATEVALUE($A198),'recurring1_based on steps'!I$1:I$400,0)),I$2,)</f>
        <v>0</v>
      </c>
      <c r="J198" s="179">
        <f ca="1">IF(ISNUMBER(MATCH(DATEVALUE($A198),'recurring1_based on steps'!J$1:J$400,0)),J$2,)</f>
        <v>0</v>
      </c>
      <c r="K198" s="179">
        <f ca="1">IF(ISNUMBER(MATCH(DATEVALUE($A198),'recurring1_based on steps'!K$1:K$400,0)),K$2,)</f>
        <v>0</v>
      </c>
      <c r="L198" s="179">
        <f ca="1">IF(ISNUMBER(MATCH(DATEVALUE($A198),'recurring1_based on steps'!L$1:L$400,0)),L$2,)</f>
        <v>0</v>
      </c>
      <c r="M198" s="179">
        <f ca="1">IF(ISNUMBER(MATCH(DATEVALUE($A198),'recurring1_based on steps'!M$1:M$400,0)),M$2,)</f>
        <v>0</v>
      </c>
      <c r="N198" s="179">
        <f ca="1">IF(ISNUMBER(MATCH(DATEVALUE($A198),'recurring1_based on steps'!N$1:N$400,0)),N$2,)</f>
        <v>0</v>
      </c>
      <c r="O198" s="179">
        <f ca="1">IF(ISNUMBER(MATCH(DATEVALUE($A198),'recurring1_based on steps'!O$1:O$400,0)),O$2,)</f>
        <v>0</v>
      </c>
      <c r="P198" s="179">
        <f ca="1">IF(ISNUMBER(MATCH(DATEVALUE($A198),'recurring1_based on steps'!P$1:P$400,0)),P$2,)</f>
        <v>0</v>
      </c>
      <c r="Q198" s="179">
        <f ca="1">IF(ISNUMBER(MATCH(DATEVALUE($A198),'recurring1_based on steps'!Q$1:Q$400,0)),Q$2,)</f>
        <v>0</v>
      </c>
      <c r="R198" s="179">
        <f ca="1">IF(ISNUMBER(MATCH(DATEVALUE($A198),'recurring1_based on steps'!R$1:R$400,0)),R$2,)</f>
        <v>0</v>
      </c>
      <c r="S198" s="179">
        <f ca="1">IF(ISNUMBER(MATCH(DATEVALUE($A198),'recurring1_based on steps'!S$1:S$400,0)),S$2,)</f>
        <v>0</v>
      </c>
      <c r="T198" s="179">
        <f ca="1">IF(ISNUMBER(MATCH(DATEVALUE($A198),'recurring1_based on steps'!T$1:T$400,0)),T$2,)</f>
        <v>0</v>
      </c>
      <c r="U198" s="179">
        <f ca="1">IF(ISNUMBER(MATCH(DATEVALUE($A198),'recurring1_based on steps'!U$1:U$400,0)),U$2,)</f>
        <v>0</v>
      </c>
      <c r="V198" s="179">
        <f ca="1">IF(ISNUMBER(MATCH(DATEVALUE($A198),'recurring1_based on steps'!V$1:V$400,0)),V$2,)</f>
        <v>0</v>
      </c>
      <c r="W198" s="179">
        <f ca="1">IF(ISNUMBER(MATCH(DATEVALUE($A198),'recurring1_based on steps'!W$1:W$400,0)),W$2,)</f>
        <v>0</v>
      </c>
      <c r="X198" s="179">
        <f ca="1">IF(ISNUMBER(MATCH(DATEVALUE($A198),'recurring1_based on steps'!X$1:X$400,0)),X$2,)</f>
        <v>0</v>
      </c>
      <c r="Y198" s="179">
        <f ca="1">IF(ISNUMBER(MATCH(DATEVALUE($A198),'recurring1_based on steps'!Y$1:Y$400,0)),Y$2,)</f>
        <v>0</v>
      </c>
      <c r="Z198" s="179">
        <f ca="1">IF(ISNUMBER(MATCH(DATEVALUE($A198),'recurring1_based on steps'!Z$1:Z$400,0)),Z$2,)</f>
        <v>0</v>
      </c>
      <c r="AA198" s="179">
        <f ca="1">IF(ISNUMBER(MATCH(DATEVALUE($A198),'recurring1_based on steps'!AA$1:AA$400,0)),AA$2,)</f>
        <v>0</v>
      </c>
      <c r="AB198" s="179">
        <f ca="1">IF(ISNUMBER(MATCH(DATEVALUE($A198),'recurring1_based on steps'!AB$1:AB$400,0)),AB$2,)</f>
        <v>0</v>
      </c>
      <c r="AC198" s="179">
        <f ca="1">IF(ISNUMBER(MATCH(DATEVALUE($A198),'recurring1_based on steps'!AC$1:AC$400,0)),AC$2,)</f>
        <v>0</v>
      </c>
      <c r="AD198" s="179">
        <f ca="1">IF(ISNUMBER(MATCH(DATEVALUE($A198),'recurring1_based on steps'!AD$1:AD$400,0)),AD$2,)</f>
        <v>0</v>
      </c>
      <c r="AE198" s="179">
        <f ca="1">IF(ISNUMBER(MATCH(DATEVALUE($A198),'recurring1_based on steps'!AE$1:AE$400,0)),AE$2,)</f>
        <v>0</v>
      </c>
      <c r="AF198" s="179">
        <f ca="1">IF(ISNUMBER(MATCH(DATEVALUE($A198),'recurring1_based on steps'!AF$1:AF$400,0)),AF$2,)</f>
        <v>0</v>
      </c>
      <c r="AG198" s="179">
        <f ca="1">IF(ISNUMBER(MATCH(DATEVALUE($A198),'recurring1_based on steps'!AG$1:AG$400,0)),AG$2,)</f>
        <v>0</v>
      </c>
      <c r="AH198" s="179">
        <f ca="1">IF(ISNUMBER(MATCH(DATEVALUE($A198),'recurring1_based on steps'!AH$1:AH$400,0)),AH$2,)</f>
        <v>0</v>
      </c>
      <c r="AI198" s="179">
        <f ca="1">IF(ISNUMBER(MATCH(DATEVALUE($A198),'recurring1_based on steps'!AI$1:AI$400,0)),AI$2,)</f>
        <v>0</v>
      </c>
      <c r="AJ198" s="179">
        <f ca="1">IF(ISNUMBER(MATCH(DATEVALUE($A198),'recurring1_based on steps'!AJ$1:AJ$400,0)),AJ$2,)</f>
        <v>0</v>
      </c>
      <c r="AK198" s="179">
        <f ca="1">IF(ISNUMBER(MATCH(DATEVALUE($A198),'recurring1_based on steps'!AK$1:AK$400,0)),AK$2,)</f>
        <v>0</v>
      </c>
      <c r="AL198" s="179">
        <f ca="1">IF(ISNUMBER(MATCH(DATEVALUE($A198),'recurring1_based on steps'!AL$1:AL$400,0)),AL$2,)</f>
        <v>0</v>
      </c>
      <c r="AM198" s="179">
        <f ca="1">IF(ISNUMBER(MATCH(DATEVALUE($A198),'recurring1_based on steps'!AM$1:AM$400,0)),AM$2,)</f>
        <v>0</v>
      </c>
      <c r="AN198" s="179">
        <f ca="1">IF(ISNUMBER(MATCH(DATEVALUE($A198),'recurring1_based on steps'!AN$1:AN$400,0)),AN$2,)</f>
        <v>0</v>
      </c>
      <c r="AO198" s="179">
        <f ca="1">IF(ISNUMBER(MATCH(DATEVALUE($A198),'recurring1_based on steps'!AO$1:AO$400,0)),AO$2,)</f>
        <v>0</v>
      </c>
      <c r="AP198" s="179">
        <f ca="1">IF(ISNUMBER(MATCH(DATEVALUE($A198),'recurring1_based on steps'!AP$1:AP$400,0)),AP$2,)</f>
        <v>0</v>
      </c>
      <c r="AQ198" s="179">
        <f ca="1">IF(ISNUMBER(MATCH(DATEVALUE($A198),'recurring1_based on steps'!AQ$1:AQ$400,0)),AQ$2,)</f>
        <v>0</v>
      </c>
      <c r="AR198" s="179">
        <f ca="1">IF(ISNUMBER(MATCH(DATEVALUE($A198),'recurring1_based on steps'!AR$1:AR$400,0)),AR$2,)</f>
        <v>0</v>
      </c>
      <c r="AS198" s="179">
        <f ca="1">IF(ISNUMBER(MATCH(DATEVALUE($A198),'recurring1_based on steps'!AS$1:AS$400,0)),AS$2,)</f>
        <v>0</v>
      </c>
      <c r="AT198" s="179">
        <f ca="1">IF(ISNUMBER(MATCH(DATEVALUE($A198),'recurring1_based on steps'!AT$1:AT$400,0)),AT$2,)</f>
        <v>0</v>
      </c>
      <c r="AU198" s="179">
        <f ca="1">IF(ISNUMBER(MATCH(DATEVALUE($A198),'recurring1_based on steps'!AU$1:AU$400,0)),AU$2,)</f>
        <v>0</v>
      </c>
      <c r="AV198" s="179">
        <f ca="1">IF(ISNUMBER(MATCH(DATEVALUE($A198),'recurring1_based on steps'!AV$1:AV$400,0)),AV$2,)</f>
        <v>0</v>
      </c>
      <c r="AW198" s="179">
        <f ca="1">IF(ISNUMBER(MATCH(DATEVALUE($A198),'recurring1_based on steps'!AW$1:AW$400,0)),AW$2,)</f>
        <v>0</v>
      </c>
      <c r="AX198" s="179">
        <f ca="1">IF(ISNUMBER(MATCH(DATEVALUE($A198),'recurring1_based on steps'!AX$1:AX$400,0)),AX$2,)</f>
        <v>0</v>
      </c>
      <c r="AY198" s="179">
        <f ca="1">IF(ISNUMBER(MATCH(DATEVALUE($A198),'recurring1_based on steps'!AY$1:AY$400,0)),AY$2,)</f>
        <v>0</v>
      </c>
    </row>
    <row r="199" spans="1:51" x14ac:dyDescent="0.2">
      <c r="A199" s="32" t="str">
        <f t="shared" ca="1" si="3"/>
        <v>2025-10-18</v>
      </c>
      <c r="B199" s="179">
        <f ca="1">IF(ISNUMBER(MATCH(DATEVALUE($A199),'recurring1_based on steps'!B$1:B$400,0)),B$2,)</f>
        <v>0</v>
      </c>
      <c r="C199" s="179">
        <f ca="1">IF(ISNUMBER(MATCH(DATEVALUE($A199),'recurring1_based on steps'!C$1:C$400,0)),C$2,)</f>
        <v>0</v>
      </c>
      <c r="D199" s="179">
        <f ca="1">IF(ISNUMBER(MATCH(DATEVALUE($A199),'recurring1_based on steps'!D$1:D$400,0)),D$2,)</f>
        <v>0</v>
      </c>
      <c r="E199" s="179">
        <f ca="1">IF(ISNUMBER(MATCH(DATEVALUE($A199),'recurring1_based on steps'!E$1:E$400,0)),E$2,)</f>
        <v>0</v>
      </c>
      <c r="F199" s="179">
        <f ca="1">IF(ISNUMBER(MATCH(DATEVALUE($A199),'recurring1_based on steps'!F$1:F$400,0)),F$2,)</f>
        <v>0</v>
      </c>
      <c r="G199" s="179">
        <f ca="1">IF(ISNUMBER(MATCH(DATEVALUE($A199),'recurring1_based on steps'!G$1:G$400,0)),G$2,)</f>
        <v>0</v>
      </c>
      <c r="H199" s="179">
        <f ca="1">IF(ISNUMBER(MATCH(DATEVALUE($A199),'recurring1_based on steps'!H$1:H$400,0)),H$2,)</f>
        <v>0</v>
      </c>
      <c r="I199" s="179">
        <f ca="1">IF(ISNUMBER(MATCH(DATEVALUE($A199),'recurring1_based on steps'!I$1:I$400,0)),I$2,)</f>
        <v>0</v>
      </c>
      <c r="J199" s="179">
        <f ca="1">IF(ISNUMBER(MATCH(DATEVALUE($A199),'recurring1_based on steps'!J$1:J$400,0)),J$2,)</f>
        <v>0</v>
      </c>
      <c r="K199" s="179">
        <f ca="1">IF(ISNUMBER(MATCH(DATEVALUE($A199),'recurring1_based on steps'!K$1:K$400,0)),K$2,)</f>
        <v>0</v>
      </c>
      <c r="L199" s="179">
        <f ca="1">IF(ISNUMBER(MATCH(DATEVALUE($A199),'recurring1_based on steps'!L$1:L$400,0)),L$2,)</f>
        <v>0</v>
      </c>
      <c r="M199" s="179">
        <f ca="1">IF(ISNUMBER(MATCH(DATEVALUE($A199),'recurring1_based on steps'!M$1:M$400,0)),M$2,)</f>
        <v>0</v>
      </c>
      <c r="N199" s="179">
        <f ca="1">IF(ISNUMBER(MATCH(DATEVALUE($A199),'recurring1_based on steps'!N$1:N$400,0)),N$2,)</f>
        <v>0</v>
      </c>
      <c r="O199" s="179">
        <f ca="1">IF(ISNUMBER(MATCH(DATEVALUE($A199),'recurring1_based on steps'!O$1:O$400,0)),O$2,)</f>
        <v>0</v>
      </c>
      <c r="P199" s="179">
        <f ca="1">IF(ISNUMBER(MATCH(DATEVALUE($A199),'recurring1_based on steps'!P$1:P$400,0)),P$2,)</f>
        <v>0</v>
      </c>
      <c r="Q199" s="179">
        <f ca="1">IF(ISNUMBER(MATCH(DATEVALUE($A199),'recurring1_based on steps'!Q$1:Q$400,0)),Q$2,)</f>
        <v>0</v>
      </c>
      <c r="R199" s="179">
        <f ca="1">IF(ISNUMBER(MATCH(DATEVALUE($A199),'recurring1_based on steps'!R$1:R$400,0)),R$2,)</f>
        <v>0</v>
      </c>
      <c r="S199" s="179">
        <f ca="1">IF(ISNUMBER(MATCH(DATEVALUE($A199),'recurring1_based on steps'!S$1:S$400,0)),S$2,)</f>
        <v>0</v>
      </c>
      <c r="T199" s="179">
        <f ca="1">IF(ISNUMBER(MATCH(DATEVALUE($A199),'recurring1_based on steps'!T$1:T$400,0)),T$2,)</f>
        <v>0</v>
      </c>
      <c r="U199" s="179">
        <f ca="1">IF(ISNUMBER(MATCH(DATEVALUE($A199),'recurring1_based on steps'!U$1:U$400,0)),U$2,)</f>
        <v>0</v>
      </c>
      <c r="V199" s="179">
        <f ca="1">IF(ISNUMBER(MATCH(DATEVALUE($A199),'recurring1_based on steps'!V$1:V$400,0)),V$2,)</f>
        <v>0</v>
      </c>
      <c r="W199" s="179">
        <f ca="1">IF(ISNUMBER(MATCH(DATEVALUE($A199),'recurring1_based on steps'!W$1:W$400,0)),W$2,)</f>
        <v>0</v>
      </c>
      <c r="X199" s="179">
        <f ca="1">IF(ISNUMBER(MATCH(DATEVALUE($A199),'recurring1_based on steps'!X$1:X$400,0)),X$2,)</f>
        <v>0</v>
      </c>
      <c r="Y199" s="179">
        <f ca="1">IF(ISNUMBER(MATCH(DATEVALUE($A199),'recurring1_based on steps'!Y$1:Y$400,0)),Y$2,)</f>
        <v>0</v>
      </c>
      <c r="Z199" s="179">
        <f ca="1">IF(ISNUMBER(MATCH(DATEVALUE($A199),'recurring1_based on steps'!Z$1:Z$400,0)),Z$2,)</f>
        <v>0</v>
      </c>
      <c r="AA199" s="179">
        <f ca="1">IF(ISNUMBER(MATCH(DATEVALUE($A199),'recurring1_based on steps'!AA$1:AA$400,0)),AA$2,)</f>
        <v>0</v>
      </c>
      <c r="AB199" s="179">
        <f ca="1">IF(ISNUMBER(MATCH(DATEVALUE($A199),'recurring1_based on steps'!AB$1:AB$400,0)),AB$2,)</f>
        <v>0</v>
      </c>
      <c r="AC199" s="179">
        <f ca="1">IF(ISNUMBER(MATCH(DATEVALUE($A199),'recurring1_based on steps'!AC$1:AC$400,0)),AC$2,)</f>
        <v>0</v>
      </c>
      <c r="AD199" s="179">
        <f ca="1">IF(ISNUMBER(MATCH(DATEVALUE($A199),'recurring1_based on steps'!AD$1:AD$400,0)),AD$2,)</f>
        <v>0</v>
      </c>
      <c r="AE199" s="179">
        <f ca="1">IF(ISNUMBER(MATCH(DATEVALUE($A199),'recurring1_based on steps'!AE$1:AE$400,0)),AE$2,)</f>
        <v>0</v>
      </c>
      <c r="AF199" s="179">
        <f ca="1">IF(ISNUMBER(MATCH(DATEVALUE($A199),'recurring1_based on steps'!AF$1:AF$400,0)),AF$2,)</f>
        <v>0</v>
      </c>
      <c r="AG199" s="179">
        <f ca="1">IF(ISNUMBER(MATCH(DATEVALUE($A199),'recurring1_based on steps'!AG$1:AG$400,0)),AG$2,)</f>
        <v>0</v>
      </c>
      <c r="AH199" s="179">
        <f ca="1">IF(ISNUMBER(MATCH(DATEVALUE($A199),'recurring1_based on steps'!AH$1:AH$400,0)),AH$2,)</f>
        <v>0</v>
      </c>
      <c r="AI199" s="179">
        <f ca="1">IF(ISNUMBER(MATCH(DATEVALUE($A199),'recurring1_based on steps'!AI$1:AI$400,0)),AI$2,)</f>
        <v>0</v>
      </c>
      <c r="AJ199" s="179">
        <f ca="1">IF(ISNUMBER(MATCH(DATEVALUE($A199),'recurring1_based on steps'!AJ$1:AJ$400,0)),AJ$2,)</f>
        <v>0</v>
      </c>
      <c r="AK199" s="179">
        <f ca="1">IF(ISNUMBER(MATCH(DATEVALUE($A199),'recurring1_based on steps'!AK$1:AK$400,0)),AK$2,)</f>
        <v>0</v>
      </c>
      <c r="AL199" s="179">
        <f ca="1">IF(ISNUMBER(MATCH(DATEVALUE($A199),'recurring1_based on steps'!AL$1:AL$400,0)),AL$2,)</f>
        <v>0</v>
      </c>
      <c r="AM199" s="179">
        <f ca="1">IF(ISNUMBER(MATCH(DATEVALUE($A199),'recurring1_based on steps'!AM$1:AM$400,0)),AM$2,)</f>
        <v>0</v>
      </c>
      <c r="AN199" s="179">
        <f ca="1">IF(ISNUMBER(MATCH(DATEVALUE($A199),'recurring1_based on steps'!AN$1:AN$400,0)),AN$2,)</f>
        <v>0</v>
      </c>
      <c r="AO199" s="179">
        <f ca="1">IF(ISNUMBER(MATCH(DATEVALUE($A199),'recurring1_based on steps'!AO$1:AO$400,0)),AO$2,)</f>
        <v>0</v>
      </c>
      <c r="AP199" s="179">
        <f ca="1">IF(ISNUMBER(MATCH(DATEVALUE($A199),'recurring1_based on steps'!AP$1:AP$400,0)),AP$2,)</f>
        <v>0</v>
      </c>
      <c r="AQ199" s="179">
        <f ca="1">IF(ISNUMBER(MATCH(DATEVALUE($A199),'recurring1_based on steps'!AQ$1:AQ$400,0)),AQ$2,)</f>
        <v>0</v>
      </c>
      <c r="AR199" s="179">
        <f ca="1">IF(ISNUMBER(MATCH(DATEVALUE($A199),'recurring1_based on steps'!AR$1:AR$400,0)),AR$2,)</f>
        <v>0</v>
      </c>
      <c r="AS199" s="179">
        <f ca="1">IF(ISNUMBER(MATCH(DATEVALUE($A199),'recurring1_based on steps'!AS$1:AS$400,0)),AS$2,)</f>
        <v>0</v>
      </c>
      <c r="AT199" s="179">
        <f ca="1">IF(ISNUMBER(MATCH(DATEVALUE($A199),'recurring1_based on steps'!AT$1:AT$400,0)),AT$2,)</f>
        <v>0</v>
      </c>
      <c r="AU199" s="179">
        <f ca="1">IF(ISNUMBER(MATCH(DATEVALUE($A199),'recurring1_based on steps'!AU$1:AU$400,0)),AU$2,)</f>
        <v>0</v>
      </c>
      <c r="AV199" s="179">
        <f ca="1">IF(ISNUMBER(MATCH(DATEVALUE($A199),'recurring1_based on steps'!AV$1:AV$400,0)),AV$2,)</f>
        <v>0</v>
      </c>
      <c r="AW199" s="179">
        <f ca="1">IF(ISNUMBER(MATCH(DATEVALUE($A199),'recurring1_based on steps'!AW$1:AW$400,0)),AW$2,)</f>
        <v>0</v>
      </c>
      <c r="AX199" s="179">
        <f ca="1">IF(ISNUMBER(MATCH(DATEVALUE($A199),'recurring1_based on steps'!AX$1:AX$400,0)),AX$2,)</f>
        <v>0</v>
      </c>
      <c r="AY199" s="179">
        <f ca="1">IF(ISNUMBER(MATCH(DATEVALUE($A199),'recurring1_based on steps'!AY$1:AY$400,0)),AY$2,)</f>
        <v>0</v>
      </c>
    </row>
    <row r="200" spans="1:51" x14ac:dyDescent="0.2">
      <c r="A200" s="32" t="str">
        <f t="shared" ca="1" si="3"/>
        <v>2025-10-19</v>
      </c>
      <c r="B200" s="179">
        <f ca="1">IF(ISNUMBER(MATCH(DATEVALUE($A200),'recurring1_based on steps'!B$1:B$400,0)),B$2,)</f>
        <v>0</v>
      </c>
      <c r="C200" s="179">
        <f ca="1">IF(ISNUMBER(MATCH(DATEVALUE($A200),'recurring1_based on steps'!C$1:C$400,0)),C$2,)</f>
        <v>0</v>
      </c>
      <c r="D200" s="179">
        <f ca="1">IF(ISNUMBER(MATCH(DATEVALUE($A200),'recurring1_based on steps'!D$1:D$400,0)),D$2,)</f>
        <v>0</v>
      </c>
      <c r="E200" s="179">
        <f ca="1">IF(ISNUMBER(MATCH(DATEVALUE($A200),'recurring1_based on steps'!E$1:E$400,0)),E$2,)</f>
        <v>0</v>
      </c>
      <c r="F200" s="179">
        <f ca="1">IF(ISNUMBER(MATCH(DATEVALUE($A200),'recurring1_based on steps'!F$1:F$400,0)),F$2,)</f>
        <v>0</v>
      </c>
      <c r="G200" s="179">
        <f ca="1">IF(ISNUMBER(MATCH(DATEVALUE($A200),'recurring1_based on steps'!G$1:G$400,0)),G$2,)</f>
        <v>0</v>
      </c>
      <c r="H200" s="179">
        <f ca="1">IF(ISNUMBER(MATCH(DATEVALUE($A200),'recurring1_based on steps'!H$1:H$400,0)),H$2,)</f>
        <v>0</v>
      </c>
      <c r="I200" s="179">
        <f ca="1">IF(ISNUMBER(MATCH(DATEVALUE($A200),'recurring1_based on steps'!I$1:I$400,0)),I$2,)</f>
        <v>0</v>
      </c>
      <c r="J200" s="179">
        <f ca="1">IF(ISNUMBER(MATCH(DATEVALUE($A200),'recurring1_based on steps'!J$1:J$400,0)),J$2,)</f>
        <v>0</v>
      </c>
      <c r="K200" s="179">
        <f ca="1">IF(ISNUMBER(MATCH(DATEVALUE($A200),'recurring1_based on steps'!K$1:K$400,0)),K$2,)</f>
        <v>0</v>
      </c>
      <c r="L200" s="179">
        <f ca="1">IF(ISNUMBER(MATCH(DATEVALUE($A200),'recurring1_based on steps'!L$1:L$400,0)),L$2,)</f>
        <v>0</v>
      </c>
      <c r="M200" s="179">
        <f ca="1">IF(ISNUMBER(MATCH(DATEVALUE($A200),'recurring1_based on steps'!M$1:M$400,0)),M$2,)</f>
        <v>0</v>
      </c>
      <c r="N200" s="179">
        <f ca="1">IF(ISNUMBER(MATCH(DATEVALUE($A200),'recurring1_based on steps'!N$1:N$400,0)),N$2,)</f>
        <v>0</v>
      </c>
      <c r="O200" s="179">
        <f ca="1">IF(ISNUMBER(MATCH(DATEVALUE($A200),'recurring1_based on steps'!O$1:O$400,0)),O$2,)</f>
        <v>0</v>
      </c>
      <c r="P200" s="179">
        <f ca="1">IF(ISNUMBER(MATCH(DATEVALUE($A200),'recurring1_based on steps'!P$1:P$400,0)),P$2,)</f>
        <v>0</v>
      </c>
      <c r="Q200" s="179">
        <f ca="1">IF(ISNUMBER(MATCH(DATEVALUE($A200),'recurring1_based on steps'!Q$1:Q$400,0)),Q$2,)</f>
        <v>0</v>
      </c>
      <c r="R200" s="179">
        <f ca="1">IF(ISNUMBER(MATCH(DATEVALUE($A200),'recurring1_based on steps'!R$1:R$400,0)),R$2,)</f>
        <v>0</v>
      </c>
      <c r="S200" s="179">
        <f ca="1">IF(ISNUMBER(MATCH(DATEVALUE($A200),'recurring1_based on steps'!S$1:S$400,0)),S$2,)</f>
        <v>0</v>
      </c>
      <c r="T200" s="179">
        <f ca="1">IF(ISNUMBER(MATCH(DATEVALUE($A200),'recurring1_based on steps'!T$1:T$400,0)),T$2,)</f>
        <v>0</v>
      </c>
      <c r="U200" s="179">
        <f ca="1">IF(ISNUMBER(MATCH(DATEVALUE($A200),'recurring1_based on steps'!U$1:U$400,0)),U$2,)</f>
        <v>0</v>
      </c>
      <c r="V200" s="179">
        <f ca="1">IF(ISNUMBER(MATCH(DATEVALUE($A200),'recurring1_based on steps'!V$1:V$400,0)),V$2,)</f>
        <v>0</v>
      </c>
      <c r="W200" s="179">
        <f ca="1">IF(ISNUMBER(MATCH(DATEVALUE($A200),'recurring1_based on steps'!W$1:W$400,0)),W$2,)</f>
        <v>0</v>
      </c>
      <c r="X200" s="179">
        <f ca="1">IF(ISNUMBER(MATCH(DATEVALUE($A200),'recurring1_based on steps'!X$1:X$400,0)),X$2,)</f>
        <v>0</v>
      </c>
      <c r="Y200" s="179">
        <f ca="1">IF(ISNUMBER(MATCH(DATEVALUE($A200),'recurring1_based on steps'!Y$1:Y$400,0)),Y$2,)</f>
        <v>0</v>
      </c>
      <c r="Z200" s="179">
        <f ca="1">IF(ISNUMBER(MATCH(DATEVALUE($A200),'recurring1_based on steps'!Z$1:Z$400,0)),Z$2,)</f>
        <v>0</v>
      </c>
      <c r="AA200" s="179">
        <f ca="1">IF(ISNUMBER(MATCH(DATEVALUE($A200),'recurring1_based on steps'!AA$1:AA$400,0)),AA$2,)</f>
        <v>0</v>
      </c>
      <c r="AB200" s="179">
        <f ca="1">IF(ISNUMBER(MATCH(DATEVALUE($A200),'recurring1_based on steps'!AB$1:AB$400,0)),AB$2,)</f>
        <v>0</v>
      </c>
      <c r="AC200" s="179">
        <f ca="1">IF(ISNUMBER(MATCH(DATEVALUE($A200),'recurring1_based on steps'!AC$1:AC$400,0)),AC$2,)</f>
        <v>0</v>
      </c>
      <c r="AD200" s="179">
        <f ca="1">IF(ISNUMBER(MATCH(DATEVALUE($A200),'recurring1_based on steps'!AD$1:AD$400,0)),AD$2,)</f>
        <v>0</v>
      </c>
      <c r="AE200" s="179">
        <f ca="1">IF(ISNUMBER(MATCH(DATEVALUE($A200),'recurring1_based on steps'!AE$1:AE$400,0)),AE$2,)</f>
        <v>0</v>
      </c>
      <c r="AF200" s="179">
        <f ca="1">IF(ISNUMBER(MATCH(DATEVALUE($A200),'recurring1_based on steps'!AF$1:AF$400,0)),AF$2,)</f>
        <v>0</v>
      </c>
      <c r="AG200" s="179">
        <f ca="1">IF(ISNUMBER(MATCH(DATEVALUE($A200),'recurring1_based on steps'!AG$1:AG$400,0)),AG$2,)</f>
        <v>0</v>
      </c>
      <c r="AH200" s="179">
        <f ca="1">IF(ISNUMBER(MATCH(DATEVALUE($A200),'recurring1_based on steps'!AH$1:AH$400,0)),AH$2,)</f>
        <v>0</v>
      </c>
      <c r="AI200" s="179">
        <f ca="1">IF(ISNUMBER(MATCH(DATEVALUE($A200),'recurring1_based on steps'!AI$1:AI$400,0)),AI$2,)</f>
        <v>0</v>
      </c>
      <c r="AJ200" s="179">
        <f ca="1">IF(ISNUMBER(MATCH(DATEVALUE($A200),'recurring1_based on steps'!AJ$1:AJ$400,0)),AJ$2,)</f>
        <v>0</v>
      </c>
      <c r="AK200" s="179">
        <f ca="1">IF(ISNUMBER(MATCH(DATEVALUE($A200),'recurring1_based on steps'!AK$1:AK$400,0)),AK$2,)</f>
        <v>0</v>
      </c>
      <c r="AL200" s="179">
        <f ca="1">IF(ISNUMBER(MATCH(DATEVALUE($A200),'recurring1_based on steps'!AL$1:AL$400,0)),AL$2,)</f>
        <v>0</v>
      </c>
      <c r="AM200" s="179">
        <f ca="1">IF(ISNUMBER(MATCH(DATEVALUE($A200),'recurring1_based on steps'!AM$1:AM$400,0)),AM$2,)</f>
        <v>0</v>
      </c>
      <c r="AN200" s="179">
        <f ca="1">IF(ISNUMBER(MATCH(DATEVALUE($A200),'recurring1_based on steps'!AN$1:AN$400,0)),AN$2,)</f>
        <v>0</v>
      </c>
      <c r="AO200" s="179">
        <f ca="1">IF(ISNUMBER(MATCH(DATEVALUE($A200),'recurring1_based on steps'!AO$1:AO$400,0)),AO$2,)</f>
        <v>0</v>
      </c>
      <c r="AP200" s="179">
        <f ca="1">IF(ISNUMBER(MATCH(DATEVALUE($A200),'recurring1_based on steps'!AP$1:AP$400,0)),AP$2,)</f>
        <v>0</v>
      </c>
      <c r="AQ200" s="179">
        <f ca="1">IF(ISNUMBER(MATCH(DATEVALUE($A200),'recurring1_based on steps'!AQ$1:AQ$400,0)),AQ$2,)</f>
        <v>0</v>
      </c>
      <c r="AR200" s="179">
        <f ca="1">IF(ISNUMBER(MATCH(DATEVALUE($A200),'recurring1_based on steps'!AR$1:AR$400,0)),AR$2,)</f>
        <v>0</v>
      </c>
      <c r="AS200" s="179">
        <f ca="1">IF(ISNUMBER(MATCH(DATEVALUE($A200),'recurring1_based on steps'!AS$1:AS$400,0)),AS$2,)</f>
        <v>0</v>
      </c>
      <c r="AT200" s="179">
        <f ca="1">IF(ISNUMBER(MATCH(DATEVALUE($A200),'recurring1_based on steps'!AT$1:AT$400,0)),AT$2,)</f>
        <v>0</v>
      </c>
      <c r="AU200" s="179">
        <f ca="1">IF(ISNUMBER(MATCH(DATEVALUE($A200),'recurring1_based on steps'!AU$1:AU$400,0)),AU$2,)</f>
        <v>0</v>
      </c>
      <c r="AV200" s="179">
        <f ca="1">IF(ISNUMBER(MATCH(DATEVALUE($A200),'recurring1_based on steps'!AV$1:AV$400,0)),AV$2,)</f>
        <v>0</v>
      </c>
      <c r="AW200" s="179">
        <f ca="1">IF(ISNUMBER(MATCH(DATEVALUE($A200),'recurring1_based on steps'!AW$1:AW$400,0)),AW$2,)</f>
        <v>0</v>
      </c>
      <c r="AX200" s="179">
        <f ca="1">IF(ISNUMBER(MATCH(DATEVALUE($A200),'recurring1_based on steps'!AX$1:AX$400,0)),AX$2,)</f>
        <v>0</v>
      </c>
      <c r="AY200" s="179">
        <f ca="1">IF(ISNUMBER(MATCH(DATEVALUE($A200),'recurring1_based on steps'!AY$1:AY$400,0)),AY$2,)</f>
        <v>0</v>
      </c>
    </row>
    <row r="201" spans="1:51" x14ac:dyDescent="0.2">
      <c r="A201" s="32" t="str">
        <f t="shared" ca="1" si="3"/>
        <v>2025-10-20</v>
      </c>
      <c r="B201" s="179">
        <f ca="1">IF(ISNUMBER(MATCH(DATEVALUE($A201),'recurring1_based on steps'!B$1:B$400,0)),B$2,)</f>
        <v>0</v>
      </c>
      <c r="C201" s="179">
        <f ca="1">IF(ISNUMBER(MATCH(DATEVALUE($A201),'recurring1_based on steps'!C$1:C$400,0)),C$2,)</f>
        <v>0</v>
      </c>
      <c r="D201" s="179">
        <f ca="1">IF(ISNUMBER(MATCH(DATEVALUE($A201),'recurring1_based on steps'!D$1:D$400,0)),D$2,)</f>
        <v>0</v>
      </c>
      <c r="E201" s="179">
        <f ca="1">IF(ISNUMBER(MATCH(DATEVALUE($A201),'recurring1_based on steps'!E$1:E$400,0)),E$2,)</f>
        <v>0</v>
      </c>
      <c r="F201" s="179">
        <f ca="1">IF(ISNUMBER(MATCH(DATEVALUE($A201),'recurring1_based on steps'!F$1:F$400,0)),F$2,)</f>
        <v>0</v>
      </c>
      <c r="G201" s="179">
        <f ca="1">IF(ISNUMBER(MATCH(DATEVALUE($A201),'recurring1_based on steps'!G$1:G$400,0)),G$2,)</f>
        <v>0</v>
      </c>
      <c r="H201" s="179">
        <f ca="1">IF(ISNUMBER(MATCH(DATEVALUE($A201),'recurring1_based on steps'!H$1:H$400,0)),H$2,)</f>
        <v>0</v>
      </c>
      <c r="I201" s="179">
        <f ca="1">IF(ISNUMBER(MATCH(DATEVALUE($A201),'recurring1_based on steps'!I$1:I$400,0)),I$2,)</f>
        <v>0</v>
      </c>
      <c r="J201" s="179">
        <f ca="1">IF(ISNUMBER(MATCH(DATEVALUE($A201),'recurring1_based on steps'!J$1:J$400,0)),J$2,)</f>
        <v>0</v>
      </c>
      <c r="K201" s="179">
        <f ca="1">IF(ISNUMBER(MATCH(DATEVALUE($A201),'recurring1_based on steps'!K$1:K$400,0)),K$2,)</f>
        <v>0</v>
      </c>
      <c r="L201" s="179">
        <f ca="1">IF(ISNUMBER(MATCH(DATEVALUE($A201),'recurring1_based on steps'!L$1:L$400,0)),L$2,)</f>
        <v>0</v>
      </c>
      <c r="M201" s="179">
        <f ca="1">IF(ISNUMBER(MATCH(DATEVALUE($A201),'recurring1_based on steps'!M$1:M$400,0)),M$2,)</f>
        <v>0</v>
      </c>
      <c r="N201" s="179">
        <f ca="1">IF(ISNUMBER(MATCH(DATEVALUE($A201),'recurring1_based on steps'!N$1:N$400,0)),N$2,)</f>
        <v>0</v>
      </c>
      <c r="O201" s="179">
        <f ca="1">IF(ISNUMBER(MATCH(DATEVALUE($A201),'recurring1_based on steps'!O$1:O$400,0)),O$2,)</f>
        <v>0</v>
      </c>
      <c r="P201" s="179">
        <f ca="1">IF(ISNUMBER(MATCH(DATEVALUE($A201),'recurring1_based on steps'!P$1:P$400,0)),P$2,)</f>
        <v>0</v>
      </c>
      <c r="Q201" s="179">
        <f ca="1">IF(ISNUMBER(MATCH(DATEVALUE($A201),'recurring1_based on steps'!Q$1:Q$400,0)),Q$2,)</f>
        <v>0</v>
      </c>
      <c r="R201" s="179">
        <f ca="1">IF(ISNUMBER(MATCH(DATEVALUE($A201),'recurring1_based on steps'!R$1:R$400,0)),R$2,)</f>
        <v>0</v>
      </c>
      <c r="S201" s="179">
        <f ca="1">IF(ISNUMBER(MATCH(DATEVALUE($A201),'recurring1_based on steps'!S$1:S$400,0)),S$2,)</f>
        <v>0</v>
      </c>
      <c r="T201" s="179">
        <f ca="1">IF(ISNUMBER(MATCH(DATEVALUE($A201),'recurring1_based on steps'!T$1:T$400,0)),T$2,)</f>
        <v>0</v>
      </c>
      <c r="U201" s="179">
        <f ca="1">IF(ISNUMBER(MATCH(DATEVALUE($A201),'recurring1_based on steps'!U$1:U$400,0)),U$2,)</f>
        <v>0</v>
      </c>
      <c r="V201" s="179">
        <f ca="1">IF(ISNUMBER(MATCH(DATEVALUE($A201),'recurring1_based on steps'!V$1:V$400,0)),V$2,)</f>
        <v>0</v>
      </c>
      <c r="W201" s="179">
        <f ca="1">IF(ISNUMBER(MATCH(DATEVALUE($A201),'recurring1_based on steps'!W$1:W$400,0)),W$2,)</f>
        <v>0</v>
      </c>
      <c r="X201" s="179">
        <f ca="1">IF(ISNUMBER(MATCH(DATEVALUE($A201),'recurring1_based on steps'!X$1:X$400,0)),X$2,)</f>
        <v>0</v>
      </c>
      <c r="Y201" s="179">
        <f ca="1">IF(ISNUMBER(MATCH(DATEVALUE($A201),'recurring1_based on steps'!Y$1:Y$400,0)),Y$2,)</f>
        <v>0</v>
      </c>
      <c r="Z201" s="179">
        <f ca="1">IF(ISNUMBER(MATCH(DATEVALUE($A201),'recurring1_based on steps'!Z$1:Z$400,0)),Z$2,)</f>
        <v>0</v>
      </c>
      <c r="AA201" s="179">
        <f ca="1">IF(ISNUMBER(MATCH(DATEVALUE($A201),'recurring1_based on steps'!AA$1:AA$400,0)),AA$2,)</f>
        <v>0</v>
      </c>
      <c r="AB201" s="179">
        <f ca="1">IF(ISNUMBER(MATCH(DATEVALUE($A201),'recurring1_based on steps'!AB$1:AB$400,0)),AB$2,)</f>
        <v>0</v>
      </c>
      <c r="AC201" s="179">
        <f ca="1">IF(ISNUMBER(MATCH(DATEVALUE($A201),'recurring1_based on steps'!AC$1:AC$400,0)),AC$2,)</f>
        <v>0</v>
      </c>
      <c r="AD201" s="179">
        <f ca="1">IF(ISNUMBER(MATCH(DATEVALUE($A201),'recurring1_based on steps'!AD$1:AD$400,0)),AD$2,)</f>
        <v>0</v>
      </c>
      <c r="AE201" s="179">
        <f ca="1">IF(ISNUMBER(MATCH(DATEVALUE($A201),'recurring1_based on steps'!AE$1:AE$400,0)),AE$2,)</f>
        <v>0</v>
      </c>
      <c r="AF201" s="179">
        <f ca="1">IF(ISNUMBER(MATCH(DATEVALUE($A201),'recurring1_based on steps'!AF$1:AF$400,0)),AF$2,)</f>
        <v>0</v>
      </c>
      <c r="AG201" s="179">
        <f ca="1">IF(ISNUMBER(MATCH(DATEVALUE($A201),'recurring1_based on steps'!AG$1:AG$400,0)),AG$2,)</f>
        <v>0</v>
      </c>
      <c r="AH201" s="179">
        <f ca="1">IF(ISNUMBER(MATCH(DATEVALUE($A201),'recurring1_based on steps'!AH$1:AH$400,0)),AH$2,)</f>
        <v>0</v>
      </c>
      <c r="AI201" s="179">
        <f ca="1">IF(ISNUMBER(MATCH(DATEVALUE($A201),'recurring1_based on steps'!AI$1:AI$400,0)),AI$2,)</f>
        <v>0</v>
      </c>
      <c r="AJ201" s="179">
        <f ca="1">IF(ISNUMBER(MATCH(DATEVALUE($A201),'recurring1_based on steps'!AJ$1:AJ$400,0)),AJ$2,)</f>
        <v>0</v>
      </c>
      <c r="AK201" s="179">
        <f ca="1">IF(ISNUMBER(MATCH(DATEVALUE($A201),'recurring1_based on steps'!AK$1:AK$400,0)),AK$2,)</f>
        <v>0</v>
      </c>
      <c r="AL201" s="179">
        <f ca="1">IF(ISNUMBER(MATCH(DATEVALUE($A201),'recurring1_based on steps'!AL$1:AL$400,0)),AL$2,)</f>
        <v>0</v>
      </c>
      <c r="AM201" s="179">
        <f ca="1">IF(ISNUMBER(MATCH(DATEVALUE($A201),'recurring1_based on steps'!AM$1:AM$400,0)),AM$2,)</f>
        <v>0</v>
      </c>
      <c r="AN201" s="179">
        <f ca="1">IF(ISNUMBER(MATCH(DATEVALUE($A201),'recurring1_based on steps'!AN$1:AN$400,0)),AN$2,)</f>
        <v>0</v>
      </c>
      <c r="AO201" s="179">
        <f ca="1">IF(ISNUMBER(MATCH(DATEVALUE($A201),'recurring1_based on steps'!AO$1:AO$400,0)),AO$2,)</f>
        <v>0</v>
      </c>
      <c r="AP201" s="179">
        <f ca="1">IF(ISNUMBER(MATCH(DATEVALUE($A201),'recurring1_based on steps'!AP$1:AP$400,0)),AP$2,)</f>
        <v>0</v>
      </c>
      <c r="AQ201" s="179">
        <f ca="1">IF(ISNUMBER(MATCH(DATEVALUE($A201),'recurring1_based on steps'!AQ$1:AQ$400,0)),AQ$2,)</f>
        <v>0</v>
      </c>
      <c r="AR201" s="179">
        <f ca="1">IF(ISNUMBER(MATCH(DATEVALUE($A201),'recurring1_based on steps'!AR$1:AR$400,0)),AR$2,)</f>
        <v>0</v>
      </c>
      <c r="AS201" s="179">
        <f ca="1">IF(ISNUMBER(MATCH(DATEVALUE($A201),'recurring1_based on steps'!AS$1:AS$400,0)),AS$2,)</f>
        <v>0</v>
      </c>
      <c r="AT201" s="179">
        <f ca="1">IF(ISNUMBER(MATCH(DATEVALUE($A201),'recurring1_based on steps'!AT$1:AT$400,0)),AT$2,)</f>
        <v>0</v>
      </c>
      <c r="AU201" s="179">
        <f ca="1">IF(ISNUMBER(MATCH(DATEVALUE($A201),'recurring1_based on steps'!AU$1:AU$400,0)),AU$2,)</f>
        <v>0</v>
      </c>
      <c r="AV201" s="179">
        <f ca="1">IF(ISNUMBER(MATCH(DATEVALUE($A201),'recurring1_based on steps'!AV$1:AV$400,0)),AV$2,)</f>
        <v>0</v>
      </c>
      <c r="AW201" s="179">
        <f ca="1">IF(ISNUMBER(MATCH(DATEVALUE($A201),'recurring1_based on steps'!AW$1:AW$400,0)),AW$2,)</f>
        <v>0</v>
      </c>
      <c r="AX201" s="179">
        <f ca="1">IF(ISNUMBER(MATCH(DATEVALUE($A201),'recurring1_based on steps'!AX$1:AX$400,0)),AX$2,)</f>
        <v>0</v>
      </c>
      <c r="AY201" s="179">
        <f ca="1">IF(ISNUMBER(MATCH(DATEVALUE($A201),'recurring1_based on steps'!AY$1:AY$400,0)),AY$2,)</f>
        <v>0</v>
      </c>
    </row>
    <row r="202" spans="1:51" x14ac:dyDescent="0.2">
      <c r="A202" s="32" t="str">
        <f t="shared" ca="1" si="3"/>
        <v>2025-10-21</v>
      </c>
      <c r="B202" s="179">
        <f ca="1">IF(ISNUMBER(MATCH(DATEVALUE($A202),'recurring1_based on steps'!B$1:B$400,0)),B$2,)</f>
        <v>0</v>
      </c>
      <c r="C202" s="179">
        <f ca="1">IF(ISNUMBER(MATCH(DATEVALUE($A202),'recurring1_based on steps'!C$1:C$400,0)),C$2,)</f>
        <v>0</v>
      </c>
      <c r="D202" s="179">
        <f ca="1">IF(ISNUMBER(MATCH(DATEVALUE($A202),'recurring1_based on steps'!D$1:D$400,0)),D$2,)</f>
        <v>0</v>
      </c>
      <c r="E202" s="179">
        <f ca="1">IF(ISNUMBER(MATCH(DATEVALUE($A202),'recurring1_based on steps'!E$1:E$400,0)),E$2,)</f>
        <v>0</v>
      </c>
      <c r="F202" s="179">
        <f ca="1">IF(ISNUMBER(MATCH(DATEVALUE($A202),'recurring1_based on steps'!F$1:F$400,0)),F$2,)</f>
        <v>0</v>
      </c>
      <c r="G202" s="179">
        <f ca="1">IF(ISNUMBER(MATCH(DATEVALUE($A202),'recurring1_based on steps'!G$1:G$400,0)),G$2,)</f>
        <v>0</v>
      </c>
      <c r="H202" s="179">
        <f ca="1">IF(ISNUMBER(MATCH(DATEVALUE($A202),'recurring1_based on steps'!H$1:H$400,0)),H$2,)</f>
        <v>0</v>
      </c>
      <c r="I202" s="179">
        <f ca="1">IF(ISNUMBER(MATCH(DATEVALUE($A202),'recurring1_based on steps'!I$1:I$400,0)),I$2,)</f>
        <v>0</v>
      </c>
      <c r="J202" s="179">
        <f ca="1">IF(ISNUMBER(MATCH(DATEVALUE($A202),'recurring1_based on steps'!J$1:J$400,0)),J$2,)</f>
        <v>0</v>
      </c>
      <c r="K202" s="179">
        <f ca="1">IF(ISNUMBER(MATCH(DATEVALUE($A202),'recurring1_based on steps'!K$1:K$400,0)),K$2,)</f>
        <v>0</v>
      </c>
      <c r="L202" s="179">
        <f ca="1">IF(ISNUMBER(MATCH(DATEVALUE($A202),'recurring1_based on steps'!L$1:L$400,0)),L$2,)</f>
        <v>0</v>
      </c>
      <c r="M202" s="179">
        <f ca="1">IF(ISNUMBER(MATCH(DATEVALUE($A202),'recurring1_based on steps'!M$1:M$400,0)),M$2,)</f>
        <v>0</v>
      </c>
      <c r="N202" s="179">
        <f ca="1">IF(ISNUMBER(MATCH(DATEVALUE($A202),'recurring1_based on steps'!N$1:N$400,0)),N$2,)</f>
        <v>0</v>
      </c>
      <c r="O202" s="179">
        <f ca="1">IF(ISNUMBER(MATCH(DATEVALUE($A202),'recurring1_based on steps'!O$1:O$400,0)),O$2,)</f>
        <v>0</v>
      </c>
      <c r="P202" s="179">
        <f ca="1">IF(ISNUMBER(MATCH(DATEVALUE($A202),'recurring1_based on steps'!P$1:P$400,0)),P$2,)</f>
        <v>0</v>
      </c>
      <c r="Q202" s="179">
        <f ca="1">IF(ISNUMBER(MATCH(DATEVALUE($A202),'recurring1_based on steps'!Q$1:Q$400,0)),Q$2,)</f>
        <v>0</v>
      </c>
      <c r="R202" s="179">
        <f ca="1">IF(ISNUMBER(MATCH(DATEVALUE($A202),'recurring1_based on steps'!R$1:R$400,0)),R$2,)</f>
        <v>0</v>
      </c>
      <c r="S202" s="179">
        <f ca="1">IF(ISNUMBER(MATCH(DATEVALUE($A202),'recurring1_based on steps'!S$1:S$400,0)),S$2,)</f>
        <v>0</v>
      </c>
      <c r="T202" s="179">
        <f ca="1">IF(ISNUMBER(MATCH(DATEVALUE($A202),'recurring1_based on steps'!T$1:T$400,0)),T$2,)</f>
        <v>0</v>
      </c>
      <c r="U202" s="179">
        <f ca="1">IF(ISNUMBER(MATCH(DATEVALUE($A202),'recurring1_based on steps'!U$1:U$400,0)),U$2,)</f>
        <v>0</v>
      </c>
      <c r="V202" s="179">
        <f ca="1">IF(ISNUMBER(MATCH(DATEVALUE($A202),'recurring1_based on steps'!V$1:V$400,0)),V$2,)</f>
        <v>0</v>
      </c>
      <c r="W202" s="179">
        <f ca="1">IF(ISNUMBER(MATCH(DATEVALUE($A202),'recurring1_based on steps'!W$1:W$400,0)),W$2,)</f>
        <v>0</v>
      </c>
      <c r="X202" s="179">
        <f ca="1">IF(ISNUMBER(MATCH(DATEVALUE($A202),'recurring1_based on steps'!X$1:X$400,0)),X$2,)</f>
        <v>0</v>
      </c>
      <c r="Y202" s="179">
        <f ca="1">IF(ISNUMBER(MATCH(DATEVALUE($A202),'recurring1_based on steps'!Y$1:Y$400,0)),Y$2,)</f>
        <v>0</v>
      </c>
      <c r="Z202" s="179">
        <f ca="1">IF(ISNUMBER(MATCH(DATEVALUE($A202),'recurring1_based on steps'!Z$1:Z$400,0)),Z$2,)</f>
        <v>0</v>
      </c>
      <c r="AA202" s="179">
        <f ca="1">IF(ISNUMBER(MATCH(DATEVALUE($A202),'recurring1_based on steps'!AA$1:AA$400,0)),AA$2,)</f>
        <v>0</v>
      </c>
      <c r="AB202" s="179">
        <f ca="1">IF(ISNUMBER(MATCH(DATEVALUE($A202),'recurring1_based on steps'!AB$1:AB$400,0)),AB$2,)</f>
        <v>0</v>
      </c>
      <c r="AC202" s="179">
        <f ca="1">IF(ISNUMBER(MATCH(DATEVALUE($A202),'recurring1_based on steps'!AC$1:AC$400,0)),AC$2,)</f>
        <v>0</v>
      </c>
      <c r="AD202" s="179">
        <f ca="1">IF(ISNUMBER(MATCH(DATEVALUE($A202),'recurring1_based on steps'!AD$1:AD$400,0)),AD$2,)</f>
        <v>0</v>
      </c>
      <c r="AE202" s="179">
        <f ca="1">IF(ISNUMBER(MATCH(DATEVALUE($A202),'recurring1_based on steps'!AE$1:AE$400,0)),AE$2,)</f>
        <v>0</v>
      </c>
      <c r="AF202" s="179">
        <f ca="1">IF(ISNUMBER(MATCH(DATEVALUE($A202),'recurring1_based on steps'!AF$1:AF$400,0)),AF$2,)</f>
        <v>0</v>
      </c>
      <c r="AG202" s="179">
        <f ca="1">IF(ISNUMBER(MATCH(DATEVALUE($A202),'recurring1_based on steps'!AG$1:AG$400,0)),AG$2,)</f>
        <v>0</v>
      </c>
      <c r="AH202" s="179">
        <f ca="1">IF(ISNUMBER(MATCH(DATEVALUE($A202),'recurring1_based on steps'!AH$1:AH$400,0)),AH$2,)</f>
        <v>0</v>
      </c>
      <c r="AI202" s="179">
        <f ca="1">IF(ISNUMBER(MATCH(DATEVALUE($A202),'recurring1_based on steps'!AI$1:AI$400,0)),AI$2,)</f>
        <v>0</v>
      </c>
      <c r="AJ202" s="179">
        <f ca="1">IF(ISNUMBER(MATCH(DATEVALUE($A202),'recurring1_based on steps'!AJ$1:AJ$400,0)),AJ$2,)</f>
        <v>0</v>
      </c>
      <c r="AK202" s="179">
        <f ca="1">IF(ISNUMBER(MATCH(DATEVALUE($A202),'recurring1_based on steps'!AK$1:AK$400,0)),AK$2,)</f>
        <v>0</v>
      </c>
      <c r="AL202" s="179">
        <f ca="1">IF(ISNUMBER(MATCH(DATEVALUE($A202),'recurring1_based on steps'!AL$1:AL$400,0)),AL$2,)</f>
        <v>0</v>
      </c>
      <c r="AM202" s="179">
        <f ca="1">IF(ISNUMBER(MATCH(DATEVALUE($A202),'recurring1_based on steps'!AM$1:AM$400,0)),AM$2,)</f>
        <v>0</v>
      </c>
      <c r="AN202" s="179">
        <f ca="1">IF(ISNUMBER(MATCH(DATEVALUE($A202),'recurring1_based on steps'!AN$1:AN$400,0)),AN$2,)</f>
        <v>0</v>
      </c>
      <c r="AO202" s="179">
        <f ca="1">IF(ISNUMBER(MATCH(DATEVALUE($A202),'recurring1_based on steps'!AO$1:AO$400,0)),AO$2,)</f>
        <v>0</v>
      </c>
      <c r="AP202" s="179">
        <f ca="1">IF(ISNUMBER(MATCH(DATEVALUE($A202),'recurring1_based on steps'!AP$1:AP$400,0)),AP$2,)</f>
        <v>0</v>
      </c>
      <c r="AQ202" s="179">
        <f ca="1">IF(ISNUMBER(MATCH(DATEVALUE($A202),'recurring1_based on steps'!AQ$1:AQ$400,0)),AQ$2,)</f>
        <v>0</v>
      </c>
      <c r="AR202" s="179">
        <f ca="1">IF(ISNUMBER(MATCH(DATEVALUE($A202),'recurring1_based on steps'!AR$1:AR$400,0)),AR$2,)</f>
        <v>0</v>
      </c>
      <c r="AS202" s="179">
        <f ca="1">IF(ISNUMBER(MATCH(DATEVALUE($A202),'recurring1_based on steps'!AS$1:AS$400,0)),AS$2,)</f>
        <v>0</v>
      </c>
      <c r="AT202" s="179">
        <f ca="1">IF(ISNUMBER(MATCH(DATEVALUE($A202),'recurring1_based on steps'!AT$1:AT$400,0)),AT$2,)</f>
        <v>0</v>
      </c>
      <c r="AU202" s="179">
        <f ca="1">IF(ISNUMBER(MATCH(DATEVALUE($A202),'recurring1_based on steps'!AU$1:AU$400,0)),AU$2,)</f>
        <v>0</v>
      </c>
      <c r="AV202" s="179">
        <f ca="1">IF(ISNUMBER(MATCH(DATEVALUE($A202),'recurring1_based on steps'!AV$1:AV$400,0)),AV$2,)</f>
        <v>0</v>
      </c>
      <c r="AW202" s="179">
        <f ca="1">IF(ISNUMBER(MATCH(DATEVALUE($A202),'recurring1_based on steps'!AW$1:AW$400,0)),AW$2,)</f>
        <v>0</v>
      </c>
      <c r="AX202" s="179">
        <f ca="1">IF(ISNUMBER(MATCH(DATEVALUE($A202),'recurring1_based on steps'!AX$1:AX$400,0)),AX$2,)</f>
        <v>0</v>
      </c>
      <c r="AY202" s="179">
        <f ca="1">IF(ISNUMBER(MATCH(DATEVALUE($A202),'recurring1_based on steps'!AY$1:AY$400,0)),AY$2,)</f>
        <v>0</v>
      </c>
    </row>
    <row r="203" spans="1:51" x14ac:dyDescent="0.2">
      <c r="A203" s="32" t="str">
        <f t="shared" ca="1" si="3"/>
        <v>2025-10-22</v>
      </c>
      <c r="B203" s="179">
        <f ca="1">IF(ISNUMBER(MATCH(DATEVALUE($A203),'recurring1_based on steps'!B$1:B$400,0)),B$2,)</f>
        <v>0</v>
      </c>
      <c r="C203" s="179">
        <f ca="1">IF(ISNUMBER(MATCH(DATEVALUE($A203),'recurring1_based on steps'!C$1:C$400,0)),C$2,)</f>
        <v>0</v>
      </c>
      <c r="D203" s="179">
        <f ca="1">IF(ISNUMBER(MATCH(DATEVALUE($A203),'recurring1_based on steps'!D$1:D$400,0)),D$2,)</f>
        <v>0</v>
      </c>
      <c r="E203" s="179">
        <f ca="1">IF(ISNUMBER(MATCH(DATEVALUE($A203),'recurring1_based on steps'!E$1:E$400,0)),E$2,)</f>
        <v>0</v>
      </c>
      <c r="F203" s="179">
        <f ca="1">IF(ISNUMBER(MATCH(DATEVALUE($A203),'recurring1_based on steps'!F$1:F$400,0)),F$2,)</f>
        <v>0</v>
      </c>
      <c r="G203" s="179">
        <f ca="1">IF(ISNUMBER(MATCH(DATEVALUE($A203),'recurring1_based on steps'!G$1:G$400,0)),G$2,)</f>
        <v>0</v>
      </c>
      <c r="H203" s="179">
        <f ca="1">IF(ISNUMBER(MATCH(DATEVALUE($A203),'recurring1_based on steps'!H$1:H$400,0)),H$2,)</f>
        <v>0</v>
      </c>
      <c r="I203" s="179">
        <f ca="1">IF(ISNUMBER(MATCH(DATEVALUE($A203),'recurring1_based on steps'!I$1:I$400,0)),I$2,)</f>
        <v>0</v>
      </c>
      <c r="J203" s="179">
        <f ca="1">IF(ISNUMBER(MATCH(DATEVALUE($A203),'recurring1_based on steps'!J$1:J$400,0)),J$2,)</f>
        <v>0</v>
      </c>
      <c r="K203" s="179">
        <f ca="1">IF(ISNUMBER(MATCH(DATEVALUE($A203),'recurring1_based on steps'!K$1:K$400,0)),K$2,)</f>
        <v>0</v>
      </c>
      <c r="L203" s="179">
        <f ca="1">IF(ISNUMBER(MATCH(DATEVALUE($A203),'recurring1_based on steps'!L$1:L$400,0)),L$2,)</f>
        <v>0</v>
      </c>
      <c r="M203" s="179">
        <f ca="1">IF(ISNUMBER(MATCH(DATEVALUE($A203),'recurring1_based on steps'!M$1:M$400,0)),M$2,)</f>
        <v>0</v>
      </c>
      <c r="N203" s="179">
        <f ca="1">IF(ISNUMBER(MATCH(DATEVALUE($A203),'recurring1_based on steps'!N$1:N$400,0)),N$2,)</f>
        <v>0</v>
      </c>
      <c r="O203" s="179">
        <f ca="1">IF(ISNUMBER(MATCH(DATEVALUE($A203),'recurring1_based on steps'!O$1:O$400,0)),O$2,)</f>
        <v>0</v>
      </c>
      <c r="P203" s="179">
        <f ca="1">IF(ISNUMBER(MATCH(DATEVALUE($A203),'recurring1_based on steps'!P$1:P$400,0)),P$2,)</f>
        <v>0</v>
      </c>
      <c r="Q203" s="179">
        <f ca="1">IF(ISNUMBER(MATCH(DATEVALUE($A203),'recurring1_based on steps'!Q$1:Q$400,0)),Q$2,)</f>
        <v>0</v>
      </c>
      <c r="R203" s="179">
        <f ca="1">IF(ISNUMBER(MATCH(DATEVALUE($A203),'recurring1_based on steps'!R$1:R$400,0)),R$2,)</f>
        <v>0</v>
      </c>
      <c r="S203" s="179">
        <f ca="1">IF(ISNUMBER(MATCH(DATEVALUE($A203),'recurring1_based on steps'!S$1:S$400,0)),S$2,)</f>
        <v>0</v>
      </c>
      <c r="T203" s="179">
        <f ca="1">IF(ISNUMBER(MATCH(DATEVALUE($A203),'recurring1_based on steps'!T$1:T$400,0)),T$2,)</f>
        <v>0</v>
      </c>
      <c r="U203" s="179">
        <f ca="1">IF(ISNUMBER(MATCH(DATEVALUE($A203),'recurring1_based on steps'!U$1:U$400,0)),U$2,)</f>
        <v>0</v>
      </c>
      <c r="V203" s="179">
        <f ca="1">IF(ISNUMBER(MATCH(DATEVALUE($A203),'recurring1_based on steps'!V$1:V$400,0)),V$2,)</f>
        <v>0</v>
      </c>
      <c r="W203" s="179">
        <f ca="1">IF(ISNUMBER(MATCH(DATEVALUE($A203),'recurring1_based on steps'!W$1:W$400,0)),W$2,)</f>
        <v>0</v>
      </c>
      <c r="X203" s="179">
        <f ca="1">IF(ISNUMBER(MATCH(DATEVALUE($A203),'recurring1_based on steps'!X$1:X$400,0)),X$2,)</f>
        <v>0</v>
      </c>
      <c r="Y203" s="179">
        <f ca="1">IF(ISNUMBER(MATCH(DATEVALUE($A203),'recurring1_based on steps'!Y$1:Y$400,0)),Y$2,)</f>
        <v>0</v>
      </c>
      <c r="Z203" s="179">
        <f ca="1">IF(ISNUMBER(MATCH(DATEVALUE($A203),'recurring1_based on steps'!Z$1:Z$400,0)),Z$2,)</f>
        <v>0</v>
      </c>
      <c r="AA203" s="179">
        <f ca="1">IF(ISNUMBER(MATCH(DATEVALUE($A203),'recurring1_based on steps'!AA$1:AA$400,0)),AA$2,)</f>
        <v>0</v>
      </c>
      <c r="AB203" s="179">
        <f ca="1">IF(ISNUMBER(MATCH(DATEVALUE($A203),'recurring1_based on steps'!AB$1:AB$400,0)),AB$2,)</f>
        <v>0</v>
      </c>
      <c r="AC203" s="179">
        <f ca="1">IF(ISNUMBER(MATCH(DATEVALUE($A203),'recurring1_based on steps'!AC$1:AC$400,0)),AC$2,)</f>
        <v>0</v>
      </c>
      <c r="AD203" s="179">
        <f ca="1">IF(ISNUMBER(MATCH(DATEVALUE($A203),'recurring1_based on steps'!AD$1:AD$400,0)),AD$2,)</f>
        <v>0</v>
      </c>
      <c r="AE203" s="179">
        <f ca="1">IF(ISNUMBER(MATCH(DATEVALUE($A203),'recurring1_based on steps'!AE$1:AE$400,0)),AE$2,)</f>
        <v>0</v>
      </c>
      <c r="AF203" s="179">
        <f ca="1">IF(ISNUMBER(MATCH(DATEVALUE($A203),'recurring1_based on steps'!AF$1:AF$400,0)),AF$2,)</f>
        <v>0</v>
      </c>
      <c r="AG203" s="179">
        <f ca="1">IF(ISNUMBER(MATCH(DATEVALUE($A203),'recurring1_based on steps'!AG$1:AG$400,0)),AG$2,)</f>
        <v>0</v>
      </c>
      <c r="AH203" s="179">
        <f ca="1">IF(ISNUMBER(MATCH(DATEVALUE($A203),'recurring1_based on steps'!AH$1:AH$400,0)),AH$2,)</f>
        <v>0</v>
      </c>
      <c r="AI203" s="179">
        <f ca="1">IF(ISNUMBER(MATCH(DATEVALUE($A203),'recurring1_based on steps'!AI$1:AI$400,0)),AI$2,)</f>
        <v>0</v>
      </c>
      <c r="AJ203" s="179">
        <f ca="1">IF(ISNUMBER(MATCH(DATEVALUE($A203),'recurring1_based on steps'!AJ$1:AJ$400,0)),AJ$2,)</f>
        <v>0</v>
      </c>
      <c r="AK203" s="179">
        <f ca="1">IF(ISNUMBER(MATCH(DATEVALUE($A203),'recurring1_based on steps'!AK$1:AK$400,0)),AK$2,)</f>
        <v>0</v>
      </c>
      <c r="AL203" s="179">
        <f ca="1">IF(ISNUMBER(MATCH(DATEVALUE($A203),'recurring1_based on steps'!AL$1:AL$400,0)),AL$2,)</f>
        <v>0</v>
      </c>
      <c r="AM203" s="179">
        <f ca="1">IF(ISNUMBER(MATCH(DATEVALUE($A203),'recurring1_based on steps'!AM$1:AM$400,0)),AM$2,)</f>
        <v>0</v>
      </c>
      <c r="AN203" s="179">
        <f ca="1">IF(ISNUMBER(MATCH(DATEVALUE($A203),'recurring1_based on steps'!AN$1:AN$400,0)),AN$2,)</f>
        <v>0</v>
      </c>
      <c r="AO203" s="179">
        <f ca="1">IF(ISNUMBER(MATCH(DATEVALUE($A203),'recurring1_based on steps'!AO$1:AO$400,0)),AO$2,)</f>
        <v>0</v>
      </c>
      <c r="AP203" s="179">
        <f ca="1">IF(ISNUMBER(MATCH(DATEVALUE($A203),'recurring1_based on steps'!AP$1:AP$400,0)),AP$2,)</f>
        <v>0</v>
      </c>
      <c r="AQ203" s="179">
        <f ca="1">IF(ISNUMBER(MATCH(DATEVALUE($A203),'recurring1_based on steps'!AQ$1:AQ$400,0)),AQ$2,)</f>
        <v>0</v>
      </c>
      <c r="AR203" s="179">
        <f ca="1">IF(ISNUMBER(MATCH(DATEVALUE($A203),'recurring1_based on steps'!AR$1:AR$400,0)),AR$2,)</f>
        <v>0</v>
      </c>
      <c r="AS203" s="179">
        <f ca="1">IF(ISNUMBER(MATCH(DATEVALUE($A203),'recurring1_based on steps'!AS$1:AS$400,0)),AS$2,)</f>
        <v>0</v>
      </c>
      <c r="AT203" s="179">
        <f ca="1">IF(ISNUMBER(MATCH(DATEVALUE($A203),'recurring1_based on steps'!AT$1:AT$400,0)),AT$2,)</f>
        <v>0</v>
      </c>
      <c r="AU203" s="179">
        <f ca="1">IF(ISNUMBER(MATCH(DATEVALUE($A203),'recurring1_based on steps'!AU$1:AU$400,0)),AU$2,)</f>
        <v>0</v>
      </c>
      <c r="AV203" s="179">
        <f ca="1">IF(ISNUMBER(MATCH(DATEVALUE($A203),'recurring1_based on steps'!AV$1:AV$400,0)),AV$2,)</f>
        <v>0</v>
      </c>
      <c r="AW203" s="179">
        <f ca="1">IF(ISNUMBER(MATCH(DATEVALUE($A203),'recurring1_based on steps'!AW$1:AW$400,0)),AW$2,)</f>
        <v>0</v>
      </c>
      <c r="AX203" s="179">
        <f ca="1">IF(ISNUMBER(MATCH(DATEVALUE($A203),'recurring1_based on steps'!AX$1:AX$400,0)),AX$2,)</f>
        <v>0</v>
      </c>
      <c r="AY203" s="179">
        <f ca="1">IF(ISNUMBER(MATCH(DATEVALUE($A203),'recurring1_based on steps'!AY$1:AY$400,0)),AY$2,)</f>
        <v>0</v>
      </c>
    </row>
    <row r="204" spans="1:51" x14ac:dyDescent="0.2">
      <c r="A204" s="32" t="str">
        <f t="shared" ca="1" si="3"/>
        <v>2025-10-23</v>
      </c>
      <c r="B204" s="179">
        <f ca="1">IF(ISNUMBER(MATCH(DATEVALUE($A204),'recurring1_based on steps'!B$1:B$400,0)),B$2,)</f>
        <v>0</v>
      </c>
      <c r="C204" s="179">
        <f ca="1">IF(ISNUMBER(MATCH(DATEVALUE($A204),'recurring1_based on steps'!C$1:C$400,0)),C$2,)</f>
        <v>0</v>
      </c>
      <c r="D204" s="179">
        <f ca="1">IF(ISNUMBER(MATCH(DATEVALUE($A204),'recurring1_based on steps'!D$1:D$400,0)),D$2,)</f>
        <v>0</v>
      </c>
      <c r="E204" s="179">
        <f ca="1">IF(ISNUMBER(MATCH(DATEVALUE($A204),'recurring1_based on steps'!E$1:E$400,0)),E$2,)</f>
        <v>0</v>
      </c>
      <c r="F204" s="179">
        <f ca="1">IF(ISNUMBER(MATCH(DATEVALUE($A204),'recurring1_based on steps'!F$1:F$400,0)),F$2,)</f>
        <v>0</v>
      </c>
      <c r="G204" s="179">
        <f ca="1">IF(ISNUMBER(MATCH(DATEVALUE($A204),'recurring1_based on steps'!G$1:G$400,0)),G$2,)</f>
        <v>0</v>
      </c>
      <c r="H204" s="179">
        <f ca="1">IF(ISNUMBER(MATCH(DATEVALUE($A204),'recurring1_based on steps'!H$1:H$400,0)),H$2,)</f>
        <v>0</v>
      </c>
      <c r="I204" s="179">
        <f ca="1">IF(ISNUMBER(MATCH(DATEVALUE($A204),'recurring1_based on steps'!I$1:I$400,0)),I$2,)</f>
        <v>0</v>
      </c>
      <c r="J204" s="179">
        <f ca="1">IF(ISNUMBER(MATCH(DATEVALUE($A204),'recurring1_based on steps'!J$1:J$400,0)),J$2,)</f>
        <v>0</v>
      </c>
      <c r="K204" s="179">
        <f ca="1">IF(ISNUMBER(MATCH(DATEVALUE($A204),'recurring1_based on steps'!K$1:K$400,0)),K$2,)</f>
        <v>0</v>
      </c>
      <c r="L204" s="179">
        <f ca="1">IF(ISNUMBER(MATCH(DATEVALUE($A204),'recurring1_based on steps'!L$1:L$400,0)),L$2,)</f>
        <v>0</v>
      </c>
      <c r="M204" s="179">
        <f ca="1">IF(ISNUMBER(MATCH(DATEVALUE($A204),'recurring1_based on steps'!M$1:M$400,0)),M$2,)</f>
        <v>0</v>
      </c>
      <c r="N204" s="179">
        <f ca="1">IF(ISNUMBER(MATCH(DATEVALUE($A204),'recurring1_based on steps'!N$1:N$400,0)),N$2,)</f>
        <v>0</v>
      </c>
      <c r="O204" s="179">
        <f ca="1">IF(ISNUMBER(MATCH(DATEVALUE($A204),'recurring1_based on steps'!O$1:O$400,0)),O$2,)</f>
        <v>0</v>
      </c>
      <c r="P204" s="179">
        <f ca="1">IF(ISNUMBER(MATCH(DATEVALUE($A204),'recurring1_based on steps'!P$1:P$400,0)),P$2,)</f>
        <v>0</v>
      </c>
      <c r="Q204" s="179">
        <f ca="1">IF(ISNUMBER(MATCH(DATEVALUE($A204),'recurring1_based on steps'!Q$1:Q$400,0)),Q$2,)</f>
        <v>0</v>
      </c>
      <c r="R204" s="179">
        <f ca="1">IF(ISNUMBER(MATCH(DATEVALUE($A204),'recurring1_based on steps'!R$1:R$400,0)),R$2,)</f>
        <v>0</v>
      </c>
      <c r="S204" s="179">
        <f ca="1">IF(ISNUMBER(MATCH(DATEVALUE($A204),'recurring1_based on steps'!S$1:S$400,0)),S$2,)</f>
        <v>0</v>
      </c>
      <c r="T204" s="179">
        <f ca="1">IF(ISNUMBER(MATCH(DATEVALUE($A204),'recurring1_based on steps'!T$1:T$400,0)),T$2,)</f>
        <v>0</v>
      </c>
      <c r="U204" s="179">
        <f ca="1">IF(ISNUMBER(MATCH(DATEVALUE($A204),'recurring1_based on steps'!U$1:U$400,0)),U$2,)</f>
        <v>0</v>
      </c>
      <c r="V204" s="179">
        <f ca="1">IF(ISNUMBER(MATCH(DATEVALUE($A204),'recurring1_based on steps'!V$1:V$400,0)),V$2,)</f>
        <v>0</v>
      </c>
      <c r="W204" s="179">
        <f ca="1">IF(ISNUMBER(MATCH(DATEVALUE($A204),'recurring1_based on steps'!W$1:W$400,0)),W$2,)</f>
        <v>0</v>
      </c>
      <c r="X204" s="179">
        <f ca="1">IF(ISNUMBER(MATCH(DATEVALUE($A204),'recurring1_based on steps'!X$1:X$400,0)),X$2,)</f>
        <v>0</v>
      </c>
      <c r="Y204" s="179">
        <f ca="1">IF(ISNUMBER(MATCH(DATEVALUE($A204),'recurring1_based on steps'!Y$1:Y$400,0)),Y$2,)</f>
        <v>0</v>
      </c>
      <c r="Z204" s="179">
        <f ca="1">IF(ISNUMBER(MATCH(DATEVALUE($A204),'recurring1_based on steps'!Z$1:Z$400,0)),Z$2,)</f>
        <v>0</v>
      </c>
      <c r="AA204" s="179">
        <f ca="1">IF(ISNUMBER(MATCH(DATEVALUE($A204),'recurring1_based on steps'!AA$1:AA$400,0)),AA$2,)</f>
        <v>0</v>
      </c>
      <c r="AB204" s="179">
        <f ca="1">IF(ISNUMBER(MATCH(DATEVALUE($A204),'recurring1_based on steps'!AB$1:AB$400,0)),AB$2,)</f>
        <v>0</v>
      </c>
      <c r="AC204" s="179">
        <f ca="1">IF(ISNUMBER(MATCH(DATEVALUE($A204),'recurring1_based on steps'!AC$1:AC$400,0)),AC$2,)</f>
        <v>0</v>
      </c>
      <c r="AD204" s="179">
        <f ca="1">IF(ISNUMBER(MATCH(DATEVALUE($A204),'recurring1_based on steps'!AD$1:AD$400,0)),AD$2,)</f>
        <v>0</v>
      </c>
      <c r="AE204" s="179">
        <f ca="1">IF(ISNUMBER(MATCH(DATEVALUE($A204),'recurring1_based on steps'!AE$1:AE$400,0)),AE$2,)</f>
        <v>0</v>
      </c>
      <c r="AF204" s="179">
        <f ca="1">IF(ISNUMBER(MATCH(DATEVALUE($A204),'recurring1_based on steps'!AF$1:AF$400,0)),AF$2,)</f>
        <v>0</v>
      </c>
      <c r="AG204" s="179">
        <f ca="1">IF(ISNUMBER(MATCH(DATEVALUE($A204),'recurring1_based on steps'!AG$1:AG$400,0)),AG$2,)</f>
        <v>0</v>
      </c>
      <c r="AH204" s="179">
        <f ca="1">IF(ISNUMBER(MATCH(DATEVALUE($A204),'recurring1_based on steps'!AH$1:AH$400,0)),AH$2,)</f>
        <v>0</v>
      </c>
      <c r="AI204" s="179">
        <f ca="1">IF(ISNUMBER(MATCH(DATEVALUE($A204),'recurring1_based on steps'!AI$1:AI$400,0)),AI$2,)</f>
        <v>0</v>
      </c>
      <c r="AJ204" s="179">
        <f ca="1">IF(ISNUMBER(MATCH(DATEVALUE($A204),'recurring1_based on steps'!AJ$1:AJ$400,0)),AJ$2,)</f>
        <v>0</v>
      </c>
      <c r="AK204" s="179">
        <f ca="1">IF(ISNUMBER(MATCH(DATEVALUE($A204),'recurring1_based on steps'!AK$1:AK$400,0)),AK$2,)</f>
        <v>0</v>
      </c>
      <c r="AL204" s="179">
        <f ca="1">IF(ISNUMBER(MATCH(DATEVALUE($A204),'recurring1_based on steps'!AL$1:AL$400,0)),AL$2,)</f>
        <v>0</v>
      </c>
      <c r="AM204" s="179">
        <f ca="1">IF(ISNUMBER(MATCH(DATEVALUE($A204),'recurring1_based on steps'!AM$1:AM$400,0)),AM$2,)</f>
        <v>0</v>
      </c>
      <c r="AN204" s="179">
        <f ca="1">IF(ISNUMBER(MATCH(DATEVALUE($A204),'recurring1_based on steps'!AN$1:AN$400,0)),AN$2,)</f>
        <v>0</v>
      </c>
      <c r="AO204" s="179">
        <f ca="1">IF(ISNUMBER(MATCH(DATEVALUE($A204),'recurring1_based on steps'!AO$1:AO$400,0)),AO$2,)</f>
        <v>0</v>
      </c>
      <c r="AP204" s="179">
        <f ca="1">IF(ISNUMBER(MATCH(DATEVALUE($A204),'recurring1_based on steps'!AP$1:AP$400,0)),AP$2,)</f>
        <v>0</v>
      </c>
      <c r="AQ204" s="179">
        <f ca="1">IF(ISNUMBER(MATCH(DATEVALUE($A204),'recurring1_based on steps'!AQ$1:AQ$400,0)),AQ$2,)</f>
        <v>0</v>
      </c>
      <c r="AR204" s="179">
        <f ca="1">IF(ISNUMBER(MATCH(DATEVALUE($A204),'recurring1_based on steps'!AR$1:AR$400,0)),AR$2,)</f>
        <v>0</v>
      </c>
      <c r="AS204" s="179">
        <f ca="1">IF(ISNUMBER(MATCH(DATEVALUE($A204),'recurring1_based on steps'!AS$1:AS$400,0)),AS$2,)</f>
        <v>0</v>
      </c>
      <c r="AT204" s="179">
        <f ca="1">IF(ISNUMBER(MATCH(DATEVALUE($A204),'recurring1_based on steps'!AT$1:AT$400,0)),AT$2,)</f>
        <v>0</v>
      </c>
      <c r="AU204" s="179">
        <f ca="1">IF(ISNUMBER(MATCH(DATEVALUE($A204),'recurring1_based on steps'!AU$1:AU$400,0)),AU$2,)</f>
        <v>0</v>
      </c>
      <c r="AV204" s="179">
        <f ca="1">IF(ISNUMBER(MATCH(DATEVALUE($A204),'recurring1_based on steps'!AV$1:AV$400,0)),AV$2,)</f>
        <v>0</v>
      </c>
      <c r="AW204" s="179">
        <f ca="1">IF(ISNUMBER(MATCH(DATEVALUE($A204),'recurring1_based on steps'!AW$1:AW$400,0)),AW$2,)</f>
        <v>0</v>
      </c>
      <c r="AX204" s="179">
        <f ca="1">IF(ISNUMBER(MATCH(DATEVALUE($A204),'recurring1_based on steps'!AX$1:AX$400,0)),AX$2,)</f>
        <v>0</v>
      </c>
      <c r="AY204" s="179">
        <f ca="1">IF(ISNUMBER(MATCH(DATEVALUE($A204),'recurring1_based on steps'!AY$1:AY$400,0)),AY$2,)</f>
        <v>0</v>
      </c>
    </row>
    <row r="205" spans="1:51" x14ac:dyDescent="0.2">
      <c r="A205" s="32" t="str">
        <f t="shared" ca="1" si="3"/>
        <v>2025-10-24</v>
      </c>
      <c r="B205" s="179">
        <f ca="1">IF(ISNUMBER(MATCH(DATEVALUE($A205),'recurring1_based on steps'!B$1:B$400,0)),B$2,)</f>
        <v>0</v>
      </c>
      <c r="C205" s="179">
        <f ca="1">IF(ISNUMBER(MATCH(DATEVALUE($A205),'recurring1_based on steps'!C$1:C$400,0)),C$2,)</f>
        <v>0</v>
      </c>
      <c r="D205" s="179">
        <f ca="1">IF(ISNUMBER(MATCH(DATEVALUE($A205),'recurring1_based on steps'!D$1:D$400,0)),D$2,)</f>
        <v>0</v>
      </c>
      <c r="E205" s="179">
        <f ca="1">IF(ISNUMBER(MATCH(DATEVALUE($A205),'recurring1_based on steps'!E$1:E$400,0)),E$2,)</f>
        <v>0</v>
      </c>
      <c r="F205" s="179">
        <f ca="1">IF(ISNUMBER(MATCH(DATEVALUE($A205),'recurring1_based on steps'!F$1:F$400,0)),F$2,)</f>
        <v>0</v>
      </c>
      <c r="G205" s="179">
        <f ca="1">IF(ISNUMBER(MATCH(DATEVALUE($A205),'recurring1_based on steps'!G$1:G$400,0)),G$2,)</f>
        <v>0</v>
      </c>
      <c r="H205" s="179">
        <f ca="1">IF(ISNUMBER(MATCH(DATEVALUE($A205),'recurring1_based on steps'!H$1:H$400,0)),H$2,)</f>
        <v>0</v>
      </c>
      <c r="I205" s="179">
        <f ca="1">IF(ISNUMBER(MATCH(DATEVALUE($A205),'recurring1_based on steps'!I$1:I$400,0)),I$2,)</f>
        <v>0</v>
      </c>
      <c r="J205" s="179">
        <f ca="1">IF(ISNUMBER(MATCH(DATEVALUE($A205),'recurring1_based on steps'!J$1:J$400,0)),J$2,)</f>
        <v>0</v>
      </c>
      <c r="K205" s="179">
        <f ca="1">IF(ISNUMBER(MATCH(DATEVALUE($A205),'recurring1_based on steps'!K$1:K$400,0)),K$2,)</f>
        <v>0</v>
      </c>
      <c r="L205" s="179">
        <f ca="1">IF(ISNUMBER(MATCH(DATEVALUE($A205),'recurring1_based on steps'!L$1:L$400,0)),L$2,)</f>
        <v>0</v>
      </c>
      <c r="M205" s="179">
        <f ca="1">IF(ISNUMBER(MATCH(DATEVALUE($A205),'recurring1_based on steps'!M$1:M$400,0)),M$2,)</f>
        <v>0</v>
      </c>
      <c r="N205" s="179">
        <f ca="1">IF(ISNUMBER(MATCH(DATEVALUE($A205),'recurring1_based on steps'!N$1:N$400,0)),N$2,)</f>
        <v>0</v>
      </c>
      <c r="O205" s="179">
        <f ca="1">IF(ISNUMBER(MATCH(DATEVALUE($A205),'recurring1_based on steps'!O$1:O$400,0)),O$2,)</f>
        <v>0</v>
      </c>
      <c r="P205" s="179">
        <f ca="1">IF(ISNUMBER(MATCH(DATEVALUE($A205),'recurring1_based on steps'!P$1:P$400,0)),P$2,)</f>
        <v>0</v>
      </c>
      <c r="Q205" s="179">
        <f ca="1">IF(ISNUMBER(MATCH(DATEVALUE($A205),'recurring1_based on steps'!Q$1:Q$400,0)),Q$2,)</f>
        <v>0</v>
      </c>
      <c r="R205" s="179">
        <f ca="1">IF(ISNUMBER(MATCH(DATEVALUE($A205),'recurring1_based on steps'!R$1:R$400,0)),R$2,)</f>
        <v>0</v>
      </c>
      <c r="S205" s="179">
        <f ca="1">IF(ISNUMBER(MATCH(DATEVALUE($A205),'recurring1_based on steps'!S$1:S$400,0)),S$2,)</f>
        <v>0</v>
      </c>
      <c r="T205" s="179">
        <f ca="1">IF(ISNUMBER(MATCH(DATEVALUE($A205),'recurring1_based on steps'!T$1:T$400,0)),T$2,)</f>
        <v>0</v>
      </c>
      <c r="U205" s="179">
        <f ca="1">IF(ISNUMBER(MATCH(DATEVALUE($A205),'recurring1_based on steps'!U$1:U$400,0)),U$2,)</f>
        <v>0</v>
      </c>
      <c r="V205" s="179">
        <f ca="1">IF(ISNUMBER(MATCH(DATEVALUE($A205),'recurring1_based on steps'!V$1:V$400,0)),V$2,)</f>
        <v>0</v>
      </c>
      <c r="W205" s="179">
        <f ca="1">IF(ISNUMBER(MATCH(DATEVALUE($A205),'recurring1_based on steps'!W$1:W$400,0)),W$2,)</f>
        <v>0</v>
      </c>
      <c r="X205" s="179">
        <f ca="1">IF(ISNUMBER(MATCH(DATEVALUE($A205),'recurring1_based on steps'!X$1:X$400,0)),X$2,)</f>
        <v>0</v>
      </c>
      <c r="Y205" s="179">
        <f ca="1">IF(ISNUMBER(MATCH(DATEVALUE($A205),'recurring1_based on steps'!Y$1:Y$400,0)),Y$2,)</f>
        <v>0</v>
      </c>
      <c r="Z205" s="179">
        <f ca="1">IF(ISNUMBER(MATCH(DATEVALUE($A205),'recurring1_based on steps'!Z$1:Z$400,0)),Z$2,)</f>
        <v>0</v>
      </c>
      <c r="AA205" s="179">
        <f ca="1">IF(ISNUMBER(MATCH(DATEVALUE($A205),'recurring1_based on steps'!AA$1:AA$400,0)),AA$2,)</f>
        <v>0</v>
      </c>
      <c r="AB205" s="179">
        <f ca="1">IF(ISNUMBER(MATCH(DATEVALUE($A205),'recurring1_based on steps'!AB$1:AB$400,0)),AB$2,)</f>
        <v>0</v>
      </c>
      <c r="AC205" s="179">
        <f ca="1">IF(ISNUMBER(MATCH(DATEVALUE($A205),'recurring1_based on steps'!AC$1:AC$400,0)),AC$2,)</f>
        <v>0</v>
      </c>
      <c r="AD205" s="179">
        <f ca="1">IF(ISNUMBER(MATCH(DATEVALUE($A205),'recurring1_based on steps'!AD$1:AD$400,0)),AD$2,)</f>
        <v>0</v>
      </c>
      <c r="AE205" s="179">
        <f ca="1">IF(ISNUMBER(MATCH(DATEVALUE($A205),'recurring1_based on steps'!AE$1:AE$400,0)),AE$2,)</f>
        <v>0</v>
      </c>
      <c r="AF205" s="179">
        <f ca="1">IF(ISNUMBER(MATCH(DATEVALUE($A205),'recurring1_based on steps'!AF$1:AF$400,0)),AF$2,)</f>
        <v>0</v>
      </c>
      <c r="AG205" s="179">
        <f ca="1">IF(ISNUMBER(MATCH(DATEVALUE($A205),'recurring1_based on steps'!AG$1:AG$400,0)),AG$2,)</f>
        <v>0</v>
      </c>
      <c r="AH205" s="179">
        <f ca="1">IF(ISNUMBER(MATCH(DATEVALUE($A205),'recurring1_based on steps'!AH$1:AH$400,0)),AH$2,)</f>
        <v>0</v>
      </c>
      <c r="AI205" s="179">
        <f ca="1">IF(ISNUMBER(MATCH(DATEVALUE($A205),'recurring1_based on steps'!AI$1:AI$400,0)),AI$2,)</f>
        <v>0</v>
      </c>
      <c r="AJ205" s="179">
        <f ca="1">IF(ISNUMBER(MATCH(DATEVALUE($A205),'recurring1_based on steps'!AJ$1:AJ$400,0)),AJ$2,)</f>
        <v>0</v>
      </c>
      <c r="AK205" s="179">
        <f ca="1">IF(ISNUMBER(MATCH(DATEVALUE($A205),'recurring1_based on steps'!AK$1:AK$400,0)),AK$2,)</f>
        <v>0</v>
      </c>
      <c r="AL205" s="179">
        <f ca="1">IF(ISNUMBER(MATCH(DATEVALUE($A205),'recurring1_based on steps'!AL$1:AL$400,0)),AL$2,)</f>
        <v>0</v>
      </c>
      <c r="AM205" s="179">
        <f ca="1">IF(ISNUMBER(MATCH(DATEVALUE($A205),'recurring1_based on steps'!AM$1:AM$400,0)),AM$2,)</f>
        <v>0</v>
      </c>
      <c r="AN205" s="179">
        <f ca="1">IF(ISNUMBER(MATCH(DATEVALUE($A205),'recurring1_based on steps'!AN$1:AN$400,0)),AN$2,)</f>
        <v>0</v>
      </c>
      <c r="AO205" s="179">
        <f ca="1">IF(ISNUMBER(MATCH(DATEVALUE($A205),'recurring1_based on steps'!AO$1:AO$400,0)),AO$2,)</f>
        <v>0</v>
      </c>
      <c r="AP205" s="179">
        <f ca="1">IF(ISNUMBER(MATCH(DATEVALUE($A205),'recurring1_based on steps'!AP$1:AP$400,0)),AP$2,)</f>
        <v>0</v>
      </c>
      <c r="AQ205" s="179">
        <f ca="1">IF(ISNUMBER(MATCH(DATEVALUE($A205),'recurring1_based on steps'!AQ$1:AQ$400,0)),AQ$2,)</f>
        <v>0</v>
      </c>
      <c r="AR205" s="179">
        <f ca="1">IF(ISNUMBER(MATCH(DATEVALUE($A205),'recurring1_based on steps'!AR$1:AR$400,0)),AR$2,)</f>
        <v>0</v>
      </c>
      <c r="AS205" s="179">
        <f ca="1">IF(ISNUMBER(MATCH(DATEVALUE($A205),'recurring1_based on steps'!AS$1:AS$400,0)),AS$2,)</f>
        <v>0</v>
      </c>
      <c r="AT205" s="179">
        <f ca="1">IF(ISNUMBER(MATCH(DATEVALUE($A205),'recurring1_based on steps'!AT$1:AT$400,0)),AT$2,)</f>
        <v>0</v>
      </c>
      <c r="AU205" s="179">
        <f ca="1">IF(ISNUMBER(MATCH(DATEVALUE($A205),'recurring1_based on steps'!AU$1:AU$400,0)),AU$2,)</f>
        <v>0</v>
      </c>
      <c r="AV205" s="179">
        <f ca="1">IF(ISNUMBER(MATCH(DATEVALUE($A205),'recurring1_based on steps'!AV$1:AV$400,0)),AV$2,)</f>
        <v>0</v>
      </c>
      <c r="AW205" s="179">
        <f ca="1">IF(ISNUMBER(MATCH(DATEVALUE($A205),'recurring1_based on steps'!AW$1:AW$400,0)),AW$2,)</f>
        <v>0</v>
      </c>
      <c r="AX205" s="179">
        <f ca="1">IF(ISNUMBER(MATCH(DATEVALUE($A205),'recurring1_based on steps'!AX$1:AX$400,0)),AX$2,)</f>
        <v>0</v>
      </c>
      <c r="AY205" s="179">
        <f ca="1">IF(ISNUMBER(MATCH(DATEVALUE($A205),'recurring1_based on steps'!AY$1:AY$400,0)),AY$2,)</f>
        <v>0</v>
      </c>
    </row>
    <row r="206" spans="1:51" x14ac:dyDescent="0.2">
      <c r="A206" s="32" t="str">
        <f t="shared" ca="1" si="3"/>
        <v>2025-10-25</v>
      </c>
      <c r="B206" s="179">
        <f ca="1">IF(ISNUMBER(MATCH(DATEVALUE($A206),'recurring1_based on steps'!B$1:B$400,0)),B$2,)</f>
        <v>0</v>
      </c>
      <c r="C206" s="179">
        <f ca="1">IF(ISNUMBER(MATCH(DATEVALUE($A206),'recurring1_based on steps'!C$1:C$400,0)),C$2,)</f>
        <v>0</v>
      </c>
      <c r="D206" s="179">
        <f ca="1">IF(ISNUMBER(MATCH(DATEVALUE($A206),'recurring1_based on steps'!D$1:D$400,0)),D$2,)</f>
        <v>0</v>
      </c>
      <c r="E206" s="179">
        <f ca="1">IF(ISNUMBER(MATCH(DATEVALUE($A206),'recurring1_based on steps'!E$1:E$400,0)),E$2,)</f>
        <v>0</v>
      </c>
      <c r="F206" s="179">
        <f ca="1">IF(ISNUMBER(MATCH(DATEVALUE($A206),'recurring1_based on steps'!F$1:F$400,0)),F$2,)</f>
        <v>0</v>
      </c>
      <c r="G206" s="179">
        <f ca="1">IF(ISNUMBER(MATCH(DATEVALUE($A206),'recurring1_based on steps'!G$1:G$400,0)),G$2,)</f>
        <v>0</v>
      </c>
      <c r="H206" s="179">
        <f ca="1">IF(ISNUMBER(MATCH(DATEVALUE($A206),'recurring1_based on steps'!H$1:H$400,0)),H$2,)</f>
        <v>0</v>
      </c>
      <c r="I206" s="179">
        <f ca="1">IF(ISNUMBER(MATCH(DATEVALUE($A206),'recurring1_based on steps'!I$1:I$400,0)),I$2,)</f>
        <v>0</v>
      </c>
      <c r="J206" s="179">
        <f ca="1">IF(ISNUMBER(MATCH(DATEVALUE($A206),'recurring1_based on steps'!J$1:J$400,0)),J$2,)</f>
        <v>0</v>
      </c>
      <c r="K206" s="179">
        <f ca="1">IF(ISNUMBER(MATCH(DATEVALUE($A206),'recurring1_based on steps'!K$1:K$400,0)),K$2,)</f>
        <v>0</v>
      </c>
      <c r="L206" s="179">
        <f ca="1">IF(ISNUMBER(MATCH(DATEVALUE($A206),'recurring1_based on steps'!L$1:L$400,0)),L$2,)</f>
        <v>0</v>
      </c>
      <c r="M206" s="179">
        <f ca="1">IF(ISNUMBER(MATCH(DATEVALUE($A206),'recurring1_based on steps'!M$1:M$400,0)),M$2,)</f>
        <v>0</v>
      </c>
      <c r="N206" s="179">
        <f ca="1">IF(ISNUMBER(MATCH(DATEVALUE($A206),'recurring1_based on steps'!N$1:N$400,0)),N$2,)</f>
        <v>0</v>
      </c>
      <c r="O206" s="179">
        <f ca="1">IF(ISNUMBER(MATCH(DATEVALUE($A206),'recurring1_based on steps'!O$1:O$400,0)),O$2,)</f>
        <v>0</v>
      </c>
      <c r="P206" s="179">
        <f ca="1">IF(ISNUMBER(MATCH(DATEVALUE($A206),'recurring1_based on steps'!P$1:P$400,0)),P$2,)</f>
        <v>0</v>
      </c>
      <c r="Q206" s="179">
        <f ca="1">IF(ISNUMBER(MATCH(DATEVALUE($A206),'recurring1_based on steps'!Q$1:Q$400,0)),Q$2,)</f>
        <v>0</v>
      </c>
      <c r="R206" s="179">
        <f ca="1">IF(ISNUMBER(MATCH(DATEVALUE($A206),'recurring1_based on steps'!R$1:R$400,0)),R$2,)</f>
        <v>0</v>
      </c>
      <c r="S206" s="179">
        <f ca="1">IF(ISNUMBER(MATCH(DATEVALUE($A206),'recurring1_based on steps'!S$1:S$400,0)),S$2,)</f>
        <v>0</v>
      </c>
      <c r="T206" s="179">
        <f ca="1">IF(ISNUMBER(MATCH(DATEVALUE($A206),'recurring1_based on steps'!T$1:T$400,0)),T$2,)</f>
        <v>0</v>
      </c>
      <c r="U206" s="179">
        <f ca="1">IF(ISNUMBER(MATCH(DATEVALUE($A206),'recurring1_based on steps'!U$1:U$400,0)),U$2,)</f>
        <v>0</v>
      </c>
      <c r="V206" s="179">
        <f ca="1">IF(ISNUMBER(MATCH(DATEVALUE($A206),'recurring1_based on steps'!V$1:V$400,0)),V$2,)</f>
        <v>0</v>
      </c>
      <c r="W206" s="179">
        <f ca="1">IF(ISNUMBER(MATCH(DATEVALUE($A206),'recurring1_based on steps'!W$1:W$400,0)),W$2,)</f>
        <v>0</v>
      </c>
      <c r="X206" s="179">
        <f ca="1">IF(ISNUMBER(MATCH(DATEVALUE($A206),'recurring1_based on steps'!X$1:X$400,0)),X$2,)</f>
        <v>0</v>
      </c>
      <c r="Y206" s="179">
        <f ca="1">IF(ISNUMBER(MATCH(DATEVALUE($A206),'recurring1_based on steps'!Y$1:Y$400,0)),Y$2,)</f>
        <v>0</v>
      </c>
      <c r="Z206" s="179">
        <f ca="1">IF(ISNUMBER(MATCH(DATEVALUE($A206),'recurring1_based on steps'!Z$1:Z$400,0)),Z$2,)</f>
        <v>0</v>
      </c>
      <c r="AA206" s="179">
        <f ca="1">IF(ISNUMBER(MATCH(DATEVALUE($A206),'recurring1_based on steps'!AA$1:AA$400,0)),AA$2,)</f>
        <v>0</v>
      </c>
      <c r="AB206" s="179">
        <f ca="1">IF(ISNUMBER(MATCH(DATEVALUE($A206),'recurring1_based on steps'!AB$1:AB$400,0)),AB$2,)</f>
        <v>0</v>
      </c>
      <c r="AC206" s="179">
        <f ca="1">IF(ISNUMBER(MATCH(DATEVALUE($A206),'recurring1_based on steps'!AC$1:AC$400,0)),AC$2,)</f>
        <v>0</v>
      </c>
      <c r="AD206" s="179">
        <f ca="1">IF(ISNUMBER(MATCH(DATEVALUE($A206),'recurring1_based on steps'!AD$1:AD$400,0)),AD$2,)</f>
        <v>0</v>
      </c>
      <c r="AE206" s="179">
        <f ca="1">IF(ISNUMBER(MATCH(DATEVALUE($A206),'recurring1_based on steps'!AE$1:AE$400,0)),AE$2,)</f>
        <v>0</v>
      </c>
      <c r="AF206" s="179">
        <f ca="1">IF(ISNUMBER(MATCH(DATEVALUE($A206),'recurring1_based on steps'!AF$1:AF$400,0)),AF$2,)</f>
        <v>0</v>
      </c>
      <c r="AG206" s="179">
        <f ca="1">IF(ISNUMBER(MATCH(DATEVALUE($A206),'recurring1_based on steps'!AG$1:AG$400,0)),AG$2,)</f>
        <v>0</v>
      </c>
      <c r="AH206" s="179">
        <f ca="1">IF(ISNUMBER(MATCH(DATEVALUE($A206),'recurring1_based on steps'!AH$1:AH$400,0)),AH$2,)</f>
        <v>0</v>
      </c>
      <c r="AI206" s="179">
        <f ca="1">IF(ISNUMBER(MATCH(DATEVALUE($A206),'recurring1_based on steps'!AI$1:AI$400,0)),AI$2,)</f>
        <v>0</v>
      </c>
      <c r="AJ206" s="179">
        <f ca="1">IF(ISNUMBER(MATCH(DATEVALUE($A206),'recurring1_based on steps'!AJ$1:AJ$400,0)),AJ$2,)</f>
        <v>0</v>
      </c>
      <c r="AK206" s="179">
        <f ca="1">IF(ISNUMBER(MATCH(DATEVALUE($A206),'recurring1_based on steps'!AK$1:AK$400,0)),AK$2,)</f>
        <v>0</v>
      </c>
      <c r="AL206" s="179">
        <f ca="1">IF(ISNUMBER(MATCH(DATEVALUE($A206),'recurring1_based on steps'!AL$1:AL$400,0)),AL$2,)</f>
        <v>0</v>
      </c>
      <c r="AM206" s="179">
        <f ca="1">IF(ISNUMBER(MATCH(DATEVALUE($A206),'recurring1_based on steps'!AM$1:AM$400,0)),AM$2,)</f>
        <v>0</v>
      </c>
      <c r="AN206" s="179">
        <f ca="1">IF(ISNUMBER(MATCH(DATEVALUE($A206),'recurring1_based on steps'!AN$1:AN$400,0)),AN$2,)</f>
        <v>0</v>
      </c>
      <c r="AO206" s="179">
        <f ca="1">IF(ISNUMBER(MATCH(DATEVALUE($A206),'recurring1_based on steps'!AO$1:AO$400,0)),AO$2,)</f>
        <v>0</v>
      </c>
      <c r="AP206" s="179">
        <f ca="1">IF(ISNUMBER(MATCH(DATEVALUE($A206),'recurring1_based on steps'!AP$1:AP$400,0)),AP$2,)</f>
        <v>0</v>
      </c>
      <c r="AQ206" s="179">
        <f ca="1">IF(ISNUMBER(MATCH(DATEVALUE($A206),'recurring1_based on steps'!AQ$1:AQ$400,0)),AQ$2,)</f>
        <v>0</v>
      </c>
      <c r="AR206" s="179">
        <f ca="1">IF(ISNUMBER(MATCH(DATEVALUE($A206),'recurring1_based on steps'!AR$1:AR$400,0)),AR$2,)</f>
        <v>0</v>
      </c>
      <c r="AS206" s="179">
        <f ca="1">IF(ISNUMBER(MATCH(DATEVALUE($A206),'recurring1_based on steps'!AS$1:AS$400,0)),AS$2,)</f>
        <v>0</v>
      </c>
      <c r="AT206" s="179">
        <f ca="1">IF(ISNUMBER(MATCH(DATEVALUE($A206),'recurring1_based on steps'!AT$1:AT$400,0)),AT$2,)</f>
        <v>0</v>
      </c>
      <c r="AU206" s="179">
        <f ca="1">IF(ISNUMBER(MATCH(DATEVALUE($A206),'recurring1_based on steps'!AU$1:AU$400,0)),AU$2,)</f>
        <v>0</v>
      </c>
      <c r="AV206" s="179">
        <f ca="1">IF(ISNUMBER(MATCH(DATEVALUE($A206),'recurring1_based on steps'!AV$1:AV$400,0)),AV$2,)</f>
        <v>0</v>
      </c>
      <c r="AW206" s="179">
        <f ca="1">IF(ISNUMBER(MATCH(DATEVALUE($A206),'recurring1_based on steps'!AW$1:AW$400,0)),AW$2,)</f>
        <v>0</v>
      </c>
      <c r="AX206" s="179">
        <f ca="1">IF(ISNUMBER(MATCH(DATEVALUE($A206),'recurring1_based on steps'!AX$1:AX$400,0)),AX$2,)</f>
        <v>0</v>
      </c>
      <c r="AY206" s="179">
        <f ca="1">IF(ISNUMBER(MATCH(DATEVALUE($A206),'recurring1_based on steps'!AY$1:AY$400,0)),AY$2,)</f>
        <v>0</v>
      </c>
    </row>
    <row r="207" spans="1:51" x14ac:dyDescent="0.2">
      <c r="A207" s="32" t="str">
        <f t="shared" ca="1" si="3"/>
        <v>2025-10-26</v>
      </c>
      <c r="B207" s="179">
        <f ca="1">IF(ISNUMBER(MATCH(DATEVALUE($A207),'recurring1_based on steps'!B$1:B$400,0)),B$2,)</f>
        <v>0</v>
      </c>
      <c r="C207" s="179">
        <f ca="1">IF(ISNUMBER(MATCH(DATEVALUE($A207),'recurring1_based on steps'!C$1:C$400,0)),C$2,)</f>
        <v>0</v>
      </c>
      <c r="D207" s="179">
        <f ca="1">IF(ISNUMBER(MATCH(DATEVALUE($A207),'recurring1_based on steps'!D$1:D$400,0)),D$2,)</f>
        <v>0</v>
      </c>
      <c r="E207" s="179">
        <f ca="1">IF(ISNUMBER(MATCH(DATEVALUE($A207),'recurring1_based on steps'!E$1:E$400,0)),E$2,)</f>
        <v>0</v>
      </c>
      <c r="F207" s="179">
        <f ca="1">IF(ISNUMBER(MATCH(DATEVALUE($A207),'recurring1_based on steps'!F$1:F$400,0)),F$2,)</f>
        <v>0</v>
      </c>
      <c r="G207" s="179">
        <f ca="1">IF(ISNUMBER(MATCH(DATEVALUE($A207),'recurring1_based on steps'!G$1:G$400,0)),G$2,)</f>
        <v>0</v>
      </c>
      <c r="H207" s="179">
        <f ca="1">IF(ISNUMBER(MATCH(DATEVALUE($A207),'recurring1_based on steps'!H$1:H$400,0)),H$2,)</f>
        <v>0</v>
      </c>
      <c r="I207" s="179">
        <f ca="1">IF(ISNUMBER(MATCH(DATEVALUE($A207),'recurring1_based on steps'!I$1:I$400,0)),I$2,)</f>
        <v>0</v>
      </c>
      <c r="J207" s="179">
        <f ca="1">IF(ISNUMBER(MATCH(DATEVALUE($A207),'recurring1_based on steps'!J$1:J$400,0)),J$2,)</f>
        <v>0</v>
      </c>
      <c r="K207" s="179">
        <f ca="1">IF(ISNUMBER(MATCH(DATEVALUE($A207),'recurring1_based on steps'!K$1:K$400,0)),K$2,)</f>
        <v>0</v>
      </c>
      <c r="L207" s="179">
        <f ca="1">IF(ISNUMBER(MATCH(DATEVALUE($A207),'recurring1_based on steps'!L$1:L$400,0)),L$2,)</f>
        <v>0</v>
      </c>
      <c r="M207" s="179">
        <f ca="1">IF(ISNUMBER(MATCH(DATEVALUE($A207),'recurring1_based on steps'!M$1:M$400,0)),M$2,)</f>
        <v>0</v>
      </c>
      <c r="N207" s="179">
        <f ca="1">IF(ISNUMBER(MATCH(DATEVALUE($A207),'recurring1_based on steps'!N$1:N$400,0)),N$2,)</f>
        <v>0</v>
      </c>
      <c r="O207" s="179">
        <f ca="1">IF(ISNUMBER(MATCH(DATEVALUE($A207),'recurring1_based on steps'!O$1:O$400,0)),O$2,)</f>
        <v>0</v>
      </c>
      <c r="P207" s="179">
        <f ca="1">IF(ISNUMBER(MATCH(DATEVALUE($A207),'recurring1_based on steps'!P$1:P$400,0)),P$2,)</f>
        <v>0</v>
      </c>
      <c r="Q207" s="179">
        <f ca="1">IF(ISNUMBER(MATCH(DATEVALUE($A207),'recurring1_based on steps'!Q$1:Q$400,0)),Q$2,)</f>
        <v>0</v>
      </c>
      <c r="R207" s="179">
        <f ca="1">IF(ISNUMBER(MATCH(DATEVALUE($A207),'recurring1_based on steps'!R$1:R$400,0)),R$2,)</f>
        <v>0</v>
      </c>
      <c r="S207" s="179">
        <f ca="1">IF(ISNUMBER(MATCH(DATEVALUE($A207),'recurring1_based on steps'!S$1:S$400,0)),S$2,)</f>
        <v>0</v>
      </c>
      <c r="T207" s="179">
        <f ca="1">IF(ISNUMBER(MATCH(DATEVALUE($A207),'recurring1_based on steps'!T$1:T$400,0)),T$2,)</f>
        <v>0</v>
      </c>
      <c r="U207" s="179">
        <f ca="1">IF(ISNUMBER(MATCH(DATEVALUE($A207),'recurring1_based on steps'!U$1:U$400,0)),U$2,)</f>
        <v>0</v>
      </c>
      <c r="V207" s="179">
        <f ca="1">IF(ISNUMBER(MATCH(DATEVALUE($A207),'recurring1_based on steps'!V$1:V$400,0)),V$2,)</f>
        <v>0</v>
      </c>
      <c r="W207" s="179">
        <f ca="1">IF(ISNUMBER(MATCH(DATEVALUE($A207),'recurring1_based on steps'!W$1:W$400,0)),W$2,)</f>
        <v>0</v>
      </c>
      <c r="X207" s="179">
        <f ca="1">IF(ISNUMBER(MATCH(DATEVALUE($A207),'recurring1_based on steps'!X$1:X$400,0)),X$2,)</f>
        <v>0</v>
      </c>
      <c r="Y207" s="179">
        <f ca="1">IF(ISNUMBER(MATCH(DATEVALUE($A207),'recurring1_based on steps'!Y$1:Y$400,0)),Y$2,)</f>
        <v>0</v>
      </c>
      <c r="Z207" s="179">
        <f ca="1">IF(ISNUMBER(MATCH(DATEVALUE($A207),'recurring1_based on steps'!Z$1:Z$400,0)),Z$2,)</f>
        <v>0</v>
      </c>
      <c r="AA207" s="179">
        <f ca="1">IF(ISNUMBER(MATCH(DATEVALUE($A207),'recurring1_based on steps'!AA$1:AA$400,0)),AA$2,)</f>
        <v>0</v>
      </c>
      <c r="AB207" s="179">
        <f ca="1">IF(ISNUMBER(MATCH(DATEVALUE($A207),'recurring1_based on steps'!AB$1:AB$400,0)),AB$2,)</f>
        <v>0</v>
      </c>
      <c r="AC207" s="179">
        <f ca="1">IF(ISNUMBER(MATCH(DATEVALUE($A207),'recurring1_based on steps'!AC$1:AC$400,0)),AC$2,)</f>
        <v>0</v>
      </c>
      <c r="AD207" s="179">
        <f ca="1">IF(ISNUMBER(MATCH(DATEVALUE($A207),'recurring1_based on steps'!AD$1:AD$400,0)),AD$2,)</f>
        <v>0</v>
      </c>
      <c r="AE207" s="179">
        <f ca="1">IF(ISNUMBER(MATCH(DATEVALUE($A207),'recurring1_based on steps'!AE$1:AE$400,0)),AE$2,)</f>
        <v>0</v>
      </c>
      <c r="AF207" s="179">
        <f ca="1">IF(ISNUMBER(MATCH(DATEVALUE($A207),'recurring1_based on steps'!AF$1:AF$400,0)),AF$2,)</f>
        <v>0</v>
      </c>
      <c r="AG207" s="179">
        <f ca="1">IF(ISNUMBER(MATCH(DATEVALUE($A207),'recurring1_based on steps'!AG$1:AG$400,0)),AG$2,)</f>
        <v>0</v>
      </c>
      <c r="AH207" s="179">
        <f ca="1">IF(ISNUMBER(MATCH(DATEVALUE($A207),'recurring1_based on steps'!AH$1:AH$400,0)),AH$2,)</f>
        <v>0</v>
      </c>
      <c r="AI207" s="179">
        <f ca="1">IF(ISNUMBER(MATCH(DATEVALUE($A207),'recurring1_based on steps'!AI$1:AI$400,0)),AI$2,)</f>
        <v>0</v>
      </c>
      <c r="AJ207" s="179">
        <f ca="1">IF(ISNUMBER(MATCH(DATEVALUE($A207),'recurring1_based on steps'!AJ$1:AJ$400,0)),AJ$2,)</f>
        <v>0</v>
      </c>
      <c r="AK207" s="179">
        <f ca="1">IF(ISNUMBER(MATCH(DATEVALUE($A207),'recurring1_based on steps'!AK$1:AK$400,0)),AK$2,)</f>
        <v>0</v>
      </c>
      <c r="AL207" s="179">
        <f ca="1">IF(ISNUMBER(MATCH(DATEVALUE($A207),'recurring1_based on steps'!AL$1:AL$400,0)),AL$2,)</f>
        <v>0</v>
      </c>
      <c r="AM207" s="179">
        <f ca="1">IF(ISNUMBER(MATCH(DATEVALUE($A207),'recurring1_based on steps'!AM$1:AM$400,0)),AM$2,)</f>
        <v>0</v>
      </c>
      <c r="AN207" s="179">
        <f ca="1">IF(ISNUMBER(MATCH(DATEVALUE($A207),'recurring1_based on steps'!AN$1:AN$400,0)),AN$2,)</f>
        <v>0</v>
      </c>
      <c r="AO207" s="179">
        <f ca="1">IF(ISNUMBER(MATCH(DATEVALUE($A207),'recurring1_based on steps'!AO$1:AO$400,0)),AO$2,)</f>
        <v>0</v>
      </c>
      <c r="AP207" s="179">
        <f ca="1">IF(ISNUMBER(MATCH(DATEVALUE($A207),'recurring1_based on steps'!AP$1:AP$400,0)),AP$2,)</f>
        <v>0</v>
      </c>
      <c r="AQ207" s="179">
        <f ca="1">IF(ISNUMBER(MATCH(DATEVALUE($A207),'recurring1_based on steps'!AQ$1:AQ$400,0)),AQ$2,)</f>
        <v>0</v>
      </c>
      <c r="AR207" s="179">
        <f ca="1">IF(ISNUMBER(MATCH(DATEVALUE($A207),'recurring1_based on steps'!AR$1:AR$400,0)),AR$2,)</f>
        <v>0</v>
      </c>
      <c r="AS207" s="179">
        <f ca="1">IF(ISNUMBER(MATCH(DATEVALUE($A207),'recurring1_based on steps'!AS$1:AS$400,0)),AS$2,)</f>
        <v>0</v>
      </c>
      <c r="AT207" s="179">
        <f ca="1">IF(ISNUMBER(MATCH(DATEVALUE($A207),'recurring1_based on steps'!AT$1:AT$400,0)),AT$2,)</f>
        <v>0</v>
      </c>
      <c r="AU207" s="179">
        <f ca="1">IF(ISNUMBER(MATCH(DATEVALUE($A207),'recurring1_based on steps'!AU$1:AU$400,0)),AU$2,)</f>
        <v>0</v>
      </c>
      <c r="AV207" s="179">
        <f ca="1">IF(ISNUMBER(MATCH(DATEVALUE($A207),'recurring1_based on steps'!AV$1:AV$400,0)),AV$2,)</f>
        <v>0</v>
      </c>
      <c r="AW207" s="179">
        <f ca="1">IF(ISNUMBER(MATCH(DATEVALUE($A207),'recurring1_based on steps'!AW$1:AW$400,0)),AW$2,)</f>
        <v>0</v>
      </c>
      <c r="AX207" s="179">
        <f ca="1">IF(ISNUMBER(MATCH(DATEVALUE($A207),'recurring1_based on steps'!AX$1:AX$400,0)),AX$2,)</f>
        <v>0</v>
      </c>
      <c r="AY207" s="179">
        <f ca="1">IF(ISNUMBER(MATCH(DATEVALUE($A207),'recurring1_based on steps'!AY$1:AY$400,0)),AY$2,)</f>
        <v>0</v>
      </c>
    </row>
    <row r="208" spans="1:51" x14ac:dyDescent="0.2">
      <c r="A208" s="32" t="str">
        <f t="shared" ca="1" si="3"/>
        <v>2025-10-27</v>
      </c>
      <c r="B208" s="179">
        <f ca="1">IF(ISNUMBER(MATCH(DATEVALUE($A208),'recurring1_based on steps'!B$1:B$400,0)),B$2,)</f>
        <v>0</v>
      </c>
      <c r="C208" s="179">
        <f ca="1">IF(ISNUMBER(MATCH(DATEVALUE($A208),'recurring1_based on steps'!C$1:C$400,0)),C$2,)</f>
        <v>0</v>
      </c>
      <c r="D208" s="179">
        <f ca="1">IF(ISNUMBER(MATCH(DATEVALUE($A208),'recurring1_based on steps'!D$1:D$400,0)),D$2,)</f>
        <v>0</v>
      </c>
      <c r="E208" s="179">
        <f ca="1">IF(ISNUMBER(MATCH(DATEVALUE($A208),'recurring1_based on steps'!E$1:E$400,0)),E$2,)</f>
        <v>0</v>
      </c>
      <c r="F208" s="179">
        <f ca="1">IF(ISNUMBER(MATCH(DATEVALUE($A208),'recurring1_based on steps'!F$1:F$400,0)),F$2,)</f>
        <v>0</v>
      </c>
      <c r="G208" s="179">
        <f ca="1">IF(ISNUMBER(MATCH(DATEVALUE($A208),'recurring1_based on steps'!G$1:G$400,0)),G$2,)</f>
        <v>0</v>
      </c>
      <c r="H208" s="179">
        <f ca="1">IF(ISNUMBER(MATCH(DATEVALUE($A208),'recurring1_based on steps'!H$1:H$400,0)),H$2,)</f>
        <v>0</v>
      </c>
      <c r="I208" s="179">
        <f ca="1">IF(ISNUMBER(MATCH(DATEVALUE($A208),'recurring1_based on steps'!I$1:I$400,0)),I$2,)</f>
        <v>0</v>
      </c>
      <c r="J208" s="179">
        <f ca="1">IF(ISNUMBER(MATCH(DATEVALUE($A208),'recurring1_based on steps'!J$1:J$400,0)),J$2,)</f>
        <v>0</v>
      </c>
      <c r="K208" s="179">
        <f ca="1">IF(ISNUMBER(MATCH(DATEVALUE($A208),'recurring1_based on steps'!K$1:K$400,0)),K$2,)</f>
        <v>0</v>
      </c>
      <c r="L208" s="179">
        <f ca="1">IF(ISNUMBER(MATCH(DATEVALUE($A208),'recurring1_based on steps'!L$1:L$400,0)),L$2,)</f>
        <v>0</v>
      </c>
      <c r="M208" s="179">
        <f ca="1">IF(ISNUMBER(MATCH(DATEVALUE($A208),'recurring1_based on steps'!M$1:M$400,0)),M$2,)</f>
        <v>0</v>
      </c>
      <c r="N208" s="179">
        <f ca="1">IF(ISNUMBER(MATCH(DATEVALUE($A208),'recurring1_based on steps'!N$1:N$400,0)),N$2,)</f>
        <v>0</v>
      </c>
      <c r="O208" s="179">
        <f ca="1">IF(ISNUMBER(MATCH(DATEVALUE($A208),'recurring1_based on steps'!O$1:O$400,0)),O$2,)</f>
        <v>0</v>
      </c>
      <c r="P208" s="179">
        <f ca="1">IF(ISNUMBER(MATCH(DATEVALUE($A208),'recurring1_based on steps'!P$1:P$400,0)),P$2,)</f>
        <v>0</v>
      </c>
      <c r="Q208" s="179">
        <f ca="1">IF(ISNUMBER(MATCH(DATEVALUE($A208),'recurring1_based on steps'!Q$1:Q$400,0)),Q$2,)</f>
        <v>0</v>
      </c>
      <c r="R208" s="179">
        <f ca="1">IF(ISNUMBER(MATCH(DATEVALUE($A208),'recurring1_based on steps'!R$1:R$400,0)),R$2,)</f>
        <v>0</v>
      </c>
      <c r="S208" s="179">
        <f ca="1">IF(ISNUMBER(MATCH(DATEVALUE($A208),'recurring1_based on steps'!S$1:S$400,0)),S$2,)</f>
        <v>0</v>
      </c>
      <c r="T208" s="179">
        <f ca="1">IF(ISNUMBER(MATCH(DATEVALUE($A208),'recurring1_based on steps'!T$1:T$400,0)),T$2,)</f>
        <v>0</v>
      </c>
      <c r="U208" s="179">
        <f ca="1">IF(ISNUMBER(MATCH(DATEVALUE($A208),'recurring1_based on steps'!U$1:U$400,0)),U$2,)</f>
        <v>0</v>
      </c>
      <c r="V208" s="179">
        <f ca="1">IF(ISNUMBER(MATCH(DATEVALUE($A208),'recurring1_based on steps'!V$1:V$400,0)),V$2,)</f>
        <v>0</v>
      </c>
      <c r="W208" s="179">
        <f ca="1">IF(ISNUMBER(MATCH(DATEVALUE($A208),'recurring1_based on steps'!W$1:W$400,0)),W$2,)</f>
        <v>0</v>
      </c>
      <c r="X208" s="179">
        <f ca="1">IF(ISNUMBER(MATCH(DATEVALUE($A208),'recurring1_based on steps'!X$1:X$400,0)),X$2,)</f>
        <v>0</v>
      </c>
      <c r="Y208" s="179">
        <f ca="1">IF(ISNUMBER(MATCH(DATEVALUE($A208),'recurring1_based on steps'!Y$1:Y$400,0)),Y$2,)</f>
        <v>0</v>
      </c>
      <c r="Z208" s="179">
        <f ca="1">IF(ISNUMBER(MATCH(DATEVALUE($A208),'recurring1_based on steps'!Z$1:Z$400,0)),Z$2,)</f>
        <v>0</v>
      </c>
      <c r="AA208" s="179">
        <f ca="1">IF(ISNUMBER(MATCH(DATEVALUE($A208),'recurring1_based on steps'!AA$1:AA$400,0)),AA$2,)</f>
        <v>0</v>
      </c>
      <c r="AB208" s="179">
        <f ca="1">IF(ISNUMBER(MATCH(DATEVALUE($A208),'recurring1_based on steps'!AB$1:AB$400,0)),AB$2,)</f>
        <v>0</v>
      </c>
      <c r="AC208" s="179">
        <f ca="1">IF(ISNUMBER(MATCH(DATEVALUE($A208),'recurring1_based on steps'!AC$1:AC$400,0)),AC$2,)</f>
        <v>0</v>
      </c>
      <c r="AD208" s="179">
        <f ca="1">IF(ISNUMBER(MATCH(DATEVALUE($A208),'recurring1_based on steps'!AD$1:AD$400,0)),AD$2,)</f>
        <v>0</v>
      </c>
      <c r="AE208" s="179">
        <f ca="1">IF(ISNUMBER(MATCH(DATEVALUE($A208),'recurring1_based on steps'!AE$1:AE$400,0)),AE$2,)</f>
        <v>0</v>
      </c>
      <c r="AF208" s="179">
        <f ca="1">IF(ISNUMBER(MATCH(DATEVALUE($A208),'recurring1_based on steps'!AF$1:AF$400,0)),AF$2,)</f>
        <v>0</v>
      </c>
      <c r="AG208" s="179">
        <f ca="1">IF(ISNUMBER(MATCH(DATEVALUE($A208),'recurring1_based on steps'!AG$1:AG$400,0)),AG$2,)</f>
        <v>0</v>
      </c>
      <c r="AH208" s="179">
        <f ca="1">IF(ISNUMBER(MATCH(DATEVALUE($A208),'recurring1_based on steps'!AH$1:AH$400,0)),AH$2,)</f>
        <v>0</v>
      </c>
      <c r="AI208" s="179">
        <f ca="1">IF(ISNUMBER(MATCH(DATEVALUE($A208),'recurring1_based on steps'!AI$1:AI$400,0)),AI$2,)</f>
        <v>0</v>
      </c>
      <c r="AJ208" s="179">
        <f ca="1">IF(ISNUMBER(MATCH(DATEVALUE($A208),'recurring1_based on steps'!AJ$1:AJ$400,0)),AJ$2,)</f>
        <v>0</v>
      </c>
      <c r="AK208" s="179">
        <f ca="1">IF(ISNUMBER(MATCH(DATEVALUE($A208),'recurring1_based on steps'!AK$1:AK$400,0)),AK$2,)</f>
        <v>0</v>
      </c>
      <c r="AL208" s="179">
        <f ca="1">IF(ISNUMBER(MATCH(DATEVALUE($A208),'recurring1_based on steps'!AL$1:AL$400,0)),AL$2,)</f>
        <v>0</v>
      </c>
      <c r="AM208" s="179">
        <f ca="1">IF(ISNUMBER(MATCH(DATEVALUE($A208),'recurring1_based on steps'!AM$1:AM$400,0)),AM$2,)</f>
        <v>0</v>
      </c>
      <c r="AN208" s="179">
        <f ca="1">IF(ISNUMBER(MATCH(DATEVALUE($A208),'recurring1_based on steps'!AN$1:AN$400,0)),AN$2,)</f>
        <v>0</v>
      </c>
      <c r="AO208" s="179">
        <f ca="1">IF(ISNUMBER(MATCH(DATEVALUE($A208),'recurring1_based on steps'!AO$1:AO$400,0)),AO$2,)</f>
        <v>0</v>
      </c>
      <c r="AP208" s="179">
        <f ca="1">IF(ISNUMBER(MATCH(DATEVALUE($A208),'recurring1_based on steps'!AP$1:AP$400,0)),AP$2,)</f>
        <v>0</v>
      </c>
      <c r="AQ208" s="179">
        <f ca="1">IF(ISNUMBER(MATCH(DATEVALUE($A208),'recurring1_based on steps'!AQ$1:AQ$400,0)),AQ$2,)</f>
        <v>0</v>
      </c>
      <c r="AR208" s="179">
        <f ca="1">IF(ISNUMBER(MATCH(DATEVALUE($A208),'recurring1_based on steps'!AR$1:AR$400,0)),AR$2,)</f>
        <v>0</v>
      </c>
      <c r="AS208" s="179">
        <f ca="1">IF(ISNUMBER(MATCH(DATEVALUE($A208),'recurring1_based on steps'!AS$1:AS$400,0)),AS$2,)</f>
        <v>0</v>
      </c>
      <c r="AT208" s="179">
        <f ca="1">IF(ISNUMBER(MATCH(DATEVALUE($A208),'recurring1_based on steps'!AT$1:AT$400,0)),AT$2,)</f>
        <v>0</v>
      </c>
      <c r="AU208" s="179">
        <f ca="1">IF(ISNUMBER(MATCH(DATEVALUE($A208),'recurring1_based on steps'!AU$1:AU$400,0)),AU$2,)</f>
        <v>0</v>
      </c>
      <c r="AV208" s="179">
        <f ca="1">IF(ISNUMBER(MATCH(DATEVALUE($A208),'recurring1_based on steps'!AV$1:AV$400,0)),AV$2,)</f>
        <v>0</v>
      </c>
      <c r="AW208" s="179">
        <f ca="1">IF(ISNUMBER(MATCH(DATEVALUE($A208),'recurring1_based on steps'!AW$1:AW$400,0)),AW$2,)</f>
        <v>0</v>
      </c>
      <c r="AX208" s="179">
        <f ca="1">IF(ISNUMBER(MATCH(DATEVALUE($A208),'recurring1_based on steps'!AX$1:AX$400,0)),AX$2,)</f>
        <v>0</v>
      </c>
      <c r="AY208" s="179">
        <f ca="1">IF(ISNUMBER(MATCH(DATEVALUE($A208),'recurring1_based on steps'!AY$1:AY$400,0)),AY$2,)</f>
        <v>0</v>
      </c>
    </row>
    <row r="209" spans="1:51" x14ac:dyDescent="0.2">
      <c r="A209" s="32" t="str">
        <f t="shared" ca="1" si="3"/>
        <v>2025-10-28</v>
      </c>
      <c r="B209" s="179">
        <f ca="1">IF(ISNUMBER(MATCH(DATEVALUE($A209),'recurring1_based on steps'!B$1:B$400,0)),B$2,)</f>
        <v>0</v>
      </c>
      <c r="C209" s="179">
        <f ca="1">IF(ISNUMBER(MATCH(DATEVALUE($A209),'recurring1_based on steps'!C$1:C$400,0)),C$2,)</f>
        <v>0</v>
      </c>
      <c r="D209" s="179">
        <f ca="1">IF(ISNUMBER(MATCH(DATEVALUE($A209),'recurring1_based on steps'!D$1:D$400,0)),D$2,)</f>
        <v>0</v>
      </c>
      <c r="E209" s="179">
        <f ca="1">IF(ISNUMBER(MATCH(DATEVALUE($A209),'recurring1_based on steps'!E$1:E$400,0)),E$2,)</f>
        <v>0</v>
      </c>
      <c r="F209" s="179">
        <f ca="1">IF(ISNUMBER(MATCH(DATEVALUE($A209),'recurring1_based on steps'!F$1:F$400,0)),F$2,)</f>
        <v>0</v>
      </c>
      <c r="G209" s="179">
        <f ca="1">IF(ISNUMBER(MATCH(DATEVALUE($A209),'recurring1_based on steps'!G$1:G$400,0)),G$2,)</f>
        <v>0</v>
      </c>
      <c r="H209" s="179">
        <f ca="1">IF(ISNUMBER(MATCH(DATEVALUE($A209),'recurring1_based on steps'!H$1:H$400,0)),H$2,)</f>
        <v>0</v>
      </c>
      <c r="I209" s="179">
        <f ca="1">IF(ISNUMBER(MATCH(DATEVALUE($A209),'recurring1_based on steps'!I$1:I$400,0)),I$2,)</f>
        <v>0</v>
      </c>
      <c r="J209" s="179">
        <f ca="1">IF(ISNUMBER(MATCH(DATEVALUE($A209),'recurring1_based on steps'!J$1:J$400,0)),J$2,)</f>
        <v>0</v>
      </c>
      <c r="K209" s="179">
        <f ca="1">IF(ISNUMBER(MATCH(DATEVALUE($A209),'recurring1_based on steps'!K$1:K$400,0)),K$2,)</f>
        <v>0</v>
      </c>
      <c r="L209" s="179">
        <f ca="1">IF(ISNUMBER(MATCH(DATEVALUE($A209),'recurring1_based on steps'!L$1:L$400,0)),L$2,)</f>
        <v>0</v>
      </c>
      <c r="M209" s="179">
        <f ca="1">IF(ISNUMBER(MATCH(DATEVALUE($A209),'recurring1_based on steps'!M$1:M$400,0)),M$2,)</f>
        <v>0</v>
      </c>
      <c r="N209" s="179">
        <f ca="1">IF(ISNUMBER(MATCH(DATEVALUE($A209),'recurring1_based on steps'!N$1:N$400,0)),N$2,)</f>
        <v>0</v>
      </c>
      <c r="O209" s="179">
        <f ca="1">IF(ISNUMBER(MATCH(DATEVALUE($A209),'recurring1_based on steps'!O$1:O$400,0)),O$2,)</f>
        <v>0</v>
      </c>
      <c r="P209" s="179">
        <f ca="1">IF(ISNUMBER(MATCH(DATEVALUE($A209),'recurring1_based on steps'!P$1:P$400,0)),P$2,)</f>
        <v>0</v>
      </c>
      <c r="Q209" s="179">
        <f ca="1">IF(ISNUMBER(MATCH(DATEVALUE($A209),'recurring1_based on steps'!Q$1:Q$400,0)),Q$2,)</f>
        <v>0</v>
      </c>
      <c r="R209" s="179">
        <f ca="1">IF(ISNUMBER(MATCH(DATEVALUE($A209),'recurring1_based on steps'!R$1:R$400,0)),R$2,)</f>
        <v>0</v>
      </c>
      <c r="S209" s="179">
        <f ca="1">IF(ISNUMBER(MATCH(DATEVALUE($A209),'recurring1_based on steps'!S$1:S$400,0)),S$2,)</f>
        <v>0</v>
      </c>
      <c r="T209" s="179">
        <f ca="1">IF(ISNUMBER(MATCH(DATEVALUE($A209),'recurring1_based on steps'!T$1:T$400,0)),T$2,)</f>
        <v>0</v>
      </c>
      <c r="U209" s="179">
        <f ca="1">IF(ISNUMBER(MATCH(DATEVALUE($A209),'recurring1_based on steps'!U$1:U$400,0)),U$2,)</f>
        <v>0</v>
      </c>
      <c r="V209" s="179">
        <f ca="1">IF(ISNUMBER(MATCH(DATEVALUE($A209),'recurring1_based on steps'!V$1:V$400,0)),V$2,)</f>
        <v>0</v>
      </c>
      <c r="W209" s="179">
        <f ca="1">IF(ISNUMBER(MATCH(DATEVALUE($A209),'recurring1_based on steps'!W$1:W$400,0)),W$2,)</f>
        <v>0</v>
      </c>
      <c r="X209" s="179">
        <f ca="1">IF(ISNUMBER(MATCH(DATEVALUE($A209),'recurring1_based on steps'!X$1:X$400,0)),X$2,)</f>
        <v>0</v>
      </c>
      <c r="Y209" s="179">
        <f ca="1">IF(ISNUMBER(MATCH(DATEVALUE($A209),'recurring1_based on steps'!Y$1:Y$400,0)),Y$2,)</f>
        <v>0</v>
      </c>
      <c r="Z209" s="179">
        <f ca="1">IF(ISNUMBER(MATCH(DATEVALUE($A209),'recurring1_based on steps'!Z$1:Z$400,0)),Z$2,)</f>
        <v>0</v>
      </c>
      <c r="AA209" s="179">
        <f ca="1">IF(ISNUMBER(MATCH(DATEVALUE($A209),'recurring1_based on steps'!AA$1:AA$400,0)),AA$2,)</f>
        <v>0</v>
      </c>
      <c r="AB209" s="179">
        <f ca="1">IF(ISNUMBER(MATCH(DATEVALUE($A209),'recurring1_based on steps'!AB$1:AB$400,0)),AB$2,)</f>
        <v>0</v>
      </c>
      <c r="AC209" s="179">
        <f ca="1">IF(ISNUMBER(MATCH(DATEVALUE($A209),'recurring1_based on steps'!AC$1:AC$400,0)),AC$2,)</f>
        <v>0</v>
      </c>
      <c r="AD209" s="179">
        <f ca="1">IF(ISNUMBER(MATCH(DATEVALUE($A209),'recurring1_based on steps'!AD$1:AD$400,0)),AD$2,)</f>
        <v>0</v>
      </c>
      <c r="AE209" s="179">
        <f ca="1">IF(ISNUMBER(MATCH(DATEVALUE($A209),'recurring1_based on steps'!AE$1:AE$400,0)),AE$2,)</f>
        <v>0</v>
      </c>
      <c r="AF209" s="179">
        <f ca="1">IF(ISNUMBER(MATCH(DATEVALUE($A209),'recurring1_based on steps'!AF$1:AF$400,0)),AF$2,)</f>
        <v>0</v>
      </c>
      <c r="AG209" s="179">
        <f ca="1">IF(ISNUMBER(MATCH(DATEVALUE($A209),'recurring1_based on steps'!AG$1:AG$400,0)),AG$2,)</f>
        <v>0</v>
      </c>
      <c r="AH209" s="179">
        <f ca="1">IF(ISNUMBER(MATCH(DATEVALUE($A209),'recurring1_based on steps'!AH$1:AH$400,0)),AH$2,)</f>
        <v>0</v>
      </c>
      <c r="AI209" s="179">
        <f ca="1">IF(ISNUMBER(MATCH(DATEVALUE($A209),'recurring1_based on steps'!AI$1:AI$400,0)),AI$2,)</f>
        <v>0</v>
      </c>
      <c r="AJ209" s="179">
        <f ca="1">IF(ISNUMBER(MATCH(DATEVALUE($A209),'recurring1_based on steps'!AJ$1:AJ$400,0)),AJ$2,)</f>
        <v>0</v>
      </c>
      <c r="AK209" s="179">
        <f ca="1">IF(ISNUMBER(MATCH(DATEVALUE($A209),'recurring1_based on steps'!AK$1:AK$400,0)),AK$2,)</f>
        <v>0</v>
      </c>
      <c r="AL209" s="179">
        <f ca="1">IF(ISNUMBER(MATCH(DATEVALUE($A209),'recurring1_based on steps'!AL$1:AL$400,0)),AL$2,)</f>
        <v>0</v>
      </c>
      <c r="AM209" s="179">
        <f ca="1">IF(ISNUMBER(MATCH(DATEVALUE($A209),'recurring1_based on steps'!AM$1:AM$400,0)),AM$2,)</f>
        <v>0</v>
      </c>
      <c r="AN209" s="179">
        <f ca="1">IF(ISNUMBER(MATCH(DATEVALUE($A209),'recurring1_based on steps'!AN$1:AN$400,0)),AN$2,)</f>
        <v>0</v>
      </c>
      <c r="AO209" s="179">
        <f ca="1">IF(ISNUMBER(MATCH(DATEVALUE($A209),'recurring1_based on steps'!AO$1:AO$400,0)),AO$2,)</f>
        <v>0</v>
      </c>
      <c r="AP209" s="179">
        <f ca="1">IF(ISNUMBER(MATCH(DATEVALUE($A209),'recurring1_based on steps'!AP$1:AP$400,0)),AP$2,)</f>
        <v>0</v>
      </c>
      <c r="AQ209" s="179">
        <f ca="1">IF(ISNUMBER(MATCH(DATEVALUE($A209),'recurring1_based on steps'!AQ$1:AQ$400,0)),AQ$2,)</f>
        <v>0</v>
      </c>
      <c r="AR209" s="179">
        <f ca="1">IF(ISNUMBER(MATCH(DATEVALUE($A209),'recurring1_based on steps'!AR$1:AR$400,0)),AR$2,)</f>
        <v>0</v>
      </c>
      <c r="AS209" s="179">
        <f ca="1">IF(ISNUMBER(MATCH(DATEVALUE($A209),'recurring1_based on steps'!AS$1:AS$400,0)),AS$2,)</f>
        <v>0</v>
      </c>
      <c r="AT209" s="179">
        <f ca="1">IF(ISNUMBER(MATCH(DATEVALUE($A209),'recurring1_based on steps'!AT$1:AT$400,0)),AT$2,)</f>
        <v>0</v>
      </c>
      <c r="AU209" s="179">
        <f ca="1">IF(ISNUMBER(MATCH(DATEVALUE($A209),'recurring1_based on steps'!AU$1:AU$400,0)),AU$2,)</f>
        <v>0</v>
      </c>
      <c r="AV209" s="179">
        <f ca="1">IF(ISNUMBER(MATCH(DATEVALUE($A209),'recurring1_based on steps'!AV$1:AV$400,0)),AV$2,)</f>
        <v>0</v>
      </c>
      <c r="AW209" s="179">
        <f ca="1">IF(ISNUMBER(MATCH(DATEVALUE($A209),'recurring1_based on steps'!AW$1:AW$400,0)),AW$2,)</f>
        <v>0</v>
      </c>
      <c r="AX209" s="179">
        <f ca="1">IF(ISNUMBER(MATCH(DATEVALUE($A209),'recurring1_based on steps'!AX$1:AX$400,0)),AX$2,)</f>
        <v>0</v>
      </c>
      <c r="AY209" s="179">
        <f ca="1">IF(ISNUMBER(MATCH(DATEVALUE($A209),'recurring1_based on steps'!AY$1:AY$400,0)),AY$2,)</f>
        <v>0</v>
      </c>
    </row>
    <row r="210" spans="1:51" x14ac:dyDescent="0.2">
      <c r="A210" s="32" t="str">
        <f t="shared" ca="1" si="3"/>
        <v>2025-10-29</v>
      </c>
      <c r="B210" s="179">
        <f ca="1">IF(ISNUMBER(MATCH(DATEVALUE($A210),'recurring1_based on steps'!B$1:B$400,0)),B$2,)</f>
        <v>0</v>
      </c>
      <c r="C210" s="179">
        <f ca="1">IF(ISNUMBER(MATCH(DATEVALUE($A210),'recurring1_based on steps'!C$1:C$400,0)),C$2,)</f>
        <v>0</v>
      </c>
      <c r="D210" s="179">
        <f ca="1">IF(ISNUMBER(MATCH(DATEVALUE($A210),'recurring1_based on steps'!D$1:D$400,0)),D$2,)</f>
        <v>0</v>
      </c>
      <c r="E210" s="179">
        <f ca="1">IF(ISNUMBER(MATCH(DATEVALUE($A210),'recurring1_based on steps'!E$1:E$400,0)),E$2,)</f>
        <v>0</v>
      </c>
      <c r="F210" s="179">
        <f ca="1">IF(ISNUMBER(MATCH(DATEVALUE($A210),'recurring1_based on steps'!F$1:F$400,0)),F$2,)</f>
        <v>0</v>
      </c>
      <c r="G210" s="179">
        <f ca="1">IF(ISNUMBER(MATCH(DATEVALUE($A210),'recurring1_based on steps'!G$1:G$400,0)),G$2,)</f>
        <v>0</v>
      </c>
      <c r="H210" s="179">
        <f ca="1">IF(ISNUMBER(MATCH(DATEVALUE($A210),'recurring1_based on steps'!H$1:H$400,0)),H$2,)</f>
        <v>0</v>
      </c>
      <c r="I210" s="179">
        <f ca="1">IF(ISNUMBER(MATCH(DATEVALUE($A210),'recurring1_based on steps'!I$1:I$400,0)),I$2,)</f>
        <v>0</v>
      </c>
      <c r="J210" s="179">
        <f ca="1">IF(ISNUMBER(MATCH(DATEVALUE($A210),'recurring1_based on steps'!J$1:J$400,0)),J$2,)</f>
        <v>0</v>
      </c>
      <c r="K210" s="179">
        <f ca="1">IF(ISNUMBER(MATCH(DATEVALUE($A210),'recurring1_based on steps'!K$1:K$400,0)),K$2,)</f>
        <v>0</v>
      </c>
      <c r="L210" s="179">
        <f ca="1">IF(ISNUMBER(MATCH(DATEVALUE($A210),'recurring1_based on steps'!L$1:L$400,0)),L$2,)</f>
        <v>0</v>
      </c>
      <c r="M210" s="179">
        <f ca="1">IF(ISNUMBER(MATCH(DATEVALUE($A210),'recurring1_based on steps'!M$1:M$400,0)),M$2,)</f>
        <v>0</v>
      </c>
      <c r="N210" s="179">
        <f ca="1">IF(ISNUMBER(MATCH(DATEVALUE($A210),'recurring1_based on steps'!N$1:N$400,0)),N$2,)</f>
        <v>0</v>
      </c>
      <c r="O210" s="179">
        <f ca="1">IF(ISNUMBER(MATCH(DATEVALUE($A210),'recurring1_based on steps'!O$1:O$400,0)),O$2,)</f>
        <v>0</v>
      </c>
      <c r="P210" s="179">
        <f ca="1">IF(ISNUMBER(MATCH(DATEVALUE($A210),'recurring1_based on steps'!P$1:P$400,0)),P$2,)</f>
        <v>0</v>
      </c>
      <c r="Q210" s="179">
        <f ca="1">IF(ISNUMBER(MATCH(DATEVALUE($A210),'recurring1_based on steps'!Q$1:Q$400,0)),Q$2,)</f>
        <v>0</v>
      </c>
      <c r="R210" s="179">
        <f ca="1">IF(ISNUMBER(MATCH(DATEVALUE($A210),'recurring1_based on steps'!R$1:R$400,0)),R$2,)</f>
        <v>0</v>
      </c>
      <c r="S210" s="179">
        <f ca="1">IF(ISNUMBER(MATCH(DATEVALUE($A210),'recurring1_based on steps'!S$1:S$400,0)),S$2,)</f>
        <v>0</v>
      </c>
      <c r="T210" s="179">
        <f ca="1">IF(ISNUMBER(MATCH(DATEVALUE($A210),'recurring1_based on steps'!T$1:T$400,0)),T$2,)</f>
        <v>0</v>
      </c>
      <c r="U210" s="179">
        <f ca="1">IF(ISNUMBER(MATCH(DATEVALUE($A210),'recurring1_based on steps'!U$1:U$400,0)),U$2,)</f>
        <v>0</v>
      </c>
      <c r="V210" s="179">
        <f ca="1">IF(ISNUMBER(MATCH(DATEVALUE($A210),'recurring1_based on steps'!V$1:V$400,0)),V$2,)</f>
        <v>0</v>
      </c>
      <c r="W210" s="179">
        <f ca="1">IF(ISNUMBER(MATCH(DATEVALUE($A210),'recurring1_based on steps'!W$1:W$400,0)),W$2,)</f>
        <v>0</v>
      </c>
      <c r="X210" s="179">
        <f ca="1">IF(ISNUMBER(MATCH(DATEVALUE($A210),'recurring1_based on steps'!X$1:X$400,0)),X$2,)</f>
        <v>0</v>
      </c>
      <c r="Y210" s="179">
        <f ca="1">IF(ISNUMBER(MATCH(DATEVALUE($A210),'recurring1_based on steps'!Y$1:Y$400,0)),Y$2,)</f>
        <v>0</v>
      </c>
      <c r="Z210" s="179">
        <f ca="1">IF(ISNUMBER(MATCH(DATEVALUE($A210),'recurring1_based on steps'!Z$1:Z$400,0)),Z$2,)</f>
        <v>0</v>
      </c>
      <c r="AA210" s="179">
        <f ca="1">IF(ISNUMBER(MATCH(DATEVALUE($A210),'recurring1_based on steps'!AA$1:AA$400,0)),AA$2,)</f>
        <v>0</v>
      </c>
      <c r="AB210" s="179">
        <f ca="1">IF(ISNUMBER(MATCH(DATEVALUE($A210),'recurring1_based on steps'!AB$1:AB$400,0)),AB$2,)</f>
        <v>0</v>
      </c>
      <c r="AC210" s="179">
        <f ca="1">IF(ISNUMBER(MATCH(DATEVALUE($A210),'recurring1_based on steps'!AC$1:AC$400,0)),AC$2,)</f>
        <v>0</v>
      </c>
      <c r="AD210" s="179">
        <f ca="1">IF(ISNUMBER(MATCH(DATEVALUE($A210),'recurring1_based on steps'!AD$1:AD$400,0)),AD$2,)</f>
        <v>0</v>
      </c>
      <c r="AE210" s="179">
        <f ca="1">IF(ISNUMBER(MATCH(DATEVALUE($A210),'recurring1_based on steps'!AE$1:AE$400,0)),AE$2,)</f>
        <v>0</v>
      </c>
      <c r="AF210" s="179">
        <f ca="1">IF(ISNUMBER(MATCH(DATEVALUE($A210),'recurring1_based on steps'!AF$1:AF$400,0)),AF$2,)</f>
        <v>0</v>
      </c>
      <c r="AG210" s="179">
        <f ca="1">IF(ISNUMBER(MATCH(DATEVALUE($A210),'recurring1_based on steps'!AG$1:AG$400,0)),AG$2,)</f>
        <v>0</v>
      </c>
      <c r="AH210" s="179">
        <f ca="1">IF(ISNUMBER(MATCH(DATEVALUE($A210),'recurring1_based on steps'!AH$1:AH$400,0)),AH$2,)</f>
        <v>0</v>
      </c>
      <c r="AI210" s="179">
        <f ca="1">IF(ISNUMBER(MATCH(DATEVALUE($A210),'recurring1_based on steps'!AI$1:AI$400,0)),AI$2,)</f>
        <v>0</v>
      </c>
      <c r="AJ210" s="179">
        <f ca="1">IF(ISNUMBER(MATCH(DATEVALUE($A210),'recurring1_based on steps'!AJ$1:AJ$400,0)),AJ$2,)</f>
        <v>0</v>
      </c>
      <c r="AK210" s="179">
        <f ca="1">IF(ISNUMBER(MATCH(DATEVALUE($A210),'recurring1_based on steps'!AK$1:AK$400,0)),AK$2,)</f>
        <v>0</v>
      </c>
      <c r="AL210" s="179">
        <f ca="1">IF(ISNUMBER(MATCH(DATEVALUE($A210),'recurring1_based on steps'!AL$1:AL$400,0)),AL$2,)</f>
        <v>0</v>
      </c>
      <c r="AM210" s="179">
        <f ca="1">IF(ISNUMBER(MATCH(DATEVALUE($A210),'recurring1_based on steps'!AM$1:AM$400,0)),AM$2,)</f>
        <v>0</v>
      </c>
      <c r="AN210" s="179">
        <f ca="1">IF(ISNUMBER(MATCH(DATEVALUE($A210),'recurring1_based on steps'!AN$1:AN$400,0)),AN$2,)</f>
        <v>0</v>
      </c>
      <c r="AO210" s="179">
        <f ca="1">IF(ISNUMBER(MATCH(DATEVALUE($A210),'recurring1_based on steps'!AO$1:AO$400,0)),AO$2,)</f>
        <v>0</v>
      </c>
      <c r="AP210" s="179">
        <f ca="1">IF(ISNUMBER(MATCH(DATEVALUE($A210),'recurring1_based on steps'!AP$1:AP$400,0)),AP$2,)</f>
        <v>0</v>
      </c>
      <c r="AQ210" s="179">
        <f ca="1">IF(ISNUMBER(MATCH(DATEVALUE($A210),'recurring1_based on steps'!AQ$1:AQ$400,0)),AQ$2,)</f>
        <v>0</v>
      </c>
      <c r="AR210" s="179">
        <f ca="1">IF(ISNUMBER(MATCH(DATEVALUE($A210),'recurring1_based on steps'!AR$1:AR$400,0)),AR$2,)</f>
        <v>0</v>
      </c>
      <c r="AS210" s="179">
        <f ca="1">IF(ISNUMBER(MATCH(DATEVALUE($A210),'recurring1_based on steps'!AS$1:AS$400,0)),AS$2,)</f>
        <v>0</v>
      </c>
      <c r="AT210" s="179">
        <f ca="1">IF(ISNUMBER(MATCH(DATEVALUE($A210),'recurring1_based on steps'!AT$1:AT$400,0)),AT$2,)</f>
        <v>0</v>
      </c>
      <c r="AU210" s="179">
        <f ca="1">IF(ISNUMBER(MATCH(DATEVALUE($A210),'recurring1_based on steps'!AU$1:AU$400,0)),AU$2,)</f>
        <v>0</v>
      </c>
      <c r="AV210" s="179">
        <f ca="1">IF(ISNUMBER(MATCH(DATEVALUE($A210),'recurring1_based on steps'!AV$1:AV$400,0)),AV$2,)</f>
        <v>0</v>
      </c>
      <c r="AW210" s="179">
        <f ca="1">IF(ISNUMBER(MATCH(DATEVALUE($A210),'recurring1_based on steps'!AW$1:AW$400,0)),AW$2,)</f>
        <v>0</v>
      </c>
      <c r="AX210" s="179">
        <f ca="1">IF(ISNUMBER(MATCH(DATEVALUE($A210),'recurring1_based on steps'!AX$1:AX$400,0)),AX$2,)</f>
        <v>0</v>
      </c>
      <c r="AY210" s="179">
        <f ca="1">IF(ISNUMBER(MATCH(DATEVALUE($A210),'recurring1_based on steps'!AY$1:AY$400,0)),AY$2,)</f>
        <v>0</v>
      </c>
    </row>
    <row r="211" spans="1:51" x14ac:dyDescent="0.2">
      <c r="A211" s="32" t="str">
        <f t="shared" ca="1" si="3"/>
        <v>2025-10-30</v>
      </c>
      <c r="B211" s="179">
        <f ca="1">IF(ISNUMBER(MATCH(DATEVALUE($A211),'recurring1_based on steps'!B$1:B$400,0)),B$2,)</f>
        <v>0</v>
      </c>
      <c r="C211" s="179">
        <f ca="1">IF(ISNUMBER(MATCH(DATEVALUE($A211),'recurring1_based on steps'!C$1:C$400,0)),C$2,)</f>
        <v>0</v>
      </c>
      <c r="D211" s="179">
        <f ca="1">IF(ISNUMBER(MATCH(DATEVALUE($A211),'recurring1_based on steps'!D$1:D$400,0)),D$2,)</f>
        <v>0</v>
      </c>
      <c r="E211" s="179">
        <f ca="1">IF(ISNUMBER(MATCH(DATEVALUE($A211),'recurring1_based on steps'!E$1:E$400,0)),E$2,)</f>
        <v>0</v>
      </c>
      <c r="F211" s="179">
        <f ca="1">IF(ISNUMBER(MATCH(DATEVALUE($A211),'recurring1_based on steps'!F$1:F$400,0)),F$2,)</f>
        <v>0</v>
      </c>
      <c r="G211" s="179">
        <f ca="1">IF(ISNUMBER(MATCH(DATEVALUE($A211),'recurring1_based on steps'!G$1:G$400,0)),G$2,)</f>
        <v>0</v>
      </c>
      <c r="H211" s="179">
        <f ca="1">IF(ISNUMBER(MATCH(DATEVALUE($A211),'recurring1_based on steps'!H$1:H$400,0)),H$2,)</f>
        <v>0</v>
      </c>
      <c r="I211" s="179">
        <f ca="1">IF(ISNUMBER(MATCH(DATEVALUE($A211),'recurring1_based on steps'!I$1:I$400,0)),I$2,)</f>
        <v>0</v>
      </c>
      <c r="J211" s="179">
        <f ca="1">IF(ISNUMBER(MATCH(DATEVALUE($A211),'recurring1_based on steps'!J$1:J$400,0)),J$2,)</f>
        <v>0</v>
      </c>
      <c r="K211" s="179">
        <f ca="1">IF(ISNUMBER(MATCH(DATEVALUE($A211),'recurring1_based on steps'!K$1:K$400,0)),K$2,)</f>
        <v>0</v>
      </c>
      <c r="L211" s="179">
        <f ca="1">IF(ISNUMBER(MATCH(DATEVALUE($A211),'recurring1_based on steps'!L$1:L$400,0)),L$2,)</f>
        <v>0</v>
      </c>
      <c r="M211" s="179">
        <f ca="1">IF(ISNUMBER(MATCH(DATEVALUE($A211),'recurring1_based on steps'!M$1:M$400,0)),M$2,)</f>
        <v>0</v>
      </c>
      <c r="N211" s="179">
        <f ca="1">IF(ISNUMBER(MATCH(DATEVALUE($A211),'recurring1_based on steps'!N$1:N$400,0)),N$2,)</f>
        <v>0</v>
      </c>
      <c r="O211" s="179">
        <f ca="1">IF(ISNUMBER(MATCH(DATEVALUE($A211),'recurring1_based on steps'!O$1:O$400,0)),O$2,)</f>
        <v>0</v>
      </c>
      <c r="P211" s="179">
        <f ca="1">IF(ISNUMBER(MATCH(DATEVALUE($A211),'recurring1_based on steps'!P$1:P$400,0)),P$2,)</f>
        <v>0</v>
      </c>
      <c r="Q211" s="179">
        <f ca="1">IF(ISNUMBER(MATCH(DATEVALUE($A211),'recurring1_based on steps'!Q$1:Q$400,0)),Q$2,)</f>
        <v>0</v>
      </c>
      <c r="R211" s="179">
        <f ca="1">IF(ISNUMBER(MATCH(DATEVALUE($A211),'recurring1_based on steps'!R$1:R$400,0)),R$2,)</f>
        <v>0</v>
      </c>
      <c r="S211" s="179">
        <f ca="1">IF(ISNUMBER(MATCH(DATEVALUE($A211),'recurring1_based on steps'!S$1:S$400,0)),S$2,)</f>
        <v>0</v>
      </c>
      <c r="T211" s="179">
        <f ca="1">IF(ISNUMBER(MATCH(DATEVALUE($A211),'recurring1_based on steps'!T$1:T$400,0)),T$2,)</f>
        <v>0</v>
      </c>
      <c r="U211" s="179">
        <f ca="1">IF(ISNUMBER(MATCH(DATEVALUE($A211),'recurring1_based on steps'!U$1:U$400,0)),U$2,)</f>
        <v>0</v>
      </c>
      <c r="V211" s="179">
        <f ca="1">IF(ISNUMBER(MATCH(DATEVALUE($A211),'recurring1_based on steps'!V$1:V$400,0)),V$2,)</f>
        <v>0</v>
      </c>
      <c r="W211" s="179">
        <f ca="1">IF(ISNUMBER(MATCH(DATEVALUE($A211),'recurring1_based on steps'!W$1:W$400,0)),W$2,)</f>
        <v>0</v>
      </c>
      <c r="X211" s="179">
        <f ca="1">IF(ISNUMBER(MATCH(DATEVALUE($A211),'recurring1_based on steps'!X$1:X$400,0)),X$2,)</f>
        <v>0</v>
      </c>
      <c r="Y211" s="179">
        <f ca="1">IF(ISNUMBER(MATCH(DATEVALUE($A211),'recurring1_based on steps'!Y$1:Y$400,0)),Y$2,)</f>
        <v>0</v>
      </c>
      <c r="Z211" s="179">
        <f ca="1">IF(ISNUMBER(MATCH(DATEVALUE($A211),'recurring1_based on steps'!Z$1:Z$400,0)),Z$2,)</f>
        <v>0</v>
      </c>
      <c r="AA211" s="179">
        <f ca="1">IF(ISNUMBER(MATCH(DATEVALUE($A211),'recurring1_based on steps'!AA$1:AA$400,0)),AA$2,)</f>
        <v>0</v>
      </c>
      <c r="AB211" s="179">
        <f ca="1">IF(ISNUMBER(MATCH(DATEVALUE($A211),'recurring1_based on steps'!AB$1:AB$400,0)),AB$2,)</f>
        <v>0</v>
      </c>
      <c r="AC211" s="179">
        <f ca="1">IF(ISNUMBER(MATCH(DATEVALUE($A211),'recurring1_based on steps'!AC$1:AC$400,0)),AC$2,)</f>
        <v>0</v>
      </c>
      <c r="AD211" s="179">
        <f ca="1">IF(ISNUMBER(MATCH(DATEVALUE($A211),'recurring1_based on steps'!AD$1:AD$400,0)),AD$2,)</f>
        <v>0</v>
      </c>
      <c r="AE211" s="179">
        <f ca="1">IF(ISNUMBER(MATCH(DATEVALUE($A211),'recurring1_based on steps'!AE$1:AE$400,0)),AE$2,)</f>
        <v>0</v>
      </c>
      <c r="AF211" s="179">
        <f ca="1">IF(ISNUMBER(MATCH(DATEVALUE($A211),'recurring1_based on steps'!AF$1:AF$400,0)),AF$2,)</f>
        <v>0</v>
      </c>
      <c r="AG211" s="179">
        <f ca="1">IF(ISNUMBER(MATCH(DATEVALUE($A211),'recurring1_based on steps'!AG$1:AG$400,0)),AG$2,)</f>
        <v>0</v>
      </c>
      <c r="AH211" s="179">
        <f ca="1">IF(ISNUMBER(MATCH(DATEVALUE($A211),'recurring1_based on steps'!AH$1:AH$400,0)),AH$2,)</f>
        <v>0</v>
      </c>
      <c r="AI211" s="179">
        <f ca="1">IF(ISNUMBER(MATCH(DATEVALUE($A211),'recurring1_based on steps'!AI$1:AI$400,0)),AI$2,)</f>
        <v>0</v>
      </c>
      <c r="AJ211" s="179">
        <f ca="1">IF(ISNUMBER(MATCH(DATEVALUE($A211),'recurring1_based on steps'!AJ$1:AJ$400,0)),AJ$2,)</f>
        <v>0</v>
      </c>
      <c r="AK211" s="179">
        <f ca="1">IF(ISNUMBER(MATCH(DATEVALUE($A211),'recurring1_based on steps'!AK$1:AK$400,0)),AK$2,)</f>
        <v>0</v>
      </c>
      <c r="AL211" s="179">
        <f ca="1">IF(ISNUMBER(MATCH(DATEVALUE($A211),'recurring1_based on steps'!AL$1:AL$400,0)),AL$2,)</f>
        <v>0</v>
      </c>
      <c r="AM211" s="179">
        <f ca="1">IF(ISNUMBER(MATCH(DATEVALUE($A211),'recurring1_based on steps'!AM$1:AM$400,0)),AM$2,)</f>
        <v>0</v>
      </c>
      <c r="AN211" s="179">
        <f ca="1">IF(ISNUMBER(MATCH(DATEVALUE($A211),'recurring1_based on steps'!AN$1:AN$400,0)),AN$2,)</f>
        <v>0</v>
      </c>
      <c r="AO211" s="179">
        <f ca="1">IF(ISNUMBER(MATCH(DATEVALUE($A211),'recurring1_based on steps'!AO$1:AO$400,0)),AO$2,)</f>
        <v>0</v>
      </c>
      <c r="AP211" s="179">
        <f ca="1">IF(ISNUMBER(MATCH(DATEVALUE($A211),'recurring1_based on steps'!AP$1:AP$400,0)),AP$2,)</f>
        <v>0</v>
      </c>
      <c r="AQ211" s="179">
        <f ca="1">IF(ISNUMBER(MATCH(DATEVALUE($A211),'recurring1_based on steps'!AQ$1:AQ$400,0)),AQ$2,)</f>
        <v>0</v>
      </c>
      <c r="AR211" s="179">
        <f ca="1">IF(ISNUMBER(MATCH(DATEVALUE($A211),'recurring1_based on steps'!AR$1:AR$400,0)),AR$2,)</f>
        <v>0</v>
      </c>
      <c r="AS211" s="179">
        <f ca="1">IF(ISNUMBER(MATCH(DATEVALUE($A211),'recurring1_based on steps'!AS$1:AS$400,0)),AS$2,)</f>
        <v>0</v>
      </c>
      <c r="AT211" s="179">
        <f ca="1">IF(ISNUMBER(MATCH(DATEVALUE($A211),'recurring1_based on steps'!AT$1:AT$400,0)),AT$2,)</f>
        <v>0</v>
      </c>
      <c r="AU211" s="179">
        <f ca="1">IF(ISNUMBER(MATCH(DATEVALUE($A211),'recurring1_based on steps'!AU$1:AU$400,0)),AU$2,)</f>
        <v>0</v>
      </c>
      <c r="AV211" s="179">
        <f ca="1">IF(ISNUMBER(MATCH(DATEVALUE($A211),'recurring1_based on steps'!AV$1:AV$400,0)),AV$2,)</f>
        <v>0</v>
      </c>
      <c r="AW211" s="179">
        <f ca="1">IF(ISNUMBER(MATCH(DATEVALUE($A211),'recurring1_based on steps'!AW$1:AW$400,0)),AW$2,)</f>
        <v>0</v>
      </c>
      <c r="AX211" s="179">
        <f ca="1">IF(ISNUMBER(MATCH(DATEVALUE($A211),'recurring1_based on steps'!AX$1:AX$400,0)),AX$2,)</f>
        <v>0</v>
      </c>
      <c r="AY211" s="179">
        <f ca="1">IF(ISNUMBER(MATCH(DATEVALUE($A211),'recurring1_based on steps'!AY$1:AY$400,0)),AY$2,)</f>
        <v>0</v>
      </c>
    </row>
    <row r="212" spans="1:51" x14ac:dyDescent="0.2">
      <c r="A212" s="32" t="str">
        <f t="shared" ca="1" si="3"/>
        <v>2025-10-31</v>
      </c>
      <c r="B212" s="179">
        <f ca="1">IF(ISNUMBER(MATCH(DATEVALUE($A212),'recurring1_based on steps'!B$1:B$400,0)),B$2,)</f>
        <v>0</v>
      </c>
      <c r="C212" s="179">
        <f ca="1">IF(ISNUMBER(MATCH(DATEVALUE($A212),'recurring1_based on steps'!C$1:C$400,0)),C$2,)</f>
        <v>0</v>
      </c>
      <c r="D212" s="179">
        <f ca="1">IF(ISNUMBER(MATCH(DATEVALUE($A212),'recurring1_based on steps'!D$1:D$400,0)),D$2,)</f>
        <v>0</v>
      </c>
      <c r="E212" s="179">
        <f ca="1">IF(ISNUMBER(MATCH(DATEVALUE($A212),'recurring1_based on steps'!E$1:E$400,0)),E$2,)</f>
        <v>0</v>
      </c>
      <c r="F212" s="179">
        <f ca="1">IF(ISNUMBER(MATCH(DATEVALUE($A212),'recurring1_based on steps'!F$1:F$400,0)),F$2,)</f>
        <v>0</v>
      </c>
      <c r="G212" s="179">
        <f ca="1">IF(ISNUMBER(MATCH(DATEVALUE($A212),'recurring1_based on steps'!G$1:G$400,0)),G$2,)</f>
        <v>0</v>
      </c>
      <c r="H212" s="179">
        <f ca="1">IF(ISNUMBER(MATCH(DATEVALUE($A212),'recurring1_based on steps'!H$1:H$400,0)),H$2,)</f>
        <v>0</v>
      </c>
      <c r="I212" s="179">
        <f ca="1">IF(ISNUMBER(MATCH(DATEVALUE($A212),'recurring1_based on steps'!I$1:I$400,0)),I$2,)</f>
        <v>0</v>
      </c>
      <c r="J212" s="179">
        <f ca="1">IF(ISNUMBER(MATCH(DATEVALUE($A212),'recurring1_based on steps'!J$1:J$400,0)),J$2,)</f>
        <v>0</v>
      </c>
      <c r="K212" s="179">
        <f ca="1">IF(ISNUMBER(MATCH(DATEVALUE($A212),'recurring1_based on steps'!K$1:K$400,0)),K$2,)</f>
        <v>0</v>
      </c>
      <c r="L212" s="179">
        <f ca="1">IF(ISNUMBER(MATCH(DATEVALUE($A212),'recurring1_based on steps'!L$1:L$400,0)),L$2,)</f>
        <v>0</v>
      </c>
      <c r="M212" s="179">
        <f ca="1">IF(ISNUMBER(MATCH(DATEVALUE($A212),'recurring1_based on steps'!M$1:M$400,0)),M$2,)</f>
        <v>0</v>
      </c>
      <c r="N212" s="179">
        <f ca="1">IF(ISNUMBER(MATCH(DATEVALUE($A212),'recurring1_based on steps'!N$1:N$400,0)),N$2,)</f>
        <v>0</v>
      </c>
      <c r="O212" s="179">
        <f ca="1">IF(ISNUMBER(MATCH(DATEVALUE($A212),'recurring1_based on steps'!O$1:O$400,0)),O$2,)</f>
        <v>0</v>
      </c>
      <c r="P212" s="179">
        <f ca="1">IF(ISNUMBER(MATCH(DATEVALUE($A212),'recurring1_based on steps'!P$1:P$400,0)),P$2,)</f>
        <v>0</v>
      </c>
      <c r="Q212" s="179">
        <f ca="1">IF(ISNUMBER(MATCH(DATEVALUE($A212),'recurring1_based on steps'!Q$1:Q$400,0)),Q$2,)</f>
        <v>0</v>
      </c>
      <c r="R212" s="179">
        <f ca="1">IF(ISNUMBER(MATCH(DATEVALUE($A212),'recurring1_based on steps'!R$1:R$400,0)),R$2,)</f>
        <v>0</v>
      </c>
      <c r="S212" s="179">
        <f ca="1">IF(ISNUMBER(MATCH(DATEVALUE($A212),'recurring1_based on steps'!S$1:S$400,0)),S$2,)</f>
        <v>0</v>
      </c>
      <c r="T212" s="179">
        <f ca="1">IF(ISNUMBER(MATCH(DATEVALUE($A212),'recurring1_based on steps'!T$1:T$400,0)),T$2,)</f>
        <v>0</v>
      </c>
      <c r="U212" s="179">
        <f ca="1">IF(ISNUMBER(MATCH(DATEVALUE($A212),'recurring1_based on steps'!U$1:U$400,0)),U$2,)</f>
        <v>0</v>
      </c>
      <c r="V212" s="179">
        <f ca="1">IF(ISNUMBER(MATCH(DATEVALUE($A212),'recurring1_based on steps'!V$1:V$400,0)),V$2,)</f>
        <v>0</v>
      </c>
      <c r="W212" s="179">
        <f ca="1">IF(ISNUMBER(MATCH(DATEVALUE($A212),'recurring1_based on steps'!W$1:W$400,0)),W$2,)</f>
        <v>0</v>
      </c>
      <c r="X212" s="179">
        <f ca="1">IF(ISNUMBER(MATCH(DATEVALUE($A212),'recurring1_based on steps'!X$1:X$400,0)),X$2,)</f>
        <v>0</v>
      </c>
      <c r="Y212" s="179">
        <f ca="1">IF(ISNUMBER(MATCH(DATEVALUE($A212),'recurring1_based on steps'!Y$1:Y$400,0)),Y$2,)</f>
        <v>0</v>
      </c>
      <c r="Z212" s="179">
        <f ca="1">IF(ISNUMBER(MATCH(DATEVALUE($A212),'recurring1_based on steps'!Z$1:Z$400,0)),Z$2,)</f>
        <v>0</v>
      </c>
      <c r="AA212" s="179">
        <f ca="1">IF(ISNUMBER(MATCH(DATEVALUE($A212),'recurring1_based on steps'!AA$1:AA$400,0)),AA$2,)</f>
        <v>0</v>
      </c>
      <c r="AB212" s="179">
        <f ca="1">IF(ISNUMBER(MATCH(DATEVALUE($A212),'recurring1_based on steps'!AB$1:AB$400,0)),AB$2,)</f>
        <v>0</v>
      </c>
      <c r="AC212" s="179">
        <f ca="1">IF(ISNUMBER(MATCH(DATEVALUE($A212),'recurring1_based on steps'!AC$1:AC$400,0)),AC$2,)</f>
        <v>0</v>
      </c>
      <c r="AD212" s="179">
        <f ca="1">IF(ISNUMBER(MATCH(DATEVALUE($A212),'recurring1_based on steps'!AD$1:AD$400,0)),AD$2,)</f>
        <v>0</v>
      </c>
      <c r="AE212" s="179">
        <f ca="1">IF(ISNUMBER(MATCH(DATEVALUE($A212),'recurring1_based on steps'!AE$1:AE$400,0)),AE$2,)</f>
        <v>0</v>
      </c>
      <c r="AF212" s="179">
        <f ca="1">IF(ISNUMBER(MATCH(DATEVALUE($A212),'recurring1_based on steps'!AF$1:AF$400,0)),AF$2,)</f>
        <v>0</v>
      </c>
      <c r="AG212" s="179">
        <f ca="1">IF(ISNUMBER(MATCH(DATEVALUE($A212),'recurring1_based on steps'!AG$1:AG$400,0)),AG$2,)</f>
        <v>0</v>
      </c>
      <c r="AH212" s="179">
        <f ca="1">IF(ISNUMBER(MATCH(DATEVALUE($A212),'recurring1_based on steps'!AH$1:AH$400,0)),AH$2,)</f>
        <v>0</v>
      </c>
      <c r="AI212" s="179">
        <f ca="1">IF(ISNUMBER(MATCH(DATEVALUE($A212),'recurring1_based on steps'!AI$1:AI$400,0)),AI$2,)</f>
        <v>0</v>
      </c>
      <c r="AJ212" s="179">
        <f ca="1">IF(ISNUMBER(MATCH(DATEVALUE($A212),'recurring1_based on steps'!AJ$1:AJ$400,0)),AJ$2,)</f>
        <v>0</v>
      </c>
      <c r="AK212" s="179">
        <f ca="1">IF(ISNUMBER(MATCH(DATEVALUE($A212),'recurring1_based on steps'!AK$1:AK$400,0)),AK$2,)</f>
        <v>0</v>
      </c>
      <c r="AL212" s="179">
        <f ca="1">IF(ISNUMBER(MATCH(DATEVALUE($A212),'recurring1_based on steps'!AL$1:AL$400,0)),AL$2,)</f>
        <v>0</v>
      </c>
      <c r="AM212" s="179">
        <f ca="1">IF(ISNUMBER(MATCH(DATEVALUE($A212),'recurring1_based on steps'!AM$1:AM$400,0)),AM$2,)</f>
        <v>0</v>
      </c>
      <c r="AN212" s="179">
        <f ca="1">IF(ISNUMBER(MATCH(DATEVALUE($A212),'recurring1_based on steps'!AN$1:AN$400,0)),AN$2,)</f>
        <v>0</v>
      </c>
      <c r="AO212" s="179">
        <f ca="1">IF(ISNUMBER(MATCH(DATEVALUE($A212),'recurring1_based on steps'!AO$1:AO$400,0)),AO$2,)</f>
        <v>0</v>
      </c>
      <c r="AP212" s="179">
        <f ca="1">IF(ISNUMBER(MATCH(DATEVALUE($A212),'recurring1_based on steps'!AP$1:AP$400,0)),AP$2,)</f>
        <v>0</v>
      </c>
      <c r="AQ212" s="179">
        <f ca="1">IF(ISNUMBER(MATCH(DATEVALUE($A212),'recurring1_based on steps'!AQ$1:AQ$400,0)),AQ$2,)</f>
        <v>0</v>
      </c>
      <c r="AR212" s="179">
        <f ca="1">IF(ISNUMBER(MATCH(DATEVALUE($A212),'recurring1_based on steps'!AR$1:AR$400,0)),AR$2,)</f>
        <v>0</v>
      </c>
      <c r="AS212" s="179">
        <f ca="1">IF(ISNUMBER(MATCH(DATEVALUE($A212),'recurring1_based on steps'!AS$1:AS$400,0)),AS$2,)</f>
        <v>0</v>
      </c>
      <c r="AT212" s="179">
        <f ca="1">IF(ISNUMBER(MATCH(DATEVALUE($A212),'recurring1_based on steps'!AT$1:AT$400,0)),AT$2,)</f>
        <v>0</v>
      </c>
      <c r="AU212" s="179">
        <f ca="1">IF(ISNUMBER(MATCH(DATEVALUE($A212),'recurring1_based on steps'!AU$1:AU$400,0)),AU$2,)</f>
        <v>0</v>
      </c>
      <c r="AV212" s="179">
        <f ca="1">IF(ISNUMBER(MATCH(DATEVALUE($A212),'recurring1_based on steps'!AV$1:AV$400,0)),AV$2,)</f>
        <v>0</v>
      </c>
      <c r="AW212" s="179">
        <f ca="1">IF(ISNUMBER(MATCH(DATEVALUE($A212),'recurring1_based on steps'!AW$1:AW$400,0)),AW$2,)</f>
        <v>0</v>
      </c>
      <c r="AX212" s="179">
        <f ca="1">IF(ISNUMBER(MATCH(DATEVALUE($A212),'recurring1_based on steps'!AX$1:AX$400,0)),AX$2,)</f>
        <v>0</v>
      </c>
      <c r="AY212" s="179">
        <f ca="1">IF(ISNUMBER(MATCH(DATEVALUE($A212),'recurring1_based on steps'!AY$1:AY$400,0)),AY$2,)</f>
        <v>0</v>
      </c>
    </row>
    <row r="213" spans="1:51" x14ac:dyDescent="0.2">
      <c r="A213" s="32" t="str">
        <f t="shared" ca="1" si="3"/>
        <v>2025-11-01</v>
      </c>
      <c r="B213" s="179">
        <f ca="1">IF(ISNUMBER(MATCH(DATEVALUE($A213),'recurring1_based on steps'!B$1:B$400,0)),B$2,)</f>
        <v>0</v>
      </c>
      <c r="C213" s="179">
        <f ca="1">IF(ISNUMBER(MATCH(DATEVALUE($A213),'recurring1_based on steps'!C$1:C$400,0)),C$2,)</f>
        <v>0</v>
      </c>
      <c r="D213" s="179">
        <f ca="1">IF(ISNUMBER(MATCH(DATEVALUE($A213),'recurring1_based on steps'!D$1:D$400,0)),D$2,)</f>
        <v>0</v>
      </c>
      <c r="E213" s="179">
        <f ca="1">IF(ISNUMBER(MATCH(DATEVALUE($A213),'recurring1_based on steps'!E$1:E$400,0)),E$2,)</f>
        <v>0</v>
      </c>
      <c r="F213" s="179">
        <f ca="1">IF(ISNUMBER(MATCH(DATEVALUE($A213),'recurring1_based on steps'!F$1:F$400,0)),F$2,)</f>
        <v>0</v>
      </c>
      <c r="G213" s="179">
        <f ca="1">IF(ISNUMBER(MATCH(DATEVALUE($A213),'recurring1_based on steps'!G$1:G$400,0)),G$2,)</f>
        <v>0</v>
      </c>
      <c r="H213" s="179">
        <f ca="1">IF(ISNUMBER(MATCH(DATEVALUE($A213),'recurring1_based on steps'!H$1:H$400,0)),H$2,)</f>
        <v>0</v>
      </c>
      <c r="I213" s="179">
        <f ca="1">IF(ISNUMBER(MATCH(DATEVALUE($A213),'recurring1_based on steps'!I$1:I$400,0)),I$2,)</f>
        <v>0</v>
      </c>
      <c r="J213" s="179">
        <f ca="1">IF(ISNUMBER(MATCH(DATEVALUE($A213),'recurring1_based on steps'!J$1:J$400,0)),J$2,)</f>
        <v>0</v>
      </c>
      <c r="K213" s="179">
        <f ca="1">IF(ISNUMBER(MATCH(DATEVALUE($A213),'recurring1_based on steps'!K$1:K$400,0)),K$2,)</f>
        <v>0</v>
      </c>
      <c r="L213" s="179">
        <f ca="1">IF(ISNUMBER(MATCH(DATEVALUE($A213),'recurring1_based on steps'!L$1:L$400,0)),L$2,)</f>
        <v>0</v>
      </c>
      <c r="M213" s="179">
        <f ca="1">IF(ISNUMBER(MATCH(DATEVALUE($A213),'recurring1_based on steps'!M$1:M$400,0)),M$2,)</f>
        <v>0</v>
      </c>
      <c r="N213" s="179">
        <f ca="1">IF(ISNUMBER(MATCH(DATEVALUE($A213),'recurring1_based on steps'!N$1:N$400,0)),N$2,)</f>
        <v>0</v>
      </c>
      <c r="O213" s="179">
        <f ca="1">IF(ISNUMBER(MATCH(DATEVALUE($A213),'recurring1_based on steps'!O$1:O$400,0)),O$2,)</f>
        <v>0</v>
      </c>
      <c r="P213" s="179">
        <f ca="1">IF(ISNUMBER(MATCH(DATEVALUE($A213),'recurring1_based on steps'!P$1:P$400,0)),P$2,)</f>
        <v>0</v>
      </c>
      <c r="Q213" s="179">
        <f ca="1">IF(ISNUMBER(MATCH(DATEVALUE($A213),'recurring1_based on steps'!Q$1:Q$400,0)),Q$2,)</f>
        <v>0</v>
      </c>
      <c r="R213" s="179">
        <f ca="1">IF(ISNUMBER(MATCH(DATEVALUE($A213),'recurring1_based on steps'!R$1:R$400,0)),R$2,)</f>
        <v>0</v>
      </c>
      <c r="S213" s="179">
        <f ca="1">IF(ISNUMBER(MATCH(DATEVALUE($A213),'recurring1_based on steps'!S$1:S$400,0)),S$2,)</f>
        <v>0</v>
      </c>
      <c r="T213" s="179">
        <f ca="1">IF(ISNUMBER(MATCH(DATEVALUE($A213),'recurring1_based on steps'!T$1:T$400,0)),T$2,)</f>
        <v>0</v>
      </c>
      <c r="U213" s="179">
        <f ca="1">IF(ISNUMBER(MATCH(DATEVALUE($A213),'recurring1_based on steps'!U$1:U$400,0)),U$2,)</f>
        <v>0</v>
      </c>
      <c r="V213" s="179">
        <f ca="1">IF(ISNUMBER(MATCH(DATEVALUE($A213),'recurring1_based on steps'!V$1:V$400,0)),V$2,)</f>
        <v>0</v>
      </c>
      <c r="W213" s="179">
        <f ca="1">IF(ISNUMBER(MATCH(DATEVALUE($A213),'recurring1_based on steps'!W$1:W$400,0)),W$2,)</f>
        <v>0</v>
      </c>
      <c r="X213" s="179">
        <f ca="1">IF(ISNUMBER(MATCH(DATEVALUE($A213),'recurring1_based on steps'!X$1:X$400,0)),X$2,)</f>
        <v>0</v>
      </c>
      <c r="Y213" s="179">
        <f ca="1">IF(ISNUMBER(MATCH(DATEVALUE($A213),'recurring1_based on steps'!Y$1:Y$400,0)),Y$2,)</f>
        <v>0</v>
      </c>
      <c r="Z213" s="179">
        <f ca="1">IF(ISNUMBER(MATCH(DATEVALUE($A213),'recurring1_based on steps'!Z$1:Z$400,0)),Z$2,)</f>
        <v>0</v>
      </c>
      <c r="AA213" s="179">
        <f ca="1">IF(ISNUMBER(MATCH(DATEVALUE($A213),'recurring1_based on steps'!AA$1:AA$400,0)),AA$2,)</f>
        <v>0</v>
      </c>
      <c r="AB213" s="179">
        <f ca="1">IF(ISNUMBER(MATCH(DATEVALUE($A213),'recurring1_based on steps'!AB$1:AB$400,0)),AB$2,)</f>
        <v>0</v>
      </c>
      <c r="AC213" s="179">
        <f ca="1">IF(ISNUMBER(MATCH(DATEVALUE($A213),'recurring1_based on steps'!AC$1:AC$400,0)),AC$2,)</f>
        <v>0</v>
      </c>
      <c r="AD213" s="179">
        <f ca="1">IF(ISNUMBER(MATCH(DATEVALUE($A213),'recurring1_based on steps'!AD$1:AD$400,0)),AD$2,)</f>
        <v>0</v>
      </c>
      <c r="AE213" s="179">
        <f ca="1">IF(ISNUMBER(MATCH(DATEVALUE($A213),'recurring1_based on steps'!AE$1:AE$400,0)),AE$2,)</f>
        <v>0</v>
      </c>
      <c r="AF213" s="179">
        <f ca="1">IF(ISNUMBER(MATCH(DATEVALUE($A213),'recurring1_based on steps'!AF$1:AF$400,0)),AF$2,)</f>
        <v>0</v>
      </c>
      <c r="AG213" s="179">
        <f ca="1">IF(ISNUMBER(MATCH(DATEVALUE($A213),'recurring1_based on steps'!AG$1:AG$400,0)),AG$2,)</f>
        <v>0</v>
      </c>
      <c r="AH213" s="179">
        <f ca="1">IF(ISNUMBER(MATCH(DATEVALUE($A213),'recurring1_based on steps'!AH$1:AH$400,0)),AH$2,)</f>
        <v>0</v>
      </c>
      <c r="AI213" s="179">
        <f ca="1">IF(ISNUMBER(MATCH(DATEVALUE($A213),'recurring1_based on steps'!AI$1:AI$400,0)),AI$2,)</f>
        <v>0</v>
      </c>
      <c r="AJ213" s="179">
        <f ca="1">IF(ISNUMBER(MATCH(DATEVALUE($A213),'recurring1_based on steps'!AJ$1:AJ$400,0)),AJ$2,)</f>
        <v>0</v>
      </c>
      <c r="AK213" s="179">
        <f ca="1">IF(ISNUMBER(MATCH(DATEVALUE($A213),'recurring1_based on steps'!AK$1:AK$400,0)),AK$2,)</f>
        <v>0</v>
      </c>
      <c r="AL213" s="179">
        <f ca="1">IF(ISNUMBER(MATCH(DATEVALUE($A213),'recurring1_based on steps'!AL$1:AL$400,0)),AL$2,)</f>
        <v>0</v>
      </c>
      <c r="AM213" s="179">
        <f ca="1">IF(ISNUMBER(MATCH(DATEVALUE($A213),'recurring1_based on steps'!AM$1:AM$400,0)),AM$2,)</f>
        <v>0</v>
      </c>
      <c r="AN213" s="179">
        <f ca="1">IF(ISNUMBER(MATCH(DATEVALUE($A213),'recurring1_based on steps'!AN$1:AN$400,0)),AN$2,)</f>
        <v>0</v>
      </c>
      <c r="AO213" s="179">
        <f ca="1">IF(ISNUMBER(MATCH(DATEVALUE($A213),'recurring1_based on steps'!AO$1:AO$400,0)),AO$2,)</f>
        <v>0</v>
      </c>
      <c r="AP213" s="179">
        <f ca="1">IF(ISNUMBER(MATCH(DATEVALUE($A213),'recurring1_based on steps'!AP$1:AP$400,0)),AP$2,)</f>
        <v>0</v>
      </c>
      <c r="AQ213" s="179">
        <f ca="1">IF(ISNUMBER(MATCH(DATEVALUE($A213),'recurring1_based on steps'!AQ$1:AQ$400,0)),AQ$2,)</f>
        <v>0</v>
      </c>
      <c r="AR213" s="179">
        <f ca="1">IF(ISNUMBER(MATCH(DATEVALUE($A213),'recurring1_based on steps'!AR$1:AR$400,0)),AR$2,)</f>
        <v>0</v>
      </c>
      <c r="AS213" s="179">
        <f ca="1">IF(ISNUMBER(MATCH(DATEVALUE($A213),'recurring1_based on steps'!AS$1:AS$400,0)),AS$2,)</f>
        <v>0</v>
      </c>
      <c r="AT213" s="179">
        <f ca="1">IF(ISNUMBER(MATCH(DATEVALUE($A213),'recurring1_based on steps'!AT$1:AT$400,0)),AT$2,)</f>
        <v>0</v>
      </c>
      <c r="AU213" s="179">
        <f ca="1">IF(ISNUMBER(MATCH(DATEVALUE($A213),'recurring1_based on steps'!AU$1:AU$400,0)),AU$2,)</f>
        <v>0</v>
      </c>
      <c r="AV213" s="179">
        <f ca="1">IF(ISNUMBER(MATCH(DATEVALUE($A213),'recurring1_based on steps'!AV$1:AV$400,0)),AV$2,)</f>
        <v>0</v>
      </c>
      <c r="AW213" s="179">
        <f ca="1">IF(ISNUMBER(MATCH(DATEVALUE($A213),'recurring1_based on steps'!AW$1:AW$400,0)),AW$2,)</f>
        <v>0</v>
      </c>
      <c r="AX213" s="179">
        <f ca="1">IF(ISNUMBER(MATCH(DATEVALUE($A213),'recurring1_based on steps'!AX$1:AX$400,0)),AX$2,)</f>
        <v>0</v>
      </c>
      <c r="AY213" s="179">
        <f ca="1">IF(ISNUMBER(MATCH(DATEVALUE($A213),'recurring1_based on steps'!AY$1:AY$400,0)),AY$2,)</f>
        <v>0</v>
      </c>
    </row>
    <row r="214" spans="1:51" x14ac:dyDescent="0.2">
      <c r="A214" s="32" t="str">
        <f t="shared" ca="1" si="3"/>
        <v>2025-11-02</v>
      </c>
      <c r="B214" s="179">
        <f ca="1">IF(ISNUMBER(MATCH(DATEVALUE($A214),'recurring1_based on steps'!B$1:B$400,0)),B$2,)</f>
        <v>0</v>
      </c>
      <c r="C214" s="179">
        <f ca="1">IF(ISNUMBER(MATCH(DATEVALUE($A214),'recurring1_based on steps'!C$1:C$400,0)),C$2,)</f>
        <v>0</v>
      </c>
      <c r="D214" s="179">
        <f ca="1">IF(ISNUMBER(MATCH(DATEVALUE($A214),'recurring1_based on steps'!D$1:D$400,0)),D$2,)</f>
        <v>0</v>
      </c>
      <c r="E214" s="179">
        <f ca="1">IF(ISNUMBER(MATCH(DATEVALUE($A214),'recurring1_based on steps'!E$1:E$400,0)),E$2,)</f>
        <v>0</v>
      </c>
      <c r="F214" s="179">
        <f ca="1">IF(ISNUMBER(MATCH(DATEVALUE($A214),'recurring1_based on steps'!F$1:F$400,0)),F$2,)</f>
        <v>0</v>
      </c>
      <c r="G214" s="179">
        <f ca="1">IF(ISNUMBER(MATCH(DATEVALUE($A214),'recurring1_based on steps'!G$1:G$400,0)),G$2,)</f>
        <v>0</v>
      </c>
      <c r="H214" s="179">
        <f ca="1">IF(ISNUMBER(MATCH(DATEVALUE($A214),'recurring1_based on steps'!H$1:H$400,0)),H$2,)</f>
        <v>0</v>
      </c>
      <c r="I214" s="179">
        <f ca="1">IF(ISNUMBER(MATCH(DATEVALUE($A214),'recurring1_based on steps'!I$1:I$400,0)),I$2,)</f>
        <v>0</v>
      </c>
      <c r="J214" s="179">
        <f ca="1">IF(ISNUMBER(MATCH(DATEVALUE($A214),'recurring1_based on steps'!J$1:J$400,0)),J$2,)</f>
        <v>0</v>
      </c>
      <c r="K214" s="179">
        <f ca="1">IF(ISNUMBER(MATCH(DATEVALUE($A214),'recurring1_based on steps'!K$1:K$400,0)),K$2,)</f>
        <v>0</v>
      </c>
      <c r="L214" s="179">
        <f ca="1">IF(ISNUMBER(MATCH(DATEVALUE($A214),'recurring1_based on steps'!L$1:L$400,0)),L$2,)</f>
        <v>0</v>
      </c>
      <c r="M214" s="179">
        <f ca="1">IF(ISNUMBER(MATCH(DATEVALUE($A214),'recurring1_based on steps'!M$1:M$400,0)),M$2,)</f>
        <v>0</v>
      </c>
      <c r="N214" s="179">
        <f ca="1">IF(ISNUMBER(MATCH(DATEVALUE($A214),'recurring1_based on steps'!N$1:N$400,0)),N$2,)</f>
        <v>0</v>
      </c>
      <c r="O214" s="179">
        <f ca="1">IF(ISNUMBER(MATCH(DATEVALUE($A214),'recurring1_based on steps'!O$1:O$400,0)),O$2,)</f>
        <v>0</v>
      </c>
      <c r="P214" s="179">
        <f ca="1">IF(ISNUMBER(MATCH(DATEVALUE($A214),'recurring1_based on steps'!P$1:P$400,0)),P$2,)</f>
        <v>0</v>
      </c>
      <c r="Q214" s="179">
        <f ca="1">IF(ISNUMBER(MATCH(DATEVALUE($A214),'recurring1_based on steps'!Q$1:Q$400,0)),Q$2,)</f>
        <v>0</v>
      </c>
      <c r="R214" s="179">
        <f ca="1">IF(ISNUMBER(MATCH(DATEVALUE($A214),'recurring1_based on steps'!R$1:R$400,0)),R$2,)</f>
        <v>0</v>
      </c>
      <c r="S214" s="179">
        <f ca="1">IF(ISNUMBER(MATCH(DATEVALUE($A214),'recurring1_based on steps'!S$1:S$400,0)),S$2,)</f>
        <v>0</v>
      </c>
      <c r="T214" s="179">
        <f ca="1">IF(ISNUMBER(MATCH(DATEVALUE($A214),'recurring1_based on steps'!T$1:T$400,0)),T$2,)</f>
        <v>0</v>
      </c>
      <c r="U214" s="179">
        <f ca="1">IF(ISNUMBER(MATCH(DATEVALUE($A214),'recurring1_based on steps'!U$1:U$400,0)),U$2,)</f>
        <v>0</v>
      </c>
      <c r="V214" s="179">
        <f ca="1">IF(ISNUMBER(MATCH(DATEVALUE($A214),'recurring1_based on steps'!V$1:V$400,0)),V$2,)</f>
        <v>0</v>
      </c>
      <c r="W214" s="179">
        <f ca="1">IF(ISNUMBER(MATCH(DATEVALUE($A214),'recurring1_based on steps'!W$1:W$400,0)),W$2,)</f>
        <v>0</v>
      </c>
      <c r="X214" s="179">
        <f ca="1">IF(ISNUMBER(MATCH(DATEVALUE($A214),'recurring1_based on steps'!X$1:X$400,0)),X$2,)</f>
        <v>0</v>
      </c>
      <c r="Y214" s="179">
        <f ca="1">IF(ISNUMBER(MATCH(DATEVALUE($A214),'recurring1_based on steps'!Y$1:Y$400,0)),Y$2,)</f>
        <v>0</v>
      </c>
      <c r="Z214" s="179">
        <f ca="1">IF(ISNUMBER(MATCH(DATEVALUE($A214),'recurring1_based on steps'!Z$1:Z$400,0)),Z$2,)</f>
        <v>0</v>
      </c>
      <c r="AA214" s="179">
        <f ca="1">IF(ISNUMBER(MATCH(DATEVALUE($A214),'recurring1_based on steps'!AA$1:AA$400,0)),AA$2,)</f>
        <v>0</v>
      </c>
      <c r="AB214" s="179">
        <f ca="1">IF(ISNUMBER(MATCH(DATEVALUE($A214),'recurring1_based on steps'!AB$1:AB$400,0)),AB$2,)</f>
        <v>0</v>
      </c>
      <c r="AC214" s="179">
        <f ca="1">IF(ISNUMBER(MATCH(DATEVALUE($A214),'recurring1_based on steps'!AC$1:AC$400,0)),AC$2,)</f>
        <v>0</v>
      </c>
      <c r="AD214" s="179">
        <f ca="1">IF(ISNUMBER(MATCH(DATEVALUE($A214),'recurring1_based on steps'!AD$1:AD$400,0)),AD$2,)</f>
        <v>0</v>
      </c>
      <c r="AE214" s="179">
        <f ca="1">IF(ISNUMBER(MATCH(DATEVALUE($A214),'recurring1_based on steps'!AE$1:AE$400,0)),AE$2,)</f>
        <v>0</v>
      </c>
      <c r="AF214" s="179">
        <f ca="1">IF(ISNUMBER(MATCH(DATEVALUE($A214),'recurring1_based on steps'!AF$1:AF$400,0)),AF$2,)</f>
        <v>0</v>
      </c>
      <c r="AG214" s="179">
        <f ca="1">IF(ISNUMBER(MATCH(DATEVALUE($A214),'recurring1_based on steps'!AG$1:AG$400,0)),AG$2,)</f>
        <v>0</v>
      </c>
      <c r="AH214" s="179">
        <f ca="1">IF(ISNUMBER(MATCH(DATEVALUE($A214),'recurring1_based on steps'!AH$1:AH$400,0)),AH$2,)</f>
        <v>0</v>
      </c>
      <c r="AI214" s="179">
        <f ca="1">IF(ISNUMBER(MATCH(DATEVALUE($A214),'recurring1_based on steps'!AI$1:AI$400,0)),AI$2,)</f>
        <v>0</v>
      </c>
      <c r="AJ214" s="179">
        <f ca="1">IF(ISNUMBER(MATCH(DATEVALUE($A214),'recurring1_based on steps'!AJ$1:AJ$400,0)),AJ$2,)</f>
        <v>0</v>
      </c>
      <c r="AK214" s="179">
        <f ca="1">IF(ISNUMBER(MATCH(DATEVALUE($A214),'recurring1_based on steps'!AK$1:AK$400,0)),AK$2,)</f>
        <v>0</v>
      </c>
      <c r="AL214" s="179">
        <f ca="1">IF(ISNUMBER(MATCH(DATEVALUE($A214),'recurring1_based on steps'!AL$1:AL$400,0)),AL$2,)</f>
        <v>0</v>
      </c>
      <c r="AM214" s="179">
        <f ca="1">IF(ISNUMBER(MATCH(DATEVALUE($A214),'recurring1_based on steps'!AM$1:AM$400,0)),AM$2,)</f>
        <v>0</v>
      </c>
      <c r="AN214" s="179">
        <f ca="1">IF(ISNUMBER(MATCH(DATEVALUE($A214),'recurring1_based on steps'!AN$1:AN$400,0)),AN$2,)</f>
        <v>0</v>
      </c>
      <c r="AO214" s="179">
        <f ca="1">IF(ISNUMBER(MATCH(DATEVALUE($A214),'recurring1_based on steps'!AO$1:AO$400,0)),AO$2,)</f>
        <v>0</v>
      </c>
      <c r="AP214" s="179">
        <f ca="1">IF(ISNUMBER(MATCH(DATEVALUE($A214),'recurring1_based on steps'!AP$1:AP$400,0)),AP$2,)</f>
        <v>0</v>
      </c>
      <c r="AQ214" s="179">
        <f ca="1">IF(ISNUMBER(MATCH(DATEVALUE($A214),'recurring1_based on steps'!AQ$1:AQ$400,0)),AQ$2,)</f>
        <v>0</v>
      </c>
      <c r="AR214" s="179">
        <f ca="1">IF(ISNUMBER(MATCH(DATEVALUE($A214),'recurring1_based on steps'!AR$1:AR$400,0)),AR$2,)</f>
        <v>0</v>
      </c>
      <c r="AS214" s="179">
        <f ca="1">IF(ISNUMBER(MATCH(DATEVALUE($A214),'recurring1_based on steps'!AS$1:AS$400,0)),AS$2,)</f>
        <v>0</v>
      </c>
      <c r="AT214" s="179">
        <f ca="1">IF(ISNUMBER(MATCH(DATEVALUE($A214),'recurring1_based on steps'!AT$1:AT$400,0)),AT$2,)</f>
        <v>0</v>
      </c>
      <c r="AU214" s="179">
        <f ca="1">IF(ISNUMBER(MATCH(DATEVALUE($A214),'recurring1_based on steps'!AU$1:AU$400,0)),AU$2,)</f>
        <v>0</v>
      </c>
      <c r="AV214" s="179">
        <f ca="1">IF(ISNUMBER(MATCH(DATEVALUE($A214),'recurring1_based on steps'!AV$1:AV$400,0)),AV$2,)</f>
        <v>0</v>
      </c>
      <c r="AW214" s="179">
        <f ca="1">IF(ISNUMBER(MATCH(DATEVALUE($A214),'recurring1_based on steps'!AW$1:AW$400,0)),AW$2,)</f>
        <v>0</v>
      </c>
      <c r="AX214" s="179">
        <f ca="1">IF(ISNUMBER(MATCH(DATEVALUE($A214),'recurring1_based on steps'!AX$1:AX$400,0)),AX$2,)</f>
        <v>0</v>
      </c>
      <c r="AY214" s="179">
        <f ca="1">IF(ISNUMBER(MATCH(DATEVALUE($A214),'recurring1_based on steps'!AY$1:AY$400,0)),AY$2,)</f>
        <v>0</v>
      </c>
    </row>
    <row r="215" spans="1:51" x14ac:dyDescent="0.2">
      <c r="A215" s="32" t="str">
        <f t="shared" ca="1" si="3"/>
        <v>2025-11-03</v>
      </c>
      <c r="B215" s="179">
        <f ca="1">IF(ISNUMBER(MATCH(DATEVALUE($A215),'recurring1_based on steps'!B$1:B$400,0)),B$2,)</f>
        <v>0</v>
      </c>
      <c r="C215" s="179">
        <f ca="1">IF(ISNUMBER(MATCH(DATEVALUE($A215),'recurring1_based on steps'!C$1:C$400,0)),C$2,)</f>
        <v>0</v>
      </c>
      <c r="D215" s="179">
        <f ca="1">IF(ISNUMBER(MATCH(DATEVALUE($A215),'recurring1_based on steps'!D$1:D$400,0)),D$2,)</f>
        <v>0</v>
      </c>
      <c r="E215" s="179">
        <f ca="1">IF(ISNUMBER(MATCH(DATEVALUE($A215),'recurring1_based on steps'!E$1:E$400,0)),E$2,)</f>
        <v>0</v>
      </c>
      <c r="F215" s="179">
        <f ca="1">IF(ISNUMBER(MATCH(DATEVALUE($A215),'recurring1_based on steps'!F$1:F$400,0)),F$2,)</f>
        <v>0</v>
      </c>
      <c r="G215" s="179">
        <f ca="1">IF(ISNUMBER(MATCH(DATEVALUE($A215),'recurring1_based on steps'!G$1:G$400,0)),G$2,)</f>
        <v>0</v>
      </c>
      <c r="H215" s="179">
        <f ca="1">IF(ISNUMBER(MATCH(DATEVALUE($A215),'recurring1_based on steps'!H$1:H$400,0)),H$2,)</f>
        <v>0</v>
      </c>
      <c r="I215" s="179">
        <f ca="1">IF(ISNUMBER(MATCH(DATEVALUE($A215),'recurring1_based on steps'!I$1:I$400,0)),I$2,)</f>
        <v>0</v>
      </c>
      <c r="J215" s="179">
        <f ca="1">IF(ISNUMBER(MATCH(DATEVALUE($A215),'recurring1_based on steps'!J$1:J$400,0)),J$2,)</f>
        <v>0</v>
      </c>
      <c r="K215" s="179">
        <f ca="1">IF(ISNUMBER(MATCH(DATEVALUE($A215),'recurring1_based on steps'!K$1:K$400,0)),K$2,)</f>
        <v>0</v>
      </c>
      <c r="L215" s="179">
        <f ca="1">IF(ISNUMBER(MATCH(DATEVALUE($A215),'recurring1_based on steps'!L$1:L$400,0)),L$2,)</f>
        <v>0</v>
      </c>
      <c r="M215" s="179">
        <f ca="1">IF(ISNUMBER(MATCH(DATEVALUE($A215),'recurring1_based on steps'!M$1:M$400,0)),M$2,)</f>
        <v>0</v>
      </c>
      <c r="N215" s="179">
        <f ca="1">IF(ISNUMBER(MATCH(DATEVALUE($A215),'recurring1_based on steps'!N$1:N$400,0)),N$2,)</f>
        <v>0</v>
      </c>
      <c r="O215" s="179">
        <f ca="1">IF(ISNUMBER(MATCH(DATEVALUE($A215),'recurring1_based on steps'!O$1:O$400,0)),O$2,)</f>
        <v>0</v>
      </c>
      <c r="P215" s="179">
        <f ca="1">IF(ISNUMBER(MATCH(DATEVALUE($A215),'recurring1_based on steps'!P$1:P$400,0)),P$2,)</f>
        <v>0</v>
      </c>
      <c r="Q215" s="179">
        <f ca="1">IF(ISNUMBER(MATCH(DATEVALUE($A215),'recurring1_based on steps'!Q$1:Q$400,0)),Q$2,)</f>
        <v>0</v>
      </c>
      <c r="R215" s="179">
        <f ca="1">IF(ISNUMBER(MATCH(DATEVALUE($A215),'recurring1_based on steps'!R$1:R$400,0)),R$2,)</f>
        <v>0</v>
      </c>
      <c r="S215" s="179">
        <f ca="1">IF(ISNUMBER(MATCH(DATEVALUE($A215),'recurring1_based on steps'!S$1:S$400,0)),S$2,)</f>
        <v>0</v>
      </c>
      <c r="T215" s="179">
        <f ca="1">IF(ISNUMBER(MATCH(DATEVALUE($A215),'recurring1_based on steps'!T$1:T$400,0)),T$2,)</f>
        <v>0</v>
      </c>
      <c r="U215" s="179">
        <f ca="1">IF(ISNUMBER(MATCH(DATEVALUE($A215),'recurring1_based on steps'!U$1:U$400,0)),U$2,)</f>
        <v>0</v>
      </c>
      <c r="V215" s="179">
        <f ca="1">IF(ISNUMBER(MATCH(DATEVALUE($A215),'recurring1_based on steps'!V$1:V$400,0)),V$2,)</f>
        <v>0</v>
      </c>
      <c r="W215" s="179">
        <f ca="1">IF(ISNUMBER(MATCH(DATEVALUE($A215),'recurring1_based on steps'!W$1:W$400,0)),W$2,)</f>
        <v>0</v>
      </c>
      <c r="X215" s="179">
        <f ca="1">IF(ISNUMBER(MATCH(DATEVALUE($A215),'recurring1_based on steps'!X$1:X$400,0)),X$2,)</f>
        <v>0</v>
      </c>
      <c r="Y215" s="179">
        <f ca="1">IF(ISNUMBER(MATCH(DATEVALUE($A215),'recurring1_based on steps'!Y$1:Y$400,0)),Y$2,)</f>
        <v>0</v>
      </c>
      <c r="Z215" s="179">
        <f ca="1">IF(ISNUMBER(MATCH(DATEVALUE($A215),'recurring1_based on steps'!Z$1:Z$400,0)),Z$2,)</f>
        <v>0</v>
      </c>
      <c r="AA215" s="179">
        <f ca="1">IF(ISNUMBER(MATCH(DATEVALUE($A215),'recurring1_based on steps'!AA$1:AA$400,0)),AA$2,)</f>
        <v>0</v>
      </c>
      <c r="AB215" s="179">
        <f ca="1">IF(ISNUMBER(MATCH(DATEVALUE($A215),'recurring1_based on steps'!AB$1:AB$400,0)),AB$2,)</f>
        <v>0</v>
      </c>
      <c r="AC215" s="179">
        <f ca="1">IF(ISNUMBER(MATCH(DATEVALUE($A215),'recurring1_based on steps'!AC$1:AC$400,0)),AC$2,)</f>
        <v>0</v>
      </c>
      <c r="AD215" s="179">
        <f ca="1">IF(ISNUMBER(MATCH(DATEVALUE($A215),'recurring1_based on steps'!AD$1:AD$400,0)),AD$2,)</f>
        <v>0</v>
      </c>
      <c r="AE215" s="179">
        <f ca="1">IF(ISNUMBER(MATCH(DATEVALUE($A215),'recurring1_based on steps'!AE$1:AE$400,0)),AE$2,)</f>
        <v>0</v>
      </c>
      <c r="AF215" s="179">
        <f ca="1">IF(ISNUMBER(MATCH(DATEVALUE($A215),'recurring1_based on steps'!AF$1:AF$400,0)),AF$2,)</f>
        <v>0</v>
      </c>
      <c r="AG215" s="179">
        <f ca="1">IF(ISNUMBER(MATCH(DATEVALUE($A215),'recurring1_based on steps'!AG$1:AG$400,0)),AG$2,)</f>
        <v>0</v>
      </c>
      <c r="AH215" s="179">
        <f ca="1">IF(ISNUMBER(MATCH(DATEVALUE($A215),'recurring1_based on steps'!AH$1:AH$400,0)),AH$2,)</f>
        <v>0</v>
      </c>
      <c r="AI215" s="179">
        <f ca="1">IF(ISNUMBER(MATCH(DATEVALUE($A215),'recurring1_based on steps'!AI$1:AI$400,0)),AI$2,)</f>
        <v>0</v>
      </c>
      <c r="AJ215" s="179">
        <f ca="1">IF(ISNUMBER(MATCH(DATEVALUE($A215),'recurring1_based on steps'!AJ$1:AJ$400,0)),AJ$2,)</f>
        <v>0</v>
      </c>
      <c r="AK215" s="179">
        <f ca="1">IF(ISNUMBER(MATCH(DATEVALUE($A215),'recurring1_based on steps'!AK$1:AK$400,0)),AK$2,)</f>
        <v>0</v>
      </c>
      <c r="AL215" s="179">
        <f ca="1">IF(ISNUMBER(MATCH(DATEVALUE($A215),'recurring1_based on steps'!AL$1:AL$400,0)),AL$2,)</f>
        <v>0</v>
      </c>
      <c r="AM215" s="179">
        <f ca="1">IF(ISNUMBER(MATCH(DATEVALUE($A215),'recurring1_based on steps'!AM$1:AM$400,0)),AM$2,)</f>
        <v>0</v>
      </c>
      <c r="AN215" s="179">
        <f ca="1">IF(ISNUMBER(MATCH(DATEVALUE($A215),'recurring1_based on steps'!AN$1:AN$400,0)),AN$2,)</f>
        <v>0</v>
      </c>
      <c r="AO215" s="179">
        <f ca="1">IF(ISNUMBER(MATCH(DATEVALUE($A215),'recurring1_based on steps'!AO$1:AO$400,0)),AO$2,)</f>
        <v>0</v>
      </c>
      <c r="AP215" s="179">
        <f ca="1">IF(ISNUMBER(MATCH(DATEVALUE($A215),'recurring1_based on steps'!AP$1:AP$400,0)),AP$2,)</f>
        <v>0</v>
      </c>
      <c r="AQ215" s="179">
        <f ca="1">IF(ISNUMBER(MATCH(DATEVALUE($A215),'recurring1_based on steps'!AQ$1:AQ$400,0)),AQ$2,)</f>
        <v>0</v>
      </c>
      <c r="AR215" s="179">
        <f ca="1">IF(ISNUMBER(MATCH(DATEVALUE($A215),'recurring1_based on steps'!AR$1:AR$400,0)),AR$2,)</f>
        <v>0</v>
      </c>
      <c r="AS215" s="179">
        <f ca="1">IF(ISNUMBER(MATCH(DATEVALUE($A215),'recurring1_based on steps'!AS$1:AS$400,0)),AS$2,)</f>
        <v>0</v>
      </c>
      <c r="AT215" s="179">
        <f ca="1">IF(ISNUMBER(MATCH(DATEVALUE($A215),'recurring1_based on steps'!AT$1:AT$400,0)),AT$2,)</f>
        <v>0</v>
      </c>
      <c r="AU215" s="179">
        <f ca="1">IF(ISNUMBER(MATCH(DATEVALUE($A215),'recurring1_based on steps'!AU$1:AU$400,0)),AU$2,)</f>
        <v>0</v>
      </c>
      <c r="AV215" s="179">
        <f ca="1">IF(ISNUMBER(MATCH(DATEVALUE($A215),'recurring1_based on steps'!AV$1:AV$400,0)),AV$2,)</f>
        <v>0</v>
      </c>
      <c r="AW215" s="179">
        <f ca="1">IF(ISNUMBER(MATCH(DATEVALUE($A215),'recurring1_based on steps'!AW$1:AW$400,0)),AW$2,)</f>
        <v>0</v>
      </c>
      <c r="AX215" s="179">
        <f ca="1">IF(ISNUMBER(MATCH(DATEVALUE($A215),'recurring1_based on steps'!AX$1:AX$400,0)),AX$2,)</f>
        <v>0</v>
      </c>
      <c r="AY215" s="179">
        <f ca="1">IF(ISNUMBER(MATCH(DATEVALUE($A215),'recurring1_based on steps'!AY$1:AY$400,0)),AY$2,)</f>
        <v>0</v>
      </c>
    </row>
    <row r="216" spans="1:51" x14ac:dyDescent="0.2">
      <c r="A216" s="32" t="str">
        <f t="shared" ca="1" si="3"/>
        <v>2025-11-04</v>
      </c>
      <c r="B216" s="179">
        <f ca="1">IF(ISNUMBER(MATCH(DATEVALUE($A216),'recurring1_based on steps'!B$1:B$400,0)),B$2,)</f>
        <v>0</v>
      </c>
      <c r="C216" s="179">
        <f ca="1">IF(ISNUMBER(MATCH(DATEVALUE($A216),'recurring1_based on steps'!C$1:C$400,0)),C$2,)</f>
        <v>0</v>
      </c>
      <c r="D216" s="179">
        <f ca="1">IF(ISNUMBER(MATCH(DATEVALUE($A216),'recurring1_based on steps'!D$1:D$400,0)),D$2,)</f>
        <v>0</v>
      </c>
      <c r="E216" s="179">
        <f ca="1">IF(ISNUMBER(MATCH(DATEVALUE($A216),'recurring1_based on steps'!E$1:E$400,0)),E$2,)</f>
        <v>0</v>
      </c>
      <c r="F216" s="179">
        <f ca="1">IF(ISNUMBER(MATCH(DATEVALUE($A216),'recurring1_based on steps'!F$1:F$400,0)),F$2,)</f>
        <v>0</v>
      </c>
      <c r="G216" s="179">
        <f ca="1">IF(ISNUMBER(MATCH(DATEVALUE($A216),'recurring1_based on steps'!G$1:G$400,0)),G$2,)</f>
        <v>0</v>
      </c>
      <c r="H216" s="179">
        <f ca="1">IF(ISNUMBER(MATCH(DATEVALUE($A216),'recurring1_based on steps'!H$1:H$400,0)),H$2,)</f>
        <v>0</v>
      </c>
      <c r="I216" s="179">
        <f ca="1">IF(ISNUMBER(MATCH(DATEVALUE($A216),'recurring1_based on steps'!I$1:I$400,0)),I$2,)</f>
        <v>0</v>
      </c>
      <c r="J216" s="179">
        <f ca="1">IF(ISNUMBER(MATCH(DATEVALUE($A216),'recurring1_based on steps'!J$1:J$400,0)),J$2,)</f>
        <v>0</v>
      </c>
      <c r="K216" s="179">
        <f ca="1">IF(ISNUMBER(MATCH(DATEVALUE($A216),'recurring1_based on steps'!K$1:K$400,0)),K$2,)</f>
        <v>0</v>
      </c>
      <c r="L216" s="179">
        <f ca="1">IF(ISNUMBER(MATCH(DATEVALUE($A216),'recurring1_based on steps'!L$1:L$400,0)),L$2,)</f>
        <v>0</v>
      </c>
      <c r="M216" s="179">
        <f ca="1">IF(ISNUMBER(MATCH(DATEVALUE($A216),'recurring1_based on steps'!M$1:M$400,0)),M$2,)</f>
        <v>0</v>
      </c>
      <c r="N216" s="179">
        <f ca="1">IF(ISNUMBER(MATCH(DATEVALUE($A216),'recurring1_based on steps'!N$1:N$400,0)),N$2,)</f>
        <v>0</v>
      </c>
      <c r="O216" s="179">
        <f ca="1">IF(ISNUMBER(MATCH(DATEVALUE($A216),'recurring1_based on steps'!O$1:O$400,0)),O$2,)</f>
        <v>0</v>
      </c>
      <c r="P216" s="179">
        <f ca="1">IF(ISNUMBER(MATCH(DATEVALUE($A216),'recurring1_based on steps'!P$1:P$400,0)),P$2,)</f>
        <v>0</v>
      </c>
      <c r="Q216" s="179">
        <f ca="1">IF(ISNUMBER(MATCH(DATEVALUE($A216),'recurring1_based on steps'!Q$1:Q$400,0)),Q$2,)</f>
        <v>0</v>
      </c>
      <c r="R216" s="179">
        <f ca="1">IF(ISNUMBER(MATCH(DATEVALUE($A216),'recurring1_based on steps'!R$1:R$400,0)),R$2,)</f>
        <v>0</v>
      </c>
      <c r="S216" s="179">
        <f ca="1">IF(ISNUMBER(MATCH(DATEVALUE($A216),'recurring1_based on steps'!S$1:S$400,0)),S$2,)</f>
        <v>0</v>
      </c>
      <c r="T216" s="179">
        <f ca="1">IF(ISNUMBER(MATCH(DATEVALUE($A216),'recurring1_based on steps'!T$1:T$400,0)),T$2,)</f>
        <v>0</v>
      </c>
      <c r="U216" s="179">
        <f ca="1">IF(ISNUMBER(MATCH(DATEVALUE($A216),'recurring1_based on steps'!U$1:U$400,0)),U$2,)</f>
        <v>0</v>
      </c>
      <c r="V216" s="179">
        <f ca="1">IF(ISNUMBER(MATCH(DATEVALUE($A216),'recurring1_based on steps'!V$1:V$400,0)),V$2,)</f>
        <v>0</v>
      </c>
      <c r="W216" s="179">
        <f ca="1">IF(ISNUMBER(MATCH(DATEVALUE($A216),'recurring1_based on steps'!W$1:W$400,0)),W$2,)</f>
        <v>0</v>
      </c>
      <c r="X216" s="179">
        <f ca="1">IF(ISNUMBER(MATCH(DATEVALUE($A216),'recurring1_based on steps'!X$1:X$400,0)),X$2,)</f>
        <v>0</v>
      </c>
      <c r="Y216" s="179">
        <f ca="1">IF(ISNUMBER(MATCH(DATEVALUE($A216),'recurring1_based on steps'!Y$1:Y$400,0)),Y$2,)</f>
        <v>0</v>
      </c>
      <c r="Z216" s="179">
        <f ca="1">IF(ISNUMBER(MATCH(DATEVALUE($A216),'recurring1_based on steps'!Z$1:Z$400,0)),Z$2,)</f>
        <v>0</v>
      </c>
      <c r="AA216" s="179">
        <f ca="1">IF(ISNUMBER(MATCH(DATEVALUE($A216),'recurring1_based on steps'!AA$1:AA$400,0)),AA$2,)</f>
        <v>0</v>
      </c>
      <c r="AB216" s="179">
        <f ca="1">IF(ISNUMBER(MATCH(DATEVALUE($A216),'recurring1_based on steps'!AB$1:AB$400,0)),AB$2,)</f>
        <v>0</v>
      </c>
      <c r="AC216" s="179">
        <f ca="1">IF(ISNUMBER(MATCH(DATEVALUE($A216),'recurring1_based on steps'!AC$1:AC$400,0)),AC$2,)</f>
        <v>0</v>
      </c>
      <c r="AD216" s="179">
        <f ca="1">IF(ISNUMBER(MATCH(DATEVALUE($A216),'recurring1_based on steps'!AD$1:AD$400,0)),AD$2,)</f>
        <v>0</v>
      </c>
      <c r="AE216" s="179">
        <f ca="1">IF(ISNUMBER(MATCH(DATEVALUE($A216),'recurring1_based on steps'!AE$1:AE$400,0)),AE$2,)</f>
        <v>0</v>
      </c>
      <c r="AF216" s="179">
        <f ca="1">IF(ISNUMBER(MATCH(DATEVALUE($A216),'recurring1_based on steps'!AF$1:AF$400,0)),AF$2,)</f>
        <v>0</v>
      </c>
      <c r="AG216" s="179">
        <f ca="1">IF(ISNUMBER(MATCH(DATEVALUE($A216),'recurring1_based on steps'!AG$1:AG$400,0)),AG$2,)</f>
        <v>0</v>
      </c>
      <c r="AH216" s="179">
        <f ca="1">IF(ISNUMBER(MATCH(DATEVALUE($A216),'recurring1_based on steps'!AH$1:AH$400,0)),AH$2,)</f>
        <v>0</v>
      </c>
      <c r="AI216" s="179">
        <f ca="1">IF(ISNUMBER(MATCH(DATEVALUE($A216),'recurring1_based on steps'!AI$1:AI$400,0)),AI$2,)</f>
        <v>0</v>
      </c>
      <c r="AJ216" s="179">
        <f ca="1">IF(ISNUMBER(MATCH(DATEVALUE($A216),'recurring1_based on steps'!AJ$1:AJ$400,0)),AJ$2,)</f>
        <v>0</v>
      </c>
      <c r="AK216" s="179">
        <f ca="1">IF(ISNUMBER(MATCH(DATEVALUE($A216),'recurring1_based on steps'!AK$1:AK$400,0)),AK$2,)</f>
        <v>0</v>
      </c>
      <c r="AL216" s="179">
        <f ca="1">IF(ISNUMBER(MATCH(DATEVALUE($A216),'recurring1_based on steps'!AL$1:AL$400,0)),AL$2,)</f>
        <v>0</v>
      </c>
      <c r="AM216" s="179">
        <f ca="1">IF(ISNUMBER(MATCH(DATEVALUE($A216),'recurring1_based on steps'!AM$1:AM$400,0)),AM$2,)</f>
        <v>0</v>
      </c>
      <c r="AN216" s="179">
        <f ca="1">IF(ISNUMBER(MATCH(DATEVALUE($A216),'recurring1_based on steps'!AN$1:AN$400,0)),AN$2,)</f>
        <v>0</v>
      </c>
      <c r="AO216" s="179">
        <f ca="1">IF(ISNUMBER(MATCH(DATEVALUE($A216),'recurring1_based on steps'!AO$1:AO$400,0)),AO$2,)</f>
        <v>0</v>
      </c>
      <c r="AP216" s="179">
        <f ca="1">IF(ISNUMBER(MATCH(DATEVALUE($A216),'recurring1_based on steps'!AP$1:AP$400,0)),AP$2,)</f>
        <v>0</v>
      </c>
      <c r="AQ216" s="179">
        <f ca="1">IF(ISNUMBER(MATCH(DATEVALUE($A216),'recurring1_based on steps'!AQ$1:AQ$400,0)),AQ$2,)</f>
        <v>0</v>
      </c>
      <c r="AR216" s="179">
        <f ca="1">IF(ISNUMBER(MATCH(DATEVALUE($A216),'recurring1_based on steps'!AR$1:AR$400,0)),AR$2,)</f>
        <v>0</v>
      </c>
      <c r="AS216" s="179">
        <f ca="1">IF(ISNUMBER(MATCH(DATEVALUE($A216),'recurring1_based on steps'!AS$1:AS$400,0)),AS$2,)</f>
        <v>0</v>
      </c>
      <c r="AT216" s="179">
        <f ca="1">IF(ISNUMBER(MATCH(DATEVALUE($A216),'recurring1_based on steps'!AT$1:AT$400,0)),AT$2,)</f>
        <v>0</v>
      </c>
      <c r="AU216" s="179">
        <f ca="1">IF(ISNUMBER(MATCH(DATEVALUE($A216),'recurring1_based on steps'!AU$1:AU$400,0)),AU$2,)</f>
        <v>0</v>
      </c>
      <c r="AV216" s="179">
        <f ca="1">IF(ISNUMBER(MATCH(DATEVALUE($A216),'recurring1_based on steps'!AV$1:AV$400,0)),AV$2,)</f>
        <v>0</v>
      </c>
      <c r="AW216" s="179">
        <f ca="1">IF(ISNUMBER(MATCH(DATEVALUE($A216),'recurring1_based on steps'!AW$1:AW$400,0)),AW$2,)</f>
        <v>0</v>
      </c>
      <c r="AX216" s="179">
        <f ca="1">IF(ISNUMBER(MATCH(DATEVALUE($A216),'recurring1_based on steps'!AX$1:AX$400,0)),AX$2,)</f>
        <v>0</v>
      </c>
      <c r="AY216" s="179">
        <f ca="1">IF(ISNUMBER(MATCH(DATEVALUE($A216),'recurring1_based on steps'!AY$1:AY$400,0)),AY$2,)</f>
        <v>0</v>
      </c>
    </row>
    <row r="217" spans="1:51" x14ac:dyDescent="0.2">
      <c r="A217" s="32" t="str">
        <f t="shared" ca="1" si="3"/>
        <v>2025-11-05</v>
      </c>
      <c r="B217" s="179">
        <f ca="1">IF(ISNUMBER(MATCH(DATEVALUE($A217),'recurring1_based on steps'!B$1:B$400,0)),B$2,)</f>
        <v>0</v>
      </c>
      <c r="C217" s="179">
        <f ca="1">IF(ISNUMBER(MATCH(DATEVALUE($A217),'recurring1_based on steps'!C$1:C$400,0)),C$2,)</f>
        <v>0</v>
      </c>
      <c r="D217" s="179">
        <f ca="1">IF(ISNUMBER(MATCH(DATEVALUE($A217),'recurring1_based on steps'!D$1:D$400,0)),D$2,)</f>
        <v>0</v>
      </c>
      <c r="E217" s="179">
        <f ca="1">IF(ISNUMBER(MATCH(DATEVALUE($A217),'recurring1_based on steps'!E$1:E$400,0)),E$2,)</f>
        <v>0</v>
      </c>
      <c r="F217" s="179">
        <f ca="1">IF(ISNUMBER(MATCH(DATEVALUE($A217),'recurring1_based on steps'!F$1:F$400,0)),F$2,)</f>
        <v>0</v>
      </c>
      <c r="G217" s="179">
        <f ca="1">IF(ISNUMBER(MATCH(DATEVALUE($A217),'recurring1_based on steps'!G$1:G$400,0)),G$2,)</f>
        <v>0</v>
      </c>
      <c r="H217" s="179">
        <f ca="1">IF(ISNUMBER(MATCH(DATEVALUE($A217),'recurring1_based on steps'!H$1:H$400,0)),H$2,)</f>
        <v>0</v>
      </c>
      <c r="I217" s="179">
        <f ca="1">IF(ISNUMBER(MATCH(DATEVALUE($A217),'recurring1_based on steps'!I$1:I$400,0)),I$2,)</f>
        <v>0</v>
      </c>
      <c r="J217" s="179">
        <f ca="1">IF(ISNUMBER(MATCH(DATEVALUE($A217),'recurring1_based on steps'!J$1:J$400,0)),J$2,)</f>
        <v>0</v>
      </c>
      <c r="K217" s="179">
        <f ca="1">IF(ISNUMBER(MATCH(DATEVALUE($A217),'recurring1_based on steps'!K$1:K$400,0)),K$2,)</f>
        <v>0</v>
      </c>
      <c r="L217" s="179">
        <f ca="1">IF(ISNUMBER(MATCH(DATEVALUE($A217),'recurring1_based on steps'!L$1:L$400,0)),L$2,)</f>
        <v>0</v>
      </c>
      <c r="M217" s="179">
        <f ca="1">IF(ISNUMBER(MATCH(DATEVALUE($A217),'recurring1_based on steps'!M$1:M$400,0)),M$2,)</f>
        <v>0</v>
      </c>
      <c r="N217" s="179">
        <f ca="1">IF(ISNUMBER(MATCH(DATEVALUE($A217),'recurring1_based on steps'!N$1:N$400,0)),N$2,)</f>
        <v>0</v>
      </c>
      <c r="O217" s="179">
        <f ca="1">IF(ISNUMBER(MATCH(DATEVALUE($A217),'recurring1_based on steps'!O$1:O$400,0)),O$2,)</f>
        <v>0</v>
      </c>
      <c r="P217" s="179">
        <f ca="1">IF(ISNUMBER(MATCH(DATEVALUE($A217),'recurring1_based on steps'!P$1:P$400,0)),P$2,)</f>
        <v>0</v>
      </c>
      <c r="Q217" s="179">
        <f ca="1">IF(ISNUMBER(MATCH(DATEVALUE($A217),'recurring1_based on steps'!Q$1:Q$400,0)),Q$2,)</f>
        <v>0</v>
      </c>
      <c r="R217" s="179">
        <f ca="1">IF(ISNUMBER(MATCH(DATEVALUE($A217),'recurring1_based on steps'!R$1:R$400,0)),R$2,)</f>
        <v>0</v>
      </c>
      <c r="S217" s="179">
        <f ca="1">IF(ISNUMBER(MATCH(DATEVALUE($A217),'recurring1_based on steps'!S$1:S$400,0)),S$2,)</f>
        <v>0</v>
      </c>
      <c r="T217" s="179">
        <f ca="1">IF(ISNUMBER(MATCH(DATEVALUE($A217),'recurring1_based on steps'!T$1:T$400,0)),T$2,)</f>
        <v>0</v>
      </c>
      <c r="U217" s="179">
        <f ca="1">IF(ISNUMBER(MATCH(DATEVALUE($A217),'recurring1_based on steps'!U$1:U$400,0)),U$2,)</f>
        <v>0</v>
      </c>
      <c r="V217" s="179">
        <f ca="1">IF(ISNUMBER(MATCH(DATEVALUE($A217),'recurring1_based on steps'!V$1:V$400,0)),V$2,)</f>
        <v>0</v>
      </c>
      <c r="W217" s="179">
        <f ca="1">IF(ISNUMBER(MATCH(DATEVALUE($A217),'recurring1_based on steps'!W$1:W$400,0)),W$2,)</f>
        <v>0</v>
      </c>
      <c r="X217" s="179">
        <f ca="1">IF(ISNUMBER(MATCH(DATEVALUE($A217),'recurring1_based on steps'!X$1:X$400,0)),X$2,)</f>
        <v>0</v>
      </c>
      <c r="Y217" s="179">
        <f ca="1">IF(ISNUMBER(MATCH(DATEVALUE($A217),'recurring1_based on steps'!Y$1:Y$400,0)),Y$2,)</f>
        <v>0</v>
      </c>
      <c r="Z217" s="179">
        <f ca="1">IF(ISNUMBER(MATCH(DATEVALUE($A217),'recurring1_based on steps'!Z$1:Z$400,0)),Z$2,)</f>
        <v>0</v>
      </c>
      <c r="AA217" s="179">
        <f ca="1">IF(ISNUMBER(MATCH(DATEVALUE($A217),'recurring1_based on steps'!AA$1:AA$400,0)),AA$2,)</f>
        <v>0</v>
      </c>
      <c r="AB217" s="179">
        <f ca="1">IF(ISNUMBER(MATCH(DATEVALUE($A217),'recurring1_based on steps'!AB$1:AB$400,0)),AB$2,)</f>
        <v>0</v>
      </c>
      <c r="AC217" s="179">
        <f ca="1">IF(ISNUMBER(MATCH(DATEVALUE($A217),'recurring1_based on steps'!AC$1:AC$400,0)),AC$2,)</f>
        <v>0</v>
      </c>
      <c r="AD217" s="179">
        <f ca="1">IF(ISNUMBER(MATCH(DATEVALUE($A217),'recurring1_based on steps'!AD$1:AD$400,0)),AD$2,)</f>
        <v>0</v>
      </c>
      <c r="AE217" s="179">
        <f ca="1">IF(ISNUMBER(MATCH(DATEVALUE($A217),'recurring1_based on steps'!AE$1:AE$400,0)),AE$2,)</f>
        <v>0</v>
      </c>
      <c r="AF217" s="179">
        <f ca="1">IF(ISNUMBER(MATCH(DATEVALUE($A217),'recurring1_based on steps'!AF$1:AF$400,0)),AF$2,)</f>
        <v>0</v>
      </c>
      <c r="AG217" s="179">
        <f ca="1">IF(ISNUMBER(MATCH(DATEVALUE($A217),'recurring1_based on steps'!AG$1:AG$400,0)),AG$2,)</f>
        <v>0</v>
      </c>
      <c r="AH217" s="179">
        <f ca="1">IF(ISNUMBER(MATCH(DATEVALUE($A217),'recurring1_based on steps'!AH$1:AH$400,0)),AH$2,)</f>
        <v>0</v>
      </c>
      <c r="AI217" s="179">
        <f ca="1">IF(ISNUMBER(MATCH(DATEVALUE($A217),'recurring1_based on steps'!AI$1:AI$400,0)),AI$2,)</f>
        <v>0</v>
      </c>
      <c r="AJ217" s="179">
        <f ca="1">IF(ISNUMBER(MATCH(DATEVALUE($A217),'recurring1_based on steps'!AJ$1:AJ$400,0)),AJ$2,)</f>
        <v>0</v>
      </c>
      <c r="AK217" s="179">
        <f ca="1">IF(ISNUMBER(MATCH(DATEVALUE($A217),'recurring1_based on steps'!AK$1:AK$400,0)),AK$2,)</f>
        <v>0</v>
      </c>
      <c r="AL217" s="179">
        <f ca="1">IF(ISNUMBER(MATCH(DATEVALUE($A217),'recurring1_based on steps'!AL$1:AL$400,0)),AL$2,)</f>
        <v>0</v>
      </c>
      <c r="AM217" s="179">
        <f ca="1">IF(ISNUMBER(MATCH(DATEVALUE($A217),'recurring1_based on steps'!AM$1:AM$400,0)),AM$2,)</f>
        <v>0</v>
      </c>
      <c r="AN217" s="179">
        <f ca="1">IF(ISNUMBER(MATCH(DATEVALUE($A217),'recurring1_based on steps'!AN$1:AN$400,0)),AN$2,)</f>
        <v>0</v>
      </c>
      <c r="AO217" s="179">
        <f ca="1">IF(ISNUMBER(MATCH(DATEVALUE($A217),'recurring1_based on steps'!AO$1:AO$400,0)),AO$2,)</f>
        <v>0</v>
      </c>
      <c r="AP217" s="179">
        <f ca="1">IF(ISNUMBER(MATCH(DATEVALUE($A217),'recurring1_based on steps'!AP$1:AP$400,0)),AP$2,)</f>
        <v>0</v>
      </c>
      <c r="AQ217" s="179">
        <f ca="1">IF(ISNUMBER(MATCH(DATEVALUE($A217),'recurring1_based on steps'!AQ$1:AQ$400,0)),AQ$2,)</f>
        <v>0</v>
      </c>
      <c r="AR217" s="179">
        <f ca="1">IF(ISNUMBER(MATCH(DATEVALUE($A217),'recurring1_based on steps'!AR$1:AR$400,0)),AR$2,)</f>
        <v>0</v>
      </c>
      <c r="AS217" s="179">
        <f ca="1">IF(ISNUMBER(MATCH(DATEVALUE($A217),'recurring1_based on steps'!AS$1:AS$400,0)),AS$2,)</f>
        <v>0</v>
      </c>
      <c r="AT217" s="179">
        <f ca="1">IF(ISNUMBER(MATCH(DATEVALUE($A217),'recurring1_based on steps'!AT$1:AT$400,0)),AT$2,)</f>
        <v>0</v>
      </c>
      <c r="AU217" s="179">
        <f ca="1">IF(ISNUMBER(MATCH(DATEVALUE($A217),'recurring1_based on steps'!AU$1:AU$400,0)),AU$2,)</f>
        <v>0</v>
      </c>
      <c r="AV217" s="179">
        <f ca="1">IF(ISNUMBER(MATCH(DATEVALUE($A217),'recurring1_based on steps'!AV$1:AV$400,0)),AV$2,)</f>
        <v>0</v>
      </c>
      <c r="AW217" s="179">
        <f ca="1">IF(ISNUMBER(MATCH(DATEVALUE($A217),'recurring1_based on steps'!AW$1:AW$400,0)),AW$2,)</f>
        <v>0</v>
      </c>
      <c r="AX217" s="179">
        <f ca="1">IF(ISNUMBER(MATCH(DATEVALUE($A217),'recurring1_based on steps'!AX$1:AX$400,0)),AX$2,)</f>
        <v>0</v>
      </c>
      <c r="AY217" s="179">
        <f ca="1">IF(ISNUMBER(MATCH(DATEVALUE($A217),'recurring1_based on steps'!AY$1:AY$400,0)),AY$2,)</f>
        <v>0</v>
      </c>
    </row>
    <row r="218" spans="1:51" x14ac:dyDescent="0.2">
      <c r="A218" s="32" t="str">
        <f t="shared" ca="1" si="3"/>
        <v>2025-11-06</v>
      </c>
      <c r="B218" s="179">
        <f ca="1">IF(ISNUMBER(MATCH(DATEVALUE($A218),'recurring1_based on steps'!B$1:B$400,0)),B$2,)</f>
        <v>0</v>
      </c>
      <c r="C218" s="179">
        <f ca="1">IF(ISNUMBER(MATCH(DATEVALUE($A218),'recurring1_based on steps'!C$1:C$400,0)),C$2,)</f>
        <v>0</v>
      </c>
      <c r="D218" s="179">
        <f ca="1">IF(ISNUMBER(MATCH(DATEVALUE($A218),'recurring1_based on steps'!D$1:D$400,0)),D$2,)</f>
        <v>0</v>
      </c>
      <c r="E218" s="179">
        <f ca="1">IF(ISNUMBER(MATCH(DATEVALUE($A218),'recurring1_based on steps'!E$1:E$400,0)),E$2,)</f>
        <v>0</v>
      </c>
      <c r="F218" s="179">
        <f ca="1">IF(ISNUMBER(MATCH(DATEVALUE($A218),'recurring1_based on steps'!F$1:F$400,0)),F$2,)</f>
        <v>0</v>
      </c>
      <c r="G218" s="179">
        <f ca="1">IF(ISNUMBER(MATCH(DATEVALUE($A218),'recurring1_based on steps'!G$1:G$400,0)),G$2,)</f>
        <v>0</v>
      </c>
      <c r="H218" s="179">
        <f ca="1">IF(ISNUMBER(MATCH(DATEVALUE($A218),'recurring1_based on steps'!H$1:H$400,0)),H$2,)</f>
        <v>0</v>
      </c>
      <c r="I218" s="179">
        <f ca="1">IF(ISNUMBER(MATCH(DATEVALUE($A218),'recurring1_based on steps'!I$1:I$400,0)),I$2,)</f>
        <v>0</v>
      </c>
      <c r="J218" s="179">
        <f ca="1">IF(ISNUMBER(MATCH(DATEVALUE($A218),'recurring1_based on steps'!J$1:J$400,0)),J$2,)</f>
        <v>0</v>
      </c>
      <c r="K218" s="179">
        <f ca="1">IF(ISNUMBER(MATCH(DATEVALUE($A218),'recurring1_based on steps'!K$1:K$400,0)),K$2,)</f>
        <v>0</v>
      </c>
      <c r="L218" s="179">
        <f ca="1">IF(ISNUMBER(MATCH(DATEVALUE($A218),'recurring1_based on steps'!L$1:L$400,0)),L$2,)</f>
        <v>0</v>
      </c>
      <c r="M218" s="179">
        <f ca="1">IF(ISNUMBER(MATCH(DATEVALUE($A218),'recurring1_based on steps'!M$1:M$400,0)),M$2,)</f>
        <v>0</v>
      </c>
      <c r="N218" s="179">
        <f ca="1">IF(ISNUMBER(MATCH(DATEVALUE($A218),'recurring1_based on steps'!N$1:N$400,0)),N$2,)</f>
        <v>0</v>
      </c>
      <c r="O218" s="179">
        <f ca="1">IF(ISNUMBER(MATCH(DATEVALUE($A218),'recurring1_based on steps'!O$1:O$400,0)),O$2,)</f>
        <v>0</v>
      </c>
      <c r="P218" s="179">
        <f ca="1">IF(ISNUMBER(MATCH(DATEVALUE($A218),'recurring1_based on steps'!P$1:P$400,0)),P$2,)</f>
        <v>0</v>
      </c>
      <c r="Q218" s="179">
        <f ca="1">IF(ISNUMBER(MATCH(DATEVALUE($A218),'recurring1_based on steps'!Q$1:Q$400,0)),Q$2,)</f>
        <v>0</v>
      </c>
      <c r="R218" s="179">
        <f ca="1">IF(ISNUMBER(MATCH(DATEVALUE($A218),'recurring1_based on steps'!R$1:R$400,0)),R$2,)</f>
        <v>0</v>
      </c>
      <c r="S218" s="179">
        <f ca="1">IF(ISNUMBER(MATCH(DATEVALUE($A218),'recurring1_based on steps'!S$1:S$400,0)),S$2,)</f>
        <v>0</v>
      </c>
      <c r="T218" s="179">
        <f ca="1">IF(ISNUMBER(MATCH(DATEVALUE($A218),'recurring1_based on steps'!T$1:T$400,0)),T$2,)</f>
        <v>0</v>
      </c>
      <c r="U218" s="179">
        <f ca="1">IF(ISNUMBER(MATCH(DATEVALUE($A218),'recurring1_based on steps'!U$1:U$400,0)),U$2,)</f>
        <v>0</v>
      </c>
      <c r="V218" s="179">
        <f ca="1">IF(ISNUMBER(MATCH(DATEVALUE($A218),'recurring1_based on steps'!V$1:V$400,0)),V$2,)</f>
        <v>0</v>
      </c>
      <c r="W218" s="179">
        <f ca="1">IF(ISNUMBER(MATCH(DATEVALUE($A218),'recurring1_based on steps'!W$1:W$400,0)),W$2,)</f>
        <v>0</v>
      </c>
      <c r="X218" s="179">
        <f ca="1">IF(ISNUMBER(MATCH(DATEVALUE($A218),'recurring1_based on steps'!X$1:X$400,0)),X$2,)</f>
        <v>0</v>
      </c>
      <c r="Y218" s="179">
        <f ca="1">IF(ISNUMBER(MATCH(DATEVALUE($A218),'recurring1_based on steps'!Y$1:Y$400,0)),Y$2,)</f>
        <v>0</v>
      </c>
      <c r="Z218" s="179">
        <f ca="1">IF(ISNUMBER(MATCH(DATEVALUE($A218),'recurring1_based on steps'!Z$1:Z$400,0)),Z$2,)</f>
        <v>0</v>
      </c>
      <c r="AA218" s="179">
        <f ca="1">IF(ISNUMBER(MATCH(DATEVALUE($A218),'recurring1_based on steps'!AA$1:AA$400,0)),AA$2,)</f>
        <v>0</v>
      </c>
      <c r="AB218" s="179">
        <f ca="1">IF(ISNUMBER(MATCH(DATEVALUE($A218),'recurring1_based on steps'!AB$1:AB$400,0)),AB$2,)</f>
        <v>0</v>
      </c>
      <c r="AC218" s="179">
        <f ca="1">IF(ISNUMBER(MATCH(DATEVALUE($A218),'recurring1_based on steps'!AC$1:AC$400,0)),AC$2,)</f>
        <v>0</v>
      </c>
      <c r="AD218" s="179">
        <f ca="1">IF(ISNUMBER(MATCH(DATEVALUE($A218),'recurring1_based on steps'!AD$1:AD$400,0)),AD$2,)</f>
        <v>0</v>
      </c>
      <c r="AE218" s="179">
        <f ca="1">IF(ISNUMBER(MATCH(DATEVALUE($A218),'recurring1_based on steps'!AE$1:AE$400,0)),AE$2,)</f>
        <v>0</v>
      </c>
      <c r="AF218" s="179">
        <f ca="1">IF(ISNUMBER(MATCH(DATEVALUE($A218),'recurring1_based on steps'!AF$1:AF$400,0)),AF$2,)</f>
        <v>0</v>
      </c>
      <c r="AG218" s="179">
        <f ca="1">IF(ISNUMBER(MATCH(DATEVALUE($A218),'recurring1_based on steps'!AG$1:AG$400,0)),AG$2,)</f>
        <v>0</v>
      </c>
      <c r="AH218" s="179">
        <f ca="1">IF(ISNUMBER(MATCH(DATEVALUE($A218),'recurring1_based on steps'!AH$1:AH$400,0)),AH$2,)</f>
        <v>0</v>
      </c>
      <c r="AI218" s="179">
        <f ca="1">IF(ISNUMBER(MATCH(DATEVALUE($A218),'recurring1_based on steps'!AI$1:AI$400,0)),AI$2,)</f>
        <v>0</v>
      </c>
      <c r="AJ218" s="179">
        <f ca="1">IF(ISNUMBER(MATCH(DATEVALUE($A218),'recurring1_based on steps'!AJ$1:AJ$400,0)),AJ$2,)</f>
        <v>0</v>
      </c>
      <c r="AK218" s="179">
        <f ca="1">IF(ISNUMBER(MATCH(DATEVALUE($A218),'recurring1_based on steps'!AK$1:AK$400,0)),AK$2,)</f>
        <v>0</v>
      </c>
      <c r="AL218" s="179">
        <f ca="1">IF(ISNUMBER(MATCH(DATEVALUE($A218),'recurring1_based on steps'!AL$1:AL$400,0)),AL$2,)</f>
        <v>0</v>
      </c>
      <c r="AM218" s="179">
        <f ca="1">IF(ISNUMBER(MATCH(DATEVALUE($A218),'recurring1_based on steps'!AM$1:AM$400,0)),AM$2,)</f>
        <v>0</v>
      </c>
      <c r="AN218" s="179">
        <f ca="1">IF(ISNUMBER(MATCH(DATEVALUE($A218),'recurring1_based on steps'!AN$1:AN$400,0)),AN$2,)</f>
        <v>0</v>
      </c>
      <c r="AO218" s="179">
        <f ca="1">IF(ISNUMBER(MATCH(DATEVALUE($A218),'recurring1_based on steps'!AO$1:AO$400,0)),AO$2,)</f>
        <v>0</v>
      </c>
      <c r="AP218" s="179">
        <f ca="1">IF(ISNUMBER(MATCH(DATEVALUE($A218),'recurring1_based on steps'!AP$1:AP$400,0)),AP$2,)</f>
        <v>0</v>
      </c>
      <c r="AQ218" s="179">
        <f ca="1">IF(ISNUMBER(MATCH(DATEVALUE($A218),'recurring1_based on steps'!AQ$1:AQ$400,0)),AQ$2,)</f>
        <v>0</v>
      </c>
      <c r="AR218" s="179">
        <f ca="1">IF(ISNUMBER(MATCH(DATEVALUE($A218),'recurring1_based on steps'!AR$1:AR$400,0)),AR$2,)</f>
        <v>0</v>
      </c>
      <c r="AS218" s="179">
        <f ca="1">IF(ISNUMBER(MATCH(DATEVALUE($A218),'recurring1_based on steps'!AS$1:AS$400,0)),AS$2,)</f>
        <v>0</v>
      </c>
      <c r="AT218" s="179">
        <f ca="1">IF(ISNUMBER(MATCH(DATEVALUE($A218),'recurring1_based on steps'!AT$1:AT$400,0)),AT$2,)</f>
        <v>0</v>
      </c>
      <c r="AU218" s="179">
        <f ca="1">IF(ISNUMBER(MATCH(DATEVALUE($A218),'recurring1_based on steps'!AU$1:AU$400,0)),AU$2,)</f>
        <v>0</v>
      </c>
      <c r="AV218" s="179">
        <f ca="1">IF(ISNUMBER(MATCH(DATEVALUE($A218),'recurring1_based on steps'!AV$1:AV$400,0)),AV$2,)</f>
        <v>0</v>
      </c>
      <c r="AW218" s="179">
        <f ca="1">IF(ISNUMBER(MATCH(DATEVALUE($A218),'recurring1_based on steps'!AW$1:AW$400,0)),AW$2,)</f>
        <v>0</v>
      </c>
      <c r="AX218" s="179">
        <f ca="1">IF(ISNUMBER(MATCH(DATEVALUE($A218),'recurring1_based on steps'!AX$1:AX$400,0)),AX$2,)</f>
        <v>0</v>
      </c>
      <c r="AY218" s="179">
        <f ca="1">IF(ISNUMBER(MATCH(DATEVALUE($A218),'recurring1_based on steps'!AY$1:AY$400,0)),AY$2,)</f>
        <v>0</v>
      </c>
    </row>
    <row r="219" spans="1:51" x14ac:dyDescent="0.2">
      <c r="A219" s="32" t="str">
        <f t="shared" ca="1" si="3"/>
        <v>2025-11-07</v>
      </c>
      <c r="B219" s="179">
        <f ca="1">IF(ISNUMBER(MATCH(DATEVALUE($A219),'recurring1_based on steps'!B$1:B$400,0)),B$2,)</f>
        <v>0</v>
      </c>
      <c r="C219" s="179">
        <f ca="1">IF(ISNUMBER(MATCH(DATEVALUE($A219),'recurring1_based on steps'!C$1:C$400,0)),C$2,)</f>
        <v>0</v>
      </c>
      <c r="D219" s="179">
        <f ca="1">IF(ISNUMBER(MATCH(DATEVALUE($A219),'recurring1_based on steps'!D$1:D$400,0)),D$2,)</f>
        <v>0</v>
      </c>
      <c r="E219" s="179">
        <f ca="1">IF(ISNUMBER(MATCH(DATEVALUE($A219),'recurring1_based on steps'!E$1:E$400,0)),E$2,)</f>
        <v>0</v>
      </c>
      <c r="F219" s="179">
        <f ca="1">IF(ISNUMBER(MATCH(DATEVALUE($A219),'recurring1_based on steps'!F$1:F$400,0)),F$2,)</f>
        <v>0</v>
      </c>
      <c r="G219" s="179">
        <f ca="1">IF(ISNUMBER(MATCH(DATEVALUE($A219),'recurring1_based on steps'!G$1:G$400,0)),G$2,)</f>
        <v>0</v>
      </c>
      <c r="H219" s="179">
        <f ca="1">IF(ISNUMBER(MATCH(DATEVALUE($A219),'recurring1_based on steps'!H$1:H$400,0)),H$2,)</f>
        <v>0</v>
      </c>
      <c r="I219" s="179">
        <f ca="1">IF(ISNUMBER(MATCH(DATEVALUE($A219),'recurring1_based on steps'!I$1:I$400,0)),I$2,)</f>
        <v>0</v>
      </c>
      <c r="J219" s="179">
        <f ca="1">IF(ISNUMBER(MATCH(DATEVALUE($A219),'recurring1_based on steps'!J$1:J$400,0)),J$2,)</f>
        <v>0</v>
      </c>
      <c r="K219" s="179">
        <f ca="1">IF(ISNUMBER(MATCH(DATEVALUE($A219),'recurring1_based on steps'!K$1:K$400,0)),K$2,)</f>
        <v>0</v>
      </c>
      <c r="L219" s="179">
        <f ca="1">IF(ISNUMBER(MATCH(DATEVALUE($A219),'recurring1_based on steps'!L$1:L$400,0)),L$2,)</f>
        <v>0</v>
      </c>
      <c r="M219" s="179">
        <f ca="1">IF(ISNUMBER(MATCH(DATEVALUE($A219),'recurring1_based on steps'!M$1:M$400,0)),M$2,)</f>
        <v>0</v>
      </c>
      <c r="N219" s="179">
        <f ca="1">IF(ISNUMBER(MATCH(DATEVALUE($A219),'recurring1_based on steps'!N$1:N$400,0)),N$2,)</f>
        <v>0</v>
      </c>
      <c r="O219" s="179">
        <f ca="1">IF(ISNUMBER(MATCH(DATEVALUE($A219),'recurring1_based on steps'!O$1:O$400,0)),O$2,)</f>
        <v>0</v>
      </c>
      <c r="P219" s="179">
        <f ca="1">IF(ISNUMBER(MATCH(DATEVALUE($A219),'recurring1_based on steps'!P$1:P$400,0)),P$2,)</f>
        <v>0</v>
      </c>
      <c r="Q219" s="179">
        <f ca="1">IF(ISNUMBER(MATCH(DATEVALUE($A219),'recurring1_based on steps'!Q$1:Q$400,0)),Q$2,)</f>
        <v>0</v>
      </c>
      <c r="R219" s="179">
        <f ca="1">IF(ISNUMBER(MATCH(DATEVALUE($A219),'recurring1_based on steps'!R$1:R$400,0)),R$2,)</f>
        <v>0</v>
      </c>
      <c r="S219" s="179">
        <f ca="1">IF(ISNUMBER(MATCH(DATEVALUE($A219),'recurring1_based on steps'!S$1:S$400,0)),S$2,)</f>
        <v>0</v>
      </c>
      <c r="T219" s="179">
        <f ca="1">IF(ISNUMBER(MATCH(DATEVALUE($A219),'recurring1_based on steps'!T$1:T$400,0)),T$2,)</f>
        <v>0</v>
      </c>
      <c r="U219" s="179">
        <f ca="1">IF(ISNUMBER(MATCH(DATEVALUE($A219),'recurring1_based on steps'!U$1:U$400,0)),U$2,)</f>
        <v>0</v>
      </c>
      <c r="V219" s="179">
        <f ca="1">IF(ISNUMBER(MATCH(DATEVALUE($A219),'recurring1_based on steps'!V$1:V$400,0)),V$2,)</f>
        <v>0</v>
      </c>
      <c r="W219" s="179">
        <f ca="1">IF(ISNUMBER(MATCH(DATEVALUE($A219),'recurring1_based on steps'!W$1:W$400,0)),W$2,)</f>
        <v>0</v>
      </c>
      <c r="X219" s="179">
        <f ca="1">IF(ISNUMBER(MATCH(DATEVALUE($A219),'recurring1_based on steps'!X$1:X$400,0)),X$2,)</f>
        <v>0</v>
      </c>
      <c r="Y219" s="179">
        <f ca="1">IF(ISNUMBER(MATCH(DATEVALUE($A219),'recurring1_based on steps'!Y$1:Y$400,0)),Y$2,)</f>
        <v>0</v>
      </c>
      <c r="Z219" s="179">
        <f ca="1">IF(ISNUMBER(MATCH(DATEVALUE($A219),'recurring1_based on steps'!Z$1:Z$400,0)),Z$2,)</f>
        <v>0</v>
      </c>
      <c r="AA219" s="179">
        <f ca="1">IF(ISNUMBER(MATCH(DATEVALUE($A219),'recurring1_based on steps'!AA$1:AA$400,0)),AA$2,)</f>
        <v>0</v>
      </c>
      <c r="AB219" s="179">
        <f ca="1">IF(ISNUMBER(MATCH(DATEVALUE($A219),'recurring1_based on steps'!AB$1:AB$400,0)),AB$2,)</f>
        <v>0</v>
      </c>
      <c r="AC219" s="179">
        <f ca="1">IF(ISNUMBER(MATCH(DATEVALUE($A219),'recurring1_based on steps'!AC$1:AC$400,0)),AC$2,)</f>
        <v>0</v>
      </c>
      <c r="AD219" s="179">
        <f ca="1">IF(ISNUMBER(MATCH(DATEVALUE($A219),'recurring1_based on steps'!AD$1:AD$400,0)),AD$2,)</f>
        <v>0</v>
      </c>
      <c r="AE219" s="179">
        <f ca="1">IF(ISNUMBER(MATCH(DATEVALUE($A219),'recurring1_based on steps'!AE$1:AE$400,0)),AE$2,)</f>
        <v>0</v>
      </c>
      <c r="AF219" s="179">
        <f ca="1">IF(ISNUMBER(MATCH(DATEVALUE($A219),'recurring1_based on steps'!AF$1:AF$400,0)),AF$2,)</f>
        <v>0</v>
      </c>
      <c r="AG219" s="179">
        <f ca="1">IF(ISNUMBER(MATCH(DATEVALUE($A219),'recurring1_based on steps'!AG$1:AG$400,0)),AG$2,)</f>
        <v>0</v>
      </c>
      <c r="AH219" s="179">
        <f ca="1">IF(ISNUMBER(MATCH(DATEVALUE($A219),'recurring1_based on steps'!AH$1:AH$400,0)),AH$2,)</f>
        <v>0</v>
      </c>
      <c r="AI219" s="179">
        <f ca="1">IF(ISNUMBER(MATCH(DATEVALUE($A219),'recurring1_based on steps'!AI$1:AI$400,0)),AI$2,)</f>
        <v>0</v>
      </c>
      <c r="AJ219" s="179">
        <f ca="1">IF(ISNUMBER(MATCH(DATEVALUE($A219),'recurring1_based on steps'!AJ$1:AJ$400,0)),AJ$2,)</f>
        <v>0</v>
      </c>
      <c r="AK219" s="179">
        <f ca="1">IF(ISNUMBER(MATCH(DATEVALUE($A219),'recurring1_based on steps'!AK$1:AK$400,0)),AK$2,)</f>
        <v>0</v>
      </c>
      <c r="AL219" s="179">
        <f ca="1">IF(ISNUMBER(MATCH(DATEVALUE($A219),'recurring1_based on steps'!AL$1:AL$400,0)),AL$2,)</f>
        <v>0</v>
      </c>
      <c r="AM219" s="179">
        <f ca="1">IF(ISNUMBER(MATCH(DATEVALUE($A219),'recurring1_based on steps'!AM$1:AM$400,0)),AM$2,)</f>
        <v>0</v>
      </c>
      <c r="AN219" s="179">
        <f ca="1">IF(ISNUMBER(MATCH(DATEVALUE($A219),'recurring1_based on steps'!AN$1:AN$400,0)),AN$2,)</f>
        <v>0</v>
      </c>
      <c r="AO219" s="179">
        <f ca="1">IF(ISNUMBER(MATCH(DATEVALUE($A219),'recurring1_based on steps'!AO$1:AO$400,0)),AO$2,)</f>
        <v>0</v>
      </c>
      <c r="AP219" s="179">
        <f ca="1">IF(ISNUMBER(MATCH(DATEVALUE($A219),'recurring1_based on steps'!AP$1:AP$400,0)),AP$2,)</f>
        <v>0</v>
      </c>
      <c r="AQ219" s="179">
        <f ca="1">IF(ISNUMBER(MATCH(DATEVALUE($A219),'recurring1_based on steps'!AQ$1:AQ$400,0)),AQ$2,)</f>
        <v>0</v>
      </c>
      <c r="AR219" s="179">
        <f ca="1">IF(ISNUMBER(MATCH(DATEVALUE($A219),'recurring1_based on steps'!AR$1:AR$400,0)),AR$2,)</f>
        <v>0</v>
      </c>
      <c r="AS219" s="179">
        <f ca="1">IF(ISNUMBER(MATCH(DATEVALUE($A219),'recurring1_based on steps'!AS$1:AS$400,0)),AS$2,)</f>
        <v>0</v>
      </c>
      <c r="AT219" s="179">
        <f ca="1">IF(ISNUMBER(MATCH(DATEVALUE($A219),'recurring1_based on steps'!AT$1:AT$400,0)),AT$2,)</f>
        <v>0</v>
      </c>
      <c r="AU219" s="179">
        <f ca="1">IF(ISNUMBER(MATCH(DATEVALUE($A219),'recurring1_based on steps'!AU$1:AU$400,0)),AU$2,)</f>
        <v>0</v>
      </c>
      <c r="AV219" s="179">
        <f ca="1">IF(ISNUMBER(MATCH(DATEVALUE($A219),'recurring1_based on steps'!AV$1:AV$400,0)),AV$2,)</f>
        <v>0</v>
      </c>
      <c r="AW219" s="179">
        <f ca="1">IF(ISNUMBER(MATCH(DATEVALUE($A219),'recurring1_based on steps'!AW$1:AW$400,0)),AW$2,)</f>
        <v>0</v>
      </c>
      <c r="AX219" s="179">
        <f ca="1">IF(ISNUMBER(MATCH(DATEVALUE($A219),'recurring1_based on steps'!AX$1:AX$400,0)),AX$2,)</f>
        <v>0</v>
      </c>
      <c r="AY219" s="179">
        <f ca="1">IF(ISNUMBER(MATCH(DATEVALUE($A219),'recurring1_based on steps'!AY$1:AY$400,0)),AY$2,)</f>
        <v>0</v>
      </c>
    </row>
    <row r="220" spans="1:51" x14ac:dyDescent="0.2">
      <c r="A220" s="32" t="str">
        <f t="shared" ca="1" si="3"/>
        <v>2025-11-08</v>
      </c>
      <c r="B220" s="179">
        <f ca="1">IF(ISNUMBER(MATCH(DATEVALUE($A220),'recurring1_based on steps'!B$1:B$400,0)),B$2,)</f>
        <v>0</v>
      </c>
      <c r="C220" s="179">
        <f ca="1">IF(ISNUMBER(MATCH(DATEVALUE($A220),'recurring1_based on steps'!C$1:C$400,0)),C$2,)</f>
        <v>0</v>
      </c>
      <c r="D220" s="179">
        <f ca="1">IF(ISNUMBER(MATCH(DATEVALUE($A220),'recurring1_based on steps'!D$1:D$400,0)),D$2,)</f>
        <v>0</v>
      </c>
      <c r="E220" s="179">
        <f ca="1">IF(ISNUMBER(MATCH(DATEVALUE($A220),'recurring1_based on steps'!E$1:E$400,0)),E$2,)</f>
        <v>0</v>
      </c>
      <c r="F220" s="179">
        <f ca="1">IF(ISNUMBER(MATCH(DATEVALUE($A220),'recurring1_based on steps'!F$1:F$400,0)),F$2,)</f>
        <v>0</v>
      </c>
      <c r="G220" s="179">
        <f ca="1">IF(ISNUMBER(MATCH(DATEVALUE($A220),'recurring1_based on steps'!G$1:G$400,0)),G$2,)</f>
        <v>0</v>
      </c>
      <c r="H220" s="179">
        <f ca="1">IF(ISNUMBER(MATCH(DATEVALUE($A220),'recurring1_based on steps'!H$1:H$400,0)),H$2,)</f>
        <v>0</v>
      </c>
      <c r="I220" s="179">
        <f ca="1">IF(ISNUMBER(MATCH(DATEVALUE($A220),'recurring1_based on steps'!I$1:I$400,0)),I$2,)</f>
        <v>0</v>
      </c>
      <c r="J220" s="179">
        <f ca="1">IF(ISNUMBER(MATCH(DATEVALUE($A220),'recurring1_based on steps'!J$1:J$400,0)),J$2,)</f>
        <v>0</v>
      </c>
      <c r="K220" s="179">
        <f ca="1">IF(ISNUMBER(MATCH(DATEVALUE($A220),'recurring1_based on steps'!K$1:K$400,0)),K$2,)</f>
        <v>0</v>
      </c>
      <c r="L220" s="179">
        <f ca="1">IF(ISNUMBER(MATCH(DATEVALUE($A220),'recurring1_based on steps'!L$1:L$400,0)),L$2,)</f>
        <v>0</v>
      </c>
      <c r="M220" s="179">
        <f ca="1">IF(ISNUMBER(MATCH(DATEVALUE($A220),'recurring1_based on steps'!M$1:M$400,0)),M$2,)</f>
        <v>0</v>
      </c>
      <c r="N220" s="179">
        <f ca="1">IF(ISNUMBER(MATCH(DATEVALUE($A220),'recurring1_based on steps'!N$1:N$400,0)),N$2,)</f>
        <v>0</v>
      </c>
      <c r="O220" s="179">
        <f ca="1">IF(ISNUMBER(MATCH(DATEVALUE($A220),'recurring1_based on steps'!O$1:O$400,0)),O$2,)</f>
        <v>0</v>
      </c>
      <c r="P220" s="179">
        <f ca="1">IF(ISNUMBER(MATCH(DATEVALUE($A220),'recurring1_based on steps'!P$1:P$400,0)),P$2,)</f>
        <v>0</v>
      </c>
      <c r="Q220" s="179">
        <f ca="1">IF(ISNUMBER(MATCH(DATEVALUE($A220),'recurring1_based on steps'!Q$1:Q$400,0)),Q$2,)</f>
        <v>0</v>
      </c>
      <c r="R220" s="179">
        <f ca="1">IF(ISNUMBER(MATCH(DATEVALUE($A220),'recurring1_based on steps'!R$1:R$400,0)),R$2,)</f>
        <v>0</v>
      </c>
      <c r="S220" s="179">
        <f ca="1">IF(ISNUMBER(MATCH(DATEVALUE($A220),'recurring1_based on steps'!S$1:S$400,0)),S$2,)</f>
        <v>0</v>
      </c>
      <c r="T220" s="179">
        <f ca="1">IF(ISNUMBER(MATCH(DATEVALUE($A220),'recurring1_based on steps'!T$1:T$400,0)),T$2,)</f>
        <v>0</v>
      </c>
      <c r="U220" s="179">
        <f ca="1">IF(ISNUMBER(MATCH(DATEVALUE($A220),'recurring1_based on steps'!U$1:U$400,0)),U$2,)</f>
        <v>0</v>
      </c>
      <c r="V220" s="179">
        <f ca="1">IF(ISNUMBER(MATCH(DATEVALUE($A220),'recurring1_based on steps'!V$1:V$400,0)),V$2,)</f>
        <v>0</v>
      </c>
      <c r="W220" s="179">
        <f ca="1">IF(ISNUMBER(MATCH(DATEVALUE($A220),'recurring1_based on steps'!W$1:W$400,0)),W$2,)</f>
        <v>0</v>
      </c>
      <c r="X220" s="179">
        <f ca="1">IF(ISNUMBER(MATCH(DATEVALUE($A220),'recurring1_based on steps'!X$1:X$400,0)),X$2,)</f>
        <v>0</v>
      </c>
      <c r="Y220" s="179">
        <f ca="1">IF(ISNUMBER(MATCH(DATEVALUE($A220),'recurring1_based on steps'!Y$1:Y$400,0)),Y$2,)</f>
        <v>0</v>
      </c>
      <c r="Z220" s="179">
        <f ca="1">IF(ISNUMBER(MATCH(DATEVALUE($A220),'recurring1_based on steps'!Z$1:Z$400,0)),Z$2,)</f>
        <v>0</v>
      </c>
      <c r="AA220" s="179">
        <f ca="1">IF(ISNUMBER(MATCH(DATEVALUE($A220),'recurring1_based on steps'!AA$1:AA$400,0)),AA$2,)</f>
        <v>0</v>
      </c>
      <c r="AB220" s="179">
        <f ca="1">IF(ISNUMBER(MATCH(DATEVALUE($A220),'recurring1_based on steps'!AB$1:AB$400,0)),AB$2,)</f>
        <v>0</v>
      </c>
      <c r="AC220" s="179">
        <f ca="1">IF(ISNUMBER(MATCH(DATEVALUE($A220),'recurring1_based on steps'!AC$1:AC$400,0)),AC$2,)</f>
        <v>0</v>
      </c>
      <c r="AD220" s="179">
        <f ca="1">IF(ISNUMBER(MATCH(DATEVALUE($A220),'recurring1_based on steps'!AD$1:AD$400,0)),AD$2,)</f>
        <v>0</v>
      </c>
      <c r="AE220" s="179">
        <f ca="1">IF(ISNUMBER(MATCH(DATEVALUE($A220),'recurring1_based on steps'!AE$1:AE$400,0)),AE$2,)</f>
        <v>0</v>
      </c>
      <c r="AF220" s="179">
        <f ca="1">IF(ISNUMBER(MATCH(DATEVALUE($A220),'recurring1_based on steps'!AF$1:AF$400,0)),AF$2,)</f>
        <v>0</v>
      </c>
      <c r="AG220" s="179">
        <f ca="1">IF(ISNUMBER(MATCH(DATEVALUE($A220),'recurring1_based on steps'!AG$1:AG$400,0)),AG$2,)</f>
        <v>0</v>
      </c>
      <c r="AH220" s="179">
        <f ca="1">IF(ISNUMBER(MATCH(DATEVALUE($A220),'recurring1_based on steps'!AH$1:AH$400,0)),AH$2,)</f>
        <v>0</v>
      </c>
      <c r="AI220" s="179">
        <f ca="1">IF(ISNUMBER(MATCH(DATEVALUE($A220),'recurring1_based on steps'!AI$1:AI$400,0)),AI$2,)</f>
        <v>0</v>
      </c>
      <c r="AJ220" s="179">
        <f ca="1">IF(ISNUMBER(MATCH(DATEVALUE($A220),'recurring1_based on steps'!AJ$1:AJ$400,0)),AJ$2,)</f>
        <v>0</v>
      </c>
      <c r="AK220" s="179">
        <f ca="1">IF(ISNUMBER(MATCH(DATEVALUE($A220),'recurring1_based on steps'!AK$1:AK$400,0)),AK$2,)</f>
        <v>0</v>
      </c>
      <c r="AL220" s="179">
        <f ca="1">IF(ISNUMBER(MATCH(DATEVALUE($A220),'recurring1_based on steps'!AL$1:AL$400,0)),AL$2,)</f>
        <v>0</v>
      </c>
      <c r="AM220" s="179">
        <f ca="1">IF(ISNUMBER(MATCH(DATEVALUE($A220),'recurring1_based on steps'!AM$1:AM$400,0)),AM$2,)</f>
        <v>0</v>
      </c>
      <c r="AN220" s="179">
        <f ca="1">IF(ISNUMBER(MATCH(DATEVALUE($A220),'recurring1_based on steps'!AN$1:AN$400,0)),AN$2,)</f>
        <v>0</v>
      </c>
      <c r="AO220" s="179">
        <f ca="1">IF(ISNUMBER(MATCH(DATEVALUE($A220),'recurring1_based on steps'!AO$1:AO$400,0)),AO$2,)</f>
        <v>0</v>
      </c>
      <c r="AP220" s="179">
        <f ca="1">IF(ISNUMBER(MATCH(DATEVALUE($A220),'recurring1_based on steps'!AP$1:AP$400,0)),AP$2,)</f>
        <v>0</v>
      </c>
      <c r="AQ220" s="179">
        <f ca="1">IF(ISNUMBER(MATCH(DATEVALUE($A220),'recurring1_based on steps'!AQ$1:AQ$400,0)),AQ$2,)</f>
        <v>0</v>
      </c>
      <c r="AR220" s="179">
        <f ca="1">IF(ISNUMBER(MATCH(DATEVALUE($A220),'recurring1_based on steps'!AR$1:AR$400,0)),AR$2,)</f>
        <v>0</v>
      </c>
      <c r="AS220" s="179">
        <f ca="1">IF(ISNUMBER(MATCH(DATEVALUE($A220),'recurring1_based on steps'!AS$1:AS$400,0)),AS$2,)</f>
        <v>0</v>
      </c>
      <c r="AT220" s="179">
        <f ca="1">IF(ISNUMBER(MATCH(DATEVALUE($A220),'recurring1_based on steps'!AT$1:AT$400,0)),AT$2,)</f>
        <v>0</v>
      </c>
      <c r="AU220" s="179">
        <f ca="1">IF(ISNUMBER(MATCH(DATEVALUE($A220),'recurring1_based on steps'!AU$1:AU$400,0)),AU$2,)</f>
        <v>0</v>
      </c>
      <c r="AV220" s="179">
        <f ca="1">IF(ISNUMBER(MATCH(DATEVALUE($A220),'recurring1_based on steps'!AV$1:AV$400,0)),AV$2,)</f>
        <v>0</v>
      </c>
      <c r="AW220" s="179">
        <f ca="1">IF(ISNUMBER(MATCH(DATEVALUE($A220),'recurring1_based on steps'!AW$1:AW$400,0)),AW$2,)</f>
        <v>0</v>
      </c>
      <c r="AX220" s="179">
        <f ca="1">IF(ISNUMBER(MATCH(DATEVALUE($A220),'recurring1_based on steps'!AX$1:AX$400,0)),AX$2,)</f>
        <v>0</v>
      </c>
      <c r="AY220" s="179">
        <f ca="1">IF(ISNUMBER(MATCH(DATEVALUE($A220),'recurring1_based on steps'!AY$1:AY$400,0)),AY$2,)</f>
        <v>0</v>
      </c>
    </row>
    <row r="221" spans="1:51" x14ac:dyDescent="0.2">
      <c r="A221" s="32" t="str">
        <f t="shared" ca="1" si="3"/>
        <v>2025-11-09</v>
      </c>
      <c r="B221" s="179">
        <f ca="1">IF(ISNUMBER(MATCH(DATEVALUE($A221),'recurring1_based on steps'!B$1:B$400,0)),B$2,)</f>
        <v>0</v>
      </c>
      <c r="C221" s="179">
        <f ca="1">IF(ISNUMBER(MATCH(DATEVALUE($A221),'recurring1_based on steps'!C$1:C$400,0)),C$2,)</f>
        <v>0</v>
      </c>
      <c r="D221" s="179">
        <f ca="1">IF(ISNUMBER(MATCH(DATEVALUE($A221),'recurring1_based on steps'!D$1:D$400,0)),D$2,)</f>
        <v>0</v>
      </c>
      <c r="E221" s="179">
        <f ca="1">IF(ISNUMBER(MATCH(DATEVALUE($A221),'recurring1_based on steps'!E$1:E$400,0)),E$2,)</f>
        <v>0</v>
      </c>
      <c r="F221" s="179">
        <f ca="1">IF(ISNUMBER(MATCH(DATEVALUE($A221),'recurring1_based on steps'!F$1:F$400,0)),F$2,)</f>
        <v>0</v>
      </c>
      <c r="G221" s="179">
        <f ca="1">IF(ISNUMBER(MATCH(DATEVALUE($A221),'recurring1_based on steps'!G$1:G$400,0)),G$2,)</f>
        <v>0</v>
      </c>
      <c r="H221" s="179">
        <f ca="1">IF(ISNUMBER(MATCH(DATEVALUE($A221),'recurring1_based on steps'!H$1:H$400,0)),H$2,)</f>
        <v>0</v>
      </c>
      <c r="I221" s="179">
        <f ca="1">IF(ISNUMBER(MATCH(DATEVALUE($A221),'recurring1_based on steps'!I$1:I$400,0)),I$2,)</f>
        <v>0</v>
      </c>
      <c r="J221" s="179">
        <f ca="1">IF(ISNUMBER(MATCH(DATEVALUE($A221),'recurring1_based on steps'!J$1:J$400,0)),J$2,)</f>
        <v>0</v>
      </c>
      <c r="K221" s="179">
        <f ca="1">IF(ISNUMBER(MATCH(DATEVALUE($A221),'recurring1_based on steps'!K$1:K$400,0)),K$2,)</f>
        <v>0</v>
      </c>
      <c r="L221" s="179">
        <f ca="1">IF(ISNUMBER(MATCH(DATEVALUE($A221),'recurring1_based on steps'!L$1:L$400,0)),L$2,)</f>
        <v>0</v>
      </c>
      <c r="M221" s="179">
        <f ca="1">IF(ISNUMBER(MATCH(DATEVALUE($A221),'recurring1_based on steps'!M$1:M$400,0)),M$2,)</f>
        <v>0</v>
      </c>
      <c r="N221" s="179">
        <f ca="1">IF(ISNUMBER(MATCH(DATEVALUE($A221),'recurring1_based on steps'!N$1:N$400,0)),N$2,)</f>
        <v>0</v>
      </c>
      <c r="O221" s="179">
        <f ca="1">IF(ISNUMBER(MATCH(DATEVALUE($A221),'recurring1_based on steps'!O$1:O$400,0)),O$2,)</f>
        <v>0</v>
      </c>
      <c r="P221" s="179">
        <f ca="1">IF(ISNUMBER(MATCH(DATEVALUE($A221),'recurring1_based on steps'!P$1:P$400,0)),P$2,)</f>
        <v>0</v>
      </c>
      <c r="Q221" s="179">
        <f ca="1">IF(ISNUMBER(MATCH(DATEVALUE($A221),'recurring1_based on steps'!Q$1:Q$400,0)),Q$2,)</f>
        <v>0</v>
      </c>
      <c r="R221" s="179">
        <f ca="1">IF(ISNUMBER(MATCH(DATEVALUE($A221),'recurring1_based on steps'!R$1:R$400,0)),R$2,)</f>
        <v>0</v>
      </c>
      <c r="S221" s="179">
        <f ca="1">IF(ISNUMBER(MATCH(DATEVALUE($A221),'recurring1_based on steps'!S$1:S$400,0)),S$2,)</f>
        <v>0</v>
      </c>
      <c r="T221" s="179">
        <f ca="1">IF(ISNUMBER(MATCH(DATEVALUE($A221),'recurring1_based on steps'!T$1:T$400,0)),T$2,)</f>
        <v>0</v>
      </c>
      <c r="U221" s="179">
        <f ca="1">IF(ISNUMBER(MATCH(DATEVALUE($A221),'recurring1_based on steps'!U$1:U$400,0)),U$2,)</f>
        <v>0</v>
      </c>
      <c r="V221" s="179">
        <f ca="1">IF(ISNUMBER(MATCH(DATEVALUE($A221),'recurring1_based on steps'!V$1:V$400,0)),V$2,)</f>
        <v>0</v>
      </c>
      <c r="W221" s="179">
        <f ca="1">IF(ISNUMBER(MATCH(DATEVALUE($A221),'recurring1_based on steps'!W$1:W$400,0)),W$2,)</f>
        <v>0</v>
      </c>
      <c r="X221" s="179">
        <f ca="1">IF(ISNUMBER(MATCH(DATEVALUE($A221),'recurring1_based on steps'!X$1:X$400,0)),X$2,)</f>
        <v>0</v>
      </c>
      <c r="Y221" s="179">
        <f ca="1">IF(ISNUMBER(MATCH(DATEVALUE($A221),'recurring1_based on steps'!Y$1:Y$400,0)),Y$2,)</f>
        <v>0</v>
      </c>
      <c r="Z221" s="179">
        <f ca="1">IF(ISNUMBER(MATCH(DATEVALUE($A221),'recurring1_based on steps'!Z$1:Z$400,0)),Z$2,)</f>
        <v>0</v>
      </c>
      <c r="AA221" s="179">
        <f ca="1">IF(ISNUMBER(MATCH(DATEVALUE($A221),'recurring1_based on steps'!AA$1:AA$400,0)),AA$2,)</f>
        <v>0</v>
      </c>
      <c r="AB221" s="179">
        <f ca="1">IF(ISNUMBER(MATCH(DATEVALUE($A221),'recurring1_based on steps'!AB$1:AB$400,0)),AB$2,)</f>
        <v>0</v>
      </c>
      <c r="AC221" s="179">
        <f ca="1">IF(ISNUMBER(MATCH(DATEVALUE($A221),'recurring1_based on steps'!AC$1:AC$400,0)),AC$2,)</f>
        <v>0</v>
      </c>
      <c r="AD221" s="179">
        <f ca="1">IF(ISNUMBER(MATCH(DATEVALUE($A221),'recurring1_based on steps'!AD$1:AD$400,0)),AD$2,)</f>
        <v>0</v>
      </c>
      <c r="AE221" s="179">
        <f ca="1">IF(ISNUMBER(MATCH(DATEVALUE($A221),'recurring1_based on steps'!AE$1:AE$400,0)),AE$2,)</f>
        <v>0</v>
      </c>
      <c r="AF221" s="179">
        <f ca="1">IF(ISNUMBER(MATCH(DATEVALUE($A221),'recurring1_based on steps'!AF$1:AF$400,0)),AF$2,)</f>
        <v>0</v>
      </c>
      <c r="AG221" s="179">
        <f ca="1">IF(ISNUMBER(MATCH(DATEVALUE($A221),'recurring1_based on steps'!AG$1:AG$400,0)),AG$2,)</f>
        <v>0</v>
      </c>
      <c r="AH221" s="179">
        <f ca="1">IF(ISNUMBER(MATCH(DATEVALUE($A221),'recurring1_based on steps'!AH$1:AH$400,0)),AH$2,)</f>
        <v>0</v>
      </c>
      <c r="AI221" s="179">
        <f ca="1">IF(ISNUMBER(MATCH(DATEVALUE($A221),'recurring1_based on steps'!AI$1:AI$400,0)),AI$2,)</f>
        <v>0</v>
      </c>
      <c r="AJ221" s="179">
        <f ca="1">IF(ISNUMBER(MATCH(DATEVALUE($A221),'recurring1_based on steps'!AJ$1:AJ$400,0)),AJ$2,)</f>
        <v>0</v>
      </c>
      <c r="AK221" s="179">
        <f ca="1">IF(ISNUMBER(MATCH(DATEVALUE($A221),'recurring1_based on steps'!AK$1:AK$400,0)),AK$2,)</f>
        <v>0</v>
      </c>
      <c r="AL221" s="179">
        <f ca="1">IF(ISNUMBER(MATCH(DATEVALUE($A221),'recurring1_based on steps'!AL$1:AL$400,0)),AL$2,)</f>
        <v>0</v>
      </c>
      <c r="AM221" s="179">
        <f ca="1">IF(ISNUMBER(MATCH(DATEVALUE($A221),'recurring1_based on steps'!AM$1:AM$400,0)),AM$2,)</f>
        <v>0</v>
      </c>
      <c r="AN221" s="179">
        <f ca="1">IF(ISNUMBER(MATCH(DATEVALUE($A221),'recurring1_based on steps'!AN$1:AN$400,0)),AN$2,)</f>
        <v>0</v>
      </c>
      <c r="AO221" s="179">
        <f ca="1">IF(ISNUMBER(MATCH(DATEVALUE($A221),'recurring1_based on steps'!AO$1:AO$400,0)),AO$2,)</f>
        <v>0</v>
      </c>
      <c r="AP221" s="179">
        <f ca="1">IF(ISNUMBER(MATCH(DATEVALUE($A221),'recurring1_based on steps'!AP$1:AP$400,0)),AP$2,)</f>
        <v>0</v>
      </c>
      <c r="AQ221" s="179">
        <f ca="1">IF(ISNUMBER(MATCH(DATEVALUE($A221),'recurring1_based on steps'!AQ$1:AQ$400,0)),AQ$2,)</f>
        <v>0</v>
      </c>
      <c r="AR221" s="179">
        <f ca="1">IF(ISNUMBER(MATCH(DATEVALUE($A221),'recurring1_based on steps'!AR$1:AR$400,0)),AR$2,)</f>
        <v>0</v>
      </c>
      <c r="AS221" s="179">
        <f ca="1">IF(ISNUMBER(MATCH(DATEVALUE($A221),'recurring1_based on steps'!AS$1:AS$400,0)),AS$2,)</f>
        <v>0</v>
      </c>
      <c r="AT221" s="179">
        <f ca="1">IF(ISNUMBER(MATCH(DATEVALUE($A221),'recurring1_based on steps'!AT$1:AT$400,0)),AT$2,)</f>
        <v>0</v>
      </c>
      <c r="AU221" s="179">
        <f ca="1">IF(ISNUMBER(MATCH(DATEVALUE($A221),'recurring1_based on steps'!AU$1:AU$400,0)),AU$2,)</f>
        <v>0</v>
      </c>
      <c r="AV221" s="179">
        <f ca="1">IF(ISNUMBER(MATCH(DATEVALUE($A221),'recurring1_based on steps'!AV$1:AV$400,0)),AV$2,)</f>
        <v>0</v>
      </c>
      <c r="AW221" s="179">
        <f ca="1">IF(ISNUMBER(MATCH(DATEVALUE($A221),'recurring1_based on steps'!AW$1:AW$400,0)),AW$2,)</f>
        <v>0</v>
      </c>
      <c r="AX221" s="179">
        <f ca="1">IF(ISNUMBER(MATCH(DATEVALUE($A221),'recurring1_based on steps'!AX$1:AX$400,0)),AX$2,)</f>
        <v>0</v>
      </c>
      <c r="AY221" s="179">
        <f ca="1">IF(ISNUMBER(MATCH(DATEVALUE($A221),'recurring1_based on steps'!AY$1:AY$400,0)),AY$2,)</f>
        <v>0</v>
      </c>
    </row>
    <row r="222" spans="1:51" x14ac:dyDescent="0.2">
      <c r="A222" s="32" t="str">
        <f t="shared" ca="1" si="3"/>
        <v>2025-11-10</v>
      </c>
      <c r="B222" s="179">
        <f ca="1">IF(ISNUMBER(MATCH(DATEVALUE($A222),'recurring1_based on steps'!B$1:B$400,0)),B$2,)</f>
        <v>0</v>
      </c>
      <c r="C222" s="179">
        <f ca="1">IF(ISNUMBER(MATCH(DATEVALUE($A222),'recurring1_based on steps'!C$1:C$400,0)),C$2,)</f>
        <v>0</v>
      </c>
      <c r="D222" s="179">
        <f ca="1">IF(ISNUMBER(MATCH(DATEVALUE($A222),'recurring1_based on steps'!D$1:D$400,0)),D$2,)</f>
        <v>0</v>
      </c>
      <c r="E222" s="179">
        <f ca="1">IF(ISNUMBER(MATCH(DATEVALUE($A222),'recurring1_based on steps'!E$1:E$400,0)),E$2,)</f>
        <v>0</v>
      </c>
      <c r="F222" s="179">
        <f ca="1">IF(ISNUMBER(MATCH(DATEVALUE($A222),'recurring1_based on steps'!F$1:F$400,0)),F$2,)</f>
        <v>0</v>
      </c>
      <c r="G222" s="179">
        <f ca="1">IF(ISNUMBER(MATCH(DATEVALUE($A222),'recurring1_based on steps'!G$1:G$400,0)),G$2,)</f>
        <v>0</v>
      </c>
      <c r="H222" s="179">
        <f ca="1">IF(ISNUMBER(MATCH(DATEVALUE($A222),'recurring1_based on steps'!H$1:H$400,0)),H$2,)</f>
        <v>0</v>
      </c>
      <c r="I222" s="179">
        <f ca="1">IF(ISNUMBER(MATCH(DATEVALUE($A222),'recurring1_based on steps'!I$1:I$400,0)),I$2,)</f>
        <v>0</v>
      </c>
      <c r="J222" s="179">
        <f ca="1">IF(ISNUMBER(MATCH(DATEVALUE($A222),'recurring1_based on steps'!J$1:J$400,0)),J$2,)</f>
        <v>0</v>
      </c>
      <c r="K222" s="179">
        <f ca="1">IF(ISNUMBER(MATCH(DATEVALUE($A222),'recurring1_based on steps'!K$1:K$400,0)),K$2,)</f>
        <v>0</v>
      </c>
      <c r="L222" s="179">
        <f ca="1">IF(ISNUMBER(MATCH(DATEVALUE($A222),'recurring1_based on steps'!L$1:L$400,0)),L$2,)</f>
        <v>0</v>
      </c>
      <c r="M222" s="179">
        <f ca="1">IF(ISNUMBER(MATCH(DATEVALUE($A222),'recurring1_based on steps'!M$1:M$400,0)),M$2,)</f>
        <v>0</v>
      </c>
      <c r="N222" s="179">
        <f ca="1">IF(ISNUMBER(MATCH(DATEVALUE($A222),'recurring1_based on steps'!N$1:N$400,0)),N$2,)</f>
        <v>0</v>
      </c>
      <c r="O222" s="179">
        <f ca="1">IF(ISNUMBER(MATCH(DATEVALUE($A222),'recurring1_based on steps'!O$1:O$400,0)),O$2,)</f>
        <v>0</v>
      </c>
      <c r="P222" s="179">
        <f ca="1">IF(ISNUMBER(MATCH(DATEVALUE($A222),'recurring1_based on steps'!P$1:P$400,0)),P$2,)</f>
        <v>0</v>
      </c>
      <c r="Q222" s="179">
        <f ca="1">IF(ISNUMBER(MATCH(DATEVALUE($A222),'recurring1_based on steps'!Q$1:Q$400,0)),Q$2,)</f>
        <v>0</v>
      </c>
      <c r="R222" s="179">
        <f ca="1">IF(ISNUMBER(MATCH(DATEVALUE($A222),'recurring1_based on steps'!R$1:R$400,0)),R$2,)</f>
        <v>0</v>
      </c>
      <c r="S222" s="179">
        <f ca="1">IF(ISNUMBER(MATCH(DATEVALUE($A222),'recurring1_based on steps'!S$1:S$400,0)),S$2,)</f>
        <v>0</v>
      </c>
      <c r="T222" s="179">
        <f ca="1">IF(ISNUMBER(MATCH(DATEVALUE($A222),'recurring1_based on steps'!T$1:T$400,0)),T$2,)</f>
        <v>0</v>
      </c>
      <c r="U222" s="179">
        <f ca="1">IF(ISNUMBER(MATCH(DATEVALUE($A222),'recurring1_based on steps'!U$1:U$400,0)),U$2,)</f>
        <v>0</v>
      </c>
      <c r="V222" s="179">
        <f ca="1">IF(ISNUMBER(MATCH(DATEVALUE($A222),'recurring1_based on steps'!V$1:V$400,0)),V$2,)</f>
        <v>0</v>
      </c>
      <c r="W222" s="179">
        <f ca="1">IF(ISNUMBER(MATCH(DATEVALUE($A222),'recurring1_based on steps'!W$1:W$400,0)),W$2,)</f>
        <v>0</v>
      </c>
      <c r="X222" s="179">
        <f ca="1">IF(ISNUMBER(MATCH(DATEVALUE($A222),'recurring1_based on steps'!X$1:X$400,0)),X$2,)</f>
        <v>0</v>
      </c>
      <c r="Y222" s="179">
        <f ca="1">IF(ISNUMBER(MATCH(DATEVALUE($A222),'recurring1_based on steps'!Y$1:Y$400,0)),Y$2,)</f>
        <v>0</v>
      </c>
      <c r="Z222" s="179">
        <f ca="1">IF(ISNUMBER(MATCH(DATEVALUE($A222),'recurring1_based on steps'!Z$1:Z$400,0)),Z$2,)</f>
        <v>0</v>
      </c>
      <c r="AA222" s="179">
        <f ca="1">IF(ISNUMBER(MATCH(DATEVALUE($A222),'recurring1_based on steps'!AA$1:AA$400,0)),AA$2,)</f>
        <v>0</v>
      </c>
      <c r="AB222" s="179">
        <f ca="1">IF(ISNUMBER(MATCH(DATEVALUE($A222),'recurring1_based on steps'!AB$1:AB$400,0)),AB$2,)</f>
        <v>0</v>
      </c>
      <c r="AC222" s="179">
        <f ca="1">IF(ISNUMBER(MATCH(DATEVALUE($A222),'recurring1_based on steps'!AC$1:AC$400,0)),AC$2,)</f>
        <v>0</v>
      </c>
      <c r="AD222" s="179">
        <f ca="1">IF(ISNUMBER(MATCH(DATEVALUE($A222),'recurring1_based on steps'!AD$1:AD$400,0)),AD$2,)</f>
        <v>0</v>
      </c>
      <c r="AE222" s="179">
        <f ca="1">IF(ISNUMBER(MATCH(DATEVALUE($A222),'recurring1_based on steps'!AE$1:AE$400,0)),AE$2,)</f>
        <v>0</v>
      </c>
      <c r="AF222" s="179">
        <f ca="1">IF(ISNUMBER(MATCH(DATEVALUE($A222),'recurring1_based on steps'!AF$1:AF$400,0)),AF$2,)</f>
        <v>0</v>
      </c>
      <c r="AG222" s="179">
        <f ca="1">IF(ISNUMBER(MATCH(DATEVALUE($A222),'recurring1_based on steps'!AG$1:AG$400,0)),AG$2,)</f>
        <v>0</v>
      </c>
      <c r="AH222" s="179">
        <f ca="1">IF(ISNUMBER(MATCH(DATEVALUE($A222),'recurring1_based on steps'!AH$1:AH$400,0)),AH$2,)</f>
        <v>0</v>
      </c>
      <c r="AI222" s="179">
        <f ca="1">IF(ISNUMBER(MATCH(DATEVALUE($A222),'recurring1_based on steps'!AI$1:AI$400,0)),AI$2,)</f>
        <v>0</v>
      </c>
      <c r="AJ222" s="179">
        <f ca="1">IF(ISNUMBER(MATCH(DATEVALUE($A222),'recurring1_based on steps'!AJ$1:AJ$400,0)),AJ$2,)</f>
        <v>0</v>
      </c>
      <c r="AK222" s="179">
        <f ca="1">IF(ISNUMBER(MATCH(DATEVALUE($A222),'recurring1_based on steps'!AK$1:AK$400,0)),AK$2,)</f>
        <v>0</v>
      </c>
      <c r="AL222" s="179">
        <f ca="1">IF(ISNUMBER(MATCH(DATEVALUE($A222),'recurring1_based on steps'!AL$1:AL$400,0)),AL$2,)</f>
        <v>0</v>
      </c>
      <c r="AM222" s="179">
        <f ca="1">IF(ISNUMBER(MATCH(DATEVALUE($A222),'recurring1_based on steps'!AM$1:AM$400,0)),AM$2,)</f>
        <v>0</v>
      </c>
      <c r="AN222" s="179">
        <f ca="1">IF(ISNUMBER(MATCH(DATEVALUE($A222),'recurring1_based on steps'!AN$1:AN$400,0)),AN$2,)</f>
        <v>0</v>
      </c>
      <c r="AO222" s="179">
        <f ca="1">IF(ISNUMBER(MATCH(DATEVALUE($A222),'recurring1_based on steps'!AO$1:AO$400,0)),AO$2,)</f>
        <v>0</v>
      </c>
      <c r="AP222" s="179">
        <f ca="1">IF(ISNUMBER(MATCH(DATEVALUE($A222),'recurring1_based on steps'!AP$1:AP$400,0)),AP$2,)</f>
        <v>0</v>
      </c>
      <c r="AQ222" s="179">
        <f ca="1">IF(ISNUMBER(MATCH(DATEVALUE($A222),'recurring1_based on steps'!AQ$1:AQ$400,0)),AQ$2,)</f>
        <v>0</v>
      </c>
      <c r="AR222" s="179">
        <f ca="1">IF(ISNUMBER(MATCH(DATEVALUE($A222),'recurring1_based on steps'!AR$1:AR$400,0)),AR$2,)</f>
        <v>0</v>
      </c>
      <c r="AS222" s="179">
        <f ca="1">IF(ISNUMBER(MATCH(DATEVALUE($A222),'recurring1_based on steps'!AS$1:AS$400,0)),AS$2,)</f>
        <v>0</v>
      </c>
      <c r="AT222" s="179">
        <f ca="1">IF(ISNUMBER(MATCH(DATEVALUE($A222),'recurring1_based on steps'!AT$1:AT$400,0)),AT$2,)</f>
        <v>0</v>
      </c>
      <c r="AU222" s="179">
        <f ca="1">IF(ISNUMBER(MATCH(DATEVALUE($A222),'recurring1_based on steps'!AU$1:AU$400,0)),AU$2,)</f>
        <v>0</v>
      </c>
      <c r="AV222" s="179">
        <f ca="1">IF(ISNUMBER(MATCH(DATEVALUE($A222),'recurring1_based on steps'!AV$1:AV$400,0)),AV$2,)</f>
        <v>0</v>
      </c>
      <c r="AW222" s="179">
        <f ca="1">IF(ISNUMBER(MATCH(DATEVALUE($A222),'recurring1_based on steps'!AW$1:AW$400,0)),AW$2,)</f>
        <v>0</v>
      </c>
      <c r="AX222" s="179">
        <f ca="1">IF(ISNUMBER(MATCH(DATEVALUE($A222),'recurring1_based on steps'!AX$1:AX$400,0)),AX$2,)</f>
        <v>0</v>
      </c>
      <c r="AY222" s="179">
        <f ca="1">IF(ISNUMBER(MATCH(DATEVALUE($A222),'recurring1_based on steps'!AY$1:AY$400,0)),AY$2,)</f>
        <v>0</v>
      </c>
    </row>
    <row r="223" spans="1:51" x14ac:dyDescent="0.2">
      <c r="A223" s="32" t="str">
        <f t="shared" ca="1" si="3"/>
        <v>2025-11-11</v>
      </c>
      <c r="B223" s="179">
        <f ca="1">IF(ISNUMBER(MATCH(DATEVALUE($A223),'recurring1_based on steps'!B$1:B$400,0)),B$2,)</f>
        <v>0</v>
      </c>
      <c r="C223" s="179">
        <f ca="1">IF(ISNUMBER(MATCH(DATEVALUE($A223),'recurring1_based on steps'!C$1:C$400,0)),C$2,)</f>
        <v>0</v>
      </c>
      <c r="D223" s="179">
        <f ca="1">IF(ISNUMBER(MATCH(DATEVALUE($A223),'recurring1_based on steps'!D$1:D$400,0)),D$2,)</f>
        <v>0</v>
      </c>
      <c r="E223" s="179">
        <f ca="1">IF(ISNUMBER(MATCH(DATEVALUE($A223),'recurring1_based on steps'!E$1:E$400,0)),E$2,)</f>
        <v>0</v>
      </c>
      <c r="F223" s="179">
        <f ca="1">IF(ISNUMBER(MATCH(DATEVALUE($A223),'recurring1_based on steps'!F$1:F$400,0)),F$2,)</f>
        <v>0</v>
      </c>
      <c r="G223" s="179">
        <f ca="1">IF(ISNUMBER(MATCH(DATEVALUE($A223),'recurring1_based on steps'!G$1:G$400,0)),G$2,)</f>
        <v>0</v>
      </c>
      <c r="H223" s="179">
        <f ca="1">IF(ISNUMBER(MATCH(DATEVALUE($A223),'recurring1_based on steps'!H$1:H$400,0)),H$2,)</f>
        <v>0</v>
      </c>
      <c r="I223" s="179">
        <f ca="1">IF(ISNUMBER(MATCH(DATEVALUE($A223),'recurring1_based on steps'!I$1:I$400,0)),I$2,)</f>
        <v>0</v>
      </c>
      <c r="J223" s="179">
        <f ca="1">IF(ISNUMBER(MATCH(DATEVALUE($A223),'recurring1_based on steps'!J$1:J$400,0)),J$2,)</f>
        <v>0</v>
      </c>
      <c r="K223" s="179">
        <f ca="1">IF(ISNUMBER(MATCH(DATEVALUE($A223),'recurring1_based on steps'!K$1:K$400,0)),K$2,)</f>
        <v>0</v>
      </c>
      <c r="L223" s="179">
        <f ca="1">IF(ISNUMBER(MATCH(DATEVALUE($A223),'recurring1_based on steps'!L$1:L$400,0)),L$2,)</f>
        <v>0</v>
      </c>
      <c r="M223" s="179">
        <f ca="1">IF(ISNUMBER(MATCH(DATEVALUE($A223),'recurring1_based on steps'!M$1:M$400,0)),M$2,)</f>
        <v>0</v>
      </c>
      <c r="N223" s="179">
        <f ca="1">IF(ISNUMBER(MATCH(DATEVALUE($A223),'recurring1_based on steps'!N$1:N$400,0)),N$2,)</f>
        <v>0</v>
      </c>
      <c r="O223" s="179">
        <f ca="1">IF(ISNUMBER(MATCH(DATEVALUE($A223),'recurring1_based on steps'!O$1:O$400,0)),O$2,)</f>
        <v>0</v>
      </c>
      <c r="P223" s="179">
        <f ca="1">IF(ISNUMBER(MATCH(DATEVALUE($A223),'recurring1_based on steps'!P$1:P$400,0)),P$2,)</f>
        <v>0</v>
      </c>
      <c r="Q223" s="179">
        <f ca="1">IF(ISNUMBER(MATCH(DATEVALUE($A223),'recurring1_based on steps'!Q$1:Q$400,0)),Q$2,)</f>
        <v>0</v>
      </c>
      <c r="R223" s="179">
        <f ca="1">IF(ISNUMBER(MATCH(DATEVALUE($A223),'recurring1_based on steps'!R$1:R$400,0)),R$2,)</f>
        <v>0</v>
      </c>
      <c r="S223" s="179">
        <f ca="1">IF(ISNUMBER(MATCH(DATEVALUE($A223),'recurring1_based on steps'!S$1:S$400,0)),S$2,)</f>
        <v>0</v>
      </c>
      <c r="T223" s="179">
        <f ca="1">IF(ISNUMBER(MATCH(DATEVALUE($A223),'recurring1_based on steps'!T$1:T$400,0)),T$2,)</f>
        <v>0</v>
      </c>
      <c r="U223" s="179">
        <f ca="1">IF(ISNUMBER(MATCH(DATEVALUE($A223),'recurring1_based on steps'!U$1:U$400,0)),U$2,)</f>
        <v>0</v>
      </c>
      <c r="V223" s="179">
        <f ca="1">IF(ISNUMBER(MATCH(DATEVALUE($A223),'recurring1_based on steps'!V$1:V$400,0)),V$2,)</f>
        <v>0</v>
      </c>
      <c r="W223" s="179">
        <f ca="1">IF(ISNUMBER(MATCH(DATEVALUE($A223),'recurring1_based on steps'!W$1:W$400,0)),W$2,)</f>
        <v>0</v>
      </c>
      <c r="X223" s="179">
        <f ca="1">IF(ISNUMBER(MATCH(DATEVALUE($A223),'recurring1_based on steps'!X$1:X$400,0)),X$2,)</f>
        <v>0</v>
      </c>
      <c r="Y223" s="179">
        <f ca="1">IF(ISNUMBER(MATCH(DATEVALUE($A223),'recurring1_based on steps'!Y$1:Y$400,0)),Y$2,)</f>
        <v>0</v>
      </c>
      <c r="Z223" s="179">
        <f ca="1">IF(ISNUMBER(MATCH(DATEVALUE($A223),'recurring1_based on steps'!Z$1:Z$400,0)),Z$2,)</f>
        <v>0</v>
      </c>
      <c r="AA223" s="179">
        <f ca="1">IF(ISNUMBER(MATCH(DATEVALUE($A223),'recurring1_based on steps'!AA$1:AA$400,0)),AA$2,)</f>
        <v>0</v>
      </c>
      <c r="AB223" s="179">
        <f ca="1">IF(ISNUMBER(MATCH(DATEVALUE($A223),'recurring1_based on steps'!AB$1:AB$400,0)),AB$2,)</f>
        <v>0</v>
      </c>
      <c r="AC223" s="179">
        <f ca="1">IF(ISNUMBER(MATCH(DATEVALUE($A223),'recurring1_based on steps'!AC$1:AC$400,0)),AC$2,)</f>
        <v>0</v>
      </c>
      <c r="AD223" s="179">
        <f ca="1">IF(ISNUMBER(MATCH(DATEVALUE($A223),'recurring1_based on steps'!AD$1:AD$400,0)),AD$2,)</f>
        <v>0</v>
      </c>
      <c r="AE223" s="179">
        <f ca="1">IF(ISNUMBER(MATCH(DATEVALUE($A223),'recurring1_based on steps'!AE$1:AE$400,0)),AE$2,)</f>
        <v>0</v>
      </c>
      <c r="AF223" s="179">
        <f ca="1">IF(ISNUMBER(MATCH(DATEVALUE($A223),'recurring1_based on steps'!AF$1:AF$400,0)),AF$2,)</f>
        <v>0</v>
      </c>
      <c r="AG223" s="179">
        <f ca="1">IF(ISNUMBER(MATCH(DATEVALUE($A223),'recurring1_based on steps'!AG$1:AG$400,0)),AG$2,)</f>
        <v>0</v>
      </c>
      <c r="AH223" s="179">
        <f ca="1">IF(ISNUMBER(MATCH(DATEVALUE($A223),'recurring1_based on steps'!AH$1:AH$400,0)),AH$2,)</f>
        <v>0</v>
      </c>
      <c r="AI223" s="179">
        <f ca="1">IF(ISNUMBER(MATCH(DATEVALUE($A223),'recurring1_based on steps'!AI$1:AI$400,0)),AI$2,)</f>
        <v>0</v>
      </c>
      <c r="AJ223" s="179">
        <f ca="1">IF(ISNUMBER(MATCH(DATEVALUE($A223),'recurring1_based on steps'!AJ$1:AJ$400,0)),AJ$2,)</f>
        <v>0</v>
      </c>
      <c r="AK223" s="179">
        <f ca="1">IF(ISNUMBER(MATCH(DATEVALUE($A223),'recurring1_based on steps'!AK$1:AK$400,0)),AK$2,)</f>
        <v>0</v>
      </c>
      <c r="AL223" s="179">
        <f ca="1">IF(ISNUMBER(MATCH(DATEVALUE($A223),'recurring1_based on steps'!AL$1:AL$400,0)),AL$2,)</f>
        <v>0</v>
      </c>
      <c r="AM223" s="179">
        <f ca="1">IF(ISNUMBER(MATCH(DATEVALUE($A223),'recurring1_based on steps'!AM$1:AM$400,0)),AM$2,)</f>
        <v>0</v>
      </c>
      <c r="AN223" s="179">
        <f ca="1">IF(ISNUMBER(MATCH(DATEVALUE($A223),'recurring1_based on steps'!AN$1:AN$400,0)),AN$2,)</f>
        <v>0</v>
      </c>
      <c r="AO223" s="179">
        <f ca="1">IF(ISNUMBER(MATCH(DATEVALUE($A223),'recurring1_based on steps'!AO$1:AO$400,0)),AO$2,)</f>
        <v>0</v>
      </c>
      <c r="AP223" s="179">
        <f ca="1">IF(ISNUMBER(MATCH(DATEVALUE($A223),'recurring1_based on steps'!AP$1:AP$400,0)),AP$2,)</f>
        <v>0</v>
      </c>
      <c r="AQ223" s="179">
        <f ca="1">IF(ISNUMBER(MATCH(DATEVALUE($A223),'recurring1_based on steps'!AQ$1:AQ$400,0)),AQ$2,)</f>
        <v>0</v>
      </c>
      <c r="AR223" s="179">
        <f ca="1">IF(ISNUMBER(MATCH(DATEVALUE($A223),'recurring1_based on steps'!AR$1:AR$400,0)),AR$2,)</f>
        <v>0</v>
      </c>
      <c r="AS223" s="179">
        <f ca="1">IF(ISNUMBER(MATCH(DATEVALUE($A223),'recurring1_based on steps'!AS$1:AS$400,0)),AS$2,)</f>
        <v>0</v>
      </c>
      <c r="AT223" s="179">
        <f ca="1">IF(ISNUMBER(MATCH(DATEVALUE($A223),'recurring1_based on steps'!AT$1:AT$400,0)),AT$2,)</f>
        <v>0</v>
      </c>
      <c r="AU223" s="179">
        <f ca="1">IF(ISNUMBER(MATCH(DATEVALUE($A223),'recurring1_based on steps'!AU$1:AU$400,0)),AU$2,)</f>
        <v>0</v>
      </c>
      <c r="AV223" s="179">
        <f ca="1">IF(ISNUMBER(MATCH(DATEVALUE($A223),'recurring1_based on steps'!AV$1:AV$400,0)),AV$2,)</f>
        <v>0</v>
      </c>
      <c r="AW223" s="179">
        <f ca="1">IF(ISNUMBER(MATCH(DATEVALUE($A223),'recurring1_based on steps'!AW$1:AW$400,0)),AW$2,)</f>
        <v>0</v>
      </c>
      <c r="AX223" s="179">
        <f ca="1">IF(ISNUMBER(MATCH(DATEVALUE($A223),'recurring1_based on steps'!AX$1:AX$400,0)),AX$2,)</f>
        <v>0</v>
      </c>
      <c r="AY223" s="179">
        <f ca="1">IF(ISNUMBER(MATCH(DATEVALUE($A223),'recurring1_based on steps'!AY$1:AY$400,0)),AY$2,)</f>
        <v>0</v>
      </c>
    </row>
    <row r="224" spans="1:51" x14ac:dyDescent="0.2">
      <c r="A224" s="32" t="str">
        <f t="shared" ca="1" si="3"/>
        <v>2025-11-12</v>
      </c>
      <c r="B224" s="179">
        <f ca="1">IF(ISNUMBER(MATCH(DATEVALUE($A224),'recurring1_based on steps'!B$1:B$400,0)),B$2,)</f>
        <v>0</v>
      </c>
      <c r="C224" s="179">
        <f ca="1">IF(ISNUMBER(MATCH(DATEVALUE($A224),'recurring1_based on steps'!C$1:C$400,0)),C$2,)</f>
        <v>0</v>
      </c>
      <c r="D224" s="179">
        <f ca="1">IF(ISNUMBER(MATCH(DATEVALUE($A224),'recurring1_based on steps'!D$1:D$400,0)),D$2,)</f>
        <v>0</v>
      </c>
      <c r="E224" s="179">
        <f ca="1">IF(ISNUMBER(MATCH(DATEVALUE($A224),'recurring1_based on steps'!E$1:E$400,0)),E$2,)</f>
        <v>0</v>
      </c>
      <c r="F224" s="179">
        <f ca="1">IF(ISNUMBER(MATCH(DATEVALUE($A224),'recurring1_based on steps'!F$1:F$400,0)),F$2,)</f>
        <v>0</v>
      </c>
      <c r="G224" s="179">
        <f ca="1">IF(ISNUMBER(MATCH(DATEVALUE($A224),'recurring1_based on steps'!G$1:G$400,0)),G$2,)</f>
        <v>0</v>
      </c>
      <c r="H224" s="179">
        <f ca="1">IF(ISNUMBER(MATCH(DATEVALUE($A224),'recurring1_based on steps'!H$1:H$400,0)),H$2,)</f>
        <v>0</v>
      </c>
      <c r="I224" s="179">
        <f ca="1">IF(ISNUMBER(MATCH(DATEVALUE($A224),'recurring1_based on steps'!I$1:I$400,0)),I$2,)</f>
        <v>0</v>
      </c>
      <c r="J224" s="179">
        <f ca="1">IF(ISNUMBER(MATCH(DATEVALUE($A224),'recurring1_based on steps'!J$1:J$400,0)),J$2,)</f>
        <v>0</v>
      </c>
      <c r="K224" s="179">
        <f ca="1">IF(ISNUMBER(MATCH(DATEVALUE($A224),'recurring1_based on steps'!K$1:K$400,0)),K$2,)</f>
        <v>0</v>
      </c>
      <c r="L224" s="179">
        <f ca="1">IF(ISNUMBER(MATCH(DATEVALUE($A224),'recurring1_based on steps'!L$1:L$400,0)),L$2,)</f>
        <v>0</v>
      </c>
      <c r="M224" s="179">
        <f ca="1">IF(ISNUMBER(MATCH(DATEVALUE($A224),'recurring1_based on steps'!M$1:M$400,0)),M$2,)</f>
        <v>0</v>
      </c>
      <c r="N224" s="179">
        <f ca="1">IF(ISNUMBER(MATCH(DATEVALUE($A224),'recurring1_based on steps'!N$1:N$400,0)),N$2,)</f>
        <v>0</v>
      </c>
      <c r="O224" s="179">
        <f ca="1">IF(ISNUMBER(MATCH(DATEVALUE($A224),'recurring1_based on steps'!O$1:O$400,0)),O$2,)</f>
        <v>0</v>
      </c>
      <c r="P224" s="179">
        <f ca="1">IF(ISNUMBER(MATCH(DATEVALUE($A224),'recurring1_based on steps'!P$1:P$400,0)),P$2,)</f>
        <v>0</v>
      </c>
      <c r="Q224" s="179">
        <f ca="1">IF(ISNUMBER(MATCH(DATEVALUE($A224),'recurring1_based on steps'!Q$1:Q$400,0)),Q$2,)</f>
        <v>0</v>
      </c>
      <c r="R224" s="179">
        <f ca="1">IF(ISNUMBER(MATCH(DATEVALUE($A224),'recurring1_based on steps'!R$1:R$400,0)),R$2,)</f>
        <v>0</v>
      </c>
      <c r="S224" s="179">
        <f ca="1">IF(ISNUMBER(MATCH(DATEVALUE($A224),'recurring1_based on steps'!S$1:S$400,0)),S$2,)</f>
        <v>0</v>
      </c>
      <c r="T224" s="179">
        <f ca="1">IF(ISNUMBER(MATCH(DATEVALUE($A224),'recurring1_based on steps'!T$1:T$400,0)),T$2,)</f>
        <v>0</v>
      </c>
      <c r="U224" s="179">
        <f ca="1">IF(ISNUMBER(MATCH(DATEVALUE($A224),'recurring1_based on steps'!U$1:U$400,0)),U$2,)</f>
        <v>0</v>
      </c>
      <c r="V224" s="179">
        <f ca="1">IF(ISNUMBER(MATCH(DATEVALUE($A224),'recurring1_based on steps'!V$1:V$400,0)),V$2,)</f>
        <v>0</v>
      </c>
      <c r="W224" s="179">
        <f ca="1">IF(ISNUMBER(MATCH(DATEVALUE($A224),'recurring1_based on steps'!W$1:W$400,0)),W$2,)</f>
        <v>0</v>
      </c>
      <c r="X224" s="179">
        <f ca="1">IF(ISNUMBER(MATCH(DATEVALUE($A224),'recurring1_based on steps'!X$1:X$400,0)),X$2,)</f>
        <v>0</v>
      </c>
      <c r="Y224" s="179">
        <f ca="1">IF(ISNUMBER(MATCH(DATEVALUE($A224),'recurring1_based on steps'!Y$1:Y$400,0)),Y$2,)</f>
        <v>0</v>
      </c>
      <c r="Z224" s="179">
        <f ca="1">IF(ISNUMBER(MATCH(DATEVALUE($A224),'recurring1_based on steps'!Z$1:Z$400,0)),Z$2,)</f>
        <v>0</v>
      </c>
      <c r="AA224" s="179">
        <f ca="1">IF(ISNUMBER(MATCH(DATEVALUE($A224),'recurring1_based on steps'!AA$1:AA$400,0)),AA$2,)</f>
        <v>0</v>
      </c>
      <c r="AB224" s="179">
        <f ca="1">IF(ISNUMBER(MATCH(DATEVALUE($A224),'recurring1_based on steps'!AB$1:AB$400,0)),AB$2,)</f>
        <v>0</v>
      </c>
      <c r="AC224" s="179">
        <f ca="1">IF(ISNUMBER(MATCH(DATEVALUE($A224),'recurring1_based on steps'!AC$1:AC$400,0)),AC$2,)</f>
        <v>0</v>
      </c>
      <c r="AD224" s="179">
        <f ca="1">IF(ISNUMBER(MATCH(DATEVALUE($A224),'recurring1_based on steps'!AD$1:AD$400,0)),AD$2,)</f>
        <v>0</v>
      </c>
      <c r="AE224" s="179">
        <f ca="1">IF(ISNUMBER(MATCH(DATEVALUE($A224),'recurring1_based on steps'!AE$1:AE$400,0)),AE$2,)</f>
        <v>0</v>
      </c>
      <c r="AF224" s="179">
        <f ca="1">IF(ISNUMBER(MATCH(DATEVALUE($A224),'recurring1_based on steps'!AF$1:AF$400,0)),AF$2,)</f>
        <v>0</v>
      </c>
      <c r="AG224" s="179">
        <f ca="1">IF(ISNUMBER(MATCH(DATEVALUE($A224),'recurring1_based on steps'!AG$1:AG$400,0)),AG$2,)</f>
        <v>0</v>
      </c>
      <c r="AH224" s="179">
        <f ca="1">IF(ISNUMBER(MATCH(DATEVALUE($A224),'recurring1_based on steps'!AH$1:AH$400,0)),AH$2,)</f>
        <v>0</v>
      </c>
      <c r="AI224" s="179">
        <f ca="1">IF(ISNUMBER(MATCH(DATEVALUE($A224),'recurring1_based on steps'!AI$1:AI$400,0)),AI$2,)</f>
        <v>0</v>
      </c>
      <c r="AJ224" s="179">
        <f ca="1">IF(ISNUMBER(MATCH(DATEVALUE($A224),'recurring1_based on steps'!AJ$1:AJ$400,0)),AJ$2,)</f>
        <v>0</v>
      </c>
      <c r="AK224" s="179">
        <f ca="1">IF(ISNUMBER(MATCH(DATEVALUE($A224),'recurring1_based on steps'!AK$1:AK$400,0)),AK$2,)</f>
        <v>0</v>
      </c>
      <c r="AL224" s="179">
        <f ca="1">IF(ISNUMBER(MATCH(DATEVALUE($A224),'recurring1_based on steps'!AL$1:AL$400,0)),AL$2,)</f>
        <v>0</v>
      </c>
      <c r="AM224" s="179">
        <f ca="1">IF(ISNUMBER(MATCH(DATEVALUE($A224),'recurring1_based on steps'!AM$1:AM$400,0)),AM$2,)</f>
        <v>0</v>
      </c>
      <c r="AN224" s="179">
        <f ca="1">IF(ISNUMBER(MATCH(DATEVALUE($A224),'recurring1_based on steps'!AN$1:AN$400,0)),AN$2,)</f>
        <v>0</v>
      </c>
      <c r="AO224" s="179">
        <f ca="1">IF(ISNUMBER(MATCH(DATEVALUE($A224),'recurring1_based on steps'!AO$1:AO$400,0)),AO$2,)</f>
        <v>0</v>
      </c>
      <c r="AP224" s="179">
        <f ca="1">IF(ISNUMBER(MATCH(DATEVALUE($A224),'recurring1_based on steps'!AP$1:AP$400,0)),AP$2,)</f>
        <v>0</v>
      </c>
      <c r="AQ224" s="179">
        <f ca="1">IF(ISNUMBER(MATCH(DATEVALUE($A224),'recurring1_based on steps'!AQ$1:AQ$400,0)),AQ$2,)</f>
        <v>0</v>
      </c>
      <c r="AR224" s="179">
        <f ca="1">IF(ISNUMBER(MATCH(DATEVALUE($A224),'recurring1_based on steps'!AR$1:AR$400,0)),AR$2,)</f>
        <v>0</v>
      </c>
      <c r="AS224" s="179">
        <f ca="1">IF(ISNUMBER(MATCH(DATEVALUE($A224),'recurring1_based on steps'!AS$1:AS$400,0)),AS$2,)</f>
        <v>0</v>
      </c>
      <c r="AT224" s="179">
        <f ca="1">IF(ISNUMBER(MATCH(DATEVALUE($A224),'recurring1_based on steps'!AT$1:AT$400,0)),AT$2,)</f>
        <v>0</v>
      </c>
      <c r="AU224" s="179">
        <f ca="1">IF(ISNUMBER(MATCH(DATEVALUE($A224),'recurring1_based on steps'!AU$1:AU$400,0)),AU$2,)</f>
        <v>0</v>
      </c>
      <c r="AV224" s="179">
        <f ca="1">IF(ISNUMBER(MATCH(DATEVALUE($A224),'recurring1_based on steps'!AV$1:AV$400,0)),AV$2,)</f>
        <v>0</v>
      </c>
      <c r="AW224" s="179">
        <f ca="1">IF(ISNUMBER(MATCH(DATEVALUE($A224),'recurring1_based on steps'!AW$1:AW$400,0)),AW$2,)</f>
        <v>0</v>
      </c>
      <c r="AX224" s="179">
        <f ca="1">IF(ISNUMBER(MATCH(DATEVALUE($A224),'recurring1_based on steps'!AX$1:AX$400,0)),AX$2,)</f>
        <v>0</v>
      </c>
      <c r="AY224" s="179">
        <f ca="1">IF(ISNUMBER(MATCH(DATEVALUE($A224),'recurring1_based on steps'!AY$1:AY$400,0)),AY$2,)</f>
        <v>0</v>
      </c>
    </row>
    <row r="225" spans="1:51" x14ac:dyDescent="0.2">
      <c r="A225" s="32" t="str">
        <f t="shared" ca="1" si="3"/>
        <v>2025-11-13</v>
      </c>
      <c r="B225" s="179">
        <f ca="1">IF(ISNUMBER(MATCH(DATEVALUE($A225),'recurring1_based on steps'!B$1:B$400,0)),B$2,)</f>
        <v>0</v>
      </c>
      <c r="C225" s="179">
        <f ca="1">IF(ISNUMBER(MATCH(DATEVALUE($A225),'recurring1_based on steps'!C$1:C$400,0)),C$2,)</f>
        <v>0</v>
      </c>
      <c r="D225" s="179">
        <f ca="1">IF(ISNUMBER(MATCH(DATEVALUE($A225),'recurring1_based on steps'!D$1:D$400,0)),D$2,)</f>
        <v>0</v>
      </c>
      <c r="E225" s="179">
        <f ca="1">IF(ISNUMBER(MATCH(DATEVALUE($A225),'recurring1_based on steps'!E$1:E$400,0)),E$2,)</f>
        <v>0</v>
      </c>
      <c r="F225" s="179">
        <f ca="1">IF(ISNUMBER(MATCH(DATEVALUE($A225),'recurring1_based on steps'!F$1:F$400,0)),F$2,)</f>
        <v>0</v>
      </c>
      <c r="G225" s="179">
        <f ca="1">IF(ISNUMBER(MATCH(DATEVALUE($A225),'recurring1_based on steps'!G$1:G$400,0)),G$2,)</f>
        <v>0</v>
      </c>
      <c r="H225" s="179">
        <f ca="1">IF(ISNUMBER(MATCH(DATEVALUE($A225),'recurring1_based on steps'!H$1:H$400,0)),H$2,)</f>
        <v>0</v>
      </c>
      <c r="I225" s="179">
        <f ca="1">IF(ISNUMBER(MATCH(DATEVALUE($A225),'recurring1_based on steps'!I$1:I$400,0)),I$2,)</f>
        <v>0</v>
      </c>
      <c r="J225" s="179">
        <f ca="1">IF(ISNUMBER(MATCH(DATEVALUE($A225),'recurring1_based on steps'!J$1:J$400,0)),J$2,)</f>
        <v>0</v>
      </c>
      <c r="K225" s="179">
        <f ca="1">IF(ISNUMBER(MATCH(DATEVALUE($A225),'recurring1_based on steps'!K$1:K$400,0)),K$2,)</f>
        <v>0</v>
      </c>
      <c r="L225" s="179">
        <f ca="1">IF(ISNUMBER(MATCH(DATEVALUE($A225),'recurring1_based on steps'!L$1:L$400,0)),L$2,)</f>
        <v>0</v>
      </c>
      <c r="M225" s="179">
        <f ca="1">IF(ISNUMBER(MATCH(DATEVALUE($A225),'recurring1_based on steps'!M$1:M$400,0)),M$2,)</f>
        <v>0</v>
      </c>
      <c r="N225" s="179">
        <f ca="1">IF(ISNUMBER(MATCH(DATEVALUE($A225),'recurring1_based on steps'!N$1:N$400,0)),N$2,)</f>
        <v>0</v>
      </c>
      <c r="O225" s="179">
        <f ca="1">IF(ISNUMBER(MATCH(DATEVALUE($A225),'recurring1_based on steps'!O$1:O$400,0)),O$2,)</f>
        <v>0</v>
      </c>
      <c r="P225" s="179">
        <f ca="1">IF(ISNUMBER(MATCH(DATEVALUE($A225),'recurring1_based on steps'!P$1:P$400,0)),P$2,)</f>
        <v>0</v>
      </c>
      <c r="Q225" s="179">
        <f ca="1">IF(ISNUMBER(MATCH(DATEVALUE($A225),'recurring1_based on steps'!Q$1:Q$400,0)),Q$2,)</f>
        <v>0</v>
      </c>
      <c r="R225" s="179">
        <f ca="1">IF(ISNUMBER(MATCH(DATEVALUE($A225),'recurring1_based on steps'!R$1:R$400,0)),R$2,)</f>
        <v>0</v>
      </c>
      <c r="S225" s="179">
        <f ca="1">IF(ISNUMBER(MATCH(DATEVALUE($A225),'recurring1_based on steps'!S$1:S$400,0)),S$2,)</f>
        <v>0</v>
      </c>
      <c r="T225" s="179">
        <f ca="1">IF(ISNUMBER(MATCH(DATEVALUE($A225),'recurring1_based on steps'!T$1:T$400,0)),T$2,)</f>
        <v>0</v>
      </c>
      <c r="U225" s="179">
        <f ca="1">IF(ISNUMBER(MATCH(DATEVALUE($A225),'recurring1_based on steps'!U$1:U$400,0)),U$2,)</f>
        <v>0</v>
      </c>
      <c r="V225" s="179">
        <f ca="1">IF(ISNUMBER(MATCH(DATEVALUE($A225),'recurring1_based on steps'!V$1:V$400,0)),V$2,)</f>
        <v>0</v>
      </c>
      <c r="W225" s="179">
        <f ca="1">IF(ISNUMBER(MATCH(DATEVALUE($A225),'recurring1_based on steps'!W$1:W$400,0)),W$2,)</f>
        <v>0</v>
      </c>
      <c r="X225" s="179">
        <f ca="1">IF(ISNUMBER(MATCH(DATEVALUE($A225),'recurring1_based on steps'!X$1:X$400,0)),X$2,)</f>
        <v>0</v>
      </c>
      <c r="Y225" s="179">
        <f ca="1">IF(ISNUMBER(MATCH(DATEVALUE($A225),'recurring1_based on steps'!Y$1:Y$400,0)),Y$2,)</f>
        <v>0</v>
      </c>
      <c r="Z225" s="179">
        <f ca="1">IF(ISNUMBER(MATCH(DATEVALUE($A225),'recurring1_based on steps'!Z$1:Z$400,0)),Z$2,)</f>
        <v>0</v>
      </c>
      <c r="AA225" s="179">
        <f ca="1">IF(ISNUMBER(MATCH(DATEVALUE($A225),'recurring1_based on steps'!AA$1:AA$400,0)),AA$2,)</f>
        <v>0</v>
      </c>
      <c r="AB225" s="179">
        <f ca="1">IF(ISNUMBER(MATCH(DATEVALUE($A225),'recurring1_based on steps'!AB$1:AB$400,0)),AB$2,)</f>
        <v>0</v>
      </c>
      <c r="AC225" s="179">
        <f ca="1">IF(ISNUMBER(MATCH(DATEVALUE($A225),'recurring1_based on steps'!AC$1:AC$400,0)),AC$2,)</f>
        <v>0</v>
      </c>
      <c r="AD225" s="179">
        <f ca="1">IF(ISNUMBER(MATCH(DATEVALUE($A225),'recurring1_based on steps'!AD$1:AD$400,0)),AD$2,)</f>
        <v>0</v>
      </c>
      <c r="AE225" s="179">
        <f ca="1">IF(ISNUMBER(MATCH(DATEVALUE($A225),'recurring1_based on steps'!AE$1:AE$400,0)),AE$2,)</f>
        <v>0</v>
      </c>
      <c r="AF225" s="179">
        <f ca="1">IF(ISNUMBER(MATCH(DATEVALUE($A225),'recurring1_based on steps'!AF$1:AF$400,0)),AF$2,)</f>
        <v>0</v>
      </c>
      <c r="AG225" s="179">
        <f ca="1">IF(ISNUMBER(MATCH(DATEVALUE($A225),'recurring1_based on steps'!AG$1:AG$400,0)),AG$2,)</f>
        <v>0</v>
      </c>
      <c r="AH225" s="179">
        <f ca="1">IF(ISNUMBER(MATCH(DATEVALUE($A225),'recurring1_based on steps'!AH$1:AH$400,0)),AH$2,)</f>
        <v>0</v>
      </c>
      <c r="AI225" s="179">
        <f ca="1">IF(ISNUMBER(MATCH(DATEVALUE($A225),'recurring1_based on steps'!AI$1:AI$400,0)),AI$2,)</f>
        <v>0</v>
      </c>
      <c r="AJ225" s="179">
        <f ca="1">IF(ISNUMBER(MATCH(DATEVALUE($A225),'recurring1_based on steps'!AJ$1:AJ$400,0)),AJ$2,)</f>
        <v>0</v>
      </c>
      <c r="AK225" s="179">
        <f ca="1">IF(ISNUMBER(MATCH(DATEVALUE($A225),'recurring1_based on steps'!AK$1:AK$400,0)),AK$2,)</f>
        <v>0</v>
      </c>
      <c r="AL225" s="179">
        <f ca="1">IF(ISNUMBER(MATCH(DATEVALUE($A225),'recurring1_based on steps'!AL$1:AL$400,0)),AL$2,)</f>
        <v>0</v>
      </c>
      <c r="AM225" s="179">
        <f ca="1">IF(ISNUMBER(MATCH(DATEVALUE($A225),'recurring1_based on steps'!AM$1:AM$400,0)),AM$2,)</f>
        <v>0</v>
      </c>
      <c r="AN225" s="179">
        <f ca="1">IF(ISNUMBER(MATCH(DATEVALUE($A225),'recurring1_based on steps'!AN$1:AN$400,0)),AN$2,)</f>
        <v>0</v>
      </c>
      <c r="AO225" s="179">
        <f ca="1">IF(ISNUMBER(MATCH(DATEVALUE($A225),'recurring1_based on steps'!AO$1:AO$400,0)),AO$2,)</f>
        <v>0</v>
      </c>
      <c r="AP225" s="179">
        <f ca="1">IF(ISNUMBER(MATCH(DATEVALUE($A225),'recurring1_based on steps'!AP$1:AP$400,0)),AP$2,)</f>
        <v>0</v>
      </c>
      <c r="AQ225" s="179">
        <f ca="1">IF(ISNUMBER(MATCH(DATEVALUE($A225),'recurring1_based on steps'!AQ$1:AQ$400,0)),AQ$2,)</f>
        <v>0</v>
      </c>
      <c r="AR225" s="179">
        <f ca="1">IF(ISNUMBER(MATCH(DATEVALUE($A225),'recurring1_based on steps'!AR$1:AR$400,0)),AR$2,)</f>
        <v>0</v>
      </c>
      <c r="AS225" s="179">
        <f ca="1">IF(ISNUMBER(MATCH(DATEVALUE($A225),'recurring1_based on steps'!AS$1:AS$400,0)),AS$2,)</f>
        <v>0</v>
      </c>
      <c r="AT225" s="179">
        <f ca="1">IF(ISNUMBER(MATCH(DATEVALUE($A225),'recurring1_based on steps'!AT$1:AT$400,0)),AT$2,)</f>
        <v>0</v>
      </c>
      <c r="AU225" s="179">
        <f ca="1">IF(ISNUMBER(MATCH(DATEVALUE($A225),'recurring1_based on steps'!AU$1:AU$400,0)),AU$2,)</f>
        <v>0</v>
      </c>
      <c r="AV225" s="179">
        <f ca="1">IF(ISNUMBER(MATCH(DATEVALUE($A225),'recurring1_based on steps'!AV$1:AV$400,0)),AV$2,)</f>
        <v>0</v>
      </c>
      <c r="AW225" s="179">
        <f ca="1">IF(ISNUMBER(MATCH(DATEVALUE($A225),'recurring1_based on steps'!AW$1:AW$400,0)),AW$2,)</f>
        <v>0</v>
      </c>
      <c r="AX225" s="179">
        <f ca="1">IF(ISNUMBER(MATCH(DATEVALUE($A225),'recurring1_based on steps'!AX$1:AX$400,0)),AX$2,)</f>
        <v>0</v>
      </c>
      <c r="AY225" s="179">
        <f ca="1">IF(ISNUMBER(MATCH(DATEVALUE($A225),'recurring1_based on steps'!AY$1:AY$400,0)),AY$2,)</f>
        <v>0</v>
      </c>
    </row>
    <row r="226" spans="1:51" x14ac:dyDescent="0.2">
      <c r="A226" s="32" t="str">
        <f t="shared" ca="1" si="3"/>
        <v>2025-11-14</v>
      </c>
      <c r="B226" s="179">
        <f ca="1">IF(ISNUMBER(MATCH(DATEVALUE($A226),'recurring1_based on steps'!B$1:B$400,0)),B$2,)</f>
        <v>0</v>
      </c>
      <c r="C226" s="179">
        <f ca="1">IF(ISNUMBER(MATCH(DATEVALUE($A226),'recurring1_based on steps'!C$1:C$400,0)),C$2,)</f>
        <v>0</v>
      </c>
      <c r="D226" s="179">
        <f ca="1">IF(ISNUMBER(MATCH(DATEVALUE($A226),'recurring1_based on steps'!D$1:D$400,0)),D$2,)</f>
        <v>0</v>
      </c>
      <c r="E226" s="179">
        <f ca="1">IF(ISNUMBER(MATCH(DATEVALUE($A226),'recurring1_based on steps'!E$1:E$400,0)),E$2,)</f>
        <v>0</v>
      </c>
      <c r="F226" s="179">
        <f ca="1">IF(ISNUMBER(MATCH(DATEVALUE($A226),'recurring1_based on steps'!F$1:F$400,0)),F$2,)</f>
        <v>0</v>
      </c>
      <c r="G226" s="179">
        <f ca="1">IF(ISNUMBER(MATCH(DATEVALUE($A226),'recurring1_based on steps'!G$1:G$400,0)),G$2,)</f>
        <v>0</v>
      </c>
      <c r="H226" s="179">
        <f ca="1">IF(ISNUMBER(MATCH(DATEVALUE($A226),'recurring1_based on steps'!H$1:H$400,0)),H$2,)</f>
        <v>0</v>
      </c>
      <c r="I226" s="179">
        <f ca="1">IF(ISNUMBER(MATCH(DATEVALUE($A226),'recurring1_based on steps'!I$1:I$400,0)),I$2,)</f>
        <v>0</v>
      </c>
      <c r="J226" s="179">
        <f ca="1">IF(ISNUMBER(MATCH(DATEVALUE($A226),'recurring1_based on steps'!J$1:J$400,0)),J$2,)</f>
        <v>0</v>
      </c>
      <c r="K226" s="179">
        <f ca="1">IF(ISNUMBER(MATCH(DATEVALUE($A226),'recurring1_based on steps'!K$1:K$400,0)),K$2,)</f>
        <v>0</v>
      </c>
      <c r="L226" s="179">
        <f ca="1">IF(ISNUMBER(MATCH(DATEVALUE($A226),'recurring1_based on steps'!L$1:L$400,0)),L$2,)</f>
        <v>0</v>
      </c>
      <c r="M226" s="179">
        <f ca="1">IF(ISNUMBER(MATCH(DATEVALUE($A226),'recurring1_based on steps'!M$1:M$400,0)),M$2,)</f>
        <v>0</v>
      </c>
      <c r="N226" s="179">
        <f ca="1">IF(ISNUMBER(MATCH(DATEVALUE($A226),'recurring1_based on steps'!N$1:N$400,0)),N$2,)</f>
        <v>0</v>
      </c>
      <c r="O226" s="179">
        <f ca="1">IF(ISNUMBER(MATCH(DATEVALUE($A226),'recurring1_based on steps'!O$1:O$400,0)),O$2,)</f>
        <v>0</v>
      </c>
      <c r="P226" s="179">
        <f ca="1">IF(ISNUMBER(MATCH(DATEVALUE($A226),'recurring1_based on steps'!P$1:P$400,0)),P$2,)</f>
        <v>0</v>
      </c>
      <c r="Q226" s="179">
        <f ca="1">IF(ISNUMBER(MATCH(DATEVALUE($A226),'recurring1_based on steps'!Q$1:Q$400,0)),Q$2,)</f>
        <v>0</v>
      </c>
      <c r="R226" s="179">
        <f ca="1">IF(ISNUMBER(MATCH(DATEVALUE($A226),'recurring1_based on steps'!R$1:R$400,0)),R$2,)</f>
        <v>0</v>
      </c>
      <c r="S226" s="179">
        <f ca="1">IF(ISNUMBER(MATCH(DATEVALUE($A226),'recurring1_based on steps'!S$1:S$400,0)),S$2,)</f>
        <v>0</v>
      </c>
      <c r="T226" s="179">
        <f ca="1">IF(ISNUMBER(MATCH(DATEVALUE($A226),'recurring1_based on steps'!T$1:T$400,0)),T$2,)</f>
        <v>0</v>
      </c>
      <c r="U226" s="179">
        <f ca="1">IF(ISNUMBER(MATCH(DATEVALUE($A226),'recurring1_based on steps'!U$1:U$400,0)),U$2,)</f>
        <v>0</v>
      </c>
      <c r="V226" s="179">
        <f ca="1">IF(ISNUMBER(MATCH(DATEVALUE($A226),'recurring1_based on steps'!V$1:V$400,0)),V$2,)</f>
        <v>0</v>
      </c>
      <c r="W226" s="179">
        <f ca="1">IF(ISNUMBER(MATCH(DATEVALUE($A226),'recurring1_based on steps'!W$1:W$400,0)),W$2,)</f>
        <v>0</v>
      </c>
      <c r="X226" s="179">
        <f ca="1">IF(ISNUMBER(MATCH(DATEVALUE($A226),'recurring1_based on steps'!X$1:X$400,0)),X$2,)</f>
        <v>0</v>
      </c>
      <c r="Y226" s="179">
        <f ca="1">IF(ISNUMBER(MATCH(DATEVALUE($A226),'recurring1_based on steps'!Y$1:Y$400,0)),Y$2,)</f>
        <v>0</v>
      </c>
      <c r="Z226" s="179">
        <f ca="1">IF(ISNUMBER(MATCH(DATEVALUE($A226),'recurring1_based on steps'!Z$1:Z$400,0)),Z$2,)</f>
        <v>0</v>
      </c>
      <c r="AA226" s="179">
        <f ca="1">IF(ISNUMBER(MATCH(DATEVALUE($A226),'recurring1_based on steps'!AA$1:AA$400,0)),AA$2,)</f>
        <v>0</v>
      </c>
      <c r="AB226" s="179">
        <f ca="1">IF(ISNUMBER(MATCH(DATEVALUE($A226),'recurring1_based on steps'!AB$1:AB$400,0)),AB$2,)</f>
        <v>0</v>
      </c>
      <c r="AC226" s="179">
        <f ca="1">IF(ISNUMBER(MATCH(DATEVALUE($A226),'recurring1_based on steps'!AC$1:AC$400,0)),AC$2,)</f>
        <v>0</v>
      </c>
      <c r="AD226" s="179">
        <f ca="1">IF(ISNUMBER(MATCH(DATEVALUE($A226),'recurring1_based on steps'!AD$1:AD$400,0)),AD$2,)</f>
        <v>0</v>
      </c>
      <c r="AE226" s="179">
        <f ca="1">IF(ISNUMBER(MATCH(DATEVALUE($A226),'recurring1_based on steps'!AE$1:AE$400,0)),AE$2,)</f>
        <v>0</v>
      </c>
      <c r="AF226" s="179">
        <f ca="1">IF(ISNUMBER(MATCH(DATEVALUE($A226),'recurring1_based on steps'!AF$1:AF$400,0)),AF$2,)</f>
        <v>0</v>
      </c>
      <c r="AG226" s="179">
        <f ca="1">IF(ISNUMBER(MATCH(DATEVALUE($A226),'recurring1_based on steps'!AG$1:AG$400,0)),AG$2,)</f>
        <v>0</v>
      </c>
      <c r="AH226" s="179">
        <f ca="1">IF(ISNUMBER(MATCH(DATEVALUE($A226),'recurring1_based on steps'!AH$1:AH$400,0)),AH$2,)</f>
        <v>0</v>
      </c>
      <c r="AI226" s="179">
        <f ca="1">IF(ISNUMBER(MATCH(DATEVALUE($A226),'recurring1_based on steps'!AI$1:AI$400,0)),AI$2,)</f>
        <v>0</v>
      </c>
      <c r="AJ226" s="179">
        <f ca="1">IF(ISNUMBER(MATCH(DATEVALUE($A226),'recurring1_based on steps'!AJ$1:AJ$400,0)),AJ$2,)</f>
        <v>0</v>
      </c>
      <c r="AK226" s="179">
        <f ca="1">IF(ISNUMBER(MATCH(DATEVALUE($A226),'recurring1_based on steps'!AK$1:AK$400,0)),AK$2,)</f>
        <v>0</v>
      </c>
      <c r="AL226" s="179">
        <f ca="1">IF(ISNUMBER(MATCH(DATEVALUE($A226),'recurring1_based on steps'!AL$1:AL$400,0)),AL$2,)</f>
        <v>0</v>
      </c>
      <c r="AM226" s="179">
        <f ca="1">IF(ISNUMBER(MATCH(DATEVALUE($A226),'recurring1_based on steps'!AM$1:AM$400,0)),AM$2,)</f>
        <v>0</v>
      </c>
      <c r="AN226" s="179">
        <f ca="1">IF(ISNUMBER(MATCH(DATEVALUE($A226),'recurring1_based on steps'!AN$1:AN$400,0)),AN$2,)</f>
        <v>0</v>
      </c>
      <c r="AO226" s="179">
        <f ca="1">IF(ISNUMBER(MATCH(DATEVALUE($A226),'recurring1_based on steps'!AO$1:AO$400,0)),AO$2,)</f>
        <v>0</v>
      </c>
      <c r="AP226" s="179">
        <f ca="1">IF(ISNUMBER(MATCH(DATEVALUE($A226),'recurring1_based on steps'!AP$1:AP$400,0)),AP$2,)</f>
        <v>0</v>
      </c>
      <c r="AQ226" s="179">
        <f ca="1">IF(ISNUMBER(MATCH(DATEVALUE($A226),'recurring1_based on steps'!AQ$1:AQ$400,0)),AQ$2,)</f>
        <v>0</v>
      </c>
      <c r="AR226" s="179">
        <f ca="1">IF(ISNUMBER(MATCH(DATEVALUE($A226),'recurring1_based on steps'!AR$1:AR$400,0)),AR$2,)</f>
        <v>0</v>
      </c>
      <c r="AS226" s="179">
        <f ca="1">IF(ISNUMBER(MATCH(DATEVALUE($A226),'recurring1_based on steps'!AS$1:AS$400,0)),AS$2,)</f>
        <v>0</v>
      </c>
      <c r="AT226" s="179">
        <f ca="1">IF(ISNUMBER(MATCH(DATEVALUE($A226),'recurring1_based on steps'!AT$1:AT$400,0)),AT$2,)</f>
        <v>0</v>
      </c>
      <c r="AU226" s="179">
        <f ca="1">IF(ISNUMBER(MATCH(DATEVALUE($A226),'recurring1_based on steps'!AU$1:AU$400,0)),AU$2,)</f>
        <v>0</v>
      </c>
      <c r="AV226" s="179">
        <f ca="1">IF(ISNUMBER(MATCH(DATEVALUE($A226),'recurring1_based on steps'!AV$1:AV$400,0)),AV$2,)</f>
        <v>0</v>
      </c>
      <c r="AW226" s="179">
        <f ca="1">IF(ISNUMBER(MATCH(DATEVALUE($A226),'recurring1_based on steps'!AW$1:AW$400,0)),AW$2,)</f>
        <v>0</v>
      </c>
      <c r="AX226" s="179">
        <f ca="1">IF(ISNUMBER(MATCH(DATEVALUE($A226),'recurring1_based on steps'!AX$1:AX$400,0)),AX$2,)</f>
        <v>0</v>
      </c>
      <c r="AY226" s="179">
        <f ca="1">IF(ISNUMBER(MATCH(DATEVALUE($A226),'recurring1_based on steps'!AY$1:AY$400,0)),AY$2,)</f>
        <v>0</v>
      </c>
    </row>
    <row r="227" spans="1:51" x14ac:dyDescent="0.2">
      <c r="A227" s="32" t="str">
        <f t="shared" ca="1" si="3"/>
        <v>2025-11-15</v>
      </c>
      <c r="B227" s="179">
        <f ca="1">IF(ISNUMBER(MATCH(DATEVALUE($A227),'recurring1_based on steps'!B$1:B$400,0)),B$2,)</f>
        <v>0</v>
      </c>
      <c r="C227" s="179">
        <f ca="1">IF(ISNUMBER(MATCH(DATEVALUE($A227),'recurring1_based on steps'!C$1:C$400,0)),C$2,)</f>
        <v>0</v>
      </c>
      <c r="D227" s="179">
        <f ca="1">IF(ISNUMBER(MATCH(DATEVALUE($A227),'recurring1_based on steps'!D$1:D$400,0)),D$2,)</f>
        <v>0</v>
      </c>
      <c r="E227" s="179">
        <f ca="1">IF(ISNUMBER(MATCH(DATEVALUE($A227),'recurring1_based on steps'!E$1:E$400,0)),E$2,)</f>
        <v>0</v>
      </c>
      <c r="F227" s="179">
        <f ca="1">IF(ISNUMBER(MATCH(DATEVALUE($A227),'recurring1_based on steps'!F$1:F$400,0)),F$2,)</f>
        <v>0</v>
      </c>
      <c r="G227" s="179">
        <f ca="1">IF(ISNUMBER(MATCH(DATEVALUE($A227),'recurring1_based on steps'!G$1:G$400,0)),G$2,)</f>
        <v>0</v>
      </c>
      <c r="H227" s="179">
        <f ca="1">IF(ISNUMBER(MATCH(DATEVALUE($A227),'recurring1_based on steps'!H$1:H$400,0)),H$2,)</f>
        <v>0</v>
      </c>
      <c r="I227" s="179">
        <f ca="1">IF(ISNUMBER(MATCH(DATEVALUE($A227),'recurring1_based on steps'!I$1:I$400,0)),I$2,)</f>
        <v>0</v>
      </c>
      <c r="J227" s="179">
        <f ca="1">IF(ISNUMBER(MATCH(DATEVALUE($A227),'recurring1_based on steps'!J$1:J$400,0)),J$2,)</f>
        <v>0</v>
      </c>
      <c r="K227" s="179">
        <f ca="1">IF(ISNUMBER(MATCH(DATEVALUE($A227),'recurring1_based on steps'!K$1:K$400,0)),K$2,)</f>
        <v>0</v>
      </c>
      <c r="L227" s="179">
        <f ca="1">IF(ISNUMBER(MATCH(DATEVALUE($A227),'recurring1_based on steps'!L$1:L$400,0)),L$2,)</f>
        <v>0</v>
      </c>
      <c r="M227" s="179">
        <f ca="1">IF(ISNUMBER(MATCH(DATEVALUE($A227),'recurring1_based on steps'!M$1:M$400,0)),M$2,)</f>
        <v>0</v>
      </c>
      <c r="N227" s="179">
        <f ca="1">IF(ISNUMBER(MATCH(DATEVALUE($A227),'recurring1_based on steps'!N$1:N$400,0)),N$2,)</f>
        <v>0</v>
      </c>
      <c r="O227" s="179">
        <f ca="1">IF(ISNUMBER(MATCH(DATEVALUE($A227),'recurring1_based on steps'!O$1:O$400,0)),O$2,)</f>
        <v>0</v>
      </c>
      <c r="P227" s="179">
        <f ca="1">IF(ISNUMBER(MATCH(DATEVALUE($A227),'recurring1_based on steps'!P$1:P$400,0)),P$2,)</f>
        <v>0</v>
      </c>
      <c r="Q227" s="179">
        <f ca="1">IF(ISNUMBER(MATCH(DATEVALUE($A227),'recurring1_based on steps'!Q$1:Q$400,0)),Q$2,)</f>
        <v>0</v>
      </c>
      <c r="R227" s="179">
        <f ca="1">IF(ISNUMBER(MATCH(DATEVALUE($A227),'recurring1_based on steps'!R$1:R$400,0)),R$2,)</f>
        <v>0</v>
      </c>
      <c r="S227" s="179">
        <f ca="1">IF(ISNUMBER(MATCH(DATEVALUE($A227),'recurring1_based on steps'!S$1:S$400,0)),S$2,)</f>
        <v>0</v>
      </c>
      <c r="T227" s="179">
        <f ca="1">IF(ISNUMBER(MATCH(DATEVALUE($A227),'recurring1_based on steps'!T$1:T$400,0)),T$2,)</f>
        <v>0</v>
      </c>
      <c r="U227" s="179">
        <f ca="1">IF(ISNUMBER(MATCH(DATEVALUE($A227),'recurring1_based on steps'!U$1:U$400,0)),U$2,)</f>
        <v>0</v>
      </c>
      <c r="V227" s="179">
        <f ca="1">IF(ISNUMBER(MATCH(DATEVALUE($A227),'recurring1_based on steps'!V$1:V$400,0)),V$2,)</f>
        <v>0</v>
      </c>
      <c r="W227" s="179">
        <f ca="1">IF(ISNUMBER(MATCH(DATEVALUE($A227),'recurring1_based on steps'!W$1:W$400,0)),W$2,)</f>
        <v>0</v>
      </c>
      <c r="X227" s="179">
        <f ca="1">IF(ISNUMBER(MATCH(DATEVALUE($A227),'recurring1_based on steps'!X$1:X$400,0)),X$2,)</f>
        <v>0</v>
      </c>
      <c r="Y227" s="179">
        <f ca="1">IF(ISNUMBER(MATCH(DATEVALUE($A227),'recurring1_based on steps'!Y$1:Y$400,0)),Y$2,)</f>
        <v>0</v>
      </c>
      <c r="Z227" s="179">
        <f ca="1">IF(ISNUMBER(MATCH(DATEVALUE($A227),'recurring1_based on steps'!Z$1:Z$400,0)),Z$2,)</f>
        <v>0</v>
      </c>
      <c r="AA227" s="179">
        <f ca="1">IF(ISNUMBER(MATCH(DATEVALUE($A227),'recurring1_based on steps'!AA$1:AA$400,0)),AA$2,)</f>
        <v>0</v>
      </c>
      <c r="AB227" s="179">
        <f ca="1">IF(ISNUMBER(MATCH(DATEVALUE($A227),'recurring1_based on steps'!AB$1:AB$400,0)),AB$2,)</f>
        <v>0</v>
      </c>
      <c r="AC227" s="179">
        <f ca="1">IF(ISNUMBER(MATCH(DATEVALUE($A227),'recurring1_based on steps'!AC$1:AC$400,0)),AC$2,)</f>
        <v>0</v>
      </c>
      <c r="AD227" s="179">
        <f ca="1">IF(ISNUMBER(MATCH(DATEVALUE($A227),'recurring1_based on steps'!AD$1:AD$400,0)),AD$2,)</f>
        <v>0</v>
      </c>
      <c r="AE227" s="179">
        <f ca="1">IF(ISNUMBER(MATCH(DATEVALUE($A227),'recurring1_based on steps'!AE$1:AE$400,0)),AE$2,)</f>
        <v>0</v>
      </c>
      <c r="AF227" s="179">
        <f ca="1">IF(ISNUMBER(MATCH(DATEVALUE($A227),'recurring1_based on steps'!AF$1:AF$400,0)),AF$2,)</f>
        <v>0</v>
      </c>
      <c r="AG227" s="179">
        <f ca="1">IF(ISNUMBER(MATCH(DATEVALUE($A227),'recurring1_based on steps'!AG$1:AG$400,0)),AG$2,)</f>
        <v>0</v>
      </c>
      <c r="AH227" s="179">
        <f ca="1">IF(ISNUMBER(MATCH(DATEVALUE($A227),'recurring1_based on steps'!AH$1:AH$400,0)),AH$2,)</f>
        <v>0</v>
      </c>
      <c r="AI227" s="179">
        <f ca="1">IF(ISNUMBER(MATCH(DATEVALUE($A227),'recurring1_based on steps'!AI$1:AI$400,0)),AI$2,)</f>
        <v>0</v>
      </c>
      <c r="AJ227" s="179">
        <f ca="1">IF(ISNUMBER(MATCH(DATEVALUE($A227),'recurring1_based on steps'!AJ$1:AJ$400,0)),AJ$2,)</f>
        <v>0</v>
      </c>
      <c r="AK227" s="179">
        <f ca="1">IF(ISNUMBER(MATCH(DATEVALUE($A227),'recurring1_based on steps'!AK$1:AK$400,0)),AK$2,)</f>
        <v>0</v>
      </c>
      <c r="AL227" s="179">
        <f ca="1">IF(ISNUMBER(MATCH(DATEVALUE($A227),'recurring1_based on steps'!AL$1:AL$400,0)),AL$2,)</f>
        <v>0</v>
      </c>
      <c r="AM227" s="179">
        <f ca="1">IF(ISNUMBER(MATCH(DATEVALUE($A227),'recurring1_based on steps'!AM$1:AM$400,0)),AM$2,)</f>
        <v>0</v>
      </c>
      <c r="AN227" s="179">
        <f ca="1">IF(ISNUMBER(MATCH(DATEVALUE($A227),'recurring1_based on steps'!AN$1:AN$400,0)),AN$2,)</f>
        <v>0</v>
      </c>
      <c r="AO227" s="179">
        <f ca="1">IF(ISNUMBER(MATCH(DATEVALUE($A227),'recurring1_based on steps'!AO$1:AO$400,0)),AO$2,)</f>
        <v>0</v>
      </c>
      <c r="AP227" s="179">
        <f ca="1">IF(ISNUMBER(MATCH(DATEVALUE($A227),'recurring1_based on steps'!AP$1:AP$400,0)),AP$2,)</f>
        <v>0</v>
      </c>
      <c r="AQ227" s="179">
        <f ca="1">IF(ISNUMBER(MATCH(DATEVALUE($A227),'recurring1_based on steps'!AQ$1:AQ$400,0)),AQ$2,)</f>
        <v>0</v>
      </c>
      <c r="AR227" s="179">
        <f ca="1">IF(ISNUMBER(MATCH(DATEVALUE($A227),'recurring1_based on steps'!AR$1:AR$400,0)),AR$2,)</f>
        <v>0</v>
      </c>
      <c r="AS227" s="179">
        <f ca="1">IF(ISNUMBER(MATCH(DATEVALUE($A227),'recurring1_based on steps'!AS$1:AS$400,0)),AS$2,)</f>
        <v>0</v>
      </c>
      <c r="AT227" s="179">
        <f ca="1">IF(ISNUMBER(MATCH(DATEVALUE($A227),'recurring1_based on steps'!AT$1:AT$400,0)),AT$2,)</f>
        <v>0</v>
      </c>
      <c r="AU227" s="179">
        <f ca="1">IF(ISNUMBER(MATCH(DATEVALUE($A227),'recurring1_based on steps'!AU$1:AU$400,0)),AU$2,)</f>
        <v>0</v>
      </c>
      <c r="AV227" s="179">
        <f ca="1">IF(ISNUMBER(MATCH(DATEVALUE($A227),'recurring1_based on steps'!AV$1:AV$400,0)),AV$2,)</f>
        <v>0</v>
      </c>
      <c r="AW227" s="179">
        <f ca="1">IF(ISNUMBER(MATCH(DATEVALUE($A227),'recurring1_based on steps'!AW$1:AW$400,0)),AW$2,)</f>
        <v>0</v>
      </c>
      <c r="AX227" s="179">
        <f ca="1">IF(ISNUMBER(MATCH(DATEVALUE($A227),'recurring1_based on steps'!AX$1:AX$400,0)),AX$2,)</f>
        <v>0</v>
      </c>
      <c r="AY227" s="179">
        <f ca="1">IF(ISNUMBER(MATCH(DATEVALUE($A227),'recurring1_based on steps'!AY$1:AY$400,0)),AY$2,)</f>
        <v>0</v>
      </c>
    </row>
    <row r="228" spans="1:51" x14ac:dyDescent="0.2">
      <c r="A228" s="32" t="str">
        <f t="shared" ca="1" si="3"/>
        <v>2025-11-16</v>
      </c>
      <c r="B228" s="179">
        <f ca="1">IF(ISNUMBER(MATCH(DATEVALUE($A228),'recurring1_based on steps'!B$1:B$400,0)),B$2,)</f>
        <v>0</v>
      </c>
      <c r="C228" s="179">
        <f ca="1">IF(ISNUMBER(MATCH(DATEVALUE($A228),'recurring1_based on steps'!C$1:C$400,0)),C$2,)</f>
        <v>0</v>
      </c>
      <c r="D228" s="179">
        <f ca="1">IF(ISNUMBER(MATCH(DATEVALUE($A228),'recurring1_based on steps'!D$1:D$400,0)),D$2,)</f>
        <v>0</v>
      </c>
      <c r="E228" s="179">
        <f ca="1">IF(ISNUMBER(MATCH(DATEVALUE($A228),'recurring1_based on steps'!E$1:E$400,0)),E$2,)</f>
        <v>0</v>
      </c>
      <c r="F228" s="179">
        <f ca="1">IF(ISNUMBER(MATCH(DATEVALUE($A228),'recurring1_based on steps'!F$1:F$400,0)),F$2,)</f>
        <v>0</v>
      </c>
      <c r="G228" s="179">
        <f ca="1">IF(ISNUMBER(MATCH(DATEVALUE($A228),'recurring1_based on steps'!G$1:G$400,0)),G$2,)</f>
        <v>0</v>
      </c>
      <c r="H228" s="179">
        <f ca="1">IF(ISNUMBER(MATCH(DATEVALUE($A228),'recurring1_based on steps'!H$1:H$400,0)),H$2,)</f>
        <v>0</v>
      </c>
      <c r="I228" s="179">
        <f ca="1">IF(ISNUMBER(MATCH(DATEVALUE($A228),'recurring1_based on steps'!I$1:I$400,0)),I$2,)</f>
        <v>0</v>
      </c>
      <c r="J228" s="179">
        <f ca="1">IF(ISNUMBER(MATCH(DATEVALUE($A228),'recurring1_based on steps'!J$1:J$400,0)),J$2,)</f>
        <v>0</v>
      </c>
      <c r="K228" s="179">
        <f ca="1">IF(ISNUMBER(MATCH(DATEVALUE($A228),'recurring1_based on steps'!K$1:K$400,0)),K$2,)</f>
        <v>0</v>
      </c>
      <c r="L228" s="179">
        <f ca="1">IF(ISNUMBER(MATCH(DATEVALUE($A228),'recurring1_based on steps'!L$1:L$400,0)),L$2,)</f>
        <v>0</v>
      </c>
      <c r="M228" s="179">
        <f ca="1">IF(ISNUMBER(MATCH(DATEVALUE($A228),'recurring1_based on steps'!M$1:M$400,0)),M$2,)</f>
        <v>0</v>
      </c>
      <c r="N228" s="179">
        <f ca="1">IF(ISNUMBER(MATCH(DATEVALUE($A228),'recurring1_based on steps'!N$1:N$400,0)),N$2,)</f>
        <v>0</v>
      </c>
      <c r="O228" s="179">
        <f ca="1">IF(ISNUMBER(MATCH(DATEVALUE($A228),'recurring1_based on steps'!O$1:O$400,0)),O$2,)</f>
        <v>0</v>
      </c>
      <c r="P228" s="179">
        <f ca="1">IF(ISNUMBER(MATCH(DATEVALUE($A228),'recurring1_based on steps'!P$1:P$400,0)),P$2,)</f>
        <v>0</v>
      </c>
      <c r="Q228" s="179">
        <f ca="1">IF(ISNUMBER(MATCH(DATEVALUE($A228),'recurring1_based on steps'!Q$1:Q$400,0)),Q$2,)</f>
        <v>0</v>
      </c>
      <c r="R228" s="179">
        <f ca="1">IF(ISNUMBER(MATCH(DATEVALUE($A228),'recurring1_based on steps'!R$1:R$400,0)),R$2,)</f>
        <v>0</v>
      </c>
      <c r="S228" s="179">
        <f ca="1">IF(ISNUMBER(MATCH(DATEVALUE($A228),'recurring1_based on steps'!S$1:S$400,0)),S$2,)</f>
        <v>0</v>
      </c>
      <c r="T228" s="179">
        <f ca="1">IF(ISNUMBER(MATCH(DATEVALUE($A228),'recurring1_based on steps'!T$1:T$400,0)),T$2,)</f>
        <v>0</v>
      </c>
      <c r="U228" s="179">
        <f ca="1">IF(ISNUMBER(MATCH(DATEVALUE($A228),'recurring1_based on steps'!U$1:U$400,0)),U$2,)</f>
        <v>0</v>
      </c>
      <c r="V228" s="179">
        <f ca="1">IF(ISNUMBER(MATCH(DATEVALUE($A228),'recurring1_based on steps'!V$1:V$400,0)),V$2,)</f>
        <v>0</v>
      </c>
      <c r="W228" s="179">
        <f ca="1">IF(ISNUMBER(MATCH(DATEVALUE($A228),'recurring1_based on steps'!W$1:W$400,0)),W$2,)</f>
        <v>0</v>
      </c>
      <c r="X228" s="179">
        <f ca="1">IF(ISNUMBER(MATCH(DATEVALUE($A228),'recurring1_based on steps'!X$1:X$400,0)),X$2,)</f>
        <v>0</v>
      </c>
      <c r="Y228" s="179">
        <f ca="1">IF(ISNUMBER(MATCH(DATEVALUE($A228),'recurring1_based on steps'!Y$1:Y$400,0)),Y$2,)</f>
        <v>0</v>
      </c>
      <c r="Z228" s="179">
        <f ca="1">IF(ISNUMBER(MATCH(DATEVALUE($A228),'recurring1_based on steps'!Z$1:Z$400,0)),Z$2,)</f>
        <v>0</v>
      </c>
      <c r="AA228" s="179">
        <f ca="1">IF(ISNUMBER(MATCH(DATEVALUE($A228),'recurring1_based on steps'!AA$1:AA$400,0)),AA$2,)</f>
        <v>0</v>
      </c>
      <c r="AB228" s="179">
        <f ca="1">IF(ISNUMBER(MATCH(DATEVALUE($A228),'recurring1_based on steps'!AB$1:AB$400,0)),AB$2,)</f>
        <v>0</v>
      </c>
      <c r="AC228" s="179">
        <f ca="1">IF(ISNUMBER(MATCH(DATEVALUE($A228),'recurring1_based on steps'!AC$1:AC$400,0)),AC$2,)</f>
        <v>0</v>
      </c>
      <c r="AD228" s="179">
        <f ca="1">IF(ISNUMBER(MATCH(DATEVALUE($A228),'recurring1_based on steps'!AD$1:AD$400,0)),AD$2,)</f>
        <v>0</v>
      </c>
      <c r="AE228" s="179">
        <f ca="1">IF(ISNUMBER(MATCH(DATEVALUE($A228),'recurring1_based on steps'!AE$1:AE$400,0)),AE$2,)</f>
        <v>0</v>
      </c>
      <c r="AF228" s="179">
        <f ca="1">IF(ISNUMBER(MATCH(DATEVALUE($A228),'recurring1_based on steps'!AF$1:AF$400,0)),AF$2,)</f>
        <v>0</v>
      </c>
      <c r="AG228" s="179">
        <f ca="1">IF(ISNUMBER(MATCH(DATEVALUE($A228),'recurring1_based on steps'!AG$1:AG$400,0)),AG$2,)</f>
        <v>0</v>
      </c>
      <c r="AH228" s="179">
        <f ca="1">IF(ISNUMBER(MATCH(DATEVALUE($A228),'recurring1_based on steps'!AH$1:AH$400,0)),AH$2,)</f>
        <v>0</v>
      </c>
      <c r="AI228" s="179">
        <f ca="1">IF(ISNUMBER(MATCH(DATEVALUE($A228),'recurring1_based on steps'!AI$1:AI$400,0)),AI$2,)</f>
        <v>0</v>
      </c>
      <c r="AJ228" s="179">
        <f ca="1">IF(ISNUMBER(MATCH(DATEVALUE($A228),'recurring1_based on steps'!AJ$1:AJ$400,0)),AJ$2,)</f>
        <v>0</v>
      </c>
      <c r="AK228" s="179">
        <f ca="1">IF(ISNUMBER(MATCH(DATEVALUE($A228),'recurring1_based on steps'!AK$1:AK$400,0)),AK$2,)</f>
        <v>0</v>
      </c>
      <c r="AL228" s="179">
        <f ca="1">IF(ISNUMBER(MATCH(DATEVALUE($A228),'recurring1_based on steps'!AL$1:AL$400,0)),AL$2,)</f>
        <v>0</v>
      </c>
      <c r="AM228" s="179">
        <f ca="1">IF(ISNUMBER(MATCH(DATEVALUE($A228),'recurring1_based on steps'!AM$1:AM$400,0)),AM$2,)</f>
        <v>0</v>
      </c>
      <c r="AN228" s="179">
        <f ca="1">IF(ISNUMBER(MATCH(DATEVALUE($A228),'recurring1_based on steps'!AN$1:AN$400,0)),AN$2,)</f>
        <v>0</v>
      </c>
      <c r="AO228" s="179">
        <f ca="1">IF(ISNUMBER(MATCH(DATEVALUE($A228),'recurring1_based on steps'!AO$1:AO$400,0)),AO$2,)</f>
        <v>0</v>
      </c>
      <c r="AP228" s="179">
        <f ca="1">IF(ISNUMBER(MATCH(DATEVALUE($A228),'recurring1_based on steps'!AP$1:AP$400,0)),AP$2,)</f>
        <v>0</v>
      </c>
      <c r="AQ228" s="179">
        <f ca="1">IF(ISNUMBER(MATCH(DATEVALUE($A228),'recurring1_based on steps'!AQ$1:AQ$400,0)),AQ$2,)</f>
        <v>0</v>
      </c>
      <c r="AR228" s="179">
        <f ca="1">IF(ISNUMBER(MATCH(DATEVALUE($A228),'recurring1_based on steps'!AR$1:AR$400,0)),AR$2,)</f>
        <v>0</v>
      </c>
      <c r="AS228" s="179">
        <f ca="1">IF(ISNUMBER(MATCH(DATEVALUE($A228),'recurring1_based on steps'!AS$1:AS$400,0)),AS$2,)</f>
        <v>0</v>
      </c>
      <c r="AT228" s="179">
        <f ca="1">IF(ISNUMBER(MATCH(DATEVALUE($A228),'recurring1_based on steps'!AT$1:AT$400,0)),AT$2,)</f>
        <v>0</v>
      </c>
      <c r="AU228" s="179">
        <f ca="1">IF(ISNUMBER(MATCH(DATEVALUE($A228),'recurring1_based on steps'!AU$1:AU$400,0)),AU$2,)</f>
        <v>0</v>
      </c>
      <c r="AV228" s="179">
        <f ca="1">IF(ISNUMBER(MATCH(DATEVALUE($A228),'recurring1_based on steps'!AV$1:AV$400,0)),AV$2,)</f>
        <v>0</v>
      </c>
      <c r="AW228" s="179">
        <f ca="1">IF(ISNUMBER(MATCH(DATEVALUE($A228),'recurring1_based on steps'!AW$1:AW$400,0)),AW$2,)</f>
        <v>0</v>
      </c>
      <c r="AX228" s="179">
        <f ca="1">IF(ISNUMBER(MATCH(DATEVALUE($A228),'recurring1_based on steps'!AX$1:AX$400,0)),AX$2,)</f>
        <v>0</v>
      </c>
      <c r="AY228" s="179">
        <f ca="1">IF(ISNUMBER(MATCH(DATEVALUE($A228),'recurring1_based on steps'!AY$1:AY$400,0)),AY$2,)</f>
        <v>0</v>
      </c>
    </row>
    <row r="229" spans="1:51" x14ac:dyDescent="0.2">
      <c r="A229" s="32" t="str">
        <f t="shared" ca="1" si="3"/>
        <v>2025-11-17</v>
      </c>
      <c r="B229" s="179">
        <f ca="1">IF(ISNUMBER(MATCH(DATEVALUE($A229),'recurring1_based on steps'!B$1:B$400,0)),B$2,)</f>
        <v>0</v>
      </c>
      <c r="C229" s="179">
        <f ca="1">IF(ISNUMBER(MATCH(DATEVALUE($A229),'recurring1_based on steps'!C$1:C$400,0)),C$2,)</f>
        <v>0</v>
      </c>
      <c r="D229" s="179">
        <f ca="1">IF(ISNUMBER(MATCH(DATEVALUE($A229),'recurring1_based on steps'!D$1:D$400,0)),D$2,)</f>
        <v>0</v>
      </c>
      <c r="E229" s="179">
        <f ca="1">IF(ISNUMBER(MATCH(DATEVALUE($A229),'recurring1_based on steps'!E$1:E$400,0)),E$2,)</f>
        <v>0</v>
      </c>
      <c r="F229" s="179">
        <f ca="1">IF(ISNUMBER(MATCH(DATEVALUE($A229),'recurring1_based on steps'!F$1:F$400,0)),F$2,)</f>
        <v>0</v>
      </c>
      <c r="G229" s="179">
        <f ca="1">IF(ISNUMBER(MATCH(DATEVALUE($A229),'recurring1_based on steps'!G$1:G$400,0)),G$2,)</f>
        <v>0</v>
      </c>
      <c r="H229" s="179">
        <f ca="1">IF(ISNUMBER(MATCH(DATEVALUE($A229),'recurring1_based on steps'!H$1:H$400,0)),H$2,)</f>
        <v>0</v>
      </c>
      <c r="I229" s="179">
        <f ca="1">IF(ISNUMBER(MATCH(DATEVALUE($A229),'recurring1_based on steps'!I$1:I$400,0)),I$2,)</f>
        <v>0</v>
      </c>
      <c r="J229" s="179">
        <f ca="1">IF(ISNUMBER(MATCH(DATEVALUE($A229),'recurring1_based on steps'!J$1:J$400,0)),J$2,)</f>
        <v>0</v>
      </c>
      <c r="K229" s="179">
        <f ca="1">IF(ISNUMBER(MATCH(DATEVALUE($A229),'recurring1_based on steps'!K$1:K$400,0)),K$2,)</f>
        <v>0</v>
      </c>
      <c r="L229" s="179">
        <f ca="1">IF(ISNUMBER(MATCH(DATEVALUE($A229),'recurring1_based on steps'!L$1:L$400,0)),L$2,)</f>
        <v>0</v>
      </c>
      <c r="M229" s="179">
        <f ca="1">IF(ISNUMBER(MATCH(DATEVALUE($A229),'recurring1_based on steps'!M$1:M$400,0)),M$2,)</f>
        <v>0</v>
      </c>
      <c r="N229" s="179">
        <f ca="1">IF(ISNUMBER(MATCH(DATEVALUE($A229),'recurring1_based on steps'!N$1:N$400,0)),N$2,)</f>
        <v>0</v>
      </c>
      <c r="O229" s="179">
        <f ca="1">IF(ISNUMBER(MATCH(DATEVALUE($A229),'recurring1_based on steps'!O$1:O$400,0)),O$2,)</f>
        <v>0</v>
      </c>
      <c r="P229" s="179">
        <f ca="1">IF(ISNUMBER(MATCH(DATEVALUE($A229),'recurring1_based on steps'!P$1:P$400,0)),P$2,)</f>
        <v>0</v>
      </c>
      <c r="Q229" s="179">
        <f ca="1">IF(ISNUMBER(MATCH(DATEVALUE($A229),'recurring1_based on steps'!Q$1:Q$400,0)),Q$2,)</f>
        <v>0</v>
      </c>
      <c r="R229" s="179">
        <f ca="1">IF(ISNUMBER(MATCH(DATEVALUE($A229),'recurring1_based on steps'!R$1:R$400,0)),R$2,)</f>
        <v>0</v>
      </c>
      <c r="S229" s="179">
        <f ca="1">IF(ISNUMBER(MATCH(DATEVALUE($A229),'recurring1_based on steps'!S$1:S$400,0)),S$2,)</f>
        <v>0</v>
      </c>
      <c r="T229" s="179">
        <f ca="1">IF(ISNUMBER(MATCH(DATEVALUE($A229),'recurring1_based on steps'!T$1:T$400,0)),T$2,)</f>
        <v>0</v>
      </c>
      <c r="U229" s="179">
        <f ca="1">IF(ISNUMBER(MATCH(DATEVALUE($A229),'recurring1_based on steps'!U$1:U$400,0)),U$2,)</f>
        <v>0</v>
      </c>
      <c r="V229" s="179">
        <f ca="1">IF(ISNUMBER(MATCH(DATEVALUE($A229),'recurring1_based on steps'!V$1:V$400,0)),V$2,)</f>
        <v>0</v>
      </c>
      <c r="W229" s="179">
        <f ca="1">IF(ISNUMBER(MATCH(DATEVALUE($A229),'recurring1_based on steps'!W$1:W$400,0)),W$2,)</f>
        <v>0</v>
      </c>
      <c r="X229" s="179">
        <f ca="1">IF(ISNUMBER(MATCH(DATEVALUE($A229),'recurring1_based on steps'!X$1:X$400,0)),X$2,)</f>
        <v>0</v>
      </c>
      <c r="Y229" s="179">
        <f ca="1">IF(ISNUMBER(MATCH(DATEVALUE($A229),'recurring1_based on steps'!Y$1:Y$400,0)),Y$2,)</f>
        <v>0</v>
      </c>
      <c r="Z229" s="179">
        <f ca="1">IF(ISNUMBER(MATCH(DATEVALUE($A229),'recurring1_based on steps'!Z$1:Z$400,0)),Z$2,)</f>
        <v>0</v>
      </c>
      <c r="AA229" s="179">
        <f ca="1">IF(ISNUMBER(MATCH(DATEVALUE($A229),'recurring1_based on steps'!AA$1:AA$400,0)),AA$2,)</f>
        <v>0</v>
      </c>
      <c r="AB229" s="179">
        <f ca="1">IF(ISNUMBER(MATCH(DATEVALUE($A229),'recurring1_based on steps'!AB$1:AB$400,0)),AB$2,)</f>
        <v>0</v>
      </c>
      <c r="AC229" s="179">
        <f ca="1">IF(ISNUMBER(MATCH(DATEVALUE($A229),'recurring1_based on steps'!AC$1:AC$400,0)),AC$2,)</f>
        <v>0</v>
      </c>
      <c r="AD229" s="179">
        <f ca="1">IF(ISNUMBER(MATCH(DATEVALUE($A229),'recurring1_based on steps'!AD$1:AD$400,0)),AD$2,)</f>
        <v>0</v>
      </c>
      <c r="AE229" s="179">
        <f ca="1">IF(ISNUMBER(MATCH(DATEVALUE($A229),'recurring1_based on steps'!AE$1:AE$400,0)),AE$2,)</f>
        <v>0</v>
      </c>
      <c r="AF229" s="179">
        <f ca="1">IF(ISNUMBER(MATCH(DATEVALUE($A229),'recurring1_based on steps'!AF$1:AF$400,0)),AF$2,)</f>
        <v>0</v>
      </c>
      <c r="AG229" s="179">
        <f ca="1">IF(ISNUMBER(MATCH(DATEVALUE($A229),'recurring1_based on steps'!AG$1:AG$400,0)),AG$2,)</f>
        <v>0</v>
      </c>
      <c r="AH229" s="179">
        <f ca="1">IF(ISNUMBER(MATCH(DATEVALUE($A229),'recurring1_based on steps'!AH$1:AH$400,0)),AH$2,)</f>
        <v>0</v>
      </c>
      <c r="AI229" s="179">
        <f ca="1">IF(ISNUMBER(MATCH(DATEVALUE($A229),'recurring1_based on steps'!AI$1:AI$400,0)),AI$2,)</f>
        <v>0</v>
      </c>
      <c r="AJ229" s="179">
        <f ca="1">IF(ISNUMBER(MATCH(DATEVALUE($A229),'recurring1_based on steps'!AJ$1:AJ$400,0)),AJ$2,)</f>
        <v>0</v>
      </c>
      <c r="AK229" s="179">
        <f ca="1">IF(ISNUMBER(MATCH(DATEVALUE($A229),'recurring1_based on steps'!AK$1:AK$400,0)),AK$2,)</f>
        <v>0</v>
      </c>
      <c r="AL229" s="179">
        <f ca="1">IF(ISNUMBER(MATCH(DATEVALUE($A229),'recurring1_based on steps'!AL$1:AL$400,0)),AL$2,)</f>
        <v>0</v>
      </c>
      <c r="AM229" s="179">
        <f ca="1">IF(ISNUMBER(MATCH(DATEVALUE($A229),'recurring1_based on steps'!AM$1:AM$400,0)),AM$2,)</f>
        <v>0</v>
      </c>
      <c r="AN229" s="179">
        <f ca="1">IF(ISNUMBER(MATCH(DATEVALUE($A229),'recurring1_based on steps'!AN$1:AN$400,0)),AN$2,)</f>
        <v>0</v>
      </c>
      <c r="AO229" s="179">
        <f ca="1">IF(ISNUMBER(MATCH(DATEVALUE($A229),'recurring1_based on steps'!AO$1:AO$400,0)),AO$2,)</f>
        <v>0</v>
      </c>
      <c r="AP229" s="179">
        <f ca="1">IF(ISNUMBER(MATCH(DATEVALUE($A229),'recurring1_based on steps'!AP$1:AP$400,0)),AP$2,)</f>
        <v>0</v>
      </c>
      <c r="AQ229" s="179">
        <f ca="1">IF(ISNUMBER(MATCH(DATEVALUE($A229),'recurring1_based on steps'!AQ$1:AQ$400,0)),AQ$2,)</f>
        <v>0</v>
      </c>
      <c r="AR229" s="179">
        <f ca="1">IF(ISNUMBER(MATCH(DATEVALUE($A229),'recurring1_based on steps'!AR$1:AR$400,0)),AR$2,)</f>
        <v>0</v>
      </c>
      <c r="AS229" s="179">
        <f ca="1">IF(ISNUMBER(MATCH(DATEVALUE($A229),'recurring1_based on steps'!AS$1:AS$400,0)),AS$2,)</f>
        <v>0</v>
      </c>
      <c r="AT229" s="179">
        <f ca="1">IF(ISNUMBER(MATCH(DATEVALUE($A229),'recurring1_based on steps'!AT$1:AT$400,0)),AT$2,)</f>
        <v>0</v>
      </c>
      <c r="AU229" s="179">
        <f ca="1">IF(ISNUMBER(MATCH(DATEVALUE($A229),'recurring1_based on steps'!AU$1:AU$400,0)),AU$2,)</f>
        <v>0</v>
      </c>
      <c r="AV229" s="179">
        <f ca="1">IF(ISNUMBER(MATCH(DATEVALUE($A229),'recurring1_based on steps'!AV$1:AV$400,0)),AV$2,)</f>
        <v>0</v>
      </c>
      <c r="AW229" s="179">
        <f ca="1">IF(ISNUMBER(MATCH(DATEVALUE($A229),'recurring1_based on steps'!AW$1:AW$400,0)),AW$2,)</f>
        <v>0</v>
      </c>
      <c r="AX229" s="179">
        <f ca="1">IF(ISNUMBER(MATCH(DATEVALUE($A229),'recurring1_based on steps'!AX$1:AX$400,0)),AX$2,)</f>
        <v>0</v>
      </c>
      <c r="AY229" s="179">
        <f ca="1">IF(ISNUMBER(MATCH(DATEVALUE($A229),'recurring1_based on steps'!AY$1:AY$400,0)),AY$2,)</f>
        <v>0</v>
      </c>
    </row>
    <row r="230" spans="1:51" x14ac:dyDescent="0.2">
      <c r="A230" s="32" t="str">
        <f t="shared" ca="1" si="3"/>
        <v>2025-11-18</v>
      </c>
      <c r="B230" s="179">
        <f ca="1">IF(ISNUMBER(MATCH(DATEVALUE($A230),'recurring1_based on steps'!B$1:B$400,0)),B$2,)</f>
        <v>0</v>
      </c>
      <c r="C230" s="179">
        <f ca="1">IF(ISNUMBER(MATCH(DATEVALUE($A230),'recurring1_based on steps'!C$1:C$400,0)),C$2,)</f>
        <v>0</v>
      </c>
      <c r="D230" s="179">
        <f ca="1">IF(ISNUMBER(MATCH(DATEVALUE($A230),'recurring1_based on steps'!D$1:D$400,0)),D$2,)</f>
        <v>0</v>
      </c>
      <c r="E230" s="179">
        <f ca="1">IF(ISNUMBER(MATCH(DATEVALUE($A230),'recurring1_based on steps'!E$1:E$400,0)),E$2,)</f>
        <v>0</v>
      </c>
      <c r="F230" s="179">
        <f ca="1">IF(ISNUMBER(MATCH(DATEVALUE($A230),'recurring1_based on steps'!F$1:F$400,0)),F$2,)</f>
        <v>0</v>
      </c>
      <c r="G230" s="179">
        <f ca="1">IF(ISNUMBER(MATCH(DATEVALUE($A230),'recurring1_based on steps'!G$1:G$400,0)),G$2,)</f>
        <v>0</v>
      </c>
      <c r="H230" s="179">
        <f ca="1">IF(ISNUMBER(MATCH(DATEVALUE($A230),'recurring1_based on steps'!H$1:H$400,0)),H$2,)</f>
        <v>0</v>
      </c>
      <c r="I230" s="179">
        <f ca="1">IF(ISNUMBER(MATCH(DATEVALUE($A230),'recurring1_based on steps'!I$1:I$400,0)),I$2,)</f>
        <v>0</v>
      </c>
      <c r="J230" s="179">
        <f ca="1">IF(ISNUMBER(MATCH(DATEVALUE($A230),'recurring1_based on steps'!J$1:J$400,0)),J$2,)</f>
        <v>0</v>
      </c>
      <c r="K230" s="179">
        <f ca="1">IF(ISNUMBER(MATCH(DATEVALUE($A230),'recurring1_based on steps'!K$1:K$400,0)),K$2,)</f>
        <v>0</v>
      </c>
      <c r="L230" s="179">
        <f ca="1">IF(ISNUMBER(MATCH(DATEVALUE($A230),'recurring1_based on steps'!L$1:L$400,0)),L$2,)</f>
        <v>0</v>
      </c>
      <c r="M230" s="179">
        <f ca="1">IF(ISNUMBER(MATCH(DATEVALUE($A230),'recurring1_based on steps'!M$1:M$400,0)),M$2,)</f>
        <v>0</v>
      </c>
      <c r="N230" s="179">
        <f ca="1">IF(ISNUMBER(MATCH(DATEVALUE($A230),'recurring1_based on steps'!N$1:N$400,0)),N$2,)</f>
        <v>0</v>
      </c>
      <c r="O230" s="179">
        <f ca="1">IF(ISNUMBER(MATCH(DATEVALUE($A230),'recurring1_based on steps'!O$1:O$400,0)),O$2,)</f>
        <v>0</v>
      </c>
      <c r="P230" s="179">
        <f ca="1">IF(ISNUMBER(MATCH(DATEVALUE($A230),'recurring1_based on steps'!P$1:P$400,0)),P$2,)</f>
        <v>0</v>
      </c>
      <c r="Q230" s="179">
        <f ca="1">IF(ISNUMBER(MATCH(DATEVALUE($A230),'recurring1_based on steps'!Q$1:Q$400,0)),Q$2,)</f>
        <v>0</v>
      </c>
      <c r="R230" s="179">
        <f ca="1">IF(ISNUMBER(MATCH(DATEVALUE($A230),'recurring1_based on steps'!R$1:R$400,0)),R$2,)</f>
        <v>0</v>
      </c>
      <c r="S230" s="179">
        <f ca="1">IF(ISNUMBER(MATCH(DATEVALUE($A230),'recurring1_based on steps'!S$1:S$400,0)),S$2,)</f>
        <v>0</v>
      </c>
      <c r="T230" s="179">
        <f ca="1">IF(ISNUMBER(MATCH(DATEVALUE($A230),'recurring1_based on steps'!T$1:T$400,0)),T$2,)</f>
        <v>0</v>
      </c>
      <c r="U230" s="179">
        <f ca="1">IF(ISNUMBER(MATCH(DATEVALUE($A230),'recurring1_based on steps'!U$1:U$400,0)),U$2,)</f>
        <v>0</v>
      </c>
      <c r="V230" s="179">
        <f ca="1">IF(ISNUMBER(MATCH(DATEVALUE($A230),'recurring1_based on steps'!V$1:V$400,0)),V$2,)</f>
        <v>0</v>
      </c>
      <c r="W230" s="179">
        <f ca="1">IF(ISNUMBER(MATCH(DATEVALUE($A230),'recurring1_based on steps'!W$1:W$400,0)),W$2,)</f>
        <v>0</v>
      </c>
      <c r="X230" s="179">
        <f ca="1">IF(ISNUMBER(MATCH(DATEVALUE($A230),'recurring1_based on steps'!X$1:X$400,0)),X$2,)</f>
        <v>0</v>
      </c>
      <c r="Y230" s="179">
        <f ca="1">IF(ISNUMBER(MATCH(DATEVALUE($A230),'recurring1_based on steps'!Y$1:Y$400,0)),Y$2,)</f>
        <v>0</v>
      </c>
      <c r="Z230" s="179">
        <f ca="1">IF(ISNUMBER(MATCH(DATEVALUE($A230),'recurring1_based on steps'!Z$1:Z$400,0)),Z$2,)</f>
        <v>0</v>
      </c>
      <c r="AA230" s="179">
        <f ca="1">IF(ISNUMBER(MATCH(DATEVALUE($A230),'recurring1_based on steps'!AA$1:AA$400,0)),AA$2,)</f>
        <v>0</v>
      </c>
      <c r="AB230" s="179">
        <f ca="1">IF(ISNUMBER(MATCH(DATEVALUE($A230),'recurring1_based on steps'!AB$1:AB$400,0)),AB$2,)</f>
        <v>0</v>
      </c>
      <c r="AC230" s="179">
        <f ca="1">IF(ISNUMBER(MATCH(DATEVALUE($A230),'recurring1_based on steps'!AC$1:AC$400,0)),AC$2,)</f>
        <v>0</v>
      </c>
      <c r="AD230" s="179">
        <f ca="1">IF(ISNUMBER(MATCH(DATEVALUE($A230),'recurring1_based on steps'!AD$1:AD$400,0)),AD$2,)</f>
        <v>0</v>
      </c>
      <c r="AE230" s="179">
        <f ca="1">IF(ISNUMBER(MATCH(DATEVALUE($A230),'recurring1_based on steps'!AE$1:AE$400,0)),AE$2,)</f>
        <v>0</v>
      </c>
      <c r="AF230" s="179">
        <f ca="1">IF(ISNUMBER(MATCH(DATEVALUE($A230),'recurring1_based on steps'!AF$1:AF$400,0)),AF$2,)</f>
        <v>0</v>
      </c>
      <c r="AG230" s="179">
        <f ca="1">IF(ISNUMBER(MATCH(DATEVALUE($A230),'recurring1_based on steps'!AG$1:AG$400,0)),AG$2,)</f>
        <v>0</v>
      </c>
      <c r="AH230" s="179">
        <f ca="1">IF(ISNUMBER(MATCH(DATEVALUE($A230),'recurring1_based on steps'!AH$1:AH$400,0)),AH$2,)</f>
        <v>0</v>
      </c>
      <c r="AI230" s="179">
        <f ca="1">IF(ISNUMBER(MATCH(DATEVALUE($A230),'recurring1_based on steps'!AI$1:AI$400,0)),AI$2,)</f>
        <v>0</v>
      </c>
      <c r="AJ230" s="179">
        <f ca="1">IF(ISNUMBER(MATCH(DATEVALUE($A230),'recurring1_based on steps'!AJ$1:AJ$400,0)),AJ$2,)</f>
        <v>0</v>
      </c>
      <c r="AK230" s="179">
        <f ca="1">IF(ISNUMBER(MATCH(DATEVALUE($A230),'recurring1_based on steps'!AK$1:AK$400,0)),AK$2,)</f>
        <v>0</v>
      </c>
      <c r="AL230" s="179">
        <f ca="1">IF(ISNUMBER(MATCH(DATEVALUE($A230),'recurring1_based on steps'!AL$1:AL$400,0)),AL$2,)</f>
        <v>0</v>
      </c>
      <c r="AM230" s="179">
        <f ca="1">IF(ISNUMBER(MATCH(DATEVALUE($A230),'recurring1_based on steps'!AM$1:AM$400,0)),AM$2,)</f>
        <v>0</v>
      </c>
      <c r="AN230" s="179">
        <f ca="1">IF(ISNUMBER(MATCH(DATEVALUE($A230),'recurring1_based on steps'!AN$1:AN$400,0)),AN$2,)</f>
        <v>0</v>
      </c>
      <c r="AO230" s="179">
        <f ca="1">IF(ISNUMBER(MATCH(DATEVALUE($A230),'recurring1_based on steps'!AO$1:AO$400,0)),AO$2,)</f>
        <v>0</v>
      </c>
      <c r="AP230" s="179">
        <f ca="1">IF(ISNUMBER(MATCH(DATEVALUE($A230),'recurring1_based on steps'!AP$1:AP$400,0)),AP$2,)</f>
        <v>0</v>
      </c>
      <c r="AQ230" s="179">
        <f ca="1">IF(ISNUMBER(MATCH(DATEVALUE($A230),'recurring1_based on steps'!AQ$1:AQ$400,0)),AQ$2,)</f>
        <v>0</v>
      </c>
      <c r="AR230" s="179">
        <f ca="1">IF(ISNUMBER(MATCH(DATEVALUE($A230),'recurring1_based on steps'!AR$1:AR$400,0)),AR$2,)</f>
        <v>0</v>
      </c>
      <c r="AS230" s="179">
        <f ca="1">IF(ISNUMBER(MATCH(DATEVALUE($A230),'recurring1_based on steps'!AS$1:AS$400,0)),AS$2,)</f>
        <v>0</v>
      </c>
      <c r="AT230" s="179">
        <f ca="1">IF(ISNUMBER(MATCH(DATEVALUE($A230),'recurring1_based on steps'!AT$1:AT$400,0)),AT$2,)</f>
        <v>0</v>
      </c>
      <c r="AU230" s="179">
        <f ca="1">IF(ISNUMBER(MATCH(DATEVALUE($A230),'recurring1_based on steps'!AU$1:AU$400,0)),AU$2,)</f>
        <v>0</v>
      </c>
      <c r="AV230" s="179">
        <f ca="1">IF(ISNUMBER(MATCH(DATEVALUE($A230),'recurring1_based on steps'!AV$1:AV$400,0)),AV$2,)</f>
        <v>0</v>
      </c>
      <c r="AW230" s="179">
        <f ca="1">IF(ISNUMBER(MATCH(DATEVALUE($A230),'recurring1_based on steps'!AW$1:AW$400,0)),AW$2,)</f>
        <v>0</v>
      </c>
      <c r="AX230" s="179">
        <f ca="1">IF(ISNUMBER(MATCH(DATEVALUE($A230),'recurring1_based on steps'!AX$1:AX$400,0)),AX$2,)</f>
        <v>0</v>
      </c>
      <c r="AY230" s="179">
        <f ca="1">IF(ISNUMBER(MATCH(DATEVALUE($A230),'recurring1_based on steps'!AY$1:AY$400,0)),AY$2,)</f>
        <v>0</v>
      </c>
    </row>
    <row r="231" spans="1:51" x14ac:dyDescent="0.2">
      <c r="A231" s="32" t="str">
        <f t="shared" ca="1" si="3"/>
        <v>2025-11-19</v>
      </c>
      <c r="B231" s="179">
        <f ca="1">IF(ISNUMBER(MATCH(DATEVALUE($A231),'recurring1_based on steps'!B$1:B$400,0)),B$2,)</f>
        <v>0</v>
      </c>
      <c r="C231" s="179">
        <f ca="1">IF(ISNUMBER(MATCH(DATEVALUE($A231),'recurring1_based on steps'!C$1:C$400,0)),C$2,)</f>
        <v>0</v>
      </c>
      <c r="D231" s="179">
        <f ca="1">IF(ISNUMBER(MATCH(DATEVALUE($A231),'recurring1_based on steps'!D$1:D$400,0)),D$2,)</f>
        <v>0</v>
      </c>
      <c r="E231" s="179">
        <f ca="1">IF(ISNUMBER(MATCH(DATEVALUE($A231),'recurring1_based on steps'!E$1:E$400,0)),E$2,)</f>
        <v>0</v>
      </c>
      <c r="F231" s="179">
        <f ca="1">IF(ISNUMBER(MATCH(DATEVALUE($A231),'recurring1_based on steps'!F$1:F$400,0)),F$2,)</f>
        <v>0</v>
      </c>
      <c r="G231" s="179">
        <f ca="1">IF(ISNUMBER(MATCH(DATEVALUE($A231),'recurring1_based on steps'!G$1:G$400,0)),G$2,)</f>
        <v>0</v>
      </c>
      <c r="H231" s="179">
        <f ca="1">IF(ISNUMBER(MATCH(DATEVALUE($A231),'recurring1_based on steps'!H$1:H$400,0)),H$2,)</f>
        <v>0</v>
      </c>
      <c r="I231" s="179">
        <f ca="1">IF(ISNUMBER(MATCH(DATEVALUE($A231),'recurring1_based on steps'!I$1:I$400,0)),I$2,)</f>
        <v>0</v>
      </c>
      <c r="J231" s="179">
        <f ca="1">IF(ISNUMBER(MATCH(DATEVALUE($A231),'recurring1_based on steps'!J$1:J$400,0)),J$2,)</f>
        <v>0</v>
      </c>
      <c r="K231" s="179">
        <f ca="1">IF(ISNUMBER(MATCH(DATEVALUE($A231),'recurring1_based on steps'!K$1:K$400,0)),K$2,)</f>
        <v>0</v>
      </c>
      <c r="L231" s="179">
        <f ca="1">IF(ISNUMBER(MATCH(DATEVALUE($A231),'recurring1_based on steps'!L$1:L$400,0)),L$2,)</f>
        <v>0</v>
      </c>
      <c r="M231" s="179">
        <f ca="1">IF(ISNUMBER(MATCH(DATEVALUE($A231),'recurring1_based on steps'!M$1:M$400,0)),M$2,)</f>
        <v>0</v>
      </c>
      <c r="N231" s="179">
        <f ca="1">IF(ISNUMBER(MATCH(DATEVALUE($A231),'recurring1_based on steps'!N$1:N$400,0)),N$2,)</f>
        <v>0</v>
      </c>
      <c r="O231" s="179">
        <f ca="1">IF(ISNUMBER(MATCH(DATEVALUE($A231),'recurring1_based on steps'!O$1:O$400,0)),O$2,)</f>
        <v>0</v>
      </c>
      <c r="P231" s="179">
        <f ca="1">IF(ISNUMBER(MATCH(DATEVALUE($A231),'recurring1_based on steps'!P$1:P$400,0)),P$2,)</f>
        <v>0</v>
      </c>
      <c r="Q231" s="179">
        <f ca="1">IF(ISNUMBER(MATCH(DATEVALUE($A231),'recurring1_based on steps'!Q$1:Q$400,0)),Q$2,)</f>
        <v>0</v>
      </c>
      <c r="R231" s="179">
        <f ca="1">IF(ISNUMBER(MATCH(DATEVALUE($A231),'recurring1_based on steps'!R$1:R$400,0)),R$2,)</f>
        <v>0</v>
      </c>
      <c r="S231" s="179">
        <f ca="1">IF(ISNUMBER(MATCH(DATEVALUE($A231),'recurring1_based on steps'!S$1:S$400,0)),S$2,)</f>
        <v>0</v>
      </c>
      <c r="T231" s="179">
        <f ca="1">IF(ISNUMBER(MATCH(DATEVALUE($A231),'recurring1_based on steps'!T$1:T$400,0)),T$2,)</f>
        <v>0</v>
      </c>
      <c r="U231" s="179">
        <f ca="1">IF(ISNUMBER(MATCH(DATEVALUE($A231),'recurring1_based on steps'!U$1:U$400,0)),U$2,)</f>
        <v>0</v>
      </c>
      <c r="V231" s="179">
        <f ca="1">IF(ISNUMBER(MATCH(DATEVALUE($A231),'recurring1_based on steps'!V$1:V$400,0)),V$2,)</f>
        <v>0</v>
      </c>
      <c r="W231" s="179">
        <f ca="1">IF(ISNUMBER(MATCH(DATEVALUE($A231),'recurring1_based on steps'!W$1:W$400,0)),W$2,)</f>
        <v>0</v>
      </c>
      <c r="X231" s="179">
        <f ca="1">IF(ISNUMBER(MATCH(DATEVALUE($A231),'recurring1_based on steps'!X$1:X$400,0)),X$2,)</f>
        <v>0</v>
      </c>
      <c r="Y231" s="179">
        <f ca="1">IF(ISNUMBER(MATCH(DATEVALUE($A231),'recurring1_based on steps'!Y$1:Y$400,0)),Y$2,)</f>
        <v>0</v>
      </c>
      <c r="Z231" s="179">
        <f ca="1">IF(ISNUMBER(MATCH(DATEVALUE($A231),'recurring1_based on steps'!Z$1:Z$400,0)),Z$2,)</f>
        <v>0</v>
      </c>
      <c r="AA231" s="179">
        <f ca="1">IF(ISNUMBER(MATCH(DATEVALUE($A231),'recurring1_based on steps'!AA$1:AA$400,0)),AA$2,)</f>
        <v>0</v>
      </c>
      <c r="AB231" s="179">
        <f ca="1">IF(ISNUMBER(MATCH(DATEVALUE($A231),'recurring1_based on steps'!AB$1:AB$400,0)),AB$2,)</f>
        <v>0</v>
      </c>
      <c r="AC231" s="179">
        <f ca="1">IF(ISNUMBER(MATCH(DATEVALUE($A231),'recurring1_based on steps'!AC$1:AC$400,0)),AC$2,)</f>
        <v>0</v>
      </c>
      <c r="AD231" s="179">
        <f ca="1">IF(ISNUMBER(MATCH(DATEVALUE($A231),'recurring1_based on steps'!AD$1:AD$400,0)),AD$2,)</f>
        <v>0</v>
      </c>
      <c r="AE231" s="179">
        <f ca="1">IF(ISNUMBER(MATCH(DATEVALUE($A231),'recurring1_based on steps'!AE$1:AE$400,0)),AE$2,)</f>
        <v>0</v>
      </c>
      <c r="AF231" s="179">
        <f ca="1">IF(ISNUMBER(MATCH(DATEVALUE($A231),'recurring1_based on steps'!AF$1:AF$400,0)),AF$2,)</f>
        <v>0</v>
      </c>
      <c r="AG231" s="179">
        <f ca="1">IF(ISNUMBER(MATCH(DATEVALUE($A231),'recurring1_based on steps'!AG$1:AG$400,0)),AG$2,)</f>
        <v>0</v>
      </c>
      <c r="AH231" s="179">
        <f ca="1">IF(ISNUMBER(MATCH(DATEVALUE($A231),'recurring1_based on steps'!AH$1:AH$400,0)),AH$2,)</f>
        <v>0</v>
      </c>
      <c r="AI231" s="179">
        <f ca="1">IF(ISNUMBER(MATCH(DATEVALUE($A231),'recurring1_based on steps'!AI$1:AI$400,0)),AI$2,)</f>
        <v>0</v>
      </c>
      <c r="AJ231" s="179">
        <f ca="1">IF(ISNUMBER(MATCH(DATEVALUE($A231),'recurring1_based on steps'!AJ$1:AJ$400,0)),AJ$2,)</f>
        <v>0</v>
      </c>
      <c r="AK231" s="179">
        <f ca="1">IF(ISNUMBER(MATCH(DATEVALUE($A231),'recurring1_based on steps'!AK$1:AK$400,0)),AK$2,)</f>
        <v>0</v>
      </c>
      <c r="AL231" s="179">
        <f ca="1">IF(ISNUMBER(MATCH(DATEVALUE($A231),'recurring1_based on steps'!AL$1:AL$400,0)),AL$2,)</f>
        <v>0</v>
      </c>
      <c r="AM231" s="179">
        <f ca="1">IF(ISNUMBER(MATCH(DATEVALUE($A231),'recurring1_based on steps'!AM$1:AM$400,0)),AM$2,)</f>
        <v>0</v>
      </c>
      <c r="AN231" s="179">
        <f ca="1">IF(ISNUMBER(MATCH(DATEVALUE($A231),'recurring1_based on steps'!AN$1:AN$400,0)),AN$2,)</f>
        <v>0</v>
      </c>
      <c r="AO231" s="179">
        <f ca="1">IF(ISNUMBER(MATCH(DATEVALUE($A231),'recurring1_based on steps'!AO$1:AO$400,0)),AO$2,)</f>
        <v>0</v>
      </c>
      <c r="AP231" s="179">
        <f ca="1">IF(ISNUMBER(MATCH(DATEVALUE($A231),'recurring1_based on steps'!AP$1:AP$400,0)),AP$2,)</f>
        <v>0</v>
      </c>
      <c r="AQ231" s="179">
        <f ca="1">IF(ISNUMBER(MATCH(DATEVALUE($A231),'recurring1_based on steps'!AQ$1:AQ$400,0)),AQ$2,)</f>
        <v>0</v>
      </c>
      <c r="AR231" s="179">
        <f ca="1">IF(ISNUMBER(MATCH(DATEVALUE($A231),'recurring1_based on steps'!AR$1:AR$400,0)),AR$2,)</f>
        <v>0</v>
      </c>
      <c r="AS231" s="179">
        <f ca="1">IF(ISNUMBER(MATCH(DATEVALUE($A231),'recurring1_based on steps'!AS$1:AS$400,0)),AS$2,)</f>
        <v>0</v>
      </c>
      <c r="AT231" s="179">
        <f ca="1">IF(ISNUMBER(MATCH(DATEVALUE($A231),'recurring1_based on steps'!AT$1:AT$400,0)),AT$2,)</f>
        <v>0</v>
      </c>
      <c r="AU231" s="179">
        <f ca="1">IF(ISNUMBER(MATCH(DATEVALUE($A231),'recurring1_based on steps'!AU$1:AU$400,0)),AU$2,)</f>
        <v>0</v>
      </c>
      <c r="AV231" s="179">
        <f ca="1">IF(ISNUMBER(MATCH(DATEVALUE($A231),'recurring1_based on steps'!AV$1:AV$400,0)),AV$2,)</f>
        <v>0</v>
      </c>
      <c r="AW231" s="179">
        <f ca="1">IF(ISNUMBER(MATCH(DATEVALUE($A231),'recurring1_based on steps'!AW$1:AW$400,0)),AW$2,)</f>
        <v>0</v>
      </c>
      <c r="AX231" s="179">
        <f ca="1">IF(ISNUMBER(MATCH(DATEVALUE($A231),'recurring1_based on steps'!AX$1:AX$400,0)),AX$2,)</f>
        <v>0</v>
      </c>
      <c r="AY231" s="179">
        <f ca="1">IF(ISNUMBER(MATCH(DATEVALUE($A231),'recurring1_based on steps'!AY$1:AY$400,0)),AY$2,)</f>
        <v>0</v>
      </c>
    </row>
    <row r="232" spans="1:51" x14ac:dyDescent="0.2">
      <c r="A232" s="32" t="str">
        <f t="shared" ca="1" si="3"/>
        <v>2025-11-20</v>
      </c>
      <c r="B232" s="179">
        <f ca="1">IF(ISNUMBER(MATCH(DATEVALUE($A232),'recurring1_based on steps'!B$1:B$400,0)),B$2,)</f>
        <v>0</v>
      </c>
      <c r="C232" s="179">
        <f ca="1">IF(ISNUMBER(MATCH(DATEVALUE($A232),'recurring1_based on steps'!C$1:C$400,0)),C$2,)</f>
        <v>0</v>
      </c>
      <c r="D232" s="179">
        <f ca="1">IF(ISNUMBER(MATCH(DATEVALUE($A232),'recurring1_based on steps'!D$1:D$400,0)),D$2,)</f>
        <v>0</v>
      </c>
      <c r="E232" s="179">
        <f ca="1">IF(ISNUMBER(MATCH(DATEVALUE($A232),'recurring1_based on steps'!E$1:E$400,0)),E$2,)</f>
        <v>0</v>
      </c>
      <c r="F232" s="179">
        <f ca="1">IF(ISNUMBER(MATCH(DATEVALUE($A232),'recurring1_based on steps'!F$1:F$400,0)),F$2,)</f>
        <v>0</v>
      </c>
      <c r="G232" s="179">
        <f ca="1">IF(ISNUMBER(MATCH(DATEVALUE($A232),'recurring1_based on steps'!G$1:G$400,0)),G$2,)</f>
        <v>0</v>
      </c>
      <c r="H232" s="179">
        <f ca="1">IF(ISNUMBER(MATCH(DATEVALUE($A232),'recurring1_based on steps'!H$1:H$400,0)),H$2,)</f>
        <v>0</v>
      </c>
      <c r="I232" s="179">
        <f ca="1">IF(ISNUMBER(MATCH(DATEVALUE($A232),'recurring1_based on steps'!I$1:I$400,0)),I$2,)</f>
        <v>0</v>
      </c>
      <c r="J232" s="179">
        <f ca="1">IF(ISNUMBER(MATCH(DATEVALUE($A232),'recurring1_based on steps'!J$1:J$400,0)),J$2,)</f>
        <v>0</v>
      </c>
      <c r="K232" s="179">
        <f ca="1">IF(ISNUMBER(MATCH(DATEVALUE($A232),'recurring1_based on steps'!K$1:K$400,0)),K$2,)</f>
        <v>0</v>
      </c>
      <c r="L232" s="179">
        <f ca="1">IF(ISNUMBER(MATCH(DATEVALUE($A232),'recurring1_based on steps'!L$1:L$400,0)),L$2,)</f>
        <v>0</v>
      </c>
      <c r="M232" s="179">
        <f ca="1">IF(ISNUMBER(MATCH(DATEVALUE($A232),'recurring1_based on steps'!M$1:M$400,0)),M$2,)</f>
        <v>0</v>
      </c>
      <c r="N232" s="179">
        <f ca="1">IF(ISNUMBER(MATCH(DATEVALUE($A232),'recurring1_based on steps'!N$1:N$400,0)),N$2,)</f>
        <v>0</v>
      </c>
      <c r="O232" s="179">
        <f ca="1">IF(ISNUMBER(MATCH(DATEVALUE($A232),'recurring1_based on steps'!O$1:O$400,0)),O$2,)</f>
        <v>0</v>
      </c>
      <c r="P232" s="179">
        <f ca="1">IF(ISNUMBER(MATCH(DATEVALUE($A232),'recurring1_based on steps'!P$1:P$400,0)),P$2,)</f>
        <v>0</v>
      </c>
      <c r="Q232" s="179">
        <f ca="1">IF(ISNUMBER(MATCH(DATEVALUE($A232),'recurring1_based on steps'!Q$1:Q$400,0)),Q$2,)</f>
        <v>0</v>
      </c>
      <c r="R232" s="179">
        <f ca="1">IF(ISNUMBER(MATCH(DATEVALUE($A232),'recurring1_based on steps'!R$1:R$400,0)),R$2,)</f>
        <v>0</v>
      </c>
      <c r="S232" s="179">
        <f ca="1">IF(ISNUMBER(MATCH(DATEVALUE($A232),'recurring1_based on steps'!S$1:S$400,0)),S$2,)</f>
        <v>0</v>
      </c>
      <c r="T232" s="179">
        <f ca="1">IF(ISNUMBER(MATCH(DATEVALUE($A232),'recurring1_based on steps'!T$1:T$400,0)),T$2,)</f>
        <v>0</v>
      </c>
      <c r="U232" s="179">
        <f ca="1">IF(ISNUMBER(MATCH(DATEVALUE($A232),'recurring1_based on steps'!U$1:U$400,0)),U$2,)</f>
        <v>0</v>
      </c>
      <c r="V232" s="179">
        <f ca="1">IF(ISNUMBER(MATCH(DATEVALUE($A232),'recurring1_based on steps'!V$1:V$400,0)),V$2,)</f>
        <v>0</v>
      </c>
      <c r="W232" s="179">
        <f ca="1">IF(ISNUMBER(MATCH(DATEVALUE($A232),'recurring1_based on steps'!W$1:W$400,0)),W$2,)</f>
        <v>0</v>
      </c>
      <c r="X232" s="179">
        <f ca="1">IF(ISNUMBER(MATCH(DATEVALUE($A232),'recurring1_based on steps'!X$1:X$400,0)),X$2,)</f>
        <v>0</v>
      </c>
      <c r="Y232" s="179">
        <f ca="1">IF(ISNUMBER(MATCH(DATEVALUE($A232),'recurring1_based on steps'!Y$1:Y$400,0)),Y$2,)</f>
        <v>0</v>
      </c>
      <c r="Z232" s="179">
        <f ca="1">IF(ISNUMBER(MATCH(DATEVALUE($A232),'recurring1_based on steps'!Z$1:Z$400,0)),Z$2,)</f>
        <v>0</v>
      </c>
      <c r="AA232" s="179">
        <f ca="1">IF(ISNUMBER(MATCH(DATEVALUE($A232),'recurring1_based on steps'!AA$1:AA$400,0)),AA$2,)</f>
        <v>0</v>
      </c>
      <c r="AB232" s="179">
        <f ca="1">IF(ISNUMBER(MATCH(DATEVALUE($A232),'recurring1_based on steps'!AB$1:AB$400,0)),AB$2,)</f>
        <v>0</v>
      </c>
      <c r="AC232" s="179">
        <f ca="1">IF(ISNUMBER(MATCH(DATEVALUE($A232),'recurring1_based on steps'!AC$1:AC$400,0)),AC$2,)</f>
        <v>0</v>
      </c>
      <c r="AD232" s="179">
        <f ca="1">IF(ISNUMBER(MATCH(DATEVALUE($A232),'recurring1_based on steps'!AD$1:AD$400,0)),AD$2,)</f>
        <v>0</v>
      </c>
      <c r="AE232" s="179">
        <f ca="1">IF(ISNUMBER(MATCH(DATEVALUE($A232),'recurring1_based on steps'!AE$1:AE$400,0)),AE$2,)</f>
        <v>0</v>
      </c>
      <c r="AF232" s="179">
        <f ca="1">IF(ISNUMBER(MATCH(DATEVALUE($A232),'recurring1_based on steps'!AF$1:AF$400,0)),AF$2,)</f>
        <v>0</v>
      </c>
      <c r="AG232" s="179">
        <f ca="1">IF(ISNUMBER(MATCH(DATEVALUE($A232),'recurring1_based on steps'!AG$1:AG$400,0)),AG$2,)</f>
        <v>0</v>
      </c>
      <c r="AH232" s="179">
        <f ca="1">IF(ISNUMBER(MATCH(DATEVALUE($A232),'recurring1_based on steps'!AH$1:AH$400,0)),AH$2,)</f>
        <v>0</v>
      </c>
      <c r="AI232" s="179">
        <f ca="1">IF(ISNUMBER(MATCH(DATEVALUE($A232),'recurring1_based on steps'!AI$1:AI$400,0)),AI$2,)</f>
        <v>0</v>
      </c>
      <c r="AJ232" s="179">
        <f ca="1">IF(ISNUMBER(MATCH(DATEVALUE($A232),'recurring1_based on steps'!AJ$1:AJ$400,0)),AJ$2,)</f>
        <v>0</v>
      </c>
      <c r="AK232" s="179">
        <f ca="1">IF(ISNUMBER(MATCH(DATEVALUE($A232),'recurring1_based on steps'!AK$1:AK$400,0)),AK$2,)</f>
        <v>0</v>
      </c>
      <c r="AL232" s="179">
        <f ca="1">IF(ISNUMBER(MATCH(DATEVALUE($A232),'recurring1_based on steps'!AL$1:AL$400,0)),AL$2,)</f>
        <v>0</v>
      </c>
      <c r="AM232" s="179">
        <f ca="1">IF(ISNUMBER(MATCH(DATEVALUE($A232),'recurring1_based on steps'!AM$1:AM$400,0)),AM$2,)</f>
        <v>0</v>
      </c>
      <c r="AN232" s="179">
        <f ca="1">IF(ISNUMBER(MATCH(DATEVALUE($A232),'recurring1_based on steps'!AN$1:AN$400,0)),AN$2,)</f>
        <v>0</v>
      </c>
      <c r="AO232" s="179">
        <f ca="1">IF(ISNUMBER(MATCH(DATEVALUE($A232),'recurring1_based on steps'!AO$1:AO$400,0)),AO$2,)</f>
        <v>0</v>
      </c>
      <c r="AP232" s="179">
        <f ca="1">IF(ISNUMBER(MATCH(DATEVALUE($A232),'recurring1_based on steps'!AP$1:AP$400,0)),AP$2,)</f>
        <v>0</v>
      </c>
      <c r="AQ232" s="179">
        <f ca="1">IF(ISNUMBER(MATCH(DATEVALUE($A232),'recurring1_based on steps'!AQ$1:AQ$400,0)),AQ$2,)</f>
        <v>0</v>
      </c>
      <c r="AR232" s="179">
        <f ca="1">IF(ISNUMBER(MATCH(DATEVALUE($A232),'recurring1_based on steps'!AR$1:AR$400,0)),AR$2,)</f>
        <v>0</v>
      </c>
      <c r="AS232" s="179">
        <f ca="1">IF(ISNUMBER(MATCH(DATEVALUE($A232),'recurring1_based on steps'!AS$1:AS$400,0)),AS$2,)</f>
        <v>0</v>
      </c>
      <c r="AT232" s="179">
        <f ca="1">IF(ISNUMBER(MATCH(DATEVALUE($A232),'recurring1_based on steps'!AT$1:AT$400,0)),AT$2,)</f>
        <v>0</v>
      </c>
      <c r="AU232" s="179">
        <f ca="1">IF(ISNUMBER(MATCH(DATEVALUE($A232),'recurring1_based on steps'!AU$1:AU$400,0)),AU$2,)</f>
        <v>0</v>
      </c>
      <c r="AV232" s="179">
        <f ca="1">IF(ISNUMBER(MATCH(DATEVALUE($A232),'recurring1_based on steps'!AV$1:AV$400,0)),AV$2,)</f>
        <v>0</v>
      </c>
      <c r="AW232" s="179">
        <f ca="1">IF(ISNUMBER(MATCH(DATEVALUE($A232),'recurring1_based on steps'!AW$1:AW$400,0)),AW$2,)</f>
        <v>0</v>
      </c>
      <c r="AX232" s="179">
        <f ca="1">IF(ISNUMBER(MATCH(DATEVALUE($A232),'recurring1_based on steps'!AX$1:AX$400,0)),AX$2,)</f>
        <v>0</v>
      </c>
      <c r="AY232" s="179">
        <f ca="1">IF(ISNUMBER(MATCH(DATEVALUE($A232),'recurring1_based on steps'!AY$1:AY$400,0)),AY$2,)</f>
        <v>0</v>
      </c>
    </row>
    <row r="233" spans="1:51" x14ac:dyDescent="0.2">
      <c r="A233" s="32" t="str">
        <f t="shared" ca="1" si="3"/>
        <v>2025-11-21</v>
      </c>
      <c r="B233" s="179">
        <f ca="1">IF(ISNUMBER(MATCH(DATEVALUE($A233),'recurring1_based on steps'!B$1:B$400,0)),B$2,)</f>
        <v>0</v>
      </c>
      <c r="C233" s="179">
        <f ca="1">IF(ISNUMBER(MATCH(DATEVALUE($A233),'recurring1_based on steps'!C$1:C$400,0)),C$2,)</f>
        <v>0</v>
      </c>
      <c r="D233" s="179">
        <f ca="1">IF(ISNUMBER(MATCH(DATEVALUE($A233),'recurring1_based on steps'!D$1:D$400,0)),D$2,)</f>
        <v>0</v>
      </c>
      <c r="E233" s="179">
        <f ca="1">IF(ISNUMBER(MATCH(DATEVALUE($A233),'recurring1_based on steps'!E$1:E$400,0)),E$2,)</f>
        <v>0</v>
      </c>
      <c r="F233" s="179">
        <f ca="1">IF(ISNUMBER(MATCH(DATEVALUE($A233),'recurring1_based on steps'!F$1:F$400,0)),F$2,)</f>
        <v>0</v>
      </c>
      <c r="G233" s="179">
        <f ca="1">IF(ISNUMBER(MATCH(DATEVALUE($A233),'recurring1_based on steps'!G$1:G$400,0)),G$2,)</f>
        <v>0</v>
      </c>
      <c r="H233" s="179">
        <f ca="1">IF(ISNUMBER(MATCH(DATEVALUE($A233),'recurring1_based on steps'!H$1:H$400,0)),H$2,)</f>
        <v>0</v>
      </c>
      <c r="I233" s="179">
        <f ca="1">IF(ISNUMBER(MATCH(DATEVALUE($A233),'recurring1_based on steps'!I$1:I$400,0)),I$2,)</f>
        <v>0</v>
      </c>
      <c r="J233" s="179">
        <f ca="1">IF(ISNUMBER(MATCH(DATEVALUE($A233),'recurring1_based on steps'!J$1:J$400,0)),J$2,)</f>
        <v>0</v>
      </c>
      <c r="K233" s="179">
        <f ca="1">IF(ISNUMBER(MATCH(DATEVALUE($A233),'recurring1_based on steps'!K$1:K$400,0)),K$2,)</f>
        <v>0</v>
      </c>
      <c r="L233" s="179">
        <f ca="1">IF(ISNUMBER(MATCH(DATEVALUE($A233),'recurring1_based on steps'!L$1:L$400,0)),L$2,)</f>
        <v>0</v>
      </c>
      <c r="M233" s="179">
        <f ca="1">IF(ISNUMBER(MATCH(DATEVALUE($A233),'recurring1_based on steps'!M$1:M$400,0)),M$2,)</f>
        <v>0</v>
      </c>
      <c r="N233" s="179">
        <f ca="1">IF(ISNUMBER(MATCH(DATEVALUE($A233),'recurring1_based on steps'!N$1:N$400,0)),N$2,)</f>
        <v>0</v>
      </c>
      <c r="O233" s="179">
        <f ca="1">IF(ISNUMBER(MATCH(DATEVALUE($A233),'recurring1_based on steps'!O$1:O$400,0)),O$2,)</f>
        <v>0</v>
      </c>
      <c r="P233" s="179">
        <f ca="1">IF(ISNUMBER(MATCH(DATEVALUE($A233),'recurring1_based on steps'!P$1:P$400,0)),P$2,)</f>
        <v>0</v>
      </c>
      <c r="Q233" s="179">
        <f ca="1">IF(ISNUMBER(MATCH(DATEVALUE($A233),'recurring1_based on steps'!Q$1:Q$400,0)),Q$2,)</f>
        <v>0</v>
      </c>
      <c r="R233" s="179">
        <f ca="1">IF(ISNUMBER(MATCH(DATEVALUE($A233),'recurring1_based on steps'!R$1:R$400,0)),R$2,)</f>
        <v>0</v>
      </c>
      <c r="S233" s="179">
        <f ca="1">IF(ISNUMBER(MATCH(DATEVALUE($A233),'recurring1_based on steps'!S$1:S$400,0)),S$2,)</f>
        <v>0</v>
      </c>
      <c r="T233" s="179">
        <f ca="1">IF(ISNUMBER(MATCH(DATEVALUE($A233),'recurring1_based on steps'!T$1:T$400,0)),T$2,)</f>
        <v>0</v>
      </c>
      <c r="U233" s="179">
        <f ca="1">IF(ISNUMBER(MATCH(DATEVALUE($A233),'recurring1_based on steps'!U$1:U$400,0)),U$2,)</f>
        <v>0</v>
      </c>
      <c r="V233" s="179">
        <f ca="1">IF(ISNUMBER(MATCH(DATEVALUE($A233),'recurring1_based on steps'!V$1:V$400,0)),V$2,)</f>
        <v>0</v>
      </c>
      <c r="W233" s="179">
        <f ca="1">IF(ISNUMBER(MATCH(DATEVALUE($A233),'recurring1_based on steps'!W$1:W$400,0)),W$2,)</f>
        <v>0</v>
      </c>
      <c r="X233" s="179">
        <f ca="1">IF(ISNUMBER(MATCH(DATEVALUE($A233),'recurring1_based on steps'!X$1:X$400,0)),X$2,)</f>
        <v>0</v>
      </c>
      <c r="Y233" s="179">
        <f ca="1">IF(ISNUMBER(MATCH(DATEVALUE($A233),'recurring1_based on steps'!Y$1:Y$400,0)),Y$2,)</f>
        <v>0</v>
      </c>
      <c r="Z233" s="179">
        <f ca="1">IF(ISNUMBER(MATCH(DATEVALUE($A233),'recurring1_based on steps'!Z$1:Z$400,0)),Z$2,)</f>
        <v>0</v>
      </c>
      <c r="AA233" s="179">
        <f ca="1">IF(ISNUMBER(MATCH(DATEVALUE($A233),'recurring1_based on steps'!AA$1:AA$400,0)),AA$2,)</f>
        <v>0</v>
      </c>
      <c r="AB233" s="179">
        <f ca="1">IF(ISNUMBER(MATCH(DATEVALUE($A233),'recurring1_based on steps'!AB$1:AB$400,0)),AB$2,)</f>
        <v>0</v>
      </c>
      <c r="AC233" s="179">
        <f ca="1">IF(ISNUMBER(MATCH(DATEVALUE($A233),'recurring1_based on steps'!AC$1:AC$400,0)),AC$2,)</f>
        <v>0</v>
      </c>
      <c r="AD233" s="179">
        <f ca="1">IF(ISNUMBER(MATCH(DATEVALUE($A233),'recurring1_based on steps'!AD$1:AD$400,0)),AD$2,)</f>
        <v>0</v>
      </c>
      <c r="AE233" s="179">
        <f ca="1">IF(ISNUMBER(MATCH(DATEVALUE($A233),'recurring1_based on steps'!AE$1:AE$400,0)),AE$2,)</f>
        <v>0</v>
      </c>
      <c r="AF233" s="179">
        <f ca="1">IF(ISNUMBER(MATCH(DATEVALUE($A233),'recurring1_based on steps'!AF$1:AF$400,0)),AF$2,)</f>
        <v>0</v>
      </c>
      <c r="AG233" s="179">
        <f ca="1">IF(ISNUMBER(MATCH(DATEVALUE($A233),'recurring1_based on steps'!AG$1:AG$400,0)),AG$2,)</f>
        <v>0</v>
      </c>
      <c r="AH233" s="179">
        <f ca="1">IF(ISNUMBER(MATCH(DATEVALUE($A233),'recurring1_based on steps'!AH$1:AH$400,0)),AH$2,)</f>
        <v>0</v>
      </c>
      <c r="AI233" s="179">
        <f ca="1">IF(ISNUMBER(MATCH(DATEVALUE($A233),'recurring1_based on steps'!AI$1:AI$400,0)),AI$2,)</f>
        <v>0</v>
      </c>
      <c r="AJ233" s="179">
        <f ca="1">IF(ISNUMBER(MATCH(DATEVALUE($A233),'recurring1_based on steps'!AJ$1:AJ$400,0)),AJ$2,)</f>
        <v>0</v>
      </c>
      <c r="AK233" s="179">
        <f ca="1">IF(ISNUMBER(MATCH(DATEVALUE($A233),'recurring1_based on steps'!AK$1:AK$400,0)),AK$2,)</f>
        <v>0</v>
      </c>
      <c r="AL233" s="179">
        <f ca="1">IF(ISNUMBER(MATCH(DATEVALUE($A233),'recurring1_based on steps'!AL$1:AL$400,0)),AL$2,)</f>
        <v>0</v>
      </c>
      <c r="AM233" s="179">
        <f ca="1">IF(ISNUMBER(MATCH(DATEVALUE($A233),'recurring1_based on steps'!AM$1:AM$400,0)),AM$2,)</f>
        <v>0</v>
      </c>
      <c r="AN233" s="179">
        <f ca="1">IF(ISNUMBER(MATCH(DATEVALUE($A233),'recurring1_based on steps'!AN$1:AN$400,0)),AN$2,)</f>
        <v>0</v>
      </c>
      <c r="AO233" s="179">
        <f ca="1">IF(ISNUMBER(MATCH(DATEVALUE($A233),'recurring1_based on steps'!AO$1:AO$400,0)),AO$2,)</f>
        <v>0</v>
      </c>
      <c r="AP233" s="179">
        <f ca="1">IF(ISNUMBER(MATCH(DATEVALUE($A233),'recurring1_based on steps'!AP$1:AP$400,0)),AP$2,)</f>
        <v>0</v>
      </c>
      <c r="AQ233" s="179">
        <f ca="1">IF(ISNUMBER(MATCH(DATEVALUE($A233),'recurring1_based on steps'!AQ$1:AQ$400,0)),AQ$2,)</f>
        <v>0</v>
      </c>
      <c r="AR233" s="179">
        <f ca="1">IF(ISNUMBER(MATCH(DATEVALUE($A233),'recurring1_based on steps'!AR$1:AR$400,0)),AR$2,)</f>
        <v>0</v>
      </c>
      <c r="AS233" s="179">
        <f ca="1">IF(ISNUMBER(MATCH(DATEVALUE($A233),'recurring1_based on steps'!AS$1:AS$400,0)),AS$2,)</f>
        <v>0</v>
      </c>
      <c r="AT233" s="179">
        <f ca="1">IF(ISNUMBER(MATCH(DATEVALUE($A233),'recurring1_based on steps'!AT$1:AT$400,0)),AT$2,)</f>
        <v>0</v>
      </c>
      <c r="AU233" s="179">
        <f ca="1">IF(ISNUMBER(MATCH(DATEVALUE($A233),'recurring1_based on steps'!AU$1:AU$400,0)),AU$2,)</f>
        <v>0</v>
      </c>
      <c r="AV233" s="179">
        <f ca="1">IF(ISNUMBER(MATCH(DATEVALUE($A233),'recurring1_based on steps'!AV$1:AV$400,0)),AV$2,)</f>
        <v>0</v>
      </c>
      <c r="AW233" s="179">
        <f ca="1">IF(ISNUMBER(MATCH(DATEVALUE($A233),'recurring1_based on steps'!AW$1:AW$400,0)),AW$2,)</f>
        <v>0</v>
      </c>
      <c r="AX233" s="179">
        <f ca="1">IF(ISNUMBER(MATCH(DATEVALUE($A233),'recurring1_based on steps'!AX$1:AX$400,0)),AX$2,)</f>
        <v>0</v>
      </c>
      <c r="AY233" s="179">
        <f ca="1">IF(ISNUMBER(MATCH(DATEVALUE($A233),'recurring1_based on steps'!AY$1:AY$400,0)),AY$2,)</f>
        <v>0</v>
      </c>
    </row>
    <row r="234" spans="1:51" x14ac:dyDescent="0.2">
      <c r="A234" s="32" t="str">
        <f t="shared" ca="1" si="3"/>
        <v>2025-11-22</v>
      </c>
      <c r="B234" s="179">
        <f ca="1">IF(ISNUMBER(MATCH(DATEVALUE($A234),'recurring1_based on steps'!B$1:B$400,0)),B$2,)</f>
        <v>0</v>
      </c>
      <c r="C234" s="179">
        <f ca="1">IF(ISNUMBER(MATCH(DATEVALUE($A234),'recurring1_based on steps'!C$1:C$400,0)),C$2,)</f>
        <v>0</v>
      </c>
      <c r="D234" s="179">
        <f ca="1">IF(ISNUMBER(MATCH(DATEVALUE($A234),'recurring1_based on steps'!D$1:D$400,0)),D$2,)</f>
        <v>0</v>
      </c>
      <c r="E234" s="179">
        <f ca="1">IF(ISNUMBER(MATCH(DATEVALUE($A234),'recurring1_based on steps'!E$1:E$400,0)),E$2,)</f>
        <v>0</v>
      </c>
      <c r="F234" s="179">
        <f ca="1">IF(ISNUMBER(MATCH(DATEVALUE($A234),'recurring1_based on steps'!F$1:F$400,0)),F$2,)</f>
        <v>0</v>
      </c>
      <c r="G234" s="179">
        <f ca="1">IF(ISNUMBER(MATCH(DATEVALUE($A234),'recurring1_based on steps'!G$1:G$400,0)),G$2,)</f>
        <v>0</v>
      </c>
      <c r="H234" s="179">
        <f ca="1">IF(ISNUMBER(MATCH(DATEVALUE($A234),'recurring1_based on steps'!H$1:H$400,0)),H$2,)</f>
        <v>0</v>
      </c>
      <c r="I234" s="179">
        <f ca="1">IF(ISNUMBER(MATCH(DATEVALUE($A234),'recurring1_based on steps'!I$1:I$400,0)),I$2,)</f>
        <v>0</v>
      </c>
      <c r="J234" s="179">
        <f ca="1">IF(ISNUMBER(MATCH(DATEVALUE($A234),'recurring1_based on steps'!J$1:J$400,0)),J$2,)</f>
        <v>0</v>
      </c>
      <c r="K234" s="179">
        <f ca="1">IF(ISNUMBER(MATCH(DATEVALUE($A234),'recurring1_based on steps'!K$1:K$400,0)),K$2,)</f>
        <v>0</v>
      </c>
      <c r="L234" s="179">
        <f ca="1">IF(ISNUMBER(MATCH(DATEVALUE($A234),'recurring1_based on steps'!L$1:L$400,0)),L$2,)</f>
        <v>0</v>
      </c>
      <c r="M234" s="179">
        <f ca="1">IF(ISNUMBER(MATCH(DATEVALUE($A234),'recurring1_based on steps'!M$1:M$400,0)),M$2,)</f>
        <v>0</v>
      </c>
      <c r="N234" s="179">
        <f ca="1">IF(ISNUMBER(MATCH(DATEVALUE($A234),'recurring1_based on steps'!N$1:N$400,0)),N$2,)</f>
        <v>0</v>
      </c>
      <c r="O234" s="179">
        <f ca="1">IF(ISNUMBER(MATCH(DATEVALUE($A234),'recurring1_based on steps'!O$1:O$400,0)),O$2,)</f>
        <v>0</v>
      </c>
      <c r="P234" s="179">
        <f ca="1">IF(ISNUMBER(MATCH(DATEVALUE($A234),'recurring1_based on steps'!P$1:P$400,0)),P$2,)</f>
        <v>0</v>
      </c>
      <c r="Q234" s="179">
        <f ca="1">IF(ISNUMBER(MATCH(DATEVALUE($A234),'recurring1_based on steps'!Q$1:Q$400,0)),Q$2,)</f>
        <v>0</v>
      </c>
      <c r="R234" s="179">
        <f ca="1">IF(ISNUMBER(MATCH(DATEVALUE($A234),'recurring1_based on steps'!R$1:R$400,0)),R$2,)</f>
        <v>0</v>
      </c>
      <c r="S234" s="179">
        <f ca="1">IF(ISNUMBER(MATCH(DATEVALUE($A234),'recurring1_based on steps'!S$1:S$400,0)),S$2,)</f>
        <v>0</v>
      </c>
      <c r="T234" s="179">
        <f ca="1">IF(ISNUMBER(MATCH(DATEVALUE($A234),'recurring1_based on steps'!T$1:T$400,0)),T$2,)</f>
        <v>0</v>
      </c>
      <c r="U234" s="179">
        <f ca="1">IF(ISNUMBER(MATCH(DATEVALUE($A234),'recurring1_based on steps'!U$1:U$400,0)),U$2,)</f>
        <v>0</v>
      </c>
      <c r="V234" s="179">
        <f ca="1">IF(ISNUMBER(MATCH(DATEVALUE($A234),'recurring1_based on steps'!V$1:V$400,0)),V$2,)</f>
        <v>0</v>
      </c>
      <c r="W234" s="179">
        <f ca="1">IF(ISNUMBER(MATCH(DATEVALUE($A234),'recurring1_based on steps'!W$1:W$400,0)),W$2,)</f>
        <v>0</v>
      </c>
      <c r="X234" s="179">
        <f ca="1">IF(ISNUMBER(MATCH(DATEVALUE($A234),'recurring1_based on steps'!X$1:X$400,0)),X$2,)</f>
        <v>0</v>
      </c>
      <c r="Y234" s="179">
        <f ca="1">IF(ISNUMBER(MATCH(DATEVALUE($A234),'recurring1_based on steps'!Y$1:Y$400,0)),Y$2,)</f>
        <v>0</v>
      </c>
      <c r="Z234" s="179">
        <f ca="1">IF(ISNUMBER(MATCH(DATEVALUE($A234),'recurring1_based on steps'!Z$1:Z$400,0)),Z$2,)</f>
        <v>0</v>
      </c>
      <c r="AA234" s="179">
        <f ca="1">IF(ISNUMBER(MATCH(DATEVALUE($A234),'recurring1_based on steps'!AA$1:AA$400,0)),AA$2,)</f>
        <v>0</v>
      </c>
      <c r="AB234" s="179">
        <f ca="1">IF(ISNUMBER(MATCH(DATEVALUE($A234),'recurring1_based on steps'!AB$1:AB$400,0)),AB$2,)</f>
        <v>0</v>
      </c>
      <c r="AC234" s="179">
        <f ca="1">IF(ISNUMBER(MATCH(DATEVALUE($A234),'recurring1_based on steps'!AC$1:AC$400,0)),AC$2,)</f>
        <v>0</v>
      </c>
      <c r="AD234" s="179">
        <f ca="1">IF(ISNUMBER(MATCH(DATEVALUE($A234),'recurring1_based on steps'!AD$1:AD$400,0)),AD$2,)</f>
        <v>0</v>
      </c>
      <c r="AE234" s="179">
        <f ca="1">IF(ISNUMBER(MATCH(DATEVALUE($A234),'recurring1_based on steps'!AE$1:AE$400,0)),AE$2,)</f>
        <v>0</v>
      </c>
      <c r="AF234" s="179">
        <f ca="1">IF(ISNUMBER(MATCH(DATEVALUE($A234),'recurring1_based on steps'!AF$1:AF$400,0)),AF$2,)</f>
        <v>0</v>
      </c>
      <c r="AG234" s="179">
        <f ca="1">IF(ISNUMBER(MATCH(DATEVALUE($A234),'recurring1_based on steps'!AG$1:AG$400,0)),AG$2,)</f>
        <v>0</v>
      </c>
      <c r="AH234" s="179">
        <f ca="1">IF(ISNUMBER(MATCH(DATEVALUE($A234),'recurring1_based on steps'!AH$1:AH$400,0)),AH$2,)</f>
        <v>0</v>
      </c>
      <c r="AI234" s="179">
        <f ca="1">IF(ISNUMBER(MATCH(DATEVALUE($A234),'recurring1_based on steps'!AI$1:AI$400,0)),AI$2,)</f>
        <v>0</v>
      </c>
      <c r="AJ234" s="179">
        <f ca="1">IF(ISNUMBER(MATCH(DATEVALUE($A234),'recurring1_based on steps'!AJ$1:AJ$400,0)),AJ$2,)</f>
        <v>0</v>
      </c>
      <c r="AK234" s="179">
        <f ca="1">IF(ISNUMBER(MATCH(DATEVALUE($A234),'recurring1_based on steps'!AK$1:AK$400,0)),AK$2,)</f>
        <v>0</v>
      </c>
      <c r="AL234" s="179">
        <f ca="1">IF(ISNUMBER(MATCH(DATEVALUE($A234),'recurring1_based on steps'!AL$1:AL$400,0)),AL$2,)</f>
        <v>0</v>
      </c>
      <c r="AM234" s="179">
        <f ca="1">IF(ISNUMBER(MATCH(DATEVALUE($A234),'recurring1_based on steps'!AM$1:AM$400,0)),AM$2,)</f>
        <v>0</v>
      </c>
      <c r="AN234" s="179">
        <f ca="1">IF(ISNUMBER(MATCH(DATEVALUE($A234),'recurring1_based on steps'!AN$1:AN$400,0)),AN$2,)</f>
        <v>0</v>
      </c>
      <c r="AO234" s="179">
        <f ca="1">IF(ISNUMBER(MATCH(DATEVALUE($A234),'recurring1_based on steps'!AO$1:AO$400,0)),AO$2,)</f>
        <v>0</v>
      </c>
      <c r="AP234" s="179">
        <f ca="1">IF(ISNUMBER(MATCH(DATEVALUE($A234),'recurring1_based on steps'!AP$1:AP$400,0)),AP$2,)</f>
        <v>0</v>
      </c>
      <c r="AQ234" s="179">
        <f ca="1">IF(ISNUMBER(MATCH(DATEVALUE($A234),'recurring1_based on steps'!AQ$1:AQ$400,0)),AQ$2,)</f>
        <v>0</v>
      </c>
      <c r="AR234" s="179">
        <f ca="1">IF(ISNUMBER(MATCH(DATEVALUE($A234),'recurring1_based on steps'!AR$1:AR$400,0)),AR$2,)</f>
        <v>0</v>
      </c>
      <c r="AS234" s="179">
        <f ca="1">IF(ISNUMBER(MATCH(DATEVALUE($A234),'recurring1_based on steps'!AS$1:AS$400,0)),AS$2,)</f>
        <v>0</v>
      </c>
      <c r="AT234" s="179">
        <f ca="1">IF(ISNUMBER(MATCH(DATEVALUE($A234),'recurring1_based on steps'!AT$1:AT$400,0)),AT$2,)</f>
        <v>0</v>
      </c>
      <c r="AU234" s="179">
        <f ca="1">IF(ISNUMBER(MATCH(DATEVALUE($A234),'recurring1_based on steps'!AU$1:AU$400,0)),AU$2,)</f>
        <v>0</v>
      </c>
      <c r="AV234" s="179">
        <f ca="1">IF(ISNUMBER(MATCH(DATEVALUE($A234),'recurring1_based on steps'!AV$1:AV$400,0)),AV$2,)</f>
        <v>0</v>
      </c>
      <c r="AW234" s="179">
        <f ca="1">IF(ISNUMBER(MATCH(DATEVALUE($A234),'recurring1_based on steps'!AW$1:AW$400,0)),AW$2,)</f>
        <v>0</v>
      </c>
      <c r="AX234" s="179">
        <f ca="1">IF(ISNUMBER(MATCH(DATEVALUE($A234),'recurring1_based on steps'!AX$1:AX$400,0)),AX$2,)</f>
        <v>0</v>
      </c>
      <c r="AY234" s="179">
        <f ca="1">IF(ISNUMBER(MATCH(DATEVALUE($A234),'recurring1_based on steps'!AY$1:AY$400,0)),AY$2,)</f>
        <v>0</v>
      </c>
    </row>
    <row r="235" spans="1:51" x14ac:dyDescent="0.2">
      <c r="A235" s="32" t="str">
        <f t="shared" ca="1" si="3"/>
        <v>2025-11-23</v>
      </c>
      <c r="B235" s="179">
        <f ca="1">IF(ISNUMBER(MATCH(DATEVALUE($A235),'recurring1_based on steps'!B$1:B$400,0)),B$2,)</f>
        <v>0</v>
      </c>
      <c r="C235" s="179">
        <f ca="1">IF(ISNUMBER(MATCH(DATEVALUE($A235),'recurring1_based on steps'!C$1:C$400,0)),C$2,)</f>
        <v>0</v>
      </c>
      <c r="D235" s="179">
        <f ca="1">IF(ISNUMBER(MATCH(DATEVALUE($A235),'recurring1_based on steps'!D$1:D$400,0)),D$2,)</f>
        <v>0</v>
      </c>
      <c r="E235" s="179">
        <f ca="1">IF(ISNUMBER(MATCH(DATEVALUE($A235),'recurring1_based on steps'!E$1:E$400,0)),E$2,)</f>
        <v>0</v>
      </c>
      <c r="F235" s="179">
        <f ca="1">IF(ISNUMBER(MATCH(DATEVALUE($A235),'recurring1_based on steps'!F$1:F$400,0)),F$2,)</f>
        <v>0</v>
      </c>
      <c r="G235" s="179">
        <f ca="1">IF(ISNUMBER(MATCH(DATEVALUE($A235),'recurring1_based on steps'!G$1:G$400,0)),G$2,)</f>
        <v>0</v>
      </c>
      <c r="H235" s="179">
        <f ca="1">IF(ISNUMBER(MATCH(DATEVALUE($A235),'recurring1_based on steps'!H$1:H$400,0)),H$2,)</f>
        <v>0</v>
      </c>
      <c r="I235" s="179">
        <f ca="1">IF(ISNUMBER(MATCH(DATEVALUE($A235),'recurring1_based on steps'!I$1:I$400,0)),I$2,)</f>
        <v>0</v>
      </c>
      <c r="J235" s="179">
        <f ca="1">IF(ISNUMBER(MATCH(DATEVALUE($A235),'recurring1_based on steps'!J$1:J$400,0)),J$2,)</f>
        <v>0</v>
      </c>
      <c r="K235" s="179">
        <f ca="1">IF(ISNUMBER(MATCH(DATEVALUE($A235),'recurring1_based on steps'!K$1:K$400,0)),K$2,)</f>
        <v>0</v>
      </c>
      <c r="L235" s="179">
        <f ca="1">IF(ISNUMBER(MATCH(DATEVALUE($A235),'recurring1_based on steps'!L$1:L$400,0)),L$2,)</f>
        <v>0</v>
      </c>
      <c r="M235" s="179">
        <f ca="1">IF(ISNUMBER(MATCH(DATEVALUE($A235),'recurring1_based on steps'!M$1:M$400,0)),M$2,)</f>
        <v>0</v>
      </c>
      <c r="N235" s="179">
        <f ca="1">IF(ISNUMBER(MATCH(DATEVALUE($A235),'recurring1_based on steps'!N$1:N$400,0)),N$2,)</f>
        <v>0</v>
      </c>
      <c r="O235" s="179">
        <f ca="1">IF(ISNUMBER(MATCH(DATEVALUE($A235),'recurring1_based on steps'!O$1:O$400,0)),O$2,)</f>
        <v>0</v>
      </c>
      <c r="P235" s="179">
        <f ca="1">IF(ISNUMBER(MATCH(DATEVALUE($A235),'recurring1_based on steps'!P$1:P$400,0)),P$2,)</f>
        <v>0</v>
      </c>
      <c r="Q235" s="179">
        <f ca="1">IF(ISNUMBER(MATCH(DATEVALUE($A235),'recurring1_based on steps'!Q$1:Q$400,0)),Q$2,)</f>
        <v>0</v>
      </c>
      <c r="R235" s="179">
        <f ca="1">IF(ISNUMBER(MATCH(DATEVALUE($A235),'recurring1_based on steps'!R$1:R$400,0)),R$2,)</f>
        <v>0</v>
      </c>
      <c r="S235" s="179">
        <f ca="1">IF(ISNUMBER(MATCH(DATEVALUE($A235),'recurring1_based on steps'!S$1:S$400,0)),S$2,)</f>
        <v>0</v>
      </c>
      <c r="T235" s="179">
        <f ca="1">IF(ISNUMBER(MATCH(DATEVALUE($A235),'recurring1_based on steps'!T$1:T$400,0)),T$2,)</f>
        <v>0</v>
      </c>
      <c r="U235" s="179">
        <f ca="1">IF(ISNUMBER(MATCH(DATEVALUE($A235),'recurring1_based on steps'!U$1:U$400,0)),U$2,)</f>
        <v>0</v>
      </c>
      <c r="V235" s="179">
        <f ca="1">IF(ISNUMBER(MATCH(DATEVALUE($A235),'recurring1_based on steps'!V$1:V$400,0)),V$2,)</f>
        <v>0</v>
      </c>
      <c r="W235" s="179">
        <f ca="1">IF(ISNUMBER(MATCH(DATEVALUE($A235),'recurring1_based on steps'!W$1:W$400,0)),W$2,)</f>
        <v>0</v>
      </c>
      <c r="X235" s="179">
        <f ca="1">IF(ISNUMBER(MATCH(DATEVALUE($A235),'recurring1_based on steps'!X$1:X$400,0)),X$2,)</f>
        <v>0</v>
      </c>
      <c r="Y235" s="179">
        <f ca="1">IF(ISNUMBER(MATCH(DATEVALUE($A235),'recurring1_based on steps'!Y$1:Y$400,0)),Y$2,)</f>
        <v>0</v>
      </c>
      <c r="Z235" s="179">
        <f ca="1">IF(ISNUMBER(MATCH(DATEVALUE($A235),'recurring1_based on steps'!Z$1:Z$400,0)),Z$2,)</f>
        <v>0</v>
      </c>
      <c r="AA235" s="179">
        <f ca="1">IF(ISNUMBER(MATCH(DATEVALUE($A235),'recurring1_based on steps'!AA$1:AA$400,0)),AA$2,)</f>
        <v>0</v>
      </c>
      <c r="AB235" s="179">
        <f ca="1">IF(ISNUMBER(MATCH(DATEVALUE($A235),'recurring1_based on steps'!AB$1:AB$400,0)),AB$2,)</f>
        <v>0</v>
      </c>
      <c r="AC235" s="179">
        <f ca="1">IF(ISNUMBER(MATCH(DATEVALUE($A235),'recurring1_based on steps'!AC$1:AC$400,0)),AC$2,)</f>
        <v>0</v>
      </c>
      <c r="AD235" s="179">
        <f ca="1">IF(ISNUMBER(MATCH(DATEVALUE($A235),'recurring1_based on steps'!AD$1:AD$400,0)),AD$2,)</f>
        <v>0</v>
      </c>
      <c r="AE235" s="179">
        <f ca="1">IF(ISNUMBER(MATCH(DATEVALUE($A235),'recurring1_based on steps'!AE$1:AE$400,0)),AE$2,)</f>
        <v>0</v>
      </c>
      <c r="AF235" s="179">
        <f ca="1">IF(ISNUMBER(MATCH(DATEVALUE($A235),'recurring1_based on steps'!AF$1:AF$400,0)),AF$2,)</f>
        <v>0</v>
      </c>
      <c r="AG235" s="179">
        <f ca="1">IF(ISNUMBER(MATCH(DATEVALUE($A235),'recurring1_based on steps'!AG$1:AG$400,0)),AG$2,)</f>
        <v>0</v>
      </c>
      <c r="AH235" s="179">
        <f ca="1">IF(ISNUMBER(MATCH(DATEVALUE($A235),'recurring1_based on steps'!AH$1:AH$400,0)),AH$2,)</f>
        <v>0</v>
      </c>
      <c r="AI235" s="179">
        <f ca="1">IF(ISNUMBER(MATCH(DATEVALUE($A235),'recurring1_based on steps'!AI$1:AI$400,0)),AI$2,)</f>
        <v>0</v>
      </c>
      <c r="AJ235" s="179">
        <f ca="1">IF(ISNUMBER(MATCH(DATEVALUE($A235),'recurring1_based on steps'!AJ$1:AJ$400,0)),AJ$2,)</f>
        <v>0</v>
      </c>
      <c r="AK235" s="179">
        <f ca="1">IF(ISNUMBER(MATCH(DATEVALUE($A235),'recurring1_based on steps'!AK$1:AK$400,0)),AK$2,)</f>
        <v>0</v>
      </c>
      <c r="AL235" s="179">
        <f ca="1">IF(ISNUMBER(MATCH(DATEVALUE($A235),'recurring1_based on steps'!AL$1:AL$400,0)),AL$2,)</f>
        <v>0</v>
      </c>
      <c r="AM235" s="179">
        <f ca="1">IF(ISNUMBER(MATCH(DATEVALUE($A235),'recurring1_based on steps'!AM$1:AM$400,0)),AM$2,)</f>
        <v>0</v>
      </c>
      <c r="AN235" s="179">
        <f ca="1">IF(ISNUMBER(MATCH(DATEVALUE($A235),'recurring1_based on steps'!AN$1:AN$400,0)),AN$2,)</f>
        <v>0</v>
      </c>
      <c r="AO235" s="179">
        <f ca="1">IF(ISNUMBER(MATCH(DATEVALUE($A235),'recurring1_based on steps'!AO$1:AO$400,0)),AO$2,)</f>
        <v>0</v>
      </c>
      <c r="AP235" s="179">
        <f ca="1">IF(ISNUMBER(MATCH(DATEVALUE($A235),'recurring1_based on steps'!AP$1:AP$400,0)),AP$2,)</f>
        <v>0</v>
      </c>
      <c r="AQ235" s="179">
        <f ca="1">IF(ISNUMBER(MATCH(DATEVALUE($A235),'recurring1_based on steps'!AQ$1:AQ$400,0)),AQ$2,)</f>
        <v>0</v>
      </c>
      <c r="AR235" s="179">
        <f ca="1">IF(ISNUMBER(MATCH(DATEVALUE($A235),'recurring1_based on steps'!AR$1:AR$400,0)),AR$2,)</f>
        <v>0</v>
      </c>
      <c r="AS235" s="179">
        <f ca="1">IF(ISNUMBER(MATCH(DATEVALUE($A235),'recurring1_based on steps'!AS$1:AS$400,0)),AS$2,)</f>
        <v>0</v>
      </c>
      <c r="AT235" s="179">
        <f ca="1">IF(ISNUMBER(MATCH(DATEVALUE($A235),'recurring1_based on steps'!AT$1:AT$400,0)),AT$2,)</f>
        <v>0</v>
      </c>
      <c r="AU235" s="179">
        <f ca="1">IF(ISNUMBER(MATCH(DATEVALUE($A235),'recurring1_based on steps'!AU$1:AU$400,0)),AU$2,)</f>
        <v>0</v>
      </c>
      <c r="AV235" s="179">
        <f ca="1">IF(ISNUMBER(MATCH(DATEVALUE($A235),'recurring1_based on steps'!AV$1:AV$400,0)),AV$2,)</f>
        <v>0</v>
      </c>
      <c r="AW235" s="179">
        <f ca="1">IF(ISNUMBER(MATCH(DATEVALUE($A235),'recurring1_based on steps'!AW$1:AW$400,0)),AW$2,)</f>
        <v>0</v>
      </c>
      <c r="AX235" s="179">
        <f ca="1">IF(ISNUMBER(MATCH(DATEVALUE($A235),'recurring1_based on steps'!AX$1:AX$400,0)),AX$2,)</f>
        <v>0</v>
      </c>
      <c r="AY235" s="179">
        <f ca="1">IF(ISNUMBER(MATCH(DATEVALUE($A235),'recurring1_based on steps'!AY$1:AY$400,0)),AY$2,)</f>
        <v>0</v>
      </c>
    </row>
    <row r="236" spans="1:51" x14ac:dyDescent="0.2">
      <c r="A236" s="32" t="str">
        <f t="shared" ca="1" si="3"/>
        <v>2025-11-24</v>
      </c>
      <c r="B236" s="179">
        <f ca="1">IF(ISNUMBER(MATCH(DATEVALUE($A236),'recurring1_based on steps'!B$1:B$400,0)),B$2,)</f>
        <v>0</v>
      </c>
      <c r="C236" s="179">
        <f ca="1">IF(ISNUMBER(MATCH(DATEVALUE($A236),'recurring1_based on steps'!C$1:C$400,0)),C$2,)</f>
        <v>0</v>
      </c>
      <c r="D236" s="179">
        <f ca="1">IF(ISNUMBER(MATCH(DATEVALUE($A236),'recurring1_based on steps'!D$1:D$400,0)),D$2,)</f>
        <v>0</v>
      </c>
      <c r="E236" s="179">
        <f ca="1">IF(ISNUMBER(MATCH(DATEVALUE($A236),'recurring1_based on steps'!E$1:E$400,0)),E$2,)</f>
        <v>0</v>
      </c>
      <c r="F236" s="179">
        <f ca="1">IF(ISNUMBER(MATCH(DATEVALUE($A236),'recurring1_based on steps'!F$1:F$400,0)),F$2,)</f>
        <v>0</v>
      </c>
      <c r="G236" s="179">
        <f ca="1">IF(ISNUMBER(MATCH(DATEVALUE($A236),'recurring1_based on steps'!G$1:G$400,0)),G$2,)</f>
        <v>0</v>
      </c>
      <c r="H236" s="179">
        <f ca="1">IF(ISNUMBER(MATCH(DATEVALUE($A236),'recurring1_based on steps'!H$1:H$400,0)),H$2,)</f>
        <v>0</v>
      </c>
      <c r="I236" s="179">
        <f ca="1">IF(ISNUMBER(MATCH(DATEVALUE($A236),'recurring1_based on steps'!I$1:I$400,0)),I$2,)</f>
        <v>0</v>
      </c>
      <c r="J236" s="179">
        <f ca="1">IF(ISNUMBER(MATCH(DATEVALUE($A236),'recurring1_based on steps'!J$1:J$400,0)),J$2,)</f>
        <v>0</v>
      </c>
      <c r="K236" s="179">
        <f ca="1">IF(ISNUMBER(MATCH(DATEVALUE($A236),'recurring1_based on steps'!K$1:K$400,0)),K$2,)</f>
        <v>0</v>
      </c>
      <c r="L236" s="179">
        <f ca="1">IF(ISNUMBER(MATCH(DATEVALUE($A236),'recurring1_based on steps'!L$1:L$400,0)),L$2,)</f>
        <v>0</v>
      </c>
      <c r="M236" s="179">
        <f ca="1">IF(ISNUMBER(MATCH(DATEVALUE($A236),'recurring1_based on steps'!M$1:M$400,0)),M$2,)</f>
        <v>0</v>
      </c>
      <c r="N236" s="179">
        <f ca="1">IF(ISNUMBER(MATCH(DATEVALUE($A236),'recurring1_based on steps'!N$1:N$400,0)),N$2,)</f>
        <v>0</v>
      </c>
      <c r="O236" s="179">
        <f ca="1">IF(ISNUMBER(MATCH(DATEVALUE($A236),'recurring1_based on steps'!O$1:O$400,0)),O$2,)</f>
        <v>0</v>
      </c>
      <c r="P236" s="179">
        <f ca="1">IF(ISNUMBER(MATCH(DATEVALUE($A236),'recurring1_based on steps'!P$1:P$400,0)),P$2,)</f>
        <v>0</v>
      </c>
      <c r="Q236" s="179">
        <f ca="1">IF(ISNUMBER(MATCH(DATEVALUE($A236),'recurring1_based on steps'!Q$1:Q$400,0)),Q$2,)</f>
        <v>0</v>
      </c>
      <c r="R236" s="179">
        <f ca="1">IF(ISNUMBER(MATCH(DATEVALUE($A236),'recurring1_based on steps'!R$1:R$400,0)),R$2,)</f>
        <v>0</v>
      </c>
      <c r="S236" s="179">
        <f ca="1">IF(ISNUMBER(MATCH(DATEVALUE($A236),'recurring1_based on steps'!S$1:S$400,0)),S$2,)</f>
        <v>0</v>
      </c>
      <c r="T236" s="179">
        <f ca="1">IF(ISNUMBER(MATCH(DATEVALUE($A236),'recurring1_based on steps'!T$1:T$400,0)),T$2,)</f>
        <v>0</v>
      </c>
      <c r="U236" s="179">
        <f ca="1">IF(ISNUMBER(MATCH(DATEVALUE($A236),'recurring1_based on steps'!U$1:U$400,0)),U$2,)</f>
        <v>0</v>
      </c>
      <c r="V236" s="179">
        <f ca="1">IF(ISNUMBER(MATCH(DATEVALUE($A236),'recurring1_based on steps'!V$1:V$400,0)),V$2,)</f>
        <v>0</v>
      </c>
      <c r="W236" s="179">
        <f ca="1">IF(ISNUMBER(MATCH(DATEVALUE($A236),'recurring1_based on steps'!W$1:W$400,0)),W$2,)</f>
        <v>0</v>
      </c>
      <c r="X236" s="179">
        <f ca="1">IF(ISNUMBER(MATCH(DATEVALUE($A236),'recurring1_based on steps'!X$1:X$400,0)),X$2,)</f>
        <v>0</v>
      </c>
      <c r="Y236" s="179">
        <f ca="1">IF(ISNUMBER(MATCH(DATEVALUE($A236),'recurring1_based on steps'!Y$1:Y$400,0)),Y$2,)</f>
        <v>0</v>
      </c>
      <c r="Z236" s="179">
        <f ca="1">IF(ISNUMBER(MATCH(DATEVALUE($A236),'recurring1_based on steps'!Z$1:Z$400,0)),Z$2,)</f>
        <v>0</v>
      </c>
      <c r="AA236" s="179">
        <f ca="1">IF(ISNUMBER(MATCH(DATEVALUE($A236),'recurring1_based on steps'!AA$1:AA$400,0)),AA$2,)</f>
        <v>0</v>
      </c>
      <c r="AB236" s="179">
        <f ca="1">IF(ISNUMBER(MATCH(DATEVALUE($A236),'recurring1_based on steps'!AB$1:AB$400,0)),AB$2,)</f>
        <v>0</v>
      </c>
      <c r="AC236" s="179">
        <f ca="1">IF(ISNUMBER(MATCH(DATEVALUE($A236),'recurring1_based on steps'!AC$1:AC$400,0)),AC$2,)</f>
        <v>0</v>
      </c>
      <c r="AD236" s="179">
        <f ca="1">IF(ISNUMBER(MATCH(DATEVALUE($A236),'recurring1_based on steps'!AD$1:AD$400,0)),AD$2,)</f>
        <v>0</v>
      </c>
      <c r="AE236" s="179">
        <f ca="1">IF(ISNUMBER(MATCH(DATEVALUE($A236),'recurring1_based on steps'!AE$1:AE$400,0)),AE$2,)</f>
        <v>0</v>
      </c>
      <c r="AF236" s="179">
        <f ca="1">IF(ISNUMBER(MATCH(DATEVALUE($A236),'recurring1_based on steps'!AF$1:AF$400,0)),AF$2,)</f>
        <v>0</v>
      </c>
      <c r="AG236" s="179">
        <f ca="1">IF(ISNUMBER(MATCH(DATEVALUE($A236),'recurring1_based on steps'!AG$1:AG$400,0)),AG$2,)</f>
        <v>0</v>
      </c>
      <c r="AH236" s="179">
        <f ca="1">IF(ISNUMBER(MATCH(DATEVALUE($A236),'recurring1_based on steps'!AH$1:AH$400,0)),AH$2,)</f>
        <v>0</v>
      </c>
      <c r="AI236" s="179">
        <f ca="1">IF(ISNUMBER(MATCH(DATEVALUE($A236),'recurring1_based on steps'!AI$1:AI$400,0)),AI$2,)</f>
        <v>0</v>
      </c>
      <c r="AJ236" s="179">
        <f ca="1">IF(ISNUMBER(MATCH(DATEVALUE($A236),'recurring1_based on steps'!AJ$1:AJ$400,0)),AJ$2,)</f>
        <v>0</v>
      </c>
      <c r="AK236" s="179">
        <f ca="1">IF(ISNUMBER(MATCH(DATEVALUE($A236),'recurring1_based on steps'!AK$1:AK$400,0)),AK$2,)</f>
        <v>0</v>
      </c>
      <c r="AL236" s="179">
        <f ca="1">IF(ISNUMBER(MATCH(DATEVALUE($A236),'recurring1_based on steps'!AL$1:AL$400,0)),AL$2,)</f>
        <v>0</v>
      </c>
      <c r="AM236" s="179">
        <f ca="1">IF(ISNUMBER(MATCH(DATEVALUE($A236),'recurring1_based on steps'!AM$1:AM$400,0)),AM$2,)</f>
        <v>0</v>
      </c>
      <c r="AN236" s="179">
        <f ca="1">IF(ISNUMBER(MATCH(DATEVALUE($A236),'recurring1_based on steps'!AN$1:AN$400,0)),AN$2,)</f>
        <v>0</v>
      </c>
      <c r="AO236" s="179">
        <f ca="1">IF(ISNUMBER(MATCH(DATEVALUE($A236),'recurring1_based on steps'!AO$1:AO$400,0)),AO$2,)</f>
        <v>0</v>
      </c>
      <c r="AP236" s="179">
        <f ca="1">IF(ISNUMBER(MATCH(DATEVALUE($A236),'recurring1_based on steps'!AP$1:AP$400,0)),AP$2,)</f>
        <v>0</v>
      </c>
      <c r="AQ236" s="179">
        <f ca="1">IF(ISNUMBER(MATCH(DATEVALUE($A236),'recurring1_based on steps'!AQ$1:AQ$400,0)),AQ$2,)</f>
        <v>0</v>
      </c>
      <c r="AR236" s="179">
        <f ca="1">IF(ISNUMBER(MATCH(DATEVALUE($A236),'recurring1_based on steps'!AR$1:AR$400,0)),AR$2,)</f>
        <v>0</v>
      </c>
      <c r="AS236" s="179">
        <f ca="1">IF(ISNUMBER(MATCH(DATEVALUE($A236),'recurring1_based on steps'!AS$1:AS$400,0)),AS$2,)</f>
        <v>0</v>
      </c>
      <c r="AT236" s="179">
        <f ca="1">IF(ISNUMBER(MATCH(DATEVALUE($A236),'recurring1_based on steps'!AT$1:AT$400,0)),AT$2,)</f>
        <v>0</v>
      </c>
      <c r="AU236" s="179">
        <f ca="1">IF(ISNUMBER(MATCH(DATEVALUE($A236),'recurring1_based on steps'!AU$1:AU$400,0)),AU$2,)</f>
        <v>0</v>
      </c>
      <c r="AV236" s="179">
        <f ca="1">IF(ISNUMBER(MATCH(DATEVALUE($A236),'recurring1_based on steps'!AV$1:AV$400,0)),AV$2,)</f>
        <v>0</v>
      </c>
      <c r="AW236" s="179">
        <f ca="1">IF(ISNUMBER(MATCH(DATEVALUE($A236),'recurring1_based on steps'!AW$1:AW$400,0)),AW$2,)</f>
        <v>0</v>
      </c>
      <c r="AX236" s="179">
        <f ca="1">IF(ISNUMBER(MATCH(DATEVALUE($A236),'recurring1_based on steps'!AX$1:AX$400,0)),AX$2,)</f>
        <v>0</v>
      </c>
      <c r="AY236" s="179">
        <f ca="1">IF(ISNUMBER(MATCH(DATEVALUE($A236),'recurring1_based on steps'!AY$1:AY$400,0)),AY$2,)</f>
        <v>0</v>
      </c>
    </row>
    <row r="237" spans="1:51" x14ac:dyDescent="0.2">
      <c r="A237" s="32" t="str">
        <f t="shared" ca="1" si="3"/>
        <v>2025-11-25</v>
      </c>
      <c r="B237" s="179">
        <f ca="1">IF(ISNUMBER(MATCH(DATEVALUE($A237),'recurring1_based on steps'!B$1:B$400,0)),B$2,)</f>
        <v>0</v>
      </c>
      <c r="C237" s="179">
        <f ca="1">IF(ISNUMBER(MATCH(DATEVALUE($A237),'recurring1_based on steps'!C$1:C$400,0)),C$2,)</f>
        <v>0</v>
      </c>
      <c r="D237" s="179">
        <f ca="1">IF(ISNUMBER(MATCH(DATEVALUE($A237),'recurring1_based on steps'!D$1:D$400,0)),D$2,)</f>
        <v>0</v>
      </c>
      <c r="E237" s="179">
        <f ca="1">IF(ISNUMBER(MATCH(DATEVALUE($A237),'recurring1_based on steps'!E$1:E$400,0)),E$2,)</f>
        <v>0</v>
      </c>
      <c r="F237" s="179">
        <f ca="1">IF(ISNUMBER(MATCH(DATEVALUE($A237),'recurring1_based on steps'!F$1:F$400,0)),F$2,)</f>
        <v>0</v>
      </c>
      <c r="G237" s="179">
        <f ca="1">IF(ISNUMBER(MATCH(DATEVALUE($A237),'recurring1_based on steps'!G$1:G$400,0)),G$2,)</f>
        <v>0</v>
      </c>
      <c r="H237" s="179">
        <f ca="1">IF(ISNUMBER(MATCH(DATEVALUE($A237),'recurring1_based on steps'!H$1:H$400,0)),H$2,)</f>
        <v>0</v>
      </c>
      <c r="I237" s="179">
        <f ca="1">IF(ISNUMBER(MATCH(DATEVALUE($A237),'recurring1_based on steps'!I$1:I$400,0)),I$2,)</f>
        <v>0</v>
      </c>
      <c r="J237" s="179">
        <f ca="1">IF(ISNUMBER(MATCH(DATEVALUE($A237),'recurring1_based on steps'!J$1:J$400,0)),J$2,)</f>
        <v>0</v>
      </c>
      <c r="K237" s="179">
        <f ca="1">IF(ISNUMBER(MATCH(DATEVALUE($A237),'recurring1_based on steps'!K$1:K$400,0)),K$2,)</f>
        <v>0</v>
      </c>
      <c r="L237" s="179">
        <f ca="1">IF(ISNUMBER(MATCH(DATEVALUE($A237),'recurring1_based on steps'!L$1:L$400,0)),L$2,)</f>
        <v>0</v>
      </c>
      <c r="M237" s="179">
        <f ca="1">IF(ISNUMBER(MATCH(DATEVALUE($A237),'recurring1_based on steps'!M$1:M$400,0)),M$2,)</f>
        <v>0</v>
      </c>
      <c r="N237" s="179">
        <f ca="1">IF(ISNUMBER(MATCH(DATEVALUE($A237),'recurring1_based on steps'!N$1:N$400,0)),N$2,)</f>
        <v>0</v>
      </c>
      <c r="O237" s="179">
        <f ca="1">IF(ISNUMBER(MATCH(DATEVALUE($A237),'recurring1_based on steps'!O$1:O$400,0)),O$2,)</f>
        <v>0</v>
      </c>
      <c r="P237" s="179">
        <f ca="1">IF(ISNUMBER(MATCH(DATEVALUE($A237),'recurring1_based on steps'!P$1:P$400,0)),P$2,)</f>
        <v>0</v>
      </c>
      <c r="Q237" s="179">
        <f ca="1">IF(ISNUMBER(MATCH(DATEVALUE($A237),'recurring1_based on steps'!Q$1:Q$400,0)),Q$2,)</f>
        <v>0</v>
      </c>
      <c r="R237" s="179">
        <f ca="1">IF(ISNUMBER(MATCH(DATEVALUE($A237),'recurring1_based on steps'!R$1:R$400,0)),R$2,)</f>
        <v>0</v>
      </c>
      <c r="S237" s="179">
        <f ca="1">IF(ISNUMBER(MATCH(DATEVALUE($A237),'recurring1_based on steps'!S$1:S$400,0)),S$2,)</f>
        <v>0</v>
      </c>
      <c r="T237" s="179">
        <f ca="1">IF(ISNUMBER(MATCH(DATEVALUE($A237),'recurring1_based on steps'!T$1:T$400,0)),T$2,)</f>
        <v>0</v>
      </c>
      <c r="U237" s="179">
        <f ca="1">IF(ISNUMBER(MATCH(DATEVALUE($A237),'recurring1_based on steps'!U$1:U$400,0)),U$2,)</f>
        <v>0</v>
      </c>
      <c r="V237" s="179">
        <f ca="1">IF(ISNUMBER(MATCH(DATEVALUE($A237),'recurring1_based on steps'!V$1:V$400,0)),V$2,)</f>
        <v>0</v>
      </c>
      <c r="W237" s="179">
        <f ca="1">IF(ISNUMBER(MATCH(DATEVALUE($A237),'recurring1_based on steps'!W$1:W$400,0)),W$2,)</f>
        <v>0</v>
      </c>
      <c r="X237" s="179">
        <f ca="1">IF(ISNUMBER(MATCH(DATEVALUE($A237),'recurring1_based on steps'!X$1:X$400,0)),X$2,)</f>
        <v>0</v>
      </c>
      <c r="Y237" s="179">
        <f ca="1">IF(ISNUMBER(MATCH(DATEVALUE($A237),'recurring1_based on steps'!Y$1:Y$400,0)),Y$2,)</f>
        <v>0</v>
      </c>
      <c r="Z237" s="179">
        <f ca="1">IF(ISNUMBER(MATCH(DATEVALUE($A237),'recurring1_based on steps'!Z$1:Z$400,0)),Z$2,)</f>
        <v>0</v>
      </c>
      <c r="AA237" s="179">
        <f ca="1">IF(ISNUMBER(MATCH(DATEVALUE($A237),'recurring1_based on steps'!AA$1:AA$400,0)),AA$2,)</f>
        <v>0</v>
      </c>
      <c r="AB237" s="179">
        <f ca="1">IF(ISNUMBER(MATCH(DATEVALUE($A237),'recurring1_based on steps'!AB$1:AB$400,0)),AB$2,)</f>
        <v>0</v>
      </c>
      <c r="AC237" s="179">
        <f ca="1">IF(ISNUMBER(MATCH(DATEVALUE($A237),'recurring1_based on steps'!AC$1:AC$400,0)),AC$2,)</f>
        <v>0</v>
      </c>
      <c r="AD237" s="179">
        <f ca="1">IF(ISNUMBER(MATCH(DATEVALUE($A237),'recurring1_based on steps'!AD$1:AD$400,0)),AD$2,)</f>
        <v>0</v>
      </c>
      <c r="AE237" s="179">
        <f ca="1">IF(ISNUMBER(MATCH(DATEVALUE($A237),'recurring1_based on steps'!AE$1:AE$400,0)),AE$2,)</f>
        <v>0</v>
      </c>
      <c r="AF237" s="179">
        <f ca="1">IF(ISNUMBER(MATCH(DATEVALUE($A237),'recurring1_based on steps'!AF$1:AF$400,0)),AF$2,)</f>
        <v>0</v>
      </c>
      <c r="AG237" s="179">
        <f ca="1">IF(ISNUMBER(MATCH(DATEVALUE($A237),'recurring1_based on steps'!AG$1:AG$400,0)),AG$2,)</f>
        <v>0</v>
      </c>
      <c r="AH237" s="179">
        <f ca="1">IF(ISNUMBER(MATCH(DATEVALUE($A237),'recurring1_based on steps'!AH$1:AH$400,0)),AH$2,)</f>
        <v>0</v>
      </c>
      <c r="AI237" s="179">
        <f ca="1">IF(ISNUMBER(MATCH(DATEVALUE($A237),'recurring1_based on steps'!AI$1:AI$400,0)),AI$2,)</f>
        <v>0</v>
      </c>
      <c r="AJ237" s="179">
        <f ca="1">IF(ISNUMBER(MATCH(DATEVALUE($A237),'recurring1_based on steps'!AJ$1:AJ$400,0)),AJ$2,)</f>
        <v>0</v>
      </c>
      <c r="AK237" s="179">
        <f ca="1">IF(ISNUMBER(MATCH(DATEVALUE($A237),'recurring1_based on steps'!AK$1:AK$400,0)),AK$2,)</f>
        <v>0</v>
      </c>
      <c r="AL237" s="179">
        <f ca="1">IF(ISNUMBER(MATCH(DATEVALUE($A237),'recurring1_based on steps'!AL$1:AL$400,0)),AL$2,)</f>
        <v>0</v>
      </c>
      <c r="AM237" s="179">
        <f ca="1">IF(ISNUMBER(MATCH(DATEVALUE($A237),'recurring1_based on steps'!AM$1:AM$400,0)),AM$2,)</f>
        <v>0</v>
      </c>
      <c r="AN237" s="179">
        <f ca="1">IF(ISNUMBER(MATCH(DATEVALUE($A237),'recurring1_based on steps'!AN$1:AN$400,0)),AN$2,)</f>
        <v>0</v>
      </c>
      <c r="AO237" s="179">
        <f ca="1">IF(ISNUMBER(MATCH(DATEVALUE($A237),'recurring1_based on steps'!AO$1:AO$400,0)),AO$2,)</f>
        <v>0</v>
      </c>
      <c r="AP237" s="179">
        <f ca="1">IF(ISNUMBER(MATCH(DATEVALUE($A237),'recurring1_based on steps'!AP$1:AP$400,0)),AP$2,)</f>
        <v>0</v>
      </c>
      <c r="AQ237" s="179">
        <f ca="1">IF(ISNUMBER(MATCH(DATEVALUE($A237),'recurring1_based on steps'!AQ$1:AQ$400,0)),AQ$2,)</f>
        <v>0</v>
      </c>
      <c r="AR237" s="179">
        <f ca="1">IF(ISNUMBER(MATCH(DATEVALUE($A237),'recurring1_based on steps'!AR$1:AR$400,0)),AR$2,)</f>
        <v>0</v>
      </c>
      <c r="AS237" s="179">
        <f ca="1">IF(ISNUMBER(MATCH(DATEVALUE($A237),'recurring1_based on steps'!AS$1:AS$400,0)),AS$2,)</f>
        <v>0</v>
      </c>
      <c r="AT237" s="179">
        <f ca="1">IF(ISNUMBER(MATCH(DATEVALUE($A237),'recurring1_based on steps'!AT$1:AT$400,0)),AT$2,)</f>
        <v>0</v>
      </c>
      <c r="AU237" s="179">
        <f ca="1">IF(ISNUMBER(MATCH(DATEVALUE($A237),'recurring1_based on steps'!AU$1:AU$400,0)),AU$2,)</f>
        <v>0</v>
      </c>
      <c r="AV237" s="179">
        <f ca="1">IF(ISNUMBER(MATCH(DATEVALUE($A237),'recurring1_based on steps'!AV$1:AV$400,0)),AV$2,)</f>
        <v>0</v>
      </c>
      <c r="AW237" s="179">
        <f ca="1">IF(ISNUMBER(MATCH(DATEVALUE($A237),'recurring1_based on steps'!AW$1:AW$400,0)),AW$2,)</f>
        <v>0</v>
      </c>
      <c r="AX237" s="179">
        <f ca="1">IF(ISNUMBER(MATCH(DATEVALUE($A237),'recurring1_based on steps'!AX$1:AX$400,0)),AX$2,)</f>
        <v>0</v>
      </c>
      <c r="AY237" s="179">
        <f ca="1">IF(ISNUMBER(MATCH(DATEVALUE($A237),'recurring1_based on steps'!AY$1:AY$400,0)),AY$2,)</f>
        <v>0</v>
      </c>
    </row>
    <row r="238" spans="1:51" x14ac:dyDescent="0.2">
      <c r="A238" s="32" t="str">
        <f t="shared" ca="1" si="3"/>
        <v>2025-11-26</v>
      </c>
      <c r="B238" s="179">
        <f ca="1">IF(ISNUMBER(MATCH(DATEVALUE($A238),'recurring1_based on steps'!B$1:B$400,0)),B$2,)</f>
        <v>0</v>
      </c>
      <c r="C238" s="179">
        <f ca="1">IF(ISNUMBER(MATCH(DATEVALUE($A238),'recurring1_based on steps'!C$1:C$400,0)),C$2,)</f>
        <v>0</v>
      </c>
      <c r="D238" s="179">
        <f ca="1">IF(ISNUMBER(MATCH(DATEVALUE($A238),'recurring1_based on steps'!D$1:D$400,0)),D$2,)</f>
        <v>0</v>
      </c>
      <c r="E238" s="179">
        <f ca="1">IF(ISNUMBER(MATCH(DATEVALUE($A238),'recurring1_based on steps'!E$1:E$400,0)),E$2,)</f>
        <v>0</v>
      </c>
      <c r="F238" s="179">
        <f ca="1">IF(ISNUMBER(MATCH(DATEVALUE($A238),'recurring1_based on steps'!F$1:F$400,0)),F$2,)</f>
        <v>0</v>
      </c>
      <c r="G238" s="179">
        <f ca="1">IF(ISNUMBER(MATCH(DATEVALUE($A238),'recurring1_based on steps'!G$1:G$400,0)),G$2,)</f>
        <v>0</v>
      </c>
      <c r="H238" s="179">
        <f ca="1">IF(ISNUMBER(MATCH(DATEVALUE($A238),'recurring1_based on steps'!H$1:H$400,0)),H$2,)</f>
        <v>0</v>
      </c>
      <c r="I238" s="179">
        <f ca="1">IF(ISNUMBER(MATCH(DATEVALUE($A238),'recurring1_based on steps'!I$1:I$400,0)),I$2,)</f>
        <v>0</v>
      </c>
      <c r="J238" s="179">
        <f ca="1">IF(ISNUMBER(MATCH(DATEVALUE($A238),'recurring1_based on steps'!J$1:J$400,0)),J$2,)</f>
        <v>0</v>
      </c>
      <c r="K238" s="179">
        <f ca="1">IF(ISNUMBER(MATCH(DATEVALUE($A238),'recurring1_based on steps'!K$1:K$400,0)),K$2,)</f>
        <v>0</v>
      </c>
      <c r="L238" s="179">
        <f ca="1">IF(ISNUMBER(MATCH(DATEVALUE($A238),'recurring1_based on steps'!L$1:L$400,0)),L$2,)</f>
        <v>0</v>
      </c>
      <c r="M238" s="179">
        <f ca="1">IF(ISNUMBER(MATCH(DATEVALUE($A238),'recurring1_based on steps'!M$1:M$400,0)),M$2,)</f>
        <v>0</v>
      </c>
      <c r="N238" s="179">
        <f ca="1">IF(ISNUMBER(MATCH(DATEVALUE($A238),'recurring1_based on steps'!N$1:N$400,0)),N$2,)</f>
        <v>0</v>
      </c>
      <c r="O238" s="179">
        <f ca="1">IF(ISNUMBER(MATCH(DATEVALUE($A238),'recurring1_based on steps'!O$1:O$400,0)),O$2,)</f>
        <v>0</v>
      </c>
      <c r="P238" s="179">
        <f ca="1">IF(ISNUMBER(MATCH(DATEVALUE($A238),'recurring1_based on steps'!P$1:P$400,0)),P$2,)</f>
        <v>0</v>
      </c>
      <c r="Q238" s="179">
        <f ca="1">IF(ISNUMBER(MATCH(DATEVALUE($A238),'recurring1_based on steps'!Q$1:Q$400,0)),Q$2,)</f>
        <v>0</v>
      </c>
      <c r="R238" s="179">
        <f ca="1">IF(ISNUMBER(MATCH(DATEVALUE($A238),'recurring1_based on steps'!R$1:R$400,0)),R$2,)</f>
        <v>0</v>
      </c>
      <c r="S238" s="179">
        <f ca="1">IF(ISNUMBER(MATCH(DATEVALUE($A238),'recurring1_based on steps'!S$1:S$400,0)),S$2,)</f>
        <v>0</v>
      </c>
      <c r="T238" s="179">
        <f ca="1">IF(ISNUMBER(MATCH(DATEVALUE($A238),'recurring1_based on steps'!T$1:T$400,0)),T$2,)</f>
        <v>0</v>
      </c>
      <c r="U238" s="179">
        <f ca="1">IF(ISNUMBER(MATCH(DATEVALUE($A238),'recurring1_based on steps'!U$1:U$400,0)),U$2,)</f>
        <v>0</v>
      </c>
      <c r="V238" s="179">
        <f ca="1">IF(ISNUMBER(MATCH(DATEVALUE($A238),'recurring1_based on steps'!V$1:V$400,0)),V$2,)</f>
        <v>0</v>
      </c>
      <c r="W238" s="179">
        <f ca="1">IF(ISNUMBER(MATCH(DATEVALUE($A238),'recurring1_based on steps'!W$1:W$400,0)),W$2,)</f>
        <v>0</v>
      </c>
      <c r="X238" s="179">
        <f ca="1">IF(ISNUMBER(MATCH(DATEVALUE($A238),'recurring1_based on steps'!X$1:X$400,0)),X$2,)</f>
        <v>0</v>
      </c>
      <c r="Y238" s="179">
        <f ca="1">IF(ISNUMBER(MATCH(DATEVALUE($A238),'recurring1_based on steps'!Y$1:Y$400,0)),Y$2,)</f>
        <v>0</v>
      </c>
      <c r="Z238" s="179">
        <f ca="1">IF(ISNUMBER(MATCH(DATEVALUE($A238),'recurring1_based on steps'!Z$1:Z$400,0)),Z$2,)</f>
        <v>0</v>
      </c>
      <c r="AA238" s="179">
        <f ca="1">IF(ISNUMBER(MATCH(DATEVALUE($A238),'recurring1_based on steps'!AA$1:AA$400,0)),AA$2,)</f>
        <v>0</v>
      </c>
      <c r="AB238" s="179">
        <f ca="1">IF(ISNUMBER(MATCH(DATEVALUE($A238),'recurring1_based on steps'!AB$1:AB$400,0)),AB$2,)</f>
        <v>0</v>
      </c>
      <c r="AC238" s="179">
        <f ca="1">IF(ISNUMBER(MATCH(DATEVALUE($A238),'recurring1_based on steps'!AC$1:AC$400,0)),AC$2,)</f>
        <v>0</v>
      </c>
      <c r="AD238" s="179">
        <f ca="1">IF(ISNUMBER(MATCH(DATEVALUE($A238),'recurring1_based on steps'!AD$1:AD$400,0)),AD$2,)</f>
        <v>0</v>
      </c>
      <c r="AE238" s="179">
        <f ca="1">IF(ISNUMBER(MATCH(DATEVALUE($A238),'recurring1_based on steps'!AE$1:AE$400,0)),AE$2,)</f>
        <v>0</v>
      </c>
      <c r="AF238" s="179">
        <f ca="1">IF(ISNUMBER(MATCH(DATEVALUE($A238),'recurring1_based on steps'!AF$1:AF$400,0)),AF$2,)</f>
        <v>0</v>
      </c>
      <c r="AG238" s="179">
        <f ca="1">IF(ISNUMBER(MATCH(DATEVALUE($A238),'recurring1_based on steps'!AG$1:AG$400,0)),AG$2,)</f>
        <v>0</v>
      </c>
      <c r="AH238" s="179">
        <f ca="1">IF(ISNUMBER(MATCH(DATEVALUE($A238),'recurring1_based on steps'!AH$1:AH$400,0)),AH$2,)</f>
        <v>0</v>
      </c>
      <c r="AI238" s="179">
        <f ca="1">IF(ISNUMBER(MATCH(DATEVALUE($A238),'recurring1_based on steps'!AI$1:AI$400,0)),AI$2,)</f>
        <v>0</v>
      </c>
      <c r="AJ238" s="179">
        <f ca="1">IF(ISNUMBER(MATCH(DATEVALUE($A238),'recurring1_based on steps'!AJ$1:AJ$400,0)),AJ$2,)</f>
        <v>0</v>
      </c>
      <c r="AK238" s="179">
        <f ca="1">IF(ISNUMBER(MATCH(DATEVALUE($A238),'recurring1_based on steps'!AK$1:AK$400,0)),AK$2,)</f>
        <v>0</v>
      </c>
      <c r="AL238" s="179">
        <f ca="1">IF(ISNUMBER(MATCH(DATEVALUE($A238),'recurring1_based on steps'!AL$1:AL$400,0)),AL$2,)</f>
        <v>0</v>
      </c>
      <c r="AM238" s="179">
        <f ca="1">IF(ISNUMBER(MATCH(DATEVALUE($A238),'recurring1_based on steps'!AM$1:AM$400,0)),AM$2,)</f>
        <v>0</v>
      </c>
      <c r="AN238" s="179">
        <f ca="1">IF(ISNUMBER(MATCH(DATEVALUE($A238),'recurring1_based on steps'!AN$1:AN$400,0)),AN$2,)</f>
        <v>0</v>
      </c>
      <c r="AO238" s="179">
        <f ca="1">IF(ISNUMBER(MATCH(DATEVALUE($A238),'recurring1_based on steps'!AO$1:AO$400,0)),AO$2,)</f>
        <v>0</v>
      </c>
      <c r="AP238" s="179">
        <f ca="1">IF(ISNUMBER(MATCH(DATEVALUE($A238),'recurring1_based on steps'!AP$1:AP$400,0)),AP$2,)</f>
        <v>0</v>
      </c>
      <c r="AQ238" s="179">
        <f ca="1">IF(ISNUMBER(MATCH(DATEVALUE($A238),'recurring1_based on steps'!AQ$1:AQ$400,0)),AQ$2,)</f>
        <v>0</v>
      </c>
      <c r="AR238" s="179">
        <f ca="1">IF(ISNUMBER(MATCH(DATEVALUE($A238),'recurring1_based on steps'!AR$1:AR$400,0)),AR$2,)</f>
        <v>0</v>
      </c>
      <c r="AS238" s="179">
        <f ca="1">IF(ISNUMBER(MATCH(DATEVALUE($A238),'recurring1_based on steps'!AS$1:AS$400,0)),AS$2,)</f>
        <v>0</v>
      </c>
      <c r="AT238" s="179">
        <f ca="1">IF(ISNUMBER(MATCH(DATEVALUE($A238),'recurring1_based on steps'!AT$1:AT$400,0)),AT$2,)</f>
        <v>0</v>
      </c>
      <c r="AU238" s="179">
        <f ca="1">IF(ISNUMBER(MATCH(DATEVALUE($A238),'recurring1_based on steps'!AU$1:AU$400,0)),AU$2,)</f>
        <v>0</v>
      </c>
      <c r="AV238" s="179">
        <f ca="1">IF(ISNUMBER(MATCH(DATEVALUE($A238),'recurring1_based on steps'!AV$1:AV$400,0)),AV$2,)</f>
        <v>0</v>
      </c>
      <c r="AW238" s="179">
        <f ca="1">IF(ISNUMBER(MATCH(DATEVALUE($A238),'recurring1_based on steps'!AW$1:AW$400,0)),AW$2,)</f>
        <v>0</v>
      </c>
      <c r="AX238" s="179">
        <f ca="1">IF(ISNUMBER(MATCH(DATEVALUE($A238),'recurring1_based on steps'!AX$1:AX$400,0)),AX$2,)</f>
        <v>0</v>
      </c>
      <c r="AY238" s="179">
        <f ca="1">IF(ISNUMBER(MATCH(DATEVALUE($A238),'recurring1_based on steps'!AY$1:AY$400,0)),AY$2,)</f>
        <v>0</v>
      </c>
    </row>
    <row r="239" spans="1:51" x14ac:dyDescent="0.2">
      <c r="A239" s="32" t="str">
        <f t="shared" ca="1" si="3"/>
        <v>2025-11-27</v>
      </c>
      <c r="B239" s="179">
        <f ca="1">IF(ISNUMBER(MATCH(DATEVALUE($A239),'recurring1_based on steps'!B$1:B$400,0)),B$2,)</f>
        <v>0</v>
      </c>
      <c r="C239" s="179">
        <f ca="1">IF(ISNUMBER(MATCH(DATEVALUE($A239),'recurring1_based on steps'!C$1:C$400,0)),C$2,)</f>
        <v>0</v>
      </c>
      <c r="D239" s="179">
        <f ca="1">IF(ISNUMBER(MATCH(DATEVALUE($A239),'recurring1_based on steps'!D$1:D$400,0)),D$2,)</f>
        <v>0</v>
      </c>
      <c r="E239" s="179">
        <f ca="1">IF(ISNUMBER(MATCH(DATEVALUE($A239),'recurring1_based on steps'!E$1:E$400,0)),E$2,)</f>
        <v>0</v>
      </c>
      <c r="F239" s="179">
        <f ca="1">IF(ISNUMBER(MATCH(DATEVALUE($A239),'recurring1_based on steps'!F$1:F$400,0)),F$2,)</f>
        <v>0</v>
      </c>
      <c r="G239" s="179">
        <f ca="1">IF(ISNUMBER(MATCH(DATEVALUE($A239),'recurring1_based on steps'!G$1:G$400,0)),G$2,)</f>
        <v>0</v>
      </c>
      <c r="H239" s="179">
        <f ca="1">IF(ISNUMBER(MATCH(DATEVALUE($A239),'recurring1_based on steps'!H$1:H$400,0)),H$2,)</f>
        <v>0</v>
      </c>
      <c r="I239" s="179">
        <f ca="1">IF(ISNUMBER(MATCH(DATEVALUE($A239),'recurring1_based on steps'!I$1:I$400,0)),I$2,)</f>
        <v>0</v>
      </c>
      <c r="J239" s="179">
        <f ca="1">IF(ISNUMBER(MATCH(DATEVALUE($A239),'recurring1_based on steps'!J$1:J$400,0)),J$2,)</f>
        <v>0</v>
      </c>
      <c r="K239" s="179">
        <f ca="1">IF(ISNUMBER(MATCH(DATEVALUE($A239),'recurring1_based on steps'!K$1:K$400,0)),K$2,)</f>
        <v>0</v>
      </c>
      <c r="L239" s="179">
        <f ca="1">IF(ISNUMBER(MATCH(DATEVALUE($A239),'recurring1_based on steps'!L$1:L$400,0)),L$2,)</f>
        <v>0</v>
      </c>
      <c r="M239" s="179">
        <f ca="1">IF(ISNUMBER(MATCH(DATEVALUE($A239),'recurring1_based on steps'!M$1:M$400,0)),M$2,)</f>
        <v>0</v>
      </c>
      <c r="N239" s="179">
        <f ca="1">IF(ISNUMBER(MATCH(DATEVALUE($A239),'recurring1_based on steps'!N$1:N$400,0)),N$2,)</f>
        <v>0</v>
      </c>
      <c r="O239" s="179">
        <f ca="1">IF(ISNUMBER(MATCH(DATEVALUE($A239),'recurring1_based on steps'!O$1:O$400,0)),O$2,)</f>
        <v>0</v>
      </c>
      <c r="P239" s="179">
        <f ca="1">IF(ISNUMBER(MATCH(DATEVALUE($A239),'recurring1_based on steps'!P$1:P$400,0)),P$2,)</f>
        <v>0</v>
      </c>
      <c r="Q239" s="179">
        <f ca="1">IF(ISNUMBER(MATCH(DATEVALUE($A239),'recurring1_based on steps'!Q$1:Q$400,0)),Q$2,)</f>
        <v>0</v>
      </c>
      <c r="R239" s="179">
        <f ca="1">IF(ISNUMBER(MATCH(DATEVALUE($A239),'recurring1_based on steps'!R$1:R$400,0)),R$2,)</f>
        <v>0</v>
      </c>
      <c r="S239" s="179">
        <f ca="1">IF(ISNUMBER(MATCH(DATEVALUE($A239),'recurring1_based on steps'!S$1:S$400,0)),S$2,)</f>
        <v>0</v>
      </c>
      <c r="T239" s="179">
        <f ca="1">IF(ISNUMBER(MATCH(DATEVALUE($A239),'recurring1_based on steps'!T$1:T$400,0)),T$2,)</f>
        <v>0</v>
      </c>
      <c r="U239" s="179">
        <f ca="1">IF(ISNUMBER(MATCH(DATEVALUE($A239),'recurring1_based on steps'!U$1:U$400,0)),U$2,)</f>
        <v>0</v>
      </c>
      <c r="V239" s="179">
        <f ca="1">IF(ISNUMBER(MATCH(DATEVALUE($A239),'recurring1_based on steps'!V$1:V$400,0)),V$2,)</f>
        <v>0</v>
      </c>
      <c r="W239" s="179">
        <f ca="1">IF(ISNUMBER(MATCH(DATEVALUE($A239),'recurring1_based on steps'!W$1:W$400,0)),W$2,)</f>
        <v>0</v>
      </c>
      <c r="X239" s="179">
        <f ca="1">IF(ISNUMBER(MATCH(DATEVALUE($A239),'recurring1_based on steps'!X$1:X$400,0)),X$2,)</f>
        <v>0</v>
      </c>
      <c r="Y239" s="179">
        <f ca="1">IF(ISNUMBER(MATCH(DATEVALUE($A239),'recurring1_based on steps'!Y$1:Y$400,0)),Y$2,)</f>
        <v>0</v>
      </c>
      <c r="Z239" s="179">
        <f ca="1">IF(ISNUMBER(MATCH(DATEVALUE($A239),'recurring1_based on steps'!Z$1:Z$400,0)),Z$2,)</f>
        <v>0</v>
      </c>
      <c r="AA239" s="179">
        <f ca="1">IF(ISNUMBER(MATCH(DATEVALUE($A239),'recurring1_based on steps'!AA$1:AA$400,0)),AA$2,)</f>
        <v>0</v>
      </c>
      <c r="AB239" s="179">
        <f ca="1">IF(ISNUMBER(MATCH(DATEVALUE($A239),'recurring1_based on steps'!AB$1:AB$400,0)),AB$2,)</f>
        <v>0</v>
      </c>
      <c r="AC239" s="179">
        <f ca="1">IF(ISNUMBER(MATCH(DATEVALUE($A239),'recurring1_based on steps'!AC$1:AC$400,0)),AC$2,)</f>
        <v>0</v>
      </c>
      <c r="AD239" s="179">
        <f ca="1">IF(ISNUMBER(MATCH(DATEVALUE($A239),'recurring1_based on steps'!AD$1:AD$400,0)),AD$2,)</f>
        <v>0</v>
      </c>
      <c r="AE239" s="179">
        <f ca="1">IF(ISNUMBER(MATCH(DATEVALUE($A239),'recurring1_based on steps'!AE$1:AE$400,0)),AE$2,)</f>
        <v>0</v>
      </c>
      <c r="AF239" s="179">
        <f ca="1">IF(ISNUMBER(MATCH(DATEVALUE($A239),'recurring1_based on steps'!AF$1:AF$400,0)),AF$2,)</f>
        <v>0</v>
      </c>
      <c r="AG239" s="179">
        <f ca="1">IF(ISNUMBER(MATCH(DATEVALUE($A239),'recurring1_based on steps'!AG$1:AG$400,0)),AG$2,)</f>
        <v>0</v>
      </c>
      <c r="AH239" s="179">
        <f ca="1">IF(ISNUMBER(MATCH(DATEVALUE($A239),'recurring1_based on steps'!AH$1:AH$400,0)),AH$2,)</f>
        <v>0</v>
      </c>
      <c r="AI239" s="179">
        <f ca="1">IF(ISNUMBER(MATCH(DATEVALUE($A239),'recurring1_based on steps'!AI$1:AI$400,0)),AI$2,)</f>
        <v>0</v>
      </c>
      <c r="AJ239" s="179">
        <f ca="1">IF(ISNUMBER(MATCH(DATEVALUE($A239),'recurring1_based on steps'!AJ$1:AJ$400,0)),AJ$2,)</f>
        <v>0</v>
      </c>
      <c r="AK239" s="179">
        <f ca="1">IF(ISNUMBER(MATCH(DATEVALUE($A239),'recurring1_based on steps'!AK$1:AK$400,0)),AK$2,)</f>
        <v>0</v>
      </c>
      <c r="AL239" s="179">
        <f ca="1">IF(ISNUMBER(MATCH(DATEVALUE($A239),'recurring1_based on steps'!AL$1:AL$400,0)),AL$2,)</f>
        <v>0</v>
      </c>
      <c r="AM239" s="179">
        <f ca="1">IF(ISNUMBER(MATCH(DATEVALUE($A239),'recurring1_based on steps'!AM$1:AM$400,0)),AM$2,)</f>
        <v>0</v>
      </c>
      <c r="AN239" s="179">
        <f ca="1">IF(ISNUMBER(MATCH(DATEVALUE($A239),'recurring1_based on steps'!AN$1:AN$400,0)),AN$2,)</f>
        <v>0</v>
      </c>
      <c r="AO239" s="179">
        <f ca="1">IF(ISNUMBER(MATCH(DATEVALUE($A239),'recurring1_based on steps'!AO$1:AO$400,0)),AO$2,)</f>
        <v>0</v>
      </c>
      <c r="AP239" s="179">
        <f ca="1">IF(ISNUMBER(MATCH(DATEVALUE($A239),'recurring1_based on steps'!AP$1:AP$400,0)),AP$2,)</f>
        <v>0</v>
      </c>
      <c r="AQ239" s="179">
        <f ca="1">IF(ISNUMBER(MATCH(DATEVALUE($A239),'recurring1_based on steps'!AQ$1:AQ$400,0)),AQ$2,)</f>
        <v>0</v>
      </c>
      <c r="AR239" s="179">
        <f ca="1">IF(ISNUMBER(MATCH(DATEVALUE($A239),'recurring1_based on steps'!AR$1:AR$400,0)),AR$2,)</f>
        <v>0</v>
      </c>
      <c r="AS239" s="179">
        <f ca="1">IF(ISNUMBER(MATCH(DATEVALUE($A239),'recurring1_based on steps'!AS$1:AS$400,0)),AS$2,)</f>
        <v>0</v>
      </c>
      <c r="AT239" s="179">
        <f ca="1">IF(ISNUMBER(MATCH(DATEVALUE($A239),'recurring1_based on steps'!AT$1:AT$400,0)),AT$2,)</f>
        <v>0</v>
      </c>
      <c r="AU239" s="179">
        <f ca="1">IF(ISNUMBER(MATCH(DATEVALUE($A239),'recurring1_based on steps'!AU$1:AU$400,0)),AU$2,)</f>
        <v>0</v>
      </c>
      <c r="AV239" s="179">
        <f ca="1">IF(ISNUMBER(MATCH(DATEVALUE($A239),'recurring1_based on steps'!AV$1:AV$400,0)),AV$2,)</f>
        <v>0</v>
      </c>
      <c r="AW239" s="179">
        <f ca="1">IF(ISNUMBER(MATCH(DATEVALUE($A239),'recurring1_based on steps'!AW$1:AW$400,0)),AW$2,)</f>
        <v>0</v>
      </c>
      <c r="AX239" s="179">
        <f ca="1">IF(ISNUMBER(MATCH(DATEVALUE($A239),'recurring1_based on steps'!AX$1:AX$400,0)),AX$2,)</f>
        <v>0</v>
      </c>
      <c r="AY239" s="179">
        <f ca="1">IF(ISNUMBER(MATCH(DATEVALUE($A239),'recurring1_based on steps'!AY$1:AY$400,0)),AY$2,)</f>
        <v>0</v>
      </c>
    </row>
    <row r="240" spans="1:51" x14ac:dyDescent="0.2">
      <c r="A240" s="32" t="str">
        <f t="shared" ca="1" si="3"/>
        <v>2025-11-28</v>
      </c>
      <c r="B240" s="179">
        <f ca="1">IF(ISNUMBER(MATCH(DATEVALUE($A240),'recurring1_based on steps'!B$1:B$400,0)),B$2,)</f>
        <v>0</v>
      </c>
      <c r="C240" s="179">
        <f ca="1">IF(ISNUMBER(MATCH(DATEVALUE($A240),'recurring1_based on steps'!C$1:C$400,0)),C$2,)</f>
        <v>0</v>
      </c>
      <c r="D240" s="179">
        <f ca="1">IF(ISNUMBER(MATCH(DATEVALUE($A240),'recurring1_based on steps'!D$1:D$400,0)),D$2,)</f>
        <v>0</v>
      </c>
      <c r="E240" s="179">
        <f ca="1">IF(ISNUMBER(MATCH(DATEVALUE($A240),'recurring1_based on steps'!E$1:E$400,0)),E$2,)</f>
        <v>0</v>
      </c>
      <c r="F240" s="179">
        <f ca="1">IF(ISNUMBER(MATCH(DATEVALUE($A240),'recurring1_based on steps'!F$1:F$400,0)),F$2,)</f>
        <v>0</v>
      </c>
      <c r="G240" s="179">
        <f ca="1">IF(ISNUMBER(MATCH(DATEVALUE($A240),'recurring1_based on steps'!G$1:G$400,0)),G$2,)</f>
        <v>0</v>
      </c>
      <c r="H240" s="179">
        <f ca="1">IF(ISNUMBER(MATCH(DATEVALUE($A240),'recurring1_based on steps'!H$1:H$400,0)),H$2,)</f>
        <v>0</v>
      </c>
      <c r="I240" s="179">
        <f ca="1">IF(ISNUMBER(MATCH(DATEVALUE($A240),'recurring1_based on steps'!I$1:I$400,0)),I$2,)</f>
        <v>0</v>
      </c>
      <c r="J240" s="179">
        <f ca="1">IF(ISNUMBER(MATCH(DATEVALUE($A240),'recurring1_based on steps'!J$1:J$400,0)),J$2,)</f>
        <v>0</v>
      </c>
      <c r="K240" s="179">
        <f ca="1">IF(ISNUMBER(MATCH(DATEVALUE($A240),'recurring1_based on steps'!K$1:K$400,0)),K$2,)</f>
        <v>0</v>
      </c>
      <c r="L240" s="179">
        <f ca="1">IF(ISNUMBER(MATCH(DATEVALUE($A240),'recurring1_based on steps'!L$1:L$400,0)),L$2,)</f>
        <v>0</v>
      </c>
      <c r="M240" s="179">
        <f ca="1">IF(ISNUMBER(MATCH(DATEVALUE($A240),'recurring1_based on steps'!M$1:M$400,0)),M$2,)</f>
        <v>0</v>
      </c>
      <c r="N240" s="179">
        <f ca="1">IF(ISNUMBER(MATCH(DATEVALUE($A240),'recurring1_based on steps'!N$1:N$400,0)),N$2,)</f>
        <v>0</v>
      </c>
      <c r="O240" s="179">
        <f ca="1">IF(ISNUMBER(MATCH(DATEVALUE($A240),'recurring1_based on steps'!O$1:O$400,0)),O$2,)</f>
        <v>0</v>
      </c>
      <c r="P240" s="179">
        <f ca="1">IF(ISNUMBER(MATCH(DATEVALUE($A240),'recurring1_based on steps'!P$1:P$400,0)),P$2,)</f>
        <v>0</v>
      </c>
      <c r="Q240" s="179">
        <f ca="1">IF(ISNUMBER(MATCH(DATEVALUE($A240),'recurring1_based on steps'!Q$1:Q$400,0)),Q$2,)</f>
        <v>0</v>
      </c>
      <c r="R240" s="179">
        <f ca="1">IF(ISNUMBER(MATCH(DATEVALUE($A240),'recurring1_based on steps'!R$1:R$400,0)),R$2,)</f>
        <v>0</v>
      </c>
      <c r="S240" s="179">
        <f ca="1">IF(ISNUMBER(MATCH(DATEVALUE($A240),'recurring1_based on steps'!S$1:S$400,0)),S$2,)</f>
        <v>0</v>
      </c>
      <c r="T240" s="179">
        <f ca="1">IF(ISNUMBER(MATCH(DATEVALUE($A240),'recurring1_based on steps'!T$1:T$400,0)),T$2,)</f>
        <v>0</v>
      </c>
      <c r="U240" s="179">
        <f ca="1">IF(ISNUMBER(MATCH(DATEVALUE($A240),'recurring1_based on steps'!U$1:U$400,0)),U$2,)</f>
        <v>0</v>
      </c>
      <c r="V240" s="179">
        <f ca="1">IF(ISNUMBER(MATCH(DATEVALUE($A240),'recurring1_based on steps'!V$1:V$400,0)),V$2,)</f>
        <v>0</v>
      </c>
      <c r="W240" s="179">
        <f ca="1">IF(ISNUMBER(MATCH(DATEVALUE($A240),'recurring1_based on steps'!W$1:W$400,0)),W$2,)</f>
        <v>0</v>
      </c>
      <c r="X240" s="179">
        <f ca="1">IF(ISNUMBER(MATCH(DATEVALUE($A240),'recurring1_based on steps'!X$1:X$400,0)),X$2,)</f>
        <v>0</v>
      </c>
      <c r="Y240" s="179">
        <f ca="1">IF(ISNUMBER(MATCH(DATEVALUE($A240),'recurring1_based on steps'!Y$1:Y$400,0)),Y$2,)</f>
        <v>0</v>
      </c>
      <c r="Z240" s="179">
        <f ca="1">IF(ISNUMBER(MATCH(DATEVALUE($A240),'recurring1_based on steps'!Z$1:Z$400,0)),Z$2,)</f>
        <v>0</v>
      </c>
      <c r="AA240" s="179">
        <f ca="1">IF(ISNUMBER(MATCH(DATEVALUE($A240),'recurring1_based on steps'!AA$1:AA$400,0)),AA$2,)</f>
        <v>0</v>
      </c>
      <c r="AB240" s="179">
        <f ca="1">IF(ISNUMBER(MATCH(DATEVALUE($A240),'recurring1_based on steps'!AB$1:AB$400,0)),AB$2,)</f>
        <v>0</v>
      </c>
      <c r="AC240" s="179">
        <f ca="1">IF(ISNUMBER(MATCH(DATEVALUE($A240),'recurring1_based on steps'!AC$1:AC$400,0)),AC$2,)</f>
        <v>0</v>
      </c>
      <c r="AD240" s="179">
        <f ca="1">IF(ISNUMBER(MATCH(DATEVALUE($A240),'recurring1_based on steps'!AD$1:AD$400,0)),AD$2,)</f>
        <v>0</v>
      </c>
      <c r="AE240" s="179">
        <f ca="1">IF(ISNUMBER(MATCH(DATEVALUE($A240),'recurring1_based on steps'!AE$1:AE$400,0)),AE$2,)</f>
        <v>0</v>
      </c>
      <c r="AF240" s="179">
        <f ca="1">IF(ISNUMBER(MATCH(DATEVALUE($A240),'recurring1_based on steps'!AF$1:AF$400,0)),AF$2,)</f>
        <v>0</v>
      </c>
      <c r="AG240" s="179">
        <f ca="1">IF(ISNUMBER(MATCH(DATEVALUE($A240),'recurring1_based on steps'!AG$1:AG$400,0)),AG$2,)</f>
        <v>0</v>
      </c>
      <c r="AH240" s="179">
        <f ca="1">IF(ISNUMBER(MATCH(DATEVALUE($A240),'recurring1_based on steps'!AH$1:AH$400,0)),AH$2,)</f>
        <v>0</v>
      </c>
      <c r="AI240" s="179">
        <f ca="1">IF(ISNUMBER(MATCH(DATEVALUE($A240),'recurring1_based on steps'!AI$1:AI$400,0)),AI$2,)</f>
        <v>0</v>
      </c>
      <c r="AJ240" s="179">
        <f ca="1">IF(ISNUMBER(MATCH(DATEVALUE($A240),'recurring1_based on steps'!AJ$1:AJ$400,0)),AJ$2,)</f>
        <v>0</v>
      </c>
      <c r="AK240" s="179">
        <f ca="1">IF(ISNUMBER(MATCH(DATEVALUE($A240),'recurring1_based on steps'!AK$1:AK$400,0)),AK$2,)</f>
        <v>0</v>
      </c>
      <c r="AL240" s="179">
        <f ca="1">IF(ISNUMBER(MATCH(DATEVALUE($A240),'recurring1_based on steps'!AL$1:AL$400,0)),AL$2,)</f>
        <v>0</v>
      </c>
      <c r="AM240" s="179">
        <f ca="1">IF(ISNUMBER(MATCH(DATEVALUE($A240),'recurring1_based on steps'!AM$1:AM$400,0)),AM$2,)</f>
        <v>0</v>
      </c>
      <c r="AN240" s="179">
        <f ca="1">IF(ISNUMBER(MATCH(DATEVALUE($A240),'recurring1_based on steps'!AN$1:AN$400,0)),AN$2,)</f>
        <v>0</v>
      </c>
      <c r="AO240" s="179">
        <f ca="1">IF(ISNUMBER(MATCH(DATEVALUE($A240),'recurring1_based on steps'!AO$1:AO$400,0)),AO$2,)</f>
        <v>0</v>
      </c>
      <c r="AP240" s="179">
        <f ca="1">IF(ISNUMBER(MATCH(DATEVALUE($A240),'recurring1_based on steps'!AP$1:AP$400,0)),AP$2,)</f>
        <v>0</v>
      </c>
      <c r="AQ240" s="179">
        <f ca="1">IF(ISNUMBER(MATCH(DATEVALUE($A240),'recurring1_based on steps'!AQ$1:AQ$400,0)),AQ$2,)</f>
        <v>0</v>
      </c>
      <c r="AR240" s="179">
        <f ca="1">IF(ISNUMBER(MATCH(DATEVALUE($A240),'recurring1_based on steps'!AR$1:AR$400,0)),AR$2,)</f>
        <v>0</v>
      </c>
      <c r="AS240" s="179">
        <f ca="1">IF(ISNUMBER(MATCH(DATEVALUE($A240),'recurring1_based on steps'!AS$1:AS$400,0)),AS$2,)</f>
        <v>0</v>
      </c>
      <c r="AT240" s="179">
        <f ca="1">IF(ISNUMBER(MATCH(DATEVALUE($A240),'recurring1_based on steps'!AT$1:AT$400,0)),AT$2,)</f>
        <v>0</v>
      </c>
      <c r="AU240" s="179">
        <f ca="1">IF(ISNUMBER(MATCH(DATEVALUE($A240),'recurring1_based on steps'!AU$1:AU$400,0)),AU$2,)</f>
        <v>0</v>
      </c>
      <c r="AV240" s="179">
        <f ca="1">IF(ISNUMBER(MATCH(DATEVALUE($A240),'recurring1_based on steps'!AV$1:AV$400,0)),AV$2,)</f>
        <v>0</v>
      </c>
      <c r="AW240" s="179">
        <f ca="1">IF(ISNUMBER(MATCH(DATEVALUE($A240),'recurring1_based on steps'!AW$1:AW$400,0)),AW$2,)</f>
        <v>0</v>
      </c>
      <c r="AX240" s="179">
        <f ca="1">IF(ISNUMBER(MATCH(DATEVALUE($A240),'recurring1_based on steps'!AX$1:AX$400,0)),AX$2,)</f>
        <v>0</v>
      </c>
      <c r="AY240" s="179">
        <f ca="1">IF(ISNUMBER(MATCH(DATEVALUE($A240),'recurring1_based on steps'!AY$1:AY$400,0)),AY$2,)</f>
        <v>0</v>
      </c>
    </row>
    <row r="241" spans="1:51" x14ac:dyDescent="0.2">
      <c r="A241" s="32" t="str">
        <f t="shared" ca="1" si="3"/>
        <v>2025-11-29</v>
      </c>
      <c r="B241" s="179">
        <f ca="1">IF(ISNUMBER(MATCH(DATEVALUE($A241),'recurring1_based on steps'!B$1:B$400,0)),B$2,)</f>
        <v>0</v>
      </c>
      <c r="C241" s="179">
        <f ca="1">IF(ISNUMBER(MATCH(DATEVALUE($A241),'recurring1_based on steps'!C$1:C$400,0)),C$2,)</f>
        <v>0</v>
      </c>
      <c r="D241" s="179">
        <f ca="1">IF(ISNUMBER(MATCH(DATEVALUE($A241),'recurring1_based on steps'!D$1:D$400,0)),D$2,)</f>
        <v>0</v>
      </c>
      <c r="E241" s="179">
        <f ca="1">IF(ISNUMBER(MATCH(DATEVALUE($A241),'recurring1_based on steps'!E$1:E$400,0)),E$2,)</f>
        <v>0</v>
      </c>
      <c r="F241" s="179">
        <f ca="1">IF(ISNUMBER(MATCH(DATEVALUE($A241),'recurring1_based on steps'!F$1:F$400,0)),F$2,)</f>
        <v>0</v>
      </c>
      <c r="G241" s="179">
        <f ca="1">IF(ISNUMBER(MATCH(DATEVALUE($A241),'recurring1_based on steps'!G$1:G$400,0)),G$2,)</f>
        <v>0</v>
      </c>
      <c r="H241" s="179">
        <f ca="1">IF(ISNUMBER(MATCH(DATEVALUE($A241),'recurring1_based on steps'!H$1:H$400,0)),H$2,)</f>
        <v>0</v>
      </c>
      <c r="I241" s="179">
        <f ca="1">IF(ISNUMBER(MATCH(DATEVALUE($A241),'recurring1_based on steps'!I$1:I$400,0)),I$2,)</f>
        <v>0</v>
      </c>
      <c r="J241" s="179">
        <f ca="1">IF(ISNUMBER(MATCH(DATEVALUE($A241),'recurring1_based on steps'!J$1:J$400,0)),J$2,)</f>
        <v>0</v>
      </c>
      <c r="K241" s="179">
        <f ca="1">IF(ISNUMBER(MATCH(DATEVALUE($A241),'recurring1_based on steps'!K$1:K$400,0)),K$2,)</f>
        <v>0</v>
      </c>
      <c r="L241" s="179">
        <f ca="1">IF(ISNUMBER(MATCH(DATEVALUE($A241),'recurring1_based on steps'!L$1:L$400,0)),L$2,)</f>
        <v>0</v>
      </c>
      <c r="M241" s="179">
        <f ca="1">IF(ISNUMBER(MATCH(DATEVALUE($A241),'recurring1_based on steps'!M$1:M$400,0)),M$2,)</f>
        <v>0</v>
      </c>
      <c r="N241" s="179">
        <f ca="1">IF(ISNUMBER(MATCH(DATEVALUE($A241),'recurring1_based on steps'!N$1:N$400,0)),N$2,)</f>
        <v>0</v>
      </c>
      <c r="O241" s="179">
        <f ca="1">IF(ISNUMBER(MATCH(DATEVALUE($A241),'recurring1_based on steps'!O$1:O$400,0)),O$2,)</f>
        <v>0</v>
      </c>
      <c r="P241" s="179">
        <f ca="1">IF(ISNUMBER(MATCH(DATEVALUE($A241),'recurring1_based on steps'!P$1:P$400,0)),P$2,)</f>
        <v>0</v>
      </c>
      <c r="Q241" s="179">
        <f ca="1">IF(ISNUMBER(MATCH(DATEVALUE($A241),'recurring1_based on steps'!Q$1:Q$400,0)),Q$2,)</f>
        <v>0</v>
      </c>
      <c r="R241" s="179">
        <f ca="1">IF(ISNUMBER(MATCH(DATEVALUE($A241),'recurring1_based on steps'!R$1:R$400,0)),R$2,)</f>
        <v>0</v>
      </c>
      <c r="S241" s="179">
        <f ca="1">IF(ISNUMBER(MATCH(DATEVALUE($A241),'recurring1_based on steps'!S$1:S$400,0)),S$2,)</f>
        <v>0</v>
      </c>
      <c r="T241" s="179">
        <f ca="1">IF(ISNUMBER(MATCH(DATEVALUE($A241),'recurring1_based on steps'!T$1:T$400,0)),T$2,)</f>
        <v>0</v>
      </c>
      <c r="U241" s="179">
        <f ca="1">IF(ISNUMBER(MATCH(DATEVALUE($A241),'recurring1_based on steps'!U$1:U$400,0)),U$2,)</f>
        <v>0</v>
      </c>
      <c r="V241" s="179">
        <f ca="1">IF(ISNUMBER(MATCH(DATEVALUE($A241),'recurring1_based on steps'!V$1:V$400,0)),V$2,)</f>
        <v>0</v>
      </c>
      <c r="W241" s="179">
        <f ca="1">IF(ISNUMBER(MATCH(DATEVALUE($A241),'recurring1_based on steps'!W$1:W$400,0)),W$2,)</f>
        <v>0</v>
      </c>
      <c r="X241" s="179">
        <f ca="1">IF(ISNUMBER(MATCH(DATEVALUE($A241),'recurring1_based on steps'!X$1:X$400,0)),X$2,)</f>
        <v>0</v>
      </c>
      <c r="Y241" s="179">
        <f ca="1">IF(ISNUMBER(MATCH(DATEVALUE($A241),'recurring1_based on steps'!Y$1:Y$400,0)),Y$2,)</f>
        <v>0</v>
      </c>
      <c r="Z241" s="179">
        <f ca="1">IF(ISNUMBER(MATCH(DATEVALUE($A241),'recurring1_based on steps'!Z$1:Z$400,0)),Z$2,)</f>
        <v>0</v>
      </c>
      <c r="AA241" s="179">
        <f ca="1">IF(ISNUMBER(MATCH(DATEVALUE($A241),'recurring1_based on steps'!AA$1:AA$400,0)),AA$2,)</f>
        <v>0</v>
      </c>
      <c r="AB241" s="179">
        <f ca="1">IF(ISNUMBER(MATCH(DATEVALUE($A241),'recurring1_based on steps'!AB$1:AB$400,0)),AB$2,)</f>
        <v>0</v>
      </c>
      <c r="AC241" s="179">
        <f ca="1">IF(ISNUMBER(MATCH(DATEVALUE($A241),'recurring1_based on steps'!AC$1:AC$400,0)),AC$2,)</f>
        <v>0</v>
      </c>
      <c r="AD241" s="179">
        <f ca="1">IF(ISNUMBER(MATCH(DATEVALUE($A241),'recurring1_based on steps'!AD$1:AD$400,0)),AD$2,)</f>
        <v>0</v>
      </c>
      <c r="AE241" s="179">
        <f ca="1">IF(ISNUMBER(MATCH(DATEVALUE($A241),'recurring1_based on steps'!AE$1:AE$400,0)),AE$2,)</f>
        <v>0</v>
      </c>
      <c r="AF241" s="179">
        <f ca="1">IF(ISNUMBER(MATCH(DATEVALUE($A241),'recurring1_based on steps'!AF$1:AF$400,0)),AF$2,)</f>
        <v>0</v>
      </c>
      <c r="AG241" s="179">
        <f ca="1">IF(ISNUMBER(MATCH(DATEVALUE($A241),'recurring1_based on steps'!AG$1:AG$400,0)),AG$2,)</f>
        <v>0</v>
      </c>
      <c r="AH241" s="179">
        <f ca="1">IF(ISNUMBER(MATCH(DATEVALUE($A241),'recurring1_based on steps'!AH$1:AH$400,0)),AH$2,)</f>
        <v>0</v>
      </c>
      <c r="AI241" s="179">
        <f ca="1">IF(ISNUMBER(MATCH(DATEVALUE($A241),'recurring1_based on steps'!AI$1:AI$400,0)),AI$2,)</f>
        <v>0</v>
      </c>
      <c r="AJ241" s="179">
        <f ca="1">IF(ISNUMBER(MATCH(DATEVALUE($A241),'recurring1_based on steps'!AJ$1:AJ$400,0)),AJ$2,)</f>
        <v>0</v>
      </c>
      <c r="AK241" s="179">
        <f ca="1">IF(ISNUMBER(MATCH(DATEVALUE($A241),'recurring1_based on steps'!AK$1:AK$400,0)),AK$2,)</f>
        <v>0</v>
      </c>
      <c r="AL241" s="179">
        <f ca="1">IF(ISNUMBER(MATCH(DATEVALUE($A241),'recurring1_based on steps'!AL$1:AL$400,0)),AL$2,)</f>
        <v>0</v>
      </c>
      <c r="AM241" s="179">
        <f ca="1">IF(ISNUMBER(MATCH(DATEVALUE($A241),'recurring1_based on steps'!AM$1:AM$400,0)),AM$2,)</f>
        <v>0</v>
      </c>
      <c r="AN241" s="179">
        <f ca="1">IF(ISNUMBER(MATCH(DATEVALUE($A241),'recurring1_based on steps'!AN$1:AN$400,0)),AN$2,)</f>
        <v>0</v>
      </c>
      <c r="AO241" s="179">
        <f ca="1">IF(ISNUMBER(MATCH(DATEVALUE($A241),'recurring1_based on steps'!AO$1:AO$400,0)),AO$2,)</f>
        <v>0</v>
      </c>
      <c r="AP241" s="179">
        <f ca="1">IF(ISNUMBER(MATCH(DATEVALUE($A241),'recurring1_based on steps'!AP$1:AP$400,0)),AP$2,)</f>
        <v>0</v>
      </c>
      <c r="AQ241" s="179">
        <f ca="1">IF(ISNUMBER(MATCH(DATEVALUE($A241),'recurring1_based on steps'!AQ$1:AQ$400,0)),AQ$2,)</f>
        <v>0</v>
      </c>
      <c r="AR241" s="179">
        <f ca="1">IF(ISNUMBER(MATCH(DATEVALUE($A241),'recurring1_based on steps'!AR$1:AR$400,0)),AR$2,)</f>
        <v>0</v>
      </c>
      <c r="AS241" s="179">
        <f ca="1">IF(ISNUMBER(MATCH(DATEVALUE($A241),'recurring1_based on steps'!AS$1:AS$400,0)),AS$2,)</f>
        <v>0</v>
      </c>
      <c r="AT241" s="179">
        <f ca="1">IF(ISNUMBER(MATCH(DATEVALUE($A241),'recurring1_based on steps'!AT$1:AT$400,0)),AT$2,)</f>
        <v>0</v>
      </c>
      <c r="AU241" s="179">
        <f ca="1">IF(ISNUMBER(MATCH(DATEVALUE($A241),'recurring1_based on steps'!AU$1:AU$400,0)),AU$2,)</f>
        <v>0</v>
      </c>
      <c r="AV241" s="179">
        <f ca="1">IF(ISNUMBER(MATCH(DATEVALUE($A241),'recurring1_based on steps'!AV$1:AV$400,0)),AV$2,)</f>
        <v>0</v>
      </c>
      <c r="AW241" s="179">
        <f ca="1">IF(ISNUMBER(MATCH(DATEVALUE($A241),'recurring1_based on steps'!AW$1:AW$400,0)),AW$2,)</f>
        <v>0</v>
      </c>
      <c r="AX241" s="179">
        <f ca="1">IF(ISNUMBER(MATCH(DATEVALUE($A241),'recurring1_based on steps'!AX$1:AX$400,0)),AX$2,)</f>
        <v>0</v>
      </c>
      <c r="AY241" s="179">
        <f ca="1">IF(ISNUMBER(MATCH(DATEVALUE($A241),'recurring1_based on steps'!AY$1:AY$400,0)),AY$2,)</f>
        <v>0</v>
      </c>
    </row>
    <row r="242" spans="1:51" x14ac:dyDescent="0.2">
      <c r="A242" s="32" t="str">
        <f t="shared" ca="1" si="3"/>
        <v>2025-11-30</v>
      </c>
      <c r="B242" s="179">
        <f ca="1">IF(ISNUMBER(MATCH(DATEVALUE($A242),'recurring1_based on steps'!B$1:B$400,0)),B$2,)</f>
        <v>0</v>
      </c>
      <c r="C242" s="179">
        <f ca="1">IF(ISNUMBER(MATCH(DATEVALUE($A242),'recurring1_based on steps'!C$1:C$400,0)),C$2,)</f>
        <v>0</v>
      </c>
      <c r="D242" s="179">
        <f ca="1">IF(ISNUMBER(MATCH(DATEVALUE($A242),'recurring1_based on steps'!D$1:D$400,0)),D$2,)</f>
        <v>0</v>
      </c>
      <c r="E242" s="179">
        <f ca="1">IF(ISNUMBER(MATCH(DATEVALUE($A242),'recurring1_based on steps'!E$1:E$400,0)),E$2,)</f>
        <v>0</v>
      </c>
      <c r="F242" s="179">
        <f ca="1">IF(ISNUMBER(MATCH(DATEVALUE($A242),'recurring1_based on steps'!F$1:F$400,0)),F$2,)</f>
        <v>0</v>
      </c>
      <c r="G242" s="179">
        <f ca="1">IF(ISNUMBER(MATCH(DATEVALUE($A242),'recurring1_based on steps'!G$1:G$400,0)),G$2,)</f>
        <v>0</v>
      </c>
      <c r="H242" s="179">
        <f ca="1">IF(ISNUMBER(MATCH(DATEVALUE($A242),'recurring1_based on steps'!H$1:H$400,0)),H$2,)</f>
        <v>0</v>
      </c>
      <c r="I242" s="179">
        <f ca="1">IF(ISNUMBER(MATCH(DATEVALUE($A242),'recurring1_based on steps'!I$1:I$400,0)),I$2,)</f>
        <v>0</v>
      </c>
      <c r="J242" s="179">
        <f ca="1">IF(ISNUMBER(MATCH(DATEVALUE($A242),'recurring1_based on steps'!J$1:J$400,0)),J$2,)</f>
        <v>0</v>
      </c>
      <c r="K242" s="179">
        <f ca="1">IF(ISNUMBER(MATCH(DATEVALUE($A242),'recurring1_based on steps'!K$1:K$400,0)),K$2,)</f>
        <v>0</v>
      </c>
      <c r="L242" s="179">
        <f ca="1">IF(ISNUMBER(MATCH(DATEVALUE($A242),'recurring1_based on steps'!L$1:L$400,0)),L$2,)</f>
        <v>0</v>
      </c>
      <c r="M242" s="179">
        <f ca="1">IF(ISNUMBER(MATCH(DATEVALUE($A242),'recurring1_based on steps'!M$1:M$400,0)),M$2,)</f>
        <v>0</v>
      </c>
      <c r="N242" s="179">
        <f ca="1">IF(ISNUMBER(MATCH(DATEVALUE($A242),'recurring1_based on steps'!N$1:N$400,0)),N$2,)</f>
        <v>0</v>
      </c>
      <c r="O242" s="179">
        <f ca="1">IF(ISNUMBER(MATCH(DATEVALUE($A242),'recurring1_based on steps'!O$1:O$400,0)),O$2,)</f>
        <v>0</v>
      </c>
      <c r="P242" s="179">
        <f ca="1">IF(ISNUMBER(MATCH(DATEVALUE($A242),'recurring1_based on steps'!P$1:P$400,0)),P$2,)</f>
        <v>0</v>
      </c>
      <c r="Q242" s="179">
        <f ca="1">IF(ISNUMBER(MATCH(DATEVALUE($A242),'recurring1_based on steps'!Q$1:Q$400,0)),Q$2,)</f>
        <v>0</v>
      </c>
      <c r="R242" s="179">
        <f ca="1">IF(ISNUMBER(MATCH(DATEVALUE($A242),'recurring1_based on steps'!R$1:R$400,0)),R$2,)</f>
        <v>0</v>
      </c>
      <c r="S242" s="179">
        <f ca="1">IF(ISNUMBER(MATCH(DATEVALUE($A242),'recurring1_based on steps'!S$1:S$400,0)),S$2,)</f>
        <v>0</v>
      </c>
      <c r="T242" s="179">
        <f ca="1">IF(ISNUMBER(MATCH(DATEVALUE($A242),'recurring1_based on steps'!T$1:T$400,0)),T$2,)</f>
        <v>0</v>
      </c>
      <c r="U242" s="179">
        <f ca="1">IF(ISNUMBER(MATCH(DATEVALUE($A242),'recurring1_based on steps'!U$1:U$400,0)),U$2,)</f>
        <v>0</v>
      </c>
      <c r="V242" s="179">
        <f ca="1">IF(ISNUMBER(MATCH(DATEVALUE($A242),'recurring1_based on steps'!V$1:V$400,0)),V$2,)</f>
        <v>0</v>
      </c>
      <c r="W242" s="179">
        <f ca="1">IF(ISNUMBER(MATCH(DATEVALUE($A242),'recurring1_based on steps'!W$1:W$400,0)),W$2,)</f>
        <v>0</v>
      </c>
      <c r="X242" s="179">
        <f ca="1">IF(ISNUMBER(MATCH(DATEVALUE($A242),'recurring1_based on steps'!X$1:X$400,0)),X$2,)</f>
        <v>0</v>
      </c>
      <c r="Y242" s="179">
        <f ca="1">IF(ISNUMBER(MATCH(DATEVALUE($A242),'recurring1_based on steps'!Y$1:Y$400,0)),Y$2,)</f>
        <v>0</v>
      </c>
      <c r="Z242" s="179">
        <f ca="1">IF(ISNUMBER(MATCH(DATEVALUE($A242),'recurring1_based on steps'!Z$1:Z$400,0)),Z$2,)</f>
        <v>0</v>
      </c>
      <c r="AA242" s="179">
        <f ca="1">IF(ISNUMBER(MATCH(DATEVALUE($A242),'recurring1_based on steps'!AA$1:AA$400,0)),AA$2,)</f>
        <v>0</v>
      </c>
      <c r="AB242" s="179">
        <f ca="1">IF(ISNUMBER(MATCH(DATEVALUE($A242),'recurring1_based on steps'!AB$1:AB$400,0)),AB$2,)</f>
        <v>0</v>
      </c>
      <c r="AC242" s="179">
        <f ca="1">IF(ISNUMBER(MATCH(DATEVALUE($A242),'recurring1_based on steps'!AC$1:AC$400,0)),AC$2,)</f>
        <v>0</v>
      </c>
      <c r="AD242" s="179">
        <f ca="1">IF(ISNUMBER(MATCH(DATEVALUE($A242),'recurring1_based on steps'!AD$1:AD$400,0)),AD$2,)</f>
        <v>0</v>
      </c>
      <c r="AE242" s="179">
        <f ca="1">IF(ISNUMBER(MATCH(DATEVALUE($A242),'recurring1_based on steps'!AE$1:AE$400,0)),AE$2,)</f>
        <v>0</v>
      </c>
      <c r="AF242" s="179">
        <f ca="1">IF(ISNUMBER(MATCH(DATEVALUE($A242),'recurring1_based on steps'!AF$1:AF$400,0)),AF$2,)</f>
        <v>0</v>
      </c>
      <c r="AG242" s="179">
        <f ca="1">IF(ISNUMBER(MATCH(DATEVALUE($A242),'recurring1_based on steps'!AG$1:AG$400,0)),AG$2,)</f>
        <v>0</v>
      </c>
      <c r="AH242" s="179">
        <f ca="1">IF(ISNUMBER(MATCH(DATEVALUE($A242),'recurring1_based on steps'!AH$1:AH$400,0)),AH$2,)</f>
        <v>0</v>
      </c>
      <c r="AI242" s="179">
        <f ca="1">IF(ISNUMBER(MATCH(DATEVALUE($A242),'recurring1_based on steps'!AI$1:AI$400,0)),AI$2,)</f>
        <v>0</v>
      </c>
      <c r="AJ242" s="179">
        <f ca="1">IF(ISNUMBER(MATCH(DATEVALUE($A242),'recurring1_based on steps'!AJ$1:AJ$400,0)),AJ$2,)</f>
        <v>0</v>
      </c>
      <c r="AK242" s="179">
        <f ca="1">IF(ISNUMBER(MATCH(DATEVALUE($A242),'recurring1_based on steps'!AK$1:AK$400,0)),AK$2,)</f>
        <v>0</v>
      </c>
      <c r="AL242" s="179">
        <f ca="1">IF(ISNUMBER(MATCH(DATEVALUE($A242),'recurring1_based on steps'!AL$1:AL$400,0)),AL$2,)</f>
        <v>0</v>
      </c>
      <c r="AM242" s="179">
        <f ca="1">IF(ISNUMBER(MATCH(DATEVALUE($A242),'recurring1_based on steps'!AM$1:AM$400,0)),AM$2,)</f>
        <v>0</v>
      </c>
      <c r="AN242" s="179">
        <f ca="1">IF(ISNUMBER(MATCH(DATEVALUE($A242),'recurring1_based on steps'!AN$1:AN$400,0)),AN$2,)</f>
        <v>0</v>
      </c>
      <c r="AO242" s="179">
        <f ca="1">IF(ISNUMBER(MATCH(DATEVALUE($A242),'recurring1_based on steps'!AO$1:AO$400,0)),AO$2,)</f>
        <v>0</v>
      </c>
      <c r="AP242" s="179">
        <f ca="1">IF(ISNUMBER(MATCH(DATEVALUE($A242),'recurring1_based on steps'!AP$1:AP$400,0)),AP$2,)</f>
        <v>0</v>
      </c>
      <c r="AQ242" s="179">
        <f ca="1">IF(ISNUMBER(MATCH(DATEVALUE($A242),'recurring1_based on steps'!AQ$1:AQ$400,0)),AQ$2,)</f>
        <v>0</v>
      </c>
      <c r="AR242" s="179">
        <f ca="1">IF(ISNUMBER(MATCH(DATEVALUE($A242),'recurring1_based on steps'!AR$1:AR$400,0)),AR$2,)</f>
        <v>0</v>
      </c>
      <c r="AS242" s="179">
        <f ca="1">IF(ISNUMBER(MATCH(DATEVALUE($A242),'recurring1_based on steps'!AS$1:AS$400,0)),AS$2,)</f>
        <v>0</v>
      </c>
      <c r="AT242" s="179">
        <f ca="1">IF(ISNUMBER(MATCH(DATEVALUE($A242),'recurring1_based on steps'!AT$1:AT$400,0)),AT$2,)</f>
        <v>0</v>
      </c>
      <c r="AU242" s="179">
        <f ca="1">IF(ISNUMBER(MATCH(DATEVALUE($A242),'recurring1_based on steps'!AU$1:AU$400,0)),AU$2,)</f>
        <v>0</v>
      </c>
      <c r="AV242" s="179">
        <f ca="1">IF(ISNUMBER(MATCH(DATEVALUE($A242),'recurring1_based on steps'!AV$1:AV$400,0)),AV$2,)</f>
        <v>0</v>
      </c>
      <c r="AW242" s="179">
        <f ca="1">IF(ISNUMBER(MATCH(DATEVALUE($A242),'recurring1_based on steps'!AW$1:AW$400,0)),AW$2,)</f>
        <v>0</v>
      </c>
      <c r="AX242" s="179">
        <f ca="1">IF(ISNUMBER(MATCH(DATEVALUE($A242),'recurring1_based on steps'!AX$1:AX$400,0)),AX$2,)</f>
        <v>0</v>
      </c>
      <c r="AY242" s="179">
        <f ca="1">IF(ISNUMBER(MATCH(DATEVALUE($A242),'recurring1_based on steps'!AY$1:AY$400,0)),AY$2,)</f>
        <v>0</v>
      </c>
    </row>
    <row r="243" spans="1:51" x14ac:dyDescent="0.2">
      <c r="A243" s="32" t="str">
        <f t="shared" ca="1" si="3"/>
        <v>2025-12-01</v>
      </c>
      <c r="B243" s="179">
        <f ca="1">IF(ISNUMBER(MATCH(DATEVALUE($A243),'recurring1_based on steps'!B$1:B$400,0)),B$2,)</f>
        <v>0</v>
      </c>
      <c r="C243" s="179">
        <f ca="1">IF(ISNUMBER(MATCH(DATEVALUE($A243),'recurring1_based on steps'!C$1:C$400,0)),C$2,)</f>
        <v>0</v>
      </c>
      <c r="D243" s="179">
        <f ca="1">IF(ISNUMBER(MATCH(DATEVALUE($A243),'recurring1_based on steps'!D$1:D$400,0)),D$2,)</f>
        <v>0</v>
      </c>
      <c r="E243" s="179">
        <f ca="1">IF(ISNUMBER(MATCH(DATEVALUE($A243),'recurring1_based on steps'!E$1:E$400,0)),E$2,)</f>
        <v>0</v>
      </c>
      <c r="F243" s="179">
        <f ca="1">IF(ISNUMBER(MATCH(DATEVALUE($A243),'recurring1_based on steps'!F$1:F$400,0)),F$2,)</f>
        <v>0</v>
      </c>
      <c r="G243" s="179">
        <f ca="1">IF(ISNUMBER(MATCH(DATEVALUE($A243),'recurring1_based on steps'!G$1:G$400,0)),G$2,)</f>
        <v>0</v>
      </c>
      <c r="H243" s="179">
        <f ca="1">IF(ISNUMBER(MATCH(DATEVALUE($A243),'recurring1_based on steps'!H$1:H$400,0)),H$2,)</f>
        <v>0</v>
      </c>
      <c r="I243" s="179">
        <f ca="1">IF(ISNUMBER(MATCH(DATEVALUE($A243),'recurring1_based on steps'!I$1:I$400,0)),I$2,)</f>
        <v>0</v>
      </c>
      <c r="J243" s="179">
        <f ca="1">IF(ISNUMBER(MATCH(DATEVALUE($A243),'recurring1_based on steps'!J$1:J$400,0)),J$2,)</f>
        <v>0</v>
      </c>
      <c r="K243" s="179">
        <f ca="1">IF(ISNUMBER(MATCH(DATEVALUE($A243),'recurring1_based on steps'!K$1:K$400,0)),K$2,)</f>
        <v>0</v>
      </c>
      <c r="L243" s="179">
        <f ca="1">IF(ISNUMBER(MATCH(DATEVALUE($A243),'recurring1_based on steps'!L$1:L$400,0)),L$2,)</f>
        <v>0</v>
      </c>
      <c r="M243" s="179">
        <f ca="1">IF(ISNUMBER(MATCH(DATEVALUE($A243),'recurring1_based on steps'!M$1:M$400,0)),M$2,)</f>
        <v>0</v>
      </c>
      <c r="N243" s="179">
        <f ca="1">IF(ISNUMBER(MATCH(DATEVALUE($A243),'recurring1_based on steps'!N$1:N$400,0)),N$2,)</f>
        <v>0</v>
      </c>
      <c r="O243" s="179">
        <f ca="1">IF(ISNUMBER(MATCH(DATEVALUE($A243),'recurring1_based on steps'!O$1:O$400,0)),O$2,)</f>
        <v>0</v>
      </c>
      <c r="P243" s="179">
        <f ca="1">IF(ISNUMBER(MATCH(DATEVALUE($A243),'recurring1_based on steps'!P$1:P$400,0)),P$2,)</f>
        <v>0</v>
      </c>
      <c r="Q243" s="179">
        <f ca="1">IF(ISNUMBER(MATCH(DATEVALUE($A243),'recurring1_based on steps'!Q$1:Q$400,0)),Q$2,)</f>
        <v>0</v>
      </c>
      <c r="R243" s="179">
        <f ca="1">IF(ISNUMBER(MATCH(DATEVALUE($A243),'recurring1_based on steps'!R$1:R$400,0)),R$2,)</f>
        <v>0</v>
      </c>
      <c r="S243" s="179">
        <f ca="1">IF(ISNUMBER(MATCH(DATEVALUE($A243),'recurring1_based on steps'!S$1:S$400,0)),S$2,)</f>
        <v>0</v>
      </c>
      <c r="T243" s="179">
        <f ca="1">IF(ISNUMBER(MATCH(DATEVALUE($A243),'recurring1_based on steps'!T$1:T$400,0)),T$2,)</f>
        <v>0</v>
      </c>
      <c r="U243" s="179">
        <f ca="1">IF(ISNUMBER(MATCH(DATEVALUE($A243),'recurring1_based on steps'!U$1:U$400,0)),U$2,)</f>
        <v>0</v>
      </c>
      <c r="V243" s="179">
        <f ca="1">IF(ISNUMBER(MATCH(DATEVALUE($A243),'recurring1_based on steps'!V$1:V$400,0)),V$2,)</f>
        <v>0</v>
      </c>
      <c r="W243" s="179">
        <f ca="1">IF(ISNUMBER(MATCH(DATEVALUE($A243),'recurring1_based on steps'!W$1:W$400,0)),W$2,)</f>
        <v>0</v>
      </c>
      <c r="X243" s="179">
        <f ca="1">IF(ISNUMBER(MATCH(DATEVALUE($A243),'recurring1_based on steps'!X$1:X$400,0)),X$2,)</f>
        <v>0</v>
      </c>
      <c r="Y243" s="179">
        <f ca="1">IF(ISNUMBER(MATCH(DATEVALUE($A243),'recurring1_based on steps'!Y$1:Y$400,0)),Y$2,)</f>
        <v>0</v>
      </c>
      <c r="Z243" s="179">
        <f ca="1">IF(ISNUMBER(MATCH(DATEVALUE($A243),'recurring1_based on steps'!Z$1:Z$400,0)),Z$2,)</f>
        <v>0</v>
      </c>
      <c r="AA243" s="179">
        <f ca="1">IF(ISNUMBER(MATCH(DATEVALUE($A243),'recurring1_based on steps'!AA$1:AA$400,0)),AA$2,)</f>
        <v>0</v>
      </c>
      <c r="AB243" s="179">
        <f ca="1">IF(ISNUMBER(MATCH(DATEVALUE($A243),'recurring1_based on steps'!AB$1:AB$400,0)),AB$2,)</f>
        <v>0</v>
      </c>
      <c r="AC243" s="179">
        <f ca="1">IF(ISNUMBER(MATCH(DATEVALUE($A243),'recurring1_based on steps'!AC$1:AC$400,0)),AC$2,)</f>
        <v>0</v>
      </c>
      <c r="AD243" s="179">
        <f ca="1">IF(ISNUMBER(MATCH(DATEVALUE($A243),'recurring1_based on steps'!AD$1:AD$400,0)),AD$2,)</f>
        <v>0</v>
      </c>
      <c r="AE243" s="179">
        <f ca="1">IF(ISNUMBER(MATCH(DATEVALUE($A243),'recurring1_based on steps'!AE$1:AE$400,0)),AE$2,)</f>
        <v>0</v>
      </c>
      <c r="AF243" s="179">
        <f ca="1">IF(ISNUMBER(MATCH(DATEVALUE($A243),'recurring1_based on steps'!AF$1:AF$400,0)),AF$2,)</f>
        <v>0</v>
      </c>
      <c r="AG243" s="179">
        <f ca="1">IF(ISNUMBER(MATCH(DATEVALUE($A243),'recurring1_based on steps'!AG$1:AG$400,0)),AG$2,)</f>
        <v>0</v>
      </c>
      <c r="AH243" s="179">
        <f ca="1">IF(ISNUMBER(MATCH(DATEVALUE($A243),'recurring1_based on steps'!AH$1:AH$400,0)),AH$2,)</f>
        <v>0</v>
      </c>
      <c r="AI243" s="179">
        <f ca="1">IF(ISNUMBER(MATCH(DATEVALUE($A243),'recurring1_based on steps'!AI$1:AI$400,0)),AI$2,)</f>
        <v>0</v>
      </c>
      <c r="AJ243" s="179">
        <f ca="1">IF(ISNUMBER(MATCH(DATEVALUE($A243),'recurring1_based on steps'!AJ$1:AJ$400,0)),AJ$2,)</f>
        <v>0</v>
      </c>
      <c r="AK243" s="179">
        <f ca="1">IF(ISNUMBER(MATCH(DATEVALUE($A243),'recurring1_based on steps'!AK$1:AK$400,0)),AK$2,)</f>
        <v>0</v>
      </c>
      <c r="AL243" s="179">
        <f ca="1">IF(ISNUMBER(MATCH(DATEVALUE($A243),'recurring1_based on steps'!AL$1:AL$400,0)),AL$2,)</f>
        <v>0</v>
      </c>
      <c r="AM243" s="179">
        <f ca="1">IF(ISNUMBER(MATCH(DATEVALUE($A243),'recurring1_based on steps'!AM$1:AM$400,0)),AM$2,)</f>
        <v>0</v>
      </c>
      <c r="AN243" s="179">
        <f ca="1">IF(ISNUMBER(MATCH(DATEVALUE($A243),'recurring1_based on steps'!AN$1:AN$400,0)),AN$2,)</f>
        <v>0</v>
      </c>
      <c r="AO243" s="179">
        <f ca="1">IF(ISNUMBER(MATCH(DATEVALUE($A243),'recurring1_based on steps'!AO$1:AO$400,0)),AO$2,)</f>
        <v>0</v>
      </c>
      <c r="AP243" s="179">
        <f ca="1">IF(ISNUMBER(MATCH(DATEVALUE($A243),'recurring1_based on steps'!AP$1:AP$400,0)),AP$2,)</f>
        <v>0</v>
      </c>
      <c r="AQ243" s="179">
        <f ca="1">IF(ISNUMBER(MATCH(DATEVALUE($A243),'recurring1_based on steps'!AQ$1:AQ$400,0)),AQ$2,)</f>
        <v>0</v>
      </c>
      <c r="AR243" s="179">
        <f ca="1">IF(ISNUMBER(MATCH(DATEVALUE($A243),'recurring1_based on steps'!AR$1:AR$400,0)),AR$2,)</f>
        <v>0</v>
      </c>
      <c r="AS243" s="179">
        <f ca="1">IF(ISNUMBER(MATCH(DATEVALUE($A243),'recurring1_based on steps'!AS$1:AS$400,0)),AS$2,)</f>
        <v>0</v>
      </c>
      <c r="AT243" s="179">
        <f ca="1">IF(ISNUMBER(MATCH(DATEVALUE($A243),'recurring1_based on steps'!AT$1:AT$400,0)),AT$2,)</f>
        <v>0</v>
      </c>
      <c r="AU243" s="179">
        <f ca="1">IF(ISNUMBER(MATCH(DATEVALUE($A243),'recurring1_based on steps'!AU$1:AU$400,0)),AU$2,)</f>
        <v>0</v>
      </c>
      <c r="AV243" s="179">
        <f ca="1">IF(ISNUMBER(MATCH(DATEVALUE($A243),'recurring1_based on steps'!AV$1:AV$400,0)),AV$2,)</f>
        <v>0</v>
      </c>
      <c r="AW243" s="179">
        <f ca="1">IF(ISNUMBER(MATCH(DATEVALUE($A243),'recurring1_based on steps'!AW$1:AW$400,0)),AW$2,)</f>
        <v>0</v>
      </c>
      <c r="AX243" s="179">
        <f ca="1">IF(ISNUMBER(MATCH(DATEVALUE($A243),'recurring1_based on steps'!AX$1:AX$400,0)),AX$2,)</f>
        <v>0</v>
      </c>
      <c r="AY243" s="179">
        <f ca="1">IF(ISNUMBER(MATCH(DATEVALUE($A243),'recurring1_based on steps'!AY$1:AY$400,0)),AY$2,)</f>
        <v>0</v>
      </c>
    </row>
    <row r="244" spans="1:51" x14ac:dyDescent="0.2">
      <c r="A244" s="32" t="str">
        <f t="shared" ca="1" si="3"/>
        <v>2025-12-02</v>
      </c>
      <c r="B244" s="179">
        <f ca="1">IF(ISNUMBER(MATCH(DATEVALUE($A244),'recurring1_based on steps'!B$1:B$400,0)),B$2,)</f>
        <v>0</v>
      </c>
      <c r="C244" s="179">
        <f ca="1">IF(ISNUMBER(MATCH(DATEVALUE($A244),'recurring1_based on steps'!C$1:C$400,0)),C$2,)</f>
        <v>0</v>
      </c>
      <c r="D244" s="179">
        <f ca="1">IF(ISNUMBER(MATCH(DATEVALUE($A244),'recurring1_based on steps'!D$1:D$400,0)),D$2,)</f>
        <v>0</v>
      </c>
      <c r="E244" s="179">
        <f ca="1">IF(ISNUMBER(MATCH(DATEVALUE($A244),'recurring1_based on steps'!E$1:E$400,0)),E$2,)</f>
        <v>0</v>
      </c>
      <c r="F244" s="179">
        <f ca="1">IF(ISNUMBER(MATCH(DATEVALUE($A244),'recurring1_based on steps'!F$1:F$400,0)),F$2,)</f>
        <v>0</v>
      </c>
      <c r="G244" s="179">
        <f ca="1">IF(ISNUMBER(MATCH(DATEVALUE($A244),'recurring1_based on steps'!G$1:G$400,0)),G$2,)</f>
        <v>0</v>
      </c>
      <c r="H244" s="179">
        <f ca="1">IF(ISNUMBER(MATCH(DATEVALUE($A244),'recurring1_based on steps'!H$1:H$400,0)),H$2,)</f>
        <v>0</v>
      </c>
      <c r="I244" s="179">
        <f ca="1">IF(ISNUMBER(MATCH(DATEVALUE($A244),'recurring1_based on steps'!I$1:I$400,0)),I$2,)</f>
        <v>0</v>
      </c>
      <c r="J244" s="179">
        <f ca="1">IF(ISNUMBER(MATCH(DATEVALUE($A244),'recurring1_based on steps'!J$1:J$400,0)),J$2,)</f>
        <v>0</v>
      </c>
      <c r="K244" s="179">
        <f ca="1">IF(ISNUMBER(MATCH(DATEVALUE($A244),'recurring1_based on steps'!K$1:K$400,0)),K$2,)</f>
        <v>0</v>
      </c>
      <c r="L244" s="179">
        <f ca="1">IF(ISNUMBER(MATCH(DATEVALUE($A244),'recurring1_based on steps'!L$1:L$400,0)),L$2,)</f>
        <v>0</v>
      </c>
      <c r="M244" s="179">
        <f ca="1">IF(ISNUMBER(MATCH(DATEVALUE($A244),'recurring1_based on steps'!M$1:M$400,0)),M$2,)</f>
        <v>0</v>
      </c>
      <c r="N244" s="179">
        <f ca="1">IF(ISNUMBER(MATCH(DATEVALUE($A244),'recurring1_based on steps'!N$1:N$400,0)),N$2,)</f>
        <v>0</v>
      </c>
      <c r="O244" s="179">
        <f ca="1">IF(ISNUMBER(MATCH(DATEVALUE($A244),'recurring1_based on steps'!O$1:O$400,0)),O$2,)</f>
        <v>0</v>
      </c>
      <c r="P244" s="179">
        <f ca="1">IF(ISNUMBER(MATCH(DATEVALUE($A244),'recurring1_based on steps'!P$1:P$400,0)),P$2,)</f>
        <v>0</v>
      </c>
      <c r="Q244" s="179">
        <f ca="1">IF(ISNUMBER(MATCH(DATEVALUE($A244),'recurring1_based on steps'!Q$1:Q$400,0)),Q$2,)</f>
        <v>0</v>
      </c>
      <c r="R244" s="179">
        <f ca="1">IF(ISNUMBER(MATCH(DATEVALUE($A244),'recurring1_based on steps'!R$1:R$400,0)),R$2,)</f>
        <v>0</v>
      </c>
      <c r="S244" s="179">
        <f ca="1">IF(ISNUMBER(MATCH(DATEVALUE($A244),'recurring1_based on steps'!S$1:S$400,0)),S$2,)</f>
        <v>0</v>
      </c>
      <c r="T244" s="179">
        <f ca="1">IF(ISNUMBER(MATCH(DATEVALUE($A244),'recurring1_based on steps'!T$1:T$400,0)),T$2,)</f>
        <v>0</v>
      </c>
      <c r="U244" s="179">
        <f ca="1">IF(ISNUMBER(MATCH(DATEVALUE($A244),'recurring1_based on steps'!U$1:U$400,0)),U$2,)</f>
        <v>0</v>
      </c>
      <c r="V244" s="179">
        <f ca="1">IF(ISNUMBER(MATCH(DATEVALUE($A244),'recurring1_based on steps'!V$1:V$400,0)),V$2,)</f>
        <v>0</v>
      </c>
      <c r="W244" s="179">
        <f ca="1">IF(ISNUMBER(MATCH(DATEVALUE($A244),'recurring1_based on steps'!W$1:W$400,0)),W$2,)</f>
        <v>0</v>
      </c>
      <c r="X244" s="179">
        <f ca="1">IF(ISNUMBER(MATCH(DATEVALUE($A244),'recurring1_based on steps'!X$1:X$400,0)),X$2,)</f>
        <v>0</v>
      </c>
      <c r="Y244" s="179">
        <f ca="1">IF(ISNUMBER(MATCH(DATEVALUE($A244),'recurring1_based on steps'!Y$1:Y$400,0)),Y$2,)</f>
        <v>0</v>
      </c>
      <c r="Z244" s="179">
        <f ca="1">IF(ISNUMBER(MATCH(DATEVALUE($A244),'recurring1_based on steps'!Z$1:Z$400,0)),Z$2,)</f>
        <v>0</v>
      </c>
      <c r="AA244" s="179">
        <f ca="1">IF(ISNUMBER(MATCH(DATEVALUE($A244),'recurring1_based on steps'!AA$1:AA$400,0)),AA$2,)</f>
        <v>0</v>
      </c>
      <c r="AB244" s="179">
        <f ca="1">IF(ISNUMBER(MATCH(DATEVALUE($A244),'recurring1_based on steps'!AB$1:AB$400,0)),AB$2,)</f>
        <v>0</v>
      </c>
      <c r="AC244" s="179">
        <f ca="1">IF(ISNUMBER(MATCH(DATEVALUE($A244),'recurring1_based on steps'!AC$1:AC$400,0)),AC$2,)</f>
        <v>0</v>
      </c>
      <c r="AD244" s="179">
        <f ca="1">IF(ISNUMBER(MATCH(DATEVALUE($A244),'recurring1_based on steps'!AD$1:AD$400,0)),AD$2,)</f>
        <v>0</v>
      </c>
      <c r="AE244" s="179">
        <f ca="1">IF(ISNUMBER(MATCH(DATEVALUE($A244),'recurring1_based on steps'!AE$1:AE$400,0)),AE$2,)</f>
        <v>0</v>
      </c>
      <c r="AF244" s="179">
        <f ca="1">IF(ISNUMBER(MATCH(DATEVALUE($A244),'recurring1_based on steps'!AF$1:AF$400,0)),AF$2,)</f>
        <v>0</v>
      </c>
      <c r="AG244" s="179">
        <f ca="1">IF(ISNUMBER(MATCH(DATEVALUE($A244),'recurring1_based on steps'!AG$1:AG$400,0)),AG$2,)</f>
        <v>0</v>
      </c>
      <c r="AH244" s="179">
        <f ca="1">IF(ISNUMBER(MATCH(DATEVALUE($A244),'recurring1_based on steps'!AH$1:AH$400,0)),AH$2,)</f>
        <v>0</v>
      </c>
      <c r="AI244" s="179">
        <f ca="1">IF(ISNUMBER(MATCH(DATEVALUE($A244),'recurring1_based on steps'!AI$1:AI$400,0)),AI$2,)</f>
        <v>0</v>
      </c>
      <c r="AJ244" s="179">
        <f ca="1">IF(ISNUMBER(MATCH(DATEVALUE($A244),'recurring1_based on steps'!AJ$1:AJ$400,0)),AJ$2,)</f>
        <v>0</v>
      </c>
      <c r="AK244" s="179">
        <f ca="1">IF(ISNUMBER(MATCH(DATEVALUE($A244),'recurring1_based on steps'!AK$1:AK$400,0)),AK$2,)</f>
        <v>0</v>
      </c>
      <c r="AL244" s="179">
        <f ca="1">IF(ISNUMBER(MATCH(DATEVALUE($A244),'recurring1_based on steps'!AL$1:AL$400,0)),AL$2,)</f>
        <v>0</v>
      </c>
      <c r="AM244" s="179">
        <f ca="1">IF(ISNUMBER(MATCH(DATEVALUE($A244),'recurring1_based on steps'!AM$1:AM$400,0)),AM$2,)</f>
        <v>0</v>
      </c>
      <c r="AN244" s="179">
        <f ca="1">IF(ISNUMBER(MATCH(DATEVALUE($A244),'recurring1_based on steps'!AN$1:AN$400,0)),AN$2,)</f>
        <v>0</v>
      </c>
      <c r="AO244" s="179">
        <f ca="1">IF(ISNUMBER(MATCH(DATEVALUE($A244),'recurring1_based on steps'!AO$1:AO$400,0)),AO$2,)</f>
        <v>0</v>
      </c>
      <c r="AP244" s="179">
        <f ca="1">IF(ISNUMBER(MATCH(DATEVALUE($A244),'recurring1_based on steps'!AP$1:AP$400,0)),AP$2,)</f>
        <v>0</v>
      </c>
      <c r="AQ244" s="179">
        <f ca="1">IF(ISNUMBER(MATCH(DATEVALUE($A244),'recurring1_based on steps'!AQ$1:AQ$400,0)),AQ$2,)</f>
        <v>0</v>
      </c>
      <c r="AR244" s="179">
        <f ca="1">IF(ISNUMBER(MATCH(DATEVALUE($A244),'recurring1_based on steps'!AR$1:AR$400,0)),AR$2,)</f>
        <v>0</v>
      </c>
      <c r="AS244" s="179">
        <f ca="1">IF(ISNUMBER(MATCH(DATEVALUE($A244),'recurring1_based on steps'!AS$1:AS$400,0)),AS$2,)</f>
        <v>0</v>
      </c>
      <c r="AT244" s="179">
        <f ca="1">IF(ISNUMBER(MATCH(DATEVALUE($A244),'recurring1_based on steps'!AT$1:AT$400,0)),AT$2,)</f>
        <v>0</v>
      </c>
      <c r="AU244" s="179">
        <f ca="1">IF(ISNUMBER(MATCH(DATEVALUE($A244),'recurring1_based on steps'!AU$1:AU$400,0)),AU$2,)</f>
        <v>0</v>
      </c>
      <c r="AV244" s="179">
        <f ca="1">IF(ISNUMBER(MATCH(DATEVALUE($A244),'recurring1_based on steps'!AV$1:AV$400,0)),AV$2,)</f>
        <v>0</v>
      </c>
      <c r="AW244" s="179">
        <f ca="1">IF(ISNUMBER(MATCH(DATEVALUE($A244),'recurring1_based on steps'!AW$1:AW$400,0)),AW$2,)</f>
        <v>0</v>
      </c>
      <c r="AX244" s="179">
        <f ca="1">IF(ISNUMBER(MATCH(DATEVALUE($A244),'recurring1_based on steps'!AX$1:AX$400,0)),AX$2,)</f>
        <v>0</v>
      </c>
      <c r="AY244" s="179">
        <f ca="1">IF(ISNUMBER(MATCH(DATEVALUE($A244),'recurring1_based on steps'!AY$1:AY$400,0)),AY$2,)</f>
        <v>0</v>
      </c>
    </row>
    <row r="245" spans="1:51" x14ac:dyDescent="0.2">
      <c r="A245" s="32" t="str">
        <f t="shared" ca="1" si="3"/>
        <v>2025-12-03</v>
      </c>
      <c r="B245" s="179">
        <f ca="1">IF(ISNUMBER(MATCH(DATEVALUE($A245),'recurring1_based on steps'!B$1:B$400,0)),B$2,)</f>
        <v>0</v>
      </c>
      <c r="C245" s="179">
        <f ca="1">IF(ISNUMBER(MATCH(DATEVALUE($A245),'recurring1_based on steps'!C$1:C$400,0)),C$2,)</f>
        <v>0</v>
      </c>
      <c r="D245" s="179">
        <f ca="1">IF(ISNUMBER(MATCH(DATEVALUE($A245),'recurring1_based on steps'!D$1:D$400,0)),D$2,)</f>
        <v>0</v>
      </c>
      <c r="E245" s="179">
        <f ca="1">IF(ISNUMBER(MATCH(DATEVALUE($A245),'recurring1_based on steps'!E$1:E$400,0)),E$2,)</f>
        <v>0</v>
      </c>
      <c r="F245" s="179">
        <f ca="1">IF(ISNUMBER(MATCH(DATEVALUE($A245),'recurring1_based on steps'!F$1:F$400,0)),F$2,)</f>
        <v>0</v>
      </c>
      <c r="G245" s="179">
        <f ca="1">IF(ISNUMBER(MATCH(DATEVALUE($A245),'recurring1_based on steps'!G$1:G$400,0)),G$2,)</f>
        <v>0</v>
      </c>
      <c r="H245" s="179">
        <f ca="1">IF(ISNUMBER(MATCH(DATEVALUE($A245),'recurring1_based on steps'!H$1:H$400,0)),H$2,)</f>
        <v>0</v>
      </c>
      <c r="I245" s="179">
        <f ca="1">IF(ISNUMBER(MATCH(DATEVALUE($A245),'recurring1_based on steps'!I$1:I$400,0)),I$2,)</f>
        <v>0</v>
      </c>
      <c r="J245" s="179">
        <f ca="1">IF(ISNUMBER(MATCH(DATEVALUE($A245),'recurring1_based on steps'!J$1:J$400,0)),J$2,)</f>
        <v>0</v>
      </c>
      <c r="K245" s="179">
        <f ca="1">IF(ISNUMBER(MATCH(DATEVALUE($A245),'recurring1_based on steps'!K$1:K$400,0)),K$2,)</f>
        <v>0</v>
      </c>
      <c r="L245" s="179">
        <f ca="1">IF(ISNUMBER(MATCH(DATEVALUE($A245),'recurring1_based on steps'!L$1:L$400,0)),L$2,)</f>
        <v>0</v>
      </c>
      <c r="M245" s="179">
        <f ca="1">IF(ISNUMBER(MATCH(DATEVALUE($A245),'recurring1_based on steps'!M$1:M$400,0)),M$2,)</f>
        <v>0</v>
      </c>
      <c r="N245" s="179">
        <f ca="1">IF(ISNUMBER(MATCH(DATEVALUE($A245),'recurring1_based on steps'!N$1:N$400,0)),N$2,)</f>
        <v>0</v>
      </c>
      <c r="O245" s="179">
        <f ca="1">IF(ISNUMBER(MATCH(DATEVALUE($A245),'recurring1_based on steps'!O$1:O$400,0)),O$2,)</f>
        <v>0</v>
      </c>
      <c r="P245" s="179">
        <f ca="1">IF(ISNUMBER(MATCH(DATEVALUE($A245),'recurring1_based on steps'!P$1:P$400,0)),P$2,)</f>
        <v>0</v>
      </c>
      <c r="Q245" s="179">
        <f ca="1">IF(ISNUMBER(MATCH(DATEVALUE($A245),'recurring1_based on steps'!Q$1:Q$400,0)),Q$2,)</f>
        <v>0</v>
      </c>
      <c r="R245" s="179">
        <f ca="1">IF(ISNUMBER(MATCH(DATEVALUE($A245),'recurring1_based on steps'!R$1:R$400,0)),R$2,)</f>
        <v>0</v>
      </c>
      <c r="S245" s="179">
        <f ca="1">IF(ISNUMBER(MATCH(DATEVALUE($A245),'recurring1_based on steps'!S$1:S$400,0)),S$2,)</f>
        <v>0</v>
      </c>
      <c r="T245" s="179">
        <f ca="1">IF(ISNUMBER(MATCH(DATEVALUE($A245),'recurring1_based on steps'!T$1:T$400,0)),T$2,)</f>
        <v>0</v>
      </c>
      <c r="U245" s="179">
        <f ca="1">IF(ISNUMBER(MATCH(DATEVALUE($A245),'recurring1_based on steps'!U$1:U$400,0)),U$2,)</f>
        <v>0</v>
      </c>
      <c r="V245" s="179">
        <f ca="1">IF(ISNUMBER(MATCH(DATEVALUE($A245),'recurring1_based on steps'!V$1:V$400,0)),V$2,)</f>
        <v>0</v>
      </c>
      <c r="W245" s="179">
        <f ca="1">IF(ISNUMBER(MATCH(DATEVALUE($A245),'recurring1_based on steps'!W$1:W$400,0)),W$2,)</f>
        <v>0</v>
      </c>
      <c r="X245" s="179">
        <f ca="1">IF(ISNUMBER(MATCH(DATEVALUE($A245),'recurring1_based on steps'!X$1:X$400,0)),X$2,)</f>
        <v>0</v>
      </c>
      <c r="Y245" s="179">
        <f ca="1">IF(ISNUMBER(MATCH(DATEVALUE($A245),'recurring1_based on steps'!Y$1:Y$400,0)),Y$2,)</f>
        <v>0</v>
      </c>
      <c r="Z245" s="179">
        <f ca="1">IF(ISNUMBER(MATCH(DATEVALUE($A245),'recurring1_based on steps'!Z$1:Z$400,0)),Z$2,)</f>
        <v>0</v>
      </c>
      <c r="AA245" s="179">
        <f ca="1">IF(ISNUMBER(MATCH(DATEVALUE($A245),'recurring1_based on steps'!AA$1:AA$400,0)),AA$2,)</f>
        <v>0</v>
      </c>
      <c r="AB245" s="179">
        <f ca="1">IF(ISNUMBER(MATCH(DATEVALUE($A245),'recurring1_based on steps'!AB$1:AB$400,0)),AB$2,)</f>
        <v>0</v>
      </c>
      <c r="AC245" s="179">
        <f ca="1">IF(ISNUMBER(MATCH(DATEVALUE($A245),'recurring1_based on steps'!AC$1:AC$400,0)),AC$2,)</f>
        <v>0</v>
      </c>
      <c r="AD245" s="179">
        <f ca="1">IF(ISNUMBER(MATCH(DATEVALUE($A245),'recurring1_based on steps'!AD$1:AD$400,0)),AD$2,)</f>
        <v>0</v>
      </c>
      <c r="AE245" s="179">
        <f ca="1">IF(ISNUMBER(MATCH(DATEVALUE($A245),'recurring1_based on steps'!AE$1:AE$400,0)),AE$2,)</f>
        <v>0</v>
      </c>
      <c r="AF245" s="179">
        <f ca="1">IF(ISNUMBER(MATCH(DATEVALUE($A245),'recurring1_based on steps'!AF$1:AF$400,0)),AF$2,)</f>
        <v>0</v>
      </c>
      <c r="AG245" s="179">
        <f ca="1">IF(ISNUMBER(MATCH(DATEVALUE($A245),'recurring1_based on steps'!AG$1:AG$400,0)),AG$2,)</f>
        <v>0</v>
      </c>
      <c r="AH245" s="179">
        <f ca="1">IF(ISNUMBER(MATCH(DATEVALUE($A245),'recurring1_based on steps'!AH$1:AH$400,0)),AH$2,)</f>
        <v>0</v>
      </c>
      <c r="AI245" s="179">
        <f ca="1">IF(ISNUMBER(MATCH(DATEVALUE($A245),'recurring1_based on steps'!AI$1:AI$400,0)),AI$2,)</f>
        <v>0</v>
      </c>
      <c r="AJ245" s="179">
        <f ca="1">IF(ISNUMBER(MATCH(DATEVALUE($A245),'recurring1_based on steps'!AJ$1:AJ$400,0)),AJ$2,)</f>
        <v>0</v>
      </c>
      <c r="AK245" s="179">
        <f ca="1">IF(ISNUMBER(MATCH(DATEVALUE($A245),'recurring1_based on steps'!AK$1:AK$400,0)),AK$2,)</f>
        <v>0</v>
      </c>
      <c r="AL245" s="179">
        <f ca="1">IF(ISNUMBER(MATCH(DATEVALUE($A245),'recurring1_based on steps'!AL$1:AL$400,0)),AL$2,)</f>
        <v>0</v>
      </c>
      <c r="AM245" s="179">
        <f ca="1">IF(ISNUMBER(MATCH(DATEVALUE($A245),'recurring1_based on steps'!AM$1:AM$400,0)),AM$2,)</f>
        <v>0</v>
      </c>
      <c r="AN245" s="179">
        <f ca="1">IF(ISNUMBER(MATCH(DATEVALUE($A245),'recurring1_based on steps'!AN$1:AN$400,0)),AN$2,)</f>
        <v>0</v>
      </c>
      <c r="AO245" s="179">
        <f ca="1">IF(ISNUMBER(MATCH(DATEVALUE($A245),'recurring1_based on steps'!AO$1:AO$400,0)),AO$2,)</f>
        <v>0</v>
      </c>
      <c r="AP245" s="179">
        <f ca="1">IF(ISNUMBER(MATCH(DATEVALUE($A245),'recurring1_based on steps'!AP$1:AP$400,0)),AP$2,)</f>
        <v>0</v>
      </c>
      <c r="AQ245" s="179">
        <f ca="1">IF(ISNUMBER(MATCH(DATEVALUE($A245),'recurring1_based on steps'!AQ$1:AQ$400,0)),AQ$2,)</f>
        <v>0</v>
      </c>
      <c r="AR245" s="179">
        <f ca="1">IF(ISNUMBER(MATCH(DATEVALUE($A245),'recurring1_based on steps'!AR$1:AR$400,0)),AR$2,)</f>
        <v>0</v>
      </c>
      <c r="AS245" s="179">
        <f ca="1">IF(ISNUMBER(MATCH(DATEVALUE($A245),'recurring1_based on steps'!AS$1:AS$400,0)),AS$2,)</f>
        <v>0</v>
      </c>
      <c r="AT245" s="179">
        <f ca="1">IF(ISNUMBER(MATCH(DATEVALUE($A245),'recurring1_based on steps'!AT$1:AT$400,0)),AT$2,)</f>
        <v>0</v>
      </c>
      <c r="AU245" s="179">
        <f ca="1">IF(ISNUMBER(MATCH(DATEVALUE($A245),'recurring1_based on steps'!AU$1:AU$400,0)),AU$2,)</f>
        <v>0</v>
      </c>
      <c r="AV245" s="179">
        <f ca="1">IF(ISNUMBER(MATCH(DATEVALUE($A245),'recurring1_based on steps'!AV$1:AV$400,0)),AV$2,)</f>
        <v>0</v>
      </c>
      <c r="AW245" s="179">
        <f ca="1">IF(ISNUMBER(MATCH(DATEVALUE($A245),'recurring1_based on steps'!AW$1:AW$400,0)),AW$2,)</f>
        <v>0</v>
      </c>
      <c r="AX245" s="179">
        <f ca="1">IF(ISNUMBER(MATCH(DATEVALUE($A245),'recurring1_based on steps'!AX$1:AX$400,0)),AX$2,)</f>
        <v>0</v>
      </c>
      <c r="AY245" s="179">
        <f ca="1">IF(ISNUMBER(MATCH(DATEVALUE($A245),'recurring1_based on steps'!AY$1:AY$400,0)),AY$2,)</f>
        <v>0</v>
      </c>
    </row>
    <row r="246" spans="1:51" x14ac:dyDescent="0.2">
      <c r="A246" s="32" t="str">
        <f t="shared" ca="1" si="3"/>
        <v>2025-12-04</v>
      </c>
      <c r="B246" s="179">
        <f ca="1">IF(ISNUMBER(MATCH(DATEVALUE($A246),'recurring1_based on steps'!B$1:B$400,0)),B$2,)</f>
        <v>0</v>
      </c>
      <c r="C246" s="179">
        <f ca="1">IF(ISNUMBER(MATCH(DATEVALUE($A246),'recurring1_based on steps'!C$1:C$400,0)),C$2,)</f>
        <v>0</v>
      </c>
      <c r="D246" s="179">
        <f ca="1">IF(ISNUMBER(MATCH(DATEVALUE($A246),'recurring1_based on steps'!D$1:D$400,0)),D$2,)</f>
        <v>0</v>
      </c>
      <c r="E246" s="179">
        <f ca="1">IF(ISNUMBER(MATCH(DATEVALUE($A246),'recurring1_based on steps'!E$1:E$400,0)),E$2,)</f>
        <v>0</v>
      </c>
      <c r="F246" s="179">
        <f ca="1">IF(ISNUMBER(MATCH(DATEVALUE($A246),'recurring1_based on steps'!F$1:F$400,0)),F$2,)</f>
        <v>0</v>
      </c>
      <c r="G246" s="179">
        <f ca="1">IF(ISNUMBER(MATCH(DATEVALUE($A246),'recurring1_based on steps'!G$1:G$400,0)),G$2,)</f>
        <v>0</v>
      </c>
      <c r="H246" s="179">
        <f ca="1">IF(ISNUMBER(MATCH(DATEVALUE($A246),'recurring1_based on steps'!H$1:H$400,0)),H$2,)</f>
        <v>0</v>
      </c>
      <c r="I246" s="179">
        <f ca="1">IF(ISNUMBER(MATCH(DATEVALUE($A246),'recurring1_based on steps'!I$1:I$400,0)),I$2,)</f>
        <v>0</v>
      </c>
      <c r="J246" s="179">
        <f ca="1">IF(ISNUMBER(MATCH(DATEVALUE($A246),'recurring1_based on steps'!J$1:J$400,0)),J$2,)</f>
        <v>0</v>
      </c>
      <c r="K246" s="179">
        <f ca="1">IF(ISNUMBER(MATCH(DATEVALUE($A246),'recurring1_based on steps'!K$1:K$400,0)),K$2,)</f>
        <v>0</v>
      </c>
      <c r="L246" s="179">
        <f ca="1">IF(ISNUMBER(MATCH(DATEVALUE($A246),'recurring1_based on steps'!L$1:L$400,0)),L$2,)</f>
        <v>0</v>
      </c>
      <c r="M246" s="179">
        <f ca="1">IF(ISNUMBER(MATCH(DATEVALUE($A246),'recurring1_based on steps'!M$1:M$400,0)),M$2,)</f>
        <v>0</v>
      </c>
      <c r="N246" s="179">
        <f ca="1">IF(ISNUMBER(MATCH(DATEVALUE($A246),'recurring1_based on steps'!N$1:N$400,0)),N$2,)</f>
        <v>0</v>
      </c>
      <c r="O246" s="179">
        <f ca="1">IF(ISNUMBER(MATCH(DATEVALUE($A246),'recurring1_based on steps'!O$1:O$400,0)),O$2,)</f>
        <v>0</v>
      </c>
      <c r="P246" s="179">
        <f ca="1">IF(ISNUMBER(MATCH(DATEVALUE($A246),'recurring1_based on steps'!P$1:P$400,0)),P$2,)</f>
        <v>0</v>
      </c>
      <c r="Q246" s="179">
        <f ca="1">IF(ISNUMBER(MATCH(DATEVALUE($A246),'recurring1_based on steps'!Q$1:Q$400,0)),Q$2,)</f>
        <v>0</v>
      </c>
      <c r="R246" s="179">
        <f ca="1">IF(ISNUMBER(MATCH(DATEVALUE($A246),'recurring1_based on steps'!R$1:R$400,0)),R$2,)</f>
        <v>0</v>
      </c>
      <c r="S246" s="179">
        <f ca="1">IF(ISNUMBER(MATCH(DATEVALUE($A246),'recurring1_based on steps'!S$1:S$400,0)),S$2,)</f>
        <v>0</v>
      </c>
      <c r="T246" s="179">
        <f ca="1">IF(ISNUMBER(MATCH(DATEVALUE($A246),'recurring1_based on steps'!T$1:T$400,0)),T$2,)</f>
        <v>0</v>
      </c>
      <c r="U246" s="179">
        <f ca="1">IF(ISNUMBER(MATCH(DATEVALUE($A246),'recurring1_based on steps'!U$1:U$400,0)),U$2,)</f>
        <v>0</v>
      </c>
      <c r="V246" s="179">
        <f ca="1">IF(ISNUMBER(MATCH(DATEVALUE($A246),'recurring1_based on steps'!V$1:V$400,0)),V$2,)</f>
        <v>0</v>
      </c>
      <c r="W246" s="179">
        <f ca="1">IF(ISNUMBER(MATCH(DATEVALUE($A246),'recurring1_based on steps'!W$1:W$400,0)),W$2,)</f>
        <v>0</v>
      </c>
      <c r="X246" s="179">
        <f ca="1">IF(ISNUMBER(MATCH(DATEVALUE($A246),'recurring1_based on steps'!X$1:X$400,0)),X$2,)</f>
        <v>0</v>
      </c>
      <c r="Y246" s="179">
        <f ca="1">IF(ISNUMBER(MATCH(DATEVALUE($A246),'recurring1_based on steps'!Y$1:Y$400,0)),Y$2,)</f>
        <v>0</v>
      </c>
      <c r="Z246" s="179">
        <f ca="1">IF(ISNUMBER(MATCH(DATEVALUE($A246),'recurring1_based on steps'!Z$1:Z$400,0)),Z$2,)</f>
        <v>0</v>
      </c>
      <c r="AA246" s="179">
        <f ca="1">IF(ISNUMBER(MATCH(DATEVALUE($A246),'recurring1_based on steps'!AA$1:AA$400,0)),AA$2,)</f>
        <v>0</v>
      </c>
      <c r="AB246" s="179">
        <f ca="1">IF(ISNUMBER(MATCH(DATEVALUE($A246),'recurring1_based on steps'!AB$1:AB$400,0)),AB$2,)</f>
        <v>0</v>
      </c>
      <c r="AC246" s="179">
        <f ca="1">IF(ISNUMBER(MATCH(DATEVALUE($A246),'recurring1_based on steps'!AC$1:AC$400,0)),AC$2,)</f>
        <v>0</v>
      </c>
      <c r="AD246" s="179">
        <f ca="1">IF(ISNUMBER(MATCH(DATEVALUE($A246),'recurring1_based on steps'!AD$1:AD$400,0)),AD$2,)</f>
        <v>0</v>
      </c>
      <c r="AE246" s="179">
        <f ca="1">IF(ISNUMBER(MATCH(DATEVALUE($A246),'recurring1_based on steps'!AE$1:AE$400,0)),AE$2,)</f>
        <v>0</v>
      </c>
      <c r="AF246" s="179">
        <f ca="1">IF(ISNUMBER(MATCH(DATEVALUE($A246),'recurring1_based on steps'!AF$1:AF$400,0)),AF$2,)</f>
        <v>0</v>
      </c>
      <c r="AG246" s="179">
        <f ca="1">IF(ISNUMBER(MATCH(DATEVALUE($A246),'recurring1_based on steps'!AG$1:AG$400,0)),AG$2,)</f>
        <v>0</v>
      </c>
      <c r="AH246" s="179">
        <f ca="1">IF(ISNUMBER(MATCH(DATEVALUE($A246),'recurring1_based on steps'!AH$1:AH$400,0)),AH$2,)</f>
        <v>0</v>
      </c>
      <c r="AI246" s="179">
        <f ca="1">IF(ISNUMBER(MATCH(DATEVALUE($A246),'recurring1_based on steps'!AI$1:AI$400,0)),AI$2,)</f>
        <v>0</v>
      </c>
      <c r="AJ246" s="179">
        <f ca="1">IF(ISNUMBER(MATCH(DATEVALUE($A246),'recurring1_based on steps'!AJ$1:AJ$400,0)),AJ$2,)</f>
        <v>0</v>
      </c>
      <c r="AK246" s="179">
        <f ca="1">IF(ISNUMBER(MATCH(DATEVALUE($A246),'recurring1_based on steps'!AK$1:AK$400,0)),AK$2,)</f>
        <v>0</v>
      </c>
      <c r="AL246" s="179">
        <f ca="1">IF(ISNUMBER(MATCH(DATEVALUE($A246),'recurring1_based on steps'!AL$1:AL$400,0)),AL$2,)</f>
        <v>0</v>
      </c>
      <c r="AM246" s="179">
        <f ca="1">IF(ISNUMBER(MATCH(DATEVALUE($A246),'recurring1_based on steps'!AM$1:AM$400,0)),AM$2,)</f>
        <v>0</v>
      </c>
      <c r="AN246" s="179">
        <f ca="1">IF(ISNUMBER(MATCH(DATEVALUE($A246),'recurring1_based on steps'!AN$1:AN$400,0)),AN$2,)</f>
        <v>0</v>
      </c>
      <c r="AO246" s="179">
        <f ca="1">IF(ISNUMBER(MATCH(DATEVALUE($A246),'recurring1_based on steps'!AO$1:AO$400,0)),AO$2,)</f>
        <v>0</v>
      </c>
      <c r="AP246" s="179">
        <f ca="1">IF(ISNUMBER(MATCH(DATEVALUE($A246),'recurring1_based on steps'!AP$1:AP$400,0)),AP$2,)</f>
        <v>0</v>
      </c>
      <c r="AQ246" s="179">
        <f ca="1">IF(ISNUMBER(MATCH(DATEVALUE($A246),'recurring1_based on steps'!AQ$1:AQ$400,0)),AQ$2,)</f>
        <v>0</v>
      </c>
      <c r="AR246" s="179">
        <f ca="1">IF(ISNUMBER(MATCH(DATEVALUE($A246),'recurring1_based on steps'!AR$1:AR$400,0)),AR$2,)</f>
        <v>0</v>
      </c>
      <c r="AS246" s="179">
        <f ca="1">IF(ISNUMBER(MATCH(DATEVALUE($A246),'recurring1_based on steps'!AS$1:AS$400,0)),AS$2,)</f>
        <v>0</v>
      </c>
      <c r="AT246" s="179">
        <f ca="1">IF(ISNUMBER(MATCH(DATEVALUE($A246),'recurring1_based on steps'!AT$1:AT$400,0)),AT$2,)</f>
        <v>0</v>
      </c>
      <c r="AU246" s="179">
        <f ca="1">IF(ISNUMBER(MATCH(DATEVALUE($A246),'recurring1_based on steps'!AU$1:AU$400,0)),AU$2,)</f>
        <v>0</v>
      </c>
      <c r="AV246" s="179">
        <f ca="1">IF(ISNUMBER(MATCH(DATEVALUE($A246),'recurring1_based on steps'!AV$1:AV$400,0)),AV$2,)</f>
        <v>0</v>
      </c>
      <c r="AW246" s="179">
        <f ca="1">IF(ISNUMBER(MATCH(DATEVALUE($A246),'recurring1_based on steps'!AW$1:AW$400,0)),AW$2,)</f>
        <v>0</v>
      </c>
      <c r="AX246" s="179">
        <f ca="1">IF(ISNUMBER(MATCH(DATEVALUE($A246),'recurring1_based on steps'!AX$1:AX$400,0)),AX$2,)</f>
        <v>0</v>
      </c>
      <c r="AY246" s="179">
        <f ca="1">IF(ISNUMBER(MATCH(DATEVALUE($A246),'recurring1_based on steps'!AY$1:AY$400,0)),AY$2,)</f>
        <v>0</v>
      </c>
    </row>
    <row r="247" spans="1:51" x14ac:dyDescent="0.2">
      <c r="A247" s="32" t="str">
        <f t="shared" ca="1" si="3"/>
        <v>2025-12-05</v>
      </c>
      <c r="B247" s="179">
        <f ca="1">IF(ISNUMBER(MATCH(DATEVALUE($A247),'recurring1_based on steps'!B$1:B$400,0)),B$2,)</f>
        <v>0</v>
      </c>
      <c r="C247" s="179">
        <f ca="1">IF(ISNUMBER(MATCH(DATEVALUE($A247),'recurring1_based on steps'!C$1:C$400,0)),C$2,)</f>
        <v>0</v>
      </c>
      <c r="D247" s="179">
        <f ca="1">IF(ISNUMBER(MATCH(DATEVALUE($A247),'recurring1_based on steps'!D$1:D$400,0)),D$2,)</f>
        <v>0</v>
      </c>
      <c r="E247" s="179">
        <f ca="1">IF(ISNUMBER(MATCH(DATEVALUE($A247),'recurring1_based on steps'!E$1:E$400,0)),E$2,)</f>
        <v>0</v>
      </c>
      <c r="F247" s="179">
        <f ca="1">IF(ISNUMBER(MATCH(DATEVALUE($A247),'recurring1_based on steps'!F$1:F$400,0)),F$2,)</f>
        <v>0</v>
      </c>
      <c r="G247" s="179">
        <f ca="1">IF(ISNUMBER(MATCH(DATEVALUE($A247),'recurring1_based on steps'!G$1:G$400,0)),G$2,)</f>
        <v>0</v>
      </c>
      <c r="H247" s="179">
        <f ca="1">IF(ISNUMBER(MATCH(DATEVALUE($A247),'recurring1_based on steps'!H$1:H$400,0)),H$2,)</f>
        <v>0</v>
      </c>
      <c r="I247" s="179">
        <f ca="1">IF(ISNUMBER(MATCH(DATEVALUE($A247),'recurring1_based on steps'!I$1:I$400,0)),I$2,)</f>
        <v>0</v>
      </c>
      <c r="J247" s="179">
        <f ca="1">IF(ISNUMBER(MATCH(DATEVALUE($A247),'recurring1_based on steps'!J$1:J$400,0)),J$2,)</f>
        <v>0</v>
      </c>
      <c r="K247" s="179">
        <f ca="1">IF(ISNUMBER(MATCH(DATEVALUE($A247),'recurring1_based on steps'!K$1:K$400,0)),K$2,)</f>
        <v>0</v>
      </c>
      <c r="L247" s="179">
        <f ca="1">IF(ISNUMBER(MATCH(DATEVALUE($A247),'recurring1_based on steps'!L$1:L$400,0)),L$2,)</f>
        <v>0</v>
      </c>
      <c r="M247" s="179">
        <f ca="1">IF(ISNUMBER(MATCH(DATEVALUE($A247),'recurring1_based on steps'!M$1:M$400,0)),M$2,)</f>
        <v>0</v>
      </c>
      <c r="N247" s="179">
        <f ca="1">IF(ISNUMBER(MATCH(DATEVALUE($A247),'recurring1_based on steps'!N$1:N$400,0)),N$2,)</f>
        <v>0</v>
      </c>
      <c r="O247" s="179">
        <f ca="1">IF(ISNUMBER(MATCH(DATEVALUE($A247),'recurring1_based on steps'!O$1:O$400,0)),O$2,)</f>
        <v>0</v>
      </c>
      <c r="P247" s="179">
        <f ca="1">IF(ISNUMBER(MATCH(DATEVALUE($A247),'recurring1_based on steps'!P$1:P$400,0)),P$2,)</f>
        <v>0</v>
      </c>
      <c r="Q247" s="179">
        <f ca="1">IF(ISNUMBER(MATCH(DATEVALUE($A247),'recurring1_based on steps'!Q$1:Q$400,0)),Q$2,)</f>
        <v>0</v>
      </c>
      <c r="R247" s="179">
        <f ca="1">IF(ISNUMBER(MATCH(DATEVALUE($A247),'recurring1_based on steps'!R$1:R$400,0)),R$2,)</f>
        <v>0</v>
      </c>
      <c r="S247" s="179">
        <f ca="1">IF(ISNUMBER(MATCH(DATEVALUE($A247),'recurring1_based on steps'!S$1:S$400,0)),S$2,)</f>
        <v>0</v>
      </c>
      <c r="T247" s="179">
        <f ca="1">IF(ISNUMBER(MATCH(DATEVALUE($A247),'recurring1_based on steps'!T$1:T$400,0)),T$2,)</f>
        <v>0</v>
      </c>
      <c r="U247" s="179">
        <f ca="1">IF(ISNUMBER(MATCH(DATEVALUE($A247),'recurring1_based on steps'!U$1:U$400,0)),U$2,)</f>
        <v>0</v>
      </c>
      <c r="V247" s="179">
        <f ca="1">IF(ISNUMBER(MATCH(DATEVALUE($A247),'recurring1_based on steps'!V$1:V$400,0)),V$2,)</f>
        <v>0</v>
      </c>
      <c r="W247" s="179">
        <f ca="1">IF(ISNUMBER(MATCH(DATEVALUE($A247),'recurring1_based on steps'!W$1:W$400,0)),W$2,)</f>
        <v>0</v>
      </c>
      <c r="X247" s="179">
        <f ca="1">IF(ISNUMBER(MATCH(DATEVALUE($A247),'recurring1_based on steps'!X$1:X$400,0)),X$2,)</f>
        <v>0</v>
      </c>
      <c r="Y247" s="179">
        <f ca="1">IF(ISNUMBER(MATCH(DATEVALUE($A247),'recurring1_based on steps'!Y$1:Y$400,0)),Y$2,)</f>
        <v>0</v>
      </c>
      <c r="Z247" s="179">
        <f ca="1">IF(ISNUMBER(MATCH(DATEVALUE($A247),'recurring1_based on steps'!Z$1:Z$400,0)),Z$2,)</f>
        <v>0</v>
      </c>
      <c r="AA247" s="179">
        <f ca="1">IF(ISNUMBER(MATCH(DATEVALUE($A247),'recurring1_based on steps'!AA$1:AA$400,0)),AA$2,)</f>
        <v>0</v>
      </c>
      <c r="AB247" s="179">
        <f ca="1">IF(ISNUMBER(MATCH(DATEVALUE($A247),'recurring1_based on steps'!AB$1:AB$400,0)),AB$2,)</f>
        <v>0</v>
      </c>
      <c r="AC247" s="179">
        <f ca="1">IF(ISNUMBER(MATCH(DATEVALUE($A247),'recurring1_based on steps'!AC$1:AC$400,0)),AC$2,)</f>
        <v>0</v>
      </c>
      <c r="AD247" s="179">
        <f ca="1">IF(ISNUMBER(MATCH(DATEVALUE($A247),'recurring1_based on steps'!AD$1:AD$400,0)),AD$2,)</f>
        <v>0</v>
      </c>
      <c r="AE247" s="179">
        <f ca="1">IF(ISNUMBER(MATCH(DATEVALUE($A247),'recurring1_based on steps'!AE$1:AE$400,0)),AE$2,)</f>
        <v>0</v>
      </c>
      <c r="AF247" s="179">
        <f ca="1">IF(ISNUMBER(MATCH(DATEVALUE($A247),'recurring1_based on steps'!AF$1:AF$400,0)),AF$2,)</f>
        <v>0</v>
      </c>
      <c r="AG247" s="179">
        <f ca="1">IF(ISNUMBER(MATCH(DATEVALUE($A247),'recurring1_based on steps'!AG$1:AG$400,0)),AG$2,)</f>
        <v>0</v>
      </c>
      <c r="AH247" s="179">
        <f ca="1">IF(ISNUMBER(MATCH(DATEVALUE($A247),'recurring1_based on steps'!AH$1:AH$400,0)),AH$2,)</f>
        <v>0</v>
      </c>
      <c r="AI247" s="179">
        <f ca="1">IF(ISNUMBER(MATCH(DATEVALUE($A247),'recurring1_based on steps'!AI$1:AI$400,0)),AI$2,)</f>
        <v>0</v>
      </c>
      <c r="AJ247" s="179">
        <f ca="1">IF(ISNUMBER(MATCH(DATEVALUE($A247),'recurring1_based on steps'!AJ$1:AJ$400,0)),AJ$2,)</f>
        <v>0</v>
      </c>
      <c r="AK247" s="179">
        <f ca="1">IF(ISNUMBER(MATCH(DATEVALUE($A247),'recurring1_based on steps'!AK$1:AK$400,0)),AK$2,)</f>
        <v>0</v>
      </c>
      <c r="AL247" s="179">
        <f ca="1">IF(ISNUMBER(MATCH(DATEVALUE($A247),'recurring1_based on steps'!AL$1:AL$400,0)),AL$2,)</f>
        <v>0</v>
      </c>
      <c r="AM247" s="179">
        <f ca="1">IF(ISNUMBER(MATCH(DATEVALUE($A247),'recurring1_based on steps'!AM$1:AM$400,0)),AM$2,)</f>
        <v>0</v>
      </c>
      <c r="AN247" s="179">
        <f ca="1">IF(ISNUMBER(MATCH(DATEVALUE($A247),'recurring1_based on steps'!AN$1:AN$400,0)),AN$2,)</f>
        <v>0</v>
      </c>
      <c r="AO247" s="179">
        <f ca="1">IF(ISNUMBER(MATCH(DATEVALUE($A247),'recurring1_based on steps'!AO$1:AO$400,0)),AO$2,)</f>
        <v>0</v>
      </c>
      <c r="AP247" s="179">
        <f ca="1">IF(ISNUMBER(MATCH(DATEVALUE($A247),'recurring1_based on steps'!AP$1:AP$400,0)),AP$2,)</f>
        <v>0</v>
      </c>
      <c r="AQ247" s="179">
        <f ca="1">IF(ISNUMBER(MATCH(DATEVALUE($A247),'recurring1_based on steps'!AQ$1:AQ$400,0)),AQ$2,)</f>
        <v>0</v>
      </c>
      <c r="AR247" s="179">
        <f ca="1">IF(ISNUMBER(MATCH(DATEVALUE($A247),'recurring1_based on steps'!AR$1:AR$400,0)),AR$2,)</f>
        <v>0</v>
      </c>
      <c r="AS247" s="179">
        <f ca="1">IF(ISNUMBER(MATCH(DATEVALUE($A247),'recurring1_based on steps'!AS$1:AS$400,0)),AS$2,)</f>
        <v>0</v>
      </c>
      <c r="AT247" s="179">
        <f ca="1">IF(ISNUMBER(MATCH(DATEVALUE($A247),'recurring1_based on steps'!AT$1:AT$400,0)),AT$2,)</f>
        <v>0</v>
      </c>
      <c r="AU247" s="179">
        <f ca="1">IF(ISNUMBER(MATCH(DATEVALUE($A247),'recurring1_based on steps'!AU$1:AU$400,0)),AU$2,)</f>
        <v>0</v>
      </c>
      <c r="AV247" s="179">
        <f ca="1">IF(ISNUMBER(MATCH(DATEVALUE($A247),'recurring1_based on steps'!AV$1:AV$400,0)),AV$2,)</f>
        <v>0</v>
      </c>
      <c r="AW247" s="179">
        <f ca="1">IF(ISNUMBER(MATCH(DATEVALUE($A247),'recurring1_based on steps'!AW$1:AW$400,0)),AW$2,)</f>
        <v>0</v>
      </c>
      <c r="AX247" s="179">
        <f ca="1">IF(ISNUMBER(MATCH(DATEVALUE($A247),'recurring1_based on steps'!AX$1:AX$400,0)),AX$2,)</f>
        <v>0</v>
      </c>
      <c r="AY247" s="179">
        <f ca="1">IF(ISNUMBER(MATCH(DATEVALUE($A247),'recurring1_based on steps'!AY$1:AY$400,0)),AY$2,)</f>
        <v>0</v>
      </c>
    </row>
    <row r="248" spans="1:51" x14ac:dyDescent="0.2">
      <c r="A248" s="32" t="str">
        <f t="shared" ca="1" si="3"/>
        <v>2025-12-06</v>
      </c>
      <c r="B248" s="179">
        <f ca="1">IF(ISNUMBER(MATCH(DATEVALUE($A248),'recurring1_based on steps'!B$1:B$400,0)),B$2,)</f>
        <v>0</v>
      </c>
      <c r="C248" s="179">
        <f ca="1">IF(ISNUMBER(MATCH(DATEVALUE($A248),'recurring1_based on steps'!C$1:C$400,0)),C$2,)</f>
        <v>0</v>
      </c>
      <c r="D248" s="179">
        <f ca="1">IF(ISNUMBER(MATCH(DATEVALUE($A248),'recurring1_based on steps'!D$1:D$400,0)),D$2,)</f>
        <v>0</v>
      </c>
      <c r="E248" s="179">
        <f ca="1">IF(ISNUMBER(MATCH(DATEVALUE($A248),'recurring1_based on steps'!E$1:E$400,0)),E$2,)</f>
        <v>0</v>
      </c>
      <c r="F248" s="179">
        <f ca="1">IF(ISNUMBER(MATCH(DATEVALUE($A248),'recurring1_based on steps'!F$1:F$400,0)),F$2,)</f>
        <v>0</v>
      </c>
      <c r="G248" s="179">
        <f ca="1">IF(ISNUMBER(MATCH(DATEVALUE($A248),'recurring1_based on steps'!G$1:G$400,0)),G$2,)</f>
        <v>0</v>
      </c>
      <c r="H248" s="179">
        <f ca="1">IF(ISNUMBER(MATCH(DATEVALUE($A248),'recurring1_based on steps'!H$1:H$400,0)),H$2,)</f>
        <v>0</v>
      </c>
      <c r="I248" s="179">
        <f ca="1">IF(ISNUMBER(MATCH(DATEVALUE($A248),'recurring1_based on steps'!I$1:I$400,0)),I$2,)</f>
        <v>0</v>
      </c>
      <c r="J248" s="179">
        <f ca="1">IF(ISNUMBER(MATCH(DATEVALUE($A248),'recurring1_based on steps'!J$1:J$400,0)),J$2,)</f>
        <v>0</v>
      </c>
      <c r="K248" s="179">
        <f ca="1">IF(ISNUMBER(MATCH(DATEVALUE($A248),'recurring1_based on steps'!K$1:K$400,0)),K$2,)</f>
        <v>0</v>
      </c>
      <c r="L248" s="179">
        <f ca="1">IF(ISNUMBER(MATCH(DATEVALUE($A248),'recurring1_based on steps'!L$1:L$400,0)),L$2,)</f>
        <v>0</v>
      </c>
      <c r="M248" s="179">
        <f ca="1">IF(ISNUMBER(MATCH(DATEVALUE($A248),'recurring1_based on steps'!M$1:M$400,0)),M$2,)</f>
        <v>0</v>
      </c>
      <c r="N248" s="179">
        <f ca="1">IF(ISNUMBER(MATCH(DATEVALUE($A248),'recurring1_based on steps'!N$1:N$400,0)),N$2,)</f>
        <v>0</v>
      </c>
      <c r="O248" s="179">
        <f ca="1">IF(ISNUMBER(MATCH(DATEVALUE($A248),'recurring1_based on steps'!O$1:O$400,0)),O$2,)</f>
        <v>0</v>
      </c>
      <c r="P248" s="179">
        <f ca="1">IF(ISNUMBER(MATCH(DATEVALUE($A248),'recurring1_based on steps'!P$1:P$400,0)),P$2,)</f>
        <v>0</v>
      </c>
      <c r="Q248" s="179">
        <f ca="1">IF(ISNUMBER(MATCH(DATEVALUE($A248),'recurring1_based on steps'!Q$1:Q$400,0)),Q$2,)</f>
        <v>0</v>
      </c>
      <c r="R248" s="179">
        <f ca="1">IF(ISNUMBER(MATCH(DATEVALUE($A248),'recurring1_based on steps'!R$1:R$400,0)),R$2,)</f>
        <v>0</v>
      </c>
      <c r="S248" s="179">
        <f ca="1">IF(ISNUMBER(MATCH(DATEVALUE($A248),'recurring1_based on steps'!S$1:S$400,0)),S$2,)</f>
        <v>0</v>
      </c>
      <c r="T248" s="179">
        <f ca="1">IF(ISNUMBER(MATCH(DATEVALUE($A248),'recurring1_based on steps'!T$1:T$400,0)),T$2,)</f>
        <v>0</v>
      </c>
      <c r="U248" s="179">
        <f ca="1">IF(ISNUMBER(MATCH(DATEVALUE($A248),'recurring1_based on steps'!U$1:U$400,0)),U$2,)</f>
        <v>0</v>
      </c>
      <c r="V248" s="179">
        <f ca="1">IF(ISNUMBER(MATCH(DATEVALUE($A248),'recurring1_based on steps'!V$1:V$400,0)),V$2,)</f>
        <v>0</v>
      </c>
      <c r="W248" s="179">
        <f ca="1">IF(ISNUMBER(MATCH(DATEVALUE($A248),'recurring1_based on steps'!W$1:W$400,0)),W$2,)</f>
        <v>0</v>
      </c>
      <c r="X248" s="179">
        <f ca="1">IF(ISNUMBER(MATCH(DATEVALUE($A248),'recurring1_based on steps'!X$1:X$400,0)),X$2,)</f>
        <v>0</v>
      </c>
      <c r="Y248" s="179">
        <f ca="1">IF(ISNUMBER(MATCH(DATEVALUE($A248),'recurring1_based on steps'!Y$1:Y$400,0)),Y$2,)</f>
        <v>0</v>
      </c>
      <c r="Z248" s="179">
        <f ca="1">IF(ISNUMBER(MATCH(DATEVALUE($A248),'recurring1_based on steps'!Z$1:Z$400,0)),Z$2,)</f>
        <v>0</v>
      </c>
      <c r="AA248" s="179">
        <f ca="1">IF(ISNUMBER(MATCH(DATEVALUE($A248),'recurring1_based on steps'!AA$1:AA$400,0)),AA$2,)</f>
        <v>0</v>
      </c>
      <c r="AB248" s="179">
        <f ca="1">IF(ISNUMBER(MATCH(DATEVALUE($A248),'recurring1_based on steps'!AB$1:AB$400,0)),AB$2,)</f>
        <v>0</v>
      </c>
      <c r="AC248" s="179">
        <f ca="1">IF(ISNUMBER(MATCH(DATEVALUE($A248),'recurring1_based on steps'!AC$1:AC$400,0)),AC$2,)</f>
        <v>0</v>
      </c>
      <c r="AD248" s="179">
        <f ca="1">IF(ISNUMBER(MATCH(DATEVALUE($A248),'recurring1_based on steps'!AD$1:AD$400,0)),AD$2,)</f>
        <v>0</v>
      </c>
      <c r="AE248" s="179">
        <f ca="1">IF(ISNUMBER(MATCH(DATEVALUE($A248),'recurring1_based on steps'!AE$1:AE$400,0)),AE$2,)</f>
        <v>0</v>
      </c>
      <c r="AF248" s="179">
        <f ca="1">IF(ISNUMBER(MATCH(DATEVALUE($A248),'recurring1_based on steps'!AF$1:AF$400,0)),AF$2,)</f>
        <v>0</v>
      </c>
      <c r="AG248" s="179">
        <f ca="1">IF(ISNUMBER(MATCH(DATEVALUE($A248),'recurring1_based on steps'!AG$1:AG$400,0)),AG$2,)</f>
        <v>0</v>
      </c>
      <c r="AH248" s="179">
        <f ca="1">IF(ISNUMBER(MATCH(DATEVALUE($A248),'recurring1_based on steps'!AH$1:AH$400,0)),AH$2,)</f>
        <v>0</v>
      </c>
      <c r="AI248" s="179">
        <f ca="1">IF(ISNUMBER(MATCH(DATEVALUE($A248),'recurring1_based on steps'!AI$1:AI$400,0)),AI$2,)</f>
        <v>0</v>
      </c>
      <c r="AJ248" s="179">
        <f ca="1">IF(ISNUMBER(MATCH(DATEVALUE($A248),'recurring1_based on steps'!AJ$1:AJ$400,0)),AJ$2,)</f>
        <v>0</v>
      </c>
      <c r="AK248" s="179">
        <f ca="1">IF(ISNUMBER(MATCH(DATEVALUE($A248),'recurring1_based on steps'!AK$1:AK$400,0)),AK$2,)</f>
        <v>0</v>
      </c>
      <c r="AL248" s="179">
        <f ca="1">IF(ISNUMBER(MATCH(DATEVALUE($A248),'recurring1_based on steps'!AL$1:AL$400,0)),AL$2,)</f>
        <v>0</v>
      </c>
      <c r="AM248" s="179">
        <f ca="1">IF(ISNUMBER(MATCH(DATEVALUE($A248),'recurring1_based on steps'!AM$1:AM$400,0)),AM$2,)</f>
        <v>0</v>
      </c>
      <c r="AN248" s="179">
        <f ca="1">IF(ISNUMBER(MATCH(DATEVALUE($A248),'recurring1_based on steps'!AN$1:AN$400,0)),AN$2,)</f>
        <v>0</v>
      </c>
      <c r="AO248" s="179">
        <f ca="1">IF(ISNUMBER(MATCH(DATEVALUE($A248),'recurring1_based on steps'!AO$1:AO$400,0)),AO$2,)</f>
        <v>0</v>
      </c>
      <c r="AP248" s="179">
        <f ca="1">IF(ISNUMBER(MATCH(DATEVALUE($A248),'recurring1_based on steps'!AP$1:AP$400,0)),AP$2,)</f>
        <v>0</v>
      </c>
      <c r="AQ248" s="179">
        <f ca="1">IF(ISNUMBER(MATCH(DATEVALUE($A248),'recurring1_based on steps'!AQ$1:AQ$400,0)),AQ$2,)</f>
        <v>0</v>
      </c>
      <c r="AR248" s="179">
        <f ca="1">IF(ISNUMBER(MATCH(DATEVALUE($A248),'recurring1_based on steps'!AR$1:AR$400,0)),AR$2,)</f>
        <v>0</v>
      </c>
      <c r="AS248" s="179">
        <f ca="1">IF(ISNUMBER(MATCH(DATEVALUE($A248),'recurring1_based on steps'!AS$1:AS$400,0)),AS$2,)</f>
        <v>0</v>
      </c>
      <c r="AT248" s="179">
        <f ca="1">IF(ISNUMBER(MATCH(DATEVALUE($A248),'recurring1_based on steps'!AT$1:AT$400,0)),AT$2,)</f>
        <v>0</v>
      </c>
      <c r="AU248" s="179">
        <f ca="1">IF(ISNUMBER(MATCH(DATEVALUE($A248),'recurring1_based on steps'!AU$1:AU$400,0)),AU$2,)</f>
        <v>0</v>
      </c>
      <c r="AV248" s="179">
        <f ca="1">IF(ISNUMBER(MATCH(DATEVALUE($A248),'recurring1_based on steps'!AV$1:AV$400,0)),AV$2,)</f>
        <v>0</v>
      </c>
      <c r="AW248" s="179">
        <f ca="1">IF(ISNUMBER(MATCH(DATEVALUE($A248),'recurring1_based on steps'!AW$1:AW$400,0)),AW$2,)</f>
        <v>0</v>
      </c>
      <c r="AX248" s="179">
        <f ca="1">IF(ISNUMBER(MATCH(DATEVALUE($A248),'recurring1_based on steps'!AX$1:AX$400,0)),AX$2,)</f>
        <v>0</v>
      </c>
      <c r="AY248" s="179">
        <f ca="1">IF(ISNUMBER(MATCH(DATEVALUE($A248),'recurring1_based on steps'!AY$1:AY$400,0)),AY$2,)</f>
        <v>0</v>
      </c>
    </row>
    <row r="249" spans="1:51" x14ac:dyDescent="0.2">
      <c r="A249" s="32" t="str">
        <f t="shared" ca="1" si="3"/>
        <v>2025-12-07</v>
      </c>
      <c r="B249" s="179">
        <f ca="1">IF(ISNUMBER(MATCH(DATEVALUE($A249),'recurring1_based on steps'!B$1:B$400,0)),B$2,)</f>
        <v>0</v>
      </c>
      <c r="C249" s="179">
        <f ca="1">IF(ISNUMBER(MATCH(DATEVALUE($A249),'recurring1_based on steps'!C$1:C$400,0)),C$2,)</f>
        <v>0</v>
      </c>
      <c r="D249" s="179">
        <f ca="1">IF(ISNUMBER(MATCH(DATEVALUE($A249),'recurring1_based on steps'!D$1:D$400,0)),D$2,)</f>
        <v>0</v>
      </c>
      <c r="E249" s="179">
        <f ca="1">IF(ISNUMBER(MATCH(DATEVALUE($A249),'recurring1_based on steps'!E$1:E$400,0)),E$2,)</f>
        <v>0</v>
      </c>
      <c r="F249" s="179">
        <f ca="1">IF(ISNUMBER(MATCH(DATEVALUE($A249),'recurring1_based on steps'!F$1:F$400,0)),F$2,)</f>
        <v>0</v>
      </c>
      <c r="G249" s="179">
        <f ca="1">IF(ISNUMBER(MATCH(DATEVALUE($A249),'recurring1_based on steps'!G$1:G$400,0)),G$2,)</f>
        <v>0</v>
      </c>
      <c r="H249" s="179">
        <f ca="1">IF(ISNUMBER(MATCH(DATEVALUE($A249),'recurring1_based on steps'!H$1:H$400,0)),H$2,)</f>
        <v>0</v>
      </c>
      <c r="I249" s="179">
        <f ca="1">IF(ISNUMBER(MATCH(DATEVALUE($A249),'recurring1_based on steps'!I$1:I$400,0)),I$2,)</f>
        <v>0</v>
      </c>
      <c r="J249" s="179">
        <f ca="1">IF(ISNUMBER(MATCH(DATEVALUE($A249),'recurring1_based on steps'!J$1:J$400,0)),J$2,)</f>
        <v>0</v>
      </c>
      <c r="K249" s="179">
        <f ca="1">IF(ISNUMBER(MATCH(DATEVALUE($A249),'recurring1_based on steps'!K$1:K$400,0)),K$2,)</f>
        <v>0</v>
      </c>
      <c r="L249" s="179">
        <f ca="1">IF(ISNUMBER(MATCH(DATEVALUE($A249),'recurring1_based on steps'!L$1:L$400,0)),L$2,)</f>
        <v>0</v>
      </c>
      <c r="M249" s="179">
        <f ca="1">IF(ISNUMBER(MATCH(DATEVALUE($A249),'recurring1_based on steps'!M$1:M$400,0)),M$2,)</f>
        <v>0</v>
      </c>
      <c r="N249" s="179">
        <f ca="1">IF(ISNUMBER(MATCH(DATEVALUE($A249),'recurring1_based on steps'!N$1:N$400,0)),N$2,)</f>
        <v>0</v>
      </c>
      <c r="O249" s="179">
        <f ca="1">IF(ISNUMBER(MATCH(DATEVALUE($A249),'recurring1_based on steps'!O$1:O$400,0)),O$2,)</f>
        <v>0</v>
      </c>
      <c r="P249" s="179">
        <f ca="1">IF(ISNUMBER(MATCH(DATEVALUE($A249),'recurring1_based on steps'!P$1:P$400,0)),P$2,)</f>
        <v>0</v>
      </c>
      <c r="Q249" s="179">
        <f ca="1">IF(ISNUMBER(MATCH(DATEVALUE($A249),'recurring1_based on steps'!Q$1:Q$400,0)),Q$2,)</f>
        <v>0</v>
      </c>
      <c r="R249" s="179">
        <f ca="1">IF(ISNUMBER(MATCH(DATEVALUE($A249),'recurring1_based on steps'!R$1:R$400,0)),R$2,)</f>
        <v>0</v>
      </c>
      <c r="S249" s="179">
        <f ca="1">IF(ISNUMBER(MATCH(DATEVALUE($A249),'recurring1_based on steps'!S$1:S$400,0)),S$2,)</f>
        <v>0</v>
      </c>
      <c r="T249" s="179">
        <f ca="1">IF(ISNUMBER(MATCH(DATEVALUE($A249),'recurring1_based on steps'!T$1:T$400,0)),T$2,)</f>
        <v>0</v>
      </c>
      <c r="U249" s="179">
        <f ca="1">IF(ISNUMBER(MATCH(DATEVALUE($A249),'recurring1_based on steps'!U$1:U$400,0)),U$2,)</f>
        <v>0</v>
      </c>
      <c r="V249" s="179">
        <f ca="1">IF(ISNUMBER(MATCH(DATEVALUE($A249),'recurring1_based on steps'!V$1:V$400,0)),V$2,)</f>
        <v>0</v>
      </c>
      <c r="W249" s="179">
        <f ca="1">IF(ISNUMBER(MATCH(DATEVALUE($A249),'recurring1_based on steps'!W$1:W$400,0)),W$2,)</f>
        <v>0</v>
      </c>
      <c r="X249" s="179">
        <f ca="1">IF(ISNUMBER(MATCH(DATEVALUE($A249),'recurring1_based on steps'!X$1:X$400,0)),X$2,)</f>
        <v>0</v>
      </c>
      <c r="Y249" s="179">
        <f ca="1">IF(ISNUMBER(MATCH(DATEVALUE($A249),'recurring1_based on steps'!Y$1:Y$400,0)),Y$2,)</f>
        <v>0</v>
      </c>
      <c r="Z249" s="179">
        <f ca="1">IF(ISNUMBER(MATCH(DATEVALUE($A249),'recurring1_based on steps'!Z$1:Z$400,0)),Z$2,)</f>
        <v>0</v>
      </c>
      <c r="AA249" s="179">
        <f ca="1">IF(ISNUMBER(MATCH(DATEVALUE($A249),'recurring1_based on steps'!AA$1:AA$400,0)),AA$2,)</f>
        <v>0</v>
      </c>
      <c r="AB249" s="179">
        <f ca="1">IF(ISNUMBER(MATCH(DATEVALUE($A249),'recurring1_based on steps'!AB$1:AB$400,0)),AB$2,)</f>
        <v>0</v>
      </c>
      <c r="AC249" s="179">
        <f ca="1">IF(ISNUMBER(MATCH(DATEVALUE($A249),'recurring1_based on steps'!AC$1:AC$400,0)),AC$2,)</f>
        <v>0</v>
      </c>
      <c r="AD249" s="179">
        <f ca="1">IF(ISNUMBER(MATCH(DATEVALUE($A249),'recurring1_based on steps'!AD$1:AD$400,0)),AD$2,)</f>
        <v>0</v>
      </c>
      <c r="AE249" s="179">
        <f ca="1">IF(ISNUMBER(MATCH(DATEVALUE($A249),'recurring1_based on steps'!AE$1:AE$400,0)),AE$2,)</f>
        <v>0</v>
      </c>
      <c r="AF249" s="179">
        <f ca="1">IF(ISNUMBER(MATCH(DATEVALUE($A249),'recurring1_based on steps'!AF$1:AF$400,0)),AF$2,)</f>
        <v>0</v>
      </c>
      <c r="AG249" s="179">
        <f ca="1">IF(ISNUMBER(MATCH(DATEVALUE($A249),'recurring1_based on steps'!AG$1:AG$400,0)),AG$2,)</f>
        <v>0</v>
      </c>
      <c r="AH249" s="179">
        <f ca="1">IF(ISNUMBER(MATCH(DATEVALUE($A249),'recurring1_based on steps'!AH$1:AH$400,0)),AH$2,)</f>
        <v>0</v>
      </c>
      <c r="AI249" s="179">
        <f ca="1">IF(ISNUMBER(MATCH(DATEVALUE($A249),'recurring1_based on steps'!AI$1:AI$400,0)),AI$2,)</f>
        <v>0</v>
      </c>
      <c r="AJ249" s="179">
        <f ca="1">IF(ISNUMBER(MATCH(DATEVALUE($A249),'recurring1_based on steps'!AJ$1:AJ$400,0)),AJ$2,)</f>
        <v>0</v>
      </c>
      <c r="AK249" s="179">
        <f ca="1">IF(ISNUMBER(MATCH(DATEVALUE($A249),'recurring1_based on steps'!AK$1:AK$400,0)),AK$2,)</f>
        <v>0</v>
      </c>
      <c r="AL249" s="179">
        <f ca="1">IF(ISNUMBER(MATCH(DATEVALUE($A249),'recurring1_based on steps'!AL$1:AL$400,0)),AL$2,)</f>
        <v>0</v>
      </c>
      <c r="AM249" s="179">
        <f ca="1">IF(ISNUMBER(MATCH(DATEVALUE($A249),'recurring1_based on steps'!AM$1:AM$400,0)),AM$2,)</f>
        <v>0</v>
      </c>
      <c r="AN249" s="179">
        <f ca="1">IF(ISNUMBER(MATCH(DATEVALUE($A249),'recurring1_based on steps'!AN$1:AN$400,0)),AN$2,)</f>
        <v>0</v>
      </c>
      <c r="AO249" s="179">
        <f ca="1">IF(ISNUMBER(MATCH(DATEVALUE($A249),'recurring1_based on steps'!AO$1:AO$400,0)),AO$2,)</f>
        <v>0</v>
      </c>
      <c r="AP249" s="179">
        <f ca="1">IF(ISNUMBER(MATCH(DATEVALUE($A249),'recurring1_based on steps'!AP$1:AP$400,0)),AP$2,)</f>
        <v>0</v>
      </c>
      <c r="AQ249" s="179">
        <f ca="1">IF(ISNUMBER(MATCH(DATEVALUE($A249),'recurring1_based on steps'!AQ$1:AQ$400,0)),AQ$2,)</f>
        <v>0</v>
      </c>
      <c r="AR249" s="179">
        <f ca="1">IF(ISNUMBER(MATCH(DATEVALUE($A249),'recurring1_based on steps'!AR$1:AR$400,0)),AR$2,)</f>
        <v>0</v>
      </c>
      <c r="AS249" s="179">
        <f ca="1">IF(ISNUMBER(MATCH(DATEVALUE($A249),'recurring1_based on steps'!AS$1:AS$400,0)),AS$2,)</f>
        <v>0</v>
      </c>
      <c r="AT249" s="179">
        <f ca="1">IF(ISNUMBER(MATCH(DATEVALUE($A249),'recurring1_based on steps'!AT$1:AT$400,0)),AT$2,)</f>
        <v>0</v>
      </c>
      <c r="AU249" s="179">
        <f ca="1">IF(ISNUMBER(MATCH(DATEVALUE($A249),'recurring1_based on steps'!AU$1:AU$400,0)),AU$2,)</f>
        <v>0</v>
      </c>
      <c r="AV249" s="179">
        <f ca="1">IF(ISNUMBER(MATCH(DATEVALUE($A249),'recurring1_based on steps'!AV$1:AV$400,0)),AV$2,)</f>
        <v>0</v>
      </c>
      <c r="AW249" s="179">
        <f ca="1">IF(ISNUMBER(MATCH(DATEVALUE($A249),'recurring1_based on steps'!AW$1:AW$400,0)),AW$2,)</f>
        <v>0</v>
      </c>
      <c r="AX249" s="179">
        <f ca="1">IF(ISNUMBER(MATCH(DATEVALUE($A249),'recurring1_based on steps'!AX$1:AX$400,0)),AX$2,)</f>
        <v>0</v>
      </c>
      <c r="AY249" s="179">
        <f ca="1">IF(ISNUMBER(MATCH(DATEVALUE($A249),'recurring1_based on steps'!AY$1:AY$400,0)),AY$2,)</f>
        <v>0</v>
      </c>
    </row>
    <row r="250" spans="1:51" x14ac:dyDescent="0.2">
      <c r="A250" s="32" t="str">
        <f t="shared" ca="1" si="3"/>
        <v>2025-12-08</v>
      </c>
      <c r="B250" s="179">
        <f ca="1">IF(ISNUMBER(MATCH(DATEVALUE($A250),'recurring1_based on steps'!B$1:B$400,0)),B$2,)</f>
        <v>0</v>
      </c>
      <c r="C250" s="179">
        <f ca="1">IF(ISNUMBER(MATCH(DATEVALUE($A250),'recurring1_based on steps'!C$1:C$400,0)),C$2,)</f>
        <v>0</v>
      </c>
      <c r="D250" s="179">
        <f ca="1">IF(ISNUMBER(MATCH(DATEVALUE($A250),'recurring1_based on steps'!D$1:D$400,0)),D$2,)</f>
        <v>0</v>
      </c>
      <c r="E250" s="179">
        <f ca="1">IF(ISNUMBER(MATCH(DATEVALUE($A250),'recurring1_based on steps'!E$1:E$400,0)),E$2,)</f>
        <v>0</v>
      </c>
      <c r="F250" s="179">
        <f ca="1">IF(ISNUMBER(MATCH(DATEVALUE($A250),'recurring1_based on steps'!F$1:F$400,0)),F$2,)</f>
        <v>0</v>
      </c>
      <c r="G250" s="179">
        <f ca="1">IF(ISNUMBER(MATCH(DATEVALUE($A250),'recurring1_based on steps'!G$1:G$400,0)),G$2,)</f>
        <v>0</v>
      </c>
      <c r="H250" s="179">
        <f ca="1">IF(ISNUMBER(MATCH(DATEVALUE($A250),'recurring1_based on steps'!H$1:H$400,0)),H$2,)</f>
        <v>0</v>
      </c>
      <c r="I250" s="179">
        <f ca="1">IF(ISNUMBER(MATCH(DATEVALUE($A250),'recurring1_based on steps'!I$1:I$400,0)),I$2,)</f>
        <v>0</v>
      </c>
      <c r="J250" s="179">
        <f ca="1">IF(ISNUMBER(MATCH(DATEVALUE($A250),'recurring1_based on steps'!J$1:J$400,0)),J$2,)</f>
        <v>0</v>
      </c>
      <c r="K250" s="179">
        <f ca="1">IF(ISNUMBER(MATCH(DATEVALUE($A250),'recurring1_based on steps'!K$1:K$400,0)),K$2,)</f>
        <v>0</v>
      </c>
      <c r="L250" s="179">
        <f ca="1">IF(ISNUMBER(MATCH(DATEVALUE($A250),'recurring1_based on steps'!L$1:L$400,0)),L$2,)</f>
        <v>0</v>
      </c>
      <c r="M250" s="179">
        <f ca="1">IF(ISNUMBER(MATCH(DATEVALUE($A250),'recurring1_based on steps'!M$1:M$400,0)),M$2,)</f>
        <v>0</v>
      </c>
      <c r="N250" s="179">
        <f ca="1">IF(ISNUMBER(MATCH(DATEVALUE($A250),'recurring1_based on steps'!N$1:N$400,0)),N$2,)</f>
        <v>0</v>
      </c>
      <c r="O250" s="179">
        <f ca="1">IF(ISNUMBER(MATCH(DATEVALUE($A250),'recurring1_based on steps'!O$1:O$400,0)),O$2,)</f>
        <v>0</v>
      </c>
      <c r="P250" s="179">
        <f ca="1">IF(ISNUMBER(MATCH(DATEVALUE($A250),'recurring1_based on steps'!P$1:P$400,0)),P$2,)</f>
        <v>0</v>
      </c>
      <c r="Q250" s="179">
        <f ca="1">IF(ISNUMBER(MATCH(DATEVALUE($A250),'recurring1_based on steps'!Q$1:Q$400,0)),Q$2,)</f>
        <v>0</v>
      </c>
      <c r="R250" s="179">
        <f ca="1">IF(ISNUMBER(MATCH(DATEVALUE($A250),'recurring1_based on steps'!R$1:R$400,0)),R$2,)</f>
        <v>0</v>
      </c>
      <c r="S250" s="179">
        <f ca="1">IF(ISNUMBER(MATCH(DATEVALUE($A250),'recurring1_based on steps'!S$1:S$400,0)),S$2,)</f>
        <v>0</v>
      </c>
      <c r="T250" s="179">
        <f ca="1">IF(ISNUMBER(MATCH(DATEVALUE($A250),'recurring1_based on steps'!T$1:T$400,0)),T$2,)</f>
        <v>0</v>
      </c>
      <c r="U250" s="179">
        <f ca="1">IF(ISNUMBER(MATCH(DATEVALUE($A250),'recurring1_based on steps'!U$1:U$400,0)),U$2,)</f>
        <v>0</v>
      </c>
      <c r="V250" s="179">
        <f ca="1">IF(ISNUMBER(MATCH(DATEVALUE($A250),'recurring1_based on steps'!V$1:V$400,0)),V$2,)</f>
        <v>0</v>
      </c>
      <c r="W250" s="179">
        <f ca="1">IF(ISNUMBER(MATCH(DATEVALUE($A250),'recurring1_based on steps'!W$1:W$400,0)),W$2,)</f>
        <v>0</v>
      </c>
      <c r="X250" s="179">
        <f ca="1">IF(ISNUMBER(MATCH(DATEVALUE($A250),'recurring1_based on steps'!X$1:X$400,0)),X$2,)</f>
        <v>0</v>
      </c>
      <c r="Y250" s="179">
        <f ca="1">IF(ISNUMBER(MATCH(DATEVALUE($A250),'recurring1_based on steps'!Y$1:Y$400,0)),Y$2,)</f>
        <v>0</v>
      </c>
      <c r="Z250" s="179">
        <f ca="1">IF(ISNUMBER(MATCH(DATEVALUE($A250),'recurring1_based on steps'!Z$1:Z$400,0)),Z$2,)</f>
        <v>0</v>
      </c>
      <c r="AA250" s="179">
        <f ca="1">IF(ISNUMBER(MATCH(DATEVALUE($A250),'recurring1_based on steps'!AA$1:AA$400,0)),AA$2,)</f>
        <v>0</v>
      </c>
      <c r="AB250" s="179">
        <f ca="1">IF(ISNUMBER(MATCH(DATEVALUE($A250),'recurring1_based on steps'!AB$1:AB$400,0)),AB$2,)</f>
        <v>0</v>
      </c>
      <c r="AC250" s="179">
        <f ca="1">IF(ISNUMBER(MATCH(DATEVALUE($A250),'recurring1_based on steps'!AC$1:AC$400,0)),AC$2,)</f>
        <v>0</v>
      </c>
      <c r="AD250" s="179">
        <f ca="1">IF(ISNUMBER(MATCH(DATEVALUE($A250),'recurring1_based on steps'!AD$1:AD$400,0)),AD$2,)</f>
        <v>0</v>
      </c>
      <c r="AE250" s="179">
        <f ca="1">IF(ISNUMBER(MATCH(DATEVALUE($A250),'recurring1_based on steps'!AE$1:AE$400,0)),AE$2,)</f>
        <v>0</v>
      </c>
      <c r="AF250" s="179">
        <f ca="1">IF(ISNUMBER(MATCH(DATEVALUE($A250),'recurring1_based on steps'!AF$1:AF$400,0)),AF$2,)</f>
        <v>0</v>
      </c>
      <c r="AG250" s="179">
        <f ca="1">IF(ISNUMBER(MATCH(DATEVALUE($A250),'recurring1_based on steps'!AG$1:AG$400,0)),AG$2,)</f>
        <v>0</v>
      </c>
      <c r="AH250" s="179">
        <f ca="1">IF(ISNUMBER(MATCH(DATEVALUE($A250),'recurring1_based on steps'!AH$1:AH$400,0)),AH$2,)</f>
        <v>0</v>
      </c>
      <c r="AI250" s="179">
        <f ca="1">IF(ISNUMBER(MATCH(DATEVALUE($A250),'recurring1_based on steps'!AI$1:AI$400,0)),AI$2,)</f>
        <v>0</v>
      </c>
      <c r="AJ250" s="179">
        <f ca="1">IF(ISNUMBER(MATCH(DATEVALUE($A250),'recurring1_based on steps'!AJ$1:AJ$400,0)),AJ$2,)</f>
        <v>0</v>
      </c>
      <c r="AK250" s="179">
        <f ca="1">IF(ISNUMBER(MATCH(DATEVALUE($A250),'recurring1_based on steps'!AK$1:AK$400,0)),AK$2,)</f>
        <v>0</v>
      </c>
      <c r="AL250" s="179">
        <f ca="1">IF(ISNUMBER(MATCH(DATEVALUE($A250),'recurring1_based on steps'!AL$1:AL$400,0)),AL$2,)</f>
        <v>0</v>
      </c>
      <c r="AM250" s="179">
        <f ca="1">IF(ISNUMBER(MATCH(DATEVALUE($A250),'recurring1_based on steps'!AM$1:AM$400,0)),AM$2,)</f>
        <v>0</v>
      </c>
      <c r="AN250" s="179">
        <f ca="1">IF(ISNUMBER(MATCH(DATEVALUE($A250),'recurring1_based on steps'!AN$1:AN$400,0)),AN$2,)</f>
        <v>0</v>
      </c>
      <c r="AO250" s="179">
        <f ca="1">IF(ISNUMBER(MATCH(DATEVALUE($A250),'recurring1_based on steps'!AO$1:AO$400,0)),AO$2,)</f>
        <v>0</v>
      </c>
      <c r="AP250" s="179">
        <f ca="1">IF(ISNUMBER(MATCH(DATEVALUE($A250),'recurring1_based on steps'!AP$1:AP$400,0)),AP$2,)</f>
        <v>0</v>
      </c>
      <c r="AQ250" s="179">
        <f ca="1">IF(ISNUMBER(MATCH(DATEVALUE($A250),'recurring1_based on steps'!AQ$1:AQ$400,0)),AQ$2,)</f>
        <v>0</v>
      </c>
      <c r="AR250" s="179">
        <f ca="1">IF(ISNUMBER(MATCH(DATEVALUE($A250),'recurring1_based on steps'!AR$1:AR$400,0)),AR$2,)</f>
        <v>0</v>
      </c>
      <c r="AS250" s="179">
        <f ca="1">IF(ISNUMBER(MATCH(DATEVALUE($A250),'recurring1_based on steps'!AS$1:AS$400,0)),AS$2,)</f>
        <v>0</v>
      </c>
      <c r="AT250" s="179">
        <f ca="1">IF(ISNUMBER(MATCH(DATEVALUE($A250),'recurring1_based on steps'!AT$1:AT$400,0)),AT$2,)</f>
        <v>0</v>
      </c>
      <c r="AU250" s="179">
        <f ca="1">IF(ISNUMBER(MATCH(DATEVALUE($A250),'recurring1_based on steps'!AU$1:AU$400,0)),AU$2,)</f>
        <v>0</v>
      </c>
      <c r="AV250" s="179">
        <f ca="1">IF(ISNUMBER(MATCH(DATEVALUE($A250),'recurring1_based on steps'!AV$1:AV$400,0)),AV$2,)</f>
        <v>0</v>
      </c>
      <c r="AW250" s="179">
        <f ca="1">IF(ISNUMBER(MATCH(DATEVALUE($A250),'recurring1_based on steps'!AW$1:AW$400,0)),AW$2,)</f>
        <v>0</v>
      </c>
      <c r="AX250" s="179">
        <f ca="1">IF(ISNUMBER(MATCH(DATEVALUE($A250),'recurring1_based on steps'!AX$1:AX$400,0)),AX$2,)</f>
        <v>0</v>
      </c>
      <c r="AY250" s="179">
        <f ca="1">IF(ISNUMBER(MATCH(DATEVALUE($A250),'recurring1_based on steps'!AY$1:AY$400,0)),AY$2,)</f>
        <v>0</v>
      </c>
    </row>
    <row r="251" spans="1:51" x14ac:dyDescent="0.2">
      <c r="A251" s="32" t="str">
        <f t="shared" ca="1" si="3"/>
        <v>2025-12-09</v>
      </c>
      <c r="B251" s="179">
        <f ca="1">IF(ISNUMBER(MATCH(DATEVALUE($A251),'recurring1_based on steps'!B$1:B$400,0)),B$2,)</f>
        <v>0</v>
      </c>
      <c r="C251" s="179">
        <f ca="1">IF(ISNUMBER(MATCH(DATEVALUE($A251),'recurring1_based on steps'!C$1:C$400,0)),C$2,)</f>
        <v>0</v>
      </c>
      <c r="D251" s="179">
        <f ca="1">IF(ISNUMBER(MATCH(DATEVALUE($A251),'recurring1_based on steps'!D$1:D$400,0)),D$2,)</f>
        <v>0</v>
      </c>
      <c r="E251" s="179">
        <f ca="1">IF(ISNUMBER(MATCH(DATEVALUE($A251),'recurring1_based on steps'!E$1:E$400,0)),E$2,)</f>
        <v>0</v>
      </c>
      <c r="F251" s="179">
        <f ca="1">IF(ISNUMBER(MATCH(DATEVALUE($A251),'recurring1_based on steps'!F$1:F$400,0)),F$2,)</f>
        <v>0</v>
      </c>
      <c r="G251" s="179">
        <f ca="1">IF(ISNUMBER(MATCH(DATEVALUE($A251),'recurring1_based on steps'!G$1:G$400,0)),G$2,)</f>
        <v>0</v>
      </c>
      <c r="H251" s="179">
        <f ca="1">IF(ISNUMBER(MATCH(DATEVALUE($A251),'recurring1_based on steps'!H$1:H$400,0)),H$2,)</f>
        <v>0</v>
      </c>
      <c r="I251" s="179">
        <f ca="1">IF(ISNUMBER(MATCH(DATEVALUE($A251),'recurring1_based on steps'!I$1:I$400,0)),I$2,)</f>
        <v>0</v>
      </c>
      <c r="J251" s="179">
        <f ca="1">IF(ISNUMBER(MATCH(DATEVALUE($A251),'recurring1_based on steps'!J$1:J$400,0)),J$2,)</f>
        <v>0</v>
      </c>
      <c r="K251" s="179">
        <f ca="1">IF(ISNUMBER(MATCH(DATEVALUE($A251),'recurring1_based on steps'!K$1:K$400,0)),K$2,)</f>
        <v>0</v>
      </c>
      <c r="L251" s="179">
        <f ca="1">IF(ISNUMBER(MATCH(DATEVALUE($A251),'recurring1_based on steps'!L$1:L$400,0)),L$2,)</f>
        <v>0</v>
      </c>
      <c r="M251" s="179">
        <f ca="1">IF(ISNUMBER(MATCH(DATEVALUE($A251),'recurring1_based on steps'!M$1:M$400,0)),M$2,)</f>
        <v>0</v>
      </c>
      <c r="N251" s="179">
        <f ca="1">IF(ISNUMBER(MATCH(DATEVALUE($A251),'recurring1_based on steps'!N$1:N$400,0)),N$2,)</f>
        <v>0</v>
      </c>
      <c r="O251" s="179">
        <f ca="1">IF(ISNUMBER(MATCH(DATEVALUE($A251),'recurring1_based on steps'!O$1:O$400,0)),O$2,)</f>
        <v>0</v>
      </c>
      <c r="P251" s="179">
        <f ca="1">IF(ISNUMBER(MATCH(DATEVALUE($A251),'recurring1_based on steps'!P$1:P$400,0)),P$2,)</f>
        <v>0</v>
      </c>
      <c r="Q251" s="179">
        <f ca="1">IF(ISNUMBER(MATCH(DATEVALUE($A251),'recurring1_based on steps'!Q$1:Q$400,0)),Q$2,)</f>
        <v>0</v>
      </c>
      <c r="R251" s="179">
        <f ca="1">IF(ISNUMBER(MATCH(DATEVALUE($A251),'recurring1_based on steps'!R$1:R$400,0)),R$2,)</f>
        <v>0</v>
      </c>
      <c r="S251" s="179">
        <f ca="1">IF(ISNUMBER(MATCH(DATEVALUE($A251),'recurring1_based on steps'!S$1:S$400,0)),S$2,)</f>
        <v>0</v>
      </c>
      <c r="T251" s="179">
        <f ca="1">IF(ISNUMBER(MATCH(DATEVALUE($A251),'recurring1_based on steps'!T$1:T$400,0)),T$2,)</f>
        <v>0</v>
      </c>
      <c r="U251" s="179">
        <f ca="1">IF(ISNUMBER(MATCH(DATEVALUE($A251),'recurring1_based on steps'!U$1:U$400,0)),U$2,)</f>
        <v>0</v>
      </c>
      <c r="V251" s="179">
        <f ca="1">IF(ISNUMBER(MATCH(DATEVALUE($A251),'recurring1_based on steps'!V$1:V$400,0)),V$2,)</f>
        <v>0</v>
      </c>
      <c r="W251" s="179">
        <f ca="1">IF(ISNUMBER(MATCH(DATEVALUE($A251),'recurring1_based on steps'!W$1:W$400,0)),W$2,)</f>
        <v>0</v>
      </c>
      <c r="X251" s="179">
        <f ca="1">IF(ISNUMBER(MATCH(DATEVALUE($A251),'recurring1_based on steps'!X$1:X$400,0)),X$2,)</f>
        <v>0</v>
      </c>
      <c r="Y251" s="179">
        <f ca="1">IF(ISNUMBER(MATCH(DATEVALUE($A251),'recurring1_based on steps'!Y$1:Y$400,0)),Y$2,)</f>
        <v>0</v>
      </c>
      <c r="Z251" s="179">
        <f ca="1">IF(ISNUMBER(MATCH(DATEVALUE($A251),'recurring1_based on steps'!Z$1:Z$400,0)),Z$2,)</f>
        <v>0</v>
      </c>
      <c r="AA251" s="179">
        <f ca="1">IF(ISNUMBER(MATCH(DATEVALUE($A251),'recurring1_based on steps'!AA$1:AA$400,0)),AA$2,)</f>
        <v>0</v>
      </c>
      <c r="AB251" s="179">
        <f ca="1">IF(ISNUMBER(MATCH(DATEVALUE($A251),'recurring1_based on steps'!AB$1:AB$400,0)),AB$2,)</f>
        <v>0</v>
      </c>
      <c r="AC251" s="179">
        <f ca="1">IF(ISNUMBER(MATCH(DATEVALUE($A251),'recurring1_based on steps'!AC$1:AC$400,0)),AC$2,)</f>
        <v>0</v>
      </c>
      <c r="AD251" s="179">
        <f ca="1">IF(ISNUMBER(MATCH(DATEVALUE($A251),'recurring1_based on steps'!AD$1:AD$400,0)),AD$2,)</f>
        <v>0</v>
      </c>
      <c r="AE251" s="179">
        <f ca="1">IF(ISNUMBER(MATCH(DATEVALUE($A251),'recurring1_based on steps'!AE$1:AE$400,0)),AE$2,)</f>
        <v>0</v>
      </c>
      <c r="AF251" s="179">
        <f ca="1">IF(ISNUMBER(MATCH(DATEVALUE($A251),'recurring1_based on steps'!AF$1:AF$400,0)),AF$2,)</f>
        <v>0</v>
      </c>
      <c r="AG251" s="179">
        <f ca="1">IF(ISNUMBER(MATCH(DATEVALUE($A251),'recurring1_based on steps'!AG$1:AG$400,0)),AG$2,)</f>
        <v>0</v>
      </c>
      <c r="AH251" s="179">
        <f ca="1">IF(ISNUMBER(MATCH(DATEVALUE($A251),'recurring1_based on steps'!AH$1:AH$400,0)),AH$2,)</f>
        <v>0</v>
      </c>
      <c r="AI251" s="179">
        <f ca="1">IF(ISNUMBER(MATCH(DATEVALUE($A251),'recurring1_based on steps'!AI$1:AI$400,0)),AI$2,)</f>
        <v>0</v>
      </c>
      <c r="AJ251" s="179">
        <f ca="1">IF(ISNUMBER(MATCH(DATEVALUE($A251),'recurring1_based on steps'!AJ$1:AJ$400,0)),AJ$2,)</f>
        <v>0</v>
      </c>
      <c r="AK251" s="179">
        <f ca="1">IF(ISNUMBER(MATCH(DATEVALUE($A251),'recurring1_based on steps'!AK$1:AK$400,0)),AK$2,)</f>
        <v>0</v>
      </c>
      <c r="AL251" s="179">
        <f ca="1">IF(ISNUMBER(MATCH(DATEVALUE($A251),'recurring1_based on steps'!AL$1:AL$400,0)),AL$2,)</f>
        <v>0</v>
      </c>
      <c r="AM251" s="179">
        <f ca="1">IF(ISNUMBER(MATCH(DATEVALUE($A251),'recurring1_based on steps'!AM$1:AM$400,0)),AM$2,)</f>
        <v>0</v>
      </c>
      <c r="AN251" s="179">
        <f ca="1">IF(ISNUMBER(MATCH(DATEVALUE($A251),'recurring1_based on steps'!AN$1:AN$400,0)),AN$2,)</f>
        <v>0</v>
      </c>
      <c r="AO251" s="179">
        <f ca="1">IF(ISNUMBER(MATCH(DATEVALUE($A251),'recurring1_based on steps'!AO$1:AO$400,0)),AO$2,)</f>
        <v>0</v>
      </c>
      <c r="AP251" s="179">
        <f ca="1">IF(ISNUMBER(MATCH(DATEVALUE($A251),'recurring1_based on steps'!AP$1:AP$400,0)),AP$2,)</f>
        <v>0</v>
      </c>
      <c r="AQ251" s="179">
        <f ca="1">IF(ISNUMBER(MATCH(DATEVALUE($A251),'recurring1_based on steps'!AQ$1:AQ$400,0)),AQ$2,)</f>
        <v>0</v>
      </c>
      <c r="AR251" s="179">
        <f ca="1">IF(ISNUMBER(MATCH(DATEVALUE($A251),'recurring1_based on steps'!AR$1:AR$400,0)),AR$2,)</f>
        <v>0</v>
      </c>
      <c r="AS251" s="179">
        <f ca="1">IF(ISNUMBER(MATCH(DATEVALUE($A251),'recurring1_based on steps'!AS$1:AS$400,0)),AS$2,)</f>
        <v>0</v>
      </c>
      <c r="AT251" s="179">
        <f ca="1">IF(ISNUMBER(MATCH(DATEVALUE($A251),'recurring1_based on steps'!AT$1:AT$400,0)),AT$2,)</f>
        <v>0</v>
      </c>
      <c r="AU251" s="179">
        <f ca="1">IF(ISNUMBER(MATCH(DATEVALUE($A251),'recurring1_based on steps'!AU$1:AU$400,0)),AU$2,)</f>
        <v>0</v>
      </c>
      <c r="AV251" s="179">
        <f ca="1">IF(ISNUMBER(MATCH(DATEVALUE($A251),'recurring1_based on steps'!AV$1:AV$400,0)),AV$2,)</f>
        <v>0</v>
      </c>
      <c r="AW251" s="179">
        <f ca="1">IF(ISNUMBER(MATCH(DATEVALUE($A251),'recurring1_based on steps'!AW$1:AW$400,0)),AW$2,)</f>
        <v>0</v>
      </c>
      <c r="AX251" s="179">
        <f ca="1">IF(ISNUMBER(MATCH(DATEVALUE($A251),'recurring1_based on steps'!AX$1:AX$400,0)),AX$2,)</f>
        <v>0</v>
      </c>
      <c r="AY251" s="179">
        <f ca="1">IF(ISNUMBER(MATCH(DATEVALUE($A251),'recurring1_based on steps'!AY$1:AY$400,0)),AY$2,)</f>
        <v>0</v>
      </c>
    </row>
    <row r="252" spans="1:51" x14ac:dyDescent="0.2">
      <c r="A252" s="32" t="str">
        <f t="shared" ca="1" si="3"/>
        <v>2025-12-10</v>
      </c>
      <c r="B252" s="179">
        <f ca="1">IF(ISNUMBER(MATCH(DATEVALUE($A252),'recurring1_based on steps'!B$1:B$400,0)),B$2,)</f>
        <v>0</v>
      </c>
      <c r="C252" s="179">
        <f ca="1">IF(ISNUMBER(MATCH(DATEVALUE($A252),'recurring1_based on steps'!C$1:C$400,0)),C$2,)</f>
        <v>0</v>
      </c>
      <c r="D252" s="179">
        <f ca="1">IF(ISNUMBER(MATCH(DATEVALUE($A252),'recurring1_based on steps'!D$1:D$400,0)),D$2,)</f>
        <v>0</v>
      </c>
      <c r="E252" s="179">
        <f ca="1">IF(ISNUMBER(MATCH(DATEVALUE($A252),'recurring1_based on steps'!E$1:E$400,0)),E$2,)</f>
        <v>0</v>
      </c>
      <c r="F252" s="179">
        <f ca="1">IF(ISNUMBER(MATCH(DATEVALUE($A252),'recurring1_based on steps'!F$1:F$400,0)),F$2,)</f>
        <v>0</v>
      </c>
      <c r="G252" s="179">
        <f ca="1">IF(ISNUMBER(MATCH(DATEVALUE($A252),'recurring1_based on steps'!G$1:G$400,0)),G$2,)</f>
        <v>0</v>
      </c>
      <c r="H252" s="179">
        <f ca="1">IF(ISNUMBER(MATCH(DATEVALUE($A252),'recurring1_based on steps'!H$1:H$400,0)),H$2,)</f>
        <v>0</v>
      </c>
      <c r="I252" s="179">
        <f ca="1">IF(ISNUMBER(MATCH(DATEVALUE($A252),'recurring1_based on steps'!I$1:I$400,0)),I$2,)</f>
        <v>0</v>
      </c>
      <c r="J252" s="179">
        <f ca="1">IF(ISNUMBER(MATCH(DATEVALUE($A252),'recurring1_based on steps'!J$1:J$400,0)),J$2,)</f>
        <v>0</v>
      </c>
      <c r="K252" s="179">
        <f ca="1">IF(ISNUMBER(MATCH(DATEVALUE($A252),'recurring1_based on steps'!K$1:K$400,0)),K$2,)</f>
        <v>0</v>
      </c>
      <c r="L252" s="179">
        <f ca="1">IF(ISNUMBER(MATCH(DATEVALUE($A252),'recurring1_based on steps'!L$1:L$400,0)),L$2,)</f>
        <v>0</v>
      </c>
      <c r="M252" s="179">
        <f ca="1">IF(ISNUMBER(MATCH(DATEVALUE($A252),'recurring1_based on steps'!M$1:M$400,0)),M$2,)</f>
        <v>0</v>
      </c>
      <c r="N252" s="179">
        <f ca="1">IF(ISNUMBER(MATCH(DATEVALUE($A252),'recurring1_based on steps'!N$1:N$400,0)),N$2,)</f>
        <v>0</v>
      </c>
      <c r="O252" s="179">
        <f ca="1">IF(ISNUMBER(MATCH(DATEVALUE($A252),'recurring1_based on steps'!O$1:O$400,0)),O$2,)</f>
        <v>0</v>
      </c>
      <c r="P252" s="179">
        <f ca="1">IF(ISNUMBER(MATCH(DATEVALUE($A252),'recurring1_based on steps'!P$1:P$400,0)),P$2,)</f>
        <v>0</v>
      </c>
      <c r="Q252" s="179">
        <f ca="1">IF(ISNUMBER(MATCH(DATEVALUE($A252),'recurring1_based on steps'!Q$1:Q$400,0)),Q$2,)</f>
        <v>0</v>
      </c>
      <c r="R252" s="179">
        <f ca="1">IF(ISNUMBER(MATCH(DATEVALUE($A252),'recurring1_based on steps'!R$1:R$400,0)),R$2,)</f>
        <v>0</v>
      </c>
      <c r="S252" s="179">
        <f ca="1">IF(ISNUMBER(MATCH(DATEVALUE($A252),'recurring1_based on steps'!S$1:S$400,0)),S$2,)</f>
        <v>0</v>
      </c>
      <c r="T252" s="179">
        <f ca="1">IF(ISNUMBER(MATCH(DATEVALUE($A252),'recurring1_based on steps'!T$1:T$400,0)),T$2,)</f>
        <v>0</v>
      </c>
      <c r="U252" s="179">
        <f ca="1">IF(ISNUMBER(MATCH(DATEVALUE($A252),'recurring1_based on steps'!U$1:U$400,0)),U$2,)</f>
        <v>0</v>
      </c>
      <c r="V252" s="179">
        <f ca="1">IF(ISNUMBER(MATCH(DATEVALUE($A252),'recurring1_based on steps'!V$1:V$400,0)),V$2,)</f>
        <v>0</v>
      </c>
      <c r="W252" s="179">
        <f ca="1">IF(ISNUMBER(MATCH(DATEVALUE($A252),'recurring1_based on steps'!W$1:W$400,0)),W$2,)</f>
        <v>0</v>
      </c>
      <c r="X252" s="179">
        <f ca="1">IF(ISNUMBER(MATCH(DATEVALUE($A252),'recurring1_based on steps'!X$1:X$400,0)),X$2,)</f>
        <v>0</v>
      </c>
      <c r="Y252" s="179">
        <f ca="1">IF(ISNUMBER(MATCH(DATEVALUE($A252),'recurring1_based on steps'!Y$1:Y$400,0)),Y$2,)</f>
        <v>0</v>
      </c>
      <c r="Z252" s="179">
        <f ca="1">IF(ISNUMBER(MATCH(DATEVALUE($A252),'recurring1_based on steps'!Z$1:Z$400,0)),Z$2,)</f>
        <v>0</v>
      </c>
      <c r="AA252" s="179">
        <f ca="1">IF(ISNUMBER(MATCH(DATEVALUE($A252),'recurring1_based on steps'!AA$1:AA$400,0)),AA$2,)</f>
        <v>0</v>
      </c>
      <c r="AB252" s="179">
        <f ca="1">IF(ISNUMBER(MATCH(DATEVALUE($A252),'recurring1_based on steps'!AB$1:AB$400,0)),AB$2,)</f>
        <v>0</v>
      </c>
      <c r="AC252" s="179">
        <f ca="1">IF(ISNUMBER(MATCH(DATEVALUE($A252),'recurring1_based on steps'!AC$1:AC$400,0)),AC$2,)</f>
        <v>0</v>
      </c>
      <c r="AD252" s="179">
        <f ca="1">IF(ISNUMBER(MATCH(DATEVALUE($A252),'recurring1_based on steps'!AD$1:AD$400,0)),AD$2,)</f>
        <v>0</v>
      </c>
      <c r="AE252" s="179">
        <f ca="1">IF(ISNUMBER(MATCH(DATEVALUE($A252),'recurring1_based on steps'!AE$1:AE$400,0)),AE$2,)</f>
        <v>0</v>
      </c>
      <c r="AF252" s="179">
        <f ca="1">IF(ISNUMBER(MATCH(DATEVALUE($A252),'recurring1_based on steps'!AF$1:AF$400,0)),AF$2,)</f>
        <v>0</v>
      </c>
      <c r="AG252" s="179">
        <f ca="1">IF(ISNUMBER(MATCH(DATEVALUE($A252),'recurring1_based on steps'!AG$1:AG$400,0)),AG$2,)</f>
        <v>0</v>
      </c>
      <c r="AH252" s="179">
        <f ca="1">IF(ISNUMBER(MATCH(DATEVALUE($A252),'recurring1_based on steps'!AH$1:AH$400,0)),AH$2,)</f>
        <v>0</v>
      </c>
      <c r="AI252" s="179">
        <f ca="1">IF(ISNUMBER(MATCH(DATEVALUE($A252),'recurring1_based on steps'!AI$1:AI$400,0)),AI$2,)</f>
        <v>0</v>
      </c>
      <c r="AJ252" s="179">
        <f ca="1">IF(ISNUMBER(MATCH(DATEVALUE($A252),'recurring1_based on steps'!AJ$1:AJ$400,0)),AJ$2,)</f>
        <v>0</v>
      </c>
      <c r="AK252" s="179">
        <f ca="1">IF(ISNUMBER(MATCH(DATEVALUE($A252),'recurring1_based on steps'!AK$1:AK$400,0)),AK$2,)</f>
        <v>0</v>
      </c>
      <c r="AL252" s="179">
        <f ca="1">IF(ISNUMBER(MATCH(DATEVALUE($A252),'recurring1_based on steps'!AL$1:AL$400,0)),AL$2,)</f>
        <v>0</v>
      </c>
      <c r="AM252" s="179">
        <f ca="1">IF(ISNUMBER(MATCH(DATEVALUE($A252),'recurring1_based on steps'!AM$1:AM$400,0)),AM$2,)</f>
        <v>0</v>
      </c>
      <c r="AN252" s="179">
        <f ca="1">IF(ISNUMBER(MATCH(DATEVALUE($A252),'recurring1_based on steps'!AN$1:AN$400,0)),AN$2,)</f>
        <v>0</v>
      </c>
      <c r="AO252" s="179">
        <f ca="1">IF(ISNUMBER(MATCH(DATEVALUE($A252),'recurring1_based on steps'!AO$1:AO$400,0)),AO$2,)</f>
        <v>0</v>
      </c>
      <c r="AP252" s="179">
        <f ca="1">IF(ISNUMBER(MATCH(DATEVALUE($A252),'recurring1_based on steps'!AP$1:AP$400,0)),AP$2,)</f>
        <v>0</v>
      </c>
      <c r="AQ252" s="179">
        <f ca="1">IF(ISNUMBER(MATCH(DATEVALUE($A252),'recurring1_based on steps'!AQ$1:AQ$400,0)),AQ$2,)</f>
        <v>0</v>
      </c>
      <c r="AR252" s="179">
        <f ca="1">IF(ISNUMBER(MATCH(DATEVALUE($A252),'recurring1_based on steps'!AR$1:AR$400,0)),AR$2,)</f>
        <v>0</v>
      </c>
      <c r="AS252" s="179">
        <f ca="1">IF(ISNUMBER(MATCH(DATEVALUE($A252),'recurring1_based on steps'!AS$1:AS$400,0)),AS$2,)</f>
        <v>0</v>
      </c>
      <c r="AT252" s="179">
        <f ca="1">IF(ISNUMBER(MATCH(DATEVALUE($A252),'recurring1_based on steps'!AT$1:AT$400,0)),AT$2,)</f>
        <v>0</v>
      </c>
      <c r="AU252" s="179">
        <f ca="1">IF(ISNUMBER(MATCH(DATEVALUE($A252),'recurring1_based on steps'!AU$1:AU$400,0)),AU$2,)</f>
        <v>0</v>
      </c>
      <c r="AV252" s="179">
        <f ca="1">IF(ISNUMBER(MATCH(DATEVALUE($A252),'recurring1_based on steps'!AV$1:AV$400,0)),AV$2,)</f>
        <v>0</v>
      </c>
      <c r="AW252" s="179">
        <f ca="1">IF(ISNUMBER(MATCH(DATEVALUE($A252),'recurring1_based on steps'!AW$1:AW$400,0)),AW$2,)</f>
        <v>0</v>
      </c>
      <c r="AX252" s="179">
        <f ca="1">IF(ISNUMBER(MATCH(DATEVALUE($A252),'recurring1_based on steps'!AX$1:AX$400,0)),AX$2,)</f>
        <v>0</v>
      </c>
      <c r="AY252" s="179">
        <f ca="1">IF(ISNUMBER(MATCH(DATEVALUE($A252),'recurring1_based on steps'!AY$1:AY$400,0)),AY$2,)</f>
        <v>0</v>
      </c>
    </row>
    <row r="253" spans="1:51" x14ac:dyDescent="0.2">
      <c r="A253" s="32" t="str">
        <f t="shared" ca="1" si="3"/>
        <v>2025-12-11</v>
      </c>
      <c r="B253" s="179">
        <f ca="1">IF(ISNUMBER(MATCH(DATEVALUE($A253),'recurring1_based on steps'!B$1:B$400,0)),B$2,)</f>
        <v>0</v>
      </c>
      <c r="C253" s="179">
        <f ca="1">IF(ISNUMBER(MATCH(DATEVALUE($A253),'recurring1_based on steps'!C$1:C$400,0)),C$2,)</f>
        <v>0</v>
      </c>
      <c r="D253" s="179">
        <f ca="1">IF(ISNUMBER(MATCH(DATEVALUE($A253),'recurring1_based on steps'!D$1:D$400,0)),D$2,)</f>
        <v>0</v>
      </c>
      <c r="E253" s="179">
        <f ca="1">IF(ISNUMBER(MATCH(DATEVALUE($A253),'recurring1_based on steps'!E$1:E$400,0)),E$2,)</f>
        <v>0</v>
      </c>
      <c r="F253" s="179">
        <f ca="1">IF(ISNUMBER(MATCH(DATEVALUE($A253),'recurring1_based on steps'!F$1:F$400,0)),F$2,)</f>
        <v>0</v>
      </c>
      <c r="G253" s="179">
        <f ca="1">IF(ISNUMBER(MATCH(DATEVALUE($A253),'recurring1_based on steps'!G$1:G$400,0)),G$2,)</f>
        <v>0</v>
      </c>
      <c r="H253" s="179">
        <f ca="1">IF(ISNUMBER(MATCH(DATEVALUE($A253),'recurring1_based on steps'!H$1:H$400,0)),H$2,)</f>
        <v>0</v>
      </c>
      <c r="I253" s="179">
        <f ca="1">IF(ISNUMBER(MATCH(DATEVALUE($A253),'recurring1_based on steps'!I$1:I$400,0)),I$2,)</f>
        <v>0</v>
      </c>
      <c r="J253" s="179">
        <f ca="1">IF(ISNUMBER(MATCH(DATEVALUE($A253),'recurring1_based on steps'!J$1:J$400,0)),J$2,)</f>
        <v>0</v>
      </c>
      <c r="K253" s="179">
        <f ca="1">IF(ISNUMBER(MATCH(DATEVALUE($A253),'recurring1_based on steps'!K$1:K$400,0)),K$2,)</f>
        <v>0</v>
      </c>
      <c r="L253" s="179">
        <f ca="1">IF(ISNUMBER(MATCH(DATEVALUE($A253),'recurring1_based on steps'!L$1:L$400,0)),L$2,)</f>
        <v>0</v>
      </c>
      <c r="M253" s="179">
        <f ca="1">IF(ISNUMBER(MATCH(DATEVALUE($A253),'recurring1_based on steps'!M$1:M$400,0)),M$2,)</f>
        <v>0</v>
      </c>
      <c r="N253" s="179">
        <f ca="1">IF(ISNUMBER(MATCH(DATEVALUE($A253),'recurring1_based on steps'!N$1:N$400,0)),N$2,)</f>
        <v>0</v>
      </c>
      <c r="O253" s="179">
        <f ca="1">IF(ISNUMBER(MATCH(DATEVALUE($A253),'recurring1_based on steps'!O$1:O$400,0)),O$2,)</f>
        <v>0</v>
      </c>
      <c r="P253" s="179">
        <f ca="1">IF(ISNUMBER(MATCH(DATEVALUE($A253),'recurring1_based on steps'!P$1:P$400,0)),P$2,)</f>
        <v>0</v>
      </c>
      <c r="Q253" s="179">
        <f ca="1">IF(ISNUMBER(MATCH(DATEVALUE($A253),'recurring1_based on steps'!Q$1:Q$400,0)),Q$2,)</f>
        <v>0</v>
      </c>
      <c r="R253" s="179">
        <f ca="1">IF(ISNUMBER(MATCH(DATEVALUE($A253),'recurring1_based on steps'!R$1:R$400,0)),R$2,)</f>
        <v>0</v>
      </c>
      <c r="S253" s="179">
        <f ca="1">IF(ISNUMBER(MATCH(DATEVALUE($A253),'recurring1_based on steps'!S$1:S$400,0)),S$2,)</f>
        <v>0</v>
      </c>
      <c r="T253" s="179">
        <f ca="1">IF(ISNUMBER(MATCH(DATEVALUE($A253),'recurring1_based on steps'!T$1:T$400,0)),T$2,)</f>
        <v>0</v>
      </c>
      <c r="U253" s="179">
        <f ca="1">IF(ISNUMBER(MATCH(DATEVALUE($A253),'recurring1_based on steps'!U$1:U$400,0)),U$2,)</f>
        <v>0</v>
      </c>
      <c r="V253" s="179">
        <f ca="1">IF(ISNUMBER(MATCH(DATEVALUE($A253),'recurring1_based on steps'!V$1:V$400,0)),V$2,)</f>
        <v>0</v>
      </c>
      <c r="W253" s="179">
        <f ca="1">IF(ISNUMBER(MATCH(DATEVALUE($A253),'recurring1_based on steps'!W$1:W$400,0)),W$2,)</f>
        <v>0</v>
      </c>
      <c r="X253" s="179">
        <f ca="1">IF(ISNUMBER(MATCH(DATEVALUE($A253),'recurring1_based on steps'!X$1:X$400,0)),X$2,)</f>
        <v>0</v>
      </c>
      <c r="Y253" s="179">
        <f ca="1">IF(ISNUMBER(MATCH(DATEVALUE($A253),'recurring1_based on steps'!Y$1:Y$400,0)),Y$2,)</f>
        <v>0</v>
      </c>
      <c r="Z253" s="179">
        <f ca="1">IF(ISNUMBER(MATCH(DATEVALUE($A253),'recurring1_based on steps'!Z$1:Z$400,0)),Z$2,)</f>
        <v>0</v>
      </c>
      <c r="AA253" s="179">
        <f ca="1">IF(ISNUMBER(MATCH(DATEVALUE($A253),'recurring1_based on steps'!AA$1:AA$400,0)),AA$2,)</f>
        <v>0</v>
      </c>
      <c r="AB253" s="179">
        <f ca="1">IF(ISNUMBER(MATCH(DATEVALUE($A253),'recurring1_based on steps'!AB$1:AB$400,0)),AB$2,)</f>
        <v>0</v>
      </c>
      <c r="AC253" s="179">
        <f ca="1">IF(ISNUMBER(MATCH(DATEVALUE($A253),'recurring1_based on steps'!AC$1:AC$400,0)),AC$2,)</f>
        <v>0</v>
      </c>
      <c r="AD253" s="179">
        <f ca="1">IF(ISNUMBER(MATCH(DATEVALUE($A253),'recurring1_based on steps'!AD$1:AD$400,0)),AD$2,)</f>
        <v>0</v>
      </c>
      <c r="AE253" s="179">
        <f ca="1">IF(ISNUMBER(MATCH(DATEVALUE($A253),'recurring1_based on steps'!AE$1:AE$400,0)),AE$2,)</f>
        <v>0</v>
      </c>
      <c r="AF253" s="179">
        <f ca="1">IF(ISNUMBER(MATCH(DATEVALUE($A253),'recurring1_based on steps'!AF$1:AF$400,0)),AF$2,)</f>
        <v>0</v>
      </c>
      <c r="AG253" s="179">
        <f ca="1">IF(ISNUMBER(MATCH(DATEVALUE($A253),'recurring1_based on steps'!AG$1:AG$400,0)),AG$2,)</f>
        <v>0</v>
      </c>
      <c r="AH253" s="179">
        <f ca="1">IF(ISNUMBER(MATCH(DATEVALUE($A253),'recurring1_based on steps'!AH$1:AH$400,0)),AH$2,)</f>
        <v>0</v>
      </c>
      <c r="AI253" s="179">
        <f ca="1">IF(ISNUMBER(MATCH(DATEVALUE($A253),'recurring1_based on steps'!AI$1:AI$400,0)),AI$2,)</f>
        <v>0</v>
      </c>
      <c r="AJ253" s="179">
        <f ca="1">IF(ISNUMBER(MATCH(DATEVALUE($A253),'recurring1_based on steps'!AJ$1:AJ$400,0)),AJ$2,)</f>
        <v>0</v>
      </c>
      <c r="AK253" s="179">
        <f ca="1">IF(ISNUMBER(MATCH(DATEVALUE($A253),'recurring1_based on steps'!AK$1:AK$400,0)),AK$2,)</f>
        <v>0</v>
      </c>
      <c r="AL253" s="179">
        <f ca="1">IF(ISNUMBER(MATCH(DATEVALUE($A253),'recurring1_based on steps'!AL$1:AL$400,0)),AL$2,)</f>
        <v>0</v>
      </c>
      <c r="AM253" s="179">
        <f ca="1">IF(ISNUMBER(MATCH(DATEVALUE($A253),'recurring1_based on steps'!AM$1:AM$400,0)),AM$2,)</f>
        <v>0</v>
      </c>
      <c r="AN253" s="179">
        <f ca="1">IF(ISNUMBER(MATCH(DATEVALUE($A253),'recurring1_based on steps'!AN$1:AN$400,0)),AN$2,)</f>
        <v>0</v>
      </c>
      <c r="AO253" s="179">
        <f ca="1">IF(ISNUMBER(MATCH(DATEVALUE($A253),'recurring1_based on steps'!AO$1:AO$400,0)),AO$2,)</f>
        <v>0</v>
      </c>
      <c r="AP253" s="179">
        <f ca="1">IF(ISNUMBER(MATCH(DATEVALUE($A253),'recurring1_based on steps'!AP$1:AP$400,0)),AP$2,)</f>
        <v>0</v>
      </c>
      <c r="AQ253" s="179">
        <f ca="1">IF(ISNUMBER(MATCH(DATEVALUE($A253),'recurring1_based on steps'!AQ$1:AQ$400,0)),AQ$2,)</f>
        <v>0</v>
      </c>
      <c r="AR253" s="179">
        <f ca="1">IF(ISNUMBER(MATCH(DATEVALUE($A253),'recurring1_based on steps'!AR$1:AR$400,0)),AR$2,)</f>
        <v>0</v>
      </c>
      <c r="AS253" s="179">
        <f ca="1">IF(ISNUMBER(MATCH(DATEVALUE($A253),'recurring1_based on steps'!AS$1:AS$400,0)),AS$2,)</f>
        <v>0</v>
      </c>
      <c r="AT253" s="179">
        <f ca="1">IF(ISNUMBER(MATCH(DATEVALUE($A253),'recurring1_based on steps'!AT$1:AT$400,0)),AT$2,)</f>
        <v>0</v>
      </c>
      <c r="AU253" s="179">
        <f ca="1">IF(ISNUMBER(MATCH(DATEVALUE($A253),'recurring1_based on steps'!AU$1:AU$400,0)),AU$2,)</f>
        <v>0</v>
      </c>
      <c r="AV253" s="179">
        <f ca="1">IF(ISNUMBER(MATCH(DATEVALUE($A253),'recurring1_based on steps'!AV$1:AV$400,0)),AV$2,)</f>
        <v>0</v>
      </c>
      <c r="AW253" s="179">
        <f ca="1">IF(ISNUMBER(MATCH(DATEVALUE($A253),'recurring1_based on steps'!AW$1:AW$400,0)),AW$2,)</f>
        <v>0</v>
      </c>
      <c r="AX253" s="179">
        <f ca="1">IF(ISNUMBER(MATCH(DATEVALUE($A253),'recurring1_based on steps'!AX$1:AX$400,0)),AX$2,)</f>
        <v>0</v>
      </c>
      <c r="AY253" s="179">
        <f ca="1">IF(ISNUMBER(MATCH(DATEVALUE($A253),'recurring1_based on steps'!AY$1:AY$400,0)),AY$2,)</f>
        <v>0</v>
      </c>
    </row>
    <row r="254" spans="1:51" x14ac:dyDescent="0.2">
      <c r="A254" s="32" t="str">
        <f t="shared" ca="1" si="3"/>
        <v>2025-12-12</v>
      </c>
      <c r="B254" s="179">
        <f ca="1">IF(ISNUMBER(MATCH(DATEVALUE($A254),'recurring1_based on steps'!B$1:B$400,0)),B$2,)</f>
        <v>0</v>
      </c>
      <c r="C254" s="179">
        <f ca="1">IF(ISNUMBER(MATCH(DATEVALUE($A254),'recurring1_based on steps'!C$1:C$400,0)),C$2,)</f>
        <v>0</v>
      </c>
      <c r="D254" s="179">
        <f ca="1">IF(ISNUMBER(MATCH(DATEVALUE($A254),'recurring1_based on steps'!D$1:D$400,0)),D$2,)</f>
        <v>0</v>
      </c>
      <c r="E254" s="179">
        <f ca="1">IF(ISNUMBER(MATCH(DATEVALUE($A254),'recurring1_based on steps'!E$1:E$400,0)),E$2,)</f>
        <v>0</v>
      </c>
      <c r="F254" s="179">
        <f ca="1">IF(ISNUMBER(MATCH(DATEVALUE($A254),'recurring1_based on steps'!F$1:F$400,0)),F$2,)</f>
        <v>0</v>
      </c>
      <c r="G254" s="179">
        <f ca="1">IF(ISNUMBER(MATCH(DATEVALUE($A254),'recurring1_based on steps'!G$1:G$400,0)),G$2,)</f>
        <v>0</v>
      </c>
      <c r="H254" s="179">
        <f ca="1">IF(ISNUMBER(MATCH(DATEVALUE($A254),'recurring1_based on steps'!H$1:H$400,0)),H$2,)</f>
        <v>0</v>
      </c>
      <c r="I254" s="179">
        <f ca="1">IF(ISNUMBER(MATCH(DATEVALUE($A254),'recurring1_based on steps'!I$1:I$400,0)),I$2,)</f>
        <v>0</v>
      </c>
      <c r="J254" s="179">
        <f ca="1">IF(ISNUMBER(MATCH(DATEVALUE($A254),'recurring1_based on steps'!J$1:J$400,0)),J$2,)</f>
        <v>0</v>
      </c>
      <c r="K254" s="179">
        <f ca="1">IF(ISNUMBER(MATCH(DATEVALUE($A254),'recurring1_based on steps'!K$1:K$400,0)),K$2,)</f>
        <v>0</v>
      </c>
      <c r="L254" s="179">
        <f ca="1">IF(ISNUMBER(MATCH(DATEVALUE($A254),'recurring1_based on steps'!L$1:L$400,0)),L$2,)</f>
        <v>0</v>
      </c>
      <c r="M254" s="179">
        <f ca="1">IF(ISNUMBER(MATCH(DATEVALUE($A254),'recurring1_based on steps'!M$1:M$400,0)),M$2,)</f>
        <v>0</v>
      </c>
      <c r="N254" s="179">
        <f ca="1">IF(ISNUMBER(MATCH(DATEVALUE($A254),'recurring1_based on steps'!N$1:N$400,0)),N$2,)</f>
        <v>0</v>
      </c>
      <c r="O254" s="179">
        <f ca="1">IF(ISNUMBER(MATCH(DATEVALUE($A254),'recurring1_based on steps'!O$1:O$400,0)),O$2,)</f>
        <v>0</v>
      </c>
      <c r="P254" s="179">
        <f ca="1">IF(ISNUMBER(MATCH(DATEVALUE($A254),'recurring1_based on steps'!P$1:P$400,0)),P$2,)</f>
        <v>0</v>
      </c>
      <c r="Q254" s="179">
        <f ca="1">IF(ISNUMBER(MATCH(DATEVALUE($A254),'recurring1_based on steps'!Q$1:Q$400,0)),Q$2,)</f>
        <v>0</v>
      </c>
      <c r="R254" s="179">
        <f ca="1">IF(ISNUMBER(MATCH(DATEVALUE($A254),'recurring1_based on steps'!R$1:R$400,0)),R$2,)</f>
        <v>0</v>
      </c>
      <c r="S254" s="179">
        <f ca="1">IF(ISNUMBER(MATCH(DATEVALUE($A254),'recurring1_based on steps'!S$1:S$400,0)),S$2,)</f>
        <v>0</v>
      </c>
      <c r="T254" s="179">
        <f ca="1">IF(ISNUMBER(MATCH(DATEVALUE($A254),'recurring1_based on steps'!T$1:T$400,0)),T$2,)</f>
        <v>0</v>
      </c>
      <c r="U254" s="179">
        <f ca="1">IF(ISNUMBER(MATCH(DATEVALUE($A254),'recurring1_based on steps'!U$1:U$400,0)),U$2,)</f>
        <v>0</v>
      </c>
      <c r="V254" s="179">
        <f ca="1">IF(ISNUMBER(MATCH(DATEVALUE($A254),'recurring1_based on steps'!V$1:V$400,0)),V$2,)</f>
        <v>0</v>
      </c>
      <c r="W254" s="179">
        <f ca="1">IF(ISNUMBER(MATCH(DATEVALUE($A254),'recurring1_based on steps'!W$1:W$400,0)),W$2,)</f>
        <v>0</v>
      </c>
      <c r="X254" s="179">
        <f ca="1">IF(ISNUMBER(MATCH(DATEVALUE($A254),'recurring1_based on steps'!X$1:X$400,0)),X$2,)</f>
        <v>0</v>
      </c>
      <c r="Y254" s="179">
        <f ca="1">IF(ISNUMBER(MATCH(DATEVALUE($A254),'recurring1_based on steps'!Y$1:Y$400,0)),Y$2,)</f>
        <v>0</v>
      </c>
      <c r="Z254" s="179">
        <f ca="1">IF(ISNUMBER(MATCH(DATEVALUE($A254),'recurring1_based on steps'!Z$1:Z$400,0)),Z$2,)</f>
        <v>0</v>
      </c>
      <c r="AA254" s="179">
        <f ca="1">IF(ISNUMBER(MATCH(DATEVALUE($A254),'recurring1_based on steps'!AA$1:AA$400,0)),AA$2,)</f>
        <v>0</v>
      </c>
      <c r="AB254" s="179">
        <f ca="1">IF(ISNUMBER(MATCH(DATEVALUE($A254),'recurring1_based on steps'!AB$1:AB$400,0)),AB$2,)</f>
        <v>0</v>
      </c>
      <c r="AC254" s="179">
        <f ca="1">IF(ISNUMBER(MATCH(DATEVALUE($A254),'recurring1_based on steps'!AC$1:AC$400,0)),AC$2,)</f>
        <v>0</v>
      </c>
      <c r="AD254" s="179">
        <f ca="1">IF(ISNUMBER(MATCH(DATEVALUE($A254),'recurring1_based on steps'!AD$1:AD$400,0)),AD$2,)</f>
        <v>0</v>
      </c>
      <c r="AE254" s="179">
        <f ca="1">IF(ISNUMBER(MATCH(DATEVALUE($A254),'recurring1_based on steps'!AE$1:AE$400,0)),AE$2,)</f>
        <v>0</v>
      </c>
      <c r="AF254" s="179">
        <f ca="1">IF(ISNUMBER(MATCH(DATEVALUE($A254),'recurring1_based on steps'!AF$1:AF$400,0)),AF$2,)</f>
        <v>0</v>
      </c>
      <c r="AG254" s="179">
        <f ca="1">IF(ISNUMBER(MATCH(DATEVALUE($A254),'recurring1_based on steps'!AG$1:AG$400,0)),AG$2,)</f>
        <v>0</v>
      </c>
      <c r="AH254" s="179">
        <f ca="1">IF(ISNUMBER(MATCH(DATEVALUE($A254),'recurring1_based on steps'!AH$1:AH$400,0)),AH$2,)</f>
        <v>0</v>
      </c>
      <c r="AI254" s="179">
        <f ca="1">IF(ISNUMBER(MATCH(DATEVALUE($A254),'recurring1_based on steps'!AI$1:AI$400,0)),AI$2,)</f>
        <v>0</v>
      </c>
      <c r="AJ254" s="179">
        <f ca="1">IF(ISNUMBER(MATCH(DATEVALUE($A254),'recurring1_based on steps'!AJ$1:AJ$400,0)),AJ$2,)</f>
        <v>0</v>
      </c>
      <c r="AK254" s="179">
        <f ca="1">IF(ISNUMBER(MATCH(DATEVALUE($A254),'recurring1_based on steps'!AK$1:AK$400,0)),AK$2,)</f>
        <v>0</v>
      </c>
      <c r="AL254" s="179">
        <f ca="1">IF(ISNUMBER(MATCH(DATEVALUE($A254),'recurring1_based on steps'!AL$1:AL$400,0)),AL$2,)</f>
        <v>0</v>
      </c>
      <c r="AM254" s="179">
        <f ca="1">IF(ISNUMBER(MATCH(DATEVALUE($A254),'recurring1_based on steps'!AM$1:AM$400,0)),AM$2,)</f>
        <v>0</v>
      </c>
      <c r="AN254" s="179">
        <f ca="1">IF(ISNUMBER(MATCH(DATEVALUE($A254),'recurring1_based on steps'!AN$1:AN$400,0)),AN$2,)</f>
        <v>0</v>
      </c>
      <c r="AO254" s="179">
        <f ca="1">IF(ISNUMBER(MATCH(DATEVALUE($A254),'recurring1_based on steps'!AO$1:AO$400,0)),AO$2,)</f>
        <v>0</v>
      </c>
      <c r="AP254" s="179">
        <f ca="1">IF(ISNUMBER(MATCH(DATEVALUE($A254),'recurring1_based on steps'!AP$1:AP$400,0)),AP$2,)</f>
        <v>0</v>
      </c>
      <c r="AQ254" s="179">
        <f ca="1">IF(ISNUMBER(MATCH(DATEVALUE($A254),'recurring1_based on steps'!AQ$1:AQ$400,0)),AQ$2,)</f>
        <v>0</v>
      </c>
      <c r="AR254" s="179">
        <f ca="1">IF(ISNUMBER(MATCH(DATEVALUE($A254),'recurring1_based on steps'!AR$1:AR$400,0)),AR$2,)</f>
        <v>0</v>
      </c>
      <c r="AS254" s="179">
        <f ca="1">IF(ISNUMBER(MATCH(DATEVALUE($A254),'recurring1_based on steps'!AS$1:AS$400,0)),AS$2,)</f>
        <v>0</v>
      </c>
      <c r="AT254" s="179">
        <f ca="1">IF(ISNUMBER(MATCH(DATEVALUE($A254),'recurring1_based on steps'!AT$1:AT$400,0)),AT$2,)</f>
        <v>0</v>
      </c>
      <c r="AU254" s="179">
        <f ca="1">IF(ISNUMBER(MATCH(DATEVALUE($A254),'recurring1_based on steps'!AU$1:AU$400,0)),AU$2,)</f>
        <v>0</v>
      </c>
      <c r="AV254" s="179">
        <f ca="1">IF(ISNUMBER(MATCH(DATEVALUE($A254),'recurring1_based on steps'!AV$1:AV$400,0)),AV$2,)</f>
        <v>0</v>
      </c>
      <c r="AW254" s="179">
        <f ca="1">IF(ISNUMBER(MATCH(DATEVALUE($A254),'recurring1_based on steps'!AW$1:AW$400,0)),AW$2,)</f>
        <v>0</v>
      </c>
      <c r="AX254" s="179">
        <f ca="1">IF(ISNUMBER(MATCH(DATEVALUE($A254),'recurring1_based on steps'!AX$1:AX$400,0)),AX$2,)</f>
        <v>0</v>
      </c>
      <c r="AY254" s="179">
        <f ca="1">IF(ISNUMBER(MATCH(DATEVALUE($A254),'recurring1_based on steps'!AY$1:AY$400,0)),AY$2,)</f>
        <v>0</v>
      </c>
    </row>
    <row r="255" spans="1:51" x14ac:dyDescent="0.2">
      <c r="A255" s="32" t="str">
        <f t="shared" ca="1" si="3"/>
        <v>2025-12-13</v>
      </c>
      <c r="B255" s="179">
        <f ca="1">IF(ISNUMBER(MATCH(DATEVALUE($A255),'recurring1_based on steps'!B$1:B$400,0)),B$2,)</f>
        <v>0</v>
      </c>
      <c r="C255" s="179">
        <f ca="1">IF(ISNUMBER(MATCH(DATEVALUE($A255),'recurring1_based on steps'!C$1:C$400,0)),C$2,)</f>
        <v>0</v>
      </c>
      <c r="D255" s="179">
        <f ca="1">IF(ISNUMBER(MATCH(DATEVALUE($A255),'recurring1_based on steps'!D$1:D$400,0)),D$2,)</f>
        <v>0</v>
      </c>
      <c r="E255" s="179">
        <f ca="1">IF(ISNUMBER(MATCH(DATEVALUE($A255),'recurring1_based on steps'!E$1:E$400,0)),E$2,)</f>
        <v>0</v>
      </c>
      <c r="F255" s="179">
        <f ca="1">IF(ISNUMBER(MATCH(DATEVALUE($A255),'recurring1_based on steps'!F$1:F$400,0)),F$2,)</f>
        <v>0</v>
      </c>
      <c r="G255" s="179">
        <f ca="1">IF(ISNUMBER(MATCH(DATEVALUE($A255),'recurring1_based on steps'!G$1:G$400,0)),G$2,)</f>
        <v>0</v>
      </c>
      <c r="H255" s="179">
        <f ca="1">IF(ISNUMBER(MATCH(DATEVALUE($A255),'recurring1_based on steps'!H$1:H$400,0)),H$2,)</f>
        <v>0</v>
      </c>
      <c r="I255" s="179">
        <f ca="1">IF(ISNUMBER(MATCH(DATEVALUE($A255),'recurring1_based on steps'!I$1:I$400,0)),I$2,)</f>
        <v>0</v>
      </c>
      <c r="J255" s="179">
        <f ca="1">IF(ISNUMBER(MATCH(DATEVALUE($A255),'recurring1_based on steps'!J$1:J$400,0)),J$2,)</f>
        <v>0</v>
      </c>
      <c r="K255" s="179">
        <f ca="1">IF(ISNUMBER(MATCH(DATEVALUE($A255),'recurring1_based on steps'!K$1:K$400,0)),K$2,)</f>
        <v>0</v>
      </c>
      <c r="L255" s="179">
        <f ca="1">IF(ISNUMBER(MATCH(DATEVALUE($A255),'recurring1_based on steps'!L$1:L$400,0)),L$2,)</f>
        <v>0</v>
      </c>
      <c r="M255" s="179">
        <f ca="1">IF(ISNUMBER(MATCH(DATEVALUE($A255),'recurring1_based on steps'!M$1:M$400,0)),M$2,)</f>
        <v>0</v>
      </c>
      <c r="N255" s="179">
        <f ca="1">IF(ISNUMBER(MATCH(DATEVALUE($A255),'recurring1_based on steps'!N$1:N$400,0)),N$2,)</f>
        <v>0</v>
      </c>
      <c r="O255" s="179">
        <f ca="1">IF(ISNUMBER(MATCH(DATEVALUE($A255),'recurring1_based on steps'!O$1:O$400,0)),O$2,)</f>
        <v>0</v>
      </c>
      <c r="P255" s="179">
        <f ca="1">IF(ISNUMBER(MATCH(DATEVALUE($A255),'recurring1_based on steps'!P$1:P$400,0)),P$2,)</f>
        <v>0</v>
      </c>
      <c r="Q255" s="179">
        <f ca="1">IF(ISNUMBER(MATCH(DATEVALUE($A255),'recurring1_based on steps'!Q$1:Q$400,0)),Q$2,)</f>
        <v>0</v>
      </c>
      <c r="R255" s="179">
        <f ca="1">IF(ISNUMBER(MATCH(DATEVALUE($A255),'recurring1_based on steps'!R$1:R$400,0)),R$2,)</f>
        <v>0</v>
      </c>
      <c r="S255" s="179">
        <f ca="1">IF(ISNUMBER(MATCH(DATEVALUE($A255),'recurring1_based on steps'!S$1:S$400,0)),S$2,)</f>
        <v>0</v>
      </c>
      <c r="T255" s="179">
        <f ca="1">IF(ISNUMBER(MATCH(DATEVALUE($A255),'recurring1_based on steps'!T$1:T$400,0)),T$2,)</f>
        <v>0</v>
      </c>
      <c r="U255" s="179">
        <f ca="1">IF(ISNUMBER(MATCH(DATEVALUE($A255),'recurring1_based on steps'!U$1:U$400,0)),U$2,)</f>
        <v>0</v>
      </c>
      <c r="V255" s="179">
        <f ca="1">IF(ISNUMBER(MATCH(DATEVALUE($A255),'recurring1_based on steps'!V$1:V$400,0)),V$2,)</f>
        <v>0</v>
      </c>
      <c r="W255" s="179">
        <f ca="1">IF(ISNUMBER(MATCH(DATEVALUE($A255),'recurring1_based on steps'!W$1:W$400,0)),W$2,)</f>
        <v>0</v>
      </c>
      <c r="X255" s="179">
        <f ca="1">IF(ISNUMBER(MATCH(DATEVALUE($A255),'recurring1_based on steps'!X$1:X$400,0)),X$2,)</f>
        <v>0</v>
      </c>
      <c r="Y255" s="179">
        <f ca="1">IF(ISNUMBER(MATCH(DATEVALUE($A255),'recurring1_based on steps'!Y$1:Y$400,0)),Y$2,)</f>
        <v>0</v>
      </c>
      <c r="Z255" s="179">
        <f ca="1">IF(ISNUMBER(MATCH(DATEVALUE($A255),'recurring1_based on steps'!Z$1:Z$400,0)),Z$2,)</f>
        <v>0</v>
      </c>
      <c r="AA255" s="179">
        <f ca="1">IF(ISNUMBER(MATCH(DATEVALUE($A255),'recurring1_based on steps'!AA$1:AA$400,0)),AA$2,)</f>
        <v>0</v>
      </c>
      <c r="AB255" s="179">
        <f ca="1">IF(ISNUMBER(MATCH(DATEVALUE($A255),'recurring1_based on steps'!AB$1:AB$400,0)),AB$2,)</f>
        <v>0</v>
      </c>
      <c r="AC255" s="179">
        <f ca="1">IF(ISNUMBER(MATCH(DATEVALUE($A255),'recurring1_based on steps'!AC$1:AC$400,0)),AC$2,)</f>
        <v>0</v>
      </c>
      <c r="AD255" s="179">
        <f ca="1">IF(ISNUMBER(MATCH(DATEVALUE($A255),'recurring1_based on steps'!AD$1:AD$400,0)),AD$2,)</f>
        <v>0</v>
      </c>
      <c r="AE255" s="179">
        <f ca="1">IF(ISNUMBER(MATCH(DATEVALUE($A255),'recurring1_based on steps'!AE$1:AE$400,0)),AE$2,)</f>
        <v>0</v>
      </c>
      <c r="AF255" s="179">
        <f ca="1">IF(ISNUMBER(MATCH(DATEVALUE($A255),'recurring1_based on steps'!AF$1:AF$400,0)),AF$2,)</f>
        <v>0</v>
      </c>
      <c r="AG255" s="179">
        <f ca="1">IF(ISNUMBER(MATCH(DATEVALUE($A255),'recurring1_based on steps'!AG$1:AG$400,0)),AG$2,)</f>
        <v>0</v>
      </c>
      <c r="AH255" s="179">
        <f ca="1">IF(ISNUMBER(MATCH(DATEVALUE($A255),'recurring1_based on steps'!AH$1:AH$400,0)),AH$2,)</f>
        <v>0</v>
      </c>
      <c r="AI255" s="179">
        <f ca="1">IF(ISNUMBER(MATCH(DATEVALUE($A255),'recurring1_based on steps'!AI$1:AI$400,0)),AI$2,)</f>
        <v>0</v>
      </c>
      <c r="AJ255" s="179">
        <f ca="1">IF(ISNUMBER(MATCH(DATEVALUE($A255),'recurring1_based on steps'!AJ$1:AJ$400,0)),AJ$2,)</f>
        <v>0</v>
      </c>
      <c r="AK255" s="179">
        <f ca="1">IF(ISNUMBER(MATCH(DATEVALUE($A255),'recurring1_based on steps'!AK$1:AK$400,0)),AK$2,)</f>
        <v>0</v>
      </c>
      <c r="AL255" s="179">
        <f ca="1">IF(ISNUMBER(MATCH(DATEVALUE($A255),'recurring1_based on steps'!AL$1:AL$400,0)),AL$2,)</f>
        <v>0</v>
      </c>
      <c r="AM255" s="179">
        <f ca="1">IF(ISNUMBER(MATCH(DATEVALUE($A255),'recurring1_based on steps'!AM$1:AM$400,0)),AM$2,)</f>
        <v>0</v>
      </c>
      <c r="AN255" s="179">
        <f ca="1">IF(ISNUMBER(MATCH(DATEVALUE($A255),'recurring1_based on steps'!AN$1:AN$400,0)),AN$2,)</f>
        <v>0</v>
      </c>
      <c r="AO255" s="179">
        <f ca="1">IF(ISNUMBER(MATCH(DATEVALUE($A255),'recurring1_based on steps'!AO$1:AO$400,0)),AO$2,)</f>
        <v>0</v>
      </c>
      <c r="AP255" s="179">
        <f ca="1">IF(ISNUMBER(MATCH(DATEVALUE($A255),'recurring1_based on steps'!AP$1:AP$400,0)),AP$2,)</f>
        <v>0</v>
      </c>
      <c r="AQ255" s="179">
        <f ca="1">IF(ISNUMBER(MATCH(DATEVALUE($A255),'recurring1_based on steps'!AQ$1:AQ$400,0)),AQ$2,)</f>
        <v>0</v>
      </c>
      <c r="AR255" s="179">
        <f ca="1">IF(ISNUMBER(MATCH(DATEVALUE($A255),'recurring1_based on steps'!AR$1:AR$400,0)),AR$2,)</f>
        <v>0</v>
      </c>
      <c r="AS255" s="179">
        <f ca="1">IF(ISNUMBER(MATCH(DATEVALUE($A255),'recurring1_based on steps'!AS$1:AS$400,0)),AS$2,)</f>
        <v>0</v>
      </c>
      <c r="AT255" s="179">
        <f ca="1">IF(ISNUMBER(MATCH(DATEVALUE($A255),'recurring1_based on steps'!AT$1:AT$400,0)),AT$2,)</f>
        <v>0</v>
      </c>
      <c r="AU255" s="179">
        <f ca="1">IF(ISNUMBER(MATCH(DATEVALUE($A255),'recurring1_based on steps'!AU$1:AU$400,0)),AU$2,)</f>
        <v>0</v>
      </c>
      <c r="AV255" s="179">
        <f ca="1">IF(ISNUMBER(MATCH(DATEVALUE($A255),'recurring1_based on steps'!AV$1:AV$400,0)),AV$2,)</f>
        <v>0</v>
      </c>
      <c r="AW255" s="179">
        <f ca="1">IF(ISNUMBER(MATCH(DATEVALUE($A255),'recurring1_based on steps'!AW$1:AW$400,0)),AW$2,)</f>
        <v>0</v>
      </c>
      <c r="AX255" s="179">
        <f ca="1">IF(ISNUMBER(MATCH(DATEVALUE($A255),'recurring1_based on steps'!AX$1:AX$400,0)),AX$2,)</f>
        <v>0</v>
      </c>
      <c r="AY255" s="179">
        <f ca="1">IF(ISNUMBER(MATCH(DATEVALUE($A255),'recurring1_based on steps'!AY$1:AY$400,0)),AY$2,)</f>
        <v>0</v>
      </c>
    </row>
    <row r="256" spans="1:51" x14ac:dyDescent="0.2">
      <c r="A256" s="32" t="str">
        <f t="shared" ca="1" si="3"/>
        <v>2025-12-14</v>
      </c>
      <c r="B256" s="179">
        <f ca="1">IF(ISNUMBER(MATCH(DATEVALUE($A256),'recurring1_based on steps'!B$1:B$400,0)),B$2,)</f>
        <v>0</v>
      </c>
      <c r="C256" s="179">
        <f ca="1">IF(ISNUMBER(MATCH(DATEVALUE($A256),'recurring1_based on steps'!C$1:C$400,0)),C$2,)</f>
        <v>0</v>
      </c>
      <c r="D256" s="179">
        <f ca="1">IF(ISNUMBER(MATCH(DATEVALUE($A256),'recurring1_based on steps'!D$1:D$400,0)),D$2,)</f>
        <v>0</v>
      </c>
      <c r="E256" s="179">
        <f ca="1">IF(ISNUMBER(MATCH(DATEVALUE($A256),'recurring1_based on steps'!E$1:E$400,0)),E$2,)</f>
        <v>0</v>
      </c>
      <c r="F256" s="179">
        <f ca="1">IF(ISNUMBER(MATCH(DATEVALUE($A256),'recurring1_based on steps'!F$1:F$400,0)),F$2,)</f>
        <v>0</v>
      </c>
      <c r="G256" s="179">
        <f ca="1">IF(ISNUMBER(MATCH(DATEVALUE($A256),'recurring1_based on steps'!G$1:G$400,0)),G$2,)</f>
        <v>0</v>
      </c>
      <c r="H256" s="179">
        <f ca="1">IF(ISNUMBER(MATCH(DATEVALUE($A256),'recurring1_based on steps'!H$1:H$400,0)),H$2,)</f>
        <v>0</v>
      </c>
      <c r="I256" s="179">
        <f ca="1">IF(ISNUMBER(MATCH(DATEVALUE($A256),'recurring1_based on steps'!I$1:I$400,0)),I$2,)</f>
        <v>0</v>
      </c>
      <c r="J256" s="179">
        <f ca="1">IF(ISNUMBER(MATCH(DATEVALUE($A256),'recurring1_based on steps'!J$1:J$400,0)),J$2,)</f>
        <v>0</v>
      </c>
      <c r="K256" s="179">
        <f ca="1">IF(ISNUMBER(MATCH(DATEVALUE($A256),'recurring1_based on steps'!K$1:K$400,0)),K$2,)</f>
        <v>0</v>
      </c>
      <c r="L256" s="179">
        <f ca="1">IF(ISNUMBER(MATCH(DATEVALUE($A256),'recurring1_based on steps'!L$1:L$400,0)),L$2,)</f>
        <v>0</v>
      </c>
      <c r="M256" s="179">
        <f ca="1">IF(ISNUMBER(MATCH(DATEVALUE($A256),'recurring1_based on steps'!M$1:M$400,0)),M$2,)</f>
        <v>0</v>
      </c>
      <c r="N256" s="179">
        <f ca="1">IF(ISNUMBER(MATCH(DATEVALUE($A256),'recurring1_based on steps'!N$1:N$400,0)),N$2,)</f>
        <v>0</v>
      </c>
      <c r="O256" s="179">
        <f ca="1">IF(ISNUMBER(MATCH(DATEVALUE($A256),'recurring1_based on steps'!O$1:O$400,0)),O$2,)</f>
        <v>0</v>
      </c>
      <c r="P256" s="179">
        <f ca="1">IF(ISNUMBER(MATCH(DATEVALUE($A256),'recurring1_based on steps'!P$1:P$400,0)),P$2,)</f>
        <v>0</v>
      </c>
      <c r="Q256" s="179">
        <f ca="1">IF(ISNUMBER(MATCH(DATEVALUE($A256),'recurring1_based on steps'!Q$1:Q$400,0)),Q$2,)</f>
        <v>0</v>
      </c>
      <c r="R256" s="179">
        <f ca="1">IF(ISNUMBER(MATCH(DATEVALUE($A256),'recurring1_based on steps'!R$1:R$400,0)),R$2,)</f>
        <v>0</v>
      </c>
      <c r="S256" s="179">
        <f ca="1">IF(ISNUMBER(MATCH(DATEVALUE($A256),'recurring1_based on steps'!S$1:S$400,0)),S$2,)</f>
        <v>0</v>
      </c>
      <c r="T256" s="179">
        <f ca="1">IF(ISNUMBER(MATCH(DATEVALUE($A256),'recurring1_based on steps'!T$1:T$400,0)),T$2,)</f>
        <v>0</v>
      </c>
      <c r="U256" s="179">
        <f ca="1">IF(ISNUMBER(MATCH(DATEVALUE($A256),'recurring1_based on steps'!U$1:U$400,0)),U$2,)</f>
        <v>0</v>
      </c>
      <c r="V256" s="179">
        <f ca="1">IF(ISNUMBER(MATCH(DATEVALUE($A256),'recurring1_based on steps'!V$1:V$400,0)),V$2,)</f>
        <v>0</v>
      </c>
      <c r="W256" s="179">
        <f ca="1">IF(ISNUMBER(MATCH(DATEVALUE($A256),'recurring1_based on steps'!W$1:W$400,0)),W$2,)</f>
        <v>0</v>
      </c>
      <c r="X256" s="179">
        <f ca="1">IF(ISNUMBER(MATCH(DATEVALUE($A256),'recurring1_based on steps'!X$1:X$400,0)),X$2,)</f>
        <v>0</v>
      </c>
      <c r="Y256" s="179">
        <f ca="1">IF(ISNUMBER(MATCH(DATEVALUE($A256),'recurring1_based on steps'!Y$1:Y$400,0)),Y$2,)</f>
        <v>0</v>
      </c>
      <c r="Z256" s="179">
        <f ca="1">IF(ISNUMBER(MATCH(DATEVALUE($A256),'recurring1_based on steps'!Z$1:Z$400,0)),Z$2,)</f>
        <v>0</v>
      </c>
      <c r="AA256" s="179">
        <f ca="1">IF(ISNUMBER(MATCH(DATEVALUE($A256),'recurring1_based on steps'!AA$1:AA$400,0)),AA$2,)</f>
        <v>0</v>
      </c>
      <c r="AB256" s="179">
        <f ca="1">IF(ISNUMBER(MATCH(DATEVALUE($A256),'recurring1_based on steps'!AB$1:AB$400,0)),AB$2,)</f>
        <v>0</v>
      </c>
      <c r="AC256" s="179">
        <f ca="1">IF(ISNUMBER(MATCH(DATEVALUE($A256),'recurring1_based on steps'!AC$1:AC$400,0)),AC$2,)</f>
        <v>0</v>
      </c>
      <c r="AD256" s="179">
        <f ca="1">IF(ISNUMBER(MATCH(DATEVALUE($A256),'recurring1_based on steps'!AD$1:AD$400,0)),AD$2,)</f>
        <v>0</v>
      </c>
      <c r="AE256" s="179">
        <f ca="1">IF(ISNUMBER(MATCH(DATEVALUE($A256),'recurring1_based on steps'!AE$1:AE$400,0)),AE$2,)</f>
        <v>0</v>
      </c>
      <c r="AF256" s="179">
        <f ca="1">IF(ISNUMBER(MATCH(DATEVALUE($A256),'recurring1_based on steps'!AF$1:AF$400,0)),AF$2,)</f>
        <v>0</v>
      </c>
      <c r="AG256" s="179">
        <f ca="1">IF(ISNUMBER(MATCH(DATEVALUE($A256),'recurring1_based on steps'!AG$1:AG$400,0)),AG$2,)</f>
        <v>0</v>
      </c>
      <c r="AH256" s="179">
        <f ca="1">IF(ISNUMBER(MATCH(DATEVALUE($A256),'recurring1_based on steps'!AH$1:AH$400,0)),AH$2,)</f>
        <v>0</v>
      </c>
      <c r="AI256" s="179">
        <f ca="1">IF(ISNUMBER(MATCH(DATEVALUE($A256),'recurring1_based on steps'!AI$1:AI$400,0)),AI$2,)</f>
        <v>0</v>
      </c>
      <c r="AJ256" s="179">
        <f ca="1">IF(ISNUMBER(MATCH(DATEVALUE($A256),'recurring1_based on steps'!AJ$1:AJ$400,0)),AJ$2,)</f>
        <v>0</v>
      </c>
      <c r="AK256" s="179">
        <f ca="1">IF(ISNUMBER(MATCH(DATEVALUE($A256),'recurring1_based on steps'!AK$1:AK$400,0)),AK$2,)</f>
        <v>0</v>
      </c>
      <c r="AL256" s="179">
        <f ca="1">IF(ISNUMBER(MATCH(DATEVALUE($A256),'recurring1_based on steps'!AL$1:AL$400,0)),AL$2,)</f>
        <v>0</v>
      </c>
      <c r="AM256" s="179">
        <f ca="1">IF(ISNUMBER(MATCH(DATEVALUE($A256),'recurring1_based on steps'!AM$1:AM$400,0)),AM$2,)</f>
        <v>0</v>
      </c>
      <c r="AN256" s="179">
        <f ca="1">IF(ISNUMBER(MATCH(DATEVALUE($A256),'recurring1_based on steps'!AN$1:AN$400,0)),AN$2,)</f>
        <v>0</v>
      </c>
      <c r="AO256" s="179">
        <f ca="1">IF(ISNUMBER(MATCH(DATEVALUE($A256),'recurring1_based on steps'!AO$1:AO$400,0)),AO$2,)</f>
        <v>0</v>
      </c>
      <c r="AP256" s="179">
        <f ca="1">IF(ISNUMBER(MATCH(DATEVALUE($A256),'recurring1_based on steps'!AP$1:AP$400,0)),AP$2,)</f>
        <v>0</v>
      </c>
      <c r="AQ256" s="179">
        <f ca="1">IF(ISNUMBER(MATCH(DATEVALUE($A256),'recurring1_based on steps'!AQ$1:AQ$400,0)),AQ$2,)</f>
        <v>0</v>
      </c>
      <c r="AR256" s="179">
        <f ca="1">IF(ISNUMBER(MATCH(DATEVALUE($A256),'recurring1_based on steps'!AR$1:AR$400,0)),AR$2,)</f>
        <v>0</v>
      </c>
      <c r="AS256" s="179">
        <f ca="1">IF(ISNUMBER(MATCH(DATEVALUE($A256),'recurring1_based on steps'!AS$1:AS$400,0)),AS$2,)</f>
        <v>0</v>
      </c>
      <c r="AT256" s="179">
        <f ca="1">IF(ISNUMBER(MATCH(DATEVALUE($A256),'recurring1_based on steps'!AT$1:AT$400,0)),AT$2,)</f>
        <v>0</v>
      </c>
      <c r="AU256" s="179">
        <f ca="1">IF(ISNUMBER(MATCH(DATEVALUE($A256),'recurring1_based on steps'!AU$1:AU$400,0)),AU$2,)</f>
        <v>0</v>
      </c>
      <c r="AV256" s="179">
        <f ca="1">IF(ISNUMBER(MATCH(DATEVALUE($A256),'recurring1_based on steps'!AV$1:AV$400,0)),AV$2,)</f>
        <v>0</v>
      </c>
      <c r="AW256" s="179">
        <f ca="1">IF(ISNUMBER(MATCH(DATEVALUE($A256),'recurring1_based on steps'!AW$1:AW$400,0)),AW$2,)</f>
        <v>0</v>
      </c>
      <c r="AX256" s="179">
        <f ca="1">IF(ISNUMBER(MATCH(DATEVALUE($A256),'recurring1_based on steps'!AX$1:AX$400,0)),AX$2,)</f>
        <v>0</v>
      </c>
      <c r="AY256" s="179">
        <f ca="1">IF(ISNUMBER(MATCH(DATEVALUE($A256),'recurring1_based on steps'!AY$1:AY$400,0)),AY$2,)</f>
        <v>0</v>
      </c>
    </row>
    <row r="257" spans="1:51" x14ac:dyDescent="0.2">
      <c r="A257" s="32" t="str">
        <f t="shared" ca="1" si="3"/>
        <v>2025-12-15</v>
      </c>
      <c r="B257" s="179">
        <f ca="1">IF(ISNUMBER(MATCH(DATEVALUE($A257),'recurring1_based on steps'!B$1:B$400,0)),B$2,)</f>
        <v>0</v>
      </c>
      <c r="C257" s="179">
        <f ca="1">IF(ISNUMBER(MATCH(DATEVALUE($A257),'recurring1_based on steps'!C$1:C$400,0)),C$2,)</f>
        <v>0</v>
      </c>
      <c r="D257" s="179">
        <f ca="1">IF(ISNUMBER(MATCH(DATEVALUE($A257),'recurring1_based on steps'!D$1:D$400,0)),D$2,)</f>
        <v>0</v>
      </c>
      <c r="E257" s="179">
        <f ca="1">IF(ISNUMBER(MATCH(DATEVALUE($A257),'recurring1_based on steps'!E$1:E$400,0)),E$2,)</f>
        <v>0</v>
      </c>
      <c r="F257" s="179">
        <f ca="1">IF(ISNUMBER(MATCH(DATEVALUE($A257),'recurring1_based on steps'!F$1:F$400,0)),F$2,)</f>
        <v>0</v>
      </c>
      <c r="G257" s="179">
        <f ca="1">IF(ISNUMBER(MATCH(DATEVALUE($A257),'recurring1_based on steps'!G$1:G$400,0)),G$2,)</f>
        <v>0</v>
      </c>
      <c r="H257" s="179">
        <f ca="1">IF(ISNUMBER(MATCH(DATEVALUE($A257),'recurring1_based on steps'!H$1:H$400,0)),H$2,)</f>
        <v>0</v>
      </c>
      <c r="I257" s="179">
        <f ca="1">IF(ISNUMBER(MATCH(DATEVALUE($A257),'recurring1_based on steps'!I$1:I$400,0)),I$2,)</f>
        <v>0</v>
      </c>
      <c r="J257" s="179">
        <f ca="1">IF(ISNUMBER(MATCH(DATEVALUE($A257),'recurring1_based on steps'!J$1:J$400,0)),J$2,)</f>
        <v>0</v>
      </c>
      <c r="K257" s="179">
        <f ca="1">IF(ISNUMBER(MATCH(DATEVALUE($A257),'recurring1_based on steps'!K$1:K$400,0)),K$2,)</f>
        <v>0</v>
      </c>
      <c r="L257" s="179">
        <f ca="1">IF(ISNUMBER(MATCH(DATEVALUE($A257),'recurring1_based on steps'!L$1:L$400,0)),L$2,)</f>
        <v>0</v>
      </c>
      <c r="M257" s="179">
        <f ca="1">IF(ISNUMBER(MATCH(DATEVALUE($A257),'recurring1_based on steps'!M$1:M$400,0)),M$2,)</f>
        <v>0</v>
      </c>
      <c r="N257" s="179">
        <f ca="1">IF(ISNUMBER(MATCH(DATEVALUE($A257),'recurring1_based on steps'!N$1:N$400,0)),N$2,)</f>
        <v>0</v>
      </c>
      <c r="O257" s="179">
        <f ca="1">IF(ISNUMBER(MATCH(DATEVALUE($A257),'recurring1_based on steps'!O$1:O$400,0)),O$2,)</f>
        <v>0</v>
      </c>
      <c r="P257" s="179">
        <f ca="1">IF(ISNUMBER(MATCH(DATEVALUE($A257),'recurring1_based on steps'!P$1:P$400,0)),P$2,)</f>
        <v>0</v>
      </c>
      <c r="Q257" s="179">
        <f ca="1">IF(ISNUMBER(MATCH(DATEVALUE($A257),'recurring1_based on steps'!Q$1:Q$400,0)),Q$2,)</f>
        <v>0</v>
      </c>
      <c r="R257" s="179">
        <f ca="1">IF(ISNUMBER(MATCH(DATEVALUE($A257),'recurring1_based on steps'!R$1:R$400,0)),R$2,)</f>
        <v>0</v>
      </c>
      <c r="S257" s="179">
        <f ca="1">IF(ISNUMBER(MATCH(DATEVALUE($A257),'recurring1_based on steps'!S$1:S$400,0)),S$2,)</f>
        <v>0</v>
      </c>
      <c r="T257" s="179">
        <f ca="1">IF(ISNUMBER(MATCH(DATEVALUE($A257),'recurring1_based on steps'!T$1:T$400,0)),T$2,)</f>
        <v>0</v>
      </c>
      <c r="U257" s="179">
        <f ca="1">IF(ISNUMBER(MATCH(DATEVALUE($A257),'recurring1_based on steps'!U$1:U$400,0)),U$2,)</f>
        <v>0</v>
      </c>
      <c r="V257" s="179">
        <f ca="1">IF(ISNUMBER(MATCH(DATEVALUE($A257),'recurring1_based on steps'!V$1:V$400,0)),V$2,)</f>
        <v>0</v>
      </c>
      <c r="W257" s="179">
        <f ca="1">IF(ISNUMBER(MATCH(DATEVALUE($A257),'recurring1_based on steps'!W$1:W$400,0)),W$2,)</f>
        <v>0</v>
      </c>
      <c r="X257" s="179">
        <f ca="1">IF(ISNUMBER(MATCH(DATEVALUE($A257),'recurring1_based on steps'!X$1:X$400,0)),X$2,)</f>
        <v>0</v>
      </c>
      <c r="Y257" s="179">
        <f ca="1">IF(ISNUMBER(MATCH(DATEVALUE($A257),'recurring1_based on steps'!Y$1:Y$400,0)),Y$2,)</f>
        <v>0</v>
      </c>
      <c r="Z257" s="179">
        <f ca="1">IF(ISNUMBER(MATCH(DATEVALUE($A257),'recurring1_based on steps'!Z$1:Z$400,0)),Z$2,)</f>
        <v>0</v>
      </c>
      <c r="AA257" s="179">
        <f ca="1">IF(ISNUMBER(MATCH(DATEVALUE($A257),'recurring1_based on steps'!AA$1:AA$400,0)),AA$2,)</f>
        <v>0</v>
      </c>
      <c r="AB257" s="179">
        <f ca="1">IF(ISNUMBER(MATCH(DATEVALUE($A257),'recurring1_based on steps'!AB$1:AB$400,0)),AB$2,)</f>
        <v>0</v>
      </c>
      <c r="AC257" s="179">
        <f ca="1">IF(ISNUMBER(MATCH(DATEVALUE($A257),'recurring1_based on steps'!AC$1:AC$400,0)),AC$2,)</f>
        <v>0</v>
      </c>
      <c r="AD257" s="179">
        <f ca="1">IF(ISNUMBER(MATCH(DATEVALUE($A257),'recurring1_based on steps'!AD$1:AD$400,0)),AD$2,)</f>
        <v>0</v>
      </c>
      <c r="AE257" s="179">
        <f ca="1">IF(ISNUMBER(MATCH(DATEVALUE($A257),'recurring1_based on steps'!AE$1:AE$400,0)),AE$2,)</f>
        <v>0</v>
      </c>
      <c r="AF257" s="179">
        <f ca="1">IF(ISNUMBER(MATCH(DATEVALUE($A257),'recurring1_based on steps'!AF$1:AF$400,0)),AF$2,)</f>
        <v>0</v>
      </c>
      <c r="AG257" s="179">
        <f ca="1">IF(ISNUMBER(MATCH(DATEVALUE($A257),'recurring1_based on steps'!AG$1:AG$400,0)),AG$2,)</f>
        <v>0</v>
      </c>
      <c r="AH257" s="179">
        <f ca="1">IF(ISNUMBER(MATCH(DATEVALUE($A257),'recurring1_based on steps'!AH$1:AH$400,0)),AH$2,)</f>
        <v>0</v>
      </c>
      <c r="AI257" s="179">
        <f ca="1">IF(ISNUMBER(MATCH(DATEVALUE($A257),'recurring1_based on steps'!AI$1:AI$400,0)),AI$2,)</f>
        <v>0</v>
      </c>
      <c r="AJ257" s="179">
        <f ca="1">IF(ISNUMBER(MATCH(DATEVALUE($A257),'recurring1_based on steps'!AJ$1:AJ$400,0)),AJ$2,)</f>
        <v>0</v>
      </c>
      <c r="AK257" s="179">
        <f ca="1">IF(ISNUMBER(MATCH(DATEVALUE($A257),'recurring1_based on steps'!AK$1:AK$400,0)),AK$2,)</f>
        <v>0</v>
      </c>
      <c r="AL257" s="179">
        <f ca="1">IF(ISNUMBER(MATCH(DATEVALUE($A257),'recurring1_based on steps'!AL$1:AL$400,0)),AL$2,)</f>
        <v>0</v>
      </c>
      <c r="AM257" s="179">
        <f ca="1">IF(ISNUMBER(MATCH(DATEVALUE($A257),'recurring1_based on steps'!AM$1:AM$400,0)),AM$2,)</f>
        <v>0</v>
      </c>
      <c r="AN257" s="179">
        <f ca="1">IF(ISNUMBER(MATCH(DATEVALUE($A257),'recurring1_based on steps'!AN$1:AN$400,0)),AN$2,)</f>
        <v>0</v>
      </c>
      <c r="AO257" s="179">
        <f ca="1">IF(ISNUMBER(MATCH(DATEVALUE($A257),'recurring1_based on steps'!AO$1:AO$400,0)),AO$2,)</f>
        <v>0</v>
      </c>
      <c r="AP257" s="179">
        <f ca="1">IF(ISNUMBER(MATCH(DATEVALUE($A257),'recurring1_based on steps'!AP$1:AP$400,0)),AP$2,)</f>
        <v>0</v>
      </c>
      <c r="AQ257" s="179">
        <f ca="1">IF(ISNUMBER(MATCH(DATEVALUE($A257),'recurring1_based on steps'!AQ$1:AQ$400,0)),AQ$2,)</f>
        <v>0</v>
      </c>
      <c r="AR257" s="179">
        <f ca="1">IF(ISNUMBER(MATCH(DATEVALUE($A257),'recurring1_based on steps'!AR$1:AR$400,0)),AR$2,)</f>
        <v>0</v>
      </c>
      <c r="AS257" s="179">
        <f ca="1">IF(ISNUMBER(MATCH(DATEVALUE($A257),'recurring1_based on steps'!AS$1:AS$400,0)),AS$2,)</f>
        <v>0</v>
      </c>
      <c r="AT257" s="179">
        <f ca="1">IF(ISNUMBER(MATCH(DATEVALUE($A257),'recurring1_based on steps'!AT$1:AT$400,0)),AT$2,)</f>
        <v>0</v>
      </c>
      <c r="AU257" s="179">
        <f ca="1">IF(ISNUMBER(MATCH(DATEVALUE($A257),'recurring1_based on steps'!AU$1:AU$400,0)),AU$2,)</f>
        <v>0</v>
      </c>
      <c r="AV257" s="179">
        <f ca="1">IF(ISNUMBER(MATCH(DATEVALUE($A257),'recurring1_based on steps'!AV$1:AV$400,0)),AV$2,)</f>
        <v>0</v>
      </c>
      <c r="AW257" s="179">
        <f ca="1">IF(ISNUMBER(MATCH(DATEVALUE($A257),'recurring1_based on steps'!AW$1:AW$400,0)),AW$2,)</f>
        <v>0</v>
      </c>
      <c r="AX257" s="179">
        <f ca="1">IF(ISNUMBER(MATCH(DATEVALUE($A257),'recurring1_based on steps'!AX$1:AX$400,0)),AX$2,)</f>
        <v>0</v>
      </c>
      <c r="AY257" s="179">
        <f ca="1">IF(ISNUMBER(MATCH(DATEVALUE($A257),'recurring1_based on steps'!AY$1:AY$400,0)),AY$2,)</f>
        <v>0</v>
      </c>
    </row>
    <row r="258" spans="1:51" x14ac:dyDescent="0.2">
      <c r="A258" s="32" t="str">
        <f t="shared" ca="1" si="3"/>
        <v>2025-12-16</v>
      </c>
      <c r="B258" s="179">
        <f ca="1">IF(ISNUMBER(MATCH(DATEVALUE($A258),'recurring1_based on steps'!B$1:B$400,0)),B$2,)</f>
        <v>0</v>
      </c>
      <c r="C258" s="179">
        <f ca="1">IF(ISNUMBER(MATCH(DATEVALUE($A258),'recurring1_based on steps'!C$1:C$400,0)),C$2,)</f>
        <v>0</v>
      </c>
      <c r="D258" s="179">
        <f ca="1">IF(ISNUMBER(MATCH(DATEVALUE($A258),'recurring1_based on steps'!D$1:D$400,0)),D$2,)</f>
        <v>0</v>
      </c>
      <c r="E258" s="179">
        <f ca="1">IF(ISNUMBER(MATCH(DATEVALUE($A258),'recurring1_based on steps'!E$1:E$400,0)),E$2,)</f>
        <v>0</v>
      </c>
      <c r="F258" s="179">
        <f ca="1">IF(ISNUMBER(MATCH(DATEVALUE($A258),'recurring1_based on steps'!F$1:F$400,0)),F$2,)</f>
        <v>0</v>
      </c>
      <c r="G258" s="179">
        <f ca="1">IF(ISNUMBER(MATCH(DATEVALUE($A258),'recurring1_based on steps'!G$1:G$400,0)),G$2,)</f>
        <v>0</v>
      </c>
      <c r="H258" s="179">
        <f ca="1">IF(ISNUMBER(MATCH(DATEVALUE($A258),'recurring1_based on steps'!H$1:H$400,0)),H$2,)</f>
        <v>0</v>
      </c>
      <c r="I258" s="179">
        <f ca="1">IF(ISNUMBER(MATCH(DATEVALUE($A258),'recurring1_based on steps'!I$1:I$400,0)),I$2,)</f>
        <v>0</v>
      </c>
      <c r="J258" s="179">
        <f ca="1">IF(ISNUMBER(MATCH(DATEVALUE($A258),'recurring1_based on steps'!J$1:J$400,0)),J$2,)</f>
        <v>0</v>
      </c>
      <c r="K258" s="179">
        <f ca="1">IF(ISNUMBER(MATCH(DATEVALUE($A258),'recurring1_based on steps'!K$1:K$400,0)),K$2,)</f>
        <v>0</v>
      </c>
      <c r="L258" s="179">
        <f ca="1">IF(ISNUMBER(MATCH(DATEVALUE($A258),'recurring1_based on steps'!L$1:L$400,0)),L$2,)</f>
        <v>0</v>
      </c>
      <c r="M258" s="179">
        <f ca="1">IF(ISNUMBER(MATCH(DATEVALUE($A258),'recurring1_based on steps'!M$1:M$400,0)),M$2,)</f>
        <v>0</v>
      </c>
      <c r="N258" s="179">
        <f ca="1">IF(ISNUMBER(MATCH(DATEVALUE($A258),'recurring1_based on steps'!N$1:N$400,0)),N$2,)</f>
        <v>0</v>
      </c>
      <c r="O258" s="179">
        <f ca="1">IF(ISNUMBER(MATCH(DATEVALUE($A258),'recurring1_based on steps'!O$1:O$400,0)),O$2,)</f>
        <v>0</v>
      </c>
      <c r="P258" s="179">
        <f ca="1">IF(ISNUMBER(MATCH(DATEVALUE($A258),'recurring1_based on steps'!P$1:P$400,0)),P$2,)</f>
        <v>0</v>
      </c>
      <c r="Q258" s="179">
        <f ca="1">IF(ISNUMBER(MATCH(DATEVALUE($A258),'recurring1_based on steps'!Q$1:Q$400,0)),Q$2,)</f>
        <v>0</v>
      </c>
      <c r="R258" s="179">
        <f ca="1">IF(ISNUMBER(MATCH(DATEVALUE($A258),'recurring1_based on steps'!R$1:R$400,0)),R$2,)</f>
        <v>0</v>
      </c>
      <c r="S258" s="179">
        <f ca="1">IF(ISNUMBER(MATCH(DATEVALUE($A258),'recurring1_based on steps'!S$1:S$400,0)),S$2,)</f>
        <v>0</v>
      </c>
      <c r="T258" s="179">
        <f ca="1">IF(ISNUMBER(MATCH(DATEVALUE($A258),'recurring1_based on steps'!T$1:T$400,0)),T$2,)</f>
        <v>0</v>
      </c>
      <c r="U258" s="179">
        <f ca="1">IF(ISNUMBER(MATCH(DATEVALUE($A258),'recurring1_based on steps'!U$1:U$400,0)),U$2,)</f>
        <v>0</v>
      </c>
      <c r="V258" s="179">
        <f ca="1">IF(ISNUMBER(MATCH(DATEVALUE($A258),'recurring1_based on steps'!V$1:V$400,0)),V$2,)</f>
        <v>0</v>
      </c>
      <c r="W258" s="179">
        <f ca="1">IF(ISNUMBER(MATCH(DATEVALUE($A258),'recurring1_based on steps'!W$1:W$400,0)),W$2,)</f>
        <v>0</v>
      </c>
      <c r="X258" s="179">
        <f ca="1">IF(ISNUMBER(MATCH(DATEVALUE($A258),'recurring1_based on steps'!X$1:X$400,0)),X$2,)</f>
        <v>0</v>
      </c>
      <c r="Y258" s="179">
        <f ca="1">IF(ISNUMBER(MATCH(DATEVALUE($A258),'recurring1_based on steps'!Y$1:Y$400,0)),Y$2,)</f>
        <v>0</v>
      </c>
      <c r="Z258" s="179">
        <f ca="1">IF(ISNUMBER(MATCH(DATEVALUE($A258),'recurring1_based on steps'!Z$1:Z$400,0)),Z$2,)</f>
        <v>0</v>
      </c>
      <c r="AA258" s="179">
        <f ca="1">IF(ISNUMBER(MATCH(DATEVALUE($A258),'recurring1_based on steps'!AA$1:AA$400,0)),AA$2,)</f>
        <v>0</v>
      </c>
      <c r="AB258" s="179">
        <f ca="1">IF(ISNUMBER(MATCH(DATEVALUE($A258),'recurring1_based on steps'!AB$1:AB$400,0)),AB$2,)</f>
        <v>0</v>
      </c>
      <c r="AC258" s="179">
        <f ca="1">IF(ISNUMBER(MATCH(DATEVALUE($A258),'recurring1_based on steps'!AC$1:AC$400,0)),AC$2,)</f>
        <v>0</v>
      </c>
      <c r="AD258" s="179">
        <f ca="1">IF(ISNUMBER(MATCH(DATEVALUE($A258),'recurring1_based on steps'!AD$1:AD$400,0)),AD$2,)</f>
        <v>0</v>
      </c>
      <c r="AE258" s="179">
        <f ca="1">IF(ISNUMBER(MATCH(DATEVALUE($A258),'recurring1_based on steps'!AE$1:AE$400,0)),AE$2,)</f>
        <v>0</v>
      </c>
      <c r="AF258" s="179">
        <f ca="1">IF(ISNUMBER(MATCH(DATEVALUE($A258),'recurring1_based on steps'!AF$1:AF$400,0)),AF$2,)</f>
        <v>0</v>
      </c>
      <c r="AG258" s="179">
        <f ca="1">IF(ISNUMBER(MATCH(DATEVALUE($A258),'recurring1_based on steps'!AG$1:AG$400,0)),AG$2,)</f>
        <v>0</v>
      </c>
      <c r="AH258" s="179">
        <f ca="1">IF(ISNUMBER(MATCH(DATEVALUE($A258),'recurring1_based on steps'!AH$1:AH$400,0)),AH$2,)</f>
        <v>0</v>
      </c>
      <c r="AI258" s="179">
        <f ca="1">IF(ISNUMBER(MATCH(DATEVALUE($A258),'recurring1_based on steps'!AI$1:AI$400,0)),AI$2,)</f>
        <v>0</v>
      </c>
      <c r="AJ258" s="179">
        <f ca="1">IF(ISNUMBER(MATCH(DATEVALUE($A258),'recurring1_based on steps'!AJ$1:AJ$400,0)),AJ$2,)</f>
        <v>0</v>
      </c>
      <c r="AK258" s="179">
        <f ca="1">IF(ISNUMBER(MATCH(DATEVALUE($A258),'recurring1_based on steps'!AK$1:AK$400,0)),AK$2,)</f>
        <v>0</v>
      </c>
      <c r="AL258" s="179">
        <f ca="1">IF(ISNUMBER(MATCH(DATEVALUE($A258),'recurring1_based on steps'!AL$1:AL$400,0)),AL$2,)</f>
        <v>0</v>
      </c>
      <c r="AM258" s="179">
        <f ca="1">IF(ISNUMBER(MATCH(DATEVALUE($A258),'recurring1_based on steps'!AM$1:AM$400,0)),AM$2,)</f>
        <v>0</v>
      </c>
      <c r="AN258" s="179">
        <f ca="1">IF(ISNUMBER(MATCH(DATEVALUE($A258),'recurring1_based on steps'!AN$1:AN$400,0)),AN$2,)</f>
        <v>0</v>
      </c>
      <c r="AO258" s="179">
        <f ca="1">IF(ISNUMBER(MATCH(DATEVALUE($A258),'recurring1_based on steps'!AO$1:AO$400,0)),AO$2,)</f>
        <v>0</v>
      </c>
      <c r="AP258" s="179">
        <f ca="1">IF(ISNUMBER(MATCH(DATEVALUE($A258),'recurring1_based on steps'!AP$1:AP$400,0)),AP$2,)</f>
        <v>0</v>
      </c>
      <c r="AQ258" s="179">
        <f ca="1">IF(ISNUMBER(MATCH(DATEVALUE($A258),'recurring1_based on steps'!AQ$1:AQ$400,0)),AQ$2,)</f>
        <v>0</v>
      </c>
      <c r="AR258" s="179">
        <f ca="1">IF(ISNUMBER(MATCH(DATEVALUE($A258),'recurring1_based on steps'!AR$1:AR$400,0)),AR$2,)</f>
        <v>0</v>
      </c>
      <c r="AS258" s="179">
        <f ca="1">IF(ISNUMBER(MATCH(DATEVALUE($A258),'recurring1_based on steps'!AS$1:AS$400,0)),AS$2,)</f>
        <v>0</v>
      </c>
      <c r="AT258" s="179">
        <f ca="1">IF(ISNUMBER(MATCH(DATEVALUE($A258),'recurring1_based on steps'!AT$1:AT$400,0)),AT$2,)</f>
        <v>0</v>
      </c>
      <c r="AU258" s="179">
        <f ca="1">IF(ISNUMBER(MATCH(DATEVALUE($A258),'recurring1_based on steps'!AU$1:AU$400,0)),AU$2,)</f>
        <v>0</v>
      </c>
      <c r="AV258" s="179">
        <f ca="1">IF(ISNUMBER(MATCH(DATEVALUE($A258),'recurring1_based on steps'!AV$1:AV$400,0)),AV$2,)</f>
        <v>0</v>
      </c>
      <c r="AW258" s="179">
        <f ca="1">IF(ISNUMBER(MATCH(DATEVALUE($A258),'recurring1_based on steps'!AW$1:AW$400,0)),AW$2,)</f>
        <v>0</v>
      </c>
      <c r="AX258" s="179">
        <f ca="1">IF(ISNUMBER(MATCH(DATEVALUE($A258),'recurring1_based on steps'!AX$1:AX$400,0)),AX$2,)</f>
        <v>0</v>
      </c>
      <c r="AY258" s="179">
        <f ca="1">IF(ISNUMBER(MATCH(DATEVALUE($A258),'recurring1_based on steps'!AY$1:AY$400,0)),AY$2,)</f>
        <v>0</v>
      </c>
    </row>
    <row r="259" spans="1:51" x14ac:dyDescent="0.2">
      <c r="A259" s="32" t="str">
        <f t="shared" ca="1" si="3"/>
        <v>2025-12-17</v>
      </c>
      <c r="B259" s="179">
        <f ca="1">IF(ISNUMBER(MATCH(DATEVALUE($A259),'recurring1_based on steps'!B$1:B$400,0)),B$2,)</f>
        <v>0</v>
      </c>
      <c r="C259" s="179">
        <f ca="1">IF(ISNUMBER(MATCH(DATEVALUE($A259),'recurring1_based on steps'!C$1:C$400,0)),C$2,)</f>
        <v>0</v>
      </c>
      <c r="D259" s="179">
        <f ca="1">IF(ISNUMBER(MATCH(DATEVALUE($A259),'recurring1_based on steps'!D$1:D$400,0)),D$2,)</f>
        <v>0</v>
      </c>
      <c r="E259" s="179">
        <f ca="1">IF(ISNUMBER(MATCH(DATEVALUE($A259),'recurring1_based on steps'!E$1:E$400,0)),E$2,)</f>
        <v>0</v>
      </c>
      <c r="F259" s="179">
        <f ca="1">IF(ISNUMBER(MATCH(DATEVALUE($A259),'recurring1_based on steps'!F$1:F$400,0)),F$2,)</f>
        <v>0</v>
      </c>
      <c r="G259" s="179">
        <f ca="1">IF(ISNUMBER(MATCH(DATEVALUE($A259),'recurring1_based on steps'!G$1:G$400,0)),G$2,)</f>
        <v>0</v>
      </c>
      <c r="H259" s="179">
        <f ca="1">IF(ISNUMBER(MATCH(DATEVALUE($A259),'recurring1_based on steps'!H$1:H$400,0)),H$2,)</f>
        <v>0</v>
      </c>
      <c r="I259" s="179">
        <f ca="1">IF(ISNUMBER(MATCH(DATEVALUE($A259),'recurring1_based on steps'!I$1:I$400,0)),I$2,)</f>
        <v>0</v>
      </c>
      <c r="J259" s="179">
        <f ca="1">IF(ISNUMBER(MATCH(DATEVALUE($A259),'recurring1_based on steps'!J$1:J$400,0)),J$2,)</f>
        <v>0</v>
      </c>
      <c r="K259" s="179">
        <f ca="1">IF(ISNUMBER(MATCH(DATEVALUE($A259),'recurring1_based on steps'!K$1:K$400,0)),K$2,)</f>
        <v>0</v>
      </c>
      <c r="L259" s="179">
        <f ca="1">IF(ISNUMBER(MATCH(DATEVALUE($A259),'recurring1_based on steps'!L$1:L$400,0)),L$2,)</f>
        <v>0</v>
      </c>
      <c r="M259" s="179">
        <f ca="1">IF(ISNUMBER(MATCH(DATEVALUE($A259),'recurring1_based on steps'!M$1:M$400,0)),M$2,)</f>
        <v>0</v>
      </c>
      <c r="N259" s="179">
        <f ca="1">IF(ISNUMBER(MATCH(DATEVALUE($A259),'recurring1_based on steps'!N$1:N$400,0)),N$2,)</f>
        <v>0</v>
      </c>
      <c r="O259" s="179">
        <f ca="1">IF(ISNUMBER(MATCH(DATEVALUE($A259),'recurring1_based on steps'!O$1:O$400,0)),O$2,)</f>
        <v>0</v>
      </c>
      <c r="P259" s="179">
        <f ca="1">IF(ISNUMBER(MATCH(DATEVALUE($A259),'recurring1_based on steps'!P$1:P$400,0)),P$2,)</f>
        <v>0</v>
      </c>
      <c r="Q259" s="179">
        <f ca="1">IF(ISNUMBER(MATCH(DATEVALUE($A259),'recurring1_based on steps'!Q$1:Q$400,0)),Q$2,)</f>
        <v>0</v>
      </c>
      <c r="R259" s="179">
        <f ca="1">IF(ISNUMBER(MATCH(DATEVALUE($A259),'recurring1_based on steps'!R$1:R$400,0)),R$2,)</f>
        <v>0</v>
      </c>
      <c r="S259" s="179">
        <f ca="1">IF(ISNUMBER(MATCH(DATEVALUE($A259),'recurring1_based on steps'!S$1:S$400,0)),S$2,)</f>
        <v>0</v>
      </c>
      <c r="T259" s="179">
        <f ca="1">IF(ISNUMBER(MATCH(DATEVALUE($A259),'recurring1_based on steps'!T$1:T$400,0)),T$2,)</f>
        <v>0</v>
      </c>
      <c r="U259" s="179">
        <f ca="1">IF(ISNUMBER(MATCH(DATEVALUE($A259),'recurring1_based on steps'!U$1:U$400,0)),U$2,)</f>
        <v>0</v>
      </c>
      <c r="V259" s="179">
        <f ca="1">IF(ISNUMBER(MATCH(DATEVALUE($A259),'recurring1_based on steps'!V$1:V$400,0)),V$2,)</f>
        <v>0</v>
      </c>
      <c r="W259" s="179">
        <f ca="1">IF(ISNUMBER(MATCH(DATEVALUE($A259),'recurring1_based on steps'!W$1:W$400,0)),W$2,)</f>
        <v>0</v>
      </c>
      <c r="X259" s="179">
        <f ca="1">IF(ISNUMBER(MATCH(DATEVALUE($A259),'recurring1_based on steps'!X$1:X$400,0)),X$2,)</f>
        <v>0</v>
      </c>
      <c r="Y259" s="179">
        <f ca="1">IF(ISNUMBER(MATCH(DATEVALUE($A259),'recurring1_based on steps'!Y$1:Y$400,0)),Y$2,)</f>
        <v>0</v>
      </c>
      <c r="Z259" s="179">
        <f ca="1">IF(ISNUMBER(MATCH(DATEVALUE($A259),'recurring1_based on steps'!Z$1:Z$400,0)),Z$2,)</f>
        <v>0</v>
      </c>
      <c r="AA259" s="179">
        <f ca="1">IF(ISNUMBER(MATCH(DATEVALUE($A259),'recurring1_based on steps'!AA$1:AA$400,0)),AA$2,)</f>
        <v>0</v>
      </c>
      <c r="AB259" s="179">
        <f ca="1">IF(ISNUMBER(MATCH(DATEVALUE($A259),'recurring1_based on steps'!AB$1:AB$400,0)),AB$2,)</f>
        <v>0</v>
      </c>
      <c r="AC259" s="179">
        <f ca="1">IF(ISNUMBER(MATCH(DATEVALUE($A259),'recurring1_based on steps'!AC$1:AC$400,0)),AC$2,)</f>
        <v>0</v>
      </c>
      <c r="AD259" s="179">
        <f ca="1">IF(ISNUMBER(MATCH(DATEVALUE($A259),'recurring1_based on steps'!AD$1:AD$400,0)),AD$2,)</f>
        <v>0</v>
      </c>
      <c r="AE259" s="179">
        <f ca="1">IF(ISNUMBER(MATCH(DATEVALUE($A259),'recurring1_based on steps'!AE$1:AE$400,0)),AE$2,)</f>
        <v>0</v>
      </c>
      <c r="AF259" s="179">
        <f ca="1">IF(ISNUMBER(MATCH(DATEVALUE($A259),'recurring1_based on steps'!AF$1:AF$400,0)),AF$2,)</f>
        <v>0</v>
      </c>
      <c r="AG259" s="179">
        <f ca="1">IF(ISNUMBER(MATCH(DATEVALUE($A259),'recurring1_based on steps'!AG$1:AG$400,0)),AG$2,)</f>
        <v>0</v>
      </c>
      <c r="AH259" s="179">
        <f ca="1">IF(ISNUMBER(MATCH(DATEVALUE($A259),'recurring1_based on steps'!AH$1:AH$400,0)),AH$2,)</f>
        <v>0</v>
      </c>
      <c r="AI259" s="179">
        <f ca="1">IF(ISNUMBER(MATCH(DATEVALUE($A259),'recurring1_based on steps'!AI$1:AI$400,0)),AI$2,)</f>
        <v>0</v>
      </c>
      <c r="AJ259" s="179">
        <f ca="1">IF(ISNUMBER(MATCH(DATEVALUE($A259),'recurring1_based on steps'!AJ$1:AJ$400,0)),AJ$2,)</f>
        <v>0</v>
      </c>
      <c r="AK259" s="179">
        <f ca="1">IF(ISNUMBER(MATCH(DATEVALUE($A259),'recurring1_based on steps'!AK$1:AK$400,0)),AK$2,)</f>
        <v>0</v>
      </c>
      <c r="AL259" s="179">
        <f ca="1">IF(ISNUMBER(MATCH(DATEVALUE($A259),'recurring1_based on steps'!AL$1:AL$400,0)),AL$2,)</f>
        <v>0</v>
      </c>
      <c r="AM259" s="179">
        <f ca="1">IF(ISNUMBER(MATCH(DATEVALUE($A259),'recurring1_based on steps'!AM$1:AM$400,0)),AM$2,)</f>
        <v>0</v>
      </c>
      <c r="AN259" s="179">
        <f ca="1">IF(ISNUMBER(MATCH(DATEVALUE($A259),'recurring1_based on steps'!AN$1:AN$400,0)),AN$2,)</f>
        <v>0</v>
      </c>
      <c r="AO259" s="179">
        <f ca="1">IF(ISNUMBER(MATCH(DATEVALUE($A259),'recurring1_based on steps'!AO$1:AO$400,0)),AO$2,)</f>
        <v>0</v>
      </c>
      <c r="AP259" s="179">
        <f ca="1">IF(ISNUMBER(MATCH(DATEVALUE($A259),'recurring1_based on steps'!AP$1:AP$400,0)),AP$2,)</f>
        <v>0</v>
      </c>
      <c r="AQ259" s="179">
        <f ca="1">IF(ISNUMBER(MATCH(DATEVALUE($A259),'recurring1_based on steps'!AQ$1:AQ$400,0)),AQ$2,)</f>
        <v>0</v>
      </c>
      <c r="AR259" s="179">
        <f ca="1">IF(ISNUMBER(MATCH(DATEVALUE($A259),'recurring1_based on steps'!AR$1:AR$400,0)),AR$2,)</f>
        <v>0</v>
      </c>
      <c r="AS259" s="179">
        <f ca="1">IF(ISNUMBER(MATCH(DATEVALUE($A259),'recurring1_based on steps'!AS$1:AS$400,0)),AS$2,)</f>
        <v>0</v>
      </c>
      <c r="AT259" s="179">
        <f ca="1">IF(ISNUMBER(MATCH(DATEVALUE($A259),'recurring1_based on steps'!AT$1:AT$400,0)),AT$2,)</f>
        <v>0</v>
      </c>
      <c r="AU259" s="179">
        <f ca="1">IF(ISNUMBER(MATCH(DATEVALUE($A259),'recurring1_based on steps'!AU$1:AU$400,0)),AU$2,)</f>
        <v>0</v>
      </c>
      <c r="AV259" s="179">
        <f ca="1">IF(ISNUMBER(MATCH(DATEVALUE($A259),'recurring1_based on steps'!AV$1:AV$400,0)),AV$2,)</f>
        <v>0</v>
      </c>
      <c r="AW259" s="179">
        <f ca="1">IF(ISNUMBER(MATCH(DATEVALUE($A259),'recurring1_based on steps'!AW$1:AW$400,0)),AW$2,)</f>
        <v>0</v>
      </c>
      <c r="AX259" s="179">
        <f ca="1">IF(ISNUMBER(MATCH(DATEVALUE($A259),'recurring1_based on steps'!AX$1:AX$400,0)),AX$2,)</f>
        <v>0</v>
      </c>
      <c r="AY259" s="179">
        <f ca="1">IF(ISNUMBER(MATCH(DATEVALUE($A259),'recurring1_based on steps'!AY$1:AY$400,0)),AY$2,)</f>
        <v>0</v>
      </c>
    </row>
    <row r="260" spans="1:51" x14ac:dyDescent="0.2">
      <c r="A260" s="32" t="str">
        <f t="shared" ca="1" si="3"/>
        <v>2025-12-18</v>
      </c>
      <c r="B260" s="179">
        <f ca="1">IF(ISNUMBER(MATCH(DATEVALUE($A260),'recurring1_based on steps'!B$1:B$400,0)),B$2,)</f>
        <v>0</v>
      </c>
      <c r="C260" s="179">
        <f ca="1">IF(ISNUMBER(MATCH(DATEVALUE($A260),'recurring1_based on steps'!C$1:C$400,0)),C$2,)</f>
        <v>0</v>
      </c>
      <c r="D260" s="179">
        <f ca="1">IF(ISNUMBER(MATCH(DATEVALUE($A260),'recurring1_based on steps'!D$1:D$400,0)),D$2,)</f>
        <v>0</v>
      </c>
      <c r="E260" s="179">
        <f ca="1">IF(ISNUMBER(MATCH(DATEVALUE($A260),'recurring1_based on steps'!E$1:E$400,0)),E$2,)</f>
        <v>0</v>
      </c>
      <c r="F260" s="179">
        <f ca="1">IF(ISNUMBER(MATCH(DATEVALUE($A260),'recurring1_based on steps'!F$1:F$400,0)),F$2,)</f>
        <v>0</v>
      </c>
      <c r="G260" s="179">
        <f ca="1">IF(ISNUMBER(MATCH(DATEVALUE($A260),'recurring1_based on steps'!G$1:G$400,0)),G$2,)</f>
        <v>0</v>
      </c>
      <c r="H260" s="179">
        <f ca="1">IF(ISNUMBER(MATCH(DATEVALUE($A260),'recurring1_based on steps'!H$1:H$400,0)),H$2,)</f>
        <v>0</v>
      </c>
      <c r="I260" s="179">
        <f ca="1">IF(ISNUMBER(MATCH(DATEVALUE($A260),'recurring1_based on steps'!I$1:I$400,0)),I$2,)</f>
        <v>0</v>
      </c>
      <c r="J260" s="179">
        <f ca="1">IF(ISNUMBER(MATCH(DATEVALUE($A260),'recurring1_based on steps'!J$1:J$400,0)),J$2,)</f>
        <v>0</v>
      </c>
      <c r="K260" s="179">
        <f ca="1">IF(ISNUMBER(MATCH(DATEVALUE($A260),'recurring1_based on steps'!K$1:K$400,0)),K$2,)</f>
        <v>0</v>
      </c>
      <c r="L260" s="179">
        <f ca="1">IF(ISNUMBER(MATCH(DATEVALUE($A260),'recurring1_based on steps'!L$1:L$400,0)),L$2,)</f>
        <v>0</v>
      </c>
      <c r="M260" s="179">
        <f ca="1">IF(ISNUMBER(MATCH(DATEVALUE($A260),'recurring1_based on steps'!M$1:M$400,0)),M$2,)</f>
        <v>0</v>
      </c>
      <c r="N260" s="179">
        <f ca="1">IF(ISNUMBER(MATCH(DATEVALUE($A260),'recurring1_based on steps'!N$1:N$400,0)),N$2,)</f>
        <v>0</v>
      </c>
      <c r="O260" s="179">
        <f ca="1">IF(ISNUMBER(MATCH(DATEVALUE($A260),'recurring1_based on steps'!O$1:O$400,0)),O$2,)</f>
        <v>0</v>
      </c>
      <c r="P260" s="179">
        <f ca="1">IF(ISNUMBER(MATCH(DATEVALUE($A260),'recurring1_based on steps'!P$1:P$400,0)),P$2,)</f>
        <v>0</v>
      </c>
      <c r="Q260" s="179">
        <f ca="1">IF(ISNUMBER(MATCH(DATEVALUE($A260),'recurring1_based on steps'!Q$1:Q$400,0)),Q$2,)</f>
        <v>0</v>
      </c>
      <c r="R260" s="179">
        <f ca="1">IF(ISNUMBER(MATCH(DATEVALUE($A260),'recurring1_based on steps'!R$1:R$400,0)),R$2,)</f>
        <v>0</v>
      </c>
      <c r="S260" s="179">
        <f ca="1">IF(ISNUMBER(MATCH(DATEVALUE($A260),'recurring1_based on steps'!S$1:S$400,0)),S$2,)</f>
        <v>0</v>
      </c>
      <c r="T260" s="179">
        <f ca="1">IF(ISNUMBER(MATCH(DATEVALUE($A260),'recurring1_based on steps'!T$1:T$400,0)),T$2,)</f>
        <v>0</v>
      </c>
      <c r="U260" s="179">
        <f ca="1">IF(ISNUMBER(MATCH(DATEVALUE($A260),'recurring1_based on steps'!U$1:U$400,0)),U$2,)</f>
        <v>0</v>
      </c>
      <c r="V260" s="179">
        <f ca="1">IF(ISNUMBER(MATCH(DATEVALUE($A260),'recurring1_based on steps'!V$1:V$400,0)),V$2,)</f>
        <v>0</v>
      </c>
      <c r="W260" s="179">
        <f ca="1">IF(ISNUMBER(MATCH(DATEVALUE($A260),'recurring1_based on steps'!W$1:W$400,0)),W$2,)</f>
        <v>0</v>
      </c>
      <c r="X260" s="179">
        <f ca="1">IF(ISNUMBER(MATCH(DATEVALUE($A260),'recurring1_based on steps'!X$1:X$400,0)),X$2,)</f>
        <v>0</v>
      </c>
      <c r="Y260" s="179">
        <f ca="1">IF(ISNUMBER(MATCH(DATEVALUE($A260),'recurring1_based on steps'!Y$1:Y$400,0)),Y$2,)</f>
        <v>0</v>
      </c>
      <c r="Z260" s="179">
        <f ca="1">IF(ISNUMBER(MATCH(DATEVALUE($A260),'recurring1_based on steps'!Z$1:Z$400,0)),Z$2,)</f>
        <v>0</v>
      </c>
      <c r="AA260" s="179">
        <f ca="1">IF(ISNUMBER(MATCH(DATEVALUE($A260),'recurring1_based on steps'!AA$1:AA$400,0)),AA$2,)</f>
        <v>0</v>
      </c>
      <c r="AB260" s="179">
        <f ca="1">IF(ISNUMBER(MATCH(DATEVALUE($A260),'recurring1_based on steps'!AB$1:AB$400,0)),AB$2,)</f>
        <v>0</v>
      </c>
      <c r="AC260" s="179">
        <f ca="1">IF(ISNUMBER(MATCH(DATEVALUE($A260),'recurring1_based on steps'!AC$1:AC$400,0)),AC$2,)</f>
        <v>0</v>
      </c>
      <c r="AD260" s="179">
        <f ca="1">IF(ISNUMBER(MATCH(DATEVALUE($A260),'recurring1_based on steps'!AD$1:AD$400,0)),AD$2,)</f>
        <v>0</v>
      </c>
      <c r="AE260" s="179">
        <f ca="1">IF(ISNUMBER(MATCH(DATEVALUE($A260),'recurring1_based on steps'!AE$1:AE$400,0)),AE$2,)</f>
        <v>0</v>
      </c>
      <c r="AF260" s="179">
        <f ca="1">IF(ISNUMBER(MATCH(DATEVALUE($A260),'recurring1_based on steps'!AF$1:AF$400,0)),AF$2,)</f>
        <v>0</v>
      </c>
      <c r="AG260" s="179">
        <f ca="1">IF(ISNUMBER(MATCH(DATEVALUE($A260),'recurring1_based on steps'!AG$1:AG$400,0)),AG$2,)</f>
        <v>0</v>
      </c>
      <c r="AH260" s="179">
        <f ca="1">IF(ISNUMBER(MATCH(DATEVALUE($A260),'recurring1_based on steps'!AH$1:AH$400,0)),AH$2,)</f>
        <v>0</v>
      </c>
      <c r="AI260" s="179">
        <f ca="1">IF(ISNUMBER(MATCH(DATEVALUE($A260),'recurring1_based on steps'!AI$1:AI$400,0)),AI$2,)</f>
        <v>0</v>
      </c>
      <c r="AJ260" s="179">
        <f ca="1">IF(ISNUMBER(MATCH(DATEVALUE($A260),'recurring1_based on steps'!AJ$1:AJ$400,0)),AJ$2,)</f>
        <v>0</v>
      </c>
      <c r="AK260" s="179">
        <f ca="1">IF(ISNUMBER(MATCH(DATEVALUE($A260),'recurring1_based on steps'!AK$1:AK$400,0)),AK$2,)</f>
        <v>0</v>
      </c>
      <c r="AL260" s="179">
        <f ca="1">IF(ISNUMBER(MATCH(DATEVALUE($A260),'recurring1_based on steps'!AL$1:AL$400,0)),AL$2,)</f>
        <v>0</v>
      </c>
      <c r="AM260" s="179">
        <f ca="1">IF(ISNUMBER(MATCH(DATEVALUE($A260),'recurring1_based on steps'!AM$1:AM$400,0)),AM$2,)</f>
        <v>0</v>
      </c>
      <c r="AN260" s="179">
        <f ca="1">IF(ISNUMBER(MATCH(DATEVALUE($A260),'recurring1_based on steps'!AN$1:AN$400,0)),AN$2,)</f>
        <v>0</v>
      </c>
      <c r="AO260" s="179">
        <f ca="1">IF(ISNUMBER(MATCH(DATEVALUE($A260),'recurring1_based on steps'!AO$1:AO$400,0)),AO$2,)</f>
        <v>0</v>
      </c>
      <c r="AP260" s="179">
        <f ca="1">IF(ISNUMBER(MATCH(DATEVALUE($A260),'recurring1_based on steps'!AP$1:AP$400,0)),AP$2,)</f>
        <v>0</v>
      </c>
      <c r="AQ260" s="179">
        <f ca="1">IF(ISNUMBER(MATCH(DATEVALUE($A260),'recurring1_based on steps'!AQ$1:AQ$400,0)),AQ$2,)</f>
        <v>0</v>
      </c>
      <c r="AR260" s="179">
        <f ca="1">IF(ISNUMBER(MATCH(DATEVALUE($A260),'recurring1_based on steps'!AR$1:AR$400,0)),AR$2,)</f>
        <v>0</v>
      </c>
      <c r="AS260" s="179">
        <f ca="1">IF(ISNUMBER(MATCH(DATEVALUE($A260),'recurring1_based on steps'!AS$1:AS$400,0)),AS$2,)</f>
        <v>0</v>
      </c>
      <c r="AT260" s="179">
        <f ca="1">IF(ISNUMBER(MATCH(DATEVALUE($A260),'recurring1_based on steps'!AT$1:AT$400,0)),AT$2,)</f>
        <v>0</v>
      </c>
      <c r="AU260" s="179">
        <f ca="1">IF(ISNUMBER(MATCH(DATEVALUE($A260),'recurring1_based on steps'!AU$1:AU$400,0)),AU$2,)</f>
        <v>0</v>
      </c>
      <c r="AV260" s="179">
        <f ca="1">IF(ISNUMBER(MATCH(DATEVALUE($A260),'recurring1_based on steps'!AV$1:AV$400,0)),AV$2,)</f>
        <v>0</v>
      </c>
      <c r="AW260" s="179">
        <f ca="1">IF(ISNUMBER(MATCH(DATEVALUE($A260),'recurring1_based on steps'!AW$1:AW$400,0)),AW$2,)</f>
        <v>0</v>
      </c>
      <c r="AX260" s="179">
        <f ca="1">IF(ISNUMBER(MATCH(DATEVALUE($A260),'recurring1_based on steps'!AX$1:AX$400,0)),AX$2,)</f>
        <v>0</v>
      </c>
      <c r="AY260" s="179">
        <f ca="1">IF(ISNUMBER(MATCH(DATEVALUE($A260),'recurring1_based on steps'!AY$1:AY$400,0)),AY$2,)</f>
        <v>0</v>
      </c>
    </row>
    <row r="261" spans="1:51" x14ac:dyDescent="0.2">
      <c r="A261" s="32" t="str">
        <f t="shared" ref="A261:A324" ca="1" si="4">TEXT(DATEVALUE(A260)+1,"yyyy-mm-dd")</f>
        <v>2025-12-19</v>
      </c>
      <c r="B261" s="179">
        <f ca="1">IF(ISNUMBER(MATCH(DATEVALUE($A261),'recurring1_based on steps'!B$1:B$400,0)),B$2,)</f>
        <v>0</v>
      </c>
      <c r="C261" s="179">
        <f ca="1">IF(ISNUMBER(MATCH(DATEVALUE($A261),'recurring1_based on steps'!C$1:C$400,0)),C$2,)</f>
        <v>0</v>
      </c>
      <c r="D261" s="179">
        <f ca="1">IF(ISNUMBER(MATCH(DATEVALUE($A261),'recurring1_based on steps'!D$1:D$400,0)),D$2,)</f>
        <v>0</v>
      </c>
      <c r="E261" s="179">
        <f ca="1">IF(ISNUMBER(MATCH(DATEVALUE($A261),'recurring1_based on steps'!E$1:E$400,0)),E$2,)</f>
        <v>0</v>
      </c>
      <c r="F261" s="179">
        <f ca="1">IF(ISNUMBER(MATCH(DATEVALUE($A261),'recurring1_based on steps'!F$1:F$400,0)),F$2,)</f>
        <v>0</v>
      </c>
      <c r="G261" s="179">
        <f ca="1">IF(ISNUMBER(MATCH(DATEVALUE($A261),'recurring1_based on steps'!G$1:G$400,0)),G$2,)</f>
        <v>0</v>
      </c>
      <c r="H261" s="179">
        <f ca="1">IF(ISNUMBER(MATCH(DATEVALUE($A261),'recurring1_based on steps'!H$1:H$400,0)),H$2,)</f>
        <v>0</v>
      </c>
      <c r="I261" s="179">
        <f ca="1">IF(ISNUMBER(MATCH(DATEVALUE($A261),'recurring1_based on steps'!I$1:I$400,0)),I$2,)</f>
        <v>0</v>
      </c>
      <c r="J261" s="179">
        <f ca="1">IF(ISNUMBER(MATCH(DATEVALUE($A261),'recurring1_based on steps'!J$1:J$400,0)),J$2,)</f>
        <v>0</v>
      </c>
      <c r="K261" s="179">
        <f ca="1">IF(ISNUMBER(MATCH(DATEVALUE($A261),'recurring1_based on steps'!K$1:K$400,0)),K$2,)</f>
        <v>0</v>
      </c>
      <c r="L261" s="179">
        <f ca="1">IF(ISNUMBER(MATCH(DATEVALUE($A261),'recurring1_based on steps'!L$1:L$400,0)),L$2,)</f>
        <v>0</v>
      </c>
      <c r="M261" s="179">
        <f ca="1">IF(ISNUMBER(MATCH(DATEVALUE($A261),'recurring1_based on steps'!M$1:M$400,0)),M$2,)</f>
        <v>0</v>
      </c>
      <c r="N261" s="179">
        <f ca="1">IF(ISNUMBER(MATCH(DATEVALUE($A261),'recurring1_based on steps'!N$1:N$400,0)),N$2,)</f>
        <v>0</v>
      </c>
      <c r="O261" s="179">
        <f ca="1">IF(ISNUMBER(MATCH(DATEVALUE($A261),'recurring1_based on steps'!O$1:O$400,0)),O$2,)</f>
        <v>0</v>
      </c>
      <c r="P261" s="179">
        <f ca="1">IF(ISNUMBER(MATCH(DATEVALUE($A261),'recurring1_based on steps'!P$1:P$400,0)),P$2,)</f>
        <v>0</v>
      </c>
      <c r="Q261" s="179">
        <f ca="1">IF(ISNUMBER(MATCH(DATEVALUE($A261),'recurring1_based on steps'!Q$1:Q$400,0)),Q$2,)</f>
        <v>0</v>
      </c>
      <c r="R261" s="179">
        <f ca="1">IF(ISNUMBER(MATCH(DATEVALUE($A261),'recurring1_based on steps'!R$1:R$400,0)),R$2,)</f>
        <v>0</v>
      </c>
      <c r="S261" s="179">
        <f ca="1">IF(ISNUMBER(MATCH(DATEVALUE($A261),'recurring1_based on steps'!S$1:S$400,0)),S$2,)</f>
        <v>0</v>
      </c>
      <c r="T261" s="179">
        <f ca="1">IF(ISNUMBER(MATCH(DATEVALUE($A261),'recurring1_based on steps'!T$1:T$400,0)),T$2,)</f>
        <v>0</v>
      </c>
      <c r="U261" s="179">
        <f ca="1">IF(ISNUMBER(MATCH(DATEVALUE($A261),'recurring1_based on steps'!U$1:U$400,0)),U$2,)</f>
        <v>0</v>
      </c>
      <c r="V261" s="179">
        <f ca="1">IF(ISNUMBER(MATCH(DATEVALUE($A261),'recurring1_based on steps'!V$1:V$400,0)),V$2,)</f>
        <v>0</v>
      </c>
      <c r="W261" s="179">
        <f ca="1">IF(ISNUMBER(MATCH(DATEVALUE($A261),'recurring1_based on steps'!W$1:W$400,0)),W$2,)</f>
        <v>0</v>
      </c>
      <c r="X261" s="179">
        <f ca="1">IF(ISNUMBER(MATCH(DATEVALUE($A261),'recurring1_based on steps'!X$1:X$400,0)),X$2,)</f>
        <v>0</v>
      </c>
      <c r="Y261" s="179">
        <f ca="1">IF(ISNUMBER(MATCH(DATEVALUE($A261),'recurring1_based on steps'!Y$1:Y$400,0)),Y$2,)</f>
        <v>0</v>
      </c>
      <c r="Z261" s="179">
        <f ca="1">IF(ISNUMBER(MATCH(DATEVALUE($A261),'recurring1_based on steps'!Z$1:Z$400,0)),Z$2,)</f>
        <v>0</v>
      </c>
      <c r="AA261" s="179">
        <f ca="1">IF(ISNUMBER(MATCH(DATEVALUE($A261),'recurring1_based on steps'!AA$1:AA$400,0)),AA$2,)</f>
        <v>0</v>
      </c>
      <c r="AB261" s="179">
        <f ca="1">IF(ISNUMBER(MATCH(DATEVALUE($A261),'recurring1_based on steps'!AB$1:AB$400,0)),AB$2,)</f>
        <v>0</v>
      </c>
      <c r="AC261" s="179">
        <f ca="1">IF(ISNUMBER(MATCH(DATEVALUE($A261),'recurring1_based on steps'!AC$1:AC$400,0)),AC$2,)</f>
        <v>0</v>
      </c>
      <c r="AD261" s="179">
        <f ca="1">IF(ISNUMBER(MATCH(DATEVALUE($A261),'recurring1_based on steps'!AD$1:AD$400,0)),AD$2,)</f>
        <v>0</v>
      </c>
      <c r="AE261" s="179">
        <f ca="1">IF(ISNUMBER(MATCH(DATEVALUE($A261),'recurring1_based on steps'!AE$1:AE$400,0)),AE$2,)</f>
        <v>0</v>
      </c>
      <c r="AF261" s="179">
        <f ca="1">IF(ISNUMBER(MATCH(DATEVALUE($A261),'recurring1_based on steps'!AF$1:AF$400,0)),AF$2,)</f>
        <v>0</v>
      </c>
      <c r="AG261" s="179">
        <f ca="1">IF(ISNUMBER(MATCH(DATEVALUE($A261),'recurring1_based on steps'!AG$1:AG$400,0)),AG$2,)</f>
        <v>0</v>
      </c>
      <c r="AH261" s="179">
        <f ca="1">IF(ISNUMBER(MATCH(DATEVALUE($A261),'recurring1_based on steps'!AH$1:AH$400,0)),AH$2,)</f>
        <v>0</v>
      </c>
      <c r="AI261" s="179">
        <f ca="1">IF(ISNUMBER(MATCH(DATEVALUE($A261),'recurring1_based on steps'!AI$1:AI$400,0)),AI$2,)</f>
        <v>0</v>
      </c>
      <c r="AJ261" s="179">
        <f ca="1">IF(ISNUMBER(MATCH(DATEVALUE($A261),'recurring1_based on steps'!AJ$1:AJ$400,0)),AJ$2,)</f>
        <v>0</v>
      </c>
      <c r="AK261" s="179">
        <f ca="1">IF(ISNUMBER(MATCH(DATEVALUE($A261),'recurring1_based on steps'!AK$1:AK$400,0)),AK$2,)</f>
        <v>0</v>
      </c>
      <c r="AL261" s="179">
        <f ca="1">IF(ISNUMBER(MATCH(DATEVALUE($A261),'recurring1_based on steps'!AL$1:AL$400,0)),AL$2,)</f>
        <v>0</v>
      </c>
      <c r="AM261" s="179">
        <f ca="1">IF(ISNUMBER(MATCH(DATEVALUE($A261),'recurring1_based on steps'!AM$1:AM$400,0)),AM$2,)</f>
        <v>0</v>
      </c>
      <c r="AN261" s="179">
        <f ca="1">IF(ISNUMBER(MATCH(DATEVALUE($A261),'recurring1_based on steps'!AN$1:AN$400,0)),AN$2,)</f>
        <v>0</v>
      </c>
      <c r="AO261" s="179">
        <f ca="1">IF(ISNUMBER(MATCH(DATEVALUE($A261),'recurring1_based on steps'!AO$1:AO$400,0)),AO$2,)</f>
        <v>0</v>
      </c>
      <c r="AP261" s="179">
        <f ca="1">IF(ISNUMBER(MATCH(DATEVALUE($A261),'recurring1_based on steps'!AP$1:AP$400,0)),AP$2,)</f>
        <v>0</v>
      </c>
      <c r="AQ261" s="179">
        <f ca="1">IF(ISNUMBER(MATCH(DATEVALUE($A261),'recurring1_based on steps'!AQ$1:AQ$400,0)),AQ$2,)</f>
        <v>0</v>
      </c>
      <c r="AR261" s="179">
        <f ca="1">IF(ISNUMBER(MATCH(DATEVALUE($A261),'recurring1_based on steps'!AR$1:AR$400,0)),AR$2,)</f>
        <v>0</v>
      </c>
      <c r="AS261" s="179">
        <f ca="1">IF(ISNUMBER(MATCH(DATEVALUE($A261),'recurring1_based on steps'!AS$1:AS$400,0)),AS$2,)</f>
        <v>0</v>
      </c>
      <c r="AT261" s="179">
        <f ca="1">IF(ISNUMBER(MATCH(DATEVALUE($A261),'recurring1_based on steps'!AT$1:AT$400,0)),AT$2,)</f>
        <v>0</v>
      </c>
      <c r="AU261" s="179">
        <f ca="1">IF(ISNUMBER(MATCH(DATEVALUE($A261),'recurring1_based on steps'!AU$1:AU$400,0)),AU$2,)</f>
        <v>0</v>
      </c>
      <c r="AV261" s="179">
        <f ca="1">IF(ISNUMBER(MATCH(DATEVALUE($A261),'recurring1_based on steps'!AV$1:AV$400,0)),AV$2,)</f>
        <v>0</v>
      </c>
      <c r="AW261" s="179">
        <f ca="1">IF(ISNUMBER(MATCH(DATEVALUE($A261),'recurring1_based on steps'!AW$1:AW$400,0)),AW$2,)</f>
        <v>0</v>
      </c>
      <c r="AX261" s="179">
        <f ca="1">IF(ISNUMBER(MATCH(DATEVALUE($A261),'recurring1_based on steps'!AX$1:AX$400,0)),AX$2,)</f>
        <v>0</v>
      </c>
      <c r="AY261" s="179">
        <f ca="1">IF(ISNUMBER(MATCH(DATEVALUE($A261),'recurring1_based on steps'!AY$1:AY$400,0)),AY$2,)</f>
        <v>0</v>
      </c>
    </row>
    <row r="262" spans="1:51" x14ac:dyDescent="0.2">
      <c r="A262" s="32" t="str">
        <f t="shared" ca="1" si="4"/>
        <v>2025-12-20</v>
      </c>
      <c r="B262" s="179">
        <f ca="1">IF(ISNUMBER(MATCH(DATEVALUE($A262),'recurring1_based on steps'!B$1:B$400,0)),B$2,)</f>
        <v>0</v>
      </c>
      <c r="C262" s="179">
        <f ca="1">IF(ISNUMBER(MATCH(DATEVALUE($A262),'recurring1_based on steps'!C$1:C$400,0)),C$2,)</f>
        <v>0</v>
      </c>
      <c r="D262" s="179">
        <f ca="1">IF(ISNUMBER(MATCH(DATEVALUE($A262),'recurring1_based on steps'!D$1:D$400,0)),D$2,)</f>
        <v>0</v>
      </c>
      <c r="E262" s="179">
        <f ca="1">IF(ISNUMBER(MATCH(DATEVALUE($A262),'recurring1_based on steps'!E$1:E$400,0)),E$2,)</f>
        <v>0</v>
      </c>
      <c r="F262" s="179">
        <f ca="1">IF(ISNUMBER(MATCH(DATEVALUE($A262),'recurring1_based on steps'!F$1:F$400,0)),F$2,)</f>
        <v>0</v>
      </c>
      <c r="G262" s="179">
        <f ca="1">IF(ISNUMBER(MATCH(DATEVALUE($A262),'recurring1_based on steps'!G$1:G$400,0)),G$2,)</f>
        <v>0</v>
      </c>
      <c r="H262" s="179">
        <f ca="1">IF(ISNUMBER(MATCH(DATEVALUE($A262),'recurring1_based on steps'!H$1:H$400,0)),H$2,)</f>
        <v>0</v>
      </c>
      <c r="I262" s="179">
        <f ca="1">IF(ISNUMBER(MATCH(DATEVALUE($A262),'recurring1_based on steps'!I$1:I$400,0)),I$2,)</f>
        <v>0</v>
      </c>
      <c r="J262" s="179">
        <f ca="1">IF(ISNUMBER(MATCH(DATEVALUE($A262),'recurring1_based on steps'!J$1:J$400,0)),J$2,)</f>
        <v>0</v>
      </c>
      <c r="K262" s="179">
        <f ca="1">IF(ISNUMBER(MATCH(DATEVALUE($A262),'recurring1_based on steps'!K$1:K$400,0)),K$2,)</f>
        <v>0</v>
      </c>
      <c r="L262" s="179">
        <f ca="1">IF(ISNUMBER(MATCH(DATEVALUE($A262),'recurring1_based on steps'!L$1:L$400,0)),L$2,)</f>
        <v>0</v>
      </c>
      <c r="M262" s="179">
        <f ca="1">IF(ISNUMBER(MATCH(DATEVALUE($A262),'recurring1_based on steps'!M$1:M$400,0)),M$2,)</f>
        <v>0</v>
      </c>
      <c r="N262" s="179">
        <f ca="1">IF(ISNUMBER(MATCH(DATEVALUE($A262),'recurring1_based on steps'!N$1:N$400,0)),N$2,)</f>
        <v>0</v>
      </c>
      <c r="O262" s="179">
        <f ca="1">IF(ISNUMBER(MATCH(DATEVALUE($A262),'recurring1_based on steps'!O$1:O$400,0)),O$2,)</f>
        <v>0</v>
      </c>
      <c r="P262" s="179">
        <f ca="1">IF(ISNUMBER(MATCH(DATEVALUE($A262),'recurring1_based on steps'!P$1:P$400,0)),P$2,)</f>
        <v>0</v>
      </c>
      <c r="Q262" s="179">
        <f ca="1">IF(ISNUMBER(MATCH(DATEVALUE($A262),'recurring1_based on steps'!Q$1:Q$400,0)),Q$2,)</f>
        <v>0</v>
      </c>
      <c r="R262" s="179">
        <f ca="1">IF(ISNUMBER(MATCH(DATEVALUE($A262),'recurring1_based on steps'!R$1:R$400,0)),R$2,)</f>
        <v>0</v>
      </c>
      <c r="S262" s="179">
        <f ca="1">IF(ISNUMBER(MATCH(DATEVALUE($A262),'recurring1_based on steps'!S$1:S$400,0)),S$2,)</f>
        <v>0</v>
      </c>
      <c r="T262" s="179">
        <f ca="1">IF(ISNUMBER(MATCH(DATEVALUE($A262),'recurring1_based on steps'!T$1:T$400,0)),T$2,)</f>
        <v>0</v>
      </c>
      <c r="U262" s="179">
        <f ca="1">IF(ISNUMBER(MATCH(DATEVALUE($A262),'recurring1_based on steps'!U$1:U$400,0)),U$2,)</f>
        <v>0</v>
      </c>
      <c r="V262" s="179">
        <f ca="1">IF(ISNUMBER(MATCH(DATEVALUE($A262),'recurring1_based on steps'!V$1:V$400,0)),V$2,)</f>
        <v>0</v>
      </c>
      <c r="W262" s="179">
        <f ca="1">IF(ISNUMBER(MATCH(DATEVALUE($A262),'recurring1_based on steps'!W$1:W$400,0)),W$2,)</f>
        <v>0</v>
      </c>
      <c r="X262" s="179">
        <f ca="1">IF(ISNUMBER(MATCH(DATEVALUE($A262),'recurring1_based on steps'!X$1:X$400,0)),X$2,)</f>
        <v>0</v>
      </c>
      <c r="Y262" s="179">
        <f ca="1">IF(ISNUMBER(MATCH(DATEVALUE($A262),'recurring1_based on steps'!Y$1:Y$400,0)),Y$2,)</f>
        <v>0</v>
      </c>
      <c r="Z262" s="179">
        <f ca="1">IF(ISNUMBER(MATCH(DATEVALUE($A262),'recurring1_based on steps'!Z$1:Z$400,0)),Z$2,)</f>
        <v>0</v>
      </c>
      <c r="AA262" s="179">
        <f ca="1">IF(ISNUMBER(MATCH(DATEVALUE($A262),'recurring1_based on steps'!AA$1:AA$400,0)),AA$2,)</f>
        <v>0</v>
      </c>
      <c r="AB262" s="179">
        <f ca="1">IF(ISNUMBER(MATCH(DATEVALUE($A262),'recurring1_based on steps'!AB$1:AB$400,0)),AB$2,)</f>
        <v>0</v>
      </c>
      <c r="AC262" s="179">
        <f ca="1">IF(ISNUMBER(MATCH(DATEVALUE($A262),'recurring1_based on steps'!AC$1:AC$400,0)),AC$2,)</f>
        <v>0</v>
      </c>
      <c r="AD262" s="179">
        <f ca="1">IF(ISNUMBER(MATCH(DATEVALUE($A262),'recurring1_based on steps'!AD$1:AD$400,0)),AD$2,)</f>
        <v>0</v>
      </c>
      <c r="AE262" s="179">
        <f ca="1">IF(ISNUMBER(MATCH(DATEVALUE($A262),'recurring1_based on steps'!AE$1:AE$400,0)),AE$2,)</f>
        <v>0</v>
      </c>
      <c r="AF262" s="179">
        <f ca="1">IF(ISNUMBER(MATCH(DATEVALUE($A262),'recurring1_based on steps'!AF$1:AF$400,0)),AF$2,)</f>
        <v>0</v>
      </c>
      <c r="AG262" s="179">
        <f ca="1">IF(ISNUMBER(MATCH(DATEVALUE($A262),'recurring1_based on steps'!AG$1:AG$400,0)),AG$2,)</f>
        <v>0</v>
      </c>
      <c r="AH262" s="179">
        <f ca="1">IF(ISNUMBER(MATCH(DATEVALUE($A262),'recurring1_based on steps'!AH$1:AH$400,0)),AH$2,)</f>
        <v>0</v>
      </c>
      <c r="AI262" s="179">
        <f ca="1">IF(ISNUMBER(MATCH(DATEVALUE($A262),'recurring1_based on steps'!AI$1:AI$400,0)),AI$2,)</f>
        <v>0</v>
      </c>
      <c r="AJ262" s="179">
        <f ca="1">IF(ISNUMBER(MATCH(DATEVALUE($A262),'recurring1_based on steps'!AJ$1:AJ$400,0)),AJ$2,)</f>
        <v>0</v>
      </c>
      <c r="AK262" s="179">
        <f ca="1">IF(ISNUMBER(MATCH(DATEVALUE($A262),'recurring1_based on steps'!AK$1:AK$400,0)),AK$2,)</f>
        <v>0</v>
      </c>
      <c r="AL262" s="179">
        <f ca="1">IF(ISNUMBER(MATCH(DATEVALUE($A262),'recurring1_based on steps'!AL$1:AL$400,0)),AL$2,)</f>
        <v>0</v>
      </c>
      <c r="AM262" s="179">
        <f ca="1">IF(ISNUMBER(MATCH(DATEVALUE($A262),'recurring1_based on steps'!AM$1:AM$400,0)),AM$2,)</f>
        <v>0</v>
      </c>
      <c r="AN262" s="179">
        <f ca="1">IF(ISNUMBER(MATCH(DATEVALUE($A262),'recurring1_based on steps'!AN$1:AN$400,0)),AN$2,)</f>
        <v>0</v>
      </c>
      <c r="AO262" s="179">
        <f ca="1">IF(ISNUMBER(MATCH(DATEVALUE($A262),'recurring1_based on steps'!AO$1:AO$400,0)),AO$2,)</f>
        <v>0</v>
      </c>
      <c r="AP262" s="179">
        <f ca="1">IF(ISNUMBER(MATCH(DATEVALUE($A262),'recurring1_based on steps'!AP$1:AP$400,0)),AP$2,)</f>
        <v>0</v>
      </c>
      <c r="AQ262" s="179">
        <f ca="1">IF(ISNUMBER(MATCH(DATEVALUE($A262),'recurring1_based on steps'!AQ$1:AQ$400,0)),AQ$2,)</f>
        <v>0</v>
      </c>
      <c r="AR262" s="179">
        <f ca="1">IF(ISNUMBER(MATCH(DATEVALUE($A262),'recurring1_based on steps'!AR$1:AR$400,0)),AR$2,)</f>
        <v>0</v>
      </c>
      <c r="AS262" s="179">
        <f ca="1">IF(ISNUMBER(MATCH(DATEVALUE($A262),'recurring1_based on steps'!AS$1:AS$400,0)),AS$2,)</f>
        <v>0</v>
      </c>
      <c r="AT262" s="179">
        <f ca="1">IF(ISNUMBER(MATCH(DATEVALUE($A262),'recurring1_based on steps'!AT$1:AT$400,0)),AT$2,)</f>
        <v>0</v>
      </c>
      <c r="AU262" s="179">
        <f ca="1">IF(ISNUMBER(MATCH(DATEVALUE($A262),'recurring1_based on steps'!AU$1:AU$400,0)),AU$2,)</f>
        <v>0</v>
      </c>
      <c r="AV262" s="179">
        <f ca="1">IF(ISNUMBER(MATCH(DATEVALUE($A262),'recurring1_based on steps'!AV$1:AV$400,0)),AV$2,)</f>
        <v>0</v>
      </c>
      <c r="AW262" s="179">
        <f ca="1">IF(ISNUMBER(MATCH(DATEVALUE($A262),'recurring1_based on steps'!AW$1:AW$400,0)),AW$2,)</f>
        <v>0</v>
      </c>
      <c r="AX262" s="179">
        <f ca="1">IF(ISNUMBER(MATCH(DATEVALUE($A262),'recurring1_based on steps'!AX$1:AX$400,0)),AX$2,)</f>
        <v>0</v>
      </c>
      <c r="AY262" s="179">
        <f ca="1">IF(ISNUMBER(MATCH(DATEVALUE($A262),'recurring1_based on steps'!AY$1:AY$400,0)),AY$2,)</f>
        <v>0</v>
      </c>
    </row>
    <row r="263" spans="1:51" x14ac:dyDescent="0.2">
      <c r="A263" s="32" t="str">
        <f t="shared" ca="1" si="4"/>
        <v>2025-12-21</v>
      </c>
      <c r="B263" s="179">
        <f ca="1">IF(ISNUMBER(MATCH(DATEVALUE($A263),'recurring1_based on steps'!B$1:B$400,0)),B$2,)</f>
        <v>0</v>
      </c>
      <c r="C263" s="179">
        <f ca="1">IF(ISNUMBER(MATCH(DATEVALUE($A263),'recurring1_based on steps'!C$1:C$400,0)),C$2,)</f>
        <v>0</v>
      </c>
      <c r="D263" s="179">
        <f ca="1">IF(ISNUMBER(MATCH(DATEVALUE($A263),'recurring1_based on steps'!D$1:D$400,0)),D$2,)</f>
        <v>0</v>
      </c>
      <c r="E263" s="179">
        <f ca="1">IF(ISNUMBER(MATCH(DATEVALUE($A263),'recurring1_based on steps'!E$1:E$400,0)),E$2,)</f>
        <v>0</v>
      </c>
      <c r="F263" s="179">
        <f ca="1">IF(ISNUMBER(MATCH(DATEVALUE($A263),'recurring1_based on steps'!F$1:F$400,0)),F$2,)</f>
        <v>0</v>
      </c>
      <c r="G263" s="179">
        <f ca="1">IF(ISNUMBER(MATCH(DATEVALUE($A263),'recurring1_based on steps'!G$1:G$400,0)),G$2,)</f>
        <v>0</v>
      </c>
      <c r="H263" s="179">
        <f ca="1">IF(ISNUMBER(MATCH(DATEVALUE($A263),'recurring1_based on steps'!H$1:H$400,0)),H$2,)</f>
        <v>0</v>
      </c>
      <c r="I263" s="179">
        <f ca="1">IF(ISNUMBER(MATCH(DATEVALUE($A263),'recurring1_based on steps'!I$1:I$400,0)),I$2,)</f>
        <v>0</v>
      </c>
      <c r="J263" s="179">
        <f ca="1">IF(ISNUMBER(MATCH(DATEVALUE($A263),'recurring1_based on steps'!J$1:J$400,0)),J$2,)</f>
        <v>0</v>
      </c>
      <c r="K263" s="179">
        <f ca="1">IF(ISNUMBER(MATCH(DATEVALUE($A263),'recurring1_based on steps'!K$1:K$400,0)),K$2,)</f>
        <v>0</v>
      </c>
      <c r="L263" s="179">
        <f ca="1">IF(ISNUMBER(MATCH(DATEVALUE($A263),'recurring1_based on steps'!L$1:L$400,0)),L$2,)</f>
        <v>0</v>
      </c>
      <c r="M263" s="179">
        <f ca="1">IF(ISNUMBER(MATCH(DATEVALUE($A263),'recurring1_based on steps'!M$1:M$400,0)),M$2,)</f>
        <v>0</v>
      </c>
      <c r="N263" s="179">
        <f ca="1">IF(ISNUMBER(MATCH(DATEVALUE($A263),'recurring1_based on steps'!N$1:N$400,0)),N$2,)</f>
        <v>0</v>
      </c>
      <c r="O263" s="179">
        <f ca="1">IF(ISNUMBER(MATCH(DATEVALUE($A263),'recurring1_based on steps'!O$1:O$400,0)),O$2,)</f>
        <v>0</v>
      </c>
      <c r="P263" s="179">
        <f ca="1">IF(ISNUMBER(MATCH(DATEVALUE($A263),'recurring1_based on steps'!P$1:P$400,0)),P$2,)</f>
        <v>0</v>
      </c>
      <c r="Q263" s="179">
        <f ca="1">IF(ISNUMBER(MATCH(DATEVALUE($A263),'recurring1_based on steps'!Q$1:Q$400,0)),Q$2,)</f>
        <v>0</v>
      </c>
      <c r="R263" s="179">
        <f ca="1">IF(ISNUMBER(MATCH(DATEVALUE($A263),'recurring1_based on steps'!R$1:R$400,0)),R$2,)</f>
        <v>0</v>
      </c>
      <c r="S263" s="179">
        <f ca="1">IF(ISNUMBER(MATCH(DATEVALUE($A263),'recurring1_based on steps'!S$1:S$400,0)),S$2,)</f>
        <v>0</v>
      </c>
      <c r="T263" s="179">
        <f ca="1">IF(ISNUMBER(MATCH(DATEVALUE($A263),'recurring1_based on steps'!T$1:T$400,0)),T$2,)</f>
        <v>0</v>
      </c>
      <c r="U263" s="179">
        <f ca="1">IF(ISNUMBER(MATCH(DATEVALUE($A263),'recurring1_based on steps'!U$1:U$400,0)),U$2,)</f>
        <v>0</v>
      </c>
      <c r="V263" s="179">
        <f ca="1">IF(ISNUMBER(MATCH(DATEVALUE($A263),'recurring1_based on steps'!V$1:V$400,0)),V$2,)</f>
        <v>0</v>
      </c>
      <c r="W263" s="179">
        <f ca="1">IF(ISNUMBER(MATCH(DATEVALUE($A263),'recurring1_based on steps'!W$1:W$400,0)),W$2,)</f>
        <v>0</v>
      </c>
      <c r="X263" s="179">
        <f ca="1">IF(ISNUMBER(MATCH(DATEVALUE($A263),'recurring1_based on steps'!X$1:X$400,0)),X$2,)</f>
        <v>0</v>
      </c>
      <c r="Y263" s="179">
        <f ca="1">IF(ISNUMBER(MATCH(DATEVALUE($A263),'recurring1_based on steps'!Y$1:Y$400,0)),Y$2,)</f>
        <v>0</v>
      </c>
      <c r="Z263" s="179">
        <f ca="1">IF(ISNUMBER(MATCH(DATEVALUE($A263),'recurring1_based on steps'!Z$1:Z$400,0)),Z$2,)</f>
        <v>0</v>
      </c>
      <c r="AA263" s="179">
        <f ca="1">IF(ISNUMBER(MATCH(DATEVALUE($A263),'recurring1_based on steps'!AA$1:AA$400,0)),AA$2,)</f>
        <v>0</v>
      </c>
      <c r="AB263" s="179">
        <f ca="1">IF(ISNUMBER(MATCH(DATEVALUE($A263),'recurring1_based on steps'!AB$1:AB$400,0)),AB$2,)</f>
        <v>0</v>
      </c>
      <c r="AC263" s="179">
        <f ca="1">IF(ISNUMBER(MATCH(DATEVALUE($A263),'recurring1_based on steps'!AC$1:AC$400,0)),AC$2,)</f>
        <v>0</v>
      </c>
      <c r="AD263" s="179">
        <f ca="1">IF(ISNUMBER(MATCH(DATEVALUE($A263),'recurring1_based on steps'!AD$1:AD$400,0)),AD$2,)</f>
        <v>0</v>
      </c>
      <c r="AE263" s="179">
        <f ca="1">IF(ISNUMBER(MATCH(DATEVALUE($A263),'recurring1_based on steps'!AE$1:AE$400,0)),AE$2,)</f>
        <v>0</v>
      </c>
      <c r="AF263" s="179">
        <f ca="1">IF(ISNUMBER(MATCH(DATEVALUE($A263),'recurring1_based on steps'!AF$1:AF$400,0)),AF$2,)</f>
        <v>0</v>
      </c>
      <c r="AG263" s="179">
        <f ca="1">IF(ISNUMBER(MATCH(DATEVALUE($A263),'recurring1_based on steps'!AG$1:AG$400,0)),AG$2,)</f>
        <v>0</v>
      </c>
      <c r="AH263" s="179">
        <f ca="1">IF(ISNUMBER(MATCH(DATEVALUE($A263),'recurring1_based on steps'!AH$1:AH$400,0)),AH$2,)</f>
        <v>0</v>
      </c>
      <c r="AI263" s="179">
        <f ca="1">IF(ISNUMBER(MATCH(DATEVALUE($A263),'recurring1_based on steps'!AI$1:AI$400,0)),AI$2,)</f>
        <v>0</v>
      </c>
      <c r="AJ263" s="179">
        <f ca="1">IF(ISNUMBER(MATCH(DATEVALUE($A263),'recurring1_based on steps'!AJ$1:AJ$400,0)),AJ$2,)</f>
        <v>0</v>
      </c>
      <c r="AK263" s="179">
        <f ca="1">IF(ISNUMBER(MATCH(DATEVALUE($A263),'recurring1_based on steps'!AK$1:AK$400,0)),AK$2,)</f>
        <v>0</v>
      </c>
      <c r="AL263" s="179">
        <f ca="1">IF(ISNUMBER(MATCH(DATEVALUE($A263),'recurring1_based on steps'!AL$1:AL$400,0)),AL$2,)</f>
        <v>0</v>
      </c>
      <c r="AM263" s="179">
        <f ca="1">IF(ISNUMBER(MATCH(DATEVALUE($A263),'recurring1_based on steps'!AM$1:AM$400,0)),AM$2,)</f>
        <v>0</v>
      </c>
      <c r="AN263" s="179">
        <f ca="1">IF(ISNUMBER(MATCH(DATEVALUE($A263),'recurring1_based on steps'!AN$1:AN$400,0)),AN$2,)</f>
        <v>0</v>
      </c>
      <c r="AO263" s="179">
        <f ca="1">IF(ISNUMBER(MATCH(DATEVALUE($A263),'recurring1_based on steps'!AO$1:AO$400,0)),AO$2,)</f>
        <v>0</v>
      </c>
      <c r="AP263" s="179">
        <f ca="1">IF(ISNUMBER(MATCH(DATEVALUE($A263),'recurring1_based on steps'!AP$1:AP$400,0)),AP$2,)</f>
        <v>0</v>
      </c>
      <c r="AQ263" s="179">
        <f ca="1">IF(ISNUMBER(MATCH(DATEVALUE($A263),'recurring1_based on steps'!AQ$1:AQ$400,0)),AQ$2,)</f>
        <v>0</v>
      </c>
      <c r="AR263" s="179">
        <f ca="1">IF(ISNUMBER(MATCH(DATEVALUE($A263),'recurring1_based on steps'!AR$1:AR$400,0)),AR$2,)</f>
        <v>0</v>
      </c>
      <c r="AS263" s="179">
        <f ca="1">IF(ISNUMBER(MATCH(DATEVALUE($A263),'recurring1_based on steps'!AS$1:AS$400,0)),AS$2,)</f>
        <v>0</v>
      </c>
      <c r="AT263" s="179">
        <f ca="1">IF(ISNUMBER(MATCH(DATEVALUE($A263),'recurring1_based on steps'!AT$1:AT$400,0)),AT$2,)</f>
        <v>0</v>
      </c>
      <c r="AU263" s="179">
        <f ca="1">IF(ISNUMBER(MATCH(DATEVALUE($A263),'recurring1_based on steps'!AU$1:AU$400,0)),AU$2,)</f>
        <v>0</v>
      </c>
      <c r="AV263" s="179">
        <f ca="1">IF(ISNUMBER(MATCH(DATEVALUE($A263),'recurring1_based on steps'!AV$1:AV$400,0)),AV$2,)</f>
        <v>0</v>
      </c>
      <c r="AW263" s="179">
        <f ca="1">IF(ISNUMBER(MATCH(DATEVALUE($A263),'recurring1_based on steps'!AW$1:AW$400,0)),AW$2,)</f>
        <v>0</v>
      </c>
      <c r="AX263" s="179">
        <f ca="1">IF(ISNUMBER(MATCH(DATEVALUE($A263),'recurring1_based on steps'!AX$1:AX$400,0)),AX$2,)</f>
        <v>0</v>
      </c>
      <c r="AY263" s="179">
        <f ca="1">IF(ISNUMBER(MATCH(DATEVALUE($A263),'recurring1_based on steps'!AY$1:AY$400,0)),AY$2,)</f>
        <v>0</v>
      </c>
    </row>
    <row r="264" spans="1:51" x14ac:dyDescent="0.2">
      <c r="A264" s="32" t="str">
        <f t="shared" ca="1" si="4"/>
        <v>2025-12-22</v>
      </c>
      <c r="B264" s="179">
        <f ca="1">IF(ISNUMBER(MATCH(DATEVALUE($A264),'recurring1_based on steps'!B$1:B$400,0)),B$2,)</f>
        <v>0</v>
      </c>
      <c r="C264" s="179">
        <f ca="1">IF(ISNUMBER(MATCH(DATEVALUE($A264),'recurring1_based on steps'!C$1:C$400,0)),C$2,)</f>
        <v>0</v>
      </c>
      <c r="D264" s="179">
        <f ca="1">IF(ISNUMBER(MATCH(DATEVALUE($A264),'recurring1_based on steps'!D$1:D$400,0)),D$2,)</f>
        <v>0</v>
      </c>
      <c r="E264" s="179">
        <f ca="1">IF(ISNUMBER(MATCH(DATEVALUE($A264),'recurring1_based on steps'!E$1:E$400,0)),E$2,)</f>
        <v>0</v>
      </c>
      <c r="F264" s="179">
        <f ca="1">IF(ISNUMBER(MATCH(DATEVALUE($A264),'recurring1_based on steps'!F$1:F$400,0)),F$2,)</f>
        <v>0</v>
      </c>
      <c r="G264" s="179">
        <f ca="1">IF(ISNUMBER(MATCH(DATEVALUE($A264),'recurring1_based on steps'!G$1:G$400,0)),G$2,)</f>
        <v>0</v>
      </c>
      <c r="H264" s="179">
        <f ca="1">IF(ISNUMBER(MATCH(DATEVALUE($A264),'recurring1_based on steps'!H$1:H$400,0)),H$2,)</f>
        <v>0</v>
      </c>
      <c r="I264" s="179">
        <f ca="1">IF(ISNUMBER(MATCH(DATEVALUE($A264),'recurring1_based on steps'!I$1:I$400,0)),I$2,)</f>
        <v>0</v>
      </c>
      <c r="J264" s="179">
        <f ca="1">IF(ISNUMBER(MATCH(DATEVALUE($A264),'recurring1_based on steps'!J$1:J$400,0)),J$2,)</f>
        <v>0</v>
      </c>
      <c r="K264" s="179">
        <f ca="1">IF(ISNUMBER(MATCH(DATEVALUE($A264),'recurring1_based on steps'!K$1:K$400,0)),K$2,)</f>
        <v>0</v>
      </c>
      <c r="L264" s="179">
        <f ca="1">IF(ISNUMBER(MATCH(DATEVALUE($A264),'recurring1_based on steps'!L$1:L$400,0)),L$2,)</f>
        <v>0</v>
      </c>
      <c r="M264" s="179">
        <f ca="1">IF(ISNUMBER(MATCH(DATEVALUE($A264),'recurring1_based on steps'!M$1:M$400,0)),M$2,)</f>
        <v>0</v>
      </c>
      <c r="N264" s="179">
        <f ca="1">IF(ISNUMBER(MATCH(DATEVALUE($A264),'recurring1_based on steps'!N$1:N$400,0)),N$2,)</f>
        <v>0</v>
      </c>
      <c r="O264" s="179">
        <f ca="1">IF(ISNUMBER(MATCH(DATEVALUE($A264),'recurring1_based on steps'!O$1:O$400,0)),O$2,)</f>
        <v>0</v>
      </c>
      <c r="P264" s="179">
        <f ca="1">IF(ISNUMBER(MATCH(DATEVALUE($A264),'recurring1_based on steps'!P$1:P$400,0)),P$2,)</f>
        <v>0</v>
      </c>
      <c r="Q264" s="179">
        <f ca="1">IF(ISNUMBER(MATCH(DATEVALUE($A264),'recurring1_based on steps'!Q$1:Q$400,0)),Q$2,)</f>
        <v>0</v>
      </c>
      <c r="R264" s="179">
        <f ca="1">IF(ISNUMBER(MATCH(DATEVALUE($A264),'recurring1_based on steps'!R$1:R$400,0)),R$2,)</f>
        <v>0</v>
      </c>
      <c r="S264" s="179">
        <f ca="1">IF(ISNUMBER(MATCH(DATEVALUE($A264),'recurring1_based on steps'!S$1:S$400,0)),S$2,)</f>
        <v>0</v>
      </c>
      <c r="T264" s="179">
        <f ca="1">IF(ISNUMBER(MATCH(DATEVALUE($A264),'recurring1_based on steps'!T$1:T$400,0)),T$2,)</f>
        <v>0</v>
      </c>
      <c r="U264" s="179">
        <f ca="1">IF(ISNUMBER(MATCH(DATEVALUE($A264),'recurring1_based on steps'!U$1:U$400,0)),U$2,)</f>
        <v>0</v>
      </c>
      <c r="V264" s="179">
        <f ca="1">IF(ISNUMBER(MATCH(DATEVALUE($A264),'recurring1_based on steps'!V$1:V$400,0)),V$2,)</f>
        <v>0</v>
      </c>
      <c r="W264" s="179">
        <f ca="1">IF(ISNUMBER(MATCH(DATEVALUE($A264),'recurring1_based on steps'!W$1:W$400,0)),W$2,)</f>
        <v>0</v>
      </c>
      <c r="X264" s="179">
        <f ca="1">IF(ISNUMBER(MATCH(DATEVALUE($A264),'recurring1_based on steps'!X$1:X$400,0)),X$2,)</f>
        <v>0</v>
      </c>
      <c r="Y264" s="179">
        <f ca="1">IF(ISNUMBER(MATCH(DATEVALUE($A264),'recurring1_based on steps'!Y$1:Y$400,0)),Y$2,)</f>
        <v>0</v>
      </c>
      <c r="Z264" s="179">
        <f ca="1">IF(ISNUMBER(MATCH(DATEVALUE($A264),'recurring1_based on steps'!Z$1:Z$400,0)),Z$2,)</f>
        <v>0</v>
      </c>
      <c r="AA264" s="179">
        <f ca="1">IF(ISNUMBER(MATCH(DATEVALUE($A264),'recurring1_based on steps'!AA$1:AA$400,0)),AA$2,)</f>
        <v>0</v>
      </c>
      <c r="AB264" s="179">
        <f ca="1">IF(ISNUMBER(MATCH(DATEVALUE($A264),'recurring1_based on steps'!AB$1:AB$400,0)),AB$2,)</f>
        <v>0</v>
      </c>
      <c r="AC264" s="179">
        <f ca="1">IF(ISNUMBER(MATCH(DATEVALUE($A264),'recurring1_based on steps'!AC$1:AC$400,0)),AC$2,)</f>
        <v>0</v>
      </c>
      <c r="AD264" s="179">
        <f ca="1">IF(ISNUMBER(MATCH(DATEVALUE($A264),'recurring1_based on steps'!AD$1:AD$400,0)),AD$2,)</f>
        <v>0</v>
      </c>
      <c r="AE264" s="179">
        <f ca="1">IF(ISNUMBER(MATCH(DATEVALUE($A264),'recurring1_based on steps'!AE$1:AE$400,0)),AE$2,)</f>
        <v>0</v>
      </c>
      <c r="AF264" s="179">
        <f ca="1">IF(ISNUMBER(MATCH(DATEVALUE($A264),'recurring1_based on steps'!AF$1:AF$400,0)),AF$2,)</f>
        <v>0</v>
      </c>
      <c r="AG264" s="179">
        <f ca="1">IF(ISNUMBER(MATCH(DATEVALUE($A264),'recurring1_based on steps'!AG$1:AG$400,0)),AG$2,)</f>
        <v>0</v>
      </c>
      <c r="AH264" s="179">
        <f ca="1">IF(ISNUMBER(MATCH(DATEVALUE($A264),'recurring1_based on steps'!AH$1:AH$400,0)),AH$2,)</f>
        <v>0</v>
      </c>
      <c r="AI264" s="179">
        <f ca="1">IF(ISNUMBER(MATCH(DATEVALUE($A264),'recurring1_based on steps'!AI$1:AI$400,0)),AI$2,)</f>
        <v>0</v>
      </c>
      <c r="AJ264" s="179">
        <f ca="1">IF(ISNUMBER(MATCH(DATEVALUE($A264),'recurring1_based on steps'!AJ$1:AJ$400,0)),AJ$2,)</f>
        <v>0</v>
      </c>
      <c r="AK264" s="179">
        <f ca="1">IF(ISNUMBER(MATCH(DATEVALUE($A264),'recurring1_based on steps'!AK$1:AK$400,0)),AK$2,)</f>
        <v>0</v>
      </c>
      <c r="AL264" s="179">
        <f ca="1">IF(ISNUMBER(MATCH(DATEVALUE($A264),'recurring1_based on steps'!AL$1:AL$400,0)),AL$2,)</f>
        <v>0</v>
      </c>
      <c r="AM264" s="179">
        <f ca="1">IF(ISNUMBER(MATCH(DATEVALUE($A264),'recurring1_based on steps'!AM$1:AM$400,0)),AM$2,)</f>
        <v>0</v>
      </c>
      <c r="AN264" s="179">
        <f ca="1">IF(ISNUMBER(MATCH(DATEVALUE($A264),'recurring1_based on steps'!AN$1:AN$400,0)),AN$2,)</f>
        <v>0</v>
      </c>
      <c r="AO264" s="179">
        <f ca="1">IF(ISNUMBER(MATCH(DATEVALUE($A264),'recurring1_based on steps'!AO$1:AO$400,0)),AO$2,)</f>
        <v>0</v>
      </c>
      <c r="AP264" s="179">
        <f ca="1">IF(ISNUMBER(MATCH(DATEVALUE($A264),'recurring1_based on steps'!AP$1:AP$400,0)),AP$2,)</f>
        <v>0</v>
      </c>
      <c r="AQ264" s="179">
        <f ca="1">IF(ISNUMBER(MATCH(DATEVALUE($A264),'recurring1_based on steps'!AQ$1:AQ$400,0)),AQ$2,)</f>
        <v>0</v>
      </c>
      <c r="AR264" s="179">
        <f ca="1">IF(ISNUMBER(MATCH(DATEVALUE($A264),'recurring1_based on steps'!AR$1:AR$400,0)),AR$2,)</f>
        <v>0</v>
      </c>
      <c r="AS264" s="179">
        <f ca="1">IF(ISNUMBER(MATCH(DATEVALUE($A264),'recurring1_based on steps'!AS$1:AS$400,0)),AS$2,)</f>
        <v>0</v>
      </c>
      <c r="AT264" s="179">
        <f ca="1">IF(ISNUMBER(MATCH(DATEVALUE($A264),'recurring1_based on steps'!AT$1:AT$400,0)),AT$2,)</f>
        <v>0</v>
      </c>
      <c r="AU264" s="179">
        <f ca="1">IF(ISNUMBER(MATCH(DATEVALUE($A264),'recurring1_based on steps'!AU$1:AU$400,0)),AU$2,)</f>
        <v>0</v>
      </c>
      <c r="AV264" s="179">
        <f ca="1">IF(ISNUMBER(MATCH(DATEVALUE($A264),'recurring1_based on steps'!AV$1:AV$400,0)),AV$2,)</f>
        <v>0</v>
      </c>
      <c r="AW264" s="179">
        <f ca="1">IF(ISNUMBER(MATCH(DATEVALUE($A264),'recurring1_based on steps'!AW$1:AW$400,0)),AW$2,)</f>
        <v>0</v>
      </c>
      <c r="AX264" s="179">
        <f ca="1">IF(ISNUMBER(MATCH(DATEVALUE($A264),'recurring1_based on steps'!AX$1:AX$400,0)),AX$2,)</f>
        <v>0</v>
      </c>
      <c r="AY264" s="179">
        <f ca="1">IF(ISNUMBER(MATCH(DATEVALUE($A264),'recurring1_based on steps'!AY$1:AY$400,0)),AY$2,)</f>
        <v>0</v>
      </c>
    </row>
    <row r="265" spans="1:51" x14ac:dyDescent="0.2">
      <c r="A265" s="32" t="str">
        <f t="shared" ca="1" si="4"/>
        <v>2025-12-23</v>
      </c>
      <c r="B265" s="179">
        <f ca="1">IF(ISNUMBER(MATCH(DATEVALUE($A265),'recurring1_based on steps'!B$1:B$400,0)),B$2,)</f>
        <v>0</v>
      </c>
      <c r="C265" s="179">
        <f ca="1">IF(ISNUMBER(MATCH(DATEVALUE($A265),'recurring1_based on steps'!C$1:C$400,0)),C$2,)</f>
        <v>0</v>
      </c>
      <c r="D265" s="179">
        <f ca="1">IF(ISNUMBER(MATCH(DATEVALUE($A265),'recurring1_based on steps'!D$1:D$400,0)),D$2,)</f>
        <v>0</v>
      </c>
      <c r="E265" s="179">
        <f ca="1">IF(ISNUMBER(MATCH(DATEVALUE($A265),'recurring1_based on steps'!E$1:E$400,0)),E$2,)</f>
        <v>0</v>
      </c>
      <c r="F265" s="179">
        <f ca="1">IF(ISNUMBER(MATCH(DATEVALUE($A265),'recurring1_based on steps'!F$1:F$400,0)),F$2,)</f>
        <v>0</v>
      </c>
      <c r="G265" s="179">
        <f ca="1">IF(ISNUMBER(MATCH(DATEVALUE($A265),'recurring1_based on steps'!G$1:G$400,0)),G$2,)</f>
        <v>0</v>
      </c>
      <c r="H265" s="179">
        <f ca="1">IF(ISNUMBER(MATCH(DATEVALUE($A265),'recurring1_based on steps'!H$1:H$400,0)),H$2,)</f>
        <v>0</v>
      </c>
      <c r="I265" s="179">
        <f ca="1">IF(ISNUMBER(MATCH(DATEVALUE($A265),'recurring1_based on steps'!I$1:I$400,0)),I$2,)</f>
        <v>0</v>
      </c>
      <c r="J265" s="179">
        <f ca="1">IF(ISNUMBER(MATCH(DATEVALUE($A265),'recurring1_based on steps'!J$1:J$400,0)),J$2,)</f>
        <v>0</v>
      </c>
      <c r="K265" s="179">
        <f ca="1">IF(ISNUMBER(MATCH(DATEVALUE($A265),'recurring1_based on steps'!K$1:K$400,0)),K$2,)</f>
        <v>0</v>
      </c>
      <c r="L265" s="179">
        <f ca="1">IF(ISNUMBER(MATCH(DATEVALUE($A265),'recurring1_based on steps'!L$1:L$400,0)),L$2,)</f>
        <v>0</v>
      </c>
      <c r="M265" s="179">
        <f ca="1">IF(ISNUMBER(MATCH(DATEVALUE($A265),'recurring1_based on steps'!M$1:M$400,0)),M$2,)</f>
        <v>0</v>
      </c>
      <c r="N265" s="179">
        <f ca="1">IF(ISNUMBER(MATCH(DATEVALUE($A265),'recurring1_based on steps'!N$1:N$400,0)),N$2,)</f>
        <v>0</v>
      </c>
      <c r="O265" s="179">
        <f ca="1">IF(ISNUMBER(MATCH(DATEVALUE($A265),'recurring1_based on steps'!O$1:O$400,0)),O$2,)</f>
        <v>0</v>
      </c>
      <c r="P265" s="179">
        <f ca="1">IF(ISNUMBER(MATCH(DATEVALUE($A265),'recurring1_based on steps'!P$1:P$400,0)),P$2,)</f>
        <v>0</v>
      </c>
      <c r="Q265" s="179">
        <f ca="1">IF(ISNUMBER(MATCH(DATEVALUE($A265),'recurring1_based on steps'!Q$1:Q$400,0)),Q$2,)</f>
        <v>0</v>
      </c>
      <c r="R265" s="179">
        <f ca="1">IF(ISNUMBER(MATCH(DATEVALUE($A265),'recurring1_based on steps'!R$1:R$400,0)),R$2,)</f>
        <v>0</v>
      </c>
      <c r="S265" s="179">
        <f ca="1">IF(ISNUMBER(MATCH(DATEVALUE($A265),'recurring1_based on steps'!S$1:S$400,0)),S$2,)</f>
        <v>0</v>
      </c>
      <c r="T265" s="179">
        <f ca="1">IF(ISNUMBER(MATCH(DATEVALUE($A265),'recurring1_based on steps'!T$1:T$400,0)),T$2,)</f>
        <v>0</v>
      </c>
      <c r="U265" s="179">
        <f ca="1">IF(ISNUMBER(MATCH(DATEVALUE($A265),'recurring1_based on steps'!U$1:U$400,0)),U$2,)</f>
        <v>0</v>
      </c>
      <c r="V265" s="179">
        <f ca="1">IF(ISNUMBER(MATCH(DATEVALUE($A265),'recurring1_based on steps'!V$1:V$400,0)),V$2,)</f>
        <v>0</v>
      </c>
      <c r="W265" s="179">
        <f ca="1">IF(ISNUMBER(MATCH(DATEVALUE($A265),'recurring1_based on steps'!W$1:W$400,0)),W$2,)</f>
        <v>0</v>
      </c>
      <c r="X265" s="179">
        <f ca="1">IF(ISNUMBER(MATCH(DATEVALUE($A265),'recurring1_based on steps'!X$1:X$400,0)),X$2,)</f>
        <v>0</v>
      </c>
      <c r="Y265" s="179">
        <f ca="1">IF(ISNUMBER(MATCH(DATEVALUE($A265),'recurring1_based on steps'!Y$1:Y$400,0)),Y$2,)</f>
        <v>0</v>
      </c>
      <c r="Z265" s="179">
        <f ca="1">IF(ISNUMBER(MATCH(DATEVALUE($A265),'recurring1_based on steps'!Z$1:Z$400,0)),Z$2,)</f>
        <v>0</v>
      </c>
      <c r="AA265" s="179">
        <f ca="1">IF(ISNUMBER(MATCH(DATEVALUE($A265),'recurring1_based on steps'!AA$1:AA$400,0)),AA$2,)</f>
        <v>0</v>
      </c>
      <c r="AB265" s="179">
        <f ca="1">IF(ISNUMBER(MATCH(DATEVALUE($A265),'recurring1_based on steps'!AB$1:AB$400,0)),AB$2,)</f>
        <v>0</v>
      </c>
      <c r="AC265" s="179">
        <f ca="1">IF(ISNUMBER(MATCH(DATEVALUE($A265),'recurring1_based on steps'!AC$1:AC$400,0)),AC$2,)</f>
        <v>0</v>
      </c>
      <c r="AD265" s="179">
        <f ca="1">IF(ISNUMBER(MATCH(DATEVALUE($A265),'recurring1_based on steps'!AD$1:AD$400,0)),AD$2,)</f>
        <v>0</v>
      </c>
      <c r="AE265" s="179">
        <f ca="1">IF(ISNUMBER(MATCH(DATEVALUE($A265),'recurring1_based on steps'!AE$1:AE$400,0)),AE$2,)</f>
        <v>0</v>
      </c>
      <c r="AF265" s="179">
        <f ca="1">IF(ISNUMBER(MATCH(DATEVALUE($A265),'recurring1_based on steps'!AF$1:AF$400,0)),AF$2,)</f>
        <v>0</v>
      </c>
      <c r="AG265" s="179">
        <f ca="1">IF(ISNUMBER(MATCH(DATEVALUE($A265),'recurring1_based on steps'!AG$1:AG$400,0)),AG$2,)</f>
        <v>0</v>
      </c>
      <c r="AH265" s="179">
        <f ca="1">IF(ISNUMBER(MATCH(DATEVALUE($A265),'recurring1_based on steps'!AH$1:AH$400,0)),AH$2,)</f>
        <v>0</v>
      </c>
      <c r="AI265" s="179">
        <f ca="1">IF(ISNUMBER(MATCH(DATEVALUE($A265),'recurring1_based on steps'!AI$1:AI$400,0)),AI$2,)</f>
        <v>0</v>
      </c>
      <c r="AJ265" s="179">
        <f ca="1">IF(ISNUMBER(MATCH(DATEVALUE($A265),'recurring1_based on steps'!AJ$1:AJ$400,0)),AJ$2,)</f>
        <v>0</v>
      </c>
      <c r="AK265" s="179">
        <f ca="1">IF(ISNUMBER(MATCH(DATEVALUE($A265),'recurring1_based on steps'!AK$1:AK$400,0)),AK$2,)</f>
        <v>0</v>
      </c>
      <c r="AL265" s="179">
        <f ca="1">IF(ISNUMBER(MATCH(DATEVALUE($A265),'recurring1_based on steps'!AL$1:AL$400,0)),AL$2,)</f>
        <v>0</v>
      </c>
      <c r="AM265" s="179">
        <f ca="1">IF(ISNUMBER(MATCH(DATEVALUE($A265),'recurring1_based on steps'!AM$1:AM$400,0)),AM$2,)</f>
        <v>0</v>
      </c>
      <c r="AN265" s="179">
        <f ca="1">IF(ISNUMBER(MATCH(DATEVALUE($A265),'recurring1_based on steps'!AN$1:AN$400,0)),AN$2,)</f>
        <v>0</v>
      </c>
      <c r="AO265" s="179">
        <f ca="1">IF(ISNUMBER(MATCH(DATEVALUE($A265),'recurring1_based on steps'!AO$1:AO$400,0)),AO$2,)</f>
        <v>0</v>
      </c>
      <c r="AP265" s="179">
        <f ca="1">IF(ISNUMBER(MATCH(DATEVALUE($A265),'recurring1_based on steps'!AP$1:AP$400,0)),AP$2,)</f>
        <v>0</v>
      </c>
      <c r="AQ265" s="179">
        <f ca="1">IF(ISNUMBER(MATCH(DATEVALUE($A265),'recurring1_based on steps'!AQ$1:AQ$400,0)),AQ$2,)</f>
        <v>0</v>
      </c>
      <c r="AR265" s="179">
        <f ca="1">IF(ISNUMBER(MATCH(DATEVALUE($A265),'recurring1_based on steps'!AR$1:AR$400,0)),AR$2,)</f>
        <v>0</v>
      </c>
      <c r="AS265" s="179">
        <f ca="1">IF(ISNUMBER(MATCH(DATEVALUE($A265),'recurring1_based on steps'!AS$1:AS$400,0)),AS$2,)</f>
        <v>0</v>
      </c>
      <c r="AT265" s="179">
        <f ca="1">IF(ISNUMBER(MATCH(DATEVALUE($A265),'recurring1_based on steps'!AT$1:AT$400,0)),AT$2,)</f>
        <v>0</v>
      </c>
      <c r="AU265" s="179">
        <f ca="1">IF(ISNUMBER(MATCH(DATEVALUE($A265),'recurring1_based on steps'!AU$1:AU$400,0)),AU$2,)</f>
        <v>0</v>
      </c>
      <c r="AV265" s="179">
        <f ca="1">IF(ISNUMBER(MATCH(DATEVALUE($A265),'recurring1_based on steps'!AV$1:AV$400,0)),AV$2,)</f>
        <v>0</v>
      </c>
      <c r="AW265" s="179">
        <f ca="1">IF(ISNUMBER(MATCH(DATEVALUE($A265),'recurring1_based on steps'!AW$1:AW$400,0)),AW$2,)</f>
        <v>0</v>
      </c>
      <c r="AX265" s="179">
        <f ca="1">IF(ISNUMBER(MATCH(DATEVALUE($A265),'recurring1_based on steps'!AX$1:AX$400,0)),AX$2,)</f>
        <v>0</v>
      </c>
      <c r="AY265" s="179">
        <f ca="1">IF(ISNUMBER(MATCH(DATEVALUE($A265),'recurring1_based on steps'!AY$1:AY$400,0)),AY$2,)</f>
        <v>0</v>
      </c>
    </row>
    <row r="266" spans="1:51" x14ac:dyDescent="0.2">
      <c r="A266" s="32" t="str">
        <f t="shared" ca="1" si="4"/>
        <v>2025-12-24</v>
      </c>
      <c r="B266" s="179">
        <f ca="1">IF(ISNUMBER(MATCH(DATEVALUE($A266),'recurring1_based on steps'!B$1:B$400,0)),B$2,)</f>
        <v>0</v>
      </c>
      <c r="C266" s="179">
        <f ca="1">IF(ISNUMBER(MATCH(DATEVALUE($A266),'recurring1_based on steps'!C$1:C$400,0)),C$2,)</f>
        <v>0</v>
      </c>
      <c r="D266" s="179">
        <f ca="1">IF(ISNUMBER(MATCH(DATEVALUE($A266),'recurring1_based on steps'!D$1:D$400,0)),D$2,)</f>
        <v>0</v>
      </c>
      <c r="E266" s="179">
        <f ca="1">IF(ISNUMBER(MATCH(DATEVALUE($A266),'recurring1_based on steps'!E$1:E$400,0)),E$2,)</f>
        <v>0</v>
      </c>
      <c r="F266" s="179">
        <f ca="1">IF(ISNUMBER(MATCH(DATEVALUE($A266),'recurring1_based on steps'!F$1:F$400,0)),F$2,)</f>
        <v>0</v>
      </c>
      <c r="G266" s="179">
        <f ca="1">IF(ISNUMBER(MATCH(DATEVALUE($A266),'recurring1_based on steps'!G$1:G$400,0)),G$2,)</f>
        <v>0</v>
      </c>
      <c r="H266" s="179">
        <f ca="1">IF(ISNUMBER(MATCH(DATEVALUE($A266),'recurring1_based on steps'!H$1:H$400,0)),H$2,)</f>
        <v>0</v>
      </c>
      <c r="I266" s="179">
        <f ca="1">IF(ISNUMBER(MATCH(DATEVALUE($A266),'recurring1_based on steps'!I$1:I$400,0)),I$2,)</f>
        <v>0</v>
      </c>
      <c r="J266" s="179">
        <f ca="1">IF(ISNUMBER(MATCH(DATEVALUE($A266),'recurring1_based on steps'!J$1:J$400,0)),J$2,)</f>
        <v>0</v>
      </c>
      <c r="K266" s="179">
        <f ca="1">IF(ISNUMBER(MATCH(DATEVALUE($A266),'recurring1_based on steps'!K$1:K$400,0)),K$2,)</f>
        <v>0</v>
      </c>
      <c r="L266" s="179">
        <f ca="1">IF(ISNUMBER(MATCH(DATEVALUE($A266),'recurring1_based on steps'!L$1:L$400,0)),L$2,)</f>
        <v>0</v>
      </c>
      <c r="M266" s="179">
        <f ca="1">IF(ISNUMBER(MATCH(DATEVALUE($A266),'recurring1_based on steps'!M$1:M$400,0)),M$2,)</f>
        <v>0</v>
      </c>
      <c r="N266" s="179">
        <f ca="1">IF(ISNUMBER(MATCH(DATEVALUE($A266),'recurring1_based on steps'!N$1:N$400,0)),N$2,)</f>
        <v>0</v>
      </c>
      <c r="O266" s="179">
        <f ca="1">IF(ISNUMBER(MATCH(DATEVALUE($A266),'recurring1_based on steps'!O$1:O$400,0)),O$2,)</f>
        <v>0</v>
      </c>
      <c r="P266" s="179">
        <f ca="1">IF(ISNUMBER(MATCH(DATEVALUE($A266),'recurring1_based on steps'!P$1:P$400,0)),P$2,)</f>
        <v>0</v>
      </c>
      <c r="Q266" s="179">
        <f ca="1">IF(ISNUMBER(MATCH(DATEVALUE($A266),'recurring1_based on steps'!Q$1:Q$400,0)),Q$2,)</f>
        <v>0</v>
      </c>
      <c r="R266" s="179">
        <f ca="1">IF(ISNUMBER(MATCH(DATEVALUE($A266),'recurring1_based on steps'!R$1:R$400,0)),R$2,)</f>
        <v>0</v>
      </c>
      <c r="S266" s="179">
        <f ca="1">IF(ISNUMBER(MATCH(DATEVALUE($A266),'recurring1_based on steps'!S$1:S$400,0)),S$2,)</f>
        <v>0</v>
      </c>
      <c r="T266" s="179">
        <f ca="1">IF(ISNUMBER(MATCH(DATEVALUE($A266),'recurring1_based on steps'!T$1:T$400,0)),T$2,)</f>
        <v>0</v>
      </c>
      <c r="U266" s="179">
        <f ca="1">IF(ISNUMBER(MATCH(DATEVALUE($A266),'recurring1_based on steps'!U$1:U$400,0)),U$2,)</f>
        <v>0</v>
      </c>
      <c r="V266" s="179">
        <f ca="1">IF(ISNUMBER(MATCH(DATEVALUE($A266),'recurring1_based on steps'!V$1:V$400,0)),V$2,)</f>
        <v>0</v>
      </c>
      <c r="W266" s="179">
        <f ca="1">IF(ISNUMBER(MATCH(DATEVALUE($A266),'recurring1_based on steps'!W$1:W$400,0)),W$2,)</f>
        <v>0</v>
      </c>
      <c r="X266" s="179">
        <f ca="1">IF(ISNUMBER(MATCH(DATEVALUE($A266),'recurring1_based on steps'!X$1:X$400,0)),X$2,)</f>
        <v>0</v>
      </c>
      <c r="Y266" s="179">
        <f ca="1">IF(ISNUMBER(MATCH(DATEVALUE($A266),'recurring1_based on steps'!Y$1:Y$400,0)),Y$2,)</f>
        <v>0</v>
      </c>
      <c r="Z266" s="179">
        <f ca="1">IF(ISNUMBER(MATCH(DATEVALUE($A266),'recurring1_based on steps'!Z$1:Z$400,0)),Z$2,)</f>
        <v>0</v>
      </c>
      <c r="AA266" s="179">
        <f ca="1">IF(ISNUMBER(MATCH(DATEVALUE($A266),'recurring1_based on steps'!AA$1:AA$400,0)),AA$2,)</f>
        <v>0</v>
      </c>
      <c r="AB266" s="179">
        <f ca="1">IF(ISNUMBER(MATCH(DATEVALUE($A266),'recurring1_based on steps'!AB$1:AB$400,0)),AB$2,)</f>
        <v>0</v>
      </c>
      <c r="AC266" s="179">
        <f ca="1">IF(ISNUMBER(MATCH(DATEVALUE($A266),'recurring1_based on steps'!AC$1:AC$400,0)),AC$2,)</f>
        <v>0</v>
      </c>
      <c r="AD266" s="179">
        <f ca="1">IF(ISNUMBER(MATCH(DATEVALUE($A266),'recurring1_based on steps'!AD$1:AD$400,0)),AD$2,)</f>
        <v>0</v>
      </c>
      <c r="AE266" s="179">
        <f ca="1">IF(ISNUMBER(MATCH(DATEVALUE($A266),'recurring1_based on steps'!AE$1:AE$400,0)),AE$2,)</f>
        <v>0</v>
      </c>
      <c r="AF266" s="179">
        <f ca="1">IF(ISNUMBER(MATCH(DATEVALUE($A266),'recurring1_based on steps'!AF$1:AF$400,0)),AF$2,)</f>
        <v>0</v>
      </c>
      <c r="AG266" s="179">
        <f ca="1">IF(ISNUMBER(MATCH(DATEVALUE($A266),'recurring1_based on steps'!AG$1:AG$400,0)),AG$2,)</f>
        <v>0</v>
      </c>
      <c r="AH266" s="179">
        <f ca="1">IF(ISNUMBER(MATCH(DATEVALUE($A266),'recurring1_based on steps'!AH$1:AH$400,0)),AH$2,)</f>
        <v>0</v>
      </c>
      <c r="AI266" s="179">
        <f ca="1">IF(ISNUMBER(MATCH(DATEVALUE($A266),'recurring1_based on steps'!AI$1:AI$400,0)),AI$2,)</f>
        <v>0</v>
      </c>
      <c r="AJ266" s="179">
        <f ca="1">IF(ISNUMBER(MATCH(DATEVALUE($A266),'recurring1_based on steps'!AJ$1:AJ$400,0)),AJ$2,)</f>
        <v>0</v>
      </c>
      <c r="AK266" s="179">
        <f ca="1">IF(ISNUMBER(MATCH(DATEVALUE($A266),'recurring1_based on steps'!AK$1:AK$400,0)),AK$2,)</f>
        <v>0</v>
      </c>
      <c r="AL266" s="179">
        <f ca="1">IF(ISNUMBER(MATCH(DATEVALUE($A266),'recurring1_based on steps'!AL$1:AL$400,0)),AL$2,)</f>
        <v>0</v>
      </c>
      <c r="AM266" s="179">
        <f ca="1">IF(ISNUMBER(MATCH(DATEVALUE($A266),'recurring1_based on steps'!AM$1:AM$400,0)),AM$2,)</f>
        <v>0</v>
      </c>
      <c r="AN266" s="179">
        <f ca="1">IF(ISNUMBER(MATCH(DATEVALUE($A266),'recurring1_based on steps'!AN$1:AN$400,0)),AN$2,)</f>
        <v>0</v>
      </c>
      <c r="AO266" s="179">
        <f ca="1">IF(ISNUMBER(MATCH(DATEVALUE($A266),'recurring1_based on steps'!AO$1:AO$400,0)),AO$2,)</f>
        <v>0</v>
      </c>
      <c r="AP266" s="179">
        <f ca="1">IF(ISNUMBER(MATCH(DATEVALUE($A266),'recurring1_based on steps'!AP$1:AP$400,0)),AP$2,)</f>
        <v>0</v>
      </c>
      <c r="AQ266" s="179">
        <f ca="1">IF(ISNUMBER(MATCH(DATEVALUE($A266),'recurring1_based on steps'!AQ$1:AQ$400,0)),AQ$2,)</f>
        <v>0</v>
      </c>
      <c r="AR266" s="179">
        <f ca="1">IF(ISNUMBER(MATCH(DATEVALUE($A266),'recurring1_based on steps'!AR$1:AR$400,0)),AR$2,)</f>
        <v>0</v>
      </c>
      <c r="AS266" s="179">
        <f ca="1">IF(ISNUMBER(MATCH(DATEVALUE($A266),'recurring1_based on steps'!AS$1:AS$400,0)),AS$2,)</f>
        <v>0</v>
      </c>
      <c r="AT266" s="179">
        <f ca="1">IF(ISNUMBER(MATCH(DATEVALUE($A266),'recurring1_based on steps'!AT$1:AT$400,0)),AT$2,)</f>
        <v>0</v>
      </c>
      <c r="AU266" s="179">
        <f ca="1">IF(ISNUMBER(MATCH(DATEVALUE($A266),'recurring1_based on steps'!AU$1:AU$400,0)),AU$2,)</f>
        <v>0</v>
      </c>
      <c r="AV266" s="179">
        <f ca="1">IF(ISNUMBER(MATCH(DATEVALUE($A266),'recurring1_based on steps'!AV$1:AV$400,0)),AV$2,)</f>
        <v>0</v>
      </c>
      <c r="AW266" s="179">
        <f ca="1">IF(ISNUMBER(MATCH(DATEVALUE($A266),'recurring1_based on steps'!AW$1:AW$400,0)),AW$2,)</f>
        <v>0</v>
      </c>
      <c r="AX266" s="179">
        <f ca="1">IF(ISNUMBER(MATCH(DATEVALUE($A266),'recurring1_based on steps'!AX$1:AX$400,0)),AX$2,)</f>
        <v>0</v>
      </c>
      <c r="AY266" s="179">
        <f ca="1">IF(ISNUMBER(MATCH(DATEVALUE($A266),'recurring1_based on steps'!AY$1:AY$400,0)),AY$2,)</f>
        <v>0</v>
      </c>
    </row>
    <row r="267" spans="1:51" x14ac:dyDescent="0.2">
      <c r="A267" s="32" t="str">
        <f t="shared" ca="1" si="4"/>
        <v>2025-12-25</v>
      </c>
      <c r="B267" s="179">
        <f ca="1">IF(ISNUMBER(MATCH(DATEVALUE($A267),'recurring1_based on steps'!B$1:B$400,0)),B$2,)</f>
        <v>0</v>
      </c>
      <c r="C267" s="179">
        <f ca="1">IF(ISNUMBER(MATCH(DATEVALUE($A267),'recurring1_based on steps'!C$1:C$400,0)),C$2,)</f>
        <v>0</v>
      </c>
      <c r="D267" s="179">
        <f ca="1">IF(ISNUMBER(MATCH(DATEVALUE($A267),'recurring1_based on steps'!D$1:D$400,0)),D$2,)</f>
        <v>0</v>
      </c>
      <c r="E267" s="179">
        <f ca="1">IF(ISNUMBER(MATCH(DATEVALUE($A267),'recurring1_based on steps'!E$1:E$400,0)),E$2,)</f>
        <v>0</v>
      </c>
      <c r="F267" s="179">
        <f ca="1">IF(ISNUMBER(MATCH(DATEVALUE($A267),'recurring1_based on steps'!F$1:F$400,0)),F$2,)</f>
        <v>0</v>
      </c>
      <c r="G267" s="179">
        <f ca="1">IF(ISNUMBER(MATCH(DATEVALUE($A267),'recurring1_based on steps'!G$1:G$400,0)),G$2,)</f>
        <v>0</v>
      </c>
      <c r="H267" s="179">
        <f ca="1">IF(ISNUMBER(MATCH(DATEVALUE($A267),'recurring1_based on steps'!H$1:H$400,0)),H$2,)</f>
        <v>0</v>
      </c>
      <c r="I267" s="179">
        <f ca="1">IF(ISNUMBER(MATCH(DATEVALUE($A267),'recurring1_based on steps'!I$1:I$400,0)),I$2,)</f>
        <v>0</v>
      </c>
      <c r="J267" s="179">
        <f ca="1">IF(ISNUMBER(MATCH(DATEVALUE($A267),'recurring1_based on steps'!J$1:J$400,0)),J$2,)</f>
        <v>0</v>
      </c>
      <c r="K267" s="179">
        <f ca="1">IF(ISNUMBER(MATCH(DATEVALUE($A267),'recurring1_based on steps'!K$1:K$400,0)),K$2,)</f>
        <v>0</v>
      </c>
      <c r="L267" s="179">
        <f ca="1">IF(ISNUMBER(MATCH(DATEVALUE($A267),'recurring1_based on steps'!L$1:L$400,0)),L$2,)</f>
        <v>0</v>
      </c>
      <c r="M267" s="179">
        <f ca="1">IF(ISNUMBER(MATCH(DATEVALUE($A267),'recurring1_based on steps'!M$1:M$400,0)),M$2,)</f>
        <v>0</v>
      </c>
      <c r="N267" s="179">
        <f ca="1">IF(ISNUMBER(MATCH(DATEVALUE($A267),'recurring1_based on steps'!N$1:N$400,0)),N$2,)</f>
        <v>0</v>
      </c>
      <c r="O267" s="179">
        <f ca="1">IF(ISNUMBER(MATCH(DATEVALUE($A267),'recurring1_based on steps'!O$1:O$400,0)),O$2,)</f>
        <v>0</v>
      </c>
      <c r="P267" s="179">
        <f ca="1">IF(ISNUMBER(MATCH(DATEVALUE($A267),'recurring1_based on steps'!P$1:P$400,0)),P$2,)</f>
        <v>0</v>
      </c>
      <c r="Q267" s="179">
        <f ca="1">IF(ISNUMBER(MATCH(DATEVALUE($A267),'recurring1_based on steps'!Q$1:Q$400,0)),Q$2,)</f>
        <v>0</v>
      </c>
      <c r="R267" s="179">
        <f ca="1">IF(ISNUMBER(MATCH(DATEVALUE($A267),'recurring1_based on steps'!R$1:R$400,0)),R$2,)</f>
        <v>0</v>
      </c>
      <c r="S267" s="179">
        <f ca="1">IF(ISNUMBER(MATCH(DATEVALUE($A267),'recurring1_based on steps'!S$1:S$400,0)),S$2,)</f>
        <v>0</v>
      </c>
      <c r="T267" s="179">
        <f ca="1">IF(ISNUMBER(MATCH(DATEVALUE($A267),'recurring1_based on steps'!T$1:T$400,0)),T$2,)</f>
        <v>0</v>
      </c>
      <c r="U267" s="179">
        <f ca="1">IF(ISNUMBER(MATCH(DATEVALUE($A267),'recurring1_based on steps'!U$1:U$400,0)),U$2,)</f>
        <v>0</v>
      </c>
      <c r="V267" s="179">
        <f ca="1">IF(ISNUMBER(MATCH(DATEVALUE($A267),'recurring1_based on steps'!V$1:V$400,0)),V$2,)</f>
        <v>0</v>
      </c>
      <c r="W267" s="179">
        <f ca="1">IF(ISNUMBER(MATCH(DATEVALUE($A267),'recurring1_based on steps'!W$1:W$400,0)),W$2,)</f>
        <v>0</v>
      </c>
      <c r="X267" s="179">
        <f ca="1">IF(ISNUMBER(MATCH(DATEVALUE($A267),'recurring1_based on steps'!X$1:X$400,0)),X$2,)</f>
        <v>0</v>
      </c>
      <c r="Y267" s="179">
        <f ca="1">IF(ISNUMBER(MATCH(DATEVALUE($A267),'recurring1_based on steps'!Y$1:Y$400,0)),Y$2,)</f>
        <v>0</v>
      </c>
      <c r="Z267" s="179">
        <f ca="1">IF(ISNUMBER(MATCH(DATEVALUE($A267),'recurring1_based on steps'!Z$1:Z$400,0)),Z$2,)</f>
        <v>0</v>
      </c>
      <c r="AA267" s="179">
        <f ca="1">IF(ISNUMBER(MATCH(DATEVALUE($A267),'recurring1_based on steps'!AA$1:AA$400,0)),AA$2,)</f>
        <v>0</v>
      </c>
      <c r="AB267" s="179">
        <f ca="1">IF(ISNUMBER(MATCH(DATEVALUE($A267),'recurring1_based on steps'!AB$1:AB$400,0)),AB$2,)</f>
        <v>0</v>
      </c>
      <c r="AC267" s="179">
        <f ca="1">IF(ISNUMBER(MATCH(DATEVALUE($A267),'recurring1_based on steps'!AC$1:AC$400,0)),AC$2,)</f>
        <v>0</v>
      </c>
      <c r="AD267" s="179">
        <f ca="1">IF(ISNUMBER(MATCH(DATEVALUE($A267),'recurring1_based on steps'!AD$1:AD$400,0)),AD$2,)</f>
        <v>0</v>
      </c>
      <c r="AE267" s="179">
        <f ca="1">IF(ISNUMBER(MATCH(DATEVALUE($A267),'recurring1_based on steps'!AE$1:AE$400,0)),AE$2,)</f>
        <v>0</v>
      </c>
      <c r="AF267" s="179">
        <f ca="1">IF(ISNUMBER(MATCH(DATEVALUE($A267),'recurring1_based on steps'!AF$1:AF$400,0)),AF$2,)</f>
        <v>0</v>
      </c>
      <c r="AG267" s="179">
        <f ca="1">IF(ISNUMBER(MATCH(DATEVALUE($A267),'recurring1_based on steps'!AG$1:AG$400,0)),AG$2,)</f>
        <v>0</v>
      </c>
      <c r="AH267" s="179">
        <f ca="1">IF(ISNUMBER(MATCH(DATEVALUE($A267),'recurring1_based on steps'!AH$1:AH$400,0)),AH$2,)</f>
        <v>0</v>
      </c>
      <c r="AI267" s="179">
        <f ca="1">IF(ISNUMBER(MATCH(DATEVALUE($A267),'recurring1_based on steps'!AI$1:AI$400,0)),AI$2,)</f>
        <v>0</v>
      </c>
      <c r="AJ267" s="179">
        <f ca="1">IF(ISNUMBER(MATCH(DATEVALUE($A267),'recurring1_based on steps'!AJ$1:AJ$400,0)),AJ$2,)</f>
        <v>0</v>
      </c>
      <c r="AK267" s="179">
        <f ca="1">IF(ISNUMBER(MATCH(DATEVALUE($A267),'recurring1_based on steps'!AK$1:AK$400,0)),AK$2,)</f>
        <v>0</v>
      </c>
      <c r="AL267" s="179">
        <f ca="1">IF(ISNUMBER(MATCH(DATEVALUE($A267),'recurring1_based on steps'!AL$1:AL$400,0)),AL$2,)</f>
        <v>0</v>
      </c>
      <c r="AM267" s="179">
        <f ca="1">IF(ISNUMBER(MATCH(DATEVALUE($A267),'recurring1_based on steps'!AM$1:AM$400,0)),AM$2,)</f>
        <v>0</v>
      </c>
      <c r="AN267" s="179">
        <f ca="1">IF(ISNUMBER(MATCH(DATEVALUE($A267),'recurring1_based on steps'!AN$1:AN$400,0)),AN$2,)</f>
        <v>0</v>
      </c>
      <c r="AO267" s="179">
        <f ca="1">IF(ISNUMBER(MATCH(DATEVALUE($A267),'recurring1_based on steps'!AO$1:AO$400,0)),AO$2,)</f>
        <v>0</v>
      </c>
      <c r="AP267" s="179">
        <f ca="1">IF(ISNUMBER(MATCH(DATEVALUE($A267),'recurring1_based on steps'!AP$1:AP$400,0)),AP$2,)</f>
        <v>0</v>
      </c>
      <c r="AQ267" s="179">
        <f ca="1">IF(ISNUMBER(MATCH(DATEVALUE($A267),'recurring1_based on steps'!AQ$1:AQ$400,0)),AQ$2,)</f>
        <v>0</v>
      </c>
      <c r="AR267" s="179">
        <f ca="1">IF(ISNUMBER(MATCH(DATEVALUE($A267),'recurring1_based on steps'!AR$1:AR$400,0)),AR$2,)</f>
        <v>0</v>
      </c>
      <c r="AS267" s="179">
        <f ca="1">IF(ISNUMBER(MATCH(DATEVALUE($A267),'recurring1_based on steps'!AS$1:AS$400,0)),AS$2,)</f>
        <v>0</v>
      </c>
      <c r="AT267" s="179">
        <f ca="1">IF(ISNUMBER(MATCH(DATEVALUE($A267),'recurring1_based on steps'!AT$1:AT$400,0)),AT$2,)</f>
        <v>0</v>
      </c>
      <c r="AU267" s="179">
        <f ca="1">IF(ISNUMBER(MATCH(DATEVALUE($A267),'recurring1_based on steps'!AU$1:AU$400,0)),AU$2,)</f>
        <v>0</v>
      </c>
      <c r="AV267" s="179">
        <f ca="1">IF(ISNUMBER(MATCH(DATEVALUE($A267),'recurring1_based on steps'!AV$1:AV$400,0)),AV$2,)</f>
        <v>0</v>
      </c>
      <c r="AW267" s="179">
        <f ca="1">IF(ISNUMBER(MATCH(DATEVALUE($A267),'recurring1_based on steps'!AW$1:AW$400,0)),AW$2,)</f>
        <v>0</v>
      </c>
      <c r="AX267" s="179">
        <f ca="1">IF(ISNUMBER(MATCH(DATEVALUE($A267),'recurring1_based on steps'!AX$1:AX$400,0)),AX$2,)</f>
        <v>0</v>
      </c>
      <c r="AY267" s="179">
        <f ca="1">IF(ISNUMBER(MATCH(DATEVALUE($A267),'recurring1_based on steps'!AY$1:AY$400,0)),AY$2,)</f>
        <v>0</v>
      </c>
    </row>
    <row r="268" spans="1:51" x14ac:dyDescent="0.2">
      <c r="A268" s="32" t="str">
        <f t="shared" ca="1" si="4"/>
        <v>2025-12-26</v>
      </c>
      <c r="B268" s="179">
        <f ca="1">IF(ISNUMBER(MATCH(DATEVALUE($A268),'recurring1_based on steps'!B$1:B$400,0)),B$2,)</f>
        <v>0</v>
      </c>
      <c r="C268" s="179">
        <f ca="1">IF(ISNUMBER(MATCH(DATEVALUE($A268),'recurring1_based on steps'!C$1:C$400,0)),C$2,)</f>
        <v>0</v>
      </c>
      <c r="D268" s="179">
        <f ca="1">IF(ISNUMBER(MATCH(DATEVALUE($A268),'recurring1_based on steps'!D$1:D$400,0)),D$2,)</f>
        <v>0</v>
      </c>
      <c r="E268" s="179">
        <f ca="1">IF(ISNUMBER(MATCH(DATEVALUE($A268),'recurring1_based on steps'!E$1:E$400,0)),E$2,)</f>
        <v>0</v>
      </c>
      <c r="F268" s="179">
        <f ca="1">IF(ISNUMBER(MATCH(DATEVALUE($A268),'recurring1_based on steps'!F$1:F$400,0)),F$2,)</f>
        <v>0</v>
      </c>
      <c r="G268" s="179">
        <f ca="1">IF(ISNUMBER(MATCH(DATEVALUE($A268),'recurring1_based on steps'!G$1:G$400,0)),G$2,)</f>
        <v>0</v>
      </c>
      <c r="H268" s="179">
        <f ca="1">IF(ISNUMBER(MATCH(DATEVALUE($A268),'recurring1_based on steps'!H$1:H$400,0)),H$2,)</f>
        <v>0</v>
      </c>
      <c r="I268" s="179">
        <f ca="1">IF(ISNUMBER(MATCH(DATEVALUE($A268),'recurring1_based on steps'!I$1:I$400,0)),I$2,)</f>
        <v>0</v>
      </c>
      <c r="J268" s="179">
        <f ca="1">IF(ISNUMBER(MATCH(DATEVALUE($A268),'recurring1_based on steps'!J$1:J$400,0)),J$2,)</f>
        <v>0</v>
      </c>
      <c r="K268" s="179">
        <f ca="1">IF(ISNUMBER(MATCH(DATEVALUE($A268),'recurring1_based on steps'!K$1:K$400,0)),K$2,)</f>
        <v>0</v>
      </c>
      <c r="L268" s="179">
        <f ca="1">IF(ISNUMBER(MATCH(DATEVALUE($A268),'recurring1_based on steps'!L$1:L$400,0)),L$2,)</f>
        <v>0</v>
      </c>
      <c r="M268" s="179">
        <f ca="1">IF(ISNUMBER(MATCH(DATEVALUE($A268),'recurring1_based on steps'!M$1:M$400,0)),M$2,)</f>
        <v>0</v>
      </c>
      <c r="N268" s="179">
        <f ca="1">IF(ISNUMBER(MATCH(DATEVALUE($A268),'recurring1_based on steps'!N$1:N$400,0)),N$2,)</f>
        <v>0</v>
      </c>
      <c r="O268" s="179">
        <f ca="1">IF(ISNUMBER(MATCH(DATEVALUE($A268),'recurring1_based on steps'!O$1:O$400,0)),O$2,)</f>
        <v>0</v>
      </c>
      <c r="P268" s="179">
        <f ca="1">IF(ISNUMBER(MATCH(DATEVALUE($A268),'recurring1_based on steps'!P$1:P$400,0)),P$2,)</f>
        <v>0</v>
      </c>
      <c r="Q268" s="179">
        <f ca="1">IF(ISNUMBER(MATCH(DATEVALUE($A268),'recurring1_based on steps'!Q$1:Q$400,0)),Q$2,)</f>
        <v>0</v>
      </c>
      <c r="R268" s="179">
        <f ca="1">IF(ISNUMBER(MATCH(DATEVALUE($A268),'recurring1_based on steps'!R$1:R$400,0)),R$2,)</f>
        <v>0</v>
      </c>
      <c r="S268" s="179">
        <f ca="1">IF(ISNUMBER(MATCH(DATEVALUE($A268),'recurring1_based on steps'!S$1:S$400,0)),S$2,)</f>
        <v>0</v>
      </c>
      <c r="T268" s="179">
        <f ca="1">IF(ISNUMBER(MATCH(DATEVALUE($A268),'recurring1_based on steps'!T$1:T$400,0)),T$2,)</f>
        <v>0</v>
      </c>
      <c r="U268" s="179">
        <f ca="1">IF(ISNUMBER(MATCH(DATEVALUE($A268),'recurring1_based on steps'!U$1:U$400,0)),U$2,)</f>
        <v>0</v>
      </c>
      <c r="V268" s="179">
        <f ca="1">IF(ISNUMBER(MATCH(DATEVALUE($A268),'recurring1_based on steps'!V$1:V$400,0)),V$2,)</f>
        <v>0</v>
      </c>
      <c r="W268" s="179">
        <f ca="1">IF(ISNUMBER(MATCH(DATEVALUE($A268),'recurring1_based on steps'!W$1:W$400,0)),W$2,)</f>
        <v>0</v>
      </c>
      <c r="X268" s="179">
        <f ca="1">IF(ISNUMBER(MATCH(DATEVALUE($A268),'recurring1_based on steps'!X$1:X$400,0)),X$2,)</f>
        <v>0</v>
      </c>
      <c r="Y268" s="179">
        <f ca="1">IF(ISNUMBER(MATCH(DATEVALUE($A268),'recurring1_based on steps'!Y$1:Y$400,0)),Y$2,)</f>
        <v>0</v>
      </c>
      <c r="Z268" s="179">
        <f ca="1">IF(ISNUMBER(MATCH(DATEVALUE($A268),'recurring1_based on steps'!Z$1:Z$400,0)),Z$2,)</f>
        <v>0</v>
      </c>
      <c r="AA268" s="179">
        <f ca="1">IF(ISNUMBER(MATCH(DATEVALUE($A268),'recurring1_based on steps'!AA$1:AA$400,0)),AA$2,)</f>
        <v>0</v>
      </c>
      <c r="AB268" s="179">
        <f ca="1">IF(ISNUMBER(MATCH(DATEVALUE($A268),'recurring1_based on steps'!AB$1:AB$400,0)),AB$2,)</f>
        <v>0</v>
      </c>
      <c r="AC268" s="179">
        <f ca="1">IF(ISNUMBER(MATCH(DATEVALUE($A268),'recurring1_based on steps'!AC$1:AC$400,0)),AC$2,)</f>
        <v>0</v>
      </c>
      <c r="AD268" s="179">
        <f ca="1">IF(ISNUMBER(MATCH(DATEVALUE($A268),'recurring1_based on steps'!AD$1:AD$400,0)),AD$2,)</f>
        <v>0</v>
      </c>
      <c r="AE268" s="179">
        <f ca="1">IF(ISNUMBER(MATCH(DATEVALUE($A268),'recurring1_based on steps'!AE$1:AE$400,0)),AE$2,)</f>
        <v>0</v>
      </c>
      <c r="AF268" s="179">
        <f ca="1">IF(ISNUMBER(MATCH(DATEVALUE($A268),'recurring1_based on steps'!AF$1:AF$400,0)),AF$2,)</f>
        <v>0</v>
      </c>
      <c r="AG268" s="179">
        <f ca="1">IF(ISNUMBER(MATCH(DATEVALUE($A268),'recurring1_based on steps'!AG$1:AG$400,0)),AG$2,)</f>
        <v>0</v>
      </c>
      <c r="AH268" s="179">
        <f ca="1">IF(ISNUMBER(MATCH(DATEVALUE($A268),'recurring1_based on steps'!AH$1:AH$400,0)),AH$2,)</f>
        <v>0</v>
      </c>
      <c r="AI268" s="179">
        <f ca="1">IF(ISNUMBER(MATCH(DATEVALUE($A268),'recurring1_based on steps'!AI$1:AI$400,0)),AI$2,)</f>
        <v>0</v>
      </c>
      <c r="AJ268" s="179">
        <f ca="1">IF(ISNUMBER(MATCH(DATEVALUE($A268),'recurring1_based on steps'!AJ$1:AJ$400,0)),AJ$2,)</f>
        <v>0</v>
      </c>
      <c r="AK268" s="179">
        <f ca="1">IF(ISNUMBER(MATCH(DATEVALUE($A268),'recurring1_based on steps'!AK$1:AK$400,0)),AK$2,)</f>
        <v>0</v>
      </c>
      <c r="AL268" s="179">
        <f ca="1">IF(ISNUMBER(MATCH(DATEVALUE($A268),'recurring1_based on steps'!AL$1:AL$400,0)),AL$2,)</f>
        <v>0</v>
      </c>
      <c r="AM268" s="179">
        <f ca="1">IF(ISNUMBER(MATCH(DATEVALUE($A268),'recurring1_based on steps'!AM$1:AM$400,0)),AM$2,)</f>
        <v>0</v>
      </c>
      <c r="AN268" s="179">
        <f ca="1">IF(ISNUMBER(MATCH(DATEVALUE($A268),'recurring1_based on steps'!AN$1:AN$400,0)),AN$2,)</f>
        <v>0</v>
      </c>
      <c r="AO268" s="179">
        <f ca="1">IF(ISNUMBER(MATCH(DATEVALUE($A268),'recurring1_based on steps'!AO$1:AO$400,0)),AO$2,)</f>
        <v>0</v>
      </c>
      <c r="AP268" s="179">
        <f ca="1">IF(ISNUMBER(MATCH(DATEVALUE($A268),'recurring1_based on steps'!AP$1:AP$400,0)),AP$2,)</f>
        <v>0</v>
      </c>
      <c r="AQ268" s="179">
        <f ca="1">IF(ISNUMBER(MATCH(DATEVALUE($A268),'recurring1_based on steps'!AQ$1:AQ$400,0)),AQ$2,)</f>
        <v>0</v>
      </c>
      <c r="AR268" s="179">
        <f ca="1">IF(ISNUMBER(MATCH(DATEVALUE($A268),'recurring1_based on steps'!AR$1:AR$400,0)),AR$2,)</f>
        <v>0</v>
      </c>
      <c r="AS268" s="179">
        <f ca="1">IF(ISNUMBER(MATCH(DATEVALUE($A268),'recurring1_based on steps'!AS$1:AS$400,0)),AS$2,)</f>
        <v>0</v>
      </c>
      <c r="AT268" s="179">
        <f ca="1">IF(ISNUMBER(MATCH(DATEVALUE($A268),'recurring1_based on steps'!AT$1:AT$400,0)),AT$2,)</f>
        <v>0</v>
      </c>
      <c r="AU268" s="179">
        <f ca="1">IF(ISNUMBER(MATCH(DATEVALUE($A268),'recurring1_based on steps'!AU$1:AU$400,0)),AU$2,)</f>
        <v>0</v>
      </c>
      <c r="AV268" s="179">
        <f ca="1">IF(ISNUMBER(MATCH(DATEVALUE($A268),'recurring1_based on steps'!AV$1:AV$400,0)),AV$2,)</f>
        <v>0</v>
      </c>
      <c r="AW268" s="179">
        <f ca="1">IF(ISNUMBER(MATCH(DATEVALUE($A268),'recurring1_based on steps'!AW$1:AW$400,0)),AW$2,)</f>
        <v>0</v>
      </c>
      <c r="AX268" s="179">
        <f ca="1">IF(ISNUMBER(MATCH(DATEVALUE($A268),'recurring1_based on steps'!AX$1:AX$400,0)),AX$2,)</f>
        <v>0</v>
      </c>
      <c r="AY268" s="179">
        <f ca="1">IF(ISNUMBER(MATCH(DATEVALUE($A268),'recurring1_based on steps'!AY$1:AY$400,0)),AY$2,)</f>
        <v>0</v>
      </c>
    </row>
    <row r="269" spans="1:51" x14ac:dyDescent="0.2">
      <c r="A269" s="32" t="str">
        <f t="shared" ca="1" si="4"/>
        <v>2025-12-27</v>
      </c>
      <c r="B269" s="179">
        <f ca="1">IF(ISNUMBER(MATCH(DATEVALUE($A269),'recurring1_based on steps'!B$1:B$400,0)),B$2,)</f>
        <v>0</v>
      </c>
      <c r="C269" s="179">
        <f ca="1">IF(ISNUMBER(MATCH(DATEVALUE($A269),'recurring1_based on steps'!C$1:C$400,0)),C$2,)</f>
        <v>0</v>
      </c>
      <c r="D269" s="179">
        <f ca="1">IF(ISNUMBER(MATCH(DATEVALUE($A269),'recurring1_based on steps'!D$1:D$400,0)),D$2,)</f>
        <v>0</v>
      </c>
      <c r="E269" s="179">
        <f ca="1">IF(ISNUMBER(MATCH(DATEVALUE($A269),'recurring1_based on steps'!E$1:E$400,0)),E$2,)</f>
        <v>0</v>
      </c>
      <c r="F269" s="179">
        <f ca="1">IF(ISNUMBER(MATCH(DATEVALUE($A269),'recurring1_based on steps'!F$1:F$400,0)),F$2,)</f>
        <v>0</v>
      </c>
      <c r="G269" s="179">
        <f ca="1">IF(ISNUMBER(MATCH(DATEVALUE($A269),'recurring1_based on steps'!G$1:G$400,0)),G$2,)</f>
        <v>0</v>
      </c>
      <c r="H269" s="179">
        <f ca="1">IF(ISNUMBER(MATCH(DATEVALUE($A269),'recurring1_based on steps'!H$1:H$400,0)),H$2,)</f>
        <v>0</v>
      </c>
      <c r="I269" s="179">
        <f ca="1">IF(ISNUMBER(MATCH(DATEVALUE($A269),'recurring1_based on steps'!I$1:I$400,0)),I$2,)</f>
        <v>0</v>
      </c>
      <c r="J269" s="179">
        <f ca="1">IF(ISNUMBER(MATCH(DATEVALUE($A269),'recurring1_based on steps'!J$1:J$400,0)),J$2,)</f>
        <v>0</v>
      </c>
      <c r="K269" s="179">
        <f ca="1">IF(ISNUMBER(MATCH(DATEVALUE($A269),'recurring1_based on steps'!K$1:K$400,0)),K$2,)</f>
        <v>0</v>
      </c>
      <c r="L269" s="179">
        <f ca="1">IF(ISNUMBER(MATCH(DATEVALUE($A269),'recurring1_based on steps'!L$1:L$400,0)),L$2,)</f>
        <v>0</v>
      </c>
      <c r="M269" s="179">
        <f ca="1">IF(ISNUMBER(MATCH(DATEVALUE($A269),'recurring1_based on steps'!M$1:M$400,0)),M$2,)</f>
        <v>0</v>
      </c>
      <c r="N269" s="179">
        <f ca="1">IF(ISNUMBER(MATCH(DATEVALUE($A269),'recurring1_based on steps'!N$1:N$400,0)),N$2,)</f>
        <v>0</v>
      </c>
      <c r="O269" s="179">
        <f ca="1">IF(ISNUMBER(MATCH(DATEVALUE($A269),'recurring1_based on steps'!O$1:O$400,0)),O$2,)</f>
        <v>0</v>
      </c>
      <c r="P269" s="179">
        <f ca="1">IF(ISNUMBER(MATCH(DATEVALUE($A269),'recurring1_based on steps'!P$1:P$400,0)),P$2,)</f>
        <v>0</v>
      </c>
      <c r="Q269" s="179">
        <f ca="1">IF(ISNUMBER(MATCH(DATEVALUE($A269),'recurring1_based on steps'!Q$1:Q$400,0)),Q$2,)</f>
        <v>0</v>
      </c>
      <c r="R269" s="179">
        <f ca="1">IF(ISNUMBER(MATCH(DATEVALUE($A269),'recurring1_based on steps'!R$1:R$400,0)),R$2,)</f>
        <v>0</v>
      </c>
      <c r="S269" s="179">
        <f ca="1">IF(ISNUMBER(MATCH(DATEVALUE($A269),'recurring1_based on steps'!S$1:S$400,0)),S$2,)</f>
        <v>0</v>
      </c>
      <c r="T269" s="179">
        <f ca="1">IF(ISNUMBER(MATCH(DATEVALUE($A269),'recurring1_based on steps'!T$1:T$400,0)),T$2,)</f>
        <v>0</v>
      </c>
      <c r="U269" s="179">
        <f ca="1">IF(ISNUMBER(MATCH(DATEVALUE($A269),'recurring1_based on steps'!U$1:U$400,0)),U$2,)</f>
        <v>0</v>
      </c>
      <c r="V269" s="179">
        <f ca="1">IF(ISNUMBER(MATCH(DATEVALUE($A269),'recurring1_based on steps'!V$1:V$400,0)),V$2,)</f>
        <v>0</v>
      </c>
      <c r="W269" s="179">
        <f ca="1">IF(ISNUMBER(MATCH(DATEVALUE($A269),'recurring1_based on steps'!W$1:W$400,0)),W$2,)</f>
        <v>0</v>
      </c>
      <c r="X269" s="179">
        <f ca="1">IF(ISNUMBER(MATCH(DATEVALUE($A269),'recurring1_based on steps'!X$1:X$400,0)),X$2,)</f>
        <v>0</v>
      </c>
      <c r="Y269" s="179">
        <f ca="1">IF(ISNUMBER(MATCH(DATEVALUE($A269),'recurring1_based on steps'!Y$1:Y$400,0)),Y$2,)</f>
        <v>0</v>
      </c>
      <c r="Z269" s="179">
        <f ca="1">IF(ISNUMBER(MATCH(DATEVALUE($A269),'recurring1_based on steps'!Z$1:Z$400,0)),Z$2,)</f>
        <v>0</v>
      </c>
      <c r="AA269" s="179">
        <f ca="1">IF(ISNUMBER(MATCH(DATEVALUE($A269),'recurring1_based on steps'!AA$1:AA$400,0)),AA$2,)</f>
        <v>0</v>
      </c>
      <c r="AB269" s="179">
        <f ca="1">IF(ISNUMBER(MATCH(DATEVALUE($A269),'recurring1_based on steps'!AB$1:AB$400,0)),AB$2,)</f>
        <v>0</v>
      </c>
      <c r="AC269" s="179">
        <f ca="1">IF(ISNUMBER(MATCH(DATEVALUE($A269),'recurring1_based on steps'!AC$1:AC$400,0)),AC$2,)</f>
        <v>0</v>
      </c>
      <c r="AD269" s="179">
        <f ca="1">IF(ISNUMBER(MATCH(DATEVALUE($A269),'recurring1_based on steps'!AD$1:AD$400,0)),AD$2,)</f>
        <v>0</v>
      </c>
      <c r="AE269" s="179">
        <f ca="1">IF(ISNUMBER(MATCH(DATEVALUE($A269),'recurring1_based on steps'!AE$1:AE$400,0)),AE$2,)</f>
        <v>0</v>
      </c>
      <c r="AF269" s="179">
        <f ca="1">IF(ISNUMBER(MATCH(DATEVALUE($A269),'recurring1_based on steps'!AF$1:AF$400,0)),AF$2,)</f>
        <v>0</v>
      </c>
      <c r="AG269" s="179">
        <f ca="1">IF(ISNUMBER(MATCH(DATEVALUE($A269),'recurring1_based on steps'!AG$1:AG$400,0)),AG$2,)</f>
        <v>0</v>
      </c>
      <c r="AH269" s="179">
        <f ca="1">IF(ISNUMBER(MATCH(DATEVALUE($A269),'recurring1_based on steps'!AH$1:AH$400,0)),AH$2,)</f>
        <v>0</v>
      </c>
      <c r="AI269" s="179">
        <f ca="1">IF(ISNUMBER(MATCH(DATEVALUE($A269),'recurring1_based on steps'!AI$1:AI$400,0)),AI$2,)</f>
        <v>0</v>
      </c>
      <c r="AJ269" s="179">
        <f ca="1">IF(ISNUMBER(MATCH(DATEVALUE($A269),'recurring1_based on steps'!AJ$1:AJ$400,0)),AJ$2,)</f>
        <v>0</v>
      </c>
      <c r="AK269" s="179">
        <f ca="1">IF(ISNUMBER(MATCH(DATEVALUE($A269),'recurring1_based on steps'!AK$1:AK$400,0)),AK$2,)</f>
        <v>0</v>
      </c>
      <c r="AL269" s="179">
        <f ca="1">IF(ISNUMBER(MATCH(DATEVALUE($A269),'recurring1_based on steps'!AL$1:AL$400,0)),AL$2,)</f>
        <v>0</v>
      </c>
      <c r="AM269" s="179">
        <f ca="1">IF(ISNUMBER(MATCH(DATEVALUE($A269),'recurring1_based on steps'!AM$1:AM$400,0)),AM$2,)</f>
        <v>0</v>
      </c>
      <c r="AN269" s="179">
        <f ca="1">IF(ISNUMBER(MATCH(DATEVALUE($A269),'recurring1_based on steps'!AN$1:AN$400,0)),AN$2,)</f>
        <v>0</v>
      </c>
      <c r="AO269" s="179">
        <f ca="1">IF(ISNUMBER(MATCH(DATEVALUE($A269),'recurring1_based on steps'!AO$1:AO$400,0)),AO$2,)</f>
        <v>0</v>
      </c>
      <c r="AP269" s="179">
        <f ca="1">IF(ISNUMBER(MATCH(DATEVALUE($A269),'recurring1_based on steps'!AP$1:AP$400,0)),AP$2,)</f>
        <v>0</v>
      </c>
      <c r="AQ269" s="179">
        <f ca="1">IF(ISNUMBER(MATCH(DATEVALUE($A269),'recurring1_based on steps'!AQ$1:AQ$400,0)),AQ$2,)</f>
        <v>0</v>
      </c>
      <c r="AR269" s="179">
        <f ca="1">IF(ISNUMBER(MATCH(DATEVALUE($A269),'recurring1_based on steps'!AR$1:AR$400,0)),AR$2,)</f>
        <v>0</v>
      </c>
      <c r="AS269" s="179">
        <f ca="1">IF(ISNUMBER(MATCH(DATEVALUE($A269),'recurring1_based on steps'!AS$1:AS$400,0)),AS$2,)</f>
        <v>0</v>
      </c>
      <c r="AT269" s="179">
        <f ca="1">IF(ISNUMBER(MATCH(DATEVALUE($A269),'recurring1_based on steps'!AT$1:AT$400,0)),AT$2,)</f>
        <v>0</v>
      </c>
      <c r="AU269" s="179">
        <f ca="1">IF(ISNUMBER(MATCH(DATEVALUE($A269),'recurring1_based on steps'!AU$1:AU$400,0)),AU$2,)</f>
        <v>0</v>
      </c>
      <c r="AV269" s="179">
        <f ca="1">IF(ISNUMBER(MATCH(DATEVALUE($A269),'recurring1_based on steps'!AV$1:AV$400,0)),AV$2,)</f>
        <v>0</v>
      </c>
      <c r="AW269" s="179">
        <f ca="1">IF(ISNUMBER(MATCH(DATEVALUE($A269),'recurring1_based on steps'!AW$1:AW$400,0)),AW$2,)</f>
        <v>0</v>
      </c>
      <c r="AX269" s="179">
        <f ca="1">IF(ISNUMBER(MATCH(DATEVALUE($A269),'recurring1_based on steps'!AX$1:AX$400,0)),AX$2,)</f>
        <v>0</v>
      </c>
      <c r="AY269" s="179">
        <f ca="1">IF(ISNUMBER(MATCH(DATEVALUE($A269),'recurring1_based on steps'!AY$1:AY$400,0)),AY$2,)</f>
        <v>0</v>
      </c>
    </row>
    <row r="270" spans="1:51" x14ac:dyDescent="0.2">
      <c r="A270" s="32" t="str">
        <f t="shared" ca="1" si="4"/>
        <v>2025-12-28</v>
      </c>
      <c r="B270" s="179">
        <f ca="1">IF(ISNUMBER(MATCH(DATEVALUE($A270),'recurring1_based on steps'!B$1:B$400,0)),B$2,)</f>
        <v>0</v>
      </c>
      <c r="C270" s="179">
        <f ca="1">IF(ISNUMBER(MATCH(DATEVALUE($A270),'recurring1_based on steps'!C$1:C$400,0)),C$2,)</f>
        <v>0</v>
      </c>
      <c r="D270" s="179">
        <f ca="1">IF(ISNUMBER(MATCH(DATEVALUE($A270),'recurring1_based on steps'!D$1:D$400,0)),D$2,)</f>
        <v>0</v>
      </c>
      <c r="E270" s="179">
        <f ca="1">IF(ISNUMBER(MATCH(DATEVALUE($A270),'recurring1_based on steps'!E$1:E$400,0)),E$2,)</f>
        <v>0</v>
      </c>
      <c r="F270" s="179">
        <f ca="1">IF(ISNUMBER(MATCH(DATEVALUE($A270),'recurring1_based on steps'!F$1:F$400,0)),F$2,)</f>
        <v>0</v>
      </c>
      <c r="G270" s="179">
        <f ca="1">IF(ISNUMBER(MATCH(DATEVALUE($A270),'recurring1_based on steps'!G$1:G$400,0)),G$2,)</f>
        <v>0</v>
      </c>
      <c r="H270" s="179">
        <f ca="1">IF(ISNUMBER(MATCH(DATEVALUE($A270),'recurring1_based on steps'!H$1:H$400,0)),H$2,)</f>
        <v>0</v>
      </c>
      <c r="I270" s="179">
        <f ca="1">IF(ISNUMBER(MATCH(DATEVALUE($A270),'recurring1_based on steps'!I$1:I$400,0)),I$2,)</f>
        <v>0</v>
      </c>
      <c r="J270" s="179">
        <f ca="1">IF(ISNUMBER(MATCH(DATEVALUE($A270),'recurring1_based on steps'!J$1:J$400,0)),J$2,)</f>
        <v>0</v>
      </c>
      <c r="K270" s="179">
        <f ca="1">IF(ISNUMBER(MATCH(DATEVALUE($A270),'recurring1_based on steps'!K$1:K$400,0)),K$2,)</f>
        <v>0</v>
      </c>
      <c r="L270" s="179">
        <f ca="1">IF(ISNUMBER(MATCH(DATEVALUE($A270),'recurring1_based on steps'!L$1:L$400,0)),L$2,)</f>
        <v>0</v>
      </c>
      <c r="M270" s="179">
        <f ca="1">IF(ISNUMBER(MATCH(DATEVALUE($A270),'recurring1_based on steps'!M$1:M$400,0)),M$2,)</f>
        <v>0</v>
      </c>
      <c r="N270" s="179">
        <f ca="1">IF(ISNUMBER(MATCH(DATEVALUE($A270),'recurring1_based on steps'!N$1:N$400,0)),N$2,)</f>
        <v>0</v>
      </c>
      <c r="O270" s="179">
        <f ca="1">IF(ISNUMBER(MATCH(DATEVALUE($A270),'recurring1_based on steps'!O$1:O$400,0)),O$2,)</f>
        <v>0</v>
      </c>
      <c r="P270" s="179">
        <f ca="1">IF(ISNUMBER(MATCH(DATEVALUE($A270),'recurring1_based on steps'!P$1:P$400,0)),P$2,)</f>
        <v>0</v>
      </c>
      <c r="Q270" s="179">
        <f ca="1">IF(ISNUMBER(MATCH(DATEVALUE($A270),'recurring1_based on steps'!Q$1:Q$400,0)),Q$2,)</f>
        <v>0</v>
      </c>
      <c r="R270" s="179">
        <f ca="1">IF(ISNUMBER(MATCH(DATEVALUE($A270),'recurring1_based on steps'!R$1:R$400,0)),R$2,)</f>
        <v>0</v>
      </c>
      <c r="S270" s="179">
        <f ca="1">IF(ISNUMBER(MATCH(DATEVALUE($A270),'recurring1_based on steps'!S$1:S$400,0)),S$2,)</f>
        <v>0</v>
      </c>
      <c r="T270" s="179">
        <f ca="1">IF(ISNUMBER(MATCH(DATEVALUE($A270),'recurring1_based on steps'!T$1:T$400,0)),T$2,)</f>
        <v>0</v>
      </c>
      <c r="U270" s="179">
        <f ca="1">IF(ISNUMBER(MATCH(DATEVALUE($A270),'recurring1_based on steps'!U$1:U$400,0)),U$2,)</f>
        <v>0</v>
      </c>
      <c r="V270" s="179">
        <f ca="1">IF(ISNUMBER(MATCH(DATEVALUE($A270),'recurring1_based on steps'!V$1:V$400,0)),V$2,)</f>
        <v>0</v>
      </c>
      <c r="W270" s="179">
        <f ca="1">IF(ISNUMBER(MATCH(DATEVALUE($A270),'recurring1_based on steps'!W$1:W$400,0)),W$2,)</f>
        <v>0</v>
      </c>
      <c r="X270" s="179">
        <f ca="1">IF(ISNUMBER(MATCH(DATEVALUE($A270),'recurring1_based on steps'!X$1:X$400,0)),X$2,)</f>
        <v>0</v>
      </c>
      <c r="Y270" s="179">
        <f ca="1">IF(ISNUMBER(MATCH(DATEVALUE($A270),'recurring1_based on steps'!Y$1:Y$400,0)),Y$2,)</f>
        <v>0</v>
      </c>
      <c r="Z270" s="179">
        <f ca="1">IF(ISNUMBER(MATCH(DATEVALUE($A270),'recurring1_based on steps'!Z$1:Z$400,0)),Z$2,)</f>
        <v>0</v>
      </c>
      <c r="AA270" s="179">
        <f ca="1">IF(ISNUMBER(MATCH(DATEVALUE($A270),'recurring1_based on steps'!AA$1:AA$400,0)),AA$2,)</f>
        <v>0</v>
      </c>
      <c r="AB270" s="179">
        <f ca="1">IF(ISNUMBER(MATCH(DATEVALUE($A270),'recurring1_based on steps'!AB$1:AB$400,0)),AB$2,)</f>
        <v>0</v>
      </c>
      <c r="AC270" s="179">
        <f ca="1">IF(ISNUMBER(MATCH(DATEVALUE($A270),'recurring1_based on steps'!AC$1:AC$400,0)),AC$2,)</f>
        <v>0</v>
      </c>
      <c r="AD270" s="179">
        <f ca="1">IF(ISNUMBER(MATCH(DATEVALUE($A270),'recurring1_based on steps'!AD$1:AD$400,0)),AD$2,)</f>
        <v>0</v>
      </c>
      <c r="AE270" s="179">
        <f ca="1">IF(ISNUMBER(MATCH(DATEVALUE($A270),'recurring1_based on steps'!AE$1:AE$400,0)),AE$2,)</f>
        <v>0</v>
      </c>
      <c r="AF270" s="179">
        <f ca="1">IF(ISNUMBER(MATCH(DATEVALUE($A270),'recurring1_based on steps'!AF$1:AF$400,0)),AF$2,)</f>
        <v>0</v>
      </c>
      <c r="AG270" s="179">
        <f ca="1">IF(ISNUMBER(MATCH(DATEVALUE($A270),'recurring1_based on steps'!AG$1:AG$400,0)),AG$2,)</f>
        <v>0</v>
      </c>
      <c r="AH270" s="179">
        <f ca="1">IF(ISNUMBER(MATCH(DATEVALUE($A270),'recurring1_based on steps'!AH$1:AH$400,0)),AH$2,)</f>
        <v>0</v>
      </c>
      <c r="AI270" s="179">
        <f ca="1">IF(ISNUMBER(MATCH(DATEVALUE($A270),'recurring1_based on steps'!AI$1:AI$400,0)),AI$2,)</f>
        <v>0</v>
      </c>
      <c r="AJ270" s="179">
        <f ca="1">IF(ISNUMBER(MATCH(DATEVALUE($A270),'recurring1_based on steps'!AJ$1:AJ$400,0)),AJ$2,)</f>
        <v>0</v>
      </c>
      <c r="AK270" s="179">
        <f ca="1">IF(ISNUMBER(MATCH(DATEVALUE($A270),'recurring1_based on steps'!AK$1:AK$400,0)),AK$2,)</f>
        <v>0</v>
      </c>
      <c r="AL270" s="179">
        <f ca="1">IF(ISNUMBER(MATCH(DATEVALUE($A270),'recurring1_based on steps'!AL$1:AL$400,0)),AL$2,)</f>
        <v>0</v>
      </c>
      <c r="AM270" s="179">
        <f ca="1">IF(ISNUMBER(MATCH(DATEVALUE($A270),'recurring1_based on steps'!AM$1:AM$400,0)),AM$2,)</f>
        <v>0</v>
      </c>
      <c r="AN270" s="179">
        <f ca="1">IF(ISNUMBER(MATCH(DATEVALUE($A270),'recurring1_based on steps'!AN$1:AN$400,0)),AN$2,)</f>
        <v>0</v>
      </c>
      <c r="AO270" s="179">
        <f ca="1">IF(ISNUMBER(MATCH(DATEVALUE($A270),'recurring1_based on steps'!AO$1:AO$400,0)),AO$2,)</f>
        <v>0</v>
      </c>
      <c r="AP270" s="179">
        <f ca="1">IF(ISNUMBER(MATCH(DATEVALUE($A270),'recurring1_based on steps'!AP$1:AP$400,0)),AP$2,)</f>
        <v>0</v>
      </c>
      <c r="AQ270" s="179">
        <f ca="1">IF(ISNUMBER(MATCH(DATEVALUE($A270),'recurring1_based on steps'!AQ$1:AQ$400,0)),AQ$2,)</f>
        <v>0</v>
      </c>
      <c r="AR270" s="179">
        <f ca="1">IF(ISNUMBER(MATCH(DATEVALUE($A270),'recurring1_based on steps'!AR$1:AR$400,0)),AR$2,)</f>
        <v>0</v>
      </c>
      <c r="AS270" s="179">
        <f ca="1">IF(ISNUMBER(MATCH(DATEVALUE($A270),'recurring1_based on steps'!AS$1:AS$400,0)),AS$2,)</f>
        <v>0</v>
      </c>
      <c r="AT270" s="179">
        <f ca="1">IF(ISNUMBER(MATCH(DATEVALUE($A270),'recurring1_based on steps'!AT$1:AT$400,0)),AT$2,)</f>
        <v>0</v>
      </c>
      <c r="AU270" s="179">
        <f ca="1">IF(ISNUMBER(MATCH(DATEVALUE($A270),'recurring1_based on steps'!AU$1:AU$400,0)),AU$2,)</f>
        <v>0</v>
      </c>
      <c r="AV270" s="179">
        <f ca="1">IF(ISNUMBER(MATCH(DATEVALUE($A270),'recurring1_based on steps'!AV$1:AV$400,0)),AV$2,)</f>
        <v>0</v>
      </c>
      <c r="AW270" s="179">
        <f ca="1">IF(ISNUMBER(MATCH(DATEVALUE($A270),'recurring1_based on steps'!AW$1:AW$400,0)),AW$2,)</f>
        <v>0</v>
      </c>
      <c r="AX270" s="179">
        <f ca="1">IF(ISNUMBER(MATCH(DATEVALUE($A270),'recurring1_based on steps'!AX$1:AX$400,0)),AX$2,)</f>
        <v>0</v>
      </c>
      <c r="AY270" s="179">
        <f ca="1">IF(ISNUMBER(MATCH(DATEVALUE($A270),'recurring1_based on steps'!AY$1:AY$400,0)),AY$2,)</f>
        <v>0</v>
      </c>
    </row>
    <row r="271" spans="1:51" x14ac:dyDescent="0.2">
      <c r="A271" s="32" t="str">
        <f t="shared" ca="1" si="4"/>
        <v>2025-12-29</v>
      </c>
      <c r="B271" s="179">
        <f ca="1">IF(ISNUMBER(MATCH(DATEVALUE($A271),'recurring1_based on steps'!B$1:B$400,0)),B$2,)</f>
        <v>0</v>
      </c>
      <c r="C271" s="179">
        <f ca="1">IF(ISNUMBER(MATCH(DATEVALUE($A271),'recurring1_based on steps'!C$1:C$400,0)),C$2,)</f>
        <v>0</v>
      </c>
      <c r="D271" s="179">
        <f ca="1">IF(ISNUMBER(MATCH(DATEVALUE($A271),'recurring1_based on steps'!D$1:D$400,0)),D$2,)</f>
        <v>0</v>
      </c>
      <c r="E271" s="179">
        <f ca="1">IF(ISNUMBER(MATCH(DATEVALUE($A271),'recurring1_based on steps'!E$1:E$400,0)),E$2,)</f>
        <v>0</v>
      </c>
      <c r="F271" s="179">
        <f ca="1">IF(ISNUMBER(MATCH(DATEVALUE($A271),'recurring1_based on steps'!F$1:F$400,0)),F$2,)</f>
        <v>0</v>
      </c>
      <c r="G271" s="179">
        <f ca="1">IF(ISNUMBER(MATCH(DATEVALUE($A271),'recurring1_based on steps'!G$1:G$400,0)),G$2,)</f>
        <v>0</v>
      </c>
      <c r="H271" s="179">
        <f ca="1">IF(ISNUMBER(MATCH(DATEVALUE($A271),'recurring1_based on steps'!H$1:H$400,0)),H$2,)</f>
        <v>0</v>
      </c>
      <c r="I271" s="179">
        <f ca="1">IF(ISNUMBER(MATCH(DATEVALUE($A271),'recurring1_based on steps'!I$1:I$400,0)),I$2,)</f>
        <v>0</v>
      </c>
      <c r="J271" s="179">
        <f ca="1">IF(ISNUMBER(MATCH(DATEVALUE($A271),'recurring1_based on steps'!J$1:J$400,0)),J$2,)</f>
        <v>0</v>
      </c>
      <c r="K271" s="179">
        <f ca="1">IF(ISNUMBER(MATCH(DATEVALUE($A271),'recurring1_based on steps'!K$1:K$400,0)),K$2,)</f>
        <v>0</v>
      </c>
      <c r="L271" s="179">
        <f ca="1">IF(ISNUMBER(MATCH(DATEVALUE($A271),'recurring1_based on steps'!L$1:L$400,0)),L$2,)</f>
        <v>0</v>
      </c>
      <c r="M271" s="179">
        <f ca="1">IF(ISNUMBER(MATCH(DATEVALUE($A271),'recurring1_based on steps'!M$1:M$400,0)),M$2,)</f>
        <v>0</v>
      </c>
      <c r="N271" s="179">
        <f ca="1">IF(ISNUMBER(MATCH(DATEVALUE($A271),'recurring1_based on steps'!N$1:N$400,0)),N$2,)</f>
        <v>0</v>
      </c>
      <c r="O271" s="179">
        <f ca="1">IF(ISNUMBER(MATCH(DATEVALUE($A271),'recurring1_based on steps'!O$1:O$400,0)),O$2,)</f>
        <v>0</v>
      </c>
      <c r="P271" s="179">
        <f ca="1">IF(ISNUMBER(MATCH(DATEVALUE($A271),'recurring1_based on steps'!P$1:P$400,0)),P$2,)</f>
        <v>0</v>
      </c>
      <c r="Q271" s="179">
        <f ca="1">IF(ISNUMBER(MATCH(DATEVALUE($A271),'recurring1_based on steps'!Q$1:Q$400,0)),Q$2,)</f>
        <v>0</v>
      </c>
      <c r="R271" s="179">
        <f ca="1">IF(ISNUMBER(MATCH(DATEVALUE($A271),'recurring1_based on steps'!R$1:R$400,0)),R$2,)</f>
        <v>0</v>
      </c>
      <c r="S271" s="179">
        <f ca="1">IF(ISNUMBER(MATCH(DATEVALUE($A271),'recurring1_based on steps'!S$1:S$400,0)),S$2,)</f>
        <v>0</v>
      </c>
      <c r="T271" s="179">
        <f ca="1">IF(ISNUMBER(MATCH(DATEVALUE($A271),'recurring1_based on steps'!T$1:T$400,0)),T$2,)</f>
        <v>0</v>
      </c>
      <c r="U271" s="179">
        <f ca="1">IF(ISNUMBER(MATCH(DATEVALUE($A271),'recurring1_based on steps'!U$1:U$400,0)),U$2,)</f>
        <v>0</v>
      </c>
      <c r="V271" s="179">
        <f ca="1">IF(ISNUMBER(MATCH(DATEVALUE($A271),'recurring1_based on steps'!V$1:V$400,0)),V$2,)</f>
        <v>0</v>
      </c>
      <c r="W271" s="179">
        <f ca="1">IF(ISNUMBER(MATCH(DATEVALUE($A271),'recurring1_based on steps'!W$1:W$400,0)),W$2,)</f>
        <v>0</v>
      </c>
      <c r="X271" s="179">
        <f ca="1">IF(ISNUMBER(MATCH(DATEVALUE($A271),'recurring1_based on steps'!X$1:X$400,0)),X$2,)</f>
        <v>0</v>
      </c>
      <c r="Y271" s="179">
        <f ca="1">IF(ISNUMBER(MATCH(DATEVALUE($A271),'recurring1_based on steps'!Y$1:Y$400,0)),Y$2,)</f>
        <v>0</v>
      </c>
      <c r="Z271" s="179">
        <f ca="1">IF(ISNUMBER(MATCH(DATEVALUE($A271),'recurring1_based on steps'!Z$1:Z$400,0)),Z$2,)</f>
        <v>0</v>
      </c>
      <c r="AA271" s="179">
        <f ca="1">IF(ISNUMBER(MATCH(DATEVALUE($A271),'recurring1_based on steps'!AA$1:AA$400,0)),AA$2,)</f>
        <v>0</v>
      </c>
      <c r="AB271" s="179">
        <f ca="1">IF(ISNUMBER(MATCH(DATEVALUE($A271),'recurring1_based on steps'!AB$1:AB$400,0)),AB$2,)</f>
        <v>0</v>
      </c>
      <c r="AC271" s="179">
        <f ca="1">IF(ISNUMBER(MATCH(DATEVALUE($A271),'recurring1_based on steps'!AC$1:AC$400,0)),AC$2,)</f>
        <v>0</v>
      </c>
      <c r="AD271" s="179">
        <f ca="1">IF(ISNUMBER(MATCH(DATEVALUE($A271),'recurring1_based on steps'!AD$1:AD$400,0)),AD$2,)</f>
        <v>0</v>
      </c>
      <c r="AE271" s="179">
        <f ca="1">IF(ISNUMBER(MATCH(DATEVALUE($A271),'recurring1_based on steps'!AE$1:AE$400,0)),AE$2,)</f>
        <v>0</v>
      </c>
      <c r="AF271" s="179">
        <f ca="1">IF(ISNUMBER(MATCH(DATEVALUE($A271),'recurring1_based on steps'!AF$1:AF$400,0)),AF$2,)</f>
        <v>0</v>
      </c>
      <c r="AG271" s="179">
        <f ca="1">IF(ISNUMBER(MATCH(DATEVALUE($A271),'recurring1_based on steps'!AG$1:AG$400,0)),AG$2,)</f>
        <v>0</v>
      </c>
      <c r="AH271" s="179">
        <f ca="1">IF(ISNUMBER(MATCH(DATEVALUE($A271),'recurring1_based on steps'!AH$1:AH$400,0)),AH$2,)</f>
        <v>0</v>
      </c>
      <c r="AI271" s="179">
        <f ca="1">IF(ISNUMBER(MATCH(DATEVALUE($A271),'recurring1_based on steps'!AI$1:AI$400,0)),AI$2,)</f>
        <v>0</v>
      </c>
      <c r="AJ271" s="179">
        <f ca="1">IF(ISNUMBER(MATCH(DATEVALUE($A271),'recurring1_based on steps'!AJ$1:AJ$400,0)),AJ$2,)</f>
        <v>0</v>
      </c>
      <c r="AK271" s="179">
        <f ca="1">IF(ISNUMBER(MATCH(DATEVALUE($A271),'recurring1_based on steps'!AK$1:AK$400,0)),AK$2,)</f>
        <v>0</v>
      </c>
      <c r="AL271" s="179">
        <f ca="1">IF(ISNUMBER(MATCH(DATEVALUE($A271),'recurring1_based on steps'!AL$1:AL$400,0)),AL$2,)</f>
        <v>0</v>
      </c>
      <c r="AM271" s="179">
        <f ca="1">IF(ISNUMBER(MATCH(DATEVALUE($A271),'recurring1_based on steps'!AM$1:AM$400,0)),AM$2,)</f>
        <v>0</v>
      </c>
      <c r="AN271" s="179">
        <f ca="1">IF(ISNUMBER(MATCH(DATEVALUE($A271),'recurring1_based on steps'!AN$1:AN$400,0)),AN$2,)</f>
        <v>0</v>
      </c>
      <c r="AO271" s="179">
        <f ca="1">IF(ISNUMBER(MATCH(DATEVALUE($A271),'recurring1_based on steps'!AO$1:AO$400,0)),AO$2,)</f>
        <v>0</v>
      </c>
      <c r="AP271" s="179">
        <f ca="1">IF(ISNUMBER(MATCH(DATEVALUE($A271),'recurring1_based on steps'!AP$1:AP$400,0)),AP$2,)</f>
        <v>0</v>
      </c>
      <c r="AQ271" s="179">
        <f ca="1">IF(ISNUMBER(MATCH(DATEVALUE($A271),'recurring1_based on steps'!AQ$1:AQ$400,0)),AQ$2,)</f>
        <v>0</v>
      </c>
      <c r="AR271" s="179">
        <f ca="1">IF(ISNUMBER(MATCH(DATEVALUE($A271),'recurring1_based on steps'!AR$1:AR$400,0)),AR$2,)</f>
        <v>0</v>
      </c>
      <c r="AS271" s="179">
        <f ca="1">IF(ISNUMBER(MATCH(DATEVALUE($A271),'recurring1_based on steps'!AS$1:AS$400,0)),AS$2,)</f>
        <v>0</v>
      </c>
      <c r="AT271" s="179">
        <f ca="1">IF(ISNUMBER(MATCH(DATEVALUE($A271),'recurring1_based on steps'!AT$1:AT$400,0)),AT$2,)</f>
        <v>0</v>
      </c>
      <c r="AU271" s="179">
        <f ca="1">IF(ISNUMBER(MATCH(DATEVALUE($A271),'recurring1_based on steps'!AU$1:AU$400,0)),AU$2,)</f>
        <v>0</v>
      </c>
      <c r="AV271" s="179">
        <f ca="1">IF(ISNUMBER(MATCH(DATEVALUE($A271),'recurring1_based on steps'!AV$1:AV$400,0)),AV$2,)</f>
        <v>0</v>
      </c>
      <c r="AW271" s="179">
        <f ca="1">IF(ISNUMBER(MATCH(DATEVALUE($A271),'recurring1_based on steps'!AW$1:AW$400,0)),AW$2,)</f>
        <v>0</v>
      </c>
      <c r="AX271" s="179">
        <f ca="1">IF(ISNUMBER(MATCH(DATEVALUE($A271),'recurring1_based on steps'!AX$1:AX$400,0)),AX$2,)</f>
        <v>0</v>
      </c>
      <c r="AY271" s="179">
        <f ca="1">IF(ISNUMBER(MATCH(DATEVALUE($A271),'recurring1_based on steps'!AY$1:AY$400,0)),AY$2,)</f>
        <v>0</v>
      </c>
    </row>
    <row r="272" spans="1:51" x14ac:dyDescent="0.2">
      <c r="A272" s="32" t="str">
        <f t="shared" ca="1" si="4"/>
        <v>2025-12-30</v>
      </c>
      <c r="B272" s="179">
        <f ca="1">IF(ISNUMBER(MATCH(DATEVALUE($A272),'recurring1_based on steps'!B$1:B$400,0)),B$2,)</f>
        <v>0</v>
      </c>
      <c r="C272" s="179">
        <f ca="1">IF(ISNUMBER(MATCH(DATEVALUE($A272),'recurring1_based on steps'!C$1:C$400,0)),C$2,)</f>
        <v>0</v>
      </c>
      <c r="D272" s="179">
        <f ca="1">IF(ISNUMBER(MATCH(DATEVALUE($A272),'recurring1_based on steps'!D$1:D$400,0)),D$2,)</f>
        <v>0</v>
      </c>
      <c r="E272" s="179">
        <f ca="1">IF(ISNUMBER(MATCH(DATEVALUE($A272),'recurring1_based on steps'!E$1:E$400,0)),E$2,)</f>
        <v>0</v>
      </c>
      <c r="F272" s="179">
        <f ca="1">IF(ISNUMBER(MATCH(DATEVALUE($A272),'recurring1_based on steps'!F$1:F$400,0)),F$2,)</f>
        <v>0</v>
      </c>
      <c r="G272" s="179">
        <f ca="1">IF(ISNUMBER(MATCH(DATEVALUE($A272),'recurring1_based on steps'!G$1:G$400,0)),G$2,)</f>
        <v>0</v>
      </c>
      <c r="H272" s="179">
        <f ca="1">IF(ISNUMBER(MATCH(DATEVALUE($A272),'recurring1_based on steps'!H$1:H$400,0)),H$2,)</f>
        <v>0</v>
      </c>
      <c r="I272" s="179">
        <f ca="1">IF(ISNUMBER(MATCH(DATEVALUE($A272),'recurring1_based on steps'!I$1:I$400,0)),I$2,)</f>
        <v>0</v>
      </c>
      <c r="J272" s="179">
        <f ca="1">IF(ISNUMBER(MATCH(DATEVALUE($A272),'recurring1_based on steps'!J$1:J$400,0)),J$2,)</f>
        <v>0</v>
      </c>
      <c r="K272" s="179">
        <f ca="1">IF(ISNUMBER(MATCH(DATEVALUE($A272),'recurring1_based on steps'!K$1:K$400,0)),K$2,)</f>
        <v>0</v>
      </c>
      <c r="L272" s="179">
        <f ca="1">IF(ISNUMBER(MATCH(DATEVALUE($A272),'recurring1_based on steps'!L$1:L$400,0)),L$2,)</f>
        <v>0</v>
      </c>
      <c r="M272" s="179">
        <f ca="1">IF(ISNUMBER(MATCH(DATEVALUE($A272),'recurring1_based on steps'!M$1:M$400,0)),M$2,)</f>
        <v>0</v>
      </c>
      <c r="N272" s="179">
        <f ca="1">IF(ISNUMBER(MATCH(DATEVALUE($A272),'recurring1_based on steps'!N$1:N$400,0)),N$2,)</f>
        <v>0</v>
      </c>
      <c r="O272" s="179">
        <f ca="1">IF(ISNUMBER(MATCH(DATEVALUE($A272),'recurring1_based on steps'!O$1:O$400,0)),O$2,)</f>
        <v>0</v>
      </c>
      <c r="P272" s="179">
        <f ca="1">IF(ISNUMBER(MATCH(DATEVALUE($A272),'recurring1_based on steps'!P$1:P$400,0)),P$2,)</f>
        <v>0</v>
      </c>
      <c r="Q272" s="179">
        <f ca="1">IF(ISNUMBER(MATCH(DATEVALUE($A272),'recurring1_based on steps'!Q$1:Q$400,0)),Q$2,)</f>
        <v>0</v>
      </c>
      <c r="R272" s="179">
        <f ca="1">IF(ISNUMBER(MATCH(DATEVALUE($A272),'recurring1_based on steps'!R$1:R$400,0)),R$2,)</f>
        <v>0</v>
      </c>
      <c r="S272" s="179">
        <f ca="1">IF(ISNUMBER(MATCH(DATEVALUE($A272),'recurring1_based on steps'!S$1:S$400,0)),S$2,)</f>
        <v>0</v>
      </c>
      <c r="T272" s="179">
        <f ca="1">IF(ISNUMBER(MATCH(DATEVALUE($A272),'recurring1_based on steps'!T$1:T$400,0)),T$2,)</f>
        <v>0</v>
      </c>
      <c r="U272" s="179">
        <f ca="1">IF(ISNUMBER(MATCH(DATEVALUE($A272),'recurring1_based on steps'!U$1:U$400,0)),U$2,)</f>
        <v>0</v>
      </c>
      <c r="V272" s="179">
        <f ca="1">IF(ISNUMBER(MATCH(DATEVALUE($A272),'recurring1_based on steps'!V$1:V$400,0)),V$2,)</f>
        <v>0</v>
      </c>
      <c r="W272" s="179">
        <f ca="1">IF(ISNUMBER(MATCH(DATEVALUE($A272),'recurring1_based on steps'!W$1:W$400,0)),W$2,)</f>
        <v>0</v>
      </c>
      <c r="X272" s="179">
        <f ca="1">IF(ISNUMBER(MATCH(DATEVALUE($A272),'recurring1_based on steps'!X$1:X$400,0)),X$2,)</f>
        <v>0</v>
      </c>
      <c r="Y272" s="179">
        <f ca="1">IF(ISNUMBER(MATCH(DATEVALUE($A272),'recurring1_based on steps'!Y$1:Y$400,0)),Y$2,)</f>
        <v>0</v>
      </c>
      <c r="Z272" s="179">
        <f ca="1">IF(ISNUMBER(MATCH(DATEVALUE($A272),'recurring1_based on steps'!Z$1:Z$400,0)),Z$2,)</f>
        <v>0</v>
      </c>
      <c r="AA272" s="179">
        <f ca="1">IF(ISNUMBER(MATCH(DATEVALUE($A272),'recurring1_based on steps'!AA$1:AA$400,0)),AA$2,)</f>
        <v>0</v>
      </c>
      <c r="AB272" s="179">
        <f ca="1">IF(ISNUMBER(MATCH(DATEVALUE($A272),'recurring1_based on steps'!AB$1:AB$400,0)),AB$2,)</f>
        <v>0</v>
      </c>
      <c r="AC272" s="179">
        <f ca="1">IF(ISNUMBER(MATCH(DATEVALUE($A272),'recurring1_based on steps'!AC$1:AC$400,0)),AC$2,)</f>
        <v>0</v>
      </c>
      <c r="AD272" s="179">
        <f ca="1">IF(ISNUMBER(MATCH(DATEVALUE($A272),'recurring1_based on steps'!AD$1:AD$400,0)),AD$2,)</f>
        <v>0</v>
      </c>
      <c r="AE272" s="179">
        <f ca="1">IF(ISNUMBER(MATCH(DATEVALUE($A272),'recurring1_based on steps'!AE$1:AE$400,0)),AE$2,)</f>
        <v>0</v>
      </c>
      <c r="AF272" s="179">
        <f ca="1">IF(ISNUMBER(MATCH(DATEVALUE($A272),'recurring1_based on steps'!AF$1:AF$400,0)),AF$2,)</f>
        <v>0</v>
      </c>
      <c r="AG272" s="179">
        <f ca="1">IF(ISNUMBER(MATCH(DATEVALUE($A272),'recurring1_based on steps'!AG$1:AG$400,0)),AG$2,)</f>
        <v>0</v>
      </c>
      <c r="AH272" s="179">
        <f ca="1">IF(ISNUMBER(MATCH(DATEVALUE($A272),'recurring1_based on steps'!AH$1:AH$400,0)),AH$2,)</f>
        <v>0</v>
      </c>
      <c r="AI272" s="179">
        <f ca="1">IF(ISNUMBER(MATCH(DATEVALUE($A272),'recurring1_based on steps'!AI$1:AI$400,0)),AI$2,)</f>
        <v>0</v>
      </c>
      <c r="AJ272" s="179">
        <f ca="1">IF(ISNUMBER(MATCH(DATEVALUE($A272),'recurring1_based on steps'!AJ$1:AJ$400,0)),AJ$2,)</f>
        <v>0</v>
      </c>
      <c r="AK272" s="179">
        <f ca="1">IF(ISNUMBER(MATCH(DATEVALUE($A272),'recurring1_based on steps'!AK$1:AK$400,0)),AK$2,)</f>
        <v>0</v>
      </c>
      <c r="AL272" s="179">
        <f ca="1">IF(ISNUMBER(MATCH(DATEVALUE($A272),'recurring1_based on steps'!AL$1:AL$400,0)),AL$2,)</f>
        <v>0</v>
      </c>
      <c r="AM272" s="179">
        <f ca="1">IF(ISNUMBER(MATCH(DATEVALUE($A272),'recurring1_based on steps'!AM$1:AM$400,0)),AM$2,)</f>
        <v>0</v>
      </c>
      <c r="AN272" s="179">
        <f ca="1">IF(ISNUMBER(MATCH(DATEVALUE($A272),'recurring1_based on steps'!AN$1:AN$400,0)),AN$2,)</f>
        <v>0</v>
      </c>
      <c r="AO272" s="179">
        <f ca="1">IF(ISNUMBER(MATCH(DATEVALUE($A272),'recurring1_based on steps'!AO$1:AO$400,0)),AO$2,)</f>
        <v>0</v>
      </c>
      <c r="AP272" s="179">
        <f ca="1">IF(ISNUMBER(MATCH(DATEVALUE($A272),'recurring1_based on steps'!AP$1:AP$400,0)),AP$2,)</f>
        <v>0</v>
      </c>
      <c r="AQ272" s="179">
        <f ca="1">IF(ISNUMBER(MATCH(DATEVALUE($A272),'recurring1_based on steps'!AQ$1:AQ$400,0)),AQ$2,)</f>
        <v>0</v>
      </c>
      <c r="AR272" s="179">
        <f ca="1">IF(ISNUMBER(MATCH(DATEVALUE($A272),'recurring1_based on steps'!AR$1:AR$400,0)),AR$2,)</f>
        <v>0</v>
      </c>
      <c r="AS272" s="179">
        <f ca="1">IF(ISNUMBER(MATCH(DATEVALUE($A272),'recurring1_based on steps'!AS$1:AS$400,0)),AS$2,)</f>
        <v>0</v>
      </c>
      <c r="AT272" s="179">
        <f ca="1">IF(ISNUMBER(MATCH(DATEVALUE($A272),'recurring1_based on steps'!AT$1:AT$400,0)),AT$2,)</f>
        <v>0</v>
      </c>
      <c r="AU272" s="179">
        <f ca="1">IF(ISNUMBER(MATCH(DATEVALUE($A272),'recurring1_based on steps'!AU$1:AU$400,0)),AU$2,)</f>
        <v>0</v>
      </c>
      <c r="AV272" s="179">
        <f ca="1">IF(ISNUMBER(MATCH(DATEVALUE($A272),'recurring1_based on steps'!AV$1:AV$400,0)),AV$2,)</f>
        <v>0</v>
      </c>
      <c r="AW272" s="179">
        <f ca="1">IF(ISNUMBER(MATCH(DATEVALUE($A272),'recurring1_based on steps'!AW$1:AW$400,0)),AW$2,)</f>
        <v>0</v>
      </c>
      <c r="AX272" s="179">
        <f ca="1">IF(ISNUMBER(MATCH(DATEVALUE($A272),'recurring1_based on steps'!AX$1:AX$400,0)),AX$2,)</f>
        <v>0</v>
      </c>
      <c r="AY272" s="179">
        <f ca="1">IF(ISNUMBER(MATCH(DATEVALUE($A272),'recurring1_based on steps'!AY$1:AY$400,0)),AY$2,)</f>
        <v>0</v>
      </c>
    </row>
    <row r="273" spans="1:51" x14ac:dyDescent="0.2">
      <c r="A273" s="32" t="str">
        <f t="shared" ca="1" si="4"/>
        <v>2025-12-31</v>
      </c>
      <c r="B273" s="179">
        <f ca="1">IF(ISNUMBER(MATCH(DATEVALUE($A273),'recurring1_based on steps'!B$1:B$400,0)),B$2,)</f>
        <v>0</v>
      </c>
      <c r="C273" s="179">
        <f ca="1">IF(ISNUMBER(MATCH(DATEVALUE($A273),'recurring1_based on steps'!C$1:C$400,0)),C$2,)</f>
        <v>0</v>
      </c>
      <c r="D273" s="179">
        <f ca="1">IF(ISNUMBER(MATCH(DATEVALUE($A273),'recurring1_based on steps'!D$1:D$400,0)),D$2,)</f>
        <v>0</v>
      </c>
      <c r="E273" s="179">
        <f ca="1">IF(ISNUMBER(MATCH(DATEVALUE($A273),'recurring1_based on steps'!E$1:E$400,0)),E$2,)</f>
        <v>0</v>
      </c>
      <c r="F273" s="179">
        <f ca="1">IF(ISNUMBER(MATCH(DATEVALUE($A273),'recurring1_based on steps'!F$1:F$400,0)),F$2,)</f>
        <v>0</v>
      </c>
      <c r="G273" s="179">
        <f ca="1">IF(ISNUMBER(MATCH(DATEVALUE($A273),'recurring1_based on steps'!G$1:G$400,0)),G$2,)</f>
        <v>0</v>
      </c>
      <c r="H273" s="179">
        <f ca="1">IF(ISNUMBER(MATCH(DATEVALUE($A273),'recurring1_based on steps'!H$1:H$400,0)),H$2,)</f>
        <v>0</v>
      </c>
      <c r="I273" s="179">
        <f ca="1">IF(ISNUMBER(MATCH(DATEVALUE($A273),'recurring1_based on steps'!I$1:I$400,0)),I$2,)</f>
        <v>0</v>
      </c>
      <c r="J273" s="179">
        <f ca="1">IF(ISNUMBER(MATCH(DATEVALUE($A273),'recurring1_based on steps'!J$1:J$400,0)),J$2,)</f>
        <v>0</v>
      </c>
      <c r="K273" s="179">
        <f ca="1">IF(ISNUMBER(MATCH(DATEVALUE($A273),'recurring1_based on steps'!K$1:K$400,0)),K$2,)</f>
        <v>0</v>
      </c>
      <c r="L273" s="179">
        <f ca="1">IF(ISNUMBER(MATCH(DATEVALUE($A273),'recurring1_based on steps'!L$1:L$400,0)),L$2,)</f>
        <v>0</v>
      </c>
      <c r="M273" s="179">
        <f ca="1">IF(ISNUMBER(MATCH(DATEVALUE($A273),'recurring1_based on steps'!M$1:M$400,0)),M$2,)</f>
        <v>0</v>
      </c>
      <c r="N273" s="179">
        <f ca="1">IF(ISNUMBER(MATCH(DATEVALUE($A273),'recurring1_based on steps'!N$1:N$400,0)),N$2,)</f>
        <v>0</v>
      </c>
      <c r="O273" s="179">
        <f ca="1">IF(ISNUMBER(MATCH(DATEVALUE($A273),'recurring1_based on steps'!O$1:O$400,0)),O$2,)</f>
        <v>0</v>
      </c>
      <c r="P273" s="179">
        <f ca="1">IF(ISNUMBER(MATCH(DATEVALUE($A273),'recurring1_based on steps'!P$1:P$400,0)),P$2,)</f>
        <v>0</v>
      </c>
      <c r="Q273" s="179">
        <f ca="1">IF(ISNUMBER(MATCH(DATEVALUE($A273),'recurring1_based on steps'!Q$1:Q$400,0)),Q$2,)</f>
        <v>0</v>
      </c>
      <c r="R273" s="179">
        <f ca="1">IF(ISNUMBER(MATCH(DATEVALUE($A273),'recurring1_based on steps'!R$1:R$400,0)),R$2,)</f>
        <v>0</v>
      </c>
      <c r="S273" s="179">
        <f ca="1">IF(ISNUMBER(MATCH(DATEVALUE($A273),'recurring1_based on steps'!S$1:S$400,0)),S$2,)</f>
        <v>0</v>
      </c>
      <c r="T273" s="179">
        <f ca="1">IF(ISNUMBER(MATCH(DATEVALUE($A273),'recurring1_based on steps'!T$1:T$400,0)),T$2,)</f>
        <v>0</v>
      </c>
      <c r="U273" s="179">
        <f ca="1">IF(ISNUMBER(MATCH(DATEVALUE($A273),'recurring1_based on steps'!U$1:U$400,0)),U$2,)</f>
        <v>0</v>
      </c>
      <c r="V273" s="179">
        <f ca="1">IF(ISNUMBER(MATCH(DATEVALUE($A273),'recurring1_based on steps'!V$1:V$400,0)),V$2,)</f>
        <v>0</v>
      </c>
      <c r="W273" s="179">
        <f ca="1">IF(ISNUMBER(MATCH(DATEVALUE($A273),'recurring1_based on steps'!W$1:W$400,0)),W$2,)</f>
        <v>0</v>
      </c>
      <c r="X273" s="179">
        <f ca="1">IF(ISNUMBER(MATCH(DATEVALUE($A273),'recurring1_based on steps'!X$1:X$400,0)),X$2,)</f>
        <v>0</v>
      </c>
      <c r="Y273" s="179">
        <f ca="1">IF(ISNUMBER(MATCH(DATEVALUE($A273),'recurring1_based on steps'!Y$1:Y$400,0)),Y$2,)</f>
        <v>0</v>
      </c>
      <c r="Z273" s="179">
        <f ca="1">IF(ISNUMBER(MATCH(DATEVALUE($A273),'recurring1_based on steps'!Z$1:Z$400,0)),Z$2,)</f>
        <v>0</v>
      </c>
      <c r="AA273" s="179">
        <f ca="1">IF(ISNUMBER(MATCH(DATEVALUE($A273),'recurring1_based on steps'!AA$1:AA$400,0)),AA$2,)</f>
        <v>0</v>
      </c>
      <c r="AB273" s="179">
        <f ca="1">IF(ISNUMBER(MATCH(DATEVALUE($A273),'recurring1_based on steps'!AB$1:AB$400,0)),AB$2,)</f>
        <v>0</v>
      </c>
      <c r="AC273" s="179">
        <f ca="1">IF(ISNUMBER(MATCH(DATEVALUE($A273),'recurring1_based on steps'!AC$1:AC$400,0)),AC$2,)</f>
        <v>0</v>
      </c>
      <c r="AD273" s="179">
        <f ca="1">IF(ISNUMBER(MATCH(DATEVALUE($A273),'recurring1_based on steps'!AD$1:AD$400,0)),AD$2,)</f>
        <v>0</v>
      </c>
      <c r="AE273" s="179">
        <f ca="1">IF(ISNUMBER(MATCH(DATEVALUE($A273),'recurring1_based on steps'!AE$1:AE$400,0)),AE$2,)</f>
        <v>0</v>
      </c>
      <c r="AF273" s="179">
        <f ca="1">IF(ISNUMBER(MATCH(DATEVALUE($A273),'recurring1_based on steps'!AF$1:AF$400,0)),AF$2,)</f>
        <v>0</v>
      </c>
      <c r="AG273" s="179">
        <f ca="1">IF(ISNUMBER(MATCH(DATEVALUE($A273),'recurring1_based on steps'!AG$1:AG$400,0)),AG$2,)</f>
        <v>0</v>
      </c>
      <c r="AH273" s="179">
        <f ca="1">IF(ISNUMBER(MATCH(DATEVALUE($A273),'recurring1_based on steps'!AH$1:AH$400,0)),AH$2,)</f>
        <v>0</v>
      </c>
      <c r="AI273" s="179">
        <f ca="1">IF(ISNUMBER(MATCH(DATEVALUE($A273),'recurring1_based on steps'!AI$1:AI$400,0)),AI$2,)</f>
        <v>0</v>
      </c>
      <c r="AJ273" s="179">
        <f ca="1">IF(ISNUMBER(MATCH(DATEVALUE($A273),'recurring1_based on steps'!AJ$1:AJ$400,0)),AJ$2,)</f>
        <v>0</v>
      </c>
      <c r="AK273" s="179">
        <f ca="1">IF(ISNUMBER(MATCH(DATEVALUE($A273),'recurring1_based on steps'!AK$1:AK$400,0)),AK$2,)</f>
        <v>0</v>
      </c>
      <c r="AL273" s="179">
        <f ca="1">IF(ISNUMBER(MATCH(DATEVALUE($A273),'recurring1_based on steps'!AL$1:AL$400,0)),AL$2,)</f>
        <v>0</v>
      </c>
      <c r="AM273" s="179">
        <f ca="1">IF(ISNUMBER(MATCH(DATEVALUE($A273),'recurring1_based on steps'!AM$1:AM$400,0)),AM$2,)</f>
        <v>0</v>
      </c>
      <c r="AN273" s="179">
        <f ca="1">IF(ISNUMBER(MATCH(DATEVALUE($A273),'recurring1_based on steps'!AN$1:AN$400,0)),AN$2,)</f>
        <v>0</v>
      </c>
      <c r="AO273" s="179">
        <f ca="1">IF(ISNUMBER(MATCH(DATEVALUE($A273),'recurring1_based on steps'!AO$1:AO$400,0)),AO$2,)</f>
        <v>0</v>
      </c>
      <c r="AP273" s="179">
        <f ca="1">IF(ISNUMBER(MATCH(DATEVALUE($A273),'recurring1_based on steps'!AP$1:AP$400,0)),AP$2,)</f>
        <v>0</v>
      </c>
      <c r="AQ273" s="179">
        <f ca="1">IF(ISNUMBER(MATCH(DATEVALUE($A273),'recurring1_based on steps'!AQ$1:AQ$400,0)),AQ$2,)</f>
        <v>0</v>
      </c>
      <c r="AR273" s="179">
        <f ca="1">IF(ISNUMBER(MATCH(DATEVALUE($A273),'recurring1_based on steps'!AR$1:AR$400,0)),AR$2,)</f>
        <v>0</v>
      </c>
      <c r="AS273" s="179">
        <f ca="1">IF(ISNUMBER(MATCH(DATEVALUE($A273),'recurring1_based on steps'!AS$1:AS$400,0)),AS$2,)</f>
        <v>0</v>
      </c>
      <c r="AT273" s="179">
        <f ca="1">IF(ISNUMBER(MATCH(DATEVALUE($A273),'recurring1_based on steps'!AT$1:AT$400,0)),AT$2,)</f>
        <v>0</v>
      </c>
      <c r="AU273" s="179">
        <f ca="1">IF(ISNUMBER(MATCH(DATEVALUE($A273),'recurring1_based on steps'!AU$1:AU$400,0)),AU$2,)</f>
        <v>0</v>
      </c>
      <c r="AV273" s="179">
        <f ca="1">IF(ISNUMBER(MATCH(DATEVALUE($A273),'recurring1_based on steps'!AV$1:AV$400,0)),AV$2,)</f>
        <v>0</v>
      </c>
      <c r="AW273" s="179">
        <f ca="1">IF(ISNUMBER(MATCH(DATEVALUE($A273),'recurring1_based on steps'!AW$1:AW$400,0)),AW$2,)</f>
        <v>0</v>
      </c>
      <c r="AX273" s="179">
        <f ca="1">IF(ISNUMBER(MATCH(DATEVALUE($A273),'recurring1_based on steps'!AX$1:AX$400,0)),AX$2,)</f>
        <v>0</v>
      </c>
      <c r="AY273" s="179">
        <f ca="1">IF(ISNUMBER(MATCH(DATEVALUE($A273),'recurring1_based on steps'!AY$1:AY$400,0)),AY$2,)</f>
        <v>0</v>
      </c>
    </row>
    <row r="274" spans="1:51" x14ac:dyDescent="0.2">
      <c r="A274" s="32" t="str">
        <f t="shared" ca="1" si="4"/>
        <v>2026-01-01</v>
      </c>
      <c r="B274" s="179">
        <f ca="1">IF(ISNUMBER(MATCH(DATEVALUE($A274),'recurring1_based on steps'!B$1:B$400,0)),B$2,)</f>
        <v>0</v>
      </c>
      <c r="C274" s="179">
        <f ca="1">IF(ISNUMBER(MATCH(DATEVALUE($A274),'recurring1_based on steps'!C$1:C$400,0)),C$2,)</f>
        <v>0</v>
      </c>
      <c r="D274" s="179">
        <f ca="1">IF(ISNUMBER(MATCH(DATEVALUE($A274),'recurring1_based on steps'!D$1:D$400,0)),D$2,)</f>
        <v>0</v>
      </c>
      <c r="E274" s="179">
        <f ca="1">IF(ISNUMBER(MATCH(DATEVALUE($A274),'recurring1_based on steps'!E$1:E$400,0)),E$2,)</f>
        <v>0</v>
      </c>
      <c r="F274" s="179">
        <f ca="1">IF(ISNUMBER(MATCH(DATEVALUE($A274),'recurring1_based on steps'!F$1:F$400,0)),F$2,)</f>
        <v>0</v>
      </c>
      <c r="G274" s="179">
        <f ca="1">IF(ISNUMBER(MATCH(DATEVALUE($A274),'recurring1_based on steps'!G$1:G$400,0)),G$2,)</f>
        <v>0</v>
      </c>
      <c r="H274" s="179">
        <f ca="1">IF(ISNUMBER(MATCH(DATEVALUE($A274),'recurring1_based on steps'!H$1:H$400,0)),H$2,)</f>
        <v>0</v>
      </c>
      <c r="I274" s="179">
        <f ca="1">IF(ISNUMBER(MATCH(DATEVALUE($A274),'recurring1_based on steps'!I$1:I$400,0)),I$2,)</f>
        <v>0</v>
      </c>
      <c r="J274" s="179">
        <f ca="1">IF(ISNUMBER(MATCH(DATEVALUE($A274),'recurring1_based on steps'!J$1:J$400,0)),J$2,)</f>
        <v>0</v>
      </c>
      <c r="K274" s="179">
        <f ca="1">IF(ISNUMBER(MATCH(DATEVALUE($A274),'recurring1_based on steps'!K$1:K$400,0)),K$2,)</f>
        <v>0</v>
      </c>
      <c r="L274" s="179">
        <f ca="1">IF(ISNUMBER(MATCH(DATEVALUE($A274),'recurring1_based on steps'!L$1:L$400,0)),L$2,)</f>
        <v>0</v>
      </c>
      <c r="M274" s="179">
        <f ca="1">IF(ISNUMBER(MATCH(DATEVALUE($A274),'recurring1_based on steps'!M$1:M$400,0)),M$2,)</f>
        <v>0</v>
      </c>
      <c r="N274" s="179">
        <f ca="1">IF(ISNUMBER(MATCH(DATEVALUE($A274),'recurring1_based on steps'!N$1:N$400,0)),N$2,)</f>
        <v>0</v>
      </c>
      <c r="O274" s="179">
        <f ca="1">IF(ISNUMBER(MATCH(DATEVALUE($A274),'recurring1_based on steps'!O$1:O$400,0)),O$2,)</f>
        <v>0</v>
      </c>
      <c r="P274" s="179">
        <f ca="1">IF(ISNUMBER(MATCH(DATEVALUE($A274),'recurring1_based on steps'!P$1:P$400,0)),P$2,)</f>
        <v>0</v>
      </c>
      <c r="Q274" s="179">
        <f ca="1">IF(ISNUMBER(MATCH(DATEVALUE($A274),'recurring1_based on steps'!Q$1:Q$400,0)),Q$2,)</f>
        <v>0</v>
      </c>
      <c r="R274" s="179">
        <f ca="1">IF(ISNUMBER(MATCH(DATEVALUE($A274),'recurring1_based on steps'!R$1:R$400,0)),R$2,)</f>
        <v>0</v>
      </c>
      <c r="S274" s="179">
        <f ca="1">IF(ISNUMBER(MATCH(DATEVALUE($A274),'recurring1_based on steps'!S$1:S$400,0)),S$2,)</f>
        <v>0</v>
      </c>
      <c r="T274" s="179">
        <f ca="1">IF(ISNUMBER(MATCH(DATEVALUE($A274),'recurring1_based on steps'!T$1:T$400,0)),T$2,)</f>
        <v>0</v>
      </c>
      <c r="U274" s="179">
        <f ca="1">IF(ISNUMBER(MATCH(DATEVALUE($A274),'recurring1_based on steps'!U$1:U$400,0)),U$2,)</f>
        <v>0</v>
      </c>
      <c r="V274" s="179">
        <f ca="1">IF(ISNUMBER(MATCH(DATEVALUE($A274),'recurring1_based on steps'!V$1:V$400,0)),V$2,)</f>
        <v>0</v>
      </c>
      <c r="W274" s="179">
        <f ca="1">IF(ISNUMBER(MATCH(DATEVALUE($A274),'recurring1_based on steps'!W$1:W$400,0)),W$2,)</f>
        <v>0</v>
      </c>
      <c r="X274" s="179">
        <f ca="1">IF(ISNUMBER(MATCH(DATEVALUE($A274),'recurring1_based on steps'!X$1:X$400,0)),X$2,)</f>
        <v>0</v>
      </c>
      <c r="Y274" s="179">
        <f ca="1">IF(ISNUMBER(MATCH(DATEVALUE($A274),'recurring1_based on steps'!Y$1:Y$400,0)),Y$2,)</f>
        <v>0</v>
      </c>
      <c r="Z274" s="179">
        <f ca="1">IF(ISNUMBER(MATCH(DATEVALUE($A274),'recurring1_based on steps'!Z$1:Z$400,0)),Z$2,)</f>
        <v>0</v>
      </c>
      <c r="AA274" s="179">
        <f ca="1">IF(ISNUMBER(MATCH(DATEVALUE($A274),'recurring1_based on steps'!AA$1:AA$400,0)),AA$2,)</f>
        <v>0</v>
      </c>
      <c r="AB274" s="179">
        <f ca="1">IF(ISNUMBER(MATCH(DATEVALUE($A274),'recurring1_based on steps'!AB$1:AB$400,0)),AB$2,)</f>
        <v>0</v>
      </c>
      <c r="AC274" s="179">
        <f ca="1">IF(ISNUMBER(MATCH(DATEVALUE($A274),'recurring1_based on steps'!AC$1:AC$400,0)),AC$2,)</f>
        <v>0</v>
      </c>
      <c r="AD274" s="179">
        <f ca="1">IF(ISNUMBER(MATCH(DATEVALUE($A274),'recurring1_based on steps'!AD$1:AD$400,0)),AD$2,)</f>
        <v>0</v>
      </c>
      <c r="AE274" s="179">
        <f ca="1">IF(ISNUMBER(MATCH(DATEVALUE($A274),'recurring1_based on steps'!AE$1:AE$400,0)),AE$2,)</f>
        <v>0</v>
      </c>
      <c r="AF274" s="179">
        <f ca="1">IF(ISNUMBER(MATCH(DATEVALUE($A274),'recurring1_based on steps'!AF$1:AF$400,0)),AF$2,)</f>
        <v>0</v>
      </c>
      <c r="AG274" s="179">
        <f ca="1">IF(ISNUMBER(MATCH(DATEVALUE($A274),'recurring1_based on steps'!AG$1:AG$400,0)),AG$2,)</f>
        <v>0</v>
      </c>
      <c r="AH274" s="179">
        <f ca="1">IF(ISNUMBER(MATCH(DATEVALUE($A274),'recurring1_based on steps'!AH$1:AH$400,0)),AH$2,)</f>
        <v>0</v>
      </c>
      <c r="AI274" s="179">
        <f ca="1">IF(ISNUMBER(MATCH(DATEVALUE($A274),'recurring1_based on steps'!AI$1:AI$400,0)),AI$2,)</f>
        <v>0</v>
      </c>
      <c r="AJ274" s="179">
        <f ca="1">IF(ISNUMBER(MATCH(DATEVALUE($A274),'recurring1_based on steps'!AJ$1:AJ$400,0)),AJ$2,)</f>
        <v>0</v>
      </c>
      <c r="AK274" s="179">
        <f ca="1">IF(ISNUMBER(MATCH(DATEVALUE($A274),'recurring1_based on steps'!AK$1:AK$400,0)),AK$2,)</f>
        <v>0</v>
      </c>
      <c r="AL274" s="179">
        <f ca="1">IF(ISNUMBER(MATCH(DATEVALUE($A274),'recurring1_based on steps'!AL$1:AL$400,0)),AL$2,)</f>
        <v>0</v>
      </c>
      <c r="AM274" s="179">
        <f ca="1">IF(ISNUMBER(MATCH(DATEVALUE($A274),'recurring1_based on steps'!AM$1:AM$400,0)),AM$2,)</f>
        <v>0</v>
      </c>
      <c r="AN274" s="179">
        <f ca="1">IF(ISNUMBER(MATCH(DATEVALUE($A274),'recurring1_based on steps'!AN$1:AN$400,0)),AN$2,)</f>
        <v>0</v>
      </c>
      <c r="AO274" s="179">
        <f ca="1">IF(ISNUMBER(MATCH(DATEVALUE($A274),'recurring1_based on steps'!AO$1:AO$400,0)),AO$2,)</f>
        <v>0</v>
      </c>
      <c r="AP274" s="179">
        <f ca="1">IF(ISNUMBER(MATCH(DATEVALUE($A274),'recurring1_based on steps'!AP$1:AP$400,0)),AP$2,)</f>
        <v>0</v>
      </c>
      <c r="AQ274" s="179">
        <f ca="1">IF(ISNUMBER(MATCH(DATEVALUE($A274),'recurring1_based on steps'!AQ$1:AQ$400,0)),AQ$2,)</f>
        <v>0</v>
      </c>
      <c r="AR274" s="179">
        <f ca="1">IF(ISNUMBER(MATCH(DATEVALUE($A274),'recurring1_based on steps'!AR$1:AR$400,0)),AR$2,)</f>
        <v>0</v>
      </c>
      <c r="AS274" s="179">
        <f ca="1">IF(ISNUMBER(MATCH(DATEVALUE($A274),'recurring1_based on steps'!AS$1:AS$400,0)),AS$2,)</f>
        <v>0</v>
      </c>
      <c r="AT274" s="179">
        <f ca="1">IF(ISNUMBER(MATCH(DATEVALUE($A274),'recurring1_based on steps'!AT$1:AT$400,0)),AT$2,)</f>
        <v>0</v>
      </c>
      <c r="AU274" s="179">
        <f ca="1">IF(ISNUMBER(MATCH(DATEVALUE($A274),'recurring1_based on steps'!AU$1:AU$400,0)),AU$2,)</f>
        <v>0</v>
      </c>
      <c r="AV274" s="179">
        <f ca="1">IF(ISNUMBER(MATCH(DATEVALUE($A274),'recurring1_based on steps'!AV$1:AV$400,0)),AV$2,)</f>
        <v>0</v>
      </c>
      <c r="AW274" s="179">
        <f ca="1">IF(ISNUMBER(MATCH(DATEVALUE($A274),'recurring1_based on steps'!AW$1:AW$400,0)),AW$2,)</f>
        <v>0</v>
      </c>
      <c r="AX274" s="179">
        <f ca="1">IF(ISNUMBER(MATCH(DATEVALUE($A274),'recurring1_based on steps'!AX$1:AX$400,0)),AX$2,)</f>
        <v>0</v>
      </c>
      <c r="AY274" s="179">
        <f ca="1">IF(ISNUMBER(MATCH(DATEVALUE($A274),'recurring1_based on steps'!AY$1:AY$400,0)),AY$2,)</f>
        <v>0</v>
      </c>
    </row>
    <row r="275" spans="1:51" x14ac:dyDescent="0.2">
      <c r="A275" s="32" t="str">
        <f t="shared" ca="1" si="4"/>
        <v>2026-01-02</v>
      </c>
      <c r="B275" s="179">
        <f ca="1">IF(ISNUMBER(MATCH(DATEVALUE($A275),'recurring1_based on steps'!B$1:B$400,0)),B$2,)</f>
        <v>0</v>
      </c>
      <c r="C275" s="179">
        <f ca="1">IF(ISNUMBER(MATCH(DATEVALUE($A275),'recurring1_based on steps'!C$1:C$400,0)),C$2,)</f>
        <v>0</v>
      </c>
      <c r="D275" s="179">
        <f ca="1">IF(ISNUMBER(MATCH(DATEVALUE($A275),'recurring1_based on steps'!D$1:D$400,0)),D$2,)</f>
        <v>0</v>
      </c>
      <c r="E275" s="179">
        <f ca="1">IF(ISNUMBER(MATCH(DATEVALUE($A275),'recurring1_based on steps'!E$1:E$400,0)),E$2,)</f>
        <v>0</v>
      </c>
      <c r="F275" s="179">
        <f ca="1">IF(ISNUMBER(MATCH(DATEVALUE($A275),'recurring1_based on steps'!F$1:F$400,0)),F$2,)</f>
        <v>0</v>
      </c>
      <c r="G275" s="179">
        <f ca="1">IF(ISNUMBER(MATCH(DATEVALUE($A275),'recurring1_based on steps'!G$1:G$400,0)),G$2,)</f>
        <v>0</v>
      </c>
      <c r="H275" s="179">
        <f ca="1">IF(ISNUMBER(MATCH(DATEVALUE($A275),'recurring1_based on steps'!H$1:H$400,0)),H$2,)</f>
        <v>0</v>
      </c>
      <c r="I275" s="179">
        <f ca="1">IF(ISNUMBER(MATCH(DATEVALUE($A275),'recurring1_based on steps'!I$1:I$400,0)),I$2,)</f>
        <v>0</v>
      </c>
      <c r="J275" s="179">
        <f ca="1">IF(ISNUMBER(MATCH(DATEVALUE($A275),'recurring1_based on steps'!J$1:J$400,0)),J$2,)</f>
        <v>0</v>
      </c>
      <c r="K275" s="179">
        <f ca="1">IF(ISNUMBER(MATCH(DATEVALUE($A275),'recurring1_based on steps'!K$1:K$400,0)),K$2,)</f>
        <v>0</v>
      </c>
      <c r="L275" s="179">
        <f ca="1">IF(ISNUMBER(MATCH(DATEVALUE($A275),'recurring1_based on steps'!L$1:L$400,0)),L$2,)</f>
        <v>0</v>
      </c>
      <c r="M275" s="179">
        <f ca="1">IF(ISNUMBER(MATCH(DATEVALUE($A275),'recurring1_based on steps'!M$1:M$400,0)),M$2,)</f>
        <v>0</v>
      </c>
      <c r="N275" s="179">
        <f ca="1">IF(ISNUMBER(MATCH(DATEVALUE($A275),'recurring1_based on steps'!N$1:N$400,0)),N$2,)</f>
        <v>0</v>
      </c>
      <c r="O275" s="179">
        <f ca="1">IF(ISNUMBER(MATCH(DATEVALUE($A275),'recurring1_based on steps'!O$1:O$400,0)),O$2,)</f>
        <v>0</v>
      </c>
      <c r="P275" s="179">
        <f ca="1">IF(ISNUMBER(MATCH(DATEVALUE($A275),'recurring1_based on steps'!P$1:P$400,0)),P$2,)</f>
        <v>0</v>
      </c>
      <c r="Q275" s="179">
        <f ca="1">IF(ISNUMBER(MATCH(DATEVALUE($A275),'recurring1_based on steps'!Q$1:Q$400,0)),Q$2,)</f>
        <v>0</v>
      </c>
      <c r="R275" s="179">
        <f ca="1">IF(ISNUMBER(MATCH(DATEVALUE($A275),'recurring1_based on steps'!R$1:R$400,0)),R$2,)</f>
        <v>0</v>
      </c>
      <c r="S275" s="179">
        <f ca="1">IF(ISNUMBER(MATCH(DATEVALUE($A275),'recurring1_based on steps'!S$1:S$400,0)),S$2,)</f>
        <v>0</v>
      </c>
      <c r="T275" s="179">
        <f ca="1">IF(ISNUMBER(MATCH(DATEVALUE($A275),'recurring1_based on steps'!T$1:T$400,0)),T$2,)</f>
        <v>0</v>
      </c>
      <c r="U275" s="179">
        <f ca="1">IF(ISNUMBER(MATCH(DATEVALUE($A275),'recurring1_based on steps'!U$1:U$400,0)),U$2,)</f>
        <v>0</v>
      </c>
      <c r="V275" s="179">
        <f ca="1">IF(ISNUMBER(MATCH(DATEVALUE($A275),'recurring1_based on steps'!V$1:V$400,0)),V$2,)</f>
        <v>0</v>
      </c>
      <c r="W275" s="179">
        <f ca="1">IF(ISNUMBER(MATCH(DATEVALUE($A275),'recurring1_based on steps'!W$1:W$400,0)),W$2,)</f>
        <v>0</v>
      </c>
      <c r="X275" s="179">
        <f ca="1">IF(ISNUMBER(MATCH(DATEVALUE($A275),'recurring1_based on steps'!X$1:X$400,0)),X$2,)</f>
        <v>0</v>
      </c>
      <c r="Y275" s="179">
        <f ca="1">IF(ISNUMBER(MATCH(DATEVALUE($A275),'recurring1_based on steps'!Y$1:Y$400,0)),Y$2,)</f>
        <v>0</v>
      </c>
      <c r="Z275" s="179">
        <f ca="1">IF(ISNUMBER(MATCH(DATEVALUE($A275),'recurring1_based on steps'!Z$1:Z$400,0)),Z$2,)</f>
        <v>0</v>
      </c>
      <c r="AA275" s="179">
        <f ca="1">IF(ISNUMBER(MATCH(DATEVALUE($A275),'recurring1_based on steps'!AA$1:AA$400,0)),AA$2,)</f>
        <v>0</v>
      </c>
      <c r="AB275" s="179">
        <f ca="1">IF(ISNUMBER(MATCH(DATEVALUE($A275),'recurring1_based on steps'!AB$1:AB$400,0)),AB$2,)</f>
        <v>0</v>
      </c>
      <c r="AC275" s="179">
        <f ca="1">IF(ISNUMBER(MATCH(DATEVALUE($A275),'recurring1_based on steps'!AC$1:AC$400,0)),AC$2,)</f>
        <v>0</v>
      </c>
      <c r="AD275" s="179">
        <f ca="1">IF(ISNUMBER(MATCH(DATEVALUE($A275),'recurring1_based on steps'!AD$1:AD$400,0)),AD$2,)</f>
        <v>0</v>
      </c>
      <c r="AE275" s="179">
        <f ca="1">IF(ISNUMBER(MATCH(DATEVALUE($A275),'recurring1_based on steps'!AE$1:AE$400,0)),AE$2,)</f>
        <v>0</v>
      </c>
      <c r="AF275" s="179">
        <f ca="1">IF(ISNUMBER(MATCH(DATEVALUE($A275),'recurring1_based on steps'!AF$1:AF$400,0)),AF$2,)</f>
        <v>0</v>
      </c>
      <c r="AG275" s="179">
        <f ca="1">IF(ISNUMBER(MATCH(DATEVALUE($A275),'recurring1_based on steps'!AG$1:AG$400,0)),AG$2,)</f>
        <v>0</v>
      </c>
      <c r="AH275" s="179">
        <f ca="1">IF(ISNUMBER(MATCH(DATEVALUE($A275),'recurring1_based on steps'!AH$1:AH$400,0)),AH$2,)</f>
        <v>0</v>
      </c>
      <c r="AI275" s="179">
        <f ca="1">IF(ISNUMBER(MATCH(DATEVALUE($A275),'recurring1_based on steps'!AI$1:AI$400,0)),AI$2,)</f>
        <v>0</v>
      </c>
      <c r="AJ275" s="179">
        <f ca="1">IF(ISNUMBER(MATCH(DATEVALUE($A275),'recurring1_based on steps'!AJ$1:AJ$400,0)),AJ$2,)</f>
        <v>0</v>
      </c>
      <c r="AK275" s="179">
        <f ca="1">IF(ISNUMBER(MATCH(DATEVALUE($A275),'recurring1_based on steps'!AK$1:AK$400,0)),AK$2,)</f>
        <v>0</v>
      </c>
      <c r="AL275" s="179">
        <f ca="1">IF(ISNUMBER(MATCH(DATEVALUE($A275),'recurring1_based on steps'!AL$1:AL$400,0)),AL$2,)</f>
        <v>0</v>
      </c>
      <c r="AM275" s="179">
        <f ca="1">IF(ISNUMBER(MATCH(DATEVALUE($A275),'recurring1_based on steps'!AM$1:AM$400,0)),AM$2,)</f>
        <v>0</v>
      </c>
      <c r="AN275" s="179">
        <f ca="1">IF(ISNUMBER(MATCH(DATEVALUE($A275),'recurring1_based on steps'!AN$1:AN$400,0)),AN$2,)</f>
        <v>0</v>
      </c>
      <c r="AO275" s="179">
        <f ca="1">IF(ISNUMBER(MATCH(DATEVALUE($A275),'recurring1_based on steps'!AO$1:AO$400,0)),AO$2,)</f>
        <v>0</v>
      </c>
      <c r="AP275" s="179">
        <f ca="1">IF(ISNUMBER(MATCH(DATEVALUE($A275),'recurring1_based on steps'!AP$1:AP$400,0)),AP$2,)</f>
        <v>0</v>
      </c>
      <c r="AQ275" s="179">
        <f ca="1">IF(ISNUMBER(MATCH(DATEVALUE($A275),'recurring1_based on steps'!AQ$1:AQ$400,0)),AQ$2,)</f>
        <v>0</v>
      </c>
      <c r="AR275" s="179">
        <f ca="1">IF(ISNUMBER(MATCH(DATEVALUE($A275),'recurring1_based on steps'!AR$1:AR$400,0)),AR$2,)</f>
        <v>0</v>
      </c>
      <c r="AS275" s="179">
        <f ca="1">IF(ISNUMBER(MATCH(DATEVALUE($A275),'recurring1_based on steps'!AS$1:AS$400,0)),AS$2,)</f>
        <v>0</v>
      </c>
      <c r="AT275" s="179">
        <f ca="1">IF(ISNUMBER(MATCH(DATEVALUE($A275),'recurring1_based on steps'!AT$1:AT$400,0)),AT$2,)</f>
        <v>0</v>
      </c>
      <c r="AU275" s="179">
        <f ca="1">IF(ISNUMBER(MATCH(DATEVALUE($A275),'recurring1_based on steps'!AU$1:AU$400,0)),AU$2,)</f>
        <v>0</v>
      </c>
      <c r="AV275" s="179">
        <f ca="1">IF(ISNUMBER(MATCH(DATEVALUE($A275),'recurring1_based on steps'!AV$1:AV$400,0)),AV$2,)</f>
        <v>0</v>
      </c>
      <c r="AW275" s="179">
        <f ca="1">IF(ISNUMBER(MATCH(DATEVALUE($A275),'recurring1_based on steps'!AW$1:AW$400,0)),AW$2,)</f>
        <v>0</v>
      </c>
      <c r="AX275" s="179">
        <f ca="1">IF(ISNUMBER(MATCH(DATEVALUE($A275),'recurring1_based on steps'!AX$1:AX$400,0)),AX$2,)</f>
        <v>0</v>
      </c>
      <c r="AY275" s="179">
        <f ca="1">IF(ISNUMBER(MATCH(DATEVALUE($A275),'recurring1_based on steps'!AY$1:AY$400,0)),AY$2,)</f>
        <v>0</v>
      </c>
    </row>
    <row r="276" spans="1:51" x14ac:dyDescent="0.2">
      <c r="A276" s="32" t="str">
        <f t="shared" ca="1" si="4"/>
        <v>2026-01-03</v>
      </c>
      <c r="B276" s="179">
        <f ca="1">IF(ISNUMBER(MATCH(DATEVALUE($A276),'recurring1_based on steps'!B$1:B$400,0)),B$2,)</f>
        <v>0</v>
      </c>
      <c r="C276" s="179">
        <f ca="1">IF(ISNUMBER(MATCH(DATEVALUE($A276),'recurring1_based on steps'!C$1:C$400,0)),C$2,)</f>
        <v>0</v>
      </c>
      <c r="D276" s="179">
        <f ca="1">IF(ISNUMBER(MATCH(DATEVALUE($A276),'recurring1_based on steps'!D$1:D$400,0)),D$2,)</f>
        <v>0</v>
      </c>
      <c r="E276" s="179">
        <f ca="1">IF(ISNUMBER(MATCH(DATEVALUE($A276),'recurring1_based on steps'!E$1:E$400,0)),E$2,)</f>
        <v>0</v>
      </c>
      <c r="F276" s="179">
        <f ca="1">IF(ISNUMBER(MATCH(DATEVALUE($A276),'recurring1_based on steps'!F$1:F$400,0)),F$2,)</f>
        <v>0</v>
      </c>
      <c r="G276" s="179">
        <f ca="1">IF(ISNUMBER(MATCH(DATEVALUE($A276),'recurring1_based on steps'!G$1:G$400,0)),G$2,)</f>
        <v>0</v>
      </c>
      <c r="H276" s="179">
        <f ca="1">IF(ISNUMBER(MATCH(DATEVALUE($A276),'recurring1_based on steps'!H$1:H$400,0)),H$2,)</f>
        <v>0</v>
      </c>
      <c r="I276" s="179">
        <f ca="1">IF(ISNUMBER(MATCH(DATEVALUE($A276),'recurring1_based on steps'!I$1:I$400,0)),I$2,)</f>
        <v>0</v>
      </c>
      <c r="J276" s="179">
        <f ca="1">IF(ISNUMBER(MATCH(DATEVALUE($A276),'recurring1_based on steps'!J$1:J$400,0)),J$2,)</f>
        <v>0</v>
      </c>
      <c r="K276" s="179">
        <f ca="1">IF(ISNUMBER(MATCH(DATEVALUE($A276),'recurring1_based on steps'!K$1:K$400,0)),K$2,)</f>
        <v>0</v>
      </c>
      <c r="L276" s="179">
        <f ca="1">IF(ISNUMBER(MATCH(DATEVALUE($A276),'recurring1_based on steps'!L$1:L$400,0)),L$2,)</f>
        <v>0</v>
      </c>
      <c r="M276" s="179">
        <f ca="1">IF(ISNUMBER(MATCH(DATEVALUE($A276),'recurring1_based on steps'!M$1:M$400,0)),M$2,)</f>
        <v>0</v>
      </c>
      <c r="N276" s="179">
        <f ca="1">IF(ISNUMBER(MATCH(DATEVALUE($A276),'recurring1_based on steps'!N$1:N$400,0)),N$2,)</f>
        <v>0</v>
      </c>
      <c r="O276" s="179">
        <f ca="1">IF(ISNUMBER(MATCH(DATEVALUE($A276),'recurring1_based on steps'!O$1:O$400,0)),O$2,)</f>
        <v>0</v>
      </c>
      <c r="P276" s="179">
        <f ca="1">IF(ISNUMBER(MATCH(DATEVALUE($A276),'recurring1_based on steps'!P$1:P$400,0)),P$2,)</f>
        <v>0</v>
      </c>
      <c r="Q276" s="179">
        <f ca="1">IF(ISNUMBER(MATCH(DATEVALUE($A276),'recurring1_based on steps'!Q$1:Q$400,0)),Q$2,)</f>
        <v>0</v>
      </c>
      <c r="R276" s="179">
        <f ca="1">IF(ISNUMBER(MATCH(DATEVALUE($A276),'recurring1_based on steps'!R$1:R$400,0)),R$2,)</f>
        <v>0</v>
      </c>
      <c r="S276" s="179">
        <f ca="1">IF(ISNUMBER(MATCH(DATEVALUE($A276),'recurring1_based on steps'!S$1:S$400,0)),S$2,)</f>
        <v>0</v>
      </c>
      <c r="T276" s="179">
        <f ca="1">IF(ISNUMBER(MATCH(DATEVALUE($A276),'recurring1_based on steps'!T$1:T$400,0)),T$2,)</f>
        <v>0</v>
      </c>
      <c r="U276" s="179">
        <f ca="1">IF(ISNUMBER(MATCH(DATEVALUE($A276),'recurring1_based on steps'!U$1:U$400,0)),U$2,)</f>
        <v>0</v>
      </c>
      <c r="V276" s="179">
        <f ca="1">IF(ISNUMBER(MATCH(DATEVALUE($A276),'recurring1_based on steps'!V$1:V$400,0)),V$2,)</f>
        <v>0</v>
      </c>
      <c r="W276" s="179">
        <f ca="1">IF(ISNUMBER(MATCH(DATEVALUE($A276),'recurring1_based on steps'!W$1:W$400,0)),W$2,)</f>
        <v>0</v>
      </c>
      <c r="X276" s="179">
        <f ca="1">IF(ISNUMBER(MATCH(DATEVALUE($A276),'recurring1_based on steps'!X$1:X$400,0)),X$2,)</f>
        <v>0</v>
      </c>
      <c r="Y276" s="179">
        <f ca="1">IF(ISNUMBER(MATCH(DATEVALUE($A276),'recurring1_based on steps'!Y$1:Y$400,0)),Y$2,)</f>
        <v>0</v>
      </c>
      <c r="Z276" s="179">
        <f ca="1">IF(ISNUMBER(MATCH(DATEVALUE($A276),'recurring1_based on steps'!Z$1:Z$400,0)),Z$2,)</f>
        <v>0</v>
      </c>
      <c r="AA276" s="179">
        <f ca="1">IF(ISNUMBER(MATCH(DATEVALUE($A276),'recurring1_based on steps'!AA$1:AA$400,0)),AA$2,)</f>
        <v>0</v>
      </c>
      <c r="AB276" s="179">
        <f ca="1">IF(ISNUMBER(MATCH(DATEVALUE($A276),'recurring1_based on steps'!AB$1:AB$400,0)),AB$2,)</f>
        <v>0</v>
      </c>
      <c r="AC276" s="179">
        <f ca="1">IF(ISNUMBER(MATCH(DATEVALUE($A276),'recurring1_based on steps'!AC$1:AC$400,0)),AC$2,)</f>
        <v>0</v>
      </c>
      <c r="AD276" s="179">
        <f ca="1">IF(ISNUMBER(MATCH(DATEVALUE($A276),'recurring1_based on steps'!AD$1:AD$400,0)),AD$2,)</f>
        <v>0</v>
      </c>
      <c r="AE276" s="179">
        <f ca="1">IF(ISNUMBER(MATCH(DATEVALUE($A276),'recurring1_based on steps'!AE$1:AE$400,0)),AE$2,)</f>
        <v>0</v>
      </c>
      <c r="AF276" s="179">
        <f ca="1">IF(ISNUMBER(MATCH(DATEVALUE($A276),'recurring1_based on steps'!AF$1:AF$400,0)),AF$2,)</f>
        <v>0</v>
      </c>
      <c r="AG276" s="179">
        <f ca="1">IF(ISNUMBER(MATCH(DATEVALUE($A276),'recurring1_based on steps'!AG$1:AG$400,0)),AG$2,)</f>
        <v>0</v>
      </c>
      <c r="AH276" s="179">
        <f ca="1">IF(ISNUMBER(MATCH(DATEVALUE($A276),'recurring1_based on steps'!AH$1:AH$400,0)),AH$2,)</f>
        <v>0</v>
      </c>
      <c r="AI276" s="179">
        <f ca="1">IF(ISNUMBER(MATCH(DATEVALUE($A276),'recurring1_based on steps'!AI$1:AI$400,0)),AI$2,)</f>
        <v>0</v>
      </c>
      <c r="AJ276" s="179">
        <f ca="1">IF(ISNUMBER(MATCH(DATEVALUE($A276),'recurring1_based on steps'!AJ$1:AJ$400,0)),AJ$2,)</f>
        <v>0</v>
      </c>
      <c r="AK276" s="179">
        <f ca="1">IF(ISNUMBER(MATCH(DATEVALUE($A276),'recurring1_based on steps'!AK$1:AK$400,0)),AK$2,)</f>
        <v>0</v>
      </c>
      <c r="AL276" s="179">
        <f ca="1">IF(ISNUMBER(MATCH(DATEVALUE($A276),'recurring1_based on steps'!AL$1:AL$400,0)),AL$2,)</f>
        <v>0</v>
      </c>
      <c r="AM276" s="179">
        <f ca="1">IF(ISNUMBER(MATCH(DATEVALUE($A276),'recurring1_based on steps'!AM$1:AM$400,0)),AM$2,)</f>
        <v>0</v>
      </c>
      <c r="AN276" s="179">
        <f ca="1">IF(ISNUMBER(MATCH(DATEVALUE($A276),'recurring1_based on steps'!AN$1:AN$400,0)),AN$2,)</f>
        <v>0</v>
      </c>
      <c r="AO276" s="179">
        <f ca="1">IF(ISNUMBER(MATCH(DATEVALUE($A276),'recurring1_based on steps'!AO$1:AO$400,0)),AO$2,)</f>
        <v>0</v>
      </c>
      <c r="AP276" s="179">
        <f ca="1">IF(ISNUMBER(MATCH(DATEVALUE($A276),'recurring1_based on steps'!AP$1:AP$400,0)),AP$2,)</f>
        <v>0</v>
      </c>
      <c r="AQ276" s="179">
        <f ca="1">IF(ISNUMBER(MATCH(DATEVALUE($A276),'recurring1_based on steps'!AQ$1:AQ$400,0)),AQ$2,)</f>
        <v>0</v>
      </c>
      <c r="AR276" s="179">
        <f ca="1">IF(ISNUMBER(MATCH(DATEVALUE($A276),'recurring1_based on steps'!AR$1:AR$400,0)),AR$2,)</f>
        <v>0</v>
      </c>
      <c r="AS276" s="179">
        <f ca="1">IF(ISNUMBER(MATCH(DATEVALUE($A276),'recurring1_based on steps'!AS$1:AS$400,0)),AS$2,)</f>
        <v>0</v>
      </c>
      <c r="AT276" s="179">
        <f ca="1">IF(ISNUMBER(MATCH(DATEVALUE($A276),'recurring1_based on steps'!AT$1:AT$400,0)),AT$2,)</f>
        <v>0</v>
      </c>
      <c r="AU276" s="179">
        <f ca="1">IF(ISNUMBER(MATCH(DATEVALUE($A276),'recurring1_based on steps'!AU$1:AU$400,0)),AU$2,)</f>
        <v>0</v>
      </c>
      <c r="AV276" s="179">
        <f ca="1">IF(ISNUMBER(MATCH(DATEVALUE($A276),'recurring1_based on steps'!AV$1:AV$400,0)),AV$2,)</f>
        <v>0</v>
      </c>
      <c r="AW276" s="179">
        <f ca="1">IF(ISNUMBER(MATCH(DATEVALUE($A276),'recurring1_based on steps'!AW$1:AW$400,0)),AW$2,)</f>
        <v>0</v>
      </c>
      <c r="AX276" s="179">
        <f ca="1">IF(ISNUMBER(MATCH(DATEVALUE($A276),'recurring1_based on steps'!AX$1:AX$400,0)),AX$2,)</f>
        <v>0</v>
      </c>
      <c r="AY276" s="179">
        <f ca="1">IF(ISNUMBER(MATCH(DATEVALUE($A276),'recurring1_based on steps'!AY$1:AY$400,0)),AY$2,)</f>
        <v>0</v>
      </c>
    </row>
    <row r="277" spans="1:51" x14ac:dyDescent="0.2">
      <c r="A277" s="32" t="str">
        <f t="shared" ca="1" si="4"/>
        <v>2026-01-04</v>
      </c>
      <c r="B277" s="179">
        <f ca="1">IF(ISNUMBER(MATCH(DATEVALUE($A277),'recurring1_based on steps'!B$1:B$400,0)),B$2,)</f>
        <v>0</v>
      </c>
      <c r="C277" s="179">
        <f ca="1">IF(ISNUMBER(MATCH(DATEVALUE($A277),'recurring1_based on steps'!C$1:C$400,0)),C$2,)</f>
        <v>0</v>
      </c>
      <c r="D277" s="179">
        <f ca="1">IF(ISNUMBER(MATCH(DATEVALUE($A277),'recurring1_based on steps'!D$1:D$400,0)),D$2,)</f>
        <v>0</v>
      </c>
      <c r="E277" s="179">
        <f ca="1">IF(ISNUMBER(MATCH(DATEVALUE($A277),'recurring1_based on steps'!E$1:E$400,0)),E$2,)</f>
        <v>0</v>
      </c>
      <c r="F277" s="179">
        <f ca="1">IF(ISNUMBER(MATCH(DATEVALUE($A277),'recurring1_based on steps'!F$1:F$400,0)),F$2,)</f>
        <v>0</v>
      </c>
      <c r="G277" s="179">
        <f ca="1">IF(ISNUMBER(MATCH(DATEVALUE($A277),'recurring1_based on steps'!G$1:G$400,0)),G$2,)</f>
        <v>0</v>
      </c>
      <c r="H277" s="179">
        <f ca="1">IF(ISNUMBER(MATCH(DATEVALUE($A277),'recurring1_based on steps'!H$1:H$400,0)),H$2,)</f>
        <v>0</v>
      </c>
      <c r="I277" s="179">
        <f ca="1">IF(ISNUMBER(MATCH(DATEVALUE($A277),'recurring1_based on steps'!I$1:I$400,0)),I$2,)</f>
        <v>0</v>
      </c>
      <c r="J277" s="179">
        <f ca="1">IF(ISNUMBER(MATCH(DATEVALUE($A277),'recurring1_based on steps'!J$1:J$400,0)),J$2,)</f>
        <v>0</v>
      </c>
      <c r="K277" s="179">
        <f ca="1">IF(ISNUMBER(MATCH(DATEVALUE($A277),'recurring1_based on steps'!K$1:K$400,0)),K$2,)</f>
        <v>0</v>
      </c>
      <c r="L277" s="179">
        <f ca="1">IF(ISNUMBER(MATCH(DATEVALUE($A277),'recurring1_based on steps'!L$1:L$400,0)),L$2,)</f>
        <v>0</v>
      </c>
      <c r="M277" s="179">
        <f ca="1">IF(ISNUMBER(MATCH(DATEVALUE($A277),'recurring1_based on steps'!M$1:M$400,0)),M$2,)</f>
        <v>0</v>
      </c>
      <c r="N277" s="179">
        <f ca="1">IF(ISNUMBER(MATCH(DATEVALUE($A277),'recurring1_based on steps'!N$1:N$400,0)),N$2,)</f>
        <v>0</v>
      </c>
      <c r="O277" s="179">
        <f ca="1">IF(ISNUMBER(MATCH(DATEVALUE($A277),'recurring1_based on steps'!O$1:O$400,0)),O$2,)</f>
        <v>0</v>
      </c>
      <c r="P277" s="179">
        <f ca="1">IF(ISNUMBER(MATCH(DATEVALUE($A277),'recurring1_based on steps'!P$1:P$400,0)),P$2,)</f>
        <v>0</v>
      </c>
      <c r="Q277" s="179">
        <f ca="1">IF(ISNUMBER(MATCH(DATEVALUE($A277),'recurring1_based on steps'!Q$1:Q$400,0)),Q$2,)</f>
        <v>0</v>
      </c>
      <c r="R277" s="179">
        <f ca="1">IF(ISNUMBER(MATCH(DATEVALUE($A277),'recurring1_based on steps'!R$1:R$400,0)),R$2,)</f>
        <v>0</v>
      </c>
      <c r="S277" s="179">
        <f ca="1">IF(ISNUMBER(MATCH(DATEVALUE($A277),'recurring1_based on steps'!S$1:S$400,0)),S$2,)</f>
        <v>0</v>
      </c>
      <c r="T277" s="179">
        <f ca="1">IF(ISNUMBER(MATCH(DATEVALUE($A277),'recurring1_based on steps'!T$1:T$400,0)),T$2,)</f>
        <v>0</v>
      </c>
      <c r="U277" s="179">
        <f ca="1">IF(ISNUMBER(MATCH(DATEVALUE($A277),'recurring1_based on steps'!U$1:U$400,0)),U$2,)</f>
        <v>0</v>
      </c>
      <c r="V277" s="179">
        <f ca="1">IF(ISNUMBER(MATCH(DATEVALUE($A277),'recurring1_based on steps'!V$1:V$400,0)),V$2,)</f>
        <v>0</v>
      </c>
      <c r="W277" s="179">
        <f ca="1">IF(ISNUMBER(MATCH(DATEVALUE($A277),'recurring1_based on steps'!W$1:W$400,0)),W$2,)</f>
        <v>0</v>
      </c>
      <c r="X277" s="179">
        <f ca="1">IF(ISNUMBER(MATCH(DATEVALUE($A277),'recurring1_based on steps'!X$1:X$400,0)),X$2,)</f>
        <v>0</v>
      </c>
      <c r="Y277" s="179">
        <f ca="1">IF(ISNUMBER(MATCH(DATEVALUE($A277),'recurring1_based on steps'!Y$1:Y$400,0)),Y$2,)</f>
        <v>0</v>
      </c>
      <c r="Z277" s="179">
        <f ca="1">IF(ISNUMBER(MATCH(DATEVALUE($A277),'recurring1_based on steps'!Z$1:Z$400,0)),Z$2,)</f>
        <v>0</v>
      </c>
      <c r="AA277" s="179">
        <f ca="1">IF(ISNUMBER(MATCH(DATEVALUE($A277),'recurring1_based on steps'!AA$1:AA$400,0)),AA$2,)</f>
        <v>0</v>
      </c>
      <c r="AB277" s="179">
        <f ca="1">IF(ISNUMBER(MATCH(DATEVALUE($A277),'recurring1_based on steps'!AB$1:AB$400,0)),AB$2,)</f>
        <v>0</v>
      </c>
      <c r="AC277" s="179">
        <f ca="1">IF(ISNUMBER(MATCH(DATEVALUE($A277),'recurring1_based on steps'!AC$1:AC$400,0)),AC$2,)</f>
        <v>0</v>
      </c>
      <c r="AD277" s="179">
        <f ca="1">IF(ISNUMBER(MATCH(DATEVALUE($A277),'recurring1_based on steps'!AD$1:AD$400,0)),AD$2,)</f>
        <v>0</v>
      </c>
      <c r="AE277" s="179">
        <f ca="1">IF(ISNUMBER(MATCH(DATEVALUE($A277),'recurring1_based on steps'!AE$1:AE$400,0)),AE$2,)</f>
        <v>0</v>
      </c>
      <c r="AF277" s="179">
        <f ca="1">IF(ISNUMBER(MATCH(DATEVALUE($A277),'recurring1_based on steps'!AF$1:AF$400,0)),AF$2,)</f>
        <v>0</v>
      </c>
      <c r="AG277" s="179">
        <f ca="1">IF(ISNUMBER(MATCH(DATEVALUE($A277),'recurring1_based on steps'!AG$1:AG$400,0)),AG$2,)</f>
        <v>0</v>
      </c>
      <c r="AH277" s="179">
        <f ca="1">IF(ISNUMBER(MATCH(DATEVALUE($A277),'recurring1_based on steps'!AH$1:AH$400,0)),AH$2,)</f>
        <v>0</v>
      </c>
      <c r="AI277" s="179">
        <f ca="1">IF(ISNUMBER(MATCH(DATEVALUE($A277),'recurring1_based on steps'!AI$1:AI$400,0)),AI$2,)</f>
        <v>0</v>
      </c>
      <c r="AJ277" s="179">
        <f ca="1">IF(ISNUMBER(MATCH(DATEVALUE($A277),'recurring1_based on steps'!AJ$1:AJ$400,0)),AJ$2,)</f>
        <v>0</v>
      </c>
      <c r="AK277" s="179">
        <f ca="1">IF(ISNUMBER(MATCH(DATEVALUE($A277),'recurring1_based on steps'!AK$1:AK$400,0)),AK$2,)</f>
        <v>0</v>
      </c>
      <c r="AL277" s="179">
        <f ca="1">IF(ISNUMBER(MATCH(DATEVALUE($A277),'recurring1_based on steps'!AL$1:AL$400,0)),AL$2,)</f>
        <v>0</v>
      </c>
      <c r="AM277" s="179">
        <f ca="1">IF(ISNUMBER(MATCH(DATEVALUE($A277),'recurring1_based on steps'!AM$1:AM$400,0)),AM$2,)</f>
        <v>0</v>
      </c>
      <c r="AN277" s="179">
        <f ca="1">IF(ISNUMBER(MATCH(DATEVALUE($A277),'recurring1_based on steps'!AN$1:AN$400,0)),AN$2,)</f>
        <v>0</v>
      </c>
      <c r="AO277" s="179">
        <f ca="1">IF(ISNUMBER(MATCH(DATEVALUE($A277),'recurring1_based on steps'!AO$1:AO$400,0)),AO$2,)</f>
        <v>0</v>
      </c>
      <c r="AP277" s="179">
        <f ca="1">IF(ISNUMBER(MATCH(DATEVALUE($A277),'recurring1_based on steps'!AP$1:AP$400,0)),AP$2,)</f>
        <v>0</v>
      </c>
      <c r="AQ277" s="179">
        <f ca="1">IF(ISNUMBER(MATCH(DATEVALUE($A277),'recurring1_based on steps'!AQ$1:AQ$400,0)),AQ$2,)</f>
        <v>0</v>
      </c>
      <c r="AR277" s="179">
        <f ca="1">IF(ISNUMBER(MATCH(DATEVALUE($A277),'recurring1_based on steps'!AR$1:AR$400,0)),AR$2,)</f>
        <v>0</v>
      </c>
      <c r="AS277" s="179">
        <f ca="1">IF(ISNUMBER(MATCH(DATEVALUE($A277),'recurring1_based on steps'!AS$1:AS$400,0)),AS$2,)</f>
        <v>0</v>
      </c>
      <c r="AT277" s="179">
        <f ca="1">IF(ISNUMBER(MATCH(DATEVALUE($A277),'recurring1_based on steps'!AT$1:AT$400,0)),AT$2,)</f>
        <v>0</v>
      </c>
      <c r="AU277" s="179">
        <f ca="1">IF(ISNUMBER(MATCH(DATEVALUE($A277),'recurring1_based on steps'!AU$1:AU$400,0)),AU$2,)</f>
        <v>0</v>
      </c>
      <c r="AV277" s="179">
        <f ca="1">IF(ISNUMBER(MATCH(DATEVALUE($A277),'recurring1_based on steps'!AV$1:AV$400,0)),AV$2,)</f>
        <v>0</v>
      </c>
      <c r="AW277" s="179">
        <f ca="1">IF(ISNUMBER(MATCH(DATEVALUE($A277),'recurring1_based on steps'!AW$1:AW$400,0)),AW$2,)</f>
        <v>0</v>
      </c>
      <c r="AX277" s="179">
        <f ca="1">IF(ISNUMBER(MATCH(DATEVALUE($A277),'recurring1_based on steps'!AX$1:AX$400,0)),AX$2,)</f>
        <v>0</v>
      </c>
      <c r="AY277" s="179">
        <f ca="1">IF(ISNUMBER(MATCH(DATEVALUE($A277),'recurring1_based on steps'!AY$1:AY$400,0)),AY$2,)</f>
        <v>0</v>
      </c>
    </row>
    <row r="278" spans="1:51" x14ac:dyDescent="0.2">
      <c r="A278" s="32" t="str">
        <f t="shared" ca="1" si="4"/>
        <v>2026-01-05</v>
      </c>
      <c r="B278" s="179">
        <f ca="1">IF(ISNUMBER(MATCH(DATEVALUE($A278),'recurring1_based on steps'!B$1:B$400,0)),B$2,)</f>
        <v>0</v>
      </c>
      <c r="C278" s="179">
        <f ca="1">IF(ISNUMBER(MATCH(DATEVALUE($A278),'recurring1_based on steps'!C$1:C$400,0)),C$2,)</f>
        <v>0</v>
      </c>
      <c r="D278" s="179">
        <f ca="1">IF(ISNUMBER(MATCH(DATEVALUE($A278),'recurring1_based on steps'!D$1:D$400,0)),D$2,)</f>
        <v>0</v>
      </c>
      <c r="E278" s="179">
        <f ca="1">IF(ISNUMBER(MATCH(DATEVALUE($A278),'recurring1_based on steps'!E$1:E$400,0)),E$2,)</f>
        <v>0</v>
      </c>
      <c r="F278" s="179">
        <f ca="1">IF(ISNUMBER(MATCH(DATEVALUE($A278),'recurring1_based on steps'!F$1:F$400,0)),F$2,)</f>
        <v>0</v>
      </c>
      <c r="G278" s="179">
        <f ca="1">IF(ISNUMBER(MATCH(DATEVALUE($A278),'recurring1_based on steps'!G$1:G$400,0)),G$2,)</f>
        <v>0</v>
      </c>
      <c r="H278" s="179">
        <f ca="1">IF(ISNUMBER(MATCH(DATEVALUE($A278),'recurring1_based on steps'!H$1:H$400,0)),H$2,)</f>
        <v>0</v>
      </c>
      <c r="I278" s="179">
        <f ca="1">IF(ISNUMBER(MATCH(DATEVALUE($A278),'recurring1_based on steps'!I$1:I$400,0)),I$2,)</f>
        <v>0</v>
      </c>
      <c r="J278" s="179">
        <f ca="1">IF(ISNUMBER(MATCH(DATEVALUE($A278),'recurring1_based on steps'!J$1:J$400,0)),J$2,)</f>
        <v>0</v>
      </c>
      <c r="K278" s="179">
        <f ca="1">IF(ISNUMBER(MATCH(DATEVALUE($A278),'recurring1_based on steps'!K$1:K$400,0)),K$2,)</f>
        <v>0</v>
      </c>
      <c r="L278" s="179">
        <f ca="1">IF(ISNUMBER(MATCH(DATEVALUE($A278),'recurring1_based on steps'!L$1:L$400,0)),L$2,)</f>
        <v>0</v>
      </c>
      <c r="M278" s="179">
        <f ca="1">IF(ISNUMBER(MATCH(DATEVALUE($A278),'recurring1_based on steps'!M$1:M$400,0)),M$2,)</f>
        <v>0</v>
      </c>
      <c r="N278" s="179">
        <f ca="1">IF(ISNUMBER(MATCH(DATEVALUE($A278),'recurring1_based on steps'!N$1:N$400,0)),N$2,)</f>
        <v>0</v>
      </c>
      <c r="O278" s="179">
        <f ca="1">IF(ISNUMBER(MATCH(DATEVALUE($A278),'recurring1_based on steps'!O$1:O$400,0)),O$2,)</f>
        <v>0</v>
      </c>
      <c r="P278" s="179">
        <f ca="1">IF(ISNUMBER(MATCH(DATEVALUE($A278),'recurring1_based on steps'!P$1:P$400,0)),P$2,)</f>
        <v>0</v>
      </c>
      <c r="Q278" s="179">
        <f ca="1">IF(ISNUMBER(MATCH(DATEVALUE($A278),'recurring1_based on steps'!Q$1:Q$400,0)),Q$2,)</f>
        <v>0</v>
      </c>
      <c r="R278" s="179">
        <f ca="1">IF(ISNUMBER(MATCH(DATEVALUE($A278),'recurring1_based on steps'!R$1:R$400,0)),R$2,)</f>
        <v>0</v>
      </c>
      <c r="S278" s="179">
        <f ca="1">IF(ISNUMBER(MATCH(DATEVALUE($A278),'recurring1_based on steps'!S$1:S$400,0)),S$2,)</f>
        <v>0</v>
      </c>
      <c r="T278" s="179">
        <f ca="1">IF(ISNUMBER(MATCH(DATEVALUE($A278),'recurring1_based on steps'!T$1:T$400,0)),T$2,)</f>
        <v>0</v>
      </c>
      <c r="U278" s="179">
        <f ca="1">IF(ISNUMBER(MATCH(DATEVALUE($A278),'recurring1_based on steps'!U$1:U$400,0)),U$2,)</f>
        <v>0</v>
      </c>
      <c r="V278" s="179">
        <f ca="1">IF(ISNUMBER(MATCH(DATEVALUE($A278),'recurring1_based on steps'!V$1:V$400,0)),V$2,)</f>
        <v>0</v>
      </c>
      <c r="W278" s="179">
        <f ca="1">IF(ISNUMBER(MATCH(DATEVALUE($A278),'recurring1_based on steps'!W$1:W$400,0)),W$2,)</f>
        <v>0</v>
      </c>
      <c r="X278" s="179">
        <f ca="1">IF(ISNUMBER(MATCH(DATEVALUE($A278),'recurring1_based on steps'!X$1:X$400,0)),X$2,)</f>
        <v>0</v>
      </c>
      <c r="Y278" s="179">
        <f ca="1">IF(ISNUMBER(MATCH(DATEVALUE($A278),'recurring1_based on steps'!Y$1:Y$400,0)),Y$2,)</f>
        <v>0</v>
      </c>
      <c r="Z278" s="179">
        <f ca="1">IF(ISNUMBER(MATCH(DATEVALUE($A278),'recurring1_based on steps'!Z$1:Z$400,0)),Z$2,)</f>
        <v>0</v>
      </c>
      <c r="AA278" s="179">
        <f ca="1">IF(ISNUMBER(MATCH(DATEVALUE($A278),'recurring1_based on steps'!AA$1:AA$400,0)),AA$2,)</f>
        <v>0</v>
      </c>
      <c r="AB278" s="179">
        <f ca="1">IF(ISNUMBER(MATCH(DATEVALUE($A278),'recurring1_based on steps'!AB$1:AB$400,0)),AB$2,)</f>
        <v>0</v>
      </c>
      <c r="AC278" s="179">
        <f ca="1">IF(ISNUMBER(MATCH(DATEVALUE($A278),'recurring1_based on steps'!AC$1:AC$400,0)),AC$2,)</f>
        <v>0</v>
      </c>
      <c r="AD278" s="179">
        <f ca="1">IF(ISNUMBER(MATCH(DATEVALUE($A278),'recurring1_based on steps'!AD$1:AD$400,0)),AD$2,)</f>
        <v>0</v>
      </c>
      <c r="AE278" s="179">
        <f ca="1">IF(ISNUMBER(MATCH(DATEVALUE($A278),'recurring1_based on steps'!AE$1:AE$400,0)),AE$2,)</f>
        <v>0</v>
      </c>
      <c r="AF278" s="179">
        <f ca="1">IF(ISNUMBER(MATCH(DATEVALUE($A278),'recurring1_based on steps'!AF$1:AF$400,0)),AF$2,)</f>
        <v>0</v>
      </c>
      <c r="AG278" s="179">
        <f ca="1">IF(ISNUMBER(MATCH(DATEVALUE($A278),'recurring1_based on steps'!AG$1:AG$400,0)),AG$2,)</f>
        <v>0</v>
      </c>
      <c r="AH278" s="179">
        <f ca="1">IF(ISNUMBER(MATCH(DATEVALUE($A278),'recurring1_based on steps'!AH$1:AH$400,0)),AH$2,)</f>
        <v>0</v>
      </c>
      <c r="AI278" s="179">
        <f ca="1">IF(ISNUMBER(MATCH(DATEVALUE($A278),'recurring1_based on steps'!AI$1:AI$400,0)),AI$2,)</f>
        <v>0</v>
      </c>
      <c r="AJ278" s="179">
        <f ca="1">IF(ISNUMBER(MATCH(DATEVALUE($A278),'recurring1_based on steps'!AJ$1:AJ$400,0)),AJ$2,)</f>
        <v>0</v>
      </c>
      <c r="AK278" s="179">
        <f ca="1">IF(ISNUMBER(MATCH(DATEVALUE($A278),'recurring1_based on steps'!AK$1:AK$400,0)),AK$2,)</f>
        <v>0</v>
      </c>
      <c r="AL278" s="179">
        <f ca="1">IF(ISNUMBER(MATCH(DATEVALUE($A278),'recurring1_based on steps'!AL$1:AL$400,0)),AL$2,)</f>
        <v>0</v>
      </c>
      <c r="AM278" s="179">
        <f ca="1">IF(ISNUMBER(MATCH(DATEVALUE($A278),'recurring1_based on steps'!AM$1:AM$400,0)),AM$2,)</f>
        <v>0</v>
      </c>
      <c r="AN278" s="179">
        <f ca="1">IF(ISNUMBER(MATCH(DATEVALUE($A278),'recurring1_based on steps'!AN$1:AN$400,0)),AN$2,)</f>
        <v>0</v>
      </c>
      <c r="AO278" s="179">
        <f ca="1">IF(ISNUMBER(MATCH(DATEVALUE($A278),'recurring1_based on steps'!AO$1:AO$400,0)),AO$2,)</f>
        <v>0</v>
      </c>
      <c r="AP278" s="179">
        <f ca="1">IF(ISNUMBER(MATCH(DATEVALUE($A278),'recurring1_based on steps'!AP$1:AP$400,0)),AP$2,)</f>
        <v>0</v>
      </c>
      <c r="AQ278" s="179">
        <f ca="1">IF(ISNUMBER(MATCH(DATEVALUE($A278),'recurring1_based on steps'!AQ$1:AQ$400,0)),AQ$2,)</f>
        <v>0</v>
      </c>
      <c r="AR278" s="179">
        <f ca="1">IF(ISNUMBER(MATCH(DATEVALUE($A278),'recurring1_based on steps'!AR$1:AR$400,0)),AR$2,)</f>
        <v>0</v>
      </c>
      <c r="AS278" s="179">
        <f ca="1">IF(ISNUMBER(MATCH(DATEVALUE($A278),'recurring1_based on steps'!AS$1:AS$400,0)),AS$2,)</f>
        <v>0</v>
      </c>
      <c r="AT278" s="179">
        <f ca="1">IF(ISNUMBER(MATCH(DATEVALUE($A278),'recurring1_based on steps'!AT$1:AT$400,0)),AT$2,)</f>
        <v>0</v>
      </c>
      <c r="AU278" s="179">
        <f ca="1">IF(ISNUMBER(MATCH(DATEVALUE($A278),'recurring1_based on steps'!AU$1:AU$400,0)),AU$2,)</f>
        <v>0</v>
      </c>
      <c r="AV278" s="179">
        <f ca="1">IF(ISNUMBER(MATCH(DATEVALUE($A278),'recurring1_based on steps'!AV$1:AV$400,0)),AV$2,)</f>
        <v>0</v>
      </c>
      <c r="AW278" s="179">
        <f ca="1">IF(ISNUMBER(MATCH(DATEVALUE($A278),'recurring1_based on steps'!AW$1:AW$400,0)),AW$2,)</f>
        <v>0</v>
      </c>
      <c r="AX278" s="179">
        <f ca="1">IF(ISNUMBER(MATCH(DATEVALUE($A278),'recurring1_based on steps'!AX$1:AX$400,0)),AX$2,)</f>
        <v>0</v>
      </c>
      <c r="AY278" s="179">
        <f ca="1">IF(ISNUMBER(MATCH(DATEVALUE($A278),'recurring1_based on steps'!AY$1:AY$400,0)),AY$2,)</f>
        <v>0</v>
      </c>
    </row>
    <row r="279" spans="1:51" x14ac:dyDescent="0.2">
      <c r="A279" s="32" t="str">
        <f t="shared" ca="1" si="4"/>
        <v>2026-01-06</v>
      </c>
      <c r="B279" s="179">
        <f ca="1">IF(ISNUMBER(MATCH(DATEVALUE($A279),'recurring1_based on steps'!B$1:B$400,0)),B$2,)</f>
        <v>0</v>
      </c>
      <c r="C279" s="179">
        <f ca="1">IF(ISNUMBER(MATCH(DATEVALUE($A279),'recurring1_based on steps'!C$1:C$400,0)),C$2,)</f>
        <v>0</v>
      </c>
      <c r="D279" s="179">
        <f ca="1">IF(ISNUMBER(MATCH(DATEVALUE($A279),'recurring1_based on steps'!D$1:D$400,0)),D$2,)</f>
        <v>0</v>
      </c>
      <c r="E279" s="179">
        <f ca="1">IF(ISNUMBER(MATCH(DATEVALUE($A279),'recurring1_based on steps'!E$1:E$400,0)),E$2,)</f>
        <v>0</v>
      </c>
      <c r="F279" s="179">
        <f ca="1">IF(ISNUMBER(MATCH(DATEVALUE($A279),'recurring1_based on steps'!F$1:F$400,0)),F$2,)</f>
        <v>0</v>
      </c>
      <c r="G279" s="179">
        <f ca="1">IF(ISNUMBER(MATCH(DATEVALUE($A279),'recurring1_based on steps'!G$1:G$400,0)),G$2,)</f>
        <v>0</v>
      </c>
      <c r="H279" s="179">
        <f ca="1">IF(ISNUMBER(MATCH(DATEVALUE($A279),'recurring1_based on steps'!H$1:H$400,0)),H$2,)</f>
        <v>0</v>
      </c>
      <c r="I279" s="179">
        <f ca="1">IF(ISNUMBER(MATCH(DATEVALUE($A279),'recurring1_based on steps'!I$1:I$400,0)),I$2,)</f>
        <v>0</v>
      </c>
      <c r="J279" s="179">
        <f ca="1">IF(ISNUMBER(MATCH(DATEVALUE($A279),'recurring1_based on steps'!J$1:J$400,0)),J$2,)</f>
        <v>0</v>
      </c>
      <c r="K279" s="179">
        <f ca="1">IF(ISNUMBER(MATCH(DATEVALUE($A279),'recurring1_based on steps'!K$1:K$400,0)),K$2,)</f>
        <v>0</v>
      </c>
      <c r="L279" s="179">
        <f ca="1">IF(ISNUMBER(MATCH(DATEVALUE($A279),'recurring1_based on steps'!L$1:L$400,0)),L$2,)</f>
        <v>0</v>
      </c>
      <c r="M279" s="179">
        <f ca="1">IF(ISNUMBER(MATCH(DATEVALUE($A279),'recurring1_based on steps'!M$1:M$400,0)),M$2,)</f>
        <v>0</v>
      </c>
      <c r="N279" s="179">
        <f ca="1">IF(ISNUMBER(MATCH(DATEVALUE($A279),'recurring1_based on steps'!N$1:N$400,0)),N$2,)</f>
        <v>0</v>
      </c>
      <c r="O279" s="179">
        <f ca="1">IF(ISNUMBER(MATCH(DATEVALUE($A279),'recurring1_based on steps'!O$1:O$400,0)),O$2,)</f>
        <v>0</v>
      </c>
      <c r="P279" s="179">
        <f ca="1">IF(ISNUMBER(MATCH(DATEVALUE($A279),'recurring1_based on steps'!P$1:P$400,0)),P$2,)</f>
        <v>0</v>
      </c>
      <c r="Q279" s="179">
        <f ca="1">IF(ISNUMBER(MATCH(DATEVALUE($A279),'recurring1_based on steps'!Q$1:Q$400,0)),Q$2,)</f>
        <v>0</v>
      </c>
      <c r="R279" s="179">
        <f ca="1">IF(ISNUMBER(MATCH(DATEVALUE($A279),'recurring1_based on steps'!R$1:R$400,0)),R$2,)</f>
        <v>0</v>
      </c>
      <c r="S279" s="179">
        <f ca="1">IF(ISNUMBER(MATCH(DATEVALUE($A279),'recurring1_based on steps'!S$1:S$400,0)),S$2,)</f>
        <v>0</v>
      </c>
      <c r="T279" s="179">
        <f ca="1">IF(ISNUMBER(MATCH(DATEVALUE($A279),'recurring1_based on steps'!T$1:T$400,0)),T$2,)</f>
        <v>0</v>
      </c>
      <c r="U279" s="179">
        <f ca="1">IF(ISNUMBER(MATCH(DATEVALUE($A279),'recurring1_based on steps'!U$1:U$400,0)),U$2,)</f>
        <v>0</v>
      </c>
      <c r="V279" s="179">
        <f ca="1">IF(ISNUMBER(MATCH(DATEVALUE($A279),'recurring1_based on steps'!V$1:V$400,0)),V$2,)</f>
        <v>0</v>
      </c>
      <c r="W279" s="179">
        <f ca="1">IF(ISNUMBER(MATCH(DATEVALUE($A279),'recurring1_based on steps'!W$1:W$400,0)),W$2,)</f>
        <v>0</v>
      </c>
      <c r="X279" s="179">
        <f ca="1">IF(ISNUMBER(MATCH(DATEVALUE($A279),'recurring1_based on steps'!X$1:X$400,0)),X$2,)</f>
        <v>0</v>
      </c>
      <c r="Y279" s="179">
        <f ca="1">IF(ISNUMBER(MATCH(DATEVALUE($A279),'recurring1_based on steps'!Y$1:Y$400,0)),Y$2,)</f>
        <v>0</v>
      </c>
      <c r="Z279" s="179">
        <f ca="1">IF(ISNUMBER(MATCH(DATEVALUE($A279),'recurring1_based on steps'!Z$1:Z$400,0)),Z$2,)</f>
        <v>0</v>
      </c>
      <c r="AA279" s="179">
        <f ca="1">IF(ISNUMBER(MATCH(DATEVALUE($A279),'recurring1_based on steps'!AA$1:AA$400,0)),AA$2,)</f>
        <v>0</v>
      </c>
      <c r="AB279" s="179">
        <f ca="1">IF(ISNUMBER(MATCH(DATEVALUE($A279),'recurring1_based on steps'!AB$1:AB$400,0)),AB$2,)</f>
        <v>0</v>
      </c>
      <c r="AC279" s="179">
        <f ca="1">IF(ISNUMBER(MATCH(DATEVALUE($A279),'recurring1_based on steps'!AC$1:AC$400,0)),AC$2,)</f>
        <v>0</v>
      </c>
      <c r="AD279" s="179">
        <f ca="1">IF(ISNUMBER(MATCH(DATEVALUE($A279),'recurring1_based on steps'!AD$1:AD$400,0)),AD$2,)</f>
        <v>0</v>
      </c>
      <c r="AE279" s="179">
        <f ca="1">IF(ISNUMBER(MATCH(DATEVALUE($A279),'recurring1_based on steps'!AE$1:AE$400,0)),AE$2,)</f>
        <v>0</v>
      </c>
      <c r="AF279" s="179">
        <f ca="1">IF(ISNUMBER(MATCH(DATEVALUE($A279),'recurring1_based on steps'!AF$1:AF$400,0)),AF$2,)</f>
        <v>0</v>
      </c>
      <c r="AG279" s="179">
        <f ca="1">IF(ISNUMBER(MATCH(DATEVALUE($A279),'recurring1_based on steps'!AG$1:AG$400,0)),AG$2,)</f>
        <v>0</v>
      </c>
      <c r="AH279" s="179">
        <f ca="1">IF(ISNUMBER(MATCH(DATEVALUE($A279),'recurring1_based on steps'!AH$1:AH$400,0)),AH$2,)</f>
        <v>0</v>
      </c>
      <c r="AI279" s="179">
        <f ca="1">IF(ISNUMBER(MATCH(DATEVALUE($A279),'recurring1_based on steps'!AI$1:AI$400,0)),AI$2,)</f>
        <v>0</v>
      </c>
      <c r="AJ279" s="179">
        <f ca="1">IF(ISNUMBER(MATCH(DATEVALUE($A279),'recurring1_based on steps'!AJ$1:AJ$400,0)),AJ$2,)</f>
        <v>0</v>
      </c>
      <c r="AK279" s="179">
        <f ca="1">IF(ISNUMBER(MATCH(DATEVALUE($A279),'recurring1_based on steps'!AK$1:AK$400,0)),AK$2,)</f>
        <v>0</v>
      </c>
      <c r="AL279" s="179">
        <f ca="1">IF(ISNUMBER(MATCH(DATEVALUE($A279),'recurring1_based on steps'!AL$1:AL$400,0)),AL$2,)</f>
        <v>0</v>
      </c>
      <c r="AM279" s="179">
        <f ca="1">IF(ISNUMBER(MATCH(DATEVALUE($A279),'recurring1_based on steps'!AM$1:AM$400,0)),AM$2,)</f>
        <v>0</v>
      </c>
      <c r="AN279" s="179">
        <f ca="1">IF(ISNUMBER(MATCH(DATEVALUE($A279),'recurring1_based on steps'!AN$1:AN$400,0)),AN$2,)</f>
        <v>0</v>
      </c>
      <c r="AO279" s="179">
        <f ca="1">IF(ISNUMBER(MATCH(DATEVALUE($A279),'recurring1_based on steps'!AO$1:AO$400,0)),AO$2,)</f>
        <v>0</v>
      </c>
      <c r="AP279" s="179">
        <f ca="1">IF(ISNUMBER(MATCH(DATEVALUE($A279),'recurring1_based on steps'!AP$1:AP$400,0)),AP$2,)</f>
        <v>0</v>
      </c>
      <c r="AQ279" s="179">
        <f ca="1">IF(ISNUMBER(MATCH(DATEVALUE($A279),'recurring1_based on steps'!AQ$1:AQ$400,0)),AQ$2,)</f>
        <v>0</v>
      </c>
      <c r="AR279" s="179">
        <f ca="1">IF(ISNUMBER(MATCH(DATEVALUE($A279),'recurring1_based on steps'!AR$1:AR$400,0)),AR$2,)</f>
        <v>0</v>
      </c>
      <c r="AS279" s="179">
        <f ca="1">IF(ISNUMBER(MATCH(DATEVALUE($A279),'recurring1_based on steps'!AS$1:AS$400,0)),AS$2,)</f>
        <v>0</v>
      </c>
      <c r="AT279" s="179">
        <f ca="1">IF(ISNUMBER(MATCH(DATEVALUE($A279),'recurring1_based on steps'!AT$1:AT$400,0)),AT$2,)</f>
        <v>0</v>
      </c>
      <c r="AU279" s="179">
        <f ca="1">IF(ISNUMBER(MATCH(DATEVALUE($A279),'recurring1_based on steps'!AU$1:AU$400,0)),AU$2,)</f>
        <v>0</v>
      </c>
      <c r="AV279" s="179">
        <f ca="1">IF(ISNUMBER(MATCH(DATEVALUE($A279),'recurring1_based on steps'!AV$1:AV$400,0)),AV$2,)</f>
        <v>0</v>
      </c>
      <c r="AW279" s="179">
        <f ca="1">IF(ISNUMBER(MATCH(DATEVALUE($A279),'recurring1_based on steps'!AW$1:AW$400,0)),AW$2,)</f>
        <v>0</v>
      </c>
      <c r="AX279" s="179">
        <f ca="1">IF(ISNUMBER(MATCH(DATEVALUE($A279),'recurring1_based on steps'!AX$1:AX$400,0)),AX$2,)</f>
        <v>0</v>
      </c>
      <c r="AY279" s="179">
        <f ca="1">IF(ISNUMBER(MATCH(DATEVALUE($A279),'recurring1_based on steps'!AY$1:AY$400,0)),AY$2,)</f>
        <v>0</v>
      </c>
    </row>
    <row r="280" spans="1:51" x14ac:dyDescent="0.2">
      <c r="A280" s="32" t="str">
        <f t="shared" ca="1" si="4"/>
        <v>2026-01-07</v>
      </c>
      <c r="B280" s="179">
        <f ca="1">IF(ISNUMBER(MATCH(DATEVALUE($A280),'recurring1_based on steps'!B$1:B$400,0)),B$2,)</f>
        <v>0</v>
      </c>
      <c r="C280" s="179">
        <f ca="1">IF(ISNUMBER(MATCH(DATEVALUE($A280),'recurring1_based on steps'!C$1:C$400,0)),C$2,)</f>
        <v>0</v>
      </c>
      <c r="D280" s="179">
        <f ca="1">IF(ISNUMBER(MATCH(DATEVALUE($A280),'recurring1_based on steps'!D$1:D$400,0)),D$2,)</f>
        <v>0</v>
      </c>
      <c r="E280" s="179">
        <f ca="1">IF(ISNUMBER(MATCH(DATEVALUE($A280),'recurring1_based on steps'!E$1:E$400,0)),E$2,)</f>
        <v>0</v>
      </c>
      <c r="F280" s="179">
        <f ca="1">IF(ISNUMBER(MATCH(DATEVALUE($A280),'recurring1_based on steps'!F$1:F$400,0)),F$2,)</f>
        <v>0</v>
      </c>
      <c r="G280" s="179">
        <f ca="1">IF(ISNUMBER(MATCH(DATEVALUE($A280),'recurring1_based on steps'!G$1:G$400,0)),G$2,)</f>
        <v>0</v>
      </c>
      <c r="H280" s="179">
        <f ca="1">IF(ISNUMBER(MATCH(DATEVALUE($A280),'recurring1_based on steps'!H$1:H$400,0)),H$2,)</f>
        <v>0</v>
      </c>
      <c r="I280" s="179">
        <f ca="1">IF(ISNUMBER(MATCH(DATEVALUE($A280),'recurring1_based on steps'!I$1:I$400,0)),I$2,)</f>
        <v>0</v>
      </c>
      <c r="J280" s="179">
        <f ca="1">IF(ISNUMBER(MATCH(DATEVALUE($A280),'recurring1_based on steps'!J$1:J$400,0)),J$2,)</f>
        <v>0</v>
      </c>
      <c r="K280" s="179">
        <f ca="1">IF(ISNUMBER(MATCH(DATEVALUE($A280),'recurring1_based on steps'!K$1:K$400,0)),K$2,)</f>
        <v>0</v>
      </c>
      <c r="L280" s="179">
        <f ca="1">IF(ISNUMBER(MATCH(DATEVALUE($A280),'recurring1_based on steps'!L$1:L$400,0)),L$2,)</f>
        <v>0</v>
      </c>
      <c r="M280" s="179">
        <f ca="1">IF(ISNUMBER(MATCH(DATEVALUE($A280),'recurring1_based on steps'!M$1:M$400,0)),M$2,)</f>
        <v>0</v>
      </c>
      <c r="N280" s="179">
        <f ca="1">IF(ISNUMBER(MATCH(DATEVALUE($A280),'recurring1_based on steps'!N$1:N$400,0)),N$2,)</f>
        <v>0</v>
      </c>
      <c r="O280" s="179">
        <f ca="1">IF(ISNUMBER(MATCH(DATEVALUE($A280),'recurring1_based on steps'!O$1:O$400,0)),O$2,)</f>
        <v>0</v>
      </c>
      <c r="P280" s="179">
        <f ca="1">IF(ISNUMBER(MATCH(DATEVALUE($A280),'recurring1_based on steps'!P$1:P$400,0)),P$2,)</f>
        <v>0</v>
      </c>
      <c r="Q280" s="179">
        <f ca="1">IF(ISNUMBER(MATCH(DATEVALUE($A280),'recurring1_based on steps'!Q$1:Q$400,0)),Q$2,)</f>
        <v>0</v>
      </c>
      <c r="R280" s="179">
        <f ca="1">IF(ISNUMBER(MATCH(DATEVALUE($A280),'recurring1_based on steps'!R$1:R$400,0)),R$2,)</f>
        <v>0</v>
      </c>
      <c r="S280" s="179">
        <f ca="1">IF(ISNUMBER(MATCH(DATEVALUE($A280),'recurring1_based on steps'!S$1:S$400,0)),S$2,)</f>
        <v>0</v>
      </c>
      <c r="T280" s="179">
        <f ca="1">IF(ISNUMBER(MATCH(DATEVALUE($A280),'recurring1_based on steps'!T$1:T$400,0)),T$2,)</f>
        <v>0</v>
      </c>
      <c r="U280" s="179">
        <f ca="1">IF(ISNUMBER(MATCH(DATEVALUE($A280),'recurring1_based on steps'!U$1:U$400,0)),U$2,)</f>
        <v>0</v>
      </c>
      <c r="V280" s="179">
        <f ca="1">IF(ISNUMBER(MATCH(DATEVALUE($A280),'recurring1_based on steps'!V$1:V$400,0)),V$2,)</f>
        <v>0</v>
      </c>
      <c r="W280" s="179">
        <f ca="1">IF(ISNUMBER(MATCH(DATEVALUE($A280),'recurring1_based on steps'!W$1:W$400,0)),W$2,)</f>
        <v>0</v>
      </c>
      <c r="X280" s="179">
        <f ca="1">IF(ISNUMBER(MATCH(DATEVALUE($A280),'recurring1_based on steps'!X$1:X$400,0)),X$2,)</f>
        <v>0</v>
      </c>
      <c r="Y280" s="179">
        <f ca="1">IF(ISNUMBER(MATCH(DATEVALUE($A280),'recurring1_based on steps'!Y$1:Y$400,0)),Y$2,)</f>
        <v>0</v>
      </c>
      <c r="Z280" s="179">
        <f ca="1">IF(ISNUMBER(MATCH(DATEVALUE($A280),'recurring1_based on steps'!Z$1:Z$400,0)),Z$2,)</f>
        <v>0</v>
      </c>
      <c r="AA280" s="179">
        <f ca="1">IF(ISNUMBER(MATCH(DATEVALUE($A280),'recurring1_based on steps'!AA$1:AA$400,0)),AA$2,)</f>
        <v>0</v>
      </c>
      <c r="AB280" s="179">
        <f ca="1">IF(ISNUMBER(MATCH(DATEVALUE($A280),'recurring1_based on steps'!AB$1:AB$400,0)),AB$2,)</f>
        <v>0</v>
      </c>
      <c r="AC280" s="179">
        <f ca="1">IF(ISNUMBER(MATCH(DATEVALUE($A280),'recurring1_based on steps'!AC$1:AC$400,0)),AC$2,)</f>
        <v>0</v>
      </c>
      <c r="AD280" s="179">
        <f ca="1">IF(ISNUMBER(MATCH(DATEVALUE($A280),'recurring1_based on steps'!AD$1:AD$400,0)),AD$2,)</f>
        <v>0</v>
      </c>
      <c r="AE280" s="179">
        <f ca="1">IF(ISNUMBER(MATCH(DATEVALUE($A280),'recurring1_based on steps'!AE$1:AE$400,0)),AE$2,)</f>
        <v>0</v>
      </c>
      <c r="AF280" s="179">
        <f ca="1">IF(ISNUMBER(MATCH(DATEVALUE($A280),'recurring1_based on steps'!AF$1:AF$400,0)),AF$2,)</f>
        <v>0</v>
      </c>
      <c r="AG280" s="179">
        <f ca="1">IF(ISNUMBER(MATCH(DATEVALUE($A280),'recurring1_based on steps'!AG$1:AG$400,0)),AG$2,)</f>
        <v>0</v>
      </c>
      <c r="AH280" s="179">
        <f ca="1">IF(ISNUMBER(MATCH(DATEVALUE($A280),'recurring1_based on steps'!AH$1:AH$400,0)),AH$2,)</f>
        <v>0</v>
      </c>
      <c r="AI280" s="179">
        <f ca="1">IF(ISNUMBER(MATCH(DATEVALUE($A280),'recurring1_based on steps'!AI$1:AI$400,0)),AI$2,)</f>
        <v>0</v>
      </c>
      <c r="AJ280" s="179">
        <f ca="1">IF(ISNUMBER(MATCH(DATEVALUE($A280),'recurring1_based on steps'!AJ$1:AJ$400,0)),AJ$2,)</f>
        <v>0</v>
      </c>
      <c r="AK280" s="179">
        <f ca="1">IF(ISNUMBER(MATCH(DATEVALUE($A280),'recurring1_based on steps'!AK$1:AK$400,0)),AK$2,)</f>
        <v>0</v>
      </c>
      <c r="AL280" s="179">
        <f ca="1">IF(ISNUMBER(MATCH(DATEVALUE($A280),'recurring1_based on steps'!AL$1:AL$400,0)),AL$2,)</f>
        <v>0</v>
      </c>
      <c r="AM280" s="179">
        <f ca="1">IF(ISNUMBER(MATCH(DATEVALUE($A280),'recurring1_based on steps'!AM$1:AM$400,0)),AM$2,)</f>
        <v>0</v>
      </c>
      <c r="AN280" s="179">
        <f ca="1">IF(ISNUMBER(MATCH(DATEVALUE($A280),'recurring1_based on steps'!AN$1:AN$400,0)),AN$2,)</f>
        <v>0</v>
      </c>
      <c r="AO280" s="179">
        <f ca="1">IF(ISNUMBER(MATCH(DATEVALUE($A280),'recurring1_based on steps'!AO$1:AO$400,0)),AO$2,)</f>
        <v>0</v>
      </c>
      <c r="AP280" s="179">
        <f ca="1">IF(ISNUMBER(MATCH(DATEVALUE($A280),'recurring1_based on steps'!AP$1:AP$400,0)),AP$2,)</f>
        <v>0</v>
      </c>
      <c r="AQ280" s="179">
        <f ca="1">IF(ISNUMBER(MATCH(DATEVALUE($A280),'recurring1_based on steps'!AQ$1:AQ$400,0)),AQ$2,)</f>
        <v>0</v>
      </c>
      <c r="AR280" s="179">
        <f ca="1">IF(ISNUMBER(MATCH(DATEVALUE($A280),'recurring1_based on steps'!AR$1:AR$400,0)),AR$2,)</f>
        <v>0</v>
      </c>
      <c r="AS280" s="179">
        <f ca="1">IF(ISNUMBER(MATCH(DATEVALUE($A280),'recurring1_based on steps'!AS$1:AS$400,0)),AS$2,)</f>
        <v>0</v>
      </c>
      <c r="AT280" s="179">
        <f ca="1">IF(ISNUMBER(MATCH(DATEVALUE($A280),'recurring1_based on steps'!AT$1:AT$400,0)),AT$2,)</f>
        <v>0</v>
      </c>
      <c r="AU280" s="179">
        <f ca="1">IF(ISNUMBER(MATCH(DATEVALUE($A280),'recurring1_based on steps'!AU$1:AU$400,0)),AU$2,)</f>
        <v>0</v>
      </c>
      <c r="AV280" s="179">
        <f ca="1">IF(ISNUMBER(MATCH(DATEVALUE($A280),'recurring1_based on steps'!AV$1:AV$400,0)),AV$2,)</f>
        <v>0</v>
      </c>
      <c r="AW280" s="179">
        <f ca="1">IF(ISNUMBER(MATCH(DATEVALUE($A280),'recurring1_based on steps'!AW$1:AW$400,0)),AW$2,)</f>
        <v>0</v>
      </c>
      <c r="AX280" s="179">
        <f ca="1">IF(ISNUMBER(MATCH(DATEVALUE($A280),'recurring1_based on steps'!AX$1:AX$400,0)),AX$2,)</f>
        <v>0</v>
      </c>
      <c r="AY280" s="179">
        <f ca="1">IF(ISNUMBER(MATCH(DATEVALUE($A280),'recurring1_based on steps'!AY$1:AY$400,0)),AY$2,)</f>
        <v>0</v>
      </c>
    </row>
    <row r="281" spans="1:51" x14ac:dyDescent="0.2">
      <c r="A281" s="32" t="str">
        <f t="shared" ca="1" si="4"/>
        <v>2026-01-08</v>
      </c>
      <c r="B281" s="179">
        <f ca="1">IF(ISNUMBER(MATCH(DATEVALUE($A281),'recurring1_based on steps'!B$1:B$400,0)),B$2,)</f>
        <v>0</v>
      </c>
      <c r="C281" s="179">
        <f ca="1">IF(ISNUMBER(MATCH(DATEVALUE($A281),'recurring1_based on steps'!C$1:C$400,0)),C$2,)</f>
        <v>0</v>
      </c>
      <c r="D281" s="179">
        <f ca="1">IF(ISNUMBER(MATCH(DATEVALUE($A281),'recurring1_based on steps'!D$1:D$400,0)),D$2,)</f>
        <v>0</v>
      </c>
      <c r="E281" s="179">
        <f ca="1">IF(ISNUMBER(MATCH(DATEVALUE($A281),'recurring1_based on steps'!E$1:E$400,0)),E$2,)</f>
        <v>0</v>
      </c>
      <c r="F281" s="179">
        <f ca="1">IF(ISNUMBER(MATCH(DATEVALUE($A281),'recurring1_based on steps'!F$1:F$400,0)),F$2,)</f>
        <v>0</v>
      </c>
      <c r="G281" s="179">
        <f ca="1">IF(ISNUMBER(MATCH(DATEVALUE($A281),'recurring1_based on steps'!G$1:G$400,0)),G$2,)</f>
        <v>0</v>
      </c>
      <c r="H281" s="179">
        <f ca="1">IF(ISNUMBER(MATCH(DATEVALUE($A281),'recurring1_based on steps'!H$1:H$400,0)),H$2,)</f>
        <v>0</v>
      </c>
      <c r="I281" s="179">
        <f ca="1">IF(ISNUMBER(MATCH(DATEVALUE($A281),'recurring1_based on steps'!I$1:I$400,0)),I$2,)</f>
        <v>0</v>
      </c>
      <c r="J281" s="179">
        <f ca="1">IF(ISNUMBER(MATCH(DATEVALUE($A281),'recurring1_based on steps'!J$1:J$400,0)),J$2,)</f>
        <v>0</v>
      </c>
      <c r="K281" s="179">
        <f ca="1">IF(ISNUMBER(MATCH(DATEVALUE($A281),'recurring1_based on steps'!K$1:K$400,0)),K$2,)</f>
        <v>0</v>
      </c>
      <c r="L281" s="179">
        <f ca="1">IF(ISNUMBER(MATCH(DATEVALUE($A281),'recurring1_based on steps'!L$1:L$400,0)),L$2,)</f>
        <v>0</v>
      </c>
      <c r="M281" s="179">
        <f ca="1">IF(ISNUMBER(MATCH(DATEVALUE($A281),'recurring1_based on steps'!M$1:M$400,0)),M$2,)</f>
        <v>0</v>
      </c>
      <c r="N281" s="179">
        <f ca="1">IF(ISNUMBER(MATCH(DATEVALUE($A281),'recurring1_based on steps'!N$1:N$400,0)),N$2,)</f>
        <v>0</v>
      </c>
      <c r="O281" s="179">
        <f ca="1">IF(ISNUMBER(MATCH(DATEVALUE($A281),'recurring1_based on steps'!O$1:O$400,0)),O$2,)</f>
        <v>0</v>
      </c>
      <c r="P281" s="179">
        <f ca="1">IF(ISNUMBER(MATCH(DATEVALUE($A281),'recurring1_based on steps'!P$1:P$400,0)),P$2,)</f>
        <v>0</v>
      </c>
      <c r="Q281" s="179">
        <f ca="1">IF(ISNUMBER(MATCH(DATEVALUE($A281),'recurring1_based on steps'!Q$1:Q$400,0)),Q$2,)</f>
        <v>0</v>
      </c>
      <c r="R281" s="179">
        <f ca="1">IF(ISNUMBER(MATCH(DATEVALUE($A281),'recurring1_based on steps'!R$1:R$400,0)),R$2,)</f>
        <v>0</v>
      </c>
      <c r="S281" s="179">
        <f ca="1">IF(ISNUMBER(MATCH(DATEVALUE($A281),'recurring1_based on steps'!S$1:S$400,0)),S$2,)</f>
        <v>0</v>
      </c>
      <c r="T281" s="179">
        <f ca="1">IF(ISNUMBER(MATCH(DATEVALUE($A281),'recurring1_based on steps'!T$1:T$400,0)),T$2,)</f>
        <v>0</v>
      </c>
      <c r="U281" s="179">
        <f ca="1">IF(ISNUMBER(MATCH(DATEVALUE($A281),'recurring1_based on steps'!U$1:U$400,0)),U$2,)</f>
        <v>0</v>
      </c>
      <c r="V281" s="179">
        <f ca="1">IF(ISNUMBER(MATCH(DATEVALUE($A281),'recurring1_based on steps'!V$1:V$400,0)),V$2,)</f>
        <v>0</v>
      </c>
      <c r="W281" s="179">
        <f ca="1">IF(ISNUMBER(MATCH(DATEVALUE($A281),'recurring1_based on steps'!W$1:W$400,0)),W$2,)</f>
        <v>0</v>
      </c>
      <c r="X281" s="179">
        <f ca="1">IF(ISNUMBER(MATCH(DATEVALUE($A281),'recurring1_based on steps'!X$1:X$400,0)),X$2,)</f>
        <v>0</v>
      </c>
      <c r="Y281" s="179">
        <f ca="1">IF(ISNUMBER(MATCH(DATEVALUE($A281),'recurring1_based on steps'!Y$1:Y$400,0)),Y$2,)</f>
        <v>0</v>
      </c>
      <c r="Z281" s="179">
        <f ca="1">IF(ISNUMBER(MATCH(DATEVALUE($A281),'recurring1_based on steps'!Z$1:Z$400,0)),Z$2,)</f>
        <v>0</v>
      </c>
      <c r="AA281" s="179">
        <f ca="1">IF(ISNUMBER(MATCH(DATEVALUE($A281),'recurring1_based on steps'!AA$1:AA$400,0)),AA$2,)</f>
        <v>0</v>
      </c>
      <c r="AB281" s="179">
        <f ca="1">IF(ISNUMBER(MATCH(DATEVALUE($A281),'recurring1_based on steps'!AB$1:AB$400,0)),AB$2,)</f>
        <v>0</v>
      </c>
      <c r="AC281" s="179">
        <f ca="1">IF(ISNUMBER(MATCH(DATEVALUE($A281),'recurring1_based on steps'!AC$1:AC$400,0)),AC$2,)</f>
        <v>0</v>
      </c>
      <c r="AD281" s="179">
        <f ca="1">IF(ISNUMBER(MATCH(DATEVALUE($A281),'recurring1_based on steps'!AD$1:AD$400,0)),AD$2,)</f>
        <v>0</v>
      </c>
      <c r="AE281" s="179">
        <f ca="1">IF(ISNUMBER(MATCH(DATEVALUE($A281),'recurring1_based on steps'!AE$1:AE$400,0)),AE$2,)</f>
        <v>0</v>
      </c>
      <c r="AF281" s="179">
        <f ca="1">IF(ISNUMBER(MATCH(DATEVALUE($A281),'recurring1_based on steps'!AF$1:AF$400,0)),AF$2,)</f>
        <v>0</v>
      </c>
      <c r="AG281" s="179">
        <f ca="1">IF(ISNUMBER(MATCH(DATEVALUE($A281),'recurring1_based on steps'!AG$1:AG$400,0)),AG$2,)</f>
        <v>0</v>
      </c>
      <c r="AH281" s="179">
        <f ca="1">IF(ISNUMBER(MATCH(DATEVALUE($A281),'recurring1_based on steps'!AH$1:AH$400,0)),AH$2,)</f>
        <v>0</v>
      </c>
      <c r="AI281" s="179">
        <f ca="1">IF(ISNUMBER(MATCH(DATEVALUE($A281),'recurring1_based on steps'!AI$1:AI$400,0)),AI$2,)</f>
        <v>0</v>
      </c>
      <c r="AJ281" s="179">
        <f ca="1">IF(ISNUMBER(MATCH(DATEVALUE($A281),'recurring1_based on steps'!AJ$1:AJ$400,0)),AJ$2,)</f>
        <v>0</v>
      </c>
      <c r="AK281" s="179">
        <f ca="1">IF(ISNUMBER(MATCH(DATEVALUE($A281),'recurring1_based on steps'!AK$1:AK$400,0)),AK$2,)</f>
        <v>0</v>
      </c>
      <c r="AL281" s="179">
        <f ca="1">IF(ISNUMBER(MATCH(DATEVALUE($A281),'recurring1_based on steps'!AL$1:AL$400,0)),AL$2,)</f>
        <v>0</v>
      </c>
      <c r="AM281" s="179">
        <f ca="1">IF(ISNUMBER(MATCH(DATEVALUE($A281),'recurring1_based on steps'!AM$1:AM$400,0)),AM$2,)</f>
        <v>0</v>
      </c>
      <c r="AN281" s="179">
        <f ca="1">IF(ISNUMBER(MATCH(DATEVALUE($A281),'recurring1_based on steps'!AN$1:AN$400,0)),AN$2,)</f>
        <v>0</v>
      </c>
      <c r="AO281" s="179">
        <f ca="1">IF(ISNUMBER(MATCH(DATEVALUE($A281),'recurring1_based on steps'!AO$1:AO$400,0)),AO$2,)</f>
        <v>0</v>
      </c>
      <c r="AP281" s="179">
        <f ca="1">IF(ISNUMBER(MATCH(DATEVALUE($A281),'recurring1_based on steps'!AP$1:AP$400,0)),AP$2,)</f>
        <v>0</v>
      </c>
      <c r="AQ281" s="179">
        <f ca="1">IF(ISNUMBER(MATCH(DATEVALUE($A281),'recurring1_based on steps'!AQ$1:AQ$400,0)),AQ$2,)</f>
        <v>0</v>
      </c>
      <c r="AR281" s="179">
        <f ca="1">IF(ISNUMBER(MATCH(DATEVALUE($A281),'recurring1_based on steps'!AR$1:AR$400,0)),AR$2,)</f>
        <v>0</v>
      </c>
      <c r="AS281" s="179">
        <f ca="1">IF(ISNUMBER(MATCH(DATEVALUE($A281),'recurring1_based on steps'!AS$1:AS$400,0)),AS$2,)</f>
        <v>0</v>
      </c>
      <c r="AT281" s="179">
        <f ca="1">IF(ISNUMBER(MATCH(DATEVALUE($A281),'recurring1_based on steps'!AT$1:AT$400,0)),AT$2,)</f>
        <v>0</v>
      </c>
      <c r="AU281" s="179">
        <f ca="1">IF(ISNUMBER(MATCH(DATEVALUE($A281),'recurring1_based on steps'!AU$1:AU$400,0)),AU$2,)</f>
        <v>0</v>
      </c>
      <c r="AV281" s="179">
        <f ca="1">IF(ISNUMBER(MATCH(DATEVALUE($A281),'recurring1_based on steps'!AV$1:AV$400,0)),AV$2,)</f>
        <v>0</v>
      </c>
      <c r="AW281" s="179">
        <f ca="1">IF(ISNUMBER(MATCH(DATEVALUE($A281),'recurring1_based on steps'!AW$1:AW$400,0)),AW$2,)</f>
        <v>0</v>
      </c>
      <c r="AX281" s="179">
        <f ca="1">IF(ISNUMBER(MATCH(DATEVALUE($A281),'recurring1_based on steps'!AX$1:AX$400,0)),AX$2,)</f>
        <v>0</v>
      </c>
      <c r="AY281" s="179">
        <f ca="1">IF(ISNUMBER(MATCH(DATEVALUE($A281),'recurring1_based on steps'!AY$1:AY$400,0)),AY$2,)</f>
        <v>0</v>
      </c>
    </row>
    <row r="282" spans="1:51" x14ac:dyDescent="0.2">
      <c r="A282" s="32" t="str">
        <f t="shared" ca="1" si="4"/>
        <v>2026-01-09</v>
      </c>
      <c r="B282" s="179">
        <f ca="1">IF(ISNUMBER(MATCH(DATEVALUE($A282),'recurring1_based on steps'!B$1:B$400,0)),B$2,)</f>
        <v>0</v>
      </c>
      <c r="C282" s="179">
        <f ca="1">IF(ISNUMBER(MATCH(DATEVALUE($A282),'recurring1_based on steps'!C$1:C$400,0)),C$2,)</f>
        <v>0</v>
      </c>
      <c r="D282" s="179">
        <f ca="1">IF(ISNUMBER(MATCH(DATEVALUE($A282),'recurring1_based on steps'!D$1:D$400,0)),D$2,)</f>
        <v>0</v>
      </c>
      <c r="E282" s="179">
        <f ca="1">IF(ISNUMBER(MATCH(DATEVALUE($A282),'recurring1_based on steps'!E$1:E$400,0)),E$2,)</f>
        <v>0</v>
      </c>
      <c r="F282" s="179">
        <f ca="1">IF(ISNUMBER(MATCH(DATEVALUE($A282),'recurring1_based on steps'!F$1:F$400,0)),F$2,)</f>
        <v>0</v>
      </c>
      <c r="G282" s="179">
        <f ca="1">IF(ISNUMBER(MATCH(DATEVALUE($A282),'recurring1_based on steps'!G$1:G$400,0)),G$2,)</f>
        <v>0</v>
      </c>
      <c r="H282" s="179">
        <f ca="1">IF(ISNUMBER(MATCH(DATEVALUE($A282),'recurring1_based on steps'!H$1:H$400,0)),H$2,)</f>
        <v>0</v>
      </c>
      <c r="I282" s="179">
        <f ca="1">IF(ISNUMBER(MATCH(DATEVALUE($A282),'recurring1_based on steps'!I$1:I$400,0)),I$2,)</f>
        <v>0</v>
      </c>
      <c r="J282" s="179">
        <f ca="1">IF(ISNUMBER(MATCH(DATEVALUE($A282),'recurring1_based on steps'!J$1:J$400,0)),J$2,)</f>
        <v>0</v>
      </c>
      <c r="K282" s="179">
        <f ca="1">IF(ISNUMBER(MATCH(DATEVALUE($A282),'recurring1_based on steps'!K$1:K$400,0)),K$2,)</f>
        <v>0</v>
      </c>
      <c r="L282" s="179">
        <f ca="1">IF(ISNUMBER(MATCH(DATEVALUE($A282),'recurring1_based on steps'!L$1:L$400,0)),L$2,)</f>
        <v>0</v>
      </c>
      <c r="M282" s="179">
        <f ca="1">IF(ISNUMBER(MATCH(DATEVALUE($A282),'recurring1_based on steps'!M$1:M$400,0)),M$2,)</f>
        <v>0</v>
      </c>
      <c r="N282" s="179">
        <f ca="1">IF(ISNUMBER(MATCH(DATEVALUE($A282),'recurring1_based on steps'!N$1:N$400,0)),N$2,)</f>
        <v>0</v>
      </c>
      <c r="O282" s="179">
        <f ca="1">IF(ISNUMBER(MATCH(DATEVALUE($A282),'recurring1_based on steps'!O$1:O$400,0)),O$2,)</f>
        <v>0</v>
      </c>
      <c r="P282" s="179">
        <f ca="1">IF(ISNUMBER(MATCH(DATEVALUE($A282),'recurring1_based on steps'!P$1:P$400,0)),P$2,)</f>
        <v>0</v>
      </c>
      <c r="Q282" s="179">
        <f ca="1">IF(ISNUMBER(MATCH(DATEVALUE($A282),'recurring1_based on steps'!Q$1:Q$400,0)),Q$2,)</f>
        <v>0</v>
      </c>
      <c r="R282" s="179">
        <f ca="1">IF(ISNUMBER(MATCH(DATEVALUE($A282),'recurring1_based on steps'!R$1:R$400,0)),R$2,)</f>
        <v>0</v>
      </c>
      <c r="S282" s="179">
        <f ca="1">IF(ISNUMBER(MATCH(DATEVALUE($A282),'recurring1_based on steps'!S$1:S$400,0)),S$2,)</f>
        <v>0</v>
      </c>
      <c r="T282" s="179">
        <f ca="1">IF(ISNUMBER(MATCH(DATEVALUE($A282),'recurring1_based on steps'!T$1:T$400,0)),T$2,)</f>
        <v>0</v>
      </c>
      <c r="U282" s="179">
        <f ca="1">IF(ISNUMBER(MATCH(DATEVALUE($A282),'recurring1_based on steps'!U$1:U$400,0)),U$2,)</f>
        <v>0</v>
      </c>
      <c r="V282" s="179">
        <f ca="1">IF(ISNUMBER(MATCH(DATEVALUE($A282),'recurring1_based on steps'!V$1:V$400,0)),V$2,)</f>
        <v>0</v>
      </c>
      <c r="W282" s="179">
        <f ca="1">IF(ISNUMBER(MATCH(DATEVALUE($A282),'recurring1_based on steps'!W$1:W$400,0)),W$2,)</f>
        <v>0</v>
      </c>
      <c r="X282" s="179">
        <f ca="1">IF(ISNUMBER(MATCH(DATEVALUE($A282),'recurring1_based on steps'!X$1:X$400,0)),X$2,)</f>
        <v>0</v>
      </c>
      <c r="Y282" s="179">
        <f ca="1">IF(ISNUMBER(MATCH(DATEVALUE($A282),'recurring1_based on steps'!Y$1:Y$400,0)),Y$2,)</f>
        <v>0</v>
      </c>
      <c r="Z282" s="179">
        <f ca="1">IF(ISNUMBER(MATCH(DATEVALUE($A282),'recurring1_based on steps'!Z$1:Z$400,0)),Z$2,)</f>
        <v>0</v>
      </c>
      <c r="AA282" s="179">
        <f ca="1">IF(ISNUMBER(MATCH(DATEVALUE($A282),'recurring1_based on steps'!AA$1:AA$400,0)),AA$2,)</f>
        <v>0</v>
      </c>
      <c r="AB282" s="179">
        <f ca="1">IF(ISNUMBER(MATCH(DATEVALUE($A282),'recurring1_based on steps'!AB$1:AB$400,0)),AB$2,)</f>
        <v>0</v>
      </c>
      <c r="AC282" s="179">
        <f ca="1">IF(ISNUMBER(MATCH(DATEVALUE($A282),'recurring1_based on steps'!AC$1:AC$400,0)),AC$2,)</f>
        <v>0</v>
      </c>
      <c r="AD282" s="179">
        <f ca="1">IF(ISNUMBER(MATCH(DATEVALUE($A282),'recurring1_based on steps'!AD$1:AD$400,0)),AD$2,)</f>
        <v>0</v>
      </c>
      <c r="AE282" s="179">
        <f ca="1">IF(ISNUMBER(MATCH(DATEVALUE($A282),'recurring1_based on steps'!AE$1:AE$400,0)),AE$2,)</f>
        <v>0</v>
      </c>
      <c r="AF282" s="179">
        <f ca="1">IF(ISNUMBER(MATCH(DATEVALUE($A282),'recurring1_based on steps'!AF$1:AF$400,0)),AF$2,)</f>
        <v>0</v>
      </c>
      <c r="AG282" s="179">
        <f ca="1">IF(ISNUMBER(MATCH(DATEVALUE($A282),'recurring1_based on steps'!AG$1:AG$400,0)),AG$2,)</f>
        <v>0</v>
      </c>
      <c r="AH282" s="179">
        <f ca="1">IF(ISNUMBER(MATCH(DATEVALUE($A282),'recurring1_based on steps'!AH$1:AH$400,0)),AH$2,)</f>
        <v>0</v>
      </c>
      <c r="AI282" s="179">
        <f ca="1">IF(ISNUMBER(MATCH(DATEVALUE($A282),'recurring1_based on steps'!AI$1:AI$400,0)),AI$2,)</f>
        <v>0</v>
      </c>
      <c r="AJ282" s="179">
        <f ca="1">IF(ISNUMBER(MATCH(DATEVALUE($A282),'recurring1_based on steps'!AJ$1:AJ$400,0)),AJ$2,)</f>
        <v>0</v>
      </c>
      <c r="AK282" s="179">
        <f ca="1">IF(ISNUMBER(MATCH(DATEVALUE($A282),'recurring1_based on steps'!AK$1:AK$400,0)),AK$2,)</f>
        <v>0</v>
      </c>
      <c r="AL282" s="179">
        <f ca="1">IF(ISNUMBER(MATCH(DATEVALUE($A282),'recurring1_based on steps'!AL$1:AL$400,0)),AL$2,)</f>
        <v>0</v>
      </c>
      <c r="AM282" s="179">
        <f ca="1">IF(ISNUMBER(MATCH(DATEVALUE($A282),'recurring1_based on steps'!AM$1:AM$400,0)),AM$2,)</f>
        <v>0</v>
      </c>
      <c r="AN282" s="179">
        <f ca="1">IF(ISNUMBER(MATCH(DATEVALUE($A282),'recurring1_based on steps'!AN$1:AN$400,0)),AN$2,)</f>
        <v>0</v>
      </c>
      <c r="AO282" s="179">
        <f ca="1">IF(ISNUMBER(MATCH(DATEVALUE($A282),'recurring1_based on steps'!AO$1:AO$400,0)),AO$2,)</f>
        <v>0</v>
      </c>
      <c r="AP282" s="179">
        <f ca="1">IF(ISNUMBER(MATCH(DATEVALUE($A282),'recurring1_based on steps'!AP$1:AP$400,0)),AP$2,)</f>
        <v>0</v>
      </c>
      <c r="AQ282" s="179">
        <f ca="1">IF(ISNUMBER(MATCH(DATEVALUE($A282),'recurring1_based on steps'!AQ$1:AQ$400,0)),AQ$2,)</f>
        <v>0</v>
      </c>
      <c r="AR282" s="179">
        <f ca="1">IF(ISNUMBER(MATCH(DATEVALUE($A282),'recurring1_based on steps'!AR$1:AR$400,0)),AR$2,)</f>
        <v>0</v>
      </c>
      <c r="AS282" s="179">
        <f ca="1">IF(ISNUMBER(MATCH(DATEVALUE($A282),'recurring1_based on steps'!AS$1:AS$400,0)),AS$2,)</f>
        <v>0</v>
      </c>
      <c r="AT282" s="179">
        <f ca="1">IF(ISNUMBER(MATCH(DATEVALUE($A282),'recurring1_based on steps'!AT$1:AT$400,0)),AT$2,)</f>
        <v>0</v>
      </c>
      <c r="AU282" s="179">
        <f ca="1">IF(ISNUMBER(MATCH(DATEVALUE($A282),'recurring1_based on steps'!AU$1:AU$400,0)),AU$2,)</f>
        <v>0</v>
      </c>
      <c r="AV282" s="179">
        <f ca="1">IF(ISNUMBER(MATCH(DATEVALUE($A282),'recurring1_based on steps'!AV$1:AV$400,0)),AV$2,)</f>
        <v>0</v>
      </c>
      <c r="AW282" s="179">
        <f ca="1">IF(ISNUMBER(MATCH(DATEVALUE($A282),'recurring1_based on steps'!AW$1:AW$400,0)),AW$2,)</f>
        <v>0</v>
      </c>
      <c r="AX282" s="179">
        <f ca="1">IF(ISNUMBER(MATCH(DATEVALUE($A282),'recurring1_based on steps'!AX$1:AX$400,0)),AX$2,)</f>
        <v>0</v>
      </c>
      <c r="AY282" s="179">
        <f ca="1">IF(ISNUMBER(MATCH(DATEVALUE($A282),'recurring1_based on steps'!AY$1:AY$400,0)),AY$2,)</f>
        <v>0</v>
      </c>
    </row>
    <row r="283" spans="1:51" x14ac:dyDescent="0.2">
      <c r="A283" s="32" t="str">
        <f t="shared" ca="1" si="4"/>
        <v>2026-01-10</v>
      </c>
      <c r="B283" s="179">
        <f ca="1">IF(ISNUMBER(MATCH(DATEVALUE($A283),'recurring1_based on steps'!B$1:B$400,0)),B$2,)</f>
        <v>0</v>
      </c>
      <c r="C283" s="179">
        <f ca="1">IF(ISNUMBER(MATCH(DATEVALUE($A283),'recurring1_based on steps'!C$1:C$400,0)),C$2,)</f>
        <v>0</v>
      </c>
      <c r="D283" s="179">
        <f ca="1">IF(ISNUMBER(MATCH(DATEVALUE($A283),'recurring1_based on steps'!D$1:D$400,0)),D$2,)</f>
        <v>0</v>
      </c>
      <c r="E283" s="179">
        <f ca="1">IF(ISNUMBER(MATCH(DATEVALUE($A283),'recurring1_based on steps'!E$1:E$400,0)),E$2,)</f>
        <v>0</v>
      </c>
      <c r="F283" s="179">
        <f ca="1">IF(ISNUMBER(MATCH(DATEVALUE($A283),'recurring1_based on steps'!F$1:F$400,0)),F$2,)</f>
        <v>0</v>
      </c>
      <c r="G283" s="179">
        <f ca="1">IF(ISNUMBER(MATCH(DATEVALUE($A283),'recurring1_based on steps'!G$1:G$400,0)),G$2,)</f>
        <v>0</v>
      </c>
      <c r="H283" s="179">
        <f ca="1">IF(ISNUMBER(MATCH(DATEVALUE($A283),'recurring1_based on steps'!H$1:H$400,0)),H$2,)</f>
        <v>0</v>
      </c>
      <c r="I283" s="179">
        <f ca="1">IF(ISNUMBER(MATCH(DATEVALUE($A283),'recurring1_based on steps'!I$1:I$400,0)),I$2,)</f>
        <v>0</v>
      </c>
      <c r="J283" s="179">
        <f ca="1">IF(ISNUMBER(MATCH(DATEVALUE($A283),'recurring1_based on steps'!J$1:J$400,0)),J$2,)</f>
        <v>0</v>
      </c>
      <c r="K283" s="179">
        <f ca="1">IF(ISNUMBER(MATCH(DATEVALUE($A283),'recurring1_based on steps'!K$1:K$400,0)),K$2,)</f>
        <v>0</v>
      </c>
      <c r="L283" s="179">
        <f ca="1">IF(ISNUMBER(MATCH(DATEVALUE($A283),'recurring1_based on steps'!L$1:L$400,0)),L$2,)</f>
        <v>0</v>
      </c>
      <c r="M283" s="179">
        <f ca="1">IF(ISNUMBER(MATCH(DATEVALUE($A283),'recurring1_based on steps'!M$1:M$400,0)),M$2,)</f>
        <v>0</v>
      </c>
      <c r="N283" s="179">
        <f ca="1">IF(ISNUMBER(MATCH(DATEVALUE($A283),'recurring1_based on steps'!N$1:N$400,0)),N$2,)</f>
        <v>0</v>
      </c>
      <c r="O283" s="179">
        <f ca="1">IF(ISNUMBER(MATCH(DATEVALUE($A283),'recurring1_based on steps'!O$1:O$400,0)),O$2,)</f>
        <v>0</v>
      </c>
      <c r="P283" s="179">
        <f ca="1">IF(ISNUMBER(MATCH(DATEVALUE($A283),'recurring1_based on steps'!P$1:P$400,0)),P$2,)</f>
        <v>0</v>
      </c>
      <c r="Q283" s="179">
        <f ca="1">IF(ISNUMBER(MATCH(DATEVALUE($A283),'recurring1_based on steps'!Q$1:Q$400,0)),Q$2,)</f>
        <v>0</v>
      </c>
      <c r="R283" s="179">
        <f ca="1">IF(ISNUMBER(MATCH(DATEVALUE($A283),'recurring1_based on steps'!R$1:R$400,0)),R$2,)</f>
        <v>0</v>
      </c>
      <c r="S283" s="179">
        <f ca="1">IF(ISNUMBER(MATCH(DATEVALUE($A283),'recurring1_based on steps'!S$1:S$400,0)),S$2,)</f>
        <v>0</v>
      </c>
      <c r="T283" s="179">
        <f ca="1">IF(ISNUMBER(MATCH(DATEVALUE($A283),'recurring1_based on steps'!T$1:T$400,0)),T$2,)</f>
        <v>0</v>
      </c>
      <c r="U283" s="179">
        <f ca="1">IF(ISNUMBER(MATCH(DATEVALUE($A283),'recurring1_based on steps'!U$1:U$400,0)),U$2,)</f>
        <v>0</v>
      </c>
      <c r="V283" s="179">
        <f ca="1">IF(ISNUMBER(MATCH(DATEVALUE($A283),'recurring1_based on steps'!V$1:V$400,0)),V$2,)</f>
        <v>0</v>
      </c>
      <c r="W283" s="179">
        <f ca="1">IF(ISNUMBER(MATCH(DATEVALUE($A283),'recurring1_based on steps'!W$1:W$400,0)),W$2,)</f>
        <v>0</v>
      </c>
      <c r="X283" s="179">
        <f ca="1">IF(ISNUMBER(MATCH(DATEVALUE($A283),'recurring1_based on steps'!X$1:X$400,0)),X$2,)</f>
        <v>0</v>
      </c>
      <c r="Y283" s="179">
        <f ca="1">IF(ISNUMBER(MATCH(DATEVALUE($A283),'recurring1_based on steps'!Y$1:Y$400,0)),Y$2,)</f>
        <v>0</v>
      </c>
      <c r="Z283" s="179">
        <f ca="1">IF(ISNUMBER(MATCH(DATEVALUE($A283),'recurring1_based on steps'!Z$1:Z$400,0)),Z$2,)</f>
        <v>0</v>
      </c>
      <c r="AA283" s="179">
        <f ca="1">IF(ISNUMBER(MATCH(DATEVALUE($A283),'recurring1_based on steps'!AA$1:AA$400,0)),AA$2,)</f>
        <v>0</v>
      </c>
      <c r="AB283" s="179">
        <f ca="1">IF(ISNUMBER(MATCH(DATEVALUE($A283),'recurring1_based on steps'!AB$1:AB$400,0)),AB$2,)</f>
        <v>0</v>
      </c>
      <c r="AC283" s="179">
        <f ca="1">IF(ISNUMBER(MATCH(DATEVALUE($A283),'recurring1_based on steps'!AC$1:AC$400,0)),AC$2,)</f>
        <v>0</v>
      </c>
      <c r="AD283" s="179">
        <f ca="1">IF(ISNUMBER(MATCH(DATEVALUE($A283),'recurring1_based on steps'!AD$1:AD$400,0)),AD$2,)</f>
        <v>0</v>
      </c>
      <c r="AE283" s="179">
        <f ca="1">IF(ISNUMBER(MATCH(DATEVALUE($A283),'recurring1_based on steps'!AE$1:AE$400,0)),AE$2,)</f>
        <v>0</v>
      </c>
      <c r="AF283" s="179">
        <f ca="1">IF(ISNUMBER(MATCH(DATEVALUE($A283),'recurring1_based on steps'!AF$1:AF$400,0)),AF$2,)</f>
        <v>0</v>
      </c>
      <c r="AG283" s="179">
        <f ca="1">IF(ISNUMBER(MATCH(DATEVALUE($A283),'recurring1_based on steps'!AG$1:AG$400,0)),AG$2,)</f>
        <v>0</v>
      </c>
      <c r="AH283" s="179">
        <f ca="1">IF(ISNUMBER(MATCH(DATEVALUE($A283),'recurring1_based on steps'!AH$1:AH$400,0)),AH$2,)</f>
        <v>0</v>
      </c>
      <c r="AI283" s="179">
        <f ca="1">IF(ISNUMBER(MATCH(DATEVALUE($A283),'recurring1_based on steps'!AI$1:AI$400,0)),AI$2,)</f>
        <v>0</v>
      </c>
      <c r="AJ283" s="179">
        <f ca="1">IF(ISNUMBER(MATCH(DATEVALUE($A283),'recurring1_based on steps'!AJ$1:AJ$400,0)),AJ$2,)</f>
        <v>0</v>
      </c>
      <c r="AK283" s="179">
        <f ca="1">IF(ISNUMBER(MATCH(DATEVALUE($A283),'recurring1_based on steps'!AK$1:AK$400,0)),AK$2,)</f>
        <v>0</v>
      </c>
      <c r="AL283" s="179">
        <f ca="1">IF(ISNUMBER(MATCH(DATEVALUE($A283),'recurring1_based on steps'!AL$1:AL$400,0)),AL$2,)</f>
        <v>0</v>
      </c>
      <c r="AM283" s="179">
        <f ca="1">IF(ISNUMBER(MATCH(DATEVALUE($A283),'recurring1_based on steps'!AM$1:AM$400,0)),AM$2,)</f>
        <v>0</v>
      </c>
      <c r="AN283" s="179">
        <f ca="1">IF(ISNUMBER(MATCH(DATEVALUE($A283),'recurring1_based on steps'!AN$1:AN$400,0)),AN$2,)</f>
        <v>0</v>
      </c>
      <c r="AO283" s="179">
        <f ca="1">IF(ISNUMBER(MATCH(DATEVALUE($A283),'recurring1_based on steps'!AO$1:AO$400,0)),AO$2,)</f>
        <v>0</v>
      </c>
      <c r="AP283" s="179">
        <f ca="1">IF(ISNUMBER(MATCH(DATEVALUE($A283),'recurring1_based on steps'!AP$1:AP$400,0)),AP$2,)</f>
        <v>0</v>
      </c>
      <c r="AQ283" s="179">
        <f ca="1">IF(ISNUMBER(MATCH(DATEVALUE($A283),'recurring1_based on steps'!AQ$1:AQ$400,0)),AQ$2,)</f>
        <v>0</v>
      </c>
      <c r="AR283" s="179">
        <f ca="1">IF(ISNUMBER(MATCH(DATEVALUE($A283),'recurring1_based on steps'!AR$1:AR$400,0)),AR$2,)</f>
        <v>0</v>
      </c>
      <c r="AS283" s="179">
        <f ca="1">IF(ISNUMBER(MATCH(DATEVALUE($A283),'recurring1_based on steps'!AS$1:AS$400,0)),AS$2,)</f>
        <v>0</v>
      </c>
      <c r="AT283" s="179">
        <f ca="1">IF(ISNUMBER(MATCH(DATEVALUE($A283),'recurring1_based on steps'!AT$1:AT$400,0)),AT$2,)</f>
        <v>0</v>
      </c>
      <c r="AU283" s="179">
        <f ca="1">IF(ISNUMBER(MATCH(DATEVALUE($A283),'recurring1_based on steps'!AU$1:AU$400,0)),AU$2,)</f>
        <v>0</v>
      </c>
      <c r="AV283" s="179">
        <f ca="1">IF(ISNUMBER(MATCH(DATEVALUE($A283),'recurring1_based on steps'!AV$1:AV$400,0)),AV$2,)</f>
        <v>0</v>
      </c>
      <c r="AW283" s="179">
        <f ca="1">IF(ISNUMBER(MATCH(DATEVALUE($A283),'recurring1_based on steps'!AW$1:AW$400,0)),AW$2,)</f>
        <v>0</v>
      </c>
      <c r="AX283" s="179">
        <f ca="1">IF(ISNUMBER(MATCH(DATEVALUE($A283),'recurring1_based on steps'!AX$1:AX$400,0)),AX$2,)</f>
        <v>0</v>
      </c>
      <c r="AY283" s="179">
        <f ca="1">IF(ISNUMBER(MATCH(DATEVALUE($A283),'recurring1_based on steps'!AY$1:AY$400,0)),AY$2,)</f>
        <v>0</v>
      </c>
    </row>
    <row r="284" spans="1:51" x14ac:dyDescent="0.2">
      <c r="A284" s="32" t="str">
        <f t="shared" ca="1" si="4"/>
        <v>2026-01-11</v>
      </c>
      <c r="B284" s="179">
        <f ca="1">IF(ISNUMBER(MATCH(DATEVALUE($A284),'recurring1_based on steps'!B$1:B$400,0)),B$2,)</f>
        <v>0</v>
      </c>
      <c r="C284" s="179">
        <f ca="1">IF(ISNUMBER(MATCH(DATEVALUE($A284),'recurring1_based on steps'!C$1:C$400,0)),C$2,)</f>
        <v>0</v>
      </c>
      <c r="D284" s="179">
        <f ca="1">IF(ISNUMBER(MATCH(DATEVALUE($A284),'recurring1_based on steps'!D$1:D$400,0)),D$2,)</f>
        <v>0</v>
      </c>
      <c r="E284" s="179">
        <f ca="1">IF(ISNUMBER(MATCH(DATEVALUE($A284),'recurring1_based on steps'!E$1:E$400,0)),E$2,)</f>
        <v>0</v>
      </c>
      <c r="F284" s="179">
        <f ca="1">IF(ISNUMBER(MATCH(DATEVALUE($A284),'recurring1_based on steps'!F$1:F$400,0)),F$2,)</f>
        <v>0</v>
      </c>
      <c r="G284" s="179">
        <f ca="1">IF(ISNUMBER(MATCH(DATEVALUE($A284),'recurring1_based on steps'!G$1:G$400,0)),G$2,)</f>
        <v>0</v>
      </c>
      <c r="H284" s="179">
        <f ca="1">IF(ISNUMBER(MATCH(DATEVALUE($A284),'recurring1_based on steps'!H$1:H$400,0)),H$2,)</f>
        <v>0</v>
      </c>
      <c r="I284" s="179">
        <f ca="1">IF(ISNUMBER(MATCH(DATEVALUE($A284),'recurring1_based on steps'!I$1:I$400,0)),I$2,)</f>
        <v>0</v>
      </c>
      <c r="J284" s="179">
        <f ca="1">IF(ISNUMBER(MATCH(DATEVALUE($A284),'recurring1_based on steps'!J$1:J$400,0)),J$2,)</f>
        <v>0</v>
      </c>
      <c r="K284" s="179">
        <f ca="1">IF(ISNUMBER(MATCH(DATEVALUE($A284),'recurring1_based on steps'!K$1:K$400,0)),K$2,)</f>
        <v>0</v>
      </c>
      <c r="L284" s="179">
        <f ca="1">IF(ISNUMBER(MATCH(DATEVALUE($A284),'recurring1_based on steps'!L$1:L$400,0)),L$2,)</f>
        <v>0</v>
      </c>
      <c r="M284" s="179">
        <f ca="1">IF(ISNUMBER(MATCH(DATEVALUE($A284),'recurring1_based on steps'!M$1:M$400,0)),M$2,)</f>
        <v>0</v>
      </c>
      <c r="N284" s="179">
        <f ca="1">IF(ISNUMBER(MATCH(DATEVALUE($A284),'recurring1_based on steps'!N$1:N$400,0)),N$2,)</f>
        <v>0</v>
      </c>
      <c r="O284" s="179">
        <f ca="1">IF(ISNUMBER(MATCH(DATEVALUE($A284),'recurring1_based on steps'!O$1:O$400,0)),O$2,)</f>
        <v>0</v>
      </c>
      <c r="P284" s="179">
        <f ca="1">IF(ISNUMBER(MATCH(DATEVALUE($A284),'recurring1_based on steps'!P$1:P$400,0)),P$2,)</f>
        <v>0</v>
      </c>
      <c r="Q284" s="179">
        <f ca="1">IF(ISNUMBER(MATCH(DATEVALUE($A284),'recurring1_based on steps'!Q$1:Q$400,0)),Q$2,)</f>
        <v>0</v>
      </c>
      <c r="R284" s="179">
        <f ca="1">IF(ISNUMBER(MATCH(DATEVALUE($A284),'recurring1_based on steps'!R$1:R$400,0)),R$2,)</f>
        <v>0</v>
      </c>
      <c r="S284" s="179">
        <f ca="1">IF(ISNUMBER(MATCH(DATEVALUE($A284),'recurring1_based on steps'!S$1:S$400,0)),S$2,)</f>
        <v>0</v>
      </c>
      <c r="T284" s="179">
        <f ca="1">IF(ISNUMBER(MATCH(DATEVALUE($A284),'recurring1_based on steps'!T$1:T$400,0)),T$2,)</f>
        <v>0</v>
      </c>
      <c r="U284" s="179">
        <f ca="1">IF(ISNUMBER(MATCH(DATEVALUE($A284),'recurring1_based on steps'!U$1:U$400,0)),U$2,)</f>
        <v>0</v>
      </c>
      <c r="V284" s="179">
        <f ca="1">IF(ISNUMBER(MATCH(DATEVALUE($A284),'recurring1_based on steps'!V$1:V$400,0)),V$2,)</f>
        <v>0</v>
      </c>
      <c r="W284" s="179">
        <f ca="1">IF(ISNUMBER(MATCH(DATEVALUE($A284),'recurring1_based on steps'!W$1:W$400,0)),W$2,)</f>
        <v>0</v>
      </c>
      <c r="X284" s="179">
        <f ca="1">IF(ISNUMBER(MATCH(DATEVALUE($A284),'recurring1_based on steps'!X$1:X$400,0)),X$2,)</f>
        <v>0</v>
      </c>
      <c r="Y284" s="179">
        <f ca="1">IF(ISNUMBER(MATCH(DATEVALUE($A284),'recurring1_based on steps'!Y$1:Y$400,0)),Y$2,)</f>
        <v>0</v>
      </c>
      <c r="Z284" s="179">
        <f ca="1">IF(ISNUMBER(MATCH(DATEVALUE($A284),'recurring1_based on steps'!Z$1:Z$400,0)),Z$2,)</f>
        <v>0</v>
      </c>
      <c r="AA284" s="179">
        <f ca="1">IF(ISNUMBER(MATCH(DATEVALUE($A284),'recurring1_based on steps'!AA$1:AA$400,0)),AA$2,)</f>
        <v>0</v>
      </c>
      <c r="AB284" s="179">
        <f ca="1">IF(ISNUMBER(MATCH(DATEVALUE($A284),'recurring1_based on steps'!AB$1:AB$400,0)),AB$2,)</f>
        <v>0</v>
      </c>
      <c r="AC284" s="179">
        <f ca="1">IF(ISNUMBER(MATCH(DATEVALUE($A284),'recurring1_based on steps'!AC$1:AC$400,0)),AC$2,)</f>
        <v>0</v>
      </c>
      <c r="AD284" s="179">
        <f ca="1">IF(ISNUMBER(MATCH(DATEVALUE($A284),'recurring1_based on steps'!AD$1:AD$400,0)),AD$2,)</f>
        <v>0</v>
      </c>
      <c r="AE284" s="179">
        <f ca="1">IF(ISNUMBER(MATCH(DATEVALUE($A284),'recurring1_based on steps'!AE$1:AE$400,0)),AE$2,)</f>
        <v>0</v>
      </c>
      <c r="AF284" s="179">
        <f ca="1">IF(ISNUMBER(MATCH(DATEVALUE($A284),'recurring1_based on steps'!AF$1:AF$400,0)),AF$2,)</f>
        <v>0</v>
      </c>
      <c r="AG284" s="179">
        <f ca="1">IF(ISNUMBER(MATCH(DATEVALUE($A284),'recurring1_based on steps'!AG$1:AG$400,0)),AG$2,)</f>
        <v>0</v>
      </c>
      <c r="AH284" s="179">
        <f ca="1">IF(ISNUMBER(MATCH(DATEVALUE($A284),'recurring1_based on steps'!AH$1:AH$400,0)),AH$2,)</f>
        <v>0</v>
      </c>
      <c r="AI284" s="179">
        <f ca="1">IF(ISNUMBER(MATCH(DATEVALUE($A284),'recurring1_based on steps'!AI$1:AI$400,0)),AI$2,)</f>
        <v>0</v>
      </c>
      <c r="AJ284" s="179">
        <f ca="1">IF(ISNUMBER(MATCH(DATEVALUE($A284),'recurring1_based on steps'!AJ$1:AJ$400,0)),AJ$2,)</f>
        <v>0</v>
      </c>
      <c r="AK284" s="179">
        <f ca="1">IF(ISNUMBER(MATCH(DATEVALUE($A284),'recurring1_based on steps'!AK$1:AK$400,0)),AK$2,)</f>
        <v>0</v>
      </c>
      <c r="AL284" s="179">
        <f ca="1">IF(ISNUMBER(MATCH(DATEVALUE($A284),'recurring1_based on steps'!AL$1:AL$400,0)),AL$2,)</f>
        <v>0</v>
      </c>
      <c r="AM284" s="179">
        <f ca="1">IF(ISNUMBER(MATCH(DATEVALUE($A284),'recurring1_based on steps'!AM$1:AM$400,0)),AM$2,)</f>
        <v>0</v>
      </c>
      <c r="AN284" s="179">
        <f ca="1">IF(ISNUMBER(MATCH(DATEVALUE($A284),'recurring1_based on steps'!AN$1:AN$400,0)),AN$2,)</f>
        <v>0</v>
      </c>
      <c r="AO284" s="179">
        <f ca="1">IF(ISNUMBER(MATCH(DATEVALUE($A284),'recurring1_based on steps'!AO$1:AO$400,0)),AO$2,)</f>
        <v>0</v>
      </c>
      <c r="AP284" s="179">
        <f ca="1">IF(ISNUMBER(MATCH(DATEVALUE($A284),'recurring1_based on steps'!AP$1:AP$400,0)),AP$2,)</f>
        <v>0</v>
      </c>
      <c r="AQ284" s="179">
        <f ca="1">IF(ISNUMBER(MATCH(DATEVALUE($A284),'recurring1_based on steps'!AQ$1:AQ$400,0)),AQ$2,)</f>
        <v>0</v>
      </c>
      <c r="AR284" s="179">
        <f ca="1">IF(ISNUMBER(MATCH(DATEVALUE($A284),'recurring1_based on steps'!AR$1:AR$400,0)),AR$2,)</f>
        <v>0</v>
      </c>
      <c r="AS284" s="179">
        <f ca="1">IF(ISNUMBER(MATCH(DATEVALUE($A284),'recurring1_based on steps'!AS$1:AS$400,0)),AS$2,)</f>
        <v>0</v>
      </c>
      <c r="AT284" s="179">
        <f ca="1">IF(ISNUMBER(MATCH(DATEVALUE($A284),'recurring1_based on steps'!AT$1:AT$400,0)),AT$2,)</f>
        <v>0</v>
      </c>
      <c r="AU284" s="179">
        <f ca="1">IF(ISNUMBER(MATCH(DATEVALUE($A284),'recurring1_based on steps'!AU$1:AU$400,0)),AU$2,)</f>
        <v>0</v>
      </c>
      <c r="AV284" s="179">
        <f ca="1">IF(ISNUMBER(MATCH(DATEVALUE($A284),'recurring1_based on steps'!AV$1:AV$400,0)),AV$2,)</f>
        <v>0</v>
      </c>
      <c r="AW284" s="179">
        <f ca="1">IF(ISNUMBER(MATCH(DATEVALUE($A284),'recurring1_based on steps'!AW$1:AW$400,0)),AW$2,)</f>
        <v>0</v>
      </c>
      <c r="AX284" s="179">
        <f ca="1">IF(ISNUMBER(MATCH(DATEVALUE($A284),'recurring1_based on steps'!AX$1:AX$400,0)),AX$2,)</f>
        <v>0</v>
      </c>
      <c r="AY284" s="179">
        <f ca="1">IF(ISNUMBER(MATCH(DATEVALUE($A284),'recurring1_based on steps'!AY$1:AY$400,0)),AY$2,)</f>
        <v>0</v>
      </c>
    </row>
    <row r="285" spans="1:51" x14ac:dyDescent="0.2">
      <c r="A285" s="32" t="str">
        <f t="shared" ca="1" si="4"/>
        <v>2026-01-12</v>
      </c>
      <c r="B285" s="179">
        <f ca="1">IF(ISNUMBER(MATCH(DATEVALUE($A285),'recurring1_based on steps'!B$1:B$400,0)),B$2,)</f>
        <v>0</v>
      </c>
      <c r="C285" s="179">
        <f ca="1">IF(ISNUMBER(MATCH(DATEVALUE($A285),'recurring1_based on steps'!C$1:C$400,0)),C$2,)</f>
        <v>0</v>
      </c>
      <c r="D285" s="179">
        <f ca="1">IF(ISNUMBER(MATCH(DATEVALUE($A285),'recurring1_based on steps'!D$1:D$400,0)),D$2,)</f>
        <v>0</v>
      </c>
      <c r="E285" s="179">
        <f ca="1">IF(ISNUMBER(MATCH(DATEVALUE($A285),'recurring1_based on steps'!E$1:E$400,0)),E$2,)</f>
        <v>0</v>
      </c>
      <c r="F285" s="179">
        <f ca="1">IF(ISNUMBER(MATCH(DATEVALUE($A285),'recurring1_based on steps'!F$1:F$400,0)),F$2,)</f>
        <v>0</v>
      </c>
      <c r="G285" s="179">
        <f ca="1">IF(ISNUMBER(MATCH(DATEVALUE($A285),'recurring1_based on steps'!G$1:G$400,0)),G$2,)</f>
        <v>0</v>
      </c>
      <c r="H285" s="179">
        <f ca="1">IF(ISNUMBER(MATCH(DATEVALUE($A285),'recurring1_based on steps'!H$1:H$400,0)),H$2,)</f>
        <v>0</v>
      </c>
      <c r="I285" s="179">
        <f ca="1">IF(ISNUMBER(MATCH(DATEVALUE($A285),'recurring1_based on steps'!I$1:I$400,0)),I$2,)</f>
        <v>0</v>
      </c>
      <c r="J285" s="179">
        <f ca="1">IF(ISNUMBER(MATCH(DATEVALUE($A285),'recurring1_based on steps'!J$1:J$400,0)),J$2,)</f>
        <v>0</v>
      </c>
      <c r="K285" s="179">
        <f ca="1">IF(ISNUMBER(MATCH(DATEVALUE($A285),'recurring1_based on steps'!K$1:K$400,0)),K$2,)</f>
        <v>0</v>
      </c>
      <c r="L285" s="179">
        <f ca="1">IF(ISNUMBER(MATCH(DATEVALUE($A285),'recurring1_based on steps'!L$1:L$400,0)),L$2,)</f>
        <v>0</v>
      </c>
      <c r="M285" s="179">
        <f ca="1">IF(ISNUMBER(MATCH(DATEVALUE($A285),'recurring1_based on steps'!M$1:M$400,0)),M$2,)</f>
        <v>0</v>
      </c>
      <c r="N285" s="179">
        <f ca="1">IF(ISNUMBER(MATCH(DATEVALUE($A285),'recurring1_based on steps'!N$1:N$400,0)),N$2,)</f>
        <v>0</v>
      </c>
      <c r="O285" s="179">
        <f ca="1">IF(ISNUMBER(MATCH(DATEVALUE($A285),'recurring1_based on steps'!O$1:O$400,0)),O$2,)</f>
        <v>0</v>
      </c>
      <c r="P285" s="179">
        <f ca="1">IF(ISNUMBER(MATCH(DATEVALUE($A285),'recurring1_based on steps'!P$1:P$400,0)),P$2,)</f>
        <v>0</v>
      </c>
      <c r="Q285" s="179">
        <f ca="1">IF(ISNUMBER(MATCH(DATEVALUE($A285),'recurring1_based on steps'!Q$1:Q$400,0)),Q$2,)</f>
        <v>0</v>
      </c>
      <c r="R285" s="179">
        <f ca="1">IF(ISNUMBER(MATCH(DATEVALUE($A285),'recurring1_based on steps'!R$1:R$400,0)),R$2,)</f>
        <v>0</v>
      </c>
      <c r="S285" s="179">
        <f ca="1">IF(ISNUMBER(MATCH(DATEVALUE($A285),'recurring1_based on steps'!S$1:S$400,0)),S$2,)</f>
        <v>0</v>
      </c>
      <c r="T285" s="179">
        <f ca="1">IF(ISNUMBER(MATCH(DATEVALUE($A285),'recurring1_based on steps'!T$1:T$400,0)),T$2,)</f>
        <v>0</v>
      </c>
      <c r="U285" s="179">
        <f ca="1">IF(ISNUMBER(MATCH(DATEVALUE($A285),'recurring1_based on steps'!U$1:U$400,0)),U$2,)</f>
        <v>0</v>
      </c>
      <c r="V285" s="179">
        <f ca="1">IF(ISNUMBER(MATCH(DATEVALUE($A285),'recurring1_based on steps'!V$1:V$400,0)),V$2,)</f>
        <v>0</v>
      </c>
      <c r="W285" s="179">
        <f ca="1">IF(ISNUMBER(MATCH(DATEVALUE($A285),'recurring1_based on steps'!W$1:W$400,0)),W$2,)</f>
        <v>0</v>
      </c>
      <c r="X285" s="179">
        <f ca="1">IF(ISNUMBER(MATCH(DATEVALUE($A285),'recurring1_based on steps'!X$1:X$400,0)),X$2,)</f>
        <v>0</v>
      </c>
      <c r="Y285" s="179">
        <f ca="1">IF(ISNUMBER(MATCH(DATEVALUE($A285),'recurring1_based on steps'!Y$1:Y$400,0)),Y$2,)</f>
        <v>0</v>
      </c>
      <c r="Z285" s="179">
        <f ca="1">IF(ISNUMBER(MATCH(DATEVALUE($A285),'recurring1_based on steps'!Z$1:Z$400,0)),Z$2,)</f>
        <v>0</v>
      </c>
      <c r="AA285" s="179">
        <f ca="1">IF(ISNUMBER(MATCH(DATEVALUE($A285),'recurring1_based on steps'!AA$1:AA$400,0)),AA$2,)</f>
        <v>0</v>
      </c>
      <c r="AB285" s="179">
        <f ca="1">IF(ISNUMBER(MATCH(DATEVALUE($A285),'recurring1_based on steps'!AB$1:AB$400,0)),AB$2,)</f>
        <v>0</v>
      </c>
      <c r="AC285" s="179">
        <f ca="1">IF(ISNUMBER(MATCH(DATEVALUE($A285),'recurring1_based on steps'!AC$1:AC$400,0)),AC$2,)</f>
        <v>0</v>
      </c>
      <c r="AD285" s="179">
        <f ca="1">IF(ISNUMBER(MATCH(DATEVALUE($A285),'recurring1_based on steps'!AD$1:AD$400,0)),AD$2,)</f>
        <v>0</v>
      </c>
      <c r="AE285" s="179">
        <f ca="1">IF(ISNUMBER(MATCH(DATEVALUE($A285),'recurring1_based on steps'!AE$1:AE$400,0)),AE$2,)</f>
        <v>0</v>
      </c>
      <c r="AF285" s="179">
        <f ca="1">IF(ISNUMBER(MATCH(DATEVALUE($A285),'recurring1_based on steps'!AF$1:AF$400,0)),AF$2,)</f>
        <v>0</v>
      </c>
      <c r="AG285" s="179">
        <f ca="1">IF(ISNUMBER(MATCH(DATEVALUE($A285),'recurring1_based on steps'!AG$1:AG$400,0)),AG$2,)</f>
        <v>0</v>
      </c>
      <c r="AH285" s="179">
        <f ca="1">IF(ISNUMBER(MATCH(DATEVALUE($A285),'recurring1_based on steps'!AH$1:AH$400,0)),AH$2,)</f>
        <v>0</v>
      </c>
      <c r="AI285" s="179">
        <f ca="1">IF(ISNUMBER(MATCH(DATEVALUE($A285),'recurring1_based on steps'!AI$1:AI$400,0)),AI$2,)</f>
        <v>0</v>
      </c>
      <c r="AJ285" s="179">
        <f ca="1">IF(ISNUMBER(MATCH(DATEVALUE($A285),'recurring1_based on steps'!AJ$1:AJ$400,0)),AJ$2,)</f>
        <v>0</v>
      </c>
      <c r="AK285" s="179">
        <f ca="1">IF(ISNUMBER(MATCH(DATEVALUE($A285),'recurring1_based on steps'!AK$1:AK$400,0)),AK$2,)</f>
        <v>0</v>
      </c>
      <c r="AL285" s="179">
        <f ca="1">IF(ISNUMBER(MATCH(DATEVALUE($A285),'recurring1_based on steps'!AL$1:AL$400,0)),AL$2,)</f>
        <v>0</v>
      </c>
      <c r="AM285" s="179">
        <f ca="1">IF(ISNUMBER(MATCH(DATEVALUE($A285),'recurring1_based on steps'!AM$1:AM$400,0)),AM$2,)</f>
        <v>0</v>
      </c>
      <c r="AN285" s="179">
        <f ca="1">IF(ISNUMBER(MATCH(DATEVALUE($A285),'recurring1_based on steps'!AN$1:AN$400,0)),AN$2,)</f>
        <v>0</v>
      </c>
      <c r="AO285" s="179">
        <f ca="1">IF(ISNUMBER(MATCH(DATEVALUE($A285),'recurring1_based on steps'!AO$1:AO$400,0)),AO$2,)</f>
        <v>0</v>
      </c>
      <c r="AP285" s="179">
        <f ca="1">IF(ISNUMBER(MATCH(DATEVALUE($A285),'recurring1_based on steps'!AP$1:AP$400,0)),AP$2,)</f>
        <v>0</v>
      </c>
      <c r="AQ285" s="179">
        <f ca="1">IF(ISNUMBER(MATCH(DATEVALUE($A285),'recurring1_based on steps'!AQ$1:AQ$400,0)),AQ$2,)</f>
        <v>0</v>
      </c>
      <c r="AR285" s="179">
        <f ca="1">IF(ISNUMBER(MATCH(DATEVALUE($A285),'recurring1_based on steps'!AR$1:AR$400,0)),AR$2,)</f>
        <v>0</v>
      </c>
      <c r="AS285" s="179">
        <f ca="1">IF(ISNUMBER(MATCH(DATEVALUE($A285),'recurring1_based on steps'!AS$1:AS$400,0)),AS$2,)</f>
        <v>0</v>
      </c>
      <c r="AT285" s="179">
        <f ca="1">IF(ISNUMBER(MATCH(DATEVALUE($A285),'recurring1_based on steps'!AT$1:AT$400,0)),AT$2,)</f>
        <v>0</v>
      </c>
      <c r="AU285" s="179">
        <f ca="1">IF(ISNUMBER(MATCH(DATEVALUE($A285),'recurring1_based on steps'!AU$1:AU$400,0)),AU$2,)</f>
        <v>0</v>
      </c>
      <c r="AV285" s="179">
        <f ca="1">IF(ISNUMBER(MATCH(DATEVALUE($A285),'recurring1_based on steps'!AV$1:AV$400,0)),AV$2,)</f>
        <v>0</v>
      </c>
      <c r="AW285" s="179">
        <f ca="1">IF(ISNUMBER(MATCH(DATEVALUE($A285),'recurring1_based on steps'!AW$1:AW$400,0)),AW$2,)</f>
        <v>0</v>
      </c>
      <c r="AX285" s="179">
        <f ca="1">IF(ISNUMBER(MATCH(DATEVALUE($A285),'recurring1_based on steps'!AX$1:AX$400,0)),AX$2,)</f>
        <v>0</v>
      </c>
      <c r="AY285" s="179">
        <f ca="1">IF(ISNUMBER(MATCH(DATEVALUE($A285),'recurring1_based on steps'!AY$1:AY$400,0)),AY$2,)</f>
        <v>0</v>
      </c>
    </row>
    <row r="286" spans="1:51" x14ac:dyDescent="0.2">
      <c r="A286" s="32" t="str">
        <f t="shared" ca="1" si="4"/>
        <v>2026-01-13</v>
      </c>
      <c r="B286" s="179">
        <f ca="1">IF(ISNUMBER(MATCH(DATEVALUE($A286),'recurring1_based on steps'!B$1:B$400,0)),B$2,)</f>
        <v>0</v>
      </c>
      <c r="C286" s="179">
        <f ca="1">IF(ISNUMBER(MATCH(DATEVALUE($A286),'recurring1_based on steps'!C$1:C$400,0)),C$2,)</f>
        <v>0</v>
      </c>
      <c r="D286" s="179">
        <f ca="1">IF(ISNUMBER(MATCH(DATEVALUE($A286),'recurring1_based on steps'!D$1:D$400,0)),D$2,)</f>
        <v>0</v>
      </c>
      <c r="E286" s="179">
        <f ca="1">IF(ISNUMBER(MATCH(DATEVALUE($A286),'recurring1_based on steps'!E$1:E$400,0)),E$2,)</f>
        <v>0</v>
      </c>
      <c r="F286" s="179">
        <f ca="1">IF(ISNUMBER(MATCH(DATEVALUE($A286),'recurring1_based on steps'!F$1:F$400,0)),F$2,)</f>
        <v>0</v>
      </c>
      <c r="G286" s="179">
        <f ca="1">IF(ISNUMBER(MATCH(DATEVALUE($A286),'recurring1_based on steps'!G$1:G$400,0)),G$2,)</f>
        <v>0</v>
      </c>
      <c r="H286" s="179">
        <f ca="1">IF(ISNUMBER(MATCH(DATEVALUE($A286),'recurring1_based on steps'!H$1:H$400,0)),H$2,)</f>
        <v>0</v>
      </c>
      <c r="I286" s="179">
        <f ca="1">IF(ISNUMBER(MATCH(DATEVALUE($A286),'recurring1_based on steps'!I$1:I$400,0)),I$2,)</f>
        <v>0</v>
      </c>
      <c r="J286" s="179">
        <f ca="1">IF(ISNUMBER(MATCH(DATEVALUE($A286),'recurring1_based on steps'!J$1:J$400,0)),J$2,)</f>
        <v>0</v>
      </c>
      <c r="K286" s="179">
        <f ca="1">IF(ISNUMBER(MATCH(DATEVALUE($A286),'recurring1_based on steps'!K$1:K$400,0)),K$2,)</f>
        <v>0</v>
      </c>
      <c r="L286" s="179">
        <f ca="1">IF(ISNUMBER(MATCH(DATEVALUE($A286),'recurring1_based on steps'!L$1:L$400,0)),L$2,)</f>
        <v>0</v>
      </c>
      <c r="M286" s="179">
        <f ca="1">IF(ISNUMBER(MATCH(DATEVALUE($A286),'recurring1_based on steps'!M$1:M$400,0)),M$2,)</f>
        <v>0</v>
      </c>
      <c r="N286" s="179">
        <f ca="1">IF(ISNUMBER(MATCH(DATEVALUE($A286),'recurring1_based on steps'!N$1:N$400,0)),N$2,)</f>
        <v>0</v>
      </c>
      <c r="O286" s="179">
        <f ca="1">IF(ISNUMBER(MATCH(DATEVALUE($A286),'recurring1_based on steps'!O$1:O$400,0)),O$2,)</f>
        <v>0</v>
      </c>
      <c r="P286" s="179">
        <f ca="1">IF(ISNUMBER(MATCH(DATEVALUE($A286),'recurring1_based on steps'!P$1:P$400,0)),P$2,)</f>
        <v>0</v>
      </c>
      <c r="Q286" s="179">
        <f ca="1">IF(ISNUMBER(MATCH(DATEVALUE($A286),'recurring1_based on steps'!Q$1:Q$400,0)),Q$2,)</f>
        <v>0</v>
      </c>
      <c r="R286" s="179">
        <f ca="1">IF(ISNUMBER(MATCH(DATEVALUE($A286),'recurring1_based on steps'!R$1:R$400,0)),R$2,)</f>
        <v>0</v>
      </c>
      <c r="S286" s="179">
        <f ca="1">IF(ISNUMBER(MATCH(DATEVALUE($A286),'recurring1_based on steps'!S$1:S$400,0)),S$2,)</f>
        <v>0</v>
      </c>
      <c r="T286" s="179">
        <f ca="1">IF(ISNUMBER(MATCH(DATEVALUE($A286),'recurring1_based on steps'!T$1:T$400,0)),T$2,)</f>
        <v>0</v>
      </c>
      <c r="U286" s="179">
        <f ca="1">IF(ISNUMBER(MATCH(DATEVALUE($A286),'recurring1_based on steps'!U$1:U$400,0)),U$2,)</f>
        <v>0</v>
      </c>
      <c r="V286" s="179">
        <f ca="1">IF(ISNUMBER(MATCH(DATEVALUE($A286),'recurring1_based on steps'!V$1:V$400,0)),V$2,)</f>
        <v>0</v>
      </c>
      <c r="W286" s="179">
        <f ca="1">IF(ISNUMBER(MATCH(DATEVALUE($A286),'recurring1_based on steps'!W$1:W$400,0)),W$2,)</f>
        <v>0</v>
      </c>
      <c r="X286" s="179">
        <f ca="1">IF(ISNUMBER(MATCH(DATEVALUE($A286),'recurring1_based on steps'!X$1:X$400,0)),X$2,)</f>
        <v>0</v>
      </c>
      <c r="Y286" s="179">
        <f ca="1">IF(ISNUMBER(MATCH(DATEVALUE($A286),'recurring1_based on steps'!Y$1:Y$400,0)),Y$2,)</f>
        <v>0</v>
      </c>
      <c r="Z286" s="179">
        <f ca="1">IF(ISNUMBER(MATCH(DATEVALUE($A286),'recurring1_based on steps'!Z$1:Z$400,0)),Z$2,)</f>
        <v>0</v>
      </c>
      <c r="AA286" s="179">
        <f ca="1">IF(ISNUMBER(MATCH(DATEVALUE($A286),'recurring1_based on steps'!AA$1:AA$400,0)),AA$2,)</f>
        <v>0</v>
      </c>
      <c r="AB286" s="179">
        <f ca="1">IF(ISNUMBER(MATCH(DATEVALUE($A286),'recurring1_based on steps'!AB$1:AB$400,0)),AB$2,)</f>
        <v>0</v>
      </c>
      <c r="AC286" s="179">
        <f ca="1">IF(ISNUMBER(MATCH(DATEVALUE($A286),'recurring1_based on steps'!AC$1:AC$400,0)),AC$2,)</f>
        <v>0</v>
      </c>
      <c r="AD286" s="179">
        <f ca="1">IF(ISNUMBER(MATCH(DATEVALUE($A286),'recurring1_based on steps'!AD$1:AD$400,0)),AD$2,)</f>
        <v>0</v>
      </c>
      <c r="AE286" s="179">
        <f ca="1">IF(ISNUMBER(MATCH(DATEVALUE($A286),'recurring1_based on steps'!AE$1:AE$400,0)),AE$2,)</f>
        <v>0</v>
      </c>
      <c r="AF286" s="179">
        <f ca="1">IF(ISNUMBER(MATCH(DATEVALUE($A286),'recurring1_based on steps'!AF$1:AF$400,0)),AF$2,)</f>
        <v>0</v>
      </c>
      <c r="AG286" s="179">
        <f ca="1">IF(ISNUMBER(MATCH(DATEVALUE($A286),'recurring1_based on steps'!AG$1:AG$400,0)),AG$2,)</f>
        <v>0</v>
      </c>
      <c r="AH286" s="179">
        <f ca="1">IF(ISNUMBER(MATCH(DATEVALUE($A286),'recurring1_based on steps'!AH$1:AH$400,0)),AH$2,)</f>
        <v>0</v>
      </c>
      <c r="AI286" s="179">
        <f ca="1">IF(ISNUMBER(MATCH(DATEVALUE($A286),'recurring1_based on steps'!AI$1:AI$400,0)),AI$2,)</f>
        <v>0</v>
      </c>
      <c r="AJ286" s="179">
        <f ca="1">IF(ISNUMBER(MATCH(DATEVALUE($A286),'recurring1_based on steps'!AJ$1:AJ$400,0)),AJ$2,)</f>
        <v>0</v>
      </c>
      <c r="AK286" s="179">
        <f ca="1">IF(ISNUMBER(MATCH(DATEVALUE($A286),'recurring1_based on steps'!AK$1:AK$400,0)),AK$2,)</f>
        <v>0</v>
      </c>
      <c r="AL286" s="179">
        <f ca="1">IF(ISNUMBER(MATCH(DATEVALUE($A286),'recurring1_based on steps'!AL$1:AL$400,0)),AL$2,)</f>
        <v>0</v>
      </c>
      <c r="AM286" s="179">
        <f ca="1">IF(ISNUMBER(MATCH(DATEVALUE($A286),'recurring1_based on steps'!AM$1:AM$400,0)),AM$2,)</f>
        <v>0</v>
      </c>
      <c r="AN286" s="179">
        <f ca="1">IF(ISNUMBER(MATCH(DATEVALUE($A286),'recurring1_based on steps'!AN$1:AN$400,0)),AN$2,)</f>
        <v>0</v>
      </c>
      <c r="AO286" s="179">
        <f ca="1">IF(ISNUMBER(MATCH(DATEVALUE($A286),'recurring1_based on steps'!AO$1:AO$400,0)),AO$2,)</f>
        <v>0</v>
      </c>
      <c r="AP286" s="179">
        <f ca="1">IF(ISNUMBER(MATCH(DATEVALUE($A286),'recurring1_based on steps'!AP$1:AP$400,0)),AP$2,)</f>
        <v>0</v>
      </c>
      <c r="AQ286" s="179">
        <f ca="1">IF(ISNUMBER(MATCH(DATEVALUE($A286),'recurring1_based on steps'!AQ$1:AQ$400,0)),AQ$2,)</f>
        <v>0</v>
      </c>
      <c r="AR286" s="179">
        <f ca="1">IF(ISNUMBER(MATCH(DATEVALUE($A286),'recurring1_based on steps'!AR$1:AR$400,0)),AR$2,)</f>
        <v>0</v>
      </c>
      <c r="AS286" s="179">
        <f ca="1">IF(ISNUMBER(MATCH(DATEVALUE($A286),'recurring1_based on steps'!AS$1:AS$400,0)),AS$2,)</f>
        <v>0</v>
      </c>
      <c r="AT286" s="179">
        <f ca="1">IF(ISNUMBER(MATCH(DATEVALUE($A286),'recurring1_based on steps'!AT$1:AT$400,0)),AT$2,)</f>
        <v>0</v>
      </c>
      <c r="AU286" s="179">
        <f ca="1">IF(ISNUMBER(MATCH(DATEVALUE($A286),'recurring1_based on steps'!AU$1:AU$400,0)),AU$2,)</f>
        <v>0</v>
      </c>
      <c r="AV286" s="179">
        <f ca="1">IF(ISNUMBER(MATCH(DATEVALUE($A286),'recurring1_based on steps'!AV$1:AV$400,0)),AV$2,)</f>
        <v>0</v>
      </c>
      <c r="AW286" s="179">
        <f ca="1">IF(ISNUMBER(MATCH(DATEVALUE($A286),'recurring1_based on steps'!AW$1:AW$400,0)),AW$2,)</f>
        <v>0</v>
      </c>
      <c r="AX286" s="179">
        <f ca="1">IF(ISNUMBER(MATCH(DATEVALUE($A286),'recurring1_based on steps'!AX$1:AX$400,0)),AX$2,)</f>
        <v>0</v>
      </c>
      <c r="AY286" s="179">
        <f ca="1">IF(ISNUMBER(MATCH(DATEVALUE($A286),'recurring1_based on steps'!AY$1:AY$400,0)),AY$2,)</f>
        <v>0</v>
      </c>
    </row>
    <row r="287" spans="1:51" x14ac:dyDescent="0.2">
      <c r="A287" s="32" t="str">
        <f t="shared" ca="1" si="4"/>
        <v>2026-01-14</v>
      </c>
      <c r="B287" s="179">
        <f ca="1">IF(ISNUMBER(MATCH(DATEVALUE($A287),'recurring1_based on steps'!B$1:B$400,0)),B$2,)</f>
        <v>0</v>
      </c>
      <c r="C287" s="179">
        <f ca="1">IF(ISNUMBER(MATCH(DATEVALUE($A287),'recurring1_based on steps'!C$1:C$400,0)),C$2,)</f>
        <v>0</v>
      </c>
      <c r="D287" s="179">
        <f ca="1">IF(ISNUMBER(MATCH(DATEVALUE($A287),'recurring1_based on steps'!D$1:D$400,0)),D$2,)</f>
        <v>0</v>
      </c>
      <c r="E287" s="179">
        <f ca="1">IF(ISNUMBER(MATCH(DATEVALUE($A287),'recurring1_based on steps'!E$1:E$400,0)),E$2,)</f>
        <v>0</v>
      </c>
      <c r="F287" s="179">
        <f ca="1">IF(ISNUMBER(MATCH(DATEVALUE($A287),'recurring1_based on steps'!F$1:F$400,0)),F$2,)</f>
        <v>0</v>
      </c>
      <c r="G287" s="179">
        <f ca="1">IF(ISNUMBER(MATCH(DATEVALUE($A287),'recurring1_based on steps'!G$1:G$400,0)),G$2,)</f>
        <v>0</v>
      </c>
      <c r="H287" s="179">
        <f ca="1">IF(ISNUMBER(MATCH(DATEVALUE($A287),'recurring1_based on steps'!H$1:H$400,0)),H$2,)</f>
        <v>0</v>
      </c>
      <c r="I287" s="179">
        <f ca="1">IF(ISNUMBER(MATCH(DATEVALUE($A287),'recurring1_based on steps'!I$1:I$400,0)),I$2,)</f>
        <v>0</v>
      </c>
      <c r="J287" s="179">
        <f ca="1">IF(ISNUMBER(MATCH(DATEVALUE($A287),'recurring1_based on steps'!J$1:J$400,0)),J$2,)</f>
        <v>0</v>
      </c>
      <c r="K287" s="179">
        <f ca="1">IF(ISNUMBER(MATCH(DATEVALUE($A287),'recurring1_based on steps'!K$1:K$400,0)),K$2,)</f>
        <v>0</v>
      </c>
      <c r="L287" s="179">
        <f ca="1">IF(ISNUMBER(MATCH(DATEVALUE($A287),'recurring1_based on steps'!L$1:L$400,0)),L$2,)</f>
        <v>0</v>
      </c>
      <c r="M287" s="179">
        <f ca="1">IF(ISNUMBER(MATCH(DATEVALUE($A287),'recurring1_based on steps'!M$1:M$400,0)),M$2,)</f>
        <v>0</v>
      </c>
      <c r="N287" s="179">
        <f ca="1">IF(ISNUMBER(MATCH(DATEVALUE($A287),'recurring1_based on steps'!N$1:N$400,0)),N$2,)</f>
        <v>0</v>
      </c>
      <c r="O287" s="179">
        <f ca="1">IF(ISNUMBER(MATCH(DATEVALUE($A287),'recurring1_based on steps'!O$1:O$400,0)),O$2,)</f>
        <v>0</v>
      </c>
      <c r="P287" s="179">
        <f ca="1">IF(ISNUMBER(MATCH(DATEVALUE($A287),'recurring1_based on steps'!P$1:P$400,0)),P$2,)</f>
        <v>0</v>
      </c>
      <c r="Q287" s="179">
        <f ca="1">IF(ISNUMBER(MATCH(DATEVALUE($A287),'recurring1_based on steps'!Q$1:Q$400,0)),Q$2,)</f>
        <v>0</v>
      </c>
      <c r="R287" s="179">
        <f ca="1">IF(ISNUMBER(MATCH(DATEVALUE($A287),'recurring1_based on steps'!R$1:R$400,0)),R$2,)</f>
        <v>0</v>
      </c>
      <c r="S287" s="179">
        <f ca="1">IF(ISNUMBER(MATCH(DATEVALUE($A287),'recurring1_based on steps'!S$1:S$400,0)),S$2,)</f>
        <v>0</v>
      </c>
      <c r="T287" s="179">
        <f ca="1">IF(ISNUMBER(MATCH(DATEVALUE($A287),'recurring1_based on steps'!T$1:T$400,0)),T$2,)</f>
        <v>0</v>
      </c>
      <c r="U287" s="179">
        <f ca="1">IF(ISNUMBER(MATCH(DATEVALUE($A287),'recurring1_based on steps'!U$1:U$400,0)),U$2,)</f>
        <v>0</v>
      </c>
      <c r="V287" s="179">
        <f ca="1">IF(ISNUMBER(MATCH(DATEVALUE($A287),'recurring1_based on steps'!V$1:V$400,0)),V$2,)</f>
        <v>0</v>
      </c>
      <c r="W287" s="179">
        <f ca="1">IF(ISNUMBER(MATCH(DATEVALUE($A287),'recurring1_based on steps'!W$1:W$400,0)),W$2,)</f>
        <v>0</v>
      </c>
      <c r="X287" s="179">
        <f ca="1">IF(ISNUMBER(MATCH(DATEVALUE($A287),'recurring1_based on steps'!X$1:X$400,0)),X$2,)</f>
        <v>0</v>
      </c>
      <c r="Y287" s="179">
        <f ca="1">IF(ISNUMBER(MATCH(DATEVALUE($A287),'recurring1_based on steps'!Y$1:Y$400,0)),Y$2,)</f>
        <v>0</v>
      </c>
      <c r="Z287" s="179">
        <f ca="1">IF(ISNUMBER(MATCH(DATEVALUE($A287),'recurring1_based on steps'!Z$1:Z$400,0)),Z$2,)</f>
        <v>0</v>
      </c>
      <c r="AA287" s="179">
        <f ca="1">IF(ISNUMBER(MATCH(DATEVALUE($A287),'recurring1_based on steps'!AA$1:AA$400,0)),AA$2,)</f>
        <v>0</v>
      </c>
      <c r="AB287" s="179">
        <f ca="1">IF(ISNUMBER(MATCH(DATEVALUE($A287),'recurring1_based on steps'!AB$1:AB$400,0)),AB$2,)</f>
        <v>0</v>
      </c>
      <c r="AC287" s="179">
        <f ca="1">IF(ISNUMBER(MATCH(DATEVALUE($A287),'recurring1_based on steps'!AC$1:AC$400,0)),AC$2,)</f>
        <v>0</v>
      </c>
      <c r="AD287" s="179">
        <f ca="1">IF(ISNUMBER(MATCH(DATEVALUE($A287),'recurring1_based on steps'!AD$1:AD$400,0)),AD$2,)</f>
        <v>0</v>
      </c>
      <c r="AE287" s="179">
        <f ca="1">IF(ISNUMBER(MATCH(DATEVALUE($A287),'recurring1_based on steps'!AE$1:AE$400,0)),AE$2,)</f>
        <v>0</v>
      </c>
      <c r="AF287" s="179">
        <f ca="1">IF(ISNUMBER(MATCH(DATEVALUE($A287),'recurring1_based on steps'!AF$1:AF$400,0)),AF$2,)</f>
        <v>0</v>
      </c>
      <c r="AG287" s="179">
        <f ca="1">IF(ISNUMBER(MATCH(DATEVALUE($A287),'recurring1_based on steps'!AG$1:AG$400,0)),AG$2,)</f>
        <v>0</v>
      </c>
      <c r="AH287" s="179">
        <f ca="1">IF(ISNUMBER(MATCH(DATEVALUE($A287),'recurring1_based on steps'!AH$1:AH$400,0)),AH$2,)</f>
        <v>0</v>
      </c>
      <c r="AI287" s="179">
        <f ca="1">IF(ISNUMBER(MATCH(DATEVALUE($A287),'recurring1_based on steps'!AI$1:AI$400,0)),AI$2,)</f>
        <v>0</v>
      </c>
      <c r="AJ287" s="179">
        <f ca="1">IF(ISNUMBER(MATCH(DATEVALUE($A287),'recurring1_based on steps'!AJ$1:AJ$400,0)),AJ$2,)</f>
        <v>0</v>
      </c>
      <c r="AK287" s="179">
        <f ca="1">IF(ISNUMBER(MATCH(DATEVALUE($A287),'recurring1_based on steps'!AK$1:AK$400,0)),AK$2,)</f>
        <v>0</v>
      </c>
      <c r="AL287" s="179">
        <f ca="1">IF(ISNUMBER(MATCH(DATEVALUE($A287),'recurring1_based on steps'!AL$1:AL$400,0)),AL$2,)</f>
        <v>0</v>
      </c>
      <c r="AM287" s="179">
        <f ca="1">IF(ISNUMBER(MATCH(DATEVALUE($A287),'recurring1_based on steps'!AM$1:AM$400,0)),AM$2,)</f>
        <v>0</v>
      </c>
      <c r="AN287" s="179">
        <f ca="1">IF(ISNUMBER(MATCH(DATEVALUE($A287),'recurring1_based on steps'!AN$1:AN$400,0)),AN$2,)</f>
        <v>0</v>
      </c>
      <c r="AO287" s="179">
        <f ca="1">IF(ISNUMBER(MATCH(DATEVALUE($A287),'recurring1_based on steps'!AO$1:AO$400,0)),AO$2,)</f>
        <v>0</v>
      </c>
      <c r="AP287" s="179">
        <f ca="1">IF(ISNUMBER(MATCH(DATEVALUE($A287),'recurring1_based on steps'!AP$1:AP$400,0)),AP$2,)</f>
        <v>0</v>
      </c>
      <c r="AQ287" s="179">
        <f ca="1">IF(ISNUMBER(MATCH(DATEVALUE($A287),'recurring1_based on steps'!AQ$1:AQ$400,0)),AQ$2,)</f>
        <v>0</v>
      </c>
      <c r="AR287" s="179">
        <f ca="1">IF(ISNUMBER(MATCH(DATEVALUE($A287),'recurring1_based on steps'!AR$1:AR$400,0)),AR$2,)</f>
        <v>0</v>
      </c>
      <c r="AS287" s="179">
        <f ca="1">IF(ISNUMBER(MATCH(DATEVALUE($A287),'recurring1_based on steps'!AS$1:AS$400,0)),AS$2,)</f>
        <v>0</v>
      </c>
      <c r="AT287" s="179">
        <f ca="1">IF(ISNUMBER(MATCH(DATEVALUE($A287),'recurring1_based on steps'!AT$1:AT$400,0)),AT$2,)</f>
        <v>0</v>
      </c>
      <c r="AU287" s="179">
        <f ca="1">IF(ISNUMBER(MATCH(DATEVALUE($A287),'recurring1_based on steps'!AU$1:AU$400,0)),AU$2,)</f>
        <v>0</v>
      </c>
      <c r="AV287" s="179">
        <f ca="1">IF(ISNUMBER(MATCH(DATEVALUE($A287),'recurring1_based on steps'!AV$1:AV$400,0)),AV$2,)</f>
        <v>0</v>
      </c>
      <c r="AW287" s="179">
        <f ca="1">IF(ISNUMBER(MATCH(DATEVALUE($A287),'recurring1_based on steps'!AW$1:AW$400,0)),AW$2,)</f>
        <v>0</v>
      </c>
      <c r="AX287" s="179">
        <f ca="1">IF(ISNUMBER(MATCH(DATEVALUE($A287),'recurring1_based on steps'!AX$1:AX$400,0)),AX$2,)</f>
        <v>0</v>
      </c>
      <c r="AY287" s="179">
        <f ca="1">IF(ISNUMBER(MATCH(DATEVALUE($A287),'recurring1_based on steps'!AY$1:AY$400,0)),AY$2,)</f>
        <v>0</v>
      </c>
    </row>
    <row r="288" spans="1:51" x14ac:dyDescent="0.2">
      <c r="A288" s="32" t="str">
        <f t="shared" ca="1" si="4"/>
        <v>2026-01-15</v>
      </c>
      <c r="B288" s="179">
        <f ca="1">IF(ISNUMBER(MATCH(DATEVALUE($A288),'recurring1_based on steps'!B$1:B$400,0)),B$2,)</f>
        <v>0</v>
      </c>
      <c r="C288" s="179">
        <f ca="1">IF(ISNUMBER(MATCH(DATEVALUE($A288),'recurring1_based on steps'!C$1:C$400,0)),C$2,)</f>
        <v>0</v>
      </c>
      <c r="D288" s="179">
        <f ca="1">IF(ISNUMBER(MATCH(DATEVALUE($A288),'recurring1_based on steps'!D$1:D$400,0)),D$2,)</f>
        <v>0</v>
      </c>
      <c r="E288" s="179">
        <f ca="1">IF(ISNUMBER(MATCH(DATEVALUE($A288),'recurring1_based on steps'!E$1:E$400,0)),E$2,)</f>
        <v>0</v>
      </c>
      <c r="F288" s="179">
        <f ca="1">IF(ISNUMBER(MATCH(DATEVALUE($A288),'recurring1_based on steps'!F$1:F$400,0)),F$2,)</f>
        <v>0</v>
      </c>
      <c r="G288" s="179">
        <f ca="1">IF(ISNUMBER(MATCH(DATEVALUE($A288),'recurring1_based on steps'!G$1:G$400,0)),G$2,)</f>
        <v>0</v>
      </c>
      <c r="H288" s="179">
        <f ca="1">IF(ISNUMBER(MATCH(DATEVALUE($A288),'recurring1_based on steps'!H$1:H$400,0)),H$2,)</f>
        <v>0</v>
      </c>
      <c r="I288" s="179">
        <f ca="1">IF(ISNUMBER(MATCH(DATEVALUE($A288),'recurring1_based on steps'!I$1:I$400,0)),I$2,)</f>
        <v>0</v>
      </c>
      <c r="J288" s="179">
        <f ca="1">IF(ISNUMBER(MATCH(DATEVALUE($A288),'recurring1_based on steps'!J$1:J$400,0)),J$2,)</f>
        <v>0</v>
      </c>
      <c r="K288" s="179">
        <f ca="1">IF(ISNUMBER(MATCH(DATEVALUE($A288),'recurring1_based on steps'!K$1:K$400,0)),K$2,)</f>
        <v>0</v>
      </c>
      <c r="L288" s="179">
        <f ca="1">IF(ISNUMBER(MATCH(DATEVALUE($A288),'recurring1_based on steps'!L$1:L$400,0)),L$2,)</f>
        <v>0</v>
      </c>
      <c r="M288" s="179">
        <f ca="1">IF(ISNUMBER(MATCH(DATEVALUE($A288),'recurring1_based on steps'!M$1:M$400,0)),M$2,)</f>
        <v>0</v>
      </c>
      <c r="N288" s="179">
        <f ca="1">IF(ISNUMBER(MATCH(DATEVALUE($A288),'recurring1_based on steps'!N$1:N$400,0)),N$2,)</f>
        <v>0</v>
      </c>
      <c r="O288" s="179">
        <f ca="1">IF(ISNUMBER(MATCH(DATEVALUE($A288),'recurring1_based on steps'!O$1:O$400,0)),O$2,)</f>
        <v>0</v>
      </c>
      <c r="P288" s="179">
        <f ca="1">IF(ISNUMBER(MATCH(DATEVALUE($A288),'recurring1_based on steps'!P$1:P$400,0)),P$2,)</f>
        <v>0</v>
      </c>
      <c r="Q288" s="179">
        <f ca="1">IF(ISNUMBER(MATCH(DATEVALUE($A288),'recurring1_based on steps'!Q$1:Q$400,0)),Q$2,)</f>
        <v>0</v>
      </c>
      <c r="R288" s="179">
        <f ca="1">IF(ISNUMBER(MATCH(DATEVALUE($A288),'recurring1_based on steps'!R$1:R$400,0)),R$2,)</f>
        <v>0</v>
      </c>
      <c r="S288" s="179">
        <f ca="1">IF(ISNUMBER(MATCH(DATEVALUE($A288),'recurring1_based on steps'!S$1:S$400,0)),S$2,)</f>
        <v>0</v>
      </c>
      <c r="T288" s="179">
        <f ca="1">IF(ISNUMBER(MATCH(DATEVALUE($A288),'recurring1_based on steps'!T$1:T$400,0)),T$2,)</f>
        <v>0</v>
      </c>
      <c r="U288" s="179">
        <f ca="1">IF(ISNUMBER(MATCH(DATEVALUE($A288),'recurring1_based on steps'!U$1:U$400,0)),U$2,)</f>
        <v>0</v>
      </c>
      <c r="V288" s="179">
        <f ca="1">IF(ISNUMBER(MATCH(DATEVALUE($A288),'recurring1_based on steps'!V$1:V$400,0)),V$2,)</f>
        <v>0</v>
      </c>
      <c r="W288" s="179">
        <f ca="1">IF(ISNUMBER(MATCH(DATEVALUE($A288),'recurring1_based on steps'!W$1:W$400,0)),W$2,)</f>
        <v>0</v>
      </c>
      <c r="X288" s="179">
        <f ca="1">IF(ISNUMBER(MATCH(DATEVALUE($A288),'recurring1_based on steps'!X$1:X$400,0)),X$2,)</f>
        <v>0</v>
      </c>
      <c r="Y288" s="179">
        <f ca="1">IF(ISNUMBER(MATCH(DATEVALUE($A288),'recurring1_based on steps'!Y$1:Y$400,0)),Y$2,)</f>
        <v>0</v>
      </c>
      <c r="Z288" s="179">
        <f ca="1">IF(ISNUMBER(MATCH(DATEVALUE($A288),'recurring1_based on steps'!Z$1:Z$400,0)),Z$2,)</f>
        <v>0</v>
      </c>
      <c r="AA288" s="179">
        <f ca="1">IF(ISNUMBER(MATCH(DATEVALUE($A288),'recurring1_based on steps'!AA$1:AA$400,0)),AA$2,)</f>
        <v>0</v>
      </c>
      <c r="AB288" s="179">
        <f ca="1">IF(ISNUMBER(MATCH(DATEVALUE($A288),'recurring1_based on steps'!AB$1:AB$400,0)),AB$2,)</f>
        <v>0</v>
      </c>
      <c r="AC288" s="179">
        <f ca="1">IF(ISNUMBER(MATCH(DATEVALUE($A288),'recurring1_based on steps'!AC$1:AC$400,0)),AC$2,)</f>
        <v>0</v>
      </c>
      <c r="AD288" s="179">
        <f ca="1">IF(ISNUMBER(MATCH(DATEVALUE($A288),'recurring1_based on steps'!AD$1:AD$400,0)),AD$2,)</f>
        <v>0</v>
      </c>
      <c r="AE288" s="179">
        <f ca="1">IF(ISNUMBER(MATCH(DATEVALUE($A288),'recurring1_based on steps'!AE$1:AE$400,0)),AE$2,)</f>
        <v>0</v>
      </c>
      <c r="AF288" s="179">
        <f ca="1">IF(ISNUMBER(MATCH(DATEVALUE($A288),'recurring1_based on steps'!AF$1:AF$400,0)),AF$2,)</f>
        <v>0</v>
      </c>
      <c r="AG288" s="179">
        <f ca="1">IF(ISNUMBER(MATCH(DATEVALUE($A288),'recurring1_based on steps'!AG$1:AG$400,0)),AG$2,)</f>
        <v>0</v>
      </c>
      <c r="AH288" s="179">
        <f ca="1">IF(ISNUMBER(MATCH(DATEVALUE($A288),'recurring1_based on steps'!AH$1:AH$400,0)),AH$2,)</f>
        <v>0</v>
      </c>
      <c r="AI288" s="179">
        <f ca="1">IF(ISNUMBER(MATCH(DATEVALUE($A288),'recurring1_based on steps'!AI$1:AI$400,0)),AI$2,)</f>
        <v>0</v>
      </c>
      <c r="AJ288" s="179">
        <f ca="1">IF(ISNUMBER(MATCH(DATEVALUE($A288),'recurring1_based on steps'!AJ$1:AJ$400,0)),AJ$2,)</f>
        <v>0</v>
      </c>
      <c r="AK288" s="179">
        <f ca="1">IF(ISNUMBER(MATCH(DATEVALUE($A288),'recurring1_based on steps'!AK$1:AK$400,0)),AK$2,)</f>
        <v>0</v>
      </c>
      <c r="AL288" s="179">
        <f ca="1">IF(ISNUMBER(MATCH(DATEVALUE($A288),'recurring1_based on steps'!AL$1:AL$400,0)),AL$2,)</f>
        <v>0</v>
      </c>
      <c r="AM288" s="179">
        <f ca="1">IF(ISNUMBER(MATCH(DATEVALUE($A288),'recurring1_based on steps'!AM$1:AM$400,0)),AM$2,)</f>
        <v>0</v>
      </c>
      <c r="AN288" s="179">
        <f ca="1">IF(ISNUMBER(MATCH(DATEVALUE($A288),'recurring1_based on steps'!AN$1:AN$400,0)),AN$2,)</f>
        <v>0</v>
      </c>
      <c r="AO288" s="179">
        <f ca="1">IF(ISNUMBER(MATCH(DATEVALUE($A288),'recurring1_based on steps'!AO$1:AO$400,0)),AO$2,)</f>
        <v>0</v>
      </c>
      <c r="AP288" s="179">
        <f ca="1">IF(ISNUMBER(MATCH(DATEVALUE($A288),'recurring1_based on steps'!AP$1:AP$400,0)),AP$2,)</f>
        <v>0</v>
      </c>
      <c r="AQ288" s="179">
        <f ca="1">IF(ISNUMBER(MATCH(DATEVALUE($A288),'recurring1_based on steps'!AQ$1:AQ$400,0)),AQ$2,)</f>
        <v>0</v>
      </c>
      <c r="AR288" s="179">
        <f ca="1">IF(ISNUMBER(MATCH(DATEVALUE($A288),'recurring1_based on steps'!AR$1:AR$400,0)),AR$2,)</f>
        <v>0</v>
      </c>
      <c r="AS288" s="179">
        <f ca="1">IF(ISNUMBER(MATCH(DATEVALUE($A288),'recurring1_based on steps'!AS$1:AS$400,0)),AS$2,)</f>
        <v>0</v>
      </c>
      <c r="AT288" s="179">
        <f ca="1">IF(ISNUMBER(MATCH(DATEVALUE($A288),'recurring1_based on steps'!AT$1:AT$400,0)),AT$2,)</f>
        <v>0</v>
      </c>
      <c r="AU288" s="179">
        <f ca="1">IF(ISNUMBER(MATCH(DATEVALUE($A288),'recurring1_based on steps'!AU$1:AU$400,0)),AU$2,)</f>
        <v>0</v>
      </c>
      <c r="AV288" s="179">
        <f ca="1">IF(ISNUMBER(MATCH(DATEVALUE($A288),'recurring1_based on steps'!AV$1:AV$400,0)),AV$2,)</f>
        <v>0</v>
      </c>
      <c r="AW288" s="179">
        <f ca="1">IF(ISNUMBER(MATCH(DATEVALUE($A288),'recurring1_based on steps'!AW$1:AW$400,0)),AW$2,)</f>
        <v>0</v>
      </c>
      <c r="AX288" s="179">
        <f ca="1">IF(ISNUMBER(MATCH(DATEVALUE($A288),'recurring1_based on steps'!AX$1:AX$400,0)),AX$2,)</f>
        <v>0</v>
      </c>
      <c r="AY288" s="179">
        <f ca="1">IF(ISNUMBER(MATCH(DATEVALUE($A288),'recurring1_based on steps'!AY$1:AY$400,0)),AY$2,)</f>
        <v>0</v>
      </c>
    </row>
    <row r="289" spans="1:51" x14ac:dyDescent="0.2">
      <c r="A289" s="32" t="str">
        <f t="shared" ca="1" si="4"/>
        <v>2026-01-16</v>
      </c>
      <c r="B289" s="179">
        <f ca="1">IF(ISNUMBER(MATCH(DATEVALUE($A289),'recurring1_based on steps'!B$1:B$400,0)),B$2,)</f>
        <v>0</v>
      </c>
      <c r="C289" s="179">
        <f ca="1">IF(ISNUMBER(MATCH(DATEVALUE($A289),'recurring1_based on steps'!C$1:C$400,0)),C$2,)</f>
        <v>0</v>
      </c>
      <c r="D289" s="179">
        <f ca="1">IF(ISNUMBER(MATCH(DATEVALUE($A289),'recurring1_based on steps'!D$1:D$400,0)),D$2,)</f>
        <v>0</v>
      </c>
      <c r="E289" s="179">
        <f ca="1">IF(ISNUMBER(MATCH(DATEVALUE($A289),'recurring1_based on steps'!E$1:E$400,0)),E$2,)</f>
        <v>0</v>
      </c>
      <c r="F289" s="179">
        <f ca="1">IF(ISNUMBER(MATCH(DATEVALUE($A289),'recurring1_based on steps'!F$1:F$400,0)),F$2,)</f>
        <v>0</v>
      </c>
      <c r="G289" s="179">
        <f ca="1">IF(ISNUMBER(MATCH(DATEVALUE($A289),'recurring1_based on steps'!G$1:G$400,0)),G$2,)</f>
        <v>0</v>
      </c>
      <c r="H289" s="179">
        <f ca="1">IF(ISNUMBER(MATCH(DATEVALUE($A289),'recurring1_based on steps'!H$1:H$400,0)),H$2,)</f>
        <v>0</v>
      </c>
      <c r="I289" s="179">
        <f ca="1">IF(ISNUMBER(MATCH(DATEVALUE($A289),'recurring1_based on steps'!I$1:I$400,0)),I$2,)</f>
        <v>0</v>
      </c>
      <c r="J289" s="179">
        <f ca="1">IF(ISNUMBER(MATCH(DATEVALUE($A289),'recurring1_based on steps'!J$1:J$400,0)),J$2,)</f>
        <v>0</v>
      </c>
      <c r="K289" s="179">
        <f ca="1">IF(ISNUMBER(MATCH(DATEVALUE($A289),'recurring1_based on steps'!K$1:K$400,0)),K$2,)</f>
        <v>0</v>
      </c>
      <c r="L289" s="179">
        <f ca="1">IF(ISNUMBER(MATCH(DATEVALUE($A289),'recurring1_based on steps'!L$1:L$400,0)),L$2,)</f>
        <v>0</v>
      </c>
      <c r="M289" s="179">
        <f ca="1">IF(ISNUMBER(MATCH(DATEVALUE($A289),'recurring1_based on steps'!M$1:M$400,0)),M$2,)</f>
        <v>0</v>
      </c>
      <c r="N289" s="179">
        <f ca="1">IF(ISNUMBER(MATCH(DATEVALUE($A289),'recurring1_based on steps'!N$1:N$400,0)),N$2,)</f>
        <v>0</v>
      </c>
      <c r="O289" s="179">
        <f ca="1">IF(ISNUMBER(MATCH(DATEVALUE($A289),'recurring1_based on steps'!O$1:O$400,0)),O$2,)</f>
        <v>0</v>
      </c>
      <c r="P289" s="179">
        <f ca="1">IF(ISNUMBER(MATCH(DATEVALUE($A289),'recurring1_based on steps'!P$1:P$400,0)),P$2,)</f>
        <v>0</v>
      </c>
      <c r="Q289" s="179">
        <f ca="1">IF(ISNUMBER(MATCH(DATEVALUE($A289),'recurring1_based on steps'!Q$1:Q$400,0)),Q$2,)</f>
        <v>0</v>
      </c>
      <c r="R289" s="179">
        <f ca="1">IF(ISNUMBER(MATCH(DATEVALUE($A289),'recurring1_based on steps'!R$1:R$400,0)),R$2,)</f>
        <v>0</v>
      </c>
      <c r="S289" s="179">
        <f ca="1">IF(ISNUMBER(MATCH(DATEVALUE($A289),'recurring1_based on steps'!S$1:S$400,0)),S$2,)</f>
        <v>0</v>
      </c>
      <c r="T289" s="179">
        <f ca="1">IF(ISNUMBER(MATCH(DATEVALUE($A289),'recurring1_based on steps'!T$1:T$400,0)),T$2,)</f>
        <v>0</v>
      </c>
      <c r="U289" s="179">
        <f ca="1">IF(ISNUMBER(MATCH(DATEVALUE($A289),'recurring1_based on steps'!U$1:U$400,0)),U$2,)</f>
        <v>0</v>
      </c>
      <c r="V289" s="179">
        <f ca="1">IF(ISNUMBER(MATCH(DATEVALUE($A289),'recurring1_based on steps'!V$1:V$400,0)),V$2,)</f>
        <v>0</v>
      </c>
      <c r="W289" s="179">
        <f ca="1">IF(ISNUMBER(MATCH(DATEVALUE($A289),'recurring1_based on steps'!W$1:W$400,0)),W$2,)</f>
        <v>0</v>
      </c>
      <c r="X289" s="179">
        <f ca="1">IF(ISNUMBER(MATCH(DATEVALUE($A289),'recurring1_based on steps'!X$1:X$400,0)),X$2,)</f>
        <v>0</v>
      </c>
      <c r="Y289" s="179">
        <f ca="1">IF(ISNUMBER(MATCH(DATEVALUE($A289),'recurring1_based on steps'!Y$1:Y$400,0)),Y$2,)</f>
        <v>0</v>
      </c>
      <c r="Z289" s="179">
        <f ca="1">IF(ISNUMBER(MATCH(DATEVALUE($A289),'recurring1_based on steps'!Z$1:Z$400,0)),Z$2,)</f>
        <v>0</v>
      </c>
      <c r="AA289" s="179">
        <f ca="1">IF(ISNUMBER(MATCH(DATEVALUE($A289),'recurring1_based on steps'!AA$1:AA$400,0)),AA$2,)</f>
        <v>0</v>
      </c>
      <c r="AB289" s="179">
        <f ca="1">IF(ISNUMBER(MATCH(DATEVALUE($A289),'recurring1_based on steps'!AB$1:AB$400,0)),AB$2,)</f>
        <v>0</v>
      </c>
      <c r="AC289" s="179">
        <f ca="1">IF(ISNUMBER(MATCH(DATEVALUE($A289),'recurring1_based on steps'!AC$1:AC$400,0)),AC$2,)</f>
        <v>0</v>
      </c>
      <c r="AD289" s="179">
        <f ca="1">IF(ISNUMBER(MATCH(DATEVALUE($A289),'recurring1_based on steps'!AD$1:AD$400,0)),AD$2,)</f>
        <v>0</v>
      </c>
      <c r="AE289" s="179">
        <f ca="1">IF(ISNUMBER(MATCH(DATEVALUE($A289),'recurring1_based on steps'!AE$1:AE$400,0)),AE$2,)</f>
        <v>0</v>
      </c>
      <c r="AF289" s="179">
        <f ca="1">IF(ISNUMBER(MATCH(DATEVALUE($A289),'recurring1_based on steps'!AF$1:AF$400,0)),AF$2,)</f>
        <v>0</v>
      </c>
      <c r="AG289" s="179">
        <f ca="1">IF(ISNUMBER(MATCH(DATEVALUE($A289),'recurring1_based on steps'!AG$1:AG$400,0)),AG$2,)</f>
        <v>0</v>
      </c>
      <c r="AH289" s="179">
        <f ca="1">IF(ISNUMBER(MATCH(DATEVALUE($A289),'recurring1_based on steps'!AH$1:AH$400,0)),AH$2,)</f>
        <v>0</v>
      </c>
      <c r="AI289" s="179">
        <f ca="1">IF(ISNUMBER(MATCH(DATEVALUE($A289),'recurring1_based on steps'!AI$1:AI$400,0)),AI$2,)</f>
        <v>0</v>
      </c>
      <c r="AJ289" s="179">
        <f ca="1">IF(ISNUMBER(MATCH(DATEVALUE($A289),'recurring1_based on steps'!AJ$1:AJ$400,0)),AJ$2,)</f>
        <v>0</v>
      </c>
      <c r="AK289" s="179">
        <f ca="1">IF(ISNUMBER(MATCH(DATEVALUE($A289),'recurring1_based on steps'!AK$1:AK$400,0)),AK$2,)</f>
        <v>0</v>
      </c>
      <c r="AL289" s="179">
        <f ca="1">IF(ISNUMBER(MATCH(DATEVALUE($A289),'recurring1_based on steps'!AL$1:AL$400,0)),AL$2,)</f>
        <v>0</v>
      </c>
      <c r="AM289" s="179">
        <f ca="1">IF(ISNUMBER(MATCH(DATEVALUE($A289),'recurring1_based on steps'!AM$1:AM$400,0)),AM$2,)</f>
        <v>0</v>
      </c>
      <c r="AN289" s="179">
        <f ca="1">IF(ISNUMBER(MATCH(DATEVALUE($A289),'recurring1_based on steps'!AN$1:AN$400,0)),AN$2,)</f>
        <v>0</v>
      </c>
      <c r="AO289" s="179">
        <f ca="1">IF(ISNUMBER(MATCH(DATEVALUE($A289),'recurring1_based on steps'!AO$1:AO$400,0)),AO$2,)</f>
        <v>0</v>
      </c>
      <c r="AP289" s="179">
        <f ca="1">IF(ISNUMBER(MATCH(DATEVALUE($A289),'recurring1_based on steps'!AP$1:AP$400,0)),AP$2,)</f>
        <v>0</v>
      </c>
      <c r="AQ289" s="179">
        <f ca="1">IF(ISNUMBER(MATCH(DATEVALUE($A289),'recurring1_based on steps'!AQ$1:AQ$400,0)),AQ$2,)</f>
        <v>0</v>
      </c>
      <c r="AR289" s="179">
        <f ca="1">IF(ISNUMBER(MATCH(DATEVALUE($A289),'recurring1_based on steps'!AR$1:AR$400,0)),AR$2,)</f>
        <v>0</v>
      </c>
      <c r="AS289" s="179">
        <f ca="1">IF(ISNUMBER(MATCH(DATEVALUE($A289),'recurring1_based on steps'!AS$1:AS$400,0)),AS$2,)</f>
        <v>0</v>
      </c>
      <c r="AT289" s="179">
        <f ca="1">IF(ISNUMBER(MATCH(DATEVALUE($A289),'recurring1_based on steps'!AT$1:AT$400,0)),AT$2,)</f>
        <v>0</v>
      </c>
      <c r="AU289" s="179">
        <f ca="1">IF(ISNUMBER(MATCH(DATEVALUE($A289),'recurring1_based on steps'!AU$1:AU$400,0)),AU$2,)</f>
        <v>0</v>
      </c>
      <c r="AV289" s="179">
        <f ca="1">IF(ISNUMBER(MATCH(DATEVALUE($A289),'recurring1_based on steps'!AV$1:AV$400,0)),AV$2,)</f>
        <v>0</v>
      </c>
      <c r="AW289" s="179">
        <f ca="1">IF(ISNUMBER(MATCH(DATEVALUE($A289),'recurring1_based on steps'!AW$1:AW$400,0)),AW$2,)</f>
        <v>0</v>
      </c>
      <c r="AX289" s="179">
        <f ca="1">IF(ISNUMBER(MATCH(DATEVALUE($A289),'recurring1_based on steps'!AX$1:AX$400,0)),AX$2,)</f>
        <v>0</v>
      </c>
      <c r="AY289" s="179">
        <f ca="1">IF(ISNUMBER(MATCH(DATEVALUE($A289),'recurring1_based on steps'!AY$1:AY$400,0)),AY$2,)</f>
        <v>0</v>
      </c>
    </row>
    <row r="290" spans="1:51" x14ac:dyDescent="0.2">
      <c r="A290" s="32" t="str">
        <f t="shared" ca="1" si="4"/>
        <v>2026-01-17</v>
      </c>
      <c r="B290" s="179">
        <f ca="1">IF(ISNUMBER(MATCH(DATEVALUE($A290),'recurring1_based on steps'!B$1:B$400,0)),B$2,)</f>
        <v>0</v>
      </c>
      <c r="C290" s="179">
        <f ca="1">IF(ISNUMBER(MATCH(DATEVALUE($A290),'recurring1_based on steps'!C$1:C$400,0)),C$2,)</f>
        <v>0</v>
      </c>
      <c r="D290" s="179">
        <f ca="1">IF(ISNUMBER(MATCH(DATEVALUE($A290),'recurring1_based on steps'!D$1:D$400,0)),D$2,)</f>
        <v>0</v>
      </c>
      <c r="E290" s="179">
        <f ca="1">IF(ISNUMBER(MATCH(DATEVALUE($A290),'recurring1_based on steps'!E$1:E$400,0)),E$2,)</f>
        <v>0</v>
      </c>
      <c r="F290" s="179">
        <f ca="1">IF(ISNUMBER(MATCH(DATEVALUE($A290),'recurring1_based on steps'!F$1:F$400,0)),F$2,)</f>
        <v>0</v>
      </c>
      <c r="G290" s="179">
        <f ca="1">IF(ISNUMBER(MATCH(DATEVALUE($A290),'recurring1_based on steps'!G$1:G$400,0)),G$2,)</f>
        <v>0</v>
      </c>
      <c r="H290" s="179">
        <f ca="1">IF(ISNUMBER(MATCH(DATEVALUE($A290),'recurring1_based on steps'!H$1:H$400,0)),H$2,)</f>
        <v>0</v>
      </c>
      <c r="I290" s="179">
        <f ca="1">IF(ISNUMBER(MATCH(DATEVALUE($A290),'recurring1_based on steps'!I$1:I$400,0)),I$2,)</f>
        <v>0</v>
      </c>
      <c r="J290" s="179">
        <f ca="1">IF(ISNUMBER(MATCH(DATEVALUE($A290),'recurring1_based on steps'!J$1:J$400,0)),J$2,)</f>
        <v>0</v>
      </c>
      <c r="K290" s="179">
        <f ca="1">IF(ISNUMBER(MATCH(DATEVALUE($A290),'recurring1_based on steps'!K$1:K$400,0)),K$2,)</f>
        <v>0</v>
      </c>
      <c r="L290" s="179">
        <f ca="1">IF(ISNUMBER(MATCH(DATEVALUE($A290),'recurring1_based on steps'!L$1:L$400,0)),L$2,)</f>
        <v>0</v>
      </c>
      <c r="M290" s="179">
        <f ca="1">IF(ISNUMBER(MATCH(DATEVALUE($A290),'recurring1_based on steps'!M$1:M$400,0)),M$2,)</f>
        <v>0</v>
      </c>
      <c r="N290" s="179">
        <f ca="1">IF(ISNUMBER(MATCH(DATEVALUE($A290),'recurring1_based on steps'!N$1:N$400,0)),N$2,)</f>
        <v>0</v>
      </c>
      <c r="O290" s="179">
        <f ca="1">IF(ISNUMBER(MATCH(DATEVALUE($A290),'recurring1_based on steps'!O$1:O$400,0)),O$2,)</f>
        <v>0</v>
      </c>
      <c r="P290" s="179">
        <f ca="1">IF(ISNUMBER(MATCH(DATEVALUE($A290),'recurring1_based on steps'!P$1:P$400,0)),P$2,)</f>
        <v>0</v>
      </c>
      <c r="Q290" s="179">
        <f ca="1">IF(ISNUMBER(MATCH(DATEVALUE($A290),'recurring1_based on steps'!Q$1:Q$400,0)),Q$2,)</f>
        <v>0</v>
      </c>
      <c r="R290" s="179">
        <f ca="1">IF(ISNUMBER(MATCH(DATEVALUE($A290),'recurring1_based on steps'!R$1:R$400,0)),R$2,)</f>
        <v>0</v>
      </c>
      <c r="S290" s="179">
        <f ca="1">IF(ISNUMBER(MATCH(DATEVALUE($A290),'recurring1_based on steps'!S$1:S$400,0)),S$2,)</f>
        <v>0</v>
      </c>
      <c r="T290" s="179">
        <f ca="1">IF(ISNUMBER(MATCH(DATEVALUE($A290),'recurring1_based on steps'!T$1:T$400,0)),T$2,)</f>
        <v>0</v>
      </c>
      <c r="U290" s="179">
        <f ca="1">IF(ISNUMBER(MATCH(DATEVALUE($A290),'recurring1_based on steps'!U$1:U$400,0)),U$2,)</f>
        <v>0</v>
      </c>
      <c r="V290" s="179">
        <f ca="1">IF(ISNUMBER(MATCH(DATEVALUE($A290),'recurring1_based on steps'!V$1:V$400,0)),V$2,)</f>
        <v>0</v>
      </c>
      <c r="W290" s="179">
        <f ca="1">IF(ISNUMBER(MATCH(DATEVALUE($A290),'recurring1_based on steps'!W$1:W$400,0)),W$2,)</f>
        <v>0</v>
      </c>
      <c r="X290" s="179">
        <f ca="1">IF(ISNUMBER(MATCH(DATEVALUE($A290),'recurring1_based on steps'!X$1:X$400,0)),X$2,)</f>
        <v>0</v>
      </c>
      <c r="Y290" s="179">
        <f ca="1">IF(ISNUMBER(MATCH(DATEVALUE($A290),'recurring1_based on steps'!Y$1:Y$400,0)),Y$2,)</f>
        <v>0</v>
      </c>
      <c r="Z290" s="179">
        <f ca="1">IF(ISNUMBER(MATCH(DATEVALUE($A290),'recurring1_based on steps'!Z$1:Z$400,0)),Z$2,)</f>
        <v>0</v>
      </c>
      <c r="AA290" s="179">
        <f ca="1">IF(ISNUMBER(MATCH(DATEVALUE($A290),'recurring1_based on steps'!AA$1:AA$400,0)),AA$2,)</f>
        <v>0</v>
      </c>
      <c r="AB290" s="179">
        <f ca="1">IF(ISNUMBER(MATCH(DATEVALUE($A290),'recurring1_based on steps'!AB$1:AB$400,0)),AB$2,)</f>
        <v>0</v>
      </c>
      <c r="AC290" s="179">
        <f ca="1">IF(ISNUMBER(MATCH(DATEVALUE($A290),'recurring1_based on steps'!AC$1:AC$400,0)),AC$2,)</f>
        <v>0</v>
      </c>
      <c r="AD290" s="179">
        <f ca="1">IF(ISNUMBER(MATCH(DATEVALUE($A290),'recurring1_based on steps'!AD$1:AD$400,0)),AD$2,)</f>
        <v>0</v>
      </c>
      <c r="AE290" s="179">
        <f ca="1">IF(ISNUMBER(MATCH(DATEVALUE($A290),'recurring1_based on steps'!AE$1:AE$400,0)),AE$2,)</f>
        <v>0</v>
      </c>
      <c r="AF290" s="179">
        <f ca="1">IF(ISNUMBER(MATCH(DATEVALUE($A290),'recurring1_based on steps'!AF$1:AF$400,0)),AF$2,)</f>
        <v>0</v>
      </c>
      <c r="AG290" s="179">
        <f ca="1">IF(ISNUMBER(MATCH(DATEVALUE($A290),'recurring1_based on steps'!AG$1:AG$400,0)),AG$2,)</f>
        <v>0</v>
      </c>
      <c r="AH290" s="179">
        <f ca="1">IF(ISNUMBER(MATCH(DATEVALUE($A290),'recurring1_based on steps'!AH$1:AH$400,0)),AH$2,)</f>
        <v>0</v>
      </c>
      <c r="AI290" s="179">
        <f ca="1">IF(ISNUMBER(MATCH(DATEVALUE($A290),'recurring1_based on steps'!AI$1:AI$400,0)),AI$2,)</f>
        <v>0</v>
      </c>
      <c r="AJ290" s="179">
        <f ca="1">IF(ISNUMBER(MATCH(DATEVALUE($A290),'recurring1_based on steps'!AJ$1:AJ$400,0)),AJ$2,)</f>
        <v>0</v>
      </c>
      <c r="AK290" s="179">
        <f ca="1">IF(ISNUMBER(MATCH(DATEVALUE($A290),'recurring1_based on steps'!AK$1:AK$400,0)),AK$2,)</f>
        <v>0</v>
      </c>
      <c r="AL290" s="179">
        <f ca="1">IF(ISNUMBER(MATCH(DATEVALUE($A290),'recurring1_based on steps'!AL$1:AL$400,0)),AL$2,)</f>
        <v>0</v>
      </c>
      <c r="AM290" s="179">
        <f ca="1">IF(ISNUMBER(MATCH(DATEVALUE($A290),'recurring1_based on steps'!AM$1:AM$400,0)),AM$2,)</f>
        <v>0</v>
      </c>
      <c r="AN290" s="179">
        <f ca="1">IF(ISNUMBER(MATCH(DATEVALUE($A290),'recurring1_based on steps'!AN$1:AN$400,0)),AN$2,)</f>
        <v>0</v>
      </c>
      <c r="AO290" s="179">
        <f ca="1">IF(ISNUMBER(MATCH(DATEVALUE($A290),'recurring1_based on steps'!AO$1:AO$400,0)),AO$2,)</f>
        <v>0</v>
      </c>
      <c r="AP290" s="179">
        <f ca="1">IF(ISNUMBER(MATCH(DATEVALUE($A290),'recurring1_based on steps'!AP$1:AP$400,0)),AP$2,)</f>
        <v>0</v>
      </c>
      <c r="AQ290" s="179">
        <f ca="1">IF(ISNUMBER(MATCH(DATEVALUE($A290),'recurring1_based on steps'!AQ$1:AQ$400,0)),AQ$2,)</f>
        <v>0</v>
      </c>
      <c r="AR290" s="179">
        <f ca="1">IF(ISNUMBER(MATCH(DATEVALUE($A290),'recurring1_based on steps'!AR$1:AR$400,0)),AR$2,)</f>
        <v>0</v>
      </c>
      <c r="AS290" s="179">
        <f ca="1">IF(ISNUMBER(MATCH(DATEVALUE($A290),'recurring1_based on steps'!AS$1:AS$400,0)),AS$2,)</f>
        <v>0</v>
      </c>
      <c r="AT290" s="179">
        <f ca="1">IF(ISNUMBER(MATCH(DATEVALUE($A290),'recurring1_based on steps'!AT$1:AT$400,0)),AT$2,)</f>
        <v>0</v>
      </c>
      <c r="AU290" s="179">
        <f ca="1">IF(ISNUMBER(MATCH(DATEVALUE($A290),'recurring1_based on steps'!AU$1:AU$400,0)),AU$2,)</f>
        <v>0</v>
      </c>
      <c r="AV290" s="179">
        <f ca="1">IF(ISNUMBER(MATCH(DATEVALUE($A290),'recurring1_based on steps'!AV$1:AV$400,0)),AV$2,)</f>
        <v>0</v>
      </c>
      <c r="AW290" s="179">
        <f ca="1">IF(ISNUMBER(MATCH(DATEVALUE($A290),'recurring1_based on steps'!AW$1:AW$400,0)),AW$2,)</f>
        <v>0</v>
      </c>
      <c r="AX290" s="179">
        <f ca="1">IF(ISNUMBER(MATCH(DATEVALUE($A290),'recurring1_based on steps'!AX$1:AX$400,0)),AX$2,)</f>
        <v>0</v>
      </c>
      <c r="AY290" s="179">
        <f ca="1">IF(ISNUMBER(MATCH(DATEVALUE($A290),'recurring1_based on steps'!AY$1:AY$400,0)),AY$2,)</f>
        <v>0</v>
      </c>
    </row>
    <row r="291" spans="1:51" x14ac:dyDescent="0.2">
      <c r="A291" s="32" t="str">
        <f t="shared" ca="1" si="4"/>
        <v>2026-01-18</v>
      </c>
      <c r="B291" s="179">
        <f ca="1">IF(ISNUMBER(MATCH(DATEVALUE($A291),'recurring1_based on steps'!B$1:B$400,0)),B$2,)</f>
        <v>0</v>
      </c>
      <c r="C291" s="179">
        <f ca="1">IF(ISNUMBER(MATCH(DATEVALUE($A291),'recurring1_based on steps'!C$1:C$400,0)),C$2,)</f>
        <v>0</v>
      </c>
      <c r="D291" s="179">
        <f ca="1">IF(ISNUMBER(MATCH(DATEVALUE($A291),'recurring1_based on steps'!D$1:D$400,0)),D$2,)</f>
        <v>0</v>
      </c>
      <c r="E291" s="179">
        <f ca="1">IF(ISNUMBER(MATCH(DATEVALUE($A291),'recurring1_based on steps'!E$1:E$400,0)),E$2,)</f>
        <v>0</v>
      </c>
      <c r="F291" s="179">
        <f ca="1">IF(ISNUMBER(MATCH(DATEVALUE($A291),'recurring1_based on steps'!F$1:F$400,0)),F$2,)</f>
        <v>0</v>
      </c>
      <c r="G291" s="179">
        <f ca="1">IF(ISNUMBER(MATCH(DATEVALUE($A291),'recurring1_based on steps'!G$1:G$400,0)),G$2,)</f>
        <v>0</v>
      </c>
      <c r="H291" s="179">
        <f ca="1">IF(ISNUMBER(MATCH(DATEVALUE($A291),'recurring1_based on steps'!H$1:H$400,0)),H$2,)</f>
        <v>0</v>
      </c>
      <c r="I291" s="179">
        <f ca="1">IF(ISNUMBER(MATCH(DATEVALUE($A291),'recurring1_based on steps'!I$1:I$400,0)),I$2,)</f>
        <v>0</v>
      </c>
      <c r="J291" s="179">
        <f ca="1">IF(ISNUMBER(MATCH(DATEVALUE($A291),'recurring1_based on steps'!J$1:J$400,0)),J$2,)</f>
        <v>0</v>
      </c>
      <c r="K291" s="179">
        <f ca="1">IF(ISNUMBER(MATCH(DATEVALUE($A291),'recurring1_based on steps'!K$1:K$400,0)),K$2,)</f>
        <v>0</v>
      </c>
      <c r="L291" s="179">
        <f ca="1">IF(ISNUMBER(MATCH(DATEVALUE($A291),'recurring1_based on steps'!L$1:L$400,0)),L$2,)</f>
        <v>0</v>
      </c>
      <c r="M291" s="179">
        <f ca="1">IF(ISNUMBER(MATCH(DATEVALUE($A291),'recurring1_based on steps'!M$1:M$400,0)),M$2,)</f>
        <v>0</v>
      </c>
      <c r="N291" s="179">
        <f ca="1">IF(ISNUMBER(MATCH(DATEVALUE($A291),'recurring1_based on steps'!N$1:N$400,0)),N$2,)</f>
        <v>0</v>
      </c>
      <c r="O291" s="179">
        <f ca="1">IF(ISNUMBER(MATCH(DATEVALUE($A291),'recurring1_based on steps'!O$1:O$400,0)),O$2,)</f>
        <v>0</v>
      </c>
      <c r="P291" s="179">
        <f ca="1">IF(ISNUMBER(MATCH(DATEVALUE($A291),'recurring1_based on steps'!P$1:P$400,0)),P$2,)</f>
        <v>0</v>
      </c>
      <c r="Q291" s="179">
        <f ca="1">IF(ISNUMBER(MATCH(DATEVALUE($A291),'recurring1_based on steps'!Q$1:Q$400,0)),Q$2,)</f>
        <v>0</v>
      </c>
      <c r="R291" s="179">
        <f ca="1">IF(ISNUMBER(MATCH(DATEVALUE($A291),'recurring1_based on steps'!R$1:R$400,0)),R$2,)</f>
        <v>0</v>
      </c>
      <c r="S291" s="179">
        <f ca="1">IF(ISNUMBER(MATCH(DATEVALUE($A291),'recurring1_based on steps'!S$1:S$400,0)),S$2,)</f>
        <v>0</v>
      </c>
      <c r="T291" s="179">
        <f ca="1">IF(ISNUMBER(MATCH(DATEVALUE($A291),'recurring1_based on steps'!T$1:T$400,0)),T$2,)</f>
        <v>0</v>
      </c>
      <c r="U291" s="179">
        <f ca="1">IF(ISNUMBER(MATCH(DATEVALUE($A291),'recurring1_based on steps'!U$1:U$400,0)),U$2,)</f>
        <v>0</v>
      </c>
      <c r="V291" s="179">
        <f ca="1">IF(ISNUMBER(MATCH(DATEVALUE($A291),'recurring1_based on steps'!V$1:V$400,0)),V$2,)</f>
        <v>0</v>
      </c>
      <c r="W291" s="179">
        <f ca="1">IF(ISNUMBER(MATCH(DATEVALUE($A291),'recurring1_based on steps'!W$1:W$400,0)),W$2,)</f>
        <v>0</v>
      </c>
      <c r="X291" s="179">
        <f ca="1">IF(ISNUMBER(MATCH(DATEVALUE($A291),'recurring1_based on steps'!X$1:X$400,0)),X$2,)</f>
        <v>0</v>
      </c>
      <c r="Y291" s="179">
        <f ca="1">IF(ISNUMBER(MATCH(DATEVALUE($A291),'recurring1_based on steps'!Y$1:Y$400,0)),Y$2,)</f>
        <v>0</v>
      </c>
      <c r="Z291" s="179">
        <f ca="1">IF(ISNUMBER(MATCH(DATEVALUE($A291),'recurring1_based on steps'!Z$1:Z$400,0)),Z$2,)</f>
        <v>0</v>
      </c>
      <c r="AA291" s="179">
        <f ca="1">IF(ISNUMBER(MATCH(DATEVALUE($A291),'recurring1_based on steps'!AA$1:AA$400,0)),AA$2,)</f>
        <v>0</v>
      </c>
      <c r="AB291" s="179">
        <f ca="1">IF(ISNUMBER(MATCH(DATEVALUE($A291),'recurring1_based on steps'!AB$1:AB$400,0)),AB$2,)</f>
        <v>0</v>
      </c>
      <c r="AC291" s="179">
        <f ca="1">IF(ISNUMBER(MATCH(DATEVALUE($A291),'recurring1_based on steps'!AC$1:AC$400,0)),AC$2,)</f>
        <v>0</v>
      </c>
      <c r="AD291" s="179">
        <f ca="1">IF(ISNUMBER(MATCH(DATEVALUE($A291),'recurring1_based on steps'!AD$1:AD$400,0)),AD$2,)</f>
        <v>0</v>
      </c>
      <c r="AE291" s="179">
        <f ca="1">IF(ISNUMBER(MATCH(DATEVALUE($A291),'recurring1_based on steps'!AE$1:AE$400,0)),AE$2,)</f>
        <v>0</v>
      </c>
      <c r="AF291" s="179">
        <f ca="1">IF(ISNUMBER(MATCH(DATEVALUE($A291),'recurring1_based on steps'!AF$1:AF$400,0)),AF$2,)</f>
        <v>0</v>
      </c>
      <c r="AG291" s="179">
        <f ca="1">IF(ISNUMBER(MATCH(DATEVALUE($A291),'recurring1_based on steps'!AG$1:AG$400,0)),AG$2,)</f>
        <v>0</v>
      </c>
      <c r="AH291" s="179">
        <f ca="1">IF(ISNUMBER(MATCH(DATEVALUE($A291),'recurring1_based on steps'!AH$1:AH$400,0)),AH$2,)</f>
        <v>0</v>
      </c>
      <c r="AI291" s="179">
        <f ca="1">IF(ISNUMBER(MATCH(DATEVALUE($A291),'recurring1_based on steps'!AI$1:AI$400,0)),AI$2,)</f>
        <v>0</v>
      </c>
      <c r="AJ291" s="179">
        <f ca="1">IF(ISNUMBER(MATCH(DATEVALUE($A291),'recurring1_based on steps'!AJ$1:AJ$400,0)),AJ$2,)</f>
        <v>0</v>
      </c>
      <c r="AK291" s="179">
        <f ca="1">IF(ISNUMBER(MATCH(DATEVALUE($A291),'recurring1_based on steps'!AK$1:AK$400,0)),AK$2,)</f>
        <v>0</v>
      </c>
      <c r="AL291" s="179">
        <f ca="1">IF(ISNUMBER(MATCH(DATEVALUE($A291),'recurring1_based on steps'!AL$1:AL$400,0)),AL$2,)</f>
        <v>0</v>
      </c>
      <c r="AM291" s="179">
        <f ca="1">IF(ISNUMBER(MATCH(DATEVALUE($A291),'recurring1_based on steps'!AM$1:AM$400,0)),AM$2,)</f>
        <v>0</v>
      </c>
      <c r="AN291" s="179">
        <f ca="1">IF(ISNUMBER(MATCH(DATEVALUE($A291),'recurring1_based on steps'!AN$1:AN$400,0)),AN$2,)</f>
        <v>0</v>
      </c>
      <c r="AO291" s="179">
        <f ca="1">IF(ISNUMBER(MATCH(DATEVALUE($A291),'recurring1_based on steps'!AO$1:AO$400,0)),AO$2,)</f>
        <v>0</v>
      </c>
      <c r="AP291" s="179">
        <f ca="1">IF(ISNUMBER(MATCH(DATEVALUE($A291),'recurring1_based on steps'!AP$1:AP$400,0)),AP$2,)</f>
        <v>0</v>
      </c>
      <c r="AQ291" s="179">
        <f ca="1">IF(ISNUMBER(MATCH(DATEVALUE($A291),'recurring1_based on steps'!AQ$1:AQ$400,0)),AQ$2,)</f>
        <v>0</v>
      </c>
      <c r="AR291" s="179">
        <f ca="1">IF(ISNUMBER(MATCH(DATEVALUE($A291),'recurring1_based on steps'!AR$1:AR$400,0)),AR$2,)</f>
        <v>0</v>
      </c>
      <c r="AS291" s="179">
        <f ca="1">IF(ISNUMBER(MATCH(DATEVALUE($A291),'recurring1_based on steps'!AS$1:AS$400,0)),AS$2,)</f>
        <v>0</v>
      </c>
      <c r="AT291" s="179">
        <f ca="1">IF(ISNUMBER(MATCH(DATEVALUE($A291),'recurring1_based on steps'!AT$1:AT$400,0)),AT$2,)</f>
        <v>0</v>
      </c>
      <c r="AU291" s="179">
        <f ca="1">IF(ISNUMBER(MATCH(DATEVALUE($A291),'recurring1_based on steps'!AU$1:AU$400,0)),AU$2,)</f>
        <v>0</v>
      </c>
      <c r="AV291" s="179">
        <f ca="1">IF(ISNUMBER(MATCH(DATEVALUE($A291),'recurring1_based on steps'!AV$1:AV$400,0)),AV$2,)</f>
        <v>0</v>
      </c>
      <c r="AW291" s="179">
        <f ca="1">IF(ISNUMBER(MATCH(DATEVALUE($A291),'recurring1_based on steps'!AW$1:AW$400,0)),AW$2,)</f>
        <v>0</v>
      </c>
      <c r="AX291" s="179">
        <f ca="1">IF(ISNUMBER(MATCH(DATEVALUE($A291),'recurring1_based on steps'!AX$1:AX$400,0)),AX$2,)</f>
        <v>0</v>
      </c>
      <c r="AY291" s="179">
        <f ca="1">IF(ISNUMBER(MATCH(DATEVALUE($A291),'recurring1_based on steps'!AY$1:AY$400,0)),AY$2,)</f>
        <v>0</v>
      </c>
    </row>
    <row r="292" spans="1:51" x14ac:dyDescent="0.2">
      <c r="A292" s="32" t="str">
        <f t="shared" ca="1" si="4"/>
        <v>2026-01-19</v>
      </c>
      <c r="B292" s="179">
        <f ca="1">IF(ISNUMBER(MATCH(DATEVALUE($A292),'recurring1_based on steps'!B$1:B$400,0)),B$2,)</f>
        <v>0</v>
      </c>
      <c r="C292" s="179">
        <f ca="1">IF(ISNUMBER(MATCH(DATEVALUE($A292),'recurring1_based on steps'!C$1:C$400,0)),C$2,)</f>
        <v>0</v>
      </c>
      <c r="D292" s="179">
        <f ca="1">IF(ISNUMBER(MATCH(DATEVALUE($A292),'recurring1_based on steps'!D$1:D$400,0)),D$2,)</f>
        <v>0</v>
      </c>
      <c r="E292" s="179">
        <f ca="1">IF(ISNUMBER(MATCH(DATEVALUE($A292),'recurring1_based on steps'!E$1:E$400,0)),E$2,)</f>
        <v>0</v>
      </c>
      <c r="F292" s="179">
        <f ca="1">IF(ISNUMBER(MATCH(DATEVALUE($A292),'recurring1_based on steps'!F$1:F$400,0)),F$2,)</f>
        <v>0</v>
      </c>
      <c r="G292" s="179">
        <f ca="1">IF(ISNUMBER(MATCH(DATEVALUE($A292),'recurring1_based on steps'!G$1:G$400,0)),G$2,)</f>
        <v>0</v>
      </c>
      <c r="H292" s="179">
        <f ca="1">IF(ISNUMBER(MATCH(DATEVALUE($A292),'recurring1_based on steps'!H$1:H$400,0)),H$2,)</f>
        <v>0</v>
      </c>
      <c r="I292" s="179">
        <f ca="1">IF(ISNUMBER(MATCH(DATEVALUE($A292),'recurring1_based on steps'!I$1:I$400,0)),I$2,)</f>
        <v>0</v>
      </c>
      <c r="J292" s="179">
        <f ca="1">IF(ISNUMBER(MATCH(DATEVALUE($A292),'recurring1_based on steps'!J$1:J$400,0)),J$2,)</f>
        <v>0</v>
      </c>
      <c r="K292" s="179">
        <f ca="1">IF(ISNUMBER(MATCH(DATEVALUE($A292),'recurring1_based on steps'!K$1:K$400,0)),K$2,)</f>
        <v>0</v>
      </c>
      <c r="L292" s="179">
        <f ca="1">IF(ISNUMBER(MATCH(DATEVALUE($A292),'recurring1_based on steps'!L$1:L$400,0)),L$2,)</f>
        <v>0</v>
      </c>
      <c r="M292" s="179">
        <f ca="1">IF(ISNUMBER(MATCH(DATEVALUE($A292),'recurring1_based on steps'!M$1:M$400,0)),M$2,)</f>
        <v>0</v>
      </c>
      <c r="N292" s="179">
        <f ca="1">IF(ISNUMBER(MATCH(DATEVALUE($A292),'recurring1_based on steps'!N$1:N$400,0)),N$2,)</f>
        <v>0</v>
      </c>
      <c r="O292" s="179">
        <f ca="1">IF(ISNUMBER(MATCH(DATEVALUE($A292),'recurring1_based on steps'!O$1:O$400,0)),O$2,)</f>
        <v>0</v>
      </c>
      <c r="P292" s="179">
        <f ca="1">IF(ISNUMBER(MATCH(DATEVALUE($A292),'recurring1_based on steps'!P$1:P$400,0)),P$2,)</f>
        <v>0</v>
      </c>
      <c r="Q292" s="179">
        <f ca="1">IF(ISNUMBER(MATCH(DATEVALUE($A292),'recurring1_based on steps'!Q$1:Q$400,0)),Q$2,)</f>
        <v>0</v>
      </c>
      <c r="R292" s="179">
        <f ca="1">IF(ISNUMBER(MATCH(DATEVALUE($A292),'recurring1_based on steps'!R$1:R$400,0)),R$2,)</f>
        <v>0</v>
      </c>
      <c r="S292" s="179">
        <f ca="1">IF(ISNUMBER(MATCH(DATEVALUE($A292),'recurring1_based on steps'!S$1:S$400,0)),S$2,)</f>
        <v>0</v>
      </c>
      <c r="T292" s="179">
        <f ca="1">IF(ISNUMBER(MATCH(DATEVALUE($A292),'recurring1_based on steps'!T$1:T$400,0)),T$2,)</f>
        <v>0</v>
      </c>
      <c r="U292" s="179">
        <f ca="1">IF(ISNUMBER(MATCH(DATEVALUE($A292),'recurring1_based on steps'!U$1:U$400,0)),U$2,)</f>
        <v>0</v>
      </c>
      <c r="V292" s="179">
        <f ca="1">IF(ISNUMBER(MATCH(DATEVALUE($A292),'recurring1_based on steps'!V$1:V$400,0)),V$2,)</f>
        <v>0</v>
      </c>
      <c r="W292" s="179">
        <f ca="1">IF(ISNUMBER(MATCH(DATEVALUE($A292),'recurring1_based on steps'!W$1:W$400,0)),W$2,)</f>
        <v>0</v>
      </c>
      <c r="X292" s="179">
        <f ca="1">IF(ISNUMBER(MATCH(DATEVALUE($A292),'recurring1_based on steps'!X$1:X$400,0)),X$2,)</f>
        <v>0</v>
      </c>
      <c r="Y292" s="179">
        <f ca="1">IF(ISNUMBER(MATCH(DATEVALUE($A292),'recurring1_based on steps'!Y$1:Y$400,0)),Y$2,)</f>
        <v>0</v>
      </c>
      <c r="Z292" s="179">
        <f ca="1">IF(ISNUMBER(MATCH(DATEVALUE($A292),'recurring1_based on steps'!Z$1:Z$400,0)),Z$2,)</f>
        <v>0</v>
      </c>
      <c r="AA292" s="179">
        <f ca="1">IF(ISNUMBER(MATCH(DATEVALUE($A292),'recurring1_based on steps'!AA$1:AA$400,0)),AA$2,)</f>
        <v>0</v>
      </c>
      <c r="AB292" s="179">
        <f ca="1">IF(ISNUMBER(MATCH(DATEVALUE($A292),'recurring1_based on steps'!AB$1:AB$400,0)),AB$2,)</f>
        <v>0</v>
      </c>
      <c r="AC292" s="179">
        <f ca="1">IF(ISNUMBER(MATCH(DATEVALUE($A292),'recurring1_based on steps'!AC$1:AC$400,0)),AC$2,)</f>
        <v>0</v>
      </c>
      <c r="AD292" s="179">
        <f ca="1">IF(ISNUMBER(MATCH(DATEVALUE($A292),'recurring1_based on steps'!AD$1:AD$400,0)),AD$2,)</f>
        <v>0</v>
      </c>
      <c r="AE292" s="179">
        <f ca="1">IF(ISNUMBER(MATCH(DATEVALUE($A292),'recurring1_based on steps'!AE$1:AE$400,0)),AE$2,)</f>
        <v>0</v>
      </c>
      <c r="AF292" s="179">
        <f ca="1">IF(ISNUMBER(MATCH(DATEVALUE($A292),'recurring1_based on steps'!AF$1:AF$400,0)),AF$2,)</f>
        <v>0</v>
      </c>
      <c r="AG292" s="179">
        <f ca="1">IF(ISNUMBER(MATCH(DATEVALUE($A292),'recurring1_based on steps'!AG$1:AG$400,0)),AG$2,)</f>
        <v>0</v>
      </c>
      <c r="AH292" s="179">
        <f ca="1">IF(ISNUMBER(MATCH(DATEVALUE($A292),'recurring1_based on steps'!AH$1:AH$400,0)),AH$2,)</f>
        <v>0</v>
      </c>
      <c r="AI292" s="179">
        <f ca="1">IF(ISNUMBER(MATCH(DATEVALUE($A292),'recurring1_based on steps'!AI$1:AI$400,0)),AI$2,)</f>
        <v>0</v>
      </c>
      <c r="AJ292" s="179">
        <f ca="1">IF(ISNUMBER(MATCH(DATEVALUE($A292),'recurring1_based on steps'!AJ$1:AJ$400,0)),AJ$2,)</f>
        <v>0</v>
      </c>
      <c r="AK292" s="179">
        <f ca="1">IF(ISNUMBER(MATCH(DATEVALUE($A292),'recurring1_based on steps'!AK$1:AK$400,0)),AK$2,)</f>
        <v>0</v>
      </c>
      <c r="AL292" s="179">
        <f ca="1">IF(ISNUMBER(MATCH(DATEVALUE($A292),'recurring1_based on steps'!AL$1:AL$400,0)),AL$2,)</f>
        <v>0</v>
      </c>
      <c r="AM292" s="179">
        <f ca="1">IF(ISNUMBER(MATCH(DATEVALUE($A292),'recurring1_based on steps'!AM$1:AM$400,0)),AM$2,)</f>
        <v>0</v>
      </c>
      <c r="AN292" s="179">
        <f ca="1">IF(ISNUMBER(MATCH(DATEVALUE($A292),'recurring1_based on steps'!AN$1:AN$400,0)),AN$2,)</f>
        <v>0</v>
      </c>
      <c r="AO292" s="179">
        <f ca="1">IF(ISNUMBER(MATCH(DATEVALUE($A292),'recurring1_based on steps'!AO$1:AO$400,0)),AO$2,)</f>
        <v>0</v>
      </c>
      <c r="AP292" s="179">
        <f ca="1">IF(ISNUMBER(MATCH(DATEVALUE($A292),'recurring1_based on steps'!AP$1:AP$400,0)),AP$2,)</f>
        <v>0</v>
      </c>
      <c r="AQ292" s="179">
        <f ca="1">IF(ISNUMBER(MATCH(DATEVALUE($A292),'recurring1_based on steps'!AQ$1:AQ$400,0)),AQ$2,)</f>
        <v>0</v>
      </c>
      <c r="AR292" s="179">
        <f ca="1">IF(ISNUMBER(MATCH(DATEVALUE($A292),'recurring1_based on steps'!AR$1:AR$400,0)),AR$2,)</f>
        <v>0</v>
      </c>
      <c r="AS292" s="179">
        <f ca="1">IF(ISNUMBER(MATCH(DATEVALUE($A292),'recurring1_based on steps'!AS$1:AS$400,0)),AS$2,)</f>
        <v>0</v>
      </c>
      <c r="AT292" s="179">
        <f ca="1">IF(ISNUMBER(MATCH(DATEVALUE($A292),'recurring1_based on steps'!AT$1:AT$400,0)),AT$2,)</f>
        <v>0</v>
      </c>
      <c r="AU292" s="179">
        <f ca="1">IF(ISNUMBER(MATCH(DATEVALUE($A292),'recurring1_based on steps'!AU$1:AU$400,0)),AU$2,)</f>
        <v>0</v>
      </c>
      <c r="AV292" s="179">
        <f ca="1">IF(ISNUMBER(MATCH(DATEVALUE($A292),'recurring1_based on steps'!AV$1:AV$400,0)),AV$2,)</f>
        <v>0</v>
      </c>
      <c r="AW292" s="179">
        <f ca="1">IF(ISNUMBER(MATCH(DATEVALUE($A292),'recurring1_based on steps'!AW$1:AW$400,0)),AW$2,)</f>
        <v>0</v>
      </c>
      <c r="AX292" s="179">
        <f ca="1">IF(ISNUMBER(MATCH(DATEVALUE($A292),'recurring1_based on steps'!AX$1:AX$400,0)),AX$2,)</f>
        <v>0</v>
      </c>
      <c r="AY292" s="179">
        <f ca="1">IF(ISNUMBER(MATCH(DATEVALUE($A292),'recurring1_based on steps'!AY$1:AY$400,0)),AY$2,)</f>
        <v>0</v>
      </c>
    </row>
    <row r="293" spans="1:51" x14ac:dyDescent="0.2">
      <c r="A293" s="32" t="str">
        <f t="shared" ca="1" si="4"/>
        <v>2026-01-20</v>
      </c>
      <c r="B293" s="179">
        <f ca="1">IF(ISNUMBER(MATCH(DATEVALUE($A293),'recurring1_based on steps'!B$1:B$400,0)),B$2,)</f>
        <v>0</v>
      </c>
      <c r="C293" s="179">
        <f ca="1">IF(ISNUMBER(MATCH(DATEVALUE($A293),'recurring1_based on steps'!C$1:C$400,0)),C$2,)</f>
        <v>0</v>
      </c>
      <c r="D293" s="179">
        <f ca="1">IF(ISNUMBER(MATCH(DATEVALUE($A293),'recurring1_based on steps'!D$1:D$400,0)),D$2,)</f>
        <v>0</v>
      </c>
      <c r="E293" s="179">
        <f ca="1">IF(ISNUMBER(MATCH(DATEVALUE($A293),'recurring1_based on steps'!E$1:E$400,0)),E$2,)</f>
        <v>0</v>
      </c>
      <c r="F293" s="179">
        <f ca="1">IF(ISNUMBER(MATCH(DATEVALUE($A293),'recurring1_based on steps'!F$1:F$400,0)),F$2,)</f>
        <v>0</v>
      </c>
      <c r="G293" s="179">
        <f ca="1">IF(ISNUMBER(MATCH(DATEVALUE($A293),'recurring1_based on steps'!G$1:G$400,0)),G$2,)</f>
        <v>0</v>
      </c>
      <c r="H293" s="179">
        <f ca="1">IF(ISNUMBER(MATCH(DATEVALUE($A293),'recurring1_based on steps'!H$1:H$400,0)),H$2,)</f>
        <v>0</v>
      </c>
      <c r="I293" s="179">
        <f ca="1">IF(ISNUMBER(MATCH(DATEVALUE($A293),'recurring1_based on steps'!I$1:I$400,0)),I$2,)</f>
        <v>0</v>
      </c>
      <c r="J293" s="179">
        <f ca="1">IF(ISNUMBER(MATCH(DATEVALUE($A293),'recurring1_based on steps'!J$1:J$400,0)),J$2,)</f>
        <v>0</v>
      </c>
      <c r="K293" s="179">
        <f ca="1">IF(ISNUMBER(MATCH(DATEVALUE($A293),'recurring1_based on steps'!K$1:K$400,0)),K$2,)</f>
        <v>0</v>
      </c>
      <c r="L293" s="179">
        <f ca="1">IF(ISNUMBER(MATCH(DATEVALUE($A293),'recurring1_based on steps'!L$1:L$400,0)),L$2,)</f>
        <v>0</v>
      </c>
      <c r="M293" s="179">
        <f ca="1">IF(ISNUMBER(MATCH(DATEVALUE($A293),'recurring1_based on steps'!M$1:M$400,0)),M$2,)</f>
        <v>0</v>
      </c>
      <c r="N293" s="179">
        <f ca="1">IF(ISNUMBER(MATCH(DATEVALUE($A293),'recurring1_based on steps'!N$1:N$400,0)),N$2,)</f>
        <v>0</v>
      </c>
      <c r="O293" s="179">
        <f ca="1">IF(ISNUMBER(MATCH(DATEVALUE($A293),'recurring1_based on steps'!O$1:O$400,0)),O$2,)</f>
        <v>0</v>
      </c>
      <c r="P293" s="179">
        <f ca="1">IF(ISNUMBER(MATCH(DATEVALUE($A293),'recurring1_based on steps'!P$1:P$400,0)),P$2,)</f>
        <v>0</v>
      </c>
      <c r="Q293" s="179">
        <f ca="1">IF(ISNUMBER(MATCH(DATEVALUE($A293),'recurring1_based on steps'!Q$1:Q$400,0)),Q$2,)</f>
        <v>0</v>
      </c>
      <c r="R293" s="179">
        <f ca="1">IF(ISNUMBER(MATCH(DATEVALUE($A293),'recurring1_based on steps'!R$1:R$400,0)),R$2,)</f>
        <v>0</v>
      </c>
      <c r="S293" s="179">
        <f ca="1">IF(ISNUMBER(MATCH(DATEVALUE($A293),'recurring1_based on steps'!S$1:S$400,0)),S$2,)</f>
        <v>0</v>
      </c>
      <c r="T293" s="179">
        <f ca="1">IF(ISNUMBER(MATCH(DATEVALUE($A293),'recurring1_based on steps'!T$1:T$400,0)),T$2,)</f>
        <v>0</v>
      </c>
      <c r="U293" s="179">
        <f ca="1">IF(ISNUMBER(MATCH(DATEVALUE($A293),'recurring1_based on steps'!U$1:U$400,0)),U$2,)</f>
        <v>0</v>
      </c>
      <c r="V293" s="179">
        <f ca="1">IF(ISNUMBER(MATCH(DATEVALUE($A293),'recurring1_based on steps'!V$1:V$400,0)),V$2,)</f>
        <v>0</v>
      </c>
      <c r="W293" s="179">
        <f ca="1">IF(ISNUMBER(MATCH(DATEVALUE($A293),'recurring1_based on steps'!W$1:W$400,0)),W$2,)</f>
        <v>0</v>
      </c>
      <c r="X293" s="179">
        <f ca="1">IF(ISNUMBER(MATCH(DATEVALUE($A293),'recurring1_based on steps'!X$1:X$400,0)),X$2,)</f>
        <v>0</v>
      </c>
      <c r="Y293" s="179">
        <f ca="1">IF(ISNUMBER(MATCH(DATEVALUE($A293),'recurring1_based on steps'!Y$1:Y$400,0)),Y$2,)</f>
        <v>0</v>
      </c>
      <c r="Z293" s="179">
        <f ca="1">IF(ISNUMBER(MATCH(DATEVALUE($A293),'recurring1_based on steps'!Z$1:Z$400,0)),Z$2,)</f>
        <v>0</v>
      </c>
      <c r="AA293" s="179">
        <f ca="1">IF(ISNUMBER(MATCH(DATEVALUE($A293),'recurring1_based on steps'!AA$1:AA$400,0)),AA$2,)</f>
        <v>0</v>
      </c>
      <c r="AB293" s="179">
        <f ca="1">IF(ISNUMBER(MATCH(DATEVALUE($A293),'recurring1_based on steps'!AB$1:AB$400,0)),AB$2,)</f>
        <v>0</v>
      </c>
      <c r="AC293" s="179">
        <f ca="1">IF(ISNUMBER(MATCH(DATEVALUE($A293),'recurring1_based on steps'!AC$1:AC$400,0)),AC$2,)</f>
        <v>0</v>
      </c>
      <c r="AD293" s="179">
        <f ca="1">IF(ISNUMBER(MATCH(DATEVALUE($A293),'recurring1_based on steps'!AD$1:AD$400,0)),AD$2,)</f>
        <v>0</v>
      </c>
      <c r="AE293" s="179">
        <f ca="1">IF(ISNUMBER(MATCH(DATEVALUE($A293),'recurring1_based on steps'!AE$1:AE$400,0)),AE$2,)</f>
        <v>0</v>
      </c>
      <c r="AF293" s="179">
        <f ca="1">IF(ISNUMBER(MATCH(DATEVALUE($A293),'recurring1_based on steps'!AF$1:AF$400,0)),AF$2,)</f>
        <v>0</v>
      </c>
      <c r="AG293" s="179">
        <f ca="1">IF(ISNUMBER(MATCH(DATEVALUE($A293),'recurring1_based on steps'!AG$1:AG$400,0)),AG$2,)</f>
        <v>0</v>
      </c>
      <c r="AH293" s="179">
        <f ca="1">IF(ISNUMBER(MATCH(DATEVALUE($A293),'recurring1_based on steps'!AH$1:AH$400,0)),AH$2,)</f>
        <v>0</v>
      </c>
      <c r="AI293" s="179">
        <f ca="1">IF(ISNUMBER(MATCH(DATEVALUE($A293),'recurring1_based on steps'!AI$1:AI$400,0)),AI$2,)</f>
        <v>0</v>
      </c>
      <c r="AJ293" s="179">
        <f ca="1">IF(ISNUMBER(MATCH(DATEVALUE($A293),'recurring1_based on steps'!AJ$1:AJ$400,0)),AJ$2,)</f>
        <v>0</v>
      </c>
      <c r="AK293" s="179">
        <f ca="1">IF(ISNUMBER(MATCH(DATEVALUE($A293),'recurring1_based on steps'!AK$1:AK$400,0)),AK$2,)</f>
        <v>0</v>
      </c>
      <c r="AL293" s="179">
        <f ca="1">IF(ISNUMBER(MATCH(DATEVALUE($A293),'recurring1_based on steps'!AL$1:AL$400,0)),AL$2,)</f>
        <v>0</v>
      </c>
      <c r="AM293" s="179">
        <f ca="1">IF(ISNUMBER(MATCH(DATEVALUE($A293),'recurring1_based on steps'!AM$1:AM$400,0)),AM$2,)</f>
        <v>0</v>
      </c>
      <c r="AN293" s="179">
        <f ca="1">IF(ISNUMBER(MATCH(DATEVALUE($A293),'recurring1_based on steps'!AN$1:AN$400,0)),AN$2,)</f>
        <v>0</v>
      </c>
      <c r="AO293" s="179">
        <f ca="1">IF(ISNUMBER(MATCH(DATEVALUE($A293),'recurring1_based on steps'!AO$1:AO$400,0)),AO$2,)</f>
        <v>0</v>
      </c>
      <c r="AP293" s="179">
        <f ca="1">IF(ISNUMBER(MATCH(DATEVALUE($A293),'recurring1_based on steps'!AP$1:AP$400,0)),AP$2,)</f>
        <v>0</v>
      </c>
      <c r="AQ293" s="179">
        <f ca="1">IF(ISNUMBER(MATCH(DATEVALUE($A293),'recurring1_based on steps'!AQ$1:AQ$400,0)),AQ$2,)</f>
        <v>0</v>
      </c>
      <c r="AR293" s="179">
        <f ca="1">IF(ISNUMBER(MATCH(DATEVALUE($A293),'recurring1_based on steps'!AR$1:AR$400,0)),AR$2,)</f>
        <v>0</v>
      </c>
      <c r="AS293" s="179">
        <f ca="1">IF(ISNUMBER(MATCH(DATEVALUE($A293),'recurring1_based on steps'!AS$1:AS$400,0)),AS$2,)</f>
        <v>0</v>
      </c>
      <c r="AT293" s="179">
        <f ca="1">IF(ISNUMBER(MATCH(DATEVALUE($A293),'recurring1_based on steps'!AT$1:AT$400,0)),AT$2,)</f>
        <v>0</v>
      </c>
      <c r="AU293" s="179">
        <f ca="1">IF(ISNUMBER(MATCH(DATEVALUE($A293),'recurring1_based on steps'!AU$1:AU$400,0)),AU$2,)</f>
        <v>0</v>
      </c>
      <c r="AV293" s="179">
        <f ca="1">IF(ISNUMBER(MATCH(DATEVALUE($A293),'recurring1_based on steps'!AV$1:AV$400,0)),AV$2,)</f>
        <v>0</v>
      </c>
      <c r="AW293" s="179">
        <f ca="1">IF(ISNUMBER(MATCH(DATEVALUE($A293),'recurring1_based on steps'!AW$1:AW$400,0)),AW$2,)</f>
        <v>0</v>
      </c>
      <c r="AX293" s="179">
        <f ca="1">IF(ISNUMBER(MATCH(DATEVALUE($A293),'recurring1_based on steps'!AX$1:AX$400,0)),AX$2,)</f>
        <v>0</v>
      </c>
      <c r="AY293" s="179">
        <f ca="1">IF(ISNUMBER(MATCH(DATEVALUE($A293),'recurring1_based on steps'!AY$1:AY$400,0)),AY$2,)</f>
        <v>0</v>
      </c>
    </row>
    <row r="294" spans="1:51" x14ac:dyDescent="0.2">
      <c r="A294" s="32" t="str">
        <f t="shared" ca="1" si="4"/>
        <v>2026-01-21</v>
      </c>
      <c r="B294" s="179">
        <f ca="1">IF(ISNUMBER(MATCH(DATEVALUE($A294),'recurring1_based on steps'!B$1:B$400,0)),B$2,)</f>
        <v>0</v>
      </c>
      <c r="C294" s="179">
        <f ca="1">IF(ISNUMBER(MATCH(DATEVALUE($A294),'recurring1_based on steps'!C$1:C$400,0)),C$2,)</f>
        <v>0</v>
      </c>
      <c r="D294" s="179">
        <f ca="1">IF(ISNUMBER(MATCH(DATEVALUE($A294),'recurring1_based on steps'!D$1:D$400,0)),D$2,)</f>
        <v>0</v>
      </c>
      <c r="E294" s="179">
        <f ca="1">IF(ISNUMBER(MATCH(DATEVALUE($A294),'recurring1_based on steps'!E$1:E$400,0)),E$2,)</f>
        <v>0</v>
      </c>
      <c r="F294" s="179">
        <f ca="1">IF(ISNUMBER(MATCH(DATEVALUE($A294),'recurring1_based on steps'!F$1:F$400,0)),F$2,)</f>
        <v>0</v>
      </c>
      <c r="G294" s="179">
        <f ca="1">IF(ISNUMBER(MATCH(DATEVALUE($A294),'recurring1_based on steps'!G$1:G$400,0)),G$2,)</f>
        <v>0</v>
      </c>
      <c r="H294" s="179">
        <f ca="1">IF(ISNUMBER(MATCH(DATEVALUE($A294),'recurring1_based on steps'!H$1:H$400,0)),H$2,)</f>
        <v>0</v>
      </c>
      <c r="I294" s="179">
        <f ca="1">IF(ISNUMBER(MATCH(DATEVALUE($A294),'recurring1_based on steps'!I$1:I$400,0)),I$2,)</f>
        <v>0</v>
      </c>
      <c r="J294" s="179">
        <f ca="1">IF(ISNUMBER(MATCH(DATEVALUE($A294),'recurring1_based on steps'!J$1:J$400,0)),J$2,)</f>
        <v>0</v>
      </c>
      <c r="K294" s="179">
        <f ca="1">IF(ISNUMBER(MATCH(DATEVALUE($A294),'recurring1_based on steps'!K$1:K$400,0)),K$2,)</f>
        <v>0</v>
      </c>
      <c r="L294" s="179">
        <f ca="1">IF(ISNUMBER(MATCH(DATEVALUE($A294),'recurring1_based on steps'!L$1:L$400,0)),L$2,)</f>
        <v>0</v>
      </c>
      <c r="M294" s="179">
        <f ca="1">IF(ISNUMBER(MATCH(DATEVALUE($A294),'recurring1_based on steps'!M$1:M$400,0)),M$2,)</f>
        <v>0</v>
      </c>
      <c r="N294" s="179">
        <f ca="1">IF(ISNUMBER(MATCH(DATEVALUE($A294),'recurring1_based on steps'!N$1:N$400,0)),N$2,)</f>
        <v>0</v>
      </c>
      <c r="O294" s="179">
        <f ca="1">IF(ISNUMBER(MATCH(DATEVALUE($A294),'recurring1_based on steps'!O$1:O$400,0)),O$2,)</f>
        <v>0</v>
      </c>
      <c r="P294" s="179">
        <f ca="1">IF(ISNUMBER(MATCH(DATEVALUE($A294),'recurring1_based on steps'!P$1:P$400,0)),P$2,)</f>
        <v>0</v>
      </c>
      <c r="Q294" s="179">
        <f ca="1">IF(ISNUMBER(MATCH(DATEVALUE($A294),'recurring1_based on steps'!Q$1:Q$400,0)),Q$2,)</f>
        <v>0</v>
      </c>
      <c r="R294" s="179">
        <f ca="1">IF(ISNUMBER(MATCH(DATEVALUE($A294),'recurring1_based on steps'!R$1:R$400,0)),R$2,)</f>
        <v>0</v>
      </c>
      <c r="S294" s="179">
        <f ca="1">IF(ISNUMBER(MATCH(DATEVALUE($A294),'recurring1_based on steps'!S$1:S$400,0)),S$2,)</f>
        <v>0</v>
      </c>
      <c r="T294" s="179">
        <f ca="1">IF(ISNUMBER(MATCH(DATEVALUE($A294),'recurring1_based on steps'!T$1:T$400,0)),T$2,)</f>
        <v>0</v>
      </c>
      <c r="U294" s="179">
        <f ca="1">IF(ISNUMBER(MATCH(DATEVALUE($A294),'recurring1_based on steps'!U$1:U$400,0)),U$2,)</f>
        <v>0</v>
      </c>
      <c r="V294" s="179">
        <f ca="1">IF(ISNUMBER(MATCH(DATEVALUE($A294),'recurring1_based on steps'!V$1:V$400,0)),V$2,)</f>
        <v>0</v>
      </c>
      <c r="W294" s="179">
        <f ca="1">IF(ISNUMBER(MATCH(DATEVALUE($A294),'recurring1_based on steps'!W$1:W$400,0)),W$2,)</f>
        <v>0</v>
      </c>
      <c r="X294" s="179">
        <f ca="1">IF(ISNUMBER(MATCH(DATEVALUE($A294),'recurring1_based on steps'!X$1:X$400,0)),X$2,)</f>
        <v>0</v>
      </c>
      <c r="Y294" s="179">
        <f ca="1">IF(ISNUMBER(MATCH(DATEVALUE($A294),'recurring1_based on steps'!Y$1:Y$400,0)),Y$2,)</f>
        <v>0</v>
      </c>
      <c r="Z294" s="179">
        <f ca="1">IF(ISNUMBER(MATCH(DATEVALUE($A294),'recurring1_based on steps'!Z$1:Z$400,0)),Z$2,)</f>
        <v>0</v>
      </c>
      <c r="AA294" s="179">
        <f ca="1">IF(ISNUMBER(MATCH(DATEVALUE($A294),'recurring1_based on steps'!AA$1:AA$400,0)),AA$2,)</f>
        <v>0</v>
      </c>
      <c r="AB294" s="179">
        <f ca="1">IF(ISNUMBER(MATCH(DATEVALUE($A294),'recurring1_based on steps'!AB$1:AB$400,0)),AB$2,)</f>
        <v>0</v>
      </c>
      <c r="AC294" s="179">
        <f ca="1">IF(ISNUMBER(MATCH(DATEVALUE($A294),'recurring1_based on steps'!AC$1:AC$400,0)),AC$2,)</f>
        <v>0</v>
      </c>
      <c r="AD294" s="179">
        <f ca="1">IF(ISNUMBER(MATCH(DATEVALUE($A294),'recurring1_based on steps'!AD$1:AD$400,0)),AD$2,)</f>
        <v>0</v>
      </c>
      <c r="AE294" s="179">
        <f ca="1">IF(ISNUMBER(MATCH(DATEVALUE($A294),'recurring1_based on steps'!AE$1:AE$400,0)),AE$2,)</f>
        <v>0</v>
      </c>
      <c r="AF294" s="179">
        <f ca="1">IF(ISNUMBER(MATCH(DATEVALUE($A294),'recurring1_based on steps'!AF$1:AF$400,0)),AF$2,)</f>
        <v>0</v>
      </c>
      <c r="AG294" s="179">
        <f ca="1">IF(ISNUMBER(MATCH(DATEVALUE($A294),'recurring1_based on steps'!AG$1:AG$400,0)),AG$2,)</f>
        <v>0</v>
      </c>
      <c r="AH294" s="179">
        <f ca="1">IF(ISNUMBER(MATCH(DATEVALUE($A294),'recurring1_based on steps'!AH$1:AH$400,0)),AH$2,)</f>
        <v>0</v>
      </c>
      <c r="AI294" s="179">
        <f ca="1">IF(ISNUMBER(MATCH(DATEVALUE($A294),'recurring1_based on steps'!AI$1:AI$400,0)),AI$2,)</f>
        <v>0</v>
      </c>
      <c r="AJ294" s="179">
        <f ca="1">IF(ISNUMBER(MATCH(DATEVALUE($A294),'recurring1_based on steps'!AJ$1:AJ$400,0)),AJ$2,)</f>
        <v>0</v>
      </c>
      <c r="AK294" s="179">
        <f ca="1">IF(ISNUMBER(MATCH(DATEVALUE($A294),'recurring1_based on steps'!AK$1:AK$400,0)),AK$2,)</f>
        <v>0</v>
      </c>
      <c r="AL294" s="179">
        <f ca="1">IF(ISNUMBER(MATCH(DATEVALUE($A294),'recurring1_based on steps'!AL$1:AL$400,0)),AL$2,)</f>
        <v>0</v>
      </c>
      <c r="AM294" s="179">
        <f ca="1">IF(ISNUMBER(MATCH(DATEVALUE($A294),'recurring1_based on steps'!AM$1:AM$400,0)),AM$2,)</f>
        <v>0</v>
      </c>
      <c r="AN294" s="179">
        <f ca="1">IF(ISNUMBER(MATCH(DATEVALUE($A294),'recurring1_based on steps'!AN$1:AN$400,0)),AN$2,)</f>
        <v>0</v>
      </c>
      <c r="AO294" s="179">
        <f ca="1">IF(ISNUMBER(MATCH(DATEVALUE($A294),'recurring1_based on steps'!AO$1:AO$400,0)),AO$2,)</f>
        <v>0</v>
      </c>
      <c r="AP294" s="179">
        <f ca="1">IF(ISNUMBER(MATCH(DATEVALUE($A294),'recurring1_based on steps'!AP$1:AP$400,0)),AP$2,)</f>
        <v>0</v>
      </c>
      <c r="AQ294" s="179">
        <f ca="1">IF(ISNUMBER(MATCH(DATEVALUE($A294),'recurring1_based on steps'!AQ$1:AQ$400,0)),AQ$2,)</f>
        <v>0</v>
      </c>
      <c r="AR294" s="179">
        <f ca="1">IF(ISNUMBER(MATCH(DATEVALUE($A294),'recurring1_based on steps'!AR$1:AR$400,0)),AR$2,)</f>
        <v>0</v>
      </c>
      <c r="AS294" s="179">
        <f ca="1">IF(ISNUMBER(MATCH(DATEVALUE($A294),'recurring1_based on steps'!AS$1:AS$400,0)),AS$2,)</f>
        <v>0</v>
      </c>
      <c r="AT294" s="179">
        <f ca="1">IF(ISNUMBER(MATCH(DATEVALUE($A294),'recurring1_based on steps'!AT$1:AT$400,0)),AT$2,)</f>
        <v>0</v>
      </c>
      <c r="AU294" s="179">
        <f ca="1">IF(ISNUMBER(MATCH(DATEVALUE($A294),'recurring1_based on steps'!AU$1:AU$400,0)),AU$2,)</f>
        <v>0</v>
      </c>
      <c r="AV294" s="179">
        <f ca="1">IF(ISNUMBER(MATCH(DATEVALUE($A294),'recurring1_based on steps'!AV$1:AV$400,0)),AV$2,)</f>
        <v>0</v>
      </c>
      <c r="AW294" s="179">
        <f ca="1">IF(ISNUMBER(MATCH(DATEVALUE($A294),'recurring1_based on steps'!AW$1:AW$400,0)),AW$2,)</f>
        <v>0</v>
      </c>
      <c r="AX294" s="179">
        <f ca="1">IF(ISNUMBER(MATCH(DATEVALUE($A294),'recurring1_based on steps'!AX$1:AX$400,0)),AX$2,)</f>
        <v>0</v>
      </c>
      <c r="AY294" s="179">
        <f ca="1">IF(ISNUMBER(MATCH(DATEVALUE($A294),'recurring1_based on steps'!AY$1:AY$400,0)),AY$2,)</f>
        <v>0</v>
      </c>
    </row>
    <row r="295" spans="1:51" x14ac:dyDescent="0.2">
      <c r="A295" s="32" t="str">
        <f t="shared" ca="1" si="4"/>
        <v>2026-01-22</v>
      </c>
      <c r="B295" s="179">
        <f ca="1">IF(ISNUMBER(MATCH(DATEVALUE($A295),'recurring1_based on steps'!B$1:B$400,0)),B$2,)</f>
        <v>0</v>
      </c>
      <c r="C295" s="179">
        <f ca="1">IF(ISNUMBER(MATCH(DATEVALUE($A295),'recurring1_based on steps'!C$1:C$400,0)),C$2,)</f>
        <v>0</v>
      </c>
      <c r="D295" s="179">
        <f ca="1">IF(ISNUMBER(MATCH(DATEVALUE($A295),'recurring1_based on steps'!D$1:D$400,0)),D$2,)</f>
        <v>0</v>
      </c>
      <c r="E295" s="179">
        <f ca="1">IF(ISNUMBER(MATCH(DATEVALUE($A295),'recurring1_based on steps'!E$1:E$400,0)),E$2,)</f>
        <v>0</v>
      </c>
      <c r="F295" s="179">
        <f ca="1">IF(ISNUMBER(MATCH(DATEVALUE($A295),'recurring1_based on steps'!F$1:F$400,0)),F$2,)</f>
        <v>0</v>
      </c>
      <c r="G295" s="179">
        <f ca="1">IF(ISNUMBER(MATCH(DATEVALUE($A295),'recurring1_based on steps'!G$1:G$400,0)),G$2,)</f>
        <v>0</v>
      </c>
      <c r="H295" s="179">
        <f ca="1">IF(ISNUMBER(MATCH(DATEVALUE($A295),'recurring1_based on steps'!H$1:H$400,0)),H$2,)</f>
        <v>0</v>
      </c>
      <c r="I295" s="179">
        <f ca="1">IF(ISNUMBER(MATCH(DATEVALUE($A295),'recurring1_based on steps'!I$1:I$400,0)),I$2,)</f>
        <v>0</v>
      </c>
      <c r="J295" s="179">
        <f ca="1">IF(ISNUMBER(MATCH(DATEVALUE($A295),'recurring1_based on steps'!J$1:J$400,0)),J$2,)</f>
        <v>0</v>
      </c>
      <c r="K295" s="179">
        <f ca="1">IF(ISNUMBER(MATCH(DATEVALUE($A295),'recurring1_based on steps'!K$1:K$400,0)),K$2,)</f>
        <v>0</v>
      </c>
      <c r="L295" s="179">
        <f ca="1">IF(ISNUMBER(MATCH(DATEVALUE($A295),'recurring1_based on steps'!L$1:L$400,0)),L$2,)</f>
        <v>0</v>
      </c>
      <c r="M295" s="179">
        <f ca="1">IF(ISNUMBER(MATCH(DATEVALUE($A295),'recurring1_based on steps'!M$1:M$400,0)),M$2,)</f>
        <v>0</v>
      </c>
      <c r="N295" s="179">
        <f ca="1">IF(ISNUMBER(MATCH(DATEVALUE($A295),'recurring1_based on steps'!N$1:N$400,0)),N$2,)</f>
        <v>0</v>
      </c>
      <c r="O295" s="179">
        <f ca="1">IF(ISNUMBER(MATCH(DATEVALUE($A295),'recurring1_based on steps'!O$1:O$400,0)),O$2,)</f>
        <v>0</v>
      </c>
      <c r="P295" s="179">
        <f ca="1">IF(ISNUMBER(MATCH(DATEVALUE($A295),'recurring1_based on steps'!P$1:P$400,0)),P$2,)</f>
        <v>0</v>
      </c>
      <c r="Q295" s="179">
        <f ca="1">IF(ISNUMBER(MATCH(DATEVALUE($A295),'recurring1_based on steps'!Q$1:Q$400,0)),Q$2,)</f>
        <v>0</v>
      </c>
      <c r="R295" s="179">
        <f ca="1">IF(ISNUMBER(MATCH(DATEVALUE($A295),'recurring1_based on steps'!R$1:R$400,0)),R$2,)</f>
        <v>0</v>
      </c>
      <c r="S295" s="179">
        <f ca="1">IF(ISNUMBER(MATCH(DATEVALUE($A295),'recurring1_based on steps'!S$1:S$400,0)),S$2,)</f>
        <v>0</v>
      </c>
      <c r="T295" s="179">
        <f ca="1">IF(ISNUMBER(MATCH(DATEVALUE($A295),'recurring1_based on steps'!T$1:T$400,0)),T$2,)</f>
        <v>0</v>
      </c>
      <c r="U295" s="179">
        <f ca="1">IF(ISNUMBER(MATCH(DATEVALUE($A295),'recurring1_based on steps'!U$1:U$400,0)),U$2,)</f>
        <v>0</v>
      </c>
      <c r="V295" s="179">
        <f ca="1">IF(ISNUMBER(MATCH(DATEVALUE($A295),'recurring1_based on steps'!V$1:V$400,0)),V$2,)</f>
        <v>0</v>
      </c>
      <c r="W295" s="179">
        <f ca="1">IF(ISNUMBER(MATCH(DATEVALUE($A295),'recurring1_based on steps'!W$1:W$400,0)),W$2,)</f>
        <v>0</v>
      </c>
      <c r="X295" s="179">
        <f ca="1">IF(ISNUMBER(MATCH(DATEVALUE($A295),'recurring1_based on steps'!X$1:X$400,0)),X$2,)</f>
        <v>0</v>
      </c>
      <c r="Y295" s="179">
        <f ca="1">IF(ISNUMBER(MATCH(DATEVALUE($A295),'recurring1_based on steps'!Y$1:Y$400,0)),Y$2,)</f>
        <v>0</v>
      </c>
      <c r="Z295" s="179">
        <f ca="1">IF(ISNUMBER(MATCH(DATEVALUE($A295),'recurring1_based on steps'!Z$1:Z$400,0)),Z$2,)</f>
        <v>0</v>
      </c>
      <c r="AA295" s="179">
        <f ca="1">IF(ISNUMBER(MATCH(DATEVALUE($A295),'recurring1_based on steps'!AA$1:AA$400,0)),AA$2,)</f>
        <v>0</v>
      </c>
      <c r="AB295" s="179">
        <f ca="1">IF(ISNUMBER(MATCH(DATEVALUE($A295),'recurring1_based on steps'!AB$1:AB$400,0)),AB$2,)</f>
        <v>0</v>
      </c>
      <c r="AC295" s="179">
        <f ca="1">IF(ISNUMBER(MATCH(DATEVALUE($A295),'recurring1_based on steps'!AC$1:AC$400,0)),AC$2,)</f>
        <v>0</v>
      </c>
      <c r="AD295" s="179">
        <f ca="1">IF(ISNUMBER(MATCH(DATEVALUE($A295),'recurring1_based on steps'!AD$1:AD$400,0)),AD$2,)</f>
        <v>0</v>
      </c>
      <c r="AE295" s="179">
        <f ca="1">IF(ISNUMBER(MATCH(DATEVALUE($A295),'recurring1_based on steps'!AE$1:AE$400,0)),AE$2,)</f>
        <v>0</v>
      </c>
      <c r="AF295" s="179">
        <f ca="1">IF(ISNUMBER(MATCH(DATEVALUE($A295),'recurring1_based on steps'!AF$1:AF$400,0)),AF$2,)</f>
        <v>0</v>
      </c>
      <c r="AG295" s="179">
        <f ca="1">IF(ISNUMBER(MATCH(DATEVALUE($A295),'recurring1_based on steps'!AG$1:AG$400,0)),AG$2,)</f>
        <v>0</v>
      </c>
      <c r="AH295" s="179">
        <f ca="1">IF(ISNUMBER(MATCH(DATEVALUE($A295),'recurring1_based on steps'!AH$1:AH$400,0)),AH$2,)</f>
        <v>0</v>
      </c>
      <c r="AI295" s="179">
        <f ca="1">IF(ISNUMBER(MATCH(DATEVALUE($A295),'recurring1_based on steps'!AI$1:AI$400,0)),AI$2,)</f>
        <v>0</v>
      </c>
      <c r="AJ295" s="179">
        <f ca="1">IF(ISNUMBER(MATCH(DATEVALUE($A295),'recurring1_based on steps'!AJ$1:AJ$400,0)),AJ$2,)</f>
        <v>0</v>
      </c>
      <c r="AK295" s="179">
        <f ca="1">IF(ISNUMBER(MATCH(DATEVALUE($A295),'recurring1_based on steps'!AK$1:AK$400,0)),AK$2,)</f>
        <v>0</v>
      </c>
      <c r="AL295" s="179">
        <f ca="1">IF(ISNUMBER(MATCH(DATEVALUE($A295),'recurring1_based on steps'!AL$1:AL$400,0)),AL$2,)</f>
        <v>0</v>
      </c>
      <c r="AM295" s="179">
        <f ca="1">IF(ISNUMBER(MATCH(DATEVALUE($A295),'recurring1_based on steps'!AM$1:AM$400,0)),AM$2,)</f>
        <v>0</v>
      </c>
      <c r="AN295" s="179">
        <f ca="1">IF(ISNUMBER(MATCH(DATEVALUE($A295),'recurring1_based on steps'!AN$1:AN$400,0)),AN$2,)</f>
        <v>0</v>
      </c>
      <c r="AO295" s="179">
        <f ca="1">IF(ISNUMBER(MATCH(DATEVALUE($A295),'recurring1_based on steps'!AO$1:AO$400,0)),AO$2,)</f>
        <v>0</v>
      </c>
      <c r="AP295" s="179">
        <f ca="1">IF(ISNUMBER(MATCH(DATEVALUE($A295),'recurring1_based on steps'!AP$1:AP$400,0)),AP$2,)</f>
        <v>0</v>
      </c>
      <c r="AQ295" s="179">
        <f ca="1">IF(ISNUMBER(MATCH(DATEVALUE($A295),'recurring1_based on steps'!AQ$1:AQ$400,0)),AQ$2,)</f>
        <v>0</v>
      </c>
      <c r="AR295" s="179">
        <f ca="1">IF(ISNUMBER(MATCH(DATEVALUE($A295),'recurring1_based on steps'!AR$1:AR$400,0)),AR$2,)</f>
        <v>0</v>
      </c>
      <c r="AS295" s="179">
        <f ca="1">IF(ISNUMBER(MATCH(DATEVALUE($A295),'recurring1_based on steps'!AS$1:AS$400,0)),AS$2,)</f>
        <v>0</v>
      </c>
      <c r="AT295" s="179">
        <f ca="1">IF(ISNUMBER(MATCH(DATEVALUE($A295),'recurring1_based on steps'!AT$1:AT$400,0)),AT$2,)</f>
        <v>0</v>
      </c>
      <c r="AU295" s="179">
        <f ca="1">IF(ISNUMBER(MATCH(DATEVALUE($A295),'recurring1_based on steps'!AU$1:AU$400,0)),AU$2,)</f>
        <v>0</v>
      </c>
      <c r="AV295" s="179">
        <f ca="1">IF(ISNUMBER(MATCH(DATEVALUE($A295),'recurring1_based on steps'!AV$1:AV$400,0)),AV$2,)</f>
        <v>0</v>
      </c>
      <c r="AW295" s="179">
        <f ca="1">IF(ISNUMBER(MATCH(DATEVALUE($A295),'recurring1_based on steps'!AW$1:AW$400,0)),AW$2,)</f>
        <v>0</v>
      </c>
      <c r="AX295" s="179">
        <f ca="1">IF(ISNUMBER(MATCH(DATEVALUE($A295),'recurring1_based on steps'!AX$1:AX$400,0)),AX$2,)</f>
        <v>0</v>
      </c>
      <c r="AY295" s="179">
        <f ca="1">IF(ISNUMBER(MATCH(DATEVALUE($A295),'recurring1_based on steps'!AY$1:AY$400,0)),AY$2,)</f>
        <v>0</v>
      </c>
    </row>
    <row r="296" spans="1:51" x14ac:dyDescent="0.2">
      <c r="A296" s="32" t="str">
        <f t="shared" ca="1" si="4"/>
        <v>2026-01-23</v>
      </c>
      <c r="B296" s="179">
        <f ca="1">IF(ISNUMBER(MATCH(DATEVALUE($A296),'recurring1_based on steps'!B$1:B$400,0)),B$2,)</f>
        <v>0</v>
      </c>
      <c r="C296" s="179">
        <f ca="1">IF(ISNUMBER(MATCH(DATEVALUE($A296),'recurring1_based on steps'!C$1:C$400,0)),C$2,)</f>
        <v>0</v>
      </c>
      <c r="D296" s="179">
        <f ca="1">IF(ISNUMBER(MATCH(DATEVALUE($A296),'recurring1_based on steps'!D$1:D$400,0)),D$2,)</f>
        <v>0</v>
      </c>
      <c r="E296" s="179">
        <f ca="1">IF(ISNUMBER(MATCH(DATEVALUE($A296),'recurring1_based on steps'!E$1:E$400,0)),E$2,)</f>
        <v>0</v>
      </c>
      <c r="F296" s="179">
        <f ca="1">IF(ISNUMBER(MATCH(DATEVALUE($A296),'recurring1_based on steps'!F$1:F$400,0)),F$2,)</f>
        <v>0</v>
      </c>
      <c r="G296" s="179">
        <f ca="1">IF(ISNUMBER(MATCH(DATEVALUE($A296),'recurring1_based on steps'!G$1:G$400,0)),G$2,)</f>
        <v>0</v>
      </c>
      <c r="H296" s="179">
        <f ca="1">IF(ISNUMBER(MATCH(DATEVALUE($A296),'recurring1_based on steps'!H$1:H$400,0)),H$2,)</f>
        <v>0</v>
      </c>
      <c r="I296" s="179">
        <f ca="1">IF(ISNUMBER(MATCH(DATEVALUE($A296),'recurring1_based on steps'!I$1:I$400,0)),I$2,)</f>
        <v>0</v>
      </c>
      <c r="J296" s="179">
        <f ca="1">IF(ISNUMBER(MATCH(DATEVALUE($A296),'recurring1_based on steps'!J$1:J$400,0)),J$2,)</f>
        <v>0</v>
      </c>
      <c r="K296" s="179">
        <f ca="1">IF(ISNUMBER(MATCH(DATEVALUE($A296),'recurring1_based on steps'!K$1:K$400,0)),K$2,)</f>
        <v>0</v>
      </c>
      <c r="L296" s="179">
        <f ca="1">IF(ISNUMBER(MATCH(DATEVALUE($A296),'recurring1_based on steps'!L$1:L$400,0)),L$2,)</f>
        <v>0</v>
      </c>
      <c r="M296" s="179">
        <f ca="1">IF(ISNUMBER(MATCH(DATEVALUE($A296),'recurring1_based on steps'!M$1:M$400,0)),M$2,)</f>
        <v>0</v>
      </c>
      <c r="N296" s="179">
        <f ca="1">IF(ISNUMBER(MATCH(DATEVALUE($A296),'recurring1_based on steps'!N$1:N$400,0)),N$2,)</f>
        <v>0</v>
      </c>
      <c r="O296" s="179">
        <f ca="1">IF(ISNUMBER(MATCH(DATEVALUE($A296),'recurring1_based on steps'!O$1:O$400,0)),O$2,)</f>
        <v>0</v>
      </c>
      <c r="P296" s="179">
        <f ca="1">IF(ISNUMBER(MATCH(DATEVALUE($A296),'recurring1_based on steps'!P$1:P$400,0)),P$2,)</f>
        <v>0</v>
      </c>
      <c r="Q296" s="179">
        <f ca="1">IF(ISNUMBER(MATCH(DATEVALUE($A296),'recurring1_based on steps'!Q$1:Q$400,0)),Q$2,)</f>
        <v>0</v>
      </c>
      <c r="R296" s="179">
        <f ca="1">IF(ISNUMBER(MATCH(DATEVALUE($A296),'recurring1_based on steps'!R$1:R$400,0)),R$2,)</f>
        <v>0</v>
      </c>
      <c r="S296" s="179">
        <f ca="1">IF(ISNUMBER(MATCH(DATEVALUE($A296),'recurring1_based on steps'!S$1:S$400,0)),S$2,)</f>
        <v>0</v>
      </c>
      <c r="T296" s="179">
        <f ca="1">IF(ISNUMBER(MATCH(DATEVALUE($A296),'recurring1_based on steps'!T$1:T$400,0)),T$2,)</f>
        <v>0</v>
      </c>
      <c r="U296" s="179">
        <f ca="1">IF(ISNUMBER(MATCH(DATEVALUE($A296),'recurring1_based on steps'!U$1:U$400,0)),U$2,)</f>
        <v>0</v>
      </c>
      <c r="V296" s="179">
        <f ca="1">IF(ISNUMBER(MATCH(DATEVALUE($A296),'recurring1_based on steps'!V$1:V$400,0)),V$2,)</f>
        <v>0</v>
      </c>
      <c r="W296" s="179">
        <f ca="1">IF(ISNUMBER(MATCH(DATEVALUE($A296),'recurring1_based on steps'!W$1:W$400,0)),W$2,)</f>
        <v>0</v>
      </c>
      <c r="X296" s="179">
        <f ca="1">IF(ISNUMBER(MATCH(DATEVALUE($A296),'recurring1_based on steps'!X$1:X$400,0)),X$2,)</f>
        <v>0</v>
      </c>
      <c r="Y296" s="179">
        <f ca="1">IF(ISNUMBER(MATCH(DATEVALUE($A296),'recurring1_based on steps'!Y$1:Y$400,0)),Y$2,)</f>
        <v>0</v>
      </c>
      <c r="Z296" s="179">
        <f ca="1">IF(ISNUMBER(MATCH(DATEVALUE($A296),'recurring1_based on steps'!Z$1:Z$400,0)),Z$2,)</f>
        <v>0</v>
      </c>
      <c r="AA296" s="179">
        <f ca="1">IF(ISNUMBER(MATCH(DATEVALUE($A296),'recurring1_based on steps'!AA$1:AA$400,0)),AA$2,)</f>
        <v>0</v>
      </c>
      <c r="AB296" s="179">
        <f ca="1">IF(ISNUMBER(MATCH(DATEVALUE($A296),'recurring1_based on steps'!AB$1:AB$400,0)),AB$2,)</f>
        <v>0</v>
      </c>
      <c r="AC296" s="179">
        <f ca="1">IF(ISNUMBER(MATCH(DATEVALUE($A296),'recurring1_based on steps'!AC$1:AC$400,0)),AC$2,)</f>
        <v>0</v>
      </c>
      <c r="AD296" s="179">
        <f ca="1">IF(ISNUMBER(MATCH(DATEVALUE($A296),'recurring1_based on steps'!AD$1:AD$400,0)),AD$2,)</f>
        <v>0</v>
      </c>
      <c r="AE296" s="179">
        <f ca="1">IF(ISNUMBER(MATCH(DATEVALUE($A296),'recurring1_based on steps'!AE$1:AE$400,0)),AE$2,)</f>
        <v>0</v>
      </c>
      <c r="AF296" s="179">
        <f ca="1">IF(ISNUMBER(MATCH(DATEVALUE($A296),'recurring1_based on steps'!AF$1:AF$400,0)),AF$2,)</f>
        <v>0</v>
      </c>
      <c r="AG296" s="179">
        <f ca="1">IF(ISNUMBER(MATCH(DATEVALUE($A296),'recurring1_based on steps'!AG$1:AG$400,0)),AG$2,)</f>
        <v>0</v>
      </c>
      <c r="AH296" s="179">
        <f ca="1">IF(ISNUMBER(MATCH(DATEVALUE($A296),'recurring1_based on steps'!AH$1:AH$400,0)),AH$2,)</f>
        <v>0</v>
      </c>
      <c r="AI296" s="179">
        <f ca="1">IF(ISNUMBER(MATCH(DATEVALUE($A296),'recurring1_based on steps'!AI$1:AI$400,0)),AI$2,)</f>
        <v>0</v>
      </c>
      <c r="AJ296" s="179">
        <f ca="1">IF(ISNUMBER(MATCH(DATEVALUE($A296),'recurring1_based on steps'!AJ$1:AJ$400,0)),AJ$2,)</f>
        <v>0</v>
      </c>
      <c r="AK296" s="179">
        <f ca="1">IF(ISNUMBER(MATCH(DATEVALUE($A296),'recurring1_based on steps'!AK$1:AK$400,0)),AK$2,)</f>
        <v>0</v>
      </c>
      <c r="AL296" s="179">
        <f ca="1">IF(ISNUMBER(MATCH(DATEVALUE($A296),'recurring1_based on steps'!AL$1:AL$400,0)),AL$2,)</f>
        <v>0</v>
      </c>
      <c r="AM296" s="179">
        <f ca="1">IF(ISNUMBER(MATCH(DATEVALUE($A296),'recurring1_based on steps'!AM$1:AM$400,0)),AM$2,)</f>
        <v>0</v>
      </c>
      <c r="AN296" s="179">
        <f ca="1">IF(ISNUMBER(MATCH(DATEVALUE($A296),'recurring1_based on steps'!AN$1:AN$400,0)),AN$2,)</f>
        <v>0</v>
      </c>
      <c r="AO296" s="179">
        <f ca="1">IF(ISNUMBER(MATCH(DATEVALUE($A296),'recurring1_based on steps'!AO$1:AO$400,0)),AO$2,)</f>
        <v>0</v>
      </c>
      <c r="AP296" s="179">
        <f ca="1">IF(ISNUMBER(MATCH(DATEVALUE($A296),'recurring1_based on steps'!AP$1:AP$400,0)),AP$2,)</f>
        <v>0</v>
      </c>
      <c r="AQ296" s="179">
        <f ca="1">IF(ISNUMBER(MATCH(DATEVALUE($A296),'recurring1_based on steps'!AQ$1:AQ$400,0)),AQ$2,)</f>
        <v>0</v>
      </c>
      <c r="AR296" s="179">
        <f ca="1">IF(ISNUMBER(MATCH(DATEVALUE($A296),'recurring1_based on steps'!AR$1:AR$400,0)),AR$2,)</f>
        <v>0</v>
      </c>
      <c r="AS296" s="179">
        <f ca="1">IF(ISNUMBER(MATCH(DATEVALUE($A296),'recurring1_based on steps'!AS$1:AS$400,0)),AS$2,)</f>
        <v>0</v>
      </c>
      <c r="AT296" s="179">
        <f ca="1">IF(ISNUMBER(MATCH(DATEVALUE($A296),'recurring1_based on steps'!AT$1:AT$400,0)),AT$2,)</f>
        <v>0</v>
      </c>
      <c r="AU296" s="179">
        <f ca="1">IF(ISNUMBER(MATCH(DATEVALUE($A296),'recurring1_based on steps'!AU$1:AU$400,0)),AU$2,)</f>
        <v>0</v>
      </c>
      <c r="AV296" s="179">
        <f ca="1">IF(ISNUMBER(MATCH(DATEVALUE($A296),'recurring1_based on steps'!AV$1:AV$400,0)),AV$2,)</f>
        <v>0</v>
      </c>
      <c r="AW296" s="179">
        <f ca="1">IF(ISNUMBER(MATCH(DATEVALUE($A296),'recurring1_based on steps'!AW$1:AW$400,0)),AW$2,)</f>
        <v>0</v>
      </c>
      <c r="AX296" s="179">
        <f ca="1">IF(ISNUMBER(MATCH(DATEVALUE($A296),'recurring1_based on steps'!AX$1:AX$400,0)),AX$2,)</f>
        <v>0</v>
      </c>
      <c r="AY296" s="179">
        <f ca="1">IF(ISNUMBER(MATCH(DATEVALUE($A296),'recurring1_based on steps'!AY$1:AY$400,0)),AY$2,)</f>
        <v>0</v>
      </c>
    </row>
    <row r="297" spans="1:51" x14ac:dyDescent="0.2">
      <c r="A297" s="32" t="str">
        <f t="shared" ca="1" si="4"/>
        <v>2026-01-24</v>
      </c>
      <c r="B297" s="179">
        <f ca="1">IF(ISNUMBER(MATCH(DATEVALUE($A297),'recurring1_based on steps'!B$1:B$400,0)),B$2,)</f>
        <v>0</v>
      </c>
      <c r="C297" s="179">
        <f ca="1">IF(ISNUMBER(MATCH(DATEVALUE($A297),'recurring1_based on steps'!C$1:C$400,0)),C$2,)</f>
        <v>0</v>
      </c>
      <c r="D297" s="179">
        <f ca="1">IF(ISNUMBER(MATCH(DATEVALUE($A297),'recurring1_based on steps'!D$1:D$400,0)),D$2,)</f>
        <v>0</v>
      </c>
      <c r="E297" s="179">
        <f ca="1">IF(ISNUMBER(MATCH(DATEVALUE($A297),'recurring1_based on steps'!E$1:E$400,0)),E$2,)</f>
        <v>0</v>
      </c>
      <c r="F297" s="179">
        <f ca="1">IF(ISNUMBER(MATCH(DATEVALUE($A297),'recurring1_based on steps'!F$1:F$400,0)),F$2,)</f>
        <v>0</v>
      </c>
      <c r="G297" s="179">
        <f ca="1">IF(ISNUMBER(MATCH(DATEVALUE($A297),'recurring1_based on steps'!G$1:G$400,0)),G$2,)</f>
        <v>0</v>
      </c>
      <c r="H297" s="179">
        <f ca="1">IF(ISNUMBER(MATCH(DATEVALUE($A297),'recurring1_based on steps'!H$1:H$400,0)),H$2,)</f>
        <v>0</v>
      </c>
      <c r="I297" s="179">
        <f ca="1">IF(ISNUMBER(MATCH(DATEVALUE($A297),'recurring1_based on steps'!I$1:I$400,0)),I$2,)</f>
        <v>0</v>
      </c>
      <c r="J297" s="179">
        <f ca="1">IF(ISNUMBER(MATCH(DATEVALUE($A297),'recurring1_based on steps'!J$1:J$400,0)),J$2,)</f>
        <v>0</v>
      </c>
      <c r="K297" s="179">
        <f ca="1">IF(ISNUMBER(MATCH(DATEVALUE($A297),'recurring1_based on steps'!K$1:K$400,0)),K$2,)</f>
        <v>0</v>
      </c>
      <c r="L297" s="179">
        <f ca="1">IF(ISNUMBER(MATCH(DATEVALUE($A297),'recurring1_based on steps'!L$1:L$400,0)),L$2,)</f>
        <v>0</v>
      </c>
      <c r="M297" s="179">
        <f ca="1">IF(ISNUMBER(MATCH(DATEVALUE($A297),'recurring1_based on steps'!M$1:M$400,0)),M$2,)</f>
        <v>0</v>
      </c>
      <c r="N297" s="179">
        <f ca="1">IF(ISNUMBER(MATCH(DATEVALUE($A297),'recurring1_based on steps'!N$1:N$400,0)),N$2,)</f>
        <v>0</v>
      </c>
      <c r="O297" s="179">
        <f ca="1">IF(ISNUMBER(MATCH(DATEVALUE($A297),'recurring1_based on steps'!O$1:O$400,0)),O$2,)</f>
        <v>0</v>
      </c>
      <c r="P297" s="179">
        <f ca="1">IF(ISNUMBER(MATCH(DATEVALUE($A297),'recurring1_based on steps'!P$1:P$400,0)),P$2,)</f>
        <v>0</v>
      </c>
      <c r="Q297" s="179">
        <f ca="1">IF(ISNUMBER(MATCH(DATEVALUE($A297),'recurring1_based on steps'!Q$1:Q$400,0)),Q$2,)</f>
        <v>0</v>
      </c>
      <c r="R297" s="179">
        <f ca="1">IF(ISNUMBER(MATCH(DATEVALUE($A297),'recurring1_based on steps'!R$1:R$400,0)),R$2,)</f>
        <v>0</v>
      </c>
      <c r="S297" s="179">
        <f ca="1">IF(ISNUMBER(MATCH(DATEVALUE($A297),'recurring1_based on steps'!S$1:S$400,0)),S$2,)</f>
        <v>0</v>
      </c>
      <c r="T297" s="179">
        <f ca="1">IF(ISNUMBER(MATCH(DATEVALUE($A297),'recurring1_based on steps'!T$1:T$400,0)),T$2,)</f>
        <v>0</v>
      </c>
      <c r="U297" s="179">
        <f ca="1">IF(ISNUMBER(MATCH(DATEVALUE($A297),'recurring1_based on steps'!U$1:U$400,0)),U$2,)</f>
        <v>0</v>
      </c>
      <c r="V297" s="179">
        <f ca="1">IF(ISNUMBER(MATCH(DATEVALUE($A297),'recurring1_based on steps'!V$1:V$400,0)),V$2,)</f>
        <v>0</v>
      </c>
      <c r="W297" s="179">
        <f ca="1">IF(ISNUMBER(MATCH(DATEVALUE($A297),'recurring1_based on steps'!W$1:W$400,0)),W$2,)</f>
        <v>0</v>
      </c>
      <c r="X297" s="179">
        <f ca="1">IF(ISNUMBER(MATCH(DATEVALUE($A297),'recurring1_based on steps'!X$1:X$400,0)),X$2,)</f>
        <v>0</v>
      </c>
      <c r="Y297" s="179">
        <f ca="1">IF(ISNUMBER(MATCH(DATEVALUE($A297),'recurring1_based on steps'!Y$1:Y$400,0)),Y$2,)</f>
        <v>0</v>
      </c>
      <c r="Z297" s="179">
        <f ca="1">IF(ISNUMBER(MATCH(DATEVALUE($A297),'recurring1_based on steps'!Z$1:Z$400,0)),Z$2,)</f>
        <v>0</v>
      </c>
      <c r="AA297" s="179">
        <f ca="1">IF(ISNUMBER(MATCH(DATEVALUE($A297),'recurring1_based on steps'!AA$1:AA$400,0)),AA$2,)</f>
        <v>0</v>
      </c>
      <c r="AB297" s="179">
        <f ca="1">IF(ISNUMBER(MATCH(DATEVALUE($A297),'recurring1_based on steps'!AB$1:AB$400,0)),AB$2,)</f>
        <v>0</v>
      </c>
      <c r="AC297" s="179">
        <f ca="1">IF(ISNUMBER(MATCH(DATEVALUE($A297),'recurring1_based on steps'!AC$1:AC$400,0)),AC$2,)</f>
        <v>0</v>
      </c>
      <c r="AD297" s="179">
        <f ca="1">IF(ISNUMBER(MATCH(DATEVALUE($A297),'recurring1_based on steps'!AD$1:AD$400,0)),AD$2,)</f>
        <v>0</v>
      </c>
      <c r="AE297" s="179">
        <f ca="1">IF(ISNUMBER(MATCH(DATEVALUE($A297),'recurring1_based on steps'!AE$1:AE$400,0)),AE$2,)</f>
        <v>0</v>
      </c>
      <c r="AF297" s="179">
        <f ca="1">IF(ISNUMBER(MATCH(DATEVALUE($A297),'recurring1_based on steps'!AF$1:AF$400,0)),AF$2,)</f>
        <v>0</v>
      </c>
      <c r="AG297" s="179">
        <f ca="1">IF(ISNUMBER(MATCH(DATEVALUE($A297),'recurring1_based on steps'!AG$1:AG$400,0)),AG$2,)</f>
        <v>0</v>
      </c>
      <c r="AH297" s="179">
        <f ca="1">IF(ISNUMBER(MATCH(DATEVALUE($A297),'recurring1_based on steps'!AH$1:AH$400,0)),AH$2,)</f>
        <v>0</v>
      </c>
      <c r="AI297" s="179">
        <f ca="1">IF(ISNUMBER(MATCH(DATEVALUE($A297),'recurring1_based on steps'!AI$1:AI$400,0)),AI$2,)</f>
        <v>0</v>
      </c>
      <c r="AJ297" s="179">
        <f ca="1">IF(ISNUMBER(MATCH(DATEVALUE($A297),'recurring1_based on steps'!AJ$1:AJ$400,0)),AJ$2,)</f>
        <v>0</v>
      </c>
      <c r="AK297" s="179">
        <f ca="1">IF(ISNUMBER(MATCH(DATEVALUE($A297),'recurring1_based on steps'!AK$1:AK$400,0)),AK$2,)</f>
        <v>0</v>
      </c>
      <c r="AL297" s="179">
        <f ca="1">IF(ISNUMBER(MATCH(DATEVALUE($A297),'recurring1_based on steps'!AL$1:AL$400,0)),AL$2,)</f>
        <v>0</v>
      </c>
      <c r="AM297" s="179">
        <f ca="1">IF(ISNUMBER(MATCH(DATEVALUE($A297),'recurring1_based on steps'!AM$1:AM$400,0)),AM$2,)</f>
        <v>0</v>
      </c>
      <c r="AN297" s="179">
        <f ca="1">IF(ISNUMBER(MATCH(DATEVALUE($A297),'recurring1_based on steps'!AN$1:AN$400,0)),AN$2,)</f>
        <v>0</v>
      </c>
      <c r="AO297" s="179">
        <f ca="1">IF(ISNUMBER(MATCH(DATEVALUE($A297),'recurring1_based on steps'!AO$1:AO$400,0)),AO$2,)</f>
        <v>0</v>
      </c>
      <c r="AP297" s="179">
        <f ca="1">IF(ISNUMBER(MATCH(DATEVALUE($A297),'recurring1_based on steps'!AP$1:AP$400,0)),AP$2,)</f>
        <v>0</v>
      </c>
      <c r="AQ297" s="179">
        <f ca="1">IF(ISNUMBER(MATCH(DATEVALUE($A297),'recurring1_based on steps'!AQ$1:AQ$400,0)),AQ$2,)</f>
        <v>0</v>
      </c>
      <c r="AR297" s="179">
        <f ca="1">IF(ISNUMBER(MATCH(DATEVALUE($A297),'recurring1_based on steps'!AR$1:AR$400,0)),AR$2,)</f>
        <v>0</v>
      </c>
      <c r="AS297" s="179">
        <f ca="1">IF(ISNUMBER(MATCH(DATEVALUE($A297),'recurring1_based on steps'!AS$1:AS$400,0)),AS$2,)</f>
        <v>0</v>
      </c>
      <c r="AT297" s="179">
        <f ca="1">IF(ISNUMBER(MATCH(DATEVALUE($A297),'recurring1_based on steps'!AT$1:AT$400,0)),AT$2,)</f>
        <v>0</v>
      </c>
      <c r="AU297" s="179">
        <f ca="1">IF(ISNUMBER(MATCH(DATEVALUE($A297),'recurring1_based on steps'!AU$1:AU$400,0)),AU$2,)</f>
        <v>0</v>
      </c>
      <c r="AV297" s="179">
        <f ca="1">IF(ISNUMBER(MATCH(DATEVALUE($A297),'recurring1_based on steps'!AV$1:AV$400,0)),AV$2,)</f>
        <v>0</v>
      </c>
      <c r="AW297" s="179">
        <f ca="1">IF(ISNUMBER(MATCH(DATEVALUE($A297),'recurring1_based on steps'!AW$1:AW$400,0)),AW$2,)</f>
        <v>0</v>
      </c>
      <c r="AX297" s="179">
        <f ca="1">IF(ISNUMBER(MATCH(DATEVALUE($A297),'recurring1_based on steps'!AX$1:AX$400,0)),AX$2,)</f>
        <v>0</v>
      </c>
      <c r="AY297" s="179">
        <f ca="1">IF(ISNUMBER(MATCH(DATEVALUE($A297),'recurring1_based on steps'!AY$1:AY$400,0)),AY$2,)</f>
        <v>0</v>
      </c>
    </row>
    <row r="298" spans="1:51" x14ac:dyDescent="0.2">
      <c r="A298" s="32" t="str">
        <f t="shared" ca="1" si="4"/>
        <v>2026-01-25</v>
      </c>
      <c r="B298" s="179">
        <f ca="1">IF(ISNUMBER(MATCH(DATEVALUE($A298),'recurring1_based on steps'!B$1:B$400,0)),B$2,)</f>
        <v>0</v>
      </c>
      <c r="C298" s="179">
        <f ca="1">IF(ISNUMBER(MATCH(DATEVALUE($A298),'recurring1_based on steps'!C$1:C$400,0)),C$2,)</f>
        <v>0</v>
      </c>
      <c r="D298" s="179">
        <f ca="1">IF(ISNUMBER(MATCH(DATEVALUE($A298),'recurring1_based on steps'!D$1:D$400,0)),D$2,)</f>
        <v>0</v>
      </c>
      <c r="E298" s="179">
        <f ca="1">IF(ISNUMBER(MATCH(DATEVALUE($A298),'recurring1_based on steps'!E$1:E$400,0)),E$2,)</f>
        <v>0</v>
      </c>
      <c r="F298" s="179">
        <f ca="1">IF(ISNUMBER(MATCH(DATEVALUE($A298),'recurring1_based on steps'!F$1:F$400,0)),F$2,)</f>
        <v>0</v>
      </c>
      <c r="G298" s="179">
        <f ca="1">IF(ISNUMBER(MATCH(DATEVALUE($A298),'recurring1_based on steps'!G$1:G$400,0)),G$2,)</f>
        <v>0</v>
      </c>
      <c r="H298" s="179">
        <f ca="1">IF(ISNUMBER(MATCH(DATEVALUE($A298),'recurring1_based on steps'!H$1:H$400,0)),H$2,)</f>
        <v>0</v>
      </c>
      <c r="I298" s="179">
        <f ca="1">IF(ISNUMBER(MATCH(DATEVALUE($A298),'recurring1_based on steps'!I$1:I$400,0)),I$2,)</f>
        <v>0</v>
      </c>
      <c r="J298" s="179">
        <f ca="1">IF(ISNUMBER(MATCH(DATEVALUE($A298),'recurring1_based on steps'!J$1:J$400,0)),J$2,)</f>
        <v>0</v>
      </c>
      <c r="K298" s="179">
        <f ca="1">IF(ISNUMBER(MATCH(DATEVALUE($A298),'recurring1_based on steps'!K$1:K$400,0)),K$2,)</f>
        <v>0</v>
      </c>
      <c r="L298" s="179">
        <f ca="1">IF(ISNUMBER(MATCH(DATEVALUE($A298),'recurring1_based on steps'!L$1:L$400,0)),L$2,)</f>
        <v>0</v>
      </c>
      <c r="M298" s="179">
        <f ca="1">IF(ISNUMBER(MATCH(DATEVALUE($A298),'recurring1_based on steps'!M$1:M$400,0)),M$2,)</f>
        <v>0</v>
      </c>
      <c r="N298" s="179">
        <f ca="1">IF(ISNUMBER(MATCH(DATEVALUE($A298),'recurring1_based on steps'!N$1:N$400,0)),N$2,)</f>
        <v>0</v>
      </c>
      <c r="O298" s="179">
        <f ca="1">IF(ISNUMBER(MATCH(DATEVALUE($A298),'recurring1_based on steps'!O$1:O$400,0)),O$2,)</f>
        <v>0</v>
      </c>
      <c r="P298" s="179">
        <f ca="1">IF(ISNUMBER(MATCH(DATEVALUE($A298),'recurring1_based on steps'!P$1:P$400,0)),P$2,)</f>
        <v>0</v>
      </c>
      <c r="Q298" s="179">
        <f ca="1">IF(ISNUMBER(MATCH(DATEVALUE($A298),'recurring1_based on steps'!Q$1:Q$400,0)),Q$2,)</f>
        <v>0</v>
      </c>
      <c r="R298" s="179">
        <f ca="1">IF(ISNUMBER(MATCH(DATEVALUE($A298),'recurring1_based on steps'!R$1:R$400,0)),R$2,)</f>
        <v>0</v>
      </c>
      <c r="S298" s="179">
        <f ca="1">IF(ISNUMBER(MATCH(DATEVALUE($A298),'recurring1_based on steps'!S$1:S$400,0)),S$2,)</f>
        <v>0</v>
      </c>
      <c r="T298" s="179">
        <f ca="1">IF(ISNUMBER(MATCH(DATEVALUE($A298),'recurring1_based on steps'!T$1:T$400,0)),T$2,)</f>
        <v>0</v>
      </c>
      <c r="U298" s="179">
        <f ca="1">IF(ISNUMBER(MATCH(DATEVALUE($A298),'recurring1_based on steps'!U$1:U$400,0)),U$2,)</f>
        <v>0</v>
      </c>
      <c r="V298" s="179">
        <f ca="1">IF(ISNUMBER(MATCH(DATEVALUE($A298),'recurring1_based on steps'!V$1:V$400,0)),V$2,)</f>
        <v>0</v>
      </c>
      <c r="W298" s="179">
        <f ca="1">IF(ISNUMBER(MATCH(DATEVALUE($A298),'recurring1_based on steps'!W$1:W$400,0)),W$2,)</f>
        <v>0</v>
      </c>
      <c r="X298" s="179">
        <f ca="1">IF(ISNUMBER(MATCH(DATEVALUE($A298),'recurring1_based on steps'!X$1:X$400,0)),X$2,)</f>
        <v>0</v>
      </c>
      <c r="Y298" s="179">
        <f ca="1">IF(ISNUMBER(MATCH(DATEVALUE($A298),'recurring1_based on steps'!Y$1:Y$400,0)),Y$2,)</f>
        <v>0</v>
      </c>
      <c r="Z298" s="179">
        <f ca="1">IF(ISNUMBER(MATCH(DATEVALUE($A298),'recurring1_based on steps'!Z$1:Z$400,0)),Z$2,)</f>
        <v>0</v>
      </c>
      <c r="AA298" s="179">
        <f ca="1">IF(ISNUMBER(MATCH(DATEVALUE($A298),'recurring1_based on steps'!AA$1:AA$400,0)),AA$2,)</f>
        <v>0</v>
      </c>
      <c r="AB298" s="179">
        <f ca="1">IF(ISNUMBER(MATCH(DATEVALUE($A298),'recurring1_based on steps'!AB$1:AB$400,0)),AB$2,)</f>
        <v>0</v>
      </c>
      <c r="AC298" s="179">
        <f ca="1">IF(ISNUMBER(MATCH(DATEVALUE($A298),'recurring1_based on steps'!AC$1:AC$400,0)),AC$2,)</f>
        <v>0</v>
      </c>
      <c r="AD298" s="179">
        <f ca="1">IF(ISNUMBER(MATCH(DATEVALUE($A298),'recurring1_based on steps'!AD$1:AD$400,0)),AD$2,)</f>
        <v>0</v>
      </c>
      <c r="AE298" s="179">
        <f ca="1">IF(ISNUMBER(MATCH(DATEVALUE($A298),'recurring1_based on steps'!AE$1:AE$400,0)),AE$2,)</f>
        <v>0</v>
      </c>
      <c r="AF298" s="179">
        <f ca="1">IF(ISNUMBER(MATCH(DATEVALUE($A298),'recurring1_based on steps'!AF$1:AF$400,0)),AF$2,)</f>
        <v>0</v>
      </c>
      <c r="AG298" s="179">
        <f ca="1">IF(ISNUMBER(MATCH(DATEVALUE($A298),'recurring1_based on steps'!AG$1:AG$400,0)),AG$2,)</f>
        <v>0</v>
      </c>
      <c r="AH298" s="179">
        <f ca="1">IF(ISNUMBER(MATCH(DATEVALUE($A298),'recurring1_based on steps'!AH$1:AH$400,0)),AH$2,)</f>
        <v>0</v>
      </c>
      <c r="AI298" s="179">
        <f ca="1">IF(ISNUMBER(MATCH(DATEVALUE($A298),'recurring1_based on steps'!AI$1:AI$400,0)),AI$2,)</f>
        <v>0</v>
      </c>
      <c r="AJ298" s="179">
        <f ca="1">IF(ISNUMBER(MATCH(DATEVALUE($A298),'recurring1_based on steps'!AJ$1:AJ$400,0)),AJ$2,)</f>
        <v>0</v>
      </c>
      <c r="AK298" s="179">
        <f ca="1">IF(ISNUMBER(MATCH(DATEVALUE($A298),'recurring1_based on steps'!AK$1:AK$400,0)),AK$2,)</f>
        <v>0</v>
      </c>
      <c r="AL298" s="179">
        <f ca="1">IF(ISNUMBER(MATCH(DATEVALUE($A298),'recurring1_based on steps'!AL$1:AL$400,0)),AL$2,)</f>
        <v>0</v>
      </c>
      <c r="AM298" s="179">
        <f ca="1">IF(ISNUMBER(MATCH(DATEVALUE($A298),'recurring1_based on steps'!AM$1:AM$400,0)),AM$2,)</f>
        <v>0</v>
      </c>
      <c r="AN298" s="179">
        <f ca="1">IF(ISNUMBER(MATCH(DATEVALUE($A298),'recurring1_based on steps'!AN$1:AN$400,0)),AN$2,)</f>
        <v>0</v>
      </c>
      <c r="AO298" s="179">
        <f ca="1">IF(ISNUMBER(MATCH(DATEVALUE($A298),'recurring1_based on steps'!AO$1:AO$400,0)),AO$2,)</f>
        <v>0</v>
      </c>
      <c r="AP298" s="179">
        <f ca="1">IF(ISNUMBER(MATCH(DATEVALUE($A298),'recurring1_based on steps'!AP$1:AP$400,0)),AP$2,)</f>
        <v>0</v>
      </c>
      <c r="AQ298" s="179">
        <f ca="1">IF(ISNUMBER(MATCH(DATEVALUE($A298),'recurring1_based on steps'!AQ$1:AQ$400,0)),AQ$2,)</f>
        <v>0</v>
      </c>
      <c r="AR298" s="179">
        <f ca="1">IF(ISNUMBER(MATCH(DATEVALUE($A298),'recurring1_based on steps'!AR$1:AR$400,0)),AR$2,)</f>
        <v>0</v>
      </c>
      <c r="AS298" s="179">
        <f ca="1">IF(ISNUMBER(MATCH(DATEVALUE($A298),'recurring1_based on steps'!AS$1:AS$400,0)),AS$2,)</f>
        <v>0</v>
      </c>
      <c r="AT298" s="179">
        <f ca="1">IF(ISNUMBER(MATCH(DATEVALUE($A298),'recurring1_based on steps'!AT$1:AT$400,0)),AT$2,)</f>
        <v>0</v>
      </c>
      <c r="AU298" s="179">
        <f ca="1">IF(ISNUMBER(MATCH(DATEVALUE($A298),'recurring1_based on steps'!AU$1:AU$400,0)),AU$2,)</f>
        <v>0</v>
      </c>
      <c r="AV298" s="179">
        <f ca="1">IF(ISNUMBER(MATCH(DATEVALUE($A298),'recurring1_based on steps'!AV$1:AV$400,0)),AV$2,)</f>
        <v>0</v>
      </c>
      <c r="AW298" s="179">
        <f ca="1">IF(ISNUMBER(MATCH(DATEVALUE($A298),'recurring1_based on steps'!AW$1:AW$400,0)),AW$2,)</f>
        <v>0</v>
      </c>
      <c r="AX298" s="179">
        <f ca="1">IF(ISNUMBER(MATCH(DATEVALUE($A298),'recurring1_based on steps'!AX$1:AX$400,0)),AX$2,)</f>
        <v>0</v>
      </c>
      <c r="AY298" s="179">
        <f ca="1">IF(ISNUMBER(MATCH(DATEVALUE($A298),'recurring1_based on steps'!AY$1:AY$400,0)),AY$2,)</f>
        <v>0</v>
      </c>
    </row>
    <row r="299" spans="1:51" x14ac:dyDescent="0.2">
      <c r="A299" s="32" t="str">
        <f t="shared" ca="1" si="4"/>
        <v>2026-01-26</v>
      </c>
      <c r="B299" s="179">
        <f ca="1">IF(ISNUMBER(MATCH(DATEVALUE($A299),'recurring1_based on steps'!B$1:B$400,0)),B$2,)</f>
        <v>0</v>
      </c>
      <c r="C299" s="179">
        <f ca="1">IF(ISNUMBER(MATCH(DATEVALUE($A299),'recurring1_based on steps'!C$1:C$400,0)),C$2,)</f>
        <v>0</v>
      </c>
      <c r="D299" s="179">
        <f ca="1">IF(ISNUMBER(MATCH(DATEVALUE($A299),'recurring1_based on steps'!D$1:D$400,0)),D$2,)</f>
        <v>0</v>
      </c>
      <c r="E299" s="179">
        <f ca="1">IF(ISNUMBER(MATCH(DATEVALUE($A299),'recurring1_based on steps'!E$1:E$400,0)),E$2,)</f>
        <v>0</v>
      </c>
      <c r="F299" s="179">
        <f ca="1">IF(ISNUMBER(MATCH(DATEVALUE($A299),'recurring1_based on steps'!F$1:F$400,0)),F$2,)</f>
        <v>0</v>
      </c>
      <c r="G299" s="179">
        <f ca="1">IF(ISNUMBER(MATCH(DATEVALUE($A299),'recurring1_based on steps'!G$1:G$400,0)),G$2,)</f>
        <v>0</v>
      </c>
      <c r="H299" s="179">
        <f ca="1">IF(ISNUMBER(MATCH(DATEVALUE($A299),'recurring1_based on steps'!H$1:H$400,0)),H$2,)</f>
        <v>0</v>
      </c>
      <c r="I299" s="179">
        <f ca="1">IF(ISNUMBER(MATCH(DATEVALUE($A299),'recurring1_based on steps'!I$1:I$400,0)),I$2,)</f>
        <v>0</v>
      </c>
      <c r="J299" s="179">
        <f ca="1">IF(ISNUMBER(MATCH(DATEVALUE($A299),'recurring1_based on steps'!J$1:J$400,0)),J$2,)</f>
        <v>0</v>
      </c>
      <c r="K299" s="179">
        <f ca="1">IF(ISNUMBER(MATCH(DATEVALUE($A299),'recurring1_based on steps'!K$1:K$400,0)),K$2,)</f>
        <v>0</v>
      </c>
      <c r="L299" s="179">
        <f ca="1">IF(ISNUMBER(MATCH(DATEVALUE($A299),'recurring1_based on steps'!L$1:L$400,0)),L$2,)</f>
        <v>0</v>
      </c>
      <c r="M299" s="179">
        <f ca="1">IF(ISNUMBER(MATCH(DATEVALUE($A299),'recurring1_based on steps'!M$1:M$400,0)),M$2,)</f>
        <v>0</v>
      </c>
      <c r="N299" s="179">
        <f ca="1">IF(ISNUMBER(MATCH(DATEVALUE($A299),'recurring1_based on steps'!N$1:N$400,0)),N$2,)</f>
        <v>0</v>
      </c>
      <c r="O299" s="179">
        <f ca="1">IF(ISNUMBER(MATCH(DATEVALUE($A299),'recurring1_based on steps'!O$1:O$400,0)),O$2,)</f>
        <v>0</v>
      </c>
      <c r="P299" s="179">
        <f ca="1">IF(ISNUMBER(MATCH(DATEVALUE($A299),'recurring1_based on steps'!P$1:P$400,0)),P$2,)</f>
        <v>0</v>
      </c>
      <c r="Q299" s="179">
        <f ca="1">IF(ISNUMBER(MATCH(DATEVALUE($A299),'recurring1_based on steps'!Q$1:Q$400,0)),Q$2,)</f>
        <v>0</v>
      </c>
      <c r="R299" s="179">
        <f ca="1">IF(ISNUMBER(MATCH(DATEVALUE($A299),'recurring1_based on steps'!R$1:R$400,0)),R$2,)</f>
        <v>0</v>
      </c>
      <c r="S299" s="179">
        <f ca="1">IF(ISNUMBER(MATCH(DATEVALUE($A299),'recurring1_based on steps'!S$1:S$400,0)),S$2,)</f>
        <v>0</v>
      </c>
      <c r="T299" s="179">
        <f ca="1">IF(ISNUMBER(MATCH(DATEVALUE($A299),'recurring1_based on steps'!T$1:T$400,0)),T$2,)</f>
        <v>0</v>
      </c>
      <c r="U299" s="179">
        <f ca="1">IF(ISNUMBER(MATCH(DATEVALUE($A299),'recurring1_based on steps'!U$1:U$400,0)),U$2,)</f>
        <v>0</v>
      </c>
      <c r="V299" s="179">
        <f ca="1">IF(ISNUMBER(MATCH(DATEVALUE($A299),'recurring1_based on steps'!V$1:V$400,0)),V$2,)</f>
        <v>0</v>
      </c>
      <c r="W299" s="179">
        <f ca="1">IF(ISNUMBER(MATCH(DATEVALUE($A299),'recurring1_based on steps'!W$1:W$400,0)),W$2,)</f>
        <v>0</v>
      </c>
      <c r="X299" s="179">
        <f ca="1">IF(ISNUMBER(MATCH(DATEVALUE($A299),'recurring1_based on steps'!X$1:X$400,0)),X$2,)</f>
        <v>0</v>
      </c>
      <c r="Y299" s="179">
        <f ca="1">IF(ISNUMBER(MATCH(DATEVALUE($A299),'recurring1_based on steps'!Y$1:Y$400,0)),Y$2,)</f>
        <v>0</v>
      </c>
      <c r="Z299" s="179">
        <f ca="1">IF(ISNUMBER(MATCH(DATEVALUE($A299),'recurring1_based on steps'!Z$1:Z$400,0)),Z$2,)</f>
        <v>0</v>
      </c>
      <c r="AA299" s="179">
        <f ca="1">IF(ISNUMBER(MATCH(DATEVALUE($A299),'recurring1_based on steps'!AA$1:AA$400,0)),AA$2,)</f>
        <v>0</v>
      </c>
      <c r="AB299" s="179">
        <f ca="1">IF(ISNUMBER(MATCH(DATEVALUE($A299),'recurring1_based on steps'!AB$1:AB$400,0)),AB$2,)</f>
        <v>0</v>
      </c>
      <c r="AC299" s="179">
        <f ca="1">IF(ISNUMBER(MATCH(DATEVALUE($A299),'recurring1_based on steps'!AC$1:AC$400,0)),AC$2,)</f>
        <v>0</v>
      </c>
      <c r="AD299" s="179">
        <f ca="1">IF(ISNUMBER(MATCH(DATEVALUE($A299),'recurring1_based on steps'!AD$1:AD$400,0)),AD$2,)</f>
        <v>0</v>
      </c>
      <c r="AE299" s="179">
        <f ca="1">IF(ISNUMBER(MATCH(DATEVALUE($A299),'recurring1_based on steps'!AE$1:AE$400,0)),AE$2,)</f>
        <v>0</v>
      </c>
      <c r="AF299" s="179">
        <f ca="1">IF(ISNUMBER(MATCH(DATEVALUE($A299),'recurring1_based on steps'!AF$1:AF$400,0)),AF$2,)</f>
        <v>0</v>
      </c>
      <c r="AG299" s="179">
        <f ca="1">IF(ISNUMBER(MATCH(DATEVALUE($A299),'recurring1_based on steps'!AG$1:AG$400,0)),AG$2,)</f>
        <v>0</v>
      </c>
      <c r="AH299" s="179">
        <f ca="1">IF(ISNUMBER(MATCH(DATEVALUE($A299),'recurring1_based on steps'!AH$1:AH$400,0)),AH$2,)</f>
        <v>0</v>
      </c>
      <c r="AI299" s="179">
        <f ca="1">IF(ISNUMBER(MATCH(DATEVALUE($A299),'recurring1_based on steps'!AI$1:AI$400,0)),AI$2,)</f>
        <v>0</v>
      </c>
      <c r="AJ299" s="179">
        <f ca="1">IF(ISNUMBER(MATCH(DATEVALUE($A299),'recurring1_based on steps'!AJ$1:AJ$400,0)),AJ$2,)</f>
        <v>0</v>
      </c>
      <c r="AK299" s="179">
        <f ca="1">IF(ISNUMBER(MATCH(DATEVALUE($A299),'recurring1_based on steps'!AK$1:AK$400,0)),AK$2,)</f>
        <v>0</v>
      </c>
      <c r="AL299" s="179">
        <f ca="1">IF(ISNUMBER(MATCH(DATEVALUE($A299),'recurring1_based on steps'!AL$1:AL$400,0)),AL$2,)</f>
        <v>0</v>
      </c>
      <c r="AM299" s="179">
        <f ca="1">IF(ISNUMBER(MATCH(DATEVALUE($A299),'recurring1_based on steps'!AM$1:AM$400,0)),AM$2,)</f>
        <v>0</v>
      </c>
      <c r="AN299" s="179">
        <f ca="1">IF(ISNUMBER(MATCH(DATEVALUE($A299),'recurring1_based on steps'!AN$1:AN$400,0)),AN$2,)</f>
        <v>0</v>
      </c>
      <c r="AO299" s="179">
        <f ca="1">IF(ISNUMBER(MATCH(DATEVALUE($A299),'recurring1_based on steps'!AO$1:AO$400,0)),AO$2,)</f>
        <v>0</v>
      </c>
      <c r="AP299" s="179">
        <f ca="1">IF(ISNUMBER(MATCH(DATEVALUE($A299),'recurring1_based on steps'!AP$1:AP$400,0)),AP$2,)</f>
        <v>0</v>
      </c>
      <c r="AQ299" s="179">
        <f ca="1">IF(ISNUMBER(MATCH(DATEVALUE($A299),'recurring1_based on steps'!AQ$1:AQ$400,0)),AQ$2,)</f>
        <v>0</v>
      </c>
      <c r="AR299" s="179">
        <f ca="1">IF(ISNUMBER(MATCH(DATEVALUE($A299),'recurring1_based on steps'!AR$1:AR$400,0)),AR$2,)</f>
        <v>0</v>
      </c>
      <c r="AS299" s="179">
        <f ca="1">IF(ISNUMBER(MATCH(DATEVALUE($A299),'recurring1_based on steps'!AS$1:AS$400,0)),AS$2,)</f>
        <v>0</v>
      </c>
      <c r="AT299" s="179">
        <f ca="1">IF(ISNUMBER(MATCH(DATEVALUE($A299),'recurring1_based on steps'!AT$1:AT$400,0)),AT$2,)</f>
        <v>0</v>
      </c>
      <c r="AU299" s="179">
        <f ca="1">IF(ISNUMBER(MATCH(DATEVALUE($A299),'recurring1_based on steps'!AU$1:AU$400,0)),AU$2,)</f>
        <v>0</v>
      </c>
      <c r="AV299" s="179">
        <f ca="1">IF(ISNUMBER(MATCH(DATEVALUE($A299),'recurring1_based on steps'!AV$1:AV$400,0)),AV$2,)</f>
        <v>0</v>
      </c>
      <c r="AW299" s="179">
        <f ca="1">IF(ISNUMBER(MATCH(DATEVALUE($A299),'recurring1_based on steps'!AW$1:AW$400,0)),AW$2,)</f>
        <v>0</v>
      </c>
      <c r="AX299" s="179">
        <f ca="1">IF(ISNUMBER(MATCH(DATEVALUE($A299),'recurring1_based on steps'!AX$1:AX$400,0)),AX$2,)</f>
        <v>0</v>
      </c>
      <c r="AY299" s="179">
        <f ca="1">IF(ISNUMBER(MATCH(DATEVALUE($A299),'recurring1_based on steps'!AY$1:AY$400,0)),AY$2,)</f>
        <v>0</v>
      </c>
    </row>
    <row r="300" spans="1:51" x14ac:dyDescent="0.2">
      <c r="A300" s="32" t="str">
        <f t="shared" ca="1" si="4"/>
        <v>2026-01-27</v>
      </c>
      <c r="B300" s="179">
        <f ca="1">IF(ISNUMBER(MATCH(DATEVALUE($A300),'recurring1_based on steps'!B$1:B$400,0)),B$2,)</f>
        <v>0</v>
      </c>
      <c r="C300" s="179">
        <f ca="1">IF(ISNUMBER(MATCH(DATEVALUE($A300),'recurring1_based on steps'!C$1:C$400,0)),C$2,)</f>
        <v>0</v>
      </c>
      <c r="D300" s="179">
        <f ca="1">IF(ISNUMBER(MATCH(DATEVALUE($A300),'recurring1_based on steps'!D$1:D$400,0)),D$2,)</f>
        <v>0</v>
      </c>
      <c r="E300" s="179">
        <f ca="1">IF(ISNUMBER(MATCH(DATEVALUE($A300),'recurring1_based on steps'!E$1:E$400,0)),E$2,)</f>
        <v>0</v>
      </c>
      <c r="F300" s="179">
        <f ca="1">IF(ISNUMBER(MATCH(DATEVALUE($A300),'recurring1_based on steps'!F$1:F$400,0)),F$2,)</f>
        <v>0</v>
      </c>
      <c r="G300" s="179">
        <f ca="1">IF(ISNUMBER(MATCH(DATEVALUE($A300),'recurring1_based on steps'!G$1:G$400,0)),G$2,)</f>
        <v>0</v>
      </c>
      <c r="H300" s="179">
        <f ca="1">IF(ISNUMBER(MATCH(DATEVALUE($A300),'recurring1_based on steps'!H$1:H$400,0)),H$2,)</f>
        <v>0</v>
      </c>
      <c r="I300" s="179">
        <f ca="1">IF(ISNUMBER(MATCH(DATEVALUE($A300),'recurring1_based on steps'!I$1:I$400,0)),I$2,)</f>
        <v>0</v>
      </c>
      <c r="J300" s="179">
        <f ca="1">IF(ISNUMBER(MATCH(DATEVALUE($A300),'recurring1_based on steps'!J$1:J$400,0)),J$2,)</f>
        <v>0</v>
      </c>
      <c r="K300" s="179">
        <f ca="1">IF(ISNUMBER(MATCH(DATEVALUE($A300),'recurring1_based on steps'!K$1:K$400,0)),K$2,)</f>
        <v>0</v>
      </c>
      <c r="L300" s="179">
        <f ca="1">IF(ISNUMBER(MATCH(DATEVALUE($A300),'recurring1_based on steps'!L$1:L$400,0)),L$2,)</f>
        <v>0</v>
      </c>
      <c r="M300" s="179">
        <f ca="1">IF(ISNUMBER(MATCH(DATEVALUE($A300),'recurring1_based on steps'!M$1:M$400,0)),M$2,)</f>
        <v>0</v>
      </c>
      <c r="N300" s="179">
        <f ca="1">IF(ISNUMBER(MATCH(DATEVALUE($A300),'recurring1_based on steps'!N$1:N$400,0)),N$2,)</f>
        <v>0</v>
      </c>
      <c r="O300" s="179">
        <f ca="1">IF(ISNUMBER(MATCH(DATEVALUE($A300),'recurring1_based on steps'!O$1:O$400,0)),O$2,)</f>
        <v>0</v>
      </c>
      <c r="P300" s="179">
        <f ca="1">IF(ISNUMBER(MATCH(DATEVALUE($A300),'recurring1_based on steps'!P$1:P$400,0)),P$2,)</f>
        <v>0</v>
      </c>
      <c r="Q300" s="179">
        <f ca="1">IF(ISNUMBER(MATCH(DATEVALUE($A300),'recurring1_based on steps'!Q$1:Q$400,0)),Q$2,)</f>
        <v>0</v>
      </c>
      <c r="R300" s="179">
        <f ca="1">IF(ISNUMBER(MATCH(DATEVALUE($A300),'recurring1_based on steps'!R$1:R$400,0)),R$2,)</f>
        <v>0</v>
      </c>
      <c r="S300" s="179">
        <f ca="1">IF(ISNUMBER(MATCH(DATEVALUE($A300),'recurring1_based on steps'!S$1:S$400,0)),S$2,)</f>
        <v>0</v>
      </c>
      <c r="T300" s="179">
        <f ca="1">IF(ISNUMBER(MATCH(DATEVALUE($A300),'recurring1_based on steps'!T$1:T$400,0)),T$2,)</f>
        <v>0</v>
      </c>
      <c r="U300" s="179">
        <f ca="1">IF(ISNUMBER(MATCH(DATEVALUE($A300),'recurring1_based on steps'!U$1:U$400,0)),U$2,)</f>
        <v>0</v>
      </c>
      <c r="V300" s="179">
        <f ca="1">IF(ISNUMBER(MATCH(DATEVALUE($A300),'recurring1_based on steps'!V$1:V$400,0)),V$2,)</f>
        <v>0</v>
      </c>
      <c r="W300" s="179">
        <f ca="1">IF(ISNUMBER(MATCH(DATEVALUE($A300),'recurring1_based on steps'!W$1:W$400,0)),W$2,)</f>
        <v>0</v>
      </c>
      <c r="X300" s="179">
        <f ca="1">IF(ISNUMBER(MATCH(DATEVALUE($A300),'recurring1_based on steps'!X$1:X$400,0)),X$2,)</f>
        <v>0</v>
      </c>
      <c r="Y300" s="179">
        <f ca="1">IF(ISNUMBER(MATCH(DATEVALUE($A300),'recurring1_based on steps'!Y$1:Y$400,0)),Y$2,)</f>
        <v>0</v>
      </c>
      <c r="Z300" s="179">
        <f ca="1">IF(ISNUMBER(MATCH(DATEVALUE($A300),'recurring1_based on steps'!Z$1:Z$400,0)),Z$2,)</f>
        <v>0</v>
      </c>
      <c r="AA300" s="179">
        <f ca="1">IF(ISNUMBER(MATCH(DATEVALUE($A300),'recurring1_based on steps'!AA$1:AA$400,0)),AA$2,)</f>
        <v>0</v>
      </c>
      <c r="AB300" s="179">
        <f ca="1">IF(ISNUMBER(MATCH(DATEVALUE($A300),'recurring1_based on steps'!AB$1:AB$400,0)),AB$2,)</f>
        <v>0</v>
      </c>
      <c r="AC300" s="179">
        <f ca="1">IF(ISNUMBER(MATCH(DATEVALUE($A300),'recurring1_based on steps'!AC$1:AC$400,0)),AC$2,)</f>
        <v>0</v>
      </c>
      <c r="AD300" s="179">
        <f ca="1">IF(ISNUMBER(MATCH(DATEVALUE($A300),'recurring1_based on steps'!AD$1:AD$400,0)),AD$2,)</f>
        <v>0</v>
      </c>
      <c r="AE300" s="179">
        <f ca="1">IF(ISNUMBER(MATCH(DATEVALUE($A300),'recurring1_based on steps'!AE$1:AE$400,0)),AE$2,)</f>
        <v>0</v>
      </c>
      <c r="AF300" s="179">
        <f ca="1">IF(ISNUMBER(MATCH(DATEVALUE($A300),'recurring1_based on steps'!AF$1:AF$400,0)),AF$2,)</f>
        <v>0</v>
      </c>
      <c r="AG300" s="179">
        <f ca="1">IF(ISNUMBER(MATCH(DATEVALUE($A300),'recurring1_based on steps'!AG$1:AG$400,0)),AG$2,)</f>
        <v>0</v>
      </c>
      <c r="AH300" s="179">
        <f ca="1">IF(ISNUMBER(MATCH(DATEVALUE($A300),'recurring1_based on steps'!AH$1:AH$400,0)),AH$2,)</f>
        <v>0</v>
      </c>
      <c r="AI300" s="179">
        <f ca="1">IF(ISNUMBER(MATCH(DATEVALUE($A300),'recurring1_based on steps'!AI$1:AI$400,0)),AI$2,)</f>
        <v>0</v>
      </c>
      <c r="AJ300" s="179">
        <f ca="1">IF(ISNUMBER(MATCH(DATEVALUE($A300),'recurring1_based on steps'!AJ$1:AJ$400,0)),AJ$2,)</f>
        <v>0</v>
      </c>
      <c r="AK300" s="179">
        <f ca="1">IF(ISNUMBER(MATCH(DATEVALUE($A300),'recurring1_based on steps'!AK$1:AK$400,0)),AK$2,)</f>
        <v>0</v>
      </c>
      <c r="AL300" s="179">
        <f ca="1">IF(ISNUMBER(MATCH(DATEVALUE($A300),'recurring1_based on steps'!AL$1:AL$400,0)),AL$2,)</f>
        <v>0</v>
      </c>
      <c r="AM300" s="179">
        <f ca="1">IF(ISNUMBER(MATCH(DATEVALUE($A300),'recurring1_based on steps'!AM$1:AM$400,0)),AM$2,)</f>
        <v>0</v>
      </c>
      <c r="AN300" s="179">
        <f ca="1">IF(ISNUMBER(MATCH(DATEVALUE($A300),'recurring1_based on steps'!AN$1:AN$400,0)),AN$2,)</f>
        <v>0</v>
      </c>
      <c r="AO300" s="179">
        <f ca="1">IF(ISNUMBER(MATCH(DATEVALUE($A300),'recurring1_based on steps'!AO$1:AO$400,0)),AO$2,)</f>
        <v>0</v>
      </c>
      <c r="AP300" s="179">
        <f ca="1">IF(ISNUMBER(MATCH(DATEVALUE($A300),'recurring1_based on steps'!AP$1:AP$400,0)),AP$2,)</f>
        <v>0</v>
      </c>
      <c r="AQ300" s="179">
        <f ca="1">IF(ISNUMBER(MATCH(DATEVALUE($A300),'recurring1_based on steps'!AQ$1:AQ$400,0)),AQ$2,)</f>
        <v>0</v>
      </c>
      <c r="AR300" s="179">
        <f ca="1">IF(ISNUMBER(MATCH(DATEVALUE($A300),'recurring1_based on steps'!AR$1:AR$400,0)),AR$2,)</f>
        <v>0</v>
      </c>
      <c r="AS300" s="179">
        <f ca="1">IF(ISNUMBER(MATCH(DATEVALUE($A300),'recurring1_based on steps'!AS$1:AS$400,0)),AS$2,)</f>
        <v>0</v>
      </c>
      <c r="AT300" s="179">
        <f ca="1">IF(ISNUMBER(MATCH(DATEVALUE($A300),'recurring1_based on steps'!AT$1:AT$400,0)),AT$2,)</f>
        <v>0</v>
      </c>
      <c r="AU300" s="179">
        <f ca="1">IF(ISNUMBER(MATCH(DATEVALUE($A300),'recurring1_based on steps'!AU$1:AU$400,0)),AU$2,)</f>
        <v>0</v>
      </c>
      <c r="AV300" s="179">
        <f ca="1">IF(ISNUMBER(MATCH(DATEVALUE($A300),'recurring1_based on steps'!AV$1:AV$400,0)),AV$2,)</f>
        <v>0</v>
      </c>
      <c r="AW300" s="179">
        <f ca="1">IF(ISNUMBER(MATCH(DATEVALUE($A300),'recurring1_based on steps'!AW$1:AW$400,0)),AW$2,)</f>
        <v>0</v>
      </c>
      <c r="AX300" s="179">
        <f ca="1">IF(ISNUMBER(MATCH(DATEVALUE($A300),'recurring1_based on steps'!AX$1:AX$400,0)),AX$2,)</f>
        <v>0</v>
      </c>
      <c r="AY300" s="179">
        <f ca="1">IF(ISNUMBER(MATCH(DATEVALUE($A300),'recurring1_based on steps'!AY$1:AY$400,0)),AY$2,)</f>
        <v>0</v>
      </c>
    </row>
    <row r="301" spans="1:51" x14ac:dyDescent="0.2">
      <c r="A301" s="32" t="str">
        <f t="shared" ca="1" si="4"/>
        <v>2026-01-28</v>
      </c>
      <c r="B301" s="179">
        <f ca="1">IF(ISNUMBER(MATCH(DATEVALUE($A301),'recurring1_based on steps'!B$1:B$400,0)),B$2,)</f>
        <v>0</v>
      </c>
      <c r="C301" s="179">
        <f ca="1">IF(ISNUMBER(MATCH(DATEVALUE($A301),'recurring1_based on steps'!C$1:C$400,0)),C$2,)</f>
        <v>0</v>
      </c>
      <c r="D301" s="179">
        <f ca="1">IF(ISNUMBER(MATCH(DATEVALUE($A301),'recurring1_based on steps'!D$1:D$400,0)),D$2,)</f>
        <v>0</v>
      </c>
      <c r="E301" s="179">
        <f ca="1">IF(ISNUMBER(MATCH(DATEVALUE($A301),'recurring1_based on steps'!E$1:E$400,0)),E$2,)</f>
        <v>0</v>
      </c>
      <c r="F301" s="179">
        <f ca="1">IF(ISNUMBER(MATCH(DATEVALUE($A301),'recurring1_based on steps'!F$1:F$400,0)),F$2,)</f>
        <v>0</v>
      </c>
      <c r="G301" s="179">
        <f ca="1">IF(ISNUMBER(MATCH(DATEVALUE($A301),'recurring1_based on steps'!G$1:G$400,0)),G$2,)</f>
        <v>0</v>
      </c>
      <c r="H301" s="179">
        <f ca="1">IF(ISNUMBER(MATCH(DATEVALUE($A301),'recurring1_based on steps'!H$1:H$400,0)),H$2,)</f>
        <v>0</v>
      </c>
      <c r="I301" s="179">
        <f ca="1">IF(ISNUMBER(MATCH(DATEVALUE($A301),'recurring1_based on steps'!I$1:I$400,0)),I$2,)</f>
        <v>0</v>
      </c>
      <c r="J301" s="179">
        <f ca="1">IF(ISNUMBER(MATCH(DATEVALUE($A301),'recurring1_based on steps'!J$1:J$400,0)),J$2,)</f>
        <v>0</v>
      </c>
      <c r="K301" s="179">
        <f ca="1">IF(ISNUMBER(MATCH(DATEVALUE($A301),'recurring1_based on steps'!K$1:K$400,0)),K$2,)</f>
        <v>0</v>
      </c>
      <c r="L301" s="179">
        <f ca="1">IF(ISNUMBER(MATCH(DATEVALUE($A301),'recurring1_based on steps'!L$1:L$400,0)),L$2,)</f>
        <v>0</v>
      </c>
      <c r="M301" s="179">
        <f ca="1">IF(ISNUMBER(MATCH(DATEVALUE($A301),'recurring1_based on steps'!M$1:M$400,0)),M$2,)</f>
        <v>0</v>
      </c>
      <c r="N301" s="179">
        <f ca="1">IF(ISNUMBER(MATCH(DATEVALUE($A301),'recurring1_based on steps'!N$1:N$400,0)),N$2,)</f>
        <v>0</v>
      </c>
      <c r="O301" s="179">
        <f ca="1">IF(ISNUMBER(MATCH(DATEVALUE($A301),'recurring1_based on steps'!O$1:O$400,0)),O$2,)</f>
        <v>0</v>
      </c>
      <c r="P301" s="179">
        <f ca="1">IF(ISNUMBER(MATCH(DATEVALUE($A301),'recurring1_based on steps'!P$1:P$400,0)),P$2,)</f>
        <v>0</v>
      </c>
      <c r="Q301" s="179">
        <f ca="1">IF(ISNUMBER(MATCH(DATEVALUE($A301),'recurring1_based on steps'!Q$1:Q$400,0)),Q$2,)</f>
        <v>0</v>
      </c>
      <c r="R301" s="179">
        <f ca="1">IF(ISNUMBER(MATCH(DATEVALUE($A301),'recurring1_based on steps'!R$1:R$400,0)),R$2,)</f>
        <v>0</v>
      </c>
      <c r="S301" s="179">
        <f ca="1">IF(ISNUMBER(MATCH(DATEVALUE($A301),'recurring1_based on steps'!S$1:S$400,0)),S$2,)</f>
        <v>0</v>
      </c>
      <c r="T301" s="179">
        <f ca="1">IF(ISNUMBER(MATCH(DATEVALUE($A301),'recurring1_based on steps'!T$1:T$400,0)),T$2,)</f>
        <v>0</v>
      </c>
      <c r="U301" s="179">
        <f ca="1">IF(ISNUMBER(MATCH(DATEVALUE($A301),'recurring1_based on steps'!U$1:U$400,0)),U$2,)</f>
        <v>0</v>
      </c>
      <c r="V301" s="179">
        <f ca="1">IF(ISNUMBER(MATCH(DATEVALUE($A301),'recurring1_based on steps'!V$1:V$400,0)),V$2,)</f>
        <v>0</v>
      </c>
      <c r="W301" s="179">
        <f ca="1">IF(ISNUMBER(MATCH(DATEVALUE($A301),'recurring1_based on steps'!W$1:W$400,0)),W$2,)</f>
        <v>0</v>
      </c>
      <c r="X301" s="179">
        <f ca="1">IF(ISNUMBER(MATCH(DATEVALUE($A301),'recurring1_based on steps'!X$1:X$400,0)),X$2,)</f>
        <v>0</v>
      </c>
      <c r="Y301" s="179">
        <f ca="1">IF(ISNUMBER(MATCH(DATEVALUE($A301),'recurring1_based on steps'!Y$1:Y$400,0)),Y$2,)</f>
        <v>0</v>
      </c>
      <c r="Z301" s="179">
        <f ca="1">IF(ISNUMBER(MATCH(DATEVALUE($A301),'recurring1_based on steps'!Z$1:Z$400,0)),Z$2,)</f>
        <v>0</v>
      </c>
      <c r="AA301" s="179">
        <f ca="1">IF(ISNUMBER(MATCH(DATEVALUE($A301),'recurring1_based on steps'!AA$1:AA$400,0)),AA$2,)</f>
        <v>0</v>
      </c>
      <c r="AB301" s="179">
        <f ca="1">IF(ISNUMBER(MATCH(DATEVALUE($A301),'recurring1_based on steps'!AB$1:AB$400,0)),AB$2,)</f>
        <v>0</v>
      </c>
      <c r="AC301" s="179">
        <f ca="1">IF(ISNUMBER(MATCH(DATEVALUE($A301),'recurring1_based on steps'!AC$1:AC$400,0)),AC$2,)</f>
        <v>0</v>
      </c>
      <c r="AD301" s="179">
        <f ca="1">IF(ISNUMBER(MATCH(DATEVALUE($A301),'recurring1_based on steps'!AD$1:AD$400,0)),AD$2,)</f>
        <v>0</v>
      </c>
      <c r="AE301" s="179">
        <f ca="1">IF(ISNUMBER(MATCH(DATEVALUE($A301),'recurring1_based on steps'!AE$1:AE$400,0)),AE$2,)</f>
        <v>0</v>
      </c>
      <c r="AF301" s="179">
        <f ca="1">IF(ISNUMBER(MATCH(DATEVALUE($A301),'recurring1_based on steps'!AF$1:AF$400,0)),AF$2,)</f>
        <v>0</v>
      </c>
      <c r="AG301" s="179">
        <f ca="1">IF(ISNUMBER(MATCH(DATEVALUE($A301),'recurring1_based on steps'!AG$1:AG$400,0)),AG$2,)</f>
        <v>0</v>
      </c>
      <c r="AH301" s="179">
        <f ca="1">IF(ISNUMBER(MATCH(DATEVALUE($A301),'recurring1_based on steps'!AH$1:AH$400,0)),AH$2,)</f>
        <v>0</v>
      </c>
      <c r="AI301" s="179">
        <f ca="1">IF(ISNUMBER(MATCH(DATEVALUE($A301),'recurring1_based on steps'!AI$1:AI$400,0)),AI$2,)</f>
        <v>0</v>
      </c>
      <c r="AJ301" s="179">
        <f ca="1">IF(ISNUMBER(MATCH(DATEVALUE($A301),'recurring1_based on steps'!AJ$1:AJ$400,0)),AJ$2,)</f>
        <v>0</v>
      </c>
      <c r="AK301" s="179">
        <f ca="1">IF(ISNUMBER(MATCH(DATEVALUE($A301),'recurring1_based on steps'!AK$1:AK$400,0)),AK$2,)</f>
        <v>0</v>
      </c>
      <c r="AL301" s="179">
        <f ca="1">IF(ISNUMBER(MATCH(DATEVALUE($A301),'recurring1_based on steps'!AL$1:AL$400,0)),AL$2,)</f>
        <v>0</v>
      </c>
      <c r="AM301" s="179">
        <f ca="1">IF(ISNUMBER(MATCH(DATEVALUE($A301),'recurring1_based on steps'!AM$1:AM$400,0)),AM$2,)</f>
        <v>0</v>
      </c>
      <c r="AN301" s="179">
        <f ca="1">IF(ISNUMBER(MATCH(DATEVALUE($A301),'recurring1_based on steps'!AN$1:AN$400,0)),AN$2,)</f>
        <v>0</v>
      </c>
      <c r="AO301" s="179">
        <f ca="1">IF(ISNUMBER(MATCH(DATEVALUE($A301),'recurring1_based on steps'!AO$1:AO$400,0)),AO$2,)</f>
        <v>0</v>
      </c>
      <c r="AP301" s="179">
        <f ca="1">IF(ISNUMBER(MATCH(DATEVALUE($A301),'recurring1_based on steps'!AP$1:AP$400,0)),AP$2,)</f>
        <v>0</v>
      </c>
      <c r="AQ301" s="179">
        <f ca="1">IF(ISNUMBER(MATCH(DATEVALUE($A301),'recurring1_based on steps'!AQ$1:AQ$400,0)),AQ$2,)</f>
        <v>0</v>
      </c>
      <c r="AR301" s="179">
        <f ca="1">IF(ISNUMBER(MATCH(DATEVALUE($A301),'recurring1_based on steps'!AR$1:AR$400,0)),AR$2,)</f>
        <v>0</v>
      </c>
      <c r="AS301" s="179">
        <f ca="1">IF(ISNUMBER(MATCH(DATEVALUE($A301),'recurring1_based on steps'!AS$1:AS$400,0)),AS$2,)</f>
        <v>0</v>
      </c>
      <c r="AT301" s="179">
        <f ca="1">IF(ISNUMBER(MATCH(DATEVALUE($A301),'recurring1_based on steps'!AT$1:AT$400,0)),AT$2,)</f>
        <v>0</v>
      </c>
      <c r="AU301" s="179">
        <f ca="1">IF(ISNUMBER(MATCH(DATEVALUE($A301),'recurring1_based on steps'!AU$1:AU$400,0)),AU$2,)</f>
        <v>0</v>
      </c>
      <c r="AV301" s="179">
        <f ca="1">IF(ISNUMBER(MATCH(DATEVALUE($A301),'recurring1_based on steps'!AV$1:AV$400,0)),AV$2,)</f>
        <v>0</v>
      </c>
      <c r="AW301" s="179">
        <f ca="1">IF(ISNUMBER(MATCH(DATEVALUE($A301),'recurring1_based on steps'!AW$1:AW$400,0)),AW$2,)</f>
        <v>0</v>
      </c>
      <c r="AX301" s="179">
        <f ca="1">IF(ISNUMBER(MATCH(DATEVALUE($A301),'recurring1_based on steps'!AX$1:AX$400,0)),AX$2,)</f>
        <v>0</v>
      </c>
      <c r="AY301" s="179">
        <f ca="1">IF(ISNUMBER(MATCH(DATEVALUE($A301),'recurring1_based on steps'!AY$1:AY$400,0)),AY$2,)</f>
        <v>0</v>
      </c>
    </row>
    <row r="302" spans="1:51" x14ac:dyDescent="0.2">
      <c r="A302" s="32" t="str">
        <f t="shared" ca="1" si="4"/>
        <v>2026-01-29</v>
      </c>
      <c r="B302" s="179">
        <f ca="1">IF(ISNUMBER(MATCH(DATEVALUE($A302),'recurring1_based on steps'!B$1:B$400,0)),B$2,)</f>
        <v>0</v>
      </c>
      <c r="C302" s="179">
        <f ca="1">IF(ISNUMBER(MATCH(DATEVALUE($A302),'recurring1_based on steps'!C$1:C$400,0)),C$2,)</f>
        <v>0</v>
      </c>
      <c r="D302" s="179">
        <f ca="1">IF(ISNUMBER(MATCH(DATEVALUE($A302),'recurring1_based on steps'!D$1:D$400,0)),D$2,)</f>
        <v>0</v>
      </c>
      <c r="E302" s="179">
        <f ca="1">IF(ISNUMBER(MATCH(DATEVALUE($A302),'recurring1_based on steps'!E$1:E$400,0)),E$2,)</f>
        <v>0</v>
      </c>
      <c r="F302" s="179">
        <f ca="1">IF(ISNUMBER(MATCH(DATEVALUE($A302),'recurring1_based on steps'!F$1:F$400,0)),F$2,)</f>
        <v>0</v>
      </c>
      <c r="G302" s="179">
        <f ca="1">IF(ISNUMBER(MATCH(DATEVALUE($A302),'recurring1_based on steps'!G$1:G$400,0)),G$2,)</f>
        <v>0</v>
      </c>
      <c r="H302" s="179">
        <f ca="1">IF(ISNUMBER(MATCH(DATEVALUE($A302),'recurring1_based on steps'!H$1:H$400,0)),H$2,)</f>
        <v>0</v>
      </c>
      <c r="I302" s="179">
        <f ca="1">IF(ISNUMBER(MATCH(DATEVALUE($A302),'recurring1_based on steps'!I$1:I$400,0)),I$2,)</f>
        <v>0</v>
      </c>
      <c r="J302" s="179">
        <f ca="1">IF(ISNUMBER(MATCH(DATEVALUE($A302),'recurring1_based on steps'!J$1:J$400,0)),J$2,)</f>
        <v>0</v>
      </c>
      <c r="K302" s="179">
        <f ca="1">IF(ISNUMBER(MATCH(DATEVALUE($A302),'recurring1_based on steps'!K$1:K$400,0)),K$2,)</f>
        <v>0</v>
      </c>
      <c r="L302" s="179">
        <f ca="1">IF(ISNUMBER(MATCH(DATEVALUE($A302),'recurring1_based on steps'!L$1:L$400,0)),L$2,)</f>
        <v>0</v>
      </c>
      <c r="M302" s="179">
        <f ca="1">IF(ISNUMBER(MATCH(DATEVALUE($A302),'recurring1_based on steps'!M$1:M$400,0)),M$2,)</f>
        <v>0</v>
      </c>
      <c r="N302" s="179">
        <f ca="1">IF(ISNUMBER(MATCH(DATEVALUE($A302),'recurring1_based on steps'!N$1:N$400,0)),N$2,)</f>
        <v>0</v>
      </c>
      <c r="O302" s="179">
        <f ca="1">IF(ISNUMBER(MATCH(DATEVALUE($A302),'recurring1_based on steps'!O$1:O$400,0)),O$2,)</f>
        <v>0</v>
      </c>
      <c r="P302" s="179">
        <f ca="1">IF(ISNUMBER(MATCH(DATEVALUE($A302),'recurring1_based on steps'!P$1:P$400,0)),P$2,)</f>
        <v>0</v>
      </c>
      <c r="Q302" s="179">
        <f ca="1">IF(ISNUMBER(MATCH(DATEVALUE($A302),'recurring1_based on steps'!Q$1:Q$400,0)),Q$2,)</f>
        <v>0</v>
      </c>
      <c r="R302" s="179">
        <f ca="1">IF(ISNUMBER(MATCH(DATEVALUE($A302),'recurring1_based on steps'!R$1:R$400,0)),R$2,)</f>
        <v>0</v>
      </c>
      <c r="S302" s="179">
        <f ca="1">IF(ISNUMBER(MATCH(DATEVALUE($A302),'recurring1_based on steps'!S$1:S$400,0)),S$2,)</f>
        <v>0</v>
      </c>
      <c r="T302" s="179">
        <f ca="1">IF(ISNUMBER(MATCH(DATEVALUE($A302),'recurring1_based on steps'!T$1:T$400,0)),T$2,)</f>
        <v>0</v>
      </c>
      <c r="U302" s="179">
        <f ca="1">IF(ISNUMBER(MATCH(DATEVALUE($A302),'recurring1_based on steps'!U$1:U$400,0)),U$2,)</f>
        <v>0</v>
      </c>
      <c r="V302" s="179">
        <f ca="1">IF(ISNUMBER(MATCH(DATEVALUE($A302),'recurring1_based on steps'!V$1:V$400,0)),V$2,)</f>
        <v>0</v>
      </c>
      <c r="W302" s="179">
        <f ca="1">IF(ISNUMBER(MATCH(DATEVALUE($A302),'recurring1_based on steps'!W$1:W$400,0)),W$2,)</f>
        <v>0</v>
      </c>
      <c r="X302" s="179">
        <f ca="1">IF(ISNUMBER(MATCH(DATEVALUE($A302),'recurring1_based on steps'!X$1:X$400,0)),X$2,)</f>
        <v>0</v>
      </c>
      <c r="Y302" s="179">
        <f ca="1">IF(ISNUMBER(MATCH(DATEVALUE($A302),'recurring1_based on steps'!Y$1:Y$400,0)),Y$2,)</f>
        <v>0</v>
      </c>
      <c r="Z302" s="179">
        <f ca="1">IF(ISNUMBER(MATCH(DATEVALUE($A302),'recurring1_based on steps'!Z$1:Z$400,0)),Z$2,)</f>
        <v>0</v>
      </c>
      <c r="AA302" s="179">
        <f ca="1">IF(ISNUMBER(MATCH(DATEVALUE($A302),'recurring1_based on steps'!AA$1:AA$400,0)),AA$2,)</f>
        <v>0</v>
      </c>
      <c r="AB302" s="179">
        <f ca="1">IF(ISNUMBER(MATCH(DATEVALUE($A302),'recurring1_based on steps'!AB$1:AB$400,0)),AB$2,)</f>
        <v>0</v>
      </c>
      <c r="AC302" s="179">
        <f ca="1">IF(ISNUMBER(MATCH(DATEVALUE($A302),'recurring1_based on steps'!AC$1:AC$400,0)),AC$2,)</f>
        <v>0</v>
      </c>
      <c r="AD302" s="179">
        <f ca="1">IF(ISNUMBER(MATCH(DATEVALUE($A302),'recurring1_based on steps'!AD$1:AD$400,0)),AD$2,)</f>
        <v>0</v>
      </c>
      <c r="AE302" s="179">
        <f ca="1">IF(ISNUMBER(MATCH(DATEVALUE($A302),'recurring1_based on steps'!AE$1:AE$400,0)),AE$2,)</f>
        <v>0</v>
      </c>
      <c r="AF302" s="179">
        <f ca="1">IF(ISNUMBER(MATCH(DATEVALUE($A302),'recurring1_based on steps'!AF$1:AF$400,0)),AF$2,)</f>
        <v>0</v>
      </c>
      <c r="AG302" s="179">
        <f ca="1">IF(ISNUMBER(MATCH(DATEVALUE($A302),'recurring1_based on steps'!AG$1:AG$400,0)),AG$2,)</f>
        <v>0</v>
      </c>
      <c r="AH302" s="179">
        <f ca="1">IF(ISNUMBER(MATCH(DATEVALUE($A302),'recurring1_based on steps'!AH$1:AH$400,0)),AH$2,)</f>
        <v>0</v>
      </c>
      <c r="AI302" s="179">
        <f ca="1">IF(ISNUMBER(MATCH(DATEVALUE($A302),'recurring1_based on steps'!AI$1:AI$400,0)),AI$2,)</f>
        <v>0</v>
      </c>
      <c r="AJ302" s="179">
        <f ca="1">IF(ISNUMBER(MATCH(DATEVALUE($A302),'recurring1_based on steps'!AJ$1:AJ$400,0)),AJ$2,)</f>
        <v>0</v>
      </c>
      <c r="AK302" s="179">
        <f ca="1">IF(ISNUMBER(MATCH(DATEVALUE($A302),'recurring1_based on steps'!AK$1:AK$400,0)),AK$2,)</f>
        <v>0</v>
      </c>
      <c r="AL302" s="179">
        <f ca="1">IF(ISNUMBER(MATCH(DATEVALUE($A302),'recurring1_based on steps'!AL$1:AL$400,0)),AL$2,)</f>
        <v>0</v>
      </c>
      <c r="AM302" s="179">
        <f ca="1">IF(ISNUMBER(MATCH(DATEVALUE($A302),'recurring1_based on steps'!AM$1:AM$400,0)),AM$2,)</f>
        <v>0</v>
      </c>
      <c r="AN302" s="179">
        <f ca="1">IF(ISNUMBER(MATCH(DATEVALUE($A302),'recurring1_based on steps'!AN$1:AN$400,0)),AN$2,)</f>
        <v>0</v>
      </c>
      <c r="AO302" s="179">
        <f ca="1">IF(ISNUMBER(MATCH(DATEVALUE($A302),'recurring1_based on steps'!AO$1:AO$400,0)),AO$2,)</f>
        <v>0</v>
      </c>
      <c r="AP302" s="179">
        <f ca="1">IF(ISNUMBER(MATCH(DATEVALUE($A302),'recurring1_based on steps'!AP$1:AP$400,0)),AP$2,)</f>
        <v>0</v>
      </c>
      <c r="AQ302" s="179">
        <f ca="1">IF(ISNUMBER(MATCH(DATEVALUE($A302),'recurring1_based on steps'!AQ$1:AQ$400,0)),AQ$2,)</f>
        <v>0</v>
      </c>
      <c r="AR302" s="179">
        <f ca="1">IF(ISNUMBER(MATCH(DATEVALUE($A302),'recurring1_based on steps'!AR$1:AR$400,0)),AR$2,)</f>
        <v>0</v>
      </c>
      <c r="AS302" s="179">
        <f ca="1">IF(ISNUMBER(MATCH(DATEVALUE($A302),'recurring1_based on steps'!AS$1:AS$400,0)),AS$2,)</f>
        <v>0</v>
      </c>
      <c r="AT302" s="179">
        <f ca="1">IF(ISNUMBER(MATCH(DATEVALUE($A302),'recurring1_based on steps'!AT$1:AT$400,0)),AT$2,)</f>
        <v>0</v>
      </c>
      <c r="AU302" s="179">
        <f ca="1">IF(ISNUMBER(MATCH(DATEVALUE($A302),'recurring1_based on steps'!AU$1:AU$400,0)),AU$2,)</f>
        <v>0</v>
      </c>
      <c r="AV302" s="179">
        <f ca="1">IF(ISNUMBER(MATCH(DATEVALUE($A302),'recurring1_based on steps'!AV$1:AV$400,0)),AV$2,)</f>
        <v>0</v>
      </c>
      <c r="AW302" s="179">
        <f ca="1">IF(ISNUMBER(MATCH(DATEVALUE($A302),'recurring1_based on steps'!AW$1:AW$400,0)),AW$2,)</f>
        <v>0</v>
      </c>
      <c r="AX302" s="179">
        <f ca="1">IF(ISNUMBER(MATCH(DATEVALUE($A302),'recurring1_based on steps'!AX$1:AX$400,0)),AX$2,)</f>
        <v>0</v>
      </c>
      <c r="AY302" s="179">
        <f ca="1">IF(ISNUMBER(MATCH(DATEVALUE($A302),'recurring1_based on steps'!AY$1:AY$400,0)),AY$2,)</f>
        <v>0</v>
      </c>
    </row>
    <row r="303" spans="1:51" x14ac:dyDescent="0.2">
      <c r="A303" s="32" t="str">
        <f t="shared" ca="1" si="4"/>
        <v>2026-01-30</v>
      </c>
      <c r="B303" s="179">
        <f ca="1">IF(ISNUMBER(MATCH(DATEVALUE($A303),'recurring1_based on steps'!B$1:B$400,0)),B$2,)</f>
        <v>0</v>
      </c>
      <c r="C303" s="179">
        <f ca="1">IF(ISNUMBER(MATCH(DATEVALUE($A303),'recurring1_based on steps'!C$1:C$400,0)),C$2,)</f>
        <v>0</v>
      </c>
      <c r="D303" s="179">
        <f ca="1">IF(ISNUMBER(MATCH(DATEVALUE($A303),'recurring1_based on steps'!D$1:D$400,0)),D$2,)</f>
        <v>0</v>
      </c>
      <c r="E303" s="179">
        <f ca="1">IF(ISNUMBER(MATCH(DATEVALUE($A303),'recurring1_based on steps'!E$1:E$400,0)),E$2,)</f>
        <v>0</v>
      </c>
      <c r="F303" s="179">
        <f ca="1">IF(ISNUMBER(MATCH(DATEVALUE($A303),'recurring1_based on steps'!F$1:F$400,0)),F$2,)</f>
        <v>0</v>
      </c>
      <c r="G303" s="179">
        <f ca="1">IF(ISNUMBER(MATCH(DATEVALUE($A303),'recurring1_based on steps'!G$1:G$400,0)),G$2,)</f>
        <v>0</v>
      </c>
      <c r="H303" s="179">
        <f ca="1">IF(ISNUMBER(MATCH(DATEVALUE($A303),'recurring1_based on steps'!H$1:H$400,0)),H$2,)</f>
        <v>0</v>
      </c>
      <c r="I303" s="179">
        <f ca="1">IF(ISNUMBER(MATCH(DATEVALUE($A303),'recurring1_based on steps'!I$1:I$400,0)),I$2,)</f>
        <v>0</v>
      </c>
      <c r="J303" s="179">
        <f ca="1">IF(ISNUMBER(MATCH(DATEVALUE($A303),'recurring1_based on steps'!J$1:J$400,0)),J$2,)</f>
        <v>0</v>
      </c>
      <c r="K303" s="179">
        <f ca="1">IF(ISNUMBER(MATCH(DATEVALUE($A303),'recurring1_based on steps'!K$1:K$400,0)),K$2,)</f>
        <v>0</v>
      </c>
      <c r="L303" s="179">
        <f ca="1">IF(ISNUMBER(MATCH(DATEVALUE($A303),'recurring1_based on steps'!L$1:L$400,0)),L$2,)</f>
        <v>0</v>
      </c>
      <c r="M303" s="179">
        <f ca="1">IF(ISNUMBER(MATCH(DATEVALUE($A303),'recurring1_based on steps'!M$1:M$400,0)),M$2,)</f>
        <v>0</v>
      </c>
      <c r="N303" s="179">
        <f ca="1">IF(ISNUMBER(MATCH(DATEVALUE($A303),'recurring1_based on steps'!N$1:N$400,0)),N$2,)</f>
        <v>0</v>
      </c>
      <c r="O303" s="179">
        <f ca="1">IF(ISNUMBER(MATCH(DATEVALUE($A303),'recurring1_based on steps'!O$1:O$400,0)),O$2,)</f>
        <v>0</v>
      </c>
      <c r="P303" s="179">
        <f ca="1">IF(ISNUMBER(MATCH(DATEVALUE($A303),'recurring1_based on steps'!P$1:P$400,0)),P$2,)</f>
        <v>0</v>
      </c>
      <c r="Q303" s="179">
        <f ca="1">IF(ISNUMBER(MATCH(DATEVALUE($A303),'recurring1_based on steps'!Q$1:Q$400,0)),Q$2,)</f>
        <v>0</v>
      </c>
      <c r="R303" s="179">
        <f ca="1">IF(ISNUMBER(MATCH(DATEVALUE($A303),'recurring1_based on steps'!R$1:R$400,0)),R$2,)</f>
        <v>0</v>
      </c>
      <c r="S303" s="179">
        <f ca="1">IF(ISNUMBER(MATCH(DATEVALUE($A303),'recurring1_based on steps'!S$1:S$400,0)),S$2,)</f>
        <v>0</v>
      </c>
      <c r="T303" s="179">
        <f ca="1">IF(ISNUMBER(MATCH(DATEVALUE($A303),'recurring1_based on steps'!T$1:T$400,0)),T$2,)</f>
        <v>0</v>
      </c>
      <c r="U303" s="179">
        <f ca="1">IF(ISNUMBER(MATCH(DATEVALUE($A303),'recurring1_based on steps'!U$1:U$400,0)),U$2,)</f>
        <v>0</v>
      </c>
      <c r="V303" s="179">
        <f ca="1">IF(ISNUMBER(MATCH(DATEVALUE($A303),'recurring1_based on steps'!V$1:V$400,0)),V$2,)</f>
        <v>0</v>
      </c>
      <c r="W303" s="179">
        <f ca="1">IF(ISNUMBER(MATCH(DATEVALUE($A303),'recurring1_based on steps'!W$1:W$400,0)),W$2,)</f>
        <v>0</v>
      </c>
      <c r="X303" s="179">
        <f ca="1">IF(ISNUMBER(MATCH(DATEVALUE($A303),'recurring1_based on steps'!X$1:X$400,0)),X$2,)</f>
        <v>0</v>
      </c>
      <c r="Y303" s="179">
        <f ca="1">IF(ISNUMBER(MATCH(DATEVALUE($A303),'recurring1_based on steps'!Y$1:Y$400,0)),Y$2,)</f>
        <v>0</v>
      </c>
      <c r="Z303" s="179">
        <f ca="1">IF(ISNUMBER(MATCH(DATEVALUE($A303),'recurring1_based on steps'!Z$1:Z$400,0)),Z$2,)</f>
        <v>0</v>
      </c>
      <c r="AA303" s="179">
        <f ca="1">IF(ISNUMBER(MATCH(DATEVALUE($A303),'recurring1_based on steps'!AA$1:AA$400,0)),AA$2,)</f>
        <v>0</v>
      </c>
      <c r="AB303" s="179">
        <f ca="1">IF(ISNUMBER(MATCH(DATEVALUE($A303),'recurring1_based on steps'!AB$1:AB$400,0)),AB$2,)</f>
        <v>0</v>
      </c>
      <c r="AC303" s="179">
        <f ca="1">IF(ISNUMBER(MATCH(DATEVALUE($A303),'recurring1_based on steps'!AC$1:AC$400,0)),AC$2,)</f>
        <v>0</v>
      </c>
      <c r="AD303" s="179">
        <f ca="1">IF(ISNUMBER(MATCH(DATEVALUE($A303),'recurring1_based on steps'!AD$1:AD$400,0)),AD$2,)</f>
        <v>0</v>
      </c>
      <c r="AE303" s="179">
        <f ca="1">IF(ISNUMBER(MATCH(DATEVALUE($A303),'recurring1_based on steps'!AE$1:AE$400,0)),AE$2,)</f>
        <v>0</v>
      </c>
      <c r="AF303" s="179">
        <f ca="1">IF(ISNUMBER(MATCH(DATEVALUE($A303),'recurring1_based on steps'!AF$1:AF$400,0)),AF$2,)</f>
        <v>0</v>
      </c>
      <c r="AG303" s="179">
        <f ca="1">IF(ISNUMBER(MATCH(DATEVALUE($A303),'recurring1_based on steps'!AG$1:AG$400,0)),AG$2,)</f>
        <v>0</v>
      </c>
      <c r="AH303" s="179">
        <f ca="1">IF(ISNUMBER(MATCH(DATEVALUE($A303),'recurring1_based on steps'!AH$1:AH$400,0)),AH$2,)</f>
        <v>0</v>
      </c>
      <c r="AI303" s="179">
        <f ca="1">IF(ISNUMBER(MATCH(DATEVALUE($A303),'recurring1_based on steps'!AI$1:AI$400,0)),AI$2,)</f>
        <v>0</v>
      </c>
      <c r="AJ303" s="179">
        <f ca="1">IF(ISNUMBER(MATCH(DATEVALUE($A303),'recurring1_based on steps'!AJ$1:AJ$400,0)),AJ$2,)</f>
        <v>0</v>
      </c>
      <c r="AK303" s="179">
        <f ca="1">IF(ISNUMBER(MATCH(DATEVALUE($A303),'recurring1_based on steps'!AK$1:AK$400,0)),AK$2,)</f>
        <v>0</v>
      </c>
      <c r="AL303" s="179">
        <f ca="1">IF(ISNUMBER(MATCH(DATEVALUE($A303),'recurring1_based on steps'!AL$1:AL$400,0)),AL$2,)</f>
        <v>0</v>
      </c>
      <c r="AM303" s="179">
        <f ca="1">IF(ISNUMBER(MATCH(DATEVALUE($A303),'recurring1_based on steps'!AM$1:AM$400,0)),AM$2,)</f>
        <v>0</v>
      </c>
      <c r="AN303" s="179">
        <f ca="1">IF(ISNUMBER(MATCH(DATEVALUE($A303),'recurring1_based on steps'!AN$1:AN$400,0)),AN$2,)</f>
        <v>0</v>
      </c>
      <c r="AO303" s="179">
        <f ca="1">IF(ISNUMBER(MATCH(DATEVALUE($A303),'recurring1_based on steps'!AO$1:AO$400,0)),AO$2,)</f>
        <v>0</v>
      </c>
      <c r="AP303" s="179">
        <f ca="1">IF(ISNUMBER(MATCH(DATEVALUE($A303),'recurring1_based on steps'!AP$1:AP$400,0)),AP$2,)</f>
        <v>0</v>
      </c>
      <c r="AQ303" s="179">
        <f ca="1">IF(ISNUMBER(MATCH(DATEVALUE($A303),'recurring1_based on steps'!AQ$1:AQ$400,0)),AQ$2,)</f>
        <v>0</v>
      </c>
      <c r="AR303" s="179">
        <f ca="1">IF(ISNUMBER(MATCH(DATEVALUE($A303),'recurring1_based on steps'!AR$1:AR$400,0)),AR$2,)</f>
        <v>0</v>
      </c>
      <c r="AS303" s="179">
        <f ca="1">IF(ISNUMBER(MATCH(DATEVALUE($A303),'recurring1_based on steps'!AS$1:AS$400,0)),AS$2,)</f>
        <v>0</v>
      </c>
      <c r="AT303" s="179">
        <f ca="1">IF(ISNUMBER(MATCH(DATEVALUE($A303),'recurring1_based on steps'!AT$1:AT$400,0)),AT$2,)</f>
        <v>0</v>
      </c>
      <c r="AU303" s="179">
        <f ca="1">IF(ISNUMBER(MATCH(DATEVALUE($A303),'recurring1_based on steps'!AU$1:AU$400,0)),AU$2,)</f>
        <v>0</v>
      </c>
      <c r="AV303" s="179">
        <f ca="1">IF(ISNUMBER(MATCH(DATEVALUE($A303),'recurring1_based on steps'!AV$1:AV$400,0)),AV$2,)</f>
        <v>0</v>
      </c>
      <c r="AW303" s="179">
        <f ca="1">IF(ISNUMBER(MATCH(DATEVALUE($A303),'recurring1_based on steps'!AW$1:AW$400,0)),AW$2,)</f>
        <v>0</v>
      </c>
      <c r="AX303" s="179">
        <f ca="1">IF(ISNUMBER(MATCH(DATEVALUE($A303),'recurring1_based on steps'!AX$1:AX$400,0)),AX$2,)</f>
        <v>0</v>
      </c>
      <c r="AY303" s="179">
        <f ca="1">IF(ISNUMBER(MATCH(DATEVALUE($A303),'recurring1_based on steps'!AY$1:AY$400,0)),AY$2,)</f>
        <v>0</v>
      </c>
    </row>
    <row r="304" spans="1:51" x14ac:dyDescent="0.2">
      <c r="A304" s="32" t="str">
        <f t="shared" ca="1" si="4"/>
        <v>2026-01-31</v>
      </c>
      <c r="B304" s="179">
        <f ca="1">IF(ISNUMBER(MATCH(DATEVALUE($A304),'recurring1_based on steps'!B$1:B$400,0)),B$2,)</f>
        <v>0</v>
      </c>
      <c r="C304" s="179">
        <f ca="1">IF(ISNUMBER(MATCH(DATEVALUE($A304),'recurring1_based on steps'!C$1:C$400,0)),C$2,)</f>
        <v>0</v>
      </c>
      <c r="D304" s="179">
        <f ca="1">IF(ISNUMBER(MATCH(DATEVALUE($A304),'recurring1_based on steps'!D$1:D$400,0)),D$2,)</f>
        <v>0</v>
      </c>
      <c r="E304" s="179">
        <f ca="1">IF(ISNUMBER(MATCH(DATEVALUE($A304),'recurring1_based on steps'!E$1:E$400,0)),E$2,)</f>
        <v>0</v>
      </c>
      <c r="F304" s="179">
        <f ca="1">IF(ISNUMBER(MATCH(DATEVALUE($A304),'recurring1_based on steps'!F$1:F$400,0)),F$2,)</f>
        <v>0</v>
      </c>
      <c r="G304" s="179">
        <f ca="1">IF(ISNUMBER(MATCH(DATEVALUE($A304),'recurring1_based on steps'!G$1:G$400,0)),G$2,)</f>
        <v>0</v>
      </c>
      <c r="H304" s="179">
        <f ca="1">IF(ISNUMBER(MATCH(DATEVALUE($A304),'recurring1_based on steps'!H$1:H$400,0)),H$2,)</f>
        <v>0</v>
      </c>
      <c r="I304" s="179">
        <f ca="1">IF(ISNUMBER(MATCH(DATEVALUE($A304),'recurring1_based on steps'!I$1:I$400,0)),I$2,)</f>
        <v>0</v>
      </c>
      <c r="J304" s="179">
        <f ca="1">IF(ISNUMBER(MATCH(DATEVALUE($A304),'recurring1_based on steps'!J$1:J$400,0)),J$2,)</f>
        <v>0</v>
      </c>
      <c r="K304" s="179">
        <f ca="1">IF(ISNUMBER(MATCH(DATEVALUE($A304),'recurring1_based on steps'!K$1:K$400,0)),K$2,)</f>
        <v>0</v>
      </c>
      <c r="L304" s="179">
        <f ca="1">IF(ISNUMBER(MATCH(DATEVALUE($A304),'recurring1_based on steps'!L$1:L$400,0)),L$2,)</f>
        <v>0</v>
      </c>
      <c r="M304" s="179">
        <f ca="1">IF(ISNUMBER(MATCH(DATEVALUE($A304),'recurring1_based on steps'!M$1:M$400,0)),M$2,)</f>
        <v>0</v>
      </c>
      <c r="N304" s="179">
        <f ca="1">IF(ISNUMBER(MATCH(DATEVALUE($A304),'recurring1_based on steps'!N$1:N$400,0)),N$2,)</f>
        <v>0</v>
      </c>
      <c r="O304" s="179">
        <f ca="1">IF(ISNUMBER(MATCH(DATEVALUE($A304),'recurring1_based on steps'!O$1:O$400,0)),O$2,)</f>
        <v>0</v>
      </c>
      <c r="P304" s="179">
        <f ca="1">IF(ISNUMBER(MATCH(DATEVALUE($A304),'recurring1_based on steps'!P$1:P$400,0)),P$2,)</f>
        <v>0</v>
      </c>
      <c r="Q304" s="179">
        <f ca="1">IF(ISNUMBER(MATCH(DATEVALUE($A304),'recurring1_based on steps'!Q$1:Q$400,0)),Q$2,)</f>
        <v>0</v>
      </c>
      <c r="R304" s="179">
        <f ca="1">IF(ISNUMBER(MATCH(DATEVALUE($A304),'recurring1_based on steps'!R$1:R$400,0)),R$2,)</f>
        <v>0</v>
      </c>
      <c r="S304" s="179">
        <f ca="1">IF(ISNUMBER(MATCH(DATEVALUE($A304),'recurring1_based on steps'!S$1:S$400,0)),S$2,)</f>
        <v>0</v>
      </c>
      <c r="T304" s="179">
        <f ca="1">IF(ISNUMBER(MATCH(DATEVALUE($A304),'recurring1_based on steps'!T$1:T$400,0)),T$2,)</f>
        <v>0</v>
      </c>
      <c r="U304" s="179">
        <f ca="1">IF(ISNUMBER(MATCH(DATEVALUE($A304),'recurring1_based on steps'!U$1:U$400,0)),U$2,)</f>
        <v>0</v>
      </c>
      <c r="V304" s="179">
        <f ca="1">IF(ISNUMBER(MATCH(DATEVALUE($A304),'recurring1_based on steps'!V$1:V$400,0)),V$2,)</f>
        <v>0</v>
      </c>
      <c r="W304" s="179">
        <f ca="1">IF(ISNUMBER(MATCH(DATEVALUE($A304),'recurring1_based on steps'!W$1:W$400,0)),W$2,)</f>
        <v>0</v>
      </c>
      <c r="X304" s="179">
        <f ca="1">IF(ISNUMBER(MATCH(DATEVALUE($A304),'recurring1_based on steps'!X$1:X$400,0)),X$2,)</f>
        <v>0</v>
      </c>
      <c r="Y304" s="179">
        <f ca="1">IF(ISNUMBER(MATCH(DATEVALUE($A304),'recurring1_based on steps'!Y$1:Y$400,0)),Y$2,)</f>
        <v>0</v>
      </c>
      <c r="Z304" s="179">
        <f ca="1">IF(ISNUMBER(MATCH(DATEVALUE($A304),'recurring1_based on steps'!Z$1:Z$400,0)),Z$2,)</f>
        <v>0</v>
      </c>
      <c r="AA304" s="179">
        <f ca="1">IF(ISNUMBER(MATCH(DATEVALUE($A304),'recurring1_based on steps'!AA$1:AA$400,0)),AA$2,)</f>
        <v>0</v>
      </c>
      <c r="AB304" s="179">
        <f ca="1">IF(ISNUMBER(MATCH(DATEVALUE($A304),'recurring1_based on steps'!AB$1:AB$400,0)),AB$2,)</f>
        <v>0</v>
      </c>
      <c r="AC304" s="179">
        <f ca="1">IF(ISNUMBER(MATCH(DATEVALUE($A304),'recurring1_based on steps'!AC$1:AC$400,0)),AC$2,)</f>
        <v>0</v>
      </c>
      <c r="AD304" s="179">
        <f ca="1">IF(ISNUMBER(MATCH(DATEVALUE($A304),'recurring1_based on steps'!AD$1:AD$400,0)),AD$2,)</f>
        <v>0</v>
      </c>
      <c r="AE304" s="179">
        <f ca="1">IF(ISNUMBER(MATCH(DATEVALUE($A304),'recurring1_based on steps'!AE$1:AE$400,0)),AE$2,)</f>
        <v>0</v>
      </c>
      <c r="AF304" s="179">
        <f ca="1">IF(ISNUMBER(MATCH(DATEVALUE($A304),'recurring1_based on steps'!AF$1:AF$400,0)),AF$2,)</f>
        <v>0</v>
      </c>
      <c r="AG304" s="179">
        <f ca="1">IF(ISNUMBER(MATCH(DATEVALUE($A304),'recurring1_based on steps'!AG$1:AG$400,0)),AG$2,)</f>
        <v>0</v>
      </c>
      <c r="AH304" s="179">
        <f ca="1">IF(ISNUMBER(MATCH(DATEVALUE($A304),'recurring1_based on steps'!AH$1:AH$400,0)),AH$2,)</f>
        <v>0</v>
      </c>
      <c r="AI304" s="179">
        <f ca="1">IF(ISNUMBER(MATCH(DATEVALUE($A304),'recurring1_based on steps'!AI$1:AI$400,0)),AI$2,)</f>
        <v>0</v>
      </c>
      <c r="AJ304" s="179">
        <f ca="1">IF(ISNUMBER(MATCH(DATEVALUE($A304),'recurring1_based on steps'!AJ$1:AJ$400,0)),AJ$2,)</f>
        <v>0</v>
      </c>
      <c r="AK304" s="179">
        <f ca="1">IF(ISNUMBER(MATCH(DATEVALUE($A304),'recurring1_based on steps'!AK$1:AK$400,0)),AK$2,)</f>
        <v>0</v>
      </c>
      <c r="AL304" s="179">
        <f ca="1">IF(ISNUMBER(MATCH(DATEVALUE($A304),'recurring1_based on steps'!AL$1:AL$400,0)),AL$2,)</f>
        <v>0</v>
      </c>
      <c r="AM304" s="179">
        <f ca="1">IF(ISNUMBER(MATCH(DATEVALUE($A304),'recurring1_based on steps'!AM$1:AM$400,0)),AM$2,)</f>
        <v>0</v>
      </c>
      <c r="AN304" s="179">
        <f ca="1">IF(ISNUMBER(MATCH(DATEVALUE($A304),'recurring1_based on steps'!AN$1:AN$400,0)),AN$2,)</f>
        <v>0</v>
      </c>
      <c r="AO304" s="179">
        <f ca="1">IF(ISNUMBER(MATCH(DATEVALUE($A304),'recurring1_based on steps'!AO$1:AO$400,0)),AO$2,)</f>
        <v>0</v>
      </c>
      <c r="AP304" s="179">
        <f ca="1">IF(ISNUMBER(MATCH(DATEVALUE($A304),'recurring1_based on steps'!AP$1:AP$400,0)),AP$2,)</f>
        <v>0</v>
      </c>
      <c r="AQ304" s="179">
        <f ca="1">IF(ISNUMBER(MATCH(DATEVALUE($A304),'recurring1_based on steps'!AQ$1:AQ$400,0)),AQ$2,)</f>
        <v>0</v>
      </c>
      <c r="AR304" s="179">
        <f ca="1">IF(ISNUMBER(MATCH(DATEVALUE($A304),'recurring1_based on steps'!AR$1:AR$400,0)),AR$2,)</f>
        <v>0</v>
      </c>
      <c r="AS304" s="179">
        <f ca="1">IF(ISNUMBER(MATCH(DATEVALUE($A304),'recurring1_based on steps'!AS$1:AS$400,0)),AS$2,)</f>
        <v>0</v>
      </c>
      <c r="AT304" s="179">
        <f ca="1">IF(ISNUMBER(MATCH(DATEVALUE($A304),'recurring1_based on steps'!AT$1:AT$400,0)),AT$2,)</f>
        <v>0</v>
      </c>
      <c r="AU304" s="179">
        <f ca="1">IF(ISNUMBER(MATCH(DATEVALUE($A304),'recurring1_based on steps'!AU$1:AU$400,0)),AU$2,)</f>
        <v>0</v>
      </c>
      <c r="AV304" s="179">
        <f ca="1">IF(ISNUMBER(MATCH(DATEVALUE($A304),'recurring1_based on steps'!AV$1:AV$400,0)),AV$2,)</f>
        <v>0</v>
      </c>
      <c r="AW304" s="179">
        <f ca="1">IF(ISNUMBER(MATCH(DATEVALUE($A304),'recurring1_based on steps'!AW$1:AW$400,0)),AW$2,)</f>
        <v>0</v>
      </c>
      <c r="AX304" s="179">
        <f ca="1">IF(ISNUMBER(MATCH(DATEVALUE($A304),'recurring1_based on steps'!AX$1:AX$400,0)),AX$2,)</f>
        <v>0</v>
      </c>
      <c r="AY304" s="179">
        <f ca="1">IF(ISNUMBER(MATCH(DATEVALUE($A304),'recurring1_based on steps'!AY$1:AY$400,0)),AY$2,)</f>
        <v>0</v>
      </c>
    </row>
    <row r="305" spans="1:51" x14ac:dyDescent="0.2">
      <c r="A305" s="32" t="str">
        <f t="shared" ca="1" si="4"/>
        <v>2026-02-01</v>
      </c>
      <c r="B305" s="179">
        <f ca="1">IF(ISNUMBER(MATCH(DATEVALUE($A305),'recurring1_based on steps'!B$1:B$400,0)),B$2,)</f>
        <v>0</v>
      </c>
      <c r="C305" s="179">
        <f ca="1">IF(ISNUMBER(MATCH(DATEVALUE($A305),'recurring1_based on steps'!C$1:C$400,0)),C$2,)</f>
        <v>0</v>
      </c>
      <c r="D305" s="179">
        <f ca="1">IF(ISNUMBER(MATCH(DATEVALUE($A305),'recurring1_based on steps'!D$1:D$400,0)),D$2,)</f>
        <v>0</v>
      </c>
      <c r="E305" s="179">
        <f ca="1">IF(ISNUMBER(MATCH(DATEVALUE($A305),'recurring1_based on steps'!E$1:E$400,0)),E$2,)</f>
        <v>0</v>
      </c>
      <c r="F305" s="179">
        <f ca="1">IF(ISNUMBER(MATCH(DATEVALUE($A305),'recurring1_based on steps'!F$1:F$400,0)),F$2,)</f>
        <v>0</v>
      </c>
      <c r="G305" s="179">
        <f ca="1">IF(ISNUMBER(MATCH(DATEVALUE($A305),'recurring1_based on steps'!G$1:G$400,0)),G$2,)</f>
        <v>0</v>
      </c>
      <c r="H305" s="179">
        <f ca="1">IF(ISNUMBER(MATCH(DATEVALUE($A305),'recurring1_based on steps'!H$1:H$400,0)),H$2,)</f>
        <v>0</v>
      </c>
      <c r="I305" s="179">
        <f ca="1">IF(ISNUMBER(MATCH(DATEVALUE($A305),'recurring1_based on steps'!I$1:I$400,0)),I$2,)</f>
        <v>0</v>
      </c>
      <c r="J305" s="179">
        <f ca="1">IF(ISNUMBER(MATCH(DATEVALUE($A305),'recurring1_based on steps'!J$1:J$400,0)),J$2,)</f>
        <v>0</v>
      </c>
      <c r="K305" s="179">
        <f ca="1">IF(ISNUMBER(MATCH(DATEVALUE($A305),'recurring1_based on steps'!K$1:K$400,0)),K$2,)</f>
        <v>0</v>
      </c>
      <c r="L305" s="179">
        <f ca="1">IF(ISNUMBER(MATCH(DATEVALUE($A305),'recurring1_based on steps'!L$1:L$400,0)),L$2,)</f>
        <v>0</v>
      </c>
      <c r="M305" s="179">
        <f ca="1">IF(ISNUMBER(MATCH(DATEVALUE($A305),'recurring1_based on steps'!M$1:M$400,0)),M$2,)</f>
        <v>0</v>
      </c>
      <c r="N305" s="179">
        <f ca="1">IF(ISNUMBER(MATCH(DATEVALUE($A305),'recurring1_based on steps'!N$1:N$400,0)),N$2,)</f>
        <v>0</v>
      </c>
      <c r="O305" s="179">
        <f ca="1">IF(ISNUMBER(MATCH(DATEVALUE($A305),'recurring1_based on steps'!O$1:O$400,0)),O$2,)</f>
        <v>0</v>
      </c>
      <c r="P305" s="179">
        <f ca="1">IF(ISNUMBER(MATCH(DATEVALUE($A305),'recurring1_based on steps'!P$1:P$400,0)),P$2,)</f>
        <v>0</v>
      </c>
      <c r="Q305" s="179">
        <f ca="1">IF(ISNUMBER(MATCH(DATEVALUE($A305),'recurring1_based on steps'!Q$1:Q$400,0)),Q$2,)</f>
        <v>0</v>
      </c>
      <c r="R305" s="179">
        <f ca="1">IF(ISNUMBER(MATCH(DATEVALUE($A305),'recurring1_based on steps'!R$1:R$400,0)),R$2,)</f>
        <v>0</v>
      </c>
      <c r="S305" s="179">
        <f ca="1">IF(ISNUMBER(MATCH(DATEVALUE($A305),'recurring1_based on steps'!S$1:S$400,0)),S$2,)</f>
        <v>0</v>
      </c>
      <c r="T305" s="179">
        <f ca="1">IF(ISNUMBER(MATCH(DATEVALUE($A305),'recurring1_based on steps'!T$1:T$400,0)),T$2,)</f>
        <v>0</v>
      </c>
      <c r="U305" s="179">
        <f ca="1">IF(ISNUMBER(MATCH(DATEVALUE($A305),'recurring1_based on steps'!U$1:U$400,0)),U$2,)</f>
        <v>0</v>
      </c>
      <c r="V305" s="179">
        <f ca="1">IF(ISNUMBER(MATCH(DATEVALUE($A305),'recurring1_based on steps'!V$1:V$400,0)),V$2,)</f>
        <v>0</v>
      </c>
      <c r="W305" s="179">
        <f ca="1">IF(ISNUMBER(MATCH(DATEVALUE($A305),'recurring1_based on steps'!W$1:W$400,0)),W$2,)</f>
        <v>0</v>
      </c>
      <c r="X305" s="179">
        <f ca="1">IF(ISNUMBER(MATCH(DATEVALUE($A305),'recurring1_based on steps'!X$1:X$400,0)),X$2,)</f>
        <v>0</v>
      </c>
      <c r="Y305" s="179">
        <f ca="1">IF(ISNUMBER(MATCH(DATEVALUE($A305),'recurring1_based on steps'!Y$1:Y$400,0)),Y$2,)</f>
        <v>0</v>
      </c>
      <c r="Z305" s="179">
        <f ca="1">IF(ISNUMBER(MATCH(DATEVALUE($A305),'recurring1_based on steps'!Z$1:Z$400,0)),Z$2,)</f>
        <v>0</v>
      </c>
      <c r="AA305" s="179">
        <f ca="1">IF(ISNUMBER(MATCH(DATEVALUE($A305),'recurring1_based on steps'!AA$1:AA$400,0)),AA$2,)</f>
        <v>0</v>
      </c>
      <c r="AB305" s="179">
        <f ca="1">IF(ISNUMBER(MATCH(DATEVALUE($A305),'recurring1_based on steps'!AB$1:AB$400,0)),AB$2,)</f>
        <v>0</v>
      </c>
      <c r="AC305" s="179">
        <f ca="1">IF(ISNUMBER(MATCH(DATEVALUE($A305),'recurring1_based on steps'!AC$1:AC$400,0)),AC$2,)</f>
        <v>0</v>
      </c>
      <c r="AD305" s="179">
        <f ca="1">IF(ISNUMBER(MATCH(DATEVALUE($A305),'recurring1_based on steps'!AD$1:AD$400,0)),AD$2,)</f>
        <v>0</v>
      </c>
      <c r="AE305" s="179">
        <f ca="1">IF(ISNUMBER(MATCH(DATEVALUE($A305),'recurring1_based on steps'!AE$1:AE$400,0)),AE$2,)</f>
        <v>0</v>
      </c>
      <c r="AF305" s="179">
        <f ca="1">IF(ISNUMBER(MATCH(DATEVALUE($A305),'recurring1_based on steps'!AF$1:AF$400,0)),AF$2,)</f>
        <v>0</v>
      </c>
      <c r="AG305" s="179">
        <f ca="1">IF(ISNUMBER(MATCH(DATEVALUE($A305),'recurring1_based on steps'!AG$1:AG$400,0)),AG$2,)</f>
        <v>0</v>
      </c>
      <c r="AH305" s="179">
        <f ca="1">IF(ISNUMBER(MATCH(DATEVALUE($A305),'recurring1_based on steps'!AH$1:AH$400,0)),AH$2,)</f>
        <v>0</v>
      </c>
      <c r="AI305" s="179">
        <f ca="1">IF(ISNUMBER(MATCH(DATEVALUE($A305),'recurring1_based on steps'!AI$1:AI$400,0)),AI$2,)</f>
        <v>0</v>
      </c>
      <c r="AJ305" s="179">
        <f ca="1">IF(ISNUMBER(MATCH(DATEVALUE($A305),'recurring1_based on steps'!AJ$1:AJ$400,0)),AJ$2,)</f>
        <v>0</v>
      </c>
      <c r="AK305" s="179">
        <f ca="1">IF(ISNUMBER(MATCH(DATEVALUE($A305),'recurring1_based on steps'!AK$1:AK$400,0)),AK$2,)</f>
        <v>0</v>
      </c>
      <c r="AL305" s="179">
        <f ca="1">IF(ISNUMBER(MATCH(DATEVALUE($A305),'recurring1_based on steps'!AL$1:AL$400,0)),AL$2,)</f>
        <v>0</v>
      </c>
      <c r="AM305" s="179">
        <f ca="1">IF(ISNUMBER(MATCH(DATEVALUE($A305),'recurring1_based on steps'!AM$1:AM$400,0)),AM$2,)</f>
        <v>0</v>
      </c>
      <c r="AN305" s="179">
        <f ca="1">IF(ISNUMBER(MATCH(DATEVALUE($A305),'recurring1_based on steps'!AN$1:AN$400,0)),AN$2,)</f>
        <v>0</v>
      </c>
      <c r="AO305" s="179">
        <f ca="1">IF(ISNUMBER(MATCH(DATEVALUE($A305),'recurring1_based on steps'!AO$1:AO$400,0)),AO$2,)</f>
        <v>0</v>
      </c>
      <c r="AP305" s="179">
        <f ca="1">IF(ISNUMBER(MATCH(DATEVALUE($A305),'recurring1_based on steps'!AP$1:AP$400,0)),AP$2,)</f>
        <v>0</v>
      </c>
      <c r="AQ305" s="179">
        <f ca="1">IF(ISNUMBER(MATCH(DATEVALUE($A305),'recurring1_based on steps'!AQ$1:AQ$400,0)),AQ$2,)</f>
        <v>0</v>
      </c>
      <c r="AR305" s="179">
        <f ca="1">IF(ISNUMBER(MATCH(DATEVALUE($A305),'recurring1_based on steps'!AR$1:AR$400,0)),AR$2,)</f>
        <v>0</v>
      </c>
      <c r="AS305" s="179">
        <f ca="1">IF(ISNUMBER(MATCH(DATEVALUE($A305),'recurring1_based on steps'!AS$1:AS$400,0)),AS$2,)</f>
        <v>0</v>
      </c>
      <c r="AT305" s="179">
        <f ca="1">IF(ISNUMBER(MATCH(DATEVALUE($A305),'recurring1_based on steps'!AT$1:AT$400,0)),AT$2,)</f>
        <v>0</v>
      </c>
      <c r="AU305" s="179">
        <f ca="1">IF(ISNUMBER(MATCH(DATEVALUE($A305),'recurring1_based on steps'!AU$1:AU$400,0)),AU$2,)</f>
        <v>0</v>
      </c>
      <c r="AV305" s="179">
        <f ca="1">IF(ISNUMBER(MATCH(DATEVALUE($A305),'recurring1_based on steps'!AV$1:AV$400,0)),AV$2,)</f>
        <v>0</v>
      </c>
      <c r="AW305" s="179">
        <f ca="1">IF(ISNUMBER(MATCH(DATEVALUE($A305),'recurring1_based on steps'!AW$1:AW$400,0)),AW$2,)</f>
        <v>0</v>
      </c>
      <c r="AX305" s="179">
        <f ca="1">IF(ISNUMBER(MATCH(DATEVALUE($A305),'recurring1_based on steps'!AX$1:AX$400,0)),AX$2,)</f>
        <v>0</v>
      </c>
      <c r="AY305" s="179">
        <f ca="1">IF(ISNUMBER(MATCH(DATEVALUE($A305),'recurring1_based on steps'!AY$1:AY$400,0)),AY$2,)</f>
        <v>0</v>
      </c>
    </row>
    <row r="306" spans="1:51" x14ac:dyDescent="0.2">
      <c r="A306" s="32" t="str">
        <f t="shared" ca="1" si="4"/>
        <v>2026-02-02</v>
      </c>
      <c r="B306" s="179">
        <f ca="1">IF(ISNUMBER(MATCH(DATEVALUE($A306),'recurring1_based on steps'!B$1:B$400,0)),B$2,)</f>
        <v>0</v>
      </c>
      <c r="C306" s="179">
        <f ca="1">IF(ISNUMBER(MATCH(DATEVALUE($A306),'recurring1_based on steps'!C$1:C$400,0)),C$2,)</f>
        <v>0</v>
      </c>
      <c r="D306" s="179">
        <f ca="1">IF(ISNUMBER(MATCH(DATEVALUE($A306),'recurring1_based on steps'!D$1:D$400,0)),D$2,)</f>
        <v>0</v>
      </c>
      <c r="E306" s="179">
        <f ca="1">IF(ISNUMBER(MATCH(DATEVALUE($A306),'recurring1_based on steps'!E$1:E$400,0)),E$2,)</f>
        <v>0</v>
      </c>
      <c r="F306" s="179">
        <f ca="1">IF(ISNUMBER(MATCH(DATEVALUE($A306),'recurring1_based on steps'!F$1:F$400,0)),F$2,)</f>
        <v>0</v>
      </c>
      <c r="G306" s="179">
        <f ca="1">IF(ISNUMBER(MATCH(DATEVALUE($A306),'recurring1_based on steps'!G$1:G$400,0)),G$2,)</f>
        <v>0</v>
      </c>
      <c r="H306" s="179">
        <f ca="1">IF(ISNUMBER(MATCH(DATEVALUE($A306),'recurring1_based on steps'!H$1:H$400,0)),H$2,)</f>
        <v>0</v>
      </c>
      <c r="I306" s="179">
        <f ca="1">IF(ISNUMBER(MATCH(DATEVALUE($A306),'recurring1_based on steps'!I$1:I$400,0)),I$2,)</f>
        <v>0</v>
      </c>
      <c r="J306" s="179">
        <f ca="1">IF(ISNUMBER(MATCH(DATEVALUE($A306),'recurring1_based on steps'!J$1:J$400,0)),J$2,)</f>
        <v>0</v>
      </c>
      <c r="K306" s="179">
        <f ca="1">IF(ISNUMBER(MATCH(DATEVALUE($A306),'recurring1_based on steps'!K$1:K$400,0)),K$2,)</f>
        <v>0</v>
      </c>
      <c r="L306" s="179">
        <f ca="1">IF(ISNUMBER(MATCH(DATEVALUE($A306),'recurring1_based on steps'!L$1:L$400,0)),L$2,)</f>
        <v>0</v>
      </c>
      <c r="M306" s="179">
        <f ca="1">IF(ISNUMBER(MATCH(DATEVALUE($A306),'recurring1_based on steps'!M$1:M$400,0)),M$2,)</f>
        <v>0</v>
      </c>
      <c r="N306" s="179">
        <f ca="1">IF(ISNUMBER(MATCH(DATEVALUE($A306),'recurring1_based on steps'!N$1:N$400,0)),N$2,)</f>
        <v>0</v>
      </c>
      <c r="O306" s="179">
        <f ca="1">IF(ISNUMBER(MATCH(DATEVALUE($A306),'recurring1_based on steps'!O$1:O$400,0)),O$2,)</f>
        <v>0</v>
      </c>
      <c r="P306" s="179">
        <f ca="1">IF(ISNUMBER(MATCH(DATEVALUE($A306),'recurring1_based on steps'!P$1:P$400,0)),P$2,)</f>
        <v>0</v>
      </c>
      <c r="Q306" s="179">
        <f ca="1">IF(ISNUMBER(MATCH(DATEVALUE($A306),'recurring1_based on steps'!Q$1:Q$400,0)),Q$2,)</f>
        <v>0</v>
      </c>
      <c r="R306" s="179">
        <f ca="1">IF(ISNUMBER(MATCH(DATEVALUE($A306),'recurring1_based on steps'!R$1:R$400,0)),R$2,)</f>
        <v>0</v>
      </c>
      <c r="S306" s="179">
        <f ca="1">IF(ISNUMBER(MATCH(DATEVALUE($A306),'recurring1_based on steps'!S$1:S$400,0)),S$2,)</f>
        <v>0</v>
      </c>
      <c r="T306" s="179">
        <f ca="1">IF(ISNUMBER(MATCH(DATEVALUE($A306),'recurring1_based on steps'!T$1:T$400,0)),T$2,)</f>
        <v>0</v>
      </c>
      <c r="U306" s="179">
        <f ca="1">IF(ISNUMBER(MATCH(DATEVALUE($A306),'recurring1_based on steps'!U$1:U$400,0)),U$2,)</f>
        <v>0</v>
      </c>
      <c r="V306" s="179">
        <f ca="1">IF(ISNUMBER(MATCH(DATEVALUE($A306),'recurring1_based on steps'!V$1:V$400,0)),V$2,)</f>
        <v>0</v>
      </c>
      <c r="W306" s="179">
        <f ca="1">IF(ISNUMBER(MATCH(DATEVALUE($A306),'recurring1_based on steps'!W$1:W$400,0)),W$2,)</f>
        <v>0</v>
      </c>
      <c r="X306" s="179">
        <f ca="1">IF(ISNUMBER(MATCH(DATEVALUE($A306),'recurring1_based on steps'!X$1:X$400,0)),X$2,)</f>
        <v>0</v>
      </c>
      <c r="Y306" s="179">
        <f ca="1">IF(ISNUMBER(MATCH(DATEVALUE($A306),'recurring1_based on steps'!Y$1:Y$400,0)),Y$2,)</f>
        <v>0</v>
      </c>
      <c r="Z306" s="179">
        <f ca="1">IF(ISNUMBER(MATCH(DATEVALUE($A306),'recurring1_based on steps'!Z$1:Z$400,0)),Z$2,)</f>
        <v>0</v>
      </c>
      <c r="AA306" s="179">
        <f ca="1">IF(ISNUMBER(MATCH(DATEVALUE($A306),'recurring1_based on steps'!AA$1:AA$400,0)),AA$2,)</f>
        <v>0</v>
      </c>
      <c r="AB306" s="179">
        <f ca="1">IF(ISNUMBER(MATCH(DATEVALUE($A306),'recurring1_based on steps'!AB$1:AB$400,0)),AB$2,)</f>
        <v>0</v>
      </c>
      <c r="AC306" s="179">
        <f ca="1">IF(ISNUMBER(MATCH(DATEVALUE($A306),'recurring1_based on steps'!AC$1:AC$400,0)),AC$2,)</f>
        <v>0</v>
      </c>
      <c r="AD306" s="179">
        <f ca="1">IF(ISNUMBER(MATCH(DATEVALUE($A306),'recurring1_based on steps'!AD$1:AD$400,0)),AD$2,)</f>
        <v>0</v>
      </c>
      <c r="AE306" s="179">
        <f ca="1">IF(ISNUMBER(MATCH(DATEVALUE($A306),'recurring1_based on steps'!AE$1:AE$400,0)),AE$2,)</f>
        <v>0</v>
      </c>
      <c r="AF306" s="179">
        <f ca="1">IF(ISNUMBER(MATCH(DATEVALUE($A306),'recurring1_based on steps'!AF$1:AF$400,0)),AF$2,)</f>
        <v>0</v>
      </c>
      <c r="AG306" s="179">
        <f ca="1">IF(ISNUMBER(MATCH(DATEVALUE($A306),'recurring1_based on steps'!AG$1:AG$400,0)),AG$2,)</f>
        <v>0</v>
      </c>
      <c r="AH306" s="179">
        <f ca="1">IF(ISNUMBER(MATCH(DATEVALUE($A306),'recurring1_based on steps'!AH$1:AH$400,0)),AH$2,)</f>
        <v>0</v>
      </c>
      <c r="AI306" s="179">
        <f ca="1">IF(ISNUMBER(MATCH(DATEVALUE($A306),'recurring1_based on steps'!AI$1:AI$400,0)),AI$2,)</f>
        <v>0</v>
      </c>
      <c r="AJ306" s="179">
        <f ca="1">IF(ISNUMBER(MATCH(DATEVALUE($A306),'recurring1_based on steps'!AJ$1:AJ$400,0)),AJ$2,)</f>
        <v>0</v>
      </c>
      <c r="AK306" s="179">
        <f ca="1">IF(ISNUMBER(MATCH(DATEVALUE($A306),'recurring1_based on steps'!AK$1:AK$400,0)),AK$2,)</f>
        <v>0</v>
      </c>
      <c r="AL306" s="179">
        <f ca="1">IF(ISNUMBER(MATCH(DATEVALUE($A306),'recurring1_based on steps'!AL$1:AL$400,0)),AL$2,)</f>
        <v>0</v>
      </c>
      <c r="AM306" s="179">
        <f ca="1">IF(ISNUMBER(MATCH(DATEVALUE($A306),'recurring1_based on steps'!AM$1:AM$400,0)),AM$2,)</f>
        <v>0</v>
      </c>
      <c r="AN306" s="179">
        <f ca="1">IF(ISNUMBER(MATCH(DATEVALUE($A306),'recurring1_based on steps'!AN$1:AN$400,0)),AN$2,)</f>
        <v>0</v>
      </c>
      <c r="AO306" s="179">
        <f ca="1">IF(ISNUMBER(MATCH(DATEVALUE($A306),'recurring1_based on steps'!AO$1:AO$400,0)),AO$2,)</f>
        <v>0</v>
      </c>
      <c r="AP306" s="179">
        <f ca="1">IF(ISNUMBER(MATCH(DATEVALUE($A306),'recurring1_based on steps'!AP$1:AP$400,0)),AP$2,)</f>
        <v>0</v>
      </c>
      <c r="AQ306" s="179">
        <f ca="1">IF(ISNUMBER(MATCH(DATEVALUE($A306),'recurring1_based on steps'!AQ$1:AQ$400,0)),AQ$2,)</f>
        <v>0</v>
      </c>
      <c r="AR306" s="179">
        <f ca="1">IF(ISNUMBER(MATCH(DATEVALUE($A306),'recurring1_based on steps'!AR$1:AR$400,0)),AR$2,)</f>
        <v>0</v>
      </c>
      <c r="AS306" s="179">
        <f ca="1">IF(ISNUMBER(MATCH(DATEVALUE($A306),'recurring1_based on steps'!AS$1:AS$400,0)),AS$2,)</f>
        <v>0</v>
      </c>
      <c r="AT306" s="179">
        <f ca="1">IF(ISNUMBER(MATCH(DATEVALUE($A306),'recurring1_based on steps'!AT$1:AT$400,0)),AT$2,)</f>
        <v>0</v>
      </c>
      <c r="AU306" s="179">
        <f ca="1">IF(ISNUMBER(MATCH(DATEVALUE($A306),'recurring1_based on steps'!AU$1:AU$400,0)),AU$2,)</f>
        <v>0</v>
      </c>
      <c r="AV306" s="179">
        <f ca="1">IF(ISNUMBER(MATCH(DATEVALUE($A306),'recurring1_based on steps'!AV$1:AV$400,0)),AV$2,)</f>
        <v>0</v>
      </c>
      <c r="AW306" s="179">
        <f ca="1">IF(ISNUMBER(MATCH(DATEVALUE($A306),'recurring1_based on steps'!AW$1:AW$400,0)),AW$2,)</f>
        <v>0</v>
      </c>
      <c r="AX306" s="179">
        <f ca="1">IF(ISNUMBER(MATCH(DATEVALUE($A306),'recurring1_based on steps'!AX$1:AX$400,0)),AX$2,)</f>
        <v>0</v>
      </c>
      <c r="AY306" s="179">
        <f ca="1">IF(ISNUMBER(MATCH(DATEVALUE($A306),'recurring1_based on steps'!AY$1:AY$400,0)),AY$2,)</f>
        <v>0</v>
      </c>
    </row>
    <row r="307" spans="1:51" x14ac:dyDescent="0.2">
      <c r="A307" s="32" t="str">
        <f t="shared" ca="1" si="4"/>
        <v>2026-02-03</v>
      </c>
      <c r="B307" s="179">
        <f ca="1">IF(ISNUMBER(MATCH(DATEVALUE($A307),'recurring1_based on steps'!B$1:B$400,0)),B$2,)</f>
        <v>0</v>
      </c>
      <c r="C307" s="179">
        <f ca="1">IF(ISNUMBER(MATCH(DATEVALUE($A307),'recurring1_based on steps'!C$1:C$400,0)),C$2,)</f>
        <v>0</v>
      </c>
      <c r="D307" s="179">
        <f ca="1">IF(ISNUMBER(MATCH(DATEVALUE($A307),'recurring1_based on steps'!D$1:D$400,0)),D$2,)</f>
        <v>0</v>
      </c>
      <c r="E307" s="179">
        <f ca="1">IF(ISNUMBER(MATCH(DATEVALUE($A307),'recurring1_based on steps'!E$1:E$400,0)),E$2,)</f>
        <v>0</v>
      </c>
      <c r="F307" s="179">
        <f ca="1">IF(ISNUMBER(MATCH(DATEVALUE($A307),'recurring1_based on steps'!F$1:F$400,0)),F$2,)</f>
        <v>0</v>
      </c>
      <c r="G307" s="179">
        <f ca="1">IF(ISNUMBER(MATCH(DATEVALUE($A307),'recurring1_based on steps'!G$1:G$400,0)),G$2,)</f>
        <v>0</v>
      </c>
      <c r="H307" s="179">
        <f ca="1">IF(ISNUMBER(MATCH(DATEVALUE($A307),'recurring1_based on steps'!H$1:H$400,0)),H$2,)</f>
        <v>0</v>
      </c>
      <c r="I307" s="179">
        <f ca="1">IF(ISNUMBER(MATCH(DATEVALUE($A307),'recurring1_based on steps'!I$1:I$400,0)),I$2,)</f>
        <v>0</v>
      </c>
      <c r="J307" s="179">
        <f ca="1">IF(ISNUMBER(MATCH(DATEVALUE($A307),'recurring1_based on steps'!J$1:J$400,0)),J$2,)</f>
        <v>0</v>
      </c>
      <c r="K307" s="179">
        <f ca="1">IF(ISNUMBER(MATCH(DATEVALUE($A307),'recurring1_based on steps'!K$1:K$400,0)),K$2,)</f>
        <v>0</v>
      </c>
      <c r="L307" s="179">
        <f ca="1">IF(ISNUMBER(MATCH(DATEVALUE($A307),'recurring1_based on steps'!L$1:L$400,0)),L$2,)</f>
        <v>0</v>
      </c>
      <c r="M307" s="179">
        <f ca="1">IF(ISNUMBER(MATCH(DATEVALUE($A307),'recurring1_based on steps'!M$1:M$400,0)),M$2,)</f>
        <v>0</v>
      </c>
      <c r="N307" s="179">
        <f ca="1">IF(ISNUMBER(MATCH(DATEVALUE($A307),'recurring1_based on steps'!N$1:N$400,0)),N$2,)</f>
        <v>0</v>
      </c>
      <c r="O307" s="179">
        <f ca="1">IF(ISNUMBER(MATCH(DATEVALUE($A307),'recurring1_based on steps'!O$1:O$400,0)),O$2,)</f>
        <v>0</v>
      </c>
      <c r="P307" s="179">
        <f ca="1">IF(ISNUMBER(MATCH(DATEVALUE($A307),'recurring1_based on steps'!P$1:P$400,0)),P$2,)</f>
        <v>0</v>
      </c>
      <c r="Q307" s="179">
        <f ca="1">IF(ISNUMBER(MATCH(DATEVALUE($A307),'recurring1_based on steps'!Q$1:Q$400,0)),Q$2,)</f>
        <v>0</v>
      </c>
      <c r="R307" s="179">
        <f ca="1">IF(ISNUMBER(MATCH(DATEVALUE($A307),'recurring1_based on steps'!R$1:R$400,0)),R$2,)</f>
        <v>0</v>
      </c>
      <c r="S307" s="179">
        <f ca="1">IF(ISNUMBER(MATCH(DATEVALUE($A307),'recurring1_based on steps'!S$1:S$400,0)),S$2,)</f>
        <v>0</v>
      </c>
      <c r="T307" s="179">
        <f ca="1">IF(ISNUMBER(MATCH(DATEVALUE($A307),'recurring1_based on steps'!T$1:T$400,0)),T$2,)</f>
        <v>0</v>
      </c>
      <c r="U307" s="179">
        <f ca="1">IF(ISNUMBER(MATCH(DATEVALUE($A307),'recurring1_based on steps'!U$1:U$400,0)),U$2,)</f>
        <v>0</v>
      </c>
      <c r="V307" s="179">
        <f ca="1">IF(ISNUMBER(MATCH(DATEVALUE($A307),'recurring1_based on steps'!V$1:V$400,0)),V$2,)</f>
        <v>0</v>
      </c>
      <c r="W307" s="179">
        <f ca="1">IF(ISNUMBER(MATCH(DATEVALUE($A307),'recurring1_based on steps'!W$1:W$400,0)),W$2,)</f>
        <v>0</v>
      </c>
      <c r="X307" s="179">
        <f ca="1">IF(ISNUMBER(MATCH(DATEVALUE($A307),'recurring1_based on steps'!X$1:X$400,0)),X$2,)</f>
        <v>0</v>
      </c>
      <c r="Y307" s="179">
        <f ca="1">IF(ISNUMBER(MATCH(DATEVALUE($A307),'recurring1_based on steps'!Y$1:Y$400,0)),Y$2,)</f>
        <v>0</v>
      </c>
      <c r="Z307" s="179">
        <f ca="1">IF(ISNUMBER(MATCH(DATEVALUE($A307),'recurring1_based on steps'!Z$1:Z$400,0)),Z$2,)</f>
        <v>0</v>
      </c>
      <c r="AA307" s="179">
        <f ca="1">IF(ISNUMBER(MATCH(DATEVALUE($A307),'recurring1_based on steps'!AA$1:AA$400,0)),AA$2,)</f>
        <v>0</v>
      </c>
      <c r="AB307" s="179">
        <f ca="1">IF(ISNUMBER(MATCH(DATEVALUE($A307),'recurring1_based on steps'!AB$1:AB$400,0)),AB$2,)</f>
        <v>0</v>
      </c>
      <c r="AC307" s="179">
        <f ca="1">IF(ISNUMBER(MATCH(DATEVALUE($A307),'recurring1_based on steps'!AC$1:AC$400,0)),AC$2,)</f>
        <v>0</v>
      </c>
      <c r="AD307" s="179">
        <f ca="1">IF(ISNUMBER(MATCH(DATEVALUE($A307),'recurring1_based on steps'!AD$1:AD$400,0)),AD$2,)</f>
        <v>0</v>
      </c>
      <c r="AE307" s="179">
        <f ca="1">IF(ISNUMBER(MATCH(DATEVALUE($A307),'recurring1_based on steps'!AE$1:AE$400,0)),AE$2,)</f>
        <v>0</v>
      </c>
      <c r="AF307" s="179">
        <f ca="1">IF(ISNUMBER(MATCH(DATEVALUE($A307),'recurring1_based on steps'!AF$1:AF$400,0)),AF$2,)</f>
        <v>0</v>
      </c>
      <c r="AG307" s="179">
        <f ca="1">IF(ISNUMBER(MATCH(DATEVALUE($A307),'recurring1_based on steps'!AG$1:AG$400,0)),AG$2,)</f>
        <v>0</v>
      </c>
      <c r="AH307" s="179">
        <f ca="1">IF(ISNUMBER(MATCH(DATEVALUE($A307),'recurring1_based on steps'!AH$1:AH$400,0)),AH$2,)</f>
        <v>0</v>
      </c>
      <c r="AI307" s="179">
        <f ca="1">IF(ISNUMBER(MATCH(DATEVALUE($A307),'recurring1_based on steps'!AI$1:AI$400,0)),AI$2,)</f>
        <v>0</v>
      </c>
      <c r="AJ307" s="179">
        <f ca="1">IF(ISNUMBER(MATCH(DATEVALUE($A307),'recurring1_based on steps'!AJ$1:AJ$400,0)),AJ$2,)</f>
        <v>0</v>
      </c>
      <c r="AK307" s="179">
        <f ca="1">IF(ISNUMBER(MATCH(DATEVALUE($A307),'recurring1_based on steps'!AK$1:AK$400,0)),AK$2,)</f>
        <v>0</v>
      </c>
      <c r="AL307" s="179">
        <f ca="1">IF(ISNUMBER(MATCH(DATEVALUE($A307),'recurring1_based on steps'!AL$1:AL$400,0)),AL$2,)</f>
        <v>0</v>
      </c>
      <c r="AM307" s="179">
        <f ca="1">IF(ISNUMBER(MATCH(DATEVALUE($A307),'recurring1_based on steps'!AM$1:AM$400,0)),AM$2,)</f>
        <v>0</v>
      </c>
      <c r="AN307" s="179">
        <f ca="1">IF(ISNUMBER(MATCH(DATEVALUE($A307),'recurring1_based on steps'!AN$1:AN$400,0)),AN$2,)</f>
        <v>0</v>
      </c>
      <c r="AO307" s="179">
        <f ca="1">IF(ISNUMBER(MATCH(DATEVALUE($A307),'recurring1_based on steps'!AO$1:AO$400,0)),AO$2,)</f>
        <v>0</v>
      </c>
      <c r="AP307" s="179">
        <f ca="1">IF(ISNUMBER(MATCH(DATEVALUE($A307),'recurring1_based on steps'!AP$1:AP$400,0)),AP$2,)</f>
        <v>0</v>
      </c>
      <c r="AQ307" s="179">
        <f ca="1">IF(ISNUMBER(MATCH(DATEVALUE($A307),'recurring1_based on steps'!AQ$1:AQ$400,0)),AQ$2,)</f>
        <v>0</v>
      </c>
      <c r="AR307" s="179">
        <f ca="1">IF(ISNUMBER(MATCH(DATEVALUE($A307),'recurring1_based on steps'!AR$1:AR$400,0)),AR$2,)</f>
        <v>0</v>
      </c>
      <c r="AS307" s="179">
        <f ca="1">IF(ISNUMBER(MATCH(DATEVALUE($A307),'recurring1_based on steps'!AS$1:AS$400,0)),AS$2,)</f>
        <v>0</v>
      </c>
      <c r="AT307" s="179">
        <f ca="1">IF(ISNUMBER(MATCH(DATEVALUE($A307),'recurring1_based on steps'!AT$1:AT$400,0)),AT$2,)</f>
        <v>0</v>
      </c>
      <c r="AU307" s="179">
        <f ca="1">IF(ISNUMBER(MATCH(DATEVALUE($A307),'recurring1_based on steps'!AU$1:AU$400,0)),AU$2,)</f>
        <v>0</v>
      </c>
      <c r="AV307" s="179">
        <f ca="1">IF(ISNUMBER(MATCH(DATEVALUE($A307),'recurring1_based on steps'!AV$1:AV$400,0)),AV$2,)</f>
        <v>0</v>
      </c>
      <c r="AW307" s="179">
        <f ca="1">IF(ISNUMBER(MATCH(DATEVALUE($A307),'recurring1_based on steps'!AW$1:AW$400,0)),AW$2,)</f>
        <v>0</v>
      </c>
      <c r="AX307" s="179">
        <f ca="1">IF(ISNUMBER(MATCH(DATEVALUE($A307),'recurring1_based on steps'!AX$1:AX$400,0)),AX$2,)</f>
        <v>0</v>
      </c>
      <c r="AY307" s="179">
        <f ca="1">IF(ISNUMBER(MATCH(DATEVALUE($A307),'recurring1_based on steps'!AY$1:AY$400,0)),AY$2,)</f>
        <v>0</v>
      </c>
    </row>
    <row r="308" spans="1:51" x14ac:dyDescent="0.2">
      <c r="A308" s="32" t="str">
        <f t="shared" ca="1" si="4"/>
        <v>2026-02-04</v>
      </c>
      <c r="B308" s="179">
        <f ca="1">IF(ISNUMBER(MATCH(DATEVALUE($A308),'recurring1_based on steps'!B$1:B$400,0)),B$2,)</f>
        <v>0</v>
      </c>
      <c r="C308" s="179">
        <f ca="1">IF(ISNUMBER(MATCH(DATEVALUE($A308),'recurring1_based on steps'!C$1:C$400,0)),C$2,)</f>
        <v>0</v>
      </c>
      <c r="D308" s="179">
        <f ca="1">IF(ISNUMBER(MATCH(DATEVALUE($A308),'recurring1_based on steps'!D$1:D$400,0)),D$2,)</f>
        <v>0</v>
      </c>
      <c r="E308" s="179">
        <f ca="1">IF(ISNUMBER(MATCH(DATEVALUE($A308),'recurring1_based on steps'!E$1:E$400,0)),E$2,)</f>
        <v>0</v>
      </c>
      <c r="F308" s="179">
        <f ca="1">IF(ISNUMBER(MATCH(DATEVALUE($A308),'recurring1_based on steps'!F$1:F$400,0)),F$2,)</f>
        <v>0</v>
      </c>
      <c r="G308" s="179">
        <f ca="1">IF(ISNUMBER(MATCH(DATEVALUE($A308),'recurring1_based on steps'!G$1:G$400,0)),G$2,)</f>
        <v>0</v>
      </c>
      <c r="H308" s="179">
        <f ca="1">IF(ISNUMBER(MATCH(DATEVALUE($A308),'recurring1_based on steps'!H$1:H$400,0)),H$2,)</f>
        <v>0</v>
      </c>
      <c r="I308" s="179">
        <f ca="1">IF(ISNUMBER(MATCH(DATEVALUE($A308),'recurring1_based on steps'!I$1:I$400,0)),I$2,)</f>
        <v>0</v>
      </c>
      <c r="J308" s="179">
        <f ca="1">IF(ISNUMBER(MATCH(DATEVALUE($A308),'recurring1_based on steps'!J$1:J$400,0)),J$2,)</f>
        <v>0</v>
      </c>
      <c r="K308" s="179">
        <f ca="1">IF(ISNUMBER(MATCH(DATEVALUE($A308),'recurring1_based on steps'!K$1:K$400,0)),K$2,)</f>
        <v>0</v>
      </c>
      <c r="L308" s="179">
        <f ca="1">IF(ISNUMBER(MATCH(DATEVALUE($A308),'recurring1_based on steps'!L$1:L$400,0)),L$2,)</f>
        <v>0</v>
      </c>
      <c r="M308" s="179">
        <f ca="1">IF(ISNUMBER(MATCH(DATEVALUE($A308),'recurring1_based on steps'!M$1:M$400,0)),M$2,)</f>
        <v>0</v>
      </c>
      <c r="N308" s="179">
        <f ca="1">IF(ISNUMBER(MATCH(DATEVALUE($A308),'recurring1_based on steps'!N$1:N$400,0)),N$2,)</f>
        <v>0</v>
      </c>
      <c r="O308" s="179">
        <f ca="1">IF(ISNUMBER(MATCH(DATEVALUE($A308),'recurring1_based on steps'!O$1:O$400,0)),O$2,)</f>
        <v>0</v>
      </c>
      <c r="P308" s="179">
        <f ca="1">IF(ISNUMBER(MATCH(DATEVALUE($A308),'recurring1_based on steps'!P$1:P$400,0)),P$2,)</f>
        <v>0</v>
      </c>
      <c r="Q308" s="179">
        <f ca="1">IF(ISNUMBER(MATCH(DATEVALUE($A308),'recurring1_based on steps'!Q$1:Q$400,0)),Q$2,)</f>
        <v>0</v>
      </c>
      <c r="R308" s="179">
        <f ca="1">IF(ISNUMBER(MATCH(DATEVALUE($A308),'recurring1_based on steps'!R$1:R$400,0)),R$2,)</f>
        <v>0</v>
      </c>
      <c r="S308" s="179">
        <f ca="1">IF(ISNUMBER(MATCH(DATEVALUE($A308),'recurring1_based on steps'!S$1:S$400,0)),S$2,)</f>
        <v>0</v>
      </c>
      <c r="T308" s="179">
        <f ca="1">IF(ISNUMBER(MATCH(DATEVALUE($A308),'recurring1_based on steps'!T$1:T$400,0)),T$2,)</f>
        <v>0</v>
      </c>
      <c r="U308" s="179">
        <f ca="1">IF(ISNUMBER(MATCH(DATEVALUE($A308),'recurring1_based on steps'!U$1:U$400,0)),U$2,)</f>
        <v>0</v>
      </c>
      <c r="V308" s="179">
        <f ca="1">IF(ISNUMBER(MATCH(DATEVALUE($A308),'recurring1_based on steps'!V$1:V$400,0)),V$2,)</f>
        <v>0</v>
      </c>
      <c r="W308" s="179">
        <f ca="1">IF(ISNUMBER(MATCH(DATEVALUE($A308),'recurring1_based on steps'!W$1:W$400,0)),W$2,)</f>
        <v>0</v>
      </c>
      <c r="X308" s="179">
        <f ca="1">IF(ISNUMBER(MATCH(DATEVALUE($A308),'recurring1_based on steps'!X$1:X$400,0)),X$2,)</f>
        <v>0</v>
      </c>
      <c r="Y308" s="179">
        <f ca="1">IF(ISNUMBER(MATCH(DATEVALUE($A308),'recurring1_based on steps'!Y$1:Y$400,0)),Y$2,)</f>
        <v>0</v>
      </c>
      <c r="Z308" s="179">
        <f ca="1">IF(ISNUMBER(MATCH(DATEVALUE($A308),'recurring1_based on steps'!Z$1:Z$400,0)),Z$2,)</f>
        <v>0</v>
      </c>
      <c r="AA308" s="179">
        <f ca="1">IF(ISNUMBER(MATCH(DATEVALUE($A308),'recurring1_based on steps'!AA$1:AA$400,0)),AA$2,)</f>
        <v>0</v>
      </c>
      <c r="AB308" s="179">
        <f ca="1">IF(ISNUMBER(MATCH(DATEVALUE($A308),'recurring1_based on steps'!AB$1:AB$400,0)),AB$2,)</f>
        <v>0</v>
      </c>
      <c r="AC308" s="179">
        <f ca="1">IF(ISNUMBER(MATCH(DATEVALUE($A308),'recurring1_based on steps'!AC$1:AC$400,0)),AC$2,)</f>
        <v>0</v>
      </c>
      <c r="AD308" s="179">
        <f ca="1">IF(ISNUMBER(MATCH(DATEVALUE($A308),'recurring1_based on steps'!AD$1:AD$400,0)),AD$2,)</f>
        <v>0</v>
      </c>
      <c r="AE308" s="179">
        <f ca="1">IF(ISNUMBER(MATCH(DATEVALUE($A308),'recurring1_based on steps'!AE$1:AE$400,0)),AE$2,)</f>
        <v>0</v>
      </c>
      <c r="AF308" s="179">
        <f ca="1">IF(ISNUMBER(MATCH(DATEVALUE($A308),'recurring1_based on steps'!AF$1:AF$400,0)),AF$2,)</f>
        <v>0</v>
      </c>
      <c r="AG308" s="179">
        <f ca="1">IF(ISNUMBER(MATCH(DATEVALUE($A308),'recurring1_based on steps'!AG$1:AG$400,0)),AG$2,)</f>
        <v>0</v>
      </c>
      <c r="AH308" s="179">
        <f ca="1">IF(ISNUMBER(MATCH(DATEVALUE($A308),'recurring1_based on steps'!AH$1:AH$400,0)),AH$2,)</f>
        <v>0</v>
      </c>
      <c r="AI308" s="179">
        <f ca="1">IF(ISNUMBER(MATCH(DATEVALUE($A308),'recurring1_based on steps'!AI$1:AI$400,0)),AI$2,)</f>
        <v>0</v>
      </c>
      <c r="AJ308" s="179">
        <f ca="1">IF(ISNUMBER(MATCH(DATEVALUE($A308),'recurring1_based on steps'!AJ$1:AJ$400,0)),AJ$2,)</f>
        <v>0</v>
      </c>
      <c r="AK308" s="179">
        <f ca="1">IF(ISNUMBER(MATCH(DATEVALUE($A308),'recurring1_based on steps'!AK$1:AK$400,0)),AK$2,)</f>
        <v>0</v>
      </c>
      <c r="AL308" s="179">
        <f ca="1">IF(ISNUMBER(MATCH(DATEVALUE($A308),'recurring1_based on steps'!AL$1:AL$400,0)),AL$2,)</f>
        <v>0</v>
      </c>
      <c r="AM308" s="179">
        <f ca="1">IF(ISNUMBER(MATCH(DATEVALUE($A308),'recurring1_based on steps'!AM$1:AM$400,0)),AM$2,)</f>
        <v>0</v>
      </c>
      <c r="AN308" s="179">
        <f ca="1">IF(ISNUMBER(MATCH(DATEVALUE($A308),'recurring1_based on steps'!AN$1:AN$400,0)),AN$2,)</f>
        <v>0</v>
      </c>
      <c r="AO308" s="179">
        <f ca="1">IF(ISNUMBER(MATCH(DATEVALUE($A308),'recurring1_based on steps'!AO$1:AO$400,0)),AO$2,)</f>
        <v>0</v>
      </c>
      <c r="AP308" s="179">
        <f ca="1">IF(ISNUMBER(MATCH(DATEVALUE($A308),'recurring1_based on steps'!AP$1:AP$400,0)),AP$2,)</f>
        <v>0</v>
      </c>
      <c r="AQ308" s="179">
        <f ca="1">IF(ISNUMBER(MATCH(DATEVALUE($A308),'recurring1_based on steps'!AQ$1:AQ$400,0)),AQ$2,)</f>
        <v>0</v>
      </c>
      <c r="AR308" s="179">
        <f ca="1">IF(ISNUMBER(MATCH(DATEVALUE($A308),'recurring1_based on steps'!AR$1:AR$400,0)),AR$2,)</f>
        <v>0</v>
      </c>
      <c r="AS308" s="179">
        <f ca="1">IF(ISNUMBER(MATCH(DATEVALUE($A308),'recurring1_based on steps'!AS$1:AS$400,0)),AS$2,)</f>
        <v>0</v>
      </c>
      <c r="AT308" s="179">
        <f ca="1">IF(ISNUMBER(MATCH(DATEVALUE($A308),'recurring1_based on steps'!AT$1:AT$400,0)),AT$2,)</f>
        <v>0</v>
      </c>
      <c r="AU308" s="179">
        <f ca="1">IF(ISNUMBER(MATCH(DATEVALUE($A308),'recurring1_based on steps'!AU$1:AU$400,0)),AU$2,)</f>
        <v>0</v>
      </c>
      <c r="AV308" s="179">
        <f ca="1">IF(ISNUMBER(MATCH(DATEVALUE($A308),'recurring1_based on steps'!AV$1:AV$400,0)),AV$2,)</f>
        <v>0</v>
      </c>
      <c r="AW308" s="179">
        <f ca="1">IF(ISNUMBER(MATCH(DATEVALUE($A308),'recurring1_based on steps'!AW$1:AW$400,0)),AW$2,)</f>
        <v>0</v>
      </c>
      <c r="AX308" s="179">
        <f ca="1">IF(ISNUMBER(MATCH(DATEVALUE($A308),'recurring1_based on steps'!AX$1:AX$400,0)),AX$2,)</f>
        <v>0</v>
      </c>
      <c r="AY308" s="179">
        <f ca="1">IF(ISNUMBER(MATCH(DATEVALUE($A308),'recurring1_based on steps'!AY$1:AY$400,0)),AY$2,)</f>
        <v>0</v>
      </c>
    </row>
    <row r="309" spans="1:51" x14ac:dyDescent="0.2">
      <c r="A309" s="32" t="str">
        <f t="shared" ca="1" si="4"/>
        <v>2026-02-05</v>
      </c>
      <c r="B309" s="179">
        <f ca="1">IF(ISNUMBER(MATCH(DATEVALUE($A309),'recurring1_based on steps'!B$1:B$400,0)),B$2,)</f>
        <v>0</v>
      </c>
      <c r="C309" s="179">
        <f ca="1">IF(ISNUMBER(MATCH(DATEVALUE($A309),'recurring1_based on steps'!C$1:C$400,0)),C$2,)</f>
        <v>0</v>
      </c>
      <c r="D309" s="179">
        <f ca="1">IF(ISNUMBER(MATCH(DATEVALUE($A309),'recurring1_based on steps'!D$1:D$400,0)),D$2,)</f>
        <v>0</v>
      </c>
      <c r="E309" s="179">
        <f ca="1">IF(ISNUMBER(MATCH(DATEVALUE($A309),'recurring1_based on steps'!E$1:E$400,0)),E$2,)</f>
        <v>0</v>
      </c>
      <c r="F309" s="179">
        <f ca="1">IF(ISNUMBER(MATCH(DATEVALUE($A309),'recurring1_based on steps'!F$1:F$400,0)),F$2,)</f>
        <v>0</v>
      </c>
      <c r="G309" s="179">
        <f ca="1">IF(ISNUMBER(MATCH(DATEVALUE($A309),'recurring1_based on steps'!G$1:G$400,0)),G$2,)</f>
        <v>0</v>
      </c>
      <c r="H309" s="179">
        <f ca="1">IF(ISNUMBER(MATCH(DATEVALUE($A309),'recurring1_based on steps'!H$1:H$400,0)),H$2,)</f>
        <v>0</v>
      </c>
      <c r="I309" s="179">
        <f ca="1">IF(ISNUMBER(MATCH(DATEVALUE($A309),'recurring1_based on steps'!I$1:I$400,0)),I$2,)</f>
        <v>0</v>
      </c>
      <c r="J309" s="179">
        <f ca="1">IF(ISNUMBER(MATCH(DATEVALUE($A309),'recurring1_based on steps'!J$1:J$400,0)),J$2,)</f>
        <v>0</v>
      </c>
      <c r="K309" s="179">
        <f ca="1">IF(ISNUMBER(MATCH(DATEVALUE($A309),'recurring1_based on steps'!K$1:K$400,0)),K$2,)</f>
        <v>0</v>
      </c>
      <c r="L309" s="179">
        <f ca="1">IF(ISNUMBER(MATCH(DATEVALUE($A309),'recurring1_based on steps'!L$1:L$400,0)),L$2,)</f>
        <v>0</v>
      </c>
      <c r="M309" s="179">
        <f ca="1">IF(ISNUMBER(MATCH(DATEVALUE($A309),'recurring1_based on steps'!M$1:M$400,0)),M$2,)</f>
        <v>0</v>
      </c>
      <c r="N309" s="179">
        <f ca="1">IF(ISNUMBER(MATCH(DATEVALUE($A309),'recurring1_based on steps'!N$1:N$400,0)),N$2,)</f>
        <v>0</v>
      </c>
      <c r="O309" s="179">
        <f ca="1">IF(ISNUMBER(MATCH(DATEVALUE($A309),'recurring1_based on steps'!O$1:O$400,0)),O$2,)</f>
        <v>0</v>
      </c>
      <c r="P309" s="179">
        <f ca="1">IF(ISNUMBER(MATCH(DATEVALUE($A309),'recurring1_based on steps'!P$1:P$400,0)),P$2,)</f>
        <v>0</v>
      </c>
      <c r="Q309" s="179">
        <f ca="1">IF(ISNUMBER(MATCH(DATEVALUE($A309),'recurring1_based on steps'!Q$1:Q$400,0)),Q$2,)</f>
        <v>0</v>
      </c>
      <c r="R309" s="179">
        <f ca="1">IF(ISNUMBER(MATCH(DATEVALUE($A309),'recurring1_based on steps'!R$1:R$400,0)),R$2,)</f>
        <v>0</v>
      </c>
      <c r="S309" s="179">
        <f ca="1">IF(ISNUMBER(MATCH(DATEVALUE($A309),'recurring1_based on steps'!S$1:S$400,0)),S$2,)</f>
        <v>0</v>
      </c>
      <c r="T309" s="179">
        <f ca="1">IF(ISNUMBER(MATCH(DATEVALUE($A309),'recurring1_based on steps'!T$1:T$400,0)),T$2,)</f>
        <v>0</v>
      </c>
      <c r="U309" s="179">
        <f ca="1">IF(ISNUMBER(MATCH(DATEVALUE($A309),'recurring1_based on steps'!U$1:U$400,0)),U$2,)</f>
        <v>0</v>
      </c>
      <c r="V309" s="179">
        <f ca="1">IF(ISNUMBER(MATCH(DATEVALUE($A309),'recurring1_based on steps'!V$1:V$400,0)),V$2,)</f>
        <v>0</v>
      </c>
      <c r="W309" s="179">
        <f ca="1">IF(ISNUMBER(MATCH(DATEVALUE($A309),'recurring1_based on steps'!W$1:W$400,0)),W$2,)</f>
        <v>0</v>
      </c>
      <c r="X309" s="179">
        <f ca="1">IF(ISNUMBER(MATCH(DATEVALUE($A309),'recurring1_based on steps'!X$1:X$400,0)),X$2,)</f>
        <v>0</v>
      </c>
      <c r="Y309" s="179">
        <f ca="1">IF(ISNUMBER(MATCH(DATEVALUE($A309),'recurring1_based on steps'!Y$1:Y$400,0)),Y$2,)</f>
        <v>0</v>
      </c>
      <c r="Z309" s="179">
        <f ca="1">IF(ISNUMBER(MATCH(DATEVALUE($A309),'recurring1_based on steps'!Z$1:Z$400,0)),Z$2,)</f>
        <v>0</v>
      </c>
      <c r="AA309" s="179">
        <f ca="1">IF(ISNUMBER(MATCH(DATEVALUE($A309),'recurring1_based on steps'!AA$1:AA$400,0)),AA$2,)</f>
        <v>0</v>
      </c>
      <c r="AB309" s="179">
        <f ca="1">IF(ISNUMBER(MATCH(DATEVALUE($A309),'recurring1_based on steps'!AB$1:AB$400,0)),AB$2,)</f>
        <v>0</v>
      </c>
      <c r="AC309" s="179">
        <f ca="1">IF(ISNUMBER(MATCH(DATEVALUE($A309),'recurring1_based on steps'!AC$1:AC$400,0)),AC$2,)</f>
        <v>0</v>
      </c>
      <c r="AD309" s="179">
        <f ca="1">IF(ISNUMBER(MATCH(DATEVALUE($A309),'recurring1_based on steps'!AD$1:AD$400,0)),AD$2,)</f>
        <v>0</v>
      </c>
      <c r="AE309" s="179">
        <f ca="1">IF(ISNUMBER(MATCH(DATEVALUE($A309),'recurring1_based on steps'!AE$1:AE$400,0)),AE$2,)</f>
        <v>0</v>
      </c>
      <c r="AF309" s="179">
        <f ca="1">IF(ISNUMBER(MATCH(DATEVALUE($A309),'recurring1_based on steps'!AF$1:AF$400,0)),AF$2,)</f>
        <v>0</v>
      </c>
      <c r="AG309" s="179">
        <f ca="1">IF(ISNUMBER(MATCH(DATEVALUE($A309),'recurring1_based on steps'!AG$1:AG$400,0)),AG$2,)</f>
        <v>0</v>
      </c>
      <c r="AH309" s="179">
        <f ca="1">IF(ISNUMBER(MATCH(DATEVALUE($A309),'recurring1_based on steps'!AH$1:AH$400,0)),AH$2,)</f>
        <v>0</v>
      </c>
      <c r="AI309" s="179">
        <f ca="1">IF(ISNUMBER(MATCH(DATEVALUE($A309),'recurring1_based on steps'!AI$1:AI$400,0)),AI$2,)</f>
        <v>0</v>
      </c>
      <c r="AJ309" s="179">
        <f ca="1">IF(ISNUMBER(MATCH(DATEVALUE($A309),'recurring1_based on steps'!AJ$1:AJ$400,0)),AJ$2,)</f>
        <v>0</v>
      </c>
      <c r="AK309" s="179">
        <f ca="1">IF(ISNUMBER(MATCH(DATEVALUE($A309),'recurring1_based on steps'!AK$1:AK$400,0)),AK$2,)</f>
        <v>0</v>
      </c>
      <c r="AL309" s="179">
        <f ca="1">IF(ISNUMBER(MATCH(DATEVALUE($A309),'recurring1_based on steps'!AL$1:AL$400,0)),AL$2,)</f>
        <v>0</v>
      </c>
      <c r="AM309" s="179">
        <f ca="1">IF(ISNUMBER(MATCH(DATEVALUE($A309),'recurring1_based on steps'!AM$1:AM$400,0)),AM$2,)</f>
        <v>0</v>
      </c>
      <c r="AN309" s="179">
        <f ca="1">IF(ISNUMBER(MATCH(DATEVALUE($A309),'recurring1_based on steps'!AN$1:AN$400,0)),AN$2,)</f>
        <v>0</v>
      </c>
      <c r="AO309" s="179">
        <f ca="1">IF(ISNUMBER(MATCH(DATEVALUE($A309),'recurring1_based on steps'!AO$1:AO$400,0)),AO$2,)</f>
        <v>0</v>
      </c>
      <c r="AP309" s="179">
        <f ca="1">IF(ISNUMBER(MATCH(DATEVALUE($A309),'recurring1_based on steps'!AP$1:AP$400,0)),AP$2,)</f>
        <v>0</v>
      </c>
      <c r="AQ309" s="179">
        <f ca="1">IF(ISNUMBER(MATCH(DATEVALUE($A309),'recurring1_based on steps'!AQ$1:AQ$400,0)),AQ$2,)</f>
        <v>0</v>
      </c>
      <c r="AR309" s="179">
        <f ca="1">IF(ISNUMBER(MATCH(DATEVALUE($A309),'recurring1_based on steps'!AR$1:AR$400,0)),AR$2,)</f>
        <v>0</v>
      </c>
      <c r="AS309" s="179">
        <f ca="1">IF(ISNUMBER(MATCH(DATEVALUE($A309),'recurring1_based on steps'!AS$1:AS$400,0)),AS$2,)</f>
        <v>0</v>
      </c>
      <c r="AT309" s="179">
        <f ca="1">IF(ISNUMBER(MATCH(DATEVALUE($A309),'recurring1_based on steps'!AT$1:AT$400,0)),AT$2,)</f>
        <v>0</v>
      </c>
      <c r="AU309" s="179">
        <f ca="1">IF(ISNUMBER(MATCH(DATEVALUE($A309),'recurring1_based on steps'!AU$1:AU$400,0)),AU$2,)</f>
        <v>0</v>
      </c>
      <c r="AV309" s="179">
        <f ca="1">IF(ISNUMBER(MATCH(DATEVALUE($A309),'recurring1_based on steps'!AV$1:AV$400,0)),AV$2,)</f>
        <v>0</v>
      </c>
      <c r="AW309" s="179">
        <f ca="1">IF(ISNUMBER(MATCH(DATEVALUE($A309),'recurring1_based on steps'!AW$1:AW$400,0)),AW$2,)</f>
        <v>0</v>
      </c>
      <c r="AX309" s="179">
        <f ca="1">IF(ISNUMBER(MATCH(DATEVALUE($A309),'recurring1_based on steps'!AX$1:AX$400,0)),AX$2,)</f>
        <v>0</v>
      </c>
      <c r="AY309" s="179">
        <f ca="1">IF(ISNUMBER(MATCH(DATEVALUE($A309),'recurring1_based on steps'!AY$1:AY$400,0)),AY$2,)</f>
        <v>0</v>
      </c>
    </row>
    <row r="310" spans="1:51" x14ac:dyDescent="0.2">
      <c r="A310" s="32" t="str">
        <f t="shared" ca="1" si="4"/>
        <v>2026-02-06</v>
      </c>
      <c r="B310" s="179">
        <f ca="1">IF(ISNUMBER(MATCH(DATEVALUE($A310),'recurring1_based on steps'!B$1:B$400,0)),B$2,)</f>
        <v>0</v>
      </c>
      <c r="C310" s="179">
        <f ca="1">IF(ISNUMBER(MATCH(DATEVALUE($A310),'recurring1_based on steps'!C$1:C$400,0)),C$2,)</f>
        <v>0</v>
      </c>
      <c r="D310" s="179">
        <f ca="1">IF(ISNUMBER(MATCH(DATEVALUE($A310),'recurring1_based on steps'!D$1:D$400,0)),D$2,)</f>
        <v>0</v>
      </c>
      <c r="E310" s="179">
        <f ca="1">IF(ISNUMBER(MATCH(DATEVALUE($A310),'recurring1_based on steps'!E$1:E$400,0)),E$2,)</f>
        <v>0</v>
      </c>
      <c r="F310" s="179">
        <f ca="1">IF(ISNUMBER(MATCH(DATEVALUE($A310),'recurring1_based on steps'!F$1:F$400,0)),F$2,)</f>
        <v>0</v>
      </c>
      <c r="G310" s="179">
        <f ca="1">IF(ISNUMBER(MATCH(DATEVALUE($A310),'recurring1_based on steps'!G$1:G$400,0)),G$2,)</f>
        <v>0</v>
      </c>
      <c r="H310" s="179">
        <f ca="1">IF(ISNUMBER(MATCH(DATEVALUE($A310),'recurring1_based on steps'!H$1:H$400,0)),H$2,)</f>
        <v>0</v>
      </c>
      <c r="I310" s="179">
        <f ca="1">IF(ISNUMBER(MATCH(DATEVALUE($A310),'recurring1_based on steps'!I$1:I$400,0)),I$2,)</f>
        <v>0</v>
      </c>
      <c r="J310" s="179">
        <f ca="1">IF(ISNUMBER(MATCH(DATEVALUE($A310),'recurring1_based on steps'!J$1:J$400,0)),J$2,)</f>
        <v>0</v>
      </c>
      <c r="K310" s="179">
        <f ca="1">IF(ISNUMBER(MATCH(DATEVALUE($A310),'recurring1_based on steps'!K$1:K$400,0)),K$2,)</f>
        <v>0</v>
      </c>
      <c r="L310" s="179">
        <f ca="1">IF(ISNUMBER(MATCH(DATEVALUE($A310),'recurring1_based on steps'!L$1:L$400,0)),L$2,)</f>
        <v>0</v>
      </c>
      <c r="M310" s="179">
        <f ca="1">IF(ISNUMBER(MATCH(DATEVALUE($A310),'recurring1_based on steps'!M$1:M$400,0)),M$2,)</f>
        <v>0</v>
      </c>
      <c r="N310" s="179">
        <f ca="1">IF(ISNUMBER(MATCH(DATEVALUE($A310),'recurring1_based on steps'!N$1:N$400,0)),N$2,)</f>
        <v>0</v>
      </c>
      <c r="O310" s="179">
        <f ca="1">IF(ISNUMBER(MATCH(DATEVALUE($A310),'recurring1_based on steps'!O$1:O$400,0)),O$2,)</f>
        <v>0</v>
      </c>
      <c r="P310" s="179">
        <f ca="1">IF(ISNUMBER(MATCH(DATEVALUE($A310),'recurring1_based on steps'!P$1:P$400,0)),P$2,)</f>
        <v>0</v>
      </c>
      <c r="Q310" s="179">
        <f ca="1">IF(ISNUMBER(MATCH(DATEVALUE($A310),'recurring1_based on steps'!Q$1:Q$400,0)),Q$2,)</f>
        <v>0</v>
      </c>
      <c r="R310" s="179">
        <f ca="1">IF(ISNUMBER(MATCH(DATEVALUE($A310),'recurring1_based on steps'!R$1:R$400,0)),R$2,)</f>
        <v>0</v>
      </c>
      <c r="S310" s="179">
        <f ca="1">IF(ISNUMBER(MATCH(DATEVALUE($A310),'recurring1_based on steps'!S$1:S$400,0)),S$2,)</f>
        <v>0</v>
      </c>
      <c r="T310" s="179">
        <f ca="1">IF(ISNUMBER(MATCH(DATEVALUE($A310),'recurring1_based on steps'!T$1:T$400,0)),T$2,)</f>
        <v>0</v>
      </c>
      <c r="U310" s="179">
        <f ca="1">IF(ISNUMBER(MATCH(DATEVALUE($A310),'recurring1_based on steps'!U$1:U$400,0)),U$2,)</f>
        <v>0</v>
      </c>
      <c r="V310" s="179">
        <f ca="1">IF(ISNUMBER(MATCH(DATEVALUE($A310),'recurring1_based on steps'!V$1:V$400,0)),V$2,)</f>
        <v>0</v>
      </c>
      <c r="W310" s="179">
        <f ca="1">IF(ISNUMBER(MATCH(DATEVALUE($A310),'recurring1_based on steps'!W$1:W$400,0)),W$2,)</f>
        <v>0</v>
      </c>
      <c r="X310" s="179">
        <f ca="1">IF(ISNUMBER(MATCH(DATEVALUE($A310),'recurring1_based on steps'!X$1:X$400,0)),X$2,)</f>
        <v>0</v>
      </c>
      <c r="Y310" s="179">
        <f ca="1">IF(ISNUMBER(MATCH(DATEVALUE($A310),'recurring1_based on steps'!Y$1:Y$400,0)),Y$2,)</f>
        <v>0</v>
      </c>
      <c r="Z310" s="179">
        <f ca="1">IF(ISNUMBER(MATCH(DATEVALUE($A310),'recurring1_based on steps'!Z$1:Z$400,0)),Z$2,)</f>
        <v>0</v>
      </c>
      <c r="AA310" s="179">
        <f ca="1">IF(ISNUMBER(MATCH(DATEVALUE($A310),'recurring1_based on steps'!AA$1:AA$400,0)),AA$2,)</f>
        <v>0</v>
      </c>
      <c r="AB310" s="179">
        <f ca="1">IF(ISNUMBER(MATCH(DATEVALUE($A310),'recurring1_based on steps'!AB$1:AB$400,0)),AB$2,)</f>
        <v>0</v>
      </c>
      <c r="AC310" s="179">
        <f ca="1">IF(ISNUMBER(MATCH(DATEVALUE($A310),'recurring1_based on steps'!AC$1:AC$400,0)),AC$2,)</f>
        <v>0</v>
      </c>
      <c r="AD310" s="179">
        <f ca="1">IF(ISNUMBER(MATCH(DATEVALUE($A310),'recurring1_based on steps'!AD$1:AD$400,0)),AD$2,)</f>
        <v>0</v>
      </c>
      <c r="AE310" s="179">
        <f ca="1">IF(ISNUMBER(MATCH(DATEVALUE($A310),'recurring1_based on steps'!AE$1:AE$400,0)),AE$2,)</f>
        <v>0</v>
      </c>
      <c r="AF310" s="179">
        <f ca="1">IF(ISNUMBER(MATCH(DATEVALUE($A310),'recurring1_based on steps'!AF$1:AF$400,0)),AF$2,)</f>
        <v>0</v>
      </c>
      <c r="AG310" s="179">
        <f ca="1">IF(ISNUMBER(MATCH(DATEVALUE($A310),'recurring1_based on steps'!AG$1:AG$400,0)),AG$2,)</f>
        <v>0</v>
      </c>
      <c r="AH310" s="179">
        <f ca="1">IF(ISNUMBER(MATCH(DATEVALUE($A310),'recurring1_based on steps'!AH$1:AH$400,0)),AH$2,)</f>
        <v>0</v>
      </c>
      <c r="AI310" s="179">
        <f ca="1">IF(ISNUMBER(MATCH(DATEVALUE($A310),'recurring1_based on steps'!AI$1:AI$400,0)),AI$2,)</f>
        <v>0</v>
      </c>
      <c r="AJ310" s="179">
        <f ca="1">IF(ISNUMBER(MATCH(DATEVALUE($A310),'recurring1_based on steps'!AJ$1:AJ$400,0)),AJ$2,)</f>
        <v>0</v>
      </c>
      <c r="AK310" s="179">
        <f ca="1">IF(ISNUMBER(MATCH(DATEVALUE($A310),'recurring1_based on steps'!AK$1:AK$400,0)),AK$2,)</f>
        <v>0</v>
      </c>
      <c r="AL310" s="179">
        <f ca="1">IF(ISNUMBER(MATCH(DATEVALUE($A310),'recurring1_based on steps'!AL$1:AL$400,0)),AL$2,)</f>
        <v>0</v>
      </c>
      <c r="AM310" s="179">
        <f ca="1">IF(ISNUMBER(MATCH(DATEVALUE($A310),'recurring1_based on steps'!AM$1:AM$400,0)),AM$2,)</f>
        <v>0</v>
      </c>
      <c r="AN310" s="179">
        <f ca="1">IF(ISNUMBER(MATCH(DATEVALUE($A310),'recurring1_based on steps'!AN$1:AN$400,0)),AN$2,)</f>
        <v>0</v>
      </c>
      <c r="AO310" s="179">
        <f ca="1">IF(ISNUMBER(MATCH(DATEVALUE($A310),'recurring1_based on steps'!AO$1:AO$400,0)),AO$2,)</f>
        <v>0</v>
      </c>
      <c r="AP310" s="179">
        <f ca="1">IF(ISNUMBER(MATCH(DATEVALUE($A310),'recurring1_based on steps'!AP$1:AP$400,0)),AP$2,)</f>
        <v>0</v>
      </c>
      <c r="AQ310" s="179">
        <f ca="1">IF(ISNUMBER(MATCH(DATEVALUE($A310),'recurring1_based on steps'!AQ$1:AQ$400,0)),AQ$2,)</f>
        <v>0</v>
      </c>
      <c r="AR310" s="179">
        <f ca="1">IF(ISNUMBER(MATCH(DATEVALUE($A310),'recurring1_based on steps'!AR$1:AR$400,0)),AR$2,)</f>
        <v>0</v>
      </c>
      <c r="AS310" s="179">
        <f ca="1">IF(ISNUMBER(MATCH(DATEVALUE($A310),'recurring1_based on steps'!AS$1:AS$400,0)),AS$2,)</f>
        <v>0</v>
      </c>
      <c r="AT310" s="179">
        <f ca="1">IF(ISNUMBER(MATCH(DATEVALUE($A310),'recurring1_based on steps'!AT$1:AT$400,0)),AT$2,)</f>
        <v>0</v>
      </c>
      <c r="AU310" s="179">
        <f ca="1">IF(ISNUMBER(MATCH(DATEVALUE($A310),'recurring1_based on steps'!AU$1:AU$400,0)),AU$2,)</f>
        <v>0</v>
      </c>
      <c r="AV310" s="179">
        <f ca="1">IF(ISNUMBER(MATCH(DATEVALUE($A310),'recurring1_based on steps'!AV$1:AV$400,0)),AV$2,)</f>
        <v>0</v>
      </c>
      <c r="AW310" s="179">
        <f ca="1">IF(ISNUMBER(MATCH(DATEVALUE($A310),'recurring1_based on steps'!AW$1:AW$400,0)),AW$2,)</f>
        <v>0</v>
      </c>
      <c r="AX310" s="179">
        <f ca="1">IF(ISNUMBER(MATCH(DATEVALUE($A310),'recurring1_based on steps'!AX$1:AX$400,0)),AX$2,)</f>
        <v>0</v>
      </c>
      <c r="AY310" s="179">
        <f ca="1">IF(ISNUMBER(MATCH(DATEVALUE($A310),'recurring1_based on steps'!AY$1:AY$400,0)),AY$2,)</f>
        <v>0</v>
      </c>
    </row>
    <row r="311" spans="1:51" x14ac:dyDescent="0.2">
      <c r="A311" s="32" t="str">
        <f t="shared" ca="1" si="4"/>
        <v>2026-02-07</v>
      </c>
      <c r="B311" s="179">
        <f ca="1">IF(ISNUMBER(MATCH(DATEVALUE($A311),'recurring1_based on steps'!B$1:B$400,0)),B$2,)</f>
        <v>0</v>
      </c>
      <c r="C311" s="179">
        <f ca="1">IF(ISNUMBER(MATCH(DATEVALUE($A311),'recurring1_based on steps'!C$1:C$400,0)),C$2,)</f>
        <v>0</v>
      </c>
      <c r="D311" s="179">
        <f ca="1">IF(ISNUMBER(MATCH(DATEVALUE($A311),'recurring1_based on steps'!D$1:D$400,0)),D$2,)</f>
        <v>0</v>
      </c>
      <c r="E311" s="179">
        <f ca="1">IF(ISNUMBER(MATCH(DATEVALUE($A311),'recurring1_based on steps'!E$1:E$400,0)),E$2,)</f>
        <v>0</v>
      </c>
      <c r="F311" s="179">
        <f ca="1">IF(ISNUMBER(MATCH(DATEVALUE($A311),'recurring1_based on steps'!F$1:F$400,0)),F$2,)</f>
        <v>0</v>
      </c>
      <c r="G311" s="179">
        <f ca="1">IF(ISNUMBER(MATCH(DATEVALUE($A311),'recurring1_based on steps'!G$1:G$400,0)),G$2,)</f>
        <v>0</v>
      </c>
      <c r="H311" s="179">
        <f ca="1">IF(ISNUMBER(MATCH(DATEVALUE($A311),'recurring1_based on steps'!H$1:H$400,0)),H$2,)</f>
        <v>0</v>
      </c>
      <c r="I311" s="179">
        <f ca="1">IF(ISNUMBER(MATCH(DATEVALUE($A311),'recurring1_based on steps'!I$1:I$400,0)),I$2,)</f>
        <v>0</v>
      </c>
      <c r="J311" s="179">
        <f ca="1">IF(ISNUMBER(MATCH(DATEVALUE($A311),'recurring1_based on steps'!J$1:J$400,0)),J$2,)</f>
        <v>0</v>
      </c>
      <c r="K311" s="179">
        <f ca="1">IF(ISNUMBER(MATCH(DATEVALUE($A311),'recurring1_based on steps'!K$1:K$400,0)),K$2,)</f>
        <v>0</v>
      </c>
      <c r="L311" s="179">
        <f ca="1">IF(ISNUMBER(MATCH(DATEVALUE($A311),'recurring1_based on steps'!L$1:L$400,0)),L$2,)</f>
        <v>0</v>
      </c>
      <c r="M311" s="179">
        <f ca="1">IF(ISNUMBER(MATCH(DATEVALUE($A311),'recurring1_based on steps'!M$1:M$400,0)),M$2,)</f>
        <v>0</v>
      </c>
      <c r="N311" s="179">
        <f ca="1">IF(ISNUMBER(MATCH(DATEVALUE($A311),'recurring1_based on steps'!N$1:N$400,0)),N$2,)</f>
        <v>0</v>
      </c>
      <c r="O311" s="179">
        <f ca="1">IF(ISNUMBER(MATCH(DATEVALUE($A311),'recurring1_based on steps'!O$1:O$400,0)),O$2,)</f>
        <v>0</v>
      </c>
      <c r="P311" s="179">
        <f ca="1">IF(ISNUMBER(MATCH(DATEVALUE($A311),'recurring1_based on steps'!P$1:P$400,0)),P$2,)</f>
        <v>0</v>
      </c>
      <c r="Q311" s="179">
        <f ca="1">IF(ISNUMBER(MATCH(DATEVALUE($A311),'recurring1_based on steps'!Q$1:Q$400,0)),Q$2,)</f>
        <v>0</v>
      </c>
      <c r="R311" s="179">
        <f ca="1">IF(ISNUMBER(MATCH(DATEVALUE($A311),'recurring1_based on steps'!R$1:R$400,0)),R$2,)</f>
        <v>0</v>
      </c>
      <c r="S311" s="179">
        <f ca="1">IF(ISNUMBER(MATCH(DATEVALUE($A311),'recurring1_based on steps'!S$1:S$400,0)),S$2,)</f>
        <v>0</v>
      </c>
      <c r="T311" s="179">
        <f ca="1">IF(ISNUMBER(MATCH(DATEVALUE($A311),'recurring1_based on steps'!T$1:T$400,0)),T$2,)</f>
        <v>0</v>
      </c>
      <c r="U311" s="179">
        <f ca="1">IF(ISNUMBER(MATCH(DATEVALUE($A311),'recurring1_based on steps'!U$1:U$400,0)),U$2,)</f>
        <v>0</v>
      </c>
      <c r="V311" s="179">
        <f ca="1">IF(ISNUMBER(MATCH(DATEVALUE($A311),'recurring1_based on steps'!V$1:V$400,0)),V$2,)</f>
        <v>0</v>
      </c>
      <c r="W311" s="179">
        <f ca="1">IF(ISNUMBER(MATCH(DATEVALUE($A311),'recurring1_based on steps'!W$1:W$400,0)),W$2,)</f>
        <v>0</v>
      </c>
      <c r="X311" s="179">
        <f ca="1">IF(ISNUMBER(MATCH(DATEVALUE($A311),'recurring1_based on steps'!X$1:X$400,0)),X$2,)</f>
        <v>0</v>
      </c>
      <c r="Y311" s="179">
        <f ca="1">IF(ISNUMBER(MATCH(DATEVALUE($A311),'recurring1_based on steps'!Y$1:Y$400,0)),Y$2,)</f>
        <v>0</v>
      </c>
      <c r="Z311" s="179">
        <f ca="1">IF(ISNUMBER(MATCH(DATEVALUE($A311),'recurring1_based on steps'!Z$1:Z$400,0)),Z$2,)</f>
        <v>0</v>
      </c>
      <c r="AA311" s="179">
        <f ca="1">IF(ISNUMBER(MATCH(DATEVALUE($A311),'recurring1_based on steps'!AA$1:AA$400,0)),AA$2,)</f>
        <v>0</v>
      </c>
      <c r="AB311" s="179">
        <f ca="1">IF(ISNUMBER(MATCH(DATEVALUE($A311),'recurring1_based on steps'!AB$1:AB$400,0)),AB$2,)</f>
        <v>0</v>
      </c>
      <c r="AC311" s="179">
        <f ca="1">IF(ISNUMBER(MATCH(DATEVALUE($A311),'recurring1_based on steps'!AC$1:AC$400,0)),AC$2,)</f>
        <v>0</v>
      </c>
      <c r="AD311" s="179">
        <f ca="1">IF(ISNUMBER(MATCH(DATEVALUE($A311),'recurring1_based on steps'!AD$1:AD$400,0)),AD$2,)</f>
        <v>0</v>
      </c>
      <c r="AE311" s="179">
        <f ca="1">IF(ISNUMBER(MATCH(DATEVALUE($A311),'recurring1_based on steps'!AE$1:AE$400,0)),AE$2,)</f>
        <v>0</v>
      </c>
      <c r="AF311" s="179">
        <f ca="1">IF(ISNUMBER(MATCH(DATEVALUE($A311),'recurring1_based on steps'!AF$1:AF$400,0)),AF$2,)</f>
        <v>0</v>
      </c>
      <c r="AG311" s="179">
        <f ca="1">IF(ISNUMBER(MATCH(DATEVALUE($A311),'recurring1_based on steps'!AG$1:AG$400,0)),AG$2,)</f>
        <v>0</v>
      </c>
      <c r="AH311" s="179">
        <f ca="1">IF(ISNUMBER(MATCH(DATEVALUE($A311),'recurring1_based on steps'!AH$1:AH$400,0)),AH$2,)</f>
        <v>0</v>
      </c>
      <c r="AI311" s="179">
        <f ca="1">IF(ISNUMBER(MATCH(DATEVALUE($A311),'recurring1_based on steps'!AI$1:AI$400,0)),AI$2,)</f>
        <v>0</v>
      </c>
      <c r="AJ311" s="179">
        <f ca="1">IF(ISNUMBER(MATCH(DATEVALUE($A311),'recurring1_based on steps'!AJ$1:AJ$400,0)),AJ$2,)</f>
        <v>0</v>
      </c>
      <c r="AK311" s="179">
        <f ca="1">IF(ISNUMBER(MATCH(DATEVALUE($A311),'recurring1_based on steps'!AK$1:AK$400,0)),AK$2,)</f>
        <v>0</v>
      </c>
      <c r="AL311" s="179">
        <f ca="1">IF(ISNUMBER(MATCH(DATEVALUE($A311),'recurring1_based on steps'!AL$1:AL$400,0)),AL$2,)</f>
        <v>0</v>
      </c>
      <c r="AM311" s="179">
        <f ca="1">IF(ISNUMBER(MATCH(DATEVALUE($A311),'recurring1_based on steps'!AM$1:AM$400,0)),AM$2,)</f>
        <v>0</v>
      </c>
      <c r="AN311" s="179">
        <f ca="1">IF(ISNUMBER(MATCH(DATEVALUE($A311),'recurring1_based on steps'!AN$1:AN$400,0)),AN$2,)</f>
        <v>0</v>
      </c>
      <c r="AO311" s="179">
        <f ca="1">IF(ISNUMBER(MATCH(DATEVALUE($A311),'recurring1_based on steps'!AO$1:AO$400,0)),AO$2,)</f>
        <v>0</v>
      </c>
      <c r="AP311" s="179">
        <f ca="1">IF(ISNUMBER(MATCH(DATEVALUE($A311),'recurring1_based on steps'!AP$1:AP$400,0)),AP$2,)</f>
        <v>0</v>
      </c>
      <c r="AQ311" s="179">
        <f ca="1">IF(ISNUMBER(MATCH(DATEVALUE($A311),'recurring1_based on steps'!AQ$1:AQ$400,0)),AQ$2,)</f>
        <v>0</v>
      </c>
      <c r="AR311" s="179">
        <f ca="1">IF(ISNUMBER(MATCH(DATEVALUE($A311),'recurring1_based on steps'!AR$1:AR$400,0)),AR$2,)</f>
        <v>0</v>
      </c>
      <c r="AS311" s="179">
        <f ca="1">IF(ISNUMBER(MATCH(DATEVALUE($A311),'recurring1_based on steps'!AS$1:AS$400,0)),AS$2,)</f>
        <v>0</v>
      </c>
      <c r="AT311" s="179">
        <f ca="1">IF(ISNUMBER(MATCH(DATEVALUE($A311),'recurring1_based on steps'!AT$1:AT$400,0)),AT$2,)</f>
        <v>0</v>
      </c>
      <c r="AU311" s="179">
        <f ca="1">IF(ISNUMBER(MATCH(DATEVALUE($A311),'recurring1_based on steps'!AU$1:AU$400,0)),AU$2,)</f>
        <v>0</v>
      </c>
      <c r="AV311" s="179">
        <f ca="1">IF(ISNUMBER(MATCH(DATEVALUE($A311),'recurring1_based on steps'!AV$1:AV$400,0)),AV$2,)</f>
        <v>0</v>
      </c>
      <c r="AW311" s="179">
        <f ca="1">IF(ISNUMBER(MATCH(DATEVALUE($A311),'recurring1_based on steps'!AW$1:AW$400,0)),AW$2,)</f>
        <v>0</v>
      </c>
      <c r="AX311" s="179">
        <f ca="1">IF(ISNUMBER(MATCH(DATEVALUE($A311),'recurring1_based on steps'!AX$1:AX$400,0)),AX$2,)</f>
        <v>0</v>
      </c>
      <c r="AY311" s="179">
        <f ca="1">IF(ISNUMBER(MATCH(DATEVALUE($A311),'recurring1_based on steps'!AY$1:AY$400,0)),AY$2,)</f>
        <v>0</v>
      </c>
    </row>
    <row r="312" spans="1:51" x14ac:dyDescent="0.2">
      <c r="A312" s="32" t="str">
        <f t="shared" ca="1" si="4"/>
        <v>2026-02-08</v>
      </c>
      <c r="B312" s="179">
        <f ca="1">IF(ISNUMBER(MATCH(DATEVALUE($A312),'recurring1_based on steps'!B$1:B$400,0)),B$2,)</f>
        <v>0</v>
      </c>
      <c r="C312" s="179">
        <f ca="1">IF(ISNUMBER(MATCH(DATEVALUE($A312),'recurring1_based on steps'!C$1:C$400,0)),C$2,)</f>
        <v>0</v>
      </c>
      <c r="D312" s="179">
        <f ca="1">IF(ISNUMBER(MATCH(DATEVALUE($A312),'recurring1_based on steps'!D$1:D$400,0)),D$2,)</f>
        <v>0</v>
      </c>
      <c r="E312" s="179">
        <f ca="1">IF(ISNUMBER(MATCH(DATEVALUE($A312),'recurring1_based on steps'!E$1:E$400,0)),E$2,)</f>
        <v>0</v>
      </c>
      <c r="F312" s="179">
        <f ca="1">IF(ISNUMBER(MATCH(DATEVALUE($A312),'recurring1_based on steps'!F$1:F$400,0)),F$2,)</f>
        <v>0</v>
      </c>
      <c r="G312" s="179">
        <f ca="1">IF(ISNUMBER(MATCH(DATEVALUE($A312),'recurring1_based on steps'!G$1:G$400,0)),G$2,)</f>
        <v>0</v>
      </c>
      <c r="H312" s="179">
        <f ca="1">IF(ISNUMBER(MATCH(DATEVALUE($A312),'recurring1_based on steps'!H$1:H$400,0)),H$2,)</f>
        <v>0</v>
      </c>
      <c r="I312" s="179">
        <f ca="1">IF(ISNUMBER(MATCH(DATEVALUE($A312),'recurring1_based on steps'!I$1:I$400,0)),I$2,)</f>
        <v>0</v>
      </c>
      <c r="J312" s="179">
        <f ca="1">IF(ISNUMBER(MATCH(DATEVALUE($A312),'recurring1_based on steps'!J$1:J$400,0)),J$2,)</f>
        <v>0</v>
      </c>
      <c r="K312" s="179">
        <f ca="1">IF(ISNUMBER(MATCH(DATEVALUE($A312),'recurring1_based on steps'!K$1:K$400,0)),K$2,)</f>
        <v>0</v>
      </c>
      <c r="L312" s="179">
        <f ca="1">IF(ISNUMBER(MATCH(DATEVALUE($A312),'recurring1_based on steps'!L$1:L$400,0)),L$2,)</f>
        <v>0</v>
      </c>
      <c r="M312" s="179">
        <f ca="1">IF(ISNUMBER(MATCH(DATEVALUE($A312),'recurring1_based on steps'!M$1:M$400,0)),M$2,)</f>
        <v>0</v>
      </c>
      <c r="N312" s="179">
        <f ca="1">IF(ISNUMBER(MATCH(DATEVALUE($A312),'recurring1_based on steps'!N$1:N$400,0)),N$2,)</f>
        <v>0</v>
      </c>
      <c r="O312" s="179">
        <f ca="1">IF(ISNUMBER(MATCH(DATEVALUE($A312),'recurring1_based on steps'!O$1:O$400,0)),O$2,)</f>
        <v>0</v>
      </c>
      <c r="P312" s="179">
        <f ca="1">IF(ISNUMBER(MATCH(DATEVALUE($A312),'recurring1_based on steps'!P$1:P$400,0)),P$2,)</f>
        <v>0</v>
      </c>
      <c r="Q312" s="179">
        <f ca="1">IF(ISNUMBER(MATCH(DATEVALUE($A312),'recurring1_based on steps'!Q$1:Q$400,0)),Q$2,)</f>
        <v>0</v>
      </c>
      <c r="R312" s="179">
        <f ca="1">IF(ISNUMBER(MATCH(DATEVALUE($A312),'recurring1_based on steps'!R$1:R$400,0)),R$2,)</f>
        <v>0</v>
      </c>
      <c r="S312" s="179">
        <f ca="1">IF(ISNUMBER(MATCH(DATEVALUE($A312),'recurring1_based on steps'!S$1:S$400,0)),S$2,)</f>
        <v>0</v>
      </c>
      <c r="T312" s="179">
        <f ca="1">IF(ISNUMBER(MATCH(DATEVALUE($A312),'recurring1_based on steps'!T$1:T$400,0)),T$2,)</f>
        <v>0</v>
      </c>
      <c r="U312" s="179">
        <f ca="1">IF(ISNUMBER(MATCH(DATEVALUE($A312),'recurring1_based on steps'!U$1:U$400,0)),U$2,)</f>
        <v>0</v>
      </c>
      <c r="V312" s="179">
        <f ca="1">IF(ISNUMBER(MATCH(DATEVALUE($A312),'recurring1_based on steps'!V$1:V$400,0)),V$2,)</f>
        <v>0</v>
      </c>
      <c r="W312" s="179">
        <f ca="1">IF(ISNUMBER(MATCH(DATEVALUE($A312),'recurring1_based on steps'!W$1:W$400,0)),W$2,)</f>
        <v>0</v>
      </c>
      <c r="X312" s="179">
        <f ca="1">IF(ISNUMBER(MATCH(DATEVALUE($A312),'recurring1_based on steps'!X$1:X$400,0)),X$2,)</f>
        <v>0</v>
      </c>
      <c r="Y312" s="179">
        <f ca="1">IF(ISNUMBER(MATCH(DATEVALUE($A312),'recurring1_based on steps'!Y$1:Y$400,0)),Y$2,)</f>
        <v>0</v>
      </c>
      <c r="Z312" s="179">
        <f ca="1">IF(ISNUMBER(MATCH(DATEVALUE($A312),'recurring1_based on steps'!Z$1:Z$400,0)),Z$2,)</f>
        <v>0</v>
      </c>
      <c r="AA312" s="179">
        <f ca="1">IF(ISNUMBER(MATCH(DATEVALUE($A312),'recurring1_based on steps'!AA$1:AA$400,0)),AA$2,)</f>
        <v>0</v>
      </c>
      <c r="AB312" s="179">
        <f ca="1">IF(ISNUMBER(MATCH(DATEVALUE($A312),'recurring1_based on steps'!AB$1:AB$400,0)),AB$2,)</f>
        <v>0</v>
      </c>
      <c r="AC312" s="179">
        <f ca="1">IF(ISNUMBER(MATCH(DATEVALUE($A312),'recurring1_based on steps'!AC$1:AC$400,0)),AC$2,)</f>
        <v>0</v>
      </c>
      <c r="AD312" s="179">
        <f ca="1">IF(ISNUMBER(MATCH(DATEVALUE($A312),'recurring1_based on steps'!AD$1:AD$400,0)),AD$2,)</f>
        <v>0</v>
      </c>
      <c r="AE312" s="179">
        <f ca="1">IF(ISNUMBER(MATCH(DATEVALUE($A312),'recurring1_based on steps'!AE$1:AE$400,0)),AE$2,)</f>
        <v>0</v>
      </c>
      <c r="AF312" s="179">
        <f ca="1">IF(ISNUMBER(MATCH(DATEVALUE($A312),'recurring1_based on steps'!AF$1:AF$400,0)),AF$2,)</f>
        <v>0</v>
      </c>
      <c r="AG312" s="179">
        <f ca="1">IF(ISNUMBER(MATCH(DATEVALUE($A312),'recurring1_based on steps'!AG$1:AG$400,0)),AG$2,)</f>
        <v>0</v>
      </c>
      <c r="AH312" s="179">
        <f ca="1">IF(ISNUMBER(MATCH(DATEVALUE($A312),'recurring1_based on steps'!AH$1:AH$400,0)),AH$2,)</f>
        <v>0</v>
      </c>
      <c r="AI312" s="179">
        <f ca="1">IF(ISNUMBER(MATCH(DATEVALUE($A312),'recurring1_based on steps'!AI$1:AI$400,0)),AI$2,)</f>
        <v>0</v>
      </c>
      <c r="AJ312" s="179">
        <f ca="1">IF(ISNUMBER(MATCH(DATEVALUE($A312),'recurring1_based on steps'!AJ$1:AJ$400,0)),AJ$2,)</f>
        <v>0</v>
      </c>
      <c r="AK312" s="179">
        <f ca="1">IF(ISNUMBER(MATCH(DATEVALUE($A312),'recurring1_based on steps'!AK$1:AK$400,0)),AK$2,)</f>
        <v>0</v>
      </c>
      <c r="AL312" s="179">
        <f ca="1">IF(ISNUMBER(MATCH(DATEVALUE($A312),'recurring1_based on steps'!AL$1:AL$400,0)),AL$2,)</f>
        <v>0</v>
      </c>
      <c r="AM312" s="179">
        <f ca="1">IF(ISNUMBER(MATCH(DATEVALUE($A312),'recurring1_based on steps'!AM$1:AM$400,0)),AM$2,)</f>
        <v>0</v>
      </c>
      <c r="AN312" s="179">
        <f ca="1">IF(ISNUMBER(MATCH(DATEVALUE($A312),'recurring1_based on steps'!AN$1:AN$400,0)),AN$2,)</f>
        <v>0</v>
      </c>
      <c r="AO312" s="179">
        <f ca="1">IF(ISNUMBER(MATCH(DATEVALUE($A312),'recurring1_based on steps'!AO$1:AO$400,0)),AO$2,)</f>
        <v>0</v>
      </c>
      <c r="AP312" s="179">
        <f ca="1">IF(ISNUMBER(MATCH(DATEVALUE($A312),'recurring1_based on steps'!AP$1:AP$400,0)),AP$2,)</f>
        <v>0</v>
      </c>
      <c r="AQ312" s="179">
        <f ca="1">IF(ISNUMBER(MATCH(DATEVALUE($A312),'recurring1_based on steps'!AQ$1:AQ$400,0)),AQ$2,)</f>
        <v>0</v>
      </c>
      <c r="AR312" s="179">
        <f ca="1">IF(ISNUMBER(MATCH(DATEVALUE($A312),'recurring1_based on steps'!AR$1:AR$400,0)),AR$2,)</f>
        <v>0</v>
      </c>
      <c r="AS312" s="179">
        <f ca="1">IF(ISNUMBER(MATCH(DATEVALUE($A312),'recurring1_based on steps'!AS$1:AS$400,0)),AS$2,)</f>
        <v>0</v>
      </c>
      <c r="AT312" s="179">
        <f ca="1">IF(ISNUMBER(MATCH(DATEVALUE($A312),'recurring1_based on steps'!AT$1:AT$400,0)),AT$2,)</f>
        <v>0</v>
      </c>
      <c r="AU312" s="179">
        <f ca="1">IF(ISNUMBER(MATCH(DATEVALUE($A312),'recurring1_based on steps'!AU$1:AU$400,0)),AU$2,)</f>
        <v>0</v>
      </c>
      <c r="AV312" s="179">
        <f ca="1">IF(ISNUMBER(MATCH(DATEVALUE($A312),'recurring1_based on steps'!AV$1:AV$400,0)),AV$2,)</f>
        <v>0</v>
      </c>
      <c r="AW312" s="179">
        <f ca="1">IF(ISNUMBER(MATCH(DATEVALUE($A312),'recurring1_based on steps'!AW$1:AW$400,0)),AW$2,)</f>
        <v>0</v>
      </c>
      <c r="AX312" s="179">
        <f ca="1">IF(ISNUMBER(MATCH(DATEVALUE($A312),'recurring1_based on steps'!AX$1:AX$400,0)),AX$2,)</f>
        <v>0</v>
      </c>
      <c r="AY312" s="179">
        <f ca="1">IF(ISNUMBER(MATCH(DATEVALUE($A312),'recurring1_based on steps'!AY$1:AY$400,0)),AY$2,)</f>
        <v>0</v>
      </c>
    </row>
    <row r="313" spans="1:51" x14ac:dyDescent="0.2">
      <c r="A313" s="32" t="str">
        <f t="shared" ca="1" si="4"/>
        <v>2026-02-09</v>
      </c>
      <c r="B313" s="179">
        <f ca="1">IF(ISNUMBER(MATCH(DATEVALUE($A313),'recurring1_based on steps'!B$1:B$400,0)),B$2,)</f>
        <v>0</v>
      </c>
      <c r="C313" s="179">
        <f ca="1">IF(ISNUMBER(MATCH(DATEVALUE($A313),'recurring1_based on steps'!C$1:C$400,0)),C$2,)</f>
        <v>0</v>
      </c>
      <c r="D313" s="179">
        <f ca="1">IF(ISNUMBER(MATCH(DATEVALUE($A313),'recurring1_based on steps'!D$1:D$400,0)),D$2,)</f>
        <v>0</v>
      </c>
      <c r="E313" s="179">
        <f ca="1">IF(ISNUMBER(MATCH(DATEVALUE($A313),'recurring1_based on steps'!E$1:E$400,0)),E$2,)</f>
        <v>0</v>
      </c>
      <c r="F313" s="179">
        <f ca="1">IF(ISNUMBER(MATCH(DATEVALUE($A313),'recurring1_based on steps'!F$1:F$400,0)),F$2,)</f>
        <v>0</v>
      </c>
      <c r="G313" s="179">
        <f ca="1">IF(ISNUMBER(MATCH(DATEVALUE($A313),'recurring1_based on steps'!G$1:G$400,0)),G$2,)</f>
        <v>0</v>
      </c>
      <c r="H313" s="179">
        <f ca="1">IF(ISNUMBER(MATCH(DATEVALUE($A313),'recurring1_based on steps'!H$1:H$400,0)),H$2,)</f>
        <v>0</v>
      </c>
      <c r="I313" s="179">
        <f ca="1">IF(ISNUMBER(MATCH(DATEVALUE($A313),'recurring1_based on steps'!I$1:I$400,0)),I$2,)</f>
        <v>0</v>
      </c>
      <c r="J313" s="179">
        <f ca="1">IF(ISNUMBER(MATCH(DATEVALUE($A313),'recurring1_based on steps'!J$1:J$400,0)),J$2,)</f>
        <v>0</v>
      </c>
      <c r="K313" s="179">
        <f ca="1">IF(ISNUMBER(MATCH(DATEVALUE($A313),'recurring1_based on steps'!K$1:K$400,0)),K$2,)</f>
        <v>0</v>
      </c>
      <c r="L313" s="179">
        <f ca="1">IF(ISNUMBER(MATCH(DATEVALUE($A313),'recurring1_based on steps'!L$1:L$400,0)),L$2,)</f>
        <v>0</v>
      </c>
      <c r="M313" s="179">
        <f ca="1">IF(ISNUMBER(MATCH(DATEVALUE($A313),'recurring1_based on steps'!M$1:M$400,0)),M$2,)</f>
        <v>0</v>
      </c>
      <c r="N313" s="179">
        <f ca="1">IF(ISNUMBER(MATCH(DATEVALUE($A313),'recurring1_based on steps'!N$1:N$400,0)),N$2,)</f>
        <v>0</v>
      </c>
      <c r="O313" s="179">
        <f ca="1">IF(ISNUMBER(MATCH(DATEVALUE($A313),'recurring1_based on steps'!O$1:O$400,0)),O$2,)</f>
        <v>0</v>
      </c>
      <c r="P313" s="179">
        <f ca="1">IF(ISNUMBER(MATCH(DATEVALUE($A313),'recurring1_based on steps'!P$1:P$400,0)),P$2,)</f>
        <v>0</v>
      </c>
      <c r="Q313" s="179">
        <f ca="1">IF(ISNUMBER(MATCH(DATEVALUE($A313),'recurring1_based on steps'!Q$1:Q$400,0)),Q$2,)</f>
        <v>0</v>
      </c>
      <c r="R313" s="179">
        <f ca="1">IF(ISNUMBER(MATCH(DATEVALUE($A313),'recurring1_based on steps'!R$1:R$400,0)),R$2,)</f>
        <v>0</v>
      </c>
      <c r="S313" s="179">
        <f ca="1">IF(ISNUMBER(MATCH(DATEVALUE($A313),'recurring1_based on steps'!S$1:S$400,0)),S$2,)</f>
        <v>0</v>
      </c>
      <c r="T313" s="179">
        <f ca="1">IF(ISNUMBER(MATCH(DATEVALUE($A313),'recurring1_based on steps'!T$1:T$400,0)),T$2,)</f>
        <v>0</v>
      </c>
      <c r="U313" s="179">
        <f ca="1">IF(ISNUMBER(MATCH(DATEVALUE($A313),'recurring1_based on steps'!U$1:U$400,0)),U$2,)</f>
        <v>0</v>
      </c>
      <c r="V313" s="179">
        <f ca="1">IF(ISNUMBER(MATCH(DATEVALUE($A313),'recurring1_based on steps'!V$1:V$400,0)),V$2,)</f>
        <v>0</v>
      </c>
      <c r="W313" s="179">
        <f ca="1">IF(ISNUMBER(MATCH(DATEVALUE($A313),'recurring1_based on steps'!W$1:W$400,0)),W$2,)</f>
        <v>0</v>
      </c>
      <c r="X313" s="179">
        <f ca="1">IF(ISNUMBER(MATCH(DATEVALUE($A313),'recurring1_based on steps'!X$1:X$400,0)),X$2,)</f>
        <v>0</v>
      </c>
      <c r="Y313" s="179">
        <f ca="1">IF(ISNUMBER(MATCH(DATEVALUE($A313),'recurring1_based on steps'!Y$1:Y$400,0)),Y$2,)</f>
        <v>0</v>
      </c>
      <c r="Z313" s="179">
        <f ca="1">IF(ISNUMBER(MATCH(DATEVALUE($A313),'recurring1_based on steps'!Z$1:Z$400,0)),Z$2,)</f>
        <v>0</v>
      </c>
      <c r="AA313" s="179">
        <f ca="1">IF(ISNUMBER(MATCH(DATEVALUE($A313),'recurring1_based on steps'!AA$1:AA$400,0)),AA$2,)</f>
        <v>0</v>
      </c>
      <c r="AB313" s="179">
        <f ca="1">IF(ISNUMBER(MATCH(DATEVALUE($A313),'recurring1_based on steps'!AB$1:AB$400,0)),AB$2,)</f>
        <v>0</v>
      </c>
      <c r="AC313" s="179">
        <f ca="1">IF(ISNUMBER(MATCH(DATEVALUE($A313),'recurring1_based on steps'!AC$1:AC$400,0)),AC$2,)</f>
        <v>0</v>
      </c>
      <c r="AD313" s="179">
        <f ca="1">IF(ISNUMBER(MATCH(DATEVALUE($A313),'recurring1_based on steps'!AD$1:AD$400,0)),AD$2,)</f>
        <v>0</v>
      </c>
      <c r="AE313" s="179">
        <f ca="1">IF(ISNUMBER(MATCH(DATEVALUE($A313),'recurring1_based on steps'!AE$1:AE$400,0)),AE$2,)</f>
        <v>0</v>
      </c>
      <c r="AF313" s="179">
        <f ca="1">IF(ISNUMBER(MATCH(DATEVALUE($A313),'recurring1_based on steps'!AF$1:AF$400,0)),AF$2,)</f>
        <v>0</v>
      </c>
      <c r="AG313" s="179">
        <f ca="1">IF(ISNUMBER(MATCH(DATEVALUE($A313),'recurring1_based on steps'!AG$1:AG$400,0)),AG$2,)</f>
        <v>0</v>
      </c>
      <c r="AH313" s="179">
        <f ca="1">IF(ISNUMBER(MATCH(DATEVALUE($A313),'recurring1_based on steps'!AH$1:AH$400,0)),AH$2,)</f>
        <v>0</v>
      </c>
      <c r="AI313" s="179">
        <f ca="1">IF(ISNUMBER(MATCH(DATEVALUE($A313),'recurring1_based on steps'!AI$1:AI$400,0)),AI$2,)</f>
        <v>0</v>
      </c>
      <c r="AJ313" s="179">
        <f ca="1">IF(ISNUMBER(MATCH(DATEVALUE($A313),'recurring1_based on steps'!AJ$1:AJ$400,0)),AJ$2,)</f>
        <v>0</v>
      </c>
      <c r="AK313" s="179">
        <f ca="1">IF(ISNUMBER(MATCH(DATEVALUE($A313),'recurring1_based on steps'!AK$1:AK$400,0)),AK$2,)</f>
        <v>0</v>
      </c>
      <c r="AL313" s="179">
        <f ca="1">IF(ISNUMBER(MATCH(DATEVALUE($A313),'recurring1_based on steps'!AL$1:AL$400,0)),AL$2,)</f>
        <v>0</v>
      </c>
      <c r="AM313" s="179">
        <f ca="1">IF(ISNUMBER(MATCH(DATEVALUE($A313),'recurring1_based on steps'!AM$1:AM$400,0)),AM$2,)</f>
        <v>0</v>
      </c>
      <c r="AN313" s="179">
        <f ca="1">IF(ISNUMBER(MATCH(DATEVALUE($A313),'recurring1_based on steps'!AN$1:AN$400,0)),AN$2,)</f>
        <v>0</v>
      </c>
      <c r="AO313" s="179">
        <f ca="1">IF(ISNUMBER(MATCH(DATEVALUE($A313),'recurring1_based on steps'!AO$1:AO$400,0)),AO$2,)</f>
        <v>0</v>
      </c>
      <c r="AP313" s="179">
        <f ca="1">IF(ISNUMBER(MATCH(DATEVALUE($A313),'recurring1_based on steps'!AP$1:AP$400,0)),AP$2,)</f>
        <v>0</v>
      </c>
      <c r="AQ313" s="179">
        <f ca="1">IF(ISNUMBER(MATCH(DATEVALUE($A313),'recurring1_based on steps'!AQ$1:AQ$400,0)),AQ$2,)</f>
        <v>0</v>
      </c>
      <c r="AR313" s="179">
        <f ca="1">IF(ISNUMBER(MATCH(DATEVALUE($A313),'recurring1_based on steps'!AR$1:AR$400,0)),AR$2,)</f>
        <v>0</v>
      </c>
      <c r="AS313" s="179">
        <f ca="1">IF(ISNUMBER(MATCH(DATEVALUE($A313),'recurring1_based on steps'!AS$1:AS$400,0)),AS$2,)</f>
        <v>0</v>
      </c>
      <c r="AT313" s="179">
        <f ca="1">IF(ISNUMBER(MATCH(DATEVALUE($A313),'recurring1_based on steps'!AT$1:AT$400,0)),AT$2,)</f>
        <v>0</v>
      </c>
      <c r="AU313" s="179">
        <f ca="1">IF(ISNUMBER(MATCH(DATEVALUE($A313),'recurring1_based on steps'!AU$1:AU$400,0)),AU$2,)</f>
        <v>0</v>
      </c>
      <c r="AV313" s="179">
        <f ca="1">IF(ISNUMBER(MATCH(DATEVALUE($A313),'recurring1_based on steps'!AV$1:AV$400,0)),AV$2,)</f>
        <v>0</v>
      </c>
      <c r="AW313" s="179">
        <f ca="1">IF(ISNUMBER(MATCH(DATEVALUE($A313),'recurring1_based on steps'!AW$1:AW$400,0)),AW$2,)</f>
        <v>0</v>
      </c>
      <c r="AX313" s="179">
        <f ca="1">IF(ISNUMBER(MATCH(DATEVALUE($A313),'recurring1_based on steps'!AX$1:AX$400,0)),AX$2,)</f>
        <v>0</v>
      </c>
      <c r="AY313" s="179">
        <f ca="1">IF(ISNUMBER(MATCH(DATEVALUE($A313),'recurring1_based on steps'!AY$1:AY$400,0)),AY$2,)</f>
        <v>0</v>
      </c>
    </row>
    <row r="314" spans="1:51" x14ac:dyDescent="0.2">
      <c r="A314" s="32" t="str">
        <f t="shared" ca="1" si="4"/>
        <v>2026-02-10</v>
      </c>
      <c r="B314" s="179">
        <f ca="1">IF(ISNUMBER(MATCH(DATEVALUE($A314),'recurring1_based on steps'!B$1:B$400,0)),B$2,)</f>
        <v>0</v>
      </c>
      <c r="C314" s="179">
        <f ca="1">IF(ISNUMBER(MATCH(DATEVALUE($A314),'recurring1_based on steps'!C$1:C$400,0)),C$2,)</f>
        <v>0</v>
      </c>
      <c r="D314" s="179">
        <f ca="1">IF(ISNUMBER(MATCH(DATEVALUE($A314),'recurring1_based on steps'!D$1:D$400,0)),D$2,)</f>
        <v>0</v>
      </c>
      <c r="E314" s="179">
        <f ca="1">IF(ISNUMBER(MATCH(DATEVALUE($A314),'recurring1_based on steps'!E$1:E$400,0)),E$2,)</f>
        <v>0</v>
      </c>
      <c r="F314" s="179">
        <f ca="1">IF(ISNUMBER(MATCH(DATEVALUE($A314),'recurring1_based on steps'!F$1:F$400,0)),F$2,)</f>
        <v>0</v>
      </c>
      <c r="G314" s="179">
        <f ca="1">IF(ISNUMBER(MATCH(DATEVALUE($A314),'recurring1_based on steps'!G$1:G$400,0)),G$2,)</f>
        <v>0</v>
      </c>
      <c r="H314" s="179">
        <f ca="1">IF(ISNUMBER(MATCH(DATEVALUE($A314),'recurring1_based on steps'!H$1:H$400,0)),H$2,)</f>
        <v>0</v>
      </c>
      <c r="I314" s="179">
        <f ca="1">IF(ISNUMBER(MATCH(DATEVALUE($A314),'recurring1_based on steps'!I$1:I$400,0)),I$2,)</f>
        <v>0</v>
      </c>
      <c r="J314" s="179">
        <f ca="1">IF(ISNUMBER(MATCH(DATEVALUE($A314),'recurring1_based on steps'!J$1:J$400,0)),J$2,)</f>
        <v>0</v>
      </c>
      <c r="K314" s="179">
        <f ca="1">IF(ISNUMBER(MATCH(DATEVALUE($A314),'recurring1_based on steps'!K$1:K$400,0)),K$2,)</f>
        <v>0</v>
      </c>
      <c r="L314" s="179">
        <f ca="1">IF(ISNUMBER(MATCH(DATEVALUE($A314),'recurring1_based on steps'!L$1:L$400,0)),L$2,)</f>
        <v>0</v>
      </c>
      <c r="M314" s="179">
        <f ca="1">IF(ISNUMBER(MATCH(DATEVALUE($A314),'recurring1_based on steps'!M$1:M$400,0)),M$2,)</f>
        <v>0</v>
      </c>
      <c r="N314" s="179">
        <f ca="1">IF(ISNUMBER(MATCH(DATEVALUE($A314),'recurring1_based on steps'!N$1:N$400,0)),N$2,)</f>
        <v>0</v>
      </c>
      <c r="O314" s="179">
        <f ca="1">IF(ISNUMBER(MATCH(DATEVALUE($A314),'recurring1_based on steps'!O$1:O$400,0)),O$2,)</f>
        <v>0</v>
      </c>
      <c r="P314" s="179">
        <f ca="1">IF(ISNUMBER(MATCH(DATEVALUE($A314),'recurring1_based on steps'!P$1:P$400,0)),P$2,)</f>
        <v>0</v>
      </c>
      <c r="Q314" s="179">
        <f ca="1">IF(ISNUMBER(MATCH(DATEVALUE($A314),'recurring1_based on steps'!Q$1:Q$400,0)),Q$2,)</f>
        <v>0</v>
      </c>
      <c r="R314" s="179">
        <f ca="1">IF(ISNUMBER(MATCH(DATEVALUE($A314),'recurring1_based on steps'!R$1:R$400,0)),R$2,)</f>
        <v>0</v>
      </c>
      <c r="S314" s="179">
        <f ca="1">IF(ISNUMBER(MATCH(DATEVALUE($A314),'recurring1_based on steps'!S$1:S$400,0)),S$2,)</f>
        <v>0</v>
      </c>
      <c r="T314" s="179">
        <f ca="1">IF(ISNUMBER(MATCH(DATEVALUE($A314),'recurring1_based on steps'!T$1:T$400,0)),T$2,)</f>
        <v>0</v>
      </c>
      <c r="U314" s="179">
        <f ca="1">IF(ISNUMBER(MATCH(DATEVALUE($A314),'recurring1_based on steps'!U$1:U$400,0)),U$2,)</f>
        <v>0</v>
      </c>
      <c r="V314" s="179">
        <f ca="1">IF(ISNUMBER(MATCH(DATEVALUE($A314),'recurring1_based on steps'!V$1:V$400,0)),V$2,)</f>
        <v>0</v>
      </c>
      <c r="W314" s="179">
        <f ca="1">IF(ISNUMBER(MATCH(DATEVALUE($A314),'recurring1_based on steps'!W$1:W$400,0)),W$2,)</f>
        <v>0</v>
      </c>
      <c r="X314" s="179">
        <f ca="1">IF(ISNUMBER(MATCH(DATEVALUE($A314),'recurring1_based on steps'!X$1:X$400,0)),X$2,)</f>
        <v>0</v>
      </c>
      <c r="Y314" s="179">
        <f ca="1">IF(ISNUMBER(MATCH(DATEVALUE($A314),'recurring1_based on steps'!Y$1:Y$400,0)),Y$2,)</f>
        <v>0</v>
      </c>
      <c r="Z314" s="179">
        <f ca="1">IF(ISNUMBER(MATCH(DATEVALUE($A314),'recurring1_based on steps'!Z$1:Z$400,0)),Z$2,)</f>
        <v>0</v>
      </c>
      <c r="AA314" s="179">
        <f ca="1">IF(ISNUMBER(MATCH(DATEVALUE($A314),'recurring1_based on steps'!AA$1:AA$400,0)),AA$2,)</f>
        <v>0</v>
      </c>
      <c r="AB314" s="179">
        <f ca="1">IF(ISNUMBER(MATCH(DATEVALUE($A314),'recurring1_based on steps'!AB$1:AB$400,0)),AB$2,)</f>
        <v>0</v>
      </c>
      <c r="AC314" s="179">
        <f ca="1">IF(ISNUMBER(MATCH(DATEVALUE($A314),'recurring1_based on steps'!AC$1:AC$400,0)),AC$2,)</f>
        <v>0</v>
      </c>
      <c r="AD314" s="179">
        <f ca="1">IF(ISNUMBER(MATCH(DATEVALUE($A314),'recurring1_based on steps'!AD$1:AD$400,0)),AD$2,)</f>
        <v>0</v>
      </c>
      <c r="AE314" s="179">
        <f ca="1">IF(ISNUMBER(MATCH(DATEVALUE($A314),'recurring1_based on steps'!AE$1:AE$400,0)),AE$2,)</f>
        <v>0</v>
      </c>
      <c r="AF314" s="179">
        <f ca="1">IF(ISNUMBER(MATCH(DATEVALUE($A314),'recurring1_based on steps'!AF$1:AF$400,0)),AF$2,)</f>
        <v>0</v>
      </c>
      <c r="AG314" s="179">
        <f ca="1">IF(ISNUMBER(MATCH(DATEVALUE($A314),'recurring1_based on steps'!AG$1:AG$400,0)),AG$2,)</f>
        <v>0</v>
      </c>
      <c r="AH314" s="179">
        <f ca="1">IF(ISNUMBER(MATCH(DATEVALUE($A314),'recurring1_based on steps'!AH$1:AH$400,0)),AH$2,)</f>
        <v>0</v>
      </c>
      <c r="AI314" s="179">
        <f ca="1">IF(ISNUMBER(MATCH(DATEVALUE($A314),'recurring1_based on steps'!AI$1:AI$400,0)),AI$2,)</f>
        <v>0</v>
      </c>
      <c r="AJ314" s="179">
        <f ca="1">IF(ISNUMBER(MATCH(DATEVALUE($A314),'recurring1_based on steps'!AJ$1:AJ$400,0)),AJ$2,)</f>
        <v>0</v>
      </c>
      <c r="AK314" s="179">
        <f ca="1">IF(ISNUMBER(MATCH(DATEVALUE($A314),'recurring1_based on steps'!AK$1:AK$400,0)),AK$2,)</f>
        <v>0</v>
      </c>
      <c r="AL314" s="179">
        <f ca="1">IF(ISNUMBER(MATCH(DATEVALUE($A314),'recurring1_based on steps'!AL$1:AL$400,0)),AL$2,)</f>
        <v>0</v>
      </c>
      <c r="AM314" s="179">
        <f ca="1">IF(ISNUMBER(MATCH(DATEVALUE($A314),'recurring1_based on steps'!AM$1:AM$400,0)),AM$2,)</f>
        <v>0</v>
      </c>
      <c r="AN314" s="179">
        <f ca="1">IF(ISNUMBER(MATCH(DATEVALUE($A314),'recurring1_based on steps'!AN$1:AN$400,0)),AN$2,)</f>
        <v>0</v>
      </c>
      <c r="AO314" s="179">
        <f ca="1">IF(ISNUMBER(MATCH(DATEVALUE($A314),'recurring1_based on steps'!AO$1:AO$400,0)),AO$2,)</f>
        <v>0</v>
      </c>
      <c r="AP314" s="179">
        <f ca="1">IF(ISNUMBER(MATCH(DATEVALUE($A314),'recurring1_based on steps'!AP$1:AP$400,0)),AP$2,)</f>
        <v>0</v>
      </c>
      <c r="AQ314" s="179">
        <f ca="1">IF(ISNUMBER(MATCH(DATEVALUE($A314),'recurring1_based on steps'!AQ$1:AQ$400,0)),AQ$2,)</f>
        <v>0</v>
      </c>
      <c r="AR314" s="179">
        <f ca="1">IF(ISNUMBER(MATCH(DATEVALUE($A314),'recurring1_based on steps'!AR$1:AR$400,0)),AR$2,)</f>
        <v>0</v>
      </c>
      <c r="AS314" s="179">
        <f ca="1">IF(ISNUMBER(MATCH(DATEVALUE($A314),'recurring1_based on steps'!AS$1:AS$400,0)),AS$2,)</f>
        <v>0</v>
      </c>
      <c r="AT314" s="179">
        <f ca="1">IF(ISNUMBER(MATCH(DATEVALUE($A314),'recurring1_based on steps'!AT$1:AT$400,0)),AT$2,)</f>
        <v>0</v>
      </c>
      <c r="AU314" s="179">
        <f ca="1">IF(ISNUMBER(MATCH(DATEVALUE($A314),'recurring1_based on steps'!AU$1:AU$400,0)),AU$2,)</f>
        <v>0</v>
      </c>
      <c r="AV314" s="179">
        <f ca="1">IF(ISNUMBER(MATCH(DATEVALUE($A314),'recurring1_based on steps'!AV$1:AV$400,0)),AV$2,)</f>
        <v>0</v>
      </c>
      <c r="AW314" s="179">
        <f ca="1">IF(ISNUMBER(MATCH(DATEVALUE($A314),'recurring1_based on steps'!AW$1:AW$400,0)),AW$2,)</f>
        <v>0</v>
      </c>
      <c r="AX314" s="179">
        <f ca="1">IF(ISNUMBER(MATCH(DATEVALUE($A314),'recurring1_based on steps'!AX$1:AX$400,0)),AX$2,)</f>
        <v>0</v>
      </c>
      <c r="AY314" s="179">
        <f ca="1">IF(ISNUMBER(MATCH(DATEVALUE($A314),'recurring1_based on steps'!AY$1:AY$400,0)),AY$2,)</f>
        <v>0</v>
      </c>
    </row>
    <row r="315" spans="1:51" x14ac:dyDescent="0.2">
      <c r="A315" s="32" t="str">
        <f t="shared" ca="1" si="4"/>
        <v>2026-02-11</v>
      </c>
      <c r="B315" s="179">
        <f ca="1">IF(ISNUMBER(MATCH(DATEVALUE($A315),'recurring1_based on steps'!B$1:B$400,0)),B$2,)</f>
        <v>0</v>
      </c>
      <c r="C315" s="179">
        <f ca="1">IF(ISNUMBER(MATCH(DATEVALUE($A315),'recurring1_based on steps'!C$1:C$400,0)),C$2,)</f>
        <v>0</v>
      </c>
      <c r="D315" s="179">
        <f ca="1">IF(ISNUMBER(MATCH(DATEVALUE($A315),'recurring1_based on steps'!D$1:D$400,0)),D$2,)</f>
        <v>0</v>
      </c>
      <c r="E315" s="179">
        <f ca="1">IF(ISNUMBER(MATCH(DATEVALUE($A315),'recurring1_based on steps'!E$1:E$400,0)),E$2,)</f>
        <v>0</v>
      </c>
      <c r="F315" s="179">
        <f ca="1">IF(ISNUMBER(MATCH(DATEVALUE($A315),'recurring1_based on steps'!F$1:F$400,0)),F$2,)</f>
        <v>0</v>
      </c>
      <c r="G315" s="179">
        <f ca="1">IF(ISNUMBER(MATCH(DATEVALUE($A315),'recurring1_based on steps'!G$1:G$400,0)),G$2,)</f>
        <v>0</v>
      </c>
      <c r="H315" s="179">
        <f ca="1">IF(ISNUMBER(MATCH(DATEVALUE($A315),'recurring1_based on steps'!H$1:H$400,0)),H$2,)</f>
        <v>0</v>
      </c>
      <c r="I315" s="179">
        <f ca="1">IF(ISNUMBER(MATCH(DATEVALUE($A315),'recurring1_based on steps'!I$1:I$400,0)),I$2,)</f>
        <v>0</v>
      </c>
      <c r="J315" s="179">
        <f ca="1">IF(ISNUMBER(MATCH(DATEVALUE($A315),'recurring1_based on steps'!J$1:J$400,0)),J$2,)</f>
        <v>0</v>
      </c>
      <c r="K315" s="179">
        <f ca="1">IF(ISNUMBER(MATCH(DATEVALUE($A315),'recurring1_based on steps'!K$1:K$400,0)),K$2,)</f>
        <v>0</v>
      </c>
      <c r="L315" s="179">
        <f ca="1">IF(ISNUMBER(MATCH(DATEVALUE($A315),'recurring1_based on steps'!L$1:L$400,0)),L$2,)</f>
        <v>0</v>
      </c>
      <c r="M315" s="179">
        <f ca="1">IF(ISNUMBER(MATCH(DATEVALUE($A315),'recurring1_based on steps'!M$1:M$400,0)),M$2,)</f>
        <v>0</v>
      </c>
      <c r="N315" s="179">
        <f ca="1">IF(ISNUMBER(MATCH(DATEVALUE($A315),'recurring1_based on steps'!N$1:N$400,0)),N$2,)</f>
        <v>0</v>
      </c>
      <c r="O315" s="179">
        <f ca="1">IF(ISNUMBER(MATCH(DATEVALUE($A315),'recurring1_based on steps'!O$1:O$400,0)),O$2,)</f>
        <v>0</v>
      </c>
      <c r="P315" s="179">
        <f ca="1">IF(ISNUMBER(MATCH(DATEVALUE($A315),'recurring1_based on steps'!P$1:P$400,0)),P$2,)</f>
        <v>0</v>
      </c>
      <c r="Q315" s="179">
        <f ca="1">IF(ISNUMBER(MATCH(DATEVALUE($A315),'recurring1_based on steps'!Q$1:Q$400,0)),Q$2,)</f>
        <v>0</v>
      </c>
      <c r="R315" s="179">
        <f ca="1">IF(ISNUMBER(MATCH(DATEVALUE($A315),'recurring1_based on steps'!R$1:R$400,0)),R$2,)</f>
        <v>0</v>
      </c>
      <c r="S315" s="179">
        <f ca="1">IF(ISNUMBER(MATCH(DATEVALUE($A315),'recurring1_based on steps'!S$1:S$400,0)),S$2,)</f>
        <v>0</v>
      </c>
      <c r="T315" s="179">
        <f ca="1">IF(ISNUMBER(MATCH(DATEVALUE($A315),'recurring1_based on steps'!T$1:T$400,0)),T$2,)</f>
        <v>0</v>
      </c>
      <c r="U315" s="179">
        <f ca="1">IF(ISNUMBER(MATCH(DATEVALUE($A315),'recurring1_based on steps'!U$1:U$400,0)),U$2,)</f>
        <v>0</v>
      </c>
      <c r="V315" s="179">
        <f ca="1">IF(ISNUMBER(MATCH(DATEVALUE($A315),'recurring1_based on steps'!V$1:V$400,0)),V$2,)</f>
        <v>0</v>
      </c>
      <c r="W315" s="179">
        <f ca="1">IF(ISNUMBER(MATCH(DATEVALUE($A315),'recurring1_based on steps'!W$1:W$400,0)),W$2,)</f>
        <v>0</v>
      </c>
      <c r="X315" s="179">
        <f ca="1">IF(ISNUMBER(MATCH(DATEVALUE($A315),'recurring1_based on steps'!X$1:X$400,0)),X$2,)</f>
        <v>0</v>
      </c>
      <c r="Y315" s="179">
        <f ca="1">IF(ISNUMBER(MATCH(DATEVALUE($A315),'recurring1_based on steps'!Y$1:Y$400,0)),Y$2,)</f>
        <v>0</v>
      </c>
      <c r="Z315" s="179">
        <f ca="1">IF(ISNUMBER(MATCH(DATEVALUE($A315),'recurring1_based on steps'!Z$1:Z$400,0)),Z$2,)</f>
        <v>0</v>
      </c>
      <c r="AA315" s="179">
        <f ca="1">IF(ISNUMBER(MATCH(DATEVALUE($A315),'recurring1_based on steps'!AA$1:AA$400,0)),AA$2,)</f>
        <v>0</v>
      </c>
      <c r="AB315" s="179">
        <f ca="1">IF(ISNUMBER(MATCH(DATEVALUE($A315),'recurring1_based on steps'!AB$1:AB$400,0)),AB$2,)</f>
        <v>0</v>
      </c>
      <c r="AC315" s="179">
        <f ca="1">IF(ISNUMBER(MATCH(DATEVALUE($A315),'recurring1_based on steps'!AC$1:AC$400,0)),AC$2,)</f>
        <v>0</v>
      </c>
      <c r="AD315" s="179">
        <f ca="1">IF(ISNUMBER(MATCH(DATEVALUE($A315),'recurring1_based on steps'!AD$1:AD$400,0)),AD$2,)</f>
        <v>0</v>
      </c>
      <c r="AE315" s="179">
        <f ca="1">IF(ISNUMBER(MATCH(DATEVALUE($A315),'recurring1_based on steps'!AE$1:AE$400,0)),AE$2,)</f>
        <v>0</v>
      </c>
      <c r="AF315" s="179">
        <f ca="1">IF(ISNUMBER(MATCH(DATEVALUE($A315),'recurring1_based on steps'!AF$1:AF$400,0)),AF$2,)</f>
        <v>0</v>
      </c>
      <c r="AG315" s="179">
        <f ca="1">IF(ISNUMBER(MATCH(DATEVALUE($A315),'recurring1_based on steps'!AG$1:AG$400,0)),AG$2,)</f>
        <v>0</v>
      </c>
      <c r="AH315" s="179">
        <f ca="1">IF(ISNUMBER(MATCH(DATEVALUE($A315),'recurring1_based on steps'!AH$1:AH$400,0)),AH$2,)</f>
        <v>0</v>
      </c>
      <c r="AI315" s="179">
        <f ca="1">IF(ISNUMBER(MATCH(DATEVALUE($A315),'recurring1_based on steps'!AI$1:AI$400,0)),AI$2,)</f>
        <v>0</v>
      </c>
      <c r="AJ315" s="179">
        <f ca="1">IF(ISNUMBER(MATCH(DATEVALUE($A315),'recurring1_based on steps'!AJ$1:AJ$400,0)),AJ$2,)</f>
        <v>0</v>
      </c>
      <c r="AK315" s="179">
        <f ca="1">IF(ISNUMBER(MATCH(DATEVALUE($A315),'recurring1_based on steps'!AK$1:AK$400,0)),AK$2,)</f>
        <v>0</v>
      </c>
      <c r="AL315" s="179">
        <f ca="1">IF(ISNUMBER(MATCH(DATEVALUE($A315),'recurring1_based on steps'!AL$1:AL$400,0)),AL$2,)</f>
        <v>0</v>
      </c>
      <c r="AM315" s="179">
        <f ca="1">IF(ISNUMBER(MATCH(DATEVALUE($A315),'recurring1_based on steps'!AM$1:AM$400,0)),AM$2,)</f>
        <v>0</v>
      </c>
      <c r="AN315" s="179">
        <f ca="1">IF(ISNUMBER(MATCH(DATEVALUE($A315),'recurring1_based on steps'!AN$1:AN$400,0)),AN$2,)</f>
        <v>0</v>
      </c>
      <c r="AO315" s="179">
        <f ca="1">IF(ISNUMBER(MATCH(DATEVALUE($A315),'recurring1_based on steps'!AO$1:AO$400,0)),AO$2,)</f>
        <v>0</v>
      </c>
      <c r="AP315" s="179">
        <f ca="1">IF(ISNUMBER(MATCH(DATEVALUE($A315),'recurring1_based on steps'!AP$1:AP$400,0)),AP$2,)</f>
        <v>0</v>
      </c>
      <c r="AQ315" s="179">
        <f ca="1">IF(ISNUMBER(MATCH(DATEVALUE($A315),'recurring1_based on steps'!AQ$1:AQ$400,0)),AQ$2,)</f>
        <v>0</v>
      </c>
      <c r="AR315" s="179">
        <f ca="1">IF(ISNUMBER(MATCH(DATEVALUE($A315),'recurring1_based on steps'!AR$1:AR$400,0)),AR$2,)</f>
        <v>0</v>
      </c>
      <c r="AS315" s="179">
        <f ca="1">IF(ISNUMBER(MATCH(DATEVALUE($A315),'recurring1_based on steps'!AS$1:AS$400,0)),AS$2,)</f>
        <v>0</v>
      </c>
      <c r="AT315" s="179">
        <f ca="1">IF(ISNUMBER(MATCH(DATEVALUE($A315),'recurring1_based on steps'!AT$1:AT$400,0)),AT$2,)</f>
        <v>0</v>
      </c>
      <c r="AU315" s="179">
        <f ca="1">IF(ISNUMBER(MATCH(DATEVALUE($A315),'recurring1_based on steps'!AU$1:AU$400,0)),AU$2,)</f>
        <v>0</v>
      </c>
      <c r="AV315" s="179">
        <f ca="1">IF(ISNUMBER(MATCH(DATEVALUE($A315),'recurring1_based on steps'!AV$1:AV$400,0)),AV$2,)</f>
        <v>0</v>
      </c>
      <c r="AW315" s="179">
        <f ca="1">IF(ISNUMBER(MATCH(DATEVALUE($A315),'recurring1_based on steps'!AW$1:AW$400,0)),AW$2,)</f>
        <v>0</v>
      </c>
      <c r="AX315" s="179">
        <f ca="1">IF(ISNUMBER(MATCH(DATEVALUE($A315),'recurring1_based on steps'!AX$1:AX$400,0)),AX$2,)</f>
        <v>0</v>
      </c>
      <c r="AY315" s="179">
        <f ca="1">IF(ISNUMBER(MATCH(DATEVALUE($A315),'recurring1_based on steps'!AY$1:AY$400,0)),AY$2,)</f>
        <v>0</v>
      </c>
    </row>
    <row r="316" spans="1:51" x14ac:dyDescent="0.2">
      <c r="A316" s="32" t="str">
        <f t="shared" ca="1" si="4"/>
        <v>2026-02-12</v>
      </c>
      <c r="B316" s="179">
        <f ca="1">IF(ISNUMBER(MATCH(DATEVALUE($A316),'recurring1_based on steps'!B$1:B$400,0)),B$2,)</f>
        <v>0</v>
      </c>
      <c r="C316" s="179">
        <f ca="1">IF(ISNUMBER(MATCH(DATEVALUE($A316),'recurring1_based on steps'!C$1:C$400,0)),C$2,)</f>
        <v>0</v>
      </c>
      <c r="D316" s="179">
        <f ca="1">IF(ISNUMBER(MATCH(DATEVALUE($A316),'recurring1_based on steps'!D$1:D$400,0)),D$2,)</f>
        <v>0</v>
      </c>
      <c r="E316" s="179">
        <f ca="1">IF(ISNUMBER(MATCH(DATEVALUE($A316),'recurring1_based on steps'!E$1:E$400,0)),E$2,)</f>
        <v>0</v>
      </c>
      <c r="F316" s="179">
        <f ca="1">IF(ISNUMBER(MATCH(DATEVALUE($A316),'recurring1_based on steps'!F$1:F$400,0)),F$2,)</f>
        <v>0</v>
      </c>
      <c r="G316" s="179">
        <f ca="1">IF(ISNUMBER(MATCH(DATEVALUE($A316),'recurring1_based on steps'!G$1:G$400,0)),G$2,)</f>
        <v>0</v>
      </c>
      <c r="H316" s="179">
        <f ca="1">IF(ISNUMBER(MATCH(DATEVALUE($A316),'recurring1_based on steps'!H$1:H$400,0)),H$2,)</f>
        <v>0</v>
      </c>
      <c r="I316" s="179">
        <f ca="1">IF(ISNUMBER(MATCH(DATEVALUE($A316),'recurring1_based on steps'!I$1:I$400,0)),I$2,)</f>
        <v>0</v>
      </c>
      <c r="J316" s="179">
        <f ca="1">IF(ISNUMBER(MATCH(DATEVALUE($A316),'recurring1_based on steps'!J$1:J$400,0)),J$2,)</f>
        <v>0</v>
      </c>
      <c r="K316" s="179">
        <f ca="1">IF(ISNUMBER(MATCH(DATEVALUE($A316),'recurring1_based on steps'!K$1:K$400,0)),K$2,)</f>
        <v>0</v>
      </c>
      <c r="L316" s="179">
        <f ca="1">IF(ISNUMBER(MATCH(DATEVALUE($A316),'recurring1_based on steps'!L$1:L$400,0)),L$2,)</f>
        <v>0</v>
      </c>
      <c r="M316" s="179">
        <f ca="1">IF(ISNUMBER(MATCH(DATEVALUE($A316),'recurring1_based on steps'!M$1:M$400,0)),M$2,)</f>
        <v>0</v>
      </c>
      <c r="N316" s="179">
        <f ca="1">IF(ISNUMBER(MATCH(DATEVALUE($A316),'recurring1_based on steps'!N$1:N$400,0)),N$2,)</f>
        <v>0</v>
      </c>
      <c r="O316" s="179">
        <f ca="1">IF(ISNUMBER(MATCH(DATEVALUE($A316),'recurring1_based on steps'!O$1:O$400,0)),O$2,)</f>
        <v>0</v>
      </c>
      <c r="P316" s="179">
        <f ca="1">IF(ISNUMBER(MATCH(DATEVALUE($A316),'recurring1_based on steps'!P$1:P$400,0)),P$2,)</f>
        <v>0</v>
      </c>
      <c r="Q316" s="179">
        <f ca="1">IF(ISNUMBER(MATCH(DATEVALUE($A316),'recurring1_based on steps'!Q$1:Q$400,0)),Q$2,)</f>
        <v>0</v>
      </c>
      <c r="R316" s="179">
        <f ca="1">IF(ISNUMBER(MATCH(DATEVALUE($A316),'recurring1_based on steps'!R$1:R$400,0)),R$2,)</f>
        <v>0</v>
      </c>
      <c r="S316" s="179">
        <f ca="1">IF(ISNUMBER(MATCH(DATEVALUE($A316),'recurring1_based on steps'!S$1:S$400,0)),S$2,)</f>
        <v>0</v>
      </c>
      <c r="T316" s="179">
        <f ca="1">IF(ISNUMBER(MATCH(DATEVALUE($A316),'recurring1_based on steps'!T$1:T$400,0)),T$2,)</f>
        <v>0</v>
      </c>
      <c r="U316" s="179">
        <f ca="1">IF(ISNUMBER(MATCH(DATEVALUE($A316),'recurring1_based on steps'!U$1:U$400,0)),U$2,)</f>
        <v>0</v>
      </c>
      <c r="V316" s="179">
        <f ca="1">IF(ISNUMBER(MATCH(DATEVALUE($A316),'recurring1_based on steps'!V$1:V$400,0)),V$2,)</f>
        <v>0</v>
      </c>
      <c r="W316" s="179">
        <f ca="1">IF(ISNUMBER(MATCH(DATEVALUE($A316),'recurring1_based on steps'!W$1:W$400,0)),W$2,)</f>
        <v>0</v>
      </c>
      <c r="X316" s="179">
        <f ca="1">IF(ISNUMBER(MATCH(DATEVALUE($A316),'recurring1_based on steps'!X$1:X$400,0)),X$2,)</f>
        <v>0</v>
      </c>
      <c r="Y316" s="179">
        <f ca="1">IF(ISNUMBER(MATCH(DATEVALUE($A316),'recurring1_based on steps'!Y$1:Y$400,0)),Y$2,)</f>
        <v>0</v>
      </c>
      <c r="Z316" s="179">
        <f ca="1">IF(ISNUMBER(MATCH(DATEVALUE($A316),'recurring1_based on steps'!Z$1:Z$400,0)),Z$2,)</f>
        <v>0</v>
      </c>
      <c r="AA316" s="179">
        <f ca="1">IF(ISNUMBER(MATCH(DATEVALUE($A316),'recurring1_based on steps'!AA$1:AA$400,0)),AA$2,)</f>
        <v>0</v>
      </c>
      <c r="AB316" s="179">
        <f ca="1">IF(ISNUMBER(MATCH(DATEVALUE($A316),'recurring1_based on steps'!AB$1:AB$400,0)),AB$2,)</f>
        <v>0</v>
      </c>
      <c r="AC316" s="179">
        <f ca="1">IF(ISNUMBER(MATCH(DATEVALUE($A316),'recurring1_based on steps'!AC$1:AC$400,0)),AC$2,)</f>
        <v>0</v>
      </c>
      <c r="AD316" s="179">
        <f ca="1">IF(ISNUMBER(MATCH(DATEVALUE($A316),'recurring1_based on steps'!AD$1:AD$400,0)),AD$2,)</f>
        <v>0</v>
      </c>
      <c r="AE316" s="179">
        <f ca="1">IF(ISNUMBER(MATCH(DATEVALUE($A316),'recurring1_based on steps'!AE$1:AE$400,0)),AE$2,)</f>
        <v>0</v>
      </c>
      <c r="AF316" s="179">
        <f ca="1">IF(ISNUMBER(MATCH(DATEVALUE($A316),'recurring1_based on steps'!AF$1:AF$400,0)),AF$2,)</f>
        <v>0</v>
      </c>
      <c r="AG316" s="179">
        <f ca="1">IF(ISNUMBER(MATCH(DATEVALUE($A316),'recurring1_based on steps'!AG$1:AG$400,0)),AG$2,)</f>
        <v>0</v>
      </c>
      <c r="AH316" s="179">
        <f ca="1">IF(ISNUMBER(MATCH(DATEVALUE($A316),'recurring1_based on steps'!AH$1:AH$400,0)),AH$2,)</f>
        <v>0</v>
      </c>
      <c r="AI316" s="179">
        <f ca="1">IF(ISNUMBER(MATCH(DATEVALUE($A316),'recurring1_based on steps'!AI$1:AI$400,0)),AI$2,)</f>
        <v>0</v>
      </c>
      <c r="AJ316" s="179">
        <f ca="1">IF(ISNUMBER(MATCH(DATEVALUE($A316),'recurring1_based on steps'!AJ$1:AJ$400,0)),AJ$2,)</f>
        <v>0</v>
      </c>
      <c r="AK316" s="179">
        <f ca="1">IF(ISNUMBER(MATCH(DATEVALUE($A316),'recurring1_based on steps'!AK$1:AK$400,0)),AK$2,)</f>
        <v>0</v>
      </c>
      <c r="AL316" s="179">
        <f ca="1">IF(ISNUMBER(MATCH(DATEVALUE($A316),'recurring1_based on steps'!AL$1:AL$400,0)),AL$2,)</f>
        <v>0</v>
      </c>
      <c r="AM316" s="179">
        <f ca="1">IF(ISNUMBER(MATCH(DATEVALUE($A316),'recurring1_based on steps'!AM$1:AM$400,0)),AM$2,)</f>
        <v>0</v>
      </c>
      <c r="AN316" s="179">
        <f ca="1">IF(ISNUMBER(MATCH(DATEVALUE($A316),'recurring1_based on steps'!AN$1:AN$400,0)),AN$2,)</f>
        <v>0</v>
      </c>
      <c r="AO316" s="179">
        <f ca="1">IF(ISNUMBER(MATCH(DATEVALUE($A316),'recurring1_based on steps'!AO$1:AO$400,0)),AO$2,)</f>
        <v>0</v>
      </c>
      <c r="AP316" s="179">
        <f ca="1">IF(ISNUMBER(MATCH(DATEVALUE($A316),'recurring1_based on steps'!AP$1:AP$400,0)),AP$2,)</f>
        <v>0</v>
      </c>
      <c r="AQ316" s="179">
        <f ca="1">IF(ISNUMBER(MATCH(DATEVALUE($A316),'recurring1_based on steps'!AQ$1:AQ$400,0)),AQ$2,)</f>
        <v>0</v>
      </c>
      <c r="AR316" s="179">
        <f ca="1">IF(ISNUMBER(MATCH(DATEVALUE($A316),'recurring1_based on steps'!AR$1:AR$400,0)),AR$2,)</f>
        <v>0</v>
      </c>
      <c r="AS316" s="179">
        <f ca="1">IF(ISNUMBER(MATCH(DATEVALUE($A316),'recurring1_based on steps'!AS$1:AS$400,0)),AS$2,)</f>
        <v>0</v>
      </c>
      <c r="AT316" s="179">
        <f ca="1">IF(ISNUMBER(MATCH(DATEVALUE($A316),'recurring1_based on steps'!AT$1:AT$400,0)),AT$2,)</f>
        <v>0</v>
      </c>
      <c r="AU316" s="179">
        <f ca="1">IF(ISNUMBER(MATCH(DATEVALUE($A316),'recurring1_based on steps'!AU$1:AU$400,0)),AU$2,)</f>
        <v>0</v>
      </c>
      <c r="AV316" s="179">
        <f ca="1">IF(ISNUMBER(MATCH(DATEVALUE($A316),'recurring1_based on steps'!AV$1:AV$400,0)),AV$2,)</f>
        <v>0</v>
      </c>
      <c r="AW316" s="179">
        <f ca="1">IF(ISNUMBER(MATCH(DATEVALUE($A316),'recurring1_based on steps'!AW$1:AW$400,0)),AW$2,)</f>
        <v>0</v>
      </c>
      <c r="AX316" s="179">
        <f ca="1">IF(ISNUMBER(MATCH(DATEVALUE($A316),'recurring1_based on steps'!AX$1:AX$400,0)),AX$2,)</f>
        <v>0</v>
      </c>
      <c r="AY316" s="179">
        <f ca="1">IF(ISNUMBER(MATCH(DATEVALUE($A316),'recurring1_based on steps'!AY$1:AY$400,0)),AY$2,)</f>
        <v>0</v>
      </c>
    </row>
    <row r="317" spans="1:51" x14ac:dyDescent="0.2">
      <c r="A317" s="32" t="str">
        <f t="shared" ca="1" si="4"/>
        <v>2026-02-13</v>
      </c>
      <c r="B317" s="179">
        <f ca="1">IF(ISNUMBER(MATCH(DATEVALUE($A317),'recurring1_based on steps'!B$1:B$400,0)),B$2,)</f>
        <v>0</v>
      </c>
      <c r="C317" s="179">
        <f ca="1">IF(ISNUMBER(MATCH(DATEVALUE($A317),'recurring1_based on steps'!C$1:C$400,0)),C$2,)</f>
        <v>0</v>
      </c>
      <c r="D317" s="179">
        <f ca="1">IF(ISNUMBER(MATCH(DATEVALUE($A317),'recurring1_based on steps'!D$1:D$400,0)),D$2,)</f>
        <v>0</v>
      </c>
      <c r="E317" s="179">
        <f ca="1">IF(ISNUMBER(MATCH(DATEVALUE($A317),'recurring1_based on steps'!E$1:E$400,0)),E$2,)</f>
        <v>0</v>
      </c>
      <c r="F317" s="179">
        <f ca="1">IF(ISNUMBER(MATCH(DATEVALUE($A317),'recurring1_based on steps'!F$1:F$400,0)),F$2,)</f>
        <v>0</v>
      </c>
      <c r="G317" s="179">
        <f ca="1">IF(ISNUMBER(MATCH(DATEVALUE($A317),'recurring1_based on steps'!G$1:G$400,0)),G$2,)</f>
        <v>0</v>
      </c>
      <c r="H317" s="179">
        <f ca="1">IF(ISNUMBER(MATCH(DATEVALUE($A317),'recurring1_based on steps'!H$1:H$400,0)),H$2,)</f>
        <v>0</v>
      </c>
      <c r="I317" s="179">
        <f ca="1">IF(ISNUMBER(MATCH(DATEVALUE($A317),'recurring1_based on steps'!I$1:I$400,0)),I$2,)</f>
        <v>0</v>
      </c>
      <c r="J317" s="179">
        <f ca="1">IF(ISNUMBER(MATCH(DATEVALUE($A317),'recurring1_based on steps'!J$1:J$400,0)),J$2,)</f>
        <v>0</v>
      </c>
      <c r="K317" s="179">
        <f ca="1">IF(ISNUMBER(MATCH(DATEVALUE($A317),'recurring1_based on steps'!K$1:K$400,0)),K$2,)</f>
        <v>0</v>
      </c>
      <c r="L317" s="179">
        <f ca="1">IF(ISNUMBER(MATCH(DATEVALUE($A317),'recurring1_based on steps'!L$1:L$400,0)),L$2,)</f>
        <v>0</v>
      </c>
      <c r="M317" s="179">
        <f ca="1">IF(ISNUMBER(MATCH(DATEVALUE($A317),'recurring1_based on steps'!M$1:M$400,0)),M$2,)</f>
        <v>0</v>
      </c>
      <c r="N317" s="179">
        <f ca="1">IF(ISNUMBER(MATCH(DATEVALUE($A317),'recurring1_based on steps'!N$1:N$400,0)),N$2,)</f>
        <v>0</v>
      </c>
      <c r="O317" s="179">
        <f ca="1">IF(ISNUMBER(MATCH(DATEVALUE($A317),'recurring1_based on steps'!O$1:O$400,0)),O$2,)</f>
        <v>0</v>
      </c>
      <c r="P317" s="179">
        <f ca="1">IF(ISNUMBER(MATCH(DATEVALUE($A317),'recurring1_based on steps'!P$1:P$400,0)),P$2,)</f>
        <v>0</v>
      </c>
      <c r="Q317" s="179">
        <f ca="1">IF(ISNUMBER(MATCH(DATEVALUE($A317),'recurring1_based on steps'!Q$1:Q$400,0)),Q$2,)</f>
        <v>0</v>
      </c>
      <c r="R317" s="179">
        <f ca="1">IF(ISNUMBER(MATCH(DATEVALUE($A317),'recurring1_based on steps'!R$1:R$400,0)),R$2,)</f>
        <v>0</v>
      </c>
      <c r="S317" s="179">
        <f ca="1">IF(ISNUMBER(MATCH(DATEVALUE($A317),'recurring1_based on steps'!S$1:S$400,0)),S$2,)</f>
        <v>0</v>
      </c>
      <c r="T317" s="179">
        <f ca="1">IF(ISNUMBER(MATCH(DATEVALUE($A317),'recurring1_based on steps'!T$1:T$400,0)),T$2,)</f>
        <v>0</v>
      </c>
      <c r="U317" s="179">
        <f ca="1">IF(ISNUMBER(MATCH(DATEVALUE($A317),'recurring1_based on steps'!U$1:U$400,0)),U$2,)</f>
        <v>0</v>
      </c>
      <c r="V317" s="179">
        <f ca="1">IF(ISNUMBER(MATCH(DATEVALUE($A317),'recurring1_based on steps'!V$1:V$400,0)),V$2,)</f>
        <v>0</v>
      </c>
      <c r="W317" s="179">
        <f ca="1">IF(ISNUMBER(MATCH(DATEVALUE($A317),'recurring1_based on steps'!W$1:W$400,0)),W$2,)</f>
        <v>0</v>
      </c>
      <c r="X317" s="179">
        <f ca="1">IF(ISNUMBER(MATCH(DATEVALUE($A317),'recurring1_based on steps'!X$1:X$400,0)),X$2,)</f>
        <v>0</v>
      </c>
      <c r="Y317" s="179">
        <f ca="1">IF(ISNUMBER(MATCH(DATEVALUE($A317),'recurring1_based on steps'!Y$1:Y$400,0)),Y$2,)</f>
        <v>0</v>
      </c>
      <c r="Z317" s="179">
        <f ca="1">IF(ISNUMBER(MATCH(DATEVALUE($A317),'recurring1_based on steps'!Z$1:Z$400,0)),Z$2,)</f>
        <v>0</v>
      </c>
      <c r="AA317" s="179">
        <f ca="1">IF(ISNUMBER(MATCH(DATEVALUE($A317),'recurring1_based on steps'!AA$1:AA$400,0)),AA$2,)</f>
        <v>0</v>
      </c>
      <c r="AB317" s="179">
        <f ca="1">IF(ISNUMBER(MATCH(DATEVALUE($A317),'recurring1_based on steps'!AB$1:AB$400,0)),AB$2,)</f>
        <v>0</v>
      </c>
      <c r="AC317" s="179">
        <f ca="1">IF(ISNUMBER(MATCH(DATEVALUE($A317),'recurring1_based on steps'!AC$1:AC$400,0)),AC$2,)</f>
        <v>0</v>
      </c>
      <c r="AD317" s="179">
        <f ca="1">IF(ISNUMBER(MATCH(DATEVALUE($A317),'recurring1_based on steps'!AD$1:AD$400,0)),AD$2,)</f>
        <v>0</v>
      </c>
      <c r="AE317" s="179">
        <f ca="1">IF(ISNUMBER(MATCH(DATEVALUE($A317),'recurring1_based on steps'!AE$1:AE$400,0)),AE$2,)</f>
        <v>0</v>
      </c>
      <c r="AF317" s="179">
        <f ca="1">IF(ISNUMBER(MATCH(DATEVALUE($A317),'recurring1_based on steps'!AF$1:AF$400,0)),AF$2,)</f>
        <v>0</v>
      </c>
      <c r="AG317" s="179">
        <f ca="1">IF(ISNUMBER(MATCH(DATEVALUE($A317),'recurring1_based on steps'!AG$1:AG$400,0)),AG$2,)</f>
        <v>0</v>
      </c>
      <c r="AH317" s="179">
        <f ca="1">IF(ISNUMBER(MATCH(DATEVALUE($A317),'recurring1_based on steps'!AH$1:AH$400,0)),AH$2,)</f>
        <v>0</v>
      </c>
      <c r="AI317" s="179">
        <f ca="1">IF(ISNUMBER(MATCH(DATEVALUE($A317),'recurring1_based on steps'!AI$1:AI$400,0)),AI$2,)</f>
        <v>0</v>
      </c>
      <c r="AJ317" s="179">
        <f ca="1">IF(ISNUMBER(MATCH(DATEVALUE($A317),'recurring1_based on steps'!AJ$1:AJ$400,0)),AJ$2,)</f>
        <v>0</v>
      </c>
      <c r="AK317" s="179">
        <f ca="1">IF(ISNUMBER(MATCH(DATEVALUE($A317),'recurring1_based on steps'!AK$1:AK$400,0)),AK$2,)</f>
        <v>0</v>
      </c>
      <c r="AL317" s="179">
        <f ca="1">IF(ISNUMBER(MATCH(DATEVALUE($A317),'recurring1_based on steps'!AL$1:AL$400,0)),AL$2,)</f>
        <v>0</v>
      </c>
      <c r="AM317" s="179">
        <f ca="1">IF(ISNUMBER(MATCH(DATEVALUE($A317),'recurring1_based on steps'!AM$1:AM$400,0)),AM$2,)</f>
        <v>0</v>
      </c>
      <c r="AN317" s="179">
        <f ca="1">IF(ISNUMBER(MATCH(DATEVALUE($A317),'recurring1_based on steps'!AN$1:AN$400,0)),AN$2,)</f>
        <v>0</v>
      </c>
      <c r="AO317" s="179">
        <f ca="1">IF(ISNUMBER(MATCH(DATEVALUE($A317),'recurring1_based on steps'!AO$1:AO$400,0)),AO$2,)</f>
        <v>0</v>
      </c>
      <c r="AP317" s="179">
        <f ca="1">IF(ISNUMBER(MATCH(DATEVALUE($A317),'recurring1_based on steps'!AP$1:AP$400,0)),AP$2,)</f>
        <v>0</v>
      </c>
      <c r="AQ317" s="179">
        <f ca="1">IF(ISNUMBER(MATCH(DATEVALUE($A317),'recurring1_based on steps'!AQ$1:AQ$400,0)),AQ$2,)</f>
        <v>0</v>
      </c>
      <c r="AR317" s="179">
        <f ca="1">IF(ISNUMBER(MATCH(DATEVALUE($A317),'recurring1_based on steps'!AR$1:AR$400,0)),AR$2,)</f>
        <v>0</v>
      </c>
      <c r="AS317" s="179">
        <f ca="1">IF(ISNUMBER(MATCH(DATEVALUE($A317),'recurring1_based on steps'!AS$1:AS$400,0)),AS$2,)</f>
        <v>0</v>
      </c>
      <c r="AT317" s="179">
        <f ca="1">IF(ISNUMBER(MATCH(DATEVALUE($A317),'recurring1_based on steps'!AT$1:AT$400,0)),AT$2,)</f>
        <v>0</v>
      </c>
      <c r="AU317" s="179">
        <f ca="1">IF(ISNUMBER(MATCH(DATEVALUE($A317),'recurring1_based on steps'!AU$1:AU$400,0)),AU$2,)</f>
        <v>0</v>
      </c>
      <c r="AV317" s="179">
        <f ca="1">IF(ISNUMBER(MATCH(DATEVALUE($A317),'recurring1_based on steps'!AV$1:AV$400,0)),AV$2,)</f>
        <v>0</v>
      </c>
      <c r="AW317" s="179">
        <f ca="1">IF(ISNUMBER(MATCH(DATEVALUE($A317),'recurring1_based on steps'!AW$1:AW$400,0)),AW$2,)</f>
        <v>0</v>
      </c>
      <c r="AX317" s="179">
        <f ca="1">IF(ISNUMBER(MATCH(DATEVALUE($A317),'recurring1_based on steps'!AX$1:AX$400,0)),AX$2,)</f>
        <v>0</v>
      </c>
      <c r="AY317" s="179">
        <f ca="1">IF(ISNUMBER(MATCH(DATEVALUE($A317),'recurring1_based on steps'!AY$1:AY$400,0)),AY$2,)</f>
        <v>0</v>
      </c>
    </row>
    <row r="318" spans="1:51" x14ac:dyDescent="0.2">
      <c r="A318" s="32" t="str">
        <f t="shared" ca="1" si="4"/>
        <v>2026-02-14</v>
      </c>
      <c r="B318" s="179">
        <f ca="1">IF(ISNUMBER(MATCH(DATEVALUE($A318),'recurring1_based on steps'!B$1:B$400,0)),B$2,)</f>
        <v>0</v>
      </c>
      <c r="C318" s="179">
        <f ca="1">IF(ISNUMBER(MATCH(DATEVALUE($A318),'recurring1_based on steps'!C$1:C$400,0)),C$2,)</f>
        <v>0</v>
      </c>
      <c r="D318" s="179">
        <f ca="1">IF(ISNUMBER(MATCH(DATEVALUE($A318),'recurring1_based on steps'!D$1:D$400,0)),D$2,)</f>
        <v>0</v>
      </c>
      <c r="E318" s="179">
        <f ca="1">IF(ISNUMBER(MATCH(DATEVALUE($A318),'recurring1_based on steps'!E$1:E$400,0)),E$2,)</f>
        <v>0</v>
      </c>
      <c r="F318" s="179">
        <f ca="1">IF(ISNUMBER(MATCH(DATEVALUE($A318),'recurring1_based on steps'!F$1:F$400,0)),F$2,)</f>
        <v>0</v>
      </c>
      <c r="G318" s="179">
        <f ca="1">IF(ISNUMBER(MATCH(DATEVALUE($A318),'recurring1_based on steps'!G$1:G$400,0)),G$2,)</f>
        <v>0</v>
      </c>
      <c r="H318" s="179">
        <f ca="1">IF(ISNUMBER(MATCH(DATEVALUE($A318),'recurring1_based on steps'!H$1:H$400,0)),H$2,)</f>
        <v>0</v>
      </c>
      <c r="I318" s="179">
        <f ca="1">IF(ISNUMBER(MATCH(DATEVALUE($A318),'recurring1_based on steps'!I$1:I$400,0)),I$2,)</f>
        <v>0</v>
      </c>
      <c r="J318" s="179">
        <f ca="1">IF(ISNUMBER(MATCH(DATEVALUE($A318),'recurring1_based on steps'!J$1:J$400,0)),J$2,)</f>
        <v>0</v>
      </c>
      <c r="K318" s="179">
        <f ca="1">IF(ISNUMBER(MATCH(DATEVALUE($A318),'recurring1_based on steps'!K$1:K$400,0)),K$2,)</f>
        <v>0</v>
      </c>
      <c r="L318" s="179">
        <f ca="1">IF(ISNUMBER(MATCH(DATEVALUE($A318),'recurring1_based on steps'!L$1:L$400,0)),L$2,)</f>
        <v>0</v>
      </c>
      <c r="M318" s="179">
        <f ca="1">IF(ISNUMBER(MATCH(DATEVALUE($A318),'recurring1_based on steps'!M$1:M$400,0)),M$2,)</f>
        <v>0</v>
      </c>
      <c r="N318" s="179">
        <f ca="1">IF(ISNUMBER(MATCH(DATEVALUE($A318),'recurring1_based on steps'!N$1:N$400,0)),N$2,)</f>
        <v>0</v>
      </c>
      <c r="O318" s="179">
        <f ca="1">IF(ISNUMBER(MATCH(DATEVALUE($A318),'recurring1_based on steps'!O$1:O$400,0)),O$2,)</f>
        <v>0</v>
      </c>
      <c r="P318" s="179">
        <f ca="1">IF(ISNUMBER(MATCH(DATEVALUE($A318),'recurring1_based on steps'!P$1:P$400,0)),P$2,)</f>
        <v>0</v>
      </c>
      <c r="Q318" s="179">
        <f ca="1">IF(ISNUMBER(MATCH(DATEVALUE($A318),'recurring1_based on steps'!Q$1:Q$400,0)),Q$2,)</f>
        <v>0</v>
      </c>
      <c r="R318" s="179">
        <f ca="1">IF(ISNUMBER(MATCH(DATEVALUE($A318),'recurring1_based on steps'!R$1:R$400,0)),R$2,)</f>
        <v>0</v>
      </c>
      <c r="S318" s="179">
        <f ca="1">IF(ISNUMBER(MATCH(DATEVALUE($A318),'recurring1_based on steps'!S$1:S$400,0)),S$2,)</f>
        <v>0</v>
      </c>
      <c r="T318" s="179">
        <f ca="1">IF(ISNUMBER(MATCH(DATEVALUE($A318),'recurring1_based on steps'!T$1:T$400,0)),T$2,)</f>
        <v>0</v>
      </c>
      <c r="U318" s="179">
        <f ca="1">IF(ISNUMBER(MATCH(DATEVALUE($A318),'recurring1_based on steps'!U$1:U$400,0)),U$2,)</f>
        <v>0</v>
      </c>
      <c r="V318" s="179">
        <f ca="1">IF(ISNUMBER(MATCH(DATEVALUE($A318),'recurring1_based on steps'!V$1:V$400,0)),V$2,)</f>
        <v>0</v>
      </c>
      <c r="W318" s="179">
        <f ca="1">IF(ISNUMBER(MATCH(DATEVALUE($A318),'recurring1_based on steps'!W$1:W$400,0)),W$2,)</f>
        <v>0</v>
      </c>
      <c r="X318" s="179">
        <f ca="1">IF(ISNUMBER(MATCH(DATEVALUE($A318),'recurring1_based on steps'!X$1:X$400,0)),X$2,)</f>
        <v>0</v>
      </c>
      <c r="Y318" s="179">
        <f ca="1">IF(ISNUMBER(MATCH(DATEVALUE($A318),'recurring1_based on steps'!Y$1:Y$400,0)),Y$2,)</f>
        <v>0</v>
      </c>
      <c r="Z318" s="179">
        <f ca="1">IF(ISNUMBER(MATCH(DATEVALUE($A318),'recurring1_based on steps'!Z$1:Z$400,0)),Z$2,)</f>
        <v>0</v>
      </c>
      <c r="AA318" s="179">
        <f ca="1">IF(ISNUMBER(MATCH(DATEVALUE($A318),'recurring1_based on steps'!AA$1:AA$400,0)),AA$2,)</f>
        <v>0</v>
      </c>
      <c r="AB318" s="179">
        <f ca="1">IF(ISNUMBER(MATCH(DATEVALUE($A318),'recurring1_based on steps'!AB$1:AB$400,0)),AB$2,)</f>
        <v>0</v>
      </c>
      <c r="AC318" s="179">
        <f ca="1">IF(ISNUMBER(MATCH(DATEVALUE($A318),'recurring1_based on steps'!AC$1:AC$400,0)),AC$2,)</f>
        <v>0</v>
      </c>
      <c r="AD318" s="179">
        <f ca="1">IF(ISNUMBER(MATCH(DATEVALUE($A318),'recurring1_based on steps'!AD$1:AD$400,0)),AD$2,)</f>
        <v>0</v>
      </c>
      <c r="AE318" s="179">
        <f ca="1">IF(ISNUMBER(MATCH(DATEVALUE($A318),'recurring1_based on steps'!AE$1:AE$400,0)),AE$2,)</f>
        <v>0</v>
      </c>
      <c r="AF318" s="179">
        <f ca="1">IF(ISNUMBER(MATCH(DATEVALUE($A318),'recurring1_based on steps'!AF$1:AF$400,0)),AF$2,)</f>
        <v>0</v>
      </c>
      <c r="AG318" s="179">
        <f ca="1">IF(ISNUMBER(MATCH(DATEVALUE($A318),'recurring1_based on steps'!AG$1:AG$400,0)),AG$2,)</f>
        <v>0</v>
      </c>
      <c r="AH318" s="179">
        <f ca="1">IF(ISNUMBER(MATCH(DATEVALUE($A318),'recurring1_based on steps'!AH$1:AH$400,0)),AH$2,)</f>
        <v>0</v>
      </c>
      <c r="AI318" s="179">
        <f ca="1">IF(ISNUMBER(MATCH(DATEVALUE($A318),'recurring1_based on steps'!AI$1:AI$400,0)),AI$2,)</f>
        <v>0</v>
      </c>
      <c r="AJ318" s="179">
        <f ca="1">IF(ISNUMBER(MATCH(DATEVALUE($A318),'recurring1_based on steps'!AJ$1:AJ$400,0)),AJ$2,)</f>
        <v>0</v>
      </c>
      <c r="AK318" s="179">
        <f ca="1">IF(ISNUMBER(MATCH(DATEVALUE($A318),'recurring1_based on steps'!AK$1:AK$400,0)),AK$2,)</f>
        <v>0</v>
      </c>
      <c r="AL318" s="179">
        <f ca="1">IF(ISNUMBER(MATCH(DATEVALUE($A318),'recurring1_based on steps'!AL$1:AL$400,0)),AL$2,)</f>
        <v>0</v>
      </c>
      <c r="AM318" s="179">
        <f ca="1">IF(ISNUMBER(MATCH(DATEVALUE($A318),'recurring1_based on steps'!AM$1:AM$400,0)),AM$2,)</f>
        <v>0</v>
      </c>
      <c r="AN318" s="179">
        <f ca="1">IF(ISNUMBER(MATCH(DATEVALUE($A318),'recurring1_based on steps'!AN$1:AN$400,0)),AN$2,)</f>
        <v>0</v>
      </c>
      <c r="AO318" s="179">
        <f ca="1">IF(ISNUMBER(MATCH(DATEVALUE($A318),'recurring1_based on steps'!AO$1:AO$400,0)),AO$2,)</f>
        <v>0</v>
      </c>
      <c r="AP318" s="179">
        <f ca="1">IF(ISNUMBER(MATCH(DATEVALUE($A318),'recurring1_based on steps'!AP$1:AP$400,0)),AP$2,)</f>
        <v>0</v>
      </c>
      <c r="AQ318" s="179">
        <f ca="1">IF(ISNUMBER(MATCH(DATEVALUE($A318),'recurring1_based on steps'!AQ$1:AQ$400,0)),AQ$2,)</f>
        <v>0</v>
      </c>
      <c r="AR318" s="179">
        <f ca="1">IF(ISNUMBER(MATCH(DATEVALUE($A318),'recurring1_based on steps'!AR$1:AR$400,0)),AR$2,)</f>
        <v>0</v>
      </c>
      <c r="AS318" s="179">
        <f ca="1">IF(ISNUMBER(MATCH(DATEVALUE($A318),'recurring1_based on steps'!AS$1:AS$400,0)),AS$2,)</f>
        <v>0</v>
      </c>
      <c r="AT318" s="179">
        <f ca="1">IF(ISNUMBER(MATCH(DATEVALUE($A318),'recurring1_based on steps'!AT$1:AT$400,0)),AT$2,)</f>
        <v>0</v>
      </c>
      <c r="AU318" s="179">
        <f ca="1">IF(ISNUMBER(MATCH(DATEVALUE($A318),'recurring1_based on steps'!AU$1:AU$400,0)),AU$2,)</f>
        <v>0</v>
      </c>
      <c r="AV318" s="179">
        <f ca="1">IF(ISNUMBER(MATCH(DATEVALUE($A318),'recurring1_based on steps'!AV$1:AV$400,0)),AV$2,)</f>
        <v>0</v>
      </c>
      <c r="AW318" s="179">
        <f ca="1">IF(ISNUMBER(MATCH(DATEVALUE($A318),'recurring1_based on steps'!AW$1:AW$400,0)),AW$2,)</f>
        <v>0</v>
      </c>
      <c r="AX318" s="179">
        <f ca="1">IF(ISNUMBER(MATCH(DATEVALUE($A318),'recurring1_based on steps'!AX$1:AX$400,0)),AX$2,)</f>
        <v>0</v>
      </c>
      <c r="AY318" s="179">
        <f ca="1">IF(ISNUMBER(MATCH(DATEVALUE($A318),'recurring1_based on steps'!AY$1:AY$400,0)),AY$2,)</f>
        <v>0</v>
      </c>
    </row>
    <row r="319" spans="1:51" x14ac:dyDescent="0.2">
      <c r="A319" s="32" t="str">
        <f t="shared" ca="1" si="4"/>
        <v>2026-02-15</v>
      </c>
      <c r="B319" s="179">
        <f ca="1">IF(ISNUMBER(MATCH(DATEVALUE($A319),'recurring1_based on steps'!B$1:B$400,0)),B$2,)</f>
        <v>0</v>
      </c>
      <c r="C319" s="179">
        <f ca="1">IF(ISNUMBER(MATCH(DATEVALUE($A319),'recurring1_based on steps'!C$1:C$400,0)),C$2,)</f>
        <v>0</v>
      </c>
      <c r="D319" s="179">
        <f ca="1">IF(ISNUMBER(MATCH(DATEVALUE($A319),'recurring1_based on steps'!D$1:D$400,0)),D$2,)</f>
        <v>0</v>
      </c>
      <c r="E319" s="179">
        <f ca="1">IF(ISNUMBER(MATCH(DATEVALUE($A319),'recurring1_based on steps'!E$1:E$400,0)),E$2,)</f>
        <v>0</v>
      </c>
      <c r="F319" s="179">
        <f ca="1">IF(ISNUMBER(MATCH(DATEVALUE($A319),'recurring1_based on steps'!F$1:F$400,0)),F$2,)</f>
        <v>0</v>
      </c>
      <c r="G319" s="179">
        <f ca="1">IF(ISNUMBER(MATCH(DATEVALUE($A319),'recurring1_based on steps'!G$1:G$400,0)),G$2,)</f>
        <v>0</v>
      </c>
      <c r="H319" s="179">
        <f ca="1">IF(ISNUMBER(MATCH(DATEVALUE($A319),'recurring1_based on steps'!H$1:H$400,0)),H$2,)</f>
        <v>0</v>
      </c>
      <c r="I319" s="179">
        <f ca="1">IF(ISNUMBER(MATCH(DATEVALUE($A319),'recurring1_based on steps'!I$1:I$400,0)),I$2,)</f>
        <v>0</v>
      </c>
      <c r="J319" s="179">
        <f ca="1">IF(ISNUMBER(MATCH(DATEVALUE($A319),'recurring1_based on steps'!J$1:J$400,0)),J$2,)</f>
        <v>0</v>
      </c>
      <c r="K319" s="179">
        <f ca="1">IF(ISNUMBER(MATCH(DATEVALUE($A319),'recurring1_based on steps'!K$1:K$400,0)),K$2,)</f>
        <v>0</v>
      </c>
      <c r="L319" s="179">
        <f ca="1">IF(ISNUMBER(MATCH(DATEVALUE($A319),'recurring1_based on steps'!L$1:L$400,0)),L$2,)</f>
        <v>0</v>
      </c>
      <c r="M319" s="179">
        <f ca="1">IF(ISNUMBER(MATCH(DATEVALUE($A319),'recurring1_based on steps'!M$1:M$400,0)),M$2,)</f>
        <v>0</v>
      </c>
      <c r="N319" s="179">
        <f ca="1">IF(ISNUMBER(MATCH(DATEVALUE($A319),'recurring1_based on steps'!N$1:N$400,0)),N$2,)</f>
        <v>0</v>
      </c>
      <c r="O319" s="179">
        <f ca="1">IF(ISNUMBER(MATCH(DATEVALUE($A319),'recurring1_based on steps'!O$1:O$400,0)),O$2,)</f>
        <v>0</v>
      </c>
      <c r="P319" s="179">
        <f ca="1">IF(ISNUMBER(MATCH(DATEVALUE($A319),'recurring1_based on steps'!P$1:P$400,0)),P$2,)</f>
        <v>0</v>
      </c>
      <c r="Q319" s="179">
        <f ca="1">IF(ISNUMBER(MATCH(DATEVALUE($A319),'recurring1_based on steps'!Q$1:Q$400,0)),Q$2,)</f>
        <v>0</v>
      </c>
      <c r="R319" s="179">
        <f ca="1">IF(ISNUMBER(MATCH(DATEVALUE($A319),'recurring1_based on steps'!R$1:R$400,0)),R$2,)</f>
        <v>0</v>
      </c>
      <c r="S319" s="179">
        <f ca="1">IF(ISNUMBER(MATCH(DATEVALUE($A319),'recurring1_based on steps'!S$1:S$400,0)),S$2,)</f>
        <v>0</v>
      </c>
      <c r="T319" s="179">
        <f ca="1">IF(ISNUMBER(MATCH(DATEVALUE($A319),'recurring1_based on steps'!T$1:T$400,0)),T$2,)</f>
        <v>0</v>
      </c>
      <c r="U319" s="179">
        <f ca="1">IF(ISNUMBER(MATCH(DATEVALUE($A319),'recurring1_based on steps'!U$1:U$400,0)),U$2,)</f>
        <v>0</v>
      </c>
      <c r="V319" s="179">
        <f ca="1">IF(ISNUMBER(MATCH(DATEVALUE($A319),'recurring1_based on steps'!V$1:V$400,0)),V$2,)</f>
        <v>0</v>
      </c>
      <c r="W319" s="179">
        <f ca="1">IF(ISNUMBER(MATCH(DATEVALUE($A319),'recurring1_based on steps'!W$1:W$400,0)),W$2,)</f>
        <v>0</v>
      </c>
      <c r="X319" s="179">
        <f ca="1">IF(ISNUMBER(MATCH(DATEVALUE($A319),'recurring1_based on steps'!X$1:X$400,0)),X$2,)</f>
        <v>0</v>
      </c>
      <c r="Y319" s="179">
        <f ca="1">IF(ISNUMBER(MATCH(DATEVALUE($A319),'recurring1_based on steps'!Y$1:Y$400,0)),Y$2,)</f>
        <v>0</v>
      </c>
      <c r="Z319" s="179">
        <f ca="1">IF(ISNUMBER(MATCH(DATEVALUE($A319),'recurring1_based on steps'!Z$1:Z$400,0)),Z$2,)</f>
        <v>0</v>
      </c>
      <c r="AA319" s="179">
        <f ca="1">IF(ISNUMBER(MATCH(DATEVALUE($A319),'recurring1_based on steps'!AA$1:AA$400,0)),AA$2,)</f>
        <v>0</v>
      </c>
      <c r="AB319" s="179">
        <f ca="1">IF(ISNUMBER(MATCH(DATEVALUE($A319),'recurring1_based on steps'!AB$1:AB$400,0)),AB$2,)</f>
        <v>0</v>
      </c>
      <c r="AC319" s="179">
        <f ca="1">IF(ISNUMBER(MATCH(DATEVALUE($A319),'recurring1_based on steps'!AC$1:AC$400,0)),AC$2,)</f>
        <v>0</v>
      </c>
      <c r="AD319" s="179">
        <f ca="1">IF(ISNUMBER(MATCH(DATEVALUE($A319),'recurring1_based on steps'!AD$1:AD$400,0)),AD$2,)</f>
        <v>0</v>
      </c>
      <c r="AE319" s="179">
        <f ca="1">IF(ISNUMBER(MATCH(DATEVALUE($A319),'recurring1_based on steps'!AE$1:AE$400,0)),AE$2,)</f>
        <v>0</v>
      </c>
      <c r="AF319" s="179">
        <f ca="1">IF(ISNUMBER(MATCH(DATEVALUE($A319),'recurring1_based on steps'!AF$1:AF$400,0)),AF$2,)</f>
        <v>0</v>
      </c>
      <c r="AG319" s="179">
        <f ca="1">IF(ISNUMBER(MATCH(DATEVALUE($A319),'recurring1_based on steps'!AG$1:AG$400,0)),AG$2,)</f>
        <v>0</v>
      </c>
      <c r="AH319" s="179">
        <f ca="1">IF(ISNUMBER(MATCH(DATEVALUE($A319),'recurring1_based on steps'!AH$1:AH$400,0)),AH$2,)</f>
        <v>0</v>
      </c>
      <c r="AI319" s="179">
        <f ca="1">IF(ISNUMBER(MATCH(DATEVALUE($A319),'recurring1_based on steps'!AI$1:AI$400,0)),AI$2,)</f>
        <v>0</v>
      </c>
      <c r="AJ319" s="179">
        <f ca="1">IF(ISNUMBER(MATCH(DATEVALUE($A319),'recurring1_based on steps'!AJ$1:AJ$400,0)),AJ$2,)</f>
        <v>0</v>
      </c>
      <c r="AK319" s="179">
        <f ca="1">IF(ISNUMBER(MATCH(DATEVALUE($A319),'recurring1_based on steps'!AK$1:AK$400,0)),AK$2,)</f>
        <v>0</v>
      </c>
      <c r="AL319" s="179">
        <f ca="1">IF(ISNUMBER(MATCH(DATEVALUE($A319),'recurring1_based on steps'!AL$1:AL$400,0)),AL$2,)</f>
        <v>0</v>
      </c>
      <c r="AM319" s="179">
        <f ca="1">IF(ISNUMBER(MATCH(DATEVALUE($A319),'recurring1_based on steps'!AM$1:AM$400,0)),AM$2,)</f>
        <v>0</v>
      </c>
      <c r="AN319" s="179">
        <f ca="1">IF(ISNUMBER(MATCH(DATEVALUE($A319),'recurring1_based on steps'!AN$1:AN$400,0)),AN$2,)</f>
        <v>0</v>
      </c>
      <c r="AO319" s="179">
        <f ca="1">IF(ISNUMBER(MATCH(DATEVALUE($A319),'recurring1_based on steps'!AO$1:AO$400,0)),AO$2,)</f>
        <v>0</v>
      </c>
      <c r="AP319" s="179">
        <f ca="1">IF(ISNUMBER(MATCH(DATEVALUE($A319),'recurring1_based on steps'!AP$1:AP$400,0)),AP$2,)</f>
        <v>0</v>
      </c>
      <c r="AQ319" s="179">
        <f ca="1">IF(ISNUMBER(MATCH(DATEVALUE($A319),'recurring1_based on steps'!AQ$1:AQ$400,0)),AQ$2,)</f>
        <v>0</v>
      </c>
      <c r="AR319" s="179">
        <f ca="1">IF(ISNUMBER(MATCH(DATEVALUE($A319),'recurring1_based on steps'!AR$1:AR$400,0)),AR$2,)</f>
        <v>0</v>
      </c>
      <c r="AS319" s="179">
        <f ca="1">IF(ISNUMBER(MATCH(DATEVALUE($A319),'recurring1_based on steps'!AS$1:AS$400,0)),AS$2,)</f>
        <v>0</v>
      </c>
      <c r="AT319" s="179">
        <f ca="1">IF(ISNUMBER(MATCH(DATEVALUE($A319),'recurring1_based on steps'!AT$1:AT$400,0)),AT$2,)</f>
        <v>0</v>
      </c>
      <c r="AU319" s="179">
        <f ca="1">IF(ISNUMBER(MATCH(DATEVALUE($A319),'recurring1_based on steps'!AU$1:AU$400,0)),AU$2,)</f>
        <v>0</v>
      </c>
      <c r="AV319" s="179">
        <f ca="1">IF(ISNUMBER(MATCH(DATEVALUE($A319),'recurring1_based on steps'!AV$1:AV$400,0)),AV$2,)</f>
        <v>0</v>
      </c>
      <c r="AW319" s="179">
        <f ca="1">IF(ISNUMBER(MATCH(DATEVALUE($A319),'recurring1_based on steps'!AW$1:AW$400,0)),AW$2,)</f>
        <v>0</v>
      </c>
      <c r="AX319" s="179">
        <f ca="1">IF(ISNUMBER(MATCH(DATEVALUE($A319),'recurring1_based on steps'!AX$1:AX$400,0)),AX$2,)</f>
        <v>0</v>
      </c>
      <c r="AY319" s="179">
        <f ca="1">IF(ISNUMBER(MATCH(DATEVALUE($A319),'recurring1_based on steps'!AY$1:AY$400,0)),AY$2,)</f>
        <v>0</v>
      </c>
    </row>
    <row r="320" spans="1:51" x14ac:dyDescent="0.2">
      <c r="A320" s="32" t="str">
        <f t="shared" ca="1" si="4"/>
        <v>2026-02-16</v>
      </c>
      <c r="B320" s="179">
        <f ca="1">IF(ISNUMBER(MATCH(DATEVALUE($A320),'recurring1_based on steps'!B$1:B$400,0)),B$2,)</f>
        <v>0</v>
      </c>
      <c r="C320" s="179">
        <f ca="1">IF(ISNUMBER(MATCH(DATEVALUE($A320),'recurring1_based on steps'!C$1:C$400,0)),C$2,)</f>
        <v>0</v>
      </c>
      <c r="D320" s="179">
        <f ca="1">IF(ISNUMBER(MATCH(DATEVALUE($A320),'recurring1_based on steps'!D$1:D$400,0)),D$2,)</f>
        <v>0</v>
      </c>
      <c r="E320" s="179">
        <f ca="1">IF(ISNUMBER(MATCH(DATEVALUE($A320),'recurring1_based on steps'!E$1:E$400,0)),E$2,)</f>
        <v>0</v>
      </c>
      <c r="F320" s="179">
        <f ca="1">IF(ISNUMBER(MATCH(DATEVALUE($A320),'recurring1_based on steps'!F$1:F$400,0)),F$2,)</f>
        <v>0</v>
      </c>
      <c r="G320" s="179">
        <f ca="1">IF(ISNUMBER(MATCH(DATEVALUE($A320),'recurring1_based on steps'!G$1:G$400,0)),G$2,)</f>
        <v>0</v>
      </c>
      <c r="H320" s="179">
        <f ca="1">IF(ISNUMBER(MATCH(DATEVALUE($A320),'recurring1_based on steps'!H$1:H$400,0)),H$2,)</f>
        <v>0</v>
      </c>
      <c r="I320" s="179">
        <f ca="1">IF(ISNUMBER(MATCH(DATEVALUE($A320),'recurring1_based on steps'!I$1:I$400,0)),I$2,)</f>
        <v>0</v>
      </c>
      <c r="J320" s="179">
        <f ca="1">IF(ISNUMBER(MATCH(DATEVALUE($A320),'recurring1_based on steps'!J$1:J$400,0)),J$2,)</f>
        <v>0</v>
      </c>
      <c r="K320" s="179">
        <f ca="1">IF(ISNUMBER(MATCH(DATEVALUE($A320),'recurring1_based on steps'!K$1:K$400,0)),K$2,)</f>
        <v>0</v>
      </c>
      <c r="L320" s="179">
        <f ca="1">IF(ISNUMBER(MATCH(DATEVALUE($A320),'recurring1_based on steps'!L$1:L$400,0)),L$2,)</f>
        <v>0</v>
      </c>
      <c r="M320" s="179">
        <f ca="1">IF(ISNUMBER(MATCH(DATEVALUE($A320),'recurring1_based on steps'!M$1:M$400,0)),M$2,)</f>
        <v>0</v>
      </c>
      <c r="N320" s="179">
        <f ca="1">IF(ISNUMBER(MATCH(DATEVALUE($A320),'recurring1_based on steps'!N$1:N$400,0)),N$2,)</f>
        <v>0</v>
      </c>
      <c r="O320" s="179">
        <f ca="1">IF(ISNUMBER(MATCH(DATEVALUE($A320),'recurring1_based on steps'!O$1:O$400,0)),O$2,)</f>
        <v>0</v>
      </c>
      <c r="P320" s="179">
        <f ca="1">IF(ISNUMBER(MATCH(DATEVALUE($A320),'recurring1_based on steps'!P$1:P$400,0)),P$2,)</f>
        <v>0</v>
      </c>
      <c r="Q320" s="179">
        <f ca="1">IF(ISNUMBER(MATCH(DATEVALUE($A320),'recurring1_based on steps'!Q$1:Q$400,0)),Q$2,)</f>
        <v>0</v>
      </c>
      <c r="R320" s="179">
        <f ca="1">IF(ISNUMBER(MATCH(DATEVALUE($A320),'recurring1_based on steps'!R$1:R$400,0)),R$2,)</f>
        <v>0</v>
      </c>
      <c r="S320" s="179">
        <f ca="1">IF(ISNUMBER(MATCH(DATEVALUE($A320),'recurring1_based on steps'!S$1:S$400,0)),S$2,)</f>
        <v>0</v>
      </c>
      <c r="T320" s="179">
        <f ca="1">IF(ISNUMBER(MATCH(DATEVALUE($A320),'recurring1_based on steps'!T$1:T$400,0)),T$2,)</f>
        <v>0</v>
      </c>
      <c r="U320" s="179">
        <f ca="1">IF(ISNUMBER(MATCH(DATEVALUE($A320),'recurring1_based on steps'!U$1:U$400,0)),U$2,)</f>
        <v>0</v>
      </c>
      <c r="V320" s="179">
        <f ca="1">IF(ISNUMBER(MATCH(DATEVALUE($A320),'recurring1_based on steps'!V$1:V$400,0)),V$2,)</f>
        <v>0</v>
      </c>
      <c r="W320" s="179">
        <f ca="1">IF(ISNUMBER(MATCH(DATEVALUE($A320),'recurring1_based on steps'!W$1:W$400,0)),W$2,)</f>
        <v>0</v>
      </c>
      <c r="X320" s="179">
        <f ca="1">IF(ISNUMBER(MATCH(DATEVALUE($A320),'recurring1_based on steps'!X$1:X$400,0)),X$2,)</f>
        <v>0</v>
      </c>
      <c r="Y320" s="179">
        <f ca="1">IF(ISNUMBER(MATCH(DATEVALUE($A320),'recurring1_based on steps'!Y$1:Y$400,0)),Y$2,)</f>
        <v>0</v>
      </c>
      <c r="Z320" s="179">
        <f ca="1">IF(ISNUMBER(MATCH(DATEVALUE($A320),'recurring1_based on steps'!Z$1:Z$400,0)),Z$2,)</f>
        <v>0</v>
      </c>
      <c r="AA320" s="179">
        <f ca="1">IF(ISNUMBER(MATCH(DATEVALUE($A320),'recurring1_based on steps'!AA$1:AA$400,0)),AA$2,)</f>
        <v>0</v>
      </c>
      <c r="AB320" s="179">
        <f ca="1">IF(ISNUMBER(MATCH(DATEVALUE($A320),'recurring1_based on steps'!AB$1:AB$400,0)),AB$2,)</f>
        <v>0</v>
      </c>
      <c r="AC320" s="179">
        <f ca="1">IF(ISNUMBER(MATCH(DATEVALUE($A320),'recurring1_based on steps'!AC$1:AC$400,0)),AC$2,)</f>
        <v>0</v>
      </c>
      <c r="AD320" s="179">
        <f ca="1">IF(ISNUMBER(MATCH(DATEVALUE($A320),'recurring1_based on steps'!AD$1:AD$400,0)),AD$2,)</f>
        <v>0</v>
      </c>
      <c r="AE320" s="179">
        <f ca="1">IF(ISNUMBER(MATCH(DATEVALUE($A320),'recurring1_based on steps'!AE$1:AE$400,0)),AE$2,)</f>
        <v>0</v>
      </c>
      <c r="AF320" s="179">
        <f ca="1">IF(ISNUMBER(MATCH(DATEVALUE($A320),'recurring1_based on steps'!AF$1:AF$400,0)),AF$2,)</f>
        <v>0</v>
      </c>
      <c r="AG320" s="179">
        <f ca="1">IF(ISNUMBER(MATCH(DATEVALUE($A320),'recurring1_based on steps'!AG$1:AG$400,0)),AG$2,)</f>
        <v>0</v>
      </c>
      <c r="AH320" s="179">
        <f ca="1">IF(ISNUMBER(MATCH(DATEVALUE($A320),'recurring1_based on steps'!AH$1:AH$400,0)),AH$2,)</f>
        <v>0</v>
      </c>
      <c r="AI320" s="179">
        <f ca="1">IF(ISNUMBER(MATCH(DATEVALUE($A320),'recurring1_based on steps'!AI$1:AI$400,0)),AI$2,)</f>
        <v>0</v>
      </c>
      <c r="AJ320" s="179">
        <f ca="1">IF(ISNUMBER(MATCH(DATEVALUE($A320),'recurring1_based on steps'!AJ$1:AJ$400,0)),AJ$2,)</f>
        <v>0</v>
      </c>
      <c r="AK320" s="179">
        <f ca="1">IF(ISNUMBER(MATCH(DATEVALUE($A320),'recurring1_based on steps'!AK$1:AK$400,0)),AK$2,)</f>
        <v>0</v>
      </c>
      <c r="AL320" s="179">
        <f ca="1">IF(ISNUMBER(MATCH(DATEVALUE($A320),'recurring1_based on steps'!AL$1:AL$400,0)),AL$2,)</f>
        <v>0</v>
      </c>
      <c r="AM320" s="179">
        <f ca="1">IF(ISNUMBER(MATCH(DATEVALUE($A320),'recurring1_based on steps'!AM$1:AM$400,0)),AM$2,)</f>
        <v>0</v>
      </c>
      <c r="AN320" s="179">
        <f ca="1">IF(ISNUMBER(MATCH(DATEVALUE($A320),'recurring1_based on steps'!AN$1:AN$400,0)),AN$2,)</f>
        <v>0</v>
      </c>
      <c r="AO320" s="179">
        <f ca="1">IF(ISNUMBER(MATCH(DATEVALUE($A320),'recurring1_based on steps'!AO$1:AO$400,0)),AO$2,)</f>
        <v>0</v>
      </c>
      <c r="AP320" s="179">
        <f ca="1">IF(ISNUMBER(MATCH(DATEVALUE($A320),'recurring1_based on steps'!AP$1:AP$400,0)),AP$2,)</f>
        <v>0</v>
      </c>
      <c r="AQ320" s="179">
        <f ca="1">IF(ISNUMBER(MATCH(DATEVALUE($A320),'recurring1_based on steps'!AQ$1:AQ$400,0)),AQ$2,)</f>
        <v>0</v>
      </c>
      <c r="AR320" s="179">
        <f ca="1">IF(ISNUMBER(MATCH(DATEVALUE($A320),'recurring1_based on steps'!AR$1:AR$400,0)),AR$2,)</f>
        <v>0</v>
      </c>
      <c r="AS320" s="179">
        <f ca="1">IF(ISNUMBER(MATCH(DATEVALUE($A320),'recurring1_based on steps'!AS$1:AS$400,0)),AS$2,)</f>
        <v>0</v>
      </c>
      <c r="AT320" s="179">
        <f ca="1">IF(ISNUMBER(MATCH(DATEVALUE($A320),'recurring1_based on steps'!AT$1:AT$400,0)),AT$2,)</f>
        <v>0</v>
      </c>
      <c r="AU320" s="179">
        <f ca="1">IF(ISNUMBER(MATCH(DATEVALUE($A320),'recurring1_based on steps'!AU$1:AU$400,0)),AU$2,)</f>
        <v>0</v>
      </c>
      <c r="AV320" s="179">
        <f ca="1">IF(ISNUMBER(MATCH(DATEVALUE($A320),'recurring1_based on steps'!AV$1:AV$400,0)),AV$2,)</f>
        <v>0</v>
      </c>
      <c r="AW320" s="179">
        <f ca="1">IF(ISNUMBER(MATCH(DATEVALUE($A320),'recurring1_based on steps'!AW$1:AW$400,0)),AW$2,)</f>
        <v>0</v>
      </c>
      <c r="AX320" s="179">
        <f ca="1">IF(ISNUMBER(MATCH(DATEVALUE($A320),'recurring1_based on steps'!AX$1:AX$400,0)),AX$2,)</f>
        <v>0</v>
      </c>
      <c r="AY320" s="179">
        <f ca="1">IF(ISNUMBER(MATCH(DATEVALUE($A320),'recurring1_based on steps'!AY$1:AY$400,0)),AY$2,)</f>
        <v>0</v>
      </c>
    </row>
    <row r="321" spans="1:51" x14ac:dyDescent="0.2">
      <c r="A321" s="32" t="str">
        <f t="shared" ca="1" si="4"/>
        <v>2026-02-17</v>
      </c>
      <c r="B321" s="179">
        <f ca="1">IF(ISNUMBER(MATCH(DATEVALUE($A321),'recurring1_based on steps'!B$1:B$400,0)),B$2,)</f>
        <v>0</v>
      </c>
      <c r="C321" s="179">
        <f ca="1">IF(ISNUMBER(MATCH(DATEVALUE($A321),'recurring1_based on steps'!C$1:C$400,0)),C$2,)</f>
        <v>0</v>
      </c>
      <c r="D321" s="179">
        <f ca="1">IF(ISNUMBER(MATCH(DATEVALUE($A321),'recurring1_based on steps'!D$1:D$400,0)),D$2,)</f>
        <v>0</v>
      </c>
      <c r="E321" s="179">
        <f ca="1">IF(ISNUMBER(MATCH(DATEVALUE($A321),'recurring1_based on steps'!E$1:E$400,0)),E$2,)</f>
        <v>0</v>
      </c>
      <c r="F321" s="179">
        <f ca="1">IF(ISNUMBER(MATCH(DATEVALUE($A321),'recurring1_based on steps'!F$1:F$400,0)),F$2,)</f>
        <v>0</v>
      </c>
      <c r="G321" s="179">
        <f ca="1">IF(ISNUMBER(MATCH(DATEVALUE($A321),'recurring1_based on steps'!G$1:G$400,0)),G$2,)</f>
        <v>0</v>
      </c>
      <c r="H321" s="179">
        <f ca="1">IF(ISNUMBER(MATCH(DATEVALUE($A321),'recurring1_based on steps'!H$1:H$400,0)),H$2,)</f>
        <v>0</v>
      </c>
      <c r="I321" s="179">
        <f ca="1">IF(ISNUMBER(MATCH(DATEVALUE($A321),'recurring1_based on steps'!I$1:I$400,0)),I$2,)</f>
        <v>0</v>
      </c>
      <c r="J321" s="179">
        <f ca="1">IF(ISNUMBER(MATCH(DATEVALUE($A321),'recurring1_based on steps'!J$1:J$400,0)),J$2,)</f>
        <v>0</v>
      </c>
      <c r="K321" s="179">
        <f ca="1">IF(ISNUMBER(MATCH(DATEVALUE($A321),'recurring1_based on steps'!K$1:K$400,0)),K$2,)</f>
        <v>0</v>
      </c>
      <c r="L321" s="179">
        <f ca="1">IF(ISNUMBER(MATCH(DATEVALUE($A321),'recurring1_based on steps'!L$1:L$400,0)),L$2,)</f>
        <v>0</v>
      </c>
      <c r="M321" s="179">
        <f ca="1">IF(ISNUMBER(MATCH(DATEVALUE($A321),'recurring1_based on steps'!M$1:M$400,0)),M$2,)</f>
        <v>0</v>
      </c>
      <c r="N321" s="179">
        <f ca="1">IF(ISNUMBER(MATCH(DATEVALUE($A321),'recurring1_based on steps'!N$1:N$400,0)),N$2,)</f>
        <v>0</v>
      </c>
      <c r="O321" s="179">
        <f ca="1">IF(ISNUMBER(MATCH(DATEVALUE($A321),'recurring1_based on steps'!O$1:O$400,0)),O$2,)</f>
        <v>0</v>
      </c>
      <c r="P321" s="179">
        <f ca="1">IF(ISNUMBER(MATCH(DATEVALUE($A321),'recurring1_based on steps'!P$1:P$400,0)),P$2,)</f>
        <v>0</v>
      </c>
      <c r="Q321" s="179">
        <f ca="1">IF(ISNUMBER(MATCH(DATEVALUE($A321),'recurring1_based on steps'!Q$1:Q$400,0)),Q$2,)</f>
        <v>0</v>
      </c>
      <c r="R321" s="179">
        <f ca="1">IF(ISNUMBER(MATCH(DATEVALUE($A321),'recurring1_based on steps'!R$1:R$400,0)),R$2,)</f>
        <v>0</v>
      </c>
      <c r="S321" s="179">
        <f ca="1">IF(ISNUMBER(MATCH(DATEVALUE($A321),'recurring1_based on steps'!S$1:S$400,0)),S$2,)</f>
        <v>0</v>
      </c>
      <c r="T321" s="179">
        <f ca="1">IF(ISNUMBER(MATCH(DATEVALUE($A321),'recurring1_based on steps'!T$1:T$400,0)),T$2,)</f>
        <v>0</v>
      </c>
      <c r="U321" s="179">
        <f ca="1">IF(ISNUMBER(MATCH(DATEVALUE($A321),'recurring1_based on steps'!U$1:U$400,0)),U$2,)</f>
        <v>0</v>
      </c>
      <c r="V321" s="179">
        <f ca="1">IF(ISNUMBER(MATCH(DATEVALUE($A321),'recurring1_based on steps'!V$1:V$400,0)),V$2,)</f>
        <v>0</v>
      </c>
      <c r="W321" s="179">
        <f ca="1">IF(ISNUMBER(MATCH(DATEVALUE($A321),'recurring1_based on steps'!W$1:W$400,0)),W$2,)</f>
        <v>0</v>
      </c>
      <c r="X321" s="179">
        <f ca="1">IF(ISNUMBER(MATCH(DATEVALUE($A321),'recurring1_based on steps'!X$1:X$400,0)),X$2,)</f>
        <v>0</v>
      </c>
      <c r="Y321" s="179">
        <f ca="1">IF(ISNUMBER(MATCH(DATEVALUE($A321),'recurring1_based on steps'!Y$1:Y$400,0)),Y$2,)</f>
        <v>0</v>
      </c>
      <c r="Z321" s="179">
        <f ca="1">IF(ISNUMBER(MATCH(DATEVALUE($A321),'recurring1_based on steps'!Z$1:Z$400,0)),Z$2,)</f>
        <v>0</v>
      </c>
      <c r="AA321" s="179">
        <f ca="1">IF(ISNUMBER(MATCH(DATEVALUE($A321),'recurring1_based on steps'!AA$1:AA$400,0)),AA$2,)</f>
        <v>0</v>
      </c>
      <c r="AB321" s="179">
        <f ca="1">IF(ISNUMBER(MATCH(DATEVALUE($A321),'recurring1_based on steps'!AB$1:AB$400,0)),AB$2,)</f>
        <v>0</v>
      </c>
      <c r="AC321" s="179">
        <f ca="1">IF(ISNUMBER(MATCH(DATEVALUE($A321),'recurring1_based on steps'!AC$1:AC$400,0)),AC$2,)</f>
        <v>0</v>
      </c>
      <c r="AD321" s="179">
        <f ca="1">IF(ISNUMBER(MATCH(DATEVALUE($A321),'recurring1_based on steps'!AD$1:AD$400,0)),AD$2,)</f>
        <v>0</v>
      </c>
      <c r="AE321" s="179">
        <f ca="1">IF(ISNUMBER(MATCH(DATEVALUE($A321),'recurring1_based on steps'!AE$1:AE$400,0)),AE$2,)</f>
        <v>0</v>
      </c>
      <c r="AF321" s="179">
        <f ca="1">IF(ISNUMBER(MATCH(DATEVALUE($A321),'recurring1_based on steps'!AF$1:AF$400,0)),AF$2,)</f>
        <v>0</v>
      </c>
      <c r="AG321" s="179">
        <f ca="1">IF(ISNUMBER(MATCH(DATEVALUE($A321),'recurring1_based on steps'!AG$1:AG$400,0)),AG$2,)</f>
        <v>0</v>
      </c>
      <c r="AH321" s="179">
        <f ca="1">IF(ISNUMBER(MATCH(DATEVALUE($A321),'recurring1_based on steps'!AH$1:AH$400,0)),AH$2,)</f>
        <v>0</v>
      </c>
      <c r="AI321" s="179">
        <f ca="1">IF(ISNUMBER(MATCH(DATEVALUE($A321),'recurring1_based on steps'!AI$1:AI$400,0)),AI$2,)</f>
        <v>0</v>
      </c>
      <c r="AJ321" s="179">
        <f ca="1">IF(ISNUMBER(MATCH(DATEVALUE($A321),'recurring1_based on steps'!AJ$1:AJ$400,0)),AJ$2,)</f>
        <v>0</v>
      </c>
      <c r="AK321" s="179">
        <f ca="1">IF(ISNUMBER(MATCH(DATEVALUE($A321),'recurring1_based on steps'!AK$1:AK$400,0)),AK$2,)</f>
        <v>0</v>
      </c>
      <c r="AL321" s="179">
        <f ca="1">IF(ISNUMBER(MATCH(DATEVALUE($A321),'recurring1_based on steps'!AL$1:AL$400,0)),AL$2,)</f>
        <v>0</v>
      </c>
      <c r="AM321" s="179">
        <f ca="1">IF(ISNUMBER(MATCH(DATEVALUE($A321),'recurring1_based on steps'!AM$1:AM$400,0)),AM$2,)</f>
        <v>0</v>
      </c>
      <c r="AN321" s="179">
        <f ca="1">IF(ISNUMBER(MATCH(DATEVALUE($A321),'recurring1_based on steps'!AN$1:AN$400,0)),AN$2,)</f>
        <v>0</v>
      </c>
      <c r="AO321" s="179">
        <f ca="1">IF(ISNUMBER(MATCH(DATEVALUE($A321),'recurring1_based on steps'!AO$1:AO$400,0)),AO$2,)</f>
        <v>0</v>
      </c>
      <c r="AP321" s="179">
        <f ca="1">IF(ISNUMBER(MATCH(DATEVALUE($A321),'recurring1_based on steps'!AP$1:AP$400,0)),AP$2,)</f>
        <v>0</v>
      </c>
      <c r="AQ321" s="179">
        <f ca="1">IF(ISNUMBER(MATCH(DATEVALUE($A321),'recurring1_based on steps'!AQ$1:AQ$400,0)),AQ$2,)</f>
        <v>0</v>
      </c>
      <c r="AR321" s="179">
        <f ca="1">IF(ISNUMBER(MATCH(DATEVALUE($A321),'recurring1_based on steps'!AR$1:AR$400,0)),AR$2,)</f>
        <v>0</v>
      </c>
      <c r="AS321" s="179">
        <f ca="1">IF(ISNUMBER(MATCH(DATEVALUE($A321),'recurring1_based on steps'!AS$1:AS$400,0)),AS$2,)</f>
        <v>0</v>
      </c>
      <c r="AT321" s="179">
        <f ca="1">IF(ISNUMBER(MATCH(DATEVALUE($A321),'recurring1_based on steps'!AT$1:AT$400,0)),AT$2,)</f>
        <v>0</v>
      </c>
      <c r="AU321" s="179">
        <f ca="1">IF(ISNUMBER(MATCH(DATEVALUE($A321),'recurring1_based on steps'!AU$1:AU$400,0)),AU$2,)</f>
        <v>0</v>
      </c>
      <c r="AV321" s="179">
        <f ca="1">IF(ISNUMBER(MATCH(DATEVALUE($A321),'recurring1_based on steps'!AV$1:AV$400,0)),AV$2,)</f>
        <v>0</v>
      </c>
      <c r="AW321" s="179">
        <f ca="1">IF(ISNUMBER(MATCH(DATEVALUE($A321),'recurring1_based on steps'!AW$1:AW$400,0)),AW$2,)</f>
        <v>0</v>
      </c>
      <c r="AX321" s="179">
        <f ca="1">IF(ISNUMBER(MATCH(DATEVALUE($A321),'recurring1_based on steps'!AX$1:AX$400,0)),AX$2,)</f>
        <v>0</v>
      </c>
      <c r="AY321" s="179">
        <f ca="1">IF(ISNUMBER(MATCH(DATEVALUE($A321),'recurring1_based on steps'!AY$1:AY$400,0)),AY$2,)</f>
        <v>0</v>
      </c>
    </row>
    <row r="322" spans="1:51" x14ac:dyDescent="0.2">
      <c r="A322" s="32" t="str">
        <f t="shared" ca="1" si="4"/>
        <v>2026-02-18</v>
      </c>
      <c r="B322" s="179">
        <f ca="1">IF(ISNUMBER(MATCH(DATEVALUE($A322),'recurring1_based on steps'!B$1:B$400,0)),B$2,)</f>
        <v>0</v>
      </c>
      <c r="C322" s="179">
        <f ca="1">IF(ISNUMBER(MATCH(DATEVALUE($A322),'recurring1_based on steps'!C$1:C$400,0)),C$2,)</f>
        <v>0</v>
      </c>
      <c r="D322" s="179">
        <f ca="1">IF(ISNUMBER(MATCH(DATEVALUE($A322),'recurring1_based on steps'!D$1:D$400,0)),D$2,)</f>
        <v>0</v>
      </c>
      <c r="E322" s="179">
        <f ca="1">IF(ISNUMBER(MATCH(DATEVALUE($A322),'recurring1_based on steps'!E$1:E$400,0)),E$2,)</f>
        <v>0</v>
      </c>
      <c r="F322" s="179">
        <f ca="1">IF(ISNUMBER(MATCH(DATEVALUE($A322),'recurring1_based on steps'!F$1:F$400,0)),F$2,)</f>
        <v>0</v>
      </c>
      <c r="G322" s="179">
        <f ca="1">IF(ISNUMBER(MATCH(DATEVALUE($A322),'recurring1_based on steps'!G$1:G$400,0)),G$2,)</f>
        <v>0</v>
      </c>
      <c r="H322" s="179">
        <f ca="1">IF(ISNUMBER(MATCH(DATEVALUE($A322),'recurring1_based on steps'!H$1:H$400,0)),H$2,)</f>
        <v>0</v>
      </c>
      <c r="I322" s="179">
        <f ca="1">IF(ISNUMBER(MATCH(DATEVALUE($A322),'recurring1_based on steps'!I$1:I$400,0)),I$2,)</f>
        <v>0</v>
      </c>
      <c r="J322" s="179">
        <f ca="1">IF(ISNUMBER(MATCH(DATEVALUE($A322),'recurring1_based on steps'!J$1:J$400,0)),J$2,)</f>
        <v>0</v>
      </c>
      <c r="K322" s="179">
        <f ca="1">IF(ISNUMBER(MATCH(DATEVALUE($A322),'recurring1_based on steps'!K$1:K$400,0)),K$2,)</f>
        <v>0</v>
      </c>
      <c r="L322" s="179">
        <f ca="1">IF(ISNUMBER(MATCH(DATEVALUE($A322),'recurring1_based on steps'!L$1:L$400,0)),L$2,)</f>
        <v>0</v>
      </c>
      <c r="M322" s="179">
        <f ca="1">IF(ISNUMBER(MATCH(DATEVALUE($A322),'recurring1_based on steps'!M$1:M$400,0)),M$2,)</f>
        <v>0</v>
      </c>
      <c r="N322" s="179">
        <f ca="1">IF(ISNUMBER(MATCH(DATEVALUE($A322),'recurring1_based on steps'!N$1:N$400,0)),N$2,)</f>
        <v>0</v>
      </c>
      <c r="O322" s="179">
        <f ca="1">IF(ISNUMBER(MATCH(DATEVALUE($A322),'recurring1_based on steps'!O$1:O$400,0)),O$2,)</f>
        <v>0</v>
      </c>
      <c r="P322" s="179">
        <f ca="1">IF(ISNUMBER(MATCH(DATEVALUE($A322),'recurring1_based on steps'!P$1:P$400,0)),P$2,)</f>
        <v>0</v>
      </c>
      <c r="Q322" s="179">
        <f ca="1">IF(ISNUMBER(MATCH(DATEVALUE($A322),'recurring1_based on steps'!Q$1:Q$400,0)),Q$2,)</f>
        <v>0</v>
      </c>
      <c r="R322" s="179">
        <f ca="1">IF(ISNUMBER(MATCH(DATEVALUE($A322),'recurring1_based on steps'!R$1:R$400,0)),R$2,)</f>
        <v>0</v>
      </c>
      <c r="S322" s="179">
        <f ca="1">IF(ISNUMBER(MATCH(DATEVALUE($A322),'recurring1_based on steps'!S$1:S$400,0)),S$2,)</f>
        <v>0</v>
      </c>
      <c r="T322" s="179">
        <f ca="1">IF(ISNUMBER(MATCH(DATEVALUE($A322),'recurring1_based on steps'!T$1:T$400,0)),T$2,)</f>
        <v>0</v>
      </c>
      <c r="U322" s="179">
        <f ca="1">IF(ISNUMBER(MATCH(DATEVALUE($A322),'recurring1_based on steps'!U$1:U$400,0)),U$2,)</f>
        <v>0</v>
      </c>
      <c r="V322" s="179">
        <f ca="1">IF(ISNUMBER(MATCH(DATEVALUE($A322),'recurring1_based on steps'!V$1:V$400,0)),V$2,)</f>
        <v>0</v>
      </c>
      <c r="W322" s="179">
        <f ca="1">IF(ISNUMBER(MATCH(DATEVALUE($A322),'recurring1_based on steps'!W$1:W$400,0)),W$2,)</f>
        <v>0</v>
      </c>
      <c r="X322" s="179">
        <f ca="1">IF(ISNUMBER(MATCH(DATEVALUE($A322),'recurring1_based on steps'!X$1:X$400,0)),X$2,)</f>
        <v>0</v>
      </c>
      <c r="Y322" s="179">
        <f ca="1">IF(ISNUMBER(MATCH(DATEVALUE($A322),'recurring1_based on steps'!Y$1:Y$400,0)),Y$2,)</f>
        <v>0</v>
      </c>
      <c r="Z322" s="179">
        <f ca="1">IF(ISNUMBER(MATCH(DATEVALUE($A322),'recurring1_based on steps'!Z$1:Z$400,0)),Z$2,)</f>
        <v>0</v>
      </c>
      <c r="AA322" s="179">
        <f ca="1">IF(ISNUMBER(MATCH(DATEVALUE($A322),'recurring1_based on steps'!AA$1:AA$400,0)),AA$2,)</f>
        <v>0</v>
      </c>
      <c r="AB322" s="179">
        <f ca="1">IF(ISNUMBER(MATCH(DATEVALUE($A322),'recurring1_based on steps'!AB$1:AB$400,0)),AB$2,)</f>
        <v>0</v>
      </c>
      <c r="AC322" s="179">
        <f ca="1">IF(ISNUMBER(MATCH(DATEVALUE($A322),'recurring1_based on steps'!AC$1:AC$400,0)),AC$2,)</f>
        <v>0</v>
      </c>
      <c r="AD322" s="179">
        <f ca="1">IF(ISNUMBER(MATCH(DATEVALUE($A322),'recurring1_based on steps'!AD$1:AD$400,0)),AD$2,)</f>
        <v>0</v>
      </c>
      <c r="AE322" s="179">
        <f ca="1">IF(ISNUMBER(MATCH(DATEVALUE($A322),'recurring1_based on steps'!AE$1:AE$400,0)),AE$2,)</f>
        <v>0</v>
      </c>
      <c r="AF322" s="179">
        <f ca="1">IF(ISNUMBER(MATCH(DATEVALUE($A322),'recurring1_based on steps'!AF$1:AF$400,0)),AF$2,)</f>
        <v>0</v>
      </c>
      <c r="AG322" s="179">
        <f ca="1">IF(ISNUMBER(MATCH(DATEVALUE($A322),'recurring1_based on steps'!AG$1:AG$400,0)),AG$2,)</f>
        <v>0</v>
      </c>
      <c r="AH322" s="179">
        <f ca="1">IF(ISNUMBER(MATCH(DATEVALUE($A322),'recurring1_based on steps'!AH$1:AH$400,0)),AH$2,)</f>
        <v>0</v>
      </c>
      <c r="AI322" s="179">
        <f ca="1">IF(ISNUMBER(MATCH(DATEVALUE($A322),'recurring1_based on steps'!AI$1:AI$400,0)),AI$2,)</f>
        <v>0</v>
      </c>
      <c r="AJ322" s="179">
        <f ca="1">IF(ISNUMBER(MATCH(DATEVALUE($A322),'recurring1_based on steps'!AJ$1:AJ$400,0)),AJ$2,)</f>
        <v>0</v>
      </c>
      <c r="AK322" s="179">
        <f ca="1">IF(ISNUMBER(MATCH(DATEVALUE($A322),'recurring1_based on steps'!AK$1:AK$400,0)),AK$2,)</f>
        <v>0</v>
      </c>
      <c r="AL322" s="179">
        <f ca="1">IF(ISNUMBER(MATCH(DATEVALUE($A322),'recurring1_based on steps'!AL$1:AL$400,0)),AL$2,)</f>
        <v>0</v>
      </c>
      <c r="AM322" s="179">
        <f ca="1">IF(ISNUMBER(MATCH(DATEVALUE($A322),'recurring1_based on steps'!AM$1:AM$400,0)),AM$2,)</f>
        <v>0</v>
      </c>
      <c r="AN322" s="179">
        <f ca="1">IF(ISNUMBER(MATCH(DATEVALUE($A322),'recurring1_based on steps'!AN$1:AN$400,0)),AN$2,)</f>
        <v>0</v>
      </c>
      <c r="AO322" s="179">
        <f ca="1">IF(ISNUMBER(MATCH(DATEVALUE($A322),'recurring1_based on steps'!AO$1:AO$400,0)),AO$2,)</f>
        <v>0</v>
      </c>
      <c r="AP322" s="179">
        <f ca="1">IF(ISNUMBER(MATCH(DATEVALUE($A322),'recurring1_based on steps'!AP$1:AP$400,0)),AP$2,)</f>
        <v>0</v>
      </c>
      <c r="AQ322" s="179">
        <f ca="1">IF(ISNUMBER(MATCH(DATEVALUE($A322),'recurring1_based on steps'!AQ$1:AQ$400,0)),AQ$2,)</f>
        <v>0</v>
      </c>
      <c r="AR322" s="179">
        <f ca="1">IF(ISNUMBER(MATCH(DATEVALUE($A322),'recurring1_based on steps'!AR$1:AR$400,0)),AR$2,)</f>
        <v>0</v>
      </c>
      <c r="AS322" s="179">
        <f ca="1">IF(ISNUMBER(MATCH(DATEVALUE($A322),'recurring1_based on steps'!AS$1:AS$400,0)),AS$2,)</f>
        <v>0</v>
      </c>
      <c r="AT322" s="179">
        <f ca="1">IF(ISNUMBER(MATCH(DATEVALUE($A322),'recurring1_based on steps'!AT$1:AT$400,0)),AT$2,)</f>
        <v>0</v>
      </c>
      <c r="AU322" s="179">
        <f ca="1">IF(ISNUMBER(MATCH(DATEVALUE($A322),'recurring1_based on steps'!AU$1:AU$400,0)),AU$2,)</f>
        <v>0</v>
      </c>
      <c r="AV322" s="179">
        <f ca="1">IF(ISNUMBER(MATCH(DATEVALUE($A322),'recurring1_based on steps'!AV$1:AV$400,0)),AV$2,)</f>
        <v>0</v>
      </c>
      <c r="AW322" s="179">
        <f ca="1">IF(ISNUMBER(MATCH(DATEVALUE($A322),'recurring1_based on steps'!AW$1:AW$400,0)),AW$2,)</f>
        <v>0</v>
      </c>
      <c r="AX322" s="179">
        <f ca="1">IF(ISNUMBER(MATCH(DATEVALUE($A322),'recurring1_based on steps'!AX$1:AX$400,0)),AX$2,)</f>
        <v>0</v>
      </c>
      <c r="AY322" s="179">
        <f ca="1">IF(ISNUMBER(MATCH(DATEVALUE($A322),'recurring1_based on steps'!AY$1:AY$400,0)),AY$2,)</f>
        <v>0</v>
      </c>
    </row>
    <row r="323" spans="1:51" x14ac:dyDescent="0.2">
      <c r="A323" s="32" t="str">
        <f t="shared" ca="1" si="4"/>
        <v>2026-02-19</v>
      </c>
      <c r="B323" s="179">
        <f ca="1">IF(ISNUMBER(MATCH(DATEVALUE($A323),'recurring1_based on steps'!B$1:B$400,0)),B$2,)</f>
        <v>0</v>
      </c>
      <c r="C323" s="179">
        <f ca="1">IF(ISNUMBER(MATCH(DATEVALUE($A323),'recurring1_based on steps'!C$1:C$400,0)),C$2,)</f>
        <v>0</v>
      </c>
      <c r="D323" s="179">
        <f ca="1">IF(ISNUMBER(MATCH(DATEVALUE($A323),'recurring1_based on steps'!D$1:D$400,0)),D$2,)</f>
        <v>0</v>
      </c>
      <c r="E323" s="179">
        <f ca="1">IF(ISNUMBER(MATCH(DATEVALUE($A323),'recurring1_based on steps'!E$1:E$400,0)),E$2,)</f>
        <v>0</v>
      </c>
      <c r="F323" s="179">
        <f ca="1">IF(ISNUMBER(MATCH(DATEVALUE($A323),'recurring1_based on steps'!F$1:F$400,0)),F$2,)</f>
        <v>0</v>
      </c>
      <c r="G323" s="179">
        <f ca="1">IF(ISNUMBER(MATCH(DATEVALUE($A323),'recurring1_based on steps'!G$1:G$400,0)),G$2,)</f>
        <v>0</v>
      </c>
      <c r="H323" s="179">
        <f ca="1">IF(ISNUMBER(MATCH(DATEVALUE($A323),'recurring1_based on steps'!H$1:H$400,0)),H$2,)</f>
        <v>0</v>
      </c>
      <c r="I323" s="179">
        <f ca="1">IF(ISNUMBER(MATCH(DATEVALUE($A323),'recurring1_based on steps'!I$1:I$400,0)),I$2,)</f>
        <v>0</v>
      </c>
      <c r="J323" s="179">
        <f ca="1">IF(ISNUMBER(MATCH(DATEVALUE($A323),'recurring1_based on steps'!J$1:J$400,0)),J$2,)</f>
        <v>0</v>
      </c>
      <c r="K323" s="179">
        <f ca="1">IF(ISNUMBER(MATCH(DATEVALUE($A323),'recurring1_based on steps'!K$1:K$400,0)),K$2,)</f>
        <v>0</v>
      </c>
      <c r="L323" s="179">
        <f ca="1">IF(ISNUMBER(MATCH(DATEVALUE($A323),'recurring1_based on steps'!L$1:L$400,0)),L$2,)</f>
        <v>0</v>
      </c>
      <c r="M323" s="179">
        <f ca="1">IF(ISNUMBER(MATCH(DATEVALUE($A323),'recurring1_based on steps'!M$1:M$400,0)),M$2,)</f>
        <v>0</v>
      </c>
      <c r="N323" s="179">
        <f ca="1">IF(ISNUMBER(MATCH(DATEVALUE($A323),'recurring1_based on steps'!N$1:N$400,0)),N$2,)</f>
        <v>0</v>
      </c>
      <c r="O323" s="179">
        <f ca="1">IF(ISNUMBER(MATCH(DATEVALUE($A323),'recurring1_based on steps'!O$1:O$400,0)),O$2,)</f>
        <v>0</v>
      </c>
      <c r="P323" s="179">
        <f ca="1">IF(ISNUMBER(MATCH(DATEVALUE($A323),'recurring1_based on steps'!P$1:P$400,0)),P$2,)</f>
        <v>0</v>
      </c>
      <c r="Q323" s="179">
        <f ca="1">IF(ISNUMBER(MATCH(DATEVALUE($A323),'recurring1_based on steps'!Q$1:Q$400,0)),Q$2,)</f>
        <v>0</v>
      </c>
      <c r="R323" s="179">
        <f ca="1">IF(ISNUMBER(MATCH(DATEVALUE($A323),'recurring1_based on steps'!R$1:R$400,0)),R$2,)</f>
        <v>0</v>
      </c>
      <c r="S323" s="179">
        <f ca="1">IF(ISNUMBER(MATCH(DATEVALUE($A323),'recurring1_based on steps'!S$1:S$400,0)),S$2,)</f>
        <v>0</v>
      </c>
      <c r="T323" s="179">
        <f ca="1">IF(ISNUMBER(MATCH(DATEVALUE($A323),'recurring1_based on steps'!T$1:T$400,0)),T$2,)</f>
        <v>0</v>
      </c>
      <c r="U323" s="179">
        <f ca="1">IF(ISNUMBER(MATCH(DATEVALUE($A323),'recurring1_based on steps'!U$1:U$400,0)),U$2,)</f>
        <v>0</v>
      </c>
      <c r="V323" s="179">
        <f ca="1">IF(ISNUMBER(MATCH(DATEVALUE($A323),'recurring1_based on steps'!V$1:V$400,0)),V$2,)</f>
        <v>0</v>
      </c>
      <c r="W323" s="179">
        <f ca="1">IF(ISNUMBER(MATCH(DATEVALUE($A323),'recurring1_based on steps'!W$1:W$400,0)),W$2,)</f>
        <v>0</v>
      </c>
      <c r="X323" s="179">
        <f ca="1">IF(ISNUMBER(MATCH(DATEVALUE($A323),'recurring1_based on steps'!X$1:X$400,0)),X$2,)</f>
        <v>0</v>
      </c>
      <c r="Y323" s="179">
        <f ca="1">IF(ISNUMBER(MATCH(DATEVALUE($A323),'recurring1_based on steps'!Y$1:Y$400,0)),Y$2,)</f>
        <v>0</v>
      </c>
      <c r="Z323" s="179">
        <f ca="1">IF(ISNUMBER(MATCH(DATEVALUE($A323),'recurring1_based on steps'!Z$1:Z$400,0)),Z$2,)</f>
        <v>0</v>
      </c>
      <c r="AA323" s="179">
        <f ca="1">IF(ISNUMBER(MATCH(DATEVALUE($A323),'recurring1_based on steps'!AA$1:AA$400,0)),AA$2,)</f>
        <v>0</v>
      </c>
      <c r="AB323" s="179">
        <f ca="1">IF(ISNUMBER(MATCH(DATEVALUE($A323),'recurring1_based on steps'!AB$1:AB$400,0)),AB$2,)</f>
        <v>0</v>
      </c>
      <c r="AC323" s="179">
        <f ca="1">IF(ISNUMBER(MATCH(DATEVALUE($A323),'recurring1_based on steps'!AC$1:AC$400,0)),AC$2,)</f>
        <v>0</v>
      </c>
      <c r="AD323" s="179">
        <f ca="1">IF(ISNUMBER(MATCH(DATEVALUE($A323),'recurring1_based on steps'!AD$1:AD$400,0)),AD$2,)</f>
        <v>0</v>
      </c>
      <c r="AE323" s="179">
        <f ca="1">IF(ISNUMBER(MATCH(DATEVALUE($A323),'recurring1_based on steps'!AE$1:AE$400,0)),AE$2,)</f>
        <v>0</v>
      </c>
      <c r="AF323" s="179">
        <f ca="1">IF(ISNUMBER(MATCH(DATEVALUE($A323),'recurring1_based on steps'!AF$1:AF$400,0)),AF$2,)</f>
        <v>0</v>
      </c>
      <c r="AG323" s="179">
        <f ca="1">IF(ISNUMBER(MATCH(DATEVALUE($A323),'recurring1_based on steps'!AG$1:AG$400,0)),AG$2,)</f>
        <v>0</v>
      </c>
      <c r="AH323" s="179">
        <f ca="1">IF(ISNUMBER(MATCH(DATEVALUE($A323),'recurring1_based on steps'!AH$1:AH$400,0)),AH$2,)</f>
        <v>0</v>
      </c>
      <c r="AI323" s="179">
        <f ca="1">IF(ISNUMBER(MATCH(DATEVALUE($A323),'recurring1_based on steps'!AI$1:AI$400,0)),AI$2,)</f>
        <v>0</v>
      </c>
      <c r="AJ323" s="179">
        <f ca="1">IF(ISNUMBER(MATCH(DATEVALUE($A323),'recurring1_based on steps'!AJ$1:AJ$400,0)),AJ$2,)</f>
        <v>0</v>
      </c>
      <c r="AK323" s="179">
        <f ca="1">IF(ISNUMBER(MATCH(DATEVALUE($A323),'recurring1_based on steps'!AK$1:AK$400,0)),AK$2,)</f>
        <v>0</v>
      </c>
      <c r="AL323" s="179">
        <f ca="1">IF(ISNUMBER(MATCH(DATEVALUE($A323),'recurring1_based on steps'!AL$1:AL$400,0)),AL$2,)</f>
        <v>0</v>
      </c>
      <c r="AM323" s="179">
        <f ca="1">IF(ISNUMBER(MATCH(DATEVALUE($A323),'recurring1_based on steps'!AM$1:AM$400,0)),AM$2,)</f>
        <v>0</v>
      </c>
      <c r="AN323" s="179">
        <f ca="1">IF(ISNUMBER(MATCH(DATEVALUE($A323),'recurring1_based on steps'!AN$1:AN$400,0)),AN$2,)</f>
        <v>0</v>
      </c>
      <c r="AO323" s="179">
        <f ca="1">IF(ISNUMBER(MATCH(DATEVALUE($A323),'recurring1_based on steps'!AO$1:AO$400,0)),AO$2,)</f>
        <v>0</v>
      </c>
      <c r="AP323" s="179">
        <f ca="1">IF(ISNUMBER(MATCH(DATEVALUE($A323),'recurring1_based on steps'!AP$1:AP$400,0)),AP$2,)</f>
        <v>0</v>
      </c>
      <c r="AQ323" s="179">
        <f ca="1">IF(ISNUMBER(MATCH(DATEVALUE($A323),'recurring1_based on steps'!AQ$1:AQ$400,0)),AQ$2,)</f>
        <v>0</v>
      </c>
      <c r="AR323" s="179">
        <f ca="1">IF(ISNUMBER(MATCH(DATEVALUE($A323),'recurring1_based on steps'!AR$1:AR$400,0)),AR$2,)</f>
        <v>0</v>
      </c>
      <c r="AS323" s="179">
        <f ca="1">IF(ISNUMBER(MATCH(DATEVALUE($A323),'recurring1_based on steps'!AS$1:AS$400,0)),AS$2,)</f>
        <v>0</v>
      </c>
      <c r="AT323" s="179">
        <f ca="1">IF(ISNUMBER(MATCH(DATEVALUE($A323),'recurring1_based on steps'!AT$1:AT$400,0)),AT$2,)</f>
        <v>0</v>
      </c>
      <c r="AU323" s="179">
        <f ca="1">IF(ISNUMBER(MATCH(DATEVALUE($A323),'recurring1_based on steps'!AU$1:AU$400,0)),AU$2,)</f>
        <v>0</v>
      </c>
      <c r="AV323" s="179">
        <f ca="1">IF(ISNUMBER(MATCH(DATEVALUE($A323),'recurring1_based on steps'!AV$1:AV$400,0)),AV$2,)</f>
        <v>0</v>
      </c>
      <c r="AW323" s="179">
        <f ca="1">IF(ISNUMBER(MATCH(DATEVALUE($A323),'recurring1_based on steps'!AW$1:AW$400,0)),AW$2,)</f>
        <v>0</v>
      </c>
      <c r="AX323" s="179">
        <f ca="1">IF(ISNUMBER(MATCH(DATEVALUE($A323),'recurring1_based on steps'!AX$1:AX$400,0)),AX$2,)</f>
        <v>0</v>
      </c>
      <c r="AY323" s="179">
        <f ca="1">IF(ISNUMBER(MATCH(DATEVALUE($A323),'recurring1_based on steps'!AY$1:AY$400,0)),AY$2,)</f>
        <v>0</v>
      </c>
    </row>
    <row r="324" spans="1:51" x14ac:dyDescent="0.2">
      <c r="A324" s="32" t="str">
        <f t="shared" ca="1" si="4"/>
        <v>2026-02-20</v>
      </c>
      <c r="B324" s="179">
        <f ca="1">IF(ISNUMBER(MATCH(DATEVALUE($A324),'recurring1_based on steps'!B$1:B$400,0)),B$2,)</f>
        <v>0</v>
      </c>
      <c r="C324" s="179">
        <f ca="1">IF(ISNUMBER(MATCH(DATEVALUE($A324),'recurring1_based on steps'!C$1:C$400,0)),C$2,)</f>
        <v>0</v>
      </c>
      <c r="D324" s="179">
        <f ca="1">IF(ISNUMBER(MATCH(DATEVALUE($A324),'recurring1_based on steps'!D$1:D$400,0)),D$2,)</f>
        <v>0</v>
      </c>
      <c r="E324" s="179">
        <f ca="1">IF(ISNUMBER(MATCH(DATEVALUE($A324),'recurring1_based on steps'!E$1:E$400,0)),E$2,)</f>
        <v>0</v>
      </c>
      <c r="F324" s="179">
        <f ca="1">IF(ISNUMBER(MATCH(DATEVALUE($A324),'recurring1_based on steps'!F$1:F$400,0)),F$2,)</f>
        <v>0</v>
      </c>
      <c r="G324" s="179">
        <f ca="1">IF(ISNUMBER(MATCH(DATEVALUE($A324),'recurring1_based on steps'!G$1:G$400,0)),G$2,)</f>
        <v>0</v>
      </c>
      <c r="H324" s="179">
        <f ca="1">IF(ISNUMBER(MATCH(DATEVALUE($A324),'recurring1_based on steps'!H$1:H$400,0)),H$2,)</f>
        <v>0</v>
      </c>
      <c r="I324" s="179">
        <f ca="1">IF(ISNUMBER(MATCH(DATEVALUE($A324),'recurring1_based on steps'!I$1:I$400,0)),I$2,)</f>
        <v>0</v>
      </c>
      <c r="J324" s="179">
        <f ca="1">IF(ISNUMBER(MATCH(DATEVALUE($A324),'recurring1_based on steps'!J$1:J$400,0)),J$2,)</f>
        <v>0</v>
      </c>
      <c r="K324" s="179">
        <f ca="1">IF(ISNUMBER(MATCH(DATEVALUE($A324),'recurring1_based on steps'!K$1:K$400,0)),K$2,)</f>
        <v>0</v>
      </c>
      <c r="L324" s="179">
        <f ca="1">IF(ISNUMBER(MATCH(DATEVALUE($A324),'recurring1_based on steps'!L$1:L$400,0)),L$2,)</f>
        <v>0</v>
      </c>
      <c r="M324" s="179">
        <f ca="1">IF(ISNUMBER(MATCH(DATEVALUE($A324),'recurring1_based on steps'!M$1:M$400,0)),M$2,)</f>
        <v>0</v>
      </c>
      <c r="N324" s="179">
        <f ca="1">IF(ISNUMBER(MATCH(DATEVALUE($A324),'recurring1_based on steps'!N$1:N$400,0)),N$2,)</f>
        <v>0</v>
      </c>
      <c r="O324" s="179">
        <f ca="1">IF(ISNUMBER(MATCH(DATEVALUE($A324),'recurring1_based on steps'!O$1:O$400,0)),O$2,)</f>
        <v>0</v>
      </c>
      <c r="P324" s="179">
        <f ca="1">IF(ISNUMBER(MATCH(DATEVALUE($A324),'recurring1_based on steps'!P$1:P$400,0)),P$2,)</f>
        <v>0</v>
      </c>
      <c r="Q324" s="179">
        <f ca="1">IF(ISNUMBER(MATCH(DATEVALUE($A324),'recurring1_based on steps'!Q$1:Q$400,0)),Q$2,)</f>
        <v>0</v>
      </c>
      <c r="R324" s="179">
        <f ca="1">IF(ISNUMBER(MATCH(DATEVALUE($A324),'recurring1_based on steps'!R$1:R$400,0)),R$2,)</f>
        <v>0</v>
      </c>
      <c r="S324" s="179">
        <f ca="1">IF(ISNUMBER(MATCH(DATEVALUE($A324),'recurring1_based on steps'!S$1:S$400,0)),S$2,)</f>
        <v>0</v>
      </c>
      <c r="T324" s="179">
        <f ca="1">IF(ISNUMBER(MATCH(DATEVALUE($A324),'recurring1_based on steps'!T$1:T$400,0)),T$2,)</f>
        <v>0</v>
      </c>
      <c r="U324" s="179">
        <f ca="1">IF(ISNUMBER(MATCH(DATEVALUE($A324),'recurring1_based on steps'!U$1:U$400,0)),U$2,)</f>
        <v>0</v>
      </c>
      <c r="V324" s="179">
        <f ca="1">IF(ISNUMBER(MATCH(DATEVALUE($A324),'recurring1_based on steps'!V$1:V$400,0)),V$2,)</f>
        <v>0</v>
      </c>
      <c r="W324" s="179">
        <f ca="1">IF(ISNUMBER(MATCH(DATEVALUE($A324),'recurring1_based on steps'!W$1:W$400,0)),W$2,)</f>
        <v>0</v>
      </c>
      <c r="X324" s="179">
        <f ca="1">IF(ISNUMBER(MATCH(DATEVALUE($A324),'recurring1_based on steps'!X$1:X$400,0)),X$2,)</f>
        <v>0</v>
      </c>
      <c r="Y324" s="179">
        <f ca="1">IF(ISNUMBER(MATCH(DATEVALUE($A324),'recurring1_based on steps'!Y$1:Y$400,0)),Y$2,)</f>
        <v>0</v>
      </c>
      <c r="Z324" s="179">
        <f ca="1">IF(ISNUMBER(MATCH(DATEVALUE($A324),'recurring1_based on steps'!Z$1:Z$400,0)),Z$2,)</f>
        <v>0</v>
      </c>
      <c r="AA324" s="179">
        <f ca="1">IF(ISNUMBER(MATCH(DATEVALUE($A324),'recurring1_based on steps'!AA$1:AA$400,0)),AA$2,)</f>
        <v>0</v>
      </c>
      <c r="AB324" s="179">
        <f ca="1">IF(ISNUMBER(MATCH(DATEVALUE($A324),'recurring1_based on steps'!AB$1:AB$400,0)),AB$2,)</f>
        <v>0</v>
      </c>
      <c r="AC324" s="179">
        <f ca="1">IF(ISNUMBER(MATCH(DATEVALUE($A324),'recurring1_based on steps'!AC$1:AC$400,0)),AC$2,)</f>
        <v>0</v>
      </c>
      <c r="AD324" s="179">
        <f ca="1">IF(ISNUMBER(MATCH(DATEVALUE($A324),'recurring1_based on steps'!AD$1:AD$400,0)),AD$2,)</f>
        <v>0</v>
      </c>
      <c r="AE324" s="179">
        <f ca="1">IF(ISNUMBER(MATCH(DATEVALUE($A324),'recurring1_based on steps'!AE$1:AE$400,0)),AE$2,)</f>
        <v>0</v>
      </c>
      <c r="AF324" s="179">
        <f ca="1">IF(ISNUMBER(MATCH(DATEVALUE($A324),'recurring1_based on steps'!AF$1:AF$400,0)),AF$2,)</f>
        <v>0</v>
      </c>
      <c r="AG324" s="179">
        <f ca="1">IF(ISNUMBER(MATCH(DATEVALUE($A324),'recurring1_based on steps'!AG$1:AG$400,0)),AG$2,)</f>
        <v>0</v>
      </c>
      <c r="AH324" s="179">
        <f ca="1">IF(ISNUMBER(MATCH(DATEVALUE($A324),'recurring1_based on steps'!AH$1:AH$400,0)),AH$2,)</f>
        <v>0</v>
      </c>
      <c r="AI324" s="179">
        <f ca="1">IF(ISNUMBER(MATCH(DATEVALUE($A324),'recurring1_based on steps'!AI$1:AI$400,0)),AI$2,)</f>
        <v>0</v>
      </c>
      <c r="AJ324" s="179">
        <f ca="1">IF(ISNUMBER(MATCH(DATEVALUE($A324),'recurring1_based on steps'!AJ$1:AJ$400,0)),AJ$2,)</f>
        <v>0</v>
      </c>
      <c r="AK324" s="179">
        <f ca="1">IF(ISNUMBER(MATCH(DATEVALUE($A324),'recurring1_based on steps'!AK$1:AK$400,0)),AK$2,)</f>
        <v>0</v>
      </c>
      <c r="AL324" s="179">
        <f ca="1">IF(ISNUMBER(MATCH(DATEVALUE($A324),'recurring1_based on steps'!AL$1:AL$400,0)),AL$2,)</f>
        <v>0</v>
      </c>
      <c r="AM324" s="179">
        <f ca="1">IF(ISNUMBER(MATCH(DATEVALUE($A324),'recurring1_based on steps'!AM$1:AM$400,0)),AM$2,)</f>
        <v>0</v>
      </c>
      <c r="AN324" s="179">
        <f ca="1">IF(ISNUMBER(MATCH(DATEVALUE($A324),'recurring1_based on steps'!AN$1:AN$400,0)),AN$2,)</f>
        <v>0</v>
      </c>
      <c r="AO324" s="179">
        <f ca="1">IF(ISNUMBER(MATCH(DATEVALUE($A324),'recurring1_based on steps'!AO$1:AO$400,0)),AO$2,)</f>
        <v>0</v>
      </c>
      <c r="AP324" s="179">
        <f ca="1">IF(ISNUMBER(MATCH(DATEVALUE($A324),'recurring1_based on steps'!AP$1:AP$400,0)),AP$2,)</f>
        <v>0</v>
      </c>
      <c r="AQ324" s="179">
        <f ca="1">IF(ISNUMBER(MATCH(DATEVALUE($A324),'recurring1_based on steps'!AQ$1:AQ$400,0)),AQ$2,)</f>
        <v>0</v>
      </c>
      <c r="AR324" s="179">
        <f ca="1">IF(ISNUMBER(MATCH(DATEVALUE($A324),'recurring1_based on steps'!AR$1:AR$400,0)),AR$2,)</f>
        <v>0</v>
      </c>
      <c r="AS324" s="179">
        <f ca="1">IF(ISNUMBER(MATCH(DATEVALUE($A324),'recurring1_based on steps'!AS$1:AS$400,0)),AS$2,)</f>
        <v>0</v>
      </c>
      <c r="AT324" s="179">
        <f ca="1">IF(ISNUMBER(MATCH(DATEVALUE($A324),'recurring1_based on steps'!AT$1:AT$400,0)),AT$2,)</f>
        <v>0</v>
      </c>
      <c r="AU324" s="179">
        <f ca="1">IF(ISNUMBER(MATCH(DATEVALUE($A324),'recurring1_based on steps'!AU$1:AU$400,0)),AU$2,)</f>
        <v>0</v>
      </c>
      <c r="AV324" s="179">
        <f ca="1">IF(ISNUMBER(MATCH(DATEVALUE($A324),'recurring1_based on steps'!AV$1:AV$400,0)),AV$2,)</f>
        <v>0</v>
      </c>
      <c r="AW324" s="179">
        <f ca="1">IF(ISNUMBER(MATCH(DATEVALUE($A324),'recurring1_based on steps'!AW$1:AW$400,0)),AW$2,)</f>
        <v>0</v>
      </c>
      <c r="AX324" s="179">
        <f ca="1">IF(ISNUMBER(MATCH(DATEVALUE($A324),'recurring1_based on steps'!AX$1:AX$400,0)),AX$2,)</f>
        <v>0</v>
      </c>
      <c r="AY324" s="179">
        <f ca="1">IF(ISNUMBER(MATCH(DATEVALUE($A324),'recurring1_based on steps'!AY$1:AY$400,0)),AY$2,)</f>
        <v>0</v>
      </c>
    </row>
    <row r="325" spans="1:51" x14ac:dyDescent="0.2">
      <c r="A325" s="32" t="str">
        <f t="shared" ref="A325:A369" ca="1" si="5">TEXT(DATEVALUE(A324)+1,"yyyy-mm-dd")</f>
        <v>2026-02-21</v>
      </c>
      <c r="B325" s="179">
        <f ca="1">IF(ISNUMBER(MATCH(DATEVALUE($A325),'recurring1_based on steps'!B$1:B$400,0)),B$2,)</f>
        <v>0</v>
      </c>
      <c r="C325" s="179">
        <f ca="1">IF(ISNUMBER(MATCH(DATEVALUE($A325),'recurring1_based on steps'!C$1:C$400,0)),C$2,)</f>
        <v>0</v>
      </c>
      <c r="D325" s="179">
        <f ca="1">IF(ISNUMBER(MATCH(DATEVALUE($A325),'recurring1_based on steps'!D$1:D$400,0)),D$2,)</f>
        <v>0</v>
      </c>
      <c r="E325" s="179">
        <f ca="1">IF(ISNUMBER(MATCH(DATEVALUE($A325),'recurring1_based on steps'!E$1:E$400,0)),E$2,)</f>
        <v>0</v>
      </c>
      <c r="F325" s="179">
        <f ca="1">IF(ISNUMBER(MATCH(DATEVALUE($A325),'recurring1_based on steps'!F$1:F$400,0)),F$2,)</f>
        <v>0</v>
      </c>
      <c r="G325" s="179">
        <f ca="1">IF(ISNUMBER(MATCH(DATEVALUE($A325),'recurring1_based on steps'!G$1:G$400,0)),G$2,)</f>
        <v>0</v>
      </c>
      <c r="H325" s="179">
        <f ca="1">IF(ISNUMBER(MATCH(DATEVALUE($A325),'recurring1_based on steps'!H$1:H$400,0)),H$2,)</f>
        <v>0</v>
      </c>
      <c r="I325" s="179">
        <f ca="1">IF(ISNUMBER(MATCH(DATEVALUE($A325),'recurring1_based on steps'!I$1:I$400,0)),I$2,)</f>
        <v>0</v>
      </c>
      <c r="J325" s="179">
        <f ca="1">IF(ISNUMBER(MATCH(DATEVALUE($A325),'recurring1_based on steps'!J$1:J$400,0)),J$2,)</f>
        <v>0</v>
      </c>
      <c r="K325" s="179">
        <f ca="1">IF(ISNUMBER(MATCH(DATEVALUE($A325),'recurring1_based on steps'!K$1:K$400,0)),K$2,)</f>
        <v>0</v>
      </c>
      <c r="L325" s="179">
        <f ca="1">IF(ISNUMBER(MATCH(DATEVALUE($A325),'recurring1_based on steps'!L$1:L$400,0)),L$2,)</f>
        <v>0</v>
      </c>
      <c r="M325" s="179">
        <f ca="1">IF(ISNUMBER(MATCH(DATEVALUE($A325),'recurring1_based on steps'!M$1:M$400,0)),M$2,)</f>
        <v>0</v>
      </c>
      <c r="N325" s="179">
        <f ca="1">IF(ISNUMBER(MATCH(DATEVALUE($A325),'recurring1_based on steps'!N$1:N$400,0)),N$2,)</f>
        <v>0</v>
      </c>
      <c r="O325" s="179">
        <f ca="1">IF(ISNUMBER(MATCH(DATEVALUE($A325),'recurring1_based on steps'!O$1:O$400,0)),O$2,)</f>
        <v>0</v>
      </c>
      <c r="P325" s="179">
        <f ca="1">IF(ISNUMBER(MATCH(DATEVALUE($A325),'recurring1_based on steps'!P$1:P$400,0)),P$2,)</f>
        <v>0</v>
      </c>
      <c r="Q325" s="179">
        <f ca="1">IF(ISNUMBER(MATCH(DATEVALUE($A325),'recurring1_based on steps'!Q$1:Q$400,0)),Q$2,)</f>
        <v>0</v>
      </c>
      <c r="R325" s="179">
        <f ca="1">IF(ISNUMBER(MATCH(DATEVALUE($A325),'recurring1_based on steps'!R$1:R$400,0)),R$2,)</f>
        <v>0</v>
      </c>
      <c r="S325" s="179">
        <f ca="1">IF(ISNUMBER(MATCH(DATEVALUE($A325),'recurring1_based on steps'!S$1:S$400,0)),S$2,)</f>
        <v>0</v>
      </c>
      <c r="T325" s="179">
        <f ca="1">IF(ISNUMBER(MATCH(DATEVALUE($A325),'recurring1_based on steps'!T$1:T$400,0)),T$2,)</f>
        <v>0</v>
      </c>
      <c r="U325" s="179">
        <f ca="1">IF(ISNUMBER(MATCH(DATEVALUE($A325),'recurring1_based on steps'!U$1:U$400,0)),U$2,)</f>
        <v>0</v>
      </c>
      <c r="V325" s="179">
        <f ca="1">IF(ISNUMBER(MATCH(DATEVALUE($A325),'recurring1_based on steps'!V$1:V$400,0)),V$2,)</f>
        <v>0</v>
      </c>
      <c r="W325" s="179">
        <f ca="1">IF(ISNUMBER(MATCH(DATEVALUE($A325),'recurring1_based on steps'!W$1:W$400,0)),W$2,)</f>
        <v>0</v>
      </c>
      <c r="X325" s="179">
        <f ca="1">IF(ISNUMBER(MATCH(DATEVALUE($A325),'recurring1_based on steps'!X$1:X$400,0)),X$2,)</f>
        <v>0</v>
      </c>
      <c r="Y325" s="179">
        <f ca="1">IF(ISNUMBER(MATCH(DATEVALUE($A325),'recurring1_based on steps'!Y$1:Y$400,0)),Y$2,)</f>
        <v>0</v>
      </c>
      <c r="Z325" s="179">
        <f ca="1">IF(ISNUMBER(MATCH(DATEVALUE($A325),'recurring1_based on steps'!Z$1:Z$400,0)),Z$2,)</f>
        <v>0</v>
      </c>
      <c r="AA325" s="179">
        <f ca="1">IF(ISNUMBER(MATCH(DATEVALUE($A325),'recurring1_based on steps'!AA$1:AA$400,0)),AA$2,)</f>
        <v>0</v>
      </c>
      <c r="AB325" s="179">
        <f ca="1">IF(ISNUMBER(MATCH(DATEVALUE($A325),'recurring1_based on steps'!AB$1:AB$400,0)),AB$2,)</f>
        <v>0</v>
      </c>
      <c r="AC325" s="179">
        <f ca="1">IF(ISNUMBER(MATCH(DATEVALUE($A325),'recurring1_based on steps'!AC$1:AC$400,0)),AC$2,)</f>
        <v>0</v>
      </c>
      <c r="AD325" s="179">
        <f ca="1">IF(ISNUMBER(MATCH(DATEVALUE($A325),'recurring1_based on steps'!AD$1:AD$400,0)),AD$2,)</f>
        <v>0</v>
      </c>
      <c r="AE325" s="179">
        <f ca="1">IF(ISNUMBER(MATCH(DATEVALUE($A325),'recurring1_based on steps'!AE$1:AE$400,0)),AE$2,)</f>
        <v>0</v>
      </c>
      <c r="AF325" s="179">
        <f ca="1">IF(ISNUMBER(MATCH(DATEVALUE($A325),'recurring1_based on steps'!AF$1:AF$400,0)),AF$2,)</f>
        <v>0</v>
      </c>
      <c r="AG325" s="179">
        <f ca="1">IF(ISNUMBER(MATCH(DATEVALUE($A325),'recurring1_based on steps'!AG$1:AG$400,0)),AG$2,)</f>
        <v>0</v>
      </c>
      <c r="AH325" s="179">
        <f ca="1">IF(ISNUMBER(MATCH(DATEVALUE($A325),'recurring1_based on steps'!AH$1:AH$400,0)),AH$2,)</f>
        <v>0</v>
      </c>
      <c r="AI325" s="179">
        <f ca="1">IF(ISNUMBER(MATCH(DATEVALUE($A325),'recurring1_based on steps'!AI$1:AI$400,0)),AI$2,)</f>
        <v>0</v>
      </c>
      <c r="AJ325" s="179">
        <f ca="1">IF(ISNUMBER(MATCH(DATEVALUE($A325),'recurring1_based on steps'!AJ$1:AJ$400,0)),AJ$2,)</f>
        <v>0</v>
      </c>
      <c r="AK325" s="179">
        <f ca="1">IF(ISNUMBER(MATCH(DATEVALUE($A325),'recurring1_based on steps'!AK$1:AK$400,0)),AK$2,)</f>
        <v>0</v>
      </c>
      <c r="AL325" s="179">
        <f ca="1">IF(ISNUMBER(MATCH(DATEVALUE($A325),'recurring1_based on steps'!AL$1:AL$400,0)),AL$2,)</f>
        <v>0</v>
      </c>
      <c r="AM325" s="179">
        <f ca="1">IF(ISNUMBER(MATCH(DATEVALUE($A325),'recurring1_based on steps'!AM$1:AM$400,0)),AM$2,)</f>
        <v>0</v>
      </c>
      <c r="AN325" s="179">
        <f ca="1">IF(ISNUMBER(MATCH(DATEVALUE($A325),'recurring1_based on steps'!AN$1:AN$400,0)),AN$2,)</f>
        <v>0</v>
      </c>
      <c r="AO325" s="179">
        <f ca="1">IF(ISNUMBER(MATCH(DATEVALUE($A325),'recurring1_based on steps'!AO$1:AO$400,0)),AO$2,)</f>
        <v>0</v>
      </c>
      <c r="AP325" s="179">
        <f ca="1">IF(ISNUMBER(MATCH(DATEVALUE($A325),'recurring1_based on steps'!AP$1:AP$400,0)),AP$2,)</f>
        <v>0</v>
      </c>
      <c r="AQ325" s="179">
        <f ca="1">IF(ISNUMBER(MATCH(DATEVALUE($A325),'recurring1_based on steps'!AQ$1:AQ$400,0)),AQ$2,)</f>
        <v>0</v>
      </c>
      <c r="AR325" s="179">
        <f ca="1">IF(ISNUMBER(MATCH(DATEVALUE($A325),'recurring1_based on steps'!AR$1:AR$400,0)),AR$2,)</f>
        <v>0</v>
      </c>
      <c r="AS325" s="179">
        <f ca="1">IF(ISNUMBER(MATCH(DATEVALUE($A325),'recurring1_based on steps'!AS$1:AS$400,0)),AS$2,)</f>
        <v>0</v>
      </c>
      <c r="AT325" s="179">
        <f ca="1">IF(ISNUMBER(MATCH(DATEVALUE($A325),'recurring1_based on steps'!AT$1:AT$400,0)),AT$2,)</f>
        <v>0</v>
      </c>
      <c r="AU325" s="179">
        <f ca="1">IF(ISNUMBER(MATCH(DATEVALUE($A325),'recurring1_based on steps'!AU$1:AU$400,0)),AU$2,)</f>
        <v>0</v>
      </c>
      <c r="AV325" s="179">
        <f ca="1">IF(ISNUMBER(MATCH(DATEVALUE($A325),'recurring1_based on steps'!AV$1:AV$400,0)),AV$2,)</f>
        <v>0</v>
      </c>
      <c r="AW325" s="179">
        <f ca="1">IF(ISNUMBER(MATCH(DATEVALUE($A325),'recurring1_based on steps'!AW$1:AW$400,0)),AW$2,)</f>
        <v>0</v>
      </c>
      <c r="AX325" s="179">
        <f ca="1">IF(ISNUMBER(MATCH(DATEVALUE($A325),'recurring1_based on steps'!AX$1:AX$400,0)),AX$2,)</f>
        <v>0</v>
      </c>
      <c r="AY325" s="179">
        <f ca="1">IF(ISNUMBER(MATCH(DATEVALUE($A325),'recurring1_based on steps'!AY$1:AY$400,0)),AY$2,)</f>
        <v>0</v>
      </c>
    </row>
    <row r="326" spans="1:51" x14ac:dyDescent="0.2">
      <c r="A326" s="32" t="str">
        <f t="shared" ca="1" si="5"/>
        <v>2026-02-22</v>
      </c>
      <c r="B326" s="179">
        <f ca="1">IF(ISNUMBER(MATCH(DATEVALUE($A326),'recurring1_based on steps'!B$1:B$400,0)),B$2,)</f>
        <v>0</v>
      </c>
      <c r="C326" s="179">
        <f ca="1">IF(ISNUMBER(MATCH(DATEVALUE($A326),'recurring1_based on steps'!C$1:C$400,0)),C$2,)</f>
        <v>0</v>
      </c>
      <c r="D326" s="179">
        <f ca="1">IF(ISNUMBER(MATCH(DATEVALUE($A326),'recurring1_based on steps'!D$1:D$400,0)),D$2,)</f>
        <v>0</v>
      </c>
      <c r="E326" s="179">
        <f ca="1">IF(ISNUMBER(MATCH(DATEVALUE($A326),'recurring1_based on steps'!E$1:E$400,0)),E$2,)</f>
        <v>0</v>
      </c>
      <c r="F326" s="179">
        <f ca="1">IF(ISNUMBER(MATCH(DATEVALUE($A326),'recurring1_based on steps'!F$1:F$400,0)),F$2,)</f>
        <v>0</v>
      </c>
      <c r="G326" s="179">
        <f ca="1">IF(ISNUMBER(MATCH(DATEVALUE($A326),'recurring1_based on steps'!G$1:G$400,0)),G$2,)</f>
        <v>0</v>
      </c>
      <c r="H326" s="179">
        <f ca="1">IF(ISNUMBER(MATCH(DATEVALUE($A326),'recurring1_based on steps'!H$1:H$400,0)),H$2,)</f>
        <v>0</v>
      </c>
      <c r="I326" s="179">
        <f ca="1">IF(ISNUMBER(MATCH(DATEVALUE($A326),'recurring1_based on steps'!I$1:I$400,0)),I$2,)</f>
        <v>0</v>
      </c>
      <c r="J326" s="179">
        <f ca="1">IF(ISNUMBER(MATCH(DATEVALUE($A326),'recurring1_based on steps'!J$1:J$400,0)),J$2,)</f>
        <v>0</v>
      </c>
      <c r="K326" s="179">
        <f ca="1">IF(ISNUMBER(MATCH(DATEVALUE($A326),'recurring1_based on steps'!K$1:K$400,0)),K$2,)</f>
        <v>0</v>
      </c>
      <c r="L326" s="179">
        <f ca="1">IF(ISNUMBER(MATCH(DATEVALUE($A326),'recurring1_based on steps'!L$1:L$400,0)),L$2,)</f>
        <v>0</v>
      </c>
      <c r="M326" s="179">
        <f ca="1">IF(ISNUMBER(MATCH(DATEVALUE($A326),'recurring1_based on steps'!M$1:M$400,0)),M$2,)</f>
        <v>0</v>
      </c>
      <c r="N326" s="179">
        <f ca="1">IF(ISNUMBER(MATCH(DATEVALUE($A326),'recurring1_based on steps'!N$1:N$400,0)),N$2,)</f>
        <v>0</v>
      </c>
      <c r="O326" s="179">
        <f ca="1">IF(ISNUMBER(MATCH(DATEVALUE($A326),'recurring1_based on steps'!O$1:O$400,0)),O$2,)</f>
        <v>0</v>
      </c>
      <c r="P326" s="179">
        <f ca="1">IF(ISNUMBER(MATCH(DATEVALUE($A326),'recurring1_based on steps'!P$1:P$400,0)),P$2,)</f>
        <v>0</v>
      </c>
      <c r="Q326" s="179">
        <f ca="1">IF(ISNUMBER(MATCH(DATEVALUE($A326),'recurring1_based on steps'!Q$1:Q$400,0)),Q$2,)</f>
        <v>0</v>
      </c>
      <c r="R326" s="179">
        <f ca="1">IF(ISNUMBER(MATCH(DATEVALUE($A326),'recurring1_based on steps'!R$1:R$400,0)),R$2,)</f>
        <v>0</v>
      </c>
      <c r="S326" s="179">
        <f ca="1">IF(ISNUMBER(MATCH(DATEVALUE($A326),'recurring1_based on steps'!S$1:S$400,0)),S$2,)</f>
        <v>0</v>
      </c>
      <c r="T326" s="179">
        <f ca="1">IF(ISNUMBER(MATCH(DATEVALUE($A326),'recurring1_based on steps'!T$1:T$400,0)),T$2,)</f>
        <v>0</v>
      </c>
      <c r="U326" s="179">
        <f ca="1">IF(ISNUMBER(MATCH(DATEVALUE($A326),'recurring1_based on steps'!U$1:U$400,0)),U$2,)</f>
        <v>0</v>
      </c>
      <c r="V326" s="179">
        <f ca="1">IF(ISNUMBER(MATCH(DATEVALUE($A326),'recurring1_based on steps'!V$1:V$400,0)),V$2,)</f>
        <v>0</v>
      </c>
      <c r="W326" s="179">
        <f ca="1">IF(ISNUMBER(MATCH(DATEVALUE($A326),'recurring1_based on steps'!W$1:W$400,0)),W$2,)</f>
        <v>0</v>
      </c>
      <c r="X326" s="179">
        <f ca="1">IF(ISNUMBER(MATCH(DATEVALUE($A326),'recurring1_based on steps'!X$1:X$400,0)),X$2,)</f>
        <v>0</v>
      </c>
      <c r="Y326" s="179">
        <f ca="1">IF(ISNUMBER(MATCH(DATEVALUE($A326),'recurring1_based on steps'!Y$1:Y$400,0)),Y$2,)</f>
        <v>0</v>
      </c>
      <c r="Z326" s="179">
        <f ca="1">IF(ISNUMBER(MATCH(DATEVALUE($A326),'recurring1_based on steps'!Z$1:Z$400,0)),Z$2,)</f>
        <v>0</v>
      </c>
      <c r="AA326" s="179">
        <f ca="1">IF(ISNUMBER(MATCH(DATEVALUE($A326),'recurring1_based on steps'!AA$1:AA$400,0)),AA$2,)</f>
        <v>0</v>
      </c>
      <c r="AB326" s="179">
        <f ca="1">IF(ISNUMBER(MATCH(DATEVALUE($A326),'recurring1_based on steps'!AB$1:AB$400,0)),AB$2,)</f>
        <v>0</v>
      </c>
      <c r="AC326" s="179">
        <f ca="1">IF(ISNUMBER(MATCH(DATEVALUE($A326),'recurring1_based on steps'!AC$1:AC$400,0)),AC$2,)</f>
        <v>0</v>
      </c>
      <c r="AD326" s="179">
        <f ca="1">IF(ISNUMBER(MATCH(DATEVALUE($A326),'recurring1_based on steps'!AD$1:AD$400,0)),AD$2,)</f>
        <v>0</v>
      </c>
      <c r="AE326" s="179">
        <f ca="1">IF(ISNUMBER(MATCH(DATEVALUE($A326),'recurring1_based on steps'!AE$1:AE$400,0)),AE$2,)</f>
        <v>0</v>
      </c>
      <c r="AF326" s="179">
        <f ca="1">IF(ISNUMBER(MATCH(DATEVALUE($A326),'recurring1_based on steps'!AF$1:AF$400,0)),AF$2,)</f>
        <v>0</v>
      </c>
      <c r="AG326" s="179">
        <f ca="1">IF(ISNUMBER(MATCH(DATEVALUE($A326),'recurring1_based on steps'!AG$1:AG$400,0)),AG$2,)</f>
        <v>0</v>
      </c>
      <c r="AH326" s="179">
        <f ca="1">IF(ISNUMBER(MATCH(DATEVALUE($A326),'recurring1_based on steps'!AH$1:AH$400,0)),AH$2,)</f>
        <v>0</v>
      </c>
      <c r="AI326" s="179">
        <f ca="1">IF(ISNUMBER(MATCH(DATEVALUE($A326),'recurring1_based on steps'!AI$1:AI$400,0)),AI$2,)</f>
        <v>0</v>
      </c>
      <c r="AJ326" s="179">
        <f ca="1">IF(ISNUMBER(MATCH(DATEVALUE($A326),'recurring1_based on steps'!AJ$1:AJ$400,0)),AJ$2,)</f>
        <v>0</v>
      </c>
      <c r="AK326" s="179">
        <f ca="1">IF(ISNUMBER(MATCH(DATEVALUE($A326),'recurring1_based on steps'!AK$1:AK$400,0)),AK$2,)</f>
        <v>0</v>
      </c>
      <c r="AL326" s="179">
        <f ca="1">IF(ISNUMBER(MATCH(DATEVALUE($A326),'recurring1_based on steps'!AL$1:AL$400,0)),AL$2,)</f>
        <v>0</v>
      </c>
      <c r="AM326" s="179">
        <f ca="1">IF(ISNUMBER(MATCH(DATEVALUE($A326),'recurring1_based on steps'!AM$1:AM$400,0)),AM$2,)</f>
        <v>0</v>
      </c>
      <c r="AN326" s="179">
        <f ca="1">IF(ISNUMBER(MATCH(DATEVALUE($A326),'recurring1_based on steps'!AN$1:AN$400,0)),AN$2,)</f>
        <v>0</v>
      </c>
      <c r="AO326" s="179">
        <f ca="1">IF(ISNUMBER(MATCH(DATEVALUE($A326),'recurring1_based on steps'!AO$1:AO$400,0)),AO$2,)</f>
        <v>0</v>
      </c>
      <c r="AP326" s="179">
        <f ca="1">IF(ISNUMBER(MATCH(DATEVALUE($A326),'recurring1_based on steps'!AP$1:AP$400,0)),AP$2,)</f>
        <v>0</v>
      </c>
      <c r="AQ326" s="179">
        <f ca="1">IF(ISNUMBER(MATCH(DATEVALUE($A326),'recurring1_based on steps'!AQ$1:AQ$400,0)),AQ$2,)</f>
        <v>0</v>
      </c>
      <c r="AR326" s="179">
        <f ca="1">IF(ISNUMBER(MATCH(DATEVALUE($A326),'recurring1_based on steps'!AR$1:AR$400,0)),AR$2,)</f>
        <v>0</v>
      </c>
      <c r="AS326" s="179">
        <f ca="1">IF(ISNUMBER(MATCH(DATEVALUE($A326),'recurring1_based on steps'!AS$1:AS$400,0)),AS$2,)</f>
        <v>0</v>
      </c>
      <c r="AT326" s="179">
        <f ca="1">IF(ISNUMBER(MATCH(DATEVALUE($A326),'recurring1_based on steps'!AT$1:AT$400,0)),AT$2,)</f>
        <v>0</v>
      </c>
      <c r="AU326" s="179">
        <f ca="1">IF(ISNUMBER(MATCH(DATEVALUE($A326),'recurring1_based on steps'!AU$1:AU$400,0)),AU$2,)</f>
        <v>0</v>
      </c>
      <c r="AV326" s="179">
        <f ca="1">IF(ISNUMBER(MATCH(DATEVALUE($A326),'recurring1_based on steps'!AV$1:AV$400,0)),AV$2,)</f>
        <v>0</v>
      </c>
      <c r="AW326" s="179">
        <f ca="1">IF(ISNUMBER(MATCH(DATEVALUE($A326),'recurring1_based on steps'!AW$1:AW$400,0)),AW$2,)</f>
        <v>0</v>
      </c>
      <c r="AX326" s="179">
        <f ca="1">IF(ISNUMBER(MATCH(DATEVALUE($A326),'recurring1_based on steps'!AX$1:AX$400,0)),AX$2,)</f>
        <v>0</v>
      </c>
      <c r="AY326" s="179">
        <f ca="1">IF(ISNUMBER(MATCH(DATEVALUE($A326),'recurring1_based on steps'!AY$1:AY$400,0)),AY$2,)</f>
        <v>0</v>
      </c>
    </row>
    <row r="327" spans="1:51" x14ac:dyDescent="0.2">
      <c r="A327" s="32" t="str">
        <f t="shared" ca="1" si="5"/>
        <v>2026-02-23</v>
      </c>
      <c r="B327" s="179">
        <f ca="1">IF(ISNUMBER(MATCH(DATEVALUE($A327),'recurring1_based on steps'!B$1:B$400,0)),B$2,)</f>
        <v>0</v>
      </c>
      <c r="C327" s="179">
        <f ca="1">IF(ISNUMBER(MATCH(DATEVALUE($A327),'recurring1_based on steps'!C$1:C$400,0)),C$2,)</f>
        <v>0</v>
      </c>
      <c r="D327" s="179">
        <f ca="1">IF(ISNUMBER(MATCH(DATEVALUE($A327),'recurring1_based on steps'!D$1:D$400,0)),D$2,)</f>
        <v>0</v>
      </c>
      <c r="E327" s="179">
        <f ca="1">IF(ISNUMBER(MATCH(DATEVALUE($A327),'recurring1_based on steps'!E$1:E$400,0)),E$2,)</f>
        <v>0</v>
      </c>
      <c r="F327" s="179">
        <f ca="1">IF(ISNUMBER(MATCH(DATEVALUE($A327),'recurring1_based on steps'!F$1:F$400,0)),F$2,)</f>
        <v>0</v>
      </c>
      <c r="G327" s="179">
        <f ca="1">IF(ISNUMBER(MATCH(DATEVALUE($A327),'recurring1_based on steps'!G$1:G$400,0)),G$2,)</f>
        <v>0</v>
      </c>
      <c r="H327" s="179">
        <f ca="1">IF(ISNUMBER(MATCH(DATEVALUE($A327),'recurring1_based on steps'!H$1:H$400,0)),H$2,)</f>
        <v>0</v>
      </c>
      <c r="I327" s="179">
        <f ca="1">IF(ISNUMBER(MATCH(DATEVALUE($A327),'recurring1_based on steps'!I$1:I$400,0)),I$2,)</f>
        <v>0</v>
      </c>
      <c r="J327" s="179">
        <f ca="1">IF(ISNUMBER(MATCH(DATEVALUE($A327),'recurring1_based on steps'!J$1:J$400,0)),J$2,)</f>
        <v>0</v>
      </c>
      <c r="K327" s="179">
        <f ca="1">IF(ISNUMBER(MATCH(DATEVALUE($A327),'recurring1_based on steps'!K$1:K$400,0)),K$2,)</f>
        <v>0</v>
      </c>
      <c r="L327" s="179">
        <f ca="1">IF(ISNUMBER(MATCH(DATEVALUE($A327),'recurring1_based on steps'!L$1:L$400,0)),L$2,)</f>
        <v>0</v>
      </c>
      <c r="M327" s="179">
        <f ca="1">IF(ISNUMBER(MATCH(DATEVALUE($A327),'recurring1_based on steps'!M$1:M$400,0)),M$2,)</f>
        <v>0</v>
      </c>
      <c r="N327" s="179">
        <f ca="1">IF(ISNUMBER(MATCH(DATEVALUE($A327),'recurring1_based on steps'!N$1:N$400,0)),N$2,)</f>
        <v>0</v>
      </c>
      <c r="O327" s="179">
        <f ca="1">IF(ISNUMBER(MATCH(DATEVALUE($A327),'recurring1_based on steps'!O$1:O$400,0)),O$2,)</f>
        <v>0</v>
      </c>
      <c r="P327" s="179">
        <f ca="1">IF(ISNUMBER(MATCH(DATEVALUE($A327),'recurring1_based on steps'!P$1:P$400,0)),P$2,)</f>
        <v>0</v>
      </c>
      <c r="Q327" s="179">
        <f ca="1">IF(ISNUMBER(MATCH(DATEVALUE($A327),'recurring1_based on steps'!Q$1:Q$400,0)),Q$2,)</f>
        <v>0</v>
      </c>
      <c r="R327" s="179">
        <f ca="1">IF(ISNUMBER(MATCH(DATEVALUE($A327),'recurring1_based on steps'!R$1:R$400,0)),R$2,)</f>
        <v>0</v>
      </c>
      <c r="S327" s="179">
        <f ca="1">IF(ISNUMBER(MATCH(DATEVALUE($A327),'recurring1_based on steps'!S$1:S$400,0)),S$2,)</f>
        <v>0</v>
      </c>
      <c r="T327" s="179">
        <f ca="1">IF(ISNUMBER(MATCH(DATEVALUE($A327),'recurring1_based on steps'!T$1:T$400,0)),T$2,)</f>
        <v>0</v>
      </c>
      <c r="U327" s="179">
        <f ca="1">IF(ISNUMBER(MATCH(DATEVALUE($A327),'recurring1_based on steps'!U$1:U$400,0)),U$2,)</f>
        <v>0</v>
      </c>
      <c r="V327" s="179">
        <f ca="1">IF(ISNUMBER(MATCH(DATEVALUE($A327),'recurring1_based on steps'!V$1:V$400,0)),V$2,)</f>
        <v>0</v>
      </c>
      <c r="W327" s="179">
        <f ca="1">IF(ISNUMBER(MATCH(DATEVALUE($A327),'recurring1_based on steps'!W$1:W$400,0)),W$2,)</f>
        <v>0</v>
      </c>
      <c r="X327" s="179">
        <f ca="1">IF(ISNUMBER(MATCH(DATEVALUE($A327),'recurring1_based on steps'!X$1:X$400,0)),X$2,)</f>
        <v>0</v>
      </c>
      <c r="Y327" s="179">
        <f ca="1">IF(ISNUMBER(MATCH(DATEVALUE($A327),'recurring1_based on steps'!Y$1:Y$400,0)),Y$2,)</f>
        <v>0</v>
      </c>
      <c r="Z327" s="179">
        <f ca="1">IF(ISNUMBER(MATCH(DATEVALUE($A327),'recurring1_based on steps'!Z$1:Z$400,0)),Z$2,)</f>
        <v>0</v>
      </c>
      <c r="AA327" s="179">
        <f ca="1">IF(ISNUMBER(MATCH(DATEVALUE($A327),'recurring1_based on steps'!AA$1:AA$400,0)),AA$2,)</f>
        <v>0</v>
      </c>
      <c r="AB327" s="179">
        <f ca="1">IF(ISNUMBER(MATCH(DATEVALUE($A327),'recurring1_based on steps'!AB$1:AB$400,0)),AB$2,)</f>
        <v>0</v>
      </c>
      <c r="AC327" s="179">
        <f ca="1">IF(ISNUMBER(MATCH(DATEVALUE($A327),'recurring1_based on steps'!AC$1:AC$400,0)),AC$2,)</f>
        <v>0</v>
      </c>
      <c r="AD327" s="179">
        <f ca="1">IF(ISNUMBER(MATCH(DATEVALUE($A327),'recurring1_based on steps'!AD$1:AD$400,0)),AD$2,)</f>
        <v>0</v>
      </c>
      <c r="AE327" s="179">
        <f ca="1">IF(ISNUMBER(MATCH(DATEVALUE($A327),'recurring1_based on steps'!AE$1:AE$400,0)),AE$2,)</f>
        <v>0</v>
      </c>
      <c r="AF327" s="179">
        <f ca="1">IF(ISNUMBER(MATCH(DATEVALUE($A327),'recurring1_based on steps'!AF$1:AF$400,0)),AF$2,)</f>
        <v>0</v>
      </c>
      <c r="AG327" s="179">
        <f ca="1">IF(ISNUMBER(MATCH(DATEVALUE($A327),'recurring1_based on steps'!AG$1:AG$400,0)),AG$2,)</f>
        <v>0</v>
      </c>
      <c r="AH327" s="179">
        <f ca="1">IF(ISNUMBER(MATCH(DATEVALUE($A327),'recurring1_based on steps'!AH$1:AH$400,0)),AH$2,)</f>
        <v>0</v>
      </c>
      <c r="AI327" s="179">
        <f ca="1">IF(ISNUMBER(MATCH(DATEVALUE($A327),'recurring1_based on steps'!AI$1:AI$400,0)),AI$2,)</f>
        <v>0</v>
      </c>
      <c r="AJ327" s="179">
        <f ca="1">IF(ISNUMBER(MATCH(DATEVALUE($A327),'recurring1_based on steps'!AJ$1:AJ$400,0)),AJ$2,)</f>
        <v>0</v>
      </c>
      <c r="AK327" s="179">
        <f ca="1">IF(ISNUMBER(MATCH(DATEVALUE($A327),'recurring1_based on steps'!AK$1:AK$400,0)),AK$2,)</f>
        <v>0</v>
      </c>
      <c r="AL327" s="179">
        <f ca="1">IF(ISNUMBER(MATCH(DATEVALUE($A327),'recurring1_based on steps'!AL$1:AL$400,0)),AL$2,)</f>
        <v>0</v>
      </c>
      <c r="AM327" s="179">
        <f ca="1">IF(ISNUMBER(MATCH(DATEVALUE($A327),'recurring1_based on steps'!AM$1:AM$400,0)),AM$2,)</f>
        <v>0</v>
      </c>
      <c r="AN327" s="179">
        <f ca="1">IF(ISNUMBER(MATCH(DATEVALUE($A327),'recurring1_based on steps'!AN$1:AN$400,0)),AN$2,)</f>
        <v>0</v>
      </c>
      <c r="AO327" s="179">
        <f ca="1">IF(ISNUMBER(MATCH(DATEVALUE($A327),'recurring1_based on steps'!AO$1:AO$400,0)),AO$2,)</f>
        <v>0</v>
      </c>
      <c r="AP327" s="179">
        <f ca="1">IF(ISNUMBER(MATCH(DATEVALUE($A327),'recurring1_based on steps'!AP$1:AP$400,0)),AP$2,)</f>
        <v>0</v>
      </c>
      <c r="AQ327" s="179">
        <f ca="1">IF(ISNUMBER(MATCH(DATEVALUE($A327),'recurring1_based on steps'!AQ$1:AQ$400,0)),AQ$2,)</f>
        <v>0</v>
      </c>
      <c r="AR327" s="179">
        <f ca="1">IF(ISNUMBER(MATCH(DATEVALUE($A327),'recurring1_based on steps'!AR$1:AR$400,0)),AR$2,)</f>
        <v>0</v>
      </c>
      <c r="AS327" s="179">
        <f ca="1">IF(ISNUMBER(MATCH(DATEVALUE($A327),'recurring1_based on steps'!AS$1:AS$400,0)),AS$2,)</f>
        <v>0</v>
      </c>
      <c r="AT327" s="179">
        <f ca="1">IF(ISNUMBER(MATCH(DATEVALUE($A327),'recurring1_based on steps'!AT$1:AT$400,0)),AT$2,)</f>
        <v>0</v>
      </c>
      <c r="AU327" s="179">
        <f ca="1">IF(ISNUMBER(MATCH(DATEVALUE($A327),'recurring1_based on steps'!AU$1:AU$400,0)),AU$2,)</f>
        <v>0</v>
      </c>
      <c r="AV327" s="179">
        <f ca="1">IF(ISNUMBER(MATCH(DATEVALUE($A327),'recurring1_based on steps'!AV$1:AV$400,0)),AV$2,)</f>
        <v>0</v>
      </c>
      <c r="AW327" s="179">
        <f ca="1">IF(ISNUMBER(MATCH(DATEVALUE($A327),'recurring1_based on steps'!AW$1:AW$400,0)),AW$2,)</f>
        <v>0</v>
      </c>
      <c r="AX327" s="179">
        <f ca="1">IF(ISNUMBER(MATCH(DATEVALUE($A327),'recurring1_based on steps'!AX$1:AX$400,0)),AX$2,)</f>
        <v>0</v>
      </c>
      <c r="AY327" s="179">
        <f ca="1">IF(ISNUMBER(MATCH(DATEVALUE($A327),'recurring1_based on steps'!AY$1:AY$400,0)),AY$2,)</f>
        <v>0</v>
      </c>
    </row>
    <row r="328" spans="1:51" x14ac:dyDescent="0.2">
      <c r="A328" s="32" t="str">
        <f t="shared" ca="1" si="5"/>
        <v>2026-02-24</v>
      </c>
      <c r="B328" s="179">
        <f ca="1">IF(ISNUMBER(MATCH(DATEVALUE($A328),'recurring1_based on steps'!B$1:B$400,0)),B$2,)</f>
        <v>0</v>
      </c>
      <c r="C328" s="179">
        <f ca="1">IF(ISNUMBER(MATCH(DATEVALUE($A328),'recurring1_based on steps'!C$1:C$400,0)),C$2,)</f>
        <v>0</v>
      </c>
      <c r="D328" s="179">
        <f ca="1">IF(ISNUMBER(MATCH(DATEVALUE($A328),'recurring1_based on steps'!D$1:D$400,0)),D$2,)</f>
        <v>0</v>
      </c>
      <c r="E328" s="179">
        <f ca="1">IF(ISNUMBER(MATCH(DATEVALUE($A328),'recurring1_based on steps'!E$1:E$400,0)),E$2,)</f>
        <v>0</v>
      </c>
      <c r="F328" s="179">
        <f ca="1">IF(ISNUMBER(MATCH(DATEVALUE($A328),'recurring1_based on steps'!F$1:F$400,0)),F$2,)</f>
        <v>0</v>
      </c>
      <c r="G328" s="179">
        <f ca="1">IF(ISNUMBER(MATCH(DATEVALUE($A328),'recurring1_based on steps'!G$1:G$400,0)),G$2,)</f>
        <v>0</v>
      </c>
      <c r="H328" s="179">
        <f ca="1">IF(ISNUMBER(MATCH(DATEVALUE($A328),'recurring1_based on steps'!H$1:H$400,0)),H$2,)</f>
        <v>0</v>
      </c>
      <c r="I328" s="179">
        <f ca="1">IF(ISNUMBER(MATCH(DATEVALUE($A328),'recurring1_based on steps'!I$1:I$400,0)),I$2,)</f>
        <v>0</v>
      </c>
      <c r="J328" s="179">
        <f ca="1">IF(ISNUMBER(MATCH(DATEVALUE($A328),'recurring1_based on steps'!J$1:J$400,0)),J$2,)</f>
        <v>0</v>
      </c>
      <c r="K328" s="179">
        <f ca="1">IF(ISNUMBER(MATCH(DATEVALUE($A328),'recurring1_based on steps'!K$1:K$400,0)),K$2,)</f>
        <v>0</v>
      </c>
      <c r="L328" s="179">
        <f ca="1">IF(ISNUMBER(MATCH(DATEVALUE($A328),'recurring1_based on steps'!L$1:L$400,0)),L$2,)</f>
        <v>0</v>
      </c>
      <c r="M328" s="179">
        <f ca="1">IF(ISNUMBER(MATCH(DATEVALUE($A328),'recurring1_based on steps'!M$1:M$400,0)),M$2,)</f>
        <v>0</v>
      </c>
      <c r="N328" s="179">
        <f ca="1">IF(ISNUMBER(MATCH(DATEVALUE($A328),'recurring1_based on steps'!N$1:N$400,0)),N$2,)</f>
        <v>0</v>
      </c>
      <c r="O328" s="179">
        <f ca="1">IF(ISNUMBER(MATCH(DATEVALUE($A328),'recurring1_based on steps'!O$1:O$400,0)),O$2,)</f>
        <v>0</v>
      </c>
      <c r="P328" s="179">
        <f ca="1">IF(ISNUMBER(MATCH(DATEVALUE($A328),'recurring1_based on steps'!P$1:P$400,0)),P$2,)</f>
        <v>0</v>
      </c>
      <c r="Q328" s="179">
        <f ca="1">IF(ISNUMBER(MATCH(DATEVALUE($A328),'recurring1_based on steps'!Q$1:Q$400,0)),Q$2,)</f>
        <v>0</v>
      </c>
      <c r="R328" s="179">
        <f ca="1">IF(ISNUMBER(MATCH(DATEVALUE($A328),'recurring1_based on steps'!R$1:R$400,0)),R$2,)</f>
        <v>0</v>
      </c>
      <c r="S328" s="179">
        <f ca="1">IF(ISNUMBER(MATCH(DATEVALUE($A328),'recurring1_based on steps'!S$1:S$400,0)),S$2,)</f>
        <v>0</v>
      </c>
      <c r="T328" s="179">
        <f ca="1">IF(ISNUMBER(MATCH(DATEVALUE($A328),'recurring1_based on steps'!T$1:T$400,0)),T$2,)</f>
        <v>0</v>
      </c>
      <c r="U328" s="179">
        <f ca="1">IF(ISNUMBER(MATCH(DATEVALUE($A328),'recurring1_based on steps'!U$1:U$400,0)),U$2,)</f>
        <v>0</v>
      </c>
      <c r="V328" s="179">
        <f ca="1">IF(ISNUMBER(MATCH(DATEVALUE($A328),'recurring1_based on steps'!V$1:V$400,0)),V$2,)</f>
        <v>0</v>
      </c>
      <c r="W328" s="179">
        <f ca="1">IF(ISNUMBER(MATCH(DATEVALUE($A328),'recurring1_based on steps'!W$1:W$400,0)),W$2,)</f>
        <v>0</v>
      </c>
      <c r="X328" s="179">
        <f ca="1">IF(ISNUMBER(MATCH(DATEVALUE($A328),'recurring1_based on steps'!X$1:X$400,0)),X$2,)</f>
        <v>0</v>
      </c>
      <c r="Y328" s="179">
        <f ca="1">IF(ISNUMBER(MATCH(DATEVALUE($A328),'recurring1_based on steps'!Y$1:Y$400,0)),Y$2,)</f>
        <v>0</v>
      </c>
      <c r="Z328" s="179">
        <f ca="1">IF(ISNUMBER(MATCH(DATEVALUE($A328),'recurring1_based on steps'!Z$1:Z$400,0)),Z$2,)</f>
        <v>0</v>
      </c>
      <c r="AA328" s="179">
        <f ca="1">IF(ISNUMBER(MATCH(DATEVALUE($A328),'recurring1_based on steps'!AA$1:AA$400,0)),AA$2,)</f>
        <v>0</v>
      </c>
      <c r="AB328" s="179">
        <f ca="1">IF(ISNUMBER(MATCH(DATEVALUE($A328),'recurring1_based on steps'!AB$1:AB$400,0)),AB$2,)</f>
        <v>0</v>
      </c>
      <c r="AC328" s="179">
        <f ca="1">IF(ISNUMBER(MATCH(DATEVALUE($A328),'recurring1_based on steps'!AC$1:AC$400,0)),AC$2,)</f>
        <v>0</v>
      </c>
      <c r="AD328" s="179">
        <f ca="1">IF(ISNUMBER(MATCH(DATEVALUE($A328),'recurring1_based on steps'!AD$1:AD$400,0)),AD$2,)</f>
        <v>0</v>
      </c>
      <c r="AE328" s="179">
        <f ca="1">IF(ISNUMBER(MATCH(DATEVALUE($A328),'recurring1_based on steps'!AE$1:AE$400,0)),AE$2,)</f>
        <v>0</v>
      </c>
      <c r="AF328" s="179">
        <f ca="1">IF(ISNUMBER(MATCH(DATEVALUE($A328),'recurring1_based on steps'!AF$1:AF$400,0)),AF$2,)</f>
        <v>0</v>
      </c>
      <c r="AG328" s="179">
        <f ca="1">IF(ISNUMBER(MATCH(DATEVALUE($A328),'recurring1_based on steps'!AG$1:AG$400,0)),AG$2,)</f>
        <v>0</v>
      </c>
      <c r="AH328" s="179">
        <f ca="1">IF(ISNUMBER(MATCH(DATEVALUE($A328),'recurring1_based on steps'!AH$1:AH$400,0)),AH$2,)</f>
        <v>0</v>
      </c>
      <c r="AI328" s="179">
        <f ca="1">IF(ISNUMBER(MATCH(DATEVALUE($A328),'recurring1_based on steps'!AI$1:AI$400,0)),AI$2,)</f>
        <v>0</v>
      </c>
      <c r="AJ328" s="179">
        <f ca="1">IF(ISNUMBER(MATCH(DATEVALUE($A328),'recurring1_based on steps'!AJ$1:AJ$400,0)),AJ$2,)</f>
        <v>0</v>
      </c>
      <c r="AK328" s="179">
        <f ca="1">IF(ISNUMBER(MATCH(DATEVALUE($A328),'recurring1_based on steps'!AK$1:AK$400,0)),AK$2,)</f>
        <v>0</v>
      </c>
      <c r="AL328" s="179">
        <f ca="1">IF(ISNUMBER(MATCH(DATEVALUE($A328),'recurring1_based on steps'!AL$1:AL$400,0)),AL$2,)</f>
        <v>0</v>
      </c>
      <c r="AM328" s="179">
        <f ca="1">IF(ISNUMBER(MATCH(DATEVALUE($A328),'recurring1_based on steps'!AM$1:AM$400,0)),AM$2,)</f>
        <v>0</v>
      </c>
      <c r="AN328" s="179">
        <f ca="1">IF(ISNUMBER(MATCH(DATEVALUE($A328),'recurring1_based on steps'!AN$1:AN$400,0)),AN$2,)</f>
        <v>0</v>
      </c>
      <c r="AO328" s="179">
        <f ca="1">IF(ISNUMBER(MATCH(DATEVALUE($A328),'recurring1_based on steps'!AO$1:AO$400,0)),AO$2,)</f>
        <v>0</v>
      </c>
      <c r="AP328" s="179">
        <f ca="1">IF(ISNUMBER(MATCH(DATEVALUE($A328),'recurring1_based on steps'!AP$1:AP$400,0)),AP$2,)</f>
        <v>0</v>
      </c>
      <c r="AQ328" s="179">
        <f ca="1">IF(ISNUMBER(MATCH(DATEVALUE($A328),'recurring1_based on steps'!AQ$1:AQ$400,0)),AQ$2,)</f>
        <v>0</v>
      </c>
      <c r="AR328" s="179">
        <f ca="1">IF(ISNUMBER(MATCH(DATEVALUE($A328),'recurring1_based on steps'!AR$1:AR$400,0)),AR$2,)</f>
        <v>0</v>
      </c>
      <c r="AS328" s="179">
        <f ca="1">IF(ISNUMBER(MATCH(DATEVALUE($A328),'recurring1_based on steps'!AS$1:AS$400,0)),AS$2,)</f>
        <v>0</v>
      </c>
      <c r="AT328" s="179">
        <f ca="1">IF(ISNUMBER(MATCH(DATEVALUE($A328),'recurring1_based on steps'!AT$1:AT$400,0)),AT$2,)</f>
        <v>0</v>
      </c>
      <c r="AU328" s="179">
        <f ca="1">IF(ISNUMBER(MATCH(DATEVALUE($A328),'recurring1_based on steps'!AU$1:AU$400,0)),AU$2,)</f>
        <v>0</v>
      </c>
      <c r="AV328" s="179">
        <f ca="1">IF(ISNUMBER(MATCH(DATEVALUE($A328),'recurring1_based on steps'!AV$1:AV$400,0)),AV$2,)</f>
        <v>0</v>
      </c>
      <c r="AW328" s="179">
        <f ca="1">IF(ISNUMBER(MATCH(DATEVALUE($A328),'recurring1_based on steps'!AW$1:AW$400,0)),AW$2,)</f>
        <v>0</v>
      </c>
      <c r="AX328" s="179">
        <f ca="1">IF(ISNUMBER(MATCH(DATEVALUE($A328),'recurring1_based on steps'!AX$1:AX$400,0)),AX$2,)</f>
        <v>0</v>
      </c>
      <c r="AY328" s="179">
        <f ca="1">IF(ISNUMBER(MATCH(DATEVALUE($A328),'recurring1_based on steps'!AY$1:AY$400,0)),AY$2,)</f>
        <v>0</v>
      </c>
    </row>
    <row r="329" spans="1:51" x14ac:dyDescent="0.2">
      <c r="A329" s="32" t="str">
        <f t="shared" ca="1" si="5"/>
        <v>2026-02-25</v>
      </c>
      <c r="B329" s="179">
        <f ca="1">IF(ISNUMBER(MATCH(DATEVALUE($A329),'recurring1_based on steps'!B$1:B$400,0)),B$2,)</f>
        <v>0</v>
      </c>
      <c r="C329" s="179">
        <f ca="1">IF(ISNUMBER(MATCH(DATEVALUE($A329),'recurring1_based on steps'!C$1:C$400,0)),C$2,)</f>
        <v>0</v>
      </c>
      <c r="D329" s="179">
        <f ca="1">IF(ISNUMBER(MATCH(DATEVALUE($A329),'recurring1_based on steps'!D$1:D$400,0)),D$2,)</f>
        <v>0</v>
      </c>
      <c r="E329" s="179">
        <f ca="1">IF(ISNUMBER(MATCH(DATEVALUE($A329),'recurring1_based on steps'!E$1:E$400,0)),E$2,)</f>
        <v>0</v>
      </c>
      <c r="F329" s="179">
        <f ca="1">IF(ISNUMBER(MATCH(DATEVALUE($A329),'recurring1_based on steps'!F$1:F$400,0)),F$2,)</f>
        <v>0</v>
      </c>
      <c r="G329" s="179">
        <f ca="1">IF(ISNUMBER(MATCH(DATEVALUE($A329),'recurring1_based on steps'!G$1:G$400,0)),G$2,)</f>
        <v>0</v>
      </c>
      <c r="H329" s="179">
        <f ca="1">IF(ISNUMBER(MATCH(DATEVALUE($A329),'recurring1_based on steps'!H$1:H$400,0)),H$2,)</f>
        <v>0</v>
      </c>
      <c r="I329" s="179">
        <f ca="1">IF(ISNUMBER(MATCH(DATEVALUE($A329),'recurring1_based on steps'!I$1:I$400,0)),I$2,)</f>
        <v>0</v>
      </c>
      <c r="J329" s="179">
        <f ca="1">IF(ISNUMBER(MATCH(DATEVALUE($A329),'recurring1_based on steps'!J$1:J$400,0)),J$2,)</f>
        <v>0</v>
      </c>
      <c r="K329" s="179">
        <f ca="1">IF(ISNUMBER(MATCH(DATEVALUE($A329),'recurring1_based on steps'!K$1:K$400,0)),K$2,)</f>
        <v>0</v>
      </c>
      <c r="L329" s="179">
        <f ca="1">IF(ISNUMBER(MATCH(DATEVALUE($A329),'recurring1_based on steps'!L$1:L$400,0)),L$2,)</f>
        <v>0</v>
      </c>
      <c r="M329" s="179">
        <f ca="1">IF(ISNUMBER(MATCH(DATEVALUE($A329),'recurring1_based on steps'!M$1:M$400,0)),M$2,)</f>
        <v>0</v>
      </c>
      <c r="N329" s="179">
        <f ca="1">IF(ISNUMBER(MATCH(DATEVALUE($A329),'recurring1_based on steps'!N$1:N$400,0)),N$2,)</f>
        <v>0</v>
      </c>
      <c r="O329" s="179">
        <f ca="1">IF(ISNUMBER(MATCH(DATEVALUE($A329),'recurring1_based on steps'!O$1:O$400,0)),O$2,)</f>
        <v>0</v>
      </c>
      <c r="P329" s="179">
        <f ca="1">IF(ISNUMBER(MATCH(DATEVALUE($A329),'recurring1_based on steps'!P$1:P$400,0)),P$2,)</f>
        <v>0</v>
      </c>
      <c r="Q329" s="179">
        <f ca="1">IF(ISNUMBER(MATCH(DATEVALUE($A329),'recurring1_based on steps'!Q$1:Q$400,0)),Q$2,)</f>
        <v>0</v>
      </c>
      <c r="R329" s="179">
        <f ca="1">IF(ISNUMBER(MATCH(DATEVALUE($A329),'recurring1_based on steps'!R$1:R$400,0)),R$2,)</f>
        <v>0</v>
      </c>
      <c r="S329" s="179">
        <f ca="1">IF(ISNUMBER(MATCH(DATEVALUE($A329),'recurring1_based on steps'!S$1:S$400,0)),S$2,)</f>
        <v>0</v>
      </c>
      <c r="T329" s="179">
        <f ca="1">IF(ISNUMBER(MATCH(DATEVALUE($A329),'recurring1_based on steps'!T$1:T$400,0)),T$2,)</f>
        <v>0</v>
      </c>
      <c r="U329" s="179">
        <f ca="1">IF(ISNUMBER(MATCH(DATEVALUE($A329),'recurring1_based on steps'!U$1:U$400,0)),U$2,)</f>
        <v>0</v>
      </c>
      <c r="V329" s="179">
        <f ca="1">IF(ISNUMBER(MATCH(DATEVALUE($A329),'recurring1_based on steps'!V$1:V$400,0)),V$2,)</f>
        <v>0</v>
      </c>
      <c r="W329" s="179">
        <f ca="1">IF(ISNUMBER(MATCH(DATEVALUE($A329),'recurring1_based on steps'!W$1:W$400,0)),W$2,)</f>
        <v>0</v>
      </c>
      <c r="X329" s="179">
        <f ca="1">IF(ISNUMBER(MATCH(DATEVALUE($A329),'recurring1_based on steps'!X$1:X$400,0)),X$2,)</f>
        <v>0</v>
      </c>
      <c r="Y329" s="179">
        <f ca="1">IF(ISNUMBER(MATCH(DATEVALUE($A329),'recurring1_based on steps'!Y$1:Y$400,0)),Y$2,)</f>
        <v>0</v>
      </c>
      <c r="Z329" s="179">
        <f ca="1">IF(ISNUMBER(MATCH(DATEVALUE($A329),'recurring1_based on steps'!Z$1:Z$400,0)),Z$2,)</f>
        <v>0</v>
      </c>
      <c r="AA329" s="179">
        <f ca="1">IF(ISNUMBER(MATCH(DATEVALUE($A329),'recurring1_based on steps'!AA$1:AA$400,0)),AA$2,)</f>
        <v>0</v>
      </c>
      <c r="AB329" s="179">
        <f ca="1">IF(ISNUMBER(MATCH(DATEVALUE($A329),'recurring1_based on steps'!AB$1:AB$400,0)),AB$2,)</f>
        <v>0</v>
      </c>
      <c r="AC329" s="179">
        <f ca="1">IF(ISNUMBER(MATCH(DATEVALUE($A329),'recurring1_based on steps'!AC$1:AC$400,0)),AC$2,)</f>
        <v>0</v>
      </c>
      <c r="AD329" s="179">
        <f ca="1">IF(ISNUMBER(MATCH(DATEVALUE($A329),'recurring1_based on steps'!AD$1:AD$400,0)),AD$2,)</f>
        <v>0</v>
      </c>
      <c r="AE329" s="179">
        <f ca="1">IF(ISNUMBER(MATCH(DATEVALUE($A329),'recurring1_based on steps'!AE$1:AE$400,0)),AE$2,)</f>
        <v>0</v>
      </c>
      <c r="AF329" s="179">
        <f ca="1">IF(ISNUMBER(MATCH(DATEVALUE($A329),'recurring1_based on steps'!AF$1:AF$400,0)),AF$2,)</f>
        <v>0</v>
      </c>
      <c r="AG329" s="179">
        <f ca="1">IF(ISNUMBER(MATCH(DATEVALUE($A329),'recurring1_based on steps'!AG$1:AG$400,0)),AG$2,)</f>
        <v>0</v>
      </c>
      <c r="AH329" s="179">
        <f ca="1">IF(ISNUMBER(MATCH(DATEVALUE($A329),'recurring1_based on steps'!AH$1:AH$400,0)),AH$2,)</f>
        <v>0</v>
      </c>
      <c r="AI329" s="179">
        <f ca="1">IF(ISNUMBER(MATCH(DATEVALUE($A329),'recurring1_based on steps'!AI$1:AI$400,0)),AI$2,)</f>
        <v>0</v>
      </c>
      <c r="AJ329" s="179">
        <f ca="1">IF(ISNUMBER(MATCH(DATEVALUE($A329),'recurring1_based on steps'!AJ$1:AJ$400,0)),AJ$2,)</f>
        <v>0</v>
      </c>
      <c r="AK329" s="179">
        <f ca="1">IF(ISNUMBER(MATCH(DATEVALUE($A329),'recurring1_based on steps'!AK$1:AK$400,0)),AK$2,)</f>
        <v>0</v>
      </c>
      <c r="AL329" s="179">
        <f ca="1">IF(ISNUMBER(MATCH(DATEVALUE($A329),'recurring1_based on steps'!AL$1:AL$400,0)),AL$2,)</f>
        <v>0</v>
      </c>
      <c r="AM329" s="179">
        <f ca="1">IF(ISNUMBER(MATCH(DATEVALUE($A329),'recurring1_based on steps'!AM$1:AM$400,0)),AM$2,)</f>
        <v>0</v>
      </c>
      <c r="AN329" s="179">
        <f ca="1">IF(ISNUMBER(MATCH(DATEVALUE($A329),'recurring1_based on steps'!AN$1:AN$400,0)),AN$2,)</f>
        <v>0</v>
      </c>
      <c r="AO329" s="179">
        <f ca="1">IF(ISNUMBER(MATCH(DATEVALUE($A329),'recurring1_based on steps'!AO$1:AO$400,0)),AO$2,)</f>
        <v>0</v>
      </c>
      <c r="AP329" s="179">
        <f ca="1">IF(ISNUMBER(MATCH(DATEVALUE($A329),'recurring1_based on steps'!AP$1:AP$400,0)),AP$2,)</f>
        <v>0</v>
      </c>
      <c r="AQ329" s="179">
        <f ca="1">IF(ISNUMBER(MATCH(DATEVALUE($A329),'recurring1_based on steps'!AQ$1:AQ$400,0)),AQ$2,)</f>
        <v>0</v>
      </c>
      <c r="AR329" s="179">
        <f ca="1">IF(ISNUMBER(MATCH(DATEVALUE($A329),'recurring1_based on steps'!AR$1:AR$400,0)),AR$2,)</f>
        <v>0</v>
      </c>
      <c r="AS329" s="179">
        <f ca="1">IF(ISNUMBER(MATCH(DATEVALUE($A329),'recurring1_based on steps'!AS$1:AS$400,0)),AS$2,)</f>
        <v>0</v>
      </c>
      <c r="AT329" s="179">
        <f ca="1">IF(ISNUMBER(MATCH(DATEVALUE($A329),'recurring1_based on steps'!AT$1:AT$400,0)),AT$2,)</f>
        <v>0</v>
      </c>
      <c r="AU329" s="179">
        <f ca="1">IF(ISNUMBER(MATCH(DATEVALUE($A329),'recurring1_based on steps'!AU$1:AU$400,0)),AU$2,)</f>
        <v>0</v>
      </c>
      <c r="AV329" s="179">
        <f ca="1">IF(ISNUMBER(MATCH(DATEVALUE($A329),'recurring1_based on steps'!AV$1:AV$400,0)),AV$2,)</f>
        <v>0</v>
      </c>
      <c r="AW329" s="179">
        <f ca="1">IF(ISNUMBER(MATCH(DATEVALUE($A329),'recurring1_based on steps'!AW$1:AW$400,0)),AW$2,)</f>
        <v>0</v>
      </c>
      <c r="AX329" s="179">
        <f ca="1">IF(ISNUMBER(MATCH(DATEVALUE($A329),'recurring1_based on steps'!AX$1:AX$400,0)),AX$2,)</f>
        <v>0</v>
      </c>
      <c r="AY329" s="179">
        <f ca="1">IF(ISNUMBER(MATCH(DATEVALUE($A329),'recurring1_based on steps'!AY$1:AY$400,0)),AY$2,)</f>
        <v>0</v>
      </c>
    </row>
    <row r="330" spans="1:51" x14ac:dyDescent="0.2">
      <c r="A330" s="32" t="str">
        <f t="shared" ca="1" si="5"/>
        <v>2026-02-26</v>
      </c>
      <c r="B330" s="179">
        <f ca="1">IF(ISNUMBER(MATCH(DATEVALUE($A330),'recurring1_based on steps'!B$1:B$400,0)),B$2,)</f>
        <v>0</v>
      </c>
      <c r="C330" s="179">
        <f ca="1">IF(ISNUMBER(MATCH(DATEVALUE($A330),'recurring1_based on steps'!C$1:C$400,0)),C$2,)</f>
        <v>0</v>
      </c>
      <c r="D330" s="179">
        <f ca="1">IF(ISNUMBER(MATCH(DATEVALUE($A330),'recurring1_based on steps'!D$1:D$400,0)),D$2,)</f>
        <v>0</v>
      </c>
      <c r="E330" s="179">
        <f ca="1">IF(ISNUMBER(MATCH(DATEVALUE($A330),'recurring1_based on steps'!E$1:E$400,0)),E$2,)</f>
        <v>0</v>
      </c>
      <c r="F330" s="179">
        <f ca="1">IF(ISNUMBER(MATCH(DATEVALUE($A330),'recurring1_based on steps'!F$1:F$400,0)),F$2,)</f>
        <v>0</v>
      </c>
      <c r="G330" s="179">
        <f ca="1">IF(ISNUMBER(MATCH(DATEVALUE($A330),'recurring1_based on steps'!G$1:G$400,0)),G$2,)</f>
        <v>0</v>
      </c>
      <c r="H330" s="179">
        <f ca="1">IF(ISNUMBER(MATCH(DATEVALUE($A330),'recurring1_based on steps'!H$1:H$400,0)),H$2,)</f>
        <v>0</v>
      </c>
      <c r="I330" s="179">
        <f ca="1">IF(ISNUMBER(MATCH(DATEVALUE($A330),'recurring1_based on steps'!I$1:I$400,0)),I$2,)</f>
        <v>0</v>
      </c>
      <c r="J330" s="179">
        <f ca="1">IF(ISNUMBER(MATCH(DATEVALUE($A330),'recurring1_based on steps'!J$1:J$400,0)),J$2,)</f>
        <v>0</v>
      </c>
      <c r="K330" s="179">
        <f ca="1">IF(ISNUMBER(MATCH(DATEVALUE($A330),'recurring1_based on steps'!K$1:K$400,0)),K$2,)</f>
        <v>0</v>
      </c>
      <c r="L330" s="179">
        <f ca="1">IF(ISNUMBER(MATCH(DATEVALUE($A330),'recurring1_based on steps'!L$1:L$400,0)),L$2,)</f>
        <v>0</v>
      </c>
      <c r="M330" s="179">
        <f ca="1">IF(ISNUMBER(MATCH(DATEVALUE($A330),'recurring1_based on steps'!M$1:M$400,0)),M$2,)</f>
        <v>0</v>
      </c>
      <c r="N330" s="179">
        <f ca="1">IF(ISNUMBER(MATCH(DATEVALUE($A330),'recurring1_based on steps'!N$1:N$400,0)),N$2,)</f>
        <v>0</v>
      </c>
      <c r="O330" s="179">
        <f ca="1">IF(ISNUMBER(MATCH(DATEVALUE($A330),'recurring1_based on steps'!O$1:O$400,0)),O$2,)</f>
        <v>0</v>
      </c>
      <c r="P330" s="179">
        <f ca="1">IF(ISNUMBER(MATCH(DATEVALUE($A330),'recurring1_based on steps'!P$1:P$400,0)),P$2,)</f>
        <v>0</v>
      </c>
      <c r="Q330" s="179">
        <f ca="1">IF(ISNUMBER(MATCH(DATEVALUE($A330),'recurring1_based on steps'!Q$1:Q$400,0)),Q$2,)</f>
        <v>0</v>
      </c>
      <c r="R330" s="179">
        <f ca="1">IF(ISNUMBER(MATCH(DATEVALUE($A330),'recurring1_based on steps'!R$1:R$400,0)),R$2,)</f>
        <v>0</v>
      </c>
      <c r="S330" s="179">
        <f ca="1">IF(ISNUMBER(MATCH(DATEVALUE($A330),'recurring1_based on steps'!S$1:S$400,0)),S$2,)</f>
        <v>0</v>
      </c>
      <c r="T330" s="179">
        <f ca="1">IF(ISNUMBER(MATCH(DATEVALUE($A330),'recurring1_based on steps'!T$1:T$400,0)),T$2,)</f>
        <v>0</v>
      </c>
      <c r="U330" s="179">
        <f ca="1">IF(ISNUMBER(MATCH(DATEVALUE($A330),'recurring1_based on steps'!U$1:U$400,0)),U$2,)</f>
        <v>0</v>
      </c>
      <c r="V330" s="179">
        <f ca="1">IF(ISNUMBER(MATCH(DATEVALUE($A330),'recurring1_based on steps'!V$1:V$400,0)),V$2,)</f>
        <v>0</v>
      </c>
      <c r="W330" s="179">
        <f ca="1">IF(ISNUMBER(MATCH(DATEVALUE($A330),'recurring1_based on steps'!W$1:W$400,0)),W$2,)</f>
        <v>0</v>
      </c>
      <c r="X330" s="179">
        <f ca="1">IF(ISNUMBER(MATCH(DATEVALUE($A330),'recurring1_based on steps'!X$1:X$400,0)),X$2,)</f>
        <v>0</v>
      </c>
      <c r="Y330" s="179">
        <f ca="1">IF(ISNUMBER(MATCH(DATEVALUE($A330),'recurring1_based on steps'!Y$1:Y$400,0)),Y$2,)</f>
        <v>0</v>
      </c>
      <c r="Z330" s="179">
        <f ca="1">IF(ISNUMBER(MATCH(DATEVALUE($A330),'recurring1_based on steps'!Z$1:Z$400,0)),Z$2,)</f>
        <v>0</v>
      </c>
      <c r="AA330" s="179">
        <f ca="1">IF(ISNUMBER(MATCH(DATEVALUE($A330),'recurring1_based on steps'!AA$1:AA$400,0)),AA$2,)</f>
        <v>0</v>
      </c>
      <c r="AB330" s="179">
        <f ca="1">IF(ISNUMBER(MATCH(DATEVALUE($A330),'recurring1_based on steps'!AB$1:AB$400,0)),AB$2,)</f>
        <v>0</v>
      </c>
      <c r="AC330" s="179">
        <f ca="1">IF(ISNUMBER(MATCH(DATEVALUE($A330),'recurring1_based on steps'!AC$1:AC$400,0)),AC$2,)</f>
        <v>0</v>
      </c>
      <c r="AD330" s="179">
        <f ca="1">IF(ISNUMBER(MATCH(DATEVALUE($A330),'recurring1_based on steps'!AD$1:AD$400,0)),AD$2,)</f>
        <v>0</v>
      </c>
      <c r="AE330" s="179">
        <f ca="1">IF(ISNUMBER(MATCH(DATEVALUE($A330),'recurring1_based on steps'!AE$1:AE$400,0)),AE$2,)</f>
        <v>0</v>
      </c>
      <c r="AF330" s="179">
        <f ca="1">IF(ISNUMBER(MATCH(DATEVALUE($A330),'recurring1_based on steps'!AF$1:AF$400,0)),AF$2,)</f>
        <v>0</v>
      </c>
      <c r="AG330" s="179">
        <f ca="1">IF(ISNUMBER(MATCH(DATEVALUE($A330),'recurring1_based on steps'!AG$1:AG$400,0)),AG$2,)</f>
        <v>0</v>
      </c>
      <c r="AH330" s="179">
        <f ca="1">IF(ISNUMBER(MATCH(DATEVALUE($A330),'recurring1_based on steps'!AH$1:AH$400,0)),AH$2,)</f>
        <v>0</v>
      </c>
      <c r="AI330" s="179">
        <f ca="1">IF(ISNUMBER(MATCH(DATEVALUE($A330),'recurring1_based on steps'!AI$1:AI$400,0)),AI$2,)</f>
        <v>0</v>
      </c>
      <c r="AJ330" s="179">
        <f ca="1">IF(ISNUMBER(MATCH(DATEVALUE($A330),'recurring1_based on steps'!AJ$1:AJ$400,0)),AJ$2,)</f>
        <v>0</v>
      </c>
      <c r="AK330" s="179">
        <f ca="1">IF(ISNUMBER(MATCH(DATEVALUE($A330),'recurring1_based on steps'!AK$1:AK$400,0)),AK$2,)</f>
        <v>0</v>
      </c>
      <c r="AL330" s="179">
        <f ca="1">IF(ISNUMBER(MATCH(DATEVALUE($A330),'recurring1_based on steps'!AL$1:AL$400,0)),AL$2,)</f>
        <v>0</v>
      </c>
      <c r="AM330" s="179">
        <f ca="1">IF(ISNUMBER(MATCH(DATEVALUE($A330),'recurring1_based on steps'!AM$1:AM$400,0)),AM$2,)</f>
        <v>0</v>
      </c>
      <c r="AN330" s="179">
        <f ca="1">IF(ISNUMBER(MATCH(DATEVALUE($A330),'recurring1_based on steps'!AN$1:AN$400,0)),AN$2,)</f>
        <v>0</v>
      </c>
      <c r="AO330" s="179">
        <f ca="1">IF(ISNUMBER(MATCH(DATEVALUE($A330),'recurring1_based on steps'!AO$1:AO$400,0)),AO$2,)</f>
        <v>0</v>
      </c>
      <c r="AP330" s="179">
        <f ca="1">IF(ISNUMBER(MATCH(DATEVALUE($A330),'recurring1_based on steps'!AP$1:AP$400,0)),AP$2,)</f>
        <v>0</v>
      </c>
      <c r="AQ330" s="179">
        <f ca="1">IF(ISNUMBER(MATCH(DATEVALUE($A330),'recurring1_based on steps'!AQ$1:AQ$400,0)),AQ$2,)</f>
        <v>0</v>
      </c>
      <c r="AR330" s="179">
        <f ca="1">IF(ISNUMBER(MATCH(DATEVALUE($A330),'recurring1_based on steps'!AR$1:AR$400,0)),AR$2,)</f>
        <v>0</v>
      </c>
      <c r="AS330" s="179">
        <f ca="1">IF(ISNUMBER(MATCH(DATEVALUE($A330),'recurring1_based on steps'!AS$1:AS$400,0)),AS$2,)</f>
        <v>0</v>
      </c>
      <c r="AT330" s="179">
        <f ca="1">IF(ISNUMBER(MATCH(DATEVALUE($A330),'recurring1_based on steps'!AT$1:AT$400,0)),AT$2,)</f>
        <v>0</v>
      </c>
      <c r="AU330" s="179">
        <f ca="1">IF(ISNUMBER(MATCH(DATEVALUE($A330),'recurring1_based on steps'!AU$1:AU$400,0)),AU$2,)</f>
        <v>0</v>
      </c>
      <c r="AV330" s="179">
        <f ca="1">IF(ISNUMBER(MATCH(DATEVALUE($A330),'recurring1_based on steps'!AV$1:AV$400,0)),AV$2,)</f>
        <v>0</v>
      </c>
      <c r="AW330" s="179">
        <f ca="1">IF(ISNUMBER(MATCH(DATEVALUE($A330),'recurring1_based on steps'!AW$1:AW$400,0)),AW$2,)</f>
        <v>0</v>
      </c>
      <c r="AX330" s="179">
        <f ca="1">IF(ISNUMBER(MATCH(DATEVALUE($A330),'recurring1_based on steps'!AX$1:AX$400,0)),AX$2,)</f>
        <v>0</v>
      </c>
      <c r="AY330" s="179">
        <f ca="1">IF(ISNUMBER(MATCH(DATEVALUE($A330),'recurring1_based on steps'!AY$1:AY$400,0)),AY$2,)</f>
        <v>0</v>
      </c>
    </row>
    <row r="331" spans="1:51" x14ac:dyDescent="0.2">
      <c r="A331" s="32" t="str">
        <f t="shared" ca="1" si="5"/>
        <v>2026-02-27</v>
      </c>
      <c r="B331" s="179">
        <f ca="1">IF(ISNUMBER(MATCH(DATEVALUE($A331),'recurring1_based on steps'!B$1:B$400,0)),B$2,)</f>
        <v>0</v>
      </c>
      <c r="C331" s="179">
        <f ca="1">IF(ISNUMBER(MATCH(DATEVALUE($A331),'recurring1_based on steps'!C$1:C$400,0)),C$2,)</f>
        <v>0</v>
      </c>
      <c r="D331" s="179">
        <f ca="1">IF(ISNUMBER(MATCH(DATEVALUE($A331),'recurring1_based on steps'!D$1:D$400,0)),D$2,)</f>
        <v>0</v>
      </c>
      <c r="E331" s="179">
        <f ca="1">IF(ISNUMBER(MATCH(DATEVALUE($A331),'recurring1_based on steps'!E$1:E$400,0)),E$2,)</f>
        <v>0</v>
      </c>
      <c r="F331" s="179">
        <f ca="1">IF(ISNUMBER(MATCH(DATEVALUE($A331),'recurring1_based on steps'!F$1:F$400,0)),F$2,)</f>
        <v>0</v>
      </c>
      <c r="G331" s="179">
        <f ca="1">IF(ISNUMBER(MATCH(DATEVALUE($A331),'recurring1_based on steps'!G$1:G$400,0)),G$2,)</f>
        <v>0</v>
      </c>
      <c r="H331" s="179">
        <f ca="1">IF(ISNUMBER(MATCH(DATEVALUE($A331),'recurring1_based on steps'!H$1:H$400,0)),H$2,)</f>
        <v>0</v>
      </c>
      <c r="I331" s="179">
        <f ca="1">IF(ISNUMBER(MATCH(DATEVALUE($A331),'recurring1_based on steps'!I$1:I$400,0)),I$2,)</f>
        <v>0</v>
      </c>
      <c r="J331" s="179">
        <f ca="1">IF(ISNUMBER(MATCH(DATEVALUE($A331),'recurring1_based on steps'!J$1:J$400,0)),J$2,)</f>
        <v>0</v>
      </c>
      <c r="K331" s="179">
        <f ca="1">IF(ISNUMBER(MATCH(DATEVALUE($A331),'recurring1_based on steps'!K$1:K$400,0)),K$2,)</f>
        <v>0</v>
      </c>
      <c r="L331" s="179">
        <f ca="1">IF(ISNUMBER(MATCH(DATEVALUE($A331),'recurring1_based on steps'!L$1:L$400,0)),L$2,)</f>
        <v>0</v>
      </c>
      <c r="M331" s="179">
        <f ca="1">IF(ISNUMBER(MATCH(DATEVALUE($A331),'recurring1_based on steps'!M$1:M$400,0)),M$2,)</f>
        <v>0</v>
      </c>
      <c r="N331" s="179">
        <f ca="1">IF(ISNUMBER(MATCH(DATEVALUE($A331),'recurring1_based on steps'!N$1:N$400,0)),N$2,)</f>
        <v>0</v>
      </c>
      <c r="O331" s="179">
        <f ca="1">IF(ISNUMBER(MATCH(DATEVALUE($A331),'recurring1_based on steps'!O$1:O$400,0)),O$2,)</f>
        <v>0</v>
      </c>
      <c r="P331" s="179">
        <f ca="1">IF(ISNUMBER(MATCH(DATEVALUE($A331),'recurring1_based on steps'!P$1:P$400,0)),P$2,)</f>
        <v>0</v>
      </c>
      <c r="Q331" s="179">
        <f ca="1">IF(ISNUMBER(MATCH(DATEVALUE($A331),'recurring1_based on steps'!Q$1:Q$400,0)),Q$2,)</f>
        <v>0</v>
      </c>
      <c r="R331" s="179">
        <f ca="1">IF(ISNUMBER(MATCH(DATEVALUE($A331),'recurring1_based on steps'!R$1:R$400,0)),R$2,)</f>
        <v>0</v>
      </c>
      <c r="S331" s="179">
        <f ca="1">IF(ISNUMBER(MATCH(DATEVALUE($A331),'recurring1_based on steps'!S$1:S$400,0)),S$2,)</f>
        <v>0</v>
      </c>
      <c r="T331" s="179">
        <f ca="1">IF(ISNUMBER(MATCH(DATEVALUE($A331),'recurring1_based on steps'!T$1:T$400,0)),T$2,)</f>
        <v>0</v>
      </c>
      <c r="U331" s="179">
        <f ca="1">IF(ISNUMBER(MATCH(DATEVALUE($A331),'recurring1_based on steps'!U$1:U$400,0)),U$2,)</f>
        <v>0</v>
      </c>
      <c r="V331" s="179">
        <f ca="1">IF(ISNUMBER(MATCH(DATEVALUE($A331),'recurring1_based on steps'!V$1:V$400,0)),V$2,)</f>
        <v>0</v>
      </c>
      <c r="W331" s="179">
        <f ca="1">IF(ISNUMBER(MATCH(DATEVALUE($A331),'recurring1_based on steps'!W$1:W$400,0)),W$2,)</f>
        <v>0</v>
      </c>
      <c r="X331" s="179">
        <f ca="1">IF(ISNUMBER(MATCH(DATEVALUE($A331),'recurring1_based on steps'!X$1:X$400,0)),X$2,)</f>
        <v>0</v>
      </c>
      <c r="Y331" s="179">
        <f ca="1">IF(ISNUMBER(MATCH(DATEVALUE($A331),'recurring1_based on steps'!Y$1:Y$400,0)),Y$2,)</f>
        <v>0</v>
      </c>
      <c r="Z331" s="179">
        <f ca="1">IF(ISNUMBER(MATCH(DATEVALUE($A331),'recurring1_based on steps'!Z$1:Z$400,0)),Z$2,)</f>
        <v>0</v>
      </c>
      <c r="AA331" s="179">
        <f ca="1">IF(ISNUMBER(MATCH(DATEVALUE($A331),'recurring1_based on steps'!AA$1:AA$400,0)),AA$2,)</f>
        <v>0</v>
      </c>
      <c r="AB331" s="179">
        <f ca="1">IF(ISNUMBER(MATCH(DATEVALUE($A331),'recurring1_based on steps'!AB$1:AB$400,0)),AB$2,)</f>
        <v>0</v>
      </c>
      <c r="AC331" s="179">
        <f ca="1">IF(ISNUMBER(MATCH(DATEVALUE($A331),'recurring1_based on steps'!AC$1:AC$400,0)),AC$2,)</f>
        <v>0</v>
      </c>
      <c r="AD331" s="179">
        <f ca="1">IF(ISNUMBER(MATCH(DATEVALUE($A331),'recurring1_based on steps'!AD$1:AD$400,0)),AD$2,)</f>
        <v>0</v>
      </c>
      <c r="AE331" s="179">
        <f ca="1">IF(ISNUMBER(MATCH(DATEVALUE($A331),'recurring1_based on steps'!AE$1:AE$400,0)),AE$2,)</f>
        <v>0</v>
      </c>
      <c r="AF331" s="179">
        <f ca="1">IF(ISNUMBER(MATCH(DATEVALUE($A331),'recurring1_based on steps'!AF$1:AF$400,0)),AF$2,)</f>
        <v>0</v>
      </c>
      <c r="AG331" s="179">
        <f ca="1">IF(ISNUMBER(MATCH(DATEVALUE($A331),'recurring1_based on steps'!AG$1:AG$400,0)),AG$2,)</f>
        <v>0</v>
      </c>
      <c r="AH331" s="179">
        <f ca="1">IF(ISNUMBER(MATCH(DATEVALUE($A331),'recurring1_based on steps'!AH$1:AH$400,0)),AH$2,)</f>
        <v>0</v>
      </c>
      <c r="AI331" s="179">
        <f ca="1">IF(ISNUMBER(MATCH(DATEVALUE($A331),'recurring1_based on steps'!AI$1:AI$400,0)),AI$2,)</f>
        <v>0</v>
      </c>
      <c r="AJ331" s="179">
        <f ca="1">IF(ISNUMBER(MATCH(DATEVALUE($A331),'recurring1_based on steps'!AJ$1:AJ$400,0)),AJ$2,)</f>
        <v>0</v>
      </c>
      <c r="AK331" s="179">
        <f ca="1">IF(ISNUMBER(MATCH(DATEVALUE($A331),'recurring1_based on steps'!AK$1:AK$400,0)),AK$2,)</f>
        <v>0</v>
      </c>
      <c r="AL331" s="179">
        <f ca="1">IF(ISNUMBER(MATCH(DATEVALUE($A331),'recurring1_based on steps'!AL$1:AL$400,0)),AL$2,)</f>
        <v>0</v>
      </c>
      <c r="AM331" s="179">
        <f ca="1">IF(ISNUMBER(MATCH(DATEVALUE($A331),'recurring1_based on steps'!AM$1:AM$400,0)),AM$2,)</f>
        <v>0</v>
      </c>
      <c r="AN331" s="179">
        <f ca="1">IF(ISNUMBER(MATCH(DATEVALUE($A331),'recurring1_based on steps'!AN$1:AN$400,0)),AN$2,)</f>
        <v>0</v>
      </c>
      <c r="AO331" s="179">
        <f ca="1">IF(ISNUMBER(MATCH(DATEVALUE($A331),'recurring1_based on steps'!AO$1:AO$400,0)),AO$2,)</f>
        <v>0</v>
      </c>
      <c r="AP331" s="179">
        <f ca="1">IF(ISNUMBER(MATCH(DATEVALUE($A331),'recurring1_based on steps'!AP$1:AP$400,0)),AP$2,)</f>
        <v>0</v>
      </c>
      <c r="AQ331" s="179">
        <f ca="1">IF(ISNUMBER(MATCH(DATEVALUE($A331),'recurring1_based on steps'!AQ$1:AQ$400,0)),AQ$2,)</f>
        <v>0</v>
      </c>
      <c r="AR331" s="179">
        <f ca="1">IF(ISNUMBER(MATCH(DATEVALUE($A331),'recurring1_based on steps'!AR$1:AR$400,0)),AR$2,)</f>
        <v>0</v>
      </c>
      <c r="AS331" s="179">
        <f ca="1">IF(ISNUMBER(MATCH(DATEVALUE($A331),'recurring1_based on steps'!AS$1:AS$400,0)),AS$2,)</f>
        <v>0</v>
      </c>
      <c r="AT331" s="179">
        <f ca="1">IF(ISNUMBER(MATCH(DATEVALUE($A331),'recurring1_based on steps'!AT$1:AT$400,0)),AT$2,)</f>
        <v>0</v>
      </c>
      <c r="AU331" s="179">
        <f ca="1">IF(ISNUMBER(MATCH(DATEVALUE($A331),'recurring1_based on steps'!AU$1:AU$400,0)),AU$2,)</f>
        <v>0</v>
      </c>
      <c r="AV331" s="179">
        <f ca="1">IF(ISNUMBER(MATCH(DATEVALUE($A331),'recurring1_based on steps'!AV$1:AV$400,0)),AV$2,)</f>
        <v>0</v>
      </c>
      <c r="AW331" s="179">
        <f ca="1">IF(ISNUMBER(MATCH(DATEVALUE($A331),'recurring1_based on steps'!AW$1:AW$400,0)),AW$2,)</f>
        <v>0</v>
      </c>
      <c r="AX331" s="179">
        <f ca="1">IF(ISNUMBER(MATCH(DATEVALUE($A331),'recurring1_based on steps'!AX$1:AX$400,0)),AX$2,)</f>
        <v>0</v>
      </c>
      <c r="AY331" s="179">
        <f ca="1">IF(ISNUMBER(MATCH(DATEVALUE($A331),'recurring1_based on steps'!AY$1:AY$400,0)),AY$2,)</f>
        <v>0</v>
      </c>
    </row>
    <row r="332" spans="1:51" x14ac:dyDescent="0.2">
      <c r="A332" s="32" t="str">
        <f t="shared" ca="1" si="5"/>
        <v>2026-02-28</v>
      </c>
      <c r="B332" s="179">
        <f ca="1">IF(ISNUMBER(MATCH(DATEVALUE($A332),'recurring1_based on steps'!B$1:B$400,0)),B$2,)</f>
        <v>0</v>
      </c>
      <c r="C332" s="179">
        <f ca="1">IF(ISNUMBER(MATCH(DATEVALUE($A332),'recurring1_based on steps'!C$1:C$400,0)),C$2,)</f>
        <v>0</v>
      </c>
      <c r="D332" s="179">
        <f ca="1">IF(ISNUMBER(MATCH(DATEVALUE($A332),'recurring1_based on steps'!D$1:D$400,0)),D$2,)</f>
        <v>0</v>
      </c>
      <c r="E332" s="179">
        <f ca="1">IF(ISNUMBER(MATCH(DATEVALUE($A332),'recurring1_based on steps'!E$1:E$400,0)),E$2,)</f>
        <v>0</v>
      </c>
      <c r="F332" s="179">
        <f ca="1">IF(ISNUMBER(MATCH(DATEVALUE($A332),'recurring1_based on steps'!F$1:F$400,0)),F$2,)</f>
        <v>0</v>
      </c>
      <c r="G332" s="179">
        <f ca="1">IF(ISNUMBER(MATCH(DATEVALUE($A332),'recurring1_based on steps'!G$1:G$400,0)),G$2,)</f>
        <v>0</v>
      </c>
      <c r="H332" s="179">
        <f ca="1">IF(ISNUMBER(MATCH(DATEVALUE($A332),'recurring1_based on steps'!H$1:H$400,0)),H$2,)</f>
        <v>0</v>
      </c>
      <c r="I332" s="179">
        <f ca="1">IF(ISNUMBER(MATCH(DATEVALUE($A332),'recurring1_based on steps'!I$1:I$400,0)),I$2,)</f>
        <v>0</v>
      </c>
      <c r="J332" s="179">
        <f ca="1">IF(ISNUMBER(MATCH(DATEVALUE($A332),'recurring1_based on steps'!J$1:J$400,0)),J$2,)</f>
        <v>0</v>
      </c>
      <c r="K332" s="179">
        <f ca="1">IF(ISNUMBER(MATCH(DATEVALUE($A332),'recurring1_based on steps'!K$1:K$400,0)),K$2,)</f>
        <v>0</v>
      </c>
      <c r="L332" s="179">
        <f ca="1">IF(ISNUMBER(MATCH(DATEVALUE($A332),'recurring1_based on steps'!L$1:L$400,0)),L$2,)</f>
        <v>0</v>
      </c>
      <c r="M332" s="179">
        <f ca="1">IF(ISNUMBER(MATCH(DATEVALUE($A332),'recurring1_based on steps'!M$1:M$400,0)),M$2,)</f>
        <v>0</v>
      </c>
      <c r="N332" s="179">
        <f ca="1">IF(ISNUMBER(MATCH(DATEVALUE($A332),'recurring1_based on steps'!N$1:N$400,0)),N$2,)</f>
        <v>0</v>
      </c>
      <c r="O332" s="179">
        <f ca="1">IF(ISNUMBER(MATCH(DATEVALUE($A332),'recurring1_based on steps'!O$1:O$400,0)),O$2,)</f>
        <v>0</v>
      </c>
      <c r="P332" s="179">
        <f ca="1">IF(ISNUMBER(MATCH(DATEVALUE($A332),'recurring1_based on steps'!P$1:P$400,0)),P$2,)</f>
        <v>0</v>
      </c>
      <c r="Q332" s="179">
        <f ca="1">IF(ISNUMBER(MATCH(DATEVALUE($A332),'recurring1_based on steps'!Q$1:Q$400,0)),Q$2,)</f>
        <v>0</v>
      </c>
      <c r="R332" s="179">
        <f ca="1">IF(ISNUMBER(MATCH(DATEVALUE($A332),'recurring1_based on steps'!R$1:R$400,0)),R$2,)</f>
        <v>0</v>
      </c>
      <c r="S332" s="179">
        <f ca="1">IF(ISNUMBER(MATCH(DATEVALUE($A332),'recurring1_based on steps'!S$1:S$400,0)),S$2,)</f>
        <v>0</v>
      </c>
      <c r="T332" s="179">
        <f ca="1">IF(ISNUMBER(MATCH(DATEVALUE($A332),'recurring1_based on steps'!T$1:T$400,0)),T$2,)</f>
        <v>0</v>
      </c>
      <c r="U332" s="179">
        <f ca="1">IF(ISNUMBER(MATCH(DATEVALUE($A332),'recurring1_based on steps'!U$1:U$400,0)),U$2,)</f>
        <v>0</v>
      </c>
      <c r="V332" s="179">
        <f ca="1">IF(ISNUMBER(MATCH(DATEVALUE($A332),'recurring1_based on steps'!V$1:V$400,0)),V$2,)</f>
        <v>0</v>
      </c>
      <c r="W332" s="179">
        <f ca="1">IF(ISNUMBER(MATCH(DATEVALUE($A332),'recurring1_based on steps'!W$1:W$400,0)),W$2,)</f>
        <v>0</v>
      </c>
      <c r="X332" s="179">
        <f ca="1">IF(ISNUMBER(MATCH(DATEVALUE($A332),'recurring1_based on steps'!X$1:X$400,0)),X$2,)</f>
        <v>0</v>
      </c>
      <c r="Y332" s="179">
        <f ca="1">IF(ISNUMBER(MATCH(DATEVALUE($A332),'recurring1_based on steps'!Y$1:Y$400,0)),Y$2,)</f>
        <v>0</v>
      </c>
      <c r="Z332" s="179">
        <f ca="1">IF(ISNUMBER(MATCH(DATEVALUE($A332),'recurring1_based on steps'!Z$1:Z$400,0)),Z$2,)</f>
        <v>0</v>
      </c>
      <c r="AA332" s="179">
        <f ca="1">IF(ISNUMBER(MATCH(DATEVALUE($A332),'recurring1_based on steps'!AA$1:AA$400,0)),AA$2,)</f>
        <v>0</v>
      </c>
      <c r="AB332" s="179">
        <f ca="1">IF(ISNUMBER(MATCH(DATEVALUE($A332),'recurring1_based on steps'!AB$1:AB$400,0)),AB$2,)</f>
        <v>0</v>
      </c>
      <c r="AC332" s="179">
        <f ca="1">IF(ISNUMBER(MATCH(DATEVALUE($A332),'recurring1_based on steps'!AC$1:AC$400,0)),AC$2,)</f>
        <v>0</v>
      </c>
      <c r="AD332" s="179">
        <f ca="1">IF(ISNUMBER(MATCH(DATEVALUE($A332),'recurring1_based on steps'!AD$1:AD$400,0)),AD$2,)</f>
        <v>0</v>
      </c>
      <c r="AE332" s="179">
        <f ca="1">IF(ISNUMBER(MATCH(DATEVALUE($A332),'recurring1_based on steps'!AE$1:AE$400,0)),AE$2,)</f>
        <v>0</v>
      </c>
      <c r="AF332" s="179">
        <f ca="1">IF(ISNUMBER(MATCH(DATEVALUE($A332),'recurring1_based on steps'!AF$1:AF$400,0)),AF$2,)</f>
        <v>0</v>
      </c>
      <c r="AG332" s="179">
        <f ca="1">IF(ISNUMBER(MATCH(DATEVALUE($A332),'recurring1_based on steps'!AG$1:AG$400,0)),AG$2,)</f>
        <v>0</v>
      </c>
      <c r="AH332" s="179">
        <f ca="1">IF(ISNUMBER(MATCH(DATEVALUE($A332),'recurring1_based on steps'!AH$1:AH$400,0)),AH$2,)</f>
        <v>0</v>
      </c>
      <c r="AI332" s="179">
        <f ca="1">IF(ISNUMBER(MATCH(DATEVALUE($A332),'recurring1_based on steps'!AI$1:AI$400,0)),AI$2,)</f>
        <v>0</v>
      </c>
      <c r="AJ332" s="179">
        <f ca="1">IF(ISNUMBER(MATCH(DATEVALUE($A332),'recurring1_based on steps'!AJ$1:AJ$400,0)),AJ$2,)</f>
        <v>0</v>
      </c>
      <c r="AK332" s="179">
        <f ca="1">IF(ISNUMBER(MATCH(DATEVALUE($A332),'recurring1_based on steps'!AK$1:AK$400,0)),AK$2,)</f>
        <v>0</v>
      </c>
      <c r="AL332" s="179">
        <f ca="1">IF(ISNUMBER(MATCH(DATEVALUE($A332),'recurring1_based on steps'!AL$1:AL$400,0)),AL$2,)</f>
        <v>0</v>
      </c>
      <c r="AM332" s="179">
        <f ca="1">IF(ISNUMBER(MATCH(DATEVALUE($A332),'recurring1_based on steps'!AM$1:AM$400,0)),AM$2,)</f>
        <v>0</v>
      </c>
      <c r="AN332" s="179">
        <f ca="1">IF(ISNUMBER(MATCH(DATEVALUE($A332),'recurring1_based on steps'!AN$1:AN$400,0)),AN$2,)</f>
        <v>0</v>
      </c>
      <c r="AO332" s="179">
        <f ca="1">IF(ISNUMBER(MATCH(DATEVALUE($A332),'recurring1_based on steps'!AO$1:AO$400,0)),AO$2,)</f>
        <v>0</v>
      </c>
      <c r="AP332" s="179">
        <f ca="1">IF(ISNUMBER(MATCH(DATEVALUE($A332),'recurring1_based on steps'!AP$1:AP$400,0)),AP$2,)</f>
        <v>0</v>
      </c>
      <c r="AQ332" s="179">
        <f ca="1">IF(ISNUMBER(MATCH(DATEVALUE($A332),'recurring1_based on steps'!AQ$1:AQ$400,0)),AQ$2,)</f>
        <v>0</v>
      </c>
      <c r="AR332" s="179">
        <f ca="1">IF(ISNUMBER(MATCH(DATEVALUE($A332),'recurring1_based on steps'!AR$1:AR$400,0)),AR$2,)</f>
        <v>0</v>
      </c>
      <c r="AS332" s="179">
        <f ca="1">IF(ISNUMBER(MATCH(DATEVALUE($A332),'recurring1_based on steps'!AS$1:AS$400,0)),AS$2,)</f>
        <v>0</v>
      </c>
      <c r="AT332" s="179">
        <f ca="1">IF(ISNUMBER(MATCH(DATEVALUE($A332),'recurring1_based on steps'!AT$1:AT$400,0)),AT$2,)</f>
        <v>0</v>
      </c>
      <c r="AU332" s="179">
        <f ca="1">IF(ISNUMBER(MATCH(DATEVALUE($A332),'recurring1_based on steps'!AU$1:AU$400,0)),AU$2,)</f>
        <v>0</v>
      </c>
      <c r="AV332" s="179">
        <f ca="1">IF(ISNUMBER(MATCH(DATEVALUE($A332),'recurring1_based on steps'!AV$1:AV$400,0)),AV$2,)</f>
        <v>0</v>
      </c>
      <c r="AW332" s="179">
        <f ca="1">IF(ISNUMBER(MATCH(DATEVALUE($A332),'recurring1_based on steps'!AW$1:AW$400,0)),AW$2,)</f>
        <v>0</v>
      </c>
      <c r="AX332" s="179">
        <f ca="1">IF(ISNUMBER(MATCH(DATEVALUE($A332),'recurring1_based on steps'!AX$1:AX$400,0)),AX$2,)</f>
        <v>0</v>
      </c>
      <c r="AY332" s="179">
        <f ca="1">IF(ISNUMBER(MATCH(DATEVALUE($A332),'recurring1_based on steps'!AY$1:AY$400,0)),AY$2,)</f>
        <v>0</v>
      </c>
    </row>
    <row r="333" spans="1:51" x14ac:dyDescent="0.2">
      <c r="A333" s="32" t="str">
        <f t="shared" ca="1" si="5"/>
        <v>2026-03-01</v>
      </c>
      <c r="B333" s="179">
        <f ca="1">IF(ISNUMBER(MATCH(DATEVALUE($A333),'recurring1_based on steps'!B$1:B$400,0)),B$2,)</f>
        <v>0</v>
      </c>
      <c r="C333" s="179">
        <f ca="1">IF(ISNUMBER(MATCH(DATEVALUE($A333),'recurring1_based on steps'!C$1:C$400,0)),C$2,)</f>
        <v>0</v>
      </c>
      <c r="D333" s="179">
        <f ca="1">IF(ISNUMBER(MATCH(DATEVALUE($A333),'recurring1_based on steps'!D$1:D$400,0)),D$2,)</f>
        <v>0</v>
      </c>
      <c r="E333" s="179">
        <f ca="1">IF(ISNUMBER(MATCH(DATEVALUE($A333),'recurring1_based on steps'!E$1:E$400,0)),E$2,)</f>
        <v>0</v>
      </c>
      <c r="F333" s="179">
        <f ca="1">IF(ISNUMBER(MATCH(DATEVALUE($A333),'recurring1_based on steps'!F$1:F$400,0)),F$2,)</f>
        <v>0</v>
      </c>
      <c r="G333" s="179">
        <f ca="1">IF(ISNUMBER(MATCH(DATEVALUE($A333),'recurring1_based on steps'!G$1:G$400,0)),G$2,)</f>
        <v>0</v>
      </c>
      <c r="H333" s="179">
        <f ca="1">IF(ISNUMBER(MATCH(DATEVALUE($A333),'recurring1_based on steps'!H$1:H$400,0)),H$2,)</f>
        <v>0</v>
      </c>
      <c r="I333" s="179">
        <f ca="1">IF(ISNUMBER(MATCH(DATEVALUE($A333),'recurring1_based on steps'!I$1:I$400,0)),I$2,)</f>
        <v>0</v>
      </c>
      <c r="J333" s="179">
        <f ca="1">IF(ISNUMBER(MATCH(DATEVALUE($A333),'recurring1_based on steps'!J$1:J$400,0)),J$2,)</f>
        <v>0</v>
      </c>
      <c r="K333" s="179">
        <f ca="1">IF(ISNUMBER(MATCH(DATEVALUE($A333),'recurring1_based on steps'!K$1:K$400,0)),K$2,)</f>
        <v>0</v>
      </c>
      <c r="L333" s="179">
        <f ca="1">IF(ISNUMBER(MATCH(DATEVALUE($A333),'recurring1_based on steps'!L$1:L$400,0)),L$2,)</f>
        <v>0</v>
      </c>
      <c r="M333" s="179">
        <f ca="1">IF(ISNUMBER(MATCH(DATEVALUE($A333),'recurring1_based on steps'!M$1:M$400,0)),M$2,)</f>
        <v>0</v>
      </c>
      <c r="N333" s="179">
        <f ca="1">IF(ISNUMBER(MATCH(DATEVALUE($A333),'recurring1_based on steps'!N$1:N$400,0)),N$2,)</f>
        <v>0</v>
      </c>
      <c r="O333" s="179">
        <f ca="1">IF(ISNUMBER(MATCH(DATEVALUE($A333),'recurring1_based on steps'!O$1:O$400,0)),O$2,)</f>
        <v>0</v>
      </c>
      <c r="P333" s="179">
        <f ca="1">IF(ISNUMBER(MATCH(DATEVALUE($A333),'recurring1_based on steps'!P$1:P$400,0)),P$2,)</f>
        <v>0</v>
      </c>
      <c r="Q333" s="179">
        <f ca="1">IF(ISNUMBER(MATCH(DATEVALUE($A333),'recurring1_based on steps'!Q$1:Q$400,0)),Q$2,)</f>
        <v>0</v>
      </c>
      <c r="R333" s="179">
        <f ca="1">IF(ISNUMBER(MATCH(DATEVALUE($A333),'recurring1_based on steps'!R$1:R$400,0)),R$2,)</f>
        <v>0</v>
      </c>
      <c r="S333" s="179">
        <f ca="1">IF(ISNUMBER(MATCH(DATEVALUE($A333),'recurring1_based on steps'!S$1:S$400,0)),S$2,)</f>
        <v>0</v>
      </c>
      <c r="T333" s="179">
        <f ca="1">IF(ISNUMBER(MATCH(DATEVALUE($A333),'recurring1_based on steps'!T$1:T$400,0)),T$2,)</f>
        <v>0</v>
      </c>
      <c r="U333" s="179">
        <f ca="1">IF(ISNUMBER(MATCH(DATEVALUE($A333),'recurring1_based on steps'!U$1:U$400,0)),U$2,)</f>
        <v>0</v>
      </c>
      <c r="V333" s="179">
        <f ca="1">IF(ISNUMBER(MATCH(DATEVALUE($A333),'recurring1_based on steps'!V$1:V$400,0)),V$2,)</f>
        <v>0</v>
      </c>
      <c r="W333" s="179">
        <f ca="1">IF(ISNUMBER(MATCH(DATEVALUE($A333),'recurring1_based on steps'!W$1:W$400,0)),W$2,)</f>
        <v>0</v>
      </c>
      <c r="X333" s="179">
        <f ca="1">IF(ISNUMBER(MATCH(DATEVALUE($A333),'recurring1_based on steps'!X$1:X$400,0)),X$2,)</f>
        <v>0</v>
      </c>
      <c r="Y333" s="179">
        <f ca="1">IF(ISNUMBER(MATCH(DATEVALUE($A333),'recurring1_based on steps'!Y$1:Y$400,0)),Y$2,)</f>
        <v>0</v>
      </c>
      <c r="Z333" s="179">
        <f ca="1">IF(ISNUMBER(MATCH(DATEVALUE($A333),'recurring1_based on steps'!Z$1:Z$400,0)),Z$2,)</f>
        <v>0</v>
      </c>
      <c r="AA333" s="179">
        <f ca="1">IF(ISNUMBER(MATCH(DATEVALUE($A333),'recurring1_based on steps'!AA$1:AA$400,0)),AA$2,)</f>
        <v>0</v>
      </c>
      <c r="AB333" s="179">
        <f ca="1">IF(ISNUMBER(MATCH(DATEVALUE($A333),'recurring1_based on steps'!AB$1:AB$400,0)),AB$2,)</f>
        <v>0</v>
      </c>
      <c r="AC333" s="179">
        <f ca="1">IF(ISNUMBER(MATCH(DATEVALUE($A333),'recurring1_based on steps'!AC$1:AC$400,0)),AC$2,)</f>
        <v>0</v>
      </c>
      <c r="AD333" s="179">
        <f ca="1">IF(ISNUMBER(MATCH(DATEVALUE($A333),'recurring1_based on steps'!AD$1:AD$400,0)),AD$2,)</f>
        <v>0</v>
      </c>
      <c r="AE333" s="179">
        <f ca="1">IF(ISNUMBER(MATCH(DATEVALUE($A333),'recurring1_based on steps'!AE$1:AE$400,0)),AE$2,)</f>
        <v>0</v>
      </c>
      <c r="AF333" s="179">
        <f ca="1">IF(ISNUMBER(MATCH(DATEVALUE($A333),'recurring1_based on steps'!AF$1:AF$400,0)),AF$2,)</f>
        <v>0</v>
      </c>
      <c r="AG333" s="179">
        <f ca="1">IF(ISNUMBER(MATCH(DATEVALUE($A333),'recurring1_based on steps'!AG$1:AG$400,0)),AG$2,)</f>
        <v>0</v>
      </c>
      <c r="AH333" s="179">
        <f ca="1">IF(ISNUMBER(MATCH(DATEVALUE($A333),'recurring1_based on steps'!AH$1:AH$400,0)),AH$2,)</f>
        <v>0</v>
      </c>
      <c r="AI333" s="179">
        <f ca="1">IF(ISNUMBER(MATCH(DATEVALUE($A333),'recurring1_based on steps'!AI$1:AI$400,0)),AI$2,)</f>
        <v>0</v>
      </c>
      <c r="AJ333" s="179">
        <f ca="1">IF(ISNUMBER(MATCH(DATEVALUE($A333),'recurring1_based on steps'!AJ$1:AJ$400,0)),AJ$2,)</f>
        <v>0</v>
      </c>
      <c r="AK333" s="179">
        <f ca="1">IF(ISNUMBER(MATCH(DATEVALUE($A333),'recurring1_based on steps'!AK$1:AK$400,0)),AK$2,)</f>
        <v>0</v>
      </c>
      <c r="AL333" s="179">
        <f ca="1">IF(ISNUMBER(MATCH(DATEVALUE($A333),'recurring1_based on steps'!AL$1:AL$400,0)),AL$2,)</f>
        <v>0</v>
      </c>
      <c r="AM333" s="179">
        <f ca="1">IF(ISNUMBER(MATCH(DATEVALUE($A333),'recurring1_based on steps'!AM$1:AM$400,0)),AM$2,)</f>
        <v>0</v>
      </c>
      <c r="AN333" s="179">
        <f ca="1">IF(ISNUMBER(MATCH(DATEVALUE($A333),'recurring1_based on steps'!AN$1:AN$400,0)),AN$2,)</f>
        <v>0</v>
      </c>
      <c r="AO333" s="179">
        <f ca="1">IF(ISNUMBER(MATCH(DATEVALUE($A333),'recurring1_based on steps'!AO$1:AO$400,0)),AO$2,)</f>
        <v>0</v>
      </c>
      <c r="AP333" s="179">
        <f ca="1">IF(ISNUMBER(MATCH(DATEVALUE($A333),'recurring1_based on steps'!AP$1:AP$400,0)),AP$2,)</f>
        <v>0</v>
      </c>
      <c r="AQ333" s="179">
        <f ca="1">IF(ISNUMBER(MATCH(DATEVALUE($A333),'recurring1_based on steps'!AQ$1:AQ$400,0)),AQ$2,)</f>
        <v>0</v>
      </c>
      <c r="AR333" s="179">
        <f ca="1">IF(ISNUMBER(MATCH(DATEVALUE($A333),'recurring1_based on steps'!AR$1:AR$400,0)),AR$2,)</f>
        <v>0</v>
      </c>
      <c r="AS333" s="179">
        <f ca="1">IF(ISNUMBER(MATCH(DATEVALUE($A333),'recurring1_based on steps'!AS$1:AS$400,0)),AS$2,)</f>
        <v>0</v>
      </c>
      <c r="AT333" s="179">
        <f ca="1">IF(ISNUMBER(MATCH(DATEVALUE($A333),'recurring1_based on steps'!AT$1:AT$400,0)),AT$2,)</f>
        <v>0</v>
      </c>
      <c r="AU333" s="179">
        <f ca="1">IF(ISNUMBER(MATCH(DATEVALUE($A333),'recurring1_based on steps'!AU$1:AU$400,0)),AU$2,)</f>
        <v>0</v>
      </c>
      <c r="AV333" s="179">
        <f ca="1">IF(ISNUMBER(MATCH(DATEVALUE($A333),'recurring1_based on steps'!AV$1:AV$400,0)),AV$2,)</f>
        <v>0</v>
      </c>
      <c r="AW333" s="179">
        <f ca="1">IF(ISNUMBER(MATCH(DATEVALUE($A333),'recurring1_based on steps'!AW$1:AW$400,0)),AW$2,)</f>
        <v>0</v>
      </c>
      <c r="AX333" s="179">
        <f ca="1">IF(ISNUMBER(MATCH(DATEVALUE($A333),'recurring1_based on steps'!AX$1:AX$400,0)),AX$2,)</f>
        <v>0</v>
      </c>
      <c r="AY333" s="179">
        <f ca="1">IF(ISNUMBER(MATCH(DATEVALUE($A333),'recurring1_based on steps'!AY$1:AY$400,0)),AY$2,)</f>
        <v>0</v>
      </c>
    </row>
    <row r="334" spans="1:51" x14ac:dyDescent="0.2">
      <c r="A334" s="32" t="str">
        <f t="shared" ca="1" si="5"/>
        <v>2026-03-02</v>
      </c>
      <c r="B334" s="179">
        <f ca="1">IF(ISNUMBER(MATCH(DATEVALUE($A334),'recurring1_based on steps'!B$1:B$400,0)),B$2,)</f>
        <v>0</v>
      </c>
      <c r="C334" s="179">
        <f ca="1">IF(ISNUMBER(MATCH(DATEVALUE($A334),'recurring1_based on steps'!C$1:C$400,0)),C$2,)</f>
        <v>0</v>
      </c>
      <c r="D334" s="179">
        <f ca="1">IF(ISNUMBER(MATCH(DATEVALUE($A334),'recurring1_based on steps'!D$1:D$400,0)),D$2,)</f>
        <v>0</v>
      </c>
      <c r="E334" s="179">
        <f ca="1">IF(ISNUMBER(MATCH(DATEVALUE($A334),'recurring1_based on steps'!E$1:E$400,0)),E$2,)</f>
        <v>0</v>
      </c>
      <c r="F334" s="179">
        <f ca="1">IF(ISNUMBER(MATCH(DATEVALUE($A334),'recurring1_based on steps'!F$1:F$400,0)),F$2,)</f>
        <v>0</v>
      </c>
      <c r="G334" s="179">
        <f ca="1">IF(ISNUMBER(MATCH(DATEVALUE($A334),'recurring1_based on steps'!G$1:G$400,0)),G$2,)</f>
        <v>0</v>
      </c>
      <c r="H334" s="179">
        <f ca="1">IF(ISNUMBER(MATCH(DATEVALUE($A334),'recurring1_based on steps'!H$1:H$400,0)),H$2,)</f>
        <v>0</v>
      </c>
      <c r="I334" s="179">
        <f ca="1">IF(ISNUMBER(MATCH(DATEVALUE($A334),'recurring1_based on steps'!I$1:I$400,0)),I$2,)</f>
        <v>0</v>
      </c>
      <c r="J334" s="179">
        <f ca="1">IF(ISNUMBER(MATCH(DATEVALUE($A334),'recurring1_based on steps'!J$1:J$400,0)),J$2,)</f>
        <v>0</v>
      </c>
      <c r="K334" s="179">
        <f ca="1">IF(ISNUMBER(MATCH(DATEVALUE($A334),'recurring1_based on steps'!K$1:K$400,0)),K$2,)</f>
        <v>0</v>
      </c>
      <c r="L334" s="179">
        <f ca="1">IF(ISNUMBER(MATCH(DATEVALUE($A334),'recurring1_based on steps'!L$1:L$400,0)),L$2,)</f>
        <v>0</v>
      </c>
      <c r="M334" s="179">
        <f ca="1">IF(ISNUMBER(MATCH(DATEVALUE($A334),'recurring1_based on steps'!M$1:M$400,0)),M$2,)</f>
        <v>0</v>
      </c>
      <c r="N334" s="179">
        <f ca="1">IF(ISNUMBER(MATCH(DATEVALUE($A334),'recurring1_based on steps'!N$1:N$400,0)),N$2,)</f>
        <v>0</v>
      </c>
      <c r="O334" s="179">
        <f ca="1">IF(ISNUMBER(MATCH(DATEVALUE($A334),'recurring1_based on steps'!O$1:O$400,0)),O$2,)</f>
        <v>0</v>
      </c>
      <c r="P334" s="179">
        <f ca="1">IF(ISNUMBER(MATCH(DATEVALUE($A334),'recurring1_based on steps'!P$1:P$400,0)),P$2,)</f>
        <v>0</v>
      </c>
      <c r="Q334" s="179">
        <f ca="1">IF(ISNUMBER(MATCH(DATEVALUE($A334),'recurring1_based on steps'!Q$1:Q$400,0)),Q$2,)</f>
        <v>0</v>
      </c>
      <c r="R334" s="179">
        <f ca="1">IF(ISNUMBER(MATCH(DATEVALUE($A334),'recurring1_based on steps'!R$1:R$400,0)),R$2,)</f>
        <v>0</v>
      </c>
      <c r="S334" s="179">
        <f ca="1">IF(ISNUMBER(MATCH(DATEVALUE($A334),'recurring1_based on steps'!S$1:S$400,0)),S$2,)</f>
        <v>0</v>
      </c>
      <c r="T334" s="179">
        <f ca="1">IF(ISNUMBER(MATCH(DATEVALUE($A334),'recurring1_based on steps'!T$1:T$400,0)),T$2,)</f>
        <v>0</v>
      </c>
      <c r="U334" s="179">
        <f ca="1">IF(ISNUMBER(MATCH(DATEVALUE($A334),'recurring1_based on steps'!U$1:U$400,0)),U$2,)</f>
        <v>0</v>
      </c>
      <c r="V334" s="179">
        <f ca="1">IF(ISNUMBER(MATCH(DATEVALUE($A334),'recurring1_based on steps'!V$1:V$400,0)),V$2,)</f>
        <v>0</v>
      </c>
      <c r="W334" s="179">
        <f ca="1">IF(ISNUMBER(MATCH(DATEVALUE($A334),'recurring1_based on steps'!W$1:W$400,0)),W$2,)</f>
        <v>0</v>
      </c>
      <c r="X334" s="179">
        <f ca="1">IF(ISNUMBER(MATCH(DATEVALUE($A334),'recurring1_based on steps'!X$1:X$400,0)),X$2,)</f>
        <v>0</v>
      </c>
      <c r="Y334" s="179">
        <f ca="1">IF(ISNUMBER(MATCH(DATEVALUE($A334),'recurring1_based on steps'!Y$1:Y$400,0)),Y$2,)</f>
        <v>0</v>
      </c>
      <c r="Z334" s="179">
        <f ca="1">IF(ISNUMBER(MATCH(DATEVALUE($A334),'recurring1_based on steps'!Z$1:Z$400,0)),Z$2,)</f>
        <v>0</v>
      </c>
      <c r="AA334" s="179">
        <f ca="1">IF(ISNUMBER(MATCH(DATEVALUE($A334),'recurring1_based on steps'!AA$1:AA$400,0)),AA$2,)</f>
        <v>0</v>
      </c>
      <c r="AB334" s="179">
        <f ca="1">IF(ISNUMBER(MATCH(DATEVALUE($A334),'recurring1_based on steps'!AB$1:AB$400,0)),AB$2,)</f>
        <v>0</v>
      </c>
      <c r="AC334" s="179">
        <f ca="1">IF(ISNUMBER(MATCH(DATEVALUE($A334),'recurring1_based on steps'!AC$1:AC$400,0)),AC$2,)</f>
        <v>0</v>
      </c>
      <c r="AD334" s="179">
        <f ca="1">IF(ISNUMBER(MATCH(DATEVALUE($A334),'recurring1_based on steps'!AD$1:AD$400,0)),AD$2,)</f>
        <v>0</v>
      </c>
      <c r="AE334" s="179">
        <f ca="1">IF(ISNUMBER(MATCH(DATEVALUE($A334),'recurring1_based on steps'!AE$1:AE$400,0)),AE$2,)</f>
        <v>0</v>
      </c>
      <c r="AF334" s="179">
        <f ca="1">IF(ISNUMBER(MATCH(DATEVALUE($A334),'recurring1_based on steps'!AF$1:AF$400,0)),AF$2,)</f>
        <v>0</v>
      </c>
      <c r="AG334" s="179">
        <f ca="1">IF(ISNUMBER(MATCH(DATEVALUE($A334),'recurring1_based on steps'!AG$1:AG$400,0)),AG$2,)</f>
        <v>0</v>
      </c>
      <c r="AH334" s="179">
        <f ca="1">IF(ISNUMBER(MATCH(DATEVALUE($A334),'recurring1_based on steps'!AH$1:AH$400,0)),AH$2,)</f>
        <v>0</v>
      </c>
      <c r="AI334" s="179">
        <f ca="1">IF(ISNUMBER(MATCH(DATEVALUE($A334),'recurring1_based on steps'!AI$1:AI$400,0)),AI$2,)</f>
        <v>0</v>
      </c>
      <c r="AJ334" s="179">
        <f ca="1">IF(ISNUMBER(MATCH(DATEVALUE($A334),'recurring1_based on steps'!AJ$1:AJ$400,0)),AJ$2,)</f>
        <v>0</v>
      </c>
      <c r="AK334" s="179">
        <f ca="1">IF(ISNUMBER(MATCH(DATEVALUE($A334),'recurring1_based on steps'!AK$1:AK$400,0)),AK$2,)</f>
        <v>0</v>
      </c>
      <c r="AL334" s="179">
        <f ca="1">IF(ISNUMBER(MATCH(DATEVALUE($A334),'recurring1_based on steps'!AL$1:AL$400,0)),AL$2,)</f>
        <v>0</v>
      </c>
      <c r="AM334" s="179">
        <f ca="1">IF(ISNUMBER(MATCH(DATEVALUE($A334),'recurring1_based on steps'!AM$1:AM$400,0)),AM$2,)</f>
        <v>0</v>
      </c>
      <c r="AN334" s="179">
        <f ca="1">IF(ISNUMBER(MATCH(DATEVALUE($A334),'recurring1_based on steps'!AN$1:AN$400,0)),AN$2,)</f>
        <v>0</v>
      </c>
      <c r="AO334" s="179">
        <f ca="1">IF(ISNUMBER(MATCH(DATEVALUE($A334),'recurring1_based on steps'!AO$1:AO$400,0)),AO$2,)</f>
        <v>0</v>
      </c>
      <c r="AP334" s="179">
        <f ca="1">IF(ISNUMBER(MATCH(DATEVALUE($A334),'recurring1_based on steps'!AP$1:AP$400,0)),AP$2,)</f>
        <v>0</v>
      </c>
      <c r="AQ334" s="179">
        <f ca="1">IF(ISNUMBER(MATCH(DATEVALUE($A334),'recurring1_based on steps'!AQ$1:AQ$400,0)),AQ$2,)</f>
        <v>0</v>
      </c>
      <c r="AR334" s="179">
        <f ca="1">IF(ISNUMBER(MATCH(DATEVALUE($A334),'recurring1_based on steps'!AR$1:AR$400,0)),AR$2,)</f>
        <v>0</v>
      </c>
      <c r="AS334" s="179">
        <f ca="1">IF(ISNUMBER(MATCH(DATEVALUE($A334),'recurring1_based on steps'!AS$1:AS$400,0)),AS$2,)</f>
        <v>0</v>
      </c>
      <c r="AT334" s="179">
        <f ca="1">IF(ISNUMBER(MATCH(DATEVALUE($A334),'recurring1_based on steps'!AT$1:AT$400,0)),AT$2,)</f>
        <v>0</v>
      </c>
      <c r="AU334" s="179">
        <f ca="1">IF(ISNUMBER(MATCH(DATEVALUE($A334),'recurring1_based on steps'!AU$1:AU$400,0)),AU$2,)</f>
        <v>0</v>
      </c>
      <c r="AV334" s="179">
        <f ca="1">IF(ISNUMBER(MATCH(DATEVALUE($A334),'recurring1_based on steps'!AV$1:AV$400,0)),AV$2,)</f>
        <v>0</v>
      </c>
      <c r="AW334" s="179">
        <f ca="1">IF(ISNUMBER(MATCH(DATEVALUE($A334),'recurring1_based on steps'!AW$1:AW$400,0)),AW$2,)</f>
        <v>0</v>
      </c>
      <c r="AX334" s="179">
        <f ca="1">IF(ISNUMBER(MATCH(DATEVALUE($A334),'recurring1_based on steps'!AX$1:AX$400,0)),AX$2,)</f>
        <v>0</v>
      </c>
      <c r="AY334" s="179">
        <f ca="1">IF(ISNUMBER(MATCH(DATEVALUE($A334),'recurring1_based on steps'!AY$1:AY$400,0)),AY$2,)</f>
        <v>0</v>
      </c>
    </row>
    <row r="335" spans="1:51" x14ac:dyDescent="0.2">
      <c r="A335" s="32" t="str">
        <f t="shared" ca="1" si="5"/>
        <v>2026-03-03</v>
      </c>
      <c r="B335" s="179">
        <f ca="1">IF(ISNUMBER(MATCH(DATEVALUE($A335),'recurring1_based on steps'!B$1:B$400,0)),B$2,)</f>
        <v>0</v>
      </c>
      <c r="C335" s="179">
        <f ca="1">IF(ISNUMBER(MATCH(DATEVALUE($A335),'recurring1_based on steps'!C$1:C$400,0)),C$2,)</f>
        <v>0</v>
      </c>
      <c r="D335" s="179">
        <f ca="1">IF(ISNUMBER(MATCH(DATEVALUE($A335),'recurring1_based on steps'!D$1:D$400,0)),D$2,)</f>
        <v>0</v>
      </c>
      <c r="E335" s="179">
        <f ca="1">IF(ISNUMBER(MATCH(DATEVALUE($A335),'recurring1_based on steps'!E$1:E$400,0)),E$2,)</f>
        <v>0</v>
      </c>
      <c r="F335" s="179">
        <f ca="1">IF(ISNUMBER(MATCH(DATEVALUE($A335),'recurring1_based on steps'!F$1:F$400,0)),F$2,)</f>
        <v>0</v>
      </c>
      <c r="G335" s="179">
        <f ca="1">IF(ISNUMBER(MATCH(DATEVALUE($A335),'recurring1_based on steps'!G$1:G$400,0)),G$2,)</f>
        <v>0</v>
      </c>
      <c r="H335" s="179">
        <f ca="1">IF(ISNUMBER(MATCH(DATEVALUE($A335),'recurring1_based on steps'!H$1:H$400,0)),H$2,)</f>
        <v>0</v>
      </c>
      <c r="I335" s="179">
        <f ca="1">IF(ISNUMBER(MATCH(DATEVALUE($A335),'recurring1_based on steps'!I$1:I$400,0)),I$2,)</f>
        <v>0</v>
      </c>
      <c r="J335" s="179">
        <f ca="1">IF(ISNUMBER(MATCH(DATEVALUE($A335),'recurring1_based on steps'!J$1:J$400,0)),J$2,)</f>
        <v>0</v>
      </c>
      <c r="K335" s="179">
        <f ca="1">IF(ISNUMBER(MATCH(DATEVALUE($A335),'recurring1_based on steps'!K$1:K$400,0)),K$2,)</f>
        <v>0</v>
      </c>
      <c r="L335" s="179">
        <f ca="1">IF(ISNUMBER(MATCH(DATEVALUE($A335),'recurring1_based on steps'!L$1:L$400,0)),L$2,)</f>
        <v>0</v>
      </c>
      <c r="M335" s="179">
        <f ca="1">IF(ISNUMBER(MATCH(DATEVALUE($A335),'recurring1_based on steps'!M$1:M$400,0)),M$2,)</f>
        <v>0</v>
      </c>
      <c r="N335" s="179">
        <f ca="1">IF(ISNUMBER(MATCH(DATEVALUE($A335),'recurring1_based on steps'!N$1:N$400,0)),N$2,)</f>
        <v>0</v>
      </c>
      <c r="O335" s="179">
        <f ca="1">IF(ISNUMBER(MATCH(DATEVALUE($A335),'recurring1_based on steps'!O$1:O$400,0)),O$2,)</f>
        <v>0</v>
      </c>
      <c r="P335" s="179">
        <f ca="1">IF(ISNUMBER(MATCH(DATEVALUE($A335),'recurring1_based on steps'!P$1:P$400,0)),P$2,)</f>
        <v>0</v>
      </c>
      <c r="Q335" s="179">
        <f ca="1">IF(ISNUMBER(MATCH(DATEVALUE($A335),'recurring1_based on steps'!Q$1:Q$400,0)),Q$2,)</f>
        <v>0</v>
      </c>
      <c r="R335" s="179">
        <f ca="1">IF(ISNUMBER(MATCH(DATEVALUE($A335),'recurring1_based on steps'!R$1:R$400,0)),R$2,)</f>
        <v>0</v>
      </c>
      <c r="S335" s="179">
        <f ca="1">IF(ISNUMBER(MATCH(DATEVALUE($A335),'recurring1_based on steps'!S$1:S$400,0)),S$2,)</f>
        <v>0</v>
      </c>
      <c r="T335" s="179">
        <f ca="1">IF(ISNUMBER(MATCH(DATEVALUE($A335),'recurring1_based on steps'!T$1:T$400,0)),T$2,)</f>
        <v>0</v>
      </c>
      <c r="U335" s="179">
        <f ca="1">IF(ISNUMBER(MATCH(DATEVALUE($A335),'recurring1_based on steps'!U$1:U$400,0)),U$2,)</f>
        <v>0</v>
      </c>
      <c r="V335" s="179">
        <f ca="1">IF(ISNUMBER(MATCH(DATEVALUE($A335),'recurring1_based on steps'!V$1:V$400,0)),V$2,)</f>
        <v>0</v>
      </c>
      <c r="W335" s="179">
        <f ca="1">IF(ISNUMBER(MATCH(DATEVALUE($A335),'recurring1_based on steps'!W$1:W$400,0)),W$2,)</f>
        <v>0</v>
      </c>
      <c r="X335" s="179">
        <f ca="1">IF(ISNUMBER(MATCH(DATEVALUE($A335),'recurring1_based on steps'!X$1:X$400,0)),X$2,)</f>
        <v>0</v>
      </c>
      <c r="Y335" s="179">
        <f ca="1">IF(ISNUMBER(MATCH(DATEVALUE($A335),'recurring1_based on steps'!Y$1:Y$400,0)),Y$2,)</f>
        <v>0</v>
      </c>
      <c r="Z335" s="179">
        <f ca="1">IF(ISNUMBER(MATCH(DATEVALUE($A335),'recurring1_based on steps'!Z$1:Z$400,0)),Z$2,)</f>
        <v>0</v>
      </c>
      <c r="AA335" s="179">
        <f ca="1">IF(ISNUMBER(MATCH(DATEVALUE($A335),'recurring1_based on steps'!AA$1:AA$400,0)),AA$2,)</f>
        <v>0</v>
      </c>
      <c r="AB335" s="179">
        <f ca="1">IF(ISNUMBER(MATCH(DATEVALUE($A335),'recurring1_based on steps'!AB$1:AB$400,0)),AB$2,)</f>
        <v>0</v>
      </c>
      <c r="AC335" s="179">
        <f ca="1">IF(ISNUMBER(MATCH(DATEVALUE($A335),'recurring1_based on steps'!AC$1:AC$400,0)),AC$2,)</f>
        <v>0</v>
      </c>
      <c r="AD335" s="179">
        <f ca="1">IF(ISNUMBER(MATCH(DATEVALUE($A335),'recurring1_based on steps'!AD$1:AD$400,0)),AD$2,)</f>
        <v>0</v>
      </c>
      <c r="AE335" s="179">
        <f ca="1">IF(ISNUMBER(MATCH(DATEVALUE($A335),'recurring1_based on steps'!AE$1:AE$400,0)),AE$2,)</f>
        <v>0</v>
      </c>
      <c r="AF335" s="179">
        <f ca="1">IF(ISNUMBER(MATCH(DATEVALUE($A335),'recurring1_based on steps'!AF$1:AF$400,0)),AF$2,)</f>
        <v>0</v>
      </c>
      <c r="AG335" s="179">
        <f ca="1">IF(ISNUMBER(MATCH(DATEVALUE($A335),'recurring1_based on steps'!AG$1:AG$400,0)),AG$2,)</f>
        <v>0</v>
      </c>
      <c r="AH335" s="179">
        <f ca="1">IF(ISNUMBER(MATCH(DATEVALUE($A335),'recurring1_based on steps'!AH$1:AH$400,0)),AH$2,)</f>
        <v>0</v>
      </c>
      <c r="AI335" s="179">
        <f ca="1">IF(ISNUMBER(MATCH(DATEVALUE($A335),'recurring1_based on steps'!AI$1:AI$400,0)),AI$2,)</f>
        <v>0</v>
      </c>
      <c r="AJ335" s="179">
        <f ca="1">IF(ISNUMBER(MATCH(DATEVALUE($A335),'recurring1_based on steps'!AJ$1:AJ$400,0)),AJ$2,)</f>
        <v>0</v>
      </c>
      <c r="AK335" s="179">
        <f ca="1">IF(ISNUMBER(MATCH(DATEVALUE($A335),'recurring1_based on steps'!AK$1:AK$400,0)),AK$2,)</f>
        <v>0</v>
      </c>
      <c r="AL335" s="179">
        <f ca="1">IF(ISNUMBER(MATCH(DATEVALUE($A335),'recurring1_based on steps'!AL$1:AL$400,0)),AL$2,)</f>
        <v>0</v>
      </c>
      <c r="AM335" s="179">
        <f ca="1">IF(ISNUMBER(MATCH(DATEVALUE($A335),'recurring1_based on steps'!AM$1:AM$400,0)),AM$2,)</f>
        <v>0</v>
      </c>
      <c r="AN335" s="179">
        <f ca="1">IF(ISNUMBER(MATCH(DATEVALUE($A335),'recurring1_based on steps'!AN$1:AN$400,0)),AN$2,)</f>
        <v>0</v>
      </c>
      <c r="AO335" s="179">
        <f ca="1">IF(ISNUMBER(MATCH(DATEVALUE($A335),'recurring1_based on steps'!AO$1:AO$400,0)),AO$2,)</f>
        <v>0</v>
      </c>
      <c r="AP335" s="179">
        <f ca="1">IF(ISNUMBER(MATCH(DATEVALUE($A335),'recurring1_based on steps'!AP$1:AP$400,0)),AP$2,)</f>
        <v>0</v>
      </c>
      <c r="AQ335" s="179">
        <f ca="1">IF(ISNUMBER(MATCH(DATEVALUE($A335),'recurring1_based on steps'!AQ$1:AQ$400,0)),AQ$2,)</f>
        <v>0</v>
      </c>
      <c r="AR335" s="179">
        <f ca="1">IF(ISNUMBER(MATCH(DATEVALUE($A335),'recurring1_based on steps'!AR$1:AR$400,0)),AR$2,)</f>
        <v>0</v>
      </c>
      <c r="AS335" s="179">
        <f ca="1">IF(ISNUMBER(MATCH(DATEVALUE($A335),'recurring1_based on steps'!AS$1:AS$400,0)),AS$2,)</f>
        <v>0</v>
      </c>
      <c r="AT335" s="179">
        <f ca="1">IF(ISNUMBER(MATCH(DATEVALUE($A335),'recurring1_based on steps'!AT$1:AT$400,0)),AT$2,)</f>
        <v>0</v>
      </c>
      <c r="AU335" s="179">
        <f ca="1">IF(ISNUMBER(MATCH(DATEVALUE($A335),'recurring1_based on steps'!AU$1:AU$400,0)),AU$2,)</f>
        <v>0</v>
      </c>
      <c r="AV335" s="179">
        <f ca="1">IF(ISNUMBER(MATCH(DATEVALUE($A335),'recurring1_based on steps'!AV$1:AV$400,0)),AV$2,)</f>
        <v>0</v>
      </c>
      <c r="AW335" s="179">
        <f ca="1">IF(ISNUMBER(MATCH(DATEVALUE($A335),'recurring1_based on steps'!AW$1:AW$400,0)),AW$2,)</f>
        <v>0</v>
      </c>
      <c r="AX335" s="179">
        <f ca="1">IF(ISNUMBER(MATCH(DATEVALUE($A335),'recurring1_based on steps'!AX$1:AX$400,0)),AX$2,)</f>
        <v>0</v>
      </c>
      <c r="AY335" s="179">
        <f ca="1">IF(ISNUMBER(MATCH(DATEVALUE($A335),'recurring1_based on steps'!AY$1:AY$400,0)),AY$2,)</f>
        <v>0</v>
      </c>
    </row>
    <row r="336" spans="1:51" x14ac:dyDescent="0.2">
      <c r="A336" s="32" t="str">
        <f t="shared" ca="1" si="5"/>
        <v>2026-03-04</v>
      </c>
      <c r="B336" s="179">
        <f ca="1">IF(ISNUMBER(MATCH(DATEVALUE($A336),'recurring1_based on steps'!B$1:B$400,0)),B$2,)</f>
        <v>0</v>
      </c>
      <c r="C336" s="179">
        <f ca="1">IF(ISNUMBER(MATCH(DATEVALUE($A336),'recurring1_based on steps'!C$1:C$400,0)),C$2,)</f>
        <v>0</v>
      </c>
      <c r="D336" s="179">
        <f ca="1">IF(ISNUMBER(MATCH(DATEVALUE($A336),'recurring1_based on steps'!D$1:D$400,0)),D$2,)</f>
        <v>0</v>
      </c>
      <c r="E336" s="179">
        <f ca="1">IF(ISNUMBER(MATCH(DATEVALUE($A336),'recurring1_based on steps'!E$1:E$400,0)),E$2,)</f>
        <v>0</v>
      </c>
      <c r="F336" s="179">
        <f ca="1">IF(ISNUMBER(MATCH(DATEVALUE($A336),'recurring1_based on steps'!F$1:F$400,0)),F$2,)</f>
        <v>0</v>
      </c>
      <c r="G336" s="179">
        <f ca="1">IF(ISNUMBER(MATCH(DATEVALUE($A336),'recurring1_based on steps'!G$1:G$400,0)),G$2,)</f>
        <v>0</v>
      </c>
      <c r="H336" s="179">
        <f ca="1">IF(ISNUMBER(MATCH(DATEVALUE($A336),'recurring1_based on steps'!H$1:H$400,0)),H$2,)</f>
        <v>0</v>
      </c>
      <c r="I336" s="179">
        <f ca="1">IF(ISNUMBER(MATCH(DATEVALUE($A336),'recurring1_based on steps'!I$1:I$400,0)),I$2,)</f>
        <v>0</v>
      </c>
      <c r="J336" s="179">
        <f ca="1">IF(ISNUMBER(MATCH(DATEVALUE($A336),'recurring1_based on steps'!J$1:J$400,0)),J$2,)</f>
        <v>0</v>
      </c>
      <c r="K336" s="179">
        <f ca="1">IF(ISNUMBER(MATCH(DATEVALUE($A336),'recurring1_based on steps'!K$1:K$400,0)),K$2,)</f>
        <v>0</v>
      </c>
      <c r="L336" s="179">
        <f ca="1">IF(ISNUMBER(MATCH(DATEVALUE($A336),'recurring1_based on steps'!L$1:L$400,0)),L$2,)</f>
        <v>0</v>
      </c>
      <c r="M336" s="179">
        <f ca="1">IF(ISNUMBER(MATCH(DATEVALUE($A336),'recurring1_based on steps'!M$1:M$400,0)),M$2,)</f>
        <v>0</v>
      </c>
      <c r="N336" s="179">
        <f ca="1">IF(ISNUMBER(MATCH(DATEVALUE($A336),'recurring1_based on steps'!N$1:N$400,0)),N$2,)</f>
        <v>0</v>
      </c>
      <c r="O336" s="179">
        <f ca="1">IF(ISNUMBER(MATCH(DATEVALUE($A336),'recurring1_based on steps'!O$1:O$400,0)),O$2,)</f>
        <v>0</v>
      </c>
      <c r="P336" s="179">
        <f ca="1">IF(ISNUMBER(MATCH(DATEVALUE($A336),'recurring1_based on steps'!P$1:P$400,0)),P$2,)</f>
        <v>0</v>
      </c>
      <c r="Q336" s="179">
        <f ca="1">IF(ISNUMBER(MATCH(DATEVALUE($A336),'recurring1_based on steps'!Q$1:Q$400,0)),Q$2,)</f>
        <v>0</v>
      </c>
      <c r="R336" s="179">
        <f ca="1">IF(ISNUMBER(MATCH(DATEVALUE($A336),'recurring1_based on steps'!R$1:R$400,0)),R$2,)</f>
        <v>0</v>
      </c>
      <c r="S336" s="179">
        <f ca="1">IF(ISNUMBER(MATCH(DATEVALUE($A336),'recurring1_based on steps'!S$1:S$400,0)),S$2,)</f>
        <v>0</v>
      </c>
      <c r="T336" s="179">
        <f ca="1">IF(ISNUMBER(MATCH(DATEVALUE($A336),'recurring1_based on steps'!T$1:T$400,0)),T$2,)</f>
        <v>0</v>
      </c>
      <c r="U336" s="179">
        <f ca="1">IF(ISNUMBER(MATCH(DATEVALUE($A336),'recurring1_based on steps'!U$1:U$400,0)),U$2,)</f>
        <v>0</v>
      </c>
      <c r="V336" s="179">
        <f ca="1">IF(ISNUMBER(MATCH(DATEVALUE($A336),'recurring1_based on steps'!V$1:V$400,0)),V$2,)</f>
        <v>0</v>
      </c>
      <c r="W336" s="179">
        <f ca="1">IF(ISNUMBER(MATCH(DATEVALUE($A336),'recurring1_based on steps'!W$1:W$400,0)),W$2,)</f>
        <v>0</v>
      </c>
      <c r="X336" s="179">
        <f ca="1">IF(ISNUMBER(MATCH(DATEVALUE($A336),'recurring1_based on steps'!X$1:X$400,0)),X$2,)</f>
        <v>0</v>
      </c>
      <c r="Y336" s="179">
        <f ca="1">IF(ISNUMBER(MATCH(DATEVALUE($A336),'recurring1_based on steps'!Y$1:Y$400,0)),Y$2,)</f>
        <v>0</v>
      </c>
      <c r="Z336" s="179">
        <f ca="1">IF(ISNUMBER(MATCH(DATEVALUE($A336),'recurring1_based on steps'!Z$1:Z$400,0)),Z$2,)</f>
        <v>0</v>
      </c>
      <c r="AA336" s="179">
        <f ca="1">IF(ISNUMBER(MATCH(DATEVALUE($A336),'recurring1_based on steps'!AA$1:AA$400,0)),AA$2,)</f>
        <v>0</v>
      </c>
      <c r="AB336" s="179">
        <f ca="1">IF(ISNUMBER(MATCH(DATEVALUE($A336),'recurring1_based on steps'!AB$1:AB$400,0)),AB$2,)</f>
        <v>0</v>
      </c>
      <c r="AC336" s="179">
        <f ca="1">IF(ISNUMBER(MATCH(DATEVALUE($A336),'recurring1_based on steps'!AC$1:AC$400,0)),AC$2,)</f>
        <v>0</v>
      </c>
      <c r="AD336" s="179">
        <f ca="1">IF(ISNUMBER(MATCH(DATEVALUE($A336),'recurring1_based on steps'!AD$1:AD$400,0)),AD$2,)</f>
        <v>0</v>
      </c>
      <c r="AE336" s="179">
        <f ca="1">IF(ISNUMBER(MATCH(DATEVALUE($A336),'recurring1_based on steps'!AE$1:AE$400,0)),AE$2,)</f>
        <v>0</v>
      </c>
      <c r="AF336" s="179">
        <f ca="1">IF(ISNUMBER(MATCH(DATEVALUE($A336),'recurring1_based on steps'!AF$1:AF$400,0)),AF$2,)</f>
        <v>0</v>
      </c>
      <c r="AG336" s="179">
        <f ca="1">IF(ISNUMBER(MATCH(DATEVALUE($A336),'recurring1_based on steps'!AG$1:AG$400,0)),AG$2,)</f>
        <v>0</v>
      </c>
      <c r="AH336" s="179">
        <f ca="1">IF(ISNUMBER(MATCH(DATEVALUE($A336),'recurring1_based on steps'!AH$1:AH$400,0)),AH$2,)</f>
        <v>0</v>
      </c>
      <c r="AI336" s="179">
        <f ca="1">IF(ISNUMBER(MATCH(DATEVALUE($A336),'recurring1_based on steps'!AI$1:AI$400,0)),AI$2,)</f>
        <v>0</v>
      </c>
      <c r="AJ336" s="179">
        <f ca="1">IF(ISNUMBER(MATCH(DATEVALUE($A336),'recurring1_based on steps'!AJ$1:AJ$400,0)),AJ$2,)</f>
        <v>0</v>
      </c>
      <c r="AK336" s="179">
        <f ca="1">IF(ISNUMBER(MATCH(DATEVALUE($A336),'recurring1_based on steps'!AK$1:AK$400,0)),AK$2,)</f>
        <v>0</v>
      </c>
      <c r="AL336" s="179">
        <f ca="1">IF(ISNUMBER(MATCH(DATEVALUE($A336),'recurring1_based on steps'!AL$1:AL$400,0)),AL$2,)</f>
        <v>0</v>
      </c>
      <c r="AM336" s="179">
        <f ca="1">IF(ISNUMBER(MATCH(DATEVALUE($A336),'recurring1_based on steps'!AM$1:AM$400,0)),AM$2,)</f>
        <v>0</v>
      </c>
      <c r="AN336" s="179">
        <f ca="1">IF(ISNUMBER(MATCH(DATEVALUE($A336),'recurring1_based on steps'!AN$1:AN$400,0)),AN$2,)</f>
        <v>0</v>
      </c>
      <c r="AO336" s="179">
        <f ca="1">IF(ISNUMBER(MATCH(DATEVALUE($A336),'recurring1_based on steps'!AO$1:AO$400,0)),AO$2,)</f>
        <v>0</v>
      </c>
      <c r="AP336" s="179">
        <f ca="1">IF(ISNUMBER(MATCH(DATEVALUE($A336),'recurring1_based on steps'!AP$1:AP$400,0)),AP$2,)</f>
        <v>0</v>
      </c>
      <c r="AQ336" s="179">
        <f ca="1">IF(ISNUMBER(MATCH(DATEVALUE($A336),'recurring1_based on steps'!AQ$1:AQ$400,0)),AQ$2,)</f>
        <v>0</v>
      </c>
      <c r="AR336" s="179">
        <f ca="1">IF(ISNUMBER(MATCH(DATEVALUE($A336),'recurring1_based on steps'!AR$1:AR$400,0)),AR$2,)</f>
        <v>0</v>
      </c>
      <c r="AS336" s="179">
        <f ca="1">IF(ISNUMBER(MATCH(DATEVALUE($A336),'recurring1_based on steps'!AS$1:AS$400,0)),AS$2,)</f>
        <v>0</v>
      </c>
      <c r="AT336" s="179">
        <f ca="1">IF(ISNUMBER(MATCH(DATEVALUE($A336),'recurring1_based on steps'!AT$1:AT$400,0)),AT$2,)</f>
        <v>0</v>
      </c>
      <c r="AU336" s="179">
        <f ca="1">IF(ISNUMBER(MATCH(DATEVALUE($A336),'recurring1_based on steps'!AU$1:AU$400,0)),AU$2,)</f>
        <v>0</v>
      </c>
      <c r="AV336" s="179">
        <f ca="1">IF(ISNUMBER(MATCH(DATEVALUE($A336),'recurring1_based on steps'!AV$1:AV$400,0)),AV$2,)</f>
        <v>0</v>
      </c>
      <c r="AW336" s="179">
        <f ca="1">IF(ISNUMBER(MATCH(DATEVALUE($A336),'recurring1_based on steps'!AW$1:AW$400,0)),AW$2,)</f>
        <v>0</v>
      </c>
      <c r="AX336" s="179">
        <f ca="1">IF(ISNUMBER(MATCH(DATEVALUE($A336),'recurring1_based on steps'!AX$1:AX$400,0)),AX$2,)</f>
        <v>0</v>
      </c>
      <c r="AY336" s="179">
        <f ca="1">IF(ISNUMBER(MATCH(DATEVALUE($A336),'recurring1_based on steps'!AY$1:AY$400,0)),AY$2,)</f>
        <v>0</v>
      </c>
    </row>
    <row r="337" spans="1:51" x14ac:dyDescent="0.2">
      <c r="A337" s="32" t="str">
        <f t="shared" ca="1" si="5"/>
        <v>2026-03-05</v>
      </c>
      <c r="B337" s="179">
        <f ca="1">IF(ISNUMBER(MATCH(DATEVALUE($A337),'recurring1_based on steps'!B$1:B$400,0)),B$2,)</f>
        <v>0</v>
      </c>
      <c r="C337" s="179">
        <f ca="1">IF(ISNUMBER(MATCH(DATEVALUE($A337),'recurring1_based on steps'!C$1:C$400,0)),C$2,)</f>
        <v>0</v>
      </c>
      <c r="D337" s="179">
        <f ca="1">IF(ISNUMBER(MATCH(DATEVALUE($A337),'recurring1_based on steps'!D$1:D$400,0)),D$2,)</f>
        <v>0</v>
      </c>
      <c r="E337" s="179">
        <f ca="1">IF(ISNUMBER(MATCH(DATEVALUE($A337),'recurring1_based on steps'!E$1:E$400,0)),E$2,)</f>
        <v>0</v>
      </c>
      <c r="F337" s="179">
        <f ca="1">IF(ISNUMBER(MATCH(DATEVALUE($A337),'recurring1_based on steps'!F$1:F$400,0)),F$2,)</f>
        <v>0</v>
      </c>
      <c r="G337" s="179">
        <f ca="1">IF(ISNUMBER(MATCH(DATEVALUE($A337),'recurring1_based on steps'!G$1:G$400,0)),G$2,)</f>
        <v>0</v>
      </c>
      <c r="H337" s="179">
        <f ca="1">IF(ISNUMBER(MATCH(DATEVALUE($A337),'recurring1_based on steps'!H$1:H$400,0)),H$2,)</f>
        <v>0</v>
      </c>
      <c r="I337" s="179">
        <f ca="1">IF(ISNUMBER(MATCH(DATEVALUE($A337),'recurring1_based on steps'!I$1:I$400,0)),I$2,)</f>
        <v>0</v>
      </c>
      <c r="J337" s="179">
        <f ca="1">IF(ISNUMBER(MATCH(DATEVALUE($A337),'recurring1_based on steps'!J$1:J$400,0)),J$2,)</f>
        <v>0</v>
      </c>
      <c r="K337" s="179">
        <f ca="1">IF(ISNUMBER(MATCH(DATEVALUE($A337),'recurring1_based on steps'!K$1:K$400,0)),K$2,)</f>
        <v>0</v>
      </c>
      <c r="L337" s="179">
        <f ca="1">IF(ISNUMBER(MATCH(DATEVALUE($A337),'recurring1_based on steps'!L$1:L$400,0)),L$2,)</f>
        <v>0</v>
      </c>
      <c r="M337" s="179">
        <f ca="1">IF(ISNUMBER(MATCH(DATEVALUE($A337),'recurring1_based on steps'!M$1:M$400,0)),M$2,)</f>
        <v>0</v>
      </c>
      <c r="N337" s="179">
        <f ca="1">IF(ISNUMBER(MATCH(DATEVALUE($A337),'recurring1_based on steps'!N$1:N$400,0)),N$2,)</f>
        <v>0</v>
      </c>
      <c r="O337" s="179">
        <f ca="1">IF(ISNUMBER(MATCH(DATEVALUE($A337),'recurring1_based on steps'!O$1:O$400,0)),O$2,)</f>
        <v>0</v>
      </c>
      <c r="P337" s="179">
        <f ca="1">IF(ISNUMBER(MATCH(DATEVALUE($A337),'recurring1_based on steps'!P$1:P$400,0)),P$2,)</f>
        <v>0</v>
      </c>
      <c r="Q337" s="179">
        <f ca="1">IF(ISNUMBER(MATCH(DATEVALUE($A337),'recurring1_based on steps'!Q$1:Q$400,0)),Q$2,)</f>
        <v>0</v>
      </c>
      <c r="R337" s="179">
        <f ca="1">IF(ISNUMBER(MATCH(DATEVALUE($A337),'recurring1_based on steps'!R$1:R$400,0)),R$2,)</f>
        <v>0</v>
      </c>
      <c r="S337" s="179">
        <f ca="1">IF(ISNUMBER(MATCH(DATEVALUE($A337),'recurring1_based on steps'!S$1:S$400,0)),S$2,)</f>
        <v>0</v>
      </c>
      <c r="T337" s="179">
        <f ca="1">IF(ISNUMBER(MATCH(DATEVALUE($A337),'recurring1_based on steps'!T$1:T$400,0)),T$2,)</f>
        <v>0</v>
      </c>
      <c r="U337" s="179">
        <f ca="1">IF(ISNUMBER(MATCH(DATEVALUE($A337),'recurring1_based on steps'!U$1:U$400,0)),U$2,)</f>
        <v>0</v>
      </c>
      <c r="V337" s="179">
        <f ca="1">IF(ISNUMBER(MATCH(DATEVALUE($A337),'recurring1_based on steps'!V$1:V$400,0)),V$2,)</f>
        <v>0</v>
      </c>
      <c r="W337" s="179">
        <f ca="1">IF(ISNUMBER(MATCH(DATEVALUE($A337),'recurring1_based on steps'!W$1:W$400,0)),W$2,)</f>
        <v>0</v>
      </c>
      <c r="X337" s="179">
        <f ca="1">IF(ISNUMBER(MATCH(DATEVALUE($A337),'recurring1_based on steps'!X$1:X$400,0)),X$2,)</f>
        <v>0</v>
      </c>
      <c r="Y337" s="179">
        <f ca="1">IF(ISNUMBER(MATCH(DATEVALUE($A337),'recurring1_based on steps'!Y$1:Y$400,0)),Y$2,)</f>
        <v>0</v>
      </c>
      <c r="Z337" s="179">
        <f ca="1">IF(ISNUMBER(MATCH(DATEVALUE($A337),'recurring1_based on steps'!Z$1:Z$400,0)),Z$2,)</f>
        <v>0</v>
      </c>
      <c r="AA337" s="179">
        <f ca="1">IF(ISNUMBER(MATCH(DATEVALUE($A337),'recurring1_based on steps'!AA$1:AA$400,0)),AA$2,)</f>
        <v>0</v>
      </c>
      <c r="AB337" s="179">
        <f ca="1">IF(ISNUMBER(MATCH(DATEVALUE($A337),'recurring1_based on steps'!AB$1:AB$400,0)),AB$2,)</f>
        <v>0</v>
      </c>
      <c r="AC337" s="179">
        <f ca="1">IF(ISNUMBER(MATCH(DATEVALUE($A337),'recurring1_based on steps'!AC$1:AC$400,0)),AC$2,)</f>
        <v>0</v>
      </c>
      <c r="AD337" s="179">
        <f ca="1">IF(ISNUMBER(MATCH(DATEVALUE($A337),'recurring1_based on steps'!AD$1:AD$400,0)),AD$2,)</f>
        <v>0</v>
      </c>
      <c r="AE337" s="179">
        <f ca="1">IF(ISNUMBER(MATCH(DATEVALUE($A337),'recurring1_based on steps'!AE$1:AE$400,0)),AE$2,)</f>
        <v>0</v>
      </c>
      <c r="AF337" s="179">
        <f ca="1">IF(ISNUMBER(MATCH(DATEVALUE($A337),'recurring1_based on steps'!AF$1:AF$400,0)),AF$2,)</f>
        <v>0</v>
      </c>
      <c r="AG337" s="179">
        <f ca="1">IF(ISNUMBER(MATCH(DATEVALUE($A337),'recurring1_based on steps'!AG$1:AG$400,0)),AG$2,)</f>
        <v>0</v>
      </c>
      <c r="AH337" s="179">
        <f ca="1">IF(ISNUMBER(MATCH(DATEVALUE($A337),'recurring1_based on steps'!AH$1:AH$400,0)),AH$2,)</f>
        <v>0</v>
      </c>
      <c r="AI337" s="179">
        <f ca="1">IF(ISNUMBER(MATCH(DATEVALUE($A337),'recurring1_based on steps'!AI$1:AI$400,0)),AI$2,)</f>
        <v>0</v>
      </c>
      <c r="AJ337" s="179">
        <f ca="1">IF(ISNUMBER(MATCH(DATEVALUE($A337),'recurring1_based on steps'!AJ$1:AJ$400,0)),AJ$2,)</f>
        <v>0</v>
      </c>
      <c r="AK337" s="179">
        <f ca="1">IF(ISNUMBER(MATCH(DATEVALUE($A337),'recurring1_based on steps'!AK$1:AK$400,0)),AK$2,)</f>
        <v>0</v>
      </c>
      <c r="AL337" s="179">
        <f ca="1">IF(ISNUMBER(MATCH(DATEVALUE($A337),'recurring1_based on steps'!AL$1:AL$400,0)),AL$2,)</f>
        <v>0</v>
      </c>
      <c r="AM337" s="179">
        <f ca="1">IF(ISNUMBER(MATCH(DATEVALUE($A337),'recurring1_based on steps'!AM$1:AM$400,0)),AM$2,)</f>
        <v>0</v>
      </c>
      <c r="AN337" s="179">
        <f ca="1">IF(ISNUMBER(MATCH(DATEVALUE($A337),'recurring1_based on steps'!AN$1:AN$400,0)),AN$2,)</f>
        <v>0</v>
      </c>
      <c r="AO337" s="179">
        <f ca="1">IF(ISNUMBER(MATCH(DATEVALUE($A337),'recurring1_based on steps'!AO$1:AO$400,0)),AO$2,)</f>
        <v>0</v>
      </c>
      <c r="AP337" s="179">
        <f ca="1">IF(ISNUMBER(MATCH(DATEVALUE($A337),'recurring1_based on steps'!AP$1:AP$400,0)),AP$2,)</f>
        <v>0</v>
      </c>
      <c r="AQ337" s="179">
        <f ca="1">IF(ISNUMBER(MATCH(DATEVALUE($A337),'recurring1_based on steps'!AQ$1:AQ$400,0)),AQ$2,)</f>
        <v>0</v>
      </c>
      <c r="AR337" s="179">
        <f ca="1">IF(ISNUMBER(MATCH(DATEVALUE($A337),'recurring1_based on steps'!AR$1:AR$400,0)),AR$2,)</f>
        <v>0</v>
      </c>
      <c r="AS337" s="179">
        <f ca="1">IF(ISNUMBER(MATCH(DATEVALUE($A337),'recurring1_based on steps'!AS$1:AS$400,0)),AS$2,)</f>
        <v>0</v>
      </c>
      <c r="AT337" s="179">
        <f ca="1">IF(ISNUMBER(MATCH(DATEVALUE($A337),'recurring1_based on steps'!AT$1:AT$400,0)),AT$2,)</f>
        <v>0</v>
      </c>
      <c r="AU337" s="179">
        <f ca="1">IF(ISNUMBER(MATCH(DATEVALUE($A337),'recurring1_based on steps'!AU$1:AU$400,0)),AU$2,)</f>
        <v>0</v>
      </c>
      <c r="AV337" s="179">
        <f ca="1">IF(ISNUMBER(MATCH(DATEVALUE($A337),'recurring1_based on steps'!AV$1:AV$400,0)),AV$2,)</f>
        <v>0</v>
      </c>
      <c r="AW337" s="179">
        <f ca="1">IF(ISNUMBER(MATCH(DATEVALUE($A337),'recurring1_based on steps'!AW$1:AW$400,0)),AW$2,)</f>
        <v>0</v>
      </c>
      <c r="AX337" s="179">
        <f ca="1">IF(ISNUMBER(MATCH(DATEVALUE($A337),'recurring1_based on steps'!AX$1:AX$400,0)),AX$2,)</f>
        <v>0</v>
      </c>
      <c r="AY337" s="179">
        <f ca="1">IF(ISNUMBER(MATCH(DATEVALUE($A337),'recurring1_based on steps'!AY$1:AY$400,0)),AY$2,)</f>
        <v>0</v>
      </c>
    </row>
    <row r="338" spans="1:51" x14ac:dyDescent="0.2">
      <c r="A338" s="32" t="str">
        <f t="shared" ca="1" si="5"/>
        <v>2026-03-06</v>
      </c>
      <c r="B338" s="179">
        <f ca="1">IF(ISNUMBER(MATCH(DATEVALUE($A338),'recurring1_based on steps'!B$1:B$400,0)),B$2,)</f>
        <v>0</v>
      </c>
      <c r="C338" s="179">
        <f ca="1">IF(ISNUMBER(MATCH(DATEVALUE($A338),'recurring1_based on steps'!C$1:C$400,0)),C$2,)</f>
        <v>0</v>
      </c>
      <c r="D338" s="179">
        <f ca="1">IF(ISNUMBER(MATCH(DATEVALUE($A338),'recurring1_based on steps'!D$1:D$400,0)),D$2,)</f>
        <v>0</v>
      </c>
      <c r="E338" s="179">
        <f ca="1">IF(ISNUMBER(MATCH(DATEVALUE($A338),'recurring1_based on steps'!E$1:E$400,0)),E$2,)</f>
        <v>0</v>
      </c>
      <c r="F338" s="179">
        <f ca="1">IF(ISNUMBER(MATCH(DATEVALUE($A338),'recurring1_based on steps'!F$1:F$400,0)),F$2,)</f>
        <v>0</v>
      </c>
      <c r="G338" s="179">
        <f ca="1">IF(ISNUMBER(MATCH(DATEVALUE($A338),'recurring1_based on steps'!G$1:G$400,0)),G$2,)</f>
        <v>0</v>
      </c>
      <c r="H338" s="179">
        <f ca="1">IF(ISNUMBER(MATCH(DATEVALUE($A338),'recurring1_based on steps'!H$1:H$400,0)),H$2,)</f>
        <v>0</v>
      </c>
      <c r="I338" s="179">
        <f ca="1">IF(ISNUMBER(MATCH(DATEVALUE($A338),'recurring1_based on steps'!I$1:I$400,0)),I$2,)</f>
        <v>0</v>
      </c>
      <c r="J338" s="179">
        <f ca="1">IF(ISNUMBER(MATCH(DATEVALUE($A338),'recurring1_based on steps'!J$1:J$400,0)),J$2,)</f>
        <v>0</v>
      </c>
      <c r="K338" s="179">
        <f ca="1">IF(ISNUMBER(MATCH(DATEVALUE($A338),'recurring1_based on steps'!K$1:K$400,0)),K$2,)</f>
        <v>0</v>
      </c>
      <c r="L338" s="179">
        <f ca="1">IF(ISNUMBER(MATCH(DATEVALUE($A338),'recurring1_based on steps'!L$1:L$400,0)),L$2,)</f>
        <v>0</v>
      </c>
      <c r="M338" s="179">
        <f ca="1">IF(ISNUMBER(MATCH(DATEVALUE($A338),'recurring1_based on steps'!M$1:M$400,0)),M$2,)</f>
        <v>0</v>
      </c>
      <c r="N338" s="179">
        <f ca="1">IF(ISNUMBER(MATCH(DATEVALUE($A338),'recurring1_based on steps'!N$1:N$400,0)),N$2,)</f>
        <v>0</v>
      </c>
      <c r="O338" s="179">
        <f ca="1">IF(ISNUMBER(MATCH(DATEVALUE($A338),'recurring1_based on steps'!O$1:O$400,0)),O$2,)</f>
        <v>0</v>
      </c>
      <c r="P338" s="179">
        <f ca="1">IF(ISNUMBER(MATCH(DATEVALUE($A338),'recurring1_based on steps'!P$1:P$400,0)),P$2,)</f>
        <v>0</v>
      </c>
      <c r="Q338" s="179">
        <f ca="1">IF(ISNUMBER(MATCH(DATEVALUE($A338),'recurring1_based on steps'!Q$1:Q$400,0)),Q$2,)</f>
        <v>0</v>
      </c>
      <c r="R338" s="179">
        <f ca="1">IF(ISNUMBER(MATCH(DATEVALUE($A338),'recurring1_based on steps'!R$1:R$400,0)),R$2,)</f>
        <v>0</v>
      </c>
      <c r="S338" s="179">
        <f ca="1">IF(ISNUMBER(MATCH(DATEVALUE($A338),'recurring1_based on steps'!S$1:S$400,0)),S$2,)</f>
        <v>0</v>
      </c>
      <c r="T338" s="179">
        <f ca="1">IF(ISNUMBER(MATCH(DATEVALUE($A338),'recurring1_based on steps'!T$1:T$400,0)),T$2,)</f>
        <v>0</v>
      </c>
      <c r="U338" s="179">
        <f ca="1">IF(ISNUMBER(MATCH(DATEVALUE($A338),'recurring1_based on steps'!U$1:U$400,0)),U$2,)</f>
        <v>0</v>
      </c>
      <c r="V338" s="179">
        <f ca="1">IF(ISNUMBER(MATCH(DATEVALUE($A338),'recurring1_based on steps'!V$1:V$400,0)),V$2,)</f>
        <v>0</v>
      </c>
      <c r="W338" s="179">
        <f ca="1">IF(ISNUMBER(MATCH(DATEVALUE($A338),'recurring1_based on steps'!W$1:W$400,0)),W$2,)</f>
        <v>0</v>
      </c>
      <c r="X338" s="179">
        <f ca="1">IF(ISNUMBER(MATCH(DATEVALUE($A338),'recurring1_based on steps'!X$1:X$400,0)),X$2,)</f>
        <v>0</v>
      </c>
      <c r="Y338" s="179">
        <f ca="1">IF(ISNUMBER(MATCH(DATEVALUE($A338),'recurring1_based on steps'!Y$1:Y$400,0)),Y$2,)</f>
        <v>0</v>
      </c>
      <c r="Z338" s="179">
        <f ca="1">IF(ISNUMBER(MATCH(DATEVALUE($A338),'recurring1_based on steps'!Z$1:Z$400,0)),Z$2,)</f>
        <v>0</v>
      </c>
      <c r="AA338" s="179">
        <f ca="1">IF(ISNUMBER(MATCH(DATEVALUE($A338),'recurring1_based on steps'!AA$1:AA$400,0)),AA$2,)</f>
        <v>0</v>
      </c>
      <c r="AB338" s="179">
        <f ca="1">IF(ISNUMBER(MATCH(DATEVALUE($A338),'recurring1_based on steps'!AB$1:AB$400,0)),AB$2,)</f>
        <v>0</v>
      </c>
      <c r="AC338" s="179">
        <f ca="1">IF(ISNUMBER(MATCH(DATEVALUE($A338),'recurring1_based on steps'!AC$1:AC$400,0)),AC$2,)</f>
        <v>0</v>
      </c>
      <c r="AD338" s="179">
        <f ca="1">IF(ISNUMBER(MATCH(DATEVALUE($A338),'recurring1_based on steps'!AD$1:AD$400,0)),AD$2,)</f>
        <v>0</v>
      </c>
      <c r="AE338" s="179">
        <f ca="1">IF(ISNUMBER(MATCH(DATEVALUE($A338),'recurring1_based on steps'!AE$1:AE$400,0)),AE$2,)</f>
        <v>0</v>
      </c>
      <c r="AF338" s="179">
        <f ca="1">IF(ISNUMBER(MATCH(DATEVALUE($A338),'recurring1_based on steps'!AF$1:AF$400,0)),AF$2,)</f>
        <v>0</v>
      </c>
      <c r="AG338" s="179">
        <f ca="1">IF(ISNUMBER(MATCH(DATEVALUE($A338),'recurring1_based on steps'!AG$1:AG$400,0)),AG$2,)</f>
        <v>0</v>
      </c>
      <c r="AH338" s="179">
        <f ca="1">IF(ISNUMBER(MATCH(DATEVALUE($A338),'recurring1_based on steps'!AH$1:AH$400,0)),AH$2,)</f>
        <v>0</v>
      </c>
      <c r="AI338" s="179">
        <f ca="1">IF(ISNUMBER(MATCH(DATEVALUE($A338),'recurring1_based on steps'!AI$1:AI$400,0)),AI$2,)</f>
        <v>0</v>
      </c>
      <c r="AJ338" s="179">
        <f ca="1">IF(ISNUMBER(MATCH(DATEVALUE($A338),'recurring1_based on steps'!AJ$1:AJ$400,0)),AJ$2,)</f>
        <v>0</v>
      </c>
      <c r="AK338" s="179">
        <f ca="1">IF(ISNUMBER(MATCH(DATEVALUE($A338),'recurring1_based on steps'!AK$1:AK$400,0)),AK$2,)</f>
        <v>0</v>
      </c>
      <c r="AL338" s="179">
        <f ca="1">IF(ISNUMBER(MATCH(DATEVALUE($A338),'recurring1_based on steps'!AL$1:AL$400,0)),AL$2,)</f>
        <v>0</v>
      </c>
      <c r="AM338" s="179">
        <f ca="1">IF(ISNUMBER(MATCH(DATEVALUE($A338),'recurring1_based on steps'!AM$1:AM$400,0)),AM$2,)</f>
        <v>0</v>
      </c>
      <c r="AN338" s="179">
        <f ca="1">IF(ISNUMBER(MATCH(DATEVALUE($A338),'recurring1_based on steps'!AN$1:AN$400,0)),AN$2,)</f>
        <v>0</v>
      </c>
      <c r="AO338" s="179">
        <f ca="1">IF(ISNUMBER(MATCH(DATEVALUE($A338),'recurring1_based on steps'!AO$1:AO$400,0)),AO$2,)</f>
        <v>0</v>
      </c>
      <c r="AP338" s="179">
        <f ca="1">IF(ISNUMBER(MATCH(DATEVALUE($A338),'recurring1_based on steps'!AP$1:AP$400,0)),AP$2,)</f>
        <v>0</v>
      </c>
      <c r="AQ338" s="179">
        <f ca="1">IF(ISNUMBER(MATCH(DATEVALUE($A338),'recurring1_based on steps'!AQ$1:AQ$400,0)),AQ$2,)</f>
        <v>0</v>
      </c>
      <c r="AR338" s="179">
        <f ca="1">IF(ISNUMBER(MATCH(DATEVALUE($A338),'recurring1_based on steps'!AR$1:AR$400,0)),AR$2,)</f>
        <v>0</v>
      </c>
      <c r="AS338" s="179">
        <f ca="1">IF(ISNUMBER(MATCH(DATEVALUE($A338),'recurring1_based on steps'!AS$1:AS$400,0)),AS$2,)</f>
        <v>0</v>
      </c>
      <c r="AT338" s="179">
        <f ca="1">IF(ISNUMBER(MATCH(DATEVALUE($A338),'recurring1_based on steps'!AT$1:AT$400,0)),AT$2,)</f>
        <v>0</v>
      </c>
      <c r="AU338" s="179">
        <f ca="1">IF(ISNUMBER(MATCH(DATEVALUE($A338),'recurring1_based on steps'!AU$1:AU$400,0)),AU$2,)</f>
        <v>0</v>
      </c>
      <c r="AV338" s="179">
        <f ca="1">IF(ISNUMBER(MATCH(DATEVALUE($A338),'recurring1_based on steps'!AV$1:AV$400,0)),AV$2,)</f>
        <v>0</v>
      </c>
      <c r="AW338" s="179">
        <f ca="1">IF(ISNUMBER(MATCH(DATEVALUE($A338),'recurring1_based on steps'!AW$1:AW$400,0)),AW$2,)</f>
        <v>0</v>
      </c>
      <c r="AX338" s="179">
        <f ca="1">IF(ISNUMBER(MATCH(DATEVALUE($A338),'recurring1_based on steps'!AX$1:AX$400,0)),AX$2,)</f>
        <v>0</v>
      </c>
      <c r="AY338" s="179">
        <f ca="1">IF(ISNUMBER(MATCH(DATEVALUE($A338),'recurring1_based on steps'!AY$1:AY$400,0)),AY$2,)</f>
        <v>0</v>
      </c>
    </row>
    <row r="339" spans="1:51" x14ac:dyDescent="0.2">
      <c r="A339" s="32" t="str">
        <f t="shared" ca="1" si="5"/>
        <v>2026-03-07</v>
      </c>
      <c r="B339" s="179">
        <f ca="1">IF(ISNUMBER(MATCH(DATEVALUE($A339),'recurring1_based on steps'!B$1:B$400,0)),B$2,)</f>
        <v>0</v>
      </c>
      <c r="C339" s="179">
        <f ca="1">IF(ISNUMBER(MATCH(DATEVALUE($A339),'recurring1_based on steps'!C$1:C$400,0)),C$2,)</f>
        <v>0</v>
      </c>
      <c r="D339" s="179">
        <f ca="1">IF(ISNUMBER(MATCH(DATEVALUE($A339),'recurring1_based on steps'!D$1:D$400,0)),D$2,)</f>
        <v>0</v>
      </c>
      <c r="E339" s="179">
        <f ca="1">IF(ISNUMBER(MATCH(DATEVALUE($A339),'recurring1_based on steps'!E$1:E$400,0)),E$2,)</f>
        <v>0</v>
      </c>
      <c r="F339" s="179">
        <f ca="1">IF(ISNUMBER(MATCH(DATEVALUE($A339),'recurring1_based on steps'!F$1:F$400,0)),F$2,)</f>
        <v>0</v>
      </c>
      <c r="G339" s="179">
        <f ca="1">IF(ISNUMBER(MATCH(DATEVALUE($A339),'recurring1_based on steps'!G$1:G$400,0)),G$2,)</f>
        <v>0</v>
      </c>
      <c r="H339" s="179">
        <f ca="1">IF(ISNUMBER(MATCH(DATEVALUE($A339),'recurring1_based on steps'!H$1:H$400,0)),H$2,)</f>
        <v>0</v>
      </c>
      <c r="I339" s="179">
        <f ca="1">IF(ISNUMBER(MATCH(DATEVALUE($A339),'recurring1_based on steps'!I$1:I$400,0)),I$2,)</f>
        <v>0</v>
      </c>
      <c r="J339" s="179">
        <f ca="1">IF(ISNUMBER(MATCH(DATEVALUE($A339),'recurring1_based on steps'!J$1:J$400,0)),J$2,)</f>
        <v>0</v>
      </c>
      <c r="K339" s="179">
        <f ca="1">IF(ISNUMBER(MATCH(DATEVALUE($A339),'recurring1_based on steps'!K$1:K$400,0)),K$2,)</f>
        <v>0</v>
      </c>
      <c r="L339" s="179">
        <f ca="1">IF(ISNUMBER(MATCH(DATEVALUE($A339),'recurring1_based on steps'!L$1:L$400,0)),L$2,)</f>
        <v>0</v>
      </c>
      <c r="M339" s="179">
        <f ca="1">IF(ISNUMBER(MATCH(DATEVALUE($A339),'recurring1_based on steps'!M$1:M$400,0)),M$2,)</f>
        <v>0</v>
      </c>
      <c r="N339" s="179">
        <f ca="1">IF(ISNUMBER(MATCH(DATEVALUE($A339),'recurring1_based on steps'!N$1:N$400,0)),N$2,)</f>
        <v>0</v>
      </c>
      <c r="O339" s="179">
        <f ca="1">IF(ISNUMBER(MATCH(DATEVALUE($A339),'recurring1_based on steps'!O$1:O$400,0)),O$2,)</f>
        <v>0</v>
      </c>
      <c r="P339" s="179">
        <f ca="1">IF(ISNUMBER(MATCH(DATEVALUE($A339),'recurring1_based on steps'!P$1:P$400,0)),P$2,)</f>
        <v>0</v>
      </c>
      <c r="Q339" s="179">
        <f ca="1">IF(ISNUMBER(MATCH(DATEVALUE($A339),'recurring1_based on steps'!Q$1:Q$400,0)),Q$2,)</f>
        <v>0</v>
      </c>
      <c r="R339" s="179">
        <f ca="1">IF(ISNUMBER(MATCH(DATEVALUE($A339),'recurring1_based on steps'!R$1:R$400,0)),R$2,)</f>
        <v>0</v>
      </c>
      <c r="S339" s="179">
        <f ca="1">IF(ISNUMBER(MATCH(DATEVALUE($A339),'recurring1_based on steps'!S$1:S$400,0)),S$2,)</f>
        <v>0</v>
      </c>
      <c r="T339" s="179">
        <f ca="1">IF(ISNUMBER(MATCH(DATEVALUE($A339),'recurring1_based on steps'!T$1:T$400,0)),T$2,)</f>
        <v>0</v>
      </c>
      <c r="U339" s="179">
        <f ca="1">IF(ISNUMBER(MATCH(DATEVALUE($A339),'recurring1_based on steps'!U$1:U$400,0)),U$2,)</f>
        <v>0</v>
      </c>
      <c r="V339" s="179">
        <f ca="1">IF(ISNUMBER(MATCH(DATEVALUE($A339),'recurring1_based on steps'!V$1:V$400,0)),V$2,)</f>
        <v>0</v>
      </c>
      <c r="W339" s="179">
        <f ca="1">IF(ISNUMBER(MATCH(DATEVALUE($A339),'recurring1_based on steps'!W$1:W$400,0)),W$2,)</f>
        <v>0</v>
      </c>
      <c r="X339" s="179">
        <f ca="1">IF(ISNUMBER(MATCH(DATEVALUE($A339),'recurring1_based on steps'!X$1:X$400,0)),X$2,)</f>
        <v>0</v>
      </c>
      <c r="Y339" s="179">
        <f ca="1">IF(ISNUMBER(MATCH(DATEVALUE($A339),'recurring1_based on steps'!Y$1:Y$400,0)),Y$2,)</f>
        <v>0</v>
      </c>
      <c r="Z339" s="179">
        <f ca="1">IF(ISNUMBER(MATCH(DATEVALUE($A339),'recurring1_based on steps'!Z$1:Z$400,0)),Z$2,)</f>
        <v>0</v>
      </c>
      <c r="AA339" s="179">
        <f ca="1">IF(ISNUMBER(MATCH(DATEVALUE($A339),'recurring1_based on steps'!AA$1:AA$400,0)),AA$2,)</f>
        <v>0</v>
      </c>
      <c r="AB339" s="179">
        <f ca="1">IF(ISNUMBER(MATCH(DATEVALUE($A339),'recurring1_based on steps'!AB$1:AB$400,0)),AB$2,)</f>
        <v>0</v>
      </c>
      <c r="AC339" s="179">
        <f ca="1">IF(ISNUMBER(MATCH(DATEVALUE($A339),'recurring1_based on steps'!AC$1:AC$400,0)),AC$2,)</f>
        <v>0</v>
      </c>
      <c r="AD339" s="179">
        <f ca="1">IF(ISNUMBER(MATCH(DATEVALUE($A339),'recurring1_based on steps'!AD$1:AD$400,0)),AD$2,)</f>
        <v>0</v>
      </c>
      <c r="AE339" s="179">
        <f ca="1">IF(ISNUMBER(MATCH(DATEVALUE($A339),'recurring1_based on steps'!AE$1:AE$400,0)),AE$2,)</f>
        <v>0</v>
      </c>
      <c r="AF339" s="179">
        <f ca="1">IF(ISNUMBER(MATCH(DATEVALUE($A339),'recurring1_based on steps'!AF$1:AF$400,0)),AF$2,)</f>
        <v>0</v>
      </c>
      <c r="AG339" s="179">
        <f ca="1">IF(ISNUMBER(MATCH(DATEVALUE($A339),'recurring1_based on steps'!AG$1:AG$400,0)),AG$2,)</f>
        <v>0</v>
      </c>
      <c r="AH339" s="179">
        <f ca="1">IF(ISNUMBER(MATCH(DATEVALUE($A339),'recurring1_based on steps'!AH$1:AH$400,0)),AH$2,)</f>
        <v>0</v>
      </c>
      <c r="AI339" s="179">
        <f ca="1">IF(ISNUMBER(MATCH(DATEVALUE($A339),'recurring1_based on steps'!AI$1:AI$400,0)),AI$2,)</f>
        <v>0</v>
      </c>
      <c r="AJ339" s="179">
        <f ca="1">IF(ISNUMBER(MATCH(DATEVALUE($A339),'recurring1_based on steps'!AJ$1:AJ$400,0)),AJ$2,)</f>
        <v>0</v>
      </c>
      <c r="AK339" s="179">
        <f ca="1">IF(ISNUMBER(MATCH(DATEVALUE($A339),'recurring1_based on steps'!AK$1:AK$400,0)),AK$2,)</f>
        <v>0</v>
      </c>
      <c r="AL339" s="179">
        <f ca="1">IF(ISNUMBER(MATCH(DATEVALUE($A339),'recurring1_based on steps'!AL$1:AL$400,0)),AL$2,)</f>
        <v>0</v>
      </c>
      <c r="AM339" s="179">
        <f ca="1">IF(ISNUMBER(MATCH(DATEVALUE($A339),'recurring1_based on steps'!AM$1:AM$400,0)),AM$2,)</f>
        <v>0</v>
      </c>
      <c r="AN339" s="179">
        <f ca="1">IF(ISNUMBER(MATCH(DATEVALUE($A339),'recurring1_based on steps'!AN$1:AN$400,0)),AN$2,)</f>
        <v>0</v>
      </c>
      <c r="AO339" s="179">
        <f ca="1">IF(ISNUMBER(MATCH(DATEVALUE($A339),'recurring1_based on steps'!AO$1:AO$400,0)),AO$2,)</f>
        <v>0</v>
      </c>
      <c r="AP339" s="179">
        <f ca="1">IF(ISNUMBER(MATCH(DATEVALUE($A339),'recurring1_based on steps'!AP$1:AP$400,0)),AP$2,)</f>
        <v>0</v>
      </c>
      <c r="AQ339" s="179">
        <f ca="1">IF(ISNUMBER(MATCH(DATEVALUE($A339),'recurring1_based on steps'!AQ$1:AQ$400,0)),AQ$2,)</f>
        <v>0</v>
      </c>
      <c r="AR339" s="179">
        <f ca="1">IF(ISNUMBER(MATCH(DATEVALUE($A339),'recurring1_based on steps'!AR$1:AR$400,0)),AR$2,)</f>
        <v>0</v>
      </c>
      <c r="AS339" s="179">
        <f ca="1">IF(ISNUMBER(MATCH(DATEVALUE($A339),'recurring1_based on steps'!AS$1:AS$400,0)),AS$2,)</f>
        <v>0</v>
      </c>
      <c r="AT339" s="179">
        <f ca="1">IF(ISNUMBER(MATCH(DATEVALUE($A339),'recurring1_based on steps'!AT$1:AT$400,0)),AT$2,)</f>
        <v>0</v>
      </c>
      <c r="AU339" s="179">
        <f ca="1">IF(ISNUMBER(MATCH(DATEVALUE($A339),'recurring1_based on steps'!AU$1:AU$400,0)),AU$2,)</f>
        <v>0</v>
      </c>
      <c r="AV339" s="179">
        <f ca="1">IF(ISNUMBER(MATCH(DATEVALUE($A339),'recurring1_based on steps'!AV$1:AV$400,0)),AV$2,)</f>
        <v>0</v>
      </c>
      <c r="AW339" s="179">
        <f ca="1">IF(ISNUMBER(MATCH(DATEVALUE($A339),'recurring1_based on steps'!AW$1:AW$400,0)),AW$2,)</f>
        <v>0</v>
      </c>
      <c r="AX339" s="179">
        <f ca="1">IF(ISNUMBER(MATCH(DATEVALUE($A339),'recurring1_based on steps'!AX$1:AX$400,0)),AX$2,)</f>
        <v>0</v>
      </c>
      <c r="AY339" s="179">
        <f ca="1">IF(ISNUMBER(MATCH(DATEVALUE($A339),'recurring1_based on steps'!AY$1:AY$400,0)),AY$2,)</f>
        <v>0</v>
      </c>
    </row>
    <row r="340" spans="1:51" x14ac:dyDescent="0.2">
      <c r="A340" s="32" t="str">
        <f t="shared" ca="1" si="5"/>
        <v>2026-03-08</v>
      </c>
      <c r="B340" s="179">
        <f ca="1">IF(ISNUMBER(MATCH(DATEVALUE($A340),'recurring1_based on steps'!B$1:B$400,0)),B$2,)</f>
        <v>0</v>
      </c>
      <c r="C340" s="179">
        <f ca="1">IF(ISNUMBER(MATCH(DATEVALUE($A340),'recurring1_based on steps'!C$1:C$400,0)),C$2,)</f>
        <v>0</v>
      </c>
      <c r="D340" s="179">
        <f ca="1">IF(ISNUMBER(MATCH(DATEVALUE($A340),'recurring1_based on steps'!D$1:D$400,0)),D$2,)</f>
        <v>0</v>
      </c>
      <c r="E340" s="179">
        <f ca="1">IF(ISNUMBER(MATCH(DATEVALUE($A340),'recurring1_based on steps'!E$1:E$400,0)),E$2,)</f>
        <v>0</v>
      </c>
      <c r="F340" s="179">
        <f ca="1">IF(ISNUMBER(MATCH(DATEVALUE($A340),'recurring1_based on steps'!F$1:F$400,0)),F$2,)</f>
        <v>0</v>
      </c>
      <c r="G340" s="179">
        <f ca="1">IF(ISNUMBER(MATCH(DATEVALUE($A340),'recurring1_based on steps'!G$1:G$400,0)),G$2,)</f>
        <v>0</v>
      </c>
      <c r="H340" s="179">
        <f ca="1">IF(ISNUMBER(MATCH(DATEVALUE($A340),'recurring1_based on steps'!H$1:H$400,0)),H$2,)</f>
        <v>0</v>
      </c>
      <c r="I340" s="179">
        <f ca="1">IF(ISNUMBER(MATCH(DATEVALUE($A340),'recurring1_based on steps'!I$1:I$400,0)),I$2,)</f>
        <v>0</v>
      </c>
      <c r="J340" s="179">
        <f ca="1">IF(ISNUMBER(MATCH(DATEVALUE($A340),'recurring1_based on steps'!J$1:J$400,0)),J$2,)</f>
        <v>0</v>
      </c>
      <c r="K340" s="179">
        <f ca="1">IF(ISNUMBER(MATCH(DATEVALUE($A340),'recurring1_based on steps'!K$1:K$400,0)),K$2,)</f>
        <v>0</v>
      </c>
      <c r="L340" s="179">
        <f ca="1">IF(ISNUMBER(MATCH(DATEVALUE($A340),'recurring1_based on steps'!L$1:L$400,0)),L$2,)</f>
        <v>0</v>
      </c>
      <c r="M340" s="179">
        <f ca="1">IF(ISNUMBER(MATCH(DATEVALUE($A340),'recurring1_based on steps'!M$1:M$400,0)),M$2,)</f>
        <v>0</v>
      </c>
      <c r="N340" s="179">
        <f ca="1">IF(ISNUMBER(MATCH(DATEVALUE($A340),'recurring1_based on steps'!N$1:N$400,0)),N$2,)</f>
        <v>0</v>
      </c>
      <c r="O340" s="179">
        <f ca="1">IF(ISNUMBER(MATCH(DATEVALUE($A340),'recurring1_based on steps'!O$1:O$400,0)),O$2,)</f>
        <v>0</v>
      </c>
      <c r="P340" s="179">
        <f ca="1">IF(ISNUMBER(MATCH(DATEVALUE($A340),'recurring1_based on steps'!P$1:P$400,0)),P$2,)</f>
        <v>0</v>
      </c>
      <c r="Q340" s="179">
        <f ca="1">IF(ISNUMBER(MATCH(DATEVALUE($A340),'recurring1_based on steps'!Q$1:Q$400,0)),Q$2,)</f>
        <v>0</v>
      </c>
      <c r="R340" s="179">
        <f ca="1">IF(ISNUMBER(MATCH(DATEVALUE($A340),'recurring1_based on steps'!R$1:R$400,0)),R$2,)</f>
        <v>0</v>
      </c>
      <c r="S340" s="179">
        <f ca="1">IF(ISNUMBER(MATCH(DATEVALUE($A340),'recurring1_based on steps'!S$1:S$400,0)),S$2,)</f>
        <v>0</v>
      </c>
      <c r="T340" s="179">
        <f ca="1">IF(ISNUMBER(MATCH(DATEVALUE($A340),'recurring1_based on steps'!T$1:T$400,0)),T$2,)</f>
        <v>0</v>
      </c>
      <c r="U340" s="179">
        <f ca="1">IF(ISNUMBER(MATCH(DATEVALUE($A340),'recurring1_based on steps'!U$1:U$400,0)),U$2,)</f>
        <v>0</v>
      </c>
      <c r="V340" s="179">
        <f ca="1">IF(ISNUMBER(MATCH(DATEVALUE($A340),'recurring1_based on steps'!V$1:V$400,0)),V$2,)</f>
        <v>0</v>
      </c>
      <c r="W340" s="179">
        <f ca="1">IF(ISNUMBER(MATCH(DATEVALUE($A340),'recurring1_based on steps'!W$1:W$400,0)),W$2,)</f>
        <v>0</v>
      </c>
      <c r="X340" s="179">
        <f ca="1">IF(ISNUMBER(MATCH(DATEVALUE($A340),'recurring1_based on steps'!X$1:X$400,0)),X$2,)</f>
        <v>0</v>
      </c>
      <c r="Y340" s="179">
        <f ca="1">IF(ISNUMBER(MATCH(DATEVALUE($A340),'recurring1_based on steps'!Y$1:Y$400,0)),Y$2,)</f>
        <v>0</v>
      </c>
      <c r="Z340" s="179">
        <f ca="1">IF(ISNUMBER(MATCH(DATEVALUE($A340),'recurring1_based on steps'!Z$1:Z$400,0)),Z$2,)</f>
        <v>0</v>
      </c>
      <c r="AA340" s="179">
        <f ca="1">IF(ISNUMBER(MATCH(DATEVALUE($A340),'recurring1_based on steps'!AA$1:AA$400,0)),AA$2,)</f>
        <v>0</v>
      </c>
      <c r="AB340" s="179">
        <f ca="1">IF(ISNUMBER(MATCH(DATEVALUE($A340),'recurring1_based on steps'!AB$1:AB$400,0)),AB$2,)</f>
        <v>0</v>
      </c>
      <c r="AC340" s="179">
        <f ca="1">IF(ISNUMBER(MATCH(DATEVALUE($A340),'recurring1_based on steps'!AC$1:AC$400,0)),AC$2,)</f>
        <v>0</v>
      </c>
      <c r="AD340" s="179">
        <f ca="1">IF(ISNUMBER(MATCH(DATEVALUE($A340),'recurring1_based on steps'!AD$1:AD$400,0)),AD$2,)</f>
        <v>0</v>
      </c>
      <c r="AE340" s="179">
        <f ca="1">IF(ISNUMBER(MATCH(DATEVALUE($A340),'recurring1_based on steps'!AE$1:AE$400,0)),AE$2,)</f>
        <v>0</v>
      </c>
      <c r="AF340" s="179">
        <f ca="1">IF(ISNUMBER(MATCH(DATEVALUE($A340),'recurring1_based on steps'!AF$1:AF$400,0)),AF$2,)</f>
        <v>0</v>
      </c>
      <c r="AG340" s="179">
        <f ca="1">IF(ISNUMBER(MATCH(DATEVALUE($A340),'recurring1_based on steps'!AG$1:AG$400,0)),AG$2,)</f>
        <v>0</v>
      </c>
      <c r="AH340" s="179">
        <f ca="1">IF(ISNUMBER(MATCH(DATEVALUE($A340),'recurring1_based on steps'!AH$1:AH$400,0)),AH$2,)</f>
        <v>0</v>
      </c>
      <c r="AI340" s="179">
        <f ca="1">IF(ISNUMBER(MATCH(DATEVALUE($A340),'recurring1_based on steps'!AI$1:AI$400,0)),AI$2,)</f>
        <v>0</v>
      </c>
      <c r="AJ340" s="179">
        <f ca="1">IF(ISNUMBER(MATCH(DATEVALUE($A340),'recurring1_based on steps'!AJ$1:AJ$400,0)),AJ$2,)</f>
        <v>0</v>
      </c>
      <c r="AK340" s="179">
        <f ca="1">IF(ISNUMBER(MATCH(DATEVALUE($A340),'recurring1_based on steps'!AK$1:AK$400,0)),AK$2,)</f>
        <v>0</v>
      </c>
      <c r="AL340" s="179">
        <f ca="1">IF(ISNUMBER(MATCH(DATEVALUE($A340),'recurring1_based on steps'!AL$1:AL$400,0)),AL$2,)</f>
        <v>0</v>
      </c>
      <c r="AM340" s="179">
        <f ca="1">IF(ISNUMBER(MATCH(DATEVALUE($A340),'recurring1_based on steps'!AM$1:AM$400,0)),AM$2,)</f>
        <v>0</v>
      </c>
      <c r="AN340" s="179">
        <f ca="1">IF(ISNUMBER(MATCH(DATEVALUE($A340),'recurring1_based on steps'!AN$1:AN$400,0)),AN$2,)</f>
        <v>0</v>
      </c>
      <c r="AO340" s="179">
        <f ca="1">IF(ISNUMBER(MATCH(DATEVALUE($A340),'recurring1_based on steps'!AO$1:AO$400,0)),AO$2,)</f>
        <v>0</v>
      </c>
      <c r="AP340" s="179">
        <f ca="1">IF(ISNUMBER(MATCH(DATEVALUE($A340),'recurring1_based on steps'!AP$1:AP$400,0)),AP$2,)</f>
        <v>0</v>
      </c>
      <c r="AQ340" s="179">
        <f ca="1">IF(ISNUMBER(MATCH(DATEVALUE($A340),'recurring1_based on steps'!AQ$1:AQ$400,0)),AQ$2,)</f>
        <v>0</v>
      </c>
      <c r="AR340" s="179">
        <f ca="1">IF(ISNUMBER(MATCH(DATEVALUE($A340),'recurring1_based on steps'!AR$1:AR$400,0)),AR$2,)</f>
        <v>0</v>
      </c>
      <c r="AS340" s="179">
        <f ca="1">IF(ISNUMBER(MATCH(DATEVALUE($A340),'recurring1_based on steps'!AS$1:AS$400,0)),AS$2,)</f>
        <v>0</v>
      </c>
      <c r="AT340" s="179">
        <f ca="1">IF(ISNUMBER(MATCH(DATEVALUE($A340),'recurring1_based on steps'!AT$1:AT$400,0)),AT$2,)</f>
        <v>0</v>
      </c>
      <c r="AU340" s="179">
        <f ca="1">IF(ISNUMBER(MATCH(DATEVALUE($A340),'recurring1_based on steps'!AU$1:AU$400,0)),AU$2,)</f>
        <v>0</v>
      </c>
      <c r="AV340" s="179">
        <f ca="1">IF(ISNUMBER(MATCH(DATEVALUE($A340),'recurring1_based on steps'!AV$1:AV$400,0)),AV$2,)</f>
        <v>0</v>
      </c>
      <c r="AW340" s="179">
        <f ca="1">IF(ISNUMBER(MATCH(DATEVALUE($A340),'recurring1_based on steps'!AW$1:AW$400,0)),AW$2,)</f>
        <v>0</v>
      </c>
      <c r="AX340" s="179">
        <f ca="1">IF(ISNUMBER(MATCH(DATEVALUE($A340),'recurring1_based on steps'!AX$1:AX$400,0)),AX$2,)</f>
        <v>0</v>
      </c>
      <c r="AY340" s="179">
        <f ca="1">IF(ISNUMBER(MATCH(DATEVALUE($A340),'recurring1_based on steps'!AY$1:AY$400,0)),AY$2,)</f>
        <v>0</v>
      </c>
    </row>
    <row r="341" spans="1:51" x14ac:dyDescent="0.2">
      <c r="A341" s="32" t="str">
        <f t="shared" ca="1" si="5"/>
        <v>2026-03-09</v>
      </c>
      <c r="B341" s="179">
        <f ca="1">IF(ISNUMBER(MATCH(DATEVALUE($A341),'recurring1_based on steps'!B$1:B$400,0)),B$2,)</f>
        <v>0</v>
      </c>
      <c r="C341" s="179">
        <f ca="1">IF(ISNUMBER(MATCH(DATEVALUE($A341),'recurring1_based on steps'!C$1:C$400,0)),C$2,)</f>
        <v>0</v>
      </c>
      <c r="D341" s="179">
        <f ca="1">IF(ISNUMBER(MATCH(DATEVALUE($A341),'recurring1_based on steps'!D$1:D$400,0)),D$2,)</f>
        <v>0</v>
      </c>
      <c r="E341" s="179">
        <f ca="1">IF(ISNUMBER(MATCH(DATEVALUE($A341),'recurring1_based on steps'!E$1:E$400,0)),E$2,)</f>
        <v>0</v>
      </c>
      <c r="F341" s="179">
        <f ca="1">IF(ISNUMBER(MATCH(DATEVALUE($A341),'recurring1_based on steps'!F$1:F$400,0)),F$2,)</f>
        <v>0</v>
      </c>
      <c r="G341" s="179">
        <f ca="1">IF(ISNUMBER(MATCH(DATEVALUE($A341),'recurring1_based on steps'!G$1:G$400,0)),G$2,)</f>
        <v>0</v>
      </c>
      <c r="H341" s="179">
        <f ca="1">IF(ISNUMBER(MATCH(DATEVALUE($A341),'recurring1_based on steps'!H$1:H$400,0)),H$2,)</f>
        <v>0</v>
      </c>
      <c r="I341" s="179">
        <f ca="1">IF(ISNUMBER(MATCH(DATEVALUE($A341),'recurring1_based on steps'!I$1:I$400,0)),I$2,)</f>
        <v>0</v>
      </c>
      <c r="J341" s="179">
        <f ca="1">IF(ISNUMBER(MATCH(DATEVALUE($A341),'recurring1_based on steps'!J$1:J$400,0)),J$2,)</f>
        <v>0</v>
      </c>
      <c r="K341" s="179">
        <f ca="1">IF(ISNUMBER(MATCH(DATEVALUE($A341),'recurring1_based on steps'!K$1:K$400,0)),K$2,)</f>
        <v>0</v>
      </c>
      <c r="L341" s="179">
        <f ca="1">IF(ISNUMBER(MATCH(DATEVALUE($A341),'recurring1_based on steps'!L$1:L$400,0)),L$2,)</f>
        <v>0</v>
      </c>
      <c r="M341" s="179">
        <f ca="1">IF(ISNUMBER(MATCH(DATEVALUE($A341),'recurring1_based on steps'!M$1:M$400,0)),M$2,)</f>
        <v>0</v>
      </c>
      <c r="N341" s="179">
        <f ca="1">IF(ISNUMBER(MATCH(DATEVALUE($A341),'recurring1_based on steps'!N$1:N$400,0)),N$2,)</f>
        <v>0</v>
      </c>
      <c r="O341" s="179">
        <f ca="1">IF(ISNUMBER(MATCH(DATEVALUE($A341),'recurring1_based on steps'!O$1:O$400,0)),O$2,)</f>
        <v>0</v>
      </c>
      <c r="P341" s="179">
        <f ca="1">IF(ISNUMBER(MATCH(DATEVALUE($A341),'recurring1_based on steps'!P$1:P$400,0)),P$2,)</f>
        <v>0</v>
      </c>
      <c r="Q341" s="179">
        <f ca="1">IF(ISNUMBER(MATCH(DATEVALUE($A341),'recurring1_based on steps'!Q$1:Q$400,0)),Q$2,)</f>
        <v>0</v>
      </c>
      <c r="R341" s="179">
        <f ca="1">IF(ISNUMBER(MATCH(DATEVALUE($A341),'recurring1_based on steps'!R$1:R$400,0)),R$2,)</f>
        <v>0</v>
      </c>
      <c r="S341" s="179">
        <f ca="1">IF(ISNUMBER(MATCH(DATEVALUE($A341),'recurring1_based on steps'!S$1:S$400,0)),S$2,)</f>
        <v>0</v>
      </c>
      <c r="T341" s="179">
        <f ca="1">IF(ISNUMBER(MATCH(DATEVALUE($A341),'recurring1_based on steps'!T$1:T$400,0)),T$2,)</f>
        <v>0</v>
      </c>
      <c r="U341" s="179">
        <f ca="1">IF(ISNUMBER(MATCH(DATEVALUE($A341),'recurring1_based on steps'!U$1:U$400,0)),U$2,)</f>
        <v>0</v>
      </c>
      <c r="V341" s="179">
        <f ca="1">IF(ISNUMBER(MATCH(DATEVALUE($A341),'recurring1_based on steps'!V$1:V$400,0)),V$2,)</f>
        <v>0</v>
      </c>
      <c r="W341" s="179">
        <f ca="1">IF(ISNUMBER(MATCH(DATEVALUE($A341),'recurring1_based on steps'!W$1:W$400,0)),W$2,)</f>
        <v>0</v>
      </c>
      <c r="X341" s="179">
        <f ca="1">IF(ISNUMBER(MATCH(DATEVALUE($A341),'recurring1_based on steps'!X$1:X$400,0)),X$2,)</f>
        <v>0</v>
      </c>
      <c r="Y341" s="179">
        <f ca="1">IF(ISNUMBER(MATCH(DATEVALUE($A341),'recurring1_based on steps'!Y$1:Y$400,0)),Y$2,)</f>
        <v>0</v>
      </c>
      <c r="Z341" s="179">
        <f ca="1">IF(ISNUMBER(MATCH(DATEVALUE($A341),'recurring1_based on steps'!Z$1:Z$400,0)),Z$2,)</f>
        <v>0</v>
      </c>
      <c r="AA341" s="179">
        <f ca="1">IF(ISNUMBER(MATCH(DATEVALUE($A341),'recurring1_based on steps'!AA$1:AA$400,0)),AA$2,)</f>
        <v>0</v>
      </c>
      <c r="AB341" s="179">
        <f ca="1">IF(ISNUMBER(MATCH(DATEVALUE($A341),'recurring1_based on steps'!AB$1:AB$400,0)),AB$2,)</f>
        <v>0</v>
      </c>
      <c r="AC341" s="179">
        <f ca="1">IF(ISNUMBER(MATCH(DATEVALUE($A341),'recurring1_based on steps'!AC$1:AC$400,0)),AC$2,)</f>
        <v>0</v>
      </c>
      <c r="AD341" s="179">
        <f ca="1">IF(ISNUMBER(MATCH(DATEVALUE($A341),'recurring1_based on steps'!AD$1:AD$400,0)),AD$2,)</f>
        <v>0</v>
      </c>
      <c r="AE341" s="179">
        <f ca="1">IF(ISNUMBER(MATCH(DATEVALUE($A341),'recurring1_based on steps'!AE$1:AE$400,0)),AE$2,)</f>
        <v>0</v>
      </c>
      <c r="AF341" s="179">
        <f ca="1">IF(ISNUMBER(MATCH(DATEVALUE($A341),'recurring1_based on steps'!AF$1:AF$400,0)),AF$2,)</f>
        <v>0</v>
      </c>
      <c r="AG341" s="179">
        <f ca="1">IF(ISNUMBER(MATCH(DATEVALUE($A341),'recurring1_based on steps'!AG$1:AG$400,0)),AG$2,)</f>
        <v>0</v>
      </c>
      <c r="AH341" s="179">
        <f ca="1">IF(ISNUMBER(MATCH(DATEVALUE($A341),'recurring1_based on steps'!AH$1:AH$400,0)),AH$2,)</f>
        <v>0</v>
      </c>
      <c r="AI341" s="179">
        <f ca="1">IF(ISNUMBER(MATCH(DATEVALUE($A341),'recurring1_based on steps'!AI$1:AI$400,0)),AI$2,)</f>
        <v>0</v>
      </c>
      <c r="AJ341" s="179">
        <f ca="1">IF(ISNUMBER(MATCH(DATEVALUE($A341),'recurring1_based on steps'!AJ$1:AJ$400,0)),AJ$2,)</f>
        <v>0</v>
      </c>
      <c r="AK341" s="179">
        <f ca="1">IF(ISNUMBER(MATCH(DATEVALUE($A341),'recurring1_based on steps'!AK$1:AK$400,0)),AK$2,)</f>
        <v>0</v>
      </c>
      <c r="AL341" s="179">
        <f ca="1">IF(ISNUMBER(MATCH(DATEVALUE($A341),'recurring1_based on steps'!AL$1:AL$400,0)),AL$2,)</f>
        <v>0</v>
      </c>
      <c r="AM341" s="179">
        <f ca="1">IF(ISNUMBER(MATCH(DATEVALUE($A341),'recurring1_based on steps'!AM$1:AM$400,0)),AM$2,)</f>
        <v>0</v>
      </c>
      <c r="AN341" s="179">
        <f ca="1">IF(ISNUMBER(MATCH(DATEVALUE($A341),'recurring1_based on steps'!AN$1:AN$400,0)),AN$2,)</f>
        <v>0</v>
      </c>
      <c r="AO341" s="179">
        <f ca="1">IF(ISNUMBER(MATCH(DATEVALUE($A341),'recurring1_based on steps'!AO$1:AO$400,0)),AO$2,)</f>
        <v>0</v>
      </c>
      <c r="AP341" s="179">
        <f ca="1">IF(ISNUMBER(MATCH(DATEVALUE($A341),'recurring1_based on steps'!AP$1:AP$400,0)),AP$2,)</f>
        <v>0</v>
      </c>
      <c r="AQ341" s="179">
        <f ca="1">IF(ISNUMBER(MATCH(DATEVALUE($A341),'recurring1_based on steps'!AQ$1:AQ$400,0)),AQ$2,)</f>
        <v>0</v>
      </c>
      <c r="AR341" s="179">
        <f ca="1">IF(ISNUMBER(MATCH(DATEVALUE($A341),'recurring1_based on steps'!AR$1:AR$400,0)),AR$2,)</f>
        <v>0</v>
      </c>
      <c r="AS341" s="179">
        <f ca="1">IF(ISNUMBER(MATCH(DATEVALUE($A341),'recurring1_based on steps'!AS$1:AS$400,0)),AS$2,)</f>
        <v>0</v>
      </c>
      <c r="AT341" s="179">
        <f ca="1">IF(ISNUMBER(MATCH(DATEVALUE($A341),'recurring1_based on steps'!AT$1:AT$400,0)),AT$2,)</f>
        <v>0</v>
      </c>
      <c r="AU341" s="179">
        <f ca="1">IF(ISNUMBER(MATCH(DATEVALUE($A341),'recurring1_based on steps'!AU$1:AU$400,0)),AU$2,)</f>
        <v>0</v>
      </c>
      <c r="AV341" s="179">
        <f ca="1">IF(ISNUMBER(MATCH(DATEVALUE($A341),'recurring1_based on steps'!AV$1:AV$400,0)),AV$2,)</f>
        <v>0</v>
      </c>
      <c r="AW341" s="179">
        <f ca="1">IF(ISNUMBER(MATCH(DATEVALUE($A341),'recurring1_based on steps'!AW$1:AW$400,0)),AW$2,)</f>
        <v>0</v>
      </c>
      <c r="AX341" s="179">
        <f ca="1">IF(ISNUMBER(MATCH(DATEVALUE($A341),'recurring1_based on steps'!AX$1:AX$400,0)),AX$2,)</f>
        <v>0</v>
      </c>
      <c r="AY341" s="179">
        <f ca="1">IF(ISNUMBER(MATCH(DATEVALUE($A341),'recurring1_based on steps'!AY$1:AY$400,0)),AY$2,)</f>
        <v>0</v>
      </c>
    </row>
    <row r="342" spans="1:51" x14ac:dyDescent="0.2">
      <c r="A342" s="32" t="str">
        <f t="shared" ca="1" si="5"/>
        <v>2026-03-10</v>
      </c>
      <c r="B342" s="179">
        <f ca="1">IF(ISNUMBER(MATCH(DATEVALUE($A342),'recurring1_based on steps'!B$1:B$400,0)),B$2,)</f>
        <v>0</v>
      </c>
      <c r="C342" s="179">
        <f ca="1">IF(ISNUMBER(MATCH(DATEVALUE($A342),'recurring1_based on steps'!C$1:C$400,0)),C$2,)</f>
        <v>0</v>
      </c>
      <c r="D342" s="179">
        <f ca="1">IF(ISNUMBER(MATCH(DATEVALUE($A342),'recurring1_based on steps'!D$1:D$400,0)),D$2,)</f>
        <v>0</v>
      </c>
      <c r="E342" s="179">
        <f ca="1">IF(ISNUMBER(MATCH(DATEVALUE($A342),'recurring1_based on steps'!E$1:E$400,0)),E$2,)</f>
        <v>0</v>
      </c>
      <c r="F342" s="179">
        <f ca="1">IF(ISNUMBER(MATCH(DATEVALUE($A342),'recurring1_based on steps'!F$1:F$400,0)),F$2,)</f>
        <v>0</v>
      </c>
      <c r="G342" s="179">
        <f ca="1">IF(ISNUMBER(MATCH(DATEVALUE($A342),'recurring1_based on steps'!G$1:G$400,0)),G$2,)</f>
        <v>0</v>
      </c>
      <c r="H342" s="179">
        <f ca="1">IF(ISNUMBER(MATCH(DATEVALUE($A342),'recurring1_based on steps'!H$1:H$400,0)),H$2,)</f>
        <v>0</v>
      </c>
      <c r="I342" s="179">
        <f ca="1">IF(ISNUMBER(MATCH(DATEVALUE($A342),'recurring1_based on steps'!I$1:I$400,0)),I$2,)</f>
        <v>0</v>
      </c>
      <c r="J342" s="179">
        <f ca="1">IF(ISNUMBER(MATCH(DATEVALUE($A342),'recurring1_based on steps'!J$1:J$400,0)),J$2,)</f>
        <v>0</v>
      </c>
      <c r="K342" s="179">
        <f ca="1">IF(ISNUMBER(MATCH(DATEVALUE($A342),'recurring1_based on steps'!K$1:K$400,0)),K$2,)</f>
        <v>0</v>
      </c>
      <c r="L342" s="179">
        <f ca="1">IF(ISNUMBER(MATCH(DATEVALUE($A342),'recurring1_based on steps'!L$1:L$400,0)),L$2,)</f>
        <v>0</v>
      </c>
      <c r="M342" s="179">
        <f ca="1">IF(ISNUMBER(MATCH(DATEVALUE($A342),'recurring1_based on steps'!M$1:M$400,0)),M$2,)</f>
        <v>0</v>
      </c>
      <c r="N342" s="179">
        <f ca="1">IF(ISNUMBER(MATCH(DATEVALUE($A342),'recurring1_based on steps'!N$1:N$400,0)),N$2,)</f>
        <v>0</v>
      </c>
      <c r="O342" s="179">
        <f ca="1">IF(ISNUMBER(MATCH(DATEVALUE($A342),'recurring1_based on steps'!O$1:O$400,0)),O$2,)</f>
        <v>0</v>
      </c>
      <c r="P342" s="179">
        <f ca="1">IF(ISNUMBER(MATCH(DATEVALUE($A342),'recurring1_based on steps'!P$1:P$400,0)),P$2,)</f>
        <v>0</v>
      </c>
      <c r="Q342" s="179">
        <f ca="1">IF(ISNUMBER(MATCH(DATEVALUE($A342),'recurring1_based on steps'!Q$1:Q$400,0)),Q$2,)</f>
        <v>0</v>
      </c>
      <c r="R342" s="179">
        <f ca="1">IF(ISNUMBER(MATCH(DATEVALUE($A342),'recurring1_based on steps'!R$1:R$400,0)),R$2,)</f>
        <v>0</v>
      </c>
      <c r="S342" s="179">
        <f ca="1">IF(ISNUMBER(MATCH(DATEVALUE($A342),'recurring1_based on steps'!S$1:S$400,0)),S$2,)</f>
        <v>0</v>
      </c>
      <c r="T342" s="179">
        <f ca="1">IF(ISNUMBER(MATCH(DATEVALUE($A342),'recurring1_based on steps'!T$1:T$400,0)),T$2,)</f>
        <v>0</v>
      </c>
      <c r="U342" s="179">
        <f ca="1">IF(ISNUMBER(MATCH(DATEVALUE($A342),'recurring1_based on steps'!U$1:U$400,0)),U$2,)</f>
        <v>0</v>
      </c>
      <c r="V342" s="179">
        <f ca="1">IF(ISNUMBER(MATCH(DATEVALUE($A342),'recurring1_based on steps'!V$1:V$400,0)),V$2,)</f>
        <v>0</v>
      </c>
      <c r="W342" s="179">
        <f ca="1">IF(ISNUMBER(MATCH(DATEVALUE($A342),'recurring1_based on steps'!W$1:W$400,0)),W$2,)</f>
        <v>0</v>
      </c>
      <c r="X342" s="179">
        <f ca="1">IF(ISNUMBER(MATCH(DATEVALUE($A342),'recurring1_based on steps'!X$1:X$400,0)),X$2,)</f>
        <v>0</v>
      </c>
      <c r="Y342" s="179">
        <f ca="1">IF(ISNUMBER(MATCH(DATEVALUE($A342),'recurring1_based on steps'!Y$1:Y$400,0)),Y$2,)</f>
        <v>0</v>
      </c>
      <c r="Z342" s="179">
        <f ca="1">IF(ISNUMBER(MATCH(DATEVALUE($A342),'recurring1_based on steps'!Z$1:Z$400,0)),Z$2,)</f>
        <v>0</v>
      </c>
      <c r="AA342" s="179">
        <f ca="1">IF(ISNUMBER(MATCH(DATEVALUE($A342),'recurring1_based on steps'!AA$1:AA$400,0)),AA$2,)</f>
        <v>0</v>
      </c>
      <c r="AB342" s="179">
        <f ca="1">IF(ISNUMBER(MATCH(DATEVALUE($A342),'recurring1_based on steps'!AB$1:AB$400,0)),AB$2,)</f>
        <v>0</v>
      </c>
      <c r="AC342" s="179">
        <f ca="1">IF(ISNUMBER(MATCH(DATEVALUE($A342),'recurring1_based on steps'!AC$1:AC$400,0)),AC$2,)</f>
        <v>0</v>
      </c>
      <c r="AD342" s="179">
        <f ca="1">IF(ISNUMBER(MATCH(DATEVALUE($A342),'recurring1_based on steps'!AD$1:AD$400,0)),AD$2,)</f>
        <v>0</v>
      </c>
      <c r="AE342" s="179">
        <f ca="1">IF(ISNUMBER(MATCH(DATEVALUE($A342),'recurring1_based on steps'!AE$1:AE$400,0)),AE$2,)</f>
        <v>0</v>
      </c>
      <c r="AF342" s="179">
        <f ca="1">IF(ISNUMBER(MATCH(DATEVALUE($A342),'recurring1_based on steps'!AF$1:AF$400,0)),AF$2,)</f>
        <v>0</v>
      </c>
      <c r="AG342" s="179">
        <f ca="1">IF(ISNUMBER(MATCH(DATEVALUE($A342),'recurring1_based on steps'!AG$1:AG$400,0)),AG$2,)</f>
        <v>0</v>
      </c>
      <c r="AH342" s="179">
        <f ca="1">IF(ISNUMBER(MATCH(DATEVALUE($A342),'recurring1_based on steps'!AH$1:AH$400,0)),AH$2,)</f>
        <v>0</v>
      </c>
      <c r="AI342" s="179">
        <f ca="1">IF(ISNUMBER(MATCH(DATEVALUE($A342),'recurring1_based on steps'!AI$1:AI$400,0)),AI$2,)</f>
        <v>0</v>
      </c>
      <c r="AJ342" s="179">
        <f ca="1">IF(ISNUMBER(MATCH(DATEVALUE($A342),'recurring1_based on steps'!AJ$1:AJ$400,0)),AJ$2,)</f>
        <v>0</v>
      </c>
      <c r="AK342" s="179">
        <f ca="1">IF(ISNUMBER(MATCH(DATEVALUE($A342),'recurring1_based on steps'!AK$1:AK$400,0)),AK$2,)</f>
        <v>0</v>
      </c>
      <c r="AL342" s="179">
        <f ca="1">IF(ISNUMBER(MATCH(DATEVALUE($A342),'recurring1_based on steps'!AL$1:AL$400,0)),AL$2,)</f>
        <v>0</v>
      </c>
      <c r="AM342" s="179">
        <f ca="1">IF(ISNUMBER(MATCH(DATEVALUE($A342),'recurring1_based on steps'!AM$1:AM$400,0)),AM$2,)</f>
        <v>0</v>
      </c>
      <c r="AN342" s="179">
        <f ca="1">IF(ISNUMBER(MATCH(DATEVALUE($A342),'recurring1_based on steps'!AN$1:AN$400,0)),AN$2,)</f>
        <v>0</v>
      </c>
      <c r="AO342" s="179">
        <f ca="1">IF(ISNUMBER(MATCH(DATEVALUE($A342),'recurring1_based on steps'!AO$1:AO$400,0)),AO$2,)</f>
        <v>0</v>
      </c>
      <c r="AP342" s="179">
        <f ca="1">IF(ISNUMBER(MATCH(DATEVALUE($A342),'recurring1_based on steps'!AP$1:AP$400,0)),AP$2,)</f>
        <v>0</v>
      </c>
      <c r="AQ342" s="179">
        <f ca="1">IF(ISNUMBER(MATCH(DATEVALUE($A342),'recurring1_based on steps'!AQ$1:AQ$400,0)),AQ$2,)</f>
        <v>0</v>
      </c>
      <c r="AR342" s="179">
        <f ca="1">IF(ISNUMBER(MATCH(DATEVALUE($A342),'recurring1_based on steps'!AR$1:AR$400,0)),AR$2,)</f>
        <v>0</v>
      </c>
      <c r="AS342" s="179">
        <f ca="1">IF(ISNUMBER(MATCH(DATEVALUE($A342),'recurring1_based on steps'!AS$1:AS$400,0)),AS$2,)</f>
        <v>0</v>
      </c>
      <c r="AT342" s="179">
        <f ca="1">IF(ISNUMBER(MATCH(DATEVALUE($A342),'recurring1_based on steps'!AT$1:AT$400,0)),AT$2,)</f>
        <v>0</v>
      </c>
      <c r="AU342" s="179">
        <f ca="1">IF(ISNUMBER(MATCH(DATEVALUE($A342),'recurring1_based on steps'!AU$1:AU$400,0)),AU$2,)</f>
        <v>0</v>
      </c>
      <c r="AV342" s="179">
        <f ca="1">IF(ISNUMBER(MATCH(DATEVALUE($A342),'recurring1_based on steps'!AV$1:AV$400,0)),AV$2,)</f>
        <v>0</v>
      </c>
      <c r="AW342" s="179">
        <f ca="1">IF(ISNUMBER(MATCH(DATEVALUE($A342),'recurring1_based on steps'!AW$1:AW$400,0)),AW$2,)</f>
        <v>0</v>
      </c>
      <c r="AX342" s="179">
        <f ca="1">IF(ISNUMBER(MATCH(DATEVALUE($A342),'recurring1_based on steps'!AX$1:AX$400,0)),AX$2,)</f>
        <v>0</v>
      </c>
      <c r="AY342" s="179">
        <f ca="1">IF(ISNUMBER(MATCH(DATEVALUE($A342),'recurring1_based on steps'!AY$1:AY$400,0)),AY$2,)</f>
        <v>0</v>
      </c>
    </row>
    <row r="343" spans="1:51" x14ac:dyDescent="0.2">
      <c r="A343" s="32" t="str">
        <f t="shared" ca="1" si="5"/>
        <v>2026-03-11</v>
      </c>
      <c r="B343" s="179">
        <f ca="1">IF(ISNUMBER(MATCH(DATEVALUE($A343),'recurring1_based on steps'!B$1:B$400,0)),B$2,)</f>
        <v>0</v>
      </c>
      <c r="C343" s="179">
        <f ca="1">IF(ISNUMBER(MATCH(DATEVALUE($A343),'recurring1_based on steps'!C$1:C$400,0)),C$2,)</f>
        <v>0</v>
      </c>
      <c r="D343" s="179">
        <f ca="1">IF(ISNUMBER(MATCH(DATEVALUE($A343),'recurring1_based on steps'!D$1:D$400,0)),D$2,)</f>
        <v>0</v>
      </c>
      <c r="E343" s="179">
        <f ca="1">IF(ISNUMBER(MATCH(DATEVALUE($A343),'recurring1_based on steps'!E$1:E$400,0)),E$2,)</f>
        <v>0</v>
      </c>
      <c r="F343" s="179">
        <f ca="1">IF(ISNUMBER(MATCH(DATEVALUE($A343),'recurring1_based on steps'!F$1:F$400,0)),F$2,)</f>
        <v>0</v>
      </c>
      <c r="G343" s="179">
        <f ca="1">IF(ISNUMBER(MATCH(DATEVALUE($A343),'recurring1_based on steps'!G$1:G$400,0)),G$2,)</f>
        <v>0</v>
      </c>
      <c r="H343" s="179">
        <f ca="1">IF(ISNUMBER(MATCH(DATEVALUE($A343),'recurring1_based on steps'!H$1:H$400,0)),H$2,)</f>
        <v>0</v>
      </c>
      <c r="I343" s="179">
        <f ca="1">IF(ISNUMBER(MATCH(DATEVALUE($A343),'recurring1_based on steps'!I$1:I$400,0)),I$2,)</f>
        <v>0</v>
      </c>
      <c r="J343" s="179">
        <f ca="1">IF(ISNUMBER(MATCH(DATEVALUE($A343),'recurring1_based on steps'!J$1:J$400,0)),J$2,)</f>
        <v>0</v>
      </c>
      <c r="K343" s="179">
        <f ca="1">IF(ISNUMBER(MATCH(DATEVALUE($A343),'recurring1_based on steps'!K$1:K$400,0)),K$2,)</f>
        <v>0</v>
      </c>
      <c r="L343" s="179">
        <f ca="1">IF(ISNUMBER(MATCH(DATEVALUE($A343),'recurring1_based on steps'!L$1:L$400,0)),L$2,)</f>
        <v>0</v>
      </c>
      <c r="M343" s="179">
        <f ca="1">IF(ISNUMBER(MATCH(DATEVALUE($A343),'recurring1_based on steps'!M$1:M$400,0)),M$2,)</f>
        <v>0</v>
      </c>
      <c r="N343" s="179">
        <f ca="1">IF(ISNUMBER(MATCH(DATEVALUE($A343),'recurring1_based on steps'!N$1:N$400,0)),N$2,)</f>
        <v>0</v>
      </c>
      <c r="O343" s="179">
        <f ca="1">IF(ISNUMBER(MATCH(DATEVALUE($A343),'recurring1_based on steps'!O$1:O$400,0)),O$2,)</f>
        <v>0</v>
      </c>
      <c r="P343" s="179">
        <f ca="1">IF(ISNUMBER(MATCH(DATEVALUE($A343),'recurring1_based on steps'!P$1:P$400,0)),P$2,)</f>
        <v>0</v>
      </c>
      <c r="Q343" s="179">
        <f ca="1">IF(ISNUMBER(MATCH(DATEVALUE($A343),'recurring1_based on steps'!Q$1:Q$400,0)),Q$2,)</f>
        <v>0</v>
      </c>
      <c r="R343" s="179">
        <f ca="1">IF(ISNUMBER(MATCH(DATEVALUE($A343),'recurring1_based on steps'!R$1:R$400,0)),R$2,)</f>
        <v>0</v>
      </c>
      <c r="S343" s="179">
        <f ca="1">IF(ISNUMBER(MATCH(DATEVALUE($A343),'recurring1_based on steps'!S$1:S$400,0)),S$2,)</f>
        <v>0</v>
      </c>
      <c r="T343" s="179">
        <f ca="1">IF(ISNUMBER(MATCH(DATEVALUE($A343),'recurring1_based on steps'!T$1:T$400,0)),T$2,)</f>
        <v>0</v>
      </c>
      <c r="U343" s="179">
        <f ca="1">IF(ISNUMBER(MATCH(DATEVALUE($A343),'recurring1_based on steps'!U$1:U$400,0)),U$2,)</f>
        <v>0</v>
      </c>
      <c r="V343" s="179">
        <f ca="1">IF(ISNUMBER(MATCH(DATEVALUE($A343),'recurring1_based on steps'!V$1:V$400,0)),V$2,)</f>
        <v>0</v>
      </c>
      <c r="W343" s="179">
        <f ca="1">IF(ISNUMBER(MATCH(DATEVALUE($A343),'recurring1_based on steps'!W$1:W$400,0)),W$2,)</f>
        <v>0</v>
      </c>
      <c r="X343" s="179">
        <f ca="1">IF(ISNUMBER(MATCH(DATEVALUE($A343),'recurring1_based on steps'!X$1:X$400,0)),X$2,)</f>
        <v>0</v>
      </c>
      <c r="Y343" s="179">
        <f ca="1">IF(ISNUMBER(MATCH(DATEVALUE($A343),'recurring1_based on steps'!Y$1:Y$400,0)),Y$2,)</f>
        <v>0</v>
      </c>
      <c r="Z343" s="179">
        <f ca="1">IF(ISNUMBER(MATCH(DATEVALUE($A343),'recurring1_based on steps'!Z$1:Z$400,0)),Z$2,)</f>
        <v>0</v>
      </c>
      <c r="AA343" s="179">
        <f ca="1">IF(ISNUMBER(MATCH(DATEVALUE($A343),'recurring1_based on steps'!AA$1:AA$400,0)),AA$2,)</f>
        <v>0</v>
      </c>
      <c r="AB343" s="179">
        <f ca="1">IF(ISNUMBER(MATCH(DATEVALUE($A343),'recurring1_based on steps'!AB$1:AB$400,0)),AB$2,)</f>
        <v>0</v>
      </c>
      <c r="AC343" s="179">
        <f ca="1">IF(ISNUMBER(MATCH(DATEVALUE($A343),'recurring1_based on steps'!AC$1:AC$400,0)),AC$2,)</f>
        <v>0</v>
      </c>
      <c r="AD343" s="179">
        <f ca="1">IF(ISNUMBER(MATCH(DATEVALUE($A343),'recurring1_based on steps'!AD$1:AD$400,0)),AD$2,)</f>
        <v>0</v>
      </c>
      <c r="AE343" s="179">
        <f ca="1">IF(ISNUMBER(MATCH(DATEVALUE($A343),'recurring1_based on steps'!AE$1:AE$400,0)),AE$2,)</f>
        <v>0</v>
      </c>
      <c r="AF343" s="179">
        <f ca="1">IF(ISNUMBER(MATCH(DATEVALUE($A343),'recurring1_based on steps'!AF$1:AF$400,0)),AF$2,)</f>
        <v>0</v>
      </c>
      <c r="AG343" s="179">
        <f ca="1">IF(ISNUMBER(MATCH(DATEVALUE($A343),'recurring1_based on steps'!AG$1:AG$400,0)),AG$2,)</f>
        <v>0</v>
      </c>
      <c r="AH343" s="179">
        <f ca="1">IF(ISNUMBER(MATCH(DATEVALUE($A343),'recurring1_based on steps'!AH$1:AH$400,0)),AH$2,)</f>
        <v>0</v>
      </c>
      <c r="AI343" s="179">
        <f ca="1">IF(ISNUMBER(MATCH(DATEVALUE($A343),'recurring1_based on steps'!AI$1:AI$400,0)),AI$2,)</f>
        <v>0</v>
      </c>
      <c r="AJ343" s="179">
        <f ca="1">IF(ISNUMBER(MATCH(DATEVALUE($A343),'recurring1_based on steps'!AJ$1:AJ$400,0)),AJ$2,)</f>
        <v>0</v>
      </c>
      <c r="AK343" s="179">
        <f ca="1">IF(ISNUMBER(MATCH(DATEVALUE($A343),'recurring1_based on steps'!AK$1:AK$400,0)),AK$2,)</f>
        <v>0</v>
      </c>
      <c r="AL343" s="179">
        <f ca="1">IF(ISNUMBER(MATCH(DATEVALUE($A343),'recurring1_based on steps'!AL$1:AL$400,0)),AL$2,)</f>
        <v>0</v>
      </c>
      <c r="AM343" s="179">
        <f ca="1">IF(ISNUMBER(MATCH(DATEVALUE($A343),'recurring1_based on steps'!AM$1:AM$400,0)),AM$2,)</f>
        <v>0</v>
      </c>
      <c r="AN343" s="179">
        <f ca="1">IF(ISNUMBER(MATCH(DATEVALUE($A343),'recurring1_based on steps'!AN$1:AN$400,0)),AN$2,)</f>
        <v>0</v>
      </c>
      <c r="AO343" s="179">
        <f ca="1">IF(ISNUMBER(MATCH(DATEVALUE($A343),'recurring1_based on steps'!AO$1:AO$400,0)),AO$2,)</f>
        <v>0</v>
      </c>
      <c r="AP343" s="179">
        <f ca="1">IF(ISNUMBER(MATCH(DATEVALUE($A343),'recurring1_based on steps'!AP$1:AP$400,0)),AP$2,)</f>
        <v>0</v>
      </c>
      <c r="AQ343" s="179">
        <f ca="1">IF(ISNUMBER(MATCH(DATEVALUE($A343),'recurring1_based on steps'!AQ$1:AQ$400,0)),AQ$2,)</f>
        <v>0</v>
      </c>
      <c r="AR343" s="179">
        <f ca="1">IF(ISNUMBER(MATCH(DATEVALUE($A343),'recurring1_based on steps'!AR$1:AR$400,0)),AR$2,)</f>
        <v>0</v>
      </c>
      <c r="AS343" s="179">
        <f ca="1">IF(ISNUMBER(MATCH(DATEVALUE($A343),'recurring1_based on steps'!AS$1:AS$400,0)),AS$2,)</f>
        <v>0</v>
      </c>
      <c r="AT343" s="179">
        <f ca="1">IF(ISNUMBER(MATCH(DATEVALUE($A343),'recurring1_based on steps'!AT$1:AT$400,0)),AT$2,)</f>
        <v>0</v>
      </c>
      <c r="AU343" s="179">
        <f ca="1">IF(ISNUMBER(MATCH(DATEVALUE($A343),'recurring1_based on steps'!AU$1:AU$400,0)),AU$2,)</f>
        <v>0</v>
      </c>
      <c r="AV343" s="179">
        <f ca="1">IF(ISNUMBER(MATCH(DATEVALUE($A343),'recurring1_based on steps'!AV$1:AV$400,0)),AV$2,)</f>
        <v>0</v>
      </c>
      <c r="AW343" s="179">
        <f ca="1">IF(ISNUMBER(MATCH(DATEVALUE($A343),'recurring1_based on steps'!AW$1:AW$400,0)),AW$2,)</f>
        <v>0</v>
      </c>
      <c r="AX343" s="179">
        <f ca="1">IF(ISNUMBER(MATCH(DATEVALUE($A343),'recurring1_based on steps'!AX$1:AX$400,0)),AX$2,)</f>
        <v>0</v>
      </c>
      <c r="AY343" s="179">
        <f ca="1">IF(ISNUMBER(MATCH(DATEVALUE($A343),'recurring1_based on steps'!AY$1:AY$400,0)),AY$2,)</f>
        <v>0</v>
      </c>
    </row>
    <row r="344" spans="1:51" x14ac:dyDescent="0.2">
      <c r="A344" s="32" t="str">
        <f t="shared" ca="1" si="5"/>
        <v>2026-03-12</v>
      </c>
      <c r="B344" s="179">
        <f ca="1">IF(ISNUMBER(MATCH(DATEVALUE($A344),'recurring1_based on steps'!B$1:B$400,0)),B$2,)</f>
        <v>0</v>
      </c>
      <c r="C344" s="179">
        <f ca="1">IF(ISNUMBER(MATCH(DATEVALUE($A344),'recurring1_based on steps'!C$1:C$400,0)),C$2,)</f>
        <v>0</v>
      </c>
      <c r="D344" s="179">
        <f ca="1">IF(ISNUMBER(MATCH(DATEVALUE($A344),'recurring1_based on steps'!D$1:D$400,0)),D$2,)</f>
        <v>0</v>
      </c>
      <c r="E344" s="179">
        <f ca="1">IF(ISNUMBER(MATCH(DATEVALUE($A344),'recurring1_based on steps'!E$1:E$400,0)),E$2,)</f>
        <v>0</v>
      </c>
      <c r="F344" s="179">
        <f ca="1">IF(ISNUMBER(MATCH(DATEVALUE($A344),'recurring1_based on steps'!F$1:F$400,0)),F$2,)</f>
        <v>0</v>
      </c>
      <c r="G344" s="179">
        <f ca="1">IF(ISNUMBER(MATCH(DATEVALUE($A344),'recurring1_based on steps'!G$1:G$400,0)),G$2,)</f>
        <v>0</v>
      </c>
      <c r="H344" s="179">
        <f ca="1">IF(ISNUMBER(MATCH(DATEVALUE($A344),'recurring1_based on steps'!H$1:H$400,0)),H$2,)</f>
        <v>0</v>
      </c>
      <c r="I344" s="179">
        <f ca="1">IF(ISNUMBER(MATCH(DATEVALUE($A344),'recurring1_based on steps'!I$1:I$400,0)),I$2,)</f>
        <v>0</v>
      </c>
      <c r="J344" s="179">
        <f ca="1">IF(ISNUMBER(MATCH(DATEVALUE($A344),'recurring1_based on steps'!J$1:J$400,0)),J$2,)</f>
        <v>0</v>
      </c>
      <c r="K344" s="179">
        <f ca="1">IF(ISNUMBER(MATCH(DATEVALUE($A344),'recurring1_based on steps'!K$1:K$400,0)),K$2,)</f>
        <v>0</v>
      </c>
      <c r="L344" s="179">
        <f ca="1">IF(ISNUMBER(MATCH(DATEVALUE($A344),'recurring1_based on steps'!L$1:L$400,0)),L$2,)</f>
        <v>0</v>
      </c>
      <c r="M344" s="179">
        <f ca="1">IF(ISNUMBER(MATCH(DATEVALUE($A344),'recurring1_based on steps'!M$1:M$400,0)),M$2,)</f>
        <v>0</v>
      </c>
      <c r="N344" s="179">
        <f ca="1">IF(ISNUMBER(MATCH(DATEVALUE($A344),'recurring1_based on steps'!N$1:N$400,0)),N$2,)</f>
        <v>0</v>
      </c>
      <c r="O344" s="179">
        <f ca="1">IF(ISNUMBER(MATCH(DATEVALUE($A344),'recurring1_based on steps'!O$1:O$400,0)),O$2,)</f>
        <v>0</v>
      </c>
      <c r="P344" s="179">
        <f ca="1">IF(ISNUMBER(MATCH(DATEVALUE($A344),'recurring1_based on steps'!P$1:P$400,0)),P$2,)</f>
        <v>0</v>
      </c>
      <c r="Q344" s="179">
        <f ca="1">IF(ISNUMBER(MATCH(DATEVALUE($A344),'recurring1_based on steps'!Q$1:Q$400,0)),Q$2,)</f>
        <v>0</v>
      </c>
      <c r="R344" s="179">
        <f ca="1">IF(ISNUMBER(MATCH(DATEVALUE($A344),'recurring1_based on steps'!R$1:R$400,0)),R$2,)</f>
        <v>0</v>
      </c>
      <c r="S344" s="179">
        <f ca="1">IF(ISNUMBER(MATCH(DATEVALUE($A344),'recurring1_based on steps'!S$1:S$400,0)),S$2,)</f>
        <v>0</v>
      </c>
      <c r="T344" s="179">
        <f ca="1">IF(ISNUMBER(MATCH(DATEVALUE($A344),'recurring1_based on steps'!T$1:T$400,0)),T$2,)</f>
        <v>0</v>
      </c>
      <c r="U344" s="179">
        <f ca="1">IF(ISNUMBER(MATCH(DATEVALUE($A344),'recurring1_based on steps'!U$1:U$400,0)),U$2,)</f>
        <v>0</v>
      </c>
      <c r="V344" s="179">
        <f ca="1">IF(ISNUMBER(MATCH(DATEVALUE($A344),'recurring1_based on steps'!V$1:V$400,0)),V$2,)</f>
        <v>0</v>
      </c>
      <c r="W344" s="179">
        <f ca="1">IF(ISNUMBER(MATCH(DATEVALUE($A344),'recurring1_based on steps'!W$1:W$400,0)),W$2,)</f>
        <v>0</v>
      </c>
      <c r="X344" s="179">
        <f ca="1">IF(ISNUMBER(MATCH(DATEVALUE($A344),'recurring1_based on steps'!X$1:X$400,0)),X$2,)</f>
        <v>0</v>
      </c>
      <c r="Y344" s="179">
        <f ca="1">IF(ISNUMBER(MATCH(DATEVALUE($A344),'recurring1_based on steps'!Y$1:Y$400,0)),Y$2,)</f>
        <v>0</v>
      </c>
      <c r="Z344" s="179">
        <f ca="1">IF(ISNUMBER(MATCH(DATEVALUE($A344),'recurring1_based on steps'!Z$1:Z$400,0)),Z$2,)</f>
        <v>0</v>
      </c>
      <c r="AA344" s="179">
        <f ca="1">IF(ISNUMBER(MATCH(DATEVALUE($A344),'recurring1_based on steps'!AA$1:AA$400,0)),AA$2,)</f>
        <v>0</v>
      </c>
      <c r="AB344" s="179">
        <f ca="1">IF(ISNUMBER(MATCH(DATEVALUE($A344),'recurring1_based on steps'!AB$1:AB$400,0)),AB$2,)</f>
        <v>0</v>
      </c>
      <c r="AC344" s="179">
        <f ca="1">IF(ISNUMBER(MATCH(DATEVALUE($A344),'recurring1_based on steps'!AC$1:AC$400,0)),AC$2,)</f>
        <v>0</v>
      </c>
      <c r="AD344" s="179">
        <f ca="1">IF(ISNUMBER(MATCH(DATEVALUE($A344),'recurring1_based on steps'!AD$1:AD$400,0)),AD$2,)</f>
        <v>0</v>
      </c>
      <c r="AE344" s="179">
        <f ca="1">IF(ISNUMBER(MATCH(DATEVALUE($A344),'recurring1_based on steps'!AE$1:AE$400,0)),AE$2,)</f>
        <v>0</v>
      </c>
      <c r="AF344" s="179">
        <f ca="1">IF(ISNUMBER(MATCH(DATEVALUE($A344),'recurring1_based on steps'!AF$1:AF$400,0)),AF$2,)</f>
        <v>0</v>
      </c>
      <c r="AG344" s="179">
        <f ca="1">IF(ISNUMBER(MATCH(DATEVALUE($A344),'recurring1_based on steps'!AG$1:AG$400,0)),AG$2,)</f>
        <v>0</v>
      </c>
      <c r="AH344" s="179">
        <f ca="1">IF(ISNUMBER(MATCH(DATEVALUE($A344),'recurring1_based on steps'!AH$1:AH$400,0)),AH$2,)</f>
        <v>0</v>
      </c>
      <c r="AI344" s="179">
        <f ca="1">IF(ISNUMBER(MATCH(DATEVALUE($A344),'recurring1_based on steps'!AI$1:AI$400,0)),AI$2,)</f>
        <v>0</v>
      </c>
      <c r="AJ344" s="179">
        <f ca="1">IF(ISNUMBER(MATCH(DATEVALUE($A344),'recurring1_based on steps'!AJ$1:AJ$400,0)),AJ$2,)</f>
        <v>0</v>
      </c>
      <c r="AK344" s="179">
        <f ca="1">IF(ISNUMBER(MATCH(DATEVALUE($A344),'recurring1_based on steps'!AK$1:AK$400,0)),AK$2,)</f>
        <v>0</v>
      </c>
      <c r="AL344" s="179">
        <f ca="1">IF(ISNUMBER(MATCH(DATEVALUE($A344),'recurring1_based on steps'!AL$1:AL$400,0)),AL$2,)</f>
        <v>0</v>
      </c>
      <c r="AM344" s="179">
        <f ca="1">IF(ISNUMBER(MATCH(DATEVALUE($A344),'recurring1_based on steps'!AM$1:AM$400,0)),AM$2,)</f>
        <v>0</v>
      </c>
      <c r="AN344" s="179">
        <f ca="1">IF(ISNUMBER(MATCH(DATEVALUE($A344),'recurring1_based on steps'!AN$1:AN$400,0)),AN$2,)</f>
        <v>0</v>
      </c>
      <c r="AO344" s="179">
        <f ca="1">IF(ISNUMBER(MATCH(DATEVALUE($A344),'recurring1_based on steps'!AO$1:AO$400,0)),AO$2,)</f>
        <v>0</v>
      </c>
      <c r="AP344" s="179">
        <f ca="1">IF(ISNUMBER(MATCH(DATEVALUE($A344),'recurring1_based on steps'!AP$1:AP$400,0)),AP$2,)</f>
        <v>0</v>
      </c>
      <c r="AQ344" s="179">
        <f ca="1">IF(ISNUMBER(MATCH(DATEVALUE($A344),'recurring1_based on steps'!AQ$1:AQ$400,0)),AQ$2,)</f>
        <v>0</v>
      </c>
      <c r="AR344" s="179">
        <f ca="1">IF(ISNUMBER(MATCH(DATEVALUE($A344),'recurring1_based on steps'!AR$1:AR$400,0)),AR$2,)</f>
        <v>0</v>
      </c>
      <c r="AS344" s="179">
        <f ca="1">IF(ISNUMBER(MATCH(DATEVALUE($A344),'recurring1_based on steps'!AS$1:AS$400,0)),AS$2,)</f>
        <v>0</v>
      </c>
      <c r="AT344" s="179">
        <f ca="1">IF(ISNUMBER(MATCH(DATEVALUE($A344),'recurring1_based on steps'!AT$1:AT$400,0)),AT$2,)</f>
        <v>0</v>
      </c>
      <c r="AU344" s="179">
        <f ca="1">IF(ISNUMBER(MATCH(DATEVALUE($A344),'recurring1_based on steps'!AU$1:AU$400,0)),AU$2,)</f>
        <v>0</v>
      </c>
      <c r="AV344" s="179">
        <f ca="1">IF(ISNUMBER(MATCH(DATEVALUE($A344),'recurring1_based on steps'!AV$1:AV$400,0)),AV$2,)</f>
        <v>0</v>
      </c>
      <c r="AW344" s="179">
        <f ca="1">IF(ISNUMBER(MATCH(DATEVALUE($A344),'recurring1_based on steps'!AW$1:AW$400,0)),AW$2,)</f>
        <v>0</v>
      </c>
      <c r="AX344" s="179">
        <f ca="1">IF(ISNUMBER(MATCH(DATEVALUE($A344),'recurring1_based on steps'!AX$1:AX$400,0)),AX$2,)</f>
        <v>0</v>
      </c>
      <c r="AY344" s="179">
        <f ca="1">IF(ISNUMBER(MATCH(DATEVALUE($A344),'recurring1_based on steps'!AY$1:AY$400,0)),AY$2,)</f>
        <v>0</v>
      </c>
    </row>
    <row r="345" spans="1:51" x14ac:dyDescent="0.2">
      <c r="A345" s="32" t="str">
        <f t="shared" ca="1" si="5"/>
        <v>2026-03-13</v>
      </c>
      <c r="B345" s="179">
        <f ca="1">IF(ISNUMBER(MATCH(DATEVALUE($A345),'recurring1_based on steps'!B$1:B$400,0)),B$2,)</f>
        <v>0</v>
      </c>
      <c r="C345" s="179">
        <f ca="1">IF(ISNUMBER(MATCH(DATEVALUE($A345),'recurring1_based on steps'!C$1:C$400,0)),C$2,)</f>
        <v>0</v>
      </c>
      <c r="D345" s="179">
        <f ca="1">IF(ISNUMBER(MATCH(DATEVALUE($A345),'recurring1_based on steps'!D$1:D$400,0)),D$2,)</f>
        <v>0</v>
      </c>
      <c r="E345" s="179">
        <f ca="1">IF(ISNUMBER(MATCH(DATEVALUE($A345),'recurring1_based on steps'!E$1:E$400,0)),E$2,)</f>
        <v>0</v>
      </c>
      <c r="F345" s="179">
        <f ca="1">IF(ISNUMBER(MATCH(DATEVALUE($A345),'recurring1_based on steps'!F$1:F$400,0)),F$2,)</f>
        <v>0</v>
      </c>
      <c r="G345" s="179">
        <f ca="1">IF(ISNUMBER(MATCH(DATEVALUE($A345),'recurring1_based on steps'!G$1:G$400,0)),G$2,)</f>
        <v>0</v>
      </c>
      <c r="H345" s="179">
        <f ca="1">IF(ISNUMBER(MATCH(DATEVALUE($A345),'recurring1_based on steps'!H$1:H$400,0)),H$2,)</f>
        <v>0</v>
      </c>
      <c r="I345" s="179">
        <f ca="1">IF(ISNUMBER(MATCH(DATEVALUE($A345),'recurring1_based on steps'!I$1:I$400,0)),I$2,)</f>
        <v>0</v>
      </c>
      <c r="J345" s="179">
        <f ca="1">IF(ISNUMBER(MATCH(DATEVALUE($A345),'recurring1_based on steps'!J$1:J$400,0)),J$2,)</f>
        <v>0</v>
      </c>
      <c r="K345" s="179">
        <f ca="1">IF(ISNUMBER(MATCH(DATEVALUE($A345),'recurring1_based on steps'!K$1:K$400,0)),K$2,)</f>
        <v>0</v>
      </c>
      <c r="L345" s="179">
        <f ca="1">IF(ISNUMBER(MATCH(DATEVALUE($A345),'recurring1_based on steps'!L$1:L$400,0)),L$2,)</f>
        <v>0</v>
      </c>
      <c r="M345" s="179">
        <f ca="1">IF(ISNUMBER(MATCH(DATEVALUE($A345),'recurring1_based on steps'!M$1:M$400,0)),M$2,)</f>
        <v>0</v>
      </c>
      <c r="N345" s="179">
        <f ca="1">IF(ISNUMBER(MATCH(DATEVALUE($A345),'recurring1_based on steps'!N$1:N$400,0)),N$2,)</f>
        <v>0</v>
      </c>
      <c r="O345" s="179">
        <f ca="1">IF(ISNUMBER(MATCH(DATEVALUE($A345),'recurring1_based on steps'!O$1:O$400,0)),O$2,)</f>
        <v>0</v>
      </c>
      <c r="P345" s="179">
        <f ca="1">IF(ISNUMBER(MATCH(DATEVALUE($A345),'recurring1_based on steps'!P$1:P$400,0)),P$2,)</f>
        <v>0</v>
      </c>
      <c r="Q345" s="179">
        <f ca="1">IF(ISNUMBER(MATCH(DATEVALUE($A345),'recurring1_based on steps'!Q$1:Q$400,0)),Q$2,)</f>
        <v>0</v>
      </c>
      <c r="R345" s="179">
        <f ca="1">IF(ISNUMBER(MATCH(DATEVALUE($A345),'recurring1_based on steps'!R$1:R$400,0)),R$2,)</f>
        <v>0</v>
      </c>
      <c r="S345" s="179">
        <f ca="1">IF(ISNUMBER(MATCH(DATEVALUE($A345),'recurring1_based on steps'!S$1:S$400,0)),S$2,)</f>
        <v>0</v>
      </c>
      <c r="T345" s="179">
        <f ca="1">IF(ISNUMBER(MATCH(DATEVALUE($A345),'recurring1_based on steps'!T$1:T$400,0)),T$2,)</f>
        <v>0</v>
      </c>
      <c r="U345" s="179">
        <f ca="1">IF(ISNUMBER(MATCH(DATEVALUE($A345),'recurring1_based on steps'!U$1:U$400,0)),U$2,)</f>
        <v>0</v>
      </c>
      <c r="V345" s="179">
        <f ca="1">IF(ISNUMBER(MATCH(DATEVALUE($A345),'recurring1_based on steps'!V$1:V$400,0)),V$2,)</f>
        <v>0</v>
      </c>
      <c r="W345" s="179">
        <f ca="1">IF(ISNUMBER(MATCH(DATEVALUE($A345),'recurring1_based on steps'!W$1:W$400,0)),W$2,)</f>
        <v>0</v>
      </c>
      <c r="X345" s="179">
        <f ca="1">IF(ISNUMBER(MATCH(DATEVALUE($A345),'recurring1_based on steps'!X$1:X$400,0)),X$2,)</f>
        <v>0</v>
      </c>
      <c r="Y345" s="179">
        <f ca="1">IF(ISNUMBER(MATCH(DATEVALUE($A345),'recurring1_based on steps'!Y$1:Y$400,0)),Y$2,)</f>
        <v>0</v>
      </c>
      <c r="Z345" s="179">
        <f ca="1">IF(ISNUMBER(MATCH(DATEVALUE($A345),'recurring1_based on steps'!Z$1:Z$400,0)),Z$2,)</f>
        <v>0</v>
      </c>
      <c r="AA345" s="179">
        <f ca="1">IF(ISNUMBER(MATCH(DATEVALUE($A345),'recurring1_based on steps'!AA$1:AA$400,0)),AA$2,)</f>
        <v>0</v>
      </c>
      <c r="AB345" s="179">
        <f ca="1">IF(ISNUMBER(MATCH(DATEVALUE($A345),'recurring1_based on steps'!AB$1:AB$400,0)),AB$2,)</f>
        <v>0</v>
      </c>
      <c r="AC345" s="179">
        <f ca="1">IF(ISNUMBER(MATCH(DATEVALUE($A345),'recurring1_based on steps'!AC$1:AC$400,0)),AC$2,)</f>
        <v>0</v>
      </c>
      <c r="AD345" s="179">
        <f ca="1">IF(ISNUMBER(MATCH(DATEVALUE($A345),'recurring1_based on steps'!AD$1:AD$400,0)),AD$2,)</f>
        <v>0</v>
      </c>
      <c r="AE345" s="179">
        <f ca="1">IF(ISNUMBER(MATCH(DATEVALUE($A345),'recurring1_based on steps'!AE$1:AE$400,0)),AE$2,)</f>
        <v>0</v>
      </c>
      <c r="AF345" s="179">
        <f ca="1">IF(ISNUMBER(MATCH(DATEVALUE($A345),'recurring1_based on steps'!AF$1:AF$400,0)),AF$2,)</f>
        <v>0</v>
      </c>
      <c r="AG345" s="179">
        <f ca="1">IF(ISNUMBER(MATCH(DATEVALUE($A345),'recurring1_based on steps'!AG$1:AG$400,0)),AG$2,)</f>
        <v>0</v>
      </c>
      <c r="AH345" s="179">
        <f ca="1">IF(ISNUMBER(MATCH(DATEVALUE($A345),'recurring1_based on steps'!AH$1:AH$400,0)),AH$2,)</f>
        <v>0</v>
      </c>
      <c r="AI345" s="179">
        <f ca="1">IF(ISNUMBER(MATCH(DATEVALUE($A345),'recurring1_based on steps'!AI$1:AI$400,0)),AI$2,)</f>
        <v>0</v>
      </c>
      <c r="AJ345" s="179">
        <f ca="1">IF(ISNUMBER(MATCH(DATEVALUE($A345),'recurring1_based on steps'!AJ$1:AJ$400,0)),AJ$2,)</f>
        <v>0</v>
      </c>
      <c r="AK345" s="179">
        <f ca="1">IF(ISNUMBER(MATCH(DATEVALUE($A345),'recurring1_based on steps'!AK$1:AK$400,0)),AK$2,)</f>
        <v>0</v>
      </c>
      <c r="AL345" s="179">
        <f ca="1">IF(ISNUMBER(MATCH(DATEVALUE($A345),'recurring1_based on steps'!AL$1:AL$400,0)),AL$2,)</f>
        <v>0</v>
      </c>
      <c r="AM345" s="179">
        <f ca="1">IF(ISNUMBER(MATCH(DATEVALUE($A345),'recurring1_based on steps'!AM$1:AM$400,0)),AM$2,)</f>
        <v>0</v>
      </c>
      <c r="AN345" s="179">
        <f ca="1">IF(ISNUMBER(MATCH(DATEVALUE($A345),'recurring1_based on steps'!AN$1:AN$400,0)),AN$2,)</f>
        <v>0</v>
      </c>
      <c r="AO345" s="179">
        <f ca="1">IF(ISNUMBER(MATCH(DATEVALUE($A345),'recurring1_based on steps'!AO$1:AO$400,0)),AO$2,)</f>
        <v>0</v>
      </c>
      <c r="AP345" s="179">
        <f ca="1">IF(ISNUMBER(MATCH(DATEVALUE($A345),'recurring1_based on steps'!AP$1:AP$400,0)),AP$2,)</f>
        <v>0</v>
      </c>
      <c r="AQ345" s="179">
        <f ca="1">IF(ISNUMBER(MATCH(DATEVALUE($A345),'recurring1_based on steps'!AQ$1:AQ$400,0)),AQ$2,)</f>
        <v>0</v>
      </c>
      <c r="AR345" s="179">
        <f ca="1">IF(ISNUMBER(MATCH(DATEVALUE($A345),'recurring1_based on steps'!AR$1:AR$400,0)),AR$2,)</f>
        <v>0</v>
      </c>
      <c r="AS345" s="179">
        <f ca="1">IF(ISNUMBER(MATCH(DATEVALUE($A345),'recurring1_based on steps'!AS$1:AS$400,0)),AS$2,)</f>
        <v>0</v>
      </c>
      <c r="AT345" s="179">
        <f ca="1">IF(ISNUMBER(MATCH(DATEVALUE($A345),'recurring1_based on steps'!AT$1:AT$400,0)),AT$2,)</f>
        <v>0</v>
      </c>
      <c r="AU345" s="179">
        <f ca="1">IF(ISNUMBER(MATCH(DATEVALUE($A345),'recurring1_based on steps'!AU$1:AU$400,0)),AU$2,)</f>
        <v>0</v>
      </c>
      <c r="AV345" s="179">
        <f ca="1">IF(ISNUMBER(MATCH(DATEVALUE($A345),'recurring1_based on steps'!AV$1:AV$400,0)),AV$2,)</f>
        <v>0</v>
      </c>
      <c r="AW345" s="179">
        <f ca="1">IF(ISNUMBER(MATCH(DATEVALUE($A345),'recurring1_based on steps'!AW$1:AW$400,0)),AW$2,)</f>
        <v>0</v>
      </c>
      <c r="AX345" s="179">
        <f ca="1">IF(ISNUMBER(MATCH(DATEVALUE($A345),'recurring1_based on steps'!AX$1:AX$400,0)),AX$2,)</f>
        <v>0</v>
      </c>
      <c r="AY345" s="179">
        <f ca="1">IF(ISNUMBER(MATCH(DATEVALUE($A345),'recurring1_based on steps'!AY$1:AY$400,0)),AY$2,)</f>
        <v>0</v>
      </c>
    </row>
    <row r="346" spans="1:51" x14ac:dyDescent="0.2">
      <c r="A346" s="32" t="str">
        <f t="shared" ca="1" si="5"/>
        <v>2026-03-14</v>
      </c>
      <c r="B346" s="179">
        <f ca="1">IF(ISNUMBER(MATCH(DATEVALUE($A346),'recurring1_based on steps'!B$1:B$400,0)),B$2,)</f>
        <v>0</v>
      </c>
      <c r="C346" s="179">
        <f ca="1">IF(ISNUMBER(MATCH(DATEVALUE($A346),'recurring1_based on steps'!C$1:C$400,0)),C$2,)</f>
        <v>0</v>
      </c>
      <c r="D346" s="179">
        <f ca="1">IF(ISNUMBER(MATCH(DATEVALUE($A346),'recurring1_based on steps'!D$1:D$400,0)),D$2,)</f>
        <v>0</v>
      </c>
      <c r="E346" s="179">
        <f ca="1">IF(ISNUMBER(MATCH(DATEVALUE($A346),'recurring1_based on steps'!E$1:E$400,0)),E$2,)</f>
        <v>0</v>
      </c>
      <c r="F346" s="179">
        <f ca="1">IF(ISNUMBER(MATCH(DATEVALUE($A346),'recurring1_based on steps'!F$1:F$400,0)),F$2,)</f>
        <v>0</v>
      </c>
      <c r="G346" s="179">
        <f ca="1">IF(ISNUMBER(MATCH(DATEVALUE($A346),'recurring1_based on steps'!G$1:G$400,0)),G$2,)</f>
        <v>0</v>
      </c>
      <c r="H346" s="179">
        <f ca="1">IF(ISNUMBER(MATCH(DATEVALUE($A346),'recurring1_based on steps'!H$1:H$400,0)),H$2,)</f>
        <v>0</v>
      </c>
      <c r="I346" s="179">
        <f ca="1">IF(ISNUMBER(MATCH(DATEVALUE($A346),'recurring1_based on steps'!I$1:I$400,0)),I$2,)</f>
        <v>0</v>
      </c>
      <c r="J346" s="179">
        <f ca="1">IF(ISNUMBER(MATCH(DATEVALUE($A346),'recurring1_based on steps'!J$1:J$400,0)),J$2,)</f>
        <v>0</v>
      </c>
      <c r="K346" s="179">
        <f ca="1">IF(ISNUMBER(MATCH(DATEVALUE($A346),'recurring1_based on steps'!K$1:K$400,0)),K$2,)</f>
        <v>0</v>
      </c>
      <c r="L346" s="179">
        <f ca="1">IF(ISNUMBER(MATCH(DATEVALUE($A346),'recurring1_based on steps'!L$1:L$400,0)),L$2,)</f>
        <v>0</v>
      </c>
      <c r="M346" s="179">
        <f ca="1">IF(ISNUMBER(MATCH(DATEVALUE($A346),'recurring1_based on steps'!M$1:M$400,0)),M$2,)</f>
        <v>0</v>
      </c>
      <c r="N346" s="179">
        <f ca="1">IF(ISNUMBER(MATCH(DATEVALUE($A346),'recurring1_based on steps'!N$1:N$400,0)),N$2,)</f>
        <v>0</v>
      </c>
      <c r="O346" s="179">
        <f ca="1">IF(ISNUMBER(MATCH(DATEVALUE($A346),'recurring1_based on steps'!O$1:O$400,0)),O$2,)</f>
        <v>0</v>
      </c>
      <c r="P346" s="179">
        <f ca="1">IF(ISNUMBER(MATCH(DATEVALUE($A346),'recurring1_based on steps'!P$1:P$400,0)),P$2,)</f>
        <v>0</v>
      </c>
      <c r="Q346" s="179">
        <f ca="1">IF(ISNUMBER(MATCH(DATEVALUE($A346),'recurring1_based on steps'!Q$1:Q$400,0)),Q$2,)</f>
        <v>0</v>
      </c>
      <c r="R346" s="179">
        <f ca="1">IF(ISNUMBER(MATCH(DATEVALUE($A346),'recurring1_based on steps'!R$1:R$400,0)),R$2,)</f>
        <v>0</v>
      </c>
      <c r="S346" s="179">
        <f ca="1">IF(ISNUMBER(MATCH(DATEVALUE($A346),'recurring1_based on steps'!S$1:S$400,0)),S$2,)</f>
        <v>0</v>
      </c>
      <c r="T346" s="179">
        <f ca="1">IF(ISNUMBER(MATCH(DATEVALUE($A346),'recurring1_based on steps'!T$1:T$400,0)),T$2,)</f>
        <v>0</v>
      </c>
      <c r="U346" s="179">
        <f ca="1">IF(ISNUMBER(MATCH(DATEVALUE($A346),'recurring1_based on steps'!U$1:U$400,0)),U$2,)</f>
        <v>0</v>
      </c>
      <c r="V346" s="179">
        <f ca="1">IF(ISNUMBER(MATCH(DATEVALUE($A346),'recurring1_based on steps'!V$1:V$400,0)),V$2,)</f>
        <v>0</v>
      </c>
      <c r="W346" s="179">
        <f ca="1">IF(ISNUMBER(MATCH(DATEVALUE($A346),'recurring1_based on steps'!W$1:W$400,0)),W$2,)</f>
        <v>0</v>
      </c>
      <c r="X346" s="179">
        <f ca="1">IF(ISNUMBER(MATCH(DATEVALUE($A346),'recurring1_based on steps'!X$1:X$400,0)),X$2,)</f>
        <v>0</v>
      </c>
      <c r="Y346" s="179">
        <f ca="1">IF(ISNUMBER(MATCH(DATEVALUE($A346),'recurring1_based on steps'!Y$1:Y$400,0)),Y$2,)</f>
        <v>0</v>
      </c>
      <c r="Z346" s="179">
        <f ca="1">IF(ISNUMBER(MATCH(DATEVALUE($A346),'recurring1_based on steps'!Z$1:Z$400,0)),Z$2,)</f>
        <v>0</v>
      </c>
      <c r="AA346" s="179">
        <f ca="1">IF(ISNUMBER(MATCH(DATEVALUE($A346),'recurring1_based on steps'!AA$1:AA$400,0)),AA$2,)</f>
        <v>0</v>
      </c>
      <c r="AB346" s="179">
        <f ca="1">IF(ISNUMBER(MATCH(DATEVALUE($A346),'recurring1_based on steps'!AB$1:AB$400,0)),AB$2,)</f>
        <v>0</v>
      </c>
      <c r="AC346" s="179">
        <f ca="1">IF(ISNUMBER(MATCH(DATEVALUE($A346),'recurring1_based on steps'!AC$1:AC$400,0)),AC$2,)</f>
        <v>0</v>
      </c>
      <c r="AD346" s="179">
        <f ca="1">IF(ISNUMBER(MATCH(DATEVALUE($A346),'recurring1_based on steps'!AD$1:AD$400,0)),AD$2,)</f>
        <v>0</v>
      </c>
      <c r="AE346" s="179">
        <f ca="1">IF(ISNUMBER(MATCH(DATEVALUE($A346),'recurring1_based on steps'!AE$1:AE$400,0)),AE$2,)</f>
        <v>0</v>
      </c>
      <c r="AF346" s="179">
        <f ca="1">IF(ISNUMBER(MATCH(DATEVALUE($A346),'recurring1_based on steps'!AF$1:AF$400,0)),AF$2,)</f>
        <v>0</v>
      </c>
      <c r="AG346" s="179">
        <f ca="1">IF(ISNUMBER(MATCH(DATEVALUE($A346),'recurring1_based on steps'!AG$1:AG$400,0)),AG$2,)</f>
        <v>0</v>
      </c>
      <c r="AH346" s="179">
        <f ca="1">IF(ISNUMBER(MATCH(DATEVALUE($A346),'recurring1_based on steps'!AH$1:AH$400,0)),AH$2,)</f>
        <v>0</v>
      </c>
      <c r="AI346" s="179">
        <f ca="1">IF(ISNUMBER(MATCH(DATEVALUE($A346),'recurring1_based on steps'!AI$1:AI$400,0)),AI$2,)</f>
        <v>0</v>
      </c>
      <c r="AJ346" s="179">
        <f ca="1">IF(ISNUMBER(MATCH(DATEVALUE($A346),'recurring1_based on steps'!AJ$1:AJ$400,0)),AJ$2,)</f>
        <v>0</v>
      </c>
      <c r="AK346" s="179">
        <f ca="1">IF(ISNUMBER(MATCH(DATEVALUE($A346),'recurring1_based on steps'!AK$1:AK$400,0)),AK$2,)</f>
        <v>0</v>
      </c>
      <c r="AL346" s="179">
        <f ca="1">IF(ISNUMBER(MATCH(DATEVALUE($A346),'recurring1_based on steps'!AL$1:AL$400,0)),AL$2,)</f>
        <v>0</v>
      </c>
      <c r="AM346" s="179">
        <f ca="1">IF(ISNUMBER(MATCH(DATEVALUE($A346),'recurring1_based on steps'!AM$1:AM$400,0)),AM$2,)</f>
        <v>0</v>
      </c>
      <c r="AN346" s="179">
        <f ca="1">IF(ISNUMBER(MATCH(DATEVALUE($A346),'recurring1_based on steps'!AN$1:AN$400,0)),AN$2,)</f>
        <v>0</v>
      </c>
      <c r="AO346" s="179">
        <f ca="1">IF(ISNUMBER(MATCH(DATEVALUE($A346),'recurring1_based on steps'!AO$1:AO$400,0)),AO$2,)</f>
        <v>0</v>
      </c>
      <c r="AP346" s="179">
        <f ca="1">IF(ISNUMBER(MATCH(DATEVALUE($A346),'recurring1_based on steps'!AP$1:AP$400,0)),AP$2,)</f>
        <v>0</v>
      </c>
      <c r="AQ346" s="179">
        <f ca="1">IF(ISNUMBER(MATCH(DATEVALUE($A346),'recurring1_based on steps'!AQ$1:AQ$400,0)),AQ$2,)</f>
        <v>0</v>
      </c>
      <c r="AR346" s="179">
        <f ca="1">IF(ISNUMBER(MATCH(DATEVALUE($A346),'recurring1_based on steps'!AR$1:AR$400,0)),AR$2,)</f>
        <v>0</v>
      </c>
      <c r="AS346" s="179">
        <f ca="1">IF(ISNUMBER(MATCH(DATEVALUE($A346),'recurring1_based on steps'!AS$1:AS$400,0)),AS$2,)</f>
        <v>0</v>
      </c>
      <c r="AT346" s="179">
        <f ca="1">IF(ISNUMBER(MATCH(DATEVALUE($A346),'recurring1_based on steps'!AT$1:AT$400,0)),AT$2,)</f>
        <v>0</v>
      </c>
      <c r="AU346" s="179">
        <f ca="1">IF(ISNUMBER(MATCH(DATEVALUE($A346),'recurring1_based on steps'!AU$1:AU$400,0)),AU$2,)</f>
        <v>0</v>
      </c>
      <c r="AV346" s="179">
        <f ca="1">IF(ISNUMBER(MATCH(DATEVALUE($A346),'recurring1_based on steps'!AV$1:AV$400,0)),AV$2,)</f>
        <v>0</v>
      </c>
      <c r="AW346" s="179">
        <f ca="1">IF(ISNUMBER(MATCH(DATEVALUE($A346),'recurring1_based on steps'!AW$1:AW$400,0)),AW$2,)</f>
        <v>0</v>
      </c>
      <c r="AX346" s="179">
        <f ca="1">IF(ISNUMBER(MATCH(DATEVALUE($A346),'recurring1_based on steps'!AX$1:AX$400,0)),AX$2,)</f>
        <v>0</v>
      </c>
      <c r="AY346" s="179">
        <f ca="1">IF(ISNUMBER(MATCH(DATEVALUE($A346),'recurring1_based on steps'!AY$1:AY$400,0)),AY$2,)</f>
        <v>0</v>
      </c>
    </row>
    <row r="347" spans="1:51" x14ac:dyDescent="0.2">
      <c r="A347" s="32" t="str">
        <f t="shared" ca="1" si="5"/>
        <v>2026-03-15</v>
      </c>
      <c r="B347" s="179">
        <f ca="1">IF(ISNUMBER(MATCH(DATEVALUE($A347),'recurring1_based on steps'!B$1:B$400,0)),B$2,)</f>
        <v>0</v>
      </c>
      <c r="C347" s="179">
        <f ca="1">IF(ISNUMBER(MATCH(DATEVALUE($A347),'recurring1_based on steps'!C$1:C$400,0)),C$2,)</f>
        <v>0</v>
      </c>
      <c r="D347" s="179">
        <f ca="1">IF(ISNUMBER(MATCH(DATEVALUE($A347),'recurring1_based on steps'!D$1:D$400,0)),D$2,)</f>
        <v>0</v>
      </c>
      <c r="E347" s="179">
        <f ca="1">IF(ISNUMBER(MATCH(DATEVALUE($A347),'recurring1_based on steps'!E$1:E$400,0)),E$2,)</f>
        <v>0</v>
      </c>
      <c r="F347" s="179">
        <f ca="1">IF(ISNUMBER(MATCH(DATEVALUE($A347),'recurring1_based on steps'!F$1:F$400,0)),F$2,)</f>
        <v>0</v>
      </c>
      <c r="G347" s="179">
        <f ca="1">IF(ISNUMBER(MATCH(DATEVALUE($A347),'recurring1_based on steps'!G$1:G$400,0)),G$2,)</f>
        <v>0</v>
      </c>
      <c r="H347" s="179">
        <f ca="1">IF(ISNUMBER(MATCH(DATEVALUE($A347),'recurring1_based on steps'!H$1:H$400,0)),H$2,)</f>
        <v>0</v>
      </c>
      <c r="I347" s="179">
        <f ca="1">IF(ISNUMBER(MATCH(DATEVALUE($A347),'recurring1_based on steps'!I$1:I$400,0)),I$2,)</f>
        <v>0</v>
      </c>
      <c r="J347" s="179">
        <f ca="1">IF(ISNUMBER(MATCH(DATEVALUE($A347),'recurring1_based on steps'!J$1:J$400,0)),J$2,)</f>
        <v>0</v>
      </c>
      <c r="K347" s="179">
        <f ca="1">IF(ISNUMBER(MATCH(DATEVALUE($A347),'recurring1_based on steps'!K$1:K$400,0)),K$2,)</f>
        <v>0</v>
      </c>
      <c r="L347" s="179">
        <f ca="1">IF(ISNUMBER(MATCH(DATEVALUE($A347),'recurring1_based on steps'!L$1:L$400,0)),L$2,)</f>
        <v>0</v>
      </c>
      <c r="M347" s="179">
        <f ca="1">IF(ISNUMBER(MATCH(DATEVALUE($A347),'recurring1_based on steps'!M$1:M$400,0)),M$2,)</f>
        <v>0</v>
      </c>
      <c r="N347" s="179">
        <f ca="1">IF(ISNUMBER(MATCH(DATEVALUE($A347),'recurring1_based on steps'!N$1:N$400,0)),N$2,)</f>
        <v>0</v>
      </c>
      <c r="O347" s="179">
        <f ca="1">IF(ISNUMBER(MATCH(DATEVALUE($A347),'recurring1_based on steps'!O$1:O$400,0)),O$2,)</f>
        <v>0</v>
      </c>
      <c r="P347" s="179">
        <f ca="1">IF(ISNUMBER(MATCH(DATEVALUE($A347),'recurring1_based on steps'!P$1:P$400,0)),P$2,)</f>
        <v>0</v>
      </c>
      <c r="Q347" s="179">
        <f ca="1">IF(ISNUMBER(MATCH(DATEVALUE($A347),'recurring1_based on steps'!Q$1:Q$400,0)),Q$2,)</f>
        <v>0</v>
      </c>
      <c r="R347" s="179">
        <f ca="1">IF(ISNUMBER(MATCH(DATEVALUE($A347),'recurring1_based on steps'!R$1:R$400,0)),R$2,)</f>
        <v>0</v>
      </c>
      <c r="S347" s="179">
        <f ca="1">IF(ISNUMBER(MATCH(DATEVALUE($A347),'recurring1_based on steps'!S$1:S$400,0)),S$2,)</f>
        <v>0</v>
      </c>
      <c r="T347" s="179">
        <f ca="1">IF(ISNUMBER(MATCH(DATEVALUE($A347),'recurring1_based on steps'!T$1:T$400,0)),T$2,)</f>
        <v>0</v>
      </c>
      <c r="U347" s="179">
        <f ca="1">IF(ISNUMBER(MATCH(DATEVALUE($A347),'recurring1_based on steps'!U$1:U$400,0)),U$2,)</f>
        <v>0</v>
      </c>
      <c r="V347" s="179">
        <f ca="1">IF(ISNUMBER(MATCH(DATEVALUE($A347),'recurring1_based on steps'!V$1:V$400,0)),V$2,)</f>
        <v>0</v>
      </c>
      <c r="W347" s="179">
        <f ca="1">IF(ISNUMBER(MATCH(DATEVALUE($A347),'recurring1_based on steps'!W$1:W$400,0)),W$2,)</f>
        <v>0</v>
      </c>
      <c r="X347" s="179">
        <f ca="1">IF(ISNUMBER(MATCH(DATEVALUE($A347),'recurring1_based on steps'!X$1:X$400,0)),X$2,)</f>
        <v>0</v>
      </c>
      <c r="Y347" s="179">
        <f ca="1">IF(ISNUMBER(MATCH(DATEVALUE($A347),'recurring1_based on steps'!Y$1:Y$400,0)),Y$2,)</f>
        <v>0</v>
      </c>
      <c r="Z347" s="179">
        <f ca="1">IF(ISNUMBER(MATCH(DATEVALUE($A347),'recurring1_based on steps'!Z$1:Z$400,0)),Z$2,)</f>
        <v>0</v>
      </c>
      <c r="AA347" s="179">
        <f ca="1">IF(ISNUMBER(MATCH(DATEVALUE($A347),'recurring1_based on steps'!AA$1:AA$400,0)),AA$2,)</f>
        <v>0</v>
      </c>
      <c r="AB347" s="179">
        <f ca="1">IF(ISNUMBER(MATCH(DATEVALUE($A347),'recurring1_based on steps'!AB$1:AB$400,0)),AB$2,)</f>
        <v>0</v>
      </c>
      <c r="AC347" s="179">
        <f ca="1">IF(ISNUMBER(MATCH(DATEVALUE($A347),'recurring1_based on steps'!AC$1:AC$400,0)),AC$2,)</f>
        <v>0</v>
      </c>
      <c r="AD347" s="179">
        <f ca="1">IF(ISNUMBER(MATCH(DATEVALUE($A347),'recurring1_based on steps'!AD$1:AD$400,0)),AD$2,)</f>
        <v>0</v>
      </c>
      <c r="AE347" s="179">
        <f ca="1">IF(ISNUMBER(MATCH(DATEVALUE($A347),'recurring1_based on steps'!AE$1:AE$400,0)),AE$2,)</f>
        <v>0</v>
      </c>
      <c r="AF347" s="179">
        <f ca="1">IF(ISNUMBER(MATCH(DATEVALUE($A347),'recurring1_based on steps'!AF$1:AF$400,0)),AF$2,)</f>
        <v>0</v>
      </c>
      <c r="AG347" s="179">
        <f ca="1">IF(ISNUMBER(MATCH(DATEVALUE($A347),'recurring1_based on steps'!AG$1:AG$400,0)),AG$2,)</f>
        <v>0</v>
      </c>
      <c r="AH347" s="179">
        <f ca="1">IF(ISNUMBER(MATCH(DATEVALUE($A347),'recurring1_based on steps'!AH$1:AH$400,0)),AH$2,)</f>
        <v>0</v>
      </c>
      <c r="AI347" s="179">
        <f ca="1">IF(ISNUMBER(MATCH(DATEVALUE($A347),'recurring1_based on steps'!AI$1:AI$400,0)),AI$2,)</f>
        <v>0</v>
      </c>
      <c r="AJ347" s="179">
        <f ca="1">IF(ISNUMBER(MATCH(DATEVALUE($A347),'recurring1_based on steps'!AJ$1:AJ$400,0)),AJ$2,)</f>
        <v>0</v>
      </c>
      <c r="AK347" s="179">
        <f ca="1">IF(ISNUMBER(MATCH(DATEVALUE($A347),'recurring1_based on steps'!AK$1:AK$400,0)),AK$2,)</f>
        <v>0</v>
      </c>
      <c r="AL347" s="179">
        <f ca="1">IF(ISNUMBER(MATCH(DATEVALUE($A347),'recurring1_based on steps'!AL$1:AL$400,0)),AL$2,)</f>
        <v>0</v>
      </c>
      <c r="AM347" s="179">
        <f ca="1">IF(ISNUMBER(MATCH(DATEVALUE($A347),'recurring1_based on steps'!AM$1:AM$400,0)),AM$2,)</f>
        <v>0</v>
      </c>
      <c r="AN347" s="179">
        <f ca="1">IF(ISNUMBER(MATCH(DATEVALUE($A347),'recurring1_based on steps'!AN$1:AN$400,0)),AN$2,)</f>
        <v>0</v>
      </c>
      <c r="AO347" s="179">
        <f ca="1">IF(ISNUMBER(MATCH(DATEVALUE($A347),'recurring1_based on steps'!AO$1:AO$400,0)),AO$2,)</f>
        <v>0</v>
      </c>
      <c r="AP347" s="179">
        <f ca="1">IF(ISNUMBER(MATCH(DATEVALUE($A347),'recurring1_based on steps'!AP$1:AP$400,0)),AP$2,)</f>
        <v>0</v>
      </c>
      <c r="AQ347" s="179">
        <f ca="1">IF(ISNUMBER(MATCH(DATEVALUE($A347),'recurring1_based on steps'!AQ$1:AQ$400,0)),AQ$2,)</f>
        <v>0</v>
      </c>
      <c r="AR347" s="179">
        <f ca="1">IF(ISNUMBER(MATCH(DATEVALUE($A347),'recurring1_based on steps'!AR$1:AR$400,0)),AR$2,)</f>
        <v>0</v>
      </c>
      <c r="AS347" s="179">
        <f ca="1">IF(ISNUMBER(MATCH(DATEVALUE($A347),'recurring1_based on steps'!AS$1:AS$400,0)),AS$2,)</f>
        <v>0</v>
      </c>
      <c r="AT347" s="179">
        <f ca="1">IF(ISNUMBER(MATCH(DATEVALUE($A347),'recurring1_based on steps'!AT$1:AT$400,0)),AT$2,)</f>
        <v>0</v>
      </c>
      <c r="AU347" s="179">
        <f ca="1">IF(ISNUMBER(MATCH(DATEVALUE($A347),'recurring1_based on steps'!AU$1:AU$400,0)),AU$2,)</f>
        <v>0</v>
      </c>
      <c r="AV347" s="179">
        <f ca="1">IF(ISNUMBER(MATCH(DATEVALUE($A347),'recurring1_based on steps'!AV$1:AV$400,0)),AV$2,)</f>
        <v>0</v>
      </c>
      <c r="AW347" s="179">
        <f ca="1">IF(ISNUMBER(MATCH(DATEVALUE($A347),'recurring1_based on steps'!AW$1:AW$400,0)),AW$2,)</f>
        <v>0</v>
      </c>
      <c r="AX347" s="179">
        <f ca="1">IF(ISNUMBER(MATCH(DATEVALUE($A347),'recurring1_based on steps'!AX$1:AX$400,0)),AX$2,)</f>
        <v>0</v>
      </c>
      <c r="AY347" s="179">
        <f ca="1">IF(ISNUMBER(MATCH(DATEVALUE($A347),'recurring1_based on steps'!AY$1:AY$400,0)),AY$2,)</f>
        <v>0</v>
      </c>
    </row>
    <row r="348" spans="1:51" x14ac:dyDescent="0.2">
      <c r="A348" s="32" t="str">
        <f t="shared" ca="1" si="5"/>
        <v>2026-03-16</v>
      </c>
      <c r="B348" s="179">
        <f ca="1">IF(ISNUMBER(MATCH(DATEVALUE($A348),'recurring1_based on steps'!B$1:B$400,0)),B$2,)</f>
        <v>0</v>
      </c>
      <c r="C348" s="179">
        <f ca="1">IF(ISNUMBER(MATCH(DATEVALUE($A348),'recurring1_based on steps'!C$1:C$400,0)),C$2,)</f>
        <v>0</v>
      </c>
      <c r="D348" s="179">
        <f ca="1">IF(ISNUMBER(MATCH(DATEVALUE($A348),'recurring1_based on steps'!D$1:D$400,0)),D$2,)</f>
        <v>0</v>
      </c>
      <c r="E348" s="179">
        <f ca="1">IF(ISNUMBER(MATCH(DATEVALUE($A348),'recurring1_based on steps'!E$1:E$400,0)),E$2,)</f>
        <v>0</v>
      </c>
      <c r="F348" s="179">
        <f ca="1">IF(ISNUMBER(MATCH(DATEVALUE($A348),'recurring1_based on steps'!F$1:F$400,0)),F$2,)</f>
        <v>0</v>
      </c>
      <c r="G348" s="179">
        <f ca="1">IF(ISNUMBER(MATCH(DATEVALUE($A348),'recurring1_based on steps'!G$1:G$400,0)),G$2,)</f>
        <v>0</v>
      </c>
      <c r="H348" s="179">
        <f ca="1">IF(ISNUMBER(MATCH(DATEVALUE($A348),'recurring1_based on steps'!H$1:H$400,0)),H$2,)</f>
        <v>0</v>
      </c>
      <c r="I348" s="179">
        <f ca="1">IF(ISNUMBER(MATCH(DATEVALUE($A348),'recurring1_based on steps'!I$1:I$400,0)),I$2,)</f>
        <v>0</v>
      </c>
      <c r="J348" s="179">
        <f ca="1">IF(ISNUMBER(MATCH(DATEVALUE($A348),'recurring1_based on steps'!J$1:J$400,0)),J$2,)</f>
        <v>0</v>
      </c>
      <c r="K348" s="179">
        <f ca="1">IF(ISNUMBER(MATCH(DATEVALUE($A348),'recurring1_based on steps'!K$1:K$400,0)),K$2,)</f>
        <v>0</v>
      </c>
      <c r="L348" s="179">
        <f ca="1">IF(ISNUMBER(MATCH(DATEVALUE($A348),'recurring1_based on steps'!L$1:L$400,0)),L$2,)</f>
        <v>0</v>
      </c>
      <c r="M348" s="179">
        <f ca="1">IF(ISNUMBER(MATCH(DATEVALUE($A348),'recurring1_based on steps'!M$1:M$400,0)),M$2,)</f>
        <v>0</v>
      </c>
      <c r="N348" s="179">
        <f ca="1">IF(ISNUMBER(MATCH(DATEVALUE($A348),'recurring1_based on steps'!N$1:N$400,0)),N$2,)</f>
        <v>0</v>
      </c>
      <c r="O348" s="179">
        <f ca="1">IF(ISNUMBER(MATCH(DATEVALUE($A348),'recurring1_based on steps'!O$1:O$400,0)),O$2,)</f>
        <v>0</v>
      </c>
      <c r="P348" s="179">
        <f ca="1">IF(ISNUMBER(MATCH(DATEVALUE($A348),'recurring1_based on steps'!P$1:P$400,0)),P$2,)</f>
        <v>0</v>
      </c>
      <c r="Q348" s="179">
        <f ca="1">IF(ISNUMBER(MATCH(DATEVALUE($A348),'recurring1_based on steps'!Q$1:Q$400,0)),Q$2,)</f>
        <v>0</v>
      </c>
      <c r="R348" s="179">
        <f ca="1">IF(ISNUMBER(MATCH(DATEVALUE($A348),'recurring1_based on steps'!R$1:R$400,0)),R$2,)</f>
        <v>0</v>
      </c>
      <c r="S348" s="179">
        <f ca="1">IF(ISNUMBER(MATCH(DATEVALUE($A348),'recurring1_based on steps'!S$1:S$400,0)),S$2,)</f>
        <v>0</v>
      </c>
      <c r="T348" s="179">
        <f ca="1">IF(ISNUMBER(MATCH(DATEVALUE($A348),'recurring1_based on steps'!T$1:T$400,0)),T$2,)</f>
        <v>0</v>
      </c>
      <c r="U348" s="179">
        <f ca="1">IF(ISNUMBER(MATCH(DATEVALUE($A348),'recurring1_based on steps'!U$1:U$400,0)),U$2,)</f>
        <v>0</v>
      </c>
      <c r="V348" s="179">
        <f ca="1">IF(ISNUMBER(MATCH(DATEVALUE($A348),'recurring1_based on steps'!V$1:V$400,0)),V$2,)</f>
        <v>0</v>
      </c>
      <c r="W348" s="179">
        <f ca="1">IF(ISNUMBER(MATCH(DATEVALUE($A348),'recurring1_based on steps'!W$1:W$400,0)),W$2,)</f>
        <v>0</v>
      </c>
      <c r="X348" s="179">
        <f ca="1">IF(ISNUMBER(MATCH(DATEVALUE($A348),'recurring1_based on steps'!X$1:X$400,0)),X$2,)</f>
        <v>0</v>
      </c>
      <c r="Y348" s="179">
        <f ca="1">IF(ISNUMBER(MATCH(DATEVALUE($A348),'recurring1_based on steps'!Y$1:Y$400,0)),Y$2,)</f>
        <v>0</v>
      </c>
      <c r="Z348" s="179">
        <f ca="1">IF(ISNUMBER(MATCH(DATEVALUE($A348),'recurring1_based on steps'!Z$1:Z$400,0)),Z$2,)</f>
        <v>0</v>
      </c>
      <c r="AA348" s="179">
        <f ca="1">IF(ISNUMBER(MATCH(DATEVALUE($A348),'recurring1_based on steps'!AA$1:AA$400,0)),AA$2,)</f>
        <v>0</v>
      </c>
      <c r="AB348" s="179">
        <f ca="1">IF(ISNUMBER(MATCH(DATEVALUE($A348),'recurring1_based on steps'!AB$1:AB$400,0)),AB$2,)</f>
        <v>0</v>
      </c>
      <c r="AC348" s="179">
        <f ca="1">IF(ISNUMBER(MATCH(DATEVALUE($A348),'recurring1_based on steps'!AC$1:AC$400,0)),AC$2,)</f>
        <v>0</v>
      </c>
      <c r="AD348" s="179">
        <f ca="1">IF(ISNUMBER(MATCH(DATEVALUE($A348),'recurring1_based on steps'!AD$1:AD$400,0)),AD$2,)</f>
        <v>0</v>
      </c>
      <c r="AE348" s="179">
        <f ca="1">IF(ISNUMBER(MATCH(DATEVALUE($A348),'recurring1_based on steps'!AE$1:AE$400,0)),AE$2,)</f>
        <v>0</v>
      </c>
      <c r="AF348" s="179">
        <f ca="1">IF(ISNUMBER(MATCH(DATEVALUE($A348),'recurring1_based on steps'!AF$1:AF$400,0)),AF$2,)</f>
        <v>0</v>
      </c>
      <c r="AG348" s="179">
        <f ca="1">IF(ISNUMBER(MATCH(DATEVALUE($A348),'recurring1_based on steps'!AG$1:AG$400,0)),AG$2,)</f>
        <v>0</v>
      </c>
      <c r="AH348" s="179">
        <f ca="1">IF(ISNUMBER(MATCH(DATEVALUE($A348),'recurring1_based on steps'!AH$1:AH$400,0)),AH$2,)</f>
        <v>0</v>
      </c>
      <c r="AI348" s="179">
        <f ca="1">IF(ISNUMBER(MATCH(DATEVALUE($A348),'recurring1_based on steps'!AI$1:AI$400,0)),AI$2,)</f>
        <v>0</v>
      </c>
      <c r="AJ348" s="179">
        <f ca="1">IF(ISNUMBER(MATCH(DATEVALUE($A348),'recurring1_based on steps'!AJ$1:AJ$400,0)),AJ$2,)</f>
        <v>0</v>
      </c>
      <c r="AK348" s="179">
        <f ca="1">IF(ISNUMBER(MATCH(DATEVALUE($A348),'recurring1_based on steps'!AK$1:AK$400,0)),AK$2,)</f>
        <v>0</v>
      </c>
      <c r="AL348" s="179">
        <f ca="1">IF(ISNUMBER(MATCH(DATEVALUE($A348),'recurring1_based on steps'!AL$1:AL$400,0)),AL$2,)</f>
        <v>0</v>
      </c>
      <c r="AM348" s="179">
        <f ca="1">IF(ISNUMBER(MATCH(DATEVALUE($A348),'recurring1_based on steps'!AM$1:AM$400,0)),AM$2,)</f>
        <v>0</v>
      </c>
      <c r="AN348" s="179">
        <f ca="1">IF(ISNUMBER(MATCH(DATEVALUE($A348),'recurring1_based on steps'!AN$1:AN$400,0)),AN$2,)</f>
        <v>0</v>
      </c>
      <c r="AO348" s="179">
        <f ca="1">IF(ISNUMBER(MATCH(DATEVALUE($A348),'recurring1_based on steps'!AO$1:AO$400,0)),AO$2,)</f>
        <v>0</v>
      </c>
      <c r="AP348" s="179">
        <f ca="1">IF(ISNUMBER(MATCH(DATEVALUE($A348),'recurring1_based on steps'!AP$1:AP$400,0)),AP$2,)</f>
        <v>0</v>
      </c>
      <c r="AQ348" s="179">
        <f ca="1">IF(ISNUMBER(MATCH(DATEVALUE($A348),'recurring1_based on steps'!AQ$1:AQ$400,0)),AQ$2,)</f>
        <v>0</v>
      </c>
      <c r="AR348" s="179">
        <f ca="1">IF(ISNUMBER(MATCH(DATEVALUE($A348),'recurring1_based on steps'!AR$1:AR$400,0)),AR$2,)</f>
        <v>0</v>
      </c>
      <c r="AS348" s="179">
        <f ca="1">IF(ISNUMBER(MATCH(DATEVALUE($A348),'recurring1_based on steps'!AS$1:AS$400,0)),AS$2,)</f>
        <v>0</v>
      </c>
      <c r="AT348" s="179">
        <f ca="1">IF(ISNUMBER(MATCH(DATEVALUE($A348),'recurring1_based on steps'!AT$1:AT$400,0)),AT$2,)</f>
        <v>0</v>
      </c>
      <c r="AU348" s="179">
        <f ca="1">IF(ISNUMBER(MATCH(DATEVALUE($A348),'recurring1_based on steps'!AU$1:AU$400,0)),AU$2,)</f>
        <v>0</v>
      </c>
      <c r="AV348" s="179">
        <f ca="1">IF(ISNUMBER(MATCH(DATEVALUE($A348),'recurring1_based on steps'!AV$1:AV$400,0)),AV$2,)</f>
        <v>0</v>
      </c>
      <c r="AW348" s="179">
        <f ca="1">IF(ISNUMBER(MATCH(DATEVALUE($A348),'recurring1_based on steps'!AW$1:AW$400,0)),AW$2,)</f>
        <v>0</v>
      </c>
      <c r="AX348" s="179">
        <f ca="1">IF(ISNUMBER(MATCH(DATEVALUE($A348),'recurring1_based on steps'!AX$1:AX$400,0)),AX$2,)</f>
        <v>0</v>
      </c>
      <c r="AY348" s="179">
        <f ca="1">IF(ISNUMBER(MATCH(DATEVALUE($A348),'recurring1_based on steps'!AY$1:AY$400,0)),AY$2,)</f>
        <v>0</v>
      </c>
    </row>
    <row r="349" spans="1:51" x14ac:dyDescent="0.2">
      <c r="A349" s="32" t="str">
        <f t="shared" ca="1" si="5"/>
        <v>2026-03-17</v>
      </c>
      <c r="B349" s="179">
        <f ca="1">IF(ISNUMBER(MATCH(DATEVALUE($A349),'recurring1_based on steps'!B$1:B$400,0)),B$2,)</f>
        <v>0</v>
      </c>
      <c r="C349" s="179">
        <f ca="1">IF(ISNUMBER(MATCH(DATEVALUE($A349),'recurring1_based on steps'!C$1:C$400,0)),C$2,)</f>
        <v>0</v>
      </c>
      <c r="D349" s="179">
        <f ca="1">IF(ISNUMBER(MATCH(DATEVALUE($A349),'recurring1_based on steps'!D$1:D$400,0)),D$2,)</f>
        <v>0</v>
      </c>
      <c r="E349" s="179">
        <f ca="1">IF(ISNUMBER(MATCH(DATEVALUE($A349),'recurring1_based on steps'!E$1:E$400,0)),E$2,)</f>
        <v>0</v>
      </c>
      <c r="F349" s="179">
        <f ca="1">IF(ISNUMBER(MATCH(DATEVALUE($A349),'recurring1_based on steps'!F$1:F$400,0)),F$2,)</f>
        <v>0</v>
      </c>
      <c r="G349" s="179">
        <f ca="1">IF(ISNUMBER(MATCH(DATEVALUE($A349),'recurring1_based on steps'!G$1:G$400,0)),G$2,)</f>
        <v>0</v>
      </c>
      <c r="H349" s="179">
        <f ca="1">IF(ISNUMBER(MATCH(DATEVALUE($A349),'recurring1_based on steps'!H$1:H$400,0)),H$2,)</f>
        <v>0</v>
      </c>
      <c r="I349" s="179">
        <f ca="1">IF(ISNUMBER(MATCH(DATEVALUE($A349),'recurring1_based on steps'!I$1:I$400,0)),I$2,)</f>
        <v>0</v>
      </c>
      <c r="J349" s="179">
        <f ca="1">IF(ISNUMBER(MATCH(DATEVALUE($A349),'recurring1_based on steps'!J$1:J$400,0)),J$2,)</f>
        <v>0</v>
      </c>
      <c r="K349" s="179">
        <f ca="1">IF(ISNUMBER(MATCH(DATEVALUE($A349),'recurring1_based on steps'!K$1:K$400,0)),K$2,)</f>
        <v>0</v>
      </c>
      <c r="L349" s="179">
        <f ca="1">IF(ISNUMBER(MATCH(DATEVALUE($A349),'recurring1_based on steps'!L$1:L$400,0)),L$2,)</f>
        <v>0</v>
      </c>
      <c r="M349" s="179">
        <f ca="1">IF(ISNUMBER(MATCH(DATEVALUE($A349),'recurring1_based on steps'!M$1:M$400,0)),M$2,)</f>
        <v>0</v>
      </c>
      <c r="N349" s="179">
        <f ca="1">IF(ISNUMBER(MATCH(DATEVALUE($A349),'recurring1_based on steps'!N$1:N$400,0)),N$2,)</f>
        <v>0</v>
      </c>
      <c r="O349" s="179">
        <f ca="1">IF(ISNUMBER(MATCH(DATEVALUE($A349),'recurring1_based on steps'!O$1:O$400,0)),O$2,)</f>
        <v>0</v>
      </c>
      <c r="P349" s="179">
        <f ca="1">IF(ISNUMBER(MATCH(DATEVALUE($A349),'recurring1_based on steps'!P$1:P$400,0)),P$2,)</f>
        <v>0</v>
      </c>
      <c r="Q349" s="179">
        <f ca="1">IF(ISNUMBER(MATCH(DATEVALUE($A349),'recurring1_based on steps'!Q$1:Q$400,0)),Q$2,)</f>
        <v>0</v>
      </c>
      <c r="R349" s="179">
        <f ca="1">IF(ISNUMBER(MATCH(DATEVALUE($A349),'recurring1_based on steps'!R$1:R$400,0)),R$2,)</f>
        <v>0</v>
      </c>
      <c r="S349" s="179">
        <f ca="1">IF(ISNUMBER(MATCH(DATEVALUE($A349),'recurring1_based on steps'!S$1:S$400,0)),S$2,)</f>
        <v>0</v>
      </c>
      <c r="T349" s="179">
        <f ca="1">IF(ISNUMBER(MATCH(DATEVALUE($A349),'recurring1_based on steps'!T$1:T$400,0)),T$2,)</f>
        <v>0</v>
      </c>
      <c r="U349" s="179">
        <f ca="1">IF(ISNUMBER(MATCH(DATEVALUE($A349),'recurring1_based on steps'!U$1:U$400,0)),U$2,)</f>
        <v>0</v>
      </c>
      <c r="V349" s="179">
        <f ca="1">IF(ISNUMBER(MATCH(DATEVALUE($A349),'recurring1_based on steps'!V$1:V$400,0)),V$2,)</f>
        <v>0</v>
      </c>
      <c r="W349" s="179">
        <f ca="1">IF(ISNUMBER(MATCH(DATEVALUE($A349),'recurring1_based on steps'!W$1:W$400,0)),W$2,)</f>
        <v>0</v>
      </c>
      <c r="X349" s="179">
        <f ca="1">IF(ISNUMBER(MATCH(DATEVALUE($A349),'recurring1_based on steps'!X$1:X$400,0)),X$2,)</f>
        <v>0</v>
      </c>
      <c r="Y349" s="179">
        <f ca="1">IF(ISNUMBER(MATCH(DATEVALUE($A349),'recurring1_based on steps'!Y$1:Y$400,0)),Y$2,)</f>
        <v>0</v>
      </c>
      <c r="Z349" s="179">
        <f ca="1">IF(ISNUMBER(MATCH(DATEVALUE($A349),'recurring1_based on steps'!Z$1:Z$400,0)),Z$2,)</f>
        <v>0</v>
      </c>
      <c r="AA349" s="179">
        <f ca="1">IF(ISNUMBER(MATCH(DATEVALUE($A349),'recurring1_based on steps'!AA$1:AA$400,0)),AA$2,)</f>
        <v>0</v>
      </c>
      <c r="AB349" s="179">
        <f ca="1">IF(ISNUMBER(MATCH(DATEVALUE($A349),'recurring1_based on steps'!AB$1:AB$400,0)),AB$2,)</f>
        <v>0</v>
      </c>
      <c r="AC349" s="179">
        <f ca="1">IF(ISNUMBER(MATCH(DATEVALUE($A349),'recurring1_based on steps'!AC$1:AC$400,0)),AC$2,)</f>
        <v>0</v>
      </c>
      <c r="AD349" s="179">
        <f ca="1">IF(ISNUMBER(MATCH(DATEVALUE($A349),'recurring1_based on steps'!AD$1:AD$400,0)),AD$2,)</f>
        <v>0</v>
      </c>
      <c r="AE349" s="179">
        <f ca="1">IF(ISNUMBER(MATCH(DATEVALUE($A349),'recurring1_based on steps'!AE$1:AE$400,0)),AE$2,)</f>
        <v>0</v>
      </c>
      <c r="AF349" s="179">
        <f ca="1">IF(ISNUMBER(MATCH(DATEVALUE($A349),'recurring1_based on steps'!AF$1:AF$400,0)),AF$2,)</f>
        <v>0</v>
      </c>
      <c r="AG349" s="179">
        <f ca="1">IF(ISNUMBER(MATCH(DATEVALUE($A349),'recurring1_based on steps'!AG$1:AG$400,0)),AG$2,)</f>
        <v>0</v>
      </c>
      <c r="AH349" s="179">
        <f ca="1">IF(ISNUMBER(MATCH(DATEVALUE($A349),'recurring1_based on steps'!AH$1:AH$400,0)),AH$2,)</f>
        <v>0</v>
      </c>
      <c r="AI349" s="179">
        <f ca="1">IF(ISNUMBER(MATCH(DATEVALUE($A349),'recurring1_based on steps'!AI$1:AI$400,0)),AI$2,)</f>
        <v>0</v>
      </c>
      <c r="AJ349" s="179">
        <f ca="1">IF(ISNUMBER(MATCH(DATEVALUE($A349),'recurring1_based on steps'!AJ$1:AJ$400,0)),AJ$2,)</f>
        <v>0</v>
      </c>
      <c r="AK349" s="179">
        <f ca="1">IF(ISNUMBER(MATCH(DATEVALUE($A349),'recurring1_based on steps'!AK$1:AK$400,0)),AK$2,)</f>
        <v>0</v>
      </c>
      <c r="AL349" s="179">
        <f ca="1">IF(ISNUMBER(MATCH(DATEVALUE($A349),'recurring1_based on steps'!AL$1:AL$400,0)),AL$2,)</f>
        <v>0</v>
      </c>
      <c r="AM349" s="179">
        <f ca="1">IF(ISNUMBER(MATCH(DATEVALUE($A349),'recurring1_based on steps'!AM$1:AM$400,0)),AM$2,)</f>
        <v>0</v>
      </c>
      <c r="AN349" s="179">
        <f ca="1">IF(ISNUMBER(MATCH(DATEVALUE($A349),'recurring1_based on steps'!AN$1:AN$400,0)),AN$2,)</f>
        <v>0</v>
      </c>
      <c r="AO349" s="179">
        <f ca="1">IF(ISNUMBER(MATCH(DATEVALUE($A349),'recurring1_based on steps'!AO$1:AO$400,0)),AO$2,)</f>
        <v>0</v>
      </c>
      <c r="AP349" s="179">
        <f ca="1">IF(ISNUMBER(MATCH(DATEVALUE($A349),'recurring1_based on steps'!AP$1:AP$400,0)),AP$2,)</f>
        <v>0</v>
      </c>
      <c r="AQ349" s="179">
        <f ca="1">IF(ISNUMBER(MATCH(DATEVALUE($A349),'recurring1_based on steps'!AQ$1:AQ$400,0)),AQ$2,)</f>
        <v>0</v>
      </c>
      <c r="AR349" s="179">
        <f ca="1">IF(ISNUMBER(MATCH(DATEVALUE($A349),'recurring1_based on steps'!AR$1:AR$400,0)),AR$2,)</f>
        <v>0</v>
      </c>
      <c r="AS349" s="179">
        <f ca="1">IF(ISNUMBER(MATCH(DATEVALUE($A349),'recurring1_based on steps'!AS$1:AS$400,0)),AS$2,)</f>
        <v>0</v>
      </c>
      <c r="AT349" s="179">
        <f ca="1">IF(ISNUMBER(MATCH(DATEVALUE($A349),'recurring1_based on steps'!AT$1:AT$400,0)),AT$2,)</f>
        <v>0</v>
      </c>
      <c r="AU349" s="179">
        <f ca="1">IF(ISNUMBER(MATCH(DATEVALUE($A349),'recurring1_based on steps'!AU$1:AU$400,0)),AU$2,)</f>
        <v>0</v>
      </c>
      <c r="AV349" s="179">
        <f ca="1">IF(ISNUMBER(MATCH(DATEVALUE($A349),'recurring1_based on steps'!AV$1:AV$400,0)),AV$2,)</f>
        <v>0</v>
      </c>
      <c r="AW349" s="179">
        <f ca="1">IF(ISNUMBER(MATCH(DATEVALUE($A349),'recurring1_based on steps'!AW$1:AW$400,0)),AW$2,)</f>
        <v>0</v>
      </c>
      <c r="AX349" s="179">
        <f ca="1">IF(ISNUMBER(MATCH(DATEVALUE($A349),'recurring1_based on steps'!AX$1:AX$400,0)),AX$2,)</f>
        <v>0</v>
      </c>
      <c r="AY349" s="179">
        <f ca="1">IF(ISNUMBER(MATCH(DATEVALUE($A349),'recurring1_based on steps'!AY$1:AY$400,0)),AY$2,)</f>
        <v>0</v>
      </c>
    </row>
    <row r="350" spans="1:51" x14ac:dyDescent="0.2">
      <c r="A350" s="32" t="str">
        <f t="shared" ca="1" si="5"/>
        <v>2026-03-18</v>
      </c>
      <c r="B350" s="179">
        <f ca="1">IF(ISNUMBER(MATCH(DATEVALUE($A350),'recurring1_based on steps'!B$1:B$400,0)),B$2,)</f>
        <v>0</v>
      </c>
      <c r="C350" s="179">
        <f ca="1">IF(ISNUMBER(MATCH(DATEVALUE($A350),'recurring1_based on steps'!C$1:C$400,0)),C$2,)</f>
        <v>0</v>
      </c>
      <c r="D350" s="179">
        <f ca="1">IF(ISNUMBER(MATCH(DATEVALUE($A350),'recurring1_based on steps'!D$1:D$400,0)),D$2,)</f>
        <v>0</v>
      </c>
      <c r="E350" s="179">
        <f ca="1">IF(ISNUMBER(MATCH(DATEVALUE($A350),'recurring1_based on steps'!E$1:E$400,0)),E$2,)</f>
        <v>0</v>
      </c>
      <c r="F350" s="179">
        <f ca="1">IF(ISNUMBER(MATCH(DATEVALUE($A350),'recurring1_based on steps'!F$1:F$400,0)),F$2,)</f>
        <v>0</v>
      </c>
      <c r="G350" s="179">
        <f ca="1">IF(ISNUMBER(MATCH(DATEVALUE($A350),'recurring1_based on steps'!G$1:G$400,0)),G$2,)</f>
        <v>0</v>
      </c>
      <c r="H350" s="179">
        <f ca="1">IF(ISNUMBER(MATCH(DATEVALUE($A350),'recurring1_based on steps'!H$1:H$400,0)),H$2,)</f>
        <v>0</v>
      </c>
      <c r="I350" s="179">
        <f ca="1">IF(ISNUMBER(MATCH(DATEVALUE($A350),'recurring1_based on steps'!I$1:I$400,0)),I$2,)</f>
        <v>0</v>
      </c>
      <c r="J350" s="179">
        <f ca="1">IF(ISNUMBER(MATCH(DATEVALUE($A350),'recurring1_based on steps'!J$1:J$400,0)),J$2,)</f>
        <v>0</v>
      </c>
      <c r="K350" s="179">
        <f ca="1">IF(ISNUMBER(MATCH(DATEVALUE($A350),'recurring1_based on steps'!K$1:K$400,0)),K$2,)</f>
        <v>0</v>
      </c>
      <c r="L350" s="179">
        <f ca="1">IF(ISNUMBER(MATCH(DATEVALUE($A350),'recurring1_based on steps'!L$1:L$400,0)),L$2,)</f>
        <v>0</v>
      </c>
      <c r="M350" s="179">
        <f ca="1">IF(ISNUMBER(MATCH(DATEVALUE($A350),'recurring1_based on steps'!M$1:M$400,0)),M$2,)</f>
        <v>0</v>
      </c>
      <c r="N350" s="179">
        <f ca="1">IF(ISNUMBER(MATCH(DATEVALUE($A350),'recurring1_based on steps'!N$1:N$400,0)),N$2,)</f>
        <v>0</v>
      </c>
      <c r="O350" s="179">
        <f ca="1">IF(ISNUMBER(MATCH(DATEVALUE($A350),'recurring1_based on steps'!O$1:O$400,0)),O$2,)</f>
        <v>0</v>
      </c>
      <c r="P350" s="179">
        <f ca="1">IF(ISNUMBER(MATCH(DATEVALUE($A350),'recurring1_based on steps'!P$1:P$400,0)),P$2,)</f>
        <v>0</v>
      </c>
      <c r="Q350" s="179">
        <f ca="1">IF(ISNUMBER(MATCH(DATEVALUE($A350),'recurring1_based on steps'!Q$1:Q$400,0)),Q$2,)</f>
        <v>0</v>
      </c>
      <c r="R350" s="179">
        <f ca="1">IF(ISNUMBER(MATCH(DATEVALUE($A350),'recurring1_based on steps'!R$1:R$400,0)),R$2,)</f>
        <v>0</v>
      </c>
      <c r="S350" s="179">
        <f ca="1">IF(ISNUMBER(MATCH(DATEVALUE($A350),'recurring1_based on steps'!S$1:S$400,0)),S$2,)</f>
        <v>0</v>
      </c>
      <c r="T350" s="179">
        <f ca="1">IF(ISNUMBER(MATCH(DATEVALUE($A350),'recurring1_based on steps'!T$1:T$400,0)),T$2,)</f>
        <v>0</v>
      </c>
      <c r="U350" s="179">
        <f ca="1">IF(ISNUMBER(MATCH(DATEVALUE($A350),'recurring1_based on steps'!U$1:U$400,0)),U$2,)</f>
        <v>0</v>
      </c>
      <c r="V350" s="179">
        <f ca="1">IF(ISNUMBER(MATCH(DATEVALUE($A350),'recurring1_based on steps'!V$1:V$400,0)),V$2,)</f>
        <v>0</v>
      </c>
      <c r="W350" s="179">
        <f ca="1">IF(ISNUMBER(MATCH(DATEVALUE($A350),'recurring1_based on steps'!W$1:W$400,0)),W$2,)</f>
        <v>0</v>
      </c>
      <c r="X350" s="179">
        <f ca="1">IF(ISNUMBER(MATCH(DATEVALUE($A350),'recurring1_based on steps'!X$1:X$400,0)),X$2,)</f>
        <v>0</v>
      </c>
      <c r="Y350" s="179">
        <f ca="1">IF(ISNUMBER(MATCH(DATEVALUE($A350),'recurring1_based on steps'!Y$1:Y$400,0)),Y$2,)</f>
        <v>0</v>
      </c>
      <c r="Z350" s="179">
        <f ca="1">IF(ISNUMBER(MATCH(DATEVALUE($A350),'recurring1_based on steps'!Z$1:Z$400,0)),Z$2,)</f>
        <v>0</v>
      </c>
      <c r="AA350" s="179">
        <f ca="1">IF(ISNUMBER(MATCH(DATEVALUE($A350),'recurring1_based on steps'!AA$1:AA$400,0)),AA$2,)</f>
        <v>0</v>
      </c>
      <c r="AB350" s="179">
        <f ca="1">IF(ISNUMBER(MATCH(DATEVALUE($A350),'recurring1_based on steps'!AB$1:AB$400,0)),AB$2,)</f>
        <v>0</v>
      </c>
      <c r="AC350" s="179">
        <f ca="1">IF(ISNUMBER(MATCH(DATEVALUE($A350),'recurring1_based on steps'!AC$1:AC$400,0)),AC$2,)</f>
        <v>0</v>
      </c>
      <c r="AD350" s="179">
        <f ca="1">IF(ISNUMBER(MATCH(DATEVALUE($A350),'recurring1_based on steps'!AD$1:AD$400,0)),AD$2,)</f>
        <v>0</v>
      </c>
      <c r="AE350" s="179">
        <f ca="1">IF(ISNUMBER(MATCH(DATEVALUE($A350),'recurring1_based on steps'!AE$1:AE$400,0)),AE$2,)</f>
        <v>0</v>
      </c>
      <c r="AF350" s="179">
        <f ca="1">IF(ISNUMBER(MATCH(DATEVALUE($A350),'recurring1_based on steps'!AF$1:AF$400,0)),AF$2,)</f>
        <v>0</v>
      </c>
      <c r="AG350" s="179">
        <f ca="1">IF(ISNUMBER(MATCH(DATEVALUE($A350),'recurring1_based on steps'!AG$1:AG$400,0)),AG$2,)</f>
        <v>0</v>
      </c>
      <c r="AH350" s="179">
        <f ca="1">IF(ISNUMBER(MATCH(DATEVALUE($A350),'recurring1_based on steps'!AH$1:AH$400,0)),AH$2,)</f>
        <v>0</v>
      </c>
      <c r="AI350" s="179">
        <f ca="1">IF(ISNUMBER(MATCH(DATEVALUE($A350),'recurring1_based on steps'!AI$1:AI$400,0)),AI$2,)</f>
        <v>0</v>
      </c>
      <c r="AJ350" s="179">
        <f ca="1">IF(ISNUMBER(MATCH(DATEVALUE($A350),'recurring1_based on steps'!AJ$1:AJ$400,0)),AJ$2,)</f>
        <v>0</v>
      </c>
      <c r="AK350" s="179">
        <f ca="1">IF(ISNUMBER(MATCH(DATEVALUE($A350),'recurring1_based on steps'!AK$1:AK$400,0)),AK$2,)</f>
        <v>0</v>
      </c>
      <c r="AL350" s="179">
        <f ca="1">IF(ISNUMBER(MATCH(DATEVALUE($A350),'recurring1_based on steps'!AL$1:AL$400,0)),AL$2,)</f>
        <v>0</v>
      </c>
      <c r="AM350" s="179">
        <f ca="1">IF(ISNUMBER(MATCH(DATEVALUE($A350),'recurring1_based on steps'!AM$1:AM$400,0)),AM$2,)</f>
        <v>0</v>
      </c>
      <c r="AN350" s="179">
        <f ca="1">IF(ISNUMBER(MATCH(DATEVALUE($A350),'recurring1_based on steps'!AN$1:AN$400,0)),AN$2,)</f>
        <v>0</v>
      </c>
      <c r="AO350" s="179">
        <f ca="1">IF(ISNUMBER(MATCH(DATEVALUE($A350),'recurring1_based on steps'!AO$1:AO$400,0)),AO$2,)</f>
        <v>0</v>
      </c>
      <c r="AP350" s="179">
        <f ca="1">IF(ISNUMBER(MATCH(DATEVALUE($A350),'recurring1_based on steps'!AP$1:AP$400,0)),AP$2,)</f>
        <v>0</v>
      </c>
      <c r="AQ350" s="179">
        <f ca="1">IF(ISNUMBER(MATCH(DATEVALUE($A350),'recurring1_based on steps'!AQ$1:AQ$400,0)),AQ$2,)</f>
        <v>0</v>
      </c>
      <c r="AR350" s="179">
        <f ca="1">IF(ISNUMBER(MATCH(DATEVALUE($A350),'recurring1_based on steps'!AR$1:AR$400,0)),AR$2,)</f>
        <v>0</v>
      </c>
      <c r="AS350" s="179">
        <f ca="1">IF(ISNUMBER(MATCH(DATEVALUE($A350),'recurring1_based on steps'!AS$1:AS$400,0)),AS$2,)</f>
        <v>0</v>
      </c>
      <c r="AT350" s="179">
        <f ca="1">IF(ISNUMBER(MATCH(DATEVALUE($A350),'recurring1_based on steps'!AT$1:AT$400,0)),AT$2,)</f>
        <v>0</v>
      </c>
      <c r="AU350" s="179">
        <f ca="1">IF(ISNUMBER(MATCH(DATEVALUE($A350),'recurring1_based on steps'!AU$1:AU$400,0)),AU$2,)</f>
        <v>0</v>
      </c>
      <c r="AV350" s="179">
        <f ca="1">IF(ISNUMBER(MATCH(DATEVALUE($A350),'recurring1_based on steps'!AV$1:AV$400,0)),AV$2,)</f>
        <v>0</v>
      </c>
      <c r="AW350" s="179">
        <f ca="1">IF(ISNUMBER(MATCH(DATEVALUE($A350),'recurring1_based on steps'!AW$1:AW$400,0)),AW$2,)</f>
        <v>0</v>
      </c>
      <c r="AX350" s="179">
        <f ca="1">IF(ISNUMBER(MATCH(DATEVALUE($A350),'recurring1_based on steps'!AX$1:AX$400,0)),AX$2,)</f>
        <v>0</v>
      </c>
      <c r="AY350" s="179">
        <f ca="1">IF(ISNUMBER(MATCH(DATEVALUE($A350),'recurring1_based on steps'!AY$1:AY$400,0)),AY$2,)</f>
        <v>0</v>
      </c>
    </row>
    <row r="351" spans="1:51" x14ac:dyDescent="0.2">
      <c r="A351" s="32" t="str">
        <f t="shared" ca="1" si="5"/>
        <v>2026-03-19</v>
      </c>
      <c r="B351" s="179">
        <f ca="1">IF(ISNUMBER(MATCH(DATEVALUE($A351),'recurring1_based on steps'!B$1:B$400,0)),B$2,)</f>
        <v>0</v>
      </c>
      <c r="C351" s="179">
        <f ca="1">IF(ISNUMBER(MATCH(DATEVALUE($A351),'recurring1_based on steps'!C$1:C$400,0)),C$2,)</f>
        <v>0</v>
      </c>
      <c r="D351" s="179">
        <f ca="1">IF(ISNUMBER(MATCH(DATEVALUE($A351),'recurring1_based on steps'!D$1:D$400,0)),D$2,)</f>
        <v>0</v>
      </c>
      <c r="E351" s="179">
        <f ca="1">IF(ISNUMBER(MATCH(DATEVALUE($A351),'recurring1_based on steps'!E$1:E$400,0)),E$2,)</f>
        <v>0</v>
      </c>
      <c r="F351" s="179">
        <f ca="1">IF(ISNUMBER(MATCH(DATEVALUE($A351),'recurring1_based on steps'!F$1:F$400,0)),F$2,)</f>
        <v>0</v>
      </c>
      <c r="G351" s="179">
        <f ca="1">IF(ISNUMBER(MATCH(DATEVALUE($A351),'recurring1_based on steps'!G$1:G$400,0)),G$2,)</f>
        <v>0</v>
      </c>
      <c r="H351" s="179">
        <f ca="1">IF(ISNUMBER(MATCH(DATEVALUE($A351),'recurring1_based on steps'!H$1:H$400,0)),H$2,)</f>
        <v>0</v>
      </c>
      <c r="I351" s="179">
        <f ca="1">IF(ISNUMBER(MATCH(DATEVALUE($A351),'recurring1_based on steps'!I$1:I$400,0)),I$2,)</f>
        <v>0</v>
      </c>
      <c r="J351" s="179">
        <f ca="1">IF(ISNUMBER(MATCH(DATEVALUE($A351),'recurring1_based on steps'!J$1:J$400,0)),J$2,)</f>
        <v>0</v>
      </c>
      <c r="K351" s="179">
        <f ca="1">IF(ISNUMBER(MATCH(DATEVALUE($A351),'recurring1_based on steps'!K$1:K$400,0)),K$2,)</f>
        <v>0</v>
      </c>
      <c r="L351" s="179">
        <f ca="1">IF(ISNUMBER(MATCH(DATEVALUE($A351),'recurring1_based on steps'!L$1:L$400,0)),L$2,)</f>
        <v>0</v>
      </c>
      <c r="M351" s="179">
        <f ca="1">IF(ISNUMBER(MATCH(DATEVALUE($A351),'recurring1_based on steps'!M$1:M$400,0)),M$2,)</f>
        <v>0</v>
      </c>
      <c r="N351" s="179">
        <f ca="1">IF(ISNUMBER(MATCH(DATEVALUE($A351),'recurring1_based on steps'!N$1:N$400,0)),N$2,)</f>
        <v>0</v>
      </c>
      <c r="O351" s="179">
        <f ca="1">IF(ISNUMBER(MATCH(DATEVALUE($A351),'recurring1_based on steps'!O$1:O$400,0)),O$2,)</f>
        <v>0</v>
      </c>
      <c r="P351" s="179">
        <f ca="1">IF(ISNUMBER(MATCH(DATEVALUE($A351),'recurring1_based on steps'!P$1:P$400,0)),P$2,)</f>
        <v>0</v>
      </c>
      <c r="Q351" s="179">
        <f ca="1">IF(ISNUMBER(MATCH(DATEVALUE($A351),'recurring1_based on steps'!Q$1:Q$400,0)),Q$2,)</f>
        <v>0</v>
      </c>
      <c r="R351" s="179">
        <f ca="1">IF(ISNUMBER(MATCH(DATEVALUE($A351),'recurring1_based on steps'!R$1:R$400,0)),R$2,)</f>
        <v>0</v>
      </c>
      <c r="S351" s="179">
        <f ca="1">IF(ISNUMBER(MATCH(DATEVALUE($A351),'recurring1_based on steps'!S$1:S$400,0)),S$2,)</f>
        <v>0</v>
      </c>
      <c r="T351" s="179">
        <f ca="1">IF(ISNUMBER(MATCH(DATEVALUE($A351),'recurring1_based on steps'!T$1:T$400,0)),T$2,)</f>
        <v>0</v>
      </c>
      <c r="U351" s="179">
        <f ca="1">IF(ISNUMBER(MATCH(DATEVALUE($A351),'recurring1_based on steps'!U$1:U$400,0)),U$2,)</f>
        <v>0</v>
      </c>
      <c r="V351" s="179">
        <f ca="1">IF(ISNUMBER(MATCH(DATEVALUE($A351),'recurring1_based on steps'!V$1:V$400,0)),V$2,)</f>
        <v>0</v>
      </c>
      <c r="W351" s="179">
        <f ca="1">IF(ISNUMBER(MATCH(DATEVALUE($A351),'recurring1_based on steps'!W$1:W$400,0)),W$2,)</f>
        <v>0</v>
      </c>
      <c r="X351" s="179">
        <f ca="1">IF(ISNUMBER(MATCH(DATEVALUE($A351),'recurring1_based on steps'!X$1:X$400,0)),X$2,)</f>
        <v>0</v>
      </c>
      <c r="Y351" s="179">
        <f ca="1">IF(ISNUMBER(MATCH(DATEVALUE($A351),'recurring1_based on steps'!Y$1:Y$400,0)),Y$2,)</f>
        <v>0</v>
      </c>
      <c r="Z351" s="179">
        <f ca="1">IF(ISNUMBER(MATCH(DATEVALUE($A351),'recurring1_based on steps'!Z$1:Z$400,0)),Z$2,)</f>
        <v>0</v>
      </c>
      <c r="AA351" s="179">
        <f ca="1">IF(ISNUMBER(MATCH(DATEVALUE($A351),'recurring1_based on steps'!AA$1:AA$400,0)),AA$2,)</f>
        <v>0</v>
      </c>
      <c r="AB351" s="179">
        <f ca="1">IF(ISNUMBER(MATCH(DATEVALUE($A351),'recurring1_based on steps'!AB$1:AB$400,0)),AB$2,)</f>
        <v>0</v>
      </c>
      <c r="AC351" s="179">
        <f ca="1">IF(ISNUMBER(MATCH(DATEVALUE($A351),'recurring1_based on steps'!AC$1:AC$400,0)),AC$2,)</f>
        <v>0</v>
      </c>
      <c r="AD351" s="179">
        <f ca="1">IF(ISNUMBER(MATCH(DATEVALUE($A351),'recurring1_based on steps'!AD$1:AD$400,0)),AD$2,)</f>
        <v>0</v>
      </c>
      <c r="AE351" s="179">
        <f ca="1">IF(ISNUMBER(MATCH(DATEVALUE($A351),'recurring1_based on steps'!AE$1:AE$400,0)),AE$2,)</f>
        <v>0</v>
      </c>
      <c r="AF351" s="179">
        <f ca="1">IF(ISNUMBER(MATCH(DATEVALUE($A351),'recurring1_based on steps'!AF$1:AF$400,0)),AF$2,)</f>
        <v>0</v>
      </c>
      <c r="AG351" s="179">
        <f ca="1">IF(ISNUMBER(MATCH(DATEVALUE($A351),'recurring1_based on steps'!AG$1:AG$400,0)),AG$2,)</f>
        <v>0</v>
      </c>
      <c r="AH351" s="179">
        <f ca="1">IF(ISNUMBER(MATCH(DATEVALUE($A351),'recurring1_based on steps'!AH$1:AH$400,0)),AH$2,)</f>
        <v>0</v>
      </c>
      <c r="AI351" s="179">
        <f ca="1">IF(ISNUMBER(MATCH(DATEVALUE($A351),'recurring1_based on steps'!AI$1:AI$400,0)),AI$2,)</f>
        <v>0</v>
      </c>
      <c r="AJ351" s="179">
        <f ca="1">IF(ISNUMBER(MATCH(DATEVALUE($A351),'recurring1_based on steps'!AJ$1:AJ$400,0)),AJ$2,)</f>
        <v>0</v>
      </c>
      <c r="AK351" s="179">
        <f ca="1">IF(ISNUMBER(MATCH(DATEVALUE($A351),'recurring1_based on steps'!AK$1:AK$400,0)),AK$2,)</f>
        <v>0</v>
      </c>
      <c r="AL351" s="179">
        <f ca="1">IF(ISNUMBER(MATCH(DATEVALUE($A351),'recurring1_based on steps'!AL$1:AL$400,0)),AL$2,)</f>
        <v>0</v>
      </c>
      <c r="AM351" s="179">
        <f ca="1">IF(ISNUMBER(MATCH(DATEVALUE($A351),'recurring1_based on steps'!AM$1:AM$400,0)),AM$2,)</f>
        <v>0</v>
      </c>
      <c r="AN351" s="179">
        <f ca="1">IF(ISNUMBER(MATCH(DATEVALUE($A351),'recurring1_based on steps'!AN$1:AN$400,0)),AN$2,)</f>
        <v>0</v>
      </c>
      <c r="AO351" s="179">
        <f ca="1">IF(ISNUMBER(MATCH(DATEVALUE($A351),'recurring1_based on steps'!AO$1:AO$400,0)),AO$2,)</f>
        <v>0</v>
      </c>
      <c r="AP351" s="179">
        <f ca="1">IF(ISNUMBER(MATCH(DATEVALUE($A351),'recurring1_based on steps'!AP$1:AP$400,0)),AP$2,)</f>
        <v>0</v>
      </c>
      <c r="AQ351" s="179">
        <f ca="1">IF(ISNUMBER(MATCH(DATEVALUE($A351),'recurring1_based on steps'!AQ$1:AQ$400,0)),AQ$2,)</f>
        <v>0</v>
      </c>
      <c r="AR351" s="179">
        <f ca="1">IF(ISNUMBER(MATCH(DATEVALUE($A351),'recurring1_based on steps'!AR$1:AR$400,0)),AR$2,)</f>
        <v>0</v>
      </c>
      <c r="AS351" s="179">
        <f ca="1">IF(ISNUMBER(MATCH(DATEVALUE($A351),'recurring1_based on steps'!AS$1:AS$400,0)),AS$2,)</f>
        <v>0</v>
      </c>
      <c r="AT351" s="179">
        <f ca="1">IF(ISNUMBER(MATCH(DATEVALUE($A351),'recurring1_based on steps'!AT$1:AT$400,0)),AT$2,)</f>
        <v>0</v>
      </c>
      <c r="AU351" s="179">
        <f ca="1">IF(ISNUMBER(MATCH(DATEVALUE($A351),'recurring1_based on steps'!AU$1:AU$400,0)),AU$2,)</f>
        <v>0</v>
      </c>
      <c r="AV351" s="179">
        <f ca="1">IF(ISNUMBER(MATCH(DATEVALUE($A351),'recurring1_based on steps'!AV$1:AV$400,0)),AV$2,)</f>
        <v>0</v>
      </c>
      <c r="AW351" s="179">
        <f ca="1">IF(ISNUMBER(MATCH(DATEVALUE($A351),'recurring1_based on steps'!AW$1:AW$400,0)),AW$2,)</f>
        <v>0</v>
      </c>
      <c r="AX351" s="179">
        <f ca="1">IF(ISNUMBER(MATCH(DATEVALUE($A351),'recurring1_based on steps'!AX$1:AX$400,0)),AX$2,)</f>
        <v>0</v>
      </c>
      <c r="AY351" s="179">
        <f ca="1">IF(ISNUMBER(MATCH(DATEVALUE($A351),'recurring1_based on steps'!AY$1:AY$400,0)),AY$2,)</f>
        <v>0</v>
      </c>
    </row>
    <row r="352" spans="1:51" x14ac:dyDescent="0.2">
      <c r="A352" s="32" t="str">
        <f t="shared" ca="1" si="5"/>
        <v>2026-03-20</v>
      </c>
      <c r="B352" s="179">
        <f ca="1">IF(ISNUMBER(MATCH(DATEVALUE($A352),'recurring1_based on steps'!B$1:B$400,0)),B$2,)</f>
        <v>0</v>
      </c>
      <c r="C352" s="179">
        <f ca="1">IF(ISNUMBER(MATCH(DATEVALUE($A352),'recurring1_based on steps'!C$1:C$400,0)),C$2,)</f>
        <v>0</v>
      </c>
      <c r="D352" s="179">
        <f ca="1">IF(ISNUMBER(MATCH(DATEVALUE($A352),'recurring1_based on steps'!D$1:D$400,0)),D$2,)</f>
        <v>0</v>
      </c>
      <c r="E352" s="179">
        <f ca="1">IF(ISNUMBER(MATCH(DATEVALUE($A352),'recurring1_based on steps'!E$1:E$400,0)),E$2,)</f>
        <v>0</v>
      </c>
      <c r="F352" s="179">
        <f ca="1">IF(ISNUMBER(MATCH(DATEVALUE($A352),'recurring1_based on steps'!F$1:F$400,0)),F$2,)</f>
        <v>0</v>
      </c>
      <c r="G352" s="179">
        <f ca="1">IF(ISNUMBER(MATCH(DATEVALUE($A352),'recurring1_based on steps'!G$1:G$400,0)),G$2,)</f>
        <v>0</v>
      </c>
      <c r="H352" s="179">
        <f ca="1">IF(ISNUMBER(MATCH(DATEVALUE($A352),'recurring1_based on steps'!H$1:H$400,0)),H$2,)</f>
        <v>0</v>
      </c>
      <c r="I352" s="179">
        <f ca="1">IF(ISNUMBER(MATCH(DATEVALUE($A352),'recurring1_based on steps'!I$1:I$400,0)),I$2,)</f>
        <v>0</v>
      </c>
      <c r="J352" s="179">
        <f ca="1">IF(ISNUMBER(MATCH(DATEVALUE($A352),'recurring1_based on steps'!J$1:J$400,0)),J$2,)</f>
        <v>0</v>
      </c>
      <c r="K352" s="179">
        <f ca="1">IF(ISNUMBER(MATCH(DATEVALUE($A352),'recurring1_based on steps'!K$1:K$400,0)),K$2,)</f>
        <v>0</v>
      </c>
      <c r="L352" s="179">
        <f ca="1">IF(ISNUMBER(MATCH(DATEVALUE($A352),'recurring1_based on steps'!L$1:L$400,0)),L$2,)</f>
        <v>0</v>
      </c>
      <c r="M352" s="179">
        <f ca="1">IF(ISNUMBER(MATCH(DATEVALUE($A352),'recurring1_based on steps'!M$1:M$400,0)),M$2,)</f>
        <v>0</v>
      </c>
      <c r="N352" s="179">
        <f ca="1">IF(ISNUMBER(MATCH(DATEVALUE($A352),'recurring1_based on steps'!N$1:N$400,0)),N$2,)</f>
        <v>0</v>
      </c>
      <c r="O352" s="179">
        <f ca="1">IF(ISNUMBER(MATCH(DATEVALUE($A352),'recurring1_based on steps'!O$1:O$400,0)),O$2,)</f>
        <v>0</v>
      </c>
      <c r="P352" s="179">
        <f ca="1">IF(ISNUMBER(MATCH(DATEVALUE($A352),'recurring1_based on steps'!P$1:P$400,0)),P$2,)</f>
        <v>0</v>
      </c>
      <c r="Q352" s="179">
        <f ca="1">IF(ISNUMBER(MATCH(DATEVALUE($A352),'recurring1_based on steps'!Q$1:Q$400,0)),Q$2,)</f>
        <v>0</v>
      </c>
      <c r="R352" s="179">
        <f ca="1">IF(ISNUMBER(MATCH(DATEVALUE($A352),'recurring1_based on steps'!R$1:R$400,0)),R$2,)</f>
        <v>0</v>
      </c>
      <c r="S352" s="179">
        <f ca="1">IF(ISNUMBER(MATCH(DATEVALUE($A352),'recurring1_based on steps'!S$1:S$400,0)),S$2,)</f>
        <v>0</v>
      </c>
      <c r="T352" s="179">
        <f ca="1">IF(ISNUMBER(MATCH(DATEVALUE($A352),'recurring1_based on steps'!T$1:T$400,0)),T$2,)</f>
        <v>0</v>
      </c>
      <c r="U352" s="179">
        <f ca="1">IF(ISNUMBER(MATCH(DATEVALUE($A352),'recurring1_based on steps'!U$1:U$400,0)),U$2,)</f>
        <v>0</v>
      </c>
      <c r="V352" s="179">
        <f ca="1">IF(ISNUMBER(MATCH(DATEVALUE($A352),'recurring1_based on steps'!V$1:V$400,0)),V$2,)</f>
        <v>0</v>
      </c>
      <c r="W352" s="179">
        <f ca="1">IF(ISNUMBER(MATCH(DATEVALUE($A352),'recurring1_based on steps'!W$1:W$400,0)),W$2,)</f>
        <v>0</v>
      </c>
      <c r="X352" s="179">
        <f ca="1">IF(ISNUMBER(MATCH(DATEVALUE($A352),'recurring1_based on steps'!X$1:X$400,0)),X$2,)</f>
        <v>0</v>
      </c>
      <c r="Y352" s="179">
        <f ca="1">IF(ISNUMBER(MATCH(DATEVALUE($A352),'recurring1_based on steps'!Y$1:Y$400,0)),Y$2,)</f>
        <v>0</v>
      </c>
      <c r="Z352" s="179">
        <f ca="1">IF(ISNUMBER(MATCH(DATEVALUE($A352),'recurring1_based on steps'!Z$1:Z$400,0)),Z$2,)</f>
        <v>0</v>
      </c>
      <c r="AA352" s="179">
        <f ca="1">IF(ISNUMBER(MATCH(DATEVALUE($A352),'recurring1_based on steps'!AA$1:AA$400,0)),AA$2,)</f>
        <v>0</v>
      </c>
      <c r="AB352" s="179">
        <f ca="1">IF(ISNUMBER(MATCH(DATEVALUE($A352),'recurring1_based on steps'!AB$1:AB$400,0)),AB$2,)</f>
        <v>0</v>
      </c>
      <c r="AC352" s="179">
        <f ca="1">IF(ISNUMBER(MATCH(DATEVALUE($A352),'recurring1_based on steps'!AC$1:AC$400,0)),AC$2,)</f>
        <v>0</v>
      </c>
      <c r="AD352" s="179">
        <f ca="1">IF(ISNUMBER(MATCH(DATEVALUE($A352),'recurring1_based on steps'!AD$1:AD$400,0)),AD$2,)</f>
        <v>0</v>
      </c>
      <c r="AE352" s="179">
        <f ca="1">IF(ISNUMBER(MATCH(DATEVALUE($A352),'recurring1_based on steps'!AE$1:AE$400,0)),AE$2,)</f>
        <v>0</v>
      </c>
      <c r="AF352" s="179">
        <f ca="1">IF(ISNUMBER(MATCH(DATEVALUE($A352),'recurring1_based on steps'!AF$1:AF$400,0)),AF$2,)</f>
        <v>0</v>
      </c>
      <c r="AG352" s="179">
        <f ca="1">IF(ISNUMBER(MATCH(DATEVALUE($A352),'recurring1_based on steps'!AG$1:AG$400,0)),AG$2,)</f>
        <v>0</v>
      </c>
      <c r="AH352" s="179">
        <f ca="1">IF(ISNUMBER(MATCH(DATEVALUE($A352),'recurring1_based on steps'!AH$1:AH$400,0)),AH$2,)</f>
        <v>0</v>
      </c>
      <c r="AI352" s="179">
        <f ca="1">IF(ISNUMBER(MATCH(DATEVALUE($A352),'recurring1_based on steps'!AI$1:AI$400,0)),AI$2,)</f>
        <v>0</v>
      </c>
      <c r="AJ352" s="179">
        <f ca="1">IF(ISNUMBER(MATCH(DATEVALUE($A352),'recurring1_based on steps'!AJ$1:AJ$400,0)),AJ$2,)</f>
        <v>0</v>
      </c>
      <c r="AK352" s="179">
        <f ca="1">IF(ISNUMBER(MATCH(DATEVALUE($A352),'recurring1_based on steps'!AK$1:AK$400,0)),AK$2,)</f>
        <v>0</v>
      </c>
      <c r="AL352" s="179">
        <f ca="1">IF(ISNUMBER(MATCH(DATEVALUE($A352),'recurring1_based on steps'!AL$1:AL$400,0)),AL$2,)</f>
        <v>0</v>
      </c>
      <c r="AM352" s="179">
        <f ca="1">IF(ISNUMBER(MATCH(DATEVALUE($A352),'recurring1_based on steps'!AM$1:AM$400,0)),AM$2,)</f>
        <v>0</v>
      </c>
      <c r="AN352" s="179">
        <f ca="1">IF(ISNUMBER(MATCH(DATEVALUE($A352),'recurring1_based on steps'!AN$1:AN$400,0)),AN$2,)</f>
        <v>0</v>
      </c>
      <c r="AO352" s="179">
        <f ca="1">IF(ISNUMBER(MATCH(DATEVALUE($A352),'recurring1_based on steps'!AO$1:AO$400,0)),AO$2,)</f>
        <v>0</v>
      </c>
      <c r="AP352" s="179">
        <f ca="1">IF(ISNUMBER(MATCH(DATEVALUE($A352),'recurring1_based on steps'!AP$1:AP$400,0)),AP$2,)</f>
        <v>0</v>
      </c>
      <c r="AQ352" s="179">
        <f ca="1">IF(ISNUMBER(MATCH(DATEVALUE($A352),'recurring1_based on steps'!AQ$1:AQ$400,0)),AQ$2,)</f>
        <v>0</v>
      </c>
      <c r="AR352" s="179">
        <f ca="1">IF(ISNUMBER(MATCH(DATEVALUE($A352),'recurring1_based on steps'!AR$1:AR$400,0)),AR$2,)</f>
        <v>0</v>
      </c>
      <c r="AS352" s="179">
        <f ca="1">IF(ISNUMBER(MATCH(DATEVALUE($A352),'recurring1_based on steps'!AS$1:AS$400,0)),AS$2,)</f>
        <v>0</v>
      </c>
      <c r="AT352" s="179">
        <f ca="1">IF(ISNUMBER(MATCH(DATEVALUE($A352),'recurring1_based on steps'!AT$1:AT$400,0)),AT$2,)</f>
        <v>0</v>
      </c>
      <c r="AU352" s="179">
        <f ca="1">IF(ISNUMBER(MATCH(DATEVALUE($A352),'recurring1_based on steps'!AU$1:AU$400,0)),AU$2,)</f>
        <v>0</v>
      </c>
      <c r="AV352" s="179">
        <f ca="1">IF(ISNUMBER(MATCH(DATEVALUE($A352),'recurring1_based on steps'!AV$1:AV$400,0)),AV$2,)</f>
        <v>0</v>
      </c>
      <c r="AW352" s="179">
        <f ca="1">IF(ISNUMBER(MATCH(DATEVALUE($A352),'recurring1_based on steps'!AW$1:AW$400,0)),AW$2,)</f>
        <v>0</v>
      </c>
      <c r="AX352" s="179">
        <f ca="1">IF(ISNUMBER(MATCH(DATEVALUE($A352),'recurring1_based on steps'!AX$1:AX$400,0)),AX$2,)</f>
        <v>0</v>
      </c>
      <c r="AY352" s="179">
        <f ca="1">IF(ISNUMBER(MATCH(DATEVALUE($A352),'recurring1_based on steps'!AY$1:AY$400,0)),AY$2,)</f>
        <v>0</v>
      </c>
    </row>
    <row r="353" spans="1:51" x14ac:dyDescent="0.2">
      <c r="A353" s="32" t="str">
        <f t="shared" ca="1" si="5"/>
        <v>2026-03-21</v>
      </c>
      <c r="B353" s="179">
        <f ca="1">IF(ISNUMBER(MATCH(DATEVALUE($A353),'recurring1_based on steps'!B$1:B$400,0)),B$2,)</f>
        <v>0</v>
      </c>
      <c r="C353" s="179">
        <f ca="1">IF(ISNUMBER(MATCH(DATEVALUE($A353),'recurring1_based on steps'!C$1:C$400,0)),C$2,)</f>
        <v>0</v>
      </c>
      <c r="D353" s="179">
        <f ca="1">IF(ISNUMBER(MATCH(DATEVALUE($A353),'recurring1_based on steps'!D$1:D$400,0)),D$2,)</f>
        <v>0</v>
      </c>
      <c r="E353" s="179">
        <f ca="1">IF(ISNUMBER(MATCH(DATEVALUE($A353),'recurring1_based on steps'!E$1:E$400,0)),E$2,)</f>
        <v>0</v>
      </c>
      <c r="F353" s="179">
        <f ca="1">IF(ISNUMBER(MATCH(DATEVALUE($A353),'recurring1_based on steps'!F$1:F$400,0)),F$2,)</f>
        <v>0</v>
      </c>
      <c r="G353" s="179">
        <f ca="1">IF(ISNUMBER(MATCH(DATEVALUE($A353),'recurring1_based on steps'!G$1:G$400,0)),G$2,)</f>
        <v>0</v>
      </c>
      <c r="H353" s="179">
        <f ca="1">IF(ISNUMBER(MATCH(DATEVALUE($A353),'recurring1_based on steps'!H$1:H$400,0)),H$2,)</f>
        <v>0</v>
      </c>
      <c r="I353" s="179">
        <f ca="1">IF(ISNUMBER(MATCH(DATEVALUE($A353),'recurring1_based on steps'!I$1:I$400,0)),I$2,)</f>
        <v>0</v>
      </c>
      <c r="J353" s="179">
        <f ca="1">IF(ISNUMBER(MATCH(DATEVALUE($A353),'recurring1_based on steps'!J$1:J$400,0)),J$2,)</f>
        <v>0</v>
      </c>
      <c r="K353" s="179">
        <f ca="1">IF(ISNUMBER(MATCH(DATEVALUE($A353),'recurring1_based on steps'!K$1:K$400,0)),K$2,)</f>
        <v>0</v>
      </c>
      <c r="L353" s="179">
        <f ca="1">IF(ISNUMBER(MATCH(DATEVALUE($A353),'recurring1_based on steps'!L$1:L$400,0)),L$2,)</f>
        <v>0</v>
      </c>
      <c r="M353" s="179">
        <f ca="1">IF(ISNUMBER(MATCH(DATEVALUE($A353),'recurring1_based on steps'!M$1:M$400,0)),M$2,)</f>
        <v>0</v>
      </c>
      <c r="N353" s="179">
        <f ca="1">IF(ISNUMBER(MATCH(DATEVALUE($A353),'recurring1_based on steps'!N$1:N$400,0)),N$2,)</f>
        <v>0</v>
      </c>
      <c r="O353" s="179">
        <f ca="1">IF(ISNUMBER(MATCH(DATEVALUE($A353),'recurring1_based on steps'!O$1:O$400,0)),O$2,)</f>
        <v>0</v>
      </c>
      <c r="P353" s="179">
        <f ca="1">IF(ISNUMBER(MATCH(DATEVALUE($A353),'recurring1_based on steps'!P$1:P$400,0)),P$2,)</f>
        <v>0</v>
      </c>
      <c r="Q353" s="179">
        <f ca="1">IF(ISNUMBER(MATCH(DATEVALUE($A353),'recurring1_based on steps'!Q$1:Q$400,0)),Q$2,)</f>
        <v>0</v>
      </c>
      <c r="R353" s="179">
        <f ca="1">IF(ISNUMBER(MATCH(DATEVALUE($A353),'recurring1_based on steps'!R$1:R$400,0)),R$2,)</f>
        <v>0</v>
      </c>
      <c r="S353" s="179">
        <f ca="1">IF(ISNUMBER(MATCH(DATEVALUE($A353),'recurring1_based on steps'!S$1:S$400,0)),S$2,)</f>
        <v>0</v>
      </c>
      <c r="T353" s="179">
        <f ca="1">IF(ISNUMBER(MATCH(DATEVALUE($A353),'recurring1_based on steps'!T$1:T$400,0)),T$2,)</f>
        <v>0</v>
      </c>
      <c r="U353" s="179">
        <f ca="1">IF(ISNUMBER(MATCH(DATEVALUE($A353),'recurring1_based on steps'!U$1:U$400,0)),U$2,)</f>
        <v>0</v>
      </c>
      <c r="V353" s="179">
        <f ca="1">IF(ISNUMBER(MATCH(DATEVALUE($A353),'recurring1_based on steps'!V$1:V$400,0)),V$2,)</f>
        <v>0</v>
      </c>
      <c r="W353" s="179">
        <f ca="1">IF(ISNUMBER(MATCH(DATEVALUE($A353),'recurring1_based on steps'!W$1:W$400,0)),W$2,)</f>
        <v>0</v>
      </c>
      <c r="X353" s="179">
        <f ca="1">IF(ISNUMBER(MATCH(DATEVALUE($A353),'recurring1_based on steps'!X$1:X$400,0)),X$2,)</f>
        <v>0</v>
      </c>
      <c r="Y353" s="179">
        <f ca="1">IF(ISNUMBER(MATCH(DATEVALUE($A353),'recurring1_based on steps'!Y$1:Y$400,0)),Y$2,)</f>
        <v>0</v>
      </c>
      <c r="Z353" s="179">
        <f ca="1">IF(ISNUMBER(MATCH(DATEVALUE($A353),'recurring1_based on steps'!Z$1:Z$400,0)),Z$2,)</f>
        <v>0</v>
      </c>
      <c r="AA353" s="179">
        <f ca="1">IF(ISNUMBER(MATCH(DATEVALUE($A353),'recurring1_based on steps'!AA$1:AA$400,0)),AA$2,)</f>
        <v>0</v>
      </c>
      <c r="AB353" s="179">
        <f ca="1">IF(ISNUMBER(MATCH(DATEVALUE($A353),'recurring1_based on steps'!AB$1:AB$400,0)),AB$2,)</f>
        <v>0</v>
      </c>
      <c r="AC353" s="179">
        <f ca="1">IF(ISNUMBER(MATCH(DATEVALUE($A353),'recurring1_based on steps'!AC$1:AC$400,0)),AC$2,)</f>
        <v>0</v>
      </c>
      <c r="AD353" s="179">
        <f ca="1">IF(ISNUMBER(MATCH(DATEVALUE($A353),'recurring1_based on steps'!AD$1:AD$400,0)),AD$2,)</f>
        <v>0</v>
      </c>
      <c r="AE353" s="179">
        <f ca="1">IF(ISNUMBER(MATCH(DATEVALUE($A353),'recurring1_based on steps'!AE$1:AE$400,0)),AE$2,)</f>
        <v>0</v>
      </c>
      <c r="AF353" s="179">
        <f ca="1">IF(ISNUMBER(MATCH(DATEVALUE($A353),'recurring1_based on steps'!AF$1:AF$400,0)),AF$2,)</f>
        <v>0</v>
      </c>
      <c r="AG353" s="179">
        <f ca="1">IF(ISNUMBER(MATCH(DATEVALUE($A353),'recurring1_based on steps'!AG$1:AG$400,0)),AG$2,)</f>
        <v>0</v>
      </c>
      <c r="AH353" s="179">
        <f ca="1">IF(ISNUMBER(MATCH(DATEVALUE($A353),'recurring1_based on steps'!AH$1:AH$400,0)),AH$2,)</f>
        <v>0</v>
      </c>
      <c r="AI353" s="179">
        <f ca="1">IF(ISNUMBER(MATCH(DATEVALUE($A353),'recurring1_based on steps'!AI$1:AI$400,0)),AI$2,)</f>
        <v>0</v>
      </c>
      <c r="AJ353" s="179">
        <f ca="1">IF(ISNUMBER(MATCH(DATEVALUE($A353),'recurring1_based on steps'!AJ$1:AJ$400,0)),AJ$2,)</f>
        <v>0</v>
      </c>
      <c r="AK353" s="179">
        <f ca="1">IF(ISNUMBER(MATCH(DATEVALUE($A353),'recurring1_based on steps'!AK$1:AK$400,0)),AK$2,)</f>
        <v>0</v>
      </c>
      <c r="AL353" s="179">
        <f ca="1">IF(ISNUMBER(MATCH(DATEVALUE($A353),'recurring1_based on steps'!AL$1:AL$400,0)),AL$2,)</f>
        <v>0</v>
      </c>
      <c r="AM353" s="179">
        <f ca="1">IF(ISNUMBER(MATCH(DATEVALUE($A353),'recurring1_based on steps'!AM$1:AM$400,0)),AM$2,)</f>
        <v>0</v>
      </c>
      <c r="AN353" s="179">
        <f ca="1">IF(ISNUMBER(MATCH(DATEVALUE($A353),'recurring1_based on steps'!AN$1:AN$400,0)),AN$2,)</f>
        <v>0</v>
      </c>
      <c r="AO353" s="179">
        <f ca="1">IF(ISNUMBER(MATCH(DATEVALUE($A353),'recurring1_based on steps'!AO$1:AO$400,0)),AO$2,)</f>
        <v>0</v>
      </c>
      <c r="AP353" s="179">
        <f ca="1">IF(ISNUMBER(MATCH(DATEVALUE($A353),'recurring1_based on steps'!AP$1:AP$400,0)),AP$2,)</f>
        <v>0</v>
      </c>
      <c r="AQ353" s="179">
        <f ca="1">IF(ISNUMBER(MATCH(DATEVALUE($A353),'recurring1_based on steps'!AQ$1:AQ$400,0)),AQ$2,)</f>
        <v>0</v>
      </c>
      <c r="AR353" s="179">
        <f ca="1">IF(ISNUMBER(MATCH(DATEVALUE($A353),'recurring1_based on steps'!AR$1:AR$400,0)),AR$2,)</f>
        <v>0</v>
      </c>
      <c r="AS353" s="179">
        <f ca="1">IF(ISNUMBER(MATCH(DATEVALUE($A353),'recurring1_based on steps'!AS$1:AS$400,0)),AS$2,)</f>
        <v>0</v>
      </c>
      <c r="AT353" s="179">
        <f ca="1">IF(ISNUMBER(MATCH(DATEVALUE($A353),'recurring1_based on steps'!AT$1:AT$400,0)),AT$2,)</f>
        <v>0</v>
      </c>
      <c r="AU353" s="179">
        <f ca="1">IF(ISNUMBER(MATCH(DATEVALUE($A353),'recurring1_based on steps'!AU$1:AU$400,0)),AU$2,)</f>
        <v>0</v>
      </c>
      <c r="AV353" s="179">
        <f ca="1">IF(ISNUMBER(MATCH(DATEVALUE($A353),'recurring1_based on steps'!AV$1:AV$400,0)),AV$2,)</f>
        <v>0</v>
      </c>
      <c r="AW353" s="179">
        <f ca="1">IF(ISNUMBER(MATCH(DATEVALUE($A353),'recurring1_based on steps'!AW$1:AW$400,0)),AW$2,)</f>
        <v>0</v>
      </c>
      <c r="AX353" s="179">
        <f ca="1">IF(ISNUMBER(MATCH(DATEVALUE($A353),'recurring1_based on steps'!AX$1:AX$400,0)),AX$2,)</f>
        <v>0</v>
      </c>
      <c r="AY353" s="179">
        <f ca="1">IF(ISNUMBER(MATCH(DATEVALUE($A353),'recurring1_based on steps'!AY$1:AY$400,0)),AY$2,)</f>
        <v>0</v>
      </c>
    </row>
    <row r="354" spans="1:51" x14ac:dyDescent="0.2">
      <c r="A354" s="32" t="str">
        <f t="shared" ca="1" si="5"/>
        <v>2026-03-22</v>
      </c>
      <c r="B354" s="179">
        <f ca="1">IF(ISNUMBER(MATCH(DATEVALUE($A354),'recurring1_based on steps'!B$1:B$400,0)),B$2,)</f>
        <v>0</v>
      </c>
      <c r="C354" s="179">
        <f ca="1">IF(ISNUMBER(MATCH(DATEVALUE($A354),'recurring1_based on steps'!C$1:C$400,0)),C$2,)</f>
        <v>0</v>
      </c>
      <c r="D354" s="179">
        <f ca="1">IF(ISNUMBER(MATCH(DATEVALUE($A354),'recurring1_based on steps'!D$1:D$400,0)),D$2,)</f>
        <v>0</v>
      </c>
      <c r="E354" s="179">
        <f ca="1">IF(ISNUMBER(MATCH(DATEVALUE($A354),'recurring1_based on steps'!E$1:E$400,0)),E$2,)</f>
        <v>0</v>
      </c>
      <c r="F354" s="179">
        <f ca="1">IF(ISNUMBER(MATCH(DATEVALUE($A354),'recurring1_based on steps'!F$1:F$400,0)),F$2,)</f>
        <v>0</v>
      </c>
      <c r="G354" s="179">
        <f ca="1">IF(ISNUMBER(MATCH(DATEVALUE($A354),'recurring1_based on steps'!G$1:G$400,0)),G$2,)</f>
        <v>0</v>
      </c>
      <c r="H354" s="179">
        <f ca="1">IF(ISNUMBER(MATCH(DATEVALUE($A354),'recurring1_based on steps'!H$1:H$400,0)),H$2,)</f>
        <v>0</v>
      </c>
      <c r="I354" s="179">
        <f ca="1">IF(ISNUMBER(MATCH(DATEVALUE($A354),'recurring1_based on steps'!I$1:I$400,0)),I$2,)</f>
        <v>0</v>
      </c>
      <c r="J354" s="179">
        <f ca="1">IF(ISNUMBER(MATCH(DATEVALUE($A354),'recurring1_based on steps'!J$1:J$400,0)),J$2,)</f>
        <v>0</v>
      </c>
      <c r="K354" s="179">
        <f ca="1">IF(ISNUMBER(MATCH(DATEVALUE($A354),'recurring1_based on steps'!K$1:K$400,0)),K$2,)</f>
        <v>0</v>
      </c>
      <c r="L354" s="179">
        <f ca="1">IF(ISNUMBER(MATCH(DATEVALUE($A354),'recurring1_based on steps'!L$1:L$400,0)),L$2,)</f>
        <v>0</v>
      </c>
      <c r="M354" s="179">
        <f ca="1">IF(ISNUMBER(MATCH(DATEVALUE($A354),'recurring1_based on steps'!M$1:M$400,0)),M$2,)</f>
        <v>0</v>
      </c>
      <c r="N354" s="179">
        <f ca="1">IF(ISNUMBER(MATCH(DATEVALUE($A354),'recurring1_based on steps'!N$1:N$400,0)),N$2,)</f>
        <v>0</v>
      </c>
      <c r="O354" s="179">
        <f ca="1">IF(ISNUMBER(MATCH(DATEVALUE($A354),'recurring1_based on steps'!O$1:O$400,0)),O$2,)</f>
        <v>0</v>
      </c>
      <c r="P354" s="179">
        <f ca="1">IF(ISNUMBER(MATCH(DATEVALUE($A354),'recurring1_based on steps'!P$1:P$400,0)),P$2,)</f>
        <v>0</v>
      </c>
      <c r="Q354" s="179">
        <f ca="1">IF(ISNUMBER(MATCH(DATEVALUE($A354),'recurring1_based on steps'!Q$1:Q$400,0)),Q$2,)</f>
        <v>0</v>
      </c>
      <c r="R354" s="179">
        <f ca="1">IF(ISNUMBER(MATCH(DATEVALUE($A354),'recurring1_based on steps'!R$1:R$400,0)),R$2,)</f>
        <v>0</v>
      </c>
      <c r="S354" s="179">
        <f ca="1">IF(ISNUMBER(MATCH(DATEVALUE($A354),'recurring1_based on steps'!S$1:S$400,0)),S$2,)</f>
        <v>0</v>
      </c>
      <c r="T354" s="179">
        <f ca="1">IF(ISNUMBER(MATCH(DATEVALUE($A354),'recurring1_based on steps'!T$1:T$400,0)),T$2,)</f>
        <v>0</v>
      </c>
      <c r="U354" s="179">
        <f ca="1">IF(ISNUMBER(MATCH(DATEVALUE($A354),'recurring1_based on steps'!U$1:U$400,0)),U$2,)</f>
        <v>0</v>
      </c>
      <c r="V354" s="179">
        <f ca="1">IF(ISNUMBER(MATCH(DATEVALUE($A354),'recurring1_based on steps'!V$1:V$400,0)),V$2,)</f>
        <v>0</v>
      </c>
      <c r="W354" s="179">
        <f ca="1">IF(ISNUMBER(MATCH(DATEVALUE($A354),'recurring1_based on steps'!W$1:W$400,0)),W$2,)</f>
        <v>0</v>
      </c>
      <c r="X354" s="179">
        <f ca="1">IF(ISNUMBER(MATCH(DATEVALUE($A354),'recurring1_based on steps'!X$1:X$400,0)),X$2,)</f>
        <v>0</v>
      </c>
      <c r="Y354" s="179">
        <f ca="1">IF(ISNUMBER(MATCH(DATEVALUE($A354),'recurring1_based on steps'!Y$1:Y$400,0)),Y$2,)</f>
        <v>0</v>
      </c>
      <c r="Z354" s="179">
        <f ca="1">IF(ISNUMBER(MATCH(DATEVALUE($A354),'recurring1_based on steps'!Z$1:Z$400,0)),Z$2,)</f>
        <v>0</v>
      </c>
      <c r="AA354" s="179">
        <f ca="1">IF(ISNUMBER(MATCH(DATEVALUE($A354),'recurring1_based on steps'!AA$1:AA$400,0)),AA$2,)</f>
        <v>0</v>
      </c>
      <c r="AB354" s="179">
        <f ca="1">IF(ISNUMBER(MATCH(DATEVALUE($A354),'recurring1_based on steps'!AB$1:AB$400,0)),AB$2,)</f>
        <v>0</v>
      </c>
      <c r="AC354" s="179">
        <f ca="1">IF(ISNUMBER(MATCH(DATEVALUE($A354),'recurring1_based on steps'!AC$1:AC$400,0)),AC$2,)</f>
        <v>0</v>
      </c>
      <c r="AD354" s="179">
        <f ca="1">IF(ISNUMBER(MATCH(DATEVALUE($A354),'recurring1_based on steps'!AD$1:AD$400,0)),AD$2,)</f>
        <v>0</v>
      </c>
      <c r="AE354" s="179">
        <f ca="1">IF(ISNUMBER(MATCH(DATEVALUE($A354),'recurring1_based on steps'!AE$1:AE$400,0)),AE$2,)</f>
        <v>0</v>
      </c>
      <c r="AF354" s="179">
        <f ca="1">IF(ISNUMBER(MATCH(DATEVALUE($A354),'recurring1_based on steps'!AF$1:AF$400,0)),AF$2,)</f>
        <v>0</v>
      </c>
      <c r="AG354" s="179">
        <f ca="1">IF(ISNUMBER(MATCH(DATEVALUE($A354),'recurring1_based on steps'!AG$1:AG$400,0)),AG$2,)</f>
        <v>0</v>
      </c>
      <c r="AH354" s="179">
        <f ca="1">IF(ISNUMBER(MATCH(DATEVALUE($A354),'recurring1_based on steps'!AH$1:AH$400,0)),AH$2,)</f>
        <v>0</v>
      </c>
      <c r="AI354" s="179">
        <f ca="1">IF(ISNUMBER(MATCH(DATEVALUE($A354),'recurring1_based on steps'!AI$1:AI$400,0)),AI$2,)</f>
        <v>0</v>
      </c>
      <c r="AJ354" s="179">
        <f ca="1">IF(ISNUMBER(MATCH(DATEVALUE($A354),'recurring1_based on steps'!AJ$1:AJ$400,0)),AJ$2,)</f>
        <v>0</v>
      </c>
      <c r="AK354" s="179">
        <f ca="1">IF(ISNUMBER(MATCH(DATEVALUE($A354),'recurring1_based on steps'!AK$1:AK$400,0)),AK$2,)</f>
        <v>0</v>
      </c>
      <c r="AL354" s="179">
        <f ca="1">IF(ISNUMBER(MATCH(DATEVALUE($A354),'recurring1_based on steps'!AL$1:AL$400,0)),AL$2,)</f>
        <v>0</v>
      </c>
      <c r="AM354" s="179">
        <f ca="1">IF(ISNUMBER(MATCH(DATEVALUE($A354),'recurring1_based on steps'!AM$1:AM$400,0)),AM$2,)</f>
        <v>0</v>
      </c>
      <c r="AN354" s="179">
        <f ca="1">IF(ISNUMBER(MATCH(DATEVALUE($A354),'recurring1_based on steps'!AN$1:AN$400,0)),AN$2,)</f>
        <v>0</v>
      </c>
      <c r="AO354" s="179">
        <f ca="1">IF(ISNUMBER(MATCH(DATEVALUE($A354),'recurring1_based on steps'!AO$1:AO$400,0)),AO$2,)</f>
        <v>0</v>
      </c>
      <c r="AP354" s="179">
        <f ca="1">IF(ISNUMBER(MATCH(DATEVALUE($A354),'recurring1_based on steps'!AP$1:AP$400,0)),AP$2,)</f>
        <v>0</v>
      </c>
      <c r="AQ354" s="179">
        <f ca="1">IF(ISNUMBER(MATCH(DATEVALUE($A354),'recurring1_based on steps'!AQ$1:AQ$400,0)),AQ$2,)</f>
        <v>0</v>
      </c>
      <c r="AR354" s="179">
        <f ca="1">IF(ISNUMBER(MATCH(DATEVALUE($A354),'recurring1_based on steps'!AR$1:AR$400,0)),AR$2,)</f>
        <v>0</v>
      </c>
      <c r="AS354" s="179">
        <f ca="1">IF(ISNUMBER(MATCH(DATEVALUE($A354),'recurring1_based on steps'!AS$1:AS$400,0)),AS$2,)</f>
        <v>0</v>
      </c>
      <c r="AT354" s="179">
        <f ca="1">IF(ISNUMBER(MATCH(DATEVALUE($A354),'recurring1_based on steps'!AT$1:AT$400,0)),AT$2,)</f>
        <v>0</v>
      </c>
      <c r="AU354" s="179">
        <f ca="1">IF(ISNUMBER(MATCH(DATEVALUE($A354),'recurring1_based on steps'!AU$1:AU$400,0)),AU$2,)</f>
        <v>0</v>
      </c>
      <c r="AV354" s="179">
        <f ca="1">IF(ISNUMBER(MATCH(DATEVALUE($A354),'recurring1_based on steps'!AV$1:AV$400,0)),AV$2,)</f>
        <v>0</v>
      </c>
      <c r="AW354" s="179">
        <f ca="1">IF(ISNUMBER(MATCH(DATEVALUE($A354),'recurring1_based on steps'!AW$1:AW$400,0)),AW$2,)</f>
        <v>0</v>
      </c>
      <c r="AX354" s="179">
        <f ca="1">IF(ISNUMBER(MATCH(DATEVALUE($A354),'recurring1_based on steps'!AX$1:AX$400,0)),AX$2,)</f>
        <v>0</v>
      </c>
      <c r="AY354" s="179">
        <f ca="1">IF(ISNUMBER(MATCH(DATEVALUE($A354),'recurring1_based on steps'!AY$1:AY$400,0)),AY$2,)</f>
        <v>0</v>
      </c>
    </row>
    <row r="355" spans="1:51" x14ac:dyDescent="0.2">
      <c r="A355" s="32" t="str">
        <f t="shared" ca="1" si="5"/>
        <v>2026-03-23</v>
      </c>
      <c r="B355" s="179">
        <f ca="1">IF(ISNUMBER(MATCH(DATEVALUE($A355),'recurring1_based on steps'!B$1:B$400,0)),B$2,)</f>
        <v>0</v>
      </c>
      <c r="C355" s="179">
        <f ca="1">IF(ISNUMBER(MATCH(DATEVALUE($A355),'recurring1_based on steps'!C$1:C$400,0)),C$2,)</f>
        <v>0</v>
      </c>
      <c r="D355" s="179">
        <f ca="1">IF(ISNUMBER(MATCH(DATEVALUE($A355),'recurring1_based on steps'!D$1:D$400,0)),D$2,)</f>
        <v>0</v>
      </c>
      <c r="E355" s="179">
        <f ca="1">IF(ISNUMBER(MATCH(DATEVALUE($A355),'recurring1_based on steps'!E$1:E$400,0)),E$2,)</f>
        <v>0</v>
      </c>
      <c r="F355" s="179">
        <f ca="1">IF(ISNUMBER(MATCH(DATEVALUE($A355),'recurring1_based on steps'!F$1:F$400,0)),F$2,)</f>
        <v>0</v>
      </c>
      <c r="G355" s="179">
        <f ca="1">IF(ISNUMBER(MATCH(DATEVALUE($A355),'recurring1_based on steps'!G$1:G$400,0)),G$2,)</f>
        <v>0</v>
      </c>
      <c r="H355" s="179">
        <f ca="1">IF(ISNUMBER(MATCH(DATEVALUE($A355),'recurring1_based on steps'!H$1:H$400,0)),H$2,)</f>
        <v>0</v>
      </c>
      <c r="I355" s="179">
        <f ca="1">IF(ISNUMBER(MATCH(DATEVALUE($A355),'recurring1_based on steps'!I$1:I$400,0)),I$2,)</f>
        <v>0</v>
      </c>
      <c r="J355" s="179">
        <f ca="1">IF(ISNUMBER(MATCH(DATEVALUE($A355),'recurring1_based on steps'!J$1:J$400,0)),J$2,)</f>
        <v>0</v>
      </c>
      <c r="K355" s="179">
        <f ca="1">IF(ISNUMBER(MATCH(DATEVALUE($A355),'recurring1_based on steps'!K$1:K$400,0)),K$2,)</f>
        <v>0</v>
      </c>
      <c r="L355" s="179">
        <f ca="1">IF(ISNUMBER(MATCH(DATEVALUE($A355),'recurring1_based on steps'!L$1:L$400,0)),L$2,)</f>
        <v>0</v>
      </c>
      <c r="M355" s="179">
        <f ca="1">IF(ISNUMBER(MATCH(DATEVALUE($A355),'recurring1_based on steps'!M$1:M$400,0)),M$2,)</f>
        <v>0</v>
      </c>
      <c r="N355" s="179">
        <f ca="1">IF(ISNUMBER(MATCH(DATEVALUE($A355),'recurring1_based on steps'!N$1:N$400,0)),N$2,)</f>
        <v>0</v>
      </c>
      <c r="O355" s="179">
        <f ca="1">IF(ISNUMBER(MATCH(DATEVALUE($A355),'recurring1_based on steps'!O$1:O$400,0)),O$2,)</f>
        <v>0</v>
      </c>
      <c r="P355" s="179">
        <f ca="1">IF(ISNUMBER(MATCH(DATEVALUE($A355),'recurring1_based on steps'!P$1:P$400,0)),P$2,)</f>
        <v>0</v>
      </c>
      <c r="Q355" s="179">
        <f ca="1">IF(ISNUMBER(MATCH(DATEVALUE($A355),'recurring1_based on steps'!Q$1:Q$400,0)),Q$2,)</f>
        <v>0</v>
      </c>
      <c r="R355" s="179">
        <f ca="1">IF(ISNUMBER(MATCH(DATEVALUE($A355),'recurring1_based on steps'!R$1:R$400,0)),R$2,)</f>
        <v>0</v>
      </c>
      <c r="S355" s="179">
        <f ca="1">IF(ISNUMBER(MATCH(DATEVALUE($A355),'recurring1_based on steps'!S$1:S$400,0)),S$2,)</f>
        <v>0</v>
      </c>
      <c r="T355" s="179">
        <f ca="1">IF(ISNUMBER(MATCH(DATEVALUE($A355),'recurring1_based on steps'!T$1:T$400,0)),T$2,)</f>
        <v>0</v>
      </c>
      <c r="U355" s="179">
        <f ca="1">IF(ISNUMBER(MATCH(DATEVALUE($A355),'recurring1_based on steps'!U$1:U$400,0)),U$2,)</f>
        <v>0</v>
      </c>
      <c r="V355" s="179">
        <f ca="1">IF(ISNUMBER(MATCH(DATEVALUE($A355),'recurring1_based on steps'!V$1:V$400,0)),V$2,)</f>
        <v>0</v>
      </c>
      <c r="W355" s="179">
        <f ca="1">IF(ISNUMBER(MATCH(DATEVALUE($A355),'recurring1_based on steps'!W$1:W$400,0)),W$2,)</f>
        <v>0</v>
      </c>
      <c r="X355" s="179">
        <f ca="1">IF(ISNUMBER(MATCH(DATEVALUE($A355),'recurring1_based on steps'!X$1:X$400,0)),X$2,)</f>
        <v>0</v>
      </c>
      <c r="Y355" s="179">
        <f ca="1">IF(ISNUMBER(MATCH(DATEVALUE($A355),'recurring1_based on steps'!Y$1:Y$400,0)),Y$2,)</f>
        <v>0</v>
      </c>
      <c r="Z355" s="179">
        <f ca="1">IF(ISNUMBER(MATCH(DATEVALUE($A355),'recurring1_based on steps'!Z$1:Z$400,0)),Z$2,)</f>
        <v>0</v>
      </c>
      <c r="AA355" s="179">
        <f ca="1">IF(ISNUMBER(MATCH(DATEVALUE($A355),'recurring1_based on steps'!AA$1:AA$400,0)),AA$2,)</f>
        <v>0</v>
      </c>
      <c r="AB355" s="179">
        <f ca="1">IF(ISNUMBER(MATCH(DATEVALUE($A355),'recurring1_based on steps'!AB$1:AB$400,0)),AB$2,)</f>
        <v>0</v>
      </c>
      <c r="AC355" s="179">
        <f ca="1">IF(ISNUMBER(MATCH(DATEVALUE($A355),'recurring1_based on steps'!AC$1:AC$400,0)),AC$2,)</f>
        <v>0</v>
      </c>
      <c r="AD355" s="179">
        <f ca="1">IF(ISNUMBER(MATCH(DATEVALUE($A355),'recurring1_based on steps'!AD$1:AD$400,0)),AD$2,)</f>
        <v>0</v>
      </c>
      <c r="AE355" s="179">
        <f ca="1">IF(ISNUMBER(MATCH(DATEVALUE($A355),'recurring1_based on steps'!AE$1:AE$400,0)),AE$2,)</f>
        <v>0</v>
      </c>
      <c r="AF355" s="179">
        <f ca="1">IF(ISNUMBER(MATCH(DATEVALUE($A355),'recurring1_based on steps'!AF$1:AF$400,0)),AF$2,)</f>
        <v>0</v>
      </c>
      <c r="AG355" s="179">
        <f ca="1">IF(ISNUMBER(MATCH(DATEVALUE($A355),'recurring1_based on steps'!AG$1:AG$400,0)),AG$2,)</f>
        <v>0</v>
      </c>
      <c r="AH355" s="179">
        <f ca="1">IF(ISNUMBER(MATCH(DATEVALUE($A355),'recurring1_based on steps'!AH$1:AH$400,0)),AH$2,)</f>
        <v>0</v>
      </c>
      <c r="AI355" s="179">
        <f ca="1">IF(ISNUMBER(MATCH(DATEVALUE($A355),'recurring1_based on steps'!AI$1:AI$400,0)),AI$2,)</f>
        <v>0</v>
      </c>
      <c r="AJ355" s="179">
        <f ca="1">IF(ISNUMBER(MATCH(DATEVALUE($A355),'recurring1_based on steps'!AJ$1:AJ$400,0)),AJ$2,)</f>
        <v>0</v>
      </c>
      <c r="AK355" s="179">
        <f ca="1">IF(ISNUMBER(MATCH(DATEVALUE($A355),'recurring1_based on steps'!AK$1:AK$400,0)),AK$2,)</f>
        <v>0</v>
      </c>
      <c r="AL355" s="179">
        <f ca="1">IF(ISNUMBER(MATCH(DATEVALUE($A355),'recurring1_based on steps'!AL$1:AL$400,0)),AL$2,)</f>
        <v>0</v>
      </c>
      <c r="AM355" s="179">
        <f ca="1">IF(ISNUMBER(MATCH(DATEVALUE($A355),'recurring1_based on steps'!AM$1:AM$400,0)),AM$2,)</f>
        <v>0</v>
      </c>
      <c r="AN355" s="179">
        <f ca="1">IF(ISNUMBER(MATCH(DATEVALUE($A355),'recurring1_based on steps'!AN$1:AN$400,0)),AN$2,)</f>
        <v>0</v>
      </c>
      <c r="AO355" s="179">
        <f ca="1">IF(ISNUMBER(MATCH(DATEVALUE($A355),'recurring1_based on steps'!AO$1:AO$400,0)),AO$2,)</f>
        <v>0</v>
      </c>
      <c r="AP355" s="179">
        <f ca="1">IF(ISNUMBER(MATCH(DATEVALUE($A355),'recurring1_based on steps'!AP$1:AP$400,0)),AP$2,)</f>
        <v>0</v>
      </c>
      <c r="AQ355" s="179">
        <f ca="1">IF(ISNUMBER(MATCH(DATEVALUE($A355),'recurring1_based on steps'!AQ$1:AQ$400,0)),AQ$2,)</f>
        <v>0</v>
      </c>
      <c r="AR355" s="179">
        <f ca="1">IF(ISNUMBER(MATCH(DATEVALUE($A355),'recurring1_based on steps'!AR$1:AR$400,0)),AR$2,)</f>
        <v>0</v>
      </c>
      <c r="AS355" s="179">
        <f ca="1">IF(ISNUMBER(MATCH(DATEVALUE($A355),'recurring1_based on steps'!AS$1:AS$400,0)),AS$2,)</f>
        <v>0</v>
      </c>
      <c r="AT355" s="179">
        <f ca="1">IF(ISNUMBER(MATCH(DATEVALUE($A355),'recurring1_based on steps'!AT$1:AT$400,0)),AT$2,)</f>
        <v>0</v>
      </c>
      <c r="AU355" s="179">
        <f ca="1">IF(ISNUMBER(MATCH(DATEVALUE($A355),'recurring1_based on steps'!AU$1:AU$400,0)),AU$2,)</f>
        <v>0</v>
      </c>
      <c r="AV355" s="179">
        <f ca="1">IF(ISNUMBER(MATCH(DATEVALUE($A355),'recurring1_based on steps'!AV$1:AV$400,0)),AV$2,)</f>
        <v>0</v>
      </c>
      <c r="AW355" s="179">
        <f ca="1">IF(ISNUMBER(MATCH(DATEVALUE($A355),'recurring1_based on steps'!AW$1:AW$400,0)),AW$2,)</f>
        <v>0</v>
      </c>
      <c r="AX355" s="179">
        <f ca="1">IF(ISNUMBER(MATCH(DATEVALUE($A355),'recurring1_based on steps'!AX$1:AX$400,0)),AX$2,)</f>
        <v>0</v>
      </c>
      <c r="AY355" s="179">
        <f ca="1">IF(ISNUMBER(MATCH(DATEVALUE($A355),'recurring1_based on steps'!AY$1:AY$400,0)),AY$2,)</f>
        <v>0</v>
      </c>
    </row>
    <row r="356" spans="1:51" x14ac:dyDescent="0.2">
      <c r="A356" s="32" t="str">
        <f t="shared" ca="1" si="5"/>
        <v>2026-03-24</v>
      </c>
      <c r="B356" s="179">
        <f ca="1">IF(ISNUMBER(MATCH(DATEVALUE($A356),'recurring1_based on steps'!B$1:B$400,0)),B$2,)</f>
        <v>0</v>
      </c>
      <c r="C356" s="179">
        <f ca="1">IF(ISNUMBER(MATCH(DATEVALUE($A356),'recurring1_based on steps'!C$1:C$400,0)),C$2,)</f>
        <v>0</v>
      </c>
      <c r="D356" s="179">
        <f ca="1">IF(ISNUMBER(MATCH(DATEVALUE($A356),'recurring1_based on steps'!D$1:D$400,0)),D$2,)</f>
        <v>0</v>
      </c>
      <c r="E356" s="179">
        <f ca="1">IF(ISNUMBER(MATCH(DATEVALUE($A356),'recurring1_based on steps'!E$1:E$400,0)),E$2,)</f>
        <v>0</v>
      </c>
      <c r="F356" s="179">
        <f ca="1">IF(ISNUMBER(MATCH(DATEVALUE($A356),'recurring1_based on steps'!F$1:F$400,0)),F$2,)</f>
        <v>0</v>
      </c>
      <c r="G356" s="179">
        <f ca="1">IF(ISNUMBER(MATCH(DATEVALUE($A356),'recurring1_based on steps'!G$1:G$400,0)),G$2,)</f>
        <v>0</v>
      </c>
      <c r="H356" s="179">
        <f ca="1">IF(ISNUMBER(MATCH(DATEVALUE($A356),'recurring1_based on steps'!H$1:H$400,0)),H$2,)</f>
        <v>0</v>
      </c>
      <c r="I356" s="179">
        <f ca="1">IF(ISNUMBER(MATCH(DATEVALUE($A356),'recurring1_based on steps'!I$1:I$400,0)),I$2,)</f>
        <v>0</v>
      </c>
      <c r="J356" s="179">
        <f ca="1">IF(ISNUMBER(MATCH(DATEVALUE($A356),'recurring1_based on steps'!J$1:J$400,0)),J$2,)</f>
        <v>0</v>
      </c>
      <c r="K356" s="179">
        <f ca="1">IF(ISNUMBER(MATCH(DATEVALUE($A356),'recurring1_based on steps'!K$1:K$400,0)),K$2,)</f>
        <v>0</v>
      </c>
      <c r="L356" s="179">
        <f ca="1">IF(ISNUMBER(MATCH(DATEVALUE($A356),'recurring1_based on steps'!L$1:L$400,0)),L$2,)</f>
        <v>0</v>
      </c>
      <c r="M356" s="179">
        <f ca="1">IF(ISNUMBER(MATCH(DATEVALUE($A356),'recurring1_based on steps'!M$1:M$400,0)),M$2,)</f>
        <v>0</v>
      </c>
      <c r="N356" s="179">
        <f ca="1">IF(ISNUMBER(MATCH(DATEVALUE($A356),'recurring1_based on steps'!N$1:N$400,0)),N$2,)</f>
        <v>0</v>
      </c>
      <c r="O356" s="179">
        <f ca="1">IF(ISNUMBER(MATCH(DATEVALUE($A356),'recurring1_based on steps'!O$1:O$400,0)),O$2,)</f>
        <v>0</v>
      </c>
      <c r="P356" s="179">
        <f ca="1">IF(ISNUMBER(MATCH(DATEVALUE($A356),'recurring1_based on steps'!P$1:P$400,0)),P$2,)</f>
        <v>0</v>
      </c>
      <c r="Q356" s="179">
        <f ca="1">IF(ISNUMBER(MATCH(DATEVALUE($A356),'recurring1_based on steps'!Q$1:Q$400,0)),Q$2,)</f>
        <v>0</v>
      </c>
      <c r="R356" s="179">
        <f ca="1">IF(ISNUMBER(MATCH(DATEVALUE($A356),'recurring1_based on steps'!R$1:R$400,0)),R$2,)</f>
        <v>0</v>
      </c>
      <c r="S356" s="179">
        <f ca="1">IF(ISNUMBER(MATCH(DATEVALUE($A356),'recurring1_based on steps'!S$1:S$400,0)),S$2,)</f>
        <v>0</v>
      </c>
      <c r="T356" s="179">
        <f ca="1">IF(ISNUMBER(MATCH(DATEVALUE($A356),'recurring1_based on steps'!T$1:T$400,0)),T$2,)</f>
        <v>0</v>
      </c>
      <c r="U356" s="179">
        <f ca="1">IF(ISNUMBER(MATCH(DATEVALUE($A356),'recurring1_based on steps'!U$1:U$400,0)),U$2,)</f>
        <v>0</v>
      </c>
      <c r="V356" s="179">
        <f ca="1">IF(ISNUMBER(MATCH(DATEVALUE($A356),'recurring1_based on steps'!V$1:V$400,0)),V$2,)</f>
        <v>0</v>
      </c>
      <c r="W356" s="179">
        <f ca="1">IF(ISNUMBER(MATCH(DATEVALUE($A356),'recurring1_based on steps'!W$1:W$400,0)),W$2,)</f>
        <v>0</v>
      </c>
      <c r="X356" s="179">
        <f ca="1">IF(ISNUMBER(MATCH(DATEVALUE($A356),'recurring1_based on steps'!X$1:X$400,0)),X$2,)</f>
        <v>0</v>
      </c>
      <c r="Y356" s="179">
        <f ca="1">IF(ISNUMBER(MATCH(DATEVALUE($A356),'recurring1_based on steps'!Y$1:Y$400,0)),Y$2,)</f>
        <v>0</v>
      </c>
      <c r="Z356" s="179">
        <f ca="1">IF(ISNUMBER(MATCH(DATEVALUE($A356),'recurring1_based on steps'!Z$1:Z$400,0)),Z$2,)</f>
        <v>0</v>
      </c>
      <c r="AA356" s="179">
        <f ca="1">IF(ISNUMBER(MATCH(DATEVALUE($A356),'recurring1_based on steps'!AA$1:AA$400,0)),AA$2,)</f>
        <v>0</v>
      </c>
      <c r="AB356" s="179">
        <f ca="1">IF(ISNUMBER(MATCH(DATEVALUE($A356),'recurring1_based on steps'!AB$1:AB$400,0)),AB$2,)</f>
        <v>0</v>
      </c>
      <c r="AC356" s="179">
        <f ca="1">IF(ISNUMBER(MATCH(DATEVALUE($A356),'recurring1_based on steps'!AC$1:AC$400,0)),AC$2,)</f>
        <v>0</v>
      </c>
      <c r="AD356" s="179">
        <f ca="1">IF(ISNUMBER(MATCH(DATEVALUE($A356),'recurring1_based on steps'!AD$1:AD$400,0)),AD$2,)</f>
        <v>0</v>
      </c>
      <c r="AE356" s="179">
        <f ca="1">IF(ISNUMBER(MATCH(DATEVALUE($A356),'recurring1_based on steps'!AE$1:AE$400,0)),AE$2,)</f>
        <v>0</v>
      </c>
      <c r="AF356" s="179">
        <f ca="1">IF(ISNUMBER(MATCH(DATEVALUE($A356),'recurring1_based on steps'!AF$1:AF$400,0)),AF$2,)</f>
        <v>0</v>
      </c>
      <c r="AG356" s="179">
        <f ca="1">IF(ISNUMBER(MATCH(DATEVALUE($A356),'recurring1_based on steps'!AG$1:AG$400,0)),AG$2,)</f>
        <v>0</v>
      </c>
      <c r="AH356" s="179">
        <f ca="1">IF(ISNUMBER(MATCH(DATEVALUE($A356),'recurring1_based on steps'!AH$1:AH$400,0)),AH$2,)</f>
        <v>0</v>
      </c>
      <c r="AI356" s="179">
        <f ca="1">IF(ISNUMBER(MATCH(DATEVALUE($A356),'recurring1_based on steps'!AI$1:AI$400,0)),AI$2,)</f>
        <v>0</v>
      </c>
      <c r="AJ356" s="179">
        <f ca="1">IF(ISNUMBER(MATCH(DATEVALUE($A356),'recurring1_based on steps'!AJ$1:AJ$400,0)),AJ$2,)</f>
        <v>0</v>
      </c>
      <c r="AK356" s="179">
        <f ca="1">IF(ISNUMBER(MATCH(DATEVALUE($A356),'recurring1_based on steps'!AK$1:AK$400,0)),AK$2,)</f>
        <v>0</v>
      </c>
      <c r="AL356" s="179">
        <f ca="1">IF(ISNUMBER(MATCH(DATEVALUE($A356),'recurring1_based on steps'!AL$1:AL$400,0)),AL$2,)</f>
        <v>0</v>
      </c>
      <c r="AM356" s="179">
        <f ca="1">IF(ISNUMBER(MATCH(DATEVALUE($A356),'recurring1_based on steps'!AM$1:AM$400,0)),AM$2,)</f>
        <v>0</v>
      </c>
      <c r="AN356" s="179">
        <f ca="1">IF(ISNUMBER(MATCH(DATEVALUE($A356),'recurring1_based on steps'!AN$1:AN$400,0)),AN$2,)</f>
        <v>0</v>
      </c>
      <c r="AO356" s="179">
        <f ca="1">IF(ISNUMBER(MATCH(DATEVALUE($A356),'recurring1_based on steps'!AO$1:AO$400,0)),AO$2,)</f>
        <v>0</v>
      </c>
      <c r="AP356" s="179">
        <f ca="1">IF(ISNUMBER(MATCH(DATEVALUE($A356),'recurring1_based on steps'!AP$1:AP$400,0)),AP$2,)</f>
        <v>0</v>
      </c>
      <c r="AQ356" s="179">
        <f ca="1">IF(ISNUMBER(MATCH(DATEVALUE($A356),'recurring1_based on steps'!AQ$1:AQ$400,0)),AQ$2,)</f>
        <v>0</v>
      </c>
      <c r="AR356" s="179">
        <f ca="1">IF(ISNUMBER(MATCH(DATEVALUE($A356),'recurring1_based on steps'!AR$1:AR$400,0)),AR$2,)</f>
        <v>0</v>
      </c>
      <c r="AS356" s="179">
        <f ca="1">IF(ISNUMBER(MATCH(DATEVALUE($A356),'recurring1_based on steps'!AS$1:AS$400,0)),AS$2,)</f>
        <v>0</v>
      </c>
      <c r="AT356" s="179">
        <f ca="1">IF(ISNUMBER(MATCH(DATEVALUE($A356),'recurring1_based on steps'!AT$1:AT$400,0)),AT$2,)</f>
        <v>0</v>
      </c>
      <c r="AU356" s="179">
        <f ca="1">IF(ISNUMBER(MATCH(DATEVALUE($A356),'recurring1_based on steps'!AU$1:AU$400,0)),AU$2,)</f>
        <v>0</v>
      </c>
      <c r="AV356" s="179">
        <f ca="1">IF(ISNUMBER(MATCH(DATEVALUE($A356),'recurring1_based on steps'!AV$1:AV$400,0)),AV$2,)</f>
        <v>0</v>
      </c>
      <c r="AW356" s="179">
        <f ca="1">IF(ISNUMBER(MATCH(DATEVALUE($A356),'recurring1_based on steps'!AW$1:AW$400,0)),AW$2,)</f>
        <v>0</v>
      </c>
      <c r="AX356" s="179">
        <f ca="1">IF(ISNUMBER(MATCH(DATEVALUE($A356),'recurring1_based on steps'!AX$1:AX$400,0)),AX$2,)</f>
        <v>0</v>
      </c>
      <c r="AY356" s="179">
        <f ca="1">IF(ISNUMBER(MATCH(DATEVALUE($A356),'recurring1_based on steps'!AY$1:AY$400,0)),AY$2,)</f>
        <v>0</v>
      </c>
    </row>
    <row r="357" spans="1:51" x14ac:dyDescent="0.2">
      <c r="A357" s="32" t="str">
        <f t="shared" ca="1" si="5"/>
        <v>2026-03-25</v>
      </c>
      <c r="B357" s="179">
        <f ca="1">IF(ISNUMBER(MATCH(DATEVALUE($A357),'recurring1_based on steps'!B$1:B$400,0)),B$2,)</f>
        <v>0</v>
      </c>
      <c r="C357" s="179">
        <f ca="1">IF(ISNUMBER(MATCH(DATEVALUE($A357),'recurring1_based on steps'!C$1:C$400,0)),C$2,)</f>
        <v>0</v>
      </c>
      <c r="D357" s="179">
        <f ca="1">IF(ISNUMBER(MATCH(DATEVALUE($A357),'recurring1_based on steps'!D$1:D$400,0)),D$2,)</f>
        <v>0</v>
      </c>
      <c r="E357" s="179">
        <f ca="1">IF(ISNUMBER(MATCH(DATEVALUE($A357),'recurring1_based on steps'!E$1:E$400,0)),E$2,)</f>
        <v>0</v>
      </c>
      <c r="F357" s="179">
        <f ca="1">IF(ISNUMBER(MATCH(DATEVALUE($A357),'recurring1_based on steps'!F$1:F$400,0)),F$2,)</f>
        <v>0</v>
      </c>
      <c r="G357" s="179">
        <f ca="1">IF(ISNUMBER(MATCH(DATEVALUE($A357),'recurring1_based on steps'!G$1:G$400,0)),G$2,)</f>
        <v>0</v>
      </c>
      <c r="H357" s="179">
        <f ca="1">IF(ISNUMBER(MATCH(DATEVALUE($A357),'recurring1_based on steps'!H$1:H$400,0)),H$2,)</f>
        <v>0</v>
      </c>
      <c r="I357" s="179">
        <f ca="1">IF(ISNUMBER(MATCH(DATEVALUE($A357),'recurring1_based on steps'!I$1:I$400,0)),I$2,)</f>
        <v>0</v>
      </c>
      <c r="J357" s="179">
        <f ca="1">IF(ISNUMBER(MATCH(DATEVALUE($A357),'recurring1_based on steps'!J$1:J$400,0)),J$2,)</f>
        <v>0</v>
      </c>
      <c r="K357" s="179">
        <f ca="1">IF(ISNUMBER(MATCH(DATEVALUE($A357),'recurring1_based on steps'!K$1:K$400,0)),K$2,)</f>
        <v>0</v>
      </c>
      <c r="L357" s="179">
        <f ca="1">IF(ISNUMBER(MATCH(DATEVALUE($A357),'recurring1_based on steps'!L$1:L$400,0)),L$2,)</f>
        <v>0</v>
      </c>
      <c r="M357" s="179">
        <f ca="1">IF(ISNUMBER(MATCH(DATEVALUE($A357),'recurring1_based on steps'!M$1:M$400,0)),M$2,)</f>
        <v>0</v>
      </c>
      <c r="N357" s="179">
        <f ca="1">IF(ISNUMBER(MATCH(DATEVALUE($A357),'recurring1_based on steps'!N$1:N$400,0)),N$2,)</f>
        <v>0</v>
      </c>
      <c r="O357" s="179">
        <f ca="1">IF(ISNUMBER(MATCH(DATEVALUE($A357),'recurring1_based on steps'!O$1:O$400,0)),O$2,)</f>
        <v>0</v>
      </c>
      <c r="P357" s="179">
        <f ca="1">IF(ISNUMBER(MATCH(DATEVALUE($A357),'recurring1_based on steps'!P$1:P$400,0)),P$2,)</f>
        <v>0</v>
      </c>
      <c r="Q357" s="179">
        <f ca="1">IF(ISNUMBER(MATCH(DATEVALUE($A357),'recurring1_based on steps'!Q$1:Q$400,0)),Q$2,)</f>
        <v>0</v>
      </c>
      <c r="R357" s="179">
        <f ca="1">IF(ISNUMBER(MATCH(DATEVALUE($A357),'recurring1_based on steps'!R$1:R$400,0)),R$2,)</f>
        <v>0</v>
      </c>
      <c r="S357" s="179">
        <f ca="1">IF(ISNUMBER(MATCH(DATEVALUE($A357),'recurring1_based on steps'!S$1:S$400,0)),S$2,)</f>
        <v>0</v>
      </c>
      <c r="T357" s="179">
        <f ca="1">IF(ISNUMBER(MATCH(DATEVALUE($A357),'recurring1_based on steps'!T$1:T$400,0)),T$2,)</f>
        <v>0</v>
      </c>
      <c r="U357" s="179">
        <f ca="1">IF(ISNUMBER(MATCH(DATEVALUE($A357),'recurring1_based on steps'!U$1:U$400,0)),U$2,)</f>
        <v>0</v>
      </c>
      <c r="V357" s="179">
        <f ca="1">IF(ISNUMBER(MATCH(DATEVALUE($A357),'recurring1_based on steps'!V$1:V$400,0)),V$2,)</f>
        <v>0</v>
      </c>
      <c r="W357" s="179">
        <f ca="1">IF(ISNUMBER(MATCH(DATEVALUE($A357),'recurring1_based on steps'!W$1:W$400,0)),W$2,)</f>
        <v>0</v>
      </c>
      <c r="X357" s="179">
        <f ca="1">IF(ISNUMBER(MATCH(DATEVALUE($A357),'recurring1_based on steps'!X$1:X$400,0)),X$2,)</f>
        <v>0</v>
      </c>
      <c r="Y357" s="179">
        <f ca="1">IF(ISNUMBER(MATCH(DATEVALUE($A357),'recurring1_based on steps'!Y$1:Y$400,0)),Y$2,)</f>
        <v>0</v>
      </c>
      <c r="Z357" s="179">
        <f ca="1">IF(ISNUMBER(MATCH(DATEVALUE($A357),'recurring1_based on steps'!Z$1:Z$400,0)),Z$2,)</f>
        <v>0</v>
      </c>
      <c r="AA357" s="179">
        <f ca="1">IF(ISNUMBER(MATCH(DATEVALUE($A357),'recurring1_based on steps'!AA$1:AA$400,0)),AA$2,)</f>
        <v>0</v>
      </c>
      <c r="AB357" s="179">
        <f ca="1">IF(ISNUMBER(MATCH(DATEVALUE($A357),'recurring1_based on steps'!AB$1:AB$400,0)),AB$2,)</f>
        <v>0</v>
      </c>
      <c r="AC357" s="179">
        <f ca="1">IF(ISNUMBER(MATCH(DATEVALUE($A357),'recurring1_based on steps'!AC$1:AC$400,0)),AC$2,)</f>
        <v>0</v>
      </c>
      <c r="AD357" s="179">
        <f ca="1">IF(ISNUMBER(MATCH(DATEVALUE($A357),'recurring1_based on steps'!AD$1:AD$400,0)),AD$2,)</f>
        <v>0</v>
      </c>
      <c r="AE357" s="179">
        <f ca="1">IF(ISNUMBER(MATCH(DATEVALUE($A357),'recurring1_based on steps'!AE$1:AE$400,0)),AE$2,)</f>
        <v>0</v>
      </c>
      <c r="AF357" s="179">
        <f ca="1">IF(ISNUMBER(MATCH(DATEVALUE($A357),'recurring1_based on steps'!AF$1:AF$400,0)),AF$2,)</f>
        <v>0</v>
      </c>
      <c r="AG357" s="179">
        <f ca="1">IF(ISNUMBER(MATCH(DATEVALUE($A357),'recurring1_based on steps'!AG$1:AG$400,0)),AG$2,)</f>
        <v>0</v>
      </c>
      <c r="AH357" s="179">
        <f ca="1">IF(ISNUMBER(MATCH(DATEVALUE($A357),'recurring1_based on steps'!AH$1:AH$400,0)),AH$2,)</f>
        <v>0</v>
      </c>
      <c r="AI357" s="179">
        <f ca="1">IF(ISNUMBER(MATCH(DATEVALUE($A357),'recurring1_based on steps'!AI$1:AI$400,0)),AI$2,)</f>
        <v>0</v>
      </c>
      <c r="AJ357" s="179">
        <f ca="1">IF(ISNUMBER(MATCH(DATEVALUE($A357),'recurring1_based on steps'!AJ$1:AJ$400,0)),AJ$2,)</f>
        <v>0</v>
      </c>
      <c r="AK357" s="179">
        <f ca="1">IF(ISNUMBER(MATCH(DATEVALUE($A357),'recurring1_based on steps'!AK$1:AK$400,0)),AK$2,)</f>
        <v>0</v>
      </c>
      <c r="AL357" s="179">
        <f ca="1">IF(ISNUMBER(MATCH(DATEVALUE($A357),'recurring1_based on steps'!AL$1:AL$400,0)),AL$2,)</f>
        <v>0</v>
      </c>
      <c r="AM357" s="179">
        <f ca="1">IF(ISNUMBER(MATCH(DATEVALUE($A357),'recurring1_based on steps'!AM$1:AM$400,0)),AM$2,)</f>
        <v>0</v>
      </c>
      <c r="AN357" s="179">
        <f ca="1">IF(ISNUMBER(MATCH(DATEVALUE($A357),'recurring1_based on steps'!AN$1:AN$400,0)),AN$2,)</f>
        <v>0</v>
      </c>
      <c r="AO357" s="179">
        <f ca="1">IF(ISNUMBER(MATCH(DATEVALUE($A357),'recurring1_based on steps'!AO$1:AO$400,0)),AO$2,)</f>
        <v>0</v>
      </c>
      <c r="AP357" s="179">
        <f ca="1">IF(ISNUMBER(MATCH(DATEVALUE($A357),'recurring1_based on steps'!AP$1:AP$400,0)),AP$2,)</f>
        <v>0</v>
      </c>
      <c r="AQ357" s="179">
        <f ca="1">IF(ISNUMBER(MATCH(DATEVALUE($A357),'recurring1_based on steps'!AQ$1:AQ$400,0)),AQ$2,)</f>
        <v>0</v>
      </c>
      <c r="AR357" s="179">
        <f ca="1">IF(ISNUMBER(MATCH(DATEVALUE($A357),'recurring1_based on steps'!AR$1:AR$400,0)),AR$2,)</f>
        <v>0</v>
      </c>
      <c r="AS357" s="179">
        <f ca="1">IF(ISNUMBER(MATCH(DATEVALUE($A357),'recurring1_based on steps'!AS$1:AS$400,0)),AS$2,)</f>
        <v>0</v>
      </c>
      <c r="AT357" s="179">
        <f ca="1">IF(ISNUMBER(MATCH(DATEVALUE($A357),'recurring1_based on steps'!AT$1:AT$400,0)),AT$2,)</f>
        <v>0</v>
      </c>
      <c r="AU357" s="179">
        <f ca="1">IF(ISNUMBER(MATCH(DATEVALUE($A357),'recurring1_based on steps'!AU$1:AU$400,0)),AU$2,)</f>
        <v>0</v>
      </c>
      <c r="AV357" s="179">
        <f ca="1">IF(ISNUMBER(MATCH(DATEVALUE($A357),'recurring1_based on steps'!AV$1:AV$400,0)),AV$2,)</f>
        <v>0</v>
      </c>
      <c r="AW357" s="179">
        <f ca="1">IF(ISNUMBER(MATCH(DATEVALUE($A357),'recurring1_based on steps'!AW$1:AW$400,0)),AW$2,)</f>
        <v>0</v>
      </c>
      <c r="AX357" s="179">
        <f ca="1">IF(ISNUMBER(MATCH(DATEVALUE($A357),'recurring1_based on steps'!AX$1:AX$400,0)),AX$2,)</f>
        <v>0</v>
      </c>
      <c r="AY357" s="179">
        <f ca="1">IF(ISNUMBER(MATCH(DATEVALUE($A357),'recurring1_based on steps'!AY$1:AY$400,0)),AY$2,)</f>
        <v>0</v>
      </c>
    </row>
    <row r="358" spans="1:51" x14ac:dyDescent="0.2">
      <c r="A358" s="32" t="str">
        <f t="shared" ca="1" si="5"/>
        <v>2026-03-26</v>
      </c>
      <c r="B358" s="179">
        <f ca="1">IF(ISNUMBER(MATCH(DATEVALUE($A358),'recurring1_based on steps'!B$1:B$400,0)),B$2,)</f>
        <v>0</v>
      </c>
      <c r="C358" s="179">
        <f ca="1">IF(ISNUMBER(MATCH(DATEVALUE($A358),'recurring1_based on steps'!C$1:C$400,0)),C$2,)</f>
        <v>0</v>
      </c>
      <c r="D358" s="179">
        <f ca="1">IF(ISNUMBER(MATCH(DATEVALUE($A358),'recurring1_based on steps'!D$1:D$400,0)),D$2,)</f>
        <v>0</v>
      </c>
      <c r="E358" s="179">
        <f ca="1">IF(ISNUMBER(MATCH(DATEVALUE($A358),'recurring1_based on steps'!E$1:E$400,0)),E$2,)</f>
        <v>0</v>
      </c>
      <c r="F358" s="179">
        <f ca="1">IF(ISNUMBER(MATCH(DATEVALUE($A358),'recurring1_based on steps'!F$1:F$400,0)),F$2,)</f>
        <v>0</v>
      </c>
      <c r="G358" s="179">
        <f ca="1">IF(ISNUMBER(MATCH(DATEVALUE($A358),'recurring1_based on steps'!G$1:G$400,0)),G$2,)</f>
        <v>0</v>
      </c>
      <c r="H358" s="179">
        <f ca="1">IF(ISNUMBER(MATCH(DATEVALUE($A358),'recurring1_based on steps'!H$1:H$400,0)),H$2,)</f>
        <v>0</v>
      </c>
      <c r="I358" s="179">
        <f ca="1">IF(ISNUMBER(MATCH(DATEVALUE($A358),'recurring1_based on steps'!I$1:I$400,0)),I$2,)</f>
        <v>0</v>
      </c>
      <c r="J358" s="179">
        <f ca="1">IF(ISNUMBER(MATCH(DATEVALUE($A358),'recurring1_based on steps'!J$1:J$400,0)),J$2,)</f>
        <v>0</v>
      </c>
      <c r="K358" s="179">
        <f ca="1">IF(ISNUMBER(MATCH(DATEVALUE($A358),'recurring1_based on steps'!K$1:K$400,0)),K$2,)</f>
        <v>0</v>
      </c>
      <c r="L358" s="179">
        <f ca="1">IF(ISNUMBER(MATCH(DATEVALUE($A358),'recurring1_based on steps'!L$1:L$400,0)),L$2,)</f>
        <v>0</v>
      </c>
      <c r="M358" s="179">
        <f ca="1">IF(ISNUMBER(MATCH(DATEVALUE($A358),'recurring1_based on steps'!M$1:M$400,0)),M$2,)</f>
        <v>0</v>
      </c>
      <c r="N358" s="179">
        <f ca="1">IF(ISNUMBER(MATCH(DATEVALUE($A358),'recurring1_based on steps'!N$1:N$400,0)),N$2,)</f>
        <v>0</v>
      </c>
      <c r="O358" s="179">
        <f ca="1">IF(ISNUMBER(MATCH(DATEVALUE($A358),'recurring1_based on steps'!O$1:O$400,0)),O$2,)</f>
        <v>0</v>
      </c>
      <c r="P358" s="179">
        <f ca="1">IF(ISNUMBER(MATCH(DATEVALUE($A358),'recurring1_based on steps'!P$1:P$400,0)),P$2,)</f>
        <v>0</v>
      </c>
      <c r="Q358" s="179">
        <f ca="1">IF(ISNUMBER(MATCH(DATEVALUE($A358),'recurring1_based on steps'!Q$1:Q$400,0)),Q$2,)</f>
        <v>0</v>
      </c>
      <c r="R358" s="179">
        <f ca="1">IF(ISNUMBER(MATCH(DATEVALUE($A358),'recurring1_based on steps'!R$1:R$400,0)),R$2,)</f>
        <v>0</v>
      </c>
      <c r="S358" s="179">
        <f ca="1">IF(ISNUMBER(MATCH(DATEVALUE($A358),'recurring1_based on steps'!S$1:S$400,0)),S$2,)</f>
        <v>0</v>
      </c>
      <c r="T358" s="179">
        <f ca="1">IF(ISNUMBER(MATCH(DATEVALUE($A358),'recurring1_based on steps'!T$1:T$400,0)),T$2,)</f>
        <v>0</v>
      </c>
      <c r="U358" s="179">
        <f ca="1">IF(ISNUMBER(MATCH(DATEVALUE($A358),'recurring1_based on steps'!U$1:U$400,0)),U$2,)</f>
        <v>0</v>
      </c>
      <c r="V358" s="179">
        <f ca="1">IF(ISNUMBER(MATCH(DATEVALUE($A358),'recurring1_based on steps'!V$1:V$400,0)),V$2,)</f>
        <v>0</v>
      </c>
      <c r="W358" s="179">
        <f ca="1">IF(ISNUMBER(MATCH(DATEVALUE($A358),'recurring1_based on steps'!W$1:W$400,0)),W$2,)</f>
        <v>0</v>
      </c>
      <c r="X358" s="179">
        <f ca="1">IF(ISNUMBER(MATCH(DATEVALUE($A358),'recurring1_based on steps'!X$1:X$400,0)),X$2,)</f>
        <v>0</v>
      </c>
      <c r="Y358" s="179">
        <f ca="1">IF(ISNUMBER(MATCH(DATEVALUE($A358),'recurring1_based on steps'!Y$1:Y$400,0)),Y$2,)</f>
        <v>0</v>
      </c>
      <c r="Z358" s="179">
        <f ca="1">IF(ISNUMBER(MATCH(DATEVALUE($A358),'recurring1_based on steps'!Z$1:Z$400,0)),Z$2,)</f>
        <v>0</v>
      </c>
      <c r="AA358" s="179">
        <f ca="1">IF(ISNUMBER(MATCH(DATEVALUE($A358),'recurring1_based on steps'!AA$1:AA$400,0)),AA$2,)</f>
        <v>0</v>
      </c>
      <c r="AB358" s="179">
        <f ca="1">IF(ISNUMBER(MATCH(DATEVALUE($A358),'recurring1_based on steps'!AB$1:AB$400,0)),AB$2,)</f>
        <v>0</v>
      </c>
      <c r="AC358" s="179">
        <f ca="1">IF(ISNUMBER(MATCH(DATEVALUE($A358),'recurring1_based on steps'!AC$1:AC$400,0)),AC$2,)</f>
        <v>0</v>
      </c>
      <c r="AD358" s="179">
        <f ca="1">IF(ISNUMBER(MATCH(DATEVALUE($A358),'recurring1_based on steps'!AD$1:AD$400,0)),AD$2,)</f>
        <v>0</v>
      </c>
      <c r="AE358" s="179">
        <f ca="1">IF(ISNUMBER(MATCH(DATEVALUE($A358),'recurring1_based on steps'!AE$1:AE$400,0)),AE$2,)</f>
        <v>0</v>
      </c>
      <c r="AF358" s="179">
        <f ca="1">IF(ISNUMBER(MATCH(DATEVALUE($A358),'recurring1_based on steps'!AF$1:AF$400,0)),AF$2,)</f>
        <v>0</v>
      </c>
      <c r="AG358" s="179">
        <f ca="1">IF(ISNUMBER(MATCH(DATEVALUE($A358),'recurring1_based on steps'!AG$1:AG$400,0)),AG$2,)</f>
        <v>0</v>
      </c>
      <c r="AH358" s="179">
        <f ca="1">IF(ISNUMBER(MATCH(DATEVALUE($A358),'recurring1_based on steps'!AH$1:AH$400,0)),AH$2,)</f>
        <v>0</v>
      </c>
      <c r="AI358" s="179">
        <f ca="1">IF(ISNUMBER(MATCH(DATEVALUE($A358),'recurring1_based on steps'!AI$1:AI$400,0)),AI$2,)</f>
        <v>0</v>
      </c>
      <c r="AJ358" s="179">
        <f ca="1">IF(ISNUMBER(MATCH(DATEVALUE($A358),'recurring1_based on steps'!AJ$1:AJ$400,0)),AJ$2,)</f>
        <v>0</v>
      </c>
      <c r="AK358" s="179">
        <f ca="1">IF(ISNUMBER(MATCH(DATEVALUE($A358),'recurring1_based on steps'!AK$1:AK$400,0)),AK$2,)</f>
        <v>0</v>
      </c>
      <c r="AL358" s="179">
        <f ca="1">IF(ISNUMBER(MATCH(DATEVALUE($A358),'recurring1_based on steps'!AL$1:AL$400,0)),AL$2,)</f>
        <v>0</v>
      </c>
      <c r="AM358" s="179">
        <f ca="1">IF(ISNUMBER(MATCH(DATEVALUE($A358),'recurring1_based on steps'!AM$1:AM$400,0)),AM$2,)</f>
        <v>0</v>
      </c>
      <c r="AN358" s="179">
        <f ca="1">IF(ISNUMBER(MATCH(DATEVALUE($A358),'recurring1_based on steps'!AN$1:AN$400,0)),AN$2,)</f>
        <v>0</v>
      </c>
      <c r="AO358" s="179">
        <f ca="1">IF(ISNUMBER(MATCH(DATEVALUE($A358),'recurring1_based on steps'!AO$1:AO$400,0)),AO$2,)</f>
        <v>0</v>
      </c>
      <c r="AP358" s="179">
        <f ca="1">IF(ISNUMBER(MATCH(DATEVALUE($A358),'recurring1_based on steps'!AP$1:AP$400,0)),AP$2,)</f>
        <v>0</v>
      </c>
      <c r="AQ358" s="179">
        <f ca="1">IF(ISNUMBER(MATCH(DATEVALUE($A358),'recurring1_based on steps'!AQ$1:AQ$400,0)),AQ$2,)</f>
        <v>0</v>
      </c>
      <c r="AR358" s="179">
        <f ca="1">IF(ISNUMBER(MATCH(DATEVALUE($A358),'recurring1_based on steps'!AR$1:AR$400,0)),AR$2,)</f>
        <v>0</v>
      </c>
      <c r="AS358" s="179">
        <f ca="1">IF(ISNUMBER(MATCH(DATEVALUE($A358),'recurring1_based on steps'!AS$1:AS$400,0)),AS$2,)</f>
        <v>0</v>
      </c>
      <c r="AT358" s="179">
        <f ca="1">IF(ISNUMBER(MATCH(DATEVALUE($A358),'recurring1_based on steps'!AT$1:AT$400,0)),AT$2,)</f>
        <v>0</v>
      </c>
      <c r="AU358" s="179">
        <f ca="1">IF(ISNUMBER(MATCH(DATEVALUE($A358),'recurring1_based on steps'!AU$1:AU$400,0)),AU$2,)</f>
        <v>0</v>
      </c>
      <c r="AV358" s="179">
        <f ca="1">IF(ISNUMBER(MATCH(DATEVALUE($A358),'recurring1_based on steps'!AV$1:AV$400,0)),AV$2,)</f>
        <v>0</v>
      </c>
      <c r="AW358" s="179">
        <f ca="1">IF(ISNUMBER(MATCH(DATEVALUE($A358),'recurring1_based on steps'!AW$1:AW$400,0)),AW$2,)</f>
        <v>0</v>
      </c>
      <c r="AX358" s="179">
        <f ca="1">IF(ISNUMBER(MATCH(DATEVALUE($A358),'recurring1_based on steps'!AX$1:AX$400,0)),AX$2,)</f>
        <v>0</v>
      </c>
      <c r="AY358" s="179">
        <f ca="1">IF(ISNUMBER(MATCH(DATEVALUE($A358),'recurring1_based on steps'!AY$1:AY$400,0)),AY$2,)</f>
        <v>0</v>
      </c>
    </row>
    <row r="359" spans="1:51" x14ac:dyDescent="0.2">
      <c r="A359" s="32" t="str">
        <f t="shared" ca="1" si="5"/>
        <v>2026-03-27</v>
      </c>
      <c r="B359" s="179">
        <f ca="1">IF(ISNUMBER(MATCH(DATEVALUE($A359),'recurring1_based on steps'!B$1:B$400,0)),B$2,)</f>
        <v>0</v>
      </c>
      <c r="C359" s="179">
        <f ca="1">IF(ISNUMBER(MATCH(DATEVALUE($A359),'recurring1_based on steps'!C$1:C$400,0)),C$2,)</f>
        <v>0</v>
      </c>
      <c r="D359" s="179">
        <f ca="1">IF(ISNUMBER(MATCH(DATEVALUE($A359),'recurring1_based on steps'!D$1:D$400,0)),D$2,)</f>
        <v>0</v>
      </c>
      <c r="E359" s="179">
        <f ca="1">IF(ISNUMBER(MATCH(DATEVALUE($A359),'recurring1_based on steps'!E$1:E$400,0)),E$2,)</f>
        <v>0</v>
      </c>
      <c r="F359" s="179">
        <f ca="1">IF(ISNUMBER(MATCH(DATEVALUE($A359),'recurring1_based on steps'!F$1:F$400,0)),F$2,)</f>
        <v>0</v>
      </c>
      <c r="G359" s="179">
        <f ca="1">IF(ISNUMBER(MATCH(DATEVALUE($A359),'recurring1_based on steps'!G$1:G$400,0)),G$2,)</f>
        <v>0</v>
      </c>
      <c r="H359" s="179">
        <f ca="1">IF(ISNUMBER(MATCH(DATEVALUE($A359),'recurring1_based on steps'!H$1:H$400,0)),H$2,)</f>
        <v>0</v>
      </c>
      <c r="I359" s="179">
        <f ca="1">IF(ISNUMBER(MATCH(DATEVALUE($A359),'recurring1_based on steps'!I$1:I$400,0)),I$2,)</f>
        <v>0</v>
      </c>
      <c r="J359" s="179">
        <f ca="1">IF(ISNUMBER(MATCH(DATEVALUE($A359),'recurring1_based on steps'!J$1:J$400,0)),J$2,)</f>
        <v>0</v>
      </c>
      <c r="K359" s="179">
        <f ca="1">IF(ISNUMBER(MATCH(DATEVALUE($A359),'recurring1_based on steps'!K$1:K$400,0)),K$2,)</f>
        <v>0</v>
      </c>
      <c r="L359" s="179">
        <f ca="1">IF(ISNUMBER(MATCH(DATEVALUE($A359),'recurring1_based on steps'!L$1:L$400,0)),L$2,)</f>
        <v>0</v>
      </c>
      <c r="M359" s="179">
        <f ca="1">IF(ISNUMBER(MATCH(DATEVALUE($A359),'recurring1_based on steps'!M$1:M$400,0)),M$2,)</f>
        <v>0</v>
      </c>
      <c r="N359" s="179">
        <f ca="1">IF(ISNUMBER(MATCH(DATEVALUE($A359),'recurring1_based on steps'!N$1:N$400,0)),N$2,)</f>
        <v>0</v>
      </c>
      <c r="O359" s="179">
        <f ca="1">IF(ISNUMBER(MATCH(DATEVALUE($A359),'recurring1_based on steps'!O$1:O$400,0)),O$2,)</f>
        <v>0</v>
      </c>
      <c r="P359" s="179">
        <f ca="1">IF(ISNUMBER(MATCH(DATEVALUE($A359),'recurring1_based on steps'!P$1:P$400,0)),P$2,)</f>
        <v>0</v>
      </c>
      <c r="Q359" s="179">
        <f ca="1">IF(ISNUMBER(MATCH(DATEVALUE($A359),'recurring1_based on steps'!Q$1:Q$400,0)),Q$2,)</f>
        <v>0</v>
      </c>
      <c r="R359" s="179">
        <f ca="1">IF(ISNUMBER(MATCH(DATEVALUE($A359),'recurring1_based on steps'!R$1:R$400,0)),R$2,)</f>
        <v>0</v>
      </c>
      <c r="S359" s="179">
        <f ca="1">IF(ISNUMBER(MATCH(DATEVALUE($A359),'recurring1_based on steps'!S$1:S$400,0)),S$2,)</f>
        <v>0</v>
      </c>
      <c r="T359" s="179">
        <f ca="1">IF(ISNUMBER(MATCH(DATEVALUE($A359),'recurring1_based on steps'!T$1:T$400,0)),T$2,)</f>
        <v>0</v>
      </c>
      <c r="U359" s="179">
        <f ca="1">IF(ISNUMBER(MATCH(DATEVALUE($A359),'recurring1_based on steps'!U$1:U$400,0)),U$2,)</f>
        <v>0</v>
      </c>
      <c r="V359" s="179">
        <f ca="1">IF(ISNUMBER(MATCH(DATEVALUE($A359),'recurring1_based on steps'!V$1:V$400,0)),V$2,)</f>
        <v>0</v>
      </c>
      <c r="W359" s="179">
        <f ca="1">IF(ISNUMBER(MATCH(DATEVALUE($A359),'recurring1_based on steps'!W$1:W$400,0)),W$2,)</f>
        <v>0</v>
      </c>
      <c r="X359" s="179">
        <f ca="1">IF(ISNUMBER(MATCH(DATEVALUE($A359),'recurring1_based on steps'!X$1:X$400,0)),X$2,)</f>
        <v>0</v>
      </c>
      <c r="Y359" s="179">
        <f ca="1">IF(ISNUMBER(MATCH(DATEVALUE($A359),'recurring1_based on steps'!Y$1:Y$400,0)),Y$2,)</f>
        <v>0</v>
      </c>
      <c r="Z359" s="179">
        <f ca="1">IF(ISNUMBER(MATCH(DATEVALUE($A359),'recurring1_based on steps'!Z$1:Z$400,0)),Z$2,)</f>
        <v>0</v>
      </c>
      <c r="AA359" s="179">
        <f ca="1">IF(ISNUMBER(MATCH(DATEVALUE($A359),'recurring1_based on steps'!AA$1:AA$400,0)),AA$2,)</f>
        <v>0</v>
      </c>
      <c r="AB359" s="179">
        <f ca="1">IF(ISNUMBER(MATCH(DATEVALUE($A359),'recurring1_based on steps'!AB$1:AB$400,0)),AB$2,)</f>
        <v>0</v>
      </c>
      <c r="AC359" s="179">
        <f ca="1">IF(ISNUMBER(MATCH(DATEVALUE($A359),'recurring1_based on steps'!AC$1:AC$400,0)),AC$2,)</f>
        <v>0</v>
      </c>
      <c r="AD359" s="179">
        <f ca="1">IF(ISNUMBER(MATCH(DATEVALUE($A359),'recurring1_based on steps'!AD$1:AD$400,0)),AD$2,)</f>
        <v>0</v>
      </c>
      <c r="AE359" s="179">
        <f ca="1">IF(ISNUMBER(MATCH(DATEVALUE($A359),'recurring1_based on steps'!AE$1:AE$400,0)),AE$2,)</f>
        <v>0</v>
      </c>
      <c r="AF359" s="179">
        <f ca="1">IF(ISNUMBER(MATCH(DATEVALUE($A359),'recurring1_based on steps'!AF$1:AF$400,0)),AF$2,)</f>
        <v>0</v>
      </c>
      <c r="AG359" s="179">
        <f ca="1">IF(ISNUMBER(MATCH(DATEVALUE($A359),'recurring1_based on steps'!AG$1:AG$400,0)),AG$2,)</f>
        <v>0</v>
      </c>
      <c r="AH359" s="179">
        <f ca="1">IF(ISNUMBER(MATCH(DATEVALUE($A359),'recurring1_based on steps'!AH$1:AH$400,0)),AH$2,)</f>
        <v>0</v>
      </c>
      <c r="AI359" s="179">
        <f ca="1">IF(ISNUMBER(MATCH(DATEVALUE($A359),'recurring1_based on steps'!AI$1:AI$400,0)),AI$2,)</f>
        <v>0</v>
      </c>
      <c r="AJ359" s="179">
        <f ca="1">IF(ISNUMBER(MATCH(DATEVALUE($A359),'recurring1_based on steps'!AJ$1:AJ$400,0)),AJ$2,)</f>
        <v>0</v>
      </c>
      <c r="AK359" s="179">
        <f ca="1">IF(ISNUMBER(MATCH(DATEVALUE($A359),'recurring1_based on steps'!AK$1:AK$400,0)),AK$2,)</f>
        <v>0</v>
      </c>
      <c r="AL359" s="179">
        <f ca="1">IF(ISNUMBER(MATCH(DATEVALUE($A359),'recurring1_based on steps'!AL$1:AL$400,0)),AL$2,)</f>
        <v>0</v>
      </c>
      <c r="AM359" s="179">
        <f ca="1">IF(ISNUMBER(MATCH(DATEVALUE($A359),'recurring1_based on steps'!AM$1:AM$400,0)),AM$2,)</f>
        <v>0</v>
      </c>
      <c r="AN359" s="179">
        <f ca="1">IF(ISNUMBER(MATCH(DATEVALUE($A359),'recurring1_based on steps'!AN$1:AN$400,0)),AN$2,)</f>
        <v>0</v>
      </c>
      <c r="AO359" s="179">
        <f ca="1">IF(ISNUMBER(MATCH(DATEVALUE($A359),'recurring1_based on steps'!AO$1:AO$400,0)),AO$2,)</f>
        <v>0</v>
      </c>
      <c r="AP359" s="179">
        <f ca="1">IF(ISNUMBER(MATCH(DATEVALUE($A359),'recurring1_based on steps'!AP$1:AP$400,0)),AP$2,)</f>
        <v>0</v>
      </c>
      <c r="AQ359" s="179">
        <f ca="1">IF(ISNUMBER(MATCH(DATEVALUE($A359),'recurring1_based on steps'!AQ$1:AQ$400,0)),AQ$2,)</f>
        <v>0</v>
      </c>
      <c r="AR359" s="179">
        <f ca="1">IF(ISNUMBER(MATCH(DATEVALUE($A359),'recurring1_based on steps'!AR$1:AR$400,0)),AR$2,)</f>
        <v>0</v>
      </c>
      <c r="AS359" s="179">
        <f ca="1">IF(ISNUMBER(MATCH(DATEVALUE($A359),'recurring1_based on steps'!AS$1:AS$400,0)),AS$2,)</f>
        <v>0</v>
      </c>
      <c r="AT359" s="179">
        <f ca="1">IF(ISNUMBER(MATCH(DATEVALUE($A359),'recurring1_based on steps'!AT$1:AT$400,0)),AT$2,)</f>
        <v>0</v>
      </c>
      <c r="AU359" s="179">
        <f ca="1">IF(ISNUMBER(MATCH(DATEVALUE($A359),'recurring1_based on steps'!AU$1:AU$400,0)),AU$2,)</f>
        <v>0</v>
      </c>
      <c r="AV359" s="179">
        <f ca="1">IF(ISNUMBER(MATCH(DATEVALUE($A359),'recurring1_based on steps'!AV$1:AV$400,0)),AV$2,)</f>
        <v>0</v>
      </c>
      <c r="AW359" s="179">
        <f ca="1">IF(ISNUMBER(MATCH(DATEVALUE($A359),'recurring1_based on steps'!AW$1:AW$400,0)),AW$2,)</f>
        <v>0</v>
      </c>
      <c r="AX359" s="179">
        <f ca="1">IF(ISNUMBER(MATCH(DATEVALUE($A359),'recurring1_based on steps'!AX$1:AX$400,0)),AX$2,)</f>
        <v>0</v>
      </c>
      <c r="AY359" s="179">
        <f ca="1">IF(ISNUMBER(MATCH(DATEVALUE($A359),'recurring1_based on steps'!AY$1:AY$400,0)),AY$2,)</f>
        <v>0</v>
      </c>
    </row>
    <row r="360" spans="1:51" x14ac:dyDescent="0.2">
      <c r="A360" s="32" t="str">
        <f t="shared" ca="1" si="5"/>
        <v>2026-03-28</v>
      </c>
      <c r="B360" s="179">
        <f ca="1">IF(ISNUMBER(MATCH(DATEVALUE($A360),'recurring1_based on steps'!B$1:B$400,0)),B$2,)</f>
        <v>0</v>
      </c>
      <c r="C360" s="179">
        <f ca="1">IF(ISNUMBER(MATCH(DATEVALUE($A360),'recurring1_based on steps'!C$1:C$400,0)),C$2,)</f>
        <v>0</v>
      </c>
      <c r="D360" s="179">
        <f ca="1">IF(ISNUMBER(MATCH(DATEVALUE($A360),'recurring1_based on steps'!D$1:D$400,0)),D$2,)</f>
        <v>0</v>
      </c>
      <c r="E360" s="179">
        <f ca="1">IF(ISNUMBER(MATCH(DATEVALUE($A360),'recurring1_based on steps'!E$1:E$400,0)),E$2,)</f>
        <v>0</v>
      </c>
      <c r="F360" s="179">
        <f ca="1">IF(ISNUMBER(MATCH(DATEVALUE($A360),'recurring1_based on steps'!F$1:F$400,0)),F$2,)</f>
        <v>0</v>
      </c>
      <c r="G360" s="179">
        <f ca="1">IF(ISNUMBER(MATCH(DATEVALUE($A360),'recurring1_based on steps'!G$1:G$400,0)),G$2,)</f>
        <v>0</v>
      </c>
      <c r="H360" s="179">
        <f ca="1">IF(ISNUMBER(MATCH(DATEVALUE($A360),'recurring1_based on steps'!H$1:H$400,0)),H$2,)</f>
        <v>0</v>
      </c>
      <c r="I360" s="179">
        <f ca="1">IF(ISNUMBER(MATCH(DATEVALUE($A360),'recurring1_based on steps'!I$1:I$400,0)),I$2,)</f>
        <v>0</v>
      </c>
      <c r="J360" s="179">
        <f ca="1">IF(ISNUMBER(MATCH(DATEVALUE($A360),'recurring1_based on steps'!J$1:J$400,0)),J$2,)</f>
        <v>0</v>
      </c>
      <c r="K360" s="179">
        <f ca="1">IF(ISNUMBER(MATCH(DATEVALUE($A360),'recurring1_based on steps'!K$1:K$400,0)),K$2,)</f>
        <v>0</v>
      </c>
      <c r="L360" s="179">
        <f ca="1">IF(ISNUMBER(MATCH(DATEVALUE($A360),'recurring1_based on steps'!L$1:L$400,0)),L$2,)</f>
        <v>0</v>
      </c>
      <c r="M360" s="179">
        <f ca="1">IF(ISNUMBER(MATCH(DATEVALUE($A360),'recurring1_based on steps'!M$1:M$400,0)),M$2,)</f>
        <v>0</v>
      </c>
      <c r="N360" s="179">
        <f ca="1">IF(ISNUMBER(MATCH(DATEVALUE($A360),'recurring1_based on steps'!N$1:N$400,0)),N$2,)</f>
        <v>0</v>
      </c>
      <c r="O360" s="179">
        <f ca="1">IF(ISNUMBER(MATCH(DATEVALUE($A360),'recurring1_based on steps'!O$1:O$400,0)),O$2,)</f>
        <v>0</v>
      </c>
      <c r="P360" s="179">
        <f ca="1">IF(ISNUMBER(MATCH(DATEVALUE($A360),'recurring1_based on steps'!P$1:P$400,0)),P$2,)</f>
        <v>0</v>
      </c>
      <c r="Q360" s="179">
        <f ca="1">IF(ISNUMBER(MATCH(DATEVALUE($A360),'recurring1_based on steps'!Q$1:Q$400,0)),Q$2,)</f>
        <v>0</v>
      </c>
      <c r="R360" s="179">
        <f ca="1">IF(ISNUMBER(MATCH(DATEVALUE($A360),'recurring1_based on steps'!R$1:R$400,0)),R$2,)</f>
        <v>0</v>
      </c>
      <c r="S360" s="179">
        <f ca="1">IF(ISNUMBER(MATCH(DATEVALUE($A360),'recurring1_based on steps'!S$1:S$400,0)),S$2,)</f>
        <v>0</v>
      </c>
      <c r="T360" s="179">
        <f ca="1">IF(ISNUMBER(MATCH(DATEVALUE($A360),'recurring1_based on steps'!T$1:T$400,0)),T$2,)</f>
        <v>0</v>
      </c>
      <c r="U360" s="179">
        <f ca="1">IF(ISNUMBER(MATCH(DATEVALUE($A360),'recurring1_based on steps'!U$1:U$400,0)),U$2,)</f>
        <v>0</v>
      </c>
      <c r="V360" s="179">
        <f ca="1">IF(ISNUMBER(MATCH(DATEVALUE($A360),'recurring1_based on steps'!V$1:V$400,0)),V$2,)</f>
        <v>0</v>
      </c>
      <c r="W360" s="179">
        <f ca="1">IF(ISNUMBER(MATCH(DATEVALUE($A360),'recurring1_based on steps'!W$1:W$400,0)),W$2,)</f>
        <v>0</v>
      </c>
      <c r="X360" s="179">
        <f ca="1">IF(ISNUMBER(MATCH(DATEVALUE($A360),'recurring1_based on steps'!X$1:X$400,0)),X$2,)</f>
        <v>0</v>
      </c>
      <c r="Y360" s="179">
        <f ca="1">IF(ISNUMBER(MATCH(DATEVALUE($A360),'recurring1_based on steps'!Y$1:Y$400,0)),Y$2,)</f>
        <v>0</v>
      </c>
      <c r="Z360" s="179">
        <f ca="1">IF(ISNUMBER(MATCH(DATEVALUE($A360),'recurring1_based on steps'!Z$1:Z$400,0)),Z$2,)</f>
        <v>0</v>
      </c>
      <c r="AA360" s="179">
        <f ca="1">IF(ISNUMBER(MATCH(DATEVALUE($A360),'recurring1_based on steps'!AA$1:AA$400,0)),AA$2,)</f>
        <v>0</v>
      </c>
      <c r="AB360" s="179">
        <f ca="1">IF(ISNUMBER(MATCH(DATEVALUE($A360),'recurring1_based on steps'!AB$1:AB$400,0)),AB$2,)</f>
        <v>0</v>
      </c>
      <c r="AC360" s="179">
        <f ca="1">IF(ISNUMBER(MATCH(DATEVALUE($A360),'recurring1_based on steps'!AC$1:AC$400,0)),AC$2,)</f>
        <v>0</v>
      </c>
      <c r="AD360" s="179">
        <f ca="1">IF(ISNUMBER(MATCH(DATEVALUE($A360),'recurring1_based on steps'!AD$1:AD$400,0)),AD$2,)</f>
        <v>0</v>
      </c>
      <c r="AE360" s="179">
        <f ca="1">IF(ISNUMBER(MATCH(DATEVALUE($A360),'recurring1_based on steps'!AE$1:AE$400,0)),AE$2,)</f>
        <v>0</v>
      </c>
      <c r="AF360" s="179">
        <f ca="1">IF(ISNUMBER(MATCH(DATEVALUE($A360),'recurring1_based on steps'!AF$1:AF$400,0)),AF$2,)</f>
        <v>0</v>
      </c>
      <c r="AG360" s="179">
        <f ca="1">IF(ISNUMBER(MATCH(DATEVALUE($A360),'recurring1_based on steps'!AG$1:AG$400,0)),AG$2,)</f>
        <v>0</v>
      </c>
      <c r="AH360" s="179">
        <f ca="1">IF(ISNUMBER(MATCH(DATEVALUE($A360),'recurring1_based on steps'!AH$1:AH$400,0)),AH$2,)</f>
        <v>0</v>
      </c>
      <c r="AI360" s="179">
        <f ca="1">IF(ISNUMBER(MATCH(DATEVALUE($A360),'recurring1_based on steps'!AI$1:AI$400,0)),AI$2,)</f>
        <v>0</v>
      </c>
      <c r="AJ360" s="179">
        <f ca="1">IF(ISNUMBER(MATCH(DATEVALUE($A360),'recurring1_based on steps'!AJ$1:AJ$400,0)),AJ$2,)</f>
        <v>0</v>
      </c>
      <c r="AK360" s="179">
        <f ca="1">IF(ISNUMBER(MATCH(DATEVALUE($A360),'recurring1_based on steps'!AK$1:AK$400,0)),AK$2,)</f>
        <v>0</v>
      </c>
      <c r="AL360" s="179">
        <f ca="1">IF(ISNUMBER(MATCH(DATEVALUE($A360),'recurring1_based on steps'!AL$1:AL$400,0)),AL$2,)</f>
        <v>0</v>
      </c>
      <c r="AM360" s="179">
        <f ca="1">IF(ISNUMBER(MATCH(DATEVALUE($A360),'recurring1_based on steps'!AM$1:AM$400,0)),AM$2,)</f>
        <v>0</v>
      </c>
      <c r="AN360" s="179">
        <f ca="1">IF(ISNUMBER(MATCH(DATEVALUE($A360),'recurring1_based on steps'!AN$1:AN$400,0)),AN$2,)</f>
        <v>0</v>
      </c>
      <c r="AO360" s="179">
        <f ca="1">IF(ISNUMBER(MATCH(DATEVALUE($A360),'recurring1_based on steps'!AO$1:AO$400,0)),AO$2,)</f>
        <v>0</v>
      </c>
      <c r="AP360" s="179">
        <f ca="1">IF(ISNUMBER(MATCH(DATEVALUE($A360),'recurring1_based on steps'!AP$1:AP$400,0)),AP$2,)</f>
        <v>0</v>
      </c>
      <c r="AQ360" s="179">
        <f ca="1">IF(ISNUMBER(MATCH(DATEVALUE($A360),'recurring1_based on steps'!AQ$1:AQ$400,0)),AQ$2,)</f>
        <v>0</v>
      </c>
      <c r="AR360" s="179">
        <f ca="1">IF(ISNUMBER(MATCH(DATEVALUE($A360),'recurring1_based on steps'!AR$1:AR$400,0)),AR$2,)</f>
        <v>0</v>
      </c>
      <c r="AS360" s="179">
        <f ca="1">IF(ISNUMBER(MATCH(DATEVALUE($A360),'recurring1_based on steps'!AS$1:AS$400,0)),AS$2,)</f>
        <v>0</v>
      </c>
      <c r="AT360" s="179">
        <f ca="1">IF(ISNUMBER(MATCH(DATEVALUE($A360),'recurring1_based on steps'!AT$1:AT$400,0)),AT$2,)</f>
        <v>0</v>
      </c>
      <c r="AU360" s="179">
        <f ca="1">IF(ISNUMBER(MATCH(DATEVALUE($A360),'recurring1_based on steps'!AU$1:AU$400,0)),AU$2,)</f>
        <v>0</v>
      </c>
      <c r="AV360" s="179">
        <f ca="1">IF(ISNUMBER(MATCH(DATEVALUE($A360),'recurring1_based on steps'!AV$1:AV$400,0)),AV$2,)</f>
        <v>0</v>
      </c>
      <c r="AW360" s="179">
        <f ca="1">IF(ISNUMBER(MATCH(DATEVALUE($A360),'recurring1_based on steps'!AW$1:AW$400,0)),AW$2,)</f>
        <v>0</v>
      </c>
      <c r="AX360" s="179">
        <f ca="1">IF(ISNUMBER(MATCH(DATEVALUE($A360),'recurring1_based on steps'!AX$1:AX$400,0)),AX$2,)</f>
        <v>0</v>
      </c>
      <c r="AY360" s="179">
        <f ca="1">IF(ISNUMBER(MATCH(DATEVALUE($A360),'recurring1_based on steps'!AY$1:AY$400,0)),AY$2,)</f>
        <v>0</v>
      </c>
    </row>
    <row r="361" spans="1:51" x14ac:dyDescent="0.2">
      <c r="A361" s="32" t="str">
        <f t="shared" ca="1" si="5"/>
        <v>2026-03-29</v>
      </c>
      <c r="B361" s="179">
        <f ca="1">IF(ISNUMBER(MATCH(DATEVALUE($A361),'recurring1_based on steps'!B$1:B$400,0)),B$2,)</f>
        <v>0</v>
      </c>
      <c r="C361" s="179">
        <f ca="1">IF(ISNUMBER(MATCH(DATEVALUE($A361),'recurring1_based on steps'!C$1:C$400,0)),C$2,)</f>
        <v>0</v>
      </c>
      <c r="D361" s="179">
        <f ca="1">IF(ISNUMBER(MATCH(DATEVALUE($A361),'recurring1_based on steps'!D$1:D$400,0)),D$2,)</f>
        <v>0</v>
      </c>
      <c r="E361" s="179">
        <f ca="1">IF(ISNUMBER(MATCH(DATEVALUE($A361),'recurring1_based on steps'!E$1:E$400,0)),E$2,)</f>
        <v>0</v>
      </c>
      <c r="F361" s="179">
        <f ca="1">IF(ISNUMBER(MATCH(DATEVALUE($A361),'recurring1_based on steps'!F$1:F$400,0)),F$2,)</f>
        <v>0</v>
      </c>
      <c r="G361" s="179">
        <f ca="1">IF(ISNUMBER(MATCH(DATEVALUE($A361),'recurring1_based on steps'!G$1:G$400,0)),G$2,)</f>
        <v>0</v>
      </c>
      <c r="H361" s="179">
        <f ca="1">IF(ISNUMBER(MATCH(DATEVALUE($A361),'recurring1_based on steps'!H$1:H$400,0)),H$2,)</f>
        <v>0</v>
      </c>
      <c r="I361" s="179">
        <f ca="1">IF(ISNUMBER(MATCH(DATEVALUE($A361),'recurring1_based on steps'!I$1:I$400,0)),I$2,)</f>
        <v>0</v>
      </c>
      <c r="J361" s="179">
        <f ca="1">IF(ISNUMBER(MATCH(DATEVALUE($A361),'recurring1_based on steps'!J$1:J$400,0)),J$2,)</f>
        <v>0</v>
      </c>
      <c r="K361" s="179">
        <f ca="1">IF(ISNUMBER(MATCH(DATEVALUE($A361),'recurring1_based on steps'!K$1:K$400,0)),K$2,)</f>
        <v>0</v>
      </c>
      <c r="L361" s="179">
        <f ca="1">IF(ISNUMBER(MATCH(DATEVALUE($A361),'recurring1_based on steps'!L$1:L$400,0)),L$2,)</f>
        <v>0</v>
      </c>
      <c r="M361" s="179">
        <f ca="1">IF(ISNUMBER(MATCH(DATEVALUE($A361),'recurring1_based on steps'!M$1:M$400,0)),M$2,)</f>
        <v>0</v>
      </c>
      <c r="N361" s="179">
        <f ca="1">IF(ISNUMBER(MATCH(DATEVALUE($A361),'recurring1_based on steps'!N$1:N$400,0)),N$2,)</f>
        <v>0</v>
      </c>
      <c r="O361" s="179">
        <f ca="1">IF(ISNUMBER(MATCH(DATEVALUE($A361),'recurring1_based on steps'!O$1:O$400,0)),O$2,)</f>
        <v>0</v>
      </c>
      <c r="P361" s="179">
        <f ca="1">IF(ISNUMBER(MATCH(DATEVALUE($A361),'recurring1_based on steps'!P$1:P$400,0)),P$2,)</f>
        <v>0</v>
      </c>
      <c r="Q361" s="179">
        <f ca="1">IF(ISNUMBER(MATCH(DATEVALUE($A361),'recurring1_based on steps'!Q$1:Q$400,0)),Q$2,)</f>
        <v>0</v>
      </c>
      <c r="R361" s="179">
        <f ca="1">IF(ISNUMBER(MATCH(DATEVALUE($A361),'recurring1_based on steps'!R$1:R$400,0)),R$2,)</f>
        <v>0</v>
      </c>
      <c r="S361" s="179">
        <f ca="1">IF(ISNUMBER(MATCH(DATEVALUE($A361),'recurring1_based on steps'!S$1:S$400,0)),S$2,)</f>
        <v>0</v>
      </c>
      <c r="T361" s="179">
        <f ca="1">IF(ISNUMBER(MATCH(DATEVALUE($A361),'recurring1_based on steps'!T$1:T$400,0)),T$2,)</f>
        <v>0</v>
      </c>
      <c r="U361" s="179">
        <f ca="1">IF(ISNUMBER(MATCH(DATEVALUE($A361),'recurring1_based on steps'!U$1:U$400,0)),U$2,)</f>
        <v>0</v>
      </c>
      <c r="V361" s="179">
        <f ca="1">IF(ISNUMBER(MATCH(DATEVALUE($A361),'recurring1_based on steps'!V$1:V$400,0)),V$2,)</f>
        <v>0</v>
      </c>
      <c r="W361" s="179">
        <f ca="1">IF(ISNUMBER(MATCH(DATEVALUE($A361),'recurring1_based on steps'!W$1:W$400,0)),W$2,)</f>
        <v>0</v>
      </c>
      <c r="X361" s="179">
        <f ca="1">IF(ISNUMBER(MATCH(DATEVALUE($A361),'recurring1_based on steps'!X$1:X$400,0)),X$2,)</f>
        <v>0</v>
      </c>
      <c r="Y361" s="179">
        <f ca="1">IF(ISNUMBER(MATCH(DATEVALUE($A361),'recurring1_based on steps'!Y$1:Y$400,0)),Y$2,)</f>
        <v>0</v>
      </c>
      <c r="Z361" s="179">
        <f ca="1">IF(ISNUMBER(MATCH(DATEVALUE($A361),'recurring1_based on steps'!Z$1:Z$400,0)),Z$2,)</f>
        <v>0</v>
      </c>
      <c r="AA361" s="179">
        <f ca="1">IF(ISNUMBER(MATCH(DATEVALUE($A361),'recurring1_based on steps'!AA$1:AA$400,0)),AA$2,)</f>
        <v>0</v>
      </c>
      <c r="AB361" s="179">
        <f ca="1">IF(ISNUMBER(MATCH(DATEVALUE($A361),'recurring1_based on steps'!AB$1:AB$400,0)),AB$2,)</f>
        <v>0</v>
      </c>
      <c r="AC361" s="179">
        <f ca="1">IF(ISNUMBER(MATCH(DATEVALUE($A361),'recurring1_based on steps'!AC$1:AC$400,0)),AC$2,)</f>
        <v>0</v>
      </c>
      <c r="AD361" s="179">
        <f ca="1">IF(ISNUMBER(MATCH(DATEVALUE($A361),'recurring1_based on steps'!AD$1:AD$400,0)),AD$2,)</f>
        <v>0</v>
      </c>
      <c r="AE361" s="179">
        <f ca="1">IF(ISNUMBER(MATCH(DATEVALUE($A361),'recurring1_based on steps'!AE$1:AE$400,0)),AE$2,)</f>
        <v>0</v>
      </c>
      <c r="AF361" s="179">
        <f ca="1">IF(ISNUMBER(MATCH(DATEVALUE($A361),'recurring1_based on steps'!AF$1:AF$400,0)),AF$2,)</f>
        <v>0</v>
      </c>
      <c r="AG361" s="179">
        <f ca="1">IF(ISNUMBER(MATCH(DATEVALUE($A361),'recurring1_based on steps'!AG$1:AG$400,0)),AG$2,)</f>
        <v>0</v>
      </c>
      <c r="AH361" s="179">
        <f ca="1">IF(ISNUMBER(MATCH(DATEVALUE($A361),'recurring1_based on steps'!AH$1:AH$400,0)),AH$2,)</f>
        <v>0</v>
      </c>
      <c r="AI361" s="179">
        <f ca="1">IF(ISNUMBER(MATCH(DATEVALUE($A361),'recurring1_based on steps'!AI$1:AI$400,0)),AI$2,)</f>
        <v>0</v>
      </c>
      <c r="AJ361" s="179">
        <f ca="1">IF(ISNUMBER(MATCH(DATEVALUE($A361),'recurring1_based on steps'!AJ$1:AJ$400,0)),AJ$2,)</f>
        <v>0</v>
      </c>
      <c r="AK361" s="179">
        <f ca="1">IF(ISNUMBER(MATCH(DATEVALUE($A361),'recurring1_based on steps'!AK$1:AK$400,0)),AK$2,)</f>
        <v>0</v>
      </c>
      <c r="AL361" s="179">
        <f ca="1">IF(ISNUMBER(MATCH(DATEVALUE($A361),'recurring1_based on steps'!AL$1:AL$400,0)),AL$2,)</f>
        <v>0</v>
      </c>
      <c r="AM361" s="179">
        <f ca="1">IF(ISNUMBER(MATCH(DATEVALUE($A361),'recurring1_based on steps'!AM$1:AM$400,0)),AM$2,)</f>
        <v>0</v>
      </c>
      <c r="AN361" s="179">
        <f ca="1">IF(ISNUMBER(MATCH(DATEVALUE($A361),'recurring1_based on steps'!AN$1:AN$400,0)),AN$2,)</f>
        <v>0</v>
      </c>
      <c r="AO361" s="179">
        <f ca="1">IF(ISNUMBER(MATCH(DATEVALUE($A361),'recurring1_based on steps'!AO$1:AO$400,0)),AO$2,)</f>
        <v>0</v>
      </c>
      <c r="AP361" s="179">
        <f ca="1">IF(ISNUMBER(MATCH(DATEVALUE($A361),'recurring1_based on steps'!AP$1:AP$400,0)),AP$2,)</f>
        <v>0</v>
      </c>
      <c r="AQ361" s="179">
        <f ca="1">IF(ISNUMBER(MATCH(DATEVALUE($A361),'recurring1_based on steps'!AQ$1:AQ$400,0)),AQ$2,)</f>
        <v>0</v>
      </c>
      <c r="AR361" s="179">
        <f ca="1">IF(ISNUMBER(MATCH(DATEVALUE($A361),'recurring1_based on steps'!AR$1:AR$400,0)),AR$2,)</f>
        <v>0</v>
      </c>
      <c r="AS361" s="179">
        <f ca="1">IF(ISNUMBER(MATCH(DATEVALUE($A361),'recurring1_based on steps'!AS$1:AS$400,0)),AS$2,)</f>
        <v>0</v>
      </c>
      <c r="AT361" s="179">
        <f ca="1">IF(ISNUMBER(MATCH(DATEVALUE($A361),'recurring1_based on steps'!AT$1:AT$400,0)),AT$2,)</f>
        <v>0</v>
      </c>
      <c r="AU361" s="179">
        <f ca="1">IF(ISNUMBER(MATCH(DATEVALUE($A361),'recurring1_based on steps'!AU$1:AU$400,0)),AU$2,)</f>
        <v>0</v>
      </c>
      <c r="AV361" s="179">
        <f ca="1">IF(ISNUMBER(MATCH(DATEVALUE($A361),'recurring1_based on steps'!AV$1:AV$400,0)),AV$2,)</f>
        <v>0</v>
      </c>
      <c r="AW361" s="179">
        <f ca="1">IF(ISNUMBER(MATCH(DATEVALUE($A361),'recurring1_based on steps'!AW$1:AW$400,0)),AW$2,)</f>
        <v>0</v>
      </c>
      <c r="AX361" s="179">
        <f ca="1">IF(ISNUMBER(MATCH(DATEVALUE($A361),'recurring1_based on steps'!AX$1:AX$400,0)),AX$2,)</f>
        <v>0</v>
      </c>
      <c r="AY361" s="179">
        <f ca="1">IF(ISNUMBER(MATCH(DATEVALUE($A361),'recurring1_based on steps'!AY$1:AY$400,0)),AY$2,)</f>
        <v>0</v>
      </c>
    </row>
    <row r="362" spans="1:51" x14ac:dyDescent="0.2">
      <c r="A362" s="32" t="str">
        <f t="shared" ca="1" si="5"/>
        <v>2026-03-30</v>
      </c>
      <c r="B362" s="179">
        <f ca="1">IF(ISNUMBER(MATCH(DATEVALUE($A362),'recurring1_based on steps'!B$1:B$400,0)),B$2,)</f>
        <v>0</v>
      </c>
      <c r="C362" s="179">
        <f ca="1">IF(ISNUMBER(MATCH(DATEVALUE($A362),'recurring1_based on steps'!C$1:C$400,0)),C$2,)</f>
        <v>0</v>
      </c>
      <c r="D362" s="179">
        <f ca="1">IF(ISNUMBER(MATCH(DATEVALUE($A362),'recurring1_based on steps'!D$1:D$400,0)),D$2,)</f>
        <v>0</v>
      </c>
      <c r="E362" s="179">
        <f ca="1">IF(ISNUMBER(MATCH(DATEVALUE($A362),'recurring1_based on steps'!E$1:E$400,0)),E$2,)</f>
        <v>0</v>
      </c>
      <c r="F362" s="179">
        <f ca="1">IF(ISNUMBER(MATCH(DATEVALUE($A362),'recurring1_based on steps'!F$1:F$400,0)),F$2,)</f>
        <v>0</v>
      </c>
      <c r="G362" s="179">
        <f ca="1">IF(ISNUMBER(MATCH(DATEVALUE($A362),'recurring1_based on steps'!G$1:G$400,0)),G$2,)</f>
        <v>0</v>
      </c>
      <c r="H362" s="179">
        <f ca="1">IF(ISNUMBER(MATCH(DATEVALUE($A362),'recurring1_based on steps'!H$1:H$400,0)),H$2,)</f>
        <v>0</v>
      </c>
      <c r="I362" s="179">
        <f ca="1">IF(ISNUMBER(MATCH(DATEVALUE($A362),'recurring1_based on steps'!I$1:I$400,0)),I$2,)</f>
        <v>0</v>
      </c>
      <c r="J362" s="179">
        <f ca="1">IF(ISNUMBER(MATCH(DATEVALUE($A362),'recurring1_based on steps'!J$1:J$400,0)),J$2,)</f>
        <v>0</v>
      </c>
      <c r="K362" s="179">
        <f ca="1">IF(ISNUMBER(MATCH(DATEVALUE($A362),'recurring1_based on steps'!K$1:K$400,0)),K$2,)</f>
        <v>0</v>
      </c>
      <c r="L362" s="179">
        <f ca="1">IF(ISNUMBER(MATCH(DATEVALUE($A362),'recurring1_based on steps'!L$1:L$400,0)),L$2,)</f>
        <v>0</v>
      </c>
      <c r="M362" s="179">
        <f ca="1">IF(ISNUMBER(MATCH(DATEVALUE($A362),'recurring1_based on steps'!M$1:M$400,0)),M$2,)</f>
        <v>0</v>
      </c>
      <c r="N362" s="179">
        <f ca="1">IF(ISNUMBER(MATCH(DATEVALUE($A362),'recurring1_based on steps'!N$1:N$400,0)),N$2,)</f>
        <v>0</v>
      </c>
      <c r="O362" s="179">
        <f ca="1">IF(ISNUMBER(MATCH(DATEVALUE($A362),'recurring1_based on steps'!O$1:O$400,0)),O$2,)</f>
        <v>0</v>
      </c>
      <c r="P362" s="179">
        <f ca="1">IF(ISNUMBER(MATCH(DATEVALUE($A362),'recurring1_based on steps'!P$1:P$400,0)),P$2,)</f>
        <v>0</v>
      </c>
      <c r="Q362" s="179">
        <f ca="1">IF(ISNUMBER(MATCH(DATEVALUE($A362),'recurring1_based on steps'!Q$1:Q$400,0)),Q$2,)</f>
        <v>0</v>
      </c>
      <c r="R362" s="179">
        <f ca="1">IF(ISNUMBER(MATCH(DATEVALUE($A362),'recurring1_based on steps'!R$1:R$400,0)),R$2,)</f>
        <v>0</v>
      </c>
      <c r="S362" s="179">
        <f ca="1">IF(ISNUMBER(MATCH(DATEVALUE($A362),'recurring1_based on steps'!S$1:S$400,0)),S$2,)</f>
        <v>0</v>
      </c>
      <c r="T362" s="179">
        <f ca="1">IF(ISNUMBER(MATCH(DATEVALUE($A362),'recurring1_based on steps'!T$1:T$400,0)),T$2,)</f>
        <v>0</v>
      </c>
      <c r="U362" s="179">
        <f ca="1">IF(ISNUMBER(MATCH(DATEVALUE($A362),'recurring1_based on steps'!U$1:U$400,0)),U$2,)</f>
        <v>0</v>
      </c>
      <c r="V362" s="179">
        <f ca="1">IF(ISNUMBER(MATCH(DATEVALUE($A362),'recurring1_based on steps'!V$1:V$400,0)),V$2,)</f>
        <v>0</v>
      </c>
      <c r="W362" s="179">
        <f ca="1">IF(ISNUMBER(MATCH(DATEVALUE($A362),'recurring1_based on steps'!W$1:W$400,0)),W$2,)</f>
        <v>0</v>
      </c>
      <c r="X362" s="179">
        <f ca="1">IF(ISNUMBER(MATCH(DATEVALUE($A362),'recurring1_based on steps'!X$1:X$400,0)),X$2,)</f>
        <v>0</v>
      </c>
      <c r="Y362" s="179">
        <f ca="1">IF(ISNUMBER(MATCH(DATEVALUE($A362),'recurring1_based on steps'!Y$1:Y$400,0)),Y$2,)</f>
        <v>0</v>
      </c>
      <c r="Z362" s="179">
        <f ca="1">IF(ISNUMBER(MATCH(DATEVALUE($A362),'recurring1_based on steps'!Z$1:Z$400,0)),Z$2,)</f>
        <v>0</v>
      </c>
      <c r="AA362" s="179">
        <f ca="1">IF(ISNUMBER(MATCH(DATEVALUE($A362),'recurring1_based on steps'!AA$1:AA$400,0)),AA$2,)</f>
        <v>0</v>
      </c>
      <c r="AB362" s="179">
        <f ca="1">IF(ISNUMBER(MATCH(DATEVALUE($A362),'recurring1_based on steps'!AB$1:AB$400,0)),AB$2,)</f>
        <v>0</v>
      </c>
      <c r="AC362" s="179">
        <f ca="1">IF(ISNUMBER(MATCH(DATEVALUE($A362),'recurring1_based on steps'!AC$1:AC$400,0)),AC$2,)</f>
        <v>0</v>
      </c>
      <c r="AD362" s="179">
        <f ca="1">IF(ISNUMBER(MATCH(DATEVALUE($A362),'recurring1_based on steps'!AD$1:AD$400,0)),AD$2,)</f>
        <v>0</v>
      </c>
      <c r="AE362" s="179">
        <f ca="1">IF(ISNUMBER(MATCH(DATEVALUE($A362),'recurring1_based on steps'!AE$1:AE$400,0)),AE$2,)</f>
        <v>0</v>
      </c>
      <c r="AF362" s="179">
        <f ca="1">IF(ISNUMBER(MATCH(DATEVALUE($A362),'recurring1_based on steps'!AF$1:AF$400,0)),AF$2,)</f>
        <v>0</v>
      </c>
      <c r="AG362" s="179">
        <f ca="1">IF(ISNUMBER(MATCH(DATEVALUE($A362),'recurring1_based on steps'!AG$1:AG$400,0)),AG$2,)</f>
        <v>0</v>
      </c>
      <c r="AH362" s="179">
        <f ca="1">IF(ISNUMBER(MATCH(DATEVALUE($A362),'recurring1_based on steps'!AH$1:AH$400,0)),AH$2,)</f>
        <v>0</v>
      </c>
      <c r="AI362" s="179">
        <f ca="1">IF(ISNUMBER(MATCH(DATEVALUE($A362),'recurring1_based on steps'!AI$1:AI$400,0)),AI$2,)</f>
        <v>0</v>
      </c>
      <c r="AJ362" s="179">
        <f ca="1">IF(ISNUMBER(MATCH(DATEVALUE($A362),'recurring1_based on steps'!AJ$1:AJ$400,0)),AJ$2,)</f>
        <v>0</v>
      </c>
      <c r="AK362" s="179">
        <f ca="1">IF(ISNUMBER(MATCH(DATEVALUE($A362),'recurring1_based on steps'!AK$1:AK$400,0)),AK$2,)</f>
        <v>0</v>
      </c>
      <c r="AL362" s="179">
        <f ca="1">IF(ISNUMBER(MATCH(DATEVALUE($A362),'recurring1_based on steps'!AL$1:AL$400,0)),AL$2,)</f>
        <v>0</v>
      </c>
      <c r="AM362" s="179">
        <f ca="1">IF(ISNUMBER(MATCH(DATEVALUE($A362),'recurring1_based on steps'!AM$1:AM$400,0)),AM$2,)</f>
        <v>0</v>
      </c>
      <c r="AN362" s="179">
        <f ca="1">IF(ISNUMBER(MATCH(DATEVALUE($A362),'recurring1_based on steps'!AN$1:AN$400,0)),AN$2,)</f>
        <v>0</v>
      </c>
      <c r="AO362" s="179">
        <f ca="1">IF(ISNUMBER(MATCH(DATEVALUE($A362),'recurring1_based on steps'!AO$1:AO$400,0)),AO$2,)</f>
        <v>0</v>
      </c>
      <c r="AP362" s="179">
        <f ca="1">IF(ISNUMBER(MATCH(DATEVALUE($A362),'recurring1_based on steps'!AP$1:AP$400,0)),AP$2,)</f>
        <v>0</v>
      </c>
      <c r="AQ362" s="179">
        <f ca="1">IF(ISNUMBER(MATCH(DATEVALUE($A362),'recurring1_based on steps'!AQ$1:AQ$400,0)),AQ$2,)</f>
        <v>0</v>
      </c>
      <c r="AR362" s="179">
        <f ca="1">IF(ISNUMBER(MATCH(DATEVALUE($A362),'recurring1_based on steps'!AR$1:AR$400,0)),AR$2,)</f>
        <v>0</v>
      </c>
      <c r="AS362" s="179">
        <f ca="1">IF(ISNUMBER(MATCH(DATEVALUE($A362),'recurring1_based on steps'!AS$1:AS$400,0)),AS$2,)</f>
        <v>0</v>
      </c>
      <c r="AT362" s="179">
        <f ca="1">IF(ISNUMBER(MATCH(DATEVALUE($A362),'recurring1_based on steps'!AT$1:AT$400,0)),AT$2,)</f>
        <v>0</v>
      </c>
      <c r="AU362" s="179">
        <f ca="1">IF(ISNUMBER(MATCH(DATEVALUE($A362),'recurring1_based on steps'!AU$1:AU$400,0)),AU$2,)</f>
        <v>0</v>
      </c>
      <c r="AV362" s="179">
        <f ca="1">IF(ISNUMBER(MATCH(DATEVALUE($A362),'recurring1_based on steps'!AV$1:AV$400,0)),AV$2,)</f>
        <v>0</v>
      </c>
      <c r="AW362" s="179">
        <f ca="1">IF(ISNUMBER(MATCH(DATEVALUE($A362),'recurring1_based on steps'!AW$1:AW$400,0)),AW$2,)</f>
        <v>0</v>
      </c>
      <c r="AX362" s="179">
        <f ca="1">IF(ISNUMBER(MATCH(DATEVALUE($A362),'recurring1_based on steps'!AX$1:AX$400,0)),AX$2,)</f>
        <v>0</v>
      </c>
      <c r="AY362" s="179">
        <f ca="1">IF(ISNUMBER(MATCH(DATEVALUE($A362),'recurring1_based on steps'!AY$1:AY$400,0)),AY$2,)</f>
        <v>0</v>
      </c>
    </row>
    <row r="363" spans="1:51" x14ac:dyDescent="0.2">
      <c r="A363" s="32" t="str">
        <f t="shared" ca="1" si="5"/>
        <v>2026-03-31</v>
      </c>
      <c r="B363" s="179">
        <f ca="1">IF(ISNUMBER(MATCH(DATEVALUE($A363),'recurring1_based on steps'!B$1:B$400,0)),B$2,)</f>
        <v>0</v>
      </c>
      <c r="C363" s="179">
        <f ca="1">IF(ISNUMBER(MATCH(DATEVALUE($A363),'recurring1_based on steps'!C$1:C$400,0)),C$2,)</f>
        <v>0</v>
      </c>
      <c r="D363" s="179">
        <f ca="1">IF(ISNUMBER(MATCH(DATEVALUE($A363),'recurring1_based on steps'!D$1:D$400,0)),D$2,)</f>
        <v>0</v>
      </c>
      <c r="E363" s="179">
        <f ca="1">IF(ISNUMBER(MATCH(DATEVALUE($A363),'recurring1_based on steps'!E$1:E$400,0)),E$2,)</f>
        <v>0</v>
      </c>
      <c r="F363" s="179">
        <f ca="1">IF(ISNUMBER(MATCH(DATEVALUE($A363),'recurring1_based on steps'!F$1:F$400,0)),F$2,)</f>
        <v>0</v>
      </c>
      <c r="G363" s="179">
        <f ca="1">IF(ISNUMBER(MATCH(DATEVALUE($A363),'recurring1_based on steps'!G$1:G$400,0)),G$2,)</f>
        <v>0</v>
      </c>
      <c r="H363" s="179">
        <f ca="1">IF(ISNUMBER(MATCH(DATEVALUE($A363),'recurring1_based on steps'!H$1:H$400,0)),H$2,)</f>
        <v>0</v>
      </c>
      <c r="I363" s="179">
        <f ca="1">IF(ISNUMBER(MATCH(DATEVALUE($A363),'recurring1_based on steps'!I$1:I$400,0)),I$2,)</f>
        <v>0</v>
      </c>
      <c r="J363" s="179">
        <f ca="1">IF(ISNUMBER(MATCH(DATEVALUE($A363),'recurring1_based on steps'!J$1:J$400,0)),J$2,)</f>
        <v>0</v>
      </c>
      <c r="K363" s="179">
        <f ca="1">IF(ISNUMBER(MATCH(DATEVALUE($A363),'recurring1_based on steps'!K$1:K$400,0)),K$2,)</f>
        <v>0</v>
      </c>
      <c r="L363" s="179">
        <f ca="1">IF(ISNUMBER(MATCH(DATEVALUE($A363),'recurring1_based on steps'!L$1:L$400,0)),L$2,)</f>
        <v>0</v>
      </c>
      <c r="M363" s="179">
        <f ca="1">IF(ISNUMBER(MATCH(DATEVALUE($A363),'recurring1_based on steps'!M$1:M$400,0)),M$2,)</f>
        <v>0</v>
      </c>
      <c r="N363" s="179">
        <f ca="1">IF(ISNUMBER(MATCH(DATEVALUE($A363),'recurring1_based on steps'!N$1:N$400,0)),N$2,)</f>
        <v>0</v>
      </c>
      <c r="O363" s="179">
        <f ca="1">IF(ISNUMBER(MATCH(DATEVALUE($A363),'recurring1_based on steps'!O$1:O$400,0)),O$2,)</f>
        <v>0</v>
      </c>
      <c r="P363" s="179">
        <f ca="1">IF(ISNUMBER(MATCH(DATEVALUE($A363),'recurring1_based on steps'!P$1:P$400,0)),P$2,)</f>
        <v>0</v>
      </c>
      <c r="Q363" s="179">
        <f ca="1">IF(ISNUMBER(MATCH(DATEVALUE($A363),'recurring1_based on steps'!Q$1:Q$400,0)),Q$2,)</f>
        <v>0</v>
      </c>
      <c r="R363" s="179">
        <f ca="1">IF(ISNUMBER(MATCH(DATEVALUE($A363),'recurring1_based on steps'!R$1:R$400,0)),R$2,)</f>
        <v>0</v>
      </c>
      <c r="S363" s="179">
        <f ca="1">IF(ISNUMBER(MATCH(DATEVALUE($A363),'recurring1_based on steps'!S$1:S$400,0)),S$2,)</f>
        <v>0</v>
      </c>
      <c r="T363" s="179">
        <f ca="1">IF(ISNUMBER(MATCH(DATEVALUE($A363),'recurring1_based on steps'!T$1:T$400,0)),T$2,)</f>
        <v>0</v>
      </c>
      <c r="U363" s="179">
        <f ca="1">IF(ISNUMBER(MATCH(DATEVALUE($A363),'recurring1_based on steps'!U$1:U$400,0)),U$2,)</f>
        <v>0</v>
      </c>
      <c r="V363" s="179">
        <f ca="1">IF(ISNUMBER(MATCH(DATEVALUE($A363),'recurring1_based on steps'!V$1:V$400,0)),V$2,)</f>
        <v>0</v>
      </c>
      <c r="W363" s="179">
        <f ca="1">IF(ISNUMBER(MATCH(DATEVALUE($A363),'recurring1_based on steps'!W$1:W$400,0)),W$2,)</f>
        <v>0</v>
      </c>
      <c r="X363" s="179">
        <f ca="1">IF(ISNUMBER(MATCH(DATEVALUE($A363),'recurring1_based on steps'!X$1:X$400,0)),X$2,)</f>
        <v>0</v>
      </c>
      <c r="Y363" s="179">
        <f ca="1">IF(ISNUMBER(MATCH(DATEVALUE($A363),'recurring1_based on steps'!Y$1:Y$400,0)),Y$2,)</f>
        <v>0</v>
      </c>
      <c r="Z363" s="179">
        <f ca="1">IF(ISNUMBER(MATCH(DATEVALUE($A363),'recurring1_based on steps'!Z$1:Z$400,0)),Z$2,)</f>
        <v>0</v>
      </c>
      <c r="AA363" s="179">
        <f ca="1">IF(ISNUMBER(MATCH(DATEVALUE($A363),'recurring1_based on steps'!AA$1:AA$400,0)),AA$2,)</f>
        <v>0</v>
      </c>
      <c r="AB363" s="179">
        <f ca="1">IF(ISNUMBER(MATCH(DATEVALUE($A363),'recurring1_based on steps'!AB$1:AB$400,0)),AB$2,)</f>
        <v>0</v>
      </c>
      <c r="AC363" s="179">
        <f ca="1">IF(ISNUMBER(MATCH(DATEVALUE($A363),'recurring1_based on steps'!AC$1:AC$400,0)),AC$2,)</f>
        <v>0</v>
      </c>
      <c r="AD363" s="179">
        <f ca="1">IF(ISNUMBER(MATCH(DATEVALUE($A363),'recurring1_based on steps'!AD$1:AD$400,0)),AD$2,)</f>
        <v>0</v>
      </c>
      <c r="AE363" s="179">
        <f ca="1">IF(ISNUMBER(MATCH(DATEVALUE($A363),'recurring1_based on steps'!AE$1:AE$400,0)),AE$2,)</f>
        <v>0</v>
      </c>
      <c r="AF363" s="179">
        <f ca="1">IF(ISNUMBER(MATCH(DATEVALUE($A363),'recurring1_based on steps'!AF$1:AF$400,0)),AF$2,)</f>
        <v>0</v>
      </c>
      <c r="AG363" s="179">
        <f ca="1">IF(ISNUMBER(MATCH(DATEVALUE($A363),'recurring1_based on steps'!AG$1:AG$400,0)),AG$2,)</f>
        <v>0</v>
      </c>
      <c r="AH363" s="179">
        <f ca="1">IF(ISNUMBER(MATCH(DATEVALUE($A363),'recurring1_based on steps'!AH$1:AH$400,0)),AH$2,)</f>
        <v>0</v>
      </c>
      <c r="AI363" s="179">
        <f ca="1">IF(ISNUMBER(MATCH(DATEVALUE($A363),'recurring1_based on steps'!AI$1:AI$400,0)),AI$2,)</f>
        <v>0</v>
      </c>
      <c r="AJ363" s="179">
        <f ca="1">IF(ISNUMBER(MATCH(DATEVALUE($A363),'recurring1_based on steps'!AJ$1:AJ$400,0)),AJ$2,)</f>
        <v>0</v>
      </c>
      <c r="AK363" s="179">
        <f ca="1">IF(ISNUMBER(MATCH(DATEVALUE($A363),'recurring1_based on steps'!AK$1:AK$400,0)),AK$2,)</f>
        <v>0</v>
      </c>
      <c r="AL363" s="179">
        <f ca="1">IF(ISNUMBER(MATCH(DATEVALUE($A363),'recurring1_based on steps'!AL$1:AL$400,0)),AL$2,)</f>
        <v>0</v>
      </c>
      <c r="AM363" s="179">
        <f ca="1">IF(ISNUMBER(MATCH(DATEVALUE($A363),'recurring1_based on steps'!AM$1:AM$400,0)),AM$2,)</f>
        <v>0</v>
      </c>
      <c r="AN363" s="179">
        <f ca="1">IF(ISNUMBER(MATCH(DATEVALUE($A363),'recurring1_based on steps'!AN$1:AN$400,0)),AN$2,)</f>
        <v>0</v>
      </c>
      <c r="AO363" s="179">
        <f ca="1">IF(ISNUMBER(MATCH(DATEVALUE($A363),'recurring1_based on steps'!AO$1:AO$400,0)),AO$2,)</f>
        <v>0</v>
      </c>
      <c r="AP363" s="179">
        <f ca="1">IF(ISNUMBER(MATCH(DATEVALUE($A363),'recurring1_based on steps'!AP$1:AP$400,0)),AP$2,)</f>
        <v>0</v>
      </c>
      <c r="AQ363" s="179">
        <f ca="1">IF(ISNUMBER(MATCH(DATEVALUE($A363),'recurring1_based on steps'!AQ$1:AQ$400,0)),AQ$2,)</f>
        <v>0</v>
      </c>
      <c r="AR363" s="179">
        <f ca="1">IF(ISNUMBER(MATCH(DATEVALUE($A363),'recurring1_based on steps'!AR$1:AR$400,0)),AR$2,)</f>
        <v>0</v>
      </c>
      <c r="AS363" s="179">
        <f ca="1">IF(ISNUMBER(MATCH(DATEVALUE($A363),'recurring1_based on steps'!AS$1:AS$400,0)),AS$2,)</f>
        <v>0</v>
      </c>
      <c r="AT363" s="179">
        <f ca="1">IF(ISNUMBER(MATCH(DATEVALUE($A363),'recurring1_based on steps'!AT$1:AT$400,0)),AT$2,)</f>
        <v>0</v>
      </c>
      <c r="AU363" s="179">
        <f ca="1">IF(ISNUMBER(MATCH(DATEVALUE($A363),'recurring1_based on steps'!AU$1:AU$400,0)),AU$2,)</f>
        <v>0</v>
      </c>
      <c r="AV363" s="179">
        <f ca="1">IF(ISNUMBER(MATCH(DATEVALUE($A363),'recurring1_based on steps'!AV$1:AV$400,0)),AV$2,)</f>
        <v>0</v>
      </c>
      <c r="AW363" s="179">
        <f ca="1">IF(ISNUMBER(MATCH(DATEVALUE($A363),'recurring1_based on steps'!AW$1:AW$400,0)),AW$2,)</f>
        <v>0</v>
      </c>
      <c r="AX363" s="179">
        <f ca="1">IF(ISNUMBER(MATCH(DATEVALUE($A363),'recurring1_based on steps'!AX$1:AX$400,0)),AX$2,)</f>
        <v>0</v>
      </c>
      <c r="AY363" s="179">
        <f ca="1">IF(ISNUMBER(MATCH(DATEVALUE($A363),'recurring1_based on steps'!AY$1:AY$400,0)),AY$2,)</f>
        <v>0</v>
      </c>
    </row>
    <row r="364" spans="1:51" x14ac:dyDescent="0.2">
      <c r="A364" s="32" t="str">
        <f t="shared" ca="1" si="5"/>
        <v>2026-04-01</v>
      </c>
      <c r="B364" s="179">
        <f ca="1">IF(ISNUMBER(MATCH(DATEVALUE($A364),'recurring1_based on steps'!B$1:B$400,0)),B$2,)</f>
        <v>0</v>
      </c>
      <c r="C364" s="179">
        <f ca="1">IF(ISNUMBER(MATCH(DATEVALUE($A364),'recurring1_based on steps'!C$1:C$400,0)),C$2,)</f>
        <v>0</v>
      </c>
      <c r="D364" s="179">
        <f ca="1">IF(ISNUMBER(MATCH(DATEVALUE($A364),'recurring1_based on steps'!D$1:D$400,0)),D$2,)</f>
        <v>0</v>
      </c>
      <c r="E364" s="179">
        <f ca="1">IF(ISNUMBER(MATCH(DATEVALUE($A364),'recurring1_based on steps'!E$1:E$400,0)),E$2,)</f>
        <v>0</v>
      </c>
      <c r="F364" s="179">
        <f ca="1">IF(ISNUMBER(MATCH(DATEVALUE($A364),'recurring1_based on steps'!F$1:F$400,0)),F$2,)</f>
        <v>0</v>
      </c>
      <c r="G364" s="179">
        <f ca="1">IF(ISNUMBER(MATCH(DATEVALUE($A364),'recurring1_based on steps'!G$1:G$400,0)),G$2,)</f>
        <v>0</v>
      </c>
      <c r="H364" s="179">
        <f ca="1">IF(ISNUMBER(MATCH(DATEVALUE($A364),'recurring1_based on steps'!H$1:H$400,0)),H$2,)</f>
        <v>0</v>
      </c>
      <c r="I364" s="179">
        <f ca="1">IF(ISNUMBER(MATCH(DATEVALUE($A364),'recurring1_based on steps'!I$1:I$400,0)),I$2,)</f>
        <v>0</v>
      </c>
      <c r="J364" s="179">
        <f ca="1">IF(ISNUMBER(MATCH(DATEVALUE($A364),'recurring1_based on steps'!J$1:J$400,0)),J$2,)</f>
        <v>0</v>
      </c>
      <c r="K364" s="179">
        <f ca="1">IF(ISNUMBER(MATCH(DATEVALUE($A364),'recurring1_based on steps'!K$1:K$400,0)),K$2,)</f>
        <v>0</v>
      </c>
      <c r="L364" s="179">
        <f ca="1">IF(ISNUMBER(MATCH(DATEVALUE($A364),'recurring1_based on steps'!L$1:L$400,0)),L$2,)</f>
        <v>0</v>
      </c>
      <c r="M364" s="179">
        <f ca="1">IF(ISNUMBER(MATCH(DATEVALUE($A364),'recurring1_based on steps'!M$1:M$400,0)),M$2,)</f>
        <v>0</v>
      </c>
      <c r="N364" s="179">
        <f ca="1">IF(ISNUMBER(MATCH(DATEVALUE($A364),'recurring1_based on steps'!N$1:N$400,0)),N$2,)</f>
        <v>0</v>
      </c>
      <c r="O364" s="179">
        <f ca="1">IF(ISNUMBER(MATCH(DATEVALUE($A364),'recurring1_based on steps'!O$1:O$400,0)),O$2,)</f>
        <v>0</v>
      </c>
      <c r="P364" s="179">
        <f ca="1">IF(ISNUMBER(MATCH(DATEVALUE($A364),'recurring1_based on steps'!P$1:P$400,0)),P$2,)</f>
        <v>0</v>
      </c>
      <c r="Q364" s="179">
        <f ca="1">IF(ISNUMBER(MATCH(DATEVALUE($A364),'recurring1_based on steps'!Q$1:Q$400,0)),Q$2,)</f>
        <v>0</v>
      </c>
      <c r="R364" s="179">
        <f ca="1">IF(ISNUMBER(MATCH(DATEVALUE($A364),'recurring1_based on steps'!R$1:R$400,0)),R$2,)</f>
        <v>0</v>
      </c>
      <c r="S364" s="179">
        <f ca="1">IF(ISNUMBER(MATCH(DATEVALUE($A364),'recurring1_based on steps'!S$1:S$400,0)),S$2,)</f>
        <v>0</v>
      </c>
      <c r="T364" s="179">
        <f ca="1">IF(ISNUMBER(MATCH(DATEVALUE($A364),'recurring1_based on steps'!T$1:T$400,0)),T$2,)</f>
        <v>0</v>
      </c>
      <c r="U364" s="179">
        <f ca="1">IF(ISNUMBER(MATCH(DATEVALUE($A364),'recurring1_based on steps'!U$1:U$400,0)),U$2,)</f>
        <v>0</v>
      </c>
      <c r="V364" s="179">
        <f ca="1">IF(ISNUMBER(MATCH(DATEVALUE($A364),'recurring1_based on steps'!V$1:V$400,0)),V$2,)</f>
        <v>0</v>
      </c>
      <c r="W364" s="179">
        <f ca="1">IF(ISNUMBER(MATCH(DATEVALUE($A364),'recurring1_based on steps'!W$1:W$400,0)),W$2,)</f>
        <v>0</v>
      </c>
      <c r="X364" s="179">
        <f ca="1">IF(ISNUMBER(MATCH(DATEVALUE($A364),'recurring1_based on steps'!X$1:X$400,0)),X$2,)</f>
        <v>0</v>
      </c>
      <c r="Y364" s="179">
        <f ca="1">IF(ISNUMBER(MATCH(DATEVALUE($A364),'recurring1_based on steps'!Y$1:Y$400,0)),Y$2,)</f>
        <v>0</v>
      </c>
      <c r="Z364" s="179">
        <f ca="1">IF(ISNUMBER(MATCH(DATEVALUE($A364),'recurring1_based on steps'!Z$1:Z$400,0)),Z$2,)</f>
        <v>0</v>
      </c>
      <c r="AA364" s="179">
        <f ca="1">IF(ISNUMBER(MATCH(DATEVALUE($A364),'recurring1_based on steps'!AA$1:AA$400,0)),AA$2,)</f>
        <v>0</v>
      </c>
      <c r="AB364" s="179">
        <f ca="1">IF(ISNUMBER(MATCH(DATEVALUE($A364),'recurring1_based on steps'!AB$1:AB$400,0)),AB$2,)</f>
        <v>0</v>
      </c>
      <c r="AC364" s="179">
        <f ca="1">IF(ISNUMBER(MATCH(DATEVALUE($A364),'recurring1_based on steps'!AC$1:AC$400,0)),AC$2,)</f>
        <v>0</v>
      </c>
      <c r="AD364" s="179">
        <f ca="1">IF(ISNUMBER(MATCH(DATEVALUE($A364),'recurring1_based on steps'!AD$1:AD$400,0)),AD$2,)</f>
        <v>0</v>
      </c>
      <c r="AE364" s="179">
        <f ca="1">IF(ISNUMBER(MATCH(DATEVALUE($A364),'recurring1_based on steps'!AE$1:AE$400,0)),AE$2,)</f>
        <v>0</v>
      </c>
      <c r="AF364" s="179">
        <f ca="1">IF(ISNUMBER(MATCH(DATEVALUE($A364),'recurring1_based on steps'!AF$1:AF$400,0)),AF$2,)</f>
        <v>0</v>
      </c>
      <c r="AG364" s="179">
        <f ca="1">IF(ISNUMBER(MATCH(DATEVALUE($A364),'recurring1_based on steps'!AG$1:AG$400,0)),AG$2,)</f>
        <v>0</v>
      </c>
      <c r="AH364" s="179">
        <f ca="1">IF(ISNUMBER(MATCH(DATEVALUE($A364),'recurring1_based on steps'!AH$1:AH$400,0)),AH$2,)</f>
        <v>0</v>
      </c>
      <c r="AI364" s="179">
        <f ca="1">IF(ISNUMBER(MATCH(DATEVALUE($A364),'recurring1_based on steps'!AI$1:AI$400,0)),AI$2,)</f>
        <v>0</v>
      </c>
      <c r="AJ364" s="179">
        <f ca="1">IF(ISNUMBER(MATCH(DATEVALUE($A364),'recurring1_based on steps'!AJ$1:AJ$400,0)),AJ$2,)</f>
        <v>0</v>
      </c>
      <c r="AK364" s="179">
        <f ca="1">IF(ISNUMBER(MATCH(DATEVALUE($A364),'recurring1_based on steps'!AK$1:AK$400,0)),AK$2,)</f>
        <v>0</v>
      </c>
      <c r="AL364" s="179">
        <f ca="1">IF(ISNUMBER(MATCH(DATEVALUE($A364),'recurring1_based on steps'!AL$1:AL$400,0)),AL$2,)</f>
        <v>0</v>
      </c>
      <c r="AM364" s="179">
        <f ca="1">IF(ISNUMBER(MATCH(DATEVALUE($A364),'recurring1_based on steps'!AM$1:AM$400,0)),AM$2,)</f>
        <v>0</v>
      </c>
      <c r="AN364" s="179">
        <f ca="1">IF(ISNUMBER(MATCH(DATEVALUE($A364),'recurring1_based on steps'!AN$1:AN$400,0)),AN$2,)</f>
        <v>0</v>
      </c>
      <c r="AO364" s="179">
        <f ca="1">IF(ISNUMBER(MATCH(DATEVALUE($A364),'recurring1_based on steps'!AO$1:AO$400,0)),AO$2,)</f>
        <v>0</v>
      </c>
      <c r="AP364" s="179">
        <f ca="1">IF(ISNUMBER(MATCH(DATEVALUE($A364),'recurring1_based on steps'!AP$1:AP$400,0)),AP$2,)</f>
        <v>0</v>
      </c>
      <c r="AQ364" s="179">
        <f ca="1">IF(ISNUMBER(MATCH(DATEVALUE($A364),'recurring1_based on steps'!AQ$1:AQ$400,0)),AQ$2,)</f>
        <v>0</v>
      </c>
      <c r="AR364" s="179">
        <f ca="1">IF(ISNUMBER(MATCH(DATEVALUE($A364),'recurring1_based on steps'!AR$1:AR$400,0)),AR$2,)</f>
        <v>0</v>
      </c>
      <c r="AS364" s="179">
        <f ca="1">IF(ISNUMBER(MATCH(DATEVALUE($A364),'recurring1_based on steps'!AS$1:AS$400,0)),AS$2,)</f>
        <v>0</v>
      </c>
      <c r="AT364" s="179">
        <f ca="1">IF(ISNUMBER(MATCH(DATEVALUE($A364),'recurring1_based on steps'!AT$1:AT$400,0)),AT$2,)</f>
        <v>0</v>
      </c>
      <c r="AU364" s="179">
        <f ca="1">IF(ISNUMBER(MATCH(DATEVALUE($A364),'recurring1_based on steps'!AU$1:AU$400,0)),AU$2,)</f>
        <v>0</v>
      </c>
      <c r="AV364" s="179">
        <f ca="1">IF(ISNUMBER(MATCH(DATEVALUE($A364),'recurring1_based on steps'!AV$1:AV$400,0)),AV$2,)</f>
        <v>0</v>
      </c>
      <c r="AW364" s="179">
        <f ca="1">IF(ISNUMBER(MATCH(DATEVALUE($A364),'recurring1_based on steps'!AW$1:AW$400,0)),AW$2,)</f>
        <v>0</v>
      </c>
      <c r="AX364" s="179">
        <f ca="1">IF(ISNUMBER(MATCH(DATEVALUE($A364),'recurring1_based on steps'!AX$1:AX$400,0)),AX$2,)</f>
        <v>0</v>
      </c>
      <c r="AY364" s="179">
        <f ca="1">IF(ISNUMBER(MATCH(DATEVALUE($A364),'recurring1_based on steps'!AY$1:AY$400,0)),AY$2,)</f>
        <v>0</v>
      </c>
    </row>
    <row r="365" spans="1:51" x14ac:dyDescent="0.2">
      <c r="A365" s="32" t="str">
        <f t="shared" ca="1" si="5"/>
        <v>2026-04-02</v>
      </c>
      <c r="B365" s="179">
        <f ca="1">IF(ISNUMBER(MATCH(DATEVALUE($A365),'recurring1_based on steps'!B$1:B$400,0)),B$2,)</f>
        <v>0</v>
      </c>
      <c r="C365" s="179">
        <f ca="1">IF(ISNUMBER(MATCH(DATEVALUE($A365),'recurring1_based on steps'!C$1:C$400,0)),C$2,)</f>
        <v>0</v>
      </c>
      <c r="D365" s="179">
        <f ca="1">IF(ISNUMBER(MATCH(DATEVALUE($A365),'recurring1_based on steps'!D$1:D$400,0)),D$2,)</f>
        <v>0</v>
      </c>
      <c r="E365" s="179">
        <f ca="1">IF(ISNUMBER(MATCH(DATEVALUE($A365),'recurring1_based on steps'!E$1:E$400,0)),E$2,)</f>
        <v>0</v>
      </c>
      <c r="F365" s="179">
        <f ca="1">IF(ISNUMBER(MATCH(DATEVALUE($A365),'recurring1_based on steps'!F$1:F$400,0)),F$2,)</f>
        <v>0</v>
      </c>
      <c r="G365" s="179">
        <f ca="1">IF(ISNUMBER(MATCH(DATEVALUE($A365),'recurring1_based on steps'!G$1:G$400,0)),G$2,)</f>
        <v>0</v>
      </c>
      <c r="H365" s="179">
        <f ca="1">IF(ISNUMBER(MATCH(DATEVALUE($A365),'recurring1_based on steps'!H$1:H$400,0)),H$2,)</f>
        <v>0</v>
      </c>
      <c r="I365" s="179">
        <f ca="1">IF(ISNUMBER(MATCH(DATEVALUE($A365),'recurring1_based on steps'!I$1:I$400,0)),I$2,)</f>
        <v>0</v>
      </c>
      <c r="J365" s="179">
        <f ca="1">IF(ISNUMBER(MATCH(DATEVALUE($A365),'recurring1_based on steps'!J$1:J$400,0)),J$2,)</f>
        <v>0</v>
      </c>
      <c r="K365" s="179">
        <f ca="1">IF(ISNUMBER(MATCH(DATEVALUE($A365),'recurring1_based on steps'!K$1:K$400,0)),K$2,)</f>
        <v>0</v>
      </c>
      <c r="L365" s="179">
        <f ca="1">IF(ISNUMBER(MATCH(DATEVALUE($A365),'recurring1_based on steps'!L$1:L$400,0)),L$2,)</f>
        <v>0</v>
      </c>
      <c r="M365" s="179">
        <f ca="1">IF(ISNUMBER(MATCH(DATEVALUE($A365),'recurring1_based on steps'!M$1:M$400,0)),M$2,)</f>
        <v>0</v>
      </c>
      <c r="N365" s="179">
        <f ca="1">IF(ISNUMBER(MATCH(DATEVALUE($A365),'recurring1_based on steps'!N$1:N$400,0)),N$2,)</f>
        <v>0</v>
      </c>
      <c r="O365" s="179">
        <f ca="1">IF(ISNUMBER(MATCH(DATEVALUE($A365),'recurring1_based on steps'!O$1:O$400,0)),O$2,)</f>
        <v>0</v>
      </c>
      <c r="P365" s="179">
        <f ca="1">IF(ISNUMBER(MATCH(DATEVALUE($A365),'recurring1_based on steps'!P$1:P$400,0)),P$2,)</f>
        <v>0</v>
      </c>
      <c r="Q365" s="179">
        <f ca="1">IF(ISNUMBER(MATCH(DATEVALUE($A365),'recurring1_based on steps'!Q$1:Q$400,0)),Q$2,)</f>
        <v>0</v>
      </c>
      <c r="R365" s="179">
        <f ca="1">IF(ISNUMBER(MATCH(DATEVALUE($A365),'recurring1_based on steps'!R$1:R$400,0)),R$2,)</f>
        <v>0</v>
      </c>
      <c r="S365" s="179">
        <f ca="1">IF(ISNUMBER(MATCH(DATEVALUE($A365),'recurring1_based on steps'!S$1:S$400,0)),S$2,)</f>
        <v>0</v>
      </c>
      <c r="T365" s="179">
        <f ca="1">IF(ISNUMBER(MATCH(DATEVALUE($A365),'recurring1_based on steps'!T$1:T$400,0)),T$2,)</f>
        <v>0</v>
      </c>
      <c r="U365" s="179">
        <f ca="1">IF(ISNUMBER(MATCH(DATEVALUE($A365),'recurring1_based on steps'!U$1:U$400,0)),U$2,)</f>
        <v>0</v>
      </c>
      <c r="V365" s="179">
        <f ca="1">IF(ISNUMBER(MATCH(DATEVALUE($A365),'recurring1_based on steps'!V$1:V$400,0)),V$2,)</f>
        <v>0</v>
      </c>
      <c r="W365" s="179">
        <f ca="1">IF(ISNUMBER(MATCH(DATEVALUE($A365),'recurring1_based on steps'!W$1:W$400,0)),W$2,)</f>
        <v>0</v>
      </c>
      <c r="X365" s="179">
        <f ca="1">IF(ISNUMBER(MATCH(DATEVALUE($A365),'recurring1_based on steps'!X$1:X$400,0)),X$2,)</f>
        <v>0</v>
      </c>
      <c r="Y365" s="179">
        <f ca="1">IF(ISNUMBER(MATCH(DATEVALUE($A365),'recurring1_based on steps'!Y$1:Y$400,0)),Y$2,)</f>
        <v>0</v>
      </c>
      <c r="Z365" s="179">
        <f ca="1">IF(ISNUMBER(MATCH(DATEVALUE($A365),'recurring1_based on steps'!Z$1:Z$400,0)),Z$2,)</f>
        <v>0</v>
      </c>
      <c r="AA365" s="179">
        <f ca="1">IF(ISNUMBER(MATCH(DATEVALUE($A365),'recurring1_based on steps'!AA$1:AA$400,0)),AA$2,)</f>
        <v>0</v>
      </c>
      <c r="AB365" s="179">
        <f ca="1">IF(ISNUMBER(MATCH(DATEVALUE($A365),'recurring1_based on steps'!AB$1:AB$400,0)),AB$2,)</f>
        <v>0</v>
      </c>
      <c r="AC365" s="179">
        <f ca="1">IF(ISNUMBER(MATCH(DATEVALUE($A365),'recurring1_based on steps'!AC$1:AC$400,0)),AC$2,)</f>
        <v>0</v>
      </c>
      <c r="AD365" s="179">
        <f ca="1">IF(ISNUMBER(MATCH(DATEVALUE($A365),'recurring1_based on steps'!AD$1:AD$400,0)),AD$2,)</f>
        <v>0</v>
      </c>
      <c r="AE365" s="179">
        <f ca="1">IF(ISNUMBER(MATCH(DATEVALUE($A365),'recurring1_based on steps'!AE$1:AE$400,0)),AE$2,)</f>
        <v>0</v>
      </c>
      <c r="AF365" s="179">
        <f ca="1">IF(ISNUMBER(MATCH(DATEVALUE($A365),'recurring1_based on steps'!AF$1:AF$400,0)),AF$2,)</f>
        <v>0</v>
      </c>
      <c r="AG365" s="179">
        <f ca="1">IF(ISNUMBER(MATCH(DATEVALUE($A365),'recurring1_based on steps'!AG$1:AG$400,0)),AG$2,)</f>
        <v>0</v>
      </c>
      <c r="AH365" s="179">
        <f ca="1">IF(ISNUMBER(MATCH(DATEVALUE($A365),'recurring1_based on steps'!AH$1:AH$400,0)),AH$2,)</f>
        <v>0</v>
      </c>
      <c r="AI365" s="179">
        <f ca="1">IF(ISNUMBER(MATCH(DATEVALUE($A365),'recurring1_based on steps'!AI$1:AI$400,0)),AI$2,)</f>
        <v>0</v>
      </c>
      <c r="AJ365" s="179">
        <f ca="1">IF(ISNUMBER(MATCH(DATEVALUE($A365),'recurring1_based on steps'!AJ$1:AJ$400,0)),AJ$2,)</f>
        <v>0</v>
      </c>
      <c r="AK365" s="179">
        <f ca="1">IF(ISNUMBER(MATCH(DATEVALUE($A365),'recurring1_based on steps'!AK$1:AK$400,0)),AK$2,)</f>
        <v>0</v>
      </c>
      <c r="AL365" s="179">
        <f ca="1">IF(ISNUMBER(MATCH(DATEVALUE($A365),'recurring1_based on steps'!AL$1:AL$400,0)),AL$2,)</f>
        <v>0</v>
      </c>
      <c r="AM365" s="179">
        <f ca="1">IF(ISNUMBER(MATCH(DATEVALUE($A365),'recurring1_based on steps'!AM$1:AM$400,0)),AM$2,)</f>
        <v>0</v>
      </c>
      <c r="AN365" s="179">
        <f ca="1">IF(ISNUMBER(MATCH(DATEVALUE($A365),'recurring1_based on steps'!AN$1:AN$400,0)),AN$2,)</f>
        <v>0</v>
      </c>
      <c r="AO365" s="179">
        <f ca="1">IF(ISNUMBER(MATCH(DATEVALUE($A365),'recurring1_based on steps'!AO$1:AO$400,0)),AO$2,)</f>
        <v>0</v>
      </c>
      <c r="AP365" s="179">
        <f ca="1">IF(ISNUMBER(MATCH(DATEVALUE($A365),'recurring1_based on steps'!AP$1:AP$400,0)),AP$2,)</f>
        <v>0</v>
      </c>
      <c r="AQ365" s="179">
        <f ca="1">IF(ISNUMBER(MATCH(DATEVALUE($A365),'recurring1_based on steps'!AQ$1:AQ$400,0)),AQ$2,)</f>
        <v>0</v>
      </c>
      <c r="AR365" s="179">
        <f ca="1">IF(ISNUMBER(MATCH(DATEVALUE($A365),'recurring1_based on steps'!AR$1:AR$400,0)),AR$2,)</f>
        <v>0</v>
      </c>
      <c r="AS365" s="179">
        <f ca="1">IF(ISNUMBER(MATCH(DATEVALUE($A365),'recurring1_based on steps'!AS$1:AS$400,0)),AS$2,)</f>
        <v>0</v>
      </c>
      <c r="AT365" s="179">
        <f ca="1">IF(ISNUMBER(MATCH(DATEVALUE($A365),'recurring1_based on steps'!AT$1:AT$400,0)),AT$2,)</f>
        <v>0</v>
      </c>
      <c r="AU365" s="179">
        <f ca="1">IF(ISNUMBER(MATCH(DATEVALUE($A365),'recurring1_based on steps'!AU$1:AU$400,0)),AU$2,)</f>
        <v>0</v>
      </c>
      <c r="AV365" s="179">
        <f ca="1">IF(ISNUMBER(MATCH(DATEVALUE($A365),'recurring1_based on steps'!AV$1:AV$400,0)),AV$2,)</f>
        <v>0</v>
      </c>
      <c r="AW365" s="179">
        <f ca="1">IF(ISNUMBER(MATCH(DATEVALUE($A365),'recurring1_based on steps'!AW$1:AW$400,0)),AW$2,)</f>
        <v>0</v>
      </c>
      <c r="AX365" s="179">
        <f ca="1">IF(ISNUMBER(MATCH(DATEVALUE($A365),'recurring1_based on steps'!AX$1:AX$400,0)),AX$2,)</f>
        <v>0</v>
      </c>
      <c r="AY365" s="179">
        <f ca="1">IF(ISNUMBER(MATCH(DATEVALUE($A365),'recurring1_based on steps'!AY$1:AY$400,0)),AY$2,)</f>
        <v>0</v>
      </c>
    </row>
    <row r="366" spans="1:51" x14ac:dyDescent="0.2">
      <c r="A366" s="32" t="str">
        <f t="shared" ca="1" si="5"/>
        <v>2026-04-03</v>
      </c>
      <c r="B366" s="179">
        <f ca="1">IF(ISNUMBER(MATCH(DATEVALUE($A366),'recurring1_based on steps'!B$1:B$400,0)),B$2,)</f>
        <v>0</v>
      </c>
      <c r="C366" s="179">
        <f ca="1">IF(ISNUMBER(MATCH(DATEVALUE($A366),'recurring1_based on steps'!C$1:C$400,0)),C$2,)</f>
        <v>0</v>
      </c>
      <c r="D366" s="179">
        <f ca="1">IF(ISNUMBER(MATCH(DATEVALUE($A366),'recurring1_based on steps'!D$1:D$400,0)),D$2,)</f>
        <v>0</v>
      </c>
      <c r="E366" s="179">
        <f ca="1">IF(ISNUMBER(MATCH(DATEVALUE($A366),'recurring1_based on steps'!E$1:E$400,0)),E$2,)</f>
        <v>0</v>
      </c>
      <c r="F366" s="179">
        <f ca="1">IF(ISNUMBER(MATCH(DATEVALUE($A366),'recurring1_based on steps'!F$1:F$400,0)),F$2,)</f>
        <v>0</v>
      </c>
      <c r="G366" s="179">
        <f ca="1">IF(ISNUMBER(MATCH(DATEVALUE($A366),'recurring1_based on steps'!G$1:G$400,0)),G$2,)</f>
        <v>0</v>
      </c>
      <c r="H366" s="179">
        <f ca="1">IF(ISNUMBER(MATCH(DATEVALUE($A366),'recurring1_based on steps'!H$1:H$400,0)),H$2,)</f>
        <v>0</v>
      </c>
      <c r="I366" s="179">
        <f ca="1">IF(ISNUMBER(MATCH(DATEVALUE($A366),'recurring1_based on steps'!I$1:I$400,0)),I$2,)</f>
        <v>0</v>
      </c>
      <c r="J366" s="179">
        <f ca="1">IF(ISNUMBER(MATCH(DATEVALUE($A366),'recurring1_based on steps'!J$1:J$400,0)),J$2,)</f>
        <v>0</v>
      </c>
      <c r="K366" s="179">
        <f ca="1">IF(ISNUMBER(MATCH(DATEVALUE($A366),'recurring1_based on steps'!K$1:K$400,0)),K$2,)</f>
        <v>0</v>
      </c>
      <c r="L366" s="179">
        <f ca="1">IF(ISNUMBER(MATCH(DATEVALUE($A366),'recurring1_based on steps'!L$1:L$400,0)),L$2,)</f>
        <v>0</v>
      </c>
      <c r="M366" s="179">
        <f ca="1">IF(ISNUMBER(MATCH(DATEVALUE($A366),'recurring1_based on steps'!M$1:M$400,0)),M$2,)</f>
        <v>0</v>
      </c>
      <c r="N366" s="179">
        <f ca="1">IF(ISNUMBER(MATCH(DATEVALUE($A366),'recurring1_based on steps'!N$1:N$400,0)),N$2,)</f>
        <v>0</v>
      </c>
      <c r="O366" s="179">
        <f ca="1">IF(ISNUMBER(MATCH(DATEVALUE($A366),'recurring1_based on steps'!O$1:O$400,0)),O$2,)</f>
        <v>0</v>
      </c>
      <c r="P366" s="179">
        <f ca="1">IF(ISNUMBER(MATCH(DATEVALUE($A366),'recurring1_based on steps'!P$1:P$400,0)),P$2,)</f>
        <v>0</v>
      </c>
      <c r="Q366" s="179">
        <f ca="1">IF(ISNUMBER(MATCH(DATEVALUE($A366),'recurring1_based on steps'!Q$1:Q$400,0)),Q$2,)</f>
        <v>0</v>
      </c>
      <c r="R366" s="179">
        <f ca="1">IF(ISNUMBER(MATCH(DATEVALUE($A366),'recurring1_based on steps'!R$1:R$400,0)),R$2,)</f>
        <v>0</v>
      </c>
      <c r="S366" s="179">
        <f ca="1">IF(ISNUMBER(MATCH(DATEVALUE($A366),'recurring1_based on steps'!S$1:S$400,0)),S$2,)</f>
        <v>0</v>
      </c>
      <c r="T366" s="179">
        <f ca="1">IF(ISNUMBER(MATCH(DATEVALUE($A366),'recurring1_based on steps'!T$1:T$400,0)),T$2,)</f>
        <v>0</v>
      </c>
      <c r="U366" s="179">
        <f ca="1">IF(ISNUMBER(MATCH(DATEVALUE($A366),'recurring1_based on steps'!U$1:U$400,0)),U$2,)</f>
        <v>0</v>
      </c>
      <c r="V366" s="179">
        <f ca="1">IF(ISNUMBER(MATCH(DATEVALUE($A366),'recurring1_based on steps'!V$1:V$400,0)),V$2,)</f>
        <v>0</v>
      </c>
      <c r="W366" s="179">
        <f ca="1">IF(ISNUMBER(MATCH(DATEVALUE($A366),'recurring1_based on steps'!W$1:W$400,0)),W$2,)</f>
        <v>0</v>
      </c>
      <c r="X366" s="179">
        <f ca="1">IF(ISNUMBER(MATCH(DATEVALUE($A366),'recurring1_based on steps'!X$1:X$400,0)),X$2,)</f>
        <v>0</v>
      </c>
      <c r="Y366" s="179">
        <f ca="1">IF(ISNUMBER(MATCH(DATEVALUE($A366),'recurring1_based on steps'!Y$1:Y$400,0)),Y$2,)</f>
        <v>0</v>
      </c>
      <c r="Z366" s="179">
        <f ca="1">IF(ISNUMBER(MATCH(DATEVALUE($A366),'recurring1_based on steps'!Z$1:Z$400,0)),Z$2,)</f>
        <v>0</v>
      </c>
      <c r="AA366" s="179">
        <f ca="1">IF(ISNUMBER(MATCH(DATEVALUE($A366),'recurring1_based on steps'!AA$1:AA$400,0)),AA$2,)</f>
        <v>0</v>
      </c>
      <c r="AB366" s="179">
        <f ca="1">IF(ISNUMBER(MATCH(DATEVALUE($A366),'recurring1_based on steps'!AB$1:AB$400,0)),AB$2,)</f>
        <v>0</v>
      </c>
      <c r="AC366" s="179">
        <f ca="1">IF(ISNUMBER(MATCH(DATEVALUE($A366),'recurring1_based on steps'!AC$1:AC$400,0)),AC$2,)</f>
        <v>0</v>
      </c>
      <c r="AD366" s="179">
        <f ca="1">IF(ISNUMBER(MATCH(DATEVALUE($A366),'recurring1_based on steps'!AD$1:AD$400,0)),AD$2,)</f>
        <v>0</v>
      </c>
      <c r="AE366" s="179">
        <f ca="1">IF(ISNUMBER(MATCH(DATEVALUE($A366),'recurring1_based on steps'!AE$1:AE$400,0)),AE$2,)</f>
        <v>0</v>
      </c>
      <c r="AF366" s="179">
        <f ca="1">IF(ISNUMBER(MATCH(DATEVALUE($A366),'recurring1_based on steps'!AF$1:AF$400,0)),AF$2,)</f>
        <v>0</v>
      </c>
      <c r="AG366" s="179">
        <f ca="1">IF(ISNUMBER(MATCH(DATEVALUE($A366),'recurring1_based on steps'!AG$1:AG$400,0)),AG$2,)</f>
        <v>0</v>
      </c>
      <c r="AH366" s="179">
        <f ca="1">IF(ISNUMBER(MATCH(DATEVALUE($A366),'recurring1_based on steps'!AH$1:AH$400,0)),AH$2,)</f>
        <v>0</v>
      </c>
      <c r="AI366" s="179">
        <f ca="1">IF(ISNUMBER(MATCH(DATEVALUE($A366),'recurring1_based on steps'!AI$1:AI$400,0)),AI$2,)</f>
        <v>0</v>
      </c>
      <c r="AJ366" s="179">
        <f ca="1">IF(ISNUMBER(MATCH(DATEVALUE($A366),'recurring1_based on steps'!AJ$1:AJ$400,0)),AJ$2,)</f>
        <v>0</v>
      </c>
      <c r="AK366" s="179">
        <f ca="1">IF(ISNUMBER(MATCH(DATEVALUE($A366),'recurring1_based on steps'!AK$1:AK$400,0)),AK$2,)</f>
        <v>0</v>
      </c>
      <c r="AL366" s="179">
        <f ca="1">IF(ISNUMBER(MATCH(DATEVALUE($A366),'recurring1_based on steps'!AL$1:AL$400,0)),AL$2,)</f>
        <v>0</v>
      </c>
      <c r="AM366" s="179">
        <f ca="1">IF(ISNUMBER(MATCH(DATEVALUE($A366),'recurring1_based on steps'!AM$1:AM$400,0)),AM$2,)</f>
        <v>0</v>
      </c>
      <c r="AN366" s="179">
        <f ca="1">IF(ISNUMBER(MATCH(DATEVALUE($A366),'recurring1_based on steps'!AN$1:AN$400,0)),AN$2,)</f>
        <v>0</v>
      </c>
      <c r="AO366" s="179">
        <f ca="1">IF(ISNUMBER(MATCH(DATEVALUE($A366),'recurring1_based on steps'!AO$1:AO$400,0)),AO$2,)</f>
        <v>0</v>
      </c>
      <c r="AP366" s="179">
        <f ca="1">IF(ISNUMBER(MATCH(DATEVALUE($A366),'recurring1_based on steps'!AP$1:AP$400,0)),AP$2,)</f>
        <v>0</v>
      </c>
      <c r="AQ366" s="179">
        <f ca="1">IF(ISNUMBER(MATCH(DATEVALUE($A366),'recurring1_based on steps'!AQ$1:AQ$400,0)),AQ$2,)</f>
        <v>0</v>
      </c>
      <c r="AR366" s="179">
        <f ca="1">IF(ISNUMBER(MATCH(DATEVALUE($A366),'recurring1_based on steps'!AR$1:AR$400,0)),AR$2,)</f>
        <v>0</v>
      </c>
      <c r="AS366" s="179">
        <f ca="1">IF(ISNUMBER(MATCH(DATEVALUE($A366),'recurring1_based on steps'!AS$1:AS$400,0)),AS$2,)</f>
        <v>0</v>
      </c>
      <c r="AT366" s="179">
        <f ca="1">IF(ISNUMBER(MATCH(DATEVALUE($A366),'recurring1_based on steps'!AT$1:AT$400,0)),AT$2,)</f>
        <v>0</v>
      </c>
      <c r="AU366" s="179">
        <f ca="1">IF(ISNUMBER(MATCH(DATEVALUE($A366),'recurring1_based on steps'!AU$1:AU$400,0)),AU$2,)</f>
        <v>0</v>
      </c>
      <c r="AV366" s="179">
        <f ca="1">IF(ISNUMBER(MATCH(DATEVALUE($A366),'recurring1_based on steps'!AV$1:AV$400,0)),AV$2,)</f>
        <v>0</v>
      </c>
      <c r="AW366" s="179">
        <f ca="1">IF(ISNUMBER(MATCH(DATEVALUE($A366),'recurring1_based on steps'!AW$1:AW$400,0)),AW$2,)</f>
        <v>0</v>
      </c>
      <c r="AX366" s="179">
        <f ca="1">IF(ISNUMBER(MATCH(DATEVALUE($A366),'recurring1_based on steps'!AX$1:AX$400,0)),AX$2,)</f>
        <v>0</v>
      </c>
      <c r="AY366" s="179">
        <f ca="1">IF(ISNUMBER(MATCH(DATEVALUE($A366),'recurring1_based on steps'!AY$1:AY$400,0)),AY$2,)</f>
        <v>0</v>
      </c>
    </row>
    <row r="367" spans="1:51" x14ac:dyDescent="0.2">
      <c r="A367" s="32" t="str">
        <f t="shared" ca="1" si="5"/>
        <v>2026-04-04</v>
      </c>
      <c r="B367" s="179">
        <f ca="1">IF(ISNUMBER(MATCH(DATEVALUE($A367),'recurring1_based on steps'!B$1:B$400,0)),B$2,)</f>
        <v>0</v>
      </c>
      <c r="C367" s="179">
        <f ca="1">IF(ISNUMBER(MATCH(DATEVALUE($A367),'recurring1_based on steps'!C$1:C$400,0)),C$2,)</f>
        <v>0</v>
      </c>
      <c r="D367" s="179">
        <f ca="1">IF(ISNUMBER(MATCH(DATEVALUE($A367),'recurring1_based on steps'!D$1:D$400,0)),D$2,)</f>
        <v>0</v>
      </c>
      <c r="E367" s="179">
        <f ca="1">IF(ISNUMBER(MATCH(DATEVALUE($A367),'recurring1_based on steps'!E$1:E$400,0)),E$2,)</f>
        <v>0</v>
      </c>
      <c r="F367" s="179">
        <f ca="1">IF(ISNUMBER(MATCH(DATEVALUE($A367),'recurring1_based on steps'!F$1:F$400,0)),F$2,)</f>
        <v>0</v>
      </c>
      <c r="G367" s="179">
        <f ca="1">IF(ISNUMBER(MATCH(DATEVALUE($A367),'recurring1_based on steps'!G$1:G$400,0)),G$2,)</f>
        <v>0</v>
      </c>
      <c r="H367" s="179">
        <f ca="1">IF(ISNUMBER(MATCH(DATEVALUE($A367),'recurring1_based on steps'!H$1:H$400,0)),H$2,)</f>
        <v>0</v>
      </c>
      <c r="I367" s="179">
        <f ca="1">IF(ISNUMBER(MATCH(DATEVALUE($A367),'recurring1_based on steps'!I$1:I$400,0)),I$2,)</f>
        <v>0</v>
      </c>
      <c r="J367" s="179">
        <f ca="1">IF(ISNUMBER(MATCH(DATEVALUE($A367),'recurring1_based on steps'!J$1:J$400,0)),J$2,)</f>
        <v>0</v>
      </c>
      <c r="K367" s="179">
        <f ca="1">IF(ISNUMBER(MATCH(DATEVALUE($A367),'recurring1_based on steps'!K$1:K$400,0)),K$2,)</f>
        <v>0</v>
      </c>
      <c r="L367" s="179">
        <f ca="1">IF(ISNUMBER(MATCH(DATEVALUE($A367),'recurring1_based on steps'!L$1:L$400,0)),L$2,)</f>
        <v>0</v>
      </c>
      <c r="M367" s="179">
        <f ca="1">IF(ISNUMBER(MATCH(DATEVALUE($A367),'recurring1_based on steps'!M$1:M$400,0)),M$2,)</f>
        <v>0</v>
      </c>
      <c r="N367" s="179">
        <f ca="1">IF(ISNUMBER(MATCH(DATEVALUE($A367),'recurring1_based on steps'!N$1:N$400,0)),N$2,)</f>
        <v>0</v>
      </c>
      <c r="O367" s="179">
        <f ca="1">IF(ISNUMBER(MATCH(DATEVALUE($A367),'recurring1_based on steps'!O$1:O$400,0)),O$2,)</f>
        <v>0</v>
      </c>
      <c r="P367" s="179">
        <f ca="1">IF(ISNUMBER(MATCH(DATEVALUE($A367),'recurring1_based on steps'!P$1:P$400,0)),P$2,)</f>
        <v>0</v>
      </c>
      <c r="Q367" s="179">
        <f ca="1">IF(ISNUMBER(MATCH(DATEVALUE($A367),'recurring1_based on steps'!Q$1:Q$400,0)),Q$2,)</f>
        <v>0</v>
      </c>
      <c r="R367" s="179">
        <f ca="1">IF(ISNUMBER(MATCH(DATEVALUE($A367),'recurring1_based on steps'!R$1:R$400,0)),R$2,)</f>
        <v>0</v>
      </c>
      <c r="S367" s="179">
        <f ca="1">IF(ISNUMBER(MATCH(DATEVALUE($A367),'recurring1_based on steps'!S$1:S$400,0)),S$2,)</f>
        <v>0</v>
      </c>
      <c r="T367" s="179">
        <f ca="1">IF(ISNUMBER(MATCH(DATEVALUE($A367),'recurring1_based on steps'!T$1:T$400,0)),T$2,)</f>
        <v>0</v>
      </c>
      <c r="U367" s="179">
        <f ca="1">IF(ISNUMBER(MATCH(DATEVALUE($A367),'recurring1_based on steps'!U$1:U$400,0)),U$2,)</f>
        <v>0</v>
      </c>
      <c r="V367" s="179">
        <f ca="1">IF(ISNUMBER(MATCH(DATEVALUE($A367),'recurring1_based on steps'!V$1:V$400,0)),V$2,)</f>
        <v>0</v>
      </c>
      <c r="W367" s="179">
        <f ca="1">IF(ISNUMBER(MATCH(DATEVALUE($A367),'recurring1_based on steps'!W$1:W$400,0)),W$2,)</f>
        <v>0</v>
      </c>
      <c r="X367" s="179">
        <f ca="1">IF(ISNUMBER(MATCH(DATEVALUE($A367),'recurring1_based on steps'!X$1:X$400,0)),X$2,)</f>
        <v>0</v>
      </c>
      <c r="Y367" s="179">
        <f ca="1">IF(ISNUMBER(MATCH(DATEVALUE($A367),'recurring1_based on steps'!Y$1:Y$400,0)),Y$2,)</f>
        <v>0</v>
      </c>
      <c r="Z367" s="179">
        <f ca="1">IF(ISNUMBER(MATCH(DATEVALUE($A367),'recurring1_based on steps'!Z$1:Z$400,0)),Z$2,)</f>
        <v>0</v>
      </c>
      <c r="AA367" s="179">
        <f ca="1">IF(ISNUMBER(MATCH(DATEVALUE($A367),'recurring1_based on steps'!AA$1:AA$400,0)),AA$2,)</f>
        <v>0</v>
      </c>
      <c r="AB367" s="179">
        <f ca="1">IF(ISNUMBER(MATCH(DATEVALUE($A367),'recurring1_based on steps'!AB$1:AB$400,0)),AB$2,)</f>
        <v>0</v>
      </c>
      <c r="AC367" s="179">
        <f ca="1">IF(ISNUMBER(MATCH(DATEVALUE($A367),'recurring1_based on steps'!AC$1:AC$400,0)),AC$2,)</f>
        <v>0</v>
      </c>
      <c r="AD367" s="179">
        <f ca="1">IF(ISNUMBER(MATCH(DATEVALUE($A367),'recurring1_based on steps'!AD$1:AD$400,0)),AD$2,)</f>
        <v>0</v>
      </c>
      <c r="AE367" s="179">
        <f ca="1">IF(ISNUMBER(MATCH(DATEVALUE($A367),'recurring1_based on steps'!AE$1:AE$400,0)),AE$2,)</f>
        <v>0</v>
      </c>
      <c r="AF367" s="179">
        <f ca="1">IF(ISNUMBER(MATCH(DATEVALUE($A367),'recurring1_based on steps'!AF$1:AF$400,0)),AF$2,)</f>
        <v>0</v>
      </c>
      <c r="AG367" s="179">
        <f ca="1">IF(ISNUMBER(MATCH(DATEVALUE($A367),'recurring1_based on steps'!AG$1:AG$400,0)),AG$2,)</f>
        <v>0</v>
      </c>
      <c r="AH367" s="179">
        <f ca="1">IF(ISNUMBER(MATCH(DATEVALUE($A367),'recurring1_based on steps'!AH$1:AH$400,0)),AH$2,)</f>
        <v>0</v>
      </c>
      <c r="AI367" s="179">
        <f ca="1">IF(ISNUMBER(MATCH(DATEVALUE($A367),'recurring1_based on steps'!AI$1:AI$400,0)),AI$2,)</f>
        <v>0</v>
      </c>
      <c r="AJ367" s="179">
        <f ca="1">IF(ISNUMBER(MATCH(DATEVALUE($A367),'recurring1_based on steps'!AJ$1:AJ$400,0)),AJ$2,)</f>
        <v>0</v>
      </c>
      <c r="AK367" s="179">
        <f ca="1">IF(ISNUMBER(MATCH(DATEVALUE($A367),'recurring1_based on steps'!AK$1:AK$400,0)),AK$2,)</f>
        <v>0</v>
      </c>
      <c r="AL367" s="179">
        <f ca="1">IF(ISNUMBER(MATCH(DATEVALUE($A367),'recurring1_based on steps'!AL$1:AL$400,0)),AL$2,)</f>
        <v>0</v>
      </c>
      <c r="AM367" s="179">
        <f ca="1">IF(ISNUMBER(MATCH(DATEVALUE($A367),'recurring1_based on steps'!AM$1:AM$400,0)),AM$2,)</f>
        <v>0</v>
      </c>
      <c r="AN367" s="179">
        <f ca="1">IF(ISNUMBER(MATCH(DATEVALUE($A367),'recurring1_based on steps'!AN$1:AN$400,0)),AN$2,)</f>
        <v>0</v>
      </c>
      <c r="AO367" s="179">
        <f ca="1">IF(ISNUMBER(MATCH(DATEVALUE($A367),'recurring1_based on steps'!AO$1:AO$400,0)),AO$2,)</f>
        <v>0</v>
      </c>
      <c r="AP367" s="179">
        <f ca="1">IF(ISNUMBER(MATCH(DATEVALUE($A367),'recurring1_based on steps'!AP$1:AP$400,0)),AP$2,)</f>
        <v>0</v>
      </c>
      <c r="AQ367" s="179">
        <f ca="1">IF(ISNUMBER(MATCH(DATEVALUE($A367),'recurring1_based on steps'!AQ$1:AQ$400,0)),AQ$2,)</f>
        <v>0</v>
      </c>
      <c r="AR367" s="179">
        <f ca="1">IF(ISNUMBER(MATCH(DATEVALUE($A367),'recurring1_based on steps'!AR$1:AR$400,0)),AR$2,)</f>
        <v>0</v>
      </c>
      <c r="AS367" s="179">
        <f ca="1">IF(ISNUMBER(MATCH(DATEVALUE($A367),'recurring1_based on steps'!AS$1:AS$400,0)),AS$2,)</f>
        <v>0</v>
      </c>
      <c r="AT367" s="179">
        <f ca="1">IF(ISNUMBER(MATCH(DATEVALUE($A367),'recurring1_based on steps'!AT$1:AT$400,0)),AT$2,)</f>
        <v>0</v>
      </c>
      <c r="AU367" s="179">
        <f ca="1">IF(ISNUMBER(MATCH(DATEVALUE($A367),'recurring1_based on steps'!AU$1:AU$400,0)),AU$2,)</f>
        <v>0</v>
      </c>
      <c r="AV367" s="179">
        <f ca="1">IF(ISNUMBER(MATCH(DATEVALUE($A367),'recurring1_based on steps'!AV$1:AV$400,0)),AV$2,)</f>
        <v>0</v>
      </c>
      <c r="AW367" s="179">
        <f ca="1">IF(ISNUMBER(MATCH(DATEVALUE($A367),'recurring1_based on steps'!AW$1:AW$400,0)),AW$2,)</f>
        <v>0</v>
      </c>
      <c r="AX367" s="179">
        <f ca="1">IF(ISNUMBER(MATCH(DATEVALUE($A367),'recurring1_based on steps'!AX$1:AX$400,0)),AX$2,)</f>
        <v>0</v>
      </c>
      <c r="AY367" s="179">
        <f ca="1">IF(ISNUMBER(MATCH(DATEVALUE($A367),'recurring1_based on steps'!AY$1:AY$400,0)),AY$2,)</f>
        <v>0</v>
      </c>
    </row>
    <row r="368" spans="1:51" x14ac:dyDescent="0.2">
      <c r="A368" s="32" t="str">
        <f t="shared" ca="1" si="5"/>
        <v>2026-04-05</v>
      </c>
      <c r="B368" s="179">
        <f ca="1">IF(ISNUMBER(MATCH(DATEVALUE($A368),'recurring1_based on steps'!B$1:B$400,0)),B$2,)</f>
        <v>0</v>
      </c>
      <c r="C368" s="179">
        <f ca="1">IF(ISNUMBER(MATCH(DATEVALUE($A368),'recurring1_based on steps'!C$1:C$400,0)),C$2,)</f>
        <v>0</v>
      </c>
      <c r="D368" s="179">
        <f ca="1">IF(ISNUMBER(MATCH(DATEVALUE($A368),'recurring1_based on steps'!D$1:D$400,0)),D$2,)</f>
        <v>0</v>
      </c>
      <c r="E368" s="179">
        <f ca="1">IF(ISNUMBER(MATCH(DATEVALUE($A368),'recurring1_based on steps'!E$1:E$400,0)),E$2,)</f>
        <v>0</v>
      </c>
      <c r="F368" s="179">
        <f ca="1">IF(ISNUMBER(MATCH(DATEVALUE($A368),'recurring1_based on steps'!F$1:F$400,0)),F$2,)</f>
        <v>0</v>
      </c>
      <c r="G368" s="179">
        <f ca="1">IF(ISNUMBER(MATCH(DATEVALUE($A368),'recurring1_based on steps'!G$1:G$400,0)),G$2,)</f>
        <v>0</v>
      </c>
      <c r="H368" s="179">
        <f ca="1">IF(ISNUMBER(MATCH(DATEVALUE($A368),'recurring1_based on steps'!H$1:H$400,0)),H$2,)</f>
        <v>0</v>
      </c>
      <c r="I368" s="179">
        <f ca="1">IF(ISNUMBER(MATCH(DATEVALUE($A368),'recurring1_based on steps'!I$1:I$400,0)),I$2,)</f>
        <v>0</v>
      </c>
      <c r="J368" s="179">
        <f ca="1">IF(ISNUMBER(MATCH(DATEVALUE($A368),'recurring1_based on steps'!J$1:J$400,0)),J$2,)</f>
        <v>0</v>
      </c>
      <c r="K368" s="179">
        <f ca="1">IF(ISNUMBER(MATCH(DATEVALUE($A368),'recurring1_based on steps'!K$1:K$400,0)),K$2,)</f>
        <v>0</v>
      </c>
      <c r="L368" s="179">
        <f ca="1">IF(ISNUMBER(MATCH(DATEVALUE($A368),'recurring1_based on steps'!L$1:L$400,0)),L$2,)</f>
        <v>0</v>
      </c>
      <c r="M368" s="179">
        <f ca="1">IF(ISNUMBER(MATCH(DATEVALUE($A368),'recurring1_based on steps'!M$1:M$400,0)),M$2,)</f>
        <v>0</v>
      </c>
      <c r="N368" s="179">
        <f ca="1">IF(ISNUMBER(MATCH(DATEVALUE($A368),'recurring1_based on steps'!N$1:N$400,0)),N$2,)</f>
        <v>0</v>
      </c>
      <c r="O368" s="179">
        <f ca="1">IF(ISNUMBER(MATCH(DATEVALUE($A368),'recurring1_based on steps'!O$1:O$400,0)),O$2,)</f>
        <v>0</v>
      </c>
      <c r="P368" s="179">
        <f ca="1">IF(ISNUMBER(MATCH(DATEVALUE($A368),'recurring1_based on steps'!P$1:P$400,0)),P$2,)</f>
        <v>0</v>
      </c>
      <c r="Q368" s="179">
        <f ca="1">IF(ISNUMBER(MATCH(DATEVALUE($A368),'recurring1_based on steps'!Q$1:Q$400,0)),Q$2,)</f>
        <v>0</v>
      </c>
      <c r="R368" s="179">
        <f ca="1">IF(ISNUMBER(MATCH(DATEVALUE($A368),'recurring1_based on steps'!R$1:R$400,0)),R$2,)</f>
        <v>0</v>
      </c>
      <c r="S368" s="179">
        <f ca="1">IF(ISNUMBER(MATCH(DATEVALUE($A368),'recurring1_based on steps'!S$1:S$400,0)),S$2,)</f>
        <v>0</v>
      </c>
      <c r="T368" s="179">
        <f ca="1">IF(ISNUMBER(MATCH(DATEVALUE($A368),'recurring1_based on steps'!T$1:T$400,0)),T$2,)</f>
        <v>0</v>
      </c>
      <c r="U368" s="179">
        <f ca="1">IF(ISNUMBER(MATCH(DATEVALUE($A368),'recurring1_based on steps'!U$1:U$400,0)),U$2,)</f>
        <v>0</v>
      </c>
      <c r="V368" s="179">
        <f ca="1">IF(ISNUMBER(MATCH(DATEVALUE($A368),'recurring1_based on steps'!V$1:V$400,0)),V$2,)</f>
        <v>0</v>
      </c>
      <c r="W368" s="179">
        <f ca="1">IF(ISNUMBER(MATCH(DATEVALUE($A368),'recurring1_based on steps'!W$1:W$400,0)),W$2,)</f>
        <v>0</v>
      </c>
      <c r="X368" s="179">
        <f ca="1">IF(ISNUMBER(MATCH(DATEVALUE($A368),'recurring1_based on steps'!X$1:X$400,0)),X$2,)</f>
        <v>0</v>
      </c>
      <c r="Y368" s="179">
        <f ca="1">IF(ISNUMBER(MATCH(DATEVALUE($A368),'recurring1_based on steps'!Y$1:Y$400,0)),Y$2,)</f>
        <v>0</v>
      </c>
      <c r="Z368" s="179">
        <f ca="1">IF(ISNUMBER(MATCH(DATEVALUE($A368),'recurring1_based on steps'!Z$1:Z$400,0)),Z$2,)</f>
        <v>0</v>
      </c>
      <c r="AA368" s="179">
        <f ca="1">IF(ISNUMBER(MATCH(DATEVALUE($A368),'recurring1_based on steps'!AA$1:AA$400,0)),AA$2,)</f>
        <v>0</v>
      </c>
      <c r="AB368" s="179">
        <f ca="1">IF(ISNUMBER(MATCH(DATEVALUE($A368),'recurring1_based on steps'!AB$1:AB$400,0)),AB$2,)</f>
        <v>0</v>
      </c>
      <c r="AC368" s="179">
        <f ca="1">IF(ISNUMBER(MATCH(DATEVALUE($A368),'recurring1_based on steps'!AC$1:AC$400,0)),AC$2,)</f>
        <v>0</v>
      </c>
      <c r="AD368" s="179">
        <f ca="1">IF(ISNUMBER(MATCH(DATEVALUE($A368),'recurring1_based on steps'!AD$1:AD$400,0)),AD$2,)</f>
        <v>0</v>
      </c>
      <c r="AE368" s="179">
        <f ca="1">IF(ISNUMBER(MATCH(DATEVALUE($A368),'recurring1_based on steps'!AE$1:AE$400,0)),AE$2,)</f>
        <v>0</v>
      </c>
      <c r="AF368" s="179">
        <f ca="1">IF(ISNUMBER(MATCH(DATEVALUE($A368),'recurring1_based on steps'!AF$1:AF$400,0)),AF$2,)</f>
        <v>0</v>
      </c>
      <c r="AG368" s="179">
        <f ca="1">IF(ISNUMBER(MATCH(DATEVALUE($A368),'recurring1_based on steps'!AG$1:AG$400,0)),AG$2,)</f>
        <v>0</v>
      </c>
      <c r="AH368" s="179">
        <f ca="1">IF(ISNUMBER(MATCH(DATEVALUE($A368),'recurring1_based on steps'!AH$1:AH$400,0)),AH$2,)</f>
        <v>0</v>
      </c>
      <c r="AI368" s="179">
        <f ca="1">IF(ISNUMBER(MATCH(DATEVALUE($A368),'recurring1_based on steps'!AI$1:AI$400,0)),AI$2,)</f>
        <v>0</v>
      </c>
      <c r="AJ368" s="179">
        <f ca="1">IF(ISNUMBER(MATCH(DATEVALUE($A368),'recurring1_based on steps'!AJ$1:AJ$400,0)),AJ$2,)</f>
        <v>0</v>
      </c>
      <c r="AK368" s="179">
        <f ca="1">IF(ISNUMBER(MATCH(DATEVALUE($A368),'recurring1_based on steps'!AK$1:AK$400,0)),AK$2,)</f>
        <v>0</v>
      </c>
      <c r="AL368" s="179">
        <f ca="1">IF(ISNUMBER(MATCH(DATEVALUE($A368),'recurring1_based on steps'!AL$1:AL$400,0)),AL$2,)</f>
        <v>0</v>
      </c>
      <c r="AM368" s="179">
        <f ca="1">IF(ISNUMBER(MATCH(DATEVALUE($A368),'recurring1_based on steps'!AM$1:AM$400,0)),AM$2,)</f>
        <v>0</v>
      </c>
      <c r="AN368" s="179">
        <f ca="1">IF(ISNUMBER(MATCH(DATEVALUE($A368),'recurring1_based on steps'!AN$1:AN$400,0)),AN$2,)</f>
        <v>0</v>
      </c>
      <c r="AO368" s="179">
        <f ca="1">IF(ISNUMBER(MATCH(DATEVALUE($A368),'recurring1_based on steps'!AO$1:AO$400,0)),AO$2,)</f>
        <v>0</v>
      </c>
      <c r="AP368" s="179">
        <f ca="1">IF(ISNUMBER(MATCH(DATEVALUE($A368),'recurring1_based on steps'!AP$1:AP$400,0)),AP$2,)</f>
        <v>0</v>
      </c>
      <c r="AQ368" s="179">
        <f ca="1">IF(ISNUMBER(MATCH(DATEVALUE($A368),'recurring1_based on steps'!AQ$1:AQ$400,0)),AQ$2,)</f>
        <v>0</v>
      </c>
      <c r="AR368" s="179">
        <f ca="1">IF(ISNUMBER(MATCH(DATEVALUE($A368),'recurring1_based on steps'!AR$1:AR$400,0)),AR$2,)</f>
        <v>0</v>
      </c>
      <c r="AS368" s="179">
        <f ca="1">IF(ISNUMBER(MATCH(DATEVALUE($A368),'recurring1_based on steps'!AS$1:AS$400,0)),AS$2,)</f>
        <v>0</v>
      </c>
      <c r="AT368" s="179">
        <f ca="1">IF(ISNUMBER(MATCH(DATEVALUE($A368),'recurring1_based on steps'!AT$1:AT$400,0)),AT$2,)</f>
        <v>0</v>
      </c>
      <c r="AU368" s="179">
        <f ca="1">IF(ISNUMBER(MATCH(DATEVALUE($A368),'recurring1_based on steps'!AU$1:AU$400,0)),AU$2,)</f>
        <v>0</v>
      </c>
      <c r="AV368" s="179">
        <f ca="1">IF(ISNUMBER(MATCH(DATEVALUE($A368),'recurring1_based on steps'!AV$1:AV$400,0)),AV$2,)</f>
        <v>0</v>
      </c>
      <c r="AW368" s="179">
        <f ca="1">IF(ISNUMBER(MATCH(DATEVALUE($A368),'recurring1_based on steps'!AW$1:AW$400,0)),AW$2,)</f>
        <v>0</v>
      </c>
      <c r="AX368" s="179">
        <f ca="1">IF(ISNUMBER(MATCH(DATEVALUE($A368),'recurring1_based on steps'!AX$1:AX$400,0)),AX$2,)</f>
        <v>0</v>
      </c>
      <c r="AY368" s="179">
        <f ca="1">IF(ISNUMBER(MATCH(DATEVALUE($A368),'recurring1_based on steps'!AY$1:AY$400,0)),AY$2,)</f>
        <v>0</v>
      </c>
    </row>
    <row r="369" spans="1:51" x14ac:dyDescent="0.2">
      <c r="A369" s="32" t="str">
        <f t="shared" ca="1" si="5"/>
        <v>2026-04-06</v>
      </c>
      <c r="B369" s="179">
        <f ca="1">IF(ISNUMBER(MATCH(DATEVALUE($A369),'recurring1_based on steps'!B$1:B$400,0)),B$2,)</f>
        <v>0</v>
      </c>
      <c r="C369" s="179">
        <f ca="1">IF(ISNUMBER(MATCH(DATEVALUE($A369),'recurring1_based on steps'!C$1:C$400,0)),C$2,)</f>
        <v>0</v>
      </c>
      <c r="D369" s="179">
        <f ca="1">IF(ISNUMBER(MATCH(DATEVALUE($A369),'recurring1_based on steps'!D$1:D$400,0)),D$2,)</f>
        <v>0</v>
      </c>
      <c r="E369" s="179">
        <f ca="1">IF(ISNUMBER(MATCH(DATEVALUE($A369),'recurring1_based on steps'!E$1:E$400,0)),E$2,)</f>
        <v>0</v>
      </c>
      <c r="F369" s="179">
        <f ca="1">IF(ISNUMBER(MATCH(DATEVALUE($A369),'recurring1_based on steps'!F$1:F$400,0)),F$2,)</f>
        <v>0</v>
      </c>
      <c r="G369" s="179">
        <f ca="1">IF(ISNUMBER(MATCH(DATEVALUE($A369),'recurring1_based on steps'!G$1:G$400,0)),G$2,)</f>
        <v>0</v>
      </c>
      <c r="H369" s="179">
        <f ca="1">IF(ISNUMBER(MATCH(DATEVALUE($A369),'recurring1_based on steps'!H$1:H$400,0)),H$2,)</f>
        <v>0</v>
      </c>
      <c r="I369" s="179">
        <f ca="1">IF(ISNUMBER(MATCH(DATEVALUE($A369),'recurring1_based on steps'!I$1:I$400,0)),I$2,)</f>
        <v>0</v>
      </c>
      <c r="J369" s="179">
        <f ca="1">IF(ISNUMBER(MATCH(DATEVALUE($A369),'recurring1_based on steps'!J$1:J$400,0)),J$2,)</f>
        <v>0</v>
      </c>
      <c r="K369" s="179">
        <f ca="1">IF(ISNUMBER(MATCH(DATEVALUE($A369),'recurring1_based on steps'!K$1:K$400,0)),K$2,)</f>
        <v>0</v>
      </c>
      <c r="L369" s="179">
        <f ca="1">IF(ISNUMBER(MATCH(DATEVALUE($A369),'recurring1_based on steps'!L$1:L$400,0)),L$2,)</f>
        <v>0</v>
      </c>
      <c r="M369" s="179">
        <f ca="1">IF(ISNUMBER(MATCH(DATEVALUE($A369),'recurring1_based on steps'!M$1:M$400,0)),M$2,)</f>
        <v>0</v>
      </c>
      <c r="N369" s="179">
        <f ca="1">IF(ISNUMBER(MATCH(DATEVALUE($A369),'recurring1_based on steps'!N$1:N$400,0)),N$2,)</f>
        <v>0</v>
      </c>
      <c r="O369" s="179">
        <f ca="1">IF(ISNUMBER(MATCH(DATEVALUE($A369),'recurring1_based on steps'!O$1:O$400,0)),O$2,)</f>
        <v>0</v>
      </c>
      <c r="P369" s="179">
        <f ca="1">IF(ISNUMBER(MATCH(DATEVALUE($A369),'recurring1_based on steps'!P$1:P$400,0)),P$2,)</f>
        <v>0</v>
      </c>
      <c r="Q369" s="179">
        <f ca="1">IF(ISNUMBER(MATCH(DATEVALUE($A369),'recurring1_based on steps'!Q$1:Q$400,0)),Q$2,)</f>
        <v>0</v>
      </c>
      <c r="R369" s="179">
        <f ca="1">IF(ISNUMBER(MATCH(DATEVALUE($A369),'recurring1_based on steps'!R$1:R$400,0)),R$2,)</f>
        <v>0</v>
      </c>
      <c r="S369" s="179">
        <f ca="1">IF(ISNUMBER(MATCH(DATEVALUE($A369),'recurring1_based on steps'!S$1:S$400,0)),S$2,)</f>
        <v>0</v>
      </c>
      <c r="T369" s="179">
        <f ca="1">IF(ISNUMBER(MATCH(DATEVALUE($A369),'recurring1_based on steps'!T$1:T$400,0)),T$2,)</f>
        <v>0</v>
      </c>
      <c r="U369" s="179">
        <f ca="1">IF(ISNUMBER(MATCH(DATEVALUE($A369),'recurring1_based on steps'!U$1:U$400,0)),U$2,)</f>
        <v>0</v>
      </c>
      <c r="V369" s="179">
        <f ca="1">IF(ISNUMBER(MATCH(DATEVALUE($A369),'recurring1_based on steps'!V$1:V$400,0)),V$2,)</f>
        <v>0</v>
      </c>
      <c r="W369" s="179">
        <f ca="1">IF(ISNUMBER(MATCH(DATEVALUE($A369),'recurring1_based on steps'!W$1:W$400,0)),W$2,)</f>
        <v>0</v>
      </c>
      <c r="X369" s="179">
        <f ca="1">IF(ISNUMBER(MATCH(DATEVALUE($A369),'recurring1_based on steps'!X$1:X$400,0)),X$2,)</f>
        <v>0</v>
      </c>
      <c r="Y369" s="179">
        <f ca="1">IF(ISNUMBER(MATCH(DATEVALUE($A369),'recurring1_based on steps'!Y$1:Y$400,0)),Y$2,)</f>
        <v>0</v>
      </c>
      <c r="Z369" s="179">
        <f ca="1">IF(ISNUMBER(MATCH(DATEVALUE($A369),'recurring1_based on steps'!Z$1:Z$400,0)),Z$2,)</f>
        <v>0</v>
      </c>
      <c r="AA369" s="179">
        <f ca="1">IF(ISNUMBER(MATCH(DATEVALUE($A369),'recurring1_based on steps'!AA$1:AA$400,0)),AA$2,)</f>
        <v>0</v>
      </c>
      <c r="AB369" s="179">
        <f ca="1">IF(ISNUMBER(MATCH(DATEVALUE($A369),'recurring1_based on steps'!AB$1:AB$400,0)),AB$2,)</f>
        <v>0</v>
      </c>
      <c r="AC369" s="179">
        <f ca="1">IF(ISNUMBER(MATCH(DATEVALUE($A369),'recurring1_based on steps'!AC$1:AC$400,0)),AC$2,)</f>
        <v>0</v>
      </c>
      <c r="AD369" s="179">
        <f ca="1">IF(ISNUMBER(MATCH(DATEVALUE($A369),'recurring1_based on steps'!AD$1:AD$400,0)),AD$2,)</f>
        <v>0</v>
      </c>
      <c r="AE369" s="179">
        <f ca="1">IF(ISNUMBER(MATCH(DATEVALUE($A369),'recurring1_based on steps'!AE$1:AE$400,0)),AE$2,)</f>
        <v>0</v>
      </c>
      <c r="AF369" s="179">
        <f ca="1">IF(ISNUMBER(MATCH(DATEVALUE($A369),'recurring1_based on steps'!AF$1:AF$400,0)),AF$2,)</f>
        <v>0</v>
      </c>
      <c r="AG369" s="179">
        <f ca="1">IF(ISNUMBER(MATCH(DATEVALUE($A369),'recurring1_based on steps'!AG$1:AG$400,0)),AG$2,)</f>
        <v>0</v>
      </c>
      <c r="AH369" s="179">
        <f ca="1">IF(ISNUMBER(MATCH(DATEVALUE($A369),'recurring1_based on steps'!AH$1:AH$400,0)),AH$2,)</f>
        <v>0</v>
      </c>
      <c r="AI369" s="179">
        <f ca="1">IF(ISNUMBER(MATCH(DATEVALUE($A369),'recurring1_based on steps'!AI$1:AI$400,0)),AI$2,)</f>
        <v>0</v>
      </c>
      <c r="AJ369" s="179">
        <f ca="1">IF(ISNUMBER(MATCH(DATEVALUE($A369),'recurring1_based on steps'!AJ$1:AJ$400,0)),AJ$2,)</f>
        <v>0</v>
      </c>
      <c r="AK369" s="179">
        <f ca="1">IF(ISNUMBER(MATCH(DATEVALUE($A369),'recurring1_based on steps'!AK$1:AK$400,0)),AK$2,)</f>
        <v>0</v>
      </c>
      <c r="AL369" s="179">
        <f ca="1">IF(ISNUMBER(MATCH(DATEVALUE($A369),'recurring1_based on steps'!AL$1:AL$400,0)),AL$2,)</f>
        <v>0</v>
      </c>
      <c r="AM369" s="179">
        <f ca="1">IF(ISNUMBER(MATCH(DATEVALUE($A369),'recurring1_based on steps'!AM$1:AM$400,0)),AM$2,)</f>
        <v>0</v>
      </c>
      <c r="AN369" s="179">
        <f ca="1">IF(ISNUMBER(MATCH(DATEVALUE($A369),'recurring1_based on steps'!AN$1:AN$400,0)),AN$2,)</f>
        <v>0</v>
      </c>
      <c r="AO369" s="179">
        <f ca="1">IF(ISNUMBER(MATCH(DATEVALUE($A369),'recurring1_based on steps'!AO$1:AO$400,0)),AO$2,)</f>
        <v>0</v>
      </c>
      <c r="AP369" s="179">
        <f ca="1">IF(ISNUMBER(MATCH(DATEVALUE($A369),'recurring1_based on steps'!AP$1:AP$400,0)),AP$2,)</f>
        <v>0</v>
      </c>
      <c r="AQ369" s="179">
        <f ca="1">IF(ISNUMBER(MATCH(DATEVALUE($A369),'recurring1_based on steps'!AQ$1:AQ$400,0)),AQ$2,)</f>
        <v>0</v>
      </c>
      <c r="AR369" s="179">
        <f ca="1">IF(ISNUMBER(MATCH(DATEVALUE($A369),'recurring1_based on steps'!AR$1:AR$400,0)),AR$2,)</f>
        <v>0</v>
      </c>
      <c r="AS369" s="179">
        <f ca="1">IF(ISNUMBER(MATCH(DATEVALUE($A369),'recurring1_based on steps'!AS$1:AS$400,0)),AS$2,)</f>
        <v>0</v>
      </c>
      <c r="AT369" s="179">
        <f ca="1">IF(ISNUMBER(MATCH(DATEVALUE($A369),'recurring1_based on steps'!AT$1:AT$400,0)),AT$2,)</f>
        <v>0</v>
      </c>
      <c r="AU369" s="179">
        <f ca="1">IF(ISNUMBER(MATCH(DATEVALUE($A369),'recurring1_based on steps'!AU$1:AU$400,0)),AU$2,)</f>
        <v>0</v>
      </c>
      <c r="AV369" s="179">
        <f ca="1">IF(ISNUMBER(MATCH(DATEVALUE($A369),'recurring1_based on steps'!AV$1:AV$400,0)),AV$2,)</f>
        <v>0</v>
      </c>
      <c r="AW369" s="179">
        <f ca="1">IF(ISNUMBER(MATCH(DATEVALUE($A369),'recurring1_based on steps'!AW$1:AW$400,0)),AW$2,)</f>
        <v>0</v>
      </c>
      <c r="AX369" s="179">
        <f ca="1">IF(ISNUMBER(MATCH(DATEVALUE($A369),'recurring1_based on steps'!AX$1:AX$400,0)),AX$2,)</f>
        <v>0</v>
      </c>
      <c r="AY369" s="179">
        <f ca="1">IF(ISNUMBER(MATCH(DATEVALUE($A369),'recurring1_based on steps'!AY$1:AY$400,0)),AY$2,)</f>
        <v>0</v>
      </c>
    </row>
    <row r="370" spans="1:51" x14ac:dyDescent="0.2">
      <c r="A370" s="32"/>
      <c r="B370" s="32"/>
      <c r="C370" s="32"/>
      <c r="D370" s="32"/>
      <c r="E370" s="32"/>
      <c r="F370" s="32"/>
      <c r="G370" s="32"/>
      <c r="H370" s="32"/>
      <c r="I370" s="32"/>
      <c r="J370" s="32"/>
      <c r="K370" s="32"/>
      <c r="L370" s="32"/>
      <c r="M370" s="32"/>
      <c r="N370" s="32"/>
      <c r="O370" s="32"/>
      <c r="P370" s="32"/>
      <c r="Q370" s="32"/>
      <c r="R370" s="32"/>
      <c r="S370" s="32"/>
      <c r="T370" s="32"/>
      <c r="U370" s="32"/>
      <c r="V370" s="32"/>
      <c r="W370" s="32"/>
      <c r="X370" s="32"/>
      <c r="Y370" s="32"/>
      <c r="Z370" s="32"/>
    </row>
    <row r="371" spans="1:51" x14ac:dyDescent="0.2">
      <c r="A371" s="32"/>
      <c r="B371" s="32"/>
      <c r="C371" s="32"/>
      <c r="D371" s="32"/>
      <c r="E371" s="32"/>
      <c r="F371" s="32"/>
      <c r="G371" s="32"/>
      <c r="H371" s="32"/>
      <c r="I371" s="32"/>
      <c r="J371" s="32"/>
      <c r="K371" s="32"/>
      <c r="L371" s="32"/>
      <c r="M371" s="32"/>
      <c r="N371" s="32"/>
      <c r="O371" s="32"/>
      <c r="P371" s="32"/>
      <c r="Q371" s="32"/>
      <c r="R371" s="32"/>
      <c r="S371" s="32"/>
      <c r="T371" s="32"/>
      <c r="U371" s="32"/>
      <c r="V371" s="32"/>
      <c r="W371" s="32"/>
      <c r="X371" s="32"/>
      <c r="Y371" s="32"/>
      <c r="Z371" s="32"/>
    </row>
    <row r="372" spans="1:51" x14ac:dyDescent="0.2">
      <c r="A372" s="32"/>
      <c r="B372" s="32"/>
      <c r="C372" s="32"/>
      <c r="D372" s="32"/>
      <c r="E372" s="32"/>
      <c r="F372" s="32"/>
      <c r="G372" s="32"/>
      <c r="H372" s="32"/>
      <c r="I372" s="32"/>
      <c r="J372" s="32"/>
      <c r="K372" s="32"/>
      <c r="L372" s="32"/>
      <c r="M372" s="32"/>
      <c r="N372" s="32"/>
      <c r="O372" s="32"/>
      <c r="P372" s="32"/>
      <c r="Q372" s="32"/>
      <c r="R372" s="32"/>
      <c r="S372" s="32"/>
      <c r="T372" s="32"/>
      <c r="U372" s="32"/>
      <c r="V372" s="32"/>
      <c r="W372" s="32"/>
      <c r="X372" s="32"/>
      <c r="Y372" s="32"/>
      <c r="Z372" s="32"/>
    </row>
    <row r="373" spans="1:51" x14ac:dyDescent="0.2">
      <c r="A373" s="32"/>
      <c r="B373" s="32"/>
      <c r="C373" s="32"/>
      <c r="D373" s="32"/>
      <c r="E373" s="32"/>
      <c r="F373" s="32"/>
      <c r="G373" s="32"/>
      <c r="H373" s="32"/>
      <c r="I373" s="32"/>
      <c r="J373" s="32"/>
      <c r="K373" s="32"/>
      <c r="L373" s="32"/>
      <c r="M373" s="32"/>
      <c r="N373" s="32"/>
      <c r="O373" s="32"/>
      <c r="P373" s="32"/>
      <c r="Q373" s="32"/>
      <c r="R373" s="32"/>
      <c r="S373" s="32"/>
      <c r="T373" s="32"/>
      <c r="U373" s="32"/>
      <c r="V373" s="32"/>
      <c r="W373" s="32"/>
      <c r="X373" s="32"/>
      <c r="Y373" s="32"/>
      <c r="Z373" s="32"/>
    </row>
    <row r="374" spans="1:51" x14ac:dyDescent="0.2">
      <c r="A374" s="32"/>
      <c r="B374" s="32"/>
      <c r="C374" s="32"/>
      <c r="D374" s="32"/>
      <c r="E374" s="32"/>
      <c r="F374" s="32"/>
      <c r="G374" s="32"/>
      <c r="H374" s="32"/>
      <c r="I374" s="32"/>
      <c r="J374" s="32"/>
      <c r="K374" s="32"/>
      <c r="L374" s="32"/>
      <c r="M374" s="32"/>
      <c r="N374" s="32"/>
      <c r="O374" s="32"/>
      <c r="P374" s="32"/>
      <c r="Q374" s="32"/>
      <c r="R374" s="32"/>
      <c r="S374" s="32"/>
      <c r="T374" s="32"/>
      <c r="U374" s="32"/>
      <c r="V374" s="32"/>
      <c r="W374" s="32"/>
      <c r="X374" s="32"/>
      <c r="Y374" s="32"/>
      <c r="Z374" s="32"/>
    </row>
    <row r="375" spans="1:51" x14ac:dyDescent="0.2">
      <c r="A375" s="32"/>
      <c r="B375" s="32"/>
      <c r="C375" s="32"/>
      <c r="D375" s="32"/>
      <c r="E375" s="32"/>
      <c r="F375" s="32"/>
      <c r="G375" s="32"/>
      <c r="H375" s="32"/>
      <c r="I375" s="32"/>
      <c r="J375" s="32"/>
      <c r="K375" s="32"/>
      <c r="L375" s="32"/>
      <c r="M375" s="32"/>
      <c r="N375" s="32"/>
      <c r="O375" s="32"/>
      <c r="P375" s="32"/>
      <c r="Q375" s="32"/>
      <c r="R375" s="32"/>
      <c r="S375" s="32"/>
      <c r="T375" s="32"/>
      <c r="U375" s="32"/>
      <c r="V375" s="32"/>
      <c r="W375" s="32"/>
      <c r="X375" s="32"/>
      <c r="Y375" s="32"/>
      <c r="Z375" s="32"/>
    </row>
    <row r="376" spans="1:51" x14ac:dyDescent="0.2">
      <c r="A376" s="32"/>
      <c r="B376" s="32"/>
      <c r="C376" s="32"/>
      <c r="D376" s="32"/>
      <c r="E376" s="32"/>
      <c r="F376" s="32"/>
      <c r="G376" s="32"/>
      <c r="H376" s="32"/>
      <c r="I376" s="32"/>
      <c r="J376" s="32"/>
      <c r="K376" s="32"/>
      <c r="L376" s="32"/>
      <c r="M376" s="32"/>
      <c r="N376" s="32"/>
      <c r="O376" s="32"/>
      <c r="P376" s="32"/>
      <c r="Q376" s="32"/>
      <c r="R376" s="32"/>
      <c r="S376" s="32"/>
      <c r="T376" s="32"/>
      <c r="U376" s="32"/>
      <c r="V376" s="32"/>
      <c r="W376" s="32"/>
      <c r="X376" s="32"/>
      <c r="Y376" s="32"/>
      <c r="Z376" s="32"/>
    </row>
    <row r="377" spans="1:51" x14ac:dyDescent="0.2">
      <c r="A377" s="32"/>
      <c r="B377" s="32"/>
      <c r="C377" s="32"/>
      <c r="D377" s="32"/>
      <c r="E377" s="32"/>
      <c r="F377" s="32"/>
      <c r="G377" s="32"/>
      <c r="H377" s="32"/>
      <c r="I377" s="32"/>
      <c r="J377" s="32"/>
      <c r="K377" s="32"/>
      <c r="L377" s="32"/>
      <c r="M377" s="32"/>
      <c r="N377" s="32"/>
      <c r="O377" s="32"/>
      <c r="P377" s="32"/>
      <c r="Q377" s="32"/>
      <c r="R377" s="32"/>
      <c r="S377" s="32"/>
      <c r="T377" s="32"/>
      <c r="U377" s="32"/>
      <c r="V377" s="32"/>
      <c r="W377" s="32"/>
      <c r="X377" s="32"/>
      <c r="Y377" s="32"/>
      <c r="Z377" s="32"/>
    </row>
    <row r="378" spans="1:51" x14ac:dyDescent="0.2">
      <c r="A378" s="32"/>
      <c r="B378" s="32"/>
      <c r="C378" s="32"/>
      <c r="D378" s="32"/>
      <c r="E378" s="32"/>
      <c r="F378" s="32"/>
      <c r="G378" s="32"/>
      <c r="H378" s="32"/>
      <c r="I378" s="32"/>
      <c r="J378" s="32"/>
      <c r="K378" s="32"/>
      <c r="L378" s="32"/>
      <c r="M378" s="32"/>
      <c r="N378" s="32"/>
      <c r="O378" s="32"/>
      <c r="P378" s="32"/>
      <c r="Q378" s="32"/>
      <c r="R378" s="32"/>
      <c r="S378" s="32"/>
      <c r="T378" s="32"/>
      <c r="U378" s="32"/>
      <c r="V378" s="32"/>
      <c r="W378" s="32"/>
      <c r="X378" s="32"/>
      <c r="Y378" s="32"/>
      <c r="Z378" s="32"/>
    </row>
    <row r="379" spans="1:51" x14ac:dyDescent="0.2">
      <c r="A379" s="32"/>
      <c r="B379" s="32"/>
      <c r="C379" s="32"/>
      <c r="D379" s="32"/>
      <c r="E379" s="32"/>
      <c r="F379" s="32"/>
      <c r="G379" s="32"/>
      <c r="H379" s="32"/>
      <c r="I379" s="32"/>
      <c r="J379" s="32"/>
      <c r="K379" s="32"/>
      <c r="L379" s="32"/>
      <c r="M379" s="32"/>
      <c r="N379" s="32"/>
      <c r="O379" s="32"/>
      <c r="P379" s="32"/>
      <c r="Q379" s="32"/>
      <c r="R379" s="32"/>
      <c r="S379" s="32"/>
      <c r="T379" s="32"/>
      <c r="U379" s="32"/>
      <c r="V379" s="32"/>
      <c r="W379" s="32"/>
      <c r="X379" s="32"/>
      <c r="Y379" s="32"/>
      <c r="Z379" s="32"/>
    </row>
    <row r="380" spans="1:51" x14ac:dyDescent="0.2">
      <c r="A380" s="32"/>
      <c r="B380" s="32"/>
      <c r="C380" s="32"/>
      <c r="D380" s="32"/>
      <c r="E380" s="32"/>
      <c r="F380" s="32"/>
      <c r="G380" s="32"/>
      <c r="H380" s="32"/>
      <c r="I380" s="32"/>
      <c r="J380" s="32"/>
      <c r="K380" s="32"/>
      <c r="L380" s="32"/>
      <c r="M380" s="32"/>
      <c r="N380" s="32"/>
      <c r="O380" s="32"/>
      <c r="P380" s="32"/>
      <c r="Q380" s="32"/>
      <c r="R380" s="32"/>
      <c r="S380" s="32"/>
      <c r="T380" s="32"/>
      <c r="U380" s="32"/>
      <c r="V380" s="32"/>
      <c r="W380" s="32"/>
      <c r="X380" s="32"/>
      <c r="Y380" s="32"/>
      <c r="Z380" s="32"/>
    </row>
    <row r="381" spans="1:51" x14ac:dyDescent="0.2">
      <c r="A381" s="32"/>
      <c r="B381" s="32"/>
      <c r="C381" s="32"/>
      <c r="D381" s="32"/>
      <c r="E381" s="32"/>
      <c r="F381" s="32"/>
      <c r="G381" s="32"/>
      <c r="H381" s="32"/>
      <c r="I381" s="32"/>
      <c r="J381" s="32"/>
      <c r="K381" s="32"/>
      <c r="L381" s="32"/>
      <c r="M381" s="32"/>
      <c r="N381" s="32"/>
      <c r="O381" s="32"/>
      <c r="P381" s="32"/>
      <c r="Q381" s="32"/>
      <c r="R381" s="32"/>
      <c r="S381" s="32"/>
      <c r="T381" s="32"/>
      <c r="U381" s="32"/>
      <c r="V381" s="32"/>
      <c r="W381" s="32"/>
      <c r="X381" s="32"/>
      <c r="Y381" s="32"/>
      <c r="Z381" s="32"/>
    </row>
    <row r="382" spans="1:51" x14ac:dyDescent="0.2">
      <c r="A382" s="32"/>
      <c r="B382" s="32"/>
      <c r="C382" s="32"/>
      <c r="D382" s="32"/>
      <c r="E382" s="32"/>
      <c r="F382" s="32"/>
      <c r="G382" s="32"/>
      <c r="H382" s="32"/>
      <c r="I382" s="32"/>
      <c r="J382" s="32"/>
      <c r="K382" s="32"/>
      <c r="L382" s="32"/>
      <c r="M382" s="32"/>
      <c r="N382" s="32"/>
      <c r="O382" s="32"/>
      <c r="P382" s="32"/>
      <c r="Q382" s="32"/>
      <c r="R382" s="32"/>
      <c r="S382" s="32"/>
      <c r="T382" s="32"/>
      <c r="U382" s="32"/>
      <c r="V382" s="32"/>
      <c r="W382" s="32"/>
      <c r="X382" s="32"/>
      <c r="Y382" s="32"/>
      <c r="Z382" s="32"/>
    </row>
    <row r="383" spans="1:51" x14ac:dyDescent="0.2">
      <c r="A383" s="32"/>
      <c r="B383" s="32"/>
      <c r="C383" s="32"/>
      <c r="D383" s="32"/>
      <c r="E383" s="32"/>
      <c r="F383" s="32"/>
      <c r="G383" s="32"/>
      <c r="H383" s="32"/>
      <c r="I383" s="32"/>
      <c r="J383" s="32"/>
      <c r="K383" s="32"/>
      <c r="L383" s="32"/>
      <c r="M383" s="32"/>
      <c r="N383" s="32"/>
      <c r="O383" s="32"/>
      <c r="P383" s="32"/>
      <c r="Q383" s="32"/>
      <c r="R383" s="32"/>
      <c r="S383" s="32"/>
      <c r="T383" s="32"/>
      <c r="U383" s="32"/>
      <c r="V383" s="32"/>
      <c r="W383" s="32"/>
      <c r="X383" s="32"/>
      <c r="Y383" s="32"/>
      <c r="Z383" s="32"/>
    </row>
    <row r="384" spans="1:51" x14ac:dyDescent="0.2">
      <c r="A384" s="32"/>
      <c r="B384" s="32"/>
      <c r="C384" s="32"/>
      <c r="D384" s="32"/>
      <c r="E384" s="32"/>
      <c r="F384" s="32"/>
      <c r="G384" s="32"/>
      <c r="H384" s="32"/>
      <c r="I384" s="32"/>
      <c r="J384" s="32"/>
      <c r="K384" s="32"/>
      <c r="L384" s="32"/>
      <c r="M384" s="32"/>
      <c r="N384" s="32"/>
      <c r="O384" s="32"/>
      <c r="P384" s="32"/>
      <c r="Q384" s="32"/>
      <c r="R384" s="32"/>
      <c r="S384" s="32"/>
      <c r="T384" s="32"/>
      <c r="U384" s="32"/>
      <c r="V384" s="32"/>
      <c r="W384" s="32"/>
      <c r="X384" s="32"/>
      <c r="Y384" s="32"/>
      <c r="Z384" s="32"/>
    </row>
    <row r="385" spans="2:26" x14ac:dyDescent="0.2">
      <c r="B385" s="32"/>
      <c r="C385" s="32"/>
      <c r="D385" s="32"/>
      <c r="E385" s="32"/>
      <c r="F385" s="32"/>
      <c r="G385" s="32"/>
      <c r="H385" s="32"/>
      <c r="I385" s="32"/>
      <c r="J385" s="32"/>
      <c r="K385" s="32"/>
      <c r="L385" s="32"/>
      <c r="M385" s="32"/>
      <c r="N385" s="32"/>
      <c r="O385" s="32"/>
      <c r="P385" s="32"/>
      <c r="Q385" s="32"/>
      <c r="R385" s="32"/>
      <c r="S385" s="32"/>
      <c r="T385" s="32"/>
      <c r="U385" s="32"/>
      <c r="V385" s="32"/>
      <c r="W385" s="32"/>
      <c r="X385" s="32"/>
      <c r="Y385" s="32"/>
      <c r="Z385" s="32"/>
    </row>
    <row r="386" spans="2:26" x14ac:dyDescent="0.2">
      <c r="B386" s="32"/>
      <c r="C386" s="32"/>
      <c r="D386" s="32"/>
      <c r="E386" s="32"/>
      <c r="F386" s="32"/>
      <c r="G386" s="32"/>
      <c r="H386" s="32"/>
      <c r="I386" s="32"/>
      <c r="J386" s="32"/>
      <c r="K386" s="32"/>
      <c r="L386" s="32"/>
      <c r="M386" s="32"/>
      <c r="N386" s="32"/>
      <c r="O386" s="32"/>
      <c r="P386" s="32"/>
      <c r="Q386" s="32"/>
      <c r="R386" s="32"/>
      <c r="S386" s="32"/>
      <c r="T386" s="32"/>
      <c r="U386" s="32"/>
      <c r="V386" s="32"/>
      <c r="W386" s="32"/>
      <c r="X386" s="32"/>
      <c r="Y386" s="32"/>
      <c r="Z386" s="32"/>
    </row>
    <row r="387" spans="2:26" x14ac:dyDescent="0.2">
      <c r="B387" s="32"/>
      <c r="C387" s="32"/>
      <c r="D387" s="32"/>
      <c r="E387" s="32"/>
      <c r="F387" s="32"/>
      <c r="G387" s="32"/>
      <c r="H387" s="32"/>
      <c r="I387" s="32"/>
      <c r="J387" s="32"/>
      <c r="K387" s="32"/>
      <c r="L387" s="32"/>
      <c r="M387" s="32"/>
      <c r="N387" s="32"/>
      <c r="O387" s="32"/>
      <c r="P387" s="32"/>
      <c r="Q387" s="32"/>
      <c r="R387" s="32"/>
      <c r="S387" s="32"/>
      <c r="T387" s="32"/>
      <c r="U387" s="32"/>
      <c r="V387" s="32"/>
      <c r="W387" s="32"/>
      <c r="X387" s="32"/>
      <c r="Y387" s="32"/>
      <c r="Z387" s="32"/>
    </row>
    <row r="388" spans="2:26" x14ac:dyDescent="0.2">
      <c r="B388" s="32"/>
      <c r="C388" s="32"/>
      <c r="D388" s="32"/>
      <c r="E388" s="32"/>
      <c r="F388" s="32"/>
      <c r="G388" s="32"/>
      <c r="H388" s="32"/>
      <c r="I388" s="32"/>
      <c r="J388" s="32"/>
      <c r="K388" s="32"/>
      <c r="L388" s="32"/>
      <c r="M388" s="32"/>
      <c r="N388" s="32"/>
      <c r="O388" s="32"/>
      <c r="P388" s="32"/>
      <c r="Q388" s="32"/>
      <c r="R388" s="32"/>
      <c r="S388" s="32"/>
      <c r="T388" s="32"/>
      <c r="U388" s="32"/>
      <c r="V388" s="32"/>
      <c r="W388" s="32"/>
      <c r="X388" s="32"/>
      <c r="Y388" s="32"/>
      <c r="Z388" s="32"/>
    </row>
    <row r="389" spans="2:26" x14ac:dyDescent="0.2">
      <c r="B389" s="32"/>
      <c r="C389" s="32"/>
      <c r="D389" s="32"/>
      <c r="E389" s="32"/>
      <c r="F389" s="32"/>
      <c r="G389" s="32"/>
      <c r="H389" s="32"/>
      <c r="I389" s="32"/>
      <c r="J389" s="32"/>
      <c r="K389" s="32"/>
      <c r="L389" s="32"/>
      <c r="M389" s="32"/>
      <c r="N389" s="32"/>
      <c r="O389" s="32"/>
      <c r="P389" s="32"/>
      <c r="Q389" s="32"/>
      <c r="R389" s="32"/>
      <c r="S389" s="32"/>
      <c r="T389" s="32"/>
      <c r="U389" s="32"/>
      <c r="V389" s="32"/>
      <c r="W389" s="32"/>
      <c r="X389" s="32"/>
      <c r="Y389" s="32"/>
      <c r="Z389" s="32"/>
    </row>
    <row r="390" spans="2:26" x14ac:dyDescent="0.2">
      <c r="B390" s="32"/>
      <c r="C390" s="32"/>
      <c r="D390" s="32"/>
      <c r="E390" s="32"/>
      <c r="F390" s="32"/>
      <c r="G390" s="32"/>
      <c r="H390" s="32"/>
      <c r="I390" s="32"/>
      <c r="J390" s="32"/>
      <c r="K390" s="32"/>
      <c r="L390" s="32"/>
      <c r="M390" s="32"/>
      <c r="N390" s="32"/>
      <c r="O390" s="32"/>
      <c r="P390" s="32"/>
      <c r="Q390" s="32"/>
      <c r="R390" s="32"/>
      <c r="S390" s="32"/>
      <c r="T390" s="32"/>
      <c r="U390" s="32"/>
      <c r="V390" s="32"/>
      <c r="W390" s="32"/>
      <c r="X390" s="32"/>
      <c r="Y390" s="32"/>
      <c r="Z390" s="32"/>
    </row>
    <row r="391" spans="2:26" x14ac:dyDescent="0.2">
      <c r="B391" s="32"/>
      <c r="C391" s="32"/>
      <c r="D391" s="32"/>
      <c r="E391" s="32"/>
      <c r="F391" s="32"/>
      <c r="G391" s="32"/>
      <c r="H391" s="32"/>
      <c r="I391" s="32"/>
      <c r="J391" s="32"/>
      <c r="K391" s="32"/>
      <c r="L391" s="32"/>
      <c r="M391" s="32"/>
      <c r="N391" s="32"/>
      <c r="O391" s="32"/>
      <c r="P391" s="32"/>
      <c r="Q391" s="32"/>
      <c r="R391" s="32"/>
      <c r="S391" s="32"/>
      <c r="T391" s="32"/>
      <c r="U391" s="32"/>
      <c r="V391" s="32"/>
      <c r="W391" s="32"/>
      <c r="X391" s="32"/>
      <c r="Y391" s="32"/>
      <c r="Z391" s="32"/>
    </row>
    <row r="392" spans="2:26" x14ac:dyDescent="0.2">
      <c r="B392" s="32"/>
      <c r="C392" s="32"/>
      <c r="D392" s="32"/>
      <c r="E392" s="32"/>
      <c r="F392" s="32"/>
      <c r="G392" s="32"/>
      <c r="H392" s="32"/>
      <c r="I392" s="32"/>
      <c r="J392" s="32"/>
      <c r="K392" s="32"/>
      <c r="L392" s="32"/>
      <c r="M392" s="32"/>
      <c r="N392" s="32"/>
      <c r="O392" s="32"/>
      <c r="P392" s="32"/>
      <c r="Q392" s="32"/>
      <c r="R392" s="32"/>
      <c r="S392" s="32"/>
      <c r="T392" s="32"/>
      <c r="U392" s="32"/>
      <c r="V392" s="32"/>
      <c r="W392" s="32"/>
      <c r="X392" s="32"/>
      <c r="Y392" s="32"/>
      <c r="Z392" s="32"/>
    </row>
    <row r="393" spans="2:26" x14ac:dyDescent="0.2">
      <c r="B393" s="32"/>
      <c r="C393" s="32"/>
      <c r="D393" s="32"/>
      <c r="E393" s="32"/>
      <c r="F393" s="32"/>
      <c r="G393" s="32"/>
      <c r="H393" s="32"/>
      <c r="I393" s="32"/>
      <c r="J393" s="32"/>
      <c r="K393" s="32"/>
      <c r="L393" s="32"/>
      <c r="M393" s="32"/>
      <c r="N393" s="32"/>
      <c r="O393" s="32"/>
      <c r="P393" s="32"/>
      <c r="Q393" s="32"/>
      <c r="R393" s="32"/>
      <c r="S393" s="32"/>
      <c r="T393" s="32"/>
      <c r="U393" s="32"/>
      <c r="V393" s="32"/>
      <c r="W393" s="32"/>
      <c r="X393" s="32"/>
      <c r="Y393" s="32"/>
      <c r="Z393" s="32"/>
    </row>
    <row r="394" spans="2:26" x14ac:dyDescent="0.2">
      <c r="B394" s="32"/>
      <c r="C394" s="32"/>
      <c r="D394" s="32"/>
      <c r="E394" s="32"/>
      <c r="F394" s="32"/>
      <c r="G394" s="32"/>
      <c r="H394" s="32"/>
      <c r="I394" s="32"/>
      <c r="J394" s="32"/>
      <c r="K394" s="32"/>
      <c r="L394" s="32"/>
      <c r="M394" s="32"/>
      <c r="N394" s="32"/>
      <c r="O394" s="32"/>
      <c r="P394" s="32"/>
      <c r="Q394" s="32"/>
      <c r="R394" s="32"/>
      <c r="S394" s="32"/>
      <c r="T394" s="32"/>
      <c r="U394" s="32"/>
      <c r="V394" s="32"/>
      <c r="W394" s="32"/>
      <c r="X394" s="32"/>
      <c r="Y394" s="32"/>
      <c r="Z394" s="32"/>
    </row>
    <row r="395" spans="2:26" x14ac:dyDescent="0.2">
      <c r="B395" s="32"/>
      <c r="C395" s="32"/>
      <c r="D395" s="32"/>
      <c r="E395" s="32"/>
      <c r="F395" s="32"/>
      <c r="G395" s="32"/>
      <c r="H395" s="32"/>
      <c r="I395" s="32"/>
      <c r="J395" s="32"/>
      <c r="K395" s="32"/>
      <c r="L395" s="32"/>
      <c r="M395" s="32"/>
      <c r="N395" s="32"/>
      <c r="O395" s="32"/>
      <c r="P395" s="32"/>
      <c r="Q395" s="32"/>
      <c r="R395" s="32"/>
      <c r="S395" s="32"/>
      <c r="T395" s="32"/>
      <c r="U395" s="32"/>
      <c r="V395" s="32"/>
      <c r="W395" s="32"/>
      <c r="X395" s="32"/>
      <c r="Y395" s="32"/>
      <c r="Z395" s="32"/>
    </row>
    <row r="396" spans="2:26" x14ac:dyDescent="0.2">
      <c r="B396" s="32"/>
      <c r="C396" s="32"/>
      <c r="D396" s="32"/>
      <c r="E396" s="32"/>
      <c r="F396" s="32"/>
      <c r="G396" s="32"/>
      <c r="H396" s="32"/>
      <c r="I396" s="32"/>
      <c r="J396" s="32"/>
      <c r="K396" s="32"/>
      <c r="L396" s="32"/>
      <c r="M396" s="32"/>
      <c r="N396" s="32"/>
      <c r="O396" s="32"/>
      <c r="P396" s="32"/>
      <c r="Q396" s="32"/>
      <c r="R396" s="32"/>
      <c r="S396" s="32"/>
      <c r="T396" s="32"/>
      <c r="U396" s="32"/>
      <c r="V396" s="32"/>
      <c r="W396" s="32"/>
      <c r="X396" s="32"/>
      <c r="Y396" s="32"/>
      <c r="Z396" s="32"/>
    </row>
    <row r="397" spans="2:26" x14ac:dyDescent="0.2">
      <c r="B397" s="32"/>
      <c r="C397" s="32"/>
      <c r="D397" s="32"/>
      <c r="E397" s="32"/>
      <c r="F397" s="32"/>
      <c r="G397" s="32"/>
      <c r="H397" s="32"/>
      <c r="I397" s="32"/>
      <c r="J397" s="32"/>
      <c r="K397" s="32"/>
      <c r="L397" s="32"/>
      <c r="M397" s="32"/>
      <c r="N397" s="32"/>
      <c r="O397" s="32"/>
      <c r="P397" s="32"/>
      <c r="Q397" s="32"/>
      <c r="R397" s="32"/>
      <c r="S397" s="32"/>
      <c r="T397" s="32"/>
      <c r="U397" s="32"/>
      <c r="V397" s="32"/>
      <c r="W397" s="32"/>
      <c r="X397" s="32"/>
      <c r="Y397" s="32"/>
      <c r="Z397" s="32"/>
    </row>
    <row r="398" spans="2:26" x14ac:dyDescent="0.2">
      <c r="B398" s="32"/>
      <c r="C398" s="32"/>
      <c r="D398" s="32"/>
      <c r="E398" s="32"/>
      <c r="F398" s="32"/>
      <c r="G398" s="32"/>
      <c r="H398" s="32"/>
      <c r="I398" s="32"/>
      <c r="J398" s="32"/>
      <c r="K398" s="32"/>
      <c r="L398" s="32"/>
      <c r="M398" s="32"/>
      <c r="N398" s="32"/>
      <c r="O398" s="32"/>
      <c r="P398" s="32"/>
      <c r="Q398" s="32"/>
      <c r="R398" s="32"/>
      <c r="S398" s="32"/>
      <c r="T398" s="32"/>
      <c r="U398" s="32"/>
      <c r="V398" s="32"/>
      <c r="W398" s="32"/>
      <c r="X398" s="32"/>
      <c r="Y398" s="32"/>
      <c r="Z398" s="32"/>
    </row>
    <row r="399" spans="2:26" x14ac:dyDescent="0.2">
      <c r="B399" s="32"/>
      <c r="C399" s="32"/>
      <c r="D399" s="32"/>
      <c r="E399" s="32"/>
      <c r="F399" s="32"/>
      <c r="G399" s="32"/>
      <c r="H399" s="32"/>
      <c r="I399" s="32"/>
      <c r="J399" s="32"/>
      <c r="K399" s="32"/>
      <c r="L399" s="32"/>
      <c r="M399" s="32"/>
      <c r="N399" s="32"/>
      <c r="O399" s="32"/>
      <c r="P399" s="32"/>
      <c r="Q399" s="32"/>
      <c r="R399" s="32"/>
      <c r="S399" s="32"/>
      <c r="T399" s="32"/>
      <c r="U399" s="32"/>
      <c r="V399" s="32"/>
      <c r="W399" s="32"/>
      <c r="X399" s="32"/>
      <c r="Y399" s="32"/>
      <c r="Z399" s="32"/>
    </row>
    <row r="400" spans="2:26" x14ac:dyDescent="0.2">
      <c r="B400" s="32"/>
      <c r="C400" s="32"/>
      <c r="D400" s="32"/>
      <c r="E400" s="32"/>
      <c r="F400" s="32"/>
      <c r="G400" s="32"/>
      <c r="H400" s="32"/>
      <c r="I400" s="32"/>
      <c r="J400" s="32"/>
      <c r="K400" s="32"/>
      <c r="L400" s="32"/>
      <c r="M400" s="32"/>
      <c r="N400" s="32"/>
      <c r="O400" s="32"/>
      <c r="P400" s="32"/>
      <c r="Q400" s="32"/>
      <c r="R400" s="32"/>
      <c r="S400" s="32"/>
      <c r="T400" s="32"/>
      <c r="U400" s="32"/>
      <c r="V400" s="32"/>
      <c r="W400" s="32"/>
      <c r="X400" s="32"/>
      <c r="Y400" s="32"/>
      <c r="Z400" s="32"/>
    </row>
    <row r="401" spans="2:26" x14ac:dyDescent="0.2">
      <c r="B401" s="32"/>
      <c r="C401" s="32"/>
      <c r="D401" s="32"/>
      <c r="E401" s="32"/>
      <c r="F401" s="32"/>
      <c r="G401" s="32"/>
      <c r="H401" s="32"/>
      <c r="I401" s="32"/>
      <c r="J401" s="32"/>
      <c r="K401" s="32"/>
      <c r="L401" s="32"/>
      <c r="M401" s="32"/>
      <c r="N401" s="32"/>
      <c r="O401" s="32"/>
      <c r="P401" s="32"/>
      <c r="Q401" s="32"/>
      <c r="R401" s="32"/>
      <c r="S401" s="32"/>
      <c r="T401" s="32"/>
      <c r="U401" s="32"/>
      <c r="V401" s="32"/>
      <c r="W401" s="32"/>
      <c r="X401" s="32"/>
      <c r="Y401" s="32"/>
      <c r="Z401" s="32"/>
    </row>
    <row r="402" spans="2:26" x14ac:dyDescent="0.2">
      <c r="B402" s="32"/>
      <c r="C402" s="32"/>
      <c r="D402" s="32"/>
      <c r="E402" s="32"/>
      <c r="F402" s="32"/>
      <c r="G402" s="32"/>
      <c r="H402" s="32"/>
      <c r="I402" s="32"/>
      <c r="J402" s="32"/>
      <c r="K402" s="32"/>
      <c r="L402" s="32"/>
      <c r="M402" s="32"/>
      <c r="N402" s="32"/>
      <c r="O402" s="32"/>
      <c r="P402" s="32"/>
      <c r="Q402" s="32"/>
      <c r="R402" s="32"/>
      <c r="S402" s="32"/>
      <c r="T402" s="32"/>
      <c r="U402" s="32"/>
      <c r="V402" s="32"/>
      <c r="W402" s="32"/>
      <c r="X402" s="32"/>
      <c r="Y402" s="32"/>
      <c r="Z402" s="32"/>
    </row>
    <row r="403" spans="2:26" x14ac:dyDescent="0.2">
      <c r="B403" s="32"/>
      <c r="C403" s="32"/>
      <c r="D403" s="32"/>
      <c r="E403" s="32"/>
      <c r="F403" s="32"/>
      <c r="G403" s="32"/>
      <c r="H403" s="32"/>
      <c r="I403" s="32"/>
      <c r="J403" s="32"/>
      <c r="K403" s="32"/>
      <c r="L403" s="32"/>
      <c r="M403" s="32"/>
      <c r="N403" s="32"/>
      <c r="O403" s="32"/>
      <c r="P403" s="32"/>
      <c r="Q403" s="32"/>
      <c r="R403" s="32"/>
      <c r="S403" s="32"/>
      <c r="T403" s="32"/>
      <c r="U403" s="32"/>
      <c r="V403" s="32"/>
      <c r="W403" s="32"/>
      <c r="X403" s="32"/>
      <c r="Y403" s="32"/>
      <c r="Z403" s="32"/>
    </row>
    <row r="404" spans="2:26" x14ac:dyDescent="0.2">
      <c r="B404" s="32"/>
      <c r="C404" s="32"/>
      <c r="D404" s="32"/>
      <c r="E404" s="32"/>
      <c r="F404" s="32"/>
      <c r="G404" s="32"/>
      <c r="H404" s="32"/>
      <c r="I404" s="32"/>
      <c r="J404" s="32"/>
      <c r="K404" s="32"/>
      <c r="L404" s="32"/>
      <c r="M404" s="32"/>
      <c r="N404" s="32"/>
      <c r="O404" s="32"/>
      <c r="P404" s="32"/>
      <c r="Q404" s="32"/>
      <c r="R404" s="32"/>
      <c r="S404" s="32"/>
      <c r="T404" s="32"/>
      <c r="U404" s="32"/>
      <c r="V404" s="32"/>
      <c r="W404" s="32"/>
      <c r="X404" s="32"/>
      <c r="Y404" s="32"/>
      <c r="Z404" s="32"/>
    </row>
    <row r="405" spans="2:26" x14ac:dyDescent="0.2">
      <c r="B405" s="32"/>
      <c r="C405" s="32"/>
      <c r="D405" s="32"/>
      <c r="E405" s="32"/>
      <c r="F405" s="32"/>
      <c r="G405" s="32"/>
      <c r="H405" s="32"/>
      <c r="I405" s="32"/>
      <c r="J405" s="32"/>
      <c r="K405" s="32"/>
      <c r="L405" s="32"/>
      <c r="M405" s="32"/>
      <c r="N405" s="32"/>
      <c r="O405" s="32"/>
      <c r="P405" s="32"/>
      <c r="Q405" s="32"/>
      <c r="R405" s="32"/>
      <c r="S405" s="32"/>
      <c r="T405" s="32"/>
      <c r="U405" s="32"/>
      <c r="V405" s="32"/>
      <c r="W405" s="32"/>
      <c r="X405" s="32"/>
      <c r="Y405" s="32"/>
      <c r="Z405" s="32"/>
    </row>
    <row r="406" spans="2:26" x14ac:dyDescent="0.2">
      <c r="B406" s="32"/>
      <c r="C406" s="32"/>
      <c r="D406" s="32"/>
      <c r="E406" s="32"/>
      <c r="F406" s="32"/>
      <c r="G406" s="32"/>
      <c r="H406" s="32"/>
      <c r="I406" s="32"/>
      <c r="J406" s="32"/>
      <c r="K406" s="32"/>
      <c r="L406" s="32"/>
      <c r="M406" s="32"/>
      <c r="N406" s="32"/>
      <c r="O406" s="32"/>
      <c r="P406" s="32"/>
      <c r="Q406" s="32"/>
      <c r="R406" s="32"/>
      <c r="S406" s="32"/>
      <c r="T406" s="32"/>
      <c r="U406" s="32"/>
      <c r="V406" s="32"/>
      <c r="W406" s="32"/>
      <c r="X406" s="32"/>
      <c r="Y406" s="32"/>
      <c r="Z406" s="32"/>
    </row>
    <row r="407" spans="2:26" x14ac:dyDescent="0.2">
      <c r="B407" s="32"/>
      <c r="C407" s="32"/>
      <c r="D407" s="32"/>
      <c r="E407" s="32"/>
      <c r="F407" s="32"/>
      <c r="G407" s="32"/>
      <c r="H407" s="32"/>
      <c r="I407" s="32"/>
      <c r="J407" s="32"/>
      <c r="K407" s="32"/>
      <c r="L407" s="32"/>
      <c r="M407" s="32"/>
      <c r="N407" s="32"/>
      <c r="O407" s="32"/>
      <c r="P407" s="32"/>
      <c r="Q407" s="32"/>
      <c r="R407" s="32"/>
      <c r="S407" s="32"/>
      <c r="T407" s="32"/>
      <c r="U407" s="32"/>
      <c r="V407" s="32"/>
      <c r="W407" s="32"/>
      <c r="X407" s="32"/>
      <c r="Y407" s="32"/>
      <c r="Z407" s="32"/>
    </row>
    <row r="408" spans="2:26" x14ac:dyDescent="0.2">
      <c r="B408" s="32"/>
      <c r="C408" s="32"/>
      <c r="D408" s="32"/>
      <c r="E408" s="32"/>
      <c r="F408" s="32"/>
      <c r="G408" s="32"/>
      <c r="H408" s="32"/>
      <c r="I408" s="32"/>
      <c r="J408" s="32"/>
      <c r="K408" s="32"/>
      <c r="L408" s="32"/>
      <c r="M408" s="32"/>
      <c r="N408" s="32"/>
      <c r="O408" s="32"/>
      <c r="P408" s="32"/>
      <c r="Q408" s="32"/>
      <c r="R408" s="32"/>
      <c r="S408" s="32"/>
      <c r="T408" s="32"/>
      <c r="U408" s="32"/>
      <c r="V408" s="32"/>
      <c r="W408" s="32"/>
      <c r="X408" s="32"/>
      <c r="Y408" s="32"/>
      <c r="Z408" s="32"/>
    </row>
    <row r="409" spans="2:26" x14ac:dyDescent="0.2">
      <c r="B409" s="32"/>
      <c r="C409" s="32"/>
      <c r="D409" s="32"/>
      <c r="E409" s="32"/>
      <c r="F409" s="32"/>
      <c r="G409" s="32"/>
      <c r="H409" s="32"/>
      <c r="I409" s="32"/>
      <c r="J409" s="32"/>
      <c r="K409" s="32"/>
      <c r="L409" s="32"/>
      <c r="M409" s="32"/>
      <c r="N409" s="32"/>
      <c r="O409" s="32"/>
      <c r="P409" s="32"/>
      <c r="Q409" s="32"/>
      <c r="R409" s="32"/>
      <c r="S409" s="32"/>
      <c r="T409" s="32"/>
      <c r="U409" s="32"/>
      <c r="V409" s="32"/>
      <c r="W409" s="32"/>
      <c r="X409" s="32"/>
      <c r="Y409" s="32"/>
      <c r="Z409" s="32"/>
    </row>
    <row r="410" spans="2:26" x14ac:dyDescent="0.2">
      <c r="B410" s="32"/>
      <c r="C410" s="32"/>
      <c r="D410" s="32"/>
      <c r="E410" s="32"/>
      <c r="F410" s="32"/>
      <c r="G410" s="32"/>
      <c r="H410" s="32"/>
      <c r="I410" s="32"/>
      <c r="J410" s="32"/>
      <c r="K410" s="32"/>
      <c r="L410" s="32"/>
      <c r="M410" s="32"/>
      <c r="N410" s="32"/>
      <c r="O410" s="32"/>
      <c r="P410" s="32"/>
      <c r="Q410" s="32"/>
      <c r="R410" s="32"/>
      <c r="S410" s="32"/>
      <c r="T410" s="32"/>
      <c r="U410" s="32"/>
      <c r="V410" s="32"/>
      <c r="W410" s="32"/>
      <c r="X410" s="32"/>
      <c r="Y410" s="32"/>
      <c r="Z410" s="32"/>
    </row>
    <row r="411" spans="2:26" x14ac:dyDescent="0.2">
      <c r="B411" s="32"/>
      <c r="C411" s="32"/>
      <c r="D411" s="32"/>
      <c r="E411" s="32"/>
      <c r="F411" s="32"/>
      <c r="G411" s="32"/>
      <c r="H411" s="32"/>
      <c r="I411" s="32"/>
      <c r="J411" s="32"/>
      <c r="K411" s="32"/>
      <c r="L411" s="32"/>
      <c r="M411" s="32"/>
      <c r="N411" s="32"/>
      <c r="O411" s="32"/>
      <c r="P411" s="32"/>
      <c r="Q411" s="32"/>
      <c r="R411" s="32"/>
      <c r="S411" s="32"/>
      <c r="T411" s="32"/>
      <c r="U411" s="32"/>
      <c r="V411" s="32"/>
      <c r="W411" s="32"/>
      <c r="X411" s="32"/>
      <c r="Y411" s="32"/>
      <c r="Z411" s="32"/>
    </row>
    <row r="412" spans="2:26" x14ac:dyDescent="0.2">
      <c r="B412" s="32"/>
      <c r="C412" s="32"/>
      <c r="D412" s="32"/>
      <c r="E412" s="32"/>
      <c r="F412" s="32"/>
      <c r="G412" s="32"/>
      <c r="H412" s="32"/>
      <c r="I412" s="32"/>
      <c r="J412" s="32"/>
      <c r="K412" s="32"/>
      <c r="L412" s="32"/>
      <c r="M412" s="32"/>
      <c r="N412" s="32"/>
      <c r="O412" s="32"/>
      <c r="P412" s="32"/>
      <c r="Q412" s="32"/>
      <c r="R412" s="32"/>
      <c r="S412" s="32"/>
      <c r="T412" s="32"/>
      <c r="U412" s="32"/>
      <c r="V412" s="32"/>
      <c r="W412" s="32"/>
      <c r="X412" s="32"/>
      <c r="Y412" s="32"/>
      <c r="Z412" s="32"/>
    </row>
    <row r="413" spans="2:26" x14ac:dyDescent="0.2">
      <c r="B413" s="32"/>
      <c r="C413" s="32"/>
      <c r="D413" s="32"/>
      <c r="E413" s="32"/>
      <c r="F413" s="32"/>
      <c r="G413" s="32"/>
      <c r="H413" s="32"/>
      <c r="I413" s="32"/>
      <c r="J413" s="32"/>
      <c r="K413" s="32"/>
      <c r="L413" s="32"/>
      <c r="M413" s="32"/>
      <c r="N413" s="32"/>
      <c r="O413" s="32"/>
      <c r="P413" s="32"/>
      <c r="Q413" s="32"/>
      <c r="R413" s="32"/>
      <c r="S413" s="32"/>
      <c r="T413" s="32"/>
      <c r="U413" s="32"/>
      <c r="V413" s="32"/>
      <c r="W413" s="32"/>
      <c r="X413" s="32"/>
      <c r="Y413" s="32"/>
      <c r="Z413" s="32"/>
    </row>
    <row r="414" spans="2:26" x14ac:dyDescent="0.2">
      <c r="B414" s="32"/>
      <c r="C414" s="32"/>
      <c r="D414" s="32"/>
      <c r="E414" s="32"/>
      <c r="F414" s="32"/>
      <c r="G414" s="32"/>
      <c r="H414" s="32"/>
      <c r="I414" s="32"/>
      <c r="J414" s="32"/>
      <c r="K414" s="32"/>
      <c r="L414" s="32"/>
      <c r="M414" s="32"/>
      <c r="N414" s="32"/>
      <c r="O414" s="32"/>
      <c r="P414" s="32"/>
      <c r="Q414" s="32"/>
      <c r="R414" s="32"/>
      <c r="S414" s="32"/>
      <c r="T414" s="32"/>
      <c r="U414" s="32"/>
      <c r="V414" s="32"/>
      <c r="W414" s="32"/>
      <c r="X414" s="32"/>
      <c r="Y414" s="32"/>
      <c r="Z414" s="32"/>
    </row>
    <row r="415" spans="2:26" x14ac:dyDescent="0.2">
      <c r="B415" s="32"/>
      <c r="C415" s="32"/>
      <c r="D415" s="32"/>
      <c r="E415" s="32"/>
      <c r="F415" s="32"/>
      <c r="G415" s="32"/>
      <c r="H415" s="32"/>
      <c r="I415" s="32"/>
      <c r="J415" s="32"/>
      <c r="K415" s="32"/>
      <c r="L415" s="32"/>
      <c r="M415" s="32"/>
      <c r="N415" s="32"/>
      <c r="O415" s="32"/>
      <c r="P415" s="32"/>
      <c r="Q415" s="32"/>
      <c r="R415" s="32"/>
      <c r="S415" s="32"/>
      <c r="T415" s="32"/>
      <c r="U415" s="32"/>
      <c r="V415" s="32"/>
      <c r="W415" s="32"/>
      <c r="X415" s="32"/>
      <c r="Y415" s="32"/>
      <c r="Z415" s="32"/>
    </row>
    <row r="416" spans="2:26" x14ac:dyDescent="0.2">
      <c r="B416" s="32"/>
      <c r="C416" s="32"/>
      <c r="D416" s="32"/>
      <c r="E416" s="32"/>
      <c r="F416" s="32"/>
      <c r="G416" s="32"/>
      <c r="H416" s="32"/>
      <c r="I416" s="32"/>
      <c r="J416" s="32"/>
      <c r="K416" s="32"/>
      <c r="L416" s="32"/>
      <c r="M416" s="32"/>
      <c r="N416" s="32"/>
      <c r="O416" s="32"/>
      <c r="P416" s="32"/>
      <c r="Q416" s="32"/>
      <c r="R416" s="32"/>
      <c r="S416" s="32"/>
      <c r="T416" s="32"/>
      <c r="U416" s="32"/>
      <c r="V416" s="32"/>
      <c r="W416" s="32"/>
      <c r="X416" s="32"/>
      <c r="Y416" s="32"/>
      <c r="Z416" s="32"/>
    </row>
    <row r="417" spans="2:26" x14ac:dyDescent="0.2">
      <c r="B417" s="32"/>
      <c r="C417" s="32"/>
      <c r="D417" s="32"/>
      <c r="E417" s="32"/>
      <c r="F417" s="32"/>
      <c r="G417" s="32"/>
      <c r="H417" s="32"/>
      <c r="I417" s="32"/>
      <c r="J417" s="32"/>
      <c r="K417" s="32"/>
      <c r="L417" s="32"/>
      <c r="M417" s="32"/>
      <c r="N417" s="32"/>
      <c r="O417" s="32"/>
      <c r="P417" s="32"/>
      <c r="Q417" s="32"/>
      <c r="R417" s="32"/>
      <c r="S417" s="32"/>
      <c r="T417" s="32"/>
      <c r="U417" s="32"/>
      <c r="V417" s="32"/>
      <c r="W417" s="32"/>
      <c r="X417" s="32"/>
      <c r="Y417" s="32"/>
      <c r="Z417" s="32"/>
    </row>
    <row r="418" spans="2:26" x14ac:dyDescent="0.2">
      <c r="B418" s="32"/>
      <c r="C418" s="32"/>
      <c r="D418" s="32"/>
      <c r="E418" s="32"/>
      <c r="F418" s="32"/>
      <c r="G418" s="32"/>
      <c r="H418" s="32"/>
      <c r="I418" s="32"/>
      <c r="J418" s="32"/>
      <c r="K418" s="32"/>
      <c r="L418" s="32"/>
      <c r="M418" s="32"/>
      <c r="N418" s="32"/>
      <c r="O418" s="32"/>
      <c r="P418" s="32"/>
      <c r="Q418" s="32"/>
      <c r="R418" s="32"/>
      <c r="S418" s="32"/>
      <c r="T418" s="32"/>
      <c r="U418" s="32"/>
      <c r="V418" s="32"/>
      <c r="W418" s="32"/>
      <c r="X418" s="32"/>
      <c r="Y418" s="32"/>
      <c r="Z418" s="32"/>
    </row>
    <row r="419" spans="2:26" x14ac:dyDescent="0.2">
      <c r="B419" s="32"/>
      <c r="C419" s="32"/>
      <c r="D419" s="32"/>
      <c r="E419" s="32"/>
      <c r="F419" s="32"/>
      <c r="G419" s="32"/>
      <c r="H419" s="32"/>
      <c r="I419" s="32"/>
      <c r="J419" s="32"/>
      <c r="K419" s="32"/>
      <c r="L419" s="32"/>
      <c r="M419" s="32"/>
      <c r="N419" s="32"/>
      <c r="O419" s="32"/>
      <c r="P419" s="32"/>
      <c r="Q419" s="32"/>
      <c r="R419" s="32"/>
      <c r="S419" s="32"/>
      <c r="T419" s="32"/>
      <c r="U419" s="32"/>
      <c r="V419" s="32"/>
      <c r="W419" s="32"/>
      <c r="X419" s="32"/>
      <c r="Y419" s="32"/>
      <c r="Z419" s="32"/>
    </row>
    <row r="420" spans="2:26" x14ac:dyDescent="0.2">
      <c r="B420" s="32"/>
      <c r="C420" s="32"/>
      <c r="D420" s="32"/>
      <c r="E420" s="32"/>
      <c r="F420" s="32"/>
      <c r="G420" s="32"/>
      <c r="H420" s="32"/>
      <c r="I420" s="32"/>
      <c r="J420" s="32"/>
      <c r="K420" s="32"/>
      <c r="L420" s="32"/>
      <c r="M420" s="32"/>
      <c r="N420" s="32"/>
      <c r="O420" s="32"/>
      <c r="P420" s="32"/>
      <c r="Q420" s="32"/>
      <c r="R420" s="32"/>
      <c r="S420" s="32"/>
      <c r="T420" s="32"/>
      <c r="U420" s="32"/>
      <c r="V420" s="32"/>
      <c r="W420" s="32"/>
      <c r="X420" s="32"/>
      <c r="Y420" s="32"/>
      <c r="Z420" s="32"/>
    </row>
    <row r="421" spans="2:26" x14ac:dyDescent="0.2">
      <c r="B421" s="32"/>
      <c r="C421" s="32"/>
      <c r="D421" s="32"/>
      <c r="E421" s="32"/>
      <c r="F421" s="32"/>
      <c r="G421" s="32"/>
      <c r="H421" s="32"/>
      <c r="I421" s="32"/>
      <c r="J421" s="32"/>
      <c r="K421" s="32"/>
      <c r="L421" s="32"/>
      <c r="M421" s="32"/>
      <c r="N421" s="32"/>
      <c r="O421" s="32"/>
      <c r="P421" s="32"/>
      <c r="Q421" s="32"/>
      <c r="R421" s="32"/>
      <c r="S421" s="32"/>
      <c r="T421" s="32"/>
      <c r="U421" s="32"/>
      <c r="V421" s="32"/>
      <c r="W421" s="32"/>
      <c r="X421" s="32"/>
      <c r="Y421" s="32"/>
      <c r="Z421" s="32"/>
    </row>
    <row r="422" spans="2:26" x14ac:dyDescent="0.2">
      <c r="B422" s="32"/>
      <c r="C422" s="32"/>
      <c r="D422" s="32"/>
      <c r="E422" s="32"/>
      <c r="F422" s="32"/>
      <c r="G422" s="32"/>
      <c r="H422" s="32"/>
      <c r="I422" s="32"/>
      <c r="J422" s="32"/>
      <c r="K422" s="32"/>
      <c r="L422" s="32"/>
      <c r="M422" s="32"/>
      <c r="N422" s="32"/>
      <c r="O422" s="32"/>
      <c r="P422" s="32"/>
      <c r="Q422" s="32"/>
      <c r="R422" s="32"/>
      <c r="S422" s="32"/>
      <c r="T422" s="32"/>
      <c r="U422" s="32"/>
      <c r="V422" s="32"/>
      <c r="W422" s="32"/>
      <c r="X422" s="32"/>
      <c r="Y422" s="32"/>
      <c r="Z422" s="32"/>
    </row>
    <row r="423" spans="2:26" x14ac:dyDescent="0.2">
      <c r="B423" s="32"/>
      <c r="C423" s="32"/>
      <c r="D423" s="32"/>
      <c r="E423" s="32"/>
      <c r="F423" s="32"/>
      <c r="G423" s="32"/>
      <c r="H423" s="32"/>
      <c r="I423" s="32"/>
      <c r="J423" s="32"/>
      <c r="K423" s="32"/>
      <c r="L423" s="32"/>
      <c r="M423" s="32"/>
      <c r="N423" s="32"/>
      <c r="O423" s="32"/>
      <c r="P423" s="32"/>
      <c r="Q423" s="32"/>
      <c r="R423" s="32"/>
      <c r="S423" s="32"/>
      <c r="T423" s="32"/>
      <c r="U423" s="32"/>
      <c r="V423" s="32"/>
      <c r="W423" s="32"/>
      <c r="X423" s="32"/>
      <c r="Y423" s="32"/>
      <c r="Z423" s="32"/>
    </row>
    <row r="424" spans="2:26" x14ac:dyDescent="0.2">
      <c r="B424" s="32"/>
      <c r="C424" s="32"/>
      <c r="D424" s="32"/>
      <c r="E424" s="32"/>
      <c r="F424" s="32"/>
      <c r="G424" s="32"/>
      <c r="H424" s="32"/>
      <c r="I424" s="32"/>
      <c r="J424" s="32"/>
      <c r="K424" s="32"/>
      <c r="L424" s="32"/>
      <c r="M424" s="32"/>
      <c r="N424" s="32"/>
      <c r="O424" s="32"/>
      <c r="P424" s="32"/>
      <c r="Q424" s="32"/>
      <c r="R424" s="32"/>
      <c r="S424" s="32"/>
      <c r="T424" s="32"/>
      <c r="U424" s="32"/>
      <c r="V424" s="32"/>
      <c r="W424" s="32"/>
      <c r="X424" s="32"/>
      <c r="Y424" s="32"/>
      <c r="Z424" s="32"/>
    </row>
    <row r="425" spans="2:26" x14ac:dyDescent="0.2">
      <c r="B425" s="32"/>
      <c r="C425" s="32"/>
      <c r="D425" s="32"/>
      <c r="E425" s="32"/>
      <c r="F425" s="32"/>
      <c r="G425" s="32"/>
      <c r="H425" s="32"/>
      <c r="I425" s="32"/>
      <c r="J425" s="32"/>
      <c r="K425" s="32"/>
      <c r="L425" s="32"/>
      <c r="M425" s="32"/>
      <c r="N425" s="32"/>
      <c r="O425" s="32"/>
      <c r="P425" s="32"/>
      <c r="Q425" s="32"/>
      <c r="R425" s="32"/>
      <c r="S425" s="32"/>
      <c r="T425" s="32"/>
      <c r="U425" s="32"/>
      <c r="V425" s="32"/>
      <c r="W425" s="32"/>
      <c r="X425" s="32"/>
      <c r="Y425" s="32"/>
      <c r="Z425" s="32"/>
    </row>
    <row r="426" spans="2:26" x14ac:dyDescent="0.2">
      <c r="B426" s="32"/>
      <c r="C426" s="32"/>
      <c r="D426" s="32"/>
      <c r="E426" s="32"/>
      <c r="F426" s="32"/>
      <c r="G426" s="32"/>
      <c r="H426" s="32"/>
      <c r="I426" s="32"/>
      <c r="J426" s="32"/>
      <c r="K426" s="32"/>
      <c r="L426" s="32"/>
      <c r="M426" s="32"/>
      <c r="N426" s="32"/>
      <c r="O426" s="32"/>
      <c r="P426" s="32"/>
      <c r="Q426" s="32"/>
      <c r="R426" s="32"/>
      <c r="S426" s="32"/>
      <c r="T426" s="32"/>
      <c r="U426" s="32"/>
      <c r="V426" s="32"/>
      <c r="W426" s="32"/>
      <c r="X426" s="32"/>
      <c r="Y426" s="32"/>
      <c r="Z426" s="32"/>
    </row>
    <row r="427" spans="2:26" x14ac:dyDescent="0.2">
      <c r="B427" s="32"/>
      <c r="C427" s="32"/>
      <c r="D427" s="32"/>
      <c r="E427" s="32"/>
      <c r="F427" s="32"/>
      <c r="G427" s="32"/>
      <c r="H427" s="32"/>
      <c r="I427" s="32"/>
      <c r="J427" s="32"/>
      <c r="K427" s="32"/>
      <c r="L427" s="32"/>
      <c r="M427" s="32"/>
      <c r="N427" s="32"/>
      <c r="O427" s="32"/>
      <c r="P427" s="32"/>
      <c r="Q427" s="32"/>
      <c r="R427" s="32"/>
      <c r="S427" s="32"/>
      <c r="T427" s="32"/>
      <c r="U427" s="32"/>
      <c r="V427" s="32"/>
      <c r="W427" s="32"/>
      <c r="X427" s="32"/>
      <c r="Y427" s="32"/>
      <c r="Z427" s="32"/>
    </row>
    <row r="428" spans="2:26" x14ac:dyDescent="0.2">
      <c r="B428" s="32"/>
      <c r="C428" s="32"/>
      <c r="D428" s="32"/>
      <c r="E428" s="32"/>
      <c r="F428" s="32"/>
      <c r="G428" s="32"/>
      <c r="H428" s="32"/>
      <c r="I428" s="32"/>
      <c r="J428" s="32"/>
      <c r="K428" s="32"/>
      <c r="L428" s="32"/>
      <c r="M428" s="32"/>
      <c r="N428" s="32"/>
      <c r="O428" s="32"/>
      <c r="P428" s="32"/>
      <c r="Q428" s="32"/>
      <c r="R428" s="32"/>
      <c r="S428" s="32"/>
      <c r="T428" s="32"/>
      <c r="U428" s="32"/>
      <c r="V428" s="32"/>
      <c r="W428" s="32"/>
      <c r="X428" s="32"/>
      <c r="Y428" s="32"/>
      <c r="Z428" s="32"/>
    </row>
    <row r="429" spans="2:26" x14ac:dyDescent="0.2">
      <c r="B429" s="32"/>
      <c r="C429" s="32"/>
      <c r="D429" s="32"/>
      <c r="E429" s="32"/>
      <c r="F429" s="32"/>
      <c r="G429" s="32"/>
      <c r="H429" s="32"/>
      <c r="I429" s="32"/>
      <c r="J429" s="32"/>
      <c r="K429" s="32"/>
      <c r="L429" s="32"/>
      <c r="M429" s="32"/>
      <c r="N429" s="32"/>
      <c r="O429" s="32"/>
      <c r="P429" s="32"/>
      <c r="Q429" s="32"/>
      <c r="R429" s="32"/>
      <c r="S429" s="32"/>
      <c r="T429" s="32"/>
      <c r="U429" s="32"/>
      <c r="V429" s="32"/>
      <c r="W429" s="32"/>
      <c r="X429" s="32"/>
      <c r="Y429" s="32"/>
      <c r="Z429" s="32"/>
    </row>
    <row r="430" spans="2:26" x14ac:dyDescent="0.2">
      <c r="B430" s="32"/>
      <c r="C430" s="32"/>
      <c r="D430" s="32"/>
      <c r="E430" s="32"/>
      <c r="F430" s="32"/>
      <c r="G430" s="32"/>
      <c r="H430" s="32"/>
      <c r="I430" s="32"/>
      <c r="J430" s="32"/>
      <c r="K430" s="32"/>
      <c r="L430" s="32"/>
      <c r="M430" s="32"/>
      <c r="N430" s="32"/>
      <c r="O430" s="32"/>
      <c r="P430" s="32"/>
      <c r="Q430" s="32"/>
      <c r="R430" s="32"/>
      <c r="S430" s="32"/>
      <c r="T430" s="32"/>
      <c r="U430" s="32"/>
      <c r="V430" s="32"/>
      <c r="W430" s="32"/>
      <c r="X430" s="32"/>
      <c r="Y430" s="32"/>
      <c r="Z430" s="32"/>
    </row>
    <row r="431" spans="2:26" x14ac:dyDescent="0.2">
      <c r="B431" s="32"/>
      <c r="C431" s="32"/>
      <c r="D431" s="32"/>
      <c r="E431" s="32"/>
      <c r="F431" s="32"/>
      <c r="G431" s="32"/>
      <c r="H431" s="32"/>
      <c r="I431" s="32"/>
      <c r="J431" s="32"/>
      <c r="K431" s="32"/>
      <c r="L431" s="32"/>
      <c r="M431" s="32"/>
      <c r="N431" s="32"/>
      <c r="O431" s="32"/>
      <c r="P431" s="32"/>
      <c r="Q431" s="32"/>
      <c r="R431" s="32"/>
      <c r="S431" s="32"/>
      <c r="T431" s="32"/>
      <c r="U431" s="32"/>
      <c r="V431" s="32"/>
      <c r="W431" s="32"/>
      <c r="X431" s="32"/>
      <c r="Y431" s="32"/>
      <c r="Z431" s="32"/>
    </row>
    <row r="432" spans="2:26" x14ac:dyDescent="0.2">
      <c r="B432" s="32"/>
      <c r="C432" s="32"/>
      <c r="D432" s="32"/>
      <c r="E432" s="32"/>
      <c r="F432" s="32"/>
      <c r="G432" s="32"/>
      <c r="H432" s="32"/>
      <c r="I432" s="32"/>
      <c r="J432" s="32"/>
      <c r="K432" s="32"/>
      <c r="L432" s="32"/>
      <c r="M432" s="32"/>
      <c r="N432" s="32"/>
      <c r="O432" s="32"/>
      <c r="P432" s="32"/>
      <c r="Q432" s="32"/>
      <c r="R432" s="32"/>
      <c r="S432" s="32"/>
      <c r="T432" s="32"/>
      <c r="U432" s="32"/>
      <c r="V432" s="32"/>
      <c r="W432" s="32"/>
      <c r="X432" s="32"/>
      <c r="Y432" s="32"/>
      <c r="Z432" s="32"/>
    </row>
    <row r="433" spans="2:26" x14ac:dyDescent="0.2">
      <c r="B433" s="32"/>
      <c r="C433" s="32"/>
      <c r="D433" s="32"/>
      <c r="E433" s="32"/>
      <c r="F433" s="32"/>
      <c r="G433" s="32"/>
      <c r="H433" s="32"/>
      <c r="I433" s="32"/>
      <c r="J433" s="32"/>
      <c r="K433" s="32"/>
      <c r="L433" s="32"/>
      <c r="M433" s="32"/>
      <c r="N433" s="32"/>
      <c r="O433" s="32"/>
      <c r="P433" s="32"/>
      <c r="Q433" s="32"/>
      <c r="R433" s="32"/>
      <c r="S433" s="32"/>
      <c r="T433" s="32"/>
      <c r="U433" s="32"/>
      <c r="V433" s="32"/>
      <c r="W433" s="32"/>
      <c r="X433" s="32"/>
      <c r="Y433" s="32"/>
      <c r="Z433" s="32"/>
    </row>
    <row r="434" spans="2:26" x14ac:dyDescent="0.2">
      <c r="B434" s="32"/>
      <c r="C434" s="32"/>
      <c r="D434" s="32"/>
      <c r="E434" s="32"/>
      <c r="F434" s="32"/>
      <c r="G434" s="32"/>
      <c r="H434" s="32"/>
      <c r="I434" s="32"/>
      <c r="J434" s="32"/>
      <c r="K434" s="32"/>
      <c r="L434" s="32"/>
      <c r="M434" s="32"/>
      <c r="N434" s="32"/>
      <c r="O434" s="32"/>
      <c r="P434" s="32"/>
      <c r="Q434" s="32"/>
      <c r="R434" s="32"/>
      <c r="S434" s="32"/>
      <c r="T434" s="32"/>
      <c r="U434" s="32"/>
      <c r="V434" s="32"/>
      <c r="W434" s="32"/>
      <c r="X434" s="32"/>
      <c r="Y434" s="32"/>
      <c r="Z434" s="32"/>
    </row>
    <row r="435" spans="2:26" x14ac:dyDescent="0.2">
      <c r="B435" s="32"/>
      <c r="C435" s="32"/>
      <c r="D435" s="32"/>
      <c r="E435" s="32"/>
      <c r="F435" s="32"/>
      <c r="G435" s="32"/>
      <c r="H435" s="32"/>
      <c r="I435" s="32"/>
      <c r="J435" s="32"/>
      <c r="K435" s="32"/>
      <c r="L435" s="32"/>
      <c r="M435" s="32"/>
      <c r="N435" s="32"/>
      <c r="O435" s="32"/>
      <c r="P435" s="32"/>
      <c r="Q435" s="32"/>
      <c r="R435" s="32"/>
      <c r="S435" s="32"/>
      <c r="T435" s="32"/>
      <c r="U435" s="32"/>
      <c r="V435" s="32"/>
      <c r="W435" s="32"/>
      <c r="X435" s="32"/>
      <c r="Y435" s="32"/>
      <c r="Z435" s="32"/>
    </row>
    <row r="436" spans="2:26" x14ac:dyDescent="0.2">
      <c r="B436" s="32"/>
      <c r="C436" s="32"/>
      <c r="D436" s="32"/>
      <c r="E436" s="32"/>
      <c r="F436" s="32"/>
      <c r="G436" s="32"/>
      <c r="H436" s="32"/>
      <c r="I436" s="32"/>
      <c r="J436" s="32"/>
      <c r="K436" s="32"/>
      <c r="L436" s="32"/>
      <c r="M436" s="32"/>
      <c r="N436" s="32"/>
      <c r="O436" s="32"/>
      <c r="P436" s="32"/>
      <c r="Q436" s="32"/>
      <c r="R436" s="32"/>
      <c r="S436" s="32"/>
      <c r="T436" s="32"/>
      <c r="U436" s="32"/>
      <c r="V436" s="32"/>
      <c r="W436" s="32"/>
      <c r="X436" s="32"/>
      <c r="Y436" s="32"/>
      <c r="Z436" s="32"/>
    </row>
    <row r="437" spans="2:26" x14ac:dyDescent="0.2">
      <c r="B437" s="32"/>
      <c r="C437" s="32"/>
      <c r="D437" s="32"/>
      <c r="E437" s="32"/>
      <c r="F437" s="32"/>
      <c r="G437" s="32"/>
      <c r="H437" s="32"/>
      <c r="I437" s="32"/>
      <c r="J437" s="32"/>
      <c r="K437" s="32"/>
      <c r="L437" s="32"/>
      <c r="M437" s="32"/>
      <c r="N437" s="32"/>
      <c r="O437" s="32"/>
      <c r="P437" s="32"/>
      <c r="Q437" s="32"/>
      <c r="R437" s="32"/>
      <c r="S437" s="32"/>
      <c r="T437" s="32"/>
      <c r="U437" s="32"/>
      <c r="V437" s="32"/>
      <c r="W437" s="32"/>
      <c r="X437" s="32"/>
      <c r="Y437" s="32"/>
      <c r="Z437" s="32"/>
    </row>
    <row r="438" spans="2:26" x14ac:dyDescent="0.2">
      <c r="B438" s="32"/>
      <c r="C438" s="32"/>
      <c r="D438" s="32"/>
      <c r="E438" s="32"/>
      <c r="F438" s="32"/>
      <c r="G438" s="32"/>
      <c r="H438" s="32"/>
      <c r="I438" s="32"/>
      <c r="J438" s="32"/>
      <c r="K438" s="32"/>
      <c r="L438" s="32"/>
      <c r="M438" s="32"/>
      <c r="N438" s="32"/>
      <c r="O438" s="32"/>
      <c r="P438" s="32"/>
      <c r="Q438" s="32"/>
      <c r="R438" s="32"/>
      <c r="S438" s="32"/>
      <c r="T438" s="32"/>
      <c r="U438" s="32"/>
      <c r="V438" s="32"/>
      <c r="W438" s="32"/>
      <c r="X438" s="32"/>
      <c r="Y438" s="32"/>
      <c r="Z438" s="32"/>
    </row>
    <row r="439" spans="2:26" x14ac:dyDescent="0.2">
      <c r="B439" s="32"/>
      <c r="C439" s="32"/>
      <c r="D439" s="32"/>
      <c r="E439" s="32"/>
      <c r="F439" s="32"/>
      <c r="G439" s="32"/>
      <c r="H439" s="32"/>
      <c r="I439" s="32"/>
      <c r="J439" s="32"/>
      <c r="K439" s="32"/>
      <c r="L439" s="32"/>
      <c r="M439" s="32"/>
      <c r="N439" s="32"/>
      <c r="O439" s="32"/>
      <c r="P439" s="32"/>
      <c r="Q439" s="32"/>
      <c r="R439" s="32"/>
      <c r="S439" s="32"/>
      <c r="T439" s="32"/>
      <c r="U439" s="32"/>
      <c r="V439" s="32"/>
      <c r="W439" s="32"/>
      <c r="X439" s="32"/>
      <c r="Y439" s="32"/>
      <c r="Z439" s="32"/>
    </row>
    <row r="440" spans="2:26" x14ac:dyDescent="0.2">
      <c r="B440" s="32"/>
      <c r="C440" s="32"/>
      <c r="D440" s="32"/>
      <c r="E440" s="32"/>
      <c r="F440" s="32"/>
      <c r="G440" s="32"/>
      <c r="H440" s="32"/>
      <c r="I440" s="32"/>
      <c r="J440" s="32"/>
      <c r="K440" s="32"/>
      <c r="L440" s="32"/>
      <c r="M440" s="32"/>
      <c r="N440" s="32"/>
      <c r="O440" s="32"/>
      <c r="P440" s="32"/>
      <c r="Q440" s="32"/>
      <c r="R440" s="32"/>
      <c r="S440" s="32"/>
      <c r="T440" s="32"/>
      <c r="U440" s="32"/>
      <c r="V440" s="32"/>
      <c r="W440" s="32"/>
      <c r="X440" s="32"/>
      <c r="Y440" s="32"/>
      <c r="Z440" s="32"/>
    </row>
    <row r="441" spans="2:26" x14ac:dyDescent="0.2">
      <c r="B441" s="32"/>
      <c r="C441" s="32"/>
      <c r="D441" s="32"/>
      <c r="E441" s="32"/>
      <c r="F441" s="32"/>
      <c r="G441" s="32"/>
      <c r="H441" s="32"/>
      <c r="I441" s="32"/>
      <c r="J441" s="32"/>
      <c r="K441" s="32"/>
      <c r="L441" s="32"/>
      <c r="M441" s="32"/>
      <c r="N441" s="32"/>
      <c r="O441" s="32"/>
      <c r="P441" s="32"/>
      <c r="Q441" s="32"/>
      <c r="R441" s="32"/>
      <c r="S441" s="32"/>
      <c r="T441" s="32"/>
      <c r="U441" s="32"/>
      <c r="V441" s="32"/>
      <c r="W441" s="32"/>
      <c r="X441" s="32"/>
      <c r="Y441" s="32"/>
      <c r="Z441" s="32"/>
    </row>
    <row r="442" spans="2:26" x14ac:dyDescent="0.2">
      <c r="B442" s="32"/>
      <c r="C442" s="32"/>
      <c r="D442" s="32"/>
      <c r="E442" s="32"/>
      <c r="F442" s="32"/>
      <c r="G442" s="32"/>
      <c r="H442" s="32"/>
      <c r="I442" s="32"/>
      <c r="J442" s="32"/>
      <c r="K442" s="32"/>
      <c r="L442" s="32"/>
      <c r="M442" s="32"/>
      <c r="N442" s="32"/>
      <c r="O442" s="32"/>
      <c r="P442" s="32"/>
      <c r="Q442" s="32"/>
      <c r="R442" s="32"/>
      <c r="S442" s="32"/>
      <c r="T442" s="32"/>
      <c r="U442" s="32"/>
      <c r="V442" s="32"/>
      <c r="W442" s="32"/>
      <c r="X442" s="32"/>
      <c r="Y442" s="32"/>
      <c r="Z442" s="32"/>
    </row>
    <row r="443" spans="2:26" x14ac:dyDescent="0.2">
      <c r="B443" s="32"/>
      <c r="C443" s="32"/>
      <c r="D443" s="32"/>
      <c r="E443" s="32"/>
      <c r="F443" s="32"/>
      <c r="G443" s="32"/>
      <c r="H443" s="32"/>
      <c r="I443" s="32"/>
      <c r="J443" s="32"/>
      <c r="K443" s="32"/>
      <c r="L443" s="32"/>
      <c r="M443" s="32"/>
      <c r="N443" s="32"/>
      <c r="O443" s="32"/>
      <c r="P443" s="32"/>
      <c r="Q443" s="32"/>
      <c r="R443" s="32"/>
      <c r="S443" s="32"/>
      <c r="T443" s="32"/>
      <c r="U443" s="32"/>
      <c r="V443" s="32"/>
      <c r="W443" s="32"/>
      <c r="X443" s="32"/>
      <c r="Y443" s="32"/>
      <c r="Z443" s="32"/>
    </row>
    <row r="444" spans="2:26" x14ac:dyDescent="0.2">
      <c r="B444" s="32"/>
      <c r="C444" s="32"/>
      <c r="D444" s="32"/>
      <c r="E444" s="32"/>
      <c r="F444" s="32"/>
      <c r="G444" s="32"/>
      <c r="H444" s="32"/>
      <c r="I444" s="32"/>
      <c r="J444" s="32"/>
      <c r="K444" s="32"/>
      <c r="L444" s="32"/>
      <c r="M444" s="32"/>
      <c r="N444" s="32"/>
      <c r="O444" s="32"/>
      <c r="P444" s="32"/>
      <c r="Q444" s="32"/>
      <c r="R444" s="32"/>
      <c r="S444" s="32"/>
      <c r="T444" s="32"/>
      <c r="U444" s="32"/>
      <c r="V444" s="32"/>
      <c r="W444" s="32"/>
      <c r="X444" s="32"/>
      <c r="Y444" s="32"/>
      <c r="Z444" s="32"/>
    </row>
    <row r="445" spans="2:26" x14ac:dyDescent="0.2">
      <c r="B445" s="32"/>
      <c r="C445" s="32"/>
      <c r="D445" s="32"/>
      <c r="E445" s="32"/>
      <c r="F445" s="32"/>
      <c r="G445" s="32"/>
      <c r="H445" s="32"/>
      <c r="I445" s="32"/>
      <c r="J445" s="32"/>
      <c r="K445" s="32"/>
      <c r="L445" s="32"/>
      <c r="M445" s="32"/>
      <c r="N445" s="32"/>
      <c r="O445" s="32"/>
      <c r="P445" s="32"/>
      <c r="Q445" s="32"/>
      <c r="R445" s="32"/>
      <c r="S445" s="32"/>
      <c r="T445" s="32"/>
      <c r="U445" s="32"/>
      <c r="V445" s="32"/>
      <c r="W445" s="32"/>
      <c r="X445" s="32"/>
      <c r="Y445" s="32"/>
      <c r="Z445" s="32"/>
    </row>
    <row r="446" spans="2:26" x14ac:dyDescent="0.2">
      <c r="B446" s="32"/>
      <c r="C446" s="32"/>
      <c r="D446" s="32"/>
      <c r="E446" s="32"/>
      <c r="F446" s="32"/>
      <c r="G446" s="32"/>
      <c r="H446" s="32"/>
      <c r="I446" s="32"/>
      <c r="J446" s="32"/>
      <c r="K446" s="32"/>
      <c r="L446" s="32"/>
      <c r="M446" s="32"/>
      <c r="N446" s="32"/>
      <c r="O446" s="32"/>
      <c r="P446" s="32"/>
      <c r="Q446" s="32"/>
      <c r="R446" s="32"/>
      <c r="S446" s="32"/>
      <c r="T446" s="32"/>
      <c r="U446" s="32"/>
      <c r="V446" s="32"/>
      <c r="W446" s="32"/>
      <c r="X446" s="32"/>
      <c r="Y446" s="32"/>
      <c r="Z446" s="32"/>
    </row>
    <row r="447" spans="2:26" x14ac:dyDescent="0.2">
      <c r="B447" s="32"/>
      <c r="C447" s="32"/>
      <c r="D447" s="32"/>
      <c r="E447" s="32"/>
      <c r="F447" s="32"/>
      <c r="G447" s="32"/>
      <c r="H447" s="32"/>
      <c r="I447" s="32"/>
      <c r="J447" s="32"/>
      <c r="K447" s="32"/>
      <c r="L447" s="32"/>
      <c r="M447" s="32"/>
      <c r="N447" s="32"/>
      <c r="O447" s="32"/>
      <c r="P447" s="32"/>
      <c r="Q447" s="32"/>
      <c r="R447" s="32"/>
      <c r="S447" s="32"/>
      <c r="T447" s="32"/>
      <c r="U447" s="32"/>
      <c r="V447" s="32"/>
      <c r="W447" s="32"/>
      <c r="X447" s="32"/>
      <c r="Y447" s="32"/>
      <c r="Z447" s="32"/>
    </row>
    <row r="448" spans="2:26" x14ac:dyDescent="0.2">
      <c r="B448" s="32"/>
      <c r="C448" s="32"/>
      <c r="D448" s="32"/>
      <c r="E448" s="32"/>
      <c r="F448" s="32"/>
      <c r="G448" s="32"/>
      <c r="H448" s="32"/>
      <c r="I448" s="32"/>
      <c r="J448" s="32"/>
      <c r="K448" s="32"/>
      <c r="L448" s="32"/>
      <c r="M448" s="32"/>
      <c r="N448" s="32"/>
      <c r="O448" s="32"/>
      <c r="P448" s="32"/>
      <c r="Q448" s="32"/>
      <c r="R448" s="32"/>
      <c r="S448" s="32"/>
      <c r="T448" s="32"/>
      <c r="U448" s="32"/>
      <c r="V448" s="32"/>
      <c r="W448" s="32"/>
      <c r="X448" s="32"/>
      <c r="Y448" s="32"/>
      <c r="Z448" s="32"/>
    </row>
    <row r="449" spans="2:26" x14ac:dyDescent="0.2">
      <c r="B449" s="32"/>
      <c r="C449" s="32"/>
      <c r="D449" s="32"/>
      <c r="E449" s="32"/>
      <c r="F449" s="32"/>
      <c r="G449" s="32"/>
      <c r="H449" s="32"/>
      <c r="I449" s="32"/>
      <c r="J449" s="32"/>
      <c r="K449" s="32"/>
      <c r="L449" s="32"/>
      <c r="M449" s="32"/>
      <c r="N449" s="32"/>
      <c r="O449" s="32"/>
      <c r="P449" s="32"/>
      <c r="Q449" s="32"/>
      <c r="R449" s="32"/>
      <c r="S449" s="32"/>
      <c r="T449" s="32"/>
      <c r="U449" s="32"/>
      <c r="V449" s="32"/>
      <c r="W449" s="32"/>
      <c r="X449" s="32"/>
      <c r="Y449" s="32"/>
      <c r="Z449" s="32"/>
    </row>
    <row r="450" spans="2:26" x14ac:dyDescent="0.2">
      <c r="B450" s="32"/>
      <c r="C450" s="32"/>
      <c r="D450" s="32"/>
      <c r="E450" s="32"/>
      <c r="F450" s="32"/>
      <c r="G450" s="32"/>
      <c r="H450" s="32"/>
      <c r="I450" s="32"/>
      <c r="J450" s="32"/>
      <c r="K450" s="32"/>
      <c r="L450" s="32"/>
      <c r="M450" s="32"/>
      <c r="N450" s="32"/>
      <c r="O450" s="32"/>
      <c r="P450" s="32"/>
      <c r="Q450" s="32"/>
      <c r="R450" s="32"/>
      <c r="S450" s="32"/>
      <c r="T450" s="32"/>
      <c r="U450" s="32"/>
      <c r="V450" s="32"/>
      <c r="W450" s="32"/>
      <c r="X450" s="32"/>
      <c r="Y450" s="32"/>
      <c r="Z450" s="32"/>
    </row>
    <row r="451" spans="2:26" x14ac:dyDescent="0.2">
      <c r="B451" s="32"/>
      <c r="C451" s="32"/>
      <c r="D451" s="32"/>
      <c r="E451" s="32"/>
      <c r="F451" s="32"/>
      <c r="G451" s="32"/>
      <c r="H451" s="32"/>
      <c r="I451" s="32"/>
      <c r="J451" s="32"/>
      <c r="K451" s="32"/>
      <c r="L451" s="32"/>
      <c r="M451" s="32"/>
      <c r="N451" s="32"/>
      <c r="O451" s="32"/>
      <c r="P451" s="32"/>
      <c r="Q451" s="32"/>
      <c r="R451" s="32"/>
      <c r="S451" s="32"/>
      <c r="T451" s="32"/>
      <c r="U451" s="32"/>
      <c r="V451" s="32"/>
      <c r="W451" s="32"/>
      <c r="X451" s="32"/>
      <c r="Y451" s="32"/>
      <c r="Z451" s="32"/>
    </row>
    <row r="452" spans="2:26" x14ac:dyDescent="0.2">
      <c r="B452" s="32"/>
      <c r="C452" s="32"/>
      <c r="D452" s="32"/>
      <c r="E452" s="32"/>
      <c r="F452" s="32"/>
      <c r="G452" s="32"/>
      <c r="H452" s="32"/>
      <c r="I452" s="32"/>
      <c r="J452" s="32"/>
      <c r="K452" s="32"/>
      <c r="L452" s="32"/>
      <c r="M452" s="32"/>
      <c r="N452" s="32"/>
      <c r="O452" s="32"/>
      <c r="P452" s="32"/>
      <c r="Q452" s="32"/>
      <c r="R452" s="32"/>
      <c r="S452" s="32"/>
      <c r="T452" s="32"/>
      <c r="U452" s="32"/>
      <c r="V452" s="32"/>
      <c r="W452" s="32"/>
      <c r="X452" s="32"/>
      <c r="Y452" s="32"/>
      <c r="Z452" s="32"/>
    </row>
    <row r="453" spans="2:26" x14ac:dyDescent="0.2">
      <c r="B453" s="32"/>
      <c r="C453" s="32"/>
      <c r="D453" s="32"/>
      <c r="E453" s="32"/>
      <c r="F453" s="32"/>
      <c r="G453" s="32"/>
      <c r="H453" s="32"/>
      <c r="I453" s="32"/>
      <c r="J453" s="32"/>
      <c r="K453" s="32"/>
      <c r="L453" s="32"/>
      <c r="M453" s="32"/>
      <c r="N453" s="32"/>
      <c r="O453" s="32"/>
      <c r="P453" s="32"/>
      <c r="Q453" s="32"/>
      <c r="R453" s="32"/>
      <c r="S453" s="32"/>
      <c r="T453" s="32"/>
      <c r="U453" s="32"/>
      <c r="V453" s="32"/>
      <c r="W453" s="32"/>
      <c r="X453" s="32"/>
      <c r="Y453" s="32"/>
      <c r="Z453" s="32"/>
    </row>
    <row r="454" spans="2:26" x14ac:dyDescent="0.2">
      <c r="B454" s="32"/>
      <c r="C454" s="32"/>
      <c r="D454" s="32"/>
      <c r="E454" s="32"/>
      <c r="F454" s="32"/>
      <c r="G454" s="32"/>
      <c r="H454" s="32"/>
      <c r="I454" s="32"/>
      <c r="J454" s="32"/>
      <c r="K454" s="32"/>
      <c r="L454" s="32"/>
      <c r="M454" s="32"/>
      <c r="N454" s="32"/>
      <c r="O454" s="32"/>
      <c r="P454" s="32"/>
      <c r="Q454" s="32"/>
      <c r="R454" s="32"/>
      <c r="S454" s="32"/>
      <c r="T454" s="32"/>
      <c r="U454" s="32"/>
      <c r="V454" s="32"/>
      <c r="W454" s="32"/>
      <c r="X454" s="32"/>
      <c r="Y454" s="32"/>
      <c r="Z454" s="32"/>
    </row>
    <row r="455" spans="2:26" x14ac:dyDescent="0.2">
      <c r="B455" s="32"/>
      <c r="C455" s="32"/>
      <c r="D455" s="32"/>
      <c r="E455" s="32"/>
      <c r="F455" s="32"/>
      <c r="G455" s="32"/>
      <c r="H455" s="32"/>
      <c r="I455" s="32"/>
      <c r="J455" s="32"/>
      <c r="K455" s="32"/>
      <c r="L455" s="32"/>
      <c r="M455" s="32"/>
      <c r="N455" s="32"/>
      <c r="O455" s="32"/>
      <c r="P455" s="32"/>
      <c r="Q455" s="32"/>
      <c r="R455" s="32"/>
      <c r="S455" s="32"/>
      <c r="T455" s="32"/>
      <c r="U455" s="32"/>
      <c r="V455" s="32"/>
      <c r="W455" s="32"/>
      <c r="X455" s="32"/>
      <c r="Y455" s="32"/>
      <c r="Z455" s="32"/>
    </row>
    <row r="456" spans="2:26" x14ac:dyDescent="0.2">
      <c r="B456" s="32"/>
      <c r="C456" s="32"/>
      <c r="D456" s="32"/>
      <c r="E456" s="32"/>
      <c r="F456" s="32"/>
      <c r="G456" s="32"/>
      <c r="H456" s="32"/>
      <c r="I456" s="32"/>
      <c r="J456" s="32"/>
      <c r="K456" s="32"/>
      <c r="L456" s="32"/>
      <c r="M456" s="32"/>
      <c r="N456" s="32"/>
      <c r="O456" s="32"/>
      <c r="P456" s="32"/>
      <c r="Q456" s="32"/>
      <c r="R456" s="32"/>
      <c r="S456" s="32"/>
      <c r="T456" s="32"/>
      <c r="U456" s="32"/>
      <c r="V456" s="32"/>
      <c r="W456" s="32"/>
      <c r="X456" s="32"/>
      <c r="Y456" s="32"/>
      <c r="Z456" s="32"/>
    </row>
    <row r="457" spans="2:26" x14ac:dyDescent="0.2">
      <c r="B457" s="32"/>
      <c r="C457" s="32"/>
      <c r="D457" s="32"/>
      <c r="E457" s="32"/>
      <c r="F457" s="32"/>
      <c r="G457" s="32"/>
      <c r="H457" s="32"/>
      <c r="I457" s="32"/>
      <c r="J457" s="32"/>
      <c r="K457" s="32"/>
      <c r="L457" s="32"/>
      <c r="M457" s="32"/>
      <c r="N457" s="32"/>
      <c r="O457" s="32"/>
      <c r="P457" s="32"/>
      <c r="Q457" s="32"/>
      <c r="R457" s="32"/>
      <c r="S457" s="32"/>
      <c r="T457" s="32"/>
      <c r="U457" s="32"/>
      <c r="V457" s="32"/>
      <c r="W457" s="32"/>
      <c r="X457" s="32"/>
      <c r="Y457" s="32"/>
      <c r="Z457" s="32"/>
    </row>
    <row r="458" spans="2:26" x14ac:dyDescent="0.2">
      <c r="B458" s="32"/>
      <c r="C458" s="32"/>
      <c r="D458" s="32"/>
      <c r="E458" s="32"/>
      <c r="F458" s="32"/>
      <c r="G458" s="32"/>
      <c r="H458" s="32"/>
      <c r="I458" s="32"/>
      <c r="J458" s="32"/>
      <c r="K458" s="32"/>
      <c r="L458" s="32"/>
      <c r="M458" s="32"/>
      <c r="N458" s="32"/>
      <c r="O458" s="32"/>
      <c r="P458" s="32"/>
      <c r="Q458" s="32"/>
      <c r="R458" s="32"/>
      <c r="S458" s="32"/>
      <c r="T458" s="32"/>
      <c r="U458" s="32"/>
      <c r="V458" s="32"/>
      <c r="W458" s="32"/>
      <c r="X458" s="32"/>
      <c r="Y458" s="32"/>
      <c r="Z458" s="32"/>
    </row>
    <row r="459" spans="2:26" x14ac:dyDescent="0.2">
      <c r="B459" s="32"/>
      <c r="C459" s="32"/>
      <c r="D459" s="32"/>
      <c r="E459" s="32"/>
      <c r="F459" s="32"/>
      <c r="G459" s="32"/>
      <c r="H459" s="32"/>
      <c r="I459" s="32"/>
      <c r="J459" s="32"/>
      <c r="K459" s="32"/>
      <c r="L459" s="32"/>
      <c r="M459" s="32"/>
      <c r="N459" s="32"/>
      <c r="O459" s="32"/>
      <c r="P459" s="32"/>
      <c r="Q459" s="32"/>
      <c r="R459" s="32"/>
      <c r="S459" s="32"/>
      <c r="T459" s="32"/>
      <c r="U459" s="32"/>
      <c r="V459" s="32"/>
      <c r="W459" s="32"/>
      <c r="X459" s="32"/>
      <c r="Y459" s="32"/>
      <c r="Z459" s="32"/>
    </row>
    <row r="460" spans="2:26" x14ac:dyDescent="0.2">
      <c r="B460" s="32"/>
      <c r="C460" s="32"/>
      <c r="D460" s="32"/>
      <c r="E460" s="32"/>
      <c r="F460" s="32"/>
      <c r="G460" s="32"/>
      <c r="H460" s="32"/>
      <c r="I460" s="32"/>
      <c r="J460" s="32"/>
      <c r="K460" s="32"/>
      <c r="L460" s="32"/>
      <c r="M460" s="32"/>
      <c r="N460" s="32"/>
      <c r="O460" s="32"/>
      <c r="P460" s="32"/>
      <c r="Q460" s="32"/>
      <c r="R460" s="32"/>
      <c r="S460" s="32"/>
      <c r="T460" s="32"/>
      <c r="U460" s="32"/>
      <c r="V460" s="32"/>
      <c r="W460" s="32"/>
      <c r="X460" s="32"/>
      <c r="Y460" s="32"/>
      <c r="Z460" s="32"/>
    </row>
    <row r="461" spans="2:26" x14ac:dyDescent="0.2">
      <c r="B461" s="32"/>
      <c r="C461" s="32"/>
      <c r="D461" s="32"/>
      <c r="E461" s="32"/>
      <c r="F461" s="32"/>
      <c r="G461" s="32"/>
      <c r="H461" s="32"/>
      <c r="I461" s="32"/>
      <c r="J461" s="32"/>
      <c r="K461" s="32"/>
      <c r="L461" s="32"/>
      <c r="M461" s="32"/>
      <c r="N461" s="32"/>
      <c r="O461" s="32"/>
      <c r="P461" s="32"/>
      <c r="Q461" s="32"/>
      <c r="R461" s="32"/>
      <c r="S461" s="32"/>
      <c r="T461" s="32"/>
      <c r="U461" s="32"/>
      <c r="V461" s="32"/>
      <c r="W461" s="32"/>
      <c r="X461" s="32"/>
      <c r="Y461" s="32"/>
      <c r="Z461" s="32"/>
    </row>
    <row r="462" spans="2:26" x14ac:dyDescent="0.2">
      <c r="B462" s="32"/>
      <c r="C462" s="32"/>
      <c r="D462" s="32"/>
      <c r="E462" s="32"/>
      <c r="F462" s="32"/>
      <c r="G462" s="32"/>
      <c r="H462" s="32"/>
      <c r="I462" s="32"/>
      <c r="J462" s="32"/>
      <c r="K462" s="32"/>
      <c r="L462" s="32"/>
      <c r="M462" s="32"/>
      <c r="N462" s="32"/>
      <c r="O462" s="32"/>
      <c r="P462" s="32"/>
      <c r="Q462" s="32"/>
      <c r="R462" s="32"/>
      <c r="S462" s="32"/>
      <c r="T462" s="32"/>
      <c r="U462" s="32"/>
      <c r="V462" s="32"/>
      <c r="W462" s="32"/>
      <c r="X462" s="32"/>
      <c r="Y462" s="32"/>
      <c r="Z462" s="32"/>
    </row>
    <row r="463" spans="2:26" x14ac:dyDescent="0.2">
      <c r="B463" s="32"/>
      <c r="C463" s="32"/>
      <c r="D463" s="32"/>
      <c r="E463" s="32"/>
      <c r="F463" s="32"/>
      <c r="G463" s="32"/>
      <c r="H463" s="32"/>
      <c r="I463" s="32"/>
      <c r="J463" s="32"/>
      <c r="K463" s="32"/>
      <c r="L463" s="32"/>
      <c r="M463" s="32"/>
      <c r="N463" s="32"/>
      <c r="O463" s="32"/>
      <c r="P463" s="32"/>
      <c r="Q463" s="32"/>
      <c r="R463" s="32"/>
      <c r="S463" s="32"/>
      <c r="T463" s="32"/>
      <c r="U463" s="32"/>
      <c r="V463" s="32"/>
      <c r="W463" s="32"/>
      <c r="X463" s="32"/>
      <c r="Y463" s="32"/>
      <c r="Z463" s="32"/>
    </row>
    <row r="464" spans="2:26" x14ac:dyDescent="0.2">
      <c r="B464" s="32"/>
      <c r="C464" s="32"/>
      <c r="D464" s="32"/>
      <c r="E464" s="32"/>
      <c r="F464" s="32"/>
      <c r="G464" s="32"/>
      <c r="H464" s="32"/>
      <c r="I464" s="32"/>
      <c r="J464" s="32"/>
      <c r="K464" s="32"/>
      <c r="L464" s="32"/>
      <c r="M464" s="32"/>
      <c r="N464" s="32"/>
      <c r="O464" s="32"/>
      <c r="P464" s="32"/>
      <c r="Q464" s="32"/>
      <c r="R464" s="32"/>
      <c r="S464" s="32"/>
      <c r="T464" s="32"/>
      <c r="U464" s="32"/>
      <c r="V464" s="32"/>
      <c r="W464" s="32"/>
      <c r="X464" s="32"/>
      <c r="Y464" s="32"/>
      <c r="Z464" s="32"/>
    </row>
    <row r="465" spans="2:26" x14ac:dyDescent="0.2">
      <c r="B465" s="32"/>
      <c r="C465" s="32"/>
      <c r="D465" s="32"/>
      <c r="E465" s="32"/>
      <c r="F465" s="32"/>
      <c r="G465" s="32"/>
      <c r="H465" s="32"/>
      <c r="I465" s="32"/>
      <c r="J465" s="32"/>
      <c r="K465" s="32"/>
      <c r="L465" s="32"/>
      <c r="M465" s="32"/>
      <c r="N465" s="32"/>
      <c r="O465" s="32"/>
      <c r="P465" s="32"/>
      <c r="Q465" s="32"/>
      <c r="R465" s="32"/>
      <c r="S465" s="32"/>
      <c r="T465" s="32"/>
      <c r="U465" s="32"/>
      <c r="V465" s="32"/>
      <c r="W465" s="32"/>
      <c r="X465" s="32"/>
      <c r="Y465" s="32"/>
      <c r="Z465" s="32"/>
    </row>
    <row r="466" spans="2:26" x14ac:dyDescent="0.2">
      <c r="B466" s="32"/>
      <c r="C466" s="32"/>
      <c r="D466" s="32"/>
      <c r="E466" s="32"/>
      <c r="F466" s="32"/>
      <c r="G466" s="32"/>
      <c r="H466" s="32"/>
      <c r="I466" s="32"/>
      <c r="J466" s="32"/>
      <c r="K466" s="32"/>
      <c r="L466" s="32"/>
      <c r="M466" s="32"/>
      <c r="N466" s="32"/>
      <c r="O466" s="32"/>
      <c r="P466" s="32"/>
      <c r="Q466" s="32"/>
      <c r="R466" s="32"/>
      <c r="S466" s="32"/>
      <c r="T466" s="32"/>
      <c r="U466" s="32"/>
      <c r="V466" s="32"/>
      <c r="W466" s="32"/>
      <c r="X466" s="32"/>
      <c r="Y466" s="32"/>
      <c r="Z466" s="32"/>
    </row>
    <row r="467" spans="2:26" x14ac:dyDescent="0.2">
      <c r="B467" s="32"/>
      <c r="C467" s="32"/>
      <c r="D467" s="32"/>
      <c r="E467" s="32"/>
      <c r="F467" s="32"/>
      <c r="G467" s="32"/>
      <c r="H467" s="32"/>
      <c r="I467" s="32"/>
      <c r="J467" s="32"/>
      <c r="K467" s="32"/>
      <c r="L467" s="32"/>
      <c r="M467" s="32"/>
      <c r="N467" s="32"/>
      <c r="O467" s="32"/>
      <c r="P467" s="32"/>
      <c r="Q467" s="32"/>
      <c r="R467" s="32"/>
      <c r="S467" s="32"/>
      <c r="T467" s="32"/>
      <c r="U467" s="32"/>
      <c r="V467" s="32"/>
      <c r="W467" s="32"/>
      <c r="X467" s="32"/>
      <c r="Y467" s="32"/>
      <c r="Z467" s="32"/>
    </row>
    <row r="468" spans="2:26" x14ac:dyDescent="0.2">
      <c r="B468" s="32"/>
      <c r="C468" s="32"/>
      <c r="D468" s="32"/>
      <c r="E468" s="32"/>
      <c r="F468" s="32"/>
      <c r="G468" s="32"/>
      <c r="H468" s="32"/>
      <c r="I468" s="32"/>
      <c r="J468" s="32"/>
      <c r="K468" s="32"/>
      <c r="L468" s="32"/>
      <c r="M468" s="32"/>
      <c r="N468" s="32"/>
      <c r="O468" s="32"/>
      <c r="P468" s="32"/>
      <c r="Q468" s="32"/>
      <c r="R468" s="32"/>
      <c r="S468" s="32"/>
      <c r="T468" s="32"/>
      <c r="U468" s="32"/>
      <c r="V468" s="32"/>
      <c r="W468" s="32"/>
      <c r="X468" s="32"/>
      <c r="Y468" s="32"/>
      <c r="Z468" s="32"/>
    </row>
    <row r="469" spans="2:26" x14ac:dyDescent="0.2">
      <c r="B469" s="32"/>
      <c r="C469" s="32"/>
      <c r="D469" s="32"/>
      <c r="E469" s="32"/>
      <c r="F469" s="32"/>
      <c r="G469" s="32"/>
      <c r="H469" s="32"/>
      <c r="I469" s="32"/>
      <c r="J469" s="32"/>
      <c r="K469" s="32"/>
      <c r="L469" s="32"/>
      <c r="M469" s="32"/>
      <c r="N469" s="32"/>
      <c r="O469" s="32"/>
      <c r="P469" s="32"/>
      <c r="Q469" s="32"/>
      <c r="R469" s="32"/>
      <c r="S469" s="32"/>
      <c r="T469" s="32"/>
      <c r="U469" s="32"/>
      <c r="V469" s="32"/>
      <c r="W469" s="32"/>
      <c r="X469" s="32"/>
      <c r="Y469" s="32"/>
      <c r="Z469" s="32"/>
    </row>
    <row r="470" spans="2:26" x14ac:dyDescent="0.2">
      <c r="B470" s="32"/>
      <c r="C470" s="32"/>
      <c r="D470" s="32"/>
      <c r="E470" s="32"/>
      <c r="F470" s="32"/>
      <c r="G470" s="32"/>
      <c r="H470" s="32"/>
      <c r="I470" s="32"/>
      <c r="J470" s="32"/>
      <c r="K470" s="32"/>
      <c r="L470" s="32"/>
      <c r="M470" s="32"/>
      <c r="N470" s="32"/>
      <c r="O470" s="32"/>
      <c r="P470" s="32"/>
      <c r="Q470" s="32"/>
      <c r="R470" s="32"/>
      <c r="S470" s="32"/>
      <c r="T470" s="32"/>
      <c r="U470" s="32"/>
      <c r="V470" s="32"/>
      <c r="W470" s="32"/>
      <c r="X470" s="32"/>
      <c r="Y470" s="32"/>
      <c r="Z470" s="32"/>
    </row>
    <row r="471" spans="2:26" x14ac:dyDescent="0.2">
      <c r="B471" s="32"/>
      <c r="C471" s="32"/>
      <c r="D471" s="32"/>
      <c r="E471" s="32"/>
      <c r="F471" s="32"/>
      <c r="G471" s="32"/>
      <c r="H471" s="32"/>
      <c r="I471" s="32"/>
      <c r="J471" s="32"/>
      <c r="K471" s="32"/>
      <c r="L471" s="32"/>
      <c r="M471" s="32"/>
      <c r="N471" s="32"/>
      <c r="O471" s="32"/>
      <c r="P471" s="32"/>
      <c r="Q471" s="32"/>
      <c r="R471" s="32"/>
      <c r="S471" s="32"/>
      <c r="T471" s="32"/>
      <c r="U471" s="32"/>
      <c r="V471" s="32"/>
      <c r="W471" s="32"/>
      <c r="X471" s="32"/>
      <c r="Y471" s="32"/>
      <c r="Z471" s="32"/>
    </row>
    <row r="472" spans="2:26" x14ac:dyDescent="0.2">
      <c r="B472" s="32"/>
      <c r="C472" s="32"/>
      <c r="D472" s="32"/>
      <c r="E472" s="32"/>
      <c r="F472" s="32"/>
      <c r="G472" s="32"/>
      <c r="H472" s="32"/>
      <c r="I472" s="32"/>
      <c r="J472" s="32"/>
      <c r="K472" s="32"/>
      <c r="L472" s="32"/>
      <c r="M472" s="32"/>
      <c r="N472" s="32"/>
      <c r="O472" s="32"/>
      <c r="P472" s="32"/>
      <c r="Q472" s="32"/>
      <c r="R472" s="32"/>
      <c r="S472" s="32"/>
      <c r="T472" s="32"/>
      <c r="U472" s="32"/>
      <c r="V472" s="32"/>
      <c r="W472" s="32"/>
      <c r="X472" s="32"/>
      <c r="Y472" s="32"/>
      <c r="Z472" s="32"/>
    </row>
    <row r="473" spans="2:26" x14ac:dyDescent="0.2">
      <c r="B473" s="32"/>
      <c r="C473" s="32"/>
      <c r="D473" s="32"/>
      <c r="E473" s="32"/>
      <c r="F473" s="32"/>
      <c r="G473" s="32"/>
      <c r="H473" s="32"/>
      <c r="I473" s="32"/>
      <c r="J473" s="32"/>
      <c r="K473" s="32"/>
      <c r="L473" s="32"/>
      <c r="M473" s="32"/>
      <c r="N473" s="32"/>
      <c r="O473" s="32"/>
      <c r="P473" s="32"/>
      <c r="Q473" s="32"/>
      <c r="R473" s="32"/>
      <c r="S473" s="32"/>
      <c r="T473" s="32"/>
      <c r="U473" s="32"/>
      <c r="V473" s="32"/>
      <c r="W473" s="32"/>
      <c r="X473" s="32"/>
      <c r="Y473" s="32"/>
      <c r="Z473" s="32"/>
    </row>
    <row r="474" spans="2:26" x14ac:dyDescent="0.2">
      <c r="B474" s="32"/>
      <c r="C474" s="32"/>
      <c r="D474" s="32"/>
      <c r="E474" s="32"/>
      <c r="F474" s="32"/>
      <c r="G474" s="32"/>
      <c r="H474" s="32"/>
      <c r="I474" s="32"/>
      <c r="J474" s="32"/>
      <c r="K474" s="32"/>
      <c r="L474" s="32"/>
      <c r="M474" s="32"/>
      <c r="N474" s="32"/>
      <c r="O474" s="32"/>
      <c r="P474" s="32"/>
      <c r="Q474" s="32"/>
      <c r="R474" s="32"/>
      <c r="S474" s="32"/>
      <c r="T474" s="32"/>
      <c r="U474" s="32"/>
      <c r="V474" s="32"/>
      <c r="W474" s="32"/>
      <c r="X474" s="32"/>
      <c r="Y474" s="32"/>
      <c r="Z474" s="32"/>
    </row>
    <row r="475" spans="2:26" x14ac:dyDescent="0.2">
      <c r="B475" s="32"/>
      <c r="C475" s="32"/>
      <c r="D475" s="32"/>
      <c r="E475" s="32"/>
      <c r="F475" s="32"/>
      <c r="G475" s="32"/>
      <c r="H475" s="32"/>
      <c r="I475" s="32"/>
      <c r="J475" s="32"/>
      <c r="K475" s="32"/>
      <c r="L475" s="32"/>
      <c r="M475" s="32"/>
      <c r="N475" s="32"/>
      <c r="O475" s="32"/>
      <c r="P475" s="32"/>
      <c r="Q475" s="32"/>
      <c r="R475" s="32"/>
      <c r="S475" s="32"/>
      <c r="T475" s="32"/>
      <c r="U475" s="32"/>
      <c r="V475" s="32"/>
      <c r="W475" s="32"/>
      <c r="X475" s="32"/>
      <c r="Y475" s="32"/>
      <c r="Z475" s="32"/>
    </row>
    <row r="476" spans="2:26" x14ac:dyDescent="0.2">
      <c r="B476" s="32"/>
      <c r="C476" s="32"/>
      <c r="D476" s="32"/>
      <c r="E476" s="32"/>
      <c r="F476" s="32"/>
      <c r="G476" s="32"/>
      <c r="H476" s="32"/>
      <c r="I476" s="32"/>
      <c r="J476" s="32"/>
      <c r="K476" s="32"/>
      <c r="L476" s="32"/>
      <c r="M476" s="32"/>
      <c r="N476" s="32"/>
      <c r="O476" s="32"/>
      <c r="P476" s="32"/>
      <c r="Q476" s="32"/>
      <c r="R476" s="32"/>
      <c r="S476" s="32"/>
      <c r="T476" s="32"/>
      <c r="U476" s="32"/>
      <c r="V476" s="32"/>
      <c r="W476" s="32"/>
      <c r="X476" s="32"/>
      <c r="Y476" s="32"/>
      <c r="Z476" s="32"/>
    </row>
    <row r="477" spans="2:26" x14ac:dyDescent="0.2">
      <c r="B477" s="32"/>
      <c r="C477" s="32"/>
      <c r="D477" s="32"/>
      <c r="E477" s="32"/>
      <c r="F477" s="32"/>
      <c r="G477" s="32"/>
      <c r="H477" s="32"/>
      <c r="I477" s="32"/>
      <c r="J477" s="32"/>
      <c r="K477" s="32"/>
      <c r="L477" s="32"/>
      <c r="M477" s="32"/>
      <c r="N477" s="32"/>
      <c r="O477" s="32"/>
      <c r="P477" s="32"/>
      <c r="Q477" s="32"/>
      <c r="R477" s="32"/>
      <c r="S477" s="32"/>
      <c r="T477" s="32"/>
      <c r="U477" s="32"/>
      <c r="V477" s="32"/>
      <c r="W477" s="32"/>
      <c r="X477" s="32"/>
      <c r="Y477" s="32"/>
      <c r="Z477" s="32"/>
    </row>
    <row r="478" spans="2:26" x14ac:dyDescent="0.2">
      <c r="B478" s="32"/>
      <c r="C478" s="32"/>
      <c r="D478" s="32"/>
      <c r="E478" s="32"/>
      <c r="F478" s="32"/>
      <c r="G478" s="32"/>
      <c r="H478" s="32"/>
      <c r="I478" s="32"/>
      <c r="J478" s="32"/>
      <c r="K478" s="32"/>
      <c r="L478" s="32"/>
      <c r="M478" s="32"/>
      <c r="N478" s="32"/>
      <c r="O478" s="32"/>
      <c r="P478" s="32"/>
      <c r="Q478" s="32"/>
      <c r="R478" s="32"/>
      <c r="S478" s="32"/>
      <c r="T478" s="32"/>
      <c r="U478" s="32"/>
      <c r="V478" s="32"/>
      <c r="W478" s="32"/>
      <c r="X478" s="32"/>
      <c r="Y478" s="32"/>
      <c r="Z478" s="32"/>
    </row>
    <row r="479" spans="2:26" x14ac:dyDescent="0.2">
      <c r="B479" s="32"/>
      <c r="C479" s="32"/>
      <c r="D479" s="32"/>
      <c r="E479" s="32"/>
      <c r="F479" s="32"/>
      <c r="G479" s="32"/>
      <c r="H479" s="32"/>
      <c r="I479" s="32"/>
      <c r="J479" s="32"/>
      <c r="K479" s="32"/>
      <c r="L479" s="32"/>
      <c r="M479" s="32"/>
      <c r="N479" s="32"/>
      <c r="O479" s="32"/>
      <c r="P479" s="32"/>
      <c r="Q479" s="32"/>
      <c r="R479" s="32"/>
      <c r="S479" s="32"/>
      <c r="T479" s="32"/>
      <c r="U479" s="32"/>
      <c r="V479" s="32"/>
      <c r="W479" s="32"/>
      <c r="X479" s="32"/>
      <c r="Y479" s="32"/>
      <c r="Z479" s="32"/>
    </row>
    <row r="480" spans="2:26" x14ac:dyDescent="0.2">
      <c r="B480" s="32"/>
      <c r="C480" s="32"/>
      <c r="D480" s="32"/>
      <c r="E480" s="32"/>
      <c r="F480" s="32"/>
      <c r="G480" s="32"/>
      <c r="H480" s="32"/>
      <c r="I480" s="32"/>
      <c r="J480" s="32"/>
      <c r="K480" s="32"/>
      <c r="L480" s="32"/>
      <c r="M480" s="32"/>
      <c r="N480" s="32"/>
      <c r="O480" s="32"/>
      <c r="P480" s="32"/>
      <c r="Q480" s="32"/>
      <c r="R480" s="32"/>
      <c r="S480" s="32"/>
      <c r="T480" s="32"/>
      <c r="U480" s="32"/>
      <c r="V480" s="32"/>
      <c r="W480" s="32"/>
      <c r="X480" s="32"/>
      <c r="Y480" s="32"/>
      <c r="Z480" s="32"/>
    </row>
    <row r="481" spans="2:26" x14ac:dyDescent="0.2">
      <c r="B481" s="32"/>
      <c r="C481" s="32"/>
      <c r="D481" s="32"/>
      <c r="E481" s="32"/>
      <c r="F481" s="32"/>
      <c r="G481" s="32"/>
      <c r="H481" s="32"/>
      <c r="I481" s="32"/>
      <c r="J481" s="32"/>
      <c r="K481" s="32"/>
      <c r="L481" s="32"/>
      <c r="M481" s="32"/>
      <c r="N481" s="32"/>
      <c r="O481" s="32"/>
      <c r="P481" s="32"/>
      <c r="Q481" s="32"/>
      <c r="R481" s="32"/>
      <c r="S481" s="32"/>
      <c r="T481" s="32"/>
      <c r="U481" s="32"/>
      <c r="V481" s="32"/>
      <c r="W481" s="32"/>
      <c r="X481" s="32"/>
      <c r="Y481" s="32"/>
      <c r="Z481" s="32"/>
    </row>
    <row r="482" spans="2:26" x14ac:dyDescent="0.2">
      <c r="B482" s="32"/>
      <c r="C482" s="32"/>
      <c r="D482" s="32"/>
      <c r="E482" s="32"/>
      <c r="F482" s="32"/>
      <c r="G482" s="32"/>
      <c r="H482" s="32"/>
      <c r="I482" s="32"/>
      <c r="J482" s="32"/>
      <c r="K482" s="32"/>
      <c r="L482" s="32"/>
      <c r="M482" s="32"/>
      <c r="N482" s="32"/>
      <c r="O482" s="32"/>
      <c r="P482" s="32"/>
      <c r="Q482" s="32"/>
      <c r="R482" s="32"/>
      <c r="S482" s="32"/>
      <c r="T482" s="32"/>
      <c r="U482" s="32"/>
      <c r="V482" s="32"/>
      <c r="W482" s="32"/>
      <c r="X482" s="32"/>
      <c r="Y482" s="32"/>
      <c r="Z482" s="32"/>
    </row>
    <row r="483" spans="2:26" x14ac:dyDescent="0.2">
      <c r="B483" s="32"/>
      <c r="C483" s="32"/>
      <c r="D483" s="32"/>
      <c r="E483" s="32"/>
      <c r="F483" s="32"/>
      <c r="G483" s="32"/>
      <c r="H483" s="32"/>
      <c r="I483" s="32"/>
      <c r="J483" s="32"/>
      <c r="K483" s="32"/>
      <c r="L483" s="32"/>
      <c r="M483" s="32"/>
      <c r="N483" s="32"/>
      <c r="O483" s="32"/>
      <c r="P483" s="32"/>
      <c r="Q483" s="32"/>
      <c r="R483" s="32"/>
      <c r="S483" s="32"/>
      <c r="T483" s="32"/>
      <c r="U483" s="32"/>
      <c r="V483" s="32"/>
      <c r="W483" s="32"/>
      <c r="X483" s="32"/>
      <c r="Y483" s="32"/>
      <c r="Z483" s="32"/>
    </row>
    <row r="484" spans="2:26" x14ac:dyDescent="0.2">
      <c r="B484" s="32"/>
      <c r="C484" s="32"/>
      <c r="D484" s="32"/>
      <c r="E484" s="32"/>
      <c r="F484" s="32"/>
      <c r="G484" s="32"/>
      <c r="H484" s="32"/>
      <c r="I484" s="32"/>
      <c r="J484" s="32"/>
      <c r="K484" s="32"/>
      <c r="L484" s="32"/>
      <c r="M484" s="32"/>
      <c r="N484" s="32"/>
      <c r="O484" s="32"/>
      <c r="P484" s="32"/>
      <c r="Q484" s="32"/>
      <c r="R484" s="32"/>
      <c r="S484" s="32"/>
      <c r="T484" s="32"/>
      <c r="U484" s="32"/>
      <c r="V484" s="32"/>
      <c r="W484" s="32"/>
      <c r="X484" s="32"/>
      <c r="Y484" s="32"/>
      <c r="Z484" s="32"/>
    </row>
    <row r="485" spans="2:26" x14ac:dyDescent="0.2">
      <c r="B485" s="32"/>
      <c r="C485" s="32"/>
      <c r="D485" s="32"/>
      <c r="E485" s="32"/>
      <c r="F485" s="32"/>
      <c r="G485" s="32"/>
      <c r="H485" s="32"/>
      <c r="I485" s="32"/>
      <c r="J485" s="32"/>
      <c r="K485" s="32"/>
      <c r="L485" s="32"/>
      <c r="M485" s="32"/>
      <c r="N485" s="32"/>
      <c r="O485" s="32"/>
      <c r="P485" s="32"/>
      <c r="Q485" s="32"/>
      <c r="R485" s="32"/>
      <c r="S485" s="32"/>
      <c r="T485" s="32"/>
      <c r="U485" s="32"/>
      <c r="V485" s="32"/>
      <c r="W485" s="32"/>
      <c r="X485" s="32"/>
      <c r="Y485" s="32"/>
      <c r="Z485" s="32"/>
    </row>
    <row r="486" spans="2:26" x14ac:dyDescent="0.2">
      <c r="B486" s="32"/>
      <c r="C486" s="32"/>
      <c r="D486" s="32"/>
      <c r="E486" s="32"/>
      <c r="F486" s="32"/>
      <c r="G486" s="32"/>
      <c r="H486" s="32"/>
      <c r="I486" s="32"/>
      <c r="J486" s="32"/>
      <c r="K486" s="32"/>
      <c r="L486" s="32"/>
      <c r="M486" s="32"/>
      <c r="N486" s="32"/>
      <c r="O486" s="32"/>
      <c r="P486" s="32"/>
      <c r="Q486" s="32"/>
      <c r="R486" s="32"/>
      <c r="S486" s="32"/>
      <c r="T486" s="32"/>
      <c r="U486" s="32"/>
      <c r="V486" s="32"/>
      <c r="W486" s="32"/>
      <c r="X486" s="32"/>
      <c r="Y486" s="32"/>
      <c r="Z486" s="32"/>
    </row>
    <row r="487" spans="2:26" x14ac:dyDescent="0.2">
      <c r="B487" s="32"/>
      <c r="C487" s="32"/>
      <c r="D487" s="32"/>
      <c r="E487" s="32"/>
      <c r="F487" s="32"/>
      <c r="G487" s="32"/>
      <c r="H487" s="32"/>
      <c r="I487" s="32"/>
      <c r="J487" s="32"/>
      <c r="K487" s="32"/>
      <c r="L487" s="32"/>
      <c r="M487" s="32"/>
      <c r="N487" s="32"/>
      <c r="O487" s="32"/>
      <c r="P487" s="32"/>
      <c r="Q487" s="32"/>
      <c r="R487" s="32"/>
      <c r="S487" s="32"/>
      <c r="T487" s="32"/>
      <c r="U487" s="32"/>
      <c r="V487" s="32"/>
      <c r="W487" s="32"/>
      <c r="X487" s="32"/>
      <c r="Y487" s="32"/>
      <c r="Z487" s="32"/>
    </row>
    <row r="488" spans="2:26" x14ac:dyDescent="0.2">
      <c r="B488" s="32"/>
      <c r="C488" s="32"/>
      <c r="D488" s="32"/>
      <c r="E488" s="32"/>
      <c r="F488" s="32"/>
      <c r="G488" s="32"/>
      <c r="H488" s="32"/>
      <c r="I488" s="32"/>
      <c r="J488" s="32"/>
      <c r="K488" s="32"/>
      <c r="L488" s="32"/>
      <c r="M488" s="32"/>
      <c r="N488" s="32"/>
      <c r="O488" s="32"/>
      <c r="P488" s="32"/>
      <c r="Q488" s="32"/>
      <c r="R488" s="32"/>
      <c r="S488" s="32"/>
      <c r="T488" s="32"/>
      <c r="U488" s="32"/>
      <c r="V488" s="32"/>
      <c r="W488" s="32"/>
      <c r="X488" s="32"/>
      <c r="Y488" s="32"/>
      <c r="Z488" s="32"/>
    </row>
    <row r="489" spans="2:26" x14ac:dyDescent="0.2">
      <c r="B489" s="32"/>
      <c r="C489" s="32"/>
      <c r="D489" s="32"/>
      <c r="E489" s="32"/>
      <c r="F489" s="32"/>
      <c r="G489" s="32"/>
      <c r="H489" s="32"/>
      <c r="I489" s="32"/>
      <c r="J489" s="32"/>
      <c r="K489" s="32"/>
      <c r="L489" s="32"/>
      <c r="M489" s="32"/>
      <c r="N489" s="32"/>
      <c r="O489" s="32"/>
      <c r="P489" s="32"/>
      <c r="Q489" s="32"/>
      <c r="R489" s="32"/>
      <c r="S489" s="32"/>
      <c r="T489" s="32"/>
      <c r="U489" s="32"/>
      <c r="V489" s="32"/>
      <c r="W489" s="32"/>
      <c r="X489" s="32"/>
      <c r="Y489" s="32"/>
      <c r="Z489" s="32"/>
    </row>
    <row r="490" spans="2:26" x14ac:dyDescent="0.2">
      <c r="B490" s="32"/>
      <c r="C490" s="32"/>
      <c r="D490" s="32"/>
      <c r="E490" s="32"/>
      <c r="F490" s="32"/>
      <c r="G490" s="32"/>
      <c r="H490" s="32"/>
      <c r="I490" s="32"/>
      <c r="J490" s="32"/>
      <c r="K490" s="32"/>
      <c r="L490" s="32"/>
      <c r="M490" s="32"/>
      <c r="N490" s="32"/>
      <c r="O490" s="32"/>
      <c r="P490" s="32"/>
      <c r="Q490" s="32"/>
      <c r="R490" s="32"/>
      <c r="S490" s="32"/>
      <c r="T490" s="32"/>
      <c r="U490" s="32"/>
      <c r="V490" s="32"/>
      <c r="W490" s="32"/>
      <c r="X490" s="32"/>
      <c r="Y490" s="32"/>
      <c r="Z490" s="32"/>
    </row>
    <row r="491" spans="2:26" x14ac:dyDescent="0.2">
      <c r="B491" s="32"/>
      <c r="C491" s="32"/>
      <c r="D491" s="32"/>
      <c r="E491" s="32"/>
      <c r="F491" s="32"/>
      <c r="G491" s="32"/>
      <c r="H491" s="32"/>
      <c r="I491" s="32"/>
      <c r="J491" s="32"/>
      <c r="K491" s="32"/>
      <c r="L491" s="32"/>
      <c r="M491" s="32"/>
      <c r="N491" s="32"/>
      <c r="O491" s="32"/>
      <c r="P491" s="32"/>
      <c r="Q491" s="32"/>
      <c r="R491" s="32"/>
      <c r="S491" s="32"/>
      <c r="T491" s="32"/>
      <c r="U491" s="32"/>
      <c r="V491" s="32"/>
      <c r="W491" s="32"/>
      <c r="X491" s="32"/>
      <c r="Y491" s="32"/>
      <c r="Z491" s="32"/>
    </row>
    <row r="492" spans="2:26" x14ac:dyDescent="0.2">
      <c r="B492" s="32"/>
      <c r="C492" s="32"/>
      <c r="D492" s="32"/>
      <c r="E492" s="32"/>
      <c r="F492" s="32"/>
      <c r="G492" s="32"/>
      <c r="H492" s="32"/>
      <c r="I492" s="32"/>
      <c r="J492" s="32"/>
      <c r="K492" s="32"/>
      <c r="L492" s="32"/>
      <c r="M492" s="32"/>
      <c r="N492" s="32"/>
      <c r="O492" s="32"/>
      <c r="P492" s="32"/>
      <c r="Q492" s="32"/>
      <c r="R492" s="32"/>
      <c r="S492" s="32"/>
      <c r="T492" s="32"/>
      <c r="U492" s="32"/>
      <c r="V492" s="32"/>
      <c r="W492" s="32"/>
      <c r="X492" s="32"/>
      <c r="Y492" s="32"/>
      <c r="Z492" s="32"/>
    </row>
    <row r="493" spans="2:26" x14ac:dyDescent="0.2">
      <c r="B493" s="32"/>
      <c r="C493" s="32"/>
      <c r="D493" s="32"/>
      <c r="E493" s="32"/>
      <c r="F493" s="32"/>
      <c r="G493" s="32"/>
      <c r="H493" s="32"/>
      <c r="I493" s="32"/>
      <c r="J493" s="32"/>
      <c r="K493" s="32"/>
      <c r="L493" s="32"/>
      <c r="M493" s="32"/>
      <c r="N493" s="32"/>
      <c r="O493" s="32"/>
      <c r="P493" s="32"/>
      <c r="Q493" s="32"/>
      <c r="R493" s="32"/>
      <c r="S493" s="32"/>
      <c r="T493" s="32"/>
      <c r="U493" s="32"/>
      <c r="V493" s="32"/>
      <c r="W493" s="32"/>
      <c r="X493" s="32"/>
      <c r="Y493" s="32"/>
      <c r="Z493" s="32"/>
    </row>
    <row r="494" spans="2:26" x14ac:dyDescent="0.2">
      <c r="B494" s="32"/>
      <c r="C494" s="32"/>
      <c r="D494" s="32"/>
      <c r="E494" s="32"/>
      <c r="F494" s="32"/>
      <c r="G494" s="32"/>
      <c r="H494" s="32"/>
      <c r="I494" s="32"/>
      <c r="J494" s="32"/>
      <c r="K494" s="32"/>
      <c r="L494" s="32"/>
      <c r="M494" s="32"/>
      <c r="N494" s="32"/>
      <c r="O494" s="32"/>
      <c r="P494" s="32"/>
      <c r="Q494" s="32"/>
      <c r="R494" s="32"/>
      <c r="S494" s="32"/>
      <c r="T494" s="32"/>
      <c r="U494" s="32"/>
      <c r="V494" s="32"/>
      <c r="W494" s="32"/>
      <c r="X494" s="32"/>
      <c r="Y494" s="32"/>
      <c r="Z494" s="32"/>
    </row>
    <row r="495" spans="2:26" x14ac:dyDescent="0.2">
      <c r="B495" s="32"/>
      <c r="C495" s="32"/>
      <c r="D495" s="32"/>
      <c r="E495" s="32"/>
      <c r="F495" s="32"/>
      <c r="G495" s="32"/>
      <c r="H495" s="32"/>
      <c r="I495" s="32"/>
      <c r="J495" s="32"/>
      <c r="K495" s="32"/>
      <c r="L495" s="32"/>
      <c r="M495" s="32"/>
      <c r="N495" s="32"/>
      <c r="O495" s="32"/>
      <c r="P495" s="32"/>
      <c r="Q495" s="32"/>
      <c r="R495" s="32"/>
      <c r="S495" s="32"/>
      <c r="T495" s="32"/>
      <c r="U495" s="32"/>
      <c r="V495" s="32"/>
      <c r="W495" s="32"/>
      <c r="X495" s="32"/>
      <c r="Y495" s="32"/>
      <c r="Z495" s="32"/>
    </row>
    <row r="496" spans="2:26" x14ac:dyDescent="0.2">
      <c r="B496" s="32"/>
      <c r="C496" s="32"/>
      <c r="D496" s="32"/>
      <c r="E496" s="32"/>
      <c r="F496" s="32"/>
      <c r="G496" s="32"/>
      <c r="H496" s="32"/>
      <c r="I496" s="32"/>
      <c r="J496" s="32"/>
      <c r="K496" s="32"/>
      <c r="L496" s="32"/>
      <c r="M496" s="32"/>
      <c r="N496" s="32"/>
      <c r="O496" s="32"/>
      <c r="P496" s="32"/>
      <c r="Q496" s="32"/>
      <c r="R496" s="32"/>
      <c r="S496" s="32"/>
      <c r="T496" s="32"/>
      <c r="U496" s="32"/>
      <c r="V496" s="32"/>
      <c r="W496" s="32"/>
      <c r="X496" s="32"/>
      <c r="Y496" s="32"/>
      <c r="Z496" s="32"/>
    </row>
    <row r="497" spans="2:26" x14ac:dyDescent="0.2">
      <c r="B497" s="32"/>
      <c r="C497" s="32"/>
      <c r="D497" s="32"/>
      <c r="E497" s="32"/>
      <c r="F497" s="32"/>
      <c r="G497" s="32"/>
      <c r="H497" s="32"/>
      <c r="I497" s="32"/>
      <c r="J497" s="32"/>
      <c r="K497" s="32"/>
      <c r="L497" s="32"/>
      <c r="M497" s="32"/>
      <c r="N497" s="32"/>
      <c r="O497" s="32"/>
      <c r="P497" s="32"/>
      <c r="Q497" s="32"/>
      <c r="R497" s="32"/>
      <c r="S497" s="32"/>
      <c r="T497" s="32"/>
      <c r="U497" s="32"/>
      <c r="V497" s="32"/>
      <c r="W497" s="32"/>
      <c r="X497" s="32"/>
      <c r="Y497" s="32"/>
      <c r="Z497" s="32"/>
    </row>
    <row r="498" spans="2:26" x14ac:dyDescent="0.2">
      <c r="B498" s="32"/>
      <c r="C498" s="32"/>
      <c r="D498" s="32"/>
      <c r="E498" s="32"/>
      <c r="F498" s="32"/>
      <c r="G498" s="32"/>
      <c r="H498" s="32"/>
      <c r="I498" s="32"/>
      <c r="J498" s="32"/>
      <c r="K498" s="32"/>
      <c r="L498" s="32"/>
      <c r="M498" s="32"/>
      <c r="N498" s="32"/>
      <c r="O498" s="32"/>
      <c r="P498" s="32"/>
      <c r="Q498" s="32"/>
      <c r="R498" s="32"/>
      <c r="S498" s="32"/>
      <c r="T498" s="32"/>
      <c r="U498" s="32"/>
      <c r="V498" s="32"/>
      <c r="W498" s="32"/>
      <c r="X498" s="32"/>
      <c r="Y498" s="32"/>
      <c r="Z498" s="32"/>
    </row>
    <row r="499" spans="2:26" x14ac:dyDescent="0.2">
      <c r="B499" s="32"/>
      <c r="C499" s="32"/>
      <c r="D499" s="32"/>
      <c r="E499" s="32"/>
      <c r="F499" s="32"/>
      <c r="G499" s="32"/>
      <c r="H499" s="32"/>
      <c r="I499" s="32"/>
      <c r="J499" s="32"/>
      <c r="K499" s="32"/>
      <c r="L499" s="32"/>
      <c r="M499" s="32"/>
      <c r="N499" s="32"/>
      <c r="O499" s="32"/>
      <c r="P499" s="32"/>
      <c r="Q499" s="32"/>
      <c r="R499" s="32"/>
      <c r="S499" s="32"/>
      <c r="T499" s="32"/>
      <c r="U499" s="32"/>
      <c r="V499" s="32"/>
      <c r="W499" s="32"/>
      <c r="X499" s="32"/>
      <c r="Y499" s="32"/>
      <c r="Z499" s="32"/>
    </row>
    <row r="500" spans="2:26" x14ac:dyDescent="0.2">
      <c r="B500" s="32"/>
      <c r="C500" s="32"/>
      <c r="D500" s="32"/>
      <c r="E500" s="32"/>
      <c r="F500" s="32"/>
      <c r="G500" s="32"/>
      <c r="H500" s="32"/>
      <c r="I500" s="32"/>
      <c r="J500" s="32"/>
      <c r="K500" s="32"/>
      <c r="L500" s="32"/>
      <c r="M500" s="32"/>
      <c r="N500" s="32"/>
      <c r="O500" s="32"/>
      <c r="P500" s="32"/>
      <c r="Q500" s="32"/>
      <c r="R500" s="32"/>
      <c r="S500" s="32"/>
      <c r="T500" s="32"/>
      <c r="U500" s="32"/>
      <c r="V500" s="32"/>
      <c r="W500" s="32"/>
      <c r="X500" s="32"/>
      <c r="Y500" s="32"/>
      <c r="Z500" s="32"/>
    </row>
    <row r="501" spans="2:26" x14ac:dyDescent="0.2">
      <c r="B501" s="32"/>
      <c r="C501" s="32"/>
      <c r="D501" s="32"/>
      <c r="E501" s="32"/>
      <c r="F501" s="32"/>
      <c r="G501" s="32"/>
      <c r="H501" s="32"/>
      <c r="I501" s="32"/>
      <c r="J501" s="32"/>
      <c r="K501" s="32"/>
      <c r="L501" s="32"/>
      <c r="M501" s="32"/>
      <c r="N501" s="32"/>
      <c r="O501" s="32"/>
      <c r="P501" s="32"/>
      <c r="Q501" s="32"/>
      <c r="R501" s="32"/>
      <c r="S501" s="32"/>
      <c r="T501" s="32"/>
      <c r="U501" s="32"/>
      <c r="V501" s="32"/>
      <c r="W501" s="32"/>
      <c r="X501" s="32"/>
      <c r="Y501" s="32"/>
      <c r="Z501" s="32"/>
    </row>
    <row r="502" spans="2:26" x14ac:dyDescent="0.2">
      <c r="B502" s="32"/>
      <c r="C502" s="32"/>
      <c r="D502" s="32"/>
      <c r="E502" s="32"/>
      <c r="F502" s="32"/>
      <c r="G502" s="32"/>
      <c r="H502" s="32"/>
      <c r="I502" s="32"/>
      <c r="J502" s="32"/>
      <c r="K502" s="32"/>
      <c r="L502" s="32"/>
      <c r="M502" s="32"/>
      <c r="N502" s="32"/>
      <c r="O502" s="32"/>
      <c r="P502" s="32"/>
      <c r="Q502" s="32"/>
      <c r="R502" s="32"/>
      <c r="S502" s="32"/>
      <c r="T502" s="32"/>
      <c r="U502" s="32"/>
      <c r="V502" s="32"/>
      <c r="W502" s="32"/>
      <c r="X502" s="32"/>
      <c r="Y502" s="32"/>
      <c r="Z502" s="32"/>
    </row>
    <row r="503" spans="2:26" x14ac:dyDescent="0.2">
      <c r="B503" s="32"/>
      <c r="C503" s="32"/>
      <c r="D503" s="32"/>
      <c r="E503" s="32"/>
      <c r="F503" s="32"/>
      <c r="G503" s="32"/>
      <c r="H503" s="32"/>
      <c r="I503" s="32"/>
      <c r="J503" s="32"/>
      <c r="K503" s="32"/>
      <c r="L503" s="32"/>
      <c r="M503" s="32"/>
      <c r="N503" s="32"/>
      <c r="O503" s="32"/>
      <c r="P503" s="32"/>
      <c r="Q503" s="32"/>
      <c r="R503" s="32"/>
      <c r="S503" s="32"/>
      <c r="T503" s="32"/>
      <c r="U503" s="32"/>
      <c r="V503" s="32"/>
      <c r="W503" s="32"/>
      <c r="X503" s="32"/>
      <c r="Y503" s="32"/>
      <c r="Z503" s="32"/>
    </row>
    <row r="504" spans="2:26" x14ac:dyDescent="0.2">
      <c r="B504" s="32"/>
      <c r="C504" s="32"/>
      <c r="D504" s="32"/>
      <c r="E504" s="32"/>
      <c r="F504" s="32"/>
      <c r="G504" s="32"/>
      <c r="H504" s="32"/>
      <c r="I504" s="32"/>
      <c r="J504" s="32"/>
      <c r="K504" s="32"/>
      <c r="L504" s="32"/>
      <c r="M504" s="32"/>
      <c r="N504" s="32"/>
      <c r="O504" s="32"/>
      <c r="P504" s="32"/>
      <c r="Q504" s="32"/>
      <c r="R504" s="32"/>
      <c r="S504" s="32"/>
      <c r="T504" s="32"/>
      <c r="U504" s="32"/>
      <c r="V504" s="32"/>
      <c r="W504" s="32"/>
      <c r="X504" s="32"/>
      <c r="Y504" s="32"/>
      <c r="Z504" s="32"/>
    </row>
    <row r="505" spans="2:26" x14ac:dyDescent="0.2">
      <c r="B505" s="32"/>
      <c r="C505" s="32"/>
      <c r="D505" s="32"/>
      <c r="E505" s="32"/>
      <c r="F505" s="32"/>
      <c r="G505" s="32"/>
      <c r="H505" s="32"/>
      <c r="I505" s="32"/>
      <c r="J505" s="32"/>
      <c r="K505" s="32"/>
      <c r="L505" s="32"/>
      <c r="M505" s="32"/>
      <c r="N505" s="32"/>
      <c r="O505" s="32"/>
      <c r="P505" s="32"/>
      <c r="Q505" s="32"/>
      <c r="R505" s="32"/>
      <c r="S505" s="32"/>
      <c r="T505" s="32"/>
      <c r="U505" s="32"/>
      <c r="V505" s="32"/>
      <c r="W505" s="32"/>
      <c r="X505" s="32"/>
      <c r="Y505" s="32"/>
      <c r="Z505" s="32"/>
    </row>
    <row r="506" spans="2:26" x14ac:dyDescent="0.2">
      <c r="B506" s="32"/>
      <c r="C506" s="32"/>
      <c r="D506" s="32"/>
      <c r="E506" s="32"/>
      <c r="F506" s="32"/>
      <c r="G506" s="32"/>
      <c r="H506" s="32"/>
      <c r="I506" s="32"/>
      <c r="J506" s="32"/>
      <c r="K506" s="32"/>
      <c r="L506" s="32"/>
      <c r="M506" s="32"/>
      <c r="N506" s="32"/>
      <c r="O506" s="32"/>
      <c r="P506" s="32"/>
      <c r="Q506" s="32"/>
      <c r="R506" s="32"/>
      <c r="S506" s="32"/>
      <c r="T506" s="32"/>
      <c r="U506" s="32"/>
      <c r="V506" s="32"/>
      <c r="W506" s="32"/>
      <c r="X506" s="32"/>
      <c r="Y506" s="32"/>
      <c r="Z506" s="32"/>
    </row>
    <row r="507" spans="2:26" x14ac:dyDescent="0.2">
      <c r="B507" s="32"/>
      <c r="C507" s="32"/>
      <c r="D507" s="32"/>
      <c r="E507" s="32"/>
      <c r="F507" s="32"/>
      <c r="G507" s="32"/>
      <c r="H507" s="32"/>
      <c r="I507" s="32"/>
      <c r="J507" s="32"/>
      <c r="K507" s="32"/>
      <c r="L507" s="32"/>
      <c r="M507" s="32"/>
      <c r="N507" s="32"/>
      <c r="O507" s="32"/>
      <c r="P507" s="32"/>
      <c r="Q507" s="32"/>
      <c r="R507" s="32"/>
      <c r="S507" s="32"/>
      <c r="T507" s="32"/>
      <c r="U507" s="32"/>
      <c r="V507" s="32"/>
      <c r="W507" s="32"/>
      <c r="X507" s="32"/>
      <c r="Y507" s="32"/>
      <c r="Z507" s="32"/>
    </row>
    <row r="508" spans="2:26" x14ac:dyDescent="0.2">
      <c r="B508" s="32"/>
      <c r="C508" s="32"/>
      <c r="D508" s="32"/>
      <c r="E508" s="32"/>
      <c r="F508" s="32"/>
      <c r="G508" s="32"/>
      <c r="H508" s="32"/>
      <c r="I508" s="32"/>
      <c r="J508" s="32"/>
      <c r="K508" s="32"/>
      <c r="L508" s="32"/>
      <c r="M508" s="32"/>
      <c r="N508" s="32"/>
      <c r="O508" s="32"/>
      <c r="P508" s="32"/>
      <c r="Q508" s="32"/>
      <c r="R508" s="32"/>
      <c r="S508" s="32"/>
      <c r="T508" s="32"/>
      <c r="U508" s="32"/>
      <c r="V508" s="32"/>
      <c r="W508" s="32"/>
      <c r="X508" s="32"/>
      <c r="Y508" s="32"/>
      <c r="Z508" s="32"/>
    </row>
    <row r="509" spans="2:26" x14ac:dyDescent="0.2">
      <c r="B509" s="32"/>
      <c r="C509" s="32"/>
      <c r="D509" s="32"/>
      <c r="E509" s="32"/>
      <c r="F509" s="32"/>
      <c r="G509" s="32"/>
      <c r="H509" s="32"/>
      <c r="I509" s="32"/>
      <c r="J509" s="32"/>
      <c r="K509" s="32"/>
      <c r="L509" s="32"/>
      <c r="M509" s="32"/>
      <c r="N509" s="32"/>
      <c r="O509" s="32"/>
      <c r="P509" s="32"/>
      <c r="Q509" s="32"/>
      <c r="R509" s="32"/>
      <c r="S509" s="32"/>
      <c r="T509" s="32"/>
      <c r="U509" s="32"/>
      <c r="V509" s="32"/>
      <c r="W509" s="32"/>
      <c r="X509" s="32"/>
      <c r="Y509" s="32"/>
      <c r="Z509" s="32"/>
    </row>
    <row r="510" spans="2:26" x14ac:dyDescent="0.2">
      <c r="B510" s="32"/>
      <c r="C510" s="32"/>
      <c r="D510" s="32"/>
      <c r="E510" s="32"/>
      <c r="F510" s="32"/>
      <c r="G510" s="32"/>
      <c r="H510" s="32"/>
      <c r="I510" s="32"/>
      <c r="J510" s="32"/>
      <c r="K510" s="32"/>
      <c r="L510" s="32"/>
      <c r="M510" s="32"/>
      <c r="N510" s="32"/>
      <c r="O510" s="32"/>
      <c r="P510" s="32"/>
      <c r="Q510" s="32"/>
      <c r="R510" s="32"/>
      <c r="S510" s="32"/>
      <c r="T510" s="32"/>
      <c r="U510" s="32"/>
      <c r="V510" s="32"/>
      <c r="W510" s="32"/>
      <c r="X510" s="32"/>
      <c r="Y510" s="32"/>
      <c r="Z510" s="32"/>
    </row>
    <row r="511" spans="2:26" x14ac:dyDescent="0.2">
      <c r="B511" s="32"/>
      <c r="C511" s="32"/>
      <c r="D511" s="32"/>
      <c r="E511" s="32"/>
      <c r="F511" s="32"/>
      <c r="G511" s="32"/>
      <c r="H511" s="32"/>
      <c r="I511" s="32"/>
      <c r="J511" s="32"/>
      <c r="K511" s="32"/>
      <c r="L511" s="32"/>
      <c r="M511" s="32"/>
      <c r="N511" s="32"/>
      <c r="O511" s="32"/>
      <c r="P511" s="32"/>
      <c r="Q511" s="32"/>
      <c r="R511" s="32"/>
      <c r="S511" s="32"/>
      <c r="T511" s="32"/>
      <c r="U511" s="32"/>
      <c r="V511" s="32"/>
      <c r="W511" s="32"/>
      <c r="X511" s="32"/>
      <c r="Y511" s="32"/>
      <c r="Z511" s="32"/>
    </row>
    <row r="512" spans="2:26" x14ac:dyDescent="0.2">
      <c r="B512" s="32"/>
      <c r="C512" s="32"/>
      <c r="D512" s="32"/>
      <c r="E512" s="32"/>
      <c r="F512" s="32"/>
      <c r="G512" s="32"/>
      <c r="H512" s="32"/>
      <c r="I512" s="32"/>
      <c r="J512" s="32"/>
      <c r="K512" s="32"/>
      <c r="L512" s="32"/>
      <c r="M512" s="32"/>
      <c r="N512" s="32"/>
      <c r="O512" s="32"/>
      <c r="P512" s="32"/>
      <c r="Q512" s="32"/>
      <c r="R512" s="32"/>
      <c r="S512" s="32"/>
      <c r="T512" s="32"/>
      <c r="U512" s="32"/>
      <c r="V512" s="32"/>
      <c r="W512" s="32"/>
      <c r="X512" s="32"/>
      <c r="Y512" s="32"/>
      <c r="Z512" s="32"/>
    </row>
    <row r="513" spans="2:26" x14ac:dyDescent="0.2">
      <c r="B513" s="32"/>
      <c r="C513" s="32"/>
      <c r="D513" s="32"/>
      <c r="E513" s="32"/>
      <c r="F513" s="32"/>
      <c r="G513" s="32"/>
      <c r="H513" s="32"/>
      <c r="I513" s="32"/>
      <c r="J513" s="32"/>
      <c r="K513" s="32"/>
      <c r="L513" s="32"/>
      <c r="M513" s="32"/>
      <c r="N513" s="32"/>
      <c r="O513" s="32"/>
      <c r="P513" s="32"/>
      <c r="Q513" s="32"/>
      <c r="R513" s="32"/>
      <c r="S513" s="32"/>
      <c r="T513" s="32"/>
      <c r="U513" s="32"/>
      <c r="V513" s="32"/>
      <c r="W513" s="32"/>
      <c r="X513" s="32"/>
      <c r="Y513" s="32"/>
      <c r="Z513" s="32"/>
    </row>
    <row r="514" spans="2:26" x14ac:dyDescent="0.2">
      <c r="B514" s="32"/>
      <c r="C514" s="32"/>
      <c r="D514" s="32"/>
      <c r="E514" s="32"/>
      <c r="F514" s="32"/>
      <c r="G514" s="32"/>
      <c r="H514" s="32"/>
      <c r="I514" s="32"/>
      <c r="J514" s="32"/>
      <c r="K514" s="32"/>
      <c r="L514" s="32"/>
      <c r="M514" s="32"/>
      <c r="N514" s="32"/>
      <c r="O514" s="32"/>
      <c r="P514" s="32"/>
      <c r="Q514" s="32"/>
      <c r="R514" s="32"/>
      <c r="S514" s="32"/>
      <c r="T514" s="32"/>
      <c r="U514" s="32"/>
      <c r="V514" s="32"/>
      <c r="W514" s="32"/>
      <c r="X514" s="32"/>
      <c r="Y514" s="32"/>
      <c r="Z514" s="32"/>
    </row>
    <row r="515" spans="2:26" x14ac:dyDescent="0.2">
      <c r="B515" s="32"/>
      <c r="C515" s="32"/>
      <c r="D515" s="32"/>
      <c r="E515" s="32"/>
      <c r="F515" s="32"/>
      <c r="G515" s="32"/>
      <c r="H515" s="32"/>
      <c r="I515" s="32"/>
      <c r="J515" s="32"/>
      <c r="K515" s="32"/>
      <c r="L515" s="32"/>
      <c r="M515" s="32"/>
      <c r="N515" s="32"/>
      <c r="O515" s="32"/>
      <c r="P515" s="32"/>
      <c r="Q515" s="32"/>
      <c r="R515" s="32"/>
      <c r="S515" s="32"/>
      <c r="T515" s="32"/>
      <c r="U515" s="32"/>
      <c r="V515" s="32"/>
      <c r="W515" s="32"/>
      <c r="X515" s="32"/>
      <c r="Y515" s="32"/>
      <c r="Z515" s="32"/>
    </row>
    <row r="516" spans="2:26" x14ac:dyDescent="0.2">
      <c r="B516" s="32"/>
      <c r="C516" s="32"/>
      <c r="D516" s="32"/>
      <c r="E516" s="32"/>
      <c r="F516" s="32"/>
      <c r="G516" s="32"/>
      <c r="H516" s="32"/>
      <c r="I516" s="32"/>
      <c r="J516" s="32"/>
      <c r="K516" s="32"/>
      <c r="L516" s="32"/>
      <c r="M516" s="32"/>
      <c r="N516" s="32"/>
      <c r="O516" s="32"/>
      <c r="P516" s="32"/>
      <c r="Q516" s="32"/>
      <c r="R516" s="32"/>
      <c r="S516" s="32"/>
      <c r="T516" s="32"/>
      <c r="U516" s="32"/>
      <c r="V516" s="32"/>
      <c r="W516" s="32"/>
      <c r="X516" s="32"/>
      <c r="Y516" s="32"/>
      <c r="Z516" s="32"/>
    </row>
    <row r="517" spans="2:26" x14ac:dyDescent="0.2">
      <c r="B517" s="32"/>
      <c r="C517" s="32"/>
      <c r="D517" s="32"/>
      <c r="E517" s="32"/>
      <c r="F517" s="32"/>
      <c r="G517" s="32"/>
      <c r="H517" s="32"/>
      <c r="I517" s="32"/>
      <c r="J517" s="32"/>
      <c r="K517" s="32"/>
      <c r="L517" s="32"/>
      <c r="M517" s="32"/>
      <c r="N517" s="32"/>
      <c r="O517" s="32"/>
      <c r="P517" s="32"/>
      <c r="Q517" s="32"/>
      <c r="R517" s="32"/>
      <c r="S517" s="32"/>
      <c r="T517" s="32"/>
      <c r="U517" s="32"/>
      <c r="V517" s="32"/>
      <c r="W517" s="32"/>
      <c r="X517" s="32"/>
      <c r="Y517" s="32"/>
      <c r="Z517" s="32"/>
    </row>
    <row r="518" spans="2:26" x14ac:dyDescent="0.2">
      <c r="B518" s="32"/>
      <c r="C518" s="32"/>
      <c r="D518" s="32"/>
      <c r="E518" s="32"/>
      <c r="F518" s="32"/>
      <c r="G518" s="32"/>
      <c r="H518" s="32"/>
      <c r="I518" s="32"/>
      <c r="J518" s="32"/>
      <c r="K518" s="32"/>
      <c r="L518" s="32"/>
      <c r="M518" s="32"/>
      <c r="N518" s="32"/>
      <c r="O518" s="32"/>
      <c r="P518" s="32"/>
      <c r="Q518" s="32"/>
      <c r="R518" s="32"/>
      <c r="S518" s="32"/>
      <c r="T518" s="32"/>
      <c r="U518" s="32"/>
      <c r="V518" s="32"/>
      <c r="W518" s="32"/>
      <c r="X518" s="32"/>
      <c r="Y518" s="32"/>
      <c r="Z518" s="32"/>
    </row>
    <row r="519" spans="2:26" x14ac:dyDescent="0.2">
      <c r="B519" s="32"/>
      <c r="C519" s="32"/>
      <c r="D519" s="32"/>
      <c r="E519" s="32"/>
      <c r="F519" s="32"/>
      <c r="G519" s="32"/>
      <c r="H519" s="32"/>
      <c r="I519" s="32"/>
      <c r="J519" s="32"/>
      <c r="K519" s="32"/>
      <c r="L519" s="32"/>
      <c r="M519" s="32"/>
      <c r="N519" s="32"/>
      <c r="O519" s="32"/>
      <c r="P519" s="32"/>
      <c r="Q519" s="32"/>
      <c r="R519" s="32"/>
      <c r="S519" s="32"/>
      <c r="T519" s="32"/>
      <c r="U519" s="32"/>
      <c r="V519" s="32"/>
      <c r="W519" s="32"/>
      <c r="X519" s="32"/>
      <c r="Y519" s="32"/>
      <c r="Z519" s="32"/>
    </row>
    <row r="520" spans="2:26" x14ac:dyDescent="0.2">
      <c r="B520" s="32"/>
      <c r="C520" s="32"/>
      <c r="D520" s="32"/>
      <c r="E520" s="32"/>
      <c r="F520" s="32"/>
      <c r="G520" s="32"/>
      <c r="H520" s="32"/>
      <c r="I520" s="32"/>
      <c r="J520" s="32"/>
      <c r="K520" s="32"/>
      <c r="L520" s="32"/>
      <c r="M520" s="32"/>
      <c r="N520" s="32"/>
      <c r="O520" s="32"/>
      <c r="P520" s="32"/>
      <c r="Q520" s="32"/>
      <c r="R520" s="32"/>
      <c r="S520" s="32"/>
      <c r="T520" s="32"/>
      <c r="U520" s="32"/>
      <c r="V520" s="32"/>
      <c r="W520" s="32"/>
      <c r="X520" s="32"/>
      <c r="Y520" s="32"/>
      <c r="Z520" s="32"/>
    </row>
    <row r="521" spans="2:26" x14ac:dyDescent="0.2">
      <c r="B521" s="32"/>
      <c r="C521" s="32"/>
      <c r="D521" s="32"/>
      <c r="E521" s="32"/>
      <c r="F521" s="32"/>
      <c r="G521" s="32"/>
      <c r="H521" s="32"/>
      <c r="I521" s="32"/>
      <c r="J521" s="32"/>
      <c r="K521" s="32"/>
      <c r="L521" s="32"/>
      <c r="M521" s="32"/>
      <c r="N521" s="32"/>
      <c r="O521" s="32"/>
      <c r="P521" s="32"/>
      <c r="Q521" s="32"/>
      <c r="R521" s="32"/>
      <c r="S521" s="32"/>
      <c r="T521" s="32"/>
      <c r="U521" s="32"/>
      <c r="V521" s="32"/>
      <c r="W521" s="32"/>
      <c r="X521" s="32"/>
      <c r="Y521" s="32"/>
      <c r="Z521" s="32"/>
    </row>
    <row r="522" spans="2:26" x14ac:dyDescent="0.2">
      <c r="B522" s="32"/>
      <c r="C522" s="32"/>
      <c r="D522" s="32"/>
      <c r="E522" s="32"/>
      <c r="F522" s="32"/>
      <c r="G522" s="32"/>
      <c r="H522" s="32"/>
      <c r="I522" s="32"/>
      <c r="J522" s="32"/>
      <c r="K522" s="32"/>
      <c r="L522" s="32"/>
      <c r="M522" s="32"/>
      <c r="N522" s="32"/>
      <c r="O522" s="32"/>
      <c r="P522" s="32"/>
      <c r="Q522" s="32"/>
      <c r="R522" s="32"/>
      <c r="S522" s="32"/>
      <c r="T522" s="32"/>
      <c r="U522" s="32"/>
      <c r="V522" s="32"/>
      <c r="W522" s="32"/>
      <c r="X522" s="32"/>
      <c r="Y522" s="32"/>
      <c r="Z522" s="32"/>
    </row>
    <row r="523" spans="2:26" x14ac:dyDescent="0.2">
      <c r="B523" s="32"/>
      <c r="C523" s="32"/>
      <c r="D523" s="32"/>
      <c r="E523" s="32"/>
      <c r="F523" s="32"/>
      <c r="G523" s="32"/>
      <c r="H523" s="32"/>
      <c r="I523" s="32"/>
      <c r="J523" s="32"/>
      <c r="K523" s="32"/>
      <c r="L523" s="32"/>
      <c r="M523" s="32"/>
      <c r="N523" s="32"/>
      <c r="O523" s="32"/>
      <c r="P523" s="32"/>
      <c r="Q523" s="32"/>
      <c r="R523" s="32"/>
      <c r="S523" s="32"/>
      <c r="T523" s="32"/>
      <c r="U523" s="32"/>
      <c r="V523" s="32"/>
      <c r="W523" s="32"/>
      <c r="X523" s="32"/>
      <c r="Y523" s="32"/>
      <c r="Z523" s="32"/>
    </row>
    <row r="524" spans="2:26" x14ac:dyDescent="0.2">
      <c r="B524" s="32"/>
      <c r="C524" s="32"/>
      <c r="D524" s="32"/>
      <c r="E524" s="32"/>
      <c r="F524" s="32"/>
      <c r="G524" s="32"/>
      <c r="H524" s="32"/>
      <c r="I524" s="32"/>
      <c r="J524" s="32"/>
      <c r="K524" s="32"/>
      <c r="L524" s="32"/>
      <c r="M524" s="32"/>
      <c r="N524" s="32"/>
      <c r="O524" s="32"/>
      <c r="P524" s="32"/>
      <c r="Q524" s="32"/>
      <c r="R524" s="32"/>
      <c r="S524" s="32"/>
      <c r="T524" s="32"/>
      <c r="U524" s="32"/>
      <c r="V524" s="32"/>
      <c r="W524" s="32"/>
      <c r="X524" s="32"/>
      <c r="Y524" s="32"/>
      <c r="Z524" s="32"/>
    </row>
    <row r="525" spans="2:26" x14ac:dyDescent="0.2">
      <c r="B525" s="32"/>
      <c r="C525" s="32"/>
      <c r="D525" s="32"/>
      <c r="E525" s="32"/>
      <c r="F525" s="32"/>
      <c r="G525" s="32"/>
      <c r="H525" s="32"/>
      <c r="I525" s="32"/>
      <c r="J525" s="32"/>
      <c r="K525" s="32"/>
      <c r="L525" s="32"/>
      <c r="M525" s="32"/>
      <c r="N525" s="32"/>
      <c r="O525" s="32"/>
      <c r="P525" s="32"/>
      <c r="Q525" s="32"/>
      <c r="R525" s="32"/>
      <c r="S525" s="32"/>
      <c r="T525" s="32"/>
      <c r="U525" s="32"/>
      <c r="V525" s="32"/>
      <c r="W525" s="32"/>
      <c r="X525" s="32"/>
      <c r="Y525" s="32"/>
      <c r="Z525" s="32"/>
    </row>
    <row r="526" spans="2:26" x14ac:dyDescent="0.2">
      <c r="B526" s="32"/>
      <c r="C526" s="32"/>
      <c r="D526" s="32"/>
      <c r="E526" s="32"/>
      <c r="F526" s="32"/>
      <c r="G526" s="32"/>
      <c r="H526" s="32"/>
      <c r="I526" s="32"/>
      <c r="J526" s="32"/>
      <c r="K526" s="32"/>
      <c r="L526" s="32"/>
      <c r="M526" s="32"/>
      <c r="N526" s="32"/>
      <c r="O526" s="32"/>
      <c r="P526" s="32"/>
      <c r="Q526" s="32"/>
      <c r="R526" s="32"/>
      <c r="S526" s="32"/>
      <c r="T526" s="32"/>
      <c r="U526" s="32"/>
      <c r="V526" s="32"/>
      <c r="W526" s="32"/>
      <c r="X526" s="32"/>
      <c r="Y526" s="32"/>
      <c r="Z526" s="32"/>
    </row>
    <row r="527" spans="2:26" x14ac:dyDescent="0.2">
      <c r="B527" s="32"/>
      <c r="C527" s="32"/>
      <c r="D527" s="32"/>
      <c r="E527" s="32"/>
      <c r="F527" s="32"/>
      <c r="G527" s="32"/>
      <c r="H527" s="32"/>
      <c r="I527" s="32"/>
      <c r="J527" s="32"/>
      <c r="K527" s="32"/>
      <c r="L527" s="32"/>
      <c r="M527" s="32"/>
      <c r="N527" s="32"/>
      <c r="O527" s="32"/>
      <c r="P527" s="32"/>
      <c r="Q527" s="32"/>
      <c r="R527" s="32"/>
      <c r="S527" s="32"/>
      <c r="T527" s="32"/>
      <c r="U527" s="32"/>
      <c r="V527" s="32"/>
      <c r="W527" s="32"/>
      <c r="X527" s="32"/>
      <c r="Y527" s="32"/>
      <c r="Z527" s="32"/>
    </row>
    <row r="528" spans="2:26" x14ac:dyDescent="0.2">
      <c r="B528" s="32"/>
      <c r="C528" s="32"/>
      <c r="D528" s="32"/>
      <c r="E528" s="32"/>
      <c r="F528" s="32"/>
      <c r="G528" s="32"/>
      <c r="H528" s="32"/>
      <c r="I528" s="32"/>
      <c r="J528" s="32"/>
      <c r="K528" s="32"/>
      <c r="L528" s="32"/>
      <c r="M528" s="32"/>
      <c r="N528" s="32"/>
      <c r="O528" s="32"/>
      <c r="P528" s="32"/>
      <c r="Q528" s="32"/>
      <c r="R528" s="32"/>
      <c r="S528" s="32"/>
      <c r="T528" s="32"/>
      <c r="U528" s="32"/>
      <c r="V528" s="32"/>
      <c r="W528" s="32"/>
      <c r="X528" s="32"/>
      <c r="Y528" s="32"/>
      <c r="Z528" s="32"/>
    </row>
    <row r="529" spans="2:26" x14ac:dyDescent="0.2">
      <c r="B529" s="32"/>
      <c r="C529" s="32"/>
      <c r="D529" s="32"/>
      <c r="E529" s="32"/>
      <c r="F529" s="32"/>
      <c r="G529" s="32"/>
      <c r="H529" s="32"/>
      <c r="I529" s="32"/>
      <c r="J529" s="32"/>
      <c r="K529" s="32"/>
      <c r="L529" s="32"/>
      <c r="M529" s="32"/>
      <c r="N529" s="32"/>
      <c r="O529" s="32"/>
      <c r="P529" s="32"/>
      <c r="Q529" s="32"/>
      <c r="R529" s="32"/>
      <c r="S529" s="32"/>
      <c r="T529" s="32"/>
      <c r="U529" s="32"/>
      <c r="V529" s="32"/>
      <c r="W529" s="32"/>
      <c r="X529" s="32"/>
      <c r="Y529" s="32"/>
      <c r="Z529" s="32"/>
    </row>
    <row r="530" spans="2:26" x14ac:dyDescent="0.2">
      <c r="B530" s="32"/>
      <c r="C530" s="32"/>
      <c r="D530" s="32"/>
      <c r="E530" s="32"/>
      <c r="F530" s="32"/>
      <c r="G530" s="32"/>
      <c r="H530" s="32"/>
      <c r="I530" s="32"/>
      <c r="J530" s="32"/>
      <c r="K530" s="32"/>
      <c r="L530" s="32"/>
      <c r="M530" s="32"/>
      <c r="N530" s="32"/>
      <c r="O530" s="32"/>
      <c r="P530" s="32"/>
      <c r="Q530" s="32"/>
      <c r="R530" s="32"/>
      <c r="S530" s="32"/>
      <c r="T530" s="32"/>
      <c r="U530" s="32"/>
      <c r="V530" s="32"/>
      <c r="W530" s="32"/>
      <c r="X530" s="32"/>
      <c r="Y530" s="32"/>
      <c r="Z530" s="32"/>
    </row>
    <row r="531" spans="2:26" x14ac:dyDescent="0.2">
      <c r="B531" s="32"/>
      <c r="C531" s="32"/>
      <c r="D531" s="32"/>
      <c r="E531" s="32"/>
      <c r="F531" s="32"/>
      <c r="G531" s="32"/>
      <c r="H531" s="32"/>
      <c r="I531" s="32"/>
      <c r="J531" s="32"/>
      <c r="K531" s="32"/>
      <c r="L531" s="32"/>
      <c r="M531" s="32"/>
      <c r="N531" s="32"/>
      <c r="O531" s="32"/>
      <c r="P531" s="32"/>
      <c r="Q531" s="32"/>
      <c r="R531" s="32"/>
      <c r="S531" s="32"/>
      <c r="T531" s="32"/>
      <c r="U531" s="32"/>
      <c r="V531" s="32"/>
      <c r="W531" s="32"/>
      <c r="X531" s="32"/>
      <c r="Y531" s="32"/>
      <c r="Z531" s="32"/>
    </row>
    <row r="532" spans="2:26" x14ac:dyDescent="0.2">
      <c r="B532" s="32"/>
      <c r="C532" s="32"/>
      <c r="D532" s="32"/>
      <c r="E532" s="32"/>
      <c r="F532" s="32"/>
      <c r="G532" s="32"/>
      <c r="H532" s="32"/>
      <c r="I532" s="32"/>
      <c r="J532" s="32"/>
      <c r="K532" s="32"/>
      <c r="L532" s="32"/>
      <c r="M532" s="32"/>
      <c r="N532" s="32"/>
      <c r="O532" s="32"/>
      <c r="P532" s="32"/>
      <c r="Q532" s="32"/>
      <c r="R532" s="32"/>
      <c r="S532" s="32"/>
      <c r="T532" s="32"/>
      <c r="U532" s="32"/>
      <c r="V532" s="32"/>
      <c r="W532" s="32"/>
      <c r="X532" s="32"/>
      <c r="Y532" s="32"/>
      <c r="Z532" s="32"/>
    </row>
    <row r="533" spans="2:26" x14ac:dyDescent="0.2">
      <c r="B533" s="32"/>
      <c r="C533" s="32"/>
      <c r="D533" s="32"/>
      <c r="E533" s="32"/>
      <c r="F533" s="32"/>
      <c r="G533" s="32"/>
      <c r="H533" s="32"/>
      <c r="I533" s="32"/>
      <c r="J533" s="32"/>
      <c r="K533" s="32"/>
      <c r="L533" s="32"/>
      <c r="M533" s="32"/>
      <c r="N533" s="32"/>
      <c r="O533" s="32"/>
      <c r="P533" s="32"/>
      <c r="Q533" s="32"/>
      <c r="R533" s="32"/>
      <c r="S533" s="32"/>
      <c r="T533" s="32"/>
      <c r="U533" s="32"/>
      <c r="V533" s="32"/>
      <c r="W533" s="32"/>
      <c r="X533" s="32"/>
      <c r="Y533" s="32"/>
      <c r="Z533" s="32"/>
    </row>
    <row r="534" spans="2:26" x14ac:dyDescent="0.2">
      <c r="B534" s="32"/>
      <c r="C534" s="32"/>
      <c r="D534" s="32"/>
      <c r="E534" s="32"/>
      <c r="F534" s="32"/>
      <c r="G534" s="32"/>
      <c r="H534" s="32"/>
      <c r="I534" s="32"/>
      <c r="J534" s="32"/>
      <c r="K534" s="32"/>
      <c r="L534" s="32"/>
      <c r="M534" s="32"/>
      <c r="N534" s="32"/>
      <c r="O534" s="32"/>
      <c r="P534" s="32"/>
      <c r="Q534" s="32"/>
      <c r="R534" s="32"/>
      <c r="S534" s="32"/>
      <c r="T534" s="32"/>
      <c r="U534" s="32"/>
      <c r="V534" s="32"/>
      <c r="W534" s="32"/>
      <c r="X534" s="32"/>
      <c r="Y534" s="32"/>
      <c r="Z534" s="32"/>
    </row>
    <row r="535" spans="2:26" x14ac:dyDescent="0.2">
      <c r="B535" s="32"/>
      <c r="C535" s="32"/>
      <c r="D535" s="32"/>
      <c r="E535" s="32"/>
      <c r="F535" s="32"/>
      <c r="G535" s="32"/>
      <c r="H535" s="32"/>
      <c r="I535" s="32"/>
      <c r="J535" s="32"/>
      <c r="K535" s="32"/>
      <c r="L535" s="32"/>
      <c r="M535" s="32"/>
      <c r="N535" s="32"/>
      <c r="O535" s="32"/>
      <c r="P535" s="32"/>
      <c r="Q535" s="32"/>
      <c r="R535" s="32"/>
      <c r="S535" s="32"/>
      <c r="T535" s="32"/>
      <c r="U535" s="32"/>
      <c r="V535" s="32"/>
      <c r="W535" s="32"/>
      <c r="X535" s="32"/>
      <c r="Y535" s="32"/>
      <c r="Z535" s="32"/>
    </row>
    <row r="536" spans="2:26" x14ac:dyDescent="0.2">
      <c r="B536" s="32"/>
      <c r="C536" s="32"/>
      <c r="D536" s="32"/>
      <c r="E536" s="32"/>
      <c r="F536" s="32"/>
      <c r="G536" s="32"/>
      <c r="H536" s="32"/>
      <c r="I536" s="32"/>
      <c r="J536" s="32"/>
      <c r="K536" s="32"/>
      <c r="L536" s="32"/>
      <c r="M536" s="32"/>
      <c r="N536" s="32"/>
      <c r="O536" s="32"/>
      <c r="P536" s="32"/>
      <c r="Q536" s="32"/>
      <c r="R536" s="32"/>
      <c r="S536" s="32"/>
      <c r="T536" s="32"/>
      <c r="U536" s="32"/>
      <c r="V536" s="32"/>
      <c r="W536" s="32"/>
      <c r="X536" s="32"/>
      <c r="Y536" s="32"/>
      <c r="Z536" s="32"/>
    </row>
    <row r="537" spans="2:26" x14ac:dyDescent="0.2">
      <c r="B537" s="32"/>
      <c r="C537" s="32"/>
      <c r="D537" s="32"/>
      <c r="E537" s="32"/>
      <c r="F537" s="32"/>
      <c r="G537" s="32"/>
      <c r="H537" s="32"/>
      <c r="I537" s="32"/>
      <c r="J537" s="32"/>
      <c r="K537" s="32"/>
      <c r="L537" s="32"/>
      <c r="M537" s="32"/>
      <c r="N537" s="32"/>
      <c r="O537" s="32"/>
      <c r="P537" s="32"/>
      <c r="Q537" s="32"/>
      <c r="R537" s="32"/>
      <c r="S537" s="32"/>
      <c r="T537" s="32"/>
      <c r="U537" s="32"/>
      <c r="V537" s="32"/>
      <c r="W537" s="32"/>
      <c r="X537" s="32"/>
      <c r="Y537" s="32"/>
      <c r="Z537" s="32"/>
    </row>
    <row r="538" spans="2:26" x14ac:dyDescent="0.2">
      <c r="B538" s="32"/>
      <c r="C538" s="32"/>
      <c r="D538" s="32"/>
      <c r="E538" s="32"/>
      <c r="F538" s="32"/>
      <c r="G538" s="32"/>
      <c r="H538" s="32"/>
      <c r="I538" s="32"/>
      <c r="J538" s="32"/>
      <c r="K538" s="32"/>
      <c r="L538" s="32"/>
      <c r="M538" s="32"/>
      <c r="N538" s="32"/>
      <c r="O538" s="32"/>
      <c r="P538" s="32"/>
      <c r="Q538" s="32"/>
      <c r="R538" s="32"/>
      <c r="S538" s="32"/>
      <c r="T538" s="32"/>
      <c r="U538" s="32"/>
      <c r="V538" s="32"/>
      <c r="W538" s="32"/>
      <c r="X538" s="32"/>
      <c r="Y538" s="32"/>
      <c r="Z538" s="32"/>
    </row>
    <row r="539" spans="2:26" x14ac:dyDescent="0.2">
      <c r="B539" s="32"/>
      <c r="C539" s="32"/>
      <c r="D539" s="32"/>
      <c r="E539" s="32"/>
      <c r="F539" s="32"/>
      <c r="G539" s="32"/>
      <c r="H539" s="32"/>
      <c r="I539" s="32"/>
      <c r="J539" s="32"/>
      <c r="K539" s="32"/>
      <c r="L539" s="32"/>
      <c r="M539" s="32"/>
      <c r="N539" s="32"/>
      <c r="O539" s="32"/>
      <c r="P539" s="32"/>
      <c r="Q539" s="32"/>
      <c r="R539" s="32"/>
      <c r="S539" s="32"/>
      <c r="T539" s="32"/>
      <c r="U539" s="32"/>
      <c r="V539" s="32"/>
      <c r="W539" s="32"/>
      <c r="X539" s="32"/>
      <c r="Y539" s="32"/>
      <c r="Z539" s="32"/>
    </row>
    <row r="540" spans="2:26" x14ac:dyDescent="0.2">
      <c r="B540" s="32"/>
      <c r="C540" s="32"/>
      <c r="D540" s="32"/>
      <c r="E540" s="32"/>
      <c r="F540" s="32"/>
      <c r="G540" s="32"/>
      <c r="H540" s="32"/>
      <c r="I540" s="32"/>
      <c r="J540" s="32"/>
      <c r="K540" s="32"/>
      <c r="L540" s="32"/>
      <c r="M540" s="32"/>
      <c r="N540" s="32"/>
      <c r="O540" s="32"/>
      <c r="P540" s="32"/>
      <c r="Q540" s="32"/>
      <c r="R540" s="32"/>
      <c r="S540" s="32"/>
      <c r="T540" s="32"/>
      <c r="U540" s="32"/>
      <c r="V540" s="32"/>
      <c r="W540" s="32"/>
      <c r="X540" s="32"/>
      <c r="Y540" s="32"/>
      <c r="Z540" s="32"/>
    </row>
    <row r="541" spans="2:26" x14ac:dyDescent="0.2">
      <c r="B541" s="32"/>
      <c r="C541" s="32"/>
      <c r="D541" s="32"/>
      <c r="E541" s="32"/>
      <c r="F541" s="32"/>
      <c r="G541" s="32"/>
      <c r="H541" s="32"/>
      <c r="I541" s="32"/>
      <c r="J541" s="32"/>
      <c r="K541" s="32"/>
      <c r="L541" s="32"/>
      <c r="M541" s="32"/>
      <c r="N541" s="32"/>
      <c r="O541" s="32"/>
      <c r="P541" s="32"/>
      <c r="Q541" s="32"/>
      <c r="R541" s="32"/>
      <c r="S541" s="32"/>
      <c r="T541" s="32"/>
      <c r="U541" s="32"/>
      <c r="V541" s="32"/>
      <c r="W541" s="32"/>
      <c r="X541" s="32"/>
      <c r="Y541" s="32"/>
      <c r="Z541" s="32"/>
    </row>
    <row r="542" spans="2:26" x14ac:dyDescent="0.2">
      <c r="B542" s="32"/>
      <c r="C542" s="32"/>
      <c r="D542" s="32"/>
      <c r="E542" s="32"/>
      <c r="F542" s="32"/>
      <c r="G542" s="32"/>
      <c r="H542" s="32"/>
      <c r="I542" s="32"/>
      <c r="J542" s="32"/>
      <c r="K542" s="32"/>
      <c r="L542" s="32"/>
      <c r="M542" s="32"/>
      <c r="N542" s="32"/>
      <c r="O542" s="32"/>
      <c r="P542" s="32"/>
      <c r="Q542" s="32"/>
      <c r="R542" s="32"/>
      <c r="S542" s="32"/>
      <c r="T542" s="32"/>
      <c r="U542" s="32"/>
      <c r="V542" s="32"/>
      <c r="W542" s="32"/>
      <c r="X542" s="32"/>
      <c r="Y542" s="32"/>
      <c r="Z542" s="32"/>
    </row>
    <row r="543" spans="2:26" x14ac:dyDescent="0.2">
      <c r="B543" s="32"/>
      <c r="C543" s="32"/>
      <c r="D543" s="32"/>
      <c r="E543" s="32"/>
      <c r="F543" s="32"/>
      <c r="G543" s="32"/>
      <c r="H543" s="32"/>
      <c r="I543" s="32"/>
      <c r="J543" s="32"/>
      <c r="K543" s="32"/>
      <c r="L543" s="32"/>
      <c r="M543" s="32"/>
      <c r="N543" s="32"/>
      <c r="O543" s="32"/>
      <c r="P543" s="32"/>
      <c r="Q543" s="32"/>
      <c r="R543" s="32"/>
      <c r="S543" s="32"/>
      <c r="T543" s="32"/>
      <c r="U543" s="32"/>
      <c r="V543" s="32"/>
      <c r="W543" s="32"/>
      <c r="X543" s="32"/>
      <c r="Y543" s="32"/>
      <c r="Z543" s="32"/>
    </row>
    <row r="544" spans="2:26" x14ac:dyDescent="0.2">
      <c r="B544" s="32"/>
      <c r="C544" s="32"/>
      <c r="D544" s="32"/>
      <c r="E544" s="32"/>
      <c r="F544" s="32"/>
      <c r="G544" s="32"/>
      <c r="H544" s="32"/>
      <c r="I544" s="32"/>
      <c r="J544" s="32"/>
      <c r="K544" s="32"/>
      <c r="L544" s="32"/>
      <c r="M544" s="32"/>
      <c r="N544" s="32"/>
      <c r="O544" s="32"/>
      <c r="P544" s="32"/>
      <c r="Q544" s="32"/>
      <c r="R544" s="32"/>
      <c r="S544" s="32"/>
      <c r="T544" s="32"/>
      <c r="U544" s="32"/>
      <c r="V544" s="32"/>
      <c r="W544" s="32"/>
      <c r="X544" s="32"/>
      <c r="Y544" s="32"/>
      <c r="Z544" s="32"/>
    </row>
    <row r="545" spans="2:26" x14ac:dyDescent="0.2">
      <c r="B545" s="32"/>
      <c r="C545" s="32"/>
      <c r="D545" s="32"/>
      <c r="E545" s="32"/>
      <c r="F545" s="32"/>
      <c r="G545" s="32"/>
      <c r="H545" s="32"/>
      <c r="I545" s="32"/>
      <c r="J545" s="32"/>
      <c r="K545" s="32"/>
      <c r="L545" s="32"/>
      <c r="M545" s="32"/>
      <c r="N545" s="32"/>
      <c r="O545" s="32"/>
      <c r="P545" s="32"/>
      <c r="Q545" s="32"/>
      <c r="R545" s="32"/>
      <c r="S545" s="32"/>
      <c r="T545" s="32"/>
      <c r="U545" s="32"/>
      <c r="V545" s="32"/>
      <c r="W545" s="32"/>
      <c r="X545" s="32"/>
      <c r="Y545" s="32"/>
      <c r="Z545" s="32"/>
    </row>
    <row r="546" spans="2:26" x14ac:dyDescent="0.2">
      <c r="B546" s="32"/>
      <c r="C546" s="32"/>
      <c r="D546" s="32"/>
      <c r="E546" s="32"/>
      <c r="F546" s="32"/>
      <c r="G546" s="32"/>
      <c r="H546" s="32"/>
      <c r="I546" s="32"/>
      <c r="J546" s="32"/>
      <c r="K546" s="32"/>
      <c r="L546" s="32"/>
      <c r="M546" s="32"/>
      <c r="N546" s="32"/>
      <c r="O546" s="32"/>
      <c r="P546" s="32"/>
      <c r="Q546" s="32"/>
      <c r="R546" s="32"/>
      <c r="S546" s="32"/>
      <c r="T546" s="32"/>
      <c r="U546" s="32"/>
      <c r="V546" s="32"/>
      <c r="W546" s="32"/>
      <c r="X546" s="32"/>
      <c r="Y546" s="32"/>
      <c r="Z546" s="32"/>
    </row>
    <row r="547" spans="2:26" x14ac:dyDescent="0.2">
      <c r="B547" s="32"/>
      <c r="C547" s="32"/>
      <c r="D547" s="32"/>
      <c r="E547" s="32"/>
      <c r="F547" s="32"/>
      <c r="G547" s="32"/>
      <c r="H547" s="32"/>
      <c r="I547" s="32"/>
      <c r="J547" s="32"/>
      <c r="K547" s="32"/>
      <c r="L547" s="32"/>
      <c r="M547" s="32"/>
      <c r="N547" s="32"/>
      <c r="O547" s="32"/>
      <c r="P547" s="32"/>
      <c r="Q547" s="32"/>
      <c r="R547" s="32"/>
      <c r="S547" s="32"/>
      <c r="T547" s="32"/>
      <c r="U547" s="32"/>
      <c r="V547" s="32"/>
      <c r="W547" s="32"/>
      <c r="X547" s="32"/>
      <c r="Y547" s="32"/>
      <c r="Z547" s="32"/>
    </row>
    <row r="548" spans="2:26" x14ac:dyDescent="0.2">
      <c r="B548" s="32"/>
      <c r="C548" s="32"/>
      <c r="D548" s="32"/>
      <c r="E548" s="32"/>
      <c r="F548" s="32"/>
      <c r="G548" s="32"/>
      <c r="H548" s="32"/>
      <c r="I548" s="32"/>
      <c r="J548" s="32"/>
      <c r="K548" s="32"/>
      <c r="L548" s="32"/>
      <c r="M548" s="32"/>
      <c r="N548" s="32"/>
      <c r="O548" s="32"/>
      <c r="P548" s="32"/>
      <c r="Q548" s="32"/>
      <c r="R548" s="32"/>
      <c r="S548" s="32"/>
      <c r="T548" s="32"/>
      <c r="U548" s="32"/>
      <c r="V548" s="32"/>
      <c r="W548" s="32"/>
      <c r="X548" s="32"/>
      <c r="Y548" s="32"/>
      <c r="Z548" s="32"/>
    </row>
    <row r="549" spans="2:26" x14ac:dyDescent="0.2">
      <c r="B549" s="32"/>
      <c r="C549" s="32"/>
      <c r="D549" s="32"/>
      <c r="E549" s="32"/>
      <c r="F549" s="32"/>
      <c r="G549" s="32"/>
      <c r="H549" s="32"/>
      <c r="I549" s="32"/>
      <c r="J549" s="32"/>
      <c r="K549" s="32"/>
      <c r="L549" s="32"/>
      <c r="M549" s="32"/>
      <c r="N549" s="32"/>
      <c r="O549" s="32"/>
      <c r="P549" s="32"/>
      <c r="Q549" s="32"/>
      <c r="R549" s="32"/>
      <c r="S549" s="32"/>
      <c r="T549" s="32"/>
      <c r="U549" s="32"/>
      <c r="V549" s="32"/>
      <c r="W549" s="32"/>
      <c r="X549" s="32"/>
      <c r="Y549" s="32"/>
      <c r="Z549" s="32"/>
    </row>
    <row r="550" spans="2:26" x14ac:dyDescent="0.2">
      <c r="B550" s="32"/>
      <c r="C550" s="32"/>
      <c r="D550" s="32"/>
      <c r="E550" s="32"/>
      <c r="F550" s="32"/>
      <c r="G550" s="32"/>
      <c r="H550" s="32"/>
      <c r="I550" s="32"/>
      <c r="J550" s="32"/>
      <c r="K550" s="32"/>
      <c r="L550" s="32"/>
      <c r="M550" s="32"/>
      <c r="N550" s="32"/>
      <c r="O550" s="32"/>
      <c r="P550" s="32"/>
      <c r="Q550" s="32"/>
      <c r="R550" s="32"/>
      <c r="S550" s="32"/>
      <c r="T550" s="32"/>
      <c r="U550" s="32"/>
      <c r="V550" s="32"/>
      <c r="W550" s="32"/>
      <c r="X550" s="32"/>
      <c r="Y550" s="32"/>
      <c r="Z550" s="32"/>
    </row>
    <row r="551" spans="2:26" x14ac:dyDescent="0.2">
      <c r="B551" s="32"/>
      <c r="C551" s="32"/>
      <c r="D551" s="32"/>
      <c r="E551" s="32"/>
      <c r="F551" s="32"/>
      <c r="G551" s="32"/>
      <c r="H551" s="32"/>
      <c r="I551" s="32"/>
      <c r="J551" s="32"/>
      <c r="K551" s="32"/>
      <c r="L551" s="32"/>
      <c r="M551" s="32"/>
      <c r="N551" s="32"/>
      <c r="O551" s="32"/>
      <c r="P551" s="32"/>
      <c r="Q551" s="32"/>
      <c r="R551" s="32"/>
      <c r="S551" s="32"/>
      <c r="T551" s="32"/>
      <c r="U551" s="32"/>
      <c r="V551" s="32"/>
      <c r="W551" s="32"/>
      <c r="X551" s="32"/>
      <c r="Y551" s="32"/>
      <c r="Z551" s="32"/>
    </row>
    <row r="552" spans="2:26" x14ac:dyDescent="0.2">
      <c r="B552" s="32"/>
      <c r="C552" s="32"/>
      <c r="D552" s="32"/>
      <c r="E552" s="32"/>
      <c r="F552" s="32"/>
      <c r="G552" s="32"/>
      <c r="H552" s="32"/>
      <c r="I552" s="32"/>
      <c r="J552" s="32"/>
      <c r="K552" s="32"/>
      <c r="L552" s="32"/>
      <c r="M552" s="32"/>
      <c r="N552" s="32"/>
      <c r="O552" s="32"/>
      <c r="P552" s="32"/>
      <c r="Q552" s="32"/>
      <c r="R552" s="32"/>
      <c r="S552" s="32"/>
      <c r="T552" s="32"/>
      <c r="U552" s="32"/>
      <c r="V552" s="32"/>
      <c r="W552" s="32"/>
      <c r="X552" s="32"/>
      <c r="Y552" s="32"/>
      <c r="Z552" s="32"/>
    </row>
    <row r="553" spans="2:26" x14ac:dyDescent="0.2">
      <c r="B553" s="32"/>
      <c r="C553" s="32"/>
      <c r="D553" s="32"/>
      <c r="E553" s="32"/>
      <c r="F553" s="32"/>
      <c r="G553" s="32"/>
      <c r="H553" s="32"/>
      <c r="I553" s="32"/>
      <c r="J553" s="32"/>
      <c r="K553" s="32"/>
      <c r="L553" s="32"/>
      <c r="M553" s="32"/>
      <c r="N553" s="32"/>
      <c r="O553" s="32"/>
      <c r="P553" s="32"/>
      <c r="Q553" s="32"/>
      <c r="R553" s="32"/>
      <c r="S553" s="32"/>
      <c r="T553" s="32"/>
      <c r="U553" s="32"/>
      <c r="V553" s="32"/>
      <c r="W553" s="32"/>
      <c r="X553" s="32"/>
      <c r="Y553" s="32"/>
      <c r="Z553" s="32"/>
    </row>
    <row r="554" spans="2:26" x14ac:dyDescent="0.2">
      <c r="B554" s="32"/>
      <c r="C554" s="32"/>
      <c r="D554" s="32"/>
      <c r="E554" s="32"/>
      <c r="F554" s="32"/>
      <c r="G554" s="32"/>
      <c r="H554" s="32"/>
      <c r="I554" s="32"/>
      <c r="J554" s="32"/>
      <c r="K554" s="32"/>
      <c r="L554" s="32"/>
      <c r="M554" s="32"/>
      <c r="N554" s="32"/>
      <c r="O554" s="32"/>
      <c r="P554" s="32"/>
      <c r="Q554" s="32"/>
      <c r="R554" s="32"/>
      <c r="S554" s="32"/>
      <c r="T554" s="32"/>
      <c r="U554" s="32"/>
      <c r="V554" s="32"/>
      <c r="W554" s="32"/>
      <c r="X554" s="32"/>
      <c r="Y554" s="32"/>
      <c r="Z554" s="32"/>
    </row>
    <row r="555" spans="2:26" x14ac:dyDescent="0.2">
      <c r="B555" s="32"/>
      <c r="C555" s="32"/>
      <c r="D555" s="32"/>
      <c r="E555" s="32"/>
      <c r="F555" s="32"/>
      <c r="G555" s="32"/>
      <c r="H555" s="32"/>
      <c r="I555" s="32"/>
      <c r="J555" s="32"/>
      <c r="K555" s="32"/>
      <c r="L555" s="32"/>
      <c r="M555" s="32"/>
      <c r="N555" s="32"/>
      <c r="O555" s="32"/>
      <c r="P555" s="32"/>
      <c r="Q555" s="32"/>
      <c r="R555" s="32"/>
      <c r="S555" s="32"/>
      <c r="T555" s="32"/>
      <c r="U555" s="32"/>
      <c r="V555" s="32"/>
      <c r="W555" s="32"/>
      <c r="X555" s="32"/>
      <c r="Y555" s="32"/>
      <c r="Z555" s="32"/>
    </row>
    <row r="556" spans="2:26" x14ac:dyDescent="0.2">
      <c r="B556" s="32"/>
      <c r="C556" s="32"/>
      <c r="D556" s="32"/>
      <c r="E556" s="32"/>
      <c r="F556" s="32"/>
      <c r="G556" s="32"/>
      <c r="H556" s="32"/>
      <c r="I556" s="32"/>
      <c r="J556" s="32"/>
      <c r="K556" s="32"/>
      <c r="L556" s="32"/>
      <c r="M556" s="32"/>
      <c r="N556" s="32"/>
      <c r="O556" s="32"/>
      <c r="P556" s="32"/>
      <c r="Q556" s="32"/>
      <c r="R556" s="32"/>
      <c r="S556" s="32"/>
      <c r="T556" s="32"/>
      <c r="U556" s="32"/>
      <c r="V556" s="32"/>
      <c r="W556" s="32"/>
      <c r="X556" s="32"/>
      <c r="Y556" s="32"/>
      <c r="Z556" s="32"/>
    </row>
    <row r="557" spans="2:26" x14ac:dyDescent="0.2">
      <c r="B557" s="32"/>
      <c r="C557" s="32"/>
      <c r="D557" s="32"/>
      <c r="E557" s="32"/>
      <c r="F557" s="32"/>
      <c r="G557" s="32"/>
      <c r="H557" s="32"/>
      <c r="I557" s="32"/>
      <c r="J557" s="32"/>
      <c r="K557" s="32"/>
      <c r="L557" s="32"/>
      <c r="M557" s="32"/>
      <c r="N557" s="32"/>
      <c r="O557" s="32"/>
      <c r="P557" s="32"/>
      <c r="Q557" s="32"/>
      <c r="R557" s="32"/>
      <c r="S557" s="32"/>
      <c r="T557" s="32"/>
      <c r="U557" s="32"/>
      <c r="V557" s="32"/>
      <c r="W557" s="32"/>
      <c r="X557" s="32"/>
      <c r="Y557" s="32"/>
      <c r="Z557" s="32"/>
    </row>
    <row r="558" spans="2:26" x14ac:dyDescent="0.2">
      <c r="B558" s="32"/>
      <c r="C558" s="32"/>
      <c r="D558" s="32"/>
      <c r="E558" s="32"/>
      <c r="F558" s="32"/>
      <c r="G558" s="32"/>
      <c r="H558" s="32"/>
      <c r="I558" s="32"/>
      <c r="J558" s="32"/>
      <c r="K558" s="32"/>
      <c r="L558" s="32"/>
      <c r="M558" s="32"/>
      <c r="N558" s="32"/>
      <c r="O558" s="32"/>
      <c r="P558" s="32"/>
      <c r="Q558" s="32"/>
      <c r="R558" s="32"/>
      <c r="S558" s="32"/>
      <c r="T558" s="32"/>
      <c r="U558" s="32"/>
      <c r="V558" s="32"/>
      <c r="W558" s="32"/>
      <c r="X558" s="32"/>
      <c r="Y558" s="32"/>
      <c r="Z558" s="32"/>
    </row>
    <row r="559" spans="2:26" x14ac:dyDescent="0.2">
      <c r="B559" s="32"/>
      <c r="C559" s="32"/>
      <c r="D559" s="32"/>
      <c r="E559" s="32"/>
      <c r="F559" s="32"/>
      <c r="G559" s="32"/>
      <c r="H559" s="32"/>
      <c r="I559" s="32"/>
      <c r="J559" s="32"/>
      <c r="K559" s="32"/>
      <c r="L559" s="32"/>
      <c r="M559" s="32"/>
      <c r="N559" s="32"/>
      <c r="O559" s="32"/>
      <c r="P559" s="32"/>
      <c r="Q559" s="32"/>
      <c r="R559" s="32"/>
      <c r="S559" s="32"/>
      <c r="T559" s="32"/>
      <c r="U559" s="32"/>
      <c r="V559" s="32"/>
      <c r="W559" s="32"/>
      <c r="X559" s="32"/>
      <c r="Y559" s="32"/>
      <c r="Z559" s="32"/>
    </row>
    <row r="560" spans="2:26" x14ac:dyDescent="0.2">
      <c r="B560" s="32"/>
      <c r="C560" s="32"/>
      <c r="D560" s="32"/>
      <c r="E560" s="32"/>
      <c r="F560" s="32"/>
      <c r="G560" s="32"/>
      <c r="H560" s="32"/>
      <c r="I560" s="32"/>
      <c r="J560" s="32"/>
      <c r="K560" s="32"/>
      <c r="L560" s="32"/>
      <c r="M560" s="32"/>
      <c r="N560" s="32"/>
      <c r="O560" s="32"/>
      <c r="P560" s="32"/>
      <c r="Q560" s="32"/>
      <c r="R560" s="32"/>
      <c r="S560" s="32"/>
      <c r="T560" s="32"/>
      <c r="U560" s="32"/>
      <c r="V560" s="32"/>
      <c r="W560" s="32"/>
      <c r="X560" s="32"/>
      <c r="Y560" s="32"/>
      <c r="Z560" s="32"/>
    </row>
    <row r="561" spans="2:26" x14ac:dyDescent="0.2">
      <c r="B561" s="32"/>
      <c r="C561" s="32"/>
      <c r="D561" s="32"/>
      <c r="E561" s="32"/>
      <c r="F561" s="32"/>
      <c r="G561" s="32"/>
      <c r="H561" s="32"/>
      <c r="I561" s="32"/>
      <c r="J561" s="32"/>
      <c r="K561" s="32"/>
      <c r="L561" s="32"/>
      <c r="M561" s="32"/>
      <c r="N561" s="32"/>
      <c r="O561" s="32"/>
      <c r="P561" s="32"/>
      <c r="Q561" s="32"/>
      <c r="R561" s="32"/>
      <c r="S561" s="32"/>
      <c r="T561" s="32"/>
      <c r="U561" s="32"/>
      <c r="V561" s="32"/>
      <c r="W561" s="32"/>
      <c r="X561" s="32"/>
      <c r="Y561" s="32"/>
      <c r="Z561" s="32"/>
    </row>
    <row r="562" spans="2:26" x14ac:dyDescent="0.2">
      <c r="B562" s="32"/>
      <c r="C562" s="32"/>
      <c r="D562" s="32"/>
      <c r="E562" s="32"/>
      <c r="F562" s="32"/>
      <c r="G562" s="32"/>
      <c r="H562" s="32"/>
      <c r="I562" s="32"/>
      <c r="J562" s="32"/>
      <c r="K562" s="32"/>
      <c r="L562" s="32"/>
      <c r="M562" s="32"/>
      <c r="N562" s="32"/>
      <c r="O562" s="32"/>
      <c r="P562" s="32"/>
      <c r="Q562" s="32"/>
      <c r="R562" s="32"/>
      <c r="S562" s="32"/>
      <c r="T562" s="32"/>
      <c r="U562" s="32"/>
      <c r="V562" s="32"/>
      <c r="W562" s="32"/>
      <c r="X562" s="32"/>
      <c r="Y562" s="32"/>
      <c r="Z562" s="32"/>
    </row>
    <row r="563" spans="2:26" x14ac:dyDescent="0.2">
      <c r="B563" s="32"/>
      <c r="C563" s="32"/>
      <c r="D563" s="32"/>
      <c r="E563" s="32"/>
      <c r="F563" s="32"/>
      <c r="G563" s="32"/>
      <c r="H563" s="32"/>
      <c r="I563" s="32"/>
      <c r="J563" s="32"/>
      <c r="K563" s="32"/>
      <c r="L563" s="32"/>
      <c r="M563" s="32"/>
      <c r="N563" s="32"/>
      <c r="O563" s="32"/>
      <c r="P563" s="32"/>
      <c r="Q563" s="32"/>
      <c r="R563" s="32"/>
      <c r="S563" s="32"/>
      <c r="T563" s="32"/>
      <c r="U563" s="32"/>
      <c r="V563" s="32"/>
      <c r="W563" s="32"/>
      <c r="X563" s="32"/>
      <c r="Y563" s="32"/>
      <c r="Z563" s="32"/>
    </row>
    <row r="564" spans="2:26" x14ac:dyDescent="0.2">
      <c r="B564" s="32"/>
      <c r="C564" s="32"/>
      <c r="D564" s="32"/>
      <c r="E564" s="32"/>
      <c r="F564" s="32"/>
      <c r="G564" s="32"/>
      <c r="H564" s="32"/>
      <c r="I564" s="32"/>
      <c r="J564" s="32"/>
      <c r="K564" s="32"/>
      <c r="L564" s="32"/>
      <c r="M564" s="32"/>
      <c r="N564" s="32"/>
      <c r="O564" s="32"/>
      <c r="P564" s="32"/>
      <c r="Q564" s="32"/>
      <c r="R564" s="32"/>
      <c r="S564" s="32"/>
      <c r="T564" s="32"/>
      <c r="U564" s="32"/>
      <c r="V564" s="32"/>
      <c r="W564" s="32"/>
      <c r="X564" s="32"/>
      <c r="Y564" s="32"/>
      <c r="Z564" s="32"/>
    </row>
    <row r="565" spans="2:26" x14ac:dyDescent="0.2">
      <c r="B565" s="32"/>
      <c r="C565" s="32"/>
      <c r="D565" s="32"/>
      <c r="E565" s="32"/>
      <c r="F565" s="32"/>
      <c r="G565" s="32"/>
      <c r="H565" s="32"/>
      <c r="I565" s="32"/>
      <c r="J565" s="32"/>
      <c r="K565" s="32"/>
      <c r="L565" s="32"/>
      <c r="M565" s="32"/>
      <c r="N565" s="32"/>
      <c r="O565" s="32"/>
      <c r="P565" s="32"/>
      <c r="Q565" s="32"/>
      <c r="R565" s="32"/>
      <c r="S565" s="32"/>
      <c r="T565" s="32"/>
      <c r="U565" s="32"/>
      <c r="V565" s="32"/>
      <c r="W565" s="32"/>
      <c r="X565" s="32"/>
      <c r="Y565" s="32"/>
      <c r="Z565" s="32"/>
    </row>
    <row r="566" spans="2:26" x14ac:dyDescent="0.2">
      <c r="B566" s="32"/>
      <c r="C566" s="32"/>
      <c r="D566" s="32"/>
      <c r="E566" s="32"/>
      <c r="F566" s="32"/>
      <c r="G566" s="32"/>
      <c r="H566" s="32"/>
      <c r="I566" s="32"/>
      <c r="J566" s="32"/>
      <c r="K566" s="32"/>
      <c r="L566" s="32"/>
      <c r="M566" s="32"/>
      <c r="N566" s="32"/>
      <c r="O566" s="32"/>
      <c r="P566" s="32"/>
      <c r="Q566" s="32"/>
      <c r="R566" s="32"/>
      <c r="S566" s="32"/>
      <c r="T566" s="32"/>
      <c r="U566" s="32"/>
      <c r="V566" s="32"/>
      <c r="W566" s="32"/>
      <c r="X566" s="32"/>
      <c r="Y566" s="32"/>
      <c r="Z566" s="32"/>
    </row>
    <row r="567" spans="2:26" x14ac:dyDescent="0.2">
      <c r="B567" s="32"/>
      <c r="C567" s="32"/>
      <c r="D567" s="32"/>
      <c r="E567" s="32"/>
      <c r="F567" s="32"/>
      <c r="G567" s="32"/>
      <c r="H567" s="32"/>
      <c r="I567" s="32"/>
      <c r="J567" s="32"/>
      <c r="K567" s="32"/>
      <c r="L567" s="32"/>
      <c r="M567" s="32"/>
      <c r="N567" s="32"/>
      <c r="O567" s="32"/>
      <c r="P567" s="32"/>
      <c r="Q567" s="32"/>
      <c r="R567" s="32"/>
      <c r="S567" s="32"/>
      <c r="T567" s="32"/>
      <c r="U567" s="32"/>
      <c r="V567" s="32"/>
      <c r="W567" s="32"/>
      <c r="X567" s="32"/>
      <c r="Y567" s="32"/>
      <c r="Z567" s="32"/>
    </row>
  </sheetData>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F6EF3-0F27-4A2C-A824-871E4302F699}">
  <sheetPr codeName="Sheet35">
    <tabColor theme="9"/>
  </sheetPr>
  <dimension ref="A1:U573"/>
  <sheetViews>
    <sheetView workbookViewId="0"/>
  </sheetViews>
  <sheetFormatPr defaultColWidth="8" defaultRowHeight="11.25" x14ac:dyDescent="0.2"/>
  <cols>
    <col min="1" max="1" width="17.28515625" style="181" bestFit="1" customWidth="1"/>
    <col min="2" max="21" width="15.28515625" style="181" customWidth="1"/>
    <col min="22" max="16384" width="8" style="181"/>
  </cols>
  <sheetData>
    <row r="1" spans="1:21" x14ac:dyDescent="0.2">
      <c r="B1" s="181">
        <v>1</v>
      </c>
      <c r="C1" s="181">
        <f>B1+1</f>
        <v>2</v>
      </c>
      <c r="D1" s="181">
        <f t="shared" ref="D1:U1" si="0">C1+1</f>
        <v>3</v>
      </c>
      <c r="E1" s="181">
        <f t="shared" si="0"/>
        <v>4</v>
      </c>
      <c r="F1" s="181">
        <f t="shared" si="0"/>
        <v>5</v>
      </c>
      <c r="G1" s="181">
        <f t="shared" si="0"/>
        <v>6</v>
      </c>
      <c r="H1" s="181">
        <f t="shared" si="0"/>
        <v>7</v>
      </c>
      <c r="I1" s="181">
        <f t="shared" si="0"/>
        <v>8</v>
      </c>
      <c r="J1" s="181">
        <f t="shared" si="0"/>
        <v>9</v>
      </c>
      <c r="K1" s="181">
        <f t="shared" si="0"/>
        <v>10</v>
      </c>
      <c r="L1" s="181">
        <f t="shared" si="0"/>
        <v>11</v>
      </c>
      <c r="M1" s="181">
        <f t="shared" si="0"/>
        <v>12</v>
      </c>
      <c r="N1" s="181">
        <f t="shared" si="0"/>
        <v>13</v>
      </c>
      <c r="O1" s="181">
        <f t="shared" si="0"/>
        <v>14</v>
      </c>
      <c r="P1" s="181">
        <f t="shared" si="0"/>
        <v>15</v>
      </c>
      <c r="Q1" s="181">
        <f t="shared" si="0"/>
        <v>16</v>
      </c>
      <c r="R1" s="181">
        <f t="shared" si="0"/>
        <v>17</v>
      </c>
      <c r="S1" s="181">
        <f t="shared" si="0"/>
        <v>18</v>
      </c>
      <c r="T1" s="181">
        <f t="shared" si="0"/>
        <v>19</v>
      </c>
      <c r="U1" s="181">
        <f t="shared" si="0"/>
        <v>20</v>
      </c>
    </row>
    <row r="2" spans="1:21" x14ac:dyDescent="0.2">
      <c r="A2" s="181" t="s">
        <v>182</v>
      </c>
      <c r="B2" s="199" t="e" cm="1" vm="1">
        <f t="array" ref="B2">TRANSPOSE(_xlfn._xlws.FILTER(Changes!$B$4:$B$23,ISNUMBER(Changes!$G$4:$G$23)))</f>
        <v>#VALUE!</v>
      </c>
    </row>
    <row r="3" spans="1:21" x14ac:dyDescent="0.2">
      <c r="A3" s="181" t="s">
        <v>233</v>
      </c>
      <c r="B3" s="182" t="e" cm="1" vm="1">
        <f t="array" ref="B3">TRANSPOSE(_xlfn._xlws.FILTER(Changes!$E$4:$E$23,ISNUMBER(Changes!$G$4:$G$23)))</f>
        <v>#VALUE!</v>
      </c>
    </row>
    <row r="4" spans="1:21" s="183" customFormat="1" x14ac:dyDescent="0.2">
      <c r="A4" s="183" t="s">
        <v>234</v>
      </c>
      <c r="B4" s="184" t="e" cm="1" vm="1">
        <f t="array" ref="B4">TRANSPOSE(_xlfn._xlws.FILTER(Changes!$G$4:$G$23,ISNUMBER(Changes!$G$4:$G$23)))</f>
        <v>#VALUE!</v>
      </c>
    </row>
    <row r="5" spans="1:21" s="185" customFormat="1" x14ac:dyDescent="0.2">
      <c r="A5" s="185" t="s">
        <v>183</v>
      </c>
      <c r="B5" s="186" t="e" cm="1" vm="1">
        <f t="array" ref="B5">TRANSPOSE(_xlfn._xlws.FILTER(Changes!$F$4:$F$23,ISNUMBER(Changes!$G$4:$G$23)))</f>
        <v>#VALUE!</v>
      </c>
    </row>
    <row r="6" spans="1:21" s="185" customFormat="1" x14ac:dyDescent="0.2"/>
    <row r="7" spans="1:21" s="185" customFormat="1" x14ac:dyDescent="0.2">
      <c r="A7" s="185" t="s">
        <v>184</v>
      </c>
      <c r="B7" s="187" t="str" cm="1">
        <f t="array" ref="B7">_xlfn.LET(
    _xlpm.frequency_type, B$3,
    _xlpm.frequency_value, B$4,
    _xlpm.start_date, B$5,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C7" s="187" t="str" cm="1">
        <f t="array" ref="C7">_xlfn.LET(
    _xlpm.frequency_type, C$3,
    _xlpm.frequency_value, C$4,
    _xlpm.start_date, C$5,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D7" s="187" t="str" cm="1">
        <f t="array" ref="D7">_xlfn.LET(
    _xlpm.frequency_type, D$3,
    _xlpm.frequency_value, D$4,
    _xlpm.start_date, D$5,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E7" s="187" t="str" cm="1">
        <f t="array" ref="E7">_xlfn.LET(
    _xlpm.frequency_type, E$3,
    _xlpm.frequency_value, E$4,
    _xlpm.start_date, E$5,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F7" s="187" t="str" cm="1">
        <f t="array" ref="F7">_xlfn.LET(
    _xlpm.frequency_type, F$3,
    _xlpm.frequency_value, F$4,
    _xlpm.start_date, F$5,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G7" s="187" t="str" cm="1">
        <f t="array" ref="G7">_xlfn.LET(
    _xlpm.frequency_type, G$3,
    _xlpm.frequency_value, G$4,
    _xlpm.start_date, G$5,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H7" s="187" t="str" cm="1">
        <f t="array" ref="H7">_xlfn.LET(
    _xlpm.frequency_type, H$3,
    _xlpm.frequency_value, H$4,
    _xlpm.start_date, H$5,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I7" s="187" t="str" cm="1">
        <f t="array" ref="I7">_xlfn.LET(
    _xlpm.frequency_type, I$3,
    _xlpm.frequency_value, I$4,
    _xlpm.start_date, I$5,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J7" s="187" t="str" cm="1">
        <f t="array" ref="J7">_xlfn.LET(
    _xlpm.frequency_type, J$3,
    _xlpm.frequency_value, J$4,
    _xlpm.start_date, J$5,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K7" s="187" t="str" cm="1">
        <f t="array" ref="K7">_xlfn.LET(
    _xlpm.frequency_type, K$3,
    _xlpm.frequency_value, K$4,
    _xlpm.start_date, K$5,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L7" s="187" t="str" cm="1">
        <f t="array" ref="L7">_xlfn.LET(
    _xlpm.frequency_type, L$3,
    _xlpm.frequency_value, L$4,
    _xlpm.start_date, L$5,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M7" s="187" t="str" cm="1">
        <f t="array" ref="M7">_xlfn.LET(
    _xlpm.frequency_type, M$3,
    _xlpm.frequency_value, M$4,
    _xlpm.start_date, M$5,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N7" s="187" t="str" cm="1">
        <f t="array" ref="N7">_xlfn.LET(
    _xlpm.frequency_type, N$3,
    _xlpm.frequency_value, N$4,
    _xlpm.start_date, N$5,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O7" s="187" t="str" cm="1">
        <f t="array" ref="O7">_xlfn.LET(
    _xlpm.frequency_type, O$3,
    _xlpm.frequency_value, O$4,
    _xlpm.start_date, O$5,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P7" s="187" t="str" cm="1">
        <f t="array" ref="P7">_xlfn.LET(
    _xlpm.frequency_type, P$3,
    _xlpm.frequency_value, P$4,
    _xlpm.start_date, P$5,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Q7" s="187" t="str" cm="1">
        <f t="array" ref="Q7">_xlfn.LET(
    _xlpm.frequency_type, Q$3,
    _xlpm.frequency_value, Q$4,
    _xlpm.start_date, Q$5,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R7" s="187" t="str" cm="1">
        <f t="array" ref="R7">_xlfn.LET(
    _xlpm.frequency_type, R$3,
    _xlpm.frequency_value, R$4,
    _xlpm.start_date, R$5,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S7" s="187" t="str" cm="1">
        <f t="array" ref="S7">_xlfn.LET(
    _xlpm.frequency_type, S$3,
    _xlpm.frequency_value, S$4,
    _xlpm.start_date, S$5,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T7" s="187" t="str" cm="1">
        <f t="array" ref="T7">_xlfn.LET(
    _xlpm.frequency_type, T$3,
    _xlpm.frequency_value, T$4,
    _xlpm.start_date, T$5,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U7" s="187" t="str" cm="1">
        <f t="array" ref="U7">_xlfn.LET(
    _xlpm.frequency_type, U$3,
    _xlpm.frequency_value, U$4,
    _xlpm.start_date, U$5,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row>
    <row r="8" spans="1:21" s="185" customFormat="1" x14ac:dyDescent="0.2">
      <c r="B8" s="188"/>
      <c r="C8" s="188"/>
      <c r="D8" s="188"/>
      <c r="E8" s="188"/>
      <c r="F8" s="188"/>
      <c r="G8" s="188"/>
    </row>
    <row r="9" spans="1:21" s="185" customFormat="1" x14ac:dyDescent="0.2"/>
    <row r="10" spans="1:21" s="185" customFormat="1" x14ac:dyDescent="0.2"/>
    <row r="11" spans="1:21" s="185" customFormat="1" x14ac:dyDescent="0.2"/>
    <row r="12" spans="1:21" s="185" customFormat="1" x14ac:dyDescent="0.2">
      <c r="G12" s="189"/>
    </row>
    <row r="13" spans="1:21" s="185" customFormat="1" x14ac:dyDescent="0.2"/>
    <row r="14" spans="1:21" s="185" customFormat="1" x14ac:dyDescent="0.2"/>
    <row r="15" spans="1:21" s="185" customFormat="1" x14ac:dyDescent="0.2"/>
    <row r="16" spans="1:21" s="185" customFormat="1" x14ac:dyDescent="0.2"/>
    <row r="17" s="185" customFormat="1" x14ac:dyDescent="0.2"/>
    <row r="18" s="185" customFormat="1" x14ac:dyDescent="0.2"/>
    <row r="19" s="185" customFormat="1" x14ac:dyDescent="0.2"/>
    <row r="20" s="185" customFormat="1" x14ac:dyDescent="0.2"/>
    <row r="21" s="185" customFormat="1" x14ac:dyDescent="0.2"/>
    <row r="22" s="185" customFormat="1" x14ac:dyDescent="0.2"/>
    <row r="23" s="185" customFormat="1" x14ac:dyDescent="0.2"/>
    <row r="24" s="185" customFormat="1" x14ac:dyDescent="0.2"/>
    <row r="25" s="185" customFormat="1" x14ac:dyDescent="0.2"/>
    <row r="26" s="185" customFormat="1" x14ac:dyDescent="0.2"/>
    <row r="27" s="185" customFormat="1" x14ac:dyDescent="0.2"/>
    <row r="28" s="185" customFormat="1" x14ac:dyDescent="0.2"/>
    <row r="29" s="185" customFormat="1" x14ac:dyDescent="0.2"/>
    <row r="30" s="185" customFormat="1" x14ac:dyDescent="0.2"/>
    <row r="31" s="185" customFormat="1" x14ac:dyDescent="0.2"/>
    <row r="32" s="185" customFormat="1" x14ac:dyDescent="0.2"/>
    <row r="33" s="185" customFormat="1" x14ac:dyDescent="0.2"/>
    <row r="34" s="185" customFormat="1" x14ac:dyDescent="0.2"/>
    <row r="35" s="185" customFormat="1" x14ac:dyDescent="0.2"/>
    <row r="36" s="185" customFormat="1" x14ac:dyDescent="0.2"/>
    <row r="37" s="185" customFormat="1" x14ac:dyDescent="0.2"/>
    <row r="38" s="185" customFormat="1" x14ac:dyDescent="0.2"/>
    <row r="39" s="185" customFormat="1" x14ac:dyDescent="0.2"/>
    <row r="40" s="185" customFormat="1" x14ac:dyDescent="0.2"/>
    <row r="41" s="185" customFormat="1" x14ac:dyDescent="0.2"/>
    <row r="42" s="185" customFormat="1" x14ac:dyDescent="0.2"/>
    <row r="43" s="185" customFormat="1" x14ac:dyDescent="0.2"/>
    <row r="44" s="185" customFormat="1" x14ac:dyDescent="0.2"/>
    <row r="45" s="185" customFormat="1" x14ac:dyDescent="0.2"/>
    <row r="46" s="185" customFormat="1" x14ac:dyDescent="0.2"/>
    <row r="47" s="185" customFormat="1" x14ac:dyDescent="0.2"/>
    <row r="48" s="185" customFormat="1" x14ac:dyDescent="0.2"/>
    <row r="49" s="185" customFormat="1" x14ac:dyDescent="0.2"/>
    <row r="50" s="185" customFormat="1" x14ac:dyDescent="0.2"/>
    <row r="51" s="185" customFormat="1" x14ac:dyDescent="0.2"/>
    <row r="52" s="185" customFormat="1" x14ac:dyDescent="0.2"/>
    <row r="53" s="185" customFormat="1" x14ac:dyDescent="0.2"/>
    <row r="54" s="185" customFormat="1" x14ac:dyDescent="0.2"/>
    <row r="55" s="185" customFormat="1" x14ac:dyDescent="0.2"/>
    <row r="56" s="185" customFormat="1" x14ac:dyDescent="0.2"/>
    <row r="57" s="185" customFormat="1" x14ac:dyDescent="0.2"/>
    <row r="58" s="185" customFormat="1" x14ac:dyDescent="0.2"/>
    <row r="59" s="185" customFormat="1" x14ac:dyDescent="0.2"/>
    <row r="60" s="185" customFormat="1" x14ac:dyDescent="0.2"/>
    <row r="61" s="185" customFormat="1" x14ac:dyDescent="0.2"/>
    <row r="62" s="185" customFormat="1" x14ac:dyDescent="0.2"/>
    <row r="63" s="185" customFormat="1" x14ac:dyDescent="0.2"/>
    <row r="64" s="185" customFormat="1" x14ac:dyDescent="0.2"/>
    <row r="65" s="185" customFormat="1" x14ac:dyDescent="0.2"/>
    <row r="66" s="185" customFormat="1" x14ac:dyDescent="0.2"/>
    <row r="67" s="185" customFormat="1" x14ac:dyDescent="0.2"/>
    <row r="68" s="185" customFormat="1" x14ac:dyDescent="0.2"/>
    <row r="69" s="185" customFormat="1" x14ac:dyDescent="0.2"/>
    <row r="70" s="185" customFormat="1" x14ac:dyDescent="0.2"/>
    <row r="71" s="185" customFormat="1" x14ac:dyDescent="0.2"/>
    <row r="72" s="185" customFormat="1" x14ac:dyDescent="0.2"/>
    <row r="73" s="185" customFormat="1" x14ac:dyDescent="0.2"/>
    <row r="74" s="185" customFormat="1" x14ac:dyDescent="0.2"/>
    <row r="75" s="185" customFormat="1" x14ac:dyDescent="0.2"/>
    <row r="76" s="185" customFormat="1" x14ac:dyDescent="0.2"/>
    <row r="77" s="185" customFormat="1" x14ac:dyDescent="0.2"/>
    <row r="78" s="185" customFormat="1" x14ac:dyDescent="0.2"/>
    <row r="79" s="185" customFormat="1" x14ac:dyDescent="0.2"/>
    <row r="80" s="185" customFormat="1" x14ac:dyDescent="0.2"/>
    <row r="81" s="185" customFormat="1" x14ac:dyDescent="0.2"/>
    <row r="82" s="185" customFormat="1" x14ac:dyDescent="0.2"/>
    <row r="83" s="185" customFormat="1" x14ac:dyDescent="0.2"/>
    <row r="84" s="185" customFormat="1" x14ac:dyDescent="0.2"/>
    <row r="85" s="185" customFormat="1" x14ac:dyDescent="0.2"/>
    <row r="86" s="185" customFormat="1" x14ac:dyDescent="0.2"/>
    <row r="87" s="185" customFormat="1" x14ac:dyDescent="0.2"/>
    <row r="88" s="185" customFormat="1" x14ac:dyDescent="0.2"/>
    <row r="89" s="185" customFormat="1" x14ac:dyDescent="0.2"/>
    <row r="90" s="185" customFormat="1" x14ac:dyDescent="0.2"/>
    <row r="91" s="185" customFormat="1" x14ac:dyDescent="0.2"/>
    <row r="92" s="185" customFormat="1" x14ac:dyDescent="0.2"/>
    <row r="93" s="185" customFormat="1" x14ac:dyDescent="0.2"/>
    <row r="94" s="185" customFormat="1" x14ac:dyDescent="0.2"/>
    <row r="95" s="185" customFormat="1" x14ac:dyDescent="0.2"/>
    <row r="96" s="185" customFormat="1" x14ac:dyDescent="0.2"/>
    <row r="97" s="185" customFormat="1" x14ac:dyDescent="0.2"/>
    <row r="98" s="185" customFormat="1" x14ac:dyDescent="0.2"/>
    <row r="99" s="185" customFormat="1" x14ac:dyDescent="0.2"/>
    <row r="100" s="185" customFormat="1" x14ac:dyDescent="0.2"/>
    <row r="101" s="185" customFormat="1" x14ac:dyDescent="0.2"/>
    <row r="102" s="185" customFormat="1" x14ac:dyDescent="0.2"/>
    <row r="103" s="185" customFormat="1" x14ac:dyDescent="0.2"/>
    <row r="104" s="185" customFormat="1" x14ac:dyDescent="0.2"/>
    <row r="105" s="185" customFormat="1" x14ac:dyDescent="0.2"/>
    <row r="106" s="185" customFormat="1" x14ac:dyDescent="0.2"/>
    <row r="107" s="185" customFormat="1" x14ac:dyDescent="0.2"/>
    <row r="108" s="185" customFormat="1" x14ac:dyDescent="0.2"/>
    <row r="109" s="185" customFormat="1" x14ac:dyDescent="0.2"/>
    <row r="110" s="185" customFormat="1" x14ac:dyDescent="0.2"/>
    <row r="111" s="185" customFormat="1" x14ac:dyDescent="0.2"/>
    <row r="112" s="185" customFormat="1" x14ac:dyDescent="0.2"/>
    <row r="113" s="185" customFormat="1" x14ac:dyDescent="0.2"/>
    <row r="114" s="185" customFormat="1" x14ac:dyDescent="0.2"/>
    <row r="115" s="185" customFormat="1" x14ac:dyDescent="0.2"/>
    <row r="116" s="185" customFormat="1" x14ac:dyDescent="0.2"/>
    <row r="117" s="185" customFormat="1" x14ac:dyDescent="0.2"/>
    <row r="118" s="185" customFormat="1" x14ac:dyDescent="0.2"/>
    <row r="119" s="185" customFormat="1" x14ac:dyDescent="0.2"/>
    <row r="120" s="185" customFormat="1" x14ac:dyDescent="0.2"/>
    <row r="121" s="185" customFormat="1" x14ac:dyDescent="0.2"/>
    <row r="122" s="185" customFormat="1" x14ac:dyDescent="0.2"/>
    <row r="123" s="185" customFormat="1" x14ac:dyDescent="0.2"/>
    <row r="124" s="185" customFormat="1" x14ac:dyDescent="0.2"/>
    <row r="125" s="185" customFormat="1" x14ac:dyDescent="0.2"/>
    <row r="126" s="185" customFormat="1" x14ac:dyDescent="0.2"/>
    <row r="127" s="185" customFormat="1" x14ac:dyDescent="0.2"/>
    <row r="128" s="185" customFormat="1" x14ac:dyDescent="0.2"/>
    <row r="129" s="185" customFormat="1" x14ac:dyDescent="0.2"/>
    <row r="130" s="185" customFormat="1" x14ac:dyDescent="0.2"/>
    <row r="131" s="185" customFormat="1" x14ac:dyDescent="0.2"/>
    <row r="132" s="185" customFormat="1" x14ac:dyDescent="0.2"/>
    <row r="133" s="185" customFormat="1" x14ac:dyDescent="0.2"/>
    <row r="134" s="185" customFormat="1" x14ac:dyDescent="0.2"/>
    <row r="135" s="185" customFormat="1" x14ac:dyDescent="0.2"/>
    <row r="136" s="185" customFormat="1" x14ac:dyDescent="0.2"/>
    <row r="137" s="185" customFormat="1" x14ac:dyDescent="0.2"/>
    <row r="138" s="185" customFormat="1" x14ac:dyDescent="0.2"/>
    <row r="139" s="185" customFormat="1" x14ac:dyDescent="0.2"/>
    <row r="140" s="185" customFormat="1" x14ac:dyDescent="0.2"/>
    <row r="141" s="185" customFormat="1" x14ac:dyDescent="0.2"/>
    <row r="142" s="185" customFormat="1" x14ac:dyDescent="0.2"/>
    <row r="143" s="185" customFormat="1" x14ac:dyDescent="0.2"/>
    <row r="144" s="185" customFormat="1" x14ac:dyDescent="0.2"/>
    <row r="145" s="185" customFormat="1" x14ac:dyDescent="0.2"/>
    <row r="146" s="185" customFormat="1" x14ac:dyDescent="0.2"/>
    <row r="147" s="185" customFormat="1" x14ac:dyDescent="0.2"/>
    <row r="148" s="185" customFormat="1" x14ac:dyDescent="0.2"/>
    <row r="149" s="185" customFormat="1" x14ac:dyDescent="0.2"/>
    <row r="150" s="185" customFormat="1" x14ac:dyDescent="0.2"/>
    <row r="151" s="185" customFormat="1" x14ac:dyDescent="0.2"/>
    <row r="152" s="185" customFormat="1" x14ac:dyDescent="0.2"/>
    <row r="153" s="185" customFormat="1" x14ac:dyDescent="0.2"/>
    <row r="154" s="185" customFormat="1" x14ac:dyDescent="0.2"/>
    <row r="155" s="185" customFormat="1" x14ac:dyDescent="0.2"/>
    <row r="156" s="185" customFormat="1" x14ac:dyDescent="0.2"/>
    <row r="157" s="185" customFormat="1" x14ac:dyDescent="0.2"/>
    <row r="158" s="185" customFormat="1" x14ac:dyDescent="0.2"/>
    <row r="159" s="185" customFormat="1" x14ac:dyDescent="0.2"/>
    <row r="160" s="185" customFormat="1" x14ac:dyDescent="0.2"/>
    <row r="161" s="185" customFormat="1" x14ac:dyDescent="0.2"/>
    <row r="162" s="185" customFormat="1" x14ac:dyDescent="0.2"/>
    <row r="163" s="185" customFormat="1" x14ac:dyDescent="0.2"/>
    <row r="164" s="185" customFormat="1" x14ac:dyDescent="0.2"/>
    <row r="165" s="185" customFormat="1" x14ac:dyDescent="0.2"/>
    <row r="166" s="185" customFormat="1" x14ac:dyDescent="0.2"/>
    <row r="167" s="185" customFormat="1" x14ac:dyDescent="0.2"/>
    <row r="168" s="185" customFormat="1" x14ac:dyDescent="0.2"/>
    <row r="169" s="185" customFormat="1" x14ac:dyDescent="0.2"/>
    <row r="170" s="185" customFormat="1" x14ac:dyDescent="0.2"/>
    <row r="171" s="185" customFormat="1" x14ac:dyDescent="0.2"/>
    <row r="172" s="185" customFormat="1" x14ac:dyDescent="0.2"/>
    <row r="173" s="185" customFormat="1" x14ac:dyDescent="0.2"/>
    <row r="174" s="185" customFormat="1" x14ac:dyDescent="0.2"/>
    <row r="175" s="185" customFormat="1" x14ac:dyDescent="0.2"/>
    <row r="176" s="185" customFormat="1" x14ac:dyDescent="0.2"/>
    <row r="177" s="185" customFormat="1" x14ac:dyDescent="0.2"/>
    <row r="178" s="185" customFormat="1" x14ac:dyDescent="0.2"/>
    <row r="179" s="185" customFormat="1" x14ac:dyDescent="0.2"/>
    <row r="180" s="185" customFormat="1" x14ac:dyDescent="0.2"/>
    <row r="181" s="185" customFormat="1" x14ac:dyDescent="0.2"/>
    <row r="182" s="185" customFormat="1" x14ac:dyDescent="0.2"/>
    <row r="183" s="185" customFormat="1" x14ac:dyDescent="0.2"/>
    <row r="184" s="185" customFormat="1" x14ac:dyDescent="0.2"/>
    <row r="185" s="185" customFormat="1" x14ac:dyDescent="0.2"/>
    <row r="186" s="185" customFormat="1" x14ac:dyDescent="0.2"/>
    <row r="187" s="185" customFormat="1" x14ac:dyDescent="0.2"/>
    <row r="188" s="185" customFormat="1" x14ac:dyDescent="0.2"/>
    <row r="189" s="185" customFormat="1" x14ac:dyDescent="0.2"/>
    <row r="190" s="185" customFormat="1" x14ac:dyDescent="0.2"/>
    <row r="191" s="185" customFormat="1" x14ac:dyDescent="0.2"/>
    <row r="192" s="185" customFormat="1" x14ac:dyDescent="0.2"/>
    <row r="193" s="185" customFormat="1" x14ac:dyDescent="0.2"/>
    <row r="194" s="185" customFormat="1" x14ac:dyDescent="0.2"/>
    <row r="195" s="185" customFormat="1" x14ac:dyDescent="0.2"/>
    <row r="196" s="185" customFormat="1" x14ac:dyDescent="0.2"/>
    <row r="197" s="185" customFormat="1" x14ac:dyDescent="0.2"/>
    <row r="198" s="185" customFormat="1" x14ac:dyDescent="0.2"/>
    <row r="199" s="185" customFormat="1" x14ac:dyDescent="0.2"/>
    <row r="200" s="185" customFormat="1" x14ac:dyDescent="0.2"/>
    <row r="201" s="185" customFormat="1" x14ac:dyDescent="0.2"/>
    <row r="202" s="185" customFormat="1" x14ac:dyDescent="0.2"/>
    <row r="203" s="185" customFormat="1" x14ac:dyDescent="0.2"/>
    <row r="204" s="185" customFormat="1" x14ac:dyDescent="0.2"/>
    <row r="205" s="185" customFormat="1" x14ac:dyDescent="0.2"/>
    <row r="206" s="185" customFormat="1" x14ac:dyDescent="0.2"/>
    <row r="207" s="185" customFormat="1" x14ac:dyDescent="0.2"/>
    <row r="208" s="185" customFormat="1" x14ac:dyDescent="0.2"/>
    <row r="209" s="185" customFormat="1" x14ac:dyDescent="0.2"/>
    <row r="210" s="185" customFormat="1" x14ac:dyDescent="0.2"/>
    <row r="211" s="185" customFormat="1" x14ac:dyDescent="0.2"/>
    <row r="212" s="185" customFormat="1" x14ac:dyDescent="0.2"/>
    <row r="213" s="185" customFormat="1" x14ac:dyDescent="0.2"/>
    <row r="214" s="185" customFormat="1" x14ac:dyDescent="0.2"/>
    <row r="215" s="185" customFormat="1" x14ac:dyDescent="0.2"/>
    <row r="216" s="185" customFormat="1" x14ac:dyDescent="0.2"/>
    <row r="217" s="185" customFormat="1" x14ac:dyDescent="0.2"/>
    <row r="218" s="185" customFormat="1" x14ac:dyDescent="0.2"/>
    <row r="219" s="185" customFormat="1" x14ac:dyDescent="0.2"/>
    <row r="220" s="185" customFormat="1" x14ac:dyDescent="0.2"/>
    <row r="221" s="185" customFormat="1" x14ac:dyDescent="0.2"/>
    <row r="222" s="185" customFormat="1" x14ac:dyDescent="0.2"/>
    <row r="223" s="185" customFormat="1" x14ac:dyDescent="0.2"/>
    <row r="224" s="185" customFormat="1" x14ac:dyDescent="0.2"/>
    <row r="225" s="185" customFormat="1" x14ac:dyDescent="0.2"/>
    <row r="226" s="185" customFormat="1" x14ac:dyDescent="0.2"/>
    <row r="227" s="185" customFormat="1" x14ac:dyDescent="0.2"/>
    <row r="228" s="185" customFormat="1" x14ac:dyDescent="0.2"/>
    <row r="229" s="185" customFormat="1" x14ac:dyDescent="0.2"/>
    <row r="230" s="185" customFormat="1" x14ac:dyDescent="0.2"/>
    <row r="231" s="185" customFormat="1" x14ac:dyDescent="0.2"/>
    <row r="232" s="185" customFormat="1" x14ac:dyDescent="0.2"/>
    <row r="233" s="185" customFormat="1" x14ac:dyDescent="0.2"/>
    <row r="234" s="185" customFormat="1" x14ac:dyDescent="0.2"/>
    <row r="235" s="185" customFormat="1" x14ac:dyDescent="0.2"/>
    <row r="236" s="185" customFormat="1" x14ac:dyDescent="0.2"/>
    <row r="237" s="185" customFormat="1" x14ac:dyDescent="0.2"/>
    <row r="238" s="185" customFormat="1" x14ac:dyDescent="0.2"/>
    <row r="239" s="185" customFormat="1" x14ac:dyDescent="0.2"/>
    <row r="240" s="185" customFormat="1" x14ac:dyDescent="0.2"/>
    <row r="241" s="185" customFormat="1" x14ac:dyDescent="0.2"/>
    <row r="242" s="185" customFormat="1" x14ac:dyDescent="0.2"/>
    <row r="243" s="185" customFormat="1" x14ac:dyDescent="0.2"/>
    <row r="244" s="185" customFormat="1" x14ac:dyDescent="0.2"/>
    <row r="245" s="185" customFormat="1" x14ac:dyDescent="0.2"/>
    <row r="246" s="185" customFormat="1" x14ac:dyDescent="0.2"/>
    <row r="247" s="185" customFormat="1" x14ac:dyDescent="0.2"/>
    <row r="248" s="185" customFormat="1" x14ac:dyDescent="0.2"/>
    <row r="249" s="185" customFormat="1" x14ac:dyDescent="0.2"/>
    <row r="250" s="185" customFormat="1" x14ac:dyDescent="0.2"/>
    <row r="251" s="185" customFormat="1" x14ac:dyDescent="0.2"/>
    <row r="252" s="185" customFormat="1" x14ac:dyDescent="0.2"/>
    <row r="253" s="185" customFormat="1" x14ac:dyDescent="0.2"/>
    <row r="254" s="185" customFormat="1" x14ac:dyDescent="0.2"/>
    <row r="255" s="185" customFormat="1" x14ac:dyDescent="0.2"/>
    <row r="256" s="185" customFormat="1" x14ac:dyDescent="0.2"/>
    <row r="257" s="185" customFormat="1" x14ac:dyDescent="0.2"/>
    <row r="258" s="185" customFormat="1" x14ac:dyDescent="0.2"/>
    <row r="259" s="185" customFormat="1" x14ac:dyDescent="0.2"/>
    <row r="260" s="185" customFormat="1" x14ac:dyDescent="0.2"/>
    <row r="261" s="185" customFormat="1" x14ac:dyDescent="0.2"/>
    <row r="262" s="185" customFormat="1" x14ac:dyDescent="0.2"/>
    <row r="263" s="185" customFormat="1" x14ac:dyDescent="0.2"/>
    <row r="264" s="185" customFormat="1" x14ac:dyDescent="0.2"/>
    <row r="265" s="185" customFormat="1" x14ac:dyDescent="0.2"/>
    <row r="266" s="185" customFormat="1" x14ac:dyDescent="0.2"/>
    <row r="267" s="185" customFormat="1" x14ac:dyDescent="0.2"/>
    <row r="268" s="185" customFormat="1" x14ac:dyDescent="0.2"/>
    <row r="269" s="185" customFormat="1" x14ac:dyDescent="0.2"/>
    <row r="270" s="185" customFormat="1" x14ac:dyDescent="0.2"/>
    <row r="271" s="185" customFormat="1" x14ac:dyDescent="0.2"/>
    <row r="272" s="185" customFormat="1" x14ac:dyDescent="0.2"/>
    <row r="273" s="185" customFormat="1" x14ac:dyDescent="0.2"/>
    <row r="274" s="185" customFormat="1" x14ac:dyDescent="0.2"/>
    <row r="275" s="185" customFormat="1" x14ac:dyDescent="0.2"/>
    <row r="276" s="185" customFormat="1" x14ac:dyDescent="0.2"/>
    <row r="277" s="185" customFormat="1" x14ac:dyDescent="0.2"/>
    <row r="278" s="185" customFormat="1" x14ac:dyDescent="0.2"/>
    <row r="279" s="185" customFormat="1" x14ac:dyDescent="0.2"/>
    <row r="280" s="185" customFormat="1" x14ac:dyDescent="0.2"/>
    <row r="281" s="185" customFormat="1" x14ac:dyDescent="0.2"/>
    <row r="282" s="185" customFormat="1" x14ac:dyDescent="0.2"/>
    <row r="283" s="185" customFormat="1" x14ac:dyDescent="0.2"/>
    <row r="284" s="185" customFormat="1" x14ac:dyDescent="0.2"/>
    <row r="285" s="185" customFormat="1" x14ac:dyDescent="0.2"/>
    <row r="286" s="185" customFormat="1" x14ac:dyDescent="0.2"/>
    <row r="287" s="185" customFormat="1" x14ac:dyDescent="0.2"/>
    <row r="288" s="185" customFormat="1" x14ac:dyDescent="0.2"/>
    <row r="289" s="185" customFormat="1" x14ac:dyDescent="0.2"/>
    <row r="290" s="185" customFormat="1" x14ac:dyDescent="0.2"/>
    <row r="291" s="185" customFormat="1" x14ac:dyDescent="0.2"/>
    <row r="292" s="185" customFormat="1" x14ac:dyDescent="0.2"/>
    <row r="293" s="185" customFormat="1" x14ac:dyDescent="0.2"/>
    <row r="294" s="185" customFormat="1" x14ac:dyDescent="0.2"/>
    <row r="295" s="185" customFormat="1" x14ac:dyDescent="0.2"/>
    <row r="296" s="185" customFormat="1" x14ac:dyDescent="0.2"/>
    <row r="297" s="185" customFormat="1" x14ac:dyDescent="0.2"/>
    <row r="298" s="185" customFormat="1" x14ac:dyDescent="0.2"/>
    <row r="299" s="185" customFormat="1" x14ac:dyDescent="0.2"/>
    <row r="300" s="185" customFormat="1" x14ac:dyDescent="0.2"/>
    <row r="301" s="185" customFormat="1" x14ac:dyDescent="0.2"/>
    <row r="302" s="185" customFormat="1" x14ac:dyDescent="0.2"/>
    <row r="303" s="185" customFormat="1" x14ac:dyDescent="0.2"/>
    <row r="304" s="185" customFormat="1" x14ac:dyDescent="0.2"/>
    <row r="305" s="185" customFormat="1" x14ac:dyDescent="0.2"/>
    <row r="306" s="185" customFormat="1" x14ac:dyDescent="0.2"/>
    <row r="307" s="185" customFormat="1" x14ac:dyDescent="0.2"/>
    <row r="308" s="185" customFormat="1" x14ac:dyDescent="0.2"/>
    <row r="309" s="185" customFormat="1" x14ac:dyDescent="0.2"/>
    <row r="310" s="185" customFormat="1" x14ac:dyDescent="0.2"/>
    <row r="311" s="185" customFormat="1" x14ac:dyDescent="0.2"/>
    <row r="312" s="185" customFormat="1" x14ac:dyDescent="0.2"/>
    <row r="313" s="185" customFormat="1" x14ac:dyDescent="0.2"/>
    <row r="314" s="185" customFormat="1" x14ac:dyDescent="0.2"/>
    <row r="315" s="185" customFormat="1" x14ac:dyDescent="0.2"/>
    <row r="316" s="185" customFormat="1" x14ac:dyDescent="0.2"/>
    <row r="317" s="185" customFormat="1" x14ac:dyDescent="0.2"/>
    <row r="318" s="185" customFormat="1" x14ac:dyDescent="0.2"/>
    <row r="319" s="185" customFormat="1" x14ac:dyDescent="0.2"/>
    <row r="320" s="185" customFormat="1" x14ac:dyDescent="0.2"/>
    <row r="321" s="185" customFormat="1" x14ac:dyDescent="0.2"/>
    <row r="322" s="185" customFormat="1" x14ac:dyDescent="0.2"/>
    <row r="323" s="185" customFormat="1" x14ac:dyDescent="0.2"/>
    <row r="324" s="185" customFormat="1" x14ac:dyDescent="0.2"/>
    <row r="325" s="185" customFormat="1" x14ac:dyDescent="0.2"/>
    <row r="326" s="185" customFormat="1" x14ac:dyDescent="0.2"/>
    <row r="327" s="185" customFormat="1" x14ac:dyDescent="0.2"/>
    <row r="328" s="185" customFormat="1" x14ac:dyDescent="0.2"/>
    <row r="329" s="185" customFormat="1" x14ac:dyDescent="0.2"/>
    <row r="330" s="185" customFormat="1" x14ac:dyDescent="0.2"/>
    <row r="331" s="185" customFormat="1" x14ac:dyDescent="0.2"/>
    <row r="332" s="185" customFormat="1" x14ac:dyDescent="0.2"/>
    <row r="333" s="185" customFormat="1" x14ac:dyDescent="0.2"/>
    <row r="334" s="185" customFormat="1" x14ac:dyDescent="0.2"/>
    <row r="335" s="185" customFormat="1" x14ac:dyDescent="0.2"/>
    <row r="336" s="185" customFormat="1" x14ac:dyDescent="0.2"/>
    <row r="337" s="185" customFormat="1" x14ac:dyDescent="0.2"/>
    <row r="338" s="185" customFormat="1" x14ac:dyDescent="0.2"/>
    <row r="339" s="185" customFormat="1" x14ac:dyDescent="0.2"/>
    <row r="340" s="185" customFormat="1" x14ac:dyDescent="0.2"/>
    <row r="341" s="185" customFormat="1" x14ac:dyDescent="0.2"/>
    <row r="342" s="185" customFormat="1" x14ac:dyDescent="0.2"/>
    <row r="343" s="185" customFormat="1" x14ac:dyDescent="0.2"/>
    <row r="344" s="185" customFormat="1" x14ac:dyDescent="0.2"/>
    <row r="345" s="185" customFormat="1" x14ac:dyDescent="0.2"/>
    <row r="346" s="185" customFormat="1" x14ac:dyDescent="0.2"/>
    <row r="347" s="185" customFormat="1" x14ac:dyDescent="0.2"/>
    <row r="348" s="185" customFormat="1" x14ac:dyDescent="0.2"/>
    <row r="349" s="185" customFormat="1" x14ac:dyDescent="0.2"/>
    <row r="350" s="185" customFormat="1" x14ac:dyDescent="0.2"/>
    <row r="351" s="185" customFormat="1" x14ac:dyDescent="0.2"/>
    <row r="352" s="185" customFormat="1" x14ac:dyDescent="0.2"/>
    <row r="353" s="185" customFormat="1" x14ac:dyDescent="0.2"/>
    <row r="354" s="185" customFormat="1" x14ac:dyDescent="0.2"/>
    <row r="355" s="185" customFormat="1" x14ac:dyDescent="0.2"/>
    <row r="356" s="185" customFormat="1" x14ac:dyDescent="0.2"/>
    <row r="357" s="185" customFormat="1" x14ac:dyDescent="0.2"/>
    <row r="358" s="185" customFormat="1" x14ac:dyDescent="0.2"/>
    <row r="359" s="185" customFormat="1" x14ac:dyDescent="0.2"/>
    <row r="360" s="185" customFormat="1" x14ac:dyDescent="0.2"/>
    <row r="361" s="185" customFormat="1" x14ac:dyDescent="0.2"/>
    <row r="362" s="185" customFormat="1" x14ac:dyDescent="0.2"/>
    <row r="363" s="185" customFormat="1" x14ac:dyDescent="0.2"/>
    <row r="364" s="185" customFormat="1" x14ac:dyDescent="0.2"/>
    <row r="365" s="185" customFormat="1" x14ac:dyDescent="0.2"/>
    <row r="366" s="185" customFormat="1" x14ac:dyDescent="0.2"/>
    <row r="367" s="185" customFormat="1" x14ac:dyDescent="0.2"/>
    <row r="368" s="185" customFormat="1" x14ac:dyDescent="0.2"/>
    <row r="369" spans="2:16" s="185" customFormat="1" x14ac:dyDescent="0.2"/>
    <row r="370" spans="2:16" s="185" customFormat="1" x14ac:dyDescent="0.2"/>
    <row r="371" spans="2:16" s="185" customFormat="1" x14ac:dyDescent="0.2"/>
    <row r="372" spans="2:16" s="185" customFormat="1" x14ac:dyDescent="0.2"/>
    <row r="373" spans="2:16" x14ac:dyDescent="0.2">
      <c r="B373" s="185"/>
      <c r="C373" s="185"/>
      <c r="D373" s="185"/>
      <c r="E373" s="185"/>
      <c r="F373" s="185"/>
      <c r="G373" s="185"/>
      <c r="H373" s="185"/>
      <c r="I373" s="185"/>
      <c r="J373" s="185"/>
      <c r="K373" s="185"/>
      <c r="L373" s="185"/>
      <c r="M373" s="185"/>
      <c r="N373" s="185"/>
      <c r="O373" s="185"/>
      <c r="P373" s="185"/>
    </row>
    <row r="374" spans="2:16" x14ac:dyDescent="0.2">
      <c r="B374" s="185"/>
      <c r="C374" s="185"/>
      <c r="D374" s="185"/>
      <c r="E374" s="185"/>
      <c r="F374" s="185"/>
      <c r="G374" s="185"/>
      <c r="H374" s="185"/>
      <c r="I374" s="185"/>
      <c r="J374" s="185"/>
      <c r="K374" s="185"/>
      <c r="L374" s="185"/>
      <c r="M374" s="185"/>
      <c r="N374" s="185"/>
      <c r="O374" s="185"/>
      <c r="P374" s="185"/>
    </row>
    <row r="375" spans="2:16" x14ac:dyDescent="0.2">
      <c r="B375" s="185"/>
      <c r="C375" s="185"/>
      <c r="D375" s="185"/>
      <c r="E375" s="185"/>
      <c r="F375" s="185"/>
      <c r="G375" s="185"/>
      <c r="H375" s="185"/>
      <c r="I375" s="185"/>
      <c r="J375" s="185"/>
      <c r="K375" s="185"/>
      <c r="L375" s="185"/>
      <c r="M375" s="185"/>
      <c r="N375" s="185"/>
      <c r="O375" s="185"/>
      <c r="P375" s="185"/>
    </row>
    <row r="376" spans="2:16" x14ac:dyDescent="0.2">
      <c r="B376" s="185"/>
      <c r="C376" s="185"/>
      <c r="D376" s="185"/>
      <c r="E376" s="185"/>
      <c r="F376" s="185"/>
      <c r="G376" s="185"/>
      <c r="H376" s="185"/>
      <c r="I376" s="185"/>
      <c r="J376" s="185"/>
      <c r="K376" s="185"/>
      <c r="L376" s="185"/>
      <c r="M376" s="185"/>
      <c r="N376" s="185"/>
      <c r="O376" s="185"/>
      <c r="P376" s="185"/>
    </row>
    <row r="377" spans="2:16" x14ac:dyDescent="0.2">
      <c r="B377" s="185"/>
      <c r="C377" s="185"/>
      <c r="D377" s="185"/>
      <c r="E377" s="185"/>
      <c r="F377" s="185"/>
      <c r="G377" s="185"/>
      <c r="H377" s="185"/>
      <c r="I377" s="185"/>
      <c r="J377" s="185"/>
      <c r="K377" s="185"/>
      <c r="L377" s="185"/>
      <c r="M377" s="185"/>
      <c r="N377" s="185"/>
      <c r="O377" s="185"/>
      <c r="P377" s="185"/>
    </row>
    <row r="378" spans="2:16" x14ac:dyDescent="0.2">
      <c r="B378" s="185"/>
      <c r="C378" s="185"/>
      <c r="D378" s="185"/>
      <c r="E378" s="185"/>
      <c r="F378" s="185"/>
      <c r="G378" s="185"/>
      <c r="H378" s="185"/>
      <c r="I378" s="185"/>
      <c r="J378" s="185"/>
      <c r="K378" s="185"/>
      <c r="L378" s="185"/>
      <c r="M378" s="185"/>
      <c r="N378" s="185"/>
      <c r="O378" s="185"/>
      <c r="P378" s="185"/>
    </row>
    <row r="379" spans="2:16" x14ac:dyDescent="0.2">
      <c r="B379" s="185"/>
      <c r="C379" s="185"/>
      <c r="D379" s="185"/>
      <c r="E379" s="185"/>
      <c r="F379" s="185"/>
      <c r="G379" s="185"/>
      <c r="H379" s="185"/>
      <c r="I379" s="185"/>
      <c r="J379" s="185"/>
      <c r="K379" s="185"/>
      <c r="L379" s="185"/>
      <c r="M379" s="185"/>
      <c r="N379" s="185"/>
      <c r="O379" s="185"/>
      <c r="P379" s="185"/>
    </row>
    <row r="380" spans="2:16" x14ac:dyDescent="0.2">
      <c r="B380" s="185"/>
      <c r="C380" s="185"/>
      <c r="D380" s="185"/>
      <c r="E380" s="185"/>
      <c r="F380" s="185"/>
      <c r="G380" s="185"/>
      <c r="H380" s="185"/>
      <c r="I380" s="185"/>
      <c r="J380" s="185"/>
      <c r="K380" s="185"/>
      <c r="L380" s="185"/>
      <c r="M380" s="185"/>
      <c r="N380" s="185"/>
      <c r="O380" s="185"/>
      <c r="P380" s="185"/>
    </row>
    <row r="381" spans="2:16" x14ac:dyDescent="0.2">
      <c r="B381" s="185"/>
      <c r="C381" s="185"/>
      <c r="D381" s="185"/>
      <c r="E381" s="185"/>
      <c r="F381" s="185"/>
      <c r="G381" s="185"/>
      <c r="H381" s="185"/>
      <c r="I381" s="185"/>
      <c r="J381" s="185"/>
      <c r="K381" s="185"/>
      <c r="L381" s="185"/>
      <c r="M381" s="185"/>
      <c r="N381" s="185"/>
      <c r="O381" s="185"/>
      <c r="P381" s="185"/>
    </row>
    <row r="382" spans="2:16" x14ac:dyDescent="0.2">
      <c r="B382" s="185"/>
      <c r="C382" s="185"/>
      <c r="D382" s="185"/>
      <c r="E382" s="185"/>
      <c r="F382" s="185"/>
      <c r="G382" s="185"/>
      <c r="H382" s="185"/>
      <c r="I382" s="185"/>
      <c r="J382" s="185"/>
      <c r="K382" s="185"/>
      <c r="L382" s="185"/>
      <c r="M382" s="185"/>
      <c r="N382" s="185"/>
      <c r="O382" s="185"/>
      <c r="P382" s="185"/>
    </row>
    <row r="383" spans="2:16" x14ac:dyDescent="0.2">
      <c r="B383" s="185"/>
      <c r="C383" s="185"/>
      <c r="D383" s="185"/>
      <c r="E383" s="185"/>
      <c r="F383" s="185"/>
      <c r="G383" s="185"/>
      <c r="H383" s="185"/>
      <c r="I383" s="185"/>
      <c r="J383" s="185"/>
      <c r="K383" s="185"/>
      <c r="L383" s="185"/>
      <c r="M383" s="185"/>
      <c r="N383" s="185"/>
      <c r="O383" s="185"/>
      <c r="P383" s="185"/>
    </row>
    <row r="384" spans="2:16" x14ac:dyDescent="0.2">
      <c r="B384" s="185"/>
      <c r="C384" s="185"/>
      <c r="D384" s="185"/>
      <c r="E384" s="185"/>
      <c r="F384" s="185"/>
      <c r="G384" s="185"/>
      <c r="H384" s="185"/>
      <c r="I384" s="185"/>
      <c r="J384" s="185"/>
      <c r="K384" s="185"/>
      <c r="L384" s="185"/>
      <c r="M384" s="185"/>
      <c r="N384" s="185"/>
      <c r="O384" s="185"/>
      <c r="P384" s="185"/>
    </row>
    <row r="385" spans="2:16" x14ac:dyDescent="0.2">
      <c r="B385" s="185"/>
      <c r="C385" s="185"/>
      <c r="D385" s="185"/>
      <c r="E385" s="185"/>
      <c r="F385" s="185"/>
      <c r="G385" s="185"/>
      <c r="H385" s="185"/>
      <c r="I385" s="185"/>
      <c r="J385" s="185"/>
      <c r="K385" s="185"/>
      <c r="L385" s="185"/>
      <c r="M385" s="185"/>
      <c r="N385" s="185"/>
      <c r="O385" s="185"/>
      <c r="P385" s="185"/>
    </row>
    <row r="386" spans="2:16" x14ac:dyDescent="0.2">
      <c r="B386" s="185"/>
      <c r="C386" s="185"/>
      <c r="D386" s="185"/>
      <c r="E386" s="185"/>
      <c r="F386" s="185"/>
      <c r="G386" s="185"/>
      <c r="H386" s="185"/>
      <c r="I386" s="185"/>
      <c r="J386" s="185"/>
      <c r="K386" s="185"/>
      <c r="L386" s="185"/>
      <c r="M386" s="185"/>
      <c r="N386" s="185"/>
      <c r="O386" s="185"/>
      <c r="P386" s="185"/>
    </row>
    <row r="387" spans="2:16" x14ac:dyDescent="0.2">
      <c r="B387" s="185"/>
      <c r="C387" s="185"/>
      <c r="D387" s="185"/>
      <c r="E387" s="185"/>
      <c r="F387" s="185"/>
      <c r="G387" s="185"/>
      <c r="H387" s="185"/>
      <c r="I387" s="185"/>
      <c r="J387" s="185"/>
      <c r="K387" s="185"/>
      <c r="L387" s="185"/>
      <c r="M387" s="185"/>
      <c r="N387" s="185"/>
      <c r="O387" s="185"/>
      <c r="P387" s="185"/>
    </row>
    <row r="388" spans="2:16" x14ac:dyDescent="0.2">
      <c r="B388" s="185"/>
      <c r="C388" s="185"/>
      <c r="D388" s="185"/>
      <c r="E388" s="185"/>
      <c r="F388" s="185"/>
      <c r="G388" s="185"/>
      <c r="H388" s="185"/>
      <c r="I388" s="185"/>
      <c r="J388" s="185"/>
      <c r="K388" s="185"/>
      <c r="L388" s="185"/>
      <c r="M388" s="185"/>
      <c r="N388" s="185"/>
      <c r="O388" s="185"/>
      <c r="P388" s="185"/>
    </row>
    <row r="389" spans="2:16" x14ac:dyDescent="0.2">
      <c r="B389" s="185"/>
      <c r="C389" s="185"/>
      <c r="D389" s="185"/>
      <c r="E389" s="185"/>
      <c r="F389" s="185"/>
      <c r="G389" s="185"/>
      <c r="H389" s="185"/>
      <c r="I389" s="185"/>
      <c r="J389" s="185"/>
      <c r="K389" s="185"/>
      <c r="L389" s="185"/>
      <c r="M389" s="185"/>
      <c r="N389" s="185"/>
      <c r="O389" s="185"/>
      <c r="P389" s="185"/>
    </row>
    <row r="390" spans="2:16" x14ac:dyDescent="0.2">
      <c r="B390" s="185"/>
      <c r="C390" s="185"/>
      <c r="D390" s="185"/>
      <c r="E390" s="185"/>
      <c r="F390" s="185"/>
      <c r="G390" s="185"/>
      <c r="H390" s="185"/>
      <c r="I390" s="185"/>
      <c r="J390" s="185"/>
      <c r="K390" s="185"/>
      <c r="L390" s="185"/>
      <c r="M390" s="185"/>
      <c r="N390" s="185"/>
      <c r="O390" s="185"/>
      <c r="P390" s="185"/>
    </row>
    <row r="391" spans="2:16" x14ac:dyDescent="0.2">
      <c r="B391" s="185"/>
      <c r="C391" s="185"/>
      <c r="D391" s="185"/>
      <c r="E391" s="185"/>
      <c r="F391" s="185"/>
      <c r="G391" s="185"/>
      <c r="H391" s="185"/>
      <c r="I391" s="185"/>
      <c r="J391" s="185"/>
      <c r="K391" s="185"/>
      <c r="L391" s="185"/>
      <c r="M391" s="185"/>
      <c r="N391" s="185"/>
      <c r="O391" s="185"/>
      <c r="P391" s="185"/>
    </row>
    <row r="392" spans="2:16" x14ac:dyDescent="0.2">
      <c r="B392" s="185"/>
      <c r="C392" s="185"/>
      <c r="D392" s="185"/>
      <c r="E392" s="185"/>
      <c r="F392" s="185"/>
      <c r="G392" s="185"/>
      <c r="H392" s="185"/>
      <c r="I392" s="185"/>
      <c r="J392" s="185"/>
      <c r="K392" s="185"/>
      <c r="L392" s="185"/>
      <c r="M392" s="185"/>
      <c r="N392" s="185"/>
      <c r="O392" s="185"/>
      <c r="P392" s="185"/>
    </row>
    <row r="393" spans="2:16" x14ac:dyDescent="0.2">
      <c r="B393" s="185"/>
      <c r="C393" s="185"/>
      <c r="D393" s="185"/>
      <c r="E393" s="185"/>
      <c r="F393" s="185"/>
      <c r="G393" s="185"/>
      <c r="H393" s="185"/>
      <c r="I393" s="185"/>
      <c r="J393" s="185"/>
      <c r="K393" s="185"/>
      <c r="L393" s="185"/>
      <c r="M393" s="185"/>
      <c r="N393" s="185"/>
      <c r="O393" s="185"/>
      <c r="P393" s="185"/>
    </row>
    <row r="394" spans="2:16" x14ac:dyDescent="0.2">
      <c r="B394" s="185"/>
      <c r="C394" s="185"/>
      <c r="D394" s="185"/>
      <c r="E394" s="185"/>
      <c r="F394" s="185"/>
      <c r="G394" s="185"/>
      <c r="H394" s="185"/>
      <c r="I394" s="185"/>
      <c r="J394" s="185"/>
      <c r="K394" s="185"/>
      <c r="L394" s="185"/>
      <c r="M394" s="185"/>
      <c r="N394" s="185"/>
      <c r="O394" s="185"/>
      <c r="P394" s="185"/>
    </row>
    <row r="395" spans="2:16" x14ac:dyDescent="0.2">
      <c r="B395" s="185"/>
      <c r="C395" s="185"/>
      <c r="D395" s="185"/>
      <c r="E395" s="185"/>
      <c r="F395" s="185"/>
      <c r="G395" s="185"/>
      <c r="H395" s="185"/>
      <c r="I395" s="185"/>
      <c r="J395" s="185"/>
      <c r="K395" s="185"/>
      <c r="L395" s="185"/>
      <c r="M395" s="185"/>
      <c r="N395" s="185"/>
      <c r="O395" s="185"/>
      <c r="P395" s="185"/>
    </row>
    <row r="396" spans="2:16" x14ac:dyDescent="0.2">
      <c r="B396" s="185"/>
      <c r="C396" s="185"/>
      <c r="D396" s="185"/>
      <c r="E396" s="185"/>
      <c r="F396" s="185"/>
      <c r="G396" s="185"/>
      <c r="H396" s="185"/>
      <c r="I396" s="185"/>
      <c r="J396" s="185"/>
      <c r="K396" s="185"/>
      <c r="L396" s="185"/>
      <c r="M396" s="185"/>
      <c r="N396" s="185"/>
      <c r="O396" s="185"/>
      <c r="P396" s="185"/>
    </row>
    <row r="397" spans="2:16" x14ac:dyDescent="0.2">
      <c r="B397" s="185"/>
      <c r="C397" s="185"/>
      <c r="D397" s="185"/>
      <c r="E397" s="185"/>
      <c r="F397" s="185"/>
      <c r="G397" s="185"/>
      <c r="H397" s="185"/>
      <c r="I397" s="185"/>
      <c r="J397" s="185"/>
      <c r="K397" s="185"/>
      <c r="L397" s="185"/>
      <c r="M397" s="185"/>
      <c r="N397" s="185"/>
      <c r="O397" s="185"/>
      <c r="P397" s="185"/>
    </row>
    <row r="398" spans="2:16" x14ac:dyDescent="0.2">
      <c r="B398" s="185"/>
      <c r="C398" s="185"/>
      <c r="D398" s="185"/>
      <c r="E398" s="185"/>
      <c r="F398" s="185"/>
      <c r="G398" s="185"/>
      <c r="H398" s="185"/>
      <c r="I398" s="185"/>
      <c r="J398" s="185"/>
      <c r="K398" s="185"/>
      <c r="L398" s="185"/>
      <c r="M398" s="185"/>
      <c r="N398" s="185"/>
      <c r="O398" s="185"/>
      <c r="P398" s="185"/>
    </row>
    <row r="399" spans="2:16" x14ac:dyDescent="0.2">
      <c r="B399" s="185"/>
      <c r="C399" s="185"/>
      <c r="D399" s="185"/>
      <c r="E399" s="185"/>
      <c r="F399" s="185"/>
      <c r="G399" s="185"/>
      <c r="H399" s="185"/>
      <c r="I399" s="185"/>
      <c r="J399" s="185"/>
      <c r="K399" s="185"/>
      <c r="L399" s="185"/>
      <c r="M399" s="185"/>
      <c r="N399" s="185"/>
      <c r="O399" s="185"/>
      <c r="P399" s="185"/>
    </row>
    <row r="400" spans="2:16" x14ac:dyDescent="0.2">
      <c r="B400" s="185"/>
      <c r="C400" s="185"/>
      <c r="D400" s="185"/>
      <c r="E400" s="185"/>
      <c r="F400" s="185"/>
      <c r="G400" s="185"/>
      <c r="H400" s="185"/>
      <c r="I400" s="185"/>
      <c r="J400" s="185"/>
      <c r="K400" s="185"/>
      <c r="L400" s="185"/>
      <c r="M400" s="185"/>
      <c r="N400" s="185"/>
      <c r="O400" s="185"/>
      <c r="P400" s="185"/>
    </row>
    <row r="401" spans="2:16" x14ac:dyDescent="0.2">
      <c r="B401" s="185"/>
      <c r="C401" s="185"/>
      <c r="D401" s="185"/>
      <c r="E401" s="185"/>
      <c r="F401" s="185"/>
      <c r="G401" s="185"/>
      <c r="H401" s="185"/>
      <c r="I401" s="185"/>
      <c r="J401" s="185"/>
      <c r="K401" s="185"/>
      <c r="L401" s="185"/>
      <c r="M401" s="185"/>
      <c r="N401" s="185"/>
      <c r="O401" s="185"/>
      <c r="P401" s="185"/>
    </row>
    <row r="402" spans="2:16" x14ac:dyDescent="0.2">
      <c r="B402" s="185"/>
      <c r="C402" s="185"/>
      <c r="D402" s="185"/>
      <c r="E402" s="185"/>
      <c r="F402" s="185"/>
      <c r="G402" s="185"/>
      <c r="H402" s="185"/>
      <c r="I402" s="185"/>
      <c r="J402" s="185"/>
      <c r="K402" s="185"/>
      <c r="L402" s="185"/>
      <c r="M402" s="185"/>
      <c r="N402" s="185"/>
      <c r="O402" s="185"/>
      <c r="P402" s="185"/>
    </row>
    <row r="403" spans="2:16" x14ac:dyDescent="0.2">
      <c r="B403" s="185"/>
      <c r="C403" s="185"/>
      <c r="D403" s="185"/>
      <c r="E403" s="185"/>
      <c r="F403" s="185"/>
      <c r="G403" s="185"/>
      <c r="H403" s="185"/>
      <c r="I403" s="185"/>
      <c r="J403" s="185"/>
      <c r="K403" s="185"/>
      <c r="L403" s="185"/>
      <c r="M403" s="185"/>
      <c r="N403" s="185"/>
      <c r="O403" s="185"/>
      <c r="P403" s="185"/>
    </row>
    <row r="404" spans="2:16" x14ac:dyDescent="0.2">
      <c r="B404" s="185"/>
      <c r="C404" s="185"/>
      <c r="D404" s="185"/>
      <c r="E404" s="185"/>
      <c r="F404" s="185"/>
      <c r="G404" s="185"/>
      <c r="H404" s="185"/>
      <c r="I404" s="185"/>
      <c r="J404" s="185"/>
      <c r="K404" s="185"/>
      <c r="L404" s="185"/>
      <c r="M404" s="185"/>
      <c r="N404" s="185"/>
      <c r="O404" s="185"/>
      <c r="P404" s="185"/>
    </row>
    <row r="405" spans="2:16" x14ac:dyDescent="0.2">
      <c r="B405" s="185"/>
      <c r="C405" s="185"/>
      <c r="D405" s="185"/>
      <c r="E405" s="185"/>
      <c r="F405" s="185"/>
      <c r="G405" s="185"/>
      <c r="H405" s="185"/>
      <c r="I405" s="185"/>
      <c r="J405" s="185"/>
      <c r="K405" s="185"/>
      <c r="L405" s="185"/>
      <c r="M405" s="185"/>
      <c r="N405" s="185"/>
      <c r="O405" s="185"/>
      <c r="P405" s="185"/>
    </row>
    <row r="406" spans="2:16" x14ac:dyDescent="0.2">
      <c r="B406" s="185"/>
      <c r="C406" s="185"/>
      <c r="D406" s="185"/>
      <c r="E406" s="185"/>
      <c r="F406" s="185"/>
      <c r="G406" s="185"/>
      <c r="H406" s="185"/>
      <c r="I406" s="185"/>
      <c r="J406" s="185"/>
      <c r="K406" s="185"/>
      <c r="L406" s="185"/>
      <c r="M406" s="185"/>
      <c r="N406" s="185"/>
      <c r="O406" s="185"/>
      <c r="P406" s="185"/>
    </row>
    <row r="407" spans="2:16" x14ac:dyDescent="0.2">
      <c r="B407" s="185"/>
      <c r="C407" s="185"/>
      <c r="D407" s="185"/>
      <c r="E407" s="185"/>
      <c r="F407" s="185"/>
      <c r="G407" s="185"/>
      <c r="H407" s="185"/>
      <c r="I407" s="185"/>
      <c r="J407" s="185"/>
      <c r="K407" s="185"/>
      <c r="L407" s="185"/>
      <c r="M407" s="185"/>
      <c r="N407" s="185"/>
      <c r="O407" s="185"/>
      <c r="P407" s="185"/>
    </row>
    <row r="408" spans="2:16" x14ac:dyDescent="0.2">
      <c r="B408" s="185"/>
      <c r="C408" s="185"/>
      <c r="D408" s="185"/>
      <c r="E408" s="185"/>
      <c r="F408" s="185"/>
      <c r="G408" s="185"/>
      <c r="H408" s="185"/>
      <c r="I408" s="185"/>
      <c r="J408" s="185"/>
      <c r="K408" s="185"/>
      <c r="L408" s="185"/>
      <c r="M408" s="185"/>
      <c r="N408" s="185"/>
      <c r="O408" s="185"/>
      <c r="P408" s="185"/>
    </row>
    <row r="409" spans="2:16" x14ac:dyDescent="0.2">
      <c r="B409" s="185"/>
      <c r="C409" s="185"/>
      <c r="D409" s="185"/>
      <c r="E409" s="185"/>
      <c r="F409" s="185"/>
      <c r="G409" s="185"/>
      <c r="H409" s="185"/>
      <c r="I409" s="185"/>
      <c r="J409" s="185"/>
      <c r="K409" s="185"/>
      <c r="L409" s="185"/>
      <c r="M409" s="185"/>
      <c r="N409" s="185"/>
      <c r="O409" s="185"/>
      <c r="P409" s="185"/>
    </row>
    <row r="410" spans="2:16" x14ac:dyDescent="0.2">
      <c r="B410" s="185"/>
      <c r="C410" s="185"/>
      <c r="D410" s="185"/>
      <c r="E410" s="185"/>
      <c r="F410" s="185"/>
      <c r="G410" s="185"/>
      <c r="H410" s="185"/>
      <c r="I410" s="185"/>
      <c r="J410" s="185"/>
      <c r="K410" s="185"/>
      <c r="L410" s="185"/>
      <c r="M410" s="185"/>
      <c r="N410" s="185"/>
      <c r="O410" s="185"/>
      <c r="P410" s="185"/>
    </row>
    <row r="411" spans="2:16" x14ac:dyDescent="0.2">
      <c r="B411" s="185"/>
      <c r="C411" s="185"/>
      <c r="D411" s="185"/>
      <c r="E411" s="185"/>
      <c r="F411" s="185"/>
      <c r="G411" s="185"/>
      <c r="H411" s="185"/>
      <c r="I411" s="185"/>
      <c r="J411" s="185"/>
      <c r="K411" s="185"/>
      <c r="L411" s="185"/>
      <c r="M411" s="185"/>
      <c r="N411" s="185"/>
      <c r="O411" s="185"/>
      <c r="P411" s="185"/>
    </row>
    <row r="412" spans="2:16" x14ac:dyDescent="0.2">
      <c r="B412" s="185"/>
      <c r="C412" s="185"/>
      <c r="D412" s="185"/>
      <c r="E412" s="185"/>
      <c r="F412" s="185"/>
      <c r="G412" s="185"/>
      <c r="H412" s="185"/>
      <c r="I412" s="185"/>
      <c r="J412" s="185"/>
      <c r="K412" s="185"/>
      <c r="L412" s="185"/>
      <c r="M412" s="185"/>
      <c r="N412" s="185"/>
      <c r="O412" s="185"/>
      <c r="P412" s="185"/>
    </row>
    <row r="413" spans="2:16" x14ac:dyDescent="0.2">
      <c r="B413" s="185"/>
      <c r="C413" s="185"/>
      <c r="D413" s="185"/>
      <c r="E413" s="185"/>
      <c r="F413" s="185"/>
      <c r="G413" s="185"/>
      <c r="H413" s="185"/>
      <c r="I413" s="185"/>
      <c r="J413" s="185"/>
      <c r="K413" s="185"/>
      <c r="L413" s="185"/>
      <c r="M413" s="185"/>
      <c r="N413" s="185"/>
      <c r="O413" s="185"/>
      <c r="P413" s="185"/>
    </row>
    <row r="414" spans="2:16" x14ac:dyDescent="0.2">
      <c r="B414" s="185"/>
      <c r="C414" s="185"/>
      <c r="D414" s="185"/>
      <c r="E414" s="185"/>
      <c r="F414" s="185"/>
      <c r="G414" s="185"/>
      <c r="H414" s="185"/>
      <c r="I414" s="185"/>
      <c r="J414" s="185"/>
      <c r="K414" s="185"/>
      <c r="L414" s="185"/>
      <c r="M414" s="185"/>
      <c r="N414" s="185"/>
      <c r="O414" s="185"/>
      <c r="P414" s="185"/>
    </row>
    <row r="415" spans="2:16" x14ac:dyDescent="0.2">
      <c r="B415" s="185"/>
      <c r="C415" s="185"/>
      <c r="D415" s="185"/>
      <c r="E415" s="185"/>
      <c r="F415" s="185"/>
      <c r="G415" s="185"/>
      <c r="H415" s="185"/>
      <c r="I415" s="185"/>
      <c r="J415" s="185"/>
      <c r="K415" s="185"/>
      <c r="L415" s="185"/>
      <c r="M415" s="185"/>
      <c r="N415" s="185"/>
      <c r="O415" s="185"/>
      <c r="P415" s="185"/>
    </row>
    <row r="416" spans="2:16" x14ac:dyDescent="0.2">
      <c r="B416" s="185"/>
      <c r="C416" s="185"/>
      <c r="D416" s="185"/>
      <c r="E416" s="185"/>
      <c r="F416" s="185"/>
      <c r="G416" s="185"/>
      <c r="H416" s="185"/>
      <c r="I416" s="185"/>
      <c r="J416" s="185"/>
      <c r="K416" s="185"/>
      <c r="L416" s="185"/>
      <c r="M416" s="185"/>
      <c r="N416" s="185"/>
      <c r="O416" s="185"/>
      <c r="P416" s="185"/>
    </row>
    <row r="417" spans="2:16" x14ac:dyDescent="0.2">
      <c r="B417" s="185"/>
      <c r="C417" s="185"/>
      <c r="D417" s="185"/>
      <c r="E417" s="185"/>
      <c r="F417" s="185"/>
      <c r="G417" s="185"/>
      <c r="H417" s="185"/>
      <c r="I417" s="185"/>
      <c r="J417" s="185"/>
      <c r="K417" s="185"/>
      <c r="L417" s="185"/>
      <c r="M417" s="185"/>
      <c r="N417" s="185"/>
      <c r="O417" s="185"/>
      <c r="P417" s="185"/>
    </row>
    <row r="418" spans="2:16" x14ac:dyDescent="0.2">
      <c r="B418" s="185"/>
      <c r="C418" s="185"/>
      <c r="D418" s="185"/>
      <c r="E418" s="185"/>
      <c r="F418" s="185"/>
      <c r="G418" s="185"/>
      <c r="H418" s="185"/>
      <c r="I418" s="185"/>
      <c r="J418" s="185"/>
      <c r="K418" s="185"/>
      <c r="L418" s="185"/>
      <c r="M418" s="185"/>
      <c r="N418" s="185"/>
      <c r="O418" s="185"/>
      <c r="P418" s="185"/>
    </row>
    <row r="419" spans="2:16" x14ac:dyDescent="0.2">
      <c r="B419" s="185"/>
      <c r="C419" s="185"/>
      <c r="D419" s="185"/>
      <c r="E419" s="185"/>
      <c r="F419" s="185"/>
      <c r="G419" s="185"/>
      <c r="H419" s="185"/>
      <c r="I419" s="185"/>
      <c r="J419" s="185"/>
      <c r="K419" s="185"/>
      <c r="L419" s="185"/>
      <c r="M419" s="185"/>
      <c r="N419" s="185"/>
      <c r="O419" s="185"/>
      <c r="P419" s="185"/>
    </row>
    <row r="420" spans="2:16" x14ac:dyDescent="0.2">
      <c r="B420" s="185"/>
      <c r="C420" s="185"/>
      <c r="D420" s="185"/>
      <c r="E420" s="185"/>
      <c r="F420" s="185"/>
      <c r="G420" s="185"/>
      <c r="H420" s="185"/>
      <c r="I420" s="185"/>
      <c r="J420" s="185"/>
      <c r="K420" s="185"/>
      <c r="L420" s="185"/>
      <c r="M420" s="185"/>
      <c r="N420" s="185"/>
      <c r="O420" s="185"/>
      <c r="P420" s="185"/>
    </row>
    <row r="421" spans="2:16" x14ac:dyDescent="0.2">
      <c r="B421" s="185"/>
      <c r="C421" s="185"/>
      <c r="D421" s="185"/>
      <c r="E421" s="185"/>
      <c r="F421" s="185"/>
      <c r="G421" s="185"/>
      <c r="H421" s="185"/>
      <c r="I421" s="185"/>
      <c r="J421" s="185"/>
      <c r="K421" s="185"/>
      <c r="L421" s="185"/>
      <c r="M421" s="185"/>
      <c r="N421" s="185"/>
      <c r="O421" s="185"/>
      <c r="P421" s="185"/>
    </row>
    <row r="422" spans="2:16" x14ac:dyDescent="0.2">
      <c r="B422" s="185"/>
      <c r="C422" s="185"/>
      <c r="D422" s="185"/>
      <c r="E422" s="185"/>
      <c r="F422" s="185"/>
      <c r="G422" s="185"/>
      <c r="H422" s="185"/>
      <c r="I422" s="185"/>
      <c r="J422" s="185"/>
      <c r="K422" s="185"/>
      <c r="L422" s="185"/>
      <c r="M422" s="185"/>
      <c r="N422" s="185"/>
      <c r="O422" s="185"/>
      <c r="P422" s="185"/>
    </row>
    <row r="423" spans="2:16" x14ac:dyDescent="0.2">
      <c r="B423" s="185"/>
      <c r="C423" s="185"/>
      <c r="D423" s="185"/>
      <c r="E423" s="185"/>
      <c r="F423" s="185"/>
      <c r="G423" s="185"/>
      <c r="H423" s="185"/>
      <c r="I423" s="185"/>
      <c r="J423" s="185"/>
      <c r="K423" s="185"/>
      <c r="L423" s="185"/>
      <c r="M423" s="185"/>
      <c r="N423" s="185"/>
      <c r="O423" s="185"/>
      <c r="P423" s="185"/>
    </row>
    <row r="424" spans="2:16" x14ac:dyDescent="0.2">
      <c r="B424" s="185"/>
      <c r="C424" s="185"/>
      <c r="D424" s="185"/>
      <c r="E424" s="185"/>
      <c r="F424" s="185"/>
      <c r="G424" s="185"/>
      <c r="H424" s="185"/>
      <c r="I424" s="185"/>
      <c r="J424" s="185"/>
      <c r="K424" s="185"/>
      <c r="L424" s="185"/>
      <c r="M424" s="185"/>
      <c r="N424" s="185"/>
      <c r="O424" s="185"/>
      <c r="P424" s="185"/>
    </row>
    <row r="425" spans="2:16" x14ac:dyDescent="0.2">
      <c r="B425" s="185"/>
      <c r="C425" s="185"/>
      <c r="D425" s="185"/>
      <c r="E425" s="185"/>
      <c r="F425" s="185"/>
      <c r="G425" s="185"/>
      <c r="H425" s="185"/>
      <c r="I425" s="185"/>
      <c r="J425" s="185"/>
      <c r="K425" s="185"/>
      <c r="L425" s="185"/>
      <c r="M425" s="185"/>
      <c r="N425" s="185"/>
      <c r="O425" s="185"/>
      <c r="P425" s="185"/>
    </row>
    <row r="426" spans="2:16" x14ac:dyDescent="0.2">
      <c r="B426" s="185"/>
      <c r="C426" s="185"/>
      <c r="D426" s="185"/>
      <c r="E426" s="185"/>
      <c r="F426" s="185"/>
      <c r="G426" s="185"/>
      <c r="H426" s="185"/>
      <c r="I426" s="185"/>
      <c r="J426" s="185"/>
      <c r="K426" s="185"/>
      <c r="L426" s="185"/>
      <c r="M426" s="185"/>
      <c r="N426" s="185"/>
      <c r="O426" s="185"/>
      <c r="P426" s="185"/>
    </row>
    <row r="427" spans="2:16" x14ac:dyDescent="0.2">
      <c r="B427" s="185"/>
      <c r="C427" s="185"/>
      <c r="D427" s="185"/>
      <c r="E427" s="185"/>
      <c r="F427" s="185"/>
      <c r="G427" s="185"/>
      <c r="H427" s="185"/>
      <c r="I427" s="185"/>
      <c r="J427" s="185"/>
      <c r="K427" s="185"/>
      <c r="L427" s="185"/>
      <c r="M427" s="185"/>
      <c r="N427" s="185"/>
      <c r="O427" s="185"/>
      <c r="P427" s="185"/>
    </row>
    <row r="428" spans="2:16" x14ac:dyDescent="0.2">
      <c r="B428" s="185"/>
      <c r="C428" s="185"/>
      <c r="D428" s="185"/>
      <c r="E428" s="185"/>
      <c r="F428" s="185"/>
      <c r="G428" s="185"/>
      <c r="H428" s="185"/>
      <c r="I428" s="185"/>
      <c r="J428" s="185"/>
      <c r="K428" s="185"/>
      <c r="L428" s="185"/>
      <c r="M428" s="185"/>
      <c r="N428" s="185"/>
      <c r="O428" s="185"/>
      <c r="P428" s="185"/>
    </row>
    <row r="429" spans="2:16" x14ac:dyDescent="0.2">
      <c r="B429" s="185"/>
      <c r="C429" s="185"/>
      <c r="D429" s="185"/>
      <c r="E429" s="185"/>
      <c r="F429" s="185"/>
      <c r="G429" s="185"/>
      <c r="H429" s="185"/>
      <c r="I429" s="185"/>
      <c r="J429" s="185"/>
      <c r="K429" s="185"/>
      <c r="L429" s="185"/>
      <c r="M429" s="185"/>
      <c r="N429" s="185"/>
      <c r="O429" s="185"/>
      <c r="P429" s="185"/>
    </row>
    <row r="430" spans="2:16" x14ac:dyDescent="0.2">
      <c r="B430" s="185"/>
      <c r="C430" s="185"/>
      <c r="D430" s="185"/>
      <c r="E430" s="185"/>
      <c r="F430" s="185"/>
      <c r="G430" s="185"/>
      <c r="H430" s="185"/>
      <c r="I430" s="185"/>
      <c r="J430" s="185"/>
      <c r="K430" s="185"/>
      <c r="L430" s="185"/>
      <c r="M430" s="185"/>
      <c r="N430" s="185"/>
      <c r="O430" s="185"/>
      <c r="P430" s="185"/>
    </row>
    <row r="431" spans="2:16" x14ac:dyDescent="0.2">
      <c r="B431" s="185"/>
      <c r="C431" s="185"/>
      <c r="D431" s="185"/>
      <c r="E431" s="185"/>
      <c r="F431" s="185"/>
      <c r="G431" s="185"/>
      <c r="H431" s="185"/>
      <c r="I431" s="185"/>
      <c r="J431" s="185"/>
      <c r="K431" s="185"/>
      <c r="L431" s="185"/>
      <c r="M431" s="185"/>
      <c r="N431" s="185"/>
      <c r="O431" s="185"/>
      <c r="P431" s="185"/>
    </row>
    <row r="432" spans="2:16" x14ac:dyDescent="0.2">
      <c r="B432" s="185"/>
      <c r="C432" s="185"/>
      <c r="D432" s="185"/>
      <c r="E432" s="185"/>
      <c r="F432" s="185"/>
      <c r="G432" s="185"/>
      <c r="H432" s="185"/>
      <c r="I432" s="185"/>
      <c r="J432" s="185"/>
      <c r="K432" s="185"/>
      <c r="L432" s="185"/>
      <c r="M432" s="185"/>
      <c r="N432" s="185"/>
      <c r="O432" s="185"/>
      <c r="P432" s="185"/>
    </row>
    <row r="433" spans="2:16" x14ac:dyDescent="0.2">
      <c r="B433" s="185"/>
      <c r="C433" s="185"/>
      <c r="D433" s="185"/>
      <c r="E433" s="185"/>
      <c r="F433" s="185"/>
      <c r="G433" s="185"/>
      <c r="H433" s="185"/>
      <c r="I433" s="185"/>
      <c r="J433" s="185"/>
      <c r="K433" s="185"/>
      <c r="L433" s="185"/>
      <c r="M433" s="185"/>
      <c r="N433" s="185"/>
      <c r="O433" s="185"/>
      <c r="P433" s="185"/>
    </row>
    <row r="434" spans="2:16" x14ac:dyDescent="0.2">
      <c r="B434" s="185"/>
      <c r="C434" s="185"/>
      <c r="D434" s="185"/>
      <c r="E434" s="185"/>
      <c r="F434" s="185"/>
      <c r="G434" s="185"/>
      <c r="H434" s="185"/>
      <c r="I434" s="185"/>
      <c r="J434" s="185"/>
      <c r="K434" s="185"/>
      <c r="L434" s="185"/>
      <c r="M434" s="185"/>
      <c r="N434" s="185"/>
      <c r="O434" s="185"/>
      <c r="P434" s="185"/>
    </row>
    <row r="435" spans="2:16" x14ac:dyDescent="0.2">
      <c r="B435" s="185"/>
      <c r="C435" s="185"/>
      <c r="D435" s="185"/>
      <c r="E435" s="185"/>
      <c r="F435" s="185"/>
      <c r="G435" s="185"/>
      <c r="H435" s="185"/>
      <c r="I435" s="185"/>
      <c r="J435" s="185"/>
      <c r="K435" s="185"/>
      <c r="L435" s="185"/>
      <c r="M435" s="185"/>
      <c r="N435" s="185"/>
      <c r="O435" s="185"/>
      <c r="P435" s="185"/>
    </row>
    <row r="436" spans="2:16" x14ac:dyDescent="0.2">
      <c r="B436" s="185"/>
      <c r="C436" s="185"/>
      <c r="D436" s="185"/>
      <c r="E436" s="185"/>
      <c r="F436" s="185"/>
      <c r="G436" s="185"/>
      <c r="H436" s="185"/>
      <c r="I436" s="185"/>
      <c r="J436" s="185"/>
      <c r="K436" s="185"/>
      <c r="L436" s="185"/>
      <c r="M436" s="185"/>
      <c r="N436" s="185"/>
      <c r="O436" s="185"/>
      <c r="P436" s="185"/>
    </row>
    <row r="437" spans="2:16" x14ac:dyDescent="0.2">
      <c r="B437" s="185"/>
      <c r="C437" s="185"/>
      <c r="D437" s="185"/>
      <c r="E437" s="185"/>
      <c r="F437" s="185"/>
      <c r="G437" s="185"/>
      <c r="H437" s="185"/>
      <c r="I437" s="185"/>
      <c r="J437" s="185"/>
      <c r="K437" s="185"/>
      <c r="L437" s="185"/>
      <c r="M437" s="185"/>
      <c r="N437" s="185"/>
      <c r="O437" s="185"/>
      <c r="P437" s="185"/>
    </row>
    <row r="438" spans="2:16" x14ac:dyDescent="0.2">
      <c r="B438" s="185"/>
      <c r="C438" s="185"/>
      <c r="D438" s="185"/>
      <c r="E438" s="185"/>
      <c r="F438" s="185"/>
      <c r="G438" s="185"/>
      <c r="H438" s="185"/>
      <c r="I438" s="185"/>
      <c r="J438" s="185"/>
      <c r="K438" s="185"/>
      <c r="L438" s="185"/>
      <c r="M438" s="185"/>
      <c r="N438" s="185"/>
      <c r="O438" s="185"/>
      <c r="P438" s="185"/>
    </row>
    <row r="439" spans="2:16" x14ac:dyDescent="0.2">
      <c r="B439" s="185"/>
      <c r="C439" s="185"/>
      <c r="D439" s="185"/>
      <c r="E439" s="185"/>
      <c r="F439" s="185"/>
      <c r="G439" s="185"/>
      <c r="H439" s="185"/>
      <c r="I439" s="185"/>
      <c r="J439" s="185"/>
      <c r="K439" s="185"/>
      <c r="L439" s="185"/>
      <c r="M439" s="185"/>
      <c r="N439" s="185"/>
      <c r="O439" s="185"/>
      <c r="P439" s="185"/>
    </row>
    <row r="440" spans="2:16" x14ac:dyDescent="0.2">
      <c r="B440" s="185"/>
      <c r="C440" s="185"/>
      <c r="D440" s="185"/>
      <c r="E440" s="185"/>
      <c r="F440" s="185"/>
      <c r="G440" s="185"/>
      <c r="H440" s="185"/>
      <c r="I440" s="185"/>
      <c r="J440" s="185"/>
      <c r="K440" s="185"/>
      <c r="L440" s="185"/>
      <c r="M440" s="185"/>
      <c r="N440" s="185"/>
      <c r="O440" s="185"/>
      <c r="P440" s="185"/>
    </row>
    <row r="441" spans="2:16" x14ac:dyDescent="0.2">
      <c r="B441" s="185"/>
      <c r="C441" s="185"/>
      <c r="D441" s="185"/>
      <c r="E441" s="185"/>
      <c r="F441" s="185"/>
      <c r="G441" s="185"/>
      <c r="H441" s="185"/>
      <c r="I441" s="185"/>
      <c r="J441" s="185"/>
      <c r="K441" s="185"/>
      <c r="L441" s="185"/>
      <c r="M441" s="185"/>
      <c r="N441" s="185"/>
      <c r="O441" s="185"/>
      <c r="P441" s="185"/>
    </row>
    <row r="442" spans="2:16" x14ac:dyDescent="0.2">
      <c r="B442" s="185"/>
      <c r="C442" s="185"/>
      <c r="D442" s="185"/>
      <c r="E442" s="185"/>
      <c r="F442" s="185"/>
      <c r="G442" s="185"/>
      <c r="H442" s="185"/>
      <c r="I442" s="185"/>
      <c r="J442" s="185"/>
      <c r="K442" s="185"/>
      <c r="L442" s="185"/>
      <c r="M442" s="185"/>
      <c r="N442" s="185"/>
      <c r="O442" s="185"/>
      <c r="P442" s="185"/>
    </row>
    <row r="443" spans="2:16" x14ac:dyDescent="0.2">
      <c r="B443" s="185"/>
      <c r="C443" s="185"/>
      <c r="D443" s="185"/>
      <c r="E443" s="185"/>
      <c r="F443" s="185"/>
      <c r="G443" s="185"/>
      <c r="H443" s="185"/>
      <c r="I443" s="185"/>
      <c r="J443" s="185"/>
      <c r="K443" s="185"/>
      <c r="L443" s="185"/>
      <c r="M443" s="185"/>
      <c r="N443" s="185"/>
      <c r="O443" s="185"/>
      <c r="P443" s="185"/>
    </row>
    <row r="444" spans="2:16" x14ac:dyDescent="0.2">
      <c r="B444" s="185"/>
      <c r="C444" s="185"/>
      <c r="D444" s="185"/>
      <c r="E444" s="185"/>
      <c r="F444" s="185"/>
      <c r="G444" s="185"/>
      <c r="H444" s="185"/>
      <c r="I444" s="185"/>
      <c r="J444" s="185"/>
      <c r="K444" s="185"/>
      <c r="L444" s="185"/>
      <c r="M444" s="185"/>
      <c r="N444" s="185"/>
      <c r="O444" s="185"/>
      <c r="P444" s="185"/>
    </row>
    <row r="445" spans="2:16" x14ac:dyDescent="0.2">
      <c r="B445" s="185"/>
      <c r="C445" s="185"/>
      <c r="D445" s="185"/>
      <c r="E445" s="185"/>
      <c r="F445" s="185"/>
      <c r="G445" s="185"/>
      <c r="H445" s="185"/>
      <c r="I445" s="185"/>
      <c r="J445" s="185"/>
      <c r="K445" s="185"/>
      <c r="L445" s="185"/>
      <c r="M445" s="185"/>
      <c r="N445" s="185"/>
      <c r="O445" s="185"/>
      <c r="P445" s="185"/>
    </row>
    <row r="446" spans="2:16" x14ac:dyDescent="0.2">
      <c r="B446" s="185"/>
      <c r="C446" s="185"/>
      <c r="D446" s="185"/>
      <c r="E446" s="185"/>
      <c r="F446" s="185"/>
      <c r="G446" s="185"/>
      <c r="H446" s="185"/>
      <c r="I446" s="185"/>
      <c r="J446" s="185"/>
      <c r="K446" s="185"/>
      <c r="L446" s="185"/>
      <c r="M446" s="185"/>
      <c r="N446" s="185"/>
      <c r="O446" s="185"/>
      <c r="P446" s="185"/>
    </row>
    <row r="447" spans="2:16" x14ac:dyDescent="0.2">
      <c r="B447" s="185"/>
      <c r="C447" s="185"/>
      <c r="D447" s="185"/>
      <c r="E447" s="185"/>
      <c r="F447" s="185"/>
      <c r="G447" s="185"/>
      <c r="H447" s="185"/>
      <c r="I447" s="185"/>
      <c r="J447" s="185"/>
      <c r="K447" s="185"/>
      <c r="L447" s="185"/>
      <c r="M447" s="185"/>
      <c r="N447" s="185"/>
      <c r="O447" s="185"/>
      <c r="P447" s="185"/>
    </row>
    <row r="448" spans="2:16" x14ac:dyDescent="0.2">
      <c r="B448" s="185"/>
      <c r="C448" s="185"/>
      <c r="D448" s="185"/>
      <c r="E448" s="185"/>
      <c r="F448" s="185"/>
      <c r="G448" s="185"/>
      <c r="H448" s="185"/>
      <c r="I448" s="185"/>
      <c r="J448" s="185"/>
      <c r="K448" s="185"/>
      <c r="L448" s="185"/>
      <c r="M448" s="185"/>
      <c r="N448" s="185"/>
      <c r="O448" s="185"/>
      <c r="P448" s="185"/>
    </row>
    <row r="449" spans="2:16" x14ac:dyDescent="0.2">
      <c r="B449" s="185"/>
      <c r="C449" s="185"/>
      <c r="D449" s="185"/>
      <c r="E449" s="185"/>
      <c r="F449" s="185"/>
      <c r="G449" s="185"/>
      <c r="H449" s="185"/>
      <c r="I449" s="185"/>
      <c r="J449" s="185"/>
      <c r="K449" s="185"/>
      <c r="L449" s="185"/>
      <c r="M449" s="185"/>
      <c r="N449" s="185"/>
      <c r="O449" s="185"/>
      <c r="P449" s="185"/>
    </row>
    <row r="450" spans="2:16" x14ac:dyDescent="0.2">
      <c r="B450" s="185"/>
      <c r="C450" s="185"/>
      <c r="D450" s="185"/>
      <c r="E450" s="185"/>
      <c r="F450" s="185"/>
      <c r="G450" s="185"/>
      <c r="H450" s="185"/>
      <c r="I450" s="185"/>
      <c r="J450" s="185"/>
      <c r="K450" s="185"/>
      <c r="L450" s="185"/>
      <c r="M450" s="185"/>
      <c r="N450" s="185"/>
      <c r="O450" s="185"/>
      <c r="P450" s="185"/>
    </row>
    <row r="451" spans="2:16" x14ac:dyDescent="0.2">
      <c r="B451" s="185"/>
      <c r="C451" s="185"/>
      <c r="D451" s="185"/>
      <c r="E451" s="185"/>
      <c r="F451" s="185"/>
      <c r="G451" s="185"/>
      <c r="H451" s="185"/>
      <c r="I451" s="185"/>
      <c r="J451" s="185"/>
      <c r="K451" s="185"/>
      <c r="L451" s="185"/>
      <c r="M451" s="185"/>
      <c r="N451" s="185"/>
      <c r="O451" s="185"/>
      <c r="P451" s="185"/>
    </row>
    <row r="452" spans="2:16" x14ac:dyDescent="0.2">
      <c r="B452" s="185"/>
      <c r="C452" s="185"/>
      <c r="D452" s="185"/>
      <c r="E452" s="185"/>
      <c r="F452" s="185"/>
      <c r="G452" s="185"/>
      <c r="H452" s="185"/>
      <c r="I452" s="185"/>
      <c r="J452" s="185"/>
      <c r="K452" s="185"/>
      <c r="L452" s="185"/>
      <c r="M452" s="185"/>
      <c r="N452" s="185"/>
      <c r="O452" s="185"/>
      <c r="P452" s="185"/>
    </row>
    <row r="453" spans="2:16" x14ac:dyDescent="0.2">
      <c r="B453" s="185"/>
      <c r="C453" s="185"/>
      <c r="D453" s="185"/>
      <c r="E453" s="185"/>
      <c r="F453" s="185"/>
      <c r="G453" s="185"/>
      <c r="H453" s="185"/>
      <c r="I453" s="185"/>
      <c r="J453" s="185"/>
      <c r="K453" s="185"/>
      <c r="L453" s="185"/>
      <c r="M453" s="185"/>
      <c r="N453" s="185"/>
      <c r="O453" s="185"/>
      <c r="P453" s="185"/>
    </row>
    <row r="454" spans="2:16" x14ac:dyDescent="0.2">
      <c r="B454" s="185"/>
      <c r="C454" s="185"/>
      <c r="D454" s="185"/>
      <c r="E454" s="185"/>
      <c r="F454" s="185"/>
      <c r="G454" s="185"/>
      <c r="H454" s="185"/>
      <c r="I454" s="185"/>
      <c r="J454" s="185"/>
      <c r="K454" s="185"/>
      <c r="L454" s="185"/>
      <c r="M454" s="185"/>
      <c r="N454" s="185"/>
      <c r="O454" s="185"/>
      <c r="P454" s="185"/>
    </row>
    <row r="455" spans="2:16" x14ac:dyDescent="0.2">
      <c r="B455" s="185"/>
      <c r="C455" s="185"/>
      <c r="D455" s="185"/>
      <c r="E455" s="185"/>
      <c r="F455" s="185"/>
      <c r="G455" s="185"/>
      <c r="H455" s="185"/>
      <c r="I455" s="185"/>
      <c r="J455" s="185"/>
      <c r="K455" s="185"/>
      <c r="L455" s="185"/>
      <c r="M455" s="185"/>
      <c r="N455" s="185"/>
      <c r="O455" s="185"/>
      <c r="P455" s="185"/>
    </row>
    <row r="456" spans="2:16" x14ac:dyDescent="0.2">
      <c r="B456" s="185"/>
      <c r="C456" s="185"/>
      <c r="D456" s="185"/>
      <c r="E456" s="185"/>
      <c r="F456" s="185"/>
      <c r="G456" s="185"/>
      <c r="H456" s="185"/>
      <c r="I456" s="185"/>
      <c r="J456" s="185"/>
      <c r="K456" s="185"/>
      <c r="L456" s="185"/>
      <c r="M456" s="185"/>
      <c r="N456" s="185"/>
      <c r="O456" s="185"/>
      <c r="P456" s="185"/>
    </row>
    <row r="457" spans="2:16" x14ac:dyDescent="0.2">
      <c r="B457" s="185"/>
      <c r="C457" s="185"/>
      <c r="D457" s="185"/>
      <c r="E457" s="185"/>
      <c r="F457" s="185"/>
      <c r="G457" s="185"/>
      <c r="H457" s="185"/>
      <c r="I457" s="185"/>
      <c r="J457" s="185"/>
      <c r="K457" s="185"/>
      <c r="L457" s="185"/>
      <c r="M457" s="185"/>
      <c r="N457" s="185"/>
      <c r="O457" s="185"/>
      <c r="P457" s="185"/>
    </row>
    <row r="458" spans="2:16" x14ac:dyDescent="0.2">
      <c r="B458" s="185"/>
      <c r="C458" s="185"/>
      <c r="D458" s="185"/>
      <c r="E458" s="185"/>
      <c r="F458" s="185"/>
      <c r="G458" s="185"/>
      <c r="H458" s="185"/>
      <c r="I458" s="185"/>
      <c r="J458" s="185"/>
      <c r="K458" s="185"/>
      <c r="L458" s="185"/>
      <c r="M458" s="185"/>
      <c r="N458" s="185"/>
      <c r="O458" s="185"/>
      <c r="P458" s="185"/>
    </row>
    <row r="459" spans="2:16" x14ac:dyDescent="0.2">
      <c r="B459" s="185"/>
      <c r="C459" s="185"/>
      <c r="D459" s="185"/>
      <c r="E459" s="185"/>
      <c r="F459" s="185"/>
      <c r="G459" s="185"/>
      <c r="H459" s="185"/>
      <c r="I459" s="185"/>
      <c r="J459" s="185"/>
      <c r="K459" s="185"/>
      <c r="L459" s="185"/>
      <c r="M459" s="185"/>
      <c r="N459" s="185"/>
      <c r="O459" s="185"/>
      <c r="P459" s="185"/>
    </row>
    <row r="460" spans="2:16" x14ac:dyDescent="0.2">
      <c r="B460" s="185"/>
      <c r="C460" s="185"/>
      <c r="D460" s="185"/>
      <c r="E460" s="185"/>
      <c r="F460" s="185"/>
      <c r="G460" s="185"/>
      <c r="H460" s="185"/>
      <c r="I460" s="185"/>
      <c r="J460" s="185"/>
      <c r="K460" s="185"/>
      <c r="L460" s="185"/>
      <c r="M460" s="185"/>
      <c r="N460" s="185"/>
      <c r="O460" s="185"/>
      <c r="P460" s="185"/>
    </row>
    <row r="461" spans="2:16" x14ac:dyDescent="0.2">
      <c r="B461" s="185"/>
      <c r="C461" s="185"/>
      <c r="D461" s="185"/>
      <c r="E461" s="185"/>
      <c r="F461" s="185"/>
      <c r="G461" s="185"/>
      <c r="H461" s="185"/>
      <c r="I461" s="185"/>
      <c r="J461" s="185"/>
      <c r="K461" s="185"/>
      <c r="L461" s="185"/>
      <c r="M461" s="185"/>
      <c r="N461" s="185"/>
      <c r="O461" s="185"/>
      <c r="P461" s="185"/>
    </row>
    <row r="462" spans="2:16" x14ac:dyDescent="0.2">
      <c r="B462" s="185"/>
      <c r="C462" s="185"/>
      <c r="D462" s="185"/>
      <c r="E462" s="185"/>
      <c r="F462" s="185"/>
      <c r="G462" s="185"/>
      <c r="H462" s="185"/>
      <c r="I462" s="185"/>
      <c r="J462" s="185"/>
      <c r="K462" s="185"/>
      <c r="L462" s="185"/>
      <c r="M462" s="185"/>
      <c r="N462" s="185"/>
      <c r="O462" s="185"/>
      <c r="P462" s="185"/>
    </row>
    <row r="463" spans="2:16" x14ac:dyDescent="0.2">
      <c r="B463" s="185"/>
      <c r="C463" s="185"/>
      <c r="D463" s="185"/>
      <c r="E463" s="185"/>
      <c r="F463" s="185"/>
      <c r="G463" s="185"/>
      <c r="H463" s="185"/>
      <c r="I463" s="185"/>
      <c r="J463" s="185"/>
      <c r="K463" s="185"/>
      <c r="L463" s="185"/>
      <c r="M463" s="185"/>
      <c r="N463" s="185"/>
      <c r="O463" s="185"/>
      <c r="P463" s="185"/>
    </row>
    <row r="464" spans="2:16" x14ac:dyDescent="0.2">
      <c r="B464" s="185"/>
      <c r="C464" s="185"/>
      <c r="D464" s="185"/>
      <c r="E464" s="185"/>
      <c r="F464" s="185"/>
      <c r="G464" s="185"/>
      <c r="H464" s="185"/>
      <c r="I464" s="185"/>
      <c r="J464" s="185"/>
      <c r="K464" s="185"/>
      <c r="L464" s="185"/>
      <c r="M464" s="185"/>
      <c r="N464" s="185"/>
      <c r="O464" s="185"/>
      <c r="P464" s="185"/>
    </row>
    <row r="465" spans="2:16" x14ac:dyDescent="0.2">
      <c r="B465" s="185"/>
      <c r="C465" s="185"/>
      <c r="D465" s="185"/>
      <c r="E465" s="185"/>
      <c r="F465" s="185"/>
      <c r="G465" s="185"/>
      <c r="H465" s="185"/>
      <c r="I465" s="185"/>
      <c r="J465" s="185"/>
      <c r="K465" s="185"/>
      <c r="L465" s="185"/>
      <c r="M465" s="185"/>
      <c r="N465" s="185"/>
      <c r="O465" s="185"/>
      <c r="P465" s="185"/>
    </row>
    <row r="466" spans="2:16" x14ac:dyDescent="0.2">
      <c r="B466" s="185"/>
      <c r="C466" s="185"/>
      <c r="D466" s="185"/>
      <c r="E466" s="185"/>
      <c r="F466" s="185"/>
      <c r="G466" s="185"/>
      <c r="H466" s="185"/>
      <c r="I466" s="185"/>
      <c r="J466" s="185"/>
      <c r="K466" s="185"/>
      <c r="L466" s="185"/>
      <c r="M466" s="185"/>
      <c r="N466" s="185"/>
      <c r="O466" s="185"/>
      <c r="P466" s="185"/>
    </row>
    <row r="467" spans="2:16" x14ac:dyDescent="0.2">
      <c r="B467" s="185"/>
      <c r="C467" s="185"/>
      <c r="D467" s="185"/>
      <c r="E467" s="185"/>
      <c r="F467" s="185"/>
      <c r="G467" s="185"/>
      <c r="H467" s="185"/>
      <c r="I467" s="185"/>
      <c r="J467" s="185"/>
      <c r="K467" s="185"/>
      <c r="L467" s="185"/>
      <c r="M467" s="185"/>
      <c r="N467" s="185"/>
      <c r="O467" s="185"/>
      <c r="P467" s="185"/>
    </row>
    <row r="468" spans="2:16" x14ac:dyDescent="0.2">
      <c r="B468" s="185"/>
      <c r="C468" s="185"/>
      <c r="D468" s="185"/>
      <c r="E468" s="185"/>
      <c r="F468" s="185"/>
      <c r="G468" s="185"/>
      <c r="H468" s="185"/>
      <c r="I468" s="185"/>
      <c r="J468" s="185"/>
      <c r="K468" s="185"/>
      <c r="L468" s="185"/>
      <c r="M468" s="185"/>
      <c r="N468" s="185"/>
      <c r="O468" s="185"/>
      <c r="P468" s="185"/>
    </row>
    <row r="469" spans="2:16" x14ac:dyDescent="0.2">
      <c r="B469" s="185"/>
      <c r="C469" s="185"/>
      <c r="D469" s="185"/>
      <c r="E469" s="185"/>
      <c r="F469" s="185"/>
      <c r="G469" s="185"/>
      <c r="H469" s="185"/>
      <c r="I469" s="185"/>
      <c r="J469" s="185"/>
      <c r="K469" s="185"/>
      <c r="L469" s="185"/>
      <c r="M469" s="185"/>
      <c r="N469" s="185"/>
      <c r="O469" s="185"/>
      <c r="P469" s="185"/>
    </row>
    <row r="470" spans="2:16" x14ac:dyDescent="0.2">
      <c r="B470" s="185"/>
      <c r="C470" s="185"/>
      <c r="D470" s="185"/>
      <c r="E470" s="185"/>
      <c r="F470" s="185"/>
      <c r="G470" s="185"/>
      <c r="H470" s="185"/>
      <c r="I470" s="185"/>
      <c r="J470" s="185"/>
      <c r="K470" s="185"/>
      <c r="L470" s="185"/>
      <c r="M470" s="185"/>
      <c r="N470" s="185"/>
      <c r="O470" s="185"/>
      <c r="P470" s="185"/>
    </row>
    <row r="471" spans="2:16" x14ac:dyDescent="0.2">
      <c r="B471" s="185"/>
      <c r="C471" s="185"/>
      <c r="D471" s="185"/>
      <c r="E471" s="185"/>
      <c r="F471" s="185"/>
      <c r="G471" s="185"/>
      <c r="H471" s="185"/>
      <c r="I471" s="185"/>
      <c r="J471" s="185"/>
      <c r="K471" s="185"/>
      <c r="L471" s="185"/>
      <c r="M471" s="185"/>
      <c r="N471" s="185"/>
      <c r="O471" s="185"/>
      <c r="P471" s="185"/>
    </row>
    <row r="472" spans="2:16" x14ac:dyDescent="0.2">
      <c r="B472" s="185"/>
      <c r="C472" s="185"/>
      <c r="D472" s="185"/>
      <c r="E472" s="185"/>
      <c r="F472" s="185"/>
      <c r="G472" s="185"/>
      <c r="H472" s="185"/>
      <c r="I472" s="185"/>
      <c r="J472" s="185"/>
      <c r="K472" s="185"/>
      <c r="L472" s="185"/>
      <c r="M472" s="185"/>
      <c r="N472" s="185"/>
      <c r="O472" s="185"/>
      <c r="P472" s="185"/>
    </row>
    <row r="473" spans="2:16" x14ac:dyDescent="0.2">
      <c r="B473" s="185"/>
      <c r="C473" s="185"/>
      <c r="D473" s="185"/>
      <c r="E473" s="185"/>
      <c r="F473" s="185"/>
      <c r="G473" s="185"/>
      <c r="H473" s="185"/>
      <c r="I473" s="185"/>
      <c r="J473" s="185"/>
      <c r="K473" s="185"/>
      <c r="L473" s="185"/>
      <c r="M473" s="185"/>
      <c r="N473" s="185"/>
      <c r="O473" s="185"/>
      <c r="P473" s="185"/>
    </row>
    <row r="474" spans="2:16" x14ac:dyDescent="0.2">
      <c r="B474" s="185"/>
      <c r="C474" s="185"/>
      <c r="D474" s="185"/>
      <c r="E474" s="185"/>
      <c r="F474" s="185"/>
      <c r="G474" s="185"/>
      <c r="H474" s="185"/>
      <c r="I474" s="185"/>
      <c r="J474" s="185"/>
      <c r="K474" s="185"/>
      <c r="L474" s="185"/>
      <c r="M474" s="185"/>
      <c r="N474" s="185"/>
      <c r="O474" s="185"/>
      <c r="P474" s="185"/>
    </row>
    <row r="475" spans="2:16" x14ac:dyDescent="0.2">
      <c r="B475" s="185"/>
      <c r="C475" s="185"/>
      <c r="D475" s="185"/>
      <c r="E475" s="185"/>
      <c r="F475" s="185"/>
      <c r="G475" s="185"/>
      <c r="H475" s="185"/>
      <c r="I475" s="185"/>
      <c r="J475" s="185"/>
      <c r="K475" s="185"/>
      <c r="L475" s="185"/>
      <c r="M475" s="185"/>
      <c r="N475" s="185"/>
      <c r="O475" s="185"/>
      <c r="P475" s="185"/>
    </row>
    <row r="476" spans="2:16" x14ac:dyDescent="0.2">
      <c r="B476" s="185"/>
      <c r="C476" s="185"/>
      <c r="D476" s="185"/>
      <c r="E476" s="185"/>
      <c r="F476" s="185"/>
      <c r="G476" s="185"/>
      <c r="H476" s="185"/>
      <c r="I476" s="185"/>
      <c r="J476" s="185"/>
      <c r="K476" s="185"/>
      <c r="L476" s="185"/>
      <c r="M476" s="185"/>
      <c r="N476" s="185"/>
      <c r="O476" s="185"/>
      <c r="P476" s="185"/>
    </row>
    <row r="477" spans="2:16" x14ac:dyDescent="0.2">
      <c r="B477" s="185"/>
      <c r="C477" s="185"/>
      <c r="D477" s="185"/>
      <c r="E477" s="185"/>
      <c r="F477" s="185"/>
      <c r="G477" s="185"/>
      <c r="H477" s="185"/>
      <c r="I477" s="185"/>
      <c r="J477" s="185"/>
      <c r="K477" s="185"/>
      <c r="L477" s="185"/>
      <c r="M477" s="185"/>
      <c r="N477" s="185"/>
      <c r="O477" s="185"/>
      <c r="P477" s="185"/>
    </row>
    <row r="478" spans="2:16" x14ac:dyDescent="0.2">
      <c r="B478" s="185"/>
      <c r="C478" s="185"/>
      <c r="D478" s="185"/>
      <c r="E478" s="185"/>
      <c r="F478" s="185"/>
      <c r="G478" s="185"/>
      <c r="H478" s="185"/>
      <c r="I478" s="185"/>
      <c r="J478" s="185"/>
      <c r="K478" s="185"/>
      <c r="L478" s="185"/>
      <c r="M478" s="185"/>
      <c r="N478" s="185"/>
      <c r="O478" s="185"/>
      <c r="P478" s="185"/>
    </row>
    <row r="479" spans="2:16" x14ac:dyDescent="0.2">
      <c r="B479" s="185"/>
      <c r="C479" s="185"/>
      <c r="D479" s="185"/>
      <c r="E479" s="185"/>
      <c r="F479" s="185"/>
      <c r="G479" s="185"/>
      <c r="H479" s="185"/>
      <c r="I479" s="185"/>
      <c r="J479" s="185"/>
      <c r="K479" s="185"/>
      <c r="L479" s="185"/>
      <c r="M479" s="185"/>
      <c r="N479" s="185"/>
      <c r="O479" s="185"/>
      <c r="P479" s="185"/>
    </row>
    <row r="480" spans="2:16" x14ac:dyDescent="0.2">
      <c r="B480" s="185"/>
      <c r="C480" s="185"/>
      <c r="D480" s="185"/>
      <c r="E480" s="185"/>
      <c r="F480" s="185"/>
      <c r="G480" s="185"/>
      <c r="H480" s="185"/>
      <c r="I480" s="185"/>
      <c r="J480" s="185"/>
      <c r="K480" s="185"/>
      <c r="L480" s="185"/>
      <c r="M480" s="185"/>
      <c r="N480" s="185"/>
      <c r="O480" s="185"/>
      <c r="P480" s="185"/>
    </row>
    <row r="481" spans="2:16" x14ac:dyDescent="0.2">
      <c r="B481" s="185"/>
      <c r="C481" s="185"/>
      <c r="D481" s="185"/>
      <c r="E481" s="185"/>
      <c r="F481" s="185"/>
      <c r="G481" s="185"/>
      <c r="H481" s="185"/>
      <c r="I481" s="185"/>
      <c r="J481" s="185"/>
      <c r="K481" s="185"/>
      <c r="L481" s="185"/>
      <c r="M481" s="185"/>
      <c r="N481" s="185"/>
      <c r="O481" s="185"/>
      <c r="P481" s="185"/>
    </row>
    <row r="482" spans="2:16" x14ac:dyDescent="0.2">
      <c r="B482" s="185"/>
      <c r="C482" s="185"/>
      <c r="D482" s="185"/>
      <c r="E482" s="185"/>
      <c r="F482" s="185"/>
      <c r="G482" s="185"/>
      <c r="H482" s="185"/>
      <c r="I482" s="185"/>
      <c r="J482" s="185"/>
      <c r="K482" s="185"/>
      <c r="L482" s="185"/>
      <c r="M482" s="185"/>
      <c r="N482" s="185"/>
      <c r="O482" s="185"/>
      <c r="P482" s="185"/>
    </row>
    <row r="483" spans="2:16" x14ac:dyDescent="0.2">
      <c r="B483" s="185"/>
      <c r="C483" s="185"/>
      <c r="D483" s="185"/>
      <c r="E483" s="185"/>
      <c r="F483" s="185"/>
      <c r="G483" s="185"/>
      <c r="H483" s="185"/>
      <c r="I483" s="185"/>
      <c r="J483" s="185"/>
      <c r="K483" s="185"/>
      <c r="L483" s="185"/>
      <c r="M483" s="185"/>
      <c r="N483" s="185"/>
      <c r="O483" s="185"/>
      <c r="P483" s="185"/>
    </row>
    <row r="484" spans="2:16" x14ac:dyDescent="0.2">
      <c r="B484" s="185"/>
      <c r="C484" s="185"/>
      <c r="D484" s="185"/>
      <c r="E484" s="185"/>
      <c r="F484" s="185"/>
      <c r="G484" s="185"/>
      <c r="H484" s="185"/>
      <c r="I484" s="185"/>
      <c r="J484" s="185"/>
      <c r="K484" s="185"/>
      <c r="L484" s="185"/>
      <c r="M484" s="185"/>
      <c r="N484" s="185"/>
      <c r="O484" s="185"/>
      <c r="P484" s="185"/>
    </row>
    <row r="485" spans="2:16" x14ac:dyDescent="0.2">
      <c r="B485" s="185"/>
      <c r="C485" s="185"/>
      <c r="D485" s="185"/>
      <c r="E485" s="185"/>
      <c r="F485" s="185"/>
      <c r="G485" s="185"/>
      <c r="H485" s="185"/>
      <c r="I485" s="185"/>
      <c r="J485" s="185"/>
      <c r="K485" s="185"/>
      <c r="L485" s="185"/>
      <c r="M485" s="185"/>
      <c r="N485" s="185"/>
      <c r="O485" s="185"/>
      <c r="P485" s="185"/>
    </row>
    <row r="486" spans="2:16" x14ac:dyDescent="0.2">
      <c r="B486" s="185"/>
      <c r="C486" s="185"/>
      <c r="D486" s="185"/>
      <c r="E486" s="185"/>
      <c r="F486" s="185"/>
      <c r="G486" s="185"/>
      <c r="H486" s="185"/>
      <c r="I486" s="185"/>
      <c r="J486" s="185"/>
      <c r="K486" s="185"/>
      <c r="L486" s="185"/>
      <c r="M486" s="185"/>
      <c r="N486" s="185"/>
      <c r="O486" s="185"/>
      <c r="P486" s="185"/>
    </row>
    <row r="487" spans="2:16" x14ac:dyDescent="0.2">
      <c r="B487" s="185"/>
      <c r="C487" s="185"/>
      <c r="D487" s="185"/>
      <c r="E487" s="185"/>
      <c r="F487" s="185"/>
      <c r="G487" s="185"/>
      <c r="H487" s="185"/>
      <c r="I487" s="185"/>
      <c r="J487" s="185"/>
      <c r="K487" s="185"/>
      <c r="L487" s="185"/>
      <c r="M487" s="185"/>
      <c r="N487" s="185"/>
      <c r="O487" s="185"/>
      <c r="P487" s="185"/>
    </row>
    <row r="488" spans="2:16" x14ac:dyDescent="0.2">
      <c r="B488" s="185"/>
      <c r="C488" s="185"/>
      <c r="D488" s="185"/>
      <c r="E488" s="185"/>
      <c r="F488" s="185"/>
      <c r="G488" s="185"/>
      <c r="H488" s="185"/>
      <c r="I488" s="185"/>
      <c r="J488" s="185"/>
      <c r="K488" s="185"/>
      <c r="L488" s="185"/>
      <c r="M488" s="185"/>
      <c r="N488" s="185"/>
      <c r="O488" s="185"/>
      <c r="P488" s="185"/>
    </row>
    <row r="489" spans="2:16" x14ac:dyDescent="0.2">
      <c r="B489" s="185"/>
      <c r="C489" s="185"/>
      <c r="D489" s="185"/>
      <c r="E489" s="185"/>
      <c r="F489" s="185"/>
      <c r="G489" s="185"/>
      <c r="H489" s="185"/>
      <c r="I489" s="185"/>
      <c r="J489" s="185"/>
      <c r="K489" s="185"/>
      <c r="L489" s="185"/>
      <c r="M489" s="185"/>
      <c r="N489" s="185"/>
      <c r="O489" s="185"/>
      <c r="P489" s="185"/>
    </row>
    <row r="490" spans="2:16" x14ac:dyDescent="0.2">
      <c r="B490" s="185"/>
      <c r="C490" s="185"/>
      <c r="D490" s="185"/>
      <c r="E490" s="185"/>
      <c r="F490" s="185"/>
      <c r="G490" s="185"/>
      <c r="H490" s="185"/>
      <c r="I490" s="185"/>
      <c r="J490" s="185"/>
      <c r="K490" s="185"/>
      <c r="L490" s="185"/>
      <c r="M490" s="185"/>
      <c r="N490" s="185"/>
      <c r="O490" s="185"/>
      <c r="P490" s="185"/>
    </row>
    <row r="491" spans="2:16" x14ac:dyDescent="0.2">
      <c r="B491" s="185"/>
      <c r="C491" s="185"/>
      <c r="D491" s="185"/>
      <c r="E491" s="185"/>
      <c r="F491" s="185"/>
      <c r="G491" s="185"/>
      <c r="H491" s="185"/>
      <c r="I491" s="185"/>
      <c r="J491" s="185"/>
      <c r="K491" s="185"/>
      <c r="L491" s="185"/>
      <c r="M491" s="185"/>
      <c r="N491" s="185"/>
      <c r="O491" s="185"/>
      <c r="P491" s="185"/>
    </row>
    <row r="492" spans="2:16" x14ac:dyDescent="0.2">
      <c r="B492" s="185"/>
      <c r="C492" s="185"/>
      <c r="D492" s="185"/>
      <c r="E492" s="185"/>
      <c r="F492" s="185"/>
      <c r="G492" s="185"/>
      <c r="H492" s="185"/>
      <c r="I492" s="185"/>
      <c r="J492" s="185"/>
      <c r="K492" s="185"/>
      <c r="L492" s="185"/>
      <c r="M492" s="185"/>
      <c r="N492" s="185"/>
      <c r="O492" s="185"/>
      <c r="P492" s="185"/>
    </row>
    <row r="493" spans="2:16" x14ac:dyDescent="0.2">
      <c r="B493" s="185"/>
      <c r="C493" s="185"/>
      <c r="D493" s="185"/>
      <c r="E493" s="185"/>
      <c r="F493" s="185"/>
      <c r="G493" s="185"/>
      <c r="H493" s="185"/>
      <c r="I493" s="185"/>
      <c r="J493" s="185"/>
      <c r="K493" s="185"/>
      <c r="L493" s="185"/>
      <c r="M493" s="185"/>
      <c r="N493" s="185"/>
      <c r="O493" s="185"/>
      <c r="P493" s="185"/>
    </row>
    <row r="494" spans="2:16" x14ac:dyDescent="0.2">
      <c r="B494" s="185"/>
      <c r="C494" s="185"/>
      <c r="D494" s="185"/>
      <c r="E494" s="185"/>
      <c r="F494" s="185"/>
      <c r="G494" s="185"/>
      <c r="H494" s="185"/>
      <c r="I494" s="185"/>
      <c r="J494" s="185"/>
      <c r="K494" s="185"/>
      <c r="L494" s="185"/>
      <c r="M494" s="185"/>
      <c r="N494" s="185"/>
      <c r="O494" s="185"/>
      <c r="P494" s="185"/>
    </row>
    <row r="495" spans="2:16" x14ac:dyDescent="0.2">
      <c r="B495" s="185"/>
      <c r="C495" s="185"/>
      <c r="D495" s="185"/>
      <c r="E495" s="185"/>
      <c r="F495" s="185"/>
      <c r="G495" s="185"/>
      <c r="H495" s="185"/>
      <c r="I495" s="185"/>
      <c r="J495" s="185"/>
      <c r="K495" s="185"/>
      <c r="L495" s="185"/>
      <c r="M495" s="185"/>
      <c r="N495" s="185"/>
      <c r="O495" s="185"/>
      <c r="P495" s="185"/>
    </row>
    <row r="496" spans="2:16" x14ac:dyDescent="0.2">
      <c r="B496" s="185"/>
      <c r="C496" s="185"/>
      <c r="D496" s="185"/>
      <c r="E496" s="185"/>
      <c r="F496" s="185"/>
      <c r="G496" s="185"/>
      <c r="H496" s="185"/>
      <c r="I496" s="185"/>
      <c r="J496" s="185"/>
      <c r="K496" s="185"/>
      <c r="L496" s="185"/>
      <c r="M496" s="185"/>
      <c r="N496" s="185"/>
      <c r="O496" s="185"/>
      <c r="P496" s="185"/>
    </row>
    <row r="497" spans="2:16" x14ac:dyDescent="0.2">
      <c r="B497" s="185"/>
      <c r="C497" s="185"/>
      <c r="D497" s="185"/>
      <c r="E497" s="185"/>
      <c r="F497" s="185"/>
      <c r="G497" s="185"/>
      <c r="H497" s="185"/>
      <c r="I497" s="185"/>
      <c r="J497" s="185"/>
      <c r="K497" s="185"/>
      <c r="L497" s="185"/>
      <c r="M497" s="185"/>
      <c r="N497" s="185"/>
      <c r="O497" s="185"/>
      <c r="P497" s="185"/>
    </row>
    <row r="498" spans="2:16" x14ac:dyDescent="0.2">
      <c r="B498" s="185"/>
      <c r="C498" s="185"/>
      <c r="D498" s="185"/>
      <c r="E498" s="185"/>
      <c r="F498" s="185"/>
      <c r="G498" s="185"/>
      <c r="H498" s="185"/>
      <c r="I498" s="185"/>
      <c r="J498" s="185"/>
      <c r="K498" s="185"/>
      <c r="L498" s="185"/>
      <c r="M498" s="185"/>
      <c r="N498" s="185"/>
      <c r="O498" s="185"/>
      <c r="P498" s="185"/>
    </row>
    <row r="499" spans="2:16" x14ac:dyDescent="0.2">
      <c r="B499" s="185"/>
      <c r="C499" s="185"/>
      <c r="D499" s="185"/>
      <c r="E499" s="185"/>
      <c r="F499" s="185"/>
      <c r="G499" s="185"/>
      <c r="H499" s="185"/>
      <c r="I499" s="185"/>
      <c r="J499" s="185"/>
      <c r="K499" s="185"/>
      <c r="L499" s="185"/>
      <c r="M499" s="185"/>
      <c r="N499" s="185"/>
      <c r="O499" s="185"/>
      <c r="P499" s="185"/>
    </row>
    <row r="500" spans="2:16" x14ac:dyDescent="0.2">
      <c r="B500" s="185"/>
      <c r="C500" s="185"/>
      <c r="D500" s="185"/>
      <c r="E500" s="185"/>
      <c r="F500" s="185"/>
      <c r="G500" s="185"/>
      <c r="H500" s="185"/>
      <c r="I500" s="185"/>
      <c r="J500" s="185"/>
      <c r="K500" s="185"/>
      <c r="L500" s="185"/>
      <c r="M500" s="185"/>
      <c r="N500" s="185"/>
      <c r="O500" s="185"/>
      <c r="P500" s="185"/>
    </row>
    <row r="501" spans="2:16" x14ac:dyDescent="0.2">
      <c r="B501" s="185"/>
      <c r="C501" s="185"/>
      <c r="D501" s="185"/>
      <c r="E501" s="185"/>
      <c r="F501" s="185"/>
      <c r="G501" s="185"/>
      <c r="H501" s="185"/>
      <c r="I501" s="185"/>
      <c r="J501" s="185"/>
      <c r="K501" s="185"/>
      <c r="L501" s="185"/>
      <c r="M501" s="185"/>
      <c r="N501" s="185"/>
      <c r="O501" s="185"/>
      <c r="P501" s="185"/>
    </row>
    <row r="502" spans="2:16" x14ac:dyDescent="0.2">
      <c r="B502" s="185"/>
      <c r="C502" s="185"/>
      <c r="D502" s="185"/>
      <c r="E502" s="185"/>
      <c r="F502" s="185"/>
      <c r="G502" s="185"/>
      <c r="H502" s="185"/>
      <c r="I502" s="185"/>
      <c r="J502" s="185"/>
      <c r="K502" s="185"/>
      <c r="L502" s="185"/>
      <c r="M502" s="185"/>
      <c r="N502" s="185"/>
      <c r="O502" s="185"/>
      <c r="P502" s="185"/>
    </row>
    <row r="503" spans="2:16" x14ac:dyDescent="0.2">
      <c r="B503" s="185"/>
      <c r="C503" s="185"/>
      <c r="D503" s="185"/>
      <c r="E503" s="185"/>
      <c r="F503" s="185"/>
      <c r="G503" s="185"/>
      <c r="H503" s="185"/>
      <c r="I503" s="185"/>
      <c r="J503" s="185"/>
      <c r="K503" s="185"/>
      <c r="L503" s="185"/>
      <c r="M503" s="185"/>
      <c r="N503" s="185"/>
      <c r="O503" s="185"/>
      <c r="P503" s="185"/>
    </row>
    <row r="504" spans="2:16" x14ac:dyDescent="0.2">
      <c r="B504" s="185"/>
      <c r="C504" s="185"/>
      <c r="D504" s="185"/>
      <c r="E504" s="185"/>
      <c r="F504" s="185"/>
      <c r="G504" s="185"/>
      <c r="H504" s="185"/>
      <c r="I504" s="185"/>
      <c r="J504" s="185"/>
      <c r="K504" s="185"/>
      <c r="L504" s="185"/>
      <c r="M504" s="185"/>
      <c r="N504" s="185"/>
      <c r="O504" s="185"/>
      <c r="P504" s="185"/>
    </row>
    <row r="505" spans="2:16" x14ac:dyDescent="0.2">
      <c r="B505" s="185"/>
      <c r="C505" s="185"/>
      <c r="D505" s="185"/>
      <c r="E505" s="185"/>
      <c r="F505" s="185"/>
      <c r="G505" s="185"/>
      <c r="H505" s="185"/>
      <c r="I505" s="185"/>
      <c r="J505" s="185"/>
      <c r="K505" s="185"/>
      <c r="L505" s="185"/>
      <c r="M505" s="185"/>
      <c r="N505" s="185"/>
      <c r="O505" s="185"/>
      <c r="P505" s="185"/>
    </row>
    <row r="506" spans="2:16" x14ac:dyDescent="0.2">
      <c r="B506" s="185"/>
      <c r="C506" s="185"/>
      <c r="D506" s="185"/>
      <c r="E506" s="185"/>
      <c r="F506" s="185"/>
      <c r="G506" s="185"/>
      <c r="H506" s="185"/>
      <c r="I506" s="185"/>
      <c r="J506" s="185"/>
      <c r="K506" s="185"/>
      <c r="L506" s="185"/>
      <c r="M506" s="185"/>
      <c r="N506" s="185"/>
      <c r="O506" s="185"/>
      <c r="P506" s="185"/>
    </row>
    <row r="507" spans="2:16" x14ac:dyDescent="0.2">
      <c r="B507" s="185"/>
      <c r="C507" s="185"/>
      <c r="D507" s="185"/>
      <c r="E507" s="185"/>
      <c r="F507" s="185"/>
      <c r="G507" s="185"/>
      <c r="H507" s="185"/>
      <c r="I507" s="185"/>
      <c r="J507" s="185"/>
      <c r="K507" s="185"/>
      <c r="L507" s="185"/>
      <c r="M507" s="185"/>
      <c r="N507" s="185"/>
      <c r="O507" s="185"/>
      <c r="P507" s="185"/>
    </row>
    <row r="508" spans="2:16" x14ac:dyDescent="0.2">
      <c r="B508" s="185"/>
      <c r="C508" s="185"/>
      <c r="D508" s="185"/>
      <c r="E508" s="185"/>
      <c r="F508" s="185"/>
      <c r="G508" s="185"/>
      <c r="H508" s="185"/>
      <c r="I508" s="185"/>
      <c r="J508" s="185"/>
      <c r="K508" s="185"/>
      <c r="L508" s="185"/>
      <c r="M508" s="185"/>
      <c r="N508" s="185"/>
      <c r="O508" s="185"/>
      <c r="P508" s="185"/>
    </row>
    <row r="509" spans="2:16" x14ac:dyDescent="0.2">
      <c r="B509" s="185"/>
      <c r="C509" s="185"/>
      <c r="D509" s="185"/>
      <c r="E509" s="185"/>
      <c r="F509" s="185"/>
      <c r="G509" s="185"/>
      <c r="H509" s="185"/>
      <c r="I509" s="185"/>
      <c r="J509" s="185"/>
      <c r="K509" s="185"/>
      <c r="L509" s="185"/>
      <c r="M509" s="185"/>
      <c r="N509" s="185"/>
      <c r="O509" s="185"/>
      <c r="P509" s="185"/>
    </row>
    <row r="510" spans="2:16" x14ac:dyDescent="0.2">
      <c r="B510" s="185"/>
      <c r="C510" s="185"/>
      <c r="D510" s="185"/>
      <c r="E510" s="185"/>
      <c r="F510" s="185"/>
      <c r="G510" s="185"/>
      <c r="H510" s="185"/>
      <c r="I510" s="185"/>
      <c r="J510" s="185"/>
      <c r="K510" s="185"/>
      <c r="L510" s="185"/>
      <c r="M510" s="185"/>
      <c r="N510" s="185"/>
      <c r="O510" s="185"/>
      <c r="P510" s="185"/>
    </row>
    <row r="511" spans="2:16" x14ac:dyDescent="0.2">
      <c r="B511" s="185"/>
      <c r="C511" s="185"/>
      <c r="D511" s="185"/>
      <c r="E511" s="185"/>
      <c r="F511" s="185"/>
      <c r="G511" s="185"/>
      <c r="H511" s="185"/>
      <c r="I511" s="185"/>
      <c r="J511" s="185"/>
      <c r="K511" s="185"/>
      <c r="L511" s="185"/>
      <c r="M511" s="185"/>
      <c r="N511" s="185"/>
      <c r="O511" s="185"/>
      <c r="P511" s="185"/>
    </row>
    <row r="512" spans="2:16" x14ac:dyDescent="0.2">
      <c r="B512" s="185"/>
      <c r="C512" s="185"/>
      <c r="D512" s="185"/>
      <c r="E512" s="185"/>
      <c r="F512" s="185"/>
      <c r="G512" s="185"/>
      <c r="H512" s="185"/>
      <c r="I512" s="185"/>
      <c r="J512" s="185"/>
      <c r="K512" s="185"/>
      <c r="L512" s="185"/>
      <c r="M512" s="185"/>
      <c r="N512" s="185"/>
      <c r="O512" s="185"/>
      <c r="P512" s="185"/>
    </row>
    <row r="513" spans="2:16" x14ac:dyDescent="0.2">
      <c r="B513" s="185"/>
      <c r="C513" s="185"/>
      <c r="D513" s="185"/>
      <c r="E513" s="185"/>
      <c r="F513" s="185"/>
      <c r="G513" s="185"/>
      <c r="H513" s="185"/>
      <c r="I513" s="185"/>
      <c r="J513" s="185"/>
      <c r="K513" s="185"/>
      <c r="L513" s="185"/>
      <c r="M513" s="185"/>
      <c r="N513" s="185"/>
      <c r="O513" s="185"/>
      <c r="P513" s="185"/>
    </row>
    <row r="514" spans="2:16" x14ac:dyDescent="0.2">
      <c r="B514" s="185"/>
      <c r="C514" s="185"/>
      <c r="D514" s="185"/>
      <c r="E514" s="185"/>
      <c r="F514" s="185"/>
      <c r="G514" s="185"/>
      <c r="H514" s="185"/>
      <c r="I514" s="185"/>
      <c r="J514" s="185"/>
      <c r="K514" s="185"/>
      <c r="L514" s="185"/>
      <c r="M514" s="185"/>
      <c r="N514" s="185"/>
      <c r="O514" s="185"/>
      <c r="P514" s="185"/>
    </row>
    <row r="515" spans="2:16" x14ac:dyDescent="0.2">
      <c r="B515" s="185"/>
      <c r="C515" s="185"/>
      <c r="D515" s="185"/>
      <c r="E515" s="185"/>
      <c r="F515" s="185"/>
      <c r="G515" s="185"/>
      <c r="H515" s="185"/>
      <c r="I515" s="185"/>
      <c r="J515" s="185"/>
      <c r="K515" s="185"/>
      <c r="L515" s="185"/>
      <c r="M515" s="185"/>
      <c r="N515" s="185"/>
      <c r="O515" s="185"/>
      <c r="P515" s="185"/>
    </row>
    <row r="516" spans="2:16" x14ac:dyDescent="0.2">
      <c r="B516" s="185"/>
      <c r="C516" s="185"/>
      <c r="D516" s="185"/>
      <c r="E516" s="185"/>
      <c r="F516" s="185"/>
      <c r="G516" s="185"/>
      <c r="H516" s="185"/>
      <c r="I516" s="185"/>
      <c r="J516" s="185"/>
      <c r="K516" s="185"/>
      <c r="L516" s="185"/>
      <c r="M516" s="185"/>
      <c r="N516" s="185"/>
      <c r="O516" s="185"/>
      <c r="P516" s="185"/>
    </row>
    <row r="517" spans="2:16" x14ac:dyDescent="0.2">
      <c r="B517" s="185"/>
      <c r="C517" s="185"/>
      <c r="D517" s="185"/>
      <c r="E517" s="185"/>
      <c r="F517" s="185"/>
      <c r="G517" s="185"/>
      <c r="H517" s="185"/>
      <c r="I517" s="185"/>
      <c r="J517" s="185"/>
      <c r="K517" s="185"/>
      <c r="L517" s="185"/>
      <c r="M517" s="185"/>
      <c r="N517" s="185"/>
      <c r="O517" s="185"/>
      <c r="P517" s="185"/>
    </row>
    <row r="518" spans="2:16" x14ac:dyDescent="0.2">
      <c r="B518" s="185"/>
      <c r="C518" s="185"/>
      <c r="D518" s="185"/>
      <c r="E518" s="185"/>
      <c r="F518" s="185"/>
      <c r="G518" s="185"/>
      <c r="H518" s="185"/>
      <c r="I518" s="185"/>
      <c r="J518" s="185"/>
      <c r="K518" s="185"/>
      <c r="L518" s="185"/>
      <c r="M518" s="185"/>
      <c r="N518" s="185"/>
      <c r="O518" s="185"/>
      <c r="P518" s="185"/>
    </row>
    <row r="519" spans="2:16" x14ac:dyDescent="0.2">
      <c r="B519" s="185"/>
      <c r="C519" s="185"/>
      <c r="D519" s="185"/>
      <c r="E519" s="185"/>
      <c r="F519" s="185"/>
      <c r="G519" s="185"/>
      <c r="H519" s="185"/>
      <c r="I519" s="185"/>
      <c r="J519" s="185"/>
      <c r="K519" s="185"/>
      <c r="L519" s="185"/>
      <c r="M519" s="185"/>
      <c r="N519" s="185"/>
      <c r="O519" s="185"/>
      <c r="P519" s="185"/>
    </row>
    <row r="520" spans="2:16" x14ac:dyDescent="0.2">
      <c r="B520" s="185"/>
      <c r="C520" s="185"/>
      <c r="D520" s="185"/>
      <c r="E520" s="185"/>
      <c r="F520" s="185"/>
      <c r="G520" s="185"/>
      <c r="H520" s="185"/>
      <c r="I520" s="185"/>
      <c r="J520" s="185"/>
      <c r="K520" s="185"/>
      <c r="L520" s="185"/>
      <c r="M520" s="185"/>
      <c r="N520" s="185"/>
      <c r="O520" s="185"/>
      <c r="P520" s="185"/>
    </row>
    <row r="521" spans="2:16" x14ac:dyDescent="0.2">
      <c r="B521" s="185"/>
      <c r="C521" s="185"/>
      <c r="D521" s="185"/>
      <c r="E521" s="185"/>
      <c r="F521" s="185"/>
      <c r="G521" s="185"/>
      <c r="H521" s="185"/>
      <c r="I521" s="185"/>
      <c r="J521" s="185"/>
      <c r="K521" s="185"/>
      <c r="L521" s="185"/>
      <c r="M521" s="185"/>
      <c r="N521" s="185"/>
      <c r="O521" s="185"/>
      <c r="P521" s="185"/>
    </row>
    <row r="522" spans="2:16" x14ac:dyDescent="0.2">
      <c r="B522" s="185"/>
      <c r="C522" s="185"/>
      <c r="D522" s="185"/>
      <c r="E522" s="185"/>
      <c r="F522" s="185"/>
      <c r="G522" s="185"/>
      <c r="H522" s="185"/>
      <c r="I522" s="185"/>
      <c r="J522" s="185"/>
      <c r="K522" s="185"/>
      <c r="L522" s="185"/>
      <c r="M522" s="185"/>
      <c r="N522" s="185"/>
      <c r="O522" s="185"/>
      <c r="P522" s="185"/>
    </row>
    <row r="523" spans="2:16" x14ac:dyDescent="0.2">
      <c r="B523" s="185"/>
      <c r="C523" s="185"/>
      <c r="D523" s="185"/>
      <c r="E523" s="185"/>
      <c r="F523" s="185"/>
      <c r="G523" s="185"/>
      <c r="H523" s="185"/>
      <c r="I523" s="185"/>
      <c r="J523" s="185"/>
      <c r="K523" s="185"/>
      <c r="L523" s="185"/>
      <c r="M523" s="185"/>
      <c r="N523" s="185"/>
      <c r="O523" s="185"/>
      <c r="P523" s="185"/>
    </row>
    <row r="524" spans="2:16" x14ac:dyDescent="0.2">
      <c r="B524" s="185"/>
      <c r="C524" s="185"/>
      <c r="D524" s="185"/>
      <c r="E524" s="185"/>
      <c r="F524" s="185"/>
      <c r="G524" s="185"/>
      <c r="H524" s="185"/>
      <c r="I524" s="185"/>
      <c r="J524" s="185"/>
      <c r="K524" s="185"/>
      <c r="L524" s="185"/>
      <c r="M524" s="185"/>
      <c r="N524" s="185"/>
      <c r="O524" s="185"/>
      <c r="P524" s="185"/>
    </row>
    <row r="525" spans="2:16" x14ac:dyDescent="0.2">
      <c r="B525" s="185"/>
      <c r="C525" s="185"/>
      <c r="D525" s="185"/>
      <c r="E525" s="185"/>
      <c r="F525" s="185"/>
      <c r="G525" s="185"/>
      <c r="H525" s="185"/>
      <c r="I525" s="185"/>
      <c r="J525" s="185"/>
      <c r="K525" s="185"/>
      <c r="L525" s="185"/>
      <c r="M525" s="185"/>
      <c r="N525" s="185"/>
      <c r="O525" s="185"/>
      <c r="P525" s="185"/>
    </row>
    <row r="526" spans="2:16" x14ac:dyDescent="0.2">
      <c r="B526" s="185"/>
      <c r="C526" s="185"/>
      <c r="D526" s="185"/>
      <c r="E526" s="185"/>
      <c r="F526" s="185"/>
      <c r="G526" s="185"/>
      <c r="H526" s="185"/>
      <c r="I526" s="185"/>
      <c r="J526" s="185"/>
      <c r="K526" s="185"/>
      <c r="L526" s="185"/>
      <c r="M526" s="185"/>
      <c r="N526" s="185"/>
      <c r="O526" s="185"/>
      <c r="P526" s="185"/>
    </row>
    <row r="527" spans="2:16" x14ac:dyDescent="0.2">
      <c r="B527" s="185"/>
      <c r="C527" s="185"/>
      <c r="D527" s="185"/>
      <c r="E527" s="185"/>
      <c r="F527" s="185"/>
      <c r="G527" s="185"/>
      <c r="H527" s="185"/>
      <c r="I527" s="185"/>
      <c r="J527" s="185"/>
      <c r="K527" s="185"/>
      <c r="L527" s="185"/>
      <c r="M527" s="185"/>
      <c r="N527" s="185"/>
      <c r="O527" s="185"/>
      <c r="P527" s="185"/>
    </row>
    <row r="528" spans="2:16" x14ac:dyDescent="0.2">
      <c r="B528" s="185"/>
      <c r="C528" s="185"/>
      <c r="D528" s="185"/>
      <c r="E528" s="185"/>
      <c r="F528" s="185"/>
      <c r="G528" s="185"/>
      <c r="H528" s="185"/>
      <c r="I528" s="185"/>
      <c r="J528" s="185"/>
      <c r="K528" s="185"/>
      <c r="L528" s="185"/>
      <c r="M528" s="185"/>
      <c r="N528" s="185"/>
      <c r="O528" s="185"/>
      <c r="P528" s="185"/>
    </row>
    <row r="529" spans="2:16" x14ac:dyDescent="0.2">
      <c r="B529" s="185"/>
      <c r="C529" s="185"/>
      <c r="D529" s="185"/>
      <c r="E529" s="185"/>
      <c r="F529" s="185"/>
      <c r="G529" s="185"/>
      <c r="H529" s="185"/>
      <c r="I529" s="185"/>
      <c r="J529" s="185"/>
      <c r="K529" s="185"/>
      <c r="L529" s="185"/>
      <c r="M529" s="185"/>
      <c r="N529" s="185"/>
      <c r="O529" s="185"/>
      <c r="P529" s="185"/>
    </row>
    <row r="530" spans="2:16" x14ac:dyDescent="0.2">
      <c r="B530" s="185"/>
      <c r="C530" s="185"/>
      <c r="D530" s="185"/>
      <c r="E530" s="185"/>
      <c r="F530" s="185"/>
      <c r="G530" s="185"/>
      <c r="H530" s="185"/>
      <c r="I530" s="185"/>
      <c r="J530" s="185"/>
      <c r="K530" s="185"/>
      <c r="L530" s="185"/>
      <c r="M530" s="185"/>
      <c r="N530" s="185"/>
      <c r="O530" s="185"/>
      <c r="P530" s="185"/>
    </row>
    <row r="531" spans="2:16" x14ac:dyDescent="0.2">
      <c r="B531" s="185"/>
      <c r="C531" s="185"/>
      <c r="D531" s="185"/>
      <c r="E531" s="185"/>
      <c r="F531" s="185"/>
      <c r="G531" s="185"/>
      <c r="H531" s="185"/>
      <c r="I531" s="185"/>
      <c r="J531" s="185"/>
      <c r="K531" s="185"/>
      <c r="L531" s="185"/>
      <c r="M531" s="185"/>
      <c r="N531" s="185"/>
      <c r="O531" s="185"/>
      <c r="P531" s="185"/>
    </row>
    <row r="532" spans="2:16" x14ac:dyDescent="0.2">
      <c r="B532" s="185"/>
      <c r="C532" s="185"/>
      <c r="D532" s="185"/>
      <c r="E532" s="185"/>
      <c r="F532" s="185"/>
      <c r="G532" s="185"/>
      <c r="H532" s="185"/>
      <c r="I532" s="185"/>
      <c r="J532" s="185"/>
      <c r="K532" s="185"/>
      <c r="L532" s="185"/>
      <c r="M532" s="185"/>
      <c r="N532" s="185"/>
      <c r="O532" s="185"/>
      <c r="P532" s="185"/>
    </row>
    <row r="533" spans="2:16" x14ac:dyDescent="0.2">
      <c r="B533" s="185"/>
      <c r="C533" s="185"/>
      <c r="D533" s="185"/>
      <c r="E533" s="185"/>
      <c r="F533" s="185"/>
      <c r="G533" s="185"/>
      <c r="H533" s="185"/>
      <c r="I533" s="185"/>
      <c r="J533" s="185"/>
      <c r="K533" s="185"/>
      <c r="L533" s="185"/>
      <c r="M533" s="185"/>
      <c r="N533" s="185"/>
      <c r="O533" s="185"/>
      <c r="P533" s="185"/>
    </row>
    <row r="534" spans="2:16" x14ac:dyDescent="0.2">
      <c r="B534" s="185"/>
      <c r="C534" s="185"/>
      <c r="D534" s="185"/>
      <c r="E534" s="185"/>
      <c r="F534" s="185"/>
      <c r="G534" s="185"/>
      <c r="H534" s="185"/>
      <c r="I534" s="185"/>
      <c r="J534" s="185"/>
      <c r="K534" s="185"/>
      <c r="L534" s="185"/>
      <c r="M534" s="185"/>
      <c r="N534" s="185"/>
      <c r="O534" s="185"/>
      <c r="P534" s="185"/>
    </row>
    <row r="535" spans="2:16" x14ac:dyDescent="0.2">
      <c r="B535" s="185"/>
      <c r="C535" s="185"/>
      <c r="D535" s="185"/>
      <c r="E535" s="185"/>
      <c r="F535" s="185"/>
      <c r="G535" s="185"/>
      <c r="H535" s="185"/>
      <c r="I535" s="185"/>
      <c r="J535" s="185"/>
      <c r="K535" s="185"/>
      <c r="L535" s="185"/>
      <c r="M535" s="185"/>
      <c r="N535" s="185"/>
      <c r="O535" s="185"/>
      <c r="P535" s="185"/>
    </row>
    <row r="536" spans="2:16" x14ac:dyDescent="0.2">
      <c r="B536" s="185"/>
      <c r="C536" s="185"/>
      <c r="D536" s="185"/>
      <c r="E536" s="185"/>
      <c r="F536" s="185"/>
      <c r="G536" s="185"/>
      <c r="H536" s="185"/>
      <c r="I536" s="185"/>
      <c r="J536" s="185"/>
      <c r="K536" s="185"/>
      <c r="L536" s="185"/>
      <c r="M536" s="185"/>
      <c r="N536" s="185"/>
      <c r="O536" s="185"/>
      <c r="P536" s="185"/>
    </row>
    <row r="537" spans="2:16" x14ac:dyDescent="0.2">
      <c r="B537" s="185"/>
      <c r="C537" s="185"/>
      <c r="D537" s="185"/>
      <c r="E537" s="185"/>
      <c r="F537" s="185"/>
      <c r="G537" s="185"/>
      <c r="H537" s="185"/>
      <c r="I537" s="185"/>
      <c r="J537" s="185"/>
      <c r="K537" s="185"/>
      <c r="L537" s="185"/>
      <c r="M537" s="185"/>
      <c r="N537" s="185"/>
      <c r="O537" s="185"/>
      <c r="P537" s="185"/>
    </row>
    <row r="538" spans="2:16" x14ac:dyDescent="0.2">
      <c r="B538" s="185"/>
      <c r="C538" s="185"/>
      <c r="D538" s="185"/>
      <c r="E538" s="185"/>
      <c r="F538" s="185"/>
      <c r="G538" s="185"/>
      <c r="H538" s="185"/>
      <c r="I538" s="185"/>
      <c r="J538" s="185"/>
      <c r="K538" s="185"/>
      <c r="L538" s="185"/>
      <c r="M538" s="185"/>
      <c r="N538" s="185"/>
      <c r="O538" s="185"/>
      <c r="P538" s="185"/>
    </row>
    <row r="539" spans="2:16" x14ac:dyDescent="0.2">
      <c r="B539" s="185"/>
      <c r="C539" s="185"/>
      <c r="D539" s="185"/>
      <c r="E539" s="185"/>
      <c r="F539" s="185"/>
      <c r="G539" s="185"/>
      <c r="H539" s="185"/>
      <c r="I539" s="185"/>
      <c r="J539" s="185"/>
      <c r="K539" s="185"/>
      <c r="L539" s="185"/>
      <c r="M539" s="185"/>
      <c r="N539" s="185"/>
      <c r="O539" s="185"/>
      <c r="P539" s="185"/>
    </row>
    <row r="540" spans="2:16" x14ac:dyDescent="0.2">
      <c r="B540" s="185"/>
      <c r="C540" s="185"/>
      <c r="D540" s="185"/>
      <c r="E540" s="185"/>
      <c r="F540" s="185"/>
      <c r="G540" s="185"/>
      <c r="H540" s="185"/>
      <c r="I540" s="185"/>
      <c r="J540" s="185"/>
      <c r="K540" s="185"/>
      <c r="L540" s="185"/>
      <c r="M540" s="185"/>
      <c r="N540" s="185"/>
      <c r="O540" s="185"/>
      <c r="P540" s="185"/>
    </row>
    <row r="541" spans="2:16" x14ac:dyDescent="0.2">
      <c r="B541" s="185"/>
      <c r="C541" s="185"/>
      <c r="D541" s="185"/>
      <c r="E541" s="185"/>
      <c r="F541" s="185"/>
      <c r="G541" s="185"/>
      <c r="H541" s="185"/>
      <c r="I541" s="185"/>
      <c r="J541" s="185"/>
      <c r="K541" s="185"/>
      <c r="L541" s="185"/>
      <c r="M541" s="185"/>
      <c r="N541" s="185"/>
      <c r="O541" s="185"/>
      <c r="P541" s="185"/>
    </row>
    <row r="542" spans="2:16" x14ac:dyDescent="0.2">
      <c r="B542" s="185"/>
      <c r="C542" s="185"/>
      <c r="D542" s="185"/>
      <c r="E542" s="185"/>
      <c r="F542" s="185"/>
      <c r="G542" s="185"/>
      <c r="H542" s="185"/>
      <c r="I542" s="185"/>
      <c r="J542" s="185"/>
      <c r="K542" s="185"/>
      <c r="L542" s="185"/>
      <c r="M542" s="185"/>
      <c r="N542" s="185"/>
      <c r="O542" s="185"/>
      <c r="P542" s="185"/>
    </row>
    <row r="543" spans="2:16" x14ac:dyDescent="0.2">
      <c r="B543" s="185"/>
      <c r="C543" s="185"/>
      <c r="D543" s="185"/>
      <c r="E543" s="185"/>
      <c r="F543" s="185"/>
      <c r="G543" s="185"/>
      <c r="H543" s="185"/>
      <c r="I543" s="185"/>
      <c r="J543" s="185"/>
      <c r="K543" s="185"/>
      <c r="L543" s="185"/>
      <c r="M543" s="185"/>
      <c r="N543" s="185"/>
      <c r="O543" s="185"/>
      <c r="P543" s="185"/>
    </row>
    <row r="544" spans="2:16" x14ac:dyDescent="0.2">
      <c r="B544" s="185"/>
      <c r="C544" s="185"/>
      <c r="D544" s="185"/>
      <c r="E544" s="185"/>
      <c r="F544" s="185"/>
      <c r="G544" s="185"/>
      <c r="H544" s="185"/>
      <c r="I544" s="185"/>
      <c r="J544" s="185"/>
      <c r="K544" s="185"/>
      <c r="L544" s="185"/>
      <c r="M544" s="185"/>
      <c r="N544" s="185"/>
      <c r="O544" s="185"/>
      <c r="P544" s="185"/>
    </row>
    <row r="545" spans="2:16" x14ac:dyDescent="0.2">
      <c r="B545" s="185"/>
      <c r="C545" s="185"/>
      <c r="D545" s="185"/>
      <c r="E545" s="185"/>
      <c r="F545" s="185"/>
      <c r="G545" s="185"/>
      <c r="H545" s="185"/>
      <c r="I545" s="185"/>
      <c r="J545" s="185"/>
      <c r="K545" s="185"/>
      <c r="L545" s="185"/>
      <c r="M545" s="185"/>
      <c r="N545" s="185"/>
      <c r="O545" s="185"/>
      <c r="P545" s="185"/>
    </row>
    <row r="546" spans="2:16" x14ac:dyDescent="0.2">
      <c r="B546" s="185"/>
      <c r="C546" s="185"/>
      <c r="D546" s="185"/>
      <c r="E546" s="185"/>
      <c r="F546" s="185"/>
      <c r="G546" s="185"/>
      <c r="H546" s="185"/>
      <c r="I546" s="185"/>
      <c r="J546" s="185"/>
      <c r="K546" s="185"/>
      <c r="L546" s="185"/>
      <c r="M546" s="185"/>
      <c r="N546" s="185"/>
      <c r="O546" s="185"/>
      <c r="P546" s="185"/>
    </row>
    <row r="547" spans="2:16" x14ac:dyDescent="0.2">
      <c r="B547" s="185"/>
      <c r="C547" s="185"/>
      <c r="D547" s="185"/>
      <c r="E547" s="185"/>
      <c r="F547" s="185"/>
      <c r="G547" s="185"/>
      <c r="H547" s="185"/>
      <c r="I547" s="185"/>
      <c r="J547" s="185"/>
      <c r="K547" s="185"/>
      <c r="L547" s="185"/>
      <c r="M547" s="185"/>
      <c r="N547" s="185"/>
      <c r="O547" s="185"/>
      <c r="P547" s="185"/>
    </row>
    <row r="548" spans="2:16" x14ac:dyDescent="0.2">
      <c r="B548" s="185"/>
      <c r="C548" s="185"/>
      <c r="D548" s="185"/>
      <c r="E548" s="185"/>
      <c r="F548" s="185"/>
      <c r="G548" s="185"/>
      <c r="H548" s="185"/>
      <c r="I548" s="185"/>
      <c r="J548" s="185"/>
      <c r="K548" s="185"/>
      <c r="L548" s="185"/>
      <c r="M548" s="185"/>
      <c r="N548" s="185"/>
      <c r="O548" s="185"/>
      <c r="P548" s="185"/>
    </row>
    <row r="549" spans="2:16" x14ac:dyDescent="0.2">
      <c r="B549" s="185"/>
      <c r="C549" s="185"/>
      <c r="D549" s="185"/>
      <c r="E549" s="185"/>
      <c r="F549" s="185"/>
      <c r="G549" s="185"/>
      <c r="H549" s="185"/>
      <c r="I549" s="185"/>
      <c r="J549" s="185"/>
      <c r="K549" s="185"/>
      <c r="L549" s="185"/>
      <c r="M549" s="185"/>
      <c r="N549" s="185"/>
      <c r="O549" s="185"/>
      <c r="P549" s="185"/>
    </row>
    <row r="550" spans="2:16" x14ac:dyDescent="0.2">
      <c r="B550" s="185"/>
      <c r="C550" s="185"/>
      <c r="D550" s="185"/>
      <c r="E550" s="185"/>
      <c r="F550" s="185"/>
      <c r="G550" s="185"/>
      <c r="H550" s="185"/>
      <c r="I550" s="185"/>
      <c r="J550" s="185"/>
      <c r="K550" s="185"/>
      <c r="L550" s="185"/>
      <c r="M550" s="185"/>
      <c r="N550" s="185"/>
      <c r="O550" s="185"/>
      <c r="P550" s="185"/>
    </row>
    <row r="551" spans="2:16" x14ac:dyDescent="0.2">
      <c r="B551" s="185"/>
      <c r="C551" s="185"/>
      <c r="D551" s="185"/>
      <c r="E551" s="185"/>
      <c r="F551" s="185"/>
      <c r="G551" s="185"/>
      <c r="H551" s="185"/>
      <c r="I551" s="185"/>
      <c r="J551" s="185"/>
      <c r="K551" s="185"/>
      <c r="L551" s="185"/>
      <c r="M551" s="185"/>
      <c r="N551" s="185"/>
      <c r="O551" s="185"/>
      <c r="P551" s="185"/>
    </row>
    <row r="552" spans="2:16" x14ac:dyDescent="0.2">
      <c r="B552" s="185"/>
      <c r="C552" s="185"/>
      <c r="D552" s="185"/>
      <c r="E552" s="185"/>
      <c r="F552" s="185"/>
      <c r="G552" s="185"/>
      <c r="H552" s="185"/>
      <c r="I552" s="185"/>
      <c r="J552" s="185"/>
      <c r="K552" s="185"/>
      <c r="L552" s="185"/>
      <c r="M552" s="185"/>
      <c r="N552" s="185"/>
      <c r="O552" s="185"/>
      <c r="P552" s="185"/>
    </row>
    <row r="553" spans="2:16" x14ac:dyDescent="0.2">
      <c r="B553" s="185"/>
      <c r="C553" s="185"/>
      <c r="D553" s="185"/>
      <c r="E553" s="185"/>
      <c r="F553" s="185"/>
      <c r="G553" s="185"/>
      <c r="H553" s="185"/>
      <c r="I553" s="185"/>
      <c r="J553" s="185"/>
      <c r="K553" s="185"/>
      <c r="L553" s="185"/>
      <c r="M553" s="185"/>
      <c r="N553" s="185"/>
      <c r="O553" s="185"/>
      <c r="P553" s="185"/>
    </row>
    <row r="554" spans="2:16" x14ac:dyDescent="0.2">
      <c r="B554" s="185"/>
      <c r="C554" s="185"/>
      <c r="D554" s="185"/>
      <c r="E554" s="185"/>
      <c r="F554" s="185"/>
      <c r="G554" s="185"/>
      <c r="H554" s="185"/>
      <c r="I554" s="185"/>
      <c r="J554" s="185"/>
      <c r="K554" s="185"/>
      <c r="L554" s="185"/>
      <c r="M554" s="185"/>
      <c r="N554" s="185"/>
      <c r="O554" s="185"/>
      <c r="P554" s="185"/>
    </row>
    <row r="555" spans="2:16" x14ac:dyDescent="0.2">
      <c r="B555" s="185"/>
      <c r="C555" s="185"/>
      <c r="D555" s="185"/>
      <c r="E555" s="185"/>
      <c r="F555" s="185"/>
      <c r="G555" s="185"/>
      <c r="H555" s="185"/>
      <c r="I555" s="185"/>
      <c r="J555" s="185"/>
      <c r="K555" s="185"/>
      <c r="L555" s="185"/>
      <c r="M555" s="185"/>
      <c r="N555" s="185"/>
      <c r="O555" s="185"/>
      <c r="P555" s="185"/>
    </row>
    <row r="556" spans="2:16" x14ac:dyDescent="0.2">
      <c r="B556" s="185"/>
      <c r="C556" s="185"/>
      <c r="D556" s="185"/>
      <c r="E556" s="185"/>
      <c r="F556" s="185"/>
      <c r="G556" s="185"/>
      <c r="H556" s="185"/>
      <c r="I556" s="185"/>
      <c r="J556" s="185"/>
      <c r="K556" s="185"/>
      <c r="L556" s="185"/>
      <c r="M556" s="185"/>
      <c r="N556" s="185"/>
      <c r="O556" s="185"/>
      <c r="P556" s="185"/>
    </row>
    <row r="557" spans="2:16" x14ac:dyDescent="0.2">
      <c r="B557" s="185"/>
      <c r="C557" s="185"/>
      <c r="D557" s="185"/>
      <c r="E557" s="185"/>
      <c r="F557" s="185"/>
      <c r="G557" s="185"/>
      <c r="H557" s="185"/>
      <c r="I557" s="185"/>
      <c r="J557" s="185"/>
      <c r="K557" s="185"/>
      <c r="L557" s="185"/>
      <c r="M557" s="185"/>
      <c r="N557" s="185"/>
      <c r="O557" s="185"/>
      <c r="P557" s="185"/>
    </row>
    <row r="558" spans="2:16" x14ac:dyDescent="0.2">
      <c r="B558" s="185"/>
      <c r="C558" s="185"/>
      <c r="D558" s="185"/>
      <c r="E558" s="185"/>
      <c r="F558" s="185"/>
      <c r="G558" s="185"/>
      <c r="H558" s="185"/>
      <c r="I558" s="185"/>
      <c r="J558" s="185"/>
      <c r="K558" s="185"/>
      <c r="L558" s="185"/>
      <c r="M558" s="185"/>
      <c r="N558" s="185"/>
      <c r="O558" s="185"/>
      <c r="P558" s="185"/>
    </row>
    <row r="559" spans="2:16" x14ac:dyDescent="0.2">
      <c r="B559" s="185"/>
      <c r="C559" s="185"/>
      <c r="D559" s="185"/>
      <c r="E559" s="185"/>
      <c r="F559" s="185"/>
      <c r="G559" s="185"/>
      <c r="H559" s="185"/>
      <c r="I559" s="185"/>
      <c r="J559" s="185"/>
      <c r="K559" s="185"/>
      <c r="L559" s="185"/>
      <c r="M559" s="185"/>
      <c r="N559" s="185"/>
      <c r="O559" s="185"/>
      <c r="P559" s="185"/>
    </row>
    <row r="560" spans="2:16" x14ac:dyDescent="0.2">
      <c r="B560" s="185"/>
      <c r="C560" s="185"/>
      <c r="D560" s="185"/>
      <c r="E560" s="185"/>
      <c r="F560" s="185"/>
      <c r="G560" s="185"/>
      <c r="H560" s="185"/>
      <c r="I560" s="185"/>
      <c r="J560" s="185"/>
      <c r="K560" s="185"/>
      <c r="L560" s="185"/>
      <c r="M560" s="185"/>
      <c r="N560" s="185"/>
      <c r="O560" s="185"/>
      <c r="P560" s="185"/>
    </row>
    <row r="561" spans="2:16" x14ac:dyDescent="0.2">
      <c r="B561" s="185"/>
      <c r="C561" s="185"/>
      <c r="D561" s="185"/>
      <c r="E561" s="185"/>
      <c r="F561" s="185"/>
      <c r="G561" s="185"/>
      <c r="H561" s="185"/>
      <c r="I561" s="185"/>
      <c r="J561" s="185"/>
      <c r="K561" s="185"/>
      <c r="L561" s="185"/>
      <c r="M561" s="185"/>
      <c r="N561" s="185"/>
      <c r="O561" s="185"/>
      <c r="P561" s="185"/>
    </row>
    <row r="562" spans="2:16" x14ac:dyDescent="0.2">
      <c r="B562" s="185"/>
      <c r="C562" s="185"/>
      <c r="D562" s="185"/>
      <c r="E562" s="185"/>
      <c r="F562" s="185"/>
      <c r="G562" s="185"/>
      <c r="H562" s="185"/>
      <c r="I562" s="185"/>
      <c r="J562" s="185"/>
      <c r="K562" s="185"/>
      <c r="L562" s="185"/>
      <c r="M562" s="185"/>
      <c r="N562" s="185"/>
      <c r="O562" s="185"/>
      <c r="P562" s="185"/>
    </row>
    <row r="563" spans="2:16" x14ac:dyDescent="0.2">
      <c r="B563" s="185"/>
      <c r="C563" s="185"/>
      <c r="D563" s="185"/>
      <c r="E563" s="185"/>
      <c r="F563" s="185"/>
      <c r="G563" s="185"/>
      <c r="H563" s="185"/>
      <c r="I563" s="185"/>
      <c r="J563" s="185"/>
      <c r="K563" s="185"/>
      <c r="L563" s="185"/>
      <c r="M563" s="185"/>
      <c r="N563" s="185"/>
      <c r="O563" s="185"/>
      <c r="P563" s="185"/>
    </row>
    <row r="564" spans="2:16" x14ac:dyDescent="0.2">
      <c r="B564" s="185"/>
      <c r="C564" s="185"/>
      <c r="D564" s="185"/>
      <c r="E564" s="185"/>
      <c r="F564" s="185"/>
      <c r="G564" s="185"/>
      <c r="H564" s="185"/>
      <c r="I564" s="185"/>
      <c r="J564" s="185"/>
      <c r="K564" s="185"/>
      <c r="L564" s="185"/>
      <c r="M564" s="185"/>
      <c r="N564" s="185"/>
      <c r="O564" s="185"/>
      <c r="P564" s="185"/>
    </row>
    <row r="565" spans="2:16" x14ac:dyDescent="0.2">
      <c r="B565" s="185"/>
      <c r="C565" s="185"/>
      <c r="D565" s="185"/>
      <c r="E565" s="185"/>
      <c r="F565" s="185"/>
      <c r="G565" s="185"/>
      <c r="H565" s="185"/>
      <c r="I565" s="185"/>
      <c r="J565" s="185"/>
      <c r="K565" s="185"/>
      <c r="L565" s="185"/>
      <c r="M565" s="185"/>
      <c r="N565" s="185"/>
      <c r="O565" s="185"/>
      <c r="P565" s="185"/>
    </row>
    <row r="566" spans="2:16" x14ac:dyDescent="0.2">
      <c r="B566" s="185"/>
      <c r="C566" s="185"/>
      <c r="D566" s="185"/>
      <c r="E566" s="185"/>
      <c r="F566" s="185"/>
      <c r="G566" s="185"/>
      <c r="H566" s="185"/>
      <c r="I566" s="185"/>
      <c r="J566" s="185"/>
      <c r="K566" s="185"/>
      <c r="L566" s="185"/>
      <c r="M566" s="185"/>
      <c r="N566" s="185"/>
      <c r="O566" s="185"/>
      <c r="P566" s="185"/>
    </row>
    <row r="567" spans="2:16" x14ac:dyDescent="0.2">
      <c r="B567" s="185"/>
      <c r="C567" s="185"/>
      <c r="D567" s="185"/>
      <c r="E567" s="185"/>
      <c r="F567" s="185"/>
      <c r="G567" s="185"/>
      <c r="H567" s="185"/>
      <c r="I567" s="185"/>
      <c r="J567" s="185"/>
      <c r="K567" s="185"/>
      <c r="L567" s="185"/>
      <c r="M567" s="185"/>
      <c r="N567" s="185"/>
      <c r="O567" s="185"/>
      <c r="P567" s="185"/>
    </row>
    <row r="568" spans="2:16" x14ac:dyDescent="0.2">
      <c r="B568" s="185"/>
      <c r="C568" s="185"/>
      <c r="D568" s="185"/>
      <c r="E568" s="185"/>
      <c r="F568" s="185"/>
      <c r="G568" s="185"/>
      <c r="H568" s="185"/>
      <c r="I568" s="185"/>
      <c r="J568" s="185"/>
      <c r="K568" s="185"/>
      <c r="L568" s="185"/>
      <c r="M568" s="185"/>
      <c r="N568" s="185"/>
      <c r="O568" s="185"/>
      <c r="P568" s="185"/>
    </row>
    <row r="569" spans="2:16" x14ac:dyDescent="0.2">
      <c r="B569" s="185"/>
      <c r="C569" s="185"/>
      <c r="D569" s="185"/>
      <c r="E569" s="185"/>
      <c r="F569" s="185"/>
      <c r="G569" s="185"/>
      <c r="H569" s="185"/>
      <c r="I569" s="185"/>
      <c r="J569" s="185"/>
      <c r="K569" s="185"/>
      <c r="L569" s="185"/>
      <c r="M569" s="185"/>
      <c r="N569" s="185"/>
      <c r="O569" s="185"/>
      <c r="P569" s="185"/>
    </row>
    <row r="570" spans="2:16" x14ac:dyDescent="0.2">
      <c r="B570" s="185"/>
      <c r="C570" s="185"/>
      <c r="D570" s="185"/>
      <c r="E570" s="185"/>
      <c r="F570" s="185"/>
      <c r="G570" s="185"/>
      <c r="H570" s="185"/>
      <c r="I570" s="185"/>
      <c r="J570" s="185"/>
      <c r="K570" s="185"/>
      <c r="L570" s="185"/>
      <c r="M570" s="185"/>
      <c r="N570" s="185"/>
      <c r="O570" s="185"/>
      <c r="P570" s="185"/>
    </row>
    <row r="571" spans="2:16" x14ac:dyDescent="0.2">
      <c r="B571" s="185"/>
      <c r="C571" s="185"/>
      <c r="D571" s="185"/>
      <c r="E571" s="185"/>
      <c r="F571" s="185"/>
      <c r="G571" s="185"/>
      <c r="H571" s="185"/>
      <c r="I571" s="185"/>
      <c r="J571" s="185"/>
      <c r="K571" s="185"/>
      <c r="L571" s="185"/>
      <c r="M571" s="185"/>
      <c r="N571" s="185"/>
      <c r="O571" s="185"/>
      <c r="P571" s="185"/>
    </row>
    <row r="572" spans="2:16" x14ac:dyDescent="0.2">
      <c r="B572" s="185"/>
      <c r="C572" s="185"/>
      <c r="D572" s="185"/>
      <c r="E572" s="185"/>
      <c r="F572" s="185"/>
      <c r="G572" s="185"/>
      <c r="H572" s="185"/>
      <c r="I572" s="185"/>
      <c r="J572" s="185"/>
      <c r="K572" s="185"/>
      <c r="L572" s="185"/>
      <c r="M572" s="185"/>
      <c r="N572" s="185"/>
      <c r="O572" s="185"/>
      <c r="P572" s="185"/>
    </row>
    <row r="573" spans="2:16" x14ac:dyDescent="0.2">
      <c r="B573" s="185"/>
      <c r="C573" s="185"/>
      <c r="D573" s="185"/>
      <c r="E573" s="185"/>
      <c r="F573" s="185"/>
      <c r="G573" s="185"/>
      <c r="H573" s="185"/>
      <c r="I573" s="185"/>
      <c r="J573" s="185"/>
      <c r="K573" s="185"/>
      <c r="L573" s="185"/>
      <c r="M573" s="185"/>
      <c r="N573" s="185"/>
      <c r="O573" s="185"/>
      <c r="P573" s="185"/>
    </row>
  </sheetData>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E703D-FF14-4185-9D34-747099C817D0}">
  <sheetPr codeName="Sheet39">
    <tabColor theme="9"/>
  </sheetPr>
  <dimension ref="A1:CW569"/>
  <sheetViews>
    <sheetView workbookViewId="0"/>
  </sheetViews>
  <sheetFormatPr defaultColWidth="8" defaultRowHeight="12.75" x14ac:dyDescent="0.2"/>
  <cols>
    <col min="1" max="26" width="10.140625" style="33" bestFit="1" customWidth="1"/>
    <col min="27" max="16384" width="8" style="33"/>
  </cols>
  <sheetData>
    <row r="1" spans="1:101" x14ac:dyDescent="0.2">
      <c r="B1" s="33" t="e" cm="1" vm="1">
        <f t="array" ref="B1">TRANSPOSE(_xlfn._xlws.FILTER(Changes!$B$4:$B$23,ISNUMBER(Changes!$G$4:$G$23)))</f>
        <v>#VALUE!</v>
      </c>
    </row>
    <row r="2" spans="1:101" s="179" customFormat="1" x14ac:dyDescent="0.2">
      <c r="B2" s="179" t="e" cm="1" vm="1">
        <f t="array" ref="B2">TRANSPOSE(_xlfn._xlws.FILTER(Changes!$D$4:$D$23,ISNUMBER(Changes!$G$4:$G$23)))</f>
        <v>#VALUE!</v>
      </c>
    </row>
    <row r="3" spans="1:101" x14ac:dyDescent="0.2">
      <c r="A3" s="32" t="str">
        <f ca="1">TEXT(TODAY(),"yyyy-mm-dd")</f>
        <v>2025-04-05</v>
      </c>
      <c r="B3" s="179">
        <f ca="1">IF(ISNUMBER(MATCH(DATEVALUE($A3),'changes1_based on steps'!B$1:B$400,0)),B$2,)</f>
        <v>0</v>
      </c>
      <c r="C3" s="179">
        <f ca="1">IF(ISNUMBER(MATCH(DATEVALUE($A3),'changes1_based on steps'!C$1:C$400,0)),C$2,)</f>
        <v>0</v>
      </c>
      <c r="D3" s="179">
        <f ca="1">IF(ISNUMBER(MATCH(DATEVALUE($A3),'changes1_based on steps'!D$1:D$400,0)),D$2,)</f>
        <v>0</v>
      </c>
      <c r="E3" s="179">
        <f ca="1">IF(ISNUMBER(MATCH(DATEVALUE($A3),'changes1_based on steps'!E$1:E$400,0)),E$2,)</f>
        <v>0</v>
      </c>
      <c r="F3" s="179">
        <f ca="1">IF(ISNUMBER(MATCH(DATEVALUE($A3),'changes1_based on steps'!F$1:F$400,0)),F$2,)</f>
        <v>0</v>
      </c>
      <c r="G3" s="179">
        <f ca="1">IF(ISNUMBER(MATCH(DATEVALUE($A3),'changes1_based on steps'!G$1:G$400,0)),G$2,)</f>
        <v>0</v>
      </c>
      <c r="H3" s="179">
        <f ca="1">IF(ISNUMBER(MATCH(DATEVALUE($A3),'changes1_based on steps'!H$1:H$400,0)),H$2,)</f>
        <v>0</v>
      </c>
      <c r="I3" s="179">
        <f ca="1">IF(ISNUMBER(MATCH(DATEVALUE($A3),'changes1_based on steps'!I$1:I$400,0)),I$2,)</f>
        <v>0</v>
      </c>
      <c r="J3" s="179">
        <f ca="1">IF(ISNUMBER(MATCH(DATEVALUE($A3),'changes1_based on steps'!J$1:J$400,0)),J$2,)</f>
        <v>0</v>
      </c>
      <c r="K3" s="179">
        <f ca="1">IF(ISNUMBER(MATCH(DATEVALUE($A3),'changes1_based on steps'!K$1:K$400,0)),K$2,)</f>
        <v>0</v>
      </c>
      <c r="L3" s="179">
        <f ca="1">IF(ISNUMBER(MATCH(DATEVALUE($A3),'changes1_based on steps'!L$1:L$400,0)),L$2,)</f>
        <v>0</v>
      </c>
      <c r="M3" s="179">
        <f ca="1">IF(ISNUMBER(MATCH(DATEVALUE($A3),'changes1_based on steps'!M$1:M$400,0)),M$2,)</f>
        <v>0</v>
      </c>
      <c r="N3" s="179">
        <f ca="1">IF(ISNUMBER(MATCH(DATEVALUE($A3),'changes1_based on steps'!N$1:N$400,0)),N$2,)</f>
        <v>0</v>
      </c>
      <c r="O3" s="179">
        <f ca="1">IF(ISNUMBER(MATCH(DATEVALUE($A3),'changes1_based on steps'!O$1:O$400,0)),O$2,)</f>
        <v>0</v>
      </c>
      <c r="P3" s="179">
        <f ca="1">IF(ISNUMBER(MATCH(DATEVALUE($A3),'changes1_based on steps'!P$1:P$400,0)),P$2,)</f>
        <v>0</v>
      </c>
      <c r="Q3" s="179">
        <f ca="1">IF(ISNUMBER(MATCH(DATEVALUE($A3),'changes1_based on steps'!Q$1:Q$400,0)),Q$2,)</f>
        <v>0</v>
      </c>
      <c r="R3" s="179">
        <f ca="1">IF(ISNUMBER(MATCH(DATEVALUE($A3),'changes1_based on steps'!R$1:R$400,0)),R$2,)</f>
        <v>0</v>
      </c>
      <c r="S3" s="179">
        <f ca="1">IF(ISNUMBER(MATCH(DATEVALUE($A3),'changes1_based on steps'!S$1:S$400,0)),S$2,)</f>
        <v>0</v>
      </c>
      <c r="T3" s="179">
        <f ca="1">IF(ISNUMBER(MATCH(DATEVALUE($A3),'changes1_based on steps'!T$1:T$400,0)),T$2,)</f>
        <v>0</v>
      </c>
      <c r="U3" s="179">
        <f ca="1">IF(ISNUMBER(MATCH(DATEVALUE($A3),'changes1_based on steps'!U$1:U$400,0)),U$2,)</f>
        <v>0</v>
      </c>
      <c r="V3" s="179"/>
      <c r="W3" s="179"/>
      <c r="X3" s="179"/>
      <c r="Y3" s="179"/>
      <c r="Z3" s="179"/>
      <c r="AA3" s="179"/>
      <c r="AB3" s="179"/>
      <c r="AC3" s="179"/>
      <c r="AD3" s="179"/>
      <c r="AE3" s="179"/>
      <c r="AF3" s="179"/>
      <c r="AG3" s="179"/>
      <c r="AH3" s="179"/>
      <c r="AI3" s="179"/>
      <c r="AJ3" s="179"/>
      <c r="AK3" s="179"/>
      <c r="AL3" s="179"/>
      <c r="AM3" s="179"/>
      <c r="AN3" s="179"/>
      <c r="AO3" s="179"/>
      <c r="AP3" s="179"/>
      <c r="AQ3" s="179"/>
      <c r="AR3" s="179"/>
      <c r="AS3" s="179"/>
      <c r="AT3" s="179"/>
      <c r="AU3" s="179"/>
      <c r="AV3" s="179"/>
      <c r="AW3" s="179"/>
      <c r="AX3" s="179"/>
      <c r="AY3" s="179"/>
      <c r="AZ3" s="179"/>
      <c r="BA3" s="179"/>
      <c r="BB3" s="179"/>
      <c r="BC3" s="179"/>
      <c r="BD3" s="179"/>
      <c r="BE3" s="179"/>
      <c r="BF3" s="179"/>
      <c r="BG3" s="179"/>
      <c r="BH3" s="179"/>
      <c r="BI3" s="179"/>
      <c r="BJ3" s="179"/>
      <c r="BK3" s="179"/>
      <c r="BL3" s="179"/>
      <c r="BM3" s="179"/>
      <c r="BN3" s="179"/>
      <c r="BO3" s="179"/>
      <c r="BP3" s="179"/>
      <c r="BQ3" s="179"/>
      <c r="BR3" s="179"/>
      <c r="BS3" s="179"/>
      <c r="BT3" s="179"/>
      <c r="BU3" s="179"/>
      <c r="BV3" s="179"/>
      <c r="BW3" s="179"/>
      <c r="BX3" s="179"/>
      <c r="BY3" s="179"/>
      <c r="BZ3" s="179"/>
      <c r="CA3" s="179"/>
      <c r="CB3" s="179"/>
      <c r="CC3" s="179"/>
      <c r="CD3" s="179"/>
      <c r="CE3" s="179"/>
      <c r="CF3" s="179"/>
      <c r="CG3" s="179"/>
      <c r="CH3" s="179"/>
      <c r="CI3" s="179"/>
      <c r="CJ3" s="179"/>
      <c r="CK3" s="179"/>
      <c r="CL3" s="179"/>
      <c r="CM3" s="179"/>
      <c r="CN3" s="179"/>
      <c r="CO3" s="179"/>
      <c r="CP3" s="179"/>
      <c r="CQ3" s="179"/>
      <c r="CR3" s="179"/>
      <c r="CS3" s="179"/>
      <c r="CT3" s="179"/>
      <c r="CU3" s="179"/>
      <c r="CV3" s="179"/>
      <c r="CW3" s="179"/>
    </row>
    <row r="4" spans="1:101" x14ac:dyDescent="0.2">
      <c r="A4" s="32" t="str">
        <f ca="1">TEXT(DATEVALUE(A3)+1,"yyyy-mm-dd")</f>
        <v>2025-04-06</v>
      </c>
      <c r="B4" s="179">
        <f ca="1">IF(ISNUMBER(MATCH(DATEVALUE($A4),'changes1_based on steps'!B$1:B$400,0)),B$2,)</f>
        <v>0</v>
      </c>
      <c r="C4" s="179">
        <f ca="1">IF(ISNUMBER(MATCH(DATEVALUE($A4),'changes1_based on steps'!C$1:C$400,0)),C$2,)</f>
        <v>0</v>
      </c>
      <c r="D4" s="179">
        <f ca="1">IF(ISNUMBER(MATCH(DATEVALUE($A4),'changes1_based on steps'!D$1:D$400,0)),D$2,)</f>
        <v>0</v>
      </c>
      <c r="E4" s="179">
        <f ca="1">IF(ISNUMBER(MATCH(DATEVALUE($A4),'changes1_based on steps'!E$1:E$400,0)),E$2,)</f>
        <v>0</v>
      </c>
      <c r="F4" s="179">
        <f ca="1">IF(ISNUMBER(MATCH(DATEVALUE($A4),'changes1_based on steps'!F$1:F$400,0)),F$2,)</f>
        <v>0</v>
      </c>
      <c r="G4" s="179">
        <f ca="1">IF(ISNUMBER(MATCH(DATEVALUE($A4),'changes1_based on steps'!G$1:G$400,0)),G$2,)</f>
        <v>0</v>
      </c>
      <c r="H4" s="179">
        <f ca="1">IF(ISNUMBER(MATCH(DATEVALUE($A4),'changes1_based on steps'!H$1:H$400,0)),H$2,)</f>
        <v>0</v>
      </c>
      <c r="I4" s="179">
        <f ca="1">IF(ISNUMBER(MATCH(DATEVALUE($A4),'changes1_based on steps'!I$1:I$400,0)),I$2,)</f>
        <v>0</v>
      </c>
      <c r="J4" s="179">
        <f ca="1">IF(ISNUMBER(MATCH(DATEVALUE($A4),'changes1_based on steps'!J$1:J$400,0)),J$2,)</f>
        <v>0</v>
      </c>
      <c r="K4" s="179">
        <f ca="1">IF(ISNUMBER(MATCH(DATEVALUE($A4),'changes1_based on steps'!K$1:K$400,0)),K$2,)</f>
        <v>0</v>
      </c>
      <c r="L4" s="179">
        <f ca="1">IF(ISNUMBER(MATCH(DATEVALUE($A4),'changes1_based on steps'!L$1:L$400,0)),L$2,)</f>
        <v>0</v>
      </c>
      <c r="M4" s="179">
        <f ca="1">IF(ISNUMBER(MATCH(DATEVALUE($A4),'changes1_based on steps'!M$1:M$400,0)),M$2,)</f>
        <v>0</v>
      </c>
      <c r="N4" s="179">
        <f ca="1">IF(ISNUMBER(MATCH(DATEVALUE($A4),'changes1_based on steps'!N$1:N$400,0)),N$2,)</f>
        <v>0</v>
      </c>
      <c r="O4" s="179">
        <f ca="1">IF(ISNUMBER(MATCH(DATEVALUE($A4),'changes1_based on steps'!O$1:O$400,0)),O$2,)</f>
        <v>0</v>
      </c>
      <c r="P4" s="179">
        <f ca="1">IF(ISNUMBER(MATCH(DATEVALUE($A4),'changes1_based on steps'!P$1:P$400,0)),P$2,)</f>
        <v>0</v>
      </c>
      <c r="Q4" s="179">
        <f ca="1">IF(ISNUMBER(MATCH(DATEVALUE($A4),'changes1_based on steps'!Q$1:Q$400,0)),Q$2,)</f>
        <v>0</v>
      </c>
      <c r="R4" s="179">
        <f ca="1">IF(ISNUMBER(MATCH(DATEVALUE($A4),'changes1_based on steps'!R$1:R$400,0)),R$2,)</f>
        <v>0</v>
      </c>
      <c r="S4" s="179">
        <f ca="1">IF(ISNUMBER(MATCH(DATEVALUE($A4),'changes1_based on steps'!S$1:S$400,0)),S$2,)</f>
        <v>0</v>
      </c>
      <c r="T4" s="179">
        <f ca="1">IF(ISNUMBER(MATCH(DATEVALUE($A4),'changes1_based on steps'!T$1:T$400,0)),T$2,)</f>
        <v>0</v>
      </c>
      <c r="U4" s="179">
        <f ca="1">IF(ISNUMBER(MATCH(DATEVALUE($A4),'changes1_based on steps'!U$1:U$400,0)),U$2,)</f>
        <v>0</v>
      </c>
      <c r="V4" s="179"/>
      <c r="W4" s="179"/>
      <c r="X4" s="179"/>
      <c r="Y4" s="179"/>
      <c r="Z4" s="179"/>
      <c r="AA4" s="179"/>
      <c r="AB4" s="179"/>
      <c r="AC4" s="179"/>
      <c r="AD4" s="179"/>
      <c r="AE4" s="179"/>
      <c r="AF4" s="179"/>
      <c r="AG4" s="179"/>
      <c r="AH4" s="179"/>
      <c r="AI4" s="179"/>
      <c r="AJ4" s="179"/>
      <c r="AK4" s="179"/>
      <c r="AL4" s="179"/>
      <c r="AM4" s="179"/>
      <c r="AN4" s="179"/>
      <c r="AO4" s="179"/>
      <c r="AP4" s="179"/>
      <c r="AQ4" s="179"/>
      <c r="AR4" s="179"/>
      <c r="AS4" s="179"/>
      <c r="AT4" s="179"/>
      <c r="AU4" s="179"/>
      <c r="AV4" s="179"/>
      <c r="AW4" s="179"/>
      <c r="AX4" s="179"/>
      <c r="AY4" s="179"/>
      <c r="AZ4" s="179"/>
      <c r="BA4" s="179"/>
      <c r="BB4" s="179"/>
      <c r="BC4" s="179"/>
      <c r="BD4" s="179"/>
      <c r="BE4" s="179"/>
      <c r="BF4" s="179"/>
      <c r="BG4" s="179"/>
      <c r="BH4" s="179"/>
      <c r="BI4" s="179"/>
      <c r="BJ4" s="179"/>
      <c r="BK4" s="179"/>
      <c r="BL4" s="179"/>
      <c r="BM4" s="179"/>
      <c r="BN4" s="179"/>
      <c r="BO4" s="179"/>
      <c r="BP4" s="179"/>
      <c r="BQ4" s="179"/>
      <c r="BR4" s="179"/>
      <c r="BS4" s="179"/>
      <c r="BT4" s="179"/>
      <c r="BU4" s="179"/>
      <c r="BV4" s="179"/>
      <c r="BW4" s="179"/>
      <c r="BX4" s="179"/>
      <c r="BY4" s="179"/>
      <c r="BZ4" s="179"/>
      <c r="CA4" s="179"/>
      <c r="CB4" s="179"/>
      <c r="CC4" s="179"/>
      <c r="CD4" s="179"/>
      <c r="CE4" s="179"/>
      <c r="CF4" s="179"/>
      <c r="CG4" s="179"/>
      <c r="CH4" s="179"/>
      <c r="CI4" s="179"/>
      <c r="CJ4" s="179"/>
      <c r="CK4" s="179"/>
      <c r="CL4" s="179"/>
      <c r="CM4" s="179"/>
      <c r="CN4" s="179"/>
      <c r="CO4" s="179"/>
      <c r="CP4" s="179"/>
      <c r="CQ4" s="179"/>
      <c r="CR4" s="179"/>
      <c r="CS4" s="179"/>
      <c r="CT4" s="179"/>
      <c r="CU4" s="179"/>
      <c r="CV4" s="179"/>
      <c r="CW4" s="179"/>
    </row>
    <row r="5" spans="1:101" x14ac:dyDescent="0.2">
      <c r="A5" s="32" t="str">
        <f t="shared" ref="A5:A68" ca="1" si="0">TEXT(DATEVALUE(A4)+1,"yyyy-mm-dd")</f>
        <v>2025-04-07</v>
      </c>
      <c r="B5" s="179">
        <f ca="1">IF(ISNUMBER(MATCH(DATEVALUE($A5),'changes1_based on steps'!B$1:B$400,0)),B$2,)</f>
        <v>0</v>
      </c>
      <c r="C5" s="179">
        <f ca="1">IF(ISNUMBER(MATCH(DATEVALUE($A5),'changes1_based on steps'!C$1:C$400,0)),C$2,)</f>
        <v>0</v>
      </c>
      <c r="D5" s="179">
        <f ca="1">IF(ISNUMBER(MATCH(DATEVALUE($A5),'changes1_based on steps'!D$1:D$400,0)),D$2,)</f>
        <v>0</v>
      </c>
      <c r="E5" s="179">
        <f ca="1">IF(ISNUMBER(MATCH(DATEVALUE($A5),'changes1_based on steps'!E$1:E$400,0)),E$2,)</f>
        <v>0</v>
      </c>
      <c r="F5" s="179">
        <f ca="1">IF(ISNUMBER(MATCH(DATEVALUE($A5),'changes1_based on steps'!F$1:F$400,0)),F$2,)</f>
        <v>0</v>
      </c>
      <c r="G5" s="179">
        <f ca="1">IF(ISNUMBER(MATCH(DATEVALUE($A5),'changes1_based on steps'!G$1:G$400,0)),G$2,)</f>
        <v>0</v>
      </c>
      <c r="H5" s="179">
        <f ca="1">IF(ISNUMBER(MATCH(DATEVALUE($A5),'changes1_based on steps'!H$1:H$400,0)),H$2,)</f>
        <v>0</v>
      </c>
      <c r="I5" s="179">
        <f ca="1">IF(ISNUMBER(MATCH(DATEVALUE($A5),'changes1_based on steps'!I$1:I$400,0)),I$2,)</f>
        <v>0</v>
      </c>
      <c r="J5" s="179">
        <f ca="1">IF(ISNUMBER(MATCH(DATEVALUE($A5),'changes1_based on steps'!J$1:J$400,0)),J$2,)</f>
        <v>0</v>
      </c>
      <c r="K5" s="179">
        <f ca="1">IF(ISNUMBER(MATCH(DATEVALUE($A5),'changes1_based on steps'!K$1:K$400,0)),K$2,)</f>
        <v>0</v>
      </c>
      <c r="L5" s="179">
        <f ca="1">IF(ISNUMBER(MATCH(DATEVALUE($A5),'changes1_based on steps'!L$1:L$400,0)),L$2,)</f>
        <v>0</v>
      </c>
      <c r="M5" s="179">
        <f ca="1">IF(ISNUMBER(MATCH(DATEVALUE($A5),'changes1_based on steps'!M$1:M$400,0)),M$2,)</f>
        <v>0</v>
      </c>
      <c r="N5" s="179">
        <f ca="1">IF(ISNUMBER(MATCH(DATEVALUE($A5),'changes1_based on steps'!N$1:N$400,0)),N$2,)</f>
        <v>0</v>
      </c>
      <c r="O5" s="179">
        <f ca="1">IF(ISNUMBER(MATCH(DATEVALUE($A5),'changes1_based on steps'!O$1:O$400,0)),O$2,)</f>
        <v>0</v>
      </c>
      <c r="P5" s="179">
        <f ca="1">IF(ISNUMBER(MATCH(DATEVALUE($A5),'changes1_based on steps'!P$1:P$400,0)),P$2,)</f>
        <v>0</v>
      </c>
      <c r="Q5" s="179">
        <f ca="1">IF(ISNUMBER(MATCH(DATEVALUE($A5),'changes1_based on steps'!Q$1:Q$400,0)),Q$2,)</f>
        <v>0</v>
      </c>
      <c r="R5" s="179">
        <f ca="1">IF(ISNUMBER(MATCH(DATEVALUE($A5),'changes1_based on steps'!R$1:R$400,0)),R$2,)</f>
        <v>0</v>
      </c>
      <c r="S5" s="179">
        <f ca="1">IF(ISNUMBER(MATCH(DATEVALUE($A5),'changes1_based on steps'!S$1:S$400,0)),S$2,)</f>
        <v>0</v>
      </c>
      <c r="T5" s="179">
        <f ca="1">IF(ISNUMBER(MATCH(DATEVALUE($A5),'changes1_based on steps'!T$1:T$400,0)),T$2,)</f>
        <v>0</v>
      </c>
      <c r="U5" s="179">
        <f ca="1">IF(ISNUMBER(MATCH(DATEVALUE($A5),'changes1_based on steps'!U$1:U$400,0)),U$2,)</f>
        <v>0</v>
      </c>
      <c r="V5" s="179"/>
      <c r="W5" s="179"/>
      <c r="X5" s="179"/>
      <c r="Y5" s="179"/>
      <c r="Z5" s="179"/>
      <c r="AA5" s="179"/>
      <c r="AB5" s="179"/>
      <c r="AC5" s="179"/>
      <c r="AD5" s="179"/>
      <c r="AE5" s="179"/>
      <c r="AF5" s="179"/>
      <c r="AG5" s="179"/>
      <c r="AH5" s="179"/>
      <c r="AI5" s="179"/>
      <c r="AJ5" s="179"/>
      <c r="AK5" s="179"/>
      <c r="AL5" s="179"/>
      <c r="AM5" s="179"/>
      <c r="AN5" s="179"/>
      <c r="AO5" s="179"/>
      <c r="AP5" s="179"/>
      <c r="AQ5" s="179"/>
      <c r="AR5" s="179"/>
      <c r="AS5" s="179"/>
      <c r="AT5" s="179"/>
      <c r="AU5" s="179"/>
      <c r="AV5" s="179"/>
      <c r="AW5" s="179"/>
      <c r="AX5" s="179"/>
      <c r="AY5" s="179"/>
      <c r="AZ5" s="179"/>
      <c r="BA5" s="179"/>
      <c r="BB5" s="179"/>
      <c r="BC5" s="179"/>
      <c r="BD5" s="179"/>
      <c r="BE5" s="179"/>
      <c r="BF5" s="179"/>
      <c r="BG5" s="179"/>
      <c r="BH5" s="179"/>
      <c r="BI5" s="179"/>
      <c r="BJ5" s="179"/>
      <c r="BK5" s="179"/>
      <c r="BL5" s="179"/>
      <c r="BM5" s="179"/>
      <c r="BN5" s="179"/>
      <c r="BO5" s="179"/>
      <c r="BP5" s="179"/>
      <c r="BQ5" s="179"/>
      <c r="BR5" s="179"/>
      <c r="BS5" s="179"/>
      <c r="BT5" s="179"/>
      <c r="BU5" s="179"/>
      <c r="BV5" s="179"/>
      <c r="BW5" s="179"/>
      <c r="BX5" s="179"/>
      <c r="BY5" s="179"/>
      <c r="BZ5" s="179"/>
      <c r="CA5" s="179"/>
      <c r="CB5" s="179"/>
      <c r="CC5" s="179"/>
      <c r="CD5" s="179"/>
      <c r="CE5" s="179"/>
      <c r="CF5" s="179"/>
      <c r="CG5" s="179"/>
      <c r="CH5" s="179"/>
      <c r="CI5" s="179"/>
      <c r="CJ5" s="179"/>
      <c r="CK5" s="179"/>
      <c r="CL5" s="179"/>
      <c r="CM5" s="179"/>
      <c r="CN5" s="179"/>
      <c r="CO5" s="179"/>
      <c r="CP5" s="179"/>
      <c r="CQ5" s="179"/>
      <c r="CR5" s="179"/>
      <c r="CS5" s="179"/>
      <c r="CT5" s="179"/>
      <c r="CU5" s="179"/>
      <c r="CV5" s="179"/>
      <c r="CW5" s="179"/>
    </row>
    <row r="6" spans="1:101" x14ac:dyDescent="0.2">
      <c r="A6" s="32" t="str">
        <f t="shared" ca="1" si="0"/>
        <v>2025-04-08</v>
      </c>
      <c r="B6" s="179">
        <f ca="1">IF(ISNUMBER(MATCH(DATEVALUE($A6),'changes1_based on steps'!B$1:B$400,0)),B$2,)</f>
        <v>0</v>
      </c>
      <c r="C6" s="179">
        <f ca="1">IF(ISNUMBER(MATCH(DATEVALUE($A6),'changes1_based on steps'!C$1:C$400,0)),C$2,)</f>
        <v>0</v>
      </c>
      <c r="D6" s="179">
        <f ca="1">IF(ISNUMBER(MATCH(DATEVALUE($A6),'changes1_based on steps'!D$1:D$400,0)),D$2,)</f>
        <v>0</v>
      </c>
      <c r="E6" s="179">
        <f ca="1">IF(ISNUMBER(MATCH(DATEVALUE($A6),'changes1_based on steps'!E$1:E$400,0)),E$2,)</f>
        <v>0</v>
      </c>
      <c r="F6" s="179">
        <f ca="1">IF(ISNUMBER(MATCH(DATEVALUE($A6),'changes1_based on steps'!F$1:F$400,0)),F$2,)</f>
        <v>0</v>
      </c>
      <c r="G6" s="179">
        <f ca="1">IF(ISNUMBER(MATCH(DATEVALUE($A6),'changes1_based on steps'!G$1:G$400,0)),G$2,)</f>
        <v>0</v>
      </c>
      <c r="H6" s="179">
        <f ca="1">IF(ISNUMBER(MATCH(DATEVALUE($A6),'changes1_based on steps'!H$1:H$400,0)),H$2,)</f>
        <v>0</v>
      </c>
      <c r="I6" s="179">
        <f ca="1">IF(ISNUMBER(MATCH(DATEVALUE($A6),'changes1_based on steps'!I$1:I$400,0)),I$2,)</f>
        <v>0</v>
      </c>
      <c r="J6" s="179">
        <f ca="1">IF(ISNUMBER(MATCH(DATEVALUE($A6),'changes1_based on steps'!J$1:J$400,0)),J$2,)</f>
        <v>0</v>
      </c>
      <c r="K6" s="179">
        <f ca="1">IF(ISNUMBER(MATCH(DATEVALUE($A6),'changes1_based on steps'!K$1:K$400,0)),K$2,)</f>
        <v>0</v>
      </c>
      <c r="L6" s="179">
        <f ca="1">IF(ISNUMBER(MATCH(DATEVALUE($A6),'changes1_based on steps'!L$1:L$400,0)),L$2,)</f>
        <v>0</v>
      </c>
      <c r="M6" s="179">
        <f ca="1">IF(ISNUMBER(MATCH(DATEVALUE($A6),'changes1_based on steps'!M$1:M$400,0)),M$2,)</f>
        <v>0</v>
      </c>
      <c r="N6" s="179">
        <f ca="1">IF(ISNUMBER(MATCH(DATEVALUE($A6),'changes1_based on steps'!N$1:N$400,0)),N$2,)</f>
        <v>0</v>
      </c>
      <c r="O6" s="179">
        <f ca="1">IF(ISNUMBER(MATCH(DATEVALUE($A6),'changes1_based on steps'!O$1:O$400,0)),O$2,)</f>
        <v>0</v>
      </c>
      <c r="P6" s="179">
        <f ca="1">IF(ISNUMBER(MATCH(DATEVALUE($A6),'changes1_based on steps'!P$1:P$400,0)),P$2,)</f>
        <v>0</v>
      </c>
      <c r="Q6" s="179">
        <f ca="1">IF(ISNUMBER(MATCH(DATEVALUE($A6),'changes1_based on steps'!Q$1:Q$400,0)),Q$2,)</f>
        <v>0</v>
      </c>
      <c r="R6" s="179">
        <f ca="1">IF(ISNUMBER(MATCH(DATEVALUE($A6),'changes1_based on steps'!R$1:R$400,0)),R$2,)</f>
        <v>0</v>
      </c>
      <c r="S6" s="179">
        <f ca="1">IF(ISNUMBER(MATCH(DATEVALUE($A6),'changes1_based on steps'!S$1:S$400,0)),S$2,)</f>
        <v>0</v>
      </c>
      <c r="T6" s="179">
        <f ca="1">IF(ISNUMBER(MATCH(DATEVALUE($A6),'changes1_based on steps'!T$1:T$400,0)),T$2,)</f>
        <v>0</v>
      </c>
      <c r="U6" s="179">
        <f ca="1">IF(ISNUMBER(MATCH(DATEVALUE($A6),'changes1_based on steps'!U$1:U$400,0)),U$2,)</f>
        <v>0</v>
      </c>
      <c r="V6" s="179"/>
      <c r="W6" s="179"/>
      <c r="X6" s="179"/>
      <c r="Y6" s="179"/>
      <c r="Z6" s="179"/>
      <c r="AA6" s="179"/>
      <c r="AB6" s="179"/>
      <c r="AC6" s="179"/>
      <c r="AD6" s="179"/>
      <c r="AE6" s="179"/>
      <c r="AF6" s="179"/>
      <c r="AG6" s="179"/>
      <c r="AH6" s="179"/>
      <c r="AI6" s="179"/>
      <c r="AJ6" s="179"/>
      <c r="AK6" s="179"/>
      <c r="AL6" s="179"/>
      <c r="AM6" s="179"/>
      <c r="AN6" s="179"/>
      <c r="AO6" s="179"/>
      <c r="AP6" s="179"/>
      <c r="AQ6" s="179"/>
      <c r="AR6" s="179"/>
      <c r="AS6" s="179"/>
      <c r="AT6" s="179"/>
      <c r="AU6" s="179"/>
      <c r="AV6" s="179"/>
      <c r="AW6" s="179"/>
      <c r="AX6" s="179"/>
      <c r="AY6" s="179"/>
      <c r="AZ6" s="179"/>
      <c r="BA6" s="179"/>
      <c r="BB6" s="179"/>
      <c r="BC6" s="179"/>
      <c r="BD6" s="179"/>
      <c r="BE6" s="179"/>
      <c r="BF6" s="179"/>
      <c r="BG6" s="179"/>
      <c r="BH6" s="179"/>
      <c r="BI6" s="179"/>
      <c r="BJ6" s="179"/>
      <c r="BK6" s="179"/>
      <c r="BL6" s="179"/>
      <c r="BM6" s="179"/>
      <c r="BN6" s="179"/>
      <c r="BO6" s="179"/>
      <c r="BP6" s="179"/>
      <c r="BQ6" s="179"/>
      <c r="BR6" s="179"/>
      <c r="BS6" s="179"/>
      <c r="BT6" s="179"/>
      <c r="BU6" s="179"/>
      <c r="BV6" s="179"/>
      <c r="BW6" s="179"/>
      <c r="BX6" s="179"/>
      <c r="BY6" s="179"/>
      <c r="BZ6" s="179"/>
      <c r="CA6" s="179"/>
      <c r="CB6" s="179"/>
      <c r="CC6" s="179"/>
      <c r="CD6" s="179"/>
      <c r="CE6" s="179"/>
      <c r="CF6" s="179"/>
      <c r="CG6" s="179"/>
      <c r="CH6" s="179"/>
      <c r="CI6" s="179"/>
      <c r="CJ6" s="179"/>
      <c r="CK6" s="179"/>
      <c r="CL6" s="179"/>
      <c r="CM6" s="179"/>
      <c r="CN6" s="179"/>
      <c r="CO6" s="179"/>
      <c r="CP6" s="179"/>
      <c r="CQ6" s="179"/>
      <c r="CR6" s="179"/>
      <c r="CS6" s="179"/>
      <c r="CT6" s="179"/>
      <c r="CU6" s="179"/>
      <c r="CV6" s="179"/>
      <c r="CW6" s="179"/>
    </row>
    <row r="7" spans="1:101" x14ac:dyDescent="0.2">
      <c r="A7" s="32" t="str">
        <f t="shared" ca="1" si="0"/>
        <v>2025-04-09</v>
      </c>
      <c r="B7" s="179">
        <f ca="1">IF(ISNUMBER(MATCH(DATEVALUE($A7),'changes1_based on steps'!B$1:B$400,0)),B$2,)</f>
        <v>0</v>
      </c>
      <c r="C7" s="179">
        <f ca="1">IF(ISNUMBER(MATCH(DATEVALUE($A7),'changes1_based on steps'!C$1:C$400,0)),C$2,)</f>
        <v>0</v>
      </c>
      <c r="D7" s="179">
        <f ca="1">IF(ISNUMBER(MATCH(DATEVALUE($A7),'changes1_based on steps'!D$1:D$400,0)),D$2,)</f>
        <v>0</v>
      </c>
      <c r="E7" s="179">
        <f ca="1">IF(ISNUMBER(MATCH(DATEVALUE($A7),'changes1_based on steps'!E$1:E$400,0)),E$2,)</f>
        <v>0</v>
      </c>
      <c r="F7" s="179">
        <f ca="1">IF(ISNUMBER(MATCH(DATEVALUE($A7),'changes1_based on steps'!F$1:F$400,0)),F$2,)</f>
        <v>0</v>
      </c>
      <c r="G7" s="179">
        <f ca="1">IF(ISNUMBER(MATCH(DATEVALUE($A7),'changes1_based on steps'!G$1:G$400,0)),G$2,)</f>
        <v>0</v>
      </c>
      <c r="H7" s="179">
        <f ca="1">IF(ISNUMBER(MATCH(DATEVALUE($A7),'changes1_based on steps'!H$1:H$400,0)),H$2,)</f>
        <v>0</v>
      </c>
      <c r="I7" s="179">
        <f ca="1">IF(ISNUMBER(MATCH(DATEVALUE($A7),'changes1_based on steps'!I$1:I$400,0)),I$2,)</f>
        <v>0</v>
      </c>
      <c r="J7" s="179">
        <f ca="1">IF(ISNUMBER(MATCH(DATEVALUE($A7),'changes1_based on steps'!J$1:J$400,0)),J$2,)</f>
        <v>0</v>
      </c>
      <c r="K7" s="179">
        <f ca="1">IF(ISNUMBER(MATCH(DATEVALUE($A7),'changes1_based on steps'!K$1:K$400,0)),K$2,)</f>
        <v>0</v>
      </c>
      <c r="L7" s="179">
        <f ca="1">IF(ISNUMBER(MATCH(DATEVALUE($A7),'changes1_based on steps'!L$1:L$400,0)),L$2,)</f>
        <v>0</v>
      </c>
      <c r="M7" s="179">
        <f ca="1">IF(ISNUMBER(MATCH(DATEVALUE($A7),'changes1_based on steps'!M$1:M$400,0)),M$2,)</f>
        <v>0</v>
      </c>
      <c r="N7" s="179">
        <f ca="1">IF(ISNUMBER(MATCH(DATEVALUE($A7),'changes1_based on steps'!N$1:N$400,0)),N$2,)</f>
        <v>0</v>
      </c>
      <c r="O7" s="179">
        <f ca="1">IF(ISNUMBER(MATCH(DATEVALUE($A7),'changes1_based on steps'!O$1:O$400,0)),O$2,)</f>
        <v>0</v>
      </c>
      <c r="P7" s="179">
        <f ca="1">IF(ISNUMBER(MATCH(DATEVALUE($A7),'changes1_based on steps'!P$1:P$400,0)),P$2,)</f>
        <v>0</v>
      </c>
      <c r="Q7" s="179">
        <f ca="1">IF(ISNUMBER(MATCH(DATEVALUE($A7),'changes1_based on steps'!Q$1:Q$400,0)),Q$2,)</f>
        <v>0</v>
      </c>
      <c r="R7" s="179">
        <f ca="1">IF(ISNUMBER(MATCH(DATEVALUE($A7),'changes1_based on steps'!R$1:R$400,0)),R$2,)</f>
        <v>0</v>
      </c>
      <c r="S7" s="179">
        <f ca="1">IF(ISNUMBER(MATCH(DATEVALUE($A7),'changes1_based on steps'!S$1:S$400,0)),S$2,)</f>
        <v>0</v>
      </c>
      <c r="T7" s="179">
        <f ca="1">IF(ISNUMBER(MATCH(DATEVALUE($A7),'changes1_based on steps'!T$1:T$400,0)),T$2,)</f>
        <v>0</v>
      </c>
      <c r="U7" s="179">
        <f ca="1">IF(ISNUMBER(MATCH(DATEVALUE($A7),'changes1_based on steps'!U$1:U$400,0)),U$2,)</f>
        <v>0</v>
      </c>
      <c r="V7" s="179"/>
      <c r="W7" s="179"/>
      <c r="X7" s="179"/>
      <c r="Y7" s="179"/>
      <c r="Z7" s="179"/>
      <c r="AA7" s="179"/>
      <c r="AB7" s="179"/>
      <c r="AC7" s="179"/>
      <c r="AD7" s="179"/>
      <c r="AE7" s="179"/>
      <c r="AF7" s="179"/>
      <c r="AG7" s="179"/>
      <c r="AH7" s="179"/>
      <c r="AI7" s="179"/>
      <c r="AJ7" s="179"/>
      <c r="AK7" s="179"/>
      <c r="AL7" s="179"/>
      <c r="AM7" s="179"/>
      <c r="AN7" s="179"/>
      <c r="AO7" s="179"/>
      <c r="AP7" s="179"/>
      <c r="AQ7" s="179"/>
      <c r="AR7" s="179"/>
      <c r="AS7" s="179"/>
      <c r="AT7" s="179"/>
      <c r="AU7" s="179"/>
      <c r="AV7" s="179"/>
      <c r="AW7" s="179"/>
      <c r="AX7" s="179"/>
      <c r="AY7" s="179"/>
      <c r="AZ7" s="179"/>
      <c r="BA7" s="179"/>
      <c r="BB7" s="179"/>
      <c r="BC7" s="179"/>
      <c r="BD7" s="179"/>
      <c r="BE7" s="179"/>
      <c r="BF7" s="179"/>
      <c r="BG7" s="179"/>
      <c r="BH7" s="179"/>
      <c r="BI7" s="179"/>
      <c r="BJ7" s="179"/>
      <c r="BK7" s="179"/>
      <c r="BL7" s="179"/>
      <c r="BM7" s="179"/>
      <c r="BN7" s="179"/>
      <c r="BO7" s="179"/>
      <c r="BP7" s="179"/>
      <c r="BQ7" s="179"/>
      <c r="BR7" s="179"/>
      <c r="BS7" s="179"/>
      <c r="BT7" s="179"/>
      <c r="BU7" s="179"/>
      <c r="BV7" s="179"/>
      <c r="BW7" s="179"/>
      <c r="BX7" s="179"/>
      <c r="BY7" s="179"/>
      <c r="BZ7" s="179"/>
      <c r="CA7" s="179"/>
      <c r="CB7" s="179"/>
      <c r="CC7" s="179"/>
      <c r="CD7" s="179"/>
      <c r="CE7" s="179"/>
      <c r="CF7" s="179"/>
      <c r="CG7" s="179"/>
      <c r="CH7" s="179"/>
      <c r="CI7" s="179"/>
      <c r="CJ7" s="179"/>
      <c r="CK7" s="179"/>
      <c r="CL7" s="179"/>
      <c r="CM7" s="179"/>
      <c r="CN7" s="179"/>
      <c r="CO7" s="179"/>
      <c r="CP7" s="179"/>
      <c r="CQ7" s="179"/>
      <c r="CR7" s="179"/>
      <c r="CS7" s="179"/>
      <c r="CT7" s="179"/>
      <c r="CU7" s="179"/>
      <c r="CV7" s="179"/>
      <c r="CW7" s="179"/>
    </row>
    <row r="8" spans="1:101" x14ac:dyDescent="0.2">
      <c r="A8" s="32" t="str">
        <f t="shared" ca="1" si="0"/>
        <v>2025-04-10</v>
      </c>
      <c r="B8" s="179">
        <f ca="1">IF(ISNUMBER(MATCH(DATEVALUE($A8),'changes1_based on steps'!B$1:B$400,0)),B$2,)</f>
        <v>0</v>
      </c>
      <c r="C8" s="179">
        <f ca="1">IF(ISNUMBER(MATCH(DATEVALUE($A8),'changes1_based on steps'!C$1:C$400,0)),C$2,)</f>
        <v>0</v>
      </c>
      <c r="D8" s="179">
        <f ca="1">IF(ISNUMBER(MATCH(DATEVALUE($A8),'changes1_based on steps'!D$1:D$400,0)),D$2,)</f>
        <v>0</v>
      </c>
      <c r="E8" s="179">
        <f ca="1">IF(ISNUMBER(MATCH(DATEVALUE($A8),'changes1_based on steps'!E$1:E$400,0)),E$2,)</f>
        <v>0</v>
      </c>
      <c r="F8" s="179">
        <f ca="1">IF(ISNUMBER(MATCH(DATEVALUE($A8),'changes1_based on steps'!F$1:F$400,0)),F$2,)</f>
        <v>0</v>
      </c>
      <c r="G8" s="179">
        <f ca="1">IF(ISNUMBER(MATCH(DATEVALUE($A8),'changes1_based on steps'!G$1:G$400,0)),G$2,)</f>
        <v>0</v>
      </c>
      <c r="H8" s="179">
        <f ca="1">IF(ISNUMBER(MATCH(DATEVALUE($A8),'changes1_based on steps'!H$1:H$400,0)),H$2,)</f>
        <v>0</v>
      </c>
      <c r="I8" s="179">
        <f ca="1">IF(ISNUMBER(MATCH(DATEVALUE($A8),'changes1_based on steps'!I$1:I$400,0)),I$2,)</f>
        <v>0</v>
      </c>
      <c r="J8" s="179">
        <f ca="1">IF(ISNUMBER(MATCH(DATEVALUE($A8),'changes1_based on steps'!J$1:J$400,0)),J$2,)</f>
        <v>0</v>
      </c>
      <c r="K8" s="179">
        <f ca="1">IF(ISNUMBER(MATCH(DATEVALUE($A8),'changes1_based on steps'!K$1:K$400,0)),K$2,)</f>
        <v>0</v>
      </c>
      <c r="L8" s="179">
        <f ca="1">IF(ISNUMBER(MATCH(DATEVALUE($A8),'changes1_based on steps'!L$1:L$400,0)),L$2,)</f>
        <v>0</v>
      </c>
      <c r="M8" s="179">
        <f ca="1">IF(ISNUMBER(MATCH(DATEVALUE($A8),'changes1_based on steps'!M$1:M$400,0)),M$2,)</f>
        <v>0</v>
      </c>
      <c r="N8" s="179">
        <f ca="1">IF(ISNUMBER(MATCH(DATEVALUE($A8),'changes1_based on steps'!N$1:N$400,0)),N$2,)</f>
        <v>0</v>
      </c>
      <c r="O8" s="179">
        <f ca="1">IF(ISNUMBER(MATCH(DATEVALUE($A8),'changes1_based on steps'!O$1:O$400,0)),O$2,)</f>
        <v>0</v>
      </c>
      <c r="P8" s="179">
        <f ca="1">IF(ISNUMBER(MATCH(DATEVALUE($A8),'changes1_based on steps'!P$1:P$400,0)),P$2,)</f>
        <v>0</v>
      </c>
      <c r="Q8" s="179">
        <f ca="1">IF(ISNUMBER(MATCH(DATEVALUE($A8),'changes1_based on steps'!Q$1:Q$400,0)),Q$2,)</f>
        <v>0</v>
      </c>
      <c r="R8" s="179">
        <f ca="1">IF(ISNUMBER(MATCH(DATEVALUE($A8),'changes1_based on steps'!R$1:R$400,0)),R$2,)</f>
        <v>0</v>
      </c>
      <c r="S8" s="179">
        <f ca="1">IF(ISNUMBER(MATCH(DATEVALUE($A8),'changes1_based on steps'!S$1:S$400,0)),S$2,)</f>
        <v>0</v>
      </c>
      <c r="T8" s="179">
        <f ca="1">IF(ISNUMBER(MATCH(DATEVALUE($A8),'changes1_based on steps'!T$1:T$400,0)),T$2,)</f>
        <v>0</v>
      </c>
      <c r="U8" s="179">
        <f ca="1">IF(ISNUMBER(MATCH(DATEVALUE($A8),'changes1_based on steps'!U$1:U$400,0)),U$2,)</f>
        <v>0</v>
      </c>
      <c r="V8" s="179"/>
      <c r="W8" s="179"/>
      <c r="X8" s="179"/>
      <c r="Y8" s="179"/>
      <c r="Z8" s="179"/>
      <c r="AA8" s="179"/>
      <c r="AB8" s="179"/>
      <c r="AC8" s="179"/>
      <c r="AD8" s="179"/>
      <c r="AE8" s="179"/>
      <c r="AF8" s="179"/>
      <c r="AG8" s="179"/>
      <c r="AH8" s="179"/>
      <c r="AI8" s="179"/>
      <c r="AJ8" s="179"/>
      <c r="AK8" s="179"/>
      <c r="AL8" s="179"/>
      <c r="AM8" s="179"/>
      <c r="AN8" s="179"/>
      <c r="AO8" s="179"/>
      <c r="AP8" s="179"/>
      <c r="AQ8" s="179"/>
      <c r="AR8" s="179"/>
      <c r="AS8" s="179"/>
      <c r="AT8" s="179"/>
      <c r="AU8" s="179"/>
      <c r="AV8" s="179"/>
      <c r="AW8" s="179"/>
      <c r="AX8" s="179"/>
      <c r="AY8" s="179"/>
      <c r="AZ8" s="179"/>
      <c r="BA8" s="179"/>
      <c r="BB8" s="179"/>
      <c r="BC8" s="179"/>
      <c r="BD8" s="179"/>
      <c r="BE8" s="179"/>
      <c r="BF8" s="179"/>
      <c r="BG8" s="179"/>
      <c r="BH8" s="179"/>
      <c r="BI8" s="179"/>
      <c r="BJ8" s="179"/>
      <c r="BK8" s="179"/>
      <c r="BL8" s="179"/>
      <c r="BM8" s="179"/>
      <c r="BN8" s="179"/>
      <c r="BO8" s="179"/>
      <c r="BP8" s="179"/>
      <c r="BQ8" s="179"/>
      <c r="BR8" s="179"/>
      <c r="BS8" s="179"/>
      <c r="BT8" s="179"/>
      <c r="BU8" s="179"/>
      <c r="BV8" s="179"/>
      <c r="BW8" s="179"/>
      <c r="BX8" s="179"/>
      <c r="BY8" s="179"/>
      <c r="BZ8" s="179"/>
      <c r="CA8" s="179"/>
      <c r="CB8" s="179"/>
      <c r="CC8" s="179"/>
      <c r="CD8" s="179"/>
      <c r="CE8" s="179"/>
      <c r="CF8" s="179"/>
      <c r="CG8" s="179"/>
      <c r="CH8" s="179"/>
      <c r="CI8" s="179"/>
      <c r="CJ8" s="179"/>
      <c r="CK8" s="179"/>
      <c r="CL8" s="179"/>
      <c r="CM8" s="179"/>
      <c r="CN8" s="179"/>
      <c r="CO8" s="179"/>
      <c r="CP8" s="179"/>
      <c r="CQ8" s="179"/>
      <c r="CR8" s="179"/>
      <c r="CS8" s="179"/>
      <c r="CT8" s="179"/>
      <c r="CU8" s="179"/>
      <c r="CV8" s="179"/>
      <c r="CW8" s="179"/>
    </row>
    <row r="9" spans="1:101" x14ac:dyDescent="0.2">
      <c r="A9" s="32" t="str">
        <f t="shared" ca="1" si="0"/>
        <v>2025-04-11</v>
      </c>
      <c r="B9" s="179">
        <f ca="1">IF(ISNUMBER(MATCH(DATEVALUE($A9),'changes1_based on steps'!B$1:B$400,0)),B$2,)</f>
        <v>0</v>
      </c>
      <c r="C9" s="179">
        <f ca="1">IF(ISNUMBER(MATCH(DATEVALUE($A9),'changes1_based on steps'!C$1:C$400,0)),C$2,)</f>
        <v>0</v>
      </c>
      <c r="D9" s="179">
        <f ca="1">IF(ISNUMBER(MATCH(DATEVALUE($A9),'changes1_based on steps'!D$1:D$400,0)),D$2,)</f>
        <v>0</v>
      </c>
      <c r="E9" s="179">
        <f ca="1">IF(ISNUMBER(MATCH(DATEVALUE($A9),'changes1_based on steps'!E$1:E$400,0)),E$2,)</f>
        <v>0</v>
      </c>
      <c r="F9" s="179">
        <f ca="1">IF(ISNUMBER(MATCH(DATEVALUE($A9),'changes1_based on steps'!F$1:F$400,0)),F$2,)</f>
        <v>0</v>
      </c>
      <c r="G9" s="179">
        <f ca="1">IF(ISNUMBER(MATCH(DATEVALUE($A9),'changes1_based on steps'!G$1:G$400,0)),G$2,)</f>
        <v>0</v>
      </c>
      <c r="H9" s="179">
        <f ca="1">IF(ISNUMBER(MATCH(DATEVALUE($A9),'changes1_based on steps'!H$1:H$400,0)),H$2,)</f>
        <v>0</v>
      </c>
      <c r="I9" s="179">
        <f ca="1">IF(ISNUMBER(MATCH(DATEVALUE($A9),'changes1_based on steps'!I$1:I$400,0)),I$2,)</f>
        <v>0</v>
      </c>
      <c r="J9" s="179">
        <f ca="1">IF(ISNUMBER(MATCH(DATEVALUE($A9),'changes1_based on steps'!J$1:J$400,0)),J$2,)</f>
        <v>0</v>
      </c>
      <c r="K9" s="179">
        <f ca="1">IF(ISNUMBER(MATCH(DATEVALUE($A9),'changes1_based on steps'!K$1:K$400,0)),K$2,)</f>
        <v>0</v>
      </c>
      <c r="L9" s="179">
        <f ca="1">IF(ISNUMBER(MATCH(DATEVALUE($A9),'changes1_based on steps'!L$1:L$400,0)),L$2,)</f>
        <v>0</v>
      </c>
      <c r="M9" s="179">
        <f ca="1">IF(ISNUMBER(MATCH(DATEVALUE($A9),'changes1_based on steps'!M$1:M$400,0)),M$2,)</f>
        <v>0</v>
      </c>
      <c r="N9" s="179">
        <f ca="1">IF(ISNUMBER(MATCH(DATEVALUE($A9),'changes1_based on steps'!N$1:N$400,0)),N$2,)</f>
        <v>0</v>
      </c>
      <c r="O9" s="179">
        <f ca="1">IF(ISNUMBER(MATCH(DATEVALUE($A9),'changes1_based on steps'!O$1:O$400,0)),O$2,)</f>
        <v>0</v>
      </c>
      <c r="P9" s="179">
        <f ca="1">IF(ISNUMBER(MATCH(DATEVALUE($A9),'changes1_based on steps'!P$1:P$400,0)),P$2,)</f>
        <v>0</v>
      </c>
      <c r="Q9" s="179">
        <f ca="1">IF(ISNUMBER(MATCH(DATEVALUE($A9),'changes1_based on steps'!Q$1:Q$400,0)),Q$2,)</f>
        <v>0</v>
      </c>
      <c r="R9" s="179">
        <f ca="1">IF(ISNUMBER(MATCH(DATEVALUE($A9),'changes1_based on steps'!R$1:R$400,0)),R$2,)</f>
        <v>0</v>
      </c>
      <c r="S9" s="179">
        <f ca="1">IF(ISNUMBER(MATCH(DATEVALUE($A9),'changes1_based on steps'!S$1:S$400,0)),S$2,)</f>
        <v>0</v>
      </c>
      <c r="T9" s="179">
        <f ca="1">IF(ISNUMBER(MATCH(DATEVALUE($A9),'changes1_based on steps'!T$1:T$400,0)),T$2,)</f>
        <v>0</v>
      </c>
      <c r="U9" s="179">
        <f ca="1">IF(ISNUMBER(MATCH(DATEVALUE($A9),'changes1_based on steps'!U$1:U$400,0)),U$2,)</f>
        <v>0</v>
      </c>
      <c r="V9" s="179"/>
      <c r="W9" s="179"/>
      <c r="X9" s="179"/>
      <c r="Y9" s="179"/>
      <c r="Z9" s="179"/>
      <c r="AA9" s="179"/>
      <c r="AB9" s="179"/>
      <c r="AC9" s="179"/>
      <c r="AD9" s="179"/>
      <c r="AE9" s="179"/>
      <c r="AF9" s="179"/>
      <c r="AG9" s="179"/>
      <c r="AH9" s="179"/>
      <c r="AI9" s="179"/>
      <c r="AJ9" s="179"/>
      <c r="AK9" s="179"/>
      <c r="AL9" s="179"/>
      <c r="AM9" s="179"/>
      <c r="AN9" s="179"/>
      <c r="AO9" s="179"/>
      <c r="AP9" s="179"/>
      <c r="AQ9" s="179"/>
      <c r="AR9" s="179"/>
      <c r="AS9" s="179"/>
      <c r="AT9" s="179"/>
      <c r="AU9" s="179"/>
      <c r="AV9" s="179"/>
      <c r="AW9" s="179"/>
      <c r="AX9" s="179"/>
      <c r="AY9" s="179"/>
      <c r="AZ9" s="179"/>
      <c r="BA9" s="179"/>
      <c r="BB9" s="179"/>
      <c r="BC9" s="179"/>
      <c r="BD9" s="179"/>
      <c r="BE9" s="179"/>
      <c r="BF9" s="179"/>
      <c r="BG9" s="179"/>
      <c r="BH9" s="179"/>
      <c r="BI9" s="179"/>
      <c r="BJ9" s="179"/>
      <c r="BK9" s="179"/>
      <c r="BL9" s="179"/>
      <c r="BM9" s="179"/>
      <c r="BN9" s="179"/>
      <c r="BO9" s="179"/>
      <c r="BP9" s="179"/>
      <c r="BQ9" s="179"/>
      <c r="BR9" s="179"/>
      <c r="BS9" s="179"/>
      <c r="BT9" s="179"/>
      <c r="BU9" s="179"/>
      <c r="BV9" s="179"/>
      <c r="BW9" s="179"/>
      <c r="BX9" s="179"/>
      <c r="BY9" s="179"/>
      <c r="BZ9" s="179"/>
      <c r="CA9" s="179"/>
      <c r="CB9" s="179"/>
      <c r="CC9" s="179"/>
      <c r="CD9" s="179"/>
      <c r="CE9" s="179"/>
      <c r="CF9" s="179"/>
      <c r="CG9" s="179"/>
      <c r="CH9" s="179"/>
      <c r="CI9" s="179"/>
      <c r="CJ9" s="179"/>
      <c r="CK9" s="179"/>
      <c r="CL9" s="179"/>
      <c r="CM9" s="179"/>
      <c r="CN9" s="179"/>
      <c r="CO9" s="179"/>
      <c r="CP9" s="179"/>
      <c r="CQ9" s="179"/>
      <c r="CR9" s="179"/>
      <c r="CS9" s="179"/>
      <c r="CT9" s="179"/>
      <c r="CU9" s="179"/>
      <c r="CV9" s="179"/>
      <c r="CW9" s="179"/>
    </row>
    <row r="10" spans="1:101" x14ac:dyDescent="0.2">
      <c r="A10" s="32" t="str">
        <f t="shared" ca="1" si="0"/>
        <v>2025-04-12</v>
      </c>
      <c r="B10" s="179">
        <f ca="1">IF(ISNUMBER(MATCH(DATEVALUE($A10),'changes1_based on steps'!B$1:B$400,0)),B$2,)</f>
        <v>0</v>
      </c>
      <c r="C10" s="179">
        <f ca="1">IF(ISNUMBER(MATCH(DATEVALUE($A10),'changes1_based on steps'!C$1:C$400,0)),C$2,)</f>
        <v>0</v>
      </c>
      <c r="D10" s="179">
        <f ca="1">IF(ISNUMBER(MATCH(DATEVALUE($A10),'changes1_based on steps'!D$1:D$400,0)),D$2,)</f>
        <v>0</v>
      </c>
      <c r="E10" s="179">
        <f ca="1">IF(ISNUMBER(MATCH(DATEVALUE($A10),'changes1_based on steps'!E$1:E$400,0)),E$2,)</f>
        <v>0</v>
      </c>
      <c r="F10" s="179">
        <f ca="1">IF(ISNUMBER(MATCH(DATEVALUE($A10),'changes1_based on steps'!F$1:F$400,0)),F$2,)</f>
        <v>0</v>
      </c>
      <c r="G10" s="179">
        <f ca="1">IF(ISNUMBER(MATCH(DATEVALUE($A10),'changes1_based on steps'!G$1:G$400,0)),G$2,)</f>
        <v>0</v>
      </c>
      <c r="H10" s="179">
        <f ca="1">IF(ISNUMBER(MATCH(DATEVALUE($A10),'changes1_based on steps'!H$1:H$400,0)),H$2,)</f>
        <v>0</v>
      </c>
      <c r="I10" s="179">
        <f ca="1">IF(ISNUMBER(MATCH(DATEVALUE($A10),'changes1_based on steps'!I$1:I$400,0)),I$2,)</f>
        <v>0</v>
      </c>
      <c r="J10" s="179">
        <f ca="1">IF(ISNUMBER(MATCH(DATEVALUE($A10),'changes1_based on steps'!J$1:J$400,0)),J$2,)</f>
        <v>0</v>
      </c>
      <c r="K10" s="179">
        <f ca="1">IF(ISNUMBER(MATCH(DATEVALUE($A10),'changes1_based on steps'!K$1:K$400,0)),K$2,)</f>
        <v>0</v>
      </c>
      <c r="L10" s="179">
        <f ca="1">IF(ISNUMBER(MATCH(DATEVALUE($A10),'changes1_based on steps'!L$1:L$400,0)),L$2,)</f>
        <v>0</v>
      </c>
      <c r="M10" s="179">
        <f ca="1">IF(ISNUMBER(MATCH(DATEVALUE($A10),'changes1_based on steps'!M$1:M$400,0)),M$2,)</f>
        <v>0</v>
      </c>
      <c r="N10" s="179">
        <f ca="1">IF(ISNUMBER(MATCH(DATEVALUE($A10),'changes1_based on steps'!N$1:N$400,0)),N$2,)</f>
        <v>0</v>
      </c>
      <c r="O10" s="179">
        <f ca="1">IF(ISNUMBER(MATCH(DATEVALUE($A10),'changes1_based on steps'!O$1:O$400,0)),O$2,)</f>
        <v>0</v>
      </c>
      <c r="P10" s="179">
        <f ca="1">IF(ISNUMBER(MATCH(DATEVALUE($A10),'changes1_based on steps'!P$1:P$400,0)),P$2,)</f>
        <v>0</v>
      </c>
      <c r="Q10" s="179">
        <f ca="1">IF(ISNUMBER(MATCH(DATEVALUE($A10),'changes1_based on steps'!Q$1:Q$400,0)),Q$2,)</f>
        <v>0</v>
      </c>
      <c r="R10" s="179">
        <f ca="1">IF(ISNUMBER(MATCH(DATEVALUE($A10),'changes1_based on steps'!R$1:R$400,0)),R$2,)</f>
        <v>0</v>
      </c>
      <c r="S10" s="179">
        <f ca="1">IF(ISNUMBER(MATCH(DATEVALUE($A10),'changes1_based on steps'!S$1:S$400,0)),S$2,)</f>
        <v>0</v>
      </c>
      <c r="T10" s="179">
        <f ca="1">IF(ISNUMBER(MATCH(DATEVALUE($A10),'changes1_based on steps'!T$1:T$400,0)),T$2,)</f>
        <v>0</v>
      </c>
      <c r="U10" s="179">
        <f ca="1">IF(ISNUMBER(MATCH(DATEVALUE($A10),'changes1_based on steps'!U$1:U$400,0)),U$2,)</f>
        <v>0</v>
      </c>
      <c r="V10" s="179"/>
      <c r="W10" s="179"/>
      <c r="X10" s="179"/>
      <c r="Y10" s="179"/>
      <c r="Z10" s="179"/>
      <c r="AA10" s="179"/>
      <c r="AB10" s="179"/>
      <c r="AC10" s="179"/>
      <c r="AD10" s="179"/>
      <c r="AE10" s="179"/>
      <c r="AF10" s="179"/>
      <c r="AG10" s="179"/>
      <c r="AH10" s="179"/>
      <c r="AI10" s="179"/>
      <c r="AJ10" s="179"/>
      <c r="AK10" s="179"/>
      <c r="AL10" s="179"/>
      <c r="AM10" s="179"/>
      <c r="AN10" s="179"/>
      <c r="AO10" s="179"/>
      <c r="AP10" s="179"/>
      <c r="AQ10" s="179"/>
      <c r="AR10" s="179"/>
      <c r="AS10" s="179"/>
      <c r="AT10" s="179"/>
      <c r="AU10" s="179"/>
      <c r="AV10" s="179"/>
      <c r="AW10" s="179"/>
      <c r="AX10" s="179"/>
      <c r="AY10" s="179"/>
      <c r="AZ10" s="179"/>
      <c r="BA10" s="179"/>
      <c r="BB10" s="179"/>
      <c r="BC10" s="179"/>
      <c r="BD10" s="179"/>
      <c r="BE10" s="179"/>
      <c r="BF10" s="179"/>
      <c r="BG10" s="179"/>
      <c r="BH10" s="179"/>
      <c r="BI10" s="179"/>
      <c r="BJ10" s="179"/>
      <c r="BK10" s="179"/>
      <c r="BL10" s="179"/>
      <c r="BM10" s="179"/>
      <c r="BN10" s="179"/>
      <c r="BO10" s="179"/>
      <c r="BP10" s="179"/>
      <c r="BQ10" s="179"/>
      <c r="BR10" s="179"/>
      <c r="BS10" s="179"/>
      <c r="BT10" s="179"/>
      <c r="BU10" s="179"/>
      <c r="BV10" s="179"/>
      <c r="BW10" s="179"/>
      <c r="BX10" s="179"/>
      <c r="BY10" s="179"/>
      <c r="BZ10" s="179"/>
      <c r="CA10" s="179"/>
      <c r="CB10" s="179"/>
      <c r="CC10" s="179"/>
      <c r="CD10" s="179"/>
      <c r="CE10" s="179"/>
      <c r="CF10" s="179"/>
      <c r="CG10" s="179"/>
      <c r="CH10" s="179"/>
      <c r="CI10" s="179"/>
      <c r="CJ10" s="179"/>
      <c r="CK10" s="179"/>
      <c r="CL10" s="179"/>
      <c r="CM10" s="179"/>
      <c r="CN10" s="179"/>
      <c r="CO10" s="179"/>
      <c r="CP10" s="179"/>
      <c r="CQ10" s="179"/>
      <c r="CR10" s="179"/>
      <c r="CS10" s="179"/>
      <c r="CT10" s="179"/>
      <c r="CU10" s="179"/>
      <c r="CV10" s="179"/>
      <c r="CW10" s="179"/>
    </row>
    <row r="11" spans="1:101" x14ac:dyDescent="0.2">
      <c r="A11" s="32" t="str">
        <f t="shared" ca="1" si="0"/>
        <v>2025-04-13</v>
      </c>
      <c r="B11" s="179">
        <f ca="1">IF(ISNUMBER(MATCH(DATEVALUE($A11),'changes1_based on steps'!B$1:B$400,0)),B$2,)</f>
        <v>0</v>
      </c>
      <c r="C11" s="179">
        <f ca="1">IF(ISNUMBER(MATCH(DATEVALUE($A11),'changes1_based on steps'!C$1:C$400,0)),C$2,)</f>
        <v>0</v>
      </c>
      <c r="D11" s="179">
        <f ca="1">IF(ISNUMBER(MATCH(DATEVALUE($A11),'changes1_based on steps'!D$1:D$400,0)),D$2,)</f>
        <v>0</v>
      </c>
      <c r="E11" s="179">
        <f ca="1">IF(ISNUMBER(MATCH(DATEVALUE($A11),'changes1_based on steps'!E$1:E$400,0)),E$2,)</f>
        <v>0</v>
      </c>
      <c r="F11" s="179">
        <f ca="1">IF(ISNUMBER(MATCH(DATEVALUE($A11),'changes1_based on steps'!F$1:F$400,0)),F$2,)</f>
        <v>0</v>
      </c>
      <c r="G11" s="179">
        <f ca="1">IF(ISNUMBER(MATCH(DATEVALUE($A11),'changes1_based on steps'!G$1:G$400,0)),G$2,)</f>
        <v>0</v>
      </c>
      <c r="H11" s="179">
        <f ca="1">IF(ISNUMBER(MATCH(DATEVALUE($A11),'changes1_based on steps'!H$1:H$400,0)),H$2,)</f>
        <v>0</v>
      </c>
      <c r="I11" s="179">
        <f ca="1">IF(ISNUMBER(MATCH(DATEVALUE($A11),'changes1_based on steps'!I$1:I$400,0)),I$2,)</f>
        <v>0</v>
      </c>
      <c r="J11" s="179">
        <f ca="1">IF(ISNUMBER(MATCH(DATEVALUE($A11),'changes1_based on steps'!J$1:J$400,0)),J$2,)</f>
        <v>0</v>
      </c>
      <c r="K11" s="179">
        <f ca="1">IF(ISNUMBER(MATCH(DATEVALUE($A11),'changes1_based on steps'!K$1:K$400,0)),K$2,)</f>
        <v>0</v>
      </c>
      <c r="L11" s="179">
        <f ca="1">IF(ISNUMBER(MATCH(DATEVALUE($A11),'changes1_based on steps'!L$1:L$400,0)),L$2,)</f>
        <v>0</v>
      </c>
      <c r="M11" s="179">
        <f ca="1">IF(ISNUMBER(MATCH(DATEVALUE($A11),'changes1_based on steps'!M$1:M$400,0)),M$2,)</f>
        <v>0</v>
      </c>
      <c r="N11" s="179">
        <f ca="1">IF(ISNUMBER(MATCH(DATEVALUE($A11),'changes1_based on steps'!N$1:N$400,0)),N$2,)</f>
        <v>0</v>
      </c>
      <c r="O11" s="179">
        <f ca="1">IF(ISNUMBER(MATCH(DATEVALUE($A11),'changes1_based on steps'!O$1:O$400,0)),O$2,)</f>
        <v>0</v>
      </c>
      <c r="P11" s="179">
        <f ca="1">IF(ISNUMBER(MATCH(DATEVALUE($A11),'changes1_based on steps'!P$1:P$400,0)),P$2,)</f>
        <v>0</v>
      </c>
      <c r="Q11" s="179">
        <f ca="1">IF(ISNUMBER(MATCH(DATEVALUE($A11),'changes1_based on steps'!Q$1:Q$400,0)),Q$2,)</f>
        <v>0</v>
      </c>
      <c r="R11" s="179">
        <f ca="1">IF(ISNUMBER(MATCH(DATEVALUE($A11),'changes1_based on steps'!R$1:R$400,0)),R$2,)</f>
        <v>0</v>
      </c>
      <c r="S11" s="179">
        <f ca="1">IF(ISNUMBER(MATCH(DATEVALUE($A11),'changes1_based on steps'!S$1:S$400,0)),S$2,)</f>
        <v>0</v>
      </c>
      <c r="T11" s="179">
        <f ca="1">IF(ISNUMBER(MATCH(DATEVALUE($A11),'changes1_based on steps'!T$1:T$400,0)),T$2,)</f>
        <v>0</v>
      </c>
      <c r="U11" s="179">
        <f ca="1">IF(ISNUMBER(MATCH(DATEVALUE($A11),'changes1_based on steps'!U$1:U$400,0)),U$2,)</f>
        <v>0</v>
      </c>
      <c r="V11" s="179"/>
      <c r="W11" s="179"/>
      <c r="X11" s="179"/>
      <c r="Y11" s="179"/>
      <c r="Z11" s="179"/>
      <c r="AA11" s="179"/>
      <c r="AB11" s="179"/>
      <c r="AC11" s="179"/>
      <c r="AD11" s="179"/>
      <c r="AE11" s="179"/>
      <c r="AF11" s="179"/>
      <c r="AG11" s="179"/>
      <c r="AH11" s="179"/>
      <c r="AI11" s="179"/>
      <c r="AJ11" s="179"/>
      <c r="AK11" s="179"/>
      <c r="AL11" s="179"/>
      <c r="AM11" s="179"/>
      <c r="AN11" s="179"/>
      <c r="AO11" s="179"/>
      <c r="AP11" s="179"/>
      <c r="AQ11" s="179"/>
      <c r="AR11" s="179"/>
      <c r="AS11" s="179"/>
      <c r="AT11" s="179"/>
      <c r="AU11" s="179"/>
      <c r="AV11" s="179"/>
      <c r="AW11" s="179"/>
      <c r="AX11" s="179"/>
      <c r="AY11" s="179"/>
      <c r="AZ11" s="179"/>
      <c r="BA11" s="179"/>
      <c r="BB11" s="179"/>
      <c r="BC11" s="179"/>
      <c r="BD11" s="179"/>
      <c r="BE11" s="179"/>
      <c r="BF11" s="179"/>
      <c r="BG11" s="179"/>
      <c r="BH11" s="179"/>
      <c r="BI11" s="179"/>
      <c r="BJ11" s="179"/>
      <c r="BK11" s="179"/>
      <c r="BL11" s="179"/>
      <c r="BM11" s="179"/>
      <c r="BN11" s="179"/>
      <c r="BO11" s="179"/>
      <c r="BP11" s="179"/>
      <c r="BQ11" s="179"/>
      <c r="BR11" s="179"/>
      <c r="BS11" s="179"/>
      <c r="BT11" s="179"/>
      <c r="BU11" s="179"/>
      <c r="BV11" s="179"/>
      <c r="BW11" s="179"/>
      <c r="BX11" s="179"/>
      <c r="BY11" s="179"/>
      <c r="BZ11" s="179"/>
      <c r="CA11" s="179"/>
      <c r="CB11" s="179"/>
      <c r="CC11" s="179"/>
      <c r="CD11" s="179"/>
      <c r="CE11" s="179"/>
      <c r="CF11" s="179"/>
      <c r="CG11" s="179"/>
      <c r="CH11" s="179"/>
      <c r="CI11" s="179"/>
      <c r="CJ11" s="179"/>
      <c r="CK11" s="179"/>
      <c r="CL11" s="179"/>
      <c r="CM11" s="179"/>
      <c r="CN11" s="179"/>
      <c r="CO11" s="179"/>
      <c r="CP11" s="179"/>
      <c r="CQ11" s="179"/>
      <c r="CR11" s="179"/>
      <c r="CS11" s="179"/>
      <c r="CT11" s="179"/>
      <c r="CU11" s="179"/>
      <c r="CV11" s="179"/>
      <c r="CW11" s="179"/>
    </row>
    <row r="12" spans="1:101" x14ac:dyDescent="0.2">
      <c r="A12" s="32" t="str">
        <f t="shared" ca="1" si="0"/>
        <v>2025-04-14</v>
      </c>
      <c r="B12" s="179">
        <f ca="1">IF(ISNUMBER(MATCH(DATEVALUE($A12),'changes1_based on steps'!B$1:B$400,0)),B$2,)</f>
        <v>0</v>
      </c>
      <c r="C12" s="179">
        <f ca="1">IF(ISNUMBER(MATCH(DATEVALUE($A12),'changes1_based on steps'!C$1:C$400,0)),C$2,)</f>
        <v>0</v>
      </c>
      <c r="D12" s="179">
        <f ca="1">IF(ISNUMBER(MATCH(DATEVALUE($A12),'changes1_based on steps'!D$1:D$400,0)),D$2,)</f>
        <v>0</v>
      </c>
      <c r="E12" s="179">
        <f ca="1">IF(ISNUMBER(MATCH(DATEVALUE($A12),'changes1_based on steps'!E$1:E$400,0)),E$2,)</f>
        <v>0</v>
      </c>
      <c r="F12" s="179">
        <f ca="1">IF(ISNUMBER(MATCH(DATEVALUE($A12),'changes1_based on steps'!F$1:F$400,0)),F$2,)</f>
        <v>0</v>
      </c>
      <c r="G12" s="179">
        <f ca="1">IF(ISNUMBER(MATCH(DATEVALUE($A12),'changes1_based on steps'!G$1:G$400,0)),G$2,)</f>
        <v>0</v>
      </c>
      <c r="H12" s="179">
        <f ca="1">IF(ISNUMBER(MATCH(DATEVALUE($A12),'changes1_based on steps'!H$1:H$400,0)),H$2,)</f>
        <v>0</v>
      </c>
      <c r="I12" s="179">
        <f ca="1">IF(ISNUMBER(MATCH(DATEVALUE($A12),'changes1_based on steps'!I$1:I$400,0)),I$2,)</f>
        <v>0</v>
      </c>
      <c r="J12" s="179">
        <f ca="1">IF(ISNUMBER(MATCH(DATEVALUE($A12),'changes1_based on steps'!J$1:J$400,0)),J$2,)</f>
        <v>0</v>
      </c>
      <c r="K12" s="179">
        <f ca="1">IF(ISNUMBER(MATCH(DATEVALUE($A12),'changes1_based on steps'!K$1:K$400,0)),K$2,)</f>
        <v>0</v>
      </c>
      <c r="L12" s="179">
        <f ca="1">IF(ISNUMBER(MATCH(DATEVALUE($A12),'changes1_based on steps'!L$1:L$400,0)),L$2,)</f>
        <v>0</v>
      </c>
      <c r="M12" s="179">
        <f ca="1">IF(ISNUMBER(MATCH(DATEVALUE($A12),'changes1_based on steps'!M$1:M$400,0)),M$2,)</f>
        <v>0</v>
      </c>
      <c r="N12" s="179">
        <f ca="1">IF(ISNUMBER(MATCH(DATEVALUE($A12),'changes1_based on steps'!N$1:N$400,0)),N$2,)</f>
        <v>0</v>
      </c>
      <c r="O12" s="179">
        <f ca="1">IF(ISNUMBER(MATCH(DATEVALUE($A12),'changes1_based on steps'!O$1:O$400,0)),O$2,)</f>
        <v>0</v>
      </c>
      <c r="P12" s="179">
        <f ca="1">IF(ISNUMBER(MATCH(DATEVALUE($A12),'changes1_based on steps'!P$1:P$400,0)),P$2,)</f>
        <v>0</v>
      </c>
      <c r="Q12" s="179">
        <f ca="1">IF(ISNUMBER(MATCH(DATEVALUE($A12),'changes1_based on steps'!Q$1:Q$400,0)),Q$2,)</f>
        <v>0</v>
      </c>
      <c r="R12" s="179">
        <f ca="1">IF(ISNUMBER(MATCH(DATEVALUE($A12),'changes1_based on steps'!R$1:R$400,0)),R$2,)</f>
        <v>0</v>
      </c>
      <c r="S12" s="179">
        <f ca="1">IF(ISNUMBER(MATCH(DATEVALUE($A12),'changes1_based on steps'!S$1:S$400,0)),S$2,)</f>
        <v>0</v>
      </c>
      <c r="T12" s="179">
        <f ca="1">IF(ISNUMBER(MATCH(DATEVALUE($A12),'changes1_based on steps'!T$1:T$400,0)),T$2,)</f>
        <v>0</v>
      </c>
      <c r="U12" s="179">
        <f ca="1">IF(ISNUMBER(MATCH(DATEVALUE($A12),'changes1_based on steps'!U$1:U$400,0)),U$2,)</f>
        <v>0</v>
      </c>
      <c r="V12" s="179"/>
      <c r="W12" s="179"/>
      <c r="X12" s="179"/>
      <c r="Y12" s="179"/>
      <c r="Z12" s="179"/>
      <c r="AA12" s="179"/>
      <c r="AB12" s="179"/>
      <c r="AC12" s="179"/>
      <c r="AD12" s="179"/>
      <c r="AE12" s="179"/>
      <c r="AF12" s="179"/>
      <c r="AG12" s="179"/>
      <c r="AH12" s="179"/>
      <c r="AI12" s="179"/>
      <c r="AJ12" s="179"/>
      <c r="AK12" s="179"/>
      <c r="AL12" s="179"/>
      <c r="AM12" s="179"/>
      <c r="AN12" s="179"/>
      <c r="AO12" s="179"/>
      <c r="AP12" s="179"/>
      <c r="AQ12" s="179"/>
      <c r="AR12" s="179"/>
      <c r="AS12" s="179"/>
      <c r="AT12" s="179"/>
      <c r="AU12" s="179"/>
      <c r="AV12" s="179"/>
      <c r="AW12" s="179"/>
      <c r="AX12" s="179"/>
      <c r="AY12" s="179"/>
      <c r="AZ12" s="179"/>
      <c r="BA12" s="179"/>
      <c r="BB12" s="179"/>
      <c r="BC12" s="179"/>
      <c r="BD12" s="179"/>
      <c r="BE12" s="179"/>
      <c r="BF12" s="179"/>
      <c r="BG12" s="179"/>
      <c r="BH12" s="179"/>
      <c r="BI12" s="179"/>
      <c r="BJ12" s="179"/>
      <c r="BK12" s="179"/>
      <c r="BL12" s="179"/>
      <c r="BM12" s="179"/>
      <c r="BN12" s="179"/>
      <c r="BO12" s="179"/>
      <c r="BP12" s="179"/>
      <c r="BQ12" s="179"/>
      <c r="BR12" s="179"/>
      <c r="BS12" s="179"/>
      <c r="BT12" s="179"/>
      <c r="BU12" s="179"/>
      <c r="BV12" s="179"/>
      <c r="BW12" s="179"/>
      <c r="BX12" s="179"/>
      <c r="BY12" s="179"/>
      <c r="BZ12" s="179"/>
      <c r="CA12" s="179"/>
      <c r="CB12" s="179"/>
      <c r="CC12" s="179"/>
      <c r="CD12" s="179"/>
      <c r="CE12" s="179"/>
      <c r="CF12" s="179"/>
      <c r="CG12" s="179"/>
      <c r="CH12" s="179"/>
      <c r="CI12" s="179"/>
      <c r="CJ12" s="179"/>
      <c r="CK12" s="179"/>
      <c r="CL12" s="179"/>
      <c r="CM12" s="179"/>
      <c r="CN12" s="179"/>
      <c r="CO12" s="179"/>
      <c r="CP12" s="179"/>
      <c r="CQ12" s="179"/>
      <c r="CR12" s="179"/>
      <c r="CS12" s="179"/>
      <c r="CT12" s="179"/>
      <c r="CU12" s="179"/>
      <c r="CV12" s="179"/>
      <c r="CW12" s="179"/>
    </row>
    <row r="13" spans="1:101" x14ac:dyDescent="0.2">
      <c r="A13" s="32" t="str">
        <f t="shared" ca="1" si="0"/>
        <v>2025-04-15</v>
      </c>
      <c r="B13" s="179">
        <f ca="1">IF(ISNUMBER(MATCH(DATEVALUE($A13),'changes1_based on steps'!B$1:B$400,0)),B$2,)</f>
        <v>0</v>
      </c>
      <c r="C13" s="179">
        <f ca="1">IF(ISNUMBER(MATCH(DATEVALUE($A13),'changes1_based on steps'!C$1:C$400,0)),C$2,)</f>
        <v>0</v>
      </c>
      <c r="D13" s="179">
        <f ca="1">IF(ISNUMBER(MATCH(DATEVALUE($A13),'changes1_based on steps'!D$1:D$400,0)),D$2,)</f>
        <v>0</v>
      </c>
      <c r="E13" s="179">
        <f ca="1">IF(ISNUMBER(MATCH(DATEVALUE($A13),'changes1_based on steps'!E$1:E$400,0)),E$2,)</f>
        <v>0</v>
      </c>
      <c r="F13" s="179">
        <f ca="1">IF(ISNUMBER(MATCH(DATEVALUE($A13),'changes1_based on steps'!F$1:F$400,0)),F$2,)</f>
        <v>0</v>
      </c>
      <c r="G13" s="179">
        <f ca="1">IF(ISNUMBER(MATCH(DATEVALUE($A13),'changes1_based on steps'!G$1:G$400,0)),G$2,)</f>
        <v>0</v>
      </c>
      <c r="H13" s="179">
        <f ca="1">IF(ISNUMBER(MATCH(DATEVALUE($A13),'changes1_based on steps'!H$1:H$400,0)),H$2,)</f>
        <v>0</v>
      </c>
      <c r="I13" s="179">
        <f ca="1">IF(ISNUMBER(MATCH(DATEVALUE($A13),'changes1_based on steps'!I$1:I$400,0)),I$2,)</f>
        <v>0</v>
      </c>
      <c r="J13" s="179">
        <f ca="1">IF(ISNUMBER(MATCH(DATEVALUE($A13),'changes1_based on steps'!J$1:J$400,0)),J$2,)</f>
        <v>0</v>
      </c>
      <c r="K13" s="179">
        <f ca="1">IF(ISNUMBER(MATCH(DATEVALUE($A13),'changes1_based on steps'!K$1:K$400,0)),K$2,)</f>
        <v>0</v>
      </c>
      <c r="L13" s="179">
        <f ca="1">IF(ISNUMBER(MATCH(DATEVALUE($A13),'changes1_based on steps'!L$1:L$400,0)),L$2,)</f>
        <v>0</v>
      </c>
      <c r="M13" s="179">
        <f ca="1">IF(ISNUMBER(MATCH(DATEVALUE($A13),'changes1_based on steps'!M$1:M$400,0)),M$2,)</f>
        <v>0</v>
      </c>
      <c r="N13" s="179">
        <f ca="1">IF(ISNUMBER(MATCH(DATEVALUE($A13),'changes1_based on steps'!N$1:N$400,0)),N$2,)</f>
        <v>0</v>
      </c>
      <c r="O13" s="179">
        <f ca="1">IF(ISNUMBER(MATCH(DATEVALUE($A13),'changes1_based on steps'!O$1:O$400,0)),O$2,)</f>
        <v>0</v>
      </c>
      <c r="P13" s="179">
        <f ca="1">IF(ISNUMBER(MATCH(DATEVALUE($A13),'changes1_based on steps'!P$1:P$400,0)),P$2,)</f>
        <v>0</v>
      </c>
      <c r="Q13" s="179">
        <f ca="1">IF(ISNUMBER(MATCH(DATEVALUE($A13),'changes1_based on steps'!Q$1:Q$400,0)),Q$2,)</f>
        <v>0</v>
      </c>
      <c r="R13" s="179">
        <f ca="1">IF(ISNUMBER(MATCH(DATEVALUE($A13),'changes1_based on steps'!R$1:R$400,0)),R$2,)</f>
        <v>0</v>
      </c>
      <c r="S13" s="179">
        <f ca="1">IF(ISNUMBER(MATCH(DATEVALUE($A13),'changes1_based on steps'!S$1:S$400,0)),S$2,)</f>
        <v>0</v>
      </c>
      <c r="T13" s="179">
        <f ca="1">IF(ISNUMBER(MATCH(DATEVALUE($A13),'changes1_based on steps'!T$1:T$400,0)),T$2,)</f>
        <v>0</v>
      </c>
      <c r="U13" s="179">
        <f ca="1">IF(ISNUMBER(MATCH(DATEVALUE($A13),'changes1_based on steps'!U$1:U$400,0)),U$2,)</f>
        <v>0</v>
      </c>
      <c r="V13" s="179"/>
      <c r="W13" s="179"/>
      <c r="X13" s="179"/>
      <c r="Y13" s="179"/>
      <c r="Z13" s="179"/>
      <c r="AA13" s="179"/>
      <c r="AB13" s="179"/>
      <c r="AC13" s="179"/>
      <c r="AD13" s="179"/>
      <c r="AE13" s="179"/>
      <c r="AF13" s="179"/>
      <c r="AG13" s="179"/>
      <c r="AH13" s="179"/>
      <c r="AI13" s="179"/>
      <c r="AJ13" s="179"/>
      <c r="AK13" s="179"/>
      <c r="AL13" s="179"/>
      <c r="AM13" s="179"/>
      <c r="AN13" s="179"/>
      <c r="AO13" s="179"/>
      <c r="AP13" s="179"/>
      <c r="AQ13" s="179"/>
      <c r="AR13" s="179"/>
      <c r="AS13" s="179"/>
      <c r="AT13" s="179"/>
      <c r="AU13" s="179"/>
      <c r="AV13" s="179"/>
      <c r="AW13" s="179"/>
      <c r="AX13" s="179"/>
      <c r="AY13" s="179"/>
      <c r="AZ13" s="179"/>
      <c r="BA13" s="179"/>
      <c r="BB13" s="179"/>
      <c r="BC13" s="179"/>
      <c r="BD13" s="179"/>
      <c r="BE13" s="179"/>
      <c r="BF13" s="179"/>
      <c r="BG13" s="179"/>
      <c r="BH13" s="179"/>
      <c r="BI13" s="179"/>
      <c r="BJ13" s="179"/>
      <c r="BK13" s="179"/>
      <c r="BL13" s="179"/>
      <c r="BM13" s="179"/>
      <c r="BN13" s="179"/>
      <c r="BO13" s="179"/>
      <c r="BP13" s="179"/>
      <c r="BQ13" s="179"/>
      <c r="BR13" s="179"/>
      <c r="BS13" s="179"/>
      <c r="BT13" s="179"/>
      <c r="BU13" s="179"/>
      <c r="BV13" s="179"/>
      <c r="BW13" s="179"/>
      <c r="BX13" s="179"/>
      <c r="BY13" s="179"/>
      <c r="BZ13" s="179"/>
      <c r="CA13" s="179"/>
      <c r="CB13" s="179"/>
      <c r="CC13" s="179"/>
      <c r="CD13" s="179"/>
      <c r="CE13" s="179"/>
      <c r="CF13" s="179"/>
      <c r="CG13" s="179"/>
      <c r="CH13" s="179"/>
      <c r="CI13" s="179"/>
      <c r="CJ13" s="179"/>
      <c r="CK13" s="179"/>
      <c r="CL13" s="179"/>
      <c r="CM13" s="179"/>
      <c r="CN13" s="179"/>
      <c r="CO13" s="179"/>
      <c r="CP13" s="179"/>
      <c r="CQ13" s="179"/>
      <c r="CR13" s="179"/>
      <c r="CS13" s="179"/>
      <c r="CT13" s="179"/>
      <c r="CU13" s="179"/>
      <c r="CV13" s="179"/>
      <c r="CW13" s="179"/>
    </row>
    <row r="14" spans="1:101" x14ac:dyDescent="0.2">
      <c r="A14" s="32" t="str">
        <f t="shared" ca="1" si="0"/>
        <v>2025-04-16</v>
      </c>
      <c r="B14" s="179">
        <f ca="1">IF(ISNUMBER(MATCH(DATEVALUE($A14),'changes1_based on steps'!B$1:B$400,0)),B$2,)</f>
        <v>0</v>
      </c>
      <c r="C14" s="179">
        <f ca="1">IF(ISNUMBER(MATCH(DATEVALUE($A14),'changes1_based on steps'!C$1:C$400,0)),C$2,)</f>
        <v>0</v>
      </c>
      <c r="D14" s="179">
        <f ca="1">IF(ISNUMBER(MATCH(DATEVALUE($A14),'changes1_based on steps'!D$1:D$400,0)),D$2,)</f>
        <v>0</v>
      </c>
      <c r="E14" s="179">
        <f ca="1">IF(ISNUMBER(MATCH(DATEVALUE($A14),'changes1_based on steps'!E$1:E$400,0)),E$2,)</f>
        <v>0</v>
      </c>
      <c r="F14" s="179">
        <f ca="1">IF(ISNUMBER(MATCH(DATEVALUE($A14),'changes1_based on steps'!F$1:F$400,0)),F$2,)</f>
        <v>0</v>
      </c>
      <c r="G14" s="179">
        <f ca="1">IF(ISNUMBER(MATCH(DATEVALUE($A14),'changes1_based on steps'!G$1:G$400,0)),G$2,)</f>
        <v>0</v>
      </c>
      <c r="H14" s="179">
        <f ca="1">IF(ISNUMBER(MATCH(DATEVALUE($A14),'changes1_based on steps'!H$1:H$400,0)),H$2,)</f>
        <v>0</v>
      </c>
      <c r="I14" s="179">
        <f ca="1">IF(ISNUMBER(MATCH(DATEVALUE($A14),'changes1_based on steps'!I$1:I$400,0)),I$2,)</f>
        <v>0</v>
      </c>
      <c r="J14" s="179">
        <f ca="1">IF(ISNUMBER(MATCH(DATEVALUE($A14),'changes1_based on steps'!J$1:J$400,0)),J$2,)</f>
        <v>0</v>
      </c>
      <c r="K14" s="179">
        <f ca="1">IF(ISNUMBER(MATCH(DATEVALUE($A14),'changes1_based on steps'!K$1:K$400,0)),K$2,)</f>
        <v>0</v>
      </c>
      <c r="L14" s="179">
        <f ca="1">IF(ISNUMBER(MATCH(DATEVALUE($A14),'changes1_based on steps'!L$1:L$400,0)),L$2,)</f>
        <v>0</v>
      </c>
      <c r="M14" s="179">
        <f ca="1">IF(ISNUMBER(MATCH(DATEVALUE($A14),'changes1_based on steps'!M$1:M$400,0)),M$2,)</f>
        <v>0</v>
      </c>
      <c r="N14" s="179">
        <f ca="1">IF(ISNUMBER(MATCH(DATEVALUE($A14),'changes1_based on steps'!N$1:N$400,0)),N$2,)</f>
        <v>0</v>
      </c>
      <c r="O14" s="179">
        <f ca="1">IF(ISNUMBER(MATCH(DATEVALUE($A14),'changes1_based on steps'!O$1:O$400,0)),O$2,)</f>
        <v>0</v>
      </c>
      <c r="P14" s="179">
        <f ca="1">IF(ISNUMBER(MATCH(DATEVALUE($A14),'changes1_based on steps'!P$1:P$400,0)),P$2,)</f>
        <v>0</v>
      </c>
      <c r="Q14" s="179">
        <f ca="1">IF(ISNUMBER(MATCH(DATEVALUE($A14),'changes1_based on steps'!Q$1:Q$400,0)),Q$2,)</f>
        <v>0</v>
      </c>
      <c r="R14" s="179">
        <f ca="1">IF(ISNUMBER(MATCH(DATEVALUE($A14),'changes1_based on steps'!R$1:R$400,0)),R$2,)</f>
        <v>0</v>
      </c>
      <c r="S14" s="179">
        <f ca="1">IF(ISNUMBER(MATCH(DATEVALUE($A14),'changes1_based on steps'!S$1:S$400,0)),S$2,)</f>
        <v>0</v>
      </c>
      <c r="T14" s="179">
        <f ca="1">IF(ISNUMBER(MATCH(DATEVALUE($A14),'changes1_based on steps'!T$1:T$400,0)),T$2,)</f>
        <v>0</v>
      </c>
      <c r="U14" s="179">
        <f ca="1">IF(ISNUMBER(MATCH(DATEVALUE($A14),'changes1_based on steps'!U$1:U$400,0)),U$2,)</f>
        <v>0</v>
      </c>
      <c r="V14" s="179"/>
      <c r="W14" s="179"/>
      <c r="X14" s="179"/>
      <c r="Y14" s="179"/>
      <c r="Z14" s="179"/>
      <c r="AA14" s="179"/>
      <c r="AB14" s="179"/>
      <c r="AC14" s="179"/>
      <c r="AD14" s="179"/>
      <c r="AE14" s="179"/>
      <c r="AF14" s="179"/>
      <c r="AG14" s="179"/>
      <c r="AH14" s="179"/>
      <c r="AI14" s="179"/>
      <c r="AJ14" s="179"/>
      <c r="AK14" s="179"/>
      <c r="AL14" s="179"/>
      <c r="AM14" s="179"/>
      <c r="AN14" s="179"/>
      <c r="AO14" s="179"/>
      <c r="AP14" s="179"/>
      <c r="AQ14" s="179"/>
      <c r="AR14" s="179"/>
      <c r="AS14" s="179"/>
      <c r="AT14" s="179"/>
      <c r="AU14" s="179"/>
      <c r="AV14" s="179"/>
      <c r="AW14" s="179"/>
      <c r="AX14" s="179"/>
      <c r="AY14" s="179"/>
      <c r="AZ14" s="179"/>
      <c r="BA14" s="179"/>
      <c r="BB14" s="179"/>
      <c r="BC14" s="179"/>
      <c r="BD14" s="179"/>
      <c r="BE14" s="179"/>
      <c r="BF14" s="179"/>
      <c r="BG14" s="179"/>
      <c r="BH14" s="179"/>
      <c r="BI14" s="179"/>
      <c r="BJ14" s="179"/>
      <c r="BK14" s="179"/>
      <c r="BL14" s="179"/>
      <c r="BM14" s="179"/>
      <c r="BN14" s="179"/>
      <c r="BO14" s="179"/>
      <c r="BP14" s="179"/>
      <c r="BQ14" s="179"/>
      <c r="BR14" s="179"/>
      <c r="BS14" s="179"/>
      <c r="BT14" s="179"/>
      <c r="BU14" s="179"/>
      <c r="BV14" s="179"/>
      <c r="BW14" s="179"/>
      <c r="BX14" s="179"/>
      <c r="BY14" s="179"/>
      <c r="BZ14" s="179"/>
      <c r="CA14" s="179"/>
      <c r="CB14" s="179"/>
      <c r="CC14" s="179"/>
      <c r="CD14" s="179"/>
      <c r="CE14" s="179"/>
      <c r="CF14" s="179"/>
      <c r="CG14" s="179"/>
      <c r="CH14" s="179"/>
      <c r="CI14" s="179"/>
      <c r="CJ14" s="179"/>
      <c r="CK14" s="179"/>
      <c r="CL14" s="179"/>
      <c r="CM14" s="179"/>
      <c r="CN14" s="179"/>
      <c r="CO14" s="179"/>
      <c r="CP14" s="179"/>
      <c r="CQ14" s="179"/>
      <c r="CR14" s="179"/>
      <c r="CS14" s="179"/>
      <c r="CT14" s="179"/>
      <c r="CU14" s="179"/>
      <c r="CV14" s="179"/>
      <c r="CW14" s="179"/>
    </row>
    <row r="15" spans="1:101" x14ac:dyDescent="0.2">
      <c r="A15" s="32" t="str">
        <f t="shared" ca="1" si="0"/>
        <v>2025-04-17</v>
      </c>
      <c r="B15" s="179">
        <f ca="1">IF(ISNUMBER(MATCH(DATEVALUE($A15),'changes1_based on steps'!B$1:B$400,0)),B$2,)</f>
        <v>0</v>
      </c>
      <c r="C15" s="179">
        <f ca="1">IF(ISNUMBER(MATCH(DATEVALUE($A15),'changes1_based on steps'!C$1:C$400,0)),C$2,)</f>
        <v>0</v>
      </c>
      <c r="D15" s="179">
        <f ca="1">IF(ISNUMBER(MATCH(DATEVALUE($A15),'changes1_based on steps'!D$1:D$400,0)),D$2,)</f>
        <v>0</v>
      </c>
      <c r="E15" s="179">
        <f ca="1">IF(ISNUMBER(MATCH(DATEVALUE($A15),'changes1_based on steps'!E$1:E$400,0)),E$2,)</f>
        <v>0</v>
      </c>
      <c r="F15" s="179">
        <f ca="1">IF(ISNUMBER(MATCH(DATEVALUE($A15),'changes1_based on steps'!F$1:F$400,0)),F$2,)</f>
        <v>0</v>
      </c>
      <c r="G15" s="179">
        <f ca="1">IF(ISNUMBER(MATCH(DATEVALUE($A15),'changes1_based on steps'!G$1:G$400,0)),G$2,)</f>
        <v>0</v>
      </c>
      <c r="H15" s="179">
        <f ca="1">IF(ISNUMBER(MATCH(DATEVALUE($A15),'changes1_based on steps'!H$1:H$400,0)),H$2,)</f>
        <v>0</v>
      </c>
      <c r="I15" s="179">
        <f ca="1">IF(ISNUMBER(MATCH(DATEVALUE($A15),'changes1_based on steps'!I$1:I$400,0)),I$2,)</f>
        <v>0</v>
      </c>
      <c r="J15" s="179">
        <f ca="1">IF(ISNUMBER(MATCH(DATEVALUE($A15),'changes1_based on steps'!J$1:J$400,0)),J$2,)</f>
        <v>0</v>
      </c>
      <c r="K15" s="179">
        <f ca="1">IF(ISNUMBER(MATCH(DATEVALUE($A15),'changes1_based on steps'!K$1:K$400,0)),K$2,)</f>
        <v>0</v>
      </c>
      <c r="L15" s="179">
        <f ca="1">IF(ISNUMBER(MATCH(DATEVALUE($A15),'changes1_based on steps'!L$1:L$400,0)),L$2,)</f>
        <v>0</v>
      </c>
      <c r="M15" s="179">
        <f ca="1">IF(ISNUMBER(MATCH(DATEVALUE($A15),'changes1_based on steps'!M$1:M$400,0)),M$2,)</f>
        <v>0</v>
      </c>
      <c r="N15" s="179">
        <f ca="1">IF(ISNUMBER(MATCH(DATEVALUE($A15),'changes1_based on steps'!N$1:N$400,0)),N$2,)</f>
        <v>0</v>
      </c>
      <c r="O15" s="179">
        <f ca="1">IF(ISNUMBER(MATCH(DATEVALUE($A15),'changes1_based on steps'!O$1:O$400,0)),O$2,)</f>
        <v>0</v>
      </c>
      <c r="P15" s="179">
        <f ca="1">IF(ISNUMBER(MATCH(DATEVALUE($A15),'changes1_based on steps'!P$1:P$400,0)),P$2,)</f>
        <v>0</v>
      </c>
      <c r="Q15" s="179">
        <f ca="1">IF(ISNUMBER(MATCH(DATEVALUE($A15),'changes1_based on steps'!Q$1:Q$400,0)),Q$2,)</f>
        <v>0</v>
      </c>
      <c r="R15" s="179">
        <f ca="1">IF(ISNUMBER(MATCH(DATEVALUE($A15),'changes1_based on steps'!R$1:R$400,0)),R$2,)</f>
        <v>0</v>
      </c>
      <c r="S15" s="179">
        <f ca="1">IF(ISNUMBER(MATCH(DATEVALUE($A15),'changes1_based on steps'!S$1:S$400,0)),S$2,)</f>
        <v>0</v>
      </c>
      <c r="T15" s="179">
        <f ca="1">IF(ISNUMBER(MATCH(DATEVALUE($A15),'changes1_based on steps'!T$1:T$400,0)),T$2,)</f>
        <v>0</v>
      </c>
      <c r="U15" s="179">
        <f ca="1">IF(ISNUMBER(MATCH(DATEVALUE($A15),'changes1_based on steps'!U$1:U$400,0)),U$2,)</f>
        <v>0</v>
      </c>
      <c r="V15" s="179"/>
      <c r="W15" s="179"/>
      <c r="X15" s="179"/>
      <c r="Y15" s="179"/>
      <c r="Z15" s="179"/>
      <c r="AA15" s="179"/>
      <c r="AB15" s="179"/>
      <c r="AC15" s="179"/>
      <c r="AD15" s="179"/>
      <c r="AE15" s="179"/>
      <c r="AF15" s="179"/>
      <c r="AG15" s="179"/>
      <c r="AH15" s="179"/>
      <c r="AI15" s="179"/>
      <c r="AJ15" s="179"/>
      <c r="AK15" s="179"/>
      <c r="AL15" s="179"/>
      <c r="AM15" s="179"/>
      <c r="AN15" s="179"/>
      <c r="AO15" s="179"/>
      <c r="AP15" s="179"/>
      <c r="AQ15" s="179"/>
      <c r="AR15" s="179"/>
      <c r="AS15" s="179"/>
      <c r="AT15" s="179"/>
      <c r="AU15" s="179"/>
      <c r="AV15" s="179"/>
      <c r="AW15" s="179"/>
      <c r="AX15" s="179"/>
      <c r="AY15" s="179"/>
      <c r="AZ15" s="179"/>
      <c r="BA15" s="179"/>
      <c r="BB15" s="179"/>
      <c r="BC15" s="179"/>
      <c r="BD15" s="179"/>
      <c r="BE15" s="179"/>
      <c r="BF15" s="179"/>
      <c r="BG15" s="179"/>
      <c r="BH15" s="179"/>
      <c r="BI15" s="179"/>
      <c r="BJ15" s="179"/>
      <c r="BK15" s="179"/>
      <c r="BL15" s="179"/>
      <c r="BM15" s="179"/>
      <c r="BN15" s="179"/>
      <c r="BO15" s="179"/>
      <c r="BP15" s="179"/>
      <c r="BQ15" s="179"/>
      <c r="BR15" s="179"/>
      <c r="BS15" s="179"/>
      <c r="BT15" s="179"/>
      <c r="BU15" s="179"/>
      <c r="BV15" s="179"/>
      <c r="BW15" s="179"/>
      <c r="BX15" s="179"/>
      <c r="BY15" s="179"/>
      <c r="BZ15" s="179"/>
      <c r="CA15" s="179"/>
      <c r="CB15" s="179"/>
      <c r="CC15" s="179"/>
      <c r="CD15" s="179"/>
      <c r="CE15" s="179"/>
      <c r="CF15" s="179"/>
      <c r="CG15" s="179"/>
      <c r="CH15" s="179"/>
      <c r="CI15" s="179"/>
      <c r="CJ15" s="179"/>
      <c r="CK15" s="179"/>
      <c r="CL15" s="179"/>
      <c r="CM15" s="179"/>
      <c r="CN15" s="179"/>
      <c r="CO15" s="179"/>
      <c r="CP15" s="179"/>
      <c r="CQ15" s="179"/>
      <c r="CR15" s="179"/>
      <c r="CS15" s="179"/>
      <c r="CT15" s="179"/>
      <c r="CU15" s="179"/>
      <c r="CV15" s="179"/>
      <c r="CW15" s="179"/>
    </row>
    <row r="16" spans="1:101" x14ac:dyDescent="0.2">
      <c r="A16" s="32" t="str">
        <f t="shared" ca="1" si="0"/>
        <v>2025-04-18</v>
      </c>
      <c r="B16" s="179">
        <f ca="1">IF(ISNUMBER(MATCH(DATEVALUE($A16),'changes1_based on steps'!B$1:B$400,0)),B$2,)</f>
        <v>0</v>
      </c>
      <c r="C16" s="179">
        <f ca="1">IF(ISNUMBER(MATCH(DATEVALUE($A16),'changes1_based on steps'!C$1:C$400,0)),C$2,)</f>
        <v>0</v>
      </c>
      <c r="D16" s="179">
        <f ca="1">IF(ISNUMBER(MATCH(DATEVALUE($A16),'changes1_based on steps'!D$1:D$400,0)),D$2,)</f>
        <v>0</v>
      </c>
      <c r="E16" s="179">
        <f ca="1">IF(ISNUMBER(MATCH(DATEVALUE($A16),'changes1_based on steps'!E$1:E$400,0)),E$2,)</f>
        <v>0</v>
      </c>
      <c r="F16" s="179">
        <f ca="1">IF(ISNUMBER(MATCH(DATEVALUE($A16),'changes1_based on steps'!F$1:F$400,0)),F$2,)</f>
        <v>0</v>
      </c>
      <c r="G16" s="179">
        <f ca="1">IF(ISNUMBER(MATCH(DATEVALUE($A16),'changes1_based on steps'!G$1:G$400,0)),G$2,)</f>
        <v>0</v>
      </c>
      <c r="H16" s="179">
        <f ca="1">IF(ISNUMBER(MATCH(DATEVALUE($A16),'changes1_based on steps'!H$1:H$400,0)),H$2,)</f>
        <v>0</v>
      </c>
      <c r="I16" s="179">
        <f ca="1">IF(ISNUMBER(MATCH(DATEVALUE($A16),'changes1_based on steps'!I$1:I$400,0)),I$2,)</f>
        <v>0</v>
      </c>
      <c r="J16" s="179">
        <f ca="1">IF(ISNUMBER(MATCH(DATEVALUE($A16),'changes1_based on steps'!J$1:J$400,0)),J$2,)</f>
        <v>0</v>
      </c>
      <c r="K16" s="179">
        <f ca="1">IF(ISNUMBER(MATCH(DATEVALUE($A16),'changes1_based on steps'!K$1:K$400,0)),K$2,)</f>
        <v>0</v>
      </c>
      <c r="L16" s="179">
        <f ca="1">IF(ISNUMBER(MATCH(DATEVALUE($A16),'changes1_based on steps'!L$1:L$400,0)),L$2,)</f>
        <v>0</v>
      </c>
      <c r="M16" s="179">
        <f ca="1">IF(ISNUMBER(MATCH(DATEVALUE($A16),'changes1_based on steps'!M$1:M$400,0)),M$2,)</f>
        <v>0</v>
      </c>
      <c r="N16" s="179">
        <f ca="1">IF(ISNUMBER(MATCH(DATEVALUE($A16),'changes1_based on steps'!N$1:N$400,0)),N$2,)</f>
        <v>0</v>
      </c>
      <c r="O16" s="179">
        <f ca="1">IF(ISNUMBER(MATCH(DATEVALUE($A16),'changes1_based on steps'!O$1:O$400,0)),O$2,)</f>
        <v>0</v>
      </c>
      <c r="P16" s="179">
        <f ca="1">IF(ISNUMBER(MATCH(DATEVALUE($A16),'changes1_based on steps'!P$1:P$400,0)),P$2,)</f>
        <v>0</v>
      </c>
      <c r="Q16" s="179">
        <f ca="1">IF(ISNUMBER(MATCH(DATEVALUE($A16),'changes1_based on steps'!Q$1:Q$400,0)),Q$2,)</f>
        <v>0</v>
      </c>
      <c r="R16" s="179">
        <f ca="1">IF(ISNUMBER(MATCH(DATEVALUE($A16),'changes1_based on steps'!R$1:R$400,0)),R$2,)</f>
        <v>0</v>
      </c>
      <c r="S16" s="179">
        <f ca="1">IF(ISNUMBER(MATCH(DATEVALUE($A16),'changes1_based on steps'!S$1:S$400,0)),S$2,)</f>
        <v>0</v>
      </c>
      <c r="T16" s="179">
        <f ca="1">IF(ISNUMBER(MATCH(DATEVALUE($A16),'changes1_based on steps'!T$1:T$400,0)),T$2,)</f>
        <v>0</v>
      </c>
      <c r="U16" s="179">
        <f ca="1">IF(ISNUMBER(MATCH(DATEVALUE($A16),'changes1_based on steps'!U$1:U$400,0)),U$2,)</f>
        <v>0</v>
      </c>
      <c r="V16" s="179"/>
      <c r="W16" s="179"/>
      <c r="X16" s="179"/>
      <c r="Y16" s="179"/>
      <c r="Z16" s="179"/>
      <c r="AA16" s="179"/>
      <c r="AB16" s="179"/>
      <c r="AC16" s="179"/>
      <c r="AD16" s="179"/>
      <c r="AE16" s="179"/>
      <c r="AF16" s="179"/>
      <c r="AG16" s="179"/>
      <c r="AH16" s="179"/>
      <c r="AI16" s="179"/>
      <c r="AJ16" s="179"/>
      <c r="AK16" s="179"/>
      <c r="AL16" s="179"/>
      <c r="AM16" s="179"/>
      <c r="AN16" s="179"/>
      <c r="AO16" s="179"/>
      <c r="AP16" s="179"/>
      <c r="AQ16" s="179"/>
      <c r="AR16" s="179"/>
      <c r="AS16" s="179"/>
      <c r="AT16" s="179"/>
      <c r="AU16" s="179"/>
      <c r="AV16" s="179"/>
      <c r="AW16" s="179"/>
      <c r="AX16" s="179"/>
      <c r="AY16" s="179"/>
      <c r="AZ16" s="179"/>
      <c r="BA16" s="179"/>
      <c r="BB16" s="179"/>
      <c r="BC16" s="179"/>
      <c r="BD16" s="179"/>
      <c r="BE16" s="179"/>
      <c r="BF16" s="179"/>
      <c r="BG16" s="179"/>
      <c r="BH16" s="179"/>
      <c r="BI16" s="179"/>
      <c r="BJ16" s="179"/>
      <c r="BK16" s="179"/>
      <c r="BL16" s="179"/>
      <c r="BM16" s="179"/>
      <c r="BN16" s="179"/>
      <c r="BO16" s="179"/>
      <c r="BP16" s="179"/>
      <c r="BQ16" s="179"/>
      <c r="BR16" s="179"/>
      <c r="BS16" s="179"/>
      <c r="BT16" s="179"/>
      <c r="BU16" s="179"/>
      <c r="BV16" s="179"/>
      <c r="BW16" s="179"/>
      <c r="BX16" s="179"/>
      <c r="BY16" s="179"/>
      <c r="BZ16" s="179"/>
      <c r="CA16" s="179"/>
      <c r="CB16" s="179"/>
      <c r="CC16" s="179"/>
      <c r="CD16" s="179"/>
      <c r="CE16" s="179"/>
      <c r="CF16" s="179"/>
      <c r="CG16" s="179"/>
      <c r="CH16" s="179"/>
      <c r="CI16" s="179"/>
      <c r="CJ16" s="179"/>
      <c r="CK16" s="179"/>
      <c r="CL16" s="179"/>
      <c r="CM16" s="179"/>
      <c r="CN16" s="179"/>
      <c r="CO16" s="179"/>
      <c r="CP16" s="179"/>
      <c r="CQ16" s="179"/>
      <c r="CR16" s="179"/>
      <c r="CS16" s="179"/>
      <c r="CT16" s="179"/>
      <c r="CU16" s="179"/>
      <c r="CV16" s="179"/>
      <c r="CW16" s="179"/>
    </row>
    <row r="17" spans="1:101" x14ac:dyDescent="0.2">
      <c r="A17" s="32" t="str">
        <f t="shared" ca="1" si="0"/>
        <v>2025-04-19</v>
      </c>
      <c r="B17" s="179">
        <f ca="1">IF(ISNUMBER(MATCH(DATEVALUE($A17),'changes1_based on steps'!B$1:B$400,0)),B$2,)</f>
        <v>0</v>
      </c>
      <c r="C17" s="179">
        <f ca="1">IF(ISNUMBER(MATCH(DATEVALUE($A17),'changes1_based on steps'!C$1:C$400,0)),C$2,)</f>
        <v>0</v>
      </c>
      <c r="D17" s="179">
        <f ca="1">IF(ISNUMBER(MATCH(DATEVALUE($A17),'changes1_based on steps'!D$1:D$400,0)),D$2,)</f>
        <v>0</v>
      </c>
      <c r="E17" s="179">
        <f ca="1">IF(ISNUMBER(MATCH(DATEVALUE($A17),'changes1_based on steps'!E$1:E$400,0)),E$2,)</f>
        <v>0</v>
      </c>
      <c r="F17" s="179">
        <f ca="1">IF(ISNUMBER(MATCH(DATEVALUE($A17),'changes1_based on steps'!F$1:F$400,0)),F$2,)</f>
        <v>0</v>
      </c>
      <c r="G17" s="179">
        <f ca="1">IF(ISNUMBER(MATCH(DATEVALUE($A17),'changes1_based on steps'!G$1:G$400,0)),G$2,)</f>
        <v>0</v>
      </c>
      <c r="H17" s="179">
        <f ca="1">IF(ISNUMBER(MATCH(DATEVALUE($A17),'changes1_based on steps'!H$1:H$400,0)),H$2,)</f>
        <v>0</v>
      </c>
      <c r="I17" s="179">
        <f ca="1">IF(ISNUMBER(MATCH(DATEVALUE($A17),'changes1_based on steps'!I$1:I$400,0)),I$2,)</f>
        <v>0</v>
      </c>
      <c r="J17" s="179">
        <f ca="1">IF(ISNUMBER(MATCH(DATEVALUE($A17),'changes1_based on steps'!J$1:J$400,0)),J$2,)</f>
        <v>0</v>
      </c>
      <c r="K17" s="179">
        <f ca="1">IF(ISNUMBER(MATCH(DATEVALUE($A17),'changes1_based on steps'!K$1:K$400,0)),K$2,)</f>
        <v>0</v>
      </c>
      <c r="L17" s="179">
        <f ca="1">IF(ISNUMBER(MATCH(DATEVALUE($A17),'changes1_based on steps'!L$1:L$400,0)),L$2,)</f>
        <v>0</v>
      </c>
      <c r="M17" s="179">
        <f ca="1">IF(ISNUMBER(MATCH(DATEVALUE($A17),'changes1_based on steps'!M$1:M$400,0)),M$2,)</f>
        <v>0</v>
      </c>
      <c r="N17" s="179">
        <f ca="1">IF(ISNUMBER(MATCH(DATEVALUE($A17),'changes1_based on steps'!N$1:N$400,0)),N$2,)</f>
        <v>0</v>
      </c>
      <c r="O17" s="179">
        <f ca="1">IF(ISNUMBER(MATCH(DATEVALUE($A17),'changes1_based on steps'!O$1:O$400,0)),O$2,)</f>
        <v>0</v>
      </c>
      <c r="P17" s="179">
        <f ca="1">IF(ISNUMBER(MATCH(DATEVALUE($A17),'changes1_based on steps'!P$1:P$400,0)),P$2,)</f>
        <v>0</v>
      </c>
      <c r="Q17" s="179">
        <f ca="1">IF(ISNUMBER(MATCH(DATEVALUE($A17),'changes1_based on steps'!Q$1:Q$400,0)),Q$2,)</f>
        <v>0</v>
      </c>
      <c r="R17" s="179">
        <f ca="1">IF(ISNUMBER(MATCH(DATEVALUE($A17),'changes1_based on steps'!R$1:R$400,0)),R$2,)</f>
        <v>0</v>
      </c>
      <c r="S17" s="179">
        <f ca="1">IF(ISNUMBER(MATCH(DATEVALUE($A17),'changes1_based on steps'!S$1:S$400,0)),S$2,)</f>
        <v>0</v>
      </c>
      <c r="T17" s="179">
        <f ca="1">IF(ISNUMBER(MATCH(DATEVALUE($A17),'changes1_based on steps'!T$1:T$400,0)),T$2,)</f>
        <v>0</v>
      </c>
      <c r="U17" s="179">
        <f ca="1">IF(ISNUMBER(MATCH(DATEVALUE($A17),'changes1_based on steps'!U$1:U$400,0)),U$2,)</f>
        <v>0</v>
      </c>
      <c r="V17" s="179"/>
      <c r="W17" s="179"/>
      <c r="X17" s="179"/>
      <c r="Y17" s="179"/>
      <c r="Z17" s="179"/>
      <c r="AA17" s="179"/>
      <c r="AB17" s="179"/>
      <c r="AC17" s="179"/>
      <c r="AD17" s="179"/>
      <c r="AE17" s="179"/>
      <c r="AF17" s="179"/>
      <c r="AG17" s="179"/>
      <c r="AH17" s="179"/>
      <c r="AI17" s="179"/>
      <c r="AJ17" s="179"/>
      <c r="AK17" s="179"/>
      <c r="AL17" s="179"/>
      <c r="AM17" s="179"/>
      <c r="AN17" s="179"/>
      <c r="AO17" s="179"/>
      <c r="AP17" s="179"/>
      <c r="AQ17" s="179"/>
      <c r="AR17" s="179"/>
      <c r="AS17" s="179"/>
      <c r="AT17" s="179"/>
      <c r="AU17" s="179"/>
      <c r="AV17" s="179"/>
      <c r="AW17" s="179"/>
      <c r="AX17" s="179"/>
      <c r="AY17" s="179"/>
      <c r="AZ17" s="179"/>
      <c r="BA17" s="179"/>
      <c r="BB17" s="179"/>
      <c r="BC17" s="179"/>
      <c r="BD17" s="179"/>
      <c r="BE17" s="179"/>
      <c r="BF17" s="179"/>
      <c r="BG17" s="179"/>
      <c r="BH17" s="179"/>
      <c r="BI17" s="179"/>
      <c r="BJ17" s="179"/>
      <c r="BK17" s="179"/>
      <c r="BL17" s="179"/>
      <c r="BM17" s="179"/>
      <c r="BN17" s="179"/>
      <c r="BO17" s="179"/>
      <c r="BP17" s="179"/>
      <c r="BQ17" s="179"/>
      <c r="BR17" s="179"/>
      <c r="BS17" s="179"/>
      <c r="BT17" s="179"/>
      <c r="BU17" s="179"/>
      <c r="BV17" s="179"/>
      <c r="BW17" s="179"/>
      <c r="BX17" s="179"/>
      <c r="BY17" s="179"/>
      <c r="BZ17" s="179"/>
      <c r="CA17" s="179"/>
      <c r="CB17" s="179"/>
      <c r="CC17" s="179"/>
      <c r="CD17" s="179"/>
      <c r="CE17" s="179"/>
      <c r="CF17" s="179"/>
      <c r="CG17" s="179"/>
      <c r="CH17" s="179"/>
      <c r="CI17" s="179"/>
      <c r="CJ17" s="179"/>
      <c r="CK17" s="179"/>
      <c r="CL17" s="179"/>
      <c r="CM17" s="179"/>
      <c r="CN17" s="179"/>
      <c r="CO17" s="179"/>
      <c r="CP17" s="179"/>
      <c r="CQ17" s="179"/>
      <c r="CR17" s="179"/>
      <c r="CS17" s="179"/>
      <c r="CT17" s="179"/>
      <c r="CU17" s="179"/>
      <c r="CV17" s="179"/>
      <c r="CW17" s="179"/>
    </row>
    <row r="18" spans="1:101" x14ac:dyDescent="0.2">
      <c r="A18" s="32" t="str">
        <f t="shared" ca="1" si="0"/>
        <v>2025-04-20</v>
      </c>
      <c r="B18" s="179">
        <f ca="1">IF(ISNUMBER(MATCH(DATEVALUE($A18),'changes1_based on steps'!B$1:B$400,0)),B$2,)</f>
        <v>0</v>
      </c>
      <c r="C18" s="179">
        <f ca="1">IF(ISNUMBER(MATCH(DATEVALUE($A18),'changes1_based on steps'!C$1:C$400,0)),C$2,)</f>
        <v>0</v>
      </c>
      <c r="D18" s="179">
        <f ca="1">IF(ISNUMBER(MATCH(DATEVALUE($A18),'changes1_based on steps'!D$1:D$400,0)),D$2,)</f>
        <v>0</v>
      </c>
      <c r="E18" s="179">
        <f ca="1">IF(ISNUMBER(MATCH(DATEVALUE($A18),'changes1_based on steps'!E$1:E$400,0)),E$2,)</f>
        <v>0</v>
      </c>
      <c r="F18" s="179">
        <f ca="1">IF(ISNUMBER(MATCH(DATEVALUE($A18),'changes1_based on steps'!F$1:F$400,0)),F$2,)</f>
        <v>0</v>
      </c>
      <c r="G18" s="179">
        <f ca="1">IF(ISNUMBER(MATCH(DATEVALUE($A18),'changes1_based on steps'!G$1:G$400,0)),G$2,)</f>
        <v>0</v>
      </c>
      <c r="H18" s="179">
        <f ca="1">IF(ISNUMBER(MATCH(DATEVALUE($A18),'changes1_based on steps'!H$1:H$400,0)),H$2,)</f>
        <v>0</v>
      </c>
      <c r="I18" s="179">
        <f ca="1">IF(ISNUMBER(MATCH(DATEVALUE($A18),'changes1_based on steps'!I$1:I$400,0)),I$2,)</f>
        <v>0</v>
      </c>
      <c r="J18" s="179">
        <f ca="1">IF(ISNUMBER(MATCH(DATEVALUE($A18),'changes1_based on steps'!J$1:J$400,0)),J$2,)</f>
        <v>0</v>
      </c>
      <c r="K18" s="179">
        <f ca="1">IF(ISNUMBER(MATCH(DATEVALUE($A18),'changes1_based on steps'!K$1:K$400,0)),K$2,)</f>
        <v>0</v>
      </c>
      <c r="L18" s="179">
        <f ca="1">IF(ISNUMBER(MATCH(DATEVALUE($A18),'changes1_based on steps'!L$1:L$400,0)),L$2,)</f>
        <v>0</v>
      </c>
      <c r="M18" s="179">
        <f ca="1">IF(ISNUMBER(MATCH(DATEVALUE($A18),'changes1_based on steps'!M$1:M$400,0)),M$2,)</f>
        <v>0</v>
      </c>
      <c r="N18" s="179">
        <f ca="1">IF(ISNUMBER(MATCH(DATEVALUE($A18),'changes1_based on steps'!N$1:N$400,0)),N$2,)</f>
        <v>0</v>
      </c>
      <c r="O18" s="179">
        <f ca="1">IF(ISNUMBER(MATCH(DATEVALUE($A18),'changes1_based on steps'!O$1:O$400,0)),O$2,)</f>
        <v>0</v>
      </c>
      <c r="P18" s="179">
        <f ca="1">IF(ISNUMBER(MATCH(DATEVALUE($A18),'changes1_based on steps'!P$1:P$400,0)),P$2,)</f>
        <v>0</v>
      </c>
      <c r="Q18" s="179">
        <f ca="1">IF(ISNUMBER(MATCH(DATEVALUE($A18),'changes1_based on steps'!Q$1:Q$400,0)),Q$2,)</f>
        <v>0</v>
      </c>
      <c r="R18" s="179">
        <f ca="1">IF(ISNUMBER(MATCH(DATEVALUE($A18),'changes1_based on steps'!R$1:R$400,0)),R$2,)</f>
        <v>0</v>
      </c>
      <c r="S18" s="179">
        <f ca="1">IF(ISNUMBER(MATCH(DATEVALUE($A18),'changes1_based on steps'!S$1:S$400,0)),S$2,)</f>
        <v>0</v>
      </c>
      <c r="T18" s="179">
        <f ca="1">IF(ISNUMBER(MATCH(DATEVALUE($A18),'changes1_based on steps'!T$1:T$400,0)),T$2,)</f>
        <v>0</v>
      </c>
      <c r="U18" s="179">
        <f ca="1">IF(ISNUMBER(MATCH(DATEVALUE($A18),'changes1_based on steps'!U$1:U$400,0)),U$2,)</f>
        <v>0</v>
      </c>
      <c r="V18" s="179"/>
      <c r="W18" s="179"/>
      <c r="X18" s="179"/>
      <c r="Y18" s="179"/>
      <c r="Z18" s="179"/>
      <c r="AA18" s="179"/>
      <c r="AB18" s="179"/>
      <c r="AC18" s="179"/>
      <c r="AD18" s="179"/>
      <c r="AE18" s="179"/>
      <c r="AF18" s="179"/>
      <c r="AG18" s="179"/>
      <c r="AH18" s="179"/>
      <c r="AI18" s="179"/>
      <c r="AJ18" s="179"/>
      <c r="AK18" s="179"/>
      <c r="AL18" s="179"/>
      <c r="AM18" s="179"/>
      <c r="AN18" s="179"/>
      <c r="AO18" s="179"/>
      <c r="AP18" s="179"/>
      <c r="AQ18" s="179"/>
      <c r="AR18" s="179"/>
      <c r="AS18" s="179"/>
      <c r="AT18" s="179"/>
      <c r="AU18" s="179"/>
      <c r="AV18" s="179"/>
      <c r="AW18" s="179"/>
      <c r="AX18" s="179"/>
      <c r="AY18" s="179"/>
      <c r="AZ18" s="179"/>
      <c r="BA18" s="179"/>
      <c r="BB18" s="179"/>
      <c r="BC18" s="179"/>
      <c r="BD18" s="179"/>
      <c r="BE18" s="179"/>
      <c r="BF18" s="179"/>
      <c r="BG18" s="179"/>
      <c r="BH18" s="179"/>
      <c r="BI18" s="179"/>
      <c r="BJ18" s="179"/>
      <c r="BK18" s="179"/>
      <c r="BL18" s="179"/>
      <c r="BM18" s="179"/>
      <c r="BN18" s="179"/>
      <c r="BO18" s="179"/>
      <c r="BP18" s="179"/>
      <c r="BQ18" s="179"/>
      <c r="BR18" s="179"/>
      <c r="BS18" s="179"/>
      <c r="BT18" s="179"/>
      <c r="BU18" s="179"/>
      <c r="BV18" s="179"/>
      <c r="BW18" s="179"/>
      <c r="BX18" s="179"/>
      <c r="BY18" s="179"/>
      <c r="BZ18" s="179"/>
      <c r="CA18" s="179"/>
      <c r="CB18" s="179"/>
      <c r="CC18" s="179"/>
      <c r="CD18" s="179"/>
      <c r="CE18" s="179"/>
      <c r="CF18" s="179"/>
      <c r="CG18" s="179"/>
      <c r="CH18" s="179"/>
      <c r="CI18" s="179"/>
      <c r="CJ18" s="179"/>
      <c r="CK18" s="179"/>
      <c r="CL18" s="179"/>
      <c r="CM18" s="179"/>
      <c r="CN18" s="179"/>
      <c r="CO18" s="179"/>
      <c r="CP18" s="179"/>
      <c r="CQ18" s="179"/>
      <c r="CR18" s="179"/>
      <c r="CS18" s="179"/>
      <c r="CT18" s="179"/>
      <c r="CU18" s="179"/>
      <c r="CV18" s="179"/>
      <c r="CW18" s="179"/>
    </row>
    <row r="19" spans="1:101" x14ac:dyDescent="0.2">
      <c r="A19" s="32" t="str">
        <f t="shared" ca="1" si="0"/>
        <v>2025-04-21</v>
      </c>
      <c r="B19" s="179">
        <f ca="1">IF(ISNUMBER(MATCH(DATEVALUE($A19),'changes1_based on steps'!B$1:B$400,0)),B$2,)</f>
        <v>0</v>
      </c>
      <c r="C19" s="179">
        <f ca="1">IF(ISNUMBER(MATCH(DATEVALUE($A19),'changes1_based on steps'!C$1:C$400,0)),C$2,)</f>
        <v>0</v>
      </c>
      <c r="D19" s="179">
        <f ca="1">IF(ISNUMBER(MATCH(DATEVALUE($A19),'changes1_based on steps'!D$1:D$400,0)),D$2,)</f>
        <v>0</v>
      </c>
      <c r="E19" s="179">
        <f ca="1">IF(ISNUMBER(MATCH(DATEVALUE($A19),'changes1_based on steps'!E$1:E$400,0)),E$2,)</f>
        <v>0</v>
      </c>
      <c r="F19" s="179">
        <f ca="1">IF(ISNUMBER(MATCH(DATEVALUE($A19),'changes1_based on steps'!F$1:F$400,0)),F$2,)</f>
        <v>0</v>
      </c>
      <c r="G19" s="179">
        <f ca="1">IF(ISNUMBER(MATCH(DATEVALUE($A19),'changes1_based on steps'!G$1:G$400,0)),G$2,)</f>
        <v>0</v>
      </c>
      <c r="H19" s="179">
        <f ca="1">IF(ISNUMBER(MATCH(DATEVALUE($A19),'changes1_based on steps'!H$1:H$400,0)),H$2,)</f>
        <v>0</v>
      </c>
      <c r="I19" s="179">
        <f ca="1">IF(ISNUMBER(MATCH(DATEVALUE($A19),'changes1_based on steps'!I$1:I$400,0)),I$2,)</f>
        <v>0</v>
      </c>
      <c r="J19" s="179">
        <f ca="1">IF(ISNUMBER(MATCH(DATEVALUE($A19),'changes1_based on steps'!J$1:J$400,0)),J$2,)</f>
        <v>0</v>
      </c>
      <c r="K19" s="179">
        <f ca="1">IF(ISNUMBER(MATCH(DATEVALUE($A19),'changes1_based on steps'!K$1:K$400,0)),K$2,)</f>
        <v>0</v>
      </c>
      <c r="L19" s="179">
        <f ca="1">IF(ISNUMBER(MATCH(DATEVALUE($A19),'changes1_based on steps'!L$1:L$400,0)),L$2,)</f>
        <v>0</v>
      </c>
      <c r="M19" s="179">
        <f ca="1">IF(ISNUMBER(MATCH(DATEVALUE($A19),'changes1_based on steps'!M$1:M$400,0)),M$2,)</f>
        <v>0</v>
      </c>
      <c r="N19" s="179">
        <f ca="1">IF(ISNUMBER(MATCH(DATEVALUE($A19),'changes1_based on steps'!N$1:N$400,0)),N$2,)</f>
        <v>0</v>
      </c>
      <c r="O19" s="179">
        <f ca="1">IF(ISNUMBER(MATCH(DATEVALUE($A19),'changes1_based on steps'!O$1:O$400,0)),O$2,)</f>
        <v>0</v>
      </c>
      <c r="P19" s="179">
        <f ca="1">IF(ISNUMBER(MATCH(DATEVALUE($A19),'changes1_based on steps'!P$1:P$400,0)),P$2,)</f>
        <v>0</v>
      </c>
      <c r="Q19" s="179">
        <f ca="1">IF(ISNUMBER(MATCH(DATEVALUE($A19),'changes1_based on steps'!Q$1:Q$400,0)),Q$2,)</f>
        <v>0</v>
      </c>
      <c r="R19" s="179">
        <f ca="1">IF(ISNUMBER(MATCH(DATEVALUE($A19),'changes1_based on steps'!R$1:R$400,0)),R$2,)</f>
        <v>0</v>
      </c>
      <c r="S19" s="179">
        <f ca="1">IF(ISNUMBER(MATCH(DATEVALUE($A19),'changes1_based on steps'!S$1:S$400,0)),S$2,)</f>
        <v>0</v>
      </c>
      <c r="T19" s="179">
        <f ca="1">IF(ISNUMBER(MATCH(DATEVALUE($A19),'changes1_based on steps'!T$1:T$400,0)),T$2,)</f>
        <v>0</v>
      </c>
      <c r="U19" s="179">
        <f ca="1">IF(ISNUMBER(MATCH(DATEVALUE($A19),'changes1_based on steps'!U$1:U$400,0)),U$2,)</f>
        <v>0</v>
      </c>
      <c r="V19" s="179"/>
      <c r="W19" s="179"/>
      <c r="X19" s="179"/>
      <c r="Y19" s="179"/>
      <c r="Z19" s="179"/>
      <c r="AA19" s="179"/>
      <c r="AB19" s="179"/>
      <c r="AC19" s="179"/>
      <c r="AD19" s="179"/>
      <c r="AE19" s="179"/>
      <c r="AF19" s="179"/>
      <c r="AG19" s="179"/>
      <c r="AH19" s="179"/>
      <c r="AI19" s="179"/>
      <c r="AJ19" s="179"/>
      <c r="AK19" s="179"/>
      <c r="AL19" s="179"/>
      <c r="AM19" s="179"/>
      <c r="AN19" s="179"/>
      <c r="AO19" s="179"/>
      <c r="AP19" s="179"/>
      <c r="AQ19" s="179"/>
      <c r="AR19" s="179"/>
      <c r="AS19" s="179"/>
      <c r="AT19" s="179"/>
      <c r="AU19" s="179"/>
      <c r="AV19" s="179"/>
      <c r="AW19" s="179"/>
      <c r="AX19" s="179"/>
      <c r="AY19" s="179"/>
      <c r="AZ19" s="179"/>
      <c r="BA19" s="179"/>
      <c r="BB19" s="179"/>
      <c r="BC19" s="179"/>
      <c r="BD19" s="179"/>
      <c r="BE19" s="179"/>
      <c r="BF19" s="179"/>
      <c r="BG19" s="179"/>
      <c r="BH19" s="179"/>
      <c r="BI19" s="179"/>
      <c r="BJ19" s="179"/>
      <c r="BK19" s="179"/>
      <c r="BL19" s="179"/>
      <c r="BM19" s="179"/>
      <c r="BN19" s="179"/>
      <c r="BO19" s="179"/>
      <c r="BP19" s="179"/>
      <c r="BQ19" s="179"/>
      <c r="BR19" s="179"/>
      <c r="BS19" s="179"/>
      <c r="BT19" s="179"/>
      <c r="BU19" s="179"/>
      <c r="BV19" s="179"/>
      <c r="BW19" s="179"/>
      <c r="BX19" s="179"/>
      <c r="BY19" s="179"/>
      <c r="BZ19" s="179"/>
      <c r="CA19" s="179"/>
      <c r="CB19" s="179"/>
      <c r="CC19" s="179"/>
      <c r="CD19" s="179"/>
      <c r="CE19" s="179"/>
      <c r="CF19" s="179"/>
      <c r="CG19" s="179"/>
      <c r="CH19" s="179"/>
      <c r="CI19" s="179"/>
      <c r="CJ19" s="179"/>
      <c r="CK19" s="179"/>
      <c r="CL19" s="179"/>
      <c r="CM19" s="179"/>
      <c r="CN19" s="179"/>
      <c r="CO19" s="179"/>
      <c r="CP19" s="179"/>
      <c r="CQ19" s="179"/>
      <c r="CR19" s="179"/>
      <c r="CS19" s="179"/>
      <c r="CT19" s="179"/>
      <c r="CU19" s="179"/>
      <c r="CV19" s="179"/>
      <c r="CW19" s="179"/>
    </row>
    <row r="20" spans="1:101" x14ac:dyDescent="0.2">
      <c r="A20" s="32" t="str">
        <f t="shared" ca="1" si="0"/>
        <v>2025-04-22</v>
      </c>
      <c r="B20" s="179">
        <f ca="1">IF(ISNUMBER(MATCH(DATEVALUE($A20),'changes1_based on steps'!B$1:B$400,0)),B$2,)</f>
        <v>0</v>
      </c>
      <c r="C20" s="179">
        <f ca="1">IF(ISNUMBER(MATCH(DATEVALUE($A20),'changes1_based on steps'!C$1:C$400,0)),C$2,)</f>
        <v>0</v>
      </c>
      <c r="D20" s="179">
        <f ca="1">IF(ISNUMBER(MATCH(DATEVALUE($A20),'changes1_based on steps'!D$1:D$400,0)),D$2,)</f>
        <v>0</v>
      </c>
      <c r="E20" s="179">
        <f ca="1">IF(ISNUMBER(MATCH(DATEVALUE($A20),'changes1_based on steps'!E$1:E$400,0)),E$2,)</f>
        <v>0</v>
      </c>
      <c r="F20" s="179">
        <f ca="1">IF(ISNUMBER(MATCH(DATEVALUE($A20),'changes1_based on steps'!F$1:F$400,0)),F$2,)</f>
        <v>0</v>
      </c>
      <c r="G20" s="179">
        <f ca="1">IF(ISNUMBER(MATCH(DATEVALUE($A20),'changes1_based on steps'!G$1:G$400,0)),G$2,)</f>
        <v>0</v>
      </c>
      <c r="H20" s="179">
        <f ca="1">IF(ISNUMBER(MATCH(DATEVALUE($A20),'changes1_based on steps'!H$1:H$400,0)),H$2,)</f>
        <v>0</v>
      </c>
      <c r="I20" s="179">
        <f ca="1">IF(ISNUMBER(MATCH(DATEVALUE($A20),'changes1_based on steps'!I$1:I$400,0)),I$2,)</f>
        <v>0</v>
      </c>
      <c r="J20" s="179">
        <f ca="1">IF(ISNUMBER(MATCH(DATEVALUE($A20),'changes1_based on steps'!J$1:J$400,0)),J$2,)</f>
        <v>0</v>
      </c>
      <c r="K20" s="179">
        <f ca="1">IF(ISNUMBER(MATCH(DATEVALUE($A20),'changes1_based on steps'!K$1:K$400,0)),K$2,)</f>
        <v>0</v>
      </c>
      <c r="L20" s="179">
        <f ca="1">IF(ISNUMBER(MATCH(DATEVALUE($A20),'changes1_based on steps'!L$1:L$400,0)),L$2,)</f>
        <v>0</v>
      </c>
      <c r="M20" s="179">
        <f ca="1">IF(ISNUMBER(MATCH(DATEVALUE($A20),'changes1_based on steps'!M$1:M$400,0)),M$2,)</f>
        <v>0</v>
      </c>
      <c r="N20" s="179">
        <f ca="1">IF(ISNUMBER(MATCH(DATEVALUE($A20),'changes1_based on steps'!N$1:N$400,0)),N$2,)</f>
        <v>0</v>
      </c>
      <c r="O20" s="179">
        <f ca="1">IF(ISNUMBER(MATCH(DATEVALUE($A20),'changes1_based on steps'!O$1:O$400,0)),O$2,)</f>
        <v>0</v>
      </c>
      <c r="P20" s="179">
        <f ca="1">IF(ISNUMBER(MATCH(DATEVALUE($A20),'changes1_based on steps'!P$1:P$400,0)),P$2,)</f>
        <v>0</v>
      </c>
      <c r="Q20" s="179">
        <f ca="1">IF(ISNUMBER(MATCH(DATEVALUE($A20),'changes1_based on steps'!Q$1:Q$400,0)),Q$2,)</f>
        <v>0</v>
      </c>
      <c r="R20" s="179">
        <f ca="1">IF(ISNUMBER(MATCH(DATEVALUE($A20),'changes1_based on steps'!R$1:R$400,0)),R$2,)</f>
        <v>0</v>
      </c>
      <c r="S20" s="179">
        <f ca="1">IF(ISNUMBER(MATCH(DATEVALUE($A20),'changes1_based on steps'!S$1:S$400,0)),S$2,)</f>
        <v>0</v>
      </c>
      <c r="T20" s="179">
        <f ca="1">IF(ISNUMBER(MATCH(DATEVALUE($A20),'changes1_based on steps'!T$1:T$400,0)),T$2,)</f>
        <v>0</v>
      </c>
      <c r="U20" s="179">
        <f ca="1">IF(ISNUMBER(MATCH(DATEVALUE($A20),'changes1_based on steps'!U$1:U$400,0)),U$2,)</f>
        <v>0</v>
      </c>
      <c r="V20" s="179"/>
      <c r="W20" s="179"/>
      <c r="X20" s="179"/>
      <c r="Y20" s="179"/>
      <c r="Z20" s="179"/>
      <c r="AA20" s="179"/>
      <c r="AB20" s="179"/>
      <c r="AC20" s="179"/>
      <c r="AD20" s="179"/>
      <c r="AE20" s="179"/>
      <c r="AF20" s="179"/>
      <c r="AG20" s="179"/>
      <c r="AH20" s="179"/>
      <c r="AI20" s="179"/>
      <c r="AJ20" s="179"/>
      <c r="AK20" s="179"/>
      <c r="AL20" s="179"/>
      <c r="AM20" s="179"/>
      <c r="AN20" s="179"/>
      <c r="AO20" s="179"/>
      <c r="AP20" s="179"/>
      <c r="AQ20" s="179"/>
      <c r="AR20" s="179"/>
      <c r="AS20" s="179"/>
      <c r="AT20" s="179"/>
      <c r="AU20" s="179"/>
      <c r="AV20" s="179"/>
      <c r="AW20" s="179"/>
      <c r="AX20" s="179"/>
      <c r="AY20" s="179"/>
      <c r="AZ20" s="179"/>
      <c r="BA20" s="179"/>
      <c r="BB20" s="179"/>
      <c r="BC20" s="179"/>
      <c r="BD20" s="179"/>
      <c r="BE20" s="179"/>
      <c r="BF20" s="179"/>
      <c r="BG20" s="179"/>
      <c r="BH20" s="179"/>
      <c r="BI20" s="179"/>
      <c r="BJ20" s="179"/>
      <c r="BK20" s="179"/>
      <c r="BL20" s="179"/>
      <c r="BM20" s="179"/>
      <c r="BN20" s="179"/>
      <c r="BO20" s="179"/>
      <c r="BP20" s="179"/>
      <c r="BQ20" s="179"/>
      <c r="BR20" s="179"/>
      <c r="BS20" s="179"/>
      <c r="BT20" s="179"/>
      <c r="BU20" s="179"/>
      <c r="BV20" s="179"/>
      <c r="BW20" s="179"/>
      <c r="BX20" s="179"/>
      <c r="BY20" s="179"/>
      <c r="BZ20" s="179"/>
      <c r="CA20" s="179"/>
      <c r="CB20" s="179"/>
      <c r="CC20" s="179"/>
      <c r="CD20" s="179"/>
      <c r="CE20" s="179"/>
      <c r="CF20" s="179"/>
      <c r="CG20" s="179"/>
      <c r="CH20" s="179"/>
      <c r="CI20" s="179"/>
      <c r="CJ20" s="179"/>
      <c r="CK20" s="179"/>
      <c r="CL20" s="179"/>
      <c r="CM20" s="179"/>
      <c r="CN20" s="179"/>
      <c r="CO20" s="179"/>
      <c r="CP20" s="179"/>
      <c r="CQ20" s="179"/>
      <c r="CR20" s="179"/>
      <c r="CS20" s="179"/>
      <c r="CT20" s="179"/>
      <c r="CU20" s="179"/>
      <c r="CV20" s="179"/>
      <c r="CW20" s="179"/>
    </row>
    <row r="21" spans="1:101" x14ac:dyDescent="0.2">
      <c r="A21" s="32" t="str">
        <f t="shared" ca="1" si="0"/>
        <v>2025-04-23</v>
      </c>
      <c r="B21" s="179">
        <f ca="1">IF(ISNUMBER(MATCH(DATEVALUE($A21),'changes1_based on steps'!B$1:B$400,0)),B$2,)</f>
        <v>0</v>
      </c>
      <c r="C21" s="179">
        <f ca="1">IF(ISNUMBER(MATCH(DATEVALUE($A21),'changes1_based on steps'!C$1:C$400,0)),C$2,)</f>
        <v>0</v>
      </c>
      <c r="D21" s="179">
        <f ca="1">IF(ISNUMBER(MATCH(DATEVALUE($A21),'changes1_based on steps'!D$1:D$400,0)),D$2,)</f>
        <v>0</v>
      </c>
      <c r="E21" s="179">
        <f ca="1">IF(ISNUMBER(MATCH(DATEVALUE($A21),'changes1_based on steps'!E$1:E$400,0)),E$2,)</f>
        <v>0</v>
      </c>
      <c r="F21" s="179">
        <f ca="1">IF(ISNUMBER(MATCH(DATEVALUE($A21),'changes1_based on steps'!F$1:F$400,0)),F$2,)</f>
        <v>0</v>
      </c>
      <c r="G21" s="179">
        <f ca="1">IF(ISNUMBER(MATCH(DATEVALUE($A21),'changes1_based on steps'!G$1:G$400,0)),G$2,)</f>
        <v>0</v>
      </c>
      <c r="H21" s="179">
        <f ca="1">IF(ISNUMBER(MATCH(DATEVALUE($A21),'changes1_based on steps'!H$1:H$400,0)),H$2,)</f>
        <v>0</v>
      </c>
      <c r="I21" s="179">
        <f ca="1">IF(ISNUMBER(MATCH(DATEVALUE($A21),'changes1_based on steps'!I$1:I$400,0)),I$2,)</f>
        <v>0</v>
      </c>
      <c r="J21" s="179">
        <f ca="1">IF(ISNUMBER(MATCH(DATEVALUE($A21),'changes1_based on steps'!J$1:J$400,0)),J$2,)</f>
        <v>0</v>
      </c>
      <c r="K21" s="179">
        <f ca="1">IF(ISNUMBER(MATCH(DATEVALUE($A21),'changes1_based on steps'!K$1:K$400,0)),K$2,)</f>
        <v>0</v>
      </c>
      <c r="L21" s="179">
        <f ca="1">IF(ISNUMBER(MATCH(DATEVALUE($A21),'changes1_based on steps'!L$1:L$400,0)),L$2,)</f>
        <v>0</v>
      </c>
      <c r="M21" s="179">
        <f ca="1">IF(ISNUMBER(MATCH(DATEVALUE($A21),'changes1_based on steps'!M$1:M$400,0)),M$2,)</f>
        <v>0</v>
      </c>
      <c r="N21" s="179">
        <f ca="1">IF(ISNUMBER(MATCH(DATEVALUE($A21),'changes1_based on steps'!N$1:N$400,0)),N$2,)</f>
        <v>0</v>
      </c>
      <c r="O21" s="179">
        <f ca="1">IF(ISNUMBER(MATCH(DATEVALUE($A21),'changes1_based on steps'!O$1:O$400,0)),O$2,)</f>
        <v>0</v>
      </c>
      <c r="P21" s="179">
        <f ca="1">IF(ISNUMBER(MATCH(DATEVALUE($A21),'changes1_based on steps'!P$1:P$400,0)),P$2,)</f>
        <v>0</v>
      </c>
      <c r="Q21" s="179">
        <f ca="1">IF(ISNUMBER(MATCH(DATEVALUE($A21),'changes1_based on steps'!Q$1:Q$400,0)),Q$2,)</f>
        <v>0</v>
      </c>
      <c r="R21" s="179">
        <f ca="1">IF(ISNUMBER(MATCH(DATEVALUE($A21),'changes1_based on steps'!R$1:R$400,0)),R$2,)</f>
        <v>0</v>
      </c>
      <c r="S21" s="179">
        <f ca="1">IF(ISNUMBER(MATCH(DATEVALUE($A21),'changes1_based on steps'!S$1:S$400,0)),S$2,)</f>
        <v>0</v>
      </c>
      <c r="T21" s="179">
        <f ca="1">IF(ISNUMBER(MATCH(DATEVALUE($A21),'changes1_based on steps'!T$1:T$400,0)),T$2,)</f>
        <v>0</v>
      </c>
      <c r="U21" s="179">
        <f ca="1">IF(ISNUMBER(MATCH(DATEVALUE($A21),'changes1_based on steps'!U$1:U$400,0)),U$2,)</f>
        <v>0</v>
      </c>
      <c r="V21" s="179"/>
      <c r="W21" s="179"/>
      <c r="X21" s="179"/>
      <c r="Y21" s="179"/>
      <c r="Z21" s="179"/>
      <c r="AA21" s="179"/>
      <c r="AB21" s="179"/>
      <c r="AC21" s="179"/>
      <c r="AD21" s="179"/>
      <c r="AE21" s="179"/>
      <c r="AF21" s="179"/>
      <c r="AG21" s="179"/>
      <c r="AH21" s="179"/>
      <c r="AI21" s="179"/>
      <c r="AJ21" s="179"/>
      <c r="AK21" s="179"/>
      <c r="AL21" s="179"/>
      <c r="AM21" s="179"/>
      <c r="AN21" s="179"/>
      <c r="AO21" s="179"/>
      <c r="AP21" s="179"/>
      <c r="AQ21" s="179"/>
      <c r="AR21" s="179"/>
      <c r="AS21" s="179"/>
      <c r="AT21" s="179"/>
      <c r="AU21" s="179"/>
      <c r="AV21" s="179"/>
      <c r="AW21" s="179"/>
      <c r="AX21" s="179"/>
      <c r="AY21" s="179"/>
      <c r="AZ21" s="179"/>
      <c r="BA21" s="179"/>
      <c r="BB21" s="179"/>
      <c r="BC21" s="179"/>
      <c r="BD21" s="179"/>
      <c r="BE21" s="179"/>
      <c r="BF21" s="179"/>
      <c r="BG21" s="179"/>
      <c r="BH21" s="179"/>
      <c r="BI21" s="179"/>
      <c r="BJ21" s="179"/>
      <c r="BK21" s="179"/>
      <c r="BL21" s="179"/>
      <c r="BM21" s="179"/>
      <c r="BN21" s="179"/>
      <c r="BO21" s="179"/>
      <c r="BP21" s="179"/>
      <c r="BQ21" s="179"/>
      <c r="BR21" s="179"/>
      <c r="BS21" s="179"/>
      <c r="BT21" s="179"/>
      <c r="BU21" s="179"/>
      <c r="BV21" s="179"/>
      <c r="BW21" s="179"/>
      <c r="BX21" s="179"/>
      <c r="BY21" s="179"/>
      <c r="BZ21" s="179"/>
      <c r="CA21" s="179"/>
      <c r="CB21" s="179"/>
      <c r="CC21" s="179"/>
      <c r="CD21" s="179"/>
      <c r="CE21" s="179"/>
      <c r="CF21" s="179"/>
      <c r="CG21" s="179"/>
      <c r="CH21" s="179"/>
      <c r="CI21" s="179"/>
      <c r="CJ21" s="179"/>
      <c r="CK21" s="179"/>
      <c r="CL21" s="179"/>
      <c r="CM21" s="179"/>
      <c r="CN21" s="179"/>
      <c r="CO21" s="179"/>
      <c r="CP21" s="179"/>
      <c r="CQ21" s="179"/>
      <c r="CR21" s="179"/>
      <c r="CS21" s="179"/>
      <c r="CT21" s="179"/>
      <c r="CU21" s="179"/>
      <c r="CV21" s="179"/>
      <c r="CW21" s="179"/>
    </row>
    <row r="22" spans="1:101" x14ac:dyDescent="0.2">
      <c r="A22" s="32" t="str">
        <f t="shared" ca="1" si="0"/>
        <v>2025-04-24</v>
      </c>
      <c r="B22" s="179">
        <f ca="1">IF(ISNUMBER(MATCH(DATEVALUE($A22),'changes1_based on steps'!B$1:B$400,0)),B$2,)</f>
        <v>0</v>
      </c>
      <c r="C22" s="179">
        <f ca="1">IF(ISNUMBER(MATCH(DATEVALUE($A22),'changes1_based on steps'!C$1:C$400,0)),C$2,)</f>
        <v>0</v>
      </c>
      <c r="D22" s="179">
        <f ca="1">IF(ISNUMBER(MATCH(DATEVALUE($A22),'changes1_based on steps'!D$1:D$400,0)),D$2,)</f>
        <v>0</v>
      </c>
      <c r="E22" s="179">
        <f ca="1">IF(ISNUMBER(MATCH(DATEVALUE($A22),'changes1_based on steps'!E$1:E$400,0)),E$2,)</f>
        <v>0</v>
      </c>
      <c r="F22" s="179">
        <f ca="1">IF(ISNUMBER(MATCH(DATEVALUE($A22),'changes1_based on steps'!F$1:F$400,0)),F$2,)</f>
        <v>0</v>
      </c>
      <c r="G22" s="179">
        <f ca="1">IF(ISNUMBER(MATCH(DATEVALUE($A22),'changes1_based on steps'!G$1:G$400,0)),G$2,)</f>
        <v>0</v>
      </c>
      <c r="H22" s="179">
        <f ca="1">IF(ISNUMBER(MATCH(DATEVALUE($A22),'changes1_based on steps'!H$1:H$400,0)),H$2,)</f>
        <v>0</v>
      </c>
      <c r="I22" s="179">
        <f ca="1">IF(ISNUMBER(MATCH(DATEVALUE($A22),'changes1_based on steps'!I$1:I$400,0)),I$2,)</f>
        <v>0</v>
      </c>
      <c r="J22" s="179">
        <f ca="1">IF(ISNUMBER(MATCH(DATEVALUE($A22),'changes1_based on steps'!J$1:J$400,0)),J$2,)</f>
        <v>0</v>
      </c>
      <c r="K22" s="179">
        <f ca="1">IF(ISNUMBER(MATCH(DATEVALUE($A22),'changes1_based on steps'!K$1:K$400,0)),K$2,)</f>
        <v>0</v>
      </c>
      <c r="L22" s="179">
        <f ca="1">IF(ISNUMBER(MATCH(DATEVALUE($A22),'changes1_based on steps'!L$1:L$400,0)),L$2,)</f>
        <v>0</v>
      </c>
      <c r="M22" s="179">
        <f ca="1">IF(ISNUMBER(MATCH(DATEVALUE($A22),'changes1_based on steps'!M$1:M$400,0)),M$2,)</f>
        <v>0</v>
      </c>
      <c r="N22" s="179">
        <f ca="1">IF(ISNUMBER(MATCH(DATEVALUE($A22),'changes1_based on steps'!N$1:N$400,0)),N$2,)</f>
        <v>0</v>
      </c>
      <c r="O22" s="179">
        <f ca="1">IF(ISNUMBER(MATCH(DATEVALUE($A22),'changes1_based on steps'!O$1:O$400,0)),O$2,)</f>
        <v>0</v>
      </c>
      <c r="P22" s="179">
        <f ca="1">IF(ISNUMBER(MATCH(DATEVALUE($A22),'changes1_based on steps'!P$1:P$400,0)),P$2,)</f>
        <v>0</v>
      </c>
      <c r="Q22" s="179">
        <f ca="1">IF(ISNUMBER(MATCH(DATEVALUE($A22),'changes1_based on steps'!Q$1:Q$400,0)),Q$2,)</f>
        <v>0</v>
      </c>
      <c r="R22" s="179">
        <f ca="1">IF(ISNUMBER(MATCH(DATEVALUE($A22),'changes1_based on steps'!R$1:R$400,0)),R$2,)</f>
        <v>0</v>
      </c>
      <c r="S22" s="179">
        <f ca="1">IF(ISNUMBER(MATCH(DATEVALUE($A22),'changes1_based on steps'!S$1:S$400,0)),S$2,)</f>
        <v>0</v>
      </c>
      <c r="T22" s="179">
        <f ca="1">IF(ISNUMBER(MATCH(DATEVALUE($A22),'changes1_based on steps'!T$1:T$400,0)),T$2,)</f>
        <v>0</v>
      </c>
      <c r="U22" s="179">
        <f ca="1">IF(ISNUMBER(MATCH(DATEVALUE($A22),'changes1_based on steps'!U$1:U$400,0)),U$2,)</f>
        <v>0</v>
      </c>
      <c r="V22" s="179"/>
      <c r="W22" s="179"/>
      <c r="X22" s="179"/>
      <c r="Y22" s="179"/>
      <c r="Z22" s="179"/>
      <c r="AA22" s="179"/>
      <c r="AB22" s="179"/>
      <c r="AC22" s="179"/>
      <c r="AD22" s="179"/>
      <c r="AE22" s="179"/>
      <c r="AF22" s="179"/>
      <c r="AG22" s="179"/>
      <c r="AH22" s="179"/>
      <c r="AI22" s="179"/>
      <c r="AJ22" s="179"/>
      <c r="AK22" s="179"/>
      <c r="AL22" s="179"/>
      <c r="AM22" s="179"/>
      <c r="AN22" s="179"/>
      <c r="AO22" s="179"/>
      <c r="AP22" s="179"/>
      <c r="AQ22" s="179"/>
      <c r="AR22" s="179"/>
      <c r="AS22" s="179"/>
      <c r="AT22" s="179"/>
      <c r="AU22" s="179"/>
      <c r="AV22" s="179"/>
      <c r="AW22" s="179"/>
      <c r="AX22" s="179"/>
      <c r="AY22" s="179"/>
      <c r="AZ22" s="179"/>
      <c r="BA22" s="179"/>
      <c r="BB22" s="179"/>
      <c r="BC22" s="179"/>
      <c r="BD22" s="179"/>
      <c r="BE22" s="179"/>
      <c r="BF22" s="179"/>
      <c r="BG22" s="179"/>
      <c r="BH22" s="179"/>
      <c r="BI22" s="179"/>
      <c r="BJ22" s="179"/>
      <c r="BK22" s="179"/>
      <c r="BL22" s="179"/>
      <c r="BM22" s="179"/>
      <c r="BN22" s="179"/>
      <c r="BO22" s="179"/>
      <c r="BP22" s="179"/>
      <c r="BQ22" s="179"/>
      <c r="BR22" s="179"/>
      <c r="BS22" s="179"/>
      <c r="BT22" s="179"/>
      <c r="BU22" s="179"/>
      <c r="BV22" s="179"/>
      <c r="BW22" s="179"/>
      <c r="BX22" s="179"/>
      <c r="BY22" s="179"/>
      <c r="BZ22" s="179"/>
      <c r="CA22" s="179"/>
      <c r="CB22" s="179"/>
      <c r="CC22" s="179"/>
      <c r="CD22" s="179"/>
      <c r="CE22" s="179"/>
      <c r="CF22" s="179"/>
      <c r="CG22" s="179"/>
      <c r="CH22" s="179"/>
      <c r="CI22" s="179"/>
      <c r="CJ22" s="179"/>
      <c r="CK22" s="179"/>
      <c r="CL22" s="179"/>
      <c r="CM22" s="179"/>
      <c r="CN22" s="179"/>
      <c r="CO22" s="179"/>
      <c r="CP22" s="179"/>
      <c r="CQ22" s="179"/>
      <c r="CR22" s="179"/>
      <c r="CS22" s="179"/>
      <c r="CT22" s="179"/>
      <c r="CU22" s="179"/>
      <c r="CV22" s="179"/>
      <c r="CW22" s="179"/>
    </row>
    <row r="23" spans="1:101" x14ac:dyDescent="0.2">
      <c r="A23" s="32" t="str">
        <f t="shared" ca="1" si="0"/>
        <v>2025-04-25</v>
      </c>
      <c r="B23" s="179">
        <f ca="1">IF(ISNUMBER(MATCH(DATEVALUE($A23),'changes1_based on steps'!B$1:B$400,0)),B$2,)</f>
        <v>0</v>
      </c>
      <c r="C23" s="179">
        <f ca="1">IF(ISNUMBER(MATCH(DATEVALUE($A23),'changes1_based on steps'!C$1:C$400,0)),C$2,)</f>
        <v>0</v>
      </c>
      <c r="D23" s="179">
        <f ca="1">IF(ISNUMBER(MATCH(DATEVALUE($A23),'changes1_based on steps'!D$1:D$400,0)),D$2,)</f>
        <v>0</v>
      </c>
      <c r="E23" s="179">
        <f ca="1">IF(ISNUMBER(MATCH(DATEVALUE($A23),'changes1_based on steps'!E$1:E$400,0)),E$2,)</f>
        <v>0</v>
      </c>
      <c r="F23" s="179">
        <f ca="1">IF(ISNUMBER(MATCH(DATEVALUE($A23),'changes1_based on steps'!F$1:F$400,0)),F$2,)</f>
        <v>0</v>
      </c>
      <c r="G23" s="179">
        <f ca="1">IF(ISNUMBER(MATCH(DATEVALUE($A23),'changes1_based on steps'!G$1:G$400,0)),G$2,)</f>
        <v>0</v>
      </c>
      <c r="H23" s="179">
        <f ca="1">IF(ISNUMBER(MATCH(DATEVALUE($A23),'changes1_based on steps'!H$1:H$400,0)),H$2,)</f>
        <v>0</v>
      </c>
      <c r="I23" s="179">
        <f ca="1">IF(ISNUMBER(MATCH(DATEVALUE($A23),'changes1_based on steps'!I$1:I$400,0)),I$2,)</f>
        <v>0</v>
      </c>
      <c r="J23" s="179">
        <f ca="1">IF(ISNUMBER(MATCH(DATEVALUE($A23),'changes1_based on steps'!J$1:J$400,0)),J$2,)</f>
        <v>0</v>
      </c>
      <c r="K23" s="179">
        <f ca="1">IF(ISNUMBER(MATCH(DATEVALUE($A23),'changes1_based on steps'!K$1:K$400,0)),K$2,)</f>
        <v>0</v>
      </c>
      <c r="L23" s="179">
        <f ca="1">IF(ISNUMBER(MATCH(DATEVALUE($A23),'changes1_based on steps'!L$1:L$400,0)),L$2,)</f>
        <v>0</v>
      </c>
      <c r="M23" s="179">
        <f ca="1">IF(ISNUMBER(MATCH(DATEVALUE($A23),'changes1_based on steps'!M$1:M$400,0)),M$2,)</f>
        <v>0</v>
      </c>
      <c r="N23" s="179">
        <f ca="1">IF(ISNUMBER(MATCH(DATEVALUE($A23),'changes1_based on steps'!N$1:N$400,0)),N$2,)</f>
        <v>0</v>
      </c>
      <c r="O23" s="179">
        <f ca="1">IF(ISNUMBER(MATCH(DATEVALUE($A23),'changes1_based on steps'!O$1:O$400,0)),O$2,)</f>
        <v>0</v>
      </c>
      <c r="P23" s="179">
        <f ca="1">IF(ISNUMBER(MATCH(DATEVALUE($A23),'changes1_based on steps'!P$1:P$400,0)),P$2,)</f>
        <v>0</v>
      </c>
      <c r="Q23" s="179">
        <f ca="1">IF(ISNUMBER(MATCH(DATEVALUE($A23),'changes1_based on steps'!Q$1:Q$400,0)),Q$2,)</f>
        <v>0</v>
      </c>
      <c r="R23" s="179">
        <f ca="1">IF(ISNUMBER(MATCH(DATEVALUE($A23),'changes1_based on steps'!R$1:R$400,0)),R$2,)</f>
        <v>0</v>
      </c>
      <c r="S23" s="179">
        <f ca="1">IF(ISNUMBER(MATCH(DATEVALUE($A23),'changes1_based on steps'!S$1:S$400,0)),S$2,)</f>
        <v>0</v>
      </c>
      <c r="T23" s="179">
        <f ca="1">IF(ISNUMBER(MATCH(DATEVALUE($A23),'changes1_based on steps'!T$1:T$400,0)),T$2,)</f>
        <v>0</v>
      </c>
      <c r="U23" s="179">
        <f ca="1">IF(ISNUMBER(MATCH(DATEVALUE($A23),'changes1_based on steps'!U$1:U$400,0)),U$2,)</f>
        <v>0</v>
      </c>
      <c r="V23" s="179"/>
      <c r="W23" s="179"/>
      <c r="X23" s="179"/>
      <c r="Y23" s="179"/>
      <c r="Z23" s="179"/>
      <c r="AA23" s="179"/>
      <c r="AB23" s="179"/>
      <c r="AC23" s="179"/>
      <c r="AD23" s="179"/>
      <c r="AE23" s="179"/>
      <c r="AF23" s="179"/>
      <c r="AG23" s="179"/>
      <c r="AH23" s="179"/>
      <c r="AI23" s="179"/>
      <c r="AJ23" s="179"/>
      <c r="AK23" s="179"/>
      <c r="AL23" s="179"/>
      <c r="AM23" s="179"/>
      <c r="AN23" s="179"/>
      <c r="AO23" s="179"/>
      <c r="AP23" s="179"/>
      <c r="AQ23" s="179"/>
      <c r="AR23" s="179"/>
      <c r="AS23" s="179"/>
      <c r="AT23" s="179"/>
      <c r="AU23" s="179"/>
      <c r="AV23" s="179"/>
      <c r="AW23" s="179"/>
      <c r="AX23" s="179"/>
      <c r="AY23" s="179"/>
      <c r="AZ23" s="179"/>
      <c r="BA23" s="179"/>
      <c r="BB23" s="179"/>
      <c r="BC23" s="179"/>
      <c r="BD23" s="179"/>
      <c r="BE23" s="179"/>
      <c r="BF23" s="179"/>
      <c r="BG23" s="179"/>
      <c r="BH23" s="179"/>
      <c r="BI23" s="179"/>
      <c r="BJ23" s="179"/>
      <c r="BK23" s="179"/>
      <c r="BL23" s="179"/>
      <c r="BM23" s="179"/>
      <c r="BN23" s="179"/>
      <c r="BO23" s="179"/>
      <c r="BP23" s="179"/>
      <c r="BQ23" s="179"/>
      <c r="BR23" s="179"/>
      <c r="BS23" s="179"/>
      <c r="BT23" s="179"/>
      <c r="BU23" s="179"/>
      <c r="BV23" s="179"/>
      <c r="BW23" s="179"/>
      <c r="BX23" s="179"/>
      <c r="BY23" s="179"/>
      <c r="BZ23" s="179"/>
      <c r="CA23" s="179"/>
      <c r="CB23" s="179"/>
      <c r="CC23" s="179"/>
      <c r="CD23" s="179"/>
      <c r="CE23" s="179"/>
      <c r="CF23" s="179"/>
      <c r="CG23" s="179"/>
      <c r="CH23" s="179"/>
      <c r="CI23" s="179"/>
      <c r="CJ23" s="179"/>
      <c r="CK23" s="179"/>
      <c r="CL23" s="179"/>
      <c r="CM23" s="179"/>
      <c r="CN23" s="179"/>
      <c r="CO23" s="179"/>
      <c r="CP23" s="179"/>
      <c r="CQ23" s="179"/>
      <c r="CR23" s="179"/>
      <c r="CS23" s="179"/>
      <c r="CT23" s="179"/>
      <c r="CU23" s="179"/>
      <c r="CV23" s="179"/>
      <c r="CW23" s="179"/>
    </row>
    <row r="24" spans="1:101" x14ac:dyDescent="0.2">
      <c r="A24" s="32" t="str">
        <f t="shared" ca="1" si="0"/>
        <v>2025-04-26</v>
      </c>
      <c r="B24" s="179">
        <f ca="1">IF(ISNUMBER(MATCH(DATEVALUE($A24),'changes1_based on steps'!B$1:B$400,0)),B$2,)</f>
        <v>0</v>
      </c>
      <c r="C24" s="179">
        <f ca="1">IF(ISNUMBER(MATCH(DATEVALUE($A24),'changes1_based on steps'!C$1:C$400,0)),C$2,)</f>
        <v>0</v>
      </c>
      <c r="D24" s="179">
        <f ca="1">IF(ISNUMBER(MATCH(DATEVALUE($A24),'changes1_based on steps'!D$1:D$400,0)),D$2,)</f>
        <v>0</v>
      </c>
      <c r="E24" s="179">
        <f ca="1">IF(ISNUMBER(MATCH(DATEVALUE($A24),'changes1_based on steps'!E$1:E$400,0)),E$2,)</f>
        <v>0</v>
      </c>
      <c r="F24" s="179">
        <f ca="1">IF(ISNUMBER(MATCH(DATEVALUE($A24),'changes1_based on steps'!F$1:F$400,0)),F$2,)</f>
        <v>0</v>
      </c>
      <c r="G24" s="179">
        <f ca="1">IF(ISNUMBER(MATCH(DATEVALUE($A24),'changes1_based on steps'!G$1:G$400,0)),G$2,)</f>
        <v>0</v>
      </c>
      <c r="H24" s="179">
        <f ca="1">IF(ISNUMBER(MATCH(DATEVALUE($A24),'changes1_based on steps'!H$1:H$400,0)),H$2,)</f>
        <v>0</v>
      </c>
      <c r="I24" s="179">
        <f ca="1">IF(ISNUMBER(MATCH(DATEVALUE($A24),'changes1_based on steps'!I$1:I$400,0)),I$2,)</f>
        <v>0</v>
      </c>
      <c r="J24" s="179">
        <f ca="1">IF(ISNUMBER(MATCH(DATEVALUE($A24),'changes1_based on steps'!J$1:J$400,0)),J$2,)</f>
        <v>0</v>
      </c>
      <c r="K24" s="179">
        <f ca="1">IF(ISNUMBER(MATCH(DATEVALUE($A24),'changes1_based on steps'!K$1:K$400,0)),K$2,)</f>
        <v>0</v>
      </c>
      <c r="L24" s="179">
        <f ca="1">IF(ISNUMBER(MATCH(DATEVALUE($A24),'changes1_based on steps'!L$1:L$400,0)),L$2,)</f>
        <v>0</v>
      </c>
      <c r="M24" s="179">
        <f ca="1">IF(ISNUMBER(MATCH(DATEVALUE($A24),'changes1_based on steps'!M$1:M$400,0)),M$2,)</f>
        <v>0</v>
      </c>
      <c r="N24" s="179">
        <f ca="1">IF(ISNUMBER(MATCH(DATEVALUE($A24),'changes1_based on steps'!N$1:N$400,0)),N$2,)</f>
        <v>0</v>
      </c>
      <c r="O24" s="179">
        <f ca="1">IF(ISNUMBER(MATCH(DATEVALUE($A24),'changes1_based on steps'!O$1:O$400,0)),O$2,)</f>
        <v>0</v>
      </c>
      <c r="P24" s="179">
        <f ca="1">IF(ISNUMBER(MATCH(DATEVALUE($A24),'changes1_based on steps'!P$1:P$400,0)),P$2,)</f>
        <v>0</v>
      </c>
      <c r="Q24" s="179">
        <f ca="1">IF(ISNUMBER(MATCH(DATEVALUE($A24),'changes1_based on steps'!Q$1:Q$400,0)),Q$2,)</f>
        <v>0</v>
      </c>
      <c r="R24" s="179">
        <f ca="1">IF(ISNUMBER(MATCH(DATEVALUE($A24),'changes1_based on steps'!R$1:R$400,0)),R$2,)</f>
        <v>0</v>
      </c>
      <c r="S24" s="179">
        <f ca="1">IF(ISNUMBER(MATCH(DATEVALUE($A24),'changes1_based on steps'!S$1:S$400,0)),S$2,)</f>
        <v>0</v>
      </c>
      <c r="T24" s="179">
        <f ca="1">IF(ISNUMBER(MATCH(DATEVALUE($A24),'changes1_based on steps'!T$1:T$400,0)),T$2,)</f>
        <v>0</v>
      </c>
      <c r="U24" s="179">
        <f ca="1">IF(ISNUMBER(MATCH(DATEVALUE($A24),'changes1_based on steps'!U$1:U$400,0)),U$2,)</f>
        <v>0</v>
      </c>
      <c r="V24" s="179"/>
      <c r="W24" s="179"/>
      <c r="X24" s="179"/>
      <c r="Y24" s="179"/>
      <c r="Z24" s="179"/>
      <c r="AA24" s="179"/>
      <c r="AB24" s="179"/>
      <c r="AC24" s="179"/>
      <c r="AD24" s="179"/>
      <c r="AE24" s="179"/>
      <c r="AF24" s="179"/>
      <c r="AG24" s="179"/>
      <c r="AH24" s="179"/>
      <c r="AI24" s="179"/>
      <c r="AJ24" s="179"/>
      <c r="AK24" s="179"/>
      <c r="AL24" s="179"/>
      <c r="AM24" s="179"/>
      <c r="AN24" s="179"/>
      <c r="AO24" s="179"/>
      <c r="AP24" s="179"/>
      <c r="AQ24" s="179"/>
      <c r="AR24" s="179"/>
      <c r="AS24" s="179"/>
      <c r="AT24" s="179"/>
      <c r="AU24" s="179"/>
      <c r="AV24" s="179"/>
      <c r="AW24" s="179"/>
      <c r="AX24" s="179"/>
      <c r="AY24" s="179"/>
      <c r="AZ24" s="179"/>
      <c r="BA24" s="179"/>
      <c r="BB24" s="179"/>
      <c r="BC24" s="179"/>
      <c r="BD24" s="179"/>
      <c r="BE24" s="179"/>
      <c r="BF24" s="179"/>
      <c r="BG24" s="179"/>
      <c r="BH24" s="179"/>
      <c r="BI24" s="179"/>
      <c r="BJ24" s="179"/>
      <c r="BK24" s="179"/>
      <c r="BL24" s="179"/>
      <c r="BM24" s="179"/>
      <c r="BN24" s="179"/>
      <c r="BO24" s="179"/>
      <c r="BP24" s="179"/>
      <c r="BQ24" s="179"/>
      <c r="BR24" s="179"/>
      <c r="BS24" s="179"/>
      <c r="BT24" s="179"/>
      <c r="BU24" s="179"/>
      <c r="BV24" s="179"/>
      <c r="BW24" s="179"/>
      <c r="BX24" s="179"/>
      <c r="BY24" s="179"/>
      <c r="BZ24" s="179"/>
      <c r="CA24" s="179"/>
      <c r="CB24" s="179"/>
      <c r="CC24" s="179"/>
      <c r="CD24" s="179"/>
      <c r="CE24" s="179"/>
      <c r="CF24" s="179"/>
      <c r="CG24" s="179"/>
      <c r="CH24" s="179"/>
      <c r="CI24" s="179"/>
      <c r="CJ24" s="179"/>
      <c r="CK24" s="179"/>
      <c r="CL24" s="179"/>
      <c r="CM24" s="179"/>
      <c r="CN24" s="179"/>
      <c r="CO24" s="179"/>
      <c r="CP24" s="179"/>
      <c r="CQ24" s="179"/>
      <c r="CR24" s="179"/>
      <c r="CS24" s="179"/>
      <c r="CT24" s="179"/>
      <c r="CU24" s="179"/>
      <c r="CV24" s="179"/>
      <c r="CW24" s="179"/>
    </row>
    <row r="25" spans="1:101" x14ac:dyDescent="0.2">
      <c r="A25" s="32" t="str">
        <f t="shared" ca="1" si="0"/>
        <v>2025-04-27</v>
      </c>
      <c r="B25" s="179">
        <f ca="1">IF(ISNUMBER(MATCH(DATEVALUE($A25),'changes1_based on steps'!B$1:B$400,0)),B$2,)</f>
        <v>0</v>
      </c>
      <c r="C25" s="179">
        <f ca="1">IF(ISNUMBER(MATCH(DATEVALUE($A25),'changes1_based on steps'!C$1:C$400,0)),C$2,)</f>
        <v>0</v>
      </c>
      <c r="D25" s="179">
        <f ca="1">IF(ISNUMBER(MATCH(DATEVALUE($A25),'changes1_based on steps'!D$1:D$400,0)),D$2,)</f>
        <v>0</v>
      </c>
      <c r="E25" s="179">
        <f ca="1">IF(ISNUMBER(MATCH(DATEVALUE($A25),'changes1_based on steps'!E$1:E$400,0)),E$2,)</f>
        <v>0</v>
      </c>
      <c r="F25" s="179">
        <f ca="1">IF(ISNUMBER(MATCH(DATEVALUE($A25),'changes1_based on steps'!F$1:F$400,0)),F$2,)</f>
        <v>0</v>
      </c>
      <c r="G25" s="179">
        <f ca="1">IF(ISNUMBER(MATCH(DATEVALUE($A25),'changes1_based on steps'!G$1:G$400,0)),G$2,)</f>
        <v>0</v>
      </c>
      <c r="H25" s="179">
        <f ca="1">IF(ISNUMBER(MATCH(DATEVALUE($A25),'changes1_based on steps'!H$1:H$400,0)),H$2,)</f>
        <v>0</v>
      </c>
      <c r="I25" s="179">
        <f ca="1">IF(ISNUMBER(MATCH(DATEVALUE($A25),'changes1_based on steps'!I$1:I$400,0)),I$2,)</f>
        <v>0</v>
      </c>
      <c r="J25" s="179">
        <f ca="1">IF(ISNUMBER(MATCH(DATEVALUE($A25),'changes1_based on steps'!J$1:J$400,0)),J$2,)</f>
        <v>0</v>
      </c>
      <c r="K25" s="179">
        <f ca="1">IF(ISNUMBER(MATCH(DATEVALUE($A25),'changes1_based on steps'!K$1:K$400,0)),K$2,)</f>
        <v>0</v>
      </c>
      <c r="L25" s="179">
        <f ca="1">IF(ISNUMBER(MATCH(DATEVALUE($A25),'changes1_based on steps'!L$1:L$400,0)),L$2,)</f>
        <v>0</v>
      </c>
      <c r="M25" s="179">
        <f ca="1">IF(ISNUMBER(MATCH(DATEVALUE($A25),'changes1_based on steps'!M$1:M$400,0)),M$2,)</f>
        <v>0</v>
      </c>
      <c r="N25" s="179">
        <f ca="1">IF(ISNUMBER(MATCH(DATEVALUE($A25),'changes1_based on steps'!N$1:N$400,0)),N$2,)</f>
        <v>0</v>
      </c>
      <c r="O25" s="179">
        <f ca="1">IF(ISNUMBER(MATCH(DATEVALUE($A25),'changes1_based on steps'!O$1:O$400,0)),O$2,)</f>
        <v>0</v>
      </c>
      <c r="P25" s="179">
        <f ca="1">IF(ISNUMBER(MATCH(DATEVALUE($A25),'changes1_based on steps'!P$1:P$400,0)),P$2,)</f>
        <v>0</v>
      </c>
      <c r="Q25" s="179">
        <f ca="1">IF(ISNUMBER(MATCH(DATEVALUE($A25),'changes1_based on steps'!Q$1:Q$400,0)),Q$2,)</f>
        <v>0</v>
      </c>
      <c r="R25" s="179">
        <f ca="1">IF(ISNUMBER(MATCH(DATEVALUE($A25),'changes1_based on steps'!R$1:R$400,0)),R$2,)</f>
        <v>0</v>
      </c>
      <c r="S25" s="179">
        <f ca="1">IF(ISNUMBER(MATCH(DATEVALUE($A25),'changes1_based on steps'!S$1:S$400,0)),S$2,)</f>
        <v>0</v>
      </c>
      <c r="T25" s="179">
        <f ca="1">IF(ISNUMBER(MATCH(DATEVALUE($A25),'changes1_based on steps'!T$1:T$400,0)),T$2,)</f>
        <v>0</v>
      </c>
      <c r="U25" s="179">
        <f ca="1">IF(ISNUMBER(MATCH(DATEVALUE($A25),'changes1_based on steps'!U$1:U$400,0)),U$2,)</f>
        <v>0</v>
      </c>
      <c r="V25" s="179"/>
      <c r="W25" s="179"/>
      <c r="X25" s="179"/>
      <c r="Y25" s="179"/>
      <c r="Z25" s="179"/>
      <c r="AA25" s="179"/>
      <c r="AB25" s="179"/>
      <c r="AC25" s="179"/>
      <c r="AD25" s="179"/>
      <c r="AE25" s="179"/>
      <c r="AF25" s="179"/>
      <c r="AG25" s="179"/>
      <c r="AH25" s="179"/>
      <c r="AI25" s="179"/>
      <c r="AJ25" s="179"/>
      <c r="AK25" s="179"/>
      <c r="AL25" s="179"/>
      <c r="AM25" s="179"/>
      <c r="AN25" s="179"/>
      <c r="AO25" s="179"/>
      <c r="AP25" s="179"/>
      <c r="AQ25" s="179"/>
      <c r="AR25" s="179"/>
      <c r="AS25" s="179"/>
      <c r="AT25" s="179"/>
      <c r="AU25" s="179"/>
      <c r="AV25" s="179"/>
      <c r="AW25" s="179"/>
      <c r="AX25" s="179"/>
      <c r="AY25" s="179"/>
      <c r="AZ25" s="179"/>
      <c r="BA25" s="179"/>
      <c r="BB25" s="179"/>
      <c r="BC25" s="179"/>
      <c r="BD25" s="179"/>
      <c r="BE25" s="179"/>
      <c r="BF25" s="179"/>
      <c r="BG25" s="179"/>
      <c r="BH25" s="179"/>
      <c r="BI25" s="179"/>
      <c r="BJ25" s="179"/>
      <c r="BK25" s="179"/>
      <c r="BL25" s="179"/>
      <c r="BM25" s="179"/>
      <c r="BN25" s="179"/>
      <c r="BO25" s="179"/>
      <c r="BP25" s="179"/>
      <c r="BQ25" s="179"/>
      <c r="BR25" s="179"/>
      <c r="BS25" s="179"/>
      <c r="BT25" s="179"/>
      <c r="BU25" s="179"/>
      <c r="BV25" s="179"/>
      <c r="BW25" s="179"/>
      <c r="BX25" s="179"/>
      <c r="BY25" s="179"/>
      <c r="BZ25" s="179"/>
      <c r="CA25" s="179"/>
      <c r="CB25" s="179"/>
      <c r="CC25" s="179"/>
      <c r="CD25" s="179"/>
      <c r="CE25" s="179"/>
      <c r="CF25" s="179"/>
      <c r="CG25" s="179"/>
      <c r="CH25" s="179"/>
      <c r="CI25" s="179"/>
      <c r="CJ25" s="179"/>
      <c r="CK25" s="179"/>
      <c r="CL25" s="179"/>
      <c r="CM25" s="179"/>
      <c r="CN25" s="179"/>
      <c r="CO25" s="179"/>
      <c r="CP25" s="179"/>
      <c r="CQ25" s="179"/>
      <c r="CR25" s="179"/>
      <c r="CS25" s="179"/>
      <c r="CT25" s="179"/>
      <c r="CU25" s="179"/>
      <c r="CV25" s="179"/>
      <c r="CW25" s="179"/>
    </row>
    <row r="26" spans="1:101" x14ac:dyDescent="0.2">
      <c r="A26" s="32" t="str">
        <f t="shared" ca="1" si="0"/>
        <v>2025-04-28</v>
      </c>
      <c r="B26" s="179">
        <f ca="1">IF(ISNUMBER(MATCH(DATEVALUE($A26),'changes1_based on steps'!B$1:B$400,0)),B$2,)</f>
        <v>0</v>
      </c>
      <c r="C26" s="179">
        <f ca="1">IF(ISNUMBER(MATCH(DATEVALUE($A26),'changes1_based on steps'!C$1:C$400,0)),C$2,)</f>
        <v>0</v>
      </c>
      <c r="D26" s="179">
        <f ca="1">IF(ISNUMBER(MATCH(DATEVALUE($A26),'changes1_based on steps'!D$1:D$400,0)),D$2,)</f>
        <v>0</v>
      </c>
      <c r="E26" s="179">
        <f ca="1">IF(ISNUMBER(MATCH(DATEVALUE($A26),'changes1_based on steps'!E$1:E$400,0)),E$2,)</f>
        <v>0</v>
      </c>
      <c r="F26" s="179">
        <f ca="1">IF(ISNUMBER(MATCH(DATEVALUE($A26),'changes1_based on steps'!F$1:F$400,0)),F$2,)</f>
        <v>0</v>
      </c>
      <c r="G26" s="179">
        <f ca="1">IF(ISNUMBER(MATCH(DATEVALUE($A26),'changes1_based on steps'!G$1:G$400,0)),G$2,)</f>
        <v>0</v>
      </c>
      <c r="H26" s="179">
        <f ca="1">IF(ISNUMBER(MATCH(DATEVALUE($A26),'changes1_based on steps'!H$1:H$400,0)),H$2,)</f>
        <v>0</v>
      </c>
      <c r="I26" s="179">
        <f ca="1">IF(ISNUMBER(MATCH(DATEVALUE($A26),'changes1_based on steps'!I$1:I$400,0)),I$2,)</f>
        <v>0</v>
      </c>
      <c r="J26" s="179">
        <f ca="1">IF(ISNUMBER(MATCH(DATEVALUE($A26),'changes1_based on steps'!J$1:J$400,0)),J$2,)</f>
        <v>0</v>
      </c>
      <c r="K26" s="179">
        <f ca="1">IF(ISNUMBER(MATCH(DATEVALUE($A26),'changes1_based on steps'!K$1:K$400,0)),K$2,)</f>
        <v>0</v>
      </c>
      <c r="L26" s="179">
        <f ca="1">IF(ISNUMBER(MATCH(DATEVALUE($A26),'changes1_based on steps'!L$1:L$400,0)),L$2,)</f>
        <v>0</v>
      </c>
      <c r="M26" s="179">
        <f ca="1">IF(ISNUMBER(MATCH(DATEVALUE($A26),'changes1_based on steps'!M$1:M$400,0)),M$2,)</f>
        <v>0</v>
      </c>
      <c r="N26" s="179">
        <f ca="1">IF(ISNUMBER(MATCH(DATEVALUE($A26),'changes1_based on steps'!N$1:N$400,0)),N$2,)</f>
        <v>0</v>
      </c>
      <c r="O26" s="179">
        <f ca="1">IF(ISNUMBER(MATCH(DATEVALUE($A26),'changes1_based on steps'!O$1:O$400,0)),O$2,)</f>
        <v>0</v>
      </c>
      <c r="P26" s="179">
        <f ca="1">IF(ISNUMBER(MATCH(DATEVALUE($A26),'changes1_based on steps'!P$1:P$400,0)),P$2,)</f>
        <v>0</v>
      </c>
      <c r="Q26" s="179">
        <f ca="1">IF(ISNUMBER(MATCH(DATEVALUE($A26),'changes1_based on steps'!Q$1:Q$400,0)),Q$2,)</f>
        <v>0</v>
      </c>
      <c r="R26" s="179">
        <f ca="1">IF(ISNUMBER(MATCH(DATEVALUE($A26),'changes1_based on steps'!R$1:R$400,0)),R$2,)</f>
        <v>0</v>
      </c>
      <c r="S26" s="179">
        <f ca="1">IF(ISNUMBER(MATCH(DATEVALUE($A26),'changes1_based on steps'!S$1:S$400,0)),S$2,)</f>
        <v>0</v>
      </c>
      <c r="T26" s="179">
        <f ca="1">IF(ISNUMBER(MATCH(DATEVALUE($A26),'changes1_based on steps'!T$1:T$400,0)),T$2,)</f>
        <v>0</v>
      </c>
      <c r="U26" s="179">
        <f ca="1">IF(ISNUMBER(MATCH(DATEVALUE($A26),'changes1_based on steps'!U$1:U$400,0)),U$2,)</f>
        <v>0</v>
      </c>
      <c r="V26" s="179"/>
      <c r="W26" s="179"/>
      <c r="X26" s="179"/>
      <c r="Y26" s="179"/>
      <c r="Z26" s="179"/>
      <c r="AA26" s="179"/>
      <c r="AB26" s="179"/>
      <c r="AC26" s="179"/>
      <c r="AD26" s="179"/>
      <c r="AE26" s="179"/>
      <c r="AF26" s="179"/>
      <c r="AG26" s="179"/>
      <c r="AH26" s="179"/>
      <c r="AI26" s="179"/>
      <c r="AJ26" s="179"/>
      <c r="AK26" s="179"/>
      <c r="AL26" s="179"/>
      <c r="AM26" s="179"/>
      <c r="AN26" s="179"/>
      <c r="AO26" s="179"/>
      <c r="AP26" s="179"/>
      <c r="AQ26" s="179"/>
      <c r="AR26" s="179"/>
      <c r="AS26" s="179"/>
      <c r="AT26" s="179"/>
      <c r="AU26" s="179"/>
      <c r="AV26" s="179"/>
      <c r="AW26" s="179"/>
      <c r="AX26" s="179"/>
      <c r="AY26" s="179"/>
      <c r="AZ26" s="179"/>
      <c r="BA26" s="179"/>
      <c r="BB26" s="179"/>
      <c r="BC26" s="179"/>
      <c r="BD26" s="179"/>
      <c r="BE26" s="179"/>
      <c r="BF26" s="179"/>
      <c r="BG26" s="179"/>
      <c r="BH26" s="179"/>
      <c r="BI26" s="179"/>
      <c r="BJ26" s="179"/>
      <c r="BK26" s="179"/>
      <c r="BL26" s="179"/>
      <c r="BM26" s="179"/>
      <c r="BN26" s="179"/>
      <c r="BO26" s="179"/>
      <c r="BP26" s="179"/>
      <c r="BQ26" s="179"/>
      <c r="BR26" s="179"/>
      <c r="BS26" s="179"/>
      <c r="BT26" s="179"/>
      <c r="BU26" s="179"/>
      <c r="BV26" s="179"/>
      <c r="BW26" s="179"/>
      <c r="BX26" s="179"/>
      <c r="BY26" s="179"/>
      <c r="BZ26" s="179"/>
      <c r="CA26" s="179"/>
      <c r="CB26" s="179"/>
      <c r="CC26" s="179"/>
      <c r="CD26" s="179"/>
      <c r="CE26" s="179"/>
      <c r="CF26" s="179"/>
      <c r="CG26" s="179"/>
      <c r="CH26" s="179"/>
      <c r="CI26" s="179"/>
      <c r="CJ26" s="179"/>
      <c r="CK26" s="179"/>
      <c r="CL26" s="179"/>
      <c r="CM26" s="179"/>
      <c r="CN26" s="179"/>
      <c r="CO26" s="179"/>
      <c r="CP26" s="179"/>
      <c r="CQ26" s="179"/>
      <c r="CR26" s="179"/>
      <c r="CS26" s="179"/>
      <c r="CT26" s="179"/>
      <c r="CU26" s="179"/>
      <c r="CV26" s="179"/>
      <c r="CW26" s="179"/>
    </row>
    <row r="27" spans="1:101" x14ac:dyDescent="0.2">
      <c r="A27" s="32" t="str">
        <f t="shared" ca="1" si="0"/>
        <v>2025-04-29</v>
      </c>
      <c r="B27" s="179">
        <f ca="1">IF(ISNUMBER(MATCH(DATEVALUE($A27),'changes1_based on steps'!B$1:B$400,0)),B$2,)</f>
        <v>0</v>
      </c>
      <c r="C27" s="179">
        <f ca="1">IF(ISNUMBER(MATCH(DATEVALUE($A27),'changes1_based on steps'!C$1:C$400,0)),C$2,)</f>
        <v>0</v>
      </c>
      <c r="D27" s="179">
        <f ca="1">IF(ISNUMBER(MATCH(DATEVALUE($A27),'changes1_based on steps'!D$1:D$400,0)),D$2,)</f>
        <v>0</v>
      </c>
      <c r="E27" s="179">
        <f ca="1">IF(ISNUMBER(MATCH(DATEVALUE($A27),'changes1_based on steps'!E$1:E$400,0)),E$2,)</f>
        <v>0</v>
      </c>
      <c r="F27" s="179">
        <f ca="1">IF(ISNUMBER(MATCH(DATEVALUE($A27),'changes1_based on steps'!F$1:F$400,0)),F$2,)</f>
        <v>0</v>
      </c>
      <c r="G27" s="179">
        <f ca="1">IF(ISNUMBER(MATCH(DATEVALUE($A27),'changes1_based on steps'!G$1:G$400,0)),G$2,)</f>
        <v>0</v>
      </c>
      <c r="H27" s="179">
        <f ca="1">IF(ISNUMBER(MATCH(DATEVALUE($A27),'changes1_based on steps'!H$1:H$400,0)),H$2,)</f>
        <v>0</v>
      </c>
      <c r="I27" s="179">
        <f ca="1">IF(ISNUMBER(MATCH(DATEVALUE($A27),'changes1_based on steps'!I$1:I$400,0)),I$2,)</f>
        <v>0</v>
      </c>
      <c r="J27" s="179">
        <f ca="1">IF(ISNUMBER(MATCH(DATEVALUE($A27),'changes1_based on steps'!J$1:J$400,0)),J$2,)</f>
        <v>0</v>
      </c>
      <c r="K27" s="179">
        <f ca="1">IF(ISNUMBER(MATCH(DATEVALUE($A27),'changes1_based on steps'!K$1:K$400,0)),K$2,)</f>
        <v>0</v>
      </c>
      <c r="L27" s="179">
        <f ca="1">IF(ISNUMBER(MATCH(DATEVALUE($A27),'changes1_based on steps'!L$1:L$400,0)),L$2,)</f>
        <v>0</v>
      </c>
      <c r="M27" s="179">
        <f ca="1">IF(ISNUMBER(MATCH(DATEVALUE($A27),'changes1_based on steps'!M$1:M$400,0)),M$2,)</f>
        <v>0</v>
      </c>
      <c r="N27" s="179">
        <f ca="1">IF(ISNUMBER(MATCH(DATEVALUE($A27),'changes1_based on steps'!N$1:N$400,0)),N$2,)</f>
        <v>0</v>
      </c>
      <c r="O27" s="179">
        <f ca="1">IF(ISNUMBER(MATCH(DATEVALUE($A27),'changes1_based on steps'!O$1:O$400,0)),O$2,)</f>
        <v>0</v>
      </c>
      <c r="P27" s="179">
        <f ca="1">IF(ISNUMBER(MATCH(DATEVALUE($A27),'changes1_based on steps'!P$1:P$400,0)),P$2,)</f>
        <v>0</v>
      </c>
      <c r="Q27" s="179">
        <f ca="1">IF(ISNUMBER(MATCH(DATEVALUE($A27),'changes1_based on steps'!Q$1:Q$400,0)),Q$2,)</f>
        <v>0</v>
      </c>
      <c r="R27" s="179">
        <f ca="1">IF(ISNUMBER(MATCH(DATEVALUE($A27),'changes1_based on steps'!R$1:R$400,0)),R$2,)</f>
        <v>0</v>
      </c>
      <c r="S27" s="179">
        <f ca="1">IF(ISNUMBER(MATCH(DATEVALUE($A27),'changes1_based on steps'!S$1:S$400,0)),S$2,)</f>
        <v>0</v>
      </c>
      <c r="T27" s="179">
        <f ca="1">IF(ISNUMBER(MATCH(DATEVALUE($A27),'changes1_based on steps'!T$1:T$400,0)),T$2,)</f>
        <v>0</v>
      </c>
      <c r="U27" s="179">
        <f ca="1">IF(ISNUMBER(MATCH(DATEVALUE($A27),'changes1_based on steps'!U$1:U$400,0)),U$2,)</f>
        <v>0</v>
      </c>
      <c r="V27" s="179"/>
      <c r="W27" s="179"/>
      <c r="X27" s="179"/>
      <c r="Y27" s="179"/>
      <c r="Z27" s="179"/>
      <c r="AA27" s="179"/>
      <c r="AB27" s="179"/>
      <c r="AC27" s="179"/>
      <c r="AD27" s="179"/>
      <c r="AE27" s="179"/>
      <c r="AF27" s="179"/>
      <c r="AG27" s="179"/>
      <c r="AH27" s="179"/>
      <c r="AI27" s="179"/>
      <c r="AJ27" s="179"/>
      <c r="AK27" s="179"/>
      <c r="AL27" s="179"/>
      <c r="AM27" s="179"/>
      <c r="AN27" s="179"/>
      <c r="AO27" s="179"/>
      <c r="AP27" s="179"/>
      <c r="AQ27" s="179"/>
      <c r="AR27" s="179"/>
      <c r="AS27" s="179"/>
      <c r="AT27" s="179"/>
      <c r="AU27" s="179"/>
      <c r="AV27" s="179"/>
      <c r="AW27" s="179"/>
      <c r="AX27" s="179"/>
      <c r="AY27" s="179"/>
      <c r="AZ27" s="179"/>
      <c r="BA27" s="179"/>
      <c r="BB27" s="179"/>
      <c r="BC27" s="179"/>
      <c r="BD27" s="179"/>
      <c r="BE27" s="179"/>
      <c r="BF27" s="179"/>
      <c r="BG27" s="179"/>
      <c r="BH27" s="179"/>
      <c r="BI27" s="179"/>
      <c r="BJ27" s="179"/>
      <c r="BK27" s="179"/>
      <c r="BL27" s="179"/>
      <c r="BM27" s="179"/>
      <c r="BN27" s="179"/>
      <c r="BO27" s="179"/>
      <c r="BP27" s="179"/>
      <c r="BQ27" s="179"/>
      <c r="BR27" s="179"/>
      <c r="BS27" s="179"/>
      <c r="BT27" s="179"/>
      <c r="BU27" s="179"/>
      <c r="BV27" s="179"/>
      <c r="BW27" s="179"/>
      <c r="BX27" s="179"/>
      <c r="BY27" s="179"/>
      <c r="BZ27" s="179"/>
      <c r="CA27" s="179"/>
      <c r="CB27" s="179"/>
      <c r="CC27" s="179"/>
      <c r="CD27" s="179"/>
      <c r="CE27" s="179"/>
      <c r="CF27" s="179"/>
      <c r="CG27" s="179"/>
      <c r="CH27" s="179"/>
      <c r="CI27" s="179"/>
      <c r="CJ27" s="179"/>
      <c r="CK27" s="179"/>
      <c r="CL27" s="179"/>
      <c r="CM27" s="179"/>
      <c r="CN27" s="179"/>
      <c r="CO27" s="179"/>
      <c r="CP27" s="179"/>
      <c r="CQ27" s="179"/>
      <c r="CR27" s="179"/>
      <c r="CS27" s="179"/>
      <c r="CT27" s="179"/>
      <c r="CU27" s="179"/>
      <c r="CV27" s="179"/>
      <c r="CW27" s="179"/>
    </row>
    <row r="28" spans="1:101" x14ac:dyDescent="0.2">
      <c r="A28" s="32" t="str">
        <f t="shared" ca="1" si="0"/>
        <v>2025-04-30</v>
      </c>
      <c r="B28" s="179">
        <f ca="1">IF(ISNUMBER(MATCH(DATEVALUE($A28),'changes1_based on steps'!B$1:B$400,0)),B$2,)</f>
        <v>0</v>
      </c>
      <c r="C28" s="179">
        <f ca="1">IF(ISNUMBER(MATCH(DATEVALUE($A28),'changes1_based on steps'!C$1:C$400,0)),C$2,)</f>
        <v>0</v>
      </c>
      <c r="D28" s="179">
        <f ca="1">IF(ISNUMBER(MATCH(DATEVALUE($A28),'changes1_based on steps'!D$1:D$400,0)),D$2,)</f>
        <v>0</v>
      </c>
      <c r="E28" s="179">
        <f ca="1">IF(ISNUMBER(MATCH(DATEVALUE($A28),'changes1_based on steps'!E$1:E$400,0)),E$2,)</f>
        <v>0</v>
      </c>
      <c r="F28" s="179">
        <f ca="1">IF(ISNUMBER(MATCH(DATEVALUE($A28),'changes1_based on steps'!F$1:F$400,0)),F$2,)</f>
        <v>0</v>
      </c>
      <c r="G28" s="179">
        <f ca="1">IF(ISNUMBER(MATCH(DATEVALUE($A28),'changes1_based on steps'!G$1:G$400,0)),G$2,)</f>
        <v>0</v>
      </c>
      <c r="H28" s="179">
        <f ca="1">IF(ISNUMBER(MATCH(DATEVALUE($A28),'changes1_based on steps'!H$1:H$400,0)),H$2,)</f>
        <v>0</v>
      </c>
      <c r="I28" s="179">
        <f ca="1">IF(ISNUMBER(MATCH(DATEVALUE($A28),'changes1_based on steps'!I$1:I$400,0)),I$2,)</f>
        <v>0</v>
      </c>
      <c r="J28" s="179">
        <f ca="1">IF(ISNUMBER(MATCH(DATEVALUE($A28),'changes1_based on steps'!J$1:J$400,0)),J$2,)</f>
        <v>0</v>
      </c>
      <c r="K28" s="179">
        <f ca="1">IF(ISNUMBER(MATCH(DATEVALUE($A28),'changes1_based on steps'!K$1:K$400,0)),K$2,)</f>
        <v>0</v>
      </c>
      <c r="L28" s="179">
        <f ca="1">IF(ISNUMBER(MATCH(DATEVALUE($A28),'changes1_based on steps'!L$1:L$400,0)),L$2,)</f>
        <v>0</v>
      </c>
      <c r="M28" s="179">
        <f ca="1">IF(ISNUMBER(MATCH(DATEVALUE($A28),'changes1_based on steps'!M$1:M$400,0)),M$2,)</f>
        <v>0</v>
      </c>
      <c r="N28" s="179">
        <f ca="1">IF(ISNUMBER(MATCH(DATEVALUE($A28),'changes1_based on steps'!N$1:N$400,0)),N$2,)</f>
        <v>0</v>
      </c>
      <c r="O28" s="179">
        <f ca="1">IF(ISNUMBER(MATCH(DATEVALUE($A28),'changes1_based on steps'!O$1:O$400,0)),O$2,)</f>
        <v>0</v>
      </c>
      <c r="P28" s="179">
        <f ca="1">IF(ISNUMBER(MATCH(DATEVALUE($A28),'changes1_based on steps'!P$1:P$400,0)),P$2,)</f>
        <v>0</v>
      </c>
      <c r="Q28" s="179">
        <f ca="1">IF(ISNUMBER(MATCH(DATEVALUE($A28),'changes1_based on steps'!Q$1:Q$400,0)),Q$2,)</f>
        <v>0</v>
      </c>
      <c r="R28" s="179">
        <f ca="1">IF(ISNUMBER(MATCH(DATEVALUE($A28),'changes1_based on steps'!R$1:R$400,0)),R$2,)</f>
        <v>0</v>
      </c>
      <c r="S28" s="179">
        <f ca="1">IF(ISNUMBER(MATCH(DATEVALUE($A28),'changes1_based on steps'!S$1:S$400,0)),S$2,)</f>
        <v>0</v>
      </c>
      <c r="T28" s="179">
        <f ca="1">IF(ISNUMBER(MATCH(DATEVALUE($A28),'changes1_based on steps'!T$1:T$400,0)),T$2,)</f>
        <v>0</v>
      </c>
      <c r="U28" s="179">
        <f ca="1">IF(ISNUMBER(MATCH(DATEVALUE($A28),'changes1_based on steps'!U$1:U$400,0)),U$2,)</f>
        <v>0</v>
      </c>
      <c r="V28" s="179"/>
      <c r="W28" s="179"/>
      <c r="X28" s="179"/>
      <c r="Y28" s="179"/>
      <c r="Z28" s="179"/>
      <c r="AA28" s="179"/>
      <c r="AB28" s="179"/>
      <c r="AC28" s="179"/>
      <c r="AD28" s="179"/>
      <c r="AE28" s="179"/>
      <c r="AF28" s="179"/>
      <c r="AG28" s="179"/>
      <c r="AH28" s="179"/>
      <c r="AI28" s="179"/>
      <c r="AJ28" s="179"/>
      <c r="AK28" s="179"/>
      <c r="AL28" s="179"/>
      <c r="AM28" s="179"/>
      <c r="AN28" s="179"/>
      <c r="AO28" s="179"/>
      <c r="AP28" s="179"/>
      <c r="AQ28" s="179"/>
      <c r="AR28" s="179"/>
      <c r="AS28" s="179"/>
      <c r="AT28" s="179"/>
      <c r="AU28" s="179"/>
      <c r="AV28" s="179"/>
      <c r="AW28" s="179"/>
      <c r="AX28" s="179"/>
      <c r="AY28" s="179"/>
      <c r="AZ28" s="179"/>
      <c r="BA28" s="179"/>
      <c r="BB28" s="179"/>
      <c r="BC28" s="179"/>
      <c r="BD28" s="179"/>
      <c r="BE28" s="179"/>
      <c r="BF28" s="179"/>
      <c r="BG28" s="179"/>
      <c r="BH28" s="179"/>
      <c r="BI28" s="179"/>
      <c r="BJ28" s="179"/>
      <c r="BK28" s="179"/>
      <c r="BL28" s="179"/>
      <c r="BM28" s="179"/>
      <c r="BN28" s="179"/>
      <c r="BO28" s="179"/>
      <c r="BP28" s="179"/>
      <c r="BQ28" s="179"/>
      <c r="BR28" s="179"/>
      <c r="BS28" s="179"/>
      <c r="BT28" s="179"/>
      <c r="BU28" s="179"/>
      <c r="BV28" s="179"/>
      <c r="BW28" s="179"/>
      <c r="BX28" s="179"/>
      <c r="BY28" s="179"/>
      <c r="BZ28" s="179"/>
      <c r="CA28" s="179"/>
      <c r="CB28" s="179"/>
      <c r="CC28" s="179"/>
      <c r="CD28" s="179"/>
      <c r="CE28" s="179"/>
      <c r="CF28" s="179"/>
      <c r="CG28" s="179"/>
      <c r="CH28" s="179"/>
      <c r="CI28" s="179"/>
      <c r="CJ28" s="179"/>
      <c r="CK28" s="179"/>
      <c r="CL28" s="179"/>
      <c r="CM28" s="179"/>
      <c r="CN28" s="179"/>
      <c r="CO28" s="179"/>
      <c r="CP28" s="179"/>
      <c r="CQ28" s="179"/>
      <c r="CR28" s="179"/>
      <c r="CS28" s="179"/>
      <c r="CT28" s="179"/>
      <c r="CU28" s="179"/>
      <c r="CV28" s="179"/>
      <c r="CW28" s="179"/>
    </row>
    <row r="29" spans="1:101" x14ac:dyDescent="0.2">
      <c r="A29" s="32" t="str">
        <f t="shared" ca="1" si="0"/>
        <v>2025-05-01</v>
      </c>
      <c r="B29" s="179">
        <f ca="1">IF(ISNUMBER(MATCH(DATEVALUE($A29),'changes1_based on steps'!B$1:B$400,0)),B$2,)</f>
        <v>0</v>
      </c>
      <c r="C29" s="179">
        <f ca="1">IF(ISNUMBER(MATCH(DATEVALUE($A29),'changes1_based on steps'!C$1:C$400,0)),C$2,)</f>
        <v>0</v>
      </c>
      <c r="D29" s="179">
        <f ca="1">IF(ISNUMBER(MATCH(DATEVALUE($A29),'changes1_based on steps'!D$1:D$400,0)),D$2,)</f>
        <v>0</v>
      </c>
      <c r="E29" s="179">
        <f ca="1">IF(ISNUMBER(MATCH(DATEVALUE($A29),'changes1_based on steps'!E$1:E$400,0)),E$2,)</f>
        <v>0</v>
      </c>
      <c r="F29" s="179">
        <f ca="1">IF(ISNUMBER(MATCH(DATEVALUE($A29),'changes1_based on steps'!F$1:F$400,0)),F$2,)</f>
        <v>0</v>
      </c>
      <c r="G29" s="179">
        <f ca="1">IF(ISNUMBER(MATCH(DATEVALUE($A29),'changes1_based on steps'!G$1:G$400,0)),G$2,)</f>
        <v>0</v>
      </c>
      <c r="H29" s="179">
        <f ca="1">IF(ISNUMBER(MATCH(DATEVALUE($A29),'changes1_based on steps'!H$1:H$400,0)),H$2,)</f>
        <v>0</v>
      </c>
      <c r="I29" s="179">
        <f ca="1">IF(ISNUMBER(MATCH(DATEVALUE($A29),'changes1_based on steps'!I$1:I$400,0)),I$2,)</f>
        <v>0</v>
      </c>
      <c r="J29" s="179">
        <f ca="1">IF(ISNUMBER(MATCH(DATEVALUE($A29),'changes1_based on steps'!J$1:J$400,0)),J$2,)</f>
        <v>0</v>
      </c>
      <c r="K29" s="179">
        <f ca="1">IF(ISNUMBER(MATCH(DATEVALUE($A29),'changes1_based on steps'!K$1:K$400,0)),K$2,)</f>
        <v>0</v>
      </c>
      <c r="L29" s="179">
        <f ca="1">IF(ISNUMBER(MATCH(DATEVALUE($A29),'changes1_based on steps'!L$1:L$400,0)),L$2,)</f>
        <v>0</v>
      </c>
      <c r="M29" s="179">
        <f ca="1">IF(ISNUMBER(MATCH(DATEVALUE($A29),'changes1_based on steps'!M$1:M$400,0)),M$2,)</f>
        <v>0</v>
      </c>
      <c r="N29" s="179">
        <f ca="1">IF(ISNUMBER(MATCH(DATEVALUE($A29),'changes1_based on steps'!N$1:N$400,0)),N$2,)</f>
        <v>0</v>
      </c>
      <c r="O29" s="179">
        <f ca="1">IF(ISNUMBER(MATCH(DATEVALUE($A29),'changes1_based on steps'!O$1:O$400,0)),O$2,)</f>
        <v>0</v>
      </c>
      <c r="P29" s="179">
        <f ca="1">IF(ISNUMBER(MATCH(DATEVALUE($A29),'changes1_based on steps'!P$1:P$400,0)),P$2,)</f>
        <v>0</v>
      </c>
      <c r="Q29" s="179">
        <f ca="1">IF(ISNUMBER(MATCH(DATEVALUE($A29),'changes1_based on steps'!Q$1:Q$400,0)),Q$2,)</f>
        <v>0</v>
      </c>
      <c r="R29" s="179">
        <f ca="1">IF(ISNUMBER(MATCH(DATEVALUE($A29),'changes1_based on steps'!R$1:R$400,0)),R$2,)</f>
        <v>0</v>
      </c>
      <c r="S29" s="179">
        <f ca="1">IF(ISNUMBER(MATCH(DATEVALUE($A29),'changes1_based on steps'!S$1:S$400,0)),S$2,)</f>
        <v>0</v>
      </c>
      <c r="T29" s="179">
        <f ca="1">IF(ISNUMBER(MATCH(DATEVALUE($A29),'changes1_based on steps'!T$1:T$400,0)),T$2,)</f>
        <v>0</v>
      </c>
      <c r="U29" s="179">
        <f ca="1">IF(ISNUMBER(MATCH(DATEVALUE($A29),'changes1_based on steps'!U$1:U$400,0)),U$2,)</f>
        <v>0</v>
      </c>
      <c r="V29" s="179"/>
      <c r="W29" s="179"/>
      <c r="X29" s="179"/>
      <c r="Y29" s="179"/>
      <c r="Z29" s="179"/>
      <c r="AA29" s="179"/>
      <c r="AB29" s="179"/>
      <c r="AC29" s="179"/>
      <c r="AD29" s="179"/>
      <c r="AE29" s="179"/>
      <c r="AF29" s="179"/>
      <c r="AG29" s="179"/>
      <c r="AH29" s="179"/>
      <c r="AI29" s="179"/>
      <c r="AJ29" s="179"/>
      <c r="AK29" s="179"/>
      <c r="AL29" s="179"/>
      <c r="AM29" s="179"/>
      <c r="AN29" s="179"/>
      <c r="AO29" s="179"/>
      <c r="AP29" s="179"/>
      <c r="AQ29" s="179"/>
      <c r="AR29" s="179"/>
      <c r="AS29" s="179"/>
      <c r="AT29" s="179"/>
      <c r="AU29" s="179"/>
      <c r="AV29" s="179"/>
      <c r="AW29" s="179"/>
      <c r="AX29" s="179"/>
      <c r="AY29" s="179"/>
      <c r="AZ29" s="179"/>
      <c r="BA29" s="179"/>
      <c r="BB29" s="179"/>
      <c r="BC29" s="179"/>
      <c r="BD29" s="179"/>
      <c r="BE29" s="179"/>
      <c r="BF29" s="179"/>
      <c r="BG29" s="179"/>
      <c r="BH29" s="179"/>
      <c r="BI29" s="179"/>
      <c r="BJ29" s="179"/>
      <c r="BK29" s="179"/>
      <c r="BL29" s="179"/>
      <c r="BM29" s="179"/>
      <c r="BN29" s="179"/>
      <c r="BO29" s="179"/>
      <c r="BP29" s="179"/>
      <c r="BQ29" s="179"/>
      <c r="BR29" s="179"/>
      <c r="BS29" s="179"/>
      <c r="BT29" s="179"/>
      <c r="BU29" s="179"/>
      <c r="BV29" s="179"/>
      <c r="BW29" s="179"/>
      <c r="BX29" s="179"/>
      <c r="BY29" s="179"/>
      <c r="BZ29" s="179"/>
      <c r="CA29" s="179"/>
      <c r="CB29" s="179"/>
      <c r="CC29" s="179"/>
      <c r="CD29" s="179"/>
      <c r="CE29" s="179"/>
      <c r="CF29" s="179"/>
      <c r="CG29" s="179"/>
      <c r="CH29" s="179"/>
      <c r="CI29" s="179"/>
      <c r="CJ29" s="179"/>
      <c r="CK29" s="179"/>
      <c r="CL29" s="179"/>
      <c r="CM29" s="179"/>
      <c r="CN29" s="179"/>
      <c r="CO29" s="179"/>
      <c r="CP29" s="179"/>
      <c r="CQ29" s="179"/>
      <c r="CR29" s="179"/>
      <c r="CS29" s="179"/>
      <c r="CT29" s="179"/>
      <c r="CU29" s="179"/>
      <c r="CV29" s="179"/>
      <c r="CW29" s="179"/>
    </row>
    <row r="30" spans="1:101" x14ac:dyDescent="0.2">
      <c r="A30" s="32" t="str">
        <f t="shared" ca="1" si="0"/>
        <v>2025-05-02</v>
      </c>
      <c r="B30" s="179">
        <f ca="1">IF(ISNUMBER(MATCH(DATEVALUE($A30),'changes1_based on steps'!B$1:B$400,0)),B$2,)</f>
        <v>0</v>
      </c>
      <c r="C30" s="179">
        <f ca="1">IF(ISNUMBER(MATCH(DATEVALUE($A30),'changes1_based on steps'!C$1:C$400,0)),C$2,)</f>
        <v>0</v>
      </c>
      <c r="D30" s="179">
        <f ca="1">IF(ISNUMBER(MATCH(DATEVALUE($A30),'changes1_based on steps'!D$1:D$400,0)),D$2,)</f>
        <v>0</v>
      </c>
      <c r="E30" s="179">
        <f ca="1">IF(ISNUMBER(MATCH(DATEVALUE($A30),'changes1_based on steps'!E$1:E$400,0)),E$2,)</f>
        <v>0</v>
      </c>
      <c r="F30" s="179">
        <f ca="1">IF(ISNUMBER(MATCH(DATEVALUE($A30),'changes1_based on steps'!F$1:F$400,0)),F$2,)</f>
        <v>0</v>
      </c>
      <c r="G30" s="179">
        <f ca="1">IF(ISNUMBER(MATCH(DATEVALUE($A30),'changes1_based on steps'!G$1:G$400,0)),G$2,)</f>
        <v>0</v>
      </c>
      <c r="H30" s="179">
        <f ca="1">IF(ISNUMBER(MATCH(DATEVALUE($A30),'changes1_based on steps'!H$1:H$400,0)),H$2,)</f>
        <v>0</v>
      </c>
      <c r="I30" s="179">
        <f ca="1">IF(ISNUMBER(MATCH(DATEVALUE($A30),'changes1_based on steps'!I$1:I$400,0)),I$2,)</f>
        <v>0</v>
      </c>
      <c r="J30" s="179">
        <f ca="1">IF(ISNUMBER(MATCH(DATEVALUE($A30),'changes1_based on steps'!J$1:J$400,0)),J$2,)</f>
        <v>0</v>
      </c>
      <c r="K30" s="179">
        <f ca="1">IF(ISNUMBER(MATCH(DATEVALUE($A30),'changes1_based on steps'!K$1:K$400,0)),K$2,)</f>
        <v>0</v>
      </c>
      <c r="L30" s="179">
        <f ca="1">IF(ISNUMBER(MATCH(DATEVALUE($A30),'changes1_based on steps'!L$1:L$400,0)),L$2,)</f>
        <v>0</v>
      </c>
      <c r="M30" s="179">
        <f ca="1">IF(ISNUMBER(MATCH(DATEVALUE($A30),'changes1_based on steps'!M$1:M$400,0)),M$2,)</f>
        <v>0</v>
      </c>
      <c r="N30" s="179">
        <f ca="1">IF(ISNUMBER(MATCH(DATEVALUE($A30),'changes1_based on steps'!N$1:N$400,0)),N$2,)</f>
        <v>0</v>
      </c>
      <c r="O30" s="179">
        <f ca="1">IF(ISNUMBER(MATCH(DATEVALUE($A30),'changes1_based on steps'!O$1:O$400,0)),O$2,)</f>
        <v>0</v>
      </c>
      <c r="P30" s="179">
        <f ca="1">IF(ISNUMBER(MATCH(DATEVALUE($A30),'changes1_based on steps'!P$1:P$400,0)),P$2,)</f>
        <v>0</v>
      </c>
      <c r="Q30" s="179">
        <f ca="1">IF(ISNUMBER(MATCH(DATEVALUE($A30),'changes1_based on steps'!Q$1:Q$400,0)),Q$2,)</f>
        <v>0</v>
      </c>
      <c r="R30" s="179">
        <f ca="1">IF(ISNUMBER(MATCH(DATEVALUE($A30),'changes1_based on steps'!R$1:R$400,0)),R$2,)</f>
        <v>0</v>
      </c>
      <c r="S30" s="179">
        <f ca="1">IF(ISNUMBER(MATCH(DATEVALUE($A30),'changes1_based on steps'!S$1:S$400,0)),S$2,)</f>
        <v>0</v>
      </c>
      <c r="T30" s="179">
        <f ca="1">IF(ISNUMBER(MATCH(DATEVALUE($A30),'changes1_based on steps'!T$1:T$400,0)),T$2,)</f>
        <v>0</v>
      </c>
      <c r="U30" s="179">
        <f ca="1">IF(ISNUMBER(MATCH(DATEVALUE($A30),'changes1_based on steps'!U$1:U$400,0)),U$2,)</f>
        <v>0</v>
      </c>
      <c r="V30" s="179"/>
      <c r="W30" s="179"/>
      <c r="X30" s="179"/>
      <c r="Y30" s="179"/>
      <c r="Z30" s="179"/>
      <c r="AA30" s="179"/>
      <c r="AB30" s="179"/>
      <c r="AC30" s="179"/>
      <c r="AD30" s="179"/>
      <c r="AE30" s="179"/>
      <c r="AF30" s="179"/>
      <c r="AG30" s="179"/>
      <c r="AH30" s="179"/>
      <c r="AI30" s="179"/>
      <c r="AJ30" s="179"/>
      <c r="AK30" s="179"/>
      <c r="AL30" s="179"/>
      <c r="AM30" s="179"/>
      <c r="AN30" s="179"/>
      <c r="AO30" s="179"/>
      <c r="AP30" s="179"/>
      <c r="AQ30" s="179"/>
      <c r="AR30" s="179"/>
      <c r="AS30" s="179"/>
      <c r="AT30" s="179"/>
      <c r="AU30" s="179"/>
      <c r="AV30" s="179"/>
      <c r="AW30" s="179"/>
      <c r="AX30" s="179"/>
      <c r="AY30" s="179"/>
      <c r="AZ30" s="179"/>
      <c r="BA30" s="179"/>
      <c r="BB30" s="179"/>
      <c r="BC30" s="179"/>
      <c r="BD30" s="179"/>
      <c r="BE30" s="179"/>
      <c r="BF30" s="179"/>
      <c r="BG30" s="179"/>
      <c r="BH30" s="179"/>
      <c r="BI30" s="179"/>
      <c r="BJ30" s="179"/>
      <c r="BK30" s="179"/>
      <c r="BL30" s="179"/>
      <c r="BM30" s="179"/>
      <c r="BN30" s="179"/>
      <c r="BO30" s="179"/>
      <c r="BP30" s="179"/>
      <c r="BQ30" s="179"/>
      <c r="BR30" s="179"/>
      <c r="BS30" s="179"/>
      <c r="BT30" s="179"/>
      <c r="BU30" s="179"/>
      <c r="BV30" s="179"/>
      <c r="BW30" s="179"/>
      <c r="BX30" s="179"/>
      <c r="BY30" s="179"/>
      <c r="BZ30" s="179"/>
      <c r="CA30" s="179"/>
      <c r="CB30" s="179"/>
      <c r="CC30" s="179"/>
      <c r="CD30" s="179"/>
      <c r="CE30" s="179"/>
      <c r="CF30" s="179"/>
      <c r="CG30" s="179"/>
      <c r="CH30" s="179"/>
      <c r="CI30" s="179"/>
      <c r="CJ30" s="179"/>
      <c r="CK30" s="179"/>
      <c r="CL30" s="179"/>
      <c r="CM30" s="179"/>
      <c r="CN30" s="179"/>
      <c r="CO30" s="179"/>
      <c r="CP30" s="179"/>
      <c r="CQ30" s="179"/>
      <c r="CR30" s="179"/>
      <c r="CS30" s="179"/>
      <c r="CT30" s="179"/>
      <c r="CU30" s="179"/>
      <c r="CV30" s="179"/>
      <c r="CW30" s="179"/>
    </row>
    <row r="31" spans="1:101" x14ac:dyDescent="0.2">
      <c r="A31" s="32" t="str">
        <f t="shared" ca="1" si="0"/>
        <v>2025-05-03</v>
      </c>
      <c r="B31" s="179">
        <f ca="1">IF(ISNUMBER(MATCH(DATEVALUE($A31),'changes1_based on steps'!B$1:B$400,0)),B$2,)</f>
        <v>0</v>
      </c>
      <c r="C31" s="179">
        <f ca="1">IF(ISNUMBER(MATCH(DATEVALUE($A31),'changes1_based on steps'!C$1:C$400,0)),C$2,)</f>
        <v>0</v>
      </c>
      <c r="D31" s="179">
        <f ca="1">IF(ISNUMBER(MATCH(DATEVALUE($A31),'changes1_based on steps'!D$1:D$400,0)),D$2,)</f>
        <v>0</v>
      </c>
      <c r="E31" s="179">
        <f ca="1">IF(ISNUMBER(MATCH(DATEVALUE($A31),'changes1_based on steps'!E$1:E$400,0)),E$2,)</f>
        <v>0</v>
      </c>
      <c r="F31" s="179">
        <f ca="1">IF(ISNUMBER(MATCH(DATEVALUE($A31),'changes1_based on steps'!F$1:F$400,0)),F$2,)</f>
        <v>0</v>
      </c>
      <c r="G31" s="179">
        <f ca="1">IF(ISNUMBER(MATCH(DATEVALUE($A31),'changes1_based on steps'!G$1:G$400,0)),G$2,)</f>
        <v>0</v>
      </c>
      <c r="H31" s="179">
        <f ca="1">IF(ISNUMBER(MATCH(DATEVALUE($A31),'changes1_based on steps'!H$1:H$400,0)),H$2,)</f>
        <v>0</v>
      </c>
      <c r="I31" s="179">
        <f ca="1">IF(ISNUMBER(MATCH(DATEVALUE($A31),'changes1_based on steps'!I$1:I$400,0)),I$2,)</f>
        <v>0</v>
      </c>
      <c r="J31" s="179">
        <f ca="1">IF(ISNUMBER(MATCH(DATEVALUE($A31),'changes1_based on steps'!J$1:J$400,0)),J$2,)</f>
        <v>0</v>
      </c>
      <c r="K31" s="179">
        <f ca="1">IF(ISNUMBER(MATCH(DATEVALUE($A31),'changes1_based on steps'!K$1:K$400,0)),K$2,)</f>
        <v>0</v>
      </c>
      <c r="L31" s="179">
        <f ca="1">IF(ISNUMBER(MATCH(DATEVALUE($A31),'changes1_based on steps'!L$1:L$400,0)),L$2,)</f>
        <v>0</v>
      </c>
      <c r="M31" s="179">
        <f ca="1">IF(ISNUMBER(MATCH(DATEVALUE($A31),'changes1_based on steps'!M$1:M$400,0)),M$2,)</f>
        <v>0</v>
      </c>
      <c r="N31" s="179">
        <f ca="1">IF(ISNUMBER(MATCH(DATEVALUE($A31),'changes1_based on steps'!N$1:N$400,0)),N$2,)</f>
        <v>0</v>
      </c>
      <c r="O31" s="179">
        <f ca="1">IF(ISNUMBER(MATCH(DATEVALUE($A31),'changes1_based on steps'!O$1:O$400,0)),O$2,)</f>
        <v>0</v>
      </c>
      <c r="P31" s="179">
        <f ca="1">IF(ISNUMBER(MATCH(DATEVALUE($A31),'changes1_based on steps'!P$1:P$400,0)),P$2,)</f>
        <v>0</v>
      </c>
      <c r="Q31" s="179">
        <f ca="1">IF(ISNUMBER(MATCH(DATEVALUE($A31),'changes1_based on steps'!Q$1:Q$400,0)),Q$2,)</f>
        <v>0</v>
      </c>
      <c r="R31" s="179">
        <f ca="1">IF(ISNUMBER(MATCH(DATEVALUE($A31),'changes1_based on steps'!R$1:R$400,0)),R$2,)</f>
        <v>0</v>
      </c>
      <c r="S31" s="179">
        <f ca="1">IF(ISNUMBER(MATCH(DATEVALUE($A31),'changes1_based on steps'!S$1:S$400,0)),S$2,)</f>
        <v>0</v>
      </c>
      <c r="T31" s="179">
        <f ca="1">IF(ISNUMBER(MATCH(DATEVALUE($A31),'changes1_based on steps'!T$1:T$400,0)),T$2,)</f>
        <v>0</v>
      </c>
      <c r="U31" s="179">
        <f ca="1">IF(ISNUMBER(MATCH(DATEVALUE($A31),'changes1_based on steps'!U$1:U$400,0)),U$2,)</f>
        <v>0</v>
      </c>
      <c r="V31" s="179"/>
      <c r="W31" s="179"/>
      <c r="X31" s="179"/>
      <c r="Y31" s="179"/>
      <c r="Z31" s="179"/>
      <c r="AA31" s="179"/>
      <c r="AB31" s="179"/>
      <c r="AC31" s="179"/>
      <c r="AD31" s="179"/>
      <c r="AE31" s="179"/>
      <c r="AF31" s="179"/>
      <c r="AG31" s="179"/>
      <c r="AH31" s="179"/>
      <c r="AI31" s="179"/>
      <c r="AJ31" s="179"/>
      <c r="AK31" s="179"/>
      <c r="AL31" s="179"/>
      <c r="AM31" s="179"/>
      <c r="AN31" s="179"/>
      <c r="AO31" s="179"/>
      <c r="AP31" s="179"/>
      <c r="AQ31" s="179"/>
      <c r="AR31" s="179"/>
      <c r="AS31" s="179"/>
      <c r="AT31" s="179"/>
      <c r="AU31" s="179"/>
      <c r="AV31" s="179"/>
      <c r="AW31" s="179"/>
      <c r="AX31" s="179"/>
      <c r="AY31" s="179"/>
      <c r="AZ31" s="179"/>
      <c r="BA31" s="179"/>
      <c r="BB31" s="179"/>
      <c r="BC31" s="179"/>
      <c r="BD31" s="179"/>
      <c r="BE31" s="179"/>
      <c r="BF31" s="179"/>
      <c r="BG31" s="179"/>
      <c r="BH31" s="179"/>
      <c r="BI31" s="179"/>
      <c r="BJ31" s="179"/>
      <c r="BK31" s="179"/>
      <c r="BL31" s="179"/>
      <c r="BM31" s="179"/>
      <c r="BN31" s="179"/>
      <c r="BO31" s="179"/>
      <c r="BP31" s="179"/>
      <c r="BQ31" s="179"/>
      <c r="BR31" s="179"/>
      <c r="BS31" s="179"/>
      <c r="BT31" s="179"/>
      <c r="BU31" s="179"/>
      <c r="BV31" s="179"/>
      <c r="BW31" s="179"/>
      <c r="BX31" s="179"/>
      <c r="BY31" s="179"/>
      <c r="BZ31" s="179"/>
      <c r="CA31" s="179"/>
      <c r="CB31" s="179"/>
      <c r="CC31" s="179"/>
      <c r="CD31" s="179"/>
      <c r="CE31" s="179"/>
      <c r="CF31" s="179"/>
      <c r="CG31" s="179"/>
      <c r="CH31" s="179"/>
      <c r="CI31" s="179"/>
      <c r="CJ31" s="179"/>
      <c r="CK31" s="179"/>
      <c r="CL31" s="179"/>
      <c r="CM31" s="179"/>
      <c r="CN31" s="179"/>
      <c r="CO31" s="179"/>
      <c r="CP31" s="179"/>
      <c r="CQ31" s="179"/>
      <c r="CR31" s="179"/>
      <c r="CS31" s="179"/>
      <c r="CT31" s="179"/>
      <c r="CU31" s="179"/>
      <c r="CV31" s="179"/>
      <c r="CW31" s="179"/>
    </row>
    <row r="32" spans="1:101" x14ac:dyDescent="0.2">
      <c r="A32" s="32" t="str">
        <f t="shared" ca="1" si="0"/>
        <v>2025-05-04</v>
      </c>
      <c r="B32" s="179">
        <f ca="1">IF(ISNUMBER(MATCH(DATEVALUE($A32),'changes1_based on steps'!B$1:B$400,0)),B$2,)</f>
        <v>0</v>
      </c>
      <c r="C32" s="179">
        <f ca="1">IF(ISNUMBER(MATCH(DATEVALUE($A32),'changes1_based on steps'!C$1:C$400,0)),C$2,)</f>
        <v>0</v>
      </c>
      <c r="D32" s="179">
        <f ca="1">IF(ISNUMBER(MATCH(DATEVALUE($A32),'changes1_based on steps'!D$1:D$400,0)),D$2,)</f>
        <v>0</v>
      </c>
      <c r="E32" s="179">
        <f ca="1">IF(ISNUMBER(MATCH(DATEVALUE($A32),'changes1_based on steps'!E$1:E$400,0)),E$2,)</f>
        <v>0</v>
      </c>
      <c r="F32" s="179">
        <f ca="1">IF(ISNUMBER(MATCH(DATEVALUE($A32),'changes1_based on steps'!F$1:F$400,0)),F$2,)</f>
        <v>0</v>
      </c>
      <c r="G32" s="179">
        <f ca="1">IF(ISNUMBER(MATCH(DATEVALUE($A32),'changes1_based on steps'!G$1:G$400,0)),G$2,)</f>
        <v>0</v>
      </c>
      <c r="H32" s="179">
        <f ca="1">IF(ISNUMBER(MATCH(DATEVALUE($A32),'changes1_based on steps'!H$1:H$400,0)),H$2,)</f>
        <v>0</v>
      </c>
      <c r="I32" s="179">
        <f ca="1">IF(ISNUMBER(MATCH(DATEVALUE($A32),'changes1_based on steps'!I$1:I$400,0)),I$2,)</f>
        <v>0</v>
      </c>
      <c r="J32" s="179">
        <f ca="1">IF(ISNUMBER(MATCH(DATEVALUE($A32),'changes1_based on steps'!J$1:J$400,0)),J$2,)</f>
        <v>0</v>
      </c>
      <c r="K32" s="179">
        <f ca="1">IF(ISNUMBER(MATCH(DATEVALUE($A32),'changes1_based on steps'!K$1:K$400,0)),K$2,)</f>
        <v>0</v>
      </c>
      <c r="L32" s="179">
        <f ca="1">IF(ISNUMBER(MATCH(DATEVALUE($A32),'changes1_based on steps'!L$1:L$400,0)),L$2,)</f>
        <v>0</v>
      </c>
      <c r="M32" s="179">
        <f ca="1">IF(ISNUMBER(MATCH(DATEVALUE($A32),'changes1_based on steps'!M$1:M$400,0)),M$2,)</f>
        <v>0</v>
      </c>
      <c r="N32" s="179">
        <f ca="1">IF(ISNUMBER(MATCH(DATEVALUE($A32),'changes1_based on steps'!N$1:N$400,0)),N$2,)</f>
        <v>0</v>
      </c>
      <c r="O32" s="179">
        <f ca="1">IF(ISNUMBER(MATCH(DATEVALUE($A32),'changes1_based on steps'!O$1:O$400,0)),O$2,)</f>
        <v>0</v>
      </c>
      <c r="P32" s="179">
        <f ca="1">IF(ISNUMBER(MATCH(DATEVALUE($A32),'changes1_based on steps'!P$1:P$400,0)),P$2,)</f>
        <v>0</v>
      </c>
      <c r="Q32" s="179">
        <f ca="1">IF(ISNUMBER(MATCH(DATEVALUE($A32),'changes1_based on steps'!Q$1:Q$400,0)),Q$2,)</f>
        <v>0</v>
      </c>
      <c r="R32" s="179">
        <f ca="1">IF(ISNUMBER(MATCH(DATEVALUE($A32),'changes1_based on steps'!R$1:R$400,0)),R$2,)</f>
        <v>0</v>
      </c>
      <c r="S32" s="179">
        <f ca="1">IF(ISNUMBER(MATCH(DATEVALUE($A32),'changes1_based on steps'!S$1:S$400,0)),S$2,)</f>
        <v>0</v>
      </c>
      <c r="T32" s="179">
        <f ca="1">IF(ISNUMBER(MATCH(DATEVALUE($A32),'changes1_based on steps'!T$1:T$400,0)),T$2,)</f>
        <v>0</v>
      </c>
      <c r="U32" s="179">
        <f ca="1">IF(ISNUMBER(MATCH(DATEVALUE($A32),'changes1_based on steps'!U$1:U$400,0)),U$2,)</f>
        <v>0</v>
      </c>
      <c r="V32" s="179"/>
      <c r="W32" s="179"/>
      <c r="X32" s="179"/>
      <c r="Y32" s="179"/>
      <c r="Z32" s="179"/>
      <c r="AA32" s="179"/>
      <c r="AB32" s="179"/>
      <c r="AC32" s="179"/>
      <c r="AD32" s="179"/>
      <c r="AE32" s="179"/>
      <c r="AF32" s="179"/>
      <c r="AG32" s="179"/>
      <c r="AH32" s="179"/>
      <c r="AI32" s="179"/>
      <c r="AJ32" s="179"/>
      <c r="AK32" s="179"/>
      <c r="AL32" s="179"/>
      <c r="AM32" s="179"/>
      <c r="AN32" s="179"/>
      <c r="AO32" s="179"/>
      <c r="AP32" s="179"/>
      <c r="AQ32" s="179"/>
      <c r="AR32" s="179"/>
      <c r="AS32" s="179"/>
      <c r="AT32" s="179"/>
      <c r="AU32" s="179"/>
      <c r="AV32" s="179"/>
      <c r="AW32" s="179"/>
      <c r="AX32" s="179"/>
      <c r="AY32" s="179"/>
      <c r="AZ32" s="179"/>
      <c r="BA32" s="179"/>
      <c r="BB32" s="179"/>
      <c r="BC32" s="179"/>
      <c r="BD32" s="179"/>
      <c r="BE32" s="179"/>
      <c r="BF32" s="179"/>
      <c r="BG32" s="179"/>
      <c r="BH32" s="179"/>
      <c r="BI32" s="179"/>
      <c r="BJ32" s="179"/>
      <c r="BK32" s="179"/>
      <c r="BL32" s="179"/>
      <c r="BM32" s="179"/>
      <c r="BN32" s="179"/>
      <c r="BO32" s="179"/>
      <c r="BP32" s="179"/>
      <c r="BQ32" s="179"/>
      <c r="BR32" s="179"/>
      <c r="BS32" s="179"/>
      <c r="BT32" s="179"/>
      <c r="BU32" s="179"/>
      <c r="BV32" s="179"/>
      <c r="BW32" s="179"/>
      <c r="BX32" s="179"/>
      <c r="BY32" s="179"/>
      <c r="BZ32" s="179"/>
      <c r="CA32" s="179"/>
      <c r="CB32" s="179"/>
      <c r="CC32" s="179"/>
      <c r="CD32" s="179"/>
      <c r="CE32" s="179"/>
      <c r="CF32" s="179"/>
      <c r="CG32" s="179"/>
      <c r="CH32" s="179"/>
      <c r="CI32" s="179"/>
      <c r="CJ32" s="179"/>
      <c r="CK32" s="179"/>
      <c r="CL32" s="179"/>
      <c r="CM32" s="179"/>
      <c r="CN32" s="179"/>
      <c r="CO32" s="179"/>
      <c r="CP32" s="179"/>
      <c r="CQ32" s="179"/>
      <c r="CR32" s="179"/>
      <c r="CS32" s="179"/>
      <c r="CT32" s="179"/>
      <c r="CU32" s="179"/>
      <c r="CV32" s="179"/>
      <c r="CW32" s="179"/>
    </row>
    <row r="33" spans="1:101" x14ac:dyDescent="0.2">
      <c r="A33" s="32" t="str">
        <f t="shared" ca="1" si="0"/>
        <v>2025-05-05</v>
      </c>
      <c r="B33" s="179">
        <f ca="1">IF(ISNUMBER(MATCH(DATEVALUE($A33),'changes1_based on steps'!B$1:B$400,0)),B$2,)</f>
        <v>0</v>
      </c>
      <c r="C33" s="179">
        <f ca="1">IF(ISNUMBER(MATCH(DATEVALUE($A33),'changes1_based on steps'!C$1:C$400,0)),C$2,)</f>
        <v>0</v>
      </c>
      <c r="D33" s="179">
        <f ca="1">IF(ISNUMBER(MATCH(DATEVALUE($A33),'changes1_based on steps'!D$1:D$400,0)),D$2,)</f>
        <v>0</v>
      </c>
      <c r="E33" s="179">
        <f ca="1">IF(ISNUMBER(MATCH(DATEVALUE($A33),'changes1_based on steps'!E$1:E$400,0)),E$2,)</f>
        <v>0</v>
      </c>
      <c r="F33" s="179">
        <f ca="1">IF(ISNUMBER(MATCH(DATEVALUE($A33),'changes1_based on steps'!F$1:F$400,0)),F$2,)</f>
        <v>0</v>
      </c>
      <c r="G33" s="179">
        <f ca="1">IF(ISNUMBER(MATCH(DATEVALUE($A33),'changes1_based on steps'!G$1:G$400,0)),G$2,)</f>
        <v>0</v>
      </c>
      <c r="H33" s="179">
        <f ca="1">IF(ISNUMBER(MATCH(DATEVALUE($A33),'changes1_based on steps'!H$1:H$400,0)),H$2,)</f>
        <v>0</v>
      </c>
      <c r="I33" s="179">
        <f ca="1">IF(ISNUMBER(MATCH(DATEVALUE($A33),'changes1_based on steps'!I$1:I$400,0)),I$2,)</f>
        <v>0</v>
      </c>
      <c r="J33" s="179">
        <f ca="1">IF(ISNUMBER(MATCH(DATEVALUE($A33),'changes1_based on steps'!J$1:J$400,0)),J$2,)</f>
        <v>0</v>
      </c>
      <c r="K33" s="179">
        <f ca="1">IF(ISNUMBER(MATCH(DATEVALUE($A33),'changes1_based on steps'!K$1:K$400,0)),K$2,)</f>
        <v>0</v>
      </c>
      <c r="L33" s="179">
        <f ca="1">IF(ISNUMBER(MATCH(DATEVALUE($A33),'changes1_based on steps'!L$1:L$400,0)),L$2,)</f>
        <v>0</v>
      </c>
      <c r="M33" s="179">
        <f ca="1">IF(ISNUMBER(MATCH(DATEVALUE($A33),'changes1_based on steps'!M$1:M$400,0)),M$2,)</f>
        <v>0</v>
      </c>
      <c r="N33" s="179">
        <f ca="1">IF(ISNUMBER(MATCH(DATEVALUE($A33),'changes1_based on steps'!N$1:N$400,0)),N$2,)</f>
        <v>0</v>
      </c>
      <c r="O33" s="179">
        <f ca="1">IF(ISNUMBER(MATCH(DATEVALUE($A33),'changes1_based on steps'!O$1:O$400,0)),O$2,)</f>
        <v>0</v>
      </c>
      <c r="P33" s="179">
        <f ca="1">IF(ISNUMBER(MATCH(DATEVALUE($A33),'changes1_based on steps'!P$1:P$400,0)),P$2,)</f>
        <v>0</v>
      </c>
      <c r="Q33" s="179">
        <f ca="1">IF(ISNUMBER(MATCH(DATEVALUE($A33),'changes1_based on steps'!Q$1:Q$400,0)),Q$2,)</f>
        <v>0</v>
      </c>
      <c r="R33" s="179">
        <f ca="1">IF(ISNUMBER(MATCH(DATEVALUE($A33),'changes1_based on steps'!R$1:R$400,0)),R$2,)</f>
        <v>0</v>
      </c>
      <c r="S33" s="179">
        <f ca="1">IF(ISNUMBER(MATCH(DATEVALUE($A33),'changes1_based on steps'!S$1:S$400,0)),S$2,)</f>
        <v>0</v>
      </c>
      <c r="T33" s="179">
        <f ca="1">IF(ISNUMBER(MATCH(DATEVALUE($A33),'changes1_based on steps'!T$1:T$400,0)),T$2,)</f>
        <v>0</v>
      </c>
      <c r="U33" s="179">
        <f ca="1">IF(ISNUMBER(MATCH(DATEVALUE($A33),'changes1_based on steps'!U$1:U$400,0)),U$2,)</f>
        <v>0</v>
      </c>
      <c r="V33" s="179"/>
      <c r="W33" s="179"/>
      <c r="X33" s="179"/>
      <c r="Y33" s="179"/>
      <c r="Z33" s="179"/>
      <c r="AA33" s="179"/>
      <c r="AB33" s="179"/>
      <c r="AC33" s="179"/>
      <c r="AD33" s="179"/>
      <c r="AE33" s="179"/>
      <c r="AF33" s="179"/>
      <c r="AG33" s="179"/>
      <c r="AH33" s="179"/>
      <c r="AI33" s="179"/>
      <c r="AJ33" s="179"/>
      <c r="AK33" s="179"/>
      <c r="AL33" s="179"/>
      <c r="AM33" s="179"/>
      <c r="AN33" s="179"/>
      <c r="AO33" s="179"/>
      <c r="AP33" s="179"/>
      <c r="AQ33" s="179"/>
      <c r="AR33" s="179"/>
      <c r="AS33" s="179"/>
      <c r="AT33" s="179"/>
      <c r="AU33" s="179"/>
      <c r="AV33" s="179"/>
      <c r="AW33" s="179"/>
      <c r="AX33" s="179"/>
      <c r="AY33" s="179"/>
      <c r="AZ33" s="179"/>
      <c r="BA33" s="179"/>
      <c r="BB33" s="179"/>
      <c r="BC33" s="179"/>
      <c r="BD33" s="179"/>
      <c r="BE33" s="179"/>
      <c r="BF33" s="179"/>
      <c r="BG33" s="179"/>
      <c r="BH33" s="179"/>
      <c r="BI33" s="179"/>
      <c r="BJ33" s="179"/>
      <c r="BK33" s="179"/>
      <c r="BL33" s="179"/>
      <c r="BM33" s="179"/>
      <c r="BN33" s="179"/>
      <c r="BO33" s="179"/>
      <c r="BP33" s="179"/>
      <c r="BQ33" s="179"/>
      <c r="BR33" s="179"/>
      <c r="BS33" s="179"/>
      <c r="BT33" s="179"/>
      <c r="BU33" s="179"/>
      <c r="BV33" s="179"/>
      <c r="BW33" s="179"/>
      <c r="BX33" s="179"/>
      <c r="BY33" s="179"/>
      <c r="BZ33" s="179"/>
      <c r="CA33" s="179"/>
      <c r="CB33" s="179"/>
      <c r="CC33" s="179"/>
      <c r="CD33" s="179"/>
      <c r="CE33" s="179"/>
      <c r="CF33" s="179"/>
      <c r="CG33" s="179"/>
      <c r="CH33" s="179"/>
      <c r="CI33" s="179"/>
      <c r="CJ33" s="179"/>
      <c r="CK33" s="179"/>
      <c r="CL33" s="179"/>
      <c r="CM33" s="179"/>
      <c r="CN33" s="179"/>
      <c r="CO33" s="179"/>
      <c r="CP33" s="179"/>
      <c r="CQ33" s="179"/>
      <c r="CR33" s="179"/>
      <c r="CS33" s="179"/>
      <c r="CT33" s="179"/>
      <c r="CU33" s="179"/>
      <c r="CV33" s="179"/>
      <c r="CW33" s="179"/>
    </row>
    <row r="34" spans="1:101" x14ac:dyDescent="0.2">
      <c r="A34" s="32" t="str">
        <f t="shared" ca="1" si="0"/>
        <v>2025-05-06</v>
      </c>
      <c r="B34" s="179">
        <f ca="1">IF(ISNUMBER(MATCH(DATEVALUE($A34),'changes1_based on steps'!B$1:B$400,0)),B$2,)</f>
        <v>0</v>
      </c>
      <c r="C34" s="179">
        <f ca="1">IF(ISNUMBER(MATCH(DATEVALUE($A34),'changes1_based on steps'!C$1:C$400,0)),C$2,)</f>
        <v>0</v>
      </c>
      <c r="D34" s="179">
        <f ca="1">IF(ISNUMBER(MATCH(DATEVALUE($A34),'changes1_based on steps'!D$1:D$400,0)),D$2,)</f>
        <v>0</v>
      </c>
      <c r="E34" s="179">
        <f ca="1">IF(ISNUMBER(MATCH(DATEVALUE($A34),'changes1_based on steps'!E$1:E$400,0)),E$2,)</f>
        <v>0</v>
      </c>
      <c r="F34" s="179">
        <f ca="1">IF(ISNUMBER(MATCH(DATEVALUE($A34),'changes1_based on steps'!F$1:F$400,0)),F$2,)</f>
        <v>0</v>
      </c>
      <c r="G34" s="179">
        <f ca="1">IF(ISNUMBER(MATCH(DATEVALUE($A34),'changes1_based on steps'!G$1:G$400,0)),G$2,)</f>
        <v>0</v>
      </c>
      <c r="H34" s="179">
        <f ca="1">IF(ISNUMBER(MATCH(DATEVALUE($A34),'changes1_based on steps'!H$1:H$400,0)),H$2,)</f>
        <v>0</v>
      </c>
      <c r="I34" s="179">
        <f ca="1">IF(ISNUMBER(MATCH(DATEVALUE($A34),'changes1_based on steps'!I$1:I$400,0)),I$2,)</f>
        <v>0</v>
      </c>
      <c r="J34" s="179">
        <f ca="1">IF(ISNUMBER(MATCH(DATEVALUE($A34),'changes1_based on steps'!J$1:J$400,0)),J$2,)</f>
        <v>0</v>
      </c>
      <c r="K34" s="179">
        <f ca="1">IF(ISNUMBER(MATCH(DATEVALUE($A34),'changes1_based on steps'!K$1:K$400,0)),K$2,)</f>
        <v>0</v>
      </c>
      <c r="L34" s="179">
        <f ca="1">IF(ISNUMBER(MATCH(DATEVALUE($A34),'changes1_based on steps'!L$1:L$400,0)),L$2,)</f>
        <v>0</v>
      </c>
      <c r="M34" s="179">
        <f ca="1">IF(ISNUMBER(MATCH(DATEVALUE($A34),'changes1_based on steps'!M$1:M$400,0)),M$2,)</f>
        <v>0</v>
      </c>
      <c r="N34" s="179">
        <f ca="1">IF(ISNUMBER(MATCH(DATEVALUE($A34),'changes1_based on steps'!N$1:N$400,0)),N$2,)</f>
        <v>0</v>
      </c>
      <c r="O34" s="179">
        <f ca="1">IF(ISNUMBER(MATCH(DATEVALUE($A34),'changes1_based on steps'!O$1:O$400,0)),O$2,)</f>
        <v>0</v>
      </c>
      <c r="P34" s="179">
        <f ca="1">IF(ISNUMBER(MATCH(DATEVALUE($A34),'changes1_based on steps'!P$1:P$400,0)),P$2,)</f>
        <v>0</v>
      </c>
      <c r="Q34" s="179">
        <f ca="1">IF(ISNUMBER(MATCH(DATEVALUE($A34),'changes1_based on steps'!Q$1:Q$400,0)),Q$2,)</f>
        <v>0</v>
      </c>
      <c r="R34" s="179">
        <f ca="1">IF(ISNUMBER(MATCH(DATEVALUE($A34),'changes1_based on steps'!R$1:R$400,0)),R$2,)</f>
        <v>0</v>
      </c>
      <c r="S34" s="179">
        <f ca="1">IF(ISNUMBER(MATCH(DATEVALUE($A34),'changes1_based on steps'!S$1:S$400,0)),S$2,)</f>
        <v>0</v>
      </c>
      <c r="T34" s="179">
        <f ca="1">IF(ISNUMBER(MATCH(DATEVALUE($A34),'changes1_based on steps'!T$1:T$400,0)),T$2,)</f>
        <v>0</v>
      </c>
      <c r="U34" s="179">
        <f ca="1">IF(ISNUMBER(MATCH(DATEVALUE($A34),'changes1_based on steps'!U$1:U$400,0)),U$2,)</f>
        <v>0</v>
      </c>
      <c r="V34" s="179"/>
      <c r="W34" s="179"/>
      <c r="X34" s="179"/>
      <c r="Y34" s="179"/>
      <c r="Z34" s="179"/>
      <c r="AA34" s="179"/>
      <c r="AB34" s="179"/>
      <c r="AC34" s="179"/>
      <c r="AD34" s="179"/>
      <c r="AE34" s="179"/>
      <c r="AF34" s="179"/>
      <c r="AG34" s="179"/>
      <c r="AH34" s="179"/>
      <c r="AI34" s="179"/>
      <c r="AJ34" s="179"/>
      <c r="AK34" s="179"/>
      <c r="AL34" s="179"/>
      <c r="AM34" s="179"/>
      <c r="AN34" s="179"/>
      <c r="AO34" s="179"/>
      <c r="AP34" s="179"/>
      <c r="AQ34" s="179"/>
      <c r="AR34" s="179"/>
      <c r="AS34" s="179"/>
      <c r="AT34" s="179"/>
      <c r="AU34" s="179"/>
      <c r="AV34" s="179"/>
      <c r="AW34" s="179"/>
      <c r="AX34" s="179"/>
      <c r="AY34" s="179"/>
      <c r="AZ34" s="179"/>
      <c r="BA34" s="179"/>
      <c r="BB34" s="179"/>
      <c r="BC34" s="179"/>
      <c r="BD34" s="179"/>
      <c r="BE34" s="179"/>
      <c r="BF34" s="179"/>
      <c r="BG34" s="179"/>
      <c r="BH34" s="179"/>
      <c r="BI34" s="179"/>
      <c r="BJ34" s="179"/>
      <c r="BK34" s="179"/>
      <c r="BL34" s="179"/>
      <c r="BM34" s="179"/>
      <c r="BN34" s="179"/>
      <c r="BO34" s="179"/>
      <c r="BP34" s="179"/>
      <c r="BQ34" s="179"/>
      <c r="BR34" s="179"/>
      <c r="BS34" s="179"/>
      <c r="BT34" s="179"/>
      <c r="BU34" s="179"/>
      <c r="BV34" s="179"/>
      <c r="BW34" s="179"/>
      <c r="BX34" s="179"/>
      <c r="BY34" s="179"/>
      <c r="BZ34" s="179"/>
      <c r="CA34" s="179"/>
      <c r="CB34" s="179"/>
      <c r="CC34" s="179"/>
      <c r="CD34" s="179"/>
      <c r="CE34" s="179"/>
      <c r="CF34" s="179"/>
      <c r="CG34" s="179"/>
      <c r="CH34" s="179"/>
      <c r="CI34" s="179"/>
      <c r="CJ34" s="179"/>
      <c r="CK34" s="179"/>
      <c r="CL34" s="179"/>
      <c r="CM34" s="179"/>
      <c r="CN34" s="179"/>
      <c r="CO34" s="179"/>
      <c r="CP34" s="179"/>
      <c r="CQ34" s="179"/>
      <c r="CR34" s="179"/>
      <c r="CS34" s="179"/>
      <c r="CT34" s="179"/>
      <c r="CU34" s="179"/>
      <c r="CV34" s="179"/>
      <c r="CW34" s="179"/>
    </row>
    <row r="35" spans="1:101" x14ac:dyDescent="0.2">
      <c r="A35" s="32" t="str">
        <f t="shared" ca="1" si="0"/>
        <v>2025-05-07</v>
      </c>
      <c r="B35" s="179">
        <f ca="1">IF(ISNUMBER(MATCH(DATEVALUE($A35),'changes1_based on steps'!B$1:B$400,0)),B$2,)</f>
        <v>0</v>
      </c>
      <c r="C35" s="179">
        <f ca="1">IF(ISNUMBER(MATCH(DATEVALUE($A35),'changes1_based on steps'!C$1:C$400,0)),C$2,)</f>
        <v>0</v>
      </c>
      <c r="D35" s="179">
        <f ca="1">IF(ISNUMBER(MATCH(DATEVALUE($A35),'changes1_based on steps'!D$1:D$400,0)),D$2,)</f>
        <v>0</v>
      </c>
      <c r="E35" s="179">
        <f ca="1">IF(ISNUMBER(MATCH(DATEVALUE($A35),'changes1_based on steps'!E$1:E$400,0)),E$2,)</f>
        <v>0</v>
      </c>
      <c r="F35" s="179">
        <f ca="1">IF(ISNUMBER(MATCH(DATEVALUE($A35),'changes1_based on steps'!F$1:F$400,0)),F$2,)</f>
        <v>0</v>
      </c>
      <c r="G35" s="179">
        <f ca="1">IF(ISNUMBER(MATCH(DATEVALUE($A35),'changes1_based on steps'!G$1:G$400,0)),G$2,)</f>
        <v>0</v>
      </c>
      <c r="H35" s="179">
        <f ca="1">IF(ISNUMBER(MATCH(DATEVALUE($A35),'changes1_based on steps'!H$1:H$400,0)),H$2,)</f>
        <v>0</v>
      </c>
      <c r="I35" s="179">
        <f ca="1">IF(ISNUMBER(MATCH(DATEVALUE($A35),'changes1_based on steps'!I$1:I$400,0)),I$2,)</f>
        <v>0</v>
      </c>
      <c r="J35" s="179">
        <f ca="1">IF(ISNUMBER(MATCH(DATEVALUE($A35),'changes1_based on steps'!J$1:J$400,0)),J$2,)</f>
        <v>0</v>
      </c>
      <c r="K35" s="179">
        <f ca="1">IF(ISNUMBER(MATCH(DATEVALUE($A35),'changes1_based on steps'!K$1:K$400,0)),K$2,)</f>
        <v>0</v>
      </c>
      <c r="L35" s="179">
        <f ca="1">IF(ISNUMBER(MATCH(DATEVALUE($A35),'changes1_based on steps'!L$1:L$400,0)),L$2,)</f>
        <v>0</v>
      </c>
      <c r="M35" s="179">
        <f ca="1">IF(ISNUMBER(MATCH(DATEVALUE($A35),'changes1_based on steps'!M$1:M$400,0)),M$2,)</f>
        <v>0</v>
      </c>
      <c r="N35" s="179">
        <f ca="1">IF(ISNUMBER(MATCH(DATEVALUE($A35),'changes1_based on steps'!N$1:N$400,0)),N$2,)</f>
        <v>0</v>
      </c>
      <c r="O35" s="179">
        <f ca="1">IF(ISNUMBER(MATCH(DATEVALUE($A35),'changes1_based on steps'!O$1:O$400,0)),O$2,)</f>
        <v>0</v>
      </c>
      <c r="P35" s="179">
        <f ca="1">IF(ISNUMBER(MATCH(DATEVALUE($A35),'changes1_based on steps'!P$1:P$400,0)),P$2,)</f>
        <v>0</v>
      </c>
      <c r="Q35" s="179">
        <f ca="1">IF(ISNUMBER(MATCH(DATEVALUE($A35),'changes1_based on steps'!Q$1:Q$400,0)),Q$2,)</f>
        <v>0</v>
      </c>
      <c r="R35" s="179">
        <f ca="1">IF(ISNUMBER(MATCH(DATEVALUE($A35),'changes1_based on steps'!R$1:R$400,0)),R$2,)</f>
        <v>0</v>
      </c>
      <c r="S35" s="179">
        <f ca="1">IF(ISNUMBER(MATCH(DATEVALUE($A35),'changes1_based on steps'!S$1:S$400,0)),S$2,)</f>
        <v>0</v>
      </c>
      <c r="T35" s="179">
        <f ca="1">IF(ISNUMBER(MATCH(DATEVALUE($A35),'changes1_based on steps'!T$1:T$400,0)),T$2,)</f>
        <v>0</v>
      </c>
      <c r="U35" s="179">
        <f ca="1">IF(ISNUMBER(MATCH(DATEVALUE($A35),'changes1_based on steps'!U$1:U$400,0)),U$2,)</f>
        <v>0</v>
      </c>
      <c r="V35" s="179"/>
      <c r="W35" s="179"/>
      <c r="X35" s="179"/>
      <c r="Y35" s="179"/>
      <c r="Z35" s="179"/>
      <c r="AA35" s="179"/>
      <c r="AB35" s="179"/>
      <c r="AC35" s="179"/>
      <c r="AD35" s="179"/>
      <c r="AE35" s="179"/>
      <c r="AF35" s="179"/>
      <c r="AG35" s="179"/>
      <c r="AH35" s="179"/>
      <c r="AI35" s="179"/>
      <c r="AJ35" s="179"/>
      <c r="AK35" s="179"/>
      <c r="AL35" s="179"/>
      <c r="AM35" s="179"/>
      <c r="AN35" s="179"/>
      <c r="AO35" s="179"/>
      <c r="AP35" s="179"/>
      <c r="AQ35" s="179"/>
      <c r="AR35" s="179"/>
      <c r="AS35" s="179"/>
      <c r="AT35" s="179"/>
      <c r="AU35" s="179"/>
      <c r="AV35" s="179"/>
      <c r="AW35" s="179"/>
      <c r="AX35" s="179"/>
      <c r="AY35" s="179"/>
      <c r="AZ35" s="179"/>
      <c r="BA35" s="179"/>
      <c r="BB35" s="179"/>
      <c r="BC35" s="179"/>
      <c r="BD35" s="179"/>
      <c r="BE35" s="179"/>
      <c r="BF35" s="179"/>
      <c r="BG35" s="179"/>
      <c r="BH35" s="179"/>
      <c r="BI35" s="179"/>
      <c r="BJ35" s="179"/>
      <c r="BK35" s="179"/>
      <c r="BL35" s="179"/>
      <c r="BM35" s="179"/>
      <c r="BN35" s="179"/>
      <c r="BO35" s="179"/>
      <c r="BP35" s="179"/>
      <c r="BQ35" s="179"/>
      <c r="BR35" s="179"/>
      <c r="BS35" s="179"/>
      <c r="BT35" s="179"/>
      <c r="BU35" s="179"/>
      <c r="BV35" s="179"/>
      <c r="BW35" s="179"/>
      <c r="BX35" s="179"/>
      <c r="BY35" s="179"/>
      <c r="BZ35" s="179"/>
      <c r="CA35" s="179"/>
      <c r="CB35" s="179"/>
      <c r="CC35" s="179"/>
      <c r="CD35" s="179"/>
      <c r="CE35" s="179"/>
      <c r="CF35" s="179"/>
      <c r="CG35" s="179"/>
      <c r="CH35" s="179"/>
      <c r="CI35" s="179"/>
      <c r="CJ35" s="179"/>
      <c r="CK35" s="179"/>
      <c r="CL35" s="179"/>
      <c r="CM35" s="179"/>
      <c r="CN35" s="179"/>
      <c r="CO35" s="179"/>
      <c r="CP35" s="179"/>
      <c r="CQ35" s="179"/>
      <c r="CR35" s="179"/>
      <c r="CS35" s="179"/>
      <c r="CT35" s="179"/>
      <c r="CU35" s="179"/>
      <c r="CV35" s="179"/>
      <c r="CW35" s="179"/>
    </row>
    <row r="36" spans="1:101" x14ac:dyDescent="0.2">
      <c r="A36" s="32" t="str">
        <f t="shared" ca="1" si="0"/>
        <v>2025-05-08</v>
      </c>
      <c r="B36" s="179">
        <f ca="1">IF(ISNUMBER(MATCH(DATEVALUE($A36),'changes1_based on steps'!B$1:B$400,0)),B$2,)</f>
        <v>0</v>
      </c>
      <c r="C36" s="179">
        <f ca="1">IF(ISNUMBER(MATCH(DATEVALUE($A36),'changes1_based on steps'!C$1:C$400,0)),C$2,)</f>
        <v>0</v>
      </c>
      <c r="D36" s="179">
        <f ca="1">IF(ISNUMBER(MATCH(DATEVALUE($A36),'changes1_based on steps'!D$1:D$400,0)),D$2,)</f>
        <v>0</v>
      </c>
      <c r="E36" s="179">
        <f ca="1">IF(ISNUMBER(MATCH(DATEVALUE($A36),'changes1_based on steps'!E$1:E$400,0)),E$2,)</f>
        <v>0</v>
      </c>
      <c r="F36" s="179">
        <f ca="1">IF(ISNUMBER(MATCH(DATEVALUE($A36),'changes1_based on steps'!F$1:F$400,0)),F$2,)</f>
        <v>0</v>
      </c>
      <c r="G36" s="179">
        <f ca="1">IF(ISNUMBER(MATCH(DATEVALUE($A36),'changes1_based on steps'!G$1:G$400,0)),G$2,)</f>
        <v>0</v>
      </c>
      <c r="H36" s="179">
        <f ca="1">IF(ISNUMBER(MATCH(DATEVALUE($A36),'changes1_based on steps'!H$1:H$400,0)),H$2,)</f>
        <v>0</v>
      </c>
      <c r="I36" s="179">
        <f ca="1">IF(ISNUMBER(MATCH(DATEVALUE($A36),'changes1_based on steps'!I$1:I$400,0)),I$2,)</f>
        <v>0</v>
      </c>
      <c r="J36" s="179">
        <f ca="1">IF(ISNUMBER(MATCH(DATEVALUE($A36),'changes1_based on steps'!J$1:J$400,0)),J$2,)</f>
        <v>0</v>
      </c>
      <c r="K36" s="179">
        <f ca="1">IF(ISNUMBER(MATCH(DATEVALUE($A36),'changes1_based on steps'!K$1:K$400,0)),K$2,)</f>
        <v>0</v>
      </c>
      <c r="L36" s="179">
        <f ca="1">IF(ISNUMBER(MATCH(DATEVALUE($A36),'changes1_based on steps'!L$1:L$400,0)),L$2,)</f>
        <v>0</v>
      </c>
      <c r="M36" s="179">
        <f ca="1">IF(ISNUMBER(MATCH(DATEVALUE($A36),'changes1_based on steps'!M$1:M$400,0)),M$2,)</f>
        <v>0</v>
      </c>
      <c r="N36" s="179">
        <f ca="1">IF(ISNUMBER(MATCH(DATEVALUE($A36),'changes1_based on steps'!N$1:N$400,0)),N$2,)</f>
        <v>0</v>
      </c>
      <c r="O36" s="179">
        <f ca="1">IF(ISNUMBER(MATCH(DATEVALUE($A36),'changes1_based on steps'!O$1:O$400,0)),O$2,)</f>
        <v>0</v>
      </c>
      <c r="P36" s="179">
        <f ca="1">IF(ISNUMBER(MATCH(DATEVALUE($A36),'changes1_based on steps'!P$1:P$400,0)),P$2,)</f>
        <v>0</v>
      </c>
      <c r="Q36" s="179">
        <f ca="1">IF(ISNUMBER(MATCH(DATEVALUE($A36),'changes1_based on steps'!Q$1:Q$400,0)),Q$2,)</f>
        <v>0</v>
      </c>
      <c r="R36" s="179">
        <f ca="1">IF(ISNUMBER(MATCH(DATEVALUE($A36),'changes1_based on steps'!R$1:R$400,0)),R$2,)</f>
        <v>0</v>
      </c>
      <c r="S36" s="179">
        <f ca="1">IF(ISNUMBER(MATCH(DATEVALUE($A36),'changes1_based on steps'!S$1:S$400,0)),S$2,)</f>
        <v>0</v>
      </c>
      <c r="T36" s="179">
        <f ca="1">IF(ISNUMBER(MATCH(DATEVALUE($A36),'changes1_based on steps'!T$1:T$400,0)),T$2,)</f>
        <v>0</v>
      </c>
      <c r="U36" s="179">
        <f ca="1">IF(ISNUMBER(MATCH(DATEVALUE($A36),'changes1_based on steps'!U$1:U$400,0)),U$2,)</f>
        <v>0</v>
      </c>
      <c r="V36" s="179"/>
      <c r="W36" s="179"/>
      <c r="X36" s="179"/>
      <c r="Y36" s="179"/>
      <c r="Z36" s="179"/>
      <c r="AA36" s="179"/>
      <c r="AB36" s="179"/>
      <c r="AC36" s="179"/>
      <c r="AD36" s="179"/>
      <c r="AE36" s="179"/>
      <c r="AF36" s="179"/>
      <c r="AG36" s="179"/>
      <c r="AH36" s="179"/>
      <c r="AI36" s="179"/>
      <c r="AJ36" s="179"/>
      <c r="AK36" s="179"/>
      <c r="AL36" s="179"/>
      <c r="AM36" s="179"/>
      <c r="AN36" s="179"/>
      <c r="AO36" s="179"/>
      <c r="AP36" s="179"/>
      <c r="AQ36" s="179"/>
      <c r="AR36" s="179"/>
      <c r="AS36" s="179"/>
      <c r="AT36" s="179"/>
      <c r="AU36" s="179"/>
      <c r="AV36" s="179"/>
      <c r="AW36" s="179"/>
      <c r="AX36" s="179"/>
      <c r="AY36" s="179"/>
      <c r="AZ36" s="179"/>
      <c r="BA36" s="179"/>
      <c r="BB36" s="179"/>
      <c r="BC36" s="179"/>
      <c r="BD36" s="179"/>
      <c r="BE36" s="179"/>
      <c r="BF36" s="179"/>
      <c r="BG36" s="179"/>
      <c r="BH36" s="179"/>
      <c r="BI36" s="179"/>
      <c r="BJ36" s="179"/>
      <c r="BK36" s="179"/>
      <c r="BL36" s="179"/>
      <c r="BM36" s="179"/>
      <c r="BN36" s="179"/>
      <c r="BO36" s="179"/>
      <c r="BP36" s="179"/>
      <c r="BQ36" s="179"/>
      <c r="BR36" s="179"/>
      <c r="BS36" s="179"/>
      <c r="BT36" s="179"/>
      <c r="BU36" s="179"/>
      <c r="BV36" s="179"/>
      <c r="BW36" s="179"/>
      <c r="BX36" s="179"/>
      <c r="BY36" s="179"/>
      <c r="BZ36" s="179"/>
      <c r="CA36" s="179"/>
      <c r="CB36" s="179"/>
      <c r="CC36" s="179"/>
      <c r="CD36" s="179"/>
      <c r="CE36" s="179"/>
      <c r="CF36" s="179"/>
      <c r="CG36" s="179"/>
      <c r="CH36" s="179"/>
      <c r="CI36" s="179"/>
      <c r="CJ36" s="179"/>
      <c r="CK36" s="179"/>
      <c r="CL36" s="179"/>
      <c r="CM36" s="179"/>
      <c r="CN36" s="179"/>
      <c r="CO36" s="179"/>
      <c r="CP36" s="179"/>
      <c r="CQ36" s="179"/>
      <c r="CR36" s="179"/>
      <c r="CS36" s="179"/>
      <c r="CT36" s="179"/>
      <c r="CU36" s="179"/>
      <c r="CV36" s="179"/>
      <c r="CW36" s="179"/>
    </row>
    <row r="37" spans="1:101" x14ac:dyDescent="0.2">
      <c r="A37" s="32" t="str">
        <f t="shared" ca="1" si="0"/>
        <v>2025-05-09</v>
      </c>
      <c r="B37" s="179">
        <f ca="1">IF(ISNUMBER(MATCH(DATEVALUE($A37),'changes1_based on steps'!B$1:B$400,0)),B$2,)</f>
        <v>0</v>
      </c>
      <c r="C37" s="179">
        <f ca="1">IF(ISNUMBER(MATCH(DATEVALUE($A37),'changes1_based on steps'!C$1:C$400,0)),C$2,)</f>
        <v>0</v>
      </c>
      <c r="D37" s="179">
        <f ca="1">IF(ISNUMBER(MATCH(DATEVALUE($A37),'changes1_based on steps'!D$1:D$400,0)),D$2,)</f>
        <v>0</v>
      </c>
      <c r="E37" s="179">
        <f ca="1">IF(ISNUMBER(MATCH(DATEVALUE($A37),'changes1_based on steps'!E$1:E$400,0)),E$2,)</f>
        <v>0</v>
      </c>
      <c r="F37" s="179">
        <f ca="1">IF(ISNUMBER(MATCH(DATEVALUE($A37),'changes1_based on steps'!F$1:F$400,0)),F$2,)</f>
        <v>0</v>
      </c>
      <c r="G37" s="179">
        <f ca="1">IF(ISNUMBER(MATCH(DATEVALUE($A37),'changes1_based on steps'!G$1:G$400,0)),G$2,)</f>
        <v>0</v>
      </c>
      <c r="H37" s="179">
        <f ca="1">IF(ISNUMBER(MATCH(DATEVALUE($A37),'changes1_based on steps'!H$1:H$400,0)),H$2,)</f>
        <v>0</v>
      </c>
      <c r="I37" s="179">
        <f ca="1">IF(ISNUMBER(MATCH(DATEVALUE($A37),'changes1_based on steps'!I$1:I$400,0)),I$2,)</f>
        <v>0</v>
      </c>
      <c r="J37" s="179">
        <f ca="1">IF(ISNUMBER(MATCH(DATEVALUE($A37),'changes1_based on steps'!J$1:J$400,0)),J$2,)</f>
        <v>0</v>
      </c>
      <c r="K37" s="179">
        <f ca="1">IF(ISNUMBER(MATCH(DATEVALUE($A37),'changes1_based on steps'!K$1:K$400,0)),K$2,)</f>
        <v>0</v>
      </c>
      <c r="L37" s="179">
        <f ca="1">IF(ISNUMBER(MATCH(DATEVALUE($A37),'changes1_based on steps'!L$1:L$400,0)),L$2,)</f>
        <v>0</v>
      </c>
      <c r="M37" s="179">
        <f ca="1">IF(ISNUMBER(MATCH(DATEVALUE($A37),'changes1_based on steps'!M$1:M$400,0)),M$2,)</f>
        <v>0</v>
      </c>
      <c r="N37" s="179">
        <f ca="1">IF(ISNUMBER(MATCH(DATEVALUE($A37),'changes1_based on steps'!N$1:N$400,0)),N$2,)</f>
        <v>0</v>
      </c>
      <c r="O37" s="179">
        <f ca="1">IF(ISNUMBER(MATCH(DATEVALUE($A37),'changes1_based on steps'!O$1:O$400,0)),O$2,)</f>
        <v>0</v>
      </c>
      <c r="P37" s="179">
        <f ca="1">IF(ISNUMBER(MATCH(DATEVALUE($A37),'changes1_based on steps'!P$1:P$400,0)),P$2,)</f>
        <v>0</v>
      </c>
      <c r="Q37" s="179">
        <f ca="1">IF(ISNUMBER(MATCH(DATEVALUE($A37),'changes1_based on steps'!Q$1:Q$400,0)),Q$2,)</f>
        <v>0</v>
      </c>
      <c r="R37" s="179">
        <f ca="1">IF(ISNUMBER(MATCH(DATEVALUE($A37),'changes1_based on steps'!R$1:R$400,0)),R$2,)</f>
        <v>0</v>
      </c>
      <c r="S37" s="179">
        <f ca="1">IF(ISNUMBER(MATCH(DATEVALUE($A37),'changes1_based on steps'!S$1:S$400,0)),S$2,)</f>
        <v>0</v>
      </c>
      <c r="T37" s="179">
        <f ca="1">IF(ISNUMBER(MATCH(DATEVALUE($A37),'changes1_based on steps'!T$1:T$400,0)),T$2,)</f>
        <v>0</v>
      </c>
      <c r="U37" s="179">
        <f ca="1">IF(ISNUMBER(MATCH(DATEVALUE($A37),'changes1_based on steps'!U$1:U$400,0)),U$2,)</f>
        <v>0</v>
      </c>
      <c r="V37" s="179"/>
      <c r="W37" s="179"/>
      <c r="X37" s="179"/>
      <c r="Y37" s="179"/>
      <c r="Z37" s="179"/>
      <c r="AA37" s="179"/>
      <c r="AB37" s="179"/>
      <c r="AC37" s="179"/>
      <c r="AD37" s="179"/>
      <c r="AE37" s="179"/>
      <c r="AF37" s="179"/>
      <c r="AG37" s="179"/>
      <c r="AH37" s="179"/>
      <c r="AI37" s="179"/>
      <c r="AJ37" s="179"/>
      <c r="AK37" s="179"/>
      <c r="AL37" s="179"/>
      <c r="AM37" s="179"/>
      <c r="AN37" s="179"/>
      <c r="AO37" s="179"/>
      <c r="AP37" s="179"/>
      <c r="AQ37" s="179"/>
      <c r="AR37" s="179"/>
      <c r="AS37" s="179"/>
      <c r="AT37" s="179"/>
      <c r="AU37" s="179"/>
      <c r="AV37" s="179"/>
      <c r="AW37" s="179"/>
      <c r="AX37" s="179"/>
      <c r="AY37" s="179"/>
      <c r="AZ37" s="179"/>
      <c r="BA37" s="179"/>
      <c r="BB37" s="179"/>
      <c r="BC37" s="179"/>
      <c r="BD37" s="179"/>
      <c r="BE37" s="179"/>
      <c r="BF37" s="179"/>
      <c r="BG37" s="179"/>
      <c r="BH37" s="179"/>
      <c r="BI37" s="179"/>
      <c r="BJ37" s="179"/>
      <c r="BK37" s="179"/>
      <c r="BL37" s="179"/>
      <c r="BM37" s="179"/>
      <c r="BN37" s="179"/>
      <c r="BO37" s="179"/>
      <c r="BP37" s="179"/>
      <c r="BQ37" s="179"/>
      <c r="BR37" s="179"/>
      <c r="BS37" s="179"/>
      <c r="BT37" s="179"/>
      <c r="BU37" s="179"/>
      <c r="BV37" s="179"/>
      <c r="BW37" s="179"/>
      <c r="BX37" s="179"/>
      <c r="BY37" s="179"/>
      <c r="BZ37" s="179"/>
      <c r="CA37" s="179"/>
      <c r="CB37" s="179"/>
      <c r="CC37" s="179"/>
      <c r="CD37" s="179"/>
      <c r="CE37" s="179"/>
      <c r="CF37" s="179"/>
      <c r="CG37" s="179"/>
      <c r="CH37" s="179"/>
      <c r="CI37" s="179"/>
      <c r="CJ37" s="179"/>
      <c r="CK37" s="179"/>
      <c r="CL37" s="179"/>
      <c r="CM37" s="179"/>
      <c r="CN37" s="179"/>
      <c r="CO37" s="179"/>
      <c r="CP37" s="179"/>
      <c r="CQ37" s="179"/>
      <c r="CR37" s="179"/>
      <c r="CS37" s="179"/>
      <c r="CT37" s="179"/>
      <c r="CU37" s="179"/>
      <c r="CV37" s="179"/>
      <c r="CW37" s="179"/>
    </row>
    <row r="38" spans="1:101" x14ac:dyDescent="0.2">
      <c r="A38" s="32" t="str">
        <f t="shared" ca="1" si="0"/>
        <v>2025-05-10</v>
      </c>
      <c r="B38" s="179">
        <f ca="1">IF(ISNUMBER(MATCH(DATEVALUE($A38),'changes1_based on steps'!B$1:B$400,0)),B$2,)</f>
        <v>0</v>
      </c>
      <c r="C38" s="179">
        <f ca="1">IF(ISNUMBER(MATCH(DATEVALUE($A38),'changes1_based on steps'!C$1:C$400,0)),C$2,)</f>
        <v>0</v>
      </c>
      <c r="D38" s="179">
        <f ca="1">IF(ISNUMBER(MATCH(DATEVALUE($A38),'changes1_based on steps'!D$1:D$400,0)),D$2,)</f>
        <v>0</v>
      </c>
      <c r="E38" s="179">
        <f ca="1">IF(ISNUMBER(MATCH(DATEVALUE($A38),'changes1_based on steps'!E$1:E$400,0)),E$2,)</f>
        <v>0</v>
      </c>
      <c r="F38" s="179">
        <f ca="1">IF(ISNUMBER(MATCH(DATEVALUE($A38),'changes1_based on steps'!F$1:F$400,0)),F$2,)</f>
        <v>0</v>
      </c>
      <c r="G38" s="179">
        <f ca="1">IF(ISNUMBER(MATCH(DATEVALUE($A38),'changes1_based on steps'!G$1:G$400,0)),G$2,)</f>
        <v>0</v>
      </c>
      <c r="H38" s="179">
        <f ca="1">IF(ISNUMBER(MATCH(DATEVALUE($A38),'changes1_based on steps'!H$1:H$400,0)),H$2,)</f>
        <v>0</v>
      </c>
      <c r="I38" s="179">
        <f ca="1">IF(ISNUMBER(MATCH(DATEVALUE($A38),'changes1_based on steps'!I$1:I$400,0)),I$2,)</f>
        <v>0</v>
      </c>
      <c r="J38" s="179">
        <f ca="1">IF(ISNUMBER(MATCH(DATEVALUE($A38),'changes1_based on steps'!J$1:J$400,0)),J$2,)</f>
        <v>0</v>
      </c>
      <c r="K38" s="179">
        <f ca="1">IF(ISNUMBER(MATCH(DATEVALUE($A38),'changes1_based on steps'!K$1:K$400,0)),K$2,)</f>
        <v>0</v>
      </c>
      <c r="L38" s="179">
        <f ca="1">IF(ISNUMBER(MATCH(DATEVALUE($A38),'changes1_based on steps'!L$1:L$400,0)),L$2,)</f>
        <v>0</v>
      </c>
      <c r="M38" s="179">
        <f ca="1">IF(ISNUMBER(MATCH(DATEVALUE($A38),'changes1_based on steps'!M$1:M$400,0)),M$2,)</f>
        <v>0</v>
      </c>
      <c r="N38" s="179">
        <f ca="1">IF(ISNUMBER(MATCH(DATEVALUE($A38),'changes1_based on steps'!N$1:N$400,0)),N$2,)</f>
        <v>0</v>
      </c>
      <c r="O38" s="179">
        <f ca="1">IF(ISNUMBER(MATCH(DATEVALUE($A38),'changes1_based on steps'!O$1:O$400,0)),O$2,)</f>
        <v>0</v>
      </c>
      <c r="P38" s="179">
        <f ca="1">IF(ISNUMBER(MATCH(DATEVALUE($A38),'changes1_based on steps'!P$1:P$400,0)),P$2,)</f>
        <v>0</v>
      </c>
      <c r="Q38" s="179">
        <f ca="1">IF(ISNUMBER(MATCH(DATEVALUE($A38),'changes1_based on steps'!Q$1:Q$400,0)),Q$2,)</f>
        <v>0</v>
      </c>
      <c r="R38" s="179">
        <f ca="1">IF(ISNUMBER(MATCH(DATEVALUE($A38),'changes1_based on steps'!R$1:R$400,0)),R$2,)</f>
        <v>0</v>
      </c>
      <c r="S38" s="179">
        <f ca="1">IF(ISNUMBER(MATCH(DATEVALUE($A38),'changes1_based on steps'!S$1:S$400,0)),S$2,)</f>
        <v>0</v>
      </c>
      <c r="T38" s="179">
        <f ca="1">IF(ISNUMBER(MATCH(DATEVALUE($A38),'changes1_based on steps'!T$1:T$400,0)),T$2,)</f>
        <v>0</v>
      </c>
      <c r="U38" s="179">
        <f ca="1">IF(ISNUMBER(MATCH(DATEVALUE($A38),'changes1_based on steps'!U$1:U$400,0)),U$2,)</f>
        <v>0</v>
      </c>
      <c r="V38" s="179"/>
      <c r="W38" s="179"/>
      <c r="X38" s="179"/>
      <c r="Y38" s="179"/>
      <c r="Z38" s="179"/>
      <c r="AA38" s="179"/>
      <c r="AB38" s="179"/>
      <c r="AC38" s="179"/>
      <c r="AD38" s="179"/>
      <c r="AE38" s="179"/>
      <c r="AF38" s="179"/>
      <c r="AG38" s="179"/>
      <c r="AH38" s="179"/>
      <c r="AI38" s="179"/>
      <c r="AJ38" s="179"/>
      <c r="AK38" s="179"/>
      <c r="AL38" s="179"/>
      <c r="AM38" s="179"/>
      <c r="AN38" s="179"/>
      <c r="AO38" s="179"/>
      <c r="AP38" s="179"/>
      <c r="AQ38" s="179"/>
      <c r="AR38" s="179"/>
      <c r="AS38" s="179"/>
      <c r="AT38" s="179"/>
      <c r="AU38" s="179"/>
      <c r="AV38" s="179"/>
      <c r="AW38" s="179"/>
      <c r="AX38" s="179"/>
      <c r="AY38" s="179"/>
      <c r="AZ38" s="179"/>
      <c r="BA38" s="179"/>
      <c r="BB38" s="179"/>
      <c r="BC38" s="179"/>
      <c r="BD38" s="179"/>
      <c r="BE38" s="179"/>
      <c r="BF38" s="179"/>
      <c r="BG38" s="179"/>
      <c r="BH38" s="179"/>
      <c r="BI38" s="179"/>
      <c r="BJ38" s="179"/>
      <c r="BK38" s="179"/>
      <c r="BL38" s="179"/>
      <c r="BM38" s="179"/>
      <c r="BN38" s="179"/>
      <c r="BO38" s="179"/>
      <c r="BP38" s="179"/>
      <c r="BQ38" s="179"/>
      <c r="BR38" s="179"/>
      <c r="BS38" s="179"/>
      <c r="BT38" s="179"/>
      <c r="BU38" s="179"/>
      <c r="BV38" s="179"/>
      <c r="BW38" s="179"/>
      <c r="BX38" s="179"/>
      <c r="BY38" s="179"/>
      <c r="BZ38" s="179"/>
      <c r="CA38" s="179"/>
      <c r="CB38" s="179"/>
      <c r="CC38" s="179"/>
      <c r="CD38" s="179"/>
      <c r="CE38" s="179"/>
      <c r="CF38" s="179"/>
      <c r="CG38" s="179"/>
      <c r="CH38" s="179"/>
      <c r="CI38" s="179"/>
      <c r="CJ38" s="179"/>
      <c r="CK38" s="179"/>
      <c r="CL38" s="179"/>
      <c r="CM38" s="179"/>
      <c r="CN38" s="179"/>
      <c r="CO38" s="179"/>
      <c r="CP38" s="179"/>
      <c r="CQ38" s="179"/>
      <c r="CR38" s="179"/>
      <c r="CS38" s="179"/>
      <c r="CT38" s="179"/>
      <c r="CU38" s="179"/>
      <c r="CV38" s="179"/>
      <c r="CW38" s="179"/>
    </row>
    <row r="39" spans="1:101" x14ac:dyDescent="0.2">
      <c r="A39" s="32" t="str">
        <f t="shared" ca="1" si="0"/>
        <v>2025-05-11</v>
      </c>
      <c r="B39" s="179">
        <f ca="1">IF(ISNUMBER(MATCH(DATEVALUE($A39),'changes1_based on steps'!B$1:B$400,0)),B$2,)</f>
        <v>0</v>
      </c>
      <c r="C39" s="179">
        <f ca="1">IF(ISNUMBER(MATCH(DATEVALUE($A39),'changes1_based on steps'!C$1:C$400,0)),C$2,)</f>
        <v>0</v>
      </c>
      <c r="D39" s="179">
        <f ca="1">IF(ISNUMBER(MATCH(DATEVALUE($A39),'changes1_based on steps'!D$1:D$400,0)),D$2,)</f>
        <v>0</v>
      </c>
      <c r="E39" s="179">
        <f ca="1">IF(ISNUMBER(MATCH(DATEVALUE($A39),'changes1_based on steps'!E$1:E$400,0)),E$2,)</f>
        <v>0</v>
      </c>
      <c r="F39" s="179">
        <f ca="1">IF(ISNUMBER(MATCH(DATEVALUE($A39),'changes1_based on steps'!F$1:F$400,0)),F$2,)</f>
        <v>0</v>
      </c>
      <c r="G39" s="179">
        <f ca="1">IF(ISNUMBER(MATCH(DATEVALUE($A39),'changes1_based on steps'!G$1:G$400,0)),G$2,)</f>
        <v>0</v>
      </c>
      <c r="H39" s="179">
        <f ca="1">IF(ISNUMBER(MATCH(DATEVALUE($A39),'changes1_based on steps'!H$1:H$400,0)),H$2,)</f>
        <v>0</v>
      </c>
      <c r="I39" s="179">
        <f ca="1">IF(ISNUMBER(MATCH(DATEVALUE($A39),'changes1_based on steps'!I$1:I$400,0)),I$2,)</f>
        <v>0</v>
      </c>
      <c r="J39" s="179">
        <f ca="1">IF(ISNUMBER(MATCH(DATEVALUE($A39),'changes1_based on steps'!J$1:J$400,0)),J$2,)</f>
        <v>0</v>
      </c>
      <c r="K39" s="179">
        <f ca="1">IF(ISNUMBER(MATCH(DATEVALUE($A39),'changes1_based on steps'!K$1:K$400,0)),K$2,)</f>
        <v>0</v>
      </c>
      <c r="L39" s="179">
        <f ca="1">IF(ISNUMBER(MATCH(DATEVALUE($A39),'changes1_based on steps'!L$1:L$400,0)),L$2,)</f>
        <v>0</v>
      </c>
      <c r="M39" s="179">
        <f ca="1">IF(ISNUMBER(MATCH(DATEVALUE($A39),'changes1_based on steps'!M$1:M$400,0)),M$2,)</f>
        <v>0</v>
      </c>
      <c r="N39" s="179">
        <f ca="1">IF(ISNUMBER(MATCH(DATEVALUE($A39),'changes1_based on steps'!N$1:N$400,0)),N$2,)</f>
        <v>0</v>
      </c>
      <c r="O39" s="179">
        <f ca="1">IF(ISNUMBER(MATCH(DATEVALUE($A39),'changes1_based on steps'!O$1:O$400,0)),O$2,)</f>
        <v>0</v>
      </c>
      <c r="P39" s="179">
        <f ca="1">IF(ISNUMBER(MATCH(DATEVALUE($A39),'changes1_based on steps'!P$1:P$400,0)),P$2,)</f>
        <v>0</v>
      </c>
      <c r="Q39" s="179">
        <f ca="1">IF(ISNUMBER(MATCH(DATEVALUE($A39),'changes1_based on steps'!Q$1:Q$400,0)),Q$2,)</f>
        <v>0</v>
      </c>
      <c r="R39" s="179">
        <f ca="1">IF(ISNUMBER(MATCH(DATEVALUE($A39),'changes1_based on steps'!R$1:R$400,0)),R$2,)</f>
        <v>0</v>
      </c>
      <c r="S39" s="179">
        <f ca="1">IF(ISNUMBER(MATCH(DATEVALUE($A39),'changes1_based on steps'!S$1:S$400,0)),S$2,)</f>
        <v>0</v>
      </c>
      <c r="T39" s="179">
        <f ca="1">IF(ISNUMBER(MATCH(DATEVALUE($A39),'changes1_based on steps'!T$1:T$400,0)),T$2,)</f>
        <v>0</v>
      </c>
      <c r="U39" s="179">
        <f ca="1">IF(ISNUMBER(MATCH(DATEVALUE($A39),'changes1_based on steps'!U$1:U$400,0)),U$2,)</f>
        <v>0</v>
      </c>
      <c r="V39" s="179"/>
      <c r="W39" s="179"/>
      <c r="X39" s="179"/>
      <c r="Y39" s="179"/>
      <c r="Z39" s="179"/>
      <c r="AA39" s="179"/>
      <c r="AB39" s="179"/>
      <c r="AC39" s="179"/>
      <c r="AD39" s="179"/>
      <c r="AE39" s="179"/>
      <c r="AF39" s="179"/>
      <c r="AG39" s="179"/>
      <c r="AH39" s="179"/>
      <c r="AI39" s="179"/>
      <c r="AJ39" s="179"/>
      <c r="AK39" s="179"/>
      <c r="AL39" s="179"/>
      <c r="AM39" s="179"/>
      <c r="AN39" s="179"/>
      <c r="AO39" s="179"/>
      <c r="AP39" s="179"/>
      <c r="AQ39" s="179"/>
      <c r="AR39" s="179"/>
      <c r="AS39" s="179"/>
      <c r="AT39" s="179"/>
      <c r="AU39" s="179"/>
      <c r="AV39" s="179"/>
      <c r="AW39" s="179"/>
      <c r="AX39" s="179"/>
      <c r="AY39" s="179"/>
      <c r="AZ39" s="179"/>
      <c r="BA39" s="179"/>
      <c r="BB39" s="179"/>
      <c r="BC39" s="179"/>
      <c r="BD39" s="179"/>
      <c r="BE39" s="179"/>
      <c r="BF39" s="179"/>
      <c r="BG39" s="179"/>
      <c r="BH39" s="179"/>
      <c r="BI39" s="179"/>
      <c r="BJ39" s="179"/>
      <c r="BK39" s="179"/>
      <c r="BL39" s="179"/>
      <c r="BM39" s="179"/>
      <c r="BN39" s="179"/>
      <c r="BO39" s="179"/>
      <c r="BP39" s="179"/>
      <c r="BQ39" s="179"/>
      <c r="BR39" s="179"/>
      <c r="BS39" s="179"/>
      <c r="BT39" s="179"/>
      <c r="BU39" s="179"/>
      <c r="BV39" s="179"/>
      <c r="BW39" s="179"/>
      <c r="BX39" s="179"/>
      <c r="BY39" s="179"/>
      <c r="BZ39" s="179"/>
      <c r="CA39" s="179"/>
      <c r="CB39" s="179"/>
      <c r="CC39" s="179"/>
      <c r="CD39" s="179"/>
      <c r="CE39" s="179"/>
      <c r="CF39" s="179"/>
      <c r="CG39" s="179"/>
      <c r="CH39" s="179"/>
      <c r="CI39" s="179"/>
      <c r="CJ39" s="179"/>
      <c r="CK39" s="179"/>
      <c r="CL39" s="179"/>
      <c r="CM39" s="179"/>
      <c r="CN39" s="179"/>
      <c r="CO39" s="179"/>
      <c r="CP39" s="179"/>
      <c r="CQ39" s="179"/>
      <c r="CR39" s="179"/>
      <c r="CS39" s="179"/>
      <c r="CT39" s="179"/>
      <c r="CU39" s="179"/>
      <c r="CV39" s="179"/>
      <c r="CW39" s="179"/>
    </row>
    <row r="40" spans="1:101" x14ac:dyDescent="0.2">
      <c r="A40" s="32" t="str">
        <f t="shared" ca="1" si="0"/>
        <v>2025-05-12</v>
      </c>
      <c r="B40" s="179">
        <f ca="1">IF(ISNUMBER(MATCH(DATEVALUE($A40),'changes1_based on steps'!B$1:B$400,0)),B$2,)</f>
        <v>0</v>
      </c>
      <c r="C40" s="179">
        <f ca="1">IF(ISNUMBER(MATCH(DATEVALUE($A40),'changes1_based on steps'!C$1:C$400,0)),C$2,)</f>
        <v>0</v>
      </c>
      <c r="D40" s="179">
        <f ca="1">IF(ISNUMBER(MATCH(DATEVALUE($A40),'changes1_based on steps'!D$1:D$400,0)),D$2,)</f>
        <v>0</v>
      </c>
      <c r="E40" s="179">
        <f ca="1">IF(ISNUMBER(MATCH(DATEVALUE($A40),'changes1_based on steps'!E$1:E$400,0)),E$2,)</f>
        <v>0</v>
      </c>
      <c r="F40" s="179">
        <f ca="1">IF(ISNUMBER(MATCH(DATEVALUE($A40),'changes1_based on steps'!F$1:F$400,0)),F$2,)</f>
        <v>0</v>
      </c>
      <c r="G40" s="179">
        <f ca="1">IF(ISNUMBER(MATCH(DATEVALUE($A40),'changes1_based on steps'!G$1:G$400,0)),G$2,)</f>
        <v>0</v>
      </c>
      <c r="H40" s="179">
        <f ca="1">IF(ISNUMBER(MATCH(DATEVALUE($A40),'changes1_based on steps'!H$1:H$400,0)),H$2,)</f>
        <v>0</v>
      </c>
      <c r="I40" s="179">
        <f ca="1">IF(ISNUMBER(MATCH(DATEVALUE($A40),'changes1_based on steps'!I$1:I$400,0)),I$2,)</f>
        <v>0</v>
      </c>
      <c r="J40" s="179">
        <f ca="1">IF(ISNUMBER(MATCH(DATEVALUE($A40),'changes1_based on steps'!J$1:J$400,0)),J$2,)</f>
        <v>0</v>
      </c>
      <c r="K40" s="179">
        <f ca="1">IF(ISNUMBER(MATCH(DATEVALUE($A40),'changes1_based on steps'!K$1:K$400,0)),K$2,)</f>
        <v>0</v>
      </c>
      <c r="L40" s="179">
        <f ca="1">IF(ISNUMBER(MATCH(DATEVALUE($A40),'changes1_based on steps'!L$1:L$400,0)),L$2,)</f>
        <v>0</v>
      </c>
      <c r="M40" s="179">
        <f ca="1">IF(ISNUMBER(MATCH(DATEVALUE($A40),'changes1_based on steps'!M$1:M$400,0)),M$2,)</f>
        <v>0</v>
      </c>
      <c r="N40" s="179">
        <f ca="1">IF(ISNUMBER(MATCH(DATEVALUE($A40),'changes1_based on steps'!N$1:N$400,0)),N$2,)</f>
        <v>0</v>
      </c>
      <c r="O40" s="179">
        <f ca="1">IF(ISNUMBER(MATCH(DATEVALUE($A40),'changes1_based on steps'!O$1:O$400,0)),O$2,)</f>
        <v>0</v>
      </c>
      <c r="P40" s="179">
        <f ca="1">IF(ISNUMBER(MATCH(DATEVALUE($A40),'changes1_based on steps'!P$1:P$400,0)),P$2,)</f>
        <v>0</v>
      </c>
      <c r="Q40" s="179">
        <f ca="1">IF(ISNUMBER(MATCH(DATEVALUE($A40),'changes1_based on steps'!Q$1:Q$400,0)),Q$2,)</f>
        <v>0</v>
      </c>
      <c r="R40" s="179">
        <f ca="1">IF(ISNUMBER(MATCH(DATEVALUE($A40),'changes1_based on steps'!R$1:R$400,0)),R$2,)</f>
        <v>0</v>
      </c>
      <c r="S40" s="179">
        <f ca="1">IF(ISNUMBER(MATCH(DATEVALUE($A40),'changes1_based on steps'!S$1:S$400,0)),S$2,)</f>
        <v>0</v>
      </c>
      <c r="T40" s="179">
        <f ca="1">IF(ISNUMBER(MATCH(DATEVALUE($A40),'changes1_based on steps'!T$1:T$400,0)),T$2,)</f>
        <v>0</v>
      </c>
      <c r="U40" s="179">
        <f ca="1">IF(ISNUMBER(MATCH(DATEVALUE($A40),'changes1_based on steps'!U$1:U$400,0)),U$2,)</f>
        <v>0</v>
      </c>
      <c r="V40" s="179"/>
      <c r="W40" s="179"/>
      <c r="X40" s="179"/>
      <c r="Y40" s="179"/>
      <c r="Z40" s="179"/>
      <c r="AA40" s="179"/>
      <c r="AB40" s="179"/>
      <c r="AC40" s="179"/>
      <c r="AD40" s="179"/>
      <c r="AE40" s="179"/>
      <c r="AF40" s="179"/>
      <c r="AG40" s="179"/>
      <c r="AH40" s="179"/>
      <c r="AI40" s="179"/>
      <c r="AJ40" s="179"/>
      <c r="AK40" s="179"/>
      <c r="AL40" s="179"/>
      <c r="AM40" s="179"/>
      <c r="AN40" s="179"/>
      <c r="AO40" s="179"/>
      <c r="AP40" s="179"/>
      <c r="AQ40" s="179"/>
      <c r="AR40" s="179"/>
      <c r="AS40" s="179"/>
      <c r="AT40" s="179"/>
      <c r="AU40" s="179"/>
      <c r="AV40" s="179"/>
      <c r="AW40" s="179"/>
      <c r="AX40" s="179"/>
      <c r="AY40" s="179"/>
      <c r="AZ40" s="179"/>
      <c r="BA40" s="179"/>
      <c r="BB40" s="179"/>
      <c r="BC40" s="179"/>
      <c r="BD40" s="179"/>
      <c r="BE40" s="179"/>
      <c r="BF40" s="179"/>
      <c r="BG40" s="179"/>
      <c r="BH40" s="179"/>
      <c r="BI40" s="179"/>
      <c r="BJ40" s="179"/>
      <c r="BK40" s="179"/>
      <c r="BL40" s="179"/>
      <c r="BM40" s="179"/>
      <c r="BN40" s="179"/>
      <c r="BO40" s="179"/>
      <c r="BP40" s="179"/>
      <c r="BQ40" s="179"/>
      <c r="BR40" s="179"/>
      <c r="BS40" s="179"/>
      <c r="BT40" s="179"/>
      <c r="BU40" s="179"/>
      <c r="BV40" s="179"/>
      <c r="BW40" s="179"/>
      <c r="BX40" s="179"/>
      <c r="BY40" s="179"/>
      <c r="BZ40" s="179"/>
      <c r="CA40" s="179"/>
      <c r="CB40" s="179"/>
      <c r="CC40" s="179"/>
      <c r="CD40" s="179"/>
      <c r="CE40" s="179"/>
      <c r="CF40" s="179"/>
      <c r="CG40" s="179"/>
      <c r="CH40" s="179"/>
      <c r="CI40" s="179"/>
      <c r="CJ40" s="179"/>
      <c r="CK40" s="179"/>
      <c r="CL40" s="179"/>
      <c r="CM40" s="179"/>
      <c r="CN40" s="179"/>
      <c r="CO40" s="179"/>
      <c r="CP40" s="179"/>
      <c r="CQ40" s="179"/>
      <c r="CR40" s="179"/>
      <c r="CS40" s="179"/>
      <c r="CT40" s="179"/>
      <c r="CU40" s="179"/>
      <c r="CV40" s="179"/>
      <c r="CW40" s="179"/>
    </row>
    <row r="41" spans="1:101" x14ac:dyDescent="0.2">
      <c r="A41" s="32" t="str">
        <f t="shared" ca="1" si="0"/>
        <v>2025-05-13</v>
      </c>
      <c r="B41" s="179">
        <f ca="1">IF(ISNUMBER(MATCH(DATEVALUE($A41),'changes1_based on steps'!B$1:B$400,0)),B$2,)</f>
        <v>0</v>
      </c>
      <c r="C41" s="179">
        <f ca="1">IF(ISNUMBER(MATCH(DATEVALUE($A41),'changes1_based on steps'!C$1:C$400,0)),C$2,)</f>
        <v>0</v>
      </c>
      <c r="D41" s="179">
        <f ca="1">IF(ISNUMBER(MATCH(DATEVALUE($A41),'changes1_based on steps'!D$1:D$400,0)),D$2,)</f>
        <v>0</v>
      </c>
      <c r="E41" s="179">
        <f ca="1">IF(ISNUMBER(MATCH(DATEVALUE($A41),'changes1_based on steps'!E$1:E$400,0)),E$2,)</f>
        <v>0</v>
      </c>
      <c r="F41" s="179">
        <f ca="1">IF(ISNUMBER(MATCH(DATEVALUE($A41),'changes1_based on steps'!F$1:F$400,0)),F$2,)</f>
        <v>0</v>
      </c>
      <c r="G41" s="179">
        <f ca="1">IF(ISNUMBER(MATCH(DATEVALUE($A41),'changes1_based on steps'!G$1:G$400,0)),G$2,)</f>
        <v>0</v>
      </c>
      <c r="H41" s="179">
        <f ca="1">IF(ISNUMBER(MATCH(DATEVALUE($A41),'changes1_based on steps'!H$1:H$400,0)),H$2,)</f>
        <v>0</v>
      </c>
      <c r="I41" s="179">
        <f ca="1">IF(ISNUMBER(MATCH(DATEVALUE($A41),'changes1_based on steps'!I$1:I$400,0)),I$2,)</f>
        <v>0</v>
      </c>
      <c r="J41" s="179">
        <f ca="1">IF(ISNUMBER(MATCH(DATEVALUE($A41),'changes1_based on steps'!J$1:J$400,0)),J$2,)</f>
        <v>0</v>
      </c>
      <c r="K41" s="179">
        <f ca="1">IF(ISNUMBER(MATCH(DATEVALUE($A41),'changes1_based on steps'!K$1:K$400,0)),K$2,)</f>
        <v>0</v>
      </c>
      <c r="L41" s="179">
        <f ca="1">IF(ISNUMBER(MATCH(DATEVALUE($A41),'changes1_based on steps'!L$1:L$400,0)),L$2,)</f>
        <v>0</v>
      </c>
      <c r="M41" s="179">
        <f ca="1">IF(ISNUMBER(MATCH(DATEVALUE($A41),'changes1_based on steps'!M$1:M$400,0)),M$2,)</f>
        <v>0</v>
      </c>
      <c r="N41" s="179">
        <f ca="1">IF(ISNUMBER(MATCH(DATEVALUE($A41),'changes1_based on steps'!N$1:N$400,0)),N$2,)</f>
        <v>0</v>
      </c>
      <c r="O41" s="179">
        <f ca="1">IF(ISNUMBER(MATCH(DATEVALUE($A41),'changes1_based on steps'!O$1:O$400,0)),O$2,)</f>
        <v>0</v>
      </c>
      <c r="P41" s="179">
        <f ca="1">IF(ISNUMBER(MATCH(DATEVALUE($A41),'changes1_based on steps'!P$1:P$400,0)),P$2,)</f>
        <v>0</v>
      </c>
      <c r="Q41" s="179">
        <f ca="1">IF(ISNUMBER(MATCH(DATEVALUE($A41),'changes1_based on steps'!Q$1:Q$400,0)),Q$2,)</f>
        <v>0</v>
      </c>
      <c r="R41" s="179">
        <f ca="1">IF(ISNUMBER(MATCH(DATEVALUE($A41),'changes1_based on steps'!R$1:R$400,0)),R$2,)</f>
        <v>0</v>
      </c>
      <c r="S41" s="179">
        <f ca="1">IF(ISNUMBER(MATCH(DATEVALUE($A41),'changes1_based on steps'!S$1:S$400,0)),S$2,)</f>
        <v>0</v>
      </c>
      <c r="T41" s="179">
        <f ca="1">IF(ISNUMBER(MATCH(DATEVALUE($A41),'changes1_based on steps'!T$1:T$400,0)),T$2,)</f>
        <v>0</v>
      </c>
      <c r="U41" s="179">
        <f ca="1">IF(ISNUMBER(MATCH(DATEVALUE($A41),'changes1_based on steps'!U$1:U$400,0)),U$2,)</f>
        <v>0</v>
      </c>
      <c r="V41" s="179"/>
      <c r="W41" s="179"/>
      <c r="X41" s="179"/>
      <c r="Y41" s="179"/>
      <c r="Z41" s="179"/>
      <c r="AA41" s="179"/>
      <c r="AB41" s="179"/>
      <c r="AC41" s="179"/>
      <c r="AD41" s="179"/>
      <c r="AE41" s="179"/>
      <c r="AF41" s="179"/>
      <c r="AG41" s="179"/>
      <c r="AH41" s="179"/>
      <c r="AI41" s="179"/>
      <c r="AJ41" s="179"/>
      <c r="AK41" s="179"/>
      <c r="AL41" s="179"/>
      <c r="AM41" s="179"/>
      <c r="AN41" s="179"/>
      <c r="AO41" s="179"/>
      <c r="AP41" s="179"/>
      <c r="AQ41" s="179"/>
      <c r="AR41" s="179"/>
      <c r="AS41" s="179"/>
      <c r="AT41" s="179"/>
      <c r="AU41" s="179"/>
      <c r="AV41" s="179"/>
      <c r="AW41" s="179"/>
      <c r="AX41" s="179"/>
      <c r="AY41" s="179"/>
      <c r="AZ41" s="179"/>
      <c r="BA41" s="179"/>
      <c r="BB41" s="179"/>
      <c r="BC41" s="179"/>
      <c r="BD41" s="179"/>
      <c r="BE41" s="179"/>
      <c r="BF41" s="179"/>
      <c r="BG41" s="179"/>
      <c r="BH41" s="179"/>
      <c r="BI41" s="179"/>
      <c r="BJ41" s="179"/>
      <c r="BK41" s="179"/>
      <c r="BL41" s="179"/>
      <c r="BM41" s="179"/>
      <c r="BN41" s="179"/>
      <c r="BO41" s="179"/>
      <c r="BP41" s="179"/>
      <c r="BQ41" s="179"/>
      <c r="BR41" s="179"/>
      <c r="BS41" s="179"/>
      <c r="BT41" s="179"/>
      <c r="BU41" s="179"/>
      <c r="BV41" s="179"/>
      <c r="BW41" s="179"/>
      <c r="BX41" s="179"/>
      <c r="BY41" s="179"/>
      <c r="BZ41" s="179"/>
      <c r="CA41" s="179"/>
      <c r="CB41" s="179"/>
      <c r="CC41" s="179"/>
      <c r="CD41" s="179"/>
      <c r="CE41" s="179"/>
      <c r="CF41" s="179"/>
      <c r="CG41" s="179"/>
      <c r="CH41" s="179"/>
      <c r="CI41" s="179"/>
      <c r="CJ41" s="179"/>
      <c r="CK41" s="179"/>
      <c r="CL41" s="179"/>
      <c r="CM41" s="179"/>
      <c r="CN41" s="179"/>
      <c r="CO41" s="179"/>
      <c r="CP41" s="179"/>
      <c r="CQ41" s="179"/>
      <c r="CR41" s="179"/>
      <c r="CS41" s="179"/>
      <c r="CT41" s="179"/>
      <c r="CU41" s="179"/>
      <c r="CV41" s="179"/>
      <c r="CW41" s="179"/>
    </row>
    <row r="42" spans="1:101" x14ac:dyDescent="0.2">
      <c r="A42" s="32" t="str">
        <f t="shared" ca="1" si="0"/>
        <v>2025-05-14</v>
      </c>
      <c r="B42" s="179">
        <f ca="1">IF(ISNUMBER(MATCH(DATEVALUE($A42),'changes1_based on steps'!B$1:B$400,0)),B$2,)</f>
        <v>0</v>
      </c>
      <c r="C42" s="179">
        <f ca="1">IF(ISNUMBER(MATCH(DATEVALUE($A42),'changes1_based on steps'!C$1:C$400,0)),C$2,)</f>
        <v>0</v>
      </c>
      <c r="D42" s="179">
        <f ca="1">IF(ISNUMBER(MATCH(DATEVALUE($A42),'changes1_based on steps'!D$1:D$400,0)),D$2,)</f>
        <v>0</v>
      </c>
      <c r="E42" s="179">
        <f ca="1">IF(ISNUMBER(MATCH(DATEVALUE($A42),'changes1_based on steps'!E$1:E$400,0)),E$2,)</f>
        <v>0</v>
      </c>
      <c r="F42" s="179">
        <f ca="1">IF(ISNUMBER(MATCH(DATEVALUE($A42),'changes1_based on steps'!F$1:F$400,0)),F$2,)</f>
        <v>0</v>
      </c>
      <c r="G42" s="179">
        <f ca="1">IF(ISNUMBER(MATCH(DATEVALUE($A42),'changes1_based on steps'!G$1:G$400,0)),G$2,)</f>
        <v>0</v>
      </c>
      <c r="H42" s="179">
        <f ca="1">IF(ISNUMBER(MATCH(DATEVALUE($A42),'changes1_based on steps'!H$1:H$400,0)),H$2,)</f>
        <v>0</v>
      </c>
      <c r="I42" s="179">
        <f ca="1">IF(ISNUMBER(MATCH(DATEVALUE($A42),'changes1_based on steps'!I$1:I$400,0)),I$2,)</f>
        <v>0</v>
      </c>
      <c r="J42" s="179">
        <f ca="1">IF(ISNUMBER(MATCH(DATEVALUE($A42),'changes1_based on steps'!J$1:J$400,0)),J$2,)</f>
        <v>0</v>
      </c>
      <c r="K42" s="179">
        <f ca="1">IF(ISNUMBER(MATCH(DATEVALUE($A42),'changes1_based on steps'!K$1:K$400,0)),K$2,)</f>
        <v>0</v>
      </c>
      <c r="L42" s="179">
        <f ca="1">IF(ISNUMBER(MATCH(DATEVALUE($A42),'changes1_based on steps'!L$1:L$400,0)),L$2,)</f>
        <v>0</v>
      </c>
      <c r="M42" s="179">
        <f ca="1">IF(ISNUMBER(MATCH(DATEVALUE($A42),'changes1_based on steps'!M$1:M$400,0)),M$2,)</f>
        <v>0</v>
      </c>
      <c r="N42" s="179">
        <f ca="1">IF(ISNUMBER(MATCH(DATEVALUE($A42),'changes1_based on steps'!N$1:N$400,0)),N$2,)</f>
        <v>0</v>
      </c>
      <c r="O42" s="179">
        <f ca="1">IF(ISNUMBER(MATCH(DATEVALUE($A42),'changes1_based on steps'!O$1:O$400,0)),O$2,)</f>
        <v>0</v>
      </c>
      <c r="P42" s="179">
        <f ca="1">IF(ISNUMBER(MATCH(DATEVALUE($A42),'changes1_based on steps'!P$1:P$400,0)),P$2,)</f>
        <v>0</v>
      </c>
      <c r="Q42" s="179">
        <f ca="1">IF(ISNUMBER(MATCH(DATEVALUE($A42),'changes1_based on steps'!Q$1:Q$400,0)),Q$2,)</f>
        <v>0</v>
      </c>
      <c r="R42" s="179">
        <f ca="1">IF(ISNUMBER(MATCH(DATEVALUE($A42),'changes1_based on steps'!R$1:R$400,0)),R$2,)</f>
        <v>0</v>
      </c>
      <c r="S42" s="179">
        <f ca="1">IF(ISNUMBER(MATCH(DATEVALUE($A42),'changes1_based on steps'!S$1:S$400,0)),S$2,)</f>
        <v>0</v>
      </c>
      <c r="T42" s="179">
        <f ca="1">IF(ISNUMBER(MATCH(DATEVALUE($A42),'changes1_based on steps'!T$1:T$400,0)),T$2,)</f>
        <v>0</v>
      </c>
      <c r="U42" s="179">
        <f ca="1">IF(ISNUMBER(MATCH(DATEVALUE($A42),'changes1_based on steps'!U$1:U$400,0)),U$2,)</f>
        <v>0</v>
      </c>
      <c r="V42" s="179"/>
      <c r="W42" s="179"/>
      <c r="X42" s="179"/>
      <c r="Y42" s="179"/>
      <c r="Z42" s="179"/>
      <c r="AA42" s="179"/>
      <c r="AB42" s="179"/>
      <c r="AC42" s="179"/>
      <c r="AD42" s="179"/>
      <c r="AE42" s="179"/>
      <c r="AF42" s="179"/>
      <c r="AG42" s="179"/>
      <c r="AH42" s="179"/>
      <c r="AI42" s="179"/>
      <c r="AJ42" s="179"/>
      <c r="AK42" s="179"/>
      <c r="AL42" s="179"/>
      <c r="AM42" s="179"/>
      <c r="AN42" s="179"/>
      <c r="AO42" s="179"/>
      <c r="AP42" s="179"/>
      <c r="AQ42" s="179"/>
      <c r="AR42" s="179"/>
      <c r="AS42" s="179"/>
      <c r="AT42" s="179"/>
      <c r="AU42" s="179"/>
      <c r="AV42" s="179"/>
      <c r="AW42" s="179"/>
      <c r="AX42" s="179"/>
      <c r="AY42" s="179"/>
      <c r="AZ42" s="179"/>
      <c r="BA42" s="179"/>
      <c r="BB42" s="179"/>
      <c r="BC42" s="179"/>
      <c r="BD42" s="179"/>
      <c r="BE42" s="179"/>
      <c r="BF42" s="179"/>
      <c r="BG42" s="179"/>
      <c r="BH42" s="179"/>
      <c r="BI42" s="179"/>
      <c r="BJ42" s="179"/>
      <c r="BK42" s="179"/>
      <c r="BL42" s="179"/>
      <c r="BM42" s="179"/>
      <c r="BN42" s="179"/>
      <c r="BO42" s="179"/>
      <c r="BP42" s="179"/>
      <c r="BQ42" s="179"/>
      <c r="BR42" s="179"/>
      <c r="BS42" s="179"/>
      <c r="BT42" s="179"/>
      <c r="BU42" s="179"/>
      <c r="BV42" s="179"/>
      <c r="BW42" s="179"/>
      <c r="BX42" s="179"/>
      <c r="BY42" s="179"/>
      <c r="BZ42" s="179"/>
      <c r="CA42" s="179"/>
      <c r="CB42" s="179"/>
      <c r="CC42" s="179"/>
      <c r="CD42" s="179"/>
      <c r="CE42" s="179"/>
      <c r="CF42" s="179"/>
      <c r="CG42" s="179"/>
      <c r="CH42" s="179"/>
      <c r="CI42" s="179"/>
      <c r="CJ42" s="179"/>
      <c r="CK42" s="179"/>
      <c r="CL42" s="179"/>
      <c r="CM42" s="179"/>
      <c r="CN42" s="179"/>
      <c r="CO42" s="179"/>
      <c r="CP42" s="179"/>
      <c r="CQ42" s="179"/>
      <c r="CR42" s="179"/>
      <c r="CS42" s="179"/>
      <c r="CT42" s="179"/>
      <c r="CU42" s="179"/>
      <c r="CV42" s="179"/>
      <c r="CW42" s="179"/>
    </row>
    <row r="43" spans="1:101" x14ac:dyDescent="0.2">
      <c r="A43" s="32" t="str">
        <f t="shared" ca="1" si="0"/>
        <v>2025-05-15</v>
      </c>
      <c r="B43" s="179">
        <f ca="1">IF(ISNUMBER(MATCH(DATEVALUE($A43),'changes1_based on steps'!B$1:B$400,0)),B$2,)</f>
        <v>0</v>
      </c>
      <c r="C43" s="179">
        <f ca="1">IF(ISNUMBER(MATCH(DATEVALUE($A43),'changes1_based on steps'!C$1:C$400,0)),C$2,)</f>
        <v>0</v>
      </c>
      <c r="D43" s="179">
        <f ca="1">IF(ISNUMBER(MATCH(DATEVALUE($A43),'changes1_based on steps'!D$1:D$400,0)),D$2,)</f>
        <v>0</v>
      </c>
      <c r="E43" s="179">
        <f ca="1">IF(ISNUMBER(MATCH(DATEVALUE($A43),'changes1_based on steps'!E$1:E$400,0)),E$2,)</f>
        <v>0</v>
      </c>
      <c r="F43" s="179">
        <f ca="1">IF(ISNUMBER(MATCH(DATEVALUE($A43),'changes1_based on steps'!F$1:F$400,0)),F$2,)</f>
        <v>0</v>
      </c>
      <c r="G43" s="179">
        <f ca="1">IF(ISNUMBER(MATCH(DATEVALUE($A43),'changes1_based on steps'!G$1:G$400,0)),G$2,)</f>
        <v>0</v>
      </c>
      <c r="H43" s="179">
        <f ca="1">IF(ISNUMBER(MATCH(DATEVALUE($A43),'changes1_based on steps'!H$1:H$400,0)),H$2,)</f>
        <v>0</v>
      </c>
      <c r="I43" s="179">
        <f ca="1">IF(ISNUMBER(MATCH(DATEVALUE($A43),'changes1_based on steps'!I$1:I$400,0)),I$2,)</f>
        <v>0</v>
      </c>
      <c r="J43" s="179">
        <f ca="1">IF(ISNUMBER(MATCH(DATEVALUE($A43),'changes1_based on steps'!J$1:J$400,0)),J$2,)</f>
        <v>0</v>
      </c>
      <c r="K43" s="179">
        <f ca="1">IF(ISNUMBER(MATCH(DATEVALUE($A43),'changes1_based on steps'!K$1:K$400,0)),K$2,)</f>
        <v>0</v>
      </c>
      <c r="L43" s="179">
        <f ca="1">IF(ISNUMBER(MATCH(DATEVALUE($A43),'changes1_based on steps'!L$1:L$400,0)),L$2,)</f>
        <v>0</v>
      </c>
      <c r="M43" s="179">
        <f ca="1">IF(ISNUMBER(MATCH(DATEVALUE($A43),'changes1_based on steps'!M$1:M$400,0)),M$2,)</f>
        <v>0</v>
      </c>
      <c r="N43" s="179">
        <f ca="1">IF(ISNUMBER(MATCH(DATEVALUE($A43),'changes1_based on steps'!N$1:N$400,0)),N$2,)</f>
        <v>0</v>
      </c>
      <c r="O43" s="179">
        <f ca="1">IF(ISNUMBER(MATCH(DATEVALUE($A43),'changes1_based on steps'!O$1:O$400,0)),O$2,)</f>
        <v>0</v>
      </c>
      <c r="P43" s="179">
        <f ca="1">IF(ISNUMBER(MATCH(DATEVALUE($A43),'changes1_based on steps'!P$1:P$400,0)),P$2,)</f>
        <v>0</v>
      </c>
      <c r="Q43" s="179">
        <f ca="1">IF(ISNUMBER(MATCH(DATEVALUE($A43),'changes1_based on steps'!Q$1:Q$400,0)),Q$2,)</f>
        <v>0</v>
      </c>
      <c r="R43" s="179">
        <f ca="1">IF(ISNUMBER(MATCH(DATEVALUE($A43),'changes1_based on steps'!R$1:R$400,0)),R$2,)</f>
        <v>0</v>
      </c>
      <c r="S43" s="179">
        <f ca="1">IF(ISNUMBER(MATCH(DATEVALUE($A43),'changes1_based on steps'!S$1:S$400,0)),S$2,)</f>
        <v>0</v>
      </c>
      <c r="T43" s="179">
        <f ca="1">IF(ISNUMBER(MATCH(DATEVALUE($A43),'changes1_based on steps'!T$1:T$400,0)),T$2,)</f>
        <v>0</v>
      </c>
      <c r="U43" s="179">
        <f ca="1">IF(ISNUMBER(MATCH(DATEVALUE($A43),'changes1_based on steps'!U$1:U$400,0)),U$2,)</f>
        <v>0</v>
      </c>
      <c r="V43" s="179"/>
      <c r="W43" s="179"/>
      <c r="X43" s="179"/>
      <c r="Y43" s="179"/>
      <c r="Z43" s="179"/>
      <c r="AA43" s="179"/>
      <c r="AB43" s="179"/>
      <c r="AC43" s="179"/>
      <c r="AD43" s="179"/>
      <c r="AE43" s="179"/>
      <c r="AF43" s="179"/>
      <c r="AG43" s="179"/>
      <c r="AH43" s="179"/>
      <c r="AI43" s="179"/>
      <c r="AJ43" s="179"/>
      <c r="AK43" s="179"/>
      <c r="AL43" s="179"/>
      <c r="AM43" s="179"/>
      <c r="AN43" s="179"/>
      <c r="AO43" s="179"/>
      <c r="AP43" s="179"/>
      <c r="AQ43" s="179"/>
      <c r="AR43" s="179"/>
      <c r="AS43" s="179"/>
      <c r="AT43" s="179"/>
      <c r="AU43" s="179"/>
      <c r="AV43" s="179"/>
      <c r="AW43" s="179"/>
      <c r="AX43" s="179"/>
      <c r="AY43" s="179"/>
      <c r="AZ43" s="179"/>
      <c r="BA43" s="179"/>
      <c r="BB43" s="179"/>
      <c r="BC43" s="179"/>
      <c r="BD43" s="179"/>
      <c r="BE43" s="179"/>
      <c r="BF43" s="179"/>
      <c r="BG43" s="179"/>
      <c r="BH43" s="179"/>
      <c r="BI43" s="179"/>
      <c r="BJ43" s="179"/>
      <c r="BK43" s="179"/>
      <c r="BL43" s="179"/>
      <c r="BM43" s="179"/>
      <c r="BN43" s="179"/>
      <c r="BO43" s="179"/>
      <c r="BP43" s="179"/>
      <c r="BQ43" s="179"/>
      <c r="BR43" s="179"/>
      <c r="BS43" s="179"/>
      <c r="BT43" s="179"/>
      <c r="BU43" s="179"/>
      <c r="BV43" s="179"/>
      <c r="BW43" s="179"/>
      <c r="BX43" s="179"/>
      <c r="BY43" s="179"/>
      <c r="BZ43" s="179"/>
      <c r="CA43" s="179"/>
      <c r="CB43" s="179"/>
      <c r="CC43" s="179"/>
      <c r="CD43" s="179"/>
      <c r="CE43" s="179"/>
      <c r="CF43" s="179"/>
      <c r="CG43" s="179"/>
      <c r="CH43" s="179"/>
      <c r="CI43" s="179"/>
      <c r="CJ43" s="179"/>
      <c r="CK43" s="179"/>
      <c r="CL43" s="179"/>
      <c r="CM43" s="179"/>
      <c r="CN43" s="179"/>
      <c r="CO43" s="179"/>
      <c r="CP43" s="179"/>
      <c r="CQ43" s="179"/>
      <c r="CR43" s="179"/>
      <c r="CS43" s="179"/>
      <c r="CT43" s="179"/>
      <c r="CU43" s="179"/>
      <c r="CV43" s="179"/>
      <c r="CW43" s="179"/>
    </row>
    <row r="44" spans="1:101" x14ac:dyDescent="0.2">
      <c r="A44" s="32" t="str">
        <f t="shared" ca="1" si="0"/>
        <v>2025-05-16</v>
      </c>
      <c r="B44" s="179">
        <f ca="1">IF(ISNUMBER(MATCH(DATEVALUE($A44),'changes1_based on steps'!B$1:B$400,0)),B$2,)</f>
        <v>0</v>
      </c>
      <c r="C44" s="179">
        <f ca="1">IF(ISNUMBER(MATCH(DATEVALUE($A44),'changes1_based on steps'!C$1:C$400,0)),C$2,)</f>
        <v>0</v>
      </c>
      <c r="D44" s="179">
        <f ca="1">IF(ISNUMBER(MATCH(DATEVALUE($A44),'changes1_based on steps'!D$1:D$400,0)),D$2,)</f>
        <v>0</v>
      </c>
      <c r="E44" s="179">
        <f ca="1">IF(ISNUMBER(MATCH(DATEVALUE($A44),'changes1_based on steps'!E$1:E$400,0)),E$2,)</f>
        <v>0</v>
      </c>
      <c r="F44" s="179">
        <f ca="1">IF(ISNUMBER(MATCH(DATEVALUE($A44),'changes1_based on steps'!F$1:F$400,0)),F$2,)</f>
        <v>0</v>
      </c>
      <c r="G44" s="179">
        <f ca="1">IF(ISNUMBER(MATCH(DATEVALUE($A44),'changes1_based on steps'!G$1:G$400,0)),G$2,)</f>
        <v>0</v>
      </c>
      <c r="H44" s="179">
        <f ca="1">IF(ISNUMBER(MATCH(DATEVALUE($A44),'changes1_based on steps'!H$1:H$400,0)),H$2,)</f>
        <v>0</v>
      </c>
      <c r="I44" s="179">
        <f ca="1">IF(ISNUMBER(MATCH(DATEVALUE($A44),'changes1_based on steps'!I$1:I$400,0)),I$2,)</f>
        <v>0</v>
      </c>
      <c r="J44" s="179">
        <f ca="1">IF(ISNUMBER(MATCH(DATEVALUE($A44),'changes1_based on steps'!J$1:J$400,0)),J$2,)</f>
        <v>0</v>
      </c>
      <c r="K44" s="179">
        <f ca="1">IF(ISNUMBER(MATCH(DATEVALUE($A44),'changes1_based on steps'!K$1:K$400,0)),K$2,)</f>
        <v>0</v>
      </c>
      <c r="L44" s="179">
        <f ca="1">IF(ISNUMBER(MATCH(DATEVALUE($A44),'changes1_based on steps'!L$1:L$400,0)),L$2,)</f>
        <v>0</v>
      </c>
      <c r="M44" s="179">
        <f ca="1">IF(ISNUMBER(MATCH(DATEVALUE($A44),'changes1_based on steps'!M$1:M$400,0)),M$2,)</f>
        <v>0</v>
      </c>
      <c r="N44" s="179">
        <f ca="1">IF(ISNUMBER(MATCH(DATEVALUE($A44),'changes1_based on steps'!N$1:N$400,0)),N$2,)</f>
        <v>0</v>
      </c>
      <c r="O44" s="179">
        <f ca="1">IF(ISNUMBER(MATCH(DATEVALUE($A44),'changes1_based on steps'!O$1:O$400,0)),O$2,)</f>
        <v>0</v>
      </c>
      <c r="P44" s="179">
        <f ca="1">IF(ISNUMBER(MATCH(DATEVALUE($A44),'changes1_based on steps'!P$1:P$400,0)),P$2,)</f>
        <v>0</v>
      </c>
      <c r="Q44" s="179">
        <f ca="1">IF(ISNUMBER(MATCH(DATEVALUE($A44),'changes1_based on steps'!Q$1:Q$400,0)),Q$2,)</f>
        <v>0</v>
      </c>
      <c r="R44" s="179">
        <f ca="1">IF(ISNUMBER(MATCH(DATEVALUE($A44),'changes1_based on steps'!R$1:R$400,0)),R$2,)</f>
        <v>0</v>
      </c>
      <c r="S44" s="179">
        <f ca="1">IF(ISNUMBER(MATCH(DATEVALUE($A44),'changes1_based on steps'!S$1:S$400,0)),S$2,)</f>
        <v>0</v>
      </c>
      <c r="T44" s="179">
        <f ca="1">IF(ISNUMBER(MATCH(DATEVALUE($A44),'changes1_based on steps'!T$1:T$400,0)),T$2,)</f>
        <v>0</v>
      </c>
      <c r="U44" s="179">
        <f ca="1">IF(ISNUMBER(MATCH(DATEVALUE($A44),'changes1_based on steps'!U$1:U$400,0)),U$2,)</f>
        <v>0</v>
      </c>
      <c r="V44" s="179"/>
      <c r="W44" s="179"/>
      <c r="X44" s="179"/>
      <c r="Y44" s="179"/>
      <c r="Z44" s="179"/>
      <c r="AA44" s="179"/>
      <c r="AB44" s="179"/>
      <c r="AC44" s="179"/>
      <c r="AD44" s="179"/>
      <c r="AE44" s="179"/>
      <c r="AF44" s="179"/>
      <c r="AG44" s="179"/>
      <c r="AH44" s="179"/>
      <c r="AI44" s="179"/>
      <c r="AJ44" s="179"/>
      <c r="AK44" s="179"/>
      <c r="AL44" s="179"/>
      <c r="AM44" s="179"/>
      <c r="AN44" s="179"/>
      <c r="AO44" s="179"/>
      <c r="AP44" s="179"/>
      <c r="AQ44" s="179"/>
      <c r="AR44" s="179"/>
      <c r="AS44" s="179"/>
      <c r="AT44" s="179"/>
      <c r="AU44" s="179"/>
      <c r="AV44" s="179"/>
      <c r="AW44" s="179"/>
      <c r="AX44" s="179"/>
      <c r="AY44" s="179"/>
      <c r="AZ44" s="179"/>
      <c r="BA44" s="179"/>
      <c r="BB44" s="179"/>
      <c r="BC44" s="179"/>
      <c r="BD44" s="179"/>
      <c r="BE44" s="179"/>
      <c r="BF44" s="179"/>
      <c r="BG44" s="179"/>
      <c r="BH44" s="179"/>
      <c r="BI44" s="179"/>
      <c r="BJ44" s="179"/>
      <c r="BK44" s="179"/>
      <c r="BL44" s="179"/>
      <c r="BM44" s="179"/>
      <c r="BN44" s="179"/>
      <c r="BO44" s="179"/>
      <c r="BP44" s="179"/>
      <c r="BQ44" s="179"/>
      <c r="BR44" s="179"/>
      <c r="BS44" s="179"/>
      <c r="BT44" s="179"/>
      <c r="BU44" s="179"/>
      <c r="BV44" s="179"/>
      <c r="BW44" s="179"/>
      <c r="BX44" s="179"/>
      <c r="BY44" s="179"/>
      <c r="BZ44" s="179"/>
      <c r="CA44" s="179"/>
      <c r="CB44" s="179"/>
      <c r="CC44" s="179"/>
      <c r="CD44" s="179"/>
      <c r="CE44" s="179"/>
      <c r="CF44" s="179"/>
      <c r="CG44" s="179"/>
      <c r="CH44" s="179"/>
      <c r="CI44" s="179"/>
      <c r="CJ44" s="179"/>
      <c r="CK44" s="179"/>
      <c r="CL44" s="179"/>
      <c r="CM44" s="179"/>
      <c r="CN44" s="179"/>
      <c r="CO44" s="179"/>
      <c r="CP44" s="179"/>
      <c r="CQ44" s="179"/>
      <c r="CR44" s="179"/>
      <c r="CS44" s="179"/>
      <c r="CT44" s="179"/>
      <c r="CU44" s="179"/>
      <c r="CV44" s="179"/>
      <c r="CW44" s="179"/>
    </row>
    <row r="45" spans="1:101" x14ac:dyDescent="0.2">
      <c r="A45" s="32" t="str">
        <f t="shared" ca="1" si="0"/>
        <v>2025-05-17</v>
      </c>
      <c r="B45" s="179">
        <f ca="1">IF(ISNUMBER(MATCH(DATEVALUE($A45),'changes1_based on steps'!B$1:B$400,0)),B$2,)</f>
        <v>0</v>
      </c>
      <c r="C45" s="179">
        <f ca="1">IF(ISNUMBER(MATCH(DATEVALUE($A45),'changes1_based on steps'!C$1:C$400,0)),C$2,)</f>
        <v>0</v>
      </c>
      <c r="D45" s="179">
        <f ca="1">IF(ISNUMBER(MATCH(DATEVALUE($A45),'changes1_based on steps'!D$1:D$400,0)),D$2,)</f>
        <v>0</v>
      </c>
      <c r="E45" s="179">
        <f ca="1">IF(ISNUMBER(MATCH(DATEVALUE($A45),'changes1_based on steps'!E$1:E$400,0)),E$2,)</f>
        <v>0</v>
      </c>
      <c r="F45" s="179">
        <f ca="1">IF(ISNUMBER(MATCH(DATEVALUE($A45),'changes1_based on steps'!F$1:F$400,0)),F$2,)</f>
        <v>0</v>
      </c>
      <c r="G45" s="179">
        <f ca="1">IF(ISNUMBER(MATCH(DATEVALUE($A45),'changes1_based on steps'!G$1:G$400,0)),G$2,)</f>
        <v>0</v>
      </c>
      <c r="H45" s="179">
        <f ca="1">IF(ISNUMBER(MATCH(DATEVALUE($A45),'changes1_based on steps'!H$1:H$400,0)),H$2,)</f>
        <v>0</v>
      </c>
      <c r="I45" s="179">
        <f ca="1">IF(ISNUMBER(MATCH(DATEVALUE($A45),'changes1_based on steps'!I$1:I$400,0)),I$2,)</f>
        <v>0</v>
      </c>
      <c r="J45" s="179">
        <f ca="1">IF(ISNUMBER(MATCH(DATEVALUE($A45),'changes1_based on steps'!J$1:J$400,0)),J$2,)</f>
        <v>0</v>
      </c>
      <c r="K45" s="179">
        <f ca="1">IF(ISNUMBER(MATCH(DATEVALUE($A45),'changes1_based on steps'!K$1:K$400,0)),K$2,)</f>
        <v>0</v>
      </c>
      <c r="L45" s="179">
        <f ca="1">IF(ISNUMBER(MATCH(DATEVALUE($A45),'changes1_based on steps'!L$1:L$400,0)),L$2,)</f>
        <v>0</v>
      </c>
      <c r="M45" s="179">
        <f ca="1">IF(ISNUMBER(MATCH(DATEVALUE($A45),'changes1_based on steps'!M$1:M$400,0)),M$2,)</f>
        <v>0</v>
      </c>
      <c r="N45" s="179">
        <f ca="1">IF(ISNUMBER(MATCH(DATEVALUE($A45),'changes1_based on steps'!N$1:N$400,0)),N$2,)</f>
        <v>0</v>
      </c>
      <c r="O45" s="179">
        <f ca="1">IF(ISNUMBER(MATCH(DATEVALUE($A45),'changes1_based on steps'!O$1:O$400,0)),O$2,)</f>
        <v>0</v>
      </c>
      <c r="P45" s="179">
        <f ca="1">IF(ISNUMBER(MATCH(DATEVALUE($A45),'changes1_based on steps'!P$1:P$400,0)),P$2,)</f>
        <v>0</v>
      </c>
      <c r="Q45" s="179">
        <f ca="1">IF(ISNUMBER(MATCH(DATEVALUE($A45),'changes1_based on steps'!Q$1:Q$400,0)),Q$2,)</f>
        <v>0</v>
      </c>
      <c r="R45" s="179">
        <f ca="1">IF(ISNUMBER(MATCH(DATEVALUE($A45),'changes1_based on steps'!R$1:R$400,0)),R$2,)</f>
        <v>0</v>
      </c>
      <c r="S45" s="179">
        <f ca="1">IF(ISNUMBER(MATCH(DATEVALUE($A45),'changes1_based on steps'!S$1:S$400,0)),S$2,)</f>
        <v>0</v>
      </c>
      <c r="T45" s="179">
        <f ca="1">IF(ISNUMBER(MATCH(DATEVALUE($A45),'changes1_based on steps'!T$1:T$400,0)),T$2,)</f>
        <v>0</v>
      </c>
      <c r="U45" s="179">
        <f ca="1">IF(ISNUMBER(MATCH(DATEVALUE($A45),'changes1_based on steps'!U$1:U$400,0)),U$2,)</f>
        <v>0</v>
      </c>
      <c r="V45" s="179"/>
      <c r="W45" s="179"/>
      <c r="X45" s="179"/>
      <c r="Y45" s="179"/>
      <c r="Z45" s="179"/>
      <c r="AA45" s="179"/>
      <c r="AB45" s="179"/>
      <c r="AC45" s="179"/>
      <c r="AD45" s="179"/>
      <c r="AE45" s="179"/>
      <c r="AF45" s="179"/>
      <c r="AG45" s="179"/>
      <c r="AH45" s="179"/>
      <c r="AI45" s="179"/>
      <c r="AJ45" s="179"/>
      <c r="AK45" s="179"/>
      <c r="AL45" s="179"/>
      <c r="AM45" s="179"/>
      <c r="AN45" s="179"/>
      <c r="AO45" s="179"/>
      <c r="AP45" s="179"/>
      <c r="AQ45" s="179"/>
      <c r="AR45" s="179"/>
      <c r="AS45" s="179"/>
      <c r="AT45" s="179"/>
      <c r="AU45" s="179"/>
      <c r="AV45" s="179"/>
      <c r="AW45" s="179"/>
      <c r="AX45" s="179"/>
      <c r="AY45" s="179"/>
      <c r="AZ45" s="179"/>
      <c r="BA45" s="179"/>
      <c r="BB45" s="179"/>
      <c r="BC45" s="179"/>
      <c r="BD45" s="179"/>
      <c r="BE45" s="179"/>
      <c r="BF45" s="179"/>
      <c r="BG45" s="179"/>
      <c r="BH45" s="179"/>
      <c r="BI45" s="179"/>
      <c r="BJ45" s="179"/>
      <c r="BK45" s="179"/>
      <c r="BL45" s="179"/>
      <c r="BM45" s="179"/>
      <c r="BN45" s="179"/>
      <c r="BO45" s="179"/>
      <c r="BP45" s="179"/>
      <c r="BQ45" s="179"/>
      <c r="BR45" s="179"/>
      <c r="BS45" s="179"/>
      <c r="BT45" s="179"/>
      <c r="BU45" s="179"/>
      <c r="BV45" s="179"/>
      <c r="BW45" s="179"/>
      <c r="BX45" s="179"/>
      <c r="BY45" s="179"/>
      <c r="BZ45" s="179"/>
      <c r="CA45" s="179"/>
      <c r="CB45" s="179"/>
      <c r="CC45" s="179"/>
      <c r="CD45" s="179"/>
      <c r="CE45" s="179"/>
      <c r="CF45" s="179"/>
      <c r="CG45" s="179"/>
      <c r="CH45" s="179"/>
      <c r="CI45" s="179"/>
      <c r="CJ45" s="179"/>
      <c r="CK45" s="179"/>
      <c r="CL45" s="179"/>
      <c r="CM45" s="179"/>
      <c r="CN45" s="179"/>
      <c r="CO45" s="179"/>
      <c r="CP45" s="179"/>
      <c r="CQ45" s="179"/>
      <c r="CR45" s="179"/>
      <c r="CS45" s="179"/>
      <c r="CT45" s="179"/>
      <c r="CU45" s="179"/>
      <c r="CV45" s="179"/>
      <c r="CW45" s="179"/>
    </row>
    <row r="46" spans="1:101" x14ac:dyDescent="0.2">
      <c r="A46" s="32" t="str">
        <f t="shared" ca="1" si="0"/>
        <v>2025-05-18</v>
      </c>
      <c r="B46" s="179">
        <f ca="1">IF(ISNUMBER(MATCH(DATEVALUE($A46),'changes1_based on steps'!B$1:B$400,0)),B$2,)</f>
        <v>0</v>
      </c>
      <c r="C46" s="179">
        <f ca="1">IF(ISNUMBER(MATCH(DATEVALUE($A46),'changes1_based on steps'!C$1:C$400,0)),C$2,)</f>
        <v>0</v>
      </c>
      <c r="D46" s="179">
        <f ca="1">IF(ISNUMBER(MATCH(DATEVALUE($A46),'changes1_based on steps'!D$1:D$400,0)),D$2,)</f>
        <v>0</v>
      </c>
      <c r="E46" s="179">
        <f ca="1">IF(ISNUMBER(MATCH(DATEVALUE($A46),'changes1_based on steps'!E$1:E$400,0)),E$2,)</f>
        <v>0</v>
      </c>
      <c r="F46" s="179">
        <f ca="1">IF(ISNUMBER(MATCH(DATEVALUE($A46),'changes1_based on steps'!F$1:F$400,0)),F$2,)</f>
        <v>0</v>
      </c>
      <c r="G46" s="179">
        <f ca="1">IF(ISNUMBER(MATCH(DATEVALUE($A46),'changes1_based on steps'!G$1:G$400,0)),G$2,)</f>
        <v>0</v>
      </c>
      <c r="H46" s="179">
        <f ca="1">IF(ISNUMBER(MATCH(DATEVALUE($A46),'changes1_based on steps'!H$1:H$400,0)),H$2,)</f>
        <v>0</v>
      </c>
      <c r="I46" s="179">
        <f ca="1">IF(ISNUMBER(MATCH(DATEVALUE($A46),'changes1_based on steps'!I$1:I$400,0)),I$2,)</f>
        <v>0</v>
      </c>
      <c r="J46" s="179">
        <f ca="1">IF(ISNUMBER(MATCH(DATEVALUE($A46),'changes1_based on steps'!J$1:J$400,0)),J$2,)</f>
        <v>0</v>
      </c>
      <c r="K46" s="179">
        <f ca="1">IF(ISNUMBER(MATCH(DATEVALUE($A46),'changes1_based on steps'!K$1:K$400,0)),K$2,)</f>
        <v>0</v>
      </c>
      <c r="L46" s="179">
        <f ca="1">IF(ISNUMBER(MATCH(DATEVALUE($A46),'changes1_based on steps'!L$1:L$400,0)),L$2,)</f>
        <v>0</v>
      </c>
      <c r="M46" s="179">
        <f ca="1">IF(ISNUMBER(MATCH(DATEVALUE($A46),'changes1_based on steps'!M$1:M$400,0)),M$2,)</f>
        <v>0</v>
      </c>
      <c r="N46" s="179">
        <f ca="1">IF(ISNUMBER(MATCH(DATEVALUE($A46),'changes1_based on steps'!N$1:N$400,0)),N$2,)</f>
        <v>0</v>
      </c>
      <c r="O46" s="179">
        <f ca="1">IF(ISNUMBER(MATCH(DATEVALUE($A46),'changes1_based on steps'!O$1:O$400,0)),O$2,)</f>
        <v>0</v>
      </c>
      <c r="P46" s="179">
        <f ca="1">IF(ISNUMBER(MATCH(DATEVALUE($A46),'changes1_based on steps'!P$1:P$400,0)),P$2,)</f>
        <v>0</v>
      </c>
      <c r="Q46" s="179">
        <f ca="1">IF(ISNUMBER(MATCH(DATEVALUE($A46),'changes1_based on steps'!Q$1:Q$400,0)),Q$2,)</f>
        <v>0</v>
      </c>
      <c r="R46" s="179">
        <f ca="1">IF(ISNUMBER(MATCH(DATEVALUE($A46),'changes1_based on steps'!R$1:R$400,0)),R$2,)</f>
        <v>0</v>
      </c>
      <c r="S46" s="179">
        <f ca="1">IF(ISNUMBER(MATCH(DATEVALUE($A46),'changes1_based on steps'!S$1:S$400,0)),S$2,)</f>
        <v>0</v>
      </c>
      <c r="T46" s="179">
        <f ca="1">IF(ISNUMBER(MATCH(DATEVALUE($A46),'changes1_based on steps'!T$1:T$400,0)),T$2,)</f>
        <v>0</v>
      </c>
      <c r="U46" s="179">
        <f ca="1">IF(ISNUMBER(MATCH(DATEVALUE($A46),'changes1_based on steps'!U$1:U$400,0)),U$2,)</f>
        <v>0</v>
      </c>
      <c r="V46" s="179"/>
      <c r="W46" s="179"/>
      <c r="X46" s="179"/>
      <c r="Y46" s="179"/>
      <c r="Z46" s="179"/>
      <c r="AA46" s="179"/>
      <c r="AB46" s="179"/>
      <c r="AC46" s="179"/>
      <c r="AD46" s="179"/>
      <c r="AE46" s="179"/>
      <c r="AF46" s="179"/>
      <c r="AG46" s="179"/>
      <c r="AH46" s="179"/>
      <c r="AI46" s="179"/>
      <c r="AJ46" s="179"/>
      <c r="AK46" s="179"/>
      <c r="AL46" s="179"/>
      <c r="AM46" s="179"/>
      <c r="AN46" s="179"/>
      <c r="AO46" s="179"/>
      <c r="AP46" s="179"/>
      <c r="AQ46" s="179"/>
      <c r="AR46" s="179"/>
      <c r="AS46" s="179"/>
      <c r="AT46" s="179"/>
      <c r="AU46" s="179"/>
      <c r="AV46" s="179"/>
      <c r="AW46" s="179"/>
      <c r="AX46" s="179"/>
      <c r="AY46" s="179"/>
      <c r="AZ46" s="179"/>
      <c r="BA46" s="179"/>
      <c r="BB46" s="179"/>
      <c r="BC46" s="179"/>
      <c r="BD46" s="179"/>
      <c r="BE46" s="179"/>
      <c r="BF46" s="179"/>
      <c r="BG46" s="179"/>
      <c r="BH46" s="179"/>
      <c r="BI46" s="179"/>
      <c r="BJ46" s="179"/>
      <c r="BK46" s="179"/>
      <c r="BL46" s="179"/>
      <c r="BM46" s="179"/>
      <c r="BN46" s="179"/>
      <c r="BO46" s="179"/>
      <c r="BP46" s="179"/>
      <c r="BQ46" s="179"/>
      <c r="BR46" s="179"/>
      <c r="BS46" s="179"/>
      <c r="BT46" s="179"/>
      <c r="BU46" s="179"/>
      <c r="BV46" s="179"/>
      <c r="BW46" s="179"/>
      <c r="BX46" s="179"/>
      <c r="BY46" s="179"/>
      <c r="BZ46" s="179"/>
      <c r="CA46" s="179"/>
      <c r="CB46" s="179"/>
      <c r="CC46" s="179"/>
      <c r="CD46" s="179"/>
      <c r="CE46" s="179"/>
      <c r="CF46" s="179"/>
      <c r="CG46" s="179"/>
      <c r="CH46" s="179"/>
      <c r="CI46" s="179"/>
      <c r="CJ46" s="179"/>
      <c r="CK46" s="179"/>
      <c r="CL46" s="179"/>
      <c r="CM46" s="179"/>
      <c r="CN46" s="179"/>
      <c r="CO46" s="179"/>
      <c r="CP46" s="179"/>
      <c r="CQ46" s="179"/>
      <c r="CR46" s="179"/>
      <c r="CS46" s="179"/>
      <c r="CT46" s="179"/>
      <c r="CU46" s="179"/>
      <c r="CV46" s="179"/>
      <c r="CW46" s="179"/>
    </row>
    <row r="47" spans="1:101" x14ac:dyDescent="0.2">
      <c r="A47" s="32" t="str">
        <f t="shared" ca="1" si="0"/>
        <v>2025-05-19</v>
      </c>
      <c r="B47" s="179">
        <f ca="1">IF(ISNUMBER(MATCH(DATEVALUE($A47),'changes1_based on steps'!B$1:B$400,0)),B$2,)</f>
        <v>0</v>
      </c>
      <c r="C47" s="179">
        <f ca="1">IF(ISNUMBER(MATCH(DATEVALUE($A47),'changes1_based on steps'!C$1:C$400,0)),C$2,)</f>
        <v>0</v>
      </c>
      <c r="D47" s="179">
        <f ca="1">IF(ISNUMBER(MATCH(DATEVALUE($A47),'changes1_based on steps'!D$1:D$400,0)),D$2,)</f>
        <v>0</v>
      </c>
      <c r="E47" s="179">
        <f ca="1">IF(ISNUMBER(MATCH(DATEVALUE($A47),'changes1_based on steps'!E$1:E$400,0)),E$2,)</f>
        <v>0</v>
      </c>
      <c r="F47" s="179">
        <f ca="1">IF(ISNUMBER(MATCH(DATEVALUE($A47),'changes1_based on steps'!F$1:F$400,0)),F$2,)</f>
        <v>0</v>
      </c>
      <c r="G47" s="179">
        <f ca="1">IF(ISNUMBER(MATCH(DATEVALUE($A47),'changes1_based on steps'!G$1:G$400,0)),G$2,)</f>
        <v>0</v>
      </c>
      <c r="H47" s="179">
        <f ca="1">IF(ISNUMBER(MATCH(DATEVALUE($A47),'changes1_based on steps'!H$1:H$400,0)),H$2,)</f>
        <v>0</v>
      </c>
      <c r="I47" s="179">
        <f ca="1">IF(ISNUMBER(MATCH(DATEVALUE($A47),'changes1_based on steps'!I$1:I$400,0)),I$2,)</f>
        <v>0</v>
      </c>
      <c r="J47" s="179">
        <f ca="1">IF(ISNUMBER(MATCH(DATEVALUE($A47),'changes1_based on steps'!J$1:J$400,0)),J$2,)</f>
        <v>0</v>
      </c>
      <c r="K47" s="179">
        <f ca="1">IF(ISNUMBER(MATCH(DATEVALUE($A47),'changes1_based on steps'!K$1:K$400,0)),K$2,)</f>
        <v>0</v>
      </c>
      <c r="L47" s="179">
        <f ca="1">IF(ISNUMBER(MATCH(DATEVALUE($A47),'changes1_based on steps'!L$1:L$400,0)),L$2,)</f>
        <v>0</v>
      </c>
      <c r="M47" s="179">
        <f ca="1">IF(ISNUMBER(MATCH(DATEVALUE($A47),'changes1_based on steps'!M$1:M$400,0)),M$2,)</f>
        <v>0</v>
      </c>
      <c r="N47" s="179">
        <f ca="1">IF(ISNUMBER(MATCH(DATEVALUE($A47),'changes1_based on steps'!N$1:N$400,0)),N$2,)</f>
        <v>0</v>
      </c>
      <c r="O47" s="179">
        <f ca="1">IF(ISNUMBER(MATCH(DATEVALUE($A47),'changes1_based on steps'!O$1:O$400,0)),O$2,)</f>
        <v>0</v>
      </c>
      <c r="P47" s="179">
        <f ca="1">IF(ISNUMBER(MATCH(DATEVALUE($A47),'changes1_based on steps'!P$1:P$400,0)),P$2,)</f>
        <v>0</v>
      </c>
      <c r="Q47" s="179">
        <f ca="1">IF(ISNUMBER(MATCH(DATEVALUE($A47),'changes1_based on steps'!Q$1:Q$400,0)),Q$2,)</f>
        <v>0</v>
      </c>
      <c r="R47" s="179">
        <f ca="1">IF(ISNUMBER(MATCH(DATEVALUE($A47),'changes1_based on steps'!R$1:R$400,0)),R$2,)</f>
        <v>0</v>
      </c>
      <c r="S47" s="179">
        <f ca="1">IF(ISNUMBER(MATCH(DATEVALUE($A47),'changes1_based on steps'!S$1:S$400,0)),S$2,)</f>
        <v>0</v>
      </c>
      <c r="T47" s="179">
        <f ca="1">IF(ISNUMBER(MATCH(DATEVALUE($A47),'changes1_based on steps'!T$1:T$400,0)),T$2,)</f>
        <v>0</v>
      </c>
      <c r="U47" s="179">
        <f ca="1">IF(ISNUMBER(MATCH(DATEVALUE($A47),'changes1_based on steps'!U$1:U$400,0)),U$2,)</f>
        <v>0</v>
      </c>
      <c r="V47" s="179"/>
      <c r="W47" s="179"/>
      <c r="X47" s="179"/>
      <c r="Y47" s="179"/>
      <c r="Z47" s="179"/>
      <c r="AA47" s="179"/>
      <c r="AB47" s="179"/>
      <c r="AC47" s="179"/>
      <c r="AD47" s="179"/>
      <c r="AE47" s="179"/>
      <c r="AF47" s="179"/>
      <c r="AG47" s="179"/>
      <c r="AH47" s="179"/>
      <c r="AI47" s="179"/>
      <c r="AJ47" s="179"/>
      <c r="AK47" s="179"/>
      <c r="AL47" s="179"/>
      <c r="AM47" s="179"/>
      <c r="AN47" s="179"/>
      <c r="AO47" s="179"/>
      <c r="AP47" s="179"/>
      <c r="AQ47" s="179"/>
      <c r="AR47" s="179"/>
      <c r="AS47" s="179"/>
      <c r="AT47" s="179"/>
      <c r="AU47" s="179"/>
      <c r="AV47" s="179"/>
      <c r="AW47" s="179"/>
      <c r="AX47" s="179"/>
      <c r="AY47" s="179"/>
      <c r="AZ47" s="179"/>
      <c r="BA47" s="179"/>
      <c r="BB47" s="179"/>
      <c r="BC47" s="179"/>
      <c r="BD47" s="179"/>
      <c r="BE47" s="179"/>
      <c r="BF47" s="179"/>
      <c r="BG47" s="179"/>
      <c r="BH47" s="179"/>
      <c r="BI47" s="179"/>
      <c r="BJ47" s="179"/>
      <c r="BK47" s="179"/>
      <c r="BL47" s="179"/>
      <c r="BM47" s="179"/>
      <c r="BN47" s="179"/>
      <c r="BO47" s="179"/>
      <c r="BP47" s="179"/>
      <c r="BQ47" s="179"/>
      <c r="BR47" s="179"/>
      <c r="BS47" s="179"/>
      <c r="BT47" s="179"/>
      <c r="BU47" s="179"/>
      <c r="BV47" s="179"/>
      <c r="BW47" s="179"/>
      <c r="BX47" s="179"/>
      <c r="BY47" s="179"/>
      <c r="BZ47" s="179"/>
      <c r="CA47" s="179"/>
      <c r="CB47" s="179"/>
      <c r="CC47" s="179"/>
      <c r="CD47" s="179"/>
      <c r="CE47" s="179"/>
      <c r="CF47" s="179"/>
      <c r="CG47" s="179"/>
      <c r="CH47" s="179"/>
      <c r="CI47" s="179"/>
      <c r="CJ47" s="179"/>
      <c r="CK47" s="179"/>
      <c r="CL47" s="179"/>
      <c r="CM47" s="179"/>
      <c r="CN47" s="179"/>
      <c r="CO47" s="179"/>
      <c r="CP47" s="179"/>
      <c r="CQ47" s="179"/>
      <c r="CR47" s="179"/>
      <c r="CS47" s="179"/>
      <c r="CT47" s="179"/>
      <c r="CU47" s="179"/>
      <c r="CV47" s="179"/>
      <c r="CW47" s="179"/>
    </row>
    <row r="48" spans="1:101" x14ac:dyDescent="0.2">
      <c r="A48" s="32" t="str">
        <f t="shared" ca="1" si="0"/>
        <v>2025-05-20</v>
      </c>
      <c r="B48" s="179">
        <f ca="1">IF(ISNUMBER(MATCH(DATEVALUE($A48),'changes1_based on steps'!B$1:B$400,0)),B$2,)</f>
        <v>0</v>
      </c>
      <c r="C48" s="179">
        <f ca="1">IF(ISNUMBER(MATCH(DATEVALUE($A48),'changes1_based on steps'!C$1:C$400,0)),C$2,)</f>
        <v>0</v>
      </c>
      <c r="D48" s="179">
        <f ca="1">IF(ISNUMBER(MATCH(DATEVALUE($A48),'changes1_based on steps'!D$1:D$400,0)),D$2,)</f>
        <v>0</v>
      </c>
      <c r="E48" s="179">
        <f ca="1">IF(ISNUMBER(MATCH(DATEVALUE($A48),'changes1_based on steps'!E$1:E$400,0)),E$2,)</f>
        <v>0</v>
      </c>
      <c r="F48" s="179">
        <f ca="1">IF(ISNUMBER(MATCH(DATEVALUE($A48),'changes1_based on steps'!F$1:F$400,0)),F$2,)</f>
        <v>0</v>
      </c>
      <c r="G48" s="179">
        <f ca="1">IF(ISNUMBER(MATCH(DATEVALUE($A48),'changes1_based on steps'!G$1:G$400,0)),G$2,)</f>
        <v>0</v>
      </c>
      <c r="H48" s="179">
        <f ca="1">IF(ISNUMBER(MATCH(DATEVALUE($A48),'changes1_based on steps'!H$1:H$400,0)),H$2,)</f>
        <v>0</v>
      </c>
      <c r="I48" s="179">
        <f ca="1">IF(ISNUMBER(MATCH(DATEVALUE($A48),'changes1_based on steps'!I$1:I$400,0)),I$2,)</f>
        <v>0</v>
      </c>
      <c r="J48" s="179">
        <f ca="1">IF(ISNUMBER(MATCH(DATEVALUE($A48),'changes1_based on steps'!J$1:J$400,0)),J$2,)</f>
        <v>0</v>
      </c>
      <c r="K48" s="179">
        <f ca="1">IF(ISNUMBER(MATCH(DATEVALUE($A48),'changes1_based on steps'!K$1:K$400,0)),K$2,)</f>
        <v>0</v>
      </c>
      <c r="L48" s="179">
        <f ca="1">IF(ISNUMBER(MATCH(DATEVALUE($A48),'changes1_based on steps'!L$1:L$400,0)),L$2,)</f>
        <v>0</v>
      </c>
      <c r="M48" s="179">
        <f ca="1">IF(ISNUMBER(MATCH(DATEVALUE($A48),'changes1_based on steps'!M$1:M$400,0)),M$2,)</f>
        <v>0</v>
      </c>
      <c r="N48" s="179">
        <f ca="1">IF(ISNUMBER(MATCH(DATEVALUE($A48),'changes1_based on steps'!N$1:N$400,0)),N$2,)</f>
        <v>0</v>
      </c>
      <c r="O48" s="179">
        <f ca="1">IF(ISNUMBER(MATCH(DATEVALUE($A48),'changes1_based on steps'!O$1:O$400,0)),O$2,)</f>
        <v>0</v>
      </c>
      <c r="P48" s="179">
        <f ca="1">IF(ISNUMBER(MATCH(DATEVALUE($A48),'changes1_based on steps'!P$1:P$400,0)),P$2,)</f>
        <v>0</v>
      </c>
      <c r="Q48" s="179">
        <f ca="1">IF(ISNUMBER(MATCH(DATEVALUE($A48),'changes1_based on steps'!Q$1:Q$400,0)),Q$2,)</f>
        <v>0</v>
      </c>
      <c r="R48" s="179">
        <f ca="1">IF(ISNUMBER(MATCH(DATEVALUE($A48),'changes1_based on steps'!R$1:R$400,0)),R$2,)</f>
        <v>0</v>
      </c>
      <c r="S48" s="179">
        <f ca="1">IF(ISNUMBER(MATCH(DATEVALUE($A48),'changes1_based on steps'!S$1:S$400,0)),S$2,)</f>
        <v>0</v>
      </c>
      <c r="T48" s="179">
        <f ca="1">IF(ISNUMBER(MATCH(DATEVALUE($A48),'changes1_based on steps'!T$1:T$400,0)),T$2,)</f>
        <v>0</v>
      </c>
      <c r="U48" s="179">
        <f ca="1">IF(ISNUMBER(MATCH(DATEVALUE($A48),'changes1_based on steps'!U$1:U$400,0)),U$2,)</f>
        <v>0</v>
      </c>
      <c r="V48" s="179"/>
      <c r="W48" s="179"/>
      <c r="X48" s="179"/>
      <c r="Y48" s="179"/>
      <c r="Z48" s="179"/>
      <c r="AA48" s="179"/>
      <c r="AB48" s="179"/>
      <c r="AC48" s="179"/>
      <c r="AD48" s="179"/>
      <c r="AE48" s="179"/>
      <c r="AF48" s="179"/>
      <c r="AG48" s="179"/>
      <c r="AH48" s="179"/>
      <c r="AI48" s="179"/>
      <c r="AJ48" s="179"/>
      <c r="AK48" s="179"/>
      <c r="AL48" s="179"/>
      <c r="AM48" s="179"/>
      <c r="AN48" s="179"/>
      <c r="AO48" s="179"/>
      <c r="AP48" s="179"/>
      <c r="AQ48" s="179"/>
      <c r="AR48" s="179"/>
      <c r="AS48" s="179"/>
      <c r="AT48" s="179"/>
      <c r="AU48" s="179"/>
      <c r="AV48" s="179"/>
      <c r="AW48" s="179"/>
      <c r="AX48" s="179"/>
      <c r="AY48" s="179"/>
      <c r="AZ48" s="179"/>
      <c r="BA48" s="179"/>
      <c r="BB48" s="179"/>
      <c r="BC48" s="179"/>
      <c r="BD48" s="179"/>
      <c r="BE48" s="179"/>
      <c r="BF48" s="179"/>
      <c r="BG48" s="179"/>
      <c r="BH48" s="179"/>
      <c r="BI48" s="179"/>
      <c r="BJ48" s="179"/>
      <c r="BK48" s="179"/>
      <c r="BL48" s="179"/>
      <c r="BM48" s="179"/>
      <c r="BN48" s="179"/>
      <c r="BO48" s="179"/>
      <c r="BP48" s="179"/>
      <c r="BQ48" s="179"/>
      <c r="BR48" s="179"/>
      <c r="BS48" s="179"/>
      <c r="BT48" s="179"/>
      <c r="BU48" s="179"/>
      <c r="BV48" s="179"/>
      <c r="BW48" s="179"/>
      <c r="BX48" s="179"/>
      <c r="BY48" s="179"/>
      <c r="BZ48" s="179"/>
      <c r="CA48" s="179"/>
      <c r="CB48" s="179"/>
      <c r="CC48" s="179"/>
      <c r="CD48" s="179"/>
      <c r="CE48" s="179"/>
      <c r="CF48" s="179"/>
      <c r="CG48" s="179"/>
      <c r="CH48" s="179"/>
      <c r="CI48" s="179"/>
      <c r="CJ48" s="179"/>
      <c r="CK48" s="179"/>
      <c r="CL48" s="179"/>
      <c r="CM48" s="179"/>
      <c r="CN48" s="179"/>
      <c r="CO48" s="179"/>
      <c r="CP48" s="179"/>
      <c r="CQ48" s="179"/>
      <c r="CR48" s="179"/>
      <c r="CS48" s="179"/>
      <c r="CT48" s="179"/>
      <c r="CU48" s="179"/>
      <c r="CV48" s="179"/>
      <c r="CW48" s="179"/>
    </row>
    <row r="49" spans="1:101" x14ac:dyDescent="0.2">
      <c r="A49" s="32" t="str">
        <f t="shared" ca="1" si="0"/>
        <v>2025-05-21</v>
      </c>
      <c r="B49" s="179">
        <f ca="1">IF(ISNUMBER(MATCH(DATEVALUE($A49),'changes1_based on steps'!B$1:B$400,0)),B$2,)</f>
        <v>0</v>
      </c>
      <c r="C49" s="179">
        <f ca="1">IF(ISNUMBER(MATCH(DATEVALUE($A49),'changes1_based on steps'!C$1:C$400,0)),C$2,)</f>
        <v>0</v>
      </c>
      <c r="D49" s="179">
        <f ca="1">IF(ISNUMBER(MATCH(DATEVALUE($A49),'changes1_based on steps'!D$1:D$400,0)),D$2,)</f>
        <v>0</v>
      </c>
      <c r="E49" s="179">
        <f ca="1">IF(ISNUMBER(MATCH(DATEVALUE($A49),'changes1_based on steps'!E$1:E$400,0)),E$2,)</f>
        <v>0</v>
      </c>
      <c r="F49" s="179">
        <f ca="1">IF(ISNUMBER(MATCH(DATEVALUE($A49),'changes1_based on steps'!F$1:F$400,0)),F$2,)</f>
        <v>0</v>
      </c>
      <c r="G49" s="179">
        <f ca="1">IF(ISNUMBER(MATCH(DATEVALUE($A49),'changes1_based on steps'!G$1:G$400,0)),G$2,)</f>
        <v>0</v>
      </c>
      <c r="H49" s="179">
        <f ca="1">IF(ISNUMBER(MATCH(DATEVALUE($A49),'changes1_based on steps'!H$1:H$400,0)),H$2,)</f>
        <v>0</v>
      </c>
      <c r="I49" s="179">
        <f ca="1">IF(ISNUMBER(MATCH(DATEVALUE($A49),'changes1_based on steps'!I$1:I$400,0)),I$2,)</f>
        <v>0</v>
      </c>
      <c r="J49" s="179">
        <f ca="1">IF(ISNUMBER(MATCH(DATEVALUE($A49),'changes1_based on steps'!J$1:J$400,0)),J$2,)</f>
        <v>0</v>
      </c>
      <c r="K49" s="179">
        <f ca="1">IF(ISNUMBER(MATCH(DATEVALUE($A49),'changes1_based on steps'!K$1:K$400,0)),K$2,)</f>
        <v>0</v>
      </c>
      <c r="L49" s="179">
        <f ca="1">IF(ISNUMBER(MATCH(DATEVALUE($A49),'changes1_based on steps'!L$1:L$400,0)),L$2,)</f>
        <v>0</v>
      </c>
      <c r="M49" s="179">
        <f ca="1">IF(ISNUMBER(MATCH(DATEVALUE($A49),'changes1_based on steps'!M$1:M$400,0)),M$2,)</f>
        <v>0</v>
      </c>
      <c r="N49" s="179">
        <f ca="1">IF(ISNUMBER(MATCH(DATEVALUE($A49),'changes1_based on steps'!N$1:N$400,0)),N$2,)</f>
        <v>0</v>
      </c>
      <c r="O49" s="179">
        <f ca="1">IF(ISNUMBER(MATCH(DATEVALUE($A49),'changes1_based on steps'!O$1:O$400,0)),O$2,)</f>
        <v>0</v>
      </c>
      <c r="P49" s="179">
        <f ca="1">IF(ISNUMBER(MATCH(DATEVALUE($A49),'changes1_based on steps'!P$1:P$400,0)),P$2,)</f>
        <v>0</v>
      </c>
      <c r="Q49" s="179">
        <f ca="1">IF(ISNUMBER(MATCH(DATEVALUE($A49),'changes1_based on steps'!Q$1:Q$400,0)),Q$2,)</f>
        <v>0</v>
      </c>
      <c r="R49" s="179">
        <f ca="1">IF(ISNUMBER(MATCH(DATEVALUE($A49),'changes1_based on steps'!R$1:R$400,0)),R$2,)</f>
        <v>0</v>
      </c>
      <c r="S49" s="179">
        <f ca="1">IF(ISNUMBER(MATCH(DATEVALUE($A49),'changes1_based on steps'!S$1:S$400,0)),S$2,)</f>
        <v>0</v>
      </c>
      <c r="T49" s="179">
        <f ca="1">IF(ISNUMBER(MATCH(DATEVALUE($A49),'changes1_based on steps'!T$1:T$400,0)),T$2,)</f>
        <v>0</v>
      </c>
      <c r="U49" s="179">
        <f ca="1">IF(ISNUMBER(MATCH(DATEVALUE($A49),'changes1_based on steps'!U$1:U$400,0)),U$2,)</f>
        <v>0</v>
      </c>
      <c r="V49" s="179"/>
      <c r="W49" s="179"/>
      <c r="X49" s="179"/>
      <c r="Y49" s="179"/>
      <c r="Z49" s="179"/>
      <c r="AA49" s="179"/>
      <c r="AB49" s="179"/>
      <c r="AC49" s="179"/>
      <c r="AD49" s="179"/>
      <c r="AE49" s="179"/>
      <c r="AF49" s="179"/>
      <c r="AG49" s="179"/>
      <c r="AH49" s="179"/>
      <c r="AI49" s="179"/>
      <c r="AJ49" s="179"/>
      <c r="AK49" s="179"/>
      <c r="AL49" s="179"/>
      <c r="AM49" s="179"/>
      <c r="AN49" s="179"/>
      <c r="AO49" s="179"/>
      <c r="AP49" s="179"/>
      <c r="AQ49" s="179"/>
      <c r="AR49" s="179"/>
      <c r="AS49" s="179"/>
      <c r="AT49" s="179"/>
      <c r="AU49" s="179"/>
      <c r="AV49" s="179"/>
      <c r="AW49" s="179"/>
      <c r="AX49" s="179"/>
      <c r="AY49" s="179"/>
      <c r="AZ49" s="179"/>
      <c r="BA49" s="179"/>
      <c r="BB49" s="179"/>
      <c r="BC49" s="179"/>
      <c r="BD49" s="179"/>
      <c r="BE49" s="179"/>
      <c r="BF49" s="179"/>
      <c r="BG49" s="179"/>
      <c r="BH49" s="179"/>
      <c r="BI49" s="179"/>
      <c r="BJ49" s="179"/>
      <c r="BK49" s="179"/>
      <c r="BL49" s="179"/>
      <c r="BM49" s="179"/>
      <c r="BN49" s="179"/>
      <c r="BO49" s="179"/>
      <c r="BP49" s="179"/>
      <c r="BQ49" s="179"/>
      <c r="BR49" s="179"/>
      <c r="BS49" s="179"/>
      <c r="BT49" s="179"/>
      <c r="BU49" s="179"/>
      <c r="BV49" s="179"/>
      <c r="BW49" s="179"/>
      <c r="BX49" s="179"/>
      <c r="BY49" s="179"/>
      <c r="BZ49" s="179"/>
      <c r="CA49" s="179"/>
      <c r="CB49" s="179"/>
      <c r="CC49" s="179"/>
      <c r="CD49" s="179"/>
      <c r="CE49" s="179"/>
      <c r="CF49" s="179"/>
      <c r="CG49" s="179"/>
      <c r="CH49" s="179"/>
      <c r="CI49" s="179"/>
      <c r="CJ49" s="179"/>
      <c r="CK49" s="179"/>
      <c r="CL49" s="179"/>
      <c r="CM49" s="179"/>
      <c r="CN49" s="179"/>
      <c r="CO49" s="179"/>
      <c r="CP49" s="179"/>
      <c r="CQ49" s="179"/>
      <c r="CR49" s="179"/>
      <c r="CS49" s="179"/>
      <c r="CT49" s="179"/>
      <c r="CU49" s="179"/>
      <c r="CV49" s="179"/>
      <c r="CW49" s="179"/>
    </row>
    <row r="50" spans="1:101" x14ac:dyDescent="0.2">
      <c r="A50" s="32" t="str">
        <f t="shared" ca="1" si="0"/>
        <v>2025-05-22</v>
      </c>
      <c r="B50" s="179">
        <f ca="1">IF(ISNUMBER(MATCH(DATEVALUE($A50),'changes1_based on steps'!B$1:B$400,0)),B$2,)</f>
        <v>0</v>
      </c>
      <c r="C50" s="179">
        <f ca="1">IF(ISNUMBER(MATCH(DATEVALUE($A50),'changes1_based on steps'!C$1:C$400,0)),C$2,)</f>
        <v>0</v>
      </c>
      <c r="D50" s="179">
        <f ca="1">IF(ISNUMBER(MATCH(DATEVALUE($A50),'changes1_based on steps'!D$1:D$400,0)),D$2,)</f>
        <v>0</v>
      </c>
      <c r="E50" s="179">
        <f ca="1">IF(ISNUMBER(MATCH(DATEVALUE($A50),'changes1_based on steps'!E$1:E$400,0)),E$2,)</f>
        <v>0</v>
      </c>
      <c r="F50" s="179">
        <f ca="1">IF(ISNUMBER(MATCH(DATEVALUE($A50),'changes1_based on steps'!F$1:F$400,0)),F$2,)</f>
        <v>0</v>
      </c>
      <c r="G50" s="179">
        <f ca="1">IF(ISNUMBER(MATCH(DATEVALUE($A50),'changes1_based on steps'!G$1:G$400,0)),G$2,)</f>
        <v>0</v>
      </c>
      <c r="H50" s="179">
        <f ca="1">IF(ISNUMBER(MATCH(DATEVALUE($A50),'changes1_based on steps'!H$1:H$400,0)),H$2,)</f>
        <v>0</v>
      </c>
      <c r="I50" s="179">
        <f ca="1">IF(ISNUMBER(MATCH(DATEVALUE($A50),'changes1_based on steps'!I$1:I$400,0)),I$2,)</f>
        <v>0</v>
      </c>
      <c r="J50" s="179">
        <f ca="1">IF(ISNUMBER(MATCH(DATEVALUE($A50),'changes1_based on steps'!J$1:J$400,0)),J$2,)</f>
        <v>0</v>
      </c>
      <c r="K50" s="179">
        <f ca="1">IF(ISNUMBER(MATCH(DATEVALUE($A50),'changes1_based on steps'!K$1:K$400,0)),K$2,)</f>
        <v>0</v>
      </c>
      <c r="L50" s="179">
        <f ca="1">IF(ISNUMBER(MATCH(DATEVALUE($A50),'changes1_based on steps'!L$1:L$400,0)),L$2,)</f>
        <v>0</v>
      </c>
      <c r="M50" s="179">
        <f ca="1">IF(ISNUMBER(MATCH(DATEVALUE($A50),'changes1_based on steps'!M$1:M$400,0)),M$2,)</f>
        <v>0</v>
      </c>
      <c r="N50" s="179">
        <f ca="1">IF(ISNUMBER(MATCH(DATEVALUE($A50),'changes1_based on steps'!N$1:N$400,0)),N$2,)</f>
        <v>0</v>
      </c>
      <c r="O50" s="179">
        <f ca="1">IF(ISNUMBER(MATCH(DATEVALUE($A50),'changes1_based on steps'!O$1:O$400,0)),O$2,)</f>
        <v>0</v>
      </c>
      <c r="P50" s="179">
        <f ca="1">IF(ISNUMBER(MATCH(DATEVALUE($A50),'changes1_based on steps'!P$1:P$400,0)),P$2,)</f>
        <v>0</v>
      </c>
      <c r="Q50" s="179">
        <f ca="1">IF(ISNUMBER(MATCH(DATEVALUE($A50),'changes1_based on steps'!Q$1:Q$400,0)),Q$2,)</f>
        <v>0</v>
      </c>
      <c r="R50" s="179">
        <f ca="1">IF(ISNUMBER(MATCH(DATEVALUE($A50),'changes1_based on steps'!R$1:R$400,0)),R$2,)</f>
        <v>0</v>
      </c>
      <c r="S50" s="179">
        <f ca="1">IF(ISNUMBER(MATCH(DATEVALUE($A50),'changes1_based on steps'!S$1:S$400,0)),S$2,)</f>
        <v>0</v>
      </c>
      <c r="T50" s="179">
        <f ca="1">IF(ISNUMBER(MATCH(DATEVALUE($A50),'changes1_based on steps'!T$1:T$400,0)),T$2,)</f>
        <v>0</v>
      </c>
      <c r="U50" s="179">
        <f ca="1">IF(ISNUMBER(MATCH(DATEVALUE($A50),'changes1_based on steps'!U$1:U$400,0)),U$2,)</f>
        <v>0</v>
      </c>
      <c r="V50" s="179"/>
      <c r="W50" s="179"/>
      <c r="X50" s="179"/>
      <c r="Y50" s="179"/>
      <c r="Z50" s="179"/>
      <c r="AA50" s="179"/>
      <c r="AB50" s="179"/>
      <c r="AC50" s="179"/>
      <c r="AD50" s="179"/>
      <c r="AE50" s="179"/>
      <c r="AF50" s="179"/>
      <c r="AG50" s="179"/>
      <c r="AH50" s="179"/>
      <c r="AI50" s="179"/>
      <c r="AJ50" s="179"/>
      <c r="AK50" s="179"/>
      <c r="AL50" s="179"/>
      <c r="AM50" s="179"/>
      <c r="AN50" s="179"/>
      <c r="AO50" s="179"/>
      <c r="AP50" s="179"/>
      <c r="AQ50" s="179"/>
      <c r="AR50" s="179"/>
      <c r="AS50" s="179"/>
      <c r="AT50" s="179"/>
      <c r="AU50" s="179"/>
      <c r="AV50" s="179"/>
      <c r="AW50" s="179"/>
      <c r="AX50" s="179"/>
      <c r="AY50" s="179"/>
      <c r="AZ50" s="179"/>
      <c r="BA50" s="179"/>
      <c r="BB50" s="179"/>
      <c r="BC50" s="179"/>
      <c r="BD50" s="179"/>
      <c r="BE50" s="179"/>
      <c r="BF50" s="179"/>
      <c r="BG50" s="179"/>
      <c r="BH50" s="179"/>
      <c r="BI50" s="179"/>
      <c r="BJ50" s="179"/>
      <c r="BK50" s="179"/>
      <c r="BL50" s="179"/>
      <c r="BM50" s="179"/>
      <c r="BN50" s="179"/>
      <c r="BO50" s="179"/>
      <c r="BP50" s="179"/>
      <c r="BQ50" s="179"/>
      <c r="BR50" s="179"/>
      <c r="BS50" s="179"/>
      <c r="BT50" s="179"/>
      <c r="BU50" s="179"/>
      <c r="BV50" s="179"/>
      <c r="BW50" s="179"/>
      <c r="BX50" s="179"/>
      <c r="BY50" s="179"/>
      <c r="BZ50" s="179"/>
      <c r="CA50" s="179"/>
      <c r="CB50" s="179"/>
      <c r="CC50" s="179"/>
      <c r="CD50" s="179"/>
      <c r="CE50" s="179"/>
      <c r="CF50" s="179"/>
      <c r="CG50" s="179"/>
      <c r="CH50" s="179"/>
      <c r="CI50" s="179"/>
      <c r="CJ50" s="179"/>
      <c r="CK50" s="179"/>
      <c r="CL50" s="179"/>
      <c r="CM50" s="179"/>
      <c r="CN50" s="179"/>
      <c r="CO50" s="179"/>
      <c r="CP50" s="179"/>
      <c r="CQ50" s="179"/>
      <c r="CR50" s="179"/>
      <c r="CS50" s="179"/>
      <c r="CT50" s="179"/>
      <c r="CU50" s="179"/>
      <c r="CV50" s="179"/>
      <c r="CW50" s="179"/>
    </row>
    <row r="51" spans="1:101" x14ac:dyDescent="0.2">
      <c r="A51" s="32" t="str">
        <f t="shared" ca="1" si="0"/>
        <v>2025-05-23</v>
      </c>
      <c r="B51" s="179">
        <f ca="1">IF(ISNUMBER(MATCH(DATEVALUE($A51),'changes1_based on steps'!B$1:B$400,0)),B$2,)</f>
        <v>0</v>
      </c>
      <c r="C51" s="179">
        <f ca="1">IF(ISNUMBER(MATCH(DATEVALUE($A51),'changes1_based on steps'!C$1:C$400,0)),C$2,)</f>
        <v>0</v>
      </c>
      <c r="D51" s="179">
        <f ca="1">IF(ISNUMBER(MATCH(DATEVALUE($A51),'changes1_based on steps'!D$1:D$400,0)),D$2,)</f>
        <v>0</v>
      </c>
      <c r="E51" s="179">
        <f ca="1">IF(ISNUMBER(MATCH(DATEVALUE($A51),'changes1_based on steps'!E$1:E$400,0)),E$2,)</f>
        <v>0</v>
      </c>
      <c r="F51" s="179">
        <f ca="1">IF(ISNUMBER(MATCH(DATEVALUE($A51),'changes1_based on steps'!F$1:F$400,0)),F$2,)</f>
        <v>0</v>
      </c>
      <c r="G51" s="179">
        <f ca="1">IF(ISNUMBER(MATCH(DATEVALUE($A51),'changes1_based on steps'!G$1:G$400,0)),G$2,)</f>
        <v>0</v>
      </c>
      <c r="H51" s="179">
        <f ca="1">IF(ISNUMBER(MATCH(DATEVALUE($A51),'changes1_based on steps'!H$1:H$400,0)),H$2,)</f>
        <v>0</v>
      </c>
      <c r="I51" s="179">
        <f ca="1">IF(ISNUMBER(MATCH(DATEVALUE($A51),'changes1_based on steps'!I$1:I$400,0)),I$2,)</f>
        <v>0</v>
      </c>
      <c r="J51" s="179">
        <f ca="1">IF(ISNUMBER(MATCH(DATEVALUE($A51),'changes1_based on steps'!J$1:J$400,0)),J$2,)</f>
        <v>0</v>
      </c>
      <c r="K51" s="179">
        <f ca="1">IF(ISNUMBER(MATCH(DATEVALUE($A51),'changes1_based on steps'!K$1:K$400,0)),K$2,)</f>
        <v>0</v>
      </c>
      <c r="L51" s="179">
        <f ca="1">IF(ISNUMBER(MATCH(DATEVALUE($A51),'changes1_based on steps'!L$1:L$400,0)),L$2,)</f>
        <v>0</v>
      </c>
      <c r="M51" s="179">
        <f ca="1">IF(ISNUMBER(MATCH(DATEVALUE($A51),'changes1_based on steps'!M$1:M$400,0)),M$2,)</f>
        <v>0</v>
      </c>
      <c r="N51" s="179">
        <f ca="1">IF(ISNUMBER(MATCH(DATEVALUE($A51),'changes1_based on steps'!N$1:N$400,0)),N$2,)</f>
        <v>0</v>
      </c>
      <c r="O51" s="179">
        <f ca="1">IF(ISNUMBER(MATCH(DATEVALUE($A51),'changes1_based on steps'!O$1:O$400,0)),O$2,)</f>
        <v>0</v>
      </c>
      <c r="P51" s="179">
        <f ca="1">IF(ISNUMBER(MATCH(DATEVALUE($A51),'changes1_based on steps'!P$1:P$400,0)),P$2,)</f>
        <v>0</v>
      </c>
      <c r="Q51" s="179">
        <f ca="1">IF(ISNUMBER(MATCH(DATEVALUE($A51),'changes1_based on steps'!Q$1:Q$400,0)),Q$2,)</f>
        <v>0</v>
      </c>
      <c r="R51" s="179">
        <f ca="1">IF(ISNUMBER(MATCH(DATEVALUE($A51),'changes1_based on steps'!R$1:R$400,0)),R$2,)</f>
        <v>0</v>
      </c>
      <c r="S51" s="179">
        <f ca="1">IF(ISNUMBER(MATCH(DATEVALUE($A51),'changes1_based on steps'!S$1:S$400,0)),S$2,)</f>
        <v>0</v>
      </c>
      <c r="T51" s="179">
        <f ca="1">IF(ISNUMBER(MATCH(DATEVALUE($A51),'changes1_based on steps'!T$1:T$400,0)),T$2,)</f>
        <v>0</v>
      </c>
      <c r="U51" s="179">
        <f ca="1">IF(ISNUMBER(MATCH(DATEVALUE($A51),'changes1_based on steps'!U$1:U$400,0)),U$2,)</f>
        <v>0</v>
      </c>
      <c r="V51" s="179"/>
      <c r="W51" s="179"/>
      <c r="X51" s="179"/>
      <c r="Y51" s="179"/>
      <c r="Z51" s="179"/>
      <c r="AA51" s="179"/>
      <c r="AB51" s="179"/>
      <c r="AC51" s="179"/>
      <c r="AD51" s="179"/>
      <c r="AE51" s="179"/>
      <c r="AF51" s="179"/>
      <c r="AG51" s="179"/>
      <c r="AH51" s="179"/>
      <c r="AI51" s="179"/>
      <c r="AJ51" s="179"/>
      <c r="AK51" s="179"/>
      <c r="AL51" s="179"/>
      <c r="AM51" s="179"/>
      <c r="AN51" s="179"/>
      <c r="AO51" s="179"/>
      <c r="AP51" s="179"/>
      <c r="AQ51" s="179"/>
      <c r="AR51" s="179"/>
      <c r="AS51" s="179"/>
      <c r="AT51" s="179"/>
      <c r="AU51" s="179"/>
      <c r="AV51" s="179"/>
      <c r="AW51" s="179"/>
      <c r="AX51" s="179"/>
      <c r="AY51" s="179"/>
      <c r="AZ51" s="179"/>
      <c r="BA51" s="179"/>
      <c r="BB51" s="179"/>
      <c r="BC51" s="179"/>
      <c r="BD51" s="179"/>
      <c r="BE51" s="179"/>
      <c r="BF51" s="179"/>
      <c r="BG51" s="179"/>
      <c r="BH51" s="179"/>
      <c r="BI51" s="179"/>
      <c r="BJ51" s="179"/>
      <c r="BK51" s="179"/>
      <c r="BL51" s="179"/>
      <c r="BM51" s="179"/>
      <c r="BN51" s="179"/>
      <c r="BO51" s="179"/>
      <c r="BP51" s="179"/>
      <c r="BQ51" s="179"/>
      <c r="BR51" s="179"/>
      <c r="BS51" s="179"/>
      <c r="BT51" s="179"/>
      <c r="BU51" s="179"/>
      <c r="BV51" s="179"/>
      <c r="BW51" s="179"/>
      <c r="BX51" s="179"/>
      <c r="BY51" s="179"/>
      <c r="BZ51" s="179"/>
      <c r="CA51" s="179"/>
      <c r="CB51" s="179"/>
      <c r="CC51" s="179"/>
      <c r="CD51" s="179"/>
      <c r="CE51" s="179"/>
      <c r="CF51" s="179"/>
      <c r="CG51" s="179"/>
      <c r="CH51" s="179"/>
      <c r="CI51" s="179"/>
      <c r="CJ51" s="179"/>
      <c r="CK51" s="179"/>
      <c r="CL51" s="179"/>
      <c r="CM51" s="179"/>
      <c r="CN51" s="179"/>
      <c r="CO51" s="179"/>
      <c r="CP51" s="179"/>
      <c r="CQ51" s="179"/>
      <c r="CR51" s="179"/>
      <c r="CS51" s="179"/>
      <c r="CT51" s="179"/>
      <c r="CU51" s="179"/>
      <c r="CV51" s="179"/>
      <c r="CW51" s="179"/>
    </row>
    <row r="52" spans="1:101" x14ac:dyDescent="0.2">
      <c r="A52" s="32" t="str">
        <f t="shared" ca="1" si="0"/>
        <v>2025-05-24</v>
      </c>
      <c r="B52" s="179">
        <f ca="1">IF(ISNUMBER(MATCH(DATEVALUE($A52),'changes1_based on steps'!B$1:B$400,0)),B$2,)</f>
        <v>0</v>
      </c>
      <c r="C52" s="179">
        <f ca="1">IF(ISNUMBER(MATCH(DATEVALUE($A52),'changes1_based on steps'!C$1:C$400,0)),C$2,)</f>
        <v>0</v>
      </c>
      <c r="D52" s="179">
        <f ca="1">IF(ISNUMBER(MATCH(DATEVALUE($A52),'changes1_based on steps'!D$1:D$400,0)),D$2,)</f>
        <v>0</v>
      </c>
      <c r="E52" s="179">
        <f ca="1">IF(ISNUMBER(MATCH(DATEVALUE($A52),'changes1_based on steps'!E$1:E$400,0)),E$2,)</f>
        <v>0</v>
      </c>
      <c r="F52" s="179">
        <f ca="1">IF(ISNUMBER(MATCH(DATEVALUE($A52),'changes1_based on steps'!F$1:F$400,0)),F$2,)</f>
        <v>0</v>
      </c>
      <c r="G52" s="179">
        <f ca="1">IF(ISNUMBER(MATCH(DATEVALUE($A52),'changes1_based on steps'!G$1:G$400,0)),G$2,)</f>
        <v>0</v>
      </c>
      <c r="H52" s="179">
        <f ca="1">IF(ISNUMBER(MATCH(DATEVALUE($A52),'changes1_based on steps'!H$1:H$400,0)),H$2,)</f>
        <v>0</v>
      </c>
      <c r="I52" s="179">
        <f ca="1">IF(ISNUMBER(MATCH(DATEVALUE($A52),'changes1_based on steps'!I$1:I$400,0)),I$2,)</f>
        <v>0</v>
      </c>
      <c r="J52" s="179">
        <f ca="1">IF(ISNUMBER(MATCH(DATEVALUE($A52),'changes1_based on steps'!J$1:J$400,0)),J$2,)</f>
        <v>0</v>
      </c>
      <c r="K52" s="179">
        <f ca="1">IF(ISNUMBER(MATCH(DATEVALUE($A52),'changes1_based on steps'!K$1:K$400,0)),K$2,)</f>
        <v>0</v>
      </c>
      <c r="L52" s="179">
        <f ca="1">IF(ISNUMBER(MATCH(DATEVALUE($A52),'changes1_based on steps'!L$1:L$400,0)),L$2,)</f>
        <v>0</v>
      </c>
      <c r="M52" s="179">
        <f ca="1">IF(ISNUMBER(MATCH(DATEVALUE($A52),'changes1_based on steps'!M$1:M$400,0)),M$2,)</f>
        <v>0</v>
      </c>
      <c r="N52" s="179">
        <f ca="1">IF(ISNUMBER(MATCH(DATEVALUE($A52),'changes1_based on steps'!N$1:N$400,0)),N$2,)</f>
        <v>0</v>
      </c>
      <c r="O52" s="179">
        <f ca="1">IF(ISNUMBER(MATCH(DATEVALUE($A52),'changes1_based on steps'!O$1:O$400,0)),O$2,)</f>
        <v>0</v>
      </c>
      <c r="P52" s="179">
        <f ca="1">IF(ISNUMBER(MATCH(DATEVALUE($A52),'changes1_based on steps'!P$1:P$400,0)),P$2,)</f>
        <v>0</v>
      </c>
      <c r="Q52" s="179">
        <f ca="1">IF(ISNUMBER(MATCH(DATEVALUE($A52),'changes1_based on steps'!Q$1:Q$400,0)),Q$2,)</f>
        <v>0</v>
      </c>
      <c r="R52" s="179">
        <f ca="1">IF(ISNUMBER(MATCH(DATEVALUE($A52),'changes1_based on steps'!R$1:R$400,0)),R$2,)</f>
        <v>0</v>
      </c>
      <c r="S52" s="179">
        <f ca="1">IF(ISNUMBER(MATCH(DATEVALUE($A52),'changes1_based on steps'!S$1:S$400,0)),S$2,)</f>
        <v>0</v>
      </c>
      <c r="T52" s="179">
        <f ca="1">IF(ISNUMBER(MATCH(DATEVALUE($A52),'changes1_based on steps'!T$1:T$400,0)),T$2,)</f>
        <v>0</v>
      </c>
      <c r="U52" s="179">
        <f ca="1">IF(ISNUMBER(MATCH(DATEVALUE($A52),'changes1_based on steps'!U$1:U$400,0)),U$2,)</f>
        <v>0</v>
      </c>
      <c r="V52" s="179"/>
      <c r="W52" s="179"/>
      <c r="X52" s="179"/>
      <c r="Y52" s="179"/>
      <c r="Z52" s="179"/>
      <c r="AA52" s="179"/>
      <c r="AB52" s="179"/>
      <c r="AC52" s="179"/>
      <c r="AD52" s="179"/>
      <c r="AE52" s="179"/>
      <c r="AF52" s="179"/>
      <c r="AG52" s="179"/>
      <c r="AH52" s="179"/>
      <c r="AI52" s="179"/>
      <c r="AJ52" s="179"/>
      <c r="AK52" s="179"/>
      <c r="AL52" s="179"/>
      <c r="AM52" s="179"/>
      <c r="AN52" s="179"/>
      <c r="AO52" s="179"/>
      <c r="AP52" s="179"/>
      <c r="AQ52" s="179"/>
      <c r="AR52" s="179"/>
      <c r="AS52" s="179"/>
      <c r="AT52" s="179"/>
      <c r="AU52" s="179"/>
      <c r="AV52" s="179"/>
      <c r="AW52" s="179"/>
      <c r="AX52" s="179"/>
      <c r="AY52" s="179"/>
      <c r="AZ52" s="179"/>
      <c r="BA52" s="179"/>
      <c r="BB52" s="179"/>
      <c r="BC52" s="179"/>
      <c r="BD52" s="179"/>
      <c r="BE52" s="179"/>
      <c r="BF52" s="179"/>
      <c r="BG52" s="179"/>
      <c r="BH52" s="179"/>
      <c r="BI52" s="179"/>
      <c r="BJ52" s="179"/>
      <c r="BK52" s="179"/>
      <c r="BL52" s="179"/>
      <c r="BM52" s="179"/>
      <c r="BN52" s="179"/>
      <c r="BO52" s="179"/>
      <c r="BP52" s="179"/>
      <c r="BQ52" s="179"/>
      <c r="BR52" s="179"/>
      <c r="BS52" s="179"/>
      <c r="BT52" s="179"/>
      <c r="BU52" s="179"/>
      <c r="BV52" s="179"/>
      <c r="BW52" s="179"/>
      <c r="BX52" s="179"/>
      <c r="BY52" s="179"/>
      <c r="BZ52" s="179"/>
      <c r="CA52" s="179"/>
      <c r="CB52" s="179"/>
      <c r="CC52" s="179"/>
      <c r="CD52" s="179"/>
      <c r="CE52" s="179"/>
      <c r="CF52" s="179"/>
      <c r="CG52" s="179"/>
      <c r="CH52" s="179"/>
      <c r="CI52" s="179"/>
      <c r="CJ52" s="179"/>
      <c r="CK52" s="179"/>
      <c r="CL52" s="179"/>
      <c r="CM52" s="179"/>
      <c r="CN52" s="179"/>
      <c r="CO52" s="179"/>
      <c r="CP52" s="179"/>
      <c r="CQ52" s="179"/>
      <c r="CR52" s="179"/>
      <c r="CS52" s="179"/>
      <c r="CT52" s="179"/>
      <c r="CU52" s="179"/>
      <c r="CV52" s="179"/>
      <c r="CW52" s="179"/>
    </row>
    <row r="53" spans="1:101" x14ac:dyDescent="0.2">
      <c r="A53" s="32" t="str">
        <f t="shared" ca="1" si="0"/>
        <v>2025-05-25</v>
      </c>
      <c r="B53" s="179">
        <f ca="1">IF(ISNUMBER(MATCH(DATEVALUE($A53),'changes1_based on steps'!B$1:B$400,0)),B$2,)</f>
        <v>0</v>
      </c>
      <c r="C53" s="179">
        <f ca="1">IF(ISNUMBER(MATCH(DATEVALUE($A53),'changes1_based on steps'!C$1:C$400,0)),C$2,)</f>
        <v>0</v>
      </c>
      <c r="D53" s="179">
        <f ca="1">IF(ISNUMBER(MATCH(DATEVALUE($A53),'changes1_based on steps'!D$1:D$400,0)),D$2,)</f>
        <v>0</v>
      </c>
      <c r="E53" s="179">
        <f ca="1">IF(ISNUMBER(MATCH(DATEVALUE($A53),'changes1_based on steps'!E$1:E$400,0)),E$2,)</f>
        <v>0</v>
      </c>
      <c r="F53" s="179">
        <f ca="1">IF(ISNUMBER(MATCH(DATEVALUE($A53),'changes1_based on steps'!F$1:F$400,0)),F$2,)</f>
        <v>0</v>
      </c>
      <c r="G53" s="179">
        <f ca="1">IF(ISNUMBER(MATCH(DATEVALUE($A53),'changes1_based on steps'!G$1:G$400,0)),G$2,)</f>
        <v>0</v>
      </c>
      <c r="H53" s="179">
        <f ca="1">IF(ISNUMBER(MATCH(DATEVALUE($A53),'changes1_based on steps'!H$1:H$400,0)),H$2,)</f>
        <v>0</v>
      </c>
      <c r="I53" s="179">
        <f ca="1">IF(ISNUMBER(MATCH(DATEVALUE($A53),'changes1_based on steps'!I$1:I$400,0)),I$2,)</f>
        <v>0</v>
      </c>
      <c r="J53" s="179">
        <f ca="1">IF(ISNUMBER(MATCH(DATEVALUE($A53),'changes1_based on steps'!J$1:J$400,0)),J$2,)</f>
        <v>0</v>
      </c>
      <c r="K53" s="179">
        <f ca="1">IF(ISNUMBER(MATCH(DATEVALUE($A53),'changes1_based on steps'!K$1:K$400,0)),K$2,)</f>
        <v>0</v>
      </c>
      <c r="L53" s="179">
        <f ca="1">IF(ISNUMBER(MATCH(DATEVALUE($A53),'changes1_based on steps'!L$1:L$400,0)),L$2,)</f>
        <v>0</v>
      </c>
      <c r="M53" s="179">
        <f ca="1">IF(ISNUMBER(MATCH(DATEVALUE($A53),'changes1_based on steps'!M$1:M$400,0)),M$2,)</f>
        <v>0</v>
      </c>
      <c r="N53" s="179">
        <f ca="1">IF(ISNUMBER(MATCH(DATEVALUE($A53),'changes1_based on steps'!N$1:N$400,0)),N$2,)</f>
        <v>0</v>
      </c>
      <c r="O53" s="179">
        <f ca="1">IF(ISNUMBER(MATCH(DATEVALUE($A53),'changes1_based on steps'!O$1:O$400,0)),O$2,)</f>
        <v>0</v>
      </c>
      <c r="P53" s="179">
        <f ca="1">IF(ISNUMBER(MATCH(DATEVALUE($A53),'changes1_based on steps'!P$1:P$400,0)),P$2,)</f>
        <v>0</v>
      </c>
      <c r="Q53" s="179">
        <f ca="1">IF(ISNUMBER(MATCH(DATEVALUE($A53),'changes1_based on steps'!Q$1:Q$400,0)),Q$2,)</f>
        <v>0</v>
      </c>
      <c r="R53" s="179">
        <f ca="1">IF(ISNUMBER(MATCH(DATEVALUE($A53),'changes1_based on steps'!R$1:R$400,0)),R$2,)</f>
        <v>0</v>
      </c>
      <c r="S53" s="179">
        <f ca="1">IF(ISNUMBER(MATCH(DATEVALUE($A53),'changes1_based on steps'!S$1:S$400,0)),S$2,)</f>
        <v>0</v>
      </c>
      <c r="T53" s="179">
        <f ca="1">IF(ISNUMBER(MATCH(DATEVALUE($A53),'changes1_based on steps'!T$1:T$400,0)),T$2,)</f>
        <v>0</v>
      </c>
      <c r="U53" s="179">
        <f ca="1">IF(ISNUMBER(MATCH(DATEVALUE($A53),'changes1_based on steps'!U$1:U$400,0)),U$2,)</f>
        <v>0</v>
      </c>
      <c r="V53" s="179"/>
      <c r="W53" s="179"/>
      <c r="X53" s="179"/>
      <c r="Y53" s="179"/>
      <c r="Z53" s="179"/>
      <c r="AA53" s="179"/>
      <c r="AB53" s="179"/>
      <c r="AC53" s="179"/>
      <c r="AD53" s="179"/>
      <c r="AE53" s="179"/>
      <c r="AF53" s="179"/>
      <c r="AG53" s="179"/>
      <c r="AH53" s="179"/>
      <c r="AI53" s="179"/>
      <c r="AJ53" s="179"/>
      <c r="AK53" s="179"/>
      <c r="AL53" s="179"/>
      <c r="AM53" s="179"/>
      <c r="AN53" s="179"/>
      <c r="AO53" s="179"/>
      <c r="AP53" s="179"/>
      <c r="AQ53" s="179"/>
      <c r="AR53" s="179"/>
      <c r="AS53" s="179"/>
      <c r="AT53" s="179"/>
      <c r="AU53" s="179"/>
      <c r="AV53" s="179"/>
      <c r="AW53" s="179"/>
      <c r="AX53" s="179"/>
      <c r="AY53" s="179"/>
      <c r="AZ53" s="179"/>
      <c r="BA53" s="179"/>
      <c r="BB53" s="179"/>
      <c r="BC53" s="179"/>
      <c r="BD53" s="179"/>
      <c r="BE53" s="179"/>
      <c r="BF53" s="179"/>
      <c r="BG53" s="179"/>
      <c r="BH53" s="179"/>
      <c r="BI53" s="179"/>
      <c r="BJ53" s="179"/>
      <c r="BK53" s="179"/>
      <c r="BL53" s="179"/>
      <c r="BM53" s="179"/>
      <c r="BN53" s="179"/>
      <c r="BO53" s="179"/>
      <c r="BP53" s="179"/>
      <c r="BQ53" s="179"/>
      <c r="BR53" s="179"/>
      <c r="BS53" s="179"/>
      <c r="BT53" s="179"/>
      <c r="BU53" s="179"/>
      <c r="BV53" s="179"/>
      <c r="BW53" s="179"/>
      <c r="BX53" s="179"/>
      <c r="BY53" s="179"/>
      <c r="BZ53" s="179"/>
      <c r="CA53" s="179"/>
      <c r="CB53" s="179"/>
      <c r="CC53" s="179"/>
      <c r="CD53" s="179"/>
      <c r="CE53" s="179"/>
      <c r="CF53" s="179"/>
      <c r="CG53" s="179"/>
      <c r="CH53" s="179"/>
      <c r="CI53" s="179"/>
      <c r="CJ53" s="179"/>
      <c r="CK53" s="179"/>
      <c r="CL53" s="179"/>
      <c r="CM53" s="179"/>
      <c r="CN53" s="179"/>
      <c r="CO53" s="179"/>
      <c r="CP53" s="179"/>
      <c r="CQ53" s="179"/>
      <c r="CR53" s="179"/>
      <c r="CS53" s="179"/>
      <c r="CT53" s="179"/>
      <c r="CU53" s="179"/>
      <c r="CV53" s="179"/>
      <c r="CW53" s="179"/>
    </row>
    <row r="54" spans="1:101" x14ac:dyDescent="0.2">
      <c r="A54" s="32" t="str">
        <f t="shared" ca="1" si="0"/>
        <v>2025-05-26</v>
      </c>
      <c r="B54" s="179">
        <f ca="1">IF(ISNUMBER(MATCH(DATEVALUE($A54),'changes1_based on steps'!B$1:B$400,0)),B$2,)</f>
        <v>0</v>
      </c>
      <c r="C54" s="179">
        <f ca="1">IF(ISNUMBER(MATCH(DATEVALUE($A54),'changes1_based on steps'!C$1:C$400,0)),C$2,)</f>
        <v>0</v>
      </c>
      <c r="D54" s="179">
        <f ca="1">IF(ISNUMBER(MATCH(DATEVALUE($A54),'changes1_based on steps'!D$1:D$400,0)),D$2,)</f>
        <v>0</v>
      </c>
      <c r="E54" s="179">
        <f ca="1">IF(ISNUMBER(MATCH(DATEVALUE($A54),'changes1_based on steps'!E$1:E$400,0)),E$2,)</f>
        <v>0</v>
      </c>
      <c r="F54" s="179">
        <f ca="1">IF(ISNUMBER(MATCH(DATEVALUE($A54),'changes1_based on steps'!F$1:F$400,0)),F$2,)</f>
        <v>0</v>
      </c>
      <c r="G54" s="179">
        <f ca="1">IF(ISNUMBER(MATCH(DATEVALUE($A54),'changes1_based on steps'!G$1:G$400,0)),G$2,)</f>
        <v>0</v>
      </c>
      <c r="H54" s="179">
        <f ca="1">IF(ISNUMBER(MATCH(DATEVALUE($A54),'changes1_based on steps'!H$1:H$400,0)),H$2,)</f>
        <v>0</v>
      </c>
      <c r="I54" s="179">
        <f ca="1">IF(ISNUMBER(MATCH(DATEVALUE($A54),'changes1_based on steps'!I$1:I$400,0)),I$2,)</f>
        <v>0</v>
      </c>
      <c r="J54" s="179">
        <f ca="1">IF(ISNUMBER(MATCH(DATEVALUE($A54),'changes1_based on steps'!J$1:J$400,0)),J$2,)</f>
        <v>0</v>
      </c>
      <c r="K54" s="179">
        <f ca="1">IF(ISNUMBER(MATCH(DATEVALUE($A54),'changes1_based on steps'!K$1:K$400,0)),K$2,)</f>
        <v>0</v>
      </c>
      <c r="L54" s="179">
        <f ca="1">IF(ISNUMBER(MATCH(DATEVALUE($A54),'changes1_based on steps'!L$1:L$400,0)),L$2,)</f>
        <v>0</v>
      </c>
      <c r="M54" s="179">
        <f ca="1">IF(ISNUMBER(MATCH(DATEVALUE($A54),'changes1_based on steps'!M$1:M$400,0)),M$2,)</f>
        <v>0</v>
      </c>
      <c r="N54" s="179">
        <f ca="1">IF(ISNUMBER(MATCH(DATEVALUE($A54),'changes1_based on steps'!N$1:N$400,0)),N$2,)</f>
        <v>0</v>
      </c>
      <c r="O54" s="179">
        <f ca="1">IF(ISNUMBER(MATCH(DATEVALUE($A54),'changes1_based on steps'!O$1:O$400,0)),O$2,)</f>
        <v>0</v>
      </c>
      <c r="P54" s="179">
        <f ca="1">IF(ISNUMBER(MATCH(DATEVALUE($A54),'changes1_based on steps'!P$1:P$400,0)),P$2,)</f>
        <v>0</v>
      </c>
      <c r="Q54" s="179">
        <f ca="1">IF(ISNUMBER(MATCH(DATEVALUE($A54),'changes1_based on steps'!Q$1:Q$400,0)),Q$2,)</f>
        <v>0</v>
      </c>
      <c r="R54" s="179">
        <f ca="1">IF(ISNUMBER(MATCH(DATEVALUE($A54),'changes1_based on steps'!R$1:R$400,0)),R$2,)</f>
        <v>0</v>
      </c>
      <c r="S54" s="179">
        <f ca="1">IF(ISNUMBER(MATCH(DATEVALUE($A54),'changes1_based on steps'!S$1:S$400,0)),S$2,)</f>
        <v>0</v>
      </c>
      <c r="T54" s="179">
        <f ca="1">IF(ISNUMBER(MATCH(DATEVALUE($A54),'changes1_based on steps'!T$1:T$400,0)),T$2,)</f>
        <v>0</v>
      </c>
      <c r="U54" s="179">
        <f ca="1">IF(ISNUMBER(MATCH(DATEVALUE($A54),'changes1_based on steps'!U$1:U$400,0)),U$2,)</f>
        <v>0</v>
      </c>
      <c r="V54" s="179"/>
      <c r="W54" s="179"/>
      <c r="X54" s="179"/>
      <c r="Y54" s="179"/>
      <c r="Z54" s="179"/>
      <c r="AA54" s="179"/>
      <c r="AB54" s="179"/>
      <c r="AC54" s="179"/>
      <c r="AD54" s="179"/>
      <c r="AE54" s="179"/>
      <c r="AF54" s="179"/>
      <c r="AG54" s="179"/>
      <c r="AH54" s="179"/>
      <c r="AI54" s="179"/>
      <c r="AJ54" s="179"/>
      <c r="AK54" s="179"/>
      <c r="AL54" s="179"/>
      <c r="AM54" s="179"/>
      <c r="AN54" s="179"/>
      <c r="AO54" s="179"/>
      <c r="AP54" s="179"/>
      <c r="AQ54" s="179"/>
      <c r="AR54" s="179"/>
      <c r="AS54" s="179"/>
      <c r="AT54" s="179"/>
      <c r="AU54" s="179"/>
      <c r="AV54" s="179"/>
      <c r="AW54" s="179"/>
      <c r="AX54" s="179"/>
      <c r="AY54" s="179"/>
      <c r="AZ54" s="179"/>
      <c r="BA54" s="179"/>
      <c r="BB54" s="179"/>
      <c r="BC54" s="179"/>
      <c r="BD54" s="179"/>
      <c r="BE54" s="179"/>
      <c r="BF54" s="179"/>
      <c r="BG54" s="179"/>
      <c r="BH54" s="179"/>
      <c r="BI54" s="179"/>
      <c r="BJ54" s="179"/>
      <c r="BK54" s="179"/>
      <c r="BL54" s="179"/>
      <c r="BM54" s="179"/>
      <c r="BN54" s="179"/>
      <c r="BO54" s="179"/>
      <c r="BP54" s="179"/>
      <c r="BQ54" s="179"/>
      <c r="BR54" s="179"/>
      <c r="BS54" s="179"/>
      <c r="BT54" s="179"/>
      <c r="BU54" s="179"/>
      <c r="BV54" s="179"/>
      <c r="BW54" s="179"/>
      <c r="BX54" s="179"/>
      <c r="BY54" s="179"/>
      <c r="BZ54" s="179"/>
      <c r="CA54" s="179"/>
      <c r="CB54" s="179"/>
      <c r="CC54" s="179"/>
      <c r="CD54" s="179"/>
      <c r="CE54" s="179"/>
      <c r="CF54" s="179"/>
      <c r="CG54" s="179"/>
      <c r="CH54" s="179"/>
      <c r="CI54" s="179"/>
      <c r="CJ54" s="179"/>
      <c r="CK54" s="179"/>
      <c r="CL54" s="179"/>
      <c r="CM54" s="179"/>
      <c r="CN54" s="179"/>
      <c r="CO54" s="179"/>
      <c r="CP54" s="179"/>
      <c r="CQ54" s="179"/>
      <c r="CR54" s="179"/>
      <c r="CS54" s="179"/>
      <c r="CT54" s="179"/>
      <c r="CU54" s="179"/>
      <c r="CV54" s="179"/>
      <c r="CW54" s="179"/>
    </row>
    <row r="55" spans="1:101" x14ac:dyDescent="0.2">
      <c r="A55" s="32" t="str">
        <f t="shared" ca="1" si="0"/>
        <v>2025-05-27</v>
      </c>
      <c r="B55" s="179">
        <f ca="1">IF(ISNUMBER(MATCH(DATEVALUE($A55),'changes1_based on steps'!B$1:B$400,0)),B$2,)</f>
        <v>0</v>
      </c>
      <c r="C55" s="179">
        <f ca="1">IF(ISNUMBER(MATCH(DATEVALUE($A55),'changes1_based on steps'!C$1:C$400,0)),C$2,)</f>
        <v>0</v>
      </c>
      <c r="D55" s="179">
        <f ca="1">IF(ISNUMBER(MATCH(DATEVALUE($A55),'changes1_based on steps'!D$1:D$400,0)),D$2,)</f>
        <v>0</v>
      </c>
      <c r="E55" s="179">
        <f ca="1">IF(ISNUMBER(MATCH(DATEVALUE($A55),'changes1_based on steps'!E$1:E$400,0)),E$2,)</f>
        <v>0</v>
      </c>
      <c r="F55" s="179">
        <f ca="1">IF(ISNUMBER(MATCH(DATEVALUE($A55),'changes1_based on steps'!F$1:F$400,0)),F$2,)</f>
        <v>0</v>
      </c>
      <c r="G55" s="179">
        <f ca="1">IF(ISNUMBER(MATCH(DATEVALUE($A55),'changes1_based on steps'!G$1:G$400,0)),G$2,)</f>
        <v>0</v>
      </c>
      <c r="H55" s="179">
        <f ca="1">IF(ISNUMBER(MATCH(DATEVALUE($A55),'changes1_based on steps'!H$1:H$400,0)),H$2,)</f>
        <v>0</v>
      </c>
      <c r="I55" s="179">
        <f ca="1">IF(ISNUMBER(MATCH(DATEVALUE($A55),'changes1_based on steps'!I$1:I$400,0)),I$2,)</f>
        <v>0</v>
      </c>
      <c r="J55" s="179">
        <f ca="1">IF(ISNUMBER(MATCH(DATEVALUE($A55),'changes1_based on steps'!J$1:J$400,0)),J$2,)</f>
        <v>0</v>
      </c>
      <c r="K55" s="179">
        <f ca="1">IF(ISNUMBER(MATCH(DATEVALUE($A55),'changes1_based on steps'!K$1:K$400,0)),K$2,)</f>
        <v>0</v>
      </c>
      <c r="L55" s="179">
        <f ca="1">IF(ISNUMBER(MATCH(DATEVALUE($A55),'changes1_based on steps'!L$1:L$400,0)),L$2,)</f>
        <v>0</v>
      </c>
      <c r="M55" s="179">
        <f ca="1">IF(ISNUMBER(MATCH(DATEVALUE($A55),'changes1_based on steps'!M$1:M$400,0)),M$2,)</f>
        <v>0</v>
      </c>
      <c r="N55" s="179">
        <f ca="1">IF(ISNUMBER(MATCH(DATEVALUE($A55),'changes1_based on steps'!N$1:N$400,0)),N$2,)</f>
        <v>0</v>
      </c>
      <c r="O55" s="179">
        <f ca="1">IF(ISNUMBER(MATCH(DATEVALUE($A55),'changes1_based on steps'!O$1:O$400,0)),O$2,)</f>
        <v>0</v>
      </c>
      <c r="P55" s="179">
        <f ca="1">IF(ISNUMBER(MATCH(DATEVALUE($A55),'changes1_based on steps'!P$1:P$400,0)),P$2,)</f>
        <v>0</v>
      </c>
      <c r="Q55" s="179">
        <f ca="1">IF(ISNUMBER(MATCH(DATEVALUE($A55),'changes1_based on steps'!Q$1:Q$400,0)),Q$2,)</f>
        <v>0</v>
      </c>
      <c r="R55" s="179">
        <f ca="1">IF(ISNUMBER(MATCH(DATEVALUE($A55),'changes1_based on steps'!R$1:R$400,0)),R$2,)</f>
        <v>0</v>
      </c>
      <c r="S55" s="179">
        <f ca="1">IF(ISNUMBER(MATCH(DATEVALUE($A55),'changes1_based on steps'!S$1:S$400,0)),S$2,)</f>
        <v>0</v>
      </c>
      <c r="T55" s="179">
        <f ca="1">IF(ISNUMBER(MATCH(DATEVALUE($A55),'changes1_based on steps'!T$1:T$400,0)),T$2,)</f>
        <v>0</v>
      </c>
      <c r="U55" s="179">
        <f ca="1">IF(ISNUMBER(MATCH(DATEVALUE($A55),'changes1_based on steps'!U$1:U$400,0)),U$2,)</f>
        <v>0</v>
      </c>
      <c r="V55" s="179"/>
      <c r="W55" s="179"/>
      <c r="X55" s="179"/>
      <c r="Y55" s="179"/>
      <c r="Z55" s="179"/>
      <c r="AA55" s="179"/>
      <c r="AB55" s="179"/>
      <c r="AC55" s="179"/>
      <c r="AD55" s="179"/>
      <c r="AE55" s="179"/>
      <c r="AF55" s="179"/>
      <c r="AG55" s="179"/>
      <c r="AH55" s="179"/>
      <c r="AI55" s="179"/>
      <c r="AJ55" s="179"/>
      <c r="AK55" s="179"/>
      <c r="AL55" s="179"/>
      <c r="AM55" s="179"/>
      <c r="AN55" s="179"/>
      <c r="AO55" s="179"/>
      <c r="AP55" s="179"/>
      <c r="AQ55" s="179"/>
      <c r="AR55" s="179"/>
      <c r="AS55" s="179"/>
      <c r="AT55" s="179"/>
      <c r="AU55" s="179"/>
      <c r="AV55" s="179"/>
      <c r="AW55" s="179"/>
      <c r="AX55" s="179"/>
      <c r="AY55" s="179"/>
      <c r="AZ55" s="179"/>
      <c r="BA55" s="179"/>
      <c r="BB55" s="179"/>
      <c r="BC55" s="179"/>
      <c r="BD55" s="179"/>
      <c r="BE55" s="179"/>
      <c r="BF55" s="179"/>
      <c r="BG55" s="179"/>
      <c r="BH55" s="179"/>
      <c r="BI55" s="179"/>
      <c r="BJ55" s="179"/>
      <c r="BK55" s="179"/>
      <c r="BL55" s="179"/>
      <c r="BM55" s="179"/>
      <c r="BN55" s="179"/>
      <c r="BO55" s="179"/>
      <c r="BP55" s="179"/>
      <c r="BQ55" s="179"/>
      <c r="BR55" s="179"/>
      <c r="BS55" s="179"/>
      <c r="BT55" s="179"/>
      <c r="BU55" s="179"/>
      <c r="BV55" s="179"/>
      <c r="BW55" s="179"/>
      <c r="BX55" s="179"/>
      <c r="BY55" s="179"/>
      <c r="BZ55" s="179"/>
      <c r="CA55" s="179"/>
      <c r="CB55" s="179"/>
      <c r="CC55" s="179"/>
      <c r="CD55" s="179"/>
      <c r="CE55" s="179"/>
      <c r="CF55" s="179"/>
      <c r="CG55" s="179"/>
      <c r="CH55" s="179"/>
      <c r="CI55" s="179"/>
      <c r="CJ55" s="179"/>
      <c r="CK55" s="179"/>
      <c r="CL55" s="179"/>
      <c r="CM55" s="179"/>
      <c r="CN55" s="179"/>
      <c r="CO55" s="179"/>
      <c r="CP55" s="179"/>
      <c r="CQ55" s="179"/>
      <c r="CR55" s="179"/>
      <c r="CS55" s="179"/>
      <c r="CT55" s="179"/>
      <c r="CU55" s="179"/>
      <c r="CV55" s="179"/>
      <c r="CW55" s="179"/>
    </row>
    <row r="56" spans="1:101" x14ac:dyDescent="0.2">
      <c r="A56" s="32" t="str">
        <f t="shared" ca="1" si="0"/>
        <v>2025-05-28</v>
      </c>
      <c r="B56" s="179">
        <f ca="1">IF(ISNUMBER(MATCH(DATEVALUE($A56),'changes1_based on steps'!B$1:B$400,0)),B$2,)</f>
        <v>0</v>
      </c>
      <c r="C56" s="179">
        <f ca="1">IF(ISNUMBER(MATCH(DATEVALUE($A56),'changes1_based on steps'!C$1:C$400,0)),C$2,)</f>
        <v>0</v>
      </c>
      <c r="D56" s="179">
        <f ca="1">IF(ISNUMBER(MATCH(DATEVALUE($A56),'changes1_based on steps'!D$1:D$400,0)),D$2,)</f>
        <v>0</v>
      </c>
      <c r="E56" s="179">
        <f ca="1">IF(ISNUMBER(MATCH(DATEVALUE($A56),'changes1_based on steps'!E$1:E$400,0)),E$2,)</f>
        <v>0</v>
      </c>
      <c r="F56" s="179">
        <f ca="1">IF(ISNUMBER(MATCH(DATEVALUE($A56),'changes1_based on steps'!F$1:F$400,0)),F$2,)</f>
        <v>0</v>
      </c>
      <c r="G56" s="179">
        <f ca="1">IF(ISNUMBER(MATCH(DATEVALUE($A56),'changes1_based on steps'!G$1:G$400,0)),G$2,)</f>
        <v>0</v>
      </c>
      <c r="H56" s="179">
        <f ca="1">IF(ISNUMBER(MATCH(DATEVALUE($A56),'changes1_based on steps'!H$1:H$400,0)),H$2,)</f>
        <v>0</v>
      </c>
      <c r="I56" s="179">
        <f ca="1">IF(ISNUMBER(MATCH(DATEVALUE($A56),'changes1_based on steps'!I$1:I$400,0)),I$2,)</f>
        <v>0</v>
      </c>
      <c r="J56" s="179">
        <f ca="1">IF(ISNUMBER(MATCH(DATEVALUE($A56),'changes1_based on steps'!J$1:J$400,0)),J$2,)</f>
        <v>0</v>
      </c>
      <c r="K56" s="179">
        <f ca="1">IF(ISNUMBER(MATCH(DATEVALUE($A56),'changes1_based on steps'!K$1:K$400,0)),K$2,)</f>
        <v>0</v>
      </c>
      <c r="L56" s="179">
        <f ca="1">IF(ISNUMBER(MATCH(DATEVALUE($A56),'changes1_based on steps'!L$1:L$400,0)),L$2,)</f>
        <v>0</v>
      </c>
      <c r="M56" s="179">
        <f ca="1">IF(ISNUMBER(MATCH(DATEVALUE($A56),'changes1_based on steps'!M$1:M$400,0)),M$2,)</f>
        <v>0</v>
      </c>
      <c r="N56" s="179">
        <f ca="1">IF(ISNUMBER(MATCH(DATEVALUE($A56),'changes1_based on steps'!N$1:N$400,0)),N$2,)</f>
        <v>0</v>
      </c>
      <c r="O56" s="179">
        <f ca="1">IF(ISNUMBER(MATCH(DATEVALUE($A56),'changes1_based on steps'!O$1:O$400,0)),O$2,)</f>
        <v>0</v>
      </c>
      <c r="P56" s="179">
        <f ca="1">IF(ISNUMBER(MATCH(DATEVALUE($A56),'changes1_based on steps'!P$1:P$400,0)),P$2,)</f>
        <v>0</v>
      </c>
      <c r="Q56" s="179">
        <f ca="1">IF(ISNUMBER(MATCH(DATEVALUE($A56),'changes1_based on steps'!Q$1:Q$400,0)),Q$2,)</f>
        <v>0</v>
      </c>
      <c r="R56" s="179">
        <f ca="1">IF(ISNUMBER(MATCH(DATEVALUE($A56),'changes1_based on steps'!R$1:R$400,0)),R$2,)</f>
        <v>0</v>
      </c>
      <c r="S56" s="179">
        <f ca="1">IF(ISNUMBER(MATCH(DATEVALUE($A56),'changes1_based on steps'!S$1:S$400,0)),S$2,)</f>
        <v>0</v>
      </c>
      <c r="T56" s="179">
        <f ca="1">IF(ISNUMBER(MATCH(DATEVALUE($A56),'changes1_based on steps'!T$1:T$400,0)),T$2,)</f>
        <v>0</v>
      </c>
      <c r="U56" s="179">
        <f ca="1">IF(ISNUMBER(MATCH(DATEVALUE($A56),'changes1_based on steps'!U$1:U$400,0)),U$2,)</f>
        <v>0</v>
      </c>
      <c r="V56" s="179"/>
      <c r="W56" s="179"/>
      <c r="X56" s="179"/>
      <c r="Y56" s="179"/>
      <c r="Z56" s="179"/>
      <c r="AA56" s="179"/>
      <c r="AB56" s="179"/>
      <c r="AC56" s="179"/>
      <c r="AD56" s="179"/>
      <c r="AE56" s="179"/>
      <c r="AF56" s="179"/>
      <c r="AG56" s="179"/>
      <c r="AH56" s="179"/>
      <c r="AI56" s="179"/>
      <c r="AJ56" s="179"/>
      <c r="AK56" s="179"/>
      <c r="AL56" s="179"/>
      <c r="AM56" s="179"/>
      <c r="AN56" s="179"/>
      <c r="AO56" s="179"/>
      <c r="AP56" s="179"/>
      <c r="AQ56" s="179"/>
      <c r="AR56" s="179"/>
      <c r="AS56" s="179"/>
      <c r="AT56" s="179"/>
      <c r="AU56" s="179"/>
      <c r="AV56" s="179"/>
      <c r="AW56" s="179"/>
      <c r="AX56" s="179"/>
      <c r="AY56" s="179"/>
      <c r="AZ56" s="179"/>
      <c r="BA56" s="179"/>
      <c r="BB56" s="179"/>
      <c r="BC56" s="179"/>
      <c r="BD56" s="179"/>
      <c r="BE56" s="179"/>
      <c r="BF56" s="179"/>
      <c r="BG56" s="179"/>
      <c r="BH56" s="179"/>
      <c r="BI56" s="179"/>
      <c r="BJ56" s="179"/>
      <c r="BK56" s="179"/>
      <c r="BL56" s="179"/>
      <c r="BM56" s="179"/>
      <c r="BN56" s="179"/>
      <c r="BO56" s="179"/>
      <c r="BP56" s="179"/>
      <c r="BQ56" s="179"/>
      <c r="BR56" s="179"/>
      <c r="BS56" s="179"/>
      <c r="BT56" s="179"/>
      <c r="BU56" s="179"/>
      <c r="BV56" s="179"/>
      <c r="BW56" s="179"/>
      <c r="BX56" s="179"/>
      <c r="BY56" s="179"/>
      <c r="BZ56" s="179"/>
      <c r="CA56" s="179"/>
      <c r="CB56" s="179"/>
      <c r="CC56" s="179"/>
      <c r="CD56" s="179"/>
      <c r="CE56" s="179"/>
      <c r="CF56" s="179"/>
      <c r="CG56" s="179"/>
      <c r="CH56" s="179"/>
      <c r="CI56" s="179"/>
      <c r="CJ56" s="179"/>
      <c r="CK56" s="179"/>
      <c r="CL56" s="179"/>
      <c r="CM56" s="179"/>
      <c r="CN56" s="179"/>
      <c r="CO56" s="179"/>
      <c r="CP56" s="179"/>
      <c r="CQ56" s="179"/>
      <c r="CR56" s="179"/>
      <c r="CS56" s="179"/>
      <c r="CT56" s="179"/>
      <c r="CU56" s="179"/>
      <c r="CV56" s="179"/>
      <c r="CW56" s="179"/>
    </row>
    <row r="57" spans="1:101" x14ac:dyDescent="0.2">
      <c r="A57" s="32" t="str">
        <f t="shared" ca="1" si="0"/>
        <v>2025-05-29</v>
      </c>
      <c r="B57" s="179">
        <f ca="1">IF(ISNUMBER(MATCH(DATEVALUE($A57),'changes1_based on steps'!B$1:B$400,0)),B$2,)</f>
        <v>0</v>
      </c>
      <c r="C57" s="179">
        <f ca="1">IF(ISNUMBER(MATCH(DATEVALUE($A57),'changes1_based on steps'!C$1:C$400,0)),C$2,)</f>
        <v>0</v>
      </c>
      <c r="D57" s="179">
        <f ca="1">IF(ISNUMBER(MATCH(DATEVALUE($A57),'changes1_based on steps'!D$1:D$400,0)),D$2,)</f>
        <v>0</v>
      </c>
      <c r="E57" s="179">
        <f ca="1">IF(ISNUMBER(MATCH(DATEVALUE($A57),'changes1_based on steps'!E$1:E$400,0)),E$2,)</f>
        <v>0</v>
      </c>
      <c r="F57" s="179">
        <f ca="1">IF(ISNUMBER(MATCH(DATEVALUE($A57),'changes1_based on steps'!F$1:F$400,0)),F$2,)</f>
        <v>0</v>
      </c>
      <c r="G57" s="179">
        <f ca="1">IF(ISNUMBER(MATCH(DATEVALUE($A57),'changes1_based on steps'!G$1:G$400,0)),G$2,)</f>
        <v>0</v>
      </c>
      <c r="H57" s="179">
        <f ca="1">IF(ISNUMBER(MATCH(DATEVALUE($A57),'changes1_based on steps'!H$1:H$400,0)),H$2,)</f>
        <v>0</v>
      </c>
      <c r="I57" s="179">
        <f ca="1">IF(ISNUMBER(MATCH(DATEVALUE($A57),'changes1_based on steps'!I$1:I$400,0)),I$2,)</f>
        <v>0</v>
      </c>
      <c r="J57" s="179">
        <f ca="1">IF(ISNUMBER(MATCH(DATEVALUE($A57),'changes1_based on steps'!J$1:J$400,0)),J$2,)</f>
        <v>0</v>
      </c>
      <c r="K57" s="179">
        <f ca="1">IF(ISNUMBER(MATCH(DATEVALUE($A57),'changes1_based on steps'!K$1:K$400,0)),K$2,)</f>
        <v>0</v>
      </c>
      <c r="L57" s="179">
        <f ca="1">IF(ISNUMBER(MATCH(DATEVALUE($A57),'changes1_based on steps'!L$1:L$400,0)),L$2,)</f>
        <v>0</v>
      </c>
      <c r="M57" s="179">
        <f ca="1">IF(ISNUMBER(MATCH(DATEVALUE($A57),'changes1_based on steps'!M$1:M$400,0)),M$2,)</f>
        <v>0</v>
      </c>
      <c r="N57" s="179">
        <f ca="1">IF(ISNUMBER(MATCH(DATEVALUE($A57),'changes1_based on steps'!N$1:N$400,0)),N$2,)</f>
        <v>0</v>
      </c>
      <c r="O57" s="179">
        <f ca="1">IF(ISNUMBER(MATCH(DATEVALUE($A57),'changes1_based on steps'!O$1:O$400,0)),O$2,)</f>
        <v>0</v>
      </c>
      <c r="P57" s="179">
        <f ca="1">IF(ISNUMBER(MATCH(DATEVALUE($A57),'changes1_based on steps'!P$1:P$400,0)),P$2,)</f>
        <v>0</v>
      </c>
      <c r="Q57" s="179">
        <f ca="1">IF(ISNUMBER(MATCH(DATEVALUE($A57),'changes1_based on steps'!Q$1:Q$400,0)),Q$2,)</f>
        <v>0</v>
      </c>
      <c r="R57" s="179">
        <f ca="1">IF(ISNUMBER(MATCH(DATEVALUE($A57),'changes1_based on steps'!R$1:R$400,0)),R$2,)</f>
        <v>0</v>
      </c>
      <c r="S57" s="179">
        <f ca="1">IF(ISNUMBER(MATCH(DATEVALUE($A57),'changes1_based on steps'!S$1:S$400,0)),S$2,)</f>
        <v>0</v>
      </c>
      <c r="T57" s="179">
        <f ca="1">IF(ISNUMBER(MATCH(DATEVALUE($A57),'changes1_based on steps'!T$1:T$400,0)),T$2,)</f>
        <v>0</v>
      </c>
      <c r="U57" s="179">
        <f ca="1">IF(ISNUMBER(MATCH(DATEVALUE($A57),'changes1_based on steps'!U$1:U$400,0)),U$2,)</f>
        <v>0</v>
      </c>
      <c r="V57" s="179"/>
      <c r="W57" s="179"/>
      <c r="X57" s="179"/>
      <c r="Y57" s="179"/>
      <c r="Z57" s="179"/>
      <c r="AA57" s="179"/>
      <c r="AB57" s="179"/>
      <c r="AC57" s="179"/>
      <c r="AD57" s="179"/>
      <c r="AE57" s="179"/>
      <c r="AF57" s="179"/>
      <c r="AG57" s="179"/>
      <c r="AH57" s="179"/>
      <c r="AI57" s="179"/>
      <c r="AJ57" s="179"/>
      <c r="AK57" s="179"/>
      <c r="AL57" s="179"/>
      <c r="AM57" s="179"/>
      <c r="AN57" s="179"/>
      <c r="AO57" s="179"/>
      <c r="AP57" s="179"/>
      <c r="AQ57" s="179"/>
      <c r="AR57" s="179"/>
      <c r="AS57" s="179"/>
      <c r="AT57" s="179"/>
      <c r="AU57" s="179"/>
      <c r="AV57" s="179"/>
      <c r="AW57" s="179"/>
      <c r="AX57" s="179"/>
      <c r="AY57" s="179"/>
      <c r="AZ57" s="179"/>
      <c r="BA57" s="179"/>
      <c r="BB57" s="179"/>
      <c r="BC57" s="179"/>
      <c r="BD57" s="179"/>
      <c r="BE57" s="179"/>
      <c r="BF57" s="179"/>
      <c r="BG57" s="179"/>
      <c r="BH57" s="179"/>
      <c r="BI57" s="179"/>
      <c r="BJ57" s="179"/>
      <c r="BK57" s="179"/>
      <c r="BL57" s="179"/>
      <c r="BM57" s="179"/>
      <c r="BN57" s="179"/>
      <c r="BO57" s="179"/>
      <c r="BP57" s="179"/>
      <c r="BQ57" s="179"/>
      <c r="BR57" s="179"/>
      <c r="BS57" s="179"/>
      <c r="BT57" s="179"/>
      <c r="BU57" s="179"/>
      <c r="BV57" s="179"/>
      <c r="BW57" s="179"/>
      <c r="BX57" s="179"/>
      <c r="BY57" s="179"/>
      <c r="BZ57" s="179"/>
      <c r="CA57" s="179"/>
      <c r="CB57" s="179"/>
      <c r="CC57" s="179"/>
      <c r="CD57" s="179"/>
      <c r="CE57" s="179"/>
      <c r="CF57" s="179"/>
      <c r="CG57" s="179"/>
      <c r="CH57" s="179"/>
      <c r="CI57" s="179"/>
      <c r="CJ57" s="179"/>
      <c r="CK57" s="179"/>
      <c r="CL57" s="179"/>
      <c r="CM57" s="179"/>
      <c r="CN57" s="179"/>
      <c r="CO57" s="179"/>
      <c r="CP57" s="179"/>
      <c r="CQ57" s="179"/>
      <c r="CR57" s="179"/>
      <c r="CS57" s="179"/>
      <c r="CT57" s="179"/>
      <c r="CU57" s="179"/>
      <c r="CV57" s="179"/>
      <c r="CW57" s="179"/>
    </row>
    <row r="58" spans="1:101" x14ac:dyDescent="0.2">
      <c r="A58" s="32" t="str">
        <f t="shared" ca="1" si="0"/>
        <v>2025-05-30</v>
      </c>
      <c r="B58" s="179">
        <f ca="1">IF(ISNUMBER(MATCH(DATEVALUE($A58),'changes1_based on steps'!B$1:B$400,0)),B$2,)</f>
        <v>0</v>
      </c>
      <c r="C58" s="179">
        <f ca="1">IF(ISNUMBER(MATCH(DATEVALUE($A58),'changes1_based on steps'!C$1:C$400,0)),C$2,)</f>
        <v>0</v>
      </c>
      <c r="D58" s="179">
        <f ca="1">IF(ISNUMBER(MATCH(DATEVALUE($A58),'changes1_based on steps'!D$1:D$400,0)),D$2,)</f>
        <v>0</v>
      </c>
      <c r="E58" s="179">
        <f ca="1">IF(ISNUMBER(MATCH(DATEVALUE($A58),'changes1_based on steps'!E$1:E$400,0)),E$2,)</f>
        <v>0</v>
      </c>
      <c r="F58" s="179">
        <f ca="1">IF(ISNUMBER(MATCH(DATEVALUE($A58),'changes1_based on steps'!F$1:F$400,0)),F$2,)</f>
        <v>0</v>
      </c>
      <c r="G58" s="179">
        <f ca="1">IF(ISNUMBER(MATCH(DATEVALUE($A58),'changes1_based on steps'!G$1:G$400,0)),G$2,)</f>
        <v>0</v>
      </c>
      <c r="H58" s="179">
        <f ca="1">IF(ISNUMBER(MATCH(DATEVALUE($A58),'changes1_based on steps'!H$1:H$400,0)),H$2,)</f>
        <v>0</v>
      </c>
      <c r="I58" s="179">
        <f ca="1">IF(ISNUMBER(MATCH(DATEVALUE($A58),'changes1_based on steps'!I$1:I$400,0)),I$2,)</f>
        <v>0</v>
      </c>
      <c r="J58" s="179">
        <f ca="1">IF(ISNUMBER(MATCH(DATEVALUE($A58),'changes1_based on steps'!J$1:J$400,0)),J$2,)</f>
        <v>0</v>
      </c>
      <c r="K58" s="179">
        <f ca="1">IF(ISNUMBER(MATCH(DATEVALUE($A58),'changes1_based on steps'!K$1:K$400,0)),K$2,)</f>
        <v>0</v>
      </c>
      <c r="L58" s="179">
        <f ca="1">IF(ISNUMBER(MATCH(DATEVALUE($A58),'changes1_based on steps'!L$1:L$400,0)),L$2,)</f>
        <v>0</v>
      </c>
      <c r="M58" s="179">
        <f ca="1">IF(ISNUMBER(MATCH(DATEVALUE($A58),'changes1_based on steps'!M$1:M$400,0)),M$2,)</f>
        <v>0</v>
      </c>
      <c r="N58" s="179">
        <f ca="1">IF(ISNUMBER(MATCH(DATEVALUE($A58),'changes1_based on steps'!N$1:N$400,0)),N$2,)</f>
        <v>0</v>
      </c>
      <c r="O58" s="179">
        <f ca="1">IF(ISNUMBER(MATCH(DATEVALUE($A58),'changes1_based on steps'!O$1:O$400,0)),O$2,)</f>
        <v>0</v>
      </c>
      <c r="P58" s="179">
        <f ca="1">IF(ISNUMBER(MATCH(DATEVALUE($A58),'changes1_based on steps'!P$1:P$400,0)),P$2,)</f>
        <v>0</v>
      </c>
      <c r="Q58" s="179">
        <f ca="1">IF(ISNUMBER(MATCH(DATEVALUE($A58),'changes1_based on steps'!Q$1:Q$400,0)),Q$2,)</f>
        <v>0</v>
      </c>
      <c r="R58" s="179">
        <f ca="1">IF(ISNUMBER(MATCH(DATEVALUE($A58),'changes1_based on steps'!R$1:R$400,0)),R$2,)</f>
        <v>0</v>
      </c>
      <c r="S58" s="179">
        <f ca="1">IF(ISNUMBER(MATCH(DATEVALUE($A58),'changes1_based on steps'!S$1:S$400,0)),S$2,)</f>
        <v>0</v>
      </c>
      <c r="T58" s="179">
        <f ca="1">IF(ISNUMBER(MATCH(DATEVALUE($A58),'changes1_based on steps'!T$1:T$400,0)),T$2,)</f>
        <v>0</v>
      </c>
      <c r="U58" s="179">
        <f ca="1">IF(ISNUMBER(MATCH(DATEVALUE($A58),'changes1_based on steps'!U$1:U$400,0)),U$2,)</f>
        <v>0</v>
      </c>
      <c r="V58" s="179"/>
      <c r="W58" s="179"/>
      <c r="X58" s="179"/>
      <c r="Y58" s="179"/>
      <c r="Z58" s="179"/>
      <c r="AA58" s="179"/>
      <c r="AB58" s="179"/>
      <c r="AC58" s="179"/>
      <c r="AD58" s="179"/>
      <c r="AE58" s="179"/>
      <c r="AF58" s="179"/>
      <c r="AG58" s="179"/>
      <c r="AH58" s="179"/>
      <c r="AI58" s="179"/>
      <c r="AJ58" s="179"/>
      <c r="AK58" s="179"/>
      <c r="AL58" s="179"/>
      <c r="AM58" s="179"/>
      <c r="AN58" s="179"/>
      <c r="AO58" s="179"/>
      <c r="AP58" s="179"/>
      <c r="AQ58" s="179"/>
      <c r="AR58" s="179"/>
      <c r="AS58" s="179"/>
      <c r="AT58" s="179"/>
      <c r="AU58" s="179"/>
      <c r="AV58" s="179"/>
      <c r="AW58" s="179"/>
      <c r="AX58" s="179"/>
      <c r="AY58" s="179"/>
      <c r="AZ58" s="179"/>
      <c r="BA58" s="179"/>
      <c r="BB58" s="179"/>
      <c r="BC58" s="179"/>
      <c r="BD58" s="179"/>
      <c r="BE58" s="179"/>
      <c r="BF58" s="179"/>
      <c r="BG58" s="179"/>
      <c r="BH58" s="179"/>
      <c r="BI58" s="179"/>
      <c r="BJ58" s="179"/>
      <c r="BK58" s="179"/>
      <c r="BL58" s="179"/>
      <c r="BM58" s="179"/>
      <c r="BN58" s="179"/>
      <c r="BO58" s="179"/>
      <c r="BP58" s="179"/>
      <c r="BQ58" s="179"/>
      <c r="BR58" s="179"/>
      <c r="BS58" s="179"/>
      <c r="BT58" s="179"/>
      <c r="BU58" s="179"/>
      <c r="BV58" s="179"/>
      <c r="BW58" s="179"/>
      <c r="BX58" s="179"/>
      <c r="BY58" s="179"/>
      <c r="BZ58" s="179"/>
      <c r="CA58" s="179"/>
      <c r="CB58" s="179"/>
      <c r="CC58" s="179"/>
      <c r="CD58" s="179"/>
      <c r="CE58" s="179"/>
      <c r="CF58" s="179"/>
      <c r="CG58" s="179"/>
      <c r="CH58" s="179"/>
      <c r="CI58" s="179"/>
      <c r="CJ58" s="179"/>
      <c r="CK58" s="179"/>
      <c r="CL58" s="179"/>
      <c r="CM58" s="179"/>
      <c r="CN58" s="179"/>
      <c r="CO58" s="179"/>
      <c r="CP58" s="179"/>
      <c r="CQ58" s="179"/>
      <c r="CR58" s="179"/>
      <c r="CS58" s="179"/>
      <c r="CT58" s="179"/>
      <c r="CU58" s="179"/>
      <c r="CV58" s="179"/>
      <c r="CW58" s="179"/>
    </row>
    <row r="59" spans="1:101" x14ac:dyDescent="0.2">
      <c r="A59" s="32" t="str">
        <f t="shared" ca="1" si="0"/>
        <v>2025-05-31</v>
      </c>
      <c r="B59" s="179">
        <f ca="1">IF(ISNUMBER(MATCH(DATEVALUE($A59),'changes1_based on steps'!B$1:B$400,0)),B$2,)</f>
        <v>0</v>
      </c>
      <c r="C59" s="179">
        <f ca="1">IF(ISNUMBER(MATCH(DATEVALUE($A59),'changes1_based on steps'!C$1:C$400,0)),C$2,)</f>
        <v>0</v>
      </c>
      <c r="D59" s="179">
        <f ca="1">IF(ISNUMBER(MATCH(DATEVALUE($A59),'changes1_based on steps'!D$1:D$400,0)),D$2,)</f>
        <v>0</v>
      </c>
      <c r="E59" s="179">
        <f ca="1">IF(ISNUMBER(MATCH(DATEVALUE($A59),'changes1_based on steps'!E$1:E$400,0)),E$2,)</f>
        <v>0</v>
      </c>
      <c r="F59" s="179">
        <f ca="1">IF(ISNUMBER(MATCH(DATEVALUE($A59),'changes1_based on steps'!F$1:F$400,0)),F$2,)</f>
        <v>0</v>
      </c>
      <c r="G59" s="179">
        <f ca="1">IF(ISNUMBER(MATCH(DATEVALUE($A59),'changes1_based on steps'!G$1:G$400,0)),G$2,)</f>
        <v>0</v>
      </c>
      <c r="H59" s="179">
        <f ca="1">IF(ISNUMBER(MATCH(DATEVALUE($A59),'changes1_based on steps'!H$1:H$400,0)),H$2,)</f>
        <v>0</v>
      </c>
      <c r="I59" s="179">
        <f ca="1">IF(ISNUMBER(MATCH(DATEVALUE($A59),'changes1_based on steps'!I$1:I$400,0)),I$2,)</f>
        <v>0</v>
      </c>
      <c r="J59" s="179">
        <f ca="1">IF(ISNUMBER(MATCH(DATEVALUE($A59),'changes1_based on steps'!J$1:J$400,0)),J$2,)</f>
        <v>0</v>
      </c>
      <c r="K59" s="179">
        <f ca="1">IF(ISNUMBER(MATCH(DATEVALUE($A59),'changes1_based on steps'!K$1:K$400,0)),K$2,)</f>
        <v>0</v>
      </c>
      <c r="L59" s="179">
        <f ca="1">IF(ISNUMBER(MATCH(DATEVALUE($A59),'changes1_based on steps'!L$1:L$400,0)),L$2,)</f>
        <v>0</v>
      </c>
      <c r="M59" s="179">
        <f ca="1">IF(ISNUMBER(MATCH(DATEVALUE($A59),'changes1_based on steps'!M$1:M$400,0)),M$2,)</f>
        <v>0</v>
      </c>
      <c r="N59" s="179">
        <f ca="1">IF(ISNUMBER(MATCH(DATEVALUE($A59),'changes1_based on steps'!N$1:N$400,0)),N$2,)</f>
        <v>0</v>
      </c>
      <c r="O59" s="179">
        <f ca="1">IF(ISNUMBER(MATCH(DATEVALUE($A59),'changes1_based on steps'!O$1:O$400,0)),O$2,)</f>
        <v>0</v>
      </c>
      <c r="P59" s="179">
        <f ca="1">IF(ISNUMBER(MATCH(DATEVALUE($A59),'changes1_based on steps'!P$1:P$400,0)),P$2,)</f>
        <v>0</v>
      </c>
      <c r="Q59" s="179">
        <f ca="1">IF(ISNUMBER(MATCH(DATEVALUE($A59),'changes1_based on steps'!Q$1:Q$400,0)),Q$2,)</f>
        <v>0</v>
      </c>
      <c r="R59" s="179">
        <f ca="1">IF(ISNUMBER(MATCH(DATEVALUE($A59),'changes1_based on steps'!R$1:R$400,0)),R$2,)</f>
        <v>0</v>
      </c>
      <c r="S59" s="179">
        <f ca="1">IF(ISNUMBER(MATCH(DATEVALUE($A59),'changes1_based on steps'!S$1:S$400,0)),S$2,)</f>
        <v>0</v>
      </c>
      <c r="T59" s="179">
        <f ca="1">IF(ISNUMBER(MATCH(DATEVALUE($A59),'changes1_based on steps'!T$1:T$400,0)),T$2,)</f>
        <v>0</v>
      </c>
      <c r="U59" s="179">
        <f ca="1">IF(ISNUMBER(MATCH(DATEVALUE($A59),'changes1_based on steps'!U$1:U$400,0)),U$2,)</f>
        <v>0</v>
      </c>
      <c r="V59" s="179"/>
      <c r="W59" s="179"/>
      <c r="X59" s="179"/>
      <c r="Y59" s="179"/>
      <c r="Z59" s="179"/>
      <c r="AA59" s="179"/>
      <c r="AB59" s="179"/>
      <c r="AC59" s="179"/>
      <c r="AD59" s="179"/>
      <c r="AE59" s="179"/>
      <c r="AF59" s="179"/>
      <c r="AG59" s="179"/>
      <c r="AH59" s="179"/>
      <c r="AI59" s="179"/>
      <c r="AJ59" s="179"/>
      <c r="AK59" s="179"/>
      <c r="AL59" s="179"/>
      <c r="AM59" s="179"/>
      <c r="AN59" s="179"/>
      <c r="AO59" s="179"/>
      <c r="AP59" s="179"/>
      <c r="AQ59" s="179"/>
      <c r="AR59" s="179"/>
      <c r="AS59" s="179"/>
      <c r="AT59" s="179"/>
      <c r="AU59" s="179"/>
      <c r="AV59" s="179"/>
      <c r="AW59" s="179"/>
      <c r="AX59" s="179"/>
      <c r="AY59" s="179"/>
      <c r="AZ59" s="179"/>
      <c r="BA59" s="179"/>
      <c r="BB59" s="179"/>
      <c r="BC59" s="179"/>
      <c r="BD59" s="179"/>
      <c r="BE59" s="179"/>
      <c r="BF59" s="179"/>
      <c r="BG59" s="179"/>
      <c r="BH59" s="179"/>
      <c r="BI59" s="179"/>
      <c r="BJ59" s="179"/>
      <c r="BK59" s="179"/>
      <c r="BL59" s="179"/>
      <c r="BM59" s="179"/>
      <c r="BN59" s="179"/>
      <c r="BO59" s="179"/>
      <c r="BP59" s="179"/>
      <c r="BQ59" s="179"/>
      <c r="BR59" s="179"/>
      <c r="BS59" s="179"/>
      <c r="BT59" s="179"/>
      <c r="BU59" s="179"/>
      <c r="BV59" s="179"/>
      <c r="BW59" s="179"/>
      <c r="BX59" s="179"/>
      <c r="BY59" s="179"/>
      <c r="BZ59" s="179"/>
      <c r="CA59" s="179"/>
      <c r="CB59" s="179"/>
      <c r="CC59" s="179"/>
      <c r="CD59" s="179"/>
      <c r="CE59" s="179"/>
      <c r="CF59" s="179"/>
      <c r="CG59" s="179"/>
      <c r="CH59" s="179"/>
      <c r="CI59" s="179"/>
      <c r="CJ59" s="179"/>
      <c r="CK59" s="179"/>
      <c r="CL59" s="179"/>
      <c r="CM59" s="179"/>
      <c r="CN59" s="179"/>
      <c r="CO59" s="179"/>
      <c r="CP59" s="179"/>
      <c r="CQ59" s="179"/>
      <c r="CR59" s="179"/>
      <c r="CS59" s="179"/>
      <c r="CT59" s="179"/>
      <c r="CU59" s="179"/>
      <c r="CV59" s="179"/>
      <c r="CW59" s="179"/>
    </row>
    <row r="60" spans="1:101" x14ac:dyDescent="0.2">
      <c r="A60" s="32" t="str">
        <f t="shared" ca="1" si="0"/>
        <v>2025-06-01</v>
      </c>
      <c r="B60" s="179">
        <f ca="1">IF(ISNUMBER(MATCH(DATEVALUE($A60),'changes1_based on steps'!B$1:B$400,0)),B$2,)</f>
        <v>0</v>
      </c>
      <c r="C60" s="179">
        <f ca="1">IF(ISNUMBER(MATCH(DATEVALUE($A60),'changes1_based on steps'!C$1:C$400,0)),C$2,)</f>
        <v>0</v>
      </c>
      <c r="D60" s="179">
        <f ca="1">IF(ISNUMBER(MATCH(DATEVALUE($A60),'changes1_based on steps'!D$1:D$400,0)),D$2,)</f>
        <v>0</v>
      </c>
      <c r="E60" s="179">
        <f ca="1">IF(ISNUMBER(MATCH(DATEVALUE($A60),'changes1_based on steps'!E$1:E$400,0)),E$2,)</f>
        <v>0</v>
      </c>
      <c r="F60" s="179">
        <f ca="1">IF(ISNUMBER(MATCH(DATEVALUE($A60),'changes1_based on steps'!F$1:F$400,0)),F$2,)</f>
        <v>0</v>
      </c>
      <c r="G60" s="179">
        <f ca="1">IF(ISNUMBER(MATCH(DATEVALUE($A60),'changes1_based on steps'!G$1:G$400,0)),G$2,)</f>
        <v>0</v>
      </c>
      <c r="H60" s="179">
        <f ca="1">IF(ISNUMBER(MATCH(DATEVALUE($A60),'changes1_based on steps'!H$1:H$400,0)),H$2,)</f>
        <v>0</v>
      </c>
      <c r="I60" s="179">
        <f ca="1">IF(ISNUMBER(MATCH(DATEVALUE($A60),'changes1_based on steps'!I$1:I$400,0)),I$2,)</f>
        <v>0</v>
      </c>
      <c r="J60" s="179">
        <f ca="1">IF(ISNUMBER(MATCH(DATEVALUE($A60),'changes1_based on steps'!J$1:J$400,0)),J$2,)</f>
        <v>0</v>
      </c>
      <c r="K60" s="179">
        <f ca="1">IF(ISNUMBER(MATCH(DATEVALUE($A60),'changes1_based on steps'!K$1:K$400,0)),K$2,)</f>
        <v>0</v>
      </c>
      <c r="L60" s="179">
        <f ca="1">IF(ISNUMBER(MATCH(DATEVALUE($A60),'changes1_based on steps'!L$1:L$400,0)),L$2,)</f>
        <v>0</v>
      </c>
      <c r="M60" s="179">
        <f ca="1">IF(ISNUMBER(MATCH(DATEVALUE($A60),'changes1_based on steps'!M$1:M$400,0)),M$2,)</f>
        <v>0</v>
      </c>
      <c r="N60" s="179">
        <f ca="1">IF(ISNUMBER(MATCH(DATEVALUE($A60),'changes1_based on steps'!N$1:N$400,0)),N$2,)</f>
        <v>0</v>
      </c>
      <c r="O60" s="179">
        <f ca="1">IF(ISNUMBER(MATCH(DATEVALUE($A60),'changes1_based on steps'!O$1:O$400,0)),O$2,)</f>
        <v>0</v>
      </c>
      <c r="P60" s="179">
        <f ca="1">IF(ISNUMBER(MATCH(DATEVALUE($A60),'changes1_based on steps'!P$1:P$400,0)),P$2,)</f>
        <v>0</v>
      </c>
      <c r="Q60" s="179">
        <f ca="1">IF(ISNUMBER(MATCH(DATEVALUE($A60),'changes1_based on steps'!Q$1:Q$400,0)),Q$2,)</f>
        <v>0</v>
      </c>
      <c r="R60" s="179">
        <f ca="1">IF(ISNUMBER(MATCH(DATEVALUE($A60),'changes1_based on steps'!R$1:R$400,0)),R$2,)</f>
        <v>0</v>
      </c>
      <c r="S60" s="179">
        <f ca="1">IF(ISNUMBER(MATCH(DATEVALUE($A60),'changes1_based on steps'!S$1:S$400,0)),S$2,)</f>
        <v>0</v>
      </c>
      <c r="T60" s="179">
        <f ca="1">IF(ISNUMBER(MATCH(DATEVALUE($A60),'changes1_based on steps'!T$1:T$400,0)),T$2,)</f>
        <v>0</v>
      </c>
      <c r="U60" s="179">
        <f ca="1">IF(ISNUMBER(MATCH(DATEVALUE($A60),'changes1_based on steps'!U$1:U$400,0)),U$2,)</f>
        <v>0</v>
      </c>
      <c r="V60" s="179"/>
      <c r="W60" s="179"/>
      <c r="X60" s="179"/>
      <c r="Y60" s="179"/>
      <c r="Z60" s="179"/>
      <c r="AA60" s="179"/>
      <c r="AB60" s="179"/>
      <c r="AC60" s="179"/>
      <c r="AD60" s="179"/>
      <c r="AE60" s="179"/>
      <c r="AF60" s="179"/>
      <c r="AG60" s="179"/>
      <c r="AH60" s="179"/>
      <c r="AI60" s="179"/>
      <c r="AJ60" s="179"/>
      <c r="AK60" s="179"/>
      <c r="AL60" s="179"/>
      <c r="AM60" s="179"/>
      <c r="AN60" s="179"/>
      <c r="AO60" s="179"/>
      <c r="AP60" s="179"/>
      <c r="AQ60" s="179"/>
      <c r="AR60" s="179"/>
      <c r="AS60" s="179"/>
      <c r="AT60" s="179"/>
      <c r="AU60" s="179"/>
      <c r="AV60" s="179"/>
      <c r="AW60" s="179"/>
      <c r="AX60" s="179"/>
      <c r="AY60" s="179"/>
      <c r="AZ60" s="179"/>
      <c r="BA60" s="179"/>
      <c r="BB60" s="179"/>
      <c r="BC60" s="179"/>
      <c r="BD60" s="179"/>
      <c r="BE60" s="179"/>
      <c r="BF60" s="179"/>
      <c r="BG60" s="179"/>
      <c r="BH60" s="179"/>
      <c r="BI60" s="179"/>
      <c r="BJ60" s="179"/>
      <c r="BK60" s="179"/>
      <c r="BL60" s="179"/>
      <c r="BM60" s="179"/>
      <c r="BN60" s="179"/>
      <c r="BO60" s="179"/>
      <c r="BP60" s="179"/>
      <c r="BQ60" s="179"/>
      <c r="BR60" s="179"/>
      <c r="BS60" s="179"/>
      <c r="BT60" s="179"/>
      <c r="BU60" s="179"/>
      <c r="BV60" s="179"/>
      <c r="BW60" s="179"/>
      <c r="BX60" s="179"/>
      <c r="BY60" s="179"/>
      <c r="BZ60" s="179"/>
      <c r="CA60" s="179"/>
      <c r="CB60" s="179"/>
      <c r="CC60" s="179"/>
      <c r="CD60" s="179"/>
      <c r="CE60" s="179"/>
      <c r="CF60" s="179"/>
      <c r="CG60" s="179"/>
      <c r="CH60" s="179"/>
      <c r="CI60" s="179"/>
      <c r="CJ60" s="179"/>
      <c r="CK60" s="179"/>
      <c r="CL60" s="179"/>
      <c r="CM60" s="179"/>
      <c r="CN60" s="179"/>
      <c r="CO60" s="179"/>
      <c r="CP60" s="179"/>
      <c r="CQ60" s="179"/>
      <c r="CR60" s="179"/>
      <c r="CS60" s="179"/>
      <c r="CT60" s="179"/>
      <c r="CU60" s="179"/>
      <c r="CV60" s="179"/>
      <c r="CW60" s="179"/>
    </row>
    <row r="61" spans="1:101" x14ac:dyDescent="0.2">
      <c r="A61" s="32" t="str">
        <f t="shared" ca="1" si="0"/>
        <v>2025-06-02</v>
      </c>
      <c r="B61" s="179">
        <f ca="1">IF(ISNUMBER(MATCH(DATEVALUE($A61),'changes1_based on steps'!B$1:B$400,0)),B$2,)</f>
        <v>0</v>
      </c>
      <c r="C61" s="179">
        <f ca="1">IF(ISNUMBER(MATCH(DATEVALUE($A61),'changes1_based on steps'!C$1:C$400,0)),C$2,)</f>
        <v>0</v>
      </c>
      <c r="D61" s="179">
        <f ca="1">IF(ISNUMBER(MATCH(DATEVALUE($A61),'changes1_based on steps'!D$1:D$400,0)),D$2,)</f>
        <v>0</v>
      </c>
      <c r="E61" s="179">
        <f ca="1">IF(ISNUMBER(MATCH(DATEVALUE($A61),'changes1_based on steps'!E$1:E$400,0)),E$2,)</f>
        <v>0</v>
      </c>
      <c r="F61" s="179">
        <f ca="1">IF(ISNUMBER(MATCH(DATEVALUE($A61),'changes1_based on steps'!F$1:F$400,0)),F$2,)</f>
        <v>0</v>
      </c>
      <c r="G61" s="179">
        <f ca="1">IF(ISNUMBER(MATCH(DATEVALUE($A61),'changes1_based on steps'!G$1:G$400,0)),G$2,)</f>
        <v>0</v>
      </c>
      <c r="H61" s="179">
        <f ca="1">IF(ISNUMBER(MATCH(DATEVALUE($A61),'changes1_based on steps'!H$1:H$400,0)),H$2,)</f>
        <v>0</v>
      </c>
      <c r="I61" s="179">
        <f ca="1">IF(ISNUMBER(MATCH(DATEVALUE($A61),'changes1_based on steps'!I$1:I$400,0)),I$2,)</f>
        <v>0</v>
      </c>
      <c r="J61" s="179">
        <f ca="1">IF(ISNUMBER(MATCH(DATEVALUE($A61),'changes1_based on steps'!J$1:J$400,0)),J$2,)</f>
        <v>0</v>
      </c>
      <c r="K61" s="179">
        <f ca="1">IF(ISNUMBER(MATCH(DATEVALUE($A61),'changes1_based on steps'!K$1:K$400,0)),K$2,)</f>
        <v>0</v>
      </c>
      <c r="L61" s="179">
        <f ca="1">IF(ISNUMBER(MATCH(DATEVALUE($A61),'changes1_based on steps'!L$1:L$400,0)),L$2,)</f>
        <v>0</v>
      </c>
      <c r="M61" s="179">
        <f ca="1">IF(ISNUMBER(MATCH(DATEVALUE($A61),'changes1_based on steps'!M$1:M$400,0)),M$2,)</f>
        <v>0</v>
      </c>
      <c r="N61" s="179">
        <f ca="1">IF(ISNUMBER(MATCH(DATEVALUE($A61),'changes1_based on steps'!N$1:N$400,0)),N$2,)</f>
        <v>0</v>
      </c>
      <c r="O61" s="179">
        <f ca="1">IF(ISNUMBER(MATCH(DATEVALUE($A61),'changes1_based on steps'!O$1:O$400,0)),O$2,)</f>
        <v>0</v>
      </c>
      <c r="P61" s="179">
        <f ca="1">IF(ISNUMBER(MATCH(DATEVALUE($A61),'changes1_based on steps'!P$1:P$400,0)),P$2,)</f>
        <v>0</v>
      </c>
      <c r="Q61" s="179">
        <f ca="1">IF(ISNUMBER(MATCH(DATEVALUE($A61),'changes1_based on steps'!Q$1:Q$400,0)),Q$2,)</f>
        <v>0</v>
      </c>
      <c r="R61" s="179">
        <f ca="1">IF(ISNUMBER(MATCH(DATEVALUE($A61),'changes1_based on steps'!R$1:R$400,0)),R$2,)</f>
        <v>0</v>
      </c>
      <c r="S61" s="179">
        <f ca="1">IF(ISNUMBER(MATCH(DATEVALUE($A61),'changes1_based on steps'!S$1:S$400,0)),S$2,)</f>
        <v>0</v>
      </c>
      <c r="T61" s="179">
        <f ca="1">IF(ISNUMBER(MATCH(DATEVALUE($A61),'changes1_based on steps'!T$1:T$400,0)),T$2,)</f>
        <v>0</v>
      </c>
      <c r="U61" s="179">
        <f ca="1">IF(ISNUMBER(MATCH(DATEVALUE($A61),'changes1_based on steps'!U$1:U$400,0)),U$2,)</f>
        <v>0</v>
      </c>
      <c r="V61" s="179"/>
      <c r="W61" s="179"/>
      <c r="X61" s="179"/>
      <c r="Y61" s="179"/>
      <c r="Z61" s="179"/>
      <c r="AA61" s="179"/>
      <c r="AB61" s="179"/>
      <c r="AC61" s="179"/>
      <c r="AD61" s="179"/>
      <c r="AE61" s="179"/>
      <c r="AF61" s="179"/>
      <c r="AG61" s="179"/>
      <c r="AH61" s="179"/>
      <c r="AI61" s="179"/>
      <c r="AJ61" s="179"/>
      <c r="AK61" s="179"/>
      <c r="AL61" s="179"/>
      <c r="AM61" s="179"/>
      <c r="AN61" s="179"/>
      <c r="AO61" s="179"/>
      <c r="AP61" s="179"/>
      <c r="AQ61" s="179"/>
      <c r="AR61" s="179"/>
      <c r="AS61" s="179"/>
      <c r="AT61" s="179"/>
      <c r="AU61" s="179"/>
      <c r="AV61" s="179"/>
      <c r="AW61" s="179"/>
      <c r="AX61" s="179"/>
      <c r="AY61" s="179"/>
      <c r="AZ61" s="179"/>
      <c r="BA61" s="179"/>
      <c r="BB61" s="179"/>
      <c r="BC61" s="179"/>
      <c r="BD61" s="179"/>
      <c r="BE61" s="179"/>
      <c r="BF61" s="179"/>
      <c r="BG61" s="179"/>
      <c r="BH61" s="179"/>
      <c r="BI61" s="179"/>
      <c r="BJ61" s="179"/>
      <c r="BK61" s="179"/>
      <c r="BL61" s="179"/>
      <c r="BM61" s="179"/>
      <c r="BN61" s="179"/>
      <c r="BO61" s="179"/>
      <c r="BP61" s="179"/>
      <c r="BQ61" s="179"/>
      <c r="BR61" s="179"/>
      <c r="BS61" s="179"/>
      <c r="BT61" s="179"/>
      <c r="BU61" s="179"/>
      <c r="BV61" s="179"/>
      <c r="BW61" s="179"/>
      <c r="BX61" s="179"/>
      <c r="BY61" s="179"/>
      <c r="BZ61" s="179"/>
      <c r="CA61" s="179"/>
      <c r="CB61" s="179"/>
      <c r="CC61" s="179"/>
      <c r="CD61" s="179"/>
      <c r="CE61" s="179"/>
      <c r="CF61" s="179"/>
      <c r="CG61" s="179"/>
      <c r="CH61" s="179"/>
      <c r="CI61" s="179"/>
      <c r="CJ61" s="179"/>
      <c r="CK61" s="179"/>
      <c r="CL61" s="179"/>
      <c r="CM61" s="179"/>
      <c r="CN61" s="179"/>
      <c r="CO61" s="179"/>
      <c r="CP61" s="179"/>
      <c r="CQ61" s="179"/>
      <c r="CR61" s="179"/>
      <c r="CS61" s="179"/>
      <c r="CT61" s="179"/>
      <c r="CU61" s="179"/>
      <c r="CV61" s="179"/>
      <c r="CW61" s="179"/>
    </row>
    <row r="62" spans="1:101" x14ac:dyDescent="0.2">
      <c r="A62" s="32" t="str">
        <f t="shared" ca="1" si="0"/>
        <v>2025-06-03</v>
      </c>
      <c r="B62" s="179">
        <f ca="1">IF(ISNUMBER(MATCH(DATEVALUE($A62),'changes1_based on steps'!B$1:B$400,0)),B$2,)</f>
        <v>0</v>
      </c>
      <c r="C62" s="179">
        <f ca="1">IF(ISNUMBER(MATCH(DATEVALUE($A62),'changes1_based on steps'!C$1:C$400,0)),C$2,)</f>
        <v>0</v>
      </c>
      <c r="D62" s="179">
        <f ca="1">IF(ISNUMBER(MATCH(DATEVALUE($A62),'changes1_based on steps'!D$1:D$400,0)),D$2,)</f>
        <v>0</v>
      </c>
      <c r="E62" s="179">
        <f ca="1">IF(ISNUMBER(MATCH(DATEVALUE($A62),'changes1_based on steps'!E$1:E$400,0)),E$2,)</f>
        <v>0</v>
      </c>
      <c r="F62" s="179">
        <f ca="1">IF(ISNUMBER(MATCH(DATEVALUE($A62),'changes1_based on steps'!F$1:F$400,0)),F$2,)</f>
        <v>0</v>
      </c>
      <c r="G62" s="179">
        <f ca="1">IF(ISNUMBER(MATCH(DATEVALUE($A62),'changes1_based on steps'!G$1:G$400,0)),G$2,)</f>
        <v>0</v>
      </c>
      <c r="H62" s="179">
        <f ca="1">IF(ISNUMBER(MATCH(DATEVALUE($A62),'changes1_based on steps'!H$1:H$400,0)),H$2,)</f>
        <v>0</v>
      </c>
      <c r="I62" s="179">
        <f ca="1">IF(ISNUMBER(MATCH(DATEVALUE($A62),'changes1_based on steps'!I$1:I$400,0)),I$2,)</f>
        <v>0</v>
      </c>
      <c r="J62" s="179">
        <f ca="1">IF(ISNUMBER(MATCH(DATEVALUE($A62),'changes1_based on steps'!J$1:J$400,0)),J$2,)</f>
        <v>0</v>
      </c>
      <c r="K62" s="179">
        <f ca="1">IF(ISNUMBER(MATCH(DATEVALUE($A62),'changes1_based on steps'!K$1:K$400,0)),K$2,)</f>
        <v>0</v>
      </c>
      <c r="L62" s="179">
        <f ca="1">IF(ISNUMBER(MATCH(DATEVALUE($A62),'changes1_based on steps'!L$1:L$400,0)),L$2,)</f>
        <v>0</v>
      </c>
      <c r="M62" s="179">
        <f ca="1">IF(ISNUMBER(MATCH(DATEVALUE($A62),'changes1_based on steps'!M$1:M$400,0)),M$2,)</f>
        <v>0</v>
      </c>
      <c r="N62" s="179">
        <f ca="1">IF(ISNUMBER(MATCH(DATEVALUE($A62),'changes1_based on steps'!N$1:N$400,0)),N$2,)</f>
        <v>0</v>
      </c>
      <c r="O62" s="179">
        <f ca="1">IF(ISNUMBER(MATCH(DATEVALUE($A62),'changes1_based on steps'!O$1:O$400,0)),O$2,)</f>
        <v>0</v>
      </c>
      <c r="P62" s="179">
        <f ca="1">IF(ISNUMBER(MATCH(DATEVALUE($A62),'changes1_based on steps'!P$1:P$400,0)),P$2,)</f>
        <v>0</v>
      </c>
      <c r="Q62" s="179">
        <f ca="1">IF(ISNUMBER(MATCH(DATEVALUE($A62),'changes1_based on steps'!Q$1:Q$400,0)),Q$2,)</f>
        <v>0</v>
      </c>
      <c r="R62" s="179">
        <f ca="1">IF(ISNUMBER(MATCH(DATEVALUE($A62),'changes1_based on steps'!R$1:R$400,0)),R$2,)</f>
        <v>0</v>
      </c>
      <c r="S62" s="179">
        <f ca="1">IF(ISNUMBER(MATCH(DATEVALUE($A62),'changes1_based on steps'!S$1:S$400,0)),S$2,)</f>
        <v>0</v>
      </c>
      <c r="T62" s="179">
        <f ca="1">IF(ISNUMBER(MATCH(DATEVALUE($A62),'changes1_based on steps'!T$1:T$400,0)),T$2,)</f>
        <v>0</v>
      </c>
      <c r="U62" s="179">
        <f ca="1">IF(ISNUMBER(MATCH(DATEVALUE($A62),'changes1_based on steps'!U$1:U$400,0)),U$2,)</f>
        <v>0</v>
      </c>
      <c r="V62" s="179"/>
      <c r="W62" s="179"/>
      <c r="X62" s="179"/>
      <c r="Y62" s="179"/>
      <c r="Z62" s="179"/>
      <c r="AA62" s="179"/>
      <c r="AB62" s="179"/>
      <c r="AC62" s="179"/>
      <c r="AD62" s="179"/>
      <c r="AE62" s="179"/>
      <c r="AF62" s="179"/>
      <c r="AG62" s="179"/>
      <c r="AH62" s="179"/>
      <c r="AI62" s="179"/>
      <c r="AJ62" s="179"/>
      <c r="AK62" s="179"/>
      <c r="AL62" s="179"/>
      <c r="AM62" s="179"/>
      <c r="AN62" s="179"/>
      <c r="AO62" s="179"/>
      <c r="AP62" s="179"/>
      <c r="AQ62" s="179"/>
      <c r="AR62" s="179"/>
      <c r="AS62" s="179"/>
      <c r="AT62" s="179"/>
      <c r="AU62" s="179"/>
      <c r="AV62" s="179"/>
      <c r="AW62" s="179"/>
      <c r="AX62" s="179"/>
      <c r="AY62" s="179"/>
      <c r="AZ62" s="179"/>
      <c r="BA62" s="179"/>
      <c r="BB62" s="179"/>
      <c r="BC62" s="179"/>
      <c r="BD62" s="179"/>
      <c r="BE62" s="179"/>
      <c r="BF62" s="179"/>
      <c r="BG62" s="179"/>
      <c r="BH62" s="179"/>
      <c r="BI62" s="179"/>
      <c r="BJ62" s="179"/>
      <c r="BK62" s="179"/>
      <c r="BL62" s="179"/>
      <c r="BM62" s="179"/>
      <c r="BN62" s="179"/>
      <c r="BO62" s="179"/>
      <c r="BP62" s="179"/>
      <c r="BQ62" s="179"/>
      <c r="BR62" s="179"/>
      <c r="BS62" s="179"/>
      <c r="BT62" s="179"/>
      <c r="BU62" s="179"/>
      <c r="BV62" s="179"/>
      <c r="BW62" s="179"/>
      <c r="BX62" s="179"/>
      <c r="BY62" s="179"/>
      <c r="BZ62" s="179"/>
      <c r="CA62" s="179"/>
      <c r="CB62" s="179"/>
      <c r="CC62" s="179"/>
      <c r="CD62" s="179"/>
      <c r="CE62" s="179"/>
      <c r="CF62" s="179"/>
      <c r="CG62" s="179"/>
      <c r="CH62" s="179"/>
      <c r="CI62" s="179"/>
      <c r="CJ62" s="179"/>
      <c r="CK62" s="179"/>
      <c r="CL62" s="179"/>
      <c r="CM62" s="179"/>
      <c r="CN62" s="179"/>
      <c r="CO62" s="179"/>
      <c r="CP62" s="179"/>
      <c r="CQ62" s="179"/>
      <c r="CR62" s="179"/>
      <c r="CS62" s="179"/>
      <c r="CT62" s="179"/>
      <c r="CU62" s="179"/>
      <c r="CV62" s="179"/>
      <c r="CW62" s="179"/>
    </row>
    <row r="63" spans="1:101" x14ac:dyDescent="0.2">
      <c r="A63" s="32" t="str">
        <f t="shared" ca="1" si="0"/>
        <v>2025-06-04</v>
      </c>
      <c r="B63" s="179">
        <f ca="1">IF(ISNUMBER(MATCH(DATEVALUE($A63),'changes1_based on steps'!B$1:B$400,0)),B$2,)</f>
        <v>0</v>
      </c>
      <c r="C63" s="179">
        <f ca="1">IF(ISNUMBER(MATCH(DATEVALUE($A63),'changes1_based on steps'!C$1:C$400,0)),C$2,)</f>
        <v>0</v>
      </c>
      <c r="D63" s="179">
        <f ca="1">IF(ISNUMBER(MATCH(DATEVALUE($A63),'changes1_based on steps'!D$1:D$400,0)),D$2,)</f>
        <v>0</v>
      </c>
      <c r="E63" s="179">
        <f ca="1">IF(ISNUMBER(MATCH(DATEVALUE($A63),'changes1_based on steps'!E$1:E$400,0)),E$2,)</f>
        <v>0</v>
      </c>
      <c r="F63" s="179">
        <f ca="1">IF(ISNUMBER(MATCH(DATEVALUE($A63),'changes1_based on steps'!F$1:F$400,0)),F$2,)</f>
        <v>0</v>
      </c>
      <c r="G63" s="179">
        <f ca="1">IF(ISNUMBER(MATCH(DATEVALUE($A63),'changes1_based on steps'!G$1:G$400,0)),G$2,)</f>
        <v>0</v>
      </c>
      <c r="H63" s="179">
        <f ca="1">IF(ISNUMBER(MATCH(DATEVALUE($A63),'changes1_based on steps'!H$1:H$400,0)),H$2,)</f>
        <v>0</v>
      </c>
      <c r="I63" s="179">
        <f ca="1">IF(ISNUMBER(MATCH(DATEVALUE($A63),'changes1_based on steps'!I$1:I$400,0)),I$2,)</f>
        <v>0</v>
      </c>
      <c r="J63" s="179">
        <f ca="1">IF(ISNUMBER(MATCH(DATEVALUE($A63),'changes1_based on steps'!J$1:J$400,0)),J$2,)</f>
        <v>0</v>
      </c>
      <c r="K63" s="179">
        <f ca="1">IF(ISNUMBER(MATCH(DATEVALUE($A63),'changes1_based on steps'!K$1:K$400,0)),K$2,)</f>
        <v>0</v>
      </c>
      <c r="L63" s="179">
        <f ca="1">IF(ISNUMBER(MATCH(DATEVALUE($A63),'changes1_based on steps'!L$1:L$400,0)),L$2,)</f>
        <v>0</v>
      </c>
      <c r="M63" s="179">
        <f ca="1">IF(ISNUMBER(MATCH(DATEVALUE($A63),'changes1_based on steps'!M$1:M$400,0)),M$2,)</f>
        <v>0</v>
      </c>
      <c r="N63" s="179">
        <f ca="1">IF(ISNUMBER(MATCH(DATEVALUE($A63),'changes1_based on steps'!N$1:N$400,0)),N$2,)</f>
        <v>0</v>
      </c>
      <c r="O63" s="179">
        <f ca="1">IF(ISNUMBER(MATCH(DATEVALUE($A63),'changes1_based on steps'!O$1:O$400,0)),O$2,)</f>
        <v>0</v>
      </c>
      <c r="P63" s="179">
        <f ca="1">IF(ISNUMBER(MATCH(DATEVALUE($A63),'changes1_based on steps'!P$1:P$400,0)),P$2,)</f>
        <v>0</v>
      </c>
      <c r="Q63" s="179">
        <f ca="1">IF(ISNUMBER(MATCH(DATEVALUE($A63),'changes1_based on steps'!Q$1:Q$400,0)),Q$2,)</f>
        <v>0</v>
      </c>
      <c r="R63" s="179">
        <f ca="1">IF(ISNUMBER(MATCH(DATEVALUE($A63),'changes1_based on steps'!R$1:R$400,0)),R$2,)</f>
        <v>0</v>
      </c>
      <c r="S63" s="179">
        <f ca="1">IF(ISNUMBER(MATCH(DATEVALUE($A63),'changes1_based on steps'!S$1:S$400,0)),S$2,)</f>
        <v>0</v>
      </c>
      <c r="T63" s="179">
        <f ca="1">IF(ISNUMBER(MATCH(DATEVALUE($A63),'changes1_based on steps'!T$1:T$400,0)),T$2,)</f>
        <v>0</v>
      </c>
      <c r="U63" s="179">
        <f ca="1">IF(ISNUMBER(MATCH(DATEVALUE($A63),'changes1_based on steps'!U$1:U$400,0)),U$2,)</f>
        <v>0</v>
      </c>
      <c r="V63" s="179"/>
      <c r="W63" s="179"/>
      <c r="X63" s="179"/>
      <c r="Y63" s="179"/>
      <c r="Z63" s="179"/>
      <c r="AA63" s="179"/>
      <c r="AB63" s="179"/>
      <c r="AC63" s="179"/>
      <c r="AD63" s="179"/>
      <c r="AE63" s="179"/>
      <c r="AF63" s="179"/>
      <c r="AG63" s="179"/>
      <c r="AH63" s="179"/>
      <c r="AI63" s="179"/>
      <c r="AJ63" s="179"/>
      <c r="AK63" s="179"/>
      <c r="AL63" s="179"/>
      <c r="AM63" s="179"/>
      <c r="AN63" s="179"/>
      <c r="AO63" s="179"/>
      <c r="AP63" s="179"/>
      <c r="AQ63" s="179"/>
      <c r="AR63" s="179"/>
      <c r="AS63" s="179"/>
      <c r="AT63" s="179"/>
      <c r="AU63" s="179"/>
      <c r="AV63" s="179"/>
      <c r="AW63" s="179"/>
      <c r="AX63" s="179"/>
      <c r="AY63" s="179"/>
      <c r="AZ63" s="179"/>
      <c r="BA63" s="179"/>
      <c r="BB63" s="179"/>
      <c r="BC63" s="179"/>
      <c r="BD63" s="179"/>
      <c r="BE63" s="179"/>
      <c r="BF63" s="179"/>
      <c r="BG63" s="179"/>
      <c r="BH63" s="179"/>
      <c r="BI63" s="179"/>
      <c r="BJ63" s="179"/>
      <c r="BK63" s="179"/>
      <c r="BL63" s="179"/>
      <c r="BM63" s="179"/>
      <c r="BN63" s="179"/>
      <c r="BO63" s="179"/>
      <c r="BP63" s="179"/>
      <c r="BQ63" s="179"/>
      <c r="BR63" s="179"/>
      <c r="BS63" s="179"/>
      <c r="BT63" s="179"/>
      <c r="BU63" s="179"/>
      <c r="BV63" s="179"/>
      <c r="BW63" s="179"/>
      <c r="BX63" s="179"/>
      <c r="BY63" s="179"/>
      <c r="BZ63" s="179"/>
      <c r="CA63" s="179"/>
      <c r="CB63" s="179"/>
      <c r="CC63" s="179"/>
      <c r="CD63" s="179"/>
      <c r="CE63" s="179"/>
      <c r="CF63" s="179"/>
      <c r="CG63" s="179"/>
      <c r="CH63" s="179"/>
      <c r="CI63" s="179"/>
      <c r="CJ63" s="179"/>
      <c r="CK63" s="179"/>
      <c r="CL63" s="179"/>
      <c r="CM63" s="179"/>
      <c r="CN63" s="179"/>
      <c r="CO63" s="179"/>
      <c r="CP63" s="179"/>
      <c r="CQ63" s="179"/>
      <c r="CR63" s="179"/>
      <c r="CS63" s="179"/>
      <c r="CT63" s="179"/>
      <c r="CU63" s="179"/>
      <c r="CV63" s="179"/>
      <c r="CW63" s="179"/>
    </row>
    <row r="64" spans="1:101" x14ac:dyDescent="0.2">
      <c r="A64" s="32" t="str">
        <f t="shared" ca="1" si="0"/>
        <v>2025-06-05</v>
      </c>
      <c r="B64" s="179">
        <f ca="1">IF(ISNUMBER(MATCH(DATEVALUE($A64),'changes1_based on steps'!B$1:B$400,0)),B$2,)</f>
        <v>0</v>
      </c>
      <c r="C64" s="179">
        <f ca="1">IF(ISNUMBER(MATCH(DATEVALUE($A64),'changes1_based on steps'!C$1:C$400,0)),C$2,)</f>
        <v>0</v>
      </c>
      <c r="D64" s="179">
        <f ca="1">IF(ISNUMBER(MATCH(DATEVALUE($A64),'changes1_based on steps'!D$1:D$400,0)),D$2,)</f>
        <v>0</v>
      </c>
      <c r="E64" s="179">
        <f ca="1">IF(ISNUMBER(MATCH(DATEVALUE($A64),'changes1_based on steps'!E$1:E$400,0)),E$2,)</f>
        <v>0</v>
      </c>
      <c r="F64" s="179">
        <f ca="1">IF(ISNUMBER(MATCH(DATEVALUE($A64),'changes1_based on steps'!F$1:F$400,0)),F$2,)</f>
        <v>0</v>
      </c>
      <c r="G64" s="179">
        <f ca="1">IF(ISNUMBER(MATCH(DATEVALUE($A64),'changes1_based on steps'!G$1:G$400,0)),G$2,)</f>
        <v>0</v>
      </c>
      <c r="H64" s="179">
        <f ca="1">IF(ISNUMBER(MATCH(DATEVALUE($A64),'changes1_based on steps'!H$1:H$400,0)),H$2,)</f>
        <v>0</v>
      </c>
      <c r="I64" s="179">
        <f ca="1">IF(ISNUMBER(MATCH(DATEVALUE($A64),'changes1_based on steps'!I$1:I$400,0)),I$2,)</f>
        <v>0</v>
      </c>
      <c r="J64" s="179">
        <f ca="1">IF(ISNUMBER(MATCH(DATEVALUE($A64),'changes1_based on steps'!J$1:J$400,0)),J$2,)</f>
        <v>0</v>
      </c>
      <c r="K64" s="179">
        <f ca="1">IF(ISNUMBER(MATCH(DATEVALUE($A64),'changes1_based on steps'!K$1:K$400,0)),K$2,)</f>
        <v>0</v>
      </c>
      <c r="L64" s="179">
        <f ca="1">IF(ISNUMBER(MATCH(DATEVALUE($A64),'changes1_based on steps'!L$1:L$400,0)),L$2,)</f>
        <v>0</v>
      </c>
      <c r="M64" s="179">
        <f ca="1">IF(ISNUMBER(MATCH(DATEVALUE($A64),'changes1_based on steps'!M$1:M$400,0)),M$2,)</f>
        <v>0</v>
      </c>
      <c r="N64" s="179">
        <f ca="1">IF(ISNUMBER(MATCH(DATEVALUE($A64),'changes1_based on steps'!N$1:N$400,0)),N$2,)</f>
        <v>0</v>
      </c>
      <c r="O64" s="179">
        <f ca="1">IF(ISNUMBER(MATCH(DATEVALUE($A64),'changes1_based on steps'!O$1:O$400,0)),O$2,)</f>
        <v>0</v>
      </c>
      <c r="P64" s="179">
        <f ca="1">IF(ISNUMBER(MATCH(DATEVALUE($A64),'changes1_based on steps'!P$1:P$400,0)),P$2,)</f>
        <v>0</v>
      </c>
      <c r="Q64" s="179">
        <f ca="1">IF(ISNUMBER(MATCH(DATEVALUE($A64),'changes1_based on steps'!Q$1:Q$400,0)),Q$2,)</f>
        <v>0</v>
      </c>
      <c r="R64" s="179">
        <f ca="1">IF(ISNUMBER(MATCH(DATEVALUE($A64),'changes1_based on steps'!R$1:R$400,0)),R$2,)</f>
        <v>0</v>
      </c>
      <c r="S64" s="179">
        <f ca="1">IF(ISNUMBER(MATCH(DATEVALUE($A64),'changes1_based on steps'!S$1:S$400,0)),S$2,)</f>
        <v>0</v>
      </c>
      <c r="T64" s="179">
        <f ca="1">IF(ISNUMBER(MATCH(DATEVALUE($A64),'changes1_based on steps'!T$1:T$400,0)),T$2,)</f>
        <v>0</v>
      </c>
      <c r="U64" s="179">
        <f ca="1">IF(ISNUMBER(MATCH(DATEVALUE($A64),'changes1_based on steps'!U$1:U$400,0)),U$2,)</f>
        <v>0</v>
      </c>
      <c r="V64" s="179"/>
      <c r="W64" s="179"/>
      <c r="X64" s="179"/>
      <c r="Y64" s="179"/>
      <c r="Z64" s="179"/>
      <c r="AA64" s="179"/>
      <c r="AB64" s="179"/>
      <c r="AC64" s="179"/>
      <c r="AD64" s="179"/>
      <c r="AE64" s="179"/>
      <c r="AF64" s="179"/>
      <c r="AG64" s="179"/>
      <c r="AH64" s="179"/>
      <c r="AI64" s="179"/>
      <c r="AJ64" s="179"/>
      <c r="AK64" s="179"/>
      <c r="AL64" s="179"/>
      <c r="AM64" s="179"/>
      <c r="AN64" s="179"/>
      <c r="AO64" s="179"/>
      <c r="AP64" s="179"/>
      <c r="AQ64" s="179"/>
      <c r="AR64" s="179"/>
      <c r="AS64" s="179"/>
      <c r="AT64" s="179"/>
      <c r="AU64" s="179"/>
      <c r="AV64" s="179"/>
      <c r="AW64" s="179"/>
      <c r="AX64" s="179"/>
      <c r="AY64" s="179"/>
      <c r="AZ64" s="179"/>
      <c r="BA64" s="179"/>
      <c r="BB64" s="179"/>
      <c r="BC64" s="179"/>
      <c r="BD64" s="179"/>
      <c r="BE64" s="179"/>
      <c r="BF64" s="179"/>
      <c r="BG64" s="179"/>
      <c r="BH64" s="179"/>
      <c r="BI64" s="179"/>
      <c r="BJ64" s="179"/>
      <c r="BK64" s="179"/>
      <c r="BL64" s="179"/>
      <c r="BM64" s="179"/>
      <c r="BN64" s="179"/>
      <c r="BO64" s="179"/>
      <c r="BP64" s="179"/>
      <c r="BQ64" s="179"/>
      <c r="BR64" s="179"/>
      <c r="BS64" s="179"/>
      <c r="BT64" s="179"/>
      <c r="BU64" s="179"/>
      <c r="BV64" s="179"/>
      <c r="BW64" s="179"/>
      <c r="BX64" s="179"/>
      <c r="BY64" s="179"/>
      <c r="BZ64" s="179"/>
      <c r="CA64" s="179"/>
      <c r="CB64" s="179"/>
      <c r="CC64" s="179"/>
      <c r="CD64" s="179"/>
      <c r="CE64" s="179"/>
      <c r="CF64" s="179"/>
      <c r="CG64" s="179"/>
      <c r="CH64" s="179"/>
      <c r="CI64" s="179"/>
      <c r="CJ64" s="179"/>
      <c r="CK64" s="179"/>
      <c r="CL64" s="179"/>
      <c r="CM64" s="179"/>
      <c r="CN64" s="179"/>
      <c r="CO64" s="179"/>
      <c r="CP64" s="179"/>
      <c r="CQ64" s="179"/>
      <c r="CR64" s="179"/>
      <c r="CS64" s="179"/>
      <c r="CT64" s="179"/>
      <c r="CU64" s="179"/>
      <c r="CV64" s="179"/>
      <c r="CW64" s="179"/>
    </row>
    <row r="65" spans="1:101" x14ac:dyDescent="0.2">
      <c r="A65" s="32" t="str">
        <f t="shared" ca="1" si="0"/>
        <v>2025-06-06</v>
      </c>
      <c r="B65" s="179">
        <f ca="1">IF(ISNUMBER(MATCH(DATEVALUE($A65),'changes1_based on steps'!B$1:B$400,0)),B$2,)</f>
        <v>0</v>
      </c>
      <c r="C65" s="179">
        <f ca="1">IF(ISNUMBER(MATCH(DATEVALUE($A65),'changes1_based on steps'!C$1:C$400,0)),C$2,)</f>
        <v>0</v>
      </c>
      <c r="D65" s="179">
        <f ca="1">IF(ISNUMBER(MATCH(DATEVALUE($A65),'changes1_based on steps'!D$1:D$400,0)),D$2,)</f>
        <v>0</v>
      </c>
      <c r="E65" s="179">
        <f ca="1">IF(ISNUMBER(MATCH(DATEVALUE($A65),'changes1_based on steps'!E$1:E$400,0)),E$2,)</f>
        <v>0</v>
      </c>
      <c r="F65" s="179">
        <f ca="1">IF(ISNUMBER(MATCH(DATEVALUE($A65),'changes1_based on steps'!F$1:F$400,0)),F$2,)</f>
        <v>0</v>
      </c>
      <c r="G65" s="179">
        <f ca="1">IF(ISNUMBER(MATCH(DATEVALUE($A65),'changes1_based on steps'!G$1:G$400,0)),G$2,)</f>
        <v>0</v>
      </c>
      <c r="H65" s="179">
        <f ca="1">IF(ISNUMBER(MATCH(DATEVALUE($A65),'changes1_based on steps'!H$1:H$400,0)),H$2,)</f>
        <v>0</v>
      </c>
      <c r="I65" s="179">
        <f ca="1">IF(ISNUMBER(MATCH(DATEVALUE($A65),'changes1_based on steps'!I$1:I$400,0)),I$2,)</f>
        <v>0</v>
      </c>
      <c r="J65" s="179">
        <f ca="1">IF(ISNUMBER(MATCH(DATEVALUE($A65),'changes1_based on steps'!J$1:J$400,0)),J$2,)</f>
        <v>0</v>
      </c>
      <c r="K65" s="179">
        <f ca="1">IF(ISNUMBER(MATCH(DATEVALUE($A65),'changes1_based on steps'!K$1:K$400,0)),K$2,)</f>
        <v>0</v>
      </c>
      <c r="L65" s="179">
        <f ca="1">IF(ISNUMBER(MATCH(DATEVALUE($A65),'changes1_based on steps'!L$1:L$400,0)),L$2,)</f>
        <v>0</v>
      </c>
      <c r="M65" s="179">
        <f ca="1">IF(ISNUMBER(MATCH(DATEVALUE($A65),'changes1_based on steps'!M$1:M$400,0)),M$2,)</f>
        <v>0</v>
      </c>
      <c r="N65" s="179">
        <f ca="1">IF(ISNUMBER(MATCH(DATEVALUE($A65),'changes1_based on steps'!N$1:N$400,0)),N$2,)</f>
        <v>0</v>
      </c>
      <c r="O65" s="179">
        <f ca="1">IF(ISNUMBER(MATCH(DATEVALUE($A65),'changes1_based on steps'!O$1:O$400,0)),O$2,)</f>
        <v>0</v>
      </c>
      <c r="P65" s="179">
        <f ca="1">IF(ISNUMBER(MATCH(DATEVALUE($A65),'changes1_based on steps'!P$1:P$400,0)),P$2,)</f>
        <v>0</v>
      </c>
      <c r="Q65" s="179">
        <f ca="1">IF(ISNUMBER(MATCH(DATEVALUE($A65),'changes1_based on steps'!Q$1:Q$400,0)),Q$2,)</f>
        <v>0</v>
      </c>
      <c r="R65" s="179">
        <f ca="1">IF(ISNUMBER(MATCH(DATEVALUE($A65),'changes1_based on steps'!R$1:R$400,0)),R$2,)</f>
        <v>0</v>
      </c>
      <c r="S65" s="179">
        <f ca="1">IF(ISNUMBER(MATCH(DATEVALUE($A65),'changes1_based on steps'!S$1:S$400,0)),S$2,)</f>
        <v>0</v>
      </c>
      <c r="T65" s="179">
        <f ca="1">IF(ISNUMBER(MATCH(DATEVALUE($A65),'changes1_based on steps'!T$1:T$400,0)),T$2,)</f>
        <v>0</v>
      </c>
      <c r="U65" s="179">
        <f ca="1">IF(ISNUMBER(MATCH(DATEVALUE($A65),'changes1_based on steps'!U$1:U$400,0)),U$2,)</f>
        <v>0</v>
      </c>
      <c r="V65" s="179"/>
      <c r="W65" s="179"/>
      <c r="X65" s="179"/>
      <c r="Y65" s="179"/>
      <c r="Z65" s="179"/>
      <c r="AA65" s="179"/>
      <c r="AB65" s="179"/>
      <c r="AC65" s="179"/>
      <c r="AD65" s="179"/>
      <c r="AE65" s="179"/>
      <c r="AF65" s="179"/>
      <c r="AG65" s="179"/>
      <c r="AH65" s="179"/>
      <c r="AI65" s="179"/>
      <c r="AJ65" s="179"/>
      <c r="AK65" s="179"/>
      <c r="AL65" s="179"/>
      <c r="AM65" s="179"/>
      <c r="AN65" s="179"/>
      <c r="AO65" s="179"/>
      <c r="AP65" s="179"/>
      <c r="AQ65" s="179"/>
      <c r="AR65" s="179"/>
      <c r="AS65" s="179"/>
      <c r="AT65" s="179"/>
      <c r="AU65" s="179"/>
      <c r="AV65" s="179"/>
      <c r="AW65" s="179"/>
      <c r="AX65" s="179"/>
      <c r="AY65" s="179"/>
      <c r="AZ65" s="179"/>
      <c r="BA65" s="179"/>
      <c r="BB65" s="179"/>
      <c r="BC65" s="179"/>
      <c r="BD65" s="179"/>
      <c r="BE65" s="179"/>
      <c r="BF65" s="179"/>
      <c r="BG65" s="179"/>
      <c r="BH65" s="179"/>
      <c r="BI65" s="179"/>
      <c r="BJ65" s="179"/>
      <c r="BK65" s="179"/>
      <c r="BL65" s="179"/>
      <c r="BM65" s="179"/>
      <c r="BN65" s="179"/>
      <c r="BO65" s="179"/>
      <c r="BP65" s="179"/>
      <c r="BQ65" s="179"/>
      <c r="BR65" s="179"/>
      <c r="BS65" s="179"/>
      <c r="BT65" s="179"/>
      <c r="BU65" s="179"/>
      <c r="BV65" s="179"/>
      <c r="BW65" s="179"/>
      <c r="BX65" s="179"/>
      <c r="BY65" s="179"/>
      <c r="BZ65" s="179"/>
      <c r="CA65" s="179"/>
      <c r="CB65" s="179"/>
      <c r="CC65" s="179"/>
      <c r="CD65" s="179"/>
      <c r="CE65" s="179"/>
      <c r="CF65" s="179"/>
      <c r="CG65" s="179"/>
      <c r="CH65" s="179"/>
      <c r="CI65" s="179"/>
      <c r="CJ65" s="179"/>
      <c r="CK65" s="179"/>
      <c r="CL65" s="179"/>
      <c r="CM65" s="179"/>
      <c r="CN65" s="179"/>
      <c r="CO65" s="179"/>
      <c r="CP65" s="179"/>
      <c r="CQ65" s="179"/>
      <c r="CR65" s="179"/>
      <c r="CS65" s="179"/>
      <c r="CT65" s="179"/>
      <c r="CU65" s="179"/>
      <c r="CV65" s="179"/>
      <c r="CW65" s="179"/>
    </row>
    <row r="66" spans="1:101" x14ac:dyDescent="0.2">
      <c r="A66" s="32" t="str">
        <f t="shared" ca="1" si="0"/>
        <v>2025-06-07</v>
      </c>
      <c r="B66" s="179">
        <f ca="1">IF(ISNUMBER(MATCH(DATEVALUE($A66),'changes1_based on steps'!B$1:B$400,0)),B$2,)</f>
        <v>0</v>
      </c>
      <c r="C66" s="179">
        <f ca="1">IF(ISNUMBER(MATCH(DATEVALUE($A66),'changes1_based on steps'!C$1:C$400,0)),C$2,)</f>
        <v>0</v>
      </c>
      <c r="D66" s="179">
        <f ca="1">IF(ISNUMBER(MATCH(DATEVALUE($A66),'changes1_based on steps'!D$1:D$400,0)),D$2,)</f>
        <v>0</v>
      </c>
      <c r="E66" s="179">
        <f ca="1">IF(ISNUMBER(MATCH(DATEVALUE($A66),'changes1_based on steps'!E$1:E$400,0)),E$2,)</f>
        <v>0</v>
      </c>
      <c r="F66" s="179">
        <f ca="1">IF(ISNUMBER(MATCH(DATEVALUE($A66),'changes1_based on steps'!F$1:F$400,0)),F$2,)</f>
        <v>0</v>
      </c>
      <c r="G66" s="179">
        <f ca="1">IF(ISNUMBER(MATCH(DATEVALUE($A66),'changes1_based on steps'!G$1:G$400,0)),G$2,)</f>
        <v>0</v>
      </c>
      <c r="H66" s="179">
        <f ca="1">IF(ISNUMBER(MATCH(DATEVALUE($A66),'changes1_based on steps'!H$1:H$400,0)),H$2,)</f>
        <v>0</v>
      </c>
      <c r="I66" s="179">
        <f ca="1">IF(ISNUMBER(MATCH(DATEVALUE($A66),'changes1_based on steps'!I$1:I$400,0)),I$2,)</f>
        <v>0</v>
      </c>
      <c r="J66" s="179">
        <f ca="1">IF(ISNUMBER(MATCH(DATEVALUE($A66),'changes1_based on steps'!J$1:J$400,0)),J$2,)</f>
        <v>0</v>
      </c>
      <c r="K66" s="179">
        <f ca="1">IF(ISNUMBER(MATCH(DATEVALUE($A66),'changes1_based on steps'!K$1:K$400,0)),K$2,)</f>
        <v>0</v>
      </c>
      <c r="L66" s="179">
        <f ca="1">IF(ISNUMBER(MATCH(DATEVALUE($A66),'changes1_based on steps'!L$1:L$400,0)),L$2,)</f>
        <v>0</v>
      </c>
      <c r="M66" s="179">
        <f ca="1">IF(ISNUMBER(MATCH(DATEVALUE($A66),'changes1_based on steps'!M$1:M$400,0)),M$2,)</f>
        <v>0</v>
      </c>
      <c r="N66" s="179">
        <f ca="1">IF(ISNUMBER(MATCH(DATEVALUE($A66),'changes1_based on steps'!N$1:N$400,0)),N$2,)</f>
        <v>0</v>
      </c>
      <c r="O66" s="179">
        <f ca="1">IF(ISNUMBER(MATCH(DATEVALUE($A66),'changes1_based on steps'!O$1:O$400,0)),O$2,)</f>
        <v>0</v>
      </c>
      <c r="P66" s="179">
        <f ca="1">IF(ISNUMBER(MATCH(DATEVALUE($A66),'changes1_based on steps'!P$1:P$400,0)),P$2,)</f>
        <v>0</v>
      </c>
      <c r="Q66" s="179">
        <f ca="1">IF(ISNUMBER(MATCH(DATEVALUE($A66),'changes1_based on steps'!Q$1:Q$400,0)),Q$2,)</f>
        <v>0</v>
      </c>
      <c r="R66" s="179">
        <f ca="1">IF(ISNUMBER(MATCH(DATEVALUE($A66),'changes1_based on steps'!R$1:R$400,0)),R$2,)</f>
        <v>0</v>
      </c>
      <c r="S66" s="179">
        <f ca="1">IF(ISNUMBER(MATCH(DATEVALUE($A66),'changes1_based on steps'!S$1:S$400,0)),S$2,)</f>
        <v>0</v>
      </c>
      <c r="T66" s="179">
        <f ca="1">IF(ISNUMBER(MATCH(DATEVALUE($A66),'changes1_based on steps'!T$1:T$400,0)),T$2,)</f>
        <v>0</v>
      </c>
      <c r="U66" s="179">
        <f ca="1">IF(ISNUMBER(MATCH(DATEVALUE($A66),'changes1_based on steps'!U$1:U$400,0)),U$2,)</f>
        <v>0</v>
      </c>
      <c r="V66" s="179"/>
      <c r="W66" s="179"/>
      <c r="X66" s="179"/>
      <c r="Y66" s="179"/>
      <c r="Z66" s="179"/>
      <c r="AA66" s="179"/>
      <c r="AB66" s="179"/>
      <c r="AC66" s="179"/>
      <c r="AD66" s="179"/>
      <c r="AE66" s="179"/>
      <c r="AF66" s="179"/>
      <c r="AG66" s="179"/>
      <c r="AH66" s="179"/>
      <c r="AI66" s="179"/>
      <c r="AJ66" s="179"/>
      <c r="AK66" s="179"/>
      <c r="AL66" s="179"/>
      <c r="AM66" s="179"/>
      <c r="AN66" s="179"/>
      <c r="AO66" s="179"/>
      <c r="AP66" s="179"/>
      <c r="AQ66" s="179"/>
      <c r="AR66" s="179"/>
      <c r="AS66" s="179"/>
      <c r="AT66" s="179"/>
      <c r="AU66" s="179"/>
      <c r="AV66" s="179"/>
      <c r="AW66" s="179"/>
      <c r="AX66" s="179"/>
      <c r="AY66" s="179"/>
      <c r="AZ66" s="179"/>
      <c r="BA66" s="179"/>
      <c r="BB66" s="179"/>
      <c r="BC66" s="179"/>
      <c r="BD66" s="179"/>
      <c r="BE66" s="179"/>
      <c r="BF66" s="179"/>
      <c r="BG66" s="179"/>
      <c r="BH66" s="179"/>
      <c r="BI66" s="179"/>
      <c r="BJ66" s="179"/>
      <c r="BK66" s="179"/>
      <c r="BL66" s="179"/>
      <c r="BM66" s="179"/>
      <c r="BN66" s="179"/>
      <c r="BO66" s="179"/>
      <c r="BP66" s="179"/>
      <c r="BQ66" s="179"/>
      <c r="BR66" s="179"/>
      <c r="BS66" s="179"/>
      <c r="BT66" s="179"/>
      <c r="BU66" s="179"/>
      <c r="BV66" s="179"/>
      <c r="BW66" s="179"/>
      <c r="BX66" s="179"/>
      <c r="BY66" s="179"/>
      <c r="BZ66" s="179"/>
      <c r="CA66" s="179"/>
      <c r="CB66" s="179"/>
      <c r="CC66" s="179"/>
      <c r="CD66" s="179"/>
      <c r="CE66" s="179"/>
      <c r="CF66" s="179"/>
      <c r="CG66" s="179"/>
      <c r="CH66" s="179"/>
      <c r="CI66" s="179"/>
      <c r="CJ66" s="179"/>
      <c r="CK66" s="179"/>
      <c r="CL66" s="179"/>
      <c r="CM66" s="179"/>
      <c r="CN66" s="179"/>
      <c r="CO66" s="179"/>
      <c r="CP66" s="179"/>
      <c r="CQ66" s="179"/>
      <c r="CR66" s="179"/>
      <c r="CS66" s="179"/>
      <c r="CT66" s="179"/>
      <c r="CU66" s="179"/>
      <c r="CV66" s="179"/>
      <c r="CW66" s="179"/>
    </row>
    <row r="67" spans="1:101" x14ac:dyDescent="0.2">
      <c r="A67" s="32" t="str">
        <f t="shared" ca="1" si="0"/>
        <v>2025-06-08</v>
      </c>
      <c r="B67" s="179">
        <f ca="1">IF(ISNUMBER(MATCH(DATEVALUE($A67),'changes1_based on steps'!B$1:B$400,0)),B$2,)</f>
        <v>0</v>
      </c>
      <c r="C67" s="179">
        <f ca="1">IF(ISNUMBER(MATCH(DATEVALUE($A67),'changes1_based on steps'!C$1:C$400,0)),C$2,)</f>
        <v>0</v>
      </c>
      <c r="D67" s="179">
        <f ca="1">IF(ISNUMBER(MATCH(DATEVALUE($A67),'changes1_based on steps'!D$1:D$400,0)),D$2,)</f>
        <v>0</v>
      </c>
      <c r="E67" s="179">
        <f ca="1">IF(ISNUMBER(MATCH(DATEVALUE($A67),'changes1_based on steps'!E$1:E$400,0)),E$2,)</f>
        <v>0</v>
      </c>
      <c r="F67" s="179">
        <f ca="1">IF(ISNUMBER(MATCH(DATEVALUE($A67),'changes1_based on steps'!F$1:F$400,0)),F$2,)</f>
        <v>0</v>
      </c>
      <c r="G67" s="179">
        <f ca="1">IF(ISNUMBER(MATCH(DATEVALUE($A67),'changes1_based on steps'!G$1:G$400,0)),G$2,)</f>
        <v>0</v>
      </c>
      <c r="H67" s="179">
        <f ca="1">IF(ISNUMBER(MATCH(DATEVALUE($A67),'changes1_based on steps'!H$1:H$400,0)),H$2,)</f>
        <v>0</v>
      </c>
      <c r="I67" s="179">
        <f ca="1">IF(ISNUMBER(MATCH(DATEVALUE($A67),'changes1_based on steps'!I$1:I$400,0)),I$2,)</f>
        <v>0</v>
      </c>
      <c r="J67" s="179">
        <f ca="1">IF(ISNUMBER(MATCH(DATEVALUE($A67),'changes1_based on steps'!J$1:J$400,0)),J$2,)</f>
        <v>0</v>
      </c>
      <c r="K67" s="179">
        <f ca="1">IF(ISNUMBER(MATCH(DATEVALUE($A67),'changes1_based on steps'!K$1:K$400,0)),K$2,)</f>
        <v>0</v>
      </c>
      <c r="L67" s="179">
        <f ca="1">IF(ISNUMBER(MATCH(DATEVALUE($A67),'changes1_based on steps'!L$1:L$400,0)),L$2,)</f>
        <v>0</v>
      </c>
      <c r="M67" s="179">
        <f ca="1">IF(ISNUMBER(MATCH(DATEVALUE($A67),'changes1_based on steps'!M$1:M$400,0)),M$2,)</f>
        <v>0</v>
      </c>
      <c r="N67" s="179">
        <f ca="1">IF(ISNUMBER(MATCH(DATEVALUE($A67),'changes1_based on steps'!N$1:N$400,0)),N$2,)</f>
        <v>0</v>
      </c>
      <c r="O67" s="179">
        <f ca="1">IF(ISNUMBER(MATCH(DATEVALUE($A67),'changes1_based on steps'!O$1:O$400,0)),O$2,)</f>
        <v>0</v>
      </c>
      <c r="P67" s="179">
        <f ca="1">IF(ISNUMBER(MATCH(DATEVALUE($A67),'changes1_based on steps'!P$1:P$400,0)),P$2,)</f>
        <v>0</v>
      </c>
      <c r="Q67" s="179">
        <f ca="1">IF(ISNUMBER(MATCH(DATEVALUE($A67),'changes1_based on steps'!Q$1:Q$400,0)),Q$2,)</f>
        <v>0</v>
      </c>
      <c r="R67" s="179">
        <f ca="1">IF(ISNUMBER(MATCH(DATEVALUE($A67),'changes1_based on steps'!R$1:R$400,0)),R$2,)</f>
        <v>0</v>
      </c>
      <c r="S67" s="179">
        <f ca="1">IF(ISNUMBER(MATCH(DATEVALUE($A67),'changes1_based on steps'!S$1:S$400,0)),S$2,)</f>
        <v>0</v>
      </c>
      <c r="T67" s="179">
        <f ca="1">IF(ISNUMBER(MATCH(DATEVALUE($A67),'changes1_based on steps'!T$1:T$400,0)),T$2,)</f>
        <v>0</v>
      </c>
      <c r="U67" s="179">
        <f ca="1">IF(ISNUMBER(MATCH(DATEVALUE($A67),'changes1_based on steps'!U$1:U$400,0)),U$2,)</f>
        <v>0</v>
      </c>
      <c r="V67" s="179"/>
      <c r="W67" s="179"/>
      <c r="X67" s="179"/>
      <c r="Y67" s="179"/>
      <c r="Z67" s="179"/>
      <c r="AA67" s="179"/>
      <c r="AB67" s="179"/>
      <c r="AC67" s="179"/>
      <c r="AD67" s="179"/>
      <c r="AE67" s="179"/>
      <c r="AF67" s="179"/>
      <c r="AG67" s="179"/>
      <c r="AH67" s="179"/>
      <c r="AI67" s="179"/>
      <c r="AJ67" s="179"/>
      <c r="AK67" s="179"/>
      <c r="AL67" s="179"/>
      <c r="AM67" s="179"/>
      <c r="AN67" s="179"/>
      <c r="AO67" s="179"/>
      <c r="AP67" s="179"/>
      <c r="AQ67" s="179"/>
      <c r="AR67" s="179"/>
      <c r="AS67" s="179"/>
      <c r="AT67" s="179"/>
      <c r="AU67" s="179"/>
      <c r="AV67" s="179"/>
      <c r="AW67" s="179"/>
      <c r="AX67" s="179"/>
      <c r="AY67" s="179"/>
      <c r="AZ67" s="179"/>
      <c r="BA67" s="179"/>
      <c r="BB67" s="179"/>
      <c r="BC67" s="179"/>
      <c r="BD67" s="179"/>
      <c r="BE67" s="179"/>
      <c r="BF67" s="179"/>
      <c r="BG67" s="179"/>
      <c r="BH67" s="179"/>
      <c r="BI67" s="179"/>
      <c r="BJ67" s="179"/>
      <c r="BK67" s="179"/>
      <c r="BL67" s="179"/>
      <c r="BM67" s="179"/>
      <c r="BN67" s="179"/>
      <c r="BO67" s="179"/>
      <c r="BP67" s="179"/>
      <c r="BQ67" s="179"/>
      <c r="BR67" s="179"/>
      <c r="BS67" s="179"/>
      <c r="BT67" s="179"/>
      <c r="BU67" s="179"/>
      <c r="BV67" s="179"/>
      <c r="BW67" s="179"/>
      <c r="BX67" s="179"/>
      <c r="BY67" s="179"/>
      <c r="BZ67" s="179"/>
      <c r="CA67" s="179"/>
      <c r="CB67" s="179"/>
      <c r="CC67" s="179"/>
      <c r="CD67" s="179"/>
      <c r="CE67" s="179"/>
      <c r="CF67" s="179"/>
      <c r="CG67" s="179"/>
      <c r="CH67" s="179"/>
      <c r="CI67" s="179"/>
      <c r="CJ67" s="179"/>
      <c r="CK67" s="179"/>
      <c r="CL67" s="179"/>
      <c r="CM67" s="179"/>
      <c r="CN67" s="179"/>
      <c r="CO67" s="179"/>
      <c r="CP67" s="179"/>
      <c r="CQ67" s="179"/>
      <c r="CR67" s="179"/>
      <c r="CS67" s="179"/>
      <c r="CT67" s="179"/>
      <c r="CU67" s="179"/>
      <c r="CV67" s="179"/>
      <c r="CW67" s="179"/>
    </row>
    <row r="68" spans="1:101" x14ac:dyDescent="0.2">
      <c r="A68" s="32" t="str">
        <f t="shared" ca="1" si="0"/>
        <v>2025-06-09</v>
      </c>
      <c r="B68" s="179">
        <f ca="1">IF(ISNUMBER(MATCH(DATEVALUE($A68),'changes1_based on steps'!B$1:B$400,0)),B$2,)</f>
        <v>0</v>
      </c>
      <c r="C68" s="179">
        <f ca="1">IF(ISNUMBER(MATCH(DATEVALUE($A68),'changes1_based on steps'!C$1:C$400,0)),C$2,)</f>
        <v>0</v>
      </c>
      <c r="D68" s="179">
        <f ca="1">IF(ISNUMBER(MATCH(DATEVALUE($A68),'changes1_based on steps'!D$1:D$400,0)),D$2,)</f>
        <v>0</v>
      </c>
      <c r="E68" s="179">
        <f ca="1">IF(ISNUMBER(MATCH(DATEVALUE($A68),'changes1_based on steps'!E$1:E$400,0)),E$2,)</f>
        <v>0</v>
      </c>
      <c r="F68" s="179">
        <f ca="1">IF(ISNUMBER(MATCH(DATEVALUE($A68),'changes1_based on steps'!F$1:F$400,0)),F$2,)</f>
        <v>0</v>
      </c>
      <c r="G68" s="179">
        <f ca="1">IF(ISNUMBER(MATCH(DATEVALUE($A68),'changes1_based on steps'!G$1:G$400,0)),G$2,)</f>
        <v>0</v>
      </c>
      <c r="H68" s="179">
        <f ca="1">IF(ISNUMBER(MATCH(DATEVALUE($A68),'changes1_based on steps'!H$1:H$400,0)),H$2,)</f>
        <v>0</v>
      </c>
      <c r="I68" s="179">
        <f ca="1">IF(ISNUMBER(MATCH(DATEVALUE($A68),'changes1_based on steps'!I$1:I$400,0)),I$2,)</f>
        <v>0</v>
      </c>
      <c r="J68" s="179">
        <f ca="1">IF(ISNUMBER(MATCH(DATEVALUE($A68),'changes1_based on steps'!J$1:J$400,0)),J$2,)</f>
        <v>0</v>
      </c>
      <c r="K68" s="179">
        <f ca="1">IF(ISNUMBER(MATCH(DATEVALUE($A68),'changes1_based on steps'!K$1:K$400,0)),K$2,)</f>
        <v>0</v>
      </c>
      <c r="L68" s="179">
        <f ca="1">IF(ISNUMBER(MATCH(DATEVALUE($A68),'changes1_based on steps'!L$1:L$400,0)),L$2,)</f>
        <v>0</v>
      </c>
      <c r="M68" s="179">
        <f ca="1">IF(ISNUMBER(MATCH(DATEVALUE($A68),'changes1_based on steps'!M$1:M$400,0)),M$2,)</f>
        <v>0</v>
      </c>
      <c r="N68" s="179">
        <f ca="1">IF(ISNUMBER(MATCH(DATEVALUE($A68),'changes1_based on steps'!N$1:N$400,0)),N$2,)</f>
        <v>0</v>
      </c>
      <c r="O68" s="179">
        <f ca="1">IF(ISNUMBER(MATCH(DATEVALUE($A68),'changes1_based on steps'!O$1:O$400,0)),O$2,)</f>
        <v>0</v>
      </c>
      <c r="P68" s="179">
        <f ca="1">IF(ISNUMBER(MATCH(DATEVALUE($A68),'changes1_based on steps'!P$1:P$400,0)),P$2,)</f>
        <v>0</v>
      </c>
      <c r="Q68" s="179">
        <f ca="1">IF(ISNUMBER(MATCH(DATEVALUE($A68),'changes1_based on steps'!Q$1:Q$400,0)),Q$2,)</f>
        <v>0</v>
      </c>
      <c r="R68" s="179">
        <f ca="1">IF(ISNUMBER(MATCH(DATEVALUE($A68),'changes1_based on steps'!R$1:R$400,0)),R$2,)</f>
        <v>0</v>
      </c>
      <c r="S68" s="179">
        <f ca="1">IF(ISNUMBER(MATCH(DATEVALUE($A68),'changes1_based on steps'!S$1:S$400,0)),S$2,)</f>
        <v>0</v>
      </c>
      <c r="T68" s="179">
        <f ca="1">IF(ISNUMBER(MATCH(DATEVALUE($A68),'changes1_based on steps'!T$1:T$400,0)),T$2,)</f>
        <v>0</v>
      </c>
      <c r="U68" s="179">
        <f ca="1">IF(ISNUMBER(MATCH(DATEVALUE($A68),'changes1_based on steps'!U$1:U$400,0)),U$2,)</f>
        <v>0</v>
      </c>
      <c r="V68" s="179"/>
      <c r="W68" s="179"/>
      <c r="X68" s="179"/>
      <c r="Y68" s="179"/>
      <c r="Z68" s="179"/>
      <c r="AA68" s="179"/>
      <c r="AB68" s="179"/>
      <c r="AC68" s="179"/>
      <c r="AD68" s="179"/>
      <c r="AE68" s="179"/>
      <c r="AF68" s="179"/>
      <c r="AG68" s="179"/>
      <c r="AH68" s="179"/>
      <c r="AI68" s="179"/>
      <c r="AJ68" s="179"/>
      <c r="AK68" s="179"/>
      <c r="AL68" s="179"/>
      <c r="AM68" s="179"/>
      <c r="AN68" s="179"/>
      <c r="AO68" s="179"/>
      <c r="AP68" s="179"/>
      <c r="AQ68" s="179"/>
      <c r="AR68" s="179"/>
      <c r="AS68" s="179"/>
      <c r="AT68" s="179"/>
      <c r="AU68" s="179"/>
      <c r="AV68" s="179"/>
      <c r="AW68" s="179"/>
      <c r="AX68" s="179"/>
      <c r="AY68" s="179"/>
      <c r="AZ68" s="179"/>
      <c r="BA68" s="179"/>
      <c r="BB68" s="179"/>
      <c r="BC68" s="179"/>
      <c r="BD68" s="179"/>
      <c r="BE68" s="179"/>
      <c r="BF68" s="179"/>
      <c r="BG68" s="179"/>
      <c r="BH68" s="179"/>
      <c r="BI68" s="179"/>
      <c r="BJ68" s="179"/>
      <c r="BK68" s="179"/>
      <c r="BL68" s="179"/>
      <c r="BM68" s="179"/>
      <c r="BN68" s="179"/>
      <c r="BO68" s="179"/>
      <c r="BP68" s="179"/>
      <c r="BQ68" s="179"/>
      <c r="BR68" s="179"/>
      <c r="BS68" s="179"/>
      <c r="BT68" s="179"/>
      <c r="BU68" s="179"/>
      <c r="BV68" s="179"/>
      <c r="BW68" s="179"/>
      <c r="BX68" s="179"/>
      <c r="BY68" s="179"/>
      <c r="BZ68" s="179"/>
      <c r="CA68" s="179"/>
      <c r="CB68" s="179"/>
      <c r="CC68" s="179"/>
      <c r="CD68" s="179"/>
      <c r="CE68" s="179"/>
      <c r="CF68" s="179"/>
      <c r="CG68" s="179"/>
      <c r="CH68" s="179"/>
      <c r="CI68" s="179"/>
      <c r="CJ68" s="179"/>
      <c r="CK68" s="179"/>
      <c r="CL68" s="179"/>
      <c r="CM68" s="179"/>
      <c r="CN68" s="179"/>
      <c r="CO68" s="179"/>
      <c r="CP68" s="179"/>
      <c r="CQ68" s="179"/>
      <c r="CR68" s="179"/>
      <c r="CS68" s="179"/>
      <c r="CT68" s="179"/>
      <c r="CU68" s="179"/>
      <c r="CV68" s="179"/>
      <c r="CW68" s="179"/>
    </row>
    <row r="69" spans="1:101" x14ac:dyDescent="0.2">
      <c r="A69" s="32" t="str">
        <f t="shared" ref="A69:A132" ca="1" si="1">TEXT(DATEVALUE(A68)+1,"yyyy-mm-dd")</f>
        <v>2025-06-10</v>
      </c>
      <c r="B69" s="179">
        <f ca="1">IF(ISNUMBER(MATCH(DATEVALUE($A69),'changes1_based on steps'!B$1:B$400,0)),B$2,)</f>
        <v>0</v>
      </c>
      <c r="C69" s="179">
        <f ca="1">IF(ISNUMBER(MATCH(DATEVALUE($A69),'changes1_based on steps'!C$1:C$400,0)),C$2,)</f>
        <v>0</v>
      </c>
      <c r="D69" s="179">
        <f ca="1">IF(ISNUMBER(MATCH(DATEVALUE($A69),'changes1_based on steps'!D$1:D$400,0)),D$2,)</f>
        <v>0</v>
      </c>
      <c r="E69" s="179">
        <f ca="1">IF(ISNUMBER(MATCH(DATEVALUE($A69),'changes1_based on steps'!E$1:E$400,0)),E$2,)</f>
        <v>0</v>
      </c>
      <c r="F69" s="179">
        <f ca="1">IF(ISNUMBER(MATCH(DATEVALUE($A69),'changes1_based on steps'!F$1:F$400,0)),F$2,)</f>
        <v>0</v>
      </c>
      <c r="G69" s="179">
        <f ca="1">IF(ISNUMBER(MATCH(DATEVALUE($A69),'changes1_based on steps'!G$1:G$400,0)),G$2,)</f>
        <v>0</v>
      </c>
      <c r="H69" s="179">
        <f ca="1">IF(ISNUMBER(MATCH(DATEVALUE($A69),'changes1_based on steps'!H$1:H$400,0)),H$2,)</f>
        <v>0</v>
      </c>
      <c r="I69" s="179">
        <f ca="1">IF(ISNUMBER(MATCH(DATEVALUE($A69),'changes1_based on steps'!I$1:I$400,0)),I$2,)</f>
        <v>0</v>
      </c>
      <c r="J69" s="179">
        <f ca="1">IF(ISNUMBER(MATCH(DATEVALUE($A69),'changes1_based on steps'!J$1:J$400,0)),J$2,)</f>
        <v>0</v>
      </c>
      <c r="K69" s="179">
        <f ca="1">IF(ISNUMBER(MATCH(DATEVALUE($A69),'changes1_based on steps'!K$1:K$400,0)),K$2,)</f>
        <v>0</v>
      </c>
      <c r="L69" s="179">
        <f ca="1">IF(ISNUMBER(MATCH(DATEVALUE($A69),'changes1_based on steps'!L$1:L$400,0)),L$2,)</f>
        <v>0</v>
      </c>
      <c r="M69" s="179">
        <f ca="1">IF(ISNUMBER(MATCH(DATEVALUE($A69),'changes1_based on steps'!M$1:M$400,0)),M$2,)</f>
        <v>0</v>
      </c>
      <c r="N69" s="179">
        <f ca="1">IF(ISNUMBER(MATCH(DATEVALUE($A69),'changes1_based on steps'!N$1:N$400,0)),N$2,)</f>
        <v>0</v>
      </c>
      <c r="O69" s="179">
        <f ca="1">IF(ISNUMBER(MATCH(DATEVALUE($A69),'changes1_based on steps'!O$1:O$400,0)),O$2,)</f>
        <v>0</v>
      </c>
      <c r="P69" s="179">
        <f ca="1">IF(ISNUMBER(MATCH(DATEVALUE($A69),'changes1_based on steps'!P$1:P$400,0)),P$2,)</f>
        <v>0</v>
      </c>
      <c r="Q69" s="179">
        <f ca="1">IF(ISNUMBER(MATCH(DATEVALUE($A69),'changes1_based on steps'!Q$1:Q$400,0)),Q$2,)</f>
        <v>0</v>
      </c>
      <c r="R69" s="179">
        <f ca="1">IF(ISNUMBER(MATCH(DATEVALUE($A69),'changes1_based on steps'!R$1:R$400,0)),R$2,)</f>
        <v>0</v>
      </c>
      <c r="S69" s="179">
        <f ca="1">IF(ISNUMBER(MATCH(DATEVALUE($A69),'changes1_based on steps'!S$1:S$400,0)),S$2,)</f>
        <v>0</v>
      </c>
      <c r="T69" s="179">
        <f ca="1">IF(ISNUMBER(MATCH(DATEVALUE($A69),'changes1_based on steps'!T$1:T$400,0)),T$2,)</f>
        <v>0</v>
      </c>
      <c r="U69" s="179">
        <f ca="1">IF(ISNUMBER(MATCH(DATEVALUE($A69),'changes1_based on steps'!U$1:U$400,0)),U$2,)</f>
        <v>0</v>
      </c>
      <c r="V69" s="179"/>
      <c r="W69" s="179"/>
      <c r="X69" s="179"/>
      <c r="Y69" s="179"/>
      <c r="Z69" s="179"/>
      <c r="AA69" s="179"/>
      <c r="AB69" s="179"/>
      <c r="AC69" s="179"/>
      <c r="AD69" s="179"/>
      <c r="AE69" s="179"/>
      <c r="AF69" s="179"/>
      <c r="AG69" s="179"/>
      <c r="AH69" s="179"/>
      <c r="AI69" s="179"/>
      <c r="AJ69" s="179"/>
      <c r="AK69" s="179"/>
      <c r="AL69" s="179"/>
      <c r="AM69" s="179"/>
      <c r="AN69" s="179"/>
      <c r="AO69" s="179"/>
      <c r="AP69" s="179"/>
      <c r="AQ69" s="179"/>
      <c r="AR69" s="179"/>
      <c r="AS69" s="179"/>
      <c r="AT69" s="179"/>
      <c r="AU69" s="179"/>
      <c r="AV69" s="179"/>
      <c r="AW69" s="179"/>
      <c r="AX69" s="179"/>
      <c r="AY69" s="179"/>
      <c r="AZ69" s="179"/>
      <c r="BA69" s="179"/>
      <c r="BB69" s="179"/>
      <c r="BC69" s="179"/>
      <c r="BD69" s="179"/>
      <c r="BE69" s="179"/>
      <c r="BF69" s="179"/>
      <c r="BG69" s="179"/>
      <c r="BH69" s="179"/>
      <c r="BI69" s="179"/>
      <c r="BJ69" s="179"/>
      <c r="BK69" s="179"/>
      <c r="BL69" s="179"/>
      <c r="BM69" s="179"/>
      <c r="BN69" s="179"/>
      <c r="BO69" s="179"/>
      <c r="BP69" s="179"/>
      <c r="BQ69" s="179"/>
      <c r="BR69" s="179"/>
      <c r="BS69" s="179"/>
      <c r="BT69" s="179"/>
      <c r="BU69" s="179"/>
      <c r="BV69" s="179"/>
      <c r="BW69" s="179"/>
      <c r="BX69" s="179"/>
      <c r="BY69" s="179"/>
      <c r="BZ69" s="179"/>
      <c r="CA69" s="179"/>
      <c r="CB69" s="179"/>
      <c r="CC69" s="179"/>
      <c r="CD69" s="179"/>
      <c r="CE69" s="179"/>
      <c r="CF69" s="179"/>
      <c r="CG69" s="179"/>
      <c r="CH69" s="179"/>
      <c r="CI69" s="179"/>
      <c r="CJ69" s="179"/>
      <c r="CK69" s="179"/>
      <c r="CL69" s="179"/>
      <c r="CM69" s="179"/>
      <c r="CN69" s="179"/>
      <c r="CO69" s="179"/>
      <c r="CP69" s="179"/>
      <c r="CQ69" s="179"/>
      <c r="CR69" s="179"/>
      <c r="CS69" s="179"/>
      <c r="CT69" s="179"/>
      <c r="CU69" s="179"/>
      <c r="CV69" s="179"/>
      <c r="CW69" s="179"/>
    </row>
    <row r="70" spans="1:101" x14ac:dyDescent="0.2">
      <c r="A70" s="32" t="str">
        <f t="shared" ca="1" si="1"/>
        <v>2025-06-11</v>
      </c>
      <c r="B70" s="179">
        <f ca="1">IF(ISNUMBER(MATCH(DATEVALUE($A70),'changes1_based on steps'!B$1:B$400,0)),B$2,)</f>
        <v>0</v>
      </c>
      <c r="C70" s="179">
        <f ca="1">IF(ISNUMBER(MATCH(DATEVALUE($A70),'changes1_based on steps'!C$1:C$400,0)),C$2,)</f>
        <v>0</v>
      </c>
      <c r="D70" s="179">
        <f ca="1">IF(ISNUMBER(MATCH(DATEVALUE($A70),'changes1_based on steps'!D$1:D$400,0)),D$2,)</f>
        <v>0</v>
      </c>
      <c r="E70" s="179">
        <f ca="1">IF(ISNUMBER(MATCH(DATEVALUE($A70),'changes1_based on steps'!E$1:E$400,0)),E$2,)</f>
        <v>0</v>
      </c>
      <c r="F70" s="179">
        <f ca="1">IF(ISNUMBER(MATCH(DATEVALUE($A70),'changes1_based on steps'!F$1:F$400,0)),F$2,)</f>
        <v>0</v>
      </c>
      <c r="G70" s="179">
        <f ca="1">IF(ISNUMBER(MATCH(DATEVALUE($A70),'changes1_based on steps'!G$1:G$400,0)),G$2,)</f>
        <v>0</v>
      </c>
      <c r="H70" s="179">
        <f ca="1">IF(ISNUMBER(MATCH(DATEVALUE($A70),'changes1_based on steps'!H$1:H$400,0)),H$2,)</f>
        <v>0</v>
      </c>
      <c r="I70" s="179">
        <f ca="1">IF(ISNUMBER(MATCH(DATEVALUE($A70),'changes1_based on steps'!I$1:I$400,0)),I$2,)</f>
        <v>0</v>
      </c>
      <c r="J70" s="179">
        <f ca="1">IF(ISNUMBER(MATCH(DATEVALUE($A70),'changes1_based on steps'!J$1:J$400,0)),J$2,)</f>
        <v>0</v>
      </c>
      <c r="K70" s="179">
        <f ca="1">IF(ISNUMBER(MATCH(DATEVALUE($A70),'changes1_based on steps'!K$1:K$400,0)),K$2,)</f>
        <v>0</v>
      </c>
      <c r="L70" s="179">
        <f ca="1">IF(ISNUMBER(MATCH(DATEVALUE($A70),'changes1_based on steps'!L$1:L$400,0)),L$2,)</f>
        <v>0</v>
      </c>
      <c r="M70" s="179">
        <f ca="1">IF(ISNUMBER(MATCH(DATEVALUE($A70),'changes1_based on steps'!M$1:M$400,0)),M$2,)</f>
        <v>0</v>
      </c>
      <c r="N70" s="179">
        <f ca="1">IF(ISNUMBER(MATCH(DATEVALUE($A70),'changes1_based on steps'!N$1:N$400,0)),N$2,)</f>
        <v>0</v>
      </c>
      <c r="O70" s="179">
        <f ca="1">IF(ISNUMBER(MATCH(DATEVALUE($A70),'changes1_based on steps'!O$1:O$400,0)),O$2,)</f>
        <v>0</v>
      </c>
      <c r="P70" s="179">
        <f ca="1">IF(ISNUMBER(MATCH(DATEVALUE($A70),'changes1_based on steps'!P$1:P$400,0)),P$2,)</f>
        <v>0</v>
      </c>
      <c r="Q70" s="179">
        <f ca="1">IF(ISNUMBER(MATCH(DATEVALUE($A70),'changes1_based on steps'!Q$1:Q$400,0)),Q$2,)</f>
        <v>0</v>
      </c>
      <c r="R70" s="179">
        <f ca="1">IF(ISNUMBER(MATCH(DATEVALUE($A70),'changes1_based on steps'!R$1:R$400,0)),R$2,)</f>
        <v>0</v>
      </c>
      <c r="S70" s="179">
        <f ca="1">IF(ISNUMBER(MATCH(DATEVALUE($A70),'changes1_based on steps'!S$1:S$400,0)),S$2,)</f>
        <v>0</v>
      </c>
      <c r="T70" s="179">
        <f ca="1">IF(ISNUMBER(MATCH(DATEVALUE($A70),'changes1_based on steps'!T$1:T$400,0)),T$2,)</f>
        <v>0</v>
      </c>
      <c r="U70" s="179">
        <f ca="1">IF(ISNUMBER(MATCH(DATEVALUE($A70),'changes1_based on steps'!U$1:U$400,0)),U$2,)</f>
        <v>0</v>
      </c>
      <c r="V70" s="179"/>
      <c r="W70" s="179"/>
      <c r="X70" s="179"/>
      <c r="Y70" s="179"/>
      <c r="Z70" s="179"/>
      <c r="AA70" s="179"/>
      <c r="AB70" s="179"/>
      <c r="AC70" s="179"/>
      <c r="AD70" s="179"/>
      <c r="AE70" s="179"/>
      <c r="AF70" s="179"/>
      <c r="AG70" s="179"/>
      <c r="AH70" s="179"/>
      <c r="AI70" s="179"/>
      <c r="AJ70" s="179"/>
      <c r="AK70" s="179"/>
      <c r="AL70" s="179"/>
      <c r="AM70" s="179"/>
      <c r="AN70" s="179"/>
      <c r="AO70" s="179"/>
      <c r="AP70" s="179"/>
      <c r="AQ70" s="179"/>
      <c r="AR70" s="179"/>
      <c r="AS70" s="179"/>
      <c r="AT70" s="179"/>
      <c r="AU70" s="179"/>
      <c r="AV70" s="179"/>
      <c r="AW70" s="179"/>
      <c r="AX70" s="179"/>
      <c r="AY70" s="179"/>
      <c r="AZ70" s="179"/>
      <c r="BA70" s="179"/>
      <c r="BB70" s="179"/>
      <c r="BC70" s="179"/>
      <c r="BD70" s="179"/>
      <c r="BE70" s="179"/>
      <c r="BF70" s="179"/>
      <c r="BG70" s="179"/>
      <c r="BH70" s="179"/>
      <c r="BI70" s="179"/>
      <c r="BJ70" s="179"/>
      <c r="BK70" s="179"/>
      <c r="BL70" s="179"/>
      <c r="BM70" s="179"/>
      <c r="BN70" s="179"/>
      <c r="BO70" s="179"/>
      <c r="BP70" s="179"/>
      <c r="BQ70" s="179"/>
      <c r="BR70" s="179"/>
      <c r="BS70" s="179"/>
      <c r="BT70" s="179"/>
      <c r="BU70" s="179"/>
      <c r="BV70" s="179"/>
      <c r="BW70" s="179"/>
      <c r="BX70" s="179"/>
      <c r="BY70" s="179"/>
      <c r="BZ70" s="179"/>
      <c r="CA70" s="179"/>
      <c r="CB70" s="179"/>
      <c r="CC70" s="179"/>
      <c r="CD70" s="179"/>
      <c r="CE70" s="179"/>
      <c r="CF70" s="179"/>
      <c r="CG70" s="179"/>
      <c r="CH70" s="179"/>
      <c r="CI70" s="179"/>
      <c r="CJ70" s="179"/>
      <c r="CK70" s="179"/>
      <c r="CL70" s="179"/>
      <c r="CM70" s="179"/>
      <c r="CN70" s="179"/>
      <c r="CO70" s="179"/>
      <c r="CP70" s="179"/>
      <c r="CQ70" s="179"/>
      <c r="CR70" s="179"/>
      <c r="CS70" s="179"/>
      <c r="CT70" s="179"/>
      <c r="CU70" s="179"/>
      <c r="CV70" s="179"/>
      <c r="CW70" s="179"/>
    </row>
    <row r="71" spans="1:101" x14ac:dyDescent="0.2">
      <c r="A71" s="32" t="str">
        <f t="shared" ca="1" si="1"/>
        <v>2025-06-12</v>
      </c>
      <c r="B71" s="179">
        <f ca="1">IF(ISNUMBER(MATCH(DATEVALUE($A71),'changes1_based on steps'!B$1:B$400,0)),B$2,)</f>
        <v>0</v>
      </c>
      <c r="C71" s="179">
        <f ca="1">IF(ISNUMBER(MATCH(DATEVALUE($A71),'changes1_based on steps'!C$1:C$400,0)),C$2,)</f>
        <v>0</v>
      </c>
      <c r="D71" s="179">
        <f ca="1">IF(ISNUMBER(MATCH(DATEVALUE($A71),'changes1_based on steps'!D$1:D$400,0)),D$2,)</f>
        <v>0</v>
      </c>
      <c r="E71" s="179">
        <f ca="1">IF(ISNUMBER(MATCH(DATEVALUE($A71),'changes1_based on steps'!E$1:E$400,0)),E$2,)</f>
        <v>0</v>
      </c>
      <c r="F71" s="179">
        <f ca="1">IF(ISNUMBER(MATCH(DATEVALUE($A71),'changes1_based on steps'!F$1:F$400,0)),F$2,)</f>
        <v>0</v>
      </c>
      <c r="G71" s="179">
        <f ca="1">IF(ISNUMBER(MATCH(DATEVALUE($A71),'changes1_based on steps'!G$1:G$400,0)),G$2,)</f>
        <v>0</v>
      </c>
      <c r="H71" s="179">
        <f ca="1">IF(ISNUMBER(MATCH(DATEVALUE($A71),'changes1_based on steps'!H$1:H$400,0)),H$2,)</f>
        <v>0</v>
      </c>
      <c r="I71" s="179">
        <f ca="1">IF(ISNUMBER(MATCH(DATEVALUE($A71),'changes1_based on steps'!I$1:I$400,0)),I$2,)</f>
        <v>0</v>
      </c>
      <c r="J71" s="179">
        <f ca="1">IF(ISNUMBER(MATCH(DATEVALUE($A71),'changes1_based on steps'!J$1:J$400,0)),J$2,)</f>
        <v>0</v>
      </c>
      <c r="K71" s="179">
        <f ca="1">IF(ISNUMBER(MATCH(DATEVALUE($A71),'changes1_based on steps'!K$1:K$400,0)),K$2,)</f>
        <v>0</v>
      </c>
      <c r="L71" s="179">
        <f ca="1">IF(ISNUMBER(MATCH(DATEVALUE($A71),'changes1_based on steps'!L$1:L$400,0)),L$2,)</f>
        <v>0</v>
      </c>
      <c r="M71" s="179">
        <f ca="1">IF(ISNUMBER(MATCH(DATEVALUE($A71),'changes1_based on steps'!M$1:M$400,0)),M$2,)</f>
        <v>0</v>
      </c>
      <c r="N71" s="179">
        <f ca="1">IF(ISNUMBER(MATCH(DATEVALUE($A71),'changes1_based on steps'!N$1:N$400,0)),N$2,)</f>
        <v>0</v>
      </c>
      <c r="O71" s="179">
        <f ca="1">IF(ISNUMBER(MATCH(DATEVALUE($A71),'changes1_based on steps'!O$1:O$400,0)),O$2,)</f>
        <v>0</v>
      </c>
      <c r="P71" s="179">
        <f ca="1">IF(ISNUMBER(MATCH(DATEVALUE($A71),'changes1_based on steps'!P$1:P$400,0)),P$2,)</f>
        <v>0</v>
      </c>
      <c r="Q71" s="179">
        <f ca="1">IF(ISNUMBER(MATCH(DATEVALUE($A71),'changes1_based on steps'!Q$1:Q$400,0)),Q$2,)</f>
        <v>0</v>
      </c>
      <c r="R71" s="179">
        <f ca="1">IF(ISNUMBER(MATCH(DATEVALUE($A71),'changes1_based on steps'!R$1:R$400,0)),R$2,)</f>
        <v>0</v>
      </c>
      <c r="S71" s="179">
        <f ca="1">IF(ISNUMBER(MATCH(DATEVALUE($A71),'changes1_based on steps'!S$1:S$400,0)),S$2,)</f>
        <v>0</v>
      </c>
      <c r="T71" s="179">
        <f ca="1">IF(ISNUMBER(MATCH(DATEVALUE($A71),'changes1_based on steps'!T$1:T$400,0)),T$2,)</f>
        <v>0</v>
      </c>
      <c r="U71" s="179">
        <f ca="1">IF(ISNUMBER(MATCH(DATEVALUE($A71),'changes1_based on steps'!U$1:U$400,0)),U$2,)</f>
        <v>0</v>
      </c>
      <c r="V71" s="179"/>
      <c r="W71" s="179"/>
      <c r="X71" s="179"/>
      <c r="Y71" s="179"/>
      <c r="Z71" s="179"/>
      <c r="AA71" s="179"/>
      <c r="AB71" s="179"/>
      <c r="AC71" s="179"/>
      <c r="AD71" s="179"/>
      <c r="AE71" s="179"/>
      <c r="AF71" s="179"/>
      <c r="AG71" s="179"/>
      <c r="AH71" s="179"/>
      <c r="AI71" s="179"/>
      <c r="AJ71" s="179"/>
      <c r="AK71" s="179"/>
      <c r="AL71" s="179"/>
      <c r="AM71" s="179"/>
      <c r="AN71" s="179"/>
      <c r="AO71" s="179"/>
      <c r="AP71" s="179"/>
      <c r="AQ71" s="179"/>
      <c r="AR71" s="179"/>
      <c r="AS71" s="179"/>
      <c r="AT71" s="179"/>
      <c r="AU71" s="179"/>
      <c r="AV71" s="179"/>
      <c r="AW71" s="179"/>
      <c r="AX71" s="179"/>
      <c r="AY71" s="179"/>
      <c r="AZ71" s="179"/>
      <c r="BA71" s="179"/>
      <c r="BB71" s="179"/>
      <c r="BC71" s="179"/>
      <c r="BD71" s="179"/>
      <c r="BE71" s="179"/>
      <c r="BF71" s="179"/>
      <c r="BG71" s="179"/>
      <c r="BH71" s="179"/>
      <c r="BI71" s="179"/>
      <c r="BJ71" s="179"/>
      <c r="BK71" s="179"/>
      <c r="BL71" s="179"/>
      <c r="BM71" s="179"/>
      <c r="BN71" s="179"/>
      <c r="BO71" s="179"/>
      <c r="BP71" s="179"/>
      <c r="BQ71" s="179"/>
      <c r="BR71" s="179"/>
      <c r="BS71" s="179"/>
      <c r="BT71" s="179"/>
      <c r="BU71" s="179"/>
      <c r="BV71" s="179"/>
      <c r="BW71" s="179"/>
      <c r="BX71" s="179"/>
      <c r="BY71" s="179"/>
      <c r="BZ71" s="179"/>
      <c r="CA71" s="179"/>
      <c r="CB71" s="179"/>
      <c r="CC71" s="179"/>
      <c r="CD71" s="179"/>
      <c r="CE71" s="179"/>
      <c r="CF71" s="179"/>
      <c r="CG71" s="179"/>
      <c r="CH71" s="179"/>
      <c r="CI71" s="179"/>
      <c r="CJ71" s="179"/>
      <c r="CK71" s="179"/>
      <c r="CL71" s="179"/>
      <c r="CM71" s="179"/>
      <c r="CN71" s="179"/>
      <c r="CO71" s="179"/>
      <c r="CP71" s="179"/>
      <c r="CQ71" s="179"/>
      <c r="CR71" s="179"/>
      <c r="CS71" s="179"/>
      <c r="CT71" s="179"/>
      <c r="CU71" s="179"/>
      <c r="CV71" s="179"/>
      <c r="CW71" s="179"/>
    </row>
    <row r="72" spans="1:101" x14ac:dyDescent="0.2">
      <c r="A72" s="32" t="str">
        <f t="shared" ca="1" si="1"/>
        <v>2025-06-13</v>
      </c>
      <c r="B72" s="179">
        <f ca="1">IF(ISNUMBER(MATCH(DATEVALUE($A72),'changes1_based on steps'!B$1:B$400,0)),B$2,)</f>
        <v>0</v>
      </c>
      <c r="C72" s="179">
        <f ca="1">IF(ISNUMBER(MATCH(DATEVALUE($A72),'changes1_based on steps'!C$1:C$400,0)),C$2,)</f>
        <v>0</v>
      </c>
      <c r="D72" s="179">
        <f ca="1">IF(ISNUMBER(MATCH(DATEVALUE($A72),'changes1_based on steps'!D$1:D$400,0)),D$2,)</f>
        <v>0</v>
      </c>
      <c r="E72" s="179">
        <f ca="1">IF(ISNUMBER(MATCH(DATEVALUE($A72),'changes1_based on steps'!E$1:E$400,0)),E$2,)</f>
        <v>0</v>
      </c>
      <c r="F72" s="179">
        <f ca="1">IF(ISNUMBER(MATCH(DATEVALUE($A72),'changes1_based on steps'!F$1:F$400,0)),F$2,)</f>
        <v>0</v>
      </c>
      <c r="G72" s="179">
        <f ca="1">IF(ISNUMBER(MATCH(DATEVALUE($A72),'changes1_based on steps'!G$1:G$400,0)),G$2,)</f>
        <v>0</v>
      </c>
      <c r="H72" s="179">
        <f ca="1">IF(ISNUMBER(MATCH(DATEVALUE($A72),'changes1_based on steps'!H$1:H$400,0)),H$2,)</f>
        <v>0</v>
      </c>
      <c r="I72" s="179">
        <f ca="1">IF(ISNUMBER(MATCH(DATEVALUE($A72),'changes1_based on steps'!I$1:I$400,0)),I$2,)</f>
        <v>0</v>
      </c>
      <c r="J72" s="179">
        <f ca="1">IF(ISNUMBER(MATCH(DATEVALUE($A72),'changes1_based on steps'!J$1:J$400,0)),J$2,)</f>
        <v>0</v>
      </c>
      <c r="K72" s="179">
        <f ca="1">IF(ISNUMBER(MATCH(DATEVALUE($A72),'changes1_based on steps'!K$1:K$400,0)),K$2,)</f>
        <v>0</v>
      </c>
      <c r="L72" s="179">
        <f ca="1">IF(ISNUMBER(MATCH(DATEVALUE($A72),'changes1_based on steps'!L$1:L$400,0)),L$2,)</f>
        <v>0</v>
      </c>
      <c r="M72" s="179">
        <f ca="1">IF(ISNUMBER(MATCH(DATEVALUE($A72),'changes1_based on steps'!M$1:M$400,0)),M$2,)</f>
        <v>0</v>
      </c>
      <c r="N72" s="179">
        <f ca="1">IF(ISNUMBER(MATCH(DATEVALUE($A72),'changes1_based on steps'!N$1:N$400,0)),N$2,)</f>
        <v>0</v>
      </c>
      <c r="O72" s="179">
        <f ca="1">IF(ISNUMBER(MATCH(DATEVALUE($A72),'changes1_based on steps'!O$1:O$400,0)),O$2,)</f>
        <v>0</v>
      </c>
      <c r="P72" s="179">
        <f ca="1">IF(ISNUMBER(MATCH(DATEVALUE($A72),'changes1_based on steps'!P$1:P$400,0)),P$2,)</f>
        <v>0</v>
      </c>
      <c r="Q72" s="179">
        <f ca="1">IF(ISNUMBER(MATCH(DATEVALUE($A72),'changes1_based on steps'!Q$1:Q$400,0)),Q$2,)</f>
        <v>0</v>
      </c>
      <c r="R72" s="179">
        <f ca="1">IF(ISNUMBER(MATCH(DATEVALUE($A72),'changes1_based on steps'!R$1:R$400,0)),R$2,)</f>
        <v>0</v>
      </c>
      <c r="S72" s="179">
        <f ca="1">IF(ISNUMBER(MATCH(DATEVALUE($A72),'changes1_based on steps'!S$1:S$400,0)),S$2,)</f>
        <v>0</v>
      </c>
      <c r="T72" s="179">
        <f ca="1">IF(ISNUMBER(MATCH(DATEVALUE($A72),'changes1_based on steps'!T$1:T$400,0)),T$2,)</f>
        <v>0</v>
      </c>
      <c r="U72" s="179">
        <f ca="1">IF(ISNUMBER(MATCH(DATEVALUE($A72),'changes1_based on steps'!U$1:U$400,0)),U$2,)</f>
        <v>0</v>
      </c>
      <c r="V72" s="179"/>
      <c r="W72" s="179"/>
      <c r="X72" s="179"/>
      <c r="Y72" s="179"/>
      <c r="Z72" s="179"/>
      <c r="AA72" s="179"/>
      <c r="AB72" s="179"/>
      <c r="AC72" s="179"/>
      <c r="AD72" s="179"/>
      <c r="AE72" s="179"/>
      <c r="AF72" s="179"/>
      <c r="AG72" s="179"/>
      <c r="AH72" s="179"/>
      <c r="AI72" s="179"/>
      <c r="AJ72" s="179"/>
      <c r="AK72" s="179"/>
      <c r="AL72" s="179"/>
      <c r="AM72" s="179"/>
      <c r="AN72" s="179"/>
      <c r="AO72" s="179"/>
      <c r="AP72" s="179"/>
      <c r="AQ72" s="179"/>
      <c r="AR72" s="179"/>
      <c r="AS72" s="179"/>
      <c r="AT72" s="179"/>
      <c r="AU72" s="179"/>
      <c r="AV72" s="179"/>
      <c r="AW72" s="179"/>
      <c r="AX72" s="179"/>
      <c r="AY72" s="179"/>
      <c r="AZ72" s="179"/>
      <c r="BA72" s="179"/>
      <c r="BB72" s="179"/>
      <c r="BC72" s="179"/>
      <c r="BD72" s="179"/>
      <c r="BE72" s="179"/>
      <c r="BF72" s="179"/>
      <c r="BG72" s="179"/>
      <c r="BH72" s="179"/>
      <c r="BI72" s="179"/>
      <c r="BJ72" s="179"/>
      <c r="BK72" s="179"/>
      <c r="BL72" s="179"/>
      <c r="BM72" s="179"/>
      <c r="BN72" s="179"/>
      <c r="BO72" s="179"/>
      <c r="BP72" s="179"/>
      <c r="BQ72" s="179"/>
      <c r="BR72" s="179"/>
      <c r="BS72" s="179"/>
      <c r="BT72" s="179"/>
      <c r="BU72" s="179"/>
      <c r="BV72" s="179"/>
      <c r="BW72" s="179"/>
      <c r="BX72" s="179"/>
      <c r="BY72" s="179"/>
      <c r="BZ72" s="179"/>
      <c r="CA72" s="179"/>
      <c r="CB72" s="179"/>
      <c r="CC72" s="179"/>
      <c r="CD72" s="179"/>
      <c r="CE72" s="179"/>
      <c r="CF72" s="179"/>
      <c r="CG72" s="179"/>
      <c r="CH72" s="179"/>
      <c r="CI72" s="179"/>
      <c r="CJ72" s="179"/>
      <c r="CK72" s="179"/>
      <c r="CL72" s="179"/>
      <c r="CM72" s="179"/>
      <c r="CN72" s="179"/>
      <c r="CO72" s="179"/>
      <c r="CP72" s="179"/>
      <c r="CQ72" s="179"/>
      <c r="CR72" s="179"/>
      <c r="CS72" s="179"/>
      <c r="CT72" s="179"/>
      <c r="CU72" s="179"/>
      <c r="CV72" s="179"/>
      <c r="CW72" s="179"/>
    </row>
    <row r="73" spans="1:101" x14ac:dyDescent="0.2">
      <c r="A73" s="32" t="str">
        <f t="shared" ca="1" si="1"/>
        <v>2025-06-14</v>
      </c>
      <c r="B73" s="179">
        <f ca="1">IF(ISNUMBER(MATCH(DATEVALUE($A73),'changes1_based on steps'!B$1:B$400,0)),B$2,)</f>
        <v>0</v>
      </c>
      <c r="C73" s="179">
        <f ca="1">IF(ISNUMBER(MATCH(DATEVALUE($A73),'changes1_based on steps'!C$1:C$400,0)),C$2,)</f>
        <v>0</v>
      </c>
      <c r="D73" s="179">
        <f ca="1">IF(ISNUMBER(MATCH(DATEVALUE($A73),'changes1_based on steps'!D$1:D$400,0)),D$2,)</f>
        <v>0</v>
      </c>
      <c r="E73" s="179">
        <f ca="1">IF(ISNUMBER(MATCH(DATEVALUE($A73),'changes1_based on steps'!E$1:E$400,0)),E$2,)</f>
        <v>0</v>
      </c>
      <c r="F73" s="179">
        <f ca="1">IF(ISNUMBER(MATCH(DATEVALUE($A73),'changes1_based on steps'!F$1:F$400,0)),F$2,)</f>
        <v>0</v>
      </c>
      <c r="G73" s="179">
        <f ca="1">IF(ISNUMBER(MATCH(DATEVALUE($A73),'changes1_based on steps'!G$1:G$400,0)),G$2,)</f>
        <v>0</v>
      </c>
      <c r="H73" s="179">
        <f ca="1">IF(ISNUMBER(MATCH(DATEVALUE($A73),'changes1_based on steps'!H$1:H$400,0)),H$2,)</f>
        <v>0</v>
      </c>
      <c r="I73" s="179">
        <f ca="1">IF(ISNUMBER(MATCH(DATEVALUE($A73),'changes1_based on steps'!I$1:I$400,0)),I$2,)</f>
        <v>0</v>
      </c>
      <c r="J73" s="179">
        <f ca="1">IF(ISNUMBER(MATCH(DATEVALUE($A73),'changes1_based on steps'!J$1:J$400,0)),J$2,)</f>
        <v>0</v>
      </c>
      <c r="K73" s="179">
        <f ca="1">IF(ISNUMBER(MATCH(DATEVALUE($A73),'changes1_based on steps'!K$1:K$400,0)),K$2,)</f>
        <v>0</v>
      </c>
      <c r="L73" s="179">
        <f ca="1">IF(ISNUMBER(MATCH(DATEVALUE($A73),'changes1_based on steps'!L$1:L$400,0)),L$2,)</f>
        <v>0</v>
      </c>
      <c r="M73" s="179">
        <f ca="1">IF(ISNUMBER(MATCH(DATEVALUE($A73),'changes1_based on steps'!M$1:M$400,0)),M$2,)</f>
        <v>0</v>
      </c>
      <c r="N73" s="179">
        <f ca="1">IF(ISNUMBER(MATCH(DATEVALUE($A73),'changes1_based on steps'!N$1:N$400,0)),N$2,)</f>
        <v>0</v>
      </c>
      <c r="O73" s="179">
        <f ca="1">IF(ISNUMBER(MATCH(DATEVALUE($A73),'changes1_based on steps'!O$1:O$400,0)),O$2,)</f>
        <v>0</v>
      </c>
      <c r="P73" s="179">
        <f ca="1">IF(ISNUMBER(MATCH(DATEVALUE($A73),'changes1_based on steps'!P$1:P$400,0)),P$2,)</f>
        <v>0</v>
      </c>
      <c r="Q73" s="179">
        <f ca="1">IF(ISNUMBER(MATCH(DATEVALUE($A73),'changes1_based on steps'!Q$1:Q$400,0)),Q$2,)</f>
        <v>0</v>
      </c>
      <c r="R73" s="179">
        <f ca="1">IF(ISNUMBER(MATCH(DATEVALUE($A73),'changes1_based on steps'!R$1:R$400,0)),R$2,)</f>
        <v>0</v>
      </c>
      <c r="S73" s="179">
        <f ca="1">IF(ISNUMBER(MATCH(DATEVALUE($A73),'changes1_based on steps'!S$1:S$400,0)),S$2,)</f>
        <v>0</v>
      </c>
      <c r="T73" s="179">
        <f ca="1">IF(ISNUMBER(MATCH(DATEVALUE($A73),'changes1_based on steps'!T$1:T$400,0)),T$2,)</f>
        <v>0</v>
      </c>
      <c r="U73" s="179">
        <f ca="1">IF(ISNUMBER(MATCH(DATEVALUE($A73),'changes1_based on steps'!U$1:U$400,0)),U$2,)</f>
        <v>0</v>
      </c>
      <c r="V73" s="179"/>
      <c r="W73" s="179"/>
      <c r="X73" s="179"/>
      <c r="Y73" s="179"/>
      <c r="Z73" s="179"/>
      <c r="AA73" s="179"/>
      <c r="AB73" s="179"/>
      <c r="AC73" s="179"/>
      <c r="AD73" s="179"/>
      <c r="AE73" s="179"/>
      <c r="AF73" s="179"/>
      <c r="AG73" s="179"/>
      <c r="AH73" s="179"/>
      <c r="AI73" s="179"/>
      <c r="AJ73" s="179"/>
      <c r="AK73" s="179"/>
      <c r="AL73" s="179"/>
      <c r="AM73" s="179"/>
      <c r="AN73" s="179"/>
      <c r="AO73" s="179"/>
      <c r="AP73" s="179"/>
      <c r="AQ73" s="179"/>
      <c r="AR73" s="179"/>
      <c r="AS73" s="179"/>
      <c r="AT73" s="179"/>
      <c r="AU73" s="179"/>
      <c r="AV73" s="179"/>
      <c r="AW73" s="179"/>
      <c r="AX73" s="179"/>
      <c r="AY73" s="179"/>
      <c r="AZ73" s="179"/>
      <c r="BA73" s="179"/>
      <c r="BB73" s="179"/>
      <c r="BC73" s="179"/>
      <c r="BD73" s="179"/>
      <c r="BE73" s="179"/>
      <c r="BF73" s="179"/>
      <c r="BG73" s="179"/>
      <c r="BH73" s="179"/>
      <c r="BI73" s="179"/>
      <c r="BJ73" s="179"/>
      <c r="BK73" s="179"/>
      <c r="BL73" s="179"/>
      <c r="BM73" s="179"/>
      <c r="BN73" s="179"/>
      <c r="BO73" s="179"/>
      <c r="BP73" s="179"/>
      <c r="BQ73" s="179"/>
      <c r="BR73" s="179"/>
      <c r="BS73" s="179"/>
      <c r="BT73" s="179"/>
      <c r="BU73" s="179"/>
      <c r="BV73" s="179"/>
      <c r="BW73" s="179"/>
      <c r="BX73" s="179"/>
      <c r="BY73" s="179"/>
      <c r="BZ73" s="179"/>
      <c r="CA73" s="179"/>
      <c r="CB73" s="179"/>
      <c r="CC73" s="179"/>
      <c r="CD73" s="179"/>
      <c r="CE73" s="179"/>
      <c r="CF73" s="179"/>
      <c r="CG73" s="179"/>
      <c r="CH73" s="179"/>
      <c r="CI73" s="179"/>
      <c r="CJ73" s="179"/>
      <c r="CK73" s="179"/>
      <c r="CL73" s="179"/>
      <c r="CM73" s="179"/>
      <c r="CN73" s="179"/>
      <c r="CO73" s="179"/>
      <c r="CP73" s="179"/>
      <c r="CQ73" s="179"/>
      <c r="CR73" s="179"/>
      <c r="CS73" s="179"/>
      <c r="CT73" s="179"/>
      <c r="CU73" s="179"/>
      <c r="CV73" s="179"/>
      <c r="CW73" s="179"/>
    </row>
    <row r="74" spans="1:101" x14ac:dyDescent="0.2">
      <c r="A74" s="32" t="str">
        <f t="shared" ca="1" si="1"/>
        <v>2025-06-15</v>
      </c>
      <c r="B74" s="179">
        <f ca="1">IF(ISNUMBER(MATCH(DATEVALUE($A74),'changes1_based on steps'!B$1:B$400,0)),B$2,)</f>
        <v>0</v>
      </c>
      <c r="C74" s="179">
        <f ca="1">IF(ISNUMBER(MATCH(DATEVALUE($A74),'changes1_based on steps'!C$1:C$400,0)),C$2,)</f>
        <v>0</v>
      </c>
      <c r="D74" s="179">
        <f ca="1">IF(ISNUMBER(MATCH(DATEVALUE($A74),'changes1_based on steps'!D$1:D$400,0)),D$2,)</f>
        <v>0</v>
      </c>
      <c r="E74" s="179">
        <f ca="1">IF(ISNUMBER(MATCH(DATEVALUE($A74),'changes1_based on steps'!E$1:E$400,0)),E$2,)</f>
        <v>0</v>
      </c>
      <c r="F74" s="179">
        <f ca="1">IF(ISNUMBER(MATCH(DATEVALUE($A74),'changes1_based on steps'!F$1:F$400,0)),F$2,)</f>
        <v>0</v>
      </c>
      <c r="G74" s="179">
        <f ca="1">IF(ISNUMBER(MATCH(DATEVALUE($A74),'changes1_based on steps'!G$1:G$400,0)),G$2,)</f>
        <v>0</v>
      </c>
      <c r="H74" s="179">
        <f ca="1">IF(ISNUMBER(MATCH(DATEVALUE($A74),'changes1_based on steps'!H$1:H$400,0)),H$2,)</f>
        <v>0</v>
      </c>
      <c r="I74" s="179">
        <f ca="1">IF(ISNUMBER(MATCH(DATEVALUE($A74),'changes1_based on steps'!I$1:I$400,0)),I$2,)</f>
        <v>0</v>
      </c>
      <c r="J74" s="179">
        <f ca="1">IF(ISNUMBER(MATCH(DATEVALUE($A74),'changes1_based on steps'!J$1:J$400,0)),J$2,)</f>
        <v>0</v>
      </c>
      <c r="K74" s="179">
        <f ca="1">IF(ISNUMBER(MATCH(DATEVALUE($A74),'changes1_based on steps'!K$1:K$400,0)),K$2,)</f>
        <v>0</v>
      </c>
      <c r="L74" s="179">
        <f ca="1">IF(ISNUMBER(MATCH(DATEVALUE($A74),'changes1_based on steps'!L$1:L$400,0)),L$2,)</f>
        <v>0</v>
      </c>
      <c r="M74" s="179">
        <f ca="1">IF(ISNUMBER(MATCH(DATEVALUE($A74),'changes1_based on steps'!M$1:M$400,0)),M$2,)</f>
        <v>0</v>
      </c>
      <c r="N74" s="179">
        <f ca="1">IF(ISNUMBER(MATCH(DATEVALUE($A74),'changes1_based on steps'!N$1:N$400,0)),N$2,)</f>
        <v>0</v>
      </c>
      <c r="O74" s="179">
        <f ca="1">IF(ISNUMBER(MATCH(DATEVALUE($A74),'changes1_based on steps'!O$1:O$400,0)),O$2,)</f>
        <v>0</v>
      </c>
      <c r="P74" s="179">
        <f ca="1">IF(ISNUMBER(MATCH(DATEVALUE($A74),'changes1_based on steps'!P$1:P$400,0)),P$2,)</f>
        <v>0</v>
      </c>
      <c r="Q74" s="179">
        <f ca="1">IF(ISNUMBER(MATCH(DATEVALUE($A74),'changes1_based on steps'!Q$1:Q$400,0)),Q$2,)</f>
        <v>0</v>
      </c>
      <c r="R74" s="179">
        <f ca="1">IF(ISNUMBER(MATCH(DATEVALUE($A74),'changes1_based on steps'!R$1:R$400,0)),R$2,)</f>
        <v>0</v>
      </c>
      <c r="S74" s="179">
        <f ca="1">IF(ISNUMBER(MATCH(DATEVALUE($A74),'changes1_based on steps'!S$1:S$400,0)),S$2,)</f>
        <v>0</v>
      </c>
      <c r="T74" s="179">
        <f ca="1">IF(ISNUMBER(MATCH(DATEVALUE($A74),'changes1_based on steps'!T$1:T$400,0)),T$2,)</f>
        <v>0</v>
      </c>
      <c r="U74" s="179">
        <f ca="1">IF(ISNUMBER(MATCH(DATEVALUE($A74),'changes1_based on steps'!U$1:U$400,0)),U$2,)</f>
        <v>0</v>
      </c>
      <c r="V74" s="179"/>
      <c r="W74" s="179"/>
      <c r="X74" s="179"/>
      <c r="Y74" s="179"/>
      <c r="Z74" s="179"/>
      <c r="AA74" s="179"/>
      <c r="AB74" s="179"/>
      <c r="AC74" s="179"/>
      <c r="AD74" s="179"/>
      <c r="AE74" s="179"/>
      <c r="AF74" s="179"/>
      <c r="AG74" s="179"/>
      <c r="AH74" s="179"/>
      <c r="AI74" s="179"/>
      <c r="AJ74" s="179"/>
      <c r="AK74" s="179"/>
      <c r="AL74" s="179"/>
      <c r="AM74" s="179"/>
      <c r="AN74" s="179"/>
      <c r="AO74" s="179"/>
      <c r="AP74" s="179"/>
      <c r="AQ74" s="179"/>
      <c r="AR74" s="179"/>
      <c r="AS74" s="179"/>
      <c r="AT74" s="179"/>
      <c r="AU74" s="179"/>
      <c r="AV74" s="179"/>
      <c r="AW74" s="179"/>
      <c r="AX74" s="179"/>
      <c r="AY74" s="179"/>
      <c r="AZ74" s="179"/>
      <c r="BA74" s="179"/>
      <c r="BB74" s="179"/>
      <c r="BC74" s="179"/>
      <c r="BD74" s="179"/>
      <c r="BE74" s="179"/>
      <c r="BF74" s="179"/>
      <c r="BG74" s="179"/>
      <c r="BH74" s="179"/>
      <c r="BI74" s="179"/>
      <c r="BJ74" s="179"/>
      <c r="BK74" s="179"/>
      <c r="BL74" s="179"/>
      <c r="BM74" s="179"/>
      <c r="BN74" s="179"/>
      <c r="BO74" s="179"/>
      <c r="BP74" s="179"/>
      <c r="BQ74" s="179"/>
      <c r="BR74" s="179"/>
      <c r="BS74" s="179"/>
      <c r="BT74" s="179"/>
      <c r="BU74" s="179"/>
      <c r="BV74" s="179"/>
      <c r="BW74" s="179"/>
      <c r="BX74" s="179"/>
      <c r="BY74" s="179"/>
      <c r="BZ74" s="179"/>
      <c r="CA74" s="179"/>
      <c r="CB74" s="179"/>
      <c r="CC74" s="179"/>
      <c r="CD74" s="179"/>
      <c r="CE74" s="179"/>
      <c r="CF74" s="179"/>
      <c r="CG74" s="179"/>
      <c r="CH74" s="179"/>
      <c r="CI74" s="179"/>
      <c r="CJ74" s="179"/>
      <c r="CK74" s="179"/>
      <c r="CL74" s="179"/>
      <c r="CM74" s="179"/>
      <c r="CN74" s="179"/>
      <c r="CO74" s="179"/>
      <c r="CP74" s="179"/>
      <c r="CQ74" s="179"/>
      <c r="CR74" s="179"/>
      <c r="CS74" s="179"/>
      <c r="CT74" s="179"/>
      <c r="CU74" s="179"/>
      <c r="CV74" s="179"/>
      <c r="CW74" s="179"/>
    </row>
    <row r="75" spans="1:101" x14ac:dyDescent="0.2">
      <c r="A75" s="32" t="str">
        <f t="shared" ca="1" si="1"/>
        <v>2025-06-16</v>
      </c>
      <c r="B75" s="179">
        <f ca="1">IF(ISNUMBER(MATCH(DATEVALUE($A75),'changes1_based on steps'!B$1:B$400,0)),B$2,)</f>
        <v>0</v>
      </c>
      <c r="C75" s="179">
        <f ca="1">IF(ISNUMBER(MATCH(DATEVALUE($A75),'changes1_based on steps'!C$1:C$400,0)),C$2,)</f>
        <v>0</v>
      </c>
      <c r="D75" s="179">
        <f ca="1">IF(ISNUMBER(MATCH(DATEVALUE($A75),'changes1_based on steps'!D$1:D$400,0)),D$2,)</f>
        <v>0</v>
      </c>
      <c r="E75" s="179">
        <f ca="1">IF(ISNUMBER(MATCH(DATEVALUE($A75),'changes1_based on steps'!E$1:E$400,0)),E$2,)</f>
        <v>0</v>
      </c>
      <c r="F75" s="179">
        <f ca="1">IF(ISNUMBER(MATCH(DATEVALUE($A75),'changes1_based on steps'!F$1:F$400,0)),F$2,)</f>
        <v>0</v>
      </c>
      <c r="G75" s="179">
        <f ca="1">IF(ISNUMBER(MATCH(DATEVALUE($A75),'changes1_based on steps'!G$1:G$400,0)),G$2,)</f>
        <v>0</v>
      </c>
      <c r="H75" s="179">
        <f ca="1">IF(ISNUMBER(MATCH(DATEVALUE($A75),'changes1_based on steps'!H$1:H$400,0)),H$2,)</f>
        <v>0</v>
      </c>
      <c r="I75" s="179">
        <f ca="1">IF(ISNUMBER(MATCH(DATEVALUE($A75),'changes1_based on steps'!I$1:I$400,0)),I$2,)</f>
        <v>0</v>
      </c>
      <c r="J75" s="179">
        <f ca="1">IF(ISNUMBER(MATCH(DATEVALUE($A75),'changes1_based on steps'!J$1:J$400,0)),J$2,)</f>
        <v>0</v>
      </c>
      <c r="K75" s="179">
        <f ca="1">IF(ISNUMBER(MATCH(DATEVALUE($A75),'changes1_based on steps'!K$1:K$400,0)),K$2,)</f>
        <v>0</v>
      </c>
      <c r="L75" s="179">
        <f ca="1">IF(ISNUMBER(MATCH(DATEVALUE($A75),'changes1_based on steps'!L$1:L$400,0)),L$2,)</f>
        <v>0</v>
      </c>
      <c r="M75" s="179">
        <f ca="1">IF(ISNUMBER(MATCH(DATEVALUE($A75),'changes1_based on steps'!M$1:M$400,0)),M$2,)</f>
        <v>0</v>
      </c>
      <c r="N75" s="179">
        <f ca="1">IF(ISNUMBER(MATCH(DATEVALUE($A75),'changes1_based on steps'!N$1:N$400,0)),N$2,)</f>
        <v>0</v>
      </c>
      <c r="O75" s="179">
        <f ca="1">IF(ISNUMBER(MATCH(DATEVALUE($A75),'changes1_based on steps'!O$1:O$400,0)),O$2,)</f>
        <v>0</v>
      </c>
      <c r="P75" s="179">
        <f ca="1">IF(ISNUMBER(MATCH(DATEVALUE($A75),'changes1_based on steps'!P$1:P$400,0)),P$2,)</f>
        <v>0</v>
      </c>
      <c r="Q75" s="179">
        <f ca="1">IF(ISNUMBER(MATCH(DATEVALUE($A75),'changes1_based on steps'!Q$1:Q$400,0)),Q$2,)</f>
        <v>0</v>
      </c>
      <c r="R75" s="179">
        <f ca="1">IF(ISNUMBER(MATCH(DATEVALUE($A75),'changes1_based on steps'!R$1:R$400,0)),R$2,)</f>
        <v>0</v>
      </c>
      <c r="S75" s="179">
        <f ca="1">IF(ISNUMBER(MATCH(DATEVALUE($A75),'changes1_based on steps'!S$1:S$400,0)),S$2,)</f>
        <v>0</v>
      </c>
      <c r="T75" s="179">
        <f ca="1">IF(ISNUMBER(MATCH(DATEVALUE($A75),'changes1_based on steps'!T$1:T$400,0)),T$2,)</f>
        <v>0</v>
      </c>
      <c r="U75" s="179">
        <f ca="1">IF(ISNUMBER(MATCH(DATEVALUE($A75),'changes1_based on steps'!U$1:U$400,0)),U$2,)</f>
        <v>0</v>
      </c>
      <c r="V75" s="179"/>
      <c r="W75" s="179"/>
      <c r="X75" s="179"/>
      <c r="Y75" s="179"/>
      <c r="Z75" s="179"/>
      <c r="AA75" s="179"/>
      <c r="AB75" s="179"/>
      <c r="AC75" s="179"/>
      <c r="AD75" s="179"/>
      <c r="AE75" s="179"/>
      <c r="AF75" s="179"/>
      <c r="AG75" s="179"/>
      <c r="AH75" s="179"/>
      <c r="AI75" s="179"/>
      <c r="AJ75" s="179"/>
      <c r="AK75" s="179"/>
      <c r="AL75" s="179"/>
      <c r="AM75" s="179"/>
      <c r="AN75" s="179"/>
      <c r="AO75" s="179"/>
      <c r="AP75" s="179"/>
      <c r="AQ75" s="179"/>
      <c r="AR75" s="179"/>
      <c r="AS75" s="179"/>
      <c r="AT75" s="179"/>
      <c r="AU75" s="179"/>
      <c r="AV75" s="179"/>
      <c r="AW75" s="179"/>
      <c r="AX75" s="179"/>
      <c r="AY75" s="179"/>
      <c r="AZ75" s="179"/>
      <c r="BA75" s="179"/>
      <c r="BB75" s="179"/>
      <c r="BC75" s="179"/>
      <c r="BD75" s="179"/>
      <c r="BE75" s="179"/>
      <c r="BF75" s="179"/>
      <c r="BG75" s="179"/>
      <c r="BH75" s="179"/>
      <c r="BI75" s="179"/>
      <c r="BJ75" s="179"/>
      <c r="BK75" s="179"/>
      <c r="BL75" s="179"/>
      <c r="BM75" s="179"/>
      <c r="BN75" s="179"/>
      <c r="BO75" s="179"/>
      <c r="BP75" s="179"/>
      <c r="BQ75" s="179"/>
      <c r="BR75" s="179"/>
      <c r="BS75" s="179"/>
      <c r="BT75" s="179"/>
      <c r="BU75" s="179"/>
      <c r="BV75" s="179"/>
      <c r="BW75" s="179"/>
      <c r="BX75" s="179"/>
      <c r="BY75" s="179"/>
      <c r="BZ75" s="179"/>
      <c r="CA75" s="179"/>
      <c r="CB75" s="179"/>
      <c r="CC75" s="179"/>
      <c r="CD75" s="179"/>
      <c r="CE75" s="179"/>
      <c r="CF75" s="179"/>
      <c r="CG75" s="179"/>
      <c r="CH75" s="179"/>
      <c r="CI75" s="179"/>
      <c r="CJ75" s="179"/>
      <c r="CK75" s="179"/>
      <c r="CL75" s="179"/>
      <c r="CM75" s="179"/>
      <c r="CN75" s="179"/>
      <c r="CO75" s="179"/>
      <c r="CP75" s="179"/>
      <c r="CQ75" s="179"/>
      <c r="CR75" s="179"/>
      <c r="CS75" s="179"/>
      <c r="CT75" s="179"/>
      <c r="CU75" s="179"/>
      <c r="CV75" s="179"/>
      <c r="CW75" s="179"/>
    </row>
    <row r="76" spans="1:101" x14ac:dyDescent="0.2">
      <c r="A76" s="32" t="str">
        <f t="shared" ca="1" si="1"/>
        <v>2025-06-17</v>
      </c>
      <c r="B76" s="179">
        <f ca="1">IF(ISNUMBER(MATCH(DATEVALUE($A76),'changes1_based on steps'!B$1:B$400,0)),B$2,)</f>
        <v>0</v>
      </c>
      <c r="C76" s="179">
        <f ca="1">IF(ISNUMBER(MATCH(DATEVALUE($A76),'changes1_based on steps'!C$1:C$400,0)),C$2,)</f>
        <v>0</v>
      </c>
      <c r="D76" s="179">
        <f ca="1">IF(ISNUMBER(MATCH(DATEVALUE($A76),'changes1_based on steps'!D$1:D$400,0)),D$2,)</f>
        <v>0</v>
      </c>
      <c r="E76" s="179">
        <f ca="1">IF(ISNUMBER(MATCH(DATEVALUE($A76),'changes1_based on steps'!E$1:E$400,0)),E$2,)</f>
        <v>0</v>
      </c>
      <c r="F76" s="179">
        <f ca="1">IF(ISNUMBER(MATCH(DATEVALUE($A76),'changes1_based on steps'!F$1:F$400,0)),F$2,)</f>
        <v>0</v>
      </c>
      <c r="G76" s="179">
        <f ca="1">IF(ISNUMBER(MATCH(DATEVALUE($A76),'changes1_based on steps'!G$1:G$400,0)),G$2,)</f>
        <v>0</v>
      </c>
      <c r="H76" s="179">
        <f ca="1">IF(ISNUMBER(MATCH(DATEVALUE($A76),'changes1_based on steps'!H$1:H$400,0)),H$2,)</f>
        <v>0</v>
      </c>
      <c r="I76" s="179">
        <f ca="1">IF(ISNUMBER(MATCH(DATEVALUE($A76),'changes1_based on steps'!I$1:I$400,0)),I$2,)</f>
        <v>0</v>
      </c>
      <c r="J76" s="179">
        <f ca="1">IF(ISNUMBER(MATCH(DATEVALUE($A76),'changes1_based on steps'!J$1:J$400,0)),J$2,)</f>
        <v>0</v>
      </c>
      <c r="K76" s="179">
        <f ca="1">IF(ISNUMBER(MATCH(DATEVALUE($A76),'changes1_based on steps'!K$1:K$400,0)),K$2,)</f>
        <v>0</v>
      </c>
      <c r="L76" s="179">
        <f ca="1">IF(ISNUMBER(MATCH(DATEVALUE($A76),'changes1_based on steps'!L$1:L$400,0)),L$2,)</f>
        <v>0</v>
      </c>
      <c r="M76" s="179">
        <f ca="1">IF(ISNUMBER(MATCH(DATEVALUE($A76),'changes1_based on steps'!M$1:M$400,0)),M$2,)</f>
        <v>0</v>
      </c>
      <c r="N76" s="179">
        <f ca="1">IF(ISNUMBER(MATCH(DATEVALUE($A76),'changes1_based on steps'!N$1:N$400,0)),N$2,)</f>
        <v>0</v>
      </c>
      <c r="O76" s="179">
        <f ca="1">IF(ISNUMBER(MATCH(DATEVALUE($A76),'changes1_based on steps'!O$1:O$400,0)),O$2,)</f>
        <v>0</v>
      </c>
      <c r="P76" s="179">
        <f ca="1">IF(ISNUMBER(MATCH(DATEVALUE($A76),'changes1_based on steps'!P$1:P$400,0)),P$2,)</f>
        <v>0</v>
      </c>
      <c r="Q76" s="179">
        <f ca="1">IF(ISNUMBER(MATCH(DATEVALUE($A76),'changes1_based on steps'!Q$1:Q$400,0)),Q$2,)</f>
        <v>0</v>
      </c>
      <c r="R76" s="179">
        <f ca="1">IF(ISNUMBER(MATCH(DATEVALUE($A76),'changes1_based on steps'!R$1:R$400,0)),R$2,)</f>
        <v>0</v>
      </c>
      <c r="S76" s="179">
        <f ca="1">IF(ISNUMBER(MATCH(DATEVALUE($A76),'changes1_based on steps'!S$1:S$400,0)),S$2,)</f>
        <v>0</v>
      </c>
      <c r="T76" s="179">
        <f ca="1">IF(ISNUMBER(MATCH(DATEVALUE($A76),'changes1_based on steps'!T$1:T$400,0)),T$2,)</f>
        <v>0</v>
      </c>
      <c r="U76" s="179">
        <f ca="1">IF(ISNUMBER(MATCH(DATEVALUE($A76),'changes1_based on steps'!U$1:U$400,0)),U$2,)</f>
        <v>0</v>
      </c>
      <c r="V76" s="179"/>
      <c r="W76" s="179"/>
      <c r="X76" s="179"/>
      <c r="Y76" s="179"/>
      <c r="Z76" s="179"/>
      <c r="AA76" s="179"/>
      <c r="AB76" s="179"/>
      <c r="AC76" s="179"/>
      <c r="AD76" s="179"/>
      <c r="AE76" s="179"/>
      <c r="AF76" s="179"/>
      <c r="AG76" s="179"/>
      <c r="AH76" s="179"/>
      <c r="AI76" s="179"/>
      <c r="AJ76" s="179"/>
      <c r="AK76" s="179"/>
      <c r="AL76" s="179"/>
      <c r="AM76" s="179"/>
      <c r="AN76" s="179"/>
      <c r="AO76" s="179"/>
      <c r="AP76" s="179"/>
      <c r="AQ76" s="179"/>
      <c r="AR76" s="179"/>
      <c r="AS76" s="179"/>
      <c r="AT76" s="179"/>
      <c r="AU76" s="179"/>
      <c r="AV76" s="179"/>
      <c r="AW76" s="179"/>
      <c r="AX76" s="179"/>
      <c r="AY76" s="179"/>
      <c r="AZ76" s="179"/>
      <c r="BA76" s="179"/>
      <c r="BB76" s="179"/>
      <c r="BC76" s="179"/>
      <c r="BD76" s="179"/>
      <c r="BE76" s="179"/>
      <c r="BF76" s="179"/>
      <c r="BG76" s="179"/>
      <c r="BH76" s="179"/>
      <c r="BI76" s="179"/>
      <c r="BJ76" s="179"/>
      <c r="BK76" s="179"/>
      <c r="BL76" s="179"/>
      <c r="BM76" s="179"/>
      <c r="BN76" s="179"/>
      <c r="BO76" s="179"/>
      <c r="BP76" s="179"/>
      <c r="BQ76" s="179"/>
      <c r="BR76" s="179"/>
      <c r="BS76" s="179"/>
      <c r="BT76" s="179"/>
      <c r="BU76" s="179"/>
      <c r="BV76" s="179"/>
      <c r="BW76" s="179"/>
      <c r="BX76" s="179"/>
      <c r="BY76" s="179"/>
      <c r="BZ76" s="179"/>
      <c r="CA76" s="179"/>
      <c r="CB76" s="179"/>
      <c r="CC76" s="179"/>
      <c r="CD76" s="179"/>
      <c r="CE76" s="179"/>
      <c r="CF76" s="179"/>
      <c r="CG76" s="179"/>
      <c r="CH76" s="179"/>
      <c r="CI76" s="179"/>
      <c r="CJ76" s="179"/>
      <c r="CK76" s="179"/>
      <c r="CL76" s="179"/>
      <c r="CM76" s="179"/>
      <c r="CN76" s="179"/>
      <c r="CO76" s="179"/>
      <c r="CP76" s="179"/>
      <c r="CQ76" s="179"/>
      <c r="CR76" s="179"/>
      <c r="CS76" s="179"/>
      <c r="CT76" s="179"/>
      <c r="CU76" s="179"/>
      <c r="CV76" s="179"/>
      <c r="CW76" s="179"/>
    </row>
    <row r="77" spans="1:101" x14ac:dyDescent="0.2">
      <c r="A77" s="32" t="str">
        <f t="shared" ca="1" si="1"/>
        <v>2025-06-18</v>
      </c>
      <c r="B77" s="179">
        <f ca="1">IF(ISNUMBER(MATCH(DATEVALUE($A77),'changes1_based on steps'!B$1:B$400,0)),B$2,)</f>
        <v>0</v>
      </c>
      <c r="C77" s="179">
        <f ca="1">IF(ISNUMBER(MATCH(DATEVALUE($A77),'changes1_based on steps'!C$1:C$400,0)),C$2,)</f>
        <v>0</v>
      </c>
      <c r="D77" s="179">
        <f ca="1">IF(ISNUMBER(MATCH(DATEVALUE($A77),'changes1_based on steps'!D$1:D$400,0)),D$2,)</f>
        <v>0</v>
      </c>
      <c r="E77" s="179">
        <f ca="1">IF(ISNUMBER(MATCH(DATEVALUE($A77),'changes1_based on steps'!E$1:E$400,0)),E$2,)</f>
        <v>0</v>
      </c>
      <c r="F77" s="179">
        <f ca="1">IF(ISNUMBER(MATCH(DATEVALUE($A77),'changes1_based on steps'!F$1:F$400,0)),F$2,)</f>
        <v>0</v>
      </c>
      <c r="G77" s="179">
        <f ca="1">IF(ISNUMBER(MATCH(DATEVALUE($A77),'changes1_based on steps'!G$1:G$400,0)),G$2,)</f>
        <v>0</v>
      </c>
      <c r="H77" s="179">
        <f ca="1">IF(ISNUMBER(MATCH(DATEVALUE($A77),'changes1_based on steps'!H$1:H$400,0)),H$2,)</f>
        <v>0</v>
      </c>
      <c r="I77" s="179">
        <f ca="1">IF(ISNUMBER(MATCH(DATEVALUE($A77),'changes1_based on steps'!I$1:I$400,0)),I$2,)</f>
        <v>0</v>
      </c>
      <c r="J77" s="179">
        <f ca="1">IF(ISNUMBER(MATCH(DATEVALUE($A77),'changes1_based on steps'!J$1:J$400,0)),J$2,)</f>
        <v>0</v>
      </c>
      <c r="K77" s="179">
        <f ca="1">IF(ISNUMBER(MATCH(DATEVALUE($A77),'changes1_based on steps'!K$1:K$400,0)),K$2,)</f>
        <v>0</v>
      </c>
      <c r="L77" s="179">
        <f ca="1">IF(ISNUMBER(MATCH(DATEVALUE($A77),'changes1_based on steps'!L$1:L$400,0)),L$2,)</f>
        <v>0</v>
      </c>
      <c r="M77" s="179">
        <f ca="1">IF(ISNUMBER(MATCH(DATEVALUE($A77),'changes1_based on steps'!M$1:M$400,0)),M$2,)</f>
        <v>0</v>
      </c>
      <c r="N77" s="179">
        <f ca="1">IF(ISNUMBER(MATCH(DATEVALUE($A77),'changes1_based on steps'!N$1:N$400,0)),N$2,)</f>
        <v>0</v>
      </c>
      <c r="O77" s="179">
        <f ca="1">IF(ISNUMBER(MATCH(DATEVALUE($A77),'changes1_based on steps'!O$1:O$400,0)),O$2,)</f>
        <v>0</v>
      </c>
      <c r="P77" s="179">
        <f ca="1">IF(ISNUMBER(MATCH(DATEVALUE($A77),'changes1_based on steps'!P$1:P$400,0)),P$2,)</f>
        <v>0</v>
      </c>
      <c r="Q77" s="179">
        <f ca="1">IF(ISNUMBER(MATCH(DATEVALUE($A77),'changes1_based on steps'!Q$1:Q$400,0)),Q$2,)</f>
        <v>0</v>
      </c>
      <c r="R77" s="179">
        <f ca="1">IF(ISNUMBER(MATCH(DATEVALUE($A77),'changes1_based on steps'!R$1:R$400,0)),R$2,)</f>
        <v>0</v>
      </c>
      <c r="S77" s="179">
        <f ca="1">IF(ISNUMBER(MATCH(DATEVALUE($A77),'changes1_based on steps'!S$1:S$400,0)),S$2,)</f>
        <v>0</v>
      </c>
      <c r="T77" s="179">
        <f ca="1">IF(ISNUMBER(MATCH(DATEVALUE($A77),'changes1_based on steps'!T$1:T$400,0)),T$2,)</f>
        <v>0</v>
      </c>
      <c r="U77" s="179">
        <f ca="1">IF(ISNUMBER(MATCH(DATEVALUE($A77),'changes1_based on steps'!U$1:U$400,0)),U$2,)</f>
        <v>0</v>
      </c>
      <c r="V77" s="179"/>
      <c r="W77" s="179"/>
      <c r="X77" s="179"/>
      <c r="Y77" s="179"/>
      <c r="Z77" s="179"/>
      <c r="AA77" s="179"/>
      <c r="AB77" s="179"/>
      <c r="AC77" s="179"/>
      <c r="AD77" s="179"/>
      <c r="AE77" s="179"/>
      <c r="AF77" s="179"/>
      <c r="AG77" s="179"/>
      <c r="AH77" s="179"/>
      <c r="AI77" s="179"/>
      <c r="AJ77" s="179"/>
      <c r="AK77" s="179"/>
      <c r="AL77" s="179"/>
      <c r="AM77" s="179"/>
      <c r="AN77" s="179"/>
      <c r="AO77" s="179"/>
      <c r="AP77" s="179"/>
      <c r="AQ77" s="179"/>
      <c r="AR77" s="179"/>
      <c r="AS77" s="179"/>
      <c r="AT77" s="179"/>
      <c r="AU77" s="179"/>
      <c r="AV77" s="179"/>
      <c r="AW77" s="179"/>
      <c r="AX77" s="179"/>
      <c r="AY77" s="179"/>
      <c r="AZ77" s="179"/>
      <c r="BA77" s="179"/>
      <c r="BB77" s="179"/>
      <c r="BC77" s="179"/>
      <c r="BD77" s="179"/>
      <c r="BE77" s="179"/>
      <c r="BF77" s="179"/>
      <c r="BG77" s="179"/>
      <c r="BH77" s="179"/>
      <c r="BI77" s="179"/>
      <c r="BJ77" s="179"/>
      <c r="BK77" s="179"/>
      <c r="BL77" s="179"/>
      <c r="BM77" s="179"/>
      <c r="BN77" s="179"/>
      <c r="BO77" s="179"/>
      <c r="BP77" s="179"/>
      <c r="BQ77" s="179"/>
      <c r="BR77" s="179"/>
      <c r="BS77" s="179"/>
      <c r="BT77" s="179"/>
      <c r="BU77" s="179"/>
      <c r="BV77" s="179"/>
      <c r="BW77" s="179"/>
      <c r="BX77" s="179"/>
      <c r="BY77" s="179"/>
      <c r="BZ77" s="179"/>
      <c r="CA77" s="179"/>
      <c r="CB77" s="179"/>
      <c r="CC77" s="179"/>
      <c r="CD77" s="179"/>
      <c r="CE77" s="179"/>
      <c r="CF77" s="179"/>
      <c r="CG77" s="179"/>
      <c r="CH77" s="179"/>
      <c r="CI77" s="179"/>
      <c r="CJ77" s="179"/>
      <c r="CK77" s="179"/>
      <c r="CL77" s="179"/>
      <c r="CM77" s="179"/>
      <c r="CN77" s="179"/>
      <c r="CO77" s="179"/>
      <c r="CP77" s="179"/>
      <c r="CQ77" s="179"/>
      <c r="CR77" s="179"/>
      <c r="CS77" s="179"/>
      <c r="CT77" s="179"/>
      <c r="CU77" s="179"/>
      <c r="CV77" s="179"/>
      <c r="CW77" s="179"/>
    </row>
    <row r="78" spans="1:101" x14ac:dyDescent="0.2">
      <c r="A78" s="32" t="str">
        <f t="shared" ca="1" si="1"/>
        <v>2025-06-19</v>
      </c>
      <c r="B78" s="179">
        <f ca="1">IF(ISNUMBER(MATCH(DATEVALUE($A78),'changes1_based on steps'!B$1:B$400,0)),B$2,)</f>
        <v>0</v>
      </c>
      <c r="C78" s="179">
        <f ca="1">IF(ISNUMBER(MATCH(DATEVALUE($A78),'changes1_based on steps'!C$1:C$400,0)),C$2,)</f>
        <v>0</v>
      </c>
      <c r="D78" s="179">
        <f ca="1">IF(ISNUMBER(MATCH(DATEVALUE($A78),'changes1_based on steps'!D$1:D$400,0)),D$2,)</f>
        <v>0</v>
      </c>
      <c r="E78" s="179">
        <f ca="1">IF(ISNUMBER(MATCH(DATEVALUE($A78),'changes1_based on steps'!E$1:E$400,0)),E$2,)</f>
        <v>0</v>
      </c>
      <c r="F78" s="179">
        <f ca="1">IF(ISNUMBER(MATCH(DATEVALUE($A78),'changes1_based on steps'!F$1:F$400,0)),F$2,)</f>
        <v>0</v>
      </c>
      <c r="G78" s="179">
        <f ca="1">IF(ISNUMBER(MATCH(DATEVALUE($A78),'changes1_based on steps'!G$1:G$400,0)),G$2,)</f>
        <v>0</v>
      </c>
      <c r="H78" s="179">
        <f ca="1">IF(ISNUMBER(MATCH(DATEVALUE($A78),'changes1_based on steps'!H$1:H$400,0)),H$2,)</f>
        <v>0</v>
      </c>
      <c r="I78" s="179">
        <f ca="1">IF(ISNUMBER(MATCH(DATEVALUE($A78),'changes1_based on steps'!I$1:I$400,0)),I$2,)</f>
        <v>0</v>
      </c>
      <c r="J78" s="179">
        <f ca="1">IF(ISNUMBER(MATCH(DATEVALUE($A78),'changes1_based on steps'!J$1:J$400,0)),J$2,)</f>
        <v>0</v>
      </c>
      <c r="K78" s="179">
        <f ca="1">IF(ISNUMBER(MATCH(DATEVALUE($A78),'changes1_based on steps'!K$1:K$400,0)),K$2,)</f>
        <v>0</v>
      </c>
      <c r="L78" s="179">
        <f ca="1">IF(ISNUMBER(MATCH(DATEVALUE($A78),'changes1_based on steps'!L$1:L$400,0)),L$2,)</f>
        <v>0</v>
      </c>
      <c r="M78" s="179">
        <f ca="1">IF(ISNUMBER(MATCH(DATEVALUE($A78),'changes1_based on steps'!M$1:M$400,0)),M$2,)</f>
        <v>0</v>
      </c>
      <c r="N78" s="179">
        <f ca="1">IF(ISNUMBER(MATCH(DATEVALUE($A78),'changes1_based on steps'!N$1:N$400,0)),N$2,)</f>
        <v>0</v>
      </c>
      <c r="O78" s="179">
        <f ca="1">IF(ISNUMBER(MATCH(DATEVALUE($A78),'changes1_based on steps'!O$1:O$400,0)),O$2,)</f>
        <v>0</v>
      </c>
      <c r="P78" s="179">
        <f ca="1">IF(ISNUMBER(MATCH(DATEVALUE($A78),'changes1_based on steps'!P$1:P$400,0)),P$2,)</f>
        <v>0</v>
      </c>
      <c r="Q78" s="179">
        <f ca="1">IF(ISNUMBER(MATCH(DATEVALUE($A78),'changes1_based on steps'!Q$1:Q$400,0)),Q$2,)</f>
        <v>0</v>
      </c>
      <c r="R78" s="179">
        <f ca="1">IF(ISNUMBER(MATCH(DATEVALUE($A78),'changes1_based on steps'!R$1:R$400,0)),R$2,)</f>
        <v>0</v>
      </c>
      <c r="S78" s="179">
        <f ca="1">IF(ISNUMBER(MATCH(DATEVALUE($A78),'changes1_based on steps'!S$1:S$400,0)),S$2,)</f>
        <v>0</v>
      </c>
      <c r="T78" s="179">
        <f ca="1">IF(ISNUMBER(MATCH(DATEVALUE($A78),'changes1_based on steps'!T$1:T$400,0)),T$2,)</f>
        <v>0</v>
      </c>
      <c r="U78" s="179">
        <f ca="1">IF(ISNUMBER(MATCH(DATEVALUE($A78),'changes1_based on steps'!U$1:U$400,0)),U$2,)</f>
        <v>0</v>
      </c>
      <c r="V78" s="179"/>
      <c r="W78" s="179"/>
      <c r="X78" s="179"/>
      <c r="Y78" s="179"/>
      <c r="Z78" s="179"/>
      <c r="AA78" s="179"/>
      <c r="AB78" s="179"/>
      <c r="AC78" s="179"/>
      <c r="AD78" s="179"/>
      <c r="AE78" s="179"/>
      <c r="AF78" s="179"/>
      <c r="AG78" s="179"/>
      <c r="AH78" s="179"/>
      <c r="AI78" s="179"/>
      <c r="AJ78" s="179"/>
      <c r="AK78" s="179"/>
      <c r="AL78" s="179"/>
      <c r="AM78" s="179"/>
      <c r="AN78" s="179"/>
      <c r="AO78" s="179"/>
      <c r="AP78" s="179"/>
      <c r="AQ78" s="179"/>
      <c r="AR78" s="179"/>
      <c r="AS78" s="179"/>
      <c r="AT78" s="179"/>
      <c r="AU78" s="179"/>
      <c r="AV78" s="179"/>
      <c r="AW78" s="179"/>
      <c r="AX78" s="179"/>
      <c r="AY78" s="179"/>
      <c r="AZ78" s="179"/>
      <c r="BA78" s="179"/>
      <c r="BB78" s="179"/>
      <c r="BC78" s="179"/>
      <c r="BD78" s="179"/>
      <c r="BE78" s="179"/>
      <c r="BF78" s="179"/>
      <c r="BG78" s="179"/>
      <c r="BH78" s="179"/>
      <c r="BI78" s="179"/>
      <c r="BJ78" s="179"/>
      <c r="BK78" s="179"/>
      <c r="BL78" s="179"/>
      <c r="BM78" s="179"/>
      <c r="BN78" s="179"/>
      <c r="BO78" s="179"/>
      <c r="BP78" s="179"/>
      <c r="BQ78" s="179"/>
      <c r="BR78" s="179"/>
      <c r="BS78" s="179"/>
      <c r="BT78" s="179"/>
      <c r="BU78" s="179"/>
      <c r="BV78" s="179"/>
      <c r="BW78" s="179"/>
      <c r="BX78" s="179"/>
      <c r="BY78" s="179"/>
      <c r="BZ78" s="179"/>
      <c r="CA78" s="179"/>
      <c r="CB78" s="179"/>
      <c r="CC78" s="179"/>
      <c r="CD78" s="179"/>
      <c r="CE78" s="179"/>
      <c r="CF78" s="179"/>
      <c r="CG78" s="179"/>
      <c r="CH78" s="179"/>
      <c r="CI78" s="179"/>
      <c r="CJ78" s="179"/>
      <c r="CK78" s="179"/>
      <c r="CL78" s="179"/>
      <c r="CM78" s="179"/>
      <c r="CN78" s="179"/>
      <c r="CO78" s="179"/>
      <c r="CP78" s="179"/>
      <c r="CQ78" s="179"/>
      <c r="CR78" s="179"/>
      <c r="CS78" s="179"/>
      <c r="CT78" s="179"/>
      <c r="CU78" s="179"/>
      <c r="CV78" s="179"/>
      <c r="CW78" s="179"/>
    </row>
    <row r="79" spans="1:101" x14ac:dyDescent="0.2">
      <c r="A79" s="32" t="str">
        <f t="shared" ca="1" si="1"/>
        <v>2025-06-20</v>
      </c>
      <c r="B79" s="179">
        <f ca="1">IF(ISNUMBER(MATCH(DATEVALUE($A79),'changes1_based on steps'!B$1:B$400,0)),B$2,)</f>
        <v>0</v>
      </c>
      <c r="C79" s="179">
        <f ca="1">IF(ISNUMBER(MATCH(DATEVALUE($A79),'changes1_based on steps'!C$1:C$400,0)),C$2,)</f>
        <v>0</v>
      </c>
      <c r="D79" s="179">
        <f ca="1">IF(ISNUMBER(MATCH(DATEVALUE($A79),'changes1_based on steps'!D$1:D$400,0)),D$2,)</f>
        <v>0</v>
      </c>
      <c r="E79" s="179">
        <f ca="1">IF(ISNUMBER(MATCH(DATEVALUE($A79),'changes1_based on steps'!E$1:E$400,0)),E$2,)</f>
        <v>0</v>
      </c>
      <c r="F79" s="179">
        <f ca="1">IF(ISNUMBER(MATCH(DATEVALUE($A79),'changes1_based on steps'!F$1:F$400,0)),F$2,)</f>
        <v>0</v>
      </c>
      <c r="G79" s="179">
        <f ca="1">IF(ISNUMBER(MATCH(DATEVALUE($A79),'changes1_based on steps'!G$1:G$400,0)),G$2,)</f>
        <v>0</v>
      </c>
      <c r="H79" s="179">
        <f ca="1">IF(ISNUMBER(MATCH(DATEVALUE($A79),'changes1_based on steps'!H$1:H$400,0)),H$2,)</f>
        <v>0</v>
      </c>
      <c r="I79" s="179">
        <f ca="1">IF(ISNUMBER(MATCH(DATEVALUE($A79),'changes1_based on steps'!I$1:I$400,0)),I$2,)</f>
        <v>0</v>
      </c>
      <c r="J79" s="179">
        <f ca="1">IF(ISNUMBER(MATCH(DATEVALUE($A79),'changes1_based on steps'!J$1:J$400,0)),J$2,)</f>
        <v>0</v>
      </c>
      <c r="K79" s="179">
        <f ca="1">IF(ISNUMBER(MATCH(DATEVALUE($A79),'changes1_based on steps'!K$1:K$400,0)),K$2,)</f>
        <v>0</v>
      </c>
      <c r="L79" s="179">
        <f ca="1">IF(ISNUMBER(MATCH(DATEVALUE($A79),'changes1_based on steps'!L$1:L$400,0)),L$2,)</f>
        <v>0</v>
      </c>
      <c r="M79" s="179">
        <f ca="1">IF(ISNUMBER(MATCH(DATEVALUE($A79),'changes1_based on steps'!M$1:M$400,0)),M$2,)</f>
        <v>0</v>
      </c>
      <c r="N79" s="179">
        <f ca="1">IF(ISNUMBER(MATCH(DATEVALUE($A79),'changes1_based on steps'!N$1:N$400,0)),N$2,)</f>
        <v>0</v>
      </c>
      <c r="O79" s="179">
        <f ca="1">IF(ISNUMBER(MATCH(DATEVALUE($A79),'changes1_based on steps'!O$1:O$400,0)),O$2,)</f>
        <v>0</v>
      </c>
      <c r="P79" s="179">
        <f ca="1">IF(ISNUMBER(MATCH(DATEVALUE($A79),'changes1_based on steps'!P$1:P$400,0)),P$2,)</f>
        <v>0</v>
      </c>
      <c r="Q79" s="179">
        <f ca="1">IF(ISNUMBER(MATCH(DATEVALUE($A79),'changes1_based on steps'!Q$1:Q$400,0)),Q$2,)</f>
        <v>0</v>
      </c>
      <c r="R79" s="179">
        <f ca="1">IF(ISNUMBER(MATCH(DATEVALUE($A79),'changes1_based on steps'!R$1:R$400,0)),R$2,)</f>
        <v>0</v>
      </c>
      <c r="S79" s="179">
        <f ca="1">IF(ISNUMBER(MATCH(DATEVALUE($A79),'changes1_based on steps'!S$1:S$400,0)),S$2,)</f>
        <v>0</v>
      </c>
      <c r="T79" s="179">
        <f ca="1">IF(ISNUMBER(MATCH(DATEVALUE($A79),'changes1_based on steps'!T$1:T$400,0)),T$2,)</f>
        <v>0</v>
      </c>
      <c r="U79" s="179">
        <f ca="1">IF(ISNUMBER(MATCH(DATEVALUE($A79),'changes1_based on steps'!U$1:U$400,0)),U$2,)</f>
        <v>0</v>
      </c>
      <c r="V79" s="179"/>
      <c r="W79" s="179"/>
      <c r="X79" s="179"/>
      <c r="Y79" s="179"/>
      <c r="Z79" s="179"/>
      <c r="AA79" s="179"/>
      <c r="AB79" s="179"/>
      <c r="AC79" s="179"/>
      <c r="AD79" s="179"/>
      <c r="AE79" s="179"/>
      <c r="AF79" s="179"/>
      <c r="AG79" s="179"/>
      <c r="AH79" s="179"/>
      <c r="AI79" s="179"/>
      <c r="AJ79" s="179"/>
      <c r="AK79" s="179"/>
      <c r="AL79" s="179"/>
      <c r="AM79" s="179"/>
      <c r="AN79" s="179"/>
      <c r="AO79" s="179"/>
      <c r="AP79" s="179"/>
      <c r="AQ79" s="179"/>
      <c r="AR79" s="179"/>
      <c r="AS79" s="179"/>
      <c r="AT79" s="179"/>
      <c r="AU79" s="179"/>
      <c r="AV79" s="179"/>
      <c r="AW79" s="179"/>
      <c r="AX79" s="179"/>
      <c r="AY79" s="179"/>
      <c r="AZ79" s="179"/>
      <c r="BA79" s="179"/>
      <c r="BB79" s="179"/>
      <c r="BC79" s="179"/>
      <c r="BD79" s="179"/>
      <c r="BE79" s="179"/>
      <c r="BF79" s="179"/>
      <c r="BG79" s="179"/>
      <c r="BH79" s="179"/>
      <c r="BI79" s="179"/>
      <c r="BJ79" s="179"/>
      <c r="BK79" s="179"/>
      <c r="BL79" s="179"/>
      <c r="BM79" s="179"/>
      <c r="BN79" s="179"/>
      <c r="BO79" s="179"/>
      <c r="BP79" s="179"/>
      <c r="BQ79" s="179"/>
      <c r="BR79" s="179"/>
      <c r="BS79" s="179"/>
      <c r="BT79" s="179"/>
      <c r="BU79" s="179"/>
      <c r="BV79" s="179"/>
      <c r="BW79" s="179"/>
      <c r="BX79" s="179"/>
      <c r="BY79" s="179"/>
      <c r="BZ79" s="179"/>
      <c r="CA79" s="179"/>
      <c r="CB79" s="179"/>
      <c r="CC79" s="179"/>
      <c r="CD79" s="179"/>
      <c r="CE79" s="179"/>
      <c r="CF79" s="179"/>
      <c r="CG79" s="179"/>
      <c r="CH79" s="179"/>
      <c r="CI79" s="179"/>
      <c r="CJ79" s="179"/>
      <c r="CK79" s="179"/>
      <c r="CL79" s="179"/>
      <c r="CM79" s="179"/>
      <c r="CN79" s="179"/>
      <c r="CO79" s="179"/>
      <c r="CP79" s="179"/>
      <c r="CQ79" s="179"/>
      <c r="CR79" s="179"/>
      <c r="CS79" s="179"/>
      <c r="CT79" s="179"/>
      <c r="CU79" s="179"/>
      <c r="CV79" s="179"/>
      <c r="CW79" s="179"/>
    </row>
    <row r="80" spans="1:101" x14ac:dyDescent="0.2">
      <c r="A80" s="32" t="str">
        <f t="shared" ca="1" si="1"/>
        <v>2025-06-21</v>
      </c>
      <c r="B80" s="179">
        <f ca="1">IF(ISNUMBER(MATCH(DATEVALUE($A80),'changes1_based on steps'!B$1:B$400,0)),B$2,)</f>
        <v>0</v>
      </c>
      <c r="C80" s="179">
        <f ca="1">IF(ISNUMBER(MATCH(DATEVALUE($A80),'changes1_based on steps'!C$1:C$400,0)),C$2,)</f>
        <v>0</v>
      </c>
      <c r="D80" s="179">
        <f ca="1">IF(ISNUMBER(MATCH(DATEVALUE($A80),'changes1_based on steps'!D$1:D$400,0)),D$2,)</f>
        <v>0</v>
      </c>
      <c r="E80" s="179">
        <f ca="1">IF(ISNUMBER(MATCH(DATEVALUE($A80),'changes1_based on steps'!E$1:E$400,0)),E$2,)</f>
        <v>0</v>
      </c>
      <c r="F80" s="179">
        <f ca="1">IF(ISNUMBER(MATCH(DATEVALUE($A80),'changes1_based on steps'!F$1:F$400,0)),F$2,)</f>
        <v>0</v>
      </c>
      <c r="G80" s="179">
        <f ca="1">IF(ISNUMBER(MATCH(DATEVALUE($A80),'changes1_based on steps'!G$1:G$400,0)),G$2,)</f>
        <v>0</v>
      </c>
      <c r="H80" s="179">
        <f ca="1">IF(ISNUMBER(MATCH(DATEVALUE($A80),'changes1_based on steps'!H$1:H$400,0)),H$2,)</f>
        <v>0</v>
      </c>
      <c r="I80" s="179">
        <f ca="1">IF(ISNUMBER(MATCH(DATEVALUE($A80),'changes1_based on steps'!I$1:I$400,0)),I$2,)</f>
        <v>0</v>
      </c>
      <c r="J80" s="179">
        <f ca="1">IF(ISNUMBER(MATCH(DATEVALUE($A80),'changes1_based on steps'!J$1:J$400,0)),J$2,)</f>
        <v>0</v>
      </c>
      <c r="K80" s="179">
        <f ca="1">IF(ISNUMBER(MATCH(DATEVALUE($A80),'changes1_based on steps'!K$1:K$400,0)),K$2,)</f>
        <v>0</v>
      </c>
      <c r="L80" s="179">
        <f ca="1">IF(ISNUMBER(MATCH(DATEVALUE($A80),'changes1_based on steps'!L$1:L$400,0)),L$2,)</f>
        <v>0</v>
      </c>
      <c r="M80" s="179">
        <f ca="1">IF(ISNUMBER(MATCH(DATEVALUE($A80),'changes1_based on steps'!M$1:M$400,0)),M$2,)</f>
        <v>0</v>
      </c>
      <c r="N80" s="179">
        <f ca="1">IF(ISNUMBER(MATCH(DATEVALUE($A80),'changes1_based on steps'!N$1:N$400,0)),N$2,)</f>
        <v>0</v>
      </c>
      <c r="O80" s="179">
        <f ca="1">IF(ISNUMBER(MATCH(DATEVALUE($A80),'changes1_based on steps'!O$1:O$400,0)),O$2,)</f>
        <v>0</v>
      </c>
      <c r="P80" s="179">
        <f ca="1">IF(ISNUMBER(MATCH(DATEVALUE($A80),'changes1_based on steps'!P$1:P$400,0)),P$2,)</f>
        <v>0</v>
      </c>
      <c r="Q80" s="179">
        <f ca="1">IF(ISNUMBER(MATCH(DATEVALUE($A80),'changes1_based on steps'!Q$1:Q$400,0)),Q$2,)</f>
        <v>0</v>
      </c>
      <c r="R80" s="179">
        <f ca="1">IF(ISNUMBER(MATCH(DATEVALUE($A80),'changes1_based on steps'!R$1:R$400,0)),R$2,)</f>
        <v>0</v>
      </c>
      <c r="S80" s="179">
        <f ca="1">IF(ISNUMBER(MATCH(DATEVALUE($A80),'changes1_based on steps'!S$1:S$400,0)),S$2,)</f>
        <v>0</v>
      </c>
      <c r="T80" s="179">
        <f ca="1">IF(ISNUMBER(MATCH(DATEVALUE($A80),'changes1_based on steps'!T$1:T$400,0)),T$2,)</f>
        <v>0</v>
      </c>
      <c r="U80" s="179">
        <f ca="1">IF(ISNUMBER(MATCH(DATEVALUE($A80),'changes1_based on steps'!U$1:U$400,0)),U$2,)</f>
        <v>0</v>
      </c>
      <c r="V80" s="179"/>
      <c r="W80" s="179"/>
      <c r="X80" s="179"/>
      <c r="Y80" s="179"/>
      <c r="Z80" s="179"/>
      <c r="AA80" s="179"/>
      <c r="AB80" s="179"/>
      <c r="AC80" s="179"/>
      <c r="AD80" s="179"/>
      <c r="AE80" s="179"/>
      <c r="AF80" s="179"/>
      <c r="AG80" s="179"/>
      <c r="AH80" s="179"/>
      <c r="AI80" s="179"/>
      <c r="AJ80" s="179"/>
      <c r="AK80" s="179"/>
      <c r="AL80" s="179"/>
      <c r="AM80" s="179"/>
      <c r="AN80" s="179"/>
      <c r="AO80" s="179"/>
      <c r="AP80" s="179"/>
      <c r="AQ80" s="179"/>
      <c r="AR80" s="179"/>
      <c r="AS80" s="179"/>
      <c r="AT80" s="179"/>
      <c r="AU80" s="179"/>
      <c r="AV80" s="179"/>
      <c r="AW80" s="179"/>
      <c r="AX80" s="179"/>
      <c r="AY80" s="179"/>
      <c r="AZ80" s="179"/>
      <c r="BA80" s="179"/>
      <c r="BB80" s="179"/>
      <c r="BC80" s="179"/>
      <c r="BD80" s="179"/>
      <c r="BE80" s="179"/>
      <c r="BF80" s="179"/>
      <c r="BG80" s="179"/>
      <c r="BH80" s="179"/>
      <c r="BI80" s="179"/>
      <c r="BJ80" s="179"/>
      <c r="BK80" s="179"/>
      <c r="BL80" s="179"/>
      <c r="BM80" s="179"/>
      <c r="BN80" s="179"/>
      <c r="BO80" s="179"/>
      <c r="BP80" s="179"/>
      <c r="BQ80" s="179"/>
      <c r="BR80" s="179"/>
      <c r="BS80" s="179"/>
      <c r="BT80" s="179"/>
      <c r="BU80" s="179"/>
      <c r="BV80" s="179"/>
      <c r="BW80" s="179"/>
      <c r="BX80" s="179"/>
      <c r="BY80" s="179"/>
      <c r="BZ80" s="179"/>
      <c r="CA80" s="179"/>
      <c r="CB80" s="179"/>
      <c r="CC80" s="179"/>
      <c r="CD80" s="179"/>
      <c r="CE80" s="179"/>
      <c r="CF80" s="179"/>
      <c r="CG80" s="179"/>
      <c r="CH80" s="179"/>
      <c r="CI80" s="179"/>
      <c r="CJ80" s="179"/>
      <c r="CK80" s="179"/>
      <c r="CL80" s="179"/>
      <c r="CM80" s="179"/>
      <c r="CN80" s="179"/>
      <c r="CO80" s="179"/>
      <c r="CP80" s="179"/>
      <c r="CQ80" s="179"/>
      <c r="CR80" s="179"/>
      <c r="CS80" s="179"/>
      <c r="CT80" s="179"/>
      <c r="CU80" s="179"/>
      <c r="CV80" s="179"/>
      <c r="CW80" s="179"/>
    </row>
    <row r="81" spans="1:101" x14ac:dyDescent="0.2">
      <c r="A81" s="32" t="str">
        <f t="shared" ca="1" si="1"/>
        <v>2025-06-22</v>
      </c>
      <c r="B81" s="179">
        <f ca="1">IF(ISNUMBER(MATCH(DATEVALUE($A81),'changes1_based on steps'!B$1:B$400,0)),B$2,)</f>
        <v>0</v>
      </c>
      <c r="C81" s="179">
        <f ca="1">IF(ISNUMBER(MATCH(DATEVALUE($A81),'changes1_based on steps'!C$1:C$400,0)),C$2,)</f>
        <v>0</v>
      </c>
      <c r="D81" s="179">
        <f ca="1">IF(ISNUMBER(MATCH(DATEVALUE($A81),'changes1_based on steps'!D$1:D$400,0)),D$2,)</f>
        <v>0</v>
      </c>
      <c r="E81" s="179">
        <f ca="1">IF(ISNUMBER(MATCH(DATEVALUE($A81),'changes1_based on steps'!E$1:E$400,0)),E$2,)</f>
        <v>0</v>
      </c>
      <c r="F81" s="179">
        <f ca="1">IF(ISNUMBER(MATCH(DATEVALUE($A81),'changes1_based on steps'!F$1:F$400,0)),F$2,)</f>
        <v>0</v>
      </c>
      <c r="G81" s="179">
        <f ca="1">IF(ISNUMBER(MATCH(DATEVALUE($A81),'changes1_based on steps'!G$1:G$400,0)),G$2,)</f>
        <v>0</v>
      </c>
      <c r="H81" s="179">
        <f ca="1">IF(ISNUMBER(MATCH(DATEVALUE($A81),'changes1_based on steps'!H$1:H$400,0)),H$2,)</f>
        <v>0</v>
      </c>
      <c r="I81" s="179">
        <f ca="1">IF(ISNUMBER(MATCH(DATEVALUE($A81),'changes1_based on steps'!I$1:I$400,0)),I$2,)</f>
        <v>0</v>
      </c>
      <c r="J81" s="179">
        <f ca="1">IF(ISNUMBER(MATCH(DATEVALUE($A81),'changes1_based on steps'!J$1:J$400,0)),J$2,)</f>
        <v>0</v>
      </c>
      <c r="K81" s="179">
        <f ca="1">IF(ISNUMBER(MATCH(DATEVALUE($A81),'changes1_based on steps'!K$1:K$400,0)),K$2,)</f>
        <v>0</v>
      </c>
      <c r="L81" s="179">
        <f ca="1">IF(ISNUMBER(MATCH(DATEVALUE($A81),'changes1_based on steps'!L$1:L$400,0)),L$2,)</f>
        <v>0</v>
      </c>
      <c r="M81" s="179">
        <f ca="1">IF(ISNUMBER(MATCH(DATEVALUE($A81),'changes1_based on steps'!M$1:M$400,0)),M$2,)</f>
        <v>0</v>
      </c>
      <c r="N81" s="179">
        <f ca="1">IF(ISNUMBER(MATCH(DATEVALUE($A81),'changes1_based on steps'!N$1:N$400,0)),N$2,)</f>
        <v>0</v>
      </c>
      <c r="O81" s="179">
        <f ca="1">IF(ISNUMBER(MATCH(DATEVALUE($A81),'changes1_based on steps'!O$1:O$400,0)),O$2,)</f>
        <v>0</v>
      </c>
      <c r="P81" s="179">
        <f ca="1">IF(ISNUMBER(MATCH(DATEVALUE($A81),'changes1_based on steps'!P$1:P$400,0)),P$2,)</f>
        <v>0</v>
      </c>
      <c r="Q81" s="179">
        <f ca="1">IF(ISNUMBER(MATCH(DATEVALUE($A81),'changes1_based on steps'!Q$1:Q$400,0)),Q$2,)</f>
        <v>0</v>
      </c>
      <c r="R81" s="179">
        <f ca="1">IF(ISNUMBER(MATCH(DATEVALUE($A81),'changes1_based on steps'!R$1:R$400,0)),R$2,)</f>
        <v>0</v>
      </c>
      <c r="S81" s="179">
        <f ca="1">IF(ISNUMBER(MATCH(DATEVALUE($A81),'changes1_based on steps'!S$1:S$400,0)),S$2,)</f>
        <v>0</v>
      </c>
      <c r="T81" s="179">
        <f ca="1">IF(ISNUMBER(MATCH(DATEVALUE($A81),'changes1_based on steps'!T$1:T$400,0)),T$2,)</f>
        <v>0</v>
      </c>
      <c r="U81" s="179">
        <f ca="1">IF(ISNUMBER(MATCH(DATEVALUE($A81),'changes1_based on steps'!U$1:U$400,0)),U$2,)</f>
        <v>0</v>
      </c>
      <c r="V81" s="179"/>
      <c r="W81" s="179"/>
      <c r="X81" s="179"/>
      <c r="Y81" s="179"/>
      <c r="Z81" s="179"/>
      <c r="AA81" s="179"/>
      <c r="AB81" s="179"/>
      <c r="AC81" s="179"/>
      <c r="AD81" s="179"/>
      <c r="AE81" s="179"/>
      <c r="AF81" s="179"/>
      <c r="AG81" s="179"/>
      <c r="AH81" s="179"/>
      <c r="AI81" s="179"/>
      <c r="AJ81" s="179"/>
      <c r="AK81" s="179"/>
      <c r="AL81" s="179"/>
      <c r="AM81" s="179"/>
      <c r="AN81" s="179"/>
      <c r="AO81" s="179"/>
      <c r="AP81" s="179"/>
      <c r="AQ81" s="179"/>
      <c r="AR81" s="179"/>
      <c r="AS81" s="179"/>
      <c r="AT81" s="179"/>
      <c r="AU81" s="179"/>
      <c r="AV81" s="179"/>
      <c r="AW81" s="179"/>
      <c r="AX81" s="179"/>
      <c r="AY81" s="179"/>
      <c r="AZ81" s="179"/>
      <c r="BA81" s="179"/>
      <c r="BB81" s="179"/>
      <c r="BC81" s="179"/>
      <c r="BD81" s="179"/>
      <c r="BE81" s="179"/>
      <c r="BF81" s="179"/>
      <c r="BG81" s="179"/>
      <c r="BH81" s="179"/>
      <c r="BI81" s="179"/>
      <c r="BJ81" s="179"/>
      <c r="BK81" s="179"/>
      <c r="BL81" s="179"/>
      <c r="BM81" s="179"/>
      <c r="BN81" s="179"/>
      <c r="BO81" s="179"/>
      <c r="BP81" s="179"/>
      <c r="BQ81" s="179"/>
      <c r="BR81" s="179"/>
      <c r="BS81" s="179"/>
      <c r="BT81" s="179"/>
      <c r="BU81" s="179"/>
      <c r="BV81" s="179"/>
      <c r="BW81" s="179"/>
      <c r="BX81" s="179"/>
      <c r="BY81" s="179"/>
      <c r="BZ81" s="179"/>
      <c r="CA81" s="179"/>
      <c r="CB81" s="179"/>
      <c r="CC81" s="179"/>
      <c r="CD81" s="179"/>
      <c r="CE81" s="179"/>
      <c r="CF81" s="179"/>
      <c r="CG81" s="179"/>
      <c r="CH81" s="179"/>
      <c r="CI81" s="179"/>
      <c r="CJ81" s="179"/>
      <c r="CK81" s="179"/>
      <c r="CL81" s="179"/>
      <c r="CM81" s="179"/>
      <c r="CN81" s="179"/>
      <c r="CO81" s="179"/>
      <c r="CP81" s="179"/>
      <c r="CQ81" s="179"/>
      <c r="CR81" s="179"/>
      <c r="CS81" s="179"/>
      <c r="CT81" s="179"/>
      <c r="CU81" s="179"/>
      <c r="CV81" s="179"/>
      <c r="CW81" s="179"/>
    </row>
    <row r="82" spans="1:101" x14ac:dyDescent="0.2">
      <c r="A82" s="32" t="str">
        <f t="shared" ca="1" si="1"/>
        <v>2025-06-23</v>
      </c>
      <c r="B82" s="179">
        <f ca="1">IF(ISNUMBER(MATCH(DATEVALUE($A82),'changes1_based on steps'!B$1:B$400,0)),B$2,)</f>
        <v>0</v>
      </c>
      <c r="C82" s="179">
        <f ca="1">IF(ISNUMBER(MATCH(DATEVALUE($A82),'changes1_based on steps'!C$1:C$400,0)),C$2,)</f>
        <v>0</v>
      </c>
      <c r="D82" s="179">
        <f ca="1">IF(ISNUMBER(MATCH(DATEVALUE($A82),'changes1_based on steps'!D$1:D$400,0)),D$2,)</f>
        <v>0</v>
      </c>
      <c r="E82" s="179">
        <f ca="1">IF(ISNUMBER(MATCH(DATEVALUE($A82),'changes1_based on steps'!E$1:E$400,0)),E$2,)</f>
        <v>0</v>
      </c>
      <c r="F82" s="179">
        <f ca="1">IF(ISNUMBER(MATCH(DATEVALUE($A82),'changes1_based on steps'!F$1:F$400,0)),F$2,)</f>
        <v>0</v>
      </c>
      <c r="G82" s="179">
        <f ca="1">IF(ISNUMBER(MATCH(DATEVALUE($A82),'changes1_based on steps'!G$1:G$400,0)),G$2,)</f>
        <v>0</v>
      </c>
      <c r="H82" s="179">
        <f ca="1">IF(ISNUMBER(MATCH(DATEVALUE($A82),'changes1_based on steps'!H$1:H$400,0)),H$2,)</f>
        <v>0</v>
      </c>
      <c r="I82" s="179">
        <f ca="1">IF(ISNUMBER(MATCH(DATEVALUE($A82),'changes1_based on steps'!I$1:I$400,0)),I$2,)</f>
        <v>0</v>
      </c>
      <c r="J82" s="179">
        <f ca="1">IF(ISNUMBER(MATCH(DATEVALUE($A82),'changes1_based on steps'!J$1:J$400,0)),J$2,)</f>
        <v>0</v>
      </c>
      <c r="K82" s="179">
        <f ca="1">IF(ISNUMBER(MATCH(DATEVALUE($A82),'changes1_based on steps'!K$1:K$400,0)),K$2,)</f>
        <v>0</v>
      </c>
      <c r="L82" s="179">
        <f ca="1">IF(ISNUMBER(MATCH(DATEVALUE($A82),'changes1_based on steps'!L$1:L$400,0)),L$2,)</f>
        <v>0</v>
      </c>
      <c r="M82" s="179">
        <f ca="1">IF(ISNUMBER(MATCH(DATEVALUE($A82),'changes1_based on steps'!M$1:M$400,0)),M$2,)</f>
        <v>0</v>
      </c>
      <c r="N82" s="179">
        <f ca="1">IF(ISNUMBER(MATCH(DATEVALUE($A82),'changes1_based on steps'!N$1:N$400,0)),N$2,)</f>
        <v>0</v>
      </c>
      <c r="O82" s="179">
        <f ca="1">IF(ISNUMBER(MATCH(DATEVALUE($A82),'changes1_based on steps'!O$1:O$400,0)),O$2,)</f>
        <v>0</v>
      </c>
      <c r="P82" s="179">
        <f ca="1">IF(ISNUMBER(MATCH(DATEVALUE($A82),'changes1_based on steps'!P$1:P$400,0)),P$2,)</f>
        <v>0</v>
      </c>
      <c r="Q82" s="179">
        <f ca="1">IF(ISNUMBER(MATCH(DATEVALUE($A82),'changes1_based on steps'!Q$1:Q$400,0)),Q$2,)</f>
        <v>0</v>
      </c>
      <c r="R82" s="179">
        <f ca="1">IF(ISNUMBER(MATCH(DATEVALUE($A82),'changes1_based on steps'!R$1:R$400,0)),R$2,)</f>
        <v>0</v>
      </c>
      <c r="S82" s="179">
        <f ca="1">IF(ISNUMBER(MATCH(DATEVALUE($A82),'changes1_based on steps'!S$1:S$400,0)),S$2,)</f>
        <v>0</v>
      </c>
      <c r="T82" s="179">
        <f ca="1">IF(ISNUMBER(MATCH(DATEVALUE($A82),'changes1_based on steps'!T$1:T$400,0)),T$2,)</f>
        <v>0</v>
      </c>
      <c r="U82" s="179">
        <f ca="1">IF(ISNUMBER(MATCH(DATEVALUE($A82),'changes1_based on steps'!U$1:U$400,0)),U$2,)</f>
        <v>0</v>
      </c>
      <c r="V82" s="179"/>
      <c r="W82" s="179"/>
      <c r="X82" s="179"/>
      <c r="Y82" s="179"/>
      <c r="Z82" s="179"/>
      <c r="AA82" s="179"/>
      <c r="AB82" s="179"/>
      <c r="AC82" s="179"/>
      <c r="AD82" s="179"/>
      <c r="AE82" s="179"/>
      <c r="AF82" s="179"/>
      <c r="AG82" s="179"/>
      <c r="AH82" s="179"/>
      <c r="AI82" s="179"/>
      <c r="AJ82" s="179"/>
      <c r="AK82" s="179"/>
      <c r="AL82" s="179"/>
      <c r="AM82" s="179"/>
      <c r="AN82" s="179"/>
      <c r="AO82" s="179"/>
      <c r="AP82" s="179"/>
      <c r="AQ82" s="179"/>
      <c r="AR82" s="179"/>
      <c r="AS82" s="179"/>
      <c r="AT82" s="179"/>
      <c r="AU82" s="179"/>
      <c r="AV82" s="179"/>
      <c r="AW82" s="179"/>
      <c r="AX82" s="179"/>
      <c r="AY82" s="179"/>
      <c r="AZ82" s="179"/>
      <c r="BA82" s="179"/>
      <c r="BB82" s="179"/>
      <c r="BC82" s="179"/>
      <c r="BD82" s="179"/>
      <c r="BE82" s="179"/>
      <c r="BF82" s="179"/>
      <c r="BG82" s="179"/>
      <c r="BH82" s="179"/>
      <c r="BI82" s="179"/>
      <c r="BJ82" s="179"/>
      <c r="BK82" s="179"/>
      <c r="BL82" s="179"/>
      <c r="BM82" s="179"/>
      <c r="BN82" s="179"/>
      <c r="BO82" s="179"/>
      <c r="BP82" s="179"/>
      <c r="BQ82" s="179"/>
      <c r="BR82" s="179"/>
      <c r="BS82" s="179"/>
      <c r="BT82" s="179"/>
      <c r="BU82" s="179"/>
      <c r="BV82" s="179"/>
      <c r="BW82" s="179"/>
      <c r="BX82" s="179"/>
      <c r="BY82" s="179"/>
      <c r="BZ82" s="179"/>
      <c r="CA82" s="179"/>
      <c r="CB82" s="179"/>
      <c r="CC82" s="179"/>
      <c r="CD82" s="179"/>
      <c r="CE82" s="179"/>
      <c r="CF82" s="179"/>
      <c r="CG82" s="179"/>
      <c r="CH82" s="179"/>
      <c r="CI82" s="179"/>
      <c r="CJ82" s="179"/>
      <c r="CK82" s="179"/>
      <c r="CL82" s="179"/>
      <c r="CM82" s="179"/>
      <c r="CN82" s="179"/>
      <c r="CO82" s="179"/>
      <c r="CP82" s="179"/>
      <c r="CQ82" s="179"/>
      <c r="CR82" s="179"/>
      <c r="CS82" s="179"/>
      <c r="CT82" s="179"/>
      <c r="CU82" s="179"/>
      <c r="CV82" s="179"/>
      <c r="CW82" s="179"/>
    </row>
    <row r="83" spans="1:101" x14ac:dyDescent="0.2">
      <c r="A83" s="32" t="str">
        <f t="shared" ca="1" si="1"/>
        <v>2025-06-24</v>
      </c>
      <c r="B83" s="179">
        <f ca="1">IF(ISNUMBER(MATCH(DATEVALUE($A83),'changes1_based on steps'!B$1:B$400,0)),B$2,)</f>
        <v>0</v>
      </c>
      <c r="C83" s="179">
        <f ca="1">IF(ISNUMBER(MATCH(DATEVALUE($A83),'changes1_based on steps'!C$1:C$400,0)),C$2,)</f>
        <v>0</v>
      </c>
      <c r="D83" s="179">
        <f ca="1">IF(ISNUMBER(MATCH(DATEVALUE($A83),'changes1_based on steps'!D$1:D$400,0)),D$2,)</f>
        <v>0</v>
      </c>
      <c r="E83" s="179">
        <f ca="1">IF(ISNUMBER(MATCH(DATEVALUE($A83),'changes1_based on steps'!E$1:E$400,0)),E$2,)</f>
        <v>0</v>
      </c>
      <c r="F83" s="179">
        <f ca="1">IF(ISNUMBER(MATCH(DATEVALUE($A83),'changes1_based on steps'!F$1:F$400,0)),F$2,)</f>
        <v>0</v>
      </c>
      <c r="G83" s="179">
        <f ca="1">IF(ISNUMBER(MATCH(DATEVALUE($A83),'changes1_based on steps'!G$1:G$400,0)),G$2,)</f>
        <v>0</v>
      </c>
      <c r="H83" s="179">
        <f ca="1">IF(ISNUMBER(MATCH(DATEVALUE($A83),'changes1_based on steps'!H$1:H$400,0)),H$2,)</f>
        <v>0</v>
      </c>
      <c r="I83" s="179">
        <f ca="1">IF(ISNUMBER(MATCH(DATEVALUE($A83),'changes1_based on steps'!I$1:I$400,0)),I$2,)</f>
        <v>0</v>
      </c>
      <c r="J83" s="179">
        <f ca="1">IF(ISNUMBER(MATCH(DATEVALUE($A83),'changes1_based on steps'!J$1:J$400,0)),J$2,)</f>
        <v>0</v>
      </c>
      <c r="K83" s="179">
        <f ca="1">IF(ISNUMBER(MATCH(DATEVALUE($A83),'changes1_based on steps'!K$1:K$400,0)),K$2,)</f>
        <v>0</v>
      </c>
      <c r="L83" s="179">
        <f ca="1">IF(ISNUMBER(MATCH(DATEVALUE($A83),'changes1_based on steps'!L$1:L$400,0)),L$2,)</f>
        <v>0</v>
      </c>
      <c r="M83" s="179">
        <f ca="1">IF(ISNUMBER(MATCH(DATEVALUE($A83),'changes1_based on steps'!M$1:M$400,0)),M$2,)</f>
        <v>0</v>
      </c>
      <c r="N83" s="179">
        <f ca="1">IF(ISNUMBER(MATCH(DATEVALUE($A83),'changes1_based on steps'!N$1:N$400,0)),N$2,)</f>
        <v>0</v>
      </c>
      <c r="O83" s="179">
        <f ca="1">IF(ISNUMBER(MATCH(DATEVALUE($A83),'changes1_based on steps'!O$1:O$400,0)),O$2,)</f>
        <v>0</v>
      </c>
      <c r="P83" s="179">
        <f ca="1">IF(ISNUMBER(MATCH(DATEVALUE($A83),'changes1_based on steps'!P$1:P$400,0)),P$2,)</f>
        <v>0</v>
      </c>
      <c r="Q83" s="179">
        <f ca="1">IF(ISNUMBER(MATCH(DATEVALUE($A83),'changes1_based on steps'!Q$1:Q$400,0)),Q$2,)</f>
        <v>0</v>
      </c>
      <c r="R83" s="179">
        <f ca="1">IF(ISNUMBER(MATCH(DATEVALUE($A83),'changes1_based on steps'!R$1:R$400,0)),R$2,)</f>
        <v>0</v>
      </c>
      <c r="S83" s="179">
        <f ca="1">IF(ISNUMBER(MATCH(DATEVALUE($A83),'changes1_based on steps'!S$1:S$400,0)),S$2,)</f>
        <v>0</v>
      </c>
      <c r="T83" s="179">
        <f ca="1">IF(ISNUMBER(MATCH(DATEVALUE($A83),'changes1_based on steps'!T$1:T$400,0)),T$2,)</f>
        <v>0</v>
      </c>
      <c r="U83" s="179">
        <f ca="1">IF(ISNUMBER(MATCH(DATEVALUE($A83),'changes1_based on steps'!U$1:U$400,0)),U$2,)</f>
        <v>0</v>
      </c>
      <c r="V83" s="179"/>
      <c r="W83" s="179"/>
      <c r="X83" s="179"/>
      <c r="Y83" s="179"/>
      <c r="Z83" s="179"/>
      <c r="AA83" s="179"/>
      <c r="AB83" s="179"/>
      <c r="AC83" s="179"/>
      <c r="AD83" s="179"/>
      <c r="AE83" s="179"/>
      <c r="AF83" s="179"/>
      <c r="AG83" s="179"/>
      <c r="AH83" s="179"/>
      <c r="AI83" s="179"/>
      <c r="AJ83" s="179"/>
      <c r="AK83" s="179"/>
      <c r="AL83" s="179"/>
      <c r="AM83" s="179"/>
      <c r="AN83" s="179"/>
      <c r="AO83" s="179"/>
      <c r="AP83" s="179"/>
      <c r="AQ83" s="179"/>
      <c r="AR83" s="179"/>
      <c r="AS83" s="179"/>
      <c r="AT83" s="179"/>
      <c r="AU83" s="179"/>
      <c r="AV83" s="179"/>
      <c r="AW83" s="179"/>
      <c r="AX83" s="179"/>
      <c r="AY83" s="179"/>
      <c r="AZ83" s="179"/>
      <c r="BA83" s="179"/>
      <c r="BB83" s="179"/>
      <c r="BC83" s="179"/>
      <c r="BD83" s="179"/>
      <c r="BE83" s="179"/>
      <c r="BF83" s="179"/>
      <c r="BG83" s="179"/>
      <c r="BH83" s="179"/>
      <c r="BI83" s="179"/>
      <c r="BJ83" s="179"/>
      <c r="BK83" s="179"/>
      <c r="BL83" s="179"/>
      <c r="BM83" s="179"/>
      <c r="BN83" s="179"/>
      <c r="BO83" s="179"/>
      <c r="BP83" s="179"/>
      <c r="BQ83" s="179"/>
      <c r="BR83" s="179"/>
      <c r="BS83" s="179"/>
      <c r="BT83" s="179"/>
      <c r="BU83" s="179"/>
      <c r="BV83" s="179"/>
      <c r="BW83" s="179"/>
      <c r="BX83" s="179"/>
      <c r="BY83" s="179"/>
      <c r="BZ83" s="179"/>
      <c r="CA83" s="179"/>
      <c r="CB83" s="179"/>
      <c r="CC83" s="179"/>
      <c r="CD83" s="179"/>
      <c r="CE83" s="179"/>
      <c r="CF83" s="179"/>
      <c r="CG83" s="179"/>
      <c r="CH83" s="179"/>
      <c r="CI83" s="179"/>
      <c r="CJ83" s="179"/>
      <c r="CK83" s="179"/>
      <c r="CL83" s="179"/>
      <c r="CM83" s="179"/>
      <c r="CN83" s="179"/>
      <c r="CO83" s="179"/>
      <c r="CP83" s="179"/>
      <c r="CQ83" s="179"/>
      <c r="CR83" s="179"/>
      <c r="CS83" s="179"/>
      <c r="CT83" s="179"/>
      <c r="CU83" s="179"/>
      <c r="CV83" s="179"/>
      <c r="CW83" s="179"/>
    </row>
    <row r="84" spans="1:101" x14ac:dyDescent="0.2">
      <c r="A84" s="32" t="str">
        <f t="shared" ca="1" si="1"/>
        <v>2025-06-25</v>
      </c>
      <c r="B84" s="179">
        <f ca="1">IF(ISNUMBER(MATCH(DATEVALUE($A84),'changes1_based on steps'!B$1:B$400,0)),B$2,)</f>
        <v>0</v>
      </c>
      <c r="C84" s="179">
        <f ca="1">IF(ISNUMBER(MATCH(DATEVALUE($A84),'changes1_based on steps'!C$1:C$400,0)),C$2,)</f>
        <v>0</v>
      </c>
      <c r="D84" s="179">
        <f ca="1">IF(ISNUMBER(MATCH(DATEVALUE($A84),'changes1_based on steps'!D$1:D$400,0)),D$2,)</f>
        <v>0</v>
      </c>
      <c r="E84" s="179">
        <f ca="1">IF(ISNUMBER(MATCH(DATEVALUE($A84),'changes1_based on steps'!E$1:E$400,0)),E$2,)</f>
        <v>0</v>
      </c>
      <c r="F84" s="179">
        <f ca="1">IF(ISNUMBER(MATCH(DATEVALUE($A84),'changes1_based on steps'!F$1:F$400,0)),F$2,)</f>
        <v>0</v>
      </c>
      <c r="G84" s="179">
        <f ca="1">IF(ISNUMBER(MATCH(DATEVALUE($A84),'changes1_based on steps'!G$1:G$400,0)),G$2,)</f>
        <v>0</v>
      </c>
      <c r="H84" s="179">
        <f ca="1">IF(ISNUMBER(MATCH(DATEVALUE($A84),'changes1_based on steps'!H$1:H$400,0)),H$2,)</f>
        <v>0</v>
      </c>
      <c r="I84" s="179">
        <f ca="1">IF(ISNUMBER(MATCH(DATEVALUE($A84),'changes1_based on steps'!I$1:I$400,0)),I$2,)</f>
        <v>0</v>
      </c>
      <c r="J84" s="179">
        <f ca="1">IF(ISNUMBER(MATCH(DATEVALUE($A84),'changes1_based on steps'!J$1:J$400,0)),J$2,)</f>
        <v>0</v>
      </c>
      <c r="K84" s="179">
        <f ca="1">IF(ISNUMBER(MATCH(DATEVALUE($A84),'changes1_based on steps'!K$1:K$400,0)),K$2,)</f>
        <v>0</v>
      </c>
      <c r="L84" s="179">
        <f ca="1">IF(ISNUMBER(MATCH(DATEVALUE($A84),'changes1_based on steps'!L$1:L$400,0)),L$2,)</f>
        <v>0</v>
      </c>
      <c r="M84" s="179">
        <f ca="1">IF(ISNUMBER(MATCH(DATEVALUE($A84),'changes1_based on steps'!M$1:M$400,0)),M$2,)</f>
        <v>0</v>
      </c>
      <c r="N84" s="179">
        <f ca="1">IF(ISNUMBER(MATCH(DATEVALUE($A84),'changes1_based on steps'!N$1:N$400,0)),N$2,)</f>
        <v>0</v>
      </c>
      <c r="O84" s="179">
        <f ca="1">IF(ISNUMBER(MATCH(DATEVALUE($A84),'changes1_based on steps'!O$1:O$400,0)),O$2,)</f>
        <v>0</v>
      </c>
      <c r="P84" s="179">
        <f ca="1">IF(ISNUMBER(MATCH(DATEVALUE($A84),'changes1_based on steps'!P$1:P$400,0)),P$2,)</f>
        <v>0</v>
      </c>
      <c r="Q84" s="179">
        <f ca="1">IF(ISNUMBER(MATCH(DATEVALUE($A84),'changes1_based on steps'!Q$1:Q$400,0)),Q$2,)</f>
        <v>0</v>
      </c>
      <c r="R84" s="179">
        <f ca="1">IF(ISNUMBER(MATCH(DATEVALUE($A84),'changes1_based on steps'!R$1:R$400,0)),R$2,)</f>
        <v>0</v>
      </c>
      <c r="S84" s="179">
        <f ca="1">IF(ISNUMBER(MATCH(DATEVALUE($A84),'changes1_based on steps'!S$1:S$400,0)),S$2,)</f>
        <v>0</v>
      </c>
      <c r="T84" s="179">
        <f ca="1">IF(ISNUMBER(MATCH(DATEVALUE($A84),'changes1_based on steps'!T$1:T$400,0)),T$2,)</f>
        <v>0</v>
      </c>
      <c r="U84" s="179">
        <f ca="1">IF(ISNUMBER(MATCH(DATEVALUE($A84),'changes1_based on steps'!U$1:U$400,0)),U$2,)</f>
        <v>0</v>
      </c>
      <c r="V84" s="179"/>
      <c r="W84" s="179"/>
      <c r="X84" s="179"/>
      <c r="Y84" s="179"/>
      <c r="Z84" s="179"/>
      <c r="AA84" s="179"/>
      <c r="AB84" s="179"/>
      <c r="AC84" s="179"/>
      <c r="AD84" s="179"/>
      <c r="AE84" s="179"/>
      <c r="AF84" s="179"/>
      <c r="AG84" s="179"/>
      <c r="AH84" s="179"/>
      <c r="AI84" s="179"/>
      <c r="AJ84" s="179"/>
      <c r="AK84" s="179"/>
      <c r="AL84" s="179"/>
      <c r="AM84" s="179"/>
      <c r="AN84" s="179"/>
      <c r="AO84" s="179"/>
      <c r="AP84" s="179"/>
      <c r="AQ84" s="179"/>
      <c r="AR84" s="179"/>
      <c r="AS84" s="179"/>
      <c r="AT84" s="179"/>
      <c r="AU84" s="179"/>
      <c r="AV84" s="179"/>
      <c r="AW84" s="179"/>
      <c r="AX84" s="179"/>
      <c r="AY84" s="179"/>
      <c r="AZ84" s="179"/>
      <c r="BA84" s="179"/>
      <c r="BB84" s="179"/>
      <c r="BC84" s="179"/>
      <c r="BD84" s="179"/>
      <c r="BE84" s="179"/>
      <c r="BF84" s="179"/>
      <c r="BG84" s="179"/>
      <c r="BH84" s="179"/>
      <c r="BI84" s="179"/>
      <c r="BJ84" s="179"/>
      <c r="BK84" s="179"/>
      <c r="BL84" s="179"/>
      <c r="BM84" s="179"/>
      <c r="BN84" s="179"/>
      <c r="BO84" s="179"/>
      <c r="BP84" s="179"/>
      <c r="BQ84" s="179"/>
      <c r="BR84" s="179"/>
      <c r="BS84" s="179"/>
      <c r="BT84" s="179"/>
      <c r="BU84" s="179"/>
      <c r="BV84" s="179"/>
      <c r="BW84" s="179"/>
      <c r="BX84" s="179"/>
      <c r="BY84" s="179"/>
      <c r="BZ84" s="179"/>
      <c r="CA84" s="179"/>
      <c r="CB84" s="179"/>
      <c r="CC84" s="179"/>
      <c r="CD84" s="179"/>
      <c r="CE84" s="179"/>
      <c r="CF84" s="179"/>
      <c r="CG84" s="179"/>
      <c r="CH84" s="179"/>
      <c r="CI84" s="179"/>
      <c r="CJ84" s="179"/>
      <c r="CK84" s="179"/>
      <c r="CL84" s="179"/>
      <c r="CM84" s="179"/>
      <c r="CN84" s="179"/>
      <c r="CO84" s="179"/>
      <c r="CP84" s="179"/>
      <c r="CQ84" s="179"/>
      <c r="CR84" s="179"/>
      <c r="CS84" s="179"/>
      <c r="CT84" s="179"/>
      <c r="CU84" s="179"/>
      <c r="CV84" s="179"/>
      <c r="CW84" s="179"/>
    </row>
    <row r="85" spans="1:101" x14ac:dyDescent="0.2">
      <c r="A85" s="32" t="str">
        <f t="shared" ca="1" si="1"/>
        <v>2025-06-26</v>
      </c>
      <c r="B85" s="179">
        <f ca="1">IF(ISNUMBER(MATCH(DATEVALUE($A85),'changes1_based on steps'!B$1:B$400,0)),B$2,)</f>
        <v>0</v>
      </c>
      <c r="C85" s="179">
        <f ca="1">IF(ISNUMBER(MATCH(DATEVALUE($A85),'changes1_based on steps'!C$1:C$400,0)),C$2,)</f>
        <v>0</v>
      </c>
      <c r="D85" s="179">
        <f ca="1">IF(ISNUMBER(MATCH(DATEVALUE($A85),'changes1_based on steps'!D$1:D$400,0)),D$2,)</f>
        <v>0</v>
      </c>
      <c r="E85" s="179">
        <f ca="1">IF(ISNUMBER(MATCH(DATEVALUE($A85),'changes1_based on steps'!E$1:E$400,0)),E$2,)</f>
        <v>0</v>
      </c>
      <c r="F85" s="179">
        <f ca="1">IF(ISNUMBER(MATCH(DATEVALUE($A85),'changes1_based on steps'!F$1:F$400,0)),F$2,)</f>
        <v>0</v>
      </c>
      <c r="G85" s="179">
        <f ca="1">IF(ISNUMBER(MATCH(DATEVALUE($A85),'changes1_based on steps'!G$1:G$400,0)),G$2,)</f>
        <v>0</v>
      </c>
      <c r="H85" s="179">
        <f ca="1">IF(ISNUMBER(MATCH(DATEVALUE($A85),'changes1_based on steps'!H$1:H$400,0)),H$2,)</f>
        <v>0</v>
      </c>
      <c r="I85" s="179">
        <f ca="1">IF(ISNUMBER(MATCH(DATEVALUE($A85),'changes1_based on steps'!I$1:I$400,0)),I$2,)</f>
        <v>0</v>
      </c>
      <c r="J85" s="179">
        <f ca="1">IF(ISNUMBER(MATCH(DATEVALUE($A85),'changes1_based on steps'!J$1:J$400,0)),J$2,)</f>
        <v>0</v>
      </c>
      <c r="K85" s="179">
        <f ca="1">IF(ISNUMBER(MATCH(DATEVALUE($A85),'changes1_based on steps'!K$1:K$400,0)),K$2,)</f>
        <v>0</v>
      </c>
      <c r="L85" s="179">
        <f ca="1">IF(ISNUMBER(MATCH(DATEVALUE($A85),'changes1_based on steps'!L$1:L$400,0)),L$2,)</f>
        <v>0</v>
      </c>
      <c r="M85" s="179">
        <f ca="1">IF(ISNUMBER(MATCH(DATEVALUE($A85),'changes1_based on steps'!M$1:M$400,0)),M$2,)</f>
        <v>0</v>
      </c>
      <c r="N85" s="179">
        <f ca="1">IF(ISNUMBER(MATCH(DATEVALUE($A85),'changes1_based on steps'!N$1:N$400,0)),N$2,)</f>
        <v>0</v>
      </c>
      <c r="O85" s="179">
        <f ca="1">IF(ISNUMBER(MATCH(DATEVALUE($A85),'changes1_based on steps'!O$1:O$400,0)),O$2,)</f>
        <v>0</v>
      </c>
      <c r="P85" s="179">
        <f ca="1">IF(ISNUMBER(MATCH(DATEVALUE($A85),'changes1_based on steps'!P$1:P$400,0)),P$2,)</f>
        <v>0</v>
      </c>
      <c r="Q85" s="179">
        <f ca="1">IF(ISNUMBER(MATCH(DATEVALUE($A85),'changes1_based on steps'!Q$1:Q$400,0)),Q$2,)</f>
        <v>0</v>
      </c>
      <c r="R85" s="179">
        <f ca="1">IF(ISNUMBER(MATCH(DATEVALUE($A85),'changes1_based on steps'!R$1:R$400,0)),R$2,)</f>
        <v>0</v>
      </c>
      <c r="S85" s="179">
        <f ca="1">IF(ISNUMBER(MATCH(DATEVALUE($A85),'changes1_based on steps'!S$1:S$400,0)),S$2,)</f>
        <v>0</v>
      </c>
      <c r="T85" s="179">
        <f ca="1">IF(ISNUMBER(MATCH(DATEVALUE($A85),'changes1_based on steps'!T$1:T$400,0)),T$2,)</f>
        <v>0</v>
      </c>
      <c r="U85" s="179">
        <f ca="1">IF(ISNUMBER(MATCH(DATEVALUE($A85),'changes1_based on steps'!U$1:U$400,0)),U$2,)</f>
        <v>0</v>
      </c>
      <c r="V85" s="179"/>
      <c r="W85" s="179"/>
      <c r="X85" s="179"/>
      <c r="Y85" s="179"/>
      <c r="Z85" s="179"/>
      <c r="AA85" s="179"/>
      <c r="AB85" s="179"/>
      <c r="AC85" s="179"/>
      <c r="AD85" s="179"/>
      <c r="AE85" s="179"/>
      <c r="AF85" s="179"/>
      <c r="AG85" s="179"/>
      <c r="AH85" s="179"/>
      <c r="AI85" s="179"/>
      <c r="AJ85" s="179"/>
      <c r="AK85" s="179"/>
      <c r="AL85" s="179"/>
      <c r="AM85" s="179"/>
      <c r="AN85" s="179"/>
      <c r="AO85" s="179"/>
      <c r="AP85" s="179"/>
      <c r="AQ85" s="179"/>
      <c r="AR85" s="179"/>
      <c r="AS85" s="179"/>
      <c r="AT85" s="179"/>
      <c r="AU85" s="179"/>
      <c r="AV85" s="179"/>
      <c r="AW85" s="179"/>
      <c r="AX85" s="179"/>
      <c r="AY85" s="179"/>
      <c r="AZ85" s="179"/>
      <c r="BA85" s="179"/>
      <c r="BB85" s="179"/>
      <c r="BC85" s="179"/>
      <c r="BD85" s="179"/>
      <c r="BE85" s="179"/>
      <c r="BF85" s="179"/>
      <c r="BG85" s="179"/>
      <c r="BH85" s="179"/>
      <c r="BI85" s="179"/>
      <c r="BJ85" s="179"/>
      <c r="BK85" s="179"/>
      <c r="BL85" s="179"/>
      <c r="BM85" s="179"/>
      <c r="BN85" s="179"/>
      <c r="BO85" s="179"/>
      <c r="BP85" s="179"/>
      <c r="BQ85" s="179"/>
      <c r="BR85" s="179"/>
      <c r="BS85" s="179"/>
      <c r="BT85" s="179"/>
      <c r="BU85" s="179"/>
      <c r="BV85" s="179"/>
      <c r="BW85" s="179"/>
      <c r="BX85" s="179"/>
      <c r="BY85" s="179"/>
      <c r="BZ85" s="179"/>
      <c r="CA85" s="179"/>
      <c r="CB85" s="179"/>
      <c r="CC85" s="179"/>
      <c r="CD85" s="179"/>
      <c r="CE85" s="179"/>
      <c r="CF85" s="179"/>
      <c r="CG85" s="179"/>
      <c r="CH85" s="179"/>
      <c r="CI85" s="179"/>
      <c r="CJ85" s="179"/>
      <c r="CK85" s="179"/>
      <c r="CL85" s="179"/>
      <c r="CM85" s="179"/>
      <c r="CN85" s="179"/>
      <c r="CO85" s="179"/>
      <c r="CP85" s="179"/>
      <c r="CQ85" s="179"/>
      <c r="CR85" s="179"/>
      <c r="CS85" s="179"/>
      <c r="CT85" s="179"/>
      <c r="CU85" s="179"/>
      <c r="CV85" s="179"/>
      <c r="CW85" s="179"/>
    </row>
    <row r="86" spans="1:101" x14ac:dyDescent="0.2">
      <c r="A86" s="32" t="str">
        <f t="shared" ca="1" si="1"/>
        <v>2025-06-27</v>
      </c>
      <c r="B86" s="179">
        <f ca="1">IF(ISNUMBER(MATCH(DATEVALUE($A86),'changes1_based on steps'!B$1:B$400,0)),B$2,)</f>
        <v>0</v>
      </c>
      <c r="C86" s="179">
        <f ca="1">IF(ISNUMBER(MATCH(DATEVALUE($A86),'changes1_based on steps'!C$1:C$400,0)),C$2,)</f>
        <v>0</v>
      </c>
      <c r="D86" s="179">
        <f ca="1">IF(ISNUMBER(MATCH(DATEVALUE($A86),'changes1_based on steps'!D$1:D$400,0)),D$2,)</f>
        <v>0</v>
      </c>
      <c r="E86" s="179">
        <f ca="1">IF(ISNUMBER(MATCH(DATEVALUE($A86),'changes1_based on steps'!E$1:E$400,0)),E$2,)</f>
        <v>0</v>
      </c>
      <c r="F86" s="179">
        <f ca="1">IF(ISNUMBER(MATCH(DATEVALUE($A86),'changes1_based on steps'!F$1:F$400,0)),F$2,)</f>
        <v>0</v>
      </c>
      <c r="G86" s="179">
        <f ca="1">IF(ISNUMBER(MATCH(DATEVALUE($A86),'changes1_based on steps'!G$1:G$400,0)),G$2,)</f>
        <v>0</v>
      </c>
      <c r="H86" s="179">
        <f ca="1">IF(ISNUMBER(MATCH(DATEVALUE($A86),'changes1_based on steps'!H$1:H$400,0)),H$2,)</f>
        <v>0</v>
      </c>
      <c r="I86" s="179">
        <f ca="1">IF(ISNUMBER(MATCH(DATEVALUE($A86),'changes1_based on steps'!I$1:I$400,0)),I$2,)</f>
        <v>0</v>
      </c>
      <c r="J86" s="179">
        <f ca="1">IF(ISNUMBER(MATCH(DATEVALUE($A86),'changes1_based on steps'!J$1:J$400,0)),J$2,)</f>
        <v>0</v>
      </c>
      <c r="K86" s="179">
        <f ca="1">IF(ISNUMBER(MATCH(DATEVALUE($A86),'changes1_based on steps'!K$1:K$400,0)),K$2,)</f>
        <v>0</v>
      </c>
      <c r="L86" s="179">
        <f ca="1">IF(ISNUMBER(MATCH(DATEVALUE($A86),'changes1_based on steps'!L$1:L$400,0)),L$2,)</f>
        <v>0</v>
      </c>
      <c r="M86" s="179">
        <f ca="1">IF(ISNUMBER(MATCH(DATEVALUE($A86),'changes1_based on steps'!M$1:M$400,0)),M$2,)</f>
        <v>0</v>
      </c>
      <c r="N86" s="179">
        <f ca="1">IF(ISNUMBER(MATCH(DATEVALUE($A86),'changes1_based on steps'!N$1:N$400,0)),N$2,)</f>
        <v>0</v>
      </c>
      <c r="O86" s="179">
        <f ca="1">IF(ISNUMBER(MATCH(DATEVALUE($A86),'changes1_based on steps'!O$1:O$400,0)),O$2,)</f>
        <v>0</v>
      </c>
      <c r="P86" s="179">
        <f ca="1">IF(ISNUMBER(MATCH(DATEVALUE($A86),'changes1_based on steps'!P$1:P$400,0)),P$2,)</f>
        <v>0</v>
      </c>
      <c r="Q86" s="179">
        <f ca="1">IF(ISNUMBER(MATCH(DATEVALUE($A86),'changes1_based on steps'!Q$1:Q$400,0)),Q$2,)</f>
        <v>0</v>
      </c>
      <c r="R86" s="179">
        <f ca="1">IF(ISNUMBER(MATCH(DATEVALUE($A86),'changes1_based on steps'!R$1:R$400,0)),R$2,)</f>
        <v>0</v>
      </c>
      <c r="S86" s="179">
        <f ca="1">IF(ISNUMBER(MATCH(DATEVALUE($A86),'changes1_based on steps'!S$1:S$400,0)),S$2,)</f>
        <v>0</v>
      </c>
      <c r="T86" s="179">
        <f ca="1">IF(ISNUMBER(MATCH(DATEVALUE($A86),'changes1_based on steps'!T$1:T$400,0)),T$2,)</f>
        <v>0</v>
      </c>
      <c r="U86" s="179">
        <f ca="1">IF(ISNUMBER(MATCH(DATEVALUE($A86),'changes1_based on steps'!U$1:U$400,0)),U$2,)</f>
        <v>0</v>
      </c>
      <c r="V86" s="179"/>
      <c r="W86" s="179"/>
      <c r="X86" s="179"/>
      <c r="Y86" s="179"/>
      <c r="Z86" s="179"/>
      <c r="AA86" s="179"/>
      <c r="AB86" s="179"/>
      <c r="AC86" s="179"/>
      <c r="AD86" s="179"/>
      <c r="AE86" s="179"/>
      <c r="AF86" s="179"/>
      <c r="AG86" s="179"/>
      <c r="AH86" s="179"/>
      <c r="AI86" s="179"/>
      <c r="AJ86" s="179"/>
      <c r="AK86" s="179"/>
      <c r="AL86" s="179"/>
      <c r="AM86" s="179"/>
      <c r="AN86" s="179"/>
      <c r="AO86" s="179"/>
      <c r="AP86" s="179"/>
      <c r="AQ86" s="179"/>
      <c r="AR86" s="179"/>
      <c r="AS86" s="179"/>
      <c r="AT86" s="179"/>
      <c r="AU86" s="179"/>
      <c r="AV86" s="179"/>
      <c r="AW86" s="179"/>
      <c r="AX86" s="179"/>
      <c r="AY86" s="179"/>
      <c r="AZ86" s="179"/>
      <c r="BA86" s="179"/>
      <c r="BB86" s="179"/>
      <c r="BC86" s="179"/>
      <c r="BD86" s="179"/>
      <c r="BE86" s="179"/>
      <c r="BF86" s="179"/>
      <c r="BG86" s="179"/>
      <c r="BH86" s="179"/>
      <c r="BI86" s="179"/>
      <c r="BJ86" s="179"/>
      <c r="BK86" s="179"/>
      <c r="BL86" s="179"/>
      <c r="BM86" s="179"/>
      <c r="BN86" s="179"/>
      <c r="BO86" s="179"/>
      <c r="BP86" s="179"/>
      <c r="BQ86" s="179"/>
      <c r="BR86" s="179"/>
      <c r="BS86" s="179"/>
      <c r="BT86" s="179"/>
      <c r="BU86" s="179"/>
      <c r="BV86" s="179"/>
      <c r="BW86" s="179"/>
      <c r="BX86" s="179"/>
      <c r="BY86" s="179"/>
      <c r="BZ86" s="179"/>
      <c r="CA86" s="179"/>
      <c r="CB86" s="179"/>
      <c r="CC86" s="179"/>
      <c r="CD86" s="179"/>
      <c r="CE86" s="179"/>
      <c r="CF86" s="179"/>
      <c r="CG86" s="179"/>
      <c r="CH86" s="179"/>
      <c r="CI86" s="179"/>
      <c r="CJ86" s="179"/>
      <c r="CK86" s="179"/>
      <c r="CL86" s="179"/>
      <c r="CM86" s="179"/>
      <c r="CN86" s="179"/>
      <c r="CO86" s="179"/>
      <c r="CP86" s="179"/>
      <c r="CQ86" s="179"/>
      <c r="CR86" s="179"/>
      <c r="CS86" s="179"/>
      <c r="CT86" s="179"/>
      <c r="CU86" s="179"/>
      <c r="CV86" s="179"/>
      <c r="CW86" s="179"/>
    </row>
    <row r="87" spans="1:101" x14ac:dyDescent="0.2">
      <c r="A87" s="32" t="str">
        <f t="shared" ca="1" si="1"/>
        <v>2025-06-28</v>
      </c>
      <c r="B87" s="179">
        <f ca="1">IF(ISNUMBER(MATCH(DATEVALUE($A87),'changes1_based on steps'!B$1:B$400,0)),B$2,)</f>
        <v>0</v>
      </c>
      <c r="C87" s="179">
        <f ca="1">IF(ISNUMBER(MATCH(DATEVALUE($A87),'changes1_based on steps'!C$1:C$400,0)),C$2,)</f>
        <v>0</v>
      </c>
      <c r="D87" s="179">
        <f ca="1">IF(ISNUMBER(MATCH(DATEVALUE($A87),'changes1_based on steps'!D$1:D$400,0)),D$2,)</f>
        <v>0</v>
      </c>
      <c r="E87" s="179">
        <f ca="1">IF(ISNUMBER(MATCH(DATEVALUE($A87),'changes1_based on steps'!E$1:E$400,0)),E$2,)</f>
        <v>0</v>
      </c>
      <c r="F87" s="179">
        <f ca="1">IF(ISNUMBER(MATCH(DATEVALUE($A87),'changes1_based on steps'!F$1:F$400,0)),F$2,)</f>
        <v>0</v>
      </c>
      <c r="G87" s="179">
        <f ca="1">IF(ISNUMBER(MATCH(DATEVALUE($A87),'changes1_based on steps'!G$1:G$400,0)),G$2,)</f>
        <v>0</v>
      </c>
      <c r="H87" s="179">
        <f ca="1">IF(ISNUMBER(MATCH(DATEVALUE($A87),'changes1_based on steps'!H$1:H$400,0)),H$2,)</f>
        <v>0</v>
      </c>
      <c r="I87" s="179">
        <f ca="1">IF(ISNUMBER(MATCH(DATEVALUE($A87),'changes1_based on steps'!I$1:I$400,0)),I$2,)</f>
        <v>0</v>
      </c>
      <c r="J87" s="179">
        <f ca="1">IF(ISNUMBER(MATCH(DATEVALUE($A87),'changes1_based on steps'!J$1:J$400,0)),J$2,)</f>
        <v>0</v>
      </c>
      <c r="K87" s="179">
        <f ca="1">IF(ISNUMBER(MATCH(DATEVALUE($A87),'changes1_based on steps'!K$1:K$400,0)),K$2,)</f>
        <v>0</v>
      </c>
      <c r="L87" s="179">
        <f ca="1">IF(ISNUMBER(MATCH(DATEVALUE($A87),'changes1_based on steps'!L$1:L$400,0)),L$2,)</f>
        <v>0</v>
      </c>
      <c r="M87" s="179">
        <f ca="1">IF(ISNUMBER(MATCH(DATEVALUE($A87),'changes1_based on steps'!M$1:M$400,0)),M$2,)</f>
        <v>0</v>
      </c>
      <c r="N87" s="179">
        <f ca="1">IF(ISNUMBER(MATCH(DATEVALUE($A87),'changes1_based on steps'!N$1:N$400,0)),N$2,)</f>
        <v>0</v>
      </c>
      <c r="O87" s="179">
        <f ca="1">IF(ISNUMBER(MATCH(DATEVALUE($A87),'changes1_based on steps'!O$1:O$400,0)),O$2,)</f>
        <v>0</v>
      </c>
      <c r="P87" s="179">
        <f ca="1">IF(ISNUMBER(MATCH(DATEVALUE($A87),'changes1_based on steps'!P$1:P$400,0)),P$2,)</f>
        <v>0</v>
      </c>
      <c r="Q87" s="179">
        <f ca="1">IF(ISNUMBER(MATCH(DATEVALUE($A87),'changes1_based on steps'!Q$1:Q$400,0)),Q$2,)</f>
        <v>0</v>
      </c>
      <c r="R87" s="179">
        <f ca="1">IF(ISNUMBER(MATCH(DATEVALUE($A87),'changes1_based on steps'!R$1:R$400,0)),R$2,)</f>
        <v>0</v>
      </c>
      <c r="S87" s="179">
        <f ca="1">IF(ISNUMBER(MATCH(DATEVALUE($A87),'changes1_based on steps'!S$1:S$400,0)),S$2,)</f>
        <v>0</v>
      </c>
      <c r="T87" s="179">
        <f ca="1">IF(ISNUMBER(MATCH(DATEVALUE($A87),'changes1_based on steps'!T$1:T$400,0)),T$2,)</f>
        <v>0</v>
      </c>
      <c r="U87" s="179">
        <f ca="1">IF(ISNUMBER(MATCH(DATEVALUE($A87),'changes1_based on steps'!U$1:U$400,0)),U$2,)</f>
        <v>0</v>
      </c>
      <c r="V87" s="179"/>
      <c r="W87" s="179"/>
      <c r="X87" s="179"/>
      <c r="Y87" s="179"/>
      <c r="Z87" s="179"/>
      <c r="AA87" s="179"/>
      <c r="AB87" s="179"/>
      <c r="AC87" s="179"/>
      <c r="AD87" s="179"/>
      <c r="AE87" s="179"/>
      <c r="AF87" s="179"/>
      <c r="AG87" s="179"/>
      <c r="AH87" s="179"/>
      <c r="AI87" s="179"/>
      <c r="AJ87" s="179"/>
      <c r="AK87" s="179"/>
      <c r="AL87" s="179"/>
      <c r="AM87" s="179"/>
      <c r="AN87" s="179"/>
      <c r="AO87" s="179"/>
      <c r="AP87" s="179"/>
      <c r="AQ87" s="179"/>
      <c r="AR87" s="179"/>
      <c r="AS87" s="179"/>
      <c r="AT87" s="179"/>
      <c r="AU87" s="179"/>
      <c r="AV87" s="179"/>
      <c r="AW87" s="179"/>
      <c r="AX87" s="179"/>
      <c r="AY87" s="179"/>
      <c r="AZ87" s="179"/>
      <c r="BA87" s="179"/>
      <c r="BB87" s="179"/>
      <c r="BC87" s="179"/>
      <c r="BD87" s="179"/>
      <c r="BE87" s="179"/>
      <c r="BF87" s="179"/>
      <c r="BG87" s="179"/>
      <c r="BH87" s="179"/>
      <c r="BI87" s="179"/>
      <c r="BJ87" s="179"/>
      <c r="BK87" s="179"/>
      <c r="BL87" s="179"/>
      <c r="BM87" s="179"/>
      <c r="BN87" s="179"/>
      <c r="BO87" s="179"/>
      <c r="BP87" s="179"/>
      <c r="BQ87" s="179"/>
      <c r="BR87" s="179"/>
      <c r="BS87" s="179"/>
      <c r="BT87" s="179"/>
      <c r="BU87" s="179"/>
      <c r="BV87" s="179"/>
      <c r="BW87" s="179"/>
      <c r="BX87" s="179"/>
      <c r="BY87" s="179"/>
      <c r="BZ87" s="179"/>
      <c r="CA87" s="179"/>
      <c r="CB87" s="179"/>
      <c r="CC87" s="179"/>
      <c r="CD87" s="179"/>
      <c r="CE87" s="179"/>
      <c r="CF87" s="179"/>
      <c r="CG87" s="179"/>
      <c r="CH87" s="179"/>
      <c r="CI87" s="179"/>
      <c r="CJ87" s="179"/>
      <c r="CK87" s="179"/>
      <c r="CL87" s="179"/>
      <c r="CM87" s="179"/>
      <c r="CN87" s="179"/>
      <c r="CO87" s="179"/>
      <c r="CP87" s="179"/>
      <c r="CQ87" s="179"/>
      <c r="CR87" s="179"/>
      <c r="CS87" s="179"/>
      <c r="CT87" s="179"/>
      <c r="CU87" s="179"/>
      <c r="CV87" s="179"/>
      <c r="CW87" s="179"/>
    </row>
    <row r="88" spans="1:101" x14ac:dyDescent="0.2">
      <c r="A88" s="32" t="str">
        <f t="shared" ca="1" si="1"/>
        <v>2025-06-29</v>
      </c>
      <c r="B88" s="179">
        <f ca="1">IF(ISNUMBER(MATCH(DATEVALUE($A88),'changes1_based on steps'!B$1:B$400,0)),B$2,)</f>
        <v>0</v>
      </c>
      <c r="C88" s="179">
        <f ca="1">IF(ISNUMBER(MATCH(DATEVALUE($A88),'changes1_based on steps'!C$1:C$400,0)),C$2,)</f>
        <v>0</v>
      </c>
      <c r="D88" s="179">
        <f ca="1">IF(ISNUMBER(MATCH(DATEVALUE($A88),'changes1_based on steps'!D$1:D$400,0)),D$2,)</f>
        <v>0</v>
      </c>
      <c r="E88" s="179">
        <f ca="1">IF(ISNUMBER(MATCH(DATEVALUE($A88),'changes1_based on steps'!E$1:E$400,0)),E$2,)</f>
        <v>0</v>
      </c>
      <c r="F88" s="179">
        <f ca="1">IF(ISNUMBER(MATCH(DATEVALUE($A88),'changes1_based on steps'!F$1:F$400,0)),F$2,)</f>
        <v>0</v>
      </c>
      <c r="G88" s="179">
        <f ca="1">IF(ISNUMBER(MATCH(DATEVALUE($A88),'changes1_based on steps'!G$1:G$400,0)),G$2,)</f>
        <v>0</v>
      </c>
      <c r="H88" s="179">
        <f ca="1">IF(ISNUMBER(MATCH(DATEVALUE($A88),'changes1_based on steps'!H$1:H$400,0)),H$2,)</f>
        <v>0</v>
      </c>
      <c r="I88" s="179">
        <f ca="1">IF(ISNUMBER(MATCH(DATEVALUE($A88),'changes1_based on steps'!I$1:I$400,0)),I$2,)</f>
        <v>0</v>
      </c>
      <c r="J88" s="179">
        <f ca="1">IF(ISNUMBER(MATCH(DATEVALUE($A88),'changes1_based on steps'!J$1:J$400,0)),J$2,)</f>
        <v>0</v>
      </c>
      <c r="K88" s="179">
        <f ca="1">IF(ISNUMBER(MATCH(DATEVALUE($A88),'changes1_based on steps'!K$1:K$400,0)),K$2,)</f>
        <v>0</v>
      </c>
      <c r="L88" s="179">
        <f ca="1">IF(ISNUMBER(MATCH(DATEVALUE($A88),'changes1_based on steps'!L$1:L$400,0)),L$2,)</f>
        <v>0</v>
      </c>
      <c r="M88" s="179">
        <f ca="1">IF(ISNUMBER(MATCH(DATEVALUE($A88),'changes1_based on steps'!M$1:M$400,0)),M$2,)</f>
        <v>0</v>
      </c>
      <c r="N88" s="179">
        <f ca="1">IF(ISNUMBER(MATCH(DATEVALUE($A88),'changes1_based on steps'!N$1:N$400,0)),N$2,)</f>
        <v>0</v>
      </c>
      <c r="O88" s="179">
        <f ca="1">IF(ISNUMBER(MATCH(DATEVALUE($A88),'changes1_based on steps'!O$1:O$400,0)),O$2,)</f>
        <v>0</v>
      </c>
      <c r="P88" s="179">
        <f ca="1">IF(ISNUMBER(MATCH(DATEVALUE($A88),'changes1_based on steps'!P$1:P$400,0)),P$2,)</f>
        <v>0</v>
      </c>
      <c r="Q88" s="179">
        <f ca="1">IF(ISNUMBER(MATCH(DATEVALUE($A88),'changes1_based on steps'!Q$1:Q$400,0)),Q$2,)</f>
        <v>0</v>
      </c>
      <c r="R88" s="179">
        <f ca="1">IF(ISNUMBER(MATCH(DATEVALUE($A88),'changes1_based on steps'!R$1:R$400,0)),R$2,)</f>
        <v>0</v>
      </c>
      <c r="S88" s="179">
        <f ca="1">IF(ISNUMBER(MATCH(DATEVALUE($A88),'changes1_based on steps'!S$1:S$400,0)),S$2,)</f>
        <v>0</v>
      </c>
      <c r="T88" s="179">
        <f ca="1">IF(ISNUMBER(MATCH(DATEVALUE($A88),'changes1_based on steps'!T$1:T$400,0)),T$2,)</f>
        <v>0</v>
      </c>
      <c r="U88" s="179">
        <f ca="1">IF(ISNUMBER(MATCH(DATEVALUE($A88),'changes1_based on steps'!U$1:U$400,0)),U$2,)</f>
        <v>0</v>
      </c>
      <c r="V88" s="179"/>
      <c r="W88" s="179"/>
      <c r="X88" s="179"/>
      <c r="Y88" s="179"/>
      <c r="Z88" s="179"/>
      <c r="AA88" s="179"/>
      <c r="AB88" s="179"/>
      <c r="AC88" s="179"/>
      <c r="AD88" s="179"/>
      <c r="AE88" s="179"/>
      <c r="AF88" s="179"/>
      <c r="AG88" s="179"/>
      <c r="AH88" s="179"/>
      <c r="AI88" s="179"/>
      <c r="AJ88" s="179"/>
      <c r="AK88" s="179"/>
      <c r="AL88" s="179"/>
      <c r="AM88" s="179"/>
      <c r="AN88" s="179"/>
      <c r="AO88" s="179"/>
      <c r="AP88" s="179"/>
      <c r="AQ88" s="179"/>
      <c r="AR88" s="179"/>
      <c r="AS88" s="179"/>
      <c r="AT88" s="179"/>
      <c r="AU88" s="179"/>
      <c r="AV88" s="179"/>
      <c r="AW88" s="179"/>
      <c r="AX88" s="179"/>
      <c r="AY88" s="179"/>
      <c r="AZ88" s="179"/>
      <c r="BA88" s="179"/>
      <c r="BB88" s="179"/>
      <c r="BC88" s="179"/>
      <c r="BD88" s="179"/>
      <c r="BE88" s="179"/>
      <c r="BF88" s="179"/>
      <c r="BG88" s="179"/>
      <c r="BH88" s="179"/>
      <c r="BI88" s="179"/>
      <c r="BJ88" s="179"/>
      <c r="BK88" s="179"/>
      <c r="BL88" s="179"/>
      <c r="BM88" s="179"/>
      <c r="BN88" s="179"/>
      <c r="BO88" s="179"/>
      <c r="BP88" s="179"/>
      <c r="BQ88" s="179"/>
      <c r="BR88" s="179"/>
      <c r="BS88" s="179"/>
      <c r="BT88" s="179"/>
      <c r="BU88" s="179"/>
      <c r="BV88" s="179"/>
      <c r="BW88" s="179"/>
      <c r="BX88" s="179"/>
      <c r="BY88" s="179"/>
      <c r="BZ88" s="179"/>
      <c r="CA88" s="179"/>
      <c r="CB88" s="179"/>
      <c r="CC88" s="179"/>
      <c r="CD88" s="179"/>
      <c r="CE88" s="179"/>
      <c r="CF88" s="179"/>
      <c r="CG88" s="179"/>
      <c r="CH88" s="179"/>
      <c r="CI88" s="179"/>
      <c r="CJ88" s="179"/>
      <c r="CK88" s="179"/>
      <c r="CL88" s="179"/>
      <c r="CM88" s="179"/>
      <c r="CN88" s="179"/>
      <c r="CO88" s="179"/>
      <c r="CP88" s="179"/>
      <c r="CQ88" s="179"/>
      <c r="CR88" s="179"/>
      <c r="CS88" s="179"/>
      <c r="CT88" s="179"/>
      <c r="CU88" s="179"/>
      <c r="CV88" s="179"/>
      <c r="CW88" s="179"/>
    </row>
    <row r="89" spans="1:101" x14ac:dyDescent="0.2">
      <c r="A89" s="32" t="str">
        <f t="shared" ca="1" si="1"/>
        <v>2025-06-30</v>
      </c>
      <c r="B89" s="179">
        <f ca="1">IF(ISNUMBER(MATCH(DATEVALUE($A89),'changes1_based on steps'!B$1:B$400,0)),B$2,)</f>
        <v>0</v>
      </c>
      <c r="C89" s="179">
        <f ca="1">IF(ISNUMBER(MATCH(DATEVALUE($A89),'changes1_based on steps'!C$1:C$400,0)),C$2,)</f>
        <v>0</v>
      </c>
      <c r="D89" s="179">
        <f ca="1">IF(ISNUMBER(MATCH(DATEVALUE($A89),'changes1_based on steps'!D$1:D$400,0)),D$2,)</f>
        <v>0</v>
      </c>
      <c r="E89" s="179">
        <f ca="1">IF(ISNUMBER(MATCH(DATEVALUE($A89),'changes1_based on steps'!E$1:E$400,0)),E$2,)</f>
        <v>0</v>
      </c>
      <c r="F89" s="179">
        <f ca="1">IF(ISNUMBER(MATCH(DATEVALUE($A89),'changes1_based on steps'!F$1:F$400,0)),F$2,)</f>
        <v>0</v>
      </c>
      <c r="G89" s="179">
        <f ca="1">IF(ISNUMBER(MATCH(DATEVALUE($A89),'changes1_based on steps'!G$1:G$400,0)),G$2,)</f>
        <v>0</v>
      </c>
      <c r="H89" s="179">
        <f ca="1">IF(ISNUMBER(MATCH(DATEVALUE($A89),'changes1_based on steps'!H$1:H$400,0)),H$2,)</f>
        <v>0</v>
      </c>
      <c r="I89" s="179">
        <f ca="1">IF(ISNUMBER(MATCH(DATEVALUE($A89),'changes1_based on steps'!I$1:I$400,0)),I$2,)</f>
        <v>0</v>
      </c>
      <c r="J89" s="179">
        <f ca="1">IF(ISNUMBER(MATCH(DATEVALUE($A89),'changes1_based on steps'!J$1:J$400,0)),J$2,)</f>
        <v>0</v>
      </c>
      <c r="K89" s="179">
        <f ca="1">IF(ISNUMBER(MATCH(DATEVALUE($A89),'changes1_based on steps'!K$1:K$400,0)),K$2,)</f>
        <v>0</v>
      </c>
      <c r="L89" s="179">
        <f ca="1">IF(ISNUMBER(MATCH(DATEVALUE($A89),'changes1_based on steps'!L$1:L$400,0)),L$2,)</f>
        <v>0</v>
      </c>
      <c r="M89" s="179">
        <f ca="1">IF(ISNUMBER(MATCH(DATEVALUE($A89),'changes1_based on steps'!M$1:M$400,0)),M$2,)</f>
        <v>0</v>
      </c>
      <c r="N89" s="179">
        <f ca="1">IF(ISNUMBER(MATCH(DATEVALUE($A89),'changes1_based on steps'!N$1:N$400,0)),N$2,)</f>
        <v>0</v>
      </c>
      <c r="O89" s="179">
        <f ca="1">IF(ISNUMBER(MATCH(DATEVALUE($A89),'changes1_based on steps'!O$1:O$400,0)),O$2,)</f>
        <v>0</v>
      </c>
      <c r="P89" s="179">
        <f ca="1">IF(ISNUMBER(MATCH(DATEVALUE($A89),'changes1_based on steps'!P$1:P$400,0)),P$2,)</f>
        <v>0</v>
      </c>
      <c r="Q89" s="179">
        <f ca="1">IF(ISNUMBER(MATCH(DATEVALUE($A89),'changes1_based on steps'!Q$1:Q$400,0)),Q$2,)</f>
        <v>0</v>
      </c>
      <c r="R89" s="179">
        <f ca="1">IF(ISNUMBER(MATCH(DATEVALUE($A89),'changes1_based on steps'!R$1:R$400,0)),R$2,)</f>
        <v>0</v>
      </c>
      <c r="S89" s="179">
        <f ca="1">IF(ISNUMBER(MATCH(DATEVALUE($A89),'changes1_based on steps'!S$1:S$400,0)),S$2,)</f>
        <v>0</v>
      </c>
      <c r="T89" s="179">
        <f ca="1">IF(ISNUMBER(MATCH(DATEVALUE($A89),'changes1_based on steps'!T$1:T$400,0)),T$2,)</f>
        <v>0</v>
      </c>
      <c r="U89" s="179">
        <f ca="1">IF(ISNUMBER(MATCH(DATEVALUE($A89),'changes1_based on steps'!U$1:U$400,0)),U$2,)</f>
        <v>0</v>
      </c>
      <c r="V89" s="179"/>
      <c r="W89" s="179"/>
      <c r="X89" s="179"/>
      <c r="Y89" s="179"/>
      <c r="Z89" s="179"/>
      <c r="AA89" s="179"/>
      <c r="AB89" s="179"/>
      <c r="AC89" s="179"/>
      <c r="AD89" s="179"/>
      <c r="AE89" s="179"/>
      <c r="AF89" s="179"/>
      <c r="AG89" s="179"/>
      <c r="AH89" s="179"/>
      <c r="AI89" s="179"/>
      <c r="AJ89" s="179"/>
      <c r="AK89" s="179"/>
      <c r="AL89" s="179"/>
      <c r="AM89" s="179"/>
      <c r="AN89" s="179"/>
      <c r="AO89" s="179"/>
      <c r="AP89" s="179"/>
      <c r="AQ89" s="179"/>
      <c r="AR89" s="179"/>
      <c r="AS89" s="179"/>
      <c r="AT89" s="179"/>
      <c r="AU89" s="179"/>
      <c r="AV89" s="179"/>
      <c r="AW89" s="179"/>
      <c r="AX89" s="179"/>
      <c r="AY89" s="179"/>
      <c r="AZ89" s="179"/>
      <c r="BA89" s="179"/>
      <c r="BB89" s="179"/>
      <c r="BC89" s="179"/>
      <c r="BD89" s="179"/>
      <c r="BE89" s="179"/>
      <c r="BF89" s="179"/>
      <c r="BG89" s="179"/>
      <c r="BH89" s="179"/>
      <c r="BI89" s="179"/>
      <c r="BJ89" s="179"/>
      <c r="BK89" s="179"/>
      <c r="BL89" s="179"/>
      <c r="BM89" s="179"/>
      <c r="BN89" s="179"/>
      <c r="BO89" s="179"/>
      <c r="BP89" s="179"/>
      <c r="BQ89" s="179"/>
      <c r="BR89" s="179"/>
      <c r="BS89" s="179"/>
      <c r="BT89" s="179"/>
      <c r="BU89" s="179"/>
      <c r="BV89" s="179"/>
      <c r="BW89" s="179"/>
      <c r="BX89" s="179"/>
      <c r="BY89" s="179"/>
      <c r="BZ89" s="179"/>
      <c r="CA89" s="179"/>
      <c r="CB89" s="179"/>
      <c r="CC89" s="179"/>
      <c r="CD89" s="179"/>
      <c r="CE89" s="179"/>
      <c r="CF89" s="179"/>
      <c r="CG89" s="179"/>
      <c r="CH89" s="179"/>
      <c r="CI89" s="179"/>
      <c r="CJ89" s="179"/>
      <c r="CK89" s="179"/>
      <c r="CL89" s="179"/>
      <c r="CM89" s="179"/>
      <c r="CN89" s="179"/>
      <c r="CO89" s="179"/>
      <c r="CP89" s="179"/>
      <c r="CQ89" s="179"/>
      <c r="CR89" s="179"/>
      <c r="CS89" s="179"/>
      <c r="CT89" s="179"/>
      <c r="CU89" s="179"/>
      <c r="CV89" s="179"/>
      <c r="CW89" s="179"/>
    </row>
    <row r="90" spans="1:101" x14ac:dyDescent="0.2">
      <c r="A90" s="32" t="str">
        <f t="shared" ca="1" si="1"/>
        <v>2025-07-01</v>
      </c>
      <c r="B90" s="179">
        <f ca="1">IF(ISNUMBER(MATCH(DATEVALUE($A90),'changes1_based on steps'!B$1:B$400,0)),B$2,)</f>
        <v>0</v>
      </c>
      <c r="C90" s="179">
        <f ca="1">IF(ISNUMBER(MATCH(DATEVALUE($A90),'changes1_based on steps'!C$1:C$400,0)),C$2,)</f>
        <v>0</v>
      </c>
      <c r="D90" s="179">
        <f ca="1">IF(ISNUMBER(MATCH(DATEVALUE($A90),'changes1_based on steps'!D$1:D$400,0)),D$2,)</f>
        <v>0</v>
      </c>
      <c r="E90" s="179">
        <f ca="1">IF(ISNUMBER(MATCH(DATEVALUE($A90),'changes1_based on steps'!E$1:E$400,0)),E$2,)</f>
        <v>0</v>
      </c>
      <c r="F90" s="179">
        <f ca="1">IF(ISNUMBER(MATCH(DATEVALUE($A90),'changes1_based on steps'!F$1:F$400,0)),F$2,)</f>
        <v>0</v>
      </c>
      <c r="G90" s="179">
        <f ca="1">IF(ISNUMBER(MATCH(DATEVALUE($A90),'changes1_based on steps'!G$1:G$400,0)),G$2,)</f>
        <v>0</v>
      </c>
      <c r="H90" s="179">
        <f ca="1">IF(ISNUMBER(MATCH(DATEVALUE($A90),'changes1_based on steps'!H$1:H$400,0)),H$2,)</f>
        <v>0</v>
      </c>
      <c r="I90" s="179">
        <f ca="1">IF(ISNUMBER(MATCH(DATEVALUE($A90),'changes1_based on steps'!I$1:I$400,0)),I$2,)</f>
        <v>0</v>
      </c>
      <c r="J90" s="179">
        <f ca="1">IF(ISNUMBER(MATCH(DATEVALUE($A90),'changes1_based on steps'!J$1:J$400,0)),J$2,)</f>
        <v>0</v>
      </c>
      <c r="K90" s="179">
        <f ca="1">IF(ISNUMBER(MATCH(DATEVALUE($A90),'changes1_based on steps'!K$1:K$400,0)),K$2,)</f>
        <v>0</v>
      </c>
      <c r="L90" s="179">
        <f ca="1">IF(ISNUMBER(MATCH(DATEVALUE($A90),'changes1_based on steps'!L$1:L$400,0)),L$2,)</f>
        <v>0</v>
      </c>
      <c r="M90" s="179">
        <f ca="1">IF(ISNUMBER(MATCH(DATEVALUE($A90),'changes1_based on steps'!M$1:M$400,0)),M$2,)</f>
        <v>0</v>
      </c>
      <c r="N90" s="179">
        <f ca="1">IF(ISNUMBER(MATCH(DATEVALUE($A90),'changes1_based on steps'!N$1:N$400,0)),N$2,)</f>
        <v>0</v>
      </c>
      <c r="O90" s="179">
        <f ca="1">IF(ISNUMBER(MATCH(DATEVALUE($A90),'changes1_based on steps'!O$1:O$400,0)),O$2,)</f>
        <v>0</v>
      </c>
      <c r="P90" s="179">
        <f ca="1">IF(ISNUMBER(MATCH(DATEVALUE($A90),'changes1_based on steps'!P$1:P$400,0)),P$2,)</f>
        <v>0</v>
      </c>
      <c r="Q90" s="179">
        <f ca="1">IF(ISNUMBER(MATCH(DATEVALUE($A90),'changes1_based on steps'!Q$1:Q$400,0)),Q$2,)</f>
        <v>0</v>
      </c>
      <c r="R90" s="179">
        <f ca="1">IF(ISNUMBER(MATCH(DATEVALUE($A90),'changes1_based on steps'!R$1:R$400,0)),R$2,)</f>
        <v>0</v>
      </c>
      <c r="S90" s="179">
        <f ca="1">IF(ISNUMBER(MATCH(DATEVALUE($A90),'changes1_based on steps'!S$1:S$400,0)),S$2,)</f>
        <v>0</v>
      </c>
      <c r="T90" s="179">
        <f ca="1">IF(ISNUMBER(MATCH(DATEVALUE($A90),'changes1_based on steps'!T$1:T$400,0)),T$2,)</f>
        <v>0</v>
      </c>
      <c r="U90" s="179">
        <f ca="1">IF(ISNUMBER(MATCH(DATEVALUE($A90),'changes1_based on steps'!U$1:U$400,0)),U$2,)</f>
        <v>0</v>
      </c>
      <c r="V90" s="179"/>
      <c r="W90" s="179"/>
      <c r="X90" s="179"/>
      <c r="Y90" s="179"/>
      <c r="Z90" s="179"/>
      <c r="AA90" s="179"/>
      <c r="AB90" s="179"/>
      <c r="AC90" s="179"/>
      <c r="AD90" s="179"/>
      <c r="AE90" s="179"/>
      <c r="AF90" s="179"/>
      <c r="AG90" s="179"/>
      <c r="AH90" s="179"/>
      <c r="AI90" s="179"/>
      <c r="AJ90" s="179"/>
      <c r="AK90" s="179"/>
      <c r="AL90" s="179"/>
      <c r="AM90" s="179"/>
      <c r="AN90" s="179"/>
      <c r="AO90" s="179"/>
      <c r="AP90" s="179"/>
      <c r="AQ90" s="179"/>
      <c r="AR90" s="179"/>
      <c r="AS90" s="179"/>
      <c r="AT90" s="179"/>
      <c r="AU90" s="179"/>
      <c r="AV90" s="179"/>
      <c r="AW90" s="179"/>
      <c r="AX90" s="179"/>
      <c r="AY90" s="179"/>
      <c r="AZ90" s="179"/>
      <c r="BA90" s="179"/>
      <c r="BB90" s="179"/>
      <c r="BC90" s="179"/>
      <c r="BD90" s="179"/>
      <c r="BE90" s="179"/>
      <c r="BF90" s="179"/>
      <c r="BG90" s="179"/>
      <c r="BH90" s="179"/>
      <c r="BI90" s="179"/>
      <c r="BJ90" s="179"/>
      <c r="BK90" s="179"/>
      <c r="BL90" s="179"/>
      <c r="BM90" s="179"/>
      <c r="BN90" s="179"/>
      <c r="BO90" s="179"/>
      <c r="BP90" s="179"/>
      <c r="BQ90" s="179"/>
      <c r="BR90" s="179"/>
      <c r="BS90" s="179"/>
      <c r="BT90" s="179"/>
      <c r="BU90" s="179"/>
      <c r="BV90" s="179"/>
      <c r="BW90" s="179"/>
      <c r="BX90" s="179"/>
      <c r="BY90" s="179"/>
      <c r="BZ90" s="179"/>
      <c r="CA90" s="179"/>
      <c r="CB90" s="179"/>
      <c r="CC90" s="179"/>
      <c r="CD90" s="179"/>
      <c r="CE90" s="179"/>
      <c r="CF90" s="179"/>
      <c r="CG90" s="179"/>
      <c r="CH90" s="179"/>
      <c r="CI90" s="179"/>
      <c r="CJ90" s="179"/>
      <c r="CK90" s="179"/>
      <c r="CL90" s="179"/>
      <c r="CM90" s="179"/>
      <c r="CN90" s="179"/>
      <c r="CO90" s="179"/>
      <c r="CP90" s="179"/>
      <c r="CQ90" s="179"/>
      <c r="CR90" s="179"/>
      <c r="CS90" s="179"/>
      <c r="CT90" s="179"/>
      <c r="CU90" s="179"/>
      <c r="CV90" s="179"/>
      <c r="CW90" s="179"/>
    </row>
    <row r="91" spans="1:101" x14ac:dyDescent="0.2">
      <c r="A91" s="32" t="str">
        <f t="shared" ca="1" si="1"/>
        <v>2025-07-02</v>
      </c>
      <c r="B91" s="179">
        <f ca="1">IF(ISNUMBER(MATCH(DATEVALUE($A91),'changes1_based on steps'!B$1:B$400,0)),B$2,)</f>
        <v>0</v>
      </c>
      <c r="C91" s="179">
        <f ca="1">IF(ISNUMBER(MATCH(DATEVALUE($A91),'changes1_based on steps'!C$1:C$400,0)),C$2,)</f>
        <v>0</v>
      </c>
      <c r="D91" s="179">
        <f ca="1">IF(ISNUMBER(MATCH(DATEVALUE($A91),'changes1_based on steps'!D$1:D$400,0)),D$2,)</f>
        <v>0</v>
      </c>
      <c r="E91" s="179">
        <f ca="1">IF(ISNUMBER(MATCH(DATEVALUE($A91),'changes1_based on steps'!E$1:E$400,0)),E$2,)</f>
        <v>0</v>
      </c>
      <c r="F91" s="179">
        <f ca="1">IF(ISNUMBER(MATCH(DATEVALUE($A91),'changes1_based on steps'!F$1:F$400,0)),F$2,)</f>
        <v>0</v>
      </c>
      <c r="G91" s="179">
        <f ca="1">IF(ISNUMBER(MATCH(DATEVALUE($A91),'changes1_based on steps'!G$1:G$400,0)),G$2,)</f>
        <v>0</v>
      </c>
      <c r="H91" s="179">
        <f ca="1">IF(ISNUMBER(MATCH(DATEVALUE($A91),'changes1_based on steps'!H$1:H$400,0)),H$2,)</f>
        <v>0</v>
      </c>
      <c r="I91" s="179">
        <f ca="1">IF(ISNUMBER(MATCH(DATEVALUE($A91),'changes1_based on steps'!I$1:I$400,0)),I$2,)</f>
        <v>0</v>
      </c>
      <c r="J91" s="179">
        <f ca="1">IF(ISNUMBER(MATCH(DATEVALUE($A91),'changes1_based on steps'!J$1:J$400,0)),J$2,)</f>
        <v>0</v>
      </c>
      <c r="K91" s="179">
        <f ca="1">IF(ISNUMBER(MATCH(DATEVALUE($A91),'changes1_based on steps'!K$1:K$400,0)),K$2,)</f>
        <v>0</v>
      </c>
      <c r="L91" s="179">
        <f ca="1">IF(ISNUMBER(MATCH(DATEVALUE($A91),'changes1_based on steps'!L$1:L$400,0)),L$2,)</f>
        <v>0</v>
      </c>
      <c r="M91" s="179">
        <f ca="1">IF(ISNUMBER(MATCH(DATEVALUE($A91),'changes1_based on steps'!M$1:M$400,0)),M$2,)</f>
        <v>0</v>
      </c>
      <c r="N91" s="179">
        <f ca="1">IF(ISNUMBER(MATCH(DATEVALUE($A91),'changes1_based on steps'!N$1:N$400,0)),N$2,)</f>
        <v>0</v>
      </c>
      <c r="O91" s="179">
        <f ca="1">IF(ISNUMBER(MATCH(DATEVALUE($A91),'changes1_based on steps'!O$1:O$400,0)),O$2,)</f>
        <v>0</v>
      </c>
      <c r="P91" s="179">
        <f ca="1">IF(ISNUMBER(MATCH(DATEVALUE($A91),'changes1_based on steps'!P$1:P$400,0)),P$2,)</f>
        <v>0</v>
      </c>
      <c r="Q91" s="179">
        <f ca="1">IF(ISNUMBER(MATCH(DATEVALUE($A91),'changes1_based on steps'!Q$1:Q$400,0)),Q$2,)</f>
        <v>0</v>
      </c>
      <c r="R91" s="179">
        <f ca="1">IF(ISNUMBER(MATCH(DATEVALUE($A91),'changes1_based on steps'!R$1:R$400,0)),R$2,)</f>
        <v>0</v>
      </c>
      <c r="S91" s="179">
        <f ca="1">IF(ISNUMBER(MATCH(DATEVALUE($A91),'changes1_based on steps'!S$1:S$400,0)),S$2,)</f>
        <v>0</v>
      </c>
      <c r="T91" s="179">
        <f ca="1">IF(ISNUMBER(MATCH(DATEVALUE($A91),'changes1_based on steps'!T$1:T$400,0)),T$2,)</f>
        <v>0</v>
      </c>
      <c r="U91" s="179">
        <f ca="1">IF(ISNUMBER(MATCH(DATEVALUE($A91),'changes1_based on steps'!U$1:U$400,0)),U$2,)</f>
        <v>0</v>
      </c>
      <c r="V91" s="179"/>
      <c r="W91" s="179"/>
      <c r="X91" s="179"/>
      <c r="Y91" s="179"/>
      <c r="Z91" s="179"/>
      <c r="AA91" s="179"/>
      <c r="AB91" s="179"/>
      <c r="AC91" s="179"/>
      <c r="AD91" s="179"/>
      <c r="AE91" s="179"/>
      <c r="AF91" s="179"/>
      <c r="AG91" s="179"/>
      <c r="AH91" s="179"/>
      <c r="AI91" s="179"/>
      <c r="AJ91" s="179"/>
      <c r="AK91" s="179"/>
      <c r="AL91" s="179"/>
      <c r="AM91" s="179"/>
      <c r="AN91" s="179"/>
      <c r="AO91" s="179"/>
      <c r="AP91" s="179"/>
      <c r="AQ91" s="179"/>
      <c r="AR91" s="179"/>
      <c r="AS91" s="179"/>
      <c r="AT91" s="179"/>
      <c r="AU91" s="179"/>
      <c r="AV91" s="179"/>
      <c r="AW91" s="179"/>
      <c r="AX91" s="179"/>
      <c r="AY91" s="179"/>
      <c r="AZ91" s="179"/>
      <c r="BA91" s="179"/>
      <c r="BB91" s="179"/>
      <c r="BC91" s="179"/>
      <c r="BD91" s="179"/>
      <c r="BE91" s="179"/>
      <c r="BF91" s="179"/>
      <c r="BG91" s="179"/>
      <c r="BH91" s="179"/>
      <c r="BI91" s="179"/>
      <c r="BJ91" s="179"/>
      <c r="BK91" s="179"/>
      <c r="BL91" s="179"/>
      <c r="BM91" s="179"/>
      <c r="BN91" s="179"/>
      <c r="BO91" s="179"/>
      <c r="BP91" s="179"/>
      <c r="BQ91" s="179"/>
      <c r="BR91" s="179"/>
      <c r="BS91" s="179"/>
      <c r="BT91" s="179"/>
      <c r="BU91" s="179"/>
      <c r="BV91" s="179"/>
      <c r="BW91" s="179"/>
      <c r="BX91" s="179"/>
      <c r="BY91" s="179"/>
      <c r="BZ91" s="179"/>
      <c r="CA91" s="179"/>
      <c r="CB91" s="179"/>
      <c r="CC91" s="179"/>
      <c r="CD91" s="179"/>
      <c r="CE91" s="179"/>
      <c r="CF91" s="179"/>
      <c r="CG91" s="179"/>
      <c r="CH91" s="179"/>
      <c r="CI91" s="179"/>
      <c r="CJ91" s="179"/>
      <c r="CK91" s="179"/>
      <c r="CL91" s="179"/>
      <c r="CM91" s="179"/>
      <c r="CN91" s="179"/>
      <c r="CO91" s="179"/>
      <c r="CP91" s="179"/>
      <c r="CQ91" s="179"/>
      <c r="CR91" s="179"/>
      <c r="CS91" s="179"/>
      <c r="CT91" s="179"/>
      <c r="CU91" s="179"/>
      <c r="CV91" s="179"/>
      <c r="CW91" s="179"/>
    </row>
    <row r="92" spans="1:101" x14ac:dyDescent="0.2">
      <c r="A92" s="32" t="str">
        <f t="shared" ca="1" si="1"/>
        <v>2025-07-03</v>
      </c>
      <c r="B92" s="179">
        <f ca="1">IF(ISNUMBER(MATCH(DATEVALUE($A92),'changes1_based on steps'!B$1:B$400,0)),B$2,)</f>
        <v>0</v>
      </c>
      <c r="C92" s="179">
        <f ca="1">IF(ISNUMBER(MATCH(DATEVALUE($A92),'changes1_based on steps'!C$1:C$400,0)),C$2,)</f>
        <v>0</v>
      </c>
      <c r="D92" s="179">
        <f ca="1">IF(ISNUMBER(MATCH(DATEVALUE($A92),'changes1_based on steps'!D$1:D$400,0)),D$2,)</f>
        <v>0</v>
      </c>
      <c r="E92" s="179">
        <f ca="1">IF(ISNUMBER(MATCH(DATEVALUE($A92),'changes1_based on steps'!E$1:E$400,0)),E$2,)</f>
        <v>0</v>
      </c>
      <c r="F92" s="179">
        <f ca="1">IF(ISNUMBER(MATCH(DATEVALUE($A92),'changes1_based on steps'!F$1:F$400,0)),F$2,)</f>
        <v>0</v>
      </c>
      <c r="G92" s="179">
        <f ca="1">IF(ISNUMBER(MATCH(DATEVALUE($A92),'changes1_based on steps'!G$1:G$400,0)),G$2,)</f>
        <v>0</v>
      </c>
      <c r="H92" s="179">
        <f ca="1">IF(ISNUMBER(MATCH(DATEVALUE($A92),'changes1_based on steps'!H$1:H$400,0)),H$2,)</f>
        <v>0</v>
      </c>
      <c r="I92" s="179">
        <f ca="1">IF(ISNUMBER(MATCH(DATEVALUE($A92),'changes1_based on steps'!I$1:I$400,0)),I$2,)</f>
        <v>0</v>
      </c>
      <c r="J92" s="179">
        <f ca="1">IF(ISNUMBER(MATCH(DATEVALUE($A92),'changes1_based on steps'!J$1:J$400,0)),J$2,)</f>
        <v>0</v>
      </c>
      <c r="K92" s="179">
        <f ca="1">IF(ISNUMBER(MATCH(DATEVALUE($A92),'changes1_based on steps'!K$1:K$400,0)),K$2,)</f>
        <v>0</v>
      </c>
      <c r="L92" s="179">
        <f ca="1">IF(ISNUMBER(MATCH(DATEVALUE($A92),'changes1_based on steps'!L$1:L$400,0)),L$2,)</f>
        <v>0</v>
      </c>
      <c r="M92" s="179">
        <f ca="1">IF(ISNUMBER(MATCH(DATEVALUE($A92),'changes1_based on steps'!M$1:M$400,0)),M$2,)</f>
        <v>0</v>
      </c>
      <c r="N92" s="179">
        <f ca="1">IF(ISNUMBER(MATCH(DATEVALUE($A92),'changes1_based on steps'!N$1:N$400,0)),N$2,)</f>
        <v>0</v>
      </c>
      <c r="O92" s="179">
        <f ca="1">IF(ISNUMBER(MATCH(DATEVALUE($A92),'changes1_based on steps'!O$1:O$400,0)),O$2,)</f>
        <v>0</v>
      </c>
      <c r="P92" s="179">
        <f ca="1">IF(ISNUMBER(MATCH(DATEVALUE($A92),'changes1_based on steps'!P$1:P$400,0)),P$2,)</f>
        <v>0</v>
      </c>
      <c r="Q92" s="179">
        <f ca="1">IF(ISNUMBER(MATCH(DATEVALUE($A92),'changes1_based on steps'!Q$1:Q$400,0)),Q$2,)</f>
        <v>0</v>
      </c>
      <c r="R92" s="179">
        <f ca="1">IF(ISNUMBER(MATCH(DATEVALUE($A92),'changes1_based on steps'!R$1:R$400,0)),R$2,)</f>
        <v>0</v>
      </c>
      <c r="S92" s="179">
        <f ca="1">IF(ISNUMBER(MATCH(DATEVALUE($A92),'changes1_based on steps'!S$1:S$400,0)),S$2,)</f>
        <v>0</v>
      </c>
      <c r="T92" s="179">
        <f ca="1">IF(ISNUMBER(MATCH(DATEVALUE($A92),'changes1_based on steps'!T$1:T$400,0)),T$2,)</f>
        <v>0</v>
      </c>
      <c r="U92" s="179">
        <f ca="1">IF(ISNUMBER(MATCH(DATEVALUE($A92),'changes1_based on steps'!U$1:U$400,0)),U$2,)</f>
        <v>0</v>
      </c>
      <c r="V92" s="179"/>
      <c r="W92" s="179"/>
      <c r="X92" s="179"/>
      <c r="Y92" s="179"/>
      <c r="Z92" s="179"/>
      <c r="AA92" s="179"/>
      <c r="AB92" s="179"/>
      <c r="AC92" s="179"/>
      <c r="AD92" s="179"/>
      <c r="AE92" s="179"/>
      <c r="AF92" s="179"/>
      <c r="AG92" s="179"/>
      <c r="AH92" s="179"/>
      <c r="AI92" s="179"/>
      <c r="AJ92" s="179"/>
      <c r="AK92" s="179"/>
      <c r="AL92" s="179"/>
      <c r="AM92" s="179"/>
      <c r="AN92" s="179"/>
      <c r="AO92" s="179"/>
      <c r="AP92" s="179"/>
      <c r="AQ92" s="179"/>
      <c r="AR92" s="179"/>
      <c r="AS92" s="179"/>
      <c r="AT92" s="179"/>
      <c r="AU92" s="179"/>
      <c r="AV92" s="179"/>
      <c r="AW92" s="179"/>
      <c r="AX92" s="179"/>
      <c r="AY92" s="179"/>
      <c r="AZ92" s="179"/>
      <c r="BA92" s="179"/>
      <c r="BB92" s="179"/>
      <c r="BC92" s="179"/>
      <c r="BD92" s="179"/>
      <c r="BE92" s="179"/>
      <c r="BF92" s="179"/>
      <c r="BG92" s="179"/>
      <c r="BH92" s="179"/>
      <c r="BI92" s="179"/>
      <c r="BJ92" s="179"/>
      <c r="BK92" s="179"/>
      <c r="BL92" s="179"/>
      <c r="BM92" s="179"/>
      <c r="BN92" s="179"/>
      <c r="BO92" s="179"/>
      <c r="BP92" s="179"/>
      <c r="BQ92" s="179"/>
      <c r="BR92" s="179"/>
      <c r="BS92" s="179"/>
      <c r="BT92" s="179"/>
      <c r="BU92" s="179"/>
      <c r="BV92" s="179"/>
      <c r="BW92" s="179"/>
      <c r="BX92" s="179"/>
      <c r="BY92" s="179"/>
      <c r="BZ92" s="179"/>
      <c r="CA92" s="179"/>
      <c r="CB92" s="179"/>
      <c r="CC92" s="179"/>
      <c r="CD92" s="179"/>
      <c r="CE92" s="179"/>
      <c r="CF92" s="179"/>
      <c r="CG92" s="179"/>
      <c r="CH92" s="179"/>
      <c r="CI92" s="179"/>
      <c r="CJ92" s="179"/>
      <c r="CK92" s="179"/>
      <c r="CL92" s="179"/>
      <c r="CM92" s="179"/>
      <c r="CN92" s="179"/>
      <c r="CO92" s="179"/>
      <c r="CP92" s="179"/>
      <c r="CQ92" s="179"/>
      <c r="CR92" s="179"/>
      <c r="CS92" s="179"/>
      <c r="CT92" s="179"/>
      <c r="CU92" s="179"/>
      <c r="CV92" s="179"/>
      <c r="CW92" s="179"/>
    </row>
    <row r="93" spans="1:101" x14ac:dyDescent="0.2">
      <c r="A93" s="32" t="str">
        <f t="shared" ca="1" si="1"/>
        <v>2025-07-04</v>
      </c>
      <c r="B93" s="179">
        <f ca="1">IF(ISNUMBER(MATCH(DATEVALUE($A93),'changes1_based on steps'!B$1:B$400,0)),B$2,)</f>
        <v>0</v>
      </c>
      <c r="C93" s="179">
        <f ca="1">IF(ISNUMBER(MATCH(DATEVALUE($A93),'changes1_based on steps'!C$1:C$400,0)),C$2,)</f>
        <v>0</v>
      </c>
      <c r="D93" s="179">
        <f ca="1">IF(ISNUMBER(MATCH(DATEVALUE($A93),'changes1_based on steps'!D$1:D$400,0)),D$2,)</f>
        <v>0</v>
      </c>
      <c r="E93" s="179">
        <f ca="1">IF(ISNUMBER(MATCH(DATEVALUE($A93),'changes1_based on steps'!E$1:E$400,0)),E$2,)</f>
        <v>0</v>
      </c>
      <c r="F93" s="179">
        <f ca="1">IF(ISNUMBER(MATCH(DATEVALUE($A93),'changes1_based on steps'!F$1:F$400,0)),F$2,)</f>
        <v>0</v>
      </c>
      <c r="G93" s="179">
        <f ca="1">IF(ISNUMBER(MATCH(DATEVALUE($A93),'changes1_based on steps'!G$1:G$400,0)),G$2,)</f>
        <v>0</v>
      </c>
      <c r="H93" s="179">
        <f ca="1">IF(ISNUMBER(MATCH(DATEVALUE($A93),'changes1_based on steps'!H$1:H$400,0)),H$2,)</f>
        <v>0</v>
      </c>
      <c r="I93" s="179">
        <f ca="1">IF(ISNUMBER(MATCH(DATEVALUE($A93),'changes1_based on steps'!I$1:I$400,0)),I$2,)</f>
        <v>0</v>
      </c>
      <c r="J93" s="179">
        <f ca="1">IF(ISNUMBER(MATCH(DATEVALUE($A93),'changes1_based on steps'!J$1:J$400,0)),J$2,)</f>
        <v>0</v>
      </c>
      <c r="K93" s="179">
        <f ca="1">IF(ISNUMBER(MATCH(DATEVALUE($A93),'changes1_based on steps'!K$1:K$400,0)),K$2,)</f>
        <v>0</v>
      </c>
      <c r="L93" s="179">
        <f ca="1">IF(ISNUMBER(MATCH(DATEVALUE($A93),'changes1_based on steps'!L$1:L$400,0)),L$2,)</f>
        <v>0</v>
      </c>
      <c r="M93" s="179">
        <f ca="1">IF(ISNUMBER(MATCH(DATEVALUE($A93),'changes1_based on steps'!M$1:M$400,0)),M$2,)</f>
        <v>0</v>
      </c>
      <c r="N93" s="179">
        <f ca="1">IF(ISNUMBER(MATCH(DATEVALUE($A93),'changes1_based on steps'!N$1:N$400,0)),N$2,)</f>
        <v>0</v>
      </c>
      <c r="O93" s="179">
        <f ca="1">IF(ISNUMBER(MATCH(DATEVALUE($A93),'changes1_based on steps'!O$1:O$400,0)),O$2,)</f>
        <v>0</v>
      </c>
      <c r="P93" s="179">
        <f ca="1">IF(ISNUMBER(MATCH(DATEVALUE($A93),'changes1_based on steps'!P$1:P$400,0)),P$2,)</f>
        <v>0</v>
      </c>
      <c r="Q93" s="179">
        <f ca="1">IF(ISNUMBER(MATCH(DATEVALUE($A93),'changes1_based on steps'!Q$1:Q$400,0)),Q$2,)</f>
        <v>0</v>
      </c>
      <c r="R93" s="179">
        <f ca="1">IF(ISNUMBER(MATCH(DATEVALUE($A93),'changes1_based on steps'!R$1:R$400,0)),R$2,)</f>
        <v>0</v>
      </c>
      <c r="S93" s="179">
        <f ca="1">IF(ISNUMBER(MATCH(DATEVALUE($A93),'changes1_based on steps'!S$1:S$400,0)),S$2,)</f>
        <v>0</v>
      </c>
      <c r="T93" s="179">
        <f ca="1">IF(ISNUMBER(MATCH(DATEVALUE($A93),'changes1_based on steps'!T$1:T$400,0)),T$2,)</f>
        <v>0</v>
      </c>
      <c r="U93" s="179">
        <f ca="1">IF(ISNUMBER(MATCH(DATEVALUE($A93),'changes1_based on steps'!U$1:U$400,0)),U$2,)</f>
        <v>0</v>
      </c>
      <c r="V93" s="179"/>
      <c r="W93" s="179"/>
      <c r="X93" s="179"/>
      <c r="Y93" s="179"/>
      <c r="Z93" s="179"/>
      <c r="AA93" s="179"/>
      <c r="AB93" s="179"/>
      <c r="AC93" s="179"/>
      <c r="AD93" s="179"/>
      <c r="AE93" s="179"/>
      <c r="AF93" s="179"/>
      <c r="AG93" s="179"/>
      <c r="AH93" s="179"/>
      <c r="AI93" s="179"/>
      <c r="AJ93" s="179"/>
      <c r="AK93" s="179"/>
      <c r="AL93" s="179"/>
      <c r="AM93" s="179"/>
      <c r="AN93" s="179"/>
      <c r="AO93" s="179"/>
      <c r="AP93" s="179"/>
      <c r="AQ93" s="179"/>
      <c r="AR93" s="179"/>
      <c r="AS93" s="179"/>
      <c r="AT93" s="179"/>
      <c r="AU93" s="179"/>
      <c r="AV93" s="179"/>
      <c r="AW93" s="179"/>
      <c r="AX93" s="179"/>
      <c r="AY93" s="179"/>
      <c r="AZ93" s="179"/>
      <c r="BA93" s="179"/>
      <c r="BB93" s="179"/>
      <c r="BC93" s="179"/>
      <c r="BD93" s="179"/>
      <c r="BE93" s="179"/>
      <c r="BF93" s="179"/>
      <c r="BG93" s="179"/>
      <c r="BH93" s="179"/>
      <c r="BI93" s="179"/>
      <c r="BJ93" s="179"/>
      <c r="BK93" s="179"/>
      <c r="BL93" s="179"/>
      <c r="BM93" s="179"/>
      <c r="BN93" s="179"/>
      <c r="BO93" s="179"/>
      <c r="BP93" s="179"/>
      <c r="BQ93" s="179"/>
      <c r="BR93" s="179"/>
      <c r="BS93" s="179"/>
      <c r="BT93" s="179"/>
      <c r="BU93" s="179"/>
      <c r="BV93" s="179"/>
      <c r="BW93" s="179"/>
      <c r="BX93" s="179"/>
      <c r="BY93" s="179"/>
      <c r="BZ93" s="179"/>
      <c r="CA93" s="179"/>
      <c r="CB93" s="179"/>
      <c r="CC93" s="179"/>
      <c r="CD93" s="179"/>
      <c r="CE93" s="179"/>
      <c r="CF93" s="179"/>
      <c r="CG93" s="179"/>
      <c r="CH93" s="179"/>
      <c r="CI93" s="179"/>
      <c r="CJ93" s="179"/>
      <c r="CK93" s="179"/>
      <c r="CL93" s="179"/>
      <c r="CM93" s="179"/>
      <c r="CN93" s="179"/>
      <c r="CO93" s="179"/>
      <c r="CP93" s="179"/>
      <c r="CQ93" s="179"/>
      <c r="CR93" s="179"/>
      <c r="CS93" s="179"/>
      <c r="CT93" s="179"/>
      <c r="CU93" s="179"/>
      <c r="CV93" s="179"/>
      <c r="CW93" s="179"/>
    </row>
    <row r="94" spans="1:101" x14ac:dyDescent="0.2">
      <c r="A94" s="32" t="str">
        <f t="shared" ca="1" si="1"/>
        <v>2025-07-05</v>
      </c>
      <c r="B94" s="179">
        <f ca="1">IF(ISNUMBER(MATCH(DATEVALUE($A94),'changes1_based on steps'!B$1:B$400,0)),B$2,)</f>
        <v>0</v>
      </c>
      <c r="C94" s="179">
        <f ca="1">IF(ISNUMBER(MATCH(DATEVALUE($A94),'changes1_based on steps'!C$1:C$400,0)),C$2,)</f>
        <v>0</v>
      </c>
      <c r="D94" s="179">
        <f ca="1">IF(ISNUMBER(MATCH(DATEVALUE($A94),'changes1_based on steps'!D$1:D$400,0)),D$2,)</f>
        <v>0</v>
      </c>
      <c r="E94" s="179">
        <f ca="1">IF(ISNUMBER(MATCH(DATEVALUE($A94),'changes1_based on steps'!E$1:E$400,0)),E$2,)</f>
        <v>0</v>
      </c>
      <c r="F94" s="179">
        <f ca="1">IF(ISNUMBER(MATCH(DATEVALUE($A94),'changes1_based on steps'!F$1:F$400,0)),F$2,)</f>
        <v>0</v>
      </c>
      <c r="G94" s="179">
        <f ca="1">IF(ISNUMBER(MATCH(DATEVALUE($A94),'changes1_based on steps'!G$1:G$400,0)),G$2,)</f>
        <v>0</v>
      </c>
      <c r="H94" s="179">
        <f ca="1">IF(ISNUMBER(MATCH(DATEVALUE($A94),'changes1_based on steps'!H$1:H$400,0)),H$2,)</f>
        <v>0</v>
      </c>
      <c r="I94" s="179">
        <f ca="1">IF(ISNUMBER(MATCH(DATEVALUE($A94),'changes1_based on steps'!I$1:I$400,0)),I$2,)</f>
        <v>0</v>
      </c>
      <c r="J94" s="179">
        <f ca="1">IF(ISNUMBER(MATCH(DATEVALUE($A94),'changes1_based on steps'!J$1:J$400,0)),J$2,)</f>
        <v>0</v>
      </c>
      <c r="K94" s="179">
        <f ca="1">IF(ISNUMBER(MATCH(DATEVALUE($A94),'changes1_based on steps'!K$1:K$400,0)),K$2,)</f>
        <v>0</v>
      </c>
      <c r="L94" s="179">
        <f ca="1">IF(ISNUMBER(MATCH(DATEVALUE($A94),'changes1_based on steps'!L$1:L$400,0)),L$2,)</f>
        <v>0</v>
      </c>
      <c r="M94" s="179">
        <f ca="1">IF(ISNUMBER(MATCH(DATEVALUE($A94),'changes1_based on steps'!M$1:M$400,0)),M$2,)</f>
        <v>0</v>
      </c>
      <c r="N94" s="179">
        <f ca="1">IF(ISNUMBER(MATCH(DATEVALUE($A94),'changes1_based on steps'!N$1:N$400,0)),N$2,)</f>
        <v>0</v>
      </c>
      <c r="O94" s="179">
        <f ca="1">IF(ISNUMBER(MATCH(DATEVALUE($A94),'changes1_based on steps'!O$1:O$400,0)),O$2,)</f>
        <v>0</v>
      </c>
      <c r="P94" s="179">
        <f ca="1">IF(ISNUMBER(MATCH(DATEVALUE($A94),'changes1_based on steps'!P$1:P$400,0)),P$2,)</f>
        <v>0</v>
      </c>
      <c r="Q94" s="179">
        <f ca="1">IF(ISNUMBER(MATCH(DATEVALUE($A94),'changes1_based on steps'!Q$1:Q$400,0)),Q$2,)</f>
        <v>0</v>
      </c>
      <c r="R94" s="179">
        <f ca="1">IF(ISNUMBER(MATCH(DATEVALUE($A94),'changes1_based on steps'!R$1:R$400,0)),R$2,)</f>
        <v>0</v>
      </c>
      <c r="S94" s="179">
        <f ca="1">IF(ISNUMBER(MATCH(DATEVALUE($A94),'changes1_based on steps'!S$1:S$400,0)),S$2,)</f>
        <v>0</v>
      </c>
      <c r="T94" s="179">
        <f ca="1">IF(ISNUMBER(MATCH(DATEVALUE($A94),'changes1_based on steps'!T$1:T$400,0)),T$2,)</f>
        <v>0</v>
      </c>
      <c r="U94" s="179">
        <f ca="1">IF(ISNUMBER(MATCH(DATEVALUE($A94),'changes1_based on steps'!U$1:U$400,0)),U$2,)</f>
        <v>0</v>
      </c>
      <c r="V94" s="179"/>
      <c r="W94" s="179"/>
      <c r="X94" s="179"/>
      <c r="Y94" s="179"/>
      <c r="Z94" s="179"/>
      <c r="AA94" s="179"/>
      <c r="AB94" s="179"/>
      <c r="AC94" s="179"/>
      <c r="AD94" s="179"/>
      <c r="AE94" s="179"/>
      <c r="AF94" s="179"/>
      <c r="AG94" s="179"/>
      <c r="AH94" s="179"/>
      <c r="AI94" s="179"/>
      <c r="AJ94" s="179"/>
      <c r="AK94" s="179"/>
      <c r="AL94" s="179"/>
      <c r="AM94" s="179"/>
      <c r="AN94" s="179"/>
      <c r="AO94" s="179"/>
      <c r="AP94" s="179"/>
      <c r="AQ94" s="179"/>
      <c r="AR94" s="179"/>
      <c r="AS94" s="179"/>
      <c r="AT94" s="179"/>
      <c r="AU94" s="179"/>
      <c r="AV94" s="179"/>
      <c r="AW94" s="179"/>
      <c r="AX94" s="179"/>
      <c r="AY94" s="179"/>
      <c r="AZ94" s="179"/>
      <c r="BA94" s="179"/>
      <c r="BB94" s="179"/>
      <c r="BC94" s="179"/>
      <c r="BD94" s="179"/>
      <c r="BE94" s="179"/>
      <c r="BF94" s="179"/>
      <c r="BG94" s="179"/>
      <c r="BH94" s="179"/>
      <c r="BI94" s="179"/>
      <c r="BJ94" s="179"/>
      <c r="BK94" s="179"/>
      <c r="BL94" s="179"/>
      <c r="BM94" s="179"/>
      <c r="BN94" s="179"/>
      <c r="BO94" s="179"/>
      <c r="BP94" s="179"/>
      <c r="BQ94" s="179"/>
      <c r="BR94" s="179"/>
      <c r="BS94" s="179"/>
      <c r="BT94" s="179"/>
      <c r="BU94" s="179"/>
      <c r="BV94" s="179"/>
      <c r="BW94" s="179"/>
      <c r="BX94" s="179"/>
      <c r="BY94" s="179"/>
      <c r="BZ94" s="179"/>
      <c r="CA94" s="179"/>
      <c r="CB94" s="179"/>
      <c r="CC94" s="179"/>
      <c r="CD94" s="179"/>
      <c r="CE94" s="179"/>
      <c r="CF94" s="179"/>
      <c r="CG94" s="179"/>
      <c r="CH94" s="179"/>
      <c r="CI94" s="179"/>
      <c r="CJ94" s="179"/>
      <c r="CK94" s="179"/>
      <c r="CL94" s="179"/>
      <c r="CM94" s="179"/>
      <c r="CN94" s="179"/>
      <c r="CO94" s="179"/>
      <c r="CP94" s="179"/>
      <c r="CQ94" s="179"/>
      <c r="CR94" s="179"/>
      <c r="CS94" s="179"/>
      <c r="CT94" s="179"/>
      <c r="CU94" s="179"/>
      <c r="CV94" s="179"/>
      <c r="CW94" s="179"/>
    </row>
    <row r="95" spans="1:101" x14ac:dyDescent="0.2">
      <c r="A95" s="32" t="str">
        <f t="shared" ca="1" si="1"/>
        <v>2025-07-06</v>
      </c>
      <c r="B95" s="179">
        <f ca="1">IF(ISNUMBER(MATCH(DATEVALUE($A95),'changes1_based on steps'!B$1:B$400,0)),B$2,)</f>
        <v>0</v>
      </c>
      <c r="C95" s="179">
        <f ca="1">IF(ISNUMBER(MATCH(DATEVALUE($A95),'changes1_based on steps'!C$1:C$400,0)),C$2,)</f>
        <v>0</v>
      </c>
      <c r="D95" s="179">
        <f ca="1">IF(ISNUMBER(MATCH(DATEVALUE($A95),'changes1_based on steps'!D$1:D$400,0)),D$2,)</f>
        <v>0</v>
      </c>
      <c r="E95" s="179">
        <f ca="1">IF(ISNUMBER(MATCH(DATEVALUE($A95),'changes1_based on steps'!E$1:E$400,0)),E$2,)</f>
        <v>0</v>
      </c>
      <c r="F95" s="179">
        <f ca="1">IF(ISNUMBER(MATCH(DATEVALUE($A95),'changes1_based on steps'!F$1:F$400,0)),F$2,)</f>
        <v>0</v>
      </c>
      <c r="G95" s="179">
        <f ca="1">IF(ISNUMBER(MATCH(DATEVALUE($A95),'changes1_based on steps'!G$1:G$400,0)),G$2,)</f>
        <v>0</v>
      </c>
      <c r="H95" s="179">
        <f ca="1">IF(ISNUMBER(MATCH(DATEVALUE($A95),'changes1_based on steps'!H$1:H$400,0)),H$2,)</f>
        <v>0</v>
      </c>
      <c r="I95" s="179">
        <f ca="1">IF(ISNUMBER(MATCH(DATEVALUE($A95),'changes1_based on steps'!I$1:I$400,0)),I$2,)</f>
        <v>0</v>
      </c>
      <c r="J95" s="179">
        <f ca="1">IF(ISNUMBER(MATCH(DATEVALUE($A95),'changes1_based on steps'!J$1:J$400,0)),J$2,)</f>
        <v>0</v>
      </c>
      <c r="K95" s="179">
        <f ca="1">IF(ISNUMBER(MATCH(DATEVALUE($A95),'changes1_based on steps'!K$1:K$400,0)),K$2,)</f>
        <v>0</v>
      </c>
      <c r="L95" s="179">
        <f ca="1">IF(ISNUMBER(MATCH(DATEVALUE($A95),'changes1_based on steps'!L$1:L$400,0)),L$2,)</f>
        <v>0</v>
      </c>
      <c r="M95" s="179">
        <f ca="1">IF(ISNUMBER(MATCH(DATEVALUE($A95),'changes1_based on steps'!M$1:M$400,0)),M$2,)</f>
        <v>0</v>
      </c>
      <c r="N95" s="179">
        <f ca="1">IF(ISNUMBER(MATCH(DATEVALUE($A95),'changes1_based on steps'!N$1:N$400,0)),N$2,)</f>
        <v>0</v>
      </c>
      <c r="O95" s="179">
        <f ca="1">IF(ISNUMBER(MATCH(DATEVALUE($A95),'changes1_based on steps'!O$1:O$400,0)),O$2,)</f>
        <v>0</v>
      </c>
      <c r="P95" s="179">
        <f ca="1">IF(ISNUMBER(MATCH(DATEVALUE($A95),'changes1_based on steps'!P$1:P$400,0)),P$2,)</f>
        <v>0</v>
      </c>
      <c r="Q95" s="179">
        <f ca="1">IF(ISNUMBER(MATCH(DATEVALUE($A95),'changes1_based on steps'!Q$1:Q$400,0)),Q$2,)</f>
        <v>0</v>
      </c>
      <c r="R95" s="179">
        <f ca="1">IF(ISNUMBER(MATCH(DATEVALUE($A95),'changes1_based on steps'!R$1:R$400,0)),R$2,)</f>
        <v>0</v>
      </c>
      <c r="S95" s="179">
        <f ca="1">IF(ISNUMBER(MATCH(DATEVALUE($A95),'changes1_based on steps'!S$1:S$400,0)),S$2,)</f>
        <v>0</v>
      </c>
      <c r="T95" s="179">
        <f ca="1">IF(ISNUMBER(MATCH(DATEVALUE($A95),'changes1_based on steps'!T$1:T$400,0)),T$2,)</f>
        <v>0</v>
      </c>
      <c r="U95" s="179">
        <f ca="1">IF(ISNUMBER(MATCH(DATEVALUE($A95),'changes1_based on steps'!U$1:U$400,0)),U$2,)</f>
        <v>0</v>
      </c>
      <c r="V95" s="179"/>
      <c r="W95" s="179"/>
      <c r="X95" s="179"/>
      <c r="Y95" s="179"/>
      <c r="Z95" s="179"/>
      <c r="AA95" s="179"/>
      <c r="AB95" s="179"/>
      <c r="AC95" s="179"/>
      <c r="AD95" s="179"/>
      <c r="AE95" s="179"/>
      <c r="AF95" s="179"/>
      <c r="AG95" s="179"/>
      <c r="AH95" s="179"/>
      <c r="AI95" s="179"/>
      <c r="AJ95" s="179"/>
      <c r="AK95" s="179"/>
      <c r="AL95" s="179"/>
      <c r="AM95" s="179"/>
      <c r="AN95" s="179"/>
      <c r="AO95" s="179"/>
      <c r="AP95" s="179"/>
      <c r="AQ95" s="179"/>
      <c r="AR95" s="179"/>
      <c r="AS95" s="179"/>
      <c r="AT95" s="179"/>
      <c r="AU95" s="179"/>
      <c r="AV95" s="179"/>
      <c r="AW95" s="179"/>
      <c r="AX95" s="179"/>
      <c r="AY95" s="179"/>
      <c r="AZ95" s="179"/>
      <c r="BA95" s="179"/>
      <c r="BB95" s="179"/>
      <c r="BC95" s="179"/>
      <c r="BD95" s="179"/>
      <c r="BE95" s="179"/>
      <c r="BF95" s="179"/>
      <c r="BG95" s="179"/>
      <c r="BH95" s="179"/>
      <c r="BI95" s="179"/>
      <c r="BJ95" s="179"/>
      <c r="BK95" s="179"/>
      <c r="BL95" s="179"/>
      <c r="BM95" s="179"/>
      <c r="BN95" s="179"/>
      <c r="BO95" s="179"/>
      <c r="BP95" s="179"/>
      <c r="BQ95" s="179"/>
      <c r="BR95" s="179"/>
      <c r="BS95" s="179"/>
      <c r="BT95" s="179"/>
      <c r="BU95" s="179"/>
      <c r="BV95" s="179"/>
      <c r="BW95" s="179"/>
      <c r="BX95" s="179"/>
      <c r="BY95" s="179"/>
      <c r="BZ95" s="179"/>
      <c r="CA95" s="179"/>
      <c r="CB95" s="179"/>
      <c r="CC95" s="179"/>
      <c r="CD95" s="179"/>
      <c r="CE95" s="179"/>
      <c r="CF95" s="179"/>
      <c r="CG95" s="179"/>
      <c r="CH95" s="179"/>
      <c r="CI95" s="179"/>
      <c r="CJ95" s="179"/>
      <c r="CK95" s="179"/>
      <c r="CL95" s="179"/>
      <c r="CM95" s="179"/>
      <c r="CN95" s="179"/>
      <c r="CO95" s="179"/>
      <c r="CP95" s="179"/>
      <c r="CQ95" s="179"/>
      <c r="CR95" s="179"/>
      <c r="CS95" s="179"/>
      <c r="CT95" s="179"/>
      <c r="CU95" s="179"/>
      <c r="CV95" s="179"/>
      <c r="CW95" s="179"/>
    </row>
    <row r="96" spans="1:101" x14ac:dyDescent="0.2">
      <c r="A96" s="32" t="str">
        <f t="shared" ca="1" si="1"/>
        <v>2025-07-07</v>
      </c>
      <c r="B96" s="179">
        <f ca="1">IF(ISNUMBER(MATCH(DATEVALUE($A96),'changes1_based on steps'!B$1:B$400,0)),B$2,)</f>
        <v>0</v>
      </c>
      <c r="C96" s="179">
        <f ca="1">IF(ISNUMBER(MATCH(DATEVALUE($A96),'changes1_based on steps'!C$1:C$400,0)),C$2,)</f>
        <v>0</v>
      </c>
      <c r="D96" s="179">
        <f ca="1">IF(ISNUMBER(MATCH(DATEVALUE($A96),'changes1_based on steps'!D$1:D$400,0)),D$2,)</f>
        <v>0</v>
      </c>
      <c r="E96" s="179">
        <f ca="1">IF(ISNUMBER(MATCH(DATEVALUE($A96),'changes1_based on steps'!E$1:E$400,0)),E$2,)</f>
        <v>0</v>
      </c>
      <c r="F96" s="179">
        <f ca="1">IF(ISNUMBER(MATCH(DATEVALUE($A96),'changes1_based on steps'!F$1:F$400,0)),F$2,)</f>
        <v>0</v>
      </c>
      <c r="G96" s="179">
        <f ca="1">IF(ISNUMBER(MATCH(DATEVALUE($A96),'changes1_based on steps'!G$1:G$400,0)),G$2,)</f>
        <v>0</v>
      </c>
      <c r="H96" s="179">
        <f ca="1">IF(ISNUMBER(MATCH(DATEVALUE($A96),'changes1_based on steps'!H$1:H$400,0)),H$2,)</f>
        <v>0</v>
      </c>
      <c r="I96" s="179">
        <f ca="1">IF(ISNUMBER(MATCH(DATEVALUE($A96),'changes1_based on steps'!I$1:I$400,0)),I$2,)</f>
        <v>0</v>
      </c>
      <c r="J96" s="179">
        <f ca="1">IF(ISNUMBER(MATCH(DATEVALUE($A96),'changes1_based on steps'!J$1:J$400,0)),J$2,)</f>
        <v>0</v>
      </c>
      <c r="K96" s="179">
        <f ca="1">IF(ISNUMBER(MATCH(DATEVALUE($A96),'changes1_based on steps'!K$1:K$400,0)),K$2,)</f>
        <v>0</v>
      </c>
      <c r="L96" s="179">
        <f ca="1">IF(ISNUMBER(MATCH(DATEVALUE($A96),'changes1_based on steps'!L$1:L$400,0)),L$2,)</f>
        <v>0</v>
      </c>
      <c r="M96" s="179">
        <f ca="1">IF(ISNUMBER(MATCH(DATEVALUE($A96),'changes1_based on steps'!M$1:M$400,0)),M$2,)</f>
        <v>0</v>
      </c>
      <c r="N96" s="179">
        <f ca="1">IF(ISNUMBER(MATCH(DATEVALUE($A96),'changes1_based on steps'!N$1:N$400,0)),N$2,)</f>
        <v>0</v>
      </c>
      <c r="O96" s="179">
        <f ca="1">IF(ISNUMBER(MATCH(DATEVALUE($A96),'changes1_based on steps'!O$1:O$400,0)),O$2,)</f>
        <v>0</v>
      </c>
      <c r="P96" s="179">
        <f ca="1">IF(ISNUMBER(MATCH(DATEVALUE($A96),'changes1_based on steps'!P$1:P$400,0)),P$2,)</f>
        <v>0</v>
      </c>
      <c r="Q96" s="179">
        <f ca="1">IF(ISNUMBER(MATCH(DATEVALUE($A96),'changes1_based on steps'!Q$1:Q$400,0)),Q$2,)</f>
        <v>0</v>
      </c>
      <c r="R96" s="179">
        <f ca="1">IF(ISNUMBER(MATCH(DATEVALUE($A96),'changes1_based on steps'!R$1:R$400,0)),R$2,)</f>
        <v>0</v>
      </c>
      <c r="S96" s="179">
        <f ca="1">IF(ISNUMBER(MATCH(DATEVALUE($A96),'changes1_based on steps'!S$1:S$400,0)),S$2,)</f>
        <v>0</v>
      </c>
      <c r="T96" s="179">
        <f ca="1">IF(ISNUMBER(MATCH(DATEVALUE($A96),'changes1_based on steps'!T$1:T$400,0)),T$2,)</f>
        <v>0</v>
      </c>
      <c r="U96" s="179">
        <f ca="1">IF(ISNUMBER(MATCH(DATEVALUE($A96),'changes1_based on steps'!U$1:U$400,0)),U$2,)</f>
        <v>0</v>
      </c>
      <c r="V96" s="179"/>
      <c r="W96" s="179"/>
      <c r="X96" s="179"/>
      <c r="Y96" s="179"/>
      <c r="Z96" s="179"/>
      <c r="AA96" s="179"/>
      <c r="AB96" s="179"/>
      <c r="AC96" s="179"/>
      <c r="AD96" s="179"/>
      <c r="AE96" s="179"/>
      <c r="AF96" s="179"/>
      <c r="AG96" s="179"/>
      <c r="AH96" s="179"/>
      <c r="AI96" s="179"/>
      <c r="AJ96" s="179"/>
      <c r="AK96" s="179"/>
      <c r="AL96" s="179"/>
      <c r="AM96" s="179"/>
      <c r="AN96" s="179"/>
      <c r="AO96" s="179"/>
      <c r="AP96" s="179"/>
      <c r="AQ96" s="179"/>
      <c r="AR96" s="179"/>
      <c r="AS96" s="179"/>
      <c r="AT96" s="179"/>
      <c r="AU96" s="179"/>
      <c r="AV96" s="179"/>
      <c r="AW96" s="179"/>
      <c r="AX96" s="179"/>
      <c r="AY96" s="179"/>
      <c r="AZ96" s="179"/>
      <c r="BA96" s="179"/>
      <c r="BB96" s="179"/>
      <c r="BC96" s="179"/>
      <c r="BD96" s="179"/>
      <c r="BE96" s="179"/>
      <c r="BF96" s="179"/>
      <c r="BG96" s="179"/>
      <c r="BH96" s="179"/>
      <c r="BI96" s="179"/>
      <c r="BJ96" s="179"/>
      <c r="BK96" s="179"/>
      <c r="BL96" s="179"/>
      <c r="BM96" s="179"/>
      <c r="BN96" s="179"/>
      <c r="BO96" s="179"/>
      <c r="BP96" s="179"/>
      <c r="BQ96" s="179"/>
      <c r="BR96" s="179"/>
      <c r="BS96" s="179"/>
      <c r="BT96" s="179"/>
      <c r="BU96" s="179"/>
      <c r="BV96" s="179"/>
      <c r="BW96" s="179"/>
      <c r="BX96" s="179"/>
      <c r="BY96" s="179"/>
      <c r="BZ96" s="179"/>
      <c r="CA96" s="179"/>
      <c r="CB96" s="179"/>
      <c r="CC96" s="179"/>
      <c r="CD96" s="179"/>
      <c r="CE96" s="179"/>
      <c r="CF96" s="179"/>
      <c r="CG96" s="179"/>
      <c r="CH96" s="179"/>
      <c r="CI96" s="179"/>
      <c r="CJ96" s="179"/>
      <c r="CK96" s="179"/>
      <c r="CL96" s="179"/>
      <c r="CM96" s="179"/>
      <c r="CN96" s="179"/>
      <c r="CO96" s="179"/>
      <c r="CP96" s="179"/>
      <c r="CQ96" s="179"/>
      <c r="CR96" s="179"/>
      <c r="CS96" s="179"/>
      <c r="CT96" s="179"/>
      <c r="CU96" s="179"/>
      <c r="CV96" s="179"/>
      <c r="CW96" s="179"/>
    </row>
    <row r="97" spans="1:101" x14ac:dyDescent="0.2">
      <c r="A97" s="32" t="str">
        <f t="shared" ca="1" si="1"/>
        <v>2025-07-08</v>
      </c>
      <c r="B97" s="179">
        <f ca="1">IF(ISNUMBER(MATCH(DATEVALUE($A97),'changes1_based on steps'!B$1:B$400,0)),B$2,)</f>
        <v>0</v>
      </c>
      <c r="C97" s="179">
        <f ca="1">IF(ISNUMBER(MATCH(DATEVALUE($A97),'changes1_based on steps'!C$1:C$400,0)),C$2,)</f>
        <v>0</v>
      </c>
      <c r="D97" s="179">
        <f ca="1">IF(ISNUMBER(MATCH(DATEVALUE($A97),'changes1_based on steps'!D$1:D$400,0)),D$2,)</f>
        <v>0</v>
      </c>
      <c r="E97" s="179">
        <f ca="1">IF(ISNUMBER(MATCH(DATEVALUE($A97),'changes1_based on steps'!E$1:E$400,0)),E$2,)</f>
        <v>0</v>
      </c>
      <c r="F97" s="179">
        <f ca="1">IF(ISNUMBER(MATCH(DATEVALUE($A97),'changes1_based on steps'!F$1:F$400,0)),F$2,)</f>
        <v>0</v>
      </c>
      <c r="G97" s="179">
        <f ca="1">IF(ISNUMBER(MATCH(DATEVALUE($A97),'changes1_based on steps'!G$1:G$400,0)),G$2,)</f>
        <v>0</v>
      </c>
      <c r="H97" s="179">
        <f ca="1">IF(ISNUMBER(MATCH(DATEVALUE($A97),'changes1_based on steps'!H$1:H$400,0)),H$2,)</f>
        <v>0</v>
      </c>
      <c r="I97" s="179">
        <f ca="1">IF(ISNUMBER(MATCH(DATEVALUE($A97),'changes1_based on steps'!I$1:I$400,0)),I$2,)</f>
        <v>0</v>
      </c>
      <c r="J97" s="179">
        <f ca="1">IF(ISNUMBER(MATCH(DATEVALUE($A97),'changes1_based on steps'!J$1:J$400,0)),J$2,)</f>
        <v>0</v>
      </c>
      <c r="K97" s="179">
        <f ca="1">IF(ISNUMBER(MATCH(DATEVALUE($A97),'changes1_based on steps'!K$1:K$400,0)),K$2,)</f>
        <v>0</v>
      </c>
      <c r="L97" s="179">
        <f ca="1">IF(ISNUMBER(MATCH(DATEVALUE($A97),'changes1_based on steps'!L$1:L$400,0)),L$2,)</f>
        <v>0</v>
      </c>
      <c r="M97" s="179">
        <f ca="1">IF(ISNUMBER(MATCH(DATEVALUE($A97),'changes1_based on steps'!M$1:M$400,0)),M$2,)</f>
        <v>0</v>
      </c>
      <c r="N97" s="179">
        <f ca="1">IF(ISNUMBER(MATCH(DATEVALUE($A97),'changes1_based on steps'!N$1:N$400,0)),N$2,)</f>
        <v>0</v>
      </c>
      <c r="O97" s="179">
        <f ca="1">IF(ISNUMBER(MATCH(DATEVALUE($A97),'changes1_based on steps'!O$1:O$400,0)),O$2,)</f>
        <v>0</v>
      </c>
      <c r="P97" s="179">
        <f ca="1">IF(ISNUMBER(MATCH(DATEVALUE($A97),'changes1_based on steps'!P$1:P$400,0)),P$2,)</f>
        <v>0</v>
      </c>
      <c r="Q97" s="179">
        <f ca="1">IF(ISNUMBER(MATCH(DATEVALUE($A97),'changes1_based on steps'!Q$1:Q$400,0)),Q$2,)</f>
        <v>0</v>
      </c>
      <c r="R97" s="179">
        <f ca="1">IF(ISNUMBER(MATCH(DATEVALUE($A97),'changes1_based on steps'!R$1:R$400,0)),R$2,)</f>
        <v>0</v>
      </c>
      <c r="S97" s="179">
        <f ca="1">IF(ISNUMBER(MATCH(DATEVALUE($A97),'changes1_based on steps'!S$1:S$400,0)),S$2,)</f>
        <v>0</v>
      </c>
      <c r="T97" s="179">
        <f ca="1">IF(ISNUMBER(MATCH(DATEVALUE($A97),'changes1_based on steps'!T$1:T$400,0)),T$2,)</f>
        <v>0</v>
      </c>
      <c r="U97" s="179">
        <f ca="1">IF(ISNUMBER(MATCH(DATEVALUE($A97),'changes1_based on steps'!U$1:U$400,0)),U$2,)</f>
        <v>0</v>
      </c>
      <c r="V97" s="179"/>
      <c r="W97" s="179"/>
      <c r="X97" s="179"/>
      <c r="Y97" s="179"/>
      <c r="Z97" s="179"/>
      <c r="AA97" s="179"/>
      <c r="AB97" s="179"/>
      <c r="AC97" s="179"/>
      <c r="AD97" s="179"/>
      <c r="AE97" s="179"/>
      <c r="AF97" s="179"/>
      <c r="AG97" s="179"/>
      <c r="AH97" s="179"/>
      <c r="AI97" s="179"/>
      <c r="AJ97" s="179"/>
      <c r="AK97" s="179"/>
      <c r="AL97" s="179"/>
      <c r="AM97" s="179"/>
      <c r="AN97" s="179"/>
      <c r="AO97" s="179"/>
      <c r="AP97" s="179"/>
      <c r="AQ97" s="179"/>
      <c r="AR97" s="179"/>
      <c r="AS97" s="179"/>
      <c r="AT97" s="179"/>
      <c r="AU97" s="179"/>
      <c r="AV97" s="179"/>
      <c r="AW97" s="179"/>
      <c r="AX97" s="179"/>
      <c r="AY97" s="179"/>
      <c r="AZ97" s="179"/>
      <c r="BA97" s="179"/>
      <c r="BB97" s="179"/>
      <c r="BC97" s="179"/>
      <c r="BD97" s="179"/>
      <c r="BE97" s="179"/>
      <c r="BF97" s="179"/>
      <c r="BG97" s="179"/>
      <c r="BH97" s="179"/>
      <c r="BI97" s="179"/>
      <c r="BJ97" s="179"/>
      <c r="BK97" s="179"/>
      <c r="BL97" s="179"/>
      <c r="BM97" s="179"/>
      <c r="BN97" s="179"/>
      <c r="BO97" s="179"/>
      <c r="BP97" s="179"/>
      <c r="BQ97" s="179"/>
      <c r="BR97" s="179"/>
      <c r="BS97" s="179"/>
      <c r="BT97" s="179"/>
      <c r="BU97" s="179"/>
      <c r="BV97" s="179"/>
      <c r="BW97" s="179"/>
      <c r="BX97" s="179"/>
      <c r="BY97" s="179"/>
      <c r="BZ97" s="179"/>
      <c r="CA97" s="179"/>
      <c r="CB97" s="179"/>
      <c r="CC97" s="179"/>
      <c r="CD97" s="179"/>
      <c r="CE97" s="179"/>
      <c r="CF97" s="179"/>
      <c r="CG97" s="179"/>
      <c r="CH97" s="179"/>
      <c r="CI97" s="179"/>
      <c r="CJ97" s="179"/>
      <c r="CK97" s="179"/>
      <c r="CL97" s="179"/>
      <c r="CM97" s="179"/>
      <c r="CN97" s="179"/>
      <c r="CO97" s="179"/>
      <c r="CP97" s="179"/>
      <c r="CQ97" s="179"/>
      <c r="CR97" s="179"/>
      <c r="CS97" s="179"/>
      <c r="CT97" s="179"/>
      <c r="CU97" s="179"/>
      <c r="CV97" s="179"/>
      <c r="CW97" s="179"/>
    </row>
    <row r="98" spans="1:101" x14ac:dyDescent="0.2">
      <c r="A98" s="32" t="str">
        <f t="shared" ca="1" si="1"/>
        <v>2025-07-09</v>
      </c>
      <c r="B98" s="179">
        <f ca="1">IF(ISNUMBER(MATCH(DATEVALUE($A98),'changes1_based on steps'!B$1:B$400,0)),B$2,)</f>
        <v>0</v>
      </c>
      <c r="C98" s="179">
        <f ca="1">IF(ISNUMBER(MATCH(DATEVALUE($A98),'changes1_based on steps'!C$1:C$400,0)),C$2,)</f>
        <v>0</v>
      </c>
      <c r="D98" s="179">
        <f ca="1">IF(ISNUMBER(MATCH(DATEVALUE($A98),'changes1_based on steps'!D$1:D$400,0)),D$2,)</f>
        <v>0</v>
      </c>
      <c r="E98" s="179">
        <f ca="1">IF(ISNUMBER(MATCH(DATEVALUE($A98),'changes1_based on steps'!E$1:E$400,0)),E$2,)</f>
        <v>0</v>
      </c>
      <c r="F98" s="179">
        <f ca="1">IF(ISNUMBER(MATCH(DATEVALUE($A98),'changes1_based on steps'!F$1:F$400,0)),F$2,)</f>
        <v>0</v>
      </c>
      <c r="G98" s="179">
        <f ca="1">IF(ISNUMBER(MATCH(DATEVALUE($A98),'changes1_based on steps'!G$1:G$400,0)),G$2,)</f>
        <v>0</v>
      </c>
      <c r="H98" s="179">
        <f ca="1">IF(ISNUMBER(MATCH(DATEVALUE($A98),'changes1_based on steps'!H$1:H$400,0)),H$2,)</f>
        <v>0</v>
      </c>
      <c r="I98" s="179">
        <f ca="1">IF(ISNUMBER(MATCH(DATEVALUE($A98),'changes1_based on steps'!I$1:I$400,0)),I$2,)</f>
        <v>0</v>
      </c>
      <c r="J98" s="179">
        <f ca="1">IF(ISNUMBER(MATCH(DATEVALUE($A98),'changes1_based on steps'!J$1:J$400,0)),J$2,)</f>
        <v>0</v>
      </c>
      <c r="K98" s="179">
        <f ca="1">IF(ISNUMBER(MATCH(DATEVALUE($A98),'changes1_based on steps'!K$1:K$400,0)),K$2,)</f>
        <v>0</v>
      </c>
      <c r="L98" s="179">
        <f ca="1">IF(ISNUMBER(MATCH(DATEVALUE($A98),'changes1_based on steps'!L$1:L$400,0)),L$2,)</f>
        <v>0</v>
      </c>
      <c r="M98" s="179">
        <f ca="1">IF(ISNUMBER(MATCH(DATEVALUE($A98),'changes1_based on steps'!M$1:M$400,0)),M$2,)</f>
        <v>0</v>
      </c>
      <c r="N98" s="179">
        <f ca="1">IF(ISNUMBER(MATCH(DATEVALUE($A98),'changes1_based on steps'!N$1:N$400,0)),N$2,)</f>
        <v>0</v>
      </c>
      <c r="O98" s="179">
        <f ca="1">IF(ISNUMBER(MATCH(DATEVALUE($A98),'changes1_based on steps'!O$1:O$400,0)),O$2,)</f>
        <v>0</v>
      </c>
      <c r="P98" s="179">
        <f ca="1">IF(ISNUMBER(MATCH(DATEVALUE($A98),'changes1_based on steps'!P$1:P$400,0)),P$2,)</f>
        <v>0</v>
      </c>
      <c r="Q98" s="179">
        <f ca="1">IF(ISNUMBER(MATCH(DATEVALUE($A98),'changes1_based on steps'!Q$1:Q$400,0)),Q$2,)</f>
        <v>0</v>
      </c>
      <c r="R98" s="179">
        <f ca="1">IF(ISNUMBER(MATCH(DATEVALUE($A98),'changes1_based on steps'!R$1:R$400,0)),R$2,)</f>
        <v>0</v>
      </c>
      <c r="S98" s="179">
        <f ca="1">IF(ISNUMBER(MATCH(DATEVALUE($A98),'changes1_based on steps'!S$1:S$400,0)),S$2,)</f>
        <v>0</v>
      </c>
      <c r="T98" s="179">
        <f ca="1">IF(ISNUMBER(MATCH(DATEVALUE($A98),'changes1_based on steps'!T$1:T$400,0)),T$2,)</f>
        <v>0</v>
      </c>
      <c r="U98" s="179">
        <f ca="1">IF(ISNUMBER(MATCH(DATEVALUE($A98),'changes1_based on steps'!U$1:U$400,0)),U$2,)</f>
        <v>0</v>
      </c>
      <c r="V98" s="179"/>
      <c r="W98" s="179"/>
      <c r="X98" s="179"/>
      <c r="Y98" s="179"/>
      <c r="Z98" s="179"/>
      <c r="AA98" s="179"/>
      <c r="AB98" s="179"/>
      <c r="AC98" s="179"/>
      <c r="AD98" s="179"/>
      <c r="AE98" s="179"/>
      <c r="AF98" s="179"/>
      <c r="AG98" s="179"/>
      <c r="AH98" s="179"/>
      <c r="AI98" s="179"/>
      <c r="AJ98" s="179"/>
      <c r="AK98" s="179"/>
      <c r="AL98" s="179"/>
      <c r="AM98" s="179"/>
      <c r="AN98" s="179"/>
      <c r="AO98" s="179"/>
      <c r="AP98" s="179"/>
      <c r="AQ98" s="179"/>
      <c r="AR98" s="179"/>
      <c r="AS98" s="179"/>
      <c r="AT98" s="179"/>
      <c r="AU98" s="179"/>
      <c r="AV98" s="179"/>
      <c r="AW98" s="179"/>
      <c r="AX98" s="179"/>
      <c r="AY98" s="179"/>
      <c r="AZ98" s="179"/>
      <c r="BA98" s="179"/>
      <c r="BB98" s="179"/>
      <c r="BC98" s="179"/>
      <c r="BD98" s="179"/>
      <c r="BE98" s="179"/>
      <c r="BF98" s="179"/>
      <c r="BG98" s="179"/>
      <c r="BH98" s="179"/>
      <c r="BI98" s="179"/>
      <c r="BJ98" s="179"/>
      <c r="BK98" s="179"/>
      <c r="BL98" s="179"/>
      <c r="BM98" s="179"/>
      <c r="BN98" s="179"/>
      <c r="BO98" s="179"/>
      <c r="BP98" s="179"/>
      <c r="BQ98" s="179"/>
      <c r="BR98" s="179"/>
      <c r="BS98" s="179"/>
      <c r="BT98" s="179"/>
      <c r="BU98" s="179"/>
      <c r="BV98" s="179"/>
      <c r="BW98" s="179"/>
      <c r="BX98" s="179"/>
      <c r="BY98" s="179"/>
      <c r="BZ98" s="179"/>
      <c r="CA98" s="179"/>
      <c r="CB98" s="179"/>
      <c r="CC98" s="179"/>
      <c r="CD98" s="179"/>
      <c r="CE98" s="179"/>
      <c r="CF98" s="179"/>
      <c r="CG98" s="179"/>
      <c r="CH98" s="179"/>
      <c r="CI98" s="179"/>
      <c r="CJ98" s="179"/>
      <c r="CK98" s="179"/>
      <c r="CL98" s="179"/>
      <c r="CM98" s="179"/>
      <c r="CN98" s="179"/>
      <c r="CO98" s="179"/>
      <c r="CP98" s="179"/>
      <c r="CQ98" s="179"/>
      <c r="CR98" s="179"/>
      <c r="CS98" s="179"/>
      <c r="CT98" s="179"/>
      <c r="CU98" s="179"/>
      <c r="CV98" s="179"/>
      <c r="CW98" s="179"/>
    </row>
    <row r="99" spans="1:101" x14ac:dyDescent="0.2">
      <c r="A99" s="32" t="str">
        <f t="shared" ca="1" si="1"/>
        <v>2025-07-10</v>
      </c>
      <c r="B99" s="179">
        <f ca="1">IF(ISNUMBER(MATCH(DATEVALUE($A99),'changes1_based on steps'!B$1:B$400,0)),B$2,)</f>
        <v>0</v>
      </c>
      <c r="C99" s="179">
        <f ca="1">IF(ISNUMBER(MATCH(DATEVALUE($A99),'changes1_based on steps'!C$1:C$400,0)),C$2,)</f>
        <v>0</v>
      </c>
      <c r="D99" s="179">
        <f ca="1">IF(ISNUMBER(MATCH(DATEVALUE($A99),'changes1_based on steps'!D$1:D$400,0)),D$2,)</f>
        <v>0</v>
      </c>
      <c r="E99" s="179">
        <f ca="1">IF(ISNUMBER(MATCH(DATEVALUE($A99),'changes1_based on steps'!E$1:E$400,0)),E$2,)</f>
        <v>0</v>
      </c>
      <c r="F99" s="179">
        <f ca="1">IF(ISNUMBER(MATCH(DATEVALUE($A99),'changes1_based on steps'!F$1:F$400,0)),F$2,)</f>
        <v>0</v>
      </c>
      <c r="G99" s="179">
        <f ca="1">IF(ISNUMBER(MATCH(DATEVALUE($A99),'changes1_based on steps'!G$1:G$400,0)),G$2,)</f>
        <v>0</v>
      </c>
      <c r="H99" s="179">
        <f ca="1">IF(ISNUMBER(MATCH(DATEVALUE($A99),'changes1_based on steps'!H$1:H$400,0)),H$2,)</f>
        <v>0</v>
      </c>
      <c r="I99" s="179">
        <f ca="1">IF(ISNUMBER(MATCH(DATEVALUE($A99),'changes1_based on steps'!I$1:I$400,0)),I$2,)</f>
        <v>0</v>
      </c>
      <c r="J99" s="179">
        <f ca="1">IF(ISNUMBER(MATCH(DATEVALUE($A99),'changes1_based on steps'!J$1:J$400,0)),J$2,)</f>
        <v>0</v>
      </c>
      <c r="K99" s="179">
        <f ca="1">IF(ISNUMBER(MATCH(DATEVALUE($A99),'changes1_based on steps'!K$1:K$400,0)),K$2,)</f>
        <v>0</v>
      </c>
      <c r="L99" s="179">
        <f ca="1">IF(ISNUMBER(MATCH(DATEVALUE($A99),'changes1_based on steps'!L$1:L$400,0)),L$2,)</f>
        <v>0</v>
      </c>
      <c r="M99" s="179">
        <f ca="1">IF(ISNUMBER(MATCH(DATEVALUE($A99),'changes1_based on steps'!M$1:M$400,0)),M$2,)</f>
        <v>0</v>
      </c>
      <c r="N99" s="179">
        <f ca="1">IF(ISNUMBER(MATCH(DATEVALUE($A99),'changes1_based on steps'!N$1:N$400,0)),N$2,)</f>
        <v>0</v>
      </c>
      <c r="O99" s="179">
        <f ca="1">IF(ISNUMBER(MATCH(DATEVALUE($A99),'changes1_based on steps'!O$1:O$400,0)),O$2,)</f>
        <v>0</v>
      </c>
      <c r="P99" s="179">
        <f ca="1">IF(ISNUMBER(MATCH(DATEVALUE($A99),'changes1_based on steps'!P$1:P$400,0)),P$2,)</f>
        <v>0</v>
      </c>
      <c r="Q99" s="179">
        <f ca="1">IF(ISNUMBER(MATCH(DATEVALUE($A99),'changes1_based on steps'!Q$1:Q$400,0)),Q$2,)</f>
        <v>0</v>
      </c>
      <c r="R99" s="179">
        <f ca="1">IF(ISNUMBER(MATCH(DATEVALUE($A99),'changes1_based on steps'!R$1:R$400,0)),R$2,)</f>
        <v>0</v>
      </c>
      <c r="S99" s="179">
        <f ca="1">IF(ISNUMBER(MATCH(DATEVALUE($A99),'changes1_based on steps'!S$1:S$400,0)),S$2,)</f>
        <v>0</v>
      </c>
      <c r="T99" s="179">
        <f ca="1">IF(ISNUMBER(MATCH(DATEVALUE($A99),'changes1_based on steps'!T$1:T$400,0)),T$2,)</f>
        <v>0</v>
      </c>
      <c r="U99" s="179">
        <f ca="1">IF(ISNUMBER(MATCH(DATEVALUE($A99),'changes1_based on steps'!U$1:U$400,0)),U$2,)</f>
        <v>0</v>
      </c>
      <c r="V99" s="179"/>
      <c r="W99" s="179"/>
      <c r="X99" s="179"/>
      <c r="Y99" s="179"/>
      <c r="Z99" s="179"/>
      <c r="AA99" s="179"/>
      <c r="AB99" s="179"/>
      <c r="AC99" s="179"/>
      <c r="AD99" s="179"/>
      <c r="AE99" s="179"/>
      <c r="AF99" s="179"/>
      <c r="AG99" s="179"/>
      <c r="AH99" s="179"/>
      <c r="AI99" s="179"/>
      <c r="AJ99" s="179"/>
      <c r="AK99" s="179"/>
      <c r="AL99" s="179"/>
      <c r="AM99" s="179"/>
      <c r="AN99" s="179"/>
      <c r="AO99" s="179"/>
      <c r="AP99" s="179"/>
      <c r="AQ99" s="179"/>
      <c r="AR99" s="179"/>
      <c r="AS99" s="179"/>
      <c r="AT99" s="179"/>
      <c r="AU99" s="179"/>
      <c r="AV99" s="179"/>
      <c r="AW99" s="179"/>
      <c r="AX99" s="179"/>
      <c r="AY99" s="179"/>
      <c r="AZ99" s="179"/>
      <c r="BA99" s="179"/>
      <c r="BB99" s="179"/>
      <c r="BC99" s="179"/>
      <c r="BD99" s="179"/>
      <c r="BE99" s="179"/>
      <c r="BF99" s="179"/>
      <c r="BG99" s="179"/>
      <c r="BH99" s="179"/>
      <c r="BI99" s="179"/>
      <c r="BJ99" s="179"/>
      <c r="BK99" s="179"/>
      <c r="BL99" s="179"/>
      <c r="BM99" s="179"/>
      <c r="BN99" s="179"/>
      <c r="BO99" s="179"/>
      <c r="BP99" s="179"/>
      <c r="BQ99" s="179"/>
      <c r="BR99" s="179"/>
      <c r="BS99" s="179"/>
      <c r="BT99" s="179"/>
      <c r="BU99" s="179"/>
      <c r="BV99" s="179"/>
      <c r="BW99" s="179"/>
      <c r="BX99" s="179"/>
      <c r="BY99" s="179"/>
      <c r="BZ99" s="179"/>
      <c r="CA99" s="179"/>
      <c r="CB99" s="179"/>
      <c r="CC99" s="179"/>
      <c r="CD99" s="179"/>
      <c r="CE99" s="179"/>
      <c r="CF99" s="179"/>
      <c r="CG99" s="179"/>
      <c r="CH99" s="179"/>
      <c r="CI99" s="179"/>
      <c r="CJ99" s="179"/>
      <c r="CK99" s="179"/>
      <c r="CL99" s="179"/>
      <c r="CM99" s="179"/>
      <c r="CN99" s="179"/>
      <c r="CO99" s="179"/>
      <c r="CP99" s="179"/>
      <c r="CQ99" s="179"/>
      <c r="CR99" s="179"/>
      <c r="CS99" s="179"/>
      <c r="CT99" s="179"/>
      <c r="CU99" s="179"/>
      <c r="CV99" s="179"/>
      <c r="CW99" s="179"/>
    </row>
    <row r="100" spans="1:101" x14ac:dyDescent="0.2">
      <c r="A100" s="32" t="str">
        <f t="shared" ca="1" si="1"/>
        <v>2025-07-11</v>
      </c>
      <c r="B100" s="179">
        <f ca="1">IF(ISNUMBER(MATCH(DATEVALUE($A100),'changes1_based on steps'!B$1:B$400,0)),B$2,)</f>
        <v>0</v>
      </c>
      <c r="C100" s="179">
        <f ca="1">IF(ISNUMBER(MATCH(DATEVALUE($A100),'changes1_based on steps'!C$1:C$400,0)),C$2,)</f>
        <v>0</v>
      </c>
      <c r="D100" s="179">
        <f ca="1">IF(ISNUMBER(MATCH(DATEVALUE($A100),'changes1_based on steps'!D$1:D$400,0)),D$2,)</f>
        <v>0</v>
      </c>
      <c r="E100" s="179">
        <f ca="1">IF(ISNUMBER(MATCH(DATEVALUE($A100),'changes1_based on steps'!E$1:E$400,0)),E$2,)</f>
        <v>0</v>
      </c>
      <c r="F100" s="179">
        <f ca="1">IF(ISNUMBER(MATCH(DATEVALUE($A100),'changes1_based on steps'!F$1:F$400,0)),F$2,)</f>
        <v>0</v>
      </c>
      <c r="G100" s="179">
        <f ca="1">IF(ISNUMBER(MATCH(DATEVALUE($A100),'changes1_based on steps'!G$1:G$400,0)),G$2,)</f>
        <v>0</v>
      </c>
      <c r="H100" s="179">
        <f ca="1">IF(ISNUMBER(MATCH(DATEVALUE($A100),'changes1_based on steps'!H$1:H$400,0)),H$2,)</f>
        <v>0</v>
      </c>
      <c r="I100" s="179">
        <f ca="1">IF(ISNUMBER(MATCH(DATEVALUE($A100),'changes1_based on steps'!I$1:I$400,0)),I$2,)</f>
        <v>0</v>
      </c>
      <c r="J100" s="179">
        <f ca="1">IF(ISNUMBER(MATCH(DATEVALUE($A100),'changes1_based on steps'!J$1:J$400,0)),J$2,)</f>
        <v>0</v>
      </c>
      <c r="K100" s="179">
        <f ca="1">IF(ISNUMBER(MATCH(DATEVALUE($A100),'changes1_based on steps'!K$1:K$400,0)),K$2,)</f>
        <v>0</v>
      </c>
      <c r="L100" s="179">
        <f ca="1">IF(ISNUMBER(MATCH(DATEVALUE($A100),'changes1_based on steps'!L$1:L$400,0)),L$2,)</f>
        <v>0</v>
      </c>
      <c r="M100" s="179">
        <f ca="1">IF(ISNUMBER(MATCH(DATEVALUE($A100),'changes1_based on steps'!M$1:M$400,0)),M$2,)</f>
        <v>0</v>
      </c>
      <c r="N100" s="179">
        <f ca="1">IF(ISNUMBER(MATCH(DATEVALUE($A100),'changes1_based on steps'!N$1:N$400,0)),N$2,)</f>
        <v>0</v>
      </c>
      <c r="O100" s="179">
        <f ca="1">IF(ISNUMBER(MATCH(DATEVALUE($A100),'changes1_based on steps'!O$1:O$400,0)),O$2,)</f>
        <v>0</v>
      </c>
      <c r="P100" s="179">
        <f ca="1">IF(ISNUMBER(MATCH(DATEVALUE($A100),'changes1_based on steps'!P$1:P$400,0)),P$2,)</f>
        <v>0</v>
      </c>
      <c r="Q100" s="179">
        <f ca="1">IF(ISNUMBER(MATCH(DATEVALUE($A100),'changes1_based on steps'!Q$1:Q$400,0)),Q$2,)</f>
        <v>0</v>
      </c>
      <c r="R100" s="179">
        <f ca="1">IF(ISNUMBER(MATCH(DATEVALUE($A100),'changes1_based on steps'!R$1:R$400,0)),R$2,)</f>
        <v>0</v>
      </c>
      <c r="S100" s="179">
        <f ca="1">IF(ISNUMBER(MATCH(DATEVALUE($A100),'changes1_based on steps'!S$1:S$400,0)),S$2,)</f>
        <v>0</v>
      </c>
      <c r="T100" s="179">
        <f ca="1">IF(ISNUMBER(MATCH(DATEVALUE($A100),'changes1_based on steps'!T$1:T$400,0)),T$2,)</f>
        <v>0</v>
      </c>
      <c r="U100" s="179">
        <f ca="1">IF(ISNUMBER(MATCH(DATEVALUE($A100),'changes1_based on steps'!U$1:U$400,0)),U$2,)</f>
        <v>0</v>
      </c>
      <c r="V100" s="179"/>
      <c r="W100" s="179"/>
      <c r="X100" s="179"/>
      <c r="Y100" s="179"/>
      <c r="Z100" s="179"/>
      <c r="AA100" s="179"/>
      <c r="AB100" s="179"/>
      <c r="AC100" s="179"/>
      <c r="AD100" s="179"/>
      <c r="AE100" s="179"/>
      <c r="AF100" s="179"/>
      <c r="AG100" s="179"/>
      <c r="AH100" s="179"/>
      <c r="AI100" s="179"/>
      <c r="AJ100" s="179"/>
      <c r="AK100" s="179"/>
      <c r="AL100" s="179"/>
      <c r="AM100" s="179"/>
      <c r="AN100" s="179"/>
      <c r="AO100" s="179"/>
      <c r="AP100" s="179"/>
      <c r="AQ100" s="179"/>
      <c r="AR100" s="179"/>
      <c r="AS100" s="179"/>
      <c r="AT100" s="179"/>
      <c r="AU100" s="179"/>
      <c r="AV100" s="179"/>
      <c r="AW100" s="179"/>
      <c r="AX100" s="179"/>
      <c r="AY100" s="179"/>
      <c r="AZ100" s="179"/>
      <c r="BA100" s="179"/>
      <c r="BB100" s="179"/>
      <c r="BC100" s="179"/>
      <c r="BD100" s="179"/>
      <c r="BE100" s="179"/>
      <c r="BF100" s="179"/>
      <c r="BG100" s="179"/>
      <c r="BH100" s="179"/>
      <c r="BI100" s="179"/>
      <c r="BJ100" s="179"/>
      <c r="BK100" s="179"/>
      <c r="BL100" s="179"/>
      <c r="BM100" s="179"/>
      <c r="BN100" s="179"/>
      <c r="BO100" s="179"/>
      <c r="BP100" s="179"/>
      <c r="BQ100" s="179"/>
      <c r="BR100" s="179"/>
      <c r="BS100" s="179"/>
      <c r="BT100" s="179"/>
      <c r="BU100" s="179"/>
      <c r="BV100" s="179"/>
      <c r="BW100" s="179"/>
      <c r="BX100" s="179"/>
      <c r="BY100" s="179"/>
      <c r="BZ100" s="179"/>
      <c r="CA100" s="179"/>
      <c r="CB100" s="179"/>
      <c r="CC100" s="179"/>
      <c r="CD100" s="179"/>
      <c r="CE100" s="179"/>
      <c r="CF100" s="179"/>
      <c r="CG100" s="179"/>
      <c r="CH100" s="179"/>
      <c r="CI100" s="179"/>
      <c r="CJ100" s="179"/>
      <c r="CK100" s="179"/>
      <c r="CL100" s="179"/>
      <c r="CM100" s="179"/>
      <c r="CN100" s="179"/>
      <c r="CO100" s="179"/>
      <c r="CP100" s="179"/>
      <c r="CQ100" s="179"/>
      <c r="CR100" s="179"/>
      <c r="CS100" s="179"/>
      <c r="CT100" s="179"/>
      <c r="CU100" s="179"/>
      <c r="CV100" s="179"/>
      <c r="CW100" s="179"/>
    </row>
    <row r="101" spans="1:101" x14ac:dyDescent="0.2">
      <c r="A101" s="32" t="str">
        <f t="shared" ca="1" si="1"/>
        <v>2025-07-12</v>
      </c>
      <c r="B101" s="179">
        <f ca="1">IF(ISNUMBER(MATCH(DATEVALUE($A101),'changes1_based on steps'!B$1:B$400,0)),B$2,)</f>
        <v>0</v>
      </c>
      <c r="C101" s="179">
        <f ca="1">IF(ISNUMBER(MATCH(DATEVALUE($A101),'changes1_based on steps'!C$1:C$400,0)),C$2,)</f>
        <v>0</v>
      </c>
      <c r="D101" s="179">
        <f ca="1">IF(ISNUMBER(MATCH(DATEVALUE($A101),'changes1_based on steps'!D$1:D$400,0)),D$2,)</f>
        <v>0</v>
      </c>
      <c r="E101" s="179">
        <f ca="1">IF(ISNUMBER(MATCH(DATEVALUE($A101),'changes1_based on steps'!E$1:E$400,0)),E$2,)</f>
        <v>0</v>
      </c>
      <c r="F101" s="179">
        <f ca="1">IF(ISNUMBER(MATCH(DATEVALUE($A101),'changes1_based on steps'!F$1:F$400,0)),F$2,)</f>
        <v>0</v>
      </c>
      <c r="G101" s="179">
        <f ca="1">IF(ISNUMBER(MATCH(DATEVALUE($A101),'changes1_based on steps'!G$1:G$400,0)),G$2,)</f>
        <v>0</v>
      </c>
      <c r="H101" s="179">
        <f ca="1">IF(ISNUMBER(MATCH(DATEVALUE($A101),'changes1_based on steps'!H$1:H$400,0)),H$2,)</f>
        <v>0</v>
      </c>
      <c r="I101" s="179">
        <f ca="1">IF(ISNUMBER(MATCH(DATEVALUE($A101),'changes1_based on steps'!I$1:I$400,0)),I$2,)</f>
        <v>0</v>
      </c>
      <c r="J101" s="179">
        <f ca="1">IF(ISNUMBER(MATCH(DATEVALUE($A101),'changes1_based on steps'!J$1:J$400,0)),J$2,)</f>
        <v>0</v>
      </c>
      <c r="K101" s="179">
        <f ca="1">IF(ISNUMBER(MATCH(DATEVALUE($A101),'changes1_based on steps'!K$1:K$400,0)),K$2,)</f>
        <v>0</v>
      </c>
      <c r="L101" s="179">
        <f ca="1">IF(ISNUMBER(MATCH(DATEVALUE($A101),'changes1_based on steps'!L$1:L$400,0)),L$2,)</f>
        <v>0</v>
      </c>
      <c r="M101" s="179">
        <f ca="1">IF(ISNUMBER(MATCH(DATEVALUE($A101),'changes1_based on steps'!M$1:M$400,0)),M$2,)</f>
        <v>0</v>
      </c>
      <c r="N101" s="179">
        <f ca="1">IF(ISNUMBER(MATCH(DATEVALUE($A101),'changes1_based on steps'!N$1:N$400,0)),N$2,)</f>
        <v>0</v>
      </c>
      <c r="O101" s="179">
        <f ca="1">IF(ISNUMBER(MATCH(DATEVALUE($A101),'changes1_based on steps'!O$1:O$400,0)),O$2,)</f>
        <v>0</v>
      </c>
      <c r="P101" s="179">
        <f ca="1">IF(ISNUMBER(MATCH(DATEVALUE($A101),'changes1_based on steps'!P$1:P$400,0)),P$2,)</f>
        <v>0</v>
      </c>
      <c r="Q101" s="179">
        <f ca="1">IF(ISNUMBER(MATCH(DATEVALUE($A101),'changes1_based on steps'!Q$1:Q$400,0)),Q$2,)</f>
        <v>0</v>
      </c>
      <c r="R101" s="179">
        <f ca="1">IF(ISNUMBER(MATCH(DATEVALUE($A101),'changes1_based on steps'!R$1:R$400,0)),R$2,)</f>
        <v>0</v>
      </c>
      <c r="S101" s="179">
        <f ca="1">IF(ISNUMBER(MATCH(DATEVALUE($A101),'changes1_based on steps'!S$1:S$400,0)),S$2,)</f>
        <v>0</v>
      </c>
      <c r="T101" s="179">
        <f ca="1">IF(ISNUMBER(MATCH(DATEVALUE($A101),'changes1_based on steps'!T$1:T$400,0)),T$2,)</f>
        <v>0</v>
      </c>
      <c r="U101" s="179">
        <f ca="1">IF(ISNUMBER(MATCH(DATEVALUE($A101),'changes1_based on steps'!U$1:U$400,0)),U$2,)</f>
        <v>0</v>
      </c>
      <c r="V101" s="179"/>
      <c r="W101" s="179"/>
      <c r="X101" s="179"/>
      <c r="Y101" s="179"/>
      <c r="Z101" s="179"/>
      <c r="AA101" s="179"/>
      <c r="AB101" s="179"/>
      <c r="AC101" s="179"/>
      <c r="AD101" s="179"/>
      <c r="AE101" s="179"/>
      <c r="AF101" s="179"/>
      <c r="AG101" s="179"/>
      <c r="AH101" s="179"/>
      <c r="AI101" s="179"/>
      <c r="AJ101" s="179"/>
      <c r="AK101" s="179"/>
      <c r="AL101" s="179"/>
      <c r="AM101" s="179"/>
      <c r="AN101" s="179"/>
      <c r="AO101" s="179"/>
      <c r="AP101" s="179"/>
      <c r="AQ101" s="179"/>
      <c r="AR101" s="179"/>
      <c r="AS101" s="179"/>
      <c r="AT101" s="179"/>
      <c r="AU101" s="179"/>
      <c r="AV101" s="179"/>
      <c r="AW101" s="179"/>
      <c r="AX101" s="179"/>
      <c r="AY101" s="179"/>
      <c r="AZ101" s="179"/>
      <c r="BA101" s="179"/>
      <c r="BB101" s="179"/>
      <c r="BC101" s="179"/>
      <c r="BD101" s="179"/>
      <c r="BE101" s="179"/>
      <c r="BF101" s="179"/>
      <c r="BG101" s="179"/>
      <c r="BH101" s="179"/>
      <c r="BI101" s="179"/>
      <c r="BJ101" s="179"/>
      <c r="BK101" s="179"/>
      <c r="BL101" s="179"/>
      <c r="BM101" s="179"/>
      <c r="BN101" s="179"/>
      <c r="BO101" s="179"/>
      <c r="BP101" s="179"/>
      <c r="BQ101" s="179"/>
      <c r="BR101" s="179"/>
      <c r="BS101" s="179"/>
      <c r="BT101" s="179"/>
      <c r="BU101" s="179"/>
      <c r="BV101" s="179"/>
      <c r="BW101" s="179"/>
      <c r="BX101" s="179"/>
      <c r="BY101" s="179"/>
      <c r="BZ101" s="179"/>
      <c r="CA101" s="179"/>
      <c r="CB101" s="179"/>
      <c r="CC101" s="179"/>
      <c r="CD101" s="179"/>
      <c r="CE101" s="179"/>
      <c r="CF101" s="179"/>
      <c r="CG101" s="179"/>
      <c r="CH101" s="179"/>
      <c r="CI101" s="179"/>
      <c r="CJ101" s="179"/>
      <c r="CK101" s="179"/>
      <c r="CL101" s="179"/>
      <c r="CM101" s="179"/>
      <c r="CN101" s="179"/>
      <c r="CO101" s="179"/>
      <c r="CP101" s="179"/>
      <c r="CQ101" s="179"/>
      <c r="CR101" s="179"/>
      <c r="CS101" s="179"/>
      <c r="CT101" s="179"/>
      <c r="CU101" s="179"/>
      <c r="CV101" s="179"/>
      <c r="CW101" s="179"/>
    </row>
    <row r="102" spans="1:101" x14ac:dyDescent="0.2">
      <c r="A102" s="32" t="str">
        <f t="shared" ca="1" si="1"/>
        <v>2025-07-13</v>
      </c>
      <c r="B102" s="179">
        <f ca="1">IF(ISNUMBER(MATCH(DATEVALUE($A102),'changes1_based on steps'!B$1:B$400,0)),B$2,)</f>
        <v>0</v>
      </c>
      <c r="C102" s="179">
        <f ca="1">IF(ISNUMBER(MATCH(DATEVALUE($A102),'changes1_based on steps'!C$1:C$400,0)),C$2,)</f>
        <v>0</v>
      </c>
      <c r="D102" s="179">
        <f ca="1">IF(ISNUMBER(MATCH(DATEVALUE($A102),'changes1_based on steps'!D$1:D$400,0)),D$2,)</f>
        <v>0</v>
      </c>
      <c r="E102" s="179">
        <f ca="1">IF(ISNUMBER(MATCH(DATEVALUE($A102),'changes1_based on steps'!E$1:E$400,0)),E$2,)</f>
        <v>0</v>
      </c>
      <c r="F102" s="179">
        <f ca="1">IF(ISNUMBER(MATCH(DATEVALUE($A102),'changes1_based on steps'!F$1:F$400,0)),F$2,)</f>
        <v>0</v>
      </c>
      <c r="G102" s="179">
        <f ca="1">IF(ISNUMBER(MATCH(DATEVALUE($A102),'changes1_based on steps'!G$1:G$400,0)),G$2,)</f>
        <v>0</v>
      </c>
      <c r="H102" s="179">
        <f ca="1">IF(ISNUMBER(MATCH(DATEVALUE($A102),'changes1_based on steps'!H$1:H$400,0)),H$2,)</f>
        <v>0</v>
      </c>
      <c r="I102" s="179">
        <f ca="1">IF(ISNUMBER(MATCH(DATEVALUE($A102),'changes1_based on steps'!I$1:I$400,0)),I$2,)</f>
        <v>0</v>
      </c>
      <c r="J102" s="179">
        <f ca="1">IF(ISNUMBER(MATCH(DATEVALUE($A102),'changes1_based on steps'!J$1:J$400,0)),J$2,)</f>
        <v>0</v>
      </c>
      <c r="K102" s="179">
        <f ca="1">IF(ISNUMBER(MATCH(DATEVALUE($A102),'changes1_based on steps'!K$1:K$400,0)),K$2,)</f>
        <v>0</v>
      </c>
      <c r="L102" s="179">
        <f ca="1">IF(ISNUMBER(MATCH(DATEVALUE($A102),'changes1_based on steps'!L$1:L$400,0)),L$2,)</f>
        <v>0</v>
      </c>
      <c r="M102" s="179">
        <f ca="1">IF(ISNUMBER(MATCH(DATEVALUE($A102),'changes1_based on steps'!M$1:M$400,0)),M$2,)</f>
        <v>0</v>
      </c>
      <c r="N102" s="179">
        <f ca="1">IF(ISNUMBER(MATCH(DATEVALUE($A102),'changes1_based on steps'!N$1:N$400,0)),N$2,)</f>
        <v>0</v>
      </c>
      <c r="O102" s="179">
        <f ca="1">IF(ISNUMBER(MATCH(DATEVALUE($A102),'changes1_based on steps'!O$1:O$400,0)),O$2,)</f>
        <v>0</v>
      </c>
      <c r="P102" s="179">
        <f ca="1">IF(ISNUMBER(MATCH(DATEVALUE($A102),'changes1_based on steps'!P$1:P$400,0)),P$2,)</f>
        <v>0</v>
      </c>
      <c r="Q102" s="179">
        <f ca="1">IF(ISNUMBER(MATCH(DATEVALUE($A102),'changes1_based on steps'!Q$1:Q$400,0)),Q$2,)</f>
        <v>0</v>
      </c>
      <c r="R102" s="179">
        <f ca="1">IF(ISNUMBER(MATCH(DATEVALUE($A102),'changes1_based on steps'!R$1:R$400,0)),R$2,)</f>
        <v>0</v>
      </c>
      <c r="S102" s="179">
        <f ca="1">IF(ISNUMBER(MATCH(DATEVALUE($A102),'changes1_based on steps'!S$1:S$400,0)),S$2,)</f>
        <v>0</v>
      </c>
      <c r="T102" s="179">
        <f ca="1">IF(ISNUMBER(MATCH(DATEVALUE($A102),'changes1_based on steps'!T$1:T$400,0)),T$2,)</f>
        <v>0</v>
      </c>
      <c r="U102" s="179">
        <f ca="1">IF(ISNUMBER(MATCH(DATEVALUE($A102),'changes1_based on steps'!U$1:U$400,0)),U$2,)</f>
        <v>0</v>
      </c>
      <c r="V102" s="179"/>
      <c r="W102" s="179"/>
      <c r="X102" s="179"/>
      <c r="Y102" s="179"/>
      <c r="Z102" s="179"/>
      <c r="AA102" s="179"/>
      <c r="AB102" s="179"/>
      <c r="AC102" s="179"/>
      <c r="AD102" s="179"/>
      <c r="AE102" s="179"/>
      <c r="AF102" s="179"/>
      <c r="AG102" s="179"/>
      <c r="AH102" s="179"/>
      <c r="AI102" s="179"/>
      <c r="AJ102" s="179"/>
      <c r="AK102" s="179"/>
      <c r="AL102" s="179"/>
      <c r="AM102" s="179"/>
      <c r="AN102" s="179"/>
      <c r="AO102" s="179"/>
      <c r="AP102" s="179"/>
      <c r="AQ102" s="179"/>
      <c r="AR102" s="179"/>
      <c r="AS102" s="179"/>
      <c r="AT102" s="179"/>
      <c r="AU102" s="179"/>
      <c r="AV102" s="179"/>
      <c r="AW102" s="179"/>
      <c r="AX102" s="179"/>
      <c r="AY102" s="179"/>
      <c r="AZ102" s="179"/>
      <c r="BA102" s="179"/>
      <c r="BB102" s="179"/>
      <c r="BC102" s="179"/>
      <c r="BD102" s="179"/>
      <c r="BE102" s="179"/>
      <c r="BF102" s="179"/>
      <c r="BG102" s="179"/>
      <c r="BH102" s="179"/>
      <c r="BI102" s="179"/>
      <c r="BJ102" s="179"/>
      <c r="BK102" s="179"/>
      <c r="BL102" s="179"/>
      <c r="BM102" s="179"/>
      <c r="BN102" s="179"/>
      <c r="BO102" s="179"/>
      <c r="BP102" s="179"/>
      <c r="BQ102" s="179"/>
      <c r="BR102" s="179"/>
      <c r="BS102" s="179"/>
      <c r="BT102" s="179"/>
      <c r="BU102" s="179"/>
      <c r="BV102" s="179"/>
      <c r="BW102" s="179"/>
      <c r="BX102" s="179"/>
      <c r="BY102" s="179"/>
      <c r="BZ102" s="179"/>
      <c r="CA102" s="179"/>
      <c r="CB102" s="179"/>
      <c r="CC102" s="179"/>
      <c r="CD102" s="179"/>
      <c r="CE102" s="179"/>
      <c r="CF102" s="179"/>
      <c r="CG102" s="179"/>
      <c r="CH102" s="179"/>
      <c r="CI102" s="179"/>
      <c r="CJ102" s="179"/>
      <c r="CK102" s="179"/>
      <c r="CL102" s="179"/>
      <c r="CM102" s="179"/>
      <c r="CN102" s="179"/>
      <c r="CO102" s="179"/>
      <c r="CP102" s="179"/>
      <c r="CQ102" s="179"/>
      <c r="CR102" s="179"/>
      <c r="CS102" s="179"/>
      <c r="CT102" s="179"/>
      <c r="CU102" s="179"/>
      <c r="CV102" s="179"/>
      <c r="CW102" s="179"/>
    </row>
    <row r="103" spans="1:101" x14ac:dyDescent="0.2">
      <c r="A103" s="32" t="str">
        <f t="shared" ca="1" si="1"/>
        <v>2025-07-14</v>
      </c>
      <c r="B103" s="179">
        <f ca="1">IF(ISNUMBER(MATCH(DATEVALUE($A103),'changes1_based on steps'!B$1:B$400,0)),B$2,)</f>
        <v>0</v>
      </c>
      <c r="C103" s="179">
        <f ca="1">IF(ISNUMBER(MATCH(DATEVALUE($A103),'changes1_based on steps'!C$1:C$400,0)),C$2,)</f>
        <v>0</v>
      </c>
      <c r="D103" s="179">
        <f ca="1">IF(ISNUMBER(MATCH(DATEVALUE($A103),'changes1_based on steps'!D$1:D$400,0)),D$2,)</f>
        <v>0</v>
      </c>
      <c r="E103" s="179">
        <f ca="1">IF(ISNUMBER(MATCH(DATEVALUE($A103),'changes1_based on steps'!E$1:E$400,0)),E$2,)</f>
        <v>0</v>
      </c>
      <c r="F103" s="179">
        <f ca="1">IF(ISNUMBER(MATCH(DATEVALUE($A103),'changes1_based on steps'!F$1:F$400,0)),F$2,)</f>
        <v>0</v>
      </c>
      <c r="G103" s="179">
        <f ca="1">IF(ISNUMBER(MATCH(DATEVALUE($A103),'changes1_based on steps'!G$1:G$400,0)),G$2,)</f>
        <v>0</v>
      </c>
      <c r="H103" s="179">
        <f ca="1">IF(ISNUMBER(MATCH(DATEVALUE($A103),'changes1_based on steps'!H$1:H$400,0)),H$2,)</f>
        <v>0</v>
      </c>
      <c r="I103" s="179">
        <f ca="1">IF(ISNUMBER(MATCH(DATEVALUE($A103),'changes1_based on steps'!I$1:I$400,0)),I$2,)</f>
        <v>0</v>
      </c>
      <c r="J103" s="179">
        <f ca="1">IF(ISNUMBER(MATCH(DATEVALUE($A103),'changes1_based on steps'!J$1:J$400,0)),J$2,)</f>
        <v>0</v>
      </c>
      <c r="K103" s="179">
        <f ca="1">IF(ISNUMBER(MATCH(DATEVALUE($A103),'changes1_based on steps'!K$1:K$400,0)),K$2,)</f>
        <v>0</v>
      </c>
      <c r="L103" s="179">
        <f ca="1">IF(ISNUMBER(MATCH(DATEVALUE($A103),'changes1_based on steps'!L$1:L$400,0)),L$2,)</f>
        <v>0</v>
      </c>
      <c r="M103" s="179">
        <f ca="1">IF(ISNUMBER(MATCH(DATEVALUE($A103),'changes1_based on steps'!M$1:M$400,0)),M$2,)</f>
        <v>0</v>
      </c>
      <c r="N103" s="179">
        <f ca="1">IF(ISNUMBER(MATCH(DATEVALUE($A103),'changes1_based on steps'!N$1:N$400,0)),N$2,)</f>
        <v>0</v>
      </c>
      <c r="O103" s="179">
        <f ca="1">IF(ISNUMBER(MATCH(DATEVALUE($A103),'changes1_based on steps'!O$1:O$400,0)),O$2,)</f>
        <v>0</v>
      </c>
      <c r="P103" s="179">
        <f ca="1">IF(ISNUMBER(MATCH(DATEVALUE($A103),'changes1_based on steps'!P$1:P$400,0)),P$2,)</f>
        <v>0</v>
      </c>
      <c r="Q103" s="179">
        <f ca="1">IF(ISNUMBER(MATCH(DATEVALUE($A103),'changes1_based on steps'!Q$1:Q$400,0)),Q$2,)</f>
        <v>0</v>
      </c>
      <c r="R103" s="179">
        <f ca="1">IF(ISNUMBER(MATCH(DATEVALUE($A103),'changes1_based on steps'!R$1:R$400,0)),R$2,)</f>
        <v>0</v>
      </c>
      <c r="S103" s="179">
        <f ca="1">IF(ISNUMBER(MATCH(DATEVALUE($A103),'changes1_based on steps'!S$1:S$400,0)),S$2,)</f>
        <v>0</v>
      </c>
      <c r="T103" s="179">
        <f ca="1">IF(ISNUMBER(MATCH(DATEVALUE($A103),'changes1_based on steps'!T$1:T$400,0)),T$2,)</f>
        <v>0</v>
      </c>
      <c r="U103" s="179">
        <f ca="1">IF(ISNUMBER(MATCH(DATEVALUE($A103),'changes1_based on steps'!U$1:U$400,0)),U$2,)</f>
        <v>0</v>
      </c>
      <c r="V103" s="179"/>
      <c r="W103" s="179"/>
      <c r="X103" s="179"/>
      <c r="Y103" s="179"/>
      <c r="Z103" s="179"/>
      <c r="AA103" s="179"/>
      <c r="AB103" s="179"/>
      <c r="AC103" s="179"/>
      <c r="AD103" s="179"/>
      <c r="AE103" s="179"/>
      <c r="AF103" s="179"/>
      <c r="AG103" s="179"/>
      <c r="AH103" s="179"/>
      <c r="AI103" s="179"/>
      <c r="AJ103" s="179"/>
      <c r="AK103" s="179"/>
      <c r="AL103" s="179"/>
      <c r="AM103" s="179"/>
      <c r="AN103" s="179"/>
      <c r="AO103" s="179"/>
      <c r="AP103" s="179"/>
      <c r="AQ103" s="179"/>
      <c r="AR103" s="179"/>
      <c r="AS103" s="179"/>
      <c r="AT103" s="179"/>
      <c r="AU103" s="179"/>
      <c r="AV103" s="179"/>
      <c r="AW103" s="179"/>
      <c r="AX103" s="179"/>
      <c r="AY103" s="179"/>
      <c r="AZ103" s="179"/>
      <c r="BA103" s="179"/>
      <c r="BB103" s="179"/>
      <c r="BC103" s="179"/>
      <c r="BD103" s="179"/>
      <c r="BE103" s="179"/>
      <c r="BF103" s="179"/>
      <c r="BG103" s="179"/>
      <c r="BH103" s="179"/>
      <c r="BI103" s="179"/>
      <c r="BJ103" s="179"/>
      <c r="BK103" s="179"/>
      <c r="BL103" s="179"/>
      <c r="BM103" s="179"/>
      <c r="BN103" s="179"/>
      <c r="BO103" s="179"/>
      <c r="BP103" s="179"/>
      <c r="BQ103" s="179"/>
      <c r="BR103" s="179"/>
      <c r="BS103" s="179"/>
      <c r="BT103" s="179"/>
      <c r="BU103" s="179"/>
      <c r="BV103" s="179"/>
      <c r="BW103" s="179"/>
      <c r="BX103" s="179"/>
      <c r="BY103" s="179"/>
      <c r="BZ103" s="179"/>
      <c r="CA103" s="179"/>
      <c r="CB103" s="179"/>
      <c r="CC103" s="179"/>
      <c r="CD103" s="179"/>
      <c r="CE103" s="179"/>
      <c r="CF103" s="179"/>
      <c r="CG103" s="179"/>
      <c r="CH103" s="179"/>
      <c r="CI103" s="179"/>
      <c r="CJ103" s="179"/>
      <c r="CK103" s="179"/>
      <c r="CL103" s="179"/>
      <c r="CM103" s="179"/>
      <c r="CN103" s="179"/>
      <c r="CO103" s="179"/>
      <c r="CP103" s="179"/>
      <c r="CQ103" s="179"/>
      <c r="CR103" s="179"/>
      <c r="CS103" s="179"/>
      <c r="CT103" s="179"/>
      <c r="CU103" s="179"/>
      <c r="CV103" s="179"/>
      <c r="CW103" s="179"/>
    </row>
    <row r="104" spans="1:101" x14ac:dyDescent="0.2">
      <c r="A104" s="32" t="str">
        <f t="shared" ca="1" si="1"/>
        <v>2025-07-15</v>
      </c>
      <c r="B104" s="179">
        <f ca="1">IF(ISNUMBER(MATCH(DATEVALUE($A104),'changes1_based on steps'!B$1:B$400,0)),B$2,)</f>
        <v>0</v>
      </c>
      <c r="C104" s="179">
        <f ca="1">IF(ISNUMBER(MATCH(DATEVALUE($A104),'changes1_based on steps'!C$1:C$400,0)),C$2,)</f>
        <v>0</v>
      </c>
      <c r="D104" s="179">
        <f ca="1">IF(ISNUMBER(MATCH(DATEVALUE($A104),'changes1_based on steps'!D$1:D$400,0)),D$2,)</f>
        <v>0</v>
      </c>
      <c r="E104" s="179">
        <f ca="1">IF(ISNUMBER(MATCH(DATEVALUE($A104),'changes1_based on steps'!E$1:E$400,0)),E$2,)</f>
        <v>0</v>
      </c>
      <c r="F104" s="179">
        <f ca="1">IF(ISNUMBER(MATCH(DATEVALUE($A104),'changes1_based on steps'!F$1:F$400,0)),F$2,)</f>
        <v>0</v>
      </c>
      <c r="G104" s="179">
        <f ca="1">IF(ISNUMBER(MATCH(DATEVALUE($A104),'changes1_based on steps'!G$1:G$400,0)),G$2,)</f>
        <v>0</v>
      </c>
      <c r="H104" s="179">
        <f ca="1">IF(ISNUMBER(MATCH(DATEVALUE($A104),'changes1_based on steps'!H$1:H$400,0)),H$2,)</f>
        <v>0</v>
      </c>
      <c r="I104" s="179">
        <f ca="1">IF(ISNUMBER(MATCH(DATEVALUE($A104),'changes1_based on steps'!I$1:I$400,0)),I$2,)</f>
        <v>0</v>
      </c>
      <c r="J104" s="179">
        <f ca="1">IF(ISNUMBER(MATCH(DATEVALUE($A104),'changes1_based on steps'!J$1:J$400,0)),J$2,)</f>
        <v>0</v>
      </c>
      <c r="K104" s="179">
        <f ca="1">IF(ISNUMBER(MATCH(DATEVALUE($A104),'changes1_based on steps'!K$1:K$400,0)),K$2,)</f>
        <v>0</v>
      </c>
      <c r="L104" s="179">
        <f ca="1">IF(ISNUMBER(MATCH(DATEVALUE($A104),'changes1_based on steps'!L$1:L$400,0)),L$2,)</f>
        <v>0</v>
      </c>
      <c r="M104" s="179">
        <f ca="1">IF(ISNUMBER(MATCH(DATEVALUE($A104),'changes1_based on steps'!M$1:M$400,0)),M$2,)</f>
        <v>0</v>
      </c>
      <c r="N104" s="179">
        <f ca="1">IF(ISNUMBER(MATCH(DATEVALUE($A104),'changes1_based on steps'!N$1:N$400,0)),N$2,)</f>
        <v>0</v>
      </c>
      <c r="O104" s="179">
        <f ca="1">IF(ISNUMBER(MATCH(DATEVALUE($A104),'changes1_based on steps'!O$1:O$400,0)),O$2,)</f>
        <v>0</v>
      </c>
      <c r="P104" s="179">
        <f ca="1">IF(ISNUMBER(MATCH(DATEVALUE($A104),'changes1_based on steps'!P$1:P$400,0)),P$2,)</f>
        <v>0</v>
      </c>
      <c r="Q104" s="179">
        <f ca="1">IF(ISNUMBER(MATCH(DATEVALUE($A104),'changes1_based on steps'!Q$1:Q$400,0)),Q$2,)</f>
        <v>0</v>
      </c>
      <c r="R104" s="179">
        <f ca="1">IF(ISNUMBER(MATCH(DATEVALUE($A104),'changes1_based on steps'!R$1:R$400,0)),R$2,)</f>
        <v>0</v>
      </c>
      <c r="S104" s="179">
        <f ca="1">IF(ISNUMBER(MATCH(DATEVALUE($A104),'changes1_based on steps'!S$1:S$400,0)),S$2,)</f>
        <v>0</v>
      </c>
      <c r="T104" s="179">
        <f ca="1">IF(ISNUMBER(MATCH(DATEVALUE($A104),'changes1_based on steps'!T$1:T$400,0)),T$2,)</f>
        <v>0</v>
      </c>
      <c r="U104" s="179">
        <f ca="1">IF(ISNUMBER(MATCH(DATEVALUE($A104),'changes1_based on steps'!U$1:U$400,0)),U$2,)</f>
        <v>0</v>
      </c>
      <c r="V104" s="179"/>
      <c r="W104" s="179"/>
      <c r="X104" s="179"/>
      <c r="Y104" s="179"/>
      <c r="Z104" s="179"/>
      <c r="AA104" s="179"/>
      <c r="AB104" s="179"/>
      <c r="AC104" s="179"/>
      <c r="AD104" s="179"/>
      <c r="AE104" s="179"/>
      <c r="AF104" s="179"/>
      <c r="AG104" s="179"/>
      <c r="AH104" s="179"/>
      <c r="AI104" s="179"/>
      <c r="AJ104" s="179"/>
      <c r="AK104" s="179"/>
      <c r="AL104" s="179"/>
      <c r="AM104" s="179"/>
      <c r="AN104" s="179"/>
      <c r="AO104" s="179"/>
      <c r="AP104" s="179"/>
      <c r="AQ104" s="179"/>
      <c r="AR104" s="179"/>
      <c r="AS104" s="179"/>
      <c r="AT104" s="179"/>
      <c r="AU104" s="179"/>
      <c r="AV104" s="179"/>
      <c r="AW104" s="179"/>
      <c r="AX104" s="179"/>
      <c r="AY104" s="179"/>
      <c r="AZ104" s="179"/>
      <c r="BA104" s="179"/>
      <c r="BB104" s="179"/>
      <c r="BC104" s="179"/>
      <c r="BD104" s="179"/>
      <c r="BE104" s="179"/>
      <c r="BF104" s="179"/>
      <c r="BG104" s="179"/>
      <c r="BH104" s="179"/>
      <c r="BI104" s="179"/>
      <c r="BJ104" s="179"/>
      <c r="BK104" s="179"/>
      <c r="BL104" s="179"/>
      <c r="BM104" s="179"/>
      <c r="BN104" s="179"/>
      <c r="BO104" s="179"/>
      <c r="BP104" s="179"/>
      <c r="BQ104" s="179"/>
      <c r="BR104" s="179"/>
      <c r="BS104" s="179"/>
      <c r="BT104" s="179"/>
      <c r="BU104" s="179"/>
      <c r="BV104" s="179"/>
      <c r="BW104" s="179"/>
      <c r="BX104" s="179"/>
      <c r="BY104" s="179"/>
      <c r="BZ104" s="179"/>
      <c r="CA104" s="179"/>
      <c r="CB104" s="179"/>
      <c r="CC104" s="179"/>
      <c r="CD104" s="179"/>
      <c r="CE104" s="179"/>
      <c r="CF104" s="179"/>
      <c r="CG104" s="179"/>
      <c r="CH104" s="179"/>
      <c r="CI104" s="179"/>
      <c r="CJ104" s="179"/>
      <c r="CK104" s="179"/>
      <c r="CL104" s="179"/>
      <c r="CM104" s="179"/>
      <c r="CN104" s="179"/>
      <c r="CO104" s="179"/>
      <c r="CP104" s="179"/>
      <c r="CQ104" s="179"/>
      <c r="CR104" s="179"/>
      <c r="CS104" s="179"/>
      <c r="CT104" s="179"/>
      <c r="CU104" s="179"/>
      <c r="CV104" s="179"/>
      <c r="CW104" s="179"/>
    </row>
    <row r="105" spans="1:101" x14ac:dyDescent="0.2">
      <c r="A105" s="32" t="str">
        <f t="shared" ca="1" si="1"/>
        <v>2025-07-16</v>
      </c>
      <c r="B105" s="179">
        <f ca="1">IF(ISNUMBER(MATCH(DATEVALUE($A105),'changes1_based on steps'!B$1:B$400,0)),B$2,)</f>
        <v>0</v>
      </c>
      <c r="C105" s="179">
        <f ca="1">IF(ISNUMBER(MATCH(DATEVALUE($A105),'changes1_based on steps'!C$1:C$400,0)),C$2,)</f>
        <v>0</v>
      </c>
      <c r="D105" s="179">
        <f ca="1">IF(ISNUMBER(MATCH(DATEVALUE($A105),'changes1_based on steps'!D$1:D$400,0)),D$2,)</f>
        <v>0</v>
      </c>
      <c r="E105" s="179">
        <f ca="1">IF(ISNUMBER(MATCH(DATEVALUE($A105),'changes1_based on steps'!E$1:E$400,0)),E$2,)</f>
        <v>0</v>
      </c>
      <c r="F105" s="179">
        <f ca="1">IF(ISNUMBER(MATCH(DATEVALUE($A105),'changes1_based on steps'!F$1:F$400,0)),F$2,)</f>
        <v>0</v>
      </c>
      <c r="G105" s="179">
        <f ca="1">IF(ISNUMBER(MATCH(DATEVALUE($A105),'changes1_based on steps'!G$1:G$400,0)),G$2,)</f>
        <v>0</v>
      </c>
      <c r="H105" s="179">
        <f ca="1">IF(ISNUMBER(MATCH(DATEVALUE($A105),'changes1_based on steps'!H$1:H$400,0)),H$2,)</f>
        <v>0</v>
      </c>
      <c r="I105" s="179">
        <f ca="1">IF(ISNUMBER(MATCH(DATEVALUE($A105),'changes1_based on steps'!I$1:I$400,0)),I$2,)</f>
        <v>0</v>
      </c>
      <c r="J105" s="179">
        <f ca="1">IF(ISNUMBER(MATCH(DATEVALUE($A105),'changes1_based on steps'!J$1:J$400,0)),J$2,)</f>
        <v>0</v>
      </c>
      <c r="K105" s="179">
        <f ca="1">IF(ISNUMBER(MATCH(DATEVALUE($A105),'changes1_based on steps'!K$1:K$400,0)),K$2,)</f>
        <v>0</v>
      </c>
      <c r="L105" s="179">
        <f ca="1">IF(ISNUMBER(MATCH(DATEVALUE($A105),'changes1_based on steps'!L$1:L$400,0)),L$2,)</f>
        <v>0</v>
      </c>
      <c r="M105" s="179">
        <f ca="1">IF(ISNUMBER(MATCH(DATEVALUE($A105),'changes1_based on steps'!M$1:M$400,0)),M$2,)</f>
        <v>0</v>
      </c>
      <c r="N105" s="179">
        <f ca="1">IF(ISNUMBER(MATCH(DATEVALUE($A105),'changes1_based on steps'!N$1:N$400,0)),N$2,)</f>
        <v>0</v>
      </c>
      <c r="O105" s="179">
        <f ca="1">IF(ISNUMBER(MATCH(DATEVALUE($A105),'changes1_based on steps'!O$1:O$400,0)),O$2,)</f>
        <v>0</v>
      </c>
      <c r="P105" s="179">
        <f ca="1">IF(ISNUMBER(MATCH(DATEVALUE($A105),'changes1_based on steps'!P$1:P$400,0)),P$2,)</f>
        <v>0</v>
      </c>
      <c r="Q105" s="179">
        <f ca="1">IF(ISNUMBER(MATCH(DATEVALUE($A105),'changes1_based on steps'!Q$1:Q$400,0)),Q$2,)</f>
        <v>0</v>
      </c>
      <c r="R105" s="179">
        <f ca="1">IF(ISNUMBER(MATCH(DATEVALUE($A105),'changes1_based on steps'!R$1:R$400,0)),R$2,)</f>
        <v>0</v>
      </c>
      <c r="S105" s="179">
        <f ca="1">IF(ISNUMBER(MATCH(DATEVALUE($A105),'changes1_based on steps'!S$1:S$400,0)),S$2,)</f>
        <v>0</v>
      </c>
      <c r="T105" s="179">
        <f ca="1">IF(ISNUMBER(MATCH(DATEVALUE($A105),'changes1_based on steps'!T$1:T$400,0)),T$2,)</f>
        <v>0</v>
      </c>
      <c r="U105" s="179">
        <f ca="1">IF(ISNUMBER(MATCH(DATEVALUE($A105),'changes1_based on steps'!U$1:U$400,0)),U$2,)</f>
        <v>0</v>
      </c>
      <c r="V105" s="179"/>
      <c r="W105" s="179"/>
      <c r="X105" s="179"/>
      <c r="Y105" s="179"/>
      <c r="Z105" s="179"/>
      <c r="AA105" s="179"/>
      <c r="AB105" s="179"/>
      <c r="AC105" s="179"/>
      <c r="AD105" s="179"/>
      <c r="AE105" s="179"/>
      <c r="AF105" s="179"/>
      <c r="AG105" s="179"/>
      <c r="AH105" s="179"/>
      <c r="AI105" s="179"/>
      <c r="AJ105" s="179"/>
      <c r="AK105" s="179"/>
      <c r="AL105" s="179"/>
      <c r="AM105" s="179"/>
      <c r="AN105" s="179"/>
      <c r="AO105" s="179"/>
      <c r="AP105" s="179"/>
      <c r="AQ105" s="179"/>
      <c r="AR105" s="179"/>
      <c r="AS105" s="179"/>
      <c r="AT105" s="179"/>
      <c r="AU105" s="179"/>
      <c r="AV105" s="179"/>
      <c r="AW105" s="179"/>
      <c r="AX105" s="179"/>
      <c r="AY105" s="179"/>
      <c r="AZ105" s="179"/>
      <c r="BA105" s="179"/>
      <c r="BB105" s="179"/>
      <c r="BC105" s="179"/>
      <c r="BD105" s="179"/>
      <c r="BE105" s="179"/>
      <c r="BF105" s="179"/>
      <c r="BG105" s="179"/>
      <c r="BH105" s="179"/>
      <c r="BI105" s="179"/>
      <c r="BJ105" s="179"/>
      <c r="BK105" s="179"/>
      <c r="BL105" s="179"/>
      <c r="BM105" s="179"/>
      <c r="BN105" s="179"/>
      <c r="BO105" s="179"/>
      <c r="BP105" s="179"/>
      <c r="BQ105" s="179"/>
      <c r="BR105" s="179"/>
      <c r="BS105" s="179"/>
      <c r="BT105" s="179"/>
      <c r="BU105" s="179"/>
      <c r="BV105" s="179"/>
      <c r="BW105" s="179"/>
      <c r="BX105" s="179"/>
      <c r="BY105" s="179"/>
      <c r="BZ105" s="179"/>
      <c r="CA105" s="179"/>
      <c r="CB105" s="179"/>
      <c r="CC105" s="179"/>
      <c r="CD105" s="179"/>
      <c r="CE105" s="179"/>
      <c r="CF105" s="179"/>
      <c r="CG105" s="179"/>
      <c r="CH105" s="179"/>
      <c r="CI105" s="179"/>
      <c r="CJ105" s="179"/>
      <c r="CK105" s="179"/>
      <c r="CL105" s="179"/>
      <c r="CM105" s="179"/>
      <c r="CN105" s="179"/>
      <c r="CO105" s="179"/>
      <c r="CP105" s="179"/>
      <c r="CQ105" s="179"/>
      <c r="CR105" s="179"/>
      <c r="CS105" s="179"/>
      <c r="CT105" s="179"/>
      <c r="CU105" s="179"/>
      <c r="CV105" s="179"/>
      <c r="CW105" s="179"/>
    </row>
    <row r="106" spans="1:101" x14ac:dyDescent="0.2">
      <c r="A106" s="32" t="str">
        <f t="shared" ca="1" si="1"/>
        <v>2025-07-17</v>
      </c>
      <c r="B106" s="179">
        <f ca="1">IF(ISNUMBER(MATCH(DATEVALUE($A106),'changes1_based on steps'!B$1:B$400,0)),B$2,)</f>
        <v>0</v>
      </c>
      <c r="C106" s="179">
        <f ca="1">IF(ISNUMBER(MATCH(DATEVALUE($A106),'changes1_based on steps'!C$1:C$400,0)),C$2,)</f>
        <v>0</v>
      </c>
      <c r="D106" s="179">
        <f ca="1">IF(ISNUMBER(MATCH(DATEVALUE($A106),'changes1_based on steps'!D$1:D$400,0)),D$2,)</f>
        <v>0</v>
      </c>
      <c r="E106" s="179">
        <f ca="1">IF(ISNUMBER(MATCH(DATEVALUE($A106),'changes1_based on steps'!E$1:E$400,0)),E$2,)</f>
        <v>0</v>
      </c>
      <c r="F106" s="179">
        <f ca="1">IF(ISNUMBER(MATCH(DATEVALUE($A106),'changes1_based on steps'!F$1:F$400,0)),F$2,)</f>
        <v>0</v>
      </c>
      <c r="G106" s="179">
        <f ca="1">IF(ISNUMBER(MATCH(DATEVALUE($A106),'changes1_based on steps'!G$1:G$400,0)),G$2,)</f>
        <v>0</v>
      </c>
      <c r="H106" s="179">
        <f ca="1">IF(ISNUMBER(MATCH(DATEVALUE($A106),'changes1_based on steps'!H$1:H$400,0)),H$2,)</f>
        <v>0</v>
      </c>
      <c r="I106" s="179">
        <f ca="1">IF(ISNUMBER(MATCH(DATEVALUE($A106),'changes1_based on steps'!I$1:I$400,0)),I$2,)</f>
        <v>0</v>
      </c>
      <c r="J106" s="179">
        <f ca="1">IF(ISNUMBER(MATCH(DATEVALUE($A106),'changes1_based on steps'!J$1:J$400,0)),J$2,)</f>
        <v>0</v>
      </c>
      <c r="K106" s="179">
        <f ca="1">IF(ISNUMBER(MATCH(DATEVALUE($A106),'changes1_based on steps'!K$1:K$400,0)),K$2,)</f>
        <v>0</v>
      </c>
      <c r="L106" s="179">
        <f ca="1">IF(ISNUMBER(MATCH(DATEVALUE($A106),'changes1_based on steps'!L$1:L$400,0)),L$2,)</f>
        <v>0</v>
      </c>
      <c r="M106" s="179">
        <f ca="1">IF(ISNUMBER(MATCH(DATEVALUE($A106),'changes1_based on steps'!M$1:M$400,0)),M$2,)</f>
        <v>0</v>
      </c>
      <c r="N106" s="179">
        <f ca="1">IF(ISNUMBER(MATCH(DATEVALUE($A106),'changes1_based on steps'!N$1:N$400,0)),N$2,)</f>
        <v>0</v>
      </c>
      <c r="O106" s="179">
        <f ca="1">IF(ISNUMBER(MATCH(DATEVALUE($A106),'changes1_based on steps'!O$1:O$400,0)),O$2,)</f>
        <v>0</v>
      </c>
      <c r="P106" s="179">
        <f ca="1">IF(ISNUMBER(MATCH(DATEVALUE($A106),'changes1_based on steps'!P$1:P$400,0)),P$2,)</f>
        <v>0</v>
      </c>
      <c r="Q106" s="179">
        <f ca="1">IF(ISNUMBER(MATCH(DATEVALUE($A106),'changes1_based on steps'!Q$1:Q$400,0)),Q$2,)</f>
        <v>0</v>
      </c>
      <c r="R106" s="179">
        <f ca="1">IF(ISNUMBER(MATCH(DATEVALUE($A106),'changes1_based on steps'!R$1:R$400,0)),R$2,)</f>
        <v>0</v>
      </c>
      <c r="S106" s="179">
        <f ca="1">IF(ISNUMBER(MATCH(DATEVALUE($A106),'changes1_based on steps'!S$1:S$400,0)),S$2,)</f>
        <v>0</v>
      </c>
      <c r="T106" s="179">
        <f ca="1">IF(ISNUMBER(MATCH(DATEVALUE($A106),'changes1_based on steps'!T$1:T$400,0)),T$2,)</f>
        <v>0</v>
      </c>
      <c r="U106" s="179">
        <f ca="1">IF(ISNUMBER(MATCH(DATEVALUE($A106),'changes1_based on steps'!U$1:U$400,0)),U$2,)</f>
        <v>0</v>
      </c>
      <c r="V106" s="179"/>
      <c r="W106" s="179"/>
      <c r="X106" s="179"/>
      <c r="Y106" s="179"/>
      <c r="Z106" s="179"/>
      <c r="AA106" s="179"/>
      <c r="AB106" s="179"/>
      <c r="AC106" s="179"/>
      <c r="AD106" s="179"/>
      <c r="AE106" s="179"/>
      <c r="AF106" s="179"/>
      <c r="AG106" s="179"/>
      <c r="AH106" s="179"/>
      <c r="AI106" s="179"/>
      <c r="AJ106" s="179"/>
      <c r="AK106" s="179"/>
      <c r="AL106" s="179"/>
      <c r="AM106" s="179"/>
      <c r="AN106" s="179"/>
      <c r="AO106" s="179"/>
      <c r="AP106" s="179"/>
      <c r="AQ106" s="179"/>
      <c r="AR106" s="179"/>
      <c r="AS106" s="179"/>
      <c r="AT106" s="179"/>
      <c r="AU106" s="179"/>
      <c r="AV106" s="179"/>
      <c r="AW106" s="179"/>
      <c r="AX106" s="179"/>
      <c r="AY106" s="179"/>
      <c r="AZ106" s="179"/>
      <c r="BA106" s="179"/>
      <c r="BB106" s="179"/>
      <c r="BC106" s="179"/>
      <c r="BD106" s="179"/>
      <c r="BE106" s="179"/>
      <c r="BF106" s="179"/>
      <c r="BG106" s="179"/>
      <c r="BH106" s="179"/>
      <c r="BI106" s="179"/>
      <c r="BJ106" s="179"/>
      <c r="BK106" s="179"/>
      <c r="BL106" s="179"/>
      <c r="BM106" s="179"/>
      <c r="BN106" s="179"/>
      <c r="BO106" s="179"/>
      <c r="BP106" s="179"/>
      <c r="BQ106" s="179"/>
      <c r="BR106" s="179"/>
      <c r="BS106" s="179"/>
      <c r="BT106" s="179"/>
      <c r="BU106" s="179"/>
      <c r="BV106" s="179"/>
      <c r="BW106" s="179"/>
      <c r="BX106" s="179"/>
      <c r="BY106" s="179"/>
      <c r="BZ106" s="179"/>
      <c r="CA106" s="179"/>
      <c r="CB106" s="179"/>
      <c r="CC106" s="179"/>
      <c r="CD106" s="179"/>
      <c r="CE106" s="179"/>
      <c r="CF106" s="179"/>
      <c r="CG106" s="179"/>
      <c r="CH106" s="179"/>
      <c r="CI106" s="179"/>
      <c r="CJ106" s="179"/>
      <c r="CK106" s="179"/>
      <c r="CL106" s="179"/>
      <c r="CM106" s="179"/>
      <c r="CN106" s="179"/>
      <c r="CO106" s="179"/>
      <c r="CP106" s="179"/>
      <c r="CQ106" s="179"/>
      <c r="CR106" s="179"/>
      <c r="CS106" s="179"/>
      <c r="CT106" s="179"/>
      <c r="CU106" s="179"/>
      <c r="CV106" s="179"/>
      <c r="CW106" s="179"/>
    </row>
    <row r="107" spans="1:101" x14ac:dyDescent="0.2">
      <c r="A107" s="32" t="str">
        <f t="shared" ca="1" si="1"/>
        <v>2025-07-18</v>
      </c>
      <c r="B107" s="179">
        <f ca="1">IF(ISNUMBER(MATCH(DATEVALUE($A107),'changes1_based on steps'!B$1:B$400,0)),B$2,)</f>
        <v>0</v>
      </c>
      <c r="C107" s="179">
        <f ca="1">IF(ISNUMBER(MATCH(DATEVALUE($A107),'changes1_based on steps'!C$1:C$400,0)),C$2,)</f>
        <v>0</v>
      </c>
      <c r="D107" s="179">
        <f ca="1">IF(ISNUMBER(MATCH(DATEVALUE($A107),'changes1_based on steps'!D$1:D$400,0)),D$2,)</f>
        <v>0</v>
      </c>
      <c r="E107" s="179">
        <f ca="1">IF(ISNUMBER(MATCH(DATEVALUE($A107),'changes1_based on steps'!E$1:E$400,0)),E$2,)</f>
        <v>0</v>
      </c>
      <c r="F107" s="179">
        <f ca="1">IF(ISNUMBER(MATCH(DATEVALUE($A107),'changes1_based on steps'!F$1:F$400,0)),F$2,)</f>
        <v>0</v>
      </c>
      <c r="G107" s="179">
        <f ca="1">IF(ISNUMBER(MATCH(DATEVALUE($A107),'changes1_based on steps'!G$1:G$400,0)),G$2,)</f>
        <v>0</v>
      </c>
      <c r="H107" s="179">
        <f ca="1">IF(ISNUMBER(MATCH(DATEVALUE($A107),'changes1_based on steps'!H$1:H$400,0)),H$2,)</f>
        <v>0</v>
      </c>
      <c r="I107" s="179">
        <f ca="1">IF(ISNUMBER(MATCH(DATEVALUE($A107),'changes1_based on steps'!I$1:I$400,0)),I$2,)</f>
        <v>0</v>
      </c>
      <c r="J107" s="179">
        <f ca="1">IF(ISNUMBER(MATCH(DATEVALUE($A107),'changes1_based on steps'!J$1:J$400,0)),J$2,)</f>
        <v>0</v>
      </c>
      <c r="K107" s="179">
        <f ca="1">IF(ISNUMBER(MATCH(DATEVALUE($A107),'changes1_based on steps'!K$1:K$400,0)),K$2,)</f>
        <v>0</v>
      </c>
      <c r="L107" s="179">
        <f ca="1">IF(ISNUMBER(MATCH(DATEVALUE($A107),'changes1_based on steps'!L$1:L$400,0)),L$2,)</f>
        <v>0</v>
      </c>
      <c r="M107" s="179">
        <f ca="1">IF(ISNUMBER(MATCH(DATEVALUE($A107),'changes1_based on steps'!M$1:M$400,0)),M$2,)</f>
        <v>0</v>
      </c>
      <c r="N107" s="179">
        <f ca="1">IF(ISNUMBER(MATCH(DATEVALUE($A107),'changes1_based on steps'!N$1:N$400,0)),N$2,)</f>
        <v>0</v>
      </c>
      <c r="O107" s="179">
        <f ca="1">IF(ISNUMBER(MATCH(DATEVALUE($A107),'changes1_based on steps'!O$1:O$400,0)),O$2,)</f>
        <v>0</v>
      </c>
      <c r="P107" s="179">
        <f ca="1">IF(ISNUMBER(MATCH(DATEVALUE($A107),'changes1_based on steps'!P$1:P$400,0)),P$2,)</f>
        <v>0</v>
      </c>
      <c r="Q107" s="179">
        <f ca="1">IF(ISNUMBER(MATCH(DATEVALUE($A107),'changes1_based on steps'!Q$1:Q$400,0)),Q$2,)</f>
        <v>0</v>
      </c>
      <c r="R107" s="179">
        <f ca="1">IF(ISNUMBER(MATCH(DATEVALUE($A107),'changes1_based on steps'!R$1:R$400,0)),R$2,)</f>
        <v>0</v>
      </c>
      <c r="S107" s="179">
        <f ca="1">IF(ISNUMBER(MATCH(DATEVALUE($A107),'changes1_based on steps'!S$1:S$400,0)),S$2,)</f>
        <v>0</v>
      </c>
      <c r="T107" s="179">
        <f ca="1">IF(ISNUMBER(MATCH(DATEVALUE($A107),'changes1_based on steps'!T$1:T$400,0)),T$2,)</f>
        <v>0</v>
      </c>
      <c r="U107" s="179">
        <f ca="1">IF(ISNUMBER(MATCH(DATEVALUE($A107),'changes1_based on steps'!U$1:U$400,0)),U$2,)</f>
        <v>0</v>
      </c>
      <c r="V107" s="179"/>
      <c r="W107" s="179"/>
      <c r="X107" s="179"/>
      <c r="Y107" s="179"/>
      <c r="Z107" s="179"/>
      <c r="AA107" s="179"/>
      <c r="AB107" s="179"/>
      <c r="AC107" s="179"/>
      <c r="AD107" s="179"/>
      <c r="AE107" s="179"/>
      <c r="AF107" s="179"/>
      <c r="AG107" s="179"/>
      <c r="AH107" s="179"/>
      <c r="AI107" s="179"/>
      <c r="AJ107" s="179"/>
      <c r="AK107" s="179"/>
      <c r="AL107" s="179"/>
      <c r="AM107" s="179"/>
      <c r="AN107" s="179"/>
      <c r="AO107" s="179"/>
      <c r="AP107" s="179"/>
      <c r="AQ107" s="179"/>
      <c r="AR107" s="179"/>
      <c r="AS107" s="179"/>
      <c r="AT107" s="179"/>
      <c r="AU107" s="179"/>
      <c r="AV107" s="179"/>
      <c r="AW107" s="179"/>
      <c r="AX107" s="179"/>
      <c r="AY107" s="179"/>
      <c r="AZ107" s="179"/>
      <c r="BA107" s="179"/>
      <c r="BB107" s="179"/>
      <c r="BC107" s="179"/>
      <c r="BD107" s="179"/>
      <c r="BE107" s="179"/>
      <c r="BF107" s="179"/>
      <c r="BG107" s="179"/>
      <c r="BH107" s="179"/>
      <c r="BI107" s="179"/>
      <c r="BJ107" s="179"/>
      <c r="BK107" s="179"/>
      <c r="BL107" s="179"/>
      <c r="BM107" s="179"/>
      <c r="BN107" s="179"/>
      <c r="BO107" s="179"/>
      <c r="BP107" s="179"/>
      <c r="BQ107" s="179"/>
      <c r="BR107" s="179"/>
      <c r="BS107" s="179"/>
      <c r="BT107" s="179"/>
      <c r="BU107" s="179"/>
      <c r="BV107" s="179"/>
      <c r="BW107" s="179"/>
      <c r="BX107" s="179"/>
      <c r="BY107" s="179"/>
      <c r="BZ107" s="179"/>
      <c r="CA107" s="179"/>
      <c r="CB107" s="179"/>
      <c r="CC107" s="179"/>
      <c r="CD107" s="179"/>
      <c r="CE107" s="179"/>
      <c r="CF107" s="179"/>
      <c r="CG107" s="179"/>
      <c r="CH107" s="179"/>
      <c r="CI107" s="179"/>
      <c r="CJ107" s="179"/>
      <c r="CK107" s="179"/>
      <c r="CL107" s="179"/>
      <c r="CM107" s="179"/>
      <c r="CN107" s="179"/>
      <c r="CO107" s="179"/>
      <c r="CP107" s="179"/>
      <c r="CQ107" s="179"/>
      <c r="CR107" s="179"/>
      <c r="CS107" s="179"/>
      <c r="CT107" s="179"/>
      <c r="CU107" s="179"/>
      <c r="CV107" s="179"/>
      <c r="CW107" s="179"/>
    </row>
    <row r="108" spans="1:101" x14ac:dyDescent="0.2">
      <c r="A108" s="32" t="str">
        <f t="shared" ca="1" si="1"/>
        <v>2025-07-19</v>
      </c>
      <c r="B108" s="179">
        <f ca="1">IF(ISNUMBER(MATCH(DATEVALUE($A108),'changes1_based on steps'!B$1:B$400,0)),B$2,)</f>
        <v>0</v>
      </c>
      <c r="C108" s="179">
        <f ca="1">IF(ISNUMBER(MATCH(DATEVALUE($A108),'changes1_based on steps'!C$1:C$400,0)),C$2,)</f>
        <v>0</v>
      </c>
      <c r="D108" s="179">
        <f ca="1">IF(ISNUMBER(MATCH(DATEVALUE($A108),'changes1_based on steps'!D$1:D$400,0)),D$2,)</f>
        <v>0</v>
      </c>
      <c r="E108" s="179">
        <f ca="1">IF(ISNUMBER(MATCH(DATEVALUE($A108),'changes1_based on steps'!E$1:E$400,0)),E$2,)</f>
        <v>0</v>
      </c>
      <c r="F108" s="179">
        <f ca="1">IF(ISNUMBER(MATCH(DATEVALUE($A108),'changes1_based on steps'!F$1:F$400,0)),F$2,)</f>
        <v>0</v>
      </c>
      <c r="G108" s="179">
        <f ca="1">IF(ISNUMBER(MATCH(DATEVALUE($A108),'changes1_based on steps'!G$1:G$400,0)),G$2,)</f>
        <v>0</v>
      </c>
      <c r="H108" s="179">
        <f ca="1">IF(ISNUMBER(MATCH(DATEVALUE($A108),'changes1_based on steps'!H$1:H$400,0)),H$2,)</f>
        <v>0</v>
      </c>
      <c r="I108" s="179">
        <f ca="1">IF(ISNUMBER(MATCH(DATEVALUE($A108),'changes1_based on steps'!I$1:I$400,0)),I$2,)</f>
        <v>0</v>
      </c>
      <c r="J108" s="179">
        <f ca="1">IF(ISNUMBER(MATCH(DATEVALUE($A108),'changes1_based on steps'!J$1:J$400,0)),J$2,)</f>
        <v>0</v>
      </c>
      <c r="K108" s="179">
        <f ca="1">IF(ISNUMBER(MATCH(DATEVALUE($A108),'changes1_based on steps'!K$1:K$400,0)),K$2,)</f>
        <v>0</v>
      </c>
      <c r="L108" s="179">
        <f ca="1">IF(ISNUMBER(MATCH(DATEVALUE($A108),'changes1_based on steps'!L$1:L$400,0)),L$2,)</f>
        <v>0</v>
      </c>
      <c r="M108" s="179">
        <f ca="1">IF(ISNUMBER(MATCH(DATEVALUE($A108),'changes1_based on steps'!M$1:M$400,0)),M$2,)</f>
        <v>0</v>
      </c>
      <c r="N108" s="179">
        <f ca="1">IF(ISNUMBER(MATCH(DATEVALUE($A108),'changes1_based on steps'!N$1:N$400,0)),N$2,)</f>
        <v>0</v>
      </c>
      <c r="O108" s="179">
        <f ca="1">IF(ISNUMBER(MATCH(DATEVALUE($A108),'changes1_based on steps'!O$1:O$400,0)),O$2,)</f>
        <v>0</v>
      </c>
      <c r="P108" s="179">
        <f ca="1">IF(ISNUMBER(MATCH(DATEVALUE($A108),'changes1_based on steps'!P$1:P$400,0)),P$2,)</f>
        <v>0</v>
      </c>
      <c r="Q108" s="179">
        <f ca="1">IF(ISNUMBER(MATCH(DATEVALUE($A108),'changes1_based on steps'!Q$1:Q$400,0)),Q$2,)</f>
        <v>0</v>
      </c>
      <c r="R108" s="179">
        <f ca="1">IF(ISNUMBER(MATCH(DATEVALUE($A108),'changes1_based on steps'!R$1:R$400,0)),R$2,)</f>
        <v>0</v>
      </c>
      <c r="S108" s="179">
        <f ca="1">IF(ISNUMBER(MATCH(DATEVALUE($A108),'changes1_based on steps'!S$1:S$400,0)),S$2,)</f>
        <v>0</v>
      </c>
      <c r="T108" s="179">
        <f ca="1">IF(ISNUMBER(MATCH(DATEVALUE($A108),'changes1_based on steps'!T$1:T$400,0)),T$2,)</f>
        <v>0</v>
      </c>
      <c r="U108" s="179">
        <f ca="1">IF(ISNUMBER(MATCH(DATEVALUE($A108),'changes1_based on steps'!U$1:U$400,0)),U$2,)</f>
        <v>0</v>
      </c>
      <c r="V108" s="179"/>
      <c r="W108" s="179"/>
      <c r="X108" s="179"/>
      <c r="Y108" s="179"/>
      <c r="Z108" s="179"/>
      <c r="AA108" s="179"/>
      <c r="AB108" s="179"/>
      <c r="AC108" s="179"/>
      <c r="AD108" s="179"/>
      <c r="AE108" s="179"/>
      <c r="AF108" s="179"/>
      <c r="AG108" s="179"/>
      <c r="AH108" s="179"/>
      <c r="AI108" s="179"/>
      <c r="AJ108" s="179"/>
      <c r="AK108" s="179"/>
      <c r="AL108" s="179"/>
      <c r="AM108" s="179"/>
      <c r="AN108" s="179"/>
      <c r="AO108" s="179"/>
      <c r="AP108" s="179"/>
      <c r="AQ108" s="179"/>
      <c r="AR108" s="179"/>
      <c r="AS108" s="179"/>
      <c r="AT108" s="179"/>
      <c r="AU108" s="179"/>
      <c r="AV108" s="179"/>
      <c r="AW108" s="179"/>
      <c r="AX108" s="179"/>
      <c r="AY108" s="179"/>
      <c r="AZ108" s="179"/>
      <c r="BA108" s="179"/>
      <c r="BB108" s="179"/>
      <c r="BC108" s="179"/>
      <c r="BD108" s="179"/>
      <c r="BE108" s="179"/>
      <c r="BF108" s="179"/>
      <c r="BG108" s="179"/>
      <c r="BH108" s="179"/>
      <c r="BI108" s="179"/>
      <c r="BJ108" s="179"/>
      <c r="BK108" s="179"/>
      <c r="BL108" s="179"/>
      <c r="BM108" s="179"/>
      <c r="BN108" s="179"/>
      <c r="BO108" s="179"/>
      <c r="BP108" s="179"/>
      <c r="BQ108" s="179"/>
      <c r="BR108" s="179"/>
      <c r="BS108" s="179"/>
      <c r="BT108" s="179"/>
      <c r="BU108" s="179"/>
      <c r="BV108" s="179"/>
      <c r="BW108" s="179"/>
      <c r="BX108" s="179"/>
      <c r="BY108" s="179"/>
      <c r="BZ108" s="179"/>
      <c r="CA108" s="179"/>
      <c r="CB108" s="179"/>
      <c r="CC108" s="179"/>
      <c r="CD108" s="179"/>
      <c r="CE108" s="179"/>
      <c r="CF108" s="179"/>
      <c r="CG108" s="179"/>
      <c r="CH108" s="179"/>
      <c r="CI108" s="179"/>
      <c r="CJ108" s="179"/>
      <c r="CK108" s="179"/>
      <c r="CL108" s="179"/>
      <c r="CM108" s="179"/>
      <c r="CN108" s="179"/>
      <c r="CO108" s="179"/>
      <c r="CP108" s="179"/>
      <c r="CQ108" s="179"/>
      <c r="CR108" s="179"/>
      <c r="CS108" s="179"/>
      <c r="CT108" s="179"/>
      <c r="CU108" s="179"/>
      <c r="CV108" s="179"/>
      <c r="CW108" s="179"/>
    </row>
    <row r="109" spans="1:101" x14ac:dyDescent="0.2">
      <c r="A109" s="32" t="str">
        <f t="shared" ca="1" si="1"/>
        <v>2025-07-20</v>
      </c>
      <c r="B109" s="179">
        <f ca="1">IF(ISNUMBER(MATCH(DATEVALUE($A109),'changes1_based on steps'!B$1:B$400,0)),B$2,)</f>
        <v>0</v>
      </c>
      <c r="C109" s="179">
        <f ca="1">IF(ISNUMBER(MATCH(DATEVALUE($A109),'changes1_based on steps'!C$1:C$400,0)),C$2,)</f>
        <v>0</v>
      </c>
      <c r="D109" s="179">
        <f ca="1">IF(ISNUMBER(MATCH(DATEVALUE($A109),'changes1_based on steps'!D$1:D$400,0)),D$2,)</f>
        <v>0</v>
      </c>
      <c r="E109" s="179">
        <f ca="1">IF(ISNUMBER(MATCH(DATEVALUE($A109),'changes1_based on steps'!E$1:E$400,0)),E$2,)</f>
        <v>0</v>
      </c>
      <c r="F109" s="179">
        <f ca="1">IF(ISNUMBER(MATCH(DATEVALUE($A109),'changes1_based on steps'!F$1:F$400,0)),F$2,)</f>
        <v>0</v>
      </c>
      <c r="G109" s="179">
        <f ca="1">IF(ISNUMBER(MATCH(DATEVALUE($A109),'changes1_based on steps'!G$1:G$400,0)),G$2,)</f>
        <v>0</v>
      </c>
      <c r="H109" s="179">
        <f ca="1">IF(ISNUMBER(MATCH(DATEVALUE($A109),'changes1_based on steps'!H$1:H$400,0)),H$2,)</f>
        <v>0</v>
      </c>
      <c r="I109" s="179">
        <f ca="1">IF(ISNUMBER(MATCH(DATEVALUE($A109),'changes1_based on steps'!I$1:I$400,0)),I$2,)</f>
        <v>0</v>
      </c>
      <c r="J109" s="179">
        <f ca="1">IF(ISNUMBER(MATCH(DATEVALUE($A109),'changes1_based on steps'!J$1:J$400,0)),J$2,)</f>
        <v>0</v>
      </c>
      <c r="K109" s="179">
        <f ca="1">IF(ISNUMBER(MATCH(DATEVALUE($A109),'changes1_based on steps'!K$1:K$400,0)),K$2,)</f>
        <v>0</v>
      </c>
      <c r="L109" s="179">
        <f ca="1">IF(ISNUMBER(MATCH(DATEVALUE($A109),'changes1_based on steps'!L$1:L$400,0)),L$2,)</f>
        <v>0</v>
      </c>
      <c r="M109" s="179">
        <f ca="1">IF(ISNUMBER(MATCH(DATEVALUE($A109),'changes1_based on steps'!M$1:M$400,0)),M$2,)</f>
        <v>0</v>
      </c>
      <c r="N109" s="179">
        <f ca="1">IF(ISNUMBER(MATCH(DATEVALUE($A109),'changes1_based on steps'!N$1:N$400,0)),N$2,)</f>
        <v>0</v>
      </c>
      <c r="O109" s="179">
        <f ca="1">IF(ISNUMBER(MATCH(DATEVALUE($A109),'changes1_based on steps'!O$1:O$400,0)),O$2,)</f>
        <v>0</v>
      </c>
      <c r="P109" s="179">
        <f ca="1">IF(ISNUMBER(MATCH(DATEVALUE($A109),'changes1_based on steps'!P$1:P$400,0)),P$2,)</f>
        <v>0</v>
      </c>
      <c r="Q109" s="179">
        <f ca="1">IF(ISNUMBER(MATCH(DATEVALUE($A109),'changes1_based on steps'!Q$1:Q$400,0)),Q$2,)</f>
        <v>0</v>
      </c>
      <c r="R109" s="179">
        <f ca="1">IF(ISNUMBER(MATCH(DATEVALUE($A109),'changes1_based on steps'!R$1:R$400,0)),R$2,)</f>
        <v>0</v>
      </c>
      <c r="S109" s="179">
        <f ca="1">IF(ISNUMBER(MATCH(DATEVALUE($A109),'changes1_based on steps'!S$1:S$400,0)),S$2,)</f>
        <v>0</v>
      </c>
      <c r="T109" s="179">
        <f ca="1">IF(ISNUMBER(MATCH(DATEVALUE($A109),'changes1_based on steps'!T$1:T$400,0)),T$2,)</f>
        <v>0</v>
      </c>
      <c r="U109" s="179">
        <f ca="1">IF(ISNUMBER(MATCH(DATEVALUE($A109),'changes1_based on steps'!U$1:U$400,0)),U$2,)</f>
        <v>0</v>
      </c>
      <c r="V109" s="179"/>
      <c r="W109" s="179"/>
      <c r="X109" s="179"/>
      <c r="Y109" s="179"/>
      <c r="Z109" s="179"/>
      <c r="AA109" s="179"/>
      <c r="AB109" s="179"/>
      <c r="AC109" s="179"/>
      <c r="AD109" s="179"/>
      <c r="AE109" s="179"/>
      <c r="AF109" s="179"/>
      <c r="AG109" s="179"/>
      <c r="AH109" s="179"/>
      <c r="AI109" s="179"/>
      <c r="AJ109" s="179"/>
      <c r="AK109" s="179"/>
      <c r="AL109" s="179"/>
      <c r="AM109" s="179"/>
      <c r="AN109" s="179"/>
      <c r="AO109" s="179"/>
      <c r="AP109" s="179"/>
      <c r="AQ109" s="179"/>
      <c r="AR109" s="179"/>
      <c r="AS109" s="179"/>
      <c r="AT109" s="179"/>
      <c r="AU109" s="179"/>
      <c r="AV109" s="179"/>
      <c r="AW109" s="179"/>
      <c r="AX109" s="179"/>
      <c r="AY109" s="179"/>
      <c r="AZ109" s="179"/>
      <c r="BA109" s="179"/>
      <c r="BB109" s="179"/>
      <c r="BC109" s="179"/>
      <c r="BD109" s="179"/>
      <c r="BE109" s="179"/>
      <c r="BF109" s="179"/>
      <c r="BG109" s="179"/>
      <c r="BH109" s="179"/>
      <c r="BI109" s="179"/>
      <c r="BJ109" s="179"/>
      <c r="BK109" s="179"/>
      <c r="BL109" s="179"/>
      <c r="BM109" s="179"/>
      <c r="BN109" s="179"/>
      <c r="BO109" s="179"/>
      <c r="BP109" s="179"/>
      <c r="BQ109" s="179"/>
      <c r="BR109" s="179"/>
      <c r="BS109" s="179"/>
      <c r="BT109" s="179"/>
      <c r="BU109" s="179"/>
      <c r="BV109" s="179"/>
      <c r="BW109" s="179"/>
      <c r="BX109" s="179"/>
      <c r="BY109" s="179"/>
      <c r="BZ109" s="179"/>
      <c r="CA109" s="179"/>
      <c r="CB109" s="179"/>
      <c r="CC109" s="179"/>
      <c r="CD109" s="179"/>
      <c r="CE109" s="179"/>
      <c r="CF109" s="179"/>
      <c r="CG109" s="179"/>
      <c r="CH109" s="179"/>
      <c r="CI109" s="179"/>
      <c r="CJ109" s="179"/>
      <c r="CK109" s="179"/>
      <c r="CL109" s="179"/>
      <c r="CM109" s="179"/>
      <c r="CN109" s="179"/>
      <c r="CO109" s="179"/>
      <c r="CP109" s="179"/>
      <c r="CQ109" s="179"/>
      <c r="CR109" s="179"/>
      <c r="CS109" s="179"/>
      <c r="CT109" s="179"/>
      <c r="CU109" s="179"/>
      <c r="CV109" s="179"/>
      <c r="CW109" s="179"/>
    </row>
    <row r="110" spans="1:101" x14ac:dyDescent="0.2">
      <c r="A110" s="32" t="str">
        <f t="shared" ca="1" si="1"/>
        <v>2025-07-21</v>
      </c>
      <c r="B110" s="179">
        <f ca="1">IF(ISNUMBER(MATCH(DATEVALUE($A110),'changes1_based on steps'!B$1:B$400,0)),B$2,)</f>
        <v>0</v>
      </c>
      <c r="C110" s="179">
        <f ca="1">IF(ISNUMBER(MATCH(DATEVALUE($A110),'changes1_based on steps'!C$1:C$400,0)),C$2,)</f>
        <v>0</v>
      </c>
      <c r="D110" s="179">
        <f ca="1">IF(ISNUMBER(MATCH(DATEVALUE($A110),'changes1_based on steps'!D$1:D$400,0)),D$2,)</f>
        <v>0</v>
      </c>
      <c r="E110" s="179">
        <f ca="1">IF(ISNUMBER(MATCH(DATEVALUE($A110),'changes1_based on steps'!E$1:E$400,0)),E$2,)</f>
        <v>0</v>
      </c>
      <c r="F110" s="179">
        <f ca="1">IF(ISNUMBER(MATCH(DATEVALUE($A110),'changes1_based on steps'!F$1:F$400,0)),F$2,)</f>
        <v>0</v>
      </c>
      <c r="G110" s="179">
        <f ca="1">IF(ISNUMBER(MATCH(DATEVALUE($A110),'changes1_based on steps'!G$1:G$400,0)),G$2,)</f>
        <v>0</v>
      </c>
      <c r="H110" s="179">
        <f ca="1">IF(ISNUMBER(MATCH(DATEVALUE($A110),'changes1_based on steps'!H$1:H$400,0)),H$2,)</f>
        <v>0</v>
      </c>
      <c r="I110" s="179">
        <f ca="1">IF(ISNUMBER(MATCH(DATEVALUE($A110),'changes1_based on steps'!I$1:I$400,0)),I$2,)</f>
        <v>0</v>
      </c>
      <c r="J110" s="179">
        <f ca="1">IF(ISNUMBER(MATCH(DATEVALUE($A110),'changes1_based on steps'!J$1:J$400,0)),J$2,)</f>
        <v>0</v>
      </c>
      <c r="K110" s="179">
        <f ca="1">IF(ISNUMBER(MATCH(DATEVALUE($A110),'changes1_based on steps'!K$1:K$400,0)),K$2,)</f>
        <v>0</v>
      </c>
      <c r="L110" s="179">
        <f ca="1">IF(ISNUMBER(MATCH(DATEVALUE($A110),'changes1_based on steps'!L$1:L$400,0)),L$2,)</f>
        <v>0</v>
      </c>
      <c r="M110" s="179">
        <f ca="1">IF(ISNUMBER(MATCH(DATEVALUE($A110),'changes1_based on steps'!M$1:M$400,0)),M$2,)</f>
        <v>0</v>
      </c>
      <c r="N110" s="179">
        <f ca="1">IF(ISNUMBER(MATCH(DATEVALUE($A110),'changes1_based on steps'!N$1:N$400,0)),N$2,)</f>
        <v>0</v>
      </c>
      <c r="O110" s="179">
        <f ca="1">IF(ISNUMBER(MATCH(DATEVALUE($A110),'changes1_based on steps'!O$1:O$400,0)),O$2,)</f>
        <v>0</v>
      </c>
      <c r="P110" s="179">
        <f ca="1">IF(ISNUMBER(MATCH(DATEVALUE($A110),'changes1_based on steps'!P$1:P$400,0)),P$2,)</f>
        <v>0</v>
      </c>
      <c r="Q110" s="179">
        <f ca="1">IF(ISNUMBER(MATCH(DATEVALUE($A110),'changes1_based on steps'!Q$1:Q$400,0)),Q$2,)</f>
        <v>0</v>
      </c>
      <c r="R110" s="179">
        <f ca="1">IF(ISNUMBER(MATCH(DATEVALUE($A110),'changes1_based on steps'!R$1:R$400,0)),R$2,)</f>
        <v>0</v>
      </c>
      <c r="S110" s="179">
        <f ca="1">IF(ISNUMBER(MATCH(DATEVALUE($A110),'changes1_based on steps'!S$1:S$400,0)),S$2,)</f>
        <v>0</v>
      </c>
      <c r="T110" s="179">
        <f ca="1">IF(ISNUMBER(MATCH(DATEVALUE($A110),'changes1_based on steps'!T$1:T$400,0)),T$2,)</f>
        <v>0</v>
      </c>
      <c r="U110" s="179">
        <f ca="1">IF(ISNUMBER(MATCH(DATEVALUE($A110),'changes1_based on steps'!U$1:U$400,0)),U$2,)</f>
        <v>0</v>
      </c>
      <c r="V110" s="179"/>
      <c r="W110" s="179"/>
      <c r="X110" s="179"/>
      <c r="Y110" s="179"/>
      <c r="Z110" s="179"/>
      <c r="AA110" s="179"/>
      <c r="AB110" s="179"/>
      <c r="AC110" s="179"/>
      <c r="AD110" s="179"/>
      <c r="AE110" s="179"/>
      <c r="AF110" s="179"/>
      <c r="AG110" s="179"/>
      <c r="AH110" s="179"/>
      <c r="AI110" s="179"/>
      <c r="AJ110" s="179"/>
      <c r="AK110" s="179"/>
      <c r="AL110" s="179"/>
      <c r="AM110" s="179"/>
      <c r="AN110" s="179"/>
      <c r="AO110" s="179"/>
      <c r="AP110" s="179"/>
      <c r="AQ110" s="179"/>
      <c r="AR110" s="179"/>
      <c r="AS110" s="179"/>
      <c r="AT110" s="179"/>
      <c r="AU110" s="179"/>
      <c r="AV110" s="179"/>
      <c r="AW110" s="179"/>
      <c r="AX110" s="179"/>
      <c r="AY110" s="179"/>
      <c r="AZ110" s="179"/>
      <c r="BA110" s="179"/>
      <c r="BB110" s="179"/>
      <c r="BC110" s="179"/>
      <c r="BD110" s="179"/>
      <c r="BE110" s="179"/>
      <c r="BF110" s="179"/>
      <c r="BG110" s="179"/>
      <c r="BH110" s="179"/>
      <c r="BI110" s="179"/>
      <c r="BJ110" s="179"/>
      <c r="BK110" s="179"/>
      <c r="BL110" s="179"/>
      <c r="BM110" s="179"/>
      <c r="BN110" s="179"/>
      <c r="BO110" s="179"/>
      <c r="BP110" s="179"/>
      <c r="BQ110" s="179"/>
      <c r="BR110" s="179"/>
      <c r="BS110" s="179"/>
      <c r="BT110" s="179"/>
      <c r="BU110" s="179"/>
      <c r="BV110" s="179"/>
      <c r="BW110" s="179"/>
      <c r="BX110" s="179"/>
      <c r="BY110" s="179"/>
      <c r="BZ110" s="179"/>
      <c r="CA110" s="179"/>
      <c r="CB110" s="179"/>
      <c r="CC110" s="179"/>
      <c r="CD110" s="179"/>
      <c r="CE110" s="179"/>
      <c r="CF110" s="179"/>
      <c r="CG110" s="179"/>
      <c r="CH110" s="179"/>
      <c r="CI110" s="179"/>
      <c r="CJ110" s="179"/>
      <c r="CK110" s="179"/>
      <c r="CL110" s="179"/>
      <c r="CM110" s="179"/>
      <c r="CN110" s="179"/>
      <c r="CO110" s="179"/>
      <c r="CP110" s="179"/>
      <c r="CQ110" s="179"/>
      <c r="CR110" s="179"/>
      <c r="CS110" s="179"/>
      <c r="CT110" s="179"/>
      <c r="CU110" s="179"/>
      <c r="CV110" s="179"/>
      <c r="CW110" s="179"/>
    </row>
    <row r="111" spans="1:101" x14ac:dyDescent="0.2">
      <c r="A111" s="32" t="str">
        <f t="shared" ca="1" si="1"/>
        <v>2025-07-22</v>
      </c>
      <c r="B111" s="179">
        <f ca="1">IF(ISNUMBER(MATCH(DATEVALUE($A111),'changes1_based on steps'!B$1:B$400,0)),B$2,)</f>
        <v>0</v>
      </c>
      <c r="C111" s="179">
        <f ca="1">IF(ISNUMBER(MATCH(DATEVALUE($A111),'changes1_based on steps'!C$1:C$400,0)),C$2,)</f>
        <v>0</v>
      </c>
      <c r="D111" s="179">
        <f ca="1">IF(ISNUMBER(MATCH(DATEVALUE($A111),'changes1_based on steps'!D$1:D$400,0)),D$2,)</f>
        <v>0</v>
      </c>
      <c r="E111" s="179">
        <f ca="1">IF(ISNUMBER(MATCH(DATEVALUE($A111),'changes1_based on steps'!E$1:E$400,0)),E$2,)</f>
        <v>0</v>
      </c>
      <c r="F111" s="179">
        <f ca="1">IF(ISNUMBER(MATCH(DATEVALUE($A111),'changes1_based on steps'!F$1:F$400,0)),F$2,)</f>
        <v>0</v>
      </c>
      <c r="G111" s="179">
        <f ca="1">IF(ISNUMBER(MATCH(DATEVALUE($A111),'changes1_based on steps'!G$1:G$400,0)),G$2,)</f>
        <v>0</v>
      </c>
      <c r="H111" s="179">
        <f ca="1">IF(ISNUMBER(MATCH(DATEVALUE($A111),'changes1_based on steps'!H$1:H$400,0)),H$2,)</f>
        <v>0</v>
      </c>
      <c r="I111" s="179">
        <f ca="1">IF(ISNUMBER(MATCH(DATEVALUE($A111),'changes1_based on steps'!I$1:I$400,0)),I$2,)</f>
        <v>0</v>
      </c>
      <c r="J111" s="179">
        <f ca="1">IF(ISNUMBER(MATCH(DATEVALUE($A111),'changes1_based on steps'!J$1:J$400,0)),J$2,)</f>
        <v>0</v>
      </c>
      <c r="K111" s="179">
        <f ca="1">IF(ISNUMBER(MATCH(DATEVALUE($A111),'changes1_based on steps'!K$1:K$400,0)),K$2,)</f>
        <v>0</v>
      </c>
      <c r="L111" s="179">
        <f ca="1">IF(ISNUMBER(MATCH(DATEVALUE($A111),'changes1_based on steps'!L$1:L$400,0)),L$2,)</f>
        <v>0</v>
      </c>
      <c r="M111" s="179">
        <f ca="1">IF(ISNUMBER(MATCH(DATEVALUE($A111),'changes1_based on steps'!M$1:M$400,0)),M$2,)</f>
        <v>0</v>
      </c>
      <c r="N111" s="179">
        <f ca="1">IF(ISNUMBER(MATCH(DATEVALUE($A111),'changes1_based on steps'!N$1:N$400,0)),N$2,)</f>
        <v>0</v>
      </c>
      <c r="O111" s="179">
        <f ca="1">IF(ISNUMBER(MATCH(DATEVALUE($A111),'changes1_based on steps'!O$1:O$400,0)),O$2,)</f>
        <v>0</v>
      </c>
      <c r="P111" s="179">
        <f ca="1">IF(ISNUMBER(MATCH(DATEVALUE($A111),'changes1_based on steps'!P$1:P$400,0)),P$2,)</f>
        <v>0</v>
      </c>
      <c r="Q111" s="179">
        <f ca="1">IF(ISNUMBER(MATCH(DATEVALUE($A111),'changes1_based on steps'!Q$1:Q$400,0)),Q$2,)</f>
        <v>0</v>
      </c>
      <c r="R111" s="179">
        <f ca="1">IF(ISNUMBER(MATCH(DATEVALUE($A111),'changes1_based on steps'!R$1:R$400,0)),R$2,)</f>
        <v>0</v>
      </c>
      <c r="S111" s="179">
        <f ca="1">IF(ISNUMBER(MATCH(DATEVALUE($A111),'changes1_based on steps'!S$1:S$400,0)),S$2,)</f>
        <v>0</v>
      </c>
      <c r="T111" s="179">
        <f ca="1">IF(ISNUMBER(MATCH(DATEVALUE($A111),'changes1_based on steps'!T$1:T$400,0)),T$2,)</f>
        <v>0</v>
      </c>
      <c r="U111" s="179">
        <f ca="1">IF(ISNUMBER(MATCH(DATEVALUE($A111),'changes1_based on steps'!U$1:U$400,0)),U$2,)</f>
        <v>0</v>
      </c>
      <c r="V111" s="179"/>
      <c r="W111" s="179"/>
      <c r="X111" s="179"/>
      <c r="Y111" s="179"/>
      <c r="Z111" s="179"/>
      <c r="AA111" s="179"/>
      <c r="AB111" s="179"/>
      <c r="AC111" s="179"/>
      <c r="AD111" s="179"/>
      <c r="AE111" s="179"/>
      <c r="AF111" s="179"/>
      <c r="AG111" s="179"/>
      <c r="AH111" s="179"/>
      <c r="AI111" s="179"/>
      <c r="AJ111" s="179"/>
      <c r="AK111" s="179"/>
      <c r="AL111" s="179"/>
      <c r="AM111" s="179"/>
      <c r="AN111" s="179"/>
      <c r="AO111" s="179"/>
      <c r="AP111" s="179"/>
      <c r="AQ111" s="179"/>
      <c r="AR111" s="179"/>
      <c r="AS111" s="179"/>
      <c r="AT111" s="179"/>
      <c r="AU111" s="179"/>
      <c r="AV111" s="179"/>
      <c r="AW111" s="179"/>
      <c r="AX111" s="179"/>
      <c r="AY111" s="179"/>
      <c r="AZ111" s="179"/>
      <c r="BA111" s="179"/>
      <c r="BB111" s="179"/>
      <c r="BC111" s="179"/>
      <c r="BD111" s="179"/>
      <c r="BE111" s="179"/>
      <c r="BF111" s="179"/>
      <c r="BG111" s="179"/>
      <c r="BH111" s="179"/>
      <c r="BI111" s="179"/>
      <c r="BJ111" s="179"/>
      <c r="BK111" s="179"/>
      <c r="BL111" s="179"/>
      <c r="BM111" s="179"/>
      <c r="BN111" s="179"/>
      <c r="BO111" s="179"/>
      <c r="BP111" s="179"/>
      <c r="BQ111" s="179"/>
      <c r="BR111" s="179"/>
      <c r="BS111" s="179"/>
      <c r="BT111" s="179"/>
      <c r="BU111" s="179"/>
      <c r="BV111" s="179"/>
      <c r="BW111" s="179"/>
      <c r="BX111" s="179"/>
      <c r="BY111" s="179"/>
      <c r="BZ111" s="179"/>
      <c r="CA111" s="179"/>
      <c r="CB111" s="179"/>
      <c r="CC111" s="179"/>
      <c r="CD111" s="179"/>
      <c r="CE111" s="179"/>
      <c r="CF111" s="179"/>
      <c r="CG111" s="179"/>
      <c r="CH111" s="179"/>
      <c r="CI111" s="179"/>
      <c r="CJ111" s="179"/>
      <c r="CK111" s="179"/>
      <c r="CL111" s="179"/>
      <c r="CM111" s="179"/>
      <c r="CN111" s="179"/>
      <c r="CO111" s="179"/>
      <c r="CP111" s="179"/>
      <c r="CQ111" s="179"/>
      <c r="CR111" s="179"/>
      <c r="CS111" s="179"/>
      <c r="CT111" s="179"/>
      <c r="CU111" s="179"/>
      <c r="CV111" s="179"/>
      <c r="CW111" s="179"/>
    </row>
    <row r="112" spans="1:101" x14ac:dyDescent="0.2">
      <c r="A112" s="32" t="str">
        <f t="shared" ca="1" si="1"/>
        <v>2025-07-23</v>
      </c>
      <c r="B112" s="179">
        <f ca="1">IF(ISNUMBER(MATCH(DATEVALUE($A112),'changes1_based on steps'!B$1:B$400,0)),B$2,)</f>
        <v>0</v>
      </c>
      <c r="C112" s="179">
        <f ca="1">IF(ISNUMBER(MATCH(DATEVALUE($A112),'changes1_based on steps'!C$1:C$400,0)),C$2,)</f>
        <v>0</v>
      </c>
      <c r="D112" s="179">
        <f ca="1">IF(ISNUMBER(MATCH(DATEVALUE($A112),'changes1_based on steps'!D$1:D$400,0)),D$2,)</f>
        <v>0</v>
      </c>
      <c r="E112" s="179">
        <f ca="1">IF(ISNUMBER(MATCH(DATEVALUE($A112),'changes1_based on steps'!E$1:E$400,0)),E$2,)</f>
        <v>0</v>
      </c>
      <c r="F112" s="179">
        <f ca="1">IF(ISNUMBER(MATCH(DATEVALUE($A112),'changes1_based on steps'!F$1:F$400,0)),F$2,)</f>
        <v>0</v>
      </c>
      <c r="G112" s="179">
        <f ca="1">IF(ISNUMBER(MATCH(DATEVALUE($A112),'changes1_based on steps'!G$1:G$400,0)),G$2,)</f>
        <v>0</v>
      </c>
      <c r="H112" s="179">
        <f ca="1">IF(ISNUMBER(MATCH(DATEVALUE($A112),'changes1_based on steps'!H$1:H$400,0)),H$2,)</f>
        <v>0</v>
      </c>
      <c r="I112" s="179">
        <f ca="1">IF(ISNUMBER(MATCH(DATEVALUE($A112),'changes1_based on steps'!I$1:I$400,0)),I$2,)</f>
        <v>0</v>
      </c>
      <c r="J112" s="179">
        <f ca="1">IF(ISNUMBER(MATCH(DATEVALUE($A112),'changes1_based on steps'!J$1:J$400,0)),J$2,)</f>
        <v>0</v>
      </c>
      <c r="K112" s="179">
        <f ca="1">IF(ISNUMBER(MATCH(DATEVALUE($A112),'changes1_based on steps'!K$1:K$400,0)),K$2,)</f>
        <v>0</v>
      </c>
      <c r="L112" s="179">
        <f ca="1">IF(ISNUMBER(MATCH(DATEVALUE($A112),'changes1_based on steps'!L$1:L$400,0)),L$2,)</f>
        <v>0</v>
      </c>
      <c r="M112" s="179">
        <f ca="1">IF(ISNUMBER(MATCH(DATEVALUE($A112),'changes1_based on steps'!M$1:M$400,0)),M$2,)</f>
        <v>0</v>
      </c>
      <c r="N112" s="179">
        <f ca="1">IF(ISNUMBER(MATCH(DATEVALUE($A112),'changes1_based on steps'!N$1:N$400,0)),N$2,)</f>
        <v>0</v>
      </c>
      <c r="O112" s="179">
        <f ca="1">IF(ISNUMBER(MATCH(DATEVALUE($A112),'changes1_based on steps'!O$1:O$400,0)),O$2,)</f>
        <v>0</v>
      </c>
      <c r="P112" s="179">
        <f ca="1">IF(ISNUMBER(MATCH(DATEVALUE($A112),'changes1_based on steps'!P$1:P$400,0)),P$2,)</f>
        <v>0</v>
      </c>
      <c r="Q112" s="179">
        <f ca="1">IF(ISNUMBER(MATCH(DATEVALUE($A112),'changes1_based on steps'!Q$1:Q$400,0)),Q$2,)</f>
        <v>0</v>
      </c>
      <c r="R112" s="179">
        <f ca="1">IF(ISNUMBER(MATCH(DATEVALUE($A112),'changes1_based on steps'!R$1:R$400,0)),R$2,)</f>
        <v>0</v>
      </c>
      <c r="S112" s="179">
        <f ca="1">IF(ISNUMBER(MATCH(DATEVALUE($A112),'changes1_based on steps'!S$1:S$400,0)),S$2,)</f>
        <v>0</v>
      </c>
      <c r="T112" s="179">
        <f ca="1">IF(ISNUMBER(MATCH(DATEVALUE($A112),'changes1_based on steps'!T$1:T$400,0)),T$2,)</f>
        <v>0</v>
      </c>
      <c r="U112" s="179">
        <f ca="1">IF(ISNUMBER(MATCH(DATEVALUE($A112),'changes1_based on steps'!U$1:U$400,0)),U$2,)</f>
        <v>0</v>
      </c>
      <c r="V112" s="179"/>
      <c r="W112" s="179"/>
      <c r="X112" s="179"/>
      <c r="Y112" s="179"/>
      <c r="Z112" s="179"/>
      <c r="AA112" s="179"/>
      <c r="AB112" s="179"/>
      <c r="AC112" s="179"/>
      <c r="AD112" s="179"/>
      <c r="AE112" s="179"/>
      <c r="AF112" s="179"/>
      <c r="AG112" s="179"/>
      <c r="AH112" s="179"/>
      <c r="AI112" s="179"/>
      <c r="AJ112" s="179"/>
      <c r="AK112" s="179"/>
      <c r="AL112" s="179"/>
      <c r="AM112" s="179"/>
      <c r="AN112" s="179"/>
      <c r="AO112" s="179"/>
      <c r="AP112" s="179"/>
      <c r="AQ112" s="179"/>
      <c r="AR112" s="179"/>
      <c r="AS112" s="179"/>
      <c r="AT112" s="179"/>
      <c r="AU112" s="179"/>
      <c r="AV112" s="179"/>
      <c r="AW112" s="179"/>
      <c r="AX112" s="179"/>
      <c r="AY112" s="179"/>
      <c r="AZ112" s="179"/>
      <c r="BA112" s="179"/>
      <c r="BB112" s="179"/>
      <c r="BC112" s="179"/>
      <c r="BD112" s="179"/>
      <c r="BE112" s="179"/>
      <c r="BF112" s="179"/>
      <c r="BG112" s="179"/>
      <c r="BH112" s="179"/>
      <c r="BI112" s="179"/>
      <c r="BJ112" s="179"/>
      <c r="BK112" s="179"/>
      <c r="BL112" s="179"/>
      <c r="BM112" s="179"/>
      <c r="BN112" s="179"/>
      <c r="BO112" s="179"/>
      <c r="BP112" s="179"/>
      <c r="BQ112" s="179"/>
      <c r="BR112" s="179"/>
      <c r="BS112" s="179"/>
      <c r="BT112" s="179"/>
      <c r="BU112" s="179"/>
      <c r="BV112" s="179"/>
      <c r="BW112" s="179"/>
      <c r="BX112" s="179"/>
      <c r="BY112" s="179"/>
      <c r="BZ112" s="179"/>
      <c r="CA112" s="179"/>
      <c r="CB112" s="179"/>
      <c r="CC112" s="179"/>
      <c r="CD112" s="179"/>
      <c r="CE112" s="179"/>
      <c r="CF112" s="179"/>
      <c r="CG112" s="179"/>
      <c r="CH112" s="179"/>
      <c r="CI112" s="179"/>
      <c r="CJ112" s="179"/>
      <c r="CK112" s="179"/>
      <c r="CL112" s="179"/>
      <c r="CM112" s="179"/>
      <c r="CN112" s="179"/>
      <c r="CO112" s="179"/>
      <c r="CP112" s="179"/>
      <c r="CQ112" s="179"/>
      <c r="CR112" s="179"/>
      <c r="CS112" s="179"/>
      <c r="CT112" s="179"/>
      <c r="CU112" s="179"/>
      <c r="CV112" s="179"/>
      <c r="CW112" s="179"/>
    </row>
    <row r="113" spans="1:101" x14ac:dyDescent="0.2">
      <c r="A113" s="32" t="str">
        <f t="shared" ca="1" si="1"/>
        <v>2025-07-24</v>
      </c>
      <c r="B113" s="179">
        <f ca="1">IF(ISNUMBER(MATCH(DATEVALUE($A113),'changes1_based on steps'!B$1:B$400,0)),B$2,)</f>
        <v>0</v>
      </c>
      <c r="C113" s="179">
        <f ca="1">IF(ISNUMBER(MATCH(DATEVALUE($A113),'changes1_based on steps'!C$1:C$400,0)),C$2,)</f>
        <v>0</v>
      </c>
      <c r="D113" s="179">
        <f ca="1">IF(ISNUMBER(MATCH(DATEVALUE($A113),'changes1_based on steps'!D$1:D$400,0)),D$2,)</f>
        <v>0</v>
      </c>
      <c r="E113" s="179">
        <f ca="1">IF(ISNUMBER(MATCH(DATEVALUE($A113),'changes1_based on steps'!E$1:E$400,0)),E$2,)</f>
        <v>0</v>
      </c>
      <c r="F113" s="179">
        <f ca="1">IF(ISNUMBER(MATCH(DATEVALUE($A113),'changes1_based on steps'!F$1:F$400,0)),F$2,)</f>
        <v>0</v>
      </c>
      <c r="G113" s="179">
        <f ca="1">IF(ISNUMBER(MATCH(DATEVALUE($A113),'changes1_based on steps'!G$1:G$400,0)),G$2,)</f>
        <v>0</v>
      </c>
      <c r="H113" s="179">
        <f ca="1">IF(ISNUMBER(MATCH(DATEVALUE($A113),'changes1_based on steps'!H$1:H$400,0)),H$2,)</f>
        <v>0</v>
      </c>
      <c r="I113" s="179">
        <f ca="1">IF(ISNUMBER(MATCH(DATEVALUE($A113),'changes1_based on steps'!I$1:I$400,0)),I$2,)</f>
        <v>0</v>
      </c>
      <c r="J113" s="179">
        <f ca="1">IF(ISNUMBER(MATCH(DATEVALUE($A113),'changes1_based on steps'!J$1:J$400,0)),J$2,)</f>
        <v>0</v>
      </c>
      <c r="K113" s="179">
        <f ca="1">IF(ISNUMBER(MATCH(DATEVALUE($A113),'changes1_based on steps'!K$1:K$400,0)),K$2,)</f>
        <v>0</v>
      </c>
      <c r="L113" s="179">
        <f ca="1">IF(ISNUMBER(MATCH(DATEVALUE($A113),'changes1_based on steps'!L$1:L$400,0)),L$2,)</f>
        <v>0</v>
      </c>
      <c r="M113" s="179">
        <f ca="1">IF(ISNUMBER(MATCH(DATEVALUE($A113),'changes1_based on steps'!M$1:M$400,0)),M$2,)</f>
        <v>0</v>
      </c>
      <c r="N113" s="179">
        <f ca="1">IF(ISNUMBER(MATCH(DATEVALUE($A113),'changes1_based on steps'!N$1:N$400,0)),N$2,)</f>
        <v>0</v>
      </c>
      <c r="O113" s="179">
        <f ca="1">IF(ISNUMBER(MATCH(DATEVALUE($A113),'changes1_based on steps'!O$1:O$400,0)),O$2,)</f>
        <v>0</v>
      </c>
      <c r="P113" s="179">
        <f ca="1">IF(ISNUMBER(MATCH(DATEVALUE($A113),'changes1_based on steps'!P$1:P$400,0)),P$2,)</f>
        <v>0</v>
      </c>
      <c r="Q113" s="179">
        <f ca="1">IF(ISNUMBER(MATCH(DATEVALUE($A113),'changes1_based on steps'!Q$1:Q$400,0)),Q$2,)</f>
        <v>0</v>
      </c>
      <c r="R113" s="179">
        <f ca="1">IF(ISNUMBER(MATCH(DATEVALUE($A113),'changes1_based on steps'!R$1:R$400,0)),R$2,)</f>
        <v>0</v>
      </c>
      <c r="S113" s="179">
        <f ca="1">IF(ISNUMBER(MATCH(DATEVALUE($A113),'changes1_based on steps'!S$1:S$400,0)),S$2,)</f>
        <v>0</v>
      </c>
      <c r="T113" s="179">
        <f ca="1">IF(ISNUMBER(MATCH(DATEVALUE($A113),'changes1_based on steps'!T$1:T$400,0)),T$2,)</f>
        <v>0</v>
      </c>
      <c r="U113" s="179">
        <f ca="1">IF(ISNUMBER(MATCH(DATEVALUE($A113),'changes1_based on steps'!U$1:U$400,0)),U$2,)</f>
        <v>0</v>
      </c>
      <c r="V113" s="179"/>
      <c r="W113" s="179"/>
      <c r="X113" s="179"/>
      <c r="Y113" s="179"/>
      <c r="Z113" s="179"/>
      <c r="AA113" s="179"/>
      <c r="AB113" s="179"/>
      <c r="AC113" s="179"/>
      <c r="AD113" s="179"/>
      <c r="AE113" s="179"/>
      <c r="AF113" s="179"/>
      <c r="AG113" s="179"/>
      <c r="AH113" s="179"/>
      <c r="AI113" s="179"/>
      <c r="AJ113" s="179"/>
      <c r="AK113" s="179"/>
      <c r="AL113" s="179"/>
      <c r="AM113" s="179"/>
      <c r="AN113" s="179"/>
      <c r="AO113" s="179"/>
      <c r="AP113" s="179"/>
      <c r="AQ113" s="179"/>
      <c r="AR113" s="179"/>
      <c r="AS113" s="179"/>
      <c r="AT113" s="179"/>
      <c r="AU113" s="179"/>
      <c r="AV113" s="179"/>
      <c r="AW113" s="179"/>
      <c r="AX113" s="179"/>
      <c r="AY113" s="179"/>
      <c r="AZ113" s="179"/>
      <c r="BA113" s="179"/>
      <c r="BB113" s="179"/>
      <c r="BC113" s="179"/>
      <c r="BD113" s="179"/>
      <c r="BE113" s="179"/>
      <c r="BF113" s="179"/>
      <c r="BG113" s="179"/>
      <c r="BH113" s="179"/>
      <c r="BI113" s="179"/>
      <c r="BJ113" s="179"/>
      <c r="BK113" s="179"/>
      <c r="BL113" s="179"/>
      <c r="BM113" s="179"/>
      <c r="BN113" s="179"/>
      <c r="BO113" s="179"/>
      <c r="BP113" s="179"/>
      <c r="BQ113" s="179"/>
      <c r="BR113" s="179"/>
      <c r="BS113" s="179"/>
      <c r="BT113" s="179"/>
      <c r="BU113" s="179"/>
      <c r="BV113" s="179"/>
      <c r="BW113" s="179"/>
      <c r="BX113" s="179"/>
      <c r="BY113" s="179"/>
      <c r="BZ113" s="179"/>
      <c r="CA113" s="179"/>
      <c r="CB113" s="179"/>
      <c r="CC113" s="179"/>
      <c r="CD113" s="179"/>
      <c r="CE113" s="179"/>
      <c r="CF113" s="179"/>
      <c r="CG113" s="179"/>
      <c r="CH113" s="179"/>
      <c r="CI113" s="179"/>
      <c r="CJ113" s="179"/>
      <c r="CK113" s="179"/>
      <c r="CL113" s="179"/>
      <c r="CM113" s="179"/>
      <c r="CN113" s="179"/>
      <c r="CO113" s="179"/>
      <c r="CP113" s="179"/>
      <c r="CQ113" s="179"/>
      <c r="CR113" s="179"/>
      <c r="CS113" s="179"/>
      <c r="CT113" s="179"/>
      <c r="CU113" s="179"/>
      <c r="CV113" s="179"/>
      <c r="CW113" s="179"/>
    </row>
    <row r="114" spans="1:101" x14ac:dyDescent="0.2">
      <c r="A114" s="32" t="str">
        <f t="shared" ca="1" si="1"/>
        <v>2025-07-25</v>
      </c>
      <c r="B114" s="179">
        <f ca="1">IF(ISNUMBER(MATCH(DATEVALUE($A114),'changes1_based on steps'!B$1:B$400,0)),B$2,)</f>
        <v>0</v>
      </c>
      <c r="C114" s="179">
        <f ca="1">IF(ISNUMBER(MATCH(DATEVALUE($A114),'changes1_based on steps'!C$1:C$400,0)),C$2,)</f>
        <v>0</v>
      </c>
      <c r="D114" s="179">
        <f ca="1">IF(ISNUMBER(MATCH(DATEVALUE($A114),'changes1_based on steps'!D$1:D$400,0)),D$2,)</f>
        <v>0</v>
      </c>
      <c r="E114" s="179">
        <f ca="1">IF(ISNUMBER(MATCH(DATEVALUE($A114),'changes1_based on steps'!E$1:E$400,0)),E$2,)</f>
        <v>0</v>
      </c>
      <c r="F114" s="179">
        <f ca="1">IF(ISNUMBER(MATCH(DATEVALUE($A114),'changes1_based on steps'!F$1:F$400,0)),F$2,)</f>
        <v>0</v>
      </c>
      <c r="G114" s="179">
        <f ca="1">IF(ISNUMBER(MATCH(DATEVALUE($A114),'changes1_based on steps'!G$1:G$400,0)),G$2,)</f>
        <v>0</v>
      </c>
      <c r="H114" s="179">
        <f ca="1">IF(ISNUMBER(MATCH(DATEVALUE($A114),'changes1_based on steps'!H$1:H$400,0)),H$2,)</f>
        <v>0</v>
      </c>
      <c r="I114" s="179">
        <f ca="1">IF(ISNUMBER(MATCH(DATEVALUE($A114),'changes1_based on steps'!I$1:I$400,0)),I$2,)</f>
        <v>0</v>
      </c>
      <c r="J114" s="179">
        <f ca="1">IF(ISNUMBER(MATCH(DATEVALUE($A114),'changes1_based on steps'!J$1:J$400,0)),J$2,)</f>
        <v>0</v>
      </c>
      <c r="K114" s="179">
        <f ca="1">IF(ISNUMBER(MATCH(DATEVALUE($A114),'changes1_based on steps'!K$1:K$400,0)),K$2,)</f>
        <v>0</v>
      </c>
      <c r="L114" s="179">
        <f ca="1">IF(ISNUMBER(MATCH(DATEVALUE($A114),'changes1_based on steps'!L$1:L$400,0)),L$2,)</f>
        <v>0</v>
      </c>
      <c r="M114" s="179">
        <f ca="1">IF(ISNUMBER(MATCH(DATEVALUE($A114),'changes1_based on steps'!M$1:M$400,0)),M$2,)</f>
        <v>0</v>
      </c>
      <c r="N114" s="179">
        <f ca="1">IF(ISNUMBER(MATCH(DATEVALUE($A114),'changes1_based on steps'!N$1:N$400,0)),N$2,)</f>
        <v>0</v>
      </c>
      <c r="O114" s="179">
        <f ca="1">IF(ISNUMBER(MATCH(DATEVALUE($A114),'changes1_based on steps'!O$1:O$400,0)),O$2,)</f>
        <v>0</v>
      </c>
      <c r="P114" s="179">
        <f ca="1">IF(ISNUMBER(MATCH(DATEVALUE($A114),'changes1_based on steps'!P$1:P$400,0)),P$2,)</f>
        <v>0</v>
      </c>
      <c r="Q114" s="179">
        <f ca="1">IF(ISNUMBER(MATCH(DATEVALUE($A114),'changes1_based on steps'!Q$1:Q$400,0)),Q$2,)</f>
        <v>0</v>
      </c>
      <c r="R114" s="179">
        <f ca="1">IF(ISNUMBER(MATCH(DATEVALUE($A114),'changes1_based on steps'!R$1:R$400,0)),R$2,)</f>
        <v>0</v>
      </c>
      <c r="S114" s="179">
        <f ca="1">IF(ISNUMBER(MATCH(DATEVALUE($A114),'changes1_based on steps'!S$1:S$400,0)),S$2,)</f>
        <v>0</v>
      </c>
      <c r="T114" s="179">
        <f ca="1">IF(ISNUMBER(MATCH(DATEVALUE($A114),'changes1_based on steps'!T$1:T$400,0)),T$2,)</f>
        <v>0</v>
      </c>
      <c r="U114" s="179">
        <f ca="1">IF(ISNUMBER(MATCH(DATEVALUE($A114),'changes1_based on steps'!U$1:U$400,0)),U$2,)</f>
        <v>0</v>
      </c>
      <c r="V114" s="179"/>
      <c r="W114" s="179"/>
      <c r="X114" s="179"/>
      <c r="Y114" s="179"/>
      <c r="Z114" s="179"/>
      <c r="AA114" s="179"/>
      <c r="AB114" s="179"/>
      <c r="AC114" s="179"/>
      <c r="AD114" s="179"/>
      <c r="AE114" s="179"/>
      <c r="AF114" s="179"/>
      <c r="AG114" s="179"/>
      <c r="AH114" s="179"/>
      <c r="AI114" s="179"/>
      <c r="AJ114" s="179"/>
      <c r="AK114" s="179"/>
      <c r="AL114" s="179"/>
      <c r="AM114" s="179"/>
      <c r="AN114" s="179"/>
      <c r="AO114" s="179"/>
      <c r="AP114" s="179"/>
      <c r="AQ114" s="179"/>
      <c r="AR114" s="179"/>
      <c r="AS114" s="179"/>
      <c r="AT114" s="179"/>
      <c r="AU114" s="179"/>
      <c r="AV114" s="179"/>
      <c r="AW114" s="179"/>
      <c r="AX114" s="179"/>
      <c r="AY114" s="179"/>
      <c r="AZ114" s="179"/>
      <c r="BA114" s="179"/>
      <c r="BB114" s="179"/>
      <c r="BC114" s="179"/>
      <c r="BD114" s="179"/>
      <c r="BE114" s="179"/>
      <c r="BF114" s="179"/>
      <c r="BG114" s="179"/>
      <c r="BH114" s="179"/>
      <c r="BI114" s="179"/>
      <c r="BJ114" s="179"/>
      <c r="BK114" s="179"/>
      <c r="BL114" s="179"/>
      <c r="BM114" s="179"/>
      <c r="BN114" s="179"/>
      <c r="BO114" s="179"/>
      <c r="BP114" s="179"/>
      <c r="BQ114" s="179"/>
      <c r="BR114" s="179"/>
      <c r="BS114" s="179"/>
      <c r="BT114" s="179"/>
      <c r="BU114" s="179"/>
      <c r="BV114" s="179"/>
      <c r="BW114" s="179"/>
      <c r="BX114" s="179"/>
      <c r="BY114" s="179"/>
      <c r="BZ114" s="179"/>
      <c r="CA114" s="179"/>
      <c r="CB114" s="179"/>
      <c r="CC114" s="179"/>
      <c r="CD114" s="179"/>
      <c r="CE114" s="179"/>
      <c r="CF114" s="179"/>
      <c r="CG114" s="179"/>
      <c r="CH114" s="179"/>
      <c r="CI114" s="179"/>
      <c r="CJ114" s="179"/>
      <c r="CK114" s="179"/>
      <c r="CL114" s="179"/>
      <c r="CM114" s="179"/>
      <c r="CN114" s="179"/>
      <c r="CO114" s="179"/>
      <c r="CP114" s="179"/>
      <c r="CQ114" s="179"/>
      <c r="CR114" s="179"/>
      <c r="CS114" s="179"/>
      <c r="CT114" s="179"/>
      <c r="CU114" s="179"/>
      <c r="CV114" s="179"/>
      <c r="CW114" s="179"/>
    </row>
    <row r="115" spans="1:101" x14ac:dyDescent="0.2">
      <c r="A115" s="32" t="str">
        <f t="shared" ca="1" si="1"/>
        <v>2025-07-26</v>
      </c>
      <c r="B115" s="179">
        <f ca="1">IF(ISNUMBER(MATCH(DATEVALUE($A115),'changes1_based on steps'!B$1:B$400,0)),B$2,)</f>
        <v>0</v>
      </c>
      <c r="C115" s="179">
        <f ca="1">IF(ISNUMBER(MATCH(DATEVALUE($A115),'changes1_based on steps'!C$1:C$400,0)),C$2,)</f>
        <v>0</v>
      </c>
      <c r="D115" s="179">
        <f ca="1">IF(ISNUMBER(MATCH(DATEVALUE($A115),'changes1_based on steps'!D$1:D$400,0)),D$2,)</f>
        <v>0</v>
      </c>
      <c r="E115" s="179">
        <f ca="1">IF(ISNUMBER(MATCH(DATEVALUE($A115),'changes1_based on steps'!E$1:E$400,0)),E$2,)</f>
        <v>0</v>
      </c>
      <c r="F115" s="179">
        <f ca="1">IF(ISNUMBER(MATCH(DATEVALUE($A115),'changes1_based on steps'!F$1:F$400,0)),F$2,)</f>
        <v>0</v>
      </c>
      <c r="G115" s="179">
        <f ca="1">IF(ISNUMBER(MATCH(DATEVALUE($A115),'changes1_based on steps'!G$1:G$400,0)),G$2,)</f>
        <v>0</v>
      </c>
      <c r="H115" s="179">
        <f ca="1">IF(ISNUMBER(MATCH(DATEVALUE($A115),'changes1_based on steps'!H$1:H$400,0)),H$2,)</f>
        <v>0</v>
      </c>
      <c r="I115" s="179">
        <f ca="1">IF(ISNUMBER(MATCH(DATEVALUE($A115),'changes1_based on steps'!I$1:I$400,0)),I$2,)</f>
        <v>0</v>
      </c>
      <c r="J115" s="179">
        <f ca="1">IF(ISNUMBER(MATCH(DATEVALUE($A115),'changes1_based on steps'!J$1:J$400,0)),J$2,)</f>
        <v>0</v>
      </c>
      <c r="K115" s="179">
        <f ca="1">IF(ISNUMBER(MATCH(DATEVALUE($A115),'changes1_based on steps'!K$1:K$400,0)),K$2,)</f>
        <v>0</v>
      </c>
      <c r="L115" s="179">
        <f ca="1">IF(ISNUMBER(MATCH(DATEVALUE($A115),'changes1_based on steps'!L$1:L$400,0)),L$2,)</f>
        <v>0</v>
      </c>
      <c r="M115" s="179">
        <f ca="1">IF(ISNUMBER(MATCH(DATEVALUE($A115),'changes1_based on steps'!M$1:M$400,0)),M$2,)</f>
        <v>0</v>
      </c>
      <c r="N115" s="179">
        <f ca="1">IF(ISNUMBER(MATCH(DATEVALUE($A115),'changes1_based on steps'!N$1:N$400,0)),N$2,)</f>
        <v>0</v>
      </c>
      <c r="O115" s="179">
        <f ca="1">IF(ISNUMBER(MATCH(DATEVALUE($A115),'changes1_based on steps'!O$1:O$400,0)),O$2,)</f>
        <v>0</v>
      </c>
      <c r="P115" s="179">
        <f ca="1">IF(ISNUMBER(MATCH(DATEVALUE($A115),'changes1_based on steps'!P$1:P$400,0)),P$2,)</f>
        <v>0</v>
      </c>
      <c r="Q115" s="179">
        <f ca="1">IF(ISNUMBER(MATCH(DATEVALUE($A115),'changes1_based on steps'!Q$1:Q$400,0)),Q$2,)</f>
        <v>0</v>
      </c>
      <c r="R115" s="179">
        <f ca="1">IF(ISNUMBER(MATCH(DATEVALUE($A115),'changes1_based on steps'!R$1:R$400,0)),R$2,)</f>
        <v>0</v>
      </c>
      <c r="S115" s="179">
        <f ca="1">IF(ISNUMBER(MATCH(DATEVALUE($A115),'changes1_based on steps'!S$1:S$400,0)),S$2,)</f>
        <v>0</v>
      </c>
      <c r="T115" s="179">
        <f ca="1">IF(ISNUMBER(MATCH(DATEVALUE($A115),'changes1_based on steps'!T$1:T$400,0)),T$2,)</f>
        <v>0</v>
      </c>
      <c r="U115" s="179">
        <f ca="1">IF(ISNUMBER(MATCH(DATEVALUE($A115),'changes1_based on steps'!U$1:U$400,0)),U$2,)</f>
        <v>0</v>
      </c>
      <c r="V115" s="179"/>
      <c r="W115" s="179"/>
      <c r="X115" s="179"/>
      <c r="Y115" s="179"/>
      <c r="Z115" s="179"/>
      <c r="AA115" s="179"/>
      <c r="AB115" s="179"/>
      <c r="AC115" s="179"/>
      <c r="AD115" s="179"/>
      <c r="AE115" s="179"/>
      <c r="AF115" s="179"/>
      <c r="AG115" s="179"/>
      <c r="AH115" s="179"/>
      <c r="AI115" s="179"/>
      <c r="AJ115" s="179"/>
      <c r="AK115" s="179"/>
      <c r="AL115" s="179"/>
      <c r="AM115" s="179"/>
      <c r="AN115" s="179"/>
      <c r="AO115" s="179"/>
      <c r="AP115" s="179"/>
      <c r="AQ115" s="179"/>
      <c r="AR115" s="179"/>
      <c r="AS115" s="179"/>
      <c r="AT115" s="179"/>
      <c r="AU115" s="179"/>
      <c r="AV115" s="179"/>
      <c r="AW115" s="179"/>
      <c r="AX115" s="179"/>
      <c r="AY115" s="179"/>
      <c r="AZ115" s="179"/>
      <c r="BA115" s="179"/>
      <c r="BB115" s="179"/>
      <c r="BC115" s="179"/>
      <c r="BD115" s="179"/>
      <c r="BE115" s="179"/>
      <c r="BF115" s="179"/>
      <c r="BG115" s="179"/>
      <c r="BH115" s="179"/>
      <c r="BI115" s="179"/>
      <c r="BJ115" s="179"/>
      <c r="BK115" s="179"/>
      <c r="BL115" s="179"/>
      <c r="BM115" s="179"/>
      <c r="BN115" s="179"/>
      <c r="BO115" s="179"/>
      <c r="BP115" s="179"/>
      <c r="BQ115" s="179"/>
      <c r="BR115" s="179"/>
      <c r="BS115" s="179"/>
      <c r="BT115" s="179"/>
      <c r="BU115" s="179"/>
      <c r="BV115" s="179"/>
      <c r="BW115" s="179"/>
      <c r="BX115" s="179"/>
      <c r="BY115" s="179"/>
      <c r="BZ115" s="179"/>
      <c r="CA115" s="179"/>
      <c r="CB115" s="179"/>
      <c r="CC115" s="179"/>
      <c r="CD115" s="179"/>
      <c r="CE115" s="179"/>
      <c r="CF115" s="179"/>
      <c r="CG115" s="179"/>
      <c r="CH115" s="179"/>
      <c r="CI115" s="179"/>
      <c r="CJ115" s="179"/>
      <c r="CK115" s="179"/>
      <c r="CL115" s="179"/>
      <c r="CM115" s="179"/>
      <c r="CN115" s="179"/>
      <c r="CO115" s="179"/>
      <c r="CP115" s="179"/>
      <c r="CQ115" s="179"/>
      <c r="CR115" s="179"/>
      <c r="CS115" s="179"/>
      <c r="CT115" s="179"/>
      <c r="CU115" s="179"/>
      <c r="CV115" s="179"/>
      <c r="CW115" s="179"/>
    </row>
    <row r="116" spans="1:101" x14ac:dyDescent="0.2">
      <c r="A116" s="32" t="str">
        <f t="shared" ca="1" si="1"/>
        <v>2025-07-27</v>
      </c>
      <c r="B116" s="179">
        <f ca="1">IF(ISNUMBER(MATCH(DATEVALUE($A116),'changes1_based on steps'!B$1:B$400,0)),B$2,)</f>
        <v>0</v>
      </c>
      <c r="C116" s="179">
        <f ca="1">IF(ISNUMBER(MATCH(DATEVALUE($A116),'changes1_based on steps'!C$1:C$400,0)),C$2,)</f>
        <v>0</v>
      </c>
      <c r="D116" s="179">
        <f ca="1">IF(ISNUMBER(MATCH(DATEVALUE($A116),'changes1_based on steps'!D$1:D$400,0)),D$2,)</f>
        <v>0</v>
      </c>
      <c r="E116" s="179">
        <f ca="1">IF(ISNUMBER(MATCH(DATEVALUE($A116),'changes1_based on steps'!E$1:E$400,0)),E$2,)</f>
        <v>0</v>
      </c>
      <c r="F116" s="179">
        <f ca="1">IF(ISNUMBER(MATCH(DATEVALUE($A116),'changes1_based on steps'!F$1:F$400,0)),F$2,)</f>
        <v>0</v>
      </c>
      <c r="G116" s="179">
        <f ca="1">IF(ISNUMBER(MATCH(DATEVALUE($A116),'changes1_based on steps'!G$1:G$400,0)),G$2,)</f>
        <v>0</v>
      </c>
      <c r="H116" s="179">
        <f ca="1">IF(ISNUMBER(MATCH(DATEVALUE($A116),'changes1_based on steps'!H$1:H$400,0)),H$2,)</f>
        <v>0</v>
      </c>
      <c r="I116" s="179">
        <f ca="1">IF(ISNUMBER(MATCH(DATEVALUE($A116),'changes1_based on steps'!I$1:I$400,0)),I$2,)</f>
        <v>0</v>
      </c>
      <c r="J116" s="179">
        <f ca="1">IF(ISNUMBER(MATCH(DATEVALUE($A116),'changes1_based on steps'!J$1:J$400,0)),J$2,)</f>
        <v>0</v>
      </c>
      <c r="K116" s="179">
        <f ca="1">IF(ISNUMBER(MATCH(DATEVALUE($A116),'changes1_based on steps'!K$1:K$400,0)),K$2,)</f>
        <v>0</v>
      </c>
      <c r="L116" s="179">
        <f ca="1">IF(ISNUMBER(MATCH(DATEVALUE($A116),'changes1_based on steps'!L$1:L$400,0)),L$2,)</f>
        <v>0</v>
      </c>
      <c r="M116" s="179">
        <f ca="1">IF(ISNUMBER(MATCH(DATEVALUE($A116),'changes1_based on steps'!M$1:M$400,0)),M$2,)</f>
        <v>0</v>
      </c>
      <c r="N116" s="179">
        <f ca="1">IF(ISNUMBER(MATCH(DATEVALUE($A116),'changes1_based on steps'!N$1:N$400,0)),N$2,)</f>
        <v>0</v>
      </c>
      <c r="O116" s="179">
        <f ca="1">IF(ISNUMBER(MATCH(DATEVALUE($A116),'changes1_based on steps'!O$1:O$400,0)),O$2,)</f>
        <v>0</v>
      </c>
      <c r="P116" s="179">
        <f ca="1">IF(ISNUMBER(MATCH(DATEVALUE($A116),'changes1_based on steps'!P$1:P$400,0)),P$2,)</f>
        <v>0</v>
      </c>
      <c r="Q116" s="179">
        <f ca="1">IF(ISNUMBER(MATCH(DATEVALUE($A116),'changes1_based on steps'!Q$1:Q$400,0)),Q$2,)</f>
        <v>0</v>
      </c>
      <c r="R116" s="179">
        <f ca="1">IF(ISNUMBER(MATCH(DATEVALUE($A116),'changes1_based on steps'!R$1:R$400,0)),R$2,)</f>
        <v>0</v>
      </c>
      <c r="S116" s="179">
        <f ca="1">IF(ISNUMBER(MATCH(DATEVALUE($A116),'changes1_based on steps'!S$1:S$400,0)),S$2,)</f>
        <v>0</v>
      </c>
      <c r="T116" s="179">
        <f ca="1">IF(ISNUMBER(MATCH(DATEVALUE($A116),'changes1_based on steps'!T$1:T$400,0)),T$2,)</f>
        <v>0</v>
      </c>
      <c r="U116" s="179">
        <f ca="1">IF(ISNUMBER(MATCH(DATEVALUE($A116),'changes1_based on steps'!U$1:U$400,0)),U$2,)</f>
        <v>0</v>
      </c>
      <c r="V116" s="179"/>
      <c r="W116" s="179"/>
      <c r="X116" s="179"/>
      <c r="Y116" s="179"/>
      <c r="Z116" s="179"/>
      <c r="AA116" s="179"/>
      <c r="AB116" s="179"/>
      <c r="AC116" s="179"/>
      <c r="AD116" s="179"/>
      <c r="AE116" s="179"/>
      <c r="AF116" s="179"/>
      <c r="AG116" s="179"/>
      <c r="AH116" s="179"/>
      <c r="AI116" s="179"/>
      <c r="AJ116" s="179"/>
      <c r="AK116" s="179"/>
      <c r="AL116" s="179"/>
      <c r="AM116" s="179"/>
      <c r="AN116" s="179"/>
      <c r="AO116" s="179"/>
      <c r="AP116" s="179"/>
      <c r="AQ116" s="179"/>
      <c r="AR116" s="179"/>
      <c r="AS116" s="179"/>
      <c r="AT116" s="179"/>
      <c r="AU116" s="179"/>
      <c r="AV116" s="179"/>
      <c r="AW116" s="179"/>
      <c r="AX116" s="179"/>
      <c r="AY116" s="179"/>
      <c r="AZ116" s="179"/>
      <c r="BA116" s="179"/>
      <c r="BB116" s="179"/>
      <c r="BC116" s="179"/>
      <c r="BD116" s="179"/>
      <c r="BE116" s="179"/>
      <c r="BF116" s="179"/>
      <c r="BG116" s="179"/>
      <c r="BH116" s="179"/>
      <c r="BI116" s="179"/>
      <c r="BJ116" s="179"/>
      <c r="BK116" s="179"/>
      <c r="BL116" s="179"/>
      <c r="BM116" s="179"/>
      <c r="BN116" s="179"/>
      <c r="BO116" s="179"/>
      <c r="BP116" s="179"/>
      <c r="BQ116" s="179"/>
      <c r="BR116" s="179"/>
      <c r="BS116" s="179"/>
      <c r="BT116" s="179"/>
      <c r="BU116" s="179"/>
      <c r="BV116" s="179"/>
      <c r="BW116" s="179"/>
      <c r="BX116" s="179"/>
      <c r="BY116" s="179"/>
      <c r="BZ116" s="179"/>
      <c r="CA116" s="179"/>
      <c r="CB116" s="179"/>
      <c r="CC116" s="179"/>
      <c r="CD116" s="179"/>
      <c r="CE116" s="179"/>
      <c r="CF116" s="179"/>
      <c r="CG116" s="179"/>
      <c r="CH116" s="179"/>
      <c r="CI116" s="179"/>
      <c r="CJ116" s="179"/>
      <c r="CK116" s="179"/>
      <c r="CL116" s="179"/>
      <c r="CM116" s="179"/>
      <c r="CN116" s="179"/>
      <c r="CO116" s="179"/>
      <c r="CP116" s="179"/>
      <c r="CQ116" s="179"/>
      <c r="CR116" s="179"/>
      <c r="CS116" s="179"/>
      <c r="CT116" s="179"/>
      <c r="CU116" s="179"/>
      <c r="CV116" s="179"/>
      <c r="CW116" s="179"/>
    </row>
    <row r="117" spans="1:101" x14ac:dyDescent="0.2">
      <c r="A117" s="32" t="str">
        <f t="shared" ca="1" si="1"/>
        <v>2025-07-28</v>
      </c>
      <c r="B117" s="179">
        <f ca="1">IF(ISNUMBER(MATCH(DATEVALUE($A117),'changes1_based on steps'!B$1:B$400,0)),B$2,)</f>
        <v>0</v>
      </c>
      <c r="C117" s="179">
        <f ca="1">IF(ISNUMBER(MATCH(DATEVALUE($A117),'changes1_based on steps'!C$1:C$400,0)),C$2,)</f>
        <v>0</v>
      </c>
      <c r="D117" s="179">
        <f ca="1">IF(ISNUMBER(MATCH(DATEVALUE($A117),'changes1_based on steps'!D$1:D$400,0)),D$2,)</f>
        <v>0</v>
      </c>
      <c r="E117" s="179">
        <f ca="1">IF(ISNUMBER(MATCH(DATEVALUE($A117),'changes1_based on steps'!E$1:E$400,0)),E$2,)</f>
        <v>0</v>
      </c>
      <c r="F117" s="179">
        <f ca="1">IF(ISNUMBER(MATCH(DATEVALUE($A117),'changes1_based on steps'!F$1:F$400,0)),F$2,)</f>
        <v>0</v>
      </c>
      <c r="G117" s="179">
        <f ca="1">IF(ISNUMBER(MATCH(DATEVALUE($A117),'changes1_based on steps'!G$1:G$400,0)),G$2,)</f>
        <v>0</v>
      </c>
      <c r="H117" s="179">
        <f ca="1">IF(ISNUMBER(MATCH(DATEVALUE($A117),'changes1_based on steps'!H$1:H$400,0)),H$2,)</f>
        <v>0</v>
      </c>
      <c r="I117" s="179">
        <f ca="1">IF(ISNUMBER(MATCH(DATEVALUE($A117),'changes1_based on steps'!I$1:I$400,0)),I$2,)</f>
        <v>0</v>
      </c>
      <c r="J117" s="179">
        <f ca="1">IF(ISNUMBER(MATCH(DATEVALUE($A117),'changes1_based on steps'!J$1:J$400,0)),J$2,)</f>
        <v>0</v>
      </c>
      <c r="K117" s="179">
        <f ca="1">IF(ISNUMBER(MATCH(DATEVALUE($A117),'changes1_based on steps'!K$1:K$400,0)),K$2,)</f>
        <v>0</v>
      </c>
      <c r="L117" s="179">
        <f ca="1">IF(ISNUMBER(MATCH(DATEVALUE($A117),'changes1_based on steps'!L$1:L$400,0)),L$2,)</f>
        <v>0</v>
      </c>
      <c r="M117" s="179">
        <f ca="1">IF(ISNUMBER(MATCH(DATEVALUE($A117),'changes1_based on steps'!M$1:M$400,0)),M$2,)</f>
        <v>0</v>
      </c>
      <c r="N117" s="179">
        <f ca="1">IF(ISNUMBER(MATCH(DATEVALUE($A117),'changes1_based on steps'!N$1:N$400,0)),N$2,)</f>
        <v>0</v>
      </c>
      <c r="O117" s="179">
        <f ca="1">IF(ISNUMBER(MATCH(DATEVALUE($A117),'changes1_based on steps'!O$1:O$400,0)),O$2,)</f>
        <v>0</v>
      </c>
      <c r="P117" s="179">
        <f ca="1">IF(ISNUMBER(MATCH(DATEVALUE($A117),'changes1_based on steps'!P$1:P$400,0)),P$2,)</f>
        <v>0</v>
      </c>
      <c r="Q117" s="179">
        <f ca="1">IF(ISNUMBER(MATCH(DATEVALUE($A117),'changes1_based on steps'!Q$1:Q$400,0)),Q$2,)</f>
        <v>0</v>
      </c>
      <c r="R117" s="179">
        <f ca="1">IF(ISNUMBER(MATCH(DATEVALUE($A117),'changes1_based on steps'!R$1:R$400,0)),R$2,)</f>
        <v>0</v>
      </c>
      <c r="S117" s="179">
        <f ca="1">IF(ISNUMBER(MATCH(DATEVALUE($A117),'changes1_based on steps'!S$1:S$400,0)),S$2,)</f>
        <v>0</v>
      </c>
      <c r="T117" s="179">
        <f ca="1">IF(ISNUMBER(MATCH(DATEVALUE($A117),'changes1_based on steps'!T$1:T$400,0)),T$2,)</f>
        <v>0</v>
      </c>
      <c r="U117" s="179">
        <f ca="1">IF(ISNUMBER(MATCH(DATEVALUE($A117),'changes1_based on steps'!U$1:U$400,0)),U$2,)</f>
        <v>0</v>
      </c>
      <c r="V117" s="179"/>
      <c r="W117" s="179"/>
      <c r="X117" s="179"/>
      <c r="Y117" s="179"/>
      <c r="Z117" s="179"/>
      <c r="AA117" s="179"/>
      <c r="AB117" s="179"/>
      <c r="AC117" s="179"/>
      <c r="AD117" s="179"/>
      <c r="AE117" s="179"/>
      <c r="AF117" s="179"/>
      <c r="AG117" s="179"/>
      <c r="AH117" s="179"/>
      <c r="AI117" s="179"/>
      <c r="AJ117" s="179"/>
      <c r="AK117" s="179"/>
      <c r="AL117" s="179"/>
      <c r="AM117" s="179"/>
      <c r="AN117" s="179"/>
      <c r="AO117" s="179"/>
      <c r="AP117" s="179"/>
      <c r="AQ117" s="179"/>
      <c r="AR117" s="179"/>
      <c r="AS117" s="179"/>
      <c r="AT117" s="179"/>
      <c r="AU117" s="179"/>
      <c r="AV117" s="179"/>
      <c r="AW117" s="179"/>
      <c r="AX117" s="179"/>
      <c r="AY117" s="179"/>
      <c r="AZ117" s="179"/>
      <c r="BA117" s="179"/>
      <c r="BB117" s="179"/>
      <c r="BC117" s="179"/>
      <c r="BD117" s="179"/>
      <c r="BE117" s="179"/>
      <c r="BF117" s="179"/>
      <c r="BG117" s="179"/>
      <c r="BH117" s="179"/>
      <c r="BI117" s="179"/>
      <c r="BJ117" s="179"/>
      <c r="BK117" s="179"/>
      <c r="BL117" s="179"/>
      <c r="BM117" s="179"/>
      <c r="BN117" s="179"/>
      <c r="BO117" s="179"/>
      <c r="BP117" s="179"/>
      <c r="BQ117" s="179"/>
      <c r="BR117" s="179"/>
      <c r="BS117" s="179"/>
      <c r="BT117" s="179"/>
      <c r="BU117" s="179"/>
      <c r="BV117" s="179"/>
      <c r="BW117" s="179"/>
      <c r="BX117" s="179"/>
      <c r="BY117" s="179"/>
      <c r="BZ117" s="179"/>
      <c r="CA117" s="179"/>
      <c r="CB117" s="179"/>
      <c r="CC117" s="179"/>
      <c r="CD117" s="179"/>
      <c r="CE117" s="179"/>
      <c r="CF117" s="179"/>
      <c r="CG117" s="179"/>
      <c r="CH117" s="179"/>
      <c r="CI117" s="179"/>
      <c r="CJ117" s="179"/>
      <c r="CK117" s="179"/>
      <c r="CL117" s="179"/>
      <c r="CM117" s="179"/>
      <c r="CN117" s="179"/>
      <c r="CO117" s="179"/>
      <c r="CP117" s="179"/>
      <c r="CQ117" s="179"/>
      <c r="CR117" s="179"/>
      <c r="CS117" s="179"/>
      <c r="CT117" s="179"/>
      <c r="CU117" s="179"/>
      <c r="CV117" s="179"/>
      <c r="CW117" s="179"/>
    </row>
    <row r="118" spans="1:101" x14ac:dyDescent="0.2">
      <c r="A118" s="32" t="str">
        <f t="shared" ca="1" si="1"/>
        <v>2025-07-29</v>
      </c>
      <c r="B118" s="179">
        <f ca="1">IF(ISNUMBER(MATCH(DATEVALUE($A118),'changes1_based on steps'!B$1:B$400,0)),B$2,)</f>
        <v>0</v>
      </c>
      <c r="C118" s="179">
        <f ca="1">IF(ISNUMBER(MATCH(DATEVALUE($A118),'changes1_based on steps'!C$1:C$400,0)),C$2,)</f>
        <v>0</v>
      </c>
      <c r="D118" s="179">
        <f ca="1">IF(ISNUMBER(MATCH(DATEVALUE($A118),'changes1_based on steps'!D$1:D$400,0)),D$2,)</f>
        <v>0</v>
      </c>
      <c r="E118" s="179">
        <f ca="1">IF(ISNUMBER(MATCH(DATEVALUE($A118),'changes1_based on steps'!E$1:E$400,0)),E$2,)</f>
        <v>0</v>
      </c>
      <c r="F118" s="179">
        <f ca="1">IF(ISNUMBER(MATCH(DATEVALUE($A118),'changes1_based on steps'!F$1:F$400,0)),F$2,)</f>
        <v>0</v>
      </c>
      <c r="G118" s="179">
        <f ca="1">IF(ISNUMBER(MATCH(DATEVALUE($A118),'changes1_based on steps'!G$1:G$400,0)),G$2,)</f>
        <v>0</v>
      </c>
      <c r="H118" s="179">
        <f ca="1">IF(ISNUMBER(MATCH(DATEVALUE($A118),'changes1_based on steps'!H$1:H$400,0)),H$2,)</f>
        <v>0</v>
      </c>
      <c r="I118" s="179">
        <f ca="1">IF(ISNUMBER(MATCH(DATEVALUE($A118),'changes1_based on steps'!I$1:I$400,0)),I$2,)</f>
        <v>0</v>
      </c>
      <c r="J118" s="179">
        <f ca="1">IF(ISNUMBER(MATCH(DATEVALUE($A118),'changes1_based on steps'!J$1:J$400,0)),J$2,)</f>
        <v>0</v>
      </c>
      <c r="K118" s="179">
        <f ca="1">IF(ISNUMBER(MATCH(DATEVALUE($A118),'changes1_based on steps'!K$1:K$400,0)),K$2,)</f>
        <v>0</v>
      </c>
      <c r="L118" s="179">
        <f ca="1">IF(ISNUMBER(MATCH(DATEVALUE($A118),'changes1_based on steps'!L$1:L$400,0)),L$2,)</f>
        <v>0</v>
      </c>
      <c r="M118" s="179">
        <f ca="1">IF(ISNUMBER(MATCH(DATEVALUE($A118),'changes1_based on steps'!M$1:M$400,0)),M$2,)</f>
        <v>0</v>
      </c>
      <c r="N118" s="179">
        <f ca="1">IF(ISNUMBER(MATCH(DATEVALUE($A118),'changes1_based on steps'!N$1:N$400,0)),N$2,)</f>
        <v>0</v>
      </c>
      <c r="O118" s="179">
        <f ca="1">IF(ISNUMBER(MATCH(DATEVALUE($A118),'changes1_based on steps'!O$1:O$400,0)),O$2,)</f>
        <v>0</v>
      </c>
      <c r="P118" s="179">
        <f ca="1">IF(ISNUMBER(MATCH(DATEVALUE($A118),'changes1_based on steps'!P$1:P$400,0)),P$2,)</f>
        <v>0</v>
      </c>
      <c r="Q118" s="179">
        <f ca="1">IF(ISNUMBER(MATCH(DATEVALUE($A118),'changes1_based on steps'!Q$1:Q$400,0)),Q$2,)</f>
        <v>0</v>
      </c>
      <c r="R118" s="179">
        <f ca="1">IF(ISNUMBER(MATCH(DATEVALUE($A118),'changes1_based on steps'!R$1:R$400,0)),R$2,)</f>
        <v>0</v>
      </c>
      <c r="S118" s="179">
        <f ca="1">IF(ISNUMBER(MATCH(DATEVALUE($A118),'changes1_based on steps'!S$1:S$400,0)),S$2,)</f>
        <v>0</v>
      </c>
      <c r="T118" s="179">
        <f ca="1">IF(ISNUMBER(MATCH(DATEVALUE($A118),'changes1_based on steps'!T$1:T$400,0)),T$2,)</f>
        <v>0</v>
      </c>
      <c r="U118" s="179">
        <f ca="1">IF(ISNUMBER(MATCH(DATEVALUE($A118),'changes1_based on steps'!U$1:U$400,0)),U$2,)</f>
        <v>0</v>
      </c>
      <c r="V118" s="179"/>
      <c r="W118" s="179"/>
      <c r="X118" s="179"/>
      <c r="Y118" s="179"/>
      <c r="Z118" s="179"/>
      <c r="AA118" s="179"/>
      <c r="AB118" s="179"/>
      <c r="AC118" s="179"/>
      <c r="AD118" s="179"/>
      <c r="AE118" s="179"/>
      <c r="AF118" s="179"/>
      <c r="AG118" s="179"/>
      <c r="AH118" s="179"/>
      <c r="AI118" s="179"/>
      <c r="AJ118" s="179"/>
      <c r="AK118" s="179"/>
      <c r="AL118" s="179"/>
      <c r="AM118" s="179"/>
      <c r="AN118" s="179"/>
      <c r="AO118" s="179"/>
      <c r="AP118" s="179"/>
      <c r="AQ118" s="179"/>
      <c r="AR118" s="179"/>
      <c r="AS118" s="179"/>
      <c r="AT118" s="179"/>
      <c r="AU118" s="179"/>
      <c r="AV118" s="179"/>
      <c r="AW118" s="179"/>
      <c r="AX118" s="179"/>
      <c r="AY118" s="179"/>
      <c r="AZ118" s="179"/>
      <c r="BA118" s="179"/>
      <c r="BB118" s="179"/>
      <c r="BC118" s="179"/>
      <c r="BD118" s="179"/>
      <c r="BE118" s="179"/>
      <c r="BF118" s="179"/>
      <c r="BG118" s="179"/>
      <c r="BH118" s="179"/>
      <c r="BI118" s="179"/>
      <c r="BJ118" s="179"/>
      <c r="BK118" s="179"/>
      <c r="BL118" s="179"/>
      <c r="BM118" s="179"/>
      <c r="BN118" s="179"/>
      <c r="BO118" s="179"/>
      <c r="BP118" s="179"/>
      <c r="BQ118" s="179"/>
      <c r="BR118" s="179"/>
      <c r="BS118" s="179"/>
      <c r="BT118" s="179"/>
      <c r="BU118" s="179"/>
      <c r="BV118" s="179"/>
      <c r="BW118" s="179"/>
      <c r="BX118" s="179"/>
      <c r="BY118" s="179"/>
      <c r="BZ118" s="179"/>
      <c r="CA118" s="179"/>
      <c r="CB118" s="179"/>
      <c r="CC118" s="179"/>
      <c r="CD118" s="179"/>
      <c r="CE118" s="179"/>
      <c r="CF118" s="179"/>
      <c r="CG118" s="179"/>
      <c r="CH118" s="179"/>
      <c r="CI118" s="179"/>
      <c r="CJ118" s="179"/>
      <c r="CK118" s="179"/>
      <c r="CL118" s="179"/>
      <c r="CM118" s="179"/>
      <c r="CN118" s="179"/>
      <c r="CO118" s="179"/>
      <c r="CP118" s="179"/>
      <c r="CQ118" s="179"/>
      <c r="CR118" s="179"/>
      <c r="CS118" s="179"/>
      <c r="CT118" s="179"/>
      <c r="CU118" s="179"/>
      <c r="CV118" s="179"/>
      <c r="CW118" s="179"/>
    </row>
    <row r="119" spans="1:101" x14ac:dyDescent="0.2">
      <c r="A119" s="32" t="str">
        <f t="shared" ca="1" si="1"/>
        <v>2025-07-30</v>
      </c>
      <c r="B119" s="179">
        <f ca="1">IF(ISNUMBER(MATCH(DATEVALUE($A119),'changes1_based on steps'!B$1:B$400,0)),B$2,)</f>
        <v>0</v>
      </c>
      <c r="C119" s="179">
        <f ca="1">IF(ISNUMBER(MATCH(DATEVALUE($A119),'changes1_based on steps'!C$1:C$400,0)),C$2,)</f>
        <v>0</v>
      </c>
      <c r="D119" s="179">
        <f ca="1">IF(ISNUMBER(MATCH(DATEVALUE($A119),'changes1_based on steps'!D$1:D$400,0)),D$2,)</f>
        <v>0</v>
      </c>
      <c r="E119" s="179">
        <f ca="1">IF(ISNUMBER(MATCH(DATEVALUE($A119),'changes1_based on steps'!E$1:E$400,0)),E$2,)</f>
        <v>0</v>
      </c>
      <c r="F119" s="179">
        <f ca="1">IF(ISNUMBER(MATCH(DATEVALUE($A119),'changes1_based on steps'!F$1:F$400,0)),F$2,)</f>
        <v>0</v>
      </c>
      <c r="G119" s="179">
        <f ca="1">IF(ISNUMBER(MATCH(DATEVALUE($A119),'changes1_based on steps'!G$1:G$400,0)),G$2,)</f>
        <v>0</v>
      </c>
      <c r="H119" s="179">
        <f ca="1">IF(ISNUMBER(MATCH(DATEVALUE($A119),'changes1_based on steps'!H$1:H$400,0)),H$2,)</f>
        <v>0</v>
      </c>
      <c r="I119" s="179">
        <f ca="1">IF(ISNUMBER(MATCH(DATEVALUE($A119),'changes1_based on steps'!I$1:I$400,0)),I$2,)</f>
        <v>0</v>
      </c>
      <c r="J119" s="179">
        <f ca="1">IF(ISNUMBER(MATCH(DATEVALUE($A119),'changes1_based on steps'!J$1:J$400,0)),J$2,)</f>
        <v>0</v>
      </c>
      <c r="K119" s="179">
        <f ca="1">IF(ISNUMBER(MATCH(DATEVALUE($A119),'changes1_based on steps'!K$1:K$400,0)),K$2,)</f>
        <v>0</v>
      </c>
      <c r="L119" s="179">
        <f ca="1">IF(ISNUMBER(MATCH(DATEVALUE($A119),'changes1_based on steps'!L$1:L$400,0)),L$2,)</f>
        <v>0</v>
      </c>
      <c r="M119" s="179">
        <f ca="1">IF(ISNUMBER(MATCH(DATEVALUE($A119),'changes1_based on steps'!M$1:M$400,0)),M$2,)</f>
        <v>0</v>
      </c>
      <c r="N119" s="179">
        <f ca="1">IF(ISNUMBER(MATCH(DATEVALUE($A119),'changes1_based on steps'!N$1:N$400,0)),N$2,)</f>
        <v>0</v>
      </c>
      <c r="O119" s="179">
        <f ca="1">IF(ISNUMBER(MATCH(DATEVALUE($A119),'changes1_based on steps'!O$1:O$400,0)),O$2,)</f>
        <v>0</v>
      </c>
      <c r="P119" s="179">
        <f ca="1">IF(ISNUMBER(MATCH(DATEVALUE($A119),'changes1_based on steps'!P$1:P$400,0)),P$2,)</f>
        <v>0</v>
      </c>
      <c r="Q119" s="179">
        <f ca="1">IF(ISNUMBER(MATCH(DATEVALUE($A119),'changes1_based on steps'!Q$1:Q$400,0)),Q$2,)</f>
        <v>0</v>
      </c>
      <c r="R119" s="179">
        <f ca="1">IF(ISNUMBER(MATCH(DATEVALUE($A119),'changes1_based on steps'!R$1:R$400,0)),R$2,)</f>
        <v>0</v>
      </c>
      <c r="S119" s="179">
        <f ca="1">IF(ISNUMBER(MATCH(DATEVALUE($A119),'changes1_based on steps'!S$1:S$400,0)),S$2,)</f>
        <v>0</v>
      </c>
      <c r="T119" s="179">
        <f ca="1">IF(ISNUMBER(MATCH(DATEVALUE($A119),'changes1_based on steps'!T$1:T$400,0)),T$2,)</f>
        <v>0</v>
      </c>
      <c r="U119" s="179">
        <f ca="1">IF(ISNUMBER(MATCH(DATEVALUE($A119),'changes1_based on steps'!U$1:U$400,0)),U$2,)</f>
        <v>0</v>
      </c>
      <c r="V119" s="179"/>
      <c r="W119" s="179"/>
      <c r="X119" s="179"/>
      <c r="Y119" s="179"/>
      <c r="Z119" s="179"/>
      <c r="AA119" s="179"/>
      <c r="AB119" s="179"/>
      <c r="AC119" s="179"/>
      <c r="AD119" s="179"/>
      <c r="AE119" s="179"/>
      <c r="AF119" s="179"/>
      <c r="AG119" s="179"/>
      <c r="AH119" s="179"/>
      <c r="AI119" s="179"/>
      <c r="AJ119" s="179"/>
      <c r="AK119" s="179"/>
      <c r="AL119" s="179"/>
      <c r="AM119" s="179"/>
      <c r="AN119" s="179"/>
      <c r="AO119" s="179"/>
      <c r="AP119" s="179"/>
      <c r="AQ119" s="179"/>
      <c r="AR119" s="179"/>
      <c r="AS119" s="179"/>
      <c r="AT119" s="179"/>
      <c r="AU119" s="179"/>
      <c r="AV119" s="179"/>
      <c r="AW119" s="179"/>
      <c r="AX119" s="179"/>
      <c r="AY119" s="179"/>
      <c r="AZ119" s="179"/>
      <c r="BA119" s="179"/>
      <c r="BB119" s="179"/>
      <c r="BC119" s="179"/>
      <c r="BD119" s="179"/>
      <c r="BE119" s="179"/>
      <c r="BF119" s="179"/>
      <c r="BG119" s="179"/>
      <c r="BH119" s="179"/>
      <c r="BI119" s="179"/>
      <c r="BJ119" s="179"/>
      <c r="BK119" s="179"/>
      <c r="BL119" s="179"/>
      <c r="BM119" s="179"/>
      <c r="BN119" s="179"/>
      <c r="BO119" s="179"/>
      <c r="BP119" s="179"/>
      <c r="BQ119" s="179"/>
      <c r="BR119" s="179"/>
      <c r="BS119" s="179"/>
      <c r="BT119" s="179"/>
      <c r="BU119" s="179"/>
      <c r="BV119" s="179"/>
      <c r="BW119" s="179"/>
      <c r="BX119" s="179"/>
      <c r="BY119" s="179"/>
      <c r="BZ119" s="179"/>
      <c r="CA119" s="179"/>
      <c r="CB119" s="179"/>
      <c r="CC119" s="179"/>
      <c r="CD119" s="179"/>
      <c r="CE119" s="179"/>
      <c r="CF119" s="179"/>
      <c r="CG119" s="179"/>
      <c r="CH119" s="179"/>
      <c r="CI119" s="179"/>
      <c r="CJ119" s="179"/>
      <c r="CK119" s="179"/>
      <c r="CL119" s="179"/>
      <c r="CM119" s="179"/>
      <c r="CN119" s="179"/>
      <c r="CO119" s="179"/>
      <c r="CP119" s="179"/>
      <c r="CQ119" s="179"/>
      <c r="CR119" s="179"/>
      <c r="CS119" s="179"/>
      <c r="CT119" s="179"/>
      <c r="CU119" s="179"/>
      <c r="CV119" s="179"/>
      <c r="CW119" s="179"/>
    </row>
    <row r="120" spans="1:101" x14ac:dyDescent="0.2">
      <c r="A120" s="32" t="str">
        <f t="shared" ca="1" si="1"/>
        <v>2025-07-31</v>
      </c>
      <c r="B120" s="179">
        <f ca="1">IF(ISNUMBER(MATCH(DATEVALUE($A120),'changes1_based on steps'!B$1:B$400,0)),B$2,)</f>
        <v>0</v>
      </c>
      <c r="C120" s="179">
        <f ca="1">IF(ISNUMBER(MATCH(DATEVALUE($A120),'changes1_based on steps'!C$1:C$400,0)),C$2,)</f>
        <v>0</v>
      </c>
      <c r="D120" s="179">
        <f ca="1">IF(ISNUMBER(MATCH(DATEVALUE($A120),'changes1_based on steps'!D$1:D$400,0)),D$2,)</f>
        <v>0</v>
      </c>
      <c r="E120" s="179">
        <f ca="1">IF(ISNUMBER(MATCH(DATEVALUE($A120),'changes1_based on steps'!E$1:E$400,0)),E$2,)</f>
        <v>0</v>
      </c>
      <c r="F120" s="179">
        <f ca="1">IF(ISNUMBER(MATCH(DATEVALUE($A120),'changes1_based on steps'!F$1:F$400,0)),F$2,)</f>
        <v>0</v>
      </c>
      <c r="G120" s="179">
        <f ca="1">IF(ISNUMBER(MATCH(DATEVALUE($A120),'changes1_based on steps'!G$1:G$400,0)),G$2,)</f>
        <v>0</v>
      </c>
      <c r="H120" s="179">
        <f ca="1">IF(ISNUMBER(MATCH(DATEVALUE($A120),'changes1_based on steps'!H$1:H$400,0)),H$2,)</f>
        <v>0</v>
      </c>
      <c r="I120" s="179">
        <f ca="1">IF(ISNUMBER(MATCH(DATEVALUE($A120),'changes1_based on steps'!I$1:I$400,0)),I$2,)</f>
        <v>0</v>
      </c>
      <c r="J120" s="179">
        <f ca="1">IF(ISNUMBER(MATCH(DATEVALUE($A120),'changes1_based on steps'!J$1:J$400,0)),J$2,)</f>
        <v>0</v>
      </c>
      <c r="K120" s="179">
        <f ca="1">IF(ISNUMBER(MATCH(DATEVALUE($A120),'changes1_based on steps'!K$1:K$400,0)),K$2,)</f>
        <v>0</v>
      </c>
      <c r="L120" s="179">
        <f ca="1">IF(ISNUMBER(MATCH(DATEVALUE($A120),'changes1_based on steps'!L$1:L$400,0)),L$2,)</f>
        <v>0</v>
      </c>
      <c r="M120" s="179">
        <f ca="1">IF(ISNUMBER(MATCH(DATEVALUE($A120),'changes1_based on steps'!M$1:M$400,0)),M$2,)</f>
        <v>0</v>
      </c>
      <c r="N120" s="179">
        <f ca="1">IF(ISNUMBER(MATCH(DATEVALUE($A120),'changes1_based on steps'!N$1:N$400,0)),N$2,)</f>
        <v>0</v>
      </c>
      <c r="O120" s="179">
        <f ca="1">IF(ISNUMBER(MATCH(DATEVALUE($A120),'changes1_based on steps'!O$1:O$400,0)),O$2,)</f>
        <v>0</v>
      </c>
      <c r="P120" s="179">
        <f ca="1">IF(ISNUMBER(MATCH(DATEVALUE($A120),'changes1_based on steps'!P$1:P$400,0)),P$2,)</f>
        <v>0</v>
      </c>
      <c r="Q120" s="179">
        <f ca="1">IF(ISNUMBER(MATCH(DATEVALUE($A120),'changes1_based on steps'!Q$1:Q$400,0)),Q$2,)</f>
        <v>0</v>
      </c>
      <c r="R120" s="179">
        <f ca="1">IF(ISNUMBER(MATCH(DATEVALUE($A120),'changes1_based on steps'!R$1:R$400,0)),R$2,)</f>
        <v>0</v>
      </c>
      <c r="S120" s="179">
        <f ca="1">IF(ISNUMBER(MATCH(DATEVALUE($A120),'changes1_based on steps'!S$1:S$400,0)),S$2,)</f>
        <v>0</v>
      </c>
      <c r="T120" s="179">
        <f ca="1">IF(ISNUMBER(MATCH(DATEVALUE($A120),'changes1_based on steps'!T$1:T$400,0)),T$2,)</f>
        <v>0</v>
      </c>
      <c r="U120" s="179">
        <f ca="1">IF(ISNUMBER(MATCH(DATEVALUE($A120),'changes1_based on steps'!U$1:U$400,0)),U$2,)</f>
        <v>0</v>
      </c>
      <c r="V120" s="179"/>
      <c r="W120" s="179"/>
      <c r="X120" s="179"/>
      <c r="Y120" s="179"/>
      <c r="Z120" s="179"/>
      <c r="AA120" s="179"/>
      <c r="AB120" s="179"/>
      <c r="AC120" s="179"/>
      <c r="AD120" s="179"/>
      <c r="AE120" s="179"/>
      <c r="AF120" s="179"/>
      <c r="AG120" s="179"/>
      <c r="AH120" s="179"/>
      <c r="AI120" s="179"/>
      <c r="AJ120" s="179"/>
      <c r="AK120" s="179"/>
      <c r="AL120" s="179"/>
      <c r="AM120" s="179"/>
      <c r="AN120" s="179"/>
      <c r="AO120" s="179"/>
      <c r="AP120" s="179"/>
      <c r="AQ120" s="179"/>
      <c r="AR120" s="179"/>
      <c r="AS120" s="179"/>
      <c r="AT120" s="179"/>
      <c r="AU120" s="179"/>
      <c r="AV120" s="179"/>
      <c r="AW120" s="179"/>
      <c r="AX120" s="179"/>
      <c r="AY120" s="179"/>
      <c r="AZ120" s="179"/>
      <c r="BA120" s="179"/>
      <c r="BB120" s="179"/>
      <c r="BC120" s="179"/>
      <c r="BD120" s="179"/>
      <c r="BE120" s="179"/>
      <c r="BF120" s="179"/>
      <c r="BG120" s="179"/>
      <c r="BH120" s="179"/>
      <c r="BI120" s="179"/>
      <c r="BJ120" s="179"/>
      <c r="BK120" s="179"/>
      <c r="BL120" s="179"/>
      <c r="BM120" s="179"/>
      <c r="BN120" s="179"/>
      <c r="BO120" s="179"/>
      <c r="BP120" s="179"/>
      <c r="BQ120" s="179"/>
      <c r="BR120" s="179"/>
      <c r="BS120" s="179"/>
      <c r="BT120" s="179"/>
      <c r="BU120" s="179"/>
      <c r="BV120" s="179"/>
      <c r="BW120" s="179"/>
      <c r="BX120" s="179"/>
      <c r="BY120" s="179"/>
      <c r="BZ120" s="179"/>
      <c r="CA120" s="179"/>
      <c r="CB120" s="179"/>
      <c r="CC120" s="179"/>
      <c r="CD120" s="179"/>
      <c r="CE120" s="179"/>
      <c r="CF120" s="179"/>
      <c r="CG120" s="179"/>
      <c r="CH120" s="179"/>
      <c r="CI120" s="179"/>
      <c r="CJ120" s="179"/>
      <c r="CK120" s="179"/>
      <c r="CL120" s="179"/>
      <c r="CM120" s="179"/>
      <c r="CN120" s="179"/>
      <c r="CO120" s="179"/>
      <c r="CP120" s="179"/>
      <c r="CQ120" s="179"/>
      <c r="CR120" s="179"/>
      <c r="CS120" s="179"/>
      <c r="CT120" s="179"/>
      <c r="CU120" s="179"/>
      <c r="CV120" s="179"/>
      <c r="CW120" s="179"/>
    </row>
    <row r="121" spans="1:101" x14ac:dyDescent="0.2">
      <c r="A121" s="32" t="str">
        <f t="shared" ca="1" si="1"/>
        <v>2025-08-01</v>
      </c>
      <c r="B121" s="179">
        <f ca="1">IF(ISNUMBER(MATCH(DATEVALUE($A121),'changes1_based on steps'!B$1:B$400,0)),B$2,)</f>
        <v>0</v>
      </c>
      <c r="C121" s="179">
        <f ca="1">IF(ISNUMBER(MATCH(DATEVALUE($A121),'changes1_based on steps'!C$1:C$400,0)),C$2,)</f>
        <v>0</v>
      </c>
      <c r="D121" s="179">
        <f ca="1">IF(ISNUMBER(MATCH(DATEVALUE($A121),'changes1_based on steps'!D$1:D$400,0)),D$2,)</f>
        <v>0</v>
      </c>
      <c r="E121" s="179">
        <f ca="1">IF(ISNUMBER(MATCH(DATEVALUE($A121),'changes1_based on steps'!E$1:E$400,0)),E$2,)</f>
        <v>0</v>
      </c>
      <c r="F121" s="179">
        <f ca="1">IF(ISNUMBER(MATCH(DATEVALUE($A121),'changes1_based on steps'!F$1:F$400,0)),F$2,)</f>
        <v>0</v>
      </c>
      <c r="G121" s="179">
        <f ca="1">IF(ISNUMBER(MATCH(DATEVALUE($A121),'changes1_based on steps'!G$1:G$400,0)),G$2,)</f>
        <v>0</v>
      </c>
      <c r="H121" s="179">
        <f ca="1">IF(ISNUMBER(MATCH(DATEVALUE($A121),'changes1_based on steps'!H$1:H$400,0)),H$2,)</f>
        <v>0</v>
      </c>
      <c r="I121" s="179">
        <f ca="1">IF(ISNUMBER(MATCH(DATEVALUE($A121),'changes1_based on steps'!I$1:I$400,0)),I$2,)</f>
        <v>0</v>
      </c>
      <c r="J121" s="179">
        <f ca="1">IF(ISNUMBER(MATCH(DATEVALUE($A121),'changes1_based on steps'!J$1:J$400,0)),J$2,)</f>
        <v>0</v>
      </c>
      <c r="K121" s="179">
        <f ca="1">IF(ISNUMBER(MATCH(DATEVALUE($A121),'changes1_based on steps'!K$1:K$400,0)),K$2,)</f>
        <v>0</v>
      </c>
      <c r="L121" s="179">
        <f ca="1">IF(ISNUMBER(MATCH(DATEVALUE($A121),'changes1_based on steps'!L$1:L$400,0)),L$2,)</f>
        <v>0</v>
      </c>
      <c r="M121" s="179">
        <f ca="1">IF(ISNUMBER(MATCH(DATEVALUE($A121),'changes1_based on steps'!M$1:M$400,0)),M$2,)</f>
        <v>0</v>
      </c>
      <c r="N121" s="179">
        <f ca="1">IF(ISNUMBER(MATCH(DATEVALUE($A121),'changes1_based on steps'!N$1:N$400,0)),N$2,)</f>
        <v>0</v>
      </c>
      <c r="O121" s="179">
        <f ca="1">IF(ISNUMBER(MATCH(DATEVALUE($A121),'changes1_based on steps'!O$1:O$400,0)),O$2,)</f>
        <v>0</v>
      </c>
      <c r="P121" s="179">
        <f ca="1">IF(ISNUMBER(MATCH(DATEVALUE($A121),'changes1_based on steps'!P$1:P$400,0)),P$2,)</f>
        <v>0</v>
      </c>
      <c r="Q121" s="179">
        <f ca="1">IF(ISNUMBER(MATCH(DATEVALUE($A121),'changes1_based on steps'!Q$1:Q$400,0)),Q$2,)</f>
        <v>0</v>
      </c>
      <c r="R121" s="179">
        <f ca="1">IF(ISNUMBER(MATCH(DATEVALUE($A121),'changes1_based on steps'!R$1:R$400,0)),R$2,)</f>
        <v>0</v>
      </c>
      <c r="S121" s="179">
        <f ca="1">IF(ISNUMBER(MATCH(DATEVALUE($A121),'changes1_based on steps'!S$1:S$400,0)),S$2,)</f>
        <v>0</v>
      </c>
      <c r="T121" s="179">
        <f ca="1">IF(ISNUMBER(MATCH(DATEVALUE($A121),'changes1_based on steps'!T$1:T$400,0)),T$2,)</f>
        <v>0</v>
      </c>
      <c r="U121" s="179">
        <f ca="1">IF(ISNUMBER(MATCH(DATEVALUE($A121),'changes1_based on steps'!U$1:U$400,0)),U$2,)</f>
        <v>0</v>
      </c>
      <c r="V121" s="179"/>
      <c r="W121" s="179"/>
      <c r="X121" s="179"/>
      <c r="Y121" s="179"/>
      <c r="Z121" s="179"/>
      <c r="AA121" s="179"/>
      <c r="AB121" s="179"/>
      <c r="AC121" s="179"/>
      <c r="AD121" s="179"/>
      <c r="AE121" s="179"/>
      <c r="AF121" s="179"/>
      <c r="AG121" s="179"/>
      <c r="AH121" s="179"/>
      <c r="AI121" s="179"/>
      <c r="AJ121" s="179"/>
      <c r="AK121" s="179"/>
      <c r="AL121" s="179"/>
      <c r="AM121" s="179"/>
      <c r="AN121" s="179"/>
      <c r="AO121" s="179"/>
      <c r="AP121" s="179"/>
      <c r="AQ121" s="179"/>
      <c r="AR121" s="179"/>
      <c r="AS121" s="179"/>
      <c r="AT121" s="179"/>
      <c r="AU121" s="179"/>
      <c r="AV121" s="179"/>
      <c r="AW121" s="179"/>
      <c r="AX121" s="179"/>
      <c r="AY121" s="179"/>
      <c r="AZ121" s="179"/>
      <c r="BA121" s="179"/>
      <c r="BB121" s="179"/>
      <c r="BC121" s="179"/>
      <c r="BD121" s="179"/>
      <c r="BE121" s="179"/>
      <c r="BF121" s="179"/>
      <c r="BG121" s="179"/>
      <c r="BH121" s="179"/>
      <c r="BI121" s="179"/>
      <c r="BJ121" s="179"/>
      <c r="BK121" s="179"/>
      <c r="BL121" s="179"/>
      <c r="BM121" s="179"/>
      <c r="BN121" s="179"/>
      <c r="BO121" s="179"/>
      <c r="BP121" s="179"/>
      <c r="BQ121" s="179"/>
      <c r="BR121" s="179"/>
      <c r="BS121" s="179"/>
      <c r="BT121" s="179"/>
      <c r="BU121" s="179"/>
      <c r="BV121" s="179"/>
      <c r="BW121" s="179"/>
      <c r="BX121" s="179"/>
      <c r="BY121" s="179"/>
      <c r="BZ121" s="179"/>
      <c r="CA121" s="179"/>
      <c r="CB121" s="179"/>
      <c r="CC121" s="179"/>
      <c r="CD121" s="179"/>
      <c r="CE121" s="179"/>
      <c r="CF121" s="179"/>
      <c r="CG121" s="179"/>
      <c r="CH121" s="179"/>
      <c r="CI121" s="179"/>
      <c r="CJ121" s="179"/>
      <c r="CK121" s="179"/>
      <c r="CL121" s="179"/>
      <c r="CM121" s="179"/>
      <c r="CN121" s="179"/>
      <c r="CO121" s="179"/>
      <c r="CP121" s="179"/>
      <c r="CQ121" s="179"/>
      <c r="CR121" s="179"/>
      <c r="CS121" s="179"/>
      <c r="CT121" s="179"/>
      <c r="CU121" s="179"/>
      <c r="CV121" s="179"/>
      <c r="CW121" s="179"/>
    </row>
    <row r="122" spans="1:101" x14ac:dyDescent="0.2">
      <c r="A122" s="32" t="str">
        <f t="shared" ca="1" si="1"/>
        <v>2025-08-02</v>
      </c>
      <c r="B122" s="179">
        <f ca="1">IF(ISNUMBER(MATCH(DATEVALUE($A122),'changes1_based on steps'!B$1:B$400,0)),B$2,)</f>
        <v>0</v>
      </c>
      <c r="C122" s="179">
        <f ca="1">IF(ISNUMBER(MATCH(DATEVALUE($A122),'changes1_based on steps'!C$1:C$400,0)),C$2,)</f>
        <v>0</v>
      </c>
      <c r="D122" s="179">
        <f ca="1">IF(ISNUMBER(MATCH(DATEVALUE($A122),'changes1_based on steps'!D$1:D$400,0)),D$2,)</f>
        <v>0</v>
      </c>
      <c r="E122" s="179">
        <f ca="1">IF(ISNUMBER(MATCH(DATEVALUE($A122),'changes1_based on steps'!E$1:E$400,0)),E$2,)</f>
        <v>0</v>
      </c>
      <c r="F122" s="179">
        <f ca="1">IF(ISNUMBER(MATCH(DATEVALUE($A122),'changes1_based on steps'!F$1:F$400,0)),F$2,)</f>
        <v>0</v>
      </c>
      <c r="G122" s="179">
        <f ca="1">IF(ISNUMBER(MATCH(DATEVALUE($A122),'changes1_based on steps'!G$1:G$400,0)),G$2,)</f>
        <v>0</v>
      </c>
      <c r="H122" s="179">
        <f ca="1">IF(ISNUMBER(MATCH(DATEVALUE($A122),'changes1_based on steps'!H$1:H$400,0)),H$2,)</f>
        <v>0</v>
      </c>
      <c r="I122" s="179">
        <f ca="1">IF(ISNUMBER(MATCH(DATEVALUE($A122),'changes1_based on steps'!I$1:I$400,0)),I$2,)</f>
        <v>0</v>
      </c>
      <c r="J122" s="179">
        <f ca="1">IF(ISNUMBER(MATCH(DATEVALUE($A122),'changes1_based on steps'!J$1:J$400,0)),J$2,)</f>
        <v>0</v>
      </c>
      <c r="K122" s="179">
        <f ca="1">IF(ISNUMBER(MATCH(DATEVALUE($A122),'changes1_based on steps'!K$1:K$400,0)),K$2,)</f>
        <v>0</v>
      </c>
      <c r="L122" s="179">
        <f ca="1">IF(ISNUMBER(MATCH(DATEVALUE($A122),'changes1_based on steps'!L$1:L$400,0)),L$2,)</f>
        <v>0</v>
      </c>
      <c r="M122" s="179">
        <f ca="1">IF(ISNUMBER(MATCH(DATEVALUE($A122),'changes1_based on steps'!M$1:M$400,0)),M$2,)</f>
        <v>0</v>
      </c>
      <c r="N122" s="179">
        <f ca="1">IF(ISNUMBER(MATCH(DATEVALUE($A122),'changes1_based on steps'!N$1:N$400,0)),N$2,)</f>
        <v>0</v>
      </c>
      <c r="O122" s="179">
        <f ca="1">IF(ISNUMBER(MATCH(DATEVALUE($A122),'changes1_based on steps'!O$1:O$400,0)),O$2,)</f>
        <v>0</v>
      </c>
      <c r="P122" s="179">
        <f ca="1">IF(ISNUMBER(MATCH(DATEVALUE($A122),'changes1_based on steps'!P$1:P$400,0)),P$2,)</f>
        <v>0</v>
      </c>
      <c r="Q122" s="179">
        <f ca="1">IF(ISNUMBER(MATCH(DATEVALUE($A122),'changes1_based on steps'!Q$1:Q$400,0)),Q$2,)</f>
        <v>0</v>
      </c>
      <c r="R122" s="179">
        <f ca="1">IF(ISNUMBER(MATCH(DATEVALUE($A122),'changes1_based on steps'!R$1:R$400,0)),R$2,)</f>
        <v>0</v>
      </c>
      <c r="S122" s="179">
        <f ca="1">IF(ISNUMBER(MATCH(DATEVALUE($A122),'changes1_based on steps'!S$1:S$400,0)),S$2,)</f>
        <v>0</v>
      </c>
      <c r="T122" s="179">
        <f ca="1">IF(ISNUMBER(MATCH(DATEVALUE($A122),'changes1_based on steps'!T$1:T$400,0)),T$2,)</f>
        <v>0</v>
      </c>
      <c r="U122" s="179">
        <f ca="1">IF(ISNUMBER(MATCH(DATEVALUE($A122),'changes1_based on steps'!U$1:U$400,0)),U$2,)</f>
        <v>0</v>
      </c>
      <c r="V122" s="179"/>
      <c r="W122" s="179"/>
      <c r="X122" s="179"/>
      <c r="Y122" s="179"/>
      <c r="Z122" s="179"/>
      <c r="AA122" s="179"/>
      <c r="AB122" s="179"/>
      <c r="AC122" s="179"/>
      <c r="AD122" s="179"/>
      <c r="AE122" s="179"/>
      <c r="AF122" s="179"/>
      <c r="AG122" s="179"/>
      <c r="AH122" s="179"/>
      <c r="AI122" s="179"/>
      <c r="AJ122" s="179"/>
      <c r="AK122" s="179"/>
      <c r="AL122" s="179"/>
      <c r="AM122" s="179"/>
      <c r="AN122" s="179"/>
      <c r="AO122" s="179"/>
      <c r="AP122" s="179"/>
      <c r="AQ122" s="179"/>
      <c r="AR122" s="179"/>
      <c r="AS122" s="179"/>
      <c r="AT122" s="179"/>
      <c r="AU122" s="179"/>
      <c r="AV122" s="179"/>
      <c r="AW122" s="179"/>
      <c r="AX122" s="179"/>
      <c r="AY122" s="179"/>
      <c r="AZ122" s="179"/>
      <c r="BA122" s="179"/>
      <c r="BB122" s="179"/>
      <c r="BC122" s="179"/>
      <c r="BD122" s="179"/>
      <c r="BE122" s="179"/>
      <c r="BF122" s="179"/>
      <c r="BG122" s="179"/>
      <c r="BH122" s="179"/>
      <c r="BI122" s="179"/>
      <c r="BJ122" s="179"/>
      <c r="BK122" s="179"/>
      <c r="BL122" s="179"/>
      <c r="BM122" s="179"/>
      <c r="BN122" s="179"/>
      <c r="BO122" s="179"/>
      <c r="BP122" s="179"/>
      <c r="BQ122" s="179"/>
      <c r="BR122" s="179"/>
      <c r="BS122" s="179"/>
      <c r="BT122" s="179"/>
      <c r="BU122" s="179"/>
      <c r="BV122" s="179"/>
      <c r="BW122" s="179"/>
      <c r="BX122" s="179"/>
      <c r="BY122" s="179"/>
      <c r="BZ122" s="179"/>
      <c r="CA122" s="179"/>
      <c r="CB122" s="179"/>
      <c r="CC122" s="179"/>
      <c r="CD122" s="179"/>
      <c r="CE122" s="179"/>
      <c r="CF122" s="179"/>
      <c r="CG122" s="179"/>
      <c r="CH122" s="179"/>
      <c r="CI122" s="179"/>
      <c r="CJ122" s="179"/>
      <c r="CK122" s="179"/>
      <c r="CL122" s="179"/>
      <c r="CM122" s="179"/>
      <c r="CN122" s="179"/>
      <c r="CO122" s="179"/>
      <c r="CP122" s="179"/>
      <c r="CQ122" s="179"/>
      <c r="CR122" s="179"/>
      <c r="CS122" s="179"/>
      <c r="CT122" s="179"/>
      <c r="CU122" s="179"/>
      <c r="CV122" s="179"/>
      <c r="CW122" s="179"/>
    </row>
    <row r="123" spans="1:101" x14ac:dyDescent="0.2">
      <c r="A123" s="32" t="str">
        <f t="shared" ca="1" si="1"/>
        <v>2025-08-03</v>
      </c>
      <c r="B123" s="179">
        <f ca="1">IF(ISNUMBER(MATCH(DATEVALUE($A123),'changes1_based on steps'!B$1:B$400,0)),B$2,)</f>
        <v>0</v>
      </c>
      <c r="C123" s="179">
        <f ca="1">IF(ISNUMBER(MATCH(DATEVALUE($A123),'changes1_based on steps'!C$1:C$400,0)),C$2,)</f>
        <v>0</v>
      </c>
      <c r="D123" s="179">
        <f ca="1">IF(ISNUMBER(MATCH(DATEVALUE($A123),'changes1_based on steps'!D$1:D$400,0)),D$2,)</f>
        <v>0</v>
      </c>
      <c r="E123" s="179">
        <f ca="1">IF(ISNUMBER(MATCH(DATEVALUE($A123),'changes1_based on steps'!E$1:E$400,0)),E$2,)</f>
        <v>0</v>
      </c>
      <c r="F123" s="179">
        <f ca="1">IF(ISNUMBER(MATCH(DATEVALUE($A123),'changes1_based on steps'!F$1:F$400,0)),F$2,)</f>
        <v>0</v>
      </c>
      <c r="G123" s="179">
        <f ca="1">IF(ISNUMBER(MATCH(DATEVALUE($A123),'changes1_based on steps'!G$1:G$400,0)),G$2,)</f>
        <v>0</v>
      </c>
      <c r="H123" s="179">
        <f ca="1">IF(ISNUMBER(MATCH(DATEVALUE($A123),'changes1_based on steps'!H$1:H$400,0)),H$2,)</f>
        <v>0</v>
      </c>
      <c r="I123" s="179">
        <f ca="1">IF(ISNUMBER(MATCH(DATEVALUE($A123),'changes1_based on steps'!I$1:I$400,0)),I$2,)</f>
        <v>0</v>
      </c>
      <c r="J123" s="179">
        <f ca="1">IF(ISNUMBER(MATCH(DATEVALUE($A123),'changes1_based on steps'!J$1:J$400,0)),J$2,)</f>
        <v>0</v>
      </c>
      <c r="K123" s="179">
        <f ca="1">IF(ISNUMBER(MATCH(DATEVALUE($A123),'changes1_based on steps'!K$1:K$400,0)),K$2,)</f>
        <v>0</v>
      </c>
      <c r="L123" s="179">
        <f ca="1">IF(ISNUMBER(MATCH(DATEVALUE($A123),'changes1_based on steps'!L$1:L$400,0)),L$2,)</f>
        <v>0</v>
      </c>
      <c r="M123" s="179">
        <f ca="1">IF(ISNUMBER(MATCH(DATEVALUE($A123),'changes1_based on steps'!M$1:M$400,0)),M$2,)</f>
        <v>0</v>
      </c>
      <c r="N123" s="179">
        <f ca="1">IF(ISNUMBER(MATCH(DATEVALUE($A123),'changes1_based on steps'!N$1:N$400,0)),N$2,)</f>
        <v>0</v>
      </c>
      <c r="O123" s="179">
        <f ca="1">IF(ISNUMBER(MATCH(DATEVALUE($A123),'changes1_based on steps'!O$1:O$400,0)),O$2,)</f>
        <v>0</v>
      </c>
      <c r="P123" s="179">
        <f ca="1">IF(ISNUMBER(MATCH(DATEVALUE($A123),'changes1_based on steps'!P$1:P$400,0)),P$2,)</f>
        <v>0</v>
      </c>
      <c r="Q123" s="179">
        <f ca="1">IF(ISNUMBER(MATCH(DATEVALUE($A123),'changes1_based on steps'!Q$1:Q$400,0)),Q$2,)</f>
        <v>0</v>
      </c>
      <c r="R123" s="179">
        <f ca="1">IF(ISNUMBER(MATCH(DATEVALUE($A123),'changes1_based on steps'!R$1:R$400,0)),R$2,)</f>
        <v>0</v>
      </c>
      <c r="S123" s="179">
        <f ca="1">IF(ISNUMBER(MATCH(DATEVALUE($A123),'changes1_based on steps'!S$1:S$400,0)),S$2,)</f>
        <v>0</v>
      </c>
      <c r="T123" s="179">
        <f ca="1">IF(ISNUMBER(MATCH(DATEVALUE($A123),'changes1_based on steps'!T$1:T$400,0)),T$2,)</f>
        <v>0</v>
      </c>
      <c r="U123" s="179">
        <f ca="1">IF(ISNUMBER(MATCH(DATEVALUE($A123),'changes1_based on steps'!U$1:U$400,0)),U$2,)</f>
        <v>0</v>
      </c>
      <c r="V123" s="179"/>
      <c r="W123" s="179"/>
      <c r="X123" s="179"/>
      <c r="Y123" s="179"/>
      <c r="Z123" s="179"/>
      <c r="AA123" s="179"/>
      <c r="AB123" s="179"/>
      <c r="AC123" s="179"/>
      <c r="AD123" s="179"/>
      <c r="AE123" s="179"/>
      <c r="AF123" s="179"/>
      <c r="AG123" s="179"/>
      <c r="AH123" s="179"/>
      <c r="AI123" s="179"/>
      <c r="AJ123" s="179"/>
      <c r="AK123" s="179"/>
      <c r="AL123" s="179"/>
      <c r="AM123" s="179"/>
      <c r="AN123" s="179"/>
      <c r="AO123" s="179"/>
      <c r="AP123" s="179"/>
      <c r="AQ123" s="179"/>
      <c r="AR123" s="179"/>
      <c r="AS123" s="179"/>
      <c r="AT123" s="179"/>
      <c r="AU123" s="179"/>
      <c r="AV123" s="179"/>
      <c r="AW123" s="179"/>
      <c r="AX123" s="179"/>
      <c r="AY123" s="179"/>
      <c r="AZ123" s="179"/>
      <c r="BA123" s="179"/>
      <c r="BB123" s="179"/>
      <c r="BC123" s="179"/>
      <c r="BD123" s="179"/>
      <c r="BE123" s="179"/>
      <c r="BF123" s="179"/>
      <c r="BG123" s="179"/>
      <c r="BH123" s="179"/>
      <c r="BI123" s="179"/>
      <c r="BJ123" s="179"/>
      <c r="BK123" s="179"/>
      <c r="BL123" s="179"/>
      <c r="BM123" s="179"/>
      <c r="BN123" s="179"/>
      <c r="BO123" s="179"/>
      <c r="BP123" s="179"/>
      <c r="BQ123" s="179"/>
      <c r="BR123" s="179"/>
      <c r="BS123" s="179"/>
      <c r="BT123" s="179"/>
      <c r="BU123" s="179"/>
      <c r="BV123" s="179"/>
      <c r="BW123" s="179"/>
      <c r="BX123" s="179"/>
      <c r="BY123" s="179"/>
      <c r="BZ123" s="179"/>
      <c r="CA123" s="179"/>
      <c r="CB123" s="179"/>
      <c r="CC123" s="179"/>
      <c r="CD123" s="179"/>
      <c r="CE123" s="179"/>
      <c r="CF123" s="179"/>
      <c r="CG123" s="179"/>
      <c r="CH123" s="179"/>
      <c r="CI123" s="179"/>
      <c r="CJ123" s="179"/>
      <c r="CK123" s="179"/>
      <c r="CL123" s="179"/>
      <c r="CM123" s="179"/>
      <c r="CN123" s="179"/>
      <c r="CO123" s="179"/>
      <c r="CP123" s="179"/>
      <c r="CQ123" s="179"/>
      <c r="CR123" s="179"/>
      <c r="CS123" s="179"/>
      <c r="CT123" s="179"/>
      <c r="CU123" s="179"/>
      <c r="CV123" s="179"/>
      <c r="CW123" s="179"/>
    </row>
    <row r="124" spans="1:101" x14ac:dyDescent="0.2">
      <c r="A124" s="32" t="str">
        <f t="shared" ca="1" si="1"/>
        <v>2025-08-04</v>
      </c>
      <c r="B124" s="179">
        <f ca="1">IF(ISNUMBER(MATCH(DATEVALUE($A124),'changes1_based on steps'!B$1:B$400,0)),B$2,)</f>
        <v>0</v>
      </c>
      <c r="C124" s="179">
        <f ca="1">IF(ISNUMBER(MATCH(DATEVALUE($A124),'changes1_based on steps'!C$1:C$400,0)),C$2,)</f>
        <v>0</v>
      </c>
      <c r="D124" s="179">
        <f ca="1">IF(ISNUMBER(MATCH(DATEVALUE($A124),'changes1_based on steps'!D$1:D$400,0)),D$2,)</f>
        <v>0</v>
      </c>
      <c r="E124" s="179">
        <f ca="1">IF(ISNUMBER(MATCH(DATEVALUE($A124),'changes1_based on steps'!E$1:E$400,0)),E$2,)</f>
        <v>0</v>
      </c>
      <c r="F124" s="179">
        <f ca="1">IF(ISNUMBER(MATCH(DATEVALUE($A124),'changes1_based on steps'!F$1:F$400,0)),F$2,)</f>
        <v>0</v>
      </c>
      <c r="G124" s="179">
        <f ca="1">IF(ISNUMBER(MATCH(DATEVALUE($A124),'changes1_based on steps'!G$1:G$400,0)),G$2,)</f>
        <v>0</v>
      </c>
      <c r="H124" s="179">
        <f ca="1">IF(ISNUMBER(MATCH(DATEVALUE($A124),'changes1_based on steps'!H$1:H$400,0)),H$2,)</f>
        <v>0</v>
      </c>
      <c r="I124" s="179">
        <f ca="1">IF(ISNUMBER(MATCH(DATEVALUE($A124),'changes1_based on steps'!I$1:I$400,0)),I$2,)</f>
        <v>0</v>
      </c>
      <c r="J124" s="179">
        <f ca="1">IF(ISNUMBER(MATCH(DATEVALUE($A124),'changes1_based on steps'!J$1:J$400,0)),J$2,)</f>
        <v>0</v>
      </c>
      <c r="K124" s="179">
        <f ca="1">IF(ISNUMBER(MATCH(DATEVALUE($A124),'changes1_based on steps'!K$1:K$400,0)),K$2,)</f>
        <v>0</v>
      </c>
      <c r="L124" s="179">
        <f ca="1">IF(ISNUMBER(MATCH(DATEVALUE($A124),'changes1_based on steps'!L$1:L$400,0)),L$2,)</f>
        <v>0</v>
      </c>
      <c r="M124" s="179">
        <f ca="1">IF(ISNUMBER(MATCH(DATEVALUE($A124),'changes1_based on steps'!M$1:M$400,0)),M$2,)</f>
        <v>0</v>
      </c>
      <c r="N124" s="179">
        <f ca="1">IF(ISNUMBER(MATCH(DATEVALUE($A124),'changes1_based on steps'!N$1:N$400,0)),N$2,)</f>
        <v>0</v>
      </c>
      <c r="O124" s="179">
        <f ca="1">IF(ISNUMBER(MATCH(DATEVALUE($A124),'changes1_based on steps'!O$1:O$400,0)),O$2,)</f>
        <v>0</v>
      </c>
      <c r="P124" s="179">
        <f ca="1">IF(ISNUMBER(MATCH(DATEVALUE($A124),'changes1_based on steps'!P$1:P$400,0)),P$2,)</f>
        <v>0</v>
      </c>
      <c r="Q124" s="179">
        <f ca="1">IF(ISNUMBER(MATCH(DATEVALUE($A124),'changes1_based on steps'!Q$1:Q$400,0)),Q$2,)</f>
        <v>0</v>
      </c>
      <c r="R124" s="179">
        <f ca="1">IF(ISNUMBER(MATCH(DATEVALUE($A124),'changes1_based on steps'!R$1:R$400,0)),R$2,)</f>
        <v>0</v>
      </c>
      <c r="S124" s="179">
        <f ca="1">IF(ISNUMBER(MATCH(DATEVALUE($A124),'changes1_based on steps'!S$1:S$400,0)),S$2,)</f>
        <v>0</v>
      </c>
      <c r="T124" s="179">
        <f ca="1">IF(ISNUMBER(MATCH(DATEVALUE($A124),'changes1_based on steps'!T$1:T$400,0)),T$2,)</f>
        <v>0</v>
      </c>
      <c r="U124" s="179">
        <f ca="1">IF(ISNUMBER(MATCH(DATEVALUE($A124),'changes1_based on steps'!U$1:U$400,0)),U$2,)</f>
        <v>0</v>
      </c>
      <c r="V124" s="179"/>
      <c r="W124" s="179"/>
      <c r="X124" s="179"/>
      <c r="Y124" s="179"/>
      <c r="Z124" s="179"/>
      <c r="AA124" s="179"/>
      <c r="AB124" s="179"/>
      <c r="AC124" s="179"/>
      <c r="AD124" s="179"/>
      <c r="AE124" s="179"/>
      <c r="AF124" s="179"/>
      <c r="AG124" s="179"/>
      <c r="AH124" s="179"/>
      <c r="AI124" s="179"/>
      <c r="AJ124" s="179"/>
      <c r="AK124" s="179"/>
      <c r="AL124" s="179"/>
      <c r="AM124" s="179"/>
      <c r="AN124" s="179"/>
      <c r="AO124" s="179"/>
      <c r="AP124" s="179"/>
      <c r="AQ124" s="179"/>
      <c r="AR124" s="179"/>
      <c r="AS124" s="179"/>
      <c r="AT124" s="179"/>
      <c r="AU124" s="179"/>
      <c r="AV124" s="179"/>
      <c r="AW124" s="179"/>
      <c r="AX124" s="179"/>
      <c r="AY124" s="179"/>
      <c r="AZ124" s="179"/>
      <c r="BA124" s="179"/>
      <c r="BB124" s="179"/>
      <c r="BC124" s="179"/>
      <c r="BD124" s="179"/>
      <c r="BE124" s="179"/>
      <c r="BF124" s="179"/>
      <c r="BG124" s="179"/>
      <c r="BH124" s="179"/>
      <c r="BI124" s="179"/>
      <c r="BJ124" s="179"/>
      <c r="BK124" s="179"/>
      <c r="BL124" s="179"/>
      <c r="BM124" s="179"/>
      <c r="BN124" s="179"/>
      <c r="BO124" s="179"/>
      <c r="BP124" s="179"/>
      <c r="BQ124" s="179"/>
      <c r="BR124" s="179"/>
      <c r="BS124" s="179"/>
      <c r="BT124" s="179"/>
      <c r="BU124" s="179"/>
      <c r="BV124" s="179"/>
      <c r="BW124" s="179"/>
      <c r="BX124" s="179"/>
      <c r="BY124" s="179"/>
      <c r="BZ124" s="179"/>
      <c r="CA124" s="179"/>
      <c r="CB124" s="179"/>
      <c r="CC124" s="179"/>
      <c r="CD124" s="179"/>
      <c r="CE124" s="179"/>
      <c r="CF124" s="179"/>
      <c r="CG124" s="179"/>
      <c r="CH124" s="179"/>
      <c r="CI124" s="179"/>
      <c r="CJ124" s="179"/>
      <c r="CK124" s="179"/>
      <c r="CL124" s="179"/>
      <c r="CM124" s="179"/>
      <c r="CN124" s="179"/>
      <c r="CO124" s="179"/>
      <c r="CP124" s="179"/>
      <c r="CQ124" s="179"/>
      <c r="CR124" s="179"/>
      <c r="CS124" s="179"/>
      <c r="CT124" s="179"/>
      <c r="CU124" s="179"/>
      <c r="CV124" s="179"/>
      <c r="CW124" s="179"/>
    </row>
    <row r="125" spans="1:101" x14ac:dyDescent="0.2">
      <c r="A125" s="32" t="str">
        <f t="shared" ca="1" si="1"/>
        <v>2025-08-05</v>
      </c>
      <c r="B125" s="179">
        <f ca="1">IF(ISNUMBER(MATCH(DATEVALUE($A125),'changes1_based on steps'!B$1:B$400,0)),B$2,)</f>
        <v>0</v>
      </c>
      <c r="C125" s="179">
        <f ca="1">IF(ISNUMBER(MATCH(DATEVALUE($A125),'changes1_based on steps'!C$1:C$400,0)),C$2,)</f>
        <v>0</v>
      </c>
      <c r="D125" s="179">
        <f ca="1">IF(ISNUMBER(MATCH(DATEVALUE($A125),'changes1_based on steps'!D$1:D$400,0)),D$2,)</f>
        <v>0</v>
      </c>
      <c r="E125" s="179">
        <f ca="1">IF(ISNUMBER(MATCH(DATEVALUE($A125),'changes1_based on steps'!E$1:E$400,0)),E$2,)</f>
        <v>0</v>
      </c>
      <c r="F125" s="179">
        <f ca="1">IF(ISNUMBER(MATCH(DATEVALUE($A125),'changes1_based on steps'!F$1:F$400,0)),F$2,)</f>
        <v>0</v>
      </c>
      <c r="G125" s="179">
        <f ca="1">IF(ISNUMBER(MATCH(DATEVALUE($A125),'changes1_based on steps'!G$1:G$400,0)),G$2,)</f>
        <v>0</v>
      </c>
      <c r="H125" s="179">
        <f ca="1">IF(ISNUMBER(MATCH(DATEVALUE($A125),'changes1_based on steps'!H$1:H$400,0)),H$2,)</f>
        <v>0</v>
      </c>
      <c r="I125" s="179">
        <f ca="1">IF(ISNUMBER(MATCH(DATEVALUE($A125),'changes1_based on steps'!I$1:I$400,0)),I$2,)</f>
        <v>0</v>
      </c>
      <c r="J125" s="179">
        <f ca="1">IF(ISNUMBER(MATCH(DATEVALUE($A125),'changes1_based on steps'!J$1:J$400,0)),J$2,)</f>
        <v>0</v>
      </c>
      <c r="K125" s="179">
        <f ca="1">IF(ISNUMBER(MATCH(DATEVALUE($A125),'changes1_based on steps'!K$1:K$400,0)),K$2,)</f>
        <v>0</v>
      </c>
      <c r="L125" s="179">
        <f ca="1">IF(ISNUMBER(MATCH(DATEVALUE($A125),'changes1_based on steps'!L$1:L$400,0)),L$2,)</f>
        <v>0</v>
      </c>
      <c r="M125" s="179">
        <f ca="1">IF(ISNUMBER(MATCH(DATEVALUE($A125),'changes1_based on steps'!M$1:M$400,0)),M$2,)</f>
        <v>0</v>
      </c>
      <c r="N125" s="179">
        <f ca="1">IF(ISNUMBER(MATCH(DATEVALUE($A125),'changes1_based on steps'!N$1:N$400,0)),N$2,)</f>
        <v>0</v>
      </c>
      <c r="O125" s="179">
        <f ca="1">IF(ISNUMBER(MATCH(DATEVALUE($A125),'changes1_based on steps'!O$1:O$400,0)),O$2,)</f>
        <v>0</v>
      </c>
      <c r="P125" s="179">
        <f ca="1">IF(ISNUMBER(MATCH(DATEVALUE($A125),'changes1_based on steps'!P$1:P$400,0)),P$2,)</f>
        <v>0</v>
      </c>
      <c r="Q125" s="179">
        <f ca="1">IF(ISNUMBER(MATCH(DATEVALUE($A125),'changes1_based on steps'!Q$1:Q$400,0)),Q$2,)</f>
        <v>0</v>
      </c>
      <c r="R125" s="179">
        <f ca="1">IF(ISNUMBER(MATCH(DATEVALUE($A125),'changes1_based on steps'!R$1:R$400,0)),R$2,)</f>
        <v>0</v>
      </c>
      <c r="S125" s="179">
        <f ca="1">IF(ISNUMBER(MATCH(DATEVALUE($A125),'changes1_based on steps'!S$1:S$400,0)),S$2,)</f>
        <v>0</v>
      </c>
      <c r="T125" s="179">
        <f ca="1">IF(ISNUMBER(MATCH(DATEVALUE($A125),'changes1_based on steps'!T$1:T$400,0)),T$2,)</f>
        <v>0</v>
      </c>
      <c r="U125" s="179">
        <f ca="1">IF(ISNUMBER(MATCH(DATEVALUE($A125),'changes1_based on steps'!U$1:U$400,0)),U$2,)</f>
        <v>0</v>
      </c>
      <c r="V125" s="179"/>
      <c r="W125" s="179"/>
      <c r="X125" s="179"/>
      <c r="Y125" s="179"/>
      <c r="Z125" s="179"/>
      <c r="AA125" s="179"/>
      <c r="AB125" s="179"/>
      <c r="AC125" s="179"/>
      <c r="AD125" s="179"/>
      <c r="AE125" s="179"/>
      <c r="AF125" s="179"/>
      <c r="AG125" s="179"/>
      <c r="AH125" s="179"/>
      <c r="AI125" s="179"/>
      <c r="AJ125" s="179"/>
      <c r="AK125" s="179"/>
      <c r="AL125" s="179"/>
      <c r="AM125" s="179"/>
      <c r="AN125" s="179"/>
      <c r="AO125" s="179"/>
      <c r="AP125" s="179"/>
      <c r="AQ125" s="179"/>
      <c r="AR125" s="179"/>
      <c r="AS125" s="179"/>
      <c r="AT125" s="179"/>
      <c r="AU125" s="179"/>
      <c r="AV125" s="179"/>
      <c r="AW125" s="179"/>
      <c r="AX125" s="179"/>
      <c r="AY125" s="179"/>
      <c r="AZ125" s="179"/>
      <c r="BA125" s="179"/>
      <c r="BB125" s="179"/>
      <c r="BC125" s="179"/>
      <c r="BD125" s="179"/>
      <c r="BE125" s="179"/>
      <c r="BF125" s="179"/>
      <c r="BG125" s="179"/>
      <c r="BH125" s="179"/>
      <c r="BI125" s="179"/>
      <c r="BJ125" s="179"/>
      <c r="BK125" s="179"/>
      <c r="BL125" s="179"/>
      <c r="BM125" s="179"/>
      <c r="BN125" s="179"/>
      <c r="BO125" s="179"/>
      <c r="BP125" s="179"/>
      <c r="BQ125" s="179"/>
      <c r="BR125" s="179"/>
      <c r="BS125" s="179"/>
      <c r="BT125" s="179"/>
      <c r="BU125" s="179"/>
      <c r="BV125" s="179"/>
      <c r="BW125" s="179"/>
      <c r="BX125" s="179"/>
      <c r="BY125" s="179"/>
      <c r="BZ125" s="179"/>
      <c r="CA125" s="179"/>
      <c r="CB125" s="179"/>
      <c r="CC125" s="179"/>
      <c r="CD125" s="179"/>
      <c r="CE125" s="179"/>
      <c r="CF125" s="179"/>
      <c r="CG125" s="179"/>
      <c r="CH125" s="179"/>
      <c r="CI125" s="179"/>
      <c r="CJ125" s="179"/>
      <c r="CK125" s="179"/>
      <c r="CL125" s="179"/>
      <c r="CM125" s="179"/>
      <c r="CN125" s="179"/>
      <c r="CO125" s="179"/>
      <c r="CP125" s="179"/>
      <c r="CQ125" s="179"/>
      <c r="CR125" s="179"/>
      <c r="CS125" s="179"/>
      <c r="CT125" s="179"/>
      <c r="CU125" s="179"/>
      <c r="CV125" s="179"/>
      <c r="CW125" s="179"/>
    </row>
    <row r="126" spans="1:101" x14ac:dyDescent="0.2">
      <c r="A126" s="32" t="str">
        <f t="shared" ca="1" si="1"/>
        <v>2025-08-06</v>
      </c>
      <c r="B126" s="179">
        <f ca="1">IF(ISNUMBER(MATCH(DATEVALUE($A126),'changes1_based on steps'!B$1:B$400,0)),B$2,)</f>
        <v>0</v>
      </c>
      <c r="C126" s="179">
        <f ca="1">IF(ISNUMBER(MATCH(DATEVALUE($A126),'changes1_based on steps'!C$1:C$400,0)),C$2,)</f>
        <v>0</v>
      </c>
      <c r="D126" s="179">
        <f ca="1">IF(ISNUMBER(MATCH(DATEVALUE($A126),'changes1_based on steps'!D$1:D$400,0)),D$2,)</f>
        <v>0</v>
      </c>
      <c r="E126" s="179">
        <f ca="1">IF(ISNUMBER(MATCH(DATEVALUE($A126),'changes1_based on steps'!E$1:E$400,0)),E$2,)</f>
        <v>0</v>
      </c>
      <c r="F126" s="179">
        <f ca="1">IF(ISNUMBER(MATCH(DATEVALUE($A126),'changes1_based on steps'!F$1:F$400,0)),F$2,)</f>
        <v>0</v>
      </c>
      <c r="G126" s="179">
        <f ca="1">IF(ISNUMBER(MATCH(DATEVALUE($A126),'changes1_based on steps'!G$1:G$400,0)),G$2,)</f>
        <v>0</v>
      </c>
      <c r="H126" s="179">
        <f ca="1">IF(ISNUMBER(MATCH(DATEVALUE($A126),'changes1_based on steps'!H$1:H$400,0)),H$2,)</f>
        <v>0</v>
      </c>
      <c r="I126" s="179">
        <f ca="1">IF(ISNUMBER(MATCH(DATEVALUE($A126),'changes1_based on steps'!I$1:I$400,0)),I$2,)</f>
        <v>0</v>
      </c>
      <c r="J126" s="179">
        <f ca="1">IF(ISNUMBER(MATCH(DATEVALUE($A126),'changes1_based on steps'!J$1:J$400,0)),J$2,)</f>
        <v>0</v>
      </c>
      <c r="K126" s="179">
        <f ca="1">IF(ISNUMBER(MATCH(DATEVALUE($A126),'changes1_based on steps'!K$1:K$400,0)),K$2,)</f>
        <v>0</v>
      </c>
      <c r="L126" s="179">
        <f ca="1">IF(ISNUMBER(MATCH(DATEVALUE($A126),'changes1_based on steps'!L$1:L$400,0)),L$2,)</f>
        <v>0</v>
      </c>
      <c r="M126" s="179">
        <f ca="1">IF(ISNUMBER(MATCH(DATEVALUE($A126),'changes1_based on steps'!M$1:M$400,0)),M$2,)</f>
        <v>0</v>
      </c>
      <c r="N126" s="179">
        <f ca="1">IF(ISNUMBER(MATCH(DATEVALUE($A126),'changes1_based on steps'!N$1:N$400,0)),N$2,)</f>
        <v>0</v>
      </c>
      <c r="O126" s="179">
        <f ca="1">IF(ISNUMBER(MATCH(DATEVALUE($A126),'changes1_based on steps'!O$1:O$400,0)),O$2,)</f>
        <v>0</v>
      </c>
      <c r="P126" s="179">
        <f ca="1">IF(ISNUMBER(MATCH(DATEVALUE($A126),'changes1_based on steps'!P$1:P$400,0)),P$2,)</f>
        <v>0</v>
      </c>
      <c r="Q126" s="179">
        <f ca="1">IF(ISNUMBER(MATCH(DATEVALUE($A126),'changes1_based on steps'!Q$1:Q$400,0)),Q$2,)</f>
        <v>0</v>
      </c>
      <c r="R126" s="179">
        <f ca="1">IF(ISNUMBER(MATCH(DATEVALUE($A126),'changes1_based on steps'!R$1:R$400,0)),R$2,)</f>
        <v>0</v>
      </c>
      <c r="S126" s="179">
        <f ca="1">IF(ISNUMBER(MATCH(DATEVALUE($A126),'changes1_based on steps'!S$1:S$400,0)),S$2,)</f>
        <v>0</v>
      </c>
      <c r="T126" s="179">
        <f ca="1">IF(ISNUMBER(MATCH(DATEVALUE($A126),'changes1_based on steps'!T$1:T$400,0)),T$2,)</f>
        <v>0</v>
      </c>
      <c r="U126" s="179">
        <f ca="1">IF(ISNUMBER(MATCH(DATEVALUE($A126),'changes1_based on steps'!U$1:U$400,0)),U$2,)</f>
        <v>0</v>
      </c>
      <c r="V126" s="179"/>
      <c r="W126" s="179"/>
      <c r="X126" s="179"/>
      <c r="Y126" s="179"/>
      <c r="Z126" s="179"/>
      <c r="AA126" s="179"/>
      <c r="AB126" s="179"/>
      <c r="AC126" s="179"/>
      <c r="AD126" s="179"/>
      <c r="AE126" s="179"/>
      <c r="AF126" s="179"/>
      <c r="AG126" s="179"/>
      <c r="AH126" s="179"/>
      <c r="AI126" s="179"/>
      <c r="AJ126" s="179"/>
      <c r="AK126" s="179"/>
      <c r="AL126" s="179"/>
      <c r="AM126" s="179"/>
      <c r="AN126" s="179"/>
      <c r="AO126" s="179"/>
      <c r="AP126" s="179"/>
      <c r="AQ126" s="179"/>
      <c r="AR126" s="179"/>
      <c r="AS126" s="179"/>
      <c r="AT126" s="179"/>
      <c r="AU126" s="179"/>
      <c r="AV126" s="179"/>
      <c r="AW126" s="179"/>
      <c r="AX126" s="179"/>
      <c r="AY126" s="179"/>
      <c r="AZ126" s="179"/>
      <c r="BA126" s="179"/>
      <c r="BB126" s="179"/>
      <c r="BC126" s="179"/>
      <c r="BD126" s="179"/>
      <c r="BE126" s="179"/>
      <c r="BF126" s="179"/>
      <c r="BG126" s="179"/>
      <c r="BH126" s="179"/>
      <c r="BI126" s="179"/>
      <c r="BJ126" s="179"/>
      <c r="BK126" s="179"/>
      <c r="BL126" s="179"/>
      <c r="BM126" s="179"/>
      <c r="BN126" s="179"/>
      <c r="BO126" s="179"/>
      <c r="BP126" s="179"/>
      <c r="BQ126" s="179"/>
      <c r="BR126" s="179"/>
      <c r="BS126" s="179"/>
      <c r="BT126" s="179"/>
      <c r="BU126" s="179"/>
      <c r="BV126" s="179"/>
      <c r="BW126" s="179"/>
      <c r="BX126" s="179"/>
      <c r="BY126" s="179"/>
      <c r="BZ126" s="179"/>
      <c r="CA126" s="179"/>
      <c r="CB126" s="179"/>
      <c r="CC126" s="179"/>
      <c r="CD126" s="179"/>
      <c r="CE126" s="179"/>
      <c r="CF126" s="179"/>
      <c r="CG126" s="179"/>
      <c r="CH126" s="179"/>
      <c r="CI126" s="179"/>
      <c r="CJ126" s="179"/>
      <c r="CK126" s="179"/>
      <c r="CL126" s="179"/>
      <c r="CM126" s="179"/>
      <c r="CN126" s="179"/>
      <c r="CO126" s="179"/>
      <c r="CP126" s="179"/>
      <c r="CQ126" s="179"/>
      <c r="CR126" s="179"/>
      <c r="CS126" s="179"/>
      <c r="CT126" s="179"/>
      <c r="CU126" s="179"/>
      <c r="CV126" s="179"/>
      <c r="CW126" s="179"/>
    </row>
    <row r="127" spans="1:101" x14ac:dyDescent="0.2">
      <c r="A127" s="32" t="str">
        <f t="shared" ca="1" si="1"/>
        <v>2025-08-07</v>
      </c>
      <c r="B127" s="179">
        <f ca="1">IF(ISNUMBER(MATCH(DATEVALUE($A127),'changes1_based on steps'!B$1:B$400,0)),B$2,)</f>
        <v>0</v>
      </c>
      <c r="C127" s="179">
        <f ca="1">IF(ISNUMBER(MATCH(DATEVALUE($A127),'changes1_based on steps'!C$1:C$400,0)),C$2,)</f>
        <v>0</v>
      </c>
      <c r="D127" s="179">
        <f ca="1">IF(ISNUMBER(MATCH(DATEVALUE($A127),'changes1_based on steps'!D$1:D$400,0)),D$2,)</f>
        <v>0</v>
      </c>
      <c r="E127" s="179">
        <f ca="1">IF(ISNUMBER(MATCH(DATEVALUE($A127),'changes1_based on steps'!E$1:E$400,0)),E$2,)</f>
        <v>0</v>
      </c>
      <c r="F127" s="179">
        <f ca="1">IF(ISNUMBER(MATCH(DATEVALUE($A127),'changes1_based on steps'!F$1:F$400,0)),F$2,)</f>
        <v>0</v>
      </c>
      <c r="G127" s="179">
        <f ca="1">IF(ISNUMBER(MATCH(DATEVALUE($A127),'changes1_based on steps'!G$1:G$400,0)),G$2,)</f>
        <v>0</v>
      </c>
      <c r="H127" s="179">
        <f ca="1">IF(ISNUMBER(MATCH(DATEVALUE($A127),'changes1_based on steps'!H$1:H$400,0)),H$2,)</f>
        <v>0</v>
      </c>
      <c r="I127" s="179">
        <f ca="1">IF(ISNUMBER(MATCH(DATEVALUE($A127),'changes1_based on steps'!I$1:I$400,0)),I$2,)</f>
        <v>0</v>
      </c>
      <c r="J127" s="179">
        <f ca="1">IF(ISNUMBER(MATCH(DATEVALUE($A127),'changes1_based on steps'!J$1:J$400,0)),J$2,)</f>
        <v>0</v>
      </c>
      <c r="K127" s="179">
        <f ca="1">IF(ISNUMBER(MATCH(DATEVALUE($A127),'changes1_based on steps'!K$1:K$400,0)),K$2,)</f>
        <v>0</v>
      </c>
      <c r="L127" s="179">
        <f ca="1">IF(ISNUMBER(MATCH(DATEVALUE($A127),'changes1_based on steps'!L$1:L$400,0)),L$2,)</f>
        <v>0</v>
      </c>
      <c r="M127" s="179">
        <f ca="1">IF(ISNUMBER(MATCH(DATEVALUE($A127),'changes1_based on steps'!M$1:M$400,0)),M$2,)</f>
        <v>0</v>
      </c>
      <c r="N127" s="179">
        <f ca="1">IF(ISNUMBER(MATCH(DATEVALUE($A127),'changes1_based on steps'!N$1:N$400,0)),N$2,)</f>
        <v>0</v>
      </c>
      <c r="O127" s="179">
        <f ca="1">IF(ISNUMBER(MATCH(DATEVALUE($A127),'changes1_based on steps'!O$1:O$400,0)),O$2,)</f>
        <v>0</v>
      </c>
      <c r="P127" s="179">
        <f ca="1">IF(ISNUMBER(MATCH(DATEVALUE($A127),'changes1_based on steps'!P$1:P$400,0)),P$2,)</f>
        <v>0</v>
      </c>
      <c r="Q127" s="179">
        <f ca="1">IF(ISNUMBER(MATCH(DATEVALUE($A127),'changes1_based on steps'!Q$1:Q$400,0)),Q$2,)</f>
        <v>0</v>
      </c>
      <c r="R127" s="179">
        <f ca="1">IF(ISNUMBER(MATCH(DATEVALUE($A127),'changes1_based on steps'!R$1:R$400,0)),R$2,)</f>
        <v>0</v>
      </c>
      <c r="S127" s="179">
        <f ca="1">IF(ISNUMBER(MATCH(DATEVALUE($A127),'changes1_based on steps'!S$1:S$400,0)),S$2,)</f>
        <v>0</v>
      </c>
      <c r="T127" s="179">
        <f ca="1">IF(ISNUMBER(MATCH(DATEVALUE($A127),'changes1_based on steps'!T$1:T$400,0)),T$2,)</f>
        <v>0</v>
      </c>
      <c r="U127" s="179">
        <f ca="1">IF(ISNUMBER(MATCH(DATEVALUE($A127),'changes1_based on steps'!U$1:U$400,0)),U$2,)</f>
        <v>0</v>
      </c>
      <c r="V127" s="179"/>
      <c r="W127" s="179"/>
      <c r="X127" s="179"/>
      <c r="Y127" s="179"/>
      <c r="Z127" s="179"/>
      <c r="AA127" s="179"/>
      <c r="AB127" s="179"/>
      <c r="AC127" s="179"/>
      <c r="AD127" s="179"/>
      <c r="AE127" s="179"/>
      <c r="AF127" s="179"/>
      <c r="AG127" s="179"/>
      <c r="AH127" s="179"/>
      <c r="AI127" s="179"/>
      <c r="AJ127" s="179"/>
      <c r="AK127" s="179"/>
      <c r="AL127" s="179"/>
      <c r="AM127" s="179"/>
      <c r="AN127" s="179"/>
      <c r="AO127" s="179"/>
      <c r="AP127" s="179"/>
      <c r="AQ127" s="179"/>
      <c r="AR127" s="179"/>
      <c r="AS127" s="179"/>
      <c r="AT127" s="179"/>
      <c r="AU127" s="179"/>
      <c r="AV127" s="179"/>
      <c r="AW127" s="179"/>
      <c r="AX127" s="179"/>
      <c r="AY127" s="179"/>
      <c r="AZ127" s="179"/>
      <c r="BA127" s="179"/>
      <c r="BB127" s="179"/>
      <c r="BC127" s="179"/>
      <c r="BD127" s="179"/>
      <c r="BE127" s="179"/>
      <c r="BF127" s="179"/>
      <c r="BG127" s="179"/>
      <c r="BH127" s="179"/>
      <c r="BI127" s="179"/>
      <c r="BJ127" s="179"/>
      <c r="BK127" s="179"/>
      <c r="BL127" s="179"/>
      <c r="BM127" s="179"/>
      <c r="BN127" s="179"/>
      <c r="BO127" s="179"/>
      <c r="BP127" s="179"/>
      <c r="BQ127" s="179"/>
      <c r="BR127" s="179"/>
      <c r="BS127" s="179"/>
      <c r="BT127" s="179"/>
      <c r="BU127" s="179"/>
      <c r="BV127" s="179"/>
      <c r="BW127" s="179"/>
      <c r="BX127" s="179"/>
      <c r="BY127" s="179"/>
      <c r="BZ127" s="179"/>
      <c r="CA127" s="179"/>
      <c r="CB127" s="179"/>
      <c r="CC127" s="179"/>
      <c r="CD127" s="179"/>
      <c r="CE127" s="179"/>
      <c r="CF127" s="179"/>
      <c r="CG127" s="179"/>
      <c r="CH127" s="179"/>
      <c r="CI127" s="179"/>
      <c r="CJ127" s="179"/>
      <c r="CK127" s="179"/>
      <c r="CL127" s="179"/>
      <c r="CM127" s="179"/>
      <c r="CN127" s="179"/>
      <c r="CO127" s="179"/>
      <c r="CP127" s="179"/>
      <c r="CQ127" s="179"/>
      <c r="CR127" s="179"/>
      <c r="CS127" s="179"/>
      <c r="CT127" s="179"/>
      <c r="CU127" s="179"/>
      <c r="CV127" s="179"/>
      <c r="CW127" s="179"/>
    </row>
    <row r="128" spans="1:101" x14ac:dyDescent="0.2">
      <c r="A128" s="32" t="str">
        <f t="shared" ca="1" si="1"/>
        <v>2025-08-08</v>
      </c>
      <c r="B128" s="179">
        <f ca="1">IF(ISNUMBER(MATCH(DATEVALUE($A128),'changes1_based on steps'!B$1:B$400,0)),B$2,)</f>
        <v>0</v>
      </c>
      <c r="C128" s="179">
        <f ca="1">IF(ISNUMBER(MATCH(DATEVALUE($A128),'changes1_based on steps'!C$1:C$400,0)),C$2,)</f>
        <v>0</v>
      </c>
      <c r="D128" s="179">
        <f ca="1">IF(ISNUMBER(MATCH(DATEVALUE($A128),'changes1_based on steps'!D$1:D$400,0)),D$2,)</f>
        <v>0</v>
      </c>
      <c r="E128" s="179">
        <f ca="1">IF(ISNUMBER(MATCH(DATEVALUE($A128),'changes1_based on steps'!E$1:E$400,0)),E$2,)</f>
        <v>0</v>
      </c>
      <c r="F128" s="179">
        <f ca="1">IF(ISNUMBER(MATCH(DATEVALUE($A128),'changes1_based on steps'!F$1:F$400,0)),F$2,)</f>
        <v>0</v>
      </c>
      <c r="G128" s="179">
        <f ca="1">IF(ISNUMBER(MATCH(DATEVALUE($A128),'changes1_based on steps'!G$1:G$400,0)),G$2,)</f>
        <v>0</v>
      </c>
      <c r="H128" s="179">
        <f ca="1">IF(ISNUMBER(MATCH(DATEVALUE($A128),'changes1_based on steps'!H$1:H$400,0)),H$2,)</f>
        <v>0</v>
      </c>
      <c r="I128" s="179">
        <f ca="1">IF(ISNUMBER(MATCH(DATEVALUE($A128),'changes1_based on steps'!I$1:I$400,0)),I$2,)</f>
        <v>0</v>
      </c>
      <c r="J128" s="179">
        <f ca="1">IF(ISNUMBER(MATCH(DATEVALUE($A128),'changes1_based on steps'!J$1:J$400,0)),J$2,)</f>
        <v>0</v>
      </c>
      <c r="K128" s="179">
        <f ca="1">IF(ISNUMBER(MATCH(DATEVALUE($A128),'changes1_based on steps'!K$1:K$400,0)),K$2,)</f>
        <v>0</v>
      </c>
      <c r="L128" s="179">
        <f ca="1">IF(ISNUMBER(MATCH(DATEVALUE($A128),'changes1_based on steps'!L$1:L$400,0)),L$2,)</f>
        <v>0</v>
      </c>
      <c r="M128" s="179">
        <f ca="1">IF(ISNUMBER(MATCH(DATEVALUE($A128),'changes1_based on steps'!M$1:M$400,0)),M$2,)</f>
        <v>0</v>
      </c>
      <c r="N128" s="179">
        <f ca="1">IF(ISNUMBER(MATCH(DATEVALUE($A128),'changes1_based on steps'!N$1:N$400,0)),N$2,)</f>
        <v>0</v>
      </c>
      <c r="O128" s="179">
        <f ca="1">IF(ISNUMBER(MATCH(DATEVALUE($A128),'changes1_based on steps'!O$1:O$400,0)),O$2,)</f>
        <v>0</v>
      </c>
      <c r="P128" s="179">
        <f ca="1">IF(ISNUMBER(MATCH(DATEVALUE($A128),'changes1_based on steps'!P$1:P$400,0)),P$2,)</f>
        <v>0</v>
      </c>
      <c r="Q128" s="179">
        <f ca="1">IF(ISNUMBER(MATCH(DATEVALUE($A128),'changes1_based on steps'!Q$1:Q$400,0)),Q$2,)</f>
        <v>0</v>
      </c>
      <c r="R128" s="179">
        <f ca="1">IF(ISNUMBER(MATCH(DATEVALUE($A128),'changes1_based on steps'!R$1:R$400,0)),R$2,)</f>
        <v>0</v>
      </c>
      <c r="S128" s="179">
        <f ca="1">IF(ISNUMBER(MATCH(DATEVALUE($A128),'changes1_based on steps'!S$1:S$400,0)),S$2,)</f>
        <v>0</v>
      </c>
      <c r="T128" s="179">
        <f ca="1">IF(ISNUMBER(MATCH(DATEVALUE($A128),'changes1_based on steps'!T$1:T$400,0)),T$2,)</f>
        <v>0</v>
      </c>
      <c r="U128" s="179">
        <f ca="1">IF(ISNUMBER(MATCH(DATEVALUE($A128),'changes1_based on steps'!U$1:U$400,0)),U$2,)</f>
        <v>0</v>
      </c>
      <c r="V128" s="179"/>
      <c r="W128" s="179"/>
      <c r="X128" s="179"/>
      <c r="Y128" s="179"/>
      <c r="Z128" s="179"/>
      <c r="AA128" s="179"/>
      <c r="AB128" s="179"/>
      <c r="AC128" s="179"/>
      <c r="AD128" s="179"/>
      <c r="AE128" s="179"/>
      <c r="AF128" s="179"/>
      <c r="AG128" s="179"/>
      <c r="AH128" s="179"/>
      <c r="AI128" s="179"/>
      <c r="AJ128" s="179"/>
      <c r="AK128" s="179"/>
      <c r="AL128" s="179"/>
      <c r="AM128" s="179"/>
      <c r="AN128" s="179"/>
      <c r="AO128" s="179"/>
      <c r="AP128" s="179"/>
      <c r="AQ128" s="179"/>
      <c r="AR128" s="179"/>
      <c r="AS128" s="179"/>
      <c r="AT128" s="179"/>
      <c r="AU128" s="179"/>
      <c r="AV128" s="179"/>
      <c r="AW128" s="179"/>
      <c r="AX128" s="179"/>
      <c r="AY128" s="179"/>
      <c r="AZ128" s="179"/>
      <c r="BA128" s="179"/>
      <c r="BB128" s="179"/>
      <c r="BC128" s="179"/>
      <c r="BD128" s="179"/>
      <c r="BE128" s="179"/>
      <c r="BF128" s="179"/>
      <c r="BG128" s="179"/>
      <c r="BH128" s="179"/>
      <c r="BI128" s="179"/>
      <c r="BJ128" s="179"/>
      <c r="BK128" s="179"/>
      <c r="BL128" s="179"/>
      <c r="BM128" s="179"/>
      <c r="BN128" s="179"/>
      <c r="BO128" s="179"/>
      <c r="BP128" s="179"/>
      <c r="BQ128" s="179"/>
      <c r="BR128" s="179"/>
      <c r="BS128" s="179"/>
      <c r="BT128" s="179"/>
      <c r="BU128" s="179"/>
      <c r="BV128" s="179"/>
      <c r="BW128" s="179"/>
      <c r="BX128" s="179"/>
      <c r="BY128" s="179"/>
      <c r="BZ128" s="179"/>
      <c r="CA128" s="179"/>
      <c r="CB128" s="179"/>
      <c r="CC128" s="179"/>
      <c r="CD128" s="179"/>
      <c r="CE128" s="179"/>
      <c r="CF128" s="179"/>
      <c r="CG128" s="179"/>
      <c r="CH128" s="179"/>
      <c r="CI128" s="179"/>
      <c r="CJ128" s="179"/>
      <c r="CK128" s="179"/>
      <c r="CL128" s="179"/>
      <c r="CM128" s="179"/>
      <c r="CN128" s="179"/>
      <c r="CO128" s="179"/>
      <c r="CP128" s="179"/>
      <c r="CQ128" s="179"/>
      <c r="CR128" s="179"/>
      <c r="CS128" s="179"/>
      <c r="CT128" s="179"/>
      <c r="CU128" s="179"/>
      <c r="CV128" s="179"/>
      <c r="CW128" s="179"/>
    </row>
    <row r="129" spans="1:101" x14ac:dyDescent="0.2">
      <c r="A129" s="32" t="str">
        <f t="shared" ca="1" si="1"/>
        <v>2025-08-09</v>
      </c>
      <c r="B129" s="179">
        <f ca="1">IF(ISNUMBER(MATCH(DATEVALUE($A129),'changes1_based on steps'!B$1:B$400,0)),B$2,)</f>
        <v>0</v>
      </c>
      <c r="C129" s="179">
        <f ca="1">IF(ISNUMBER(MATCH(DATEVALUE($A129),'changes1_based on steps'!C$1:C$400,0)),C$2,)</f>
        <v>0</v>
      </c>
      <c r="D129" s="179">
        <f ca="1">IF(ISNUMBER(MATCH(DATEVALUE($A129),'changes1_based on steps'!D$1:D$400,0)),D$2,)</f>
        <v>0</v>
      </c>
      <c r="E129" s="179">
        <f ca="1">IF(ISNUMBER(MATCH(DATEVALUE($A129),'changes1_based on steps'!E$1:E$400,0)),E$2,)</f>
        <v>0</v>
      </c>
      <c r="F129" s="179">
        <f ca="1">IF(ISNUMBER(MATCH(DATEVALUE($A129),'changes1_based on steps'!F$1:F$400,0)),F$2,)</f>
        <v>0</v>
      </c>
      <c r="G129" s="179">
        <f ca="1">IF(ISNUMBER(MATCH(DATEVALUE($A129),'changes1_based on steps'!G$1:G$400,0)),G$2,)</f>
        <v>0</v>
      </c>
      <c r="H129" s="179">
        <f ca="1">IF(ISNUMBER(MATCH(DATEVALUE($A129),'changes1_based on steps'!H$1:H$400,0)),H$2,)</f>
        <v>0</v>
      </c>
      <c r="I129" s="179">
        <f ca="1">IF(ISNUMBER(MATCH(DATEVALUE($A129),'changes1_based on steps'!I$1:I$400,0)),I$2,)</f>
        <v>0</v>
      </c>
      <c r="J129" s="179">
        <f ca="1">IF(ISNUMBER(MATCH(DATEVALUE($A129),'changes1_based on steps'!J$1:J$400,0)),J$2,)</f>
        <v>0</v>
      </c>
      <c r="K129" s="179">
        <f ca="1">IF(ISNUMBER(MATCH(DATEVALUE($A129),'changes1_based on steps'!K$1:K$400,0)),K$2,)</f>
        <v>0</v>
      </c>
      <c r="L129" s="179">
        <f ca="1">IF(ISNUMBER(MATCH(DATEVALUE($A129),'changes1_based on steps'!L$1:L$400,0)),L$2,)</f>
        <v>0</v>
      </c>
      <c r="M129" s="179">
        <f ca="1">IF(ISNUMBER(MATCH(DATEVALUE($A129),'changes1_based on steps'!M$1:M$400,0)),M$2,)</f>
        <v>0</v>
      </c>
      <c r="N129" s="179">
        <f ca="1">IF(ISNUMBER(MATCH(DATEVALUE($A129),'changes1_based on steps'!N$1:N$400,0)),N$2,)</f>
        <v>0</v>
      </c>
      <c r="O129" s="179">
        <f ca="1">IF(ISNUMBER(MATCH(DATEVALUE($A129),'changes1_based on steps'!O$1:O$400,0)),O$2,)</f>
        <v>0</v>
      </c>
      <c r="P129" s="179">
        <f ca="1">IF(ISNUMBER(MATCH(DATEVALUE($A129),'changes1_based on steps'!P$1:P$400,0)),P$2,)</f>
        <v>0</v>
      </c>
      <c r="Q129" s="179">
        <f ca="1">IF(ISNUMBER(MATCH(DATEVALUE($A129),'changes1_based on steps'!Q$1:Q$400,0)),Q$2,)</f>
        <v>0</v>
      </c>
      <c r="R129" s="179">
        <f ca="1">IF(ISNUMBER(MATCH(DATEVALUE($A129),'changes1_based on steps'!R$1:R$400,0)),R$2,)</f>
        <v>0</v>
      </c>
      <c r="S129" s="179">
        <f ca="1">IF(ISNUMBER(MATCH(DATEVALUE($A129),'changes1_based on steps'!S$1:S$400,0)),S$2,)</f>
        <v>0</v>
      </c>
      <c r="T129" s="179">
        <f ca="1">IF(ISNUMBER(MATCH(DATEVALUE($A129),'changes1_based on steps'!T$1:T$400,0)),T$2,)</f>
        <v>0</v>
      </c>
      <c r="U129" s="179">
        <f ca="1">IF(ISNUMBER(MATCH(DATEVALUE($A129),'changes1_based on steps'!U$1:U$400,0)),U$2,)</f>
        <v>0</v>
      </c>
      <c r="V129" s="179"/>
      <c r="W129" s="179"/>
      <c r="X129" s="179"/>
      <c r="Y129" s="179"/>
      <c r="Z129" s="179"/>
      <c r="AA129" s="179"/>
      <c r="AB129" s="179"/>
      <c r="AC129" s="179"/>
      <c r="AD129" s="179"/>
      <c r="AE129" s="179"/>
      <c r="AF129" s="179"/>
      <c r="AG129" s="179"/>
      <c r="AH129" s="179"/>
      <c r="AI129" s="179"/>
      <c r="AJ129" s="179"/>
      <c r="AK129" s="179"/>
      <c r="AL129" s="179"/>
      <c r="AM129" s="179"/>
      <c r="AN129" s="179"/>
      <c r="AO129" s="179"/>
      <c r="AP129" s="179"/>
      <c r="AQ129" s="179"/>
      <c r="AR129" s="179"/>
      <c r="AS129" s="179"/>
      <c r="AT129" s="179"/>
      <c r="AU129" s="179"/>
      <c r="AV129" s="179"/>
      <c r="AW129" s="179"/>
      <c r="AX129" s="179"/>
      <c r="AY129" s="179"/>
      <c r="AZ129" s="179"/>
      <c r="BA129" s="179"/>
      <c r="BB129" s="179"/>
      <c r="BC129" s="179"/>
      <c r="BD129" s="179"/>
      <c r="BE129" s="179"/>
      <c r="BF129" s="179"/>
      <c r="BG129" s="179"/>
      <c r="BH129" s="179"/>
      <c r="BI129" s="179"/>
      <c r="BJ129" s="179"/>
      <c r="BK129" s="179"/>
      <c r="BL129" s="179"/>
      <c r="BM129" s="179"/>
      <c r="BN129" s="179"/>
      <c r="BO129" s="179"/>
      <c r="BP129" s="179"/>
      <c r="BQ129" s="179"/>
      <c r="BR129" s="179"/>
      <c r="BS129" s="179"/>
      <c r="BT129" s="179"/>
      <c r="BU129" s="179"/>
      <c r="BV129" s="179"/>
      <c r="BW129" s="179"/>
      <c r="BX129" s="179"/>
      <c r="BY129" s="179"/>
      <c r="BZ129" s="179"/>
      <c r="CA129" s="179"/>
      <c r="CB129" s="179"/>
      <c r="CC129" s="179"/>
      <c r="CD129" s="179"/>
      <c r="CE129" s="179"/>
      <c r="CF129" s="179"/>
      <c r="CG129" s="179"/>
      <c r="CH129" s="179"/>
      <c r="CI129" s="179"/>
      <c r="CJ129" s="179"/>
      <c r="CK129" s="179"/>
      <c r="CL129" s="179"/>
      <c r="CM129" s="179"/>
      <c r="CN129" s="179"/>
      <c r="CO129" s="179"/>
      <c r="CP129" s="179"/>
      <c r="CQ129" s="179"/>
      <c r="CR129" s="179"/>
      <c r="CS129" s="179"/>
      <c r="CT129" s="179"/>
      <c r="CU129" s="179"/>
      <c r="CV129" s="179"/>
      <c r="CW129" s="179"/>
    </row>
    <row r="130" spans="1:101" x14ac:dyDescent="0.2">
      <c r="A130" s="32" t="str">
        <f t="shared" ca="1" si="1"/>
        <v>2025-08-10</v>
      </c>
      <c r="B130" s="179">
        <f ca="1">IF(ISNUMBER(MATCH(DATEVALUE($A130),'changes1_based on steps'!B$1:B$400,0)),B$2,)</f>
        <v>0</v>
      </c>
      <c r="C130" s="179">
        <f ca="1">IF(ISNUMBER(MATCH(DATEVALUE($A130),'changes1_based on steps'!C$1:C$400,0)),C$2,)</f>
        <v>0</v>
      </c>
      <c r="D130" s="179">
        <f ca="1">IF(ISNUMBER(MATCH(DATEVALUE($A130),'changes1_based on steps'!D$1:D$400,0)),D$2,)</f>
        <v>0</v>
      </c>
      <c r="E130" s="179">
        <f ca="1">IF(ISNUMBER(MATCH(DATEVALUE($A130),'changes1_based on steps'!E$1:E$400,0)),E$2,)</f>
        <v>0</v>
      </c>
      <c r="F130" s="179">
        <f ca="1">IF(ISNUMBER(MATCH(DATEVALUE($A130),'changes1_based on steps'!F$1:F$400,0)),F$2,)</f>
        <v>0</v>
      </c>
      <c r="G130" s="179">
        <f ca="1">IF(ISNUMBER(MATCH(DATEVALUE($A130),'changes1_based on steps'!G$1:G$400,0)),G$2,)</f>
        <v>0</v>
      </c>
      <c r="H130" s="179">
        <f ca="1">IF(ISNUMBER(MATCH(DATEVALUE($A130),'changes1_based on steps'!H$1:H$400,0)),H$2,)</f>
        <v>0</v>
      </c>
      <c r="I130" s="179">
        <f ca="1">IF(ISNUMBER(MATCH(DATEVALUE($A130),'changes1_based on steps'!I$1:I$400,0)),I$2,)</f>
        <v>0</v>
      </c>
      <c r="J130" s="179">
        <f ca="1">IF(ISNUMBER(MATCH(DATEVALUE($A130),'changes1_based on steps'!J$1:J$400,0)),J$2,)</f>
        <v>0</v>
      </c>
      <c r="K130" s="179">
        <f ca="1">IF(ISNUMBER(MATCH(DATEVALUE($A130),'changes1_based on steps'!K$1:K$400,0)),K$2,)</f>
        <v>0</v>
      </c>
      <c r="L130" s="179">
        <f ca="1">IF(ISNUMBER(MATCH(DATEVALUE($A130),'changes1_based on steps'!L$1:L$400,0)),L$2,)</f>
        <v>0</v>
      </c>
      <c r="M130" s="179">
        <f ca="1">IF(ISNUMBER(MATCH(DATEVALUE($A130),'changes1_based on steps'!M$1:M$400,0)),M$2,)</f>
        <v>0</v>
      </c>
      <c r="N130" s="179">
        <f ca="1">IF(ISNUMBER(MATCH(DATEVALUE($A130),'changes1_based on steps'!N$1:N$400,0)),N$2,)</f>
        <v>0</v>
      </c>
      <c r="O130" s="179">
        <f ca="1">IF(ISNUMBER(MATCH(DATEVALUE($A130),'changes1_based on steps'!O$1:O$400,0)),O$2,)</f>
        <v>0</v>
      </c>
      <c r="P130" s="179">
        <f ca="1">IF(ISNUMBER(MATCH(DATEVALUE($A130),'changes1_based on steps'!P$1:P$400,0)),P$2,)</f>
        <v>0</v>
      </c>
      <c r="Q130" s="179">
        <f ca="1">IF(ISNUMBER(MATCH(DATEVALUE($A130),'changes1_based on steps'!Q$1:Q$400,0)),Q$2,)</f>
        <v>0</v>
      </c>
      <c r="R130" s="179">
        <f ca="1">IF(ISNUMBER(MATCH(DATEVALUE($A130),'changes1_based on steps'!R$1:R$400,0)),R$2,)</f>
        <v>0</v>
      </c>
      <c r="S130" s="179">
        <f ca="1">IF(ISNUMBER(MATCH(DATEVALUE($A130),'changes1_based on steps'!S$1:S$400,0)),S$2,)</f>
        <v>0</v>
      </c>
      <c r="T130" s="179">
        <f ca="1">IF(ISNUMBER(MATCH(DATEVALUE($A130),'changes1_based on steps'!T$1:T$400,0)),T$2,)</f>
        <v>0</v>
      </c>
      <c r="U130" s="179">
        <f ca="1">IF(ISNUMBER(MATCH(DATEVALUE($A130),'changes1_based on steps'!U$1:U$400,0)),U$2,)</f>
        <v>0</v>
      </c>
      <c r="V130" s="179"/>
      <c r="W130" s="179"/>
      <c r="X130" s="179"/>
      <c r="Y130" s="179"/>
      <c r="Z130" s="179"/>
      <c r="AA130" s="179"/>
      <c r="AB130" s="179"/>
      <c r="AC130" s="179"/>
      <c r="AD130" s="179"/>
      <c r="AE130" s="179"/>
      <c r="AF130" s="179"/>
      <c r="AG130" s="179"/>
      <c r="AH130" s="179"/>
      <c r="AI130" s="179"/>
      <c r="AJ130" s="179"/>
      <c r="AK130" s="179"/>
      <c r="AL130" s="179"/>
      <c r="AM130" s="179"/>
      <c r="AN130" s="179"/>
      <c r="AO130" s="179"/>
      <c r="AP130" s="179"/>
      <c r="AQ130" s="179"/>
      <c r="AR130" s="179"/>
      <c r="AS130" s="179"/>
      <c r="AT130" s="179"/>
      <c r="AU130" s="179"/>
      <c r="AV130" s="179"/>
      <c r="AW130" s="179"/>
      <c r="AX130" s="179"/>
      <c r="AY130" s="179"/>
      <c r="AZ130" s="179"/>
      <c r="BA130" s="179"/>
      <c r="BB130" s="179"/>
      <c r="BC130" s="179"/>
      <c r="BD130" s="179"/>
      <c r="BE130" s="179"/>
      <c r="BF130" s="179"/>
      <c r="BG130" s="179"/>
      <c r="BH130" s="179"/>
      <c r="BI130" s="179"/>
      <c r="BJ130" s="179"/>
      <c r="BK130" s="179"/>
      <c r="BL130" s="179"/>
      <c r="BM130" s="179"/>
      <c r="BN130" s="179"/>
      <c r="BO130" s="179"/>
      <c r="BP130" s="179"/>
      <c r="BQ130" s="179"/>
      <c r="BR130" s="179"/>
      <c r="BS130" s="179"/>
      <c r="BT130" s="179"/>
      <c r="BU130" s="179"/>
      <c r="BV130" s="179"/>
      <c r="BW130" s="179"/>
      <c r="BX130" s="179"/>
      <c r="BY130" s="179"/>
      <c r="BZ130" s="179"/>
      <c r="CA130" s="179"/>
      <c r="CB130" s="179"/>
      <c r="CC130" s="179"/>
      <c r="CD130" s="179"/>
      <c r="CE130" s="179"/>
      <c r="CF130" s="179"/>
      <c r="CG130" s="179"/>
      <c r="CH130" s="179"/>
      <c r="CI130" s="179"/>
      <c r="CJ130" s="179"/>
      <c r="CK130" s="179"/>
      <c r="CL130" s="179"/>
      <c r="CM130" s="179"/>
      <c r="CN130" s="179"/>
      <c r="CO130" s="179"/>
      <c r="CP130" s="179"/>
      <c r="CQ130" s="179"/>
      <c r="CR130" s="179"/>
      <c r="CS130" s="179"/>
      <c r="CT130" s="179"/>
      <c r="CU130" s="179"/>
      <c r="CV130" s="179"/>
      <c r="CW130" s="179"/>
    </row>
    <row r="131" spans="1:101" x14ac:dyDescent="0.2">
      <c r="A131" s="32" t="str">
        <f t="shared" ca="1" si="1"/>
        <v>2025-08-11</v>
      </c>
      <c r="B131" s="179">
        <f ca="1">IF(ISNUMBER(MATCH(DATEVALUE($A131),'changes1_based on steps'!B$1:B$400,0)),B$2,)</f>
        <v>0</v>
      </c>
      <c r="C131" s="179">
        <f ca="1">IF(ISNUMBER(MATCH(DATEVALUE($A131),'changes1_based on steps'!C$1:C$400,0)),C$2,)</f>
        <v>0</v>
      </c>
      <c r="D131" s="179">
        <f ca="1">IF(ISNUMBER(MATCH(DATEVALUE($A131),'changes1_based on steps'!D$1:D$400,0)),D$2,)</f>
        <v>0</v>
      </c>
      <c r="E131" s="179">
        <f ca="1">IF(ISNUMBER(MATCH(DATEVALUE($A131),'changes1_based on steps'!E$1:E$400,0)),E$2,)</f>
        <v>0</v>
      </c>
      <c r="F131" s="179">
        <f ca="1">IF(ISNUMBER(MATCH(DATEVALUE($A131),'changes1_based on steps'!F$1:F$400,0)),F$2,)</f>
        <v>0</v>
      </c>
      <c r="G131" s="179">
        <f ca="1">IF(ISNUMBER(MATCH(DATEVALUE($A131),'changes1_based on steps'!G$1:G$400,0)),G$2,)</f>
        <v>0</v>
      </c>
      <c r="H131" s="179">
        <f ca="1">IF(ISNUMBER(MATCH(DATEVALUE($A131),'changes1_based on steps'!H$1:H$400,0)),H$2,)</f>
        <v>0</v>
      </c>
      <c r="I131" s="179">
        <f ca="1">IF(ISNUMBER(MATCH(DATEVALUE($A131),'changes1_based on steps'!I$1:I$400,0)),I$2,)</f>
        <v>0</v>
      </c>
      <c r="J131" s="179">
        <f ca="1">IF(ISNUMBER(MATCH(DATEVALUE($A131),'changes1_based on steps'!J$1:J$400,0)),J$2,)</f>
        <v>0</v>
      </c>
      <c r="K131" s="179">
        <f ca="1">IF(ISNUMBER(MATCH(DATEVALUE($A131),'changes1_based on steps'!K$1:K$400,0)),K$2,)</f>
        <v>0</v>
      </c>
      <c r="L131" s="179">
        <f ca="1">IF(ISNUMBER(MATCH(DATEVALUE($A131),'changes1_based on steps'!L$1:L$400,0)),L$2,)</f>
        <v>0</v>
      </c>
      <c r="M131" s="179">
        <f ca="1">IF(ISNUMBER(MATCH(DATEVALUE($A131),'changes1_based on steps'!M$1:M$400,0)),M$2,)</f>
        <v>0</v>
      </c>
      <c r="N131" s="179">
        <f ca="1">IF(ISNUMBER(MATCH(DATEVALUE($A131),'changes1_based on steps'!N$1:N$400,0)),N$2,)</f>
        <v>0</v>
      </c>
      <c r="O131" s="179">
        <f ca="1">IF(ISNUMBER(MATCH(DATEVALUE($A131),'changes1_based on steps'!O$1:O$400,0)),O$2,)</f>
        <v>0</v>
      </c>
      <c r="P131" s="179">
        <f ca="1">IF(ISNUMBER(MATCH(DATEVALUE($A131),'changes1_based on steps'!P$1:P$400,0)),P$2,)</f>
        <v>0</v>
      </c>
      <c r="Q131" s="179">
        <f ca="1">IF(ISNUMBER(MATCH(DATEVALUE($A131),'changes1_based on steps'!Q$1:Q$400,0)),Q$2,)</f>
        <v>0</v>
      </c>
      <c r="R131" s="179">
        <f ca="1">IF(ISNUMBER(MATCH(DATEVALUE($A131),'changes1_based on steps'!R$1:R$400,0)),R$2,)</f>
        <v>0</v>
      </c>
      <c r="S131" s="179">
        <f ca="1">IF(ISNUMBER(MATCH(DATEVALUE($A131),'changes1_based on steps'!S$1:S$400,0)),S$2,)</f>
        <v>0</v>
      </c>
      <c r="T131" s="179">
        <f ca="1">IF(ISNUMBER(MATCH(DATEVALUE($A131),'changes1_based on steps'!T$1:T$400,0)),T$2,)</f>
        <v>0</v>
      </c>
      <c r="U131" s="179">
        <f ca="1">IF(ISNUMBER(MATCH(DATEVALUE($A131),'changes1_based on steps'!U$1:U$400,0)),U$2,)</f>
        <v>0</v>
      </c>
      <c r="V131" s="179"/>
      <c r="W131" s="179"/>
      <c r="X131" s="179"/>
      <c r="Y131" s="179"/>
      <c r="Z131" s="179"/>
      <c r="AA131" s="179"/>
      <c r="AB131" s="179"/>
      <c r="AC131" s="179"/>
      <c r="AD131" s="179"/>
      <c r="AE131" s="179"/>
      <c r="AF131" s="179"/>
      <c r="AG131" s="179"/>
      <c r="AH131" s="179"/>
      <c r="AI131" s="179"/>
      <c r="AJ131" s="179"/>
      <c r="AK131" s="179"/>
      <c r="AL131" s="179"/>
      <c r="AM131" s="179"/>
      <c r="AN131" s="179"/>
      <c r="AO131" s="179"/>
      <c r="AP131" s="179"/>
      <c r="AQ131" s="179"/>
      <c r="AR131" s="179"/>
      <c r="AS131" s="179"/>
      <c r="AT131" s="179"/>
      <c r="AU131" s="179"/>
      <c r="AV131" s="179"/>
      <c r="AW131" s="179"/>
      <c r="AX131" s="179"/>
      <c r="AY131" s="179"/>
      <c r="AZ131" s="179"/>
      <c r="BA131" s="179"/>
      <c r="BB131" s="179"/>
      <c r="BC131" s="179"/>
      <c r="BD131" s="179"/>
      <c r="BE131" s="179"/>
      <c r="BF131" s="179"/>
      <c r="BG131" s="179"/>
      <c r="BH131" s="179"/>
      <c r="BI131" s="179"/>
      <c r="BJ131" s="179"/>
      <c r="BK131" s="179"/>
      <c r="BL131" s="179"/>
      <c r="BM131" s="179"/>
      <c r="BN131" s="179"/>
      <c r="BO131" s="179"/>
      <c r="BP131" s="179"/>
      <c r="BQ131" s="179"/>
      <c r="BR131" s="179"/>
      <c r="BS131" s="179"/>
      <c r="BT131" s="179"/>
      <c r="BU131" s="179"/>
      <c r="BV131" s="179"/>
      <c r="BW131" s="179"/>
      <c r="BX131" s="179"/>
      <c r="BY131" s="179"/>
      <c r="BZ131" s="179"/>
      <c r="CA131" s="179"/>
      <c r="CB131" s="179"/>
      <c r="CC131" s="179"/>
      <c r="CD131" s="179"/>
      <c r="CE131" s="179"/>
      <c r="CF131" s="179"/>
      <c r="CG131" s="179"/>
      <c r="CH131" s="179"/>
      <c r="CI131" s="179"/>
      <c r="CJ131" s="179"/>
      <c r="CK131" s="179"/>
      <c r="CL131" s="179"/>
      <c r="CM131" s="179"/>
      <c r="CN131" s="179"/>
      <c r="CO131" s="179"/>
      <c r="CP131" s="179"/>
      <c r="CQ131" s="179"/>
      <c r="CR131" s="179"/>
      <c r="CS131" s="179"/>
      <c r="CT131" s="179"/>
      <c r="CU131" s="179"/>
      <c r="CV131" s="179"/>
      <c r="CW131" s="179"/>
    </row>
    <row r="132" spans="1:101" x14ac:dyDescent="0.2">
      <c r="A132" s="32" t="str">
        <f t="shared" ca="1" si="1"/>
        <v>2025-08-12</v>
      </c>
      <c r="B132" s="179">
        <f ca="1">IF(ISNUMBER(MATCH(DATEVALUE($A132),'changes1_based on steps'!B$1:B$400,0)),B$2,)</f>
        <v>0</v>
      </c>
      <c r="C132" s="179">
        <f ca="1">IF(ISNUMBER(MATCH(DATEVALUE($A132),'changes1_based on steps'!C$1:C$400,0)),C$2,)</f>
        <v>0</v>
      </c>
      <c r="D132" s="179">
        <f ca="1">IF(ISNUMBER(MATCH(DATEVALUE($A132),'changes1_based on steps'!D$1:D$400,0)),D$2,)</f>
        <v>0</v>
      </c>
      <c r="E132" s="179">
        <f ca="1">IF(ISNUMBER(MATCH(DATEVALUE($A132),'changes1_based on steps'!E$1:E$400,0)),E$2,)</f>
        <v>0</v>
      </c>
      <c r="F132" s="179">
        <f ca="1">IF(ISNUMBER(MATCH(DATEVALUE($A132),'changes1_based on steps'!F$1:F$400,0)),F$2,)</f>
        <v>0</v>
      </c>
      <c r="G132" s="179">
        <f ca="1">IF(ISNUMBER(MATCH(DATEVALUE($A132),'changes1_based on steps'!G$1:G$400,0)),G$2,)</f>
        <v>0</v>
      </c>
      <c r="H132" s="179">
        <f ca="1">IF(ISNUMBER(MATCH(DATEVALUE($A132),'changes1_based on steps'!H$1:H$400,0)),H$2,)</f>
        <v>0</v>
      </c>
      <c r="I132" s="179">
        <f ca="1">IF(ISNUMBER(MATCH(DATEVALUE($A132),'changes1_based on steps'!I$1:I$400,0)),I$2,)</f>
        <v>0</v>
      </c>
      <c r="J132" s="179">
        <f ca="1">IF(ISNUMBER(MATCH(DATEVALUE($A132),'changes1_based on steps'!J$1:J$400,0)),J$2,)</f>
        <v>0</v>
      </c>
      <c r="K132" s="179">
        <f ca="1">IF(ISNUMBER(MATCH(DATEVALUE($A132),'changes1_based on steps'!K$1:K$400,0)),K$2,)</f>
        <v>0</v>
      </c>
      <c r="L132" s="179">
        <f ca="1">IF(ISNUMBER(MATCH(DATEVALUE($A132),'changes1_based on steps'!L$1:L$400,0)),L$2,)</f>
        <v>0</v>
      </c>
      <c r="M132" s="179">
        <f ca="1">IF(ISNUMBER(MATCH(DATEVALUE($A132),'changes1_based on steps'!M$1:M$400,0)),M$2,)</f>
        <v>0</v>
      </c>
      <c r="N132" s="179">
        <f ca="1">IF(ISNUMBER(MATCH(DATEVALUE($A132),'changes1_based on steps'!N$1:N$400,0)),N$2,)</f>
        <v>0</v>
      </c>
      <c r="O132" s="179">
        <f ca="1">IF(ISNUMBER(MATCH(DATEVALUE($A132),'changes1_based on steps'!O$1:O$400,0)),O$2,)</f>
        <v>0</v>
      </c>
      <c r="P132" s="179">
        <f ca="1">IF(ISNUMBER(MATCH(DATEVALUE($A132),'changes1_based on steps'!P$1:P$400,0)),P$2,)</f>
        <v>0</v>
      </c>
      <c r="Q132" s="179">
        <f ca="1">IF(ISNUMBER(MATCH(DATEVALUE($A132),'changes1_based on steps'!Q$1:Q$400,0)),Q$2,)</f>
        <v>0</v>
      </c>
      <c r="R132" s="179">
        <f ca="1">IF(ISNUMBER(MATCH(DATEVALUE($A132),'changes1_based on steps'!R$1:R$400,0)),R$2,)</f>
        <v>0</v>
      </c>
      <c r="S132" s="179">
        <f ca="1">IF(ISNUMBER(MATCH(DATEVALUE($A132),'changes1_based on steps'!S$1:S$400,0)),S$2,)</f>
        <v>0</v>
      </c>
      <c r="T132" s="179">
        <f ca="1">IF(ISNUMBER(MATCH(DATEVALUE($A132),'changes1_based on steps'!T$1:T$400,0)),T$2,)</f>
        <v>0</v>
      </c>
      <c r="U132" s="179">
        <f ca="1">IF(ISNUMBER(MATCH(DATEVALUE($A132),'changes1_based on steps'!U$1:U$400,0)),U$2,)</f>
        <v>0</v>
      </c>
      <c r="V132" s="179"/>
      <c r="W132" s="179"/>
      <c r="X132" s="179"/>
      <c r="Y132" s="179"/>
      <c r="Z132" s="179"/>
      <c r="AA132" s="179"/>
      <c r="AB132" s="179"/>
      <c r="AC132" s="179"/>
      <c r="AD132" s="179"/>
      <c r="AE132" s="179"/>
      <c r="AF132" s="179"/>
      <c r="AG132" s="179"/>
      <c r="AH132" s="179"/>
      <c r="AI132" s="179"/>
      <c r="AJ132" s="179"/>
      <c r="AK132" s="179"/>
      <c r="AL132" s="179"/>
      <c r="AM132" s="179"/>
      <c r="AN132" s="179"/>
      <c r="AO132" s="179"/>
      <c r="AP132" s="179"/>
      <c r="AQ132" s="179"/>
      <c r="AR132" s="179"/>
      <c r="AS132" s="179"/>
      <c r="AT132" s="179"/>
      <c r="AU132" s="179"/>
      <c r="AV132" s="179"/>
      <c r="AW132" s="179"/>
      <c r="AX132" s="179"/>
      <c r="AY132" s="179"/>
      <c r="AZ132" s="179"/>
      <c r="BA132" s="179"/>
      <c r="BB132" s="179"/>
      <c r="BC132" s="179"/>
      <c r="BD132" s="179"/>
      <c r="BE132" s="179"/>
      <c r="BF132" s="179"/>
      <c r="BG132" s="179"/>
      <c r="BH132" s="179"/>
      <c r="BI132" s="179"/>
      <c r="BJ132" s="179"/>
      <c r="BK132" s="179"/>
      <c r="BL132" s="179"/>
      <c r="BM132" s="179"/>
      <c r="BN132" s="179"/>
      <c r="BO132" s="179"/>
      <c r="BP132" s="179"/>
      <c r="BQ132" s="179"/>
      <c r="BR132" s="179"/>
      <c r="BS132" s="179"/>
      <c r="BT132" s="179"/>
      <c r="BU132" s="179"/>
      <c r="BV132" s="179"/>
      <c r="BW132" s="179"/>
      <c r="BX132" s="179"/>
      <c r="BY132" s="179"/>
      <c r="BZ132" s="179"/>
      <c r="CA132" s="179"/>
      <c r="CB132" s="179"/>
      <c r="CC132" s="179"/>
      <c r="CD132" s="179"/>
      <c r="CE132" s="179"/>
      <c r="CF132" s="179"/>
      <c r="CG132" s="179"/>
      <c r="CH132" s="179"/>
      <c r="CI132" s="179"/>
      <c r="CJ132" s="179"/>
      <c r="CK132" s="179"/>
      <c r="CL132" s="179"/>
      <c r="CM132" s="179"/>
      <c r="CN132" s="179"/>
      <c r="CO132" s="179"/>
      <c r="CP132" s="179"/>
      <c r="CQ132" s="179"/>
      <c r="CR132" s="179"/>
      <c r="CS132" s="179"/>
      <c r="CT132" s="179"/>
      <c r="CU132" s="179"/>
      <c r="CV132" s="179"/>
      <c r="CW132" s="179"/>
    </row>
    <row r="133" spans="1:101" x14ac:dyDescent="0.2">
      <c r="A133" s="32" t="str">
        <f t="shared" ref="A133:A196" ca="1" si="2">TEXT(DATEVALUE(A132)+1,"yyyy-mm-dd")</f>
        <v>2025-08-13</v>
      </c>
      <c r="B133" s="179">
        <f ca="1">IF(ISNUMBER(MATCH(DATEVALUE($A133),'changes1_based on steps'!B$1:B$400,0)),B$2,)</f>
        <v>0</v>
      </c>
      <c r="C133" s="179">
        <f ca="1">IF(ISNUMBER(MATCH(DATEVALUE($A133),'changes1_based on steps'!C$1:C$400,0)),C$2,)</f>
        <v>0</v>
      </c>
      <c r="D133" s="179">
        <f ca="1">IF(ISNUMBER(MATCH(DATEVALUE($A133),'changes1_based on steps'!D$1:D$400,0)),D$2,)</f>
        <v>0</v>
      </c>
      <c r="E133" s="179">
        <f ca="1">IF(ISNUMBER(MATCH(DATEVALUE($A133),'changes1_based on steps'!E$1:E$400,0)),E$2,)</f>
        <v>0</v>
      </c>
      <c r="F133" s="179">
        <f ca="1">IF(ISNUMBER(MATCH(DATEVALUE($A133),'changes1_based on steps'!F$1:F$400,0)),F$2,)</f>
        <v>0</v>
      </c>
      <c r="G133" s="179">
        <f ca="1">IF(ISNUMBER(MATCH(DATEVALUE($A133),'changes1_based on steps'!G$1:G$400,0)),G$2,)</f>
        <v>0</v>
      </c>
      <c r="H133" s="179">
        <f ca="1">IF(ISNUMBER(MATCH(DATEVALUE($A133),'changes1_based on steps'!H$1:H$400,0)),H$2,)</f>
        <v>0</v>
      </c>
      <c r="I133" s="179">
        <f ca="1">IF(ISNUMBER(MATCH(DATEVALUE($A133),'changes1_based on steps'!I$1:I$400,0)),I$2,)</f>
        <v>0</v>
      </c>
      <c r="J133" s="179">
        <f ca="1">IF(ISNUMBER(MATCH(DATEVALUE($A133),'changes1_based on steps'!J$1:J$400,0)),J$2,)</f>
        <v>0</v>
      </c>
      <c r="K133" s="179">
        <f ca="1">IF(ISNUMBER(MATCH(DATEVALUE($A133),'changes1_based on steps'!K$1:K$400,0)),K$2,)</f>
        <v>0</v>
      </c>
      <c r="L133" s="179">
        <f ca="1">IF(ISNUMBER(MATCH(DATEVALUE($A133),'changes1_based on steps'!L$1:L$400,0)),L$2,)</f>
        <v>0</v>
      </c>
      <c r="M133" s="179">
        <f ca="1">IF(ISNUMBER(MATCH(DATEVALUE($A133),'changes1_based on steps'!M$1:M$400,0)),M$2,)</f>
        <v>0</v>
      </c>
      <c r="N133" s="179">
        <f ca="1">IF(ISNUMBER(MATCH(DATEVALUE($A133),'changes1_based on steps'!N$1:N$400,0)),N$2,)</f>
        <v>0</v>
      </c>
      <c r="O133" s="179">
        <f ca="1">IF(ISNUMBER(MATCH(DATEVALUE($A133),'changes1_based on steps'!O$1:O$400,0)),O$2,)</f>
        <v>0</v>
      </c>
      <c r="P133" s="179">
        <f ca="1">IF(ISNUMBER(MATCH(DATEVALUE($A133),'changes1_based on steps'!P$1:P$400,0)),P$2,)</f>
        <v>0</v>
      </c>
      <c r="Q133" s="179">
        <f ca="1">IF(ISNUMBER(MATCH(DATEVALUE($A133),'changes1_based on steps'!Q$1:Q$400,0)),Q$2,)</f>
        <v>0</v>
      </c>
      <c r="R133" s="179">
        <f ca="1">IF(ISNUMBER(MATCH(DATEVALUE($A133),'changes1_based on steps'!R$1:R$400,0)),R$2,)</f>
        <v>0</v>
      </c>
      <c r="S133" s="179">
        <f ca="1">IF(ISNUMBER(MATCH(DATEVALUE($A133),'changes1_based on steps'!S$1:S$400,0)),S$2,)</f>
        <v>0</v>
      </c>
      <c r="T133" s="179">
        <f ca="1">IF(ISNUMBER(MATCH(DATEVALUE($A133),'changes1_based on steps'!T$1:T$400,0)),T$2,)</f>
        <v>0</v>
      </c>
      <c r="U133" s="179">
        <f ca="1">IF(ISNUMBER(MATCH(DATEVALUE($A133),'changes1_based on steps'!U$1:U$400,0)),U$2,)</f>
        <v>0</v>
      </c>
      <c r="V133" s="179"/>
      <c r="W133" s="179"/>
      <c r="X133" s="179"/>
      <c r="Y133" s="179"/>
      <c r="Z133" s="179"/>
      <c r="AA133" s="179"/>
      <c r="AB133" s="179"/>
      <c r="AC133" s="179"/>
      <c r="AD133" s="179"/>
      <c r="AE133" s="179"/>
      <c r="AF133" s="179"/>
      <c r="AG133" s="179"/>
      <c r="AH133" s="179"/>
      <c r="AI133" s="179"/>
      <c r="AJ133" s="179"/>
      <c r="AK133" s="179"/>
      <c r="AL133" s="179"/>
      <c r="AM133" s="179"/>
      <c r="AN133" s="179"/>
      <c r="AO133" s="179"/>
      <c r="AP133" s="179"/>
      <c r="AQ133" s="179"/>
      <c r="AR133" s="179"/>
      <c r="AS133" s="179"/>
      <c r="AT133" s="179"/>
      <c r="AU133" s="179"/>
      <c r="AV133" s="179"/>
      <c r="AW133" s="179"/>
      <c r="AX133" s="179"/>
      <c r="AY133" s="179"/>
      <c r="AZ133" s="179"/>
      <c r="BA133" s="179"/>
      <c r="BB133" s="179"/>
      <c r="BC133" s="179"/>
      <c r="BD133" s="179"/>
      <c r="BE133" s="179"/>
      <c r="BF133" s="179"/>
      <c r="BG133" s="179"/>
      <c r="BH133" s="179"/>
      <c r="BI133" s="179"/>
      <c r="BJ133" s="179"/>
      <c r="BK133" s="179"/>
      <c r="BL133" s="179"/>
      <c r="BM133" s="179"/>
      <c r="BN133" s="179"/>
      <c r="BO133" s="179"/>
      <c r="BP133" s="179"/>
      <c r="BQ133" s="179"/>
      <c r="BR133" s="179"/>
      <c r="BS133" s="179"/>
      <c r="BT133" s="179"/>
      <c r="BU133" s="179"/>
      <c r="BV133" s="179"/>
      <c r="BW133" s="179"/>
      <c r="BX133" s="179"/>
      <c r="BY133" s="179"/>
      <c r="BZ133" s="179"/>
      <c r="CA133" s="179"/>
      <c r="CB133" s="179"/>
      <c r="CC133" s="179"/>
      <c r="CD133" s="179"/>
      <c r="CE133" s="179"/>
      <c r="CF133" s="179"/>
      <c r="CG133" s="179"/>
      <c r="CH133" s="179"/>
      <c r="CI133" s="179"/>
      <c r="CJ133" s="179"/>
      <c r="CK133" s="179"/>
      <c r="CL133" s="179"/>
      <c r="CM133" s="179"/>
      <c r="CN133" s="179"/>
      <c r="CO133" s="179"/>
      <c r="CP133" s="179"/>
      <c r="CQ133" s="179"/>
      <c r="CR133" s="179"/>
      <c r="CS133" s="179"/>
      <c r="CT133" s="179"/>
      <c r="CU133" s="179"/>
      <c r="CV133" s="179"/>
      <c r="CW133" s="179"/>
    </row>
    <row r="134" spans="1:101" x14ac:dyDescent="0.2">
      <c r="A134" s="32" t="str">
        <f t="shared" ca="1" si="2"/>
        <v>2025-08-14</v>
      </c>
      <c r="B134" s="179">
        <f ca="1">IF(ISNUMBER(MATCH(DATEVALUE($A134),'changes1_based on steps'!B$1:B$400,0)),B$2,)</f>
        <v>0</v>
      </c>
      <c r="C134" s="179">
        <f ca="1">IF(ISNUMBER(MATCH(DATEVALUE($A134),'changes1_based on steps'!C$1:C$400,0)),C$2,)</f>
        <v>0</v>
      </c>
      <c r="D134" s="179">
        <f ca="1">IF(ISNUMBER(MATCH(DATEVALUE($A134),'changes1_based on steps'!D$1:D$400,0)),D$2,)</f>
        <v>0</v>
      </c>
      <c r="E134" s="179">
        <f ca="1">IF(ISNUMBER(MATCH(DATEVALUE($A134),'changes1_based on steps'!E$1:E$400,0)),E$2,)</f>
        <v>0</v>
      </c>
      <c r="F134" s="179">
        <f ca="1">IF(ISNUMBER(MATCH(DATEVALUE($A134),'changes1_based on steps'!F$1:F$400,0)),F$2,)</f>
        <v>0</v>
      </c>
      <c r="G134" s="179">
        <f ca="1">IF(ISNUMBER(MATCH(DATEVALUE($A134),'changes1_based on steps'!G$1:G$400,0)),G$2,)</f>
        <v>0</v>
      </c>
      <c r="H134" s="179">
        <f ca="1">IF(ISNUMBER(MATCH(DATEVALUE($A134),'changes1_based on steps'!H$1:H$400,0)),H$2,)</f>
        <v>0</v>
      </c>
      <c r="I134" s="179">
        <f ca="1">IF(ISNUMBER(MATCH(DATEVALUE($A134),'changes1_based on steps'!I$1:I$400,0)),I$2,)</f>
        <v>0</v>
      </c>
      <c r="J134" s="179">
        <f ca="1">IF(ISNUMBER(MATCH(DATEVALUE($A134),'changes1_based on steps'!J$1:J$400,0)),J$2,)</f>
        <v>0</v>
      </c>
      <c r="K134" s="179">
        <f ca="1">IF(ISNUMBER(MATCH(DATEVALUE($A134),'changes1_based on steps'!K$1:K$400,0)),K$2,)</f>
        <v>0</v>
      </c>
      <c r="L134" s="179">
        <f ca="1">IF(ISNUMBER(MATCH(DATEVALUE($A134),'changes1_based on steps'!L$1:L$400,0)),L$2,)</f>
        <v>0</v>
      </c>
      <c r="M134" s="179">
        <f ca="1">IF(ISNUMBER(MATCH(DATEVALUE($A134),'changes1_based on steps'!M$1:M$400,0)),M$2,)</f>
        <v>0</v>
      </c>
      <c r="N134" s="179">
        <f ca="1">IF(ISNUMBER(MATCH(DATEVALUE($A134),'changes1_based on steps'!N$1:N$400,0)),N$2,)</f>
        <v>0</v>
      </c>
      <c r="O134" s="179">
        <f ca="1">IF(ISNUMBER(MATCH(DATEVALUE($A134),'changes1_based on steps'!O$1:O$400,0)),O$2,)</f>
        <v>0</v>
      </c>
      <c r="P134" s="179">
        <f ca="1">IF(ISNUMBER(MATCH(DATEVALUE($A134),'changes1_based on steps'!P$1:P$400,0)),P$2,)</f>
        <v>0</v>
      </c>
      <c r="Q134" s="179">
        <f ca="1">IF(ISNUMBER(MATCH(DATEVALUE($A134),'changes1_based on steps'!Q$1:Q$400,0)),Q$2,)</f>
        <v>0</v>
      </c>
      <c r="R134" s="179">
        <f ca="1">IF(ISNUMBER(MATCH(DATEVALUE($A134),'changes1_based on steps'!R$1:R$400,0)),R$2,)</f>
        <v>0</v>
      </c>
      <c r="S134" s="179">
        <f ca="1">IF(ISNUMBER(MATCH(DATEVALUE($A134),'changes1_based on steps'!S$1:S$400,0)),S$2,)</f>
        <v>0</v>
      </c>
      <c r="T134" s="179">
        <f ca="1">IF(ISNUMBER(MATCH(DATEVALUE($A134),'changes1_based on steps'!T$1:T$400,0)),T$2,)</f>
        <v>0</v>
      </c>
      <c r="U134" s="179">
        <f ca="1">IF(ISNUMBER(MATCH(DATEVALUE($A134),'changes1_based on steps'!U$1:U$400,0)),U$2,)</f>
        <v>0</v>
      </c>
      <c r="V134" s="179"/>
      <c r="W134" s="179"/>
      <c r="X134" s="179"/>
      <c r="Y134" s="179"/>
      <c r="Z134" s="179"/>
      <c r="AA134" s="179"/>
      <c r="AB134" s="179"/>
      <c r="AC134" s="179"/>
      <c r="AD134" s="179"/>
      <c r="AE134" s="179"/>
      <c r="AF134" s="179"/>
      <c r="AG134" s="179"/>
      <c r="AH134" s="179"/>
      <c r="AI134" s="179"/>
      <c r="AJ134" s="179"/>
      <c r="AK134" s="179"/>
      <c r="AL134" s="179"/>
      <c r="AM134" s="179"/>
      <c r="AN134" s="179"/>
      <c r="AO134" s="179"/>
      <c r="AP134" s="179"/>
      <c r="AQ134" s="179"/>
      <c r="AR134" s="179"/>
      <c r="AS134" s="179"/>
      <c r="AT134" s="179"/>
      <c r="AU134" s="179"/>
      <c r="AV134" s="179"/>
      <c r="AW134" s="179"/>
      <c r="AX134" s="179"/>
      <c r="AY134" s="179"/>
      <c r="AZ134" s="179"/>
      <c r="BA134" s="179"/>
      <c r="BB134" s="179"/>
      <c r="BC134" s="179"/>
      <c r="BD134" s="179"/>
      <c r="BE134" s="179"/>
      <c r="BF134" s="179"/>
      <c r="BG134" s="179"/>
      <c r="BH134" s="179"/>
      <c r="BI134" s="179"/>
      <c r="BJ134" s="179"/>
      <c r="BK134" s="179"/>
      <c r="BL134" s="179"/>
      <c r="BM134" s="179"/>
      <c r="BN134" s="179"/>
      <c r="BO134" s="179"/>
      <c r="BP134" s="179"/>
      <c r="BQ134" s="179"/>
      <c r="BR134" s="179"/>
      <c r="BS134" s="179"/>
      <c r="BT134" s="179"/>
      <c r="BU134" s="179"/>
      <c r="BV134" s="179"/>
      <c r="BW134" s="179"/>
      <c r="BX134" s="179"/>
      <c r="BY134" s="179"/>
      <c r="BZ134" s="179"/>
      <c r="CA134" s="179"/>
      <c r="CB134" s="179"/>
      <c r="CC134" s="179"/>
      <c r="CD134" s="179"/>
      <c r="CE134" s="179"/>
      <c r="CF134" s="179"/>
      <c r="CG134" s="179"/>
      <c r="CH134" s="179"/>
      <c r="CI134" s="179"/>
      <c r="CJ134" s="179"/>
      <c r="CK134" s="179"/>
      <c r="CL134" s="179"/>
      <c r="CM134" s="179"/>
      <c r="CN134" s="179"/>
      <c r="CO134" s="179"/>
      <c r="CP134" s="179"/>
      <c r="CQ134" s="179"/>
      <c r="CR134" s="179"/>
      <c r="CS134" s="179"/>
      <c r="CT134" s="179"/>
      <c r="CU134" s="179"/>
      <c r="CV134" s="179"/>
      <c r="CW134" s="179"/>
    </row>
    <row r="135" spans="1:101" x14ac:dyDescent="0.2">
      <c r="A135" s="32" t="str">
        <f t="shared" ca="1" si="2"/>
        <v>2025-08-15</v>
      </c>
      <c r="B135" s="179">
        <f ca="1">IF(ISNUMBER(MATCH(DATEVALUE($A135),'changes1_based on steps'!B$1:B$400,0)),B$2,)</f>
        <v>0</v>
      </c>
      <c r="C135" s="179">
        <f ca="1">IF(ISNUMBER(MATCH(DATEVALUE($A135),'changes1_based on steps'!C$1:C$400,0)),C$2,)</f>
        <v>0</v>
      </c>
      <c r="D135" s="179">
        <f ca="1">IF(ISNUMBER(MATCH(DATEVALUE($A135),'changes1_based on steps'!D$1:D$400,0)),D$2,)</f>
        <v>0</v>
      </c>
      <c r="E135" s="179">
        <f ca="1">IF(ISNUMBER(MATCH(DATEVALUE($A135),'changes1_based on steps'!E$1:E$400,0)),E$2,)</f>
        <v>0</v>
      </c>
      <c r="F135" s="179">
        <f ca="1">IF(ISNUMBER(MATCH(DATEVALUE($A135),'changes1_based on steps'!F$1:F$400,0)),F$2,)</f>
        <v>0</v>
      </c>
      <c r="G135" s="179">
        <f ca="1">IF(ISNUMBER(MATCH(DATEVALUE($A135),'changes1_based on steps'!G$1:G$400,0)),G$2,)</f>
        <v>0</v>
      </c>
      <c r="H135" s="179">
        <f ca="1">IF(ISNUMBER(MATCH(DATEVALUE($A135),'changes1_based on steps'!H$1:H$400,0)),H$2,)</f>
        <v>0</v>
      </c>
      <c r="I135" s="179">
        <f ca="1">IF(ISNUMBER(MATCH(DATEVALUE($A135),'changes1_based on steps'!I$1:I$400,0)),I$2,)</f>
        <v>0</v>
      </c>
      <c r="J135" s="179">
        <f ca="1">IF(ISNUMBER(MATCH(DATEVALUE($A135),'changes1_based on steps'!J$1:J$400,0)),J$2,)</f>
        <v>0</v>
      </c>
      <c r="K135" s="179">
        <f ca="1">IF(ISNUMBER(MATCH(DATEVALUE($A135),'changes1_based on steps'!K$1:K$400,0)),K$2,)</f>
        <v>0</v>
      </c>
      <c r="L135" s="179">
        <f ca="1">IF(ISNUMBER(MATCH(DATEVALUE($A135),'changes1_based on steps'!L$1:L$400,0)),L$2,)</f>
        <v>0</v>
      </c>
      <c r="M135" s="179">
        <f ca="1">IF(ISNUMBER(MATCH(DATEVALUE($A135),'changes1_based on steps'!M$1:M$400,0)),M$2,)</f>
        <v>0</v>
      </c>
      <c r="N135" s="179">
        <f ca="1">IF(ISNUMBER(MATCH(DATEVALUE($A135),'changes1_based on steps'!N$1:N$400,0)),N$2,)</f>
        <v>0</v>
      </c>
      <c r="O135" s="179">
        <f ca="1">IF(ISNUMBER(MATCH(DATEVALUE($A135),'changes1_based on steps'!O$1:O$400,0)),O$2,)</f>
        <v>0</v>
      </c>
      <c r="P135" s="179">
        <f ca="1">IF(ISNUMBER(MATCH(DATEVALUE($A135),'changes1_based on steps'!P$1:P$400,0)),P$2,)</f>
        <v>0</v>
      </c>
      <c r="Q135" s="179">
        <f ca="1">IF(ISNUMBER(MATCH(DATEVALUE($A135),'changes1_based on steps'!Q$1:Q$400,0)),Q$2,)</f>
        <v>0</v>
      </c>
      <c r="R135" s="179">
        <f ca="1">IF(ISNUMBER(MATCH(DATEVALUE($A135),'changes1_based on steps'!R$1:R$400,0)),R$2,)</f>
        <v>0</v>
      </c>
      <c r="S135" s="179">
        <f ca="1">IF(ISNUMBER(MATCH(DATEVALUE($A135),'changes1_based on steps'!S$1:S$400,0)),S$2,)</f>
        <v>0</v>
      </c>
      <c r="T135" s="179">
        <f ca="1">IF(ISNUMBER(MATCH(DATEVALUE($A135),'changes1_based on steps'!T$1:T$400,0)),T$2,)</f>
        <v>0</v>
      </c>
      <c r="U135" s="179">
        <f ca="1">IF(ISNUMBER(MATCH(DATEVALUE($A135),'changes1_based on steps'!U$1:U$400,0)),U$2,)</f>
        <v>0</v>
      </c>
      <c r="V135" s="179"/>
      <c r="W135" s="179"/>
      <c r="X135" s="179"/>
      <c r="Y135" s="179"/>
      <c r="Z135" s="179"/>
      <c r="AA135" s="179"/>
      <c r="AB135" s="179"/>
      <c r="AC135" s="179"/>
      <c r="AD135" s="179"/>
      <c r="AE135" s="179"/>
      <c r="AF135" s="179"/>
      <c r="AG135" s="179"/>
      <c r="AH135" s="179"/>
      <c r="AI135" s="179"/>
      <c r="AJ135" s="179"/>
      <c r="AK135" s="179"/>
      <c r="AL135" s="179"/>
      <c r="AM135" s="179"/>
      <c r="AN135" s="179"/>
      <c r="AO135" s="179"/>
      <c r="AP135" s="179"/>
      <c r="AQ135" s="179"/>
      <c r="AR135" s="179"/>
      <c r="AS135" s="179"/>
      <c r="AT135" s="179"/>
      <c r="AU135" s="179"/>
      <c r="AV135" s="179"/>
      <c r="AW135" s="179"/>
      <c r="AX135" s="179"/>
      <c r="AY135" s="179"/>
      <c r="AZ135" s="179"/>
      <c r="BA135" s="179"/>
      <c r="BB135" s="179"/>
      <c r="BC135" s="179"/>
      <c r="BD135" s="179"/>
      <c r="BE135" s="179"/>
      <c r="BF135" s="179"/>
      <c r="BG135" s="179"/>
      <c r="BH135" s="179"/>
      <c r="BI135" s="179"/>
      <c r="BJ135" s="179"/>
      <c r="BK135" s="179"/>
      <c r="BL135" s="179"/>
      <c r="BM135" s="179"/>
      <c r="BN135" s="179"/>
      <c r="BO135" s="179"/>
      <c r="BP135" s="179"/>
      <c r="BQ135" s="179"/>
      <c r="BR135" s="179"/>
      <c r="BS135" s="179"/>
      <c r="BT135" s="179"/>
      <c r="BU135" s="179"/>
      <c r="BV135" s="179"/>
      <c r="BW135" s="179"/>
      <c r="BX135" s="179"/>
      <c r="BY135" s="179"/>
      <c r="BZ135" s="179"/>
      <c r="CA135" s="179"/>
      <c r="CB135" s="179"/>
      <c r="CC135" s="179"/>
      <c r="CD135" s="179"/>
      <c r="CE135" s="179"/>
      <c r="CF135" s="179"/>
      <c r="CG135" s="179"/>
      <c r="CH135" s="179"/>
      <c r="CI135" s="179"/>
      <c r="CJ135" s="179"/>
      <c r="CK135" s="179"/>
      <c r="CL135" s="179"/>
      <c r="CM135" s="179"/>
      <c r="CN135" s="179"/>
      <c r="CO135" s="179"/>
      <c r="CP135" s="179"/>
      <c r="CQ135" s="179"/>
      <c r="CR135" s="179"/>
      <c r="CS135" s="179"/>
      <c r="CT135" s="179"/>
      <c r="CU135" s="179"/>
      <c r="CV135" s="179"/>
      <c r="CW135" s="179"/>
    </row>
    <row r="136" spans="1:101" x14ac:dyDescent="0.2">
      <c r="A136" s="32" t="str">
        <f t="shared" ca="1" si="2"/>
        <v>2025-08-16</v>
      </c>
      <c r="B136" s="179">
        <f ca="1">IF(ISNUMBER(MATCH(DATEVALUE($A136),'changes1_based on steps'!B$1:B$400,0)),B$2,)</f>
        <v>0</v>
      </c>
      <c r="C136" s="179">
        <f ca="1">IF(ISNUMBER(MATCH(DATEVALUE($A136),'changes1_based on steps'!C$1:C$400,0)),C$2,)</f>
        <v>0</v>
      </c>
      <c r="D136" s="179">
        <f ca="1">IF(ISNUMBER(MATCH(DATEVALUE($A136),'changes1_based on steps'!D$1:D$400,0)),D$2,)</f>
        <v>0</v>
      </c>
      <c r="E136" s="179">
        <f ca="1">IF(ISNUMBER(MATCH(DATEVALUE($A136),'changes1_based on steps'!E$1:E$400,0)),E$2,)</f>
        <v>0</v>
      </c>
      <c r="F136" s="179">
        <f ca="1">IF(ISNUMBER(MATCH(DATEVALUE($A136),'changes1_based on steps'!F$1:F$400,0)),F$2,)</f>
        <v>0</v>
      </c>
      <c r="G136" s="179">
        <f ca="1">IF(ISNUMBER(MATCH(DATEVALUE($A136),'changes1_based on steps'!G$1:G$400,0)),G$2,)</f>
        <v>0</v>
      </c>
      <c r="H136" s="179">
        <f ca="1">IF(ISNUMBER(MATCH(DATEVALUE($A136),'changes1_based on steps'!H$1:H$400,0)),H$2,)</f>
        <v>0</v>
      </c>
      <c r="I136" s="179">
        <f ca="1">IF(ISNUMBER(MATCH(DATEVALUE($A136),'changes1_based on steps'!I$1:I$400,0)),I$2,)</f>
        <v>0</v>
      </c>
      <c r="J136" s="179">
        <f ca="1">IF(ISNUMBER(MATCH(DATEVALUE($A136),'changes1_based on steps'!J$1:J$400,0)),J$2,)</f>
        <v>0</v>
      </c>
      <c r="K136" s="179">
        <f ca="1">IF(ISNUMBER(MATCH(DATEVALUE($A136),'changes1_based on steps'!K$1:K$400,0)),K$2,)</f>
        <v>0</v>
      </c>
      <c r="L136" s="179">
        <f ca="1">IF(ISNUMBER(MATCH(DATEVALUE($A136),'changes1_based on steps'!L$1:L$400,0)),L$2,)</f>
        <v>0</v>
      </c>
      <c r="M136" s="179">
        <f ca="1">IF(ISNUMBER(MATCH(DATEVALUE($A136),'changes1_based on steps'!M$1:M$400,0)),M$2,)</f>
        <v>0</v>
      </c>
      <c r="N136" s="179">
        <f ca="1">IF(ISNUMBER(MATCH(DATEVALUE($A136),'changes1_based on steps'!N$1:N$400,0)),N$2,)</f>
        <v>0</v>
      </c>
      <c r="O136" s="179">
        <f ca="1">IF(ISNUMBER(MATCH(DATEVALUE($A136),'changes1_based on steps'!O$1:O$400,0)),O$2,)</f>
        <v>0</v>
      </c>
      <c r="P136" s="179">
        <f ca="1">IF(ISNUMBER(MATCH(DATEVALUE($A136),'changes1_based on steps'!P$1:P$400,0)),P$2,)</f>
        <v>0</v>
      </c>
      <c r="Q136" s="179">
        <f ca="1">IF(ISNUMBER(MATCH(DATEVALUE($A136),'changes1_based on steps'!Q$1:Q$400,0)),Q$2,)</f>
        <v>0</v>
      </c>
      <c r="R136" s="179">
        <f ca="1">IF(ISNUMBER(MATCH(DATEVALUE($A136),'changes1_based on steps'!R$1:R$400,0)),R$2,)</f>
        <v>0</v>
      </c>
      <c r="S136" s="179">
        <f ca="1">IF(ISNUMBER(MATCH(DATEVALUE($A136),'changes1_based on steps'!S$1:S$400,0)),S$2,)</f>
        <v>0</v>
      </c>
      <c r="T136" s="179">
        <f ca="1">IF(ISNUMBER(MATCH(DATEVALUE($A136),'changes1_based on steps'!T$1:T$400,0)),T$2,)</f>
        <v>0</v>
      </c>
      <c r="U136" s="179">
        <f ca="1">IF(ISNUMBER(MATCH(DATEVALUE($A136),'changes1_based on steps'!U$1:U$400,0)),U$2,)</f>
        <v>0</v>
      </c>
      <c r="V136" s="179"/>
      <c r="W136" s="179"/>
      <c r="X136" s="179"/>
      <c r="Y136" s="179"/>
      <c r="Z136" s="179"/>
      <c r="AA136" s="179"/>
      <c r="AB136" s="179"/>
      <c r="AC136" s="179"/>
      <c r="AD136" s="179"/>
      <c r="AE136" s="179"/>
      <c r="AF136" s="179"/>
      <c r="AG136" s="179"/>
      <c r="AH136" s="179"/>
      <c r="AI136" s="179"/>
      <c r="AJ136" s="179"/>
      <c r="AK136" s="179"/>
      <c r="AL136" s="179"/>
      <c r="AM136" s="179"/>
      <c r="AN136" s="179"/>
      <c r="AO136" s="179"/>
      <c r="AP136" s="179"/>
      <c r="AQ136" s="179"/>
      <c r="AR136" s="179"/>
      <c r="AS136" s="179"/>
      <c r="AT136" s="179"/>
      <c r="AU136" s="179"/>
      <c r="AV136" s="179"/>
      <c r="AW136" s="179"/>
      <c r="AX136" s="179"/>
      <c r="AY136" s="179"/>
      <c r="AZ136" s="179"/>
      <c r="BA136" s="179"/>
      <c r="BB136" s="179"/>
      <c r="BC136" s="179"/>
      <c r="BD136" s="179"/>
      <c r="BE136" s="179"/>
      <c r="BF136" s="179"/>
      <c r="BG136" s="179"/>
      <c r="BH136" s="179"/>
      <c r="BI136" s="179"/>
      <c r="BJ136" s="179"/>
      <c r="BK136" s="179"/>
      <c r="BL136" s="179"/>
      <c r="BM136" s="179"/>
      <c r="BN136" s="179"/>
      <c r="BO136" s="179"/>
      <c r="BP136" s="179"/>
      <c r="BQ136" s="179"/>
      <c r="BR136" s="179"/>
      <c r="BS136" s="179"/>
      <c r="BT136" s="179"/>
      <c r="BU136" s="179"/>
      <c r="BV136" s="179"/>
      <c r="BW136" s="179"/>
      <c r="BX136" s="179"/>
      <c r="BY136" s="179"/>
      <c r="BZ136" s="179"/>
      <c r="CA136" s="179"/>
      <c r="CB136" s="179"/>
      <c r="CC136" s="179"/>
      <c r="CD136" s="179"/>
      <c r="CE136" s="179"/>
      <c r="CF136" s="179"/>
      <c r="CG136" s="179"/>
      <c r="CH136" s="179"/>
      <c r="CI136" s="179"/>
      <c r="CJ136" s="179"/>
      <c r="CK136" s="179"/>
      <c r="CL136" s="179"/>
      <c r="CM136" s="179"/>
      <c r="CN136" s="179"/>
      <c r="CO136" s="179"/>
      <c r="CP136" s="179"/>
      <c r="CQ136" s="179"/>
      <c r="CR136" s="179"/>
      <c r="CS136" s="179"/>
      <c r="CT136" s="179"/>
      <c r="CU136" s="179"/>
      <c r="CV136" s="179"/>
      <c r="CW136" s="179"/>
    </row>
    <row r="137" spans="1:101" x14ac:dyDescent="0.2">
      <c r="A137" s="32" t="str">
        <f t="shared" ca="1" si="2"/>
        <v>2025-08-17</v>
      </c>
      <c r="B137" s="179">
        <f ca="1">IF(ISNUMBER(MATCH(DATEVALUE($A137),'changes1_based on steps'!B$1:B$400,0)),B$2,)</f>
        <v>0</v>
      </c>
      <c r="C137" s="179">
        <f ca="1">IF(ISNUMBER(MATCH(DATEVALUE($A137),'changes1_based on steps'!C$1:C$400,0)),C$2,)</f>
        <v>0</v>
      </c>
      <c r="D137" s="179">
        <f ca="1">IF(ISNUMBER(MATCH(DATEVALUE($A137),'changes1_based on steps'!D$1:D$400,0)),D$2,)</f>
        <v>0</v>
      </c>
      <c r="E137" s="179">
        <f ca="1">IF(ISNUMBER(MATCH(DATEVALUE($A137),'changes1_based on steps'!E$1:E$400,0)),E$2,)</f>
        <v>0</v>
      </c>
      <c r="F137" s="179">
        <f ca="1">IF(ISNUMBER(MATCH(DATEVALUE($A137),'changes1_based on steps'!F$1:F$400,0)),F$2,)</f>
        <v>0</v>
      </c>
      <c r="G137" s="179">
        <f ca="1">IF(ISNUMBER(MATCH(DATEVALUE($A137),'changes1_based on steps'!G$1:G$400,0)),G$2,)</f>
        <v>0</v>
      </c>
      <c r="H137" s="179">
        <f ca="1">IF(ISNUMBER(MATCH(DATEVALUE($A137),'changes1_based on steps'!H$1:H$400,0)),H$2,)</f>
        <v>0</v>
      </c>
      <c r="I137" s="179">
        <f ca="1">IF(ISNUMBER(MATCH(DATEVALUE($A137),'changes1_based on steps'!I$1:I$400,0)),I$2,)</f>
        <v>0</v>
      </c>
      <c r="J137" s="179">
        <f ca="1">IF(ISNUMBER(MATCH(DATEVALUE($A137),'changes1_based on steps'!J$1:J$400,0)),J$2,)</f>
        <v>0</v>
      </c>
      <c r="K137" s="179">
        <f ca="1">IF(ISNUMBER(MATCH(DATEVALUE($A137),'changes1_based on steps'!K$1:K$400,0)),K$2,)</f>
        <v>0</v>
      </c>
      <c r="L137" s="179">
        <f ca="1">IF(ISNUMBER(MATCH(DATEVALUE($A137),'changes1_based on steps'!L$1:L$400,0)),L$2,)</f>
        <v>0</v>
      </c>
      <c r="M137" s="179">
        <f ca="1">IF(ISNUMBER(MATCH(DATEVALUE($A137),'changes1_based on steps'!M$1:M$400,0)),M$2,)</f>
        <v>0</v>
      </c>
      <c r="N137" s="179">
        <f ca="1">IF(ISNUMBER(MATCH(DATEVALUE($A137),'changes1_based on steps'!N$1:N$400,0)),N$2,)</f>
        <v>0</v>
      </c>
      <c r="O137" s="179">
        <f ca="1">IF(ISNUMBER(MATCH(DATEVALUE($A137),'changes1_based on steps'!O$1:O$400,0)),O$2,)</f>
        <v>0</v>
      </c>
      <c r="P137" s="179">
        <f ca="1">IF(ISNUMBER(MATCH(DATEVALUE($A137),'changes1_based on steps'!P$1:P$400,0)),P$2,)</f>
        <v>0</v>
      </c>
      <c r="Q137" s="179">
        <f ca="1">IF(ISNUMBER(MATCH(DATEVALUE($A137),'changes1_based on steps'!Q$1:Q$400,0)),Q$2,)</f>
        <v>0</v>
      </c>
      <c r="R137" s="179">
        <f ca="1">IF(ISNUMBER(MATCH(DATEVALUE($A137),'changes1_based on steps'!R$1:R$400,0)),R$2,)</f>
        <v>0</v>
      </c>
      <c r="S137" s="179">
        <f ca="1">IF(ISNUMBER(MATCH(DATEVALUE($A137),'changes1_based on steps'!S$1:S$400,0)),S$2,)</f>
        <v>0</v>
      </c>
      <c r="T137" s="179">
        <f ca="1">IF(ISNUMBER(MATCH(DATEVALUE($A137),'changes1_based on steps'!T$1:T$400,0)),T$2,)</f>
        <v>0</v>
      </c>
      <c r="U137" s="179">
        <f ca="1">IF(ISNUMBER(MATCH(DATEVALUE($A137),'changes1_based on steps'!U$1:U$400,0)),U$2,)</f>
        <v>0</v>
      </c>
      <c r="V137" s="179"/>
      <c r="W137" s="179"/>
      <c r="X137" s="179"/>
      <c r="Y137" s="179"/>
      <c r="Z137" s="179"/>
      <c r="AA137" s="179"/>
      <c r="AB137" s="179"/>
      <c r="AC137" s="179"/>
      <c r="AD137" s="179"/>
      <c r="AE137" s="179"/>
      <c r="AF137" s="179"/>
      <c r="AG137" s="179"/>
      <c r="AH137" s="179"/>
      <c r="AI137" s="179"/>
      <c r="AJ137" s="179"/>
      <c r="AK137" s="179"/>
      <c r="AL137" s="179"/>
      <c r="AM137" s="179"/>
      <c r="AN137" s="179"/>
      <c r="AO137" s="179"/>
      <c r="AP137" s="179"/>
      <c r="AQ137" s="179"/>
      <c r="AR137" s="179"/>
      <c r="AS137" s="179"/>
      <c r="AT137" s="179"/>
      <c r="AU137" s="179"/>
      <c r="AV137" s="179"/>
      <c r="AW137" s="179"/>
      <c r="AX137" s="179"/>
      <c r="AY137" s="179"/>
      <c r="AZ137" s="179"/>
      <c r="BA137" s="179"/>
      <c r="BB137" s="179"/>
      <c r="BC137" s="179"/>
      <c r="BD137" s="179"/>
      <c r="BE137" s="179"/>
      <c r="BF137" s="179"/>
      <c r="BG137" s="179"/>
      <c r="BH137" s="179"/>
      <c r="BI137" s="179"/>
      <c r="BJ137" s="179"/>
      <c r="BK137" s="179"/>
      <c r="BL137" s="179"/>
      <c r="BM137" s="179"/>
      <c r="BN137" s="179"/>
      <c r="BO137" s="179"/>
      <c r="BP137" s="179"/>
      <c r="BQ137" s="179"/>
      <c r="BR137" s="179"/>
      <c r="BS137" s="179"/>
      <c r="BT137" s="179"/>
      <c r="BU137" s="179"/>
      <c r="BV137" s="179"/>
      <c r="BW137" s="179"/>
      <c r="BX137" s="179"/>
      <c r="BY137" s="179"/>
      <c r="BZ137" s="179"/>
      <c r="CA137" s="179"/>
      <c r="CB137" s="179"/>
      <c r="CC137" s="179"/>
      <c r="CD137" s="179"/>
      <c r="CE137" s="179"/>
      <c r="CF137" s="179"/>
      <c r="CG137" s="179"/>
      <c r="CH137" s="179"/>
      <c r="CI137" s="179"/>
      <c r="CJ137" s="179"/>
      <c r="CK137" s="179"/>
      <c r="CL137" s="179"/>
      <c r="CM137" s="179"/>
      <c r="CN137" s="179"/>
      <c r="CO137" s="179"/>
      <c r="CP137" s="179"/>
      <c r="CQ137" s="179"/>
      <c r="CR137" s="179"/>
      <c r="CS137" s="179"/>
      <c r="CT137" s="179"/>
      <c r="CU137" s="179"/>
      <c r="CV137" s="179"/>
      <c r="CW137" s="179"/>
    </row>
    <row r="138" spans="1:101" x14ac:dyDescent="0.2">
      <c r="A138" s="32" t="str">
        <f t="shared" ca="1" si="2"/>
        <v>2025-08-18</v>
      </c>
      <c r="B138" s="179">
        <f ca="1">IF(ISNUMBER(MATCH(DATEVALUE($A138),'changes1_based on steps'!B$1:B$400,0)),B$2,)</f>
        <v>0</v>
      </c>
      <c r="C138" s="179">
        <f ca="1">IF(ISNUMBER(MATCH(DATEVALUE($A138),'changes1_based on steps'!C$1:C$400,0)),C$2,)</f>
        <v>0</v>
      </c>
      <c r="D138" s="179">
        <f ca="1">IF(ISNUMBER(MATCH(DATEVALUE($A138),'changes1_based on steps'!D$1:D$400,0)),D$2,)</f>
        <v>0</v>
      </c>
      <c r="E138" s="179">
        <f ca="1">IF(ISNUMBER(MATCH(DATEVALUE($A138),'changes1_based on steps'!E$1:E$400,0)),E$2,)</f>
        <v>0</v>
      </c>
      <c r="F138" s="179">
        <f ca="1">IF(ISNUMBER(MATCH(DATEVALUE($A138),'changes1_based on steps'!F$1:F$400,0)),F$2,)</f>
        <v>0</v>
      </c>
      <c r="G138" s="179">
        <f ca="1">IF(ISNUMBER(MATCH(DATEVALUE($A138),'changes1_based on steps'!G$1:G$400,0)),G$2,)</f>
        <v>0</v>
      </c>
      <c r="H138" s="179">
        <f ca="1">IF(ISNUMBER(MATCH(DATEVALUE($A138),'changes1_based on steps'!H$1:H$400,0)),H$2,)</f>
        <v>0</v>
      </c>
      <c r="I138" s="179">
        <f ca="1">IF(ISNUMBER(MATCH(DATEVALUE($A138),'changes1_based on steps'!I$1:I$400,0)),I$2,)</f>
        <v>0</v>
      </c>
      <c r="J138" s="179">
        <f ca="1">IF(ISNUMBER(MATCH(DATEVALUE($A138),'changes1_based on steps'!J$1:J$400,0)),J$2,)</f>
        <v>0</v>
      </c>
      <c r="K138" s="179">
        <f ca="1">IF(ISNUMBER(MATCH(DATEVALUE($A138),'changes1_based on steps'!K$1:K$400,0)),K$2,)</f>
        <v>0</v>
      </c>
      <c r="L138" s="179">
        <f ca="1">IF(ISNUMBER(MATCH(DATEVALUE($A138),'changes1_based on steps'!L$1:L$400,0)),L$2,)</f>
        <v>0</v>
      </c>
      <c r="M138" s="179">
        <f ca="1">IF(ISNUMBER(MATCH(DATEVALUE($A138),'changes1_based on steps'!M$1:M$400,0)),M$2,)</f>
        <v>0</v>
      </c>
      <c r="N138" s="179">
        <f ca="1">IF(ISNUMBER(MATCH(DATEVALUE($A138),'changes1_based on steps'!N$1:N$400,0)),N$2,)</f>
        <v>0</v>
      </c>
      <c r="O138" s="179">
        <f ca="1">IF(ISNUMBER(MATCH(DATEVALUE($A138),'changes1_based on steps'!O$1:O$400,0)),O$2,)</f>
        <v>0</v>
      </c>
      <c r="P138" s="179">
        <f ca="1">IF(ISNUMBER(MATCH(DATEVALUE($A138),'changes1_based on steps'!P$1:P$400,0)),P$2,)</f>
        <v>0</v>
      </c>
      <c r="Q138" s="179">
        <f ca="1">IF(ISNUMBER(MATCH(DATEVALUE($A138),'changes1_based on steps'!Q$1:Q$400,0)),Q$2,)</f>
        <v>0</v>
      </c>
      <c r="R138" s="179">
        <f ca="1">IF(ISNUMBER(MATCH(DATEVALUE($A138),'changes1_based on steps'!R$1:R$400,0)),R$2,)</f>
        <v>0</v>
      </c>
      <c r="S138" s="179">
        <f ca="1">IF(ISNUMBER(MATCH(DATEVALUE($A138),'changes1_based on steps'!S$1:S$400,0)),S$2,)</f>
        <v>0</v>
      </c>
      <c r="T138" s="179">
        <f ca="1">IF(ISNUMBER(MATCH(DATEVALUE($A138),'changes1_based on steps'!T$1:T$400,0)),T$2,)</f>
        <v>0</v>
      </c>
      <c r="U138" s="179">
        <f ca="1">IF(ISNUMBER(MATCH(DATEVALUE($A138),'changes1_based on steps'!U$1:U$400,0)),U$2,)</f>
        <v>0</v>
      </c>
      <c r="V138" s="179"/>
      <c r="W138" s="179"/>
      <c r="X138" s="179"/>
      <c r="Y138" s="179"/>
      <c r="Z138" s="179"/>
      <c r="AA138" s="179"/>
      <c r="AB138" s="179"/>
      <c r="AC138" s="179"/>
      <c r="AD138" s="179"/>
      <c r="AE138" s="179"/>
      <c r="AF138" s="179"/>
      <c r="AG138" s="179"/>
      <c r="AH138" s="179"/>
      <c r="AI138" s="179"/>
      <c r="AJ138" s="179"/>
      <c r="AK138" s="179"/>
      <c r="AL138" s="179"/>
      <c r="AM138" s="179"/>
      <c r="AN138" s="179"/>
      <c r="AO138" s="179"/>
      <c r="AP138" s="179"/>
      <c r="AQ138" s="179"/>
      <c r="AR138" s="179"/>
      <c r="AS138" s="179"/>
      <c r="AT138" s="179"/>
      <c r="AU138" s="179"/>
      <c r="AV138" s="179"/>
      <c r="AW138" s="179"/>
      <c r="AX138" s="179"/>
      <c r="AY138" s="179"/>
      <c r="AZ138" s="179"/>
      <c r="BA138" s="179"/>
      <c r="BB138" s="179"/>
      <c r="BC138" s="179"/>
      <c r="BD138" s="179"/>
      <c r="BE138" s="179"/>
      <c r="BF138" s="179"/>
      <c r="BG138" s="179"/>
      <c r="BH138" s="179"/>
      <c r="BI138" s="179"/>
      <c r="BJ138" s="179"/>
      <c r="BK138" s="179"/>
      <c r="BL138" s="179"/>
      <c r="BM138" s="179"/>
      <c r="BN138" s="179"/>
      <c r="BO138" s="179"/>
      <c r="BP138" s="179"/>
      <c r="BQ138" s="179"/>
      <c r="BR138" s="179"/>
      <c r="BS138" s="179"/>
      <c r="BT138" s="179"/>
      <c r="BU138" s="179"/>
      <c r="BV138" s="179"/>
      <c r="BW138" s="179"/>
      <c r="BX138" s="179"/>
      <c r="BY138" s="179"/>
      <c r="BZ138" s="179"/>
      <c r="CA138" s="179"/>
      <c r="CB138" s="179"/>
      <c r="CC138" s="179"/>
      <c r="CD138" s="179"/>
      <c r="CE138" s="179"/>
      <c r="CF138" s="179"/>
      <c r="CG138" s="179"/>
      <c r="CH138" s="179"/>
      <c r="CI138" s="179"/>
      <c r="CJ138" s="179"/>
      <c r="CK138" s="179"/>
      <c r="CL138" s="179"/>
      <c r="CM138" s="179"/>
      <c r="CN138" s="179"/>
      <c r="CO138" s="179"/>
      <c r="CP138" s="179"/>
      <c r="CQ138" s="179"/>
      <c r="CR138" s="179"/>
      <c r="CS138" s="179"/>
      <c r="CT138" s="179"/>
      <c r="CU138" s="179"/>
      <c r="CV138" s="179"/>
      <c r="CW138" s="179"/>
    </row>
    <row r="139" spans="1:101" x14ac:dyDescent="0.2">
      <c r="A139" s="32" t="str">
        <f t="shared" ca="1" si="2"/>
        <v>2025-08-19</v>
      </c>
      <c r="B139" s="179">
        <f ca="1">IF(ISNUMBER(MATCH(DATEVALUE($A139),'changes1_based on steps'!B$1:B$400,0)),B$2,)</f>
        <v>0</v>
      </c>
      <c r="C139" s="179">
        <f ca="1">IF(ISNUMBER(MATCH(DATEVALUE($A139),'changes1_based on steps'!C$1:C$400,0)),C$2,)</f>
        <v>0</v>
      </c>
      <c r="D139" s="179">
        <f ca="1">IF(ISNUMBER(MATCH(DATEVALUE($A139),'changes1_based on steps'!D$1:D$400,0)),D$2,)</f>
        <v>0</v>
      </c>
      <c r="E139" s="179">
        <f ca="1">IF(ISNUMBER(MATCH(DATEVALUE($A139),'changes1_based on steps'!E$1:E$400,0)),E$2,)</f>
        <v>0</v>
      </c>
      <c r="F139" s="179">
        <f ca="1">IF(ISNUMBER(MATCH(DATEVALUE($A139),'changes1_based on steps'!F$1:F$400,0)),F$2,)</f>
        <v>0</v>
      </c>
      <c r="G139" s="179">
        <f ca="1">IF(ISNUMBER(MATCH(DATEVALUE($A139),'changes1_based on steps'!G$1:G$400,0)),G$2,)</f>
        <v>0</v>
      </c>
      <c r="H139" s="179">
        <f ca="1">IF(ISNUMBER(MATCH(DATEVALUE($A139),'changes1_based on steps'!H$1:H$400,0)),H$2,)</f>
        <v>0</v>
      </c>
      <c r="I139" s="179">
        <f ca="1">IF(ISNUMBER(MATCH(DATEVALUE($A139),'changes1_based on steps'!I$1:I$400,0)),I$2,)</f>
        <v>0</v>
      </c>
      <c r="J139" s="179">
        <f ca="1">IF(ISNUMBER(MATCH(DATEVALUE($A139),'changes1_based on steps'!J$1:J$400,0)),J$2,)</f>
        <v>0</v>
      </c>
      <c r="K139" s="179">
        <f ca="1">IF(ISNUMBER(MATCH(DATEVALUE($A139),'changes1_based on steps'!K$1:K$400,0)),K$2,)</f>
        <v>0</v>
      </c>
      <c r="L139" s="179">
        <f ca="1">IF(ISNUMBER(MATCH(DATEVALUE($A139),'changes1_based on steps'!L$1:L$400,0)),L$2,)</f>
        <v>0</v>
      </c>
      <c r="M139" s="179">
        <f ca="1">IF(ISNUMBER(MATCH(DATEVALUE($A139),'changes1_based on steps'!M$1:M$400,0)),M$2,)</f>
        <v>0</v>
      </c>
      <c r="N139" s="179">
        <f ca="1">IF(ISNUMBER(MATCH(DATEVALUE($A139),'changes1_based on steps'!N$1:N$400,0)),N$2,)</f>
        <v>0</v>
      </c>
      <c r="O139" s="179">
        <f ca="1">IF(ISNUMBER(MATCH(DATEVALUE($A139),'changes1_based on steps'!O$1:O$400,0)),O$2,)</f>
        <v>0</v>
      </c>
      <c r="P139" s="179">
        <f ca="1">IF(ISNUMBER(MATCH(DATEVALUE($A139),'changes1_based on steps'!P$1:P$400,0)),P$2,)</f>
        <v>0</v>
      </c>
      <c r="Q139" s="179">
        <f ca="1">IF(ISNUMBER(MATCH(DATEVALUE($A139),'changes1_based on steps'!Q$1:Q$400,0)),Q$2,)</f>
        <v>0</v>
      </c>
      <c r="R139" s="179">
        <f ca="1">IF(ISNUMBER(MATCH(DATEVALUE($A139),'changes1_based on steps'!R$1:R$400,0)),R$2,)</f>
        <v>0</v>
      </c>
      <c r="S139" s="179">
        <f ca="1">IF(ISNUMBER(MATCH(DATEVALUE($A139),'changes1_based on steps'!S$1:S$400,0)),S$2,)</f>
        <v>0</v>
      </c>
      <c r="T139" s="179">
        <f ca="1">IF(ISNUMBER(MATCH(DATEVALUE($A139),'changes1_based on steps'!T$1:T$400,0)),T$2,)</f>
        <v>0</v>
      </c>
      <c r="U139" s="179">
        <f ca="1">IF(ISNUMBER(MATCH(DATEVALUE($A139),'changes1_based on steps'!U$1:U$400,0)),U$2,)</f>
        <v>0</v>
      </c>
      <c r="V139" s="179"/>
      <c r="W139" s="179"/>
      <c r="X139" s="179"/>
      <c r="Y139" s="179"/>
      <c r="Z139" s="179"/>
      <c r="AA139" s="179"/>
      <c r="AB139" s="179"/>
      <c r="AC139" s="179"/>
      <c r="AD139" s="179"/>
      <c r="AE139" s="179"/>
      <c r="AF139" s="179"/>
      <c r="AG139" s="179"/>
      <c r="AH139" s="179"/>
      <c r="AI139" s="179"/>
      <c r="AJ139" s="179"/>
      <c r="AK139" s="179"/>
      <c r="AL139" s="179"/>
      <c r="AM139" s="179"/>
      <c r="AN139" s="179"/>
      <c r="AO139" s="179"/>
      <c r="AP139" s="179"/>
      <c r="AQ139" s="179"/>
      <c r="AR139" s="179"/>
      <c r="AS139" s="179"/>
      <c r="AT139" s="179"/>
      <c r="AU139" s="179"/>
      <c r="AV139" s="179"/>
      <c r="AW139" s="179"/>
      <c r="AX139" s="179"/>
      <c r="AY139" s="179"/>
      <c r="AZ139" s="179"/>
      <c r="BA139" s="179"/>
      <c r="BB139" s="179"/>
      <c r="BC139" s="179"/>
      <c r="BD139" s="179"/>
      <c r="BE139" s="179"/>
      <c r="BF139" s="179"/>
      <c r="BG139" s="179"/>
      <c r="BH139" s="179"/>
      <c r="BI139" s="179"/>
      <c r="BJ139" s="179"/>
      <c r="BK139" s="179"/>
      <c r="BL139" s="179"/>
      <c r="BM139" s="179"/>
      <c r="BN139" s="179"/>
      <c r="BO139" s="179"/>
      <c r="BP139" s="179"/>
      <c r="BQ139" s="179"/>
      <c r="BR139" s="179"/>
      <c r="BS139" s="179"/>
      <c r="BT139" s="179"/>
      <c r="BU139" s="179"/>
      <c r="BV139" s="179"/>
      <c r="BW139" s="179"/>
      <c r="BX139" s="179"/>
      <c r="BY139" s="179"/>
      <c r="BZ139" s="179"/>
      <c r="CA139" s="179"/>
      <c r="CB139" s="179"/>
      <c r="CC139" s="179"/>
      <c r="CD139" s="179"/>
      <c r="CE139" s="179"/>
      <c r="CF139" s="179"/>
      <c r="CG139" s="179"/>
      <c r="CH139" s="179"/>
      <c r="CI139" s="179"/>
      <c r="CJ139" s="179"/>
      <c r="CK139" s="179"/>
      <c r="CL139" s="179"/>
      <c r="CM139" s="179"/>
      <c r="CN139" s="179"/>
      <c r="CO139" s="179"/>
      <c r="CP139" s="179"/>
      <c r="CQ139" s="179"/>
      <c r="CR139" s="179"/>
      <c r="CS139" s="179"/>
      <c r="CT139" s="179"/>
      <c r="CU139" s="179"/>
      <c r="CV139" s="179"/>
      <c r="CW139" s="179"/>
    </row>
    <row r="140" spans="1:101" x14ac:dyDescent="0.2">
      <c r="A140" s="32" t="str">
        <f t="shared" ca="1" si="2"/>
        <v>2025-08-20</v>
      </c>
      <c r="B140" s="179">
        <f ca="1">IF(ISNUMBER(MATCH(DATEVALUE($A140),'changes1_based on steps'!B$1:B$400,0)),B$2,)</f>
        <v>0</v>
      </c>
      <c r="C140" s="179">
        <f ca="1">IF(ISNUMBER(MATCH(DATEVALUE($A140),'changes1_based on steps'!C$1:C$400,0)),C$2,)</f>
        <v>0</v>
      </c>
      <c r="D140" s="179">
        <f ca="1">IF(ISNUMBER(MATCH(DATEVALUE($A140),'changes1_based on steps'!D$1:D$400,0)),D$2,)</f>
        <v>0</v>
      </c>
      <c r="E140" s="179">
        <f ca="1">IF(ISNUMBER(MATCH(DATEVALUE($A140),'changes1_based on steps'!E$1:E$400,0)),E$2,)</f>
        <v>0</v>
      </c>
      <c r="F140" s="179">
        <f ca="1">IF(ISNUMBER(MATCH(DATEVALUE($A140),'changes1_based on steps'!F$1:F$400,0)),F$2,)</f>
        <v>0</v>
      </c>
      <c r="G140" s="179">
        <f ca="1">IF(ISNUMBER(MATCH(DATEVALUE($A140),'changes1_based on steps'!G$1:G$400,0)),G$2,)</f>
        <v>0</v>
      </c>
      <c r="H140" s="179">
        <f ca="1">IF(ISNUMBER(MATCH(DATEVALUE($A140),'changes1_based on steps'!H$1:H$400,0)),H$2,)</f>
        <v>0</v>
      </c>
      <c r="I140" s="179">
        <f ca="1">IF(ISNUMBER(MATCH(DATEVALUE($A140),'changes1_based on steps'!I$1:I$400,0)),I$2,)</f>
        <v>0</v>
      </c>
      <c r="J140" s="179">
        <f ca="1">IF(ISNUMBER(MATCH(DATEVALUE($A140),'changes1_based on steps'!J$1:J$400,0)),J$2,)</f>
        <v>0</v>
      </c>
      <c r="K140" s="179">
        <f ca="1">IF(ISNUMBER(MATCH(DATEVALUE($A140),'changes1_based on steps'!K$1:K$400,0)),K$2,)</f>
        <v>0</v>
      </c>
      <c r="L140" s="179">
        <f ca="1">IF(ISNUMBER(MATCH(DATEVALUE($A140),'changes1_based on steps'!L$1:L$400,0)),L$2,)</f>
        <v>0</v>
      </c>
      <c r="M140" s="179">
        <f ca="1">IF(ISNUMBER(MATCH(DATEVALUE($A140),'changes1_based on steps'!M$1:M$400,0)),M$2,)</f>
        <v>0</v>
      </c>
      <c r="N140" s="179">
        <f ca="1">IF(ISNUMBER(MATCH(DATEVALUE($A140),'changes1_based on steps'!N$1:N$400,0)),N$2,)</f>
        <v>0</v>
      </c>
      <c r="O140" s="179">
        <f ca="1">IF(ISNUMBER(MATCH(DATEVALUE($A140),'changes1_based on steps'!O$1:O$400,0)),O$2,)</f>
        <v>0</v>
      </c>
      <c r="P140" s="179">
        <f ca="1">IF(ISNUMBER(MATCH(DATEVALUE($A140),'changes1_based on steps'!P$1:P$400,0)),P$2,)</f>
        <v>0</v>
      </c>
      <c r="Q140" s="179">
        <f ca="1">IF(ISNUMBER(MATCH(DATEVALUE($A140),'changes1_based on steps'!Q$1:Q$400,0)),Q$2,)</f>
        <v>0</v>
      </c>
      <c r="R140" s="179">
        <f ca="1">IF(ISNUMBER(MATCH(DATEVALUE($A140),'changes1_based on steps'!R$1:R$400,0)),R$2,)</f>
        <v>0</v>
      </c>
      <c r="S140" s="179">
        <f ca="1">IF(ISNUMBER(MATCH(DATEVALUE($A140),'changes1_based on steps'!S$1:S$400,0)),S$2,)</f>
        <v>0</v>
      </c>
      <c r="T140" s="179">
        <f ca="1">IF(ISNUMBER(MATCH(DATEVALUE($A140),'changes1_based on steps'!T$1:T$400,0)),T$2,)</f>
        <v>0</v>
      </c>
      <c r="U140" s="179">
        <f ca="1">IF(ISNUMBER(MATCH(DATEVALUE($A140),'changes1_based on steps'!U$1:U$400,0)),U$2,)</f>
        <v>0</v>
      </c>
      <c r="V140" s="179"/>
      <c r="W140" s="179"/>
      <c r="X140" s="179"/>
      <c r="Y140" s="179"/>
      <c r="Z140" s="179"/>
      <c r="AA140" s="179"/>
      <c r="AB140" s="179"/>
      <c r="AC140" s="179"/>
      <c r="AD140" s="179"/>
      <c r="AE140" s="179"/>
      <c r="AF140" s="179"/>
      <c r="AG140" s="179"/>
      <c r="AH140" s="179"/>
      <c r="AI140" s="179"/>
      <c r="AJ140" s="179"/>
      <c r="AK140" s="179"/>
      <c r="AL140" s="179"/>
      <c r="AM140" s="179"/>
      <c r="AN140" s="179"/>
      <c r="AO140" s="179"/>
      <c r="AP140" s="179"/>
      <c r="AQ140" s="179"/>
      <c r="AR140" s="179"/>
      <c r="AS140" s="179"/>
      <c r="AT140" s="179"/>
      <c r="AU140" s="179"/>
      <c r="AV140" s="179"/>
      <c r="AW140" s="179"/>
      <c r="AX140" s="179"/>
      <c r="AY140" s="179"/>
      <c r="AZ140" s="179"/>
      <c r="BA140" s="179"/>
      <c r="BB140" s="179"/>
      <c r="BC140" s="179"/>
      <c r="BD140" s="179"/>
      <c r="BE140" s="179"/>
      <c r="BF140" s="179"/>
      <c r="BG140" s="179"/>
      <c r="BH140" s="179"/>
      <c r="BI140" s="179"/>
      <c r="BJ140" s="179"/>
      <c r="BK140" s="179"/>
      <c r="BL140" s="179"/>
      <c r="BM140" s="179"/>
      <c r="BN140" s="179"/>
      <c r="BO140" s="179"/>
      <c r="BP140" s="179"/>
      <c r="BQ140" s="179"/>
      <c r="BR140" s="179"/>
      <c r="BS140" s="179"/>
      <c r="BT140" s="179"/>
      <c r="BU140" s="179"/>
      <c r="BV140" s="179"/>
      <c r="BW140" s="179"/>
      <c r="BX140" s="179"/>
      <c r="BY140" s="179"/>
      <c r="BZ140" s="179"/>
      <c r="CA140" s="179"/>
      <c r="CB140" s="179"/>
      <c r="CC140" s="179"/>
      <c r="CD140" s="179"/>
      <c r="CE140" s="179"/>
      <c r="CF140" s="179"/>
      <c r="CG140" s="179"/>
      <c r="CH140" s="179"/>
      <c r="CI140" s="179"/>
      <c r="CJ140" s="179"/>
      <c r="CK140" s="179"/>
      <c r="CL140" s="179"/>
      <c r="CM140" s="179"/>
      <c r="CN140" s="179"/>
      <c r="CO140" s="179"/>
      <c r="CP140" s="179"/>
      <c r="CQ140" s="179"/>
      <c r="CR140" s="179"/>
      <c r="CS140" s="179"/>
      <c r="CT140" s="179"/>
      <c r="CU140" s="179"/>
      <c r="CV140" s="179"/>
      <c r="CW140" s="179"/>
    </row>
    <row r="141" spans="1:101" x14ac:dyDescent="0.2">
      <c r="A141" s="32" t="str">
        <f t="shared" ca="1" si="2"/>
        <v>2025-08-21</v>
      </c>
      <c r="B141" s="179">
        <f ca="1">IF(ISNUMBER(MATCH(DATEVALUE($A141),'changes1_based on steps'!B$1:B$400,0)),B$2,)</f>
        <v>0</v>
      </c>
      <c r="C141" s="179">
        <f ca="1">IF(ISNUMBER(MATCH(DATEVALUE($A141),'changes1_based on steps'!C$1:C$400,0)),C$2,)</f>
        <v>0</v>
      </c>
      <c r="D141" s="179">
        <f ca="1">IF(ISNUMBER(MATCH(DATEVALUE($A141),'changes1_based on steps'!D$1:D$400,0)),D$2,)</f>
        <v>0</v>
      </c>
      <c r="E141" s="179">
        <f ca="1">IF(ISNUMBER(MATCH(DATEVALUE($A141),'changes1_based on steps'!E$1:E$400,0)),E$2,)</f>
        <v>0</v>
      </c>
      <c r="F141" s="179">
        <f ca="1">IF(ISNUMBER(MATCH(DATEVALUE($A141),'changes1_based on steps'!F$1:F$400,0)),F$2,)</f>
        <v>0</v>
      </c>
      <c r="G141" s="179">
        <f ca="1">IF(ISNUMBER(MATCH(DATEVALUE($A141),'changes1_based on steps'!G$1:G$400,0)),G$2,)</f>
        <v>0</v>
      </c>
      <c r="H141" s="179">
        <f ca="1">IF(ISNUMBER(MATCH(DATEVALUE($A141),'changes1_based on steps'!H$1:H$400,0)),H$2,)</f>
        <v>0</v>
      </c>
      <c r="I141" s="179">
        <f ca="1">IF(ISNUMBER(MATCH(DATEVALUE($A141),'changes1_based on steps'!I$1:I$400,0)),I$2,)</f>
        <v>0</v>
      </c>
      <c r="J141" s="179">
        <f ca="1">IF(ISNUMBER(MATCH(DATEVALUE($A141),'changes1_based on steps'!J$1:J$400,0)),J$2,)</f>
        <v>0</v>
      </c>
      <c r="K141" s="179">
        <f ca="1">IF(ISNUMBER(MATCH(DATEVALUE($A141),'changes1_based on steps'!K$1:K$400,0)),K$2,)</f>
        <v>0</v>
      </c>
      <c r="L141" s="179">
        <f ca="1">IF(ISNUMBER(MATCH(DATEVALUE($A141),'changes1_based on steps'!L$1:L$400,0)),L$2,)</f>
        <v>0</v>
      </c>
      <c r="M141" s="179">
        <f ca="1">IF(ISNUMBER(MATCH(DATEVALUE($A141),'changes1_based on steps'!M$1:M$400,0)),M$2,)</f>
        <v>0</v>
      </c>
      <c r="N141" s="179">
        <f ca="1">IF(ISNUMBER(MATCH(DATEVALUE($A141),'changes1_based on steps'!N$1:N$400,0)),N$2,)</f>
        <v>0</v>
      </c>
      <c r="O141" s="179">
        <f ca="1">IF(ISNUMBER(MATCH(DATEVALUE($A141),'changes1_based on steps'!O$1:O$400,0)),O$2,)</f>
        <v>0</v>
      </c>
      <c r="P141" s="179">
        <f ca="1">IF(ISNUMBER(MATCH(DATEVALUE($A141),'changes1_based on steps'!P$1:P$400,0)),P$2,)</f>
        <v>0</v>
      </c>
      <c r="Q141" s="179">
        <f ca="1">IF(ISNUMBER(MATCH(DATEVALUE($A141),'changes1_based on steps'!Q$1:Q$400,0)),Q$2,)</f>
        <v>0</v>
      </c>
      <c r="R141" s="179">
        <f ca="1">IF(ISNUMBER(MATCH(DATEVALUE($A141),'changes1_based on steps'!R$1:R$400,0)),R$2,)</f>
        <v>0</v>
      </c>
      <c r="S141" s="179">
        <f ca="1">IF(ISNUMBER(MATCH(DATEVALUE($A141),'changes1_based on steps'!S$1:S$400,0)),S$2,)</f>
        <v>0</v>
      </c>
      <c r="T141" s="179">
        <f ca="1">IF(ISNUMBER(MATCH(DATEVALUE($A141),'changes1_based on steps'!T$1:T$400,0)),T$2,)</f>
        <v>0</v>
      </c>
      <c r="U141" s="179">
        <f ca="1">IF(ISNUMBER(MATCH(DATEVALUE($A141),'changes1_based on steps'!U$1:U$400,0)),U$2,)</f>
        <v>0</v>
      </c>
      <c r="V141" s="179"/>
      <c r="W141" s="179"/>
      <c r="X141" s="179"/>
      <c r="Y141" s="179"/>
      <c r="Z141" s="179"/>
      <c r="AA141" s="179"/>
      <c r="AB141" s="179"/>
      <c r="AC141" s="179"/>
      <c r="AD141" s="179"/>
      <c r="AE141" s="179"/>
      <c r="AF141" s="179"/>
      <c r="AG141" s="179"/>
      <c r="AH141" s="179"/>
      <c r="AI141" s="179"/>
      <c r="AJ141" s="179"/>
      <c r="AK141" s="179"/>
      <c r="AL141" s="179"/>
      <c r="AM141" s="179"/>
      <c r="AN141" s="179"/>
      <c r="AO141" s="179"/>
      <c r="AP141" s="179"/>
      <c r="AQ141" s="179"/>
      <c r="AR141" s="179"/>
      <c r="AS141" s="179"/>
      <c r="AT141" s="179"/>
      <c r="AU141" s="179"/>
      <c r="AV141" s="179"/>
      <c r="AW141" s="179"/>
      <c r="AX141" s="179"/>
      <c r="AY141" s="179"/>
      <c r="AZ141" s="179"/>
      <c r="BA141" s="179"/>
      <c r="BB141" s="179"/>
      <c r="BC141" s="179"/>
      <c r="BD141" s="179"/>
      <c r="BE141" s="179"/>
      <c r="BF141" s="179"/>
      <c r="BG141" s="179"/>
      <c r="BH141" s="179"/>
      <c r="BI141" s="179"/>
      <c r="BJ141" s="179"/>
      <c r="BK141" s="179"/>
      <c r="BL141" s="179"/>
      <c r="BM141" s="179"/>
      <c r="BN141" s="179"/>
      <c r="BO141" s="179"/>
      <c r="BP141" s="179"/>
      <c r="BQ141" s="179"/>
      <c r="BR141" s="179"/>
      <c r="BS141" s="179"/>
      <c r="BT141" s="179"/>
      <c r="BU141" s="179"/>
      <c r="BV141" s="179"/>
      <c r="BW141" s="179"/>
      <c r="BX141" s="179"/>
      <c r="BY141" s="179"/>
      <c r="BZ141" s="179"/>
      <c r="CA141" s="179"/>
      <c r="CB141" s="179"/>
      <c r="CC141" s="179"/>
      <c r="CD141" s="179"/>
      <c r="CE141" s="179"/>
      <c r="CF141" s="179"/>
      <c r="CG141" s="179"/>
      <c r="CH141" s="179"/>
      <c r="CI141" s="179"/>
      <c r="CJ141" s="179"/>
      <c r="CK141" s="179"/>
      <c r="CL141" s="179"/>
      <c r="CM141" s="179"/>
      <c r="CN141" s="179"/>
      <c r="CO141" s="179"/>
      <c r="CP141" s="179"/>
      <c r="CQ141" s="179"/>
      <c r="CR141" s="179"/>
      <c r="CS141" s="179"/>
      <c r="CT141" s="179"/>
      <c r="CU141" s="179"/>
      <c r="CV141" s="179"/>
      <c r="CW141" s="179"/>
    </row>
    <row r="142" spans="1:101" x14ac:dyDescent="0.2">
      <c r="A142" s="32" t="str">
        <f t="shared" ca="1" si="2"/>
        <v>2025-08-22</v>
      </c>
      <c r="B142" s="179">
        <f ca="1">IF(ISNUMBER(MATCH(DATEVALUE($A142),'changes1_based on steps'!B$1:B$400,0)),B$2,)</f>
        <v>0</v>
      </c>
      <c r="C142" s="179">
        <f ca="1">IF(ISNUMBER(MATCH(DATEVALUE($A142),'changes1_based on steps'!C$1:C$400,0)),C$2,)</f>
        <v>0</v>
      </c>
      <c r="D142" s="179">
        <f ca="1">IF(ISNUMBER(MATCH(DATEVALUE($A142),'changes1_based on steps'!D$1:D$400,0)),D$2,)</f>
        <v>0</v>
      </c>
      <c r="E142" s="179">
        <f ca="1">IF(ISNUMBER(MATCH(DATEVALUE($A142),'changes1_based on steps'!E$1:E$400,0)),E$2,)</f>
        <v>0</v>
      </c>
      <c r="F142" s="179">
        <f ca="1">IF(ISNUMBER(MATCH(DATEVALUE($A142),'changes1_based on steps'!F$1:F$400,0)),F$2,)</f>
        <v>0</v>
      </c>
      <c r="G142" s="179">
        <f ca="1">IF(ISNUMBER(MATCH(DATEVALUE($A142),'changes1_based on steps'!G$1:G$400,0)),G$2,)</f>
        <v>0</v>
      </c>
      <c r="H142" s="179">
        <f ca="1">IF(ISNUMBER(MATCH(DATEVALUE($A142),'changes1_based on steps'!H$1:H$400,0)),H$2,)</f>
        <v>0</v>
      </c>
      <c r="I142" s="179">
        <f ca="1">IF(ISNUMBER(MATCH(DATEVALUE($A142),'changes1_based on steps'!I$1:I$400,0)),I$2,)</f>
        <v>0</v>
      </c>
      <c r="J142" s="179">
        <f ca="1">IF(ISNUMBER(MATCH(DATEVALUE($A142),'changes1_based on steps'!J$1:J$400,0)),J$2,)</f>
        <v>0</v>
      </c>
      <c r="K142" s="179">
        <f ca="1">IF(ISNUMBER(MATCH(DATEVALUE($A142),'changes1_based on steps'!K$1:K$400,0)),K$2,)</f>
        <v>0</v>
      </c>
      <c r="L142" s="179">
        <f ca="1">IF(ISNUMBER(MATCH(DATEVALUE($A142),'changes1_based on steps'!L$1:L$400,0)),L$2,)</f>
        <v>0</v>
      </c>
      <c r="M142" s="179">
        <f ca="1">IF(ISNUMBER(MATCH(DATEVALUE($A142),'changes1_based on steps'!M$1:M$400,0)),M$2,)</f>
        <v>0</v>
      </c>
      <c r="N142" s="179">
        <f ca="1">IF(ISNUMBER(MATCH(DATEVALUE($A142),'changes1_based on steps'!N$1:N$400,0)),N$2,)</f>
        <v>0</v>
      </c>
      <c r="O142" s="179">
        <f ca="1">IF(ISNUMBER(MATCH(DATEVALUE($A142),'changes1_based on steps'!O$1:O$400,0)),O$2,)</f>
        <v>0</v>
      </c>
      <c r="P142" s="179">
        <f ca="1">IF(ISNUMBER(MATCH(DATEVALUE($A142),'changes1_based on steps'!P$1:P$400,0)),P$2,)</f>
        <v>0</v>
      </c>
      <c r="Q142" s="179">
        <f ca="1">IF(ISNUMBER(MATCH(DATEVALUE($A142),'changes1_based on steps'!Q$1:Q$400,0)),Q$2,)</f>
        <v>0</v>
      </c>
      <c r="R142" s="179">
        <f ca="1">IF(ISNUMBER(MATCH(DATEVALUE($A142),'changes1_based on steps'!R$1:R$400,0)),R$2,)</f>
        <v>0</v>
      </c>
      <c r="S142" s="179">
        <f ca="1">IF(ISNUMBER(MATCH(DATEVALUE($A142),'changes1_based on steps'!S$1:S$400,0)),S$2,)</f>
        <v>0</v>
      </c>
      <c r="T142" s="179">
        <f ca="1">IF(ISNUMBER(MATCH(DATEVALUE($A142),'changes1_based on steps'!T$1:T$400,0)),T$2,)</f>
        <v>0</v>
      </c>
      <c r="U142" s="179">
        <f ca="1">IF(ISNUMBER(MATCH(DATEVALUE($A142),'changes1_based on steps'!U$1:U$400,0)),U$2,)</f>
        <v>0</v>
      </c>
      <c r="V142" s="179"/>
      <c r="W142" s="179"/>
      <c r="X142" s="179"/>
      <c r="Y142" s="179"/>
      <c r="Z142" s="179"/>
      <c r="AA142" s="179"/>
      <c r="AB142" s="179"/>
      <c r="AC142" s="179"/>
      <c r="AD142" s="179"/>
      <c r="AE142" s="179"/>
      <c r="AF142" s="179"/>
      <c r="AG142" s="179"/>
      <c r="AH142" s="179"/>
      <c r="AI142" s="179"/>
      <c r="AJ142" s="179"/>
      <c r="AK142" s="179"/>
      <c r="AL142" s="179"/>
      <c r="AM142" s="179"/>
      <c r="AN142" s="179"/>
      <c r="AO142" s="179"/>
      <c r="AP142" s="179"/>
      <c r="AQ142" s="179"/>
      <c r="AR142" s="179"/>
      <c r="AS142" s="179"/>
      <c r="AT142" s="179"/>
      <c r="AU142" s="179"/>
      <c r="AV142" s="179"/>
      <c r="AW142" s="179"/>
      <c r="AX142" s="179"/>
      <c r="AY142" s="179"/>
      <c r="AZ142" s="179"/>
      <c r="BA142" s="179"/>
      <c r="BB142" s="179"/>
      <c r="BC142" s="179"/>
      <c r="BD142" s="179"/>
      <c r="BE142" s="179"/>
      <c r="BF142" s="179"/>
      <c r="BG142" s="179"/>
      <c r="BH142" s="179"/>
      <c r="BI142" s="179"/>
      <c r="BJ142" s="179"/>
      <c r="BK142" s="179"/>
      <c r="BL142" s="179"/>
      <c r="BM142" s="179"/>
      <c r="BN142" s="179"/>
      <c r="BO142" s="179"/>
      <c r="BP142" s="179"/>
      <c r="BQ142" s="179"/>
      <c r="BR142" s="179"/>
      <c r="BS142" s="179"/>
      <c r="BT142" s="179"/>
      <c r="BU142" s="179"/>
      <c r="BV142" s="179"/>
      <c r="BW142" s="179"/>
      <c r="BX142" s="179"/>
      <c r="BY142" s="179"/>
      <c r="BZ142" s="179"/>
      <c r="CA142" s="179"/>
      <c r="CB142" s="179"/>
      <c r="CC142" s="179"/>
      <c r="CD142" s="179"/>
      <c r="CE142" s="179"/>
      <c r="CF142" s="179"/>
      <c r="CG142" s="179"/>
      <c r="CH142" s="179"/>
      <c r="CI142" s="179"/>
      <c r="CJ142" s="179"/>
      <c r="CK142" s="179"/>
      <c r="CL142" s="179"/>
      <c r="CM142" s="179"/>
      <c r="CN142" s="179"/>
      <c r="CO142" s="179"/>
      <c r="CP142" s="179"/>
      <c r="CQ142" s="179"/>
      <c r="CR142" s="179"/>
      <c r="CS142" s="179"/>
      <c r="CT142" s="179"/>
      <c r="CU142" s="179"/>
      <c r="CV142" s="179"/>
      <c r="CW142" s="179"/>
    </row>
    <row r="143" spans="1:101" x14ac:dyDescent="0.2">
      <c r="A143" s="32" t="str">
        <f t="shared" ca="1" si="2"/>
        <v>2025-08-23</v>
      </c>
      <c r="B143" s="179">
        <f ca="1">IF(ISNUMBER(MATCH(DATEVALUE($A143),'changes1_based on steps'!B$1:B$400,0)),B$2,)</f>
        <v>0</v>
      </c>
      <c r="C143" s="179">
        <f ca="1">IF(ISNUMBER(MATCH(DATEVALUE($A143),'changes1_based on steps'!C$1:C$400,0)),C$2,)</f>
        <v>0</v>
      </c>
      <c r="D143" s="179">
        <f ca="1">IF(ISNUMBER(MATCH(DATEVALUE($A143),'changes1_based on steps'!D$1:D$400,0)),D$2,)</f>
        <v>0</v>
      </c>
      <c r="E143" s="179">
        <f ca="1">IF(ISNUMBER(MATCH(DATEVALUE($A143),'changes1_based on steps'!E$1:E$400,0)),E$2,)</f>
        <v>0</v>
      </c>
      <c r="F143" s="179">
        <f ca="1">IF(ISNUMBER(MATCH(DATEVALUE($A143),'changes1_based on steps'!F$1:F$400,0)),F$2,)</f>
        <v>0</v>
      </c>
      <c r="G143" s="179">
        <f ca="1">IF(ISNUMBER(MATCH(DATEVALUE($A143),'changes1_based on steps'!G$1:G$400,0)),G$2,)</f>
        <v>0</v>
      </c>
      <c r="H143" s="179">
        <f ca="1">IF(ISNUMBER(MATCH(DATEVALUE($A143),'changes1_based on steps'!H$1:H$400,0)),H$2,)</f>
        <v>0</v>
      </c>
      <c r="I143" s="179">
        <f ca="1">IF(ISNUMBER(MATCH(DATEVALUE($A143),'changes1_based on steps'!I$1:I$400,0)),I$2,)</f>
        <v>0</v>
      </c>
      <c r="J143" s="179">
        <f ca="1">IF(ISNUMBER(MATCH(DATEVALUE($A143),'changes1_based on steps'!J$1:J$400,0)),J$2,)</f>
        <v>0</v>
      </c>
      <c r="K143" s="179">
        <f ca="1">IF(ISNUMBER(MATCH(DATEVALUE($A143),'changes1_based on steps'!K$1:K$400,0)),K$2,)</f>
        <v>0</v>
      </c>
      <c r="L143" s="179">
        <f ca="1">IF(ISNUMBER(MATCH(DATEVALUE($A143),'changes1_based on steps'!L$1:L$400,0)),L$2,)</f>
        <v>0</v>
      </c>
      <c r="M143" s="179">
        <f ca="1">IF(ISNUMBER(MATCH(DATEVALUE($A143),'changes1_based on steps'!M$1:M$400,0)),M$2,)</f>
        <v>0</v>
      </c>
      <c r="N143" s="179">
        <f ca="1">IF(ISNUMBER(MATCH(DATEVALUE($A143),'changes1_based on steps'!N$1:N$400,0)),N$2,)</f>
        <v>0</v>
      </c>
      <c r="O143" s="179">
        <f ca="1">IF(ISNUMBER(MATCH(DATEVALUE($A143),'changes1_based on steps'!O$1:O$400,0)),O$2,)</f>
        <v>0</v>
      </c>
      <c r="P143" s="179">
        <f ca="1">IF(ISNUMBER(MATCH(DATEVALUE($A143),'changes1_based on steps'!P$1:P$400,0)),P$2,)</f>
        <v>0</v>
      </c>
      <c r="Q143" s="179">
        <f ca="1">IF(ISNUMBER(MATCH(DATEVALUE($A143),'changes1_based on steps'!Q$1:Q$400,0)),Q$2,)</f>
        <v>0</v>
      </c>
      <c r="R143" s="179">
        <f ca="1">IF(ISNUMBER(MATCH(DATEVALUE($A143),'changes1_based on steps'!R$1:R$400,0)),R$2,)</f>
        <v>0</v>
      </c>
      <c r="S143" s="179">
        <f ca="1">IF(ISNUMBER(MATCH(DATEVALUE($A143),'changes1_based on steps'!S$1:S$400,0)),S$2,)</f>
        <v>0</v>
      </c>
      <c r="T143" s="179">
        <f ca="1">IF(ISNUMBER(MATCH(DATEVALUE($A143),'changes1_based on steps'!T$1:T$400,0)),T$2,)</f>
        <v>0</v>
      </c>
      <c r="U143" s="179">
        <f ca="1">IF(ISNUMBER(MATCH(DATEVALUE($A143),'changes1_based on steps'!U$1:U$400,0)),U$2,)</f>
        <v>0</v>
      </c>
      <c r="V143" s="179"/>
      <c r="W143" s="179"/>
      <c r="X143" s="179"/>
      <c r="Y143" s="179"/>
      <c r="Z143" s="179"/>
      <c r="AA143" s="179"/>
      <c r="AB143" s="179"/>
      <c r="AC143" s="179"/>
      <c r="AD143" s="179"/>
      <c r="AE143" s="179"/>
      <c r="AF143" s="179"/>
      <c r="AG143" s="179"/>
      <c r="AH143" s="179"/>
      <c r="AI143" s="179"/>
      <c r="AJ143" s="179"/>
      <c r="AK143" s="179"/>
      <c r="AL143" s="179"/>
      <c r="AM143" s="179"/>
      <c r="AN143" s="179"/>
      <c r="AO143" s="179"/>
      <c r="AP143" s="179"/>
      <c r="AQ143" s="179"/>
      <c r="AR143" s="179"/>
      <c r="AS143" s="179"/>
      <c r="AT143" s="179"/>
      <c r="AU143" s="179"/>
      <c r="AV143" s="179"/>
      <c r="AW143" s="179"/>
      <c r="AX143" s="179"/>
      <c r="AY143" s="179"/>
      <c r="AZ143" s="179"/>
      <c r="BA143" s="179"/>
      <c r="BB143" s="179"/>
      <c r="BC143" s="179"/>
      <c r="BD143" s="179"/>
      <c r="BE143" s="179"/>
      <c r="BF143" s="179"/>
      <c r="BG143" s="179"/>
      <c r="BH143" s="179"/>
      <c r="BI143" s="179"/>
      <c r="BJ143" s="179"/>
      <c r="BK143" s="179"/>
      <c r="BL143" s="179"/>
      <c r="BM143" s="179"/>
      <c r="BN143" s="179"/>
      <c r="BO143" s="179"/>
      <c r="BP143" s="179"/>
      <c r="BQ143" s="179"/>
      <c r="BR143" s="179"/>
      <c r="BS143" s="179"/>
      <c r="BT143" s="179"/>
      <c r="BU143" s="179"/>
      <c r="BV143" s="179"/>
      <c r="BW143" s="179"/>
      <c r="BX143" s="179"/>
      <c r="BY143" s="179"/>
      <c r="BZ143" s="179"/>
      <c r="CA143" s="179"/>
      <c r="CB143" s="179"/>
      <c r="CC143" s="179"/>
      <c r="CD143" s="179"/>
      <c r="CE143" s="179"/>
      <c r="CF143" s="179"/>
      <c r="CG143" s="179"/>
      <c r="CH143" s="179"/>
      <c r="CI143" s="179"/>
      <c r="CJ143" s="179"/>
      <c r="CK143" s="179"/>
      <c r="CL143" s="179"/>
      <c r="CM143" s="179"/>
      <c r="CN143" s="179"/>
      <c r="CO143" s="179"/>
      <c r="CP143" s="179"/>
      <c r="CQ143" s="179"/>
      <c r="CR143" s="179"/>
      <c r="CS143" s="179"/>
      <c r="CT143" s="179"/>
      <c r="CU143" s="179"/>
      <c r="CV143" s="179"/>
      <c r="CW143" s="179"/>
    </row>
    <row r="144" spans="1:101" x14ac:dyDescent="0.2">
      <c r="A144" s="32" t="str">
        <f t="shared" ca="1" si="2"/>
        <v>2025-08-24</v>
      </c>
      <c r="B144" s="179">
        <f ca="1">IF(ISNUMBER(MATCH(DATEVALUE($A144),'changes1_based on steps'!B$1:B$400,0)),B$2,)</f>
        <v>0</v>
      </c>
      <c r="C144" s="179">
        <f ca="1">IF(ISNUMBER(MATCH(DATEVALUE($A144),'changes1_based on steps'!C$1:C$400,0)),C$2,)</f>
        <v>0</v>
      </c>
      <c r="D144" s="179">
        <f ca="1">IF(ISNUMBER(MATCH(DATEVALUE($A144),'changes1_based on steps'!D$1:D$400,0)),D$2,)</f>
        <v>0</v>
      </c>
      <c r="E144" s="179">
        <f ca="1">IF(ISNUMBER(MATCH(DATEVALUE($A144),'changes1_based on steps'!E$1:E$400,0)),E$2,)</f>
        <v>0</v>
      </c>
      <c r="F144" s="179">
        <f ca="1">IF(ISNUMBER(MATCH(DATEVALUE($A144),'changes1_based on steps'!F$1:F$400,0)),F$2,)</f>
        <v>0</v>
      </c>
      <c r="G144" s="179">
        <f ca="1">IF(ISNUMBER(MATCH(DATEVALUE($A144),'changes1_based on steps'!G$1:G$400,0)),G$2,)</f>
        <v>0</v>
      </c>
      <c r="H144" s="179">
        <f ca="1">IF(ISNUMBER(MATCH(DATEVALUE($A144),'changes1_based on steps'!H$1:H$400,0)),H$2,)</f>
        <v>0</v>
      </c>
      <c r="I144" s="179">
        <f ca="1">IF(ISNUMBER(MATCH(DATEVALUE($A144),'changes1_based on steps'!I$1:I$400,0)),I$2,)</f>
        <v>0</v>
      </c>
      <c r="J144" s="179">
        <f ca="1">IF(ISNUMBER(MATCH(DATEVALUE($A144),'changes1_based on steps'!J$1:J$400,0)),J$2,)</f>
        <v>0</v>
      </c>
      <c r="K144" s="179">
        <f ca="1">IF(ISNUMBER(MATCH(DATEVALUE($A144),'changes1_based on steps'!K$1:K$400,0)),K$2,)</f>
        <v>0</v>
      </c>
      <c r="L144" s="179">
        <f ca="1">IF(ISNUMBER(MATCH(DATEVALUE($A144),'changes1_based on steps'!L$1:L$400,0)),L$2,)</f>
        <v>0</v>
      </c>
      <c r="M144" s="179">
        <f ca="1">IF(ISNUMBER(MATCH(DATEVALUE($A144),'changes1_based on steps'!M$1:M$400,0)),M$2,)</f>
        <v>0</v>
      </c>
      <c r="N144" s="179">
        <f ca="1">IF(ISNUMBER(MATCH(DATEVALUE($A144),'changes1_based on steps'!N$1:N$400,0)),N$2,)</f>
        <v>0</v>
      </c>
      <c r="O144" s="179">
        <f ca="1">IF(ISNUMBER(MATCH(DATEVALUE($A144),'changes1_based on steps'!O$1:O$400,0)),O$2,)</f>
        <v>0</v>
      </c>
      <c r="P144" s="179">
        <f ca="1">IF(ISNUMBER(MATCH(DATEVALUE($A144),'changes1_based on steps'!P$1:P$400,0)),P$2,)</f>
        <v>0</v>
      </c>
      <c r="Q144" s="179">
        <f ca="1">IF(ISNUMBER(MATCH(DATEVALUE($A144),'changes1_based on steps'!Q$1:Q$400,0)),Q$2,)</f>
        <v>0</v>
      </c>
      <c r="R144" s="179">
        <f ca="1">IF(ISNUMBER(MATCH(DATEVALUE($A144),'changes1_based on steps'!R$1:R$400,0)),R$2,)</f>
        <v>0</v>
      </c>
      <c r="S144" s="179">
        <f ca="1">IF(ISNUMBER(MATCH(DATEVALUE($A144),'changes1_based on steps'!S$1:S$400,0)),S$2,)</f>
        <v>0</v>
      </c>
      <c r="T144" s="179">
        <f ca="1">IF(ISNUMBER(MATCH(DATEVALUE($A144),'changes1_based on steps'!T$1:T$400,0)),T$2,)</f>
        <v>0</v>
      </c>
      <c r="U144" s="179">
        <f ca="1">IF(ISNUMBER(MATCH(DATEVALUE($A144),'changes1_based on steps'!U$1:U$400,0)),U$2,)</f>
        <v>0</v>
      </c>
      <c r="V144" s="179"/>
      <c r="W144" s="179"/>
      <c r="X144" s="179"/>
      <c r="Y144" s="179"/>
      <c r="Z144" s="179"/>
      <c r="AA144" s="179"/>
      <c r="AB144" s="179"/>
      <c r="AC144" s="179"/>
      <c r="AD144" s="179"/>
      <c r="AE144" s="179"/>
      <c r="AF144" s="179"/>
      <c r="AG144" s="179"/>
      <c r="AH144" s="179"/>
      <c r="AI144" s="179"/>
      <c r="AJ144" s="179"/>
      <c r="AK144" s="179"/>
      <c r="AL144" s="179"/>
      <c r="AM144" s="179"/>
      <c r="AN144" s="179"/>
      <c r="AO144" s="179"/>
      <c r="AP144" s="179"/>
      <c r="AQ144" s="179"/>
      <c r="AR144" s="179"/>
      <c r="AS144" s="179"/>
      <c r="AT144" s="179"/>
      <c r="AU144" s="179"/>
      <c r="AV144" s="179"/>
      <c r="AW144" s="179"/>
      <c r="AX144" s="179"/>
      <c r="AY144" s="179"/>
      <c r="AZ144" s="179"/>
      <c r="BA144" s="179"/>
      <c r="BB144" s="179"/>
      <c r="BC144" s="179"/>
      <c r="BD144" s="179"/>
      <c r="BE144" s="179"/>
      <c r="BF144" s="179"/>
      <c r="BG144" s="179"/>
      <c r="BH144" s="179"/>
      <c r="BI144" s="179"/>
      <c r="BJ144" s="179"/>
      <c r="BK144" s="179"/>
      <c r="BL144" s="179"/>
      <c r="BM144" s="179"/>
      <c r="BN144" s="179"/>
      <c r="BO144" s="179"/>
      <c r="BP144" s="179"/>
      <c r="BQ144" s="179"/>
      <c r="BR144" s="179"/>
      <c r="BS144" s="179"/>
      <c r="BT144" s="179"/>
      <c r="BU144" s="179"/>
      <c r="BV144" s="179"/>
      <c r="BW144" s="179"/>
      <c r="BX144" s="179"/>
      <c r="BY144" s="179"/>
      <c r="BZ144" s="179"/>
      <c r="CA144" s="179"/>
      <c r="CB144" s="179"/>
      <c r="CC144" s="179"/>
      <c r="CD144" s="179"/>
      <c r="CE144" s="179"/>
      <c r="CF144" s="179"/>
      <c r="CG144" s="179"/>
      <c r="CH144" s="179"/>
      <c r="CI144" s="179"/>
      <c r="CJ144" s="179"/>
      <c r="CK144" s="179"/>
      <c r="CL144" s="179"/>
      <c r="CM144" s="179"/>
      <c r="CN144" s="179"/>
      <c r="CO144" s="179"/>
      <c r="CP144" s="179"/>
      <c r="CQ144" s="179"/>
      <c r="CR144" s="179"/>
      <c r="CS144" s="179"/>
      <c r="CT144" s="179"/>
      <c r="CU144" s="179"/>
      <c r="CV144" s="179"/>
      <c r="CW144" s="179"/>
    </row>
    <row r="145" spans="1:101" x14ac:dyDescent="0.2">
      <c r="A145" s="32" t="str">
        <f t="shared" ca="1" si="2"/>
        <v>2025-08-25</v>
      </c>
      <c r="B145" s="179">
        <f ca="1">IF(ISNUMBER(MATCH(DATEVALUE($A145),'changes1_based on steps'!B$1:B$400,0)),B$2,)</f>
        <v>0</v>
      </c>
      <c r="C145" s="179">
        <f ca="1">IF(ISNUMBER(MATCH(DATEVALUE($A145),'changes1_based on steps'!C$1:C$400,0)),C$2,)</f>
        <v>0</v>
      </c>
      <c r="D145" s="179">
        <f ca="1">IF(ISNUMBER(MATCH(DATEVALUE($A145),'changes1_based on steps'!D$1:D$400,0)),D$2,)</f>
        <v>0</v>
      </c>
      <c r="E145" s="179">
        <f ca="1">IF(ISNUMBER(MATCH(DATEVALUE($A145),'changes1_based on steps'!E$1:E$400,0)),E$2,)</f>
        <v>0</v>
      </c>
      <c r="F145" s="179">
        <f ca="1">IF(ISNUMBER(MATCH(DATEVALUE($A145),'changes1_based on steps'!F$1:F$400,0)),F$2,)</f>
        <v>0</v>
      </c>
      <c r="G145" s="179">
        <f ca="1">IF(ISNUMBER(MATCH(DATEVALUE($A145),'changes1_based on steps'!G$1:G$400,0)),G$2,)</f>
        <v>0</v>
      </c>
      <c r="H145" s="179">
        <f ca="1">IF(ISNUMBER(MATCH(DATEVALUE($A145),'changes1_based on steps'!H$1:H$400,0)),H$2,)</f>
        <v>0</v>
      </c>
      <c r="I145" s="179">
        <f ca="1">IF(ISNUMBER(MATCH(DATEVALUE($A145),'changes1_based on steps'!I$1:I$400,0)),I$2,)</f>
        <v>0</v>
      </c>
      <c r="J145" s="179">
        <f ca="1">IF(ISNUMBER(MATCH(DATEVALUE($A145),'changes1_based on steps'!J$1:J$400,0)),J$2,)</f>
        <v>0</v>
      </c>
      <c r="K145" s="179">
        <f ca="1">IF(ISNUMBER(MATCH(DATEVALUE($A145),'changes1_based on steps'!K$1:K$400,0)),K$2,)</f>
        <v>0</v>
      </c>
      <c r="L145" s="179">
        <f ca="1">IF(ISNUMBER(MATCH(DATEVALUE($A145),'changes1_based on steps'!L$1:L$400,0)),L$2,)</f>
        <v>0</v>
      </c>
      <c r="M145" s="179">
        <f ca="1">IF(ISNUMBER(MATCH(DATEVALUE($A145),'changes1_based on steps'!M$1:M$400,0)),M$2,)</f>
        <v>0</v>
      </c>
      <c r="N145" s="179">
        <f ca="1">IF(ISNUMBER(MATCH(DATEVALUE($A145),'changes1_based on steps'!N$1:N$400,0)),N$2,)</f>
        <v>0</v>
      </c>
      <c r="O145" s="179">
        <f ca="1">IF(ISNUMBER(MATCH(DATEVALUE($A145),'changes1_based on steps'!O$1:O$400,0)),O$2,)</f>
        <v>0</v>
      </c>
      <c r="P145" s="179">
        <f ca="1">IF(ISNUMBER(MATCH(DATEVALUE($A145),'changes1_based on steps'!P$1:P$400,0)),P$2,)</f>
        <v>0</v>
      </c>
      <c r="Q145" s="179">
        <f ca="1">IF(ISNUMBER(MATCH(DATEVALUE($A145),'changes1_based on steps'!Q$1:Q$400,0)),Q$2,)</f>
        <v>0</v>
      </c>
      <c r="R145" s="179">
        <f ca="1">IF(ISNUMBER(MATCH(DATEVALUE($A145),'changes1_based on steps'!R$1:R$400,0)),R$2,)</f>
        <v>0</v>
      </c>
      <c r="S145" s="179">
        <f ca="1">IF(ISNUMBER(MATCH(DATEVALUE($A145),'changes1_based on steps'!S$1:S$400,0)),S$2,)</f>
        <v>0</v>
      </c>
      <c r="T145" s="179">
        <f ca="1">IF(ISNUMBER(MATCH(DATEVALUE($A145),'changes1_based on steps'!T$1:T$400,0)),T$2,)</f>
        <v>0</v>
      </c>
      <c r="U145" s="179">
        <f ca="1">IF(ISNUMBER(MATCH(DATEVALUE($A145),'changes1_based on steps'!U$1:U$400,0)),U$2,)</f>
        <v>0</v>
      </c>
      <c r="V145" s="179"/>
      <c r="W145" s="179"/>
      <c r="X145" s="179"/>
      <c r="Y145" s="179"/>
      <c r="Z145" s="179"/>
      <c r="AA145" s="179"/>
      <c r="AB145" s="179"/>
      <c r="AC145" s="179"/>
      <c r="AD145" s="179"/>
      <c r="AE145" s="179"/>
      <c r="AF145" s="179"/>
      <c r="AG145" s="179"/>
      <c r="AH145" s="179"/>
      <c r="AI145" s="179"/>
      <c r="AJ145" s="179"/>
      <c r="AK145" s="179"/>
      <c r="AL145" s="179"/>
      <c r="AM145" s="179"/>
      <c r="AN145" s="179"/>
      <c r="AO145" s="179"/>
      <c r="AP145" s="179"/>
      <c r="AQ145" s="179"/>
      <c r="AR145" s="179"/>
      <c r="AS145" s="179"/>
      <c r="AT145" s="179"/>
      <c r="AU145" s="179"/>
      <c r="AV145" s="179"/>
      <c r="AW145" s="179"/>
      <c r="AX145" s="179"/>
      <c r="AY145" s="179"/>
      <c r="AZ145" s="179"/>
      <c r="BA145" s="179"/>
      <c r="BB145" s="179"/>
      <c r="BC145" s="179"/>
      <c r="BD145" s="179"/>
      <c r="BE145" s="179"/>
      <c r="BF145" s="179"/>
      <c r="BG145" s="179"/>
      <c r="BH145" s="179"/>
      <c r="BI145" s="179"/>
      <c r="BJ145" s="179"/>
      <c r="BK145" s="179"/>
      <c r="BL145" s="179"/>
      <c r="BM145" s="179"/>
      <c r="BN145" s="179"/>
      <c r="BO145" s="179"/>
      <c r="BP145" s="179"/>
      <c r="BQ145" s="179"/>
      <c r="BR145" s="179"/>
      <c r="BS145" s="179"/>
      <c r="BT145" s="179"/>
      <c r="BU145" s="179"/>
      <c r="BV145" s="179"/>
      <c r="BW145" s="179"/>
      <c r="BX145" s="179"/>
      <c r="BY145" s="179"/>
      <c r="BZ145" s="179"/>
      <c r="CA145" s="179"/>
      <c r="CB145" s="179"/>
      <c r="CC145" s="179"/>
      <c r="CD145" s="179"/>
      <c r="CE145" s="179"/>
      <c r="CF145" s="179"/>
      <c r="CG145" s="179"/>
      <c r="CH145" s="179"/>
      <c r="CI145" s="179"/>
      <c r="CJ145" s="179"/>
      <c r="CK145" s="179"/>
      <c r="CL145" s="179"/>
      <c r="CM145" s="179"/>
      <c r="CN145" s="179"/>
      <c r="CO145" s="179"/>
      <c r="CP145" s="179"/>
      <c r="CQ145" s="179"/>
      <c r="CR145" s="179"/>
      <c r="CS145" s="179"/>
      <c r="CT145" s="179"/>
      <c r="CU145" s="179"/>
      <c r="CV145" s="179"/>
      <c r="CW145" s="179"/>
    </row>
    <row r="146" spans="1:101" x14ac:dyDescent="0.2">
      <c r="A146" s="32" t="str">
        <f t="shared" ca="1" si="2"/>
        <v>2025-08-26</v>
      </c>
      <c r="B146" s="179">
        <f ca="1">IF(ISNUMBER(MATCH(DATEVALUE($A146),'changes1_based on steps'!B$1:B$400,0)),B$2,)</f>
        <v>0</v>
      </c>
      <c r="C146" s="179">
        <f ca="1">IF(ISNUMBER(MATCH(DATEVALUE($A146),'changes1_based on steps'!C$1:C$400,0)),C$2,)</f>
        <v>0</v>
      </c>
      <c r="D146" s="179">
        <f ca="1">IF(ISNUMBER(MATCH(DATEVALUE($A146),'changes1_based on steps'!D$1:D$400,0)),D$2,)</f>
        <v>0</v>
      </c>
      <c r="E146" s="179">
        <f ca="1">IF(ISNUMBER(MATCH(DATEVALUE($A146),'changes1_based on steps'!E$1:E$400,0)),E$2,)</f>
        <v>0</v>
      </c>
      <c r="F146" s="179">
        <f ca="1">IF(ISNUMBER(MATCH(DATEVALUE($A146),'changes1_based on steps'!F$1:F$400,0)),F$2,)</f>
        <v>0</v>
      </c>
      <c r="G146" s="179">
        <f ca="1">IF(ISNUMBER(MATCH(DATEVALUE($A146),'changes1_based on steps'!G$1:G$400,0)),G$2,)</f>
        <v>0</v>
      </c>
      <c r="H146" s="179">
        <f ca="1">IF(ISNUMBER(MATCH(DATEVALUE($A146),'changes1_based on steps'!H$1:H$400,0)),H$2,)</f>
        <v>0</v>
      </c>
      <c r="I146" s="179">
        <f ca="1">IF(ISNUMBER(MATCH(DATEVALUE($A146),'changes1_based on steps'!I$1:I$400,0)),I$2,)</f>
        <v>0</v>
      </c>
      <c r="J146" s="179">
        <f ca="1">IF(ISNUMBER(MATCH(DATEVALUE($A146),'changes1_based on steps'!J$1:J$400,0)),J$2,)</f>
        <v>0</v>
      </c>
      <c r="K146" s="179">
        <f ca="1">IF(ISNUMBER(MATCH(DATEVALUE($A146),'changes1_based on steps'!K$1:K$400,0)),K$2,)</f>
        <v>0</v>
      </c>
      <c r="L146" s="179">
        <f ca="1">IF(ISNUMBER(MATCH(DATEVALUE($A146),'changes1_based on steps'!L$1:L$400,0)),L$2,)</f>
        <v>0</v>
      </c>
      <c r="M146" s="179">
        <f ca="1">IF(ISNUMBER(MATCH(DATEVALUE($A146),'changes1_based on steps'!M$1:M$400,0)),M$2,)</f>
        <v>0</v>
      </c>
      <c r="N146" s="179">
        <f ca="1">IF(ISNUMBER(MATCH(DATEVALUE($A146),'changes1_based on steps'!N$1:N$400,0)),N$2,)</f>
        <v>0</v>
      </c>
      <c r="O146" s="179">
        <f ca="1">IF(ISNUMBER(MATCH(DATEVALUE($A146),'changes1_based on steps'!O$1:O$400,0)),O$2,)</f>
        <v>0</v>
      </c>
      <c r="P146" s="179">
        <f ca="1">IF(ISNUMBER(MATCH(DATEVALUE($A146),'changes1_based on steps'!P$1:P$400,0)),P$2,)</f>
        <v>0</v>
      </c>
      <c r="Q146" s="179">
        <f ca="1">IF(ISNUMBER(MATCH(DATEVALUE($A146),'changes1_based on steps'!Q$1:Q$400,0)),Q$2,)</f>
        <v>0</v>
      </c>
      <c r="R146" s="179">
        <f ca="1">IF(ISNUMBER(MATCH(DATEVALUE($A146),'changes1_based on steps'!R$1:R$400,0)),R$2,)</f>
        <v>0</v>
      </c>
      <c r="S146" s="179">
        <f ca="1">IF(ISNUMBER(MATCH(DATEVALUE($A146),'changes1_based on steps'!S$1:S$400,0)),S$2,)</f>
        <v>0</v>
      </c>
      <c r="T146" s="179">
        <f ca="1">IF(ISNUMBER(MATCH(DATEVALUE($A146),'changes1_based on steps'!T$1:T$400,0)),T$2,)</f>
        <v>0</v>
      </c>
      <c r="U146" s="179">
        <f ca="1">IF(ISNUMBER(MATCH(DATEVALUE($A146),'changes1_based on steps'!U$1:U$400,0)),U$2,)</f>
        <v>0</v>
      </c>
      <c r="V146" s="179"/>
      <c r="W146" s="179"/>
      <c r="X146" s="179"/>
      <c r="Y146" s="179"/>
      <c r="Z146" s="179"/>
      <c r="AA146" s="179"/>
      <c r="AB146" s="179"/>
      <c r="AC146" s="179"/>
      <c r="AD146" s="179"/>
      <c r="AE146" s="179"/>
      <c r="AF146" s="179"/>
      <c r="AG146" s="179"/>
      <c r="AH146" s="179"/>
      <c r="AI146" s="179"/>
      <c r="AJ146" s="179"/>
      <c r="AK146" s="179"/>
      <c r="AL146" s="179"/>
      <c r="AM146" s="179"/>
      <c r="AN146" s="179"/>
      <c r="AO146" s="179"/>
      <c r="AP146" s="179"/>
      <c r="AQ146" s="179"/>
      <c r="AR146" s="179"/>
      <c r="AS146" s="179"/>
      <c r="AT146" s="179"/>
      <c r="AU146" s="179"/>
      <c r="AV146" s="179"/>
      <c r="AW146" s="179"/>
      <c r="AX146" s="179"/>
      <c r="AY146" s="179"/>
      <c r="AZ146" s="179"/>
      <c r="BA146" s="179"/>
      <c r="BB146" s="179"/>
      <c r="BC146" s="179"/>
      <c r="BD146" s="179"/>
      <c r="BE146" s="179"/>
      <c r="BF146" s="179"/>
      <c r="BG146" s="179"/>
      <c r="BH146" s="179"/>
      <c r="BI146" s="179"/>
      <c r="BJ146" s="179"/>
      <c r="BK146" s="179"/>
      <c r="BL146" s="179"/>
      <c r="BM146" s="179"/>
      <c r="BN146" s="179"/>
      <c r="BO146" s="179"/>
      <c r="BP146" s="179"/>
      <c r="BQ146" s="179"/>
      <c r="BR146" s="179"/>
      <c r="BS146" s="179"/>
      <c r="BT146" s="179"/>
      <c r="BU146" s="179"/>
      <c r="BV146" s="179"/>
      <c r="BW146" s="179"/>
      <c r="BX146" s="179"/>
      <c r="BY146" s="179"/>
      <c r="BZ146" s="179"/>
      <c r="CA146" s="179"/>
      <c r="CB146" s="179"/>
      <c r="CC146" s="179"/>
      <c r="CD146" s="179"/>
      <c r="CE146" s="179"/>
      <c r="CF146" s="179"/>
      <c r="CG146" s="179"/>
      <c r="CH146" s="179"/>
      <c r="CI146" s="179"/>
      <c r="CJ146" s="179"/>
      <c r="CK146" s="179"/>
      <c r="CL146" s="179"/>
      <c r="CM146" s="179"/>
      <c r="CN146" s="179"/>
      <c r="CO146" s="179"/>
      <c r="CP146" s="179"/>
      <c r="CQ146" s="179"/>
      <c r="CR146" s="179"/>
      <c r="CS146" s="179"/>
      <c r="CT146" s="179"/>
      <c r="CU146" s="179"/>
      <c r="CV146" s="179"/>
      <c r="CW146" s="179"/>
    </row>
    <row r="147" spans="1:101" x14ac:dyDescent="0.2">
      <c r="A147" s="32" t="str">
        <f t="shared" ca="1" si="2"/>
        <v>2025-08-27</v>
      </c>
      <c r="B147" s="179">
        <f ca="1">IF(ISNUMBER(MATCH(DATEVALUE($A147),'changes1_based on steps'!B$1:B$400,0)),B$2,)</f>
        <v>0</v>
      </c>
      <c r="C147" s="179">
        <f ca="1">IF(ISNUMBER(MATCH(DATEVALUE($A147),'changes1_based on steps'!C$1:C$400,0)),C$2,)</f>
        <v>0</v>
      </c>
      <c r="D147" s="179">
        <f ca="1">IF(ISNUMBER(MATCH(DATEVALUE($A147),'changes1_based on steps'!D$1:D$400,0)),D$2,)</f>
        <v>0</v>
      </c>
      <c r="E147" s="179">
        <f ca="1">IF(ISNUMBER(MATCH(DATEVALUE($A147),'changes1_based on steps'!E$1:E$400,0)),E$2,)</f>
        <v>0</v>
      </c>
      <c r="F147" s="179">
        <f ca="1">IF(ISNUMBER(MATCH(DATEVALUE($A147),'changes1_based on steps'!F$1:F$400,0)),F$2,)</f>
        <v>0</v>
      </c>
      <c r="G147" s="179">
        <f ca="1">IF(ISNUMBER(MATCH(DATEVALUE($A147),'changes1_based on steps'!G$1:G$400,0)),G$2,)</f>
        <v>0</v>
      </c>
      <c r="H147" s="179">
        <f ca="1">IF(ISNUMBER(MATCH(DATEVALUE($A147),'changes1_based on steps'!H$1:H$400,0)),H$2,)</f>
        <v>0</v>
      </c>
      <c r="I147" s="179">
        <f ca="1">IF(ISNUMBER(MATCH(DATEVALUE($A147),'changes1_based on steps'!I$1:I$400,0)),I$2,)</f>
        <v>0</v>
      </c>
      <c r="J147" s="179">
        <f ca="1">IF(ISNUMBER(MATCH(DATEVALUE($A147),'changes1_based on steps'!J$1:J$400,0)),J$2,)</f>
        <v>0</v>
      </c>
      <c r="K147" s="179">
        <f ca="1">IF(ISNUMBER(MATCH(DATEVALUE($A147),'changes1_based on steps'!K$1:K$400,0)),K$2,)</f>
        <v>0</v>
      </c>
      <c r="L147" s="179">
        <f ca="1">IF(ISNUMBER(MATCH(DATEVALUE($A147),'changes1_based on steps'!L$1:L$400,0)),L$2,)</f>
        <v>0</v>
      </c>
      <c r="M147" s="179">
        <f ca="1">IF(ISNUMBER(MATCH(DATEVALUE($A147),'changes1_based on steps'!M$1:M$400,0)),M$2,)</f>
        <v>0</v>
      </c>
      <c r="N147" s="179">
        <f ca="1">IF(ISNUMBER(MATCH(DATEVALUE($A147),'changes1_based on steps'!N$1:N$400,0)),N$2,)</f>
        <v>0</v>
      </c>
      <c r="O147" s="179">
        <f ca="1">IF(ISNUMBER(MATCH(DATEVALUE($A147),'changes1_based on steps'!O$1:O$400,0)),O$2,)</f>
        <v>0</v>
      </c>
      <c r="P147" s="179">
        <f ca="1">IF(ISNUMBER(MATCH(DATEVALUE($A147),'changes1_based on steps'!P$1:P$400,0)),P$2,)</f>
        <v>0</v>
      </c>
      <c r="Q147" s="179">
        <f ca="1">IF(ISNUMBER(MATCH(DATEVALUE($A147),'changes1_based on steps'!Q$1:Q$400,0)),Q$2,)</f>
        <v>0</v>
      </c>
      <c r="R147" s="179">
        <f ca="1">IF(ISNUMBER(MATCH(DATEVALUE($A147),'changes1_based on steps'!R$1:R$400,0)),R$2,)</f>
        <v>0</v>
      </c>
      <c r="S147" s="179">
        <f ca="1">IF(ISNUMBER(MATCH(DATEVALUE($A147),'changes1_based on steps'!S$1:S$400,0)),S$2,)</f>
        <v>0</v>
      </c>
      <c r="T147" s="179">
        <f ca="1">IF(ISNUMBER(MATCH(DATEVALUE($A147),'changes1_based on steps'!T$1:T$400,0)),T$2,)</f>
        <v>0</v>
      </c>
      <c r="U147" s="179">
        <f ca="1">IF(ISNUMBER(MATCH(DATEVALUE($A147),'changes1_based on steps'!U$1:U$400,0)),U$2,)</f>
        <v>0</v>
      </c>
      <c r="V147" s="179"/>
      <c r="W147" s="179"/>
      <c r="X147" s="179"/>
      <c r="Y147" s="179"/>
      <c r="Z147" s="179"/>
      <c r="AA147" s="179"/>
      <c r="AB147" s="179"/>
      <c r="AC147" s="179"/>
      <c r="AD147" s="179"/>
      <c r="AE147" s="179"/>
      <c r="AF147" s="179"/>
      <c r="AG147" s="179"/>
      <c r="AH147" s="179"/>
      <c r="AI147" s="179"/>
      <c r="AJ147" s="179"/>
      <c r="AK147" s="179"/>
      <c r="AL147" s="179"/>
      <c r="AM147" s="179"/>
      <c r="AN147" s="179"/>
      <c r="AO147" s="179"/>
      <c r="AP147" s="179"/>
      <c r="AQ147" s="179"/>
      <c r="AR147" s="179"/>
      <c r="AS147" s="179"/>
      <c r="AT147" s="179"/>
      <c r="AU147" s="179"/>
      <c r="AV147" s="179"/>
      <c r="AW147" s="179"/>
      <c r="AX147" s="179"/>
      <c r="AY147" s="179"/>
      <c r="AZ147" s="179"/>
      <c r="BA147" s="179"/>
      <c r="BB147" s="179"/>
      <c r="BC147" s="179"/>
      <c r="BD147" s="179"/>
      <c r="BE147" s="179"/>
      <c r="BF147" s="179"/>
      <c r="BG147" s="179"/>
      <c r="BH147" s="179"/>
      <c r="BI147" s="179"/>
      <c r="BJ147" s="179"/>
      <c r="BK147" s="179"/>
      <c r="BL147" s="179"/>
      <c r="BM147" s="179"/>
      <c r="BN147" s="179"/>
      <c r="BO147" s="179"/>
      <c r="BP147" s="179"/>
      <c r="BQ147" s="179"/>
      <c r="BR147" s="179"/>
      <c r="BS147" s="179"/>
      <c r="BT147" s="179"/>
      <c r="BU147" s="179"/>
      <c r="BV147" s="179"/>
      <c r="BW147" s="179"/>
      <c r="BX147" s="179"/>
      <c r="BY147" s="179"/>
      <c r="BZ147" s="179"/>
      <c r="CA147" s="179"/>
      <c r="CB147" s="179"/>
      <c r="CC147" s="179"/>
      <c r="CD147" s="179"/>
      <c r="CE147" s="179"/>
      <c r="CF147" s="179"/>
      <c r="CG147" s="179"/>
      <c r="CH147" s="179"/>
      <c r="CI147" s="179"/>
      <c r="CJ147" s="179"/>
      <c r="CK147" s="179"/>
      <c r="CL147" s="179"/>
      <c r="CM147" s="179"/>
      <c r="CN147" s="179"/>
      <c r="CO147" s="179"/>
      <c r="CP147" s="179"/>
      <c r="CQ147" s="179"/>
      <c r="CR147" s="179"/>
      <c r="CS147" s="179"/>
      <c r="CT147" s="179"/>
      <c r="CU147" s="179"/>
      <c r="CV147" s="179"/>
      <c r="CW147" s="179"/>
    </row>
    <row r="148" spans="1:101" x14ac:dyDescent="0.2">
      <c r="A148" s="32" t="str">
        <f t="shared" ca="1" si="2"/>
        <v>2025-08-28</v>
      </c>
      <c r="B148" s="179">
        <f ca="1">IF(ISNUMBER(MATCH(DATEVALUE($A148),'changes1_based on steps'!B$1:B$400,0)),B$2,)</f>
        <v>0</v>
      </c>
      <c r="C148" s="179">
        <f ca="1">IF(ISNUMBER(MATCH(DATEVALUE($A148),'changes1_based on steps'!C$1:C$400,0)),C$2,)</f>
        <v>0</v>
      </c>
      <c r="D148" s="179">
        <f ca="1">IF(ISNUMBER(MATCH(DATEVALUE($A148),'changes1_based on steps'!D$1:D$400,0)),D$2,)</f>
        <v>0</v>
      </c>
      <c r="E148" s="179">
        <f ca="1">IF(ISNUMBER(MATCH(DATEVALUE($A148),'changes1_based on steps'!E$1:E$400,0)),E$2,)</f>
        <v>0</v>
      </c>
      <c r="F148" s="179">
        <f ca="1">IF(ISNUMBER(MATCH(DATEVALUE($A148),'changes1_based on steps'!F$1:F$400,0)),F$2,)</f>
        <v>0</v>
      </c>
      <c r="G148" s="179">
        <f ca="1">IF(ISNUMBER(MATCH(DATEVALUE($A148),'changes1_based on steps'!G$1:G$400,0)),G$2,)</f>
        <v>0</v>
      </c>
      <c r="H148" s="179">
        <f ca="1">IF(ISNUMBER(MATCH(DATEVALUE($A148),'changes1_based on steps'!H$1:H$400,0)),H$2,)</f>
        <v>0</v>
      </c>
      <c r="I148" s="179">
        <f ca="1">IF(ISNUMBER(MATCH(DATEVALUE($A148),'changes1_based on steps'!I$1:I$400,0)),I$2,)</f>
        <v>0</v>
      </c>
      <c r="J148" s="179">
        <f ca="1">IF(ISNUMBER(MATCH(DATEVALUE($A148),'changes1_based on steps'!J$1:J$400,0)),J$2,)</f>
        <v>0</v>
      </c>
      <c r="K148" s="179">
        <f ca="1">IF(ISNUMBER(MATCH(DATEVALUE($A148),'changes1_based on steps'!K$1:K$400,0)),K$2,)</f>
        <v>0</v>
      </c>
      <c r="L148" s="179">
        <f ca="1">IF(ISNUMBER(MATCH(DATEVALUE($A148),'changes1_based on steps'!L$1:L$400,0)),L$2,)</f>
        <v>0</v>
      </c>
      <c r="M148" s="179">
        <f ca="1">IF(ISNUMBER(MATCH(DATEVALUE($A148),'changes1_based on steps'!M$1:M$400,0)),M$2,)</f>
        <v>0</v>
      </c>
      <c r="N148" s="179">
        <f ca="1">IF(ISNUMBER(MATCH(DATEVALUE($A148),'changes1_based on steps'!N$1:N$400,0)),N$2,)</f>
        <v>0</v>
      </c>
      <c r="O148" s="179">
        <f ca="1">IF(ISNUMBER(MATCH(DATEVALUE($A148),'changes1_based on steps'!O$1:O$400,0)),O$2,)</f>
        <v>0</v>
      </c>
      <c r="P148" s="179">
        <f ca="1">IF(ISNUMBER(MATCH(DATEVALUE($A148),'changes1_based on steps'!P$1:P$400,0)),P$2,)</f>
        <v>0</v>
      </c>
      <c r="Q148" s="179">
        <f ca="1">IF(ISNUMBER(MATCH(DATEVALUE($A148),'changes1_based on steps'!Q$1:Q$400,0)),Q$2,)</f>
        <v>0</v>
      </c>
      <c r="R148" s="179">
        <f ca="1">IF(ISNUMBER(MATCH(DATEVALUE($A148),'changes1_based on steps'!R$1:R$400,0)),R$2,)</f>
        <v>0</v>
      </c>
      <c r="S148" s="179">
        <f ca="1">IF(ISNUMBER(MATCH(DATEVALUE($A148),'changes1_based on steps'!S$1:S$400,0)),S$2,)</f>
        <v>0</v>
      </c>
      <c r="T148" s="179">
        <f ca="1">IF(ISNUMBER(MATCH(DATEVALUE($A148),'changes1_based on steps'!T$1:T$400,0)),T$2,)</f>
        <v>0</v>
      </c>
      <c r="U148" s="179">
        <f ca="1">IF(ISNUMBER(MATCH(DATEVALUE($A148),'changes1_based on steps'!U$1:U$400,0)),U$2,)</f>
        <v>0</v>
      </c>
      <c r="V148" s="179"/>
      <c r="W148" s="179"/>
      <c r="X148" s="179"/>
      <c r="Y148" s="179"/>
      <c r="Z148" s="179"/>
      <c r="AA148" s="179"/>
      <c r="AB148" s="179"/>
      <c r="AC148" s="179"/>
      <c r="AD148" s="179"/>
      <c r="AE148" s="179"/>
      <c r="AF148" s="179"/>
      <c r="AG148" s="179"/>
      <c r="AH148" s="179"/>
      <c r="AI148" s="179"/>
      <c r="AJ148" s="179"/>
      <c r="AK148" s="179"/>
      <c r="AL148" s="179"/>
      <c r="AM148" s="179"/>
      <c r="AN148" s="179"/>
      <c r="AO148" s="179"/>
      <c r="AP148" s="179"/>
      <c r="AQ148" s="179"/>
      <c r="AR148" s="179"/>
      <c r="AS148" s="179"/>
      <c r="AT148" s="179"/>
      <c r="AU148" s="179"/>
      <c r="AV148" s="179"/>
      <c r="AW148" s="179"/>
      <c r="AX148" s="179"/>
      <c r="AY148" s="179"/>
      <c r="AZ148" s="179"/>
      <c r="BA148" s="179"/>
      <c r="BB148" s="179"/>
      <c r="BC148" s="179"/>
      <c r="BD148" s="179"/>
      <c r="BE148" s="179"/>
      <c r="BF148" s="179"/>
      <c r="BG148" s="179"/>
      <c r="BH148" s="179"/>
      <c r="BI148" s="179"/>
      <c r="BJ148" s="179"/>
      <c r="BK148" s="179"/>
      <c r="BL148" s="179"/>
      <c r="BM148" s="179"/>
      <c r="BN148" s="179"/>
      <c r="BO148" s="179"/>
      <c r="BP148" s="179"/>
      <c r="BQ148" s="179"/>
      <c r="BR148" s="179"/>
      <c r="BS148" s="179"/>
      <c r="BT148" s="179"/>
      <c r="BU148" s="179"/>
      <c r="BV148" s="179"/>
      <c r="BW148" s="179"/>
      <c r="BX148" s="179"/>
      <c r="BY148" s="179"/>
      <c r="BZ148" s="179"/>
      <c r="CA148" s="179"/>
      <c r="CB148" s="179"/>
      <c r="CC148" s="179"/>
      <c r="CD148" s="179"/>
      <c r="CE148" s="179"/>
      <c r="CF148" s="179"/>
      <c r="CG148" s="179"/>
      <c r="CH148" s="179"/>
      <c r="CI148" s="179"/>
      <c r="CJ148" s="179"/>
      <c r="CK148" s="179"/>
      <c r="CL148" s="179"/>
      <c r="CM148" s="179"/>
      <c r="CN148" s="179"/>
      <c r="CO148" s="179"/>
      <c r="CP148" s="179"/>
      <c r="CQ148" s="179"/>
      <c r="CR148" s="179"/>
      <c r="CS148" s="179"/>
      <c r="CT148" s="179"/>
      <c r="CU148" s="179"/>
      <c r="CV148" s="179"/>
      <c r="CW148" s="179"/>
    </row>
    <row r="149" spans="1:101" x14ac:dyDescent="0.2">
      <c r="A149" s="32" t="str">
        <f t="shared" ca="1" si="2"/>
        <v>2025-08-29</v>
      </c>
      <c r="B149" s="179">
        <f ca="1">IF(ISNUMBER(MATCH(DATEVALUE($A149),'changes1_based on steps'!B$1:B$400,0)),B$2,)</f>
        <v>0</v>
      </c>
      <c r="C149" s="179">
        <f ca="1">IF(ISNUMBER(MATCH(DATEVALUE($A149),'changes1_based on steps'!C$1:C$400,0)),C$2,)</f>
        <v>0</v>
      </c>
      <c r="D149" s="179">
        <f ca="1">IF(ISNUMBER(MATCH(DATEVALUE($A149),'changes1_based on steps'!D$1:D$400,0)),D$2,)</f>
        <v>0</v>
      </c>
      <c r="E149" s="179">
        <f ca="1">IF(ISNUMBER(MATCH(DATEVALUE($A149),'changes1_based on steps'!E$1:E$400,0)),E$2,)</f>
        <v>0</v>
      </c>
      <c r="F149" s="179">
        <f ca="1">IF(ISNUMBER(MATCH(DATEVALUE($A149),'changes1_based on steps'!F$1:F$400,0)),F$2,)</f>
        <v>0</v>
      </c>
      <c r="G149" s="179">
        <f ca="1">IF(ISNUMBER(MATCH(DATEVALUE($A149),'changes1_based on steps'!G$1:G$400,0)),G$2,)</f>
        <v>0</v>
      </c>
      <c r="H149" s="179">
        <f ca="1">IF(ISNUMBER(MATCH(DATEVALUE($A149),'changes1_based on steps'!H$1:H$400,0)),H$2,)</f>
        <v>0</v>
      </c>
      <c r="I149" s="179">
        <f ca="1">IF(ISNUMBER(MATCH(DATEVALUE($A149),'changes1_based on steps'!I$1:I$400,0)),I$2,)</f>
        <v>0</v>
      </c>
      <c r="J149" s="179">
        <f ca="1">IF(ISNUMBER(MATCH(DATEVALUE($A149),'changes1_based on steps'!J$1:J$400,0)),J$2,)</f>
        <v>0</v>
      </c>
      <c r="K149" s="179">
        <f ca="1">IF(ISNUMBER(MATCH(DATEVALUE($A149),'changes1_based on steps'!K$1:K$400,0)),K$2,)</f>
        <v>0</v>
      </c>
      <c r="L149" s="179">
        <f ca="1">IF(ISNUMBER(MATCH(DATEVALUE($A149),'changes1_based on steps'!L$1:L$400,0)),L$2,)</f>
        <v>0</v>
      </c>
      <c r="M149" s="179">
        <f ca="1">IF(ISNUMBER(MATCH(DATEVALUE($A149),'changes1_based on steps'!M$1:M$400,0)),M$2,)</f>
        <v>0</v>
      </c>
      <c r="N149" s="179">
        <f ca="1">IF(ISNUMBER(MATCH(DATEVALUE($A149),'changes1_based on steps'!N$1:N$400,0)),N$2,)</f>
        <v>0</v>
      </c>
      <c r="O149" s="179">
        <f ca="1">IF(ISNUMBER(MATCH(DATEVALUE($A149),'changes1_based on steps'!O$1:O$400,0)),O$2,)</f>
        <v>0</v>
      </c>
      <c r="P149" s="179">
        <f ca="1">IF(ISNUMBER(MATCH(DATEVALUE($A149),'changes1_based on steps'!P$1:P$400,0)),P$2,)</f>
        <v>0</v>
      </c>
      <c r="Q149" s="179">
        <f ca="1">IF(ISNUMBER(MATCH(DATEVALUE($A149),'changes1_based on steps'!Q$1:Q$400,0)),Q$2,)</f>
        <v>0</v>
      </c>
      <c r="R149" s="179">
        <f ca="1">IF(ISNUMBER(MATCH(DATEVALUE($A149),'changes1_based on steps'!R$1:R$400,0)),R$2,)</f>
        <v>0</v>
      </c>
      <c r="S149" s="179">
        <f ca="1">IF(ISNUMBER(MATCH(DATEVALUE($A149),'changes1_based on steps'!S$1:S$400,0)),S$2,)</f>
        <v>0</v>
      </c>
      <c r="T149" s="179">
        <f ca="1">IF(ISNUMBER(MATCH(DATEVALUE($A149),'changes1_based on steps'!T$1:T$400,0)),T$2,)</f>
        <v>0</v>
      </c>
      <c r="U149" s="179">
        <f ca="1">IF(ISNUMBER(MATCH(DATEVALUE($A149),'changes1_based on steps'!U$1:U$400,0)),U$2,)</f>
        <v>0</v>
      </c>
      <c r="V149" s="179"/>
      <c r="W149" s="179"/>
      <c r="X149" s="179"/>
      <c r="Y149" s="179"/>
      <c r="Z149" s="179"/>
      <c r="AA149" s="179"/>
      <c r="AB149" s="179"/>
      <c r="AC149" s="179"/>
      <c r="AD149" s="179"/>
      <c r="AE149" s="179"/>
      <c r="AF149" s="179"/>
      <c r="AG149" s="179"/>
      <c r="AH149" s="179"/>
      <c r="AI149" s="179"/>
      <c r="AJ149" s="179"/>
      <c r="AK149" s="179"/>
      <c r="AL149" s="179"/>
      <c r="AM149" s="179"/>
      <c r="AN149" s="179"/>
      <c r="AO149" s="179"/>
      <c r="AP149" s="179"/>
      <c r="AQ149" s="179"/>
      <c r="AR149" s="179"/>
      <c r="AS149" s="179"/>
      <c r="AT149" s="179"/>
      <c r="AU149" s="179"/>
      <c r="AV149" s="179"/>
      <c r="AW149" s="179"/>
      <c r="AX149" s="179"/>
      <c r="AY149" s="179"/>
      <c r="AZ149" s="179"/>
      <c r="BA149" s="179"/>
      <c r="BB149" s="179"/>
      <c r="BC149" s="179"/>
      <c r="BD149" s="179"/>
      <c r="BE149" s="179"/>
      <c r="BF149" s="179"/>
      <c r="BG149" s="179"/>
      <c r="BH149" s="179"/>
      <c r="BI149" s="179"/>
      <c r="BJ149" s="179"/>
      <c r="BK149" s="179"/>
      <c r="BL149" s="179"/>
      <c r="BM149" s="179"/>
      <c r="BN149" s="179"/>
      <c r="BO149" s="179"/>
      <c r="BP149" s="179"/>
      <c r="BQ149" s="179"/>
      <c r="BR149" s="179"/>
      <c r="BS149" s="179"/>
      <c r="BT149" s="179"/>
      <c r="BU149" s="179"/>
      <c r="BV149" s="179"/>
      <c r="BW149" s="179"/>
      <c r="BX149" s="179"/>
      <c r="BY149" s="179"/>
      <c r="BZ149" s="179"/>
      <c r="CA149" s="179"/>
      <c r="CB149" s="179"/>
      <c r="CC149" s="179"/>
      <c r="CD149" s="179"/>
      <c r="CE149" s="179"/>
      <c r="CF149" s="179"/>
      <c r="CG149" s="179"/>
      <c r="CH149" s="179"/>
      <c r="CI149" s="179"/>
      <c r="CJ149" s="179"/>
      <c r="CK149" s="179"/>
      <c r="CL149" s="179"/>
      <c r="CM149" s="179"/>
      <c r="CN149" s="179"/>
      <c r="CO149" s="179"/>
      <c r="CP149" s="179"/>
      <c r="CQ149" s="179"/>
      <c r="CR149" s="179"/>
      <c r="CS149" s="179"/>
      <c r="CT149" s="179"/>
      <c r="CU149" s="179"/>
      <c r="CV149" s="179"/>
      <c r="CW149" s="179"/>
    </row>
    <row r="150" spans="1:101" x14ac:dyDescent="0.2">
      <c r="A150" s="32" t="str">
        <f t="shared" ca="1" si="2"/>
        <v>2025-08-30</v>
      </c>
      <c r="B150" s="179">
        <f ca="1">IF(ISNUMBER(MATCH(DATEVALUE($A150),'changes1_based on steps'!B$1:B$400,0)),B$2,)</f>
        <v>0</v>
      </c>
      <c r="C150" s="179">
        <f ca="1">IF(ISNUMBER(MATCH(DATEVALUE($A150),'changes1_based on steps'!C$1:C$400,0)),C$2,)</f>
        <v>0</v>
      </c>
      <c r="D150" s="179">
        <f ca="1">IF(ISNUMBER(MATCH(DATEVALUE($A150),'changes1_based on steps'!D$1:D$400,0)),D$2,)</f>
        <v>0</v>
      </c>
      <c r="E150" s="179">
        <f ca="1">IF(ISNUMBER(MATCH(DATEVALUE($A150),'changes1_based on steps'!E$1:E$400,0)),E$2,)</f>
        <v>0</v>
      </c>
      <c r="F150" s="179">
        <f ca="1">IF(ISNUMBER(MATCH(DATEVALUE($A150),'changes1_based on steps'!F$1:F$400,0)),F$2,)</f>
        <v>0</v>
      </c>
      <c r="G150" s="179">
        <f ca="1">IF(ISNUMBER(MATCH(DATEVALUE($A150),'changes1_based on steps'!G$1:G$400,0)),G$2,)</f>
        <v>0</v>
      </c>
      <c r="H150" s="179">
        <f ca="1">IF(ISNUMBER(MATCH(DATEVALUE($A150),'changes1_based on steps'!H$1:H$400,0)),H$2,)</f>
        <v>0</v>
      </c>
      <c r="I150" s="179">
        <f ca="1">IF(ISNUMBER(MATCH(DATEVALUE($A150),'changes1_based on steps'!I$1:I$400,0)),I$2,)</f>
        <v>0</v>
      </c>
      <c r="J150" s="179">
        <f ca="1">IF(ISNUMBER(MATCH(DATEVALUE($A150),'changes1_based on steps'!J$1:J$400,0)),J$2,)</f>
        <v>0</v>
      </c>
      <c r="K150" s="179">
        <f ca="1">IF(ISNUMBER(MATCH(DATEVALUE($A150),'changes1_based on steps'!K$1:K$400,0)),K$2,)</f>
        <v>0</v>
      </c>
      <c r="L150" s="179">
        <f ca="1">IF(ISNUMBER(MATCH(DATEVALUE($A150),'changes1_based on steps'!L$1:L$400,0)),L$2,)</f>
        <v>0</v>
      </c>
      <c r="M150" s="179">
        <f ca="1">IF(ISNUMBER(MATCH(DATEVALUE($A150),'changes1_based on steps'!M$1:M$400,0)),M$2,)</f>
        <v>0</v>
      </c>
      <c r="N150" s="179">
        <f ca="1">IF(ISNUMBER(MATCH(DATEVALUE($A150),'changes1_based on steps'!N$1:N$400,0)),N$2,)</f>
        <v>0</v>
      </c>
      <c r="O150" s="179">
        <f ca="1">IF(ISNUMBER(MATCH(DATEVALUE($A150),'changes1_based on steps'!O$1:O$400,0)),O$2,)</f>
        <v>0</v>
      </c>
      <c r="P150" s="179">
        <f ca="1">IF(ISNUMBER(MATCH(DATEVALUE($A150),'changes1_based on steps'!P$1:P$400,0)),P$2,)</f>
        <v>0</v>
      </c>
      <c r="Q150" s="179">
        <f ca="1">IF(ISNUMBER(MATCH(DATEVALUE($A150),'changes1_based on steps'!Q$1:Q$400,0)),Q$2,)</f>
        <v>0</v>
      </c>
      <c r="R150" s="179">
        <f ca="1">IF(ISNUMBER(MATCH(DATEVALUE($A150),'changes1_based on steps'!R$1:R$400,0)),R$2,)</f>
        <v>0</v>
      </c>
      <c r="S150" s="179">
        <f ca="1">IF(ISNUMBER(MATCH(DATEVALUE($A150),'changes1_based on steps'!S$1:S$400,0)),S$2,)</f>
        <v>0</v>
      </c>
      <c r="T150" s="179">
        <f ca="1">IF(ISNUMBER(MATCH(DATEVALUE($A150),'changes1_based on steps'!T$1:T$400,0)),T$2,)</f>
        <v>0</v>
      </c>
      <c r="U150" s="179">
        <f ca="1">IF(ISNUMBER(MATCH(DATEVALUE($A150),'changes1_based on steps'!U$1:U$400,0)),U$2,)</f>
        <v>0</v>
      </c>
      <c r="V150" s="179"/>
      <c r="W150" s="179"/>
      <c r="X150" s="179"/>
      <c r="Y150" s="179"/>
      <c r="Z150" s="179"/>
      <c r="AA150" s="179"/>
      <c r="AB150" s="179"/>
      <c r="AC150" s="179"/>
      <c r="AD150" s="179"/>
      <c r="AE150" s="179"/>
      <c r="AF150" s="179"/>
      <c r="AG150" s="179"/>
      <c r="AH150" s="179"/>
      <c r="AI150" s="179"/>
      <c r="AJ150" s="179"/>
      <c r="AK150" s="179"/>
      <c r="AL150" s="179"/>
      <c r="AM150" s="179"/>
      <c r="AN150" s="179"/>
      <c r="AO150" s="179"/>
      <c r="AP150" s="179"/>
      <c r="AQ150" s="179"/>
      <c r="AR150" s="179"/>
      <c r="AS150" s="179"/>
      <c r="AT150" s="179"/>
      <c r="AU150" s="179"/>
      <c r="AV150" s="179"/>
      <c r="AW150" s="179"/>
      <c r="AX150" s="179"/>
      <c r="AY150" s="179"/>
      <c r="AZ150" s="179"/>
      <c r="BA150" s="179"/>
      <c r="BB150" s="179"/>
      <c r="BC150" s="179"/>
      <c r="BD150" s="179"/>
      <c r="BE150" s="179"/>
      <c r="BF150" s="179"/>
      <c r="BG150" s="179"/>
      <c r="BH150" s="179"/>
      <c r="BI150" s="179"/>
      <c r="BJ150" s="179"/>
      <c r="BK150" s="179"/>
      <c r="BL150" s="179"/>
      <c r="BM150" s="179"/>
      <c r="BN150" s="179"/>
      <c r="BO150" s="179"/>
      <c r="BP150" s="179"/>
      <c r="BQ150" s="179"/>
      <c r="BR150" s="179"/>
      <c r="BS150" s="179"/>
      <c r="BT150" s="179"/>
      <c r="BU150" s="179"/>
      <c r="BV150" s="179"/>
      <c r="BW150" s="179"/>
      <c r="BX150" s="179"/>
      <c r="BY150" s="179"/>
      <c r="BZ150" s="179"/>
      <c r="CA150" s="179"/>
      <c r="CB150" s="179"/>
      <c r="CC150" s="179"/>
      <c r="CD150" s="179"/>
      <c r="CE150" s="179"/>
      <c r="CF150" s="179"/>
      <c r="CG150" s="179"/>
      <c r="CH150" s="179"/>
      <c r="CI150" s="179"/>
      <c r="CJ150" s="179"/>
      <c r="CK150" s="179"/>
      <c r="CL150" s="179"/>
      <c r="CM150" s="179"/>
      <c r="CN150" s="179"/>
      <c r="CO150" s="179"/>
      <c r="CP150" s="179"/>
      <c r="CQ150" s="179"/>
      <c r="CR150" s="179"/>
      <c r="CS150" s="179"/>
      <c r="CT150" s="179"/>
      <c r="CU150" s="179"/>
      <c r="CV150" s="179"/>
      <c r="CW150" s="179"/>
    </row>
    <row r="151" spans="1:101" x14ac:dyDescent="0.2">
      <c r="A151" s="32" t="str">
        <f t="shared" ca="1" si="2"/>
        <v>2025-08-31</v>
      </c>
      <c r="B151" s="179">
        <f ca="1">IF(ISNUMBER(MATCH(DATEVALUE($A151),'changes1_based on steps'!B$1:B$400,0)),B$2,)</f>
        <v>0</v>
      </c>
      <c r="C151" s="179">
        <f ca="1">IF(ISNUMBER(MATCH(DATEVALUE($A151),'changes1_based on steps'!C$1:C$400,0)),C$2,)</f>
        <v>0</v>
      </c>
      <c r="D151" s="179">
        <f ca="1">IF(ISNUMBER(MATCH(DATEVALUE($A151),'changes1_based on steps'!D$1:D$400,0)),D$2,)</f>
        <v>0</v>
      </c>
      <c r="E151" s="179">
        <f ca="1">IF(ISNUMBER(MATCH(DATEVALUE($A151),'changes1_based on steps'!E$1:E$400,0)),E$2,)</f>
        <v>0</v>
      </c>
      <c r="F151" s="179">
        <f ca="1">IF(ISNUMBER(MATCH(DATEVALUE($A151),'changes1_based on steps'!F$1:F$400,0)),F$2,)</f>
        <v>0</v>
      </c>
      <c r="G151" s="179">
        <f ca="1">IF(ISNUMBER(MATCH(DATEVALUE($A151),'changes1_based on steps'!G$1:G$400,0)),G$2,)</f>
        <v>0</v>
      </c>
      <c r="H151" s="179">
        <f ca="1">IF(ISNUMBER(MATCH(DATEVALUE($A151),'changes1_based on steps'!H$1:H$400,0)),H$2,)</f>
        <v>0</v>
      </c>
      <c r="I151" s="179">
        <f ca="1">IF(ISNUMBER(MATCH(DATEVALUE($A151),'changes1_based on steps'!I$1:I$400,0)),I$2,)</f>
        <v>0</v>
      </c>
      <c r="J151" s="179">
        <f ca="1">IF(ISNUMBER(MATCH(DATEVALUE($A151),'changes1_based on steps'!J$1:J$400,0)),J$2,)</f>
        <v>0</v>
      </c>
      <c r="K151" s="179">
        <f ca="1">IF(ISNUMBER(MATCH(DATEVALUE($A151),'changes1_based on steps'!K$1:K$400,0)),K$2,)</f>
        <v>0</v>
      </c>
      <c r="L151" s="179">
        <f ca="1">IF(ISNUMBER(MATCH(DATEVALUE($A151),'changes1_based on steps'!L$1:L$400,0)),L$2,)</f>
        <v>0</v>
      </c>
      <c r="M151" s="179">
        <f ca="1">IF(ISNUMBER(MATCH(DATEVALUE($A151),'changes1_based on steps'!M$1:M$400,0)),M$2,)</f>
        <v>0</v>
      </c>
      <c r="N151" s="179">
        <f ca="1">IF(ISNUMBER(MATCH(DATEVALUE($A151),'changes1_based on steps'!N$1:N$400,0)),N$2,)</f>
        <v>0</v>
      </c>
      <c r="O151" s="179">
        <f ca="1">IF(ISNUMBER(MATCH(DATEVALUE($A151),'changes1_based on steps'!O$1:O$400,0)),O$2,)</f>
        <v>0</v>
      </c>
      <c r="P151" s="179">
        <f ca="1">IF(ISNUMBER(MATCH(DATEVALUE($A151),'changes1_based on steps'!P$1:P$400,0)),P$2,)</f>
        <v>0</v>
      </c>
      <c r="Q151" s="179">
        <f ca="1">IF(ISNUMBER(MATCH(DATEVALUE($A151),'changes1_based on steps'!Q$1:Q$400,0)),Q$2,)</f>
        <v>0</v>
      </c>
      <c r="R151" s="179">
        <f ca="1">IF(ISNUMBER(MATCH(DATEVALUE($A151),'changes1_based on steps'!R$1:R$400,0)),R$2,)</f>
        <v>0</v>
      </c>
      <c r="S151" s="179">
        <f ca="1">IF(ISNUMBER(MATCH(DATEVALUE($A151),'changes1_based on steps'!S$1:S$400,0)),S$2,)</f>
        <v>0</v>
      </c>
      <c r="T151" s="179">
        <f ca="1">IF(ISNUMBER(MATCH(DATEVALUE($A151),'changes1_based on steps'!T$1:T$400,0)),T$2,)</f>
        <v>0</v>
      </c>
      <c r="U151" s="179">
        <f ca="1">IF(ISNUMBER(MATCH(DATEVALUE($A151),'changes1_based on steps'!U$1:U$400,0)),U$2,)</f>
        <v>0</v>
      </c>
      <c r="V151" s="179"/>
      <c r="W151" s="179"/>
      <c r="X151" s="179"/>
      <c r="Y151" s="179"/>
      <c r="Z151" s="179"/>
      <c r="AA151" s="179"/>
      <c r="AB151" s="179"/>
      <c r="AC151" s="179"/>
      <c r="AD151" s="179"/>
      <c r="AE151" s="179"/>
      <c r="AF151" s="179"/>
      <c r="AG151" s="179"/>
      <c r="AH151" s="179"/>
      <c r="AI151" s="179"/>
      <c r="AJ151" s="179"/>
      <c r="AK151" s="179"/>
      <c r="AL151" s="179"/>
      <c r="AM151" s="179"/>
      <c r="AN151" s="179"/>
      <c r="AO151" s="179"/>
      <c r="AP151" s="179"/>
      <c r="AQ151" s="179"/>
      <c r="AR151" s="179"/>
      <c r="AS151" s="179"/>
      <c r="AT151" s="179"/>
      <c r="AU151" s="179"/>
      <c r="AV151" s="179"/>
      <c r="AW151" s="179"/>
      <c r="AX151" s="179"/>
      <c r="AY151" s="179"/>
      <c r="AZ151" s="179"/>
      <c r="BA151" s="179"/>
      <c r="BB151" s="179"/>
      <c r="BC151" s="179"/>
      <c r="BD151" s="179"/>
      <c r="BE151" s="179"/>
      <c r="BF151" s="179"/>
      <c r="BG151" s="179"/>
      <c r="BH151" s="179"/>
      <c r="BI151" s="179"/>
      <c r="BJ151" s="179"/>
      <c r="BK151" s="179"/>
      <c r="BL151" s="179"/>
      <c r="BM151" s="179"/>
      <c r="BN151" s="179"/>
      <c r="BO151" s="179"/>
      <c r="BP151" s="179"/>
      <c r="BQ151" s="179"/>
      <c r="BR151" s="179"/>
      <c r="BS151" s="179"/>
      <c r="BT151" s="179"/>
      <c r="BU151" s="179"/>
      <c r="BV151" s="179"/>
      <c r="BW151" s="179"/>
      <c r="BX151" s="179"/>
      <c r="BY151" s="179"/>
      <c r="BZ151" s="179"/>
      <c r="CA151" s="179"/>
      <c r="CB151" s="179"/>
      <c r="CC151" s="179"/>
      <c r="CD151" s="179"/>
      <c r="CE151" s="179"/>
      <c r="CF151" s="179"/>
      <c r="CG151" s="179"/>
      <c r="CH151" s="179"/>
      <c r="CI151" s="179"/>
      <c r="CJ151" s="179"/>
      <c r="CK151" s="179"/>
      <c r="CL151" s="179"/>
      <c r="CM151" s="179"/>
      <c r="CN151" s="179"/>
      <c r="CO151" s="179"/>
      <c r="CP151" s="179"/>
      <c r="CQ151" s="179"/>
      <c r="CR151" s="179"/>
      <c r="CS151" s="179"/>
      <c r="CT151" s="179"/>
      <c r="CU151" s="179"/>
      <c r="CV151" s="179"/>
      <c r="CW151" s="179"/>
    </row>
    <row r="152" spans="1:101" x14ac:dyDescent="0.2">
      <c r="A152" s="32" t="str">
        <f t="shared" ca="1" si="2"/>
        <v>2025-09-01</v>
      </c>
      <c r="B152" s="179">
        <f ca="1">IF(ISNUMBER(MATCH(DATEVALUE($A152),'changes1_based on steps'!B$1:B$400,0)),B$2,)</f>
        <v>0</v>
      </c>
      <c r="C152" s="179">
        <f ca="1">IF(ISNUMBER(MATCH(DATEVALUE($A152),'changes1_based on steps'!C$1:C$400,0)),C$2,)</f>
        <v>0</v>
      </c>
      <c r="D152" s="179">
        <f ca="1">IF(ISNUMBER(MATCH(DATEVALUE($A152),'changes1_based on steps'!D$1:D$400,0)),D$2,)</f>
        <v>0</v>
      </c>
      <c r="E152" s="179">
        <f ca="1">IF(ISNUMBER(MATCH(DATEVALUE($A152),'changes1_based on steps'!E$1:E$400,0)),E$2,)</f>
        <v>0</v>
      </c>
      <c r="F152" s="179">
        <f ca="1">IF(ISNUMBER(MATCH(DATEVALUE($A152),'changes1_based on steps'!F$1:F$400,0)),F$2,)</f>
        <v>0</v>
      </c>
      <c r="G152" s="179">
        <f ca="1">IF(ISNUMBER(MATCH(DATEVALUE($A152),'changes1_based on steps'!G$1:G$400,0)),G$2,)</f>
        <v>0</v>
      </c>
      <c r="H152" s="179">
        <f ca="1">IF(ISNUMBER(MATCH(DATEVALUE($A152),'changes1_based on steps'!H$1:H$400,0)),H$2,)</f>
        <v>0</v>
      </c>
      <c r="I152" s="179">
        <f ca="1">IF(ISNUMBER(MATCH(DATEVALUE($A152),'changes1_based on steps'!I$1:I$400,0)),I$2,)</f>
        <v>0</v>
      </c>
      <c r="J152" s="179">
        <f ca="1">IF(ISNUMBER(MATCH(DATEVALUE($A152),'changes1_based on steps'!J$1:J$400,0)),J$2,)</f>
        <v>0</v>
      </c>
      <c r="K152" s="179">
        <f ca="1">IF(ISNUMBER(MATCH(DATEVALUE($A152),'changes1_based on steps'!K$1:K$400,0)),K$2,)</f>
        <v>0</v>
      </c>
      <c r="L152" s="179">
        <f ca="1">IF(ISNUMBER(MATCH(DATEVALUE($A152),'changes1_based on steps'!L$1:L$400,0)),L$2,)</f>
        <v>0</v>
      </c>
      <c r="M152" s="179">
        <f ca="1">IF(ISNUMBER(MATCH(DATEVALUE($A152),'changes1_based on steps'!M$1:M$400,0)),M$2,)</f>
        <v>0</v>
      </c>
      <c r="N152" s="179">
        <f ca="1">IF(ISNUMBER(MATCH(DATEVALUE($A152),'changes1_based on steps'!N$1:N$400,0)),N$2,)</f>
        <v>0</v>
      </c>
      <c r="O152" s="179">
        <f ca="1">IF(ISNUMBER(MATCH(DATEVALUE($A152),'changes1_based on steps'!O$1:O$400,0)),O$2,)</f>
        <v>0</v>
      </c>
      <c r="P152" s="179">
        <f ca="1">IF(ISNUMBER(MATCH(DATEVALUE($A152),'changes1_based on steps'!P$1:P$400,0)),P$2,)</f>
        <v>0</v>
      </c>
      <c r="Q152" s="179">
        <f ca="1">IF(ISNUMBER(MATCH(DATEVALUE($A152),'changes1_based on steps'!Q$1:Q$400,0)),Q$2,)</f>
        <v>0</v>
      </c>
      <c r="R152" s="179">
        <f ca="1">IF(ISNUMBER(MATCH(DATEVALUE($A152),'changes1_based on steps'!R$1:R$400,0)),R$2,)</f>
        <v>0</v>
      </c>
      <c r="S152" s="179">
        <f ca="1">IF(ISNUMBER(MATCH(DATEVALUE($A152),'changes1_based on steps'!S$1:S$400,0)),S$2,)</f>
        <v>0</v>
      </c>
      <c r="T152" s="179">
        <f ca="1">IF(ISNUMBER(MATCH(DATEVALUE($A152),'changes1_based on steps'!T$1:T$400,0)),T$2,)</f>
        <v>0</v>
      </c>
      <c r="U152" s="179">
        <f ca="1">IF(ISNUMBER(MATCH(DATEVALUE($A152),'changes1_based on steps'!U$1:U$400,0)),U$2,)</f>
        <v>0</v>
      </c>
      <c r="V152" s="179"/>
      <c r="W152" s="179"/>
      <c r="X152" s="179"/>
      <c r="Y152" s="179"/>
      <c r="Z152" s="179"/>
      <c r="AA152" s="179"/>
      <c r="AB152" s="179"/>
      <c r="AC152" s="179"/>
      <c r="AD152" s="179"/>
      <c r="AE152" s="179"/>
      <c r="AF152" s="179"/>
      <c r="AG152" s="179"/>
      <c r="AH152" s="179"/>
      <c r="AI152" s="179"/>
      <c r="AJ152" s="179"/>
      <c r="AK152" s="179"/>
      <c r="AL152" s="179"/>
      <c r="AM152" s="179"/>
      <c r="AN152" s="179"/>
      <c r="AO152" s="179"/>
      <c r="AP152" s="179"/>
      <c r="AQ152" s="179"/>
      <c r="AR152" s="179"/>
      <c r="AS152" s="179"/>
      <c r="AT152" s="179"/>
      <c r="AU152" s="179"/>
      <c r="AV152" s="179"/>
      <c r="AW152" s="179"/>
      <c r="AX152" s="179"/>
      <c r="AY152" s="179"/>
      <c r="AZ152" s="179"/>
      <c r="BA152" s="179"/>
      <c r="BB152" s="179"/>
      <c r="BC152" s="179"/>
      <c r="BD152" s="179"/>
      <c r="BE152" s="179"/>
      <c r="BF152" s="179"/>
      <c r="BG152" s="179"/>
      <c r="BH152" s="179"/>
      <c r="BI152" s="179"/>
      <c r="BJ152" s="179"/>
      <c r="BK152" s="179"/>
      <c r="BL152" s="179"/>
      <c r="BM152" s="179"/>
      <c r="BN152" s="179"/>
      <c r="BO152" s="179"/>
      <c r="BP152" s="179"/>
      <c r="BQ152" s="179"/>
      <c r="BR152" s="179"/>
      <c r="BS152" s="179"/>
      <c r="BT152" s="179"/>
      <c r="BU152" s="179"/>
      <c r="BV152" s="179"/>
      <c r="BW152" s="179"/>
      <c r="BX152" s="179"/>
      <c r="BY152" s="179"/>
      <c r="BZ152" s="179"/>
      <c r="CA152" s="179"/>
      <c r="CB152" s="179"/>
      <c r="CC152" s="179"/>
      <c r="CD152" s="179"/>
      <c r="CE152" s="179"/>
      <c r="CF152" s="179"/>
      <c r="CG152" s="179"/>
      <c r="CH152" s="179"/>
      <c r="CI152" s="179"/>
      <c r="CJ152" s="179"/>
      <c r="CK152" s="179"/>
      <c r="CL152" s="179"/>
      <c r="CM152" s="179"/>
      <c r="CN152" s="179"/>
      <c r="CO152" s="179"/>
      <c r="CP152" s="179"/>
      <c r="CQ152" s="179"/>
      <c r="CR152" s="179"/>
      <c r="CS152" s="179"/>
      <c r="CT152" s="179"/>
      <c r="CU152" s="179"/>
      <c r="CV152" s="179"/>
      <c r="CW152" s="179"/>
    </row>
    <row r="153" spans="1:101" x14ac:dyDescent="0.2">
      <c r="A153" s="32" t="str">
        <f t="shared" ca="1" si="2"/>
        <v>2025-09-02</v>
      </c>
      <c r="B153" s="179">
        <f ca="1">IF(ISNUMBER(MATCH(DATEVALUE($A153),'changes1_based on steps'!B$1:B$400,0)),B$2,)</f>
        <v>0</v>
      </c>
      <c r="C153" s="179">
        <f ca="1">IF(ISNUMBER(MATCH(DATEVALUE($A153),'changes1_based on steps'!C$1:C$400,0)),C$2,)</f>
        <v>0</v>
      </c>
      <c r="D153" s="179">
        <f ca="1">IF(ISNUMBER(MATCH(DATEVALUE($A153),'changes1_based on steps'!D$1:D$400,0)),D$2,)</f>
        <v>0</v>
      </c>
      <c r="E153" s="179">
        <f ca="1">IF(ISNUMBER(MATCH(DATEVALUE($A153),'changes1_based on steps'!E$1:E$400,0)),E$2,)</f>
        <v>0</v>
      </c>
      <c r="F153" s="179">
        <f ca="1">IF(ISNUMBER(MATCH(DATEVALUE($A153),'changes1_based on steps'!F$1:F$400,0)),F$2,)</f>
        <v>0</v>
      </c>
      <c r="G153" s="179">
        <f ca="1">IF(ISNUMBER(MATCH(DATEVALUE($A153),'changes1_based on steps'!G$1:G$400,0)),G$2,)</f>
        <v>0</v>
      </c>
      <c r="H153" s="179">
        <f ca="1">IF(ISNUMBER(MATCH(DATEVALUE($A153),'changes1_based on steps'!H$1:H$400,0)),H$2,)</f>
        <v>0</v>
      </c>
      <c r="I153" s="179">
        <f ca="1">IF(ISNUMBER(MATCH(DATEVALUE($A153),'changes1_based on steps'!I$1:I$400,0)),I$2,)</f>
        <v>0</v>
      </c>
      <c r="J153" s="179">
        <f ca="1">IF(ISNUMBER(MATCH(DATEVALUE($A153),'changes1_based on steps'!J$1:J$400,0)),J$2,)</f>
        <v>0</v>
      </c>
      <c r="K153" s="179">
        <f ca="1">IF(ISNUMBER(MATCH(DATEVALUE($A153),'changes1_based on steps'!K$1:K$400,0)),K$2,)</f>
        <v>0</v>
      </c>
      <c r="L153" s="179">
        <f ca="1">IF(ISNUMBER(MATCH(DATEVALUE($A153),'changes1_based on steps'!L$1:L$400,0)),L$2,)</f>
        <v>0</v>
      </c>
      <c r="M153" s="179">
        <f ca="1">IF(ISNUMBER(MATCH(DATEVALUE($A153),'changes1_based on steps'!M$1:M$400,0)),M$2,)</f>
        <v>0</v>
      </c>
      <c r="N153" s="179">
        <f ca="1">IF(ISNUMBER(MATCH(DATEVALUE($A153),'changes1_based on steps'!N$1:N$400,0)),N$2,)</f>
        <v>0</v>
      </c>
      <c r="O153" s="179">
        <f ca="1">IF(ISNUMBER(MATCH(DATEVALUE($A153),'changes1_based on steps'!O$1:O$400,0)),O$2,)</f>
        <v>0</v>
      </c>
      <c r="P153" s="179">
        <f ca="1">IF(ISNUMBER(MATCH(DATEVALUE($A153),'changes1_based on steps'!P$1:P$400,0)),P$2,)</f>
        <v>0</v>
      </c>
      <c r="Q153" s="179">
        <f ca="1">IF(ISNUMBER(MATCH(DATEVALUE($A153),'changes1_based on steps'!Q$1:Q$400,0)),Q$2,)</f>
        <v>0</v>
      </c>
      <c r="R153" s="179">
        <f ca="1">IF(ISNUMBER(MATCH(DATEVALUE($A153),'changes1_based on steps'!R$1:R$400,0)),R$2,)</f>
        <v>0</v>
      </c>
      <c r="S153" s="179">
        <f ca="1">IF(ISNUMBER(MATCH(DATEVALUE($A153),'changes1_based on steps'!S$1:S$400,0)),S$2,)</f>
        <v>0</v>
      </c>
      <c r="T153" s="179">
        <f ca="1">IF(ISNUMBER(MATCH(DATEVALUE($A153),'changes1_based on steps'!T$1:T$400,0)),T$2,)</f>
        <v>0</v>
      </c>
      <c r="U153" s="179">
        <f ca="1">IF(ISNUMBER(MATCH(DATEVALUE($A153),'changes1_based on steps'!U$1:U$400,0)),U$2,)</f>
        <v>0</v>
      </c>
      <c r="V153" s="179"/>
      <c r="W153" s="179"/>
      <c r="X153" s="179"/>
      <c r="Y153" s="179"/>
      <c r="Z153" s="179"/>
      <c r="AA153" s="179"/>
      <c r="AB153" s="179"/>
      <c r="AC153" s="179"/>
      <c r="AD153" s="179"/>
      <c r="AE153" s="179"/>
      <c r="AF153" s="179"/>
      <c r="AG153" s="179"/>
      <c r="AH153" s="179"/>
      <c r="AI153" s="179"/>
      <c r="AJ153" s="179"/>
      <c r="AK153" s="179"/>
      <c r="AL153" s="179"/>
      <c r="AM153" s="179"/>
      <c r="AN153" s="179"/>
      <c r="AO153" s="179"/>
      <c r="AP153" s="179"/>
      <c r="AQ153" s="179"/>
      <c r="AR153" s="179"/>
      <c r="AS153" s="179"/>
      <c r="AT153" s="179"/>
      <c r="AU153" s="179"/>
      <c r="AV153" s="179"/>
      <c r="AW153" s="179"/>
      <c r="AX153" s="179"/>
      <c r="AY153" s="179"/>
      <c r="AZ153" s="179"/>
      <c r="BA153" s="179"/>
      <c r="BB153" s="179"/>
      <c r="BC153" s="179"/>
      <c r="BD153" s="179"/>
      <c r="BE153" s="179"/>
      <c r="BF153" s="179"/>
      <c r="BG153" s="179"/>
      <c r="BH153" s="179"/>
      <c r="BI153" s="179"/>
      <c r="BJ153" s="179"/>
      <c r="BK153" s="179"/>
      <c r="BL153" s="179"/>
      <c r="BM153" s="179"/>
      <c r="BN153" s="179"/>
      <c r="BO153" s="179"/>
      <c r="BP153" s="179"/>
      <c r="BQ153" s="179"/>
      <c r="BR153" s="179"/>
      <c r="BS153" s="179"/>
      <c r="BT153" s="179"/>
      <c r="BU153" s="179"/>
      <c r="BV153" s="179"/>
      <c r="BW153" s="179"/>
      <c r="BX153" s="179"/>
      <c r="BY153" s="179"/>
      <c r="BZ153" s="179"/>
      <c r="CA153" s="179"/>
      <c r="CB153" s="179"/>
      <c r="CC153" s="179"/>
      <c r="CD153" s="179"/>
      <c r="CE153" s="179"/>
      <c r="CF153" s="179"/>
      <c r="CG153" s="179"/>
      <c r="CH153" s="179"/>
      <c r="CI153" s="179"/>
      <c r="CJ153" s="179"/>
      <c r="CK153" s="179"/>
      <c r="CL153" s="179"/>
      <c r="CM153" s="179"/>
      <c r="CN153" s="179"/>
      <c r="CO153" s="179"/>
      <c r="CP153" s="179"/>
      <c r="CQ153" s="179"/>
      <c r="CR153" s="179"/>
      <c r="CS153" s="179"/>
      <c r="CT153" s="179"/>
      <c r="CU153" s="179"/>
      <c r="CV153" s="179"/>
      <c r="CW153" s="179"/>
    </row>
    <row r="154" spans="1:101" x14ac:dyDescent="0.2">
      <c r="A154" s="32" t="str">
        <f t="shared" ca="1" si="2"/>
        <v>2025-09-03</v>
      </c>
      <c r="B154" s="179">
        <f ca="1">IF(ISNUMBER(MATCH(DATEVALUE($A154),'changes1_based on steps'!B$1:B$400,0)),B$2,)</f>
        <v>0</v>
      </c>
      <c r="C154" s="179">
        <f ca="1">IF(ISNUMBER(MATCH(DATEVALUE($A154),'changes1_based on steps'!C$1:C$400,0)),C$2,)</f>
        <v>0</v>
      </c>
      <c r="D154" s="179">
        <f ca="1">IF(ISNUMBER(MATCH(DATEVALUE($A154),'changes1_based on steps'!D$1:D$400,0)),D$2,)</f>
        <v>0</v>
      </c>
      <c r="E154" s="179">
        <f ca="1">IF(ISNUMBER(MATCH(DATEVALUE($A154),'changes1_based on steps'!E$1:E$400,0)),E$2,)</f>
        <v>0</v>
      </c>
      <c r="F154" s="179">
        <f ca="1">IF(ISNUMBER(MATCH(DATEVALUE($A154),'changes1_based on steps'!F$1:F$400,0)),F$2,)</f>
        <v>0</v>
      </c>
      <c r="G154" s="179">
        <f ca="1">IF(ISNUMBER(MATCH(DATEVALUE($A154),'changes1_based on steps'!G$1:G$400,0)),G$2,)</f>
        <v>0</v>
      </c>
      <c r="H154" s="179">
        <f ca="1">IF(ISNUMBER(MATCH(DATEVALUE($A154),'changes1_based on steps'!H$1:H$400,0)),H$2,)</f>
        <v>0</v>
      </c>
      <c r="I154" s="179">
        <f ca="1">IF(ISNUMBER(MATCH(DATEVALUE($A154),'changes1_based on steps'!I$1:I$400,0)),I$2,)</f>
        <v>0</v>
      </c>
      <c r="J154" s="179">
        <f ca="1">IF(ISNUMBER(MATCH(DATEVALUE($A154),'changes1_based on steps'!J$1:J$400,0)),J$2,)</f>
        <v>0</v>
      </c>
      <c r="K154" s="179">
        <f ca="1">IF(ISNUMBER(MATCH(DATEVALUE($A154),'changes1_based on steps'!K$1:K$400,0)),K$2,)</f>
        <v>0</v>
      </c>
      <c r="L154" s="179">
        <f ca="1">IF(ISNUMBER(MATCH(DATEVALUE($A154),'changes1_based on steps'!L$1:L$400,0)),L$2,)</f>
        <v>0</v>
      </c>
      <c r="M154" s="179">
        <f ca="1">IF(ISNUMBER(MATCH(DATEVALUE($A154),'changes1_based on steps'!M$1:M$400,0)),M$2,)</f>
        <v>0</v>
      </c>
      <c r="N154" s="179">
        <f ca="1">IF(ISNUMBER(MATCH(DATEVALUE($A154),'changes1_based on steps'!N$1:N$400,0)),N$2,)</f>
        <v>0</v>
      </c>
      <c r="O154" s="179">
        <f ca="1">IF(ISNUMBER(MATCH(DATEVALUE($A154),'changes1_based on steps'!O$1:O$400,0)),O$2,)</f>
        <v>0</v>
      </c>
      <c r="P154" s="179">
        <f ca="1">IF(ISNUMBER(MATCH(DATEVALUE($A154),'changes1_based on steps'!P$1:P$400,0)),P$2,)</f>
        <v>0</v>
      </c>
      <c r="Q154" s="179">
        <f ca="1">IF(ISNUMBER(MATCH(DATEVALUE($A154),'changes1_based on steps'!Q$1:Q$400,0)),Q$2,)</f>
        <v>0</v>
      </c>
      <c r="R154" s="179">
        <f ca="1">IF(ISNUMBER(MATCH(DATEVALUE($A154),'changes1_based on steps'!R$1:R$400,0)),R$2,)</f>
        <v>0</v>
      </c>
      <c r="S154" s="179">
        <f ca="1">IF(ISNUMBER(MATCH(DATEVALUE($A154),'changes1_based on steps'!S$1:S$400,0)),S$2,)</f>
        <v>0</v>
      </c>
      <c r="T154" s="179">
        <f ca="1">IF(ISNUMBER(MATCH(DATEVALUE($A154),'changes1_based on steps'!T$1:T$400,0)),T$2,)</f>
        <v>0</v>
      </c>
      <c r="U154" s="179">
        <f ca="1">IF(ISNUMBER(MATCH(DATEVALUE($A154),'changes1_based on steps'!U$1:U$400,0)),U$2,)</f>
        <v>0</v>
      </c>
      <c r="V154" s="179"/>
      <c r="W154" s="179"/>
      <c r="X154" s="179"/>
      <c r="Y154" s="179"/>
      <c r="Z154" s="179"/>
      <c r="AA154" s="179"/>
      <c r="AB154" s="179"/>
      <c r="AC154" s="179"/>
      <c r="AD154" s="179"/>
      <c r="AE154" s="179"/>
      <c r="AF154" s="179"/>
      <c r="AG154" s="179"/>
      <c r="AH154" s="179"/>
      <c r="AI154" s="179"/>
      <c r="AJ154" s="179"/>
      <c r="AK154" s="179"/>
      <c r="AL154" s="179"/>
      <c r="AM154" s="179"/>
      <c r="AN154" s="179"/>
      <c r="AO154" s="179"/>
      <c r="AP154" s="179"/>
      <c r="AQ154" s="179"/>
      <c r="AR154" s="179"/>
      <c r="AS154" s="179"/>
      <c r="AT154" s="179"/>
      <c r="AU154" s="179"/>
      <c r="AV154" s="179"/>
      <c r="AW154" s="179"/>
      <c r="AX154" s="179"/>
      <c r="AY154" s="179"/>
      <c r="AZ154" s="179"/>
      <c r="BA154" s="179"/>
      <c r="BB154" s="179"/>
      <c r="BC154" s="179"/>
      <c r="BD154" s="179"/>
      <c r="BE154" s="179"/>
      <c r="BF154" s="179"/>
      <c r="BG154" s="179"/>
      <c r="BH154" s="179"/>
      <c r="BI154" s="179"/>
      <c r="BJ154" s="179"/>
      <c r="BK154" s="179"/>
      <c r="BL154" s="179"/>
      <c r="BM154" s="179"/>
      <c r="BN154" s="179"/>
      <c r="BO154" s="179"/>
      <c r="BP154" s="179"/>
      <c r="BQ154" s="179"/>
      <c r="BR154" s="179"/>
      <c r="BS154" s="179"/>
      <c r="BT154" s="179"/>
      <c r="BU154" s="179"/>
      <c r="BV154" s="179"/>
      <c r="BW154" s="179"/>
      <c r="BX154" s="179"/>
      <c r="BY154" s="179"/>
      <c r="BZ154" s="179"/>
      <c r="CA154" s="179"/>
      <c r="CB154" s="179"/>
      <c r="CC154" s="179"/>
      <c r="CD154" s="179"/>
      <c r="CE154" s="179"/>
      <c r="CF154" s="179"/>
      <c r="CG154" s="179"/>
      <c r="CH154" s="179"/>
      <c r="CI154" s="179"/>
      <c r="CJ154" s="179"/>
      <c r="CK154" s="179"/>
      <c r="CL154" s="179"/>
      <c r="CM154" s="179"/>
      <c r="CN154" s="179"/>
      <c r="CO154" s="179"/>
      <c r="CP154" s="179"/>
      <c r="CQ154" s="179"/>
      <c r="CR154" s="179"/>
      <c r="CS154" s="179"/>
      <c r="CT154" s="179"/>
      <c r="CU154" s="179"/>
      <c r="CV154" s="179"/>
      <c r="CW154" s="179"/>
    </row>
    <row r="155" spans="1:101" x14ac:dyDescent="0.2">
      <c r="A155" s="32" t="str">
        <f t="shared" ca="1" si="2"/>
        <v>2025-09-04</v>
      </c>
      <c r="B155" s="179">
        <f ca="1">IF(ISNUMBER(MATCH(DATEVALUE($A155),'changes1_based on steps'!B$1:B$400,0)),B$2,)</f>
        <v>0</v>
      </c>
      <c r="C155" s="179">
        <f ca="1">IF(ISNUMBER(MATCH(DATEVALUE($A155),'changes1_based on steps'!C$1:C$400,0)),C$2,)</f>
        <v>0</v>
      </c>
      <c r="D155" s="179">
        <f ca="1">IF(ISNUMBER(MATCH(DATEVALUE($A155),'changes1_based on steps'!D$1:D$400,0)),D$2,)</f>
        <v>0</v>
      </c>
      <c r="E155" s="179">
        <f ca="1">IF(ISNUMBER(MATCH(DATEVALUE($A155),'changes1_based on steps'!E$1:E$400,0)),E$2,)</f>
        <v>0</v>
      </c>
      <c r="F155" s="179">
        <f ca="1">IF(ISNUMBER(MATCH(DATEVALUE($A155),'changes1_based on steps'!F$1:F$400,0)),F$2,)</f>
        <v>0</v>
      </c>
      <c r="G155" s="179">
        <f ca="1">IF(ISNUMBER(MATCH(DATEVALUE($A155),'changes1_based on steps'!G$1:G$400,0)),G$2,)</f>
        <v>0</v>
      </c>
      <c r="H155" s="179">
        <f ca="1">IF(ISNUMBER(MATCH(DATEVALUE($A155),'changes1_based on steps'!H$1:H$400,0)),H$2,)</f>
        <v>0</v>
      </c>
      <c r="I155" s="179">
        <f ca="1">IF(ISNUMBER(MATCH(DATEVALUE($A155),'changes1_based on steps'!I$1:I$400,0)),I$2,)</f>
        <v>0</v>
      </c>
      <c r="J155" s="179">
        <f ca="1">IF(ISNUMBER(MATCH(DATEVALUE($A155),'changes1_based on steps'!J$1:J$400,0)),J$2,)</f>
        <v>0</v>
      </c>
      <c r="K155" s="179">
        <f ca="1">IF(ISNUMBER(MATCH(DATEVALUE($A155),'changes1_based on steps'!K$1:K$400,0)),K$2,)</f>
        <v>0</v>
      </c>
      <c r="L155" s="179">
        <f ca="1">IF(ISNUMBER(MATCH(DATEVALUE($A155),'changes1_based on steps'!L$1:L$400,0)),L$2,)</f>
        <v>0</v>
      </c>
      <c r="M155" s="179">
        <f ca="1">IF(ISNUMBER(MATCH(DATEVALUE($A155),'changes1_based on steps'!M$1:M$400,0)),M$2,)</f>
        <v>0</v>
      </c>
      <c r="N155" s="179">
        <f ca="1">IF(ISNUMBER(MATCH(DATEVALUE($A155),'changes1_based on steps'!N$1:N$400,0)),N$2,)</f>
        <v>0</v>
      </c>
      <c r="O155" s="179">
        <f ca="1">IF(ISNUMBER(MATCH(DATEVALUE($A155),'changes1_based on steps'!O$1:O$400,0)),O$2,)</f>
        <v>0</v>
      </c>
      <c r="P155" s="179">
        <f ca="1">IF(ISNUMBER(MATCH(DATEVALUE($A155),'changes1_based on steps'!P$1:P$400,0)),P$2,)</f>
        <v>0</v>
      </c>
      <c r="Q155" s="179">
        <f ca="1">IF(ISNUMBER(MATCH(DATEVALUE($A155),'changes1_based on steps'!Q$1:Q$400,0)),Q$2,)</f>
        <v>0</v>
      </c>
      <c r="R155" s="179">
        <f ca="1">IF(ISNUMBER(MATCH(DATEVALUE($A155),'changes1_based on steps'!R$1:R$400,0)),R$2,)</f>
        <v>0</v>
      </c>
      <c r="S155" s="179">
        <f ca="1">IF(ISNUMBER(MATCH(DATEVALUE($A155),'changes1_based on steps'!S$1:S$400,0)),S$2,)</f>
        <v>0</v>
      </c>
      <c r="T155" s="179">
        <f ca="1">IF(ISNUMBER(MATCH(DATEVALUE($A155),'changes1_based on steps'!T$1:T$400,0)),T$2,)</f>
        <v>0</v>
      </c>
      <c r="U155" s="179">
        <f ca="1">IF(ISNUMBER(MATCH(DATEVALUE($A155),'changes1_based on steps'!U$1:U$400,0)),U$2,)</f>
        <v>0</v>
      </c>
      <c r="V155" s="179"/>
      <c r="W155" s="179"/>
      <c r="X155" s="179"/>
      <c r="Y155" s="179"/>
      <c r="Z155" s="179"/>
      <c r="AA155" s="179"/>
      <c r="AB155" s="179"/>
      <c r="AC155" s="179"/>
      <c r="AD155" s="179"/>
      <c r="AE155" s="179"/>
      <c r="AF155" s="179"/>
      <c r="AG155" s="179"/>
      <c r="AH155" s="179"/>
      <c r="AI155" s="179"/>
      <c r="AJ155" s="179"/>
      <c r="AK155" s="179"/>
      <c r="AL155" s="179"/>
      <c r="AM155" s="179"/>
      <c r="AN155" s="179"/>
      <c r="AO155" s="179"/>
      <c r="AP155" s="179"/>
      <c r="AQ155" s="179"/>
      <c r="AR155" s="179"/>
      <c r="AS155" s="179"/>
      <c r="AT155" s="179"/>
      <c r="AU155" s="179"/>
      <c r="AV155" s="179"/>
      <c r="AW155" s="179"/>
      <c r="AX155" s="179"/>
      <c r="AY155" s="179"/>
      <c r="AZ155" s="179"/>
      <c r="BA155" s="179"/>
      <c r="BB155" s="179"/>
      <c r="BC155" s="179"/>
      <c r="BD155" s="179"/>
      <c r="BE155" s="179"/>
      <c r="BF155" s="179"/>
      <c r="BG155" s="179"/>
      <c r="BH155" s="179"/>
      <c r="BI155" s="179"/>
      <c r="BJ155" s="179"/>
      <c r="BK155" s="179"/>
      <c r="BL155" s="179"/>
      <c r="BM155" s="179"/>
      <c r="BN155" s="179"/>
      <c r="BO155" s="179"/>
      <c r="BP155" s="179"/>
      <c r="BQ155" s="179"/>
      <c r="BR155" s="179"/>
      <c r="BS155" s="179"/>
      <c r="BT155" s="179"/>
      <c r="BU155" s="179"/>
      <c r="BV155" s="179"/>
      <c r="BW155" s="179"/>
      <c r="BX155" s="179"/>
      <c r="BY155" s="179"/>
      <c r="BZ155" s="179"/>
      <c r="CA155" s="179"/>
      <c r="CB155" s="179"/>
      <c r="CC155" s="179"/>
      <c r="CD155" s="179"/>
      <c r="CE155" s="179"/>
      <c r="CF155" s="179"/>
      <c r="CG155" s="179"/>
      <c r="CH155" s="179"/>
      <c r="CI155" s="179"/>
      <c r="CJ155" s="179"/>
      <c r="CK155" s="179"/>
      <c r="CL155" s="179"/>
      <c r="CM155" s="179"/>
      <c r="CN155" s="179"/>
      <c r="CO155" s="179"/>
      <c r="CP155" s="179"/>
      <c r="CQ155" s="179"/>
      <c r="CR155" s="179"/>
      <c r="CS155" s="179"/>
      <c r="CT155" s="179"/>
      <c r="CU155" s="179"/>
      <c r="CV155" s="179"/>
      <c r="CW155" s="179"/>
    </row>
    <row r="156" spans="1:101" x14ac:dyDescent="0.2">
      <c r="A156" s="32" t="str">
        <f t="shared" ca="1" si="2"/>
        <v>2025-09-05</v>
      </c>
      <c r="B156" s="179">
        <f ca="1">IF(ISNUMBER(MATCH(DATEVALUE($A156),'changes1_based on steps'!B$1:B$400,0)),B$2,)</f>
        <v>0</v>
      </c>
      <c r="C156" s="179">
        <f ca="1">IF(ISNUMBER(MATCH(DATEVALUE($A156),'changes1_based on steps'!C$1:C$400,0)),C$2,)</f>
        <v>0</v>
      </c>
      <c r="D156" s="179">
        <f ca="1">IF(ISNUMBER(MATCH(DATEVALUE($A156),'changes1_based on steps'!D$1:D$400,0)),D$2,)</f>
        <v>0</v>
      </c>
      <c r="E156" s="179">
        <f ca="1">IF(ISNUMBER(MATCH(DATEVALUE($A156),'changes1_based on steps'!E$1:E$400,0)),E$2,)</f>
        <v>0</v>
      </c>
      <c r="F156" s="179">
        <f ca="1">IF(ISNUMBER(MATCH(DATEVALUE($A156),'changes1_based on steps'!F$1:F$400,0)),F$2,)</f>
        <v>0</v>
      </c>
      <c r="G156" s="179">
        <f ca="1">IF(ISNUMBER(MATCH(DATEVALUE($A156),'changes1_based on steps'!G$1:G$400,0)),G$2,)</f>
        <v>0</v>
      </c>
      <c r="H156" s="179">
        <f ca="1">IF(ISNUMBER(MATCH(DATEVALUE($A156),'changes1_based on steps'!H$1:H$400,0)),H$2,)</f>
        <v>0</v>
      </c>
      <c r="I156" s="179">
        <f ca="1">IF(ISNUMBER(MATCH(DATEVALUE($A156),'changes1_based on steps'!I$1:I$400,0)),I$2,)</f>
        <v>0</v>
      </c>
      <c r="J156" s="179">
        <f ca="1">IF(ISNUMBER(MATCH(DATEVALUE($A156),'changes1_based on steps'!J$1:J$400,0)),J$2,)</f>
        <v>0</v>
      </c>
      <c r="K156" s="179">
        <f ca="1">IF(ISNUMBER(MATCH(DATEVALUE($A156),'changes1_based on steps'!K$1:K$400,0)),K$2,)</f>
        <v>0</v>
      </c>
      <c r="L156" s="179">
        <f ca="1">IF(ISNUMBER(MATCH(DATEVALUE($A156),'changes1_based on steps'!L$1:L$400,0)),L$2,)</f>
        <v>0</v>
      </c>
      <c r="M156" s="179">
        <f ca="1">IF(ISNUMBER(MATCH(DATEVALUE($A156),'changes1_based on steps'!M$1:M$400,0)),M$2,)</f>
        <v>0</v>
      </c>
      <c r="N156" s="179">
        <f ca="1">IF(ISNUMBER(MATCH(DATEVALUE($A156),'changes1_based on steps'!N$1:N$400,0)),N$2,)</f>
        <v>0</v>
      </c>
      <c r="O156" s="179">
        <f ca="1">IF(ISNUMBER(MATCH(DATEVALUE($A156),'changes1_based on steps'!O$1:O$400,0)),O$2,)</f>
        <v>0</v>
      </c>
      <c r="P156" s="179">
        <f ca="1">IF(ISNUMBER(MATCH(DATEVALUE($A156),'changes1_based on steps'!P$1:P$400,0)),P$2,)</f>
        <v>0</v>
      </c>
      <c r="Q156" s="179">
        <f ca="1">IF(ISNUMBER(MATCH(DATEVALUE($A156),'changes1_based on steps'!Q$1:Q$400,0)),Q$2,)</f>
        <v>0</v>
      </c>
      <c r="R156" s="179">
        <f ca="1">IF(ISNUMBER(MATCH(DATEVALUE($A156),'changes1_based on steps'!R$1:R$400,0)),R$2,)</f>
        <v>0</v>
      </c>
      <c r="S156" s="179">
        <f ca="1">IF(ISNUMBER(MATCH(DATEVALUE($A156),'changes1_based on steps'!S$1:S$400,0)),S$2,)</f>
        <v>0</v>
      </c>
      <c r="T156" s="179">
        <f ca="1">IF(ISNUMBER(MATCH(DATEVALUE($A156),'changes1_based on steps'!T$1:T$400,0)),T$2,)</f>
        <v>0</v>
      </c>
      <c r="U156" s="179">
        <f ca="1">IF(ISNUMBER(MATCH(DATEVALUE($A156),'changes1_based on steps'!U$1:U$400,0)),U$2,)</f>
        <v>0</v>
      </c>
      <c r="V156" s="179"/>
      <c r="W156" s="179"/>
      <c r="X156" s="179"/>
      <c r="Y156" s="179"/>
      <c r="Z156" s="179"/>
      <c r="AA156" s="179"/>
      <c r="AB156" s="179"/>
      <c r="AC156" s="179"/>
      <c r="AD156" s="179"/>
      <c r="AE156" s="179"/>
      <c r="AF156" s="179"/>
      <c r="AG156" s="179"/>
      <c r="AH156" s="179"/>
      <c r="AI156" s="179"/>
      <c r="AJ156" s="179"/>
      <c r="AK156" s="179"/>
      <c r="AL156" s="179"/>
      <c r="AM156" s="179"/>
      <c r="AN156" s="179"/>
      <c r="AO156" s="179"/>
      <c r="AP156" s="179"/>
      <c r="AQ156" s="179"/>
      <c r="AR156" s="179"/>
      <c r="AS156" s="179"/>
      <c r="AT156" s="179"/>
      <c r="AU156" s="179"/>
      <c r="AV156" s="179"/>
      <c r="AW156" s="179"/>
      <c r="AX156" s="179"/>
      <c r="AY156" s="179"/>
      <c r="AZ156" s="179"/>
      <c r="BA156" s="179"/>
      <c r="BB156" s="179"/>
      <c r="BC156" s="179"/>
      <c r="BD156" s="179"/>
      <c r="BE156" s="179"/>
      <c r="BF156" s="179"/>
      <c r="BG156" s="179"/>
      <c r="BH156" s="179"/>
      <c r="BI156" s="179"/>
      <c r="BJ156" s="179"/>
      <c r="BK156" s="179"/>
      <c r="BL156" s="179"/>
      <c r="BM156" s="179"/>
      <c r="BN156" s="179"/>
      <c r="BO156" s="179"/>
      <c r="BP156" s="179"/>
      <c r="BQ156" s="179"/>
      <c r="BR156" s="179"/>
      <c r="BS156" s="179"/>
      <c r="BT156" s="179"/>
      <c r="BU156" s="179"/>
      <c r="BV156" s="179"/>
      <c r="BW156" s="179"/>
      <c r="BX156" s="179"/>
      <c r="BY156" s="179"/>
      <c r="BZ156" s="179"/>
      <c r="CA156" s="179"/>
      <c r="CB156" s="179"/>
      <c r="CC156" s="179"/>
      <c r="CD156" s="179"/>
      <c r="CE156" s="179"/>
      <c r="CF156" s="179"/>
      <c r="CG156" s="179"/>
      <c r="CH156" s="179"/>
      <c r="CI156" s="179"/>
      <c r="CJ156" s="179"/>
      <c r="CK156" s="179"/>
      <c r="CL156" s="179"/>
      <c r="CM156" s="179"/>
      <c r="CN156" s="179"/>
      <c r="CO156" s="179"/>
      <c r="CP156" s="179"/>
      <c r="CQ156" s="179"/>
      <c r="CR156" s="179"/>
      <c r="CS156" s="179"/>
      <c r="CT156" s="179"/>
      <c r="CU156" s="179"/>
      <c r="CV156" s="179"/>
      <c r="CW156" s="179"/>
    </row>
    <row r="157" spans="1:101" x14ac:dyDescent="0.2">
      <c r="A157" s="32" t="str">
        <f t="shared" ca="1" si="2"/>
        <v>2025-09-06</v>
      </c>
      <c r="B157" s="179">
        <f ca="1">IF(ISNUMBER(MATCH(DATEVALUE($A157),'changes1_based on steps'!B$1:B$400,0)),B$2,)</f>
        <v>0</v>
      </c>
      <c r="C157" s="179">
        <f ca="1">IF(ISNUMBER(MATCH(DATEVALUE($A157),'changes1_based on steps'!C$1:C$400,0)),C$2,)</f>
        <v>0</v>
      </c>
      <c r="D157" s="179">
        <f ca="1">IF(ISNUMBER(MATCH(DATEVALUE($A157),'changes1_based on steps'!D$1:D$400,0)),D$2,)</f>
        <v>0</v>
      </c>
      <c r="E157" s="179">
        <f ca="1">IF(ISNUMBER(MATCH(DATEVALUE($A157),'changes1_based on steps'!E$1:E$400,0)),E$2,)</f>
        <v>0</v>
      </c>
      <c r="F157" s="179">
        <f ca="1">IF(ISNUMBER(MATCH(DATEVALUE($A157),'changes1_based on steps'!F$1:F$400,0)),F$2,)</f>
        <v>0</v>
      </c>
      <c r="G157" s="179">
        <f ca="1">IF(ISNUMBER(MATCH(DATEVALUE($A157),'changes1_based on steps'!G$1:G$400,0)),G$2,)</f>
        <v>0</v>
      </c>
      <c r="H157" s="179">
        <f ca="1">IF(ISNUMBER(MATCH(DATEVALUE($A157),'changes1_based on steps'!H$1:H$400,0)),H$2,)</f>
        <v>0</v>
      </c>
      <c r="I157" s="179">
        <f ca="1">IF(ISNUMBER(MATCH(DATEVALUE($A157),'changes1_based on steps'!I$1:I$400,0)),I$2,)</f>
        <v>0</v>
      </c>
      <c r="J157" s="179">
        <f ca="1">IF(ISNUMBER(MATCH(DATEVALUE($A157),'changes1_based on steps'!J$1:J$400,0)),J$2,)</f>
        <v>0</v>
      </c>
      <c r="K157" s="179">
        <f ca="1">IF(ISNUMBER(MATCH(DATEVALUE($A157),'changes1_based on steps'!K$1:K$400,0)),K$2,)</f>
        <v>0</v>
      </c>
      <c r="L157" s="179">
        <f ca="1">IF(ISNUMBER(MATCH(DATEVALUE($A157),'changes1_based on steps'!L$1:L$400,0)),L$2,)</f>
        <v>0</v>
      </c>
      <c r="M157" s="179">
        <f ca="1">IF(ISNUMBER(MATCH(DATEVALUE($A157),'changes1_based on steps'!M$1:M$400,0)),M$2,)</f>
        <v>0</v>
      </c>
      <c r="N157" s="179">
        <f ca="1">IF(ISNUMBER(MATCH(DATEVALUE($A157),'changes1_based on steps'!N$1:N$400,0)),N$2,)</f>
        <v>0</v>
      </c>
      <c r="O157" s="179">
        <f ca="1">IF(ISNUMBER(MATCH(DATEVALUE($A157),'changes1_based on steps'!O$1:O$400,0)),O$2,)</f>
        <v>0</v>
      </c>
      <c r="P157" s="179">
        <f ca="1">IF(ISNUMBER(MATCH(DATEVALUE($A157),'changes1_based on steps'!P$1:P$400,0)),P$2,)</f>
        <v>0</v>
      </c>
      <c r="Q157" s="179">
        <f ca="1">IF(ISNUMBER(MATCH(DATEVALUE($A157),'changes1_based on steps'!Q$1:Q$400,0)),Q$2,)</f>
        <v>0</v>
      </c>
      <c r="R157" s="179">
        <f ca="1">IF(ISNUMBER(MATCH(DATEVALUE($A157),'changes1_based on steps'!R$1:R$400,0)),R$2,)</f>
        <v>0</v>
      </c>
      <c r="S157" s="179">
        <f ca="1">IF(ISNUMBER(MATCH(DATEVALUE($A157),'changes1_based on steps'!S$1:S$400,0)),S$2,)</f>
        <v>0</v>
      </c>
      <c r="T157" s="179">
        <f ca="1">IF(ISNUMBER(MATCH(DATEVALUE($A157),'changes1_based on steps'!T$1:T$400,0)),T$2,)</f>
        <v>0</v>
      </c>
      <c r="U157" s="179">
        <f ca="1">IF(ISNUMBER(MATCH(DATEVALUE($A157),'changes1_based on steps'!U$1:U$400,0)),U$2,)</f>
        <v>0</v>
      </c>
      <c r="V157" s="179"/>
      <c r="W157" s="179"/>
      <c r="X157" s="179"/>
      <c r="Y157" s="179"/>
      <c r="Z157" s="179"/>
      <c r="AA157" s="179"/>
      <c r="AB157" s="179"/>
      <c r="AC157" s="179"/>
      <c r="AD157" s="179"/>
      <c r="AE157" s="179"/>
      <c r="AF157" s="179"/>
      <c r="AG157" s="179"/>
      <c r="AH157" s="179"/>
      <c r="AI157" s="179"/>
      <c r="AJ157" s="179"/>
      <c r="AK157" s="179"/>
      <c r="AL157" s="179"/>
      <c r="AM157" s="179"/>
      <c r="AN157" s="179"/>
      <c r="AO157" s="179"/>
      <c r="AP157" s="179"/>
      <c r="AQ157" s="179"/>
      <c r="AR157" s="179"/>
      <c r="AS157" s="179"/>
      <c r="AT157" s="179"/>
      <c r="AU157" s="179"/>
      <c r="AV157" s="179"/>
      <c r="AW157" s="179"/>
      <c r="AX157" s="179"/>
      <c r="AY157" s="179"/>
      <c r="AZ157" s="179"/>
      <c r="BA157" s="179"/>
      <c r="BB157" s="179"/>
      <c r="BC157" s="179"/>
      <c r="BD157" s="179"/>
      <c r="BE157" s="179"/>
      <c r="BF157" s="179"/>
      <c r="BG157" s="179"/>
      <c r="BH157" s="179"/>
      <c r="BI157" s="179"/>
      <c r="BJ157" s="179"/>
      <c r="BK157" s="179"/>
      <c r="BL157" s="179"/>
      <c r="BM157" s="179"/>
      <c r="BN157" s="179"/>
      <c r="BO157" s="179"/>
      <c r="BP157" s="179"/>
      <c r="BQ157" s="179"/>
      <c r="BR157" s="179"/>
      <c r="BS157" s="179"/>
      <c r="BT157" s="179"/>
      <c r="BU157" s="179"/>
      <c r="BV157" s="179"/>
      <c r="BW157" s="179"/>
      <c r="BX157" s="179"/>
      <c r="BY157" s="179"/>
      <c r="BZ157" s="179"/>
      <c r="CA157" s="179"/>
      <c r="CB157" s="179"/>
      <c r="CC157" s="179"/>
      <c r="CD157" s="179"/>
      <c r="CE157" s="179"/>
      <c r="CF157" s="179"/>
      <c r="CG157" s="179"/>
      <c r="CH157" s="179"/>
      <c r="CI157" s="179"/>
      <c r="CJ157" s="179"/>
      <c r="CK157" s="179"/>
      <c r="CL157" s="179"/>
      <c r="CM157" s="179"/>
      <c r="CN157" s="179"/>
      <c r="CO157" s="179"/>
      <c r="CP157" s="179"/>
      <c r="CQ157" s="179"/>
      <c r="CR157" s="179"/>
      <c r="CS157" s="179"/>
      <c r="CT157" s="179"/>
      <c r="CU157" s="179"/>
      <c r="CV157" s="179"/>
      <c r="CW157" s="179"/>
    </row>
    <row r="158" spans="1:101" x14ac:dyDescent="0.2">
      <c r="A158" s="32" t="str">
        <f t="shared" ca="1" si="2"/>
        <v>2025-09-07</v>
      </c>
      <c r="B158" s="179">
        <f ca="1">IF(ISNUMBER(MATCH(DATEVALUE($A158),'changes1_based on steps'!B$1:B$400,0)),B$2,)</f>
        <v>0</v>
      </c>
      <c r="C158" s="179">
        <f ca="1">IF(ISNUMBER(MATCH(DATEVALUE($A158),'changes1_based on steps'!C$1:C$400,0)),C$2,)</f>
        <v>0</v>
      </c>
      <c r="D158" s="179">
        <f ca="1">IF(ISNUMBER(MATCH(DATEVALUE($A158),'changes1_based on steps'!D$1:D$400,0)),D$2,)</f>
        <v>0</v>
      </c>
      <c r="E158" s="179">
        <f ca="1">IF(ISNUMBER(MATCH(DATEVALUE($A158),'changes1_based on steps'!E$1:E$400,0)),E$2,)</f>
        <v>0</v>
      </c>
      <c r="F158" s="179">
        <f ca="1">IF(ISNUMBER(MATCH(DATEVALUE($A158),'changes1_based on steps'!F$1:F$400,0)),F$2,)</f>
        <v>0</v>
      </c>
      <c r="G158" s="179">
        <f ca="1">IF(ISNUMBER(MATCH(DATEVALUE($A158),'changes1_based on steps'!G$1:G$400,0)),G$2,)</f>
        <v>0</v>
      </c>
      <c r="H158" s="179">
        <f ca="1">IF(ISNUMBER(MATCH(DATEVALUE($A158),'changes1_based on steps'!H$1:H$400,0)),H$2,)</f>
        <v>0</v>
      </c>
      <c r="I158" s="179">
        <f ca="1">IF(ISNUMBER(MATCH(DATEVALUE($A158),'changes1_based on steps'!I$1:I$400,0)),I$2,)</f>
        <v>0</v>
      </c>
      <c r="J158" s="179">
        <f ca="1">IF(ISNUMBER(MATCH(DATEVALUE($A158),'changes1_based on steps'!J$1:J$400,0)),J$2,)</f>
        <v>0</v>
      </c>
      <c r="K158" s="179">
        <f ca="1">IF(ISNUMBER(MATCH(DATEVALUE($A158),'changes1_based on steps'!K$1:K$400,0)),K$2,)</f>
        <v>0</v>
      </c>
      <c r="L158" s="179">
        <f ca="1">IF(ISNUMBER(MATCH(DATEVALUE($A158),'changes1_based on steps'!L$1:L$400,0)),L$2,)</f>
        <v>0</v>
      </c>
      <c r="M158" s="179">
        <f ca="1">IF(ISNUMBER(MATCH(DATEVALUE($A158),'changes1_based on steps'!M$1:M$400,0)),M$2,)</f>
        <v>0</v>
      </c>
      <c r="N158" s="179">
        <f ca="1">IF(ISNUMBER(MATCH(DATEVALUE($A158),'changes1_based on steps'!N$1:N$400,0)),N$2,)</f>
        <v>0</v>
      </c>
      <c r="O158" s="179">
        <f ca="1">IF(ISNUMBER(MATCH(DATEVALUE($A158),'changes1_based on steps'!O$1:O$400,0)),O$2,)</f>
        <v>0</v>
      </c>
      <c r="P158" s="179">
        <f ca="1">IF(ISNUMBER(MATCH(DATEVALUE($A158),'changes1_based on steps'!P$1:P$400,0)),P$2,)</f>
        <v>0</v>
      </c>
      <c r="Q158" s="179">
        <f ca="1">IF(ISNUMBER(MATCH(DATEVALUE($A158),'changes1_based on steps'!Q$1:Q$400,0)),Q$2,)</f>
        <v>0</v>
      </c>
      <c r="R158" s="179">
        <f ca="1">IF(ISNUMBER(MATCH(DATEVALUE($A158),'changes1_based on steps'!R$1:R$400,0)),R$2,)</f>
        <v>0</v>
      </c>
      <c r="S158" s="179">
        <f ca="1">IF(ISNUMBER(MATCH(DATEVALUE($A158),'changes1_based on steps'!S$1:S$400,0)),S$2,)</f>
        <v>0</v>
      </c>
      <c r="T158" s="179">
        <f ca="1">IF(ISNUMBER(MATCH(DATEVALUE($A158),'changes1_based on steps'!T$1:T$400,0)),T$2,)</f>
        <v>0</v>
      </c>
      <c r="U158" s="179">
        <f ca="1">IF(ISNUMBER(MATCH(DATEVALUE($A158),'changes1_based on steps'!U$1:U$400,0)),U$2,)</f>
        <v>0</v>
      </c>
      <c r="V158" s="179"/>
      <c r="W158" s="179"/>
      <c r="X158" s="179"/>
      <c r="Y158" s="179"/>
      <c r="Z158" s="179"/>
      <c r="AA158" s="179"/>
      <c r="AB158" s="179"/>
      <c r="AC158" s="179"/>
      <c r="AD158" s="179"/>
      <c r="AE158" s="179"/>
      <c r="AF158" s="179"/>
      <c r="AG158" s="179"/>
      <c r="AH158" s="179"/>
      <c r="AI158" s="179"/>
      <c r="AJ158" s="179"/>
      <c r="AK158" s="179"/>
      <c r="AL158" s="179"/>
      <c r="AM158" s="179"/>
      <c r="AN158" s="179"/>
      <c r="AO158" s="179"/>
      <c r="AP158" s="179"/>
      <c r="AQ158" s="179"/>
      <c r="AR158" s="179"/>
      <c r="AS158" s="179"/>
      <c r="AT158" s="179"/>
      <c r="AU158" s="179"/>
      <c r="AV158" s="179"/>
      <c r="AW158" s="179"/>
      <c r="AX158" s="179"/>
      <c r="AY158" s="179"/>
      <c r="AZ158" s="179"/>
      <c r="BA158" s="179"/>
      <c r="BB158" s="179"/>
      <c r="BC158" s="179"/>
      <c r="BD158" s="179"/>
      <c r="BE158" s="179"/>
      <c r="BF158" s="179"/>
      <c r="BG158" s="179"/>
      <c r="BH158" s="179"/>
      <c r="BI158" s="179"/>
      <c r="BJ158" s="179"/>
      <c r="BK158" s="179"/>
      <c r="BL158" s="179"/>
      <c r="BM158" s="179"/>
      <c r="BN158" s="179"/>
      <c r="BO158" s="179"/>
      <c r="BP158" s="179"/>
      <c r="BQ158" s="179"/>
      <c r="BR158" s="179"/>
      <c r="BS158" s="179"/>
      <c r="BT158" s="179"/>
      <c r="BU158" s="179"/>
      <c r="BV158" s="179"/>
      <c r="BW158" s="179"/>
      <c r="BX158" s="179"/>
      <c r="BY158" s="179"/>
      <c r="BZ158" s="179"/>
      <c r="CA158" s="179"/>
      <c r="CB158" s="179"/>
      <c r="CC158" s="179"/>
      <c r="CD158" s="179"/>
      <c r="CE158" s="179"/>
      <c r="CF158" s="179"/>
      <c r="CG158" s="179"/>
      <c r="CH158" s="179"/>
      <c r="CI158" s="179"/>
      <c r="CJ158" s="179"/>
      <c r="CK158" s="179"/>
      <c r="CL158" s="179"/>
      <c r="CM158" s="179"/>
      <c r="CN158" s="179"/>
      <c r="CO158" s="179"/>
      <c r="CP158" s="179"/>
      <c r="CQ158" s="179"/>
      <c r="CR158" s="179"/>
      <c r="CS158" s="179"/>
      <c r="CT158" s="179"/>
      <c r="CU158" s="179"/>
      <c r="CV158" s="179"/>
      <c r="CW158" s="179"/>
    </row>
    <row r="159" spans="1:101" x14ac:dyDescent="0.2">
      <c r="A159" s="32" t="str">
        <f t="shared" ca="1" si="2"/>
        <v>2025-09-08</v>
      </c>
      <c r="B159" s="179">
        <f ca="1">IF(ISNUMBER(MATCH(DATEVALUE($A159),'changes1_based on steps'!B$1:B$400,0)),B$2,)</f>
        <v>0</v>
      </c>
      <c r="C159" s="179">
        <f ca="1">IF(ISNUMBER(MATCH(DATEVALUE($A159),'changes1_based on steps'!C$1:C$400,0)),C$2,)</f>
        <v>0</v>
      </c>
      <c r="D159" s="179">
        <f ca="1">IF(ISNUMBER(MATCH(DATEVALUE($A159),'changes1_based on steps'!D$1:D$400,0)),D$2,)</f>
        <v>0</v>
      </c>
      <c r="E159" s="179">
        <f ca="1">IF(ISNUMBER(MATCH(DATEVALUE($A159),'changes1_based on steps'!E$1:E$400,0)),E$2,)</f>
        <v>0</v>
      </c>
      <c r="F159" s="179">
        <f ca="1">IF(ISNUMBER(MATCH(DATEVALUE($A159),'changes1_based on steps'!F$1:F$400,0)),F$2,)</f>
        <v>0</v>
      </c>
      <c r="G159" s="179">
        <f ca="1">IF(ISNUMBER(MATCH(DATEVALUE($A159),'changes1_based on steps'!G$1:G$400,0)),G$2,)</f>
        <v>0</v>
      </c>
      <c r="H159" s="179">
        <f ca="1">IF(ISNUMBER(MATCH(DATEVALUE($A159),'changes1_based on steps'!H$1:H$400,0)),H$2,)</f>
        <v>0</v>
      </c>
      <c r="I159" s="179">
        <f ca="1">IF(ISNUMBER(MATCH(DATEVALUE($A159),'changes1_based on steps'!I$1:I$400,0)),I$2,)</f>
        <v>0</v>
      </c>
      <c r="J159" s="179">
        <f ca="1">IF(ISNUMBER(MATCH(DATEVALUE($A159),'changes1_based on steps'!J$1:J$400,0)),J$2,)</f>
        <v>0</v>
      </c>
      <c r="K159" s="179">
        <f ca="1">IF(ISNUMBER(MATCH(DATEVALUE($A159),'changes1_based on steps'!K$1:K$400,0)),K$2,)</f>
        <v>0</v>
      </c>
      <c r="L159" s="179">
        <f ca="1">IF(ISNUMBER(MATCH(DATEVALUE($A159),'changes1_based on steps'!L$1:L$400,0)),L$2,)</f>
        <v>0</v>
      </c>
      <c r="M159" s="179">
        <f ca="1">IF(ISNUMBER(MATCH(DATEVALUE($A159),'changes1_based on steps'!M$1:M$400,0)),M$2,)</f>
        <v>0</v>
      </c>
      <c r="N159" s="179">
        <f ca="1">IF(ISNUMBER(MATCH(DATEVALUE($A159),'changes1_based on steps'!N$1:N$400,0)),N$2,)</f>
        <v>0</v>
      </c>
      <c r="O159" s="179">
        <f ca="1">IF(ISNUMBER(MATCH(DATEVALUE($A159),'changes1_based on steps'!O$1:O$400,0)),O$2,)</f>
        <v>0</v>
      </c>
      <c r="P159" s="179">
        <f ca="1">IF(ISNUMBER(MATCH(DATEVALUE($A159),'changes1_based on steps'!P$1:P$400,0)),P$2,)</f>
        <v>0</v>
      </c>
      <c r="Q159" s="179">
        <f ca="1">IF(ISNUMBER(MATCH(DATEVALUE($A159),'changes1_based on steps'!Q$1:Q$400,0)),Q$2,)</f>
        <v>0</v>
      </c>
      <c r="R159" s="179">
        <f ca="1">IF(ISNUMBER(MATCH(DATEVALUE($A159),'changes1_based on steps'!R$1:R$400,0)),R$2,)</f>
        <v>0</v>
      </c>
      <c r="S159" s="179">
        <f ca="1">IF(ISNUMBER(MATCH(DATEVALUE($A159),'changes1_based on steps'!S$1:S$400,0)),S$2,)</f>
        <v>0</v>
      </c>
      <c r="T159" s="179">
        <f ca="1">IF(ISNUMBER(MATCH(DATEVALUE($A159),'changes1_based on steps'!T$1:T$400,0)),T$2,)</f>
        <v>0</v>
      </c>
      <c r="U159" s="179">
        <f ca="1">IF(ISNUMBER(MATCH(DATEVALUE($A159),'changes1_based on steps'!U$1:U$400,0)),U$2,)</f>
        <v>0</v>
      </c>
      <c r="V159" s="179"/>
      <c r="W159" s="179"/>
      <c r="X159" s="179"/>
      <c r="Y159" s="179"/>
      <c r="Z159" s="179"/>
      <c r="AA159" s="179"/>
      <c r="AB159" s="179"/>
      <c r="AC159" s="179"/>
      <c r="AD159" s="179"/>
      <c r="AE159" s="179"/>
      <c r="AF159" s="179"/>
      <c r="AG159" s="179"/>
      <c r="AH159" s="179"/>
      <c r="AI159" s="179"/>
      <c r="AJ159" s="179"/>
      <c r="AK159" s="179"/>
      <c r="AL159" s="179"/>
      <c r="AM159" s="179"/>
      <c r="AN159" s="179"/>
      <c r="AO159" s="179"/>
      <c r="AP159" s="179"/>
      <c r="AQ159" s="179"/>
      <c r="AR159" s="179"/>
      <c r="AS159" s="179"/>
      <c r="AT159" s="179"/>
      <c r="AU159" s="179"/>
      <c r="AV159" s="179"/>
      <c r="AW159" s="179"/>
      <c r="AX159" s="179"/>
      <c r="AY159" s="179"/>
      <c r="AZ159" s="179"/>
      <c r="BA159" s="179"/>
      <c r="BB159" s="179"/>
      <c r="BC159" s="179"/>
      <c r="BD159" s="179"/>
      <c r="BE159" s="179"/>
      <c r="BF159" s="179"/>
      <c r="BG159" s="179"/>
      <c r="BH159" s="179"/>
      <c r="BI159" s="179"/>
      <c r="BJ159" s="179"/>
      <c r="BK159" s="179"/>
      <c r="BL159" s="179"/>
      <c r="BM159" s="179"/>
      <c r="BN159" s="179"/>
      <c r="BO159" s="179"/>
      <c r="BP159" s="179"/>
      <c r="BQ159" s="179"/>
      <c r="BR159" s="179"/>
      <c r="BS159" s="179"/>
      <c r="BT159" s="179"/>
      <c r="BU159" s="179"/>
      <c r="BV159" s="179"/>
      <c r="BW159" s="179"/>
      <c r="BX159" s="179"/>
      <c r="BY159" s="179"/>
      <c r="BZ159" s="179"/>
      <c r="CA159" s="179"/>
      <c r="CB159" s="179"/>
      <c r="CC159" s="179"/>
      <c r="CD159" s="179"/>
      <c r="CE159" s="179"/>
      <c r="CF159" s="179"/>
      <c r="CG159" s="179"/>
      <c r="CH159" s="179"/>
      <c r="CI159" s="179"/>
      <c r="CJ159" s="179"/>
      <c r="CK159" s="179"/>
      <c r="CL159" s="179"/>
      <c r="CM159" s="179"/>
      <c r="CN159" s="179"/>
      <c r="CO159" s="179"/>
      <c r="CP159" s="179"/>
      <c r="CQ159" s="179"/>
      <c r="CR159" s="179"/>
      <c r="CS159" s="179"/>
      <c r="CT159" s="179"/>
      <c r="CU159" s="179"/>
      <c r="CV159" s="179"/>
      <c r="CW159" s="179"/>
    </row>
    <row r="160" spans="1:101" x14ac:dyDescent="0.2">
      <c r="A160" s="32" t="str">
        <f t="shared" ca="1" si="2"/>
        <v>2025-09-09</v>
      </c>
      <c r="B160" s="179">
        <f ca="1">IF(ISNUMBER(MATCH(DATEVALUE($A160),'changes1_based on steps'!B$1:B$400,0)),B$2,)</f>
        <v>0</v>
      </c>
      <c r="C160" s="179">
        <f ca="1">IF(ISNUMBER(MATCH(DATEVALUE($A160),'changes1_based on steps'!C$1:C$400,0)),C$2,)</f>
        <v>0</v>
      </c>
      <c r="D160" s="179">
        <f ca="1">IF(ISNUMBER(MATCH(DATEVALUE($A160),'changes1_based on steps'!D$1:D$400,0)),D$2,)</f>
        <v>0</v>
      </c>
      <c r="E160" s="179">
        <f ca="1">IF(ISNUMBER(MATCH(DATEVALUE($A160),'changes1_based on steps'!E$1:E$400,0)),E$2,)</f>
        <v>0</v>
      </c>
      <c r="F160" s="179">
        <f ca="1">IF(ISNUMBER(MATCH(DATEVALUE($A160),'changes1_based on steps'!F$1:F$400,0)),F$2,)</f>
        <v>0</v>
      </c>
      <c r="G160" s="179">
        <f ca="1">IF(ISNUMBER(MATCH(DATEVALUE($A160),'changes1_based on steps'!G$1:G$400,0)),G$2,)</f>
        <v>0</v>
      </c>
      <c r="H160" s="179">
        <f ca="1">IF(ISNUMBER(MATCH(DATEVALUE($A160),'changes1_based on steps'!H$1:H$400,0)),H$2,)</f>
        <v>0</v>
      </c>
      <c r="I160" s="179">
        <f ca="1">IF(ISNUMBER(MATCH(DATEVALUE($A160),'changes1_based on steps'!I$1:I$400,0)),I$2,)</f>
        <v>0</v>
      </c>
      <c r="J160" s="179">
        <f ca="1">IF(ISNUMBER(MATCH(DATEVALUE($A160),'changes1_based on steps'!J$1:J$400,0)),J$2,)</f>
        <v>0</v>
      </c>
      <c r="K160" s="179">
        <f ca="1">IF(ISNUMBER(MATCH(DATEVALUE($A160),'changes1_based on steps'!K$1:K$400,0)),K$2,)</f>
        <v>0</v>
      </c>
      <c r="L160" s="179">
        <f ca="1">IF(ISNUMBER(MATCH(DATEVALUE($A160),'changes1_based on steps'!L$1:L$400,0)),L$2,)</f>
        <v>0</v>
      </c>
      <c r="M160" s="179">
        <f ca="1">IF(ISNUMBER(MATCH(DATEVALUE($A160),'changes1_based on steps'!M$1:M$400,0)),M$2,)</f>
        <v>0</v>
      </c>
      <c r="N160" s="179">
        <f ca="1">IF(ISNUMBER(MATCH(DATEVALUE($A160),'changes1_based on steps'!N$1:N$400,0)),N$2,)</f>
        <v>0</v>
      </c>
      <c r="O160" s="179">
        <f ca="1">IF(ISNUMBER(MATCH(DATEVALUE($A160),'changes1_based on steps'!O$1:O$400,0)),O$2,)</f>
        <v>0</v>
      </c>
      <c r="P160" s="179">
        <f ca="1">IF(ISNUMBER(MATCH(DATEVALUE($A160),'changes1_based on steps'!P$1:P$400,0)),P$2,)</f>
        <v>0</v>
      </c>
      <c r="Q160" s="179">
        <f ca="1">IF(ISNUMBER(MATCH(DATEVALUE($A160),'changes1_based on steps'!Q$1:Q$400,0)),Q$2,)</f>
        <v>0</v>
      </c>
      <c r="R160" s="179">
        <f ca="1">IF(ISNUMBER(MATCH(DATEVALUE($A160),'changes1_based on steps'!R$1:R$400,0)),R$2,)</f>
        <v>0</v>
      </c>
      <c r="S160" s="179">
        <f ca="1">IF(ISNUMBER(MATCH(DATEVALUE($A160),'changes1_based on steps'!S$1:S$400,0)),S$2,)</f>
        <v>0</v>
      </c>
      <c r="T160" s="179">
        <f ca="1">IF(ISNUMBER(MATCH(DATEVALUE($A160),'changes1_based on steps'!T$1:T$400,0)),T$2,)</f>
        <v>0</v>
      </c>
      <c r="U160" s="179">
        <f ca="1">IF(ISNUMBER(MATCH(DATEVALUE($A160),'changes1_based on steps'!U$1:U$400,0)),U$2,)</f>
        <v>0</v>
      </c>
      <c r="V160" s="179"/>
      <c r="W160" s="179"/>
      <c r="X160" s="179"/>
      <c r="Y160" s="179"/>
      <c r="Z160" s="179"/>
      <c r="AA160" s="179"/>
      <c r="AB160" s="179"/>
      <c r="AC160" s="179"/>
      <c r="AD160" s="179"/>
      <c r="AE160" s="179"/>
      <c r="AF160" s="179"/>
      <c r="AG160" s="179"/>
      <c r="AH160" s="179"/>
      <c r="AI160" s="179"/>
      <c r="AJ160" s="179"/>
      <c r="AK160" s="179"/>
      <c r="AL160" s="179"/>
      <c r="AM160" s="179"/>
      <c r="AN160" s="179"/>
      <c r="AO160" s="179"/>
      <c r="AP160" s="179"/>
      <c r="AQ160" s="179"/>
      <c r="AR160" s="179"/>
      <c r="AS160" s="179"/>
      <c r="AT160" s="179"/>
      <c r="AU160" s="179"/>
      <c r="AV160" s="179"/>
      <c r="AW160" s="179"/>
      <c r="AX160" s="179"/>
      <c r="AY160" s="179"/>
      <c r="AZ160" s="179"/>
      <c r="BA160" s="179"/>
      <c r="BB160" s="179"/>
      <c r="BC160" s="179"/>
      <c r="BD160" s="179"/>
      <c r="BE160" s="179"/>
      <c r="BF160" s="179"/>
      <c r="BG160" s="179"/>
      <c r="BH160" s="179"/>
      <c r="BI160" s="179"/>
      <c r="BJ160" s="179"/>
      <c r="BK160" s="179"/>
      <c r="BL160" s="179"/>
      <c r="BM160" s="179"/>
      <c r="BN160" s="179"/>
      <c r="BO160" s="179"/>
      <c r="BP160" s="179"/>
      <c r="BQ160" s="179"/>
      <c r="BR160" s="179"/>
      <c r="BS160" s="179"/>
      <c r="BT160" s="179"/>
      <c r="BU160" s="179"/>
      <c r="BV160" s="179"/>
      <c r="BW160" s="179"/>
      <c r="BX160" s="179"/>
      <c r="BY160" s="179"/>
      <c r="BZ160" s="179"/>
      <c r="CA160" s="179"/>
      <c r="CB160" s="179"/>
      <c r="CC160" s="179"/>
      <c r="CD160" s="179"/>
      <c r="CE160" s="179"/>
      <c r="CF160" s="179"/>
      <c r="CG160" s="179"/>
      <c r="CH160" s="179"/>
      <c r="CI160" s="179"/>
      <c r="CJ160" s="179"/>
      <c r="CK160" s="179"/>
      <c r="CL160" s="179"/>
      <c r="CM160" s="179"/>
      <c r="CN160" s="179"/>
      <c r="CO160" s="179"/>
      <c r="CP160" s="179"/>
      <c r="CQ160" s="179"/>
      <c r="CR160" s="179"/>
      <c r="CS160" s="179"/>
      <c r="CT160" s="179"/>
      <c r="CU160" s="179"/>
      <c r="CV160" s="179"/>
      <c r="CW160" s="179"/>
    </row>
    <row r="161" spans="1:101" x14ac:dyDescent="0.2">
      <c r="A161" s="32" t="str">
        <f t="shared" ca="1" si="2"/>
        <v>2025-09-10</v>
      </c>
      <c r="B161" s="179">
        <f ca="1">IF(ISNUMBER(MATCH(DATEVALUE($A161),'changes1_based on steps'!B$1:B$400,0)),B$2,)</f>
        <v>0</v>
      </c>
      <c r="C161" s="179">
        <f ca="1">IF(ISNUMBER(MATCH(DATEVALUE($A161),'changes1_based on steps'!C$1:C$400,0)),C$2,)</f>
        <v>0</v>
      </c>
      <c r="D161" s="179">
        <f ca="1">IF(ISNUMBER(MATCH(DATEVALUE($A161),'changes1_based on steps'!D$1:D$400,0)),D$2,)</f>
        <v>0</v>
      </c>
      <c r="E161" s="179">
        <f ca="1">IF(ISNUMBER(MATCH(DATEVALUE($A161),'changes1_based on steps'!E$1:E$400,0)),E$2,)</f>
        <v>0</v>
      </c>
      <c r="F161" s="179">
        <f ca="1">IF(ISNUMBER(MATCH(DATEVALUE($A161),'changes1_based on steps'!F$1:F$400,0)),F$2,)</f>
        <v>0</v>
      </c>
      <c r="G161" s="179">
        <f ca="1">IF(ISNUMBER(MATCH(DATEVALUE($A161),'changes1_based on steps'!G$1:G$400,0)),G$2,)</f>
        <v>0</v>
      </c>
      <c r="H161" s="179">
        <f ca="1">IF(ISNUMBER(MATCH(DATEVALUE($A161),'changes1_based on steps'!H$1:H$400,0)),H$2,)</f>
        <v>0</v>
      </c>
      <c r="I161" s="179">
        <f ca="1">IF(ISNUMBER(MATCH(DATEVALUE($A161),'changes1_based on steps'!I$1:I$400,0)),I$2,)</f>
        <v>0</v>
      </c>
      <c r="J161" s="179">
        <f ca="1">IF(ISNUMBER(MATCH(DATEVALUE($A161),'changes1_based on steps'!J$1:J$400,0)),J$2,)</f>
        <v>0</v>
      </c>
      <c r="K161" s="179">
        <f ca="1">IF(ISNUMBER(MATCH(DATEVALUE($A161),'changes1_based on steps'!K$1:K$400,0)),K$2,)</f>
        <v>0</v>
      </c>
      <c r="L161" s="179">
        <f ca="1">IF(ISNUMBER(MATCH(DATEVALUE($A161),'changes1_based on steps'!L$1:L$400,0)),L$2,)</f>
        <v>0</v>
      </c>
      <c r="M161" s="179">
        <f ca="1">IF(ISNUMBER(MATCH(DATEVALUE($A161),'changes1_based on steps'!M$1:M$400,0)),M$2,)</f>
        <v>0</v>
      </c>
      <c r="N161" s="179">
        <f ca="1">IF(ISNUMBER(MATCH(DATEVALUE($A161),'changes1_based on steps'!N$1:N$400,0)),N$2,)</f>
        <v>0</v>
      </c>
      <c r="O161" s="179">
        <f ca="1">IF(ISNUMBER(MATCH(DATEVALUE($A161),'changes1_based on steps'!O$1:O$400,0)),O$2,)</f>
        <v>0</v>
      </c>
      <c r="P161" s="179">
        <f ca="1">IF(ISNUMBER(MATCH(DATEVALUE($A161),'changes1_based on steps'!P$1:P$400,0)),P$2,)</f>
        <v>0</v>
      </c>
      <c r="Q161" s="179">
        <f ca="1">IF(ISNUMBER(MATCH(DATEVALUE($A161),'changes1_based on steps'!Q$1:Q$400,0)),Q$2,)</f>
        <v>0</v>
      </c>
      <c r="R161" s="179">
        <f ca="1">IF(ISNUMBER(MATCH(DATEVALUE($A161),'changes1_based on steps'!R$1:R$400,0)),R$2,)</f>
        <v>0</v>
      </c>
      <c r="S161" s="179">
        <f ca="1">IF(ISNUMBER(MATCH(DATEVALUE($A161),'changes1_based on steps'!S$1:S$400,0)),S$2,)</f>
        <v>0</v>
      </c>
      <c r="T161" s="179">
        <f ca="1">IF(ISNUMBER(MATCH(DATEVALUE($A161),'changes1_based on steps'!T$1:T$400,0)),T$2,)</f>
        <v>0</v>
      </c>
      <c r="U161" s="179">
        <f ca="1">IF(ISNUMBER(MATCH(DATEVALUE($A161),'changes1_based on steps'!U$1:U$400,0)),U$2,)</f>
        <v>0</v>
      </c>
      <c r="V161" s="179"/>
      <c r="W161" s="179"/>
      <c r="X161" s="179"/>
      <c r="Y161" s="179"/>
      <c r="Z161" s="179"/>
      <c r="AA161" s="179"/>
      <c r="AB161" s="179"/>
      <c r="AC161" s="179"/>
      <c r="AD161" s="179"/>
      <c r="AE161" s="179"/>
      <c r="AF161" s="179"/>
      <c r="AG161" s="179"/>
      <c r="AH161" s="179"/>
      <c r="AI161" s="179"/>
      <c r="AJ161" s="179"/>
      <c r="AK161" s="179"/>
      <c r="AL161" s="179"/>
      <c r="AM161" s="179"/>
      <c r="AN161" s="179"/>
      <c r="AO161" s="179"/>
      <c r="AP161" s="179"/>
      <c r="AQ161" s="179"/>
      <c r="AR161" s="179"/>
      <c r="AS161" s="179"/>
      <c r="AT161" s="179"/>
      <c r="AU161" s="179"/>
      <c r="AV161" s="179"/>
      <c r="AW161" s="179"/>
      <c r="AX161" s="179"/>
      <c r="AY161" s="179"/>
      <c r="AZ161" s="179"/>
      <c r="BA161" s="179"/>
      <c r="BB161" s="179"/>
      <c r="BC161" s="179"/>
      <c r="BD161" s="179"/>
      <c r="BE161" s="179"/>
      <c r="BF161" s="179"/>
      <c r="BG161" s="179"/>
      <c r="BH161" s="179"/>
      <c r="BI161" s="179"/>
      <c r="BJ161" s="179"/>
      <c r="BK161" s="179"/>
      <c r="BL161" s="179"/>
      <c r="BM161" s="179"/>
      <c r="BN161" s="179"/>
      <c r="BO161" s="179"/>
      <c r="BP161" s="179"/>
      <c r="BQ161" s="179"/>
      <c r="BR161" s="179"/>
      <c r="BS161" s="179"/>
      <c r="BT161" s="179"/>
      <c r="BU161" s="179"/>
      <c r="BV161" s="179"/>
      <c r="BW161" s="179"/>
      <c r="BX161" s="179"/>
      <c r="BY161" s="179"/>
      <c r="BZ161" s="179"/>
      <c r="CA161" s="179"/>
      <c r="CB161" s="179"/>
      <c r="CC161" s="179"/>
      <c r="CD161" s="179"/>
      <c r="CE161" s="179"/>
      <c r="CF161" s="179"/>
      <c r="CG161" s="179"/>
      <c r="CH161" s="179"/>
      <c r="CI161" s="179"/>
      <c r="CJ161" s="179"/>
      <c r="CK161" s="179"/>
      <c r="CL161" s="179"/>
      <c r="CM161" s="179"/>
      <c r="CN161" s="179"/>
      <c r="CO161" s="179"/>
      <c r="CP161" s="179"/>
      <c r="CQ161" s="179"/>
      <c r="CR161" s="179"/>
      <c r="CS161" s="179"/>
      <c r="CT161" s="179"/>
      <c r="CU161" s="179"/>
      <c r="CV161" s="179"/>
      <c r="CW161" s="179"/>
    </row>
    <row r="162" spans="1:101" x14ac:dyDescent="0.2">
      <c r="A162" s="32" t="str">
        <f t="shared" ca="1" si="2"/>
        <v>2025-09-11</v>
      </c>
      <c r="B162" s="179">
        <f ca="1">IF(ISNUMBER(MATCH(DATEVALUE($A162),'changes1_based on steps'!B$1:B$400,0)),B$2,)</f>
        <v>0</v>
      </c>
      <c r="C162" s="179">
        <f ca="1">IF(ISNUMBER(MATCH(DATEVALUE($A162),'changes1_based on steps'!C$1:C$400,0)),C$2,)</f>
        <v>0</v>
      </c>
      <c r="D162" s="179">
        <f ca="1">IF(ISNUMBER(MATCH(DATEVALUE($A162),'changes1_based on steps'!D$1:D$400,0)),D$2,)</f>
        <v>0</v>
      </c>
      <c r="E162" s="179">
        <f ca="1">IF(ISNUMBER(MATCH(DATEVALUE($A162),'changes1_based on steps'!E$1:E$400,0)),E$2,)</f>
        <v>0</v>
      </c>
      <c r="F162" s="179">
        <f ca="1">IF(ISNUMBER(MATCH(DATEVALUE($A162),'changes1_based on steps'!F$1:F$400,0)),F$2,)</f>
        <v>0</v>
      </c>
      <c r="G162" s="179">
        <f ca="1">IF(ISNUMBER(MATCH(DATEVALUE($A162),'changes1_based on steps'!G$1:G$400,0)),G$2,)</f>
        <v>0</v>
      </c>
      <c r="H162" s="179">
        <f ca="1">IF(ISNUMBER(MATCH(DATEVALUE($A162),'changes1_based on steps'!H$1:H$400,0)),H$2,)</f>
        <v>0</v>
      </c>
      <c r="I162" s="179">
        <f ca="1">IF(ISNUMBER(MATCH(DATEVALUE($A162),'changes1_based on steps'!I$1:I$400,0)),I$2,)</f>
        <v>0</v>
      </c>
      <c r="J162" s="179">
        <f ca="1">IF(ISNUMBER(MATCH(DATEVALUE($A162),'changes1_based on steps'!J$1:J$400,0)),J$2,)</f>
        <v>0</v>
      </c>
      <c r="K162" s="179">
        <f ca="1">IF(ISNUMBER(MATCH(DATEVALUE($A162),'changes1_based on steps'!K$1:K$400,0)),K$2,)</f>
        <v>0</v>
      </c>
      <c r="L162" s="179">
        <f ca="1">IF(ISNUMBER(MATCH(DATEVALUE($A162),'changes1_based on steps'!L$1:L$400,0)),L$2,)</f>
        <v>0</v>
      </c>
      <c r="M162" s="179">
        <f ca="1">IF(ISNUMBER(MATCH(DATEVALUE($A162),'changes1_based on steps'!M$1:M$400,0)),M$2,)</f>
        <v>0</v>
      </c>
      <c r="N162" s="179">
        <f ca="1">IF(ISNUMBER(MATCH(DATEVALUE($A162),'changes1_based on steps'!N$1:N$400,0)),N$2,)</f>
        <v>0</v>
      </c>
      <c r="O162" s="179">
        <f ca="1">IF(ISNUMBER(MATCH(DATEVALUE($A162),'changes1_based on steps'!O$1:O$400,0)),O$2,)</f>
        <v>0</v>
      </c>
      <c r="P162" s="179">
        <f ca="1">IF(ISNUMBER(MATCH(DATEVALUE($A162),'changes1_based on steps'!P$1:P$400,0)),P$2,)</f>
        <v>0</v>
      </c>
      <c r="Q162" s="179">
        <f ca="1">IF(ISNUMBER(MATCH(DATEVALUE($A162),'changes1_based on steps'!Q$1:Q$400,0)),Q$2,)</f>
        <v>0</v>
      </c>
      <c r="R162" s="179">
        <f ca="1">IF(ISNUMBER(MATCH(DATEVALUE($A162),'changes1_based on steps'!R$1:R$400,0)),R$2,)</f>
        <v>0</v>
      </c>
      <c r="S162" s="179">
        <f ca="1">IF(ISNUMBER(MATCH(DATEVALUE($A162),'changes1_based on steps'!S$1:S$400,0)),S$2,)</f>
        <v>0</v>
      </c>
      <c r="T162" s="179">
        <f ca="1">IF(ISNUMBER(MATCH(DATEVALUE($A162),'changes1_based on steps'!T$1:T$400,0)),T$2,)</f>
        <v>0</v>
      </c>
      <c r="U162" s="179">
        <f ca="1">IF(ISNUMBER(MATCH(DATEVALUE($A162),'changes1_based on steps'!U$1:U$400,0)),U$2,)</f>
        <v>0</v>
      </c>
      <c r="V162" s="179"/>
      <c r="W162" s="179"/>
      <c r="X162" s="179"/>
      <c r="Y162" s="179"/>
      <c r="Z162" s="179"/>
      <c r="AA162" s="179"/>
      <c r="AB162" s="179"/>
      <c r="AC162" s="179"/>
      <c r="AD162" s="179"/>
      <c r="AE162" s="179"/>
      <c r="AF162" s="179"/>
      <c r="AG162" s="179"/>
      <c r="AH162" s="179"/>
      <c r="AI162" s="179"/>
      <c r="AJ162" s="179"/>
      <c r="AK162" s="179"/>
      <c r="AL162" s="179"/>
      <c r="AM162" s="179"/>
      <c r="AN162" s="179"/>
      <c r="AO162" s="179"/>
      <c r="AP162" s="179"/>
      <c r="AQ162" s="179"/>
      <c r="AR162" s="179"/>
      <c r="AS162" s="179"/>
      <c r="AT162" s="179"/>
      <c r="AU162" s="179"/>
      <c r="AV162" s="179"/>
      <c r="AW162" s="179"/>
      <c r="AX162" s="179"/>
      <c r="AY162" s="179"/>
      <c r="AZ162" s="179"/>
      <c r="BA162" s="179"/>
      <c r="BB162" s="179"/>
      <c r="BC162" s="179"/>
      <c r="BD162" s="179"/>
      <c r="BE162" s="179"/>
      <c r="BF162" s="179"/>
      <c r="BG162" s="179"/>
      <c r="BH162" s="179"/>
      <c r="BI162" s="179"/>
      <c r="BJ162" s="179"/>
      <c r="BK162" s="179"/>
      <c r="BL162" s="179"/>
      <c r="BM162" s="179"/>
      <c r="BN162" s="179"/>
      <c r="BO162" s="179"/>
      <c r="BP162" s="179"/>
      <c r="BQ162" s="179"/>
      <c r="BR162" s="179"/>
      <c r="BS162" s="179"/>
      <c r="BT162" s="179"/>
      <c r="BU162" s="179"/>
      <c r="BV162" s="179"/>
      <c r="BW162" s="179"/>
      <c r="BX162" s="179"/>
      <c r="BY162" s="179"/>
      <c r="BZ162" s="179"/>
      <c r="CA162" s="179"/>
      <c r="CB162" s="179"/>
      <c r="CC162" s="179"/>
      <c r="CD162" s="179"/>
      <c r="CE162" s="179"/>
      <c r="CF162" s="179"/>
      <c r="CG162" s="179"/>
      <c r="CH162" s="179"/>
      <c r="CI162" s="179"/>
      <c r="CJ162" s="179"/>
      <c r="CK162" s="179"/>
      <c r="CL162" s="179"/>
      <c r="CM162" s="179"/>
      <c r="CN162" s="179"/>
      <c r="CO162" s="179"/>
      <c r="CP162" s="179"/>
      <c r="CQ162" s="179"/>
      <c r="CR162" s="179"/>
      <c r="CS162" s="179"/>
      <c r="CT162" s="179"/>
      <c r="CU162" s="179"/>
      <c r="CV162" s="179"/>
      <c r="CW162" s="179"/>
    </row>
    <row r="163" spans="1:101" x14ac:dyDescent="0.2">
      <c r="A163" s="32" t="str">
        <f t="shared" ca="1" si="2"/>
        <v>2025-09-12</v>
      </c>
      <c r="B163" s="179">
        <f ca="1">IF(ISNUMBER(MATCH(DATEVALUE($A163),'changes1_based on steps'!B$1:B$400,0)),B$2,)</f>
        <v>0</v>
      </c>
      <c r="C163" s="179">
        <f ca="1">IF(ISNUMBER(MATCH(DATEVALUE($A163),'changes1_based on steps'!C$1:C$400,0)),C$2,)</f>
        <v>0</v>
      </c>
      <c r="D163" s="179">
        <f ca="1">IF(ISNUMBER(MATCH(DATEVALUE($A163),'changes1_based on steps'!D$1:D$400,0)),D$2,)</f>
        <v>0</v>
      </c>
      <c r="E163" s="179">
        <f ca="1">IF(ISNUMBER(MATCH(DATEVALUE($A163),'changes1_based on steps'!E$1:E$400,0)),E$2,)</f>
        <v>0</v>
      </c>
      <c r="F163" s="179">
        <f ca="1">IF(ISNUMBER(MATCH(DATEVALUE($A163),'changes1_based on steps'!F$1:F$400,0)),F$2,)</f>
        <v>0</v>
      </c>
      <c r="G163" s="179">
        <f ca="1">IF(ISNUMBER(MATCH(DATEVALUE($A163),'changes1_based on steps'!G$1:G$400,0)),G$2,)</f>
        <v>0</v>
      </c>
      <c r="H163" s="179">
        <f ca="1">IF(ISNUMBER(MATCH(DATEVALUE($A163),'changes1_based on steps'!H$1:H$400,0)),H$2,)</f>
        <v>0</v>
      </c>
      <c r="I163" s="179">
        <f ca="1">IF(ISNUMBER(MATCH(DATEVALUE($A163),'changes1_based on steps'!I$1:I$400,0)),I$2,)</f>
        <v>0</v>
      </c>
      <c r="J163" s="179">
        <f ca="1">IF(ISNUMBER(MATCH(DATEVALUE($A163),'changes1_based on steps'!J$1:J$400,0)),J$2,)</f>
        <v>0</v>
      </c>
      <c r="K163" s="179">
        <f ca="1">IF(ISNUMBER(MATCH(DATEVALUE($A163),'changes1_based on steps'!K$1:K$400,0)),K$2,)</f>
        <v>0</v>
      </c>
      <c r="L163" s="179">
        <f ca="1">IF(ISNUMBER(MATCH(DATEVALUE($A163),'changes1_based on steps'!L$1:L$400,0)),L$2,)</f>
        <v>0</v>
      </c>
      <c r="M163" s="179">
        <f ca="1">IF(ISNUMBER(MATCH(DATEVALUE($A163),'changes1_based on steps'!M$1:M$400,0)),M$2,)</f>
        <v>0</v>
      </c>
      <c r="N163" s="179">
        <f ca="1">IF(ISNUMBER(MATCH(DATEVALUE($A163),'changes1_based on steps'!N$1:N$400,0)),N$2,)</f>
        <v>0</v>
      </c>
      <c r="O163" s="179">
        <f ca="1">IF(ISNUMBER(MATCH(DATEVALUE($A163),'changes1_based on steps'!O$1:O$400,0)),O$2,)</f>
        <v>0</v>
      </c>
      <c r="P163" s="179">
        <f ca="1">IF(ISNUMBER(MATCH(DATEVALUE($A163),'changes1_based on steps'!P$1:P$400,0)),P$2,)</f>
        <v>0</v>
      </c>
      <c r="Q163" s="179">
        <f ca="1">IF(ISNUMBER(MATCH(DATEVALUE($A163),'changes1_based on steps'!Q$1:Q$400,0)),Q$2,)</f>
        <v>0</v>
      </c>
      <c r="R163" s="179">
        <f ca="1">IF(ISNUMBER(MATCH(DATEVALUE($A163),'changes1_based on steps'!R$1:R$400,0)),R$2,)</f>
        <v>0</v>
      </c>
      <c r="S163" s="179">
        <f ca="1">IF(ISNUMBER(MATCH(DATEVALUE($A163),'changes1_based on steps'!S$1:S$400,0)),S$2,)</f>
        <v>0</v>
      </c>
      <c r="T163" s="179">
        <f ca="1">IF(ISNUMBER(MATCH(DATEVALUE($A163),'changes1_based on steps'!T$1:T$400,0)),T$2,)</f>
        <v>0</v>
      </c>
      <c r="U163" s="179">
        <f ca="1">IF(ISNUMBER(MATCH(DATEVALUE($A163),'changes1_based on steps'!U$1:U$400,0)),U$2,)</f>
        <v>0</v>
      </c>
      <c r="V163" s="179"/>
      <c r="W163" s="179"/>
      <c r="X163" s="179"/>
      <c r="Y163" s="179"/>
      <c r="Z163" s="179"/>
      <c r="AA163" s="179"/>
      <c r="AB163" s="179"/>
      <c r="AC163" s="179"/>
      <c r="AD163" s="179"/>
      <c r="AE163" s="179"/>
      <c r="AF163" s="179"/>
      <c r="AG163" s="179"/>
      <c r="AH163" s="179"/>
      <c r="AI163" s="179"/>
      <c r="AJ163" s="179"/>
      <c r="AK163" s="179"/>
      <c r="AL163" s="179"/>
      <c r="AM163" s="179"/>
      <c r="AN163" s="179"/>
      <c r="AO163" s="179"/>
      <c r="AP163" s="179"/>
      <c r="AQ163" s="179"/>
      <c r="AR163" s="179"/>
      <c r="AS163" s="179"/>
      <c r="AT163" s="179"/>
      <c r="AU163" s="179"/>
      <c r="AV163" s="179"/>
      <c r="AW163" s="179"/>
      <c r="AX163" s="179"/>
      <c r="AY163" s="179"/>
      <c r="AZ163" s="179"/>
      <c r="BA163" s="179"/>
      <c r="BB163" s="179"/>
      <c r="BC163" s="179"/>
      <c r="BD163" s="179"/>
      <c r="BE163" s="179"/>
      <c r="BF163" s="179"/>
      <c r="BG163" s="179"/>
      <c r="BH163" s="179"/>
      <c r="BI163" s="179"/>
      <c r="BJ163" s="179"/>
      <c r="BK163" s="179"/>
      <c r="BL163" s="179"/>
      <c r="BM163" s="179"/>
      <c r="BN163" s="179"/>
      <c r="BO163" s="179"/>
      <c r="BP163" s="179"/>
      <c r="BQ163" s="179"/>
      <c r="BR163" s="179"/>
      <c r="BS163" s="179"/>
      <c r="BT163" s="179"/>
      <c r="BU163" s="179"/>
      <c r="BV163" s="179"/>
      <c r="BW163" s="179"/>
      <c r="BX163" s="179"/>
      <c r="BY163" s="179"/>
      <c r="BZ163" s="179"/>
      <c r="CA163" s="179"/>
      <c r="CB163" s="179"/>
      <c r="CC163" s="179"/>
      <c r="CD163" s="179"/>
      <c r="CE163" s="179"/>
      <c r="CF163" s="179"/>
      <c r="CG163" s="179"/>
      <c r="CH163" s="179"/>
      <c r="CI163" s="179"/>
      <c r="CJ163" s="179"/>
      <c r="CK163" s="179"/>
      <c r="CL163" s="179"/>
      <c r="CM163" s="179"/>
      <c r="CN163" s="179"/>
      <c r="CO163" s="179"/>
      <c r="CP163" s="179"/>
      <c r="CQ163" s="179"/>
      <c r="CR163" s="179"/>
      <c r="CS163" s="179"/>
      <c r="CT163" s="179"/>
      <c r="CU163" s="179"/>
      <c r="CV163" s="179"/>
      <c r="CW163" s="179"/>
    </row>
    <row r="164" spans="1:101" x14ac:dyDescent="0.2">
      <c r="A164" s="32" t="str">
        <f t="shared" ca="1" si="2"/>
        <v>2025-09-13</v>
      </c>
      <c r="B164" s="179">
        <f ca="1">IF(ISNUMBER(MATCH(DATEVALUE($A164),'changes1_based on steps'!B$1:B$400,0)),B$2,)</f>
        <v>0</v>
      </c>
      <c r="C164" s="179">
        <f ca="1">IF(ISNUMBER(MATCH(DATEVALUE($A164),'changes1_based on steps'!C$1:C$400,0)),C$2,)</f>
        <v>0</v>
      </c>
      <c r="D164" s="179">
        <f ca="1">IF(ISNUMBER(MATCH(DATEVALUE($A164),'changes1_based on steps'!D$1:D$400,0)),D$2,)</f>
        <v>0</v>
      </c>
      <c r="E164" s="179">
        <f ca="1">IF(ISNUMBER(MATCH(DATEVALUE($A164),'changes1_based on steps'!E$1:E$400,0)),E$2,)</f>
        <v>0</v>
      </c>
      <c r="F164" s="179">
        <f ca="1">IF(ISNUMBER(MATCH(DATEVALUE($A164),'changes1_based on steps'!F$1:F$400,0)),F$2,)</f>
        <v>0</v>
      </c>
      <c r="G164" s="179">
        <f ca="1">IF(ISNUMBER(MATCH(DATEVALUE($A164),'changes1_based on steps'!G$1:G$400,0)),G$2,)</f>
        <v>0</v>
      </c>
      <c r="H164" s="179">
        <f ca="1">IF(ISNUMBER(MATCH(DATEVALUE($A164),'changes1_based on steps'!H$1:H$400,0)),H$2,)</f>
        <v>0</v>
      </c>
      <c r="I164" s="179">
        <f ca="1">IF(ISNUMBER(MATCH(DATEVALUE($A164),'changes1_based on steps'!I$1:I$400,0)),I$2,)</f>
        <v>0</v>
      </c>
      <c r="J164" s="179">
        <f ca="1">IF(ISNUMBER(MATCH(DATEVALUE($A164),'changes1_based on steps'!J$1:J$400,0)),J$2,)</f>
        <v>0</v>
      </c>
      <c r="K164" s="179">
        <f ca="1">IF(ISNUMBER(MATCH(DATEVALUE($A164),'changes1_based on steps'!K$1:K$400,0)),K$2,)</f>
        <v>0</v>
      </c>
      <c r="L164" s="179">
        <f ca="1">IF(ISNUMBER(MATCH(DATEVALUE($A164),'changes1_based on steps'!L$1:L$400,0)),L$2,)</f>
        <v>0</v>
      </c>
      <c r="M164" s="179">
        <f ca="1">IF(ISNUMBER(MATCH(DATEVALUE($A164),'changes1_based on steps'!M$1:M$400,0)),M$2,)</f>
        <v>0</v>
      </c>
      <c r="N164" s="179">
        <f ca="1">IF(ISNUMBER(MATCH(DATEVALUE($A164),'changes1_based on steps'!N$1:N$400,0)),N$2,)</f>
        <v>0</v>
      </c>
      <c r="O164" s="179">
        <f ca="1">IF(ISNUMBER(MATCH(DATEVALUE($A164),'changes1_based on steps'!O$1:O$400,0)),O$2,)</f>
        <v>0</v>
      </c>
      <c r="P164" s="179">
        <f ca="1">IF(ISNUMBER(MATCH(DATEVALUE($A164),'changes1_based on steps'!P$1:P$400,0)),P$2,)</f>
        <v>0</v>
      </c>
      <c r="Q164" s="179">
        <f ca="1">IF(ISNUMBER(MATCH(DATEVALUE($A164),'changes1_based on steps'!Q$1:Q$400,0)),Q$2,)</f>
        <v>0</v>
      </c>
      <c r="R164" s="179">
        <f ca="1">IF(ISNUMBER(MATCH(DATEVALUE($A164),'changes1_based on steps'!R$1:R$400,0)),R$2,)</f>
        <v>0</v>
      </c>
      <c r="S164" s="179">
        <f ca="1">IF(ISNUMBER(MATCH(DATEVALUE($A164),'changes1_based on steps'!S$1:S$400,0)),S$2,)</f>
        <v>0</v>
      </c>
      <c r="T164" s="179">
        <f ca="1">IF(ISNUMBER(MATCH(DATEVALUE($A164),'changes1_based on steps'!T$1:T$400,0)),T$2,)</f>
        <v>0</v>
      </c>
      <c r="U164" s="179">
        <f ca="1">IF(ISNUMBER(MATCH(DATEVALUE($A164),'changes1_based on steps'!U$1:U$400,0)),U$2,)</f>
        <v>0</v>
      </c>
      <c r="V164" s="179"/>
      <c r="W164" s="179"/>
      <c r="X164" s="179"/>
      <c r="Y164" s="179"/>
      <c r="Z164" s="179"/>
      <c r="AA164" s="179"/>
      <c r="AB164" s="179"/>
      <c r="AC164" s="179"/>
      <c r="AD164" s="179"/>
      <c r="AE164" s="179"/>
      <c r="AF164" s="179"/>
      <c r="AG164" s="179"/>
      <c r="AH164" s="179"/>
      <c r="AI164" s="179"/>
      <c r="AJ164" s="179"/>
      <c r="AK164" s="179"/>
      <c r="AL164" s="179"/>
      <c r="AM164" s="179"/>
      <c r="AN164" s="179"/>
      <c r="AO164" s="179"/>
      <c r="AP164" s="179"/>
      <c r="AQ164" s="179"/>
      <c r="AR164" s="179"/>
      <c r="AS164" s="179"/>
      <c r="AT164" s="179"/>
      <c r="AU164" s="179"/>
      <c r="AV164" s="179"/>
      <c r="AW164" s="179"/>
      <c r="AX164" s="179"/>
      <c r="AY164" s="179"/>
      <c r="AZ164" s="179"/>
      <c r="BA164" s="179"/>
      <c r="BB164" s="179"/>
      <c r="BC164" s="179"/>
      <c r="BD164" s="179"/>
      <c r="BE164" s="179"/>
      <c r="BF164" s="179"/>
      <c r="BG164" s="179"/>
      <c r="BH164" s="179"/>
      <c r="BI164" s="179"/>
      <c r="BJ164" s="179"/>
      <c r="BK164" s="179"/>
      <c r="BL164" s="179"/>
      <c r="BM164" s="179"/>
      <c r="BN164" s="179"/>
      <c r="BO164" s="179"/>
      <c r="BP164" s="179"/>
      <c r="BQ164" s="179"/>
      <c r="BR164" s="179"/>
      <c r="BS164" s="179"/>
      <c r="BT164" s="179"/>
      <c r="BU164" s="179"/>
      <c r="BV164" s="179"/>
      <c r="BW164" s="179"/>
      <c r="BX164" s="179"/>
      <c r="BY164" s="179"/>
      <c r="BZ164" s="179"/>
      <c r="CA164" s="179"/>
      <c r="CB164" s="179"/>
      <c r="CC164" s="179"/>
      <c r="CD164" s="179"/>
      <c r="CE164" s="179"/>
      <c r="CF164" s="179"/>
      <c r="CG164" s="179"/>
      <c r="CH164" s="179"/>
      <c r="CI164" s="179"/>
      <c r="CJ164" s="179"/>
      <c r="CK164" s="179"/>
      <c r="CL164" s="179"/>
      <c r="CM164" s="179"/>
      <c r="CN164" s="179"/>
      <c r="CO164" s="179"/>
      <c r="CP164" s="179"/>
      <c r="CQ164" s="179"/>
      <c r="CR164" s="179"/>
      <c r="CS164" s="179"/>
      <c r="CT164" s="179"/>
      <c r="CU164" s="179"/>
      <c r="CV164" s="179"/>
      <c r="CW164" s="179"/>
    </row>
    <row r="165" spans="1:101" x14ac:dyDescent="0.2">
      <c r="A165" s="32" t="str">
        <f t="shared" ca="1" si="2"/>
        <v>2025-09-14</v>
      </c>
      <c r="B165" s="179">
        <f ca="1">IF(ISNUMBER(MATCH(DATEVALUE($A165),'changes1_based on steps'!B$1:B$400,0)),B$2,)</f>
        <v>0</v>
      </c>
      <c r="C165" s="179">
        <f ca="1">IF(ISNUMBER(MATCH(DATEVALUE($A165),'changes1_based on steps'!C$1:C$400,0)),C$2,)</f>
        <v>0</v>
      </c>
      <c r="D165" s="179">
        <f ca="1">IF(ISNUMBER(MATCH(DATEVALUE($A165),'changes1_based on steps'!D$1:D$400,0)),D$2,)</f>
        <v>0</v>
      </c>
      <c r="E165" s="179">
        <f ca="1">IF(ISNUMBER(MATCH(DATEVALUE($A165),'changes1_based on steps'!E$1:E$400,0)),E$2,)</f>
        <v>0</v>
      </c>
      <c r="F165" s="179">
        <f ca="1">IF(ISNUMBER(MATCH(DATEVALUE($A165),'changes1_based on steps'!F$1:F$400,0)),F$2,)</f>
        <v>0</v>
      </c>
      <c r="G165" s="179">
        <f ca="1">IF(ISNUMBER(MATCH(DATEVALUE($A165),'changes1_based on steps'!G$1:G$400,0)),G$2,)</f>
        <v>0</v>
      </c>
      <c r="H165" s="179">
        <f ca="1">IF(ISNUMBER(MATCH(DATEVALUE($A165),'changes1_based on steps'!H$1:H$400,0)),H$2,)</f>
        <v>0</v>
      </c>
      <c r="I165" s="179">
        <f ca="1">IF(ISNUMBER(MATCH(DATEVALUE($A165),'changes1_based on steps'!I$1:I$400,0)),I$2,)</f>
        <v>0</v>
      </c>
      <c r="J165" s="179">
        <f ca="1">IF(ISNUMBER(MATCH(DATEVALUE($A165),'changes1_based on steps'!J$1:J$400,0)),J$2,)</f>
        <v>0</v>
      </c>
      <c r="K165" s="179">
        <f ca="1">IF(ISNUMBER(MATCH(DATEVALUE($A165),'changes1_based on steps'!K$1:K$400,0)),K$2,)</f>
        <v>0</v>
      </c>
      <c r="L165" s="179">
        <f ca="1">IF(ISNUMBER(MATCH(DATEVALUE($A165),'changes1_based on steps'!L$1:L$400,0)),L$2,)</f>
        <v>0</v>
      </c>
      <c r="M165" s="179">
        <f ca="1">IF(ISNUMBER(MATCH(DATEVALUE($A165),'changes1_based on steps'!M$1:M$400,0)),M$2,)</f>
        <v>0</v>
      </c>
      <c r="N165" s="179">
        <f ca="1">IF(ISNUMBER(MATCH(DATEVALUE($A165),'changes1_based on steps'!N$1:N$400,0)),N$2,)</f>
        <v>0</v>
      </c>
      <c r="O165" s="179">
        <f ca="1">IF(ISNUMBER(MATCH(DATEVALUE($A165),'changes1_based on steps'!O$1:O$400,0)),O$2,)</f>
        <v>0</v>
      </c>
      <c r="P165" s="179">
        <f ca="1">IF(ISNUMBER(MATCH(DATEVALUE($A165),'changes1_based on steps'!P$1:P$400,0)),P$2,)</f>
        <v>0</v>
      </c>
      <c r="Q165" s="179">
        <f ca="1">IF(ISNUMBER(MATCH(DATEVALUE($A165),'changes1_based on steps'!Q$1:Q$400,0)),Q$2,)</f>
        <v>0</v>
      </c>
      <c r="R165" s="179">
        <f ca="1">IF(ISNUMBER(MATCH(DATEVALUE($A165),'changes1_based on steps'!R$1:R$400,0)),R$2,)</f>
        <v>0</v>
      </c>
      <c r="S165" s="179">
        <f ca="1">IF(ISNUMBER(MATCH(DATEVALUE($A165),'changes1_based on steps'!S$1:S$400,0)),S$2,)</f>
        <v>0</v>
      </c>
      <c r="T165" s="179">
        <f ca="1">IF(ISNUMBER(MATCH(DATEVALUE($A165),'changes1_based on steps'!T$1:T$400,0)),T$2,)</f>
        <v>0</v>
      </c>
      <c r="U165" s="179">
        <f ca="1">IF(ISNUMBER(MATCH(DATEVALUE($A165),'changes1_based on steps'!U$1:U$400,0)),U$2,)</f>
        <v>0</v>
      </c>
      <c r="V165" s="179"/>
      <c r="W165" s="179"/>
      <c r="X165" s="179"/>
      <c r="Y165" s="179"/>
      <c r="Z165" s="179"/>
      <c r="AA165" s="179"/>
      <c r="AB165" s="179"/>
      <c r="AC165" s="179"/>
      <c r="AD165" s="179"/>
      <c r="AE165" s="179"/>
      <c r="AF165" s="179"/>
      <c r="AG165" s="179"/>
      <c r="AH165" s="179"/>
      <c r="AI165" s="179"/>
      <c r="AJ165" s="179"/>
      <c r="AK165" s="179"/>
      <c r="AL165" s="179"/>
      <c r="AM165" s="179"/>
      <c r="AN165" s="179"/>
      <c r="AO165" s="179"/>
      <c r="AP165" s="179"/>
      <c r="AQ165" s="179"/>
      <c r="AR165" s="179"/>
      <c r="AS165" s="179"/>
      <c r="AT165" s="179"/>
      <c r="AU165" s="179"/>
      <c r="AV165" s="179"/>
      <c r="AW165" s="179"/>
      <c r="AX165" s="179"/>
      <c r="AY165" s="179"/>
      <c r="AZ165" s="179"/>
      <c r="BA165" s="179"/>
      <c r="BB165" s="179"/>
      <c r="BC165" s="179"/>
      <c r="BD165" s="179"/>
      <c r="BE165" s="179"/>
      <c r="BF165" s="179"/>
      <c r="BG165" s="179"/>
      <c r="BH165" s="179"/>
      <c r="BI165" s="179"/>
      <c r="BJ165" s="179"/>
      <c r="BK165" s="179"/>
      <c r="BL165" s="179"/>
      <c r="BM165" s="179"/>
      <c r="BN165" s="179"/>
      <c r="BO165" s="179"/>
      <c r="BP165" s="179"/>
      <c r="BQ165" s="179"/>
      <c r="BR165" s="179"/>
      <c r="BS165" s="179"/>
      <c r="BT165" s="179"/>
      <c r="BU165" s="179"/>
      <c r="BV165" s="179"/>
      <c r="BW165" s="179"/>
      <c r="BX165" s="179"/>
      <c r="BY165" s="179"/>
      <c r="BZ165" s="179"/>
      <c r="CA165" s="179"/>
      <c r="CB165" s="179"/>
      <c r="CC165" s="179"/>
      <c r="CD165" s="179"/>
      <c r="CE165" s="179"/>
      <c r="CF165" s="179"/>
      <c r="CG165" s="179"/>
      <c r="CH165" s="179"/>
      <c r="CI165" s="179"/>
      <c r="CJ165" s="179"/>
      <c r="CK165" s="179"/>
      <c r="CL165" s="179"/>
      <c r="CM165" s="179"/>
      <c r="CN165" s="179"/>
      <c r="CO165" s="179"/>
      <c r="CP165" s="179"/>
      <c r="CQ165" s="179"/>
      <c r="CR165" s="179"/>
      <c r="CS165" s="179"/>
      <c r="CT165" s="179"/>
      <c r="CU165" s="179"/>
      <c r="CV165" s="179"/>
      <c r="CW165" s="179"/>
    </row>
    <row r="166" spans="1:101" x14ac:dyDescent="0.2">
      <c r="A166" s="32" t="str">
        <f t="shared" ca="1" si="2"/>
        <v>2025-09-15</v>
      </c>
      <c r="B166" s="179">
        <f ca="1">IF(ISNUMBER(MATCH(DATEVALUE($A166),'changes1_based on steps'!B$1:B$400,0)),B$2,)</f>
        <v>0</v>
      </c>
      <c r="C166" s="179">
        <f ca="1">IF(ISNUMBER(MATCH(DATEVALUE($A166),'changes1_based on steps'!C$1:C$400,0)),C$2,)</f>
        <v>0</v>
      </c>
      <c r="D166" s="179">
        <f ca="1">IF(ISNUMBER(MATCH(DATEVALUE($A166),'changes1_based on steps'!D$1:D$400,0)),D$2,)</f>
        <v>0</v>
      </c>
      <c r="E166" s="179">
        <f ca="1">IF(ISNUMBER(MATCH(DATEVALUE($A166),'changes1_based on steps'!E$1:E$400,0)),E$2,)</f>
        <v>0</v>
      </c>
      <c r="F166" s="179">
        <f ca="1">IF(ISNUMBER(MATCH(DATEVALUE($A166),'changes1_based on steps'!F$1:F$400,0)),F$2,)</f>
        <v>0</v>
      </c>
      <c r="G166" s="179">
        <f ca="1">IF(ISNUMBER(MATCH(DATEVALUE($A166),'changes1_based on steps'!G$1:G$400,0)),G$2,)</f>
        <v>0</v>
      </c>
      <c r="H166" s="179">
        <f ca="1">IF(ISNUMBER(MATCH(DATEVALUE($A166),'changes1_based on steps'!H$1:H$400,0)),H$2,)</f>
        <v>0</v>
      </c>
      <c r="I166" s="179">
        <f ca="1">IF(ISNUMBER(MATCH(DATEVALUE($A166),'changes1_based on steps'!I$1:I$400,0)),I$2,)</f>
        <v>0</v>
      </c>
      <c r="J166" s="179">
        <f ca="1">IF(ISNUMBER(MATCH(DATEVALUE($A166),'changes1_based on steps'!J$1:J$400,0)),J$2,)</f>
        <v>0</v>
      </c>
      <c r="K166" s="179">
        <f ca="1">IF(ISNUMBER(MATCH(DATEVALUE($A166),'changes1_based on steps'!K$1:K$400,0)),K$2,)</f>
        <v>0</v>
      </c>
      <c r="L166" s="179">
        <f ca="1">IF(ISNUMBER(MATCH(DATEVALUE($A166),'changes1_based on steps'!L$1:L$400,0)),L$2,)</f>
        <v>0</v>
      </c>
      <c r="M166" s="179">
        <f ca="1">IF(ISNUMBER(MATCH(DATEVALUE($A166),'changes1_based on steps'!M$1:M$400,0)),M$2,)</f>
        <v>0</v>
      </c>
      <c r="N166" s="179">
        <f ca="1">IF(ISNUMBER(MATCH(DATEVALUE($A166),'changes1_based on steps'!N$1:N$400,0)),N$2,)</f>
        <v>0</v>
      </c>
      <c r="O166" s="179">
        <f ca="1">IF(ISNUMBER(MATCH(DATEVALUE($A166),'changes1_based on steps'!O$1:O$400,0)),O$2,)</f>
        <v>0</v>
      </c>
      <c r="P166" s="179">
        <f ca="1">IF(ISNUMBER(MATCH(DATEVALUE($A166),'changes1_based on steps'!P$1:P$400,0)),P$2,)</f>
        <v>0</v>
      </c>
      <c r="Q166" s="179">
        <f ca="1">IF(ISNUMBER(MATCH(DATEVALUE($A166),'changes1_based on steps'!Q$1:Q$400,0)),Q$2,)</f>
        <v>0</v>
      </c>
      <c r="R166" s="179">
        <f ca="1">IF(ISNUMBER(MATCH(DATEVALUE($A166),'changes1_based on steps'!R$1:R$400,0)),R$2,)</f>
        <v>0</v>
      </c>
      <c r="S166" s="179">
        <f ca="1">IF(ISNUMBER(MATCH(DATEVALUE($A166),'changes1_based on steps'!S$1:S$400,0)),S$2,)</f>
        <v>0</v>
      </c>
      <c r="T166" s="179">
        <f ca="1">IF(ISNUMBER(MATCH(DATEVALUE($A166),'changes1_based on steps'!T$1:T$400,0)),T$2,)</f>
        <v>0</v>
      </c>
      <c r="U166" s="179">
        <f ca="1">IF(ISNUMBER(MATCH(DATEVALUE($A166),'changes1_based on steps'!U$1:U$400,0)),U$2,)</f>
        <v>0</v>
      </c>
      <c r="V166" s="179"/>
      <c r="W166" s="179"/>
      <c r="X166" s="179"/>
      <c r="Y166" s="179"/>
      <c r="Z166" s="179"/>
      <c r="AA166" s="179"/>
      <c r="AB166" s="179"/>
      <c r="AC166" s="179"/>
      <c r="AD166" s="179"/>
      <c r="AE166" s="179"/>
      <c r="AF166" s="179"/>
      <c r="AG166" s="179"/>
      <c r="AH166" s="179"/>
      <c r="AI166" s="179"/>
      <c r="AJ166" s="179"/>
      <c r="AK166" s="179"/>
      <c r="AL166" s="179"/>
      <c r="AM166" s="179"/>
      <c r="AN166" s="179"/>
      <c r="AO166" s="179"/>
      <c r="AP166" s="179"/>
      <c r="AQ166" s="179"/>
      <c r="AR166" s="179"/>
      <c r="AS166" s="179"/>
      <c r="AT166" s="179"/>
      <c r="AU166" s="179"/>
      <c r="AV166" s="179"/>
      <c r="AW166" s="179"/>
      <c r="AX166" s="179"/>
      <c r="AY166" s="179"/>
      <c r="AZ166" s="179"/>
      <c r="BA166" s="179"/>
      <c r="BB166" s="179"/>
      <c r="BC166" s="179"/>
      <c r="BD166" s="179"/>
      <c r="BE166" s="179"/>
      <c r="BF166" s="179"/>
      <c r="BG166" s="179"/>
      <c r="BH166" s="179"/>
      <c r="BI166" s="179"/>
      <c r="BJ166" s="179"/>
      <c r="BK166" s="179"/>
      <c r="BL166" s="179"/>
      <c r="BM166" s="179"/>
      <c r="BN166" s="179"/>
      <c r="BO166" s="179"/>
      <c r="BP166" s="179"/>
      <c r="BQ166" s="179"/>
      <c r="BR166" s="179"/>
      <c r="BS166" s="179"/>
      <c r="BT166" s="179"/>
      <c r="BU166" s="179"/>
      <c r="BV166" s="179"/>
      <c r="BW166" s="179"/>
      <c r="BX166" s="179"/>
      <c r="BY166" s="179"/>
      <c r="BZ166" s="179"/>
      <c r="CA166" s="179"/>
      <c r="CB166" s="179"/>
      <c r="CC166" s="179"/>
      <c r="CD166" s="179"/>
      <c r="CE166" s="179"/>
      <c r="CF166" s="179"/>
      <c r="CG166" s="179"/>
      <c r="CH166" s="179"/>
      <c r="CI166" s="179"/>
      <c r="CJ166" s="179"/>
      <c r="CK166" s="179"/>
      <c r="CL166" s="179"/>
      <c r="CM166" s="179"/>
      <c r="CN166" s="179"/>
      <c r="CO166" s="179"/>
      <c r="CP166" s="179"/>
      <c r="CQ166" s="179"/>
      <c r="CR166" s="179"/>
      <c r="CS166" s="179"/>
      <c r="CT166" s="179"/>
      <c r="CU166" s="179"/>
      <c r="CV166" s="179"/>
      <c r="CW166" s="179"/>
    </row>
    <row r="167" spans="1:101" x14ac:dyDescent="0.2">
      <c r="A167" s="32" t="str">
        <f t="shared" ca="1" si="2"/>
        <v>2025-09-16</v>
      </c>
      <c r="B167" s="179">
        <f ca="1">IF(ISNUMBER(MATCH(DATEVALUE($A167),'changes1_based on steps'!B$1:B$400,0)),B$2,)</f>
        <v>0</v>
      </c>
      <c r="C167" s="179">
        <f ca="1">IF(ISNUMBER(MATCH(DATEVALUE($A167),'changes1_based on steps'!C$1:C$400,0)),C$2,)</f>
        <v>0</v>
      </c>
      <c r="D167" s="179">
        <f ca="1">IF(ISNUMBER(MATCH(DATEVALUE($A167),'changes1_based on steps'!D$1:D$400,0)),D$2,)</f>
        <v>0</v>
      </c>
      <c r="E167" s="179">
        <f ca="1">IF(ISNUMBER(MATCH(DATEVALUE($A167),'changes1_based on steps'!E$1:E$400,0)),E$2,)</f>
        <v>0</v>
      </c>
      <c r="F167" s="179">
        <f ca="1">IF(ISNUMBER(MATCH(DATEVALUE($A167),'changes1_based on steps'!F$1:F$400,0)),F$2,)</f>
        <v>0</v>
      </c>
      <c r="G167" s="179">
        <f ca="1">IF(ISNUMBER(MATCH(DATEVALUE($A167),'changes1_based on steps'!G$1:G$400,0)),G$2,)</f>
        <v>0</v>
      </c>
      <c r="H167" s="179">
        <f ca="1">IF(ISNUMBER(MATCH(DATEVALUE($A167),'changes1_based on steps'!H$1:H$400,0)),H$2,)</f>
        <v>0</v>
      </c>
      <c r="I167" s="179">
        <f ca="1">IF(ISNUMBER(MATCH(DATEVALUE($A167),'changes1_based on steps'!I$1:I$400,0)),I$2,)</f>
        <v>0</v>
      </c>
      <c r="J167" s="179">
        <f ca="1">IF(ISNUMBER(MATCH(DATEVALUE($A167),'changes1_based on steps'!J$1:J$400,0)),J$2,)</f>
        <v>0</v>
      </c>
      <c r="K167" s="179">
        <f ca="1">IF(ISNUMBER(MATCH(DATEVALUE($A167),'changes1_based on steps'!K$1:K$400,0)),K$2,)</f>
        <v>0</v>
      </c>
      <c r="L167" s="179">
        <f ca="1">IF(ISNUMBER(MATCH(DATEVALUE($A167),'changes1_based on steps'!L$1:L$400,0)),L$2,)</f>
        <v>0</v>
      </c>
      <c r="M167" s="179">
        <f ca="1">IF(ISNUMBER(MATCH(DATEVALUE($A167),'changes1_based on steps'!M$1:M$400,0)),M$2,)</f>
        <v>0</v>
      </c>
      <c r="N167" s="179">
        <f ca="1">IF(ISNUMBER(MATCH(DATEVALUE($A167),'changes1_based on steps'!N$1:N$400,0)),N$2,)</f>
        <v>0</v>
      </c>
      <c r="O167" s="179">
        <f ca="1">IF(ISNUMBER(MATCH(DATEVALUE($A167),'changes1_based on steps'!O$1:O$400,0)),O$2,)</f>
        <v>0</v>
      </c>
      <c r="P167" s="179">
        <f ca="1">IF(ISNUMBER(MATCH(DATEVALUE($A167),'changes1_based on steps'!P$1:P$400,0)),P$2,)</f>
        <v>0</v>
      </c>
      <c r="Q167" s="179">
        <f ca="1">IF(ISNUMBER(MATCH(DATEVALUE($A167),'changes1_based on steps'!Q$1:Q$400,0)),Q$2,)</f>
        <v>0</v>
      </c>
      <c r="R167" s="179">
        <f ca="1">IF(ISNUMBER(MATCH(DATEVALUE($A167),'changes1_based on steps'!R$1:R$400,0)),R$2,)</f>
        <v>0</v>
      </c>
      <c r="S167" s="179">
        <f ca="1">IF(ISNUMBER(MATCH(DATEVALUE($A167),'changes1_based on steps'!S$1:S$400,0)),S$2,)</f>
        <v>0</v>
      </c>
      <c r="T167" s="179">
        <f ca="1">IF(ISNUMBER(MATCH(DATEVALUE($A167),'changes1_based on steps'!T$1:T$400,0)),T$2,)</f>
        <v>0</v>
      </c>
      <c r="U167" s="179">
        <f ca="1">IF(ISNUMBER(MATCH(DATEVALUE($A167),'changes1_based on steps'!U$1:U$400,0)),U$2,)</f>
        <v>0</v>
      </c>
      <c r="V167" s="179"/>
      <c r="W167" s="179"/>
      <c r="X167" s="179"/>
      <c r="Y167" s="179"/>
      <c r="Z167" s="179"/>
      <c r="AA167" s="179"/>
      <c r="AB167" s="179"/>
      <c r="AC167" s="179"/>
      <c r="AD167" s="179"/>
      <c r="AE167" s="179"/>
      <c r="AF167" s="179"/>
      <c r="AG167" s="179"/>
      <c r="AH167" s="179"/>
      <c r="AI167" s="179"/>
      <c r="AJ167" s="179"/>
      <c r="AK167" s="179"/>
      <c r="AL167" s="179"/>
      <c r="AM167" s="179"/>
      <c r="AN167" s="179"/>
      <c r="AO167" s="179"/>
      <c r="AP167" s="179"/>
      <c r="AQ167" s="179"/>
      <c r="AR167" s="179"/>
      <c r="AS167" s="179"/>
      <c r="AT167" s="179"/>
      <c r="AU167" s="179"/>
      <c r="AV167" s="179"/>
      <c r="AW167" s="179"/>
      <c r="AX167" s="179"/>
      <c r="AY167" s="179"/>
      <c r="AZ167" s="179"/>
      <c r="BA167" s="179"/>
      <c r="BB167" s="179"/>
      <c r="BC167" s="179"/>
      <c r="BD167" s="179"/>
      <c r="BE167" s="179"/>
      <c r="BF167" s="179"/>
      <c r="BG167" s="179"/>
      <c r="BH167" s="179"/>
      <c r="BI167" s="179"/>
      <c r="BJ167" s="179"/>
      <c r="BK167" s="179"/>
      <c r="BL167" s="179"/>
      <c r="BM167" s="179"/>
      <c r="BN167" s="179"/>
      <c r="BO167" s="179"/>
      <c r="BP167" s="179"/>
      <c r="BQ167" s="179"/>
      <c r="BR167" s="179"/>
      <c r="BS167" s="179"/>
      <c r="BT167" s="179"/>
      <c r="BU167" s="179"/>
      <c r="BV167" s="179"/>
      <c r="BW167" s="179"/>
      <c r="BX167" s="179"/>
      <c r="BY167" s="179"/>
      <c r="BZ167" s="179"/>
      <c r="CA167" s="179"/>
      <c r="CB167" s="179"/>
      <c r="CC167" s="179"/>
      <c r="CD167" s="179"/>
      <c r="CE167" s="179"/>
      <c r="CF167" s="179"/>
      <c r="CG167" s="179"/>
      <c r="CH167" s="179"/>
      <c r="CI167" s="179"/>
      <c r="CJ167" s="179"/>
      <c r="CK167" s="179"/>
      <c r="CL167" s="179"/>
      <c r="CM167" s="179"/>
      <c r="CN167" s="179"/>
      <c r="CO167" s="179"/>
      <c r="CP167" s="179"/>
      <c r="CQ167" s="179"/>
      <c r="CR167" s="179"/>
      <c r="CS167" s="179"/>
      <c r="CT167" s="179"/>
      <c r="CU167" s="179"/>
      <c r="CV167" s="179"/>
      <c r="CW167" s="179"/>
    </row>
    <row r="168" spans="1:101" x14ac:dyDescent="0.2">
      <c r="A168" s="32" t="str">
        <f t="shared" ca="1" si="2"/>
        <v>2025-09-17</v>
      </c>
      <c r="B168" s="179">
        <f ca="1">IF(ISNUMBER(MATCH(DATEVALUE($A168),'changes1_based on steps'!B$1:B$400,0)),B$2,)</f>
        <v>0</v>
      </c>
      <c r="C168" s="179">
        <f ca="1">IF(ISNUMBER(MATCH(DATEVALUE($A168),'changes1_based on steps'!C$1:C$400,0)),C$2,)</f>
        <v>0</v>
      </c>
      <c r="D168" s="179">
        <f ca="1">IF(ISNUMBER(MATCH(DATEVALUE($A168),'changes1_based on steps'!D$1:D$400,0)),D$2,)</f>
        <v>0</v>
      </c>
      <c r="E168" s="179">
        <f ca="1">IF(ISNUMBER(MATCH(DATEVALUE($A168),'changes1_based on steps'!E$1:E$400,0)),E$2,)</f>
        <v>0</v>
      </c>
      <c r="F168" s="179">
        <f ca="1">IF(ISNUMBER(MATCH(DATEVALUE($A168),'changes1_based on steps'!F$1:F$400,0)),F$2,)</f>
        <v>0</v>
      </c>
      <c r="G168" s="179">
        <f ca="1">IF(ISNUMBER(MATCH(DATEVALUE($A168),'changes1_based on steps'!G$1:G$400,0)),G$2,)</f>
        <v>0</v>
      </c>
      <c r="H168" s="179">
        <f ca="1">IF(ISNUMBER(MATCH(DATEVALUE($A168),'changes1_based on steps'!H$1:H$400,0)),H$2,)</f>
        <v>0</v>
      </c>
      <c r="I168" s="179">
        <f ca="1">IF(ISNUMBER(MATCH(DATEVALUE($A168),'changes1_based on steps'!I$1:I$400,0)),I$2,)</f>
        <v>0</v>
      </c>
      <c r="J168" s="179">
        <f ca="1">IF(ISNUMBER(MATCH(DATEVALUE($A168),'changes1_based on steps'!J$1:J$400,0)),J$2,)</f>
        <v>0</v>
      </c>
      <c r="K168" s="179">
        <f ca="1">IF(ISNUMBER(MATCH(DATEVALUE($A168),'changes1_based on steps'!K$1:K$400,0)),K$2,)</f>
        <v>0</v>
      </c>
      <c r="L168" s="179">
        <f ca="1">IF(ISNUMBER(MATCH(DATEVALUE($A168),'changes1_based on steps'!L$1:L$400,0)),L$2,)</f>
        <v>0</v>
      </c>
      <c r="M168" s="179">
        <f ca="1">IF(ISNUMBER(MATCH(DATEVALUE($A168),'changes1_based on steps'!M$1:M$400,0)),M$2,)</f>
        <v>0</v>
      </c>
      <c r="N168" s="179">
        <f ca="1">IF(ISNUMBER(MATCH(DATEVALUE($A168),'changes1_based on steps'!N$1:N$400,0)),N$2,)</f>
        <v>0</v>
      </c>
      <c r="O168" s="179">
        <f ca="1">IF(ISNUMBER(MATCH(DATEVALUE($A168),'changes1_based on steps'!O$1:O$400,0)),O$2,)</f>
        <v>0</v>
      </c>
      <c r="P168" s="179">
        <f ca="1">IF(ISNUMBER(MATCH(DATEVALUE($A168),'changes1_based on steps'!P$1:P$400,0)),P$2,)</f>
        <v>0</v>
      </c>
      <c r="Q168" s="179">
        <f ca="1">IF(ISNUMBER(MATCH(DATEVALUE($A168),'changes1_based on steps'!Q$1:Q$400,0)),Q$2,)</f>
        <v>0</v>
      </c>
      <c r="R168" s="179">
        <f ca="1">IF(ISNUMBER(MATCH(DATEVALUE($A168),'changes1_based on steps'!R$1:R$400,0)),R$2,)</f>
        <v>0</v>
      </c>
      <c r="S168" s="179">
        <f ca="1">IF(ISNUMBER(MATCH(DATEVALUE($A168),'changes1_based on steps'!S$1:S$400,0)),S$2,)</f>
        <v>0</v>
      </c>
      <c r="T168" s="179">
        <f ca="1">IF(ISNUMBER(MATCH(DATEVALUE($A168),'changes1_based on steps'!T$1:T$400,0)),T$2,)</f>
        <v>0</v>
      </c>
      <c r="U168" s="179">
        <f ca="1">IF(ISNUMBER(MATCH(DATEVALUE($A168),'changes1_based on steps'!U$1:U$400,0)),U$2,)</f>
        <v>0</v>
      </c>
      <c r="V168" s="179"/>
      <c r="W168" s="179"/>
      <c r="X168" s="179"/>
      <c r="Y168" s="179"/>
      <c r="Z168" s="179"/>
      <c r="AA168" s="179"/>
      <c r="AB168" s="179"/>
      <c r="AC168" s="179"/>
      <c r="AD168" s="179"/>
      <c r="AE168" s="179"/>
      <c r="AF168" s="179"/>
      <c r="AG168" s="179"/>
      <c r="AH168" s="179"/>
      <c r="AI168" s="179"/>
      <c r="AJ168" s="179"/>
      <c r="AK168" s="179"/>
      <c r="AL168" s="179"/>
      <c r="AM168" s="179"/>
      <c r="AN168" s="179"/>
      <c r="AO168" s="179"/>
      <c r="AP168" s="179"/>
      <c r="AQ168" s="179"/>
      <c r="AR168" s="179"/>
      <c r="AS168" s="179"/>
      <c r="AT168" s="179"/>
      <c r="AU168" s="179"/>
      <c r="AV168" s="179"/>
      <c r="AW168" s="179"/>
      <c r="AX168" s="179"/>
      <c r="AY168" s="179"/>
      <c r="AZ168" s="179"/>
      <c r="BA168" s="179"/>
      <c r="BB168" s="179"/>
      <c r="BC168" s="179"/>
      <c r="BD168" s="179"/>
      <c r="BE168" s="179"/>
      <c r="BF168" s="179"/>
      <c r="BG168" s="179"/>
      <c r="BH168" s="179"/>
      <c r="BI168" s="179"/>
      <c r="BJ168" s="179"/>
      <c r="BK168" s="179"/>
      <c r="BL168" s="179"/>
      <c r="BM168" s="179"/>
      <c r="BN168" s="179"/>
      <c r="BO168" s="179"/>
      <c r="BP168" s="179"/>
      <c r="BQ168" s="179"/>
      <c r="BR168" s="179"/>
      <c r="BS168" s="179"/>
      <c r="BT168" s="179"/>
      <c r="BU168" s="179"/>
      <c r="BV168" s="179"/>
      <c r="BW168" s="179"/>
      <c r="BX168" s="179"/>
      <c r="BY168" s="179"/>
      <c r="BZ168" s="179"/>
      <c r="CA168" s="179"/>
      <c r="CB168" s="179"/>
      <c r="CC168" s="179"/>
      <c r="CD168" s="179"/>
      <c r="CE168" s="179"/>
      <c r="CF168" s="179"/>
      <c r="CG168" s="179"/>
      <c r="CH168" s="179"/>
      <c r="CI168" s="179"/>
      <c r="CJ168" s="179"/>
      <c r="CK168" s="179"/>
      <c r="CL168" s="179"/>
      <c r="CM168" s="179"/>
      <c r="CN168" s="179"/>
      <c r="CO168" s="179"/>
      <c r="CP168" s="179"/>
      <c r="CQ168" s="179"/>
      <c r="CR168" s="179"/>
      <c r="CS168" s="179"/>
      <c r="CT168" s="179"/>
      <c r="CU168" s="179"/>
      <c r="CV168" s="179"/>
      <c r="CW168" s="179"/>
    </row>
    <row r="169" spans="1:101" x14ac:dyDescent="0.2">
      <c r="A169" s="32" t="str">
        <f t="shared" ca="1" si="2"/>
        <v>2025-09-18</v>
      </c>
      <c r="B169" s="179">
        <f ca="1">IF(ISNUMBER(MATCH(DATEVALUE($A169),'changes1_based on steps'!B$1:B$400,0)),B$2,)</f>
        <v>0</v>
      </c>
      <c r="C169" s="179">
        <f ca="1">IF(ISNUMBER(MATCH(DATEVALUE($A169),'changes1_based on steps'!C$1:C$400,0)),C$2,)</f>
        <v>0</v>
      </c>
      <c r="D169" s="179">
        <f ca="1">IF(ISNUMBER(MATCH(DATEVALUE($A169),'changes1_based on steps'!D$1:D$400,0)),D$2,)</f>
        <v>0</v>
      </c>
      <c r="E169" s="179">
        <f ca="1">IF(ISNUMBER(MATCH(DATEVALUE($A169),'changes1_based on steps'!E$1:E$400,0)),E$2,)</f>
        <v>0</v>
      </c>
      <c r="F169" s="179">
        <f ca="1">IF(ISNUMBER(MATCH(DATEVALUE($A169),'changes1_based on steps'!F$1:F$400,0)),F$2,)</f>
        <v>0</v>
      </c>
      <c r="G169" s="179">
        <f ca="1">IF(ISNUMBER(MATCH(DATEVALUE($A169),'changes1_based on steps'!G$1:G$400,0)),G$2,)</f>
        <v>0</v>
      </c>
      <c r="H169" s="179">
        <f ca="1">IF(ISNUMBER(MATCH(DATEVALUE($A169),'changes1_based on steps'!H$1:H$400,0)),H$2,)</f>
        <v>0</v>
      </c>
      <c r="I169" s="179">
        <f ca="1">IF(ISNUMBER(MATCH(DATEVALUE($A169),'changes1_based on steps'!I$1:I$400,0)),I$2,)</f>
        <v>0</v>
      </c>
      <c r="J169" s="179">
        <f ca="1">IF(ISNUMBER(MATCH(DATEVALUE($A169),'changes1_based on steps'!J$1:J$400,0)),J$2,)</f>
        <v>0</v>
      </c>
      <c r="K169" s="179">
        <f ca="1">IF(ISNUMBER(MATCH(DATEVALUE($A169),'changes1_based on steps'!K$1:K$400,0)),K$2,)</f>
        <v>0</v>
      </c>
      <c r="L169" s="179">
        <f ca="1">IF(ISNUMBER(MATCH(DATEVALUE($A169),'changes1_based on steps'!L$1:L$400,0)),L$2,)</f>
        <v>0</v>
      </c>
      <c r="M169" s="179">
        <f ca="1">IF(ISNUMBER(MATCH(DATEVALUE($A169),'changes1_based on steps'!M$1:M$400,0)),M$2,)</f>
        <v>0</v>
      </c>
      <c r="N169" s="179">
        <f ca="1">IF(ISNUMBER(MATCH(DATEVALUE($A169),'changes1_based on steps'!N$1:N$400,0)),N$2,)</f>
        <v>0</v>
      </c>
      <c r="O169" s="179">
        <f ca="1">IF(ISNUMBER(MATCH(DATEVALUE($A169),'changes1_based on steps'!O$1:O$400,0)),O$2,)</f>
        <v>0</v>
      </c>
      <c r="P169" s="179">
        <f ca="1">IF(ISNUMBER(MATCH(DATEVALUE($A169),'changes1_based on steps'!P$1:P$400,0)),P$2,)</f>
        <v>0</v>
      </c>
      <c r="Q169" s="179">
        <f ca="1">IF(ISNUMBER(MATCH(DATEVALUE($A169),'changes1_based on steps'!Q$1:Q$400,0)),Q$2,)</f>
        <v>0</v>
      </c>
      <c r="R169" s="179">
        <f ca="1">IF(ISNUMBER(MATCH(DATEVALUE($A169),'changes1_based on steps'!R$1:R$400,0)),R$2,)</f>
        <v>0</v>
      </c>
      <c r="S169" s="179">
        <f ca="1">IF(ISNUMBER(MATCH(DATEVALUE($A169),'changes1_based on steps'!S$1:S$400,0)),S$2,)</f>
        <v>0</v>
      </c>
      <c r="T169" s="179">
        <f ca="1">IF(ISNUMBER(MATCH(DATEVALUE($A169),'changes1_based on steps'!T$1:T$400,0)),T$2,)</f>
        <v>0</v>
      </c>
      <c r="U169" s="179">
        <f ca="1">IF(ISNUMBER(MATCH(DATEVALUE($A169),'changes1_based on steps'!U$1:U$400,0)),U$2,)</f>
        <v>0</v>
      </c>
      <c r="V169" s="179"/>
      <c r="W169" s="179"/>
      <c r="X169" s="179"/>
      <c r="Y169" s="179"/>
      <c r="Z169" s="179"/>
      <c r="AA169" s="179"/>
      <c r="AB169" s="179"/>
      <c r="AC169" s="179"/>
      <c r="AD169" s="179"/>
      <c r="AE169" s="179"/>
      <c r="AF169" s="179"/>
      <c r="AG169" s="179"/>
      <c r="AH169" s="179"/>
      <c r="AI169" s="179"/>
      <c r="AJ169" s="179"/>
      <c r="AK169" s="179"/>
      <c r="AL169" s="179"/>
      <c r="AM169" s="179"/>
      <c r="AN169" s="179"/>
      <c r="AO169" s="179"/>
      <c r="AP169" s="179"/>
      <c r="AQ169" s="179"/>
      <c r="AR169" s="179"/>
      <c r="AS169" s="179"/>
      <c r="AT169" s="179"/>
      <c r="AU169" s="179"/>
      <c r="AV169" s="179"/>
      <c r="AW169" s="179"/>
      <c r="AX169" s="179"/>
      <c r="AY169" s="179"/>
      <c r="AZ169" s="179"/>
      <c r="BA169" s="179"/>
      <c r="BB169" s="179"/>
      <c r="BC169" s="179"/>
      <c r="BD169" s="179"/>
      <c r="BE169" s="179"/>
      <c r="BF169" s="179"/>
      <c r="BG169" s="179"/>
      <c r="BH169" s="179"/>
      <c r="BI169" s="179"/>
      <c r="BJ169" s="179"/>
      <c r="BK169" s="179"/>
      <c r="BL169" s="179"/>
      <c r="BM169" s="179"/>
      <c r="BN169" s="179"/>
      <c r="BO169" s="179"/>
      <c r="BP169" s="179"/>
      <c r="BQ169" s="179"/>
      <c r="BR169" s="179"/>
      <c r="BS169" s="179"/>
      <c r="BT169" s="179"/>
      <c r="BU169" s="179"/>
      <c r="BV169" s="179"/>
      <c r="BW169" s="179"/>
      <c r="BX169" s="179"/>
      <c r="BY169" s="179"/>
      <c r="BZ169" s="179"/>
      <c r="CA169" s="179"/>
      <c r="CB169" s="179"/>
      <c r="CC169" s="179"/>
      <c r="CD169" s="179"/>
      <c r="CE169" s="179"/>
      <c r="CF169" s="179"/>
      <c r="CG169" s="179"/>
      <c r="CH169" s="179"/>
      <c r="CI169" s="179"/>
      <c r="CJ169" s="179"/>
      <c r="CK169" s="179"/>
      <c r="CL169" s="179"/>
      <c r="CM169" s="179"/>
      <c r="CN169" s="179"/>
      <c r="CO169" s="179"/>
      <c r="CP169" s="179"/>
      <c r="CQ169" s="179"/>
      <c r="CR169" s="179"/>
      <c r="CS169" s="179"/>
      <c r="CT169" s="179"/>
      <c r="CU169" s="179"/>
      <c r="CV169" s="179"/>
      <c r="CW169" s="179"/>
    </row>
    <row r="170" spans="1:101" x14ac:dyDescent="0.2">
      <c r="A170" s="32" t="str">
        <f t="shared" ca="1" si="2"/>
        <v>2025-09-19</v>
      </c>
      <c r="B170" s="179">
        <f ca="1">IF(ISNUMBER(MATCH(DATEVALUE($A170),'changes1_based on steps'!B$1:B$400,0)),B$2,)</f>
        <v>0</v>
      </c>
      <c r="C170" s="179">
        <f ca="1">IF(ISNUMBER(MATCH(DATEVALUE($A170),'changes1_based on steps'!C$1:C$400,0)),C$2,)</f>
        <v>0</v>
      </c>
      <c r="D170" s="179">
        <f ca="1">IF(ISNUMBER(MATCH(DATEVALUE($A170),'changes1_based on steps'!D$1:D$400,0)),D$2,)</f>
        <v>0</v>
      </c>
      <c r="E170" s="179">
        <f ca="1">IF(ISNUMBER(MATCH(DATEVALUE($A170),'changes1_based on steps'!E$1:E$400,0)),E$2,)</f>
        <v>0</v>
      </c>
      <c r="F170" s="179">
        <f ca="1">IF(ISNUMBER(MATCH(DATEVALUE($A170),'changes1_based on steps'!F$1:F$400,0)),F$2,)</f>
        <v>0</v>
      </c>
      <c r="G170" s="179">
        <f ca="1">IF(ISNUMBER(MATCH(DATEVALUE($A170),'changes1_based on steps'!G$1:G$400,0)),G$2,)</f>
        <v>0</v>
      </c>
      <c r="H170" s="179">
        <f ca="1">IF(ISNUMBER(MATCH(DATEVALUE($A170),'changes1_based on steps'!H$1:H$400,0)),H$2,)</f>
        <v>0</v>
      </c>
      <c r="I170" s="179">
        <f ca="1">IF(ISNUMBER(MATCH(DATEVALUE($A170),'changes1_based on steps'!I$1:I$400,0)),I$2,)</f>
        <v>0</v>
      </c>
      <c r="J170" s="179">
        <f ca="1">IF(ISNUMBER(MATCH(DATEVALUE($A170),'changes1_based on steps'!J$1:J$400,0)),J$2,)</f>
        <v>0</v>
      </c>
      <c r="K170" s="179">
        <f ca="1">IF(ISNUMBER(MATCH(DATEVALUE($A170),'changes1_based on steps'!K$1:K$400,0)),K$2,)</f>
        <v>0</v>
      </c>
      <c r="L170" s="179">
        <f ca="1">IF(ISNUMBER(MATCH(DATEVALUE($A170),'changes1_based on steps'!L$1:L$400,0)),L$2,)</f>
        <v>0</v>
      </c>
      <c r="M170" s="179">
        <f ca="1">IF(ISNUMBER(MATCH(DATEVALUE($A170),'changes1_based on steps'!M$1:M$400,0)),M$2,)</f>
        <v>0</v>
      </c>
      <c r="N170" s="179">
        <f ca="1">IF(ISNUMBER(MATCH(DATEVALUE($A170),'changes1_based on steps'!N$1:N$400,0)),N$2,)</f>
        <v>0</v>
      </c>
      <c r="O170" s="179">
        <f ca="1">IF(ISNUMBER(MATCH(DATEVALUE($A170),'changes1_based on steps'!O$1:O$400,0)),O$2,)</f>
        <v>0</v>
      </c>
      <c r="P170" s="179">
        <f ca="1">IF(ISNUMBER(MATCH(DATEVALUE($A170),'changes1_based on steps'!P$1:P$400,0)),P$2,)</f>
        <v>0</v>
      </c>
      <c r="Q170" s="179">
        <f ca="1">IF(ISNUMBER(MATCH(DATEVALUE($A170),'changes1_based on steps'!Q$1:Q$400,0)),Q$2,)</f>
        <v>0</v>
      </c>
      <c r="R170" s="179">
        <f ca="1">IF(ISNUMBER(MATCH(DATEVALUE($A170),'changes1_based on steps'!R$1:R$400,0)),R$2,)</f>
        <v>0</v>
      </c>
      <c r="S170" s="179">
        <f ca="1">IF(ISNUMBER(MATCH(DATEVALUE($A170),'changes1_based on steps'!S$1:S$400,0)),S$2,)</f>
        <v>0</v>
      </c>
      <c r="T170" s="179">
        <f ca="1">IF(ISNUMBER(MATCH(DATEVALUE($A170),'changes1_based on steps'!T$1:T$400,0)),T$2,)</f>
        <v>0</v>
      </c>
      <c r="U170" s="179">
        <f ca="1">IF(ISNUMBER(MATCH(DATEVALUE($A170),'changes1_based on steps'!U$1:U$400,0)),U$2,)</f>
        <v>0</v>
      </c>
      <c r="V170" s="179"/>
      <c r="W170" s="179"/>
      <c r="X170" s="179"/>
      <c r="Y170" s="179"/>
      <c r="Z170" s="179"/>
      <c r="AA170" s="179"/>
      <c r="AB170" s="179"/>
      <c r="AC170" s="179"/>
      <c r="AD170" s="179"/>
      <c r="AE170" s="179"/>
      <c r="AF170" s="179"/>
      <c r="AG170" s="179"/>
      <c r="AH170" s="179"/>
      <c r="AI170" s="179"/>
      <c r="AJ170" s="179"/>
      <c r="AK170" s="179"/>
      <c r="AL170" s="179"/>
      <c r="AM170" s="179"/>
      <c r="AN170" s="179"/>
      <c r="AO170" s="179"/>
      <c r="AP170" s="179"/>
      <c r="AQ170" s="179"/>
      <c r="AR170" s="179"/>
      <c r="AS170" s="179"/>
      <c r="AT170" s="179"/>
      <c r="AU170" s="179"/>
      <c r="AV170" s="179"/>
      <c r="AW170" s="179"/>
      <c r="AX170" s="179"/>
      <c r="AY170" s="179"/>
      <c r="AZ170" s="179"/>
      <c r="BA170" s="179"/>
      <c r="BB170" s="179"/>
      <c r="BC170" s="179"/>
      <c r="BD170" s="179"/>
      <c r="BE170" s="179"/>
      <c r="BF170" s="179"/>
      <c r="BG170" s="179"/>
      <c r="BH170" s="179"/>
      <c r="BI170" s="179"/>
      <c r="BJ170" s="179"/>
      <c r="BK170" s="179"/>
      <c r="BL170" s="179"/>
      <c r="BM170" s="179"/>
      <c r="BN170" s="179"/>
      <c r="BO170" s="179"/>
      <c r="BP170" s="179"/>
      <c r="BQ170" s="179"/>
      <c r="BR170" s="179"/>
      <c r="BS170" s="179"/>
      <c r="BT170" s="179"/>
      <c r="BU170" s="179"/>
      <c r="BV170" s="179"/>
      <c r="BW170" s="179"/>
      <c r="BX170" s="179"/>
      <c r="BY170" s="179"/>
      <c r="BZ170" s="179"/>
      <c r="CA170" s="179"/>
      <c r="CB170" s="179"/>
      <c r="CC170" s="179"/>
      <c r="CD170" s="179"/>
      <c r="CE170" s="179"/>
      <c r="CF170" s="179"/>
      <c r="CG170" s="179"/>
      <c r="CH170" s="179"/>
      <c r="CI170" s="179"/>
      <c r="CJ170" s="179"/>
      <c r="CK170" s="179"/>
      <c r="CL170" s="179"/>
      <c r="CM170" s="179"/>
      <c r="CN170" s="179"/>
      <c r="CO170" s="179"/>
      <c r="CP170" s="179"/>
      <c r="CQ170" s="179"/>
      <c r="CR170" s="179"/>
      <c r="CS170" s="179"/>
      <c r="CT170" s="179"/>
      <c r="CU170" s="179"/>
      <c r="CV170" s="179"/>
      <c r="CW170" s="179"/>
    </row>
    <row r="171" spans="1:101" x14ac:dyDescent="0.2">
      <c r="A171" s="32" t="str">
        <f t="shared" ca="1" si="2"/>
        <v>2025-09-20</v>
      </c>
      <c r="B171" s="179">
        <f ca="1">IF(ISNUMBER(MATCH(DATEVALUE($A171),'changes1_based on steps'!B$1:B$400,0)),B$2,)</f>
        <v>0</v>
      </c>
      <c r="C171" s="179">
        <f ca="1">IF(ISNUMBER(MATCH(DATEVALUE($A171),'changes1_based on steps'!C$1:C$400,0)),C$2,)</f>
        <v>0</v>
      </c>
      <c r="D171" s="179">
        <f ca="1">IF(ISNUMBER(MATCH(DATEVALUE($A171),'changes1_based on steps'!D$1:D$400,0)),D$2,)</f>
        <v>0</v>
      </c>
      <c r="E171" s="179">
        <f ca="1">IF(ISNUMBER(MATCH(DATEVALUE($A171),'changes1_based on steps'!E$1:E$400,0)),E$2,)</f>
        <v>0</v>
      </c>
      <c r="F171" s="179">
        <f ca="1">IF(ISNUMBER(MATCH(DATEVALUE($A171),'changes1_based on steps'!F$1:F$400,0)),F$2,)</f>
        <v>0</v>
      </c>
      <c r="G171" s="179">
        <f ca="1">IF(ISNUMBER(MATCH(DATEVALUE($A171),'changes1_based on steps'!G$1:G$400,0)),G$2,)</f>
        <v>0</v>
      </c>
      <c r="H171" s="179">
        <f ca="1">IF(ISNUMBER(MATCH(DATEVALUE($A171),'changes1_based on steps'!H$1:H$400,0)),H$2,)</f>
        <v>0</v>
      </c>
      <c r="I171" s="179">
        <f ca="1">IF(ISNUMBER(MATCH(DATEVALUE($A171),'changes1_based on steps'!I$1:I$400,0)),I$2,)</f>
        <v>0</v>
      </c>
      <c r="J171" s="179">
        <f ca="1">IF(ISNUMBER(MATCH(DATEVALUE($A171),'changes1_based on steps'!J$1:J$400,0)),J$2,)</f>
        <v>0</v>
      </c>
      <c r="K171" s="179">
        <f ca="1">IF(ISNUMBER(MATCH(DATEVALUE($A171),'changes1_based on steps'!K$1:K$400,0)),K$2,)</f>
        <v>0</v>
      </c>
      <c r="L171" s="179">
        <f ca="1">IF(ISNUMBER(MATCH(DATEVALUE($A171),'changes1_based on steps'!L$1:L$400,0)),L$2,)</f>
        <v>0</v>
      </c>
      <c r="M171" s="179">
        <f ca="1">IF(ISNUMBER(MATCH(DATEVALUE($A171),'changes1_based on steps'!M$1:M$400,0)),M$2,)</f>
        <v>0</v>
      </c>
      <c r="N171" s="179">
        <f ca="1">IF(ISNUMBER(MATCH(DATEVALUE($A171),'changes1_based on steps'!N$1:N$400,0)),N$2,)</f>
        <v>0</v>
      </c>
      <c r="O171" s="179">
        <f ca="1">IF(ISNUMBER(MATCH(DATEVALUE($A171),'changes1_based on steps'!O$1:O$400,0)),O$2,)</f>
        <v>0</v>
      </c>
      <c r="P171" s="179">
        <f ca="1">IF(ISNUMBER(MATCH(DATEVALUE($A171),'changes1_based on steps'!P$1:P$400,0)),P$2,)</f>
        <v>0</v>
      </c>
      <c r="Q171" s="179">
        <f ca="1">IF(ISNUMBER(MATCH(DATEVALUE($A171),'changes1_based on steps'!Q$1:Q$400,0)),Q$2,)</f>
        <v>0</v>
      </c>
      <c r="R171" s="179">
        <f ca="1">IF(ISNUMBER(MATCH(DATEVALUE($A171),'changes1_based on steps'!R$1:R$400,0)),R$2,)</f>
        <v>0</v>
      </c>
      <c r="S171" s="179">
        <f ca="1">IF(ISNUMBER(MATCH(DATEVALUE($A171),'changes1_based on steps'!S$1:S$400,0)),S$2,)</f>
        <v>0</v>
      </c>
      <c r="T171" s="179">
        <f ca="1">IF(ISNUMBER(MATCH(DATEVALUE($A171),'changes1_based on steps'!T$1:T$400,0)),T$2,)</f>
        <v>0</v>
      </c>
      <c r="U171" s="179">
        <f ca="1">IF(ISNUMBER(MATCH(DATEVALUE($A171),'changes1_based on steps'!U$1:U$400,0)),U$2,)</f>
        <v>0</v>
      </c>
      <c r="V171" s="179"/>
      <c r="W171" s="179"/>
      <c r="X171" s="179"/>
      <c r="Y171" s="179"/>
      <c r="Z171" s="179"/>
      <c r="AA171" s="179"/>
      <c r="AB171" s="179"/>
      <c r="AC171" s="179"/>
      <c r="AD171" s="179"/>
      <c r="AE171" s="179"/>
      <c r="AF171" s="179"/>
      <c r="AG171" s="179"/>
      <c r="AH171" s="179"/>
      <c r="AI171" s="179"/>
      <c r="AJ171" s="179"/>
      <c r="AK171" s="179"/>
      <c r="AL171" s="179"/>
      <c r="AM171" s="179"/>
      <c r="AN171" s="179"/>
      <c r="AO171" s="179"/>
      <c r="AP171" s="179"/>
      <c r="AQ171" s="179"/>
      <c r="AR171" s="179"/>
      <c r="AS171" s="179"/>
      <c r="AT171" s="179"/>
      <c r="AU171" s="179"/>
      <c r="AV171" s="179"/>
      <c r="AW171" s="179"/>
      <c r="AX171" s="179"/>
      <c r="AY171" s="179"/>
      <c r="AZ171" s="179"/>
      <c r="BA171" s="179"/>
      <c r="BB171" s="179"/>
      <c r="BC171" s="179"/>
      <c r="BD171" s="179"/>
      <c r="BE171" s="179"/>
      <c r="BF171" s="179"/>
      <c r="BG171" s="179"/>
      <c r="BH171" s="179"/>
      <c r="BI171" s="179"/>
      <c r="BJ171" s="179"/>
      <c r="BK171" s="179"/>
      <c r="BL171" s="179"/>
      <c r="BM171" s="179"/>
      <c r="BN171" s="179"/>
      <c r="BO171" s="179"/>
      <c r="BP171" s="179"/>
      <c r="BQ171" s="179"/>
      <c r="BR171" s="179"/>
      <c r="BS171" s="179"/>
      <c r="BT171" s="179"/>
      <c r="BU171" s="179"/>
      <c r="BV171" s="179"/>
      <c r="BW171" s="179"/>
      <c r="BX171" s="179"/>
      <c r="BY171" s="179"/>
      <c r="BZ171" s="179"/>
      <c r="CA171" s="179"/>
      <c r="CB171" s="179"/>
      <c r="CC171" s="179"/>
      <c r="CD171" s="179"/>
      <c r="CE171" s="179"/>
      <c r="CF171" s="179"/>
      <c r="CG171" s="179"/>
      <c r="CH171" s="179"/>
      <c r="CI171" s="179"/>
      <c r="CJ171" s="179"/>
      <c r="CK171" s="179"/>
      <c r="CL171" s="179"/>
      <c r="CM171" s="179"/>
      <c r="CN171" s="179"/>
      <c r="CO171" s="179"/>
      <c r="CP171" s="179"/>
      <c r="CQ171" s="179"/>
      <c r="CR171" s="179"/>
      <c r="CS171" s="179"/>
      <c r="CT171" s="179"/>
      <c r="CU171" s="179"/>
      <c r="CV171" s="179"/>
      <c r="CW171" s="179"/>
    </row>
    <row r="172" spans="1:101" x14ac:dyDescent="0.2">
      <c r="A172" s="32" t="str">
        <f t="shared" ca="1" si="2"/>
        <v>2025-09-21</v>
      </c>
      <c r="B172" s="179">
        <f ca="1">IF(ISNUMBER(MATCH(DATEVALUE($A172),'changes1_based on steps'!B$1:B$400,0)),B$2,)</f>
        <v>0</v>
      </c>
      <c r="C172" s="179">
        <f ca="1">IF(ISNUMBER(MATCH(DATEVALUE($A172),'changes1_based on steps'!C$1:C$400,0)),C$2,)</f>
        <v>0</v>
      </c>
      <c r="D172" s="179">
        <f ca="1">IF(ISNUMBER(MATCH(DATEVALUE($A172),'changes1_based on steps'!D$1:D$400,0)),D$2,)</f>
        <v>0</v>
      </c>
      <c r="E172" s="179">
        <f ca="1">IF(ISNUMBER(MATCH(DATEVALUE($A172),'changes1_based on steps'!E$1:E$400,0)),E$2,)</f>
        <v>0</v>
      </c>
      <c r="F172" s="179">
        <f ca="1">IF(ISNUMBER(MATCH(DATEVALUE($A172),'changes1_based on steps'!F$1:F$400,0)),F$2,)</f>
        <v>0</v>
      </c>
      <c r="G172" s="179">
        <f ca="1">IF(ISNUMBER(MATCH(DATEVALUE($A172),'changes1_based on steps'!G$1:G$400,0)),G$2,)</f>
        <v>0</v>
      </c>
      <c r="H172" s="179">
        <f ca="1">IF(ISNUMBER(MATCH(DATEVALUE($A172),'changes1_based on steps'!H$1:H$400,0)),H$2,)</f>
        <v>0</v>
      </c>
      <c r="I172" s="179">
        <f ca="1">IF(ISNUMBER(MATCH(DATEVALUE($A172),'changes1_based on steps'!I$1:I$400,0)),I$2,)</f>
        <v>0</v>
      </c>
      <c r="J172" s="179">
        <f ca="1">IF(ISNUMBER(MATCH(DATEVALUE($A172),'changes1_based on steps'!J$1:J$400,0)),J$2,)</f>
        <v>0</v>
      </c>
      <c r="K172" s="179">
        <f ca="1">IF(ISNUMBER(MATCH(DATEVALUE($A172),'changes1_based on steps'!K$1:K$400,0)),K$2,)</f>
        <v>0</v>
      </c>
      <c r="L172" s="179">
        <f ca="1">IF(ISNUMBER(MATCH(DATEVALUE($A172),'changes1_based on steps'!L$1:L$400,0)),L$2,)</f>
        <v>0</v>
      </c>
      <c r="M172" s="179">
        <f ca="1">IF(ISNUMBER(MATCH(DATEVALUE($A172),'changes1_based on steps'!M$1:M$400,0)),M$2,)</f>
        <v>0</v>
      </c>
      <c r="N172" s="179">
        <f ca="1">IF(ISNUMBER(MATCH(DATEVALUE($A172),'changes1_based on steps'!N$1:N$400,0)),N$2,)</f>
        <v>0</v>
      </c>
      <c r="O172" s="179">
        <f ca="1">IF(ISNUMBER(MATCH(DATEVALUE($A172),'changes1_based on steps'!O$1:O$400,0)),O$2,)</f>
        <v>0</v>
      </c>
      <c r="P172" s="179">
        <f ca="1">IF(ISNUMBER(MATCH(DATEVALUE($A172),'changes1_based on steps'!P$1:P$400,0)),P$2,)</f>
        <v>0</v>
      </c>
      <c r="Q172" s="179">
        <f ca="1">IF(ISNUMBER(MATCH(DATEVALUE($A172),'changes1_based on steps'!Q$1:Q$400,0)),Q$2,)</f>
        <v>0</v>
      </c>
      <c r="R172" s="179">
        <f ca="1">IF(ISNUMBER(MATCH(DATEVALUE($A172),'changes1_based on steps'!R$1:R$400,0)),R$2,)</f>
        <v>0</v>
      </c>
      <c r="S172" s="179">
        <f ca="1">IF(ISNUMBER(MATCH(DATEVALUE($A172),'changes1_based on steps'!S$1:S$400,0)),S$2,)</f>
        <v>0</v>
      </c>
      <c r="T172" s="179">
        <f ca="1">IF(ISNUMBER(MATCH(DATEVALUE($A172),'changes1_based on steps'!T$1:T$400,0)),T$2,)</f>
        <v>0</v>
      </c>
      <c r="U172" s="179">
        <f ca="1">IF(ISNUMBER(MATCH(DATEVALUE($A172),'changes1_based on steps'!U$1:U$400,0)),U$2,)</f>
        <v>0</v>
      </c>
      <c r="V172" s="179"/>
      <c r="W172" s="179"/>
      <c r="X172" s="179"/>
      <c r="Y172" s="179"/>
      <c r="Z172" s="179"/>
      <c r="AA172" s="179"/>
      <c r="AB172" s="179"/>
      <c r="AC172" s="179"/>
      <c r="AD172" s="179"/>
      <c r="AE172" s="179"/>
      <c r="AF172" s="179"/>
      <c r="AG172" s="179"/>
      <c r="AH172" s="179"/>
      <c r="AI172" s="179"/>
      <c r="AJ172" s="179"/>
      <c r="AK172" s="179"/>
      <c r="AL172" s="179"/>
      <c r="AM172" s="179"/>
      <c r="AN172" s="179"/>
      <c r="AO172" s="179"/>
      <c r="AP172" s="179"/>
      <c r="AQ172" s="179"/>
      <c r="AR172" s="179"/>
      <c r="AS172" s="179"/>
      <c r="AT172" s="179"/>
      <c r="AU172" s="179"/>
      <c r="AV172" s="179"/>
      <c r="AW172" s="179"/>
      <c r="AX172" s="179"/>
      <c r="AY172" s="179"/>
      <c r="AZ172" s="179"/>
      <c r="BA172" s="179"/>
      <c r="BB172" s="179"/>
      <c r="BC172" s="179"/>
      <c r="BD172" s="179"/>
      <c r="BE172" s="179"/>
      <c r="BF172" s="179"/>
      <c r="BG172" s="179"/>
      <c r="BH172" s="179"/>
      <c r="BI172" s="179"/>
      <c r="BJ172" s="179"/>
      <c r="BK172" s="179"/>
      <c r="BL172" s="179"/>
      <c r="BM172" s="179"/>
      <c r="BN172" s="179"/>
      <c r="BO172" s="179"/>
      <c r="BP172" s="179"/>
      <c r="BQ172" s="179"/>
      <c r="BR172" s="179"/>
      <c r="BS172" s="179"/>
      <c r="BT172" s="179"/>
      <c r="BU172" s="179"/>
      <c r="BV172" s="179"/>
      <c r="BW172" s="179"/>
      <c r="BX172" s="179"/>
      <c r="BY172" s="179"/>
      <c r="BZ172" s="179"/>
      <c r="CA172" s="179"/>
      <c r="CB172" s="179"/>
      <c r="CC172" s="179"/>
      <c r="CD172" s="179"/>
      <c r="CE172" s="179"/>
      <c r="CF172" s="179"/>
      <c r="CG172" s="179"/>
      <c r="CH172" s="179"/>
      <c r="CI172" s="179"/>
      <c r="CJ172" s="179"/>
      <c r="CK172" s="179"/>
      <c r="CL172" s="179"/>
      <c r="CM172" s="179"/>
      <c r="CN172" s="179"/>
      <c r="CO172" s="179"/>
      <c r="CP172" s="179"/>
      <c r="CQ172" s="179"/>
      <c r="CR172" s="179"/>
      <c r="CS172" s="179"/>
      <c r="CT172" s="179"/>
      <c r="CU172" s="179"/>
      <c r="CV172" s="179"/>
      <c r="CW172" s="179"/>
    </row>
    <row r="173" spans="1:101" x14ac:dyDescent="0.2">
      <c r="A173" s="32" t="str">
        <f t="shared" ca="1" si="2"/>
        <v>2025-09-22</v>
      </c>
      <c r="B173" s="179">
        <f ca="1">IF(ISNUMBER(MATCH(DATEVALUE($A173),'changes1_based on steps'!B$1:B$400,0)),B$2,)</f>
        <v>0</v>
      </c>
      <c r="C173" s="179">
        <f ca="1">IF(ISNUMBER(MATCH(DATEVALUE($A173),'changes1_based on steps'!C$1:C$400,0)),C$2,)</f>
        <v>0</v>
      </c>
      <c r="D173" s="179">
        <f ca="1">IF(ISNUMBER(MATCH(DATEVALUE($A173),'changes1_based on steps'!D$1:D$400,0)),D$2,)</f>
        <v>0</v>
      </c>
      <c r="E173" s="179">
        <f ca="1">IF(ISNUMBER(MATCH(DATEVALUE($A173),'changes1_based on steps'!E$1:E$400,0)),E$2,)</f>
        <v>0</v>
      </c>
      <c r="F173" s="179">
        <f ca="1">IF(ISNUMBER(MATCH(DATEVALUE($A173),'changes1_based on steps'!F$1:F$400,0)),F$2,)</f>
        <v>0</v>
      </c>
      <c r="G173" s="179">
        <f ca="1">IF(ISNUMBER(MATCH(DATEVALUE($A173),'changes1_based on steps'!G$1:G$400,0)),G$2,)</f>
        <v>0</v>
      </c>
      <c r="H173" s="179">
        <f ca="1">IF(ISNUMBER(MATCH(DATEVALUE($A173),'changes1_based on steps'!H$1:H$400,0)),H$2,)</f>
        <v>0</v>
      </c>
      <c r="I173" s="179">
        <f ca="1">IF(ISNUMBER(MATCH(DATEVALUE($A173),'changes1_based on steps'!I$1:I$400,0)),I$2,)</f>
        <v>0</v>
      </c>
      <c r="J173" s="179">
        <f ca="1">IF(ISNUMBER(MATCH(DATEVALUE($A173),'changes1_based on steps'!J$1:J$400,0)),J$2,)</f>
        <v>0</v>
      </c>
      <c r="K173" s="179">
        <f ca="1">IF(ISNUMBER(MATCH(DATEVALUE($A173),'changes1_based on steps'!K$1:K$400,0)),K$2,)</f>
        <v>0</v>
      </c>
      <c r="L173" s="179">
        <f ca="1">IF(ISNUMBER(MATCH(DATEVALUE($A173),'changes1_based on steps'!L$1:L$400,0)),L$2,)</f>
        <v>0</v>
      </c>
      <c r="M173" s="179">
        <f ca="1">IF(ISNUMBER(MATCH(DATEVALUE($A173),'changes1_based on steps'!M$1:M$400,0)),M$2,)</f>
        <v>0</v>
      </c>
      <c r="N173" s="179">
        <f ca="1">IF(ISNUMBER(MATCH(DATEVALUE($A173),'changes1_based on steps'!N$1:N$400,0)),N$2,)</f>
        <v>0</v>
      </c>
      <c r="O173" s="179">
        <f ca="1">IF(ISNUMBER(MATCH(DATEVALUE($A173),'changes1_based on steps'!O$1:O$400,0)),O$2,)</f>
        <v>0</v>
      </c>
      <c r="P173" s="179">
        <f ca="1">IF(ISNUMBER(MATCH(DATEVALUE($A173),'changes1_based on steps'!P$1:P$400,0)),P$2,)</f>
        <v>0</v>
      </c>
      <c r="Q173" s="179">
        <f ca="1">IF(ISNUMBER(MATCH(DATEVALUE($A173),'changes1_based on steps'!Q$1:Q$400,0)),Q$2,)</f>
        <v>0</v>
      </c>
      <c r="R173" s="179">
        <f ca="1">IF(ISNUMBER(MATCH(DATEVALUE($A173),'changes1_based on steps'!R$1:R$400,0)),R$2,)</f>
        <v>0</v>
      </c>
      <c r="S173" s="179">
        <f ca="1">IF(ISNUMBER(MATCH(DATEVALUE($A173),'changes1_based on steps'!S$1:S$400,0)),S$2,)</f>
        <v>0</v>
      </c>
      <c r="T173" s="179">
        <f ca="1">IF(ISNUMBER(MATCH(DATEVALUE($A173),'changes1_based on steps'!T$1:T$400,0)),T$2,)</f>
        <v>0</v>
      </c>
      <c r="U173" s="179">
        <f ca="1">IF(ISNUMBER(MATCH(DATEVALUE($A173),'changes1_based on steps'!U$1:U$400,0)),U$2,)</f>
        <v>0</v>
      </c>
      <c r="V173" s="179"/>
      <c r="W173" s="179"/>
      <c r="X173" s="179"/>
      <c r="Y173" s="179"/>
      <c r="Z173" s="179"/>
      <c r="AA173" s="179"/>
      <c r="AB173" s="179"/>
      <c r="AC173" s="179"/>
      <c r="AD173" s="179"/>
      <c r="AE173" s="179"/>
      <c r="AF173" s="179"/>
      <c r="AG173" s="179"/>
      <c r="AH173" s="179"/>
      <c r="AI173" s="179"/>
      <c r="AJ173" s="179"/>
      <c r="AK173" s="179"/>
      <c r="AL173" s="179"/>
      <c r="AM173" s="179"/>
      <c r="AN173" s="179"/>
      <c r="AO173" s="179"/>
      <c r="AP173" s="179"/>
      <c r="AQ173" s="179"/>
      <c r="AR173" s="179"/>
      <c r="AS173" s="179"/>
      <c r="AT173" s="179"/>
      <c r="AU173" s="179"/>
      <c r="AV173" s="179"/>
      <c r="AW173" s="179"/>
      <c r="AX173" s="179"/>
      <c r="AY173" s="179"/>
      <c r="AZ173" s="179"/>
      <c r="BA173" s="179"/>
      <c r="BB173" s="179"/>
      <c r="BC173" s="179"/>
      <c r="BD173" s="179"/>
      <c r="BE173" s="179"/>
      <c r="BF173" s="179"/>
      <c r="BG173" s="179"/>
      <c r="BH173" s="179"/>
      <c r="BI173" s="179"/>
      <c r="BJ173" s="179"/>
      <c r="BK173" s="179"/>
      <c r="BL173" s="179"/>
      <c r="BM173" s="179"/>
      <c r="BN173" s="179"/>
      <c r="BO173" s="179"/>
      <c r="BP173" s="179"/>
      <c r="BQ173" s="179"/>
      <c r="BR173" s="179"/>
      <c r="BS173" s="179"/>
      <c r="BT173" s="179"/>
      <c r="BU173" s="179"/>
      <c r="BV173" s="179"/>
      <c r="BW173" s="179"/>
      <c r="BX173" s="179"/>
      <c r="BY173" s="179"/>
      <c r="BZ173" s="179"/>
      <c r="CA173" s="179"/>
      <c r="CB173" s="179"/>
      <c r="CC173" s="179"/>
      <c r="CD173" s="179"/>
      <c r="CE173" s="179"/>
      <c r="CF173" s="179"/>
      <c r="CG173" s="179"/>
      <c r="CH173" s="179"/>
      <c r="CI173" s="179"/>
      <c r="CJ173" s="179"/>
      <c r="CK173" s="179"/>
      <c r="CL173" s="179"/>
      <c r="CM173" s="179"/>
      <c r="CN173" s="179"/>
      <c r="CO173" s="179"/>
      <c r="CP173" s="179"/>
      <c r="CQ173" s="179"/>
      <c r="CR173" s="179"/>
      <c r="CS173" s="179"/>
      <c r="CT173" s="179"/>
      <c r="CU173" s="179"/>
      <c r="CV173" s="179"/>
      <c r="CW173" s="179"/>
    </row>
    <row r="174" spans="1:101" x14ac:dyDescent="0.2">
      <c r="A174" s="32" t="str">
        <f t="shared" ca="1" si="2"/>
        <v>2025-09-23</v>
      </c>
      <c r="B174" s="179">
        <f ca="1">IF(ISNUMBER(MATCH(DATEVALUE($A174),'changes1_based on steps'!B$1:B$400,0)),B$2,)</f>
        <v>0</v>
      </c>
      <c r="C174" s="179">
        <f ca="1">IF(ISNUMBER(MATCH(DATEVALUE($A174),'changes1_based on steps'!C$1:C$400,0)),C$2,)</f>
        <v>0</v>
      </c>
      <c r="D174" s="179">
        <f ca="1">IF(ISNUMBER(MATCH(DATEVALUE($A174),'changes1_based on steps'!D$1:D$400,0)),D$2,)</f>
        <v>0</v>
      </c>
      <c r="E174" s="179">
        <f ca="1">IF(ISNUMBER(MATCH(DATEVALUE($A174),'changes1_based on steps'!E$1:E$400,0)),E$2,)</f>
        <v>0</v>
      </c>
      <c r="F174" s="179">
        <f ca="1">IF(ISNUMBER(MATCH(DATEVALUE($A174),'changes1_based on steps'!F$1:F$400,0)),F$2,)</f>
        <v>0</v>
      </c>
      <c r="G174" s="179">
        <f ca="1">IF(ISNUMBER(MATCH(DATEVALUE($A174),'changes1_based on steps'!G$1:G$400,0)),G$2,)</f>
        <v>0</v>
      </c>
      <c r="H174" s="179">
        <f ca="1">IF(ISNUMBER(MATCH(DATEVALUE($A174),'changes1_based on steps'!H$1:H$400,0)),H$2,)</f>
        <v>0</v>
      </c>
      <c r="I174" s="179">
        <f ca="1">IF(ISNUMBER(MATCH(DATEVALUE($A174),'changes1_based on steps'!I$1:I$400,0)),I$2,)</f>
        <v>0</v>
      </c>
      <c r="J174" s="179">
        <f ca="1">IF(ISNUMBER(MATCH(DATEVALUE($A174),'changes1_based on steps'!J$1:J$400,0)),J$2,)</f>
        <v>0</v>
      </c>
      <c r="K174" s="179">
        <f ca="1">IF(ISNUMBER(MATCH(DATEVALUE($A174),'changes1_based on steps'!K$1:K$400,0)),K$2,)</f>
        <v>0</v>
      </c>
      <c r="L174" s="179">
        <f ca="1">IF(ISNUMBER(MATCH(DATEVALUE($A174),'changes1_based on steps'!L$1:L$400,0)),L$2,)</f>
        <v>0</v>
      </c>
      <c r="M174" s="179">
        <f ca="1">IF(ISNUMBER(MATCH(DATEVALUE($A174),'changes1_based on steps'!M$1:M$400,0)),M$2,)</f>
        <v>0</v>
      </c>
      <c r="N174" s="179">
        <f ca="1">IF(ISNUMBER(MATCH(DATEVALUE($A174),'changes1_based on steps'!N$1:N$400,0)),N$2,)</f>
        <v>0</v>
      </c>
      <c r="O174" s="179">
        <f ca="1">IF(ISNUMBER(MATCH(DATEVALUE($A174),'changes1_based on steps'!O$1:O$400,0)),O$2,)</f>
        <v>0</v>
      </c>
      <c r="P174" s="179">
        <f ca="1">IF(ISNUMBER(MATCH(DATEVALUE($A174),'changes1_based on steps'!P$1:P$400,0)),P$2,)</f>
        <v>0</v>
      </c>
      <c r="Q174" s="179">
        <f ca="1">IF(ISNUMBER(MATCH(DATEVALUE($A174),'changes1_based on steps'!Q$1:Q$400,0)),Q$2,)</f>
        <v>0</v>
      </c>
      <c r="R174" s="179">
        <f ca="1">IF(ISNUMBER(MATCH(DATEVALUE($A174),'changes1_based on steps'!R$1:R$400,0)),R$2,)</f>
        <v>0</v>
      </c>
      <c r="S174" s="179">
        <f ca="1">IF(ISNUMBER(MATCH(DATEVALUE($A174),'changes1_based on steps'!S$1:S$400,0)),S$2,)</f>
        <v>0</v>
      </c>
      <c r="T174" s="179">
        <f ca="1">IF(ISNUMBER(MATCH(DATEVALUE($A174),'changes1_based on steps'!T$1:T$400,0)),T$2,)</f>
        <v>0</v>
      </c>
      <c r="U174" s="179">
        <f ca="1">IF(ISNUMBER(MATCH(DATEVALUE($A174),'changes1_based on steps'!U$1:U$400,0)),U$2,)</f>
        <v>0</v>
      </c>
      <c r="V174" s="179"/>
      <c r="W174" s="179"/>
      <c r="X174" s="179"/>
      <c r="Y174" s="179"/>
      <c r="Z174" s="179"/>
      <c r="AA174" s="179"/>
      <c r="AB174" s="179"/>
      <c r="AC174" s="179"/>
      <c r="AD174" s="179"/>
      <c r="AE174" s="179"/>
      <c r="AF174" s="179"/>
      <c r="AG174" s="179"/>
      <c r="AH174" s="179"/>
      <c r="AI174" s="179"/>
      <c r="AJ174" s="179"/>
      <c r="AK174" s="179"/>
      <c r="AL174" s="179"/>
      <c r="AM174" s="179"/>
      <c r="AN174" s="179"/>
      <c r="AO174" s="179"/>
      <c r="AP174" s="179"/>
      <c r="AQ174" s="179"/>
      <c r="AR174" s="179"/>
      <c r="AS174" s="179"/>
      <c r="AT174" s="179"/>
      <c r="AU174" s="179"/>
      <c r="AV174" s="179"/>
      <c r="AW174" s="179"/>
      <c r="AX174" s="179"/>
      <c r="AY174" s="179"/>
      <c r="AZ174" s="179"/>
      <c r="BA174" s="179"/>
      <c r="BB174" s="179"/>
      <c r="BC174" s="179"/>
      <c r="BD174" s="179"/>
      <c r="BE174" s="179"/>
      <c r="BF174" s="179"/>
      <c r="BG174" s="179"/>
      <c r="BH174" s="179"/>
      <c r="BI174" s="179"/>
      <c r="BJ174" s="179"/>
      <c r="BK174" s="179"/>
      <c r="BL174" s="179"/>
      <c r="BM174" s="179"/>
      <c r="BN174" s="179"/>
      <c r="BO174" s="179"/>
      <c r="BP174" s="179"/>
      <c r="BQ174" s="179"/>
      <c r="BR174" s="179"/>
      <c r="BS174" s="179"/>
      <c r="BT174" s="179"/>
      <c r="BU174" s="179"/>
      <c r="BV174" s="179"/>
      <c r="BW174" s="179"/>
      <c r="BX174" s="179"/>
      <c r="BY174" s="179"/>
      <c r="BZ174" s="179"/>
      <c r="CA174" s="179"/>
      <c r="CB174" s="179"/>
      <c r="CC174" s="179"/>
      <c r="CD174" s="179"/>
      <c r="CE174" s="179"/>
      <c r="CF174" s="179"/>
      <c r="CG174" s="179"/>
      <c r="CH174" s="179"/>
      <c r="CI174" s="179"/>
      <c r="CJ174" s="179"/>
      <c r="CK174" s="179"/>
      <c r="CL174" s="179"/>
      <c r="CM174" s="179"/>
      <c r="CN174" s="179"/>
      <c r="CO174" s="179"/>
      <c r="CP174" s="179"/>
      <c r="CQ174" s="179"/>
      <c r="CR174" s="179"/>
      <c r="CS174" s="179"/>
      <c r="CT174" s="179"/>
      <c r="CU174" s="179"/>
      <c r="CV174" s="179"/>
      <c r="CW174" s="179"/>
    </row>
    <row r="175" spans="1:101" x14ac:dyDescent="0.2">
      <c r="A175" s="32" t="str">
        <f t="shared" ca="1" si="2"/>
        <v>2025-09-24</v>
      </c>
      <c r="B175" s="179">
        <f ca="1">IF(ISNUMBER(MATCH(DATEVALUE($A175),'changes1_based on steps'!B$1:B$400,0)),B$2,)</f>
        <v>0</v>
      </c>
      <c r="C175" s="179">
        <f ca="1">IF(ISNUMBER(MATCH(DATEVALUE($A175),'changes1_based on steps'!C$1:C$400,0)),C$2,)</f>
        <v>0</v>
      </c>
      <c r="D175" s="179">
        <f ca="1">IF(ISNUMBER(MATCH(DATEVALUE($A175),'changes1_based on steps'!D$1:D$400,0)),D$2,)</f>
        <v>0</v>
      </c>
      <c r="E175" s="179">
        <f ca="1">IF(ISNUMBER(MATCH(DATEVALUE($A175),'changes1_based on steps'!E$1:E$400,0)),E$2,)</f>
        <v>0</v>
      </c>
      <c r="F175" s="179">
        <f ca="1">IF(ISNUMBER(MATCH(DATEVALUE($A175),'changes1_based on steps'!F$1:F$400,0)),F$2,)</f>
        <v>0</v>
      </c>
      <c r="G175" s="179">
        <f ca="1">IF(ISNUMBER(MATCH(DATEVALUE($A175),'changes1_based on steps'!G$1:G$400,0)),G$2,)</f>
        <v>0</v>
      </c>
      <c r="H175" s="179">
        <f ca="1">IF(ISNUMBER(MATCH(DATEVALUE($A175),'changes1_based on steps'!H$1:H$400,0)),H$2,)</f>
        <v>0</v>
      </c>
      <c r="I175" s="179">
        <f ca="1">IF(ISNUMBER(MATCH(DATEVALUE($A175),'changes1_based on steps'!I$1:I$400,0)),I$2,)</f>
        <v>0</v>
      </c>
      <c r="J175" s="179">
        <f ca="1">IF(ISNUMBER(MATCH(DATEVALUE($A175),'changes1_based on steps'!J$1:J$400,0)),J$2,)</f>
        <v>0</v>
      </c>
      <c r="K175" s="179">
        <f ca="1">IF(ISNUMBER(MATCH(DATEVALUE($A175),'changes1_based on steps'!K$1:K$400,0)),K$2,)</f>
        <v>0</v>
      </c>
      <c r="L175" s="179">
        <f ca="1">IF(ISNUMBER(MATCH(DATEVALUE($A175),'changes1_based on steps'!L$1:L$400,0)),L$2,)</f>
        <v>0</v>
      </c>
      <c r="M175" s="179">
        <f ca="1">IF(ISNUMBER(MATCH(DATEVALUE($A175),'changes1_based on steps'!M$1:M$400,0)),M$2,)</f>
        <v>0</v>
      </c>
      <c r="N175" s="179">
        <f ca="1">IF(ISNUMBER(MATCH(DATEVALUE($A175),'changes1_based on steps'!N$1:N$400,0)),N$2,)</f>
        <v>0</v>
      </c>
      <c r="O175" s="179">
        <f ca="1">IF(ISNUMBER(MATCH(DATEVALUE($A175),'changes1_based on steps'!O$1:O$400,0)),O$2,)</f>
        <v>0</v>
      </c>
      <c r="P175" s="179">
        <f ca="1">IF(ISNUMBER(MATCH(DATEVALUE($A175),'changes1_based on steps'!P$1:P$400,0)),P$2,)</f>
        <v>0</v>
      </c>
      <c r="Q175" s="179">
        <f ca="1">IF(ISNUMBER(MATCH(DATEVALUE($A175),'changes1_based on steps'!Q$1:Q$400,0)),Q$2,)</f>
        <v>0</v>
      </c>
      <c r="R175" s="179">
        <f ca="1">IF(ISNUMBER(MATCH(DATEVALUE($A175),'changes1_based on steps'!R$1:R$400,0)),R$2,)</f>
        <v>0</v>
      </c>
      <c r="S175" s="179">
        <f ca="1">IF(ISNUMBER(MATCH(DATEVALUE($A175),'changes1_based on steps'!S$1:S$400,0)),S$2,)</f>
        <v>0</v>
      </c>
      <c r="T175" s="179">
        <f ca="1">IF(ISNUMBER(MATCH(DATEVALUE($A175),'changes1_based on steps'!T$1:T$400,0)),T$2,)</f>
        <v>0</v>
      </c>
      <c r="U175" s="179">
        <f ca="1">IF(ISNUMBER(MATCH(DATEVALUE($A175),'changes1_based on steps'!U$1:U$400,0)),U$2,)</f>
        <v>0</v>
      </c>
      <c r="V175" s="179"/>
      <c r="W175" s="179"/>
      <c r="X175" s="179"/>
      <c r="Y175" s="179"/>
      <c r="Z175" s="179"/>
      <c r="AA175" s="179"/>
      <c r="AB175" s="179"/>
      <c r="AC175" s="179"/>
      <c r="AD175" s="179"/>
      <c r="AE175" s="179"/>
      <c r="AF175" s="179"/>
      <c r="AG175" s="179"/>
      <c r="AH175" s="179"/>
      <c r="AI175" s="179"/>
      <c r="AJ175" s="179"/>
      <c r="AK175" s="179"/>
      <c r="AL175" s="179"/>
      <c r="AM175" s="179"/>
      <c r="AN175" s="179"/>
      <c r="AO175" s="179"/>
      <c r="AP175" s="179"/>
      <c r="AQ175" s="179"/>
      <c r="AR175" s="179"/>
      <c r="AS175" s="179"/>
      <c r="AT175" s="179"/>
      <c r="AU175" s="179"/>
      <c r="AV175" s="179"/>
      <c r="AW175" s="179"/>
      <c r="AX175" s="179"/>
      <c r="AY175" s="179"/>
      <c r="AZ175" s="179"/>
      <c r="BA175" s="179"/>
      <c r="BB175" s="179"/>
      <c r="BC175" s="179"/>
      <c r="BD175" s="179"/>
      <c r="BE175" s="179"/>
      <c r="BF175" s="179"/>
      <c r="BG175" s="179"/>
      <c r="BH175" s="179"/>
      <c r="BI175" s="179"/>
      <c r="BJ175" s="179"/>
      <c r="BK175" s="179"/>
      <c r="BL175" s="179"/>
      <c r="BM175" s="179"/>
      <c r="BN175" s="179"/>
      <c r="BO175" s="179"/>
      <c r="BP175" s="179"/>
      <c r="BQ175" s="179"/>
      <c r="BR175" s="179"/>
      <c r="BS175" s="179"/>
      <c r="BT175" s="179"/>
      <c r="BU175" s="179"/>
      <c r="BV175" s="179"/>
      <c r="BW175" s="179"/>
      <c r="BX175" s="179"/>
      <c r="BY175" s="179"/>
      <c r="BZ175" s="179"/>
      <c r="CA175" s="179"/>
      <c r="CB175" s="179"/>
      <c r="CC175" s="179"/>
      <c r="CD175" s="179"/>
      <c r="CE175" s="179"/>
      <c r="CF175" s="179"/>
      <c r="CG175" s="179"/>
      <c r="CH175" s="179"/>
      <c r="CI175" s="179"/>
      <c r="CJ175" s="179"/>
      <c r="CK175" s="179"/>
      <c r="CL175" s="179"/>
      <c r="CM175" s="179"/>
      <c r="CN175" s="179"/>
      <c r="CO175" s="179"/>
      <c r="CP175" s="179"/>
      <c r="CQ175" s="179"/>
      <c r="CR175" s="179"/>
      <c r="CS175" s="179"/>
      <c r="CT175" s="179"/>
      <c r="CU175" s="179"/>
      <c r="CV175" s="179"/>
      <c r="CW175" s="179"/>
    </row>
    <row r="176" spans="1:101" x14ac:dyDescent="0.2">
      <c r="A176" s="32" t="str">
        <f t="shared" ca="1" si="2"/>
        <v>2025-09-25</v>
      </c>
      <c r="B176" s="179">
        <f ca="1">IF(ISNUMBER(MATCH(DATEVALUE($A176),'changes1_based on steps'!B$1:B$400,0)),B$2,)</f>
        <v>0</v>
      </c>
      <c r="C176" s="179">
        <f ca="1">IF(ISNUMBER(MATCH(DATEVALUE($A176),'changes1_based on steps'!C$1:C$400,0)),C$2,)</f>
        <v>0</v>
      </c>
      <c r="D176" s="179">
        <f ca="1">IF(ISNUMBER(MATCH(DATEVALUE($A176),'changes1_based on steps'!D$1:D$400,0)),D$2,)</f>
        <v>0</v>
      </c>
      <c r="E176" s="179">
        <f ca="1">IF(ISNUMBER(MATCH(DATEVALUE($A176),'changes1_based on steps'!E$1:E$400,0)),E$2,)</f>
        <v>0</v>
      </c>
      <c r="F176" s="179">
        <f ca="1">IF(ISNUMBER(MATCH(DATEVALUE($A176),'changes1_based on steps'!F$1:F$400,0)),F$2,)</f>
        <v>0</v>
      </c>
      <c r="G176" s="179">
        <f ca="1">IF(ISNUMBER(MATCH(DATEVALUE($A176),'changes1_based on steps'!G$1:G$400,0)),G$2,)</f>
        <v>0</v>
      </c>
      <c r="H176" s="179">
        <f ca="1">IF(ISNUMBER(MATCH(DATEVALUE($A176),'changes1_based on steps'!H$1:H$400,0)),H$2,)</f>
        <v>0</v>
      </c>
      <c r="I176" s="179">
        <f ca="1">IF(ISNUMBER(MATCH(DATEVALUE($A176),'changes1_based on steps'!I$1:I$400,0)),I$2,)</f>
        <v>0</v>
      </c>
      <c r="J176" s="179">
        <f ca="1">IF(ISNUMBER(MATCH(DATEVALUE($A176),'changes1_based on steps'!J$1:J$400,0)),J$2,)</f>
        <v>0</v>
      </c>
      <c r="K176" s="179">
        <f ca="1">IF(ISNUMBER(MATCH(DATEVALUE($A176),'changes1_based on steps'!K$1:K$400,0)),K$2,)</f>
        <v>0</v>
      </c>
      <c r="L176" s="179">
        <f ca="1">IF(ISNUMBER(MATCH(DATEVALUE($A176),'changes1_based on steps'!L$1:L$400,0)),L$2,)</f>
        <v>0</v>
      </c>
      <c r="M176" s="179">
        <f ca="1">IF(ISNUMBER(MATCH(DATEVALUE($A176),'changes1_based on steps'!M$1:M$400,0)),M$2,)</f>
        <v>0</v>
      </c>
      <c r="N176" s="179">
        <f ca="1">IF(ISNUMBER(MATCH(DATEVALUE($A176),'changes1_based on steps'!N$1:N$400,0)),N$2,)</f>
        <v>0</v>
      </c>
      <c r="O176" s="179">
        <f ca="1">IF(ISNUMBER(MATCH(DATEVALUE($A176),'changes1_based on steps'!O$1:O$400,0)),O$2,)</f>
        <v>0</v>
      </c>
      <c r="P176" s="179">
        <f ca="1">IF(ISNUMBER(MATCH(DATEVALUE($A176),'changes1_based on steps'!P$1:P$400,0)),P$2,)</f>
        <v>0</v>
      </c>
      <c r="Q176" s="179">
        <f ca="1">IF(ISNUMBER(MATCH(DATEVALUE($A176),'changes1_based on steps'!Q$1:Q$400,0)),Q$2,)</f>
        <v>0</v>
      </c>
      <c r="R176" s="179">
        <f ca="1">IF(ISNUMBER(MATCH(DATEVALUE($A176),'changes1_based on steps'!R$1:R$400,0)),R$2,)</f>
        <v>0</v>
      </c>
      <c r="S176" s="179">
        <f ca="1">IF(ISNUMBER(MATCH(DATEVALUE($A176),'changes1_based on steps'!S$1:S$400,0)),S$2,)</f>
        <v>0</v>
      </c>
      <c r="T176" s="179">
        <f ca="1">IF(ISNUMBER(MATCH(DATEVALUE($A176),'changes1_based on steps'!T$1:T$400,0)),T$2,)</f>
        <v>0</v>
      </c>
      <c r="U176" s="179">
        <f ca="1">IF(ISNUMBER(MATCH(DATEVALUE($A176),'changes1_based on steps'!U$1:U$400,0)),U$2,)</f>
        <v>0</v>
      </c>
      <c r="V176" s="179"/>
      <c r="W176" s="179"/>
      <c r="X176" s="179"/>
      <c r="Y176" s="179"/>
      <c r="Z176" s="179"/>
      <c r="AA176" s="179"/>
      <c r="AB176" s="179"/>
      <c r="AC176" s="179"/>
      <c r="AD176" s="179"/>
      <c r="AE176" s="179"/>
      <c r="AF176" s="179"/>
      <c r="AG176" s="179"/>
      <c r="AH176" s="179"/>
      <c r="AI176" s="179"/>
      <c r="AJ176" s="179"/>
      <c r="AK176" s="179"/>
      <c r="AL176" s="179"/>
      <c r="AM176" s="179"/>
      <c r="AN176" s="179"/>
      <c r="AO176" s="179"/>
      <c r="AP176" s="179"/>
      <c r="AQ176" s="179"/>
      <c r="AR176" s="179"/>
      <c r="AS176" s="179"/>
      <c r="AT176" s="179"/>
      <c r="AU176" s="179"/>
      <c r="AV176" s="179"/>
      <c r="AW176" s="179"/>
      <c r="AX176" s="179"/>
      <c r="AY176" s="179"/>
      <c r="AZ176" s="179"/>
      <c r="BA176" s="179"/>
      <c r="BB176" s="179"/>
      <c r="BC176" s="179"/>
      <c r="BD176" s="179"/>
      <c r="BE176" s="179"/>
      <c r="BF176" s="179"/>
      <c r="BG176" s="179"/>
      <c r="BH176" s="179"/>
      <c r="BI176" s="179"/>
      <c r="BJ176" s="179"/>
      <c r="BK176" s="179"/>
      <c r="BL176" s="179"/>
      <c r="BM176" s="179"/>
      <c r="BN176" s="179"/>
      <c r="BO176" s="179"/>
      <c r="BP176" s="179"/>
      <c r="BQ176" s="179"/>
      <c r="BR176" s="179"/>
      <c r="BS176" s="179"/>
      <c r="BT176" s="179"/>
      <c r="BU176" s="179"/>
      <c r="BV176" s="179"/>
      <c r="BW176" s="179"/>
      <c r="BX176" s="179"/>
      <c r="BY176" s="179"/>
      <c r="BZ176" s="179"/>
      <c r="CA176" s="179"/>
      <c r="CB176" s="179"/>
      <c r="CC176" s="179"/>
      <c r="CD176" s="179"/>
      <c r="CE176" s="179"/>
      <c r="CF176" s="179"/>
      <c r="CG176" s="179"/>
      <c r="CH176" s="179"/>
      <c r="CI176" s="179"/>
      <c r="CJ176" s="179"/>
      <c r="CK176" s="179"/>
      <c r="CL176" s="179"/>
      <c r="CM176" s="179"/>
      <c r="CN176" s="179"/>
      <c r="CO176" s="179"/>
      <c r="CP176" s="179"/>
      <c r="CQ176" s="179"/>
      <c r="CR176" s="179"/>
      <c r="CS176" s="179"/>
      <c r="CT176" s="179"/>
      <c r="CU176" s="179"/>
      <c r="CV176" s="179"/>
      <c r="CW176" s="179"/>
    </row>
    <row r="177" spans="1:101" x14ac:dyDescent="0.2">
      <c r="A177" s="32" t="str">
        <f t="shared" ca="1" si="2"/>
        <v>2025-09-26</v>
      </c>
      <c r="B177" s="179">
        <f ca="1">IF(ISNUMBER(MATCH(DATEVALUE($A177),'changes1_based on steps'!B$1:B$400,0)),B$2,)</f>
        <v>0</v>
      </c>
      <c r="C177" s="179">
        <f ca="1">IF(ISNUMBER(MATCH(DATEVALUE($A177),'changes1_based on steps'!C$1:C$400,0)),C$2,)</f>
        <v>0</v>
      </c>
      <c r="D177" s="179">
        <f ca="1">IF(ISNUMBER(MATCH(DATEVALUE($A177),'changes1_based on steps'!D$1:D$400,0)),D$2,)</f>
        <v>0</v>
      </c>
      <c r="E177" s="179">
        <f ca="1">IF(ISNUMBER(MATCH(DATEVALUE($A177),'changes1_based on steps'!E$1:E$400,0)),E$2,)</f>
        <v>0</v>
      </c>
      <c r="F177" s="179">
        <f ca="1">IF(ISNUMBER(MATCH(DATEVALUE($A177),'changes1_based on steps'!F$1:F$400,0)),F$2,)</f>
        <v>0</v>
      </c>
      <c r="G177" s="179">
        <f ca="1">IF(ISNUMBER(MATCH(DATEVALUE($A177),'changes1_based on steps'!G$1:G$400,0)),G$2,)</f>
        <v>0</v>
      </c>
      <c r="H177" s="179">
        <f ca="1">IF(ISNUMBER(MATCH(DATEVALUE($A177),'changes1_based on steps'!H$1:H$400,0)),H$2,)</f>
        <v>0</v>
      </c>
      <c r="I177" s="179">
        <f ca="1">IF(ISNUMBER(MATCH(DATEVALUE($A177),'changes1_based on steps'!I$1:I$400,0)),I$2,)</f>
        <v>0</v>
      </c>
      <c r="J177" s="179">
        <f ca="1">IF(ISNUMBER(MATCH(DATEVALUE($A177),'changes1_based on steps'!J$1:J$400,0)),J$2,)</f>
        <v>0</v>
      </c>
      <c r="K177" s="179">
        <f ca="1">IF(ISNUMBER(MATCH(DATEVALUE($A177),'changes1_based on steps'!K$1:K$400,0)),K$2,)</f>
        <v>0</v>
      </c>
      <c r="L177" s="179">
        <f ca="1">IF(ISNUMBER(MATCH(DATEVALUE($A177),'changes1_based on steps'!L$1:L$400,0)),L$2,)</f>
        <v>0</v>
      </c>
      <c r="M177" s="179">
        <f ca="1">IF(ISNUMBER(MATCH(DATEVALUE($A177),'changes1_based on steps'!M$1:M$400,0)),M$2,)</f>
        <v>0</v>
      </c>
      <c r="N177" s="179">
        <f ca="1">IF(ISNUMBER(MATCH(DATEVALUE($A177),'changes1_based on steps'!N$1:N$400,0)),N$2,)</f>
        <v>0</v>
      </c>
      <c r="O177" s="179">
        <f ca="1">IF(ISNUMBER(MATCH(DATEVALUE($A177),'changes1_based on steps'!O$1:O$400,0)),O$2,)</f>
        <v>0</v>
      </c>
      <c r="P177" s="179">
        <f ca="1">IF(ISNUMBER(MATCH(DATEVALUE($A177),'changes1_based on steps'!P$1:P$400,0)),P$2,)</f>
        <v>0</v>
      </c>
      <c r="Q177" s="179">
        <f ca="1">IF(ISNUMBER(MATCH(DATEVALUE($A177),'changes1_based on steps'!Q$1:Q$400,0)),Q$2,)</f>
        <v>0</v>
      </c>
      <c r="R177" s="179">
        <f ca="1">IF(ISNUMBER(MATCH(DATEVALUE($A177),'changes1_based on steps'!R$1:R$400,0)),R$2,)</f>
        <v>0</v>
      </c>
      <c r="S177" s="179">
        <f ca="1">IF(ISNUMBER(MATCH(DATEVALUE($A177),'changes1_based on steps'!S$1:S$400,0)),S$2,)</f>
        <v>0</v>
      </c>
      <c r="T177" s="179">
        <f ca="1">IF(ISNUMBER(MATCH(DATEVALUE($A177),'changes1_based on steps'!T$1:T$400,0)),T$2,)</f>
        <v>0</v>
      </c>
      <c r="U177" s="179">
        <f ca="1">IF(ISNUMBER(MATCH(DATEVALUE($A177),'changes1_based on steps'!U$1:U$400,0)),U$2,)</f>
        <v>0</v>
      </c>
      <c r="V177" s="179"/>
      <c r="W177" s="179"/>
      <c r="X177" s="179"/>
      <c r="Y177" s="179"/>
      <c r="Z177" s="179"/>
      <c r="AA177" s="179"/>
      <c r="AB177" s="179"/>
      <c r="AC177" s="179"/>
      <c r="AD177" s="179"/>
      <c r="AE177" s="179"/>
      <c r="AF177" s="179"/>
      <c r="AG177" s="179"/>
      <c r="AH177" s="179"/>
      <c r="AI177" s="179"/>
      <c r="AJ177" s="179"/>
      <c r="AK177" s="179"/>
      <c r="AL177" s="179"/>
      <c r="AM177" s="179"/>
      <c r="AN177" s="179"/>
      <c r="AO177" s="179"/>
      <c r="AP177" s="179"/>
      <c r="AQ177" s="179"/>
      <c r="AR177" s="179"/>
      <c r="AS177" s="179"/>
      <c r="AT177" s="179"/>
      <c r="AU177" s="179"/>
      <c r="AV177" s="179"/>
      <c r="AW177" s="179"/>
      <c r="AX177" s="179"/>
      <c r="AY177" s="179"/>
      <c r="AZ177" s="179"/>
      <c r="BA177" s="179"/>
      <c r="BB177" s="179"/>
      <c r="BC177" s="179"/>
      <c r="BD177" s="179"/>
      <c r="BE177" s="179"/>
      <c r="BF177" s="179"/>
      <c r="BG177" s="179"/>
      <c r="BH177" s="179"/>
      <c r="BI177" s="179"/>
      <c r="BJ177" s="179"/>
      <c r="BK177" s="179"/>
      <c r="BL177" s="179"/>
      <c r="BM177" s="179"/>
      <c r="BN177" s="179"/>
      <c r="BO177" s="179"/>
      <c r="BP177" s="179"/>
      <c r="BQ177" s="179"/>
      <c r="BR177" s="179"/>
      <c r="BS177" s="179"/>
      <c r="BT177" s="179"/>
      <c r="BU177" s="179"/>
      <c r="BV177" s="179"/>
      <c r="BW177" s="179"/>
      <c r="BX177" s="179"/>
      <c r="BY177" s="179"/>
      <c r="BZ177" s="179"/>
      <c r="CA177" s="179"/>
      <c r="CB177" s="179"/>
      <c r="CC177" s="179"/>
      <c r="CD177" s="179"/>
      <c r="CE177" s="179"/>
      <c r="CF177" s="179"/>
      <c r="CG177" s="179"/>
      <c r="CH177" s="179"/>
      <c r="CI177" s="179"/>
      <c r="CJ177" s="179"/>
      <c r="CK177" s="179"/>
      <c r="CL177" s="179"/>
      <c r="CM177" s="179"/>
      <c r="CN177" s="179"/>
      <c r="CO177" s="179"/>
      <c r="CP177" s="179"/>
      <c r="CQ177" s="179"/>
      <c r="CR177" s="179"/>
      <c r="CS177" s="179"/>
      <c r="CT177" s="179"/>
      <c r="CU177" s="179"/>
      <c r="CV177" s="179"/>
      <c r="CW177" s="179"/>
    </row>
    <row r="178" spans="1:101" x14ac:dyDescent="0.2">
      <c r="A178" s="32" t="str">
        <f t="shared" ca="1" si="2"/>
        <v>2025-09-27</v>
      </c>
      <c r="B178" s="179">
        <f ca="1">IF(ISNUMBER(MATCH(DATEVALUE($A178),'changes1_based on steps'!B$1:B$400,0)),B$2,)</f>
        <v>0</v>
      </c>
      <c r="C178" s="179">
        <f ca="1">IF(ISNUMBER(MATCH(DATEVALUE($A178),'changes1_based on steps'!C$1:C$400,0)),C$2,)</f>
        <v>0</v>
      </c>
      <c r="D178" s="179">
        <f ca="1">IF(ISNUMBER(MATCH(DATEVALUE($A178),'changes1_based on steps'!D$1:D$400,0)),D$2,)</f>
        <v>0</v>
      </c>
      <c r="E178" s="179">
        <f ca="1">IF(ISNUMBER(MATCH(DATEVALUE($A178),'changes1_based on steps'!E$1:E$400,0)),E$2,)</f>
        <v>0</v>
      </c>
      <c r="F178" s="179">
        <f ca="1">IF(ISNUMBER(MATCH(DATEVALUE($A178),'changes1_based on steps'!F$1:F$400,0)),F$2,)</f>
        <v>0</v>
      </c>
      <c r="G178" s="179">
        <f ca="1">IF(ISNUMBER(MATCH(DATEVALUE($A178),'changes1_based on steps'!G$1:G$400,0)),G$2,)</f>
        <v>0</v>
      </c>
      <c r="H178" s="179">
        <f ca="1">IF(ISNUMBER(MATCH(DATEVALUE($A178),'changes1_based on steps'!H$1:H$400,0)),H$2,)</f>
        <v>0</v>
      </c>
      <c r="I178" s="179">
        <f ca="1">IF(ISNUMBER(MATCH(DATEVALUE($A178),'changes1_based on steps'!I$1:I$400,0)),I$2,)</f>
        <v>0</v>
      </c>
      <c r="J178" s="179">
        <f ca="1">IF(ISNUMBER(MATCH(DATEVALUE($A178),'changes1_based on steps'!J$1:J$400,0)),J$2,)</f>
        <v>0</v>
      </c>
      <c r="K178" s="179">
        <f ca="1">IF(ISNUMBER(MATCH(DATEVALUE($A178),'changes1_based on steps'!K$1:K$400,0)),K$2,)</f>
        <v>0</v>
      </c>
      <c r="L178" s="179">
        <f ca="1">IF(ISNUMBER(MATCH(DATEVALUE($A178),'changes1_based on steps'!L$1:L$400,0)),L$2,)</f>
        <v>0</v>
      </c>
      <c r="M178" s="179">
        <f ca="1">IF(ISNUMBER(MATCH(DATEVALUE($A178),'changes1_based on steps'!M$1:M$400,0)),M$2,)</f>
        <v>0</v>
      </c>
      <c r="N178" s="179">
        <f ca="1">IF(ISNUMBER(MATCH(DATEVALUE($A178),'changes1_based on steps'!N$1:N$400,0)),N$2,)</f>
        <v>0</v>
      </c>
      <c r="O178" s="179">
        <f ca="1">IF(ISNUMBER(MATCH(DATEVALUE($A178),'changes1_based on steps'!O$1:O$400,0)),O$2,)</f>
        <v>0</v>
      </c>
      <c r="P178" s="179">
        <f ca="1">IF(ISNUMBER(MATCH(DATEVALUE($A178),'changes1_based on steps'!P$1:P$400,0)),P$2,)</f>
        <v>0</v>
      </c>
      <c r="Q178" s="179">
        <f ca="1">IF(ISNUMBER(MATCH(DATEVALUE($A178),'changes1_based on steps'!Q$1:Q$400,0)),Q$2,)</f>
        <v>0</v>
      </c>
      <c r="R178" s="179">
        <f ca="1">IF(ISNUMBER(MATCH(DATEVALUE($A178),'changes1_based on steps'!R$1:R$400,0)),R$2,)</f>
        <v>0</v>
      </c>
      <c r="S178" s="179">
        <f ca="1">IF(ISNUMBER(MATCH(DATEVALUE($A178),'changes1_based on steps'!S$1:S$400,0)),S$2,)</f>
        <v>0</v>
      </c>
      <c r="T178" s="179">
        <f ca="1">IF(ISNUMBER(MATCH(DATEVALUE($A178),'changes1_based on steps'!T$1:T$400,0)),T$2,)</f>
        <v>0</v>
      </c>
      <c r="U178" s="179">
        <f ca="1">IF(ISNUMBER(MATCH(DATEVALUE($A178),'changes1_based on steps'!U$1:U$400,0)),U$2,)</f>
        <v>0</v>
      </c>
      <c r="V178" s="179"/>
      <c r="W178" s="179"/>
      <c r="X178" s="179"/>
      <c r="Y178" s="179"/>
      <c r="Z178" s="179"/>
      <c r="AA178" s="179"/>
      <c r="AB178" s="179"/>
      <c r="AC178" s="179"/>
      <c r="AD178" s="179"/>
      <c r="AE178" s="179"/>
      <c r="AF178" s="179"/>
      <c r="AG178" s="179"/>
      <c r="AH178" s="179"/>
      <c r="AI178" s="179"/>
      <c r="AJ178" s="179"/>
      <c r="AK178" s="179"/>
      <c r="AL178" s="179"/>
      <c r="AM178" s="179"/>
      <c r="AN178" s="179"/>
      <c r="AO178" s="179"/>
      <c r="AP178" s="179"/>
      <c r="AQ178" s="179"/>
      <c r="AR178" s="179"/>
      <c r="AS178" s="179"/>
      <c r="AT178" s="179"/>
      <c r="AU178" s="179"/>
      <c r="AV178" s="179"/>
      <c r="AW178" s="179"/>
      <c r="AX178" s="179"/>
      <c r="AY178" s="179"/>
      <c r="AZ178" s="179"/>
      <c r="BA178" s="179"/>
      <c r="BB178" s="179"/>
      <c r="BC178" s="179"/>
      <c r="BD178" s="179"/>
      <c r="BE178" s="179"/>
      <c r="BF178" s="179"/>
      <c r="BG178" s="179"/>
      <c r="BH178" s="179"/>
      <c r="BI178" s="179"/>
      <c r="BJ178" s="179"/>
      <c r="BK178" s="179"/>
      <c r="BL178" s="179"/>
      <c r="BM178" s="179"/>
      <c r="BN178" s="179"/>
      <c r="BO178" s="179"/>
      <c r="BP178" s="179"/>
      <c r="BQ178" s="179"/>
      <c r="BR178" s="179"/>
      <c r="BS178" s="179"/>
      <c r="BT178" s="179"/>
      <c r="BU178" s="179"/>
      <c r="BV178" s="179"/>
      <c r="BW178" s="179"/>
      <c r="BX178" s="179"/>
      <c r="BY178" s="179"/>
      <c r="BZ178" s="179"/>
      <c r="CA178" s="179"/>
      <c r="CB178" s="179"/>
      <c r="CC178" s="179"/>
      <c r="CD178" s="179"/>
      <c r="CE178" s="179"/>
      <c r="CF178" s="179"/>
      <c r="CG178" s="179"/>
      <c r="CH178" s="179"/>
      <c r="CI178" s="179"/>
      <c r="CJ178" s="179"/>
      <c r="CK178" s="179"/>
      <c r="CL178" s="179"/>
      <c r="CM178" s="179"/>
      <c r="CN178" s="179"/>
      <c r="CO178" s="179"/>
      <c r="CP178" s="179"/>
      <c r="CQ178" s="179"/>
      <c r="CR178" s="179"/>
      <c r="CS178" s="179"/>
      <c r="CT178" s="179"/>
      <c r="CU178" s="179"/>
      <c r="CV178" s="179"/>
      <c r="CW178" s="179"/>
    </row>
    <row r="179" spans="1:101" x14ac:dyDescent="0.2">
      <c r="A179" s="32" t="str">
        <f t="shared" ca="1" si="2"/>
        <v>2025-09-28</v>
      </c>
      <c r="B179" s="179">
        <f ca="1">IF(ISNUMBER(MATCH(DATEVALUE($A179),'changes1_based on steps'!B$1:B$400,0)),B$2,)</f>
        <v>0</v>
      </c>
      <c r="C179" s="179">
        <f ca="1">IF(ISNUMBER(MATCH(DATEVALUE($A179),'changes1_based on steps'!C$1:C$400,0)),C$2,)</f>
        <v>0</v>
      </c>
      <c r="D179" s="179">
        <f ca="1">IF(ISNUMBER(MATCH(DATEVALUE($A179),'changes1_based on steps'!D$1:D$400,0)),D$2,)</f>
        <v>0</v>
      </c>
      <c r="E179" s="179">
        <f ca="1">IF(ISNUMBER(MATCH(DATEVALUE($A179),'changes1_based on steps'!E$1:E$400,0)),E$2,)</f>
        <v>0</v>
      </c>
      <c r="F179" s="179">
        <f ca="1">IF(ISNUMBER(MATCH(DATEVALUE($A179),'changes1_based on steps'!F$1:F$400,0)),F$2,)</f>
        <v>0</v>
      </c>
      <c r="G179" s="179">
        <f ca="1">IF(ISNUMBER(MATCH(DATEVALUE($A179),'changes1_based on steps'!G$1:G$400,0)),G$2,)</f>
        <v>0</v>
      </c>
      <c r="H179" s="179">
        <f ca="1">IF(ISNUMBER(MATCH(DATEVALUE($A179),'changes1_based on steps'!H$1:H$400,0)),H$2,)</f>
        <v>0</v>
      </c>
      <c r="I179" s="179">
        <f ca="1">IF(ISNUMBER(MATCH(DATEVALUE($A179),'changes1_based on steps'!I$1:I$400,0)),I$2,)</f>
        <v>0</v>
      </c>
      <c r="J179" s="179">
        <f ca="1">IF(ISNUMBER(MATCH(DATEVALUE($A179),'changes1_based on steps'!J$1:J$400,0)),J$2,)</f>
        <v>0</v>
      </c>
      <c r="K179" s="179">
        <f ca="1">IF(ISNUMBER(MATCH(DATEVALUE($A179),'changes1_based on steps'!K$1:K$400,0)),K$2,)</f>
        <v>0</v>
      </c>
      <c r="L179" s="179">
        <f ca="1">IF(ISNUMBER(MATCH(DATEVALUE($A179),'changes1_based on steps'!L$1:L$400,0)),L$2,)</f>
        <v>0</v>
      </c>
      <c r="M179" s="179">
        <f ca="1">IF(ISNUMBER(MATCH(DATEVALUE($A179),'changes1_based on steps'!M$1:M$400,0)),M$2,)</f>
        <v>0</v>
      </c>
      <c r="N179" s="179">
        <f ca="1">IF(ISNUMBER(MATCH(DATEVALUE($A179),'changes1_based on steps'!N$1:N$400,0)),N$2,)</f>
        <v>0</v>
      </c>
      <c r="O179" s="179">
        <f ca="1">IF(ISNUMBER(MATCH(DATEVALUE($A179),'changes1_based on steps'!O$1:O$400,0)),O$2,)</f>
        <v>0</v>
      </c>
      <c r="P179" s="179">
        <f ca="1">IF(ISNUMBER(MATCH(DATEVALUE($A179),'changes1_based on steps'!P$1:P$400,0)),P$2,)</f>
        <v>0</v>
      </c>
      <c r="Q179" s="179">
        <f ca="1">IF(ISNUMBER(MATCH(DATEVALUE($A179),'changes1_based on steps'!Q$1:Q$400,0)),Q$2,)</f>
        <v>0</v>
      </c>
      <c r="R179" s="179">
        <f ca="1">IF(ISNUMBER(MATCH(DATEVALUE($A179),'changes1_based on steps'!R$1:R$400,0)),R$2,)</f>
        <v>0</v>
      </c>
      <c r="S179" s="179">
        <f ca="1">IF(ISNUMBER(MATCH(DATEVALUE($A179),'changes1_based on steps'!S$1:S$400,0)),S$2,)</f>
        <v>0</v>
      </c>
      <c r="T179" s="179">
        <f ca="1">IF(ISNUMBER(MATCH(DATEVALUE($A179),'changes1_based on steps'!T$1:T$400,0)),T$2,)</f>
        <v>0</v>
      </c>
      <c r="U179" s="179">
        <f ca="1">IF(ISNUMBER(MATCH(DATEVALUE($A179),'changes1_based on steps'!U$1:U$400,0)),U$2,)</f>
        <v>0</v>
      </c>
      <c r="V179" s="179"/>
      <c r="W179" s="179"/>
      <c r="X179" s="179"/>
      <c r="Y179" s="179"/>
      <c r="Z179" s="179"/>
      <c r="AA179" s="179"/>
      <c r="AB179" s="179"/>
      <c r="AC179" s="179"/>
      <c r="AD179" s="179"/>
      <c r="AE179" s="179"/>
      <c r="AF179" s="179"/>
      <c r="AG179" s="179"/>
      <c r="AH179" s="179"/>
      <c r="AI179" s="179"/>
      <c r="AJ179" s="179"/>
      <c r="AK179" s="179"/>
      <c r="AL179" s="179"/>
      <c r="AM179" s="179"/>
      <c r="AN179" s="179"/>
      <c r="AO179" s="179"/>
      <c r="AP179" s="179"/>
      <c r="AQ179" s="179"/>
      <c r="AR179" s="179"/>
      <c r="AS179" s="179"/>
      <c r="AT179" s="179"/>
      <c r="AU179" s="179"/>
      <c r="AV179" s="179"/>
      <c r="AW179" s="179"/>
      <c r="AX179" s="179"/>
      <c r="AY179" s="179"/>
      <c r="AZ179" s="179"/>
      <c r="BA179" s="179"/>
      <c r="BB179" s="179"/>
      <c r="BC179" s="179"/>
      <c r="BD179" s="179"/>
      <c r="BE179" s="179"/>
      <c r="BF179" s="179"/>
      <c r="BG179" s="179"/>
      <c r="BH179" s="179"/>
      <c r="BI179" s="179"/>
      <c r="BJ179" s="179"/>
      <c r="BK179" s="179"/>
      <c r="BL179" s="179"/>
      <c r="BM179" s="179"/>
      <c r="BN179" s="179"/>
      <c r="BO179" s="179"/>
      <c r="BP179" s="179"/>
      <c r="BQ179" s="179"/>
      <c r="BR179" s="179"/>
      <c r="BS179" s="179"/>
      <c r="BT179" s="179"/>
      <c r="BU179" s="179"/>
      <c r="BV179" s="179"/>
      <c r="BW179" s="179"/>
      <c r="BX179" s="179"/>
      <c r="BY179" s="179"/>
      <c r="BZ179" s="179"/>
      <c r="CA179" s="179"/>
      <c r="CB179" s="179"/>
      <c r="CC179" s="179"/>
      <c r="CD179" s="179"/>
      <c r="CE179" s="179"/>
      <c r="CF179" s="179"/>
      <c r="CG179" s="179"/>
      <c r="CH179" s="179"/>
      <c r="CI179" s="179"/>
      <c r="CJ179" s="179"/>
      <c r="CK179" s="179"/>
      <c r="CL179" s="179"/>
      <c r="CM179" s="179"/>
      <c r="CN179" s="179"/>
      <c r="CO179" s="179"/>
      <c r="CP179" s="179"/>
      <c r="CQ179" s="179"/>
      <c r="CR179" s="179"/>
      <c r="CS179" s="179"/>
      <c r="CT179" s="179"/>
      <c r="CU179" s="179"/>
      <c r="CV179" s="179"/>
      <c r="CW179" s="179"/>
    </row>
    <row r="180" spans="1:101" x14ac:dyDescent="0.2">
      <c r="A180" s="32" t="str">
        <f t="shared" ca="1" si="2"/>
        <v>2025-09-29</v>
      </c>
      <c r="B180" s="179">
        <f ca="1">IF(ISNUMBER(MATCH(DATEVALUE($A180),'changes1_based on steps'!B$1:B$400,0)),B$2,)</f>
        <v>0</v>
      </c>
      <c r="C180" s="179">
        <f ca="1">IF(ISNUMBER(MATCH(DATEVALUE($A180),'changes1_based on steps'!C$1:C$400,0)),C$2,)</f>
        <v>0</v>
      </c>
      <c r="D180" s="179">
        <f ca="1">IF(ISNUMBER(MATCH(DATEVALUE($A180),'changes1_based on steps'!D$1:D$400,0)),D$2,)</f>
        <v>0</v>
      </c>
      <c r="E180" s="179">
        <f ca="1">IF(ISNUMBER(MATCH(DATEVALUE($A180),'changes1_based on steps'!E$1:E$400,0)),E$2,)</f>
        <v>0</v>
      </c>
      <c r="F180" s="179">
        <f ca="1">IF(ISNUMBER(MATCH(DATEVALUE($A180),'changes1_based on steps'!F$1:F$400,0)),F$2,)</f>
        <v>0</v>
      </c>
      <c r="G180" s="179">
        <f ca="1">IF(ISNUMBER(MATCH(DATEVALUE($A180),'changes1_based on steps'!G$1:G$400,0)),G$2,)</f>
        <v>0</v>
      </c>
      <c r="H180" s="179">
        <f ca="1">IF(ISNUMBER(MATCH(DATEVALUE($A180),'changes1_based on steps'!H$1:H$400,0)),H$2,)</f>
        <v>0</v>
      </c>
      <c r="I180" s="179">
        <f ca="1">IF(ISNUMBER(MATCH(DATEVALUE($A180),'changes1_based on steps'!I$1:I$400,0)),I$2,)</f>
        <v>0</v>
      </c>
      <c r="J180" s="179">
        <f ca="1">IF(ISNUMBER(MATCH(DATEVALUE($A180),'changes1_based on steps'!J$1:J$400,0)),J$2,)</f>
        <v>0</v>
      </c>
      <c r="K180" s="179">
        <f ca="1">IF(ISNUMBER(MATCH(DATEVALUE($A180),'changes1_based on steps'!K$1:K$400,0)),K$2,)</f>
        <v>0</v>
      </c>
      <c r="L180" s="179">
        <f ca="1">IF(ISNUMBER(MATCH(DATEVALUE($A180),'changes1_based on steps'!L$1:L$400,0)),L$2,)</f>
        <v>0</v>
      </c>
      <c r="M180" s="179">
        <f ca="1">IF(ISNUMBER(MATCH(DATEVALUE($A180),'changes1_based on steps'!M$1:M$400,0)),M$2,)</f>
        <v>0</v>
      </c>
      <c r="N180" s="179">
        <f ca="1">IF(ISNUMBER(MATCH(DATEVALUE($A180),'changes1_based on steps'!N$1:N$400,0)),N$2,)</f>
        <v>0</v>
      </c>
      <c r="O180" s="179">
        <f ca="1">IF(ISNUMBER(MATCH(DATEVALUE($A180),'changes1_based on steps'!O$1:O$400,0)),O$2,)</f>
        <v>0</v>
      </c>
      <c r="P180" s="179">
        <f ca="1">IF(ISNUMBER(MATCH(DATEVALUE($A180),'changes1_based on steps'!P$1:P$400,0)),P$2,)</f>
        <v>0</v>
      </c>
      <c r="Q180" s="179">
        <f ca="1">IF(ISNUMBER(MATCH(DATEVALUE($A180),'changes1_based on steps'!Q$1:Q$400,0)),Q$2,)</f>
        <v>0</v>
      </c>
      <c r="R180" s="179">
        <f ca="1">IF(ISNUMBER(MATCH(DATEVALUE($A180),'changes1_based on steps'!R$1:R$400,0)),R$2,)</f>
        <v>0</v>
      </c>
      <c r="S180" s="179">
        <f ca="1">IF(ISNUMBER(MATCH(DATEVALUE($A180),'changes1_based on steps'!S$1:S$400,0)),S$2,)</f>
        <v>0</v>
      </c>
      <c r="T180" s="179">
        <f ca="1">IF(ISNUMBER(MATCH(DATEVALUE($A180),'changes1_based on steps'!T$1:T$400,0)),T$2,)</f>
        <v>0</v>
      </c>
      <c r="U180" s="179">
        <f ca="1">IF(ISNUMBER(MATCH(DATEVALUE($A180),'changes1_based on steps'!U$1:U$400,0)),U$2,)</f>
        <v>0</v>
      </c>
      <c r="V180" s="179"/>
      <c r="W180" s="179"/>
      <c r="X180" s="179"/>
      <c r="Y180" s="179"/>
      <c r="Z180" s="179"/>
      <c r="AA180" s="179"/>
      <c r="AB180" s="179"/>
      <c r="AC180" s="179"/>
      <c r="AD180" s="179"/>
      <c r="AE180" s="179"/>
      <c r="AF180" s="179"/>
      <c r="AG180" s="179"/>
      <c r="AH180" s="179"/>
      <c r="AI180" s="179"/>
      <c r="AJ180" s="179"/>
      <c r="AK180" s="179"/>
      <c r="AL180" s="179"/>
      <c r="AM180" s="179"/>
      <c r="AN180" s="179"/>
      <c r="AO180" s="179"/>
      <c r="AP180" s="179"/>
      <c r="AQ180" s="179"/>
      <c r="AR180" s="179"/>
      <c r="AS180" s="179"/>
      <c r="AT180" s="179"/>
      <c r="AU180" s="179"/>
      <c r="AV180" s="179"/>
      <c r="AW180" s="179"/>
      <c r="AX180" s="179"/>
      <c r="AY180" s="179"/>
      <c r="AZ180" s="179"/>
      <c r="BA180" s="179"/>
      <c r="BB180" s="179"/>
      <c r="BC180" s="179"/>
      <c r="BD180" s="179"/>
      <c r="BE180" s="179"/>
      <c r="BF180" s="179"/>
      <c r="BG180" s="179"/>
      <c r="BH180" s="179"/>
      <c r="BI180" s="179"/>
      <c r="BJ180" s="179"/>
      <c r="BK180" s="179"/>
      <c r="BL180" s="179"/>
      <c r="BM180" s="179"/>
      <c r="BN180" s="179"/>
      <c r="BO180" s="179"/>
      <c r="BP180" s="179"/>
      <c r="BQ180" s="179"/>
      <c r="BR180" s="179"/>
      <c r="BS180" s="179"/>
      <c r="BT180" s="179"/>
      <c r="BU180" s="179"/>
      <c r="BV180" s="179"/>
      <c r="BW180" s="179"/>
      <c r="BX180" s="179"/>
      <c r="BY180" s="179"/>
      <c r="BZ180" s="179"/>
      <c r="CA180" s="179"/>
      <c r="CB180" s="179"/>
      <c r="CC180" s="179"/>
      <c r="CD180" s="179"/>
      <c r="CE180" s="179"/>
      <c r="CF180" s="179"/>
      <c r="CG180" s="179"/>
      <c r="CH180" s="179"/>
      <c r="CI180" s="179"/>
      <c r="CJ180" s="179"/>
      <c r="CK180" s="179"/>
      <c r="CL180" s="179"/>
      <c r="CM180" s="179"/>
      <c r="CN180" s="179"/>
      <c r="CO180" s="179"/>
      <c r="CP180" s="179"/>
      <c r="CQ180" s="179"/>
      <c r="CR180" s="179"/>
      <c r="CS180" s="179"/>
      <c r="CT180" s="179"/>
      <c r="CU180" s="179"/>
      <c r="CV180" s="179"/>
      <c r="CW180" s="179"/>
    </row>
    <row r="181" spans="1:101" x14ac:dyDescent="0.2">
      <c r="A181" s="32" t="str">
        <f t="shared" ca="1" si="2"/>
        <v>2025-09-30</v>
      </c>
      <c r="B181" s="179">
        <f ca="1">IF(ISNUMBER(MATCH(DATEVALUE($A181),'changes1_based on steps'!B$1:B$400,0)),B$2,)</f>
        <v>0</v>
      </c>
      <c r="C181" s="179">
        <f ca="1">IF(ISNUMBER(MATCH(DATEVALUE($A181),'changes1_based on steps'!C$1:C$400,0)),C$2,)</f>
        <v>0</v>
      </c>
      <c r="D181" s="179">
        <f ca="1">IF(ISNUMBER(MATCH(DATEVALUE($A181),'changes1_based on steps'!D$1:D$400,0)),D$2,)</f>
        <v>0</v>
      </c>
      <c r="E181" s="179">
        <f ca="1">IF(ISNUMBER(MATCH(DATEVALUE($A181),'changes1_based on steps'!E$1:E$400,0)),E$2,)</f>
        <v>0</v>
      </c>
      <c r="F181" s="179">
        <f ca="1">IF(ISNUMBER(MATCH(DATEVALUE($A181),'changes1_based on steps'!F$1:F$400,0)),F$2,)</f>
        <v>0</v>
      </c>
      <c r="G181" s="179">
        <f ca="1">IF(ISNUMBER(MATCH(DATEVALUE($A181),'changes1_based on steps'!G$1:G$400,0)),G$2,)</f>
        <v>0</v>
      </c>
      <c r="H181" s="179">
        <f ca="1">IF(ISNUMBER(MATCH(DATEVALUE($A181),'changes1_based on steps'!H$1:H$400,0)),H$2,)</f>
        <v>0</v>
      </c>
      <c r="I181" s="179">
        <f ca="1">IF(ISNUMBER(MATCH(DATEVALUE($A181),'changes1_based on steps'!I$1:I$400,0)),I$2,)</f>
        <v>0</v>
      </c>
      <c r="J181" s="179">
        <f ca="1">IF(ISNUMBER(MATCH(DATEVALUE($A181),'changes1_based on steps'!J$1:J$400,0)),J$2,)</f>
        <v>0</v>
      </c>
      <c r="K181" s="179">
        <f ca="1">IF(ISNUMBER(MATCH(DATEVALUE($A181),'changes1_based on steps'!K$1:K$400,0)),K$2,)</f>
        <v>0</v>
      </c>
      <c r="L181" s="179">
        <f ca="1">IF(ISNUMBER(MATCH(DATEVALUE($A181),'changes1_based on steps'!L$1:L$400,0)),L$2,)</f>
        <v>0</v>
      </c>
      <c r="M181" s="179">
        <f ca="1">IF(ISNUMBER(MATCH(DATEVALUE($A181),'changes1_based on steps'!M$1:M$400,0)),M$2,)</f>
        <v>0</v>
      </c>
      <c r="N181" s="179">
        <f ca="1">IF(ISNUMBER(MATCH(DATEVALUE($A181),'changes1_based on steps'!N$1:N$400,0)),N$2,)</f>
        <v>0</v>
      </c>
      <c r="O181" s="179">
        <f ca="1">IF(ISNUMBER(MATCH(DATEVALUE($A181),'changes1_based on steps'!O$1:O$400,0)),O$2,)</f>
        <v>0</v>
      </c>
      <c r="P181" s="179">
        <f ca="1">IF(ISNUMBER(MATCH(DATEVALUE($A181),'changes1_based on steps'!P$1:P$400,0)),P$2,)</f>
        <v>0</v>
      </c>
      <c r="Q181" s="179">
        <f ca="1">IF(ISNUMBER(MATCH(DATEVALUE($A181),'changes1_based on steps'!Q$1:Q$400,0)),Q$2,)</f>
        <v>0</v>
      </c>
      <c r="R181" s="179">
        <f ca="1">IF(ISNUMBER(MATCH(DATEVALUE($A181),'changes1_based on steps'!R$1:R$400,0)),R$2,)</f>
        <v>0</v>
      </c>
      <c r="S181" s="179">
        <f ca="1">IF(ISNUMBER(MATCH(DATEVALUE($A181),'changes1_based on steps'!S$1:S$400,0)),S$2,)</f>
        <v>0</v>
      </c>
      <c r="T181" s="179">
        <f ca="1">IF(ISNUMBER(MATCH(DATEVALUE($A181),'changes1_based on steps'!T$1:T$400,0)),T$2,)</f>
        <v>0</v>
      </c>
      <c r="U181" s="179">
        <f ca="1">IF(ISNUMBER(MATCH(DATEVALUE($A181),'changes1_based on steps'!U$1:U$400,0)),U$2,)</f>
        <v>0</v>
      </c>
      <c r="V181" s="179"/>
      <c r="W181" s="179"/>
      <c r="X181" s="179"/>
      <c r="Y181" s="179"/>
      <c r="Z181" s="179"/>
      <c r="AA181" s="179"/>
      <c r="AB181" s="179"/>
      <c r="AC181" s="179"/>
      <c r="AD181" s="179"/>
      <c r="AE181" s="179"/>
      <c r="AF181" s="179"/>
      <c r="AG181" s="179"/>
      <c r="AH181" s="179"/>
      <c r="AI181" s="179"/>
      <c r="AJ181" s="179"/>
      <c r="AK181" s="179"/>
      <c r="AL181" s="179"/>
      <c r="AM181" s="179"/>
      <c r="AN181" s="179"/>
      <c r="AO181" s="179"/>
      <c r="AP181" s="179"/>
      <c r="AQ181" s="179"/>
      <c r="AR181" s="179"/>
      <c r="AS181" s="179"/>
      <c r="AT181" s="179"/>
      <c r="AU181" s="179"/>
      <c r="AV181" s="179"/>
      <c r="AW181" s="179"/>
      <c r="AX181" s="179"/>
      <c r="AY181" s="179"/>
      <c r="AZ181" s="179"/>
      <c r="BA181" s="179"/>
      <c r="BB181" s="179"/>
      <c r="BC181" s="179"/>
      <c r="BD181" s="179"/>
      <c r="BE181" s="179"/>
      <c r="BF181" s="179"/>
      <c r="BG181" s="179"/>
      <c r="BH181" s="179"/>
      <c r="BI181" s="179"/>
      <c r="BJ181" s="179"/>
      <c r="BK181" s="179"/>
      <c r="BL181" s="179"/>
      <c r="BM181" s="179"/>
      <c r="BN181" s="179"/>
      <c r="BO181" s="179"/>
      <c r="BP181" s="179"/>
      <c r="BQ181" s="179"/>
      <c r="BR181" s="179"/>
      <c r="BS181" s="179"/>
      <c r="BT181" s="179"/>
      <c r="BU181" s="179"/>
      <c r="BV181" s="179"/>
      <c r="BW181" s="179"/>
      <c r="BX181" s="179"/>
      <c r="BY181" s="179"/>
      <c r="BZ181" s="179"/>
      <c r="CA181" s="179"/>
      <c r="CB181" s="179"/>
      <c r="CC181" s="179"/>
      <c r="CD181" s="179"/>
      <c r="CE181" s="179"/>
      <c r="CF181" s="179"/>
      <c r="CG181" s="179"/>
      <c r="CH181" s="179"/>
      <c r="CI181" s="179"/>
      <c r="CJ181" s="179"/>
      <c r="CK181" s="179"/>
      <c r="CL181" s="179"/>
      <c r="CM181" s="179"/>
      <c r="CN181" s="179"/>
      <c r="CO181" s="179"/>
      <c r="CP181" s="179"/>
      <c r="CQ181" s="179"/>
      <c r="CR181" s="179"/>
      <c r="CS181" s="179"/>
      <c r="CT181" s="179"/>
      <c r="CU181" s="179"/>
      <c r="CV181" s="179"/>
      <c r="CW181" s="179"/>
    </row>
    <row r="182" spans="1:101" x14ac:dyDescent="0.2">
      <c r="A182" s="32" t="str">
        <f t="shared" ca="1" si="2"/>
        <v>2025-10-01</v>
      </c>
      <c r="B182" s="179">
        <f ca="1">IF(ISNUMBER(MATCH(DATEVALUE($A182),'changes1_based on steps'!B$1:B$400,0)),B$2,)</f>
        <v>0</v>
      </c>
      <c r="C182" s="179">
        <f ca="1">IF(ISNUMBER(MATCH(DATEVALUE($A182),'changes1_based on steps'!C$1:C$400,0)),C$2,)</f>
        <v>0</v>
      </c>
      <c r="D182" s="179">
        <f ca="1">IF(ISNUMBER(MATCH(DATEVALUE($A182),'changes1_based on steps'!D$1:D$400,0)),D$2,)</f>
        <v>0</v>
      </c>
      <c r="E182" s="179">
        <f ca="1">IF(ISNUMBER(MATCH(DATEVALUE($A182),'changes1_based on steps'!E$1:E$400,0)),E$2,)</f>
        <v>0</v>
      </c>
      <c r="F182" s="179">
        <f ca="1">IF(ISNUMBER(MATCH(DATEVALUE($A182),'changes1_based on steps'!F$1:F$400,0)),F$2,)</f>
        <v>0</v>
      </c>
      <c r="G182" s="179">
        <f ca="1">IF(ISNUMBER(MATCH(DATEVALUE($A182),'changes1_based on steps'!G$1:G$400,0)),G$2,)</f>
        <v>0</v>
      </c>
      <c r="H182" s="179">
        <f ca="1">IF(ISNUMBER(MATCH(DATEVALUE($A182),'changes1_based on steps'!H$1:H$400,0)),H$2,)</f>
        <v>0</v>
      </c>
      <c r="I182" s="179">
        <f ca="1">IF(ISNUMBER(MATCH(DATEVALUE($A182),'changes1_based on steps'!I$1:I$400,0)),I$2,)</f>
        <v>0</v>
      </c>
      <c r="J182" s="179">
        <f ca="1">IF(ISNUMBER(MATCH(DATEVALUE($A182),'changes1_based on steps'!J$1:J$400,0)),J$2,)</f>
        <v>0</v>
      </c>
      <c r="K182" s="179">
        <f ca="1">IF(ISNUMBER(MATCH(DATEVALUE($A182),'changes1_based on steps'!K$1:K$400,0)),K$2,)</f>
        <v>0</v>
      </c>
      <c r="L182" s="179">
        <f ca="1">IF(ISNUMBER(MATCH(DATEVALUE($A182),'changes1_based on steps'!L$1:L$400,0)),L$2,)</f>
        <v>0</v>
      </c>
      <c r="M182" s="179">
        <f ca="1">IF(ISNUMBER(MATCH(DATEVALUE($A182),'changes1_based on steps'!M$1:M$400,0)),M$2,)</f>
        <v>0</v>
      </c>
      <c r="N182" s="179">
        <f ca="1">IF(ISNUMBER(MATCH(DATEVALUE($A182),'changes1_based on steps'!N$1:N$400,0)),N$2,)</f>
        <v>0</v>
      </c>
      <c r="O182" s="179">
        <f ca="1">IF(ISNUMBER(MATCH(DATEVALUE($A182),'changes1_based on steps'!O$1:O$400,0)),O$2,)</f>
        <v>0</v>
      </c>
      <c r="P182" s="179">
        <f ca="1">IF(ISNUMBER(MATCH(DATEVALUE($A182),'changes1_based on steps'!P$1:P$400,0)),P$2,)</f>
        <v>0</v>
      </c>
      <c r="Q182" s="179">
        <f ca="1">IF(ISNUMBER(MATCH(DATEVALUE($A182),'changes1_based on steps'!Q$1:Q$400,0)),Q$2,)</f>
        <v>0</v>
      </c>
      <c r="R182" s="179">
        <f ca="1">IF(ISNUMBER(MATCH(DATEVALUE($A182),'changes1_based on steps'!R$1:R$400,0)),R$2,)</f>
        <v>0</v>
      </c>
      <c r="S182" s="179">
        <f ca="1">IF(ISNUMBER(MATCH(DATEVALUE($A182),'changes1_based on steps'!S$1:S$400,0)),S$2,)</f>
        <v>0</v>
      </c>
      <c r="T182" s="179">
        <f ca="1">IF(ISNUMBER(MATCH(DATEVALUE($A182),'changes1_based on steps'!T$1:T$400,0)),T$2,)</f>
        <v>0</v>
      </c>
      <c r="U182" s="179">
        <f ca="1">IF(ISNUMBER(MATCH(DATEVALUE($A182),'changes1_based on steps'!U$1:U$400,0)),U$2,)</f>
        <v>0</v>
      </c>
      <c r="V182" s="179"/>
      <c r="W182" s="179"/>
      <c r="X182" s="179"/>
      <c r="Y182" s="179"/>
      <c r="Z182" s="179"/>
      <c r="AA182" s="179"/>
      <c r="AB182" s="179"/>
      <c r="AC182" s="179"/>
      <c r="AD182" s="179"/>
      <c r="AE182" s="179"/>
      <c r="AF182" s="179"/>
      <c r="AG182" s="179"/>
      <c r="AH182" s="179"/>
      <c r="AI182" s="179"/>
      <c r="AJ182" s="179"/>
      <c r="AK182" s="179"/>
      <c r="AL182" s="179"/>
      <c r="AM182" s="179"/>
      <c r="AN182" s="179"/>
      <c r="AO182" s="179"/>
      <c r="AP182" s="179"/>
      <c r="AQ182" s="179"/>
      <c r="AR182" s="179"/>
      <c r="AS182" s="179"/>
      <c r="AT182" s="179"/>
      <c r="AU182" s="179"/>
      <c r="AV182" s="179"/>
      <c r="AW182" s="179"/>
      <c r="AX182" s="179"/>
      <c r="AY182" s="179"/>
      <c r="AZ182" s="179"/>
      <c r="BA182" s="179"/>
      <c r="BB182" s="179"/>
      <c r="BC182" s="179"/>
      <c r="BD182" s="179"/>
      <c r="BE182" s="179"/>
      <c r="BF182" s="179"/>
      <c r="BG182" s="179"/>
      <c r="BH182" s="179"/>
      <c r="BI182" s="179"/>
      <c r="BJ182" s="179"/>
      <c r="BK182" s="179"/>
      <c r="BL182" s="179"/>
      <c r="BM182" s="179"/>
      <c r="BN182" s="179"/>
      <c r="BO182" s="179"/>
      <c r="BP182" s="179"/>
      <c r="BQ182" s="179"/>
      <c r="BR182" s="179"/>
      <c r="BS182" s="179"/>
      <c r="BT182" s="179"/>
      <c r="BU182" s="179"/>
      <c r="BV182" s="179"/>
      <c r="BW182" s="179"/>
      <c r="BX182" s="179"/>
      <c r="BY182" s="179"/>
      <c r="BZ182" s="179"/>
      <c r="CA182" s="179"/>
      <c r="CB182" s="179"/>
      <c r="CC182" s="179"/>
      <c r="CD182" s="179"/>
      <c r="CE182" s="179"/>
      <c r="CF182" s="179"/>
      <c r="CG182" s="179"/>
      <c r="CH182" s="179"/>
      <c r="CI182" s="179"/>
      <c r="CJ182" s="179"/>
      <c r="CK182" s="179"/>
      <c r="CL182" s="179"/>
      <c r="CM182" s="179"/>
      <c r="CN182" s="179"/>
      <c r="CO182" s="179"/>
      <c r="CP182" s="179"/>
      <c r="CQ182" s="179"/>
      <c r="CR182" s="179"/>
      <c r="CS182" s="179"/>
      <c r="CT182" s="179"/>
      <c r="CU182" s="179"/>
      <c r="CV182" s="179"/>
      <c r="CW182" s="179"/>
    </row>
    <row r="183" spans="1:101" x14ac:dyDescent="0.2">
      <c r="A183" s="32" t="str">
        <f t="shared" ca="1" si="2"/>
        <v>2025-10-02</v>
      </c>
      <c r="B183" s="179">
        <f ca="1">IF(ISNUMBER(MATCH(DATEVALUE($A183),'changes1_based on steps'!B$1:B$400,0)),B$2,)</f>
        <v>0</v>
      </c>
      <c r="C183" s="179">
        <f ca="1">IF(ISNUMBER(MATCH(DATEVALUE($A183),'changes1_based on steps'!C$1:C$400,0)),C$2,)</f>
        <v>0</v>
      </c>
      <c r="D183" s="179">
        <f ca="1">IF(ISNUMBER(MATCH(DATEVALUE($A183),'changes1_based on steps'!D$1:D$400,0)),D$2,)</f>
        <v>0</v>
      </c>
      <c r="E183" s="179">
        <f ca="1">IF(ISNUMBER(MATCH(DATEVALUE($A183),'changes1_based on steps'!E$1:E$400,0)),E$2,)</f>
        <v>0</v>
      </c>
      <c r="F183" s="179">
        <f ca="1">IF(ISNUMBER(MATCH(DATEVALUE($A183),'changes1_based on steps'!F$1:F$400,0)),F$2,)</f>
        <v>0</v>
      </c>
      <c r="G183" s="179">
        <f ca="1">IF(ISNUMBER(MATCH(DATEVALUE($A183),'changes1_based on steps'!G$1:G$400,0)),G$2,)</f>
        <v>0</v>
      </c>
      <c r="H183" s="179">
        <f ca="1">IF(ISNUMBER(MATCH(DATEVALUE($A183),'changes1_based on steps'!H$1:H$400,0)),H$2,)</f>
        <v>0</v>
      </c>
      <c r="I183" s="179">
        <f ca="1">IF(ISNUMBER(MATCH(DATEVALUE($A183),'changes1_based on steps'!I$1:I$400,0)),I$2,)</f>
        <v>0</v>
      </c>
      <c r="J183" s="179">
        <f ca="1">IF(ISNUMBER(MATCH(DATEVALUE($A183),'changes1_based on steps'!J$1:J$400,0)),J$2,)</f>
        <v>0</v>
      </c>
      <c r="K183" s="179">
        <f ca="1">IF(ISNUMBER(MATCH(DATEVALUE($A183),'changes1_based on steps'!K$1:K$400,0)),K$2,)</f>
        <v>0</v>
      </c>
      <c r="L183" s="179">
        <f ca="1">IF(ISNUMBER(MATCH(DATEVALUE($A183),'changes1_based on steps'!L$1:L$400,0)),L$2,)</f>
        <v>0</v>
      </c>
      <c r="M183" s="179">
        <f ca="1">IF(ISNUMBER(MATCH(DATEVALUE($A183),'changes1_based on steps'!M$1:M$400,0)),M$2,)</f>
        <v>0</v>
      </c>
      <c r="N183" s="179">
        <f ca="1">IF(ISNUMBER(MATCH(DATEVALUE($A183),'changes1_based on steps'!N$1:N$400,0)),N$2,)</f>
        <v>0</v>
      </c>
      <c r="O183" s="179">
        <f ca="1">IF(ISNUMBER(MATCH(DATEVALUE($A183),'changes1_based on steps'!O$1:O$400,0)),O$2,)</f>
        <v>0</v>
      </c>
      <c r="P183" s="179">
        <f ca="1">IF(ISNUMBER(MATCH(DATEVALUE($A183),'changes1_based on steps'!P$1:P$400,0)),P$2,)</f>
        <v>0</v>
      </c>
      <c r="Q183" s="179">
        <f ca="1">IF(ISNUMBER(MATCH(DATEVALUE($A183),'changes1_based on steps'!Q$1:Q$400,0)),Q$2,)</f>
        <v>0</v>
      </c>
      <c r="R183" s="179">
        <f ca="1">IF(ISNUMBER(MATCH(DATEVALUE($A183),'changes1_based on steps'!R$1:R$400,0)),R$2,)</f>
        <v>0</v>
      </c>
      <c r="S183" s="179">
        <f ca="1">IF(ISNUMBER(MATCH(DATEVALUE($A183),'changes1_based on steps'!S$1:S$400,0)),S$2,)</f>
        <v>0</v>
      </c>
      <c r="T183" s="179">
        <f ca="1">IF(ISNUMBER(MATCH(DATEVALUE($A183),'changes1_based on steps'!T$1:T$400,0)),T$2,)</f>
        <v>0</v>
      </c>
      <c r="U183" s="179">
        <f ca="1">IF(ISNUMBER(MATCH(DATEVALUE($A183),'changes1_based on steps'!U$1:U$400,0)),U$2,)</f>
        <v>0</v>
      </c>
      <c r="V183" s="179"/>
      <c r="W183" s="179"/>
      <c r="X183" s="179"/>
      <c r="Y183" s="179"/>
      <c r="Z183" s="179"/>
      <c r="AA183" s="179"/>
      <c r="AB183" s="179"/>
      <c r="AC183" s="179"/>
      <c r="AD183" s="179"/>
      <c r="AE183" s="179"/>
      <c r="AF183" s="179"/>
      <c r="AG183" s="179"/>
      <c r="AH183" s="179"/>
      <c r="AI183" s="179"/>
      <c r="AJ183" s="179"/>
      <c r="AK183" s="179"/>
      <c r="AL183" s="179"/>
      <c r="AM183" s="179"/>
      <c r="AN183" s="179"/>
      <c r="AO183" s="179"/>
      <c r="AP183" s="179"/>
      <c r="AQ183" s="179"/>
      <c r="AR183" s="179"/>
      <c r="AS183" s="179"/>
      <c r="AT183" s="179"/>
      <c r="AU183" s="179"/>
      <c r="AV183" s="179"/>
      <c r="AW183" s="179"/>
      <c r="AX183" s="179"/>
      <c r="AY183" s="179"/>
      <c r="AZ183" s="179"/>
      <c r="BA183" s="179"/>
      <c r="BB183" s="179"/>
      <c r="BC183" s="179"/>
      <c r="BD183" s="179"/>
      <c r="BE183" s="179"/>
      <c r="BF183" s="179"/>
      <c r="BG183" s="179"/>
      <c r="BH183" s="179"/>
      <c r="BI183" s="179"/>
      <c r="BJ183" s="179"/>
      <c r="BK183" s="179"/>
      <c r="BL183" s="179"/>
      <c r="BM183" s="179"/>
      <c r="BN183" s="179"/>
      <c r="BO183" s="179"/>
      <c r="BP183" s="179"/>
      <c r="BQ183" s="179"/>
      <c r="BR183" s="179"/>
      <c r="BS183" s="179"/>
      <c r="BT183" s="179"/>
      <c r="BU183" s="179"/>
      <c r="BV183" s="179"/>
      <c r="BW183" s="179"/>
      <c r="BX183" s="179"/>
      <c r="BY183" s="179"/>
      <c r="BZ183" s="179"/>
      <c r="CA183" s="179"/>
      <c r="CB183" s="179"/>
      <c r="CC183" s="179"/>
      <c r="CD183" s="179"/>
      <c r="CE183" s="179"/>
      <c r="CF183" s="179"/>
      <c r="CG183" s="179"/>
      <c r="CH183" s="179"/>
      <c r="CI183" s="179"/>
      <c r="CJ183" s="179"/>
      <c r="CK183" s="179"/>
      <c r="CL183" s="179"/>
      <c r="CM183" s="179"/>
      <c r="CN183" s="179"/>
      <c r="CO183" s="179"/>
      <c r="CP183" s="179"/>
      <c r="CQ183" s="179"/>
      <c r="CR183" s="179"/>
      <c r="CS183" s="179"/>
      <c r="CT183" s="179"/>
      <c r="CU183" s="179"/>
      <c r="CV183" s="179"/>
      <c r="CW183" s="179"/>
    </row>
    <row r="184" spans="1:101" x14ac:dyDescent="0.2">
      <c r="A184" s="32" t="str">
        <f t="shared" ca="1" si="2"/>
        <v>2025-10-03</v>
      </c>
      <c r="B184" s="179">
        <f ca="1">IF(ISNUMBER(MATCH(DATEVALUE($A184),'changes1_based on steps'!B$1:B$400,0)),B$2,)</f>
        <v>0</v>
      </c>
      <c r="C184" s="179">
        <f ca="1">IF(ISNUMBER(MATCH(DATEVALUE($A184),'changes1_based on steps'!C$1:C$400,0)),C$2,)</f>
        <v>0</v>
      </c>
      <c r="D184" s="179">
        <f ca="1">IF(ISNUMBER(MATCH(DATEVALUE($A184),'changes1_based on steps'!D$1:D$400,0)),D$2,)</f>
        <v>0</v>
      </c>
      <c r="E184" s="179">
        <f ca="1">IF(ISNUMBER(MATCH(DATEVALUE($A184),'changes1_based on steps'!E$1:E$400,0)),E$2,)</f>
        <v>0</v>
      </c>
      <c r="F184" s="179">
        <f ca="1">IF(ISNUMBER(MATCH(DATEVALUE($A184),'changes1_based on steps'!F$1:F$400,0)),F$2,)</f>
        <v>0</v>
      </c>
      <c r="G184" s="179">
        <f ca="1">IF(ISNUMBER(MATCH(DATEVALUE($A184),'changes1_based on steps'!G$1:G$400,0)),G$2,)</f>
        <v>0</v>
      </c>
      <c r="H184" s="179">
        <f ca="1">IF(ISNUMBER(MATCH(DATEVALUE($A184),'changes1_based on steps'!H$1:H$400,0)),H$2,)</f>
        <v>0</v>
      </c>
      <c r="I184" s="179">
        <f ca="1">IF(ISNUMBER(MATCH(DATEVALUE($A184),'changes1_based on steps'!I$1:I$400,0)),I$2,)</f>
        <v>0</v>
      </c>
      <c r="J184" s="179">
        <f ca="1">IF(ISNUMBER(MATCH(DATEVALUE($A184),'changes1_based on steps'!J$1:J$400,0)),J$2,)</f>
        <v>0</v>
      </c>
      <c r="K184" s="179">
        <f ca="1">IF(ISNUMBER(MATCH(DATEVALUE($A184),'changes1_based on steps'!K$1:K$400,0)),K$2,)</f>
        <v>0</v>
      </c>
      <c r="L184" s="179">
        <f ca="1">IF(ISNUMBER(MATCH(DATEVALUE($A184),'changes1_based on steps'!L$1:L$400,0)),L$2,)</f>
        <v>0</v>
      </c>
      <c r="M184" s="179">
        <f ca="1">IF(ISNUMBER(MATCH(DATEVALUE($A184),'changes1_based on steps'!M$1:M$400,0)),M$2,)</f>
        <v>0</v>
      </c>
      <c r="N184" s="179">
        <f ca="1">IF(ISNUMBER(MATCH(DATEVALUE($A184),'changes1_based on steps'!N$1:N$400,0)),N$2,)</f>
        <v>0</v>
      </c>
      <c r="O184" s="179">
        <f ca="1">IF(ISNUMBER(MATCH(DATEVALUE($A184),'changes1_based on steps'!O$1:O$400,0)),O$2,)</f>
        <v>0</v>
      </c>
      <c r="P184" s="179">
        <f ca="1">IF(ISNUMBER(MATCH(DATEVALUE($A184),'changes1_based on steps'!P$1:P$400,0)),P$2,)</f>
        <v>0</v>
      </c>
      <c r="Q184" s="179">
        <f ca="1">IF(ISNUMBER(MATCH(DATEVALUE($A184),'changes1_based on steps'!Q$1:Q$400,0)),Q$2,)</f>
        <v>0</v>
      </c>
      <c r="R184" s="179">
        <f ca="1">IF(ISNUMBER(MATCH(DATEVALUE($A184),'changes1_based on steps'!R$1:R$400,0)),R$2,)</f>
        <v>0</v>
      </c>
      <c r="S184" s="179">
        <f ca="1">IF(ISNUMBER(MATCH(DATEVALUE($A184),'changes1_based on steps'!S$1:S$400,0)),S$2,)</f>
        <v>0</v>
      </c>
      <c r="T184" s="179">
        <f ca="1">IF(ISNUMBER(MATCH(DATEVALUE($A184),'changes1_based on steps'!T$1:T$400,0)),T$2,)</f>
        <v>0</v>
      </c>
      <c r="U184" s="179">
        <f ca="1">IF(ISNUMBER(MATCH(DATEVALUE($A184),'changes1_based on steps'!U$1:U$400,0)),U$2,)</f>
        <v>0</v>
      </c>
      <c r="V184" s="179"/>
      <c r="W184" s="179"/>
      <c r="X184" s="179"/>
      <c r="Y184" s="179"/>
      <c r="Z184" s="179"/>
      <c r="AA184" s="179"/>
      <c r="AB184" s="179"/>
      <c r="AC184" s="179"/>
      <c r="AD184" s="179"/>
      <c r="AE184" s="179"/>
      <c r="AF184" s="179"/>
      <c r="AG184" s="179"/>
      <c r="AH184" s="179"/>
      <c r="AI184" s="179"/>
      <c r="AJ184" s="179"/>
      <c r="AK184" s="179"/>
      <c r="AL184" s="179"/>
      <c r="AM184" s="179"/>
      <c r="AN184" s="179"/>
      <c r="AO184" s="179"/>
      <c r="AP184" s="179"/>
      <c r="AQ184" s="179"/>
      <c r="AR184" s="179"/>
      <c r="AS184" s="179"/>
      <c r="AT184" s="179"/>
      <c r="AU184" s="179"/>
      <c r="AV184" s="179"/>
      <c r="AW184" s="179"/>
      <c r="AX184" s="179"/>
      <c r="AY184" s="179"/>
      <c r="AZ184" s="179"/>
      <c r="BA184" s="179"/>
      <c r="BB184" s="179"/>
      <c r="BC184" s="179"/>
      <c r="BD184" s="179"/>
      <c r="BE184" s="179"/>
      <c r="BF184" s="179"/>
      <c r="BG184" s="179"/>
      <c r="BH184" s="179"/>
      <c r="BI184" s="179"/>
      <c r="BJ184" s="179"/>
      <c r="BK184" s="179"/>
      <c r="BL184" s="179"/>
      <c r="BM184" s="179"/>
      <c r="BN184" s="179"/>
      <c r="BO184" s="179"/>
      <c r="BP184" s="179"/>
      <c r="BQ184" s="179"/>
      <c r="BR184" s="179"/>
      <c r="BS184" s="179"/>
      <c r="BT184" s="179"/>
      <c r="BU184" s="179"/>
      <c r="BV184" s="179"/>
      <c r="BW184" s="179"/>
      <c r="BX184" s="179"/>
      <c r="BY184" s="179"/>
      <c r="BZ184" s="179"/>
      <c r="CA184" s="179"/>
      <c r="CB184" s="179"/>
      <c r="CC184" s="179"/>
      <c r="CD184" s="179"/>
      <c r="CE184" s="179"/>
      <c r="CF184" s="179"/>
      <c r="CG184" s="179"/>
      <c r="CH184" s="179"/>
      <c r="CI184" s="179"/>
      <c r="CJ184" s="179"/>
      <c r="CK184" s="179"/>
      <c r="CL184" s="179"/>
      <c r="CM184" s="179"/>
      <c r="CN184" s="179"/>
      <c r="CO184" s="179"/>
      <c r="CP184" s="179"/>
      <c r="CQ184" s="179"/>
      <c r="CR184" s="179"/>
      <c r="CS184" s="179"/>
      <c r="CT184" s="179"/>
      <c r="CU184" s="179"/>
      <c r="CV184" s="179"/>
      <c r="CW184" s="179"/>
    </row>
    <row r="185" spans="1:101" x14ac:dyDescent="0.2">
      <c r="A185" s="32" t="str">
        <f t="shared" ca="1" si="2"/>
        <v>2025-10-04</v>
      </c>
      <c r="B185" s="179">
        <f ca="1">IF(ISNUMBER(MATCH(DATEVALUE($A185),'changes1_based on steps'!B$1:B$400,0)),B$2,)</f>
        <v>0</v>
      </c>
      <c r="C185" s="179">
        <f ca="1">IF(ISNUMBER(MATCH(DATEVALUE($A185),'changes1_based on steps'!C$1:C$400,0)),C$2,)</f>
        <v>0</v>
      </c>
      <c r="D185" s="179">
        <f ca="1">IF(ISNUMBER(MATCH(DATEVALUE($A185),'changes1_based on steps'!D$1:D$400,0)),D$2,)</f>
        <v>0</v>
      </c>
      <c r="E185" s="179">
        <f ca="1">IF(ISNUMBER(MATCH(DATEVALUE($A185),'changes1_based on steps'!E$1:E$400,0)),E$2,)</f>
        <v>0</v>
      </c>
      <c r="F185" s="179">
        <f ca="1">IF(ISNUMBER(MATCH(DATEVALUE($A185),'changes1_based on steps'!F$1:F$400,0)),F$2,)</f>
        <v>0</v>
      </c>
      <c r="G185" s="179">
        <f ca="1">IF(ISNUMBER(MATCH(DATEVALUE($A185),'changes1_based on steps'!G$1:G$400,0)),G$2,)</f>
        <v>0</v>
      </c>
      <c r="H185" s="179">
        <f ca="1">IF(ISNUMBER(MATCH(DATEVALUE($A185),'changes1_based on steps'!H$1:H$400,0)),H$2,)</f>
        <v>0</v>
      </c>
      <c r="I185" s="179">
        <f ca="1">IF(ISNUMBER(MATCH(DATEVALUE($A185),'changes1_based on steps'!I$1:I$400,0)),I$2,)</f>
        <v>0</v>
      </c>
      <c r="J185" s="179">
        <f ca="1">IF(ISNUMBER(MATCH(DATEVALUE($A185),'changes1_based on steps'!J$1:J$400,0)),J$2,)</f>
        <v>0</v>
      </c>
      <c r="K185" s="179">
        <f ca="1">IF(ISNUMBER(MATCH(DATEVALUE($A185),'changes1_based on steps'!K$1:K$400,0)),K$2,)</f>
        <v>0</v>
      </c>
      <c r="L185" s="179">
        <f ca="1">IF(ISNUMBER(MATCH(DATEVALUE($A185),'changes1_based on steps'!L$1:L$400,0)),L$2,)</f>
        <v>0</v>
      </c>
      <c r="M185" s="179">
        <f ca="1">IF(ISNUMBER(MATCH(DATEVALUE($A185),'changes1_based on steps'!M$1:M$400,0)),M$2,)</f>
        <v>0</v>
      </c>
      <c r="N185" s="179">
        <f ca="1">IF(ISNUMBER(MATCH(DATEVALUE($A185),'changes1_based on steps'!N$1:N$400,0)),N$2,)</f>
        <v>0</v>
      </c>
      <c r="O185" s="179">
        <f ca="1">IF(ISNUMBER(MATCH(DATEVALUE($A185),'changes1_based on steps'!O$1:O$400,0)),O$2,)</f>
        <v>0</v>
      </c>
      <c r="P185" s="179">
        <f ca="1">IF(ISNUMBER(MATCH(DATEVALUE($A185),'changes1_based on steps'!P$1:P$400,0)),P$2,)</f>
        <v>0</v>
      </c>
      <c r="Q185" s="179">
        <f ca="1">IF(ISNUMBER(MATCH(DATEVALUE($A185),'changes1_based on steps'!Q$1:Q$400,0)),Q$2,)</f>
        <v>0</v>
      </c>
      <c r="R185" s="179">
        <f ca="1">IF(ISNUMBER(MATCH(DATEVALUE($A185),'changes1_based on steps'!R$1:R$400,0)),R$2,)</f>
        <v>0</v>
      </c>
      <c r="S185" s="179">
        <f ca="1">IF(ISNUMBER(MATCH(DATEVALUE($A185),'changes1_based on steps'!S$1:S$400,0)),S$2,)</f>
        <v>0</v>
      </c>
      <c r="T185" s="179">
        <f ca="1">IF(ISNUMBER(MATCH(DATEVALUE($A185),'changes1_based on steps'!T$1:T$400,0)),T$2,)</f>
        <v>0</v>
      </c>
      <c r="U185" s="179">
        <f ca="1">IF(ISNUMBER(MATCH(DATEVALUE($A185),'changes1_based on steps'!U$1:U$400,0)),U$2,)</f>
        <v>0</v>
      </c>
      <c r="V185" s="179"/>
      <c r="W185" s="179"/>
      <c r="X185" s="179"/>
      <c r="Y185" s="179"/>
      <c r="Z185" s="179"/>
      <c r="AA185" s="179"/>
      <c r="AB185" s="179"/>
      <c r="AC185" s="179"/>
      <c r="AD185" s="179"/>
      <c r="AE185" s="179"/>
      <c r="AF185" s="179"/>
      <c r="AG185" s="179"/>
      <c r="AH185" s="179"/>
      <c r="AI185" s="179"/>
      <c r="AJ185" s="179"/>
      <c r="AK185" s="179"/>
      <c r="AL185" s="179"/>
      <c r="AM185" s="179"/>
      <c r="AN185" s="179"/>
      <c r="AO185" s="179"/>
      <c r="AP185" s="179"/>
      <c r="AQ185" s="179"/>
      <c r="AR185" s="179"/>
      <c r="AS185" s="179"/>
      <c r="AT185" s="179"/>
      <c r="AU185" s="179"/>
      <c r="AV185" s="179"/>
      <c r="AW185" s="179"/>
      <c r="AX185" s="179"/>
      <c r="AY185" s="179"/>
      <c r="AZ185" s="179"/>
      <c r="BA185" s="179"/>
      <c r="BB185" s="179"/>
      <c r="BC185" s="179"/>
      <c r="BD185" s="179"/>
      <c r="BE185" s="179"/>
      <c r="BF185" s="179"/>
      <c r="BG185" s="179"/>
      <c r="BH185" s="179"/>
      <c r="BI185" s="179"/>
      <c r="BJ185" s="179"/>
      <c r="BK185" s="179"/>
      <c r="BL185" s="179"/>
      <c r="BM185" s="179"/>
      <c r="BN185" s="179"/>
      <c r="BO185" s="179"/>
      <c r="BP185" s="179"/>
      <c r="BQ185" s="179"/>
      <c r="BR185" s="179"/>
      <c r="BS185" s="179"/>
      <c r="BT185" s="179"/>
      <c r="BU185" s="179"/>
      <c r="BV185" s="179"/>
      <c r="BW185" s="179"/>
      <c r="BX185" s="179"/>
      <c r="BY185" s="179"/>
      <c r="BZ185" s="179"/>
      <c r="CA185" s="179"/>
      <c r="CB185" s="179"/>
      <c r="CC185" s="179"/>
      <c r="CD185" s="179"/>
      <c r="CE185" s="179"/>
      <c r="CF185" s="179"/>
      <c r="CG185" s="179"/>
      <c r="CH185" s="179"/>
      <c r="CI185" s="179"/>
      <c r="CJ185" s="179"/>
      <c r="CK185" s="179"/>
      <c r="CL185" s="179"/>
      <c r="CM185" s="179"/>
      <c r="CN185" s="179"/>
      <c r="CO185" s="179"/>
      <c r="CP185" s="179"/>
      <c r="CQ185" s="179"/>
      <c r="CR185" s="179"/>
      <c r="CS185" s="179"/>
      <c r="CT185" s="179"/>
      <c r="CU185" s="179"/>
      <c r="CV185" s="179"/>
      <c r="CW185" s="179"/>
    </row>
    <row r="186" spans="1:101" x14ac:dyDescent="0.2">
      <c r="A186" s="32" t="str">
        <f t="shared" ca="1" si="2"/>
        <v>2025-10-05</v>
      </c>
      <c r="B186" s="179">
        <f ca="1">IF(ISNUMBER(MATCH(DATEVALUE($A186),'changes1_based on steps'!B$1:B$400,0)),B$2,)</f>
        <v>0</v>
      </c>
      <c r="C186" s="179">
        <f ca="1">IF(ISNUMBER(MATCH(DATEVALUE($A186),'changes1_based on steps'!C$1:C$400,0)),C$2,)</f>
        <v>0</v>
      </c>
      <c r="D186" s="179">
        <f ca="1">IF(ISNUMBER(MATCH(DATEVALUE($A186),'changes1_based on steps'!D$1:D$400,0)),D$2,)</f>
        <v>0</v>
      </c>
      <c r="E186" s="179">
        <f ca="1">IF(ISNUMBER(MATCH(DATEVALUE($A186),'changes1_based on steps'!E$1:E$400,0)),E$2,)</f>
        <v>0</v>
      </c>
      <c r="F186" s="179">
        <f ca="1">IF(ISNUMBER(MATCH(DATEVALUE($A186),'changes1_based on steps'!F$1:F$400,0)),F$2,)</f>
        <v>0</v>
      </c>
      <c r="G186" s="179">
        <f ca="1">IF(ISNUMBER(MATCH(DATEVALUE($A186),'changes1_based on steps'!G$1:G$400,0)),G$2,)</f>
        <v>0</v>
      </c>
      <c r="H186" s="179">
        <f ca="1">IF(ISNUMBER(MATCH(DATEVALUE($A186),'changes1_based on steps'!H$1:H$400,0)),H$2,)</f>
        <v>0</v>
      </c>
      <c r="I186" s="179">
        <f ca="1">IF(ISNUMBER(MATCH(DATEVALUE($A186),'changes1_based on steps'!I$1:I$400,0)),I$2,)</f>
        <v>0</v>
      </c>
      <c r="J186" s="179">
        <f ca="1">IF(ISNUMBER(MATCH(DATEVALUE($A186),'changes1_based on steps'!J$1:J$400,0)),J$2,)</f>
        <v>0</v>
      </c>
      <c r="K186" s="179">
        <f ca="1">IF(ISNUMBER(MATCH(DATEVALUE($A186),'changes1_based on steps'!K$1:K$400,0)),K$2,)</f>
        <v>0</v>
      </c>
      <c r="L186" s="179">
        <f ca="1">IF(ISNUMBER(MATCH(DATEVALUE($A186),'changes1_based on steps'!L$1:L$400,0)),L$2,)</f>
        <v>0</v>
      </c>
      <c r="M186" s="179">
        <f ca="1">IF(ISNUMBER(MATCH(DATEVALUE($A186),'changes1_based on steps'!M$1:M$400,0)),M$2,)</f>
        <v>0</v>
      </c>
      <c r="N186" s="179">
        <f ca="1">IF(ISNUMBER(MATCH(DATEVALUE($A186),'changes1_based on steps'!N$1:N$400,0)),N$2,)</f>
        <v>0</v>
      </c>
      <c r="O186" s="179">
        <f ca="1">IF(ISNUMBER(MATCH(DATEVALUE($A186),'changes1_based on steps'!O$1:O$400,0)),O$2,)</f>
        <v>0</v>
      </c>
      <c r="P186" s="179">
        <f ca="1">IF(ISNUMBER(MATCH(DATEVALUE($A186),'changes1_based on steps'!P$1:P$400,0)),P$2,)</f>
        <v>0</v>
      </c>
      <c r="Q186" s="179">
        <f ca="1">IF(ISNUMBER(MATCH(DATEVALUE($A186),'changes1_based on steps'!Q$1:Q$400,0)),Q$2,)</f>
        <v>0</v>
      </c>
      <c r="R186" s="179">
        <f ca="1">IF(ISNUMBER(MATCH(DATEVALUE($A186),'changes1_based on steps'!R$1:R$400,0)),R$2,)</f>
        <v>0</v>
      </c>
      <c r="S186" s="179">
        <f ca="1">IF(ISNUMBER(MATCH(DATEVALUE($A186),'changes1_based on steps'!S$1:S$400,0)),S$2,)</f>
        <v>0</v>
      </c>
      <c r="T186" s="179">
        <f ca="1">IF(ISNUMBER(MATCH(DATEVALUE($A186),'changes1_based on steps'!T$1:T$400,0)),T$2,)</f>
        <v>0</v>
      </c>
      <c r="U186" s="179">
        <f ca="1">IF(ISNUMBER(MATCH(DATEVALUE($A186),'changes1_based on steps'!U$1:U$400,0)),U$2,)</f>
        <v>0</v>
      </c>
      <c r="V186" s="179"/>
      <c r="W186" s="179"/>
      <c r="X186" s="179"/>
      <c r="Y186" s="179"/>
      <c r="Z186" s="179"/>
      <c r="AA186" s="179"/>
      <c r="AB186" s="179"/>
      <c r="AC186" s="179"/>
      <c r="AD186" s="179"/>
      <c r="AE186" s="179"/>
      <c r="AF186" s="179"/>
      <c r="AG186" s="179"/>
      <c r="AH186" s="179"/>
      <c r="AI186" s="179"/>
      <c r="AJ186" s="179"/>
      <c r="AK186" s="179"/>
      <c r="AL186" s="179"/>
      <c r="AM186" s="179"/>
      <c r="AN186" s="179"/>
      <c r="AO186" s="179"/>
      <c r="AP186" s="179"/>
      <c r="AQ186" s="179"/>
      <c r="AR186" s="179"/>
      <c r="AS186" s="179"/>
      <c r="AT186" s="179"/>
      <c r="AU186" s="179"/>
      <c r="AV186" s="179"/>
      <c r="AW186" s="179"/>
      <c r="AX186" s="179"/>
      <c r="AY186" s="179"/>
      <c r="AZ186" s="179"/>
      <c r="BA186" s="179"/>
      <c r="BB186" s="179"/>
      <c r="BC186" s="179"/>
      <c r="BD186" s="179"/>
      <c r="BE186" s="179"/>
      <c r="BF186" s="179"/>
      <c r="BG186" s="179"/>
      <c r="BH186" s="179"/>
      <c r="BI186" s="179"/>
      <c r="BJ186" s="179"/>
      <c r="BK186" s="179"/>
      <c r="BL186" s="179"/>
      <c r="BM186" s="179"/>
      <c r="BN186" s="179"/>
      <c r="BO186" s="179"/>
      <c r="BP186" s="179"/>
      <c r="BQ186" s="179"/>
      <c r="BR186" s="179"/>
      <c r="BS186" s="179"/>
      <c r="BT186" s="179"/>
      <c r="BU186" s="179"/>
      <c r="BV186" s="179"/>
      <c r="BW186" s="179"/>
      <c r="BX186" s="179"/>
      <c r="BY186" s="179"/>
      <c r="BZ186" s="179"/>
      <c r="CA186" s="179"/>
      <c r="CB186" s="179"/>
      <c r="CC186" s="179"/>
      <c r="CD186" s="179"/>
      <c r="CE186" s="179"/>
      <c r="CF186" s="179"/>
      <c r="CG186" s="179"/>
      <c r="CH186" s="179"/>
      <c r="CI186" s="179"/>
      <c r="CJ186" s="179"/>
      <c r="CK186" s="179"/>
      <c r="CL186" s="179"/>
      <c r="CM186" s="179"/>
      <c r="CN186" s="179"/>
      <c r="CO186" s="179"/>
      <c r="CP186" s="179"/>
      <c r="CQ186" s="179"/>
      <c r="CR186" s="179"/>
      <c r="CS186" s="179"/>
      <c r="CT186" s="179"/>
      <c r="CU186" s="179"/>
      <c r="CV186" s="179"/>
      <c r="CW186" s="179"/>
    </row>
    <row r="187" spans="1:101" x14ac:dyDescent="0.2">
      <c r="A187" s="32" t="str">
        <f t="shared" ca="1" si="2"/>
        <v>2025-10-06</v>
      </c>
      <c r="B187" s="179">
        <f ca="1">IF(ISNUMBER(MATCH(DATEVALUE($A187),'changes1_based on steps'!B$1:B$400,0)),B$2,)</f>
        <v>0</v>
      </c>
      <c r="C187" s="179">
        <f ca="1">IF(ISNUMBER(MATCH(DATEVALUE($A187),'changes1_based on steps'!C$1:C$400,0)),C$2,)</f>
        <v>0</v>
      </c>
      <c r="D187" s="179">
        <f ca="1">IF(ISNUMBER(MATCH(DATEVALUE($A187),'changes1_based on steps'!D$1:D$400,0)),D$2,)</f>
        <v>0</v>
      </c>
      <c r="E187" s="179">
        <f ca="1">IF(ISNUMBER(MATCH(DATEVALUE($A187),'changes1_based on steps'!E$1:E$400,0)),E$2,)</f>
        <v>0</v>
      </c>
      <c r="F187" s="179">
        <f ca="1">IF(ISNUMBER(MATCH(DATEVALUE($A187),'changes1_based on steps'!F$1:F$400,0)),F$2,)</f>
        <v>0</v>
      </c>
      <c r="G187" s="179">
        <f ca="1">IF(ISNUMBER(MATCH(DATEVALUE($A187),'changes1_based on steps'!G$1:G$400,0)),G$2,)</f>
        <v>0</v>
      </c>
      <c r="H187" s="179">
        <f ca="1">IF(ISNUMBER(MATCH(DATEVALUE($A187),'changes1_based on steps'!H$1:H$400,0)),H$2,)</f>
        <v>0</v>
      </c>
      <c r="I187" s="179">
        <f ca="1">IF(ISNUMBER(MATCH(DATEVALUE($A187),'changes1_based on steps'!I$1:I$400,0)),I$2,)</f>
        <v>0</v>
      </c>
      <c r="J187" s="179">
        <f ca="1">IF(ISNUMBER(MATCH(DATEVALUE($A187),'changes1_based on steps'!J$1:J$400,0)),J$2,)</f>
        <v>0</v>
      </c>
      <c r="K187" s="179">
        <f ca="1">IF(ISNUMBER(MATCH(DATEVALUE($A187),'changes1_based on steps'!K$1:K$400,0)),K$2,)</f>
        <v>0</v>
      </c>
      <c r="L187" s="179">
        <f ca="1">IF(ISNUMBER(MATCH(DATEVALUE($A187),'changes1_based on steps'!L$1:L$400,0)),L$2,)</f>
        <v>0</v>
      </c>
      <c r="M187" s="179">
        <f ca="1">IF(ISNUMBER(MATCH(DATEVALUE($A187),'changes1_based on steps'!M$1:M$400,0)),M$2,)</f>
        <v>0</v>
      </c>
      <c r="N187" s="179">
        <f ca="1">IF(ISNUMBER(MATCH(DATEVALUE($A187),'changes1_based on steps'!N$1:N$400,0)),N$2,)</f>
        <v>0</v>
      </c>
      <c r="O187" s="179">
        <f ca="1">IF(ISNUMBER(MATCH(DATEVALUE($A187),'changes1_based on steps'!O$1:O$400,0)),O$2,)</f>
        <v>0</v>
      </c>
      <c r="P187" s="179">
        <f ca="1">IF(ISNUMBER(MATCH(DATEVALUE($A187),'changes1_based on steps'!P$1:P$400,0)),P$2,)</f>
        <v>0</v>
      </c>
      <c r="Q187" s="179">
        <f ca="1">IF(ISNUMBER(MATCH(DATEVALUE($A187),'changes1_based on steps'!Q$1:Q$400,0)),Q$2,)</f>
        <v>0</v>
      </c>
      <c r="R187" s="179">
        <f ca="1">IF(ISNUMBER(MATCH(DATEVALUE($A187),'changes1_based on steps'!R$1:R$400,0)),R$2,)</f>
        <v>0</v>
      </c>
      <c r="S187" s="179">
        <f ca="1">IF(ISNUMBER(MATCH(DATEVALUE($A187),'changes1_based on steps'!S$1:S$400,0)),S$2,)</f>
        <v>0</v>
      </c>
      <c r="T187" s="179">
        <f ca="1">IF(ISNUMBER(MATCH(DATEVALUE($A187),'changes1_based on steps'!T$1:T$400,0)),T$2,)</f>
        <v>0</v>
      </c>
      <c r="U187" s="179">
        <f ca="1">IF(ISNUMBER(MATCH(DATEVALUE($A187),'changes1_based on steps'!U$1:U$400,0)),U$2,)</f>
        <v>0</v>
      </c>
      <c r="V187" s="179"/>
      <c r="W187" s="179"/>
      <c r="X187" s="179"/>
      <c r="Y187" s="179"/>
      <c r="Z187" s="179"/>
      <c r="AA187" s="179"/>
      <c r="AB187" s="179"/>
      <c r="AC187" s="179"/>
      <c r="AD187" s="179"/>
      <c r="AE187" s="179"/>
      <c r="AF187" s="179"/>
      <c r="AG187" s="179"/>
      <c r="AH187" s="179"/>
      <c r="AI187" s="179"/>
      <c r="AJ187" s="179"/>
      <c r="AK187" s="179"/>
      <c r="AL187" s="179"/>
      <c r="AM187" s="179"/>
      <c r="AN187" s="179"/>
      <c r="AO187" s="179"/>
      <c r="AP187" s="179"/>
      <c r="AQ187" s="179"/>
      <c r="AR187" s="179"/>
      <c r="AS187" s="179"/>
      <c r="AT187" s="179"/>
      <c r="AU187" s="179"/>
      <c r="AV187" s="179"/>
      <c r="AW187" s="179"/>
      <c r="AX187" s="179"/>
      <c r="AY187" s="179"/>
      <c r="AZ187" s="179"/>
      <c r="BA187" s="179"/>
      <c r="BB187" s="179"/>
      <c r="BC187" s="179"/>
      <c r="BD187" s="179"/>
      <c r="BE187" s="179"/>
      <c r="BF187" s="179"/>
      <c r="BG187" s="179"/>
      <c r="BH187" s="179"/>
      <c r="BI187" s="179"/>
      <c r="BJ187" s="179"/>
      <c r="BK187" s="179"/>
      <c r="BL187" s="179"/>
      <c r="BM187" s="179"/>
      <c r="BN187" s="179"/>
      <c r="BO187" s="179"/>
      <c r="BP187" s="179"/>
      <c r="BQ187" s="179"/>
      <c r="BR187" s="179"/>
      <c r="BS187" s="179"/>
      <c r="BT187" s="179"/>
      <c r="BU187" s="179"/>
      <c r="BV187" s="179"/>
      <c r="BW187" s="179"/>
      <c r="BX187" s="179"/>
      <c r="BY187" s="179"/>
      <c r="BZ187" s="179"/>
      <c r="CA187" s="179"/>
      <c r="CB187" s="179"/>
      <c r="CC187" s="179"/>
      <c r="CD187" s="179"/>
      <c r="CE187" s="179"/>
      <c r="CF187" s="179"/>
      <c r="CG187" s="179"/>
      <c r="CH187" s="179"/>
      <c r="CI187" s="179"/>
      <c r="CJ187" s="179"/>
      <c r="CK187" s="179"/>
      <c r="CL187" s="179"/>
      <c r="CM187" s="179"/>
      <c r="CN187" s="179"/>
      <c r="CO187" s="179"/>
      <c r="CP187" s="179"/>
      <c r="CQ187" s="179"/>
      <c r="CR187" s="179"/>
      <c r="CS187" s="179"/>
      <c r="CT187" s="179"/>
      <c r="CU187" s="179"/>
      <c r="CV187" s="179"/>
      <c r="CW187" s="179"/>
    </row>
    <row r="188" spans="1:101" x14ac:dyDescent="0.2">
      <c r="A188" s="32" t="str">
        <f t="shared" ca="1" si="2"/>
        <v>2025-10-07</v>
      </c>
      <c r="B188" s="179">
        <f ca="1">IF(ISNUMBER(MATCH(DATEVALUE($A188),'changes1_based on steps'!B$1:B$400,0)),B$2,)</f>
        <v>0</v>
      </c>
      <c r="C188" s="179">
        <f ca="1">IF(ISNUMBER(MATCH(DATEVALUE($A188),'changes1_based on steps'!C$1:C$400,0)),C$2,)</f>
        <v>0</v>
      </c>
      <c r="D188" s="179">
        <f ca="1">IF(ISNUMBER(MATCH(DATEVALUE($A188),'changes1_based on steps'!D$1:D$400,0)),D$2,)</f>
        <v>0</v>
      </c>
      <c r="E188" s="179">
        <f ca="1">IF(ISNUMBER(MATCH(DATEVALUE($A188),'changes1_based on steps'!E$1:E$400,0)),E$2,)</f>
        <v>0</v>
      </c>
      <c r="F188" s="179">
        <f ca="1">IF(ISNUMBER(MATCH(DATEVALUE($A188),'changes1_based on steps'!F$1:F$400,0)),F$2,)</f>
        <v>0</v>
      </c>
      <c r="G188" s="179">
        <f ca="1">IF(ISNUMBER(MATCH(DATEVALUE($A188),'changes1_based on steps'!G$1:G$400,0)),G$2,)</f>
        <v>0</v>
      </c>
      <c r="H188" s="179">
        <f ca="1">IF(ISNUMBER(MATCH(DATEVALUE($A188),'changes1_based on steps'!H$1:H$400,0)),H$2,)</f>
        <v>0</v>
      </c>
      <c r="I188" s="179">
        <f ca="1">IF(ISNUMBER(MATCH(DATEVALUE($A188),'changes1_based on steps'!I$1:I$400,0)),I$2,)</f>
        <v>0</v>
      </c>
      <c r="J188" s="179">
        <f ca="1">IF(ISNUMBER(MATCH(DATEVALUE($A188),'changes1_based on steps'!J$1:J$400,0)),J$2,)</f>
        <v>0</v>
      </c>
      <c r="K188" s="179">
        <f ca="1">IF(ISNUMBER(MATCH(DATEVALUE($A188),'changes1_based on steps'!K$1:K$400,0)),K$2,)</f>
        <v>0</v>
      </c>
      <c r="L188" s="179">
        <f ca="1">IF(ISNUMBER(MATCH(DATEVALUE($A188),'changes1_based on steps'!L$1:L$400,0)),L$2,)</f>
        <v>0</v>
      </c>
      <c r="M188" s="179">
        <f ca="1">IF(ISNUMBER(MATCH(DATEVALUE($A188),'changes1_based on steps'!M$1:M$400,0)),M$2,)</f>
        <v>0</v>
      </c>
      <c r="N188" s="179">
        <f ca="1">IF(ISNUMBER(MATCH(DATEVALUE($A188),'changes1_based on steps'!N$1:N$400,0)),N$2,)</f>
        <v>0</v>
      </c>
      <c r="O188" s="179">
        <f ca="1">IF(ISNUMBER(MATCH(DATEVALUE($A188),'changes1_based on steps'!O$1:O$400,0)),O$2,)</f>
        <v>0</v>
      </c>
      <c r="P188" s="179">
        <f ca="1">IF(ISNUMBER(MATCH(DATEVALUE($A188),'changes1_based on steps'!P$1:P$400,0)),P$2,)</f>
        <v>0</v>
      </c>
      <c r="Q188" s="179">
        <f ca="1">IF(ISNUMBER(MATCH(DATEVALUE($A188),'changes1_based on steps'!Q$1:Q$400,0)),Q$2,)</f>
        <v>0</v>
      </c>
      <c r="R188" s="179">
        <f ca="1">IF(ISNUMBER(MATCH(DATEVALUE($A188),'changes1_based on steps'!R$1:R$400,0)),R$2,)</f>
        <v>0</v>
      </c>
      <c r="S188" s="179">
        <f ca="1">IF(ISNUMBER(MATCH(DATEVALUE($A188),'changes1_based on steps'!S$1:S$400,0)),S$2,)</f>
        <v>0</v>
      </c>
      <c r="T188" s="179">
        <f ca="1">IF(ISNUMBER(MATCH(DATEVALUE($A188),'changes1_based on steps'!T$1:T$400,0)),T$2,)</f>
        <v>0</v>
      </c>
      <c r="U188" s="179">
        <f ca="1">IF(ISNUMBER(MATCH(DATEVALUE($A188),'changes1_based on steps'!U$1:U$400,0)),U$2,)</f>
        <v>0</v>
      </c>
      <c r="V188" s="179"/>
      <c r="W188" s="179"/>
      <c r="X188" s="179"/>
      <c r="Y188" s="179"/>
      <c r="Z188" s="179"/>
      <c r="AA188" s="179"/>
      <c r="AB188" s="179"/>
      <c r="AC188" s="179"/>
      <c r="AD188" s="179"/>
      <c r="AE188" s="179"/>
      <c r="AF188" s="179"/>
      <c r="AG188" s="179"/>
      <c r="AH188" s="179"/>
      <c r="AI188" s="179"/>
      <c r="AJ188" s="179"/>
      <c r="AK188" s="179"/>
      <c r="AL188" s="179"/>
      <c r="AM188" s="179"/>
      <c r="AN188" s="179"/>
      <c r="AO188" s="179"/>
      <c r="AP188" s="179"/>
      <c r="AQ188" s="179"/>
      <c r="AR188" s="179"/>
      <c r="AS188" s="179"/>
      <c r="AT188" s="179"/>
      <c r="AU188" s="179"/>
      <c r="AV188" s="179"/>
      <c r="AW188" s="179"/>
      <c r="AX188" s="179"/>
      <c r="AY188" s="179"/>
      <c r="AZ188" s="179"/>
      <c r="BA188" s="179"/>
      <c r="BB188" s="179"/>
      <c r="BC188" s="179"/>
      <c r="BD188" s="179"/>
      <c r="BE188" s="179"/>
      <c r="BF188" s="179"/>
      <c r="BG188" s="179"/>
      <c r="BH188" s="179"/>
      <c r="BI188" s="179"/>
      <c r="BJ188" s="179"/>
      <c r="BK188" s="179"/>
      <c r="BL188" s="179"/>
      <c r="BM188" s="179"/>
      <c r="BN188" s="179"/>
      <c r="BO188" s="179"/>
      <c r="BP188" s="179"/>
      <c r="BQ188" s="179"/>
      <c r="BR188" s="179"/>
      <c r="BS188" s="179"/>
      <c r="BT188" s="179"/>
      <c r="BU188" s="179"/>
      <c r="BV188" s="179"/>
      <c r="BW188" s="179"/>
      <c r="BX188" s="179"/>
      <c r="BY188" s="179"/>
      <c r="BZ188" s="179"/>
      <c r="CA188" s="179"/>
      <c r="CB188" s="179"/>
      <c r="CC188" s="179"/>
      <c r="CD188" s="179"/>
      <c r="CE188" s="179"/>
      <c r="CF188" s="179"/>
      <c r="CG188" s="179"/>
      <c r="CH188" s="179"/>
      <c r="CI188" s="179"/>
      <c r="CJ188" s="179"/>
      <c r="CK188" s="179"/>
      <c r="CL188" s="179"/>
      <c r="CM188" s="179"/>
      <c r="CN188" s="179"/>
      <c r="CO188" s="179"/>
      <c r="CP188" s="179"/>
      <c r="CQ188" s="179"/>
      <c r="CR188" s="179"/>
      <c r="CS188" s="179"/>
      <c r="CT188" s="179"/>
      <c r="CU188" s="179"/>
      <c r="CV188" s="179"/>
      <c r="CW188" s="179"/>
    </row>
    <row r="189" spans="1:101" x14ac:dyDescent="0.2">
      <c r="A189" s="32" t="str">
        <f t="shared" ca="1" si="2"/>
        <v>2025-10-08</v>
      </c>
      <c r="B189" s="179">
        <f ca="1">IF(ISNUMBER(MATCH(DATEVALUE($A189),'changes1_based on steps'!B$1:B$400,0)),B$2,)</f>
        <v>0</v>
      </c>
      <c r="C189" s="179">
        <f ca="1">IF(ISNUMBER(MATCH(DATEVALUE($A189),'changes1_based on steps'!C$1:C$400,0)),C$2,)</f>
        <v>0</v>
      </c>
      <c r="D189" s="179">
        <f ca="1">IF(ISNUMBER(MATCH(DATEVALUE($A189),'changes1_based on steps'!D$1:D$400,0)),D$2,)</f>
        <v>0</v>
      </c>
      <c r="E189" s="179">
        <f ca="1">IF(ISNUMBER(MATCH(DATEVALUE($A189),'changes1_based on steps'!E$1:E$400,0)),E$2,)</f>
        <v>0</v>
      </c>
      <c r="F189" s="179">
        <f ca="1">IF(ISNUMBER(MATCH(DATEVALUE($A189),'changes1_based on steps'!F$1:F$400,0)),F$2,)</f>
        <v>0</v>
      </c>
      <c r="G189" s="179">
        <f ca="1">IF(ISNUMBER(MATCH(DATEVALUE($A189),'changes1_based on steps'!G$1:G$400,0)),G$2,)</f>
        <v>0</v>
      </c>
      <c r="H189" s="179">
        <f ca="1">IF(ISNUMBER(MATCH(DATEVALUE($A189),'changes1_based on steps'!H$1:H$400,0)),H$2,)</f>
        <v>0</v>
      </c>
      <c r="I189" s="179">
        <f ca="1">IF(ISNUMBER(MATCH(DATEVALUE($A189),'changes1_based on steps'!I$1:I$400,0)),I$2,)</f>
        <v>0</v>
      </c>
      <c r="J189" s="179">
        <f ca="1">IF(ISNUMBER(MATCH(DATEVALUE($A189),'changes1_based on steps'!J$1:J$400,0)),J$2,)</f>
        <v>0</v>
      </c>
      <c r="K189" s="179">
        <f ca="1">IF(ISNUMBER(MATCH(DATEVALUE($A189),'changes1_based on steps'!K$1:K$400,0)),K$2,)</f>
        <v>0</v>
      </c>
      <c r="L189" s="179">
        <f ca="1">IF(ISNUMBER(MATCH(DATEVALUE($A189),'changes1_based on steps'!L$1:L$400,0)),L$2,)</f>
        <v>0</v>
      </c>
      <c r="M189" s="179">
        <f ca="1">IF(ISNUMBER(MATCH(DATEVALUE($A189),'changes1_based on steps'!M$1:M$400,0)),M$2,)</f>
        <v>0</v>
      </c>
      <c r="N189" s="179">
        <f ca="1">IF(ISNUMBER(MATCH(DATEVALUE($A189),'changes1_based on steps'!N$1:N$400,0)),N$2,)</f>
        <v>0</v>
      </c>
      <c r="O189" s="179">
        <f ca="1">IF(ISNUMBER(MATCH(DATEVALUE($A189),'changes1_based on steps'!O$1:O$400,0)),O$2,)</f>
        <v>0</v>
      </c>
      <c r="P189" s="179">
        <f ca="1">IF(ISNUMBER(MATCH(DATEVALUE($A189),'changes1_based on steps'!P$1:P$400,0)),P$2,)</f>
        <v>0</v>
      </c>
      <c r="Q189" s="179">
        <f ca="1">IF(ISNUMBER(MATCH(DATEVALUE($A189),'changes1_based on steps'!Q$1:Q$400,0)),Q$2,)</f>
        <v>0</v>
      </c>
      <c r="R189" s="179">
        <f ca="1">IF(ISNUMBER(MATCH(DATEVALUE($A189),'changes1_based on steps'!R$1:R$400,0)),R$2,)</f>
        <v>0</v>
      </c>
      <c r="S189" s="179">
        <f ca="1">IF(ISNUMBER(MATCH(DATEVALUE($A189),'changes1_based on steps'!S$1:S$400,0)),S$2,)</f>
        <v>0</v>
      </c>
      <c r="T189" s="179">
        <f ca="1">IF(ISNUMBER(MATCH(DATEVALUE($A189),'changes1_based on steps'!T$1:T$400,0)),T$2,)</f>
        <v>0</v>
      </c>
      <c r="U189" s="179">
        <f ca="1">IF(ISNUMBER(MATCH(DATEVALUE($A189),'changes1_based on steps'!U$1:U$400,0)),U$2,)</f>
        <v>0</v>
      </c>
      <c r="V189" s="179"/>
      <c r="W189" s="179"/>
      <c r="X189" s="179"/>
      <c r="Y189" s="179"/>
      <c r="Z189" s="179"/>
      <c r="AA189" s="179"/>
      <c r="AB189" s="179"/>
      <c r="AC189" s="179"/>
      <c r="AD189" s="179"/>
      <c r="AE189" s="179"/>
      <c r="AF189" s="179"/>
      <c r="AG189" s="179"/>
      <c r="AH189" s="179"/>
      <c r="AI189" s="179"/>
      <c r="AJ189" s="179"/>
      <c r="AK189" s="179"/>
      <c r="AL189" s="179"/>
      <c r="AM189" s="179"/>
      <c r="AN189" s="179"/>
      <c r="AO189" s="179"/>
      <c r="AP189" s="179"/>
      <c r="AQ189" s="179"/>
      <c r="AR189" s="179"/>
      <c r="AS189" s="179"/>
      <c r="AT189" s="179"/>
      <c r="AU189" s="179"/>
      <c r="AV189" s="179"/>
      <c r="AW189" s="179"/>
      <c r="AX189" s="179"/>
      <c r="AY189" s="179"/>
      <c r="AZ189" s="179"/>
      <c r="BA189" s="179"/>
      <c r="BB189" s="179"/>
      <c r="BC189" s="179"/>
      <c r="BD189" s="179"/>
      <c r="BE189" s="179"/>
      <c r="BF189" s="179"/>
      <c r="BG189" s="179"/>
      <c r="BH189" s="179"/>
      <c r="BI189" s="179"/>
      <c r="BJ189" s="179"/>
      <c r="BK189" s="179"/>
      <c r="BL189" s="179"/>
      <c r="BM189" s="179"/>
      <c r="BN189" s="179"/>
      <c r="BO189" s="179"/>
      <c r="BP189" s="179"/>
      <c r="BQ189" s="179"/>
      <c r="BR189" s="179"/>
      <c r="BS189" s="179"/>
      <c r="BT189" s="179"/>
      <c r="BU189" s="179"/>
      <c r="BV189" s="179"/>
      <c r="BW189" s="179"/>
      <c r="BX189" s="179"/>
      <c r="BY189" s="179"/>
      <c r="BZ189" s="179"/>
      <c r="CA189" s="179"/>
      <c r="CB189" s="179"/>
      <c r="CC189" s="179"/>
      <c r="CD189" s="179"/>
      <c r="CE189" s="179"/>
      <c r="CF189" s="179"/>
      <c r="CG189" s="179"/>
      <c r="CH189" s="179"/>
      <c r="CI189" s="179"/>
      <c r="CJ189" s="179"/>
      <c r="CK189" s="179"/>
      <c r="CL189" s="179"/>
      <c r="CM189" s="179"/>
      <c r="CN189" s="179"/>
      <c r="CO189" s="179"/>
      <c r="CP189" s="179"/>
      <c r="CQ189" s="179"/>
      <c r="CR189" s="179"/>
      <c r="CS189" s="179"/>
      <c r="CT189" s="179"/>
      <c r="CU189" s="179"/>
      <c r="CV189" s="179"/>
      <c r="CW189" s="179"/>
    </row>
    <row r="190" spans="1:101" x14ac:dyDescent="0.2">
      <c r="A190" s="32" t="str">
        <f t="shared" ca="1" si="2"/>
        <v>2025-10-09</v>
      </c>
      <c r="B190" s="179">
        <f ca="1">IF(ISNUMBER(MATCH(DATEVALUE($A190),'changes1_based on steps'!B$1:B$400,0)),B$2,)</f>
        <v>0</v>
      </c>
      <c r="C190" s="179">
        <f ca="1">IF(ISNUMBER(MATCH(DATEVALUE($A190),'changes1_based on steps'!C$1:C$400,0)),C$2,)</f>
        <v>0</v>
      </c>
      <c r="D190" s="179">
        <f ca="1">IF(ISNUMBER(MATCH(DATEVALUE($A190),'changes1_based on steps'!D$1:D$400,0)),D$2,)</f>
        <v>0</v>
      </c>
      <c r="E190" s="179">
        <f ca="1">IF(ISNUMBER(MATCH(DATEVALUE($A190),'changes1_based on steps'!E$1:E$400,0)),E$2,)</f>
        <v>0</v>
      </c>
      <c r="F190" s="179">
        <f ca="1">IF(ISNUMBER(MATCH(DATEVALUE($A190),'changes1_based on steps'!F$1:F$400,0)),F$2,)</f>
        <v>0</v>
      </c>
      <c r="G190" s="179">
        <f ca="1">IF(ISNUMBER(MATCH(DATEVALUE($A190),'changes1_based on steps'!G$1:G$400,0)),G$2,)</f>
        <v>0</v>
      </c>
      <c r="H190" s="179">
        <f ca="1">IF(ISNUMBER(MATCH(DATEVALUE($A190),'changes1_based on steps'!H$1:H$400,0)),H$2,)</f>
        <v>0</v>
      </c>
      <c r="I190" s="179">
        <f ca="1">IF(ISNUMBER(MATCH(DATEVALUE($A190),'changes1_based on steps'!I$1:I$400,0)),I$2,)</f>
        <v>0</v>
      </c>
      <c r="J190" s="179">
        <f ca="1">IF(ISNUMBER(MATCH(DATEVALUE($A190),'changes1_based on steps'!J$1:J$400,0)),J$2,)</f>
        <v>0</v>
      </c>
      <c r="K190" s="179">
        <f ca="1">IF(ISNUMBER(MATCH(DATEVALUE($A190),'changes1_based on steps'!K$1:K$400,0)),K$2,)</f>
        <v>0</v>
      </c>
      <c r="L190" s="179">
        <f ca="1">IF(ISNUMBER(MATCH(DATEVALUE($A190),'changes1_based on steps'!L$1:L$400,0)),L$2,)</f>
        <v>0</v>
      </c>
      <c r="M190" s="179">
        <f ca="1">IF(ISNUMBER(MATCH(DATEVALUE($A190),'changes1_based on steps'!M$1:M$400,0)),M$2,)</f>
        <v>0</v>
      </c>
      <c r="N190" s="179">
        <f ca="1">IF(ISNUMBER(MATCH(DATEVALUE($A190),'changes1_based on steps'!N$1:N$400,0)),N$2,)</f>
        <v>0</v>
      </c>
      <c r="O190" s="179">
        <f ca="1">IF(ISNUMBER(MATCH(DATEVALUE($A190),'changes1_based on steps'!O$1:O$400,0)),O$2,)</f>
        <v>0</v>
      </c>
      <c r="P190" s="179">
        <f ca="1">IF(ISNUMBER(MATCH(DATEVALUE($A190),'changes1_based on steps'!P$1:P$400,0)),P$2,)</f>
        <v>0</v>
      </c>
      <c r="Q190" s="179">
        <f ca="1">IF(ISNUMBER(MATCH(DATEVALUE($A190),'changes1_based on steps'!Q$1:Q$400,0)),Q$2,)</f>
        <v>0</v>
      </c>
      <c r="R190" s="179">
        <f ca="1">IF(ISNUMBER(MATCH(DATEVALUE($A190),'changes1_based on steps'!R$1:R$400,0)),R$2,)</f>
        <v>0</v>
      </c>
      <c r="S190" s="179">
        <f ca="1">IF(ISNUMBER(MATCH(DATEVALUE($A190),'changes1_based on steps'!S$1:S$400,0)),S$2,)</f>
        <v>0</v>
      </c>
      <c r="T190" s="179">
        <f ca="1">IF(ISNUMBER(MATCH(DATEVALUE($A190),'changes1_based on steps'!T$1:T$400,0)),T$2,)</f>
        <v>0</v>
      </c>
      <c r="U190" s="179">
        <f ca="1">IF(ISNUMBER(MATCH(DATEVALUE($A190),'changes1_based on steps'!U$1:U$400,0)),U$2,)</f>
        <v>0</v>
      </c>
      <c r="V190" s="179"/>
      <c r="W190" s="179"/>
      <c r="X190" s="179"/>
      <c r="Y190" s="179"/>
      <c r="Z190" s="179"/>
      <c r="AA190" s="179"/>
      <c r="AB190" s="179"/>
      <c r="AC190" s="179"/>
      <c r="AD190" s="179"/>
      <c r="AE190" s="179"/>
      <c r="AF190" s="179"/>
      <c r="AG190" s="179"/>
      <c r="AH190" s="179"/>
      <c r="AI190" s="179"/>
      <c r="AJ190" s="179"/>
      <c r="AK190" s="179"/>
      <c r="AL190" s="179"/>
      <c r="AM190" s="179"/>
      <c r="AN190" s="179"/>
      <c r="AO190" s="179"/>
      <c r="AP190" s="179"/>
      <c r="AQ190" s="179"/>
      <c r="AR190" s="179"/>
      <c r="AS190" s="179"/>
      <c r="AT190" s="179"/>
      <c r="AU190" s="179"/>
      <c r="AV190" s="179"/>
      <c r="AW190" s="179"/>
      <c r="AX190" s="179"/>
      <c r="AY190" s="179"/>
      <c r="AZ190" s="179"/>
      <c r="BA190" s="179"/>
      <c r="BB190" s="179"/>
      <c r="BC190" s="179"/>
      <c r="BD190" s="179"/>
      <c r="BE190" s="179"/>
      <c r="BF190" s="179"/>
      <c r="BG190" s="179"/>
      <c r="BH190" s="179"/>
      <c r="BI190" s="179"/>
      <c r="BJ190" s="179"/>
      <c r="BK190" s="179"/>
      <c r="BL190" s="179"/>
      <c r="BM190" s="179"/>
      <c r="BN190" s="179"/>
      <c r="BO190" s="179"/>
      <c r="BP190" s="179"/>
      <c r="BQ190" s="179"/>
      <c r="BR190" s="179"/>
      <c r="BS190" s="179"/>
      <c r="BT190" s="179"/>
      <c r="BU190" s="179"/>
      <c r="BV190" s="179"/>
      <c r="BW190" s="179"/>
      <c r="BX190" s="179"/>
      <c r="BY190" s="179"/>
      <c r="BZ190" s="179"/>
      <c r="CA190" s="179"/>
      <c r="CB190" s="179"/>
      <c r="CC190" s="179"/>
      <c r="CD190" s="179"/>
      <c r="CE190" s="179"/>
      <c r="CF190" s="179"/>
      <c r="CG190" s="179"/>
      <c r="CH190" s="179"/>
      <c r="CI190" s="179"/>
      <c r="CJ190" s="179"/>
      <c r="CK190" s="179"/>
      <c r="CL190" s="179"/>
      <c r="CM190" s="179"/>
      <c r="CN190" s="179"/>
      <c r="CO190" s="179"/>
      <c r="CP190" s="179"/>
      <c r="CQ190" s="179"/>
      <c r="CR190" s="179"/>
      <c r="CS190" s="179"/>
      <c r="CT190" s="179"/>
      <c r="CU190" s="179"/>
      <c r="CV190" s="179"/>
      <c r="CW190" s="179"/>
    </row>
    <row r="191" spans="1:101" x14ac:dyDescent="0.2">
      <c r="A191" s="32" t="str">
        <f t="shared" ca="1" si="2"/>
        <v>2025-10-10</v>
      </c>
      <c r="B191" s="179">
        <f ca="1">IF(ISNUMBER(MATCH(DATEVALUE($A191),'changes1_based on steps'!B$1:B$400,0)),B$2,)</f>
        <v>0</v>
      </c>
      <c r="C191" s="179">
        <f ca="1">IF(ISNUMBER(MATCH(DATEVALUE($A191),'changes1_based on steps'!C$1:C$400,0)),C$2,)</f>
        <v>0</v>
      </c>
      <c r="D191" s="179">
        <f ca="1">IF(ISNUMBER(MATCH(DATEVALUE($A191),'changes1_based on steps'!D$1:D$400,0)),D$2,)</f>
        <v>0</v>
      </c>
      <c r="E191" s="179">
        <f ca="1">IF(ISNUMBER(MATCH(DATEVALUE($A191),'changes1_based on steps'!E$1:E$400,0)),E$2,)</f>
        <v>0</v>
      </c>
      <c r="F191" s="179">
        <f ca="1">IF(ISNUMBER(MATCH(DATEVALUE($A191),'changes1_based on steps'!F$1:F$400,0)),F$2,)</f>
        <v>0</v>
      </c>
      <c r="G191" s="179">
        <f ca="1">IF(ISNUMBER(MATCH(DATEVALUE($A191),'changes1_based on steps'!G$1:G$400,0)),G$2,)</f>
        <v>0</v>
      </c>
      <c r="H191" s="179">
        <f ca="1">IF(ISNUMBER(MATCH(DATEVALUE($A191),'changes1_based on steps'!H$1:H$400,0)),H$2,)</f>
        <v>0</v>
      </c>
      <c r="I191" s="179">
        <f ca="1">IF(ISNUMBER(MATCH(DATEVALUE($A191),'changes1_based on steps'!I$1:I$400,0)),I$2,)</f>
        <v>0</v>
      </c>
      <c r="J191" s="179">
        <f ca="1">IF(ISNUMBER(MATCH(DATEVALUE($A191),'changes1_based on steps'!J$1:J$400,0)),J$2,)</f>
        <v>0</v>
      </c>
      <c r="K191" s="179">
        <f ca="1">IF(ISNUMBER(MATCH(DATEVALUE($A191),'changes1_based on steps'!K$1:K$400,0)),K$2,)</f>
        <v>0</v>
      </c>
      <c r="L191" s="179">
        <f ca="1">IF(ISNUMBER(MATCH(DATEVALUE($A191),'changes1_based on steps'!L$1:L$400,0)),L$2,)</f>
        <v>0</v>
      </c>
      <c r="M191" s="179">
        <f ca="1">IF(ISNUMBER(MATCH(DATEVALUE($A191),'changes1_based on steps'!M$1:M$400,0)),M$2,)</f>
        <v>0</v>
      </c>
      <c r="N191" s="179">
        <f ca="1">IF(ISNUMBER(MATCH(DATEVALUE($A191),'changes1_based on steps'!N$1:N$400,0)),N$2,)</f>
        <v>0</v>
      </c>
      <c r="O191" s="179">
        <f ca="1">IF(ISNUMBER(MATCH(DATEVALUE($A191),'changes1_based on steps'!O$1:O$400,0)),O$2,)</f>
        <v>0</v>
      </c>
      <c r="P191" s="179">
        <f ca="1">IF(ISNUMBER(MATCH(DATEVALUE($A191),'changes1_based on steps'!P$1:P$400,0)),P$2,)</f>
        <v>0</v>
      </c>
      <c r="Q191" s="179">
        <f ca="1">IF(ISNUMBER(MATCH(DATEVALUE($A191),'changes1_based on steps'!Q$1:Q$400,0)),Q$2,)</f>
        <v>0</v>
      </c>
      <c r="R191" s="179">
        <f ca="1">IF(ISNUMBER(MATCH(DATEVALUE($A191),'changes1_based on steps'!R$1:R$400,0)),R$2,)</f>
        <v>0</v>
      </c>
      <c r="S191" s="179">
        <f ca="1">IF(ISNUMBER(MATCH(DATEVALUE($A191),'changes1_based on steps'!S$1:S$400,0)),S$2,)</f>
        <v>0</v>
      </c>
      <c r="T191" s="179">
        <f ca="1">IF(ISNUMBER(MATCH(DATEVALUE($A191),'changes1_based on steps'!T$1:T$400,0)),T$2,)</f>
        <v>0</v>
      </c>
      <c r="U191" s="179">
        <f ca="1">IF(ISNUMBER(MATCH(DATEVALUE($A191),'changes1_based on steps'!U$1:U$400,0)),U$2,)</f>
        <v>0</v>
      </c>
      <c r="V191" s="179"/>
      <c r="W191" s="179"/>
      <c r="X191" s="179"/>
      <c r="Y191" s="179"/>
      <c r="Z191" s="179"/>
      <c r="AA191" s="179"/>
      <c r="AB191" s="179"/>
      <c r="AC191" s="179"/>
      <c r="AD191" s="179"/>
      <c r="AE191" s="179"/>
      <c r="AF191" s="179"/>
      <c r="AG191" s="179"/>
      <c r="AH191" s="179"/>
      <c r="AI191" s="179"/>
      <c r="AJ191" s="179"/>
      <c r="AK191" s="179"/>
      <c r="AL191" s="179"/>
      <c r="AM191" s="179"/>
      <c r="AN191" s="179"/>
      <c r="AO191" s="179"/>
      <c r="AP191" s="179"/>
      <c r="AQ191" s="179"/>
      <c r="AR191" s="179"/>
      <c r="AS191" s="179"/>
      <c r="AT191" s="179"/>
      <c r="AU191" s="179"/>
      <c r="AV191" s="179"/>
      <c r="AW191" s="179"/>
      <c r="AX191" s="179"/>
      <c r="AY191" s="179"/>
      <c r="AZ191" s="179"/>
      <c r="BA191" s="179"/>
      <c r="BB191" s="179"/>
      <c r="BC191" s="179"/>
      <c r="BD191" s="179"/>
      <c r="BE191" s="179"/>
      <c r="BF191" s="179"/>
      <c r="BG191" s="179"/>
      <c r="BH191" s="179"/>
      <c r="BI191" s="179"/>
      <c r="BJ191" s="179"/>
      <c r="BK191" s="179"/>
      <c r="BL191" s="179"/>
      <c r="BM191" s="179"/>
      <c r="BN191" s="179"/>
      <c r="BO191" s="179"/>
      <c r="BP191" s="179"/>
      <c r="BQ191" s="179"/>
      <c r="BR191" s="179"/>
      <c r="BS191" s="179"/>
      <c r="BT191" s="179"/>
      <c r="BU191" s="179"/>
      <c r="BV191" s="179"/>
      <c r="BW191" s="179"/>
      <c r="BX191" s="179"/>
      <c r="BY191" s="179"/>
      <c r="BZ191" s="179"/>
      <c r="CA191" s="179"/>
      <c r="CB191" s="179"/>
      <c r="CC191" s="179"/>
      <c r="CD191" s="179"/>
      <c r="CE191" s="179"/>
      <c r="CF191" s="179"/>
      <c r="CG191" s="179"/>
      <c r="CH191" s="179"/>
      <c r="CI191" s="179"/>
      <c r="CJ191" s="179"/>
      <c r="CK191" s="179"/>
      <c r="CL191" s="179"/>
      <c r="CM191" s="179"/>
      <c r="CN191" s="179"/>
      <c r="CO191" s="179"/>
      <c r="CP191" s="179"/>
      <c r="CQ191" s="179"/>
      <c r="CR191" s="179"/>
      <c r="CS191" s="179"/>
      <c r="CT191" s="179"/>
      <c r="CU191" s="179"/>
      <c r="CV191" s="179"/>
      <c r="CW191" s="179"/>
    </row>
    <row r="192" spans="1:101" x14ac:dyDescent="0.2">
      <c r="A192" s="32" t="str">
        <f t="shared" ca="1" si="2"/>
        <v>2025-10-11</v>
      </c>
      <c r="B192" s="179">
        <f ca="1">IF(ISNUMBER(MATCH(DATEVALUE($A192),'changes1_based on steps'!B$1:B$400,0)),B$2,)</f>
        <v>0</v>
      </c>
      <c r="C192" s="179">
        <f ca="1">IF(ISNUMBER(MATCH(DATEVALUE($A192),'changes1_based on steps'!C$1:C$400,0)),C$2,)</f>
        <v>0</v>
      </c>
      <c r="D192" s="179">
        <f ca="1">IF(ISNUMBER(MATCH(DATEVALUE($A192),'changes1_based on steps'!D$1:D$400,0)),D$2,)</f>
        <v>0</v>
      </c>
      <c r="E192" s="179">
        <f ca="1">IF(ISNUMBER(MATCH(DATEVALUE($A192),'changes1_based on steps'!E$1:E$400,0)),E$2,)</f>
        <v>0</v>
      </c>
      <c r="F192" s="179">
        <f ca="1">IF(ISNUMBER(MATCH(DATEVALUE($A192),'changes1_based on steps'!F$1:F$400,0)),F$2,)</f>
        <v>0</v>
      </c>
      <c r="G192" s="179">
        <f ca="1">IF(ISNUMBER(MATCH(DATEVALUE($A192),'changes1_based on steps'!G$1:G$400,0)),G$2,)</f>
        <v>0</v>
      </c>
      <c r="H192" s="179">
        <f ca="1">IF(ISNUMBER(MATCH(DATEVALUE($A192),'changes1_based on steps'!H$1:H$400,0)),H$2,)</f>
        <v>0</v>
      </c>
      <c r="I192" s="179">
        <f ca="1">IF(ISNUMBER(MATCH(DATEVALUE($A192),'changes1_based on steps'!I$1:I$400,0)),I$2,)</f>
        <v>0</v>
      </c>
      <c r="J192" s="179">
        <f ca="1">IF(ISNUMBER(MATCH(DATEVALUE($A192),'changes1_based on steps'!J$1:J$400,0)),J$2,)</f>
        <v>0</v>
      </c>
      <c r="K192" s="179">
        <f ca="1">IF(ISNUMBER(MATCH(DATEVALUE($A192),'changes1_based on steps'!K$1:K$400,0)),K$2,)</f>
        <v>0</v>
      </c>
      <c r="L192" s="179">
        <f ca="1">IF(ISNUMBER(MATCH(DATEVALUE($A192),'changes1_based on steps'!L$1:L$400,0)),L$2,)</f>
        <v>0</v>
      </c>
      <c r="M192" s="179">
        <f ca="1">IF(ISNUMBER(MATCH(DATEVALUE($A192),'changes1_based on steps'!M$1:M$400,0)),M$2,)</f>
        <v>0</v>
      </c>
      <c r="N192" s="179">
        <f ca="1">IF(ISNUMBER(MATCH(DATEVALUE($A192),'changes1_based on steps'!N$1:N$400,0)),N$2,)</f>
        <v>0</v>
      </c>
      <c r="O192" s="179">
        <f ca="1">IF(ISNUMBER(MATCH(DATEVALUE($A192),'changes1_based on steps'!O$1:O$400,0)),O$2,)</f>
        <v>0</v>
      </c>
      <c r="P192" s="179">
        <f ca="1">IF(ISNUMBER(MATCH(DATEVALUE($A192),'changes1_based on steps'!P$1:P$400,0)),P$2,)</f>
        <v>0</v>
      </c>
      <c r="Q192" s="179">
        <f ca="1">IF(ISNUMBER(MATCH(DATEVALUE($A192),'changes1_based on steps'!Q$1:Q$400,0)),Q$2,)</f>
        <v>0</v>
      </c>
      <c r="R192" s="179">
        <f ca="1">IF(ISNUMBER(MATCH(DATEVALUE($A192),'changes1_based on steps'!R$1:R$400,0)),R$2,)</f>
        <v>0</v>
      </c>
      <c r="S192" s="179">
        <f ca="1">IF(ISNUMBER(MATCH(DATEVALUE($A192),'changes1_based on steps'!S$1:S$400,0)),S$2,)</f>
        <v>0</v>
      </c>
      <c r="T192" s="179">
        <f ca="1">IF(ISNUMBER(MATCH(DATEVALUE($A192),'changes1_based on steps'!T$1:T$400,0)),T$2,)</f>
        <v>0</v>
      </c>
      <c r="U192" s="179">
        <f ca="1">IF(ISNUMBER(MATCH(DATEVALUE($A192),'changes1_based on steps'!U$1:U$400,0)),U$2,)</f>
        <v>0</v>
      </c>
      <c r="V192" s="179"/>
      <c r="W192" s="179"/>
      <c r="X192" s="179"/>
      <c r="Y192" s="179"/>
      <c r="Z192" s="179"/>
      <c r="AA192" s="179"/>
      <c r="AB192" s="179"/>
      <c r="AC192" s="179"/>
      <c r="AD192" s="179"/>
      <c r="AE192" s="179"/>
      <c r="AF192" s="179"/>
      <c r="AG192" s="179"/>
      <c r="AH192" s="179"/>
      <c r="AI192" s="179"/>
      <c r="AJ192" s="179"/>
      <c r="AK192" s="179"/>
      <c r="AL192" s="179"/>
      <c r="AM192" s="179"/>
      <c r="AN192" s="179"/>
      <c r="AO192" s="179"/>
      <c r="AP192" s="179"/>
      <c r="AQ192" s="179"/>
      <c r="AR192" s="179"/>
      <c r="AS192" s="179"/>
      <c r="AT192" s="179"/>
      <c r="AU192" s="179"/>
      <c r="AV192" s="179"/>
      <c r="AW192" s="179"/>
      <c r="AX192" s="179"/>
      <c r="AY192" s="179"/>
      <c r="AZ192" s="179"/>
      <c r="BA192" s="179"/>
      <c r="BB192" s="179"/>
      <c r="BC192" s="179"/>
      <c r="BD192" s="179"/>
      <c r="BE192" s="179"/>
      <c r="BF192" s="179"/>
      <c r="BG192" s="179"/>
      <c r="BH192" s="179"/>
      <c r="BI192" s="179"/>
      <c r="BJ192" s="179"/>
      <c r="BK192" s="179"/>
      <c r="BL192" s="179"/>
      <c r="BM192" s="179"/>
      <c r="BN192" s="179"/>
      <c r="BO192" s="179"/>
      <c r="BP192" s="179"/>
      <c r="BQ192" s="179"/>
      <c r="BR192" s="179"/>
      <c r="BS192" s="179"/>
      <c r="BT192" s="179"/>
      <c r="BU192" s="179"/>
      <c r="BV192" s="179"/>
      <c r="BW192" s="179"/>
      <c r="BX192" s="179"/>
      <c r="BY192" s="179"/>
      <c r="BZ192" s="179"/>
      <c r="CA192" s="179"/>
      <c r="CB192" s="179"/>
      <c r="CC192" s="179"/>
      <c r="CD192" s="179"/>
      <c r="CE192" s="179"/>
      <c r="CF192" s="179"/>
      <c r="CG192" s="179"/>
      <c r="CH192" s="179"/>
      <c r="CI192" s="179"/>
      <c r="CJ192" s="179"/>
      <c r="CK192" s="179"/>
      <c r="CL192" s="179"/>
      <c r="CM192" s="179"/>
      <c r="CN192" s="179"/>
      <c r="CO192" s="179"/>
      <c r="CP192" s="179"/>
      <c r="CQ192" s="179"/>
      <c r="CR192" s="179"/>
      <c r="CS192" s="179"/>
      <c r="CT192" s="179"/>
      <c r="CU192" s="179"/>
      <c r="CV192" s="179"/>
      <c r="CW192" s="179"/>
    </row>
    <row r="193" spans="1:101" x14ac:dyDescent="0.2">
      <c r="A193" s="32" t="str">
        <f t="shared" ca="1" si="2"/>
        <v>2025-10-12</v>
      </c>
      <c r="B193" s="179">
        <f ca="1">IF(ISNUMBER(MATCH(DATEVALUE($A193),'changes1_based on steps'!B$1:B$400,0)),B$2,)</f>
        <v>0</v>
      </c>
      <c r="C193" s="179">
        <f ca="1">IF(ISNUMBER(MATCH(DATEVALUE($A193),'changes1_based on steps'!C$1:C$400,0)),C$2,)</f>
        <v>0</v>
      </c>
      <c r="D193" s="179">
        <f ca="1">IF(ISNUMBER(MATCH(DATEVALUE($A193),'changes1_based on steps'!D$1:D$400,0)),D$2,)</f>
        <v>0</v>
      </c>
      <c r="E193" s="179">
        <f ca="1">IF(ISNUMBER(MATCH(DATEVALUE($A193),'changes1_based on steps'!E$1:E$400,0)),E$2,)</f>
        <v>0</v>
      </c>
      <c r="F193" s="179">
        <f ca="1">IF(ISNUMBER(MATCH(DATEVALUE($A193),'changes1_based on steps'!F$1:F$400,0)),F$2,)</f>
        <v>0</v>
      </c>
      <c r="G193" s="179">
        <f ca="1">IF(ISNUMBER(MATCH(DATEVALUE($A193),'changes1_based on steps'!G$1:G$400,0)),G$2,)</f>
        <v>0</v>
      </c>
      <c r="H193" s="179">
        <f ca="1">IF(ISNUMBER(MATCH(DATEVALUE($A193),'changes1_based on steps'!H$1:H$400,0)),H$2,)</f>
        <v>0</v>
      </c>
      <c r="I193" s="179">
        <f ca="1">IF(ISNUMBER(MATCH(DATEVALUE($A193),'changes1_based on steps'!I$1:I$400,0)),I$2,)</f>
        <v>0</v>
      </c>
      <c r="J193" s="179">
        <f ca="1">IF(ISNUMBER(MATCH(DATEVALUE($A193),'changes1_based on steps'!J$1:J$400,0)),J$2,)</f>
        <v>0</v>
      </c>
      <c r="K193" s="179">
        <f ca="1">IF(ISNUMBER(MATCH(DATEVALUE($A193),'changes1_based on steps'!K$1:K$400,0)),K$2,)</f>
        <v>0</v>
      </c>
      <c r="L193" s="179">
        <f ca="1">IF(ISNUMBER(MATCH(DATEVALUE($A193),'changes1_based on steps'!L$1:L$400,0)),L$2,)</f>
        <v>0</v>
      </c>
      <c r="M193" s="179">
        <f ca="1">IF(ISNUMBER(MATCH(DATEVALUE($A193),'changes1_based on steps'!M$1:M$400,0)),M$2,)</f>
        <v>0</v>
      </c>
      <c r="N193" s="179">
        <f ca="1">IF(ISNUMBER(MATCH(DATEVALUE($A193),'changes1_based on steps'!N$1:N$400,0)),N$2,)</f>
        <v>0</v>
      </c>
      <c r="O193" s="179">
        <f ca="1">IF(ISNUMBER(MATCH(DATEVALUE($A193),'changes1_based on steps'!O$1:O$400,0)),O$2,)</f>
        <v>0</v>
      </c>
      <c r="P193" s="179">
        <f ca="1">IF(ISNUMBER(MATCH(DATEVALUE($A193),'changes1_based on steps'!P$1:P$400,0)),P$2,)</f>
        <v>0</v>
      </c>
      <c r="Q193" s="179">
        <f ca="1">IF(ISNUMBER(MATCH(DATEVALUE($A193),'changes1_based on steps'!Q$1:Q$400,0)),Q$2,)</f>
        <v>0</v>
      </c>
      <c r="R193" s="179">
        <f ca="1">IF(ISNUMBER(MATCH(DATEVALUE($A193),'changes1_based on steps'!R$1:R$400,0)),R$2,)</f>
        <v>0</v>
      </c>
      <c r="S193" s="179">
        <f ca="1">IF(ISNUMBER(MATCH(DATEVALUE($A193),'changes1_based on steps'!S$1:S$400,0)),S$2,)</f>
        <v>0</v>
      </c>
      <c r="T193" s="179">
        <f ca="1">IF(ISNUMBER(MATCH(DATEVALUE($A193),'changes1_based on steps'!T$1:T$400,0)),T$2,)</f>
        <v>0</v>
      </c>
      <c r="U193" s="179">
        <f ca="1">IF(ISNUMBER(MATCH(DATEVALUE($A193),'changes1_based on steps'!U$1:U$400,0)),U$2,)</f>
        <v>0</v>
      </c>
      <c r="V193" s="179"/>
      <c r="W193" s="179"/>
      <c r="X193" s="179"/>
      <c r="Y193" s="179"/>
      <c r="Z193" s="179"/>
      <c r="AA193" s="179"/>
      <c r="AB193" s="179"/>
      <c r="AC193" s="179"/>
      <c r="AD193" s="179"/>
      <c r="AE193" s="179"/>
      <c r="AF193" s="179"/>
      <c r="AG193" s="179"/>
      <c r="AH193" s="179"/>
      <c r="AI193" s="179"/>
      <c r="AJ193" s="179"/>
      <c r="AK193" s="179"/>
      <c r="AL193" s="179"/>
      <c r="AM193" s="179"/>
      <c r="AN193" s="179"/>
      <c r="AO193" s="179"/>
      <c r="AP193" s="179"/>
      <c r="AQ193" s="179"/>
      <c r="AR193" s="179"/>
      <c r="AS193" s="179"/>
      <c r="AT193" s="179"/>
      <c r="AU193" s="179"/>
      <c r="AV193" s="179"/>
      <c r="AW193" s="179"/>
      <c r="AX193" s="179"/>
      <c r="AY193" s="179"/>
      <c r="AZ193" s="179"/>
      <c r="BA193" s="179"/>
      <c r="BB193" s="179"/>
      <c r="BC193" s="179"/>
      <c r="BD193" s="179"/>
      <c r="BE193" s="179"/>
      <c r="BF193" s="179"/>
      <c r="BG193" s="179"/>
      <c r="BH193" s="179"/>
      <c r="BI193" s="179"/>
      <c r="BJ193" s="179"/>
      <c r="BK193" s="179"/>
      <c r="BL193" s="179"/>
      <c r="BM193" s="179"/>
      <c r="BN193" s="179"/>
      <c r="BO193" s="179"/>
      <c r="BP193" s="179"/>
      <c r="BQ193" s="179"/>
      <c r="BR193" s="179"/>
      <c r="BS193" s="179"/>
      <c r="BT193" s="179"/>
      <c r="BU193" s="179"/>
      <c r="BV193" s="179"/>
      <c r="BW193" s="179"/>
      <c r="BX193" s="179"/>
      <c r="BY193" s="179"/>
      <c r="BZ193" s="179"/>
      <c r="CA193" s="179"/>
      <c r="CB193" s="179"/>
      <c r="CC193" s="179"/>
      <c r="CD193" s="179"/>
      <c r="CE193" s="179"/>
      <c r="CF193" s="179"/>
      <c r="CG193" s="179"/>
      <c r="CH193" s="179"/>
      <c r="CI193" s="179"/>
      <c r="CJ193" s="179"/>
      <c r="CK193" s="179"/>
      <c r="CL193" s="179"/>
      <c r="CM193" s="179"/>
      <c r="CN193" s="179"/>
      <c r="CO193" s="179"/>
      <c r="CP193" s="179"/>
      <c r="CQ193" s="179"/>
      <c r="CR193" s="179"/>
      <c r="CS193" s="179"/>
      <c r="CT193" s="179"/>
      <c r="CU193" s="179"/>
      <c r="CV193" s="179"/>
      <c r="CW193" s="179"/>
    </row>
    <row r="194" spans="1:101" x14ac:dyDescent="0.2">
      <c r="A194" s="32" t="str">
        <f t="shared" ca="1" si="2"/>
        <v>2025-10-13</v>
      </c>
      <c r="B194" s="179">
        <f ca="1">IF(ISNUMBER(MATCH(DATEVALUE($A194),'changes1_based on steps'!B$1:B$400,0)),B$2,)</f>
        <v>0</v>
      </c>
      <c r="C194" s="179">
        <f ca="1">IF(ISNUMBER(MATCH(DATEVALUE($A194),'changes1_based on steps'!C$1:C$400,0)),C$2,)</f>
        <v>0</v>
      </c>
      <c r="D194" s="179">
        <f ca="1">IF(ISNUMBER(MATCH(DATEVALUE($A194),'changes1_based on steps'!D$1:D$400,0)),D$2,)</f>
        <v>0</v>
      </c>
      <c r="E194" s="179">
        <f ca="1">IF(ISNUMBER(MATCH(DATEVALUE($A194),'changes1_based on steps'!E$1:E$400,0)),E$2,)</f>
        <v>0</v>
      </c>
      <c r="F194" s="179">
        <f ca="1">IF(ISNUMBER(MATCH(DATEVALUE($A194),'changes1_based on steps'!F$1:F$400,0)),F$2,)</f>
        <v>0</v>
      </c>
      <c r="G194" s="179">
        <f ca="1">IF(ISNUMBER(MATCH(DATEVALUE($A194),'changes1_based on steps'!G$1:G$400,0)),G$2,)</f>
        <v>0</v>
      </c>
      <c r="H194" s="179">
        <f ca="1">IF(ISNUMBER(MATCH(DATEVALUE($A194),'changes1_based on steps'!H$1:H$400,0)),H$2,)</f>
        <v>0</v>
      </c>
      <c r="I194" s="179">
        <f ca="1">IF(ISNUMBER(MATCH(DATEVALUE($A194),'changes1_based on steps'!I$1:I$400,0)),I$2,)</f>
        <v>0</v>
      </c>
      <c r="J194" s="179">
        <f ca="1">IF(ISNUMBER(MATCH(DATEVALUE($A194),'changes1_based on steps'!J$1:J$400,0)),J$2,)</f>
        <v>0</v>
      </c>
      <c r="K194" s="179">
        <f ca="1">IF(ISNUMBER(MATCH(DATEVALUE($A194),'changes1_based on steps'!K$1:K$400,0)),K$2,)</f>
        <v>0</v>
      </c>
      <c r="L194" s="179">
        <f ca="1">IF(ISNUMBER(MATCH(DATEVALUE($A194),'changes1_based on steps'!L$1:L$400,0)),L$2,)</f>
        <v>0</v>
      </c>
      <c r="M194" s="179">
        <f ca="1">IF(ISNUMBER(MATCH(DATEVALUE($A194),'changes1_based on steps'!M$1:M$400,0)),M$2,)</f>
        <v>0</v>
      </c>
      <c r="N194" s="179">
        <f ca="1">IF(ISNUMBER(MATCH(DATEVALUE($A194),'changes1_based on steps'!N$1:N$400,0)),N$2,)</f>
        <v>0</v>
      </c>
      <c r="O194" s="179">
        <f ca="1">IF(ISNUMBER(MATCH(DATEVALUE($A194),'changes1_based on steps'!O$1:O$400,0)),O$2,)</f>
        <v>0</v>
      </c>
      <c r="P194" s="179">
        <f ca="1">IF(ISNUMBER(MATCH(DATEVALUE($A194),'changes1_based on steps'!P$1:P$400,0)),P$2,)</f>
        <v>0</v>
      </c>
      <c r="Q194" s="179">
        <f ca="1">IF(ISNUMBER(MATCH(DATEVALUE($A194),'changes1_based on steps'!Q$1:Q$400,0)),Q$2,)</f>
        <v>0</v>
      </c>
      <c r="R194" s="179">
        <f ca="1">IF(ISNUMBER(MATCH(DATEVALUE($A194),'changes1_based on steps'!R$1:R$400,0)),R$2,)</f>
        <v>0</v>
      </c>
      <c r="S194" s="179">
        <f ca="1">IF(ISNUMBER(MATCH(DATEVALUE($A194),'changes1_based on steps'!S$1:S$400,0)),S$2,)</f>
        <v>0</v>
      </c>
      <c r="T194" s="179">
        <f ca="1">IF(ISNUMBER(MATCH(DATEVALUE($A194),'changes1_based on steps'!T$1:T$400,0)),T$2,)</f>
        <v>0</v>
      </c>
      <c r="U194" s="179">
        <f ca="1">IF(ISNUMBER(MATCH(DATEVALUE($A194),'changes1_based on steps'!U$1:U$400,0)),U$2,)</f>
        <v>0</v>
      </c>
      <c r="V194" s="179"/>
      <c r="W194" s="179"/>
      <c r="X194" s="179"/>
      <c r="Y194" s="179"/>
      <c r="Z194" s="179"/>
      <c r="AA194" s="179"/>
      <c r="AB194" s="179"/>
      <c r="AC194" s="179"/>
      <c r="AD194" s="179"/>
      <c r="AE194" s="179"/>
      <c r="AF194" s="179"/>
      <c r="AG194" s="179"/>
      <c r="AH194" s="179"/>
      <c r="AI194" s="179"/>
      <c r="AJ194" s="179"/>
      <c r="AK194" s="179"/>
      <c r="AL194" s="179"/>
      <c r="AM194" s="179"/>
      <c r="AN194" s="179"/>
      <c r="AO194" s="179"/>
      <c r="AP194" s="179"/>
      <c r="AQ194" s="179"/>
      <c r="AR194" s="179"/>
      <c r="AS194" s="179"/>
      <c r="AT194" s="179"/>
      <c r="AU194" s="179"/>
      <c r="AV194" s="179"/>
      <c r="AW194" s="179"/>
      <c r="AX194" s="179"/>
      <c r="AY194" s="179"/>
      <c r="AZ194" s="179"/>
      <c r="BA194" s="179"/>
      <c r="BB194" s="179"/>
      <c r="BC194" s="179"/>
      <c r="BD194" s="179"/>
      <c r="BE194" s="179"/>
      <c r="BF194" s="179"/>
      <c r="BG194" s="179"/>
      <c r="BH194" s="179"/>
      <c r="BI194" s="179"/>
      <c r="BJ194" s="179"/>
      <c r="BK194" s="179"/>
      <c r="BL194" s="179"/>
      <c r="BM194" s="179"/>
      <c r="BN194" s="179"/>
      <c r="BO194" s="179"/>
      <c r="BP194" s="179"/>
      <c r="BQ194" s="179"/>
      <c r="BR194" s="179"/>
      <c r="BS194" s="179"/>
      <c r="BT194" s="179"/>
      <c r="BU194" s="179"/>
      <c r="BV194" s="179"/>
      <c r="BW194" s="179"/>
      <c r="BX194" s="179"/>
      <c r="BY194" s="179"/>
      <c r="BZ194" s="179"/>
      <c r="CA194" s="179"/>
      <c r="CB194" s="179"/>
      <c r="CC194" s="179"/>
      <c r="CD194" s="179"/>
      <c r="CE194" s="179"/>
      <c r="CF194" s="179"/>
      <c r="CG194" s="179"/>
      <c r="CH194" s="179"/>
      <c r="CI194" s="179"/>
      <c r="CJ194" s="179"/>
      <c r="CK194" s="179"/>
      <c r="CL194" s="179"/>
      <c r="CM194" s="179"/>
      <c r="CN194" s="179"/>
      <c r="CO194" s="179"/>
      <c r="CP194" s="179"/>
      <c r="CQ194" s="179"/>
      <c r="CR194" s="179"/>
      <c r="CS194" s="179"/>
      <c r="CT194" s="179"/>
      <c r="CU194" s="179"/>
      <c r="CV194" s="179"/>
      <c r="CW194" s="179"/>
    </row>
    <row r="195" spans="1:101" x14ac:dyDescent="0.2">
      <c r="A195" s="32" t="str">
        <f t="shared" ca="1" si="2"/>
        <v>2025-10-14</v>
      </c>
      <c r="B195" s="179">
        <f ca="1">IF(ISNUMBER(MATCH(DATEVALUE($A195),'changes1_based on steps'!B$1:B$400,0)),B$2,)</f>
        <v>0</v>
      </c>
      <c r="C195" s="179">
        <f ca="1">IF(ISNUMBER(MATCH(DATEVALUE($A195),'changes1_based on steps'!C$1:C$400,0)),C$2,)</f>
        <v>0</v>
      </c>
      <c r="D195" s="179">
        <f ca="1">IF(ISNUMBER(MATCH(DATEVALUE($A195),'changes1_based on steps'!D$1:D$400,0)),D$2,)</f>
        <v>0</v>
      </c>
      <c r="E195" s="179">
        <f ca="1">IF(ISNUMBER(MATCH(DATEVALUE($A195),'changes1_based on steps'!E$1:E$400,0)),E$2,)</f>
        <v>0</v>
      </c>
      <c r="F195" s="179">
        <f ca="1">IF(ISNUMBER(MATCH(DATEVALUE($A195),'changes1_based on steps'!F$1:F$400,0)),F$2,)</f>
        <v>0</v>
      </c>
      <c r="G195" s="179">
        <f ca="1">IF(ISNUMBER(MATCH(DATEVALUE($A195),'changes1_based on steps'!G$1:G$400,0)),G$2,)</f>
        <v>0</v>
      </c>
      <c r="H195" s="179">
        <f ca="1">IF(ISNUMBER(MATCH(DATEVALUE($A195),'changes1_based on steps'!H$1:H$400,0)),H$2,)</f>
        <v>0</v>
      </c>
      <c r="I195" s="179">
        <f ca="1">IF(ISNUMBER(MATCH(DATEVALUE($A195),'changes1_based on steps'!I$1:I$400,0)),I$2,)</f>
        <v>0</v>
      </c>
      <c r="J195" s="179">
        <f ca="1">IF(ISNUMBER(MATCH(DATEVALUE($A195),'changes1_based on steps'!J$1:J$400,0)),J$2,)</f>
        <v>0</v>
      </c>
      <c r="K195" s="179">
        <f ca="1">IF(ISNUMBER(MATCH(DATEVALUE($A195),'changes1_based on steps'!K$1:K$400,0)),K$2,)</f>
        <v>0</v>
      </c>
      <c r="L195" s="179">
        <f ca="1">IF(ISNUMBER(MATCH(DATEVALUE($A195),'changes1_based on steps'!L$1:L$400,0)),L$2,)</f>
        <v>0</v>
      </c>
      <c r="M195" s="179">
        <f ca="1">IF(ISNUMBER(MATCH(DATEVALUE($A195),'changes1_based on steps'!M$1:M$400,0)),M$2,)</f>
        <v>0</v>
      </c>
      <c r="N195" s="179">
        <f ca="1">IF(ISNUMBER(MATCH(DATEVALUE($A195),'changes1_based on steps'!N$1:N$400,0)),N$2,)</f>
        <v>0</v>
      </c>
      <c r="O195" s="179">
        <f ca="1">IF(ISNUMBER(MATCH(DATEVALUE($A195),'changes1_based on steps'!O$1:O$400,0)),O$2,)</f>
        <v>0</v>
      </c>
      <c r="P195" s="179">
        <f ca="1">IF(ISNUMBER(MATCH(DATEVALUE($A195),'changes1_based on steps'!P$1:P$400,0)),P$2,)</f>
        <v>0</v>
      </c>
      <c r="Q195" s="179">
        <f ca="1">IF(ISNUMBER(MATCH(DATEVALUE($A195),'changes1_based on steps'!Q$1:Q$400,0)),Q$2,)</f>
        <v>0</v>
      </c>
      <c r="R195" s="179">
        <f ca="1">IF(ISNUMBER(MATCH(DATEVALUE($A195),'changes1_based on steps'!R$1:R$400,0)),R$2,)</f>
        <v>0</v>
      </c>
      <c r="S195" s="179">
        <f ca="1">IF(ISNUMBER(MATCH(DATEVALUE($A195),'changes1_based on steps'!S$1:S$400,0)),S$2,)</f>
        <v>0</v>
      </c>
      <c r="T195" s="179">
        <f ca="1">IF(ISNUMBER(MATCH(DATEVALUE($A195),'changes1_based on steps'!T$1:T$400,0)),T$2,)</f>
        <v>0</v>
      </c>
      <c r="U195" s="179">
        <f ca="1">IF(ISNUMBER(MATCH(DATEVALUE($A195),'changes1_based on steps'!U$1:U$400,0)),U$2,)</f>
        <v>0</v>
      </c>
      <c r="V195" s="179"/>
      <c r="W195" s="179"/>
      <c r="X195" s="179"/>
      <c r="Y195" s="179"/>
      <c r="Z195" s="179"/>
      <c r="AA195" s="179"/>
      <c r="AB195" s="179"/>
      <c r="AC195" s="179"/>
      <c r="AD195" s="179"/>
      <c r="AE195" s="179"/>
      <c r="AF195" s="179"/>
      <c r="AG195" s="179"/>
      <c r="AH195" s="179"/>
      <c r="AI195" s="179"/>
      <c r="AJ195" s="179"/>
      <c r="AK195" s="179"/>
      <c r="AL195" s="179"/>
      <c r="AM195" s="179"/>
      <c r="AN195" s="179"/>
      <c r="AO195" s="179"/>
      <c r="AP195" s="179"/>
      <c r="AQ195" s="179"/>
      <c r="AR195" s="179"/>
      <c r="AS195" s="179"/>
      <c r="AT195" s="179"/>
      <c r="AU195" s="179"/>
      <c r="AV195" s="179"/>
      <c r="AW195" s="179"/>
      <c r="AX195" s="179"/>
      <c r="AY195" s="179"/>
      <c r="AZ195" s="179"/>
      <c r="BA195" s="179"/>
      <c r="BB195" s="179"/>
      <c r="BC195" s="179"/>
      <c r="BD195" s="179"/>
      <c r="BE195" s="179"/>
      <c r="BF195" s="179"/>
      <c r="BG195" s="179"/>
      <c r="BH195" s="179"/>
      <c r="BI195" s="179"/>
      <c r="BJ195" s="179"/>
      <c r="BK195" s="179"/>
      <c r="BL195" s="179"/>
      <c r="BM195" s="179"/>
      <c r="BN195" s="179"/>
      <c r="BO195" s="179"/>
      <c r="BP195" s="179"/>
      <c r="BQ195" s="179"/>
      <c r="BR195" s="179"/>
      <c r="BS195" s="179"/>
      <c r="BT195" s="179"/>
      <c r="BU195" s="179"/>
      <c r="BV195" s="179"/>
      <c r="BW195" s="179"/>
      <c r="BX195" s="179"/>
      <c r="BY195" s="179"/>
      <c r="BZ195" s="179"/>
      <c r="CA195" s="179"/>
      <c r="CB195" s="179"/>
      <c r="CC195" s="179"/>
      <c r="CD195" s="179"/>
      <c r="CE195" s="179"/>
      <c r="CF195" s="179"/>
      <c r="CG195" s="179"/>
      <c r="CH195" s="179"/>
      <c r="CI195" s="179"/>
      <c r="CJ195" s="179"/>
      <c r="CK195" s="179"/>
      <c r="CL195" s="179"/>
      <c r="CM195" s="179"/>
      <c r="CN195" s="179"/>
      <c r="CO195" s="179"/>
      <c r="CP195" s="179"/>
      <c r="CQ195" s="179"/>
      <c r="CR195" s="179"/>
      <c r="CS195" s="179"/>
      <c r="CT195" s="179"/>
      <c r="CU195" s="179"/>
      <c r="CV195" s="179"/>
      <c r="CW195" s="179"/>
    </row>
    <row r="196" spans="1:101" x14ac:dyDescent="0.2">
      <c r="A196" s="32" t="str">
        <f t="shared" ca="1" si="2"/>
        <v>2025-10-15</v>
      </c>
      <c r="B196" s="179">
        <f ca="1">IF(ISNUMBER(MATCH(DATEVALUE($A196),'changes1_based on steps'!B$1:B$400,0)),B$2,)</f>
        <v>0</v>
      </c>
      <c r="C196" s="179">
        <f ca="1">IF(ISNUMBER(MATCH(DATEVALUE($A196),'changes1_based on steps'!C$1:C$400,0)),C$2,)</f>
        <v>0</v>
      </c>
      <c r="D196" s="179">
        <f ca="1">IF(ISNUMBER(MATCH(DATEVALUE($A196),'changes1_based on steps'!D$1:D$400,0)),D$2,)</f>
        <v>0</v>
      </c>
      <c r="E196" s="179">
        <f ca="1">IF(ISNUMBER(MATCH(DATEVALUE($A196),'changes1_based on steps'!E$1:E$400,0)),E$2,)</f>
        <v>0</v>
      </c>
      <c r="F196" s="179">
        <f ca="1">IF(ISNUMBER(MATCH(DATEVALUE($A196),'changes1_based on steps'!F$1:F$400,0)),F$2,)</f>
        <v>0</v>
      </c>
      <c r="G196" s="179">
        <f ca="1">IF(ISNUMBER(MATCH(DATEVALUE($A196),'changes1_based on steps'!G$1:G$400,0)),G$2,)</f>
        <v>0</v>
      </c>
      <c r="H196" s="179">
        <f ca="1">IF(ISNUMBER(MATCH(DATEVALUE($A196),'changes1_based on steps'!H$1:H$400,0)),H$2,)</f>
        <v>0</v>
      </c>
      <c r="I196" s="179">
        <f ca="1">IF(ISNUMBER(MATCH(DATEVALUE($A196),'changes1_based on steps'!I$1:I$400,0)),I$2,)</f>
        <v>0</v>
      </c>
      <c r="J196" s="179">
        <f ca="1">IF(ISNUMBER(MATCH(DATEVALUE($A196),'changes1_based on steps'!J$1:J$400,0)),J$2,)</f>
        <v>0</v>
      </c>
      <c r="K196" s="179">
        <f ca="1">IF(ISNUMBER(MATCH(DATEVALUE($A196),'changes1_based on steps'!K$1:K$400,0)),K$2,)</f>
        <v>0</v>
      </c>
      <c r="L196" s="179">
        <f ca="1">IF(ISNUMBER(MATCH(DATEVALUE($A196),'changes1_based on steps'!L$1:L$400,0)),L$2,)</f>
        <v>0</v>
      </c>
      <c r="M196" s="179">
        <f ca="1">IF(ISNUMBER(MATCH(DATEVALUE($A196),'changes1_based on steps'!M$1:M$400,0)),M$2,)</f>
        <v>0</v>
      </c>
      <c r="N196" s="179">
        <f ca="1">IF(ISNUMBER(MATCH(DATEVALUE($A196),'changes1_based on steps'!N$1:N$400,0)),N$2,)</f>
        <v>0</v>
      </c>
      <c r="O196" s="179">
        <f ca="1">IF(ISNUMBER(MATCH(DATEVALUE($A196),'changes1_based on steps'!O$1:O$400,0)),O$2,)</f>
        <v>0</v>
      </c>
      <c r="P196" s="179">
        <f ca="1">IF(ISNUMBER(MATCH(DATEVALUE($A196),'changes1_based on steps'!P$1:P$400,0)),P$2,)</f>
        <v>0</v>
      </c>
      <c r="Q196" s="179">
        <f ca="1">IF(ISNUMBER(MATCH(DATEVALUE($A196),'changes1_based on steps'!Q$1:Q$400,0)),Q$2,)</f>
        <v>0</v>
      </c>
      <c r="R196" s="179">
        <f ca="1">IF(ISNUMBER(MATCH(DATEVALUE($A196),'changes1_based on steps'!R$1:R$400,0)),R$2,)</f>
        <v>0</v>
      </c>
      <c r="S196" s="179">
        <f ca="1">IF(ISNUMBER(MATCH(DATEVALUE($A196),'changes1_based on steps'!S$1:S$400,0)),S$2,)</f>
        <v>0</v>
      </c>
      <c r="T196" s="179">
        <f ca="1">IF(ISNUMBER(MATCH(DATEVALUE($A196),'changes1_based on steps'!T$1:T$400,0)),T$2,)</f>
        <v>0</v>
      </c>
      <c r="U196" s="179">
        <f ca="1">IF(ISNUMBER(MATCH(DATEVALUE($A196),'changes1_based on steps'!U$1:U$400,0)),U$2,)</f>
        <v>0</v>
      </c>
      <c r="V196" s="179"/>
      <c r="W196" s="179"/>
      <c r="X196" s="179"/>
      <c r="Y196" s="179"/>
      <c r="Z196" s="179"/>
      <c r="AA196" s="179"/>
      <c r="AB196" s="179"/>
      <c r="AC196" s="179"/>
      <c r="AD196" s="179"/>
      <c r="AE196" s="179"/>
      <c r="AF196" s="179"/>
      <c r="AG196" s="179"/>
      <c r="AH196" s="179"/>
      <c r="AI196" s="179"/>
      <c r="AJ196" s="179"/>
      <c r="AK196" s="179"/>
      <c r="AL196" s="179"/>
      <c r="AM196" s="179"/>
      <c r="AN196" s="179"/>
      <c r="AO196" s="179"/>
      <c r="AP196" s="179"/>
      <c r="AQ196" s="179"/>
      <c r="AR196" s="179"/>
      <c r="AS196" s="179"/>
      <c r="AT196" s="179"/>
      <c r="AU196" s="179"/>
      <c r="AV196" s="179"/>
      <c r="AW196" s="179"/>
      <c r="AX196" s="179"/>
      <c r="AY196" s="179"/>
      <c r="AZ196" s="179"/>
      <c r="BA196" s="179"/>
      <c r="BB196" s="179"/>
      <c r="BC196" s="179"/>
      <c r="BD196" s="179"/>
      <c r="BE196" s="179"/>
      <c r="BF196" s="179"/>
      <c r="BG196" s="179"/>
      <c r="BH196" s="179"/>
      <c r="BI196" s="179"/>
      <c r="BJ196" s="179"/>
      <c r="BK196" s="179"/>
      <c r="BL196" s="179"/>
      <c r="BM196" s="179"/>
      <c r="BN196" s="179"/>
      <c r="BO196" s="179"/>
      <c r="BP196" s="179"/>
      <c r="BQ196" s="179"/>
      <c r="BR196" s="179"/>
      <c r="BS196" s="179"/>
      <c r="BT196" s="179"/>
      <c r="BU196" s="179"/>
      <c r="BV196" s="179"/>
      <c r="BW196" s="179"/>
      <c r="BX196" s="179"/>
      <c r="BY196" s="179"/>
      <c r="BZ196" s="179"/>
      <c r="CA196" s="179"/>
      <c r="CB196" s="179"/>
      <c r="CC196" s="179"/>
      <c r="CD196" s="179"/>
      <c r="CE196" s="179"/>
      <c r="CF196" s="179"/>
      <c r="CG196" s="179"/>
      <c r="CH196" s="179"/>
      <c r="CI196" s="179"/>
      <c r="CJ196" s="179"/>
      <c r="CK196" s="179"/>
      <c r="CL196" s="179"/>
      <c r="CM196" s="179"/>
      <c r="CN196" s="179"/>
      <c r="CO196" s="179"/>
      <c r="CP196" s="179"/>
      <c r="CQ196" s="179"/>
      <c r="CR196" s="179"/>
      <c r="CS196" s="179"/>
      <c r="CT196" s="179"/>
      <c r="CU196" s="179"/>
      <c r="CV196" s="179"/>
      <c r="CW196" s="179"/>
    </row>
    <row r="197" spans="1:101" x14ac:dyDescent="0.2">
      <c r="A197" s="32" t="str">
        <f t="shared" ref="A197:A260" ca="1" si="3">TEXT(DATEVALUE(A196)+1,"yyyy-mm-dd")</f>
        <v>2025-10-16</v>
      </c>
      <c r="B197" s="179">
        <f ca="1">IF(ISNUMBER(MATCH(DATEVALUE($A197),'changes1_based on steps'!B$1:B$400,0)),B$2,)</f>
        <v>0</v>
      </c>
      <c r="C197" s="179">
        <f ca="1">IF(ISNUMBER(MATCH(DATEVALUE($A197),'changes1_based on steps'!C$1:C$400,0)),C$2,)</f>
        <v>0</v>
      </c>
      <c r="D197" s="179">
        <f ca="1">IF(ISNUMBER(MATCH(DATEVALUE($A197),'changes1_based on steps'!D$1:D$400,0)),D$2,)</f>
        <v>0</v>
      </c>
      <c r="E197" s="179">
        <f ca="1">IF(ISNUMBER(MATCH(DATEVALUE($A197),'changes1_based on steps'!E$1:E$400,0)),E$2,)</f>
        <v>0</v>
      </c>
      <c r="F197" s="179">
        <f ca="1">IF(ISNUMBER(MATCH(DATEVALUE($A197),'changes1_based on steps'!F$1:F$400,0)),F$2,)</f>
        <v>0</v>
      </c>
      <c r="G197" s="179">
        <f ca="1">IF(ISNUMBER(MATCH(DATEVALUE($A197),'changes1_based on steps'!G$1:G$400,0)),G$2,)</f>
        <v>0</v>
      </c>
      <c r="H197" s="179">
        <f ca="1">IF(ISNUMBER(MATCH(DATEVALUE($A197),'changes1_based on steps'!H$1:H$400,0)),H$2,)</f>
        <v>0</v>
      </c>
      <c r="I197" s="179">
        <f ca="1">IF(ISNUMBER(MATCH(DATEVALUE($A197),'changes1_based on steps'!I$1:I$400,0)),I$2,)</f>
        <v>0</v>
      </c>
      <c r="J197" s="179">
        <f ca="1">IF(ISNUMBER(MATCH(DATEVALUE($A197),'changes1_based on steps'!J$1:J$400,0)),J$2,)</f>
        <v>0</v>
      </c>
      <c r="K197" s="179">
        <f ca="1">IF(ISNUMBER(MATCH(DATEVALUE($A197),'changes1_based on steps'!K$1:K$400,0)),K$2,)</f>
        <v>0</v>
      </c>
      <c r="L197" s="179">
        <f ca="1">IF(ISNUMBER(MATCH(DATEVALUE($A197),'changes1_based on steps'!L$1:L$400,0)),L$2,)</f>
        <v>0</v>
      </c>
      <c r="M197" s="179">
        <f ca="1">IF(ISNUMBER(MATCH(DATEVALUE($A197),'changes1_based on steps'!M$1:M$400,0)),M$2,)</f>
        <v>0</v>
      </c>
      <c r="N197" s="179">
        <f ca="1">IF(ISNUMBER(MATCH(DATEVALUE($A197),'changes1_based on steps'!N$1:N$400,0)),N$2,)</f>
        <v>0</v>
      </c>
      <c r="O197" s="179">
        <f ca="1">IF(ISNUMBER(MATCH(DATEVALUE($A197),'changes1_based on steps'!O$1:O$400,0)),O$2,)</f>
        <v>0</v>
      </c>
      <c r="P197" s="179">
        <f ca="1">IF(ISNUMBER(MATCH(DATEVALUE($A197),'changes1_based on steps'!P$1:P$400,0)),P$2,)</f>
        <v>0</v>
      </c>
      <c r="Q197" s="179">
        <f ca="1">IF(ISNUMBER(MATCH(DATEVALUE($A197),'changes1_based on steps'!Q$1:Q$400,0)),Q$2,)</f>
        <v>0</v>
      </c>
      <c r="R197" s="179">
        <f ca="1">IF(ISNUMBER(MATCH(DATEVALUE($A197),'changes1_based on steps'!R$1:R$400,0)),R$2,)</f>
        <v>0</v>
      </c>
      <c r="S197" s="179">
        <f ca="1">IF(ISNUMBER(MATCH(DATEVALUE($A197),'changes1_based on steps'!S$1:S$400,0)),S$2,)</f>
        <v>0</v>
      </c>
      <c r="T197" s="179">
        <f ca="1">IF(ISNUMBER(MATCH(DATEVALUE($A197),'changes1_based on steps'!T$1:T$400,0)),T$2,)</f>
        <v>0</v>
      </c>
      <c r="U197" s="179">
        <f ca="1">IF(ISNUMBER(MATCH(DATEVALUE($A197),'changes1_based on steps'!U$1:U$400,0)),U$2,)</f>
        <v>0</v>
      </c>
      <c r="V197" s="179"/>
      <c r="W197" s="179"/>
      <c r="X197" s="179"/>
      <c r="Y197" s="179"/>
      <c r="Z197" s="179"/>
      <c r="AA197" s="179"/>
      <c r="AB197" s="179"/>
      <c r="AC197" s="179"/>
      <c r="AD197" s="179"/>
      <c r="AE197" s="179"/>
      <c r="AF197" s="179"/>
      <c r="AG197" s="179"/>
      <c r="AH197" s="179"/>
      <c r="AI197" s="179"/>
      <c r="AJ197" s="179"/>
      <c r="AK197" s="179"/>
      <c r="AL197" s="179"/>
      <c r="AM197" s="179"/>
      <c r="AN197" s="179"/>
      <c r="AO197" s="179"/>
      <c r="AP197" s="179"/>
      <c r="AQ197" s="179"/>
      <c r="AR197" s="179"/>
      <c r="AS197" s="179"/>
      <c r="AT197" s="179"/>
      <c r="AU197" s="179"/>
      <c r="AV197" s="179"/>
      <c r="AW197" s="179"/>
      <c r="AX197" s="179"/>
      <c r="AY197" s="179"/>
      <c r="AZ197" s="179"/>
      <c r="BA197" s="179"/>
      <c r="BB197" s="179"/>
      <c r="BC197" s="179"/>
      <c r="BD197" s="179"/>
      <c r="BE197" s="179"/>
      <c r="BF197" s="179"/>
      <c r="BG197" s="179"/>
      <c r="BH197" s="179"/>
      <c r="BI197" s="179"/>
      <c r="BJ197" s="179"/>
      <c r="BK197" s="179"/>
      <c r="BL197" s="179"/>
      <c r="BM197" s="179"/>
      <c r="BN197" s="179"/>
      <c r="BO197" s="179"/>
      <c r="BP197" s="179"/>
      <c r="BQ197" s="179"/>
      <c r="BR197" s="179"/>
      <c r="BS197" s="179"/>
      <c r="BT197" s="179"/>
      <c r="BU197" s="179"/>
      <c r="BV197" s="179"/>
      <c r="BW197" s="179"/>
      <c r="BX197" s="179"/>
      <c r="BY197" s="179"/>
      <c r="BZ197" s="179"/>
      <c r="CA197" s="179"/>
      <c r="CB197" s="179"/>
      <c r="CC197" s="179"/>
      <c r="CD197" s="179"/>
      <c r="CE197" s="179"/>
      <c r="CF197" s="179"/>
      <c r="CG197" s="179"/>
      <c r="CH197" s="179"/>
      <c r="CI197" s="179"/>
      <c r="CJ197" s="179"/>
      <c r="CK197" s="179"/>
      <c r="CL197" s="179"/>
      <c r="CM197" s="179"/>
      <c r="CN197" s="179"/>
      <c r="CO197" s="179"/>
      <c r="CP197" s="179"/>
      <c r="CQ197" s="179"/>
      <c r="CR197" s="179"/>
      <c r="CS197" s="179"/>
      <c r="CT197" s="179"/>
      <c r="CU197" s="179"/>
      <c r="CV197" s="179"/>
      <c r="CW197" s="179"/>
    </row>
    <row r="198" spans="1:101" x14ac:dyDescent="0.2">
      <c r="A198" s="32" t="str">
        <f t="shared" ca="1" si="3"/>
        <v>2025-10-17</v>
      </c>
      <c r="B198" s="179">
        <f ca="1">IF(ISNUMBER(MATCH(DATEVALUE($A198),'changes1_based on steps'!B$1:B$400,0)),B$2,)</f>
        <v>0</v>
      </c>
      <c r="C198" s="179">
        <f ca="1">IF(ISNUMBER(MATCH(DATEVALUE($A198),'changes1_based on steps'!C$1:C$400,0)),C$2,)</f>
        <v>0</v>
      </c>
      <c r="D198" s="179">
        <f ca="1">IF(ISNUMBER(MATCH(DATEVALUE($A198),'changes1_based on steps'!D$1:D$400,0)),D$2,)</f>
        <v>0</v>
      </c>
      <c r="E198" s="179">
        <f ca="1">IF(ISNUMBER(MATCH(DATEVALUE($A198),'changes1_based on steps'!E$1:E$400,0)),E$2,)</f>
        <v>0</v>
      </c>
      <c r="F198" s="179">
        <f ca="1">IF(ISNUMBER(MATCH(DATEVALUE($A198),'changes1_based on steps'!F$1:F$400,0)),F$2,)</f>
        <v>0</v>
      </c>
      <c r="G198" s="179">
        <f ca="1">IF(ISNUMBER(MATCH(DATEVALUE($A198),'changes1_based on steps'!G$1:G$400,0)),G$2,)</f>
        <v>0</v>
      </c>
      <c r="H198" s="179">
        <f ca="1">IF(ISNUMBER(MATCH(DATEVALUE($A198),'changes1_based on steps'!H$1:H$400,0)),H$2,)</f>
        <v>0</v>
      </c>
      <c r="I198" s="179">
        <f ca="1">IF(ISNUMBER(MATCH(DATEVALUE($A198),'changes1_based on steps'!I$1:I$400,0)),I$2,)</f>
        <v>0</v>
      </c>
      <c r="J198" s="179">
        <f ca="1">IF(ISNUMBER(MATCH(DATEVALUE($A198),'changes1_based on steps'!J$1:J$400,0)),J$2,)</f>
        <v>0</v>
      </c>
      <c r="K198" s="179">
        <f ca="1">IF(ISNUMBER(MATCH(DATEVALUE($A198),'changes1_based on steps'!K$1:K$400,0)),K$2,)</f>
        <v>0</v>
      </c>
      <c r="L198" s="179">
        <f ca="1">IF(ISNUMBER(MATCH(DATEVALUE($A198),'changes1_based on steps'!L$1:L$400,0)),L$2,)</f>
        <v>0</v>
      </c>
      <c r="M198" s="179">
        <f ca="1">IF(ISNUMBER(MATCH(DATEVALUE($A198),'changes1_based on steps'!M$1:M$400,0)),M$2,)</f>
        <v>0</v>
      </c>
      <c r="N198" s="179">
        <f ca="1">IF(ISNUMBER(MATCH(DATEVALUE($A198),'changes1_based on steps'!N$1:N$400,0)),N$2,)</f>
        <v>0</v>
      </c>
      <c r="O198" s="179">
        <f ca="1">IF(ISNUMBER(MATCH(DATEVALUE($A198),'changes1_based on steps'!O$1:O$400,0)),O$2,)</f>
        <v>0</v>
      </c>
      <c r="P198" s="179">
        <f ca="1">IF(ISNUMBER(MATCH(DATEVALUE($A198),'changes1_based on steps'!P$1:P$400,0)),P$2,)</f>
        <v>0</v>
      </c>
      <c r="Q198" s="179">
        <f ca="1">IF(ISNUMBER(MATCH(DATEVALUE($A198),'changes1_based on steps'!Q$1:Q$400,0)),Q$2,)</f>
        <v>0</v>
      </c>
      <c r="R198" s="179">
        <f ca="1">IF(ISNUMBER(MATCH(DATEVALUE($A198),'changes1_based on steps'!R$1:R$400,0)),R$2,)</f>
        <v>0</v>
      </c>
      <c r="S198" s="179">
        <f ca="1">IF(ISNUMBER(MATCH(DATEVALUE($A198),'changes1_based on steps'!S$1:S$400,0)),S$2,)</f>
        <v>0</v>
      </c>
      <c r="T198" s="179">
        <f ca="1">IF(ISNUMBER(MATCH(DATEVALUE($A198),'changes1_based on steps'!T$1:T$400,0)),T$2,)</f>
        <v>0</v>
      </c>
      <c r="U198" s="179">
        <f ca="1">IF(ISNUMBER(MATCH(DATEVALUE($A198),'changes1_based on steps'!U$1:U$400,0)),U$2,)</f>
        <v>0</v>
      </c>
      <c r="V198" s="179"/>
      <c r="W198" s="179"/>
      <c r="X198" s="179"/>
      <c r="Y198" s="179"/>
      <c r="Z198" s="179"/>
      <c r="AA198" s="179"/>
      <c r="AB198" s="179"/>
      <c r="AC198" s="179"/>
      <c r="AD198" s="179"/>
      <c r="AE198" s="179"/>
      <c r="AF198" s="179"/>
      <c r="AG198" s="179"/>
      <c r="AH198" s="179"/>
      <c r="AI198" s="179"/>
      <c r="AJ198" s="179"/>
      <c r="AK198" s="179"/>
      <c r="AL198" s="179"/>
      <c r="AM198" s="179"/>
      <c r="AN198" s="179"/>
      <c r="AO198" s="179"/>
      <c r="AP198" s="179"/>
      <c r="AQ198" s="179"/>
      <c r="AR198" s="179"/>
      <c r="AS198" s="179"/>
      <c r="AT198" s="179"/>
      <c r="AU198" s="179"/>
      <c r="AV198" s="179"/>
      <c r="AW198" s="179"/>
      <c r="AX198" s="179"/>
      <c r="AY198" s="179"/>
      <c r="AZ198" s="179"/>
      <c r="BA198" s="179"/>
      <c r="BB198" s="179"/>
      <c r="BC198" s="179"/>
      <c r="BD198" s="179"/>
      <c r="BE198" s="179"/>
      <c r="BF198" s="179"/>
      <c r="BG198" s="179"/>
      <c r="BH198" s="179"/>
      <c r="BI198" s="179"/>
      <c r="BJ198" s="179"/>
      <c r="BK198" s="179"/>
      <c r="BL198" s="179"/>
      <c r="BM198" s="179"/>
      <c r="BN198" s="179"/>
      <c r="BO198" s="179"/>
      <c r="BP198" s="179"/>
      <c r="BQ198" s="179"/>
      <c r="BR198" s="179"/>
      <c r="BS198" s="179"/>
      <c r="BT198" s="179"/>
      <c r="BU198" s="179"/>
      <c r="BV198" s="179"/>
      <c r="BW198" s="179"/>
      <c r="BX198" s="179"/>
      <c r="BY198" s="179"/>
      <c r="BZ198" s="179"/>
      <c r="CA198" s="179"/>
      <c r="CB198" s="179"/>
      <c r="CC198" s="179"/>
      <c r="CD198" s="179"/>
      <c r="CE198" s="179"/>
      <c r="CF198" s="179"/>
      <c r="CG198" s="179"/>
      <c r="CH198" s="179"/>
      <c r="CI198" s="179"/>
      <c r="CJ198" s="179"/>
      <c r="CK198" s="179"/>
      <c r="CL198" s="179"/>
      <c r="CM198" s="179"/>
      <c r="CN198" s="179"/>
      <c r="CO198" s="179"/>
      <c r="CP198" s="179"/>
      <c r="CQ198" s="179"/>
      <c r="CR198" s="179"/>
      <c r="CS198" s="179"/>
      <c r="CT198" s="179"/>
      <c r="CU198" s="179"/>
      <c r="CV198" s="179"/>
      <c r="CW198" s="179"/>
    </row>
    <row r="199" spans="1:101" x14ac:dyDescent="0.2">
      <c r="A199" s="32" t="str">
        <f t="shared" ca="1" si="3"/>
        <v>2025-10-18</v>
      </c>
      <c r="B199" s="179">
        <f ca="1">IF(ISNUMBER(MATCH(DATEVALUE($A199),'changes1_based on steps'!B$1:B$400,0)),B$2,)</f>
        <v>0</v>
      </c>
      <c r="C199" s="179">
        <f ca="1">IF(ISNUMBER(MATCH(DATEVALUE($A199),'changes1_based on steps'!C$1:C$400,0)),C$2,)</f>
        <v>0</v>
      </c>
      <c r="D199" s="179">
        <f ca="1">IF(ISNUMBER(MATCH(DATEVALUE($A199),'changes1_based on steps'!D$1:D$400,0)),D$2,)</f>
        <v>0</v>
      </c>
      <c r="E199" s="179">
        <f ca="1">IF(ISNUMBER(MATCH(DATEVALUE($A199),'changes1_based on steps'!E$1:E$400,0)),E$2,)</f>
        <v>0</v>
      </c>
      <c r="F199" s="179">
        <f ca="1">IF(ISNUMBER(MATCH(DATEVALUE($A199),'changes1_based on steps'!F$1:F$400,0)),F$2,)</f>
        <v>0</v>
      </c>
      <c r="G199" s="179">
        <f ca="1">IF(ISNUMBER(MATCH(DATEVALUE($A199),'changes1_based on steps'!G$1:G$400,0)),G$2,)</f>
        <v>0</v>
      </c>
      <c r="H199" s="179">
        <f ca="1">IF(ISNUMBER(MATCH(DATEVALUE($A199),'changes1_based on steps'!H$1:H$400,0)),H$2,)</f>
        <v>0</v>
      </c>
      <c r="I199" s="179">
        <f ca="1">IF(ISNUMBER(MATCH(DATEVALUE($A199),'changes1_based on steps'!I$1:I$400,0)),I$2,)</f>
        <v>0</v>
      </c>
      <c r="J199" s="179">
        <f ca="1">IF(ISNUMBER(MATCH(DATEVALUE($A199),'changes1_based on steps'!J$1:J$400,0)),J$2,)</f>
        <v>0</v>
      </c>
      <c r="K199" s="179">
        <f ca="1">IF(ISNUMBER(MATCH(DATEVALUE($A199),'changes1_based on steps'!K$1:K$400,0)),K$2,)</f>
        <v>0</v>
      </c>
      <c r="L199" s="179">
        <f ca="1">IF(ISNUMBER(MATCH(DATEVALUE($A199),'changes1_based on steps'!L$1:L$400,0)),L$2,)</f>
        <v>0</v>
      </c>
      <c r="M199" s="179">
        <f ca="1">IF(ISNUMBER(MATCH(DATEVALUE($A199),'changes1_based on steps'!M$1:M$400,0)),M$2,)</f>
        <v>0</v>
      </c>
      <c r="N199" s="179">
        <f ca="1">IF(ISNUMBER(MATCH(DATEVALUE($A199),'changes1_based on steps'!N$1:N$400,0)),N$2,)</f>
        <v>0</v>
      </c>
      <c r="O199" s="179">
        <f ca="1">IF(ISNUMBER(MATCH(DATEVALUE($A199),'changes1_based on steps'!O$1:O$400,0)),O$2,)</f>
        <v>0</v>
      </c>
      <c r="P199" s="179">
        <f ca="1">IF(ISNUMBER(MATCH(DATEVALUE($A199),'changes1_based on steps'!P$1:P$400,0)),P$2,)</f>
        <v>0</v>
      </c>
      <c r="Q199" s="179">
        <f ca="1">IF(ISNUMBER(MATCH(DATEVALUE($A199),'changes1_based on steps'!Q$1:Q$400,0)),Q$2,)</f>
        <v>0</v>
      </c>
      <c r="R199" s="179">
        <f ca="1">IF(ISNUMBER(MATCH(DATEVALUE($A199),'changes1_based on steps'!R$1:R$400,0)),R$2,)</f>
        <v>0</v>
      </c>
      <c r="S199" s="179">
        <f ca="1">IF(ISNUMBER(MATCH(DATEVALUE($A199),'changes1_based on steps'!S$1:S$400,0)),S$2,)</f>
        <v>0</v>
      </c>
      <c r="T199" s="179">
        <f ca="1">IF(ISNUMBER(MATCH(DATEVALUE($A199),'changes1_based on steps'!T$1:T$400,0)),T$2,)</f>
        <v>0</v>
      </c>
      <c r="U199" s="179">
        <f ca="1">IF(ISNUMBER(MATCH(DATEVALUE($A199),'changes1_based on steps'!U$1:U$400,0)),U$2,)</f>
        <v>0</v>
      </c>
      <c r="V199" s="179"/>
      <c r="W199" s="179"/>
      <c r="X199" s="179"/>
      <c r="Y199" s="179"/>
      <c r="Z199" s="179"/>
      <c r="AA199" s="179"/>
      <c r="AB199" s="179"/>
      <c r="AC199" s="179"/>
      <c r="AD199" s="179"/>
      <c r="AE199" s="179"/>
      <c r="AF199" s="179"/>
      <c r="AG199" s="179"/>
      <c r="AH199" s="179"/>
      <c r="AI199" s="179"/>
      <c r="AJ199" s="179"/>
      <c r="AK199" s="179"/>
      <c r="AL199" s="179"/>
      <c r="AM199" s="179"/>
      <c r="AN199" s="179"/>
      <c r="AO199" s="179"/>
      <c r="AP199" s="179"/>
      <c r="AQ199" s="179"/>
      <c r="AR199" s="179"/>
      <c r="AS199" s="179"/>
      <c r="AT199" s="179"/>
      <c r="AU199" s="179"/>
      <c r="AV199" s="179"/>
      <c r="AW199" s="179"/>
      <c r="AX199" s="179"/>
      <c r="AY199" s="179"/>
      <c r="AZ199" s="179"/>
      <c r="BA199" s="179"/>
      <c r="BB199" s="179"/>
      <c r="BC199" s="179"/>
      <c r="BD199" s="179"/>
      <c r="BE199" s="179"/>
      <c r="BF199" s="179"/>
      <c r="BG199" s="179"/>
      <c r="BH199" s="179"/>
      <c r="BI199" s="179"/>
      <c r="BJ199" s="179"/>
      <c r="BK199" s="179"/>
      <c r="BL199" s="179"/>
      <c r="BM199" s="179"/>
      <c r="BN199" s="179"/>
      <c r="BO199" s="179"/>
      <c r="BP199" s="179"/>
      <c r="BQ199" s="179"/>
      <c r="BR199" s="179"/>
      <c r="BS199" s="179"/>
      <c r="BT199" s="179"/>
      <c r="BU199" s="179"/>
      <c r="BV199" s="179"/>
      <c r="BW199" s="179"/>
      <c r="BX199" s="179"/>
      <c r="BY199" s="179"/>
      <c r="BZ199" s="179"/>
      <c r="CA199" s="179"/>
      <c r="CB199" s="179"/>
      <c r="CC199" s="179"/>
      <c r="CD199" s="179"/>
      <c r="CE199" s="179"/>
      <c r="CF199" s="179"/>
      <c r="CG199" s="179"/>
      <c r="CH199" s="179"/>
      <c r="CI199" s="179"/>
      <c r="CJ199" s="179"/>
      <c r="CK199" s="179"/>
      <c r="CL199" s="179"/>
      <c r="CM199" s="179"/>
      <c r="CN199" s="179"/>
      <c r="CO199" s="179"/>
      <c r="CP199" s="179"/>
      <c r="CQ199" s="179"/>
      <c r="CR199" s="179"/>
      <c r="CS199" s="179"/>
      <c r="CT199" s="179"/>
      <c r="CU199" s="179"/>
      <c r="CV199" s="179"/>
      <c r="CW199" s="179"/>
    </row>
    <row r="200" spans="1:101" x14ac:dyDescent="0.2">
      <c r="A200" s="32" t="str">
        <f t="shared" ca="1" si="3"/>
        <v>2025-10-19</v>
      </c>
      <c r="B200" s="179">
        <f ca="1">IF(ISNUMBER(MATCH(DATEVALUE($A200),'changes1_based on steps'!B$1:B$400,0)),B$2,)</f>
        <v>0</v>
      </c>
      <c r="C200" s="179">
        <f ca="1">IF(ISNUMBER(MATCH(DATEVALUE($A200),'changes1_based on steps'!C$1:C$400,0)),C$2,)</f>
        <v>0</v>
      </c>
      <c r="D200" s="179">
        <f ca="1">IF(ISNUMBER(MATCH(DATEVALUE($A200),'changes1_based on steps'!D$1:D$400,0)),D$2,)</f>
        <v>0</v>
      </c>
      <c r="E200" s="179">
        <f ca="1">IF(ISNUMBER(MATCH(DATEVALUE($A200),'changes1_based on steps'!E$1:E$400,0)),E$2,)</f>
        <v>0</v>
      </c>
      <c r="F200" s="179">
        <f ca="1">IF(ISNUMBER(MATCH(DATEVALUE($A200),'changes1_based on steps'!F$1:F$400,0)),F$2,)</f>
        <v>0</v>
      </c>
      <c r="G200" s="179">
        <f ca="1">IF(ISNUMBER(MATCH(DATEVALUE($A200),'changes1_based on steps'!G$1:G$400,0)),G$2,)</f>
        <v>0</v>
      </c>
      <c r="H200" s="179">
        <f ca="1">IF(ISNUMBER(MATCH(DATEVALUE($A200),'changes1_based on steps'!H$1:H$400,0)),H$2,)</f>
        <v>0</v>
      </c>
      <c r="I200" s="179">
        <f ca="1">IF(ISNUMBER(MATCH(DATEVALUE($A200),'changes1_based on steps'!I$1:I$400,0)),I$2,)</f>
        <v>0</v>
      </c>
      <c r="J200" s="179">
        <f ca="1">IF(ISNUMBER(MATCH(DATEVALUE($A200),'changes1_based on steps'!J$1:J$400,0)),J$2,)</f>
        <v>0</v>
      </c>
      <c r="K200" s="179">
        <f ca="1">IF(ISNUMBER(MATCH(DATEVALUE($A200),'changes1_based on steps'!K$1:K$400,0)),K$2,)</f>
        <v>0</v>
      </c>
      <c r="L200" s="179">
        <f ca="1">IF(ISNUMBER(MATCH(DATEVALUE($A200),'changes1_based on steps'!L$1:L$400,0)),L$2,)</f>
        <v>0</v>
      </c>
      <c r="M200" s="179">
        <f ca="1">IF(ISNUMBER(MATCH(DATEVALUE($A200),'changes1_based on steps'!M$1:M$400,0)),M$2,)</f>
        <v>0</v>
      </c>
      <c r="N200" s="179">
        <f ca="1">IF(ISNUMBER(MATCH(DATEVALUE($A200),'changes1_based on steps'!N$1:N$400,0)),N$2,)</f>
        <v>0</v>
      </c>
      <c r="O200" s="179">
        <f ca="1">IF(ISNUMBER(MATCH(DATEVALUE($A200),'changes1_based on steps'!O$1:O$400,0)),O$2,)</f>
        <v>0</v>
      </c>
      <c r="P200" s="179">
        <f ca="1">IF(ISNUMBER(MATCH(DATEVALUE($A200),'changes1_based on steps'!P$1:P$400,0)),P$2,)</f>
        <v>0</v>
      </c>
      <c r="Q200" s="179">
        <f ca="1">IF(ISNUMBER(MATCH(DATEVALUE($A200),'changes1_based on steps'!Q$1:Q$400,0)),Q$2,)</f>
        <v>0</v>
      </c>
      <c r="R200" s="179">
        <f ca="1">IF(ISNUMBER(MATCH(DATEVALUE($A200),'changes1_based on steps'!R$1:R$400,0)),R$2,)</f>
        <v>0</v>
      </c>
      <c r="S200" s="179">
        <f ca="1">IF(ISNUMBER(MATCH(DATEVALUE($A200),'changes1_based on steps'!S$1:S$400,0)),S$2,)</f>
        <v>0</v>
      </c>
      <c r="T200" s="179">
        <f ca="1">IF(ISNUMBER(MATCH(DATEVALUE($A200),'changes1_based on steps'!T$1:T$400,0)),T$2,)</f>
        <v>0</v>
      </c>
      <c r="U200" s="179">
        <f ca="1">IF(ISNUMBER(MATCH(DATEVALUE($A200),'changes1_based on steps'!U$1:U$400,0)),U$2,)</f>
        <v>0</v>
      </c>
      <c r="V200" s="179"/>
      <c r="W200" s="179"/>
      <c r="X200" s="179"/>
      <c r="Y200" s="179"/>
      <c r="Z200" s="179"/>
      <c r="AA200" s="179"/>
      <c r="AB200" s="179"/>
      <c r="AC200" s="179"/>
      <c r="AD200" s="179"/>
      <c r="AE200" s="179"/>
      <c r="AF200" s="179"/>
      <c r="AG200" s="179"/>
      <c r="AH200" s="179"/>
      <c r="AI200" s="179"/>
      <c r="AJ200" s="179"/>
      <c r="AK200" s="179"/>
      <c r="AL200" s="179"/>
      <c r="AM200" s="179"/>
      <c r="AN200" s="179"/>
      <c r="AO200" s="179"/>
      <c r="AP200" s="179"/>
      <c r="AQ200" s="179"/>
      <c r="AR200" s="179"/>
      <c r="AS200" s="179"/>
      <c r="AT200" s="179"/>
      <c r="AU200" s="179"/>
      <c r="AV200" s="179"/>
      <c r="AW200" s="179"/>
      <c r="AX200" s="179"/>
      <c r="AY200" s="179"/>
      <c r="AZ200" s="179"/>
      <c r="BA200" s="179"/>
      <c r="BB200" s="179"/>
      <c r="BC200" s="179"/>
      <c r="BD200" s="179"/>
      <c r="BE200" s="179"/>
      <c r="BF200" s="179"/>
      <c r="BG200" s="179"/>
      <c r="BH200" s="179"/>
      <c r="BI200" s="179"/>
      <c r="BJ200" s="179"/>
      <c r="BK200" s="179"/>
      <c r="BL200" s="179"/>
      <c r="BM200" s="179"/>
      <c r="BN200" s="179"/>
      <c r="BO200" s="179"/>
      <c r="BP200" s="179"/>
      <c r="BQ200" s="179"/>
      <c r="BR200" s="179"/>
      <c r="BS200" s="179"/>
      <c r="BT200" s="179"/>
      <c r="BU200" s="179"/>
      <c r="BV200" s="179"/>
      <c r="BW200" s="179"/>
      <c r="BX200" s="179"/>
      <c r="BY200" s="179"/>
      <c r="BZ200" s="179"/>
      <c r="CA200" s="179"/>
      <c r="CB200" s="179"/>
      <c r="CC200" s="179"/>
      <c r="CD200" s="179"/>
      <c r="CE200" s="179"/>
      <c r="CF200" s="179"/>
      <c r="CG200" s="179"/>
      <c r="CH200" s="179"/>
      <c r="CI200" s="179"/>
      <c r="CJ200" s="179"/>
      <c r="CK200" s="179"/>
      <c r="CL200" s="179"/>
      <c r="CM200" s="179"/>
      <c r="CN200" s="179"/>
      <c r="CO200" s="179"/>
      <c r="CP200" s="179"/>
      <c r="CQ200" s="179"/>
      <c r="CR200" s="179"/>
      <c r="CS200" s="179"/>
      <c r="CT200" s="179"/>
      <c r="CU200" s="179"/>
      <c r="CV200" s="179"/>
      <c r="CW200" s="179"/>
    </row>
    <row r="201" spans="1:101" x14ac:dyDescent="0.2">
      <c r="A201" s="32" t="str">
        <f t="shared" ca="1" si="3"/>
        <v>2025-10-20</v>
      </c>
      <c r="B201" s="179">
        <f ca="1">IF(ISNUMBER(MATCH(DATEVALUE($A201),'changes1_based on steps'!B$1:B$400,0)),B$2,)</f>
        <v>0</v>
      </c>
      <c r="C201" s="179">
        <f ca="1">IF(ISNUMBER(MATCH(DATEVALUE($A201),'changes1_based on steps'!C$1:C$400,0)),C$2,)</f>
        <v>0</v>
      </c>
      <c r="D201" s="179">
        <f ca="1">IF(ISNUMBER(MATCH(DATEVALUE($A201),'changes1_based on steps'!D$1:D$400,0)),D$2,)</f>
        <v>0</v>
      </c>
      <c r="E201" s="179">
        <f ca="1">IF(ISNUMBER(MATCH(DATEVALUE($A201),'changes1_based on steps'!E$1:E$400,0)),E$2,)</f>
        <v>0</v>
      </c>
      <c r="F201" s="179">
        <f ca="1">IF(ISNUMBER(MATCH(DATEVALUE($A201),'changes1_based on steps'!F$1:F$400,0)),F$2,)</f>
        <v>0</v>
      </c>
      <c r="G201" s="179">
        <f ca="1">IF(ISNUMBER(MATCH(DATEVALUE($A201),'changes1_based on steps'!G$1:G$400,0)),G$2,)</f>
        <v>0</v>
      </c>
      <c r="H201" s="179">
        <f ca="1">IF(ISNUMBER(MATCH(DATEVALUE($A201),'changes1_based on steps'!H$1:H$400,0)),H$2,)</f>
        <v>0</v>
      </c>
      <c r="I201" s="179">
        <f ca="1">IF(ISNUMBER(MATCH(DATEVALUE($A201),'changes1_based on steps'!I$1:I$400,0)),I$2,)</f>
        <v>0</v>
      </c>
      <c r="J201" s="179">
        <f ca="1">IF(ISNUMBER(MATCH(DATEVALUE($A201),'changes1_based on steps'!J$1:J$400,0)),J$2,)</f>
        <v>0</v>
      </c>
      <c r="K201" s="179">
        <f ca="1">IF(ISNUMBER(MATCH(DATEVALUE($A201),'changes1_based on steps'!K$1:K$400,0)),K$2,)</f>
        <v>0</v>
      </c>
      <c r="L201" s="179">
        <f ca="1">IF(ISNUMBER(MATCH(DATEVALUE($A201),'changes1_based on steps'!L$1:L$400,0)),L$2,)</f>
        <v>0</v>
      </c>
      <c r="M201" s="179">
        <f ca="1">IF(ISNUMBER(MATCH(DATEVALUE($A201),'changes1_based on steps'!M$1:M$400,0)),M$2,)</f>
        <v>0</v>
      </c>
      <c r="N201" s="179">
        <f ca="1">IF(ISNUMBER(MATCH(DATEVALUE($A201),'changes1_based on steps'!N$1:N$400,0)),N$2,)</f>
        <v>0</v>
      </c>
      <c r="O201" s="179">
        <f ca="1">IF(ISNUMBER(MATCH(DATEVALUE($A201),'changes1_based on steps'!O$1:O$400,0)),O$2,)</f>
        <v>0</v>
      </c>
      <c r="P201" s="179">
        <f ca="1">IF(ISNUMBER(MATCH(DATEVALUE($A201),'changes1_based on steps'!P$1:P$400,0)),P$2,)</f>
        <v>0</v>
      </c>
      <c r="Q201" s="179">
        <f ca="1">IF(ISNUMBER(MATCH(DATEVALUE($A201),'changes1_based on steps'!Q$1:Q$400,0)),Q$2,)</f>
        <v>0</v>
      </c>
      <c r="R201" s="179">
        <f ca="1">IF(ISNUMBER(MATCH(DATEVALUE($A201),'changes1_based on steps'!R$1:R$400,0)),R$2,)</f>
        <v>0</v>
      </c>
      <c r="S201" s="179">
        <f ca="1">IF(ISNUMBER(MATCH(DATEVALUE($A201),'changes1_based on steps'!S$1:S$400,0)),S$2,)</f>
        <v>0</v>
      </c>
      <c r="T201" s="179">
        <f ca="1">IF(ISNUMBER(MATCH(DATEVALUE($A201),'changes1_based on steps'!T$1:T$400,0)),T$2,)</f>
        <v>0</v>
      </c>
      <c r="U201" s="179">
        <f ca="1">IF(ISNUMBER(MATCH(DATEVALUE($A201),'changes1_based on steps'!U$1:U$400,0)),U$2,)</f>
        <v>0</v>
      </c>
      <c r="V201" s="179"/>
      <c r="W201" s="179"/>
      <c r="X201" s="179"/>
      <c r="Y201" s="179"/>
      <c r="Z201" s="179"/>
      <c r="AA201" s="179"/>
      <c r="AB201" s="179"/>
      <c r="AC201" s="179"/>
      <c r="AD201" s="179"/>
      <c r="AE201" s="179"/>
      <c r="AF201" s="179"/>
      <c r="AG201" s="179"/>
      <c r="AH201" s="179"/>
      <c r="AI201" s="179"/>
      <c r="AJ201" s="179"/>
      <c r="AK201" s="179"/>
      <c r="AL201" s="179"/>
      <c r="AM201" s="179"/>
      <c r="AN201" s="179"/>
      <c r="AO201" s="179"/>
      <c r="AP201" s="179"/>
      <c r="AQ201" s="179"/>
      <c r="AR201" s="179"/>
      <c r="AS201" s="179"/>
      <c r="AT201" s="179"/>
      <c r="AU201" s="179"/>
      <c r="AV201" s="179"/>
      <c r="AW201" s="179"/>
      <c r="AX201" s="179"/>
      <c r="AY201" s="179"/>
      <c r="AZ201" s="179"/>
      <c r="BA201" s="179"/>
      <c r="BB201" s="179"/>
      <c r="BC201" s="179"/>
      <c r="BD201" s="179"/>
      <c r="BE201" s="179"/>
      <c r="BF201" s="179"/>
      <c r="BG201" s="179"/>
      <c r="BH201" s="179"/>
      <c r="BI201" s="179"/>
      <c r="BJ201" s="179"/>
      <c r="BK201" s="179"/>
      <c r="BL201" s="179"/>
      <c r="BM201" s="179"/>
      <c r="BN201" s="179"/>
      <c r="BO201" s="179"/>
      <c r="BP201" s="179"/>
      <c r="BQ201" s="179"/>
      <c r="BR201" s="179"/>
      <c r="BS201" s="179"/>
      <c r="BT201" s="179"/>
      <c r="BU201" s="179"/>
      <c r="BV201" s="179"/>
      <c r="BW201" s="179"/>
      <c r="BX201" s="179"/>
      <c r="BY201" s="179"/>
      <c r="BZ201" s="179"/>
      <c r="CA201" s="179"/>
      <c r="CB201" s="179"/>
      <c r="CC201" s="179"/>
      <c r="CD201" s="179"/>
      <c r="CE201" s="179"/>
      <c r="CF201" s="179"/>
      <c r="CG201" s="179"/>
      <c r="CH201" s="179"/>
      <c r="CI201" s="179"/>
      <c r="CJ201" s="179"/>
      <c r="CK201" s="179"/>
      <c r="CL201" s="179"/>
      <c r="CM201" s="179"/>
      <c r="CN201" s="179"/>
      <c r="CO201" s="179"/>
      <c r="CP201" s="179"/>
      <c r="CQ201" s="179"/>
      <c r="CR201" s="179"/>
      <c r="CS201" s="179"/>
      <c r="CT201" s="179"/>
      <c r="CU201" s="179"/>
      <c r="CV201" s="179"/>
      <c r="CW201" s="179"/>
    </row>
    <row r="202" spans="1:101" x14ac:dyDescent="0.2">
      <c r="A202" s="32" t="str">
        <f t="shared" ca="1" si="3"/>
        <v>2025-10-21</v>
      </c>
      <c r="B202" s="179">
        <f ca="1">IF(ISNUMBER(MATCH(DATEVALUE($A202),'changes1_based on steps'!B$1:B$400,0)),B$2,)</f>
        <v>0</v>
      </c>
      <c r="C202" s="179">
        <f ca="1">IF(ISNUMBER(MATCH(DATEVALUE($A202),'changes1_based on steps'!C$1:C$400,0)),C$2,)</f>
        <v>0</v>
      </c>
      <c r="D202" s="179">
        <f ca="1">IF(ISNUMBER(MATCH(DATEVALUE($A202),'changes1_based on steps'!D$1:D$400,0)),D$2,)</f>
        <v>0</v>
      </c>
      <c r="E202" s="179">
        <f ca="1">IF(ISNUMBER(MATCH(DATEVALUE($A202),'changes1_based on steps'!E$1:E$400,0)),E$2,)</f>
        <v>0</v>
      </c>
      <c r="F202" s="179">
        <f ca="1">IF(ISNUMBER(MATCH(DATEVALUE($A202),'changes1_based on steps'!F$1:F$400,0)),F$2,)</f>
        <v>0</v>
      </c>
      <c r="G202" s="179">
        <f ca="1">IF(ISNUMBER(MATCH(DATEVALUE($A202),'changes1_based on steps'!G$1:G$400,0)),G$2,)</f>
        <v>0</v>
      </c>
      <c r="H202" s="179">
        <f ca="1">IF(ISNUMBER(MATCH(DATEVALUE($A202),'changes1_based on steps'!H$1:H$400,0)),H$2,)</f>
        <v>0</v>
      </c>
      <c r="I202" s="179">
        <f ca="1">IF(ISNUMBER(MATCH(DATEVALUE($A202),'changes1_based on steps'!I$1:I$400,0)),I$2,)</f>
        <v>0</v>
      </c>
      <c r="J202" s="179">
        <f ca="1">IF(ISNUMBER(MATCH(DATEVALUE($A202),'changes1_based on steps'!J$1:J$400,0)),J$2,)</f>
        <v>0</v>
      </c>
      <c r="K202" s="179">
        <f ca="1">IF(ISNUMBER(MATCH(DATEVALUE($A202),'changes1_based on steps'!K$1:K$400,0)),K$2,)</f>
        <v>0</v>
      </c>
      <c r="L202" s="179">
        <f ca="1">IF(ISNUMBER(MATCH(DATEVALUE($A202),'changes1_based on steps'!L$1:L$400,0)),L$2,)</f>
        <v>0</v>
      </c>
      <c r="M202" s="179">
        <f ca="1">IF(ISNUMBER(MATCH(DATEVALUE($A202),'changes1_based on steps'!M$1:M$400,0)),M$2,)</f>
        <v>0</v>
      </c>
      <c r="N202" s="179">
        <f ca="1">IF(ISNUMBER(MATCH(DATEVALUE($A202),'changes1_based on steps'!N$1:N$400,0)),N$2,)</f>
        <v>0</v>
      </c>
      <c r="O202" s="179">
        <f ca="1">IF(ISNUMBER(MATCH(DATEVALUE($A202),'changes1_based on steps'!O$1:O$400,0)),O$2,)</f>
        <v>0</v>
      </c>
      <c r="P202" s="179">
        <f ca="1">IF(ISNUMBER(MATCH(DATEVALUE($A202),'changes1_based on steps'!P$1:P$400,0)),P$2,)</f>
        <v>0</v>
      </c>
      <c r="Q202" s="179">
        <f ca="1">IF(ISNUMBER(MATCH(DATEVALUE($A202),'changes1_based on steps'!Q$1:Q$400,0)),Q$2,)</f>
        <v>0</v>
      </c>
      <c r="R202" s="179">
        <f ca="1">IF(ISNUMBER(MATCH(DATEVALUE($A202),'changes1_based on steps'!R$1:R$400,0)),R$2,)</f>
        <v>0</v>
      </c>
      <c r="S202" s="179">
        <f ca="1">IF(ISNUMBER(MATCH(DATEVALUE($A202),'changes1_based on steps'!S$1:S$400,0)),S$2,)</f>
        <v>0</v>
      </c>
      <c r="T202" s="179">
        <f ca="1">IF(ISNUMBER(MATCH(DATEVALUE($A202),'changes1_based on steps'!T$1:T$400,0)),T$2,)</f>
        <v>0</v>
      </c>
      <c r="U202" s="179">
        <f ca="1">IF(ISNUMBER(MATCH(DATEVALUE($A202),'changes1_based on steps'!U$1:U$400,0)),U$2,)</f>
        <v>0</v>
      </c>
      <c r="V202" s="179"/>
      <c r="W202" s="179"/>
      <c r="X202" s="179"/>
      <c r="Y202" s="179"/>
      <c r="Z202" s="179"/>
      <c r="AA202" s="179"/>
      <c r="AB202" s="179"/>
      <c r="AC202" s="179"/>
      <c r="AD202" s="179"/>
      <c r="AE202" s="179"/>
      <c r="AF202" s="179"/>
      <c r="AG202" s="179"/>
      <c r="AH202" s="179"/>
      <c r="AI202" s="179"/>
      <c r="AJ202" s="179"/>
      <c r="AK202" s="179"/>
      <c r="AL202" s="179"/>
      <c r="AM202" s="179"/>
      <c r="AN202" s="179"/>
      <c r="AO202" s="179"/>
      <c r="AP202" s="179"/>
      <c r="AQ202" s="179"/>
      <c r="AR202" s="179"/>
      <c r="AS202" s="179"/>
      <c r="AT202" s="179"/>
      <c r="AU202" s="179"/>
      <c r="AV202" s="179"/>
      <c r="AW202" s="179"/>
      <c r="AX202" s="179"/>
      <c r="AY202" s="179"/>
      <c r="AZ202" s="179"/>
      <c r="BA202" s="179"/>
      <c r="BB202" s="179"/>
      <c r="BC202" s="179"/>
      <c r="BD202" s="179"/>
      <c r="BE202" s="179"/>
      <c r="BF202" s="179"/>
      <c r="BG202" s="179"/>
      <c r="BH202" s="179"/>
      <c r="BI202" s="179"/>
      <c r="BJ202" s="179"/>
      <c r="BK202" s="179"/>
      <c r="BL202" s="179"/>
      <c r="BM202" s="179"/>
      <c r="BN202" s="179"/>
      <c r="BO202" s="179"/>
      <c r="BP202" s="179"/>
      <c r="BQ202" s="179"/>
      <c r="BR202" s="179"/>
      <c r="BS202" s="179"/>
      <c r="BT202" s="179"/>
      <c r="BU202" s="179"/>
      <c r="BV202" s="179"/>
      <c r="BW202" s="179"/>
      <c r="BX202" s="179"/>
      <c r="BY202" s="179"/>
      <c r="BZ202" s="179"/>
      <c r="CA202" s="179"/>
      <c r="CB202" s="179"/>
      <c r="CC202" s="179"/>
      <c r="CD202" s="179"/>
      <c r="CE202" s="179"/>
      <c r="CF202" s="179"/>
      <c r="CG202" s="179"/>
      <c r="CH202" s="179"/>
      <c r="CI202" s="179"/>
      <c r="CJ202" s="179"/>
      <c r="CK202" s="179"/>
      <c r="CL202" s="179"/>
      <c r="CM202" s="179"/>
      <c r="CN202" s="179"/>
      <c r="CO202" s="179"/>
      <c r="CP202" s="179"/>
      <c r="CQ202" s="179"/>
      <c r="CR202" s="179"/>
      <c r="CS202" s="179"/>
      <c r="CT202" s="179"/>
      <c r="CU202" s="179"/>
      <c r="CV202" s="179"/>
      <c r="CW202" s="179"/>
    </row>
    <row r="203" spans="1:101" x14ac:dyDescent="0.2">
      <c r="A203" s="32" t="str">
        <f t="shared" ca="1" si="3"/>
        <v>2025-10-22</v>
      </c>
      <c r="B203" s="179">
        <f ca="1">IF(ISNUMBER(MATCH(DATEVALUE($A203),'changes1_based on steps'!B$1:B$400,0)),B$2,)</f>
        <v>0</v>
      </c>
      <c r="C203" s="179">
        <f ca="1">IF(ISNUMBER(MATCH(DATEVALUE($A203),'changes1_based on steps'!C$1:C$400,0)),C$2,)</f>
        <v>0</v>
      </c>
      <c r="D203" s="179">
        <f ca="1">IF(ISNUMBER(MATCH(DATEVALUE($A203),'changes1_based on steps'!D$1:D$400,0)),D$2,)</f>
        <v>0</v>
      </c>
      <c r="E203" s="179">
        <f ca="1">IF(ISNUMBER(MATCH(DATEVALUE($A203),'changes1_based on steps'!E$1:E$400,0)),E$2,)</f>
        <v>0</v>
      </c>
      <c r="F203" s="179">
        <f ca="1">IF(ISNUMBER(MATCH(DATEVALUE($A203),'changes1_based on steps'!F$1:F$400,0)),F$2,)</f>
        <v>0</v>
      </c>
      <c r="G203" s="179">
        <f ca="1">IF(ISNUMBER(MATCH(DATEVALUE($A203),'changes1_based on steps'!G$1:G$400,0)),G$2,)</f>
        <v>0</v>
      </c>
      <c r="H203" s="179">
        <f ca="1">IF(ISNUMBER(MATCH(DATEVALUE($A203),'changes1_based on steps'!H$1:H$400,0)),H$2,)</f>
        <v>0</v>
      </c>
      <c r="I203" s="179">
        <f ca="1">IF(ISNUMBER(MATCH(DATEVALUE($A203),'changes1_based on steps'!I$1:I$400,0)),I$2,)</f>
        <v>0</v>
      </c>
      <c r="J203" s="179">
        <f ca="1">IF(ISNUMBER(MATCH(DATEVALUE($A203),'changes1_based on steps'!J$1:J$400,0)),J$2,)</f>
        <v>0</v>
      </c>
      <c r="K203" s="179">
        <f ca="1">IF(ISNUMBER(MATCH(DATEVALUE($A203),'changes1_based on steps'!K$1:K$400,0)),K$2,)</f>
        <v>0</v>
      </c>
      <c r="L203" s="179">
        <f ca="1">IF(ISNUMBER(MATCH(DATEVALUE($A203),'changes1_based on steps'!L$1:L$400,0)),L$2,)</f>
        <v>0</v>
      </c>
      <c r="M203" s="179">
        <f ca="1">IF(ISNUMBER(MATCH(DATEVALUE($A203),'changes1_based on steps'!M$1:M$400,0)),M$2,)</f>
        <v>0</v>
      </c>
      <c r="N203" s="179">
        <f ca="1">IF(ISNUMBER(MATCH(DATEVALUE($A203),'changes1_based on steps'!N$1:N$400,0)),N$2,)</f>
        <v>0</v>
      </c>
      <c r="O203" s="179">
        <f ca="1">IF(ISNUMBER(MATCH(DATEVALUE($A203),'changes1_based on steps'!O$1:O$400,0)),O$2,)</f>
        <v>0</v>
      </c>
      <c r="P203" s="179">
        <f ca="1">IF(ISNUMBER(MATCH(DATEVALUE($A203),'changes1_based on steps'!P$1:P$400,0)),P$2,)</f>
        <v>0</v>
      </c>
      <c r="Q203" s="179">
        <f ca="1">IF(ISNUMBER(MATCH(DATEVALUE($A203),'changes1_based on steps'!Q$1:Q$400,0)),Q$2,)</f>
        <v>0</v>
      </c>
      <c r="R203" s="179">
        <f ca="1">IF(ISNUMBER(MATCH(DATEVALUE($A203),'changes1_based on steps'!R$1:R$400,0)),R$2,)</f>
        <v>0</v>
      </c>
      <c r="S203" s="179">
        <f ca="1">IF(ISNUMBER(MATCH(DATEVALUE($A203),'changes1_based on steps'!S$1:S$400,0)),S$2,)</f>
        <v>0</v>
      </c>
      <c r="T203" s="179">
        <f ca="1">IF(ISNUMBER(MATCH(DATEVALUE($A203),'changes1_based on steps'!T$1:T$400,0)),T$2,)</f>
        <v>0</v>
      </c>
      <c r="U203" s="179">
        <f ca="1">IF(ISNUMBER(MATCH(DATEVALUE($A203),'changes1_based on steps'!U$1:U$400,0)),U$2,)</f>
        <v>0</v>
      </c>
      <c r="V203" s="179"/>
      <c r="W203" s="179"/>
      <c r="X203" s="179"/>
      <c r="Y203" s="179"/>
      <c r="Z203" s="179"/>
      <c r="AA203" s="179"/>
      <c r="AB203" s="179"/>
      <c r="AC203" s="179"/>
      <c r="AD203" s="179"/>
      <c r="AE203" s="179"/>
      <c r="AF203" s="179"/>
      <c r="AG203" s="179"/>
      <c r="AH203" s="179"/>
      <c r="AI203" s="179"/>
      <c r="AJ203" s="179"/>
      <c r="AK203" s="179"/>
      <c r="AL203" s="179"/>
      <c r="AM203" s="179"/>
      <c r="AN203" s="179"/>
      <c r="AO203" s="179"/>
      <c r="AP203" s="179"/>
      <c r="AQ203" s="179"/>
      <c r="AR203" s="179"/>
      <c r="AS203" s="179"/>
      <c r="AT203" s="179"/>
      <c r="AU203" s="179"/>
      <c r="AV203" s="179"/>
      <c r="AW203" s="179"/>
      <c r="AX203" s="179"/>
      <c r="AY203" s="179"/>
      <c r="AZ203" s="179"/>
      <c r="BA203" s="179"/>
      <c r="BB203" s="179"/>
      <c r="BC203" s="179"/>
      <c r="BD203" s="179"/>
      <c r="BE203" s="179"/>
      <c r="BF203" s="179"/>
      <c r="BG203" s="179"/>
      <c r="BH203" s="179"/>
      <c r="BI203" s="179"/>
      <c r="BJ203" s="179"/>
      <c r="BK203" s="179"/>
      <c r="BL203" s="179"/>
      <c r="BM203" s="179"/>
      <c r="BN203" s="179"/>
      <c r="BO203" s="179"/>
      <c r="BP203" s="179"/>
      <c r="BQ203" s="179"/>
      <c r="BR203" s="179"/>
      <c r="BS203" s="179"/>
      <c r="BT203" s="179"/>
      <c r="BU203" s="179"/>
      <c r="BV203" s="179"/>
      <c r="BW203" s="179"/>
      <c r="BX203" s="179"/>
      <c r="BY203" s="179"/>
      <c r="BZ203" s="179"/>
      <c r="CA203" s="179"/>
      <c r="CB203" s="179"/>
      <c r="CC203" s="179"/>
      <c r="CD203" s="179"/>
      <c r="CE203" s="179"/>
      <c r="CF203" s="179"/>
      <c r="CG203" s="179"/>
      <c r="CH203" s="179"/>
      <c r="CI203" s="179"/>
      <c r="CJ203" s="179"/>
      <c r="CK203" s="179"/>
      <c r="CL203" s="179"/>
      <c r="CM203" s="179"/>
      <c r="CN203" s="179"/>
      <c r="CO203" s="179"/>
      <c r="CP203" s="179"/>
      <c r="CQ203" s="179"/>
      <c r="CR203" s="179"/>
      <c r="CS203" s="179"/>
      <c r="CT203" s="179"/>
      <c r="CU203" s="179"/>
      <c r="CV203" s="179"/>
      <c r="CW203" s="179"/>
    </row>
    <row r="204" spans="1:101" x14ac:dyDescent="0.2">
      <c r="A204" s="32" t="str">
        <f t="shared" ca="1" si="3"/>
        <v>2025-10-23</v>
      </c>
      <c r="B204" s="179">
        <f ca="1">IF(ISNUMBER(MATCH(DATEVALUE($A204),'changes1_based on steps'!B$1:B$400,0)),B$2,)</f>
        <v>0</v>
      </c>
      <c r="C204" s="179">
        <f ca="1">IF(ISNUMBER(MATCH(DATEVALUE($A204),'changes1_based on steps'!C$1:C$400,0)),C$2,)</f>
        <v>0</v>
      </c>
      <c r="D204" s="179">
        <f ca="1">IF(ISNUMBER(MATCH(DATEVALUE($A204),'changes1_based on steps'!D$1:D$400,0)),D$2,)</f>
        <v>0</v>
      </c>
      <c r="E204" s="179">
        <f ca="1">IF(ISNUMBER(MATCH(DATEVALUE($A204),'changes1_based on steps'!E$1:E$400,0)),E$2,)</f>
        <v>0</v>
      </c>
      <c r="F204" s="179">
        <f ca="1">IF(ISNUMBER(MATCH(DATEVALUE($A204),'changes1_based on steps'!F$1:F$400,0)),F$2,)</f>
        <v>0</v>
      </c>
      <c r="G204" s="179">
        <f ca="1">IF(ISNUMBER(MATCH(DATEVALUE($A204),'changes1_based on steps'!G$1:G$400,0)),G$2,)</f>
        <v>0</v>
      </c>
      <c r="H204" s="179">
        <f ca="1">IF(ISNUMBER(MATCH(DATEVALUE($A204),'changes1_based on steps'!H$1:H$400,0)),H$2,)</f>
        <v>0</v>
      </c>
      <c r="I204" s="179">
        <f ca="1">IF(ISNUMBER(MATCH(DATEVALUE($A204),'changes1_based on steps'!I$1:I$400,0)),I$2,)</f>
        <v>0</v>
      </c>
      <c r="J204" s="179">
        <f ca="1">IF(ISNUMBER(MATCH(DATEVALUE($A204),'changes1_based on steps'!J$1:J$400,0)),J$2,)</f>
        <v>0</v>
      </c>
      <c r="K204" s="179">
        <f ca="1">IF(ISNUMBER(MATCH(DATEVALUE($A204),'changes1_based on steps'!K$1:K$400,0)),K$2,)</f>
        <v>0</v>
      </c>
      <c r="L204" s="179">
        <f ca="1">IF(ISNUMBER(MATCH(DATEVALUE($A204),'changes1_based on steps'!L$1:L$400,0)),L$2,)</f>
        <v>0</v>
      </c>
      <c r="M204" s="179">
        <f ca="1">IF(ISNUMBER(MATCH(DATEVALUE($A204),'changes1_based on steps'!M$1:M$400,0)),M$2,)</f>
        <v>0</v>
      </c>
      <c r="N204" s="179">
        <f ca="1">IF(ISNUMBER(MATCH(DATEVALUE($A204),'changes1_based on steps'!N$1:N$400,0)),N$2,)</f>
        <v>0</v>
      </c>
      <c r="O204" s="179">
        <f ca="1">IF(ISNUMBER(MATCH(DATEVALUE($A204),'changes1_based on steps'!O$1:O$400,0)),O$2,)</f>
        <v>0</v>
      </c>
      <c r="P204" s="179">
        <f ca="1">IF(ISNUMBER(MATCH(DATEVALUE($A204),'changes1_based on steps'!P$1:P$400,0)),P$2,)</f>
        <v>0</v>
      </c>
      <c r="Q204" s="179">
        <f ca="1">IF(ISNUMBER(MATCH(DATEVALUE($A204),'changes1_based on steps'!Q$1:Q$400,0)),Q$2,)</f>
        <v>0</v>
      </c>
      <c r="R204" s="179">
        <f ca="1">IF(ISNUMBER(MATCH(DATEVALUE($A204),'changes1_based on steps'!R$1:R$400,0)),R$2,)</f>
        <v>0</v>
      </c>
      <c r="S204" s="179">
        <f ca="1">IF(ISNUMBER(MATCH(DATEVALUE($A204),'changes1_based on steps'!S$1:S$400,0)),S$2,)</f>
        <v>0</v>
      </c>
      <c r="T204" s="179">
        <f ca="1">IF(ISNUMBER(MATCH(DATEVALUE($A204),'changes1_based on steps'!T$1:T$400,0)),T$2,)</f>
        <v>0</v>
      </c>
      <c r="U204" s="179">
        <f ca="1">IF(ISNUMBER(MATCH(DATEVALUE($A204),'changes1_based on steps'!U$1:U$400,0)),U$2,)</f>
        <v>0</v>
      </c>
      <c r="V204" s="179"/>
      <c r="W204" s="179"/>
      <c r="X204" s="179"/>
      <c r="Y204" s="179"/>
      <c r="Z204" s="179"/>
      <c r="AA204" s="179"/>
      <c r="AB204" s="179"/>
      <c r="AC204" s="179"/>
      <c r="AD204" s="179"/>
      <c r="AE204" s="179"/>
      <c r="AF204" s="179"/>
      <c r="AG204" s="179"/>
      <c r="AH204" s="179"/>
      <c r="AI204" s="179"/>
      <c r="AJ204" s="179"/>
      <c r="AK204" s="179"/>
      <c r="AL204" s="179"/>
      <c r="AM204" s="179"/>
      <c r="AN204" s="179"/>
      <c r="AO204" s="179"/>
      <c r="AP204" s="179"/>
      <c r="AQ204" s="179"/>
      <c r="AR204" s="179"/>
      <c r="AS204" s="179"/>
      <c r="AT204" s="179"/>
      <c r="AU204" s="179"/>
      <c r="AV204" s="179"/>
      <c r="AW204" s="179"/>
      <c r="AX204" s="179"/>
      <c r="AY204" s="179"/>
      <c r="AZ204" s="179"/>
      <c r="BA204" s="179"/>
      <c r="BB204" s="179"/>
      <c r="BC204" s="179"/>
      <c r="BD204" s="179"/>
      <c r="BE204" s="179"/>
      <c r="BF204" s="179"/>
      <c r="BG204" s="179"/>
      <c r="BH204" s="179"/>
      <c r="BI204" s="179"/>
      <c r="BJ204" s="179"/>
      <c r="BK204" s="179"/>
      <c r="BL204" s="179"/>
      <c r="BM204" s="179"/>
      <c r="BN204" s="179"/>
      <c r="BO204" s="179"/>
      <c r="BP204" s="179"/>
      <c r="BQ204" s="179"/>
      <c r="BR204" s="179"/>
      <c r="BS204" s="179"/>
      <c r="BT204" s="179"/>
      <c r="BU204" s="179"/>
      <c r="BV204" s="179"/>
      <c r="BW204" s="179"/>
      <c r="BX204" s="179"/>
      <c r="BY204" s="179"/>
      <c r="BZ204" s="179"/>
      <c r="CA204" s="179"/>
      <c r="CB204" s="179"/>
      <c r="CC204" s="179"/>
      <c r="CD204" s="179"/>
      <c r="CE204" s="179"/>
      <c r="CF204" s="179"/>
      <c r="CG204" s="179"/>
      <c r="CH204" s="179"/>
      <c r="CI204" s="179"/>
      <c r="CJ204" s="179"/>
      <c r="CK204" s="179"/>
      <c r="CL204" s="179"/>
      <c r="CM204" s="179"/>
      <c r="CN204" s="179"/>
      <c r="CO204" s="179"/>
      <c r="CP204" s="179"/>
      <c r="CQ204" s="179"/>
      <c r="CR204" s="179"/>
      <c r="CS204" s="179"/>
      <c r="CT204" s="179"/>
      <c r="CU204" s="179"/>
      <c r="CV204" s="179"/>
      <c r="CW204" s="179"/>
    </row>
    <row r="205" spans="1:101" x14ac:dyDescent="0.2">
      <c r="A205" s="32" t="str">
        <f t="shared" ca="1" si="3"/>
        <v>2025-10-24</v>
      </c>
      <c r="B205" s="179">
        <f ca="1">IF(ISNUMBER(MATCH(DATEVALUE($A205),'changes1_based on steps'!B$1:B$400,0)),B$2,)</f>
        <v>0</v>
      </c>
      <c r="C205" s="179">
        <f ca="1">IF(ISNUMBER(MATCH(DATEVALUE($A205),'changes1_based on steps'!C$1:C$400,0)),C$2,)</f>
        <v>0</v>
      </c>
      <c r="D205" s="179">
        <f ca="1">IF(ISNUMBER(MATCH(DATEVALUE($A205),'changes1_based on steps'!D$1:D$400,0)),D$2,)</f>
        <v>0</v>
      </c>
      <c r="E205" s="179">
        <f ca="1">IF(ISNUMBER(MATCH(DATEVALUE($A205),'changes1_based on steps'!E$1:E$400,0)),E$2,)</f>
        <v>0</v>
      </c>
      <c r="F205" s="179">
        <f ca="1">IF(ISNUMBER(MATCH(DATEVALUE($A205),'changes1_based on steps'!F$1:F$400,0)),F$2,)</f>
        <v>0</v>
      </c>
      <c r="G205" s="179">
        <f ca="1">IF(ISNUMBER(MATCH(DATEVALUE($A205),'changes1_based on steps'!G$1:G$400,0)),G$2,)</f>
        <v>0</v>
      </c>
      <c r="H205" s="179">
        <f ca="1">IF(ISNUMBER(MATCH(DATEVALUE($A205),'changes1_based on steps'!H$1:H$400,0)),H$2,)</f>
        <v>0</v>
      </c>
      <c r="I205" s="179">
        <f ca="1">IF(ISNUMBER(MATCH(DATEVALUE($A205),'changes1_based on steps'!I$1:I$400,0)),I$2,)</f>
        <v>0</v>
      </c>
      <c r="J205" s="179">
        <f ca="1">IF(ISNUMBER(MATCH(DATEVALUE($A205),'changes1_based on steps'!J$1:J$400,0)),J$2,)</f>
        <v>0</v>
      </c>
      <c r="K205" s="179">
        <f ca="1">IF(ISNUMBER(MATCH(DATEVALUE($A205),'changes1_based on steps'!K$1:K$400,0)),K$2,)</f>
        <v>0</v>
      </c>
      <c r="L205" s="179">
        <f ca="1">IF(ISNUMBER(MATCH(DATEVALUE($A205),'changes1_based on steps'!L$1:L$400,0)),L$2,)</f>
        <v>0</v>
      </c>
      <c r="M205" s="179">
        <f ca="1">IF(ISNUMBER(MATCH(DATEVALUE($A205),'changes1_based on steps'!M$1:M$400,0)),M$2,)</f>
        <v>0</v>
      </c>
      <c r="N205" s="179">
        <f ca="1">IF(ISNUMBER(MATCH(DATEVALUE($A205),'changes1_based on steps'!N$1:N$400,0)),N$2,)</f>
        <v>0</v>
      </c>
      <c r="O205" s="179">
        <f ca="1">IF(ISNUMBER(MATCH(DATEVALUE($A205),'changes1_based on steps'!O$1:O$400,0)),O$2,)</f>
        <v>0</v>
      </c>
      <c r="P205" s="179">
        <f ca="1">IF(ISNUMBER(MATCH(DATEVALUE($A205),'changes1_based on steps'!P$1:P$400,0)),P$2,)</f>
        <v>0</v>
      </c>
      <c r="Q205" s="179">
        <f ca="1">IF(ISNUMBER(MATCH(DATEVALUE($A205),'changes1_based on steps'!Q$1:Q$400,0)),Q$2,)</f>
        <v>0</v>
      </c>
      <c r="R205" s="179">
        <f ca="1">IF(ISNUMBER(MATCH(DATEVALUE($A205),'changes1_based on steps'!R$1:R$400,0)),R$2,)</f>
        <v>0</v>
      </c>
      <c r="S205" s="179">
        <f ca="1">IF(ISNUMBER(MATCH(DATEVALUE($A205),'changes1_based on steps'!S$1:S$400,0)),S$2,)</f>
        <v>0</v>
      </c>
      <c r="T205" s="179">
        <f ca="1">IF(ISNUMBER(MATCH(DATEVALUE($A205),'changes1_based on steps'!T$1:T$400,0)),T$2,)</f>
        <v>0</v>
      </c>
      <c r="U205" s="179">
        <f ca="1">IF(ISNUMBER(MATCH(DATEVALUE($A205),'changes1_based on steps'!U$1:U$400,0)),U$2,)</f>
        <v>0</v>
      </c>
      <c r="V205" s="179"/>
      <c r="W205" s="179"/>
      <c r="X205" s="179"/>
      <c r="Y205" s="179"/>
      <c r="Z205" s="179"/>
      <c r="AA205" s="179"/>
      <c r="AB205" s="179"/>
      <c r="AC205" s="179"/>
      <c r="AD205" s="179"/>
      <c r="AE205" s="179"/>
      <c r="AF205" s="179"/>
      <c r="AG205" s="179"/>
      <c r="AH205" s="179"/>
      <c r="AI205" s="179"/>
      <c r="AJ205" s="179"/>
      <c r="AK205" s="179"/>
      <c r="AL205" s="179"/>
      <c r="AM205" s="179"/>
      <c r="AN205" s="179"/>
      <c r="AO205" s="179"/>
      <c r="AP205" s="179"/>
      <c r="AQ205" s="179"/>
      <c r="AR205" s="179"/>
      <c r="AS205" s="179"/>
      <c r="AT205" s="179"/>
      <c r="AU205" s="179"/>
      <c r="AV205" s="179"/>
      <c r="AW205" s="179"/>
      <c r="AX205" s="179"/>
      <c r="AY205" s="179"/>
      <c r="AZ205" s="179"/>
      <c r="BA205" s="179"/>
      <c r="BB205" s="179"/>
      <c r="BC205" s="179"/>
      <c r="BD205" s="179"/>
      <c r="BE205" s="179"/>
      <c r="BF205" s="179"/>
      <c r="BG205" s="179"/>
      <c r="BH205" s="179"/>
      <c r="BI205" s="179"/>
      <c r="BJ205" s="179"/>
      <c r="BK205" s="179"/>
      <c r="BL205" s="179"/>
      <c r="BM205" s="179"/>
      <c r="BN205" s="179"/>
      <c r="BO205" s="179"/>
      <c r="BP205" s="179"/>
      <c r="BQ205" s="179"/>
      <c r="BR205" s="179"/>
      <c r="BS205" s="179"/>
      <c r="BT205" s="179"/>
      <c r="BU205" s="179"/>
      <c r="BV205" s="179"/>
      <c r="BW205" s="179"/>
      <c r="BX205" s="179"/>
      <c r="BY205" s="179"/>
      <c r="BZ205" s="179"/>
      <c r="CA205" s="179"/>
      <c r="CB205" s="179"/>
      <c r="CC205" s="179"/>
      <c r="CD205" s="179"/>
      <c r="CE205" s="179"/>
      <c r="CF205" s="179"/>
      <c r="CG205" s="179"/>
      <c r="CH205" s="179"/>
      <c r="CI205" s="179"/>
      <c r="CJ205" s="179"/>
      <c r="CK205" s="179"/>
      <c r="CL205" s="179"/>
      <c r="CM205" s="179"/>
      <c r="CN205" s="179"/>
      <c r="CO205" s="179"/>
      <c r="CP205" s="179"/>
      <c r="CQ205" s="179"/>
      <c r="CR205" s="179"/>
      <c r="CS205" s="179"/>
      <c r="CT205" s="179"/>
      <c r="CU205" s="179"/>
      <c r="CV205" s="179"/>
      <c r="CW205" s="179"/>
    </row>
    <row r="206" spans="1:101" x14ac:dyDescent="0.2">
      <c r="A206" s="32" t="str">
        <f t="shared" ca="1" si="3"/>
        <v>2025-10-25</v>
      </c>
      <c r="B206" s="179">
        <f ca="1">IF(ISNUMBER(MATCH(DATEVALUE($A206),'changes1_based on steps'!B$1:B$400,0)),B$2,)</f>
        <v>0</v>
      </c>
      <c r="C206" s="179">
        <f ca="1">IF(ISNUMBER(MATCH(DATEVALUE($A206),'changes1_based on steps'!C$1:C$400,0)),C$2,)</f>
        <v>0</v>
      </c>
      <c r="D206" s="179">
        <f ca="1">IF(ISNUMBER(MATCH(DATEVALUE($A206),'changes1_based on steps'!D$1:D$400,0)),D$2,)</f>
        <v>0</v>
      </c>
      <c r="E206" s="179">
        <f ca="1">IF(ISNUMBER(MATCH(DATEVALUE($A206),'changes1_based on steps'!E$1:E$400,0)),E$2,)</f>
        <v>0</v>
      </c>
      <c r="F206" s="179">
        <f ca="1">IF(ISNUMBER(MATCH(DATEVALUE($A206),'changes1_based on steps'!F$1:F$400,0)),F$2,)</f>
        <v>0</v>
      </c>
      <c r="G206" s="179">
        <f ca="1">IF(ISNUMBER(MATCH(DATEVALUE($A206),'changes1_based on steps'!G$1:G$400,0)),G$2,)</f>
        <v>0</v>
      </c>
      <c r="H206" s="179">
        <f ca="1">IF(ISNUMBER(MATCH(DATEVALUE($A206),'changes1_based on steps'!H$1:H$400,0)),H$2,)</f>
        <v>0</v>
      </c>
      <c r="I206" s="179">
        <f ca="1">IF(ISNUMBER(MATCH(DATEVALUE($A206),'changes1_based on steps'!I$1:I$400,0)),I$2,)</f>
        <v>0</v>
      </c>
      <c r="J206" s="179">
        <f ca="1">IF(ISNUMBER(MATCH(DATEVALUE($A206),'changes1_based on steps'!J$1:J$400,0)),J$2,)</f>
        <v>0</v>
      </c>
      <c r="K206" s="179">
        <f ca="1">IF(ISNUMBER(MATCH(DATEVALUE($A206),'changes1_based on steps'!K$1:K$400,0)),K$2,)</f>
        <v>0</v>
      </c>
      <c r="L206" s="179">
        <f ca="1">IF(ISNUMBER(MATCH(DATEVALUE($A206),'changes1_based on steps'!L$1:L$400,0)),L$2,)</f>
        <v>0</v>
      </c>
      <c r="M206" s="179">
        <f ca="1">IF(ISNUMBER(MATCH(DATEVALUE($A206),'changes1_based on steps'!M$1:M$400,0)),M$2,)</f>
        <v>0</v>
      </c>
      <c r="N206" s="179">
        <f ca="1">IF(ISNUMBER(MATCH(DATEVALUE($A206),'changes1_based on steps'!N$1:N$400,0)),N$2,)</f>
        <v>0</v>
      </c>
      <c r="O206" s="179">
        <f ca="1">IF(ISNUMBER(MATCH(DATEVALUE($A206),'changes1_based on steps'!O$1:O$400,0)),O$2,)</f>
        <v>0</v>
      </c>
      <c r="P206" s="179">
        <f ca="1">IF(ISNUMBER(MATCH(DATEVALUE($A206),'changes1_based on steps'!P$1:P$400,0)),P$2,)</f>
        <v>0</v>
      </c>
      <c r="Q206" s="179">
        <f ca="1">IF(ISNUMBER(MATCH(DATEVALUE($A206),'changes1_based on steps'!Q$1:Q$400,0)),Q$2,)</f>
        <v>0</v>
      </c>
      <c r="R206" s="179">
        <f ca="1">IF(ISNUMBER(MATCH(DATEVALUE($A206),'changes1_based on steps'!R$1:R$400,0)),R$2,)</f>
        <v>0</v>
      </c>
      <c r="S206" s="179">
        <f ca="1">IF(ISNUMBER(MATCH(DATEVALUE($A206),'changes1_based on steps'!S$1:S$400,0)),S$2,)</f>
        <v>0</v>
      </c>
      <c r="T206" s="179">
        <f ca="1">IF(ISNUMBER(MATCH(DATEVALUE($A206),'changes1_based on steps'!T$1:T$400,0)),T$2,)</f>
        <v>0</v>
      </c>
      <c r="U206" s="179">
        <f ca="1">IF(ISNUMBER(MATCH(DATEVALUE($A206),'changes1_based on steps'!U$1:U$400,0)),U$2,)</f>
        <v>0</v>
      </c>
      <c r="V206" s="179"/>
      <c r="W206" s="179"/>
      <c r="X206" s="179"/>
      <c r="Y206" s="179"/>
      <c r="Z206" s="179"/>
      <c r="AA206" s="179"/>
      <c r="AB206" s="179"/>
      <c r="AC206" s="179"/>
      <c r="AD206" s="179"/>
      <c r="AE206" s="179"/>
      <c r="AF206" s="179"/>
      <c r="AG206" s="179"/>
      <c r="AH206" s="179"/>
      <c r="AI206" s="179"/>
      <c r="AJ206" s="179"/>
      <c r="AK206" s="179"/>
      <c r="AL206" s="179"/>
      <c r="AM206" s="179"/>
      <c r="AN206" s="179"/>
      <c r="AO206" s="179"/>
      <c r="AP206" s="179"/>
      <c r="AQ206" s="179"/>
      <c r="AR206" s="179"/>
      <c r="AS206" s="179"/>
      <c r="AT206" s="179"/>
      <c r="AU206" s="179"/>
      <c r="AV206" s="179"/>
      <c r="AW206" s="179"/>
      <c r="AX206" s="179"/>
      <c r="AY206" s="179"/>
      <c r="AZ206" s="179"/>
      <c r="BA206" s="179"/>
      <c r="BB206" s="179"/>
      <c r="BC206" s="179"/>
      <c r="BD206" s="179"/>
      <c r="BE206" s="179"/>
      <c r="BF206" s="179"/>
      <c r="BG206" s="179"/>
      <c r="BH206" s="179"/>
      <c r="BI206" s="179"/>
      <c r="BJ206" s="179"/>
      <c r="BK206" s="179"/>
      <c r="BL206" s="179"/>
      <c r="BM206" s="179"/>
      <c r="BN206" s="179"/>
      <c r="BO206" s="179"/>
      <c r="BP206" s="179"/>
      <c r="BQ206" s="179"/>
      <c r="BR206" s="179"/>
      <c r="BS206" s="179"/>
      <c r="BT206" s="179"/>
      <c r="BU206" s="179"/>
      <c r="BV206" s="179"/>
      <c r="BW206" s="179"/>
      <c r="BX206" s="179"/>
      <c r="BY206" s="179"/>
      <c r="BZ206" s="179"/>
      <c r="CA206" s="179"/>
      <c r="CB206" s="179"/>
      <c r="CC206" s="179"/>
      <c r="CD206" s="179"/>
      <c r="CE206" s="179"/>
      <c r="CF206" s="179"/>
      <c r="CG206" s="179"/>
      <c r="CH206" s="179"/>
      <c r="CI206" s="179"/>
      <c r="CJ206" s="179"/>
      <c r="CK206" s="179"/>
      <c r="CL206" s="179"/>
      <c r="CM206" s="179"/>
      <c r="CN206" s="179"/>
      <c r="CO206" s="179"/>
      <c r="CP206" s="179"/>
      <c r="CQ206" s="179"/>
      <c r="CR206" s="179"/>
      <c r="CS206" s="179"/>
      <c r="CT206" s="179"/>
      <c r="CU206" s="179"/>
      <c r="CV206" s="179"/>
      <c r="CW206" s="179"/>
    </row>
    <row r="207" spans="1:101" x14ac:dyDescent="0.2">
      <c r="A207" s="32" t="str">
        <f t="shared" ca="1" si="3"/>
        <v>2025-10-26</v>
      </c>
      <c r="B207" s="179">
        <f ca="1">IF(ISNUMBER(MATCH(DATEVALUE($A207),'changes1_based on steps'!B$1:B$400,0)),B$2,)</f>
        <v>0</v>
      </c>
      <c r="C207" s="179">
        <f ca="1">IF(ISNUMBER(MATCH(DATEVALUE($A207),'changes1_based on steps'!C$1:C$400,0)),C$2,)</f>
        <v>0</v>
      </c>
      <c r="D207" s="179">
        <f ca="1">IF(ISNUMBER(MATCH(DATEVALUE($A207),'changes1_based on steps'!D$1:D$400,0)),D$2,)</f>
        <v>0</v>
      </c>
      <c r="E207" s="179">
        <f ca="1">IF(ISNUMBER(MATCH(DATEVALUE($A207),'changes1_based on steps'!E$1:E$400,0)),E$2,)</f>
        <v>0</v>
      </c>
      <c r="F207" s="179">
        <f ca="1">IF(ISNUMBER(MATCH(DATEVALUE($A207),'changes1_based on steps'!F$1:F$400,0)),F$2,)</f>
        <v>0</v>
      </c>
      <c r="G207" s="179">
        <f ca="1">IF(ISNUMBER(MATCH(DATEVALUE($A207),'changes1_based on steps'!G$1:G$400,0)),G$2,)</f>
        <v>0</v>
      </c>
      <c r="H207" s="179">
        <f ca="1">IF(ISNUMBER(MATCH(DATEVALUE($A207),'changes1_based on steps'!H$1:H$400,0)),H$2,)</f>
        <v>0</v>
      </c>
      <c r="I207" s="179">
        <f ca="1">IF(ISNUMBER(MATCH(DATEVALUE($A207),'changes1_based on steps'!I$1:I$400,0)),I$2,)</f>
        <v>0</v>
      </c>
      <c r="J207" s="179">
        <f ca="1">IF(ISNUMBER(MATCH(DATEVALUE($A207),'changes1_based on steps'!J$1:J$400,0)),J$2,)</f>
        <v>0</v>
      </c>
      <c r="K207" s="179">
        <f ca="1">IF(ISNUMBER(MATCH(DATEVALUE($A207),'changes1_based on steps'!K$1:K$400,0)),K$2,)</f>
        <v>0</v>
      </c>
      <c r="L207" s="179">
        <f ca="1">IF(ISNUMBER(MATCH(DATEVALUE($A207),'changes1_based on steps'!L$1:L$400,0)),L$2,)</f>
        <v>0</v>
      </c>
      <c r="M207" s="179">
        <f ca="1">IF(ISNUMBER(MATCH(DATEVALUE($A207),'changes1_based on steps'!M$1:M$400,0)),M$2,)</f>
        <v>0</v>
      </c>
      <c r="N207" s="179">
        <f ca="1">IF(ISNUMBER(MATCH(DATEVALUE($A207),'changes1_based on steps'!N$1:N$400,0)),N$2,)</f>
        <v>0</v>
      </c>
      <c r="O207" s="179">
        <f ca="1">IF(ISNUMBER(MATCH(DATEVALUE($A207),'changes1_based on steps'!O$1:O$400,0)),O$2,)</f>
        <v>0</v>
      </c>
      <c r="P207" s="179">
        <f ca="1">IF(ISNUMBER(MATCH(DATEVALUE($A207),'changes1_based on steps'!P$1:P$400,0)),P$2,)</f>
        <v>0</v>
      </c>
      <c r="Q207" s="179">
        <f ca="1">IF(ISNUMBER(MATCH(DATEVALUE($A207),'changes1_based on steps'!Q$1:Q$400,0)),Q$2,)</f>
        <v>0</v>
      </c>
      <c r="R207" s="179">
        <f ca="1">IF(ISNUMBER(MATCH(DATEVALUE($A207),'changes1_based on steps'!R$1:R$400,0)),R$2,)</f>
        <v>0</v>
      </c>
      <c r="S207" s="179">
        <f ca="1">IF(ISNUMBER(MATCH(DATEVALUE($A207),'changes1_based on steps'!S$1:S$400,0)),S$2,)</f>
        <v>0</v>
      </c>
      <c r="T207" s="179">
        <f ca="1">IF(ISNUMBER(MATCH(DATEVALUE($A207),'changes1_based on steps'!T$1:T$400,0)),T$2,)</f>
        <v>0</v>
      </c>
      <c r="U207" s="179">
        <f ca="1">IF(ISNUMBER(MATCH(DATEVALUE($A207),'changes1_based on steps'!U$1:U$400,0)),U$2,)</f>
        <v>0</v>
      </c>
      <c r="V207" s="179"/>
      <c r="W207" s="179"/>
      <c r="X207" s="179"/>
      <c r="Y207" s="179"/>
      <c r="Z207" s="179"/>
      <c r="AA207" s="179"/>
      <c r="AB207" s="179"/>
      <c r="AC207" s="179"/>
      <c r="AD207" s="179"/>
      <c r="AE207" s="179"/>
      <c r="AF207" s="179"/>
      <c r="AG207" s="179"/>
      <c r="AH207" s="179"/>
      <c r="AI207" s="179"/>
      <c r="AJ207" s="179"/>
      <c r="AK207" s="179"/>
      <c r="AL207" s="179"/>
      <c r="AM207" s="179"/>
      <c r="AN207" s="179"/>
      <c r="AO207" s="179"/>
      <c r="AP207" s="179"/>
      <c r="AQ207" s="179"/>
      <c r="AR207" s="179"/>
      <c r="AS207" s="179"/>
      <c r="AT207" s="179"/>
      <c r="AU207" s="179"/>
      <c r="AV207" s="179"/>
      <c r="AW207" s="179"/>
      <c r="AX207" s="179"/>
      <c r="AY207" s="179"/>
      <c r="AZ207" s="179"/>
      <c r="BA207" s="179"/>
      <c r="BB207" s="179"/>
      <c r="BC207" s="179"/>
      <c r="BD207" s="179"/>
      <c r="BE207" s="179"/>
      <c r="BF207" s="179"/>
      <c r="BG207" s="179"/>
      <c r="BH207" s="179"/>
      <c r="BI207" s="179"/>
      <c r="BJ207" s="179"/>
      <c r="BK207" s="179"/>
      <c r="BL207" s="179"/>
      <c r="BM207" s="179"/>
      <c r="BN207" s="179"/>
      <c r="BO207" s="179"/>
      <c r="BP207" s="179"/>
      <c r="BQ207" s="179"/>
      <c r="BR207" s="179"/>
      <c r="BS207" s="179"/>
      <c r="BT207" s="179"/>
      <c r="BU207" s="179"/>
      <c r="BV207" s="179"/>
      <c r="BW207" s="179"/>
      <c r="BX207" s="179"/>
      <c r="BY207" s="179"/>
      <c r="BZ207" s="179"/>
      <c r="CA207" s="179"/>
      <c r="CB207" s="179"/>
      <c r="CC207" s="179"/>
      <c r="CD207" s="179"/>
      <c r="CE207" s="179"/>
      <c r="CF207" s="179"/>
      <c r="CG207" s="179"/>
      <c r="CH207" s="179"/>
      <c r="CI207" s="179"/>
      <c r="CJ207" s="179"/>
      <c r="CK207" s="179"/>
      <c r="CL207" s="179"/>
      <c r="CM207" s="179"/>
      <c r="CN207" s="179"/>
      <c r="CO207" s="179"/>
      <c r="CP207" s="179"/>
      <c r="CQ207" s="179"/>
      <c r="CR207" s="179"/>
      <c r="CS207" s="179"/>
      <c r="CT207" s="179"/>
      <c r="CU207" s="179"/>
      <c r="CV207" s="179"/>
      <c r="CW207" s="179"/>
    </row>
    <row r="208" spans="1:101" x14ac:dyDescent="0.2">
      <c r="A208" s="32" t="str">
        <f t="shared" ca="1" si="3"/>
        <v>2025-10-27</v>
      </c>
      <c r="B208" s="179">
        <f ca="1">IF(ISNUMBER(MATCH(DATEVALUE($A208),'changes1_based on steps'!B$1:B$400,0)),B$2,)</f>
        <v>0</v>
      </c>
      <c r="C208" s="179">
        <f ca="1">IF(ISNUMBER(MATCH(DATEVALUE($A208),'changes1_based on steps'!C$1:C$400,0)),C$2,)</f>
        <v>0</v>
      </c>
      <c r="D208" s="179">
        <f ca="1">IF(ISNUMBER(MATCH(DATEVALUE($A208),'changes1_based on steps'!D$1:D$400,0)),D$2,)</f>
        <v>0</v>
      </c>
      <c r="E208" s="179">
        <f ca="1">IF(ISNUMBER(MATCH(DATEVALUE($A208),'changes1_based on steps'!E$1:E$400,0)),E$2,)</f>
        <v>0</v>
      </c>
      <c r="F208" s="179">
        <f ca="1">IF(ISNUMBER(MATCH(DATEVALUE($A208),'changes1_based on steps'!F$1:F$400,0)),F$2,)</f>
        <v>0</v>
      </c>
      <c r="G208" s="179">
        <f ca="1">IF(ISNUMBER(MATCH(DATEVALUE($A208),'changes1_based on steps'!G$1:G$400,0)),G$2,)</f>
        <v>0</v>
      </c>
      <c r="H208" s="179">
        <f ca="1">IF(ISNUMBER(MATCH(DATEVALUE($A208),'changes1_based on steps'!H$1:H$400,0)),H$2,)</f>
        <v>0</v>
      </c>
      <c r="I208" s="179">
        <f ca="1">IF(ISNUMBER(MATCH(DATEVALUE($A208),'changes1_based on steps'!I$1:I$400,0)),I$2,)</f>
        <v>0</v>
      </c>
      <c r="J208" s="179">
        <f ca="1">IF(ISNUMBER(MATCH(DATEVALUE($A208),'changes1_based on steps'!J$1:J$400,0)),J$2,)</f>
        <v>0</v>
      </c>
      <c r="K208" s="179">
        <f ca="1">IF(ISNUMBER(MATCH(DATEVALUE($A208),'changes1_based on steps'!K$1:K$400,0)),K$2,)</f>
        <v>0</v>
      </c>
      <c r="L208" s="179">
        <f ca="1">IF(ISNUMBER(MATCH(DATEVALUE($A208),'changes1_based on steps'!L$1:L$400,0)),L$2,)</f>
        <v>0</v>
      </c>
      <c r="M208" s="179">
        <f ca="1">IF(ISNUMBER(MATCH(DATEVALUE($A208),'changes1_based on steps'!M$1:M$400,0)),M$2,)</f>
        <v>0</v>
      </c>
      <c r="N208" s="179">
        <f ca="1">IF(ISNUMBER(MATCH(DATEVALUE($A208),'changes1_based on steps'!N$1:N$400,0)),N$2,)</f>
        <v>0</v>
      </c>
      <c r="O208" s="179">
        <f ca="1">IF(ISNUMBER(MATCH(DATEVALUE($A208),'changes1_based on steps'!O$1:O$400,0)),O$2,)</f>
        <v>0</v>
      </c>
      <c r="P208" s="179">
        <f ca="1">IF(ISNUMBER(MATCH(DATEVALUE($A208),'changes1_based on steps'!P$1:P$400,0)),P$2,)</f>
        <v>0</v>
      </c>
      <c r="Q208" s="179">
        <f ca="1">IF(ISNUMBER(MATCH(DATEVALUE($A208),'changes1_based on steps'!Q$1:Q$400,0)),Q$2,)</f>
        <v>0</v>
      </c>
      <c r="R208" s="179">
        <f ca="1">IF(ISNUMBER(MATCH(DATEVALUE($A208),'changes1_based on steps'!R$1:R$400,0)),R$2,)</f>
        <v>0</v>
      </c>
      <c r="S208" s="179">
        <f ca="1">IF(ISNUMBER(MATCH(DATEVALUE($A208),'changes1_based on steps'!S$1:S$400,0)),S$2,)</f>
        <v>0</v>
      </c>
      <c r="T208" s="179">
        <f ca="1">IF(ISNUMBER(MATCH(DATEVALUE($A208),'changes1_based on steps'!T$1:T$400,0)),T$2,)</f>
        <v>0</v>
      </c>
      <c r="U208" s="179">
        <f ca="1">IF(ISNUMBER(MATCH(DATEVALUE($A208),'changes1_based on steps'!U$1:U$400,0)),U$2,)</f>
        <v>0</v>
      </c>
      <c r="V208" s="179"/>
      <c r="W208" s="179"/>
      <c r="X208" s="179"/>
      <c r="Y208" s="179"/>
      <c r="Z208" s="179"/>
      <c r="AA208" s="179"/>
      <c r="AB208" s="179"/>
      <c r="AC208" s="179"/>
      <c r="AD208" s="179"/>
      <c r="AE208" s="179"/>
      <c r="AF208" s="179"/>
      <c r="AG208" s="179"/>
      <c r="AH208" s="179"/>
      <c r="AI208" s="179"/>
      <c r="AJ208" s="179"/>
      <c r="AK208" s="179"/>
      <c r="AL208" s="179"/>
      <c r="AM208" s="179"/>
      <c r="AN208" s="179"/>
      <c r="AO208" s="179"/>
      <c r="AP208" s="179"/>
      <c r="AQ208" s="179"/>
      <c r="AR208" s="179"/>
      <c r="AS208" s="179"/>
      <c r="AT208" s="179"/>
      <c r="AU208" s="179"/>
      <c r="AV208" s="179"/>
      <c r="AW208" s="179"/>
      <c r="AX208" s="179"/>
      <c r="AY208" s="179"/>
      <c r="AZ208" s="179"/>
      <c r="BA208" s="179"/>
      <c r="BB208" s="179"/>
      <c r="BC208" s="179"/>
      <c r="BD208" s="179"/>
      <c r="BE208" s="179"/>
      <c r="BF208" s="179"/>
      <c r="BG208" s="179"/>
      <c r="BH208" s="179"/>
      <c r="BI208" s="179"/>
      <c r="BJ208" s="179"/>
      <c r="BK208" s="179"/>
      <c r="BL208" s="179"/>
      <c r="BM208" s="179"/>
      <c r="BN208" s="179"/>
      <c r="BO208" s="179"/>
      <c r="BP208" s="179"/>
      <c r="BQ208" s="179"/>
      <c r="BR208" s="179"/>
      <c r="BS208" s="179"/>
      <c r="BT208" s="179"/>
      <c r="BU208" s="179"/>
      <c r="BV208" s="179"/>
      <c r="BW208" s="179"/>
      <c r="BX208" s="179"/>
      <c r="BY208" s="179"/>
      <c r="BZ208" s="179"/>
      <c r="CA208" s="179"/>
      <c r="CB208" s="179"/>
      <c r="CC208" s="179"/>
      <c r="CD208" s="179"/>
      <c r="CE208" s="179"/>
      <c r="CF208" s="179"/>
      <c r="CG208" s="179"/>
      <c r="CH208" s="179"/>
      <c r="CI208" s="179"/>
      <c r="CJ208" s="179"/>
      <c r="CK208" s="179"/>
      <c r="CL208" s="179"/>
      <c r="CM208" s="179"/>
      <c r="CN208" s="179"/>
      <c r="CO208" s="179"/>
      <c r="CP208" s="179"/>
      <c r="CQ208" s="179"/>
      <c r="CR208" s="179"/>
      <c r="CS208" s="179"/>
      <c r="CT208" s="179"/>
      <c r="CU208" s="179"/>
      <c r="CV208" s="179"/>
      <c r="CW208" s="179"/>
    </row>
    <row r="209" spans="1:101" x14ac:dyDescent="0.2">
      <c r="A209" s="32" t="str">
        <f t="shared" ca="1" si="3"/>
        <v>2025-10-28</v>
      </c>
      <c r="B209" s="179">
        <f ca="1">IF(ISNUMBER(MATCH(DATEVALUE($A209),'changes1_based on steps'!B$1:B$400,0)),B$2,)</f>
        <v>0</v>
      </c>
      <c r="C209" s="179">
        <f ca="1">IF(ISNUMBER(MATCH(DATEVALUE($A209),'changes1_based on steps'!C$1:C$400,0)),C$2,)</f>
        <v>0</v>
      </c>
      <c r="D209" s="179">
        <f ca="1">IF(ISNUMBER(MATCH(DATEVALUE($A209),'changes1_based on steps'!D$1:D$400,0)),D$2,)</f>
        <v>0</v>
      </c>
      <c r="E209" s="179">
        <f ca="1">IF(ISNUMBER(MATCH(DATEVALUE($A209),'changes1_based on steps'!E$1:E$400,0)),E$2,)</f>
        <v>0</v>
      </c>
      <c r="F209" s="179">
        <f ca="1">IF(ISNUMBER(MATCH(DATEVALUE($A209),'changes1_based on steps'!F$1:F$400,0)),F$2,)</f>
        <v>0</v>
      </c>
      <c r="G209" s="179">
        <f ca="1">IF(ISNUMBER(MATCH(DATEVALUE($A209),'changes1_based on steps'!G$1:G$400,0)),G$2,)</f>
        <v>0</v>
      </c>
      <c r="H209" s="179">
        <f ca="1">IF(ISNUMBER(MATCH(DATEVALUE($A209),'changes1_based on steps'!H$1:H$400,0)),H$2,)</f>
        <v>0</v>
      </c>
      <c r="I209" s="179">
        <f ca="1">IF(ISNUMBER(MATCH(DATEVALUE($A209),'changes1_based on steps'!I$1:I$400,0)),I$2,)</f>
        <v>0</v>
      </c>
      <c r="J209" s="179">
        <f ca="1">IF(ISNUMBER(MATCH(DATEVALUE($A209),'changes1_based on steps'!J$1:J$400,0)),J$2,)</f>
        <v>0</v>
      </c>
      <c r="K209" s="179">
        <f ca="1">IF(ISNUMBER(MATCH(DATEVALUE($A209),'changes1_based on steps'!K$1:K$400,0)),K$2,)</f>
        <v>0</v>
      </c>
      <c r="L209" s="179">
        <f ca="1">IF(ISNUMBER(MATCH(DATEVALUE($A209),'changes1_based on steps'!L$1:L$400,0)),L$2,)</f>
        <v>0</v>
      </c>
      <c r="M209" s="179">
        <f ca="1">IF(ISNUMBER(MATCH(DATEVALUE($A209),'changes1_based on steps'!M$1:M$400,0)),M$2,)</f>
        <v>0</v>
      </c>
      <c r="N209" s="179">
        <f ca="1">IF(ISNUMBER(MATCH(DATEVALUE($A209),'changes1_based on steps'!N$1:N$400,0)),N$2,)</f>
        <v>0</v>
      </c>
      <c r="O209" s="179">
        <f ca="1">IF(ISNUMBER(MATCH(DATEVALUE($A209),'changes1_based on steps'!O$1:O$400,0)),O$2,)</f>
        <v>0</v>
      </c>
      <c r="P209" s="179">
        <f ca="1">IF(ISNUMBER(MATCH(DATEVALUE($A209),'changes1_based on steps'!P$1:P$400,0)),P$2,)</f>
        <v>0</v>
      </c>
      <c r="Q209" s="179">
        <f ca="1">IF(ISNUMBER(MATCH(DATEVALUE($A209),'changes1_based on steps'!Q$1:Q$400,0)),Q$2,)</f>
        <v>0</v>
      </c>
      <c r="R209" s="179">
        <f ca="1">IF(ISNUMBER(MATCH(DATEVALUE($A209),'changes1_based on steps'!R$1:R$400,0)),R$2,)</f>
        <v>0</v>
      </c>
      <c r="S209" s="179">
        <f ca="1">IF(ISNUMBER(MATCH(DATEVALUE($A209),'changes1_based on steps'!S$1:S$400,0)),S$2,)</f>
        <v>0</v>
      </c>
      <c r="T209" s="179">
        <f ca="1">IF(ISNUMBER(MATCH(DATEVALUE($A209),'changes1_based on steps'!T$1:T$400,0)),T$2,)</f>
        <v>0</v>
      </c>
      <c r="U209" s="179">
        <f ca="1">IF(ISNUMBER(MATCH(DATEVALUE($A209),'changes1_based on steps'!U$1:U$400,0)),U$2,)</f>
        <v>0</v>
      </c>
      <c r="V209" s="179"/>
      <c r="W209" s="179"/>
      <c r="X209" s="179"/>
      <c r="Y209" s="179"/>
      <c r="Z209" s="179"/>
      <c r="AA209" s="179"/>
      <c r="AB209" s="179"/>
      <c r="AC209" s="179"/>
      <c r="AD209" s="179"/>
      <c r="AE209" s="179"/>
      <c r="AF209" s="179"/>
      <c r="AG209" s="179"/>
      <c r="AH209" s="179"/>
      <c r="AI209" s="179"/>
      <c r="AJ209" s="179"/>
      <c r="AK209" s="179"/>
      <c r="AL209" s="179"/>
      <c r="AM209" s="179"/>
      <c r="AN209" s="179"/>
      <c r="AO209" s="179"/>
      <c r="AP209" s="179"/>
      <c r="AQ209" s="179"/>
      <c r="AR209" s="179"/>
      <c r="AS209" s="179"/>
      <c r="AT209" s="179"/>
      <c r="AU209" s="179"/>
      <c r="AV209" s="179"/>
      <c r="AW209" s="179"/>
      <c r="AX209" s="179"/>
      <c r="AY209" s="179"/>
      <c r="AZ209" s="179"/>
      <c r="BA209" s="179"/>
      <c r="BB209" s="179"/>
      <c r="BC209" s="179"/>
      <c r="BD209" s="179"/>
      <c r="BE209" s="179"/>
      <c r="BF209" s="179"/>
      <c r="BG209" s="179"/>
      <c r="BH209" s="179"/>
      <c r="BI209" s="179"/>
      <c r="BJ209" s="179"/>
      <c r="BK209" s="179"/>
      <c r="BL209" s="179"/>
      <c r="BM209" s="179"/>
      <c r="BN209" s="179"/>
      <c r="BO209" s="179"/>
      <c r="BP209" s="179"/>
      <c r="BQ209" s="179"/>
      <c r="BR209" s="179"/>
      <c r="BS209" s="179"/>
      <c r="BT209" s="179"/>
      <c r="BU209" s="179"/>
      <c r="BV209" s="179"/>
      <c r="BW209" s="179"/>
      <c r="BX209" s="179"/>
      <c r="BY209" s="179"/>
      <c r="BZ209" s="179"/>
      <c r="CA209" s="179"/>
      <c r="CB209" s="179"/>
      <c r="CC209" s="179"/>
      <c r="CD209" s="179"/>
      <c r="CE209" s="179"/>
      <c r="CF209" s="179"/>
      <c r="CG209" s="179"/>
      <c r="CH209" s="179"/>
      <c r="CI209" s="179"/>
      <c r="CJ209" s="179"/>
      <c r="CK209" s="179"/>
      <c r="CL209" s="179"/>
      <c r="CM209" s="179"/>
      <c r="CN209" s="179"/>
      <c r="CO209" s="179"/>
      <c r="CP209" s="179"/>
      <c r="CQ209" s="179"/>
      <c r="CR209" s="179"/>
      <c r="CS209" s="179"/>
      <c r="CT209" s="179"/>
      <c r="CU209" s="179"/>
      <c r="CV209" s="179"/>
      <c r="CW209" s="179"/>
    </row>
    <row r="210" spans="1:101" x14ac:dyDescent="0.2">
      <c r="A210" s="32" t="str">
        <f t="shared" ca="1" si="3"/>
        <v>2025-10-29</v>
      </c>
      <c r="B210" s="179">
        <f ca="1">IF(ISNUMBER(MATCH(DATEVALUE($A210),'changes1_based on steps'!B$1:B$400,0)),B$2,)</f>
        <v>0</v>
      </c>
      <c r="C210" s="179">
        <f ca="1">IF(ISNUMBER(MATCH(DATEVALUE($A210),'changes1_based on steps'!C$1:C$400,0)),C$2,)</f>
        <v>0</v>
      </c>
      <c r="D210" s="179">
        <f ca="1">IF(ISNUMBER(MATCH(DATEVALUE($A210),'changes1_based on steps'!D$1:D$400,0)),D$2,)</f>
        <v>0</v>
      </c>
      <c r="E210" s="179">
        <f ca="1">IF(ISNUMBER(MATCH(DATEVALUE($A210),'changes1_based on steps'!E$1:E$400,0)),E$2,)</f>
        <v>0</v>
      </c>
      <c r="F210" s="179">
        <f ca="1">IF(ISNUMBER(MATCH(DATEVALUE($A210),'changes1_based on steps'!F$1:F$400,0)),F$2,)</f>
        <v>0</v>
      </c>
      <c r="G210" s="179">
        <f ca="1">IF(ISNUMBER(MATCH(DATEVALUE($A210),'changes1_based on steps'!G$1:G$400,0)),G$2,)</f>
        <v>0</v>
      </c>
      <c r="H210" s="179">
        <f ca="1">IF(ISNUMBER(MATCH(DATEVALUE($A210),'changes1_based on steps'!H$1:H$400,0)),H$2,)</f>
        <v>0</v>
      </c>
      <c r="I210" s="179">
        <f ca="1">IF(ISNUMBER(MATCH(DATEVALUE($A210),'changes1_based on steps'!I$1:I$400,0)),I$2,)</f>
        <v>0</v>
      </c>
      <c r="J210" s="179">
        <f ca="1">IF(ISNUMBER(MATCH(DATEVALUE($A210),'changes1_based on steps'!J$1:J$400,0)),J$2,)</f>
        <v>0</v>
      </c>
      <c r="K210" s="179">
        <f ca="1">IF(ISNUMBER(MATCH(DATEVALUE($A210),'changes1_based on steps'!K$1:K$400,0)),K$2,)</f>
        <v>0</v>
      </c>
      <c r="L210" s="179">
        <f ca="1">IF(ISNUMBER(MATCH(DATEVALUE($A210),'changes1_based on steps'!L$1:L$400,0)),L$2,)</f>
        <v>0</v>
      </c>
      <c r="M210" s="179">
        <f ca="1">IF(ISNUMBER(MATCH(DATEVALUE($A210),'changes1_based on steps'!M$1:M$400,0)),M$2,)</f>
        <v>0</v>
      </c>
      <c r="N210" s="179">
        <f ca="1">IF(ISNUMBER(MATCH(DATEVALUE($A210),'changes1_based on steps'!N$1:N$400,0)),N$2,)</f>
        <v>0</v>
      </c>
      <c r="O210" s="179">
        <f ca="1">IF(ISNUMBER(MATCH(DATEVALUE($A210),'changes1_based on steps'!O$1:O$400,0)),O$2,)</f>
        <v>0</v>
      </c>
      <c r="P210" s="179">
        <f ca="1">IF(ISNUMBER(MATCH(DATEVALUE($A210),'changes1_based on steps'!P$1:P$400,0)),P$2,)</f>
        <v>0</v>
      </c>
      <c r="Q210" s="179">
        <f ca="1">IF(ISNUMBER(MATCH(DATEVALUE($A210),'changes1_based on steps'!Q$1:Q$400,0)),Q$2,)</f>
        <v>0</v>
      </c>
      <c r="R210" s="179">
        <f ca="1">IF(ISNUMBER(MATCH(DATEVALUE($A210),'changes1_based on steps'!R$1:R$400,0)),R$2,)</f>
        <v>0</v>
      </c>
      <c r="S210" s="179">
        <f ca="1">IF(ISNUMBER(MATCH(DATEVALUE($A210),'changes1_based on steps'!S$1:S$400,0)),S$2,)</f>
        <v>0</v>
      </c>
      <c r="T210" s="179">
        <f ca="1">IF(ISNUMBER(MATCH(DATEVALUE($A210),'changes1_based on steps'!T$1:T$400,0)),T$2,)</f>
        <v>0</v>
      </c>
      <c r="U210" s="179">
        <f ca="1">IF(ISNUMBER(MATCH(DATEVALUE($A210),'changes1_based on steps'!U$1:U$400,0)),U$2,)</f>
        <v>0</v>
      </c>
      <c r="V210" s="179"/>
      <c r="W210" s="179"/>
      <c r="X210" s="179"/>
      <c r="Y210" s="179"/>
      <c r="Z210" s="179"/>
      <c r="AA210" s="179"/>
      <c r="AB210" s="179"/>
      <c r="AC210" s="179"/>
      <c r="AD210" s="179"/>
      <c r="AE210" s="179"/>
      <c r="AF210" s="179"/>
      <c r="AG210" s="179"/>
      <c r="AH210" s="179"/>
      <c r="AI210" s="179"/>
      <c r="AJ210" s="179"/>
      <c r="AK210" s="179"/>
      <c r="AL210" s="179"/>
      <c r="AM210" s="179"/>
      <c r="AN210" s="179"/>
      <c r="AO210" s="179"/>
      <c r="AP210" s="179"/>
      <c r="AQ210" s="179"/>
      <c r="AR210" s="179"/>
      <c r="AS210" s="179"/>
      <c r="AT210" s="179"/>
      <c r="AU210" s="179"/>
      <c r="AV210" s="179"/>
      <c r="AW210" s="179"/>
      <c r="AX210" s="179"/>
      <c r="AY210" s="179"/>
      <c r="AZ210" s="179"/>
      <c r="BA210" s="179"/>
      <c r="BB210" s="179"/>
      <c r="BC210" s="179"/>
      <c r="BD210" s="179"/>
      <c r="BE210" s="179"/>
      <c r="BF210" s="179"/>
      <c r="BG210" s="179"/>
      <c r="BH210" s="179"/>
      <c r="BI210" s="179"/>
      <c r="BJ210" s="179"/>
      <c r="BK210" s="179"/>
      <c r="BL210" s="179"/>
      <c r="BM210" s="179"/>
      <c r="BN210" s="179"/>
      <c r="BO210" s="179"/>
      <c r="BP210" s="179"/>
      <c r="BQ210" s="179"/>
      <c r="BR210" s="179"/>
      <c r="BS210" s="179"/>
      <c r="BT210" s="179"/>
      <c r="BU210" s="179"/>
      <c r="BV210" s="179"/>
      <c r="BW210" s="179"/>
      <c r="BX210" s="179"/>
      <c r="BY210" s="179"/>
      <c r="BZ210" s="179"/>
      <c r="CA210" s="179"/>
      <c r="CB210" s="179"/>
      <c r="CC210" s="179"/>
      <c r="CD210" s="179"/>
      <c r="CE210" s="179"/>
      <c r="CF210" s="179"/>
      <c r="CG210" s="179"/>
      <c r="CH210" s="179"/>
      <c r="CI210" s="179"/>
      <c r="CJ210" s="179"/>
      <c r="CK210" s="179"/>
      <c r="CL210" s="179"/>
      <c r="CM210" s="179"/>
      <c r="CN210" s="179"/>
      <c r="CO210" s="179"/>
      <c r="CP210" s="179"/>
      <c r="CQ210" s="179"/>
      <c r="CR210" s="179"/>
      <c r="CS210" s="179"/>
      <c r="CT210" s="179"/>
      <c r="CU210" s="179"/>
      <c r="CV210" s="179"/>
      <c r="CW210" s="179"/>
    </row>
    <row r="211" spans="1:101" x14ac:dyDescent="0.2">
      <c r="A211" s="32" t="str">
        <f t="shared" ca="1" si="3"/>
        <v>2025-10-30</v>
      </c>
      <c r="B211" s="179">
        <f ca="1">IF(ISNUMBER(MATCH(DATEVALUE($A211),'changes1_based on steps'!B$1:B$400,0)),B$2,)</f>
        <v>0</v>
      </c>
      <c r="C211" s="179">
        <f ca="1">IF(ISNUMBER(MATCH(DATEVALUE($A211),'changes1_based on steps'!C$1:C$400,0)),C$2,)</f>
        <v>0</v>
      </c>
      <c r="D211" s="179">
        <f ca="1">IF(ISNUMBER(MATCH(DATEVALUE($A211),'changes1_based on steps'!D$1:D$400,0)),D$2,)</f>
        <v>0</v>
      </c>
      <c r="E211" s="179">
        <f ca="1">IF(ISNUMBER(MATCH(DATEVALUE($A211),'changes1_based on steps'!E$1:E$400,0)),E$2,)</f>
        <v>0</v>
      </c>
      <c r="F211" s="179">
        <f ca="1">IF(ISNUMBER(MATCH(DATEVALUE($A211),'changes1_based on steps'!F$1:F$400,0)),F$2,)</f>
        <v>0</v>
      </c>
      <c r="G211" s="179">
        <f ca="1">IF(ISNUMBER(MATCH(DATEVALUE($A211),'changes1_based on steps'!G$1:G$400,0)),G$2,)</f>
        <v>0</v>
      </c>
      <c r="H211" s="179">
        <f ca="1">IF(ISNUMBER(MATCH(DATEVALUE($A211),'changes1_based on steps'!H$1:H$400,0)),H$2,)</f>
        <v>0</v>
      </c>
      <c r="I211" s="179">
        <f ca="1">IF(ISNUMBER(MATCH(DATEVALUE($A211),'changes1_based on steps'!I$1:I$400,0)),I$2,)</f>
        <v>0</v>
      </c>
      <c r="J211" s="179">
        <f ca="1">IF(ISNUMBER(MATCH(DATEVALUE($A211),'changes1_based on steps'!J$1:J$400,0)),J$2,)</f>
        <v>0</v>
      </c>
      <c r="K211" s="179">
        <f ca="1">IF(ISNUMBER(MATCH(DATEVALUE($A211),'changes1_based on steps'!K$1:K$400,0)),K$2,)</f>
        <v>0</v>
      </c>
      <c r="L211" s="179">
        <f ca="1">IF(ISNUMBER(MATCH(DATEVALUE($A211),'changes1_based on steps'!L$1:L$400,0)),L$2,)</f>
        <v>0</v>
      </c>
      <c r="M211" s="179">
        <f ca="1">IF(ISNUMBER(MATCH(DATEVALUE($A211),'changes1_based on steps'!M$1:M$400,0)),M$2,)</f>
        <v>0</v>
      </c>
      <c r="N211" s="179">
        <f ca="1">IF(ISNUMBER(MATCH(DATEVALUE($A211),'changes1_based on steps'!N$1:N$400,0)),N$2,)</f>
        <v>0</v>
      </c>
      <c r="O211" s="179">
        <f ca="1">IF(ISNUMBER(MATCH(DATEVALUE($A211),'changes1_based on steps'!O$1:O$400,0)),O$2,)</f>
        <v>0</v>
      </c>
      <c r="P211" s="179">
        <f ca="1">IF(ISNUMBER(MATCH(DATEVALUE($A211),'changes1_based on steps'!P$1:P$400,0)),P$2,)</f>
        <v>0</v>
      </c>
      <c r="Q211" s="179">
        <f ca="1">IF(ISNUMBER(MATCH(DATEVALUE($A211),'changes1_based on steps'!Q$1:Q$400,0)),Q$2,)</f>
        <v>0</v>
      </c>
      <c r="R211" s="179">
        <f ca="1">IF(ISNUMBER(MATCH(DATEVALUE($A211),'changes1_based on steps'!R$1:R$400,0)),R$2,)</f>
        <v>0</v>
      </c>
      <c r="S211" s="179">
        <f ca="1">IF(ISNUMBER(MATCH(DATEVALUE($A211),'changes1_based on steps'!S$1:S$400,0)),S$2,)</f>
        <v>0</v>
      </c>
      <c r="T211" s="179">
        <f ca="1">IF(ISNUMBER(MATCH(DATEVALUE($A211),'changes1_based on steps'!T$1:T$400,0)),T$2,)</f>
        <v>0</v>
      </c>
      <c r="U211" s="179">
        <f ca="1">IF(ISNUMBER(MATCH(DATEVALUE($A211),'changes1_based on steps'!U$1:U$400,0)),U$2,)</f>
        <v>0</v>
      </c>
      <c r="V211" s="179"/>
      <c r="W211" s="179"/>
      <c r="X211" s="179"/>
      <c r="Y211" s="179"/>
      <c r="Z211" s="179"/>
      <c r="AA211" s="179"/>
      <c r="AB211" s="179"/>
      <c r="AC211" s="179"/>
      <c r="AD211" s="179"/>
      <c r="AE211" s="179"/>
      <c r="AF211" s="179"/>
      <c r="AG211" s="179"/>
      <c r="AH211" s="179"/>
      <c r="AI211" s="179"/>
      <c r="AJ211" s="179"/>
      <c r="AK211" s="179"/>
      <c r="AL211" s="179"/>
      <c r="AM211" s="179"/>
      <c r="AN211" s="179"/>
      <c r="AO211" s="179"/>
      <c r="AP211" s="179"/>
      <c r="AQ211" s="179"/>
      <c r="AR211" s="179"/>
      <c r="AS211" s="179"/>
      <c r="AT211" s="179"/>
      <c r="AU211" s="179"/>
      <c r="AV211" s="179"/>
      <c r="AW211" s="179"/>
      <c r="AX211" s="179"/>
      <c r="AY211" s="179"/>
      <c r="AZ211" s="179"/>
      <c r="BA211" s="179"/>
      <c r="BB211" s="179"/>
      <c r="BC211" s="179"/>
      <c r="BD211" s="179"/>
      <c r="BE211" s="179"/>
      <c r="BF211" s="179"/>
      <c r="BG211" s="179"/>
      <c r="BH211" s="179"/>
      <c r="BI211" s="179"/>
      <c r="BJ211" s="179"/>
      <c r="BK211" s="179"/>
      <c r="BL211" s="179"/>
      <c r="BM211" s="179"/>
      <c r="BN211" s="179"/>
      <c r="BO211" s="179"/>
      <c r="BP211" s="179"/>
      <c r="BQ211" s="179"/>
      <c r="BR211" s="179"/>
      <c r="BS211" s="179"/>
      <c r="BT211" s="179"/>
      <c r="BU211" s="179"/>
      <c r="BV211" s="179"/>
      <c r="BW211" s="179"/>
      <c r="BX211" s="179"/>
      <c r="BY211" s="179"/>
      <c r="BZ211" s="179"/>
      <c r="CA211" s="179"/>
      <c r="CB211" s="179"/>
      <c r="CC211" s="179"/>
      <c r="CD211" s="179"/>
      <c r="CE211" s="179"/>
      <c r="CF211" s="179"/>
      <c r="CG211" s="179"/>
      <c r="CH211" s="179"/>
      <c r="CI211" s="179"/>
      <c r="CJ211" s="179"/>
      <c r="CK211" s="179"/>
      <c r="CL211" s="179"/>
      <c r="CM211" s="179"/>
      <c r="CN211" s="179"/>
      <c r="CO211" s="179"/>
      <c r="CP211" s="179"/>
      <c r="CQ211" s="179"/>
      <c r="CR211" s="179"/>
      <c r="CS211" s="179"/>
      <c r="CT211" s="179"/>
      <c r="CU211" s="179"/>
      <c r="CV211" s="179"/>
      <c r="CW211" s="179"/>
    </row>
    <row r="212" spans="1:101" x14ac:dyDescent="0.2">
      <c r="A212" s="32" t="str">
        <f t="shared" ca="1" si="3"/>
        <v>2025-10-31</v>
      </c>
      <c r="B212" s="179">
        <f ca="1">IF(ISNUMBER(MATCH(DATEVALUE($A212),'changes1_based on steps'!B$1:B$400,0)),B$2,)</f>
        <v>0</v>
      </c>
      <c r="C212" s="179">
        <f ca="1">IF(ISNUMBER(MATCH(DATEVALUE($A212),'changes1_based on steps'!C$1:C$400,0)),C$2,)</f>
        <v>0</v>
      </c>
      <c r="D212" s="179">
        <f ca="1">IF(ISNUMBER(MATCH(DATEVALUE($A212),'changes1_based on steps'!D$1:D$400,0)),D$2,)</f>
        <v>0</v>
      </c>
      <c r="E212" s="179">
        <f ca="1">IF(ISNUMBER(MATCH(DATEVALUE($A212),'changes1_based on steps'!E$1:E$400,0)),E$2,)</f>
        <v>0</v>
      </c>
      <c r="F212" s="179">
        <f ca="1">IF(ISNUMBER(MATCH(DATEVALUE($A212),'changes1_based on steps'!F$1:F$400,0)),F$2,)</f>
        <v>0</v>
      </c>
      <c r="G212" s="179">
        <f ca="1">IF(ISNUMBER(MATCH(DATEVALUE($A212),'changes1_based on steps'!G$1:G$400,0)),G$2,)</f>
        <v>0</v>
      </c>
      <c r="H212" s="179">
        <f ca="1">IF(ISNUMBER(MATCH(DATEVALUE($A212),'changes1_based on steps'!H$1:H$400,0)),H$2,)</f>
        <v>0</v>
      </c>
      <c r="I212" s="179">
        <f ca="1">IF(ISNUMBER(MATCH(DATEVALUE($A212),'changes1_based on steps'!I$1:I$400,0)),I$2,)</f>
        <v>0</v>
      </c>
      <c r="J212" s="179">
        <f ca="1">IF(ISNUMBER(MATCH(DATEVALUE($A212),'changes1_based on steps'!J$1:J$400,0)),J$2,)</f>
        <v>0</v>
      </c>
      <c r="K212" s="179">
        <f ca="1">IF(ISNUMBER(MATCH(DATEVALUE($A212),'changes1_based on steps'!K$1:K$400,0)),K$2,)</f>
        <v>0</v>
      </c>
      <c r="L212" s="179">
        <f ca="1">IF(ISNUMBER(MATCH(DATEVALUE($A212),'changes1_based on steps'!L$1:L$400,0)),L$2,)</f>
        <v>0</v>
      </c>
      <c r="M212" s="179">
        <f ca="1">IF(ISNUMBER(MATCH(DATEVALUE($A212),'changes1_based on steps'!M$1:M$400,0)),M$2,)</f>
        <v>0</v>
      </c>
      <c r="N212" s="179">
        <f ca="1">IF(ISNUMBER(MATCH(DATEVALUE($A212),'changes1_based on steps'!N$1:N$400,0)),N$2,)</f>
        <v>0</v>
      </c>
      <c r="O212" s="179">
        <f ca="1">IF(ISNUMBER(MATCH(DATEVALUE($A212),'changes1_based on steps'!O$1:O$400,0)),O$2,)</f>
        <v>0</v>
      </c>
      <c r="P212" s="179">
        <f ca="1">IF(ISNUMBER(MATCH(DATEVALUE($A212),'changes1_based on steps'!P$1:P$400,0)),P$2,)</f>
        <v>0</v>
      </c>
      <c r="Q212" s="179">
        <f ca="1">IF(ISNUMBER(MATCH(DATEVALUE($A212),'changes1_based on steps'!Q$1:Q$400,0)),Q$2,)</f>
        <v>0</v>
      </c>
      <c r="R212" s="179">
        <f ca="1">IF(ISNUMBER(MATCH(DATEVALUE($A212),'changes1_based on steps'!R$1:R$400,0)),R$2,)</f>
        <v>0</v>
      </c>
      <c r="S212" s="179">
        <f ca="1">IF(ISNUMBER(MATCH(DATEVALUE($A212),'changes1_based on steps'!S$1:S$400,0)),S$2,)</f>
        <v>0</v>
      </c>
      <c r="T212" s="179">
        <f ca="1">IF(ISNUMBER(MATCH(DATEVALUE($A212),'changes1_based on steps'!T$1:T$400,0)),T$2,)</f>
        <v>0</v>
      </c>
      <c r="U212" s="179">
        <f ca="1">IF(ISNUMBER(MATCH(DATEVALUE($A212),'changes1_based on steps'!U$1:U$400,0)),U$2,)</f>
        <v>0</v>
      </c>
      <c r="V212" s="179"/>
      <c r="W212" s="179"/>
      <c r="X212" s="179"/>
      <c r="Y212" s="179"/>
      <c r="Z212" s="179"/>
      <c r="AA212" s="179"/>
      <c r="AB212" s="179"/>
      <c r="AC212" s="179"/>
      <c r="AD212" s="179"/>
      <c r="AE212" s="179"/>
      <c r="AF212" s="179"/>
      <c r="AG212" s="179"/>
      <c r="AH212" s="179"/>
      <c r="AI212" s="179"/>
      <c r="AJ212" s="179"/>
      <c r="AK212" s="179"/>
      <c r="AL212" s="179"/>
      <c r="AM212" s="179"/>
      <c r="AN212" s="179"/>
      <c r="AO212" s="179"/>
      <c r="AP212" s="179"/>
      <c r="AQ212" s="179"/>
      <c r="AR212" s="179"/>
      <c r="AS212" s="179"/>
      <c r="AT212" s="179"/>
      <c r="AU212" s="179"/>
      <c r="AV212" s="179"/>
      <c r="AW212" s="179"/>
      <c r="AX212" s="179"/>
      <c r="AY212" s="179"/>
      <c r="AZ212" s="179"/>
      <c r="BA212" s="179"/>
      <c r="BB212" s="179"/>
      <c r="BC212" s="179"/>
      <c r="BD212" s="179"/>
      <c r="BE212" s="179"/>
      <c r="BF212" s="179"/>
      <c r="BG212" s="179"/>
      <c r="BH212" s="179"/>
      <c r="BI212" s="179"/>
      <c r="BJ212" s="179"/>
      <c r="BK212" s="179"/>
      <c r="BL212" s="179"/>
      <c r="BM212" s="179"/>
      <c r="BN212" s="179"/>
      <c r="BO212" s="179"/>
      <c r="BP212" s="179"/>
      <c r="BQ212" s="179"/>
      <c r="BR212" s="179"/>
      <c r="BS212" s="179"/>
      <c r="BT212" s="179"/>
      <c r="BU212" s="179"/>
      <c r="BV212" s="179"/>
      <c r="BW212" s="179"/>
      <c r="BX212" s="179"/>
      <c r="BY212" s="179"/>
      <c r="BZ212" s="179"/>
      <c r="CA212" s="179"/>
      <c r="CB212" s="179"/>
      <c r="CC212" s="179"/>
      <c r="CD212" s="179"/>
      <c r="CE212" s="179"/>
      <c r="CF212" s="179"/>
      <c r="CG212" s="179"/>
      <c r="CH212" s="179"/>
      <c r="CI212" s="179"/>
      <c r="CJ212" s="179"/>
      <c r="CK212" s="179"/>
      <c r="CL212" s="179"/>
      <c r="CM212" s="179"/>
      <c r="CN212" s="179"/>
      <c r="CO212" s="179"/>
      <c r="CP212" s="179"/>
      <c r="CQ212" s="179"/>
      <c r="CR212" s="179"/>
      <c r="CS212" s="179"/>
      <c r="CT212" s="179"/>
      <c r="CU212" s="179"/>
      <c r="CV212" s="179"/>
      <c r="CW212" s="179"/>
    </row>
    <row r="213" spans="1:101" x14ac:dyDescent="0.2">
      <c r="A213" s="32" t="str">
        <f t="shared" ca="1" si="3"/>
        <v>2025-11-01</v>
      </c>
      <c r="B213" s="179">
        <f ca="1">IF(ISNUMBER(MATCH(DATEVALUE($A213),'changes1_based on steps'!B$1:B$400,0)),B$2,)</f>
        <v>0</v>
      </c>
      <c r="C213" s="179">
        <f ca="1">IF(ISNUMBER(MATCH(DATEVALUE($A213),'changes1_based on steps'!C$1:C$400,0)),C$2,)</f>
        <v>0</v>
      </c>
      <c r="D213" s="179">
        <f ca="1">IF(ISNUMBER(MATCH(DATEVALUE($A213),'changes1_based on steps'!D$1:D$400,0)),D$2,)</f>
        <v>0</v>
      </c>
      <c r="E213" s="179">
        <f ca="1">IF(ISNUMBER(MATCH(DATEVALUE($A213),'changes1_based on steps'!E$1:E$400,0)),E$2,)</f>
        <v>0</v>
      </c>
      <c r="F213" s="179">
        <f ca="1">IF(ISNUMBER(MATCH(DATEVALUE($A213),'changes1_based on steps'!F$1:F$400,0)),F$2,)</f>
        <v>0</v>
      </c>
      <c r="G213" s="179">
        <f ca="1">IF(ISNUMBER(MATCH(DATEVALUE($A213),'changes1_based on steps'!G$1:G$400,0)),G$2,)</f>
        <v>0</v>
      </c>
      <c r="H213" s="179">
        <f ca="1">IF(ISNUMBER(MATCH(DATEVALUE($A213),'changes1_based on steps'!H$1:H$400,0)),H$2,)</f>
        <v>0</v>
      </c>
      <c r="I213" s="179">
        <f ca="1">IF(ISNUMBER(MATCH(DATEVALUE($A213),'changes1_based on steps'!I$1:I$400,0)),I$2,)</f>
        <v>0</v>
      </c>
      <c r="J213" s="179">
        <f ca="1">IF(ISNUMBER(MATCH(DATEVALUE($A213),'changes1_based on steps'!J$1:J$400,0)),J$2,)</f>
        <v>0</v>
      </c>
      <c r="K213" s="179">
        <f ca="1">IF(ISNUMBER(MATCH(DATEVALUE($A213),'changes1_based on steps'!K$1:K$400,0)),K$2,)</f>
        <v>0</v>
      </c>
      <c r="L213" s="179">
        <f ca="1">IF(ISNUMBER(MATCH(DATEVALUE($A213),'changes1_based on steps'!L$1:L$400,0)),L$2,)</f>
        <v>0</v>
      </c>
      <c r="M213" s="179">
        <f ca="1">IF(ISNUMBER(MATCH(DATEVALUE($A213),'changes1_based on steps'!M$1:M$400,0)),M$2,)</f>
        <v>0</v>
      </c>
      <c r="N213" s="179">
        <f ca="1">IF(ISNUMBER(MATCH(DATEVALUE($A213),'changes1_based on steps'!N$1:N$400,0)),N$2,)</f>
        <v>0</v>
      </c>
      <c r="O213" s="179">
        <f ca="1">IF(ISNUMBER(MATCH(DATEVALUE($A213),'changes1_based on steps'!O$1:O$400,0)),O$2,)</f>
        <v>0</v>
      </c>
      <c r="P213" s="179">
        <f ca="1">IF(ISNUMBER(MATCH(DATEVALUE($A213),'changes1_based on steps'!P$1:P$400,0)),P$2,)</f>
        <v>0</v>
      </c>
      <c r="Q213" s="179">
        <f ca="1">IF(ISNUMBER(MATCH(DATEVALUE($A213),'changes1_based on steps'!Q$1:Q$400,0)),Q$2,)</f>
        <v>0</v>
      </c>
      <c r="R213" s="179">
        <f ca="1">IF(ISNUMBER(MATCH(DATEVALUE($A213),'changes1_based on steps'!R$1:R$400,0)),R$2,)</f>
        <v>0</v>
      </c>
      <c r="S213" s="179">
        <f ca="1">IF(ISNUMBER(MATCH(DATEVALUE($A213),'changes1_based on steps'!S$1:S$400,0)),S$2,)</f>
        <v>0</v>
      </c>
      <c r="T213" s="179">
        <f ca="1">IF(ISNUMBER(MATCH(DATEVALUE($A213),'changes1_based on steps'!T$1:T$400,0)),T$2,)</f>
        <v>0</v>
      </c>
      <c r="U213" s="179">
        <f ca="1">IF(ISNUMBER(MATCH(DATEVALUE($A213),'changes1_based on steps'!U$1:U$400,0)),U$2,)</f>
        <v>0</v>
      </c>
      <c r="V213" s="179"/>
      <c r="W213" s="179"/>
      <c r="X213" s="179"/>
      <c r="Y213" s="179"/>
      <c r="Z213" s="179"/>
      <c r="AA213" s="179"/>
      <c r="AB213" s="179"/>
      <c r="AC213" s="179"/>
      <c r="AD213" s="179"/>
      <c r="AE213" s="179"/>
      <c r="AF213" s="179"/>
      <c r="AG213" s="179"/>
      <c r="AH213" s="179"/>
      <c r="AI213" s="179"/>
      <c r="AJ213" s="179"/>
      <c r="AK213" s="179"/>
      <c r="AL213" s="179"/>
      <c r="AM213" s="179"/>
      <c r="AN213" s="179"/>
      <c r="AO213" s="179"/>
      <c r="AP213" s="179"/>
      <c r="AQ213" s="179"/>
      <c r="AR213" s="179"/>
      <c r="AS213" s="179"/>
      <c r="AT213" s="179"/>
      <c r="AU213" s="179"/>
      <c r="AV213" s="179"/>
      <c r="AW213" s="179"/>
      <c r="AX213" s="179"/>
      <c r="AY213" s="179"/>
      <c r="AZ213" s="179"/>
      <c r="BA213" s="179"/>
      <c r="BB213" s="179"/>
      <c r="BC213" s="179"/>
      <c r="BD213" s="179"/>
      <c r="BE213" s="179"/>
      <c r="BF213" s="179"/>
      <c r="BG213" s="179"/>
      <c r="BH213" s="179"/>
      <c r="BI213" s="179"/>
      <c r="BJ213" s="179"/>
      <c r="BK213" s="179"/>
      <c r="BL213" s="179"/>
      <c r="BM213" s="179"/>
      <c r="BN213" s="179"/>
      <c r="BO213" s="179"/>
      <c r="BP213" s="179"/>
      <c r="BQ213" s="179"/>
      <c r="BR213" s="179"/>
      <c r="BS213" s="179"/>
      <c r="BT213" s="179"/>
      <c r="BU213" s="179"/>
      <c r="BV213" s="179"/>
      <c r="BW213" s="179"/>
      <c r="BX213" s="179"/>
      <c r="BY213" s="179"/>
      <c r="BZ213" s="179"/>
      <c r="CA213" s="179"/>
      <c r="CB213" s="179"/>
      <c r="CC213" s="179"/>
      <c r="CD213" s="179"/>
      <c r="CE213" s="179"/>
      <c r="CF213" s="179"/>
      <c r="CG213" s="179"/>
      <c r="CH213" s="179"/>
      <c r="CI213" s="179"/>
      <c r="CJ213" s="179"/>
      <c r="CK213" s="179"/>
      <c r="CL213" s="179"/>
      <c r="CM213" s="179"/>
      <c r="CN213" s="179"/>
      <c r="CO213" s="179"/>
      <c r="CP213" s="179"/>
      <c r="CQ213" s="179"/>
      <c r="CR213" s="179"/>
      <c r="CS213" s="179"/>
      <c r="CT213" s="179"/>
      <c r="CU213" s="179"/>
      <c r="CV213" s="179"/>
      <c r="CW213" s="179"/>
    </row>
    <row r="214" spans="1:101" x14ac:dyDescent="0.2">
      <c r="A214" s="32" t="str">
        <f t="shared" ca="1" si="3"/>
        <v>2025-11-02</v>
      </c>
      <c r="B214" s="179">
        <f ca="1">IF(ISNUMBER(MATCH(DATEVALUE($A214),'changes1_based on steps'!B$1:B$400,0)),B$2,)</f>
        <v>0</v>
      </c>
      <c r="C214" s="179">
        <f ca="1">IF(ISNUMBER(MATCH(DATEVALUE($A214),'changes1_based on steps'!C$1:C$400,0)),C$2,)</f>
        <v>0</v>
      </c>
      <c r="D214" s="179">
        <f ca="1">IF(ISNUMBER(MATCH(DATEVALUE($A214),'changes1_based on steps'!D$1:D$400,0)),D$2,)</f>
        <v>0</v>
      </c>
      <c r="E214" s="179">
        <f ca="1">IF(ISNUMBER(MATCH(DATEVALUE($A214),'changes1_based on steps'!E$1:E$400,0)),E$2,)</f>
        <v>0</v>
      </c>
      <c r="F214" s="179">
        <f ca="1">IF(ISNUMBER(MATCH(DATEVALUE($A214),'changes1_based on steps'!F$1:F$400,0)),F$2,)</f>
        <v>0</v>
      </c>
      <c r="G214" s="179">
        <f ca="1">IF(ISNUMBER(MATCH(DATEVALUE($A214),'changes1_based on steps'!G$1:G$400,0)),G$2,)</f>
        <v>0</v>
      </c>
      <c r="H214" s="179">
        <f ca="1">IF(ISNUMBER(MATCH(DATEVALUE($A214),'changes1_based on steps'!H$1:H$400,0)),H$2,)</f>
        <v>0</v>
      </c>
      <c r="I214" s="179">
        <f ca="1">IF(ISNUMBER(MATCH(DATEVALUE($A214),'changes1_based on steps'!I$1:I$400,0)),I$2,)</f>
        <v>0</v>
      </c>
      <c r="J214" s="179">
        <f ca="1">IF(ISNUMBER(MATCH(DATEVALUE($A214),'changes1_based on steps'!J$1:J$400,0)),J$2,)</f>
        <v>0</v>
      </c>
      <c r="K214" s="179">
        <f ca="1">IF(ISNUMBER(MATCH(DATEVALUE($A214),'changes1_based on steps'!K$1:K$400,0)),K$2,)</f>
        <v>0</v>
      </c>
      <c r="L214" s="179">
        <f ca="1">IF(ISNUMBER(MATCH(DATEVALUE($A214),'changes1_based on steps'!L$1:L$400,0)),L$2,)</f>
        <v>0</v>
      </c>
      <c r="M214" s="179">
        <f ca="1">IF(ISNUMBER(MATCH(DATEVALUE($A214),'changes1_based on steps'!M$1:M$400,0)),M$2,)</f>
        <v>0</v>
      </c>
      <c r="N214" s="179">
        <f ca="1">IF(ISNUMBER(MATCH(DATEVALUE($A214),'changes1_based on steps'!N$1:N$400,0)),N$2,)</f>
        <v>0</v>
      </c>
      <c r="O214" s="179">
        <f ca="1">IF(ISNUMBER(MATCH(DATEVALUE($A214),'changes1_based on steps'!O$1:O$400,0)),O$2,)</f>
        <v>0</v>
      </c>
      <c r="P214" s="179">
        <f ca="1">IF(ISNUMBER(MATCH(DATEVALUE($A214),'changes1_based on steps'!P$1:P$400,0)),P$2,)</f>
        <v>0</v>
      </c>
      <c r="Q214" s="179">
        <f ca="1">IF(ISNUMBER(MATCH(DATEVALUE($A214),'changes1_based on steps'!Q$1:Q$400,0)),Q$2,)</f>
        <v>0</v>
      </c>
      <c r="R214" s="179">
        <f ca="1">IF(ISNUMBER(MATCH(DATEVALUE($A214),'changes1_based on steps'!R$1:R$400,0)),R$2,)</f>
        <v>0</v>
      </c>
      <c r="S214" s="179">
        <f ca="1">IF(ISNUMBER(MATCH(DATEVALUE($A214),'changes1_based on steps'!S$1:S$400,0)),S$2,)</f>
        <v>0</v>
      </c>
      <c r="T214" s="179">
        <f ca="1">IF(ISNUMBER(MATCH(DATEVALUE($A214),'changes1_based on steps'!T$1:T$400,0)),T$2,)</f>
        <v>0</v>
      </c>
      <c r="U214" s="179">
        <f ca="1">IF(ISNUMBER(MATCH(DATEVALUE($A214),'changes1_based on steps'!U$1:U$400,0)),U$2,)</f>
        <v>0</v>
      </c>
      <c r="V214" s="179"/>
      <c r="W214" s="179"/>
      <c r="X214" s="179"/>
      <c r="Y214" s="179"/>
      <c r="Z214" s="179"/>
      <c r="AA214" s="179"/>
      <c r="AB214" s="179"/>
      <c r="AC214" s="179"/>
      <c r="AD214" s="179"/>
      <c r="AE214" s="179"/>
      <c r="AF214" s="179"/>
      <c r="AG214" s="179"/>
      <c r="AH214" s="179"/>
      <c r="AI214" s="179"/>
      <c r="AJ214" s="179"/>
      <c r="AK214" s="179"/>
      <c r="AL214" s="179"/>
      <c r="AM214" s="179"/>
      <c r="AN214" s="179"/>
      <c r="AO214" s="179"/>
      <c r="AP214" s="179"/>
      <c r="AQ214" s="179"/>
      <c r="AR214" s="179"/>
      <c r="AS214" s="179"/>
      <c r="AT214" s="179"/>
      <c r="AU214" s="179"/>
      <c r="AV214" s="179"/>
      <c r="AW214" s="179"/>
      <c r="AX214" s="179"/>
      <c r="AY214" s="179"/>
      <c r="AZ214" s="179"/>
      <c r="BA214" s="179"/>
      <c r="BB214" s="179"/>
      <c r="BC214" s="179"/>
      <c r="BD214" s="179"/>
      <c r="BE214" s="179"/>
      <c r="BF214" s="179"/>
      <c r="BG214" s="179"/>
      <c r="BH214" s="179"/>
      <c r="BI214" s="179"/>
      <c r="BJ214" s="179"/>
      <c r="BK214" s="179"/>
      <c r="BL214" s="179"/>
      <c r="BM214" s="179"/>
      <c r="BN214" s="179"/>
      <c r="BO214" s="179"/>
      <c r="BP214" s="179"/>
      <c r="BQ214" s="179"/>
      <c r="BR214" s="179"/>
      <c r="BS214" s="179"/>
      <c r="BT214" s="179"/>
      <c r="BU214" s="179"/>
      <c r="BV214" s="179"/>
      <c r="BW214" s="179"/>
      <c r="BX214" s="179"/>
      <c r="BY214" s="179"/>
      <c r="BZ214" s="179"/>
      <c r="CA214" s="179"/>
      <c r="CB214" s="179"/>
      <c r="CC214" s="179"/>
      <c r="CD214" s="179"/>
      <c r="CE214" s="179"/>
      <c r="CF214" s="179"/>
      <c r="CG214" s="179"/>
      <c r="CH214" s="179"/>
      <c r="CI214" s="179"/>
      <c r="CJ214" s="179"/>
      <c r="CK214" s="179"/>
      <c r="CL214" s="179"/>
      <c r="CM214" s="179"/>
      <c r="CN214" s="179"/>
      <c r="CO214" s="179"/>
      <c r="CP214" s="179"/>
      <c r="CQ214" s="179"/>
      <c r="CR214" s="179"/>
      <c r="CS214" s="179"/>
      <c r="CT214" s="179"/>
      <c r="CU214" s="179"/>
      <c r="CV214" s="179"/>
      <c r="CW214" s="179"/>
    </row>
    <row r="215" spans="1:101" x14ac:dyDescent="0.2">
      <c r="A215" s="32" t="str">
        <f t="shared" ca="1" si="3"/>
        <v>2025-11-03</v>
      </c>
      <c r="B215" s="179">
        <f ca="1">IF(ISNUMBER(MATCH(DATEVALUE($A215),'changes1_based on steps'!B$1:B$400,0)),B$2,)</f>
        <v>0</v>
      </c>
      <c r="C215" s="179">
        <f ca="1">IF(ISNUMBER(MATCH(DATEVALUE($A215),'changes1_based on steps'!C$1:C$400,0)),C$2,)</f>
        <v>0</v>
      </c>
      <c r="D215" s="179">
        <f ca="1">IF(ISNUMBER(MATCH(DATEVALUE($A215),'changes1_based on steps'!D$1:D$400,0)),D$2,)</f>
        <v>0</v>
      </c>
      <c r="E215" s="179">
        <f ca="1">IF(ISNUMBER(MATCH(DATEVALUE($A215),'changes1_based on steps'!E$1:E$400,0)),E$2,)</f>
        <v>0</v>
      </c>
      <c r="F215" s="179">
        <f ca="1">IF(ISNUMBER(MATCH(DATEVALUE($A215),'changes1_based on steps'!F$1:F$400,0)),F$2,)</f>
        <v>0</v>
      </c>
      <c r="G215" s="179">
        <f ca="1">IF(ISNUMBER(MATCH(DATEVALUE($A215),'changes1_based on steps'!G$1:G$400,0)),G$2,)</f>
        <v>0</v>
      </c>
      <c r="H215" s="179">
        <f ca="1">IF(ISNUMBER(MATCH(DATEVALUE($A215),'changes1_based on steps'!H$1:H$400,0)),H$2,)</f>
        <v>0</v>
      </c>
      <c r="I215" s="179">
        <f ca="1">IF(ISNUMBER(MATCH(DATEVALUE($A215),'changes1_based on steps'!I$1:I$400,0)),I$2,)</f>
        <v>0</v>
      </c>
      <c r="J215" s="179">
        <f ca="1">IF(ISNUMBER(MATCH(DATEVALUE($A215),'changes1_based on steps'!J$1:J$400,0)),J$2,)</f>
        <v>0</v>
      </c>
      <c r="K215" s="179">
        <f ca="1">IF(ISNUMBER(MATCH(DATEVALUE($A215),'changes1_based on steps'!K$1:K$400,0)),K$2,)</f>
        <v>0</v>
      </c>
      <c r="L215" s="179">
        <f ca="1">IF(ISNUMBER(MATCH(DATEVALUE($A215),'changes1_based on steps'!L$1:L$400,0)),L$2,)</f>
        <v>0</v>
      </c>
      <c r="M215" s="179">
        <f ca="1">IF(ISNUMBER(MATCH(DATEVALUE($A215),'changes1_based on steps'!M$1:M$400,0)),M$2,)</f>
        <v>0</v>
      </c>
      <c r="N215" s="179">
        <f ca="1">IF(ISNUMBER(MATCH(DATEVALUE($A215),'changes1_based on steps'!N$1:N$400,0)),N$2,)</f>
        <v>0</v>
      </c>
      <c r="O215" s="179">
        <f ca="1">IF(ISNUMBER(MATCH(DATEVALUE($A215),'changes1_based on steps'!O$1:O$400,0)),O$2,)</f>
        <v>0</v>
      </c>
      <c r="P215" s="179">
        <f ca="1">IF(ISNUMBER(MATCH(DATEVALUE($A215),'changes1_based on steps'!P$1:P$400,0)),P$2,)</f>
        <v>0</v>
      </c>
      <c r="Q215" s="179">
        <f ca="1">IF(ISNUMBER(MATCH(DATEVALUE($A215),'changes1_based on steps'!Q$1:Q$400,0)),Q$2,)</f>
        <v>0</v>
      </c>
      <c r="R215" s="179">
        <f ca="1">IF(ISNUMBER(MATCH(DATEVALUE($A215),'changes1_based on steps'!R$1:R$400,0)),R$2,)</f>
        <v>0</v>
      </c>
      <c r="S215" s="179">
        <f ca="1">IF(ISNUMBER(MATCH(DATEVALUE($A215),'changes1_based on steps'!S$1:S$400,0)),S$2,)</f>
        <v>0</v>
      </c>
      <c r="T215" s="179">
        <f ca="1">IF(ISNUMBER(MATCH(DATEVALUE($A215),'changes1_based on steps'!T$1:T$400,0)),T$2,)</f>
        <v>0</v>
      </c>
      <c r="U215" s="179">
        <f ca="1">IF(ISNUMBER(MATCH(DATEVALUE($A215),'changes1_based on steps'!U$1:U$400,0)),U$2,)</f>
        <v>0</v>
      </c>
      <c r="V215" s="179"/>
      <c r="W215" s="179"/>
      <c r="X215" s="179"/>
      <c r="Y215" s="179"/>
      <c r="Z215" s="179"/>
      <c r="AA215" s="179"/>
      <c r="AB215" s="179"/>
      <c r="AC215" s="179"/>
      <c r="AD215" s="179"/>
      <c r="AE215" s="179"/>
      <c r="AF215" s="179"/>
      <c r="AG215" s="179"/>
      <c r="AH215" s="179"/>
      <c r="AI215" s="179"/>
      <c r="AJ215" s="179"/>
      <c r="AK215" s="179"/>
      <c r="AL215" s="179"/>
      <c r="AM215" s="179"/>
      <c r="AN215" s="179"/>
      <c r="AO215" s="179"/>
      <c r="AP215" s="179"/>
      <c r="AQ215" s="179"/>
      <c r="AR215" s="179"/>
      <c r="AS215" s="179"/>
      <c r="AT215" s="179"/>
      <c r="AU215" s="179"/>
      <c r="AV215" s="179"/>
      <c r="AW215" s="179"/>
      <c r="AX215" s="179"/>
      <c r="AY215" s="179"/>
      <c r="AZ215" s="179"/>
      <c r="BA215" s="179"/>
      <c r="BB215" s="179"/>
      <c r="BC215" s="179"/>
      <c r="BD215" s="179"/>
      <c r="BE215" s="179"/>
      <c r="BF215" s="179"/>
      <c r="BG215" s="179"/>
      <c r="BH215" s="179"/>
      <c r="BI215" s="179"/>
      <c r="BJ215" s="179"/>
      <c r="BK215" s="179"/>
      <c r="BL215" s="179"/>
      <c r="BM215" s="179"/>
      <c r="BN215" s="179"/>
      <c r="BO215" s="179"/>
      <c r="BP215" s="179"/>
      <c r="BQ215" s="179"/>
      <c r="BR215" s="179"/>
      <c r="BS215" s="179"/>
      <c r="BT215" s="179"/>
      <c r="BU215" s="179"/>
      <c r="BV215" s="179"/>
      <c r="BW215" s="179"/>
      <c r="BX215" s="179"/>
      <c r="BY215" s="179"/>
      <c r="BZ215" s="179"/>
      <c r="CA215" s="179"/>
      <c r="CB215" s="179"/>
      <c r="CC215" s="179"/>
      <c r="CD215" s="179"/>
      <c r="CE215" s="179"/>
      <c r="CF215" s="179"/>
      <c r="CG215" s="179"/>
      <c r="CH215" s="179"/>
      <c r="CI215" s="179"/>
      <c r="CJ215" s="179"/>
      <c r="CK215" s="179"/>
      <c r="CL215" s="179"/>
      <c r="CM215" s="179"/>
      <c r="CN215" s="179"/>
      <c r="CO215" s="179"/>
      <c r="CP215" s="179"/>
      <c r="CQ215" s="179"/>
      <c r="CR215" s="179"/>
      <c r="CS215" s="179"/>
      <c r="CT215" s="179"/>
      <c r="CU215" s="179"/>
      <c r="CV215" s="179"/>
      <c r="CW215" s="179"/>
    </row>
    <row r="216" spans="1:101" x14ac:dyDescent="0.2">
      <c r="A216" s="32" t="str">
        <f t="shared" ca="1" si="3"/>
        <v>2025-11-04</v>
      </c>
      <c r="B216" s="179">
        <f ca="1">IF(ISNUMBER(MATCH(DATEVALUE($A216),'changes1_based on steps'!B$1:B$400,0)),B$2,)</f>
        <v>0</v>
      </c>
      <c r="C216" s="179">
        <f ca="1">IF(ISNUMBER(MATCH(DATEVALUE($A216),'changes1_based on steps'!C$1:C$400,0)),C$2,)</f>
        <v>0</v>
      </c>
      <c r="D216" s="179">
        <f ca="1">IF(ISNUMBER(MATCH(DATEVALUE($A216),'changes1_based on steps'!D$1:D$400,0)),D$2,)</f>
        <v>0</v>
      </c>
      <c r="E216" s="179">
        <f ca="1">IF(ISNUMBER(MATCH(DATEVALUE($A216),'changes1_based on steps'!E$1:E$400,0)),E$2,)</f>
        <v>0</v>
      </c>
      <c r="F216" s="179">
        <f ca="1">IF(ISNUMBER(MATCH(DATEVALUE($A216),'changes1_based on steps'!F$1:F$400,0)),F$2,)</f>
        <v>0</v>
      </c>
      <c r="G216" s="179">
        <f ca="1">IF(ISNUMBER(MATCH(DATEVALUE($A216),'changes1_based on steps'!G$1:G$400,0)),G$2,)</f>
        <v>0</v>
      </c>
      <c r="H216" s="179">
        <f ca="1">IF(ISNUMBER(MATCH(DATEVALUE($A216),'changes1_based on steps'!H$1:H$400,0)),H$2,)</f>
        <v>0</v>
      </c>
      <c r="I216" s="179">
        <f ca="1">IF(ISNUMBER(MATCH(DATEVALUE($A216),'changes1_based on steps'!I$1:I$400,0)),I$2,)</f>
        <v>0</v>
      </c>
      <c r="J216" s="179">
        <f ca="1">IF(ISNUMBER(MATCH(DATEVALUE($A216),'changes1_based on steps'!J$1:J$400,0)),J$2,)</f>
        <v>0</v>
      </c>
      <c r="K216" s="179">
        <f ca="1">IF(ISNUMBER(MATCH(DATEVALUE($A216),'changes1_based on steps'!K$1:K$400,0)),K$2,)</f>
        <v>0</v>
      </c>
      <c r="L216" s="179">
        <f ca="1">IF(ISNUMBER(MATCH(DATEVALUE($A216),'changes1_based on steps'!L$1:L$400,0)),L$2,)</f>
        <v>0</v>
      </c>
      <c r="M216" s="179">
        <f ca="1">IF(ISNUMBER(MATCH(DATEVALUE($A216),'changes1_based on steps'!M$1:M$400,0)),M$2,)</f>
        <v>0</v>
      </c>
      <c r="N216" s="179">
        <f ca="1">IF(ISNUMBER(MATCH(DATEVALUE($A216),'changes1_based on steps'!N$1:N$400,0)),N$2,)</f>
        <v>0</v>
      </c>
      <c r="O216" s="179">
        <f ca="1">IF(ISNUMBER(MATCH(DATEVALUE($A216),'changes1_based on steps'!O$1:O$400,0)),O$2,)</f>
        <v>0</v>
      </c>
      <c r="P216" s="179">
        <f ca="1">IF(ISNUMBER(MATCH(DATEVALUE($A216),'changes1_based on steps'!P$1:P$400,0)),P$2,)</f>
        <v>0</v>
      </c>
      <c r="Q216" s="179">
        <f ca="1">IF(ISNUMBER(MATCH(DATEVALUE($A216),'changes1_based on steps'!Q$1:Q$400,0)),Q$2,)</f>
        <v>0</v>
      </c>
      <c r="R216" s="179">
        <f ca="1">IF(ISNUMBER(MATCH(DATEVALUE($A216),'changes1_based on steps'!R$1:R$400,0)),R$2,)</f>
        <v>0</v>
      </c>
      <c r="S216" s="179">
        <f ca="1">IF(ISNUMBER(MATCH(DATEVALUE($A216),'changes1_based on steps'!S$1:S$400,0)),S$2,)</f>
        <v>0</v>
      </c>
      <c r="T216" s="179">
        <f ca="1">IF(ISNUMBER(MATCH(DATEVALUE($A216),'changes1_based on steps'!T$1:T$400,0)),T$2,)</f>
        <v>0</v>
      </c>
      <c r="U216" s="179">
        <f ca="1">IF(ISNUMBER(MATCH(DATEVALUE($A216),'changes1_based on steps'!U$1:U$400,0)),U$2,)</f>
        <v>0</v>
      </c>
      <c r="V216" s="179"/>
      <c r="W216" s="179"/>
      <c r="X216" s="179"/>
      <c r="Y216" s="179"/>
      <c r="Z216" s="179"/>
      <c r="AA216" s="179"/>
      <c r="AB216" s="179"/>
      <c r="AC216" s="179"/>
      <c r="AD216" s="179"/>
      <c r="AE216" s="179"/>
      <c r="AF216" s="179"/>
      <c r="AG216" s="179"/>
      <c r="AH216" s="179"/>
      <c r="AI216" s="179"/>
      <c r="AJ216" s="179"/>
      <c r="AK216" s="179"/>
      <c r="AL216" s="179"/>
      <c r="AM216" s="179"/>
      <c r="AN216" s="179"/>
      <c r="AO216" s="179"/>
      <c r="AP216" s="179"/>
      <c r="AQ216" s="179"/>
      <c r="AR216" s="179"/>
      <c r="AS216" s="179"/>
      <c r="AT216" s="179"/>
      <c r="AU216" s="179"/>
      <c r="AV216" s="179"/>
      <c r="AW216" s="179"/>
      <c r="AX216" s="179"/>
      <c r="AY216" s="179"/>
      <c r="AZ216" s="179"/>
      <c r="BA216" s="179"/>
      <c r="BB216" s="179"/>
      <c r="BC216" s="179"/>
      <c r="BD216" s="179"/>
      <c r="BE216" s="179"/>
      <c r="BF216" s="179"/>
      <c r="BG216" s="179"/>
      <c r="BH216" s="179"/>
      <c r="BI216" s="179"/>
      <c r="BJ216" s="179"/>
      <c r="BK216" s="179"/>
      <c r="BL216" s="179"/>
      <c r="BM216" s="179"/>
      <c r="BN216" s="179"/>
      <c r="BO216" s="179"/>
      <c r="BP216" s="179"/>
      <c r="BQ216" s="179"/>
      <c r="BR216" s="179"/>
      <c r="BS216" s="179"/>
      <c r="BT216" s="179"/>
      <c r="BU216" s="179"/>
      <c r="BV216" s="179"/>
      <c r="BW216" s="179"/>
      <c r="BX216" s="179"/>
      <c r="BY216" s="179"/>
      <c r="BZ216" s="179"/>
      <c r="CA216" s="179"/>
      <c r="CB216" s="179"/>
      <c r="CC216" s="179"/>
      <c r="CD216" s="179"/>
      <c r="CE216" s="179"/>
      <c r="CF216" s="179"/>
      <c r="CG216" s="179"/>
      <c r="CH216" s="179"/>
      <c r="CI216" s="179"/>
      <c r="CJ216" s="179"/>
      <c r="CK216" s="179"/>
      <c r="CL216" s="179"/>
      <c r="CM216" s="179"/>
      <c r="CN216" s="179"/>
      <c r="CO216" s="179"/>
      <c r="CP216" s="179"/>
      <c r="CQ216" s="179"/>
      <c r="CR216" s="179"/>
      <c r="CS216" s="179"/>
      <c r="CT216" s="179"/>
      <c r="CU216" s="179"/>
      <c r="CV216" s="179"/>
      <c r="CW216" s="179"/>
    </row>
    <row r="217" spans="1:101" x14ac:dyDescent="0.2">
      <c r="A217" s="32" t="str">
        <f t="shared" ca="1" si="3"/>
        <v>2025-11-05</v>
      </c>
      <c r="B217" s="179">
        <f ca="1">IF(ISNUMBER(MATCH(DATEVALUE($A217),'changes1_based on steps'!B$1:B$400,0)),B$2,)</f>
        <v>0</v>
      </c>
      <c r="C217" s="179">
        <f ca="1">IF(ISNUMBER(MATCH(DATEVALUE($A217),'changes1_based on steps'!C$1:C$400,0)),C$2,)</f>
        <v>0</v>
      </c>
      <c r="D217" s="179">
        <f ca="1">IF(ISNUMBER(MATCH(DATEVALUE($A217),'changes1_based on steps'!D$1:D$400,0)),D$2,)</f>
        <v>0</v>
      </c>
      <c r="E217" s="179">
        <f ca="1">IF(ISNUMBER(MATCH(DATEVALUE($A217),'changes1_based on steps'!E$1:E$400,0)),E$2,)</f>
        <v>0</v>
      </c>
      <c r="F217" s="179">
        <f ca="1">IF(ISNUMBER(MATCH(DATEVALUE($A217),'changes1_based on steps'!F$1:F$400,0)),F$2,)</f>
        <v>0</v>
      </c>
      <c r="G217" s="179">
        <f ca="1">IF(ISNUMBER(MATCH(DATEVALUE($A217),'changes1_based on steps'!G$1:G$400,0)),G$2,)</f>
        <v>0</v>
      </c>
      <c r="H217" s="179">
        <f ca="1">IF(ISNUMBER(MATCH(DATEVALUE($A217),'changes1_based on steps'!H$1:H$400,0)),H$2,)</f>
        <v>0</v>
      </c>
      <c r="I217" s="179">
        <f ca="1">IF(ISNUMBER(MATCH(DATEVALUE($A217),'changes1_based on steps'!I$1:I$400,0)),I$2,)</f>
        <v>0</v>
      </c>
      <c r="J217" s="179">
        <f ca="1">IF(ISNUMBER(MATCH(DATEVALUE($A217),'changes1_based on steps'!J$1:J$400,0)),J$2,)</f>
        <v>0</v>
      </c>
      <c r="K217" s="179">
        <f ca="1">IF(ISNUMBER(MATCH(DATEVALUE($A217),'changes1_based on steps'!K$1:K$400,0)),K$2,)</f>
        <v>0</v>
      </c>
      <c r="L217" s="179">
        <f ca="1">IF(ISNUMBER(MATCH(DATEVALUE($A217),'changes1_based on steps'!L$1:L$400,0)),L$2,)</f>
        <v>0</v>
      </c>
      <c r="M217" s="179">
        <f ca="1">IF(ISNUMBER(MATCH(DATEVALUE($A217),'changes1_based on steps'!M$1:M$400,0)),M$2,)</f>
        <v>0</v>
      </c>
      <c r="N217" s="179">
        <f ca="1">IF(ISNUMBER(MATCH(DATEVALUE($A217),'changes1_based on steps'!N$1:N$400,0)),N$2,)</f>
        <v>0</v>
      </c>
      <c r="O217" s="179">
        <f ca="1">IF(ISNUMBER(MATCH(DATEVALUE($A217),'changes1_based on steps'!O$1:O$400,0)),O$2,)</f>
        <v>0</v>
      </c>
      <c r="P217" s="179">
        <f ca="1">IF(ISNUMBER(MATCH(DATEVALUE($A217),'changes1_based on steps'!P$1:P$400,0)),P$2,)</f>
        <v>0</v>
      </c>
      <c r="Q217" s="179">
        <f ca="1">IF(ISNUMBER(MATCH(DATEVALUE($A217),'changes1_based on steps'!Q$1:Q$400,0)),Q$2,)</f>
        <v>0</v>
      </c>
      <c r="R217" s="179">
        <f ca="1">IF(ISNUMBER(MATCH(DATEVALUE($A217),'changes1_based on steps'!R$1:R$400,0)),R$2,)</f>
        <v>0</v>
      </c>
      <c r="S217" s="179">
        <f ca="1">IF(ISNUMBER(MATCH(DATEVALUE($A217),'changes1_based on steps'!S$1:S$400,0)),S$2,)</f>
        <v>0</v>
      </c>
      <c r="T217" s="179">
        <f ca="1">IF(ISNUMBER(MATCH(DATEVALUE($A217),'changes1_based on steps'!T$1:T$400,0)),T$2,)</f>
        <v>0</v>
      </c>
      <c r="U217" s="179">
        <f ca="1">IF(ISNUMBER(MATCH(DATEVALUE($A217),'changes1_based on steps'!U$1:U$400,0)),U$2,)</f>
        <v>0</v>
      </c>
      <c r="V217" s="179"/>
      <c r="W217" s="179"/>
      <c r="X217" s="179"/>
      <c r="Y217" s="179"/>
      <c r="Z217" s="179"/>
      <c r="AA217" s="179"/>
      <c r="AB217" s="179"/>
      <c r="AC217" s="179"/>
      <c r="AD217" s="179"/>
      <c r="AE217" s="179"/>
      <c r="AF217" s="179"/>
      <c r="AG217" s="179"/>
      <c r="AH217" s="179"/>
      <c r="AI217" s="179"/>
      <c r="AJ217" s="179"/>
      <c r="AK217" s="179"/>
      <c r="AL217" s="179"/>
      <c r="AM217" s="179"/>
      <c r="AN217" s="179"/>
      <c r="AO217" s="179"/>
      <c r="AP217" s="179"/>
      <c r="AQ217" s="179"/>
      <c r="AR217" s="179"/>
      <c r="AS217" s="179"/>
      <c r="AT217" s="179"/>
      <c r="AU217" s="179"/>
      <c r="AV217" s="179"/>
      <c r="AW217" s="179"/>
      <c r="AX217" s="179"/>
      <c r="AY217" s="179"/>
      <c r="AZ217" s="179"/>
      <c r="BA217" s="179"/>
      <c r="BB217" s="179"/>
      <c r="BC217" s="179"/>
      <c r="BD217" s="179"/>
      <c r="BE217" s="179"/>
      <c r="BF217" s="179"/>
      <c r="BG217" s="179"/>
      <c r="BH217" s="179"/>
      <c r="BI217" s="179"/>
      <c r="BJ217" s="179"/>
      <c r="BK217" s="179"/>
      <c r="BL217" s="179"/>
      <c r="BM217" s="179"/>
      <c r="BN217" s="179"/>
      <c r="BO217" s="179"/>
      <c r="BP217" s="179"/>
      <c r="BQ217" s="179"/>
      <c r="BR217" s="179"/>
      <c r="BS217" s="179"/>
      <c r="BT217" s="179"/>
      <c r="BU217" s="179"/>
      <c r="BV217" s="179"/>
      <c r="BW217" s="179"/>
      <c r="BX217" s="179"/>
      <c r="BY217" s="179"/>
      <c r="BZ217" s="179"/>
      <c r="CA217" s="179"/>
      <c r="CB217" s="179"/>
      <c r="CC217" s="179"/>
      <c r="CD217" s="179"/>
      <c r="CE217" s="179"/>
      <c r="CF217" s="179"/>
      <c r="CG217" s="179"/>
      <c r="CH217" s="179"/>
      <c r="CI217" s="179"/>
      <c r="CJ217" s="179"/>
      <c r="CK217" s="179"/>
      <c r="CL217" s="179"/>
      <c r="CM217" s="179"/>
      <c r="CN217" s="179"/>
      <c r="CO217" s="179"/>
      <c r="CP217" s="179"/>
      <c r="CQ217" s="179"/>
      <c r="CR217" s="179"/>
      <c r="CS217" s="179"/>
      <c r="CT217" s="179"/>
      <c r="CU217" s="179"/>
      <c r="CV217" s="179"/>
      <c r="CW217" s="179"/>
    </row>
    <row r="218" spans="1:101" x14ac:dyDescent="0.2">
      <c r="A218" s="32" t="str">
        <f t="shared" ca="1" si="3"/>
        <v>2025-11-06</v>
      </c>
      <c r="B218" s="179">
        <f ca="1">IF(ISNUMBER(MATCH(DATEVALUE($A218),'changes1_based on steps'!B$1:B$400,0)),B$2,)</f>
        <v>0</v>
      </c>
      <c r="C218" s="179">
        <f ca="1">IF(ISNUMBER(MATCH(DATEVALUE($A218),'changes1_based on steps'!C$1:C$400,0)),C$2,)</f>
        <v>0</v>
      </c>
      <c r="D218" s="179">
        <f ca="1">IF(ISNUMBER(MATCH(DATEVALUE($A218),'changes1_based on steps'!D$1:D$400,0)),D$2,)</f>
        <v>0</v>
      </c>
      <c r="E218" s="179">
        <f ca="1">IF(ISNUMBER(MATCH(DATEVALUE($A218),'changes1_based on steps'!E$1:E$400,0)),E$2,)</f>
        <v>0</v>
      </c>
      <c r="F218" s="179">
        <f ca="1">IF(ISNUMBER(MATCH(DATEVALUE($A218),'changes1_based on steps'!F$1:F$400,0)),F$2,)</f>
        <v>0</v>
      </c>
      <c r="G218" s="179">
        <f ca="1">IF(ISNUMBER(MATCH(DATEVALUE($A218),'changes1_based on steps'!G$1:G$400,0)),G$2,)</f>
        <v>0</v>
      </c>
      <c r="H218" s="179">
        <f ca="1">IF(ISNUMBER(MATCH(DATEVALUE($A218),'changes1_based on steps'!H$1:H$400,0)),H$2,)</f>
        <v>0</v>
      </c>
      <c r="I218" s="179">
        <f ca="1">IF(ISNUMBER(MATCH(DATEVALUE($A218),'changes1_based on steps'!I$1:I$400,0)),I$2,)</f>
        <v>0</v>
      </c>
      <c r="J218" s="179">
        <f ca="1">IF(ISNUMBER(MATCH(DATEVALUE($A218),'changes1_based on steps'!J$1:J$400,0)),J$2,)</f>
        <v>0</v>
      </c>
      <c r="K218" s="179">
        <f ca="1">IF(ISNUMBER(MATCH(DATEVALUE($A218),'changes1_based on steps'!K$1:K$400,0)),K$2,)</f>
        <v>0</v>
      </c>
      <c r="L218" s="179">
        <f ca="1">IF(ISNUMBER(MATCH(DATEVALUE($A218),'changes1_based on steps'!L$1:L$400,0)),L$2,)</f>
        <v>0</v>
      </c>
      <c r="M218" s="179">
        <f ca="1">IF(ISNUMBER(MATCH(DATEVALUE($A218),'changes1_based on steps'!M$1:M$400,0)),M$2,)</f>
        <v>0</v>
      </c>
      <c r="N218" s="179">
        <f ca="1">IF(ISNUMBER(MATCH(DATEVALUE($A218),'changes1_based on steps'!N$1:N$400,0)),N$2,)</f>
        <v>0</v>
      </c>
      <c r="O218" s="179">
        <f ca="1">IF(ISNUMBER(MATCH(DATEVALUE($A218),'changes1_based on steps'!O$1:O$400,0)),O$2,)</f>
        <v>0</v>
      </c>
      <c r="P218" s="179">
        <f ca="1">IF(ISNUMBER(MATCH(DATEVALUE($A218),'changes1_based on steps'!P$1:P$400,0)),P$2,)</f>
        <v>0</v>
      </c>
      <c r="Q218" s="179">
        <f ca="1">IF(ISNUMBER(MATCH(DATEVALUE($A218),'changes1_based on steps'!Q$1:Q$400,0)),Q$2,)</f>
        <v>0</v>
      </c>
      <c r="R218" s="179">
        <f ca="1">IF(ISNUMBER(MATCH(DATEVALUE($A218),'changes1_based on steps'!R$1:R$400,0)),R$2,)</f>
        <v>0</v>
      </c>
      <c r="S218" s="179">
        <f ca="1">IF(ISNUMBER(MATCH(DATEVALUE($A218),'changes1_based on steps'!S$1:S$400,0)),S$2,)</f>
        <v>0</v>
      </c>
      <c r="T218" s="179">
        <f ca="1">IF(ISNUMBER(MATCH(DATEVALUE($A218),'changes1_based on steps'!T$1:T$400,0)),T$2,)</f>
        <v>0</v>
      </c>
      <c r="U218" s="179">
        <f ca="1">IF(ISNUMBER(MATCH(DATEVALUE($A218),'changes1_based on steps'!U$1:U$400,0)),U$2,)</f>
        <v>0</v>
      </c>
      <c r="V218" s="179"/>
      <c r="W218" s="179"/>
      <c r="X218" s="179"/>
      <c r="Y218" s="179"/>
      <c r="Z218" s="179"/>
      <c r="AA218" s="179"/>
      <c r="AB218" s="179"/>
      <c r="AC218" s="179"/>
      <c r="AD218" s="179"/>
      <c r="AE218" s="179"/>
      <c r="AF218" s="179"/>
      <c r="AG218" s="179"/>
      <c r="AH218" s="179"/>
      <c r="AI218" s="179"/>
      <c r="AJ218" s="179"/>
      <c r="AK218" s="179"/>
      <c r="AL218" s="179"/>
      <c r="AM218" s="179"/>
      <c r="AN218" s="179"/>
      <c r="AO218" s="179"/>
      <c r="AP218" s="179"/>
      <c r="AQ218" s="179"/>
      <c r="AR218" s="179"/>
      <c r="AS218" s="179"/>
      <c r="AT218" s="179"/>
      <c r="AU218" s="179"/>
      <c r="AV218" s="179"/>
      <c r="AW218" s="179"/>
      <c r="AX218" s="179"/>
      <c r="AY218" s="179"/>
      <c r="AZ218" s="179"/>
      <c r="BA218" s="179"/>
      <c r="BB218" s="179"/>
      <c r="BC218" s="179"/>
      <c r="BD218" s="179"/>
      <c r="BE218" s="179"/>
      <c r="BF218" s="179"/>
      <c r="BG218" s="179"/>
      <c r="BH218" s="179"/>
      <c r="BI218" s="179"/>
      <c r="BJ218" s="179"/>
      <c r="BK218" s="179"/>
      <c r="BL218" s="179"/>
      <c r="BM218" s="179"/>
      <c r="BN218" s="179"/>
      <c r="BO218" s="179"/>
      <c r="BP218" s="179"/>
      <c r="BQ218" s="179"/>
      <c r="BR218" s="179"/>
      <c r="BS218" s="179"/>
      <c r="BT218" s="179"/>
      <c r="BU218" s="179"/>
      <c r="BV218" s="179"/>
      <c r="BW218" s="179"/>
      <c r="BX218" s="179"/>
      <c r="BY218" s="179"/>
      <c r="BZ218" s="179"/>
      <c r="CA218" s="179"/>
      <c r="CB218" s="179"/>
      <c r="CC218" s="179"/>
      <c r="CD218" s="179"/>
      <c r="CE218" s="179"/>
      <c r="CF218" s="179"/>
      <c r="CG218" s="179"/>
      <c r="CH218" s="179"/>
      <c r="CI218" s="179"/>
      <c r="CJ218" s="179"/>
      <c r="CK218" s="179"/>
      <c r="CL218" s="179"/>
      <c r="CM218" s="179"/>
      <c r="CN218" s="179"/>
      <c r="CO218" s="179"/>
      <c r="CP218" s="179"/>
      <c r="CQ218" s="179"/>
      <c r="CR218" s="179"/>
      <c r="CS218" s="179"/>
      <c r="CT218" s="179"/>
      <c r="CU218" s="179"/>
      <c r="CV218" s="179"/>
      <c r="CW218" s="179"/>
    </row>
    <row r="219" spans="1:101" x14ac:dyDescent="0.2">
      <c r="A219" s="32" t="str">
        <f t="shared" ca="1" si="3"/>
        <v>2025-11-07</v>
      </c>
      <c r="B219" s="179">
        <f ca="1">IF(ISNUMBER(MATCH(DATEVALUE($A219),'changes1_based on steps'!B$1:B$400,0)),B$2,)</f>
        <v>0</v>
      </c>
      <c r="C219" s="179">
        <f ca="1">IF(ISNUMBER(MATCH(DATEVALUE($A219),'changes1_based on steps'!C$1:C$400,0)),C$2,)</f>
        <v>0</v>
      </c>
      <c r="D219" s="179">
        <f ca="1">IF(ISNUMBER(MATCH(DATEVALUE($A219),'changes1_based on steps'!D$1:D$400,0)),D$2,)</f>
        <v>0</v>
      </c>
      <c r="E219" s="179">
        <f ca="1">IF(ISNUMBER(MATCH(DATEVALUE($A219),'changes1_based on steps'!E$1:E$400,0)),E$2,)</f>
        <v>0</v>
      </c>
      <c r="F219" s="179">
        <f ca="1">IF(ISNUMBER(MATCH(DATEVALUE($A219),'changes1_based on steps'!F$1:F$400,0)),F$2,)</f>
        <v>0</v>
      </c>
      <c r="G219" s="179">
        <f ca="1">IF(ISNUMBER(MATCH(DATEVALUE($A219),'changes1_based on steps'!G$1:G$400,0)),G$2,)</f>
        <v>0</v>
      </c>
      <c r="H219" s="179">
        <f ca="1">IF(ISNUMBER(MATCH(DATEVALUE($A219),'changes1_based on steps'!H$1:H$400,0)),H$2,)</f>
        <v>0</v>
      </c>
      <c r="I219" s="179">
        <f ca="1">IF(ISNUMBER(MATCH(DATEVALUE($A219),'changes1_based on steps'!I$1:I$400,0)),I$2,)</f>
        <v>0</v>
      </c>
      <c r="J219" s="179">
        <f ca="1">IF(ISNUMBER(MATCH(DATEVALUE($A219),'changes1_based on steps'!J$1:J$400,0)),J$2,)</f>
        <v>0</v>
      </c>
      <c r="K219" s="179">
        <f ca="1">IF(ISNUMBER(MATCH(DATEVALUE($A219),'changes1_based on steps'!K$1:K$400,0)),K$2,)</f>
        <v>0</v>
      </c>
      <c r="L219" s="179">
        <f ca="1">IF(ISNUMBER(MATCH(DATEVALUE($A219),'changes1_based on steps'!L$1:L$400,0)),L$2,)</f>
        <v>0</v>
      </c>
      <c r="M219" s="179">
        <f ca="1">IF(ISNUMBER(MATCH(DATEVALUE($A219),'changes1_based on steps'!M$1:M$400,0)),M$2,)</f>
        <v>0</v>
      </c>
      <c r="N219" s="179">
        <f ca="1">IF(ISNUMBER(MATCH(DATEVALUE($A219),'changes1_based on steps'!N$1:N$400,0)),N$2,)</f>
        <v>0</v>
      </c>
      <c r="O219" s="179">
        <f ca="1">IF(ISNUMBER(MATCH(DATEVALUE($A219),'changes1_based on steps'!O$1:O$400,0)),O$2,)</f>
        <v>0</v>
      </c>
      <c r="P219" s="179">
        <f ca="1">IF(ISNUMBER(MATCH(DATEVALUE($A219),'changes1_based on steps'!P$1:P$400,0)),P$2,)</f>
        <v>0</v>
      </c>
      <c r="Q219" s="179">
        <f ca="1">IF(ISNUMBER(MATCH(DATEVALUE($A219),'changes1_based on steps'!Q$1:Q$400,0)),Q$2,)</f>
        <v>0</v>
      </c>
      <c r="R219" s="179">
        <f ca="1">IF(ISNUMBER(MATCH(DATEVALUE($A219),'changes1_based on steps'!R$1:R$400,0)),R$2,)</f>
        <v>0</v>
      </c>
      <c r="S219" s="179">
        <f ca="1">IF(ISNUMBER(MATCH(DATEVALUE($A219),'changes1_based on steps'!S$1:S$400,0)),S$2,)</f>
        <v>0</v>
      </c>
      <c r="T219" s="179">
        <f ca="1">IF(ISNUMBER(MATCH(DATEVALUE($A219),'changes1_based on steps'!T$1:T$400,0)),T$2,)</f>
        <v>0</v>
      </c>
      <c r="U219" s="179">
        <f ca="1">IF(ISNUMBER(MATCH(DATEVALUE($A219),'changes1_based on steps'!U$1:U$400,0)),U$2,)</f>
        <v>0</v>
      </c>
      <c r="V219" s="179"/>
      <c r="W219" s="179"/>
      <c r="X219" s="179"/>
      <c r="Y219" s="179"/>
      <c r="Z219" s="179"/>
      <c r="AA219" s="179"/>
      <c r="AB219" s="179"/>
      <c r="AC219" s="179"/>
      <c r="AD219" s="179"/>
      <c r="AE219" s="179"/>
      <c r="AF219" s="179"/>
      <c r="AG219" s="179"/>
      <c r="AH219" s="179"/>
      <c r="AI219" s="179"/>
      <c r="AJ219" s="179"/>
      <c r="AK219" s="179"/>
      <c r="AL219" s="179"/>
      <c r="AM219" s="179"/>
      <c r="AN219" s="179"/>
      <c r="AO219" s="179"/>
      <c r="AP219" s="179"/>
      <c r="AQ219" s="179"/>
      <c r="AR219" s="179"/>
      <c r="AS219" s="179"/>
      <c r="AT219" s="179"/>
      <c r="AU219" s="179"/>
      <c r="AV219" s="179"/>
      <c r="AW219" s="179"/>
      <c r="AX219" s="179"/>
      <c r="AY219" s="179"/>
      <c r="AZ219" s="179"/>
      <c r="BA219" s="179"/>
      <c r="BB219" s="179"/>
      <c r="BC219" s="179"/>
      <c r="BD219" s="179"/>
      <c r="BE219" s="179"/>
      <c r="BF219" s="179"/>
      <c r="BG219" s="179"/>
      <c r="BH219" s="179"/>
      <c r="BI219" s="179"/>
      <c r="BJ219" s="179"/>
      <c r="BK219" s="179"/>
      <c r="BL219" s="179"/>
      <c r="BM219" s="179"/>
      <c r="BN219" s="179"/>
      <c r="BO219" s="179"/>
      <c r="BP219" s="179"/>
      <c r="BQ219" s="179"/>
      <c r="BR219" s="179"/>
      <c r="BS219" s="179"/>
      <c r="BT219" s="179"/>
      <c r="BU219" s="179"/>
      <c r="BV219" s="179"/>
      <c r="BW219" s="179"/>
      <c r="BX219" s="179"/>
      <c r="BY219" s="179"/>
      <c r="BZ219" s="179"/>
      <c r="CA219" s="179"/>
      <c r="CB219" s="179"/>
      <c r="CC219" s="179"/>
      <c r="CD219" s="179"/>
      <c r="CE219" s="179"/>
      <c r="CF219" s="179"/>
      <c r="CG219" s="179"/>
      <c r="CH219" s="179"/>
      <c r="CI219" s="179"/>
      <c r="CJ219" s="179"/>
      <c r="CK219" s="179"/>
      <c r="CL219" s="179"/>
      <c r="CM219" s="179"/>
      <c r="CN219" s="179"/>
      <c r="CO219" s="179"/>
      <c r="CP219" s="179"/>
      <c r="CQ219" s="179"/>
      <c r="CR219" s="179"/>
      <c r="CS219" s="179"/>
      <c r="CT219" s="179"/>
      <c r="CU219" s="179"/>
      <c r="CV219" s="179"/>
      <c r="CW219" s="179"/>
    </row>
    <row r="220" spans="1:101" x14ac:dyDescent="0.2">
      <c r="A220" s="32" t="str">
        <f t="shared" ca="1" si="3"/>
        <v>2025-11-08</v>
      </c>
      <c r="B220" s="179">
        <f ca="1">IF(ISNUMBER(MATCH(DATEVALUE($A220),'changes1_based on steps'!B$1:B$400,0)),B$2,)</f>
        <v>0</v>
      </c>
      <c r="C220" s="179">
        <f ca="1">IF(ISNUMBER(MATCH(DATEVALUE($A220),'changes1_based on steps'!C$1:C$400,0)),C$2,)</f>
        <v>0</v>
      </c>
      <c r="D220" s="179">
        <f ca="1">IF(ISNUMBER(MATCH(DATEVALUE($A220),'changes1_based on steps'!D$1:D$400,0)),D$2,)</f>
        <v>0</v>
      </c>
      <c r="E220" s="179">
        <f ca="1">IF(ISNUMBER(MATCH(DATEVALUE($A220),'changes1_based on steps'!E$1:E$400,0)),E$2,)</f>
        <v>0</v>
      </c>
      <c r="F220" s="179">
        <f ca="1">IF(ISNUMBER(MATCH(DATEVALUE($A220),'changes1_based on steps'!F$1:F$400,0)),F$2,)</f>
        <v>0</v>
      </c>
      <c r="G220" s="179">
        <f ca="1">IF(ISNUMBER(MATCH(DATEVALUE($A220),'changes1_based on steps'!G$1:G$400,0)),G$2,)</f>
        <v>0</v>
      </c>
      <c r="H220" s="179">
        <f ca="1">IF(ISNUMBER(MATCH(DATEVALUE($A220),'changes1_based on steps'!H$1:H$400,0)),H$2,)</f>
        <v>0</v>
      </c>
      <c r="I220" s="179">
        <f ca="1">IF(ISNUMBER(MATCH(DATEVALUE($A220),'changes1_based on steps'!I$1:I$400,0)),I$2,)</f>
        <v>0</v>
      </c>
      <c r="J220" s="179">
        <f ca="1">IF(ISNUMBER(MATCH(DATEVALUE($A220),'changes1_based on steps'!J$1:J$400,0)),J$2,)</f>
        <v>0</v>
      </c>
      <c r="K220" s="179">
        <f ca="1">IF(ISNUMBER(MATCH(DATEVALUE($A220),'changes1_based on steps'!K$1:K$400,0)),K$2,)</f>
        <v>0</v>
      </c>
      <c r="L220" s="179">
        <f ca="1">IF(ISNUMBER(MATCH(DATEVALUE($A220),'changes1_based on steps'!L$1:L$400,0)),L$2,)</f>
        <v>0</v>
      </c>
      <c r="M220" s="179">
        <f ca="1">IF(ISNUMBER(MATCH(DATEVALUE($A220),'changes1_based on steps'!M$1:M$400,0)),M$2,)</f>
        <v>0</v>
      </c>
      <c r="N220" s="179">
        <f ca="1">IF(ISNUMBER(MATCH(DATEVALUE($A220),'changes1_based on steps'!N$1:N$400,0)),N$2,)</f>
        <v>0</v>
      </c>
      <c r="O220" s="179">
        <f ca="1">IF(ISNUMBER(MATCH(DATEVALUE($A220),'changes1_based on steps'!O$1:O$400,0)),O$2,)</f>
        <v>0</v>
      </c>
      <c r="P220" s="179">
        <f ca="1">IF(ISNUMBER(MATCH(DATEVALUE($A220),'changes1_based on steps'!P$1:P$400,0)),P$2,)</f>
        <v>0</v>
      </c>
      <c r="Q220" s="179">
        <f ca="1">IF(ISNUMBER(MATCH(DATEVALUE($A220),'changes1_based on steps'!Q$1:Q$400,0)),Q$2,)</f>
        <v>0</v>
      </c>
      <c r="R220" s="179">
        <f ca="1">IF(ISNUMBER(MATCH(DATEVALUE($A220),'changes1_based on steps'!R$1:R$400,0)),R$2,)</f>
        <v>0</v>
      </c>
      <c r="S220" s="179">
        <f ca="1">IF(ISNUMBER(MATCH(DATEVALUE($A220),'changes1_based on steps'!S$1:S$400,0)),S$2,)</f>
        <v>0</v>
      </c>
      <c r="T220" s="179">
        <f ca="1">IF(ISNUMBER(MATCH(DATEVALUE($A220),'changes1_based on steps'!T$1:T$400,0)),T$2,)</f>
        <v>0</v>
      </c>
      <c r="U220" s="179">
        <f ca="1">IF(ISNUMBER(MATCH(DATEVALUE($A220),'changes1_based on steps'!U$1:U$400,0)),U$2,)</f>
        <v>0</v>
      </c>
      <c r="V220" s="179"/>
      <c r="W220" s="179"/>
      <c r="X220" s="179"/>
      <c r="Y220" s="179"/>
      <c r="Z220" s="179"/>
      <c r="AA220" s="179"/>
      <c r="AB220" s="179"/>
      <c r="AC220" s="179"/>
      <c r="AD220" s="179"/>
      <c r="AE220" s="179"/>
      <c r="AF220" s="179"/>
      <c r="AG220" s="179"/>
      <c r="AH220" s="179"/>
      <c r="AI220" s="179"/>
      <c r="AJ220" s="179"/>
      <c r="AK220" s="179"/>
      <c r="AL220" s="179"/>
      <c r="AM220" s="179"/>
      <c r="AN220" s="179"/>
      <c r="AO220" s="179"/>
      <c r="AP220" s="179"/>
      <c r="AQ220" s="179"/>
      <c r="AR220" s="179"/>
      <c r="AS220" s="179"/>
      <c r="AT220" s="179"/>
      <c r="AU220" s="179"/>
      <c r="AV220" s="179"/>
      <c r="AW220" s="179"/>
      <c r="AX220" s="179"/>
      <c r="AY220" s="179"/>
      <c r="AZ220" s="179"/>
      <c r="BA220" s="179"/>
      <c r="BB220" s="179"/>
      <c r="BC220" s="179"/>
      <c r="BD220" s="179"/>
      <c r="BE220" s="179"/>
      <c r="BF220" s="179"/>
      <c r="BG220" s="179"/>
      <c r="BH220" s="179"/>
      <c r="BI220" s="179"/>
      <c r="BJ220" s="179"/>
      <c r="BK220" s="179"/>
      <c r="BL220" s="179"/>
      <c r="BM220" s="179"/>
      <c r="BN220" s="179"/>
      <c r="BO220" s="179"/>
      <c r="BP220" s="179"/>
      <c r="BQ220" s="179"/>
      <c r="BR220" s="179"/>
      <c r="BS220" s="179"/>
      <c r="BT220" s="179"/>
      <c r="BU220" s="179"/>
      <c r="BV220" s="179"/>
      <c r="BW220" s="179"/>
      <c r="BX220" s="179"/>
      <c r="BY220" s="179"/>
      <c r="BZ220" s="179"/>
      <c r="CA220" s="179"/>
      <c r="CB220" s="179"/>
      <c r="CC220" s="179"/>
      <c r="CD220" s="179"/>
      <c r="CE220" s="179"/>
      <c r="CF220" s="179"/>
      <c r="CG220" s="179"/>
      <c r="CH220" s="179"/>
      <c r="CI220" s="179"/>
      <c r="CJ220" s="179"/>
      <c r="CK220" s="179"/>
      <c r="CL220" s="179"/>
      <c r="CM220" s="179"/>
      <c r="CN220" s="179"/>
      <c r="CO220" s="179"/>
      <c r="CP220" s="179"/>
      <c r="CQ220" s="179"/>
      <c r="CR220" s="179"/>
      <c r="CS220" s="179"/>
      <c r="CT220" s="179"/>
      <c r="CU220" s="179"/>
      <c r="CV220" s="179"/>
      <c r="CW220" s="179"/>
    </row>
    <row r="221" spans="1:101" x14ac:dyDescent="0.2">
      <c r="A221" s="32" t="str">
        <f t="shared" ca="1" si="3"/>
        <v>2025-11-09</v>
      </c>
      <c r="B221" s="179">
        <f ca="1">IF(ISNUMBER(MATCH(DATEVALUE($A221),'changes1_based on steps'!B$1:B$400,0)),B$2,)</f>
        <v>0</v>
      </c>
      <c r="C221" s="179">
        <f ca="1">IF(ISNUMBER(MATCH(DATEVALUE($A221),'changes1_based on steps'!C$1:C$400,0)),C$2,)</f>
        <v>0</v>
      </c>
      <c r="D221" s="179">
        <f ca="1">IF(ISNUMBER(MATCH(DATEVALUE($A221),'changes1_based on steps'!D$1:D$400,0)),D$2,)</f>
        <v>0</v>
      </c>
      <c r="E221" s="179">
        <f ca="1">IF(ISNUMBER(MATCH(DATEVALUE($A221),'changes1_based on steps'!E$1:E$400,0)),E$2,)</f>
        <v>0</v>
      </c>
      <c r="F221" s="179">
        <f ca="1">IF(ISNUMBER(MATCH(DATEVALUE($A221),'changes1_based on steps'!F$1:F$400,0)),F$2,)</f>
        <v>0</v>
      </c>
      <c r="G221" s="179">
        <f ca="1">IF(ISNUMBER(MATCH(DATEVALUE($A221),'changes1_based on steps'!G$1:G$400,0)),G$2,)</f>
        <v>0</v>
      </c>
      <c r="H221" s="179">
        <f ca="1">IF(ISNUMBER(MATCH(DATEVALUE($A221),'changes1_based on steps'!H$1:H$400,0)),H$2,)</f>
        <v>0</v>
      </c>
      <c r="I221" s="179">
        <f ca="1">IF(ISNUMBER(MATCH(DATEVALUE($A221),'changes1_based on steps'!I$1:I$400,0)),I$2,)</f>
        <v>0</v>
      </c>
      <c r="J221" s="179">
        <f ca="1">IF(ISNUMBER(MATCH(DATEVALUE($A221),'changes1_based on steps'!J$1:J$400,0)),J$2,)</f>
        <v>0</v>
      </c>
      <c r="K221" s="179">
        <f ca="1">IF(ISNUMBER(MATCH(DATEVALUE($A221),'changes1_based on steps'!K$1:K$400,0)),K$2,)</f>
        <v>0</v>
      </c>
      <c r="L221" s="179">
        <f ca="1">IF(ISNUMBER(MATCH(DATEVALUE($A221),'changes1_based on steps'!L$1:L$400,0)),L$2,)</f>
        <v>0</v>
      </c>
      <c r="M221" s="179">
        <f ca="1">IF(ISNUMBER(MATCH(DATEVALUE($A221),'changes1_based on steps'!M$1:M$400,0)),M$2,)</f>
        <v>0</v>
      </c>
      <c r="N221" s="179">
        <f ca="1">IF(ISNUMBER(MATCH(DATEVALUE($A221),'changes1_based on steps'!N$1:N$400,0)),N$2,)</f>
        <v>0</v>
      </c>
      <c r="O221" s="179">
        <f ca="1">IF(ISNUMBER(MATCH(DATEVALUE($A221),'changes1_based on steps'!O$1:O$400,0)),O$2,)</f>
        <v>0</v>
      </c>
      <c r="P221" s="179">
        <f ca="1">IF(ISNUMBER(MATCH(DATEVALUE($A221),'changes1_based on steps'!P$1:P$400,0)),P$2,)</f>
        <v>0</v>
      </c>
      <c r="Q221" s="179">
        <f ca="1">IF(ISNUMBER(MATCH(DATEVALUE($A221),'changes1_based on steps'!Q$1:Q$400,0)),Q$2,)</f>
        <v>0</v>
      </c>
      <c r="R221" s="179">
        <f ca="1">IF(ISNUMBER(MATCH(DATEVALUE($A221),'changes1_based on steps'!R$1:R$400,0)),R$2,)</f>
        <v>0</v>
      </c>
      <c r="S221" s="179">
        <f ca="1">IF(ISNUMBER(MATCH(DATEVALUE($A221),'changes1_based on steps'!S$1:S$400,0)),S$2,)</f>
        <v>0</v>
      </c>
      <c r="T221" s="179">
        <f ca="1">IF(ISNUMBER(MATCH(DATEVALUE($A221),'changes1_based on steps'!T$1:T$400,0)),T$2,)</f>
        <v>0</v>
      </c>
      <c r="U221" s="179">
        <f ca="1">IF(ISNUMBER(MATCH(DATEVALUE($A221),'changes1_based on steps'!U$1:U$400,0)),U$2,)</f>
        <v>0</v>
      </c>
      <c r="V221" s="179"/>
      <c r="W221" s="179"/>
      <c r="X221" s="179"/>
      <c r="Y221" s="179"/>
      <c r="Z221" s="179"/>
      <c r="AA221" s="179"/>
      <c r="AB221" s="179"/>
      <c r="AC221" s="179"/>
      <c r="AD221" s="179"/>
      <c r="AE221" s="179"/>
      <c r="AF221" s="179"/>
      <c r="AG221" s="179"/>
      <c r="AH221" s="179"/>
      <c r="AI221" s="179"/>
      <c r="AJ221" s="179"/>
      <c r="AK221" s="179"/>
      <c r="AL221" s="179"/>
      <c r="AM221" s="179"/>
      <c r="AN221" s="179"/>
      <c r="AO221" s="179"/>
      <c r="AP221" s="179"/>
      <c r="AQ221" s="179"/>
      <c r="AR221" s="179"/>
      <c r="AS221" s="179"/>
      <c r="AT221" s="179"/>
      <c r="AU221" s="179"/>
      <c r="AV221" s="179"/>
      <c r="AW221" s="179"/>
      <c r="AX221" s="179"/>
      <c r="AY221" s="179"/>
      <c r="AZ221" s="179"/>
      <c r="BA221" s="179"/>
      <c r="BB221" s="179"/>
      <c r="BC221" s="179"/>
      <c r="BD221" s="179"/>
      <c r="BE221" s="179"/>
      <c r="BF221" s="179"/>
      <c r="BG221" s="179"/>
      <c r="BH221" s="179"/>
      <c r="BI221" s="179"/>
      <c r="BJ221" s="179"/>
      <c r="BK221" s="179"/>
      <c r="BL221" s="179"/>
      <c r="BM221" s="179"/>
      <c r="BN221" s="179"/>
      <c r="BO221" s="179"/>
      <c r="BP221" s="179"/>
      <c r="BQ221" s="179"/>
      <c r="BR221" s="179"/>
      <c r="BS221" s="179"/>
      <c r="BT221" s="179"/>
      <c r="BU221" s="179"/>
      <c r="BV221" s="179"/>
      <c r="BW221" s="179"/>
      <c r="BX221" s="179"/>
      <c r="BY221" s="179"/>
      <c r="BZ221" s="179"/>
      <c r="CA221" s="179"/>
      <c r="CB221" s="179"/>
      <c r="CC221" s="179"/>
      <c r="CD221" s="179"/>
      <c r="CE221" s="179"/>
      <c r="CF221" s="179"/>
      <c r="CG221" s="179"/>
      <c r="CH221" s="179"/>
      <c r="CI221" s="179"/>
      <c r="CJ221" s="179"/>
      <c r="CK221" s="179"/>
      <c r="CL221" s="179"/>
      <c r="CM221" s="179"/>
      <c r="CN221" s="179"/>
      <c r="CO221" s="179"/>
      <c r="CP221" s="179"/>
      <c r="CQ221" s="179"/>
      <c r="CR221" s="179"/>
      <c r="CS221" s="179"/>
      <c r="CT221" s="179"/>
      <c r="CU221" s="179"/>
      <c r="CV221" s="179"/>
      <c r="CW221" s="179"/>
    </row>
    <row r="222" spans="1:101" x14ac:dyDescent="0.2">
      <c r="A222" s="32" t="str">
        <f t="shared" ca="1" si="3"/>
        <v>2025-11-10</v>
      </c>
      <c r="B222" s="179">
        <f ca="1">IF(ISNUMBER(MATCH(DATEVALUE($A222),'changes1_based on steps'!B$1:B$400,0)),B$2,)</f>
        <v>0</v>
      </c>
      <c r="C222" s="179">
        <f ca="1">IF(ISNUMBER(MATCH(DATEVALUE($A222),'changes1_based on steps'!C$1:C$400,0)),C$2,)</f>
        <v>0</v>
      </c>
      <c r="D222" s="179">
        <f ca="1">IF(ISNUMBER(MATCH(DATEVALUE($A222),'changes1_based on steps'!D$1:D$400,0)),D$2,)</f>
        <v>0</v>
      </c>
      <c r="E222" s="179">
        <f ca="1">IF(ISNUMBER(MATCH(DATEVALUE($A222),'changes1_based on steps'!E$1:E$400,0)),E$2,)</f>
        <v>0</v>
      </c>
      <c r="F222" s="179">
        <f ca="1">IF(ISNUMBER(MATCH(DATEVALUE($A222),'changes1_based on steps'!F$1:F$400,0)),F$2,)</f>
        <v>0</v>
      </c>
      <c r="G222" s="179">
        <f ca="1">IF(ISNUMBER(MATCH(DATEVALUE($A222),'changes1_based on steps'!G$1:G$400,0)),G$2,)</f>
        <v>0</v>
      </c>
      <c r="H222" s="179">
        <f ca="1">IF(ISNUMBER(MATCH(DATEVALUE($A222),'changes1_based on steps'!H$1:H$400,0)),H$2,)</f>
        <v>0</v>
      </c>
      <c r="I222" s="179">
        <f ca="1">IF(ISNUMBER(MATCH(DATEVALUE($A222),'changes1_based on steps'!I$1:I$400,0)),I$2,)</f>
        <v>0</v>
      </c>
      <c r="J222" s="179">
        <f ca="1">IF(ISNUMBER(MATCH(DATEVALUE($A222),'changes1_based on steps'!J$1:J$400,0)),J$2,)</f>
        <v>0</v>
      </c>
      <c r="K222" s="179">
        <f ca="1">IF(ISNUMBER(MATCH(DATEVALUE($A222),'changes1_based on steps'!K$1:K$400,0)),K$2,)</f>
        <v>0</v>
      </c>
      <c r="L222" s="179">
        <f ca="1">IF(ISNUMBER(MATCH(DATEVALUE($A222),'changes1_based on steps'!L$1:L$400,0)),L$2,)</f>
        <v>0</v>
      </c>
      <c r="M222" s="179">
        <f ca="1">IF(ISNUMBER(MATCH(DATEVALUE($A222),'changes1_based on steps'!M$1:M$400,0)),M$2,)</f>
        <v>0</v>
      </c>
      <c r="N222" s="179">
        <f ca="1">IF(ISNUMBER(MATCH(DATEVALUE($A222),'changes1_based on steps'!N$1:N$400,0)),N$2,)</f>
        <v>0</v>
      </c>
      <c r="O222" s="179">
        <f ca="1">IF(ISNUMBER(MATCH(DATEVALUE($A222),'changes1_based on steps'!O$1:O$400,0)),O$2,)</f>
        <v>0</v>
      </c>
      <c r="P222" s="179">
        <f ca="1">IF(ISNUMBER(MATCH(DATEVALUE($A222),'changes1_based on steps'!P$1:P$400,0)),P$2,)</f>
        <v>0</v>
      </c>
      <c r="Q222" s="179">
        <f ca="1">IF(ISNUMBER(MATCH(DATEVALUE($A222),'changes1_based on steps'!Q$1:Q$400,0)),Q$2,)</f>
        <v>0</v>
      </c>
      <c r="R222" s="179">
        <f ca="1">IF(ISNUMBER(MATCH(DATEVALUE($A222),'changes1_based on steps'!R$1:R$400,0)),R$2,)</f>
        <v>0</v>
      </c>
      <c r="S222" s="179">
        <f ca="1">IF(ISNUMBER(MATCH(DATEVALUE($A222),'changes1_based on steps'!S$1:S$400,0)),S$2,)</f>
        <v>0</v>
      </c>
      <c r="T222" s="179">
        <f ca="1">IF(ISNUMBER(MATCH(DATEVALUE($A222),'changes1_based on steps'!T$1:T$400,0)),T$2,)</f>
        <v>0</v>
      </c>
      <c r="U222" s="179">
        <f ca="1">IF(ISNUMBER(MATCH(DATEVALUE($A222),'changes1_based on steps'!U$1:U$400,0)),U$2,)</f>
        <v>0</v>
      </c>
      <c r="V222" s="179"/>
      <c r="W222" s="179"/>
      <c r="X222" s="179"/>
      <c r="Y222" s="179"/>
      <c r="Z222" s="179"/>
      <c r="AA222" s="179"/>
      <c r="AB222" s="179"/>
      <c r="AC222" s="179"/>
      <c r="AD222" s="179"/>
      <c r="AE222" s="179"/>
      <c r="AF222" s="179"/>
      <c r="AG222" s="179"/>
      <c r="AH222" s="179"/>
      <c r="AI222" s="179"/>
      <c r="AJ222" s="179"/>
      <c r="AK222" s="179"/>
      <c r="AL222" s="179"/>
      <c r="AM222" s="179"/>
      <c r="AN222" s="179"/>
      <c r="AO222" s="179"/>
      <c r="AP222" s="179"/>
      <c r="AQ222" s="179"/>
      <c r="AR222" s="179"/>
      <c r="AS222" s="179"/>
      <c r="AT222" s="179"/>
      <c r="AU222" s="179"/>
      <c r="AV222" s="179"/>
      <c r="AW222" s="179"/>
      <c r="AX222" s="179"/>
      <c r="AY222" s="179"/>
      <c r="AZ222" s="179"/>
      <c r="BA222" s="179"/>
      <c r="BB222" s="179"/>
      <c r="BC222" s="179"/>
      <c r="BD222" s="179"/>
      <c r="BE222" s="179"/>
      <c r="BF222" s="179"/>
      <c r="BG222" s="179"/>
      <c r="BH222" s="179"/>
      <c r="BI222" s="179"/>
      <c r="BJ222" s="179"/>
      <c r="BK222" s="179"/>
      <c r="BL222" s="179"/>
      <c r="BM222" s="179"/>
      <c r="BN222" s="179"/>
      <c r="BO222" s="179"/>
      <c r="BP222" s="179"/>
      <c r="BQ222" s="179"/>
      <c r="BR222" s="179"/>
      <c r="BS222" s="179"/>
      <c r="BT222" s="179"/>
      <c r="BU222" s="179"/>
      <c r="BV222" s="179"/>
      <c r="BW222" s="179"/>
      <c r="BX222" s="179"/>
      <c r="BY222" s="179"/>
      <c r="BZ222" s="179"/>
      <c r="CA222" s="179"/>
      <c r="CB222" s="179"/>
      <c r="CC222" s="179"/>
      <c r="CD222" s="179"/>
      <c r="CE222" s="179"/>
      <c r="CF222" s="179"/>
      <c r="CG222" s="179"/>
      <c r="CH222" s="179"/>
      <c r="CI222" s="179"/>
      <c r="CJ222" s="179"/>
      <c r="CK222" s="179"/>
      <c r="CL222" s="179"/>
      <c r="CM222" s="179"/>
      <c r="CN222" s="179"/>
      <c r="CO222" s="179"/>
      <c r="CP222" s="179"/>
      <c r="CQ222" s="179"/>
      <c r="CR222" s="179"/>
      <c r="CS222" s="179"/>
      <c r="CT222" s="179"/>
      <c r="CU222" s="179"/>
      <c r="CV222" s="179"/>
      <c r="CW222" s="179"/>
    </row>
    <row r="223" spans="1:101" x14ac:dyDescent="0.2">
      <c r="A223" s="32" t="str">
        <f t="shared" ca="1" si="3"/>
        <v>2025-11-11</v>
      </c>
      <c r="B223" s="179">
        <f ca="1">IF(ISNUMBER(MATCH(DATEVALUE($A223),'changes1_based on steps'!B$1:B$400,0)),B$2,)</f>
        <v>0</v>
      </c>
      <c r="C223" s="179">
        <f ca="1">IF(ISNUMBER(MATCH(DATEVALUE($A223),'changes1_based on steps'!C$1:C$400,0)),C$2,)</f>
        <v>0</v>
      </c>
      <c r="D223" s="179">
        <f ca="1">IF(ISNUMBER(MATCH(DATEVALUE($A223),'changes1_based on steps'!D$1:D$400,0)),D$2,)</f>
        <v>0</v>
      </c>
      <c r="E223" s="179">
        <f ca="1">IF(ISNUMBER(MATCH(DATEVALUE($A223),'changes1_based on steps'!E$1:E$400,0)),E$2,)</f>
        <v>0</v>
      </c>
      <c r="F223" s="179">
        <f ca="1">IF(ISNUMBER(MATCH(DATEVALUE($A223),'changes1_based on steps'!F$1:F$400,0)),F$2,)</f>
        <v>0</v>
      </c>
      <c r="G223" s="179">
        <f ca="1">IF(ISNUMBER(MATCH(DATEVALUE($A223),'changes1_based on steps'!G$1:G$400,0)),G$2,)</f>
        <v>0</v>
      </c>
      <c r="H223" s="179">
        <f ca="1">IF(ISNUMBER(MATCH(DATEVALUE($A223),'changes1_based on steps'!H$1:H$400,0)),H$2,)</f>
        <v>0</v>
      </c>
      <c r="I223" s="179">
        <f ca="1">IF(ISNUMBER(MATCH(DATEVALUE($A223),'changes1_based on steps'!I$1:I$400,0)),I$2,)</f>
        <v>0</v>
      </c>
      <c r="J223" s="179">
        <f ca="1">IF(ISNUMBER(MATCH(DATEVALUE($A223),'changes1_based on steps'!J$1:J$400,0)),J$2,)</f>
        <v>0</v>
      </c>
      <c r="K223" s="179">
        <f ca="1">IF(ISNUMBER(MATCH(DATEVALUE($A223),'changes1_based on steps'!K$1:K$400,0)),K$2,)</f>
        <v>0</v>
      </c>
      <c r="L223" s="179">
        <f ca="1">IF(ISNUMBER(MATCH(DATEVALUE($A223),'changes1_based on steps'!L$1:L$400,0)),L$2,)</f>
        <v>0</v>
      </c>
      <c r="M223" s="179">
        <f ca="1">IF(ISNUMBER(MATCH(DATEVALUE($A223),'changes1_based on steps'!M$1:M$400,0)),M$2,)</f>
        <v>0</v>
      </c>
      <c r="N223" s="179">
        <f ca="1">IF(ISNUMBER(MATCH(DATEVALUE($A223),'changes1_based on steps'!N$1:N$400,0)),N$2,)</f>
        <v>0</v>
      </c>
      <c r="O223" s="179">
        <f ca="1">IF(ISNUMBER(MATCH(DATEVALUE($A223),'changes1_based on steps'!O$1:O$400,0)),O$2,)</f>
        <v>0</v>
      </c>
      <c r="P223" s="179">
        <f ca="1">IF(ISNUMBER(MATCH(DATEVALUE($A223),'changes1_based on steps'!P$1:P$400,0)),P$2,)</f>
        <v>0</v>
      </c>
      <c r="Q223" s="179">
        <f ca="1">IF(ISNUMBER(MATCH(DATEVALUE($A223),'changes1_based on steps'!Q$1:Q$400,0)),Q$2,)</f>
        <v>0</v>
      </c>
      <c r="R223" s="179">
        <f ca="1">IF(ISNUMBER(MATCH(DATEVALUE($A223),'changes1_based on steps'!R$1:R$400,0)),R$2,)</f>
        <v>0</v>
      </c>
      <c r="S223" s="179">
        <f ca="1">IF(ISNUMBER(MATCH(DATEVALUE($A223),'changes1_based on steps'!S$1:S$400,0)),S$2,)</f>
        <v>0</v>
      </c>
      <c r="T223" s="179">
        <f ca="1">IF(ISNUMBER(MATCH(DATEVALUE($A223),'changes1_based on steps'!T$1:T$400,0)),T$2,)</f>
        <v>0</v>
      </c>
      <c r="U223" s="179">
        <f ca="1">IF(ISNUMBER(MATCH(DATEVALUE($A223),'changes1_based on steps'!U$1:U$400,0)),U$2,)</f>
        <v>0</v>
      </c>
      <c r="V223" s="179"/>
      <c r="W223" s="179"/>
      <c r="X223" s="179"/>
      <c r="Y223" s="179"/>
      <c r="Z223" s="179"/>
      <c r="AA223" s="179"/>
      <c r="AB223" s="179"/>
      <c r="AC223" s="179"/>
      <c r="AD223" s="179"/>
      <c r="AE223" s="179"/>
      <c r="AF223" s="179"/>
      <c r="AG223" s="179"/>
      <c r="AH223" s="179"/>
      <c r="AI223" s="179"/>
      <c r="AJ223" s="179"/>
      <c r="AK223" s="179"/>
      <c r="AL223" s="179"/>
      <c r="AM223" s="179"/>
      <c r="AN223" s="179"/>
      <c r="AO223" s="179"/>
      <c r="AP223" s="179"/>
      <c r="AQ223" s="179"/>
      <c r="AR223" s="179"/>
      <c r="AS223" s="179"/>
      <c r="AT223" s="179"/>
      <c r="AU223" s="179"/>
      <c r="AV223" s="179"/>
      <c r="AW223" s="179"/>
      <c r="AX223" s="179"/>
      <c r="AY223" s="179"/>
      <c r="AZ223" s="179"/>
      <c r="BA223" s="179"/>
      <c r="BB223" s="179"/>
      <c r="BC223" s="179"/>
      <c r="BD223" s="179"/>
      <c r="BE223" s="179"/>
      <c r="BF223" s="179"/>
      <c r="BG223" s="179"/>
      <c r="BH223" s="179"/>
      <c r="BI223" s="179"/>
      <c r="BJ223" s="179"/>
      <c r="BK223" s="179"/>
      <c r="BL223" s="179"/>
      <c r="BM223" s="179"/>
      <c r="BN223" s="179"/>
      <c r="BO223" s="179"/>
      <c r="BP223" s="179"/>
      <c r="BQ223" s="179"/>
      <c r="BR223" s="179"/>
      <c r="BS223" s="179"/>
      <c r="BT223" s="179"/>
      <c r="BU223" s="179"/>
      <c r="BV223" s="179"/>
      <c r="BW223" s="179"/>
      <c r="BX223" s="179"/>
      <c r="BY223" s="179"/>
      <c r="BZ223" s="179"/>
      <c r="CA223" s="179"/>
      <c r="CB223" s="179"/>
      <c r="CC223" s="179"/>
      <c r="CD223" s="179"/>
      <c r="CE223" s="179"/>
      <c r="CF223" s="179"/>
      <c r="CG223" s="179"/>
      <c r="CH223" s="179"/>
      <c r="CI223" s="179"/>
      <c r="CJ223" s="179"/>
      <c r="CK223" s="179"/>
      <c r="CL223" s="179"/>
      <c r="CM223" s="179"/>
      <c r="CN223" s="179"/>
      <c r="CO223" s="179"/>
      <c r="CP223" s="179"/>
      <c r="CQ223" s="179"/>
      <c r="CR223" s="179"/>
      <c r="CS223" s="179"/>
      <c r="CT223" s="179"/>
      <c r="CU223" s="179"/>
      <c r="CV223" s="179"/>
      <c r="CW223" s="179"/>
    </row>
    <row r="224" spans="1:101" x14ac:dyDescent="0.2">
      <c r="A224" s="32" t="str">
        <f t="shared" ca="1" si="3"/>
        <v>2025-11-12</v>
      </c>
      <c r="B224" s="179">
        <f ca="1">IF(ISNUMBER(MATCH(DATEVALUE($A224),'changes1_based on steps'!B$1:B$400,0)),B$2,)</f>
        <v>0</v>
      </c>
      <c r="C224" s="179">
        <f ca="1">IF(ISNUMBER(MATCH(DATEVALUE($A224),'changes1_based on steps'!C$1:C$400,0)),C$2,)</f>
        <v>0</v>
      </c>
      <c r="D224" s="179">
        <f ca="1">IF(ISNUMBER(MATCH(DATEVALUE($A224),'changes1_based on steps'!D$1:D$400,0)),D$2,)</f>
        <v>0</v>
      </c>
      <c r="E224" s="179">
        <f ca="1">IF(ISNUMBER(MATCH(DATEVALUE($A224),'changes1_based on steps'!E$1:E$400,0)),E$2,)</f>
        <v>0</v>
      </c>
      <c r="F224" s="179">
        <f ca="1">IF(ISNUMBER(MATCH(DATEVALUE($A224),'changes1_based on steps'!F$1:F$400,0)),F$2,)</f>
        <v>0</v>
      </c>
      <c r="G224" s="179">
        <f ca="1">IF(ISNUMBER(MATCH(DATEVALUE($A224),'changes1_based on steps'!G$1:G$400,0)),G$2,)</f>
        <v>0</v>
      </c>
      <c r="H224" s="179">
        <f ca="1">IF(ISNUMBER(MATCH(DATEVALUE($A224),'changes1_based on steps'!H$1:H$400,0)),H$2,)</f>
        <v>0</v>
      </c>
      <c r="I224" s="179">
        <f ca="1">IF(ISNUMBER(MATCH(DATEVALUE($A224),'changes1_based on steps'!I$1:I$400,0)),I$2,)</f>
        <v>0</v>
      </c>
      <c r="J224" s="179">
        <f ca="1">IF(ISNUMBER(MATCH(DATEVALUE($A224),'changes1_based on steps'!J$1:J$400,0)),J$2,)</f>
        <v>0</v>
      </c>
      <c r="K224" s="179">
        <f ca="1">IF(ISNUMBER(MATCH(DATEVALUE($A224),'changes1_based on steps'!K$1:K$400,0)),K$2,)</f>
        <v>0</v>
      </c>
      <c r="L224" s="179">
        <f ca="1">IF(ISNUMBER(MATCH(DATEVALUE($A224),'changes1_based on steps'!L$1:L$400,0)),L$2,)</f>
        <v>0</v>
      </c>
      <c r="M224" s="179">
        <f ca="1">IF(ISNUMBER(MATCH(DATEVALUE($A224),'changes1_based on steps'!M$1:M$400,0)),M$2,)</f>
        <v>0</v>
      </c>
      <c r="N224" s="179">
        <f ca="1">IF(ISNUMBER(MATCH(DATEVALUE($A224),'changes1_based on steps'!N$1:N$400,0)),N$2,)</f>
        <v>0</v>
      </c>
      <c r="O224" s="179">
        <f ca="1">IF(ISNUMBER(MATCH(DATEVALUE($A224),'changes1_based on steps'!O$1:O$400,0)),O$2,)</f>
        <v>0</v>
      </c>
      <c r="P224" s="179">
        <f ca="1">IF(ISNUMBER(MATCH(DATEVALUE($A224),'changes1_based on steps'!P$1:P$400,0)),P$2,)</f>
        <v>0</v>
      </c>
      <c r="Q224" s="179">
        <f ca="1">IF(ISNUMBER(MATCH(DATEVALUE($A224),'changes1_based on steps'!Q$1:Q$400,0)),Q$2,)</f>
        <v>0</v>
      </c>
      <c r="R224" s="179">
        <f ca="1">IF(ISNUMBER(MATCH(DATEVALUE($A224),'changes1_based on steps'!R$1:R$400,0)),R$2,)</f>
        <v>0</v>
      </c>
      <c r="S224" s="179">
        <f ca="1">IF(ISNUMBER(MATCH(DATEVALUE($A224),'changes1_based on steps'!S$1:S$400,0)),S$2,)</f>
        <v>0</v>
      </c>
      <c r="T224" s="179">
        <f ca="1">IF(ISNUMBER(MATCH(DATEVALUE($A224),'changes1_based on steps'!T$1:T$400,0)),T$2,)</f>
        <v>0</v>
      </c>
      <c r="U224" s="179">
        <f ca="1">IF(ISNUMBER(MATCH(DATEVALUE($A224),'changes1_based on steps'!U$1:U$400,0)),U$2,)</f>
        <v>0</v>
      </c>
      <c r="V224" s="179"/>
      <c r="W224" s="179"/>
      <c r="X224" s="179"/>
      <c r="Y224" s="179"/>
      <c r="Z224" s="179"/>
      <c r="AA224" s="179"/>
      <c r="AB224" s="179"/>
      <c r="AC224" s="179"/>
      <c r="AD224" s="179"/>
      <c r="AE224" s="179"/>
      <c r="AF224" s="179"/>
      <c r="AG224" s="179"/>
      <c r="AH224" s="179"/>
      <c r="AI224" s="179"/>
      <c r="AJ224" s="179"/>
      <c r="AK224" s="179"/>
      <c r="AL224" s="179"/>
      <c r="AM224" s="179"/>
      <c r="AN224" s="179"/>
      <c r="AO224" s="179"/>
      <c r="AP224" s="179"/>
      <c r="AQ224" s="179"/>
      <c r="AR224" s="179"/>
      <c r="AS224" s="179"/>
      <c r="AT224" s="179"/>
      <c r="AU224" s="179"/>
      <c r="AV224" s="179"/>
      <c r="AW224" s="179"/>
      <c r="AX224" s="179"/>
      <c r="AY224" s="179"/>
      <c r="AZ224" s="179"/>
      <c r="BA224" s="179"/>
      <c r="BB224" s="179"/>
      <c r="BC224" s="179"/>
      <c r="BD224" s="179"/>
      <c r="BE224" s="179"/>
      <c r="BF224" s="179"/>
      <c r="BG224" s="179"/>
      <c r="BH224" s="179"/>
      <c r="BI224" s="179"/>
      <c r="BJ224" s="179"/>
      <c r="BK224" s="179"/>
      <c r="BL224" s="179"/>
      <c r="BM224" s="179"/>
      <c r="BN224" s="179"/>
      <c r="BO224" s="179"/>
      <c r="BP224" s="179"/>
      <c r="BQ224" s="179"/>
      <c r="BR224" s="179"/>
      <c r="BS224" s="179"/>
      <c r="BT224" s="179"/>
      <c r="BU224" s="179"/>
      <c r="BV224" s="179"/>
      <c r="BW224" s="179"/>
      <c r="BX224" s="179"/>
      <c r="BY224" s="179"/>
      <c r="BZ224" s="179"/>
      <c r="CA224" s="179"/>
      <c r="CB224" s="179"/>
      <c r="CC224" s="179"/>
      <c r="CD224" s="179"/>
      <c r="CE224" s="179"/>
      <c r="CF224" s="179"/>
      <c r="CG224" s="179"/>
      <c r="CH224" s="179"/>
      <c r="CI224" s="179"/>
      <c r="CJ224" s="179"/>
      <c r="CK224" s="179"/>
      <c r="CL224" s="179"/>
      <c r="CM224" s="179"/>
      <c r="CN224" s="179"/>
      <c r="CO224" s="179"/>
      <c r="CP224" s="179"/>
      <c r="CQ224" s="179"/>
      <c r="CR224" s="179"/>
      <c r="CS224" s="179"/>
      <c r="CT224" s="179"/>
      <c r="CU224" s="179"/>
      <c r="CV224" s="179"/>
      <c r="CW224" s="179"/>
    </row>
    <row r="225" spans="1:101" x14ac:dyDescent="0.2">
      <c r="A225" s="32" t="str">
        <f t="shared" ca="1" si="3"/>
        <v>2025-11-13</v>
      </c>
      <c r="B225" s="179">
        <f ca="1">IF(ISNUMBER(MATCH(DATEVALUE($A225),'changes1_based on steps'!B$1:B$400,0)),B$2,)</f>
        <v>0</v>
      </c>
      <c r="C225" s="179">
        <f ca="1">IF(ISNUMBER(MATCH(DATEVALUE($A225),'changes1_based on steps'!C$1:C$400,0)),C$2,)</f>
        <v>0</v>
      </c>
      <c r="D225" s="179">
        <f ca="1">IF(ISNUMBER(MATCH(DATEVALUE($A225),'changes1_based on steps'!D$1:D$400,0)),D$2,)</f>
        <v>0</v>
      </c>
      <c r="E225" s="179">
        <f ca="1">IF(ISNUMBER(MATCH(DATEVALUE($A225),'changes1_based on steps'!E$1:E$400,0)),E$2,)</f>
        <v>0</v>
      </c>
      <c r="F225" s="179">
        <f ca="1">IF(ISNUMBER(MATCH(DATEVALUE($A225),'changes1_based on steps'!F$1:F$400,0)),F$2,)</f>
        <v>0</v>
      </c>
      <c r="G225" s="179">
        <f ca="1">IF(ISNUMBER(MATCH(DATEVALUE($A225),'changes1_based on steps'!G$1:G$400,0)),G$2,)</f>
        <v>0</v>
      </c>
      <c r="H225" s="179">
        <f ca="1">IF(ISNUMBER(MATCH(DATEVALUE($A225),'changes1_based on steps'!H$1:H$400,0)),H$2,)</f>
        <v>0</v>
      </c>
      <c r="I225" s="179">
        <f ca="1">IF(ISNUMBER(MATCH(DATEVALUE($A225),'changes1_based on steps'!I$1:I$400,0)),I$2,)</f>
        <v>0</v>
      </c>
      <c r="J225" s="179">
        <f ca="1">IF(ISNUMBER(MATCH(DATEVALUE($A225),'changes1_based on steps'!J$1:J$400,0)),J$2,)</f>
        <v>0</v>
      </c>
      <c r="K225" s="179">
        <f ca="1">IF(ISNUMBER(MATCH(DATEVALUE($A225),'changes1_based on steps'!K$1:K$400,0)),K$2,)</f>
        <v>0</v>
      </c>
      <c r="L225" s="179">
        <f ca="1">IF(ISNUMBER(MATCH(DATEVALUE($A225),'changes1_based on steps'!L$1:L$400,0)),L$2,)</f>
        <v>0</v>
      </c>
      <c r="M225" s="179">
        <f ca="1">IF(ISNUMBER(MATCH(DATEVALUE($A225),'changes1_based on steps'!M$1:M$400,0)),M$2,)</f>
        <v>0</v>
      </c>
      <c r="N225" s="179">
        <f ca="1">IF(ISNUMBER(MATCH(DATEVALUE($A225),'changes1_based on steps'!N$1:N$400,0)),N$2,)</f>
        <v>0</v>
      </c>
      <c r="O225" s="179">
        <f ca="1">IF(ISNUMBER(MATCH(DATEVALUE($A225),'changes1_based on steps'!O$1:O$400,0)),O$2,)</f>
        <v>0</v>
      </c>
      <c r="P225" s="179">
        <f ca="1">IF(ISNUMBER(MATCH(DATEVALUE($A225),'changes1_based on steps'!P$1:P$400,0)),P$2,)</f>
        <v>0</v>
      </c>
      <c r="Q225" s="179">
        <f ca="1">IF(ISNUMBER(MATCH(DATEVALUE($A225),'changes1_based on steps'!Q$1:Q$400,0)),Q$2,)</f>
        <v>0</v>
      </c>
      <c r="R225" s="179">
        <f ca="1">IF(ISNUMBER(MATCH(DATEVALUE($A225),'changes1_based on steps'!R$1:R$400,0)),R$2,)</f>
        <v>0</v>
      </c>
      <c r="S225" s="179">
        <f ca="1">IF(ISNUMBER(MATCH(DATEVALUE($A225),'changes1_based on steps'!S$1:S$400,0)),S$2,)</f>
        <v>0</v>
      </c>
      <c r="T225" s="179">
        <f ca="1">IF(ISNUMBER(MATCH(DATEVALUE($A225),'changes1_based on steps'!T$1:T$400,0)),T$2,)</f>
        <v>0</v>
      </c>
      <c r="U225" s="179">
        <f ca="1">IF(ISNUMBER(MATCH(DATEVALUE($A225),'changes1_based on steps'!U$1:U$400,0)),U$2,)</f>
        <v>0</v>
      </c>
      <c r="V225" s="179"/>
      <c r="W225" s="179"/>
      <c r="X225" s="179"/>
      <c r="Y225" s="179"/>
      <c r="Z225" s="179"/>
      <c r="AA225" s="179"/>
      <c r="AB225" s="179"/>
      <c r="AC225" s="179"/>
      <c r="AD225" s="179"/>
      <c r="AE225" s="179"/>
      <c r="AF225" s="179"/>
      <c r="AG225" s="179"/>
      <c r="AH225" s="179"/>
      <c r="AI225" s="179"/>
      <c r="AJ225" s="179"/>
      <c r="AK225" s="179"/>
      <c r="AL225" s="179"/>
      <c r="AM225" s="179"/>
      <c r="AN225" s="179"/>
      <c r="AO225" s="179"/>
      <c r="AP225" s="179"/>
      <c r="AQ225" s="179"/>
      <c r="AR225" s="179"/>
      <c r="AS225" s="179"/>
      <c r="AT225" s="179"/>
      <c r="AU225" s="179"/>
      <c r="AV225" s="179"/>
      <c r="AW225" s="179"/>
      <c r="AX225" s="179"/>
      <c r="AY225" s="179"/>
      <c r="AZ225" s="179"/>
      <c r="BA225" s="179"/>
      <c r="BB225" s="179"/>
      <c r="BC225" s="179"/>
      <c r="BD225" s="179"/>
      <c r="BE225" s="179"/>
      <c r="BF225" s="179"/>
      <c r="BG225" s="179"/>
      <c r="BH225" s="179"/>
      <c r="BI225" s="179"/>
      <c r="BJ225" s="179"/>
      <c r="BK225" s="179"/>
      <c r="BL225" s="179"/>
      <c r="BM225" s="179"/>
      <c r="BN225" s="179"/>
      <c r="BO225" s="179"/>
      <c r="BP225" s="179"/>
      <c r="BQ225" s="179"/>
      <c r="BR225" s="179"/>
      <c r="BS225" s="179"/>
      <c r="BT225" s="179"/>
      <c r="BU225" s="179"/>
      <c r="BV225" s="179"/>
      <c r="BW225" s="179"/>
      <c r="BX225" s="179"/>
      <c r="BY225" s="179"/>
      <c r="BZ225" s="179"/>
      <c r="CA225" s="179"/>
      <c r="CB225" s="179"/>
      <c r="CC225" s="179"/>
      <c r="CD225" s="179"/>
      <c r="CE225" s="179"/>
      <c r="CF225" s="179"/>
      <c r="CG225" s="179"/>
      <c r="CH225" s="179"/>
      <c r="CI225" s="179"/>
      <c r="CJ225" s="179"/>
      <c r="CK225" s="179"/>
      <c r="CL225" s="179"/>
      <c r="CM225" s="179"/>
      <c r="CN225" s="179"/>
      <c r="CO225" s="179"/>
      <c r="CP225" s="179"/>
      <c r="CQ225" s="179"/>
      <c r="CR225" s="179"/>
      <c r="CS225" s="179"/>
      <c r="CT225" s="179"/>
      <c r="CU225" s="179"/>
      <c r="CV225" s="179"/>
      <c r="CW225" s="179"/>
    </row>
    <row r="226" spans="1:101" x14ac:dyDescent="0.2">
      <c r="A226" s="32" t="str">
        <f t="shared" ca="1" si="3"/>
        <v>2025-11-14</v>
      </c>
      <c r="B226" s="179">
        <f ca="1">IF(ISNUMBER(MATCH(DATEVALUE($A226),'changes1_based on steps'!B$1:B$400,0)),B$2,)</f>
        <v>0</v>
      </c>
      <c r="C226" s="179">
        <f ca="1">IF(ISNUMBER(MATCH(DATEVALUE($A226),'changes1_based on steps'!C$1:C$400,0)),C$2,)</f>
        <v>0</v>
      </c>
      <c r="D226" s="179">
        <f ca="1">IF(ISNUMBER(MATCH(DATEVALUE($A226),'changes1_based on steps'!D$1:D$400,0)),D$2,)</f>
        <v>0</v>
      </c>
      <c r="E226" s="179">
        <f ca="1">IF(ISNUMBER(MATCH(DATEVALUE($A226),'changes1_based on steps'!E$1:E$400,0)),E$2,)</f>
        <v>0</v>
      </c>
      <c r="F226" s="179">
        <f ca="1">IF(ISNUMBER(MATCH(DATEVALUE($A226),'changes1_based on steps'!F$1:F$400,0)),F$2,)</f>
        <v>0</v>
      </c>
      <c r="G226" s="179">
        <f ca="1">IF(ISNUMBER(MATCH(DATEVALUE($A226),'changes1_based on steps'!G$1:G$400,0)),G$2,)</f>
        <v>0</v>
      </c>
      <c r="H226" s="179">
        <f ca="1">IF(ISNUMBER(MATCH(DATEVALUE($A226),'changes1_based on steps'!H$1:H$400,0)),H$2,)</f>
        <v>0</v>
      </c>
      <c r="I226" s="179">
        <f ca="1">IF(ISNUMBER(MATCH(DATEVALUE($A226),'changes1_based on steps'!I$1:I$400,0)),I$2,)</f>
        <v>0</v>
      </c>
      <c r="J226" s="179">
        <f ca="1">IF(ISNUMBER(MATCH(DATEVALUE($A226),'changes1_based on steps'!J$1:J$400,0)),J$2,)</f>
        <v>0</v>
      </c>
      <c r="K226" s="179">
        <f ca="1">IF(ISNUMBER(MATCH(DATEVALUE($A226),'changes1_based on steps'!K$1:K$400,0)),K$2,)</f>
        <v>0</v>
      </c>
      <c r="L226" s="179">
        <f ca="1">IF(ISNUMBER(MATCH(DATEVALUE($A226),'changes1_based on steps'!L$1:L$400,0)),L$2,)</f>
        <v>0</v>
      </c>
      <c r="M226" s="179">
        <f ca="1">IF(ISNUMBER(MATCH(DATEVALUE($A226),'changes1_based on steps'!M$1:M$400,0)),M$2,)</f>
        <v>0</v>
      </c>
      <c r="N226" s="179">
        <f ca="1">IF(ISNUMBER(MATCH(DATEVALUE($A226),'changes1_based on steps'!N$1:N$400,0)),N$2,)</f>
        <v>0</v>
      </c>
      <c r="O226" s="179">
        <f ca="1">IF(ISNUMBER(MATCH(DATEVALUE($A226),'changes1_based on steps'!O$1:O$400,0)),O$2,)</f>
        <v>0</v>
      </c>
      <c r="P226" s="179">
        <f ca="1">IF(ISNUMBER(MATCH(DATEVALUE($A226),'changes1_based on steps'!P$1:P$400,0)),P$2,)</f>
        <v>0</v>
      </c>
      <c r="Q226" s="179">
        <f ca="1">IF(ISNUMBER(MATCH(DATEVALUE($A226),'changes1_based on steps'!Q$1:Q$400,0)),Q$2,)</f>
        <v>0</v>
      </c>
      <c r="R226" s="179">
        <f ca="1">IF(ISNUMBER(MATCH(DATEVALUE($A226),'changes1_based on steps'!R$1:R$400,0)),R$2,)</f>
        <v>0</v>
      </c>
      <c r="S226" s="179">
        <f ca="1">IF(ISNUMBER(MATCH(DATEVALUE($A226),'changes1_based on steps'!S$1:S$400,0)),S$2,)</f>
        <v>0</v>
      </c>
      <c r="T226" s="179">
        <f ca="1">IF(ISNUMBER(MATCH(DATEVALUE($A226),'changes1_based on steps'!T$1:T$400,0)),T$2,)</f>
        <v>0</v>
      </c>
      <c r="U226" s="179">
        <f ca="1">IF(ISNUMBER(MATCH(DATEVALUE($A226),'changes1_based on steps'!U$1:U$400,0)),U$2,)</f>
        <v>0</v>
      </c>
      <c r="V226" s="179"/>
      <c r="W226" s="179"/>
      <c r="X226" s="179"/>
      <c r="Y226" s="179"/>
      <c r="Z226" s="179"/>
      <c r="AA226" s="179"/>
      <c r="AB226" s="179"/>
      <c r="AC226" s="179"/>
      <c r="AD226" s="179"/>
      <c r="AE226" s="179"/>
      <c r="AF226" s="179"/>
      <c r="AG226" s="179"/>
      <c r="AH226" s="179"/>
      <c r="AI226" s="179"/>
      <c r="AJ226" s="179"/>
      <c r="AK226" s="179"/>
      <c r="AL226" s="179"/>
      <c r="AM226" s="179"/>
      <c r="AN226" s="179"/>
      <c r="AO226" s="179"/>
      <c r="AP226" s="179"/>
      <c r="AQ226" s="179"/>
      <c r="AR226" s="179"/>
      <c r="AS226" s="179"/>
      <c r="AT226" s="179"/>
      <c r="AU226" s="179"/>
      <c r="AV226" s="179"/>
      <c r="AW226" s="179"/>
      <c r="AX226" s="179"/>
      <c r="AY226" s="179"/>
      <c r="AZ226" s="179"/>
      <c r="BA226" s="179"/>
      <c r="BB226" s="179"/>
      <c r="BC226" s="179"/>
      <c r="BD226" s="179"/>
      <c r="BE226" s="179"/>
      <c r="BF226" s="179"/>
      <c r="BG226" s="179"/>
      <c r="BH226" s="179"/>
      <c r="BI226" s="179"/>
      <c r="BJ226" s="179"/>
      <c r="BK226" s="179"/>
      <c r="BL226" s="179"/>
      <c r="BM226" s="179"/>
      <c r="BN226" s="179"/>
      <c r="BO226" s="179"/>
      <c r="BP226" s="179"/>
      <c r="BQ226" s="179"/>
      <c r="BR226" s="179"/>
      <c r="BS226" s="179"/>
      <c r="BT226" s="179"/>
      <c r="BU226" s="179"/>
      <c r="BV226" s="179"/>
      <c r="BW226" s="179"/>
      <c r="BX226" s="179"/>
      <c r="BY226" s="179"/>
      <c r="BZ226" s="179"/>
      <c r="CA226" s="179"/>
      <c r="CB226" s="179"/>
      <c r="CC226" s="179"/>
      <c r="CD226" s="179"/>
      <c r="CE226" s="179"/>
      <c r="CF226" s="179"/>
      <c r="CG226" s="179"/>
      <c r="CH226" s="179"/>
      <c r="CI226" s="179"/>
      <c r="CJ226" s="179"/>
      <c r="CK226" s="179"/>
      <c r="CL226" s="179"/>
      <c r="CM226" s="179"/>
      <c r="CN226" s="179"/>
      <c r="CO226" s="179"/>
      <c r="CP226" s="179"/>
      <c r="CQ226" s="179"/>
      <c r="CR226" s="179"/>
      <c r="CS226" s="179"/>
      <c r="CT226" s="179"/>
      <c r="CU226" s="179"/>
      <c r="CV226" s="179"/>
      <c r="CW226" s="179"/>
    </row>
    <row r="227" spans="1:101" x14ac:dyDescent="0.2">
      <c r="A227" s="32" t="str">
        <f t="shared" ca="1" si="3"/>
        <v>2025-11-15</v>
      </c>
      <c r="B227" s="179">
        <f ca="1">IF(ISNUMBER(MATCH(DATEVALUE($A227),'changes1_based on steps'!B$1:B$400,0)),B$2,)</f>
        <v>0</v>
      </c>
      <c r="C227" s="179">
        <f ca="1">IF(ISNUMBER(MATCH(DATEVALUE($A227),'changes1_based on steps'!C$1:C$400,0)),C$2,)</f>
        <v>0</v>
      </c>
      <c r="D227" s="179">
        <f ca="1">IF(ISNUMBER(MATCH(DATEVALUE($A227),'changes1_based on steps'!D$1:D$400,0)),D$2,)</f>
        <v>0</v>
      </c>
      <c r="E227" s="179">
        <f ca="1">IF(ISNUMBER(MATCH(DATEVALUE($A227),'changes1_based on steps'!E$1:E$400,0)),E$2,)</f>
        <v>0</v>
      </c>
      <c r="F227" s="179">
        <f ca="1">IF(ISNUMBER(MATCH(DATEVALUE($A227),'changes1_based on steps'!F$1:F$400,0)),F$2,)</f>
        <v>0</v>
      </c>
      <c r="G227" s="179">
        <f ca="1">IF(ISNUMBER(MATCH(DATEVALUE($A227),'changes1_based on steps'!G$1:G$400,0)),G$2,)</f>
        <v>0</v>
      </c>
      <c r="H227" s="179">
        <f ca="1">IF(ISNUMBER(MATCH(DATEVALUE($A227),'changes1_based on steps'!H$1:H$400,0)),H$2,)</f>
        <v>0</v>
      </c>
      <c r="I227" s="179">
        <f ca="1">IF(ISNUMBER(MATCH(DATEVALUE($A227),'changes1_based on steps'!I$1:I$400,0)),I$2,)</f>
        <v>0</v>
      </c>
      <c r="J227" s="179">
        <f ca="1">IF(ISNUMBER(MATCH(DATEVALUE($A227),'changes1_based on steps'!J$1:J$400,0)),J$2,)</f>
        <v>0</v>
      </c>
      <c r="K227" s="179">
        <f ca="1">IF(ISNUMBER(MATCH(DATEVALUE($A227),'changes1_based on steps'!K$1:K$400,0)),K$2,)</f>
        <v>0</v>
      </c>
      <c r="L227" s="179">
        <f ca="1">IF(ISNUMBER(MATCH(DATEVALUE($A227),'changes1_based on steps'!L$1:L$400,0)),L$2,)</f>
        <v>0</v>
      </c>
      <c r="M227" s="179">
        <f ca="1">IF(ISNUMBER(MATCH(DATEVALUE($A227),'changes1_based on steps'!M$1:M$400,0)),M$2,)</f>
        <v>0</v>
      </c>
      <c r="N227" s="179">
        <f ca="1">IF(ISNUMBER(MATCH(DATEVALUE($A227),'changes1_based on steps'!N$1:N$400,0)),N$2,)</f>
        <v>0</v>
      </c>
      <c r="O227" s="179">
        <f ca="1">IF(ISNUMBER(MATCH(DATEVALUE($A227),'changes1_based on steps'!O$1:O$400,0)),O$2,)</f>
        <v>0</v>
      </c>
      <c r="P227" s="179">
        <f ca="1">IF(ISNUMBER(MATCH(DATEVALUE($A227),'changes1_based on steps'!P$1:P$400,0)),P$2,)</f>
        <v>0</v>
      </c>
      <c r="Q227" s="179">
        <f ca="1">IF(ISNUMBER(MATCH(DATEVALUE($A227),'changes1_based on steps'!Q$1:Q$400,0)),Q$2,)</f>
        <v>0</v>
      </c>
      <c r="R227" s="179">
        <f ca="1">IF(ISNUMBER(MATCH(DATEVALUE($A227),'changes1_based on steps'!R$1:R$400,0)),R$2,)</f>
        <v>0</v>
      </c>
      <c r="S227" s="179">
        <f ca="1">IF(ISNUMBER(MATCH(DATEVALUE($A227),'changes1_based on steps'!S$1:S$400,0)),S$2,)</f>
        <v>0</v>
      </c>
      <c r="T227" s="179">
        <f ca="1">IF(ISNUMBER(MATCH(DATEVALUE($A227),'changes1_based on steps'!T$1:T$400,0)),T$2,)</f>
        <v>0</v>
      </c>
      <c r="U227" s="179">
        <f ca="1">IF(ISNUMBER(MATCH(DATEVALUE($A227),'changes1_based on steps'!U$1:U$400,0)),U$2,)</f>
        <v>0</v>
      </c>
      <c r="V227" s="179"/>
      <c r="W227" s="179"/>
      <c r="X227" s="179"/>
      <c r="Y227" s="179"/>
      <c r="Z227" s="179"/>
      <c r="AA227" s="179"/>
      <c r="AB227" s="179"/>
      <c r="AC227" s="179"/>
      <c r="AD227" s="179"/>
      <c r="AE227" s="179"/>
      <c r="AF227" s="179"/>
      <c r="AG227" s="179"/>
      <c r="AH227" s="179"/>
      <c r="AI227" s="179"/>
      <c r="AJ227" s="179"/>
      <c r="AK227" s="179"/>
      <c r="AL227" s="179"/>
      <c r="AM227" s="179"/>
      <c r="AN227" s="179"/>
      <c r="AO227" s="179"/>
      <c r="AP227" s="179"/>
      <c r="AQ227" s="179"/>
      <c r="AR227" s="179"/>
      <c r="AS227" s="179"/>
      <c r="AT227" s="179"/>
      <c r="AU227" s="179"/>
      <c r="AV227" s="179"/>
      <c r="AW227" s="179"/>
      <c r="AX227" s="179"/>
      <c r="AY227" s="179"/>
      <c r="AZ227" s="179"/>
      <c r="BA227" s="179"/>
      <c r="BB227" s="179"/>
      <c r="BC227" s="179"/>
      <c r="BD227" s="179"/>
      <c r="BE227" s="179"/>
      <c r="BF227" s="179"/>
      <c r="BG227" s="179"/>
      <c r="BH227" s="179"/>
      <c r="BI227" s="179"/>
      <c r="BJ227" s="179"/>
      <c r="BK227" s="179"/>
      <c r="BL227" s="179"/>
      <c r="BM227" s="179"/>
      <c r="BN227" s="179"/>
      <c r="BO227" s="179"/>
      <c r="BP227" s="179"/>
      <c r="BQ227" s="179"/>
      <c r="BR227" s="179"/>
      <c r="BS227" s="179"/>
      <c r="BT227" s="179"/>
      <c r="BU227" s="179"/>
      <c r="BV227" s="179"/>
      <c r="BW227" s="179"/>
      <c r="BX227" s="179"/>
      <c r="BY227" s="179"/>
      <c r="BZ227" s="179"/>
      <c r="CA227" s="179"/>
      <c r="CB227" s="179"/>
      <c r="CC227" s="179"/>
      <c r="CD227" s="179"/>
      <c r="CE227" s="179"/>
      <c r="CF227" s="179"/>
      <c r="CG227" s="179"/>
      <c r="CH227" s="179"/>
      <c r="CI227" s="179"/>
      <c r="CJ227" s="179"/>
      <c r="CK227" s="179"/>
      <c r="CL227" s="179"/>
      <c r="CM227" s="179"/>
      <c r="CN227" s="179"/>
      <c r="CO227" s="179"/>
      <c r="CP227" s="179"/>
      <c r="CQ227" s="179"/>
      <c r="CR227" s="179"/>
      <c r="CS227" s="179"/>
      <c r="CT227" s="179"/>
      <c r="CU227" s="179"/>
      <c r="CV227" s="179"/>
      <c r="CW227" s="179"/>
    </row>
    <row r="228" spans="1:101" x14ac:dyDescent="0.2">
      <c r="A228" s="32" t="str">
        <f t="shared" ca="1" si="3"/>
        <v>2025-11-16</v>
      </c>
      <c r="B228" s="179">
        <f ca="1">IF(ISNUMBER(MATCH(DATEVALUE($A228),'changes1_based on steps'!B$1:B$400,0)),B$2,)</f>
        <v>0</v>
      </c>
      <c r="C228" s="179">
        <f ca="1">IF(ISNUMBER(MATCH(DATEVALUE($A228),'changes1_based on steps'!C$1:C$400,0)),C$2,)</f>
        <v>0</v>
      </c>
      <c r="D228" s="179">
        <f ca="1">IF(ISNUMBER(MATCH(DATEVALUE($A228),'changes1_based on steps'!D$1:D$400,0)),D$2,)</f>
        <v>0</v>
      </c>
      <c r="E228" s="179">
        <f ca="1">IF(ISNUMBER(MATCH(DATEVALUE($A228),'changes1_based on steps'!E$1:E$400,0)),E$2,)</f>
        <v>0</v>
      </c>
      <c r="F228" s="179">
        <f ca="1">IF(ISNUMBER(MATCH(DATEVALUE($A228),'changes1_based on steps'!F$1:F$400,0)),F$2,)</f>
        <v>0</v>
      </c>
      <c r="G228" s="179">
        <f ca="1">IF(ISNUMBER(MATCH(DATEVALUE($A228),'changes1_based on steps'!G$1:G$400,0)),G$2,)</f>
        <v>0</v>
      </c>
      <c r="H228" s="179">
        <f ca="1">IF(ISNUMBER(MATCH(DATEVALUE($A228),'changes1_based on steps'!H$1:H$400,0)),H$2,)</f>
        <v>0</v>
      </c>
      <c r="I228" s="179">
        <f ca="1">IF(ISNUMBER(MATCH(DATEVALUE($A228),'changes1_based on steps'!I$1:I$400,0)),I$2,)</f>
        <v>0</v>
      </c>
      <c r="J228" s="179">
        <f ca="1">IF(ISNUMBER(MATCH(DATEVALUE($A228),'changes1_based on steps'!J$1:J$400,0)),J$2,)</f>
        <v>0</v>
      </c>
      <c r="K228" s="179">
        <f ca="1">IF(ISNUMBER(MATCH(DATEVALUE($A228),'changes1_based on steps'!K$1:K$400,0)),K$2,)</f>
        <v>0</v>
      </c>
      <c r="L228" s="179">
        <f ca="1">IF(ISNUMBER(MATCH(DATEVALUE($A228),'changes1_based on steps'!L$1:L$400,0)),L$2,)</f>
        <v>0</v>
      </c>
      <c r="M228" s="179">
        <f ca="1">IF(ISNUMBER(MATCH(DATEVALUE($A228),'changes1_based on steps'!M$1:M$400,0)),M$2,)</f>
        <v>0</v>
      </c>
      <c r="N228" s="179">
        <f ca="1">IF(ISNUMBER(MATCH(DATEVALUE($A228),'changes1_based on steps'!N$1:N$400,0)),N$2,)</f>
        <v>0</v>
      </c>
      <c r="O228" s="179">
        <f ca="1">IF(ISNUMBER(MATCH(DATEVALUE($A228),'changes1_based on steps'!O$1:O$400,0)),O$2,)</f>
        <v>0</v>
      </c>
      <c r="P228" s="179">
        <f ca="1">IF(ISNUMBER(MATCH(DATEVALUE($A228),'changes1_based on steps'!P$1:P$400,0)),P$2,)</f>
        <v>0</v>
      </c>
      <c r="Q228" s="179">
        <f ca="1">IF(ISNUMBER(MATCH(DATEVALUE($A228),'changes1_based on steps'!Q$1:Q$400,0)),Q$2,)</f>
        <v>0</v>
      </c>
      <c r="R228" s="179">
        <f ca="1">IF(ISNUMBER(MATCH(DATEVALUE($A228),'changes1_based on steps'!R$1:R$400,0)),R$2,)</f>
        <v>0</v>
      </c>
      <c r="S228" s="179">
        <f ca="1">IF(ISNUMBER(MATCH(DATEVALUE($A228),'changes1_based on steps'!S$1:S$400,0)),S$2,)</f>
        <v>0</v>
      </c>
      <c r="T228" s="179">
        <f ca="1">IF(ISNUMBER(MATCH(DATEVALUE($A228),'changes1_based on steps'!T$1:T$400,0)),T$2,)</f>
        <v>0</v>
      </c>
      <c r="U228" s="179">
        <f ca="1">IF(ISNUMBER(MATCH(DATEVALUE($A228),'changes1_based on steps'!U$1:U$400,0)),U$2,)</f>
        <v>0</v>
      </c>
      <c r="V228" s="179"/>
      <c r="W228" s="179"/>
      <c r="X228" s="179"/>
      <c r="Y228" s="179"/>
      <c r="Z228" s="179"/>
      <c r="AA228" s="179"/>
      <c r="AB228" s="179"/>
      <c r="AC228" s="179"/>
      <c r="AD228" s="179"/>
      <c r="AE228" s="179"/>
      <c r="AF228" s="179"/>
      <c r="AG228" s="179"/>
      <c r="AH228" s="179"/>
      <c r="AI228" s="179"/>
      <c r="AJ228" s="179"/>
      <c r="AK228" s="179"/>
      <c r="AL228" s="179"/>
      <c r="AM228" s="179"/>
      <c r="AN228" s="179"/>
      <c r="AO228" s="179"/>
      <c r="AP228" s="179"/>
      <c r="AQ228" s="179"/>
      <c r="AR228" s="179"/>
      <c r="AS228" s="179"/>
      <c r="AT228" s="179"/>
      <c r="AU228" s="179"/>
      <c r="AV228" s="179"/>
      <c r="AW228" s="179"/>
      <c r="AX228" s="179"/>
      <c r="AY228" s="179"/>
      <c r="AZ228" s="179"/>
      <c r="BA228" s="179"/>
      <c r="BB228" s="179"/>
      <c r="BC228" s="179"/>
      <c r="BD228" s="179"/>
      <c r="BE228" s="179"/>
      <c r="BF228" s="179"/>
      <c r="BG228" s="179"/>
      <c r="BH228" s="179"/>
      <c r="BI228" s="179"/>
      <c r="BJ228" s="179"/>
      <c r="BK228" s="179"/>
      <c r="BL228" s="179"/>
      <c r="BM228" s="179"/>
      <c r="BN228" s="179"/>
      <c r="BO228" s="179"/>
      <c r="BP228" s="179"/>
      <c r="BQ228" s="179"/>
      <c r="BR228" s="179"/>
      <c r="BS228" s="179"/>
      <c r="BT228" s="179"/>
      <c r="BU228" s="179"/>
      <c r="BV228" s="179"/>
      <c r="BW228" s="179"/>
      <c r="BX228" s="179"/>
      <c r="BY228" s="179"/>
      <c r="BZ228" s="179"/>
      <c r="CA228" s="179"/>
      <c r="CB228" s="179"/>
      <c r="CC228" s="179"/>
      <c r="CD228" s="179"/>
      <c r="CE228" s="179"/>
      <c r="CF228" s="179"/>
      <c r="CG228" s="179"/>
      <c r="CH228" s="179"/>
      <c r="CI228" s="179"/>
      <c r="CJ228" s="179"/>
      <c r="CK228" s="179"/>
      <c r="CL228" s="179"/>
      <c r="CM228" s="179"/>
      <c r="CN228" s="179"/>
      <c r="CO228" s="179"/>
      <c r="CP228" s="179"/>
      <c r="CQ228" s="179"/>
      <c r="CR228" s="179"/>
      <c r="CS228" s="179"/>
      <c r="CT228" s="179"/>
      <c r="CU228" s="179"/>
      <c r="CV228" s="179"/>
      <c r="CW228" s="179"/>
    </row>
    <row r="229" spans="1:101" x14ac:dyDescent="0.2">
      <c r="A229" s="32" t="str">
        <f t="shared" ca="1" si="3"/>
        <v>2025-11-17</v>
      </c>
      <c r="B229" s="179">
        <f ca="1">IF(ISNUMBER(MATCH(DATEVALUE($A229),'changes1_based on steps'!B$1:B$400,0)),B$2,)</f>
        <v>0</v>
      </c>
      <c r="C229" s="179">
        <f ca="1">IF(ISNUMBER(MATCH(DATEVALUE($A229),'changes1_based on steps'!C$1:C$400,0)),C$2,)</f>
        <v>0</v>
      </c>
      <c r="D229" s="179">
        <f ca="1">IF(ISNUMBER(MATCH(DATEVALUE($A229),'changes1_based on steps'!D$1:D$400,0)),D$2,)</f>
        <v>0</v>
      </c>
      <c r="E229" s="179">
        <f ca="1">IF(ISNUMBER(MATCH(DATEVALUE($A229),'changes1_based on steps'!E$1:E$400,0)),E$2,)</f>
        <v>0</v>
      </c>
      <c r="F229" s="179">
        <f ca="1">IF(ISNUMBER(MATCH(DATEVALUE($A229),'changes1_based on steps'!F$1:F$400,0)),F$2,)</f>
        <v>0</v>
      </c>
      <c r="G229" s="179">
        <f ca="1">IF(ISNUMBER(MATCH(DATEVALUE($A229),'changes1_based on steps'!G$1:G$400,0)),G$2,)</f>
        <v>0</v>
      </c>
      <c r="H229" s="179">
        <f ca="1">IF(ISNUMBER(MATCH(DATEVALUE($A229),'changes1_based on steps'!H$1:H$400,0)),H$2,)</f>
        <v>0</v>
      </c>
      <c r="I229" s="179">
        <f ca="1">IF(ISNUMBER(MATCH(DATEVALUE($A229),'changes1_based on steps'!I$1:I$400,0)),I$2,)</f>
        <v>0</v>
      </c>
      <c r="J229" s="179">
        <f ca="1">IF(ISNUMBER(MATCH(DATEVALUE($A229),'changes1_based on steps'!J$1:J$400,0)),J$2,)</f>
        <v>0</v>
      </c>
      <c r="K229" s="179">
        <f ca="1">IF(ISNUMBER(MATCH(DATEVALUE($A229),'changes1_based on steps'!K$1:K$400,0)),K$2,)</f>
        <v>0</v>
      </c>
      <c r="L229" s="179">
        <f ca="1">IF(ISNUMBER(MATCH(DATEVALUE($A229),'changes1_based on steps'!L$1:L$400,0)),L$2,)</f>
        <v>0</v>
      </c>
      <c r="M229" s="179">
        <f ca="1">IF(ISNUMBER(MATCH(DATEVALUE($A229),'changes1_based on steps'!M$1:M$400,0)),M$2,)</f>
        <v>0</v>
      </c>
      <c r="N229" s="179">
        <f ca="1">IF(ISNUMBER(MATCH(DATEVALUE($A229),'changes1_based on steps'!N$1:N$400,0)),N$2,)</f>
        <v>0</v>
      </c>
      <c r="O229" s="179">
        <f ca="1">IF(ISNUMBER(MATCH(DATEVALUE($A229),'changes1_based on steps'!O$1:O$400,0)),O$2,)</f>
        <v>0</v>
      </c>
      <c r="P229" s="179">
        <f ca="1">IF(ISNUMBER(MATCH(DATEVALUE($A229),'changes1_based on steps'!P$1:P$400,0)),P$2,)</f>
        <v>0</v>
      </c>
      <c r="Q229" s="179">
        <f ca="1">IF(ISNUMBER(MATCH(DATEVALUE($A229),'changes1_based on steps'!Q$1:Q$400,0)),Q$2,)</f>
        <v>0</v>
      </c>
      <c r="R229" s="179">
        <f ca="1">IF(ISNUMBER(MATCH(DATEVALUE($A229),'changes1_based on steps'!R$1:R$400,0)),R$2,)</f>
        <v>0</v>
      </c>
      <c r="S229" s="179">
        <f ca="1">IF(ISNUMBER(MATCH(DATEVALUE($A229),'changes1_based on steps'!S$1:S$400,0)),S$2,)</f>
        <v>0</v>
      </c>
      <c r="T229" s="179">
        <f ca="1">IF(ISNUMBER(MATCH(DATEVALUE($A229),'changes1_based on steps'!T$1:T$400,0)),T$2,)</f>
        <v>0</v>
      </c>
      <c r="U229" s="179">
        <f ca="1">IF(ISNUMBER(MATCH(DATEVALUE($A229),'changes1_based on steps'!U$1:U$400,0)),U$2,)</f>
        <v>0</v>
      </c>
      <c r="V229" s="179"/>
      <c r="W229" s="179"/>
      <c r="X229" s="179"/>
      <c r="Y229" s="179"/>
      <c r="Z229" s="179"/>
      <c r="AA229" s="179"/>
      <c r="AB229" s="179"/>
      <c r="AC229" s="179"/>
      <c r="AD229" s="179"/>
      <c r="AE229" s="179"/>
      <c r="AF229" s="179"/>
      <c r="AG229" s="179"/>
      <c r="AH229" s="179"/>
      <c r="AI229" s="179"/>
      <c r="AJ229" s="179"/>
      <c r="AK229" s="179"/>
      <c r="AL229" s="179"/>
      <c r="AM229" s="179"/>
      <c r="AN229" s="179"/>
      <c r="AO229" s="179"/>
      <c r="AP229" s="179"/>
      <c r="AQ229" s="179"/>
      <c r="AR229" s="179"/>
      <c r="AS229" s="179"/>
      <c r="AT229" s="179"/>
      <c r="AU229" s="179"/>
      <c r="AV229" s="179"/>
      <c r="AW229" s="179"/>
      <c r="AX229" s="179"/>
      <c r="AY229" s="179"/>
      <c r="AZ229" s="179"/>
      <c r="BA229" s="179"/>
      <c r="BB229" s="179"/>
      <c r="BC229" s="179"/>
      <c r="BD229" s="179"/>
      <c r="BE229" s="179"/>
      <c r="BF229" s="179"/>
      <c r="BG229" s="179"/>
      <c r="BH229" s="179"/>
      <c r="BI229" s="179"/>
      <c r="BJ229" s="179"/>
      <c r="BK229" s="179"/>
      <c r="BL229" s="179"/>
      <c r="BM229" s="179"/>
      <c r="BN229" s="179"/>
      <c r="BO229" s="179"/>
      <c r="BP229" s="179"/>
      <c r="BQ229" s="179"/>
      <c r="BR229" s="179"/>
      <c r="BS229" s="179"/>
      <c r="BT229" s="179"/>
      <c r="BU229" s="179"/>
      <c r="BV229" s="179"/>
      <c r="BW229" s="179"/>
      <c r="BX229" s="179"/>
      <c r="BY229" s="179"/>
      <c r="BZ229" s="179"/>
      <c r="CA229" s="179"/>
      <c r="CB229" s="179"/>
      <c r="CC229" s="179"/>
      <c r="CD229" s="179"/>
      <c r="CE229" s="179"/>
      <c r="CF229" s="179"/>
      <c r="CG229" s="179"/>
      <c r="CH229" s="179"/>
      <c r="CI229" s="179"/>
      <c r="CJ229" s="179"/>
      <c r="CK229" s="179"/>
      <c r="CL229" s="179"/>
      <c r="CM229" s="179"/>
      <c r="CN229" s="179"/>
      <c r="CO229" s="179"/>
      <c r="CP229" s="179"/>
      <c r="CQ229" s="179"/>
      <c r="CR229" s="179"/>
      <c r="CS229" s="179"/>
      <c r="CT229" s="179"/>
      <c r="CU229" s="179"/>
      <c r="CV229" s="179"/>
      <c r="CW229" s="179"/>
    </row>
    <row r="230" spans="1:101" x14ac:dyDescent="0.2">
      <c r="A230" s="32" t="str">
        <f t="shared" ca="1" si="3"/>
        <v>2025-11-18</v>
      </c>
      <c r="B230" s="179">
        <f ca="1">IF(ISNUMBER(MATCH(DATEVALUE($A230),'changes1_based on steps'!B$1:B$400,0)),B$2,)</f>
        <v>0</v>
      </c>
      <c r="C230" s="179">
        <f ca="1">IF(ISNUMBER(MATCH(DATEVALUE($A230),'changes1_based on steps'!C$1:C$400,0)),C$2,)</f>
        <v>0</v>
      </c>
      <c r="D230" s="179">
        <f ca="1">IF(ISNUMBER(MATCH(DATEVALUE($A230),'changes1_based on steps'!D$1:D$400,0)),D$2,)</f>
        <v>0</v>
      </c>
      <c r="E230" s="179">
        <f ca="1">IF(ISNUMBER(MATCH(DATEVALUE($A230),'changes1_based on steps'!E$1:E$400,0)),E$2,)</f>
        <v>0</v>
      </c>
      <c r="F230" s="179">
        <f ca="1">IF(ISNUMBER(MATCH(DATEVALUE($A230),'changes1_based on steps'!F$1:F$400,0)),F$2,)</f>
        <v>0</v>
      </c>
      <c r="G230" s="179">
        <f ca="1">IF(ISNUMBER(MATCH(DATEVALUE($A230),'changes1_based on steps'!G$1:G$400,0)),G$2,)</f>
        <v>0</v>
      </c>
      <c r="H230" s="179">
        <f ca="1">IF(ISNUMBER(MATCH(DATEVALUE($A230),'changes1_based on steps'!H$1:H$400,0)),H$2,)</f>
        <v>0</v>
      </c>
      <c r="I230" s="179">
        <f ca="1">IF(ISNUMBER(MATCH(DATEVALUE($A230),'changes1_based on steps'!I$1:I$400,0)),I$2,)</f>
        <v>0</v>
      </c>
      <c r="J230" s="179">
        <f ca="1">IF(ISNUMBER(MATCH(DATEVALUE($A230),'changes1_based on steps'!J$1:J$400,0)),J$2,)</f>
        <v>0</v>
      </c>
      <c r="K230" s="179">
        <f ca="1">IF(ISNUMBER(MATCH(DATEVALUE($A230),'changes1_based on steps'!K$1:K$400,0)),K$2,)</f>
        <v>0</v>
      </c>
      <c r="L230" s="179">
        <f ca="1">IF(ISNUMBER(MATCH(DATEVALUE($A230),'changes1_based on steps'!L$1:L$400,0)),L$2,)</f>
        <v>0</v>
      </c>
      <c r="M230" s="179">
        <f ca="1">IF(ISNUMBER(MATCH(DATEVALUE($A230),'changes1_based on steps'!M$1:M$400,0)),M$2,)</f>
        <v>0</v>
      </c>
      <c r="N230" s="179">
        <f ca="1">IF(ISNUMBER(MATCH(DATEVALUE($A230),'changes1_based on steps'!N$1:N$400,0)),N$2,)</f>
        <v>0</v>
      </c>
      <c r="O230" s="179">
        <f ca="1">IF(ISNUMBER(MATCH(DATEVALUE($A230),'changes1_based on steps'!O$1:O$400,0)),O$2,)</f>
        <v>0</v>
      </c>
      <c r="P230" s="179">
        <f ca="1">IF(ISNUMBER(MATCH(DATEVALUE($A230),'changes1_based on steps'!P$1:P$400,0)),P$2,)</f>
        <v>0</v>
      </c>
      <c r="Q230" s="179">
        <f ca="1">IF(ISNUMBER(MATCH(DATEVALUE($A230),'changes1_based on steps'!Q$1:Q$400,0)),Q$2,)</f>
        <v>0</v>
      </c>
      <c r="R230" s="179">
        <f ca="1">IF(ISNUMBER(MATCH(DATEVALUE($A230),'changes1_based on steps'!R$1:R$400,0)),R$2,)</f>
        <v>0</v>
      </c>
      <c r="S230" s="179">
        <f ca="1">IF(ISNUMBER(MATCH(DATEVALUE($A230),'changes1_based on steps'!S$1:S$400,0)),S$2,)</f>
        <v>0</v>
      </c>
      <c r="T230" s="179">
        <f ca="1">IF(ISNUMBER(MATCH(DATEVALUE($A230),'changes1_based on steps'!T$1:T$400,0)),T$2,)</f>
        <v>0</v>
      </c>
      <c r="U230" s="179">
        <f ca="1">IF(ISNUMBER(MATCH(DATEVALUE($A230),'changes1_based on steps'!U$1:U$400,0)),U$2,)</f>
        <v>0</v>
      </c>
      <c r="V230" s="179"/>
      <c r="W230" s="179"/>
      <c r="X230" s="179"/>
      <c r="Y230" s="179"/>
      <c r="Z230" s="179"/>
      <c r="AA230" s="179"/>
      <c r="AB230" s="179"/>
      <c r="AC230" s="179"/>
      <c r="AD230" s="179"/>
      <c r="AE230" s="179"/>
      <c r="AF230" s="179"/>
      <c r="AG230" s="179"/>
      <c r="AH230" s="179"/>
      <c r="AI230" s="179"/>
      <c r="AJ230" s="179"/>
      <c r="AK230" s="179"/>
      <c r="AL230" s="179"/>
      <c r="AM230" s="179"/>
      <c r="AN230" s="179"/>
      <c r="AO230" s="179"/>
      <c r="AP230" s="179"/>
      <c r="AQ230" s="179"/>
      <c r="AR230" s="179"/>
      <c r="AS230" s="179"/>
      <c r="AT230" s="179"/>
      <c r="AU230" s="179"/>
      <c r="AV230" s="179"/>
      <c r="AW230" s="179"/>
      <c r="AX230" s="179"/>
      <c r="AY230" s="179"/>
      <c r="AZ230" s="179"/>
      <c r="BA230" s="179"/>
      <c r="BB230" s="179"/>
      <c r="BC230" s="179"/>
      <c r="BD230" s="179"/>
      <c r="BE230" s="179"/>
      <c r="BF230" s="179"/>
      <c r="BG230" s="179"/>
      <c r="BH230" s="179"/>
      <c r="BI230" s="179"/>
      <c r="BJ230" s="179"/>
      <c r="BK230" s="179"/>
      <c r="BL230" s="179"/>
      <c r="BM230" s="179"/>
      <c r="BN230" s="179"/>
      <c r="BO230" s="179"/>
      <c r="BP230" s="179"/>
      <c r="BQ230" s="179"/>
      <c r="BR230" s="179"/>
      <c r="BS230" s="179"/>
      <c r="BT230" s="179"/>
      <c r="BU230" s="179"/>
      <c r="BV230" s="179"/>
      <c r="BW230" s="179"/>
      <c r="BX230" s="179"/>
      <c r="BY230" s="179"/>
      <c r="BZ230" s="179"/>
      <c r="CA230" s="179"/>
      <c r="CB230" s="179"/>
      <c r="CC230" s="179"/>
      <c r="CD230" s="179"/>
      <c r="CE230" s="179"/>
      <c r="CF230" s="179"/>
      <c r="CG230" s="179"/>
      <c r="CH230" s="179"/>
      <c r="CI230" s="179"/>
      <c r="CJ230" s="179"/>
      <c r="CK230" s="179"/>
      <c r="CL230" s="179"/>
      <c r="CM230" s="179"/>
      <c r="CN230" s="179"/>
      <c r="CO230" s="179"/>
      <c r="CP230" s="179"/>
      <c r="CQ230" s="179"/>
      <c r="CR230" s="179"/>
      <c r="CS230" s="179"/>
      <c r="CT230" s="179"/>
      <c r="CU230" s="179"/>
      <c r="CV230" s="179"/>
      <c r="CW230" s="179"/>
    </row>
    <row r="231" spans="1:101" x14ac:dyDescent="0.2">
      <c r="A231" s="32" t="str">
        <f t="shared" ca="1" si="3"/>
        <v>2025-11-19</v>
      </c>
      <c r="B231" s="179">
        <f ca="1">IF(ISNUMBER(MATCH(DATEVALUE($A231),'changes1_based on steps'!B$1:B$400,0)),B$2,)</f>
        <v>0</v>
      </c>
      <c r="C231" s="179">
        <f ca="1">IF(ISNUMBER(MATCH(DATEVALUE($A231),'changes1_based on steps'!C$1:C$400,0)),C$2,)</f>
        <v>0</v>
      </c>
      <c r="D231" s="179">
        <f ca="1">IF(ISNUMBER(MATCH(DATEVALUE($A231),'changes1_based on steps'!D$1:D$400,0)),D$2,)</f>
        <v>0</v>
      </c>
      <c r="E231" s="179">
        <f ca="1">IF(ISNUMBER(MATCH(DATEVALUE($A231),'changes1_based on steps'!E$1:E$400,0)),E$2,)</f>
        <v>0</v>
      </c>
      <c r="F231" s="179">
        <f ca="1">IF(ISNUMBER(MATCH(DATEVALUE($A231),'changes1_based on steps'!F$1:F$400,0)),F$2,)</f>
        <v>0</v>
      </c>
      <c r="G231" s="179">
        <f ca="1">IF(ISNUMBER(MATCH(DATEVALUE($A231),'changes1_based on steps'!G$1:G$400,0)),G$2,)</f>
        <v>0</v>
      </c>
      <c r="H231" s="179">
        <f ca="1">IF(ISNUMBER(MATCH(DATEVALUE($A231),'changes1_based on steps'!H$1:H$400,0)),H$2,)</f>
        <v>0</v>
      </c>
      <c r="I231" s="179">
        <f ca="1">IF(ISNUMBER(MATCH(DATEVALUE($A231),'changes1_based on steps'!I$1:I$400,0)),I$2,)</f>
        <v>0</v>
      </c>
      <c r="J231" s="179">
        <f ca="1">IF(ISNUMBER(MATCH(DATEVALUE($A231),'changes1_based on steps'!J$1:J$400,0)),J$2,)</f>
        <v>0</v>
      </c>
      <c r="K231" s="179">
        <f ca="1">IF(ISNUMBER(MATCH(DATEVALUE($A231),'changes1_based on steps'!K$1:K$400,0)),K$2,)</f>
        <v>0</v>
      </c>
      <c r="L231" s="179">
        <f ca="1">IF(ISNUMBER(MATCH(DATEVALUE($A231),'changes1_based on steps'!L$1:L$400,0)),L$2,)</f>
        <v>0</v>
      </c>
      <c r="M231" s="179">
        <f ca="1">IF(ISNUMBER(MATCH(DATEVALUE($A231),'changes1_based on steps'!M$1:M$400,0)),M$2,)</f>
        <v>0</v>
      </c>
      <c r="N231" s="179">
        <f ca="1">IF(ISNUMBER(MATCH(DATEVALUE($A231),'changes1_based on steps'!N$1:N$400,0)),N$2,)</f>
        <v>0</v>
      </c>
      <c r="O231" s="179">
        <f ca="1">IF(ISNUMBER(MATCH(DATEVALUE($A231),'changes1_based on steps'!O$1:O$400,0)),O$2,)</f>
        <v>0</v>
      </c>
      <c r="P231" s="179">
        <f ca="1">IF(ISNUMBER(MATCH(DATEVALUE($A231),'changes1_based on steps'!P$1:P$400,0)),P$2,)</f>
        <v>0</v>
      </c>
      <c r="Q231" s="179">
        <f ca="1">IF(ISNUMBER(MATCH(DATEVALUE($A231),'changes1_based on steps'!Q$1:Q$400,0)),Q$2,)</f>
        <v>0</v>
      </c>
      <c r="R231" s="179">
        <f ca="1">IF(ISNUMBER(MATCH(DATEVALUE($A231),'changes1_based on steps'!R$1:R$400,0)),R$2,)</f>
        <v>0</v>
      </c>
      <c r="S231" s="179">
        <f ca="1">IF(ISNUMBER(MATCH(DATEVALUE($A231),'changes1_based on steps'!S$1:S$400,0)),S$2,)</f>
        <v>0</v>
      </c>
      <c r="T231" s="179">
        <f ca="1">IF(ISNUMBER(MATCH(DATEVALUE($A231),'changes1_based on steps'!T$1:T$400,0)),T$2,)</f>
        <v>0</v>
      </c>
      <c r="U231" s="179">
        <f ca="1">IF(ISNUMBER(MATCH(DATEVALUE($A231),'changes1_based on steps'!U$1:U$400,0)),U$2,)</f>
        <v>0</v>
      </c>
      <c r="V231" s="179"/>
      <c r="W231" s="179"/>
      <c r="X231" s="179"/>
      <c r="Y231" s="179"/>
      <c r="Z231" s="179"/>
      <c r="AA231" s="179"/>
      <c r="AB231" s="179"/>
      <c r="AC231" s="179"/>
      <c r="AD231" s="179"/>
      <c r="AE231" s="179"/>
      <c r="AF231" s="179"/>
      <c r="AG231" s="179"/>
      <c r="AH231" s="179"/>
      <c r="AI231" s="179"/>
      <c r="AJ231" s="179"/>
      <c r="AK231" s="179"/>
      <c r="AL231" s="179"/>
      <c r="AM231" s="179"/>
      <c r="AN231" s="179"/>
      <c r="AO231" s="179"/>
      <c r="AP231" s="179"/>
      <c r="AQ231" s="179"/>
      <c r="AR231" s="179"/>
      <c r="AS231" s="179"/>
      <c r="AT231" s="179"/>
      <c r="AU231" s="179"/>
      <c r="AV231" s="179"/>
      <c r="AW231" s="179"/>
      <c r="AX231" s="179"/>
      <c r="AY231" s="179"/>
      <c r="AZ231" s="179"/>
      <c r="BA231" s="179"/>
      <c r="BB231" s="179"/>
      <c r="BC231" s="179"/>
      <c r="BD231" s="179"/>
      <c r="BE231" s="179"/>
      <c r="BF231" s="179"/>
      <c r="BG231" s="179"/>
      <c r="BH231" s="179"/>
      <c r="BI231" s="179"/>
      <c r="BJ231" s="179"/>
      <c r="BK231" s="179"/>
      <c r="BL231" s="179"/>
      <c r="BM231" s="179"/>
      <c r="BN231" s="179"/>
      <c r="BO231" s="179"/>
      <c r="BP231" s="179"/>
      <c r="BQ231" s="179"/>
      <c r="BR231" s="179"/>
      <c r="BS231" s="179"/>
      <c r="BT231" s="179"/>
      <c r="BU231" s="179"/>
      <c r="BV231" s="179"/>
      <c r="BW231" s="179"/>
      <c r="BX231" s="179"/>
      <c r="BY231" s="179"/>
      <c r="BZ231" s="179"/>
      <c r="CA231" s="179"/>
      <c r="CB231" s="179"/>
      <c r="CC231" s="179"/>
      <c r="CD231" s="179"/>
      <c r="CE231" s="179"/>
      <c r="CF231" s="179"/>
      <c r="CG231" s="179"/>
      <c r="CH231" s="179"/>
      <c r="CI231" s="179"/>
      <c r="CJ231" s="179"/>
      <c r="CK231" s="179"/>
      <c r="CL231" s="179"/>
      <c r="CM231" s="179"/>
      <c r="CN231" s="179"/>
      <c r="CO231" s="179"/>
      <c r="CP231" s="179"/>
      <c r="CQ231" s="179"/>
      <c r="CR231" s="179"/>
      <c r="CS231" s="179"/>
      <c r="CT231" s="179"/>
      <c r="CU231" s="179"/>
      <c r="CV231" s="179"/>
      <c r="CW231" s="179"/>
    </row>
    <row r="232" spans="1:101" x14ac:dyDescent="0.2">
      <c r="A232" s="32" t="str">
        <f t="shared" ca="1" si="3"/>
        <v>2025-11-20</v>
      </c>
      <c r="B232" s="179">
        <f ca="1">IF(ISNUMBER(MATCH(DATEVALUE($A232),'changes1_based on steps'!B$1:B$400,0)),B$2,)</f>
        <v>0</v>
      </c>
      <c r="C232" s="179">
        <f ca="1">IF(ISNUMBER(MATCH(DATEVALUE($A232),'changes1_based on steps'!C$1:C$400,0)),C$2,)</f>
        <v>0</v>
      </c>
      <c r="D232" s="179">
        <f ca="1">IF(ISNUMBER(MATCH(DATEVALUE($A232),'changes1_based on steps'!D$1:D$400,0)),D$2,)</f>
        <v>0</v>
      </c>
      <c r="E232" s="179">
        <f ca="1">IF(ISNUMBER(MATCH(DATEVALUE($A232),'changes1_based on steps'!E$1:E$400,0)),E$2,)</f>
        <v>0</v>
      </c>
      <c r="F232" s="179">
        <f ca="1">IF(ISNUMBER(MATCH(DATEVALUE($A232),'changes1_based on steps'!F$1:F$400,0)),F$2,)</f>
        <v>0</v>
      </c>
      <c r="G232" s="179">
        <f ca="1">IF(ISNUMBER(MATCH(DATEVALUE($A232),'changes1_based on steps'!G$1:G$400,0)),G$2,)</f>
        <v>0</v>
      </c>
      <c r="H232" s="179">
        <f ca="1">IF(ISNUMBER(MATCH(DATEVALUE($A232),'changes1_based on steps'!H$1:H$400,0)),H$2,)</f>
        <v>0</v>
      </c>
      <c r="I232" s="179">
        <f ca="1">IF(ISNUMBER(MATCH(DATEVALUE($A232),'changes1_based on steps'!I$1:I$400,0)),I$2,)</f>
        <v>0</v>
      </c>
      <c r="J232" s="179">
        <f ca="1">IF(ISNUMBER(MATCH(DATEVALUE($A232),'changes1_based on steps'!J$1:J$400,0)),J$2,)</f>
        <v>0</v>
      </c>
      <c r="K232" s="179">
        <f ca="1">IF(ISNUMBER(MATCH(DATEVALUE($A232),'changes1_based on steps'!K$1:K$400,0)),K$2,)</f>
        <v>0</v>
      </c>
      <c r="L232" s="179">
        <f ca="1">IF(ISNUMBER(MATCH(DATEVALUE($A232),'changes1_based on steps'!L$1:L$400,0)),L$2,)</f>
        <v>0</v>
      </c>
      <c r="M232" s="179">
        <f ca="1">IF(ISNUMBER(MATCH(DATEVALUE($A232),'changes1_based on steps'!M$1:M$400,0)),M$2,)</f>
        <v>0</v>
      </c>
      <c r="N232" s="179">
        <f ca="1">IF(ISNUMBER(MATCH(DATEVALUE($A232),'changes1_based on steps'!N$1:N$400,0)),N$2,)</f>
        <v>0</v>
      </c>
      <c r="O232" s="179">
        <f ca="1">IF(ISNUMBER(MATCH(DATEVALUE($A232),'changes1_based on steps'!O$1:O$400,0)),O$2,)</f>
        <v>0</v>
      </c>
      <c r="P232" s="179">
        <f ca="1">IF(ISNUMBER(MATCH(DATEVALUE($A232),'changes1_based on steps'!P$1:P$400,0)),P$2,)</f>
        <v>0</v>
      </c>
      <c r="Q232" s="179">
        <f ca="1">IF(ISNUMBER(MATCH(DATEVALUE($A232),'changes1_based on steps'!Q$1:Q$400,0)),Q$2,)</f>
        <v>0</v>
      </c>
      <c r="R232" s="179">
        <f ca="1">IF(ISNUMBER(MATCH(DATEVALUE($A232),'changes1_based on steps'!R$1:R$400,0)),R$2,)</f>
        <v>0</v>
      </c>
      <c r="S232" s="179">
        <f ca="1">IF(ISNUMBER(MATCH(DATEVALUE($A232),'changes1_based on steps'!S$1:S$400,0)),S$2,)</f>
        <v>0</v>
      </c>
      <c r="T232" s="179">
        <f ca="1">IF(ISNUMBER(MATCH(DATEVALUE($A232),'changes1_based on steps'!T$1:T$400,0)),T$2,)</f>
        <v>0</v>
      </c>
      <c r="U232" s="179">
        <f ca="1">IF(ISNUMBER(MATCH(DATEVALUE($A232),'changes1_based on steps'!U$1:U$400,0)),U$2,)</f>
        <v>0</v>
      </c>
      <c r="V232" s="179"/>
      <c r="W232" s="179"/>
      <c r="X232" s="179"/>
      <c r="Y232" s="179"/>
      <c r="Z232" s="179"/>
      <c r="AA232" s="179"/>
      <c r="AB232" s="179"/>
      <c r="AC232" s="179"/>
      <c r="AD232" s="179"/>
      <c r="AE232" s="179"/>
      <c r="AF232" s="179"/>
      <c r="AG232" s="179"/>
      <c r="AH232" s="179"/>
      <c r="AI232" s="179"/>
      <c r="AJ232" s="179"/>
      <c r="AK232" s="179"/>
      <c r="AL232" s="179"/>
      <c r="AM232" s="179"/>
      <c r="AN232" s="179"/>
      <c r="AO232" s="179"/>
      <c r="AP232" s="179"/>
      <c r="AQ232" s="179"/>
      <c r="AR232" s="179"/>
      <c r="AS232" s="179"/>
      <c r="AT232" s="179"/>
      <c r="AU232" s="179"/>
      <c r="AV232" s="179"/>
      <c r="AW232" s="179"/>
      <c r="AX232" s="179"/>
      <c r="AY232" s="179"/>
      <c r="AZ232" s="179"/>
      <c r="BA232" s="179"/>
      <c r="BB232" s="179"/>
      <c r="BC232" s="179"/>
      <c r="BD232" s="179"/>
      <c r="BE232" s="179"/>
      <c r="BF232" s="179"/>
      <c r="BG232" s="179"/>
      <c r="BH232" s="179"/>
      <c r="BI232" s="179"/>
      <c r="BJ232" s="179"/>
      <c r="BK232" s="179"/>
      <c r="BL232" s="179"/>
      <c r="BM232" s="179"/>
      <c r="BN232" s="179"/>
      <c r="BO232" s="179"/>
      <c r="BP232" s="179"/>
      <c r="BQ232" s="179"/>
      <c r="BR232" s="179"/>
      <c r="BS232" s="179"/>
      <c r="BT232" s="179"/>
      <c r="BU232" s="179"/>
      <c r="BV232" s="179"/>
      <c r="BW232" s="179"/>
      <c r="BX232" s="179"/>
      <c r="BY232" s="179"/>
      <c r="BZ232" s="179"/>
      <c r="CA232" s="179"/>
      <c r="CB232" s="179"/>
      <c r="CC232" s="179"/>
      <c r="CD232" s="179"/>
      <c r="CE232" s="179"/>
      <c r="CF232" s="179"/>
      <c r="CG232" s="179"/>
      <c r="CH232" s="179"/>
      <c r="CI232" s="179"/>
      <c r="CJ232" s="179"/>
      <c r="CK232" s="179"/>
      <c r="CL232" s="179"/>
      <c r="CM232" s="179"/>
      <c r="CN232" s="179"/>
      <c r="CO232" s="179"/>
      <c r="CP232" s="179"/>
      <c r="CQ232" s="179"/>
      <c r="CR232" s="179"/>
      <c r="CS232" s="179"/>
      <c r="CT232" s="179"/>
      <c r="CU232" s="179"/>
      <c r="CV232" s="179"/>
      <c r="CW232" s="179"/>
    </row>
    <row r="233" spans="1:101" x14ac:dyDescent="0.2">
      <c r="A233" s="32" t="str">
        <f t="shared" ca="1" si="3"/>
        <v>2025-11-21</v>
      </c>
      <c r="B233" s="179">
        <f ca="1">IF(ISNUMBER(MATCH(DATEVALUE($A233),'changes1_based on steps'!B$1:B$400,0)),B$2,)</f>
        <v>0</v>
      </c>
      <c r="C233" s="179">
        <f ca="1">IF(ISNUMBER(MATCH(DATEVALUE($A233),'changes1_based on steps'!C$1:C$400,0)),C$2,)</f>
        <v>0</v>
      </c>
      <c r="D233" s="179">
        <f ca="1">IF(ISNUMBER(MATCH(DATEVALUE($A233),'changes1_based on steps'!D$1:D$400,0)),D$2,)</f>
        <v>0</v>
      </c>
      <c r="E233" s="179">
        <f ca="1">IF(ISNUMBER(MATCH(DATEVALUE($A233),'changes1_based on steps'!E$1:E$400,0)),E$2,)</f>
        <v>0</v>
      </c>
      <c r="F233" s="179">
        <f ca="1">IF(ISNUMBER(MATCH(DATEVALUE($A233),'changes1_based on steps'!F$1:F$400,0)),F$2,)</f>
        <v>0</v>
      </c>
      <c r="G233" s="179">
        <f ca="1">IF(ISNUMBER(MATCH(DATEVALUE($A233),'changes1_based on steps'!G$1:G$400,0)),G$2,)</f>
        <v>0</v>
      </c>
      <c r="H233" s="179">
        <f ca="1">IF(ISNUMBER(MATCH(DATEVALUE($A233),'changes1_based on steps'!H$1:H$400,0)),H$2,)</f>
        <v>0</v>
      </c>
      <c r="I233" s="179">
        <f ca="1">IF(ISNUMBER(MATCH(DATEVALUE($A233),'changes1_based on steps'!I$1:I$400,0)),I$2,)</f>
        <v>0</v>
      </c>
      <c r="J233" s="179">
        <f ca="1">IF(ISNUMBER(MATCH(DATEVALUE($A233),'changes1_based on steps'!J$1:J$400,0)),J$2,)</f>
        <v>0</v>
      </c>
      <c r="K233" s="179">
        <f ca="1">IF(ISNUMBER(MATCH(DATEVALUE($A233),'changes1_based on steps'!K$1:K$400,0)),K$2,)</f>
        <v>0</v>
      </c>
      <c r="L233" s="179">
        <f ca="1">IF(ISNUMBER(MATCH(DATEVALUE($A233),'changes1_based on steps'!L$1:L$400,0)),L$2,)</f>
        <v>0</v>
      </c>
      <c r="M233" s="179">
        <f ca="1">IF(ISNUMBER(MATCH(DATEVALUE($A233),'changes1_based on steps'!M$1:M$400,0)),M$2,)</f>
        <v>0</v>
      </c>
      <c r="N233" s="179">
        <f ca="1">IF(ISNUMBER(MATCH(DATEVALUE($A233),'changes1_based on steps'!N$1:N$400,0)),N$2,)</f>
        <v>0</v>
      </c>
      <c r="O233" s="179">
        <f ca="1">IF(ISNUMBER(MATCH(DATEVALUE($A233),'changes1_based on steps'!O$1:O$400,0)),O$2,)</f>
        <v>0</v>
      </c>
      <c r="P233" s="179">
        <f ca="1">IF(ISNUMBER(MATCH(DATEVALUE($A233),'changes1_based on steps'!P$1:P$400,0)),P$2,)</f>
        <v>0</v>
      </c>
      <c r="Q233" s="179">
        <f ca="1">IF(ISNUMBER(MATCH(DATEVALUE($A233),'changes1_based on steps'!Q$1:Q$400,0)),Q$2,)</f>
        <v>0</v>
      </c>
      <c r="R233" s="179">
        <f ca="1">IF(ISNUMBER(MATCH(DATEVALUE($A233),'changes1_based on steps'!R$1:R$400,0)),R$2,)</f>
        <v>0</v>
      </c>
      <c r="S233" s="179">
        <f ca="1">IF(ISNUMBER(MATCH(DATEVALUE($A233),'changes1_based on steps'!S$1:S$400,0)),S$2,)</f>
        <v>0</v>
      </c>
      <c r="T233" s="179">
        <f ca="1">IF(ISNUMBER(MATCH(DATEVALUE($A233),'changes1_based on steps'!T$1:T$400,0)),T$2,)</f>
        <v>0</v>
      </c>
      <c r="U233" s="179">
        <f ca="1">IF(ISNUMBER(MATCH(DATEVALUE($A233),'changes1_based on steps'!U$1:U$400,0)),U$2,)</f>
        <v>0</v>
      </c>
      <c r="V233" s="179"/>
      <c r="W233" s="179"/>
      <c r="X233" s="179"/>
      <c r="Y233" s="179"/>
      <c r="Z233" s="179"/>
      <c r="AA233" s="179"/>
      <c r="AB233" s="179"/>
      <c r="AC233" s="179"/>
      <c r="AD233" s="179"/>
      <c r="AE233" s="179"/>
      <c r="AF233" s="179"/>
      <c r="AG233" s="179"/>
      <c r="AH233" s="179"/>
      <c r="AI233" s="179"/>
      <c r="AJ233" s="179"/>
      <c r="AK233" s="179"/>
      <c r="AL233" s="179"/>
      <c r="AM233" s="179"/>
      <c r="AN233" s="179"/>
      <c r="AO233" s="179"/>
      <c r="AP233" s="179"/>
      <c r="AQ233" s="179"/>
      <c r="AR233" s="179"/>
      <c r="AS233" s="179"/>
      <c r="AT233" s="179"/>
      <c r="AU233" s="179"/>
      <c r="AV233" s="179"/>
      <c r="AW233" s="179"/>
      <c r="AX233" s="179"/>
      <c r="AY233" s="179"/>
      <c r="AZ233" s="179"/>
      <c r="BA233" s="179"/>
      <c r="BB233" s="179"/>
      <c r="BC233" s="179"/>
      <c r="BD233" s="179"/>
      <c r="BE233" s="179"/>
      <c r="BF233" s="179"/>
      <c r="BG233" s="179"/>
      <c r="BH233" s="179"/>
      <c r="BI233" s="179"/>
      <c r="BJ233" s="179"/>
      <c r="BK233" s="179"/>
      <c r="BL233" s="179"/>
      <c r="BM233" s="179"/>
      <c r="BN233" s="179"/>
      <c r="BO233" s="179"/>
      <c r="BP233" s="179"/>
      <c r="BQ233" s="179"/>
      <c r="BR233" s="179"/>
      <c r="BS233" s="179"/>
      <c r="BT233" s="179"/>
      <c r="BU233" s="179"/>
      <c r="BV233" s="179"/>
      <c r="BW233" s="179"/>
      <c r="BX233" s="179"/>
      <c r="BY233" s="179"/>
      <c r="BZ233" s="179"/>
      <c r="CA233" s="179"/>
      <c r="CB233" s="179"/>
      <c r="CC233" s="179"/>
      <c r="CD233" s="179"/>
      <c r="CE233" s="179"/>
      <c r="CF233" s="179"/>
      <c r="CG233" s="179"/>
      <c r="CH233" s="179"/>
      <c r="CI233" s="179"/>
      <c r="CJ233" s="179"/>
      <c r="CK233" s="179"/>
      <c r="CL233" s="179"/>
      <c r="CM233" s="179"/>
      <c r="CN233" s="179"/>
      <c r="CO233" s="179"/>
      <c r="CP233" s="179"/>
      <c r="CQ233" s="179"/>
      <c r="CR233" s="179"/>
      <c r="CS233" s="179"/>
      <c r="CT233" s="179"/>
      <c r="CU233" s="179"/>
      <c r="CV233" s="179"/>
      <c r="CW233" s="179"/>
    </row>
    <row r="234" spans="1:101" x14ac:dyDescent="0.2">
      <c r="A234" s="32" t="str">
        <f t="shared" ca="1" si="3"/>
        <v>2025-11-22</v>
      </c>
      <c r="B234" s="179">
        <f ca="1">IF(ISNUMBER(MATCH(DATEVALUE($A234),'changes1_based on steps'!B$1:B$400,0)),B$2,)</f>
        <v>0</v>
      </c>
      <c r="C234" s="179">
        <f ca="1">IF(ISNUMBER(MATCH(DATEVALUE($A234),'changes1_based on steps'!C$1:C$400,0)),C$2,)</f>
        <v>0</v>
      </c>
      <c r="D234" s="179">
        <f ca="1">IF(ISNUMBER(MATCH(DATEVALUE($A234),'changes1_based on steps'!D$1:D$400,0)),D$2,)</f>
        <v>0</v>
      </c>
      <c r="E234" s="179">
        <f ca="1">IF(ISNUMBER(MATCH(DATEVALUE($A234),'changes1_based on steps'!E$1:E$400,0)),E$2,)</f>
        <v>0</v>
      </c>
      <c r="F234" s="179">
        <f ca="1">IF(ISNUMBER(MATCH(DATEVALUE($A234),'changes1_based on steps'!F$1:F$400,0)),F$2,)</f>
        <v>0</v>
      </c>
      <c r="G234" s="179">
        <f ca="1">IF(ISNUMBER(MATCH(DATEVALUE($A234),'changes1_based on steps'!G$1:G$400,0)),G$2,)</f>
        <v>0</v>
      </c>
      <c r="H234" s="179">
        <f ca="1">IF(ISNUMBER(MATCH(DATEVALUE($A234),'changes1_based on steps'!H$1:H$400,0)),H$2,)</f>
        <v>0</v>
      </c>
      <c r="I234" s="179">
        <f ca="1">IF(ISNUMBER(MATCH(DATEVALUE($A234),'changes1_based on steps'!I$1:I$400,0)),I$2,)</f>
        <v>0</v>
      </c>
      <c r="J234" s="179">
        <f ca="1">IF(ISNUMBER(MATCH(DATEVALUE($A234),'changes1_based on steps'!J$1:J$400,0)),J$2,)</f>
        <v>0</v>
      </c>
      <c r="K234" s="179">
        <f ca="1">IF(ISNUMBER(MATCH(DATEVALUE($A234),'changes1_based on steps'!K$1:K$400,0)),K$2,)</f>
        <v>0</v>
      </c>
      <c r="L234" s="179">
        <f ca="1">IF(ISNUMBER(MATCH(DATEVALUE($A234),'changes1_based on steps'!L$1:L$400,0)),L$2,)</f>
        <v>0</v>
      </c>
      <c r="M234" s="179">
        <f ca="1">IF(ISNUMBER(MATCH(DATEVALUE($A234),'changes1_based on steps'!M$1:M$400,0)),M$2,)</f>
        <v>0</v>
      </c>
      <c r="N234" s="179">
        <f ca="1">IF(ISNUMBER(MATCH(DATEVALUE($A234),'changes1_based on steps'!N$1:N$400,0)),N$2,)</f>
        <v>0</v>
      </c>
      <c r="O234" s="179">
        <f ca="1">IF(ISNUMBER(MATCH(DATEVALUE($A234),'changes1_based on steps'!O$1:O$400,0)),O$2,)</f>
        <v>0</v>
      </c>
      <c r="P234" s="179">
        <f ca="1">IF(ISNUMBER(MATCH(DATEVALUE($A234),'changes1_based on steps'!P$1:P$400,0)),P$2,)</f>
        <v>0</v>
      </c>
      <c r="Q234" s="179">
        <f ca="1">IF(ISNUMBER(MATCH(DATEVALUE($A234),'changes1_based on steps'!Q$1:Q$400,0)),Q$2,)</f>
        <v>0</v>
      </c>
      <c r="R234" s="179">
        <f ca="1">IF(ISNUMBER(MATCH(DATEVALUE($A234),'changes1_based on steps'!R$1:R$400,0)),R$2,)</f>
        <v>0</v>
      </c>
      <c r="S234" s="179">
        <f ca="1">IF(ISNUMBER(MATCH(DATEVALUE($A234),'changes1_based on steps'!S$1:S$400,0)),S$2,)</f>
        <v>0</v>
      </c>
      <c r="T234" s="179">
        <f ca="1">IF(ISNUMBER(MATCH(DATEVALUE($A234),'changes1_based on steps'!T$1:T$400,0)),T$2,)</f>
        <v>0</v>
      </c>
      <c r="U234" s="179">
        <f ca="1">IF(ISNUMBER(MATCH(DATEVALUE($A234),'changes1_based on steps'!U$1:U$400,0)),U$2,)</f>
        <v>0</v>
      </c>
      <c r="V234" s="179"/>
      <c r="W234" s="179"/>
      <c r="X234" s="179"/>
      <c r="Y234" s="179"/>
      <c r="Z234" s="179"/>
      <c r="AA234" s="179"/>
      <c r="AB234" s="179"/>
      <c r="AC234" s="179"/>
      <c r="AD234" s="179"/>
      <c r="AE234" s="179"/>
      <c r="AF234" s="179"/>
      <c r="AG234" s="179"/>
      <c r="AH234" s="179"/>
      <c r="AI234" s="179"/>
      <c r="AJ234" s="179"/>
      <c r="AK234" s="179"/>
      <c r="AL234" s="179"/>
      <c r="AM234" s="179"/>
      <c r="AN234" s="179"/>
      <c r="AO234" s="179"/>
      <c r="AP234" s="179"/>
      <c r="AQ234" s="179"/>
      <c r="AR234" s="179"/>
      <c r="AS234" s="179"/>
      <c r="AT234" s="179"/>
      <c r="AU234" s="179"/>
      <c r="AV234" s="179"/>
      <c r="AW234" s="179"/>
      <c r="AX234" s="179"/>
      <c r="AY234" s="179"/>
      <c r="AZ234" s="179"/>
      <c r="BA234" s="179"/>
      <c r="BB234" s="179"/>
      <c r="BC234" s="179"/>
      <c r="BD234" s="179"/>
      <c r="BE234" s="179"/>
      <c r="BF234" s="179"/>
      <c r="BG234" s="179"/>
      <c r="BH234" s="179"/>
      <c r="BI234" s="179"/>
      <c r="BJ234" s="179"/>
      <c r="BK234" s="179"/>
      <c r="BL234" s="179"/>
      <c r="BM234" s="179"/>
      <c r="BN234" s="179"/>
      <c r="BO234" s="179"/>
      <c r="BP234" s="179"/>
      <c r="BQ234" s="179"/>
      <c r="BR234" s="179"/>
      <c r="BS234" s="179"/>
      <c r="BT234" s="179"/>
      <c r="BU234" s="179"/>
      <c r="BV234" s="179"/>
      <c r="BW234" s="179"/>
      <c r="BX234" s="179"/>
      <c r="BY234" s="179"/>
      <c r="BZ234" s="179"/>
      <c r="CA234" s="179"/>
      <c r="CB234" s="179"/>
      <c r="CC234" s="179"/>
      <c r="CD234" s="179"/>
      <c r="CE234" s="179"/>
      <c r="CF234" s="179"/>
      <c r="CG234" s="179"/>
      <c r="CH234" s="179"/>
      <c r="CI234" s="179"/>
      <c r="CJ234" s="179"/>
      <c r="CK234" s="179"/>
      <c r="CL234" s="179"/>
      <c r="CM234" s="179"/>
      <c r="CN234" s="179"/>
      <c r="CO234" s="179"/>
      <c r="CP234" s="179"/>
      <c r="CQ234" s="179"/>
      <c r="CR234" s="179"/>
      <c r="CS234" s="179"/>
      <c r="CT234" s="179"/>
      <c r="CU234" s="179"/>
      <c r="CV234" s="179"/>
      <c r="CW234" s="179"/>
    </row>
    <row r="235" spans="1:101" x14ac:dyDescent="0.2">
      <c r="A235" s="32" t="str">
        <f t="shared" ca="1" si="3"/>
        <v>2025-11-23</v>
      </c>
      <c r="B235" s="179">
        <f ca="1">IF(ISNUMBER(MATCH(DATEVALUE($A235),'changes1_based on steps'!B$1:B$400,0)),B$2,)</f>
        <v>0</v>
      </c>
      <c r="C235" s="179">
        <f ca="1">IF(ISNUMBER(MATCH(DATEVALUE($A235),'changes1_based on steps'!C$1:C$400,0)),C$2,)</f>
        <v>0</v>
      </c>
      <c r="D235" s="179">
        <f ca="1">IF(ISNUMBER(MATCH(DATEVALUE($A235),'changes1_based on steps'!D$1:D$400,0)),D$2,)</f>
        <v>0</v>
      </c>
      <c r="E235" s="179">
        <f ca="1">IF(ISNUMBER(MATCH(DATEVALUE($A235),'changes1_based on steps'!E$1:E$400,0)),E$2,)</f>
        <v>0</v>
      </c>
      <c r="F235" s="179">
        <f ca="1">IF(ISNUMBER(MATCH(DATEVALUE($A235),'changes1_based on steps'!F$1:F$400,0)),F$2,)</f>
        <v>0</v>
      </c>
      <c r="G235" s="179">
        <f ca="1">IF(ISNUMBER(MATCH(DATEVALUE($A235),'changes1_based on steps'!G$1:G$400,0)),G$2,)</f>
        <v>0</v>
      </c>
      <c r="H235" s="179">
        <f ca="1">IF(ISNUMBER(MATCH(DATEVALUE($A235),'changes1_based on steps'!H$1:H$400,0)),H$2,)</f>
        <v>0</v>
      </c>
      <c r="I235" s="179">
        <f ca="1">IF(ISNUMBER(MATCH(DATEVALUE($A235),'changes1_based on steps'!I$1:I$400,0)),I$2,)</f>
        <v>0</v>
      </c>
      <c r="J235" s="179">
        <f ca="1">IF(ISNUMBER(MATCH(DATEVALUE($A235),'changes1_based on steps'!J$1:J$400,0)),J$2,)</f>
        <v>0</v>
      </c>
      <c r="K235" s="179">
        <f ca="1">IF(ISNUMBER(MATCH(DATEVALUE($A235),'changes1_based on steps'!K$1:K$400,0)),K$2,)</f>
        <v>0</v>
      </c>
      <c r="L235" s="179">
        <f ca="1">IF(ISNUMBER(MATCH(DATEVALUE($A235),'changes1_based on steps'!L$1:L$400,0)),L$2,)</f>
        <v>0</v>
      </c>
      <c r="M235" s="179">
        <f ca="1">IF(ISNUMBER(MATCH(DATEVALUE($A235),'changes1_based on steps'!M$1:M$400,0)),M$2,)</f>
        <v>0</v>
      </c>
      <c r="N235" s="179">
        <f ca="1">IF(ISNUMBER(MATCH(DATEVALUE($A235),'changes1_based on steps'!N$1:N$400,0)),N$2,)</f>
        <v>0</v>
      </c>
      <c r="O235" s="179">
        <f ca="1">IF(ISNUMBER(MATCH(DATEVALUE($A235),'changes1_based on steps'!O$1:O$400,0)),O$2,)</f>
        <v>0</v>
      </c>
      <c r="P235" s="179">
        <f ca="1">IF(ISNUMBER(MATCH(DATEVALUE($A235),'changes1_based on steps'!P$1:P$400,0)),P$2,)</f>
        <v>0</v>
      </c>
      <c r="Q235" s="179">
        <f ca="1">IF(ISNUMBER(MATCH(DATEVALUE($A235),'changes1_based on steps'!Q$1:Q$400,0)),Q$2,)</f>
        <v>0</v>
      </c>
      <c r="R235" s="179">
        <f ca="1">IF(ISNUMBER(MATCH(DATEVALUE($A235),'changes1_based on steps'!R$1:R$400,0)),R$2,)</f>
        <v>0</v>
      </c>
      <c r="S235" s="179">
        <f ca="1">IF(ISNUMBER(MATCH(DATEVALUE($A235),'changes1_based on steps'!S$1:S$400,0)),S$2,)</f>
        <v>0</v>
      </c>
      <c r="T235" s="179">
        <f ca="1">IF(ISNUMBER(MATCH(DATEVALUE($A235),'changes1_based on steps'!T$1:T$400,0)),T$2,)</f>
        <v>0</v>
      </c>
      <c r="U235" s="179">
        <f ca="1">IF(ISNUMBER(MATCH(DATEVALUE($A235),'changes1_based on steps'!U$1:U$400,0)),U$2,)</f>
        <v>0</v>
      </c>
      <c r="V235" s="179"/>
      <c r="W235" s="179"/>
      <c r="X235" s="179"/>
      <c r="Y235" s="179"/>
      <c r="Z235" s="179"/>
      <c r="AA235" s="179"/>
      <c r="AB235" s="179"/>
      <c r="AC235" s="179"/>
      <c r="AD235" s="179"/>
      <c r="AE235" s="179"/>
      <c r="AF235" s="179"/>
      <c r="AG235" s="179"/>
      <c r="AH235" s="179"/>
      <c r="AI235" s="179"/>
      <c r="AJ235" s="179"/>
      <c r="AK235" s="179"/>
      <c r="AL235" s="179"/>
      <c r="AM235" s="179"/>
      <c r="AN235" s="179"/>
      <c r="AO235" s="179"/>
      <c r="AP235" s="179"/>
      <c r="AQ235" s="179"/>
      <c r="AR235" s="179"/>
      <c r="AS235" s="179"/>
      <c r="AT235" s="179"/>
      <c r="AU235" s="179"/>
      <c r="AV235" s="179"/>
      <c r="AW235" s="179"/>
      <c r="AX235" s="179"/>
      <c r="AY235" s="179"/>
      <c r="AZ235" s="179"/>
      <c r="BA235" s="179"/>
      <c r="BB235" s="179"/>
      <c r="BC235" s="179"/>
      <c r="BD235" s="179"/>
      <c r="BE235" s="179"/>
      <c r="BF235" s="179"/>
      <c r="BG235" s="179"/>
      <c r="BH235" s="179"/>
      <c r="BI235" s="179"/>
      <c r="BJ235" s="179"/>
      <c r="BK235" s="179"/>
      <c r="BL235" s="179"/>
      <c r="BM235" s="179"/>
      <c r="BN235" s="179"/>
      <c r="BO235" s="179"/>
      <c r="BP235" s="179"/>
      <c r="BQ235" s="179"/>
      <c r="BR235" s="179"/>
      <c r="BS235" s="179"/>
      <c r="BT235" s="179"/>
      <c r="BU235" s="179"/>
      <c r="BV235" s="179"/>
      <c r="BW235" s="179"/>
      <c r="BX235" s="179"/>
      <c r="BY235" s="179"/>
      <c r="BZ235" s="179"/>
      <c r="CA235" s="179"/>
      <c r="CB235" s="179"/>
      <c r="CC235" s="179"/>
      <c r="CD235" s="179"/>
      <c r="CE235" s="179"/>
      <c r="CF235" s="179"/>
      <c r="CG235" s="179"/>
      <c r="CH235" s="179"/>
      <c r="CI235" s="179"/>
      <c r="CJ235" s="179"/>
      <c r="CK235" s="179"/>
      <c r="CL235" s="179"/>
      <c r="CM235" s="179"/>
      <c r="CN235" s="179"/>
      <c r="CO235" s="179"/>
      <c r="CP235" s="179"/>
      <c r="CQ235" s="179"/>
      <c r="CR235" s="179"/>
      <c r="CS235" s="179"/>
      <c r="CT235" s="179"/>
      <c r="CU235" s="179"/>
      <c r="CV235" s="179"/>
      <c r="CW235" s="179"/>
    </row>
    <row r="236" spans="1:101" x14ac:dyDescent="0.2">
      <c r="A236" s="32" t="str">
        <f t="shared" ca="1" si="3"/>
        <v>2025-11-24</v>
      </c>
      <c r="B236" s="179">
        <f ca="1">IF(ISNUMBER(MATCH(DATEVALUE($A236),'changes1_based on steps'!B$1:B$400,0)),B$2,)</f>
        <v>0</v>
      </c>
      <c r="C236" s="179">
        <f ca="1">IF(ISNUMBER(MATCH(DATEVALUE($A236),'changes1_based on steps'!C$1:C$400,0)),C$2,)</f>
        <v>0</v>
      </c>
      <c r="D236" s="179">
        <f ca="1">IF(ISNUMBER(MATCH(DATEVALUE($A236),'changes1_based on steps'!D$1:D$400,0)),D$2,)</f>
        <v>0</v>
      </c>
      <c r="E236" s="179">
        <f ca="1">IF(ISNUMBER(MATCH(DATEVALUE($A236),'changes1_based on steps'!E$1:E$400,0)),E$2,)</f>
        <v>0</v>
      </c>
      <c r="F236" s="179">
        <f ca="1">IF(ISNUMBER(MATCH(DATEVALUE($A236),'changes1_based on steps'!F$1:F$400,0)),F$2,)</f>
        <v>0</v>
      </c>
      <c r="G236" s="179">
        <f ca="1">IF(ISNUMBER(MATCH(DATEVALUE($A236),'changes1_based on steps'!G$1:G$400,0)),G$2,)</f>
        <v>0</v>
      </c>
      <c r="H236" s="179">
        <f ca="1">IF(ISNUMBER(MATCH(DATEVALUE($A236),'changes1_based on steps'!H$1:H$400,0)),H$2,)</f>
        <v>0</v>
      </c>
      <c r="I236" s="179">
        <f ca="1">IF(ISNUMBER(MATCH(DATEVALUE($A236),'changes1_based on steps'!I$1:I$400,0)),I$2,)</f>
        <v>0</v>
      </c>
      <c r="J236" s="179">
        <f ca="1">IF(ISNUMBER(MATCH(DATEVALUE($A236),'changes1_based on steps'!J$1:J$400,0)),J$2,)</f>
        <v>0</v>
      </c>
      <c r="K236" s="179">
        <f ca="1">IF(ISNUMBER(MATCH(DATEVALUE($A236),'changes1_based on steps'!K$1:K$400,0)),K$2,)</f>
        <v>0</v>
      </c>
      <c r="L236" s="179">
        <f ca="1">IF(ISNUMBER(MATCH(DATEVALUE($A236),'changes1_based on steps'!L$1:L$400,0)),L$2,)</f>
        <v>0</v>
      </c>
      <c r="M236" s="179">
        <f ca="1">IF(ISNUMBER(MATCH(DATEVALUE($A236),'changes1_based on steps'!M$1:M$400,0)),M$2,)</f>
        <v>0</v>
      </c>
      <c r="N236" s="179">
        <f ca="1">IF(ISNUMBER(MATCH(DATEVALUE($A236),'changes1_based on steps'!N$1:N$400,0)),N$2,)</f>
        <v>0</v>
      </c>
      <c r="O236" s="179">
        <f ca="1">IF(ISNUMBER(MATCH(DATEVALUE($A236),'changes1_based on steps'!O$1:O$400,0)),O$2,)</f>
        <v>0</v>
      </c>
      <c r="P236" s="179">
        <f ca="1">IF(ISNUMBER(MATCH(DATEVALUE($A236),'changes1_based on steps'!P$1:P$400,0)),P$2,)</f>
        <v>0</v>
      </c>
      <c r="Q236" s="179">
        <f ca="1">IF(ISNUMBER(MATCH(DATEVALUE($A236),'changes1_based on steps'!Q$1:Q$400,0)),Q$2,)</f>
        <v>0</v>
      </c>
      <c r="R236" s="179">
        <f ca="1">IF(ISNUMBER(MATCH(DATEVALUE($A236),'changes1_based on steps'!R$1:R$400,0)),R$2,)</f>
        <v>0</v>
      </c>
      <c r="S236" s="179">
        <f ca="1">IF(ISNUMBER(MATCH(DATEVALUE($A236),'changes1_based on steps'!S$1:S$400,0)),S$2,)</f>
        <v>0</v>
      </c>
      <c r="T236" s="179">
        <f ca="1">IF(ISNUMBER(MATCH(DATEVALUE($A236),'changes1_based on steps'!T$1:T$400,0)),T$2,)</f>
        <v>0</v>
      </c>
      <c r="U236" s="179">
        <f ca="1">IF(ISNUMBER(MATCH(DATEVALUE($A236),'changes1_based on steps'!U$1:U$400,0)),U$2,)</f>
        <v>0</v>
      </c>
      <c r="V236" s="179"/>
      <c r="W236" s="179"/>
      <c r="X236" s="179"/>
      <c r="Y236" s="179"/>
      <c r="Z236" s="179"/>
      <c r="AA236" s="179"/>
      <c r="AB236" s="179"/>
      <c r="AC236" s="179"/>
      <c r="AD236" s="179"/>
      <c r="AE236" s="179"/>
      <c r="AF236" s="179"/>
      <c r="AG236" s="179"/>
      <c r="AH236" s="179"/>
      <c r="AI236" s="179"/>
      <c r="AJ236" s="179"/>
      <c r="AK236" s="179"/>
      <c r="AL236" s="179"/>
      <c r="AM236" s="179"/>
      <c r="AN236" s="179"/>
      <c r="AO236" s="179"/>
      <c r="AP236" s="179"/>
      <c r="AQ236" s="179"/>
      <c r="AR236" s="179"/>
      <c r="AS236" s="179"/>
      <c r="AT236" s="179"/>
      <c r="AU236" s="179"/>
      <c r="AV236" s="179"/>
      <c r="AW236" s="179"/>
      <c r="AX236" s="179"/>
      <c r="AY236" s="179"/>
      <c r="AZ236" s="179"/>
      <c r="BA236" s="179"/>
      <c r="BB236" s="179"/>
      <c r="BC236" s="179"/>
      <c r="BD236" s="179"/>
      <c r="BE236" s="179"/>
      <c r="BF236" s="179"/>
      <c r="BG236" s="179"/>
      <c r="BH236" s="179"/>
      <c r="BI236" s="179"/>
      <c r="BJ236" s="179"/>
      <c r="BK236" s="179"/>
      <c r="BL236" s="179"/>
      <c r="BM236" s="179"/>
      <c r="BN236" s="179"/>
      <c r="BO236" s="179"/>
      <c r="BP236" s="179"/>
      <c r="BQ236" s="179"/>
      <c r="BR236" s="179"/>
      <c r="BS236" s="179"/>
      <c r="BT236" s="179"/>
      <c r="BU236" s="179"/>
      <c r="BV236" s="179"/>
      <c r="BW236" s="179"/>
      <c r="BX236" s="179"/>
      <c r="BY236" s="179"/>
      <c r="BZ236" s="179"/>
      <c r="CA236" s="179"/>
      <c r="CB236" s="179"/>
      <c r="CC236" s="179"/>
      <c r="CD236" s="179"/>
      <c r="CE236" s="179"/>
      <c r="CF236" s="179"/>
      <c r="CG236" s="179"/>
      <c r="CH236" s="179"/>
      <c r="CI236" s="179"/>
      <c r="CJ236" s="179"/>
      <c r="CK236" s="179"/>
      <c r="CL236" s="179"/>
      <c r="CM236" s="179"/>
      <c r="CN236" s="179"/>
      <c r="CO236" s="179"/>
      <c r="CP236" s="179"/>
      <c r="CQ236" s="179"/>
      <c r="CR236" s="179"/>
      <c r="CS236" s="179"/>
      <c r="CT236" s="179"/>
      <c r="CU236" s="179"/>
      <c r="CV236" s="179"/>
      <c r="CW236" s="179"/>
    </row>
    <row r="237" spans="1:101" x14ac:dyDescent="0.2">
      <c r="A237" s="32" t="str">
        <f t="shared" ca="1" si="3"/>
        <v>2025-11-25</v>
      </c>
      <c r="B237" s="179">
        <f ca="1">IF(ISNUMBER(MATCH(DATEVALUE($A237),'changes1_based on steps'!B$1:B$400,0)),B$2,)</f>
        <v>0</v>
      </c>
      <c r="C237" s="179">
        <f ca="1">IF(ISNUMBER(MATCH(DATEVALUE($A237),'changes1_based on steps'!C$1:C$400,0)),C$2,)</f>
        <v>0</v>
      </c>
      <c r="D237" s="179">
        <f ca="1">IF(ISNUMBER(MATCH(DATEVALUE($A237),'changes1_based on steps'!D$1:D$400,0)),D$2,)</f>
        <v>0</v>
      </c>
      <c r="E237" s="179">
        <f ca="1">IF(ISNUMBER(MATCH(DATEVALUE($A237),'changes1_based on steps'!E$1:E$400,0)),E$2,)</f>
        <v>0</v>
      </c>
      <c r="F237" s="179">
        <f ca="1">IF(ISNUMBER(MATCH(DATEVALUE($A237),'changes1_based on steps'!F$1:F$400,0)),F$2,)</f>
        <v>0</v>
      </c>
      <c r="G237" s="179">
        <f ca="1">IF(ISNUMBER(MATCH(DATEVALUE($A237),'changes1_based on steps'!G$1:G$400,0)),G$2,)</f>
        <v>0</v>
      </c>
      <c r="H237" s="179">
        <f ca="1">IF(ISNUMBER(MATCH(DATEVALUE($A237),'changes1_based on steps'!H$1:H$400,0)),H$2,)</f>
        <v>0</v>
      </c>
      <c r="I237" s="179">
        <f ca="1">IF(ISNUMBER(MATCH(DATEVALUE($A237),'changes1_based on steps'!I$1:I$400,0)),I$2,)</f>
        <v>0</v>
      </c>
      <c r="J237" s="179">
        <f ca="1">IF(ISNUMBER(MATCH(DATEVALUE($A237),'changes1_based on steps'!J$1:J$400,0)),J$2,)</f>
        <v>0</v>
      </c>
      <c r="K237" s="179">
        <f ca="1">IF(ISNUMBER(MATCH(DATEVALUE($A237),'changes1_based on steps'!K$1:K$400,0)),K$2,)</f>
        <v>0</v>
      </c>
      <c r="L237" s="179">
        <f ca="1">IF(ISNUMBER(MATCH(DATEVALUE($A237),'changes1_based on steps'!L$1:L$400,0)),L$2,)</f>
        <v>0</v>
      </c>
      <c r="M237" s="179">
        <f ca="1">IF(ISNUMBER(MATCH(DATEVALUE($A237),'changes1_based on steps'!M$1:M$400,0)),M$2,)</f>
        <v>0</v>
      </c>
      <c r="N237" s="179">
        <f ca="1">IF(ISNUMBER(MATCH(DATEVALUE($A237),'changes1_based on steps'!N$1:N$400,0)),N$2,)</f>
        <v>0</v>
      </c>
      <c r="O237" s="179">
        <f ca="1">IF(ISNUMBER(MATCH(DATEVALUE($A237),'changes1_based on steps'!O$1:O$400,0)),O$2,)</f>
        <v>0</v>
      </c>
      <c r="P237" s="179">
        <f ca="1">IF(ISNUMBER(MATCH(DATEVALUE($A237),'changes1_based on steps'!P$1:P$400,0)),P$2,)</f>
        <v>0</v>
      </c>
      <c r="Q237" s="179">
        <f ca="1">IF(ISNUMBER(MATCH(DATEVALUE($A237),'changes1_based on steps'!Q$1:Q$400,0)),Q$2,)</f>
        <v>0</v>
      </c>
      <c r="R237" s="179">
        <f ca="1">IF(ISNUMBER(MATCH(DATEVALUE($A237),'changes1_based on steps'!R$1:R$400,0)),R$2,)</f>
        <v>0</v>
      </c>
      <c r="S237" s="179">
        <f ca="1">IF(ISNUMBER(MATCH(DATEVALUE($A237),'changes1_based on steps'!S$1:S$400,0)),S$2,)</f>
        <v>0</v>
      </c>
      <c r="T237" s="179">
        <f ca="1">IF(ISNUMBER(MATCH(DATEVALUE($A237),'changes1_based on steps'!T$1:T$400,0)),T$2,)</f>
        <v>0</v>
      </c>
      <c r="U237" s="179">
        <f ca="1">IF(ISNUMBER(MATCH(DATEVALUE($A237),'changes1_based on steps'!U$1:U$400,0)),U$2,)</f>
        <v>0</v>
      </c>
      <c r="V237" s="179"/>
      <c r="W237" s="179"/>
      <c r="X237" s="179"/>
      <c r="Y237" s="179"/>
      <c r="Z237" s="179"/>
      <c r="AA237" s="179"/>
      <c r="AB237" s="179"/>
      <c r="AC237" s="179"/>
      <c r="AD237" s="179"/>
      <c r="AE237" s="179"/>
      <c r="AF237" s="179"/>
      <c r="AG237" s="179"/>
      <c r="AH237" s="179"/>
      <c r="AI237" s="179"/>
      <c r="AJ237" s="179"/>
      <c r="AK237" s="179"/>
      <c r="AL237" s="179"/>
      <c r="AM237" s="179"/>
      <c r="AN237" s="179"/>
      <c r="AO237" s="179"/>
      <c r="AP237" s="179"/>
      <c r="AQ237" s="179"/>
      <c r="AR237" s="179"/>
      <c r="AS237" s="179"/>
      <c r="AT237" s="179"/>
      <c r="AU237" s="179"/>
      <c r="AV237" s="179"/>
      <c r="AW237" s="179"/>
      <c r="AX237" s="179"/>
      <c r="AY237" s="179"/>
      <c r="AZ237" s="179"/>
      <c r="BA237" s="179"/>
      <c r="BB237" s="179"/>
      <c r="BC237" s="179"/>
      <c r="BD237" s="179"/>
      <c r="BE237" s="179"/>
      <c r="BF237" s="179"/>
      <c r="BG237" s="179"/>
      <c r="BH237" s="179"/>
      <c r="BI237" s="179"/>
      <c r="BJ237" s="179"/>
      <c r="BK237" s="179"/>
      <c r="BL237" s="179"/>
      <c r="BM237" s="179"/>
      <c r="BN237" s="179"/>
      <c r="BO237" s="179"/>
      <c r="BP237" s="179"/>
      <c r="BQ237" s="179"/>
      <c r="BR237" s="179"/>
      <c r="BS237" s="179"/>
      <c r="BT237" s="179"/>
      <c r="BU237" s="179"/>
      <c r="BV237" s="179"/>
      <c r="BW237" s="179"/>
      <c r="BX237" s="179"/>
      <c r="BY237" s="179"/>
      <c r="BZ237" s="179"/>
      <c r="CA237" s="179"/>
      <c r="CB237" s="179"/>
      <c r="CC237" s="179"/>
      <c r="CD237" s="179"/>
      <c r="CE237" s="179"/>
      <c r="CF237" s="179"/>
      <c r="CG237" s="179"/>
      <c r="CH237" s="179"/>
      <c r="CI237" s="179"/>
      <c r="CJ237" s="179"/>
      <c r="CK237" s="179"/>
      <c r="CL237" s="179"/>
      <c r="CM237" s="179"/>
      <c r="CN237" s="179"/>
      <c r="CO237" s="179"/>
      <c r="CP237" s="179"/>
      <c r="CQ237" s="179"/>
      <c r="CR237" s="179"/>
      <c r="CS237" s="179"/>
      <c r="CT237" s="179"/>
      <c r="CU237" s="179"/>
      <c r="CV237" s="179"/>
      <c r="CW237" s="179"/>
    </row>
    <row r="238" spans="1:101" x14ac:dyDescent="0.2">
      <c r="A238" s="32" t="str">
        <f t="shared" ca="1" si="3"/>
        <v>2025-11-26</v>
      </c>
      <c r="B238" s="179">
        <f ca="1">IF(ISNUMBER(MATCH(DATEVALUE($A238),'changes1_based on steps'!B$1:B$400,0)),B$2,)</f>
        <v>0</v>
      </c>
      <c r="C238" s="179">
        <f ca="1">IF(ISNUMBER(MATCH(DATEVALUE($A238),'changes1_based on steps'!C$1:C$400,0)),C$2,)</f>
        <v>0</v>
      </c>
      <c r="D238" s="179">
        <f ca="1">IF(ISNUMBER(MATCH(DATEVALUE($A238),'changes1_based on steps'!D$1:D$400,0)),D$2,)</f>
        <v>0</v>
      </c>
      <c r="E238" s="179">
        <f ca="1">IF(ISNUMBER(MATCH(DATEVALUE($A238),'changes1_based on steps'!E$1:E$400,0)),E$2,)</f>
        <v>0</v>
      </c>
      <c r="F238" s="179">
        <f ca="1">IF(ISNUMBER(MATCH(DATEVALUE($A238),'changes1_based on steps'!F$1:F$400,0)),F$2,)</f>
        <v>0</v>
      </c>
      <c r="G238" s="179">
        <f ca="1">IF(ISNUMBER(MATCH(DATEVALUE($A238),'changes1_based on steps'!G$1:G$400,0)),G$2,)</f>
        <v>0</v>
      </c>
      <c r="H238" s="179">
        <f ca="1">IF(ISNUMBER(MATCH(DATEVALUE($A238),'changes1_based on steps'!H$1:H$400,0)),H$2,)</f>
        <v>0</v>
      </c>
      <c r="I238" s="179">
        <f ca="1">IF(ISNUMBER(MATCH(DATEVALUE($A238),'changes1_based on steps'!I$1:I$400,0)),I$2,)</f>
        <v>0</v>
      </c>
      <c r="J238" s="179">
        <f ca="1">IF(ISNUMBER(MATCH(DATEVALUE($A238),'changes1_based on steps'!J$1:J$400,0)),J$2,)</f>
        <v>0</v>
      </c>
      <c r="K238" s="179">
        <f ca="1">IF(ISNUMBER(MATCH(DATEVALUE($A238),'changes1_based on steps'!K$1:K$400,0)),K$2,)</f>
        <v>0</v>
      </c>
      <c r="L238" s="179">
        <f ca="1">IF(ISNUMBER(MATCH(DATEVALUE($A238),'changes1_based on steps'!L$1:L$400,0)),L$2,)</f>
        <v>0</v>
      </c>
      <c r="M238" s="179">
        <f ca="1">IF(ISNUMBER(MATCH(DATEVALUE($A238),'changes1_based on steps'!M$1:M$400,0)),M$2,)</f>
        <v>0</v>
      </c>
      <c r="N238" s="179">
        <f ca="1">IF(ISNUMBER(MATCH(DATEVALUE($A238),'changes1_based on steps'!N$1:N$400,0)),N$2,)</f>
        <v>0</v>
      </c>
      <c r="O238" s="179">
        <f ca="1">IF(ISNUMBER(MATCH(DATEVALUE($A238),'changes1_based on steps'!O$1:O$400,0)),O$2,)</f>
        <v>0</v>
      </c>
      <c r="P238" s="179">
        <f ca="1">IF(ISNUMBER(MATCH(DATEVALUE($A238),'changes1_based on steps'!P$1:P$400,0)),P$2,)</f>
        <v>0</v>
      </c>
      <c r="Q238" s="179">
        <f ca="1">IF(ISNUMBER(MATCH(DATEVALUE($A238),'changes1_based on steps'!Q$1:Q$400,0)),Q$2,)</f>
        <v>0</v>
      </c>
      <c r="R238" s="179">
        <f ca="1">IF(ISNUMBER(MATCH(DATEVALUE($A238),'changes1_based on steps'!R$1:R$400,0)),R$2,)</f>
        <v>0</v>
      </c>
      <c r="S238" s="179">
        <f ca="1">IF(ISNUMBER(MATCH(DATEVALUE($A238),'changes1_based on steps'!S$1:S$400,0)),S$2,)</f>
        <v>0</v>
      </c>
      <c r="T238" s="179">
        <f ca="1">IF(ISNUMBER(MATCH(DATEVALUE($A238),'changes1_based on steps'!T$1:T$400,0)),T$2,)</f>
        <v>0</v>
      </c>
      <c r="U238" s="179">
        <f ca="1">IF(ISNUMBER(MATCH(DATEVALUE($A238),'changes1_based on steps'!U$1:U$400,0)),U$2,)</f>
        <v>0</v>
      </c>
      <c r="V238" s="179"/>
      <c r="W238" s="179"/>
      <c r="X238" s="179"/>
      <c r="Y238" s="179"/>
      <c r="Z238" s="179"/>
      <c r="AA238" s="179"/>
      <c r="AB238" s="179"/>
      <c r="AC238" s="179"/>
      <c r="AD238" s="179"/>
      <c r="AE238" s="179"/>
      <c r="AF238" s="179"/>
      <c r="AG238" s="179"/>
      <c r="AH238" s="179"/>
      <c r="AI238" s="179"/>
      <c r="AJ238" s="179"/>
      <c r="AK238" s="179"/>
      <c r="AL238" s="179"/>
      <c r="AM238" s="179"/>
      <c r="AN238" s="179"/>
      <c r="AO238" s="179"/>
      <c r="AP238" s="179"/>
      <c r="AQ238" s="179"/>
      <c r="AR238" s="179"/>
      <c r="AS238" s="179"/>
      <c r="AT238" s="179"/>
      <c r="AU238" s="179"/>
      <c r="AV238" s="179"/>
      <c r="AW238" s="179"/>
      <c r="AX238" s="179"/>
      <c r="AY238" s="179"/>
      <c r="AZ238" s="179"/>
      <c r="BA238" s="179"/>
      <c r="BB238" s="179"/>
      <c r="BC238" s="179"/>
      <c r="BD238" s="179"/>
      <c r="BE238" s="179"/>
      <c r="BF238" s="179"/>
      <c r="BG238" s="179"/>
      <c r="BH238" s="179"/>
      <c r="BI238" s="179"/>
      <c r="BJ238" s="179"/>
      <c r="BK238" s="179"/>
      <c r="BL238" s="179"/>
      <c r="BM238" s="179"/>
      <c r="BN238" s="179"/>
      <c r="BO238" s="179"/>
      <c r="BP238" s="179"/>
      <c r="BQ238" s="179"/>
      <c r="BR238" s="179"/>
      <c r="BS238" s="179"/>
      <c r="BT238" s="179"/>
      <c r="BU238" s="179"/>
      <c r="BV238" s="179"/>
      <c r="BW238" s="179"/>
      <c r="BX238" s="179"/>
      <c r="BY238" s="179"/>
      <c r="BZ238" s="179"/>
      <c r="CA238" s="179"/>
      <c r="CB238" s="179"/>
      <c r="CC238" s="179"/>
      <c r="CD238" s="179"/>
      <c r="CE238" s="179"/>
      <c r="CF238" s="179"/>
      <c r="CG238" s="179"/>
      <c r="CH238" s="179"/>
      <c r="CI238" s="179"/>
      <c r="CJ238" s="179"/>
      <c r="CK238" s="179"/>
      <c r="CL238" s="179"/>
      <c r="CM238" s="179"/>
      <c r="CN238" s="179"/>
      <c r="CO238" s="179"/>
      <c r="CP238" s="179"/>
      <c r="CQ238" s="179"/>
      <c r="CR238" s="179"/>
      <c r="CS238" s="179"/>
      <c r="CT238" s="179"/>
      <c r="CU238" s="179"/>
      <c r="CV238" s="179"/>
      <c r="CW238" s="179"/>
    </row>
    <row r="239" spans="1:101" x14ac:dyDescent="0.2">
      <c r="A239" s="32" t="str">
        <f t="shared" ca="1" si="3"/>
        <v>2025-11-27</v>
      </c>
      <c r="B239" s="179">
        <f ca="1">IF(ISNUMBER(MATCH(DATEVALUE($A239),'changes1_based on steps'!B$1:B$400,0)),B$2,)</f>
        <v>0</v>
      </c>
      <c r="C239" s="179">
        <f ca="1">IF(ISNUMBER(MATCH(DATEVALUE($A239),'changes1_based on steps'!C$1:C$400,0)),C$2,)</f>
        <v>0</v>
      </c>
      <c r="D239" s="179">
        <f ca="1">IF(ISNUMBER(MATCH(DATEVALUE($A239),'changes1_based on steps'!D$1:D$400,0)),D$2,)</f>
        <v>0</v>
      </c>
      <c r="E239" s="179">
        <f ca="1">IF(ISNUMBER(MATCH(DATEVALUE($A239),'changes1_based on steps'!E$1:E$400,0)),E$2,)</f>
        <v>0</v>
      </c>
      <c r="F239" s="179">
        <f ca="1">IF(ISNUMBER(MATCH(DATEVALUE($A239),'changes1_based on steps'!F$1:F$400,0)),F$2,)</f>
        <v>0</v>
      </c>
      <c r="G239" s="179">
        <f ca="1">IF(ISNUMBER(MATCH(DATEVALUE($A239),'changes1_based on steps'!G$1:G$400,0)),G$2,)</f>
        <v>0</v>
      </c>
      <c r="H239" s="179">
        <f ca="1">IF(ISNUMBER(MATCH(DATEVALUE($A239),'changes1_based on steps'!H$1:H$400,0)),H$2,)</f>
        <v>0</v>
      </c>
      <c r="I239" s="179">
        <f ca="1">IF(ISNUMBER(MATCH(DATEVALUE($A239),'changes1_based on steps'!I$1:I$400,0)),I$2,)</f>
        <v>0</v>
      </c>
      <c r="J239" s="179">
        <f ca="1">IF(ISNUMBER(MATCH(DATEVALUE($A239),'changes1_based on steps'!J$1:J$400,0)),J$2,)</f>
        <v>0</v>
      </c>
      <c r="K239" s="179">
        <f ca="1">IF(ISNUMBER(MATCH(DATEVALUE($A239),'changes1_based on steps'!K$1:K$400,0)),K$2,)</f>
        <v>0</v>
      </c>
      <c r="L239" s="179">
        <f ca="1">IF(ISNUMBER(MATCH(DATEVALUE($A239),'changes1_based on steps'!L$1:L$400,0)),L$2,)</f>
        <v>0</v>
      </c>
      <c r="M239" s="179">
        <f ca="1">IF(ISNUMBER(MATCH(DATEVALUE($A239),'changes1_based on steps'!M$1:M$400,0)),M$2,)</f>
        <v>0</v>
      </c>
      <c r="N239" s="179">
        <f ca="1">IF(ISNUMBER(MATCH(DATEVALUE($A239),'changes1_based on steps'!N$1:N$400,0)),N$2,)</f>
        <v>0</v>
      </c>
      <c r="O239" s="179">
        <f ca="1">IF(ISNUMBER(MATCH(DATEVALUE($A239),'changes1_based on steps'!O$1:O$400,0)),O$2,)</f>
        <v>0</v>
      </c>
      <c r="P239" s="179">
        <f ca="1">IF(ISNUMBER(MATCH(DATEVALUE($A239),'changes1_based on steps'!P$1:P$400,0)),P$2,)</f>
        <v>0</v>
      </c>
      <c r="Q239" s="179">
        <f ca="1">IF(ISNUMBER(MATCH(DATEVALUE($A239),'changes1_based on steps'!Q$1:Q$400,0)),Q$2,)</f>
        <v>0</v>
      </c>
      <c r="R239" s="179">
        <f ca="1">IF(ISNUMBER(MATCH(DATEVALUE($A239),'changes1_based on steps'!R$1:R$400,0)),R$2,)</f>
        <v>0</v>
      </c>
      <c r="S239" s="179">
        <f ca="1">IF(ISNUMBER(MATCH(DATEVALUE($A239),'changes1_based on steps'!S$1:S$400,0)),S$2,)</f>
        <v>0</v>
      </c>
      <c r="T239" s="179">
        <f ca="1">IF(ISNUMBER(MATCH(DATEVALUE($A239),'changes1_based on steps'!T$1:T$400,0)),T$2,)</f>
        <v>0</v>
      </c>
      <c r="U239" s="179">
        <f ca="1">IF(ISNUMBER(MATCH(DATEVALUE($A239),'changes1_based on steps'!U$1:U$400,0)),U$2,)</f>
        <v>0</v>
      </c>
      <c r="V239" s="179"/>
      <c r="W239" s="179"/>
      <c r="X239" s="179"/>
      <c r="Y239" s="179"/>
      <c r="Z239" s="179"/>
      <c r="AA239" s="179"/>
      <c r="AB239" s="179"/>
      <c r="AC239" s="179"/>
      <c r="AD239" s="179"/>
      <c r="AE239" s="179"/>
      <c r="AF239" s="179"/>
      <c r="AG239" s="179"/>
      <c r="AH239" s="179"/>
      <c r="AI239" s="179"/>
      <c r="AJ239" s="179"/>
      <c r="AK239" s="179"/>
      <c r="AL239" s="179"/>
      <c r="AM239" s="179"/>
      <c r="AN239" s="179"/>
      <c r="AO239" s="179"/>
      <c r="AP239" s="179"/>
      <c r="AQ239" s="179"/>
      <c r="AR239" s="179"/>
      <c r="AS239" s="179"/>
      <c r="AT239" s="179"/>
      <c r="AU239" s="179"/>
      <c r="AV239" s="179"/>
      <c r="AW239" s="179"/>
      <c r="AX239" s="179"/>
      <c r="AY239" s="179"/>
      <c r="AZ239" s="179"/>
      <c r="BA239" s="179"/>
      <c r="BB239" s="179"/>
      <c r="BC239" s="179"/>
      <c r="BD239" s="179"/>
      <c r="BE239" s="179"/>
      <c r="BF239" s="179"/>
      <c r="BG239" s="179"/>
      <c r="BH239" s="179"/>
      <c r="BI239" s="179"/>
      <c r="BJ239" s="179"/>
      <c r="BK239" s="179"/>
      <c r="BL239" s="179"/>
      <c r="BM239" s="179"/>
      <c r="BN239" s="179"/>
      <c r="BO239" s="179"/>
      <c r="BP239" s="179"/>
      <c r="BQ239" s="179"/>
      <c r="BR239" s="179"/>
      <c r="BS239" s="179"/>
      <c r="BT239" s="179"/>
      <c r="BU239" s="179"/>
      <c r="BV239" s="179"/>
      <c r="BW239" s="179"/>
      <c r="BX239" s="179"/>
      <c r="BY239" s="179"/>
      <c r="BZ239" s="179"/>
      <c r="CA239" s="179"/>
      <c r="CB239" s="179"/>
      <c r="CC239" s="179"/>
      <c r="CD239" s="179"/>
      <c r="CE239" s="179"/>
      <c r="CF239" s="179"/>
      <c r="CG239" s="179"/>
      <c r="CH239" s="179"/>
      <c r="CI239" s="179"/>
      <c r="CJ239" s="179"/>
      <c r="CK239" s="179"/>
      <c r="CL239" s="179"/>
      <c r="CM239" s="179"/>
      <c r="CN239" s="179"/>
      <c r="CO239" s="179"/>
      <c r="CP239" s="179"/>
      <c r="CQ239" s="179"/>
      <c r="CR239" s="179"/>
      <c r="CS239" s="179"/>
      <c r="CT239" s="179"/>
      <c r="CU239" s="179"/>
      <c r="CV239" s="179"/>
      <c r="CW239" s="179"/>
    </row>
    <row r="240" spans="1:101" x14ac:dyDescent="0.2">
      <c r="A240" s="32" t="str">
        <f t="shared" ca="1" si="3"/>
        <v>2025-11-28</v>
      </c>
      <c r="B240" s="179">
        <f ca="1">IF(ISNUMBER(MATCH(DATEVALUE($A240),'changes1_based on steps'!B$1:B$400,0)),B$2,)</f>
        <v>0</v>
      </c>
      <c r="C240" s="179">
        <f ca="1">IF(ISNUMBER(MATCH(DATEVALUE($A240),'changes1_based on steps'!C$1:C$400,0)),C$2,)</f>
        <v>0</v>
      </c>
      <c r="D240" s="179">
        <f ca="1">IF(ISNUMBER(MATCH(DATEVALUE($A240),'changes1_based on steps'!D$1:D$400,0)),D$2,)</f>
        <v>0</v>
      </c>
      <c r="E240" s="179">
        <f ca="1">IF(ISNUMBER(MATCH(DATEVALUE($A240),'changes1_based on steps'!E$1:E$400,0)),E$2,)</f>
        <v>0</v>
      </c>
      <c r="F240" s="179">
        <f ca="1">IF(ISNUMBER(MATCH(DATEVALUE($A240),'changes1_based on steps'!F$1:F$400,0)),F$2,)</f>
        <v>0</v>
      </c>
      <c r="G240" s="179">
        <f ca="1">IF(ISNUMBER(MATCH(DATEVALUE($A240),'changes1_based on steps'!G$1:G$400,0)),G$2,)</f>
        <v>0</v>
      </c>
      <c r="H240" s="179">
        <f ca="1">IF(ISNUMBER(MATCH(DATEVALUE($A240),'changes1_based on steps'!H$1:H$400,0)),H$2,)</f>
        <v>0</v>
      </c>
      <c r="I240" s="179">
        <f ca="1">IF(ISNUMBER(MATCH(DATEVALUE($A240),'changes1_based on steps'!I$1:I$400,0)),I$2,)</f>
        <v>0</v>
      </c>
      <c r="J240" s="179">
        <f ca="1">IF(ISNUMBER(MATCH(DATEVALUE($A240),'changes1_based on steps'!J$1:J$400,0)),J$2,)</f>
        <v>0</v>
      </c>
      <c r="K240" s="179">
        <f ca="1">IF(ISNUMBER(MATCH(DATEVALUE($A240),'changes1_based on steps'!K$1:K$400,0)),K$2,)</f>
        <v>0</v>
      </c>
      <c r="L240" s="179">
        <f ca="1">IF(ISNUMBER(MATCH(DATEVALUE($A240),'changes1_based on steps'!L$1:L$400,0)),L$2,)</f>
        <v>0</v>
      </c>
      <c r="M240" s="179">
        <f ca="1">IF(ISNUMBER(MATCH(DATEVALUE($A240),'changes1_based on steps'!M$1:M$400,0)),M$2,)</f>
        <v>0</v>
      </c>
      <c r="N240" s="179">
        <f ca="1">IF(ISNUMBER(MATCH(DATEVALUE($A240),'changes1_based on steps'!N$1:N$400,0)),N$2,)</f>
        <v>0</v>
      </c>
      <c r="O240" s="179">
        <f ca="1">IF(ISNUMBER(MATCH(DATEVALUE($A240),'changes1_based on steps'!O$1:O$400,0)),O$2,)</f>
        <v>0</v>
      </c>
      <c r="P240" s="179">
        <f ca="1">IF(ISNUMBER(MATCH(DATEVALUE($A240),'changes1_based on steps'!P$1:P$400,0)),P$2,)</f>
        <v>0</v>
      </c>
      <c r="Q240" s="179">
        <f ca="1">IF(ISNUMBER(MATCH(DATEVALUE($A240),'changes1_based on steps'!Q$1:Q$400,0)),Q$2,)</f>
        <v>0</v>
      </c>
      <c r="R240" s="179">
        <f ca="1">IF(ISNUMBER(MATCH(DATEVALUE($A240),'changes1_based on steps'!R$1:R$400,0)),R$2,)</f>
        <v>0</v>
      </c>
      <c r="S240" s="179">
        <f ca="1">IF(ISNUMBER(MATCH(DATEVALUE($A240),'changes1_based on steps'!S$1:S$400,0)),S$2,)</f>
        <v>0</v>
      </c>
      <c r="T240" s="179">
        <f ca="1">IF(ISNUMBER(MATCH(DATEVALUE($A240),'changes1_based on steps'!T$1:T$400,0)),T$2,)</f>
        <v>0</v>
      </c>
      <c r="U240" s="179">
        <f ca="1">IF(ISNUMBER(MATCH(DATEVALUE($A240),'changes1_based on steps'!U$1:U$400,0)),U$2,)</f>
        <v>0</v>
      </c>
      <c r="V240" s="179"/>
      <c r="W240" s="179"/>
      <c r="X240" s="179"/>
      <c r="Y240" s="179"/>
      <c r="Z240" s="179"/>
      <c r="AA240" s="179"/>
      <c r="AB240" s="179"/>
      <c r="AC240" s="179"/>
      <c r="AD240" s="179"/>
      <c r="AE240" s="179"/>
      <c r="AF240" s="179"/>
      <c r="AG240" s="179"/>
      <c r="AH240" s="179"/>
      <c r="AI240" s="179"/>
      <c r="AJ240" s="179"/>
      <c r="AK240" s="179"/>
      <c r="AL240" s="179"/>
      <c r="AM240" s="179"/>
      <c r="AN240" s="179"/>
      <c r="AO240" s="179"/>
      <c r="AP240" s="179"/>
      <c r="AQ240" s="179"/>
      <c r="AR240" s="179"/>
      <c r="AS240" s="179"/>
      <c r="AT240" s="179"/>
      <c r="AU240" s="179"/>
      <c r="AV240" s="179"/>
      <c r="AW240" s="179"/>
      <c r="AX240" s="179"/>
      <c r="AY240" s="179"/>
      <c r="AZ240" s="179"/>
      <c r="BA240" s="179"/>
      <c r="BB240" s="179"/>
      <c r="BC240" s="179"/>
      <c r="BD240" s="179"/>
      <c r="BE240" s="179"/>
      <c r="BF240" s="179"/>
      <c r="BG240" s="179"/>
      <c r="BH240" s="179"/>
      <c r="BI240" s="179"/>
      <c r="BJ240" s="179"/>
      <c r="BK240" s="179"/>
      <c r="BL240" s="179"/>
      <c r="BM240" s="179"/>
      <c r="BN240" s="179"/>
      <c r="BO240" s="179"/>
      <c r="BP240" s="179"/>
      <c r="BQ240" s="179"/>
      <c r="BR240" s="179"/>
      <c r="BS240" s="179"/>
      <c r="BT240" s="179"/>
      <c r="BU240" s="179"/>
      <c r="BV240" s="179"/>
      <c r="BW240" s="179"/>
      <c r="BX240" s="179"/>
      <c r="BY240" s="179"/>
      <c r="BZ240" s="179"/>
      <c r="CA240" s="179"/>
      <c r="CB240" s="179"/>
      <c r="CC240" s="179"/>
      <c r="CD240" s="179"/>
      <c r="CE240" s="179"/>
      <c r="CF240" s="179"/>
      <c r="CG240" s="179"/>
      <c r="CH240" s="179"/>
      <c r="CI240" s="179"/>
      <c r="CJ240" s="179"/>
      <c r="CK240" s="179"/>
      <c r="CL240" s="179"/>
      <c r="CM240" s="179"/>
      <c r="CN240" s="179"/>
      <c r="CO240" s="179"/>
      <c r="CP240" s="179"/>
      <c r="CQ240" s="179"/>
      <c r="CR240" s="179"/>
      <c r="CS240" s="179"/>
      <c r="CT240" s="179"/>
      <c r="CU240" s="179"/>
      <c r="CV240" s="179"/>
      <c r="CW240" s="179"/>
    </row>
    <row r="241" spans="1:101" x14ac:dyDescent="0.2">
      <c r="A241" s="32" t="str">
        <f t="shared" ca="1" si="3"/>
        <v>2025-11-29</v>
      </c>
      <c r="B241" s="179">
        <f ca="1">IF(ISNUMBER(MATCH(DATEVALUE($A241),'changes1_based on steps'!B$1:B$400,0)),B$2,)</f>
        <v>0</v>
      </c>
      <c r="C241" s="179">
        <f ca="1">IF(ISNUMBER(MATCH(DATEVALUE($A241),'changes1_based on steps'!C$1:C$400,0)),C$2,)</f>
        <v>0</v>
      </c>
      <c r="D241" s="179">
        <f ca="1">IF(ISNUMBER(MATCH(DATEVALUE($A241),'changes1_based on steps'!D$1:D$400,0)),D$2,)</f>
        <v>0</v>
      </c>
      <c r="E241" s="179">
        <f ca="1">IF(ISNUMBER(MATCH(DATEVALUE($A241),'changes1_based on steps'!E$1:E$400,0)),E$2,)</f>
        <v>0</v>
      </c>
      <c r="F241" s="179">
        <f ca="1">IF(ISNUMBER(MATCH(DATEVALUE($A241),'changes1_based on steps'!F$1:F$400,0)),F$2,)</f>
        <v>0</v>
      </c>
      <c r="G241" s="179">
        <f ca="1">IF(ISNUMBER(MATCH(DATEVALUE($A241),'changes1_based on steps'!G$1:G$400,0)),G$2,)</f>
        <v>0</v>
      </c>
      <c r="H241" s="179">
        <f ca="1">IF(ISNUMBER(MATCH(DATEVALUE($A241),'changes1_based on steps'!H$1:H$400,0)),H$2,)</f>
        <v>0</v>
      </c>
      <c r="I241" s="179">
        <f ca="1">IF(ISNUMBER(MATCH(DATEVALUE($A241),'changes1_based on steps'!I$1:I$400,0)),I$2,)</f>
        <v>0</v>
      </c>
      <c r="J241" s="179">
        <f ca="1">IF(ISNUMBER(MATCH(DATEVALUE($A241),'changes1_based on steps'!J$1:J$400,0)),J$2,)</f>
        <v>0</v>
      </c>
      <c r="K241" s="179">
        <f ca="1">IF(ISNUMBER(MATCH(DATEVALUE($A241),'changes1_based on steps'!K$1:K$400,0)),K$2,)</f>
        <v>0</v>
      </c>
      <c r="L241" s="179">
        <f ca="1">IF(ISNUMBER(MATCH(DATEVALUE($A241),'changes1_based on steps'!L$1:L$400,0)),L$2,)</f>
        <v>0</v>
      </c>
      <c r="M241" s="179">
        <f ca="1">IF(ISNUMBER(MATCH(DATEVALUE($A241),'changes1_based on steps'!M$1:M$400,0)),M$2,)</f>
        <v>0</v>
      </c>
      <c r="N241" s="179">
        <f ca="1">IF(ISNUMBER(MATCH(DATEVALUE($A241),'changes1_based on steps'!N$1:N$400,0)),N$2,)</f>
        <v>0</v>
      </c>
      <c r="O241" s="179">
        <f ca="1">IF(ISNUMBER(MATCH(DATEVALUE($A241),'changes1_based on steps'!O$1:O$400,0)),O$2,)</f>
        <v>0</v>
      </c>
      <c r="P241" s="179">
        <f ca="1">IF(ISNUMBER(MATCH(DATEVALUE($A241),'changes1_based on steps'!P$1:P$400,0)),P$2,)</f>
        <v>0</v>
      </c>
      <c r="Q241" s="179">
        <f ca="1">IF(ISNUMBER(MATCH(DATEVALUE($A241),'changes1_based on steps'!Q$1:Q$400,0)),Q$2,)</f>
        <v>0</v>
      </c>
      <c r="R241" s="179">
        <f ca="1">IF(ISNUMBER(MATCH(DATEVALUE($A241),'changes1_based on steps'!R$1:R$400,0)),R$2,)</f>
        <v>0</v>
      </c>
      <c r="S241" s="179">
        <f ca="1">IF(ISNUMBER(MATCH(DATEVALUE($A241),'changes1_based on steps'!S$1:S$400,0)),S$2,)</f>
        <v>0</v>
      </c>
      <c r="T241" s="179">
        <f ca="1">IF(ISNUMBER(MATCH(DATEVALUE($A241),'changes1_based on steps'!T$1:T$400,0)),T$2,)</f>
        <v>0</v>
      </c>
      <c r="U241" s="179">
        <f ca="1">IF(ISNUMBER(MATCH(DATEVALUE($A241),'changes1_based on steps'!U$1:U$400,0)),U$2,)</f>
        <v>0</v>
      </c>
      <c r="V241" s="179"/>
      <c r="W241" s="179"/>
      <c r="X241" s="179"/>
      <c r="Y241" s="179"/>
      <c r="Z241" s="179"/>
      <c r="AA241" s="179"/>
      <c r="AB241" s="179"/>
      <c r="AC241" s="179"/>
      <c r="AD241" s="179"/>
      <c r="AE241" s="179"/>
      <c r="AF241" s="179"/>
      <c r="AG241" s="179"/>
      <c r="AH241" s="179"/>
      <c r="AI241" s="179"/>
      <c r="AJ241" s="179"/>
      <c r="AK241" s="179"/>
      <c r="AL241" s="179"/>
      <c r="AM241" s="179"/>
      <c r="AN241" s="179"/>
      <c r="AO241" s="179"/>
      <c r="AP241" s="179"/>
      <c r="AQ241" s="179"/>
      <c r="AR241" s="179"/>
      <c r="AS241" s="179"/>
      <c r="AT241" s="179"/>
      <c r="AU241" s="179"/>
      <c r="AV241" s="179"/>
      <c r="AW241" s="179"/>
      <c r="AX241" s="179"/>
      <c r="AY241" s="179"/>
      <c r="AZ241" s="179"/>
      <c r="BA241" s="179"/>
      <c r="BB241" s="179"/>
      <c r="BC241" s="179"/>
      <c r="BD241" s="179"/>
      <c r="BE241" s="179"/>
      <c r="BF241" s="179"/>
      <c r="BG241" s="179"/>
      <c r="BH241" s="179"/>
      <c r="BI241" s="179"/>
      <c r="BJ241" s="179"/>
      <c r="BK241" s="179"/>
      <c r="BL241" s="179"/>
      <c r="BM241" s="179"/>
      <c r="BN241" s="179"/>
      <c r="BO241" s="179"/>
      <c r="BP241" s="179"/>
      <c r="BQ241" s="179"/>
      <c r="BR241" s="179"/>
      <c r="BS241" s="179"/>
      <c r="BT241" s="179"/>
      <c r="BU241" s="179"/>
      <c r="BV241" s="179"/>
      <c r="BW241" s="179"/>
      <c r="BX241" s="179"/>
      <c r="BY241" s="179"/>
      <c r="BZ241" s="179"/>
      <c r="CA241" s="179"/>
      <c r="CB241" s="179"/>
      <c r="CC241" s="179"/>
      <c r="CD241" s="179"/>
      <c r="CE241" s="179"/>
      <c r="CF241" s="179"/>
      <c r="CG241" s="179"/>
      <c r="CH241" s="179"/>
      <c r="CI241" s="179"/>
      <c r="CJ241" s="179"/>
      <c r="CK241" s="179"/>
      <c r="CL241" s="179"/>
      <c r="CM241" s="179"/>
      <c r="CN241" s="179"/>
      <c r="CO241" s="179"/>
      <c r="CP241" s="179"/>
      <c r="CQ241" s="179"/>
      <c r="CR241" s="179"/>
      <c r="CS241" s="179"/>
      <c r="CT241" s="179"/>
      <c r="CU241" s="179"/>
      <c r="CV241" s="179"/>
      <c r="CW241" s="179"/>
    </row>
    <row r="242" spans="1:101" x14ac:dyDescent="0.2">
      <c r="A242" s="32" t="str">
        <f t="shared" ca="1" si="3"/>
        <v>2025-11-30</v>
      </c>
      <c r="B242" s="179">
        <f ca="1">IF(ISNUMBER(MATCH(DATEVALUE($A242),'changes1_based on steps'!B$1:B$400,0)),B$2,)</f>
        <v>0</v>
      </c>
      <c r="C242" s="179">
        <f ca="1">IF(ISNUMBER(MATCH(DATEVALUE($A242),'changes1_based on steps'!C$1:C$400,0)),C$2,)</f>
        <v>0</v>
      </c>
      <c r="D242" s="179">
        <f ca="1">IF(ISNUMBER(MATCH(DATEVALUE($A242),'changes1_based on steps'!D$1:D$400,0)),D$2,)</f>
        <v>0</v>
      </c>
      <c r="E242" s="179">
        <f ca="1">IF(ISNUMBER(MATCH(DATEVALUE($A242),'changes1_based on steps'!E$1:E$400,0)),E$2,)</f>
        <v>0</v>
      </c>
      <c r="F242" s="179">
        <f ca="1">IF(ISNUMBER(MATCH(DATEVALUE($A242),'changes1_based on steps'!F$1:F$400,0)),F$2,)</f>
        <v>0</v>
      </c>
      <c r="G242" s="179">
        <f ca="1">IF(ISNUMBER(MATCH(DATEVALUE($A242),'changes1_based on steps'!G$1:G$400,0)),G$2,)</f>
        <v>0</v>
      </c>
      <c r="H242" s="179">
        <f ca="1">IF(ISNUMBER(MATCH(DATEVALUE($A242),'changes1_based on steps'!H$1:H$400,0)),H$2,)</f>
        <v>0</v>
      </c>
      <c r="I242" s="179">
        <f ca="1">IF(ISNUMBER(MATCH(DATEVALUE($A242),'changes1_based on steps'!I$1:I$400,0)),I$2,)</f>
        <v>0</v>
      </c>
      <c r="J242" s="179">
        <f ca="1">IF(ISNUMBER(MATCH(DATEVALUE($A242),'changes1_based on steps'!J$1:J$400,0)),J$2,)</f>
        <v>0</v>
      </c>
      <c r="K242" s="179">
        <f ca="1">IF(ISNUMBER(MATCH(DATEVALUE($A242),'changes1_based on steps'!K$1:K$400,0)),K$2,)</f>
        <v>0</v>
      </c>
      <c r="L242" s="179">
        <f ca="1">IF(ISNUMBER(MATCH(DATEVALUE($A242),'changes1_based on steps'!L$1:L$400,0)),L$2,)</f>
        <v>0</v>
      </c>
      <c r="M242" s="179">
        <f ca="1">IF(ISNUMBER(MATCH(DATEVALUE($A242),'changes1_based on steps'!M$1:M$400,0)),M$2,)</f>
        <v>0</v>
      </c>
      <c r="N242" s="179">
        <f ca="1">IF(ISNUMBER(MATCH(DATEVALUE($A242),'changes1_based on steps'!N$1:N$400,0)),N$2,)</f>
        <v>0</v>
      </c>
      <c r="O242" s="179">
        <f ca="1">IF(ISNUMBER(MATCH(DATEVALUE($A242),'changes1_based on steps'!O$1:O$400,0)),O$2,)</f>
        <v>0</v>
      </c>
      <c r="P242" s="179">
        <f ca="1">IF(ISNUMBER(MATCH(DATEVALUE($A242),'changes1_based on steps'!P$1:P$400,0)),P$2,)</f>
        <v>0</v>
      </c>
      <c r="Q242" s="179">
        <f ca="1">IF(ISNUMBER(MATCH(DATEVALUE($A242),'changes1_based on steps'!Q$1:Q$400,0)),Q$2,)</f>
        <v>0</v>
      </c>
      <c r="R242" s="179">
        <f ca="1">IF(ISNUMBER(MATCH(DATEVALUE($A242),'changes1_based on steps'!R$1:R$400,0)),R$2,)</f>
        <v>0</v>
      </c>
      <c r="S242" s="179">
        <f ca="1">IF(ISNUMBER(MATCH(DATEVALUE($A242),'changes1_based on steps'!S$1:S$400,0)),S$2,)</f>
        <v>0</v>
      </c>
      <c r="T242" s="179">
        <f ca="1">IF(ISNUMBER(MATCH(DATEVALUE($A242),'changes1_based on steps'!T$1:T$400,0)),T$2,)</f>
        <v>0</v>
      </c>
      <c r="U242" s="179">
        <f ca="1">IF(ISNUMBER(MATCH(DATEVALUE($A242),'changes1_based on steps'!U$1:U$400,0)),U$2,)</f>
        <v>0</v>
      </c>
      <c r="V242" s="179"/>
      <c r="W242" s="179"/>
      <c r="X242" s="179"/>
      <c r="Y242" s="179"/>
      <c r="Z242" s="179"/>
      <c r="AA242" s="179"/>
      <c r="AB242" s="179"/>
      <c r="AC242" s="179"/>
      <c r="AD242" s="179"/>
      <c r="AE242" s="179"/>
      <c r="AF242" s="179"/>
      <c r="AG242" s="179"/>
      <c r="AH242" s="179"/>
      <c r="AI242" s="179"/>
      <c r="AJ242" s="179"/>
      <c r="AK242" s="179"/>
      <c r="AL242" s="179"/>
      <c r="AM242" s="179"/>
      <c r="AN242" s="179"/>
      <c r="AO242" s="179"/>
      <c r="AP242" s="179"/>
      <c r="AQ242" s="179"/>
      <c r="AR242" s="179"/>
      <c r="AS242" s="179"/>
      <c r="AT242" s="179"/>
      <c r="AU242" s="179"/>
      <c r="AV242" s="179"/>
      <c r="AW242" s="179"/>
      <c r="AX242" s="179"/>
      <c r="AY242" s="179"/>
      <c r="AZ242" s="179"/>
      <c r="BA242" s="179"/>
      <c r="BB242" s="179"/>
      <c r="BC242" s="179"/>
      <c r="BD242" s="179"/>
      <c r="BE242" s="179"/>
      <c r="BF242" s="179"/>
      <c r="BG242" s="179"/>
      <c r="BH242" s="179"/>
      <c r="BI242" s="179"/>
      <c r="BJ242" s="179"/>
      <c r="BK242" s="179"/>
      <c r="BL242" s="179"/>
      <c r="BM242" s="179"/>
      <c r="BN242" s="179"/>
      <c r="BO242" s="179"/>
      <c r="BP242" s="179"/>
      <c r="BQ242" s="179"/>
      <c r="BR242" s="179"/>
      <c r="BS242" s="179"/>
      <c r="BT242" s="179"/>
      <c r="BU242" s="179"/>
      <c r="BV242" s="179"/>
      <c r="BW242" s="179"/>
      <c r="BX242" s="179"/>
      <c r="BY242" s="179"/>
      <c r="BZ242" s="179"/>
      <c r="CA242" s="179"/>
      <c r="CB242" s="179"/>
      <c r="CC242" s="179"/>
      <c r="CD242" s="179"/>
      <c r="CE242" s="179"/>
      <c r="CF242" s="179"/>
      <c r="CG242" s="179"/>
      <c r="CH242" s="179"/>
      <c r="CI242" s="179"/>
      <c r="CJ242" s="179"/>
      <c r="CK242" s="179"/>
      <c r="CL242" s="179"/>
      <c r="CM242" s="179"/>
      <c r="CN242" s="179"/>
      <c r="CO242" s="179"/>
      <c r="CP242" s="179"/>
      <c r="CQ242" s="179"/>
      <c r="CR242" s="179"/>
      <c r="CS242" s="179"/>
      <c r="CT242" s="179"/>
      <c r="CU242" s="179"/>
      <c r="CV242" s="179"/>
      <c r="CW242" s="179"/>
    </row>
    <row r="243" spans="1:101" x14ac:dyDescent="0.2">
      <c r="A243" s="32" t="str">
        <f t="shared" ca="1" si="3"/>
        <v>2025-12-01</v>
      </c>
      <c r="B243" s="179">
        <f ca="1">IF(ISNUMBER(MATCH(DATEVALUE($A243),'changes1_based on steps'!B$1:B$400,0)),B$2,)</f>
        <v>0</v>
      </c>
      <c r="C243" s="179">
        <f ca="1">IF(ISNUMBER(MATCH(DATEVALUE($A243),'changes1_based on steps'!C$1:C$400,0)),C$2,)</f>
        <v>0</v>
      </c>
      <c r="D243" s="179">
        <f ca="1">IF(ISNUMBER(MATCH(DATEVALUE($A243),'changes1_based on steps'!D$1:D$400,0)),D$2,)</f>
        <v>0</v>
      </c>
      <c r="E243" s="179">
        <f ca="1">IF(ISNUMBER(MATCH(DATEVALUE($A243),'changes1_based on steps'!E$1:E$400,0)),E$2,)</f>
        <v>0</v>
      </c>
      <c r="F243" s="179">
        <f ca="1">IF(ISNUMBER(MATCH(DATEVALUE($A243),'changes1_based on steps'!F$1:F$400,0)),F$2,)</f>
        <v>0</v>
      </c>
      <c r="G243" s="179">
        <f ca="1">IF(ISNUMBER(MATCH(DATEVALUE($A243),'changes1_based on steps'!G$1:G$400,0)),G$2,)</f>
        <v>0</v>
      </c>
      <c r="H243" s="179">
        <f ca="1">IF(ISNUMBER(MATCH(DATEVALUE($A243),'changes1_based on steps'!H$1:H$400,0)),H$2,)</f>
        <v>0</v>
      </c>
      <c r="I243" s="179">
        <f ca="1">IF(ISNUMBER(MATCH(DATEVALUE($A243),'changes1_based on steps'!I$1:I$400,0)),I$2,)</f>
        <v>0</v>
      </c>
      <c r="J243" s="179">
        <f ca="1">IF(ISNUMBER(MATCH(DATEVALUE($A243),'changes1_based on steps'!J$1:J$400,0)),J$2,)</f>
        <v>0</v>
      </c>
      <c r="K243" s="179">
        <f ca="1">IF(ISNUMBER(MATCH(DATEVALUE($A243),'changes1_based on steps'!K$1:K$400,0)),K$2,)</f>
        <v>0</v>
      </c>
      <c r="L243" s="179">
        <f ca="1">IF(ISNUMBER(MATCH(DATEVALUE($A243),'changes1_based on steps'!L$1:L$400,0)),L$2,)</f>
        <v>0</v>
      </c>
      <c r="M243" s="179">
        <f ca="1">IF(ISNUMBER(MATCH(DATEVALUE($A243),'changes1_based on steps'!M$1:M$400,0)),M$2,)</f>
        <v>0</v>
      </c>
      <c r="N243" s="179">
        <f ca="1">IF(ISNUMBER(MATCH(DATEVALUE($A243),'changes1_based on steps'!N$1:N$400,0)),N$2,)</f>
        <v>0</v>
      </c>
      <c r="O243" s="179">
        <f ca="1">IF(ISNUMBER(MATCH(DATEVALUE($A243),'changes1_based on steps'!O$1:O$400,0)),O$2,)</f>
        <v>0</v>
      </c>
      <c r="P243" s="179">
        <f ca="1">IF(ISNUMBER(MATCH(DATEVALUE($A243),'changes1_based on steps'!P$1:P$400,0)),P$2,)</f>
        <v>0</v>
      </c>
      <c r="Q243" s="179">
        <f ca="1">IF(ISNUMBER(MATCH(DATEVALUE($A243),'changes1_based on steps'!Q$1:Q$400,0)),Q$2,)</f>
        <v>0</v>
      </c>
      <c r="R243" s="179">
        <f ca="1">IF(ISNUMBER(MATCH(DATEVALUE($A243),'changes1_based on steps'!R$1:R$400,0)),R$2,)</f>
        <v>0</v>
      </c>
      <c r="S243" s="179">
        <f ca="1">IF(ISNUMBER(MATCH(DATEVALUE($A243),'changes1_based on steps'!S$1:S$400,0)),S$2,)</f>
        <v>0</v>
      </c>
      <c r="T243" s="179">
        <f ca="1">IF(ISNUMBER(MATCH(DATEVALUE($A243),'changes1_based on steps'!T$1:T$400,0)),T$2,)</f>
        <v>0</v>
      </c>
      <c r="U243" s="179">
        <f ca="1">IF(ISNUMBER(MATCH(DATEVALUE($A243),'changes1_based on steps'!U$1:U$400,0)),U$2,)</f>
        <v>0</v>
      </c>
      <c r="V243" s="179"/>
      <c r="W243" s="179"/>
      <c r="X243" s="179"/>
      <c r="Y243" s="179"/>
      <c r="Z243" s="179"/>
      <c r="AA243" s="179"/>
      <c r="AB243" s="179"/>
      <c r="AC243" s="179"/>
      <c r="AD243" s="179"/>
      <c r="AE243" s="179"/>
      <c r="AF243" s="179"/>
      <c r="AG243" s="179"/>
      <c r="AH243" s="179"/>
      <c r="AI243" s="179"/>
      <c r="AJ243" s="179"/>
      <c r="AK243" s="179"/>
      <c r="AL243" s="179"/>
      <c r="AM243" s="179"/>
      <c r="AN243" s="179"/>
      <c r="AO243" s="179"/>
      <c r="AP243" s="179"/>
      <c r="AQ243" s="179"/>
      <c r="AR243" s="179"/>
      <c r="AS243" s="179"/>
      <c r="AT243" s="179"/>
      <c r="AU243" s="179"/>
      <c r="AV243" s="179"/>
      <c r="AW243" s="179"/>
      <c r="AX243" s="179"/>
      <c r="AY243" s="179"/>
      <c r="AZ243" s="179"/>
      <c r="BA243" s="179"/>
      <c r="BB243" s="179"/>
      <c r="BC243" s="179"/>
      <c r="BD243" s="179"/>
      <c r="BE243" s="179"/>
      <c r="BF243" s="179"/>
      <c r="BG243" s="179"/>
      <c r="BH243" s="179"/>
      <c r="BI243" s="179"/>
      <c r="BJ243" s="179"/>
      <c r="BK243" s="179"/>
      <c r="BL243" s="179"/>
      <c r="BM243" s="179"/>
      <c r="BN243" s="179"/>
      <c r="BO243" s="179"/>
      <c r="BP243" s="179"/>
      <c r="BQ243" s="179"/>
      <c r="BR243" s="179"/>
      <c r="BS243" s="179"/>
      <c r="BT243" s="179"/>
      <c r="BU243" s="179"/>
      <c r="BV243" s="179"/>
      <c r="BW243" s="179"/>
      <c r="BX243" s="179"/>
      <c r="BY243" s="179"/>
      <c r="BZ243" s="179"/>
      <c r="CA243" s="179"/>
      <c r="CB243" s="179"/>
      <c r="CC243" s="179"/>
      <c r="CD243" s="179"/>
      <c r="CE243" s="179"/>
      <c r="CF243" s="179"/>
      <c r="CG243" s="179"/>
      <c r="CH243" s="179"/>
      <c r="CI243" s="179"/>
      <c r="CJ243" s="179"/>
      <c r="CK243" s="179"/>
      <c r="CL243" s="179"/>
      <c r="CM243" s="179"/>
      <c r="CN243" s="179"/>
      <c r="CO243" s="179"/>
      <c r="CP243" s="179"/>
      <c r="CQ243" s="179"/>
      <c r="CR243" s="179"/>
      <c r="CS243" s="179"/>
      <c r="CT243" s="179"/>
      <c r="CU243" s="179"/>
      <c r="CV243" s="179"/>
      <c r="CW243" s="179"/>
    </row>
    <row r="244" spans="1:101" x14ac:dyDescent="0.2">
      <c r="A244" s="32" t="str">
        <f t="shared" ca="1" si="3"/>
        <v>2025-12-02</v>
      </c>
      <c r="B244" s="179">
        <f ca="1">IF(ISNUMBER(MATCH(DATEVALUE($A244),'changes1_based on steps'!B$1:B$400,0)),B$2,)</f>
        <v>0</v>
      </c>
      <c r="C244" s="179">
        <f ca="1">IF(ISNUMBER(MATCH(DATEVALUE($A244),'changes1_based on steps'!C$1:C$400,0)),C$2,)</f>
        <v>0</v>
      </c>
      <c r="D244" s="179">
        <f ca="1">IF(ISNUMBER(MATCH(DATEVALUE($A244),'changes1_based on steps'!D$1:D$400,0)),D$2,)</f>
        <v>0</v>
      </c>
      <c r="E244" s="179">
        <f ca="1">IF(ISNUMBER(MATCH(DATEVALUE($A244),'changes1_based on steps'!E$1:E$400,0)),E$2,)</f>
        <v>0</v>
      </c>
      <c r="F244" s="179">
        <f ca="1">IF(ISNUMBER(MATCH(DATEVALUE($A244),'changes1_based on steps'!F$1:F$400,0)),F$2,)</f>
        <v>0</v>
      </c>
      <c r="G244" s="179">
        <f ca="1">IF(ISNUMBER(MATCH(DATEVALUE($A244),'changes1_based on steps'!G$1:G$400,0)),G$2,)</f>
        <v>0</v>
      </c>
      <c r="H244" s="179">
        <f ca="1">IF(ISNUMBER(MATCH(DATEVALUE($A244),'changes1_based on steps'!H$1:H$400,0)),H$2,)</f>
        <v>0</v>
      </c>
      <c r="I244" s="179">
        <f ca="1">IF(ISNUMBER(MATCH(DATEVALUE($A244),'changes1_based on steps'!I$1:I$400,0)),I$2,)</f>
        <v>0</v>
      </c>
      <c r="J244" s="179">
        <f ca="1">IF(ISNUMBER(MATCH(DATEVALUE($A244),'changes1_based on steps'!J$1:J$400,0)),J$2,)</f>
        <v>0</v>
      </c>
      <c r="K244" s="179">
        <f ca="1">IF(ISNUMBER(MATCH(DATEVALUE($A244),'changes1_based on steps'!K$1:K$400,0)),K$2,)</f>
        <v>0</v>
      </c>
      <c r="L244" s="179">
        <f ca="1">IF(ISNUMBER(MATCH(DATEVALUE($A244),'changes1_based on steps'!L$1:L$400,0)),L$2,)</f>
        <v>0</v>
      </c>
      <c r="M244" s="179">
        <f ca="1">IF(ISNUMBER(MATCH(DATEVALUE($A244),'changes1_based on steps'!M$1:M$400,0)),M$2,)</f>
        <v>0</v>
      </c>
      <c r="N244" s="179">
        <f ca="1">IF(ISNUMBER(MATCH(DATEVALUE($A244),'changes1_based on steps'!N$1:N$400,0)),N$2,)</f>
        <v>0</v>
      </c>
      <c r="O244" s="179">
        <f ca="1">IF(ISNUMBER(MATCH(DATEVALUE($A244),'changes1_based on steps'!O$1:O$400,0)),O$2,)</f>
        <v>0</v>
      </c>
      <c r="P244" s="179">
        <f ca="1">IF(ISNUMBER(MATCH(DATEVALUE($A244),'changes1_based on steps'!P$1:P$400,0)),P$2,)</f>
        <v>0</v>
      </c>
      <c r="Q244" s="179">
        <f ca="1">IF(ISNUMBER(MATCH(DATEVALUE($A244),'changes1_based on steps'!Q$1:Q$400,0)),Q$2,)</f>
        <v>0</v>
      </c>
      <c r="R244" s="179">
        <f ca="1">IF(ISNUMBER(MATCH(DATEVALUE($A244),'changes1_based on steps'!R$1:R$400,0)),R$2,)</f>
        <v>0</v>
      </c>
      <c r="S244" s="179">
        <f ca="1">IF(ISNUMBER(MATCH(DATEVALUE($A244),'changes1_based on steps'!S$1:S$400,0)),S$2,)</f>
        <v>0</v>
      </c>
      <c r="T244" s="179">
        <f ca="1">IF(ISNUMBER(MATCH(DATEVALUE($A244),'changes1_based on steps'!T$1:T$400,0)),T$2,)</f>
        <v>0</v>
      </c>
      <c r="U244" s="179">
        <f ca="1">IF(ISNUMBER(MATCH(DATEVALUE($A244),'changes1_based on steps'!U$1:U$400,0)),U$2,)</f>
        <v>0</v>
      </c>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79"/>
      <c r="BN244" s="179"/>
      <c r="BO244" s="179"/>
      <c r="BP244" s="179"/>
      <c r="BQ244" s="179"/>
      <c r="BR244" s="179"/>
      <c r="BS244" s="179"/>
      <c r="BT244" s="179"/>
      <c r="BU244" s="179"/>
      <c r="BV244" s="179"/>
      <c r="BW244" s="179"/>
      <c r="BX244" s="179"/>
      <c r="BY244" s="179"/>
      <c r="BZ244" s="179"/>
      <c r="CA244" s="179"/>
      <c r="CB244" s="179"/>
      <c r="CC244" s="179"/>
      <c r="CD244" s="179"/>
      <c r="CE244" s="179"/>
      <c r="CF244" s="179"/>
      <c r="CG244" s="179"/>
      <c r="CH244" s="179"/>
      <c r="CI244" s="179"/>
      <c r="CJ244" s="179"/>
      <c r="CK244" s="179"/>
      <c r="CL244" s="179"/>
      <c r="CM244" s="179"/>
      <c r="CN244" s="179"/>
      <c r="CO244" s="179"/>
      <c r="CP244" s="179"/>
      <c r="CQ244" s="179"/>
      <c r="CR244" s="179"/>
      <c r="CS244" s="179"/>
      <c r="CT244" s="179"/>
      <c r="CU244" s="179"/>
      <c r="CV244" s="179"/>
      <c r="CW244" s="179"/>
    </row>
    <row r="245" spans="1:101" x14ac:dyDescent="0.2">
      <c r="A245" s="32" t="str">
        <f t="shared" ca="1" si="3"/>
        <v>2025-12-03</v>
      </c>
      <c r="B245" s="179">
        <f ca="1">IF(ISNUMBER(MATCH(DATEVALUE($A245),'changes1_based on steps'!B$1:B$400,0)),B$2,)</f>
        <v>0</v>
      </c>
      <c r="C245" s="179">
        <f ca="1">IF(ISNUMBER(MATCH(DATEVALUE($A245),'changes1_based on steps'!C$1:C$400,0)),C$2,)</f>
        <v>0</v>
      </c>
      <c r="D245" s="179">
        <f ca="1">IF(ISNUMBER(MATCH(DATEVALUE($A245),'changes1_based on steps'!D$1:D$400,0)),D$2,)</f>
        <v>0</v>
      </c>
      <c r="E245" s="179">
        <f ca="1">IF(ISNUMBER(MATCH(DATEVALUE($A245),'changes1_based on steps'!E$1:E$400,0)),E$2,)</f>
        <v>0</v>
      </c>
      <c r="F245" s="179">
        <f ca="1">IF(ISNUMBER(MATCH(DATEVALUE($A245),'changes1_based on steps'!F$1:F$400,0)),F$2,)</f>
        <v>0</v>
      </c>
      <c r="G245" s="179">
        <f ca="1">IF(ISNUMBER(MATCH(DATEVALUE($A245),'changes1_based on steps'!G$1:G$400,0)),G$2,)</f>
        <v>0</v>
      </c>
      <c r="H245" s="179">
        <f ca="1">IF(ISNUMBER(MATCH(DATEVALUE($A245),'changes1_based on steps'!H$1:H$400,0)),H$2,)</f>
        <v>0</v>
      </c>
      <c r="I245" s="179">
        <f ca="1">IF(ISNUMBER(MATCH(DATEVALUE($A245),'changes1_based on steps'!I$1:I$400,0)),I$2,)</f>
        <v>0</v>
      </c>
      <c r="J245" s="179">
        <f ca="1">IF(ISNUMBER(MATCH(DATEVALUE($A245),'changes1_based on steps'!J$1:J$400,0)),J$2,)</f>
        <v>0</v>
      </c>
      <c r="K245" s="179">
        <f ca="1">IF(ISNUMBER(MATCH(DATEVALUE($A245),'changes1_based on steps'!K$1:K$400,0)),K$2,)</f>
        <v>0</v>
      </c>
      <c r="L245" s="179">
        <f ca="1">IF(ISNUMBER(MATCH(DATEVALUE($A245),'changes1_based on steps'!L$1:L$400,0)),L$2,)</f>
        <v>0</v>
      </c>
      <c r="M245" s="179">
        <f ca="1">IF(ISNUMBER(MATCH(DATEVALUE($A245),'changes1_based on steps'!M$1:M$400,0)),M$2,)</f>
        <v>0</v>
      </c>
      <c r="N245" s="179">
        <f ca="1">IF(ISNUMBER(MATCH(DATEVALUE($A245),'changes1_based on steps'!N$1:N$400,0)),N$2,)</f>
        <v>0</v>
      </c>
      <c r="O245" s="179">
        <f ca="1">IF(ISNUMBER(MATCH(DATEVALUE($A245),'changes1_based on steps'!O$1:O$400,0)),O$2,)</f>
        <v>0</v>
      </c>
      <c r="P245" s="179">
        <f ca="1">IF(ISNUMBER(MATCH(DATEVALUE($A245),'changes1_based on steps'!P$1:P$400,0)),P$2,)</f>
        <v>0</v>
      </c>
      <c r="Q245" s="179">
        <f ca="1">IF(ISNUMBER(MATCH(DATEVALUE($A245),'changes1_based on steps'!Q$1:Q$400,0)),Q$2,)</f>
        <v>0</v>
      </c>
      <c r="R245" s="179">
        <f ca="1">IF(ISNUMBER(MATCH(DATEVALUE($A245),'changes1_based on steps'!R$1:R$400,0)),R$2,)</f>
        <v>0</v>
      </c>
      <c r="S245" s="179">
        <f ca="1">IF(ISNUMBER(MATCH(DATEVALUE($A245),'changes1_based on steps'!S$1:S$400,0)),S$2,)</f>
        <v>0</v>
      </c>
      <c r="T245" s="179">
        <f ca="1">IF(ISNUMBER(MATCH(DATEVALUE($A245),'changes1_based on steps'!T$1:T$400,0)),T$2,)</f>
        <v>0</v>
      </c>
      <c r="U245" s="179">
        <f ca="1">IF(ISNUMBER(MATCH(DATEVALUE($A245),'changes1_based on steps'!U$1:U$400,0)),U$2,)</f>
        <v>0</v>
      </c>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79"/>
      <c r="BN245" s="179"/>
      <c r="BO245" s="179"/>
      <c r="BP245" s="179"/>
      <c r="BQ245" s="179"/>
      <c r="BR245" s="179"/>
      <c r="BS245" s="179"/>
      <c r="BT245" s="179"/>
      <c r="BU245" s="179"/>
      <c r="BV245" s="179"/>
      <c r="BW245" s="179"/>
      <c r="BX245" s="179"/>
      <c r="BY245" s="179"/>
      <c r="BZ245" s="179"/>
      <c r="CA245" s="179"/>
      <c r="CB245" s="179"/>
      <c r="CC245" s="179"/>
      <c r="CD245" s="179"/>
      <c r="CE245" s="179"/>
      <c r="CF245" s="179"/>
      <c r="CG245" s="179"/>
      <c r="CH245" s="179"/>
      <c r="CI245" s="179"/>
      <c r="CJ245" s="179"/>
      <c r="CK245" s="179"/>
      <c r="CL245" s="179"/>
      <c r="CM245" s="179"/>
      <c r="CN245" s="179"/>
      <c r="CO245" s="179"/>
      <c r="CP245" s="179"/>
      <c r="CQ245" s="179"/>
      <c r="CR245" s="179"/>
      <c r="CS245" s="179"/>
      <c r="CT245" s="179"/>
      <c r="CU245" s="179"/>
      <c r="CV245" s="179"/>
      <c r="CW245" s="179"/>
    </row>
    <row r="246" spans="1:101" x14ac:dyDescent="0.2">
      <c r="A246" s="32" t="str">
        <f t="shared" ca="1" si="3"/>
        <v>2025-12-04</v>
      </c>
      <c r="B246" s="179">
        <f ca="1">IF(ISNUMBER(MATCH(DATEVALUE($A246),'changes1_based on steps'!B$1:B$400,0)),B$2,)</f>
        <v>0</v>
      </c>
      <c r="C246" s="179">
        <f ca="1">IF(ISNUMBER(MATCH(DATEVALUE($A246),'changes1_based on steps'!C$1:C$400,0)),C$2,)</f>
        <v>0</v>
      </c>
      <c r="D246" s="179">
        <f ca="1">IF(ISNUMBER(MATCH(DATEVALUE($A246),'changes1_based on steps'!D$1:D$400,0)),D$2,)</f>
        <v>0</v>
      </c>
      <c r="E246" s="179">
        <f ca="1">IF(ISNUMBER(MATCH(DATEVALUE($A246),'changes1_based on steps'!E$1:E$400,0)),E$2,)</f>
        <v>0</v>
      </c>
      <c r="F246" s="179">
        <f ca="1">IF(ISNUMBER(MATCH(DATEVALUE($A246),'changes1_based on steps'!F$1:F$400,0)),F$2,)</f>
        <v>0</v>
      </c>
      <c r="G246" s="179">
        <f ca="1">IF(ISNUMBER(MATCH(DATEVALUE($A246),'changes1_based on steps'!G$1:G$400,0)),G$2,)</f>
        <v>0</v>
      </c>
      <c r="H246" s="179">
        <f ca="1">IF(ISNUMBER(MATCH(DATEVALUE($A246),'changes1_based on steps'!H$1:H$400,0)),H$2,)</f>
        <v>0</v>
      </c>
      <c r="I246" s="179">
        <f ca="1">IF(ISNUMBER(MATCH(DATEVALUE($A246),'changes1_based on steps'!I$1:I$400,0)),I$2,)</f>
        <v>0</v>
      </c>
      <c r="J246" s="179">
        <f ca="1">IF(ISNUMBER(MATCH(DATEVALUE($A246),'changes1_based on steps'!J$1:J$400,0)),J$2,)</f>
        <v>0</v>
      </c>
      <c r="K246" s="179">
        <f ca="1">IF(ISNUMBER(MATCH(DATEVALUE($A246),'changes1_based on steps'!K$1:K$400,0)),K$2,)</f>
        <v>0</v>
      </c>
      <c r="L246" s="179">
        <f ca="1">IF(ISNUMBER(MATCH(DATEVALUE($A246),'changes1_based on steps'!L$1:L$400,0)),L$2,)</f>
        <v>0</v>
      </c>
      <c r="M246" s="179">
        <f ca="1">IF(ISNUMBER(MATCH(DATEVALUE($A246),'changes1_based on steps'!M$1:M$400,0)),M$2,)</f>
        <v>0</v>
      </c>
      <c r="N246" s="179">
        <f ca="1">IF(ISNUMBER(MATCH(DATEVALUE($A246),'changes1_based on steps'!N$1:N$400,0)),N$2,)</f>
        <v>0</v>
      </c>
      <c r="O246" s="179">
        <f ca="1">IF(ISNUMBER(MATCH(DATEVALUE($A246),'changes1_based on steps'!O$1:O$400,0)),O$2,)</f>
        <v>0</v>
      </c>
      <c r="P246" s="179">
        <f ca="1">IF(ISNUMBER(MATCH(DATEVALUE($A246),'changes1_based on steps'!P$1:P$400,0)),P$2,)</f>
        <v>0</v>
      </c>
      <c r="Q246" s="179">
        <f ca="1">IF(ISNUMBER(MATCH(DATEVALUE($A246),'changes1_based on steps'!Q$1:Q$400,0)),Q$2,)</f>
        <v>0</v>
      </c>
      <c r="R246" s="179">
        <f ca="1">IF(ISNUMBER(MATCH(DATEVALUE($A246),'changes1_based on steps'!R$1:R$400,0)),R$2,)</f>
        <v>0</v>
      </c>
      <c r="S246" s="179">
        <f ca="1">IF(ISNUMBER(MATCH(DATEVALUE($A246),'changes1_based on steps'!S$1:S$400,0)),S$2,)</f>
        <v>0</v>
      </c>
      <c r="T246" s="179">
        <f ca="1">IF(ISNUMBER(MATCH(DATEVALUE($A246),'changes1_based on steps'!T$1:T$400,0)),T$2,)</f>
        <v>0</v>
      </c>
      <c r="U246" s="179">
        <f ca="1">IF(ISNUMBER(MATCH(DATEVALUE($A246),'changes1_based on steps'!U$1:U$400,0)),U$2,)</f>
        <v>0</v>
      </c>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79"/>
      <c r="BN246" s="179"/>
      <c r="BO246" s="179"/>
      <c r="BP246" s="179"/>
      <c r="BQ246" s="179"/>
      <c r="BR246" s="179"/>
      <c r="BS246" s="179"/>
      <c r="BT246" s="179"/>
      <c r="BU246" s="179"/>
      <c r="BV246" s="179"/>
      <c r="BW246" s="179"/>
      <c r="BX246" s="179"/>
      <c r="BY246" s="179"/>
      <c r="BZ246" s="179"/>
      <c r="CA246" s="179"/>
      <c r="CB246" s="179"/>
      <c r="CC246" s="179"/>
      <c r="CD246" s="179"/>
      <c r="CE246" s="179"/>
      <c r="CF246" s="179"/>
      <c r="CG246" s="179"/>
      <c r="CH246" s="179"/>
      <c r="CI246" s="179"/>
      <c r="CJ246" s="179"/>
      <c r="CK246" s="179"/>
      <c r="CL246" s="179"/>
      <c r="CM246" s="179"/>
      <c r="CN246" s="179"/>
      <c r="CO246" s="179"/>
      <c r="CP246" s="179"/>
      <c r="CQ246" s="179"/>
      <c r="CR246" s="179"/>
      <c r="CS246" s="179"/>
      <c r="CT246" s="179"/>
      <c r="CU246" s="179"/>
      <c r="CV246" s="179"/>
      <c r="CW246" s="179"/>
    </row>
    <row r="247" spans="1:101" x14ac:dyDescent="0.2">
      <c r="A247" s="32" t="str">
        <f t="shared" ca="1" si="3"/>
        <v>2025-12-05</v>
      </c>
      <c r="B247" s="179">
        <f ca="1">IF(ISNUMBER(MATCH(DATEVALUE($A247),'changes1_based on steps'!B$1:B$400,0)),B$2,)</f>
        <v>0</v>
      </c>
      <c r="C247" s="179">
        <f ca="1">IF(ISNUMBER(MATCH(DATEVALUE($A247),'changes1_based on steps'!C$1:C$400,0)),C$2,)</f>
        <v>0</v>
      </c>
      <c r="D247" s="179">
        <f ca="1">IF(ISNUMBER(MATCH(DATEVALUE($A247),'changes1_based on steps'!D$1:D$400,0)),D$2,)</f>
        <v>0</v>
      </c>
      <c r="E247" s="179">
        <f ca="1">IF(ISNUMBER(MATCH(DATEVALUE($A247),'changes1_based on steps'!E$1:E$400,0)),E$2,)</f>
        <v>0</v>
      </c>
      <c r="F247" s="179">
        <f ca="1">IF(ISNUMBER(MATCH(DATEVALUE($A247),'changes1_based on steps'!F$1:F$400,0)),F$2,)</f>
        <v>0</v>
      </c>
      <c r="G247" s="179">
        <f ca="1">IF(ISNUMBER(MATCH(DATEVALUE($A247),'changes1_based on steps'!G$1:G$400,0)),G$2,)</f>
        <v>0</v>
      </c>
      <c r="H247" s="179">
        <f ca="1">IF(ISNUMBER(MATCH(DATEVALUE($A247),'changes1_based on steps'!H$1:H$400,0)),H$2,)</f>
        <v>0</v>
      </c>
      <c r="I247" s="179">
        <f ca="1">IF(ISNUMBER(MATCH(DATEVALUE($A247),'changes1_based on steps'!I$1:I$400,0)),I$2,)</f>
        <v>0</v>
      </c>
      <c r="J247" s="179">
        <f ca="1">IF(ISNUMBER(MATCH(DATEVALUE($A247),'changes1_based on steps'!J$1:J$400,0)),J$2,)</f>
        <v>0</v>
      </c>
      <c r="K247" s="179">
        <f ca="1">IF(ISNUMBER(MATCH(DATEVALUE($A247),'changes1_based on steps'!K$1:K$400,0)),K$2,)</f>
        <v>0</v>
      </c>
      <c r="L247" s="179">
        <f ca="1">IF(ISNUMBER(MATCH(DATEVALUE($A247),'changes1_based on steps'!L$1:L$400,0)),L$2,)</f>
        <v>0</v>
      </c>
      <c r="M247" s="179">
        <f ca="1">IF(ISNUMBER(MATCH(DATEVALUE($A247),'changes1_based on steps'!M$1:M$400,0)),M$2,)</f>
        <v>0</v>
      </c>
      <c r="N247" s="179">
        <f ca="1">IF(ISNUMBER(MATCH(DATEVALUE($A247),'changes1_based on steps'!N$1:N$400,0)),N$2,)</f>
        <v>0</v>
      </c>
      <c r="O247" s="179">
        <f ca="1">IF(ISNUMBER(MATCH(DATEVALUE($A247),'changes1_based on steps'!O$1:O$400,0)),O$2,)</f>
        <v>0</v>
      </c>
      <c r="P247" s="179">
        <f ca="1">IF(ISNUMBER(MATCH(DATEVALUE($A247),'changes1_based on steps'!P$1:P$400,0)),P$2,)</f>
        <v>0</v>
      </c>
      <c r="Q247" s="179">
        <f ca="1">IF(ISNUMBER(MATCH(DATEVALUE($A247),'changes1_based on steps'!Q$1:Q$400,0)),Q$2,)</f>
        <v>0</v>
      </c>
      <c r="R247" s="179">
        <f ca="1">IF(ISNUMBER(MATCH(DATEVALUE($A247),'changes1_based on steps'!R$1:R$400,0)),R$2,)</f>
        <v>0</v>
      </c>
      <c r="S247" s="179">
        <f ca="1">IF(ISNUMBER(MATCH(DATEVALUE($A247),'changes1_based on steps'!S$1:S$400,0)),S$2,)</f>
        <v>0</v>
      </c>
      <c r="T247" s="179">
        <f ca="1">IF(ISNUMBER(MATCH(DATEVALUE($A247),'changes1_based on steps'!T$1:T$400,0)),T$2,)</f>
        <v>0</v>
      </c>
      <c r="U247" s="179">
        <f ca="1">IF(ISNUMBER(MATCH(DATEVALUE($A247),'changes1_based on steps'!U$1:U$400,0)),U$2,)</f>
        <v>0</v>
      </c>
      <c r="V247" s="179"/>
      <c r="W247" s="179"/>
      <c r="X247" s="179"/>
      <c r="Y247" s="179"/>
      <c r="Z247" s="179"/>
      <c r="AA247" s="179"/>
      <c r="AB247" s="179"/>
      <c r="AC247" s="179"/>
      <c r="AD247" s="179"/>
      <c r="AE247" s="179"/>
      <c r="AF247" s="179"/>
      <c r="AG247" s="179"/>
      <c r="AH247" s="179"/>
      <c r="AI247" s="179"/>
      <c r="AJ247" s="179"/>
      <c r="AK247" s="179"/>
      <c r="AL247" s="179"/>
      <c r="AM247" s="179"/>
      <c r="AN247" s="179"/>
      <c r="AO247" s="179"/>
      <c r="AP247" s="179"/>
      <c r="AQ247" s="179"/>
      <c r="AR247" s="179"/>
      <c r="AS247" s="179"/>
      <c r="AT247" s="179"/>
      <c r="AU247" s="179"/>
      <c r="AV247" s="179"/>
      <c r="AW247" s="179"/>
      <c r="AX247" s="179"/>
      <c r="AY247" s="179"/>
      <c r="AZ247" s="179"/>
      <c r="BA247" s="179"/>
      <c r="BB247" s="179"/>
      <c r="BC247" s="179"/>
      <c r="BD247" s="179"/>
      <c r="BE247" s="179"/>
      <c r="BF247" s="179"/>
      <c r="BG247" s="179"/>
      <c r="BH247" s="179"/>
      <c r="BI247" s="179"/>
      <c r="BJ247" s="179"/>
      <c r="BK247" s="179"/>
      <c r="BL247" s="179"/>
      <c r="BM247" s="179"/>
      <c r="BN247" s="179"/>
      <c r="BO247" s="179"/>
      <c r="BP247" s="179"/>
      <c r="BQ247" s="179"/>
      <c r="BR247" s="179"/>
      <c r="BS247" s="179"/>
      <c r="BT247" s="179"/>
      <c r="BU247" s="179"/>
      <c r="BV247" s="179"/>
      <c r="BW247" s="179"/>
      <c r="BX247" s="179"/>
      <c r="BY247" s="179"/>
      <c r="BZ247" s="179"/>
      <c r="CA247" s="179"/>
      <c r="CB247" s="179"/>
      <c r="CC247" s="179"/>
      <c r="CD247" s="179"/>
      <c r="CE247" s="179"/>
      <c r="CF247" s="179"/>
      <c r="CG247" s="179"/>
      <c r="CH247" s="179"/>
      <c r="CI247" s="179"/>
      <c r="CJ247" s="179"/>
      <c r="CK247" s="179"/>
      <c r="CL247" s="179"/>
      <c r="CM247" s="179"/>
      <c r="CN247" s="179"/>
      <c r="CO247" s="179"/>
      <c r="CP247" s="179"/>
      <c r="CQ247" s="179"/>
      <c r="CR247" s="179"/>
      <c r="CS247" s="179"/>
      <c r="CT247" s="179"/>
      <c r="CU247" s="179"/>
      <c r="CV247" s="179"/>
      <c r="CW247" s="179"/>
    </row>
    <row r="248" spans="1:101" x14ac:dyDescent="0.2">
      <c r="A248" s="32" t="str">
        <f t="shared" ca="1" si="3"/>
        <v>2025-12-06</v>
      </c>
      <c r="B248" s="179">
        <f ca="1">IF(ISNUMBER(MATCH(DATEVALUE($A248),'changes1_based on steps'!B$1:B$400,0)),B$2,)</f>
        <v>0</v>
      </c>
      <c r="C248" s="179">
        <f ca="1">IF(ISNUMBER(MATCH(DATEVALUE($A248),'changes1_based on steps'!C$1:C$400,0)),C$2,)</f>
        <v>0</v>
      </c>
      <c r="D248" s="179">
        <f ca="1">IF(ISNUMBER(MATCH(DATEVALUE($A248),'changes1_based on steps'!D$1:D$400,0)),D$2,)</f>
        <v>0</v>
      </c>
      <c r="E248" s="179">
        <f ca="1">IF(ISNUMBER(MATCH(DATEVALUE($A248),'changes1_based on steps'!E$1:E$400,0)),E$2,)</f>
        <v>0</v>
      </c>
      <c r="F248" s="179">
        <f ca="1">IF(ISNUMBER(MATCH(DATEVALUE($A248),'changes1_based on steps'!F$1:F$400,0)),F$2,)</f>
        <v>0</v>
      </c>
      <c r="G248" s="179">
        <f ca="1">IF(ISNUMBER(MATCH(DATEVALUE($A248),'changes1_based on steps'!G$1:G$400,0)),G$2,)</f>
        <v>0</v>
      </c>
      <c r="H248" s="179">
        <f ca="1">IF(ISNUMBER(MATCH(DATEVALUE($A248),'changes1_based on steps'!H$1:H$400,0)),H$2,)</f>
        <v>0</v>
      </c>
      <c r="I248" s="179">
        <f ca="1">IF(ISNUMBER(MATCH(DATEVALUE($A248),'changes1_based on steps'!I$1:I$400,0)),I$2,)</f>
        <v>0</v>
      </c>
      <c r="J248" s="179">
        <f ca="1">IF(ISNUMBER(MATCH(DATEVALUE($A248),'changes1_based on steps'!J$1:J$400,0)),J$2,)</f>
        <v>0</v>
      </c>
      <c r="K248" s="179">
        <f ca="1">IF(ISNUMBER(MATCH(DATEVALUE($A248),'changes1_based on steps'!K$1:K$400,0)),K$2,)</f>
        <v>0</v>
      </c>
      <c r="L248" s="179">
        <f ca="1">IF(ISNUMBER(MATCH(DATEVALUE($A248),'changes1_based on steps'!L$1:L$400,0)),L$2,)</f>
        <v>0</v>
      </c>
      <c r="M248" s="179">
        <f ca="1">IF(ISNUMBER(MATCH(DATEVALUE($A248),'changes1_based on steps'!M$1:M$400,0)),M$2,)</f>
        <v>0</v>
      </c>
      <c r="N248" s="179">
        <f ca="1">IF(ISNUMBER(MATCH(DATEVALUE($A248),'changes1_based on steps'!N$1:N$400,0)),N$2,)</f>
        <v>0</v>
      </c>
      <c r="O248" s="179">
        <f ca="1">IF(ISNUMBER(MATCH(DATEVALUE($A248),'changes1_based on steps'!O$1:O$400,0)),O$2,)</f>
        <v>0</v>
      </c>
      <c r="P248" s="179">
        <f ca="1">IF(ISNUMBER(MATCH(DATEVALUE($A248),'changes1_based on steps'!P$1:P$400,0)),P$2,)</f>
        <v>0</v>
      </c>
      <c r="Q248" s="179">
        <f ca="1">IF(ISNUMBER(MATCH(DATEVALUE($A248),'changes1_based on steps'!Q$1:Q$400,0)),Q$2,)</f>
        <v>0</v>
      </c>
      <c r="R248" s="179">
        <f ca="1">IF(ISNUMBER(MATCH(DATEVALUE($A248),'changes1_based on steps'!R$1:R$400,0)),R$2,)</f>
        <v>0</v>
      </c>
      <c r="S248" s="179">
        <f ca="1">IF(ISNUMBER(MATCH(DATEVALUE($A248),'changes1_based on steps'!S$1:S$400,0)),S$2,)</f>
        <v>0</v>
      </c>
      <c r="T248" s="179">
        <f ca="1">IF(ISNUMBER(MATCH(DATEVALUE($A248),'changes1_based on steps'!T$1:T$400,0)),T$2,)</f>
        <v>0</v>
      </c>
      <c r="U248" s="179">
        <f ca="1">IF(ISNUMBER(MATCH(DATEVALUE($A248),'changes1_based on steps'!U$1:U$400,0)),U$2,)</f>
        <v>0</v>
      </c>
      <c r="V248" s="179"/>
      <c r="W248" s="179"/>
      <c r="X248" s="179"/>
      <c r="Y248" s="179"/>
      <c r="Z248" s="179"/>
      <c r="AA248" s="179"/>
      <c r="AB248" s="179"/>
      <c r="AC248" s="179"/>
      <c r="AD248" s="179"/>
      <c r="AE248" s="179"/>
      <c r="AF248" s="179"/>
      <c r="AG248" s="179"/>
      <c r="AH248" s="179"/>
      <c r="AI248" s="179"/>
      <c r="AJ248" s="179"/>
      <c r="AK248" s="179"/>
      <c r="AL248" s="179"/>
      <c r="AM248" s="179"/>
      <c r="AN248" s="179"/>
      <c r="AO248" s="179"/>
      <c r="AP248" s="179"/>
      <c r="AQ248" s="179"/>
      <c r="AR248" s="179"/>
      <c r="AS248" s="179"/>
      <c r="AT248" s="179"/>
      <c r="AU248" s="179"/>
      <c r="AV248" s="179"/>
      <c r="AW248" s="179"/>
      <c r="AX248" s="179"/>
      <c r="AY248" s="179"/>
      <c r="AZ248" s="179"/>
      <c r="BA248" s="179"/>
      <c r="BB248" s="179"/>
      <c r="BC248" s="179"/>
      <c r="BD248" s="179"/>
      <c r="BE248" s="179"/>
      <c r="BF248" s="179"/>
      <c r="BG248" s="179"/>
      <c r="BH248" s="179"/>
      <c r="BI248" s="179"/>
      <c r="BJ248" s="179"/>
      <c r="BK248" s="179"/>
      <c r="BL248" s="179"/>
      <c r="BM248" s="179"/>
      <c r="BN248" s="179"/>
      <c r="BO248" s="179"/>
      <c r="BP248" s="179"/>
      <c r="BQ248" s="179"/>
      <c r="BR248" s="179"/>
      <c r="BS248" s="179"/>
      <c r="BT248" s="179"/>
      <c r="BU248" s="179"/>
      <c r="BV248" s="179"/>
      <c r="BW248" s="179"/>
      <c r="BX248" s="179"/>
      <c r="BY248" s="179"/>
      <c r="BZ248" s="179"/>
      <c r="CA248" s="179"/>
      <c r="CB248" s="179"/>
      <c r="CC248" s="179"/>
      <c r="CD248" s="179"/>
      <c r="CE248" s="179"/>
      <c r="CF248" s="179"/>
      <c r="CG248" s="179"/>
      <c r="CH248" s="179"/>
      <c r="CI248" s="179"/>
      <c r="CJ248" s="179"/>
      <c r="CK248" s="179"/>
      <c r="CL248" s="179"/>
      <c r="CM248" s="179"/>
      <c r="CN248" s="179"/>
      <c r="CO248" s="179"/>
      <c r="CP248" s="179"/>
      <c r="CQ248" s="179"/>
      <c r="CR248" s="179"/>
      <c r="CS248" s="179"/>
      <c r="CT248" s="179"/>
      <c r="CU248" s="179"/>
      <c r="CV248" s="179"/>
      <c r="CW248" s="179"/>
    </row>
    <row r="249" spans="1:101" x14ac:dyDescent="0.2">
      <c r="A249" s="32" t="str">
        <f t="shared" ca="1" si="3"/>
        <v>2025-12-07</v>
      </c>
      <c r="B249" s="179">
        <f ca="1">IF(ISNUMBER(MATCH(DATEVALUE($A249),'changes1_based on steps'!B$1:B$400,0)),B$2,)</f>
        <v>0</v>
      </c>
      <c r="C249" s="179">
        <f ca="1">IF(ISNUMBER(MATCH(DATEVALUE($A249),'changes1_based on steps'!C$1:C$400,0)),C$2,)</f>
        <v>0</v>
      </c>
      <c r="D249" s="179">
        <f ca="1">IF(ISNUMBER(MATCH(DATEVALUE($A249),'changes1_based on steps'!D$1:D$400,0)),D$2,)</f>
        <v>0</v>
      </c>
      <c r="E249" s="179">
        <f ca="1">IF(ISNUMBER(MATCH(DATEVALUE($A249),'changes1_based on steps'!E$1:E$400,0)),E$2,)</f>
        <v>0</v>
      </c>
      <c r="F249" s="179">
        <f ca="1">IF(ISNUMBER(MATCH(DATEVALUE($A249),'changes1_based on steps'!F$1:F$400,0)),F$2,)</f>
        <v>0</v>
      </c>
      <c r="G249" s="179">
        <f ca="1">IF(ISNUMBER(MATCH(DATEVALUE($A249),'changes1_based on steps'!G$1:G$400,0)),G$2,)</f>
        <v>0</v>
      </c>
      <c r="H249" s="179">
        <f ca="1">IF(ISNUMBER(MATCH(DATEVALUE($A249),'changes1_based on steps'!H$1:H$400,0)),H$2,)</f>
        <v>0</v>
      </c>
      <c r="I249" s="179">
        <f ca="1">IF(ISNUMBER(MATCH(DATEVALUE($A249),'changes1_based on steps'!I$1:I$400,0)),I$2,)</f>
        <v>0</v>
      </c>
      <c r="J249" s="179">
        <f ca="1">IF(ISNUMBER(MATCH(DATEVALUE($A249),'changes1_based on steps'!J$1:J$400,0)),J$2,)</f>
        <v>0</v>
      </c>
      <c r="K249" s="179">
        <f ca="1">IF(ISNUMBER(MATCH(DATEVALUE($A249),'changes1_based on steps'!K$1:K$400,0)),K$2,)</f>
        <v>0</v>
      </c>
      <c r="L249" s="179">
        <f ca="1">IF(ISNUMBER(MATCH(DATEVALUE($A249),'changes1_based on steps'!L$1:L$400,0)),L$2,)</f>
        <v>0</v>
      </c>
      <c r="M249" s="179">
        <f ca="1">IF(ISNUMBER(MATCH(DATEVALUE($A249),'changes1_based on steps'!M$1:M$400,0)),M$2,)</f>
        <v>0</v>
      </c>
      <c r="N249" s="179">
        <f ca="1">IF(ISNUMBER(MATCH(DATEVALUE($A249),'changes1_based on steps'!N$1:N$400,0)),N$2,)</f>
        <v>0</v>
      </c>
      <c r="O249" s="179">
        <f ca="1">IF(ISNUMBER(MATCH(DATEVALUE($A249),'changes1_based on steps'!O$1:O$400,0)),O$2,)</f>
        <v>0</v>
      </c>
      <c r="P249" s="179">
        <f ca="1">IF(ISNUMBER(MATCH(DATEVALUE($A249),'changes1_based on steps'!P$1:P$400,0)),P$2,)</f>
        <v>0</v>
      </c>
      <c r="Q249" s="179">
        <f ca="1">IF(ISNUMBER(MATCH(DATEVALUE($A249),'changes1_based on steps'!Q$1:Q$400,0)),Q$2,)</f>
        <v>0</v>
      </c>
      <c r="R249" s="179">
        <f ca="1">IF(ISNUMBER(MATCH(DATEVALUE($A249),'changes1_based on steps'!R$1:R$400,0)),R$2,)</f>
        <v>0</v>
      </c>
      <c r="S249" s="179">
        <f ca="1">IF(ISNUMBER(MATCH(DATEVALUE($A249),'changes1_based on steps'!S$1:S$400,0)),S$2,)</f>
        <v>0</v>
      </c>
      <c r="T249" s="179">
        <f ca="1">IF(ISNUMBER(MATCH(DATEVALUE($A249),'changes1_based on steps'!T$1:T$400,0)),T$2,)</f>
        <v>0</v>
      </c>
      <c r="U249" s="179">
        <f ca="1">IF(ISNUMBER(MATCH(DATEVALUE($A249),'changes1_based on steps'!U$1:U$400,0)),U$2,)</f>
        <v>0</v>
      </c>
      <c r="V249" s="179"/>
      <c r="W249" s="179"/>
      <c r="X249" s="179"/>
      <c r="Y249" s="179"/>
      <c r="Z249" s="179"/>
      <c r="AA249" s="179"/>
      <c r="AB249" s="179"/>
      <c r="AC249" s="179"/>
      <c r="AD249" s="179"/>
      <c r="AE249" s="179"/>
      <c r="AF249" s="179"/>
      <c r="AG249" s="179"/>
      <c r="AH249" s="179"/>
      <c r="AI249" s="179"/>
      <c r="AJ249" s="179"/>
      <c r="AK249" s="179"/>
      <c r="AL249" s="179"/>
      <c r="AM249" s="179"/>
      <c r="AN249" s="179"/>
      <c r="AO249" s="179"/>
      <c r="AP249" s="179"/>
      <c r="AQ249" s="179"/>
      <c r="AR249" s="179"/>
      <c r="AS249" s="179"/>
      <c r="AT249" s="179"/>
      <c r="AU249" s="179"/>
      <c r="AV249" s="179"/>
      <c r="AW249" s="179"/>
      <c r="AX249" s="179"/>
      <c r="AY249" s="179"/>
      <c r="AZ249" s="179"/>
      <c r="BA249" s="179"/>
      <c r="BB249" s="179"/>
      <c r="BC249" s="179"/>
      <c r="BD249" s="179"/>
      <c r="BE249" s="179"/>
      <c r="BF249" s="179"/>
      <c r="BG249" s="179"/>
      <c r="BH249" s="179"/>
      <c r="BI249" s="179"/>
      <c r="BJ249" s="179"/>
      <c r="BK249" s="179"/>
      <c r="BL249" s="179"/>
      <c r="BM249" s="179"/>
      <c r="BN249" s="179"/>
      <c r="BO249" s="179"/>
      <c r="BP249" s="179"/>
      <c r="BQ249" s="179"/>
      <c r="BR249" s="179"/>
      <c r="BS249" s="179"/>
      <c r="BT249" s="179"/>
      <c r="BU249" s="179"/>
      <c r="BV249" s="179"/>
      <c r="BW249" s="179"/>
      <c r="BX249" s="179"/>
      <c r="BY249" s="179"/>
      <c r="BZ249" s="179"/>
      <c r="CA249" s="179"/>
      <c r="CB249" s="179"/>
      <c r="CC249" s="179"/>
      <c r="CD249" s="179"/>
      <c r="CE249" s="179"/>
      <c r="CF249" s="179"/>
      <c r="CG249" s="179"/>
      <c r="CH249" s="179"/>
      <c r="CI249" s="179"/>
      <c r="CJ249" s="179"/>
      <c r="CK249" s="179"/>
      <c r="CL249" s="179"/>
      <c r="CM249" s="179"/>
      <c r="CN249" s="179"/>
      <c r="CO249" s="179"/>
      <c r="CP249" s="179"/>
      <c r="CQ249" s="179"/>
      <c r="CR249" s="179"/>
      <c r="CS249" s="179"/>
      <c r="CT249" s="179"/>
      <c r="CU249" s="179"/>
      <c r="CV249" s="179"/>
      <c r="CW249" s="179"/>
    </row>
    <row r="250" spans="1:101" x14ac:dyDescent="0.2">
      <c r="A250" s="32" t="str">
        <f t="shared" ca="1" si="3"/>
        <v>2025-12-08</v>
      </c>
      <c r="B250" s="179">
        <f ca="1">IF(ISNUMBER(MATCH(DATEVALUE($A250),'changes1_based on steps'!B$1:B$400,0)),B$2,)</f>
        <v>0</v>
      </c>
      <c r="C250" s="179">
        <f ca="1">IF(ISNUMBER(MATCH(DATEVALUE($A250),'changes1_based on steps'!C$1:C$400,0)),C$2,)</f>
        <v>0</v>
      </c>
      <c r="D250" s="179">
        <f ca="1">IF(ISNUMBER(MATCH(DATEVALUE($A250),'changes1_based on steps'!D$1:D$400,0)),D$2,)</f>
        <v>0</v>
      </c>
      <c r="E250" s="179">
        <f ca="1">IF(ISNUMBER(MATCH(DATEVALUE($A250),'changes1_based on steps'!E$1:E$400,0)),E$2,)</f>
        <v>0</v>
      </c>
      <c r="F250" s="179">
        <f ca="1">IF(ISNUMBER(MATCH(DATEVALUE($A250),'changes1_based on steps'!F$1:F$400,0)),F$2,)</f>
        <v>0</v>
      </c>
      <c r="G250" s="179">
        <f ca="1">IF(ISNUMBER(MATCH(DATEVALUE($A250),'changes1_based on steps'!G$1:G$400,0)),G$2,)</f>
        <v>0</v>
      </c>
      <c r="H250" s="179">
        <f ca="1">IF(ISNUMBER(MATCH(DATEVALUE($A250),'changes1_based on steps'!H$1:H$400,0)),H$2,)</f>
        <v>0</v>
      </c>
      <c r="I250" s="179">
        <f ca="1">IF(ISNUMBER(MATCH(DATEVALUE($A250),'changes1_based on steps'!I$1:I$400,0)),I$2,)</f>
        <v>0</v>
      </c>
      <c r="J250" s="179">
        <f ca="1">IF(ISNUMBER(MATCH(DATEVALUE($A250),'changes1_based on steps'!J$1:J$400,0)),J$2,)</f>
        <v>0</v>
      </c>
      <c r="K250" s="179">
        <f ca="1">IF(ISNUMBER(MATCH(DATEVALUE($A250),'changes1_based on steps'!K$1:K$400,0)),K$2,)</f>
        <v>0</v>
      </c>
      <c r="L250" s="179">
        <f ca="1">IF(ISNUMBER(MATCH(DATEVALUE($A250),'changes1_based on steps'!L$1:L$400,0)),L$2,)</f>
        <v>0</v>
      </c>
      <c r="M250" s="179">
        <f ca="1">IF(ISNUMBER(MATCH(DATEVALUE($A250),'changes1_based on steps'!M$1:M$400,0)),M$2,)</f>
        <v>0</v>
      </c>
      <c r="N250" s="179">
        <f ca="1">IF(ISNUMBER(MATCH(DATEVALUE($A250),'changes1_based on steps'!N$1:N$400,0)),N$2,)</f>
        <v>0</v>
      </c>
      <c r="O250" s="179">
        <f ca="1">IF(ISNUMBER(MATCH(DATEVALUE($A250),'changes1_based on steps'!O$1:O$400,0)),O$2,)</f>
        <v>0</v>
      </c>
      <c r="P250" s="179">
        <f ca="1">IF(ISNUMBER(MATCH(DATEVALUE($A250),'changes1_based on steps'!P$1:P$400,0)),P$2,)</f>
        <v>0</v>
      </c>
      <c r="Q250" s="179">
        <f ca="1">IF(ISNUMBER(MATCH(DATEVALUE($A250),'changes1_based on steps'!Q$1:Q$400,0)),Q$2,)</f>
        <v>0</v>
      </c>
      <c r="R250" s="179">
        <f ca="1">IF(ISNUMBER(MATCH(DATEVALUE($A250),'changes1_based on steps'!R$1:R$400,0)),R$2,)</f>
        <v>0</v>
      </c>
      <c r="S250" s="179">
        <f ca="1">IF(ISNUMBER(MATCH(DATEVALUE($A250),'changes1_based on steps'!S$1:S$400,0)),S$2,)</f>
        <v>0</v>
      </c>
      <c r="T250" s="179">
        <f ca="1">IF(ISNUMBER(MATCH(DATEVALUE($A250),'changes1_based on steps'!T$1:T$400,0)),T$2,)</f>
        <v>0</v>
      </c>
      <c r="U250" s="179">
        <f ca="1">IF(ISNUMBER(MATCH(DATEVALUE($A250),'changes1_based on steps'!U$1:U$400,0)),U$2,)</f>
        <v>0</v>
      </c>
      <c r="V250" s="179"/>
      <c r="W250" s="179"/>
      <c r="X250" s="179"/>
      <c r="Y250" s="179"/>
      <c r="Z250" s="179"/>
      <c r="AA250" s="179"/>
      <c r="AB250" s="179"/>
      <c r="AC250" s="179"/>
      <c r="AD250" s="179"/>
      <c r="AE250" s="179"/>
      <c r="AF250" s="179"/>
      <c r="AG250" s="179"/>
      <c r="AH250" s="179"/>
      <c r="AI250" s="179"/>
      <c r="AJ250" s="179"/>
      <c r="AK250" s="179"/>
      <c r="AL250" s="179"/>
      <c r="AM250" s="179"/>
      <c r="AN250" s="179"/>
      <c r="AO250" s="179"/>
      <c r="AP250" s="179"/>
      <c r="AQ250" s="179"/>
      <c r="AR250" s="179"/>
      <c r="AS250" s="179"/>
      <c r="AT250" s="179"/>
      <c r="AU250" s="179"/>
      <c r="AV250" s="179"/>
      <c r="AW250" s="179"/>
      <c r="AX250" s="179"/>
      <c r="AY250" s="179"/>
      <c r="AZ250" s="179"/>
      <c r="BA250" s="179"/>
      <c r="BB250" s="179"/>
      <c r="BC250" s="179"/>
      <c r="BD250" s="179"/>
      <c r="BE250" s="179"/>
      <c r="BF250" s="179"/>
      <c r="BG250" s="179"/>
      <c r="BH250" s="179"/>
      <c r="BI250" s="179"/>
      <c r="BJ250" s="179"/>
      <c r="BK250" s="179"/>
      <c r="BL250" s="179"/>
      <c r="BM250" s="179"/>
      <c r="BN250" s="179"/>
      <c r="BO250" s="179"/>
      <c r="BP250" s="179"/>
      <c r="BQ250" s="179"/>
      <c r="BR250" s="179"/>
      <c r="BS250" s="179"/>
      <c r="BT250" s="179"/>
      <c r="BU250" s="179"/>
      <c r="BV250" s="179"/>
      <c r="BW250" s="179"/>
      <c r="BX250" s="179"/>
      <c r="BY250" s="179"/>
      <c r="BZ250" s="179"/>
      <c r="CA250" s="179"/>
      <c r="CB250" s="179"/>
      <c r="CC250" s="179"/>
      <c r="CD250" s="179"/>
      <c r="CE250" s="179"/>
      <c r="CF250" s="179"/>
      <c r="CG250" s="179"/>
      <c r="CH250" s="179"/>
      <c r="CI250" s="179"/>
      <c r="CJ250" s="179"/>
      <c r="CK250" s="179"/>
      <c r="CL250" s="179"/>
      <c r="CM250" s="179"/>
      <c r="CN250" s="179"/>
      <c r="CO250" s="179"/>
      <c r="CP250" s="179"/>
      <c r="CQ250" s="179"/>
      <c r="CR250" s="179"/>
      <c r="CS250" s="179"/>
      <c r="CT250" s="179"/>
      <c r="CU250" s="179"/>
      <c r="CV250" s="179"/>
      <c r="CW250" s="179"/>
    </row>
    <row r="251" spans="1:101" x14ac:dyDescent="0.2">
      <c r="A251" s="32" t="str">
        <f t="shared" ca="1" si="3"/>
        <v>2025-12-09</v>
      </c>
      <c r="B251" s="179">
        <f ca="1">IF(ISNUMBER(MATCH(DATEVALUE($A251),'changes1_based on steps'!B$1:B$400,0)),B$2,)</f>
        <v>0</v>
      </c>
      <c r="C251" s="179">
        <f ca="1">IF(ISNUMBER(MATCH(DATEVALUE($A251),'changes1_based on steps'!C$1:C$400,0)),C$2,)</f>
        <v>0</v>
      </c>
      <c r="D251" s="179">
        <f ca="1">IF(ISNUMBER(MATCH(DATEVALUE($A251),'changes1_based on steps'!D$1:D$400,0)),D$2,)</f>
        <v>0</v>
      </c>
      <c r="E251" s="179">
        <f ca="1">IF(ISNUMBER(MATCH(DATEVALUE($A251),'changes1_based on steps'!E$1:E$400,0)),E$2,)</f>
        <v>0</v>
      </c>
      <c r="F251" s="179">
        <f ca="1">IF(ISNUMBER(MATCH(DATEVALUE($A251),'changes1_based on steps'!F$1:F$400,0)),F$2,)</f>
        <v>0</v>
      </c>
      <c r="G251" s="179">
        <f ca="1">IF(ISNUMBER(MATCH(DATEVALUE($A251),'changes1_based on steps'!G$1:G$400,0)),G$2,)</f>
        <v>0</v>
      </c>
      <c r="H251" s="179">
        <f ca="1">IF(ISNUMBER(MATCH(DATEVALUE($A251),'changes1_based on steps'!H$1:H$400,0)),H$2,)</f>
        <v>0</v>
      </c>
      <c r="I251" s="179">
        <f ca="1">IF(ISNUMBER(MATCH(DATEVALUE($A251),'changes1_based on steps'!I$1:I$400,0)),I$2,)</f>
        <v>0</v>
      </c>
      <c r="J251" s="179">
        <f ca="1">IF(ISNUMBER(MATCH(DATEVALUE($A251),'changes1_based on steps'!J$1:J$400,0)),J$2,)</f>
        <v>0</v>
      </c>
      <c r="K251" s="179">
        <f ca="1">IF(ISNUMBER(MATCH(DATEVALUE($A251),'changes1_based on steps'!K$1:K$400,0)),K$2,)</f>
        <v>0</v>
      </c>
      <c r="L251" s="179">
        <f ca="1">IF(ISNUMBER(MATCH(DATEVALUE($A251),'changes1_based on steps'!L$1:L$400,0)),L$2,)</f>
        <v>0</v>
      </c>
      <c r="M251" s="179">
        <f ca="1">IF(ISNUMBER(MATCH(DATEVALUE($A251),'changes1_based on steps'!M$1:M$400,0)),M$2,)</f>
        <v>0</v>
      </c>
      <c r="N251" s="179">
        <f ca="1">IF(ISNUMBER(MATCH(DATEVALUE($A251),'changes1_based on steps'!N$1:N$400,0)),N$2,)</f>
        <v>0</v>
      </c>
      <c r="O251" s="179">
        <f ca="1">IF(ISNUMBER(MATCH(DATEVALUE($A251),'changes1_based on steps'!O$1:O$400,0)),O$2,)</f>
        <v>0</v>
      </c>
      <c r="P251" s="179">
        <f ca="1">IF(ISNUMBER(MATCH(DATEVALUE($A251),'changes1_based on steps'!P$1:P$400,0)),P$2,)</f>
        <v>0</v>
      </c>
      <c r="Q251" s="179">
        <f ca="1">IF(ISNUMBER(MATCH(DATEVALUE($A251),'changes1_based on steps'!Q$1:Q$400,0)),Q$2,)</f>
        <v>0</v>
      </c>
      <c r="R251" s="179">
        <f ca="1">IF(ISNUMBER(MATCH(DATEVALUE($A251),'changes1_based on steps'!R$1:R$400,0)),R$2,)</f>
        <v>0</v>
      </c>
      <c r="S251" s="179">
        <f ca="1">IF(ISNUMBER(MATCH(DATEVALUE($A251),'changes1_based on steps'!S$1:S$400,0)),S$2,)</f>
        <v>0</v>
      </c>
      <c r="T251" s="179">
        <f ca="1">IF(ISNUMBER(MATCH(DATEVALUE($A251),'changes1_based on steps'!T$1:T$400,0)),T$2,)</f>
        <v>0</v>
      </c>
      <c r="U251" s="179">
        <f ca="1">IF(ISNUMBER(MATCH(DATEVALUE($A251),'changes1_based on steps'!U$1:U$400,0)),U$2,)</f>
        <v>0</v>
      </c>
      <c r="V251" s="179"/>
      <c r="W251" s="179"/>
      <c r="X251" s="179"/>
      <c r="Y251" s="179"/>
      <c r="Z251" s="179"/>
      <c r="AA251" s="179"/>
      <c r="AB251" s="179"/>
      <c r="AC251" s="179"/>
      <c r="AD251" s="179"/>
      <c r="AE251" s="179"/>
      <c r="AF251" s="179"/>
      <c r="AG251" s="179"/>
      <c r="AH251" s="179"/>
      <c r="AI251" s="179"/>
      <c r="AJ251" s="179"/>
      <c r="AK251" s="179"/>
      <c r="AL251" s="179"/>
      <c r="AM251" s="179"/>
      <c r="AN251" s="179"/>
      <c r="AO251" s="179"/>
      <c r="AP251" s="179"/>
      <c r="AQ251" s="179"/>
      <c r="AR251" s="179"/>
      <c r="AS251" s="179"/>
      <c r="AT251" s="179"/>
      <c r="AU251" s="179"/>
      <c r="AV251" s="179"/>
      <c r="AW251" s="179"/>
      <c r="AX251" s="179"/>
      <c r="AY251" s="179"/>
      <c r="AZ251" s="179"/>
      <c r="BA251" s="179"/>
      <c r="BB251" s="179"/>
      <c r="BC251" s="179"/>
      <c r="BD251" s="179"/>
      <c r="BE251" s="179"/>
      <c r="BF251" s="179"/>
      <c r="BG251" s="179"/>
      <c r="BH251" s="179"/>
      <c r="BI251" s="179"/>
      <c r="BJ251" s="179"/>
      <c r="BK251" s="179"/>
      <c r="BL251" s="179"/>
      <c r="BM251" s="179"/>
      <c r="BN251" s="179"/>
      <c r="BO251" s="179"/>
      <c r="BP251" s="179"/>
      <c r="BQ251" s="179"/>
      <c r="BR251" s="179"/>
      <c r="BS251" s="179"/>
      <c r="BT251" s="179"/>
      <c r="BU251" s="179"/>
      <c r="BV251" s="179"/>
      <c r="BW251" s="179"/>
      <c r="BX251" s="179"/>
      <c r="BY251" s="179"/>
      <c r="BZ251" s="179"/>
      <c r="CA251" s="179"/>
      <c r="CB251" s="179"/>
      <c r="CC251" s="179"/>
      <c r="CD251" s="179"/>
      <c r="CE251" s="179"/>
      <c r="CF251" s="179"/>
      <c r="CG251" s="179"/>
      <c r="CH251" s="179"/>
      <c r="CI251" s="179"/>
      <c r="CJ251" s="179"/>
      <c r="CK251" s="179"/>
      <c r="CL251" s="179"/>
      <c r="CM251" s="179"/>
      <c r="CN251" s="179"/>
      <c r="CO251" s="179"/>
      <c r="CP251" s="179"/>
      <c r="CQ251" s="179"/>
      <c r="CR251" s="179"/>
      <c r="CS251" s="179"/>
      <c r="CT251" s="179"/>
      <c r="CU251" s="179"/>
      <c r="CV251" s="179"/>
      <c r="CW251" s="179"/>
    </row>
    <row r="252" spans="1:101" x14ac:dyDescent="0.2">
      <c r="A252" s="32" t="str">
        <f t="shared" ca="1" si="3"/>
        <v>2025-12-10</v>
      </c>
      <c r="B252" s="179">
        <f ca="1">IF(ISNUMBER(MATCH(DATEVALUE($A252),'changes1_based on steps'!B$1:B$400,0)),B$2,)</f>
        <v>0</v>
      </c>
      <c r="C252" s="179">
        <f ca="1">IF(ISNUMBER(MATCH(DATEVALUE($A252),'changes1_based on steps'!C$1:C$400,0)),C$2,)</f>
        <v>0</v>
      </c>
      <c r="D252" s="179">
        <f ca="1">IF(ISNUMBER(MATCH(DATEVALUE($A252),'changes1_based on steps'!D$1:D$400,0)),D$2,)</f>
        <v>0</v>
      </c>
      <c r="E252" s="179">
        <f ca="1">IF(ISNUMBER(MATCH(DATEVALUE($A252),'changes1_based on steps'!E$1:E$400,0)),E$2,)</f>
        <v>0</v>
      </c>
      <c r="F252" s="179">
        <f ca="1">IF(ISNUMBER(MATCH(DATEVALUE($A252),'changes1_based on steps'!F$1:F$400,0)),F$2,)</f>
        <v>0</v>
      </c>
      <c r="G252" s="179">
        <f ca="1">IF(ISNUMBER(MATCH(DATEVALUE($A252),'changes1_based on steps'!G$1:G$400,0)),G$2,)</f>
        <v>0</v>
      </c>
      <c r="H252" s="179">
        <f ca="1">IF(ISNUMBER(MATCH(DATEVALUE($A252),'changes1_based on steps'!H$1:H$400,0)),H$2,)</f>
        <v>0</v>
      </c>
      <c r="I252" s="179">
        <f ca="1">IF(ISNUMBER(MATCH(DATEVALUE($A252),'changes1_based on steps'!I$1:I$400,0)),I$2,)</f>
        <v>0</v>
      </c>
      <c r="J252" s="179">
        <f ca="1">IF(ISNUMBER(MATCH(DATEVALUE($A252),'changes1_based on steps'!J$1:J$400,0)),J$2,)</f>
        <v>0</v>
      </c>
      <c r="K252" s="179">
        <f ca="1">IF(ISNUMBER(MATCH(DATEVALUE($A252),'changes1_based on steps'!K$1:K$400,0)),K$2,)</f>
        <v>0</v>
      </c>
      <c r="L252" s="179">
        <f ca="1">IF(ISNUMBER(MATCH(DATEVALUE($A252),'changes1_based on steps'!L$1:L$400,0)),L$2,)</f>
        <v>0</v>
      </c>
      <c r="M252" s="179">
        <f ca="1">IF(ISNUMBER(MATCH(DATEVALUE($A252),'changes1_based on steps'!M$1:M$400,0)),M$2,)</f>
        <v>0</v>
      </c>
      <c r="N252" s="179">
        <f ca="1">IF(ISNUMBER(MATCH(DATEVALUE($A252),'changes1_based on steps'!N$1:N$400,0)),N$2,)</f>
        <v>0</v>
      </c>
      <c r="O252" s="179">
        <f ca="1">IF(ISNUMBER(MATCH(DATEVALUE($A252),'changes1_based on steps'!O$1:O$400,0)),O$2,)</f>
        <v>0</v>
      </c>
      <c r="P252" s="179">
        <f ca="1">IF(ISNUMBER(MATCH(DATEVALUE($A252),'changes1_based on steps'!P$1:P$400,0)),P$2,)</f>
        <v>0</v>
      </c>
      <c r="Q252" s="179">
        <f ca="1">IF(ISNUMBER(MATCH(DATEVALUE($A252),'changes1_based on steps'!Q$1:Q$400,0)),Q$2,)</f>
        <v>0</v>
      </c>
      <c r="R252" s="179">
        <f ca="1">IF(ISNUMBER(MATCH(DATEVALUE($A252),'changes1_based on steps'!R$1:R$400,0)),R$2,)</f>
        <v>0</v>
      </c>
      <c r="S252" s="179">
        <f ca="1">IF(ISNUMBER(MATCH(DATEVALUE($A252),'changes1_based on steps'!S$1:S$400,0)),S$2,)</f>
        <v>0</v>
      </c>
      <c r="T252" s="179">
        <f ca="1">IF(ISNUMBER(MATCH(DATEVALUE($A252),'changes1_based on steps'!T$1:T$400,0)),T$2,)</f>
        <v>0</v>
      </c>
      <c r="U252" s="179">
        <f ca="1">IF(ISNUMBER(MATCH(DATEVALUE($A252),'changes1_based on steps'!U$1:U$400,0)),U$2,)</f>
        <v>0</v>
      </c>
      <c r="V252" s="179"/>
      <c r="W252" s="179"/>
      <c r="X252" s="179"/>
      <c r="Y252" s="179"/>
      <c r="Z252" s="179"/>
      <c r="AA252" s="179"/>
      <c r="AB252" s="179"/>
      <c r="AC252" s="179"/>
      <c r="AD252" s="179"/>
      <c r="AE252" s="179"/>
      <c r="AF252" s="179"/>
      <c r="AG252" s="179"/>
      <c r="AH252" s="179"/>
      <c r="AI252" s="179"/>
      <c r="AJ252" s="179"/>
      <c r="AK252" s="179"/>
      <c r="AL252" s="179"/>
      <c r="AM252" s="179"/>
      <c r="AN252" s="179"/>
      <c r="AO252" s="179"/>
      <c r="AP252" s="179"/>
      <c r="AQ252" s="179"/>
      <c r="AR252" s="179"/>
      <c r="AS252" s="179"/>
      <c r="AT252" s="179"/>
      <c r="AU252" s="179"/>
      <c r="AV252" s="179"/>
      <c r="AW252" s="179"/>
      <c r="AX252" s="179"/>
      <c r="AY252" s="179"/>
      <c r="AZ252" s="179"/>
      <c r="BA252" s="179"/>
      <c r="BB252" s="179"/>
      <c r="BC252" s="179"/>
      <c r="BD252" s="179"/>
      <c r="BE252" s="179"/>
      <c r="BF252" s="179"/>
      <c r="BG252" s="179"/>
      <c r="BH252" s="179"/>
      <c r="BI252" s="179"/>
      <c r="BJ252" s="179"/>
      <c r="BK252" s="179"/>
      <c r="BL252" s="179"/>
      <c r="BM252" s="179"/>
      <c r="BN252" s="179"/>
      <c r="BO252" s="179"/>
      <c r="BP252" s="179"/>
      <c r="BQ252" s="179"/>
      <c r="BR252" s="179"/>
      <c r="BS252" s="179"/>
      <c r="BT252" s="179"/>
      <c r="BU252" s="179"/>
      <c r="BV252" s="179"/>
      <c r="BW252" s="179"/>
      <c r="BX252" s="179"/>
      <c r="BY252" s="179"/>
      <c r="BZ252" s="179"/>
      <c r="CA252" s="179"/>
      <c r="CB252" s="179"/>
      <c r="CC252" s="179"/>
      <c r="CD252" s="179"/>
      <c r="CE252" s="179"/>
      <c r="CF252" s="179"/>
      <c r="CG252" s="179"/>
      <c r="CH252" s="179"/>
      <c r="CI252" s="179"/>
      <c r="CJ252" s="179"/>
      <c r="CK252" s="179"/>
      <c r="CL252" s="179"/>
      <c r="CM252" s="179"/>
      <c r="CN252" s="179"/>
      <c r="CO252" s="179"/>
      <c r="CP252" s="179"/>
      <c r="CQ252" s="179"/>
      <c r="CR252" s="179"/>
      <c r="CS252" s="179"/>
      <c r="CT252" s="179"/>
      <c r="CU252" s="179"/>
      <c r="CV252" s="179"/>
      <c r="CW252" s="179"/>
    </row>
    <row r="253" spans="1:101" x14ac:dyDescent="0.2">
      <c r="A253" s="32" t="str">
        <f t="shared" ca="1" si="3"/>
        <v>2025-12-11</v>
      </c>
      <c r="B253" s="179">
        <f ca="1">IF(ISNUMBER(MATCH(DATEVALUE($A253),'changes1_based on steps'!B$1:B$400,0)),B$2,)</f>
        <v>0</v>
      </c>
      <c r="C253" s="179">
        <f ca="1">IF(ISNUMBER(MATCH(DATEVALUE($A253),'changes1_based on steps'!C$1:C$400,0)),C$2,)</f>
        <v>0</v>
      </c>
      <c r="D253" s="179">
        <f ca="1">IF(ISNUMBER(MATCH(DATEVALUE($A253),'changes1_based on steps'!D$1:D$400,0)),D$2,)</f>
        <v>0</v>
      </c>
      <c r="E253" s="179">
        <f ca="1">IF(ISNUMBER(MATCH(DATEVALUE($A253),'changes1_based on steps'!E$1:E$400,0)),E$2,)</f>
        <v>0</v>
      </c>
      <c r="F253" s="179">
        <f ca="1">IF(ISNUMBER(MATCH(DATEVALUE($A253),'changes1_based on steps'!F$1:F$400,0)),F$2,)</f>
        <v>0</v>
      </c>
      <c r="G253" s="179">
        <f ca="1">IF(ISNUMBER(MATCH(DATEVALUE($A253),'changes1_based on steps'!G$1:G$400,0)),G$2,)</f>
        <v>0</v>
      </c>
      <c r="H253" s="179">
        <f ca="1">IF(ISNUMBER(MATCH(DATEVALUE($A253),'changes1_based on steps'!H$1:H$400,0)),H$2,)</f>
        <v>0</v>
      </c>
      <c r="I253" s="179">
        <f ca="1">IF(ISNUMBER(MATCH(DATEVALUE($A253),'changes1_based on steps'!I$1:I$400,0)),I$2,)</f>
        <v>0</v>
      </c>
      <c r="J253" s="179">
        <f ca="1">IF(ISNUMBER(MATCH(DATEVALUE($A253),'changes1_based on steps'!J$1:J$400,0)),J$2,)</f>
        <v>0</v>
      </c>
      <c r="K253" s="179">
        <f ca="1">IF(ISNUMBER(MATCH(DATEVALUE($A253),'changes1_based on steps'!K$1:K$400,0)),K$2,)</f>
        <v>0</v>
      </c>
      <c r="L253" s="179">
        <f ca="1">IF(ISNUMBER(MATCH(DATEVALUE($A253),'changes1_based on steps'!L$1:L$400,0)),L$2,)</f>
        <v>0</v>
      </c>
      <c r="M253" s="179">
        <f ca="1">IF(ISNUMBER(MATCH(DATEVALUE($A253),'changes1_based on steps'!M$1:M$400,0)),M$2,)</f>
        <v>0</v>
      </c>
      <c r="N253" s="179">
        <f ca="1">IF(ISNUMBER(MATCH(DATEVALUE($A253),'changes1_based on steps'!N$1:N$400,0)),N$2,)</f>
        <v>0</v>
      </c>
      <c r="O253" s="179">
        <f ca="1">IF(ISNUMBER(MATCH(DATEVALUE($A253),'changes1_based on steps'!O$1:O$400,0)),O$2,)</f>
        <v>0</v>
      </c>
      <c r="P253" s="179">
        <f ca="1">IF(ISNUMBER(MATCH(DATEVALUE($A253),'changes1_based on steps'!P$1:P$400,0)),P$2,)</f>
        <v>0</v>
      </c>
      <c r="Q253" s="179">
        <f ca="1">IF(ISNUMBER(MATCH(DATEVALUE($A253),'changes1_based on steps'!Q$1:Q$400,0)),Q$2,)</f>
        <v>0</v>
      </c>
      <c r="R253" s="179">
        <f ca="1">IF(ISNUMBER(MATCH(DATEVALUE($A253),'changes1_based on steps'!R$1:R$400,0)),R$2,)</f>
        <v>0</v>
      </c>
      <c r="S253" s="179">
        <f ca="1">IF(ISNUMBER(MATCH(DATEVALUE($A253),'changes1_based on steps'!S$1:S$400,0)),S$2,)</f>
        <v>0</v>
      </c>
      <c r="T253" s="179">
        <f ca="1">IF(ISNUMBER(MATCH(DATEVALUE($A253),'changes1_based on steps'!T$1:T$400,0)),T$2,)</f>
        <v>0</v>
      </c>
      <c r="U253" s="179">
        <f ca="1">IF(ISNUMBER(MATCH(DATEVALUE($A253),'changes1_based on steps'!U$1:U$400,0)),U$2,)</f>
        <v>0</v>
      </c>
      <c r="V253" s="179"/>
      <c r="W253" s="179"/>
      <c r="X253" s="179"/>
      <c r="Y253" s="179"/>
      <c r="Z253" s="179"/>
      <c r="AA253" s="179"/>
      <c r="AB253" s="179"/>
      <c r="AC253" s="179"/>
      <c r="AD253" s="179"/>
      <c r="AE253" s="179"/>
      <c r="AF253" s="179"/>
      <c r="AG253" s="179"/>
      <c r="AH253" s="179"/>
      <c r="AI253" s="179"/>
      <c r="AJ253" s="179"/>
      <c r="AK253" s="179"/>
      <c r="AL253" s="179"/>
      <c r="AM253" s="179"/>
      <c r="AN253" s="179"/>
      <c r="AO253" s="179"/>
      <c r="AP253" s="179"/>
      <c r="AQ253" s="179"/>
      <c r="AR253" s="179"/>
      <c r="AS253" s="179"/>
      <c r="AT253" s="179"/>
      <c r="AU253" s="179"/>
      <c r="AV253" s="179"/>
      <c r="AW253" s="179"/>
      <c r="AX253" s="179"/>
      <c r="AY253" s="179"/>
      <c r="AZ253" s="179"/>
      <c r="BA253" s="179"/>
      <c r="BB253" s="179"/>
      <c r="BC253" s="179"/>
      <c r="BD253" s="179"/>
      <c r="BE253" s="179"/>
      <c r="BF253" s="179"/>
      <c r="BG253" s="179"/>
      <c r="BH253" s="179"/>
      <c r="BI253" s="179"/>
      <c r="BJ253" s="179"/>
      <c r="BK253" s="179"/>
      <c r="BL253" s="179"/>
      <c r="BM253" s="179"/>
      <c r="BN253" s="179"/>
      <c r="BO253" s="179"/>
      <c r="BP253" s="179"/>
      <c r="BQ253" s="179"/>
      <c r="BR253" s="179"/>
      <c r="BS253" s="179"/>
      <c r="BT253" s="179"/>
      <c r="BU253" s="179"/>
      <c r="BV253" s="179"/>
      <c r="BW253" s="179"/>
      <c r="BX253" s="179"/>
      <c r="BY253" s="179"/>
      <c r="BZ253" s="179"/>
      <c r="CA253" s="179"/>
      <c r="CB253" s="179"/>
      <c r="CC253" s="179"/>
      <c r="CD253" s="179"/>
      <c r="CE253" s="179"/>
      <c r="CF253" s="179"/>
      <c r="CG253" s="179"/>
      <c r="CH253" s="179"/>
      <c r="CI253" s="179"/>
      <c r="CJ253" s="179"/>
      <c r="CK253" s="179"/>
      <c r="CL253" s="179"/>
      <c r="CM253" s="179"/>
      <c r="CN253" s="179"/>
      <c r="CO253" s="179"/>
      <c r="CP253" s="179"/>
      <c r="CQ253" s="179"/>
      <c r="CR253" s="179"/>
      <c r="CS253" s="179"/>
      <c r="CT253" s="179"/>
      <c r="CU253" s="179"/>
      <c r="CV253" s="179"/>
      <c r="CW253" s="179"/>
    </row>
    <row r="254" spans="1:101" x14ac:dyDescent="0.2">
      <c r="A254" s="32" t="str">
        <f t="shared" ca="1" si="3"/>
        <v>2025-12-12</v>
      </c>
      <c r="B254" s="179">
        <f ca="1">IF(ISNUMBER(MATCH(DATEVALUE($A254),'changes1_based on steps'!B$1:B$400,0)),B$2,)</f>
        <v>0</v>
      </c>
      <c r="C254" s="179">
        <f ca="1">IF(ISNUMBER(MATCH(DATEVALUE($A254),'changes1_based on steps'!C$1:C$400,0)),C$2,)</f>
        <v>0</v>
      </c>
      <c r="D254" s="179">
        <f ca="1">IF(ISNUMBER(MATCH(DATEVALUE($A254),'changes1_based on steps'!D$1:D$400,0)),D$2,)</f>
        <v>0</v>
      </c>
      <c r="E254" s="179">
        <f ca="1">IF(ISNUMBER(MATCH(DATEVALUE($A254),'changes1_based on steps'!E$1:E$400,0)),E$2,)</f>
        <v>0</v>
      </c>
      <c r="F254" s="179">
        <f ca="1">IF(ISNUMBER(MATCH(DATEVALUE($A254),'changes1_based on steps'!F$1:F$400,0)),F$2,)</f>
        <v>0</v>
      </c>
      <c r="G254" s="179">
        <f ca="1">IF(ISNUMBER(MATCH(DATEVALUE($A254),'changes1_based on steps'!G$1:G$400,0)),G$2,)</f>
        <v>0</v>
      </c>
      <c r="H254" s="179">
        <f ca="1">IF(ISNUMBER(MATCH(DATEVALUE($A254),'changes1_based on steps'!H$1:H$400,0)),H$2,)</f>
        <v>0</v>
      </c>
      <c r="I254" s="179">
        <f ca="1">IF(ISNUMBER(MATCH(DATEVALUE($A254),'changes1_based on steps'!I$1:I$400,0)),I$2,)</f>
        <v>0</v>
      </c>
      <c r="J254" s="179">
        <f ca="1">IF(ISNUMBER(MATCH(DATEVALUE($A254),'changes1_based on steps'!J$1:J$400,0)),J$2,)</f>
        <v>0</v>
      </c>
      <c r="K254" s="179">
        <f ca="1">IF(ISNUMBER(MATCH(DATEVALUE($A254),'changes1_based on steps'!K$1:K$400,0)),K$2,)</f>
        <v>0</v>
      </c>
      <c r="L254" s="179">
        <f ca="1">IF(ISNUMBER(MATCH(DATEVALUE($A254),'changes1_based on steps'!L$1:L$400,0)),L$2,)</f>
        <v>0</v>
      </c>
      <c r="M254" s="179">
        <f ca="1">IF(ISNUMBER(MATCH(DATEVALUE($A254),'changes1_based on steps'!M$1:M$400,0)),M$2,)</f>
        <v>0</v>
      </c>
      <c r="N254" s="179">
        <f ca="1">IF(ISNUMBER(MATCH(DATEVALUE($A254),'changes1_based on steps'!N$1:N$400,0)),N$2,)</f>
        <v>0</v>
      </c>
      <c r="O254" s="179">
        <f ca="1">IF(ISNUMBER(MATCH(DATEVALUE($A254),'changes1_based on steps'!O$1:O$400,0)),O$2,)</f>
        <v>0</v>
      </c>
      <c r="P254" s="179">
        <f ca="1">IF(ISNUMBER(MATCH(DATEVALUE($A254),'changes1_based on steps'!P$1:P$400,0)),P$2,)</f>
        <v>0</v>
      </c>
      <c r="Q254" s="179">
        <f ca="1">IF(ISNUMBER(MATCH(DATEVALUE($A254),'changes1_based on steps'!Q$1:Q$400,0)),Q$2,)</f>
        <v>0</v>
      </c>
      <c r="R254" s="179">
        <f ca="1">IF(ISNUMBER(MATCH(DATEVALUE($A254),'changes1_based on steps'!R$1:R$400,0)),R$2,)</f>
        <v>0</v>
      </c>
      <c r="S254" s="179">
        <f ca="1">IF(ISNUMBER(MATCH(DATEVALUE($A254),'changes1_based on steps'!S$1:S$400,0)),S$2,)</f>
        <v>0</v>
      </c>
      <c r="T254" s="179">
        <f ca="1">IF(ISNUMBER(MATCH(DATEVALUE($A254),'changes1_based on steps'!T$1:T$400,0)),T$2,)</f>
        <v>0</v>
      </c>
      <c r="U254" s="179">
        <f ca="1">IF(ISNUMBER(MATCH(DATEVALUE($A254),'changes1_based on steps'!U$1:U$400,0)),U$2,)</f>
        <v>0</v>
      </c>
      <c r="V254" s="179"/>
      <c r="W254" s="179"/>
      <c r="X254" s="179"/>
      <c r="Y254" s="179"/>
      <c r="Z254" s="179"/>
      <c r="AA254" s="179"/>
      <c r="AB254" s="179"/>
      <c r="AC254" s="179"/>
      <c r="AD254" s="179"/>
      <c r="AE254" s="179"/>
      <c r="AF254" s="179"/>
      <c r="AG254" s="179"/>
      <c r="AH254" s="179"/>
      <c r="AI254" s="179"/>
      <c r="AJ254" s="179"/>
      <c r="AK254" s="179"/>
      <c r="AL254" s="179"/>
      <c r="AM254" s="179"/>
      <c r="AN254" s="179"/>
      <c r="AO254" s="179"/>
      <c r="AP254" s="179"/>
      <c r="AQ254" s="179"/>
      <c r="AR254" s="179"/>
      <c r="AS254" s="179"/>
      <c r="AT254" s="179"/>
      <c r="AU254" s="179"/>
      <c r="AV254" s="179"/>
      <c r="AW254" s="179"/>
      <c r="AX254" s="179"/>
      <c r="AY254" s="179"/>
      <c r="AZ254" s="179"/>
      <c r="BA254" s="179"/>
      <c r="BB254" s="179"/>
      <c r="BC254" s="179"/>
      <c r="BD254" s="179"/>
      <c r="BE254" s="179"/>
      <c r="BF254" s="179"/>
      <c r="BG254" s="179"/>
      <c r="BH254" s="179"/>
      <c r="BI254" s="179"/>
      <c r="BJ254" s="179"/>
      <c r="BK254" s="179"/>
      <c r="BL254" s="179"/>
      <c r="BM254" s="179"/>
      <c r="BN254" s="179"/>
      <c r="BO254" s="179"/>
      <c r="BP254" s="179"/>
      <c r="BQ254" s="179"/>
      <c r="BR254" s="179"/>
      <c r="BS254" s="179"/>
      <c r="BT254" s="179"/>
      <c r="BU254" s="179"/>
      <c r="BV254" s="179"/>
      <c r="BW254" s="179"/>
      <c r="BX254" s="179"/>
      <c r="BY254" s="179"/>
      <c r="BZ254" s="179"/>
      <c r="CA254" s="179"/>
      <c r="CB254" s="179"/>
      <c r="CC254" s="179"/>
      <c r="CD254" s="179"/>
      <c r="CE254" s="179"/>
      <c r="CF254" s="179"/>
      <c r="CG254" s="179"/>
      <c r="CH254" s="179"/>
      <c r="CI254" s="179"/>
      <c r="CJ254" s="179"/>
      <c r="CK254" s="179"/>
      <c r="CL254" s="179"/>
      <c r="CM254" s="179"/>
      <c r="CN254" s="179"/>
      <c r="CO254" s="179"/>
      <c r="CP254" s="179"/>
      <c r="CQ254" s="179"/>
      <c r="CR254" s="179"/>
      <c r="CS254" s="179"/>
      <c r="CT254" s="179"/>
      <c r="CU254" s="179"/>
      <c r="CV254" s="179"/>
      <c r="CW254" s="179"/>
    </row>
    <row r="255" spans="1:101" x14ac:dyDescent="0.2">
      <c r="A255" s="32" t="str">
        <f t="shared" ca="1" si="3"/>
        <v>2025-12-13</v>
      </c>
      <c r="B255" s="179">
        <f ca="1">IF(ISNUMBER(MATCH(DATEVALUE($A255),'changes1_based on steps'!B$1:B$400,0)),B$2,)</f>
        <v>0</v>
      </c>
      <c r="C255" s="179">
        <f ca="1">IF(ISNUMBER(MATCH(DATEVALUE($A255),'changes1_based on steps'!C$1:C$400,0)),C$2,)</f>
        <v>0</v>
      </c>
      <c r="D255" s="179">
        <f ca="1">IF(ISNUMBER(MATCH(DATEVALUE($A255),'changes1_based on steps'!D$1:D$400,0)),D$2,)</f>
        <v>0</v>
      </c>
      <c r="E255" s="179">
        <f ca="1">IF(ISNUMBER(MATCH(DATEVALUE($A255),'changes1_based on steps'!E$1:E$400,0)),E$2,)</f>
        <v>0</v>
      </c>
      <c r="F255" s="179">
        <f ca="1">IF(ISNUMBER(MATCH(DATEVALUE($A255),'changes1_based on steps'!F$1:F$400,0)),F$2,)</f>
        <v>0</v>
      </c>
      <c r="G255" s="179">
        <f ca="1">IF(ISNUMBER(MATCH(DATEVALUE($A255),'changes1_based on steps'!G$1:G$400,0)),G$2,)</f>
        <v>0</v>
      </c>
      <c r="H255" s="179">
        <f ca="1">IF(ISNUMBER(MATCH(DATEVALUE($A255),'changes1_based on steps'!H$1:H$400,0)),H$2,)</f>
        <v>0</v>
      </c>
      <c r="I255" s="179">
        <f ca="1">IF(ISNUMBER(MATCH(DATEVALUE($A255),'changes1_based on steps'!I$1:I$400,0)),I$2,)</f>
        <v>0</v>
      </c>
      <c r="J255" s="179">
        <f ca="1">IF(ISNUMBER(MATCH(DATEVALUE($A255),'changes1_based on steps'!J$1:J$400,0)),J$2,)</f>
        <v>0</v>
      </c>
      <c r="K255" s="179">
        <f ca="1">IF(ISNUMBER(MATCH(DATEVALUE($A255),'changes1_based on steps'!K$1:K$400,0)),K$2,)</f>
        <v>0</v>
      </c>
      <c r="L255" s="179">
        <f ca="1">IF(ISNUMBER(MATCH(DATEVALUE($A255),'changes1_based on steps'!L$1:L$400,0)),L$2,)</f>
        <v>0</v>
      </c>
      <c r="M255" s="179">
        <f ca="1">IF(ISNUMBER(MATCH(DATEVALUE($A255),'changes1_based on steps'!M$1:M$400,0)),M$2,)</f>
        <v>0</v>
      </c>
      <c r="N255" s="179">
        <f ca="1">IF(ISNUMBER(MATCH(DATEVALUE($A255),'changes1_based on steps'!N$1:N$400,0)),N$2,)</f>
        <v>0</v>
      </c>
      <c r="O255" s="179">
        <f ca="1">IF(ISNUMBER(MATCH(DATEVALUE($A255),'changes1_based on steps'!O$1:O$400,0)),O$2,)</f>
        <v>0</v>
      </c>
      <c r="P255" s="179">
        <f ca="1">IF(ISNUMBER(MATCH(DATEVALUE($A255),'changes1_based on steps'!P$1:P$400,0)),P$2,)</f>
        <v>0</v>
      </c>
      <c r="Q255" s="179">
        <f ca="1">IF(ISNUMBER(MATCH(DATEVALUE($A255),'changes1_based on steps'!Q$1:Q$400,0)),Q$2,)</f>
        <v>0</v>
      </c>
      <c r="R255" s="179">
        <f ca="1">IF(ISNUMBER(MATCH(DATEVALUE($A255),'changes1_based on steps'!R$1:R$400,0)),R$2,)</f>
        <v>0</v>
      </c>
      <c r="S255" s="179">
        <f ca="1">IF(ISNUMBER(MATCH(DATEVALUE($A255),'changes1_based on steps'!S$1:S$400,0)),S$2,)</f>
        <v>0</v>
      </c>
      <c r="T255" s="179">
        <f ca="1">IF(ISNUMBER(MATCH(DATEVALUE($A255),'changes1_based on steps'!T$1:T$400,0)),T$2,)</f>
        <v>0</v>
      </c>
      <c r="U255" s="179">
        <f ca="1">IF(ISNUMBER(MATCH(DATEVALUE($A255),'changes1_based on steps'!U$1:U$400,0)),U$2,)</f>
        <v>0</v>
      </c>
      <c r="V255" s="179"/>
      <c r="W255" s="179"/>
      <c r="X255" s="179"/>
      <c r="Y255" s="179"/>
      <c r="Z255" s="179"/>
      <c r="AA255" s="179"/>
      <c r="AB255" s="179"/>
      <c r="AC255" s="179"/>
      <c r="AD255" s="179"/>
      <c r="AE255" s="179"/>
      <c r="AF255" s="179"/>
      <c r="AG255" s="179"/>
      <c r="AH255" s="179"/>
      <c r="AI255" s="179"/>
      <c r="AJ255" s="179"/>
      <c r="AK255" s="179"/>
      <c r="AL255" s="179"/>
      <c r="AM255" s="179"/>
      <c r="AN255" s="179"/>
      <c r="AO255" s="179"/>
      <c r="AP255" s="179"/>
      <c r="AQ255" s="179"/>
      <c r="AR255" s="179"/>
      <c r="AS255" s="179"/>
      <c r="AT255" s="179"/>
      <c r="AU255" s="179"/>
      <c r="AV255" s="179"/>
      <c r="AW255" s="179"/>
      <c r="AX255" s="179"/>
      <c r="AY255" s="179"/>
      <c r="AZ255" s="179"/>
      <c r="BA255" s="179"/>
      <c r="BB255" s="179"/>
      <c r="BC255" s="179"/>
      <c r="BD255" s="179"/>
      <c r="BE255" s="179"/>
      <c r="BF255" s="179"/>
      <c r="BG255" s="179"/>
      <c r="BH255" s="179"/>
      <c r="BI255" s="179"/>
      <c r="BJ255" s="179"/>
      <c r="BK255" s="179"/>
      <c r="BL255" s="179"/>
      <c r="BM255" s="179"/>
      <c r="BN255" s="179"/>
      <c r="BO255" s="179"/>
      <c r="BP255" s="179"/>
      <c r="BQ255" s="179"/>
      <c r="BR255" s="179"/>
      <c r="BS255" s="179"/>
      <c r="BT255" s="179"/>
      <c r="BU255" s="179"/>
      <c r="BV255" s="179"/>
      <c r="BW255" s="179"/>
      <c r="BX255" s="179"/>
      <c r="BY255" s="179"/>
      <c r="BZ255" s="179"/>
      <c r="CA255" s="179"/>
      <c r="CB255" s="179"/>
      <c r="CC255" s="179"/>
      <c r="CD255" s="179"/>
      <c r="CE255" s="179"/>
      <c r="CF255" s="179"/>
      <c r="CG255" s="179"/>
      <c r="CH255" s="179"/>
      <c r="CI255" s="179"/>
      <c r="CJ255" s="179"/>
      <c r="CK255" s="179"/>
      <c r="CL255" s="179"/>
      <c r="CM255" s="179"/>
      <c r="CN255" s="179"/>
      <c r="CO255" s="179"/>
      <c r="CP255" s="179"/>
      <c r="CQ255" s="179"/>
      <c r="CR255" s="179"/>
      <c r="CS255" s="179"/>
      <c r="CT255" s="179"/>
      <c r="CU255" s="179"/>
      <c r="CV255" s="179"/>
      <c r="CW255" s="179"/>
    </row>
    <row r="256" spans="1:101" x14ac:dyDescent="0.2">
      <c r="A256" s="32" t="str">
        <f t="shared" ca="1" si="3"/>
        <v>2025-12-14</v>
      </c>
      <c r="B256" s="179">
        <f ca="1">IF(ISNUMBER(MATCH(DATEVALUE($A256),'changes1_based on steps'!B$1:B$400,0)),B$2,)</f>
        <v>0</v>
      </c>
      <c r="C256" s="179">
        <f ca="1">IF(ISNUMBER(MATCH(DATEVALUE($A256),'changes1_based on steps'!C$1:C$400,0)),C$2,)</f>
        <v>0</v>
      </c>
      <c r="D256" s="179">
        <f ca="1">IF(ISNUMBER(MATCH(DATEVALUE($A256),'changes1_based on steps'!D$1:D$400,0)),D$2,)</f>
        <v>0</v>
      </c>
      <c r="E256" s="179">
        <f ca="1">IF(ISNUMBER(MATCH(DATEVALUE($A256),'changes1_based on steps'!E$1:E$400,0)),E$2,)</f>
        <v>0</v>
      </c>
      <c r="F256" s="179">
        <f ca="1">IF(ISNUMBER(MATCH(DATEVALUE($A256),'changes1_based on steps'!F$1:F$400,0)),F$2,)</f>
        <v>0</v>
      </c>
      <c r="G256" s="179">
        <f ca="1">IF(ISNUMBER(MATCH(DATEVALUE($A256),'changes1_based on steps'!G$1:G$400,0)),G$2,)</f>
        <v>0</v>
      </c>
      <c r="H256" s="179">
        <f ca="1">IF(ISNUMBER(MATCH(DATEVALUE($A256),'changes1_based on steps'!H$1:H$400,0)),H$2,)</f>
        <v>0</v>
      </c>
      <c r="I256" s="179">
        <f ca="1">IF(ISNUMBER(MATCH(DATEVALUE($A256),'changes1_based on steps'!I$1:I$400,0)),I$2,)</f>
        <v>0</v>
      </c>
      <c r="J256" s="179">
        <f ca="1">IF(ISNUMBER(MATCH(DATEVALUE($A256),'changes1_based on steps'!J$1:J$400,0)),J$2,)</f>
        <v>0</v>
      </c>
      <c r="K256" s="179">
        <f ca="1">IF(ISNUMBER(MATCH(DATEVALUE($A256),'changes1_based on steps'!K$1:K$400,0)),K$2,)</f>
        <v>0</v>
      </c>
      <c r="L256" s="179">
        <f ca="1">IF(ISNUMBER(MATCH(DATEVALUE($A256),'changes1_based on steps'!L$1:L$400,0)),L$2,)</f>
        <v>0</v>
      </c>
      <c r="M256" s="179">
        <f ca="1">IF(ISNUMBER(MATCH(DATEVALUE($A256),'changes1_based on steps'!M$1:M$400,0)),M$2,)</f>
        <v>0</v>
      </c>
      <c r="N256" s="179">
        <f ca="1">IF(ISNUMBER(MATCH(DATEVALUE($A256),'changes1_based on steps'!N$1:N$400,0)),N$2,)</f>
        <v>0</v>
      </c>
      <c r="O256" s="179">
        <f ca="1">IF(ISNUMBER(MATCH(DATEVALUE($A256),'changes1_based on steps'!O$1:O$400,0)),O$2,)</f>
        <v>0</v>
      </c>
      <c r="P256" s="179">
        <f ca="1">IF(ISNUMBER(MATCH(DATEVALUE($A256),'changes1_based on steps'!P$1:P$400,0)),P$2,)</f>
        <v>0</v>
      </c>
      <c r="Q256" s="179">
        <f ca="1">IF(ISNUMBER(MATCH(DATEVALUE($A256),'changes1_based on steps'!Q$1:Q$400,0)),Q$2,)</f>
        <v>0</v>
      </c>
      <c r="R256" s="179">
        <f ca="1">IF(ISNUMBER(MATCH(DATEVALUE($A256),'changes1_based on steps'!R$1:R$400,0)),R$2,)</f>
        <v>0</v>
      </c>
      <c r="S256" s="179">
        <f ca="1">IF(ISNUMBER(MATCH(DATEVALUE($A256),'changes1_based on steps'!S$1:S$400,0)),S$2,)</f>
        <v>0</v>
      </c>
      <c r="T256" s="179">
        <f ca="1">IF(ISNUMBER(MATCH(DATEVALUE($A256),'changes1_based on steps'!T$1:T$400,0)),T$2,)</f>
        <v>0</v>
      </c>
      <c r="U256" s="179">
        <f ca="1">IF(ISNUMBER(MATCH(DATEVALUE($A256),'changes1_based on steps'!U$1:U$400,0)),U$2,)</f>
        <v>0</v>
      </c>
      <c r="V256" s="179"/>
      <c r="W256" s="179"/>
      <c r="X256" s="179"/>
      <c r="Y256" s="179"/>
      <c r="Z256" s="179"/>
      <c r="AA256" s="179"/>
      <c r="AB256" s="179"/>
      <c r="AC256" s="179"/>
      <c r="AD256" s="179"/>
      <c r="AE256" s="179"/>
      <c r="AF256" s="179"/>
      <c r="AG256" s="179"/>
      <c r="AH256" s="179"/>
      <c r="AI256" s="179"/>
      <c r="AJ256" s="179"/>
      <c r="AK256" s="179"/>
      <c r="AL256" s="179"/>
      <c r="AM256" s="179"/>
      <c r="AN256" s="179"/>
      <c r="AO256" s="179"/>
      <c r="AP256" s="179"/>
      <c r="AQ256" s="179"/>
      <c r="AR256" s="179"/>
      <c r="AS256" s="179"/>
      <c r="AT256" s="179"/>
      <c r="AU256" s="179"/>
      <c r="AV256" s="179"/>
      <c r="AW256" s="179"/>
      <c r="AX256" s="179"/>
      <c r="AY256" s="179"/>
      <c r="AZ256" s="179"/>
      <c r="BA256" s="179"/>
      <c r="BB256" s="179"/>
      <c r="BC256" s="179"/>
      <c r="BD256" s="179"/>
      <c r="BE256" s="179"/>
      <c r="BF256" s="179"/>
      <c r="BG256" s="179"/>
      <c r="BH256" s="179"/>
      <c r="BI256" s="179"/>
      <c r="BJ256" s="179"/>
      <c r="BK256" s="179"/>
      <c r="BL256" s="179"/>
      <c r="BM256" s="179"/>
      <c r="BN256" s="179"/>
      <c r="BO256" s="179"/>
      <c r="BP256" s="179"/>
      <c r="BQ256" s="179"/>
      <c r="BR256" s="179"/>
      <c r="BS256" s="179"/>
      <c r="BT256" s="179"/>
      <c r="BU256" s="179"/>
      <c r="BV256" s="179"/>
      <c r="BW256" s="179"/>
      <c r="BX256" s="179"/>
      <c r="BY256" s="179"/>
      <c r="BZ256" s="179"/>
      <c r="CA256" s="179"/>
      <c r="CB256" s="179"/>
      <c r="CC256" s="179"/>
      <c r="CD256" s="179"/>
      <c r="CE256" s="179"/>
      <c r="CF256" s="179"/>
      <c r="CG256" s="179"/>
      <c r="CH256" s="179"/>
      <c r="CI256" s="179"/>
      <c r="CJ256" s="179"/>
      <c r="CK256" s="179"/>
      <c r="CL256" s="179"/>
      <c r="CM256" s="179"/>
      <c r="CN256" s="179"/>
      <c r="CO256" s="179"/>
      <c r="CP256" s="179"/>
      <c r="CQ256" s="179"/>
      <c r="CR256" s="179"/>
      <c r="CS256" s="179"/>
      <c r="CT256" s="179"/>
      <c r="CU256" s="179"/>
      <c r="CV256" s="179"/>
      <c r="CW256" s="179"/>
    </row>
    <row r="257" spans="1:101" x14ac:dyDescent="0.2">
      <c r="A257" s="32" t="str">
        <f t="shared" ca="1" si="3"/>
        <v>2025-12-15</v>
      </c>
      <c r="B257" s="179">
        <f ca="1">IF(ISNUMBER(MATCH(DATEVALUE($A257),'changes1_based on steps'!B$1:B$400,0)),B$2,)</f>
        <v>0</v>
      </c>
      <c r="C257" s="179">
        <f ca="1">IF(ISNUMBER(MATCH(DATEVALUE($A257),'changes1_based on steps'!C$1:C$400,0)),C$2,)</f>
        <v>0</v>
      </c>
      <c r="D257" s="179">
        <f ca="1">IF(ISNUMBER(MATCH(DATEVALUE($A257),'changes1_based on steps'!D$1:D$400,0)),D$2,)</f>
        <v>0</v>
      </c>
      <c r="E257" s="179">
        <f ca="1">IF(ISNUMBER(MATCH(DATEVALUE($A257),'changes1_based on steps'!E$1:E$400,0)),E$2,)</f>
        <v>0</v>
      </c>
      <c r="F257" s="179">
        <f ca="1">IF(ISNUMBER(MATCH(DATEVALUE($A257),'changes1_based on steps'!F$1:F$400,0)),F$2,)</f>
        <v>0</v>
      </c>
      <c r="G257" s="179">
        <f ca="1">IF(ISNUMBER(MATCH(DATEVALUE($A257),'changes1_based on steps'!G$1:G$400,0)),G$2,)</f>
        <v>0</v>
      </c>
      <c r="H257" s="179">
        <f ca="1">IF(ISNUMBER(MATCH(DATEVALUE($A257),'changes1_based on steps'!H$1:H$400,0)),H$2,)</f>
        <v>0</v>
      </c>
      <c r="I257" s="179">
        <f ca="1">IF(ISNUMBER(MATCH(DATEVALUE($A257),'changes1_based on steps'!I$1:I$400,0)),I$2,)</f>
        <v>0</v>
      </c>
      <c r="J257" s="179">
        <f ca="1">IF(ISNUMBER(MATCH(DATEVALUE($A257),'changes1_based on steps'!J$1:J$400,0)),J$2,)</f>
        <v>0</v>
      </c>
      <c r="K257" s="179">
        <f ca="1">IF(ISNUMBER(MATCH(DATEVALUE($A257),'changes1_based on steps'!K$1:K$400,0)),K$2,)</f>
        <v>0</v>
      </c>
      <c r="L257" s="179">
        <f ca="1">IF(ISNUMBER(MATCH(DATEVALUE($A257),'changes1_based on steps'!L$1:L$400,0)),L$2,)</f>
        <v>0</v>
      </c>
      <c r="M257" s="179">
        <f ca="1">IF(ISNUMBER(MATCH(DATEVALUE($A257),'changes1_based on steps'!M$1:M$400,0)),M$2,)</f>
        <v>0</v>
      </c>
      <c r="N257" s="179">
        <f ca="1">IF(ISNUMBER(MATCH(DATEVALUE($A257),'changes1_based on steps'!N$1:N$400,0)),N$2,)</f>
        <v>0</v>
      </c>
      <c r="O257" s="179">
        <f ca="1">IF(ISNUMBER(MATCH(DATEVALUE($A257),'changes1_based on steps'!O$1:O$400,0)),O$2,)</f>
        <v>0</v>
      </c>
      <c r="P257" s="179">
        <f ca="1">IF(ISNUMBER(MATCH(DATEVALUE($A257),'changes1_based on steps'!P$1:P$400,0)),P$2,)</f>
        <v>0</v>
      </c>
      <c r="Q257" s="179">
        <f ca="1">IF(ISNUMBER(MATCH(DATEVALUE($A257),'changes1_based on steps'!Q$1:Q$400,0)),Q$2,)</f>
        <v>0</v>
      </c>
      <c r="R257" s="179">
        <f ca="1">IF(ISNUMBER(MATCH(DATEVALUE($A257),'changes1_based on steps'!R$1:R$400,0)),R$2,)</f>
        <v>0</v>
      </c>
      <c r="S257" s="179">
        <f ca="1">IF(ISNUMBER(MATCH(DATEVALUE($A257),'changes1_based on steps'!S$1:S$400,0)),S$2,)</f>
        <v>0</v>
      </c>
      <c r="T257" s="179">
        <f ca="1">IF(ISNUMBER(MATCH(DATEVALUE($A257),'changes1_based on steps'!T$1:T$400,0)),T$2,)</f>
        <v>0</v>
      </c>
      <c r="U257" s="179">
        <f ca="1">IF(ISNUMBER(MATCH(DATEVALUE($A257),'changes1_based on steps'!U$1:U$400,0)),U$2,)</f>
        <v>0</v>
      </c>
      <c r="V257" s="179"/>
      <c r="W257" s="179"/>
      <c r="X257" s="179"/>
      <c r="Y257" s="179"/>
      <c r="Z257" s="179"/>
      <c r="AA257" s="179"/>
      <c r="AB257" s="179"/>
      <c r="AC257" s="179"/>
      <c r="AD257" s="179"/>
      <c r="AE257" s="179"/>
      <c r="AF257" s="179"/>
      <c r="AG257" s="179"/>
      <c r="AH257" s="179"/>
      <c r="AI257" s="179"/>
      <c r="AJ257" s="179"/>
      <c r="AK257" s="179"/>
      <c r="AL257" s="179"/>
      <c r="AM257" s="179"/>
      <c r="AN257" s="179"/>
      <c r="AO257" s="179"/>
      <c r="AP257" s="179"/>
      <c r="AQ257" s="179"/>
      <c r="AR257" s="179"/>
      <c r="AS257" s="179"/>
      <c r="AT257" s="179"/>
      <c r="AU257" s="179"/>
      <c r="AV257" s="179"/>
      <c r="AW257" s="179"/>
      <c r="AX257" s="179"/>
      <c r="AY257" s="179"/>
      <c r="AZ257" s="179"/>
      <c r="BA257" s="179"/>
      <c r="BB257" s="179"/>
      <c r="BC257" s="179"/>
      <c r="BD257" s="179"/>
      <c r="BE257" s="179"/>
      <c r="BF257" s="179"/>
      <c r="BG257" s="179"/>
      <c r="BH257" s="179"/>
      <c r="BI257" s="179"/>
      <c r="BJ257" s="179"/>
      <c r="BK257" s="179"/>
      <c r="BL257" s="179"/>
      <c r="BM257" s="179"/>
      <c r="BN257" s="179"/>
      <c r="BO257" s="179"/>
      <c r="BP257" s="179"/>
      <c r="BQ257" s="179"/>
      <c r="BR257" s="179"/>
      <c r="BS257" s="179"/>
      <c r="BT257" s="179"/>
      <c r="BU257" s="179"/>
      <c r="BV257" s="179"/>
      <c r="BW257" s="179"/>
      <c r="BX257" s="179"/>
      <c r="BY257" s="179"/>
      <c r="BZ257" s="179"/>
      <c r="CA257" s="179"/>
      <c r="CB257" s="179"/>
      <c r="CC257" s="179"/>
      <c r="CD257" s="179"/>
      <c r="CE257" s="179"/>
      <c r="CF257" s="179"/>
      <c r="CG257" s="179"/>
      <c r="CH257" s="179"/>
      <c r="CI257" s="179"/>
      <c r="CJ257" s="179"/>
      <c r="CK257" s="179"/>
      <c r="CL257" s="179"/>
      <c r="CM257" s="179"/>
      <c r="CN257" s="179"/>
      <c r="CO257" s="179"/>
      <c r="CP257" s="179"/>
      <c r="CQ257" s="179"/>
      <c r="CR257" s="179"/>
      <c r="CS257" s="179"/>
      <c r="CT257" s="179"/>
      <c r="CU257" s="179"/>
      <c r="CV257" s="179"/>
      <c r="CW257" s="179"/>
    </row>
    <row r="258" spans="1:101" x14ac:dyDescent="0.2">
      <c r="A258" s="32" t="str">
        <f t="shared" ca="1" si="3"/>
        <v>2025-12-16</v>
      </c>
      <c r="B258" s="179">
        <f ca="1">IF(ISNUMBER(MATCH(DATEVALUE($A258),'changes1_based on steps'!B$1:B$400,0)),B$2,)</f>
        <v>0</v>
      </c>
      <c r="C258" s="179">
        <f ca="1">IF(ISNUMBER(MATCH(DATEVALUE($A258),'changes1_based on steps'!C$1:C$400,0)),C$2,)</f>
        <v>0</v>
      </c>
      <c r="D258" s="179">
        <f ca="1">IF(ISNUMBER(MATCH(DATEVALUE($A258),'changes1_based on steps'!D$1:D$400,0)),D$2,)</f>
        <v>0</v>
      </c>
      <c r="E258" s="179">
        <f ca="1">IF(ISNUMBER(MATCH(DATEVALUE($A258),'changes1_based on steps'!E$1:E$400,0)),E$2,)</f>
        <v>0</v>
      </c>
      <c r="F258" s="179">
        <f ca="1">IF(ISNUMBER(MATCH(DATEVALUE($A258),'changes1_based on steps'!F$1:F$400,0)),F$2,)</f>
        <v>0</v>
      </c>
      <c r="G258" s="179">
        <f ca="1">IF(ISNUMBER(MATCH(DATEVALUE($A258),'changes1_based on steps'!G$1:G$400,0)),G$2,)</f>
        <v>0</v>
      </c>
      <c r="H258" s="179">
        <f ca="1">IF(ISNUMBER(MATCH(DATEVALUE($A258),'changes1_based on steps'!H$1:H$400,0)),H$2,)</f>
        <v>0</v>
      </c>
      <c r="I258" s="179">
        <f ca="1">IF(ISNUMBER(MATCH(DATEVALUE($A258),'changes1_based on steps'!I$1:I$400,0)),I$2,)</f>
        <v>0</v>
      </c>
      <c r="J258" s="179">
        <f ca="1">IF(ISNUMBER(MATCH(DATEVALUE($A258),'changes1_based on steps'!J$1:J$400,0)),J$2,)</f>
        <v>0</v>
      </c>
      <c r="K258" s="179">
        <f ca="1">IF(ISNUMBER(MATCH(DATEVALUE($A258),'changes1_based on steps'!K$1:K$400,0)),K$2,)</f>
        <v>0</v>
      </c>
      <c r="L258" s="179">
        <f ca="1">IF(ISNUMBER(MATCH(DATEVALUE($A258),'changes1_based on steps'!L$1:L$400,0)),L$2,)</f>
        <v>0</v>
      </c>
      <c r="M258" s="179">
        <f ca="1">IF(ISNUMBER(MATCH(DATEVALUE($A258),'changes1_based on steps'!M$1:M$400,0)),M$2,)</f>
        <v>0</v>
      </c>
      <c r="N258" s="179">
        <f ca="1">IF(ISNUMBER(MATCH(DATEVALUE($A258),'changes1_based on steps'!N$1:N$400,0)),N$2,)</f>
        <v>0</v>
      </c>
      <c r="O258" s="179">
        <f ca="1">IF(ISNUMBER(MATCH(DATEVALUE($A258),'changes1_based on steps'!O$1:O$400,0)),O$2,)</f>
        <v>0</v>
      </c>
      <c r="P258" s="179">
        <f ca="1">IF(ISNUMBER(MATCH(DATEVALUE($A258),'changes1_based on steps'!P$1:P$400,0)),P$2,)</f>
        <v>0</v>
      </c>
      <c r="Q258" s="179">
        <f ca="1">IF(ISNUMBER(MATCH(DATEVALUE($A258),'changes1_based on steps'!Q$1:Q$400,0)),Q$2,)</f>
        <v>0</v>
      </c>
      <c r="R258" s="179">
        <f ca="1">IF(ISNUMBER(MATCH(DATEVALUE($A258),'changes1_based on steps'!R$1:R$400,0)),R$2,)</f>
        <v>0</v>
      </c>
      <c r="S258" s="179">
        <f ca="1">IF(ISNUMBER(MATCH(DATEVALUE($A258),'changes1_based on steps'!S$1:S$400,0)),S$2,)</f>
        <v>0</v>
      </c>
      <c r="T258" s="179">
        <f ca="1">IF(ISNUMBER(MATCH(DATEVALUE($A258),'changes1_based on steps'!T$1:T$400,0)),T$2,)</f>
        <v>0</v>
      </c>
      <c r="U258" s="179">
        <f ca="1">IF(ISNUMBER(MATCH(DATEVALUE($A258),'changes1_based on steps'!U$1:U$400,0)),U$2,)</f>
        <v>0</v>
      </c>
      <c r="V258" s="179"/>
      <c r="W258" s="179"/>
      <c r="X258" s="179"/>
      <c r="Y258" s="179"/>
      <c r="Z258" s="179"/>
      <c r="AA258" s="179"/>
      <c r="AB258" s="179"/>
      <c r="AC258" s="179"/>
      <c r="AD258" s="179"/>
      <c r="AE258" s="179"/>
      <c r="AF258" s="179"/>
      <c r="AG258" s="179"/>
      <c r="AH258" s="179"/>
      <c r="AI258" s="179"/>
      <c r="AJ258" s="179"/>
      <c r="AK258" s="179"/>
      <c r="AL258" s="179"/>
      <c r="AM258" s="179"/>
      <c r="AN258" s="179"/>
      <c r="AO258" s="179"/>
      <c r="AP258" s="179"/>
      <c r="AQ258" s="179"/>
      <c r="AR258" s="179"/>
      <c r="AS258" s="179"/>
      <c r="AT258" s="179"/>
      <c r="AU258" s="179"/>
      <c r="AV258" s="179"/>
      <c r="AW258" s="179"/>
      <c r="AX258" s="179"/>
      <c r="AY258" s="179"/>
      <c r="AZ258" s="179"/>
      <c r="BA258" s="179"/>
      <c r="BB258" s="179"/>
      <c r="BC258" s="179"/>
      <c r="BD258" s="179"/>
      <c r="BE258" s="179"/>
      <c r="BF258" s="179"/>
      <c r="BG258" s="179"/>
      <c r="BH258" s="179"/>
      <c r="BI258" s="179"/>
      <c r="BJ258" s="179"/>
      <c r="BK258" s="179"/>
      <c r="BL258" s="179"/>
      <c r="BM258" s="179"/>
      <c r="BN258" s="179"/>
      <c r="BO258" s="179"/>
      <c r="BP258" s="179"/>
      <c r="BQ258" s="179"/>
      <c r="BR258" s="179"/>
      <c r="BS258" s="179"/>
      <c r="BT258" s="179"/>
      <c r="BU258" s="179"/>
      <c r="BV258" s="179"/>
      <c r="BW258" s="179"/>
      <c r="BX258" s="179"/>
      <c r="BY258" s="179"/>
      <c r="BZ258" s="179"/>
      <c r="CA258" s="179"/>
      <c r="CB258" s="179"/>
      <c r="CC258" s="179"/>
      <c r="CD258" s="179"/>
      <c r="CE258" s="179"/>
      <c r="CF258" s="179"/>
      <c r="CG258" s="179"/>
      <c r="CH258" s="179"/>
      <c r="CI258" s="179"/>
      <c r="CJ258" s="179"/>
      <c r="CK258" s="179"/>
      <c r="CL258" s="179"/>
      <c r="CM258" s="179"/>
      <c r="CN258" s="179"/>
      <c r="CO258" s="179"/>
      <c r="CP258" s="179"/>
      <c r="CQ258" s="179"/>
      <c r="CR258" s="179"/>
      <c r="CS258" s="179"/>
      <c r="CT258" s="179"/>
      <c r="CU258" s="179"/>
      <c r="CV258" s="179"/>
      <c r="CW258" s="179"/>
    </row>
    <row r="259" spans="1:101" x14ac:dyDescent="0.2">
      <c r="A259" s="32" t="str">
        <f t="shared" ca="1" si="3"/>
        <v>2025-12-17</v>
      </c>
      <c r="B259" s="179">
        <f ca="1">IF(ISNUMBER(MATCH(DATEVALUE($A259),'changes1_based on steps'!B$1:B$400,0)),B$2,)</f>
        <v>0</v>
      </c>
      <c r="C259" s="179">
        <f ca="1">IF(ISNUMBER(MATCH(DATEVALUE($A259),'changes1_based on steps'!C$1:C$400,0)),C$2,)</f>
        <v>0</v>
      </c>
      <c r="D259" s="179">
        <f ca="1">IF(ISNUMBER(MATCH(DATEVALUE($A259),'changes1_based on steps'!D$1:D$400,0)),D$2,)</f>
        <v>0</v>
      </c>
      <c r="E259" s="179">
        <f ca="1">IF(ISNUMBER(MATCH(DATEVALUE($A259),'changes1_based on steps'!E$1:E$400,0)),E$2,)</f>
        <v>0</v>
      </c>
      <c r="F259" s="179">
        <f ca="1">IF(ISNUMBER(MATCH(DATEVALUE($A259),'changes1_based on steps'!F$1:F$400,0)),F$2,)</f>
        <v>0</v>
      </c>
      <c r="G259" s="179">
        <f ca="1">IF(ISNUMBER(MATCH(DATEVALUE($A259),'changes1_based on steps'!G$1:G$400,0)),G$2,)</f>
        <v>0</v>
      </c>
      <c r="H259" s="179">
        <f ca="1">IF(ISNUMBER(MATCH(DATEVALUE($A259),'changes1_based on steps'!H$1:H$400,0)),H$2,)</f>
        <v>0</v>
      </c>
      <c r="I259" s="179">
        <f ca="1">IF(ISNUMBER(MATCH(DATEVALUE($A259),'changes1_based on steps'!I$1:I$400,0)),I$2,)</f>
        <v>0</v>
      </c>
      <c r="J259" s="179">
        <f ca="1">IF(ISNUMBER(MATCH(DATEVALUE($A259),'changes1_based on steps'!J$1:J$400,0)),J$2,)</f>
        <v>0</v>
      </c>
      <c r="K259" s="179">
        <f ca="1">IF(ISNUMBER(MATCH(DATEVALUE($A259),'changes1_based on steps'!K$1:K$400,0)),K$2,)</f>
        <v>0</v>
      </c>
      <c r="L259" s="179">
        <f ca="1">IF(ISNUMBER(MATCH(DATEVALUE($A259),'changes1_based on steps'!L$1:L$400,0)),L$2,)</f>
        <v>0</v>
      </c>
      <c r="M259" s="179">
        <f ca="1">IF(ISNUMBER(MATCH(DATEVALUE($A259),'changes1_based on steps'!M$1:M$400,0)),M$2,)</f>
        <v>0</v>
      </c>
      <c r="N259" s="179">
        <f ca="1">IF(ISNUMBER(MATCH(DATEVALUE($A259),'changes1_based on steps'!N$1:N$400,0)),N$2,)</f>
        <v>0</v>
      </c>
      <c r="O259" s="179">
        <f ca="1">IF(ISNUMBER(MATCH(DATEVALUE($A259),'changes1_based on steps'!O$1:O$400,0)),O$2,)</f>
        <v>0</v>
      </c>
      <c r="P259" s="179">
        <f ca="1">IF(ISNUMBER(MATCH(DATEVALUE($A259),'changes1_based on steps'!P$1:P$400,0)),P$2,)</f>
        <v>0</v>
      </c>
      <c r="Q259" s="179">
        <f ca="1">IF(ISNUMBER(MATCH(DATEVALUE($A259),'changes1_based on steps'!Q$1:Q$400,0)),Q$2,)</f>
        <v>0</v>
      </c>
      <c r="R259" s="179">
        <f ca="1">IF(ISNUMBER(MATCH(DATEVALUE($A259),'changes1_based on steps'!R$1:R$400,0)),R$2,)</f>
        <v>0</v>
      </c>
      <c r="S259" s="179">
        <f ca="1">IF(ISNUMBER(MATCH(DATEVALUE($A259),'changes1_based on steps'!S$1:S$400,0)),S$2,)</f>
        <v>0</v>
      </c>
      <c r="T259" s="179">
        <f ca="1">IF(ISNUMBER(MATCH(DATEVALUE($A259),'changes1_based on steps'!T$1:T$400,0)),T$2,)</f>
        <v>0</v>
      </c>
      <c r="U259" s="179">
        <f ca="1">IF(ISNUMBER(MATCH(DATEVALUE($A259),'changes1_based on steps'!U$1:U$400,0)),U$2,)</f>
        <v>0</v>
      </c>
      <c r="V259" s="179"/>
      <c r="W259" s="179"/>
      <c r="X259" s="179"/>
      <c r="Y259" s="179"/>
      <c r="Z259" s="179"/>
      <c r="AA259" s="179"/>
      <c r="AB259" s="179"/>
      <c r="AC259" s="179"/>
      <c r="AD259" s="179"/>
      <c r="AE259" s="179"/>
      <c r="AF259" s="179"/>
      <c r="AG259" s="179"/>
      <c r="AH259" s="179"/>
      <c r="AI259" s="179"/>
      <c r="AJ259" s="179"/>
      <c r="AK259" s="179"/>
      <c r="AL259" s="179"/>
      <c r="AM259" s="179"/>
      <c r="AN259" s="179"/>
      <c r="AO259" s="179"/>
      <c r="AP259" s="179"/>
      <c r="AQ259" s="179"/>
      <c r="AR259" s="179"/>
      <c r="AS259" s="179"/>
      <c r="AT259" s="179"/>
      <c r="AU259" s="179"/>
      <c r="AV259" s="179"/>
      <c r="AW259" s="179"/>
      <c r="AX259" s="179"/>
      <c r="AY259" s="179"/>
      <c r="AZ259" s="179"/>
      <c r="BA259" s="179"/>
      <c r="BB259" s="179"/>
      <c r="BC259" s="179"/>
      <c r="BD259" s="179"/>
      <c r="BE259" s="179"/>
      <c r="BF259" s="179"/>
      <c r="BG259" s="179"/>
      <c r="BH259" s="179"/>
      <c r="BI259" s="179"/>
      <c r="BJ259" s="179"/>
      <c r="BK259" s="179"/>
      <c r="BL259" s="179"/>
      <c r="BM259" s="179"/>
      <c r="BN259" s="179"/>
      <c r="BO259" s="179"/>
      <c r="BP259" s="179"/>
      <c r="BQ259" s="179"/>
      <c r="BR259" s="179"/>
      <c r="BS259" s="179"/>
      <c r="BT259" s="179"/>
      <c r="BU259" s="179"/>
      <c r="BV259" s="179"/>
      <c r="BW259" s="179"/>
      <c r="BX259" s="179"/>
      <c r="BY259" s="179"/>
      <c r="BZ259" s="179"/>
      <c r="CA259" s="179"/>
      <c r="CB259" s="179"/>
      <c r="CC259" s="179"/>
      <c r="CD259" s="179"/>
      <c r="CE259" s="179"/>
      <c r="CF259" s="179"/>
      <c r="CG259" s="179"/>
      <c r="CH259" s="179"/>
      <c r="CI259" s="179"/>
      <c r="CJ259" s="179"/>
      <c r="CK259" s="179"/>
      <c r="CL259" s="179"/>
      <c r="CM259" s="179"/>
      <c r="CN259" s="179"/>
      <c r="CO259" s="179"/>
      <c r="CP259" s="179"/>
      <c r="CQ259" s="179"/>
      <c r="CR259" s="179"/>
      <c r="CS259" s="179"/>
      <c r="CT259" s="179"/>
      <c r="CU259" s="179"/>
      <c r="CV259" s="179"/>
      <c r="CW259" s="179"/>
    </row>
    <row r="260" spans="1:101" x14ac:dyDescent="0.2">
      <c r="A260" s="32" t="str">
        <f t="shared" ca="1" si="3"/>
        <v>2025-12-18</v>
      </c>
      <c r="B260" s="179">
        <f ca="1">IF(ISNUMBER(MATCH(DATEVALUE($A260),'changes1_based on steps'!B$1:B$400,0)),B$2,)</f>
        <v>0</v>
      </c>
      <c r="C260" s="179">
        <f ca="1">IF(ISNUMBER(MATCH(DATEVALUE($A260),'changes1_based on steps'!C$1:C$400,0)),C$2,)</f>
        <v>0</v>
      </c>
      <c r="D260" s="179">
        <f ca="1">IF(ISNUMBER(MATCH(DATEVALUE($A260),'changes1_based on steps'!D$1:D$400,0)),D$2,)</f>
        <v>0</v>
      </c>
      <c r="E260" s="179">
        <f ca="1">IF(ISNUMBER(MATCH(DATEVALUE($A260),'changes1_based on steps'!E$1:E$400,0)),E$2,)</f>
        <v>0</v>
      </c>
      <c r="F260" s="179">
        <f ca="1">IF(ISNUMBER(MATCH(DATEVALUE($A260),'changes1_based on steps'!F$1:F$400,0)),F$2,)</f>
        <v>0</v>
      </c>
      <c r="G260" s="179">
        <f ca="1">IF(ISNUMBER(MATCH(DATEVALUE($A260),'changes1_based on steps'!G$1:G$400,0)),G$2,)</f>
        <v>0</v>
      </c>
      <c r="H260" s="179">
        <f ca="1">IF(ISNUMBER(MATCH(DATEVALUE($A260),'changes1_based on steps'!H$1:H$400,0)),H$2,)</f>
        <v>0</v>
      </c>
      <c r="I260" s="179">
        <f ca="1">IF(ISNUMBER(MATCH(DATEVALUE($A260),'changes1_based on steps'!I$1:I$400,0)),I$2,)</f>
        <v>0</v>
      </c>
      <c r="J260" s="179">
        <f ca="1">IF(ISNUMBER(MATCH(DATEVALUE($A260),'changes1_based on steps'!J$1:J$400,0)),J$2,)</f>
        <v>0</v>
      </c>
      <c r="K260" s="179">
        <f ca="1">IF(ISNUMBER(MATCH(DATEVALUE($A260),'changes1_based on steps'!K$1:K$400,0)),K$2,)</f>
        <v>0</v>
      </c>
      <c r="L260" s="179">
        <f ca="1">IF(ISNUMBER(MATCH(DATEVALUE($A260),'changes1_based on steps'!L$1:L$400,0)),L$2,)</f>
        <v>0</v>
      </c>
      <c r="M260" s="179">
        <f ca="1">IF(ISNUMBER(MATCH(DATEVALUE($A260),'changes1_based on steps'!M$1:M$400,0)),M$2,)</f>
        <v>0</v>
      </c>
      <c r="N260" s="179">
        <f ca="1">IF(ISNUMBER(MATCH(DATEVALUE($A260),'changes1_based on steps'!N$1:N$400,0)),N$2,)</f>
        <v>0</v>
      </c>
      <c r="O260" s="179">
        <f ca="1">IF(ISNUMBER(MATCH(DATEVALUE($A260),'changes1_based on steps'!O$1:O$400,0)),O$2,)</f>
        <v>0</v>
      </c>
      <c r="P260" s="179">
        <f ca="1">IF(ISNUMBER(MATCH(DATEVALUE($A260),'changes1_based on steps'!P$1:P$400,0)),P$2,)</f>
        <v>0</v>
      </c>
      <c r="Q260" s="179">
        <f ca="1">IF(ISNUMBER(MATCH(DATEVALUE($A260),'changes1_based on steps'!Q$1:Q$400,0)),Q$2,)</f>
        <v>0</v>
      </c>
      <c r="R260" s="179">
        <f ca="1">IF(ISNUMBER(MATCH(DATEVALUE($A260),'changes1_based on steps'!R$1:R$400,0)),R$2,)</f>
        <v>0</v>
      </c>
      <c r="S260" s="179">
        <f ca="1">IF(ISNUMBER(MATCH(DATEVALUE($A260),'changes1_based on steps'!S$1:S$400,0)),S$2,)</f>
        <v>0</v>
      </c>
      <c r="T260" s="179">
        <f ca="1">IF(ISNUMBER(MATCH(DATEVALUE($A260),'changes1_based on steps'!T$1:T$400,0)),T$2,)</f>
        <v>0</v>
      </c>
      <c r="U260" s="179">
        <f ca="1">IF(ISNUMBER(MATCH(DATEVALUE($A260),'changes1_based on steps'!U$1:U$400,0)),U$2,)</f>
        <v>0</v>
      </c>
      <c r="V260" s="179"/>
      <c r="W260" s="179"/>
      <c r="X260" s="179"/>
      <c r="Y260" s="179"/>
      <c r="Z260" s="179"/>
      <c r="AA260" s="179"/>
      <c r="AB260" s="179"/>
      <c r="AC260" s="179"/>
      <c r="AD260" s="179"/>
      <c r="AE260" s="179"/>
      <c r="AF260" s="179"/>
      <c r="AG260" s="179"/>
      <c r="AH260" s="179"/>
      <c r="AI260" s="179"/>
      <c r="AJ260" s="179"/>
      <c r="AK260" s="179"/>
      <c r="AL260" s="179"/>
      <c r="AM260" s="179"/>
      <c r="AN260" s="179"/>
      <c r="AO260" s="179"/>
      <c r="AP260" s="179"/>
      <c r="AQ260" s="179"/>
      <c r="AR260" s="179"/>
      <c r="AS260" s="179"/>
      <c r="AT260" s="179"/>
      <c r="AU260" s="179"/>
      <c r="AV260" s="179"/>
      <c r="AW260" s="179"/>
      <c r="AX260" s="179"/>
      <c r="AY260" s="179"/>
      <c r="AZ260" s="179"/>
      <c r="BA260" s="179"/>
      <c r="BB260" s="179"/>
      <c r="BC260" s="179"/>
      <c r="BD260" s="179"/>
      <c r="BE260" s="179"/>
      <c r="BF260" s="179"/>
      <c r="BG260" s="179"/>
      <c r="BH260" s="179"/>
      <c r="BI260" s="179"/>
      <c r="BJ260" s="179"/>
      <c r="BK260" s="179"/>
      <c r="BL260" s="179"/>
      <c r="BM260" s="179"/>
      <c r="BN260" s="179"/>
      <c r="BO260" s="179"/>
      <c r="BP260" s="179"/>
      <c r="BQ260" s="179"/>
      <c r="BR260" s="179"/>
      <c r="BS260" s="179"/>
      <c r="BT260" s="179"/>
      <c r="BU260" s="179"/>
      <c r="BV260" s="179"/>
      <c r="BW260" s="179"/>
      <c r="BX260" s="179"/>
      <c r="BY260" s="179"/>
      <c r="BZ260" s="179"/>
      <c r="CA260" s="179"/>
      <c r="CB260" s="179"/>
      <c r="CC260" s="179"/>
      <c r="CD260" s="179"/>
      <c r="CE260" s="179"/>
      <c r="CF260" s="179"/>
      <c r="CG260" s="179"/>
      <c r="CH260" s="179"/>
      <c r="CI260" s="179"/>
      <c r="CJ260" s="179"/>
      <c r="CK260" s="179"/>
      <c r="CL260" s="179"/>
      <c r="CM260" s="179"/>
      <c r="CN260" s="179"/>
      <c r="CO260" s="179"/>
      <c r="CP260" s="179"/>
      <c r="CQ260" s="179"/>
      <c r="CR260" s="179"/>
      <c r="CS260" s="179"/>
      <c r="CT260" s="179"/>
      <c r="CU260" s="179"/>
      <c r="CV260" s="179"/>
      <c r="CW260" s="179"/>
    </row>
    <row r="261" spans="1:101" x14ac:dyDescent="0.2">
      <c r="A261" s="32" t="str">
        <f t="shared" ref="A261:A324" ca="1" si="4">TEXT(DATEVALUE(A260)+1,"yyyy-mm-dd")</f>
        <v>2025-12-19</v>
      </c>
      <c r="B261" s="179">
        <f ca="1">IF(ISNUMBER(MATCH(DATEVALUE($A261),'changes1_based on steps'!B$1:B$400,0)),B$2,)</f>
        <v>0</v>
      </c>
      <c r="C261" s="179">
        <f ca="1">IF(ISNUMBER(MATCH(DATEVALUE($A261),'changes1_based on steps'!C$1:C$400,0)),C$2,)</f>
        <v>0</v>
      </c>
      <c r="D261" s="179">
        <f ca="1">IF(ISNUMBER(MATCH(DATEVALUE($A261),'changes1_based on steps'!D$1:D$400,0)),D$2,)</f>
        <v>0</v>
      </c>
      <c r="E261" s="179">
        <f ca="1">IF(ISNUMBER(MATCH(DATEVALUE($A261),'changes1_based on steps'!E$1:E$400,0)),E$2,)</f>
        <v>0</v>
      </c>
      <c r="F261" s="179">
        <f ca="1">IF(ISNUMBER(MATCH(DATEVALUE($A261),'changes1_based on steps'!F$1:F$400,0)),F$2,)</f>
        <v>0</v>
      </c>
      <c r="G261" s="179">
        <f ca="1">IF(ISNUMBER(MATCH(DATEVALUE($A261),'changes1_based on steps'!G$1:G$400,0)),G$2,)</f>
        <v>0</v>
      </c>
      <c r="H261" s="179">
        <f ca="1">IF(ISNUMBER(MATCH(DATEVALUE($A261),'changes1_based on steps'!H$1:H$400,0)),H$2,)</f>
        <v>0</v>
      </c>
      <c r="I261" s="179">
        <f ca="1">IF(ISNUMBER(MATCH(DATEVALUE($A261),'changes1_based on steps'!I$1:I$400,0)),I$2,)</f>
        <v>0</v>
      </c>
      <c r="J261" s="179">
        <f ca="1">IF(ISNUMBER(MATCH(DATEVALUE($A261),'changes1_based on steps'!J$1:J$400,0)),J$2,)</f>
        <v>0</v>
      </c>
      <c r="K261" s="179">
        <f ca="1">IF(ISNUMBER(MATCH(DATEVALUE($A261),'changes1_based on steps'!K$1:K$400,0)),K$2,)</f>
        <v>0</v>
      </c>
      <c r="L261" s="179">
        <f ca="1">IF(ISNUMBER(MATCH(DATEVALUE($A261),'changes1_based on steps'!L$1:L$400,0)),L$2,)</f>
        <v>0</v>
      </c>
      <c r="M261" s="179">
        <f ca="1">IF(ISNUMBER(MATCH(DATEVALUE($A261),'changes1_based on steps'!M$1:M$400,0)),M$2,)</f>
        <v>0</v>
      </c>
      <c r="N261" s="179">
        <f ca="1">IF(ISNUMBER(MATCH(DATEVALUE($A261),'changes1_based on steps'!N$1:N$400,0)),N$2,)</f>
        <v>0</v>
      </c>
      <c r="O261" s="179">
        <f ca="1">IF(ISNUMBER(MATCH(DATEVALUE($A261),'changes1_based on steps'!O$1:O$400,0)),O$2,)</f>
        <v>0</v>
      </c>
      <c r="P261" s="179">
        <f ca="1">IF(ISNUMBER(MATCH(DATEVALUE($A261),'changes1_based on steps'!P$1:P$400,0)),P$2,)</f>
        <v>0</v>
      </c>
      <c r="Q261" s="179">
        <f ca="1">IF(ISNUMBER(MATCH(DATEVALUE($A261),'changes1_based on steps'!Q$1:Q$400,0)),Q$2,)</f>
        <v>0</v>
      </c>
      <c r="R261" s="179">
        <f ca="1">IF(ISNUMBER(MATCH(DATEVALUE($A261),'changes1_based on steps'!R$1:R$400,0)),R$2,)</f>
        <v>0</v>
      </c>
      <c r="S261" s="179">
        <f ca="1">IF(ISNUMBER(MATCH(DATEVALUE($A261),'changes1_based on steps'!S$1:S$400,0)),S$2,)</f>
        <v>0</v>
      </c>
      <c r="T261" s="179">
        <f ca="1">IF(ISNUMBER(MATCH(DATEVALUE($A261),'changes1_based on steps'!T$1:T$400,0)),T$2,)</f>
        <v>0</v>
      </c>
      <c r="U261" s="179">
        <f ca="1">IF(ISNUMBER(MATCH(DATEVALUE($A261),'changes1_based on steps'!U$1:U$400,0)),U$2,)</f>
        <v>0</v>
      </c>
      <c r="V261" s="179"/>
      <c r="W261" s="179"/>
      <c r="X261" s="179"/>
      <c r="Y261" s="179"/>
      <c r="Z261" s="179"/>
      <c r="AA261" s="179"/>
      <c r="AB261" s="179"/>
      <c r="AC261" s="179"/>
      <c r="AD261" s="179"/>
      <c r="AE261" s="179"/>
      <c r="AF261" s="179"/>
      <c r="AG261" s="179"/>
      <c r="AH261" s="179"/>
      <c r="AI261" s="179"/>
      <c r="AJ261" s="179"/>
      <c r="AK261" s="179"/>
      <c r="AL261" s="179"/>
      <c r="AM261" s="179"/>
      <c r="AN261" s="179"/>
      <c r="AO261" s="179"/>
      <c r="AP261" s="179"/>
      <c r="AQ261" s="179"/>
      <c r="AR261" s="179"/>
      <c r="AS261" s="179"/>
      <c r="AT261" s="179"/>
      <c r="AU261" s="179"/>
      <c r="AV261" s="179"/>
      <c r="AW261" s="179"/>
      <c r="AX261" s="179"/>
      <c r="AY261" s="179"/>
      <c r="AZ261" s="179"/>
      <c r="BA261" s="179"/>
      <c r="BB261" s="179"/>
      <c r="BC261" s="179"/>
      <c r="BD261" s="179"/>
      <c r="BE261" s="179"/>
      <c r="BF261" s="179"/>
      <c r="BG261" s="179"/>
      <c r="BH261" s="179"/>
      <c r="BI261" s="179"/>
      <c r="BJ261" s="179"/>
      <c r="BK261" s="179"/>
      <c r="BL261" s="179"/>
      <c r="BM261" s="179"/>
      <c r="BN261" s="179"/>
      <c r="BO261" s="179"/>
      <c r="BP261" s="179"/>
      <c r="BQ261" s="179"/>
      <c r="BR261" s="179"/>
      <c r="BS261" s="179"/>
      <c r="BT261" s="179"/>
      <c r="BU261" s="179"/>
      <c r="BV261" s="179"/>
      <c r="BW261" s="179"/>
      <c r="BX261" s="179"/>
      <c r="BY261" s="179"/>
      <c r="BZ261" s="179"/>
      <c r="CA261" s="179"/>
      <c r="CB261" s="179"/>
      <c r="CC261" s="179"/>
      <c r="CD261" s="179"/>
      <c r="CE261" s="179"/>
      <c r="CF261" s="179"/>
      <c r="CG261" s="179"/>
      <c r="CH261" s="179"/>
      <c r="CI261" s="179"/>
      <c r="CJ261" s="179"/>
      <c r="CK261" s="179"/>
      <c r="CL261" s="179"/>
      <c r="CM261" s="179"/>
      <c r="CN261" s="179"/>
      <c r="CO261" s="179"/>
      <c r="CP261" s="179"/>
      <c r="CQ261" s="179"/>
      <c r="CR261" s="179"/>
      <c r="CS261" s="179"/>
      <c r="CT261" s="179"/>
      <c r="CU261" s="179"/>
      <c r="CV261" s="179"/>
      <c r="CW261" s="179"/>
    </row>
    <row r="262" spans="1:101" x14ac:dyDescent="0.2">
      <c r="A262" s="32" t="str">
        <f t="shared" ca="1" si="4"/>
        <v>2025-12-20</v>
      </c>
      <c r="B262" s="179">
        <f ca="1">IF(ISNUMBER(MATCH(DATEVALUE($A262),'changes1_based on steps'!B$1:B$400,0)),B$2,)</f>
        <v>0</v>
      </c>
      <c r="C262" s="179">
        <f ca="1">IF(ISNUMBER(MATCH(DATEVALUE($A262),'changes1_based on steps'!C$1:C$400,0)),C$2,)</f>
        <v>0</v>
      </c>
      <c r="D262" s="179">
        <f ca="1">IF(ISNUMBER(MATCH(DATEVALUE($A262),'changes1_based on steps'!D$1:D$400,0)),D$2,)</f>
        <v>0</v>
      </c>
      <c r="E262" s="179">
        <f ca="1">IF(ISNUMBER(MATCH(DATEVALUE($A262),'changes1_based on steps'!E$1:E$400,0)),E$2,)</f>
        <v>0</v>
      </c>
      <c r="F262" s="179">
        <f ca="1">IF(ISNUMBER(MATCH(DATEVALUE($A262),'changes1_based on steps'!F$1:F$400,0)),F$2,)</f>
        <v>0</v>
      </c>
      <c r="G262" s="179">
        <f ca="1">IF(ISNUMBER(MATCH(DATEVALUE($A262),'changes1_based on steps'!G$1:G$400,0)),G$2,)</f>
        <v>0</v>
      </c>
      <c r="H262" s="179">
        <f ca="1">IF(ISNUMBER(MATCH(DATEVALUE($A262),'changes1_based on steps'!H$1:H$400,0)),H$2,)</f>
        <v>0</v>
      </c>
      <c r="I262" s="179">
        <f ca="1">IF(ISNUMBER(MATCH(DATEVALUE($A262),'changes1_based on steps'!I$1:I$400,0)),I$2,)</f>
        <v>0</v>
      </c>
      <c r="J262" s="179">
        <f ca="1">IF(ISNUMBER(MATCH(DATEVALUE($A262),'changes1_based on steps'!J$1:J$400,0)),J$2,)</f>
        <v>0</v>
      </c>
      <c r="K262" s="179">
        <f ca="1">IF(ISNUMBER(MATCH(DATEVALUE($A262),'changes1_based on steps'!K$1:K$400,0)),K$2,)</f>
        <v>0</v>
      </c>
      <c r="L262" s="179">
        <f ca="1">IF(ISNUMBER(MATCH(DATEVALUE($A262),'changes1_based on steps'!L$1:L$400,0)),L$2,)</f>
        <v>0</v>
      </c>
      <c r="M262" s="179">
        <f ca="1">IF(ISNUMBER(MATCH(DATEVALUE($A262),'changes1_based on steps'!M$1:M$400,0)),M$2,)</f>
        <v>0</v>
      </c>
      <c r="N262" s="179">
        <f ca="1">IF(ISNUMBER(MATCH(DATEVALUE($A262),'changes1_based on steps'!N$1:N$400,0)),N$2,)</f>
        <v>0</v>
      </c>
      <c r="O262" s="179">
        <f ca="1">IF(ISNUMBER(MATCH(DATEVALUE($A262),'changes1_based on steps'!O$1:O$400,0)),O$2,)</f>
        <v>0</v>
      </c>
      <c r="P262" s="179">
        <f ca="1">IF(ISNUMBER(MATCH(DATEVALUE($A262),'changes1_based on steps'!P$1:P$400,0)),P$2,)</f>
        <v>0</v>
      </c>
      <c r="Q262" s="179">
        <f ca="1">IF(ISNUMBER(MATCH(DATEVALUE($A262),'changes1_based on steps'!Q$1:Q$400,0)),Q$2,)</f>
        <v>0</v>
      </c>
      <c r="R262" s="179">
        <f ca="1">IF(ISNUMBER(MATCH(DATEVALUE($A262),'changes1_based on steps'!R$1:R$400,0)),R$2,)</f>
        <v>0</v>
      </c>
      <c r="S262" s="179">
        <f ca="1">IF(ISNUMBER(MATCH(DATEVALUE($A262),'changes1_based on steps'!S$1:S$400,0)),S$2,)</f>
        <v>0</v>
      </c>
      <c r="T262" s="179">
        <f ca="1">IF(ISNUMBER(MATCH(DATEVALUE($A262),'changes1_based on steps'!T$1:T$400,0)),T$2,)</f>
        <v>0</v>
      </c>
      <c r="U262" s="179">
        <f ca="1">IF(ISNUMBER(MATCH(DATEVALUE($A262),'changes1_based on steps'!U$1:U$400,0)),U$2,)</f>
        <v>0</v>
      </c>
      <c r="V262" s="179"/>
      <c r="W262" s="179"/>
      <c r="X262" s="179"/>
      <c r="Y262" s="179"/>
      <c r="Z262" s="179"/>
      <c r="AA262" s="179"/>
      <c r="AB262" s="179"/>
      <c r="AC262" s="179"/>
      <c r="AD262" s="179"/>
      <c r="AE262" s="179"/>
      <c r="AF262" s="179"/>
      <c r="AG262" s="179"/>
      <c r="AH262" s="179"/>
      <c r="AI262" s="179"/>
      <c r="AJ262" s="179"/>
      <c r="AK262" s="179"/>
      <c r="AL262" s="179"/>
      <c r="AM262" s="179"/>
      <c r="AN262" s="179"/>
      <c r="AO262" s="179"/>
      <c r="AP262" s="179"/>
      <c r="AQ262" s="179"/>
      <c r="AR262" s="179"/>
      <c r="AS262" s="179"/>
      <c r="AT262" s="179"/>
      <c r="AU262" s="179"/>
      <c r="AV262" s="179"/>
      <c r="AW262" s="179"/>
      <c r="AX262" s="179"/>
      <c r="AY262" s="179"/>
      <c r="AZ262" s="179"/>
      <c r="BA262" s="179"/>
      <c r="BB262" s="179"/>
      <c r="BC262" s="179"/>
      <c r="BD262" s="179"/>
      <c r="BE262" s="179"/>
      <c r="BF262" s="179"/>
      <c r="BG262" s="179"/>
      <c r="BH262" s="179"/>
      <c r="BI262" s="179"/>
      <c r="BJ262" s="179"/>
      <c r="BK262" s="179"/>
      <c r="BL262" s="179"/>
      <c r="BM262" s="179"/>
      <c r="BN262" s="179"/>
      <c r="BO262" s="179"/>
      <c r="BP262" s="179"/>
      <c r="BQ262" s="179"/>
      <c r="BR262" s="179"/>
      <c r="BS262" s="179"/>
      <c r="BT262" s="179"/>
      <c r="BU262" s="179"/>
      <c r="BV262" s="179"/>
      <c r="BW262" s="179"/>
      <c r="BX262" s="179"/>
      <c r="BY262" s="179"/>
      <c r="BZ262" s="179"/>
      <c r="CA262" s="179"/>
      <c r="CB262" s="179"/>
      <c r="CC262" s="179"/>
      <c r="CD262" s="179"/>
      <c r="CE262" s="179"/>
      <c r="CF262" s="179"/>
      <c r="CG262" s="179"/>
      <c r="CH262" s="179"/>
      <c r="CI262" s="179"/>
      <c r="CJ262" s="179"/>
      <c r="CK262" s="179"/>
      <c r="CL262" s="179"/>
      <c r="CM262" s="179"/>
      <c r="CN262" s="179"/>
      <c r="CO262" s="179"/>
      <c r="CP262" s="179"/>
      <c r="CQ262" s="179"/>
      <c r="CR262" s="179"/>
      <c r="CS262" s="179"/>
      <c r="CT262" s="179"/>
      <c r="CU262" s="179"/>
      <c r="CV262" s="179"/>
      <c r="CW262" s="179"/>
    </row>
    <row r="263" spans="1:101" x14ac:dyDescent="0.2">
      <c r="A263" s="32" t="str">
        <f t="shared" ca="1" si="4"/>
        <v>2025-12-21</v>
      </c>
      <c r="B263" s="179">
        <f ca="1">IF(ISNUMBER(MATCH(DATEVALUE($A263),'changes1_based on steps'!B$1:B$400,0)),B$2,)</f>
        <v>0</v>
      </c>
      <c r="C263" s="179">
        <f ca="1">IF(ISNUMBER(MATCH(DATEVALUE($A263),'changes1_based on steps'!C$1:C$400,0)),C$2,)</f>
        <v>0</v>
      </c>
      <c r="D263" s="179">
        <f ca="1">IF(ISNUMBER(MATCH(DATEVALUE($A263),'changes1_based on steps'!D$1:D$400,0)),D$2,)</f>
        <v>0</v>
      </c>
      <c r="E263" s="179">
        <f ca="1">IF(ISNUMBER(MATCH(DATEVALUE($A263),'changes1_based on steps'!E$1:E$400,0)),E$2,)</f>
        <v>0</v>
      </c>
      <c r="F263" s="179">
        <f ca="1">IF(ISNUMBER(MATCH(DATEVALUE($A263),'changes1_based on steps'!F$1:F$400,0)),F$2,)</f>
        <v>0</v>
      </c>
      <c r="G263" s="179">
        <f ca="1">IF(ISNUMBER(MATCH(DATEVALUE($A263),'changes1_based on steps'!G$1:G$400,0)),G$2,)</f>
        <v>0</v>
      </c>
      <c r="H263" s="179">
        <f ca="1">IF(ISNUMBER(MATCH(DATEVALUE($A263),'changes1_based on steps'!H$1:H$400,0)),H$2,)</f>
        <v>0</v>
      </c>
      <c r="I263" s="179">
        <f ca="1">IF(ISNUMBER(MATCH(DATEVALUE($A263),'changes1_based on steps'!I$1:I$400,0)),I$2,)</f>
        <v>0</v>
      </c>
      <c r="J263" s="179">
        <f ca="1">IF(ISNUMBER(MATCH(DATEVALUE($A263),'changes1_based on steps'!J$1:J$400,0)),J$2,)</f>
        <v>0</v>
      </c>
      <c r="K263" s="179">
        <f ca="1">IF(ISNUMBER(MATCH(DATEVALUE($A263),'changes1_based on steps'!K$1:K$400,0)),K$2,)</f>
        <v>0</v>
      </c>
      <c r="L263" s="179">
        <f ca="1">IF(ISNUMBER(MATCH(DATEVALUE($A263),'changes1_based on steps'!L$1:L$400,0)),L$2,)</f>
        <v>0</v>
      </c>
      <c r="M263" s="179">
        <f ca="1">IF(ISNUMBER(MATCH(DATEVALUE($A263),'changes1_based on steps'!M$1:M$400,0)),M$2,)</f>
        <v>0</v>
      </c>
      <c r="N263" s="179">
        <f ca="1">IF(ISNUMBER(MATCH(DATEVALUE($A263),'changes1_based on steps'!N$1:N$400,0)),N$2,)</f>
        <v>0</v>
      </c>
      <c r="O263" s="179">
        <f ca="1">IF(ISNUMBER(MATCH(DATEVALUE($A263),'changes1_based on steps'!O$1:O$400,0)),O$2,)</f>
        <v>0</v>
      </c>
      <c r="P263" s="179">
        <f ca="1">IF(ISNUMBER(MATCH(DATEVALUE($A263),'changes1_based on steps'!P$1:P$400,0)),P$2,)</f>
        <v>0</v>
      </c>
      <c r="Q263" s="179">
        <f ca="1">IF(ISNUMBER(MATCH(DATEVALUE($A263),'changes1_based on steps'!Q$1:Q$400,0)),Q$2,)</f>
        <v>0</v>
      </c>
      <c r="R263" s="179">
        <f ca="1">IF(ISNUMBER(MATCH(DATEVALUE($A263),'changes1_based on steps'!R$1:R$400,0)),R$2,)</f>
        <v>0</v>
      </c>
      <c r="S263" s="179">
        <f ca="1">IF(ISNUMBER(MATCH(DATEVALUE($A263),'changes1_based on steps'!S$1:S$400,0)),S$2,)</f>
        <v>0</v>
      </c>
      <c r="T263" s="179">
        <f ca="1">IF(ISNUMBER(MATCH(DATEVALUE($A263),'changes1_based on steps'!T$1:T$400,0)),T$2,)</f>
        <v>0</v>
      </c>
      <c r="U263" s="179">
        <f ca="1">IF(ISNUMBER(MATCH(DATEVALUE($A263),'changes1_based on steps'!U$1:U$400,0)),U$2,)</f>
        <v>0</v>
      </c>
      <c r="V263" s="179"/>
      <c r="W263" s="179"/>
      <c r="X263" s="179"/>
      <c r="Y263" s="179"/>
      <c r="Z263" s="179"/>
      <c r="AA263" s="179"/>
      <c r="AB263" s="179"/>
      <c r="AC263" s="179"/>
      <c r="AD263" s="179"/>
      <c r="AE263" s="179"/>
      <c r="AF263" s="179"/>
      <c r="AG263" s="179"/>
      <c r="AH263" s="179"/>
      <c r="AI263" s="179"/>
      <c r="AJ263" s="179"/>
      <c r="AK263" s="179"/>
      <c r="AL263" s="179"/>
      <c r="AM263" s="179"/>
      <c r="AN263" s="179"/>
      <c r="AO263" s="179"/>
      <c r="AP263" s="179"/>
      <c r="AQ263" s="179"/>
      <c r="AR263" s="179"/>
      <c r="AS263" s="179"/>
      <c r="AT263" s="179"/>
      <c r="AU263" s="179"/>
      <c r="AV263" s="179"/>
      <c r="AW263" s="179"/>
      <c r="AX263" s="179"/>
      <c r="AY263" s="179"/>
      <c r="AZ263" s="179"/>
      <c r="BA263" s="179"/>
      <c r="BB263" s="179"/>
      <c r="BC263" s="179"/>
      <c r="BD263" s="179"/>
      <c r="BE263" s="179"/>
      <c r="BF263" s="179"/>
      <c r="BG263" s="179"/>
      <c r="BH263" s="179"/>
      <c r="BI263" s="179"/>
      <c r="BJ263" s="179"/>
      <c r="BK263" s="179"/>
      <c r="BL263" s="179"/>
      <c r="BM263" s="179"/>
      <c r="BN263" s="179"/>
      <c r="BO263" s="179"/>
      <c r="BP263" s="179"/>
      <c r="BQ263" s="179"/>
      <c r="BR263" s="179"/>
      <c r="BS263" s="179"/>
      <c r="BT263" s="179"/>
      <c r="BU263" s="179"/>
      <c r="BV263" s="179"/>
      <c r="BW263" s="179"/>
      <c r="BX263" s="179"/>
      <c r="BY263" s="179"/>
      <c r="BZ263" s="179"/>
      <c r="CA263" s="179"/>
      <c r="CB263" s="179"/>
      <c r="CC263" s="179"/>
      <c r="CD263" s="179"/>
      <c r="CE263" s="179"/>
      <c r="CF263" s="179"/>
      <c r="CG263" s="179"/>
      <c r="CH263" s="179"/>
      <c r="CI263" s="179"/>
      <c r="CJ263" s="179"/>
      <c r="CK263" s="179"/>
      <c r="CL263" s="179"/>
      <c r="CM263" s="179"/>
      <c r="CN263" s="179"/>
      <c r="CO263" s="179"/>
      <c r="CP263" s="179"/>
      <c r="CQ263" s="179"/>
      <c r="CR263" s="179"/>
      <c r="CS263" s="179"/>
      <c r="CT263" s="179"/>
      <c r="CU263" s="179"/>
      <c r="CV263" s="179"/>
      <c r="CW263" s="179"/>
    </row>
    <row r="264" spans="1:101" x14ac:dyDescent="0.2">
      <c r="A264" s="32" t="str">
        <f t="shared" ca="1" si="4"/>
        <v>2025-12-22</v>
      </c>
      <c r="B264" s="179">
        <f ca="1">IF(ISNUMBER(MATCH(DATEVALUE($A264),'changes1_based on steps'!B$1:B$400,0)),B$2,)</f>
        <v>0</v>
      </c>
      <c r="C264" s="179">
        <f ca="1">IF(ISNUMBER(MATCH(DATEVALUE($A264),'changes1_based on steps'!C$1:C$400,0)),C$2,)</f>
        <v>0</v>
      </c>
      <c r="D264" s="179">
        <f ca="1">IF(ISNUMBER(MATCH(DATEVALUE($A264),'changes1_based on steps'!D$1:D$400,0)),D$2,)</f>
        <v>0</v>
      </c>
      <c r="E264" s="179">
        <f ca="1">IF(ISNUMBER(MATCH(DATEVALUE($A264),'changes1_based on steps'!E$1:E$400,0)),E$2,)</f>
        <v>0</v>
      </c>
      <c r="F264" s="179">
        <f ca="1">IF(ISNUMBER(MATCH(DATEVALUE($A264),'changes1_based on steps'!F$1:F$400,0)),F$2,)</f>
        <v>0</v>
      </c>
      <c r="G264" s="179">
        <f ca="1">IF(ISNUMBER(MATCH(DATEVALUE($A264),'changes1_based on steps'!G$1:G$400,0)),G$2,)</f>
        <v>0</v>
      </c>
      <c r="H264" s="179">
        <f ca="1">IF(ISNUMBER(MATCH(DATEVALUE($A264),'changes1_based on steps'!H$1:H$400,0)),H$2,)</f>
        <v>0</v>
      </c>
      <c r="I264" s="179">
        <f ca="1">IF(ISNUMBER(MATCH(DATEVALUE($A264),'changes1_based on steps'!I$1:I$400,0)),I$2,)</f>
        <v>0</v>
      </c>
      <c r="J264" s="179">
        <f ca="1">IF(ISNUMBER(MATCH(DATEVALUE($A264),'changes1_based on steps'!J$1:J$400,0)),J$2,)</f>
        <v>0</v>
      </c>
      <c r="K264" s="179">
        <f ca="1">IF(ISNUMBER(MATCH(DATEVALUE($A264),'changes1_based on steps'!K$1:K$400,0)),K$2,)</f>
        <v>0</v>
      </c>
      <c r="L264" s="179">
        <f ca="1">IF(ISNUMBER(MATCH(DATEVALUE($A264),'changes1_based on steps'!L$1:L$400,0)),L$2,)</f>
        <v>0</v>
      </c>
      <c r="M264" s="179">
        <f ca="1">IF(ISNUMBER(MATCH(DATEVALUE($A264),'changes1_based on steps'!M$1:M$400,0)),M$2,)</f>
        <v>0</v>
      </c>
      <c r="N264" s="179">
        <f ca="1">IF(ISNUMBER(MATCH(DATEVALUE($A264),'changes1_based on steps'!N$1:N$400,0)),N$2,)</f>
        <v>0</v>
      </c>
      <c r="O264" s="179">
        <f ca="1">IF(ISNUMBER(MATCH(DATEVALUE($A264),'changes1_based on steps'!O$1:O$400,0)),O$2,)</f>
        <v>0</v>
      </c>
      <c r="P264" s="179">
        <f ca="1">IF(ISNUMBER(MATCH(DATEVALUE($A264),'changes1_based on steps'!P$1:P$400,0)),P$2,)</f>
        <v>0</v>
      </c>
      <c r="Q264" s="179">
        <f ca="1">IF(ISNUMBER(MATCH(DATEVALUE($A264),'changes1_based on steps'!Q$1:Q$400,0)),Q$2,)</f>
        <v>0</v>
      </c>
      <c r="R264" s="179">
        <f ca="1">IF(ISNUMBER(MATCH(DATEVALUE($A264),'changes1_based on steps'!R$1:R$400,0)),R$2,)</f>
        <v>0</v>
      </c>
      <c r="S264" s="179">
        <f ca="1">IF(ISNUMBER(MATCH(DATEVALUE($A264),'changes1_based on steps'!S$1:S$400,0)),S$2,)</f>
        <v>0</v>
      </c>
      <c r="T264" s="179">
        <f ca="1">IF(ISNUMBER(MATCH(DATEVALUE($A264),'changes1_based on steps'!T$1:T$400,0)),T$2,)</f>
        <v>0</v>
      </c>
      <c r="U264" s="179">
        <f ca="1">IF(ISNUMBER(MATCH(DATEVALUE($A264),'changes1_based on steps'!U$1:U$400,0)),U$2,)</f>
        <v>0</v>
      </c>
      <c r="V264" s="179"/>
      <c r="W264" s="179"/>
      <c r="X264" s="179"/>
      <c r="Y264" s="179"/>
      <c r="Z264" s="179"/>
      <c r="AA264" s="179"/>
      <c r="AB264" s="179"/>
      <c r="AC264" s="179"/>
      <c r="AD264" s="179"/>
      <c r="AE264" s="179"/>
      <c r="AF264" s="179"/>
      <c r="AG264" s="179"/>
      <c r="AH264" s="179"/>
      <c r="AI264" s="179"/>
      <c r="AJ264" s="179"/>
      <c r="AK264" s="179"/>
      <c r="AL264" s="179"/>
      <c r="AM264" s="179"/>
      <c r="AN264" s="179"/>
      <c r="AO264" s="179"/>
      <c r="AP264" s="179"/>
      <c r="AQ264" s="179"/>
      <c r="AR264" s="179"/>
      <c r="AS264" s="179"/>
      <c r="AT264" s="179"/>
      <c r="AU264" s="179"/>
      <c r="AV264" s="179"/>
      <c r="AW264" s="179"/>
      <c r="AX264" s="179"/>
      <c r="AY264" s="179"/>
      <c r="AZ264" s="179"/>
      <c r="BA264" s="179"/>
      <c r="BB264" s="179"/>
      <c r="BC264" s="179"/>
      <c r="BD264" s="179"/>
      <c r="BE264" s="179"/>
      <c r="BF264" s="179"/>
      <c r="BG264" s="179"/>
      <c r="BH264" s="179"/>
      <c r="BI264" s="179"/>
      <c r="BJ264" s="179"/>
      <c r="BK264" s="179"/>
      <c r="BL264" s="179"/>
      <c r="BM264" s="179"/>
      <c r="BN264" s="179"/>
      <c r="BO264" s="179"/>
      <c r="BP264" s="179"/>
      <c r="BQ264" s="179"/>
      <c r="BR264" s="179"/>
      <c r="BS264" s="179"/>
      <c r="BT264" s="179"/>
      <c r="BU264" s="179"/>
      <c r="BV264" s="179"/>
      <c r="BW264" s="179"/>
      <c r="BX264" s="179"/>
      <c r="BY264" s="179"/>
      <c r="BZ264" s="179"/>
      <c r="CA264" s="179"/>
      <c r="CB264" s="179"/>
      <c r="CC264" s="179"/>
      <c r="CD264" s="179"/>
      <c r="CE264" s="179"/>
      <c r="CF264" s="179"/>
      <c r="CG264" s="179"/>
      <c r="CH264" s="179"/>
      <c r="CI264" s="179"/>
      <c r="CJ264" s="179"/>
      <c r="CK264" s="179"/>
      <c r="CL264" s="179"/>
      <c r="CM264" s="179"/>
      <c r="CN264" s="179"/>
      <c r="CO264" s="179"/>
      <c r="CP264" s="179"/>
      <c r="CQ264" s="179"/>
      <c r="CR264" s="179"/>
      <c r="CS264" s="179"/>
      <c r="CT264" s="179"/>
      <c r="CU264" s="179"/>
      <c r="CV264" s="179"/>
      <c r="CW264" s="179"/>
    </row>
    <row r="265" spans="1:101" x14ac:dyDescent="0.2">
      <c r="A265" s="32" t="str">
        <f t="shared" ca="1" si="4"/>
        <v>2025-12-23</v>
      </c>
      <c r="B265" s="179">
        <f ca="1">IF(ISNUMBER(MATCH(DATEVALUE($A265),'changes1_based on steps'!B$1:B$400,0)),B$2,)</f>
        <v>0</v>
      </c>
      <c r="C265" s="179">
        <f ca="1">IF(ISNUMBER(MATCH(DATEVALUE($A265),'changes1_based on steps'!C$1:C$400,0)),C$2,)</f>
        <v>0</v>
      </c>
      <c r="D265" s="179">
        <f ca="1">IF(ISNUMBER(MATCH(DATEVALUE($A265),'changes1_based on steps'!D$1:D$400,0)),D$2,)</f>
        <v>0</v>
      </c>
      <c r="E265" s="179">
        <f ca="1">IF(ISNUMBER(MATCH(DATEVALUE($A265),'changes1_based on steps'!E$1:E$400,0)),E$2,)</f>
        <v>0</v>
      </c>
      <c r="F265" s="179">
        <f ca="1">IF(ISNUMBER(MATCH(DATEVALUE($A265),'changes1_based on steps'!F$1:F$400,0)),F$2,)</f>
        <v>0</v>
      </c>
      <c r="G265" s="179">
        <f ca="1">IF(ISNUMBER(MATCH(DATEVALUE($A265),'changes1_based on steps'!G$1:G$400,0)),G$2,)</f>
        <v>0</v>
      </c>
      <c r="H265" s="179">
        <f ca="1">IF(ISNUMBER(MATCH(DATEVALUE($A265),'changes1_based on steps'!H$1:H$400,0)),H$2,)</f>
        <v>0</v>
      </c>
      <c r="I265" s="179">
        <f ca="1">IF(ISNUMBER(MATCH(DATEVALUE($A265),'changes1_based on steps'!I$1:I$400,0)),I$2,)</f>
        <v>0</v>
      </c>
      <c r="J265" s="179">
        <f ca="1">IF(ISNUMBER(MATCH(DATEVALUE($A265),'changes1_based on steps'!J$1:J$400,0)),J$2,)</f>
        <v>0</v>
      </c>
      <c r="K265" s="179">
        <f ca="1">IF(ISNUMBER(MATCH(DATEVALUE($A265),'changes1_based on steps'!K$1:K$400,0)),K$2,)</f>
        <v>0</v>
      </c>
      <c r="L265" s="179">
        <f ca="1">IF(ISNUMBER(MATCH(DATEVALUE($A265),'changes1_based on steps'!L$1:L$400,0)),L$2,)</f>
        <v>0</v>
      </c>
      <c r="M265" s="179">
        <f ca="1">IF(ISNUMBER(MATCH(DATEVALUE($A265),'changes1_based on steps'!M$1:M$400,0)),M$2,)</f>
        <v>0</v>
      </c>
      <c r="N265" s="179">
        <f ca="1">IF(ISNUMBER(MATCH(DATEVALUE($A265),'changes1_based on steps'!N$1:N$400,0)),N$2,)</f>
        <v>0</v>
      </c>
      <c r="O265" s="179">
        <f ca="1">IF(ISNUMBER(MATCH(DATEVALUE($A265),'changes1_based on steps'!O$1:O$400,0)),O$2,)</f>
        <v>0</v>
      </c>
      <c r="P265" s="179">
        <f ca="1">IF(ISNUMBER(MATCH(DATEVALUE($A265),'changes1_based on steps'!P$1:P$400,0)),P$2,)</f>
        <v>0</v>
      </c>
      <c r="Q265" s="179">
        <f ca="1">IF(ISNUMBER(MATCH(DATEVALUE($A265),'changes1_based on steps'!Q$1:Q$400,0)),Q$2,)</f>
        <v>0</v>
      </c>
      <c r="R265" s="179">
        <f ca="1">IF(ISNUMBER(MATCH(DATEVALUE($A265),'changes1_based on steps'!R$1:R$400,0)),R$2,)</f>
        <v>0</v>
      </c>
      <c r="S265" s="179">
        <f ca="1">IF(ISNUMBER(MATCH(DATEVALUE($A265),'changes1_based on steps'!S$1:S$400,0)),S$2,)</f>
        <v>0</v>
      </c>
      <c r="T265" s="179">
        <f ca="1">IF(ISNUMBER(MATCH(DATEVALUE($A265),'changes1_based on steps'!T$1:T$400,0)),T$2,)</f>
        <v>0</v>
      </c>
      <c r="U265" s="179">
        <f ca="1">IF(ISNUMBER(MATCH(DATEVALUE($A265),'changes1_based on steps'!U$1:U$400,0)),U$2,)</f>
        <v>0</v>
      </c>
      <c r="V265" s="179"/>
      <c r="W265" s="179"/>
      <c r="X265" s="179"/>
      <c r="Y265" s="179"/>
      <c r="Z265" s="179"/>
      <c r="AA265" s="179"/>
      <c r="AB265" s="179"/>
      <c r="AC265" s="179"/>
      <c r="AD265" s="179"/>
      <c r="AE265" s="179"/>
      <c r="AF265" s="179"/>
      <c r="AG265" s="179"/>
      <c r="AH265" s="179"/>
      <c r="AI265" s="179"/>
      <c r="AJ265" s="179"/>
      <c r="AK265" s="179"/>
      <c r="AL265" s="179"/>
      <c r="AM265" s="179"/>
      <c r="AN265" s="179"/>
      <c r="AO265" s="179"/>
      <c r="AP265" s="179"/>
      <c r="AQ265" s="179"/>
      <c r="AR265" s="179"/>
      <c r="AS265" s="179"/>
      <c r="AT265" s="179"/>
      <c r="AU265" s="179"/>
      <c r="AV265" s="179"/>
      <c r="AW265" s="179"/>
      <c r="AX265" s="179"/>
      <c r="AY265" s="179"/>
      <c r="AZ265" s="179"/>
      <c r="BA265" s="179"/>
      <c r="BB265" s="179"/>
      <c r="BC265" s="179"/>
      <c r="BD265" s="179"/>
      <c r="BE265" s="179"/>
      <c r="BF265" s="179"/>
      <c r="BG265" s="179"/>
      <c r="BH265" s="179"/>
      <c r="BI265" s="179"/>
      <c r="BJ265" s="179"/>
      <c r="BK265" s="179"/>
      <c r="BL265" s="179"/>
      <c r="BM265" s="179"/>
      <c r="BN265" s="179"/>
      <c r="BO265" s="179"/>
      <c r="BP265" s="179"/>
      <c r="BQ265" s="179"/>
      <c r="BR265" s="179"/>
      <c r="BS265" s="179"/>
      <c r="BT265" s="179"/>
      <c r="BU265" s="179"/>
      <c r="BV265" s="179"/>
      <c r="BW265" s="179"/>
      <c r="BX265" s="179"/>
      <c r="BY265" s="179"/>
      <c r="BZ265" s="179"/>
      <c r="CA265" s="179"/>
      <c r="CB265" s="179"/>
      <c r="CC265" s="179"/>
      <c r="CD265" s="179"/>
      <c r="CE265" s="179"/>
      <c r="CF265" s="179"/>
      <c r="CG265" s="179"/>
      <c r="CH265" s="179"/>
      <c r="CI265" s="179"/>
      <c r="CJ265" s="179"/>
      <c r="CK265" s="179"/>
      <c r="CL265" s="179"/>
      <c r="CM265" s="179"/>
      <c r="CN265" s="179"/>
      <c r="CO265" s="179"/>
      <c r="CP265" s="179"/>
      <c r="CQ265" s="179"/>
      <c r="CR265" s="179"/>
      <c r="CS265" s="179"/>
      <c r="CT265" s="179"/>
      <c r="CU265" s="179"/>
      <c r="CV265" s="179"/>
      <c r="CW265" s="179"/>
    </row>
    <row r="266" spans="1:101" x14ac:dyDescent="0.2">
      <c r="A266" s="32" t="str">
        <f t="shared" ca="1" si="4"/>
        <v>2025-12-24</v>
      </c>
      <c r="B266" s="179">
        <f ca="1">IF(ISNUMBER(MATCH(DATEVALUE($A266),'changes1_based on steps'!B$1:B$400,0)),B$2,)</f>
        <v>0</v>
      </c>
      <c r="C266" s="179">
        <f ca="1">IF(ISNUMBER(MATCH(DATEVALUE($A266),'changes1_based on steps'!C$1:C$400,0)),C$2,)</f>
        <v>0</v>
      </c>
      <c r="D266" s="179">
        <f ca="1">IF(ISNUMBER(MATCH(DATEVALUE($A266),'changes1_based on steps'!D$1:D$400,0)),D$2,)</f>
        <v>0</v>
      </c>
      <c r="E266" s="179">
        <f ca="1">IF(ISNUMBER(MATCH(DATEVALUE($A266),'changes1_based on steps'!E$1:E$400,0)),E$2,)</f>
        <v>0</v>
      </c>
      <c r="F266" s="179">
        <f ca="1">IF(ISNUMBER(MATCH(DATEVALUE($A266),'changes1_based on steps'!F$1:F$400,0)),F$2,)</f>
        <v>0</v>
      </c>
      <c r="G266" s="179">
        <f ca="1">IF(ISNUMBER(MATCH(DATEVALUE($A266),'changes1_based on steps'!G$1:G$400,0)),G$2,)</f>
        <v>0</v>
      </c>
      <c r="H266" s="179">
        <f ca="1">IF(ISNUMBER(MATCH(DATEVALUE($A266),'changes1_based on steps'!H$1:H$400,0)),H$2,)</f>
        <v>0</v>
      </c>
      <c r="I266" s="179">
        <f ca="1">IF(ISNUMBER(MATCH(DATEVALUE($A266),'changes1_based on steps'!I$1:I$400,0)),I$2,)</f>
        <v>0</v>
      </c>
      <c r="J266" s="179">
        <f ca="1">IF(ISNUMBER(MATCH(DATEVALUE($A266),'changes1_based on steps'!J$1:J$400,0)),J$2,)</f>
        <v>0</v>
      </c>
      <c r="K266" s="179">
        <f ca="1">IF(ISNUMBER(MATCH(DATEVALUE($A266),'changes1_based on steps'!K$1:K$400,0)),K$2,)</f>
        <v>0</v>
      </c>
      <c r="L266" s="179">
        <f ca="1">IF(ISNUMBER(MATCH(DATEVALUE($A266),'changes1_based on steps'!L$1:L$400,0)),L$2,)</f>
        <v>0</v>
      </c>
      <c r="M266" s="179">
        <f ca="1">IF(ISNUMBER(MATCH(DATEVALUE($A266),'changes1_based on steps'!M$1:M$400,0)),M$2,)</f>
        <v>0</v>
      </c>
      <c r="N266" s="179">
        <f ca="1">IF(ISNUMBER(MATCH(DATEVALUE($A266),'changes1_based on steps'!N$1:N$400,0)),N$2,)</f>
        <v>0</v>
      </c>
      <c r="O266" s="179">
        <f ca="1">IF(ISNUMBER(MATCH(DATEVALUE($A266),'changes1_based on steps'!O$1:O$400,0)),O$2,)</f>
        <v>0</v>
      </c>
      <c r="P266" s="179">
        <f ca="1">IF(ISNUMBER(MATCH(DATEVALUE($A266),'changes1_based on steps'!P$1:P$400,0)),P$2,)</f>
        <v>0</v>
      </c>
      <c r="Q266" s="179">
        <f ca="1">IF(ISNUMBER(MATCH(DATEVALUE($A266),'changes1_based on steps'!Q$1:Q$400,0)),Q$2,)</f>
        <v>0</v>
      </c>
      <c r="R266" s="179">
        <f ca="1">IF(ISNUMBER(MATCH(DATEVALUE($A266),'changes1_based on steps'!R$1:R$400,0)),R$2,)</f>
        <v>0</v>
      </c>
      <c r="S266" s="179">
        <f ca="1">IF(ISNUMBER(MATCH(DATEVALUE($A266),'changes1_based on steps'!S$1:S$400,0)),S$2,)</f>
        <v>0</v>
      </c>
      <c r="T266" s="179">
        <f ca="1">IF(ISNUMBER(MATCH(DATEVALUE($A266),'changes1_based on steps'!T$1:T$400,0)),T$2,)</f>
        <v>0</v>
      </c>
      <c r="U266" s="179">
        <f ca="1">IF(ISNUMBER(MATCH(DATEVALUE($A266),'changes1_based on steps'!U$1:U$400,0)),U$2,)</f>
        <v>0</v>
      </c>
      <c r="V266" s="179"/>
      <c r="W266" s="179"/>
      <c r="X266" s="179"/>
      <c r="Y266" s="179"/>
      <c r="Z266" s="179"/>
      <c r="AA266" s="179"/>
      <c r="AB266" s="179"/>
      <c r="AC266" s="179"/>
      <c r="AD266" s="179"/>
      <c r="AE266" s="179"/>
      <c r="AF266" s="179"/>
      <c r="AG266" s="179"/>
      <c r="AH266" s="179"/>
      <c r="AI266" s="179"/>
      <c r="AJ266" s="179"/>
      <c r="AK266" s="179"/>
      <c r="AL266" s="179"/>
      <c r="AM266" s="179"/>
      <c r="AN266" s="179"/>
      <c r="AO266" s="179"/>
      <c r="AP266" s="179"/>
      <c r="AQ266" s="179"/>
      <c r="AR266" s="179"/>
      <c r="AS266" s="179"/>
      <c r="AT266" s="179"/>
      <c r="AU266" s="179"/>
      <c r="AV266" s="179"/>
      <c r="AW266" s="179"/>
      <c r="AX266" s="179"/>
      <c r="AY266" s="179"/>
      <c r="AZ266" s="179"/>
      <c r="BA266" s="179"/>
      <c r="BB266" s="179"/>
      <c r="BC266" s="179"/>
      <c r="BD266" s="179"/>
      <c r="BE266" s="179"/>
      <c r="BF266" s="179"/>
      <c r="BG266" s="179"/>
      <c r="BH266" s="179"/>
      <c r="BI266" s="179"/>
      <c r="BJ266" s="179"/>
      <c r="BK266" s="179"/>
      <c r="BL266" s="179"/>
      <c r="BM266" s="179"/>
      <c r="BN266" s="179"/>
      <c r="BO266" s="179"/>
      <c r="BP266" s="179"/>
      <c r="BQ266" s="179"/>
      <c r="BR266" s="179"/>
      <c r="BS266" s="179"/>
      <c r="BT266" s="179"/>
      <c r="BU266" s="179"/>
      <c r="BV266" s="179"/>
      <c r="BW266" s="179"/>
      <c r="BX266" s="179"/>
      <c r="BY266" s="179"/>
      <c r="BZ266" s="179"/>
      <c r="CA266" s="179"/>
      <c r="CB266" s="179"/>
      <c r="CC266" s="179"/>
      <c r="CD266" s="179"/>
      <c r="CE266" s="179"/>
      <c r="CF266" s="179"/>
      <c r="CG266" s="179"/>
      <c r="CH266" s="179"/>
      <c r="CI266" s="179"/>
      <c r="CJ266" s="179"/>
      <c r="CK266" s="179"/>
      <c r="CL266" s="179"/>
      <c r="CM266" s="179"/>
      <c r="CN266" s="179"/>
      <c r="CO266" s="179"/>
      <c r="CP266" s="179"/>
      <c r="CQ266" s="179"/>
      <c r="CR266" s="179"/>
      <c r="CS266" s="179"/>
      <c r="CT266" s="179"/>
      <c r="CU266" s="179"/>
      <c r="CV266" s="179"/>
      <c r="CW266" s="179"/>
    </row>
    <row r="267" spans="1:101" x14ac:dyDescent="0.2">
      <c r="A267" s="32" t="str">
        <f t="shared" ca="1" si="4"/>
        <v>2025-12-25</v>
      </c>
      <c r="B267" s="179">
        <f ca="1">IF(ISNUMBER(MATCH(DATEVALUE($A267),'changes1_based on steps'!B$1:B$400,0)),B$2,)</f>
        <v>0</v>
      </c>
      <c r="C267" s="179">
        <f ca="1">IF(ISNUMBER(MATCH(DATEVALUE($A267),'changes1_based on steps'!C$1:C$400,0)),C$2,)</f>
        <v>0</v>
      </c>
      <c r="D267" s="179">
        <f ca="1">IF(ISNUMBER(MATCH(DATEVALUE($A267),'changes1_based on steps'!D$1:D$400,0)),D$2,)</f>
        <v>0</v>
      </c>
      <c r="E267" s="179">
        <f ca="1">IF(ISNUMBER(MATCH(DATEVALUE($A267),'changes1_based on steps'!E$1:E$400,0)),E$2,)</f>
        <v>0</v>
      </c>
      <c r="F267" s="179">
        <f ca="1">IF(ISNUMBER(MATCH(DATEVALUE($A267),'changes1_based on steps'!F$1:F$400,0)),F$2,)</f>
        <v>0</v>
      </c>
      <c r="G267" s="179">
        <f ca="1">IF(ISNUMBER(MATCH(DATEVALUE($A267),'changes1_based on steps'!G$1:G$400,0)),G$2,)</f>
        <v>0</v>
      </c>
      <c r="H267" s="179">
        <f ca="1">IF(ISNUMBER(MATCH(DATEVALUE($A267),'changes1_based on steps'!H$1:H$400,0)),H$2,)</f>
        <v>0</v>
      </c>
      <c r="I267" s="179">
        <f ca="1">IF(ISNUMBER(MATCH(DATEVALUE($A267),'changes1_based on steps'!I$1:I$400,0)),I$2,)</f>
        <v>0</v>
      </c>
      <c r="J267" s="179">
        <f ca="1">IF(ISNUMBER(MATCH(DATEVALUE($A267),'changes1_based on steps'!J$1:J$400,0)),J$2,)</f>
        <v>0</v>
      </c>
      <c r="K267" s="179">
        <f ca="1">IF(ISNUMBER(MATCH(DATEVALUE($A267),'changes1_based on steps'!K$1:K$400,0)),K$2,)</f>
        <v>0</v>
      </c>
      <c r="L267" s="179">
        <f ca="1">IF(ISNUMBER(MATCH(DATEVALUE($A267),'changes1_based on steps'!L$1:L$400,0)),L$2,)</f>
        <v>0</v>
      </c>
      <c r="M267" s="179">
        <f ca="1">IF(ISNUMBER(MATCH(DATEVALUE($A267),'changes1_based on steps'!M$1:M$400,0)),M$2,)</f>
        <v>0</v>
      </c>
      <c r="N267" s="179">
        <f ca="1">IF(ISNUMBER(MATCH(DATEVALUE($A267),'changes1_based on steps'!N$1:N$400,0)),N$2,)</f>
        <v>0</v>
      </c>
      <c r="O267" s="179">
        <f ca="1">IF(ISNUMBER(MATCH(DATEVALUE($A267),'changes1_based on steps'!O$1:O$400,0)),O$2,)</f>
        <v>0</v>
      </c>
      <c r="P267" s="179">
        <f ca="1">IF(ISNUMBER(MATCH(DATEVALUE($A267),'changes1_based on steps'!P$1:P$400,0)),P$2,)</f>
        <v>0</v>
      </c>
      <c r="Q267" s="179">
        <f ca="1">IF(ISNUMBER(MATCH(DATEVALUE($A267),'changes1_based on steps'!Q$1:Q$400,0)),Q$2,)</f>
        <v>0</v>
      </c>
      <c r="R267" s="179">
        <f ca="1">IF(ISNUMBER(MATCH(DATEVALUE($A267),'changes1_based on steps'!R$1:R$400,0)),R$2,)</f>
        <v>0</v>
      </c>
      <c r="S267" s="179">
        <f ca="1">IF(ISNUMBER(MATCH(DATEVALUE($A267),'changes1_based on steps'!S$1:S$400,0)),S$2,)</f>
        <v>0</v>
      </c>
      <c r="T267" s="179">
        <f ca="1">IF(ISNUMBER(MATCH(DATEVALUE($A267),'changes1_based on steps'!T$1:T$400,0)),T$2,)</f>
        <v>0</v>
      </c>
      <c r="U267" s="179">
        <f ca="1">IF(ISNUMBER(MATCH(DATEVALUE($A267),'changes1_based on steps'!U$1:U$400,0)),U$2,)</f>
        <v>0</v>
      </c>
      <c r="V267" s="179"/>
      <c r="W267" s="179"/>
      <c r="X267" s="179"/>
      <c r="Y267" s="179"/>
      <c r="Z267" s="179"/>
      <c r="AA267" s="179"/>
      <c r="AB267" s="179"/>
      <c r="AC267" s="179"/>
      <c r="AD267" s="179"/>
      <c r="AE267" s="179"/>
      <c r="AF267" s="179"/>
      <c r="AG267" s="179"/>
      <c r="AH267" s="179"/>
      <c r="AI267" s="179"/>
      <c r="AJ267" s="179"/>
      <c r="AK267" s="179"/>
      <c r="AL267" s="179"/>
      <c r="AM267" s="179"/>
      <c r="AN267" s="179"/>
      <c r="AO267" s="179"/>
      <c r="AP267" s="179"/>
      <c r="AQ267" s="179"/>
      <c r="AR267" s="179"/>
      <c r="AS267" s="179"/>
      <c r="AT267" s="179"/>
      <c r="AU267" s="179"/>
      <c r="AV267" s="179"/>
      <c r="AW267" s="179"/>
      <c r="AX267" s="179"/>
      <c r="AY267" s="179"/>
      <c r="AZ267" s="179"/>
      <c r="BA267" s="179"/>
      <c r="BB267" s="179"/>
      <c r="BC267" s="179"/>
      <c r="BD267" s="179"/>
      <c r="BE267" s="179"/>
      <c r="BF267" s="179"/>
      <c r="BG267" s="179"/>
      <c r="BH267" s="179"/>
      <c r="BI267" s="179"/>
      <c r="BJ267" s="179"/>
      <c r="BK267" s="179"/>
      <c r="BL267" s="179"/>
      <c r="BM267" s="179"/>
      <c r="BN267" s="179"/>
      <c r="BO267" s="179"/>
      <c r="BP267" s="179"/>
      <c r="BQ267" s="179"/>
      <c r="BR267" s="179"/>
      <c r="BS267" s="179"/>
      <c r="BT267" s="179"/>
      <c r="BU267" s="179"/>
      <c r="BV267" s="179"/>
      <c r="BW267" s="179"/>
      <c r="BX267" s="179"/>
      <c r="BY267" s="179"/>
      <c r="BZ267" s="179"/>
      <c r="CA267" s="179"/>
      <c r="CB267" s="179"/>
      <c r="CC267" s="179"/>
      <c r="CD267" s="179"/>
      <c r="CE267" s="179"/>
      <c r="CF267" s="179"/>
      <c r="CG267" s="179"/>
      <c r="CH267" s="179"/>
      <c r="CI267" s="179"/>
      <c r="CJ267" s="179"/>
      <c r="CK267" s="179"/>
      <c r="CL267" s="179"/>
      <c r="CM267" s="179"/>
      <c r="CN267" s="179"/>
      <c r="CO267" s="179"/>
      <c r="CP267" s="179"/>
      <c r="CQ267" s="179"/>
      <c r="CR267" s="179"/>
      <c r="CS267" s="179"/>
      <c r="CT267" s="179"/>
      <c r="CU267" s="179"/>
      <c r="CV267" s="179"/>
      <c r="CW267" s="179"/>
    </row>
    <row r="268" spans="1:101" x14ac:dyDescent="0.2">
      <c r="A268" s="32" t="str">
        <f t="shared" ca="1" si="4"/>
        <v>2025-12-26</v>
      </c>
      <c r="B268" s="179">
        <f ca="1">IF(ISNUMBER(MATCH(DATEVALUE($A268),'changes1_based on steps'!B$1:B$400,0)),B$2,)</f>
        <v>0</v>
      </c>
      <c r="C268" s="179">
        <f ca="1">IF(ISNUMBER(MATCH(DATEVALUE($A268),'changes1_based on steps'!C$1:C$400,0)),C$2,)</f>
        <v>0</v>
      </c>
      <c r="D268" s="179">
        <f ca="1">IF(ISNUMBER(MATCH(DATEVALUE($A268),'changes1_based on steps'!D$1:D$400,0)),D$2,)</f>
        <v>0</v>
      </c>
      <c r="E268" s="179">
        <f ca="1">IF(ISNUMBER(MATCH(DATEVALUE($A268),'changes1_based on steps'!E$1:E$400,0)),E$2,)</f>
        <v>0</v>
      </c>
      <c r="F268" s="179">
        <f ca="1">IF(ISNUMBER(MATCH(DATEVALUE($A268),'changes1_based on steps'!F$1:F$400,0)),F$2,)</f>
        <v>0</v>
      </c>
      <c r="G268" s="179">
        <f ca="1">IF(ISNUMBER(MATCH(DATEVALUE($A268),'changes1_based on steps'!G$1:G$400,0)),G$2,)</f>
        <v>0</v>
      </c>
      <c r="H268" s="179">
        <f ca="1">IF(ISNUMBER(MATCH(DATEVALUE($A268),'changes1_based on steps'!H$1:H$400,0)),H$2,)</f>
        <v>0</v>
      </c>
      <c r="I268" s="179">
        <f ca="1">IF(ISNUMBER(MATCH(DATEVALUE($A268),'changes1_based on steps'!I$1:I$400,0)),I$2,)</f>
        <v>0</v>
      </c>
      <c r="J268" s="179">
        <f ca="1">IF(ISNUMBER(MATCH(DATEVALUE($A268),'changes1_based on steps'!J$1:J$400,0)),J$2,)</f>
        <v>0</v>
      </c>
      <c r="K268" s="179">
        <f ca="1">IF(ISNUMBER(MATCH(DATEVALUE($A268),'changes1_based on steps'!K$1:K$400,0)),K$2,)</f>
        <v>0</v>
      </c>
      <c r="L268" s="179">
        <f ca="1">IF(ISNUMBER(MATCH(DATEVALUE($A268),'changes1_based on steps'!L$1:L$400,0)),L$2,)</f>
        <v>0</v>
      </c>
      <c r="M268" s="179">
        <f ca="1">IF(ISNUMBER(MATCH(DATEVALUE($A268),'changes1_based on steps'!M$1:M$400,0)),M$2,)</f>
        <v>0</v>
      </c>
      <c r="N268" s="179">
        <f ca="1">IF(ISNUMBER(MATCH(DATEVALUE($A268),'changes1_based on steps'!N$1:N$400,0)),N$2,)</f>
        <v>0</v>
      </c>
      <c r="O268" s="179">
        <f ca="1">IF(ISNUMBER(MATCH(DATEVALUE($A268),'changes1_based on steps'!O$1:O$400,0)),O$2,)</f>
        <v>0</v>
      </c>
      <c r="P268" s="179">
        <f ca="1">IF(ISNUMBER(MATCH(DATEVALUE($A268),'changes1_based on steps'!P$1:P$400,0)),P$2,)</f>
        <v>0</v>
      </c>
      <c r="Q268" s="179">
        <f ca="1">IF(ISNUMBER(MATCH(DATEVALUE($A268),'changes1_based on steps'!Q$1:Q$400,0)),Q$2,)</f>
        <v>0</v>
      </c>
      <c r="R268" s="179">
        <f ca="1">IF(ISNUMBER(MATCH(DATEVALUE($A268),'changes1_based on steps'!R$1:R$400,0)),R$2,)</f>
        <v>0</v>
      </c>
      <c r="S268" s="179">
        <f ca="1">IF(ISNUMBER(MATCH(DATEVALUE($A268),'changes1_based on steps'!S$1:S$400,0)),S$2,)</f>
        <v>0</v>
      </c>
      <c r="T268" s="179">
        <f ca="1">IF(ISNUMBER(MATCH(DATEVALUE($A268),'changes1_based on steps'!T$1:T$400,0)),T$2,)</f>
        <v>0</v>
      </c>
      <c r="U268" s="179">
        <f ca="1">IF(ISNUMBER(MATCH(DATEVALUE($A268),'changes1_based on steps'!U$1:U$400,0)),U$2,)</f>
        <v>0</v>
      </c>
      <c r="V268" s="179"/>
      <c r="W268" s="179"/>
      <c r="X268" s="179"/>
      <c r="Y268" s="179"/>
      <c r="Z268" s="179"/>
      <c r="AA268" s="179"/>
      <c r="AB268" s="179"/>
      <c r="AC268" s="179"/>
      <c r="AD268" s="179"/>
      <c r="AE268" s="179"/>
      <c r="AF268" s="179"/>
      <c r="AG268" s="179"/>
      <c r="AH268" s="179"/>
      <c r="AI268" s="179"/>
      <c r="AJ268" s="179"/>
      <c r="AK268" s="179"/>
      <c r="AL268" s="179"/>
      <c r="AM268" s="179"/>
      <c r="AN268" s="179"/>
      <c r="AO268" s="179"/>
      <c r="AP268" s="179"/>
      <c r="AQ268" s="179"/>
      <c r="AR268" s="179"/>
      <c r="AS268" s="179"/>
      <c r="AT268" s="179"/>
      <c r="AU268" s="179"/>
      <c r="AV268" s="179"/>
      <c r="AW268" s="179"/>
      <c r="AX268" s="179"/>
      <c r="AY268" s="179"/>
      <c r="AZ268" s="179"/>
      <c r="BA268" s="179"/>
      <c r="BB268" s="179"/>
      <c r="BC268" s="179"/>
      <c r="BD268" s="179"/>
      <c r="BE268" s="179"/>
      <c r="BF268" s="179"/>
      <c r="BG268" s="179"/>
      <c r="BH268" s="179"/>
      <c r="BI268" s="179"/>
      <c r="BJ268" s="179"/>
      <c r="BK268" s="179"/>
      <c r="BL268" s="179"/>
      <c r="BM268" s="179"/>
      <c r="BN268" s="179"/>
      <c r="BO268" s="179"/>
      <c r="BP268" s="179"/>
      <c r="BQ268" s="179"/>
      <c r="BR268" s="179"/>
      <c r="BS268" s="179"/>
      <c r="BT268" s="179"/>
      <c r="BU268" s="179"/>
      <c r="BV268" s="179"/>
      <c r="BW268" s="179"/>
      <c r="BX268" s="179"/>
      <c r="BY268" s="179"/>
      <c r="BZ268" s="179"/>
      <c r="CA268" s="179"/>
      <c r="CB268" s="179"/>
      <c r="CC268" s="179"/>
      <c r="CD268" s="179"/>
      <c r="CE268" s="179"/>
      <c r="CF268" s="179"/>
      <c r="CG268" s="179"/>
      <c r="CH268" s="179"/>
      <c r="CI268" s="179"/>
      <c r="CJ268" s="179"/>
      <c r="CK268" s="179"/>
      <c r="CL268" s="179"/>
      <c r="CM268" s="179"/>
      <c r="CN268" s="179"/>
      <c r="CO268" s="179"/>
      <c r="CP268" s="179"/>
      <c r="CQ268" s="179"/>
      <c r="CR268" s="179"/>
      <c r="CS268" s="179"/>
      <c r="CT268" s="179"/>
      <c r="CU268" s="179"/>
      <c r="CV268" s="179"/>
      <c r="CW268" s="179"/>
    </row>
    <row r="269" spans="1:101" x14ac:dyDescent="0.2">
      <c r="A269" s="32" t="str">
        <f t="shared" ca="1" si="4"/>
        <v>2025-12-27</v>
      </c>
      <c r="B269" s="179">
        <f ca="1">IF(ISNUMBER(MATCH(DATEVALUE($A269),'changes1_based on steps'!B$1:B$400,0)),B$2,)</f>
        <v>0</v>
      </c>
      <c r="C269" s="179">
        <f ca="1">IF(ISNUMBER(MATCH(DATEVALUE($A269),'changes1_based on steps'!C$1:C$400,0)),C$2,)</f>
        <v>0</v>
      </c>
      <c r="D269" s="179">
        <f ca="1">IF(ISNUMBER(MATCH(DATEVALUE($A269),'changes1_based on steps'!D$1:D$400,0)),D$2,)</f>
        <v>0</v>
      </c>
      <c r="E269" s="179">
        <f ca="1">IF(ISNUMBER(MATCH(DATEVALUE($A269),'changes1_based on steps'!E$1:E$400,0)),E$2,)</f>
        <v>0</v>
      </c>
      <c r="F269" s="179">
        <f ca="1">IF(ISNUMBER(MATCH(DATEVALUE($A269),'changes1_based on steps'!F$1:F$400,0)),F$2,)</f>
        <v>0</v>
      </c>
      <c r="G269" s="179">
        <f ca="1">IF(ISNUMBER(MATCH(DATEVALUE($A269),'changes1_based on steps'!G$1:G$400,0)),G$2,)</f>
        <v>0</v>
      </c>
      <c r="H269" s="179">
        <f ca="1">IF(ISNUMBER(MATCH(DATEVALUE($A269),'changes1_based on steps'!H$1:H$400,0)),H$2,)</f>
        <v>0</v>
      </c>
      <c r="I269" s="179">
        <f ca="1">IF(ISNUMBER(MATCH(DATEVALUE($A269),'changes1_based on steps'!I$1:I$400,0)),I$2,)</f>
        <v>0</v>
      </c>
      <c r="J269" s="179">
        <f ca="1">IF(ISNUMBER(MATCH(DATEVALUE($A269),'changes1_based on steps'!J$1:J$400,0)),J$2,)</f>
        <v>0</v>
      </c>
      <c r="K269" s="179">
        <f ca="1">IF(ISNUMBER(MATCH(DATEVALUE($A269),'changes1_based on steps'!K$1:K$400,0)),K$2,)</f>
        <v>0</v>
      </c>
      <c r="L269" s="179">
        <f ca="1">IF(ISNUMBER(MATCH(DATEVALUE($A269),'changes1_based on steps'!L$1:L$400,0)),L$2,)</f>
        <v>0</v>
      </c>
      <c r="M269" s="179">
        <f ca="1">IF(ISNUMBER(MATCH(DATEVALUE($A269),'changes1_based on steps'!M$1:M$400,0)),M$2,)</f>
        <v>0</v>
      </c>
      <c r="N269" s="179">
        <f ca="1">IF(ISNUMBER(MATCH(DATEVALUE($A269),'changes1_based on steps'!N$1:N$400,0)),N$2,)</f>
        <v>0</v>
      </c>
      <c r="O269" s="179">
        <f ca="1">IF(ISNUMBER(MATCH(DATEVALUE($A269),'changes1_based on steps'!O$1:O$400,0)),O$2,)</f>
        <v>0</v>
      </c>
      <c r="P269" s="179">
        <f ca="1">IF(ISNUMBER(MATCH(DATEVALUE($A269),'changes1_based on steps'!P$1:P$400,0)),P$2,)</f>
        <v>0</v>
      </c>
      <c r="Q269" s="179">
        <f ca="1">IF(ISNUMBER(MATCH(DATEVALUE($A269),'changes1_based on steps'!Q$1:Q$400,0)),Q$2,)</f>
        <v>0</v>
      </c>
      <c r="R269" s="179">
        <f ca="1">IF(ISNUMBER(MATCH(DATEVALUE($A269),'changes1_based on steps'!R$1:R$400,0)),R$2,)</f>
        <v>0</v>
      </c>
      <c r="S269" s="179">
        <f ca="1">IF(ISNUMBER(MATCH(DATEVALUE($A269),'changes1_based on steps'!S$1:S$400,0)),S$2,)</f>
        <v>0</v>
      </c>
      <c r="T269" s="179">
        <f ca="1">IF(ISNUMBER(MATCH(DATEVALUE($A269),'changes1_based on steps'!T$1:T$400,0)),T$2,)</f>
        <v>0</v>
      </c>
      <c r="U269" s="179">
        <f ca="1">IF(ISNUMBER(MATCH(DATEVALUE($A269),'changes1_based on steps'!U$1:U$400,0)),U$2,)</f>
        <v>0</v>
      </c>
      <c r="V269" s="179"/>
      <c r="W269" s="179"/>
      <c r="X269" s="179"/>
      <c r="Y269" s="179"/>
      <c r="Z269" s="179"/>
      <c r="AA269" s="179"/>
      <c r="AB269" s="179"/>
      <c r="AC269" s="179"/>
      <c r="AD269" s="179"/>
      <c r="AE269" s="179"/>
      <c r="AF269" s="179"/>
      <c r="AG269" s="179"/>
      <c r="AH269" s="179"/>
      <c r="AI269" s="179"/>
      <c r="AJ269" s="179"/>
      <c r="AK269" s="179"/>
      <c r="AL269" s="179"/>
      <c r="AM269" s="179"/>
      <c r="AN269" s="179"/>
      <c r="AO269" s="179"/>
      <c r="AP269" s="179"/>
      <c r="AQ269" s="179"/>
      <c r="AR269" s="179"/>
      <c r="AS269" s="179"/>
      <c r="AT269" s="179"/>
      <c r="AU269" s="179"/>
      <c r="AV269" s="179"/>
      <c r="AW269" s="179"/>
      <c r="AX269" s="179"/>
      <c r="AY269" s="179"/>
      <c r="AZ269" s="179"/>
      <c r="BA269" s="179"/>
      <c r="BB269" s="179"/>
      <c r="BC269" s="179"/>
      <c r="BD269" s="179"/>
      <c r="BE269" s="179"/>
      <c r="BF269" s="179"/>
      <c r="BG269" s="179"/>
      <c r="BH269" s="179"/>
      <c r="BI269" s="179"/>
      <c r="BJ269" s="179"/>
      <c r="BK269" s="179"/>
      <c r="BL269" s="179"/>
      <c r="BM269" s="179"/>
      <c r="BN269" s="179"/>
      <c r="BO269" s="179"/>
      <c r="BP269" s="179"/>
      <c r="BQ269" s="179"/>
      <c r="BR269" s="179"/>
      <c r="BS269" s="179"/>
      <c r="BT269" s="179"/>
      <c r="BU269" s="179"/>
      <c r="BV269" s="179"/>
      <c r="BW269" s="179"/>
      <c r="BX269" s="179"/>
      <c r="BY269" s="179"/>
      <c r="BZ269" s="179"/>
      <c r="CA269" s="179"/>
      <c r="CB269" s="179"/>
      <c r="CC269" s="179"/>
      <c r="CD269" s="179"/>
      <c r="CE269" s="179"/>
      <c r="CF269" s="179"/>
      <c r="CG269" s="179"/>
      <c r="CH269" s="179"/>
      <c r="CI269" s="179"/>
      <c r="CJ269" s="179"/>
      <c r="CK269" s="179"/>
      <c r="CL269" s="179"/>
      <c r="CM269" s="179"/>
      <c r="CN269" s="179"/>
      <c r="CO269" s="179"/>
      <c r="CP269" s="179"/>
      <c r="CQ269" s="179"/>
      <c r="CR269" s="179"/>
      <c r="CS269" s="179"/>
      <c r="CT269" s="179"/>
      <c r="CU269" s="179"/>
      <c r="CV269" s="179"/>
      <c r="CW269" s="179"/>
    </row>
    <row r="270" spans="1:101" x14ac:dyDescent="0.2">
      <c r="A270" s="32" t="str">
        <f t="shared" ca="1" si="4"/>
        <v>2025-12-28</v>
      </c>
      <c r="B270" s="179">
        <f ca="1">IF(ISNUMBER(MATCH(DATEVALUE($A270),'changes1_based on steps'!B$1:B$400,0)),B$2,)</f>
        <v>0</v>
      </c>
      <c r="C270" s="179">
        <f ca="1">IF(ISNUMBER(MATCH(DATEVALUE($A270),'changes1_based on steps'!C$1:C$400,0)),C$2,)</f>
        <v>0</v>
      </c>
      <c r="D270" s="179">
        <f ca="1">IF(ISNUMBER(MATCH(DATEVALUE($A270),'changes1_based on steps'!D$1:D$400,0)),D$2,)</f>
        <v>0</v>
      </c>
      <c r="E270" s="179">
        <f ca="1">IF(ISNUMBER(MATCH(DATEVALUE($A270),'changes1_based on steps'!E$1:E$400,0)),E$2,)</f>
        <v>0</v>
      </c>
      <c r="F270" s="179">
        <f ca="1">IF(ISNUMBER(MATCH(DATEVALUE($A270),'changes1_based on steps'!F$1:F$400,0)),F$2,)</f>
        <v>0</v>
      </c>
      <c r="G270" s="179">
        <f ca="1">IF(ISNUMBER(MATCH(DATEVALUE($A270),'changes1_based on steps'!G$1:G$400,0)),G$2,)</f>
        <v>0</v>
      </c>
      <c r="H270" s="179">
        <f ca="1">IF(ISNUMBER(MATCH(DATEVALUE($A270),'changes1_based on steps'!H$1:H$400,0)),H$2,)</f>
        <v>0</v>
      </c>
      <c r="I270" s="179">
        <f ca="1">IF(ISNUMBER(MATCH(DATEVALUE($A270),'changes1_based on steps'!I$1:I$400,0)),I$2,)</f>
        <v>0</v>
      </c>
      <c r="J270" s="179">
        <f ca="1">IF(ISNUMBER(MATCH(DATEVALUE($A270),'changes1_based on steps'!J$1:J$400,0)),J$2,)</f>
        <v>0</v>
      </c>
      <c r="K270" s="179">
        <f ca="1">IF(ISNUMBER(MATCH(DATEVALUE($A270),'changes1_based on steps'!K$1:K$400,0)),K$2,)</f>
        <v>0</v>
      </c>
      <c r="L270" s="179">
        <f ca="1">IF(ISNUMBER(MATCH(DATEVALUE($A270),'changes1_based on steps'!L$1:L$400,0)),L$2,)</f>
        <v>0</v>
      </c>
      <c r="M270" s="179">
        <f ca="1">IF(ISNUMBER(MATCH(DATEVALUE($A270),'changes1_based on steps'!M$1:M$400,0)),M$2,)</f>
        <v>0</v>
      </c>
      <c r="N270" s="179">
        <f ca="1">IF(ISNUMBER(MATCH(DATEVALUE($A270),'changes1_based on steps'!N$1:N$400,0)),N$2,)</f>
        <v>0</v>
      </c>
      <c r="O270" s="179">
        <f ca="1">IF(ISNUMBER(MATCH(DATEVALUE($A270),'changes1_based on steps'!O$1:O$400,0)),O$2,)</f>
        <v>0</v>
      </c>
      <c r="P270" s="179">
        <f ca="1">IF(ISNUMBER(MATCH(DATEVALUE($A270),'changes1_based on steps'!P$1:P$400,0)),P$2,)</f>
        <v>0</v>
      </c>
      <c r="Q270" s="179">
        <f ca="1">IF(ISNUMBER(MATCH(DATEVALUE($A270),'changes1_based on steps'!Q$1:Q$400,0)),Q$2,)</f>
        <v>0</v>
      </c>
      <c r="R270" s="179">
        <f ca="1">IF(ISNUMBER(MATCH(DATEVALUE($A270),'changes1_based on steps'!R$1:R$400,0)),R$2,)</f>
        <v>0</v>
      </c>
      <c r="S270" s="179">
        <f ca="1">IF(ISNUMBER(MATCH(DATEVALUE($A270),'changes1_based on steps'!S$1:S$400,0)),S$2,)</f>
        <v>0</v>
      </c>
      <c r="T270" s="179">
        <f ca="1">IF(ISNUMBER(MATCH(DATEVALUE($A270),'changes1_based on steps'!T$1:T$400,0)),T$2,)</f>
        <v>0</v>
      </c>
      <c r="U270" s="179">
        <f ca="1">IF(ISNUMBER(MATCH(DATEVALUE($A270),'changes1_based on steps'!U$1:U$400,0)),U$2,)</f>
        <v>0</v>
      </c>
      <c r="V270" s="179"/>
      <c r="W270" s="179"/>
      <c r="X270" s="179"/>
      <c r="Y270" s="179"/>
      <c r="Z270" s="179"/>
      <c r="AA270" s="179"/>
      <c r="AB270" s="179"/>
      <c r="AC270" s="179"/>
      <c r="AD270" s="179"/>
      <c r="AE270" s="179"/>
      <c r="AF270" s="179"/>
      <c r="AG270" s="179"/>
      <c r="AH270" s="179"/>
      <c r="AI270" s="179"/>
      <c r="AJ270" s="179"/>
      <c r="AK270" s="179"/>
      <c r="AL270" s="179"/>
      <c r="AM270" s="179"/>
      <c r="AN270" s="179"/>
      <c r="AO270" s="179"/>
      <c r="AP270" s="179"/>
      <c r="AQ270" s="179"/>
      <c r="AR270" s="179"/>
      <c r="AS270" s="179"/>
      <c r="AT270" s="179"/>
      <c r="AU270" s="179"/>
      <c r="AV270" s="179"/>
      <c r="AW270" s="179"/>
      <c r="AX270" s="179"/>
      <c r="AY270" s="179"/>
      <c r="AZ270" s="179"/>
      <c r="BA270" s="179"/>
      <c r="BB270" s="179"/>
      <c r="BC270" s="179"/>
      <c r="BD270" s="179"/>
      <c r="BE270" s="179"/>
      <c r="BF270" s="179"/>
      <c r="BG270" s="179"/>
      <c r="BH270" s="179"/>
      <c r="BI270" s="179"/>
      <c r="BJ270" s="179"/>
      <c r="BK270" s="179"/>
      <c r="BL270" s="179"/>
      <c r="BM270" s="179"/>
      <c r="BN270" s="179"/>
      <c r="BO270" s="179"/>
      <c r="BP270" s="179"/>
      <c r="BQ270" s="179"/>
      <c r="BR270" s="179"/>
      <c r="BS270" s="179"/>
      <c r="BT270" s="179"/>
      <c r="BU270" s="179"/>
      <c r="BV270" s="179"/>
      <c r="BW270" s="179"/>
      <c r="BX270" s="179"/>
      <c r="BY270" s="179"/>
      <c r="BZ270" s="179"/>
      <c r="CA270" s="179"/>
      <c r="CB270" s="179"/>
      <c r="CC270" s="179"/>
      <c r="CD270" s="179"/>
      <c r="CE270" s="179"/>
      <c r="CF270" s="179"/>
      <c r="CG270" s="179"/>
      <c r="CH270" s="179"/>
      <c r="CI270" s="179"/>
      <c r="CJ270" s="179"/>
      <c r="CK270" s="179"/>
      <c r="CL270" s="179"/>
      <c r="CM270" s="179"/>
      <c r="CN270" s="179"/>
      <c r="CO270" s="179"/>
      <c r="CP270" s="179"/>
      <c r="CQ270" s="179"/>
      <c r="CR270" s="179"/>
      <c r="CS270" s="179"/>
      <c r="CT270" s="179"/>
      <c r="CU270" s="179"/>
      <c r="CV270" s="179"/>
      <c r="CW270" s="179"/>
    </row>
    <row r="271" spans="1:101" x14ac:dyDescent="0.2">
      <c r="A271" s="32" t="str">
        <f t="shared" ca="1" si="4"/>
        <v>2025-12-29</v>
      </c>
      <c r="B271" s="179">
        <f ca="1">IF(ISNUMBER(MATCH(DATEVALUE($A271),'changes1_based on steps'!B$1:B$400,0)),B$2,)</f>
        <v>0</v>
      </c>
      <c r="C271" s="179">
        <f ca="1">IF(ISNUMBER(MATCH(DATEVALUE($A271),'changes1_based on steps'!C$1:C$400,0)),C$2,)</f>
        <v>0</v>
      </c>
      <c r="D271" s="179">
        <f ca="1">IF(ISNUMBER(MATCH(DATEVALUE($A271),'changes1_based on steps'!D$1:D$400,0)),D$2,)</f>
        <v>0</v>
      </c>
      <c r="E271" s="179">
        <f ca="1">IF(ISNUMBER(MATCH(DATEVALUE($A271),'changes1_based on steps'!E$1:E$400,0)),E$2,)</f>
        <v>0</v>
      </c>
      <c r="F271" s="179">
        <f ca="1">IF(ISNUMBER(MATCH(DATEVALUE($A271),'changes1_based on steps'!F$1:F$400,0)),F$2,)</f>
        <v>0</v>
      </c>
      <c r="G271" s="179">
        <f ca="1">IF(ISNUMBER(MATCH(DATEVALUE($A271),'changes1_based on steps'!G$1:G$400,0)),G$2,)</f>
        <v>0</v>
      </c>
      <c r="H271" s="179">
        <f ca="1">IF(ISNUMBER(MATCH(DATEVALUE($A271),'changes1_based on steps'!H$1:H$400,0)),H$2,)</f>
        <v>0</v>
      </c>
      <c r="I271" s="179">
        <f ca="1">IF(ISNUMBER(MATCH(DATEVALUE($A271),'changes1_based on steps'!I$1:I$400,0)),I$2,)</f>
        <v>0</v>
      </c>
      <c r="J271" s="179">
        <f ca="1">IF(ISNUMBER(MATCH(DATEVALUE($A271),'changes1_based on steps'!J$1:J$400,0)),J$2,)</f>
        <v>0</v>
      </c>
      <c r="K271" s="179">
        <f ca="1">IF(ISNUMBER(MATCH(DATEVALUE($A271),'changes1_based on steps'!K$1:K$400,0)),K$2,)</f>
        <v>0</v>
      </c>
      <c r="L271" s="179">
        <f ca="1">IF(ISNUMBER(MATCH(DATEVALUE($A271),'changes1_based on steps'!L$1:L$400,0)),L$2,)</f>
        <v>0</v>
      </c>
      <c r="M271" s="179">
        <f ca="1">IF(ISNUMBER(MATCH(DATEVALUE($A271),'changes1_based on steps'!M$1:M$400,0)),M$2,)</f>
        <v>0</v>
      </c>
      <c r="N271" s="179">
        <f ca="1">IF(ISNUMBER(MATCH(DATEVALUE($A271),'changes1_based on steps'!N$1:N$400,0)),N$2,)</f>
        <v>0</v>
      </c>
      <c r="O271" s="179">
        <f ca="1">IF(ISNUMBER(MATCH(DATEVALUE($A271),'changes1_based on steps'!O$1:O$400,0)),O$2,)</f>
        <v>0</v>
      </c>
      <c r="P271" s="179">
        <f ca="1">IF(ISNUMBER(MATCH(DATEVALUE($A271),'changes1_based on steps'!P$1:P$400,0)),P$2,)</f>
        <v>0</v>
      </c>
      <c r="Q271" s="179">
        <f ca="1">IF(ISNUMBER(MATCH(DATEVALUE($A271),'changes1_based on steps'!Q$1:Q$400,0)),Q$2,)</f>
        <v>0</v>
      </c>
      <c r="R271" s="179">
        <f ca="1">IF(ISNUMBER(MATCH(DATEVALUE($A271),'changes1_based on steps'!R$1:R$400,0)),R$2,)</f>
        <v>0</v>
      </c>
      <c r="S271" s="179">
        <f ca="1">IF(ISNUMBER(MATCH(DATEVALUE($A271),'changes1_based on steps'!S$1:S$400,0)),S$2,)</f>
        <v>0</v>
      </c>
      <c r="T271" s="179">
        <f ca="1">IF(ISNUMBER(MATCH(DATEVALUE($A271),'changes1_based on steps'!T$1:T$400,0)),T$2,)</f>
        <v>0</v>
      </c>
      <c r="U271" s="179">
        <f ca="1">IF(ISNUMBER(MATCH(DATEVALUE($A271),'changes1_based on steps'!U$1:U$400,0)),U$2,)</f>
        <v>0</v>
      </c>
      <c r="V271" s="179"/>
      <c r="W271" s="179"/>
      <c r="X271" s="179"/>
      <c r="Y271" s="179"/>
      <c r="Z271" s="179"/>
      <c r="AA271" s="179"/>
      <c r="AB271" s="179"/>
      <c r="AC271" s="179"/>
      <c r="AD271" s="179"/>
      <c r="AE271" s="179"/>
      <c r="AF271" s="179"/>
      <c r="AG271" s="179"/>
      <c r="AH271" s="179"/>
      <c r="AI271" s="179"/>
      <c r="AJ271" s="179"/>
      <c r="AK271" s="179"/>
      <c r="AL271" s="179"/>
      <c r="AM271" s="179"/>
      <c r="AN271" s="179"/>
      <c r="AO271" s="179"/>
      <c r="AP271" s="179"/>
      <c r="AQ271" s="179"/>
      <c r="AR271" s="179"/>
      <c r="AS271" s="179"/>
      <c r="AT271" s="179"/>
      <c r="AU271" s="179"/>
      <c r="AV271" s="179"/>
      <c r="AW271" s="179"/>
      <c r="AX271" s="179"/>
      <c r="AY271" s="179"/>
      <c r="AZ271" s="179"/>
      <c r="BA271" s="179"/>
      <c r="BB271" s="179"/>
      <c r="BC271" s="179"/>
      <c r="BD271" s="179"/>
      <c r="BE271" s="179"/>
      <c r="BF271" s="179"/>
      <c r="BG271" s="179"/>
      <c r="BH271" s="179"/>
      <c r="BI271" s="179"/>
      <c r="BJ271" s="179"/>
      <c r="BK271" s="179"/>
      <c r="BL271" s="179"/>
      <c r="BM271" s="179"/>
      <c r="BN271" s="179"/>
      <c r="BO271" s="179"/>
      <c r="BP271" s="179"/>
      <c r="BQ271" s="179"/>
      <c r="BR271" s="179"/>
      <c r="BS271" s="179"/>
      <c r="BT271" s="179"/>
      <c r="BU271" s="179"/>
      <c r="BV271" s="179"/>
      <c r="BW271" s="179"/>
      <c r="BX271" s="179"/>
      <c r="BY271" s="179"/>
      <c r="BZ271" s="179"/>
      <c r="CA271" s="179"/>
      <c r="CB271" s="179"/>
      <c r="CC271" s="179"/>
      <c r="CD271" s="179"/>
      <c r="CE271" s="179"/>
      <c r="CF271" s="179"/>
      <c r="CG271" s="179"/>
      <c r="CH271" s="179"/>
      <c r="CI271" s="179"/>
      <c r="CJ271" s="179"/>
      <c r="CK271" s="179"/>
      <c r="CL271" s="179"/>
      <c r="CM271" s="179"/>
      <c r="CN271" s="179"/>
      <c r="CO271" s="179"/>
      <c r="CP271" s="179"/>
      <c r="CQ271" s="179"/>
      <c r="CR271" s="179"/>
      <c r="CS271" s="179"/>
      <c r="CT271" s="179"/>
      <c r="CU271" s="179"/>
      <c r="CV271" s="179"/>
      <c r="CW271" s="179"/>
    </row>
    <row r="272" spans="1:101" x14ac:dyDescent="0.2">
      <c r="A272" s="32" t="str">
        <f t="shared" ca="1" si="4"/>
        <v>2025-12-30</v>
      </c>
      <c r="B272" s="179">
        <f ca="1">IF(ISNUMBER(MATCH(DATEVALUE($A272),'changes1_based on steps'!B$1:B$400,0)),B$2,)</f>
        <v>0</v>
      </c>
      <c r="C272" s="179">
        <f ca="1">IF(ISNUMBER(MATCH(DATEVALUE($A272),'changes1_based on steps'!C$1:C$400,0)),C$2,)</f>
        <v>0</v>
      </c>
      <c r="D272" s="179">
        <f ca="1">IF(ISNUMBER(MATCH(DATEVALUE($A272),'changes1_based on steps'!D$1:D$400,0)),D$2,)</f>
        <v>0</v>
      </c>
      <c r="E272" s="179">
        <f ca="1">IF(ISNUMBER(MATCH(DATEVALUE($A272),'changes1_based on steps'!E$1:E$400,0)),E$2,)</f>
        <v>0</v>
      </c>
      <c r="F272" s="179">
        <f ca="1">IF(ISNUMBER(MATCH(DATEVALUE($A272),'changes1_based on steps'!F$1:F$400,0)),F$2,)</f>
        <v>0</v>
      </c>
      <c r="G272" s="179">
        <f ca="1">IF(ISNUMBER(MATCH(DATEVALUE($A272),'changes1_based on steps'!G$1:G$400,0)),G$2,)</f>
        <v>0</v>
      </c>
      <c r="H272" s="179">
        <f ca="1">IF(ISNUMBER(MATCH(DATEVALUE($A272),'changes1_based on steps'!H$1:H$400,0)),H$2,)</f>
        <v>0</v>
      </c>
      <c r="I272" s="179">
        <f ca="1">IF(ISNUMBER(MATCH(DATEVALUE($A272),'changes1_based on steps'!I$1:I$400,0)),I$2,)</f>
        <v>0</v>
      </c>
      <c r="J272" s="179">
        <f ca="1">IF(ISNUMBER(MATCH(DATEVALUE($A272),'changes1_based on steps'!J$1:J$400,0)),J$2,)</f>
        <v>0</v>
      </c>
      <c r="K272" s="179">
        <f ca="1">IF(ISNUMBER(MATCH(DATEVALUE($A272),'changes1_based on steps'!K$1:K$400,0)),K$2,)</f>
        <v>0</v>
      </c>
      <c r="L272" s="179">
        <f ca="1">IF(ISNUMBER(MATCH(DATEVALUE($A272),'changes1_based on steps'!L$1:L$400,0)),L$2,)</f>
        <v>0</v>
      </c>
      <c r="M272" s="179">
        <f ca="1">IF(ISNUMBER(MATCH(DATEVALUE($A272),'changes1_based on steps'!M$1:M$400,0)),M$2,)</f>
        <v>0</v>
      </c>
      <c r="N272" s="179">
        <f ca="1">IF(ISNUMBER(MATCH(DATEVALUE($A272),'changes1_based on steps'!N$1:N$400,0)),N$2,)</f>
        <v>0</v>
      </c>
      <c r="O272" s="179">
        <f ca="1">IF(ISNUMBER(MATCH(DATEVALUE($A272),'changes1_based on steps'!O$1:O$400,0)),O$2,)</f>
        <v>0</v>
      </c>
      <c r="P272" s="179">
        <f ca="1">IF(ISNUMBER(MATCH(DATEVALUE($A272),'changes1_based on steps'!P$1:P$400,0)),P$2,)</f>
        <v>0</v>
      </c>
      <c r="Q272" s="179">
        <f ca="1">IF(ISNUMBER(MATCH(DATEVALUE($A272),'changes1_based on steps'!Q$1:Q$400,0)),Q$2,)</f>
        <v>0</v>
      </c>
      <c r="R272" s="179">
        <f ca="1">IF(ISNUMBER(MATCH(DATEVALUE($A272),'changes1_based on steps'!R$1:R$400,0)),R$2,)</f>
        <v>0</v>
      </c>
      <c r="S272" s="179">
        <f ca="1">IF(ISNUMBER(MATCH(DATEVALUE($A272),'changes1_based on steps'!S$1:S$400,0)),S$2,)</f>
        <v>0</v>
      </c>
      <c r="T272" s="179">
        <f ca="1">IF(ISNUMBER(MATCH(DATEVALUE($A272),'changes1_based on steps'!T$1:T$400,0)),T$2,)</f>
        <v>0</v>
      </c>
      <c r="U272" s="179">
        <f ca="1">IF(ISNUMBER(MATCH(DATEVALUE($A272),'changes1_based on steps'!U$1:U$400,0)),U$2,)</f>
        <v>0</v>
      </c>
      <c r="V272" s="179"/>
      <c r="W272" s="179"/>
      <c r="X272" s="179"/>
      <c r="Y272" s="179"/>
      <c r="Z272" s="179"/>
      <c r="AA272" s="179"/>
      <c r="AB272" s="179"/>
      <c r="AC272" s="179"/>
      <c r="AD272" s="179"/>
      <c r="AE272" s="179"/>
      <c r="AF272" s="179"/>
      <c r="AG272" s="179"/>
      <c r="AH272" s="179"/>
      <c r="AI272" s="179"/>
      <c r="AJ272" s="179"/>
      <c r="AK272" s="179"/>
      <c r="AL272" s="179"/>
      <c r="AM272" s="179"/>
      <c r="AN272" s="179"/>
      <c r="AO272" s="179"/>
      <c r="AP272" s="179"/>
      <c r="AQ272" s="179"/>
      <c r="AR272" s="179"/>
      <c r="AS272" s="179"/>
      <c r="AT272" s="179"/>
      <c r="AU272" s="179"/>
      <c r="AV272" s="179"/>
      <c r="AW272" s="179"/>
      <c r="AX272" s="179"/>
      <c r="AY272" s="179"/>
      <c r="AZ272" s="179"/>
      <c r="BA272" s="179"/>
      <c r="BB272" s="179"/>
      <c r="BC272" s="179"/>
      <c r="BD272" s="179"/>
      <c r="BE272" s="179"/>
      <c r="BF272" s="179"/>
      <c r="BG272" s="179"/>
      <c r="BH272" s="179"/>
      <c r="BI272" s="179"/>
      <c r="BJ272" s="179"/>
      <c r="BK272" s="179"/>
      <c r="BL272" s="179"/>
      <c r="BM272" s="179"/>
      <c r="BN272" s="179"/>
      <c r="BO272" s="179"/>
      <c r="BP272" s="179"/>
      <c r="BQ272" s="179"/>
      <c r="BR272" s="179"/>
      <c r="BS272" s="179"/>
      <c r="BT272" s="179"/>
      <c r="BU272" s="179"/>
      <c r="BV272" s="179"/>
      <c r="BW272" s="179"/>
      <c r="BX272" s="179"/>
      <c r="BY272" s="179"/>
      <c r="BZ272" s="179"/>
      <c r="CA272" s="179"/>
      <c r="CB272" s="179"/>
      <c r="CC272" s="179"/>
      <c r="CD272" s="179"/>
      <c r="CE272" s="179"/>
      <c r="CF272" s="179"/>
      <c r="CG272" s="179"/>
      <c r="CH272" s="179"/>
      <c r="CI272" s="179"/>
      <c r="CJ272" s="179"/>
      <c r="CK272" s="179"/>
      <c r="CL272" s="179"/>
      <c r="CM272" s="179"/>
      <c r="CN272" s="179"/>
      <c r="CO272" s="179"/>
      <c r="CP272" s="179"/>
      <c r="CQ272" s="179"/>
      <c r="CR272" s="179"/>
      <c r="CS272" s="179"/>
      <c r="CT272" s="179"/>
      <c r="CU272" s="179"/>
      <c r="CV272" s="179"/>
      <c r="CW272" s="179"/>
    </row>
    <row r="273" spans="1:101" x14ac:dyDescent="0.2">
      <c r="A273" s="32" t="str">
        <f t="shared" ca="1" si="4"/>
        <v>2025-12-31</v>
      </c>
      <c r="B273" s="179">
        <f ca="1">IF(ISNUMBER(MATCH(DATEVALUE($A273),'changes1_based on steps'!B$1:B$400,0)),B$2,)</f>
        <v>0</v>
      </c>
      <c r="C273" s="179">
        <f ca="1">IF(ISNUMBER(MATCH(DATEVALUE($A273),'changes1_based on steps'!C$1:C$400,0)),C$2,)</f>
        <v>0</v>
      </c>
      <c r="D273" s="179">
        <f ca="1">IF(ISNUMBER(MATCH(DATEVALUE($A273),'changes1_based on steps'!D$1:D$400,0)),D$2,)</f>
        <v>0</v>
      </c>
      <c r="E273" s="179">
        <f ca="1">IF(ISNUMBER(MATCH(DATEVALUE($A273),'changes1_based on steps'!E$1:E$400,0)),E$2,)</f>
        <v>0</v>
      </c>
      <c r="F273" s="179">
        <f ca="1">IF(ISNUMBER(MATCH(DATEVALUE($A273),'changes1_based on steps'!F$1:F$400,0)),F$2,)</f>
        <v>0</v>
      </c>
      <c r="G273" s="179">
        <f ca="1">IF(ISNUMBER(MATCH(DATEVALUE($A273),'changes1_based on steps'!G$1:G$400,0)),G$2,)</f>
        <v>0</v>
      </c>
      <c r="H273" s="179">
        <f ca="1">IF(ISNUMBER(MATCH(DATEVALUE($A273),'changes1_based on steps'!H$1:H$400,0)),H$2,)</f>
        <v>0</v>
      </c>
      <c r="I273" s="179">
        <f ca="1">IF(ISNUMBER(MATCH(DATEVALUE($A273),'changes1_based on steps'!I$1:I$400,0)),I$2,)</f>
        <v>0</v>
      </c>
      <c r="J273" s="179">
        <f ca="1">IF(ISNUMBER(MATCH(DATEVALUE($A273),'changes1_based on steps'!J$1:J$400,0)),J$2,)</f>
        <v>0</v>
      </c>
      <c r="K273" s="179">
        <f ca="1">IF(ISNUMBER(MATCH(DATEVALUE($A273),'changes1_based on steps'!K$1:K$400,0)),K$2,)</f>
        <v>0</v>
      </c>
      <c r="L273" s="179">
        <f ca="1">IF(ISNUMBER(MATCH(DATEVALUE($A273),'changes1_based on steps'!L$1:L$400,0)),L$2,)</f>
        <v>0</v>
      </c>
      <c r="M273" s="179">
        <f ca="1">IF(ISNUMBER(MATCH(DATEVALUE($A273),'changes1_based on steps'!M$1:M$400,0)),M$2,)</f>
        <v>0</v>
      </c>
      <c r="N273" s="179">
        <f ca="1">IF(ISNUMBER(MATCH(DATEVALUE($A273),'changes1_based on steps'!N$1:N$400,0)),N$2,)</f>
        <v>0</v>
      </c>
      <c r="O273" s="179">
        <f ca="1">IF(ISNUMBER(MATCH(DATEVALUE($A273),'changes1_based on steps'!O$1:O$400,0)),O$2,)</f>
        <v>0</v>
      </c>
      <c r="P273" s="179">
        <f ca="1">IF(ISNUMBER(MATCH(DATEVALUE($A273),'changes1_based on steps'!P$1:P$400,0)),P$2,)</f>
        <v>0</v>
      </c>
      <c r="Q273" s="179">
        <f ca="1">IF(ISNUMBER(MATCH(DATEVALUE($A273),'changes1_based on steps'!Q$1:Q$400,0)),Q$2,)</f>
        <v>0</v>
      </c>
      <c r="R273" s="179">
        <f ca="1">IF(ISNUMBER(MATCH(DATEVALUE($A273),'changes1_based on steps'!R$1:R$400,0)),R$2,)</f>
        <v>0</v>
      </c>
      <c r="S273" s="179">
        <f ca="1">IF(ISNUMBER(MATCH(DATEVALUE($A273),'changes1_based on steps'!S$1:S$400,0)),S$2,)</f>
        <v>0</v>
      </c>
      <c r="T273" s="179">
        <f ca="1">IF(ISNUMBER(MATCH(DATEVALUE($A273),'changes1_based on steps'!T$1:T$400,0)),T$2,)</f>
        <v>0</v>
      </c>
      <c r="U273" s="179">
        <f ca="1">IF(ISNUMBER(MATCH(DATEVALUE($A273),'changes1_based on steps'!U$1:U$400,0)),U$2,)</f>
        <v>0</v>
      </c>
      <c r="V273" s="179"/>
      <c r="W273" s="179"/>
      <c r="X273" s="179"/>
      <c r="Y273" s="179"/>
      <c r="Z273" s="179"/>
      <c r="AA273" s="179"/>
      <c r="AB273" s="179"/>
      <c r="AC273" s="179"/>
      <c r="AD273" s="179"/>
      <c r="AE273" s="179"/>
      <c r="AF273" s="179"/>
      <c r="AG273" s="179"/>
      <c r="AH273" s="179"/>
      <c r="AI273" s="179"/>
      <c r="AJ273" s="179"/>
      <c r="AK273" s="179"/>
      <c r="AL273" s="179"/>
      <c r="AM273" s="179"/>
      <c r="AN273" s="179"/>
      <c r="AO273" s="179"/>
      <c r="AP273" s="179"/>
      <c r="AQ273" s="179"/>
      <c r="AR273" s="179"/>
      <c r="AS273" s="179"/>
      <c r="AT273" s="179"/>
      <c r="AU273" s="179"/>
      <c r="AV273" s="179"/>
      <c r="AW273" s="179"/>
      <c r="AX273" s="179"/>
      <c r="AY273" s="179"/>
      <c r="AZ273" s="179"/>
      <c r="BA273" s="179"/>
      <c r="BB273" s="179"/>
      <c r="BC273" s="179"/>
      <c r="BD273" s="179"/>
      <c r="BE273" s="179"/>
      <c r="BF273" s="179"/>
      <c r="BG273" s="179"/>
      <c r="BH273" s="179"/>
      <c r="BI273" s="179"/>
      <c r="BJ273" s="179"/>
      <c r="BK273" s="179"/>
      <c r="BL273" s="179"/>
      <c r="BM273" s="179"/>
      <c r="BN273" s="179"/>
      <c r="BO273" s="179"/>
      <c r="BP273" s="179"/>
      <c r="BQ273" s="179"/>
      <c r="BR273" s="179"/>
      <c r="BS273" s="179"/>
      <c r="BT273" s="179"/>
      <c r="BU273" s="179"/>
      <c r="BV273" s="179"/>
      <c r="BW273" s="179"/>
      <c r="BX273" s="179"/>
      <c r="BY273" s="179"/>
      <c r="BZ273" s="179"/>
      <c r="CA273" s="179"/>
      <c r="CB273" s="179"/>
      <c r="CC273" s="179"/>
      <c r="CD273" s="179"/>
      <c r="CE273" s="179"/>
      <c r="CF273" s="179"/>
      <c r="CG273" s="179"/>
      <c r="CH273" s="179"/>
      <c r="CI273" s="179"/>
      <c r="CJ273" s="179"/>
      <c r="CK273" s="179"/>
      <c r="CL273" s="179"/>
      <c r="CM273" s="179"/>
      <c r="CN273" s="179"/>
      <c r="CO273" s="179"/>
      <c r="CP273" s="179"/>
      <c r="CQ273" s="179"/>
      <c r="CR273" s="179"/>
      <c r="CS273" s="179"/>
      <c r="CT273" s="179"/>
      <c r="CU273" s="179"/>
      <c r="CV273" s="179"/>
      <c r="CW273" s="179"/>
    </row>
    <row r="274" spans="1:101" x14ac:dyDescent="0.2">
      <c r="A274" s="32" t="str">
        <f t="shared" ca="1" si="4"/>
        <v>2026-01-01</v>
      </c>
      <c r="B274" s="179">
        <f ca="1">IF(ISNUMBER(MATCH(DATEVALUE($A274),'changes1_based on steps'!B$1:B$400,0)),B$2,)</f>
        <v>0</v>
      </c>
      <c r="C274" s="179">
        <f ca="1">IF(ISNUMBER(MATCH(DATEVALUE($A274),'changes1_based on steps'!C$1:C$400,0)),C$2,)</f>
        <v>0</v>
      </c>
      <c r="D274" s="179">
        <f ca="1">IF(ISNUMBER(MATCH(DATEVALUE($A274),'changes1_based on steps'!D$1:D$400,0)),D$2,)</f>
        <v>0</v>
      </c>
      <c r="E274" s="179">
        <f ca="1">IF(ISNUMBER(MATCH(DATEVALUE($A274),'changes1_based on steps'!E$1:E$400,0)),E$2,)</f>
        <v>0</v>
      </c>
      <c r="F274" s="179">
        <f ca="1">IF(ISNUMBER(MATCH(DATEVALUE($A274),'changes1_based on steps'!F$1:F$400,0)),F$2,)</f>
        <v>0</v>
      </c>
      <c r="G274" s="179">
        <f ca="1">IF(ISNUMBER(MATCH(DATEVALUE($A274),'changes1_based on steps'!G$1:G$400,0)),G$2,)</f>
        <v>0</v>
      </c>
      <c r="H274" s="179">
        <f ca="1">IF(ISNUMBER(MATCH(DATEVALUE($A274),'changes1_based on steps'!H$1:H$400,0)),H$2,)</f>
        <v>0</v>
      </c>
      <c r="I274" s="179">
        <f ca="1">IF(ISNUMBER(MATCH(DATEVALUE($A274),'changes1_based on steps'!I$1:I$400,0)),I$2,)</f>
        <v>0</v>
      </c>
      <c r="J274" s="179">
        <f ca="1">IF(ISNUMBER(MATCH(DATEVALUE($A274),'changes1_based on steps'!J$1:J$400,0)),J$2,)</f>
        <v>0</v>
      </c>
      <c r="K274" s="179">
        <f ca="1">IF(ISNUMBER(MATCH(DATEVALUE($A274),'changes1_based on steps'!K$1:K$400,0)),K$2,)</f>
        <v>0</v>
      </c>
      <c r="L274" s="179">
        <f ca="1">IF(ISNUMBER(MATCH(DATEVALUE($A274),'changes1_based on steps'!L$1:L$400,0)),L$2,)</f>
        <v>0</v>
      </c>
      <c r="M274" s="179">
        <f ca="1">IF(ISNUMBER(MATCH(DATEVALUE($A274),'changes1_based on steps'!M$1:M$400,0)),M$2,)</f>
        <v>0</v>
      </c>
      <c r="N274" s="179">
        <f ca="1">IF(ISNUMBER(MATCH(DATEVALUE($A274),'changes1_based on steps'!N$1:N$400,0)),N$2,)</f>
        <v>0</v>
      </c>
      <c r="O274" s="179">
        <f ca="1">IF(ISNUMBER(MATCH(DATEVALUE($A274),'changes1_based on steps'!O$1:O$400,0)),O$2,)</f>
        <v>0</v>
      </c>
      <c r="P274" s="179">
        <f ca="1">IF(ISNUMBER(MATCH(DATEVALUE($A274),'changes1_based on steps'!P$1:P$400,0)),P$2,)</f>
        <v>0</v>
      </c>
      <c r="Q274" s="179">
        <f ca="1">IF(ISNUMBER(MATCH(DATEVALUE($A274),'changes1_based on steps'!Q$1:Q$400,0)),Q$2,)</f>
        <v>0</v>
      </c>
      <c r="R274" s="179">
        <f ca="1">IF(ISNUMBER(MATCH(DATEVALUE($A274),'changes1_based on steps'!R$1:R$400,0)),R$2,)</f>
        <v>0</v>
      </c>
      <c r="S274" s="179">
        <f ca="1">IF(ISNUMBER(MATCH(DATEVALUE($A274),'changes1_based on steps'!S$1:S$400,0)),S$2,)</f>
        <v>0</v>
      </c>
      <c r="T274" s="179">
        <f ca="1">IF(ISNUMBER(MATCH(DATEVALUE($A274),'changes1_based on steps'!T$1:T$400,0)),T$2,)</f>
        <v>0</v>
      </c>
      <c r="U274" s="179">
        <f ca="1">IF(ISNUMBER(MATCH(DATEVALUE($A274),'changes1_based on steps'!U$1:U$400,0)),U$2,)</f>
        <v>0</v>
      </c>
      <c r="V274" s="179"/>
      <c r="W274" s="179"/>
      <c r="X274" s="179"/>
      <c r="Y274" s="179"/>
      <c r="Z274" s="179"/>
      <c r="AA274" s="179"/>
      <c r="AB274" s="179"/>
      <c r="AC274" s="179"/>
      <c r="AD274" s="179"/>
      <c r="AE274" s="179"/>
      <c r="AF274" s="179"/>
      <c r="AG274" s="179"/>
      <c r="AH274" s="179"/>
      <c r="AI274" s="179"/>
      <c r="AJ274" s="179"/>
      <c r="AK274" s="179"/>
      <c r="AL274" s="179"/>
      <c r="AM274" s="179"/>
      <c r="AN274" s="179"/>
      <c r="AO274" s="179"/>
      <c r="AP274" s="179"/>
      <c r="AQ274" s="179"/>
      <c r="AR274" s="179"/>
      <c r="AS274" s="179"/>
      <c r="AT274" s="179"/>
      <c r="AU274" s="179"/>
      <c r="AV274" s="179"/>
      <c r="AW274" s="179"/>
      <c r="AX274" s="179"/>
      <c r="AY274" s="179"/>
      <c r="AZ274" s="179"/>
      <c r="BA274" s="179"/>
      <c r="BB274" s="179"/>
      <c r="BC274" s="179"/>
      <c r="BD274" s="179"/>
      <c r="BE274" s="179"/>
      <c r="BF274" s="179"/>
      <c r="BG274" s="179"/>
      <c r="BH274" s="179"/>
      <c r="BI274" s="179"/>
      <c r="BJ274" s="179"/>
      <c r="BK274" s="179"/>
      <c r="BL274" s="179"/>
      <c r="BM274" s="179"/>
      <c r="BN274" s="179"/>
      <c r="BO274" s="179"/>
      <c r="BP274" s="179"/>
      <c r="BQ274" s="179"/>
      <c r="BR274" s="179"/>
      <c r="BS274" s="179"/>
      <c r="BT274" s="179"/>
      <c r="BU274" s="179"/>
      <c r="BV274" s="179"/>
      <c r="BW274" s="179"/>
      <c r="BX274" s="179"/>
      <c r="BY274" s="179"/>
      <c r="BZ274" s="179"/>
      <c r="CA274" s="179"/>
      <c r="CB274" s="179"/>
      <c r="CC274" s="179"/>
      <c r="CD274" s="179"/>
      <c r="CE274" s="179"/>
      <c r="CF274" s="179"/>
      <c r="CG274" s="179"/>
      <c r="CH274" s="179"/>
      <c r="CI274" s="179"/>
      <c r="CJ274" s="179"/>
      <c r="CK274" s="179"/>
      <c r="CL274" s="179"/>
      <c r="CM274" s="179"/>
      <c r="CN274" s="179"/>
      <c r="CO274" s="179"/>
      <c r="CP274" s="179"/>
      <c r="CQ274" s="179"/>
      <c r="CR274" s="179"/>
      <c r="CS274" s="179"/>
      <c r="CT274" s="179"/>
      <c r="CU274" s="179"/>
      <c r="CV274" s="179"/>
      <c r="CW274" s="179"/>
    </row>
    <row r="275" spans="1:101" x14ac:dyDescent="0.2">
      <c r="A275" s="32" t="str">
        <f t="shared" ca="1" si="4"/>
        <v>2026-01-02</v>
      </c>
      <c r="B275" s="179">
        <f ca="1">IF(ISNUMBER(MATCH(DATEVALUE($A275),'changes1_based on steps'!B$1:B$400,0)),B$2,)</f>
        <v>0</v>
      </c>
      <c r="C275" s="179">
        <f ca="1">IF(ISNUMBER(MATCH(DATEVALUE($A275),'changes1_based on steps'!C$1:C$400,0)),C$2,)</f>
        <v>0</v>
      </c>
      <c r="D275" s="179">
        <f ca="1">IF(ISNUMBER(MATCH(DATEVALUE($A275),'changes1_based on steps'!D$1:D$400,0)),D$2,)</f>
        <v>0</v>
      </c>
      <c r="E275" s="179">
        <f ca="1">IF(ISNUMBER(MATCH(DATEVALUE($A275),'changes1_based on steps'!E$1:E$400,0)),E$2,)</f>
        <v>0</v>
      </c>
      <c r="F275" s="179">
        <f ca="1">IF(ISNUMBER(MATCH(DATEVALUE($A275),'changes1_based on steps'!F$1:F$400,0)),F$2,)</f>
        <v>0</v>
      </c>
      <c r="G275" s="179">
        <f ca="1">IF(ISNUMBER(MATCH(DATEVALUE($A275),'changes1_based on steps'!G$1:G$400,0)),G$2,)</f>
        <v>0</v>
      </c>
      <c r="H275" s="179">
        <f ca="1">IF(ISNUMBER(MATCH(DATEVALUE($A275),'changes1_based on steps'!H$1:H$400,0)),H$2,)</f>
        <v>0</v>
      </c>
      <c r="I275" s="179">
        <f ca="1">IF(ISNUMBER(MATCH(DATEVALUE($A275),'changes1_based on steps'!I$1:I$400,0)),I$2,)</f>
        <v>0</v>
      </c>
      <c r="J275" s="179">
        <f ca="1">IF(ISNUMBER(MATCH(DATEVALUE($A275),'changes1_based on steps'!J$1:J$400,0)),J$2,)</f>
        <v>0</v>
      </c>
      <c r="K275" s="179">
        <f ca="1">IF(ISNUMBER(MATCH(DATEVALUE($A275),'changes1_based on steps'!K$1:K$400,0)),K$2,)</f>
        <v>0</v>
      </c>
      <c r="L275" s="179">
        <f ca="1">IF(ISNUMBER(MATCH(DATEVALUE($A275),'changes1_based on steps'!L$1:L$400,0)),L$2,)</f>
        <v>0</v>
      </c>
      <c r="M275" s="179">
        <f ca="1">IF(ISNUMBER(MATCH(DATEVALUE($A275),'changes1_based on steps'!M$1:M$400,0)),M$2,)</f>
        <v>0</v>
      </c>
      <c r="N275" s="179">
        <f ca="1">IF(ISNUMBER(MATCH(DATEVALUE($A275),'changes1_based on steps'!N$1:N$400,0)),N$2,)</f>
        <v>0</v>
      </c>
      <c r="O275" s="179">
        <f ca="1">IF(ISNUMBER(MATCH(DATEVALUE($A275),'changes1_based on steps'!O$1:O$400,0)),O$2,)</f>
        <v>0</v>
      </c>
      <c r="P275" s="179">
        <f ca="1">IF(ISNUMBER(MATCH(DATEVALUE($A275),'changes1_based on steps'!P$1:P$400,0)),P$2,)</f>
        <v>0</v>
      </c>
      <c r="Q275" s="179">
        <f ca="1">IF(ISNUMBER(MATCH(DATEVALUE($A275),'changes1_based on steps'!Q$1:Q$400,0)),Q$2,)</f>
        <v>0</v>
      </c>
      <c r="R275" s="179">
        <f ca="1">IF(ISNUMBER(MATCH(DATEVALUE($A275),'changes1_based on steps'!R$1:R$400,0)),R$2,)</f>
        <v>0</v>
      </c>
      <c r="S275" s="179">
        <f ca="1">IF(ISNUMBER(MATCH(DATEVALUE($A275),'changes1_based on steps'!S$1:S$400,0)),S$2,)</f>
        <v>0</v>
      </c>
      <c r="T275" s="179">
        <f ca="1">IF(ISNUMBER(MATCH(DATEVALUE($A275),'changes1_based on steps'!T$1:T$400,0)),T$2,)</f>
        <v>0</v>
      </c>
      <c r="U275" s="179">
        <f ca="1">IF(ISNUMBER(MATCH(DATEVALUE($A275),'changes1_based on steps'!U$1:U$400,0)),U$2,)</f>
        <v>0</v>
      </c>
      <c r="V275" s="179"/>
      <c r="W275" s="179"/>
      <c r="X275" s="179"/>
      <c r="Y275" s="179"/>
      <c r="Z275" s="179"/>
      <c r="AA275" s="179"/>
      <c r="AB275" s="179"/>
      <c r="AC275" s="179"/>
      <c r="AD275" s="179"/>
      <c r="AE275" s="179"/>
      <c r="AF275" s="179"/>
      <c r="AG275" s="179"/>
      <c r="AH275" s="179"/>
      <c r="AI275" s="179"/>
      <c r="AJ275" s="179"/>
      <c r="AK275" s="179"/>
      <c r="AL275" s="179"/>
      <c r="AM275" s="179"/>
      <c r="AN275" s="179"/>
      <c r="AO275" s="179"/>
      <c r="AP275" s="179"/>
      <c r="AQ275" s="179"/>
      <c r="AR275" s="179"/>
      <c r="AS275" s="179"/>
      <c r="AT275" s="179"/>
      <c r="AU275" s="179"/>
      <c r="AV275" s="179"/>
      <c r="AW275" s="179"/>
      <c r="AX275" s="179"/>
      <c r="AY275" s="179"/>
      <c r="AZ275" s="179"/>
      <c r="BA275" s="179"/>
      <c r="BB275" s="179"/>
      <c r="BC275" s="179"/>
      <c r="BD275" s="179"/>
      <c r="BE275" s="179"/>
      <c r="BF275" s="179"/>
      <c r="BG275" s="179"/>
      <c r="BH275" s="179"/>
      <c r="BI275" s="179"/>
      <c r="BJ275" s="179"/>
      <c r="BK275" s="179"/>
      <c r="BL275" s="179"/>
      <c r="BM275" s="179"/>
      <c r="BN275" s="179"/>
      <c r="BO275" s="179"/>
      <c r="BP275" s="179"/>
      <c r="BQ275" s="179"/>
      <c r="BR275" s="179"/>
      <c r="BS275" s="179"/>
      <c r="BT275" s="179"/>
      <c r="BU275" s="179"/>
      <c r="BV275" s="179"/>
      <c r="BW275" s="179"/>
      <c r="BX275" s="179"/>
      <c r="BY275" s="179"/>
      <c r="BZ275" s="179"/>
      <c r="CA275" s="179"/>
      <c r="CB275" s="179"/>
      <c r="CC275" s="179"/>
      <c r="CD275" s="179"/>
      <c r="CE275" s="179"/>
      <c r="CF275" s="179"/>
      <c r="CG275" s="179"/>
      <c r="CH275" s="179"/>
      <c r="CI275" s="179"/>
      <c r="CJ275" s="179"/>
      <c r="CK275" s="179"/>
      <c r="CL275" s="179"/>
      <c r="CM275" s="179"/>
      <c r="CN275" s="179"/>
      <c r="CO275" s="179"/>
      <c r="CP275" s="179"/>
      <c r="CQ275" s="179"/>
      <c r="CR275" s="179"/>
      <c r="CS275" s="179"/>
      <c r="CT275" s="179"/>
      <c r="CU275" s="179"/>
      <c r="CV275" s="179"/>
      <c r="CW275" s="179"/>
    </row>
    <row r="276" spans="1:101" x14ac:dyDescent="0.2">
      <c r="A276" s="32" t="str">
        <f t="shared" ca="1" si="4"/>
        <v>2026-01-03</v>
      </c>
      <c r="B276" s="179">
        <f ca="1">IF(ISNUMBER(MATCH(DATEVALUE($A276),'changes1_based on steps'!B$1:B$400,0)),B$2,)</f>
        <v>0</v>
      </c>
      <c r="C276" s="179">
        <f ca="1">IF(ISNUMBER(MATCH(DATEVALUE($A276),'changes1_based on steps'!C$1:C$400,0)),C$2,)</f>
        <v>0</v>
      </c>
      <c r="D276" s="179">
        <f ca="1">IF(ISNUMBER(MATCH(DATEVALUE($A276),'changes1_based on steps'!D$1:D$400,0)),D$2,)</f>
        <v>0</v>
      </c>
      <c r="E276" s="179">
        <f ca="1">IF(ISNUMBER(MATCH(DATEVALUE($A276),'changes1_based on steps'!E$1:E$400,0)),E$2,)</f>
        <v>0</v>
      </c>
      <c r="F276" s="179">
        <f ca="1">IF(ISNUMBER(MATCH(DATEVALUE($A276),'changes1_based on steps'!F$1:F$400,0)),F$2,)</f>
        <v>0</v>
      </c>
      <c r="G276" s="179">
        <f ca="1">IF(ISNUMBER(MATCH(DATEVALUE($A276),'changes1_based on steps'!G$1:G$400,0)),G$2,)</f>
        <v>0</v>
      </c>
      <c r="H276" s="179">
        <f ca="1">IF(ISNUMBER(MATCH(DATEVALUE($A276),'changes1_based on steps'!H$1:H$400,0)),H$2,)</f>
        <v>0</v>
      </c>
      <c r="I276" s="179">
        <f ca="1">IF(ISNUMBER(MATCH(DATEVALUE($A276),'changes1_based on steps'!I$1:I$400,0)),I$2,)</f>
        <v>0</v>
      </c>
      <c r="J276" s="179">
        <f ca="1">IF(ISNUMBER(MATCH(DATEVALUE($A276),'changes1_based on steps'!J$1:J$400,0)),J$2,)</f>
        <v>0</v>
      </c>
      <c r="K276" s="179">
        <f ca="1">IF(ISNUMBER(MATCH(DATEVALUE($A276),'changes1_based on steps'!K$1:K$400,0)),K$2,)</f>
        <v>0</v>
      </c>
      <c r="L276" s="179">
        <f ca="1">IF(ISNUMBER(MATCH(DATEVALUE($A276),'changes1_based on steps'!L$1:L$400,0)),L$2,)</f>
        <v>0</v>
      </c>
      <c r="M276" s="179">
        <f ca="1">IF(ISNUMBER(MATCH(DATEVALUE($A276),'changes1_based on steps'!M$1:M$400,0)),M$2,)</f>
        <v>0</v>
      </c>
      <c r="N276" s="179">
        <f ca="1">IF(ISNUMBER(MATCH(DATEVALUE($A276),'changes1_based on steps'!N$1:N$400,0)),N$2,)</f>
        <v>0</v>
      </c>
      <c r="O276" s="179">
        <f ca="1">IF(ISNUMBER(MATCH(DATEVALUE($A276),'changes1_based on steps'!O$1:O$400,0)),O$2,)</f>
        <v>0</v>
      </c>
      <c r="P276" s="179">
        <f ca="1">IF(ISNUMBER(MATCH(DATEVALUE($A276),'changes1_based on steps'!P$1:P$400,0)),P$2,)</f>
        <v>0</v>
      </c>
      <c r="Q276" s="179">
        <f ca="1">IF(ISNUMBER(MATCH(DATEVALUE($A276),'changes1_based on steps'!Q$1:Q$400,0)),Q$2,)</f>
        <v>0</v>
      </c>
      <c r="R276" s="179">
        <f ca="1">IF(ISNUMBER(MATCH(DATEVALUE($A276),'changes1_based on steps'!R$1:R$400,0)),R$2,)</f>
        <v>0</v>
      </c>
      <c r="S276" s="179">
        <f ca="1">IF(ISNUMBER(MATCH(DATEVALUE($A276),'changes1_based on steps'!S$1:S$400,0)),S$2,)</f>
        <v>0</v>
      </c>
      <c r="T276" s="179">
        <f ca="1">IF(ISNUMBER(MATCH(DATEVALUE($A276),'changes1_based on steps'!T$1:T$400,0)),T$2,)</f>
        <v>0</v>
      </c>
      <c r="U276" s="179">
        <f ca="1">IF(ISNUMBER(MATCH(DATEVALUE($A276),'changes1_based on steps'!U$1:U$400,0)),U$2,)</f>
        <v>0</v>
      </c>
      <c r="V276" s="179"/>
      <c r="W276" s="179"/>
      <c r="X276" s="179"/>
      <c r="Y276" s="179"/>
      <c r="Z276" s="179"/>
      <c r="AA276" s="179"/>
      <c r="AB276" s="179"/>
      <c r="AC276" s="179"/>
      <c r="AD276" s="179"/>
      <c r="AE276" s="179"/>
      <c r="AF276" s="179"/>
      <c r="AG276" s="179"/>
      <c r="AH276" s="179"/>
      <c r="AI276" s="179"/>
      <c r="AJ276" s="179"/>
      <c r="AK276" s="179"/>
      <c r="AL276" s="179"/>
      <c r="AM276" s="179"/>
      <c r="AN276" s="179"/>
      <c r="AO276" s="179"/>
      <c r="AP276" s="179"/>
      <c r="AQ276" s="179"/>
      <c r="AR276" s="179"/>
      <c r="AS276" s="179"/>
      <c r="AT276" s="179"/>
      <c r="AU276" s="179"/>
      <c r="AV276" s="179"/>
      <c r="AW276" s="179"/>
      <c r="AX276" s="179"/>
      <c r="AY276" s="179"/>
      <c r="AZ276" s="179"/>
      <c r="BA276" s="179"/>
      <c r="BB276" s="179"/>
      <c r="BC276" s="179"/>
      <c r="BD276" s="179"/>
      <c r="BE276" s="179"/>
      <c r="BF276" s="179"/>
      <c r="BG276" s="179"/>
      <c r="BH276" s="179"/>
      <c r="BI276" s="179"/>
      <c r="BJ276" s="179"/>
      <c r="BK276" s="179"/>
      <c r="BL276" s="179"/>
      <c r="BM276" s="179"/>
      <c r="BN276" s="179"/>
      <c r="BO276" s="179"/>
      <c r="BP276" s="179"/>
      <c r="BQ276" s="179"/>
      <c r="BR276" s="179"/>
      <c r="BS276" s="179"/>
      <c r="BT276" s="179"/>
      <c r="BU276" s="179"/>
      <c r="BV276" s="179"/>
      <c r="BW276" s="179"/>
      <c r="BX276" s="179"/>
      <c r="BY276" s="179"/>
      <c r="BZ276" s="179"/>
      <c r="CA276" s="179"/>
      <c r="CB276" s="179"/>
      <c r="CC276" s="179"/>
      <c r="CD276" s="179"/>
      <c r="CE276" s="179"/>
      <c r="CF276" s="179"/>
      <c r="CG276" s="179"/>
      <c r="CH276" s="179"/>
      <c r="CI276" s="179"/>
      <c r="CJ276" s="179"/>
      <c r="CK276" s="179"/>
      <c r="CL276" s="179"/>
      <c r="CM276" s="179"/>
      <c r="CN276" s="179"/>
      <c r="CO276" s="179"/>
      <c r="CP276" s="179"/>
      <c r="CQ276" s="179"/>
      <c r="CR276" s="179"/>
      <c r="CS276" s="179"/>
      <c r="CT276" s="179"/>
      <c r="CU276" s="179"/>
      <c r="CV276" s="179"/>
      <c r="CW276" s="179"/>
    </row>
    <row r="277" spans="1:101" x14ac:dyDescent="0.2">
      <c r="A277" s="32" t="str">
        <f t="shared" ca="1" si="4"/>
        <v>2026-01-04</v>
      </c>
      <c r="B277" s="179">
        <f ca="1">IF(ISNUMBER(MATCH(DATEVALUE($A277),'changes1_based on steps'!B$1:B$400,0)),B$2,)</f>
        <v>0</v>
      </c>
      <c r="C277" s="179">
        <f ca="1">IF(ISNUMBER(MATCH(DATEVALUE($A277),'changes1_based on steps'!C$1:C$400,0)),C$2,)</f>
        <v>0</v>
      </c>
      <c r="D277" s="179">
        <f ca="1">IF(ISNUMBER(MATCH(DATEVALUE($A277),'changes1_based on steps'!D$1:D$400,0)),D$2,)</f>
        <v>0</v>
      </c>
      <c r="E277" s="179">
        <f ca="1">IF(ISNUMBER(MATCH(DATEVALUE($A277),'changes1_based on steps'!E$1:E$400,0)),E$2,)</f>
        <v>0</v>
      </c>
      <c r="F277" s="179">
        <f ca="1">IF(ISNUMBER(MATCH(DATEVALUE($A277),'changes1_based on steps'!F$1:F$400,0)),F$2,)</f>
        <v>0</v>
      </c>
      <c r="G277" s="179">
        <f ca="1">IF(ISNUMBER(MATCH(DATEVALUE($A277),'changes1_based on steps'!G$1:G$400,0)),G$2,)</f>
        <v>0</v>
      </c>
      <c r="H277" s="179">
        <f ca="1">IF(ISNUMBER(MATCH(DATEVALUE($A277),'changes1_based on steps'!H$1:H$400,0)),H$2,)</f>
        <v>0</v>
      </c>
      <c r="I277" s="179">
        <f ca="1">IF(ISNUMBER(MATCH(DATEVALUE($A277),'changes1_based on steps'!I$1:I$400,0)),I$2,)</f>
        <v>0</v>
      </c>
      <c r="J277" s="179">
        <f ca="1">IF(ISNUMBER(MATCH(DATEVALUE($A277),'changes1_based on steps'!J$1:J$400,0)),J$2,)</f>
        <v>0</v>
      </c>
      <c r="K277" s="179">
        <f ca="1">IF(ISNUMBER(MATCH(DATEVALUE($A277),'changes1_based on steps'!K$1:K$400,0)),K$2,)</f>
        <v>0</v>
      </c>
      <c r="L277" s="179">
        <f ca="1">IF(ISNUMBER(MATCH(DATEVALUE($A277),'changes1_based on steps'!L$1:L$400,0)),L$2,)</f>
        <v>0</v>
      </c>
      <c r="M277" s="179">
        <f ca="1">IF(ISNUMBER(MATCH(DATEVALUE($A277),'changes1_based on steps'!M$1:M$400,0)),M$2,)</f>
        <v>0</v>
      </c>
      <c r="N277" s="179">
        <f ca="1">IF(ISNUMBER(MATCH(DATEVALUE($A277),'changes1_based on steps'!N$1:N$400,0)),N$2,)</f>
        <v>0</v>
      </c>
      <c r="O277" s="179">
        <f ca="1">IF(ISNUMBER(MATCH(DATEVALUE($A277),'changes1_based on steps'!O$1:O$400,0)),O$2,)</f>
        <v>0</v>
      </c>
      <c r="P277" s="179">
        <f ca="1">IF(ISNUMBER(MATCH(DATEVALUE($A277),'changes1_based on steps'!P$1:P$400,0)),P$2,)</f>
        <v>0</v>
      </c>
      <c r="Q277" s="179">
        <f ca="1">IF(ISNUMBER(MATCH(DATEVALUE($A277),'changes1_based on steps'!Q$1:Q$400,0)),Q$2,)</f>
        <v>0</v>
      </c>
      <c r="R277" s="179">
        <f ca="1">IF(ISNUMBER(MATCH(DATEVALUE($A277),'changes1_based on steps'!R$1:R$400,0)),R$2,)</f>
        <v>0</v>
      </c>
      <c r="S277" s="179">
        <f ca="1">IF(ISNUMBER(MATCH(DATEVALUE($A277),'changes1_based on steps'!S$1:S$400,0)),S$2,)</f>
        <v>0</v>
      </c>
      <c r="T277" s="179">
        <f ca="1">IF(ISNUMBER(MATCH(DATEVALUE($A277),'changes1_based on steps'!T$1:T$400,0)),T$2,)</f>
        <v>0</v>
      </c>
      <c r="U277" s="179">
        <f ca="1">IF(ISNUMBER(MATCH(DATEVALUE($A277),'changes1_based on steps'!U$1:U$400,0)),U$2,)</f>
        <v>0</v>
      </c>
      <c r="V277" s="179"/>
      <c r="W277" s="179"/>
      <c r="X277" s="179"/>
      <c r="Y277" s="179"/>
      <c r="Z277" s="179"/>
      <c r="AA277" s="179"/>
      <c r="AB277" s="179"/>
      <c r="AC277" s="179"/>
      <c r="AD277" s="179"/>
      <c r="AE277" s="179"/>
      <c r="AF277" s="179"/>
      <c r="AG277" s="179"/>
      <c r="AH277" s="179"/>
      <c r="AI277" s="179"/>
      <c r="AJ277" s="179"/>
      <c r="AK277" s="179"/>
      <c r="AL277" s="179"/>
      <c r="AM277" s="179"/>
      <c r="AN277" s="179"/>
      <c r="AO277" s="179"/>
      <c r="AP277" s="179"/>
      <c r="AQ277" s="179"/>
      <c r="AR277" s="179"/>
      <c r="AS277" s="179"/>
      <c r="AT277" s="179"/>
      <c r="AU277" s="179"/>
      <c r="AV277" s="179"/>
      <c r="AW277" s="179"/>
      <c r="AX277" s="179"/>
      <c r="AY277" s="179"/>
      <c r="AZ277" s="179"/>
      <c r="BA277" s="179"/>
      <c r="BB277" s="179"/>
      <c r="BC277" s="179"/>
      <c r="BD277" s="179"/>
      <c r="BE277" s="179"/>
      <c r="BF277" s="179"/>
      <c r="BG277" s="179"/>
      <c r="BH277" s="179"/>
      <c r="BI277" s="179"/>
      <c r="BJ277" s="179"/>
      <c r="BK277" s="179"/>
      <c r="BL277" s="179"/>
      <c r="BM277" s="179"/>
      <c r="BN277" s="179"/>
      <c r="BO277" s="179"/>
      <c r="BP277" s="179"/>
      <c r="BQ277" s="179"/>
      <c r="BR277" s="179"/>
      <c r="BS277" s="179"/>
      <c r="BT277" s="179"/>
      <c r="BU277" s="179"/>
      <c r="BV277" s="179"/>
      <c r="BW277" s="179"/>
      <c r="BX277" s="179"/>
      <c r="BY277" s="179"/>
      <c r="BZ277" s="179"/>
      <c r="CA277" s="179"/>
      <c r="CB277" s="179"/>
      <c r="CC277" s="179"/>
      <c r="CD277" s="179"/>
      <c r="CE277" s="179"/>
      <c r="CF277" s="179"/>
      <c r="CG277" s="179"/>
      <c r="CH277" s="179"/>
      <c r="CI277" s="179"/>
      <c r="CJ277" s="179"/>
      <c r="CK277" s="179"/>
      <c r="CL277" s="179"/>
      <c r="CM277" s="179"/>
      <c r="CN277" s="179"/>
      <c r="CO277" s="179"/>
      <c r="CP277" s="179"/>
      <c r="CQ277" s="179"/>
      <c r="CR277" s="179"/>
      <c r="CS277" s="179"/>
      <c r="CT277" s="179"/>
      <c r="CU277" s="179"/>
      <c r="CV277" s="179"/>
      <c r="CW277" s="179"/>
    </row>
    <row r="278" spans="1:101" x14ac:dyDescent="0.2">
      <c r="A278" s="32" t="str">
        <f t="shared" ca="1" si="4"/>
        <v>2026-01-05</v>
      </c>
      <c r="B278" s="179">
        <f ca="1">IF(ISNUMBER(MATCH(DATEVALUE($A278),'changes1_based on steps'!B$1:B$400,0)),B$2,)</f>
        <v>0</v>
      </c>
      <c r="C278" s="179">
        <f ca="1">IF(ISNUMBER(MATCH(DATEVALUE($A278),'changes1_based on steps'!C$1:C$400,0)),C$2,)</f>
        <v>0</v>
      </c>
      <c r="D278" s="179">
        <f ca="1">IF(ISNUMBER(MATCH(DATEVALUE($A278),'changes1_based on steps'!D$1:D$400,0)),D$2,)</f>
        <v>0</v>
      </c>
      <c r="E278" s="179">
        <f ca="1">IF(ISNUMBER(MATCH(DATEVALUE($A278),'changes1_based on steps'!E$1:E$400,0)),E$2,)</f>
        <v>0</v>
      </c>
      <c r="F278" s="179">
        <f ca="1">IF(ISNUMBER(MATCH(DATEVALUE($A278),'changes1_based on steps'!F$1:F$400,0)),F$2,)</f>
        <v>0</v>
      </c>
      <c r="G278" s="179">
        <f ca="1">IF(ISNUMBER(MATCH(DATEVALUE($A278),'changes1_based on steps'!G$1:G$400,0)),G$2,)</f>
        <v>0</v>
      </c>
      <c r="H278" s="179">
        <f ca="1">IF(ISNUMBER(MATCH(DATEVALUE($A278),'changes1_based on steps'!H$1:H$400,0)),H$2,)</f>
        <v>0</v>
      </c>
      <c r="I278" s="179">
        <f ca="1">IF(ISNUMBER(MATCH(DATEVALUE($A278),'changes1_based on steps'!I$1:I$400,0)),I$2,)</f>
        <v>0</v>
      </c>
      <c r="J278" s="179">
        <f ca="1">IF(ISNUMBER(MATCH(DATEVALUE($A278),'changes1_based on steps'!J$1:J$400,0)),J$2,)</f>
        <v>0</v>
      </c>
      <c r="K278" s="179">
        <f ca="1">IF(ISNUMBER(MATCH(DATEVALUE($A278),'changes1_based on steps'!K$1:K$400,0)),K$2,)</f>
        <v>0</v>
      </c>
      <c r="L278" s="179">
        <f ca="1">IF(ISNUMBER(MATCH(DATEVALUE($A278),'changes1_based on steps'!L$1:L$400,0)),L$2,)</f>
        <v>0</v>
      </c>
      <c r="M278" s="179">
        <f ca="1">IF(ISNUMBER(MATCH(DATEVALUE($A278),'changes1_based on steps'!M$1:M$400,0)),M$2,)</f>
        <v>0</v>
      </c>
      <c r="N278" s="179">
        <f ca="1">IF(ISNUMBER(MATCH(DATEVALUE($A278),'changes1_based on steps'!N$1:N$400,0)),N$2,)</f>
        <v>0</v>
      </c>
      <c r="O278" s="179">
        <f ca="1">IF(ISNUMBER(MATCH(DATEVALUE($A278),'changes1_based on steps'!O$1:O$400,0)),O$2,)</f>
        <v>0</v>
      </c>
      <c r="P278" s="179">
        <f ca="1">IF(ISNUMBER(MATCH(DATEVALUE($A278),'changes1_based on steps'!P$1:P$400,0)),P$2,)</f>
        <v>0</v>
      </c>
      <c r="Q278" s="179">
        <f ca="1">IF(ISNUMBER(MATCH(DATEVALUE($A278),'changes1_based on steps'!Q$1:Q$400,0)),Q$2,)</f>
        <v>0</v>
      </c>
      <c r="R278" s="179">
        <f ca="1">IF(ISNUMBER(MATCH(DATEVALUE($A278),'changes1_based on steps'!R$1:R$400,0)),R$2,)</f>
        <v>0</v>
      </c>
      <c r="S278" s="179">
        <f ca="1">IF(ISNUMBER(MATCH(DATEVALUE($A278),'changes1_based on steps'!S$1:S$400,0)),S$2,)</f>
        <v>0</v>
      </c>
      <c r="T278" s="179">
        <f ca="1">IF(ISNUMBER(MATCH(DATEVALUE($A278),'changes1_based on steps'!T$1:T$400,0)),T$2,)</f>
        <v>0</v>
      </c>
      <c r="U278" s="179">
        <f ca="1">IF(ISNUMBER(MATCH(DATEVALUE($A278),'changes1_based on steps'!U$1:U$400,0)),U$2,)</f>
        <v>0</v>
      </c>
      <c r="V278" s="179"/>
      <c r="W278" s="179"/>
      <c r="X278" s="179"/>
      <c r="Y278" s="179"/>
      <c r="Z278" s="179"/>
      <c r="AA278" s="179"/>
      <c r="AB278" s="179"/>
      <c r="AC278" s="179"/>
      <c r="AD278" s="179"/>
      <c r="AE278" s="179"/>
      <c r="AF278" s="179"/>
      <c r="AG278" s="179"/>
      <c r="AH278" s="179"/>
      <c r="AI278" s="179"/>
      <c r="AJ278" s="179"/>
      <c r="AK278" s="179"/>
      <c r="AL278" s="179"/>
      <c r="AM278" s="179"/>
      <c r="AN278" s="179"/>
      <c r="AO278" s="179"/>
      <c r="AP278" s="179"/>
      <c r="AQ278" s="179"/>
      <c r="AR278" s="179"/>
      <c r="AS278" s="179"/>
      <c r="AT278" s="179"/>
      <c r="AU278" s="179"/>
      <c r="AV278" s="179"/>
      <c r="AW278" s="179"/>
      <c r="AX278" s="179"/>
      <c r="AY278" s="179"/>
      <c r="AZ278" s="179"/>
      <c r="BA278" s="179"/>
      <c r="BB278" s="179"/>
      <c r="BC278" s="179"/>
      <c r="BD278" s="179"/>
      <c r="BE278" s="179"/>
      <c r="BF278" s="179"/>
      <c r="BG278" s="179"/>
      <c r="BH278" s="179"/>
      <c r="BI278" s="179"/>
      <c r="BJ278" s="179"/>
      <c r="BK278" s="179"/>
      <c r="BL278" s="179"/>
      <c r="BM278" s="179"/>
      <c r="BN278" s="179"/>
      <c r="BO278" s="179"/>
      <c r="BP278" s="179"/>
      <c r="BQ278" s="179"/>
      <c r="BR278" s="179"/>
      <c r="BS278" s="179"/>
      <c r="BT278" s="179"/>
      <c r="BU278" s="179"/>
      <c r="BV278" s="179"/>
      <c r="BW278" s="179"/>
      <c r="BX278" s="179"/>
      <c r="BY278" s="179"/>
      <c r="BZ278" s="179"/>
      <c r="CA278" s="179"/>
      <c r="CB278" s="179"/>
      <c r="CC278" s="179"/>
      <c r="CD278" s="179"/>
      <c r="CE278" s="179"/>
      <c r="CF278" s="179"/>
      <c r="CG278" s="179"/>
      <c r="CH278" s="179"/>
      <c r="CI278" s="179"/>
      <c r="CJ278" s="179"/>
      <c r="CK278" s="179"/>
      <c r="CL278" s="179"/>
      <c r="CM278" s="179"/>
      <c r="CN278" s="179"/>
      <c r="CO278" s="179"/>
      <c r="CP278" s="179"/>
      <c r="CQ278" s="179"/>
      <c r="CR278" s="179"/>
      <c r="CS278" s="179"/>
      <c r="CT278" s="179"/>
      <c r="CU278" s="179"/>
      <c r="CV278" s="179"/>
      <c r="CW278" s="179"/>
    </row>
    <row r="279" spans="1:101" x14ac:dyDescent="0.2">
      <c r="A279" s="32" t="str">
        <f t="shared" ca="1" si="4"/>
        <v>2026-01-06</v>
      </c>
      <c r="B279" s="179">
        <f ca="1">IF(ISNUMBER(MATCH(DATEVALUE($A279),'changes1_based on steps'!B$1:B$400,0)),B$2,)</f>
        <v>0</v>
      </c>
      <c r="C279" s="179">
        <f ca="1">IF(ISNUMBER(MATCH(DATEVALUE($A279),'changes1_based on steps'!C$1:C$400,0)),C$2,)</f>
        <v>0</v>
      </c>
      <c r="D279" s="179">
        <f ca="1">IF(ISNUMBER(MATCH(DATEVALUE($A279),'changes1_based on steps'!D$1:D$400,0)),D$2,)</f>
        <v>0</v>
      </c>
      <c r="E279" s="179">
        <f ca="1">IF(ISNUMBER(MATCH(DATEVALUE($A279),'changes1_based on steps'!E$1:E$400,0)),E$2,)</f>
        <v>0</v>
      </c>
      <c r="F279" s="179">
        <f ca="1">IF(ISNUMBER(MATCH(DATEVALUE($A279),'changes1_based on steps'!F$1:F$400,0)),F$2,)</f>
        <v>0</v>
      </c>
      <c r="G279" s="179">
        <f ca="1">IF(ISNUMBER(MATCH(DATEVALUE($A279),'changes1_based on steps'!G$1:G$400,0)),G$2,)</f>
        <v>0</v>
      </c>
      <c r="H279" s="179">
        <f ca="1">IF(ISNUMBER(MATCH(DATEVALUE($A279),'changes1_based on steps'!H$1:H$400,0)),H$2,)</f>
        <v>0</v>
      </c>
      <c r="I279" s="179">
        <f ca="1">IF(ISNUMBER(MATCH(DATEVALUE($A279),'changes1_based on steps'!I$1:I$400,0)),I$2,)</f>
        <v>0</v>
      </c>
      <c r="J279" s="179">
        <f ca="1">IF(ISNUMBER(MATCH(DATEVALUE($A279),'changes1_based on steps'!J$1:J$400,0)),J$2,)</f>
        <v>0</v>
      </c>
      <c r="K279" s="179">
        <f ca="1">IF(ISNUMBER(MATCH(DATEVALUE($A279),'changes1_based on steps'!K$1:K$400,0)),K$2,)</f>
        <v>0</v>
      </c>
      <c r="L279" s="179">
        <f ca="1">IF(ISNUMBER(MATCH(DATEVALUE($A279),'changes1_based on steps'!L$1:L$400,0)),L$2,)</f>
        <v>0</v>
      </c>
      <c r="M279" s="179">
        <f ca="1">IF(ISNUMBER(MATCH(DATEVALUE($A279),'changes1_based on steps'!M$1:M$400,0)),M$2,)</f>
        <v>0</v>
      </c>
      <c r="N279" s="179">
        <f ca="1">IF(ISNUMBER(MATCH(DATEVALUE($A279),'changes1_based on steps'!N$1:N$400,0)),N$2,)</f>
        <v>0</v>
      </c>
      <c r="O279" s="179">
        <f ca="1">IF(ISNUMBER(MATCH(DATEVALUE($A279),'changes1_based on steps'!O$1:O$400,0)),O$2,)</f>
        <v>0</v>
      </c>
      <c r="P279" s="179">
        <f ca="1">IF(ISNUMBER(MATCH(DATEVALUE($A279),'changes1_based on steps'!P$1:P$400,0)),P$2,)</f>
        <v>0</v>
      </c>
      <c r="Q279" s="179">
        <f ca="1">IF(ISNUMBER(MATCH(DATEVALUE($A279),'changes1_based on steps'!Q$1:Q$400,0)),Q$2,)</f>
        <v>0</v>
      </c>
      <c r="R279" s="179">
        <f ca="1">IF(ISNUMBER(MATCH(DATEVALUE($A279),'changes1_based on steps'!R$1:R$400,0)),R$2,)</f>
        <v>0</v>
      </c>
      <c r="S279" s="179">
        <f ca="1">IF(ISNUMBER(MATCH(DATEVALUE($A279),'changes1_based on steps'!S$1:S$400,0)),S$2,)</f>
        <v>0</v>
      </c>
      <c r="T279" s="179">
        <f ca="1">IF(ISNUMBER(MATCH(DATEVALUE($A279),'changes1_based on steps'!T$1:T$400,0)),T$2,)</f>
        <v>0</v>
      </c>
      <c r="U279" s="179">
        <f ca="1">IF(ISNUMBER(MATCH(DATEVALUE($A279),'changes1_based on steps'!U$1:U$400,0)),U$2,)</f>
        <v>0</v>
      </c>
      <c r="V279" s="179"/>
      <c r="W279" s="179"/>
      <c r="X279" s="179"/>
      <c r="Y279" s="179"/>
      <c r="Z279" s="179"/>
      <c r="AA279" s="179"/>
      <c r="AB279" s="179"/>
      <c r="AC279" s="179"/>
      <c r="AD279" s="179"/>
      <c r="AE279" s="179"/>
      <c r="AF279" s="179"/>
      <c r="AG279" s="179"/>
      <c r="AH279" s="179"/>
      <c r="AI279" s="179"/>
      <c r="AJ279" s="179"/>
      <c r="AK279" s="179"/>
      <c r="AL279" s="179"/>
      <c r="AM279" s="179"/>
      <c r="AN279" s="179"/>
      <c r="AO279" s="179"/>
      <c r="AP279" s="179"/>
      <c r="AQ279" s="179"/>
      <c r="AR279" s="179"/>
      <c r="AS279" s="179"/>
      <c r="AT279" s="179"/>
      <c r="AU279" s="179"/>
      <c r="AV279" s="179"/>
      <c r="AW279" s="179"/>
      <c r="AX279" s="179"/>
      <c r="AY279" s="179"/>
      <c r="AZ279" s="179"/>
      <c r="BA279" s="179"/>
      <c r="BB279" s="179"/>
      <c r="BC279" s="179"/>
      <c r="BD279" s="179"/>
      <c r="BE279" s="179"/>
      <c r="BF279" s="179"/>
      <c r="BG279" s="179"/>
      <c r="BH279" s="179"/>
      <c r="BI279" s="179"/>
      <c r="BJ279" s="179"/>
      <c r="BK279" s="179"/>
      <c r="BL279" s="179"/>
      <c r="BM279" s="179"/>
      <c r="BN279" s="179"/>
      <c r="BO279" s="179"/>
      <c r="BP279" s="179"/>
      <c r="BQ279" s="179"/>
      <c r="BR279" s="179"/>
      <c r="BS279" s="179"/>
      <c r="BT279" s="179"/>
      <c r="BU279" s="179"/>
      <c r="BV279" s="179"/>
      <c r="BW279" s="179"/>
      <c r="BX279" s="179"/>
      <c r="BY279" s="179"/>
      <c r="BZ279" s="179"/>
      <c r="CA279" s="179"/>
      <c r="CB279" s="179"/>
      <c r="CC279" s="179"/>
      <c r="CD279" s="179"/>
      <c r="CE279" s="179"/>
      <c r="CF279" s="179"/>
      <c r="CG279" s="179"/>
      <c r="CH279" s="179"/>
      <c r="CI279" s="179"/>
      <c r="CJ279" s="179"/>
      <c r="CK279" s="179"/>
      <c r="CL279" s="179"/>
      <c r="CM279" s="179"/>
      <c r="CN279" s="179"/>
      <c r="CO279" s="179"/>
      <c r="CP279" s="179"/>
      <c r="CQ279" s="179"/>
      <c r="CR279" s="179"/>
      <c r="CS279" s="179"/>
      <c r="CT279" s="179"/>
      <c r="CU279" s="179"/>
      <c r="CV279" s="179"/>
      <c r="CW279" s="179"/>
    </row>
    <row r="280" spans="1:101" x14ac:dyDescent="0.2">
      <c r="A280" s="32" t="str">
        <f t="shared" ca="1" si="4"/>
        <v>2026-01-07</v>
      </c>
      <c r="B280" s="179">
        <f ca="1">IF(ISNUMBER(MATCH(DATEVALUE($A280),'changes1_based on steps'!B$1:B$400,0)),B$2,)</f>
        <v>0</v>
      </c>
      <c r="C280" s="179">
        <f ca="1">IF(ISNUMBER(MATCH(DATEVALUE($A280),'changes1_based on steps'!C$1:C$400,0)),C$2,)</f>
        <v>0</v>
      </c>
      <c r="D280" s="179">
        <f ca="1">IF(ISNUMBER(MATCH(DATEVALUE($A280),'changes1_based on steps'!D$1:D$400,0)),D$2,)</f>
        <v>0</v>
      </c>
      <c r="E280" s="179">
        <f ca="1">IF(ISNUMBER(MATCH(DATEVALUE($A280),'changes1_based on steps'!E$1:E$400,0)),E$2,)</f>
        <v>0</v>
      </c>
      <c r="F280" s="179">
        <f ca="1">IF(ISNUMBER(MATCH(DATEVALUE($A280),'changes1_based on steps'!F$1:F$400,0)),F$2,)</f>
        <v>0</v>
      </c>
      <c r="G280" s="179">
        <f ca="1">IF(ISNUMBER(MATCH(DATEVALUE($A280),'changes1_based on steps'!G$1:G$400,0)),G$2,)</f>
        <v>0</v>
      </c>
      <c r="H280" s="179">
        <f ca="1">IF(ISNUMBER(MATCH(DATEVALUE($A280),'changes1_based on steps'!H$1:H$400,0)),H$2,)</f>
        <v>0</v>
      </c>
      <c r="I280" s="179">
        <f ca="1">IF(ISNUMBER(MATCH(DATEVALUE($A280),'changes1_based on steps'!I$1:I$400,0)),I$2,)</f>
        <v>0</v>
      </c>
      <c r="J280" s="179">
        <f ca="1">IF(ISNUMBER(MATCH(DATEVALUE($A280),'changes1_based on steps'!J$1:J$400,0)),J$2,)</f>
        <v>0</v>
      </c>
      <c r="K280" s="179">
        <f ca="1">IF(ISNUMBER(MATCH(DATEVALUE($A280),'changes1_based on steps'!K$1:K$400,0)),K$2,)</f>
        <v>0</v>
      </c>
      <c r="L280" s="179">
        <f ca="1">IF(ISNUMBER(MATCH(DATEVALUE($A280),'changes1_based on steps'!L$1:L$400,0)),L$2,)</f>
        <v>0</v>
      </c>
      <c r="M280" s="179">
        <f ca="1">IF(ISNUMBER(MATCH(DATEVALUE($A280),'changes1_based on steps'!M$1:M$400,0)),M$2,)</f>
        <v>0</v>
      </c>
      <c r="N280" s="179">
        <f ca="1">IF(ISNUMBER(MATCH(DATEVALUE($A280),'changes1_based on steps'!N$1:N$400,0)),N$2,)</f>
        <v>0</v>
      </c>
      <c r="O280" s="179">
        <f ca="1">IF(ISNUMBER(MATCH(DATEVALUE($A280),'changes1_based on steps'!O$1:O$400,0)),O$2,)</f>
        <v>0</v>
      </c>
      <c r="P280" s="179">
        <f ca="1">IF(ISNUMBER(MATCH(DATEVALUE($A280),'changes1_based on steps'!P$1:P$400,0)),P$2,)</f>
        <v>0</v>
      </c>
      <c r="Q280" s="179">
        <f ca="1">IF(ISNUMBER(MATCH(DATEVALUE($A280),'changes1_based on steps'!Q$1:Q$400,0)),Q$2,)</f>
        <v>0</v>
      </c>
      <c r="R280" s="179">
        <f ca="1">IF(ISNUMBER(MATCH(DATEVALUE($A280),'changes1_based on steps'!R$1:R$400,0)),R$2,)</f>
        <v>0</v>
      </c>
      <c r="S280" s="179">
        <f ca="1">IF(ISNUMBER(MATCH(DATEVALUE($A280),'changes1_based on steps'!S$1:S$400,0)),S$2,)</f>
        <v>0</v>
      </c>
      <c r="T280" s="179">
        <f ca="1">IF(ISNUMBER(MATCH(DATEVALUE($A280),'changes1_based on steps'!T$1:T$400,0)),T$2,)</f>
        <v>0</v>
      </c>
      <c r="U280" s="179">
        <f ca="1">IF(ISNUMBER(MATCH(DATEVALUE($A280),'changes1_based on steps'!U$1:U$400,0)),U$2,)</f>
        <v>0</v>
      </c>
      <c r="V280" s="179"/>
      <c r="W280" s="179"/>
      <c r="X280" s="179"/>
      <c r="Y280" s="179"/>
      <c r="Z280" s="179"/>
      <c r="AA280" s="179"/>
      <c r="AB280" s="179"/>
      <c r="AC280" s="179"/>
      <c r="AD280" s="179"/>
      <c r="AE280" s="179"/>
      <c r="AF280" s="179"/>
      <c r="AG280" s="179"/>
      <c r="AH280" s="179"/>
      <c r="AI280" s="179"/>
      <c r="AJ280" s="179"/>
      <c r="AK280" s="179"/>
      <c r="AL280" s="179"/>
      <c r="AM280" s="179"/>
      <c r="AN280" s="179"/>
      <c r="AO280" s="179"/>
      <c r="AP280" s="179"/>
      <c r="AQ280" s="179"/>
      <c r="AR280" s="179"/>
      <c r="AS280" s="179"/>
      <c r="AT280" s="179"/>
      <c r="AU280" s="179"/>
      <c r="AV280" s="179"/>
      <c r="AW280" s="179"/>
      <c r="AX280" s="179"/>
      <c r="AY280" s="179"/>
      <c r="AZ280" s="179"/>
      <c r="BA280" s="179"/>
      <c r="BB280" s="179"/>
      <c r="BC280" s="179"/>
      <c r="BD280" s="179"/>
      <c r="BE280" s="179"/>
      <c r="BF280" s="179"/>
      <c r="BG280" s="179"/>
      <c r="BH280" s="179"/>
      <c r="BI280" s="179"/>
      <c r="BJ280" s="179"/>
      <c r="BK280" s="179"/>
      <c r="BL280" s="179"/>
      <c r="BM280" s="179"/>
      <c r="BN280" s="179"/>
      <c r="BO280" s="179"/>
      <c r="BP280" s="179"/>
      <c r="BQ280" s="179"/>
      <c r="BR280" s="179"/>
      <c r="BS280" s="179"/>
      <c r="BT280" s="179"/>
      <c r="BU280" s="179"/>
      <c r="BV280" s="179"/>
      <c r="BW280" s="179"/>
      <c r="BX280" s="179"/>
      <c r="BY280" s="179"/>
      <c r="BZ280" s="179"/>
      <c r="CA280" s="179"/>
      <c r="CB280" s="179"/>
      <c r="CC280" s="179"/>
      <c r="CD280" s="179"/>
      <c r="CE280" s="179"/>
      <c r="CF280" s="179"/>
      <c r="CG280" s="179"/>
      <c r="CH280" s="179"/>
      <c r="CI280" s="179"/>
      <c r="CJ280" s="179"/>
      <c r="CK280" s="179"/>
      <c r="CL280" s="179"/>
      <c r="CM280" s="179"/>
      <c r="CN280" s="179"/>
      <c r="CO280" s="179"/>
      <c r="CP280" s="179"/>
      <c r="CQ280" s="179"/>
      <c r="CR280" s="179"/>
      <c r="CS280" s="179"/>
      <c r="CT280" s="179"/>
      <c r="CU280" s="179"/>
      <c r="CV280" s="179"/>
      <c r="CW280" s="179"/>
    </row>
    <row r="281" spans="1:101" x14ac:dyDescent="0.2">
      <c r="A281" s="32" t="str">
        <f t="shared" ca="1" si="4"/>
        <v>2026-01-08</v>
      </c>
      <c r="B281" s="179">
        <f ca="1">IF(ISNUMBER(MATCH(DATEVALUE($A281),'changes1_based on steps'!B$1:B$400,0)),B$2,)</f>
        <v>0</v>
      </c>
      <c r="C281" s="179">
        <f ca="1">IF(ISNUMBER(MATCH(DATEVALUE($A281),'changes1_based on steps'!C$1:C$400,0)),C$2,)</f>
        <v>0</v>
      </c>
      <c r="D281" s="179">
        <f ca="1">IF(ISNUMBER(MATCH(DATEVALUE($A281),'changes1_based on steps'!D$1:D$400,0)),D$2,)</f>
        <v>0</v>
      </c>
      <c r="E281" s="179">
        <f ca="1">IF(ISNUMBER(MATCH(DATEVALUE($A281),'changes1_based on steps'!E$1:E$400,0)),E$2,)</f>
        <v>0</v>
      </c>
      <c r="F281" s="179">
        <f ca="1">IF(ISNUMBER(MATCH(DATEVALUE($A281),'changes1_based on steps'!F$1:F$400,0)),F$2,)</f>
        <v>0</v>
      </c>
      <c r="G281" s="179">
        <f ca="1">IF(ISNUMBER(MATCH(DATEVALUE($A281),'changes1_based on steps'!G$1:G$400,0)),G$2,)</f>
        <v>0</v>
      </c>
      <c r="H281" s="179">
        <f ca="1">IF(ISNUMBER(MATCH(DATEVALUE($A281),'changes1_based on steps'!H$1:H$400,0)),H$2,)</f>
        <v>0</v>
      </c>
      <c r="I281" s="179">
        <f ca="1">IF(ISNUMBER(MATCH(DATEVALUE($A281),'changes1_based on steps'!I$1:I$400,0)),I$2,)</f>
        <v>0</v>
      </c>
      <c r="J281" s="179">
        <f ca="1">IF(ISNUMBER(MATCH(DATEVALUE($A281),'changes1_based on steps'!J$1:J$400,0)),J$2,)</f>
        <v>0</v>
      </c>
      <c r="K281" s="179">
        <f ca="1">IF(ISNUMBER(MATCH(DATEVALUE($A281),'changes1_based on steps'!K$1:K$400,0)),K$2,)</f>
        <v>0</v>
      </c>
      <c r="L281" s="179">
        <f ca="1">IF(ISNUMBER(MATCH(DATEVALUE($A281),'changes1_based on steps'!L$1:L$400,0)),L$2,)</f>
        <v>0</v>
      </c>
      <c r="M281" s="179">
        <f ca="1">IF(ISNUMBER(MATCH(DATEVALUE($A281),'changes1_based on steps'!M$1:M$400,0)),M$2,)</f>
        <v>0</v>
      </c>
      <c r="N281" s="179">
        <f ca="1">IF(ISNUMBER(MATCH(DATEVALUE($A281),'changes1_based on steps'!N$1:N$400,0)),N$2,)</f>
        <v>0</v>
      </c>
      <c r="O281" s="179">
        <f ca="1">IF(ISNUMBER(MATCH(DATEVALUE($A281),'changes1_based on steps'!O$1:O$400,0)),O$2,)</f>
        <v>0</v>
      </c>
      <c r="P281" s="179">
        <f ca="1">IF(ISNUMBER(MATCH(DATEVALUE($A281),'changes1_based on steps'!P$1:P$400,0)),P$2,)</f>
        <v>0</v>
      </c>
      <c r="Q281" s="179">
        <f ca="1">IF(ISNUMBER(MATCH(DATEVALUE($A281),'changes1_based on steps'!Q$1:Q$400,0)),Q$2,)</f>
        <v>0</v>
      </c>
      <c r="R281" s="179">
        <f ca="1">IF(ISNUMBER(MATCH(DATEVALUE($A281),'changes1_based on steps'!R$1:R$400,0)),R$2,)</f>
        <v>0</v>
      </c>
      <c r="S281" s="179">
        <f ca="1">IF(ISNUMBER(MATCH(DATEVALUE($A281),'changes1_based on steps'!S$1:S$400,0)),S$2,)</f>
        <v>0</v>
      </c>
      <c r="T281" s="179">
        <f ca="1">IF(ISNUMBER(MATCH(DATEVALUE($A281),'changes1_based on steps'!T$1:T$400,0)),T$2,)</f>
        <v>0</v>
      </c>
      <c r="U281" s="179">
        <f ca="1">IF(ISNUMBER(MATCH(DATEVALUE($A281),'changes1_based on steps'!U$1:U$400,0)),U$2,)</f>
        <v>0</v>
      </c>
      <c r="V281" s="179"/>
      <c r="W281" s="179"/>
      <c r="X281" s="179"/>
      <c r="Y281" s="179"/>
      <c r="Z281" s="179"/>
      <c r="AA281" s="179"/>
      <c r="AB281" s="179"/>
      <c r="AC281" s="179"/>
      <c r="AD281" s="179"/>
      <c r="AE281" s="179"/>
      <c r="AF281" s="179"/>
      <c r="AG281" s="179"/>
      <c r="AH281" s="179"/>
      <c r="AI281" s="179"/>
      <c r="AJ281" s="179"/>
      <c r="AK281" s="179"/>
      <c r="AL281" s="179"/>
      <c r="AM281" s="179"/>
      <c r="AN281" s="179"/>
      <c r="AO281" s="179"/>
      <c r="AP281" s="179"/>
      <c r="AQ281" s="179"/>
      <c r="AR281" s="179"/>
      <c r="AS281" s="179"/>
      <c r="AT281" s="179"/>
      <c r="AU281" s="179"/>
      <c r="AV281" s="179"/>
      <c r="AW281" s="179"/>
      <c r="AX281" s="179"/>
      <c r="AY281" s="179"/>
      <c r="AZ281" s="179"/>
      <c r="BA281" s="179"/>
      <c r="BB281" s="179"/>
      <c r="BC281" s="179"/>
      <c r="BD281" s="179"/>
      <c r="BE281" s="179"/>
      <c r="BF281" s="179"/>
      <c r="BG281" s="179"/>
      <c r="BH281" s="179"/>
      <c r="BI281" s="179"/>
      <c r="BJ281" s="179"/>
      <c r="BK281" s="179"/>
      <c r="BL281" s="179"/>
      <c r="BM281" s="179"/>
      <c r="BN281" s="179"/>
      <c r="BO281" s="179"/>
      <c r="BP281" s="179"/>
      <c r="BQ281" s="179"/>
      <c r="BR281" s="179"/>
      <c r="BS281" s="179"/>
      <c r="BT281" s="179"/>
      <c r="BU281" s="179"/>
      <c r="BV281" s="179"/>
      <c r="BW281" s="179"/>
      <c r="BX281" s="179"/>
      <c r="BY281" s="179"/>
      <c r="BZ281" s="179"/>
      <c r="CA281" s="179"/>
      <c r="CB281" s="179"/>
      <c r="CC281" s="179"/>
      <c r="CD281" s="179"/>
      <c r="CE281" s="179"/>
      <c r="CF281" s="179"/>
      <c r="CG281" s="179"/>
      <c r="CH281" s="179"/>
      <c r="CI281" s="179"/>
      <c r="CJ281" s="179"/>
      <c r="CK281" s="179"/>
      <c r="CL281" s="179"/>
      <c r="CM281" s="179"/>
      <c r="CN281" s="179"/>
      <c r="CO281" s="179"/>
      <c r="CP281" s="179"/>
      <c r="CQ281" s="179"/>
      <c r="CR281" s="179"/>
      <c r="CS281" s="179"/>
      <c r="CT281" s="179"/>
      <c r="CU281" s="179"/>
      <c r="CV281" s="179"/>
      <c r="CW281" s="179"/>
    </row>
    <row r="282" spans="1:101" x14ac:dyDescent="0.2">
      <c r="A282" s="32" t="str">
        <f t="shared" ca="1" si="4"/>
        <v>2026-01-09</v>
      </c>
      <c r="B282" s="179">
        <f ca="1">IF(ISNUMBER(MATCH(DATEVALUE($A282),'changes1_based on steps'!B$1:B$400,0)),B$2,)</f>
        <v>0</v>
      </c>
      <c r="C282" s="179">
        <f ca="1">IF(ISNUMBER(MATCH(DATEVALUE($A282),'changes1_based on steps'!C$1:C$400,0)),C$2,)</f>
        <v>0</v>
      </c>
      <c r="D282" s="179">
        <f ca="1">IF(ISNUMBER(MATCH(DATEVALUE($A282),'changes1_based on steps'!D$1:D$400,0)),D$2,)</f>
        <v>0</v>
      </c>
      <c r="E282" s="179">
        <f ca="1">IF(ISNUMBER(MATCH(DATEVALUE($A282),'changes1_based on steps'!E$1:E$400,0)),E$2,)</f>
        <v>0</v>
      </c>
      <c r="F282" s="179">
        <f ca="1">IF(ISNUMBER(MATCH(DATEVALUE($A282),'changes1_based on steps'!F$1:F$400,0)),F$2,)</f>
        <v>0</v>
      </c>
      <c r="G282" s="179">
        <f ca="1">IF(ISNUMBER(MATCH(DATEVALUE($A282),'changes1_based on steps'!G$1:G$400,0)),G$2,)</f>
        <v>0</v>
      </c>
      <c r="H282" s="179">
        <f ca="1">IF(ISNUMBER(MATCH(DATEVALUE($A282),'changes1_based on steps'!H$1:H$400,0)),H$2,)</f>
        <v>0</v>
      </c>
      <c r="I282" s="179">
        <f ca="1">IF(ISNUMBER(MATCH(DATEVALUE($A282),'changes1_based on steps'!I$1:I$400,0)),I$2,)</f>
        <v>0</v>
      </c>
      <c r="J282" s="179">
        <f ca="1">IF(ISNUMBER(MATCH(DATEVALUE($A282),'changes1_based on steps'!J$1:J$400,0)),J$2,)</f>
        <v>0</v>
      </c>
      <c r="K282" s="179">
        <f ca="1">IF(ISNUMBER(MATCH(DATEVALUE($A282),'changes1_based on steps'!K$1:K$400,0)),K$2,)</f>
        <v>0</v>
      </c>
      <c r="L282" s="179">
        <f ca="1">IF(ISNUMBER(MATCH(DATEVALUE($A282),'changes1_based on steps'!L$1:L$400,0)),L$2,)</f>
        <v>0</v>
      </c>
      <c r="M282" s="179">
        <f ca="1">IF(ISNUMBER(MATCH(DATEVALUE($A282),'changes1_based on steps'!M$1:M$400,0)),M$2,)</f>
        <v>0</v>
      </c>
      <c r="N282" s="179">
        <f ca="1">IF(ISNUMBER(MATCH(DATEVALUE($A282),'changes1_based on steps'!N$1:N$400,0)),N$2,)</f>
        <v>0</v>
      </c>
      <c r="O282" s="179">
        <f ca="1">IF(ISNUMBER(MATCH(DATEVALUE($A282),'changes1_based on steps'!O$1:O$400,0)),O$2,)</f>
        <v>0</v>
      </c>
      <c r="P282" s="179">
        <f ca="1">IF(ISNUMBER(MATCH(DATEVALUE($A282),'changes1_based on steps'!P$1:P$400,0)),P$2,)</f>
        <v>0</v>
      </c>
      <c r="Q282" s="179">
        <f ca="1">IF(ISNUMBER(MATCH(DATEVALUE($A282),'changes1_based on steps'!Q$1:Q$400,0)),Q$2,)</f>
        <v>0</v>
      </c>
      <c r="R282" s="179">
        <f ca="1">IF(ISNUMBER(MATCH(DATEVALUE($A282),'changes1_based on steps'!R$1:R$400,0)),R$2,)</f>
        <v>0</v>
      </c>
      <c r="S282" s="179">
        <f ca="1">IF(ISNUMBER(MATCH(DATEVALUE($A282),'changes1_based on steps'!S$1:S$400,0)),S$2,)</f>
        <v>0</v>
      </c>
      <c r="T282" s="179">
        <f ca="1">IF(ISNUMBER(MATCH(DATEVALUE($A282),'changes1_based on steps'!T$1:T$400,0)),T$2,)</f>
        <v>0</v>
      </c>
      <c r="U282" s="179">
        <f ca="1">IF(ISNUMBER(MATCH(DATEVALUE($A282),'changes1_based on steps'!U$1:U$400,0)),U$2,)</f>
        <v>0</v>
      </c>
      <c r="V282" s="179"/>
      <c r="W282" s="179"/>
      <c r="X282" s="179"/>
      <c r="Y282" s="179"/>
      <c r="Z282" s="179"/>
      <c r="AA282" s="179"/>
      <c r="AB282" s="179"/>
      <c r="AC282" s="179"/>
      <c r="AD282" s="179"/>
      <c r="AE282" s="179"/>
      <c r="AF282" s="179"/>
      <c r="AG282" s="179"/>
      <c r="AH282" s="179"/>
      <c r="AI282" s="179"/>
      <c r="AJ282" s="179"/>
      <c r="AK282" s="179"/>
      <c r="AL282" s="179"/>
      <c r="AM282" s="179"/>
      <c r="AN282" s="179"/>
      <c r="AO282" s="179"/>
      <c r="AP282" s="179"/>
      <c r="AQ282" s="179"/>
      <c r="AR282" s="179"/>
      <c r="AS282" s="179"/>
      <c r="AT282" s="179"/>
      <c r="AU282" s="179"/>
      <c r="AV282" s="179"/>
      <c r="AW282" s="179"/>
      <c r="AX282" s="179"/>
      <c r="AY282" s="179"/>
      <c r="AZ282" s="179"/>
      <c r="BA282" s="179"/>
      <c r="BB282" s="179"/>
      <c r="BC282" s="179"/>
      <c r="BD282" s="179"/>
      <c r="BE282" s="179"/>
      <c r="BF282" s="179"/>
      <c r="BG282" s="179"/>
      <c r="BH282" s="179"/>
      <c r="BI282" s="179"/>
      <c r="BJ282" s="179"/>
      <c r="BK282" s="179"/>
      <c r="BL282" s="179"/>
      <c r="BM282" s="179"/>
      <c r="BN282" s="179"/>
      <c r="BO282" s="179"/>
      <c r="BP282" s="179"/>
      <c r="BQ282" s="179"/>
      <c r="BR282" s="179"/>
      <c r="BS282" s="179"/>
      <c r="BT282" s="179"/>
      <c r="BU282" s="179"/>
      <c r="BV282" s="179"/>
      <c r="BW282" s="179"/>
      <c r="BX282" s="179"/>
      <c r="BY282" s="179"/>
      <c r="BZ282" s="179"/>
      <c r="CA282" s="179"/>
      <c r="CB282" s="179"/>
      <c r="CC282" s="179"/>
      <c r="CD282" s="179"/>
      <c r="CE282" s="179"/>
      <c r="CF282" s="179"/>
      <c r="CG282" s="179"/>
      <c r="CH282" s="179"/>
      <c r="CI282" s="179"/>
      <c r="CJ282" s="179"/>
      <c r="CK282" s="179"/>
      <c r="CL282" s="179"/>
      <c r="CM282" s="179"/>
      <c r="CN282" s="179"/>
      <c r="CO282" s="179"/>
      <c r="CP282" s="179"/>
      <c r="CQ282" s="179"/>
      <c r="CR282" s="179"/>
      <c r="CS282" s="179"/>
      <c r="CT282" s="179"/>
      <c r="CU282" s="179"/>
      <c r="CV282" s="179"/>
      <c r="CW282" s="179"/>
    </row>
    <row r="283" spans="1:101" x14ac:dyDescent="0.2">
      <c r="A283" s="32" t="str">
        <f t="shared" ca="1" si="4"/>
        <v>2026-01-10</v>
      </c>
      <c r="B283" s="179">
        <f ca="1">IF(ISNUMBER(MATCH(DATEVALUE($A283),'changes1_based on steps'!B$1:B$400,0)),B$2,)</f>
        <v>0</v>
      </c>
      <c r="C283" s="179">
        <f ca="1">IF(ISNUMBER(MATCH(DATEVALUE($A283),'changes1_based on steps'!C$1:C$400,0)),C$2,)</f>
        <v>0</v>
      </c>
      <c r="D283" s="179">
        <f ca="1">IF(ISNUMBER(MATCH(DATEVALUE($A283),'changes1_based on steps'!D$1:D$400,0)),D$2,)</f>
        <v>0</v>
      </c>
      <c r="E283" s="179">
        <f ca="1">IF(ISNUMBER(MATCH(DATEVALUE($A283),'changes1_based on steps'!E$1:E$400,0)),E$2,)</f>
        <v>0</v>
      </c>
      <c r="F283" s="179">
        <f ca="1">IF(ISNUMBER(MATCH(DATEVALUE($A283),'changes1_based on steps'!F$1:F$400,0)),F$2,)</f>
        <v>0</v>
      </c>
      <c r="G283" s="179">
        <f ca="1">IF(ISNUMBER(MATCH(DATEVALUE($A283),'changes1_based on steps'!G$1:G$400,0)),G$2,)</f>
        <v>0</v>
      </c>
      <c r="H283" s="179">
        <f ca="1">IF(ISNUMBER(MATCH(DATEVALUE($A283),'changes1_based on steps'!H$1:H$400,0)),H$2,)</f>
        <v>0</v>
      </c>
      <c r="I283" s="179">
        <f ca="1">IF(ISNUMBER(MATCH(DATEVALUE($A283),'changes1_based on steps'!I$1:I$400,0)),I$2,)</f>
        <v>0</v>
      </c>
      <c r="J283" s="179">
        <f ca="1">IF(ISNUMBER(MATCH(DATEVALUE($A283),'changes1_based on steps'!J$1:J$400,0)),J$2,)</f>
        <v>0</v>
      </c>
      <c r="K283" s="179">
        <f ca="1">IF(ISNUMBER(MATCH(DATEVALUE($A283),'changes1_based on steps'!K$1:K$400,0)),K$2,)</f>
        <v>0</v>
      </c>
      <c r="L283" s="179">
        <f ca="1">IF(ISNUMBER(MATCH(DATEVALUE($A283),'changes1_based on steps'!L$1:L$400,0)),L$2,)</f>
        <v>0</v>
      </c>
      <c r="M283" s="179">
        <f ca="1">IF(ISNUMBER(MATCH(DATEVALUE($A283),'changes1_based on steps'!M$1:M$400,0)),M$2,)</f>
        <v>0</v>
      </c>
      <c r="N283" s="179">
        <f ca="1">IF(ISNUMBER(MATCH(DATEVALUE($A283),'changes1_based on steps'!N$1:N$400,0)),N$2,)</f>
        <v>0</v>
      </c>
      <c r="O283" s="179">
        <f ca="1">IF(ISNUMBER(MATCH(DATEVALUE($A283),'changes1_based on steps'!O$1:O$400,0)),O$2,)</f>
        <v>0</v>
      </c>
      <c r="P283" s="179">
        <f ca="1">IF(ISNUMBER(MATCH(DATEVALUE($A283),'changes1_based on steps'!P$1:P$400,0)),P$2,)</f>
        <v>0</v>
      </c>
      <c r="Q283" s="179">
        <f ca="1">IF(ISNUMBER(MATCH(DATEVALUE($A283),'changes1_based on steps'!Q$1:Q$400,0)),Q$2,)</f>
        <v>0</v>
      </c>
      <c r="R283" s="179">
        <f ca="1">IF(ISNUMBER(MATCH(DATEVALUE($A283),'changes1_based on steps'!R$1:R$400,0)),R$2,)</f>
        <v>0</v>
      </c>
      <c r="S283" s="179">
        <f ca="1">IF(ISNUMBER(MATCH(DATEVALUE($A283),'changes1_based on steps'!S$1:S$400,0)),S$2,)</f>
        <v>0</v>
      </c>
      <c r="T283" s="179">
        <f ca="1">IF(ISNUMBER(MATCH(DATEVALUE($A283),'changes1_based on steps'!T$1:T$400,0)),T$2,)</f>
        <v>0</v>
      </c>
      <c r="U283" s="179">
        <f ca="1">IF(ISNUMBER(MATCH(DATEVALUE($A283),'changes1_based on steps'!U$1:U$400,0)),U$2,)</f>
        <v>0</v>
      </c>
      <c r="V283" s="179"/>
      <c r="W283" s="179"/>
      <c r="X283" s="179"/>
      <c r="Y283" s="179"/>
      <c r="Z283" s="179"/>
      <c r="AA283" s="179"/>
      <c r="AB283" s="179"/>
      <c r="AC283" s="179"/>
      <c r="AD283" s="179"/>
      <c r="AE283" s="179"/>
      <c r="AF283" s="179"/>
      <c r="AG283" s="179"/>
      <c r="AH283" s="179"/>
      <c r="AI283" s="179"/>
      <c r="AJ283" s="179"/>
      <c r="AK283" s="179"/>
      <c r="AL283" s="179"/>
      <c r="AM283" s="179"/>
      <c r="AN283" s="179"/>
      <c r="AO283" s="179"/>
      <c r="AP283" s="179"/>
      <c r="AQ283" s="179"/>
      <c r="AR283" s="179"/>
      <c r="AS283" s="179"/>
      <c r="AT283" s="179"/>
      <c r="AU283" s="179"/>
      <c r="AV283" s="179"/>
      <c r="AW283" s="179"/>
      <c r="AX283" s="179"/>
      <c r="AY283" s="179"/>
      <c r="AZ283" s="179"/>
      <c r="BA283" s="179"/>
      <c r="BB283" s="179"/>
      <c r="BC283" s="179"/>
      <c r="BD283" s="179"/>
      <c r="BE283" s="179"/>
      <c r="BF283" s="179"/>
      <c r="BG283" s="179"/>
      <c r="BH283" s="179"/>
      <c r="BI283" s="179"/>
      <c r="BJ283" s="179"/>
      <c r="BK283" s="179"/>
      <c r="BL283" s="179"/>
      <c r="BM283" s="179"/>
      <c r="BN283" s="179"/>
      <c r="BO283" s="179"/>
      <c r="BP283" s="179"/>
      <c r="BQ283" s="179"/>
      <c r="BR283" s="179"/>
      <c r="BS283" s="179"/>
      <c r="BT283" s="179"/>
      <c r="BU283" s="179"/>
      <c r="BV283" s="179"/>
      <c r="BW283" s="179"/>
      <c r="BX283" s="179"/>
      <c r="BY283" s="179"/>
      <c r="BZ283" s="179"/>
      <c r="CA283" s="179"/>
      <c r="CB283" s="179"/>
      <c r="CC283" s="179"/>
      <c r="CD283" s="179"/>
      <c r="CE283" s="179"/>
      <c r="CF283" s="179"/>
      <c r="CG283" s="179"/>
      <c r="CH283" s="179"/>
      <c r="CI283" s="179"/>
      <c r="CJ283" s="179"/>
      <c r="CK283" s="179"/>
      <c r="CL283" s="179"/>
      <c r="CM283" s="179"/>
      <c r="CN283" s="179"/>
      <c r="CO283" s="179"/>
      <c r="CP283" s="179"/>
      <c r="CQ283" s="179"/>
      <c r="CR283" s="179"/>
      <c r="CS283" s="179"/>
      <c r="CT283" s="179"/>
      <c r="CU283" s="179"/>
      <c r="CV283" s="179"/>
      <c r="CW283" s="179"/>
    </row>
    <row r="284" spans="1:101" x14ac:dyDescent="0.2">
      <c r="A284" s="32" t="str">
        <f t="shared" ca="1" si="4"/>
        <v>2026-01-11</v>
      </c>
      <c r="B284" s="179">
        <f ca="1">IF(ISNUMBER(MATCH(DATEVALUE($A284),'changes1_based on steps'!B$1:B$400,0)),B$2,)</f>
        <v>0</v>
      </c>
      <c r="C284" s="179">
        <f ca="1">IF(ISNUMBER(MATCH(DATEVALUE($A284),'changes1_based on steps'!C$1:C$400,0)),C$2,)</f>
        <v>0</v>
      </c>
      <c r="D284" s="179">
        <f ca="1">IF(ISNUMBER(MATCH(DATEVALUE($A284),'changes1_based on steps'!D$1:D$400,0)),D$2,)</f>
        <v>0</v>
      </c>
      <c r="E284" s="179">
        <f ca="1">IF(ISNUMBER(MATCH(DATEVALUE($A284),'changes1_based on steps'!E$1:E$400,0)),E$2,)</f>
        <v>0</v>
      </c>
      <c r="F284" s="179">
        <f ca="1">IF(ISNUMBER(MATCH(DATEVALUE($A284),'changes1_based on steps'!F$1:F$400,0)),F$2,)</f>
        <v>0</v>
      </c>
      <c r="G284" s="179">
        <f ca="1">IF(ISNUMBER(MATCH(DATEVALUE($A284),'changes1_based on steps'!G$1:G$400,0)),G$2,)</f>
        <v>0</v>
      </c>
      <c r="H284" s="179">
        <f ca="1">IF(ISNUMBER(MATCH(DATEVALUE($A284),'changes1_based on steps'!H$1:H$400,0)),H$2,)</f>
        <v>0</v>
      </c>
      <c r="I284" s="179">
        <f ca="1">IF(ISNUMBER(MATCH(DATEVALUE($A284),'changes1_based on steps'!I$1:I$400,0)),I$2,)</f>
        <v>0</v>
      </c>
      <c r="J284" s="179">
        <f ca="1">IF(ISNUMBER(MATCH(DATEVALUE($A284),'changes1_based on steps'!J$1:J$400,0)),J$2,)</f>
        <v>0</v>
      </c>
      <c r="K284" s="179">
        <f ca="1">IF(ISNUMBER(MATCH(DATEVALUE($A284),'changes1_based on steps'!K$1:K$400,0)),K$2,)</f>
        <v>0</v>
      </c>
      <c r="L284" s="179">
        <f ca="1">IF(ISNUMBER(MATCH(DATEVALUE($A284),'changes1_based on steps'!L$1:L$400,0)),L$2,)</f>
        <v>0</v>
      </c>
      <c r="M284" s="179">
        <f ca="1">IF(ISNUMBER(MATCH(DATEVALUE($A284),'changes1_based on steps'!M$1:M$400,0)),M$2,)</f>
        <v>0</v>
      </c>
      <c r="N284" s="179">
        <f ca="1">IF(ISNUMBER(MATCH(DATEVALUE($A284),'changes1_based on steps'!N$1:N$400,0)),N$2,)</f>
        <v>0</v>
      </c>
      <c r="O284" s="179">
        <f ca="1">IF(ISNUMBER(MATCH(DATEVALUE($A284),'changes1_based on steps'!O$1:O$400,0)),O$2,)</f>
        <v>0</v>
      </c>
      <c r="P284" s="179">
        <f ca="1">IF(ISNUMBER(MATCH(DATEVALUE($A284),'changes1_based on steps'!P$1:P$400,0)),P$2,)</f>
        <v>0</v>
      </c>
      <c r="Q284" s="179">
        <f ca="1">IF(ISNUMBER(MATCH(DATEVALUE($A284),'changes1_based on steps'!Q$1:Q$400,0)),Q$2,)</f>
        <v>0</v>
      </c>
      <c r="R284" s="179">
        <f ca="1">IF(ISNUMBER(MATCH(DATEVALUE($A284),'changes1_based on steps'!R$1:R$400,0)),R$2,)</f>
        <v>0</v>
      </c>
      <c r="S284" s="179">
        <f ca="1">IF(ISNUMBER(MATCH(DATEVALUE($A284),'changes1_based on steps'!S$1:S$400,0)),S$2,)</f>
        <v>0</v>
      </c>
      <c r="T284" s="179">
        <f ca="1">IF(ISNUMBER(MATCH(DATEVALUE($A284),'changes1_based on steps'!T$1:T$400,0)),T$2,)</f>
        <v>0</v>
      </c>
      <c r="U284" s="179">
        <f ca="1">IF(ISNUMBER(MATCH(DATEVALUE($A284),'changes1_based on steps'!U$1:U$400,0)),U$2,)</f>
        <v>0</v>
      </c>
      <c r="V284" s="179"/>
      <c r="W284" s="179"/>
      <c r="X284" s="179"/>
      <c r="Y284" s="179"/>
      <c r="Z284" s="179"/>
      <c r="AA284" s="179"/>
      <c r="AB284" s="179"/>
      <c r="AC284" s="179"/>
      <c r="AD284" s="179"/>
      <c r="AE284" s="179"/>
      <c r="AF284" s="179"/>
      <c r="AG284" s="179"/>
      <c r="AH284" s="179"/>
      <c r="AI284" s="179"/>
      <c r="AJ284" s="179"/>
      <c r="AK284" s="179"/>
      <c r="AL284" s="179"/>
      <c r="AM284" s="179"/>
      <c r="AN284" s="179"/>
      <c r="AO284" s="179"/>
      <c r="AP284" s="179"/>
      <c r="AQ284" s="179"/>
      <c r="AR284" s="179"/>
      <c r="AS284" s="179"/>
      <c r="AT284" s="179"/>
      <c r="AU284" s="179"/>
      <c r="AV284" s="179"/>
      <c r="AW284" s="179"/>
      <c r="AX284" s="179"/>
      <c r="AY284" s="179"/>
      <c r="AZ284" s="179"/>
      <c r="BA284" s="179"/>
      <c r="BB284" s="179"/>
      <c r="BC284" s="179"/>
      <c r="BD284" s="179"/>
      <c r="BE284" s="179"/>
      <c r="BF284" s="179"/>
      <c r="BG284" s="179"/>
      <c r="BH284" s="179"/>
      <c r="BI284" s="179"/>
      <c r="BJ284" s="179"/>
      <c r="BK284" s="179"/>
      <c r="BL284" s="179"/>
      <c r="BM284" s="179"/>
      <c r="BN284" s="179"/>
      <c r="BO284" s="179"/>
      <c r="BP284" s="179"/>
      <c r="BQ284" s="179"/>
      <c r="BR284" s="179"/>
      <c r="BS284" s="179"/>
      <c r="BT284" s="179"/>
      <c r="BU284" s="179"/>
      <c r="BV284" s="179"/>
      <c r="BW284" s="179"/>
      <c r="BX284" s="179"/>
      <c r="BY284" s="179"/>
      <c r="BZ284" s="179"/>
      <c r="CA284" s="179"/>
      <c r="CB284" s="179"/>
      <c r="CC284" s="179"/>
      <c r="CD284" s="179"/>
      <c r="CE284" s="179"/>
      <c r="CF284" s="179"/>
      <c r="CG284" s="179"/>
      <c r="CH284" s="179"/>
      <c r="CI284" s="179"/>
      <c r="CJ284" s="179"/>
      <c r="CK284" s="179"/>
      <c r="CL284" s="179"/>
      <c r="CM284" s="179"/>
      <c r="CN284" s="179"/>
      <c r="CO284" s="179"/>
      <c r="CP284" s="179"/>
      <c r="CQ284" s="179"/>
      <c r="CR284" s="179"/>
      <c r="CS284" s="179"/>
      <c r="CT284" s="179"/>
      <c r="CU284" s="179"/>
      <c r="CV284" s="179"/>
      <c r="CW284" s="179"/>
    </row>
    <row r="285" spans="1:101" x14ac:dyDescent="0.2">
      <c r="A285" s="32" t="str">
        <f t="shared" ca="1" si="4"/>
        <v>2026-01-12</v>
      </c>
      <c r="B285" s="179">
        <f ca="1">IF(ISNUMBER(MATCH(DATEVALUE($A285),'changes1_based on steps'!B$1:B$400,0)),B$2,)</f>
        <v>0</v>
      </c>
      <c r="C285" s="179">
        <f ca="1">IF(ISNUMBER(MATCH(DATEVALUE($A285),'changes1_based on steps'!C$1:C$400,0)),C$2,)</f>
        <v>0</v>
      </c>
      <c r="D285" s="179">
        <f ca="1">IF(ISNUMBER(MATCH(DATEVALUE($A285),'changes1_based on steps'!D$1:D$400,0)),D$2,)</f>
        <v>0</v>
      </c>
      <c r="E285" s="179">
        <f ca="1">IF(ISNUMBER(MATCH(DATEVALUE($A285),'changes1_based on steps'!E$1:E$400,0)),E$2,)</f>
        <v>0</v>
      </c>
      <c r="F285" s="179">
        <f ca="1">IF(ISNUMBER(MATCH(DATEVALUE($A285),'changes1_based on steps'!F$1:F$400,0)),F$2,)</f>
        <v>0</v>
      </c>
      <c r="G285" s="179">
        <f ca="1">IF(ISNUMBER(MATCH(DATEVALUE($A285),'changes1_based on steps'!G$1:G$400,0)),G$2,)</f>
        <v>0</v>
      </c>
      <c r="H285" s="179">
        <f ca="1">IF(ISNUMBER(MATCH(DATEVALUE($A285),'changes1_based on steps'!H$1:H$400,0)),H$2,)</f>
        <v>0</v>
      </c>
      <c r="I285" s="179">
        <f ca="1">IF(ISNUMBER(MATCH(DATEVALUE($A285),'changes1_based on steps'!I$1:I$400,0)),I$2,)</f>
        <v>0</v>
      </c>
      <c r="J285" s="179">
        <f ca="1">IF(ISNUMBER(MATCH(DATEVALUE($A285),'changes1_based on steps'!J$1:J$400,0)),J$2,)</f>
        <v>0</v>
      </c>
      <c r="K285" s="179">
        <f ca="1">IF(ISNUMBER(MATCH(DATEVALUE($A285),'changes1_based on steps'!K$1:K$400,0)),K$2,)</f>
        <v>0</v>
      </c>
      <c r="L285" s="179">
        <f ca="1">IF(ISNUMBER(MATCH(DATEVALUE($A285),'changes1_based on steps'!L$1:L$400,0)),L$2,)</f>
        <v>0</v>
      </c>
      <c r="M285" s="179">
        <f ca="1">IF(ISNUMBER(MATCH(DATEVALUE($A285),'changes1_based on steps'!M$1:M$400,0)),M$2,)</f>
        <v>0</v>
      </c>
      <c r="N285" s="179">
        <f ca="1">IF(ISNUMBER(MATCH(DATEVALUE($A285),'changes1_based on steps'!N$1:N$400,0)),N$2,)</f>
        <v>0</v>
      </c>
      <c r="O285" s="179">
        <f ca="1">IF(ISNUMBER(MATCH(DATEVALUE($A285),'changes1_based on steps'!O$1:O$400,0)),O$2,)</f>
        <v>0</v>
      </c>
      <c r="P285" s="179">
        <f ca="1">IF(ISNUMBER(MATCH(DATEVALUE($A285),'changes1_based on steps'!P$1:P$400,0)),P$2,)</f>
        <v>0</v>
      </c>
      <c r="Q285" s="179">
        <f ca="1">IF(ISNUMBER(MATCH(DATEVALUE($A285),'changes1_based on steps'!Q$1:Q$400,0)),Q$2,)</f>
        <v>0</v>
      </c>
      <c r="R285" s="179">
        <f ca="1">IF(ISNUMBER(MATCH(DATEVALUE($A285),'changes1_based on steps'!R$1:R$400,0)),R$2,)</f>
        <v>0</v>
      </c>
      <c r="S285" s="179">
        <f ca="1">IF(ISNUMBER(MATCH(DATEVALUE($A285),'changes1_based on steps'!S$1:S$400,0)),S$2,)</f>
        <v>0</v>
      </c>
      <c r="T285" s="179">
        <f ca="1">IF(ISNUMBER(MATCH(DATEVALUE($A285),'changes1_based on steps'!T$1:T$400,0)),T$2,)</f>
        <v>0</v>
      </c>
      <c r="U285" s="179">
        <f ca="1">IF(ISNUMBER(MATCH(DATEVALUE($A285),'changes1_based on steps'!U$1:U$400,0)),U$2,)</f>
        <v>0</v>
      </c>
      <c r="V285" s="179"/>
      <c r="W285" s="179"/>
      <c r="X285" s="179"/>
      <c r="Y285" s="179"/>
      <c r="Z285" s="179"/>
      <c r="AA285" s="179"/>
      <c r="AB285" s="179"/>
      <c r="AC285" s="179"/>
      <c r="AD285" s="179"/>
      <c r="AE285" s="179"/>
      <c r="AF285" s="179"/>
      <c r="AG285" s="179"/>
      <c r="AH285" s="179"/>
      <c r="AI285" s="179"/>
      <c r="AJ285" s="179"/>
      <c r="AK285" s="179"/>
      <c r="AL285" s="179"/>
      <c r="AM285" s="179"/>
      <c r="AN285" s="179"/>
      <c r="AO285" s="179"/>
      <c r="AP285" s="179"/>
      <c r="AQ285" s="179"/>
      <c r="AR285" s="179"/>
      <c r="AS285" s="179"/>
      <c r="AT285" s="179"/>
      <c r="AU285" s="179"/>
      <c r="AV285" s="179"/>
      <c r="AW285" s="179"/>
      <c r="AX285" s="179"/>
      <c r="AY285" s="179"/>
      <c r="AZ285" s="179"/>
      <c r="BA285" s="179"/>
      <c r="BB285" s="179"/>
      <c r="BC285" s="179"/>
      <c r="BD285" s="179"/>
      <c r="BE285" s="179"/>
      <c r="BF285" s="179"/>
      <c r="BG285" s="179"/>
      <c r="BH285" s="179"/>
      <c r="BI285" s="179"/>
      <c r="BJ285" s="179"/>
      <c r="BK285" s="179"/>
      <c r="BL285" s="179"/>
      <c r="BM285" s="179"/>
      <c r="BN285" s="179"/>
      <c r="BO285" s="179"/>
      <c r="BP285" s="179"/>
      <c r="BQ285" s="179"/>
      <c r="BR285" s="179"/>
      <c r="BS285" s="179"/>
      <c r="BT285" s="179"/>
      <c r="BU285" s="179"/>
      <c r="BV285" s="179"/>
      <c r="BW285" s="179"/>
      <c r="BX285" s="179"/>
      <c r="BY285" s="179"/>
      <c r="BZ285" s="179"/>
      <c r="CA285" s="179"/>
      <c r="CB285" s="179"/>
      <c r="CC285" s="179"/>
      <c r="CD285" s="179"/>
      <c r="CE285" s="179"/>
      <c r="CF285" s="179"/>
      <c r="CG285" s="179"/>
      <c r="CH285" s="179"/>
      <c r="CI285" s="179"/>
      <c r="CJ285" s="179"/>
      <c r="CK285" s="179"/>
      <c r="CL285" s="179"/>
      <c r="CM285" s="179"/>
      <c r="CN285" s="179"/>
      <c r="CO285" s="179"/>
      <c r="CP285" s="179"/>
      <c r="CQ285" s="179"/>
      <c r="CR285" s="179"/>
      <c r="CS285" s="179"/>
      <c r="CT285" s="179"/>
      <c r="CU285" s="179"/>
      <c r="CV285" s="179"/>
      <c r="CW285" s="179"/>
    </row>
    <row r="286" spans="1:101" x14ac:dyDescent="0.2">
      <c r="A286" s="32" t="str">
        <f t="shared" ca="1" si="4"/>
        <v>2026-01-13</v>
      </c>
      <c r="B286" s="179">
        <f ca="1">IF(ISNUMBER(MATCH(DATEVALUE($A286),'changes1_based on steps'!B$1:B$400,0)),B$2,)</f>
        <v>0</v>
      </c>
      <c r="C286" s="179">
        <f ca="1">IF(ISNUMBER(MATCH(DATEVALUE($A286),'changes1_based on steps'!C$1:C$400,0)),C$2,)</f>
        <v>0</v>
      </c>
      <c r="D286" s="179">
        <f ca="1">IF(ISNUMBER(MATCH(DATEVALUE($A286),'changes1_based on steps'!D$1:D$400,0)),D$2,)</f>
        <v>0</v>
      </c>
      <c r="E286" s="179">
        <f ca="1">IF(ISNUMBER(MATCH(DATEVALUE($A286),'changes1_based on steps'!E$1:E$400,0)),E$2,)</f>
        <v>0</v>
      </c>
      <c r="F286" s="179">
        <f ca="1">IF(ISNUMBER(MATCH(DATEVALUE($A286),'changes1_based on steps'!F$1:F$400,0)),F$2,)</f>
        <v>0</v>
      </c>
      <c r="G286" s="179">
        <f ca="1">IF(ISNUMBER(MATCH(DATEVALUE($A286),'changes1_based on steps'!G$1:G$400,0)),G$2,)</f>
        <v>0</v>
      </c>
      <c r="H286" s="179">
        <f ca="1">IF(ISNUMBER(MATCH(DATEVALUE($A286),'changes1_based on steps'!H$1:H$400,0)),H$2,)</f>
        <v>0</v>
      </c>
      <c r="I286" s="179">
        <f ca="1">IF(ISNUMBER(MATCH(DATEVALUE($A286),'changes1_based on steps'!I$1:I$400,0)),I$2,)</f>
        <v>0</v>
      </c>
      <c r="J286" s="179">
        <f ca="1">IF(ISNUMBER(MATCH(DATEVALUE($A286),'changes1_based on steps'!J$1:J$400,0)),J$2,)</f>
        <v>0</v>
      </c>
      <c r="K286" s="179">
        <f ca="1">IF(ISNUMBER(MATCH(DATEVALUE($A286),'changes1_based on steps'!K$1:K$400,0)),K$2,)</f>
        <v>0</v>
      </c>
      <c r="L286" s="179">
        <f ca="1">IF(ISNUMBER(MATCH(DATEVALUE($A286),'changes1_based on steps'!L$1:L$400,0)),L$2,)</f>
        <v>0</v>
      </c>
      <c r="M286" s="179">
        <f ca="1">IF(ISNUMBER(MATCH(DATEVALUE($A286),'changes1_based on steps'!M$1:M$400,0)),M$2,)</f>
        <v>0</v>
      </c>
      <c r="N286" s="179">
        <f ca="1">IF(ISNUMBER(MATCH(DATEVALUE($A286),'changes1_based on steps'!N$1:N$400,0)),N$2,)</f>
        <v>0</v>
      </c>
      <c r="O286" s="179">
        <f ca="1">IF(ISNUMBER(MATCH(DATEVALUE($A286),'changes1_based on steps'!O$1:O$400,0)),O$2,)</f>
        <v>0</v>
      </c>
      <c r="P286" s="179">
        <f ca="1">IF(ISNUMBER(MATCH(DATEVALUE($A286),'changes1_based on steps'!P$1:P$400,0)),P$2,)</f>
        <v>0</v>
      </c>
      <c r="Q286" s="179">
        <f ca="1">IF(ISNUMBER(MATCH(DATEVALUE($A286),'changes1_based on steps'!Q$1:Q$400,0)),Q$2,)</f>
        <v>0</v>
      </c>
      <c r="R286" s="179">
        <f ca="1">IF(ISNUMBER(MATCH(DATEVALUE($A286),'changes1_based on steps'!R$1:R$400,0)),R$2,)</f>
        <v>0</v>
      </c>
      <c r="S286" s="179">
        <f ca="1">IF(ISNUMBER(MATCH(DATEVALUE($A286),'changes1_based on steps'!S$1:S$400,0)),S$2,)</f>
        <v>0</v>
      </c>
      <c r="T286" s="179">
        <f ca="1">IF(ISNUMBER(MATCH(DATEVALUE($A286),'changes1_based on steps'!T$1:T$400,0)),T$2,)</f>
        <v>0</v>
      </c>
      <c r="U286" s="179">
        <f ca="1">IF(ISNUMBER(MATCH(DATEVALUE($A286),'changes1_based on steps'!U$1:U$400,0)),U$2,)</f>
        <v>0</v>
      </c>
      <c r="V286" s="179"/>
      <c r="W286" s="179"/>
      <c r="X286" s="179"/>
      <c r="Y286" s="179"/>
      <c r="Z286" s="179"/>
      <c r="AA286" s="179"/>
      <c r="AB286" s="179"/>
      <c r="AC286" s="179"/>
      <c r="AD286" s="179"/>
      <c r="AE286" s="179"/>
      <c r="AF286" s="179"/>
      <c r="AG286" s="179"/>
      <c r="AH286" s="179"/>
      <c r="AI286" s="179"/>
      <c r="AJ286" s="179"/>
      <c r="AK286" s="179"/>
      <c r="AL286" s="179"/>
      <c r="AM286" s="179"/>
      <c r="AN286" s="179"/>
      <c r="AO286" s="179"/>
      <c r="AP286" s="179"/>
      <c r="AQ286" s="179"/>
      <c r="AR286" s="179"/>
      <c r="AS286" s="179"/>
      <c r="AT286" s="179"/>
      <c r="AU286" s="179"/>
      <c r="AV286" s="179"/>
      <c r="AW286" s="179"/>
      <c r="AX286" s="179"/>
      <c r="AY286" s="179"/>
      <c r="AZ286" s="179"/>
      <c r="BA286" s="179"/>
      <c r="BB286" s="179"/>
      <c r="BC286" s="179"/>
      <c r="BD286" s="179"/>
      <c r="BE286" s="179"/>
      <c r="BF286" s="179"/>
      <c r="BG286" s="179"/>
      <c r="BH286" s="179"/>
      <c r="BI286" s="179"/>
      <c r="BJ286" s="179"/>
      <c r="BK286" s="179"/>
      <c r="BL286" s="179"/>
      <c r="BM286" s="179"/>
      <c r="BN286" s="179"/>
      <c r="BO286" s="179"/>
      <c r="BP286" s="179"/>
      <c r="BQ286" s="179"/>
      <c r="BR286" s="179"/>
      <c r="BS286" s="179"/>
      <c r="BT286" s="179"/>
      <c r="BU286" s="179"/>
      <c r="BV286" s="179"/>
      <c r="BW286" s="179"/>
      <c r="BX286" s="179"/>
      <c r="BY286" s="179"/>
      <c r="BZ286" s="179"/>
      <c r="CA286" s="179"/>
      <c r="CB286" s="179"/>
      <c r="CC286" s="179"/>
      <c r="CD286" s="179"/>
      <c r="CE286" s="179"/>
      <c r="CF286" s="179"/>
      <c r="CG286" s="179"/>
      <c r="CH286" s="179"/>
      <c r="CI286" s="179"/>
      <c r="CJ286" s="179"/>
      <c r="CK286" s="179"/>
      <c r="CL286" s="179"/>
      <c r="CM286" s="179"/>
      <c r="CN286" s="179"/>
      <c r="CO286" s="179"/>
      <c r="CP286" s="179"/>
      <c r="CQ286" s="179"/>
      <c r="CR286" s="179"/>
      <c r="CS286" s="179"/>
      <c r="CT286" s="179"/>
      <c r="CU286" s="179"/>
      <c r="CV286" s="179"/>
      <c r="CW286" s="179"/>
    </row>
    <row r="287" spans="1:101" x14ac:dyDescent="0.2">
      <c r="A287" s="32" t="str">
        <f t="shared" ca="1" si="4"/>
        <v>2026-01-14</v>
      </c>
      <c r="B287" s="179">
        <f ca="1">IF(ISNUMBER(MATCH(DATEVALUE($A287),'changes1_based on steps'!B$1:B$400,0)),B$2,)</f>
        <v>0</v>
      </c>
      <c r="C287" s="179">
        <f ca="1">IF(ISNUMBER(MATCH(DATEVALUE($A287),'changes1_based on steps'!C$1:C$400,0)),C$2,)</f>
        <v>0</v>
      </c>
      <c r="D287" s="179">
        <f ca="1">IF(ISNUMBER(MATCH(DATEVALUE($A287),'changes1_based on steps'!D$1:D$400,0)),D$2,)</f>
        <v>0</v>
      </c>
      <c r="E287" s="179">
        <f ca="1">IF(ISNUMBER(MATCH(DATEVALUE($A287),'changes1_based on steps'!E$1:E$400,0)),E$2,)</f>
        <v>0</v>
      </c>
      <c r="F287" s="179">
        <f ca="1">IF(ISNUMBER(MATCH(DATEVALUE($A287),'changes1_based on steps'!F$1:F$400,0)),F$2,)</f>
        <v>0</v>
      </c>
      <c r="G287" s="179">
        <f ca="1">IF(ISNUMBER(MATCH(DATEVALUE($A287),'changes1_based on steps'!G$1:G$400,0)),G$2,)</f>
        <v>0</v>
      </c>
      <c r="H287" s="179">
        <f ca="1">IF(ISNUMBER(MATCH(DATEVALUE($A287),'changes1_based on steps'!H$1:H$400,0)),H$2,)</f>
        <v>0</v>
      </c>
      <c r="I287" s="179">
        <f ca="1">IF(ISNUMBER(MATCH(DATEVALUE($A287),'changes1_based on steps'!I$1:I$400,0)),I$2,)</f>
        <v>0</v>
      </c>
      <c r="J287" s="179">
        <f ca="1">IF(ISNUMBER(MATCH(DATEVALUE($A287),'changes1_based on steps'!J$1:J$400,0)),J$2,)</f>
        <v>0</v>
      </c>
      <c r="K287" s="179">
        <f ca="1">IF(ISNUMBER(MATCH(DATEVALUE($A287),'changes1_based on steps'!K$1:K$400,0)),K$2,)</f>
        <v>0</v>
      </c>
      <c r="L287" s="179">
        <f ca="1">IF(ISNUMBER(MATCH(DATEVALUE($A287),'changes1_based on steps'!L$1:L$400,0)),L$2,)</f>
        <v>0</v>
      </c>
      <c r="M287" s="179">
        <f ca="1">IF(ISNUMBER(MATCH(DATEVALUE($A287),'changes1_based on steps'!M$1:M$400,0)),M$2,)</f>
        <v>0</v>
      </c>
      <c r="N287" s="179">
        <f ca="1">IF(ISNUMBER(MATCH(DATEVALUE($A287),'changes1_based on steps'!N$1:N$400,0)),N$2,)</f>
        <v>0</v>
      </c>
      <c r="O287" s="179">
        <f ca="1">IF(ISNUMBER(MATCH(DATEVALUE($A287),'changes1_based on steps'!O$1:O$400,0)),O$2,)</f>
        <v>0</v>
      </c>
      <c r="P287" s="179">
        <f ca="1">IF(ISNUMBER(MATCH(DATEVALUE($A287),'changes1_based on steps'!P$1:P$400,0)),P$2,)</f>
        <v>0</v>
      </c>
      <c r="Q287" s="179">
        <f ca="1">IF(ISNUMBER(MATCH(DATEVALUE($A287),'changes1_based on steps'!Q$1:Q$400,0)),Q$2,)</f>
        <v>0</v>
      </c>
      <c r="R287" s="179">
        <f ca="1">IF(ISNUMBER(MATCH(DATEVALUE($A287),'changes1_based on steps'!R$1:R$400,0)),R$2,)</f>
        <v>0</v>
      </c>
      <c r="S287" s="179">
        <f ca="1">IF(ISNUMBER(MATCH(DATEVALUE($A287),'changes1_based on steps'!S$1:S$400,0)),S$2,)</f>
        <v>0</v>
      </c>
      <c r="T287" s="179">
        <f ca="1">IF(ISNUMBER(MATCH(DATEVALUE($A287),'changes1_based on steps'!T$1:T$400,0)),T$2,)</f>
        <v>0</v>
      </c>
      <c r="U287" s="179">
        <f ca="1">IF(ISNUMBER(MATCH(DATEVALUE($A287),'changes1_based on steps'!U$1:U$400,0)),U$2,)</f>
        <v>0</v>
      </c>
      <c r="V287" s="179"/>
      <c r="W287" s="179"/>
      <c r="X287" s="179"/>
      <c r="Y287" s="179"/>
      <c r="Z287" s="179"/>
      <c r="AA287" s="179"/>
      <c r="AB287" s="179"/>
      <c r="AC287" s="179"/>
      <c r="AD287" s="179"/>
      <c r="AE287" s="179"/>
      <c r="AF287" s="179"/>
      <c r="AG287" s="179"/>
      <c r="AH287" s="179"/>
      <c r="AI287" s="179"/>
      <c r="AJ287" s="179"/>
      <c r="AK287" s="179"/>
      <c r="AL287" s="179"/>
      <c r="AM287" s="179"/>
      <c r="AN287" s="179"/>
      <c r="AO287" s="179"/>
      <c r="AP287" s="179"/>
      <c r="AQ287" s="179"/>
      <c r="AR287" s="179"/>
      <c r="AS287" s="179"/>
      <c r="AT287" s="179"/>
      <c r="AU287" s="179"/>
      <c r="AV287" s="179"/>
      <c r="AW287" s="179"/>
      <c r="AX287" s="179"/>
      <c r="AY287" s="179"/>
      <c r="AZ287" s="179"/>
      <c r="BA287" s="179"/>
      <c r="BB287" s="179"/>
      <c r="BC287" s="179"/>
      <c r="BD287" s="179"/>
      <c r="BE287" s="179"/>
      <c r="BF287" s="179"/>
      <c r="BG287" s="179"/>
      <c r="BH287" s="179"/>
      <c r="BI287" s="179"/>
      <c r="BJ287" s="179"/>
      <c r="BK287" s="179"/>
      <c r="BL287" s="179"/>
      <c r="BM287" s="179"/>
      <c r="BN287" s="179"/>
      <c r="BO287" s="179"/>
      <c r="BP287" s="179"/>
      <c r="BQ287" s="179"/>
      <c r="BR287" s="179"/>
      <c r="BS287" s="179"/>
      <c r="BT287" s="179"/>
      <c r="BU287" s="179"/>
      <c r="BV287" s="179"/>
      <c r="BW287" s="179"/>
      <c r="BX287" s="179"/>
      <c r="BY287" s="179"/>
      <c r="BZ287" s="179"/>
      <c r="CA287" s="179"/>
      <c r="CB287" s="179"/>
      <c r="CC287" s="179"/>
      <c r="CD287" s="179"/>
      <c r="CE287" s="179"/>
      <c r="CF287" s="179"/>
      <c r="CG287" s="179"/>
      <c r="CH287" s="179"/>
      <c r="CI287" s="179"/>
      <c r="CJ287" s="179"/>
      <c r="CK287" s="179"/>
      <c r="CL287" s="179"/>
      <c r="CM287" s="179"/>
      <c r="CN287" s="179"/>
      <c r="CO287" s="179"/>
      <c r="CP287" s="179"/>
      <c r="CQ287" s="179"/>
      <c r="CR287" s="179"/>
      <c r="CS287" s="179"/>
      <c r="CT287" s="179"/>
      <c r="CU287" s="179"/>
      <c r="CV287" s="179"/>
      <c r="CW287" s="179"/>
    </row>
    <row r="288" spans="1:101" x14ac:dyDescent="0.2">
      <c r="A288" s="32" t="str">
        <f t="shared" ca="1" si="4"/>
        <v>2026-01-15</v>
      </c>
      <c r="B288" s="179">
        <f ca="1">IF(ISNUMBER(MATCH(DATEVALUE($A288),'changes1_based on steps'!B$1:B$400,0)),B$2,)</f>
        <v>0</v>
      </c>
      <c r="C288" s="179">
        <f ca="1">IF(ISNUMBER(MATCH(DATEVALUE($A288),'changes1_based on steps'!C$1:C$400,0)),C$2,)</f>
        <v>0</v>
      </c>
      <c r="D288" s="179">
        <f ca="1">IF(ISNUMBER(MATCH(DATEVALUE($A288),'changes1_based on steps'!D$1:D$400,0)),D$2,)</f>
        <v>0</v>
      </c>
      <c r="E288" s="179">
        <f ca="1">IF(ISNUMBER(MATCH(DATEVALUE($A288),'changes1_based on steps'!E$1:E$400,0)),E$2,)</f>
        <v>0</v>
      </c>
      <c r="F288" s="179">
        <f ca="1">IF(ISNUMBER(MATCH(DATEVALUE($A288),'changes1_based on steps'!F$1:F$400,0)),F$2,)</f>
        <v>0</v>
      </c>
      <c r="G288" s="179">
        <f ca="1">IF(ISNUMBER(MATCH(DATEVALUE($A288),'changes1_based on steps'!G$1:G$400,0)),G$2,)</f>
        <v>0</v>
      </c>
      <c r="H288" s="179">
        <f ca="1">IF(ISNUMBER(MATCH(DATEVALUE($A288),'changes1_based on steps'!H$1:H$400,0)),H$2,)</f>
        <v>0</v>
      </c>
      <c r="I288" s="179">
        <f ca="1">IF(ISNUMBER(MATCH(DATEVALUE($A288),'changes1_based on steps'!I$1:I$400,0)),I$2,)</f>
        <v>0</v>
      </c>
      <c r="J288" s="179">
        <f ca="1">IF(ISNUMBER(MATCH(DATEVALUE($A288),'changes1_based on steps'!J$1:J$400,0)),J$2,)</f>
        <v>0</v>
      </c>
      <c r="K288" s="179">
        <f ca="1">IF(ISNUMBER(MATCH(DATEVALUE($A288),'changes1_based on steps'!K$1:K$400,0)),K$2,)</f>
        <v>0</v>
      </c>
      <c r="L288" s="179">
        <f ca="1">IF(ISNUMBER(MATCH(DATEVALUE($A288),'changes1_based on steps'!L$1:L$400,0)),L$2,)</f>
        <v>0</v>
      </c>
      <c r="M288" s="179">
        <f ca="1">IF(ISNUMBER(MATCH(DATEVALUE($A288),'changes1_based on steps'!M$1:M$400,0)),M$2,)</f>
        <v>0</v>
      </c>
      <c r="N288" s="179">
        <f ca="1">IF(ISNUMBER(MATCH(DATEVALUE($A288),'changes1_based on steps'!N$1:N$400,0)),N$2,)</f>
        <v>0</v>
      </c>
      <c r="O288" s="179">
        <f ca="1">IF(ISNUMBER(MATCH(DATEVALUE($A288),'changes1_based on steps'!O$1:O$400,0)),O$2,)</f>
        <v>0</v>
      </c>
      <c r="P288" s="179">
        <f ca="1">IF(ISNUMBER(MATCH(DATEVALUE($A288),'changes1_based on steps'!P$1:P$400,0)),P$2,)</f>
        <v>0</v>
      </c>
      <c r="Q288" s="179">
        <f ca="1">IF(ISNUMBER(MATCH(DATEVALUE($A288),'changes1_based on steps'!Q$1:Q$400,0)),Q$2,)</f>
        <v>0</v>
      </c>
      <c r="R288" s="179">
        <f ca="1">IF(ISNUMBER(MATCH(DATEVALUE($A288),'changes1_based on steps'!R$1:R$400,0)),R$2,)</f>
        <v>0</v>
      </c>
      <c r="S288" s="179">
        <f ca="1">IF(ISNUMBER(MATCH(DATEVALUE($A288),'changes1_based on steps'!S$1:S$400,0)),S$2,)</f>
        <v>0</v>
      </c>
      <c r="T288" s="179">
        <f ca="1">IF(ISNUMBER(MATCH(DATEVALUE($A288),'changes1_based on steps'!T$1:T$400,0)),T$2,)</f>
        <v>0</v>
      </c>
      <c r="U288" s="179">
        <f ca="1">IF(ISNUMBER(MATCH(DATEVALUE($A288),'changes1_based on steps'!U$1:U$400,0)),U$2,)</f>
        <v>0</v>
      </c>
      <c r="V288" s="179"/>
      <c r="W288" s="179"/>
      <c r="X288" s="179"/>
      <c r="Y288" s="179"/>
      <c r="Z288" s="179"/>
      <c r="AA288" s="179"/>
      <c r="AB288" s="179"/>
      <c r="AC288" s="179"/>
      <c r="AD288" s="179"/>
      <c r="AE288" s="179"/>
      <c r="AF288" s="179"/>
      <c r="AG288" s="179"/>
      <c r="AH288" s="179"/>
      <c r="AI288" s="179"/>
      <c r="AJ288" s="179"/>
      <c r="AK288" s="179"/>
      <c r="AL288" s="179"/>
      <c r="AM288" s="179"/>
      <c r="AN288" s="179"/>
      <c r="AO288" s="179"/>
      <c r="AP288" s="179"/>
      <c r="AQ288" s="179"/>
      <c r="AR288" s="179"/>
      <c r="AS288" s="179"/>
      <c r="AT288" s="179"/>
      <c r="AU288" s="179"/>
      <c r="AV288" s="179"/>
      <c r="AW288" s="179"/>
      <c r="AX288" s="179"/>
      <c r="AY288" s="179"/>
      <c r="AZ288" s="179"/>
      <c r="BA288" s="179"/>
      <c r="BB288" s="179"/>
      <c r="BC288" s="179"/>
      <c r="BD288" s="179"/>
      <c r="BE288" s="179"/>
      <c r="BF288" s="179"/>
      <c r="BG288" s="179"/>
      <c r="BH288" s="179"/>
      <c r="BI288" s="179"/>
      <c r="BJ288" s="179"/>
      <c r="BK288" s="179"/>
      <c r="BL288" s="179"/>
      <c r="BM288" s="179"/>
      <c r="BN288" s="179"/>
      <c r="BO288" s="179"/>
      <c r="BP288" s="179"/>
      <c r="BQ288" s="179"/>
      <c r="BR288" s="179"/>
      <c r="BS288" s="179"/>
      <c r="BT288" s="179"/>
      <c r="BU288" s="179"/>
      <c r="BV288" s="179"/>
      <c r="BW288" s="179"/>
      <c r="BX288" s="179"/>
      <c r="BY288" s="179"/>
      <c r="BZ288" s="179"/>
      <c r="CA288" s="179"/>
      <c r="CB288" s="179"/>
      <c r="CC288" s="179"/>
      <c r="CD288" s="179"/>
      <c r="CE288" s="179"/>
      <c r="CF288" s="179"/>
      <c r="CG288" s="179"/>
      <c r="CH288" s="179"/>
      <c r="CI288" s="179"/>
      <c r="CJ288" s="179"/>
      <c r="CK288" s="179"/>
      <c r="CL288" s="179"/>
      <c r="CM288" s="179"/>
      <c r="CN288" s="179"/>
      <c r="CO288" s="179"/>
      <c r="CP288" s="179"/>
      <c r="CQ288" s="179"/>
      <c r="CR288" s="179"/>
      <c r="CS288" s="179"/>
      <c r="CT288" s="179"/>
      <c r="CU288" s="179"/>
      <c r="CV288" s="179"/>
      <c r="CW288" s="179"/>
    </row>
    <row r="289" spans="1:101" x14ac:dyDescent="0.2">
      <c r="A289" s="32" t="str">
        <f t="shared" ca="1" si="4"/>
        <v>2026-01-16</v>
      </c>
      <c r="B289" s="179">
        <f ca="1">IF(ISNUMBER(MATCH(DATEVALUE($A289),'changes1_based on steps'!B$1:B$400,0)),B$2,)</f>
        <v>0</v>
      </c>
      <c r="C289" s="179">
        <f ca="1">IF(ISNUMBER(MATCH(DATEVALUE($A289),'changes1_based on steps'!C$1:C$400,0)),C$2,)</f>
        <v>0</v>
      </c>
      <c r="D289" s="179">
        <f ca="1">IF(ISNUMBER(MATCH(DATEVALUE($A289),'changes1_based on steps'!D$1:D$400,0)),D$2,)</f>
        <v>0</v>
      </c>
      <c r="E289" s="179">
        <f ca="1">IF(ISNUMBER(MATCH(DATEVALUE($A289),'changes1_based on steps'!E$1:E$400,0)),E$2,)</f>
        <v>0</v>
      </c>
      <c r="F289" s="179">
        <f ca="1">IF(ISNUMBER(MATCH(DATEVALUE($A289),'changes1_based on steps'!F$1:F$400,0)),F$2,)</f>
        <v>0</v>
      </c>
      <c r="G289" s="179">
        <f ca="1">IF(ISNUMBER(MATCH(DATEVALUE($A289),'changes1_based on steps'!G$1:G$400,0)),G$2,)</f>
        <v>0</v>
      </c>
      <c r="H289" s="179">
        <f ca="1">IF(ISNUMBER(MATCH(DATEVALUE($A289),'changes1_based on steps'!H$1:H$400,0)),H$2,)</f>
        <v>0</v>
      </c>
      <c r="I289" s="179">
        <f ca="1">IF(ISNUMBER(MATCH(DATEVALUE($A289),'changes1_based on steps'!I$1:I$400,0)),I$2,)</f>
        <v>0</v>
      </c>
      <c r="J289" s="179">
        <f ca="1">IF(ISNUMBER(MATCH(DATEVALUE($A289),'changes1_based on steps'!J$1:J$400,0)),J$2,)</f>
        <v>0</v>
      </c>
      <c r="K289" s="179">
        <f ca="1">IF(ISNUMBER(MATCH(DATEVALUE($A289),'changes1_based on steps'!K$1:K$400,0)),K$2,)</f>
        <v>0</v>
      </c>
      <c r="L289" s="179">
        <f ca="1">IF(ISNUMBER(MATCH(DATEVALUE($A289),'changes1_based on steps'!L$1:L$400,0)),L$2,)</f>
        <v>0</v>
      </c>
      <c r="M289" s="179">
        <f ca="1">IF(ISNUMBER(MATCH(DATEVALUE($A289),'changes1_based on steps'!M$1:M$400,0)),M$2,)</f>
        <v>0</v>
      </c>
      <c r="N289" s="179">
        <f ca="1">IF(ISNUMBER(MATCH(DATEVALUE($A289),'changes1_based on steps'!N$1:N$400,0)),N$2,)</f>
        <v>0</v>
      </c>
      <c r="O289" s="179">
        <f ca="1">IF(ISNUMBER(MATCH(DATEVALUE($A289),'changes1_based on steps'!O$1:O$400,0)),O$2,)</f>
        <v>0</v>
      </c>
      <c r="P289" s="179">
        <f ca="1">IF(ISNUMBER(MATCH(DATEVALUE($A289),'changes1_based on steps'!P$1:P$400,0)),P$2,)</f>
        <v>0</v>
      </c>
      <c r="Q289" s="179">
        <f ca="1">IF(ISNUMBER(MATCH(DATEVALUE($A289),'changes1_based on steps'!Q$1:Q$400,0)),Q$2,)</f>
        <v>0</v>
      </c>
      <c r="R289" s="179">
        <f ca="1">IF(ISNUMBER(MATCH(DATEVALUE($A289),'changes1_based on steps'!R$1:R$400,0)),R$2,)</f>
        <v>0</v>
      </c>
      <c r="S289" s="179">
        <f ca="1">IF(ISNUMBER(MATCH(DATEVALUE($A289),'changes1_based on steps'!S$1:S$400,0)),S$2,)</f>
        <v>0</v>
      </c>
      <c r="T289" s="179">
        <f ca="1">IF(ISNUMBER(MATCH(DATEVALUE($A289),'changes1_based on steps'!T$1:T$400,0)),T$2,)</f>
        <v>0</v>
      </c>
      <c r="U289" s="179">
        <f ca="1">IF(ISNUMBER(MATCH(DATEVALUE($A289),'changes1_based on steps'!U$1:U$400,0)),U$2,)</f>
        <v>0</v>
      </c>
      <c r="V289" s="179"/>
      <c r="W289" s="179"/>
      <c r="X289" s="179"/>
      <c r="Y289" s="179"/>
      <c r="Z289" s="179"/>
      <c r="AA289" s="179"/>
      <c r="AB289" s="179"/>
      <c r="AC289" s="179"/>
      <c r="AD289" s="179"/>
      <c r="AE289" s="179"/>
      <c r="AF289" s="179"/>
      <c r="AG289" s="179"/>
      <c r="AH289" s="179"/>
      <c r="AI289" s="179"/>
      <c r="AJ289" s="179"/>
      <c r="AK289" s="179"/>
      <c r="AL289" s="179"/>
      <c r="AM289" s="179"/>
      <c r="AN289" s="179"/>
      <c r="AO289" s="179"/>
      <c r="AP289" s="179"/>
      <c r="AQ289" s="179"/>
      <c r="AR289" s="179"/>
      <c r="AS289" s="179"/>
      <c r="AT289" s="179"/>
      <c r="AU289" s="179"/>
      <c r="AV289" s="179"/>
      <c r="AW289" s="179"/>
      <c r="AX289" s="179"/>
      <c r="AY289" s="179"/>
      <c r="AZ289" s="179"/>
      <c r="BA289" s="179"/>
      <c r="BB289" s="179"/>
      <c r="BC289" s="179"/>
      <c r="BD289" s="179"/>
      <c r="BE289" s="179"/>
      <c r="BF289" s="179"/>
      <c r="BG289" s="179"/>
      <c r="BH289" s="179"/>
      <c r="BI289" s="179"/>
      <c r="BJ289" s="179"/>
      <c r="BK289" s="179"/>
      <c r="BL289" s="179"/>
      <c r="BM289" s="179"/>
      <c r="BN289" s="179"/>
      <c r="BO289" s="179"/>
      <c r="BP289" s="179"/>
      <c r="BQ289" s="179"/>
      <c r="BR289" s="179"/>
      <c r="BS289" s="179"/>
      <c r="BT289" s="179"/>
      <c r="BU289" s="179"/>
      <c r="BV289" s="179"/>
      <c r="BW289" s="179"/>
      <c r="BX289" s="179"/>
      <c r="BY289" s="179"/>
      <c r="BZ289" s="179"/>
      <c r="CA289" s="179"/>
      <c r="CB289" s="179"/>
      <c r="CC289" s="179"/>
      <c r="CD289" s="179"/>
      <c r="CE289" s="179"/>
      <c r="CF289" s="179"/>
      <c r="CG289" s="179"/>
      <c r="CH289" s="179"/>
      <c r="CI289" s="179"/>
      <c r="CJ289" s="179"/>
      <c r="CK289" s="179"/>
      <c r="CL289" s="179"/>
      <c r="CM289" s="179"/>
      <c r="CN289" s="179"/>
      <c r="CO289" s="179"/>
      <c r="CP289" s="179"/>
      <c r="CQ289" s="179"/>
      <c r="CR289" s="179"/>
      <c r="CS289" s="179"/>
      <c r="CT289" s="179"/>
      <c r="CU289" s="179"/>
      <c r="CV289" s="179"/>
      <c r="CW289" s="179"/>
    </row>
    <row r="290" spans="1:101" x14ac:dyDescent="0.2">
      <c r="A290" s="32" t="str">
        <f t="shared" ca="1" si="4"/>
        <v>2026-01-17</v>
      </c>
      <c r="B290" s="179">
        <f ca="1">IF(ISNUMBER(MATCH(DATEVALUE($A290),'changes1_based on steps'!B$1:B$400,0)),B$2,)</f>
        <v>0</v>
      </c>
      <c r="C290" s="179">
        <f ca="1">IF(ISNUMBER(MATCH(DATEVALUE($A290),'changes1_based on steps'!C$1:C$400,0)),C$2,)</f>
        <v>0</v>
      </c>
      <c r="D290" s="179">
        <f ca="1">IF(ISNUMBER(MATCH(DATEVALUE($A290),'changes1_based on steps'!D$1:D$400,0)),D$2,)</f>
        <v>0</v>
      </c>
      <c r="E290" s="179">
        <f ca="1">IF(ISNUMBER(MATCH(DATEVALUE($A290),'changes1_based on steps'!E$1:E$400,0)),E$2,)</f>
        <v>0</v>
      </c>
      <c r="F290" s="179">
        <f ca="1">IF(ISNUMBER(MATCH(DATEVALUE($A290),'changes1_based on steps'!F$1:F$400,0)),F$2,)</f>
        <v>0</v>
      </c>
      <c r="G290" s="179">
        <f ca="1">IF(ISNUMBER(MATCH(DATEVALUE($A290),'changes1_based on steps'!G$1:G$400,0)),G$2,)</f>
        <v>0</v>
      </c>
      <c r="H290" s="179">
        <f ca="1">IF(ISNUMBER(MATCH(DATEVALUE($A290),'changes1_based on steps'!H$1:H$400,0)),H$2,)</f>
        <v>0</v>
      </c>
      <c r="I290" s="179">
        <f ca="1">IF(ISNUMBER(MATCH(DATEVALUE($A290),'changes1_based on steps'!I$1:I$400,0)),I$2,)</f>
        <v>0</v>
      </c>
      <c r="J290" s="179">
        <f ca="1">IF(ISNUMBER(MATCH(DATEVALUE($A290),'changes1_based on steps'!J$1:J$400,0)),J$2,)</f>
        <v>0</v>
      </c>
      <c r="K290" s="179">
        <f ca="1">IF(ISNUMBER(MATCH(DATEVALUE($A290),'changes1_based on steps'!K$1:K$400,0)),K$2,)</f>
        <v>0</v>
      </c>
      <c r="L290" s="179">
        <f ca="1">IF(ISNUMBER(MATCH(DATEVALUE($A290),'changes1_based on steps'!L$1:L$400,0)),L$2,)</f>
        <v>0</v>
      </c>
      <c r="M290" s="179">
        <f ca="1">IF(ISNUMBER(MATCH(DATEVALUE($A290),'changes1_based on steps'!M$1:M$400,0)),M$2,)</f>
        <v>0</v>
      </c>
      <c r="N290" s="179">
        <f ca="1">IF(ISNUMBER(MATCH(DATEVALUE($A290),'changes1_based on steps'!N$1:N$400,0)),N$2,)</f>
        <v>0</v>
      </c>
      <c r="O290" s="179">
        <f ca="1">IF(ISNUMBER(MATCH(DATEVALUE($A290),'changes1_based on steps'!O$1:O$400,0)),O$2,)</f>
        <v>0</v>
      </c>
      <c r="P290" s="179">
        <f ca="1">IF(ISNUMBER(MATCH(DATEVALUE($A290),'changes1_based on steps'!P$1:P$400,0)),P$2,)</f>
        <v>0</v>
      </c>
      <c r="Q290" s="179">
        <f ca="1">IF(ISNUMBER(MATCH(DATEVALUE($A290),'changes1_based on steps'!Q$1:Q$400,0)),Q$2,)</f>
        <v>0</v>
      </c>
      <c r="R290" s="179">
        <f ca="1">IF(ISNUMBER(MATCH(DATEVALUE($A290),'changes1_based on steps'!R$1:R$400,0)),R$2,)</f>
        <v>0</v>
      </c>
      <c r="S290" s="179">
        <f ca="1">IF(ISNUMBER(MATCH(DATEVALUE($A290),'changes1_based on steps'!S$1:S$400,0)),S$2,)</f>
        <v>0</v>
      </c>
      <c r="T290" s="179">
        <f ca="1">IF(ISNUMBER(MATCH(DATEVALUE($A290),'changes1_based on steps'!T$1:T$400,0)),T$2,)</f>
        <v>0</v>
      </c>
      <c r="U290" s="179">
        <f ca="1">IF(ISNUMBER(MATCH(DATEVALUE($A290),'changes1_based on steps'!U$1:U$400,0)),U$2,)</f>
        <v>0</v>
      </c>
      <c r="V290" s="179"/>
      <c r="W290" s="179"/>
      <c r="X290" s="179"/>
      <c r="Y290" s="179"/>
      <c r="Z290" s="179"/>
      <c r="AA290" s="179"/>
      <c r="AB290" s="179"/>
      <c r="AC290" s="179"/>
      <c r="AD290" s="179"/>
      <c r="AE290" s="179"/>
      <c r="AF290" s="179"/>
      <c r="AG290" s="179"/>
      <c r="AH290" s="179"/>
      <c r="AI290" s="179"/>
      <c r="AJ290" s="179"/>
      <c r="AK290" s="179"/>
      <c r="AL290" s="179"/>
      <c r="AM290" s="179"/>
      <c r="AN290" s="179"/>
      <c r="AO290" s="179"/>
      <c r="AP290" s="179"/>
      <c r="AQ290" s="179"/>
      <c r="AR290" s="179"/>
      <c r="AS290" s="179"/>
      <c r="AT290" s="179"/>
      <c r="AU290" s="179"/>
      <c r="AV290" s="179"/>
      <c r="AW290" s="179"/>
      <c r="AX290" s="179"/>
      <c r="AY290" s="179"/>
      <c r="AZ290" s="179"/>
      <c r="BA290" s="179"/>
      <c r="BB290" s="179"/>
      <c r="BC290" s="179"/>
      <c r="BD290" s="179"/>
      <c r="BE290" s="179"/>
      <c r="BF290" s="179"/>
      <c r="BG290" s="179"/>
      <c r="BH290" s="179"/>
      <c r="BI290" s="179"/>
      <c r="BJ290" s="179"/>
      <c r="BK290" s="179"/>
      <c r="BL290" s="179"/>
      <c r="BM290" s="179"/>
      <c r="BN290" s="179"/>
      <c r="BO290" s="179"/>
      <c r="BP290" s="179"/>
      <c r="BQ290" s="179"/>
      <c r="BR290" s="179"/>
      <c r="BS290" s="179"/>
      <c r="BT290" s="179"/>
      <c r="BU290" s="179"/>
      <c r="BV290" s="179"/>
      <c r="BW290" s="179"/>
      <c r="BX290" s="179"/>
      <c r="BY290" s="179"/>
      <c r="BZ290" s="179"/>
      <c r="CA290" s="179"/>
      <c r="CB290" s="179"/>
      <c r="CC290" s="179"/>
      <c r="CD290" s="179"/>
      <c r="CE290" s="179"/>
      <c r="CF290" s="179"/>
      <c r="CG290" s="179"/>
      <c r="CH290" s="179"/>
      <c r="CI290" s="179"/>
      <c r="CJ290" s="179"/>
      <c r="CK290" s="179"/>
      <c r="CL290" s="179"/>
      <c r="CM290" s="179"/>
      <c r="CN290" s="179"/>
      <c r="CO290" s="179"/>
      <c r="CP290" s="179"/>
      <c r="CQ290" s="179"/>
      <c r="CR290" s="179"/>
      <c r="CS290" s="179"/>
      <c r="CT290" s="179"/>
      <c r="CU290" s="179"/>
      <c r="CV290" s="179"/>
      <c r="CW290" s="179"/>
    </row>
    <row r="291" spans="1:101" x14ac:dyDescent="0.2">
      <c r="A291" s="32" t="str">
        <f t="shared" ca="1" si="4"/>
        <v>2026-01-18</v>
      </c>
      <c r="B291" s="179">
        <f ca="1">IF(ISNUMBER(MATCH(DATEVALUE($A291),'changes1_based on steps'!B$1:B$400,0)),B$2,)</f>
        <v>0</v>
      </c>
      <c r="C291" s="179">
        <f ca="1">IF(ISNUMBER(MATCH(DATEVALUE($A291),'changes1_based on steps'!C$1:C$400,0)),C$2,)</f>
        <v>0</v>
      </c>
      <c r="D291" s="179">
        <f ca="1">IF(ISNUMBER(MATCH(DATEVALUE($A291),'changes1_based on steps'!D$1:D$400,0)),D$2,)</f>
        <v>0</v>
      </c>
      <c r="E291" s="179">
        <f ca="1">IF(ISNUMBER(MATCH(DATEVALUE($A291),'changes1_based on steps'!E$1:E$400,0)),E$2,)</f>
        <v>0</v>
      </c>
      <c r="F291" s="179">
        <f ca="1">IF(ISNUMBER(MATCH(DATEVALUE($A291),'changes1_based on steps'!F$1:F$400,0)),F$2,)</f>
        <v>0</v>
      </c>
      <c r="G291" s="179">
        <f ca="1">IF(ISNUMBER(MATCH(DATEVALUE($A291),'changes1_based on steps'!G$1:G$400,0)),G$2,)</f>
        <v>0</v>
      </c>
      <c r="H291" s="179">
        <f ca="1">IF(ISNUMBER(MATCH(DATEVALUE($A291),'changes1_based on steps'!H$1:H$400,0)),H$2,)</f>
        <v>0</v>
      </c>
      <c r="I291" s="179">
        <f ca="1">IF(ISNUMBER(MATCH(DATEVALUE($A291),'changes1_based on steps'!I$1:I$400,0)),I$2,)</f>
        <v>0</v>
      </c>
      <c r="J291" s="179">
        <f ca="1">IF(ISNUMBER(MATCH(DATEVALUE($A291),'changes1_based on steps'!J$1:J$400,0)),J$2,)</f>
        <v>0</v>
      </c>
      <c r="K291" s="179">
        <f ca="1">IF(ISNUMBER(MATCH(DATEVALUE($A291),'changes1_based on steps'!K$1:K$400,0)),K$2,)</f>
        <v>0</v>
      </c>
      <c r="L291" s="179">
        <f ca="1">IF(ISNUMBER(MATCH(DATEVALUE($A291),'changes1_based on steps'!L$1:L$400,0)),L$2,)</f>
        <v>0</v>
      </c>
      <c r="M291" s="179">
        <f ca="1">IF(ISNUMBER(MATCH(DATEVALUE($A291),'changes1_based on steps'!M$1:M$400,0)),M$2,)</f>
        <v>0</v>
      </c>
      <c r="N291" s="179">
        <f ca="1">IF(ISNUMBER(MATCH(DATEVALUE($A291),'changes1_based on steps'!N$1:N$400,0)),N$2,)</f>
        <v>0</v>
      </c>
      <c r="O291" s="179">
        <f ca="1">IF(ISNUMBER(MATCH(DATEVALUE($A291),'changes1_based on steps'!O$1:O$400,0)),O$2,)</f>
        <v>0</v>
      </c>
      <c r="P291" s="179">
        <f ca="1">IF(ISNUMBER(MATCH(DATEVALUE($A291),'changes1_based on steps'!P$1:P$400,0)),P$2,)</f>
        <v>0</v>
      </c>
      <c r="Q291" s="179">
        <f ca="1">IF(ISNUMBER(MATCH(DATEVALUE($A291),'changes1_based on steps'!Q$1:Q$400,0)),Q$2,)</f>
        <v>0</v>
      </c>
      <c r="R291" s="179">
        <f ca="1">IF(ISNUMBER(MATCH(DATEVALUE($A291),'changes1_based on steps'!R$1:R$400,0)),R$2,)</f>
        <v>0</v>
      </c>
      <c r="S291" s="179">
        <f ca="1">IF(ISNUMBER(MATCH(DATEVALUE($A291),'changes1_based on steps'!S$1:S$400,0)),S$2,)</f>
        <v>0</v>
      </c>
      <c r="T291" s="179">
        <f ca="1">IF(ISNUMBER(MATCH(DATEVALUE($A291),'changes1_based on steps'!T$1:T$400,0)),T$2,)</f>
        <v>0</v>
      </c>
      <c r="U291" s="179">
        <f ca="1">IF(ISNUMBER(MATCH(DATEVALUE($A291),'changes1_based on steps'!U$1:U$400,0)),U$2,)</f>
        <v>0</v>
      </c>
      <c r="V291" s="179"/>
      <c r="W291" s="179"/>
      <c r="X291" s="179"/>
      <c r="Y291" s="179"/>
      <c r="Z291" s="179"/>
      <c r="AA291" s="179"/>
      <c r="AB291" s="179"/>
      <c r="AC291" s="179"/>
      <c r="AD291" s="179"/>
      <c r="AE291" s="179"/>
      <c r="AF291" s="179"/>
      <c r="AG291" s="179"/>
      <c r="AH291" s="179"/>
      <c r="AI291" s="179"/>
      <c r="AJ291" s="179"/>
      <c r="AK291" s="179"/>
      <c r="AL291" s="179"/>
      <c r="AM291" s="179"/>
      <c r="AN291" s="179"/>
      <c r="AO291" s="179"/>
      <c r="AP291" s="179"/>
      <c r="AQ291" s="179"/>
      <c r="AR291" s="179"/>
      <c r="AS291" s="179"/>
      <c r="AT291" s="179"/>
      <c r="AU291" s="179"/>
      <c r="AV291" s="179"/>
      <c r="AW291" s="179"/>
      <c r="AX291" s="179"/>
      <c r="AY291" s="179"/>
      <c r="AZ291" s="179"/>
      <c r="BA291" s="179"/>
      <c r="BB291" s="179"/>
      <c r="BC291" s="179"/>
      <c r="BD291" s="179"/>
      <c r="BE291" s="179"/>
      <c r="BF291" s="179"/>
      <c r="BG291" s="179"/>
      <c r="BH291" s="179"/>
      <c r="BI291" s="179"/>
      <c r="BJ291" s="179"/>
      <c r="BK291" s="179"/>
      <c r="BL291" s="179"/>
      <c r="BM291" s="179"/>
      <c r="BN291" s="179"/>
      <c r="BO291" s="179"/>
      <c r="BP291" s="179"/>
      <c r="BQ291" s="179"/>
      <c r="BR291" s="179"/>
      <c r="BS291" s="179"/>
      <c r="BT291" s="179"/>
      <c r="BU291" s="179"/>
      <c r="BV291" s="179"/>
      <c r="BW291" s="179"/>
      <c r="BX291" s="179"/>
      <c r="BY291" s="179"/>
      <c r="BZ291" s="179"/>
      <c r="CA291" s="179"/>
      <c r="CB291" s="179"/>
      <c r="CC291" s="179"/>
      <c r="CD291" s="179"/>
      <c r="CE291" s="179"/>
      <c r="CF291" s="179"/>
      <c r="CG291" s="179"/>
      <c r="CH291" s="179"/>
      <c r="CI291" s="179"/>
      <c r="CJ291" s="179"/>
      <c r="CK291" s="179"/>
      <c r="CL291" s="179"/>
      <c r="CM291" s="179"/>
      <c r="CN291" s="179"/>
      <c r="CO291" s="179"/>
      <c r="CP291" s="179"/>
      <c r="CQ291" s="179"/>
      <c r="CR291" s="179"/>
      <c r="CS291" s="179"/>
      <c r="CT291" s="179"/>
      <c r="CU291" s="179"/>
      <c r="CV291" s="179"/>
      <c r="CW291" s="179"/>
    </row>
    <row r="292" spans="1:101" x14ac:dyDescent="0.2">
      <c r="A292" s="32" t="str">
        <f t="shared" ca="1" si="4"/>
        <v>2026-01-19</v>
      </c>
      <c r="B292" s="179">
        <f ca="1">IF(ISNUMBER(MATCH(DATEVALUE($A292),'changes1_based on steps'!B$1:B$400,0)),B$2,)</f>
        <v>0</v>
      </c>
      <c r="C292" s="179">
        <f ca="1">IF(ISNUMBER(MATCH(DATEVALUE($A292),'changes1_based on steps'!C$1:C$400,0)),C$2,)</f>
        <v>0</v>
      </c>
      <c r="D292" s="179">
        <f ca="1">IF(ISNUMBER(MATCH(DATEVALUE($A292),'changes1_based on steps'!D$1:D$400,0)),D$2,)</f>
        <v>0</v>
      </c>
      <c r="E292" s="179">
        <f ca="1">IF(ISNUMBER(MATCH(DATEVALUE($A292),'changes1_based on steps'!E$1:E$400,0)),E$2,)</f>
        <v>0</v>
      </c>
      <c r="F292" s="179">
        <f ca="1">IF(ISNUMBER(MATCH(DATEVALUE($A292),'changes1_based on steps'!F$1:F$400,0)),F$2,)</f>
        <v>0</v>
      </c>
      <c r="G292" s="179">
        <f ca="1">IF(ISNUMBER(MATCH(DATEVALUE($A292),'changes1_based on steps'!G$1:G$400,0)),G$2,)</f>
        <v>0</v>
      </c>
      <c r="H292" s="179">
        <f ca="1">IF(ISNUMBER(MATCH(DATEVALUE($A292),'changes1_based on steps'!H$1:H$400,0)),H$2,)</f>
        <v>0</v>
      </c>
      <c r="I292" s="179">
        <f ca="1">IF(ISNUMBER(MATCH(DATEVALUE($A292),'changes1_based on steps'!I$1:I$400,0)),I$2,)</f>
        <v>0</v>
      </c>
      <c r="J292" s="179">
        <f ca="1">IF(ISNUMBER(MATCH(DATEVALUE($A292),'changes1_based on steps'!J$1:J$400,0)),J$2,)</f>
        <v>0</v>
      </c>
      <c r="K292" s="179">
        <f ca="1">IF(ISNUMBER(MATCH(DATEVALUE($A292),'changes1_based on steps'!K$1:K$400,0)),K$2,)</f>
        <v>0</v>
      </c>
      <c r="L292" s="179">
        <f ca="1">IF(ISNUMBER(MATCH(DATEVALUE($A292),'changes1_based on steps'!L$1:L$400,0)),L$2,)</f>
        <v>0</v>
      </c>
      <c r="M292" s="179">
        <f ca="1">IF(ISNUMBER(MATCH(DATEVALUE($A292),'changes1_based on steps'!M$1:M$400,0)),M$2,)</f>
        <v>0</v>
      </c>
      <c r="N292" s="179">
        <f ca="1">IF(ISNUMBER(MATCH(DATEVALUE($A292),'changes1_based on steps'!N$1:N$400,0)),N$2,)</f>
        <v>0</v>
      </c>
      <c r="O292" s="179">
        <f ca="1">IF(ISNUMBER(MATCH(DATEVALUE($A292),'changes1_based on steps'!O$1:O$400,0)),O$2,)</f>
        <v>0</v>
      </c>
      <c r="P292" s="179">
        <f ca="1">IF(ISNUMBER(MATCH(DATEVALUE($A292),'changes1_based on steps'!P$1:P$400,0)),P$2,)</f>
        <v>0</v>
      </c>
      <c r="Q292" s="179">
        <f ca="1">IF(ISNUMBER(MATCH(DATEVALUE($A292),'changes1_based on steps'!Q$1:Q$400,0)),Q$2,)</f>
        <v>0</v>
      </c>
      <c r="R292" s="179">
        <f ca="1">IF(ISNUMBER(MATCH(DATEVALUE($A292),'changes1_based on steps'!R$1:R$400,0)),R$2,)</f>
        <v>0</v>
      </c>
      <c r="S292" s="179">
        <f ca="1">IF(ISNUMBER(MATCH(DATEVALUE($A292),'changes1_based on steps'!S$1:S$400,0)),S$2,)</f>
        <v>0</v>
      </c>
      <c r="T292" s="179">
        <f ca="1">IF(ISNUMBER(MATCH(DATEVALUE($A292),'changes1_based on steps'!T$1:T$400,0)),T$2,)</f>
        <v>0</v>
      </c>
      <c r="U292" s="179">
        <f ca="1">IF(ISNUMBER(MATCH(DATEVALUE($A292),'changes1_based on steps'!U$1:U$400,0)),U$2,)</f>
        <v>0</v>
      </c>
      <c r="V292" s="179"/>
      <c r="W292" s="179"/>
      <c r="X292" s="179"/>
      <c r="Y292" s="179"/>
      <c r="Z292" s="179"/>
      <c r="AA292" s="179"/>
      <c r="AB292" s="179"/>
      <c r="AC292" s="179"/>
      <c r="AD292" s="179"/>
      <c r="AE292" s="179"/>
      <c r="AF292" s="179"/>
      <c r="AG292" s="179"/>
      <c r="AH292" s="179"/>
      <c r="AI292" s="179"/>
      <c r="AJ292" s="179"/>
      <c r="AK292" s="179"/>
      <c r="AL292" s="179"/>
      <c r="AM292" s="179"/>
      <c r="AN292" s="179"/>
      <c r="AO292" s="179"/>
      <c r="AP292" s="179"/>
      <c r="AQ292" s="179"/>
      <c r="AR292" s="179"/>
      <c r="AS292" s="179"/>
      <c r="AT292" s="179"/>
      <c r="AU292" s="179"/>
      <c r="AV292" s="179"/>
      <c r="AW292" s="179"/>
      <c r="AX292" s="179"/>
      <c r="AY292" s="179"/>
      <c r="AZ292" s="179"/>
      <c r="BA292" s="179"/>
      <c r="BB292" s="179"/>
      <c r="BC292" s="179"/>
      <c r="BD292" s="179"/>
      <c r="BE292" s="179"/>
      <c r="BF292" s="179"/>
      <c r="BG292" s="179"/>
      <c r="BH292" s="179"/>
      <c r="BI292" s="179"/>
      <c r="BJ292" s="179"/>
      <c r="BK292" s="179"/>
      <c r="BL292" s="179"/>
      <c r="BM292" s="179"/>
      <c r="BN292" s="179"/>
      <c r="BO292" s="179"/>
      <c r="BP292" s="179"/>
      <c r="BQ292" s="179"/>
      <c r="BR292" s="179"/>
      <c r="BS292" s="179"/>
      <c r="BT292" s="179"/>
      <c r="BU292" s="179"/>
      <c r="BV292" s="179"/>
      <c r="BW292" s="179"/>
      <c r="BX292" s="179"/>
      <c r="BY292" s="179"/>
      <c r="BZ292" s="179"/>
      <c r="CA292" s="179"/>
      <c r="CB292" s="179"/>
      <c r="CC292" s="179"/>
      <c r="CD292" s="179"/>
      <c r="CE292" s="179"/>
      <c r="CF292" s="179"/>
      <c r="CG292" s="179"/>
      <c r="CH292" s="179"/>
      <c r="CI292" s="179"/>
      <c r="CJ292" s="179"/>
      <c r="CK292" s="179"/>
      <c r="CL292" s="179"/>
      <c r="CM292" s="179"/>
      <c r="CN292" s="179"/>
      <c r="CO292" s="179"/>
      <c r="CP292" s="179"/>
      <c r="CQ292" s="179"/>
      <c r="CR292" s="179"/>
      <c r="CS292" s="179"/>
      <c r="CT292" s="179"/>
      <c r="CU292" s="179"/>
      <c r="CV292" s="179"/>
      <c r="CW292" s="179"/>
    </row>
    <row r="293" spans="1:101" x14ac:dyDescent="0.2">
      <c r="A293" s="32" t="str">
        <f t="shared" ca="1" si="4"/>
        <v>2026-01-20</v>
      </c>
      <c r="B293" s="179">
        <f ca="1">IF(ISNUMBER(MATCH(DATEVALUE($A293),'changes1_based on steps'!B$1:B$400,0)),B$2,)</f>
        <v>0</v>
      </c>
      <c r="C293" s="179">
        <f ca="1">IF(ISNUMBER(MATCH(DATEVALUE($A293),'changes1_based on steps'!C$1:C$400,0)),C$2,)</f>
        <v>0</v>
      </c>
      <c r="D293" s="179">
        <f ca="1">IF(ISNUMBER(MATCH(DATEVALUE($A293),'changes1_based on steps'!D$1:D$400,0)),D$2,)</f>
        <v>0</v>
      </c>
      <c r="E293" s="179">
        <f ca="1">IF(ISNUMBER(MATCH(DATEVALUE($A293),'changes1_based on steps'!E$1:E$400,0)),E$2,)</f>
        <v>0</v>
      </c>
      <c r="F293" s="179">
        <f ca="1">IF(ISNUMBER(MATCH(DATEVALUE($A293),'changes1_based on steps'!F$1:F$400,0)),F$2,)</f>
        <v>0</v>
      </c>
      <c r="G293" s="179">
        <f ca="1">IF(ISNUMBER(MATCH(DATEVALUE($A293),'changes1_based on steps'!G$1:G$400,0)),G$2,)</f>
        <v>0</v>
      </c>
      <c r="H293" s="179">
        <f ca="1">IF(ISNUMBER(MATCH(DATEVALUE($A293),'changes1_based on steps'!H$1:H$400,0)),H$2,)</f>
        <v>0</v>
      </c>
      <c r="I293" s="179">
        <f ca="1">IF(ISNUMBER(MATCH(DATEVALUE($A293),'changes1_based on steps'!I$1:I$400,0)),I$2,)</f>
        <v>0</v>
      </c>
      <c r="J293" s="179">
        <f ca="1">IF(ISNUMBER(MATCH(DATEVALUE($A293),'changes1_based on steps'!J$1:J$400,0)),J$2,)</f>
        <v>0</v>
      </c>
      <c r="K293" s="179">
        <f ca="1">IF(ISNUMBER(MATCH(DATEVALUE($A293),'changes1_based on steps'!K$1:K$400,0)),K$2,)</f>
        <v>0</v>
      </c>
      <c r="L293" s="179">
        <f ca="1">IF(ISNUMBER(MATCH(DATEVALUE($A293),'changes1_based on steps'!L$1:L$400,0)),L$2,)</f>
        <v>0</v>
      </c>
      <c r="M293" s="179">
        <f ca="1">IF(ISNUMBER(MATCH(DATEVALUE($A293),'changes1_based on steps'!M$1:M$400,0)),M$2,)</f>
        <v>0</v>
      </c>
      <c r="N293" s="179">
        <f ca="1">IF(ISNUMBER(MATCH(DATEVALUE($A293),'changes1_based on steps'!N$1:N$400,0)),N$2,)</f>
        <v>0</v>
      </c>
      <c r="O293" s="179">
        <f ca="1">IF(ISNUMBER(MATCH(DATEVALUE($A293),'changes1_based on steps'!O$1:O$400,0)),O$2,)</f>
        <v>0</v>
      </c>
      <c r="P293" s="179">
        <f ca="1">IF(ISNUMBER(MATCH(DATEVALUE($A293),'changes1_based on steps'!P$1:P$400,0)),P$2,)</f>
        <v>0</v>
      </c>
      <c r="Q293" s="179">
        <f ca="1">IF(ISNUMBER(MATCH(DATEVALUE($A293),'changes1_based on steps'!Q$1:Q$400,0)),Q$2,)</f>
        <v>0</v>
      </c>
      <c r="R293" s="179">
        <f ca="1">IF(ISNUMBER(MATCH(DATEVALUE($A293),'changes1_based on steps'!R$1:R$400,0)),R$2,)</f>
        <v>0</v>
      </c>
      <c r="S293" s="179">
        <f ca="1">IF(ISNUMBER(MATCH(DATEVALUE($A293),'changes1_based on steps'!S$1:S$400,0)),S$2,)</f>
        <v>0</v>
      </c>
      <c r="T293" s="179">
        <f ca="1">IF(ISNUMBER(MATCH(DATEVALUE($A293),'changes1_based on steps'!T$1:T$400,0)),T$2,)</f>
        <v>0</v>
      </c>
      <c r="U293" s="179">
        <f ca="1">IF(ISNUMBER(MATCH(DATEVALUE($A293),'changes1_based on steps'!U$1:U$400,0)),U$2,)</f>
        <v>0</v>
      </c>
      <c r="V293" s="179"/>
      <c r="W293" s="179"/>
      <c r="X293" s="179"/>
      <c r="Y293" s="179"/>
      <c r="Z293" s="179"/>
      <c r="AA293" s="179"/>
      <c r="AB293" s="179"/>
      <c r="AC293" s="179"/>
      <c r="AD293" s="179"/>
      <c r="AE293" s="179"/>
      <c r="AF293" s="179"/>
      <c r="AG293" s="179"/>
      <c r="AH293" s="179"/>
      <c r="AI293" s="179"/>
      <c r="AJ293" s="179"/>
      <c r="AK293" s="179"/>
      <c r="AL293" s="179"/>
      <c r="AM293" s="179"/>
      <c r="AN293" s="179"/>
      <c r="AO293" s="179"/>
      <c r="AP293" s="179"/>
      <c r="AQ293" s="179"/>
      <c r="AR293" s="179"/>
      <c r="AS293" s="179"/>
      <c r="AT293" s="179"/>
      <c r="AU293" s="179"/>
      <c r="AV293" s="179"/>
      <c r="AW293" s="179"/>
      <c r="AX293" s="179"/>
      <c r="AY293" s="179"/>
      <c r="AZ293" s="179"/>
      <c r="BA293" s="179"/>
      <c r="BB293" s="179"/>
      <c r="BC293" s="179"/>
      <c r="BD293" s="179"/>
      <c r="BE293" s="179"/>
      <c r="BF293" s="179"/>
      <c r="BG293" s="179"/>
      <c r="BH293" s="179"/>
      <c r="BI293" s="179"/>
      <c r="BJ293" s="179"/>
      <c r="BK293" s="179"/>
      <c r="BL293" s="179"/>
      <c r="BM293" s="179"/>
      <c r="BN293" s="179"/>
      <c r="BO293" s="179"/>
      <c r="BP293" s="179"/>
      <c r="BQ293" s="179"/>
      <c r="BR293" s="179"/>
      <c r="BS293" s="179"/>
      <c r="BT293" s="179"/>
      <c r="BU293" s="179"/>
      <c r="BV293" s="179"/>
      <c r="BW293" s="179"/>
      <c r="BX293" s="179"/>
      <c r="BY293" s="179"/>
      <c r="BZ293" s="179"/>
      <c r="CA293" s="179"/>
      <c r="CB293" s="179"/>
      <c r="CC293" s="179"/>
      <c r="CD293" s="179"/>
      <c r="CE293" s="179"/>
      <c r="CF293" s="179"/>
      <c r="CG293" s="179"/>
      <c r="CH293" s="179"/>
      <c r="CI293" s="179"/>
      <c r="CJ293" s="179"/>
      <c r="CK293" s="179"/>
      <c r="CL293" s="179"/>
      <c r="CM293" s="179"/>
      <c r="CN293" s="179"/>
      <c r="CO293" s="179"/>
      <c r="CP293" s="179"/>
      <c r="CQ293" s="179"/>
      <c r="CR293" s="179"/>
      <c r="CS293" s="179"/>
      <c r="CT293" s="179"/>
      <c r="CU293" s="179"/>
      <c r="CV293" s="179"/>
      <c r="CW293" s="179"/>
    </row>
    <row r="294" spans="1:101" x14ac:dyDescent="0.2">
      <c r="A294" s="32" t="str">
        <f t="shared" ca="1" si="4"/>
        <v>2026-01-21</v>
      </c>
      <c r="B294" s="179">
        <f ca="1">IF(ISNUMBER(MATCH(DATEVALUE($A294),'changes1_based on steps'!B$1:B$400,0)),B$2,)</f>
        <v>0</v>
      </c>
      <c r="C294" s="179">
        <f ca="1">IF(ISNUMBER(MATCH(DATEVALUE($A294),'changes1_based on steps'!C$1:C$400,0)),C$2,)</f>
        <v>0</v>
      </c>
      <c r="D294" s="179">
        <f ca="1">IF(ISNUMBER(MATCH(DATEVALUE($A294),'changes1_based on steps'!D$1:D$400,0)),D$2,)</f>
        <v>0</v>
      </c>
      <c r="E294" s="179">
        <f ca="1">IF(ISNUMBER(MATCH(DATEVALUE($A294),'changes1_based on steps'!E$1:E$400,0)),E$2,)</f>
        <v>0</v>
      </c>
      <c r="F294" s="179">
        <f ca="1">IF(ISNUMBER(MATCH(DATEVALUE($A294),'changes1_based on steps'!F$1:F$400,0)),F$2,)</f>
        <v>0</v>
      </c>
      <c r="G294" s="179">
        <f ca="1">IF(ISNUMBER(MATCH(DATEVALUE($A294),'changes1_based on steps'!G$1:G$400,0)),G$2,)</f>
        <v>0</v>
      </c>
      <c r="H294" s="179">
        <f ca="1">IF(ISNUMBER(MATCH(DATEVALUE($A294),'changes1_based on steps'!H$1:H$400,0)),H$2,)</f>
        <v>0</v>
      </c>
      <c r="I294" s="179">
        <f ca="1">IF(ISNUMBER(MATCH(DATEVALUE($A294),'changes1_based on steps'!I$1:I$400,0)),I$2,)</f>
        <v>0</v>
      </c>
      <c r="J294" s="179">
        <f ca="1">IF(ISNUMBER(MATCH(DATEVALUE($A294),'changes1_based on steps'!J$1:J$400,0)),J$2,)</f>
        <v>0</v>
      </c>
      <c r="K294" s="179">
        <f ca="1">IF(ISNUMBER(MATCH(DATEVALUE($A294),'changes1_based on steps'!K$1:K$400,0)),K$2,)</f>
        <v>0</v>
      </c>
      <c r="L294" s="179">
        <f ca="1">IF(ISNUMBER(MATCH(DATEVALUE($A294),'changes1_based on steps'!L$1:L$400,0)),L$2,)</f>
        <v>0</v>
      </c>
      <c r="M294" s="179">
        <f ca="1">IF(ISNUMBER(MATCH(DATEVALUE($A294),'changes1_based on steps'!M$1:M$400,0)),M$2,)</f>
        <v>0</v>
      </c>
      <c r="N294" s="179">
        <f ca="1">IF(ISNUMBER(MATCH(DATEVALUE($A294),'changes1_based on steps'!N$1:N$400,0)),N$2,)</f>
        <v>0</v>
      </c>
      <c r="O294" s="179">
        <f ca="1">IF(ISNUMBER(MATCH(DATEVALUE($A294),'changes1_based on steps'!O$1:O$400,0)),O$2,)</f>
        <v>0</v>
      </c>
      <c r="P294" s="179">
        <f ca="1">IF(ISNUMBER(MATCH(DATEVALUE($A294),'changes1_based on steps'!P$1:P$400,0)),P$2,)</f>
        <v>0</v>
      </c>
      <c r="Q294" s="179">
        <f ca="1">IF(ISNUMBER(MATCH(DATEVALUE($A294),'changes1_based on steps'!Q$1:Q$400,0)),Q$2,)</f>
        <v>0</v>
      </c>
      <c r="R294" s="179">
        <f ca="1">IF(ISNUMBER(MATCH(DATEVALUE($A294),'changes1_based on steps'!R$1:R$400,0)),R$2,)</f>
        <v>0</v>
      </c>
      <c r="S294" s="179">
        <f ca="1">IF(ISNUMBER(MATCH(DATEVALUE($A294),'changes1_based on steps'!S$1:S$400,0)),S$2,)</f>
        <v>0</v>
      </c>
      <c r="T294" s="179">
        <f ca="1">IF(ISNUMBER(MATCH(DATEVALUE($A294),'changes1_based on steps'!T$1:T$400,0)),T$2,)</f>
        <v>0</v>
      </c>
      <c r="U294" s="179">
        <f ca="1">IF(ISNUMBER(MATCH(DATEVALUE($A294),'changes1_based on steps'!U$1:U$400,0)),U$2,)</f>
        <v>0</v>
      </c>
      <c r="V294" s="179"/>
      <c r="W294" s="179"/>
      <c r="X294" s="179"/>
      <c r="Y294" s="179"/>
      <c r="Z294" s="179"/>
      <c r="AA294" s="179"/>
      <c r="AB294" s="179"/>
      <c r="AC294" s="179"/>
      <c r="AD294" s="179"/>
      <c r="AE294" s="179"/>
      <c r="AF294" s="179"/>
      <c r="AG294" s="179"/>
      <c r="AH294" s="179"/>
      <c r="AI294" s="179"/>
      <c r="AJ294" s="179"/>
      <c r="AK294" s="179"/>
      <c r="AL294" s="179"/>
      <c r="AM294" s="179"/>
      <c r="AN294" s="179"/>
      <c r="AO294" s="179"/>
      <c r="AP294" s="179"/>
      <c r="AQ294" s="179"/>
      <c r="AR294" s="179"/>
      <c r="AS294" s="179"/>
      <c r="AT294" s="179"/>
      <c r="AU294" s="179"/>
      <c r="AV294" s="179"/>
      <c r="AW294" s="179"/>
      <c r="AX294" s="179"/>
      <c r="AY294" s="179"/>
      <c r="AZ294" s="179"/>
      <c r="BA294" s="179"/>
      <c r="BB294" s="179"/>
      <c r="BC294" s="179"/>
      <c r="BD294" s="179"/>
      <c r="BE294" s="179"/>
      <c r="BF294" s="179"/>
      <c r="BG294" s="179"/>
      <c r="BH294" s="179"/>
      <c r="BI294" s="179"/>
      <c r="BJ294" s="179"/>
      <c r="BK294" s="179"/>
      <c r="BL294" s="179"/>
      <c r="BM294" s="179"/>
      <c r="BN294" s="179"/>
      <c r="BO294" s="179"/>
      <c r="BP294" s="179"/>
      <c r="BQ294" s="179"/>
      <c r="BR294" s="179"/>
      <c r="BS294" s="179"/>
      <c r="BT294" s="179"/>
      <c r="BU294" s="179"/>
      <c r="BV294" s="179"/>
      <c r="BW294" s="179"/>
      <c r="BX294" s="179"/>
      <c r="BY294" s="179"/>
      <c r="BZ294" s="179"/>
      <c r="CA294" s="179"/>
      <c r="CB294" s="179"/>
      <c r="CC294" s="179"/>
      <c r="CD294" s="179"/>
      <c r="CE294" s="179"/>
      <c r="CF294" s="179"/>
      <c r="CG294" s="179"/>
      <c r="CH294" s="179"/>
      <c r="CI294" s="179"/>
      <c r="CJ294" s="179"/>
      <c r="CK294" s="179"/>
      <c r="CL294" s="179"/>
      <c r="CM294" s="179"/>
      <c r="CN294" s="179"/>
      <c r="CO294" s="179"/>
      <c r="CP294" s="179"/>
      <c r="CQ294" s="179"/>
      <c r="CR294" s="179"/>
      <c r="CS294" s="179"/>
      <c r="CT294" s="179"/>
      <c r="CU294" s="179"/>
      <c r="CV294" s="179"/>
      <c r="CW294" s="179"/>
    </row>
    <row r="295" spans="1:101" x14ac:dyDescent="0.2">
      <c r="A295" s="32" t="str">
        <f t="shared" ca="1" si="4"/>
        <v>2026-01-22</v>
      </c>
      <c r="B295" s="179">
        <f ca="1">IF(ISNUMBER(MATCH(DATEVALUE($A295),'changes1_based on steps'!B$1:B$400,0)),B$2,)</f>
        <v>0</v>
      </c>
      <c r="C295" s="179">
        <f ca="1">IF(ISNUMBER(MATCH(DATEVALUE($A295),'changes1_based on steps'!C$1:C$400,0)),C$2,)</f>
        <v>0</v>
      </c>
      <c r="D295" s="179">
        <f ca="1">IF(ISNUMBER(MATCH(DATEVALUE($A295),'changes1_based on steps'!D$1:D$400,0)),D$2,)</f>
        <v>0</v>
      </c>
      <c r="E295" s="179">
        <f ca="1">IF(ISNUMBER(MATCH(DATEVALUE($A295),'changes1_based on steps'!E$1:E$400,0)),E$2,)</f>
        <v>0</v>
      </c>
      <c r="F295" s="179">
        <f ca="1">IF(ISNUMBER(MATCH(DATEVALUE($A295),'changes1_based on steps'!F$1:F$400,0)),F$2,)</f>
        <v>0</v>
      </c>
      <c r="G295" s="179">
        <f ca="1">IF(ISNUMBER(MATCH(DATEVALUE($A295),'changes1_based on steps'!G$1:G$400,0)),G$2,)</f>
        <v>0</v>
      </c>
      <c r="H295" s="179">
        <f ca="1">IF(ISNUMBER(MATCH(DATEVALUE($A295),'changes1_based on steps'!H$1:H$400,0)),H$2,)</f>
        <v>0</v>
      </c>
      <c r="I295" s="179">
        <f ca="1">IF(ISNUMBER(MATCH(DATEVALUE($A295),'changes1_based on steps'!I$1:I$400,0)),I$2,)</f>
        <v>0</v>
      </c>
      <c r="J295" s="179">
        <f ca="1">IF(ISNUMBER(MATCH(DATEVALUE($A295),'changes1_based on steps'!J$1:J$400,0)),J$2,)</f>
        <v>0</v>
      </c>
      <c r="K295" s="179">
        <f ca="1">IF(ISNUMBER(MATCH(DATEVALUE($A295),'changes1_based on steps'!K$1:K$400,0)),K$2,)</f>
        <v>0</v>
      </c>
      <c r="L295" s="179">
        <f ca="1">IF(ISNUMBER(MATCH(DATEVALUE($A295),'changes1_based on steps'!L$1:L$400,0)),L$2,)</f>
        <v>0</v>
      </c>
      <c r="M295" s="179">
        <f ca="1">IF(ISNUMBER(MATCH(DATEVALUE($A295),'changes1_based on steps'!M$1:M$400,0)),M$2,)</f>
        <v>0</v>
      </c>
      <c r="N295" s="179">
        <f ca="1">IF(ISNUMBER(MATCH(DATEVALUE($A295),'changes1_based on steps'!N$1:N$400,0)),N$2,)</f>
        <v>0</v>
      </c>
      <c r="O295" s="179">
        <f ca="1">IF(ISNUMBER(MATCH(DATEVALUE($A295),'changes1_based on steps'!O$1:O$400,0)),O$2,)</f>
        <v>0</v>
      </c>
      <c r="P295" s="179">
        <f ca="1">IF(ISNUMBER(MATCH(DATEVALUE($A295),'changes1_based on steps'!P$1:P$400,0)),P$2,)</f>
        <v>0</v>
      </c>
      <c r="Q295" s="179">
        <f ca="1">IF(ISNUMBER(MATCH(DATEVALUE($A295),'changes1_based on steps'!Q$1:Q$400,0)),Q$2,)</f>
        <v>0</v>
      </c>
      <c r="R295" s="179">
        <f ca="1">IF(ISNUMBER(MATCH(DATEVALUE($A295),'changes1_based on steps'!R$1:R$400,0)),R$2,)</f>
        <v>0</v>
      </c>
      <c r="S295" s="179">
        <f ca="1">IF(ISNUMBER(MATCH(DATEVALUE($A295),'changes1_based on steps'!S$1:S$400,0)),S$2,)</f>
        <v>0</v>
      </c>
      <c r="T295" s="179">
        <f ca="1">IF(ISNUMBER(MATCH(DATEVALUE($A295),'changes1_based on steps'!T$1:T$400,0)),T$2,)</f>
        <v>0</v>
      </c>
      <c r="U295" s="179">
        <f ca="1">IF(ISNUMBER(MATCH(DATEVALUE($A295),'changes1_based on steps'!U$1:U$400,0)),U$2,)</f>
        <v>0</v>
      </c>
      <c r="V295" s="179"/>
      <c r="W295" s="179"/>
      <c r="X295" s="179"/>
      <c r="Y295" s="179"/>
      <c r="Z295" s="179"/>
      <c r="AA295" s="179"/>
      <c r="AB295" s="179"/>
      <c r="AC295" s="179"/>
      <c r="AD295" s="179"/>
      <c r="AE295" s="179"/>
      <c r="AF295" s="179"/>
      <c r="AG295" s="179"/>
      <c r="AH295" s="179"/>
      <c r="AI295" s="179"/>
      <c r="AJ295" s="179"/>
      <c r="AK295" s="179"/>
      <c r="AL295" s="179"/>
      <c r="AM295" s="179"/>
      <c r="AN295" s="179"/>
      <c r="AO295" s="179"/>
      <c r="AP295" s="179"/>
      <c r="AQ295" s="179"/>
      <c r="AR295" s="179"/>
      <c r="AS295" s="179"/>
      <c r="AT295" s="179"/>
      <c r="AU295" s="179"/>
      <c r="AV295" s="179"/>
      <c r="AW295" s="179"/>
      <c r="AX295" s="179"/>
      <c r="AY295" s="179"/>
      <c r="AZ295" s="179"/>
      <c r="BA295" s="179"/>
      <c r="BB295" s="179"/>
      <c r="BC295" s="179"/>
      <c r="BD295" s="179"/>
      <c r="BE295" s="179"/>
      <c r="BF295" s="179"/>
      <c r="BG295" s="179"/>
      <c r="BH295" s="179"/>
      <c r="BI295" s="179"/>
      <c r="BJ295" s="179"/>
      <c r="BK295" s="179"/>
      <c r="BL295" s="179"/>
      <c r="BM295" s="179"/>
      <c r="BN295" s="179"/>
      <c r="BO295" s="179"/>
      <c r="BP295" s="179"/>
      <c r="BQ295" s="179"/>
      <c r="BR295" s="179"/>
      <c r="BS295" s="179"/>
      <c r="BT295" s="179"/>
      <c r="BU295" s="179"/>
      <c r="BV295" s="179"/>
      <c r="BW295" s="179"/>
      <c r="BX295" s="179"/>
      <c r="BY295" s="179"/>
      <c r="BZ295" s="179"/>
      <c r="CA295" s="179"/>
      <c r="CB295" s="179"/>
      <c r="CC295" s="179"/>
      <c r="CD295" s="179"/>
      <c r="CE295" s="179"/>
      <c r="CF295" s="179"/>
      <c r="CG295" s="179"/>
      <c r="CH295" s="179"/>
      <c r="CI295" s="179"/>
      <c r="CJ295" s="179"/>
      <c r="CK295" s="179"/>
      <c r="CL295" s="179"/>
      <c r="CM295" s="179"/>
      <c r="CN295" s="179"/>
      <c r="CO295" s="179"/>
      <c r="CP295" s="179"/>
      <c r="CQ295" s="179"/>
      <c r="CR295" s="179"/>
      <c r="CS295" s="179"/>
      <c r="CT295" s="179"/>
      <c r="CU295" s="179"/>
      <c r="CV295" s="179"/>
      <c r="CW295" s="179"/>
    </row>
    <row r="296" spans="1:101" x14ac:dyDescent="0.2">
      <c r="A296" s="32" t="str">
        <f t="shared" ca="1" si="4"/>
        <v>2026-01-23</v>
      </c>
      <c r="B296" s="179">
        <f ca="1">IF(ISNUMBER(MATCH(DATEVALUE($A296),'changes1_based on steps'!B$1:B$400,0)),B$2,)</f>
        <v>0</v>
      </c>
      <c r="C296" s="179">
        <f ca="1">IF(ISNUMBER(MATCH(DATEVALUE($A296),'changes1_based on steps'!C$1:C$400,0)),C$2,)</f>
        <v>0</v>
      </c>
      <c r="D296" s="179">
        <f ca="1">IF(ISNUMBER(MATCH(DATEVALUE($A296),'changes1_based on steps'!D$1:D$400,0)),D$2,)</f>
        <v>0</v>
      </c>
      <c r="E296" s="179">
        <f ca="1">IF(ISNUMBER(MATCH(DATEVALUE($A296),'changes1_based on steps'!E$1:E$400,0)),E$2,)</f>
        <v>0</v>
      </c>
      <c r="F296" s="179">
        <f ca="1">IF(ISNUMBER(MATCH(DATEVALUE($A296),'changes1_based on steps'!F$1:F$400,0)),F$2,)</f>
        <v>0</v>
      </c>
      <c r="G296" s="179">
        <f ca="1">IF(ISNUMBER(MATCH(DATEVALUE($A296),'changes1_based on steps'!G$1:G$400,0)),G$2,)</f>
        <v>0</v>
      </c>
      <c r="H296" s="179">
        <f ca="1">IF(ISNUMBER(MATCH(DATEVALUE($A296),'changes1_based on steps'!H$1:H$400,0)),H$2,)</f>
        <v>0</v>
      </c>
      <c r="I296" s="179">
        <f ca="1">IF(ISNUMBER(MATCH(DATEVALUE($A296),'changes1_based on steps'!I$1:I$400,0)),I$2,)</f>
        <v>0</v>
      </c>
      <c r="J296" s="179">
        <f ca="1">IF(ISNUMBER(MATCH(DATEVALUE($A296),'changes1_based on steps'!J$1:J$400,0)),J$2,)</f>
        <v>0</v>
      </c>
      <c r="K296" s="179">
        <f ca="1">IF(ISNUMBER(MATCH(DATEVALUE($A296),'changes1_based on steps'!K$1:K$400,0)),K$2,)</f>
        <v>0</v>
      </c>
      <c r="L296" s="179">
        <f ca="1">IF(ISNUMBER(MATCH(DATEVALUE($A296),'changes1_based on steps'!L$1:L$400,0)),L$2,)</f>
        <v>0</v>
      </c>
      <c r="M296" s="179">
        <f ca="1">IF(ISNUMBER(MATCH(DATEVALUE($A296),'changes1_based on steps'!M$1:M$400,0)),M$2,)</f>
        <v>0</v>
      </c>
      <c r="N296" s="179">
        <f ca="1">IF(ISNUMBER(MATCH(DATEVALUE($A296),'changes1_based on steps'!N$1:N$400,0)),N$2,)</f>
        <v>0</v>
      </c>
      <c r="O296" s="179">
        <f ca="1">IF(ISNUMBER(MATCH(DATEVALUE($A296),'changes1_based on steps'!O$1:O$400,0)),O$2,)</f>
        <v>0</v>
      </c>
      <c r="P296" s="179">
        <f ca="1">IF(ISNUMBER(MATCH(DATEVALUE($A296),'changes1_based on steps'!P$1:P$400,0)),P$2,)</f>
        <v>0</v>
      </c>
      <c r="Q296" s="179">
        <f ca="1">IF(ISNUMBER(MATCH(DATEVALUE($A296),'changes1_based on steps'!Q$1:Q$400,0)),Q$2,)</f>
        <v>0</v>
      </c>
      <c r="R296" s="179">
        <f ca="1">IF(ISNUMBER(MATCH(DATEVALUE($A296),'changes1_based on steps'!R$1:R$400,0)),R$2,)</f>
        <v>0</v>
      </c>
      <c r="S296" s="179">
        <f ca="1">IF(ISNUMBER(MATCH(DATEVALUE($A296),'changes1_based on steps'!S$1:S$400,0)),S$2,)</f>
        <v>0</v>
      </c>
      <c r="T296" s="179">
        <f ca="1">IF(ISNUMBER(MATCH(DATEVALUE($A296),'changes1_based on steps'!T$1:T$400,0)),T$2,)</f>
        <v>0</v>
      </c>
      <c r="U296" s="179">
        <f ca="1">IF(ISNUMBER(MATCH(DATEVALUE($A296),'changes1_based on steps'!U$1:U$400,0)),U$2,)</f>
        <v>0</v>
      </c>
      <c r="V296" s="179"/>
      <c r="W296" s="179"/>
      <c r="X296" s="179"/>
      <c r="Y296" s="179"/>
      <c r="Z296" s="179"/>
      <c r="AA296" s="179"/>
      <c r="AB296" s="179"/>
      <c r="AC296" s="179"/>
      <c r="AD296" s="179"/>
      <c r="AE296" s="179"/>
      <c r="AF296" s="179"/>
      <c r="AG296" s="179"/>
      <c r="AH296" s="179"/>
      <c r="AI296" s="179"/>
      <c r="AJ296" s="179"/>
      <c r="AK296" s="179"/>
      <c r="AL296" s="179"/>
      <c r="AM296" s="179"/>
      <c r="AN296" s="179"/>
      <c r="AO296" s="179"/>
      <c r="AP296" s="179"/>
      <c r="AQ296" s="179"/>
      <c r="AR296" s="179"/>
      <c r="AS296" s="179"/>
      <c r="AT296" s="179"/>
      <c r="AU296" s="179"/>
      <c r="AV296" s="179"/>
      <c r="AW296" s="179"/>
      <c r="AX296" s="179"/>
      <c r="AY296" s="179"/>
      <c r="AZ296" s="179"/>
      <c r="BA296" s="179"/>
      <c r="BB296" s="179"/>
      <c r="BC296" s="179"/>
      <c r="BD296" s="179"/>
      <c r="BE296" s="179"/>
      <c r="BF296" s="179"/>
      <c r="BG296" s="179"/>
      <c r="BH296" s="179"/>
      <c r="BI296" s="179"/>
      <c r="BJ296" s="179"/>
      <c r="BK296" s="179"/>
      <c r="BL296" s="179"/>
      <c r="BM296" s="179"/>
      <c r="BN296" s="179"/>
      <c r="BO296" s="179"/>
      <c r="BP296" s="179"/>
      <c r="BQ296" s="179"/>
      <c r="BR296" s="179"/>
      <c r="BS296" s="179"/>
      <c r="BT296" s="179"/>
      <c r="BU296" s="179"/>
      <c r="BV296" s="179"/>
      <c r="BW296" s="179"/>
      <c r="BX296" s="179"/>
      <c r="BY296" s="179"/>
      <c r="BZ296" s="179"/>
      <c r="CA296" s="179"/>
      <c r="CB296" s="179"/>
      <c r="CC296" s="179"/>
      <c r="CD296" s="179"/>
      <c r="CE296" s="179"/>
      <c r="CF296" s="179"/>
      <c r="CG296" s="179"/>
      <c r="CH296" s="179"/>
      <c r="CI296" s="179"/>
      <c r="CJ296" s="179"/>
      <c r="CK296" s="179"/>
      <c r="CL296" s="179"/>
      <c r="CM296" s="179"/>
      <c r="CN296" s="179"/>
      <c r="CO296" s="179"/>
      <c r="CP296" s="179"/>
      <c r="CQ296" s="179"/>
      <c r="CR296" s="179"/>
      <c r="CS296" s="179"/>
      <c r="CT296" s="179"/>
      <c r="CU296" s="179"/>
      <c r="CV296" s="179"/>
      <c r="CW296" s="179"/>
    </row>
    <row r="297" spans="1:101" x14ac:dyDescent="0.2">
      <c r="A297" s="32" t="str">
        <f t="shared" ca="1" si="4"/>
        <v>2026-01-24</v>
      </c>
      <c r="B297" s="179">
        <f ca="1">IF(ISNUMBER(MATCH(DATEVALUE($A297),'changes1_based on steps'!B$1:B$400,0)),B$2,)</f>
        <v>0</v>
      </c>
      <c r="C297" s="179">
        <f ca="1">IF(ISNUMBER(MATCH(DATEVALUE($A297),'changes1_based on steps'!C$1:C$400,0)),C$2,)</f>
        <v>0</v>
      </c>
      <c r="D297" s="179">
        <f ca="1">IF(ISNUMBER(MATCH(DATEVALUE($A297),'changes1_based on steps'!D$1:D$400,0)),D$2,)</f>
        <v>0</v>
      </c>
      <c r="E297" s="179">
        <f ca="1">IF(ISNUMBER(MATCH(DATEVALUE($A297),'changes1_based on steps'!E$1:E$400,0)),E$2,)</f>
        <v>0</v>
      </c>
      <c r="F297" s="179">
        <f ca="1">IF(ISNUMBER(MATCH(DATEVALUE($A297),'changes1_based on steps'!F$1:F$400,0)),F$2,)</f>
        <v>0</v>
      </c>
      <c r="G297" s="179">
        <f ca="1">IF(ISNUMBER(MATCH(DATEVALUE($A297),'changes1_based on steps'!G$1:G$400,0)),G$2,)</f>
        <v>0</v>
      </c>
      <c r="H297" s="179">
        <f ca="1">IF(ISNUMBER(MATCH(DATEVALUE($A297),'changes1_based on steps'!H$1:H$400,0)),H$2,)</f>
        <v>0</v>
      </c>
      <c r="I297" s="179">
        <f ca="1">IF(ISNUMBER(MATCH(DATEVALUE($A297),'changes1_based on steps'!I$1:I$400,0)),I$2,)</f>
        <v>0</v>
      </c>
      <c r="J297" s="179">
        <f ca="1">IF(ISNUMBER(MATCH(DATEVALUE($A297),'changes1_based on steps'!J$1:J$400,0)),J$2,)</f>
        <v>0</v>
      </c>
      <c r="K297" s="179">
        <f ca="1">IF(ISNUMBER(MATCH(DATEVALUE($A297),'changes1_based on steps'!K$1:K$400,0)),K$2,)</f>
        <v>0</v>
      </c>
      <c r="L297" s="179">
        <f ca="1">IF(ISNUMBER(MATCH(DATEVALUE($A297),'changes1_based on steps'!L$1:L$400,0)),L$2,)</f>
        <v>0</v>
      </c>
      <c r="M297" s="179">
        <f ca="1">IF(ISNUMBER(MATCH(DATEVALUE($A297),'changes1_based on steps'!M$1:M$400,0)),M$2,)</f>
        <v>0</v>
      </c>
      <c r="N297" s="179">
        <f ca="1">IF(ISNUMBER(MATCH(DATEVALUE($A297),'changes1_based on steps'!N$1:N$400,0)),N$2,)</f>
        <v>0</v>
      </c>
      <c r="O297" s="179">
        <f ca="1">IF(ISNUMBER(MATCH(DATEVALUE($A297),'changes1_based on steps'!O$1:O$400,0)),O$2,)</f>
        <v>0</v>
      </c>
      <c r="P297" s="179">
        <f ca="1">IF(ISNUMBER(MATCH(DATEVALUE($A297),'changes1_based on steps'!P$1:P$400,0)),P$2,)</f>
        <v>0</v>
      </c>
      <c r="Q297" s="179">
        <f ca="1">IF(ISNUMBER(MATCH(DATEVALUE($A297),'changes1_based on steps'!Q$1:Q$400,0)),Q$2,)</f>
        <v>0</v>
      </c>
      <c r="R297" s="179">
        <f ca="1">IF(ISNUMBER(MATCH(DATEVALUE($A297),'changes1_based on steps'!R$1:R$400,0)),R$2,)</f>
        <v>0</v>
      </c>
      <c r="S297" s="179">
        <f ca="1">IF(ISNUMBER(MATCH(DATEVALUE($A297),'changes1_based on steps'!S$1:S$400,0)),S$2,)</f>
        <v>0</v>
      </c>
      <c r="T297" s="179">
        <f ca="1">IF(ISNUMBER(MATCH(DATEVALUE($A297),'changes1_based on steps'!T$1:T$400,0)),T$2,)</f>
        <v>0</v>
      </c>
      <c r="U297" s="179">
        <f ca="1">IF(ISNUMBER(MATCH(DATEVALUE($A297),'changes1_based on steps'!U$1:U$400,0)),U$2,)</f>
        <v>0</v>
      </c>
      <c r="V297" s="179"/>
      <c r="W297" s="179"/>
      <c r="X297" s="179"/>
      <c r="Y297" s="179"/>
      <c r="Z297" s="179"/>
      <c r="AA297" s="179"/>
      <c r="AB297" s="179"/>
      <c r="AC297" s="179"/>
      <c r="AD297" s="179"/>
      <c r="AE297" s="179"/>
      <c r="AF297" s="179"/>
      <c r="AG297" s="179"/>
      <c r="AH297" s="179"/>
      <c r="AI297" s="179"/>
      <c r="AJ297" s="179"/>
      <c r="AK297" s="179"/>
      <c r="AL297" s="179"/>
      <c r="AM297" s="179"/>
      <c r="AN297" s="179"/>
      <c r="AO297" s="179"/>
      <c r="AP297" s="179"/>
      <c r="AQ297" s="179"/>
      <c r="AR297" s="179"/>
      <c r="AS297" s="179"/>
      <c r="AT297" s="179"/>
      <c r="AU297" s="179"/>
      <c r="AV297" s="179"/>
      <c r="AW297" s="179"/>
      <c r="AX297" s="179"/>
      <c r="AY297" s="179"/>
      <c r="AZ297" s="179"/>
      <c r="BA297" s="179"/>
      <c r="BB297" s="179"/>
      <c r="BC297" s="179"/>
      <c r="BD297" s="179"/>
      <c r="BE297" s="179"/>
      <c r="BF297" s="179"/>
      <c r="BG297" s="179"/>
      <c r="BH297" s="179"/>
      <c r="BI297" s="179"/>
      <c r="BJ297" s="179"/>
      <c r="BK297" s="179"/>
      <c r="BL297" s="179"/>
      <c r="BM297" s="179"/>
      <c r="BN297" s="179"/>
      <c r="BO297" s="179"/>
      <c r="BP297" s="179"/>
      <c r="BQ297" s="179"/>
      <c r="BR297" s="179"/>
      <c r="BS297" s="179"/>
      <c r="BT297" s="179"/>
      <c r="BU297" s="179"/>
      <c r="BV297" s="179"/>
      <c r="BW297" s="179"/>
      <c r="BX297" s="179"/>
      <c r="BY297" s="179"/>
      <c r="BZ297" s="179"/>
      <c r="CA297" s="179"/>
      <c r="CB297" s="179"/>
      <c r="CC297" s="179"/>
      <c r="CD297" s="179"/>
      <c r="CE297" s="179"/>
      <c r="CF297" s="179"/>
      <c r="CG297" s="179"/>
      <c r="CH297" s="179"/>
      <c r="CI297" s="179"/>
      <c r="CJ297" s="179"/>
      <c r="CK297" s="179"/>
      <c r="CL297" s="179"/>
      <c r="CM297" s="179"/>
      <c r="CN297" s="179"/>
      <c r="CO297" s="179"/>
      <c r="CP297" s="179"/>
      <c r="CQ297" s="179"/>
      <c r="CR297" s="179"/>
      <c r="CS297" s="179"/>
      <c r="CT297" s="179"/>
      <c r="CU297" s="179"/>
      <c r="CV297" s="179"/>
      <c r="CW297" s="179"/>
    </row>
    <row r="298" spans="1:101" x14ac:dyDescent="0.2">
      <c r="A298" s="32" t="str">
        <f t="shared" ca="1" si="4"/>
        <v>2026-01-25</v>
      </c>
      <c r="B298" s="179">
        <f ca="1">IF(ISNUMBER(MATCH(DATEVALUE($A298),'changes1_based on steps'!B$1:B$400,0)),B$2,)</f>
        <v>0</v>
      </c>
      <c r="C298" s="179">
        <f ca="1">IF(ISNUMBER(MATCH(DATEVALUE($A298),'changes1_based on steps'!C$1:C$400,0)),C$2,)</f>
        <v>0</v>
      </c>
      <c r="D298" s="179">
        <f ca="1">IF(ISNUMBER(MATCH(DATEVALUE($A298),'changes1_based on steps'!D$1:D$400,0)),D$2,)</f>
        <v>0</v>
      </c>
      <c r="E298" s="179">
        <f ca="1">IF(ISNUMBER(MATCH(DATEVALUE($A298),'changes1_based on steps'!E$1:E$400,0)),E$2,)</f>
        <v>0</v>
      </c>
      <c r="F298" s="179">
        <f ca="1">IF(ISNUMBER(MATCH(DATEVALUE($A298),'changes1_based on steps'!F$1:F$400,0)),F$2,)</f>
        <v>0</v>
      </c>
      <c r="G298" s="179">
        <f ca="1">IF(ISNUMBER(MATCH(DATEVALUE($A298),'changes1_based on steps'!G$1:G$400,0)),G$2,)</f>
        <v>0</v>
      </c>
      <c r="H298" s="179">
        <f ca="1">IF(ISNUMBER(MATCH(DATEVALUE($A298),'changes1_based on steps'!H$1:H$400,0)),H$2,)</f>
        <v>0</v>
      </c>
      <c r="I298" s="179">
        <f ca="1">IF(ISNUMBER(MATCH(DATEVALUE($A298),'changes1_based on steps'!I$1:I$400,0)),I$2,)</f>
        <v>0</v>
      </c>
      <c r="J298" s="179">
        <f ca="1">IF(ISNUMBER(MATCH(DATEVALUE($A298),'changes1_based on steps'!J$1:J$400,0)),J$2,)</f>
        <v>0</v>
      </c>
      <c r="K298" s="179">
        <f ca="1">IF(ISNUMBER(MATCH(DATEVALUE($A298),'changes1_based on steps'!K$1:K$400,0)),K$2,)</f>
        <v>0</v>
      </c>
      <c r="L298" s="179">
        <f ca="1">IF(ISNUMBER(MATCH(DATEVALUE($A298),'changes1_based on steps'!L$1:L$400,0)),L$2,)</f>
        <v>0</v>
      </c>
      <c r="M298" s="179">
        <f ca="1">IF(ISNUMBER(MATCH(DATEVALUE($A298),'changes1_based on steps'!M$1:M$400,0)),M$2,)</f>
        <v>0</v>
      </c>
      <c r="N298" s="179">
        <f ca="1">IF(ISNUMBER(MATCH(DATEVALUE($A298),'changes1_based on steps'!N$1:N$400,0)),N$2,)</f>
        <v>0</v>
      </c>
      <c r="O298" s="179">
        <f ca="1">IF(ISNUMBER(MATCH(DATEVALUE($A298),'changes1_based on steps'!O$1:O$400,0)),O$2,)</f>
        <v>0</v>
      </c>
      <c r="P298" s="179">
        <f ca="1">IF(ISNUMBER(MATCH(DATEVALUE($A298),'changes1_based on steps'!P$1:P$400,0)),P$2,)</f>
        <v>0</v>
      </c>
      <c r="Q298" s="179">
        <f ca="1">IF(ISNUMBER(MATCH(DATEVALUE($A298),'changes1_based on steps'!Q$1:Q$400,0)),Q$2,)</f>
        <v>0</v>
      </c>
      <c r="R298" s="179">
        <f ca="1">IF(ISNUMBER(MATCH(DATEVALUE($A298),'changes1_based on steps'!R$1:R$400,0)),R$2,)</f>
        <v>0</v>
      </c>
      <c r="S298" s="179">
        <f ca="1">IF(ISNUMBER(MATCH(DATEVALUE($A298),'changes1_based on steps'!S$1:S$400,0)),S$2,)</f>
        <v>0</v>
      </c>
      <c r="T298" s="179">
        <f ca="1">IF(ISNUMBER(MATCH(DATEVALUE($A298),'changes1_based on steps'!T$1:T$400,0)),T$2,)</f>
        <v>0</v>
      </c>
      <c r="U298" s="179">
        <f ca="1">IF(ISNUMBER(MATCH(DATEVALUE($A298),'changes1_based on steps'!U$1:U$400,0)),U$2,)</f>
        <v>0</v>
      </c>
      <c r="V298" s="179"/>
      <c r="W298" s="179"/>
      <c r="X298" s="179"/>
      <c r="Y298" s="179"/>
      <c r="Z298" s="179"/>
      <c r="AA298" s="179"/>
      <c r="AB298" s="179"/>
      <c r="AC298" s="179"/>
      <c r="AD298" s="179"/>
      <c r="AE298" s="179"/>
      <c r="AF298" s="179"/>
      <c r="AG298" s="179"/>
      <c r="AH298" s="179"/>
      <c r="AI298" s="179"/>
      <c r="AJ298" s="179"/>
      <c r="AK298" s="179"/>
      <c r="AL298" s="179"/>
      <c r="AM298" s="179"/>
      <c r="AN298" s="179"/>
      <c r="AO298" s="179"/>
      <c r="AP298" s="179"/>
      <c r="AQ298" s="179"/>
      <c r="AR298" s="179"/>
      <c r="AS298" s="179"/>
      <c r="AT298" s="179"/>
      <c r="AU298" s="179"/>
      <c r="AV298" s="179"/>
      <c r="AW298" s="179"/>
      <c r="AX298" s="179"/>
      <c r="AY298" s="179"/>
      <c r="AZ298" s="179"/>
      <c r="BA298" s="179"/>
      <c r="BB298" s="179"/>
      <c r="BC298" s="179"/>
      <c r="BD298" s="179"/>
      <c r="BE298" s="179"/>
      <c r="BF298" s="179"/>
      <c r="BG298" s="179"/>
      <c r="BH298" s="179"/>
      <c r="BI298" s="179"/>
      <c r="BJ298" s="179"/>
      <c r="BK298" s="179"/>
      <c r="BL298" s="179"/>
      <c r="BM298" s="179"/>
      <c r="BN298" s="179"/>
      <c r="BO298" s="179"/>
      <c r="BP298" s="179"/>
      <c r="BQ298" s="179"/>
      <c r="BR298" s="179"/>
      <c r="BS298" s="179"/>
      <c r="BT298" s="179"/>
      <c r="BU298" s="179"/>
      <c r="BV298" s="179"/>
      <c r="BW298" s="179"/>
      <c r="BX298" s="179"/>
      <c r="BY298" s="179"/>
      <c r="BZ298" s="179"/>
      <c r="CA298" s="179"/>
      <c r="CB298" s="179"/>
      <c r="CC298" s="179"/>
      <c r="CD298" s="179"/>
      <c r="CE298" s="179"/>
      <c r="CF298" s="179"/>
      <c r="CG298" s="179"/>
      <c r="CH298" s="179"/>
      <c r="CI298" s="179"/>
      <c r="CJ298" s="179"/>
      <c r="CK298" s="179"/>
      <c r="CL298" s="179"/>
      <c r="CM298" s="179"/>
      <c r="CN298" s="179"/>
      <c r="CO298" s="179"/>
      <c r="CP298" s="179"/>
      <c r="CQ298" s="179"/>
      <c r="CR298" s="179"/>
      <c r="CS298" s="179"/>
      <c r="CT298" s="179"/>
      <c r="CU298" s="179"/>
      <c r="CV298" s="179"/>
      <c r="CW298" s="179"/>
    </row>
    <row r="299" spans="1:101" x14ac:dyDescent="0.2">
      <c r="A299" s="32" t="str">
        <f t="shared" ca="1" si="4"/>
        <v>2026-01-26</v>
      </c>
      <c r="B299" s="179">
        <f ca="1">IF(ISNUMBER(MATCH(DATEVALUE($A299),'changes1_based on steps'!B$1:B$400,0)),B$2,)</f>
        <v>0</v>
      </c>
      <c r="C299" s="179">
        <f ca="1">IF(ISNUMBER(MATCH(DATEVALUE($A299),'changes1_based on steps'!C$1:C$400,0)),C$2,)</f>
        <v>0</v>
      </c>
      <c r="D299" s="179">
        <f ca="1">IF(ISNUMBER(MATCH(DATEVALUE($A299),'changes1_based on steps'!D$1:D$400,0)),D$2,)</f>
        <v>0</v>
      </c>
      <c r="E299" s="179">
        <f ca="1">IF(ISNUMBER(MATCH(DATEVALUE($A299),'changes1_based on steps'!E$1:E$400,0)),E$2,)</f>
        <v>0</v>
      </c>
      <c r="F299" s="179">
        <f ca="1">IF(ISNUMBER(MATCH(DATEVALUE($A299),'changes1_based on steps'!F$1:F$400,0)),F$2,)</f>
        <v>0</v>
      </c>
      <c r="G299" s="179">
        <f ca="1">IF(ISNUMBER(MATCH(DATEVALUE($A299),'changes1_based on steps'!G$1:G$400,0)),G$2,)</f>
        <v>0</v>
      </c>
      <c r="H299" s="179">
        <f ca="1">IF(ISNUMBER(MATCH(DATEVALUE($A299),'changes1_based on steps'!H$1:H$400,0)),H$2,)</f>
        <v>0</v>
      </c>
      <c r="I299" s="179">
        <f ca="1">IF(ISNUMBER(MATCH(DATEVALUE($A299),'changes1_based on steps'!I$1:I$400,0)),I$2,)</f>
        <v>0</v>
      </c>
      <c r="J299" s="179">
        <f ca="1">IF(ISNUMBER(MATCH(DATEVALUE($A299),'changes1_based on steps'!J$1:J$400,0)),J$2,)</f>
        <v>0</v>
      </c>
      <c r="K299" s="179">
        <f ca="1">IF(ISNUMBER(MATCH(DATEVALUE($A299),'changes1_based on steps'!K$1:K$400,0)),K$2,)</f>
        <v>0</v>
      </c>
      <c r="L299" s="179">
        <f ca="1">IF(ISNUMBER(MATCH(DATEVALUE($A299),'changes1_based on steps'!L$1:L$400,0)),L$2,)</f>
        <v>0</v>
      </c>
      <c r="M299" s="179">
        <f ca="1">IF(ISNUMBER(MATCH(DATEVALUE($A299),'changes1_based on steps'!M$1:M$400,0)),M$2,)</f>
        <v>0</v>
      </c>
      <c r="N299" s="179">
        <f ca="1">IF(ISNUMBER(MATCH(DATEVALUE($A299),'changes1_based on steps'!N$1:N$400,0)),N$2,)</f>
        <v>0</v>
      </c>
      <c r="O299" s="179">
        <f ca="1">IF(ISNUMBER(MATCH(DATEVALUE($A299),'changes1_based on steps'!O$1:O$400,0)),O$2,)</f>
        <v>0</v>
      </c>
      <c r="P299" s="179">
        <f ca="1">IF(ISNUMBER(MATCH(DATEVALUE($A299),'changes1_based on steps'!P$1:P$400,0)),P$2,)</f>
        <v>0</v>
      </c>
      <c r="Q299" s="179">
        <f ca="1">IF(ISNUMBER(MATCH(DATEVALUE($A299),'changes1_based on steps'!Q$1:Q$400,0)),Q$2,)</f>
        <v>0</v>
      </c>
      <c r="R299" s="179">
        <f ca="1">IF(ISNUMBER(MATCH(DATEVALUE($A299),'changes1_based on steps'!R$1:R$400,0)),R$2,)</f>
        <v>0</v>
      </c>
      <c r="S299" s="179">
        <f ca="1">IF(ISNUMBER(MATCH(DATEVALUE($A299),'changes1_based on steps'!S$1:S$400,0)),S$2,)</f>
        <v>0</v>
      </c>
      <c r="T299" s="179">
        <f ca="1">IF(ISNUMBER(MATCH(DATEVALUE($A299),'changes1_based on steps'!T$1:T$400,0)),T$2,)</f>
        <v>0</v>
      </c>
      <c r="U299" s="179">
        <f ca="1">IF(ISNUMBER(MATCH(DATEVALUE($A299),'changes1_based on steps'!U$1:U$400,0)),U$2,)</f>
        <v>0</v>
      </c>
      <c r="V299" s="179"/>
      <c r="W299" s="179"/>
      <c r="X299" s="179"/>
      <c r="Y299" s="179"/>
      <c r="Z299" s="179"/>
      <c r="AA299" s="179"/>
      <c r="AB299" s="179"/>
      <c r="AC299" s="179"/>
      <c r="AD299" s="179"/>
      <c r="AE299" s="179"/>
      <c r="AF299" s="179"/>
      <c r="AG299" s="179"/>
      <c r="AH299" s="179"/>
      <c r="AI299" s="179"/>
      <c r="AJ299" s="179"/>
      <c r="AK299" s="179"/>
      <c r="AL299" s="179"/>
      <c r="AM299" s="179"/>
      <c r="AN299" s="179"/>
      <c r="AO299" s="179"/>
      <c r="AP299" s="179"/>
      <c r="AQ299" s="179"/>
      <c r="AR299" s="179"/>
      <c r="AS299" s="179"/>
      <c r="AT299" s="179"/>
      <c r="AU299" s="179"/>
      <c r="AV299" s="179"/>
      <c r="AW299" s="179"/>
      <c r="AX299" s="179"/>
      <c r="AY299" s="179"/>
      <c r="AZ299" s="179"/>
      <c r="BA299" s="179"/>
      <c r="BB299" s="179"/>
      <c r="BC299" s="179"/>
      <c r="BD299" s="179"/>
      <c r="BE299" s="179"/>
      <c r="BF299" s="179"/>
      <c r="BG299" s="179"/>
      <c r="BH299" s="179"/>
      <c r="BI299" s="179"/>
      <c r="BJ299" s="179"/>
      <c r="BK299" s="179"/>
      <c r="BL299" s="179"/>
      <c r="BM299" s="179"/>
      <c r="BN299" s="179"/>
      <c r="BO299" s="179"/>
      <c r="BP299" s="179"/>
      <c r="BQ299" s="179"/>
      <c r="BR299" s="179"/>
      <c r="BS299" s="179"/>
      <c r="BT299" s="179"/>
      <c r="BU299" s="179"/>
      <c r="BV299" s="179"/>
      <c r="BW299" s="179"/>
      <c r="BX299" s="179"/>
      <c r="BY299" s="179"/>
      <c r="BZ299" s="179"/>
      <c r="CA299" s="179"/>
      <c r="CB299" s="179"/>
      <c r="CC299" s="179"/>
      <c r="CD299" s="179"/>
      <c r="CE299" s="179"/>
      <c r="CF299" s="179"/>
      <c r="CG299" s="179"/>
      <c r="CH299" s="179"/>
      <c r="CI299" s="179"/>
      <c r="CJ299" s="179"/>
      <c r="CK299" s="179"/>
      <c r="CL299" s="179"/>
      <c r="CM299" s="179"/>
      <c r="CN299" s="179"/>
      <c r="CO299" s="179"/>
      <c r="CP299" s="179"/>
      <c r="CQ299" s="179"/>
      <c r="CR299" s="179"/>
      <c r="CS299" s="179"/>
      <c r="CT299" s="179"/>
      <c r="CU299" s="179"/>
      <c r="CV299" s="179"/>
      <c r="CW299" s="179"/>
    </row>
    <row r="300" spans="1:101" x14ac:dyDescent="0.2">
      <c r="A300" s="32" t="str">
        <f t="shared" ca="1" si="4"/>
        <v>2026-01-27</v>
      </c>
      <c r="B300" s="179">
        <f ca="1">IF(ISNUMBER(MATCH(DATEVALUE($A300),'changes1_based on steps'!B$1:B$400,0)),B$2,)</f>
        <v>0</v>
      </c>
      <c r="C300" s="179">
        <f ca="1">IF(ISNUMBER(MATCH(DATEVALUE($A300),'changes1_based on steps'!C$1:C$400,0)),C$2,)</f>
        <v>0</v>
      </c>
      <c r="D300" s="179">
        <f ca="1">IF(ISNUMBER(MATCH(DATEVALUE($A300),'changes1_based on steps'!D$1:D$400,0)),D$2,)</f>
        <v>0</v>
      </c>
      <c r="E300" s="179">
        <f ca="1">IF(ISNUMBER(MATCH(DATEVALUE($A300),'changes1_based on steps'!E$1:E$400,0)),E$2,)</f>
        <v>0</v>
      </c>
      <c r="F300" s="179">
        <f ca="1">IF(ISNUMBER(MATCH(DATEVALUE($A300),'changes1_based on steps'!F$1:F$400,0)),F$2,)</f>
        <v>0</v>
      </c>
      <c r="G300" s="179">
        <f ca="1">IF(ISNUMBER(MATCH(DATEVALUE($A300),'changes1_based on steps'!G$1:G$400,0)),G$2,)</f>
        <v>0</v>
      </c>
      <c r="H300" s="179">
        <f ca="1">IF(ISNUMBER(MATCH(DATEVALUE($A300),'changes1_based on steps'!H$1:H$400,0)),H$2,)</f>
        <v>0</v>
      </c>
      <c r="I300" s="179">
        <f ca="1">IF(ISNUMBER(MATCH(DATEVALUE($A300),'changes1_based on steps'!I$1:I$400,0)),I$2,)</f>
        <v>0</v>
      </c>
      <c r="J300" s="179">
        <f ca="1">IF(ISNUMBER(MATCH(DATEVALUE($A300),'changes1_based on steps'!J$1:J$400,0)),J$2,)</f>
        <v>0</v>
      </c>
      <c r="K300" s="179">
        <f ca="1">IF(ISNUMBER(MATCH(DATEVALUE($A300),'changes1_based on steps'!K$1:K$400,0)),K$2,)</f>
        <v>0</v>
      </c>
      <c r="L300" s="179">
        <f ca="1">IF(ISNUMBER(MATCH(DATEVALUE($A300),'changes1_based on steps'!L$1:L$400,0)),L$2,)</f>
        <v>0</v>
      </c>
      <c r="M300" s="179">
        <f ca="1">IF(ISNUMBER(MATCH(DATEVALUE($A300),'changes1_based on steps'!M$1:M$400,0)),M$2,)</f>
        <v>0</v>
      </c>
      <c r="N300" s="179">
        <f ca="1">IF(ISNUMBER(MATCH(DATEVALUE($A300),'changes1_based on steps'!N$1:N$400,0)),N$2,)</f>
        <v>0</v>
      </c>
      <c r="O300" s="179">
        <f ca="1">IF(ISNUMBER(MATCH(DATEVALUE($A300),'changes1_based on steps'!O$1:O$400,0)),O$2,)</f>
        <v>0</v>
      </c>
      <c r="P300" s="179">
        <f ca="1">IF(ISNUMBER(MATCH(DATEVALUE($A300),'changes1_based on steps'!P$1:P$400,0)),P$2,)</f>
        <v>0</v>
      </c>
      <c r="Q300" s="179">
        <f ca="1">IF(ISNUMBER(MATCH(DATEVALUE($A300),'changes1_based on steps'!Q$1:Q$400,0)),Q$2,)</f>
        <v>0</v>
      </c>
      <c r="R300" s="179">
        <f ca="1">IF(ISNUMBER(MATCH(DATEVALUE($A300),'changes1_based on steps'!R$1:R$400,0)),R$2,)</f>
        <v>0</v>
      </c>
      <c r="S300" s="179">
        <f ca="1">IF(ISNUMBER(MATCH(DATEVALUE($A300),'changes1_based on steps'!S$1:S$400,0)),S$2,)</f>
        <v>0</v>
      </c>
      <c r="T300" s="179">
        <f ca="1">IF(ISNUMBER(MATCH(DATEVALUE($A300),'changes1_based on steps'!T$1:T$400,0)),T$2,)</f>
        <v>0</v>
      </c>
      <c r="U300" s="179">
        <f ca="1">IF(ISNUMBER(MATCH(DATEVALUE($A300),'changes1_based on steps'!U$1:U$400,0)),U$2,)</f>
        <v>0</v>
      </c>
      <c r="V300" s="179"/>
      <c r="W300" s="179"/>
      <c r="X300" s="179"/>
      <c r="Y300" s="179"/>
      <c r="Z300" s="179"/>
      <c r="AA300" s="179"/>
      <c r="AB300" s="179"/>
      <c r="AC300" s="179"/>
      <c r="AD300" s="179"/>
      <c r="AE300" s="179"/>
      <c r="AF300" s="179"/>
      <c r="AG300" s="179"/>
      <c r="AH300" s="179"/>
      <c r="AI300" s="179"/>
      <c r="AJ300" s="179"/>
      <c r="AK300" s="179"/>
      <c r="AL300" s="179"/>
      <c r="AM300" s="179"/>
      <c r="AN300" s="179"/>
      <c r="AO300" s="179"/>
      <c r="AP300" s="179"/>
      <c r="AQ300" s="179"/>
      <c r="AR300" s="179"/>
      <c r="AS300" s="179"/>
      <c r="AT300" s="179"/>
      <c r="AU300" s="179"/>
      <c r="AV300" s="179"/>
      <c r="AW300" s="179"/>
      <c r="AX300" s="179"/>
      <c r="AY300" s="179"/>
      <c r="AZ300" s="179"/>
      <c r="BA300" s="179"/>
      <c r="BB300" s="179"/>
      <c r="BC300" s="179"/>
      <c r="BD300" s="179"/>
      <c r="BE300" s="179"/>
      <c r="BF300" s="179"/>
      <c r="BG300" s="179"/>
      <c r="BH300" s="179"/>
      <c r="BI300" s="179"/>
      <c r="BJ300" s="179"/>
      <c r="BK300" s="179"/>
      <c r="BL300" s="179"/>
      <c r="BM300" s="179"/>
      <c r="BN300" s="179"/>
      <c r="BO300" s="179"/>
      <c r="BP300" s="179"/>
      <c r="BQ300" s="179"/>
      <c r="BR300" s="179"/>
      <c r="BS300" s="179"/>
      <c r="BT300" s="179"/>
      <c r="BU300" s="179"/>
      <c r="BV300" s="179"/>
      <c r="BW300" s="179"/>
      <c r="BX300" s="179"/>
      <c r="BY300" s="179"/>
      <c r="BZ300" s="179"/>
      <c r="CA300" s="179"/>
      <c r="CB300" s="179"/>
      <c r="CC300" s="179"/>
      <c r="CD300" s="179"/>
      <c r="CE300" s="179"/>
      <c r="CF300" s="179"/>
      <c r="CG300" s="179"/>
      <c r="CH300" s="179"/>
      <c r="CI300" s="179"/>
      <c r="CJ300" s="179"/>
      <c r="CK300" s="179"/>
      <c r="CL300" s="179"/>
      <c r="CM300" s="179"/>
      <c r="CN300" s="179"/>
      <c r="CO300" s="179"/>
      <c r="CP300" s="179"/>
      <c r="CQ300" s="179"/>
      <c r="CR300" s="179"/>
      <c r="CS300" s="179"/>
      <c r="CT300" s="179"/>
      <c r="CU300" s="179"/>
      <c r="CV300" s="179"/>
      <c r="CW300" s="179"/>
    </row>
    <row r="301" spans="1:101" x14ac:dyDescent="0.2">
      <c r="A301" s="32" t="str">
        <f t="shared" ca="1" si="4"/>
        <v>2026-01-28</v>
      </c>
      <c r="B301" s="179">
        <f ca="1">IF(ISNUMBER(MATCH(DATEVALUE($A301),'changes1_based on steps'!B$1:B$400,0)),B$2,)</f>
        <v>0</v>
      </c>
      <c r="C301" s="179">
        <f ca="1">IF(ISNUMBER(MATCH(DATEVALUE($A301),'changes1_based on steps'!C$1:C$400,0)),C$2,)</f>
        <v>0</v>
      </c>
      <c r="D301" s="179">
        <f ca="1">IF(ISNUMBER(MATCH(DATEVALUE($A301),'changes1_based on steps'!D$1:D$400,0)),D$2,)</f>
        <v>0</v>
      </c>
      <c r="E301" s="179">
        <f ca="1">IF(ISNUMBER(MATCH(DATEVALUE($A301),'changes1_based on steps'!E$1:E$400,0)),E$2,)</f>
        <v>0</v>
      </c>
      <c r="F301" s="179">
        <f ca="1">IF(ISNUMBER(MATCH(DATEVALUE($A301),'changes1_based on steps'!F$1:F$400,0)),F$2,)</f>
        <v>0</v>
      </c>
      <c r="G301" s="179">
        <f ca="1">IF(ISNUMBER(MATCH(DATEVALUE($A301),'changes1_based on steps'!G$1:G$400,0)),G$2,)</f>
        <v>0</v>
      </c>
      <c r="H301" s="179">
        <f ca="1">IF(ISNUMBER(MATCH(DATEVALUE($A301),'changes1_based on steps'!H$1:H$400,0)),H$2,)</f>
        <v>0</v>
      </c>
      <c r="I301" s="179">
        <f ca="1">IF(ISNUMBER(MATCH(DATEVALUE($A301),'changes1_based on steps'!I$1:I$400,0)),I$2,)</f>
        <v>0</v>
      </c>
      <c r="J301" s="179">
        <f ca="1">IF(ISNUMBER(MATCH(DATEVALUE($A301),'changes1_based on steps'!J$1:J$400,0)),J$2,)</f>
        <v>0</v>
      </c>
      <c r="K301" s="179">
        <f ca="1">IF(ISNUMBER(MATCH(DATEVALUE($A301),'changes1_based on steps'!K$1:K$400,0)),K$2,)</f>
        <v>0</v>
      </c>
      <c r="L301" s="179">
        <f ca="1">IF(ISNUMBER(MATCH(DATEVALUE($A301),'changes1_based on steps'!L$1:L$400,0)),L$2,)</f>
        <v>0</v>
      </c>
      <c r="M301" s="179">
        <f ca="1">IF(ISNUMBER(MATCH(DATEVALUE($A301),'changes1_based on steps'!M$1:M$400,0)),M$2,)</f>
        <v>0</v>
      </c>
      <c r="N301" s="179">
        <f ca="1">IF(ISNUMBER(MATCH(DATEVALUE($A301),'changes1_based on steps'!N$1:N$400,0)),N$2,)</f>
        <v>0</v>
      </c>
      <c r="O301" s="179">
        <f ca="1">IF(ISNUMBER(MATCH(DATEVALUE($A301),'changes1_based on steps'!O$1:O$400,0)),O$2,)</f>
        <v>0</v>
      </c>
      <c r="P301" s="179">
        <f ca="1">IF(ISNUMBER(MATCH(DATEVALUE($A301),'changes1_based on steps'!P$1:P$400,0)),P$2,)</f>
        <v>0</v>
      </c>
      <c r="Q301" s="179">
        <f ca="1">IF(ISNUMBER(MATCH(DATEVALUE($A301),'changes1_based on steps'!Q$1:Q$400,0)),Q$2,)</f>
        <v>0</v>
      </c>
      <c r="R301" s="179">
        <f ca="1">IF(ISNUMBER(MATCH(DATEVALUE($A301),'changes1_based on steps'!R$1:R$400,0)),R$2,)</f>
        <v>0</v>
      </c>
      <c r="S301" s="179">
        <f ca="1">IF(ISNUMBER(MATCH(DATEVALUE($A301),'changes1_based on steps'!S$1:S$400,0)),S$2,)</f>
        <v>0</v>
      </c>
      <c r="T301" s="179">
        <f ca="1">IF(ISNUMBER(MATCH(DATEVALUE($A301),'changes1_based on steps'!T$1:T$400,0)),T$2,)</f>
        <v>0</v>
      </c>
      <c r="U301" s="179">
        <f ca="1">IF(ISNUMBER(MATCH(DATEVALUE($A301),'changes1_based on steps'!U$1:U$400,0)),U$2,)</f>
        <v>0</v>
      </c>
      <c r="V301" s="179"/>
      <c r="W301" s="179"/>
      <c r="X301" s="179"/>
      <c r="Y301" s="179"/>
      <c r="Z301" s="179"/>
      <c r="AA301" s="179"/>
      <c r="AB301" s="179"/>
      <c r="AC301" s="179"/>
      <c r="AD301" s="179"/>
      <c r="AE301" s="179"/>
      <c r="AF301" s="179"/>
      <c r="AG301" s="179"/>
      <c r="AH301" s="179"/>
      <c r="AI301" s="179"/>
      <c r="AJ301" s="179"/>
      <c r="AK301" s="179"/>
      <c r="AL301" s="179"/>
      <c r="AM301" s="179"/>
      <c r="AN301" s="179"/>
      <c r="AO301" s="179"/>
      <c r="AP301" s="179"/>
      <c r="AQ301" s="179"/>
      <c r="AR301" s="179"/>
      <c r="AS301" s="179"/>
      <c r="AT301" s="179"/>
      <c r="AU301" s="179"/>
      <c r="AV301" s="179"/>
      <c r="AW301" s="179"/>
      <c r="AX301" s="179"/>
      <c r="AY301" s="179"/>
      <c r="AZ301" s="179"/>
      <c r="BA301" s="179"/>
      <c r="BB301" s="179"/>
      <c r="BC301" s="179"/>
      <c r="BD301" s="179"/>
      <c r="BE301" s="179"/>
      <c r="BF301" s="179"/>
      <c r="BG301" s="179"/>
      <c r="BH301" s="179"/>
      <c r="BI301" s="179"/>
      <c r="BJ301" s="179"/>
      <c r="BK301" s="179"/>
      <c r="BL301" s="179"/>
      <c r="BM301" s="179"/>
      <c r="BN301" s="179"/>
      <c r="BO301" s="179"/>
      <c r="BP301" s="179"/>
      <c r="BQ301" s="179"/>
      <c r="BR301" s="179"/>
      <c r="BS301" s="179"/>
      <c r="BT301" s="179"/>
      <c r="BU301" s="179"/>
      <c r="BV301" s="179"/>
      <c r="BW301" s="179"/>
      <c r="BX301" s="179"/>
      <c r="BY301" s="179"/>
      <c r="BZ301" s="179"/>
      <c r="CA301" s="179"/>
      <c r="CB301" s="179"/>
      <c r="CC301" s="179"/>
      <c r="CD301" s="179"/>
      <c r="CE301" s="179"/>
      <c r="CF301" s="179"/>
      <c r="CG301" s="179"/>
      <c r="CH301" s="179"/>
      <c r="CI301" s="179"/>
      <c r="CJ301" s="179"/>
      <c r="CK301" s="179"/>
      <c r="CL301" s="179"/>
      <c r="CM301" s="179"/>
      <c r="CN301" s="179"/>
      <c r="CO301" s="179"/>
      <c r="CP301" s="179"/>
      <c r="CQ301" s="179"/>
      <c r="CR301" s="179"/>
      <c r="CS301" s="179"/>
      <c r="CT301" s="179"/>
      <c r="CU301" s="179"/>
      <c r="CV301" s="179"/>
      <c r="CW301" s="179"/>
    </row>
    <row r="302" spans="1:101" x14ac:dyDescent="0.2">
      <c r="A302" s="32" t="str">
        <f t="shared" ca="1" si="4"/>
        <v>2026-01-29</v>
      </c>
      <c r="B302" s="179">
        <f ca="1">IF(ISNUMBER(MATCH(DATEVALUE($A302),'changes1_based on steps'!B$1:B$400,0)),B$2,)</f>
        <v>0</v>
      </c>
      <c r="C302" s="179">
        <f ca="1">IF(ISNUMBER(MATCH(DATEVALUE($A302),'changes1_based on steps'!C$1:C$400,0)),C$2,)</f>
        <v>0</v>
      </c>
      <c r="D302" s="179">
        <f ca="1">IF(ISNUMBER(MATCH(DATEVALUE($A302),'changes1_based on steps'!D$1:D$400,0)),D$2,)</f>
        <v>0</v>
      </c>
      <c r="E302" s="179">
        <f ca="1">IF(ISNUMBER(MATCH(DATEVALUE($A302),'changes1_based on steps'!E$1:E$400,0)),E$2,)</f>
        <v>0</v>
      </c>
      <c r="F302" s="179">
        <f ca="1">IF(ISNUMBER(MATCH(DATEVALUE($A302),'changes1_based on steps'!F$1:F$400,0)),F$2,)</f>
        <v>0</v>
      </c>
      <c r="G302" s="179">
        <f ca="1">IF(ISNUMBER(MATCH(DATEVALUE($A302),'changes1_based on steps'!G$1:G$400,0)),G$2,)</f>
        <v>0</v>
      </c>
      <c r="H302" s="179">
        <f ca="1">IF(ISNUMBER(MATCH(DATEVALUE($A302),'changes1_based on steps'!H$1:H$400,0)),H$2,)</f>
        <v>0</v>
      </c>
      <c r="I302" s="179">
        <f ca="1">IF(ISNUMBER(MATCH(DATEVALUE($A302),'changes1_based on steps'!I$1:I$400,0)),I$2,)</f>
        <v>0</v>
      </c>
      <c r="J302" s="179">
        <f ca="1">IF(ISNUMBER(MATCH(DATEVALUE($A302),'changes1_based on steps'!J$1:J$400,0)),J$2,)</f>
        <v>0</v>
      </c>
      <c r="K302" s="179">
        <f ca="1">IF(ISNUMBER(MATCH(DATEVALUE($A302),'changes1_based on steps'!K$1:K$400,0)),K$2,)</f>
        <v>0</v>
      </c>
      <c r="L302" s="179">
        <f ca="1">IF(ISNUMBER(MATCH(DATEVALUE($A302),'changes1_based on steps'!L$1:L$400,0)),L$2,)</f>
        <v>0</v>
      </c>
      <c r="M302" s="179">
        <f ca="1">IF(ISNUMBER(MATCH(DATEVALUE($A302),'changes1_based on steps'!M$1:M$400,0)),M$2,)</f>
        <v>0</v>
      </c>
      <c r="N302" s="179">
        <f ca="1">IF(ISNUMBER(MATCH(DATEVALUE($A302),'changes1_based on steps'!N$1:N$400,0)),N$2,)</f>
        <v>0</v>
      </c>
      <c r="O302" s="179">
        <f ca="1">IF(ISNUMBER(MATCH(DATEVALUE($A302),'changes1_based on steps'!O$1:O$400,0)),O$2,)</f>
        <v>0</v>
      </c>
      <c r="P302" s="179">
        <f ca="1">IF(ISNUMBER(MATCH(DATEVALUE($A302),'changes1_based on steps'!P$1:P$400,0)),P$2,)</f>
        <v>0</v>
      </c>
      <c r="Q302" s="179">
        <f ca="1">IF(ISNUMBER(MATCH(DATEVALUE($A302),'changes1_based on steps'!Q$1:Q$400,0)),Q$2,)</f>
        <v>0</v>
      </c>
      <c r="R302" s="179">
        <f ca="1">IF(ISNUMBER(MATCH(DATEVALUE($A302),'changes1_based on steps'!R$1:R$400,0)),R$2,)</f>
        <v>0</v>
      </c>
      <c r="S302" s="179">
        <f ca="1">IF(ISNUMBER(MATCH(DATEVALUE($A302),'changes1_based on steps'!S$1:S$400,0)),S$2,)</f>
        <v>0</v>
      </c>
      <c r="T302" s="179">
        <f ca="1">IF(ISNUMBER(MATCH(DATEVALUE($A302),'changes1_based on steps'!T$1:T$400,0)),T$2,)</f>
        <v>0</v>
      </c>
      <c r="U302" s="179">
        <f ca="1">IF(ISNUMBER(MATCH(DATEVALUE($A302),'changes1_based on steps'!U$1:U$400,0)),U$2,)</f>
        <v>0</v>
      </c>
      <c r="V302" s="179"/>
      <c r="W302" s="179"/>
      <c r="X302" s="179"/>
      <c r="Y302" s="179"/>
      <c r="Z302" s="179"/>
      <c r="AA302" s="179"/>
      <c r="AB302" s="179"/>
      <c r="AC302" s="179"/>
      <c r="AD302" s="179"/>
      <c r="AE302" s="179"/>
      <c r="AF302" s="179"/>
      <c r="AG302" s="179"/>
      <c r="AH302" s="179"/>
      <c r="AI302" s="179"/>
      <c r="AJ302" s="179"/>
      <c r="AK302" s="179"/>
      <c r="AL302" s="179"/>
      <c r="AM302" s="179"/>
      <c r="AN302" s="179"/>
      <c r="AO302" s="179"/>
      <c r="AP302" s="179"/>
      <c r="AQ302" s="179"/>
      <c r="AR302" s="179"/>
      <c r="AS302" s="179"/>
      <c r="AT302" s="179"/>
      <c r="AU302" s="179"/>
      <c r="AV302" s="179"/>
      <c r="AW302" s="179"/>
      <c r="AX302" s="179"/>
      <c r="AY302" s="179"/>
      <c r="AZ302" s="179"/>
      <c r="BA302" s="179"/>
      <c r="BB302" s="179"/>
      <c r="BC302" s="179"/>
      <c r="BD302" s="179"/>
      <c r="BE302" s="179"/>
      <c r="BF302" s="179"/>
      <c r="BG302" s="179"/>
      <c r="BH302" s="179"/>
      <c r="BI302" s="179"/>
      <c r="BJ302" s="179"/>
      <c r="BK302" s="179"/>
      <c r="BL302" s="179"/>
      <c r="BM302" s="179"/>
      <c r="BN302" s="179"/>
      <c r="BO302" s="179"/>
      <c r="BP302" s="179"/>
      <c r="BQ302" s="179"/>
      <c r="BR302" s="179"/>
      <c r="BS302" s="179"/>
      <c r="BT302" s="179"/>
      <c r="BU302" s="179"/>
      <c r="BV302" s="179"/>
      <c r="BW302" s="179"/>
      <c r="BX302" s="179"/>
      <c r="BY302" s="179"/>
      <c r="BZ302" s="179"/>
      <c r="CA302" s="179"/>
      <c r="CB302" s="179"/>
      <c r="CC302" s="179"/>
      <c r="CD302" s="179"/>
      <c r="CE302" s="179"/>
      <c r="CF302" s="179"/>
      <c r="CG302" s="179"/>
      <c r="CH302" s="179"/>
      <c r="CI302" s="179"/>
      <c r="CJ302" s="179"/>
      <c r="CK302" s="179"/>
      <c r="CL302" s="179"/>
      <c r="CM302" s="179"/>
      <c r="CN302" s="179"/>
      <c r="CO302" s="179"/>
      <c r="CP302" s="179"/>
      <c r="CQ302" s="179"/>
      <c r="CR302" s="179"/>
      <c r="CS302" s="179"/>
      <c r="CT302" s="179"/>
      <c r="CU302" s="179"/>
      <c r="CV302" s="179"/>
      <c r="CW302" s="179"/>
    </row>
    <row r="303" spans="1:101" x14ac:dyDescent="0.2">
      <c r="A303" s="32" t="str">
        <f t="shared" ca="1" si="4"/>
        <v>2026-01-30</v>
      </c>
      <c r="B303" s="179">
        <f ca="1">IF(ISNUMBER(MATCH(DATEVALUE($A303),'changes1_based on steps'!B$1:B$400,0)),B$2,)</f>
        <v>0</v>
      </c>
      <c r="C303" s="179">
        <f ca="1">IF(ISNUMBER(MATCH(DATEVALUE($A303),'changes1_based on steps'!C$1:C$400,0)),C$2,)</f>
        <v>0</v>
      </c>
      <c r="D303" s="179">
        <f ca="1">IF(ISNUMBER(MATCH(DATEVALUE($A303),'changes1_based on steps'!D$1:D$400,0)),D$2,)</f>
        <v>0</v>
      </c>
      <c r="E303" s="179">
        <f ca="1">IF(ISNUMBER(MATCH(DATEVALUE($A303),'changes1_based on steps'!E$1:E$400,0)),E$2,)</f>
        <v>0</v>
      </c>
      <c r="F303" s="179">
        <f ca="1">IF(ISNUMBER(MATCH(DATEVALUE($A303),'changes1_based on steps'!F$1:F$400,0)),F$2,)</f>
        <v>0</v>
      </c>
      <c r="G303" s="179">
        <f ca="1">IF(ISNUMBER(MATCH(DATEVALUE($A303),'changes1_based on steps'!G$1:G$400,0)),G$2,)</f>
        <v>0</v>
      </c>
      <c r="H303" s="179">
        <f ca="1">IF(ISNUMBER(MATCH(DATEVALUE($A303),'changes1_based on steps'!H$1:H$400,0)),H$2,)</f>
        <v>0</v>
      </c>
      <c r="I303" s="179">
        <f ca="1">IF(ISNUMBER(MATCH(DATEVALUE($A303),'changes1_based on steps'!I$1:I$400,0)),I$2,)</f>
        <v>0</v>
      </c>
      <c r="J303" s="179">
        <f ca="1">IF(ISNUMBER(MATCH(DATEVALUE($A303),'changes1_based on steps'!J$1:J$400,0)),J$2,)</f>
        <v>0</v>
      </c>
      <c r="K303" s="179">
        <f ca="1">IF(ISNUMBER(MATCH(DATEVALUE($A303),'changes1_based on steps'!K$1:K$400,0)),K$2,)</f>
        <v>0</v>
      </c>
      <c r="L303" s="179">
        <f ca="1">IF(ISNUMBER(MATCH(DATEVALUE($A303),'changes1_based on steps'!L$1:L$400,0)),L$2,)</f>
        <v>0</v>
      </c>
      <c r="M303" s="179">
        <f ca="1">IF(ISNUMBER(MATCH(DATEVALUE($A303),'changes1_based on steps'!M$1:M$400,0)),M$2,)</f>
        <v>0</v>
      </c>
      <c r="N303" s="179">
        <f ca="1">IF(ISNUMBER(MATCH(DATEVALUE($A303),'changes1_based on steps'!N$1:N$400,0)),N$2,)</f>
        <v>0</v>
      </c>
      <c r="O303" s="179">
        <f ca="1">IF(ISNUMBER(MATCH(DATEVALUE($A303),'changes1_based on steps'!O$1:O$400,0)),O$2,)</f>
        <v>0</v>
      </c>
      <c r="P303" s="179">
        <f ca="1">IF(ISNUMBER(MATCH(DATEVALUE($A303),'changes1_based on steps'!P$1:P$400,0)),P$2,)</f>
        <v>0</v>
      </c>
      <c r="Q303" s="179">
        <f ca="1">IF(ISNUMBER(MATCH(DATEVALUE($A303),'changes1_based on steps'!Q$1:Q$400,0)),Q$2,)</f>
        <v>0</v>
      </c>
      <c r="R303" s="179">
        <f ca="1">IF(ISNUMBER(MATCH(DATEVALUE($A303),'changes1_based on steps'!R$1:R$400,0)),R$2,)</f>
        <v>0</v>
      </c>
      <c r="S303" s="179">
        <f ca="1">IF(ISNUMBER(MATCH(DATEVALUE($A303),'changes1_based on steps'!S$1:S$400,0)),S$2,)</f>
        <v>0</v>
      </c>
      <c r="T303" s="179">
        <f ca="1">IF(ISNUMBER(MATCH(DATEVALUE($A303),'changes1_based on steps'!T$1:T$400,0)),T$2,)</f>
        <v>0</v>
      </c>
      <c r="U303" s="179">
        <f ca="1">IF(ISNUMBER(MATCH(DATEVALUE($A303),'changes1_based on steps'!U$1:U$400,0)),U$2,)</f>
        <v>0</v>
      </c>
      <c r="V303" s="179"/>
      <c r="W303" s="179"/>
      <c r="X303" s="179"/>
      <c r="Y303" s="179"/>
      <c r="Z303" s="179"/>
      <c r="AA303" s="179"/>
      <c r="AB303" s="179"/>
      <c r="AC303" s="179"/>
      <c r="AD303" s="179"/>
      <c r="AE303" s="179"/>
      <c r="AF303" s="179"/>
      <c r="AG303" s="179"/>
      <c r="AH303" s="179"/>
      <c r="AI303" s="179"/>
      <c r="AJ303" s="179"/>
      <c r="AK303" s="179"/>
      <c r="AL303" s="179"/>
      <c r="AM303" s="179"/>
      <c r="AN303" s="179"/>
      <c r="AO303" s="179"/>
      <c r="AP303" s="179"/>
      <c r="AQ303" s="179"/>
      <c r="AR303" s="179"/>
      <c r="AS303" s="179"/>
      <c r="AT303" s="179"/>
      <c r="AU303" s="179"/>
      <c r="AV303" s="179"/>
      <c r="AW303" s="179"/>
      <c r="AX303" s="179"/>
      <c r="AY303" s="179"/>
      <c r="AZ303" s="179"/>
      <c r="BA303" s="179"/>
      <c r="BB303" s="179"/>
      <c r="BC303" s="179"/>
      <c r="BD303" s="179"/>
      <c r="BE303" s="179"/>
      <c r="BF303" s="179"/>
      <c r="BG303" s="179"/>
      <c r="BH303" s="179"/>
      <c r="BI303" s="179"/>
      <c r="BJ303" s="179"/>
      <c r="BK303" s="179"/>
      <c r="BL303" s="179"/>
      <c r="BM303" s="179"/>
      <c r="BN303" s="179"/>
      <c r="BO303" s="179"/>
      <c r="BP303" s="179"/>
      <c r="BQ303" s="179"/>
      <c r="BR303" s="179"/>
      <c r="BS303" s="179"/>
      <c r="BT303" s="179"/>
      <c r="BU303" s="179"/>
      <c r="BV303" s="179"/>
      <c r="BW303" s="179"/>
      <c r="BX303" s="179"/>
      <c r="BY303" s="179"/>
      <c r="BZ303" s="179"/>
      <c r="CA303" s="179"/>
      <c r="CB303" s="179"/>
      <c r="CC303" s="179"/>
      <c r="CD303" s="179"/>
      <c r="CE303" s="179"/>
      <c r="CF303" s="179"/>
      <c r="CG303" s="179"/>
      <c r="CH303" s="179"/>
      <c r="CI303" s="179"/>
      <c r="CJ303" s="179"/>
      <c r="CK303" s="179"/>
      <c r="CL303" s="179"/>
      <c r="CM303" s="179"/>
      <c r="CN303" s="179"/>
      <c r="CO303" s="179"/>
      <c r="CP303" s="179"/>
      <c r="CQ303" s="179"/>
      <c r="CR303" s="179"/>
      <c r="CS303" s="179"/>
      <c r="CT303" s="179"/>
      <c r="CU303" s="179"/>
      <c r="CV303" s="179"/>
      <c r="CW303" s="179"/>
    </row>
    <row r="304" spans="1:101" x14ac:dyDescent="0.2">
      <c r="A304" s="32" t="str">
        <f t="shared" ca="1" si="4"/>
        <v>2026-01-31</v>
      </c>
      <c r="B304" s="179">
        <f ca="1">IF(ISNUMBER(MATCH(DATEVALUE($A304),'changes1_based on steps'!B$1:B$400,0)),B$2,)</f>
        <v>0</v>
      </c>
      <c r="C304" s="179">
        <f ca="1">IF(ISNUMBER(MATCH(DATEVALUE($A304),'changes1_based on steps'!C$1:C$400,0)),C$2,)</f>
        <v>0</v>
      </c>
      <c r="D304" s="179">
        <f ca="1">IF(ISNUMBER(MATCH(DATEVALUE($A304),'changes1_based on steps'!D$1:D$400,0)),D$2,)</f>
        <v>0</v>
      </c>
      <c r="E304" s="179">
        <f ca="1">IF(ISNUMBER(MATCH(DATEVALUE($A304),'changes1_based on steps'!E$1:E$400,0)),E$2,)</f>
        <v>0</v>
      </c>
      <c r="F304" s="179">
        <f ca="1">IF(ISNUMBER(MATCH(DATEVALUE($A304),'changes1_based on steps'!F$1:F$400,0)),F$2,)</f>
        <v>0</v>
      </c>
      <c r="G304" s="179">
        <f ca="1">IF(ISNUMBER(MATCH(DATEVALUE($A304),'changes1_based on steps'!G$1:G$400,0)),G$2,)</f>
        <v>0</v>
      </c>
      <c r="H304" s="179">
        <f ca="1">IF(ISNUMBER(MATCH(DATEVALUE($A304),'changes1_based on steps'!H$1:H$400,0)),H$2,)</f>
        <v>0</v>
      </c>
      <c r="I304" s="179">
        <f ca="1">IF(ISNUMBER(MATCH(DATEVALUE($A304),'changes1_based on steps'!I$1:I$400,0)),I$2,)</f>
        <v>0</v>
      </c>
      <c r="J304" s="179">
        <f ca="1">IF(ISNUMBER(MATCH(DATEVALUE($A304),'changes1_based on steps'!J$1:J$400,0)),J$2,)</f>
        <v>0</v>
      </c>
      <c r="K304" s="179">
        <f ca="1">IF(ISNUMBER(MATCH(DATEVALUE($A304),'changes1_based on steps'!K$1:K$400,0)),K$2,)</f>
        <v>0</v>
      </c>
      <c r="L304" s="179">
        <f ca="1">IF(ISNUMBER(MATCH(DATEVALUE($A304),'changes1_based on steps'!L$1:L$400,0)),L$2,)</f>
        <v>0</v>
      </c>
      <c r="M304" s="179">
        <f ca="1">IF(ISNUMBER(MATCH(DATEVALUE($A304),'changes1_based on steps'!M$1:M$400,0)),M$2,)</f>
        <v>0</v>
      </c>
      <c r="N304" s="179">
        <f ca="1">IF(ISNUMBER(MATCH(DATEVALUE($A304),'changes1_based on steps'!N$1:N$400,0)),N$2,)</f>
        <v>0</v>
      </c>
      <c r="O304" s="179">
        <f ca="1">IF(ISNUMBER(MATCH(DATEVALUE($A304),'changes1_based on steps'!O$1:O$400,0)),O$2,)</f>
        <v>0</v>
      </c>
      <c r="P304" s="179">
        <f ca="1">IF(ISNUMBER(MATCH(DATEVALUE($A304),'changes1_based on steps'!P$1:P$400,0)),P$2,)</f>
        <v>0</v>
      </c>
      <c r="Q304" s="179">
        <f ca="1">IF(ISNUMBER(MATCH(DATEVALUE($A304),'changes1_based on steps'!Q$1:Q$400,0)),Q$2,)</f>
        <v>0</v>
      </c>
      <c r="R304" s="179">
        <f ca="1">IF(ISNUMBER(MATCH(DATEVALUE($A304),'changes1_based on steps'!R$1:R$400,0)),R$2,)</f>
        <v>0</v>
      </c>
      <c r="S304" s="179">
        <f ca="1">IF(ISNUMBER(MATCH(DATEVALUE($A304),'changes1_based on steps'!S$1:S$400,0)),S$2,)</f>
        <v>0</v>
      </c>
      <c r="T304" s="179">
        <f ca="1">IF(ISNUMBER(MATCH(DATEVALUE($A304),'changes1_based on steps'!T$1:T$400,0)),T$2,)</f>
        <v>0</v>
      </c>
      <c r="U304" s="179">
        <f ca="1">IF(ISNUMBER(MATCH(DATEVALUE($A304),'changes1_based on steps'!U$1:U$400,0)),U$2,)</f>
        <v>0</v>
      </c>
      <c r="V304" s="179"/>
      <c r="W304" s="179"/>
      <c r="X304" s="179"/>
      <c r="Y304" s="179"/>
      <c r="Z304" s="179"/>
      <c r="AA304" s="179"/>
      <c r="AB304" s="179"/>
      <c r="AC304" s="179"/>
      <c r="AD304" s="179"/>
      <c r="AE304" s="179"/>
      <c r="AF304" s="179"/>
      <c r="AG304" s="179"/>
      <c r="AH304" s="179"/>
      <c r="AI304" s="179"/>
      <c r="AJ304" s="179"/>
      <c r="AK304" s="179"/>
      <c r="AL304" s="179"/>
      <c r="AM304" s="179"/>
      <c r="AN304" s="179"/>
      <c r="AO304" s="179"/>
      <c r="AP304" s="179"/>
      <c r="AQ304" s="179"/>
      <c r="AR304" s="179"/>
      <c r="AS304" s="179"/>
      <c r="AT304" s="179"/>
      <c r="AU304" s="179"/>
      <c r="AV304" s="179"/>
      <c r="AW304" s="179"/>
      <c r="AX304" s="179"/>
      <c r="AY304" s="179"/>
      <c r="AZ304" s="179"/>
      <c r="BA304" s="179"/>
      <c r="BB304" s="179"/>
      <c r="BC304" s="179"/>
      <c r="BD304" s="179"/>
      <c r="BE304" s="179"/>
      <c r="BF304" s="179"/>
      <c r="BG304" s="179"/>
      <c r="BH304" s="179"/>
      <c r="BI304" s="179"/>
      <c r="BJ304" s="179"/>
      <c r="BK304" s="179"/>
      <c r="BL304" s="179"/>
      <c r="BM304" s="179"/>
      <c r="BN304" s="179"/>
      <c r="BO304" s="179"/>
      <c r="BP304" s="179"/>
      <c r="BQ304" s="179"/>
      <c r="BR304" s="179"/>
      <c r="BS304" s="179"/>
      <c r="BT304" s="179"/>
      <c r="BU304" s="179"/>
      <c r="BV304" s="179"/>
      <c r="BW304" s="179"/>
      <c r="BX304" s="179"/>
      <c r="BY304" s="179"/>
      <c r="BZ304" s="179"/>
      <c r="CA304" s="179"/>
      <c r="CB304" s="179"/>
      <c r="CC304" s="179"/>
      <c r="CD304" s="179"/>
      <c r="CE304" s="179"/>
      <c r="CF304" s="179"/>
      <c r="CG304" s="179"/>
      <c r="CH304" s="179"/>
      <c r="CI304" s="179"/>
      <c r="CJ304" s="179"/>
      <c r="CK304" s="179"/>
      <c r="CL304" s="179"/>
      <c r="CM304" s="179"/>
      <c r="CN304" s="179"/>
      <c r="CO304" s="179"/>
      <c r="CP304" s="179"/>
      <c r="CQ304" s="179"/>
      <c r="CR304" s="179"/>
      <c r="CS304" s="179"/>
      <c r="CT304" s="179"/>
      <c r="CU304" s="179"/>
      <c r="CV304" s="179"/>
      <c r="CW304" s="179"/>
    </row>
    <row r="305" spans="1:101" x14ac:dyDescent="0.2">
      <c r="A305" s="32" t="str">
        <f t="shared" ca="1" si="4"/>
        <v>2026-02-01</v>
      </c>
      <c r="B305" s="179">
        <f ca="1">IF(ISNUMBER(MATCH(DATEVALUE($A305),'changes1_based on steps'!B$1:B$400,0)),B$2,)</f>
        <v>0</v>
      </c>
      <c r="C305" s="179">
        <f ca="1">IF(ISNUMBER(MATCH(DATEVALUE($A305),'changes1_based on steps'!C$1:C$400,0)),C$2,)</f>
        <v>0</v>
      </c>
      <c r="D305" s="179">
        <f ca="1">IF(ISNUMBER(MATCH(DATEVALUE($A305),'changes1_based on steps'!D$1:D$400,0)),D$2,)</f>
        <v>0</v>
      </c>
      <c r="E305" s="179">
        <f ca="1">IF(ISNUMBER(MATCH(DATEVALUE($A305),'changes1_based on steps'!E$1:E$400,0)),E$2,)</f>
        <v>0</v>
      </c>
      <c r="F305" s="179">
        <f ca="1">IF(ISNUMBER(MATCH(DATEVALUE($A305),'changes1_based on steps'!F$1:F$400,0)),F$2,)</f>
        <v>0</v>
      </c>
      <c r="G305" s="179">
        <f ca="1">IF(ISNUMBER(MATCH(DATEVALUE($A305),'changes1_based on steps'!G$1:G$400,0)),G$2,)</f>
        <v>0</v>
      </c>
      <c r="H305" s="179">
        <f ca="1">IF(ISNUMBER(MATCH(DATEVALUE($A305),'changes1_based on steps'!H$1:H$400,0)),H$2,)</f>
        <v>0</v>
      </c>
      <c r="I305" s="179">
        <f ca="1">IF(ISNUMBER(MATCH(DATEVALUE($A305),'changes1_based on steps'!I$1:I$400,0)),I$2,)</f>
        <v>0</v>
      </c>
      <c r="J305" s="179">
        <f ca="1">IF(ISNUMBER(MATCH(DATEVALUE($A305),'changes1_based on steps'!J$1:J$400,0)),J$2,)</f>
        <v>0</v>
      </c>
      <c r="K305" s="179">
        <f ca="1">IF(ISNUMBER(MATCH(DATEVALUE($A305),'changes1_based on steps'!K$1:K$400,0)),K$2,)</f>
        <v>0</v>
      </c>
      <c r="L305" s="179">
        <f ca="1">IF(ISNUMBER(MATCH(DATEVALUE($A305),'changes1_based on steps'!L$1:L$400,0)),L$2,)</f>
        <v>0</v>
      </c>
      <c r="M305" s="179">
        <f ca="1">IF(ISNUMBER(MATCH(DATEVALUE($A305),'changes1_based on steps'!M$1:M$400,0)),M$2,)</f>
        <v>0</v>
      </c>
      <c r="N305" s="179">
        <f ca="1">IF(ISNUMBER(MATCH(DATEVALUE($A305),'changes1_based on steps'!N$1:N$400,0)),N$2,)</f>
        <v>0</v>
      </c>
      <c r="O305" s="179">
        <f ca="1">IF(ISNUMBER(MATCH(DATEVALUE($A305),'changes1_based on steps'!O$1:O$400,0)),O$2,)</f>
        <v>0</v>
      </c>
      <c r="P305" s="179">
        <f ca="1">IF(ISNUMBER(MATCH(DATEVALUE($A305),'changes1_based on steps'!P$1:P$400,0)),P$2,)</f>
        <v>0</v>
      </c>
      <c r="Q305" s="179">
        <f ca="1">IF(ISNUMBER(MATCH(DATEVALUE($A305),'changes1_based on steps'!Q$1:Q$400,0)),Q$2,)</f>
        <v>0</v>
      </c>
      <c r="R305" s="179">
        <f ca="1">IF(ISNUMBER(MATCH(DATEVALUE($A305),'changes1_based on steps'!R$1:R$400,0)),R$2,)</f>
        <v>0</v>
      </c>
      <c r="S305" s="179">
        <f ca="1">IF(ISNUMBER(MATCH(DATEVALUE($A305),'changes1_based on steps'!S$1:S$400,0)),S$2,)</f>
        <v>0</v>
      </c>
      <c r="T305" s="179">
        <f ca="1">IF(ISNUMBER(MATCH(DATEVALUE($A305),'changes1_based on steps'!T$1:T$400,0)),T$2,)</f>
        <v>0</v>
      </c>
      <c r="U305" s="179">
        <f ca="1">IF(ISNUMBER(MATCH(DATEVALUE($A305),'changes1_based on steps'!U$1:U$400,0)),U$2,)</f>
        <v>0</v>
      </c>
      <c r="V305" s="179"/>
      <c r="W305" s="179"/>
      <c r="X305" s="179"/>
      <c r="Y305" s="179"/>
      <c r="Z305" s="179"/>
      <c r="AA305" s="179"/>
      <c r="AB305" s="179"/>
      <c r="AC305" s="179"/>
      <c r="AD305" s="179"/>
      <c r="AE305" s="179"/>
      <c r="AF305" s="179"/>
      <c r="AG305" s="179"/>
      <c r="AH305" s="179"/>
      <c r="AI305" s="179"/>
      <c r="AJ305" s="179"/>
      <c r="AK305" s="179"/>
      <c r="AL305" s="179"/>
      <c r="AM305" s="179"/>
      <c r="AN305" s="179"/>
      <c r="AO305" s="179"/>
      <c r="AP305" s="179"/>
      <c r="AQ305" s="179"/>
      <c r="AR305" s="179"/>
      <c r="AS305" s="179"/>
      <c r="AT305" s="179"/>
      <c r="AU305" s="179"/>
      <c r="AV305" s="179"/>
      <c r="AW305" s="179"/>
      <c r="AX305" s="179"/>
      <c r="AY305" s="179"/>
      <c r="AZ305" s="179"/>
      <c r="BA305" s="179"/>
      <c r="BB305" s="179"/>
      <c r="BC305" s="179"/>
      <c r="BD305" s="179"/>
      <c r="BE305" s="179"/>
      <c r="BF305" s="179"/>
      <c r="BG305" s="179"/>
      <c r="BH305" s="179"/>
      <c r="BI305" s="179"/>
      <c r="BJ305" s="179"/>
      <c r="BK305" s="179"/>
      <c r="BL305" s="179"/>
      <c r="BM305" s="179"/>
      <c r="BN305" s="179"/>
      <c r="BO305" s="179"/>
      <c r="BP305" s="179"/>
      <c r="BQ305" s="179"/>
      <c r="BR305" s="179"/>
      <c r="BS305" s="179"/>
      <c r="BT305" s="179"/>
      <c r="BU305" s="179"/>
      <c r="BV305" s="179"/>
      <c r="BW305" s="179"/>
      <c r="BX305" s="179"/>
      <c r="BY305" s="179"/>
      <c r="BZ305" s="179"/>
      <c r="CA305" s="179"/>
      <c r="CB305" s="179"/>
      <c r="CC305" s="179"/>
      <c r="CD305" s="179"/>
      <c r="CE305" s="179"/>
      <c r="CF305" s="179"/>
      <c r="CG305" s="179"/>
      <c r="CH305" s="179"/>
      <c r="CI305" s="179"/>
      <c r="CJ305" s="179"/>
      <c r="CK305" s="179"/>
      <c r="CL305" s="179"/>
      <c r="CM305" s="179"/>
      <c r="CN305" s="179"/>
      <c r="CO305" s="179"/>
      <c r="CP305" s="179"/>
      <c r="CQ305" s="179"/>
      <c r="CR305" s="179"/>
      <c r="CS305" s="179"/>
      <c r="CT305" s="179"/>
      <c r="CU305" s="179"/>
      <c r="CV305" s="179"/>
      <c r="CW305" s="179"/>
    </row>
    <row r="306" spans="1:101" x14ac:dyDescent="0.2">
      <c r="A306" s="32" t="str">
        <f t="shared" ca="1" si="4"/>
        <v>2026-02-02</v>
      </c>
      <c r="B306" s="179">
        <f ca="1">IF(ISNUMBER(MATCH(DATEVALUE($A306),'changes1_based on steps'!B$1:B$400,0)),B$2,)</f>
        <v>0</v>
      </c>
      <c r="C306" s="179">
        <f ca="1">IF(ISNUMBER(MATCH(DATEVALUE($A306),'changes1_based on steps'!C$1:C$400,0)),C$2,)</f>
        <v>0</v>
      </c>
      <c r="D306" s="179">
        <f ca="1">IF(ISNUMBER(MATCH(DATEVALUE($A306),'changes1_based on steps'!D$1:D$400,0)),D$2,)</f>
        <v>0</v>
      </c>
      <c r="E306" s="179">
        <f ca="1">IF(ISNUMBER(MATCH(DATEVALUE($A306),'changes1_based on steps'!E$1:E$400,0)),E$2,)</f>
        <v>0</v>
      </c>
      <c r="F306" s="179">
        <f ca="1">IF(ISNUMBER(MATCH(DATEVALUE($A306),'changes1_based on steps'!F$1:F$400,0)),F$2,)</f>
        <v>0</v>
      </c>
      <c r="G306" s="179">
        <f ca="1">IF(ISNUMBER(MATCH(DATEVALUE($A306),'changes1_based on steps'!G$1:G$400,0)),G$2,)</f>
        <v>0</v>
      </c>
      <c r="H306" s="179">
        <f ca="1">IF(ISNUMBER(MATCH(DATEVALUE($A306),'changes1_based on steps'!H$1:H$400,0)),H$2,)</f>
        <v>0</v>
      </c>
      <c r="I306" s="179">
        <f ca="1">IF(ISNUMBER(MATCH(DATEVALUE($A306),'changes1_based on steps'!I$1:I$400,0)),I$2,)</f>
        <v>0</v>
      </c>
      <c r="J306" s="179">
        <f ca="1">IF(ISNUMBER(MATCH(DATEVALUE($A306),'changes1_based on steps'!J$1:J$400,0)),J$2,)</f>
        <v>0</v>
      </c>
      <c r="K306" s="179">
        <f ca="1">IF(ISNUMBER(MATCH(DATEVALUE($A306),'changes1_based on steps'!K$1:K$400,0)),K$2,)</f>
        <v>0</v>
      </c>
      <c r="L306" s="179">
        <f ca="1">IF(ISNUMBER(MATCH(DATEVALUE($A306),'changes1_based on steps'!L$1:L$400,0)),L$2,)</f>
        <v>0</v>
      </c>
      <c r="M306" s="179">
        <f ca="1">IF(ISNUMBER(MATCH(DATEVALUE($A306),'changes1_based on steps'!M$1:M$400,0)),M$2,)</f>
        <v>0</v>
      </c>
      <c r="N306" s="179">
        <f ca="1">IF(ISNUMBER(MATCH(DATEVALUE($A306),'changes1_based on steps'!N$1:N$400,0)),N$2,)</f>
        <v>0</v>
      </c>
      <c r="O306" s="179">
        <f ca="1">IF(ISNUMBER(MATCH(DATEVALUE($A306),'changes1_based on steps'!O$1:O$400,0)),O$2,)</f>
        <v>0</v>
      </c>
      <c r="P306" s="179">
        <f ca="1">IF(ISNUMBER(MATCH(DATEVALUE($A306),'changes1_based on steps'!P$1:P$400,0)),P$2,)</f>
        <v>0</v>
      </c>
      <c r="Q306" s="179">
        <f ca="1">IF(ISNUMBER(MATCH(DATEVALUE($A306),'changes1_based on steps'!Q$1:Q$400,0)),Q$2,)</f>
        <v>0</v>
      </c>
      <c r="R306" s="179">
        <f ca="1">IF(ISNUMBER(MATCH(DATEVALUE($A306),'changes1_based on steps'!R$1:R$400,0)),R$2,)</f>
        <v>0</v>
      </c>
      <c r="S306" s="179">
        <f ca="1">IF(ISNUMBER(MATCH(DATEVALUE($A306),'changes1_based on steps'!S$1:S$400,0)),S$2,)</f>
        <v>0</v>
      </c>
      <c r="T306" s="179">
        <f ca="1">IF(ISNUMBER(MATCH(DATEVALUE($A306),'changes1_based on steps'!T$1:T$400,0)),T$2,)</f>
        <v>0</v>
      </c>
      <c r="U306" s="179">
        <f ca="1">IF(ISNUMBER(MATCH(DATEVALUE($A306),'changes1_based on steps'!U$1:U$400,0)),U$2,)</f>
        <v>0</v>
      </c>
      <c r="V306" s="179"/>
      <c r="W306" s="179"/>
      <c r="X306" s="179"/>
      <c r="Y306" s="179"/>
      <c r="Z306" s="179"/>
      <c r="AA306" s="179"/>
      <c r="AB306" s="179"/>
      <c r="AC306" s="179"/>
      <c r="AD306" s="179"/>
      <c r="AE306" s="179"/>
      <c r="AF306" s="179"/>
      <c r="AG306" s="179"/>
      <c r="AH306" s="179"/>
      <c r="AI306" s="179"/>
      <c r="AJ306" s="179"/>
      <c r="AK306" s="179"/>
      <c r="AL306" s="179"/>
      <c r="AM306" s="179"/>
      <c r="AN306" s="179"/>
      <c r="AO306" s="179"/>
      <c r="AP306" s="179"/>
      <c r="AQ306" s="179"/>
      <c r="AR306" s="179"/>
      <c r="AS306" s="179"/>
      <c r="AT306" s="179"/>
      <c r="AU306" s="179"/>
      <c r="AV306" s="179"/>
      <c r="AW306" s="179"/>
      <c r="AX306" s="179"/>
      <c r="AY306" s="179"/>
      <c r="AZ306" s="179"/>
      <c r="BA306" s="179"/>
      <c r="BB306" s="179"/>
      <c r="BC306" s="179"/>
      <c r="BD306" s="179"/>
      <c r="BE306" s="179"/>
      <c r="BF306" s="179"/>
      <c r="BG306" s="179"/>
      <c r="BH306" s="179"/>
      <c r="BI306" s="179"/>
      <c r="BJ306" s="179"/>
      <c r="BK306" s="179"/>
      <c r="BL306" s="179"/>
      <c r="BM306" s="179"/>
      <c r="BN306" s="179"/>
      <c r="BO306" s="179"/>
      <c r="BP306" s="179"/>
      <c r="BQ306" s="179"/>
      <c r="BR306" s="179"/>
      <c r="BS306" s="179"/>
      <c r="BT306" s="179"/>
      <c r="BU306" s="179"/>
      <c r="BV306" s="179"/>
      <c r="BW306" s="179"/>
      <c r="BX306" s="179"/>
      <c r="BY306" s="179"/>
      <c r="BZ306" s="179"/>
      <c r="CA306" s="179"/>
      <c r="CB306" s="179"/>
      <c r="CC306" s="179"/>
      <c r="CD306" s="179"/>
      <c r="CE306" s="179"/>
      <c r="CF306" s="179"/>
      <c r="CG306" s="179"/>
      <c r="CH306" s="179"/>
      <c r="CI306" s="179"/>
      <c r="CJ306" s="179"/>
      <c r="CK306" s="179"/>
      <c r="CL306" s="179"/>
      <c r="CM306" s="179"/>
      <c r="CN306" s="179"/>
      <c r="CO306" s="179"/>
      <c r="CP306" s="179"/>
      <c r="CQ306" s="179"/>
      <c r="CR306" s="179"/>
      <c r="CS306" s="179"/>
      <c r="CT306" s="179"/>
      <c r="CU306" s="179"/>
      <c r="CV306" s="179"/>
      <c r="CW306" s="179"/>
    </row>
    <row r="307" spans="1:101" x14ac:dyDescent="0.2">
      <c r="A307" s="32" t="str">
        <f t="shared" ca="1" si="4"/>
        <v>2026-02-03</v>
      </c>
      <c r="B307" s="179">
        <f ca="1">IF(ISNUMBER(MATCH(DATEVALUE($A307),'changes1_based on steps'!B$1:B$400,0)),B$2,)</f>
        <v>0</v>
      </c>
      <c r="C307" s="179">
        <f ca="1">IF(ISNUMBER(MATCH(DATEVALUE($A307),'changes1_based on steps'!C$1:C$400,0)),C$2,)</f>
        <v>0</v>
      </c>
      <c r="D307" s="179">
        <f ca="1">IF(ISNUMBER(MATCH(DATEVALUE($A307),'changes1_based on steps'!D$1:D$400,0)),D$2,)</f>
        <v>0</v>
      </c>
      <c r="E307" s="179">
        <f ca="1">IF(ISNUMBER(MATCH(DATEVALUE($A307),'changes1_based on steps'!E$1:E$400,0)),E$2,)</f>
        <v>0</v>
      </c>
      <c r="F307" s="179">
        <f ca="1">IF(ISNUMBER(MATCH(DATEVALUE($A307),'changes1_based on steps'!F$1:F$400,0)),F$2,)</f>
        <v>0</v>
      </c>
      <c r="G307" s="179">
        <f ca="1">IF(ISNUMBER(MATCH(DATEVALUE($A307),'changes1_based on steps'!G$1:G$400,0)),G$2,)</f>
        <v>0</v>
      </c>
      <c r="H307" s="179">
        <f ca="1">IF(ISNUMBER(MATCH(DATEVALUE($A307),'changes1_based on steps'!H$1:H$400,0)),H$2,)</f>
        <v>0</v>
      </c>
      <c r="I307" s="179">
        <f ca="1">IF(ISNUMBER(MATCH(DATEVALUE($A307),'changes1_based on steps'!I$1:I$400,0)),I$2,)</f>
        <v>0</v>
      </c>
      <c r="J307" s="179">
        <f ca="1">IF(ISNUMBER(MATCH(DATEVALUE($A307),'changes1_based on steps'!J$1:J$400,0)),J$2,)</f>
        <v>0</v>
      </c>
      <c r="K307" s="179">
        <f ca="1">IF(ISNUMBER(MATCH(DATEVALUE($A307),'changes1_based on steps'!K$1:K$400,0)),K$2,)</f>
        <v>0</v>
      </c>
      <c r="L307" s="179">
        <f ca="1">IF(ISNUMBER(MATCH(DATEVALUE($A307),'changes1_based on steps'!L$1:L$400,0)),L$2,)</f>
        <v>0</v>
      </c>
      <c r="M307" s="179">
        <f ca="1">IF(ISNUMBER(MATCH(DATEVALUE($A307),'changes1_based on steps'!M$1:M$400,0)),M$2,)</f>
        <v>0</v>
      </c>
      <c r="N307" s="179">
        <f ca="1">IF(ISNUMBER(MATCH(DATEVALUE($A307),'changes1_based on steps'!N$1:N$400,0)),N$2,)</f>
        <v>0</v>
      </c>
      <c r="O307" s="179">
        <f ca="1">IF(ISNUMBER(MATCH(DATEVALUE($A307),'changes1_based on steps'!O$1:O$400,0)),O$2,)</f>
        <v>0</v>
      </c>
      <c r="P307" s="179">
        <f ca="1">IF(ISNUMBER(MATCH(DATEVALUE($A307),'changes1_based on steps'!P$1:P$400,0)),P$2,)</f>
        <v>0</v>
      </c>
      <c r="Q307" s="179">
        <f ca="1">IF(ISNUMBER(MATCH(DATEVALUE($A307),'changes1_based on steps'!Q$1:Q$400,0)),Q$2,)</f>
        <v>0</v>
      </c>
      <c r="R307" s="179">
        <f ca="1">IF(ISNUMBER(MATCH(DATEVALUE($A307),'changes1_based on steps'!R$1:R$400,0)),R$2,)</f>
        <v>0</v>
      </c>
      <c r="S307" s="179">
        <f ca="1">IF(ISNUMBER(MATCH(DATEVALUE($A307),'changes1_based on steps'!S$1:S$400,0)),S$2,)</f>
        <v>0</v>
      </c>
      <c r="T307" s="179">
        <f ca="1">IF(ISNUMBER(MATCH(DATEVALUE($A307),'changes1_based on steps'!T$1:T$400,0)),T$2,)</f>
        <v>0</v>
      </c>
      <c r="U307" s="179">
        <f ca="1">IF(ISNUMBER(MATCH(DATEVALUE($A307),'changes1_based on steps'!U$1:U$400,0)),U$2,)</f>
        <v>0</v>
      </c>
      <c r="V307" s="179"/>
      <c r="W307" s="179"/>
      <c r="X307" s="179"/>
      <c r="Y307" s="179"/>
      <c r="Z307" s="179"/>
      <c r="AA307" s="179"/>
      <c r="AB307" s="179"/>
      <c r="AC307" s="179"/>
      <c r="AD307" s="179"/>
      <c r="AE307" s="179"/>
      <c r="AF307" s="179"/>
      <c r="AG307" s="179"/>
      <c r="AH307" s="179"/>
      <c r="AI307" s="179"/>
      <c r="AJ307" s="179"/>
      <c r="AK307" s="179"/>
      <c r="AL307" s="179"/>
      <c r="AM307" s="179"/>
      <c r="AN307" s="179"/>
      <c r="AO307" s="179"/>
      <c r="AP307" s="179"/>
      <c r="AQ307" s="179"/>
      <c r="AR307" s="179"/>
      <c r="AS307" s="179"/>
      <c r="AT307" s="179"/>
      <c r="AU307" s="179"/>
      <c r="AV307" s="179"/>
      <c r="AW307" s="179"/>
      <c r="AX307" s="179"/>
      <c r="AY307" s="179"/>
      <c r="AZ307" s="179"/>
      <c r="BA307" s="179"/>
      <c r="BB307" s="179"/>
      <c r="BC307" s="179"/>
      <c r="BD307" s="179"/>
      <c r="BE307" s="179"/>
      <c r="BF307" s="179"/>
      <c r="BG307" s="179"/>
      <c r="BH307" s="179"/>
      <c r="BI307" s="179"/>
      <c r="BJ307" s="179"/>
      <c r="BK307" s="179"/>
      <c r="BL307" s="179"/>
      <c r="BM307" s="179"/>
      <c r="BN307" s="179"/>
      <c r="BO307" s="179"/>
      <c r="BP307" s="179"/>
      <c r="BQ307" s="179"/>
      <c r="BR307" s="179"/>
      <c r="BS307" s="179"/>
      <c r="BT307" s="179"/>
      <c r="BU307" s="179"/>
      <c r="BV307" s="179"/>
      <c r="BW307" s="179"/>
      <c r="BX307" s="179"/>
      <c r="BY307" s="179"/>
      <c r="BZ307" s="179"/>
      <c r="CA307" s="179"/>
      <c r="CB307" s="179"/>
      <c r="CC307" s="179"/>
      <c r="CD307" s="179"/>
      <c r="CE307" s="179"/>
      <c r="CF307" s="179"/>
      <c r="CG307" s="179"/>
      <c r="CH307" s="179"/>
      <c r="CI307" s="179"/>
      <c r="CJ307" s="179"/>
      <c r="CK307" s="179"/>
      <c r="CL307" s="179"/>
      <c r="CM307" s="179"/>
      <c r="CN307" s="179"/>
      <c r="CO307" s="179"/>
      <c r="CP307" s="179"/>
      <c r="CQ307" s="179"/>
      <c r="CR307" s="179"/>
      <c r="CS307" s="179"/>
      <c r="CT307" s="179"/>
      <c r="CU307" s="179"/>
      <c r="CV307" s="179"/>
      <c r="CW307" s="179"/>
    </row>
    <row r="308" spans="1:101" x14ac:dyDescent="0.2">
      <c r="A308" s="32" t="str">
        <f t="shared" ca="1" si="4"/>
        <v>2026-02-04</v>
      </c>
      <c r="B308" s="179">
        <f ca="1">IF(ISNUMBER(MATCH(DATEVALUE($A308),'changes1_based on steps'!B$1:B$400,0)),B$2,)</f>
        <v>0</v>
      </c>
      <c r="C308" s="179">
        <f ca="1">IF(ISNUMBER(MATCH(DATEVALUE($A308),'changes1_based on steps'!C$1:C$400,0)),C$2,)</f>
        <v>0</v>
      </c>
      <c r="D308" s="179">
        <f ca="1">IF(ISNUMBER(MATCH(DATEVALUE($A308),'changes1_based on steps'!D$1:D$400,0)),D$2,)</f>
        <v>0</v>
      </c>
      <c r="E308" s="179">
        <f ca="1">IF(ISNUMBER(MATCH(DATEVALUE($A308),'changes1_based on steps'!E$1:E$400,0)),E$2,)</f>
        <v>0</v>
      </c>
      <c r="F308" s="179">
        <f ca="1">IF(ISNUMBER(MATCH(DATEVALUE($A308),'changes1_based on steps'!F$1:F$400,0)),F$2,)</f>
        <v>0</v>
      </c>
      <c r="G308" s="179">
        <f ca="1">IF(ISNUMBER(MATCH(DATEVALUE($A308),'changes1_based on steps'!G$1:G$400,0)),G$2,)</f>
        <v>0</v>
      </c>
      <c r="H308" s="179">
        <f ca="1">IF(ISNUMBER(MATCH(DATEVALUE($A308),'changes1_based on steps'!H$1:H$400,0)),H$2,)</f>
        <v>0</v>
      </c>
      <c r="I308" s="179">
        <f ca="1">IF(ISNUMBER(MATCH(DATEVALUE($A308),'changes1_based on steps'!I$1:I$400,0)),I$2,)</f>
        <v>0</v>
      </c>
      <c r="J308" s="179">
        <f ca="1">IF(ISNUMBER(MATCH(DATEVALUE($A308),'changes1_based on steps'!J$1:J$400,0)),J$2,)</f>
        <v>0</v>
      </c>
      <c r="K308" s="179">
        <f ca="1">IF(ISNUMBER(MATCH(DATEVALUE($A308),'changes1_based on steps'!K$1:K$400,0)),K$2,)</f>
        <v>0</v>
      </c>
      <c r="L308" s="179">
        <f ca="1">IF(ISNUMBER(MATCH(DATEVALUE($A308),'changes1_based on steps'!L$1:L$400,0)),L$2,)</f>
        <v>0</v>
      </c>
      <c r="M308" s="179">
        <f ca="1">IF(ISNUMBER(MATCH(DATEVALUE($A308),'changes1_based on steps'!M$1:M$400,0)),M$2,)</f>
        <v>0</v>
      </c>
      <c r="N308" s="179">
        <f ca="1">IF(ISNUMBER(MATCH(DATEVALUE($A308),'changes1_based on steps'!N$1:N$400,0)),N$2,)</f>
        <v>0</v>
      </c>
      <c r="O308" s="179">
        <f ca="1">IF(ISNUMBER(MATCH(DATEVALUE($A308),'changes1_based on steps'!O$1:O$400,0)),O$2,)</f>
        <v>0</v>
      </c>
      <c r="P308" s="179">
        <f ca="1">IF(ISNUMBER(MATCH(DATEVALUE($A308),'changes1_based on steps'!P$1:P$400,0)),P$2,)</f>
        <v>0</v>
      </c>
      <c r="Q308" s="179">
        <f ca="1">IF(ISNUMBER(MATCH(DATEVALUE($A308),'changes1_based on steps'!Q$1:Q$400,0)),Q$2,)</f>
        <v>0</v>
      </c>
      <c r="R308" s="179">
        <f ca="1">IF(ISNUMBER(MATCH(DATEVALUE($A308),'changes1_based on steps'!R$1:R$400,0)),R$2,)</f>
        <v>0</v>
      </c>
      <c r="S308" s="179">
        <f ca="1">IF(ISNUMBER(MATCH(DATEVALUE($A308),'changes1_based on steps'!S$1:S$400,0)),S$2,)</f>
        <v>0</v>
      </c>
      <c r="T308" s="179">
        <f ca="1">IF(ISNUMBER(MATCH(DATEVALUE($A308),'changes1_based on steps'!T$1:T$400,0)),T$2,)</f>
        <v>0</v>
      </c>
      <c r="U308" s="179">
        <f ca="1">IF(ISNUMBER(MATCH(DATEVALUE($A308),'changes1_based on steps'!U$1:U$400,0)),U$2,)</f>
        <v>0</v>
      </c>
      <c r="V308" s="179"/>
      <c r="W308" s="179"/>
      <c r="X308" s="179"/>
      <c r="Y308" s="179"/>
      <c r="Z308" s="179"/>
      <c r="AA308" s="179"/>
      <c r="AB308" s="179"/>
      <c r="AC308" s="179"/>
      <c r="AD308" s="179"/>
      <c r="AE308" s="179"/>
      <c r="AF308" s="179"/>
      <c r="AG308" s="179"/>
      <c r="AH308" s="179"/>
      <c r="AI308" s="179"/>
      <c r="AJ308" s="179"/>
      <c r="AK308" s="179"/>
      <c r="AL308" s="179"/>
      <c r="AM308" s="179"/>
      <c r="AN308" s="179"/>
      <c r="AO308" s="179"/>
      <c r="AP308" s="179"/>
      <c r="AQ308" s="179"/>
      <c r="AR308" s="179"/>
      <c r="AS308" s="179"/>
      <c r="AT308" s="179"/>
      <c r="AU308" s="179"/>
      <c r="AV308" s="179"/>
      <c r="AW308" s="179"/>
      <c r="AX308" s="179"/>
      <c r="AY308" s="179"/>
      <c r="AZ308" s="179"/>
      <c r="BA308" s="179"/>
      <c r="BB308" s="179"/>
      <c r="BC308" s="179"/>
      <c r="BD308" s="179"/>
      <c r="BE308" s="179"/>
      <c r="BF308" s="179"/>
      <c r="BG308" s="179"/>
      <c r="BH308" s="179"/>
      <c r="BI308" s="179"/>
      <c r="BJ308" s="179"/>
      <c r="BK308" s="179"/>
      <c r="BL308" s="179"/>
      <c r="BM308" s="179"/>
      <c r="BN308" s="179"/>
      <c r="BO308" s="179"/>
      <c r="BP308" s="179"/>
      <c r="BQ308" s="179"/>
      <c r="BR308" s="179"/>
      <c r="BS308" s="179"/>
      <c r="BT308" s="179"/>
      <c r="BU308" s="179"/>
      <c r="BV308" s="179"/>
      <c r="BW308" s="179"/>
      <c r="BX308" s="179"/>
      <c r="BY308" s="179"/>
      <c r="BZ308" s="179"/>
      <c r="CA308" s="179"/>
      <c r="CB308" s="179"/>
      <c r="CC308" s="179"/>
      <c r="CD308" s="179"/>
      <c r="CE308" s="179"/>
      <c r="CF308" s="179"/>
      <c r="CG308" s="179"/>
      <c r="CH308" s="179"/>
      <c r="CI308" s="179"/>
      <c r="CJ308" s="179"/>
      <c r="CK308" s="179"/>
      <c r="CL308" s="179"/>
      <c r="CM308" s="179"/>
      <c r="CN308" s="179"/>
      <c r="CO308" s="179"/>
      <c r="CP308" s="179"/>
      <c r="CQ308" s="179"/>
      <c r="CR308" s="179"/>
      <c r="CS308" s="179"/>
      <c r="CT308" s="179"/>
      <c r="CU308" s="179"/>
      <c r="CV308" s="179"/>
      <c r="CW308" s="179"/>
    </row>
    <row r="309" spans="1:101" x14ac:dyDescent="0.2">
      <c r="A309" s="32" t="str">
        <f t="shared" ca="1" si="4"/>
        <v>2026-02-05</v>
      </c>
      <c r="B309" s="179">
        <f ca="1">IF(ISNUMBER(MATCH(DATEVALUE($A309),'changes1_based on steps'!B$1:B$400,0)),B$2,)</f>
        <v>0</v>
      </c>
      <c r="C309" s="179">
        <f ca="1">IF(ISNUMBER(MATCH(DATEVALUE($A309),'changes1_based on steps'!C$1:C$400,0)),C$2,)</f>
        <v>0</v>
      </c>
      <c r="D309" s="179">
        <f ca="1">IF(ISNUMBER(MATCH(DATEVALUE($A309),'changes1_based on steps'!D$1:D$400,0)),D$2,)</f>
        <v>0</v>
      </c>
      <c r="E309" s="179">
        <f ca="1">IF(ISNUMBER(MATCH(DATEVALUE($A309),'changes1_based on steps'!E$1:E$400,0)),E$2,)</f>
        <v>0</v>
      </c>
      <c r="F309" s="179">
        <f ca="1">IF(ISNUMBER(MATCH(DATEVALUE($A309),'changes1_based on steps'!F$1:F$400,0)),F$2,)</f>
        <v>0</v>
      </c>
      <c r="G309" s="179">
        <f ca="1">IF(ISNUMBER(MATCH(DATEVALUE($A309),'changes1_based on steps'!G$1:G$400,0)),G$2,)</f>
        <v>0</v>
      </c>
      <c r="H309" s="179">
        <f ca="1">IF(ISNUMBER(MATCH(DATEVALUE($A309),'changes1_based on steps'!H$1:H$400,0)),H$2,)</f>
        <v>0</v>
      </c>
      <c r="I309" s="179">
        <f ca="1">IF(ISNUMBER(MATCH(DATEVALUE($A309),'changes1_based on steps'!I$1:I$400,0)),I$2,)</f>
        <v>0</v>
      </c>
      <c r="J309" s="179">
        <f ca="1">IF(ISNUMBER(MATCH(DATEVALUE($A309),'changes1_based on steps'!J$1:J$400,0)),J$2,)</f>
        <v>0</v>
      </c>
      <c r="K309" s="179">
        <f ca="1">IF(ISNUMBER(MATCH(DATEVALUE($A309),'changes1_based on steps'!K$1:K$400,0)),K$2,)</f>
        <v>0</v>
      </c>
      <c r="L309" s="179">
        <f ca="1">IF(ISNUMBER(MATCH(DATEVALUE($A309),'changes1_based on steps'!L$1:L$400,0)),L$2,)</f>
        <v>0</v>
      </c>
      <c r="M309" s="179">
        <f ca="1">IF(ISNUMBER(MATCH(DATEVALUE($A309),'changes1_based on steps'!M$1:M$400,0)),M$2,)</f>
        <v>0</v>
      </c>
      <c r="N309" s="179">
        <f ca="1">IF(ISNUMBER(MATCH(DATEVALUE($A309),'changes1_based on steps'!N$1:N$400,0)),N$2,)</f>
        <v>0</v>
      </c>
      <c r="O309" s="179">
        <f ca="1">IF(ISNUMBER(MATCH(DATEVALUE($A309),'changes1_based on steps'!O$1:O$400,0)),O$2,)</f>
        <v>0</v>
      </c>
      <c r="P309" s="179">
        <f ca="1">IF(ISNUMBER(MATCH(DATEVALUE($A309),'changes1_based on steps'!P$1:P$400,0)),P$2,)</f>
        <v>0</v>
      </c>
      <c r="Q309" s="179">
        <f ca="1">IF(ISNUMBER(MATCH(DATEVALUE($A309),'changes1_based on steps'!Q$1:Q$400,0)),Q$2,)</f>
        <v>0</v>
      </c>
      <c r="R309" s="179">
        <f ca="1">IF(ISNUMBER(MATCH(DATEVALUE($A309),'changes1_based on steps'!R$1:R$400,0)),R$2,)</f>
        <v>0</v>
      </c>
      <c r="S309" s="179">
        <f ca="1">IF(ISNUMBER(MATCH(DATEVALUE($A309),'changes1_based on steps'!S$1:S$400,0)),S$2,)</f>
        <v>0</v>
      </c>
      <c r="T309" s="179">
        <f ca="1">IF(ISNUMBER(MATCH(DATEVALUE($A309),'changes1_based on steps'!T$1:T$400,0)),T$2,)</f>
        <v>0</v>
      </c>
      <c r="U309" s="179">
        <f ca="1">IF(ISNUMBER(MATCH(DATEVALUE($A309),'changes1_based on steps'!U$1:U$400,0)),U$2,)</f>
        <v>0</v>
      </c>
      <c r="V309" s="179"/>
      <c r="W309" s="179"/>
      <c r="X309" s="179"/>
      <c r="Y309" s="179"/>
      <c r="Z309" s="179"/>
      <c r="AA309" s="179"/>
      <c r="AB309" s="179"/>
      <c r="AC309" s="179"/>
      <c r="AD309" s="179"/>
      <c r="AE309" s="179"/>
      <c r="AF309" s="179"/>
      <c r="AG309" s="179"/>
      <c r="AH309" s="179"/>
      <c r="AI309" s="179"/>
      <c r="AJ309" s="179"/>
      <c r="AK309" s="179"/>
      <c r="AL309" s="179"/>
      <c r="AM309" s="179"/>
      <c r="AN309" s="179"/>
      <c r="AO309" s="179"/>
      <c r="AP309" s="179"/>
      <c r="AQ309" s="179"/>
      <c r="AR309" s="179"/>
      <c r="AS309" s="179"/>
      <c r="AT309" s="179"/>
      <c r="AU309" s="179"/>
      <c r="AV309" s="179"/>
      <c r="AW309" s="179"/>
      <c r="AX309" s="179"/>
      <c r="AY309" s="179"/>
      <c r="AZ309" s="179"/>
      <c r="BA309" s="179"/>
      <c r="BB309" s="179"/>
      <c r="BC309" s="179"/>
      <c r="BD309" s="179"/>
      <c r="BE309" s="179"/>
      <c r="BF309" s="179"/>
      <c r="BG309" s="179"/>
      <c r="BH309" s="179"/>
      <c r="BI309" s="179"/>
      <c r="BJ309" s="179"/>
      <c r="BK309" s="179"/>
      <c r="BL309" s="179"/>
      <c r="BM309" s="179"/>
      <c r="BN309" s="179"/>
      <c r="BO309" s="179"/>
      <c r="BP309" s="179"/>
      <c r="BQ309" s="179"/>
      <c r="BR309" s="179"/>
      <c r="BS309" s="179"/>
      <c r="BT309" s="179"/>
      <c r="BU309" s="179"/>
      <c r="BV309" s="179"/>
      <c r="BW309" s="179"/>
      <c r="BX309" s="179"/>
      <c r="BY309" s="179"/>
      <c r="BZ309" s="179"/>
      <c r="CA309" s="179"/>
      <c r="CB309" s="179"/>
      <c r="CC309" s="179"/>
      <c r="CD309" s="179"/>
      <c r="CE309" s="179"/>
      <c r="CF309" s="179"/>
      <c r="CG309" s="179"/>
      <c r="CH309" s="179"/>
      <c r="CI309" s="179"/>
      <c r="CJ309" s="179"/>
      <c r="CK309" s="179"/>
      <c r="CL309" s="179"/>
      <c r="CM309" s="179"/>
      <c r="CN309" s="179"/>
      <c r="CO309" s="179"/>
      <c r="CP309" s="179"/>
      <c r="CQ309" s="179"/>
      <c r="CR309" s="179"/>
      <c r="CS309" s="179"/>
      <c r="CT309" s="179"/>
      <c r="CU309" s="179"/>
      <c r="CV309" s="179"/>
      <c r="CW309" s="179"/>
    </row>
    <row r="310" spans="1:101" x14ac:dyDescent="0.2">
      <c r="A310" s="32" t="str">
        <f t="shared" ca="1" si="4"/>
        <v>2026-02-06</v>
      </c>
      <c r="B310" s="179">
        <f ca="1">IF(ISNUMBER(MATCH(DATEVALUE($A310),'changes1_based on steps'!B$1:B$400,0)),B$2,)</f>
        <v>0</v>
      </c>
      <c r="C310" s="179">
        <f ca="1">IF(ISNUMBER(MATCH(DATEVALUE($A310),'changes1_based on steps'!C$1:C$400,0)),C$2,)</f>
        <v>0</v>
      </c>
      <c r="D310" s="179">
        <f ca="1">IF(ISNUMBER(MATCH(DATEVALUE($A310),'changes1_based on steps'!D$1:D$400,0)),D$2,)</f>
        <v>0</v>
      </c>
      <c r="E310" s="179">
        <f ca="1">IF(ISNUMBER(MATCH(DATEVALUE($A310),'changes1_based on steps'!E$1:E$400,0)),E$2,)</f>
        <v>0</v>
      </c>
      <c r="F310" s="179">
        <f ca="1">IF(ISNUMBER(MATCH(DATEVALUE($A310),'changes1_based on steps'!F$1:F$400,0)),F$2,)</f>
        <v>0</v>
      </c>
      <c r="G310" s="179">
        <f ca="1">IF(ISNUMBER(MATCH(DATEVALUE($A310),'changes1_based on steps'!G$1:G$400,0)),G$2,)</f>
        <v>0</v>
      </c>
      <c r="H310" s="179">
        <f ca="1">IF(ISNUMBER(MATCH(DATEVALUE($A310),'changes1_based on steps'!H$1:H$400,0)),H$2,)</f>
        <v>0</v>
      </c>
      <c r="I310" s="179">
        <f ca="1">IF(ISNUMBER(MATCH(DATEVALUE($A310),'changes1_based on steps'!I$1:I$400,0)),I$2,)</f>
        <v>0</v>
      </c>
      <c r="J310" s="179">
        <f ca="1">IF(ISNUMBER(MATCH(DATEVALUE($A310),'changes1_based on steps'!J$1:J$400,0)),J$2,)</f>
        <v>0</v>
      </c>
      <c r="K310" s="179">
        <f ca="1">IF(ISNUMBER(MATCH(DATEVALUE($A310),'changes1_based on steps'!K$1:K$400,0)),K$2,)</f>
        <v>0</v>
      </c>
      <c r="L310" s="179">
        <f ca="1">IF(ISNUMBER(MATCH(DATEVALUE($A310),'changes1_based on steps'!L$1:L$400,0)),L$2,)</f>
        <v>0</v>
      </c>
      <c r="M310" s="179">
        <f ca="1">IF(ISNUMBER(MATCH(DATEVALUE($A310),'changes1_based on steps'!M$1:M$400,0)),M$2,)</f>
        <v>0</v>
      </c>
      <c r="N310" s="179">
        <f ca="1">IF(ISNUMBER(MATCH(DATEVALUE($A310),'changes1_based on steps'!N$1:N$400,0)),N$2,)</f>
        <v>0</v>
      </c>
      <c r="O310" s="179">
        <f ca="1">IF(ISNUMBER(MATCH(DATEVALUE($A310),'changes1_based on steps'!O$1:O$400,0)),O$2,)</f>
        <v>0</v>
      </c>
      <c r="P310" s="179">
        <f ca="1">IF(ISNUMBER(MATCH(DATEVALUE($A310),'changes1_based on steps'!P$1:P$400,0)),P$2,)</f>
        <v>0</v>
      </c>
      <c r="Q310" s="179">
        <f ca="1">IF(ISNUMBER(MATCH(DATEVALUE($A310),'changes1_based on steps'!Q$1:Q$400,0)),Q$2,)</f>
        <v>0</v>
      </c>
      <c r="R310" s="179">
        <f ca="1">IF(ISNUMBER(MATCH(DATEVALUE($A310),'changes1_based on steps'!R$1:R$400,0)),R$2,)</f>
        <v>0</v>
      </c>
      <c r="S310" s="179">
        <f ca="1">IF(ISNUMBER(MATCH(DATEVALUE($A310),'changes1_based on steps'!S$1:S$400,0)),S$2,)</f>
        <v>0</v>
      </c>
      <c r="T310" s="179">
        <f ca="1">IF(ISNUMBER(MATCH(DATEVALUE($A310),'changes1_based on steps'!T$1:T$400,0)),T$2,)</f>
        <v>0</v>
      </c>
      <c r="U310" s="179">
        <f ca="1">IF(ISNUMBER(MATCH(DATEVALUE($A310),'changes1_based on steps'!U$1:U$400,0)),U$2,)</f>
        <v>0</v>
      </c>
      <c r="V310" s="179"/>
      <c r="W310" s="179"/>
      <c r="X310" s="179"/>
      <c r="Y310" s="179"/>
      <c r="Z310" s="179"/>
      <c r="AA310" s="179"/>
      <c r="AB310" s="179"/>
      <c r="AC310" s="179"/>
      <c r="AD310" s="179"/>
      <c r="AE310" s="179"/>
      <c r="AF310" s="179"/>
      <c r="AG310" s="179"/>
      <c r="AH310" s="179"/>
      <c r="AI310" s="179"/>
      <c r="AJ310" s="179"/>
      <c r="AK310" s="179"/>
      <c r="AL310" s="179"/>
      <c r="AM310" s="179"/>
      <c r="AN310" s="179"/>
      <c r="AO310" s="179"/>
      <c r="AP310" s="179"/>
      <c r="AQ310" s="179"/>
      <c r="AR310" s="179"/>
      <c r="AS310" s="179"/>
      <c r="AT310" s="179"/>
      <c r="AU310" s="179"/>
      <c r="AV310" s="179"/>
      <c r="AW310" s="179"/>
      <c r="AX310" s="179"/>
      <c r="AY310" s="179"/>
      <c r="AZ310" s="179"/>
      <c r="BA310" s="179"/>
      <c r="BB310" s="179"/>
      <c r="BC310" s="179"/>
      <c r="BD310" s="179"/>
      <c r="BE310" s="179"/>
      <c r="BF310" s="179"/>
      <c r="BG310" s="179"/>
      <c r="BH310" s="179"/>
      <c r="BI310" s="179"/>
      <c r="BJ310" s="179"/>
      <c r="BK310" s="179"/>
      <c r="BL310" s="179"/>
      <c r="BM310" s="179"/>
      <c r="BN310" s="179"/>
      <c r="BO310" s="179"/>
      <c r="BP310" s="179"/>
      <c r="BQ310" s="179"/>
      <c r="BR310" s="179"/>
      <c r="BS310" s="179"/>
      <c r="BT310" s="179"/>
      <c r="BU310" s="179"/>
      <c r="BV310" s="179"/>
      <c r="BW310" s="179"/>
      <c r="BX310" s="179"/>
      <c r="BY310" s="179"/>
      <c r="BZ310" s="179"/>
      <c r="CA310" s="179"/>
      <c r="CB310" s="179"/>
      <c r="CC310" s="179"/>
      <c r="CD310" s="179"/>
      <c r="CE310" s="179"/>
      <c r="CF310" s="179"/>
      <c r="CG310" s="179"/>
      <c r="CH310" s="179"/>
      <c r="CI310" s="179"/>
      <c r="CJ310" s="179"/>
      <c r="CK310" s="179"/>
      <c r="CL310" s="179"/>
      <c r="CM310" s="179"/>
      <c r="CN310" s="179"/>
      <c r="CO310" s="179"/>
      <c r="CP310" s="179"/>
      <c r="CQ310" s="179"/>
      <c r="CR310" s="179"/>
      <c r="CS310" s="179"/>
      <c r="CT310" s="179"/>
      <c r="CU310" s="179"/>
      <c r="CV310" s="179"/>
      <c r="CW310" s="179"/>
    </row>
    <row r="311" spans="1:101" x14ac:dyDescent="0.2">
      <c r="A311" s="32" t="str">
        <f t="shared" ca="1" si="4"/>
        <v>2026-02-07</v>
      </c>
      <c r="B311" s="179">
        <f ca="1">IF(ISNUMBER(MATCH(DATEVALUE($A311),'changes1_based on steps'!B$1:B$400,0)),B$2,)</f>
        <v>0</v>
      </c>
      <c r="C311" s="179">
        <f ca="1">IF(ISNUMBER(MATCH(DATEVALUE($A311),'changes1_based on steps'!C$1:C$400,0)),C$2,)</f>
        <v>0</v>
      </c>
      <c r="D311" s="179">
        <f ca="1">IF(ISNUMBER(MATCH(DATEVALUE($A311),'changes1_based on steps'!D$1:D$400,0)),D$2,)</f>
        <v>0</v>
      </c>
      <c r="E311" s="179">
        <f ca="1">IF(ISNUMBER(MATCH(DATEVALUE($A311),'changes1_based on steps'!E$1:E$400,0)),E$2,)</f>
        <v>0</v>
      </c>
      <c r="F311" s="179">
        <f ca="1">IF(ISNUMBER(MATCH(DATEVALUE($A311),'changes1_based on steps'!F$1:F$400,0)),F$2,)</f>
        <v>0</v>
      </c>
      <c r="G311" s="179">
        <f ca="1">IF(ISNUMBER(MATCH(DATEVALUE($A311),'changes1_based on steps'!G$1:G$400,0)),G$2,)</f>
        <v>0</v>
      </c>
      <c r="H311" s="179">
        <f ca="1">IF(ISNUMBER(MATCH(DATEVALUE($A311),'changes1_based on steps'!H$1:H$400,0)),H$2,)</f>
        <v>0</v>
      </c>
      <c r="I311" s="179">
        <f ca="1">IF(ISNUMBER(MATCH(DATEVALUE($A311),'changes1_based on steps'!I$1:I$400,0)),I$2,)</f>
        <v>0</v>
      </c>
      <c r="J311" s="179">
        <f ca="1">IF(ISNUMBER(MATCH(DATEVALUE($A311),'changes1_based on steps'!J$1:J$400,0)),J$2,)</f>
        <v>0</v>
      </c>
      <c r="K311" s="179">
        <f ca="1">IF(ISNUMBER(MATCH(DATEVALUE($A311),'changes1_based on steps'!K$1:K$400,0)),K$2,)</f>
        <v>0</v>
      </c>
      <c r="L311" s="179">
        <f ca="1">IF(ISNUMBER(MATCH(DATEVALUE($A311),'changes1_based on steps'!L$1:L$400,0)),L$2,)</f>
        <v>0</v>
      </c>
      <c r="M311" s="179">
        <f ca="1">IF(ISNUMBER(MATCH(DATEVALUE($A311),'changes1_based on steps'!M$1:M$400,0)),M$2,)</f>
        <v>0</v>
      </c>
      <c r="N311" s="179">
        <f ca="1">IF(ISNUMBER(MATCH(DATEVALUE($A311),'changes1_based on steps'!N$1:N$400,0)),N$2,)</f>
        <v>0</v>
      </c>
      <c r="O311" s="179">
        <f ca="1">IF(ISNUMBER(MATCH(DATEVALUE($A311),'changes1_based on steps'!O$1:O$400,0)),O$2,)</f>
        <v>0</v>
      </c>
      <c r="P311" s="179">
        <f ca="1">IF(ISNUMBER(MATCH(DATEVALUE($A311),'changes1_based on steps'!P$1:P$400,0)),P$2,)</f>
        <v>0</v>
      </c>
      <c r="Q311" s="179">
        <f ca="1">IF(ISNUMBER(MATCH(DATEVALUE($A311),'changes1_based on steps'!Q$1:Q$400,0)),Q$2,)</f>
        <v>0</v>
      </c>
      <c r="R311" s="179">
        <f ca="1">IF(ISNUMBER(MATCH(DATEVALUE($A311),'changes1_based on steps'!R$1:R$400,0)),R$2,)</f>
        <v>0</v>
      </c>
      <c r="S311" s="179">
        <f ca="1">IF(ISNUMBER(MATCH(DATEVALUE($A311),'changes1_based on steps'!S$1:S$400,0)),S$2,)</f>
        <v>0</v>
      </c>
      <c r="T311" s="179">
        <f ca="1">IF(ISNUMBER(MATCH(DATEVALUE($A311),'changes1_based on steps'!T$1:T$400,0)),T$2,)</f>
        <v>0</v>
      </c>
      <c r="U311" s="179">
        <f ca="1">IF(ISNUMBER(MATCH(DATEVALUE($A311),'changes1_based on steps'!U$1:U$400,0)),U$2,)</f>
        <v>0</v>
      </c>
      <c r="V311" s="179"/>
      <c r="W311" s="179"/>
      <c r="X311" s="179"/>
      <c r="Y311" s="179"/>
      <c r="Z311" s="179"/>
      <c r="AA311" s="179"/>
      <c r="AB311" s="179"/>
      <c r="AC311" s="179"/>
      <c r="AD311" s="179"/>
      <c r="AE311" s="179"/>
      <c r="AF311" s="179"/>
      <c r="AG311" s="179"/>
      <c r="AH311" s="179"/>
      <c r="AI311" s="179"/>
      <c r="AJ311" s="179"/>
      <c r="AK311" s="179"/>
      <c r="AL311" s="179"/>
      <c r="AM311" s="179"/>
      <c r="AN311" s="179"/>
      <c r="AO311" s="179"/>
      <c r="AP311" s="179"/>
      <c r="AQ311" s="179"/>
      <c r="AR311" s="179"/>
      <c r="AS311" s="179"/>
      <c r="AT311" s="179"/>
      <c r="AU311" s="179"/>
      <c r="AV311" s="179"/>
      <c r="AW311" s="179"/>
      <c r="AX311" s="179"/>
      <c r="AY311" s="179"/>
      <c r="AZ311" s="179"/>
      <c r="BA311" s="179"/>
      <c r="BB311" s="179"/>
      <c r="BC311" s="179"/>
      <c r="BD311" s="179"/>
      <c r="BE311" s="179"/>
      <c r="BF311" s="179"/>
      <c r="BG311" s="179"/>
      <c r="BH311" s="179"/>
      <c r="BI311" s="179"/>
      <c r="BJ311" s="179"/>
      <c r="BK311" s="179"/>
      <c r="BL311" s="179"/>
      <c r="BM311" s="179"/>
      <c r="BN311" s="179"/>
      <c r="BO311" s="179"/>
      <c r="BP311" s="179"/>
      <c r="BQ311" s="179"/>
      <c r="BR311" s="179"/>
      <c r="BS311" s="179"/>
      <c r="BT311" s="179"/>
      <c r="BU311" s="179"/>
      <c r="BV311" s="179"/>
      <c r="BW311" s="179"/>
      <c r="BX311" s="179"/>
      <c r="BY311" s="179"/>
      <c r="BZ311" s="179"/>
      <c r="CA311" s="179"/>
      <c r="CB311" s="179"/>
      <c r="CC311" s="179"/>
      <c r="CD311" s="179"/>
      <c r="CE311" s="179"/>
      <c r="CF311" s="179"/>
      <c r="CG311" s="179"/>
      <c r="CH311" s="179"/>
      <c r="CI311" s="179"/>
      <c r="CJ311" s="179"/>
      <c r="CK311" s="179"/>
      <c r="CL311" s="179"/>
      <c r="CM311" s="179"/>
      <c r="CN311" s="179"/>
      <c r="CO311" s="179"/>
      <c r="CP311" s="179"/>
      <c r="CQ311" s="179"/>
      <c r="CR311" s="179"/>
      <c r="CS311" s="179"/>
      <c r="CT311" s="179"/>
      <c r="CU311" s="179"/>
      <c r="CV311" s="179"/>
      <c r="CW311" s="179"/>
    </row>
    <row r="312" spans="1:101" x14ac:dyDescent="0.2">
      <c r="A312" s="32" t="str">
        <f t="shared" ca="1" si="4"/>
        <v>2026-02-08</v>
      </c>
      <c r="B312" s="179">
        <f ca="1">IF(ISNUMBER(MATCH(DATEVALUE($A312),'changes1_based on steps'!B$1:B$400,0)),B$2,)</f>
        <v>0</v>
      </c>
      <c r="C312" s="179">
        <f ca="1">IF(ISNUMBER(MATCH(DATEVALUE($A312),'changes1_based on steps'!C$1:C$400,0)),C$2,)</f>
        <v>0</v>
      </c>
      <c r="D312" s="179">
        <f ca="1">IF(ISNUMBER(MATCH(DATEVALUE($A312),'changes1_based on steps'!D$1:D$400,0)),D$2,)</f>
        <v>0</v>
      </c>
      <c r="E312" s="179">
        <f ca="1">IF(ISNUMBER(MATCH(DATEVALUE($A312),'changes1_based on steps'!E$1:E$400,0)),E$2,)</f>
        <v>0</v>
      </c>
      <c r="F312" s="179">
        <f ca="1">IF(ISNUMBER(MATCH(DATEVALUE($A312),'changes1_based on steps'!F$1:F$400,0)),F$2,)</f>
        <v>0</v>
      </c>
      <c r="G312" s="179">
        <f ca="1">IF(ISNUMBER(MATCH(DATEVALUE($A312),'changes1_based on steps'!G$1:G$400,0)),G$2,)</f>
        <v>0</v>
      </c>
      <c r="H312" s="179">
        <f ca="1">IF(ISNUMBER(MATCH(DATEVALUE($A312),'changes1_based on steps'!H$1:H$400,0)),H$2,)</f>
        <v>0</v>
      </c>
      <c r="I312" s="179">
        <f ca="1">IF(ISNUMBER(MATCH(DATEVALUE($A312),'changes1_based on steps'!I$1:I$400,0)),I$2,)</f>
        <v>0</v>
      </c>
      <c r="J312" s="179">
        <f ca="1">IF(ISNUMBER(MATCH(DATEVALUE($A312),'changes1_based on steps'!J$1:J$400,0)),J$2,)</f>
        <v>0</v>
      </c>
      <c r="K312" s="179">
        <f ca="1">IF(ISNUMBER(MATCH(DATEVALUE($A312),'changes1_based on steps'!K$1:K$400,0)),K$2,)</f>
        <v>0</v>
      </c>
      <c r="L312" s="179">
        <f ca="1">IF(ISNUMBER(MATCH(DATEVALUE($A312),'changes1_based on steps'!L$1:L$400,0)),L$2,)</f>
        <v>0</v>
      </c>
      <c r="M312" s="179">
        <f ca="1">IF(ISNUMBER(MATCH(DATEVALUE($A312),'changes1_based on steps'!M$1:M$400,0)),M$2,)</f>
        <v>0</v>
      </c>
      <c r="N312" s="179">
        <f ca="1">IF(ISNUMBER(MATCH(DATEVALUE($A312),'changes1_based on steps'!N$1:N$400,0)),N$2,)</f>
        <v>0</v>
      </c>
      <c r="O312" s="179">
        <f ca="1">IF(ISNUMBER(MATCH(DATEVALUE($A312),'changes1_based on steps'!O$1:O$400,0)),O$2,)</f>
        <v>0</v>
      </c>
      <c r="P312" s="179">
        <f ca="1">IF(ISNUMBER(MATCH(DATEVALUE($A312),'changes1_based on steps'!P$1:P$400,0)),P$2,)</f>
        <v>0</v>
      </c>
      <c r="Q312" s="179">
        <f ca="1">IF(ISNUMBER(MATCH(DATEVALUE($A312),'changes1_based on steps'!Q$1:Q$400,0)),Q$2,)</f>
        <v>0</v>
      </c>
      <c r="R312" s="179">
        <f ca="1">IF(ISNUMBER(MATCH(DATEVALUE($A312),'changes1_based on steps'!R$1:R$400,0)),R$2,)</f>
        <v>0</v>
      </c>
      <c r="S312" s="179">
        <f ca="1">IF(ISNUMBER(MATCH(DATEVALUE($A312),'changes1_based on steps'!S$1:S$400,0)),S$2,)</f>
        <v>0</v>
      </c>
      <c r="T312" s="179">
        <f ca="1">IF(ISNUMBER(MATCH(DATEVALUE($A312),'changes1_based on steps'!T$1:T$400,0)),T$2,)</f>
        <v>0</v>
      </c>
      <c r="U312" s="179">
        <f ca="1">IF(ISNUMBER(MATCH(DATEVALUE($A312),'changes1_based on steps'!U$1:U$400,0)),U$2,)</f>
        <v>0</v>
      </c>
      <c r="V312" s="179"/>
      <c r="W312" s="179"/>
      <c r="X312" s="179"/>
      <c r="Y312" s="179"/>
      <c r="Z312" s="179"/>
      <c r="AA312" s="179"/>
      <c r="AB312" s="179"/>
      <c r="AC312" s="179"/>
      <c r="AD312" s="179"/>
      <c r="AE312" s="179"/>
      <c r="AF312" s="179"/>
      <c r="AG312" s="179"/>
      <c r="AH312" s="179"/>
      <c r="AI312" s="179"/>
      <c r="AJ312" s="179"/>
      <c r="AK312" s="179"/>
      <c r="AL312" s="179"/>
      <c r="AM312" s="179"/>
      <c r="AN312" s="179"/>
      <c r="AO312" s="179"/>
      <c r="AP312" s="179"/>
      <c r="AQ312" s="179"/>
      <c r="AR312" s="179"/>
      <c r="AS312" s="179"/>
      <c r="AT312" s="179"/>
      <c r="AU312" s="179"/>
      <c r="AV312" s="179"/>
      <c r="AW312" s="179"/>
      <c r="AX312" s="179"/>
      <c r="AY312" s="179"/>
      <c r="AZ312" s="179"/>
      <c r="BA312" s="179"/>
      <c r="BB312" s="179"/>
      <c r="BC312" s="179"/>
      <c r="BD312" s="179"/>
      <c r="BE312" s="179"/>
      <c r="BF312" s="179"/>
      <c r="BG312" s="179"/>
      <c r="BH312" s="179"/>
      <c r="BI312" s="179"/>
      <c r="BJ312" s="179"/>
      <c r="BK312" s="179"/>
      <c r="BL312" s="179"/>
      <c r="BM312" s="179"/>
      <c r="BN312" s="179"/>
      <c r="BO312" s="179"/>
      <c r="BP312" s="179"/>
      <c r="BQ312" s="179"/>
      <c r="BR312" s="179"/>
      <c r="BS312" s="179"/>
      <c r="BT312" s="179"/>
      <c r="BU312" s="179"/>
      <c r="BV312" s="179"/>
      <c r="BW312" s="179"/>
      <c r="BX312" s="179"/>
      <c r="BY312" s="179"/>
      <c r="BZ312" s="179"/>
      <c r="CA312" s="179"/>
      <c r="CB312" s="179"/>
      <c r="CC312" s="179"/>
      <c r="CD312" s="179"/>
      <c r="CE312" s="179"/>
      <c r="CF312" s="179"/>
      <c r="CG312" s="179"/>
      <c r="CH312" s="179"/>
      <c r="CI312" s="179"/>
      <c r="CJ312" s="179"/>
      <c r="CK312" s="179"/>
      <c r="CL312" s="179"/>
      <c r="CM312" s="179"/>
      <c r="CN312" s="179"/>
      <c r="CO312" s="179"/>
      <c r="CP312" s="179"/>
      <c r="CQ312" s="179"/>
      <c r="CR312" s="179"/>
      <c r="CS312" s="179"/>
      <c r="CT312" s="179"/>
      <c r="CU312" s="179"/>
      <c r="CV312" s="179"/>
      <c r="CW312" s="179"/>
    </row>
    <row r="313" spans="1:101" x14ac:dyDescent="0.2">
      <c r="A313" s="32" t="str">
        <f t="shared" ca="1" si="4"/>
        <v>2026-02-09</v>
      </c>
      <c r="B313" s="179">
        <f ca="1">IF(ISNUMBER(MATCH(DATEVALUE($A313),'changes1_based on steps'!B$1:B$400,0)),B$2,)</f>
        <v>0</v>
      </c>
      <c r="C313" s="179">
        <f ca="1">IF(ISNUMBER(MATCH(DATEVALUE($A313),'changes1_based on steps'!C$1:C$400,0)),C$2,)</f>
        <v>0</v>
      </c>
      <c r="D313" s="179">
        <f ca="1">IF(ISNUMBER(MATCH(DATEVALUE($A313),'changes1_based on steps'!D$1:D$400,0)),D$2,)</f>
        <v>0</v>
      </c>
      <c r="E313" s="179">
        <f ca="1">IF(ISNUMBER(MATCH(DATEVALUE($A313),'changes1_based on steps'!E$1:E$400,0)),E$2,)</f>
        <v>0</v>
      </c>
      <c r="F313" s="179">
        <f ca="1">IF(ISNUMBER(MATCH(DATEVALUE($A313),'changes1_based on steps'!F$1:F$400,0)),F$2,)</f>
        <v>0</v>
      </c>
      <c r="G313" s="179">
        <f ca="1">IF(ISNUMBER(MATCH(DATEVALUE($A313),'changes1_based on steps'!G$1:G$400,0)),G$2,)</f>
        <v>0</v>
      </c>
      <c r="H313" s="179">
        <f ca="1">IF(ISNUMBER(MATCH(DATEVALUE($A313),'changes1_based on steps'!H$1:H$400,0)),H$2,)</f>
        <v>0</v>
      </c>
      <c r="I313" s="179">
        <f ca="1">IF(ISNUMBER(MATCH(DATEVALUE($A313),'changes1_based on steps'!I$1:I$400,0)),I$2,)</f>
        <v>0</v>
      </c>
      <c r="J313" s="179">
        <f ca="1">IF(ISNUMBER(MATCH(DATEVALUE($A313),'changes1_based on steps'!J$1:J$400,0)),J$2,)</f>
        <v>0</v>
      </c>
      <c r="K313" s="179">
        <f ca="1">IF(ISNUMBER(MATCH(DATEVALUE($A313),'changes1_based on steps'!K$1:K$400,0)),K$2,)</f>
        <v>0</v>
      </c>
      <c r="L313" s="179">
        <f ca="1">IF(ISNUMBER(MATCH(DATEVALUE($A313),'changes1_based on steps'!L$1:L$400,0)),L$2,)</f>
        <v>0</v>
      </c>
      <c r="M313" s="179">
        <f ca="1">IF(ISNUMBER(MATCH(DATEVALUE($A313),'changes1_based on steps'!M$1:M$400,0)),M$2,)</f>
        <v>0</v>
      </c>
      <c r="N313" s="179">
        <f ca="1">IF(ISNUMBER(MATCH(DATEVALUE($A313),'changes1_based on steps'!N$1:N$400,0)),N$2,)</f>
        <v>0</v>
      </c>
      <c r="O313" s="179">
        <f ca="1">IF(ISNUMBER(MATCH(DATEVALUE($A313),'changes1_based on steps'!O$1:O$400,0)),O$2,)</f>
        <v>0</v>
      </c>
      <c r="P313" s="179">
        <f ca="1">IF(ISNUMBER(MATCH(DATEVALUE($A313),'changes1_based on steps'!P$1:P$400,0)),P$2,)</f>
        <v>0</v>
      </c>
      <c r="Q313" s="179">
        <f ca="1">IF(ISNUMBER(MATCH(DATEVALUE($A313),'changes1_based on steps'!Q$1:Q$400,0)),Q$2,)</f>
        <v>0</v>
      </c>
      <c r="R313" s="179">
        <f ca="1">IF(ISNUMBER(MATCH(DATEVALUE($A313),'changes1_based on steps'!R$1:R$400,0)),R$2,)</f>
        <v>0</v>
      </c>
      <c r="S313" s="179">
        <f ca="1">IF(ISNUMBER(MATCH(DATEVALUE($A313),'changes1_based on steps'!S$1:S$400,0)),S$2,)</f>
        <v>0</v>
      </c>
      <c r="T313" s="179">
        <f ca="1">IF(ISNUMBER(MATCH(DATEVALUE($A313),'changes1_based on steps'!T$1:T$400,0)),T$2,)</f>
        <v>0</v>
      </c>
      <c r="U313" s="179">
        <f ca="1">IF(ISNUMBER(MATCH(DATEVALUE($A313),'changes1_based on steps'!U$1:U$400,0)),U$2,)</f>
        <v>0</v>
      </c>
      <c r="V313" s="179"/>
      <c r="W313" s="179"/>
      <c r="X313" s="179"/>
      <c r="Y313" s="179"/>
      <c r="Z313" s="179"/>
      <c r="AA313" s="179"/>
      <c r="AB313" s="179"/>
      <c r="AC313" s="179"/>
      <c r="AD313" s="179"/>
      <c r="AE313" s="179"/>
      <c r="AF313" s="179"/>
      <c r="AG313" s="179"/>
      <c r="AH313" s="179"/>
      <c r="AI313" s="179"/>
      <c r="AJ313" s="179"/>
      <c r="AK313" s="179"/>
      <c r="AL313" s="179"/>
      <c r="AM313" s="179"/>
      <c r="AN313" s="179"/>
      <c r="AO313" s="179"/>
      <c r="AP313" s="179"/>
      <c r="AQ313" s="179"/>
      <c r="AR313" s="179"/>
      <c r="AS313" s="179"/>
      <c r="AT313" s="179"/>
      <c r="AU313" s="179"/>
      <c r="AV313" s="179"/>
      <c r="AW313" s="179"/>
      <c r="AX313" s="179"/>
      <c r="AY313" s="179"/>
      <c r="AZ313" s="179"/>
      <c r="BA313" s="179"/>
      <c r="BB313" s="179"/>
      <c r="BC313" s="179"/>
      <c r="BD313" s="179"/>
      <c r="BE313" s="179"/>
      <c r="BF313" s="179"/>
      <c r="BG313" s="179"/>
      <c r="BH313" s="179"/>
      <c r="BI313" s="179"/>
      <c r="BJ313" s="179"/>
      <c r="BK313" s="179"/>
      <c r="BL313" s="179"/>
      <c r="BM313" s="179"/>
      <c r="BN313" s="179"/>
      <c r="BO313" s="179"/>
      <c r="BP313" s="179"/>
      <c r="BQ313" s="179"/>
      <c r="BR313" s="179"/>
      <c r="BS313" s="179"/>
      <c r="BT313" s="179"/>
      <c r="BU313" s="179"/>
      <c r="BV313" s="179"/>
      <c r="BW313" s="179"/>
      <c r="BX313" s="179"/>
      <c r="BY313" s="179"/>
      <c r="BZ313" s="179"/>
      <c r="CA313" s="179"/>
      <c r="CB313" s="179"/>
      <c r="CC313" s="179"/>
      <c r="CD313" s="179"/>
      <c r="CE313" s="179"/>
      <c r="CF313" s="179"/>
      <c r="CG313" s="179"/>
      <c r="CH313" s="179"/>
      <c r="CI313" s="179"/>
      <c r="CJ313" s="179"/>
      <c r="CK313" s="179"/>
      <c r="CL313" s="179"/>
      <c r="CM313" s="179"/>
      <c r="CN313" s="179"/>
      <c r="CO313" s="179"/>
      <c r="CP313" s="179"/>
      <c r="CQ313" s="179"/>
      <c r="CR313" s="179"/>
      <c r="CS313" s="179"/>
      <c r="CT313" s="179"/>
      <c r="CU313" s="179"/>
      <c r="CV313" s="179"/>
      <c r="CW313" s="179"/>
    </row>
    <row r="314" spans="1:101" x14ac:dyDescent="0.2">
      <c r="A314" s="32" t="str">
        <f t="shared" ca="1" si="4"/>
        <v>2026-02-10</v>
      </c>
      <c r="B314" s="179">
        <f ca="1">IF(ISNUMBER(MATCH(DATEVALUE($A314),'changes1_based on steps'!B$1:B$400,0)),B$2,)</f>
        <v>0</v>
      </c>
      <c r="C314" s="179">
        <f ca="1">IF(ISNUMBER(MATCH(DATEVALUE($A314),'changes1_based on steps'!C$1:C$400,0)),C$2,)</f>
        <v>0</v>
      </c>
      <c r="D314" s="179">
        <f ca="1">IF(ISNUMBER(MATCH(DATEVALUE($A314),'changes1_based on steps'!D$1:D$400,0)),D$2,)</f>
        <v>0</v>
      </c>
      <c r="E314" s="179">
        <f ca="1">IF(ISNUMBER(MATCH(DATEVALUE($A314),'changes1_based on steps'!E$1:E$400,0)),E$2,)</f>
        <v>0</v>
      </c>
      <c r="F314" s="179">
        <f ca="1">IF(ISNUMBER(MATCH(DATEVALUE($A314),'changes1_based on steps'!F$1:F$400,0)),F$2,)</f>
        <v>0</v>
      </c>
      <c r="G314" s="179">
        <f ca="1">IF(ISNUMBER(MATCH(DATEVALUE($A314),'changes1_based on steps'!G$1:G$400,0)),G$2,)</f>
        <v>0</v>
      </c>
      <c r="H314" s="179">
        <f ca="1">IF(ISNUMBER(MATCH(DATEVALUE($A314),'changes1_based on steps'!H$1:H$400,0)),H$2,)</f>
        <v>0</v>
      </c>
      <c r="I314" s="179">
        <f ca="1">IF(ISNUMBER(MATCH(DATEVALUE($A314),'changes1_based on steps'!I$1:I$400,0)),I$2,)</f>
        <v>0</v>
      </c>
      <c r="J314" s="179">
        <f ca="1">IF(ISNUMBER(MATCH(DATEVALUE($A314),'changes1_based on steps'!J$1:J$400,0)),J$2,)</f>
        <v>0</v>
      </c>
      <c r="K314" s="179">
        <f ca="1">IF(ISNUMBER(MATCH(DATEVALUE($A314),'changes1_based on steps'!K$1:K$400,0)),K$2,)</f>
        <v>0</v>
      </c>
      <c r="L314" s="179">
        <f ca="1">IF(ISNUMBER(MATCH(DATEVALUE($A314),'changes1_based on steps'!L$1:L$400,0)),L$2,)</f>
        <v>0</v>
      </c>
      <c r="M314" s="179">
        <f ca="1">IF(ISNUMBER(MATCH(DATEVALUE($A314),'changes1_based on steps'!M$1:M$400,0)),M$2,)</f>
        <v>0</v>
      </c>
      <c r="N314" s="179">
        <f ca="1">IF(ISNUMBER(MATCH(DATEVALUE($A314),'changes1_based on steps'!N$1:N$400,0)),N$2,)</f>
        <v>0</v>
      </c>
      <c r="O314" s="179">
        <f ca="1">IF(ISNUMBER(MATCH(DATEVALUE($A314),'changes1_based on steps'!O$1:O$400,0)),O$2,)</f>
        <v>0</v>
      </c>
      <c r="P314" s="179">
        <f ca="1">IF(ISNUMBER(MATCH(DATEVALUE($A314),'changes1_based on steps'!P$1:P$400,0)),P$2,)</f>
        <v>0</v>
      </c>
      <c r="Q314" s="179">
        <f ca="1">IF(ISNUMBER(MATCH(DATEVALUE($A314),'changes1_based on steps'!Q$1:Q$400,0)),Q$2,)</f>
        <v>0</v>
      </c>
      <c r="R314" s="179">
        <f ca="1">IF(ISNUMBER(MATCH(DATEVALUE($A314),'changes1_based on steps'!R$1:R$400,0)),R$2,)</f>
        <v>0</v>
      </c>
      <c r="S314" s="179">
        <f ca="1">IF(ISNUMBER(MATCH(DATEVALUE($A314),'changes1_based on steps'!S$1:S$400,0)),S$2,)</f>
        <v>0</v>
      </c>
      <c r="T314" s="179">
        <f ca="1">IF(ISNUMBER(MATCH(DATEVALUE($A314),'changes1_based on steps'!T$1:T$400,0)),T$2,)</f>
        <v>0</v>
      </c>
      <c r="U314" s="179">
        <f ca="1">IF(ISNUMBER(MATCH(DATEVALUE($A314),'changes1_based on steps'!U$1:U$400,0)),U$2,)</f>
        <v>0</v>
      </c>
      <c r="V314" s="179"/>
      <c r="W314" s="179"/>
      <c r="X314" s="179"/>
      <c r="Y314" s="179"/>
      <c r="Z314" s="179"/>
      <c r="AA314" s="179"/>
      <c r="AB314" s="179"/>
      <c r="AC314" s="179"/>
      <c r="AD314" s="179"/>
      <c r="AE314" s="179"/>
      <c r="AF314" s="179"/>
      <c r="AG314" s="179"/>
      <c r="AH314" s="179"/>
      <c r="AI314" s="179"/>
      <c r="AJ314" s="179"/>
      <c r="AK314" s="179"/>
      <c r="AL314" s="179"/>
      <c r="AM314" s="179"/>
      <c r="AN314" s="179"/>
      <c r="AO314" s="179"/>
      <c r="AP314" s="179"/>
      <c r="AQ314" s="179"/>
      <c r="AR314" s="179"/>
      <c r="AS314" s="179"/>
      <c r="AT314" s="179"/>
      <c r="AU314" s="179"/>
      <c r="AV314" s="179"/>
      <c r="AW314" s="179"/>
      <c r="AX314" s="179"/>
      <c r="AY314" s="179"/>
      <c r="AZ314" s="179"/>
      <c r="BA314" s="179"/>
      <c r="BB314" s="179"/>
      <c r="BC314" s="179"/>
      <c r="BD314" s="179"/>
      <c r="BE314" s="179"/>
      <c r="BF314" s="179"/>
      <c r="BG314" s="179"/>
      <c r="BH314" s="179"/>
      <c r="BI314" s="179"/>
      <c r="BJ314" s="179"/>
      <c r="BK314" s="179"/>
      <c r="BL314" s="179"/>
      <c r="BM314" s="179"/>
      <c r="BN314" s="179"/>
      <c r="BO314" s="179"/>
      <c r="BP314" s="179"/>
      <c r="BQ314" s="179"/>
      <c r="BR314" s="179"/>
      <c r="BS314" s="179"/>
      <c r="BT314" s="179"/>
      <c r="BU314" s="179"/>
      <c r="BV314" s="179"/>
      <c r="BW314" s="179"/>
      <c r="BX314" s="179"/>
      <c r="BY314" s="179"/>
      <c r="BZ314" s="179"/>
      <c r="CA314" s="179"/>
      <c r="CB314" s="179"/>
      <c r="CC314" s="179"/>
      <c r="CD314" s="179"/>
      <c r="CE314" s="179"/>
      <c r="CF314" s="179"/>
      <c r="CG314" s="179"/>
      <c r="CH314" s="179"/>
      <c r="CI314" s="179"/>
      <c r="CJ314" s="179"/>
      <c r="CK314" s="179"/>
      <c r="CL314" s="179"/>
      <c r="CM314" s="179"/>
      <c r="CN314" s="179"/>
      <c r="CO314" s="179"/>
      <c r="CP314" s="179"/>
      <c r="CQ314" s="179"/>
      <c r="CR314" s="179"/>
      <c r="CS314" s="179"/>
      <c r="CT314" s="179"/>
      <c r="CU314" s="179"/>
      <c r="CV314" s="179"/>
      <c r="CW314" s="179"/>
    </row>
    <row r="315" spans="1:101" x14ac:dyDescent="0.2">
      <c r="A315" s="32" t="str">
        <f t="shared" ca="1" si="4"/>
        <v>2026-02-11</v>
      </c>
      <c r="B315" s="179">
        <f ca="1">IF(ISNUMBER(MATCH(DATEVALUE($A315),'changes1_based on steps'!B$1:B$400,0)),B$2,)</f>
        <v>0</v>
      </c>
      <c r="C315" s="179">
        <f ca="1">IF(ISNUMBER(MATCH(DATEVALUE($A315),'changes1_based on steps'!C$1:C$400,0)),C$2,)</f>
        <v>0</v>
      </c>
      <c r="D315" s="179">
        <f ca="1">IF(ISNUMBER(MATCH(DATEVALUE($A315),'changes1_based on steps'!D$1:D$400,0)),D$2,)</f>
        <v>0</v>
      </c>
      <c r="E315" s="179">
        <f ca="1">IF(ISNUMBER(MATCH(DATEVALUE($A315),'changes1_based on steps'!E$1:E$400,0)),E$2,)</f>
        <v>0</v>
      </c>
      <c r="F315" s="179">
        <f ca="1">IF(ISNUMBER(MATCH(DATEVALUE($A315),'changes1_based on steps'!F$1:F$400,0)),F$2,)</f>
        <v>0</v>
      </c>
      <c r="G315" s="179">
        <f ca="1">IF(ISNUMBER(MATCH(DATEVALUE($A315),'changes1_based on steps'!G$1:G$400,0)),G$2,)</f>
        <v>0</v>
      </c>
      <c r="H315" s="179">
        <f ca="1">IF(ISNUMBER(MATCH(DATEVALUE($A315),'changes1_based on steps'!H$1:H$400,0)),H$2,)</f>
        <v>0</v>
      </c>
      <c r="I315" s="179">
        <f ca="1">IF(ISNUMBER(MATCH(DATEVALUE($A315),'changes1_based on steps'!I$1:I$400,0)),I$2,)</f>
        <v>0</v>
      </c>
      <c r="J315" s="179">
        <f ca="1">IF(ISNUMBER(MATCH(DATEVALUE($A315),'changes1_based on steps'!J$1:J$400,0)),J$2,)</f>
        <v>0</v>
      </c>
      <c r="K315" s="179">
        <f ca="1">IF(ISNUMBER(MATCH(DATEVALUE($A315),'changes1_based on steps'!K$1:K$400,0)),K$2,)</f>
        <v>0</v>
      </c>
      <c r="L315" s="179">
        <f ca="1">IF(ISNUMBER(MATCH(DATEVALUE($A315),'changes1_based on steps'!L$1:L$400,0)),L$2,)</f>
        <v>0</v>
      </c>
      <c r="M315" s="179">
        <f ca="1">IF(ISNUMBER(MATCH(DATEVALUE($A315),'changes1_based on steps'!M$1:M$400,0)),M$2,)</f>
        <v>0</v>
      </c>
      <c r="N315" s="179">
        <f ca="1">IF(ISNUMBER(MATCH(DATEVALUE($A315),'changes1_based on steps'!N$1:N$400,0)),N$2,)</f>
        <v>0</v>
      </c>
      <c r="O315" s="179">
        <f ca="1">IF(ISNUMBER(MATCH(DATEVALUE($A315),'changes1_based on steps'!O$1:O$400,0)),O$2,)</f>
        <v>0</v>
      </c>
      <c r="P315" s="179">
        <f ca="1">IF(ISNUMBER(MATCH(DATEVALUE($A315),'changes1_based on steps'!P$1:P$400,0)),P$2,)</f>
        <v>0</v>
      </c>
      <c r="Q315" s="179">
        <f ca="1">IF(ISNUMBER(MATCH(DATEVALUE($A315),'changes1_based on steps'!Q$1:Q$400,0)),Q$2,)</f>
        <v>0</v>
      </c>
      <c r="R315" s="179">
        <f ca="1">IF(ISNUMBER(MATCH(DATEVALUE($A315),'changes1_based on steps'!R$1:R$400,0)),R$2,)</f>
        <v>0</v>
      </c>
      <c r="S315" s="179">
        <f ca="1">IF(ISNUMBER(MATCH(DATEVALUE($A315),'changes1_based on steps'!S$1:S$400,0)),S$2,)</f>
        <v>0</v>
      </c>
      <c r="T315" s="179">
        <f ca="1">IF(ISNUMBER(MATCH(DATEVALUE($A315),'changes1_based on steps'!T$1:T$400,0)),T$2,)</f>
        <v>0</v>
      </c>
      <c r="U315" s="179">
        <f ca="1">IF(ISNUMBER(MATCH(DATEVALUE($A315),'changes1_based on steps'!U$1:U$400,0)),U$2,)</f>
        <v>0</v>
      </c>
      <c r="V315" s="179"/>
      <c r="W315" s="179"/>
      <c r="X315" s="179"/>
      <c r="Y315" s="179"/>
      <c r="Z315" s="179"/>
      <c r="AA315" s="179"/>
      <c r="AB315" s="179"/>
      <c r="AC315" s="179"/>
      <c r="AD315" s="179"/>
      <c r="AE315" s="179"/>
      <c r="AF315" s="179"/>
      <c r="AG315" s="179"/>
      <c r="AH315" s="179"/>
      <c r="AI315" s="179"/>
      <c r="AJ315" s="179"/>
      <c r="AK315" s="179"/>
      <c r="AL315" s="179"/>
      <c r="AM315" s="179"/>
      <c r="AN315" s="179"/>
      <c r="AO315" s="179"/>
      <c r="AP315" s="179"/>
      <c r="AQ315" s="179"/>
      <c r="AR315" s="179"/>
      <c r="AS315" s="179"/>
      <c r="AT315" s="179"/>
      <c r="AU315" s="179"/>
      <c r="AV315" s="179"/>
      <c r="AW315" s="179"/>
      <c r="AX315" s="179"/>
      <c r="AY315" s="179"/>
      <c r="AZ315" s="179"/>
      <c r="BA315" s="179"/>
      <c r="BB315" s="179"/>
      <c r="BC315" s="179"/>
      <c r="BD315" s="179"/>
      <c r="BE315" s="179"/>
      <c r="BF315" s="179"/>
      <c r="BG315" s="179"/>
      <c r="BH315" s="179"/>
      <c r="BI315" s="179"/>
      <c r="BJ315" s="179"/>
      <c r="BK315" s="179"/>
      <c r="BL315" s="179"/>
      <c r="BM315" s="179"/>
      <c r="BN315" s="179"/>
      <c r="BO315" s="179"/>
      <c r="BP315" s="179"/>
      <c r="BQ315" s="179"/>
      <c r="BR315" s="179"/>
      <c r="BS315" s="179"/>
      <c r="BT315" s="179"/>
      <c r="BU315" s="179"/>
      <c r="BV315" s="179"/>
      <c r="BW315" s="179"/>
      <c r="BX315" s="179"/>
      <c r="BY315" s="179"/>
      <c r="BZ315" s="179"/>
      <c r="CA315" s="179"/>
      <c r="CB315" s="179"/>
      <c r="CC315" s="179"/>
      <c r="CD315" s="179"/>
      <c r="CE315" s="179"/>
      <c r="CF315" s="179"/>
      <c r="CG315" s="179"/>
      <c r="CH315" s="179"/>
      <c r="CI315" s="179"/>
      <c r="CJ315" s="179"/>
      <c r="CK315" s="179"/>
      <c r="CL315" s="179"/>
      <c r="CM315" s="179"/>
      <c r="CN315" s="179"/>
      <c r="CO315" s="179"/>
      <c r="CP315" s="179"/>
      <c r="CQ315" s="179"/>
      <c r="CR315" s="179"/>
      <c r="CS315" s="179"/>
      <c r="CT315" s="179"/>
      <c r="CU315" s="179"/>
      <c r="CV315" s="179"/>
      <c r="CW315" s="179"/>
    </row>
    <row r="316" spans="1:101" x14ac:dyDescent="0.2">
      <c r="A316" s="32" t="str">
        <f t="shared" ca="1" si="4"/>
        <v>2026-02-12</v>
      </c>
      <c r="B316" s="179">
        <f ca="1">IF(ISNUMBER(MATCH(DATEVALUE($A316),'changes1_based on steps'!B$1:B$400,0)),B$2,)</f>
        <v>0</v>
      </c>
      <c r="C316" s="179">
        <f ca="1">IF(ISNUMBER(MATCH(DATEVALUE($A316),'changes1_based on steps'!C$1:C$400,0)),C$2,)</f>
        <v>0</v>
      </c>
      <c r="D316" s="179">
        <f ca="1">IF(ISNUMBER(MATCH(DATEVALUE($A316),'changes1_based on steps'!D$1:D$400,0)),D$2,)</f>
        <v>0</v>
      </c>
      <c r="E316" s="179">
        <f ca="1">IF(ISNUMBER(MATCH(DATEVALUE($A316),'changes1_based on steps'!E$1:E$400,0)),E$2,)</f>
        <v>0</v>
      </c>
      <c r="F316" s="179">
        <f ca="1">IF(ISNUMBER(MATCH(DATEVALUE($A316),'changes1_based on steps'!F$1:F$400,0)),F$2,)</f>
        <v>0</v>
      </c>
      <c r="G316" s="179">
        <f ca="1">IF(ISNUMBER(MATCH(DATEVALUE($A316),'changes1_based on steps'!G$1:G$400,0)),G$2,)</f>
        <v>0</v>
      </c>
      <c r="H316" s="179">
        <f ca="1">IF(ISNUMBER(MATCH(DATEVALUE($A316),'changes1_based on steps'!H$1:H$400,0)),H$2,)</f>
        <v>0</v>
      </c>
      <c r="I316" s="179">
        <f ca="1">IF(ISNUMBER(MATCH(DATEVALUE($A316),'changes1_based on steps'!I$1:I$400,0)),I$2,)</f>
        <v>0</v>
      </c>
      <c r="J316" s="179">
        <f ca="1">IF(ISNUMBER(MATCH(DATEVALUE($A316),'changes1_based on steps'!J$1:J$400,0)),J$2,)</f>
        <v>0</v>
      </c>
      <c r="K316" s="179">
        <f ca="1">IF(ISNUMBER(MATCH(DATEVALUE($A316),'changes1_based on steps'!K$1:K$400,0)),K$2,)</f>
        <v>0</v>
      </c>
      <c r="L316" s="179">
        <f ca="1">IF(ISNUMBER(MATCH(DATEVALUE($A316),'changes1_based on steps'!L$1:L$400,0)),L$2,)</f>
        <v>0</v>
      </c>
      <c r="M316" s="179">
        <f ca="1">IF(ISNUMBER(MATCH(DATEVALUE($A316),'changes1_based on steps'!M$1:M$400,0)),M$2,)</f>
        <v>0</v>
      </c>
      <c r="N316" s="179">
        <f ca="1">IF(ISNUMBER(MATCH(DATEVALUE($A316),'changes1_based on steps'!N$1:N$400,0)),N$2,)</f>
        <v>0</v>
      </c>
      <c r="O316" s="179">
        <f ca="1">IF(ISNUMBER(MATCH(DATEVALUE($A316),'changes1_based on steps'!O$1:O$400,0)),O$2,)</f>
        <v>0</v>
      </c>
      <c r="P316" s="179">
        <f ca="1">IF(ISNUMBER(MATCH(DATEVALUE($A316),'changes1_based on steps'!P$1:P$400,0)),P$2,)</f>
        <v>0</v>
      </c>
      <c r="Q316" s="179">
        <f ca="1">IF(ISNUMBER(MATCH(DATEVALUE($A316),'changes1_based on steps'!Q$1:Q$400,0)),Q$2,)</f>
        <v>0</v>
      </c>
      <c r="R316" s="179">
        <f ca="1">IF(ISNUMBER(MATCH(DATEVALUE($A316),'changes1_based on steps'!R$1:R$400,0)),R$2,)</f>
        <v>0</v>
      </c>
      <c r="S316" s="179">
        <f ca="1">IF(ISNUMBER(MATCH(DATEVALUE($A316),'changes1_based on steps'!S$1:S$400,0)),S$2,)</f>
        <v>0</v>
      </c>
      <c r="T316" s="179">
        <f ca="1">IF(ISNUMBER(MATCH(DATEVALUE($A316),'changes1_based on steps'!T$1:T$400,0)),T$2,)</f>
        <v>0</v>
      </c>
      <c r="U316" s="179">
        <f ca="1">IF(ISNUMBER(MATCH(DATEVALUE($A316),'changes1_based on steps'!U$1:U$400,0)),U$2,)</f>
        <v>0</v>
      </c>
      <c r="V316" s="179"/>
      <c r="W316" s="179"/>
      <c r="X316" s="179"/>
      <c r="Y316" s="179"/>
      <c r="Z316" s="179"/>
      <c r="AA316" s="179"/>
      <c r="AB316" s="179"/>
      <c r="AC316" s="179"/>
      <c r="AD316" s="179"/>
      <c r="AE316" s="179"/>
      <c r="AF316" s="179"/>
      <c r="AG316" s="179"/>
      <c r="AH316" s="179"/>
      <c r="AI316" s="179"/>
      <c r="AJ316" s="179"/>
      <c r="AK316" s="179"/>
      <c r="AL316" s="179"/>
      <c r="AM316" s="179"/>
      <c r="AN316" s="179"/>
      <c r="AO316" s="179"/>
      <c r="AP316" s="179"/>
      <c r="AQ316" s="179"/>
      <c r="AR316" s="179"/>
      <c r="AS316" s="179"/>
      <c r="AT316" s="179"/>
      <c r="AU316" s="179"/>
      <c r="AV316" s="179"/>
      <c r="AW316" s="179"/>
      <c r="AX316" s="179"/>
      <c r="AY316" s="179"/>
      <c r="AZ316" s="179"/>
      <c r="BA316" s="179"/>
      <c r="BB316" s="179"/>
      <c r="BC316" s="179"/>
      <c r="BD316" s="179"/>
      <c r="BE316" s="179"/>
      <c r="BF316" s="179"/>
      <c r="BG316" s="179"/>
      <c r="BH316" s="179"/>
      <c r="BI316" s="179"/>
      <c r="BJ316" s="179"/>
      <c r="BK316" s="179"/>
      <c r="BL316" s="179"/>
      <c r="BM316" s="179"/>
      <c r="BN316" s="179"/>
      <c r="BO316" s="179"/>
      <c r="BP316" s="179"/>
      <c r="BQ316" s="179"/>
      <c r="BR316" s="179"/>
      <c r="BS316" s="179"/>
      <c r="BT316" s="179"/>
      <c r="BU316" s="179"/>
      <c r="BV316" s="179"/>
      <c r="BW316" s="179"/>
      <c r="BX316" s="179"/>
      <c r="BY316" s="179"/>
      <c r="BZ316" s="179"/>
      <c r="CA316" s="179"/>
      <c r="CB316" s="179"/>
      <c r="CC316" s="179"/>
      <c r="CD316" s="179"/>
      <c r="CE316" s="179"/>
      <c r="CF316" s="179"/>
      <c r="CG316" s="179"/>
      <c r="CH316" s="179"/>
      <c r="CI316" s="179"/>
      <c r="CJ316" s="179"/>
      <c r="CK316" s="179"/>
      <c r="CL316" s="179"/>
      <c r="CM316" s="179"/>
      <c r="CN316" s="179"/>
      <c r="CO316" s="179"/>
      <c r="CP316" s="179"/>
      <c r="CQ316" s="179"/>
      <c r="CR316" s="179"/>
      <c r="CS316" s="179"/>
      <c r="CT316" s="179"/>
      <c r="CU316" s="179"/>
      <c r="CV316" s="179"/>
      <c r="CW316" s="179"/>
    </row>
    <row r="317" spans="1:101" x14ac:dyDescent="0.2">
      <c r="A317" s="32" t="str">
        <f t="shared" ca="1" si="4"/>
        <v>2026-02-13</v>
      </c>
      <c r="B317" s="179">
        <f ca="1">IF(ISNUMBER(MATCH(DATEVALUE($A317),'changes1_based on steps'!B$1:B$400,0)),B$2,)</f>
        <v>0</v>
      </c>
      <c r="C317" s="179">
        <f ca="1">IF(ISNUMBER(MATCH(DATEVALUE($A317),'changes1_based on steps'!C$1:C$400,0)),C$2,)</f>
        <v>0</v>
      </c>
      <c r="D317" s="179">
        <f ca="1">IF(ISNUMBER(MATCH(DATEVALUE($A317),'changes1_based on steps'!D$1:D$400,0)),D$2,)</f>
        <v>0</v>
      </c>
      <c r="E317" s="179">
        <f ca="1">IF(ISNUMBER(MATCH(DATEVALUE($A317),'changes1_based on steps'!E$1:E$400,0)),E$2,)</f>
        <v>0</v>
      </c>
      <c r="F317" s="179">
        <f ca="1">IF(ISNUMBER(MATCH(DATEVALUE($A317),'changes1_based on steps'!F$1:F$400,0)),F$2,)</f>
        <v>0</v>
      </c>
      <c r="G317" s="179">
        <f ca="1">IF(ISNUMBER(MATCH(DATEVALUE($A317),'changes1_based on steps'!G$1:G$400,0)),G$2,)</f>
        <v>0</v>
      </c>
      <c r="H317" s="179">
        <f ca="1">IF(ISNUMBER(MATCH(DATEVALUE($A317),'changes1_based on steps'!H$1:H$400,0)),H$2,)</f>
        <v>0</v>
      </c>
      <c r="I317" s="179">
        <f ca="1">IF(ISNUMBER(MATCH(DATEVALUE($A317),'changes1_based on steps'!I$1:I$400,0)),I$2,)</f>
        <v>0</v>
      </c>
      <c r="J317" s="179">
        <f ca="1">IF(ISNUMBER(MATCH(DATEVALUE($A317),'changes1_based on steps'!J$1:J$400,0)),J$2,)</f>
        <v>0</v>
      </c>
      <c r="K317" s="179">
        <f ca="1">IF(ISNUMBER(MATCH(DATEVALUE($A317),'changes1_based on steps'!K$1:K$400,0)),K$2,)</f>
        <v>0</v>
      </c>
      <c r="L317" s="179">
        <f ca="1">IF(ISNUMBER(MATCH(DATEVALUE($A317),'changes1_based on steps'!L$1:L$400,0)),L$2,)</f>
        <v>0</v>
      </c>
      <c r="M317" s="179">
        <f ca="1">IF(ISNUMBER(MATCH(DATEVALUE($A317),'changes1_based on steps'!M$1:M$400,0)),M$2,)</f>
        <v>0</v>
      </c>
      <c r="N317" s="179">
        <f ca="1">IF(ISNUMBER(MATCH(DATEVALUE($A317),'changes1_based on steps'!N$1:N$400,0)),N$2,)</f>
        <v>0</v>
      </c>
      <c r="O317" s="179">
        <f ca="1">IF(ISNUMBER(MATCH(DATEVALUE($A317),'changes1_based on steps'!O$1:O$400,0)),O$2,)</f>
        <v>0</v>
      </c>
      <c r="P317" s="179">
        <f ca="1">IF(ISNUMBER(MATCH(DATEVALUE($A317),'changes1_based on steps'!P$1:P$400,0)),P$2,)</f>
        <v>0</v>
      </c>
      <c r="Q317" s="179">
        <f ca="1">IF(ISNUMBER(MATCH(DATEVALUE($A317),'changes1_based on steps'!Q$1:Q$400,0)),Q$2,)</f>
        <v>0</v>
      </c>
      <c r="R317" s="179">
        <f ca="1">IF(ISNUMBER(MATCH(DATEVALUE($A317),'changes1_based on steps'!R$1:R$400,0)),R$2,)</f>
        <v>0</v>
      </c>
      <c r="S317" s="179">
        <f ca="1">IF(ISNUMBER(MATCH(DATEVALUE($A317),'changes1_based on steps'!S$1:S$400,0)),S$2,)</f>
        <v>0</v>
      </c>
      <c r="T317" s="179">
        <f ca="1">IF(ISNUMBER(MATCH(DATEVALUE($A317),'changes1_based on steps'!T$1:T$400,0)),T$2,)</f>
        <v>0</v>
      </c>
      <c r="U317" s="179">
        <f ca="1">IF(ISNUMBER(MATCH(DATEVALUE($A317),'changes1_based on steps'!U$1:U$400,0)),U$2,)</f>
        <v>0</v>
      </c>
      <c r="V317" s="179"/>
      <c r="W317" s="179"/>
      <c r="X317" s="179"/>
      <c r="Y317" s="179"/>
      <c r="Z317" s="179"/>
      <c r="AA317" s="179"/>
      <c r="AB317" s="179"/>
      <c r="AC317" s="179"/>
      <c r="AD317" s="179"/>
      <c r="AE317" s="179"/>
      <c r="AF317" s="179"/>
      <c r="AG317" s="179"/>
      <c r="AH317" s="179"/>
      <c r="AI317" s="179"/>
      <c r="AJ317" s="179"/>
      <c r="AK317" s="179"/>
      <c r="AL317" s="179"/>
      <c r="AM317" s="179"/>
      <c r="AN317" s="179"/>
      <c r="AO317" s="179"/>
      <c r="AP317" s="179"/>
      <c r="AQ317" s="179"/>
      <c r="AR317" s="179"/>
      <c r="AS317" s="179"/>
      <c r="AT317" s="179"/>
      <c r="AU317" s="179"/>
      <c r="AV317" s="179"/>
      <c r="AW317" s="179"/>
      <c r="AX317" s="179"/>
      <c r="AY317" s="179"/>
      <c r="AZ317" s="179"/>
      <c r="BA317" s="179"/>
      <c r="BB317" s="179"/>
      <c r="BC317" s="179"/>
      <c r="BD317" s="179"/>
      <c r="BE317" s="179"/>
      <c r="BF317" s="179"/>
      <c r="BG317" s="179"/>
      <c r="BH317" s="179"/>
      <c r="BI317" s="179"/>
      <c r="BJ317" s="179"/>
      <c r="BK317" s="179"/>
      <c r="BL317" s="179"/>
      <c r="BM317" s="179"/>
      <c r="BN317" s="179"/>
      <c r="BO317" s="179"/>
      <c r="BP317" s="179"/>
      <c r="BQ317" s="179"/>
      <c r="BR317" s="179"/>
      <c r="BS317" s="179"/>
      <c r="BT317" s="179"/>
      <c r="BU317" s="179"/>
      <c r="BV317" s="179"/>
      <c r="BW317" s="179"/>
      <c r="BX317" s="179"/>
      <c r="BY317" s="179"/>
      <c r="BZ317" s="179"/>
      <c r="CA317" s="179"/>
      <c r="CB317" s="179"/>
      <c r="CC317" s="179"/>
      <c r="CD317" s="179"/>
      <c r="CE317" s="179"/>
      <c r="CF317" s="179"/>
      <c r="CG317" s="179"/>
      <c r="CH317" s="179"/>
      <c r="CI317" s="179"/>
      <c r="CJ317" s="179"/>
      <c r="CK317" s="179"/>
      <c r="CL317" s="179"/>
      <c r="CM317" s="179"/>
      <c r="CN317" s="179"/>
      <c r="CO317" s="179"/>
      <c r="CP317" s="179"/>
      <c r="CQ317" s="179"/>
      <c r="CR317" s="179"/>
      <c r="CS317" s="179"/>
      <c r="CT317" s="179"/>
      <c r="CU317" s="179"/>
      <c r="CV317" s="179"/>
      <c r="CW317" s="179"/>
    </row>
    <row r="318" spans="1:101" x14ac:dyDescent="0.2">
      <c r="A318" s="32" t="str">
        <f t="shared" ca="1" si="4"/>
        <v>2026-02-14</v>
      </c>
      <c r="B318" s="179">
        <f ca="1">IF(ISNUMBER(MATCH(DATEVALUE($A318),'changes1_based on steps'!B$1:B$400,0)),B$2,)</f>
        <v>0</v>
      </c>
      <c r="C318" s="179">
        <f ca="1">IF(ISNUMBER(MATCH(DATEVALUE($A318),'changes1_based on steps'!C$1:C$400,0)),C$2,)</f>
        <v>0</v>
      </c>
      <c r="D318" s="179">
        <f ca="1">IF(ISNUMBER(MATCH(DATEVALUE($A318),'changes1_based on steps'!D$1:D$400,0)),D$2,)</f>
        <v>0</v>
      </c>
      <c r="E318" s="179">
        <f ca="1">IF(ISNUMBER(MATCH(DATEVALUE($A318),'changes1_based on steps'!E$1:E$400,0)),E$2,)</f>
        <v>0</v>
      </c>
      <c r="F318" s="179">
        <f ca="1">IF(ISNUMBER(MATCH(DATEVALUE($A318),'changes1_based on steps'!F$1:F$400,0)),F$2,)</f>
        <v>0</v>
      </c>
      <c r="G318" s="179">
        <f ca="1">IF(ISNUMBER(MATCH(DATEVALUE($A318),'changes1_based on steps'!G$1:G$400,0)),G$2,)</f>
        <v>0</v>
      </c>
      <c r="H318" s="179">
        <f ca="1">IF(ISNUMBER(MATCH(DATEVALUE($A318),'changes1_based on steps'!H$1:H$400,0)),H$2,)</f>
        <v>0</v>
      </c>
      <c r="I318" s="179">
        <f ca="1">IF(ISNUMBER(MATCH(DATEVALUE($A318),'changes1_based on steps'!I$1:I$400,0)),I$2,)</f>
        <v>0</v>
      </c>
      <c r="J318" s="179">
        <f ca="1">IF(ISNUMBER(MATCH(DATEVALUE($A318),'changes1_based on steps'!J$1:J$400,0)),J$2,)</f>
        <v>0</v>
      </c>
      <c r="K318" s="179">
        <f ca="1">IF(ISNUMBER(MATCH(DATEVALUE($A318),'changes1_based on steps'!K$1:K$400,0)),K$2,)</f>
        <v>0</v>
      </c>
      <c r="L318" s="179">
        <f ca="1">IF(ISNUMBER(MATCH(DATEVALUE($A318),'changes1_based on steps'!L$1:L$400,0)),L$2,)</f>
        <v>0</v>
      </c>
      <c r="M318" s="179">
        <f ca="1">IF(ISNUMBER(MATCH(DATEVALUE($A318),'changes1_based on steps'!M$1:M$400,0)),M$2,)</f>
        <v>0</v>
      </c>
      <c r="N318" s="179">
        <f ca="1">IF(ISNUMBER(MATCH(DATEVALUE($A318),'changes1_based on steps'!N$1:N$400,0)),N$2,)</f>
        <v>0</v>
      </c>
      <c r="O318" s="179">
        <f ca="1">IF(ISNUMBER(MATCH(DATEVALUE($A318),'changes1_based on steps'!O$1:O$400,0)),O$2,)</f>
        <v>0</v>
      </c>
      <c r="P318" s="179">
        <f ca="1">IF(ISNUMBER(MATCH(DATEVALUE($A318),'changes1_based on steps'!P$1:P$400,0)),P$2,)</f>
        <v>0</v>
      </c>
      <c r="Q318" s="179">
        <f ca="1">IF(ISNUMBER(MATCH(DATEVALUE($A318),'changes1_based on steps'!Q$1:Q$400,0)),Q$2,)</f>
        <v>0</v>
      </c>
      <c r="R318" s="179">
        <f ca="1">IF(ISNUMBER(MATCH(DATEVALUE($A318),'changes1_based on steps'!R$1:R$400,0)),R$2,)</f>
        <v>0</v>
      </c>
      <c r="S318" s="179">
        <f ca="1">IF(ISNUMBER(MATCH(DATEVALUE($A318),'changes1_based on steps'!S$1:S$400,0)),S$2,)</f>
        <v>0</v>
      </c>
      <c r="T318" s="179">
        <f ca="1">IF(ISNUMBER(MATCH(DATEVALUE($A318),'changes1_based on steps'!T$1:T$400,0)),T$2,)</f>
        <v>0</v>
      </c>
      <c r="U318" s="179">
        <f ca="1">IF(ISNUMBER(MATCH(DATEVALUE($A318),'changes1_based on steps'!U$1:U$400,0)),U$2,)</f>
        <v>0</v>
      </c>
      <c r="V318" s="179"/>
      <c r="W318" s="179"/>
      <c r="X318" s="179"/>
      <c r="Y318" s="179"/>
      <c r="Z318" s="179"/>
      <c r="AA318" s="179"/>
      <c r="AB318" s="179"/>
      <c r="AC318" s="179"/>
      <c r="AD318" s="179"/>
      <c r="AE318" s="179"/>
      <c r="AF318" s="179"/>
      <c r="AG318" s="179"/>
      <c r="AH318" s="179"/>
      <c r="AI318" s="179"/>
      <c r="AJ318" s="179"/>
      <c r="AK318" s="179"/>
      <c r="AL318" s="179"/>
      <c r="AM318" s="179"/>
      <c r="AN318" s="179"/>
      <c r="AO318" s="179"/>
      <c r="AP318" s="179"/>
      <c r="AQ318" s="179"/>
      <c r="AR318" s="179"/>
      <c r="AS318" s="179"/>
      <c r="AT318" s="179"/>
      <c r="AU318" s="179"/>
      <c r="AV318" s="179"/>
      <c r="AW318" s="179"/>
      <c r="AX318" s="179"/>
      <c r="AY318" s="179"/>
      <c r="AZ318" s="179"/>
      <c r="BA318" s="179"/>
      <c r="BB318" s="179"/>
      <c r="BC318" s="179"/>
      <c r="BD318" s="179"/>
      <c r="BE318" s="179"/>
      <c r="BF318" s="179"/>
      <c r="BG318" s="179"/>
      <c r="BH318" s="179"/>
      <c r="BI318" s="179"/>
      <c r="BJ318" s="179"/>
      <c r="BK318" s="179"/>
      <c r="BL318" s="179"/>
      <c r="BM318" s="179"/>
      <c r="BN318" s="179"/>
      <c r="BO318" s="179"/>
      <c r="BP318" s="179"/>
      <c r="BQ318" s="179"/>
      <c r="BR318" s="179"/>
      <c r="BS318" s="179"/>
      <c r="BT318" s="179"/>
      <c r="BU318" s="179"/>
      <c r="BV318" s="179"/>
      <c r="BW318" s="179"/>
      <c r="BX318" s="179"/>
      <c r="BY318" s="179"/>
      <c r="BZ318" s="179"/>
      <c r="CA318" s="179"/>
      <c r="CB318" s="179"/>
      <c r="CC318" s="179"/>
      <c r="CD318" s="179"/>
      <c r="CE318" s="179"/>
      <c r="CF318" s="179"/>
      <c r="CG318" s="179"/>
      <c r="CH318" s="179"/>
      <c r="CI318" s="179"/>
      <c r="CJ318" s="179"/>
      <c r="CK318" s="179"/>
      <c r="CL318" s="179"/>
      <c r="CM318" s="179"/>
      <c r="CN318" s="179"/>
      <c r="CO318" s="179"/>
      <c r="CP318" s="179"/>
      <c r="CQ318" s="179"/>
      <c r="CR318" s="179"/>
      <c r="CS318" s="179"/>
      <c r="CT318" s="179"/>
      <c r="CU318" s="179"/>
      <c r="CV318" s="179"/>
      <c r="CW318" s="179"/>
    </row>
    <row r="319" spans="1:101" x14ac:dyDescent="0.2">
      <c r="A319" s="32" t="str">
        <f t="shared" ca="1" si="4"/>
        <v>2026-02-15</v>
      </c>
      <c r="B319" s="179">
        <f ca="1">IF(ISNUMBER(MATCH(DATEVALUE($A319),'changes1_based on steps'!B$1:B$400,0)),B$2,)</f>
        <v>0</v>
      </c>
      <c r="C319" s="179">
        <f ca="1">IF(ISNUMBER(MATCH(DATEVALUE($A319),'changes1_based on steps'!C$1:C$400,0)),C$2,)</f>
        <v>0</v>
      </c>
      <c r="D319" s="179">
        <f ca="1">IF(ISNUMBER(MATCH(DATEVALUE($A319),'changes1_based on steps'!D$1:D$400,0)),D$2,)</f>
        <v>0</v>
      </c>
      <c r="E319" s="179">
        <f ca="1">IF(ISNUMBER(MATCH(DATEVALUE($A319),'changes1_based on steps'!E$1:E$400,0)),E$2,)</f>
        <v>0</v>
      </c>
      <c r="F319" s="179">
        <f ca="1">IF(ISNUMBER(MATCH(DATEVALUE($A319),'changes1_based on steps'!F$1:F$400,0)),F$2,)</f>
        <v>0</v>
      </c>
      <c r="G319" s="179">
        <f ca="1">IF(ISNUMBER(MATCH(DATEVALUE($A319),'changes1_based on steps'!G$1:G$400,0)),G$2,)</f>
        <v>0</v>
      </c>
      <c r="H319" s="179">
        <f ca="1">IF(ISNUMBER(MATCH(DATEVALUE($A319),'changes1_based on steps'!H$1:H$400,0)),H$2,)</f>
        <v>0</v>
      </c>
      <c r="I319" s="179">
        <f ca="1">IF(ISNUMBER(MATCH(DATEVALUE($A319),'changes1_based on steps'!I$1:I$400,0)),I$2,)</f>
        <v>0</v>
      </c>
      <c r="J319" s="179">
        <f ca="1">IF(ISNUMBER(MATCH(DATEVALUE($A319),'changes1_based on steps'!J$1:J$400,0)),J$2,)</f>
        <v>0</v>
      </c>
      <c r="K319" s="179">
        <f ca="1">IF(ISNUMBER(MATCH(DATEVALUE($A319),'changes1_based on steps'!K$1:K$400,0)),K$2,)</f>
        <v>0</v>
      </c>
      <c r="L319" s="179">
        <f ca="1">IF(ISNUMBER(MATCH(DATEVALUE($A319),'changes1_based on steps'!L$1:L$400,0)),L$2,)</f>
        <v>0</v>
      </c>
      <c r="M319" s="179">
        <f ca="1">IF(ISNUMBER(MATCH(DATEVALUE($A319),'changes1_based on steps'!M$1:M$400,0)),M$2,)</f>
        <v>0</v>
      </c>
      <c r="N319" s="179">
        <f ca="1">IF(ISNUMBER(MATCH(DATEVALUE($A319),'changes1_based on steps'!N$1:N$400,0)),N$2,)</f>
        <v>0</v>
      </c>
      <c r="O319" s="179">
        <f ca="1">IF(ISNUMBER(MATCH(DATEVALUE($A319),'changes1_based on steps'!O$1:O$400,0)),O$2,)</f>
        <v>0</v>
      </c>
      <c r="P319" s="179">
        <f ca="1">IF(ISNUMBER(MATCH(DATEVALUE($A319),'changes1_based on steps'!P$1:P$400,0)),P$2,)</f>
        <v>0</v>
      </c>
      <c r="Q319" s="179">
        <f ca="1">IF(ISNUMBER(MATCH(DATEVALUE($A319),'changes1_based on steps'!Q$1:Q$400,0)),Q$2,)</f>
        <v>0</v>
      </c>
      <c r="R319" s="179">
        <f ca="1">IF(ISNUMBER(MATCH(DATEVALUE($A319),'changes1_based on steps'!R$1:R$400,0)),R$2,)</f>
        <v>0</v>
      </c>
      <c r="S319" s="179">
        <f ca="1">IF(ISNUMBER(MATCH(DATEVALUE($A319),'changes1_based on steps'!S$1:S$400,0)),S$2,)</f>
        <v>0</v>
      </c>
      <c r="T319" s="179">
        <f ca="1">IF(ISNUMBER(MATCH(DATEVALUE($A319),'changes1_based on steps'!T$1:T$400,0)),T$2,)</f>
        <v>0</v>
      </c>
      <c r="U319" s="179">
        <f ca="1">IF(ISNUMBER(MATCH(DATEVALUE($A319),'changes1_based on steps'!U$1:U$400,0)),U$2,)</f>
        <v>0</v>
      </c>
      <c r="V319" s="179"/>
      <c r="W319" s="179"/>
      <c r="X319" s="179"/>
      <c r="Y319" s="179"/>
      <c r="Z319" s="179"/>
      <c r="AA319" s="179"/>
      <c r="AB319" s="179"/>
      <c r="AC319" s="179"/>
      <c r="AD319" s="179"/>
      <c r="AE319" s="179"/>
      <c r="AF319" s="179"/>
      <c r="AG319" s="179"/>
      <c r="AH319" s="179"/>
      <c r="AI319" s="179"/>
      <c r="AJ319" s="179"/>
      <c r="AK319" s="179"/>
      <c r="AL319" s="179"/>
      <c r="AM319" s="179"/>
      <c r="AN319" s="179"/>
      <c r="AO319" s="179"/>
      <c r="AP319" s="179"/>
      <c r="AQ319" s="179"/>
      <c r="AR319" s="179"/>
      <c r="AS319" s="179"/>
      <c r="AT319" s="179"/>
      <c r="AU319" s="179"/>
      <c r="AV319" s="179"/>
      <c r="AW319" s="179"/>
      <c r="AX319" s="179"/>
      <c r="AY319" s="179"/>
      <c r="AZ319" s="179"/>
      <c r="BA319" s="179"/>
      <c r="BB319" s="179"/>
      <c r="BC319" s="179"/>
      <c r="BD319" s="179"/>
      <c r="BE319" s="179"/>
      <c r="BF319" s="179"/>
      <c r="BG319" s="179"/>
      <c r="BH319" s="179"/>
      <c r="BI319" s="179"/>
      <c r="BJ319" s="179"/>
      <c r="BK319" s="179"/>
      <c r="BL319" s="179"/>
      <c r="BM319" s="179"/>
      <c r="BN319" s="179"/>
      <c r="BO319" s="179"/>
      <c r="BP319" s="179"/>
      <c r="BQ319" s="179"/>
      <c r="BR319" s="179"/>
      <c r="BS319" s="179"/>
      <c r="BT319" s="179"/>
      <c r="BU319" s="179"/>
      <c r="BV319" s="179"/>
      <c r="BW319" s="179"/>
      <c r="BX319" s="179"/>
      <c r="BY319" s="179"/>
      <c r="BZ319" s="179"/>
      <c r="CA319" s="179"/>
      <c r="CB319" s="179"/>
      <c r="CC319" s="179"/>
      <c r="CD319" s="179"/>
      <c r="CE319" s="179"/>
      <c r="CF319" s="179"/>
      <c r="CG319" s="179"/>
      <c r="CH319" s="179"/>
      <c r="CI319" s="179"/>
      <c r="CJ319" s="179"/>
      <c r="CK319" s="179"/>
      <c r="CL319" s="179"/>
      <c r="CM319" s="179"/>
      <c r="CN319" s="179"/>
      <c r="CO319" s="179"/>
      <c r="CP319" s="179"/>
      <c r="CQ319" s="179"/>
      <c r="CR319" s="179"/>
      <c r="CS319" s="179"/>
      <c r="CT319" s="179"/>
      <c r="CU319" s="179"/>
      <c r="CV319" s="179"/>
      <c r="CW319" s="179"/>
    </row>
    <row r="320" spans="1:101" x14ac:dyDescent="0.2">
      <c r="A320" s="32" t="str">
        <f t="shared" ca="1" si="4"/>
        <v>2026-02-16</v>
      </c>
      <c r="B320" s="179">
        <f ca="1">IF(ISNUMBER(MATCH(DATEVALUE($A320),'changes1_based on steps'!B$1:B$400,0)),B$2,)</f>
        <v>0</v>
      </c>
      <c r="C320" s="179">
        <f ca="1">IF(ISNUMBER(MATCH(DATEVALUE($A320),'changes1_based on steps'!C$1:C$400,0)),C$2,)</f>
        <v>0</v>
      </c>
      <c r="D320" s="179">
        <f ca="1">IF(ISNUMBER(MATCH(DATEVALUE($A320),'changes1_based on steps'!D$1:D$400,0)),D$2,)</f>
        <v>0</v>
      </c>
      <c r="E320" s="179">
        <f ca="1">IF(ISNUMBER(MATCH(DATEVALUE($A320),'changes1_based on steps'!E$1:E$400,0)),E$2,)</f>
        <v>0</v>
      </c>
      <c r="F320" s="179">
        <f ca="1">IF(ISNUMBER(MATCH(DATEVALUE($A320),'changes1_based on steps'!F$1:F$400,0)),F$2,)</f>
        <v>0</v>
      </c>
      <c r="G320" s="179">
        <f ca="1">IF(ISNUMBER(MATCH(DATEVALUE($A320),'changes1_based on steps'!G$1:G$400,0)),G$2,)</f>
        <v>0</v>
      </c>
      <c r="H320" s="179">
        <f ca="1">IF(ISNUMBER(MATCH(DATEVALUE($A320),'changes1_based on steps'!H$1:H$400,0)),H$2,)</f>
        <v>0</v>
      </c>
      <c r="I320" s="179">
        <f ca="1">IF(ISNUMBER(MATCH(DATEVALUE($A320),'changes1_based on steps'!I$1:I$400,0)),I$2,)</f>
        <v>0</v>
      </c>
      <c r="J320" s="179">
        <f ca="1">IF(ISNUMBER(MATCH(DATEVALUE($A320),'changes1_based on steps'!J$1:J$400,0)),J$2,)</f>
        <v>0</v>
      </c>
      <c r="K320" s="179">
        <f ca="1">IF(ISNUMBER(MATCH(DATEVALUE($A320),'changes1_based on steps'!K$1:K$400,0)),K$2,)</f>
        <v>0</v>
      </c>
      <c r="L320" s="179">
        <f ca="1">IF(ISNUMBER(MATCH(DATEVALUE($A320),'changes1_based on steps'!L$1:L$400,0)),L$2,)</f>
        <v>0</v>
      </c>
      <c r="M320" s="179">
        <f ca="1">IF(ISNUMBER(MATCH(DATEVALUE($A320),'changes1_based on steps'!M$1:M$400,0)),M$2,)</f>
        <v>0</v>
      </c>
      <c r="N320" s="179">
        <f ca="1">IF(ISNUMBER(MATCH(DATEVALUE($A320),'changes1_based on steps'!N$1:N$400,0)),N$2,)</f>
        <v>0</v>
      </c>
      <c r="O320" s="179">
        <f ca="1">IF(ISNUMBER(MATCH(DATEVALUE($A320),'changes1_based on steps'!O$1:O$400,0)),O$2,)</f>
        <v>0</v>
      </c>
      <c r="P320" s="179">
        <f ca="1">IF(ISNUMBER(MATCH(DATEVALUE($A320),'changes1_based on steps'!P$1:P$400,0)),P$2,)</f>
        <v>0</v>
      </c>
      <c r="Q320" s="179">
        <f ca="1">IF(ISNUMBER(MATCH(DATEVALUE($A320),'changes1_based on steps'!Q$1:Q$400,0)),Q$2,)</f>
        <v>0</v>
      </c>
      <c r="R320" s="179">
        <f ca="1">IF(ISNUMBER(MATCH(DATEVALUE($A320),'changes1_based on steps'!R$1:R$400,0)),R$2,)</f>
        <v>0</v>
      </c>
      <c r="S320" s="179">
        <f ca="1">IF(ISNUMBER(MATCH(DATEVALUE($A320),'changes1_based on steps'!S$1:S$400,0)),S$2,)</f>
        <v>0</v>
      </c>
      <c r="T320" s="179">
        <f ca="1">IF(ISNUMBER(MATCH(DATEVALUE($A320),'changes1_based on steps'!T$1:T$400,0)),T$2,)</f>
        <v>0</v>
      </c>
      <c r="U320" s="179">
        <f ca="1">IF(ISNUMBER(MATCH(DATEVALUE($A320),'changes1_based on steps'!U$1:U$400,0)),U$2,)</f>
        <v>0</v>
      </c>
      <c r="V320" s="179"/>
      <c r="W320" s="179"/>
      <c r="X320" s="179"/>
      <c r="Y320" s="179"/>
      <c r="Z320" s="179"/>
      <c r="AA320" s="179"/>
      <c r="AB320" s="179"/>
      <c r="AC320" s="179"/>
      <c r="AD320" s="179"/>
      <c r="AE320" s="179"/>
      <c r="AF320" s="179"/>
      <c r="AG320" s="179"/>
      <c r="AH320" s="179"/>
      <c r="AI320" s="179"/>
      <c r="AJ320" s="179"/>
      <c r="AK320" s="179"/>
      <c r="AL320" s="179"/>
      <c r="AM320" s="179"/>
      <c r="AN320" s="179"/>
      <c r="AO320" s="179"/>
      <c r="AP320" s="179"/>
      <c r="AQ320" s="179"/>
      <c r="AR320" s="179"/>
      <c r="AS320" s="179"/>
      <c r="AT320" s="179"/>
      <c r="AU320" s="179"/>
      <c r="AV320" s="179"/>
      <c r="AW320" s="179"/>
      <c r="AX320" s="179"/>
      <c r="AY320" s="179"/>
      <c r="AZ320" s="179"/>
      <c r="BA320" s="179"/>
      <c r="BB320" s="179"/>
      <c r="BC320" s="179"/>
      <c r="BD320" s="179"/>
      <c r="BE320" s="179"/>
      <c r="BF320" s="179"/>
      <c r="BG320" s="179"/>
      <c r="BH320" s="179"/>
      <c r="BI320" s="179"/>
      <c r="BJ320" s="179"/>
      <c r="BK320" s="179"/>
      <c r="BL320" s="179"/>
      <c r="BM320" s="179"/>
      <c r="BN320" s="179"/>
      <c r="BO320" s="179"/>
      <c r="BP320" s="179"/>
      <c r="BQ320" s="179"/>
      <c r="BR320" s="179"/>
      <c r="BS320" s="179"/>
      <c r="BT320" s="179"/>
      <c r="BU320" s="179"/>
      <c r="BV320" s="179"/>
      <c r="BW320" s="179"/>
      <c r="BX320" s="179"/>
      <c r="BY320" s="179"/>
      <c r="BZ320" s="179"/>
      <c r="CA320" s="179"/>
      <c r="CB320" s="179"/>
      <c r="CC320" s="179"/>
      <c r="CD320" s="179"/>
      <c r="CE320" s="179"/>
      <c r="CF320" s="179"/>
      <c r="CG320" s="179"/>
      <c r="CH320" s="179"/>
      <c r="CI320" s="179"/>
      <c r="CJ320" s="179"/>
      <c r="CK320" s="179"/>
      <c r="CL320" s="179"/>
      <c r="CM320" s="179"/>
      <c r="CN320" s="179"/>
      <c r="CO320" s="179"/>
      <c r="CP320" s="179"/>
      <c r="CQ320" s="179"/>
      <c r="CR320" s="179"/>
      <c r="CS320" s="179"/>
      <c r="CT320" s="179"/>
      <c r="CU320" s="179"/>
      <c r="CV320" s="179"/>
      <c r="CW320" s="179"/>
    </row>
    <row r="321" spans="1:101" x14ac:dyDescent="0.2">
      <c r="A321" s="32" t="str">
        <f t="shared" ca="1" si="4"/>
        <v>2026-02-17</v>
      </c>
      <c r="B321" s="179">
        <f ca="1">IF(ISNUMBER(MATCH(DATEVALUE($A321),'changes1_based on steps'!B$1:B$400,0)),B$2,)</f>
        <v>0</v>
      </c>
      <c r="C321" s="179">
        <f ca="1">IF(ISNUMBER(MATCH(DATEVALUE($A321),'changes1_based on steps'!C$1:C$400,0)),C$2,)</f>
        <v>0</v>
      </c>
      <c r="D321" s="179">
        <f ca="1">IF(ISNUMBER(MATCH(DATEVALUE($A321),'changes1_based on steps'!D$1:D$400,0)),D$2,)</f>
        <v>0</v>
      </c>
      <c r="E321" s="179">
        <f ca="1">IF(ISNUMBER(MATCH(DATEVALUE($A321),'changes1_based on steps'!E$1:E$400,0)),E$2,)</f>
        <v>0</v>
      </c>
      <c r="F321" s="179">
        <f ca="1">IF(ISNUMBER(MATCH(DATEVALUE($A321),'changes1_based on steps'!F$1:F$400,0)),F$2,)</f>
        <v>0</v>
      </c>
      <c r="G321" s="179">
        <f ca="1">IF(ISNUMBER(MATCH(DATEVALUE($A321),'changes1_based on steps'!G$1:G$400,0)),G$2,)</f>
        <v>0</v>
      </c>
      <c r="H321" s="179">
        <f ca="1">IF(ISNUMBER(MATCH(DATEVALUE($A321),'changes1_based on steps'!H$1:H$400,0)),H$2,)</f>
        <v>0</v>
      </c>
      <c r="I321" s="179">
        <f ca="1">IF(ISNUMBER(MATCH(DATEVALUE($A321),'changes1_based on steps'!I$1:I$400,0)),I$2,)</f>
        <v>0</v>
      </c>
      <c r="J321" s="179">
        <f ca="1">IF(ISNUMBER(MATCH(DATEVALUE($A321),'changes1_based on steps'!J$1:J$400,0)),J$2,)</f>
        <v>0</v>
      </c>
      <c r="K321" s="179">
        <f ca="1">IF(ISNUMBER(MATCH(DATEVALUE($A321),'changes1_based on steps'!K$1:K$400,0)),K$2,)</f>
        <v>0</v>
      </c>
      <c r="L321" s="179">
        <f ca="1">IF(ISNUMBER(MATCH(DATEVALUE($A321),'changes1_based on steps'!L$1:L$400,0)),L$2,)</f>
        <v>0</v>
      </c>
      <c r="M321" s="179">
        <f ca="1">IF(ISNUMBER(MATCH(DATEVALUE($A321),'changes1_based on steps'!M$1:M$400,0)),M$2,)</f>
        <v>0</v>
      </c>
      <c r="N321" s="179">
        <f ca="1">IF(ISNUMBER(MATCH(DATEVALUE($A321),'changes1_based on steps'!N$1:N$400,0)),N$2,)</f>
        <v>0</v>
      </c>
      <c r="O321" s="179">
        <f ca="1">IF(ISNUMBER(MATCH(DATEVALUE($A321),'changes1_based on steps'!O$1:O$400,0)),O$2,)</f>
        <v>0</v>
      </c>
      <c r="P321" s="179">
        <f ca="1">IF(ISNUMBER(MATCH(DATEVALUE($A321),'changes1_based on steps'!P$1:P$400,0)),P$2,)</f>
        <v>0</v>
      </c>
      <c r="Q321" s="179">
        <f ca="1">IF(ISNUMBER(MATCH(DATEVALUE($A321),'changes1_based on steps'!Q$1:Q$400,0)),Q$2,)</f>
        <v>0</v>
      </c>
      <c r="R321" s="179">
        <f ca="1">IF(ISNUMBER(MATCH(DATEVALUE($A321),'changes1_based on steps'!R$1:R$400,0)),R$2,)</f>
        <v>0</v>
      </c>
      <c r="S321" s="179">
        <f ca="1">IF(ISNUMBER(MATCH(DATEVALUE($A321),'changes1_based on steps'!S$1:S$400,0)),S$2,)</f>
        <v>0</v>
      </c>
      <c r="T321" s="179">
        <f ca="1">IF(ISNUMBER(MATCH(DATEVALUE($A321),'changes1_based on steps'!T$1:T$400,0)),T$2,)</f>
        <v>0</v>
      </c>
      <c r="U321" s="179">
        <f ca="1">IF(ISNUMBER(MATCH(DATEVALUE($A321),'changes1_based on steps'!U$1:U$400,0)),U$2,)</f>
        <v>0</v>
      </c>
      <c r="V321" s="179"/>
      <c r="W321" s="179"/>
      <c r="X321" s="179"/>
      <c r="Y321" s="179"/>
      <c r="Z321" s="179"/>
      <c r="AA321" s="179"/>
      <c r="AB321" s="179"/>
      <c r="AC321" s="179"/>
      <c r="AD321" s="179"/>
      <c r="AE321" s="179"/>
      <c r="AF321" s="179"/>
      <c r="AG321" s="179"/>
      <c r="AH321" s="179"/>
      <c r="AI321" s="179"/>
      <c r="AJ321" s="179"/>
      <c r="AK321" s="179"/>
      <c r="AL321" s="179"/>
      <c r="AM321" s="179"/>
      <c r="AN321" s="179"/>
      <c r="AO321" s="179"/>
      <c r="AP321" s="179"/>
      <c r="AQ321" s="179"/>
      <c r="AR321" s="179"/>
      <c r="AS321" s="179"/>
      <c r="AT321" s="179"/>
      <c r="AU321" s="179"/>
      <c r="AV321" s="179"/>
      <c r="AW321" s="179"/>
      <c r="AX321" s="179"/>
      <c r="AY321" s="179"/>
      <c r="AZ321" s="179"/>
      <c r="BA321" s="179"/>
      <c r="BB321" s="179"/>
      <c r="BC321" s="179"/>
      <c r="BD321" s="179"/>
      <c r="BE321" s="179"/>
      <c r="BF321" s="179"/>
      <c r="BG321" s="179"/>
      <c r="BH321" s="179"/>
      <c r="BI321" s="179"/>
      <c r="BJ321" s="179"/>
      <c r="BK321" s="179"/>
      <c r="BL321" s="179"/>
      <c r="BM321" s="179"/>
      <c r="BN321" s="179"/>
      <c r="BO321" s="179"/>
      <c r="BP321" s="179"/>
      <c r="BQ321" s="179"/>
      <c r="BR321" s="179"/>
      <c r="BS321" s="179"/>
      <c r="BT321" s="179"/>
      <c r="BU321" s="179"/>
      <c r="BV321" s="179"/>
      <c r="BW321" s="179"/>
      <c r="BX321" s="179"/>
      <c r="BY321" s="179"/>
      <c r="BZ321" s="179"/>
      <c r="CA321" s="179"/>
      <c r="CB321" s="179"/>
      <c r="CC321" s="179"/>
      <c r="CD321" s="179"/>
      <c r="CE321" s="179"/>
      <c r="CF321" s="179"/>
      <c r="CG321" s="179"/>
      <c r="CH321" s="179"/>
      <c r="CI321" s="179"/>
      <c r="CJ321" s="179"/>
      <c r="CK321" s="179"/>
      <c r="CL321" s="179"/>
      <c r="CM321" s="179"/>
      <c r="CN321" s="179"/>
      <c r="CO321" s="179"/>
      <c r="CP321" s="179"/>
      <c r="CQ321" s="179"/>
      <c r="CR321" s="179"/>
      <c r="CS321" s="179"/>
      <c r="CT321" s="179"/>
      <c r="CU321" s="179"/>
      <c r="CV321" s="179"/>
      <c r="CW321" s="179"/>
    </row>
    <row r="322" spans="1:101" x14ac:dyDescent="0.2">
      <c r="A322" s="32" t="str">
        <f t="shared" ca="1" si="4"/>
        <v>2026-02-18</v>
      </c>
      <c r="B322" s="179">
        <f ca="1">IF(ISNUMBER(MATCH(DATEVALUE($A322),'changes1_based on steps'!B$1:B$400,0)),B$2,)</f>
        <v>0</v>
      </c>
      <c r="C322" s="179">
        <f ca="1">IF(ISNUMBER(MATCH(DATEVALUE($A322),'changes1_based on steps'!C$1:C$400,0)),C$2,)</f>
        <v>0</v>
      </c>
      <c r="D322" s="179">
        <f ca="1">IF(ISNUMBER(MATCH(DATEVALUE($A322),'changes1_based on steps'!D$1:D$400,0)),D$2,)</f>
        <v>0</v>
      </c>
      <c r="E322" s="179">
        <f ca="1">IF(ISNUMBER(MATCH(DATEVALUE($A322),'changes1_based on steps'!E$1:E$400,0)),E$2,)</f>
        <v>0</v>
      </c>
      <c r="F322" s="179">
        <f ca="1">IF(ISNUMBER(MATCH(DATEVALUE($A322),'changes1_based on steps'!F$1:F$400,0)),F$2,)</f>
        <v>0</v>
      </c>
      <c r="G322" s="179">
        <f ca="1">IF(ISNUMBER(MATCH(DATEVALUE($A322),'changes1_based on steps'!G$1:G$400,0)),G$2,)</f>
        <v>0</v>
      </c>
      <c r="H322" s="179">
        <f ca="1">IF(ISNUMBER(MATCH(DATEVALUE($A322),'changes1_based on steps'!H$1:H$400,0)),H$2,)</f>
        <v>0</v>
      </c>
      <c r="I322" s="179">
        <f ca="1">IF(ISNUMBER(MATCH(DATEVALUE($A322),'changes1_based on steps'!I$1:I$400,0)),I$2,)</f>
        <v>0</v>
      </c>
      <c r="J322" s="179">
        <f ca="1">IF(ISNUMBER(MATCH(DATEVALUE($A322),'changes1_based on steps'!J$1:J$400,0)),J$2,)</f>
        <v>0</v>
      </c>
      <c r="K322" s="179">
        <f ca="1">IF(ISNUMBER(MATCH(DATEVALUE($A322),'changes1_based on steps'!K$1:K$400,0)),K$2,)</f>
        <v>0</v>
      </c>
      <c r="L322" s="179">
        <f ca="1">IF(ISNUMBER(MATCH(DATEVALUE($A322),'changes1_based on steps'!L$1:L$400,0)),L$2,)</f>
        <v>0</v>
      </c>
      <c r="M322" s="179">
        <f ca="1">IF(ISNUMBER(MATCH(DATEVALUE($A322),'changes1_based on steps'!M$1:M$400,0)),M$2,)</f>
        <v>0</v>
      </c>
      <c r="N322" s="179">
        <f ca="1">IF(ISNUMBER(MATCH(DATEVALUE($A322),'changes1_based on steps'!N$1:N$400,0)),N$2,)</f>
        <v>0</v>
      </c>
      <c r="O322" s="179">
        <f ca="1">IF(ISNUMBER(MATCH(DATEVALUE($A322),'changes1_based on steps'!O$1:O$400,0)),O$2,)</f>
        <v>0</v>
      </c>
      <c r="P322" s="179">
        <f ca="1">IF(ISNUMBER(MATCH(DATEVALUE($A322),'changes1_based on steps'!P$1:P$400,0)),P$2,)</f>
        <v>0</v>
      </c>
      <c r="Q322" s="179">
        <f ca="1">IF(ISNUMBER(MATCH(DATEVALUE($A322),'changes1_based on steps'!Q$1:Q$400,0)),Q$2,)</f>
        <v>0</v>
      </c>
      <c r="R322" s="179">
        <f ca="1">IF(ISNUMBER(MATCH(DATEVALUE($A322),'changes1_based on steps'!R$1:R$400,0)),R$2,)</f>
        <v>0</v>
      </c>
      <c r="S322" s="179">
        <f ca="1">IF(ISNUMBER(MATCH(DATEVALUE($A322),'changes1_based on steps'!S$1:S$400,0)),S$2,)</f>
        <v>0</v>
      </c>
      <c r="T322" s="179">
        <f ca="1">IF(ISNUMBER(MATCH(DATEVALUE($A322),'changes1_based on steps'!T$1:T$400,0)),T$2,)</f>
        <v>0</v>
      </c>
      <c r="U322" s="179">
        <f ca="1">IF(ISNUMBER(MATCH(DATEVALUE($A322),'changes1_based on steps'!U$1:U$400,0)),U$2,)</f>
        <v>0</v>
      </c>
      <c r="V322" s="179"/>
      <c r="W322" s="179"/>
      <c r="X322" s="179"/>
      <c r="Y322" s="179"/>
      <c r="Z322" s="179"/>
      <c r="AA322" s="179"/>
      <c r="AB322" s="179"/>
      <c r="AC322" s="179"/>
      <c r="AD322" s="179"/>
      <c r="AE322" s="179"/>
      <c r="AF322" s="179"/>
      <c r="AG322" s="179"/>
      <c r="AH322" s="179"/>
      <c r="AI322" s="179"/>
      <c r="AJ322" s="179"/>
      <c r="AK322" s="179"/>
      <c r="AL322" s="179"/>
      <c r="AM322" s="179"/>
      <c r="AN322" s="179"/>
      <c r="AO322" s="179"/>
      <c r="AP322" s="179"/>
      <c r="AQ322" s="179"/>
      <c r="AR322" s="179"/>
      <c r="AS322" s="179"/>
      <c r="AT322" s="179"/>
      <c r="AU322" s="179"/>
      <c r="AV322" s="179"/>
      <c r="AW322" s="179"/>
      <c r="AX322" s="179"/>
      <c r="AY322" s="179"/>
      <c r="AZ322" s="179"/>
      <c r="BA322" s="179"/>
      <c r="BB322" s="179"/>
      <c r="BC322" s="179"/>
      <c r="BD322" s="179"/>
      <c r="BE322" s="179"/>
      <c r="BF322" s="179"/>
      <c r="BG322" s="179"/>
      <c r="BH322" s="179"/>
      <c r="BI322" s="179"/>
      <c r="BJ322" s="179"/>
      <c r="BK322" s="179"/>
      <c r="BL322" s="179"/>
      <c r="BM322" s="179"/>
      <c r="BN322" s="179"/>
      <c r="BO322" s="179"/>
      <c r="BP322" s="179"/>
      <c r="BQ322" s="179"/>
      <c r="BR322" s="179"/>
      <c r="BS322" s="179"/>
      <c r="BT322" s="179"/>
      <c r="BU322" s="179"/>
      <c r="BV322" s="179"/>
      <c r="BW322" s="179"/>
      <c r="BX322" s="179"/>
      <c r="BY322" s="179"/>
      <c r="BZ322" s="179"/>
      <c r="CA322" s="179"/>
      <c r="CB322" s="179"/>
      <c r="CC322" s="179"/>
      <c r="CD322" s="179"/>
      <c r="CE322" s="179"/>
      <c r="CF322" s="179"/>
      <c r="CG322" s="179"/>
      <c r="CH322" s="179"/>
      <c r="CI322" s="179"/>
      <c r="CJ322" s="179"/>
      <c r="CK322" s="179"/>
      <c r="CL322" s="179"/>
      <c r="CM322" s="179"/>
      <c r="CN322" s="179"/>
      <c r="CO322" s="179"/>
      <c r="CP322" s="179"/>
      <c r="CQ322" s="179"/>
      <c r="CR322" s="179"/>
      <c r="CS322" s="179"/>
      <c r="CT322" s="179"/>
      <c r="CU322" s="179"/>
      <c r="CV322" s="179"/>
      <c r="CW322" s="179"/>
    </row>
    <row r="323" spans="1:101" x14ac:dyDescent="0.2">
      <c r="A323" s="32" t="str">
        <f t="shared" ca="1" si="4"/>
        <v>2026-02-19</v>
      </c>
      <c r="B323" s="179">
        <f ca="1">IF(ISNUMBER(MATCH(DATEVALUE($A323),'changes1_based on steps'!B$1:B$400,0)),B$2,)</f>
        <v>0</v>
      </c>
      <c r="C323" s="179">
        <f ca="1">IF(ISNUMBER(MATCH(DATEVALUE($A323),'changes1_based on steps'!C$1:C$400,0)),C$2,)</f>
        <v>0</v>
      </c>
      <c r="D323" s="179">
        <f ca="1">IF(ISNUMBER(MATCH(DATEVALUE($A323),'changes1_based on steps'!D$1:D$400,0)),D$2,)</f>
        <v>0</v>
      </c>
      <c r="E323" s="179">
        <f ca="1">IF(ISNUMBER(MATCH(DATEVALUE($A323),'changes1_based on steps'!E$1:E$400,0)),E$2,)</f>
        <v>0</v>
      </c>
      <c r="F323" s="179">
        <f ca="1">IF(ISNUMBER(MATCH(DATEVALUE($A323),'changes1_based on steps'!F$1:F$400,0)),F$2,)</f>
        <v>0</v>
      </c>
      <c r="G323" s="179">
        <f ca="1">IF(ISNUMBER(MATCH(DATEVALUE($A323),'changes1_based on steps'!G$1:G$400,0)),G$2,)</f>
        <v>0</v>
      </c>
      <c r="H323" s="179">
        <f ca="1">IF(ISNUMBER(MATCH(DATEVALUE($A323),'changes1_based on steps'!H$1:H$400,0)),H$2,)</f>
        <v>0</v>
      </c>
      <c r="I323" s="179">
        <f ca="1">IF(ISNUMBER(MATCH(DATEVALUE($A323),'changes1_based on steps'!I$1:I$400,0)),I$2,)</f>
        <v>0</v>
      </c>
      <c r="J323" s="179">
        <f ca="1">IF(ISNUMBER(MATCH(DATEVALUE($A323),'changes1_based on steps'!J$1:J$400,0)),J$2,)</f>
        <v>0</v>
      </c>
      <c r="K323" s="179">
        <f ca="1">IF(ISNUMBER(MATCH(DATEVALUE($A323),'changes1_based on steps'!K$1:K$400,0)),K$2,)</f>
        <v>0</v>
      </c>
      <c r="L323" s="179">
        <f ca="1">IF(ISNUMBER(MATCH(DATEVALUE($A323),'changes1_based on steps'!L$1:L$400,0)),L$2,)</f>
        <v>0</v>
      </c>
      <c r="M323" s="179">
        <f ca="1">IF(ISNUMBER(MATCH(DATEVALUE($A323),'changes1_based on steps'!M$1:M$400,0)),M$2,)</f>
        <v>0</v>
      </c>
      <c r="N323" s="179">
        <f ca="1">IF(ISNUMBER(MATCH(DATEVALUE($A323),'changes1_based on steps'!N$1:N$400,0)),N$2,)</f>
        <v>0</v>
      </c>
      <c r="O323" s="179">
        <f ca="1">IF(ISNUMBER(MATCH(DATEVALUE($A323),'changes1_based on steps'!O$1:O$400,0)),O$2,)</f>
        <v>0</v>
      </c>
      <c r="P323" s="179">
        <f ca="1">IF(ISNUMBER(MATCH(DATEVALUE($A323),'changes1_based on steps'!P$1:P$400,0)),P$2,)</f>
        <v>0</v>
      </c>
      <c r="Q323" s="179">
        <f ca="1">IF(ISNUMBER(MATCH(DATEVALUE($A323),'changes1_based on steps'!Q$1:Q$400,0)),Q$2,)</f>
        <v>0</v>
      </c>
      <c r="R323" s="179">
        <f ca="1">IF(ISNUMBER(MATCH(DATEVALUE($A323),'changes1_based on steps'!R$1:R$400,0)),R$2,)</f>
        <v>0</v>
      </c>
      <c r="S323" s="179">
        <f ca="1">IF(ISNUMBER(MATCH(DATEVALUE($A323),'changes1_based on steps'!S$1:S$400,0)),S$2,)</f>
        <v>0</v>
      </c>
      <c r="T323" s="179">
        <f ca="1">IF(ISNUMBER(MATCH(DATEVALUE($A323),'changes1_based on steps'!T$1:T$400,0)),T$2,)</f>
        <v>0</v>
      </c>
      <c r="U323" s="179">
        <f ca="1">IF(ISNUMBER(MATCH(DATEVALUE($A323),'changes1_based on steps'!U$1:U$400,0)),U$2,)</f>
        <v>0</v>
      </c>
      <c r="V323" s="179"/>
      <c r="W323" s="179"/>
      <c r="X323" s="179"/>
      <c r="Y323" s="179"/>
      <c r="Z323" s="179"/>
      <c r="AA323" s="179"/>
      <c r="AB323" s="179"/>
      <c r="AC323" s="179"/>
      <c r="AD323" s="179"/>
      <c r="AE323" s="179"/>
      <c r="AF323" s="179"/>
      <c r="AG323" s="179"/>
      <c r="AH323" s="179"/>
      <c r="AI323" s="179"/>
      <c r="AJ323" s="179"/>
      <c r="AK323" s="179"/>
      <c r="AL323" s="179"/>
      <c r="AM323" s="179"/>
      <c r="AN323" s="179"/>
      <c r="AO323" s="179"/>
      <c r="AP323" s="179"/>
      <c r="AQ323" s="179"/>
      <c r="AR323" s="179"/>
      <c r="AS323" s="179"/>
      <c r="AT323" s="179"/>
      <c r="AU323" s="179"/>
      <c r="AV323" s="179"/>
      <c r="AW323" s="179"/>
      <c r="AX323" s="179"/>
      <c r="AY323" s="179"/>
      <c r="AZ323" s="179"/>
      <c r="BA323" s="179"/>
      <c r="BB323" s="179"/>
      <c r="BC323" s="179"/>
      <c r="BD323" s="179"/>
      <c r="BE323" s="179"/>
      <c r="BF323" s="179"/>
      <c r="BG323" s="179"/>
      <c r="BH323" s="179"/>
      <c r="BI323" s="179"/>
      <c r="BJ323" s="179"/>
      <c r="BK323" s="179"/>
      <c r="BL323" s="179"/>
      <c r="BM323" s="179"/>
      <c r="BN323" s="179"/>
      <c r="BO323" s="179"/>
      <c r="BP323" s="179"/>
      <c r="BQ323" s="179"/>
      <c r="BR323" s="179"/>
      <c r="BS323" s="179"/>
      <c r="BT323" s="179"/>
      <c r="BU323" s="179"/>
      <c r="BV323" s="179"/>
      <c r="BW323" s="179"/>
      <c r="BX323" s="179"/>
      <c r="BY323" s="179"/>
      <c r="BZ323" s="179"/>
      <c r="CA323" s="179"/>
      <c r="CB323" s="179"/>
      <c r="CC323" s="179"/>
      <c r="CD323" s="179"/>
      <c r="CE323" s="179"/>
      <c r="CF323" s="179"/>
      <c r="CG323" s="179"/>
      <c r="CH323" s="179"/>
      <c r="CI323" s="179"/>
      <c r="CJ323" s="179"/>
      <c r="CK323" s="179"/>
      <c r="CL323" s="179"/>
      <c r="CM323" s="179"/>
      <c r="CN323" s="179"/>
      <c r="CO323" s="179"/>
      <c r="CP323" s="179"/>
      <c r="CQ323" s="179"/>
      <c r="CR323" s="179"/>
      <c r="CS323" s="179"/>
      <c r="CT323" s="179"/>
      <c r="CU323" s="179"/>
      <c r="CV323" s="179"/>
      <c r="CW323" s="179"/>
    </row>
    <row r="324" spans="1:101" x14ac:dyDescent="0.2">
      <c r="A324" s="32" t="str">
        <f t="shared" ca="1" si="4"/>
        <v>2026-02-20</v>
      </c>
      <c r="B324" s="179">
        <f ca="1">IF(ISNUMBER(MATCH(DATEVALUE($A324),'changes1_based on steps'!B$1:B$400,0)),B$2,)</f>
        <v>0</v>
      </c>
      <c r="C324" s="179">
        <f ca="1">IF(ISNUMBER(MATCH(DATEVALUE($A324),'changes1_based on steps'!C$1:C$400,0)),C$2,)</f>
        <v>0</v>
      </c>
      <c r="D324" s="179">
        <f ca="1">IF(ISNUMBER(MATCH(DATEVALUE($A324),'changes1_based on steps'!D$1:D$400,0)),D$2,)</f>
        <v>0</v>
      </c>
      <c r="E324" s="179">
        <f ca="1">IF(ISNUMBER(MATCH(DATEVALUE($A324),'changes1_based on steps'!E$1:E$400,0)),E$2,)</f>
        <v>0</v>
      </c>
      <c r="F324" s="179">
        <f ca="1">IF(ISNUMBER(MATCH(DATEVALUE($A324),'changes1_based on steps'!F$1:F$400,0)),F$2,)</f>
        <v>0</v>
      </c>
      <c r="G324" s="179">
        <f ca="1">IF(ISNUMBER(MATCH(DATEVALUE($A324),'changes1_based on steps'!G$1:G$400,0)),G$2,)</f>
        <v>0</v>
      </c>
      <c r="H324" s="179">
        <f ca="1">IF(ISNUMBER(MATCH(DATEVALUE($A324),'changes1_based on steps'!H$1:H$400,0)),H$2,)</f>
        <v>0</v>
      </c>
      <c r="I324" s="179">
        <f ca="1">IF(ISNUMBER(MATCH(DATEVALUE($A324),'changes1_based on steps'!I$1:I$400,0)),I$2,)</f>
        <v>0</v>
      </c>
      <c r="J324" s="179">
        <f ca="1">IF(ISNUMBER(MATCH(DATEVALUE($A324),'changes1_based on steps'!J$1:J$400,0)),J$2,)</f>
        <v>0</v>
      </c>
      <c r="K324" s="179">
        <f ca="1">IF(ISNUMBER(MATCH(DATEVALUE($A324),'changes1_based on steps'!K$1:K$400,0)),K$2,)</f>
        <v>0</v>
      </c>
      <c r="L324" s="179">
        <f ca="1">IF(ISNUMBER(MATCH(DATEVALUE($A324),'changes1_based on steps'!L$1:L$400,0)),L$2,)</f>
        <v>0</v>
      </c>
      <c r="M324" s="179">
        <f ca="1">IF(ISNUMBER(MATCH(DATEVALUE($A324),'changes1_based on steps'!M$1:M$400,0)),M$2,)</f>
        <v>0</v>
      </c>
      <c r="N324" s="179">
        <f ca="1">IF(ISNUMBER(MATCH(DATEVALUE($A324),'changes1_based on steps'!N$1:N$400,0)),N$2,)</f>
        <v>0</v>
      </c>
      <c r="O324" s="179">
        <f ca="1">IF(ISNUMBER(MATCH(DATEVALUE($A324),'changes1_based on steps'!O$1:O$400,0)),O$2,)</f>
        <v>0</v>
      </c>
      <c r="P324" s="179">
        <f ca="1">IF(ISNUMBER(MATCH(DATEVALUE($A324),'changes1_based on steps'!P$1:P$400,0)),P$2,)</f>
        <v>0</v>
      </c>
      <c r="Q324" s="179">
        <f ca="1">IF(ISNUMBER(MATCH(DATEVALUE($A324),'changes1_based on steps'!Q$1:Q$400,0)),Q$2,)</f>
        <v>0</v>
      </c>
      <c r="R324" s="179">
        <f ca="1">IF(ISNUMBER(MATCH(DATEVALUE($A324),'changes1_based on steps'!R$1:R$400,0)),R$2,)</f>
        <v>0</v>
      </c>
      <c r="S324" s="179">
        <f ca="1">IF(ISNUMBER(MATCH(DATEVALUE($A324),'changes1_based on steps'!S$1:S$400,0)),S$2,)</f>
        <v>0</v>
      </c>
      <c r="T324" s="179">
        <f ca="1">IF(ISNUMBER(MATCH(DATEVALUE($A324),'changes1_based on steps'!T$1:T$400,0)),T$2,)</f>
        <v>0</v>
      </c>
      <c r="U324" s="179">
        <f ca="1">IF(ISNUMBER(MATCH(DATEVALUE($A324),'changes1_based on steps'!U$1:U$400,0)),U$2,)</f>
        <v>0</v>
      </c>
      <c r="V324" s="179"/>
      <c r="W324" s="179"/>
      <c r="X324" s="179"/>
      <c r="Y324" s="179"/>
      <c r="Z324" s="179"/>
      <c r="AA324" s="179"/>
      <c r="AB324" s="179"/>
      <c r="AC324" s="179"/>
      <c r="AD324" s="179"/>
      <c r="AE324" s="179"/>
      <c r="AF324" s="179"/>
      <c r="AG324" s="179"/>
      <c r="AH324" s="179"/>
      <c r="AI324" s="179"/>
      <c r="AJ324" s="179"/>
      <c r="AK324" s="179"/>
      <c r="AL324" s="179"/>
      <c r="AM324" s="179"/>
      <c r="AN324" s="179"/>
      <c r="AO324" s="179"/>
      <c r="AP324" s="179"/>
      <c r="AQ324" s="179"/>
      <c r="AR324" s="179"/>
      <c r="AS324" s="179"/>
      <c r="AT324" s="179"/>
      <c r="AU324" s="179"/>
      <c r="AV324" s="179"/>
      <c r="AW324" s="179"/>
      <c r="AX324" s="179"/>
      <c r="AY324" s="179"/>
      <c r="AZ324" s="179"/>
      <c r="BA324" s="179"/>
      <c r="BB324" s="179"/>
      <c r="BC324" s="179"/>
      <c r="BD324" s="179"/>
      <c r="BE324" s="179"/>
      <c r="BF324" s="179"/>
      <c r="BG324" s="179"/>
      <c r="BH324" s="179"/>
      <c r="BI324" s="179"/>
      <c r="BJ324" s="179"/>
      <c r="BK324" s="179"/>
      <c r="BL324" s="179"/>
      <c r="BM324" s="179"/>
      <c r="BN324" s="179"/>
      <c r="BO324" s="179"/>
      <c r="BP324" s="179"/>
      <c r="BQ324" s="179"/>
      <c r="BR324" s="179"/>
      <c r="BS324" s="179"/>
      <c r="BT324" s="179"/>
      <c r="BU324" s="179"/>
      <c r="BV324" s="179"/>
      <c r="BW324" s="179"/>
      <c r="BX324" s="179"/>
      <c r="BY324" s="179"/>
      <c r="BZ324" s="179"/>
      <c r="CA324" s="179"/>
      <c r="CB324" s="179"/>
      <c r="CC324" s="179"/>
      <c r="CD324" s="179"/>
      <c r="CE324" s="179"/>
      <c r="CF324" s="179"/>
      <c r="CG324" s="179"/>
      <c r="CH324" s="179"/>
      <c r="CI324" s="179"/>
      <c r="CJ324" s="179"/>
      <c r="CK324" s="179"/>
      <c r="CL324" s="179"/>
      <c r="CM324" s="179"/>
      <c r="CN324" s="179"/>
      <c r="CO324" s="179"/>
      <c r="CP324" s="179"/>
      <c r="CQ324" s="179"/>
      <c r="CR324" s="179"/>
      <c r="CS324" s="179"/>
      <c r="CT324" s="179"/>
      <c r="CU324" s="179"/>
      <c r="CV324" s="179"/>
      <c r="CW324" s="179"/>
    </row>
    <row r="325" spans="1:101" x14ac:dyDescent="0.2">
      <c r="A325" s="32" t="str">
        <f t="shared" ref="A325:A371" ca="1" si="5">TEXT(DATEVALUE(A324)+1,"yyyy-mm-dd")</f>
        <v>2026-02-21</v>
      </c>
      <c r="B325" s="179">
        <f ca="1">IF(ISNUMBER(MATCH(DATEVALUE($A325),'changes1_based on steps'!B$1:B$400,0)),B$2,)</f>
        <v>0</v>
      </c>
      <c r="C325" s="179">
        <f ca="1">IF(ISNUMBER(MATCH(DATEVALUE($A325),'changes1_based on steps'!C$1:C$400,0)),C$2,)</f>
        <v>0</v>
      </c>
      <c r="D325" s="179">
        <f ca="1">IF(ISNUMBER(MATCH(DATEVALUE($A325),'changes1_based on steps'!D$1:D$400,0)),D$2,)</f>
        <v>0</v>
      </c>
      <c r="E325" s="179">
        <f ca="1">IF(ISNUMBER(MATCH(DATEVALUE($A325),'changes1_based on steps'!E$1:E$400,0)),E$2,)</f>
        <v>0</v>
      </c>
      <c r="F325" s="179">
        <f ca="1">IF(ISNUMBER(MATCH(DATEVALUE($A325),'changes1_based on steps'!F$1:F$400,0)),F$2,)</f>
        <v>0</v>
      </c>
      <c r="G325" s="179">
        <f ca="1">IF(ISNUMBER(MATCH(DATEVALUE($A325),'changes1_based on steps'!G$1:G$400,0)),G$2,)</f>
        <v>0</v>
      </c>
      <c r="H325" s="179">
        <f ca="1">IF(ISNUMBER(MATCH(DATEVALUE($A325),'changes1_based on steps'!H$1:H$400,0)),H$2,)</f>
        <v>0</v>
      </c>
      <c r="I325" s="179">
        <f ca="1">IF(ISNUMBER(MATCH(DATEVALUE($A325),'changes1_based on steps'!I$1:I$400,0)),I$2,)</f>
        <v>0</v>
      </c>
      <c r="J325" s="179">
        <f ca="1">IF(ISNUMBER(MATCH(DATEVALUE($A325),'changes1_based on steps'!J$1:J$400,0)),J$2,)</f>
        <v>0</v>
      </c>
      <c r="K325" s="179">
        <f ca="1">IF(ISNUMBER(MATCH(DATEVALUE($A325),'changes1_based on steps'!K$1:K$400,0)),K$2,)</f>
        <v>0</v>
      </c>
      <c r="L325" s="179">
        <f ca="1">IF(ISNUMBER(MATCH(DATEVALUE($A325),'changes1_based on steps'!L$1:L$400,0)),L$2,)</f>
        <v>0</v>
      </c>
      <c r="M325" s="179">
        <f ca="1">IF(ISNUMBER(MATCH(DATEVALUE($A325),'changes1_based on steps'!M$1:M$400,0)),M$2,)</f>
        <v>0</v>
      </c>
      <c r="N325" s="179">
        <f ca="1">IF(ISNUMBER(MATCH(DATEVALUE($A325),'changes1_based on steps'!N$1:N$400,0)),N$2,)</f>
        <v>0</v>
      </c>
      <c r="O325" s="179">
        <f ca="1">IF(ISNUMBER(MATCH(DATEVALUE($A325),'changes1_based on steps'!O$1:O$400,0)),O$2,)</f>
        <v>0</v>
      </c>
      <c r="P325" s="179">
        <f ca="1">IF(ISNUMBER(MATCH(DATEVALUE($A325),'changes1_based on steps'!P$1:P$400,0)),P$2,)</f>
        <v>0</v>
      </c>
      <c r="Q325" s="179">
        <f ca="1">IF(ISNUMBER(MATCH(DATEVALUE($A325),'changes1_based on steps'!Q$1:Q$400,0)),Q$2,)</f>
        <v>0</v>
      </c>
      <c r="R325" s="179">
        <f ca="1">IF(ISNUMBER(MATCH(DATEVALUE($A325),'changes1_based on steps'!R$1:R$400,0)),R$2,)</f>
        <v>0</v>
      </c>
      <c r="S325" s="179">
        <f ca="1">IF(ISNUMBER(MATCH(DATEVALUE($A325),'changes1_based on steps'!S$1:S$400,0)),S$2,)</f>
        <v>0</v>
      </c>
      <c r="T325" s="179">
        <f ca="1">IF(ISNUMBER(MATCH(DATEVALUE($A325),'changes1_based on steps'!T$1:T$400,0)),T$2,)</f>
        <v>0</v>
      </c>
      <c r="U325" s="179">
        <f ca="1">IF(ISNUMBER(MATCH(DATEVALUE($A325),'changes1_based on steps'!U$1:U$400,0)),U$2,)</f>
        <v>0</v>
      </c>
      <c r="V325" s="179"/>
      <c r="W325" s="179"/>
      <c r="X325" s="179"/>
      <c r="Y325" s="179"/>
      <c r="Z325" s="179"/>
      <c r="AA325" s="179"/>
      <c r="AB325" s="179"/>
      <c r="AC325" s="179"/>
      <c r="AD325" s="179"/>
      <c r="AE325" s="179"/>
      <c r="AF325" s="179"/>
      <c r="AG325" s="179"/>
      <c r="AH325" s="179"/>
      <c r="AI325" s="179"/>
      <c r="AJ325" s="179"/>
      <c r="AK325" s="179"/>
      <c r="AL325" s="179"/>
      <c r="AM325" s="179"/>
      <c r="AN325" s="179"/>
      <c r="AO325" s="179"/>
      <c r="AP325" s="179"/>
      <c r="AQ325" s="179"/>
      <c r="AR325" s="179"/>
      <c r="AS325" s="179"/>
      <c r="AT325" s="179"/>
      <c r="AU325" s="179"/>
      <c r="AV325" s="179"/>
      <c r="AW325" s="179"/>
      <c r="AX325" s="179"/>
      <c r="AY325" s="179"/>
      <c r="AZ325" s="179"/>
      <c r="BA325" s="179"/>
      <c r="BB325" s="179"/>
      <c r="BC325" s="179"/>
      <c r="BD325" s="179"/>
      <c r="BE325" s="179"/>
      <c r="BF325" s="179"/>
      <c r="BG325" s="179"/>
      <c r="BH325" s="179"/>
      <c r="BI325" s="179"/>
      <c r="BJ325" s="179"/>
      <c r="BK325" s="179"/>
      <c r="BL325" s="179"/>
      <c r="BM325" s="179"/>
      <c r="BN325" s="179"/>
      <c r="BO325" s="179"/>
      <c r="BP325" s="179"/>
      <c r="BQ325" s="179"/>
      <c r="BR325" s="179"/>
      <c r="BS325" s="179"/>
      <c r="BT325" s="179"/>
      <c r="BU325" s="179"/>
      <c r="BV325" s="179"/>
      <c r="BW325" s="179"/>
      <c r="BX325" s="179"/>
      <c r="BY325" s="179"/>
      <c r="BZ325" s="179"/>
      <c r="CA325" s="179"/>
      <c r="CB325" s="179"/>
      <c r="CC325" s="179"/>
      <c r="CD325" s="179"/>
      <c r="CE325" s="179"/>
      <c r="CF325" s="179"/>
      <c r="CG325" s="179"/>
      <c r="CH325" s="179"/>
      <c r="CI325" s="179"/>
      <c r="CJ325" s="179"/>
      <c r="CK325" s="179"/>
      <c r="CL325" s="179"/>
      <c r="CM325" s="179"/>
      <c r="CN325" s="179"/>
      <c r="CO325" s="179"/>
      <c r="CP325" s="179"/>
      <c r="CQ325" s="179"/>
      <c r="CR325" s="179"/>
      <c r="CS325" s="179"/>
      <c r="CT325" s="179"/>
      <c r="CU325" s="179"/>
      <c r="CV325" s="179"/>
      <c r="CW325" s="179"/>
    </row>
    <row r="326" spans="1:101" x14ac:dyDescent="0.2">
      <c r="A326" s="32" t="str">
        <f t="shared" ca="1" si="5"/>
        <v>2026-02-22</v>
      </c>
      <c r="B326" s="179">
        <f ca="1">IF(ISNUMBER(MATCH(DATEVALUE($A326),'changes1_based on steps'!B$1:B$400,0)),B$2,)</f>
        <v>0</v>
      </c>
      <c r="C326" s="179">
        <f ca="1">IF(ISNUMBER(MATCH(DATEVALUE($A326),'changes1_based on steps'!C$1:C$400,0)),C$2,)</f>
        <v>0</v>
      </c>
      <c r="D326" s="179">
        <f ca="1">IF(ISNUMBER(MATCH(DATEVALUE($A326),'changes1_based on steps'!D$1:D$400,0)),D$2,)</f>
        <v>0</v>
      </c>
      <c r="E326" s="179">
        <f ca="1">IF(ISNUMBER(MATCH(DATEVALUE($A326),'changes1_based on steps'!E$1:E$400,0)),E$2,)</f>
        <v>0</v>
      </c>
      <c r="F326" s="179">
        <f ca="1">IF(ISNUMBER(MATCH(DATEVALUE($A326),'changes1_based on steps'!F$1:F$400,0)),F$2,)</f>
        <v>0</v>
      </c>
      <c r="G326" s="179">
        <f ca="1">IF(ISNUMBER(MATCH(DATEVALUE($A326),'changes1_based on steps'!G$1:G$400,0)),G$2,)</f>
        <v>0</v>
      </c>
      <c r="H326" s="179">
        <f ca="1">IF(ISNUMBER(MATCH(DATEVALUE($A326),'changes1_based on steps'!H$1:H$400,0)),H$2,)</f>
        <v>0</v>
      </c>
      <c r="I326" s="179">
        <f ca="1">IF(ISNUMBER(MATCH(DATEVALUE($A326),'changes1_based on steps'!I$1:I$400,0)),I$2,)</f>
        <v>0</v>
      </c>
      <c r="J326" s="179">
        <f ca="1">IF(ISNUMBER(MATCH(DATEVALUE($A326),'changes1_based on steps'!J$1:J$400,0)),J$2,)</f>
        <v>0</v>
      </c>
      <c r="K326" s="179">
        <f ca="1">IF(ISNUMBER(MATCH(DATEVALUE($A326),'changes1_based on steps'!K$1:K$400,0)),K$2,)</f>
        <v>0</v>
      </c>
      <c r="L326" s="179">
        <f ca="1">IF(ISNUMBER(MATCH(DATEVALUE($A326),'changes1_based on steps'!L$1:L$400,0)),L$2,)</f>
        <v>0</v>
      </c>
      <c r="M326" s="179">
        <f ca="1">IF(ISNUMBER(MATCH(DATEVALUE($A326),'changes1_based on steps'!M$1:M$400,0)),M$2,)</f>
        <v>0</v>
      </c>
      <c r="N326" s="179">
        <f ca="1">IF(ISNUMBER(MATCH(DATEVALUE($A326),'changes1_based on steps'!N$1:N$400,0)),N$2,)</f>
        <v>0</v>
      </c>
      <c r="O326" s="179">
        <f ca="1">IF(ISNUMBER(MATCH(DATEVALUE($A326),'changes1_based on steps'!O$1:O$400,0)),O$2,)</f>
        <v>0</v>
      </c>
      <c r="P326" s="179">
        <f ca="1">IF(ISNUMBER(MATCH(DATEVALUE($A326),'changes1_based on steps'!P$1:P$400,0)),P$2,)</f>
        <v>0</v>
      </c>
      <c r="Q326" s="179">
        <f ca="1">IF(ISNUMBER(MATCH(DATEVALUE($A326),'changes1_based on steps'!Q$1:Q$400,0)),Q$2,)</f>
        <v>0</v>
      </c>
      <c r="R326" s="179">
        <f ca="1">IF(ISNUMBER(MATCH(DATEVALUE($A326),'changes1_based on steps'!R$1:R$400,0)),R$2,)</f>
        <v>0</v>
      </c>
      <c r="S326" s="179">
        <f ca="1">IF(ISNUMBER(MATCH(DATEVALUE($A326),'changes1_based on steps'!S$1:S$400,0)),S$2,)</f>
        <v>0</v>
      </c>
      <c r="T326" s="179">
        <f ca="1">IF(ISNUMBER(MATCH(DATEVALUE($A326),'changes1_based on steps'!T$1:T$400,0)),T$2,)</f>
        <v>0</v>
      </c>
      <c r="U326" s="179">
        <f ca="1">IF(ISNUMBER(MATCH(DATEVALUE($A326),'changes1_based on steps'!U$1:U$400,0)),U$2,)</f>
        <v>0</v>
      </c>
      <c r="V326" s="179"/>
      <c r="W326" s="179"/>
      <c r="X326" s="179"/>
      <c r="Y326" s="179"/>
      <c r="Z326" s="179"/>
      <c r="AA326" s="179"/>
      <c r="AB326" s="179"/>
      <c r="AC326" s="179"/>
      <c r="AD326" s="179"/>
      <c r="AE326" s="179"/>
      <c r="AF326" s="179"/>
      <c r="AG326" s="179"/>
      <c r="AH326" s="179"/>
      <c r="AI326" s="179"/>
      <c r="AJ326" s="179"/>
      <c r="AK326" s="179"/>
      <c r="AL326" s="179"/>
      <c r="AM326" s="179"/>
      <c r="AN326" s="179"/>
      <c r="AO326" s="179"/>
      <c r="AP326" s="179"/>
      <c r="AQ326" s="179"/>
      <c r="AR326" s="179"/>
      <c r="AS326" s="179"/>
      <c r="AT326" s="179"/>
      <c r="AU326" s="179"/>
      <c r="AV326" s="179"/>
      <c r="AW326" s="179"/>
      <c r="AX326" s="179"/>
      <c r="AY326" s="179"/>
      <c r="AZ326" s="179"/>
      <c r="BA326" s="179"/>
      <c r="BB326" s="179"/>
      <c r="BC326" s="179"/>
      <c r="BD326" s="179"/>
      <c r="BE326" s="179"/>
      <c r="BF326" s="179"/>
      <c r="BG326" s="179"/>
      <c r="BH326" s="179"/>
      <c r="BI326" s="179"/>
      <c r="BJ326" s="179"/>
      <c r="BK326" s="179"/>
      <c r="BL326" s="179"/>
      <c r="BM326" s="179"/>
      <c r="BN326" s="179"/>
      <c r="BO326" s="179"/>
      <c r="BP326" s="179"/>
      <c r="BQ326" s="179"/>
      <c r="BR326" s="179"/>
      <c r="BS326" s="179"/>
      <c r="BT326" s="179"/>
      <c r="BU326" s="179"/>
      <c r="BV326" s="179"/>
      <c r="BW326" s="179"/>
      <c r="BX326" s="179"/>
      <c r="BY326" s="179"/>
      <c r="BZ326" s="179"/>
      <c r="CA326" s="179"/>
      <c r="CB326" s="179"/>
      <c r="CC326" s="179"/>
      <c r="CD326" s="179"/>
      <c r="CE326" s="179"/>
      <c r="CF326" s="179"/>
      <c r="CG326" s="179"/>
      <c r="CH326" s="179"/>
      <c r="CI326" s="179"/>
      <c r="CJ326" s="179"/>
      <c r="CK326" s="179"/>
      <c r="CL326" s="179"/>
      <c r="CM326" s="179"/>
      <c r="CN326" s="179"/>
      <c r="CO326" s="179"/>
      <c r="CP326" s="179"/>
      <c r="CQ326" s="179"/>
      <c r="CR326" s="179"/>
      <c r="CS326" s="179"/>
      <c r="CT326" s="179"/>
      <c r="CU326" s="179"/>
      <c r="CV326" s="179"/>
      <c r="CW326" s="179"/>
    </row>
    <row r="327" spans="1:101" x14ac:dyDescent="0.2">
      <c r="A327" s="32" t="str">
        <f t="shared" ca="1" si="5"/>
        <v>2026-02-23</v>
      </c>
      <c r="B327" s="179">
        <f ca="1">IF(ISNUMBER(MATCH(DATEVALUE($A327),'changes1_based on steps'!B$1:B$400,0)),B$2,)</f>
        <v>0</v>
      </c>
      <c r="C327" s="179">
        <f ca="1">IF(ISNUMBER(MATCH(DATEVALUE($A327),'changes1_based on steps'!C$1:C$400,0)),C$2,)</f>
        <v>0</v>
      </c>
      <c r="D327" s="179">
        <f ca="1">IF(ISNUMBER(MATCH(DATEVALUE($A327),'changes1_based on steps'!D$1:D$400,0)),D$2,)</f>
        <v>0</v>
      </c>
      <c r="E327" s="179">
        <f ca="1">IF(ISNUMBER(MATCH(DATEVALUE($A327),'changes1_based on steps'!E$1:E$400,0)),E$2,)</f>
        <v>0</v>
      </c>
      <c r="F327" s="179">
        <f ca="1">IF(ISNUMBER(MATCH(DATEVALUE($A327),'changes1_based on steps'!F$1:F$400,0)),F$2,)</f>
        <v>0</v>
      </c>
      <c r="G327" s="179">
        <f ca="1">IF(ISNUMBER(MATCH(DATEVALUE($A327),'changes1_based on steps'!G$1:G$400,0)),G$2,)</f>
        <v>0</v>
      </c>
      <c r="H327" s="179">
        <f ca="1">IF(ISNUMBER(MATCH(DATEVALUE($A327),'changes1_based on steps'!H$1:H$400,0)),H$2,)</f>
        <v>0</v>
      </c>
      <c r="I327" s="179">
        <f ca="1">IF(ISNUMBER(MATCH(DATEVALUE($A327),'changes1_based on steps'!I$1:I$400,0)),I$2,)</f>
        <v>0</v>
      </c>
      <c r="J327" s="179">
        <f ca="1">IF(ISNUMBER(MATCH(DATEVALUE($A327),'changes1_based on steps'!J$1:J$400,0)),J$2,)</f>
        <v>0</v>
      </c>
      <c r="K327" s="179">
        <f ca="1">IF(ISNUMBER(MATCH(DATEVALUE($A327),'changes1_based on steps'!K$1:K$400,0)),K$2,)</f>
        <v>0</v>
      </c>
      <c r="L327" s="179">
        <f ca="1">IF(ISNUMBER(MATCH(DATEVALUE($A327),'changes1_based on steps'!L$1:L$400,0)),L$2,)</f>
        <v>0</v>
      </c>
      <c r="M327" s="179">
        <f ca="1">IF(ISNUMBER(MATCH(DATEVALUE($A327),'changes1_based on steps'!M$1:M$400,0)),M$2,)</f>
        <v>0</v>
      </c>
      <c r="N327" s="179">
        <f ca="1">IF(ISNUMBER(MATCH(DATEVALUE($A327),'changes1_based on steps'!N$1:N$400,0)),N$2,)</f>
        <v>0</v>
      </c>
      <c r="O327" s="179">
        <f ca="1">IF(ISNUMBER(MATCH(DATEVALUE($A327),'changes1_based on steps'!O$1:O$400,0)),O$2,)</f>
        <v>0</v>
      </c>
      <c r="P327" s="179">
        <f ca="1">IF(ISNUMBER(MATCH(DATEVALUE($A327),'changes1_based on steps'!P$1:P$400,0)),P$2,)</f>
        <v>0</v>
      </c>
      <c r="Q327" s="179">
        <f ca="1">IF(ISNUMBER(MATCH(DATEVALUE($A327),'changes1_based on steps'!Q$1:Q$400,0)),Q$2,)</f>
        <v>0</v>
      </c>
      <c r="R327" s="179">
        <f ca="1">IF(ISNUMBER(MATCH(DATEVALUE($A327),'changes1_based on steps'!R$1:R$400,0)),R$2,)</f>
        <v>0</v>
      </c>
      <c r="S327" s="179">
        <f ca="1">IF(ISNUMBER(MATCH(DATEVALUE($A327),'changes1_based on steps'!S$1:S$400,0)),S$2,)</f>
        <v>0</v>
      </c>
      <c r="T327" s="179">
        <f ca="1">IF(ISNUMBER(MATCH(DATEVALUE($A327),'changes1_based on steps'!T$1:T$400,0)),T$2,)</f>
        <v>0</v>
      </c>
      <c r="U327" s="179">
        <f ca="1">IF(ISNUMBER(MATCH(DATEVALUE($A327),'changes1_based on steps'!U$1:U$400,0)),U$2,)</f>
        <v>0</v>
      </c>
      <c r="V327" s="179"/>
      <c r="W327" s="179"/>
      <c r="X327" s="179"/>
      <c r="Y327" s="179"/>
      <c r="Z327" s="179"/>
      <c r="AA327" s="179"/>
      <c r="AB327" s="179"/>
      <c r="AC327" s="179"/>
      <c r="AD327" s="179"/>
      <c r="AE327" s="179"/>
      <c r="AF327" s="179"/>
      <c r="AG327" s="179"/>
      <c r="AH327" s="179"/>
      <c r="AI327" s="179"/>
      <c r="AJ327" s="179"/>
      <c r="AK327" s="179"/>
      <c r="AL327" s="179"/>
      <c r="AM327" s="179"/>
      <c r="AN327" s="179"/>
      <c r="AO327" s="179"/>
      <c r="AP327" s="179"/>
      <c r="AQ327" s="179"/>
      <c r="AR327" s="179"/>
      <c r="AS327" s="179"/>
      <c r="AT327" s="179"/>
      <c r="AU327" s="179"/>
      <c r="AV327" s="179"/>
      <c r="AW327" s="179"/>
      <c r="AX327" s="179"/>
      <c r="AY327" s="179"/>
      <c r="AZ327" s="179"/>
      <c r="BA327" s="179"/>
      <c r="BB327" s="179"/>
      <c r="BC327" s="179"/>
      <c r="BD327" s="179"/>
      <c r="BE327" s="179"/>
      <c r="BF327" s="179"/>
      <c r="BG327" s="179"/>
      <c r="BH327" s="179"/>
      <c r="BI327" s="179"/>
      <c r="BJ327" s="179"/>
      <c r="BK327" s="179"/>
      <c r="BL327" s="179"/>
      <c r="BM327" s="179"/>
      <c r="BN327" s="179"/>
      <c r="BO327" s="179"/>
      <c r="BP327" s="179"/>
      <c r="BQ327" s="179"/>
      <c r="BR327" s="179"/>
      <c r="BS327" s="179"/>
      <c r="BT327" s="179"/>
      <c r="BU327" s="179"/>
      <c r="BV327" s="179"/>
      <c r="BW327" s="179"/>
      <c r="BX327" s="179"/>
      <c r="BY327" s="179"/>
      <c r="BZ327" s="179"/>
      <c r="CA327" s="179"/>
      <c r="CB327" s="179"/>
      <c r="CC327" s="179"/>
      <c r="CD327" s="179"/>
      <c r="CE327" s="179"/>
      <c r="CF327" s="179"/>
      <c r="CG327" s="179"/>
      <c r="CH327" s="179"/>
      <c r="CI327" s="179"/>
      <c r="CJ327" s="179"/>
      <c r="CK327" s="179"/>
      <c r="CL327" s="179"/>
      <c r="CM327" s="179"/>
      <c r="CN327" s="179"/>
      <c r="CO327" s="179"/>
      <c r="CP327" s="179"/>
      <c r="CQ327" s="179"/>
      <c r="CR327" s="179"/>
      <c r="CS327" s="179"/>
      <c r="CT327" s="179"/>
      <c r="CU327" s="179"/>
      <c r="CV327" s="179"/>
      <c r="CW327" s="179"/>
    </row>
    <row r="328" spans="1:101" x14ac:dyDescent="0.2">
      <c r="A328" s="32" t="str">
        <f t="shared" ca="1" si="5"/>
        <v>2026-02-24</v>
      </c>
      <c r="B328" s="179">
        <f ca="1">IF(ISNUMBER(MATCH(DATEVALUE($A328),'changes1_based on steps'!B$1:B$400,0)),B$2,)</f>
        <v>0</v>
      </c>
      <c r="C328" s="179">
        <f ca="1">IF(ISNUMBER(MATCH(DATEVALUE($A328),'changes1_based on steps'!C$1:C$400,0)),C$2,)</f>
        <v>0</v>
      </c>
      <c r="D328" s="179">
        <f ca="1">IF(ISNUMBER(MATCH(DATEVALUE($A328),'changes1_based on steps'!D$1:D$400,0)),D$2,)</f>
        <v>0</v>
      </c>
      <c r="E328" s="179">
        <f ca="1">IF(ISNUMBER(MATCH(DATEVALUE($A328),'changes1_based on steps'!E$1:E$400,0)),E$2,)</f>
        <v>0</v>
      </c>
      <c r="F328" s="179">
        <f ca="1">IF(ISNUMBER(MATCH(DATEVALUE($A328),'changes1_based on steps'!F$1:F$400,0)),F$2,)</f>
        <v>0</v>
      </c>
      <c r="G328" s="179">
        <f ca="1">IF(ISNUMBER(MATCH(DATEVALUE($A328),'changes1_based on steps'!G$1:G$400,0)),G$2,)</f>
        <v>0</v>
      </c>
      <c r="H328" s="179">
        <f ca="1">IF(ISNUMBER(MATCH(DATEVALUE($A328),'changes1_based on steps'!H$1:H$400,0)),H$2,)</f>
        <v>0</v>
      </c>
      <c r="I328" s="179">
        <f ca="1">IF(ISNUMBER(MATCH(DATEVALUE($A328),'changes1_based on steps'!I$1:I$400,0)),I$2,)</f>
        <v>0</v>
      </c>
      <c r="J328" s="179">
        <f ca="1">IF(ISNUMBER(MATCH(DATEVALUE($A328),'changes1_based on steps'!J$1:J$400,0)),J$2,)</f>
        <v>0</v>
      </c>
      <c r="K328" s="179">
        <f ca="1">IF(ISNUMBER(MATCH(DATEVALUE($A328),'changes1_based on steps'!K$1:K$400,0)),K$2,)</f>
        <v>0</v>
      </c>
      <c r="L328" s="179">
        <f ca="1">IF(ISNUMBER(MATCH(DATEVALUE($A328),'changes1_based on steps'!L$1:L$400,0)),L$2,)</f>
        <v>0</v>
      </c>
      <c r="M328" s="179">
        <f ca="1">IF(ISNUMBER(MATCH(DATEVALUE($A328),'changes1_based on steps'!M$1:M$400,0)),M$2,)</f>
        <v>0</v>
      </c>
      <c r="N328" s="179">
        <f ca="1">IF(ISNUMBER(MATCH(DATEVALUE($A328),'changes1_based on steps'!N$1:N$400,0)),N$2,)</f>
        <v>0</v>
      </c>
      <c r="O328" s="179">
        <f ca="1">IF(ISNUMBER(MATCH(DATEVALUE($A328),'changes1_based on steps'!O$1:O$400,0)),O$2,)</f>
        <v>0</v>
      </c>
      <c r="P328" s="179">
        <f ca="1">IF(ISNUMBER(MATCH(DATEVALUE($A328),'changes1_based on steps'!P$1:P$400,0)),P$2,)</f>
        <v>0</v>
      </c>
      <c r="Q328" s="179">
        <f ca="1">IF(ISNUMBER(MATCH(DATEVALUE($A328),'changes1_based on steps'!Q$1:Q$400,0)),Q$2,)</f>
        <v>0</v>
      </c>
      <c r="R328" s="179">
        <f ca="1">IF(ISNUMBER(MATCH(DATEVALUE($A328),'changes1_based on steps'!R$1:R$400,0)),R$2,)</f>
        <v>0</v>
      </c>
      <c r="S328" s="179">
        <f ca="1">IF(ISNUMBER(MATCH(DATEVALUE($A328),'changes1_based on steps'!S$1:S$400,0)),S$2,)</f>
        <v>0</v>
      </c>
      <c r="T328" s="179">
        <f ca="1">IF(ISNUMBER(MATCH(DATEVALUE($A328),'changes1_based on steps'!T$1:T$400,0)),T$2,)</f>
        <v>0</v>
      </c>
      <c r="U328" s="179">
        <f ca="1">IF(ISNUMBER(MATCH(DATEVALUE($A328),'changes1_based on steps'!U$1:U$400,0)),U$2,)</f>
        <v>0</v>
      </c>
      <c r="V328" s="179"/>
      <c r="W328" s="179"/>
      <c r="X328" s="179"/>
      <c r="Y328" s="179"/>
      <c r="Z328" s="179"/>
      <c r="AA328" s="179"/>
      <c r="AB328" s="179"/>
      <c r="AC328" s="179"/>
      <c r="AD328" s="179"/>
      <c r="AE328" s="179"/>
      <c r="AF328" s="179"/>
      <c r="AG328" s="179"/>
      <c r="AH328" s="179"/>
      <c r="AI328" s="179"/>
      <c r="AJ328" s="179"/>
      <c r="AK328" s="179"/>
      <c r="AL328" s="179"/>
      <c r="AM328" s="179"/>
      <c r="AN328" s="179"/>
      <c r="AO328" s="179"/>
      <c r="AP328" s="179"/>
      <c r="AQ328" s="179"/>
      <c r="AR328" s="179"/>
      <c r="AS328" s="179"/>
      <c r="AT328" s="179"/>
      <c r="AU328" s="179"/>
      <c r="AV328" s="179"/>
      <c r="AW328" s="179"/>
      <c r="AX328" s="179"/>
      <c r="AY328" s="179"/>
      <c r="AZ328" s="179"/>
      <c r="BA328" s="179"/>
      <c r="BB328" s="179"/>
      <c r="BC328" s="179"/>
      <c r="BD328" s="179"/>
      <c r="BE328" s="179"/>
      <c r="BF328" s="179"/>
      <c r="BG328" s="179"/>
      <c r="BH328" s="179"/>
      <c r="BI328" s="179"/>
      <c r="BJ328" s="179"/>
      <c r="BK328" s="179"/>
      <c r="BL328" s="179"/>
      <c r="BM328" s="179"/>
      <c r="BN328" s="179"/>
      <c r="BO328" s="179"/>
      <c r="BP328" s="179"/>
      <c r="BQ328" s="179"/>
      <c r="BR328" s="179"/>
      <c r="BS328" s="179"/>
      <c r="BT328" s="179"/>
      <c r="BU328" s="179"/>
      <c r="BV328" s="179"/>
      <c r="BW328" s="179"/>
      <c r="BX328" s="179"/>
      <c r="BY328" s="179"/>
      <c r="BZ328" s="179"/>
      <c r="CA328" s="179"/>
      <c r="CB328" s="179"/>
      <c r="CC328" s="179"/>
      <c r="CD328" s="179"/>
      <c r="CE328" s="179"/>
      <c r="CF328" s="179"/>
      <c r="CG328" s="179"/>
      <c r="CH328" s="179"/>
      <c r="CI328" s="179"/>
      <c r="CJ328" s="179"/>
      <c r="CK328" s="179"/>
      <c r="CL328" s="179"/>
      <c r="CM328" s="179"/>
      <c r="CN328" s="179"/>
      <c r="CO328" s="179"/>
      <c r="CP328" s="179"/>
      <c r="CQ328" s="179"/>
      <c r="CR328" s="179"/>
      <c r="CS328" s="179"/>
      <c r="CT328" s="179"/>
      <c r="CU328" s="179"/>
      <c r="CV328" s="179"/>
      <c r="CW328" s="179"/>
    </row>
    <row r="329" spans="1:101" x14ac:dyDescent="0.2">
      <c r="A329" s="32" t="str">
        <f t="shared" ca="1" si="5"/>
        <v>2026-02-25</v>
      </c>
      <c r="B329" s="179">
        <f ca="1">IF(ISNUMBER(MATCH(DATEVALUE($A329),'changes1_based on steps'!B$1:B$400,0)),B$2,)</f>
        <v>0</v>
      </c>
      <c r="C329" s="179">
        <f ca="1">IF(ISNUMBER(MATCH(DATEVALUE($A329),'changes1_based on steps'!C$1:C$400,0)),C$2,)</f>
        <v>0</v>
      </c>
      <c r="D329" s="179">
        <f ca="1">IF(ISNUMBER(MATCH(DATEVALUE($A329),'changes1_based on steps'!D$1:D$400,0)),D$2,)</f>
        <v>0</v>
      </c>
      <c r="E329" s="179">
        <f ca="1">IF(ISNUMBER(MATCH(DATEVALUE($A329),'changes1_based on steps'!E$1:E$400,0)),E$2,)</f>
        <v>0</v>
      </c>
      <c r="F329" s="179">
        <f ca="1">IF(ISNUMBER(MATCH(DATEVALUE($A329),'changes1_based on steps'!F$1:F$400,0)),F$2,)</f>
        <v>0</v>
      </c>
      <c r="G329" s="179">
        <f ca="1">IF(ISNUMBER(MATCH(DATEVALUE($A329),'changes1_based on steps'!G$1:G$400,0)),G$2,)</f>
        <v>0</v>
      </c>
      <c r="H329" s="179">
        <f ca="1">IF(ISNUMBER(MATCH(DATEVALUE($A329),'changes1_based on steps'!H$1:H$400,0)),H$2,)</f>
        <v>0</v>
      </c>
      <c r="I329" s="179">
        <f ca="1">IF(ISNUMBER(MATCH(DATEVALUE($A329),'changes1_based on steps'!I$1:I$400,0)),I$2,)</f>
        <v>0</v>
      </c>
      <c r="J329" s="179">
        <f ca="1">IF(ISNUMBER(MATCH(DATEVALUE($A329),'changes1_based on steps'!J$1:J$400,0)),J$2,)</f>
        <v>0</v>
      </c>
      <c r="K329" s="179">
        <f ca="1">IF(ISNUMBER(MATCH(DATEVALUE($A329),'changes1_based on steps'!K$1:K$400,0)),K$2,)</f>
        <v>0</v>
      </c>
      <c r="L329" s="179">
        <f ca="1">IF(ISNUMBER(MATCH(DATEVALUE($A329),'changes1_based on steps'!L$1:L$400,0)),L$2,)</f>
        <v>0</v>
      </c>
      <c r="M329" s="179">
        <f ca="1">IF(ISNUMBER(MATCH(DATEVALUE($A329),'changes1_based on steps'!M$1:M$400,0)),M$2,)</f>
        <v>0</v>
      </c>
      <c r="N329" s="179">
        <f ca="1">IF(ISNUMBER(MATCH(DATEVALUE($A329),'changes1_based on steps'!N$1:N$400,0)),N$2,)</f>
        <v>0</v>
      </c>
      <c r="O329" s="179">
        <f ca="1">IF(ISNUMBER(MATCH(DATEVALUE($A329),'changes1_based on steps'!O$1:O$400,0)),O$2,)</f>
        <v>0</v>
      </c>
      <c r="P329" s="179">
        <f ca="1">IF(ISNUMBER(MATCH(DATEVALUE($A329),'changes1_based on steps'!P$1:P$400,0)),P$2,)</f>
        <v>0</v>
      </c>
      <c r="Q329" s="179">
        <f ca="1">IF(ISNUMBER(MATCH(DATEVALUE($A329),'changes1_based on steps'!Q$1:Q$400,0)),Q$2,)</f>
        <v>0</v>
      </c>
      <c r="R329" s="179">
        <f ca="1">IF(ISNUMBER(MATCH(DATEVALUE($A329),'changes1_based on steps'!R$1:R$400,0)),R$2,)</f>
        <v>0</v>
      </c>
      <c r="S329" s="179">
        <f ca="1">IF(ISNUMBER(MATCH(DATEVALUE($A329),'changes1_based on steps'!S$1:S$400,0)),S$2,)</f>
        <v>0</v>
      </c>
      <c r="T329" s="179">
        <f ca="1">IF(ISNUMBER(MATCH(DATEVALUE($A329),'changes1_based on steps'!T$1:T$400,0)),T$2,)</f>
        <v>0</v>
      </c>
      <c r="U329" s="179">
        <f ca="1">IF(ISNUMBER(MATCH(DATEVALUE($A329),'changes1_based on steps'!U$1:U$400,0)),U$2,)</f>
        <v>0</v>
      </c>
      <c r="V329" s="179"/>
      <c r="W329" s="179"/>
      <c r="X329" s="179"/>
      <c r="Y329" s="179"/>
      <c r="Z329" s="179"/>
      <c r="AA329" s="179"/>
      <c r="AB329" s="179"/>
      <c r="AC329" s="179"/>
      <c r="AD329" s="179"/>
      <c r="AE329" s="179"/>
      <c r="AF329" s="179"/>
      <c r="AG329" s="179"/>
      <c r="AH329" s="179"/>
      <c r="AI329" s="179"/>
      <c r="AJ329" s="179"/>
      <c r="AK329" s="179"/>
      <c r="AL329" s="179"/>
      <c r="AM329" s="179"/>
      <c r="AN329" s="179"/>
      <c r="AO329" s="179"/>
      <c r="AP329" s="179"/>
      <c r="AQ329" s="179"/>
      <c r="AR329" s="179"/>
      <c r="AS329" s="179"/>
      <c r="AT329" s="179"/>
      <c r="AU329" s="179"/>
      <c r="AV329" s="179"/>
      <c r="AW329" s="179"/>
      <c r="AX329" s="179"/>
      <c r="AY329" s="179"/>
      <c r="AZ329" s="179"/>
      <c r="BA329" s="179"/>
      <c r="BB329" s="179"/>
      <c r="BC329" s="179"/>
      <c r="BD329" s="179"/>
      <c r="BE329" s="179"/>
      <c r="BF329" s="179"/>
      <c r="BG329" s="179"/>
      <c r="BH329" s="179"/>
      <c r="BI329" s="179"/>
      <c r="BJ329" s="179"/>
      <c r="BK329" s="179"/>
      <c r="BL329" s="179"/>
      <c r="BM329" s="179"/>
      <c r="BN329" s="179"/>
      <c r="BO329" s="179"/>
      <c r="BP329" s="179"/>
      <c r="BQ329" s="179"/>
      <c r="BR329" s="179"/>
      <c r="BS329" s="179"/>
      <c r="BT329" s="179"/>
      <c r="BU329" s="179"/>
      <c r="BV329" s="179"/>
      <c r="BW329" s="179"/>
      <c r="BX329" s="179"/>
      <c r="BY329" s="179"/>
      <c r="BZ329" s="179"/>
      <c r="CA329" s="179"/>
      <c r="CB329" s="179"/>
      <c r="CC329" s="179"/>
      <c r="CD329" s="179"/>
      <c r="CE329" s="179"/>
      <c r="CF329" s="179"/>
      <c r="CG329" s="179"/>
      <c r="CH329" s="179"/>
      <c r="CI329" s="179"/>
      <c r="CJ329" s="179"/>
      <c r="CK329" s="179"/>
      <c r="CL329" s="179"/>
      <c r="CM329" s="179"/>
      <c r="CN329" s="179"/>
      <c r="CO329" s="179"/>
      <c r="CP329" s="179"/>
      <c r="CQ329" s="179"/>
      <c r="CR329" s="179"/>
      <c r="CS329" s="179"/>
      <c r="CT329" s="179"/>
      <c r="CU329" s="179"/>
      <c r="CV329" s="179"/>
      <c r="CW329" s="179"/>
    </row>
    <row r="330" spans="1:101" x14ac:dyDescent="0.2">
      <c r="A330" s="32" t="str">
        <f t="shared" ca="1" si="5"/>
        <v>2026-02-26</v>
      </c>
      <c r="B330" s="179">
        <f ca="1">IF(ISNUMBER(MATCH(DATEVALUE($A330),'changes1_based on steps'!B$1:B$400,0)),B$2,)</f>
        <v>0</v>
      </c>
      <c r="C330" s="179">
        <f ca="1">IF(ISNUMBER(MATCH(DATEVALUE($A330),'changes1_based on steps'!C$1:C$400,0)),C$2,)</f>
        <v>0</v>
      </c>
      <c r="D330" s="179">
        <f ca="1">IF(ISNUMBER(MATCH(DATEVALUE($A330),'changes1_based on steps'!D$1:D$400,0)),D$2,)</f>
        <v>0</v>
      </c>
      <c r="E330" s="179">
        <f ca="1">IF(ISNUMBER(MATCH(DATEVALUE($A330),'changes1_based on steps'!E$1:E$400,0)),E$2,)</f>
        <v>0</v>
      </c>
      <c r="F330" s="179">
        <f ca="1">IF(ISNUMBER(MATCH(DATEVALUE($A330),'changes1_based on steps'!F$1:F$400,0)),F$2,)</f>
        <v>0</v>
      </c>
      <c r="G330" s="179">
        <f ca="1">IF(ISNUMBER(MATCH(DATEVALUE($A330),'changes1_based on steps'!G$1:G$400,0)),G$2,)</f>
        <v>0</v>
      </c>
      <c r="H330" s="179">
        <f ca="1">IF(ISNUMBER(MATCH(DATEVALUE($A330),'changes1_based on steps'!H$1:H$400,0)),H$2,)</f>
        <v>0</v>
      </c>
      <c r="I330" s="179">
        <f ca="1">IF(ISNUMBER(MATCH(DATEVALUE($A330),'changes1_based on steps'!I$1:I$400,0)),I$2,)</f>
        <v>0</v>
      </c>
      <c r="J330" s="179">
        <f ca="1">IF(ISNUMBER(MATCH(DATEVALUE($A330),'changes1_based on steps'!J$1:J$400,0)),J$2,)</f>
        <v>0</v>
      </c>
      <c r="K330" s="179">
        <f ca="1">IF(ISNUMBER(MATCH(DATEVALUE($A330),'changes1_based on steps'!K$1:K$400,0)),K$2,)</f>
        <v>0</v>
      </c>
      <c r="L330" s="179">
        <f ca="1">IF(ISNUMBER(MATCH(DATEVALUE($A330),'changes1_based on steps'!L$1:L$400,0)),L$2,)</f>
        <v>0</v>
      </c>
      <c r="M330" s="179">
        <f ca="1">IF(ISNUMBER(MATCH(DATEVALUE($A330),'changes1_based on steps'!M$1:M$400,0)),M$2,)</f>
        <v>0</v>
      </c>
      <c r="N330" s="179">
        <f ca="1">IF(ISNUMBER(MATCH(DATEVALUE($A330),'changes1_based on steps'!N$1:N$400,0)),N$2,)</f>
        <v>0</v>
      </c>
      <c r="O330" s="179">
        <f ca="1">IF(ISNUMBER(MATCH(DATEVALUE($A330),'changes1_based on steps'!O$1:O$400,0)),O$2,)</f>
        <v>0</v>
      </c>
      <c r="P330" s="179">
        <f ca="1">IF(ISNUMBER(MATCH(DATEVALUE($A330),'changes1_based on steps'!P$1:P$400,0)),P$2,)</f>
        <v>0</v>
      </c>
      <c r="Q330" s="179">
        <f ca="1">IF(ISNUMBER(MATCH(DATEVALUE($A330),'changes1_based on steps'!Q$1:Q$400,0)),Q$2,)</f>
        <v>0</v>
      </c>
      <c r="R330" s="179">
        <f ca="1">IF(ISNUMBER(MATCH(DATEVALUE($A330),'changes1_based on steps'!R$1:R$400,0)),R$2,)</f>
        <v>0</v>
      </c>
      <c r="S330" s="179">
        <f ca="1">IF(ISNUMBER(MATCH(DATEVALUE($A330),'changes1_based on steps'!S$1:S$400,0)),S$2,)</f>
        <v>0</v>
      </c>
      <c r="T330" s="179">
        <f ca="1">IF(ISNUMBER(MATCH(DATEVALUE($A330),'changes1_based on steps'!T$1:T$400,0)),T$2,)</f>
        <v>0</v>
      </c>
      <c r="U330" s="179">
        <f ca="1">IF(ISNUMBER(MATCH(DATEVALUE($A330),'changes1_based on steps'!U$1:U$400,0)),U$2,)</f>
        <v>0</v>
      </c>
      <c r="V330" s="179"/>
      <c r="W330" s="179"/>
      <c r="X330" s="179"/>
      <c r="Y330" s="179"/>
      <c r="Z330" s="179"/>
      <c r="AA330" s="179"/>
      <c r="AB330" s="179"/>
      <c r="AC330" s="179"/>
      <c r="AD330" s="179"/>
      <c r="AE330" s="179"/>
      <c r="AF330" s="179"/>
      <c r="AG330" s="179"/>
      <c r="AH330" s="179"/>
      <c r="AI330" s="179"/>
      <c r="AJ330" s="179"/>
      <c r="AK330" s="179"/>
      <c r="AL330" s="179"/>
      <c r="AM330" s="179"/>
      <c r="AN330" s="179"/>
      <c r="AO330" s="179"/>
      <c r="AP330" s="179"/>
      <c r="AQ330" s="179"/>
      <c r="AR330" s="179"/>
      <c r="AS330" s="179"/>
      <c r="AT330" s="179"/>
      <c r="AU330" s="179"/>
      <c r="AV330" s="179"/>
      <c r="AW330" s="179"/>
      <c r="AX330" s="179"/>
      <c r="AY330" s="179"/>
      <c r="AZ330" s="179"/>
      <c r="BA330" s="179"/>
      <c r="BB330" s="179"/>
      <c r="BC330" s="179"/>
      <c r="BD330" s="179"/>
      <c r="BE330" s="179"/>
      <c r="BF330" s="179"/>
      <c r="BG330" s="179"/>
      <c r="BH330" s="179"/>
      <c r="BI330" s="179"/>
      <c r="BJ330" s="179"/>
      <c r="BK330" s="179"/>
      <c r="BL330" s="179"/>
      <c r="BM330" s="179"/>
      <c r="BN330" s="179"/>
      <c r="BO330" s="179"/>
      <c r="BP330" s="179"/>
      <c r="BQ330" s="179"/>
      <c r="BR330" s="179"/>
      <c r="BS330" s="179"/>
      <c r="BT330" s="179"/>
      <c r="BU330" s="179"/>
      <c r="BV330" s="179"/>
      <c r="BW330" s="179"/>
      <c r="BX330" s="179"/>
      <c r="BY330" s="179"/>
      <c r="BZ330" s="179"/>
      <c r="CA330" s="179"/>
      <c r="CB330" s="179"/>
      <c r="CC330" s="179"/>
      <c r="CD330" s="179"/>
      <c r="CE330" s="179"/>
      <c r="CF330" s="179"/>
      <c r="CG330" s="179"/>
      <c r="CH330" s="179"/>
      <c r="CI330" s="179"/>
      <c r="CJ330" s="179"/>
      <c r="CK330" s="179"/>
      <c r="CL330" s="179"/>
      <c r="CM330" s="179"/>
      <c r="CN330" s="179"/>
      <c r="CO330" s="179"/>
      <c r="CP330" s="179"/>
      <c r="CQ330" s="179"/>
      <c r="CR330" s="179"/>
      <c r="CS330" s="179"/>
      <c r="CT330" s="179"/>
      <c r="CU330" s="179"/>
      <c r="CV330" s="179"/>
      <c r="CW330" s="179"/>
    </row>
    <row r="331" spans="1:101" x14ac:dyDescent="0.2">
      <c r="A331" s="32" t="str">
        <f t="shared" ca="1" si="5"/>
        <v>2026-02-27</v>
      </c>
      <c r="B331" s="179">
        <f ca="1">IF(ISNUMBER(MATCH(DATEVALUE($A331),'changes1_based on steps'!B$1:B$400,0)),B$2,)</f>
        <v>0</v>
      </c>
      <c r="C331" s="179">
        <f ca="1">IF(ISNUMBER(MATCH(DATEVALUE($A331),'changes1_based on steps'!C$1:C$400,0)),C$2,)</f>
        <v>0</v>
      </c>
      <c r="D331" s="179">
        <f ca="1">IF(ISNUMBER(MATCH(DATEVALUE($A331),'changes1_based on steps'!D$1:D$400,0)),D$2,)</f>
        <v>0</v>
      </c>
      <c r="E331" s="179">
        <f ca="1">IF(ISNUMBER(MATCH(DATEVALUE($A331),'changes1_based on steps'!E$1:E$400,0)),E$2,)</f>
        <v>0</v>
      </c>
      <c r="F331" s="179">
        <f ca="1">IF(ISNUMBER(MATCH(DATEVALUE($A331),'changes1_based on steps'!F$1:F$400,0)),F$2,)</f>
        <v>0</v>
      </c>
      <c r="G331" s="179">
        <f ca="1">IF(ISNUMBER(MATCH(DATEVALUE($A331),'changes1_based on steps'!G$1:G$400,0)),G$2,)</f>
        <v>0</v>
      </c>
      <c r="H331" s="179">
        <f ca="1">IF(ISNUMBER(MATCH(DATEVALUE($A331),'changes1_based on steps'!H$1:H$400,0)),H$2,)</f>
        <v>0</v>
      </c>
      <c r="I331" s="179">
        <f ca="1">IF(ISNUMBER(MATCH(DATEVALUE($A331),'changes1_based on steps'!I$1:I$400,0)),I$2,)</f>
        <v>0</v>
      </c>
      <c r="J331" s="179">
        <f ca="1">IF(ISNUMBER(MATCH(DATEVALUE($A331),'changes1_based on steps'!J$1:J$400,0)),J$2,)</f>
        <v>0</v>
      </c>
      <c r="K331" s="179">
        <f ca="1">IF(ISNUMBER(MATCH(DATEVALUE($A331),'changes1_based on steps'!K$1:K$400,0)),K$2,)</f>
        <v>0</v>
      </c>
      <c r="L331" s="179">
        <f ca="1">IF(ISNUMBER(MATCH(DATEVALUE($A331),'changes1_based on steps'!L$1:L$400,0)),L$2,)</f>
        <v>0</v>
      </c>
      <c r="M331" s="179">
        <f ca="1">IF(ISNUMBER(MATCH(DATEVALUE($A331),'changes1_based on steps'!M$1:M$400,0)),M$2,)</f>
        <v>0</v>
      </c>
      <c r="N331" s="179">
        <f ca="1">IF(ISNUMBER(MATCH(DATEVALUE($A331),'changes1_based on steps'!N$1:N$400,0)),N$2,)</f>
        <v>0</v>
      </c>
      <c r="O331" s="179">
        <f ca="1">IF(ISNUMBER(MATCH(DATEVALUE($A331),'changes1_based on steps'!O$1:O$400,0)),O$2,)</f>
        <v>0</v>
      </c>
      <c r="P331" s="179">
        <f ca="1">IF(ISNUMBER(MATCH(DATEVALUE($A331),'changes1_based on steps'!P$1:P$400,0)),P$2,)</f>
        <v>0</v>
      </c>
      <c r="Q331" s="179">
        <f ca="1">IF(ISNUMBER(MATCH(DATEVALUE($A331),'changes1_based on steps'!Q$1:Q$400,0)),Q$2,)</f>
        <v>0</v>
      </c>
      <c r="R331" s="179">
        <f ca="1">IF(ISNUMBER(MATCH(DATEVALUE($A331),'changes1_based on steps'!R$1:R$400,0)),R$2,)</f>
        <v>0</v>
      </c>
      <c r="S331" s="179">
        <f ca="1">IF(ISNUMBER(MATCH(DATEVALUE($A331),'changes1_based on steps'!S$1:S$400,0)),S$2,)</f>
        <v>0</v>
      </c>
      <c r="T331" s="179">
        <f ca="1">IF(ISNUMBER(MATCH(DATEVALUE($A331),'changes1_based on steps'!T$1:T$400,0)),T$2,)</f>
        <v>0</v>
      </c>
      <c r="U331" s="179">
        <f ca="1">IF(ISNUMBER(MATCH(DATEVALUE($A331),'changes1_based on steps'!U$1:U$400,0)),U$2,)</f>
        <v>0</v>
      </c>
      <c r="V331" s="179"/>
      <c r="W331" s="179"/>
      <c r="X331" s="179"/>
      <c r="Y331" s="179"/>
      <c r="Z331" s="179"/>
      <c r="AA331" s="179"/>
      <c r="AB331" s="179"/>
      <c r="AC331" s="179"/>
      <c r="AD331" s="179"/>
      <c r="AE331" s="179"/>
      <c r="AF331" s="179"/>
      <c r="AG331" s="179"/>
      <c r="AH331" s="179"/>
      <c r="AI331" s="179"/>
      <c r="AJ331" s="179"/>
      <c r="AK331" s="179"/>
      <c r="AL331" s="179"/>
      <c r="AM331" s="179"/>
      <c r="AN331" s="179"/>
      <c r="AO331" s="179"/>
      <c r="AP331" s="179"/>
      <c r="AQ331" s="179"/>
      <c r="AR331" s="179"/>
      <c r="AS331" s="179"/>
      <c r="AT331" s="179"/>
      <c r="AU331" s="179"/>
      <c r="AV331" s="179"/>
      <c r="AW331" s="179"/>
      <c r="AX331" s="179"/>
      <c r="AY331" s="179"/>
      <c r="AZ331" s="179"/>
      <c r="BA331" s="179"/>
      <c r="BB331" s="179"/>
      <c r="BC331" s="179"/>
      <c r="BD331" s="179"/>
      <c r="BE331" s="179"/>
      <c r="BF331" s="179"/>
      <c r="BG331" s="179"/>
      <c r="BH331" s="179"/>
      <c r="BI331" s="179"/>
      <c r="BJ331" s="179"/>
      <c r="BK331" s="179"/>
      <c r="BL331" s="179"/>
      <c r="BM331" s="179"/>
      <c r="BN331" s="179"/>
      <c r="BO331" s="179"/>
      <c r="BP331" s="179"/>
      <c r="BQ331" s="179"/>
      <c r="BR331" s="179"/>
      <c r="BS331" s="179"/>
      <c r="BT331" s="179"/>
      <c r="BU331" s="179"/>
      <c r="BV331" s="179"/>
      <c r="BW331" s="179"/>
      <c r="BX331" s="179"/>
      <c r="BY331" s="179"/>
      <c r="BZ331" s="179"/>
      <c r="CA331" s="179"/>
      <c r="CB331" s="179"/>
      <c r="CC331" s="179"/>
      <c r="CD331" s="179"/>
      <c r="CE331" s="179"/>
      <c r="CF331" s="179"/>
      <c r="CG331" s="179"/>
      <c r="CH331" s="179"/>
      <c r="CI331" s="179"/>
      <c r="CJ331" s="179"/>
      <c r="CK331" s="179"/>
      <c r="CL331" s="179"/>
      <c r="CM331" s="179"/>
      <c r="CN331" s="179"/>
      <c r="CO331" s="179"/>
      <c r="CP331" s="179"/>
      <c r="CQ331" s="179"/>
      <c r="CR331" s="179"/>
      <c r="CS331" s="179"/>
      <c r="CT331" s="179"/>
      <c r="CU331" s="179"/>
      <c r="CV331" s="179"/>
      <c r="CW331" s="179"/>
    </row>
    <row r="332" spans="1:101" x14ac:dyDescent="0.2">
      <c r="A332" s="32" t="str">
        <f t="shared" ca="1" si="5"/>
        <v>2026-02-28</v>
      </c>
      <c r="B332" s="179">
        <f ca="1">IF(ISNUMBER(MATCH(DATEVALUE($A332),'changes1_based on steps'!B$1:B$400,0)),B$2,)</f>
        <v>0</v>
      </c>
      <c r="C332" s="179">
        <f ca="1">IF(ISNUMBER(MATCH(DATEVALUE($A332),'changes1_based on steps'!C$1:C$400,0)),C$2,)</f>
        <v>0</v>
      </c>
      <c r="D332" s="179">
        <f ca="1">IF(ISNUMBER(MATCH(DATEVALUE($A332),'changes1_based on steps'!D$1:D$400,0)),D$2,)</f>
        <v>0</v>
      </c>
      <c r="E332" s="179">
        <f ca="1">IF(ISNUMBER(MATCH(DATEVALUE($A332),'changes1_based on steps'!E$1:E$400,0)),E$2,)</f>
        <v>0</v>
      </c>
      <c r="F332" s="179">
        <f ca="1">IF(ISNUMBER(MATCH(DATEVALUE($A332),'changes1_based on steps'!F$1:F$400,0)),F$2,)</f>
        <v>0</v>
      </c>
      <c r="G332" s="179">
        <f ca="1">IF(ISNUMBER(MATCH(DATEVALUE($A332),'changes1_based on steps'!G$1:G$400,0)),G$2,)</f>
        <v>0</v>
      </c>
      <c r="H332" s="179">
        <f ca="1">IF(ISNUMBER(MATCH(DATEVALUE($A332),'changes1_based on steps'!H$1:H$400,0)),H$2,)</f>
        <v>0</v>
      </c>
      <c r="I332" s="179">
        <f ca="1">IF(ISNUMBER(MATCH(DATEVALUE($A332),'changes1_based on steps'!I$1:I$400,0)),I$2,)</f>
        <v>0</v>
      </c>
      <c r="J332" s="179">
        <f ca="1">IF(ISNUMBER(MATCH(DATEVALUE($A332),'changes1_based on steps'!J$1:J$400,0)),J$2,)</f>
        <v>0</v>
      </c>
      <c r="K332" s="179">
        <f ca="1">IF(ISNUMBER(MATCH(DATEVALUE($A332),'changes1_based on steps'!K$1:K$400,0)),K$2,)</f>
        <v>0</v>
      </c>
      <c r="L332" s="179">
        <f ca="1">IF(ISNUMBER(MATCH(DATEVALUE($A332),'changes1_based on steps'!L$1:L$400,0)),L$2,)</f>
        <v>0</v>
      </c>
      <c r="M332" s="179">
        <f ca="1">IF(ISNUMBER(MATCH(DATEVALUE($A332),'changes1_based on steps'!M$1:M$400,0)),M$2,)</f>
        <v>0</v>
      </c>
      <c r="N332" s="179">
        <f ca="1">IF(ISNUMBER(MATCH(DATEVALUE($A332),'changes1_based on steps'!N$1:N$400,0)),N$2,)</f>
        <v>0</v>
      </c>
      <c r="O332" s="179">
        <f ca="1">IF(ISNUMBER(MATCH(DATEVALUE($A332),'changes1_based on steps'!O$1:O$400,0)),O$2,)</f>
        <v>0</v>
      </c>
      <c r="P332" s="179">
        <f ca="1">IF(ISNUMBER(MATCH(DATEVALUE($A332),'changes1_based on steps'!P$1:P$400,0)),P$2,)</f>
        <v>0</v>
      </c>
      <c r="Q332" s="179">
        <f ca="1">IF(ISNUMBER(MATCH(DATEVALUE($A332),'changes1_based on steps'!Q$1:Q$400,0)),Q$2,)</f>
        <v>0</v>
      </c>
      <c r="R332" s="179">
        <f ca="1">IF(ISNUMBER(MATCH(DATEVALUE($A332),'changes1_based on steps'!R$1:R$400,0)),R$2,)</f>
        <v>0</v>
      </c>
      <c r="S332" s="179">
        <f ca="1">IF(ISNUMBER(MATCH(DATEVALUE($A332),'changes1_based on steps'!S$1:S$400,0)),S$2,)</f>
        <v>0</v>
      </c>
      <c r="T332" s="179">
        <f ca="1">IF(ISNUMBER(MATCH(DATEVALUE($A332),'changes1_based on steps'!T$1:T$400,0)),T$2,)</f>
        <v>0</v>
      </c>
      <c r="U332" s="179">
        <f ca="1">IF(ISNUMBER(MATCH(DATEVALUE($A332),'changes1_based on steps'!U$1:U$400,0)),U$2,)</f>
        <v>0</v>
      </c>
      <c r="V332" s="179"/>
      <c r="W332" s="179"/>
      <c r="X332" s="179"/>
      <c r="Y332" s="179"/>
      <c r="Z332" s="179"/>
      <c r="AA332" s="179"/>
      <c r="AB332" s="179"/>
      <c r="AC332" s="179"/>
      <c r="AD332" s="179"/>
      <c r="AE332" s="179"/>
      <c r="AF332" s="179"/>
      <c r="AG332" s="179"/>
      <c r="AH332" s="179"/>
      <c r="AI332" s="179"/>
      <c r="AJ332" s="179"/>
      <c r="AK332" s="179"/>
      <c r="AL332" s="179"/>
      <c r="AM332" s="179"/>
      <c r="AN332" s="179"/>
      <c r="AO332" s="179"/>
      <c r="AP332" s="179"/>
      <c r="AQ332" s="179"/>
      <c r="AR332" s="179"/>
      <c r="AS332" s="179"/>
      <c r="AT332" s="179"/>
      <c r="AU332" s="179"/>
      <c r="AV332" s="179"/>
      <c r="AW332" s="179"/>
      <c r="AX332" s="179"/>
      <c r="AY332" s="179"/>
      <c r="AZ332" s="179"/>
      <c r="BA332" s="179"/>
      <c r="BB332" s="179"/>
      <c r="BC332" s="179"/>
      <c r="BD332" s="179"/>
      <c r="BE332" s="179"/>
      <c r="BF332" s="179"/>
      <c r="BG332" s="179"/>
      <c r="BH332" s="179"/>
      <c r="BI332" s="179"/>
      <c r="BJ332" s="179"/>
      <c r="BK332" s="179"/>
      <c r="BL332" s="179"/>
      <c r="BM332" s="179"/>
      <c r="BN332" s="179"/>
      <c r="BO332" s="179"/>
      <c r="BP332" s="179"/>
      <c r="BQ332" s="179"/>
      <c r="BR332" s="179"/>
      <c r="BS332" s="179"/>
      <c r="BT332" s="179"/>
      <c r="BU332" s="179"/>
      <c r="BV332" s="179"/>
      <c r="BW332" s="179"/>
      <c r="BX332" s="179"/>
      <c r="BY332" s="179"/>
      <c r="BZ332" s="179"/>
      <c r="CA332" s="179"/>
      <c r="CB332" s="179"/>
      <c r="CC332" s="179"/>
      <c r="CD332" s="179"/>
      <c r="CE332" s="179"/>
      <c r="CF332" s="179"/>
      <c r="CG332" s="179"/>
      <c r="CH332" s="179"/>
      <c r="CI332" s="179"/>
      <c r="CJ332" s="179"/>
      <c r="CK332" s="179"/>
      <c r="CL332" s="179"/>
      <c r="CM332" s="179"/>
      <c r="CN332" s="179"/>
      <c r="CO332" s="179"/>
      <c r="CP332" s="179"/>
      <c r="CQ332" s="179"/>
      <c r="CR332" s="179"/>
      <c r="CS332" s="179"/>
      <c r="CT332" s="179"/>
      <c r="CU332" s="179"/>
      <c r="CV332" s="179"/>
      <c r="CW332" s="179"/>
    </row>
    <row r="333" spans="1:101" x14ac:dyDescent="0.2">
      <c r="A333" s="32" t="str">
        <f t="shared" ca="1" si="5"/>
        <v>2026-03-01</v>
      </c>
      <c r="B333" s="179">
        <f ca="1">IF(ISNUMBER(MATCH(DATEVALUE($A333),'changes1_based on steps'!B$1:B$400,0)),B$2,)</f>
        <v>0</v>
      </c>
      <c r="C333" s="179">
        <f ca="1">IF(ISNUMBER(MATCH(DATEVALUE($A333),'changes1_based on steps'!C$1:C$400,0)),C$2,)</f>
        <v>0</v>
      </c>
      <c r="D333" s="179">
        <f ca="1">IF(ISNUMBER(MATCH(DATEVALUE($A333),'changes1_based on steps'!D$1:D$400,0)),D$2,)</f>
        <v>0</v>
      </c>
      <c r="E333" s="179">
        <f ca="1">IF(ISNUMBER(MATCH(DATEVALUE($A333),'changes1_based on steps'!E$1:E$400,0)),E$2,)</f>
        <v>0</v>
      </c>
      <c r="F333" s="179">
        <f ca="1">IF(ISNUMBER(MATCH(DATEVALUE($A333),'changes1_based on steps'!F$1:F$400,0)),F$2,)</f>
        <v>0</v>
      </c>
      <c r="G333" s="179">
        <f ca="1">IF(ISNUMBER(MATCH(DATEVALUE($A333),'changes1_based on steps'!G$1:G$400,0)),G$2,)</f>
        <v>0</v>
      </c>
      <c r="H333" s="179">
        <f ca="1">IF(ISNUMBER(MATCH(DATEVALUE($A333),'changes1_based on steps'!H$1:H$400,0)),H$2,)</f>
        <v>0</v>
      </c>
      <c r="I333" s="179">
        <f ca="1">IF(ISNUMBER(MATCH(DATEVALUE($A333),'changes1_based on steps'!I$1:I$400,0)),I$2,)</f>
        <v>0</v>
      </c>
      <c r="J333" s="179">
        <f ca="1">IF(ISNUMBER(MATCH(DATEVALUE($A333),'changes1_based on steps'!J$1:J$400,0)),J$2,)</f>
        <v>0</v>
      </c>
      <c r="K333" s="179">
        <f ca="1">IF(ISNUMBER(MATCH(DATEVALUE($A333),'changes1_based on steps'!K$1:K$400,0)),K$2,)</f>
        <v>0</v>
      </c>
      <c r="L333" s="179">
        <f ca="1">IF(ISNUMBER(MATCH(DATEVALUE($A333),'changes1_based on steps'!L$1:L$400,0)),L$2,)</f>
        <v>0</v>
      </c>
      <c r="M333" s="179">
        <f ca="1">IF(ISNUMBER(MATCH(DATEVALUE($A333),'changes1_based on steps'!M$1:M$400,0)),M$2,)</f>
        <v>0</v>
      </c>
      <c r="N333" s="179">
        <f ca="1">IF(ISNUMBER(MATCH(DATEVALUE($A333),'changes1_based on steps'!N$1:N$400,0)),N$2,)</f>
        <v>0</v>
      </c>
      <c r="O333" s="179">
        <f ca="1">IF(ISNUMBER(MATCH(DATEVALUE($A333),'changes1_based on steps'!O$1:O$400,0)),O$2,)</f>
        <v>0</v>
      </c>
      <c r="P333" s="179">
        <f ca="1">IF(ISNUMBER(MATCH(DATEVALUE($A333),'changes1_based on steps'!P$1:P$400,0)),P$2,)</f>
        <v>0</v>
      </c>
      <c r="Q333" s="179">
        <f ca="1">IF(ISNUMBER(MATCH(DATEVALUE($A333),'changes1_based on steps'!Q$1:Q$400,0)),Q$2,)</f>
        <v>0</v>
      </c>
      <c r="R333" s="179">
        <f ca="1">IF(ISNUMBER(MATCH(DATEVALUE($A333),'changes1_based on steps'!R$1:R$400,0)),R$2,)</f>
        <v>0</v>
      </c>
      <c r="S333" s="179">
        <f ca="1">IF(ISNUMBER(MATCH(DATEVALUE($A333),'changes1_based on steps'!S$1:S$400,0)),S$2,)</f>
        <v>0</v>
      </c>
      <c r="T333" s="179">
        <f ca="1">IF(ISNUMBER(MATCH(DATEVALUE($A333),'changes1_based on steps'!T$1:T$400,0)),T$2,)</f>
        <v>0</v>
      </c>
      <c r="U333" s="179">
        <f ca="1">IF(ISNUMBER(MATCH(DATEVALUE($A333),'changes1_based on steps'!U$1:U$400,0)),U$2,)</f>
        <v>0</v>
      </c>
      <c r="V333" s="179"/>
      <c r="W333" s="179"/>
      <c r="X333" s="179"/>
      <c r="Y333" s="179"/>
      <c r="Z333" s="179"/>
      <c r="AA333" s="179"/>
      <c r="AB333" s="179"/>
      <c r="AC333" s="179"/>
      <c r="AD333" s="179"/>
      <c r="AE333" s="179"/>
      <c r="AF333" s="179"/>
      <c r="AG333" s="179"/>
      <c r="AH333" s="179"/>
      <c r="AI333" s="179"/>
      <c r="AJ333" s="179"/>
      <c r="AK333" s="179"/>
      <c r="AL333" s="179"/>
      <c r="AM333" s="179"/>
      <c r="AN333" s="179"/>
      <c r="AO333" s="179"/>
      <c r="AP333" s="179"/>
      <c r="AQ333" s="179"/>
      <c r="AR333" s="179"/>
      <c r="AS333" s="179"/>
      <c r="AT333" s="179"/>
      <c r="AU333" s="179"/>
      <c r="AV333" s="179"/>
      <c r="AW333" s="179"/>
      <c r="AX333" s="179"/>
      <c r="AY333" s="179"/>
      <c r="AZ333" s="179"/>
      <c r="BA333" s="179"/>
      <c r="BB333" s="179"/>
      <c r="BC333" s="179"/>
      <c r="BD333" s="179"/>
      <c r="BE333" s="179"/>
      <c r="BF333" s="179"/>
      <c r="BG333" s="179"/>
      <c r="BH333" s="179"/>
      <c r="BI333" s="179"/>
      <c r="BJ333" s="179"/>
      <c r="BK333" s="179"/>
      <c r="BL333" s="179"/>
      <c r="BM333" s="179"/>
      <c r="BN333" s="179"/>
      <c r="BO333" s="179"/>
      <c r="BP333" s="179"/>
      <c r="BQ333" s="179"/>
      <c r="BR333" s="179"/>
      <c r="BS333" s="179"/>
      <c r="BT333" s="179"/>
      <c r="BU333" s="179"/>
      <c r="BV333" s="179"/>
      <c r="BW333" s="179"/>
      <c r="BX333" s="179"/>
      <c r="BY333" s="179"/>
      <c r="BZ333" s="179"/>
      <c r="CA333" s="179"/>
      <c r="CB333" s="179"/>
      <c r="CC333" s="179"/>
      <c r="CD333" s="179"/>
      <c r="CE333" s="179"/>
      <c r="CF333" s="179"/>
      <c r="CG333" s="179"/>
      <c r="CH333" s="179"/>
      <c r="CI333" s="179"/>
      <c r="CJ333" s="179"/>
      <c r="CK333" s="179"/>
      <c r="CL333" s="179"/>
      <c r="CM333" s="179"/>
      <c r="CN333" s="179"/>
      <c r="CO333" s="179"/>
      <c r="CP333" s="179"/>
      <c r="CQ333" s="179"/>
      <c r="CR333" s="179"/>
      <c r="CS333" s="179"/>
      <c r="CT333" s="179"/>
      <c r="CU333" s="179"/>
      <c r="CV333" s="179"/>
      <c r="CW333" s="179"/>
    </row>
    <row r="334" spans="1:101" x14ac:dyDescent="0.2">
      <c r="A334" s="32" t="str">
        <f t="shared" ca="1" si="5"/>
        <v>2026-03-02</v>
      </c>
      <c r="B334" s="179">
        <f ca="1">IF(ISNUMBER(MATCH(DATEVALUE($A334),'changes1_based on steps'!B$1:B$400,0)),B$2,)</f>
        <v>0</v>
      </c>
      <c r="C334" s="179">
        <f ca="1">IF(ISNUMBER(MATCH(DATEVALUE($A334),'changes1_based on steps'!C$1:C$400,0)),C$2,)</f>
        <v>0</v>
      </c>
      <c r="D334" s="179">
        <f ca="1">IF(ISNUMBER(MATCH(DATEVALUE($A334),'changes1_based on steps'!D$1:D$400,0)),D$2,)</f>
        <v>0</v>
      </c>
      <c r="E334" s="179">
        <f ca="1">IF(ISNUMBER(MATCH(DATEVALUE($A334),'changes1_based on steps'!E$1:E$400,0)),E$2,)</f>
        <v>0</v>
      </c>
      <c r="F334" s="179">
        <f ca="1">IF(ISNUMBER(MATCH(DATEVALUE($A334),'changes1_based on steps'!F$1:F$400,0)),F$2,)</f>
        <v>0</v>
      </c>
      <c r="G334" s="179">
        <f ca="1">IF(ISNUMBER(MATCH(DATEVALUE($A334),'changes1_based on steps'!G$1:G$400,0)),G$2,)</f>
        <v>0</v>
      </c>
      <c r="H334" s="179">
        <f ca="1">IF(ISNUMBER(MATCH(DATEVALUE($A334),'changes1_based on steps'!H$1:H$400,0)),H$2,)</f>
        <v>0</v>
      </c>
      <c r="I334" s="179">
        <f ca="1">IF(ISNUMBER(MATCH(DATEVALUE($A334),'changes1_based on steps'!I$1:I$400,0)),I$2,)</f>
        <v>0</v>
      </c>
      <c r="J334" s="179">
        <f ca="1">IF(ISNUMBER(MATCH(DATEVALUE($A334),'changes1_based on steps'!J$1:J$400,0)),J$2,)</f>
        <v>0</v>
      </c>
      <c r="K334" s="179">
        <f ca="1">IF(ISNUMBER(MATCH(DATEVALUE($A334),'changes1_based on steps'!K$1:K$400,0)),K$2,)</f>
        <v>0</v>
      </c>
      <c r="L334" s="179">
        <f ca="1">IF(ISNUMBER(MATCH(DATEVALUE($A334),'changes1_based on steps'!L$1:L$400,0)),L$2,)</f>
        <v>0</v>
      </c>
      <c r="M334" s="179">
        <f ca="1">IF(ISNUMBER(MATCH(DATEVALUE($A334),'changes1_based on steps'!M$1:M$400,0)),M$2,)</f>
        <v>0</v>
      </c>
      <c r="N334" s="179">
        <f ca="1">IF(ISNUMBER(MATCH(DATEVALUE($A334),'changes1_based on steps'!N$1:N$400,0)),N$2,)</f>
        <v>0</v>
      </c>
      <c r="O334" s="179">
        <f ca="1">IF(ISNUMBER(MATCH(DATEVALUE($A334),'changes1_based on steps'!O$1:O$400,0)),O$2,)</f>
        <v>0</v>
      </c>
      <c r="P334" s="179">
        <f ca="1">IF(ISNUMBER(MATCH(DATEVALUE($A334),'changes1_based on steps'!P$1:P$400,0)),P$2,)</f>
        <v>0</v>
      </c>
      <c r="Q334" s="179">
        <f ca="1">IF(ISNUMBER(MATCH(DATEVALUE($A334),'changes1_based on steps'!Q$1:Q$400,0)),Q$2,)</f>
        <v>0</v>
      </c>
      <c r="R334" s="179">
        <f ca="1">IF(ISNUMBER(MATCH(DATEVALUE($A334),'changes1_based on steps'!R$1:R$400,0)),R$2,)</f>
        <v>0</v>
      </c>
      <c r="S334" s="179">
        <f ca="1">IF(ISNUMBER(MATCH(DATEVALUE($A334),'changes1_based on steps'!S$1:S$400,0)),S$2,)</f>
        <v>0</v>
      </c>
      <c r="T334" s="179">
        <f ca="1">IF(ISNUMBER(MATCH(DATEVALUE($A334),'changes1_based on steps'!T$1:T$400,0)),T$2,)</f>
        <v>0</v>
      </c>
      <c r="U334" s="179">
        <f ca="1">IF(ISNUMBER(MATCH(DATEVALUE($A334),'changes1_based on steps'!U$1:U$400,0)),U$2,)</f>
        <v>0</v>
      </c>
      <c r="V334" s="179"/>
      <c r="W334" s="179"/>
      <c r="X334" s="179"/>
      <c r="Y334" s="179"/>
      <c r="Z334" s="179"/>
      <c r="AA334" s="179"/>
      <c r="AB334" s="179"/>
      <c r="AC334" s="179"/>
      <c r="AD334" s="179"/>
      <c r="AE334" s="179"/>
      <c r="AF334" s="179"/>
      <c r="AG334" s="179"/>
      <c r="AH334" s="179"/>
      <c r="AI334" s="179"/>
      <c r="AJ334" s="179"/>
      <c r="AK334" s="179"/>
      <c r="AL334" s="179"/>
      <c r="AM334" s="179"/>
      <c r="AN334" s="179"/>
      <c r="AO334" s="179"/>
      <c r="AP334" s="179"/>
      <c r="AQ334" s="179"/>
      <c r="AR334" s="179"/>
      <c r="AS334" s="179"/>
      <c r="AT334" s="179"/>
      <c r="AU334" s="179"/>
      <c r="AV334" s="179"/>
      <c r="AW334" s="179"/>
      <c r="AX334" s="179"/>
      <c r="AY334" s="179"/>
      <c r="AZ334" s="179"/>
      <c r="BA334" s="179"/>
      <c r="BB334" s="179"/>
      <c r="BC334" s="179"/>
      <c r="BD334" s="179"/>
      <c r="BE334" s="179"/>
      <c r="BF334" s="179"/>
      <c r="BG334" s="179"/>
      <c r="BH334" s="179"/>
      <c r="BI334" s="179"/>
      <c r="BJ334" s="179"/>
      <c r="BK334" s="179"/>
      <c r="BL334" s="179"/>
      <c r="BM334" s="179"/>
      <c r="BN334" s="179"/>
      <c r="BO334" s="179"/>
      <c r="BP334" s="179"/>
      <c r="BQ334" s="179"/>
      <c r="BR334" s="179"/>
      <c r="BS334" s="179"/>
      <c r="BT334" s="179"/>
      <c r="BU334" s="179"/>
      <c r="BV334" s="179"/>
      <c r="BW334" s="179"/>
      <c r="BX334" s="179"/>
      <c r="BY334" s="179"/>
      <c r="BZ334" s="179"/>
      <c r="CA334" s="179"/>
      <c r="CB334" s="179"/>
      <c r="CC334" s="179"/>
      <c r="CD334" s="179"/>
      <c r="CE334" s="179"/>
      <c r="CF334" s="179"/>
      <c r="CG334" s="179"/>
      <c r="CH334" s="179"/>
      <c r="CI334" s="179"/>
      <c r="CJ334" s="179"/>
      <c r="CK334" s="179"/>
      <c r="CL334" s="179"/>
      <c r="CM334" s="179"/>
      <c r="CN334" s="179"/>
      <c r="CO334" s="179"/>
      <c r="CP334" s="179"/>
      <c r="CQ334" s="179"/>
      <c r="CR334" s="179"/>
      <c r="CS334" s="179"/>
      <c r="CT334" s="179"/>
      <c r="CU334" s="179"/>
      <c r="CV334" s="179"/>
      <c r="CW334" s="179"/>
    </row>
    <row r="335" spans="1:101" x14ac:dyDescent="0.2">
      <c r="A335" s="32" t="str">
        <f t="shared" ca="1" si="5"/>
        <v>2026-03-03</v>
      </c>
      <c r="B335" s="179">
        <f ca="1">IF(ISNUMBER(MATCH(DATEVALUE($A335),'changes1_based on steps'!B$1:B$400,0)),B$2,)</f>
        <v>0</v>
      </c>
      <c r="C335" s="179">
        <f ca="1">IF(ISNUMBER(MATCH(DATEVALUE($A335),'changes1_based on steps'!C$1:C$400,0)),C$2,)</f>
        <v>0</v>
      </c>
      <c r="D335" s="179">
        <f ca="1">IF(ISNUMBER(MATCH(DATEVALUE($A335),'changes1_based on steps'!D$1:D$400,0)),D$2,)</f>
        <v>0</v>
      </c>
      <c r="E335" s="179">
        <f ca="1">IF(ISNUMBER(MATCH(DATEVALUE($A335),'changes1_based on steps'!E$1:E$400,0)),E$2,)</f>
        <v>0</v>
      </c>
      <c r="F335" s="179">
        <f ca="1">IF(ISNUMBER(MATCH(DATEVALUE($A335),'changes1_based on steps'!F$1:F$400,0)),F$2,)</f>
        <v>0</v>
      </c>
      <c r="G335" s="179">
        <f ca="1">IF(ISNUMBER(MATCH(DATEVALUE($A335),'changes1_based on steps'!G$1:G$400,0)),G$2,)</f>
        <v>0</v>
      </c>
      <c r="H335" s="179">
        <f ca="1">IF(ISNUMBER(MATCH(DATEVALUE($A335),'changes1_based on steps'!H$1:H$400,0)),H$2,)</f>
        <v>0</v>
      </c>
      <c r="I335" s="179">
        <f ca="1">IF(ISNUMBER(MATCH(DATEVALUE($A335),'changes1_based on steps'!I$1:I$400,0)),I$2,)</f>
        <v>0</v>
      </c>
      <c r="J335" s="179">
        <f ca="1">IF(ISNUMBER(MATCH(DATEVALUE($A335),'changes1_based on steps'!J$1:J$400,0)),J$2,)</f>
        <v>0</v>
      </c>
      <c r="K335" s="179">
        <f ca="1">IF(ISNUMBER(MATCH(DATEVALUE($A335),'changes1_based on steps'!K$1:K$400,0)),K$2,)</f>
        <v>0</v>
      </c>
      <c r="L335" s="179">
        <f ca="1">IF(ISNUMBER(MATCH(DATEVALUE($A335),'changes1_based on steps'!L$1:L$400,0)),L$2,)</f>
        <v>0</v>
      </c>
      <c r="M335" s="179">
        <f ca="1">IF(ISNUMBER(MATCH(DATEVALUE($A335),'changes1_based on steps'!M$1:M$400,0)),M$2,)</f>
        <v>0</v>
      </c>
      <c r="N335" s="179">
        <f ca="1">IF(ISNUMBER(MATCH(DATEVALUE($A335),'changes1_based on steps'!N$1:N$400,0)),N$2,)</f>
        <v>0</v>
      </c>
      <c r="O335" s="179">
        <f ca="1">IF(ISNUMBER(MATCH(DATEVALUE($A335),'changes1_based on steps'!O$1:O$400,0)),O$2,)</f>
        <v>0</v>
      </c>
      <c r="P335" s="179">
        <f ca="1">IF(ISNUMBER(MATCH(DATEVALUE($A335),'changes1_based on steps'!P$1:P$400,0)),P$2,)</f>
        <v>0</v>
      </c>
      <c r="Q335" s="179">
        <f ca="1">IF(ISNUMBER(MATCH(DATEVALUE($A335),'changes1_based on steps'!Q$1:Q$400,0)),Q$2,)</f>
        <v>0</v>
      </c>
      <c r="R335" s="179">
        <f ca="1">IF(ISNUMBER(MATCH(DATEVALUE($A335),'changes1_based on steps'!R$1:R$400,0)),R$2,)</f>
        <v>0</v>
      </c>
      <c r="S335" s="179">
        <f ca="1">IF(ISNUMBER(MATCH(DATEVALUE($A335),'changes1_based on steps'!S$1:S$400,0)),S$2,)</f>
        <v>0</v>
      </c>
      <c r="T335" s="179">
        <f ca="1">IF(ISNUMBER(MATCH(DATEVALUE($A335),'changes1_based on steps'!T$1:T$400,0)),T$2,)</f>
        <v>0</v>
      </c>
      <c r="U335" s="179">
        <f ca="1">IF(ISNUMBER(MATCH(DATEVALUE($A335),'changes1_based on steps'!U$1:U$400,0)),U$2,)</f>
        <v>0</v>
      </c>
      <c r="V335" s="179"/>
      <c r="W335" s="179"/>
      <c r="X335" s="179"/>
      <c r="Y335" s="179"/>
      <c r="Z335" s="179"/>
      <c r="AA335" s="179"/>
      <c r="AB335" s="179"/>
      <c r="AC335" s="179"/>
      <c r="AD335" s="179"/>
      <c r="AE335" s="179"/>
      <c r="AF335" s="179"/>
      <c r="AG335" s="179"/>
      <c r="AH335" s="179"/>
      <c r="AI335" s="179"/>
      <c r="AJ335" s="179"/>
      <c r="AK335" s="179"/>
      <c r="AL335" s="179"/>
      <c r="AM335" s="179"/>
      <c r="AN335" s="179"/>
      <c r="AO335" s="179"/>
      <c r="AP335" s="179"/>
      <c r="AQ335" s="179"/>
      <c r="AR335" s="179"/>
      <c r="AS335" s="179"/>
      <c r="AT335" s="179"/>
      <c r="AU335" s="179"/>
      <c r="AV335" s="179"/>
      <c r="AW335" s="179"/>
      <c r="AX335" s="179"/>
      <c r="AY335" s="179"/>
      <c r="AZ335" s="179"/>
      <c r="BA335" s="179"/>
      <c r="BB335" s="179"/>
      <c r="BC335" s="179"/>
      <c r="BD335" s="179"/>
      <c r="BE335" s="179"/>
      <c r="BF335" s="179"/>
      <c r="BG335" s="179"/>
      <c r="BH335" s="179"/>
      <c r="BI335" s="179"/>
      <c r="BJ335" s="179"/>
      <c r="BK335" s="179"/>
      <c r="BL335" s="179"/>
      <c r="BM335" s="179"/>
      <c r="BN335" s="179"/>
      <c r="BO335" s="179"/>
      <c r="BP335" s="179"/>
      <c r="BQ335" s="179"/>
      <c r="BR335" s="179"/>
      <c r="BS335" s="179"/>
      <c r="BT335" s="179"/>
      <c r="BU335" s="179"/>
      <c r="BV335" s="179"/>
      <c r="BW335" s="179"/>
      <c r="BX335" s="179"/>
      <c r="BY335" s="179"/>
      <c r="BZ335" s="179"/>
      <c r="CA335" s="179"/>
      <c r="CB335" s="179"/>
      <c r="CC335" s="179"/>
      <c r="CD335" s="179"/>
      <c r="CE335" s="179"/>
      <c r="CF335" s="179"/>
      <c r="CG335" s="179"/>
      <c r="CH335" s="179"/>
      <c r="CI335" s="179"/>
      <c r="CJ335" s="179"/>
      <c r="CK335" s="179"/>
      <c r="CL335" s="179"/>
      <c r="CM335" s="179"/>
      <c r="CN335" s="179"/>
      <c r="CO335" s="179"/>
      <c r="CP335" s="179"/>
      <c r="CQ335" s="179"/>
      <c r="CR335" s="179"/>
      <c r="CS335" s="179"/>
      <c r="CT335" s="179"/>
      <c r="CU335" s="179"/>
      <c r="CV335" s="179"/>
      <c r="CW335" s="179"/>
    </row>
    <row r="336" spans="1:101" x14ac:dyDescent="0.2">
      <c r="A336" s="32" t="str">
        <f t="shared" ca="1" si="5"/>
        <v>2026-03-04</v>
      </c>
      <c r="B336" s="179">
        <f ca="1">IF(ISNUMBER(MATCH(DATEVALUE($A336),'changes1_based on steps'!B$1:B$400,0)),B$2,)</f>
        <v>0</v>
      </c>
      <c r="C336" s="179">
        <f ca="1">IF(ISNUMBER(MATCH(DATEVALUE($A336),'changes1_based on steps'!C$1:C$400,0)),C$2,)</f>
        <v>0</v>
      </c>
      <c r="D336" s="179">
        <f ca="1">IF(ISNUMBER(MATCH(DATEVALUE($A336),'changes1_based on steps'!D$1:D$400,0)),D$2,)</f>
        <v>0</v>
      </c>
      <c r="E336" s="179">
        <f ca="1">IF(ISNUMBER(MATCH(DATEVALUE($A336),'changes1_based on steps'!E$1:E$400,0)),E$2,)</f>
        <v>0</v>
      </c>
      <c r="F336" s="179">
        <f ca="1">IF(ISNUMBER(MATCH(DATEVALUE($A336),'changes1_based on steps'!F$1:F$400,0)),F$2,)</f>
        <v>0</v>
      </c>
      <c r="G336" s="179">
        <f ca="1">IF(ISNUMBER(MATCH(DATEVALUE($A336),'changes1_based on steps'!G$1:G$400,0)),G$2,)</f>
        <v>0</v>
      </c>
      <c r="H336" s="179">
        <f ca="1">IF(ISNUMBER(MATCH(DATEVALUE($A336),'changes1_based on steps'!H$1:H$400,0)),H$2,)</f>
        <v>0</v>
      </c>
      <c r="I336" s="179">
        <f ca="1">IF(ISNUMBER(MATCH(DATEVALUE($A336),'changes1_based on steps'!I$1:I$400,0)),I$2,)</f>
        <v>0</v>
      </c>
      <c r="J336" s="179">
        <f ca="1">IF(ISNUMBER(MATCH(DATEVALUE($A336),'changes1_based on steps'!J$1:J$400,0)),J$2,)</f>
        <v>0</v>
      </c>
      <c r="K336" s="179">
        <f ca="1">IF(ISNUMBER(MATCH(DATEVALUE($A336),'changes1_based on steps'!K$1:K$400,0)),K$2,)</f>
        <v>0</v>
      </c>
      <c r="L336" s="179">
        <f ca="1">IF(ISNUMBER(MATCH(DATEVALUE($A336),'changes1_based on steps'!L$1:L$400,0)),L$2,)</f>
        <v>0</v>
      </c>
      <c r="M336" s="179">
        <f ca="1">IF(ISNUMBER(MATCH(DATEVALUE($A336),'changes1_based on steps'!M$1:M$400,0)),M$2,)</f>
        <v>0</v>
      </c>
      <c r="N336" s="179">
        <f ca="1">IF(ISNUMBER(MATCH(DATEVALUE($A336),'changes1_based on steps'!N$1:N$400,0)),N$2,)</f>
        <v>0</v>
      </c>
      <c r="O336" s="179">
        <f ca="1">IF(ISNUMBER(MATCH(DATEVALUE($A336),'changes1_based on steps'!O$1:O$400,0)),O$2,)</f>
        <v>0</v>
      </c>
      <c r="P336" s="179">
        <f ca="1">IF(ISNUMBER(MATCH(DATEVALUE($A336),'changes1_based on steps'!P$1:P$400,0)),P$2,)</f>
        <v>0</v>
      </c>
      <c r="Q336" s="179">
        <f ca="1">IF(ISNUMBER(MATCH(DATEVALUE($A336),'changes1_based on steps'!Q$1:Q$400,0)),Q$2,)</f>
        <v>0</v>
      </c>
      <c r="R336" s="179">
        <f ca="1">IF(ISNUMBER(MATCH(DATEVALUE($A336),'changes1_based on steps'!R$1:R$400,0)),R$2,)</f>
        <v>0</v>
      </c>
      <c r="S336" s="179">
        <f ca="1">IF(ISNUMBER(MATCH(DATEVALUE($A336),'changes1_based on steps'!S$1:S$400,0)),S$2,)</f>
        <v>0</v>
      </c>
      <c r="T336" s="179">
        <f ca="1">IF(ISNUMBER(MATCH(DATEVALUE($A336),'changes1_based on steps'!T$1:T$400,0)),T$2,)</f>
        <v>0</v>
      </c>
      <c r="U336" s="179">
        <f ca="1">IF(ISNUMBER(MATCH(DATEVALUE($A336),'changes1_based on steps'!U$1:U$400,0)),U$2,)</f>
        <v>0</v>
      </c>
      <c r="V336" s="179"/>
      <c r="W336" s="179"/>
      <c r="X336" s="179"/>
      <c r="Y336" s="179"/>
      <c r="Z336" s="179"/>
      <c r="AA336" s="179"/>
      <c r="AB336" s="179"/>
      <c r="AC336" s="179"/>
      <c r="AD336" s="179"/>
      <c r="AE336" s="179"/>
      <c r="AF336" s="179"/>
      <c r="AG336" s="179"/>
      <c r="AH336" s="179"/>
      <c r="AI336" s="179"/>
      <c r="AJ336" s="179"/>
      <c r="AK336" s="179"/>
      <c r="AL336" s="179"/>
      <c r="AM336" s="179"/>
      <c r="AN336" s="179"/>
      <c r="AO336" s="179"/>
      <c r="AP336" s="179"/>
      <c r="AQ336" s="179"/>
      <c r="AR336" s="179"/>
      <c r="AS336" s="179"/>
      <c r="AT336" s="179"/>
      <c r="AU336" s="179"/>
      <c r="AV336" s="179"/>
      <c r="AW336" s="179"/>
      <c r="AX336" s="179"/>
      <c r="AY336" s="179"/>
      <c r="AZ336" s="179"/>
      <c r="BA336" s="179"/>
      <c r="BB336" s="179"/>
      <c r="BC336" s="179"/>
      <c r="BD336" s="179"/>
      <c r="BE336" s="179"/>
      <c r="BF336" s="179"/>
      <c r="BG336" s="179"/>
      <c r="BH336" s="179"/>
      <c r="BI336" s="179"/>
      <c r="BJ336" s="179"/>
      <c r="BK336" s="179"/>
      <c r="BL336" s="179"/>
      <c r="BM336" s="179"/>
      <c r="BN336" s="179"/>
      <c r="BO336" s="179"/>
      <c r="BP336" s="179"/>
      <c r="BQ336" s="179"/>
      <c r="BR336" s="179"/>
      <c r="BS336" s="179"/>
      <c r="BT336" s="179"/>
      <c r="BU336" s="179"/>
      <c r="BV336" s="179"/>
      <c r="BW336" s="179"/>
      <c r="BX336" s="179"/>
      <c r="BY336" s="179"/>
      <c r="BZ336" s="179"/>
      <c r="CA336" s="179"/>
      <c r="CB336" s="179"/>
      <c r="CC336" s="179"/>
      <c r="CD336" s="179"/>
      <c r="CE336" s="179"/>
      <c r="CF336" s="179"/>
      <c r="CG336" s="179"/>
      <c r="CH336" s="179"/>
      <c r="CI336" s="179"/>
      <c r="CJ336" s="179"/>
      <c r="CK336" s="179"/>
      <c r="CL336" s="179"/>
      <c r="CM336" s="179"/>
      <c r="CN336" s="179"/>
      <c r="CO336" s="179"/>
      <c r="CP336" s="179"/>
      <c r="CQ336" s="179"/>
      <c r="CR336" s="179"/>
      <c r="CS336" s="179"/>
      <c r="CT336" s="179"/>
      <c r="CU336" s="179"/>
      <c r="CV336" s="179"/>
      <c r="CW336" s="179"/>
    </row>
    <row r="337" spans="1:101" x14ac:dyDescent="0.2">
      <c r="A337" s="32" t="str">
        <f t="shared" ca="1" si="5"/>
        <v>2026-03-05</v>
      </c>
      <c r="B337" s="179">
        <f ca="1">IF(ISNUMBER(MATCH(DATEVALUE($A337),'changes1_based on steps'!B$1:B$400,0)),B$2,)</f>
        <v>0</v>
      </c>
      <c r="C337" s="179">
        <f ca="1">IF(ISNUMBER(MATCH(DATEVALUE($A337),'changes1_based on steps'!C$1:C$400,0)),C$2,)</f>
        <v>0</v>
      </c>
      <c r="D337" s="179">
        <f ca="1">IF(ISNUMBER(MATCH(DATEVALUE($A337),'changes1_based on steps'!D$1:D$400,0)),D$2,)</f>
        <v>0</v>
      </c>
      <c r="E337" s="179">
        <f ca="1">IF(ISNUMBER(MATCH(DATEVALUE($A337),'changes1_based on steps'!E$1:E$400,0)),E$2,)</f>
        <v>0</v>
      </c>
      <c r="F337" s="179">
        <f ca="1">IF(ISNUMBER(MATCH(DATEVALUE($A337),'changes1_based on steps'!F$1:F$400,0)),F$2,)</f>
        <v>0</v>
      </c>
      <c r="G337" s="179">
        <f ca="1">IF(ISNUMBER(MATCH(DATEVALUE($A337),'changes1_based on steps'!G$1:G$400,0)),G$2,)</f>
        <v>0</v>
      </c>
      <c r="H337" s="179">
        <f ca="1">IF(ISNUMBER(MATCH(DATEVALUE($A337),'changes1_based on steps'!H$1:H$400,0)),H$2,)</f>
        <v>0</v>
      </c>
      <c r="I337" s="179">
        <f ca="1">IF(ISNUMBER(MATCH(DATEVALUE($A337),'changes1_based on steps'!I$1:I$400,0)),I$2,)</f>
        <v>0</v>
      </c>
      <c r="J337" s="179">
        <f ca="1">IF(ISNUMBER(MATCH(DATEVALUE($A337),'changes1_based on steps'!J$1:J$400,0)),J$2,)</f>
        <v>0</v>
      </c>
      <c r="K337" s="179">
        <f ca="1">IF(ISNUMBER(MATCH(DATEVALUE($A337),'changes1_based on steps'!K$1:K$400,0)),K$2,)</f>
        <v>0</v>
      </c>
      <c r="L337" s="179">
        <f ca="1">IF(ISNUMBER(MATCH(DATEVALUE($A337),'changes1_based on steps'!L$1:L$400,0)),L$2,)</f>
        <v>0</v>
      </c>
      <c r="M337" s="179">
        <f ca="1">IF(ISNUMBER(MATCH(DATEVALUE($A337),'changes1_based on steps'!M$1:M$400,0)),M$2,)</f>
        <v>0</v>
      </c>
      <c r="N337" s="179">
        <f ca="1">IF(ISNUMBER(MATCH(DATEVALUE($A337),'changes1_based on steps'!N$1:N$400,0)),N$2,)</f>
        <v>0</v>
      </c>
      <c r="O337" s="179">
        <f ca="1">IF(ISNUMBER(MATCH(DATEVALUE($A337),'changes1_based on steps'!O$1:O$400,0)),O$2,)</f>
        <v>0</v>
      </c>
      <c r="P337" s="179">
        <f ca="1">IF(ISNUMBER(MATCH(DATEVALUE($A337),'changes1_based on steps'!P$1:P$400,0)),P$2,)</f>
        <v>0</v>
      </c>
      <c r="Q337" s="179">
        <f ca="1">IF(ISNUMBER(MATCH(DATEVALUE($A337),'changes1_based on steps'!Q$1:Q$400,0)),Q$2,)</f>
        <v>0</v>
      </c>
      <c r="R337" s="179">
        <f ca="1">IF(ISNUMBER(MATCH(DATEVALUE($A337),'changes1_based on steps'!R$1:R$400,0)),R$2,)</f>
        <v>0</v>
      </c>
      <c r="S337" s="179">
        <f ca="1">IF(ISNUMBER(MATCH(DATEVALUE($A337),'changes1_based on steps'!S$1:S$400,0)),S$2,)</f>
        <v>0</v>
      </c>
      <c r="T337" s="179">
        <f ca="1">IF(ISNUMBER(MATCH(DATEVALUE($A337),'changes1_based on steps'!T$1:T$400,0)),T$2,)</f>
        <v>0</v>
      </c>
      <c r="U337" s="179">
        <f ca="1">IF(ISNUMBER(MATCH(DATEVALUE($A337),'changes1_based on steps'!U$1:U$400,0)),U$2,)</f>
        <v>0</v>
      </c>
      <c r="V337" s="179"/>
      <c r="W337" s="179"/>
      <c r="X337" s="179"/>
      <c r="Y337" s="179"/>
      <c r="Z337" s="179"/>
      <c r="AA337" s="179"/>
      <c r="AB337" s="179"/>
      <c r="AC337" s="179"/>
      <c r="AD337" s="179"/>
      <c r="AE337" s="179"/>
      <c r="AF337" s="179"/>
      <c r="AG337" s="179"/>
      <c r="AH337" s="179"/>
      <c r="AI337" s="179"/>
      <c r="AJ337" s="179"/>
      <c r="AK337" s="179"/>
      <c r="AL337" s="179"/>
      <c r="AM337" s="179"/>
      <c r="AN337" s="179"/>
      <c r="AO337" s="179"/>
      <c r="AP337" s="179"/>
      <c r="AQ337" s="179"/>
      <c r="AR337" s="179"/>
      <c r="AS337" s="179"/>
      <c r="AT337" s="179"/>
      <c r="AU337" s="179"/>
      <c r="AV337" s="179"/>
      <c r="AW337" s="179"/>
      <c r="AX337" s="179"/>
      <c r="AY337" s="179"/>
      <c r="AZ337" s="179"/>
      <c r="BA337" s="179"/>
      <c r="BB337" s="179"/>
      <c r="BC337" s="179"/>
      <c r="BD337" s="179"/>
      <c r="BE337" s="179"/>
      <c r="BF337" s="179"/>
      <c r="BG337" s="179"/>
      <c r="BH337" s="179"/>
      <c r="BI337" s="179"/>
      <c r="BJ337" s="179"/>
      <c r="BK337" s="179"/>
      <c r="BL337" s="179"/>
      <c r="BM337" s="179"/>
      <c r="BN337" s="179"/>
      <c r="BO337" s="179"/>
      <c r="BP337" s="179"/>
      <c r="BQ337" s="179"/>
      <c r="BR337" s="179"/>
      <c r="BS337" s="179"/>
      <c r="BT337" s="179"/>
      <c r="BU337" s="179"/>
      <c r="BV337" s="179"/>
      <c r="BW337" s="179"/>
      <c r="BX337" s="179"/>
      <c r="BY337" s="179"/>
      <c r="BZ337" s="179"/>
      <c r="CA337" s="179"/>
      <c r="CB337" s="179"/>
      <c r="CC337" s="179"/>
      <c r="CD337" s="179"/>
      <c r="CE337" s="179"/>
      <c r="CF337" s="179"/>
      <c r="CG337" s="179"/>
      <c r="CH337" s="179"/>
      <c r="CI337" s="179"/>
      <c r="CJ337" s="179"/>
      <c r="CK337" s="179"/>
      <c r="CL337" s="179"/>
      <c r="CM337" s="179"/>
      <c r="CN337" s="179"/>
      <c r="CO337" s="179"/>
      <c r="CP337" s="179"/>
      <c r="CQ337" s="179"/>
      <c r="CR337" s="179"/>
      <c r="CS337" s="179"/>
      <c r="CT337" s="179"/>
      <c r="CU337" s="179"/>
      <c r="CV337" s="179"/>
      <c r="CW337" s="179"/>
    </row>
    <row r="338" spans="1:101" x14ac:dyDescent="0.2">
      <c r="A338" s="32" t="str">
        <f t="shared" ca="1" si="5"/>
        <v>2026-03-06</v>
      </c>
      <c r="B338" s="179">
        <f ca="1">IF(ISNUMBER(MATCH(DATEVALUE($A338),'changes1_based on steps'!B$1:B$400,0)),B$2,)</f>
        <v>0</v>
      </c>
      <c r="C338" s="179">
        <f ca="1">IF(ISNUMBER(MATCH(DATEVALUE($A338),'changes1_based on steps'!C$1:C$400,0)),C$2,)</f>
        <v>0</v>
      </c>
      <c r="D338" s="179">
        <f ca="1">IF(ISNUMBER(MATCH(DATEVALUE($A338),'changes1_based on steps'!D$1:D$400,0)),D$2,)</f>
        <v>0</v>
      </c>
      <c r="E338" s="179">
        <f ca="1">IF(ISNUMBER(MATCH(DATEVALUE($A338),'changes1_based on steps'!E$1:E$400,0)),E$2,)</f>
        <v>0</v>
      </c>
      <c r="F338" s="179">
        <f ca="1">IF(ISNUMBER(MATCH(DATEVALUE($A338),'changes1_based on steps'!F$1:F$400,0)),F$2,)</f>
        <v>0</v>
      </c>
      <c r="G338" s="179">
        <f ca="1">IF(ISNUMBER(MATCH(DATEVALUE($A338),'changes1_based on steps'!G$1:G$400,0)),G$2,)</f>
        <v>0</v>
      </c>
      <c r="H338" s="179">
        <f ca="1">IF(ISNUMBER(MATCH(DATEVALUE($A338),'changes1_based on steps'!H$1:H$400,0)),H$2,)</f>
        <v>0</v>
      </c>
      <c r="I338" s="179">
        <f ca="1">IF(ISNUMBER(MATCH(DATEVALUE($A338),'changes1_based on steps'!I$1:I$400,0)),I$2,)</f>
        <v>0</v>
      </c>
      <c r="J338" s="179">
        <f ca="1">IF(ISNUMBER(MATCH(DATEVALUE($A338),'changes1_based on steps'!J$1:J$400,0)),J$2,)</f>
        <v>0</v>
      </c>
      <c r="K338" s="179">
        <f ca="1">IF(ISNUMBER(MATCH(DATEVALUE($A338),'changes1_based on steps'!K$1:K$400,0)),K$2,)</f>
        <v>0</v>
      </c>
      <c r="L338" s="179">
        <f ca="1">IF(ISNUMBER(MATCH(DATEVALUE($A338),'changes1_based on steps'!L$1:L$400,0)),L$2,)</f>
        <v>0</v>
      </c>
      <c r="M338" s="179">
        <f ca="1">IF(ISNUMBER(MATCH(DATEVALUE($A338),'changes1_based on steps'!M$1:M$400,0)),M$2,)</f>
        <v>0</v>
      </c>
      <c r="N338" s="179">
        <f ca="1">IF(ISNUMBER(MATCH(DATEVALUE($A338),'changes1_based on steps'!N$1:N$400,0)),N$2,)</f>
        <v>0</v>
      </c>
      <c r="O338" s="179">
        <f ca="1">IF(ISNUMBER(MATCH(DATEVALUE($A338),'changes1_based on steps'!O$1:O$400,0)),O$2,)</f>
        <v>0</v>
      </c>
      <c r="P338" s="179">
        <f ca="1">IF(ISNUMBER(MATCH(DATEVALUE($A338),'changes1_based on steps'!P$1:P$400,0)),P$2,)</f>
        <v>0</v>
      </c>
      <c r="Q338" s="179">
        <f ca="1">IF(ISNUMBER(MATCH(DATEVALUE($A338),'changes1_based on steps'!Q$1:Q$400,0)),Q$2,)</f>
        <v>0</v>
      </c>
      <c r="R338" s="179">
        <f ca="1">IF(ISNUMBER(MATCH(DATEVALUE($A338),'changes1_based on steps'!R$1:R$400,0)),R$2,)</f>
        <v>0</v>
      </c>
      <c r="S338" s="179">
        <f ca="1">IF(ISNUMBER(MATCH(DATEVALUE($A338),'changes1_based on steps'!S$1:S$400,0)),S$2,)</f>
        <v>0</v>
      </c>
      <c r="T338" s="179">
        <f ca="1">IF(ISNUMBER(MATCH(DATEVALUE($A338),'changes1_based on steps'!T$1:T$400,0)),T$2,)</f>
        <v>0</v>
      </c>
      <c r="U338" s="179">
        <f ca="1">IF(ISNUMBER(MATCH(DATEVALUE($A338),'changes1_based on steps'!U$1:U$400,0)),U$2,)</f>
        <v>0</v>
      </c>
      <c r="V338" s="179"/>
      <c r="W338" s="179"/>
      <c r="X338" s="179"/>
      <c r="Y338" s="179"/>
      <c r="Z338" s="179"/>
      <c r="AA338" s="179"/>
      <c r="AB338" s="179"/>
      <c r="AC338" s="179"/>
      <c r="AD338" s="179"/>
      <c r="AE338" s="179"/>
      <c r="AF338" s="179"/>
      <c r="AG338" s="179"/>
      <c r="AH338" s="179"/>
      <c r="AI338" s="179"/>
      <c r="AJ338" s="179"/>
      <c r="AK338" s="179"/>
      <c r="AL338" s="179"/>
      <c r="AM338" s="179"/>
      <c r="AN338" s="179"/>
      <c r="AO338" s="179"/>
      <c r="AP338" s="179"/>
      <c r="AQ338" s="179"/>
      <c r="AR338" s="179"/>
      <c r="AS338" s="179"/>
      <c r="AT338" s="179"/>
      <c r="AU338" s="179"/>
      <c r="AV338" s="179"/>
      <c r="AW338" s="179"/>
      <c r="AX338" s="179"/>
      <c r="AY338" s="179"/>
      <c r="AZ338" s="179"/>
      <c r="BA338" s="179"/>
      <c r="BB338" s="179"/>
      <c r="BC338" s="179"/>
      <c r="BD338" s="179"/>
      <c r="BE338" s="179"/>
      <c r="BF338" s="179"/>
      <c r="BG338" s="179"/>
      <c r="BH338" s="179"/>
      <c r="BI338" s="179"/>
      <c r="BJ338" s="179"/>
      <c r="BK338" s="179"/>
      <c r="BL338" s="179"/>
      <c r="BM338" s="179"/>
      <c r="BN338" s="179"/>
      <c r="BO338" s="179"/>
      <c r="BP338" s="179"/>
      <c r="BQ338" s="179"/>
      <c r="BR338" s="179"/>
      <c r="BS338" s="179"/>
      <c r="BT338" s="179"/>
      <c r="BU338" s="179"/>
      <c r="BV338" s="179"/>
      <c r="BW338" s="179"/>
      <c r="BX338" s="179"/>
      <c r="BY338" s="179"/>
      <c r="BZ338" s="179"/>
      <c r="CA338" s="179"/>
      <c r="CB338" s="179"/>
      <c r="CC338" s="179"/>
      <c r="CD338" s="179"/>
      <c r="CE338" s="179"/>
      <c r="CF338" s="179"/>
      <c r="CG338" s="179"/>
      <c r="CH338" s="179"/>
      <c r="CI338" s="179"/>
      <c r="CJ338" s="179"/>
      <c r="CK338" s="179"/>
      <c r="CL338" s="179"/>
      <c r="CM338" s="179"/>
      <c r="CN338" s="179"/>
      <c r="CO338" s="179"/>
      <c r="CP338" s="179"/>
      <c r="CQ338" s="179"/>
      <c r="CR338" s="179"/>
      <c r="CS338" s="179"/>
      <c r="CT338" s="179"/>
      <c r="CU338" s="179"/>
      <c r="CV338" s="179"/>
      <c r="CW338" s="179"/>
    </row>
    <row r="339" spans="1:101" x14ac:dyDescent="0.2">
      <c r="A339" s="32" t="str">
        <f t="shared" ca="1" si="5"/>
        <v>2026-03-07</v>
      </c>
      <c r="B339" s="179">
        <f ca="1">IF(ISNUMBER(MATCH(DATEVALUE($A339),'changes1_based on steps'!B$1:B$400,0)),B$2,)</f>
        <v>0</v>
      </c>
      <c r="C339" s="179">
        <f ca="1">IF(ISNUMBER(MATCH(DATEVALUE($A339),'changes1_based on steps'!C$1:C$400,0)),C$2,)</f>
        <v>0</v>
      </c>
      <c r="D339" s="179">
        <f ca="1">IF(ISNUMBER(MATCH(DATEVALUE($A339),'changes1_based on steps'!D$1:D$400,0)),D$2,)</f>
        <v>0</v>
      </c>
      <c r="E339" s="179">
        <f ca="1">IF(ISNUMBER(MATCH(DATEVALUE($A339),'changes1_based on steps'!E$1:E$400,0)),E$2,)</f>
        <v>0</v>
      </c>
      <c r="F339" s="179">
        <f ca="1">IF(ISNUMBER(MATCH(DATEVALUE($A339),'changes1_based on steps'!F$1:F$400,0)),F$2,)</f>
        <v>0</v>
      </c>
      <c r="G339" s="179">
        <f ca="1">IF(ISNUMBER(MATCH(DATEVALUE($A339),'changes1_based on steps'!G$1:G$400,0)),G$2,)</f>
        <v>0</v>
      </c>
      <c r="H339" s="179">
        <f ca="1">IF(ISNUMBER(MATCH(DATEVALUE($A339),'changes1_based on steps'!H$1:H$400,0)),H$2,)</f>
        <v>0</v>
      </c>
      <c r="I339" s="179">
        <f ca="1">IF(ISNUMBER(MATCH(DATEVALUE($A339),'changes1_based on steps'!I$1:I$400,0)),I$2,)</f>
        <v>0</v>
      </c>
      <c r="J339" s="179">
        <f ca="1">IF(ISNUMBER(MATCH(DATEVALUE($A339),'changes1_based on steps'!J$1:J$400,0)),J$2,)</f>
        <v>0</v>
      </c>
      <c r="K339" s="179">
        <f ca="1">IF(ISNUMBER(MATCH(DATEVALUE($A339),'changes1_based on steps'!K$1:K$400,0)),K$2,)</f>
        <v>0</v>
      </c>
      <c r="L339" s="179">
        <f ca="1">IF(ISNUMBER(MATCH(DATEVALUE($A339),'changes1_based on steps'!L$1:L$400,0)),L$2,)</f>
        <v>0</v>
      </c>
      <c r="M339" s="179">
        <f ca="1">IF(ISNUMBER(MATCH(DATEVALUE($A339),'changes1_based on steps'!M$1:M$400,0)),M$2,)</f>
        <v>0</v>
      </c>
      <c r="N339" s="179">
        <f ca="1">IF(ISNUMBER(MATCH(DATEVALUE($A339),'changes1_based on steps'!N$1:N$400,0)),N$2,)</f>
        <v>0</v>
      </c>
      <c r="O339" s="179">
        <f ca="1">IF(ISNUMBER(MATCH(DATEVALUE($A339),'changes1_based on steps'!O$1:O$400,0)),O$2,)</f>
        <v>0</v>
      </c>
      <c r="P339" s="179">
        <f ca="1">IF(ISNUMBER(MATCH(DATEVALUE($A339),'changes1_based on steps'!P$1:P$400,0)),P$2,)</f>
        <v>0</v>
      </c>
      <c r="Q339" s="179">
        <f ca="1">IF(ISNUMBER(MATCH(DATEVALUE($A339),'changes1_based on steps'!Q$1:Q$400,0)),Q$2,)</f>
        <v>0</v>
      </c>
      <c r="R339" s="179">
        <f ca="1">IF(ISNUMBER(MATCH(DATEVALUE($A339),'changes1_based on steps'!R$1:R$400,0)),R$2,)</f>
        <v>0</v>
      </c>
      <c r="S339" s="179">
        <f ca="1">IF(ISNUMBER(MATCH(DATEVALUE($A339),'changes1_based on steps'!S$1:S$400,0)),S$2,)</f>
        <v>0</v>
      </c>
      <c r="T339" s="179">
        <f ca="1">IF(ISNUMBER(MATCH(DATEVALUE($A339),'changes1_based on steps'!T$1:T$400,0)),T$2,)</f>
        <v>0</v>
      </c>
      <c r="U339" s="179">
        <f ca="1">IF(ISNUMBER(MATCH(DATEVALUE($A339),'changes1_based on steps'!U$1:U$400,0)),U$2,)</f>
        <v>0</v>
      </c>
      <c r="V339" s="179"/>
      <c r="W339" s="179"/>
      <c r="X339" s="179"/>
      <c r="Y339" s="179"/>
      <c r="Z339" s="179"/>
      <c r="AA339" s="179"/>
      <c r="AB339" s="179"/>
      <c r="AC339" s="179"/>
      <c r="AD339" s="179"/>
      <c r="AE339" s="179"/>
      <c r="AF339" s="179"/>
      <c r="AG339" s="179"/>
      <c r="AH339" s="179"/>
      <c r="AI339" s="179"/>
      <c r="AJ339" s="179"/>
      <c r="AK339" s="179"/>
      <c r="AL339" s="179"/>
      <c r="AM339" s="179"/>
      <c r="AN339" s="179"/>
      <c r="AO339" s="179"/>
      <c r="AP339" s="179"/>
      <c r="AQ339" s="179"/>
      <c r="AR339" s="179"/>
      <c r="AS339" s="179"/>
      <c r="AT339" s="179"/>
      <c r="AU339" s="179"/>
      <c r="AV339" s="179"/>
      <c r="AW339" s="179"/>
      <c r="AX339" s="179"/>
      <c r="AY339" s="179"/>
      <c r="AZ339" s="179"/>
      <c r="BA339" s="179"/>
      <c r="BB339" s="179"/>
      <c r="BC339" s="179"/>
      <c r="BD339" s="179"/>
      <c r="BE339" s="179"/>
      <c r="BF339" s="179"/>
      <c r="BG339" s="179"/>
      <c r="BH339" s="179"/>
      <c r="BI339" s="179"/>
      <c r="BJ339" s="179"/>
      <c r="BK339" s="179"/>
      <c r="BL339" s="179"/>
      <c r="BM339" s="179"/>
      <c r="BN339" s="179"/>
      <c r="BO339" s="179"/>
      <c r="BP339" s="179"/>
      <c r="BQ339" s="179"/>
      <c r="BR339" s="179"/>
      <c r="BS339" s="179"/>
      <c r="BT339" s="179"/>
      <c r="BU339" s="179"/>
      <c r="BV339" s="179"/>
      <c r="BW339" s="179"/>
      <c r="BX339" s="179"/>
      <c r="BY339" s="179"/>
      <c r="BZ339" s="179"/>
      <c r="CA339" s="179"/>
      <c r="CB339" s="179"/>
      <c r="CC339" s="179"/>
      <c r="CD339" s="179"/>
      <c r="CE339" s="179"/>
      <c r="CF339" s="179"/>
      <c r="CG339" s="179"/>
      <c r="CH339" s="179"/>
      <c r="CI339" s="179"/>
      <c r="CJ339" s="179"/>
      <c r="CK339" s="179"/>
      <c r="CL339" s="179"/>
      <c r="CM339" s="179"/>
      <c r="CN339" s="179"/>
      <c r="CO339" s="179"/>
      <c r="CP339" s="179"/>
      <c r="CQ339" s="179"/>
      <c r="CR339" s="179"/>
      <c r="CS339" s="179"/>
      <c r="CT339" s="179"/>
      <c r="CU339" s="179"/>
      <c r="CV339" s="179"/>
      <c r="CW339" s="179"/>
    </row>
    <row r="340" spans="1:101" x14ac:dyDescent="0.2">
      <c r="A340" s="32" t="str">
        <f t="shared" ca="1" si="5"/>
        <v>2026-03-08</v>
      </c>
      <c r="B340" s="179">
        <f ca="1">IF(ISNUMBER(MATCH(DATEVALUE($A340),'changes1_based on steps'!B$1:B$400,0)),B$2,)</f>
        <v>0</v>
      </c>
      <c r="C340" s="179">
        <f ca="1">IF(ISNUMBER(MATCH(DATEVALUE($A340),'changes1_based on steps'!C$1:C$400,0)),C$2,)</f>
        <v>0</v>
      </c>
      <c r="D340" s="179">
        <f ca="1">IF(ISNUMBER(MATCH(DATEVALUE($A340),'changes1_based on steps'!D$1:D$400,0)),D$2,)</f>
        <v>0</v>
      </c>
      <c r="E340" s="179">
        <f ca="1">IF(ISNUMBER(MATCH(DATEVALUE($A340),'changes1_based on steps'!E$1:E$400,0)),E$2,)</f>
        <v>0</v>
      </c>
      <c r="F340" s="179">
        <f ca="1">IF(ISNUMBER(MATCH(DATEVALUE($A340),'changes1_based on steps'!F$1:F$400,0)),F$2,)</f>
        <v>0</v>
      </c>
      <c r="G340" s="179">
        <f ca="1">IF(ISNUMBER(MATCH(DATEVALUE($A340),'changes1_based on steps'!G$1:G$400,0)),G$2,)</f>
        <v>0</v>
      </c>
      <c r="H340" s="179">
        <f ca="1">IF(ISNUMBER(MATCH(DATEVALUE($A340),'changes1_based on steps'!H$1:H$400,0)),H$2,)</f>
        <v>0</v>
      </c>
      <c r="I340" s="179">
        <f ca="1">IF(ISNUMBER(MATCH(DATEVALUE($A340),'changes1_based on steps'!I$1:I$400,0)),I$2,)</f>
        <v>0</v>
      </c>
      <c r="J340" s="179">
        <f ca="1">IF(ISNUMBER(MATCH(DATEVALUE($A340),'changes1_based on steps'!J$1:J$400,0)),J$2,)</f>
        <v>0</v>
      </c>
      <c r="K340" s="179">
        <f ca="1">IF(ISNUMBER(MATCH(DATEVALUE($A340),'changes1_based on steps'!K$1:K$400,0)),K$2,)</f>
        <v>0</v>
      </c>
      <c r="L340" s="179">
        <f ca="1">IF(ISNUMBER(MATCH(DATEVALUE($A340),'changes1_based on steps'!L$1:L$400,0)),L$2,)</f>
        <v>0</v>
      </c>
      <c r="M340" s="179">
        <f ca="1">IF(ISNUMBER(MATCH(DATEVALUE($A340),'changes1_based on steps'!M$1:M$400,0)),M$2,)</f>
        <v>0</v>
      </c>
      <c r="N340" s="179">
        <f ca="1">IF(ISNUMBER(MATCH(DATEVALUE($A340),'changes1_based on steps'!N$1:N$400,0)),N$2,)</f>
        <v>0</v>
      </c>
      <c r="O340" s="179">
        <f ca="1">IF(ISNUMBER(MATCH(DATEVALUE($A340),'changes1_based on steps'!O$1:O$400,0)),O$2,)</f>
        <v>0</v>
      </c>
      <c r="P340" s="179">
        <f ca="1">IF(ISNUMBER(MATCH(DATEVALUE($A340),'changes1_based on steps'!P$1:P$400,0)),P$2,)</f>
        <v>0</v>
      </c>
      <c r="Q340" s="179">
        <f ca="1">IF(ISNUMBER(MATCH(DATEVALUE($A340),'changes1_based on steps'!Q$1:Q$400,0)),Q$2,)</f>
        <v>0</v>
      </c>
      <c r="R340" s="179">
        <f ca="1">IF(ISNUMBER(MATCH(DATEVALUE($A340),'changes1_based on steps'!R$1:R$400,0)),R$2,)</f>
        <v>0</v>
      </c>
      <c r="S340" s="179">
        <f ca="1">IF(ISNUMBER(MATCH(DATEVALUE($A340),'changes1_based on steps'!S$1:S$400,0)),S$2,)</f>
        <v>0</v>
      </c>
      <c r="T340" s="179">
        <f ca="1">IF(ISNUMBER(MATCH(DATEVALUE($A340),'changes1_based on steps'!T$1:T$400,0)),T$2,)</f>
        <v>0</v>
      </c>
      <c r="U340" s="179">
        <f ca="1">IF(ISNUMBER(MATCH(DATEVALUE($A340),'changes1_based on steps'!U$1:U$400,0)),U$2,)</f>
        <v>0</v>
      </c>
      <c r="V340" s="179"/>
      <c r="W340" s="179"/>
      <c r="X340" s="179"/>
      <c r="Y340" s="179"/>
      <c r="Z340" s="179"/>
      <c r="AA340" s="179"/>
      <c r="AB340" s="179"/>
      <c r="AC340" s="179"/>
      <c r="AD340" s="179"/>
      <c r="AE340" s="179"/>
      <c r="AF340" s="179"/>
      <c r="AG340" s="179"/>
      <c r="AH340" s="179"/>
      <c r="AI340" s="179"/>
      <c r="AJ340" s="179"/>
      <c r="AK340" s="179"/>
      <c r="AL340" s="179"/>
      <c r="AM340" s="179"/>
      <c r="AN340" s="179"/>
      <c r="AO340" s="179"/>
      <c r="AP340" s="179"/>
      <c r="AQ340" s="179"/>
      <c r="AR340" s="179"/>
      <c r="AS340" s="179"/>
      <c r="AT340" s="179"/>
      <c r="AU340" s="179"/>
      <c r="AV340" s="179"/>
      <c r="AW340" s="179"/>
      <c r="AX340" s="179"/>
      <c r="AY340" s="179"/>
      <c r="AZ340" s="179"/>
      <c r="BA340" s="179"/>
      <c r="BB340" s="179"/>
      <c r="BC340" s="179"/>
      <c r="BD340" s="179"/>
      <c r="BE340" s="179"/>
      <c r="BF340" s="179"/>
      <c r="BG340" s="179"/>
      <c r="BH340" s="179"/>
      <c r="BI340" s="179"/>
      <c r="BJ340" s="179"/>
      <c r="BK340" s="179"/>
      <c r="BL340" s="179"/>
      <c r="BM340" s="179"/>
      <c r="BN340" s="179"/>
      <c r="BO340" s="179"/>
      <c r="BP340" s="179"/>
      <c r="BQ340" s="179"/>
      <c r="BR340" s="179"/>
      <c r="BS340" s="179"/>
      <c r="BT340" s="179"/>
      <c r="BU340" s="179"/>
      <c r="BV340" s="179"/>
      <c r="BW340" s="179"/>
      <c r="BX340" s="179"/>
      <c r="BY340" s="179"/>
      <c r="BZ340" s="179"/>
      <c r="CA340" s="179"/>
      <c r="CB340" s="179"/>
      <c r="CC340" s="179"/>
      <c r="CD340" s="179"/>
      <c r="CE340" s="179"/>
      <c r="CF340" s="179"/>
      <c r="CG340" s="179"/>
      <c r="CH340" s="179"/>
      <c r="CI340" s="179"/>
      <c r="CJ340" s="179"/>
      <c r="CK340" s="179"/>
      <c r="CL340" s="179"/>
      <c r="CM340" s="179"/>
      <c r="CN340" s="179"/>
      <c r="CO340" s="179"/>
      <c r="CP340" s="179"/>
      <c r="CQ340" s="179"/>
      <c r="CR340" s="179"/>
      <c r="CS340" s="179"/>
      <c r="CT340" s="179"/>
      <c r="CU340" s="179"/>
      <c r="CV340" s="179"/>
      <c r="CW340" s="179"/>
    </row>
    <row r="341" spans="1:101" x14ac:dyDescent="0.2">
      <c r="A341" s="32" t="str">
        <f t="shared" ca="1" si="5"/>
        <v>2026-03-09</v>
      </c>
      <c r="B341" s="179">
        <f ca="1">IF(ISNUMBER(MATCH(DATEVALUE($A341),'changes1_based on steps'!B$1:B$400,0)),B$2,)</f>
        <v>0</v>
      </c>
      <c r="C341" s="179">
        <f ca="1">IF(ISNUMBER(MATCH(DATEVALUE($A341),'changes1_based on steps'!C$1:C$400,0)),C$2,)</f>
        <v>0</v>
      </c>
      <c r="D341" s="179">
        <f ca="1">IF(ISNUMBER(MATCH(DATEVALUE($A341),'changes1_based on steps'!D$1:D$400,0)),D$2,)</f>
        <v>0</v>
      </c>
      <c r="E341" s="179">
        <f ca="1">IF(ISNUMBER(MATCH(DATEVALUE($A341),'changes1_based on steps'!E$1:E$400,0)),E$2,)</f>
        <v>0</v>
      </c>
      <c r="F341" s="179">
        <f ca="1">IF(ISNUMBER(MATCH(DATEVALUE($A341),'changes1_based on steps'!F$1:F$400,0)),F$2,)</f>
        <v>0</v>
      </c>
      <c r="G341" s="179">
        <f ca="1">IF(ISNUMBER(MATCH(DATEVALUE($A341),'changes1_based on steps'!G$1:G$400,0)),G$2,)</f>
        <v>0</v>
      </c>
      <c r="H341" s="179">
        <f ca="1">IF(ISNUMBER(MATCH(DATEVALUE($A341),'changes1_based on steps'!H$1:H$400,0)),H$2,)</f>
        <v>0</v>
      </c>
      <c r="I341" s="179">
        <f ca="1">IF(ISNUMBER(MATCH(DATEVALUE($A341),'changes1_based on steps'!I$1:I$400,0)),I$2,)</f>
        <v>0</v>
      </c>
      <c r="J341" s="179">
        <f ca="1">IF(ISNUMBER(MATCH(DATEVALUE($A341),'changes1_based on steps'!J$1:J$400,0)),J$2,)</f>
        <v>0</v>
      </c>
      <c r="K341" s="179">
        <f ca="1">IF(ISNUMBER(MATCH(DATEVALUE($A341),'changes1_based on steps'!K$1:K$400,0)),K$2,)</f>
        <v>0</v>
      </c>
      <c r="L341" s="179">
        <f ca="1">IF(ISNUMBER(MATCH(DATEVALUE($A341),'changes1_based on steps'!L$1:L$400,0)),L$2,)</f>
        <v>0</v>
      </c>
      <c r="M341" s="179">
        <f ca="1">IF(ISNUMBER(MATCH(DATEVALUE($A341),'changes1_based on steps'!M$1:M$400,0)),M$2,)</f>
        <v>0</v>
      </c>
      <c r="N341" s="179">
        <f ca="1">IF(ISNUMBER(MATCH(DATEVALUE($A341),'changes1_based on steps'!N$1:N$400,0)),N$2,)</f>
        <v>0</v>
      </c>
      <c r="O341" s="179">
        <f ca="1">IF(ISNUMBER(MATCH(DATEVALUE($A341),'changes1_based on steps'!O$1:O$400,0)),O$2,)</f>
        <v>0</v>
      </c>
      <c r="P341" s="179">
        <f ca="1">IF(ISNUMBER(MATCH(DATEVALUE($A341),'changes1_based on steps'!P$1:P$400,0)),P$2,)</f>
        <v>0</v>
      </c>
      <c r="Q341" s="179">
        <f ca="1">IF(ISNUMBER(MATCH(DATEVALUE($A341),'changes1_based on steps'!Q$1:Q$400,0)),Q$2,)</f>
        <v>0</v>
      </c>
      <c r="R341" s="179">
        <f ca="1">IF(ISNUMBER(MATCH(DATEVALUE($A341),'changes1_based on steps'!R$1:R$400,0)),R$2,)</f>
        <v>0</v>
      </c>
      <c r="S341" s="179">
        <f ca="1">IF(ISNUMBER(MATCH(DATEVALUE($A341),'changes1_based on steps'!S$1:S$400,0)),S$2,)</f>
        <v>0</v>
      </c>
      <c r="T341" s="179">
        <f ca="1">IF(ISNUMBER(MATCH(DATEVALUE($A341),'changes1_based on steps'!T$1:T$400,0)),T$2,)</f>
        <v>0</v>
      </c>
      <c r="U341" s="179">
        <f ca="1">IF(ISNUMBER(MATCH(DATEVALUE($A341),'changes1_based on steps'!U$1:U$400,0)),U$2,)</f>
        <v>0</v>
      </c>
      <c r="V341" s="179"/>
      <c r="W341" s="179"/>
      <c r="X341" s="179"/>
      <c r="Y341" s="179"/>
      <c r="Z341" s="179"/>
      <c r="AA341" s="179"/>
      <c r="AB341" s="179"/>
      <c r="AC341" s="179"/>
      <c r="AD341" s="179"/>
      <c r="AE341" s="179"/>
      <c r="AF341" s="179"/>
      <c r="AG341" s="179"/>
      <c r="AH341" s="179"/>
      <c r="AI341" s="179"/>
      <c r="AJ341" s="179"/>
      <c r="AK341" s="179"/>
      <c r="AL341" s="179"/>
      <c r="AM341" s="179"/>
      <c r="AN341" s="179"/>
      <c r="AO341" s="179"/>
      <c r="AP341" s="179"/>
      <c r="AQ341" s="179"/>
      <c r="AR341" s="179"/>
      <c r="AS341" s="179"/>
      <c r="AT341" s="179"/>
      <c r="AU341" s="179"/>
      <c r="AV341" s="179"/>
      <c r="AW341" s="179"/>
      <c r="AX341" s="179"/>
      <c r="AY341" s="179"/>
      <c r="AZ341" s="179"/>
      <c r="BA341" s="179"/>
      <c r="BB341" s="179"/>
      <c r="BC341" s="179"/>
      <c r="BD341" s="179"/>
      <c r="BE341" s="179"/>
      <c r="BF341" s="179"/>
      <c r="BG341" s="179"/>
      <c r="BH341" s="179"/>
      <c r="BI341" s="179"/>
      <c r="BJ341" s="179"/>
      <c r="BK341" s="179"/>
      <c r="BL341" s="179"/>
      <c r="BM341" s="179"/>
      <c r="BN341" s="179"/>
      <c r="BO341" s="179"/>
      <c r="BP341" s="179"/>
      <c r="BQ341" s="179"/>
      <c r="BR341" s="179"/>
      <c r="BS341" s="179"/>
      <c r="BT341" s="179"/>
      <c r="BU341" s="179"/>
      <c r="BV341" s="179"/>
      <c r="BW341" s="179"/>
      <c r="BX341" s="179"/>
      <c r="BY341" s="179"/>
      <c r="BZ341" s="179"/>
      <c r="CA341" s="179"/>
      <c r="CB341" s="179"/>
      <c r="CC341" s="179"/>
      <c r="CD341" s="179"/>
      <c r="CE341" s="179"/>
      <c r="CF341" s="179"/>
      <c r="CG341" s="179"/>
      <c r="CH341" s="179"/>
      <c r="CI341" s="179"/>
      <c r="CJ341" s="179"/>
      <c r="CK341" s="179"/>
      <c r="CL341" s="179"/>
      <c r="CM341" s="179"/>
      <c r="CN341" s="179"/>
      <c r="CO341" s="179"/>
      <c r="CP341" s="179"/>
      <c r="CQ341" s="179"/>
      <c r="CR341" s="179"/>
      <c r="CS341" s="179"/>
      <c r="CT341" s="179"/>
      <c r="CU341" s="179"/>
      <c r="CV341" s="179"/>
      <c r="CW341" s="179"/>
    </row>
    <row r="342" spans="1:101" x14ac:dyDescent="0.2">
      <c r="A342" s="32" t="str">
        <f t="shared" ca="1" si="5"/>
        <v>2026-03-10</v>
      </c>
      <c r="B342" s="179">
        <f ca="1">IF(ISNUMBER(MATCH(DATEVALUE($A342),'changes1_based on steps'!B$1:B$400,0)),B$2,)</f>
        <v>0</v>
      </c>
      <c r="C342" s="179">
        <f ca="1">IF(ISNUMBER(MATCH(DATEVALUE($A342),'changes1_based on steps'!C$1:C$400,0)),C$2,)</f>
        <v>0</v>
      </c>
      <c r="D342" s="179">
        <f ca="1">IF(ISNUMBER(MATCH(DATEVALUE($A342),'changes1_based on steps'!D$1:D$400,0)),D$2,)</f>
        <v>0</v>
      </c>
      <c r="E342" s="179">
        <f ca="1">IF(ISNUMBER(MATCH(DATEVALUE($A342),'changes1_based on steps'!E$1:E$400,0)),E$2,)</f>
        <v>0</v>
      </c>
      <c r="F342" s="179">
        <f ca="1">IF(ISNUMBER(MATCH(DATEVALUE($A342),'changes1_based on steps'!F$1:F$400,0)),F$2,)</f>
        <v>0</v>
      </c>
      <c r="G342" s="179">
        <f ca="1">IF(ISNUMBER(MATCH(DATEVALUE($A342),'changes1_based on steps'!G$1:G$400,0)),G$2,)</f>
        <v>0</v>
      </c>
      <c r="H342" s="179">
        <f ca="1">IF(ISNUMBER(MATCH(DATEVALUE($A342),'changes1_based on steps'!H$1:H$400,0)),H$2,)</f>
        <v>0</v>
      </c>
      <c r="I342" s="179">
        <f ca="1">IF(ISNUMBER(MATCH(DATEVALUE($A342),'changes1_based on steps'!I$1:I$400,0)),I$2,)</f>
        <v>0</v>
      </c>
      <c r="J342" s="179">
        <f ca="1">IF(ISNUMBER(MATCH(DATEVALUE($A342),'changes1_based on steps'!J$1:J$400,0)),J$2,)</f>
        <v>0</v>
      </c>
      <c r="K342" s="179">
        <f ca="1">IF(ISNUMBER(MATCH(DATEVALUE($A342),'changes1_based on steps'!K$1:K$400,0)),K$2,)</f>
        <v>0</v>
      </c>
      <c r="L342" s="179">
        <f ca="1">IF(ISNUMBER(MATCH(DATEVALUE($A342),'changes1_based on steps'!L$1:L$400,0)),L$2,)</f>
        <v>0</v>
      </c>
      <c r="M342" s="179">
        <f ca="1">IF(ISNUMBER(MATCH(DATEVALUE($A342),'changes1_based on steps'!M$1:M$400,0)),M$2,)</f>
        <v>0</v>
      </c>
      <c r="N342" s="179">
        <f ca="1">IF(ISNUMBER(MATCH(DATEVALUE($A342),'changes1_based on steps'!N$1:N$400,0)),N$2,)</f>
        <v>0</v>
      </c>
      <c r="O342" s="179">
        <f ca="1">IF(ISNUMBER(MATCH(DATEVALUE($A342),'changes1_based on steps'!O$1:O$400,0)),O$2,)</f>
        <v>0</v>
      </c>
      <c r="P342" s="179">
        <f ca="1">IF(ISNUMBER(MATCH(DATEVALUE($A342),'changes1_based on steps'!P$1:P$400,0)),P$2,)</f>
        <v>0</v>
      </c>
      <c r="Q342" s="179">
        <f ca="1">IF(ISNUMBER(MATCH(DATEVALUE($A342),'changes1_based on steps'!Q$1:Q$400,0)),Q$2,)</f>
        <v>0</v>
      </c>
      <c r="R342" s="179">
        <f ca="1">IF(ISNUMBER(MATCH(DATEVALUE($A342),'changes1_based on steps'!R$1:R$400,0)),R$2,)</f>
        <v>0</v>
      </c>
      <c r="S342" s="179">
        <f ca="1">IF(ISNUMBER(MATCH(DATEVALUE($A342),'changes1_based on steps'!S$1:S$400,0)),S$2,)</f>
        <v>0</v>
      </c>
      <c r="T342" s="179">
        <f ca="1">IF(ISNUMBER(MATCH(DATEVALUE($A342),'changes1_based on steps'!T$1:T$400,0)),T$2,)</f>
        <v>0</v>
      </c>
      <c r="U342" s="179">
        <f ca="1">IF(ISNUMBER(MATCH(DATEVALUE($A342),'changes1_based on steps'!U$1:U$400,0)),U$2,)</f>
        <v>0</v>
      </c>
      <c r="V342" s="179"/>
      <c r="W342" s="179"/>
      <c r="X342" s="179"/>
      <c r="Y342" s="179"/>
      <c r="Z342" s="179"/>
      <c r="AA342" s="179"/>
      <c r="AB342" s="179"/>
      <c r="AC342" s="179"/>
      <c r="AD342" s="179"/>
      <c r="AE342" s="179"/>
      <c r="AF342" s="179"/>
      <c r="AG342" s="179"/>
      <c r="AH342" s="179"/>
      <c r="AI342" s="179"/>
      <c r="AJ342" s="179"/>
      <c r="AK342" s="179"/>
      <c r="AL342" s="179"/>
      <c r="AM342" s="179"/>
      <c r="AN342" s="179"/>
      <c r="AO342" s="179"/>
      <c r="AP342" s="179"/>
      <c r="AQ342" s="179"/>
      <c r="AR342" s="179"/>
      <c r="AS342" s="179"/>
      <c r="AT342" s="179"/>
      <c r="AU342" s="179"/>
      <c r="AV342" s="179"/>
      <c r="AW342" s="179"/>
      <c r="AX342" s="179"/>
      <c r="AY342" s="179"/>
      <c r="AZ342" s="179"/>
      <c r="BA342" s="179"/>
      <c r="BB342" s="179"/>
      <c r="BC342" s="179"/>
      <c r="BD342" s="179"/>
      <c r="BE342" s="179"/>
      <c r="BF342" s="179"/>
      <c r="BG342" s="179"/>
      <c r="BH342" s="179"/>
      <c r="BI342" s="179"/>
      <c r="BJ342" s="179"/>
      <c r="BK342" s="179"/>
      <c r="BL342" s="179"/>
      <c r="BM342" s="179"/>
      <c r="BN342" s="179"/>
      <c r="BO342" s="179"/>
      <c r="BP342" s="179"/>
      <c r="BQ342" s="179"/>
      <c r="BR342" s="179"/>
      <c r="BS342" s="179"/>
      <c r="BT342" s="179"/>
      <c r="BU342" s="179"/>
      <c r="BV342" s="179"/>
      <c r="BW342" s="179"/>
      <c r="BX342" s="179"/>
      <c r="BY342" s="179"/>
      <c r="BZ342" s="179"/>
      <c r="CA342" s="179"/>
      <c r="CB342" s="179"/>
      <c r="CC342" s="179"/>
      <c r="CD342" s="179"/>
      <c r="CE342" s="179"/>
      <c r="CF342" s="179"/>
      <c r="CG342" s="179"/>
      <c r="CH342" s="179"/>
      <c r="CI342" s="179"/>
      <c r="CJ342" s="179"/>
      <c r="CK342" s="179"/>
      <c r="CL342" s="179"/>
      <c r="CM342" s="179"/>
      <c r="CN342" s="179"/>
      <c r="CO342" s="179"/>
      <c r="CP342" s="179"/>
      <c r="CQ342" s="179"/>
      <c r="CR342" s="179"/>
      <c r="CS342" s="179"/>
      <c r="CT342" s="179"/>
      <c r="CU342" s="179"/>
      <c r="CV342" s="179"/>
      <c r="CW342" s="179"/>
    </row>
    <row r="343" spans="1:101" x14ac:dyDescent="0.2">
      <c r="A343" s="32" t="str">
        <f t="shared" ca="1" si="5"/>
        <v>2026-03-11</v>
      </c>
      <c r="B343" s="179">
        <f ca="1">IF(ISNUMBER(MATCH(DATEVALUE($A343),'changes1_based on steps'!B$1:B$400,0)),B$2,)</f>
        <v>0</v>
      </c>
      <c r="C343" s="179">
        <f ca="1">IF(ISNUMBER(MATCH(DATEVALUE($A343),'changes1_based on steps'!C$1:C$400,0)),C$2,)</f>
        <v>0</v>
      </c>
      <c r="D343" s="179">
        <f ca="1">IF(ISNUMBER(MATCH(DATEVALUE($A343),'changes1_based on steps'!D$1:D$400,0)),D$2,)</f>
        <v>0</v>
      </c>
      <c r="E343" s="179">
        <f ca="1">IF(ISNUMBER(MATCH(DATEVALUE($A343),'changes1_based on steps'!E$1:E$400,0)),E$2,)</f>
        <v>0</v>
      </c>
      <c r="F343" s="179">
        <f ca="1">IF(ISNUMBER(MATCH(DATEVALUE($A343),'changes1_based on steps'!F$1:F$400,0)),F$2,)</f>
        <v>0</v>
      </c>
      <c r="G343" s="179">
        <f ca="1">IF(ISNUMBER(MATCH(DATEVALUE($A343),'changes1_based on steps'!G$1:G$400,0)),G$2,)</f>
        <v>0</v>
      </c>
      <c r="H343" s="179">
        <f ca="1">IF(ISNUMBER(MATCH(DATEVALUE($A343),'changes1_based on steps'!H$1:H$400,0)),H$2,)</f>
        <v>0</v>
      </c>
      <c r="I343" s="179">
        <f ca="1">IF(ISNUMBER(MATCH(DATEVALUE($A343),'changes1_based on steps'!I$1:I$400,0)),I$2,)</f>
        <v>0</v>
      </c>
      <c r="J343" s="179">
        <f ca="1">IF(ISNUMBER(MATCH(DATEVALUE($A343),'changes1_based on steps'!J$1:J$400,0)),J$2,)</f>
        <v>0</v>
      </c>
      <c r="K343" s="179">
        <f ca="1">IF(ISNUMBER(MATCH(DATEVALUE($A343),'changes1_based on steps'!K$1:K$400,0)),K$2,)</f>
        <v>0</v>
      </c>
      <c r="L343" s="179">
        <f ca="1">IF(ISNUMBER(MATCH(DATEVALUE($A343),'changes1_based on steps'!L$1:L$400,0)),L$2,)</f>
        <v>0</v>
      </c>
      <c r="M343" s="179">
        <f ca="1">IF(ISNUMBER(MATCH(DATEVALUE($A343),'changes1_based on steps'!M$1:M$400,0)),M$2,)</f>
        <v>0</v>
      </c>
      <c r="N343" s="179">
        <f ca="1">IF(ISNUMBER(MATCH(DATEVALUE($A343),'changes1_based on steps'!N$1:N$400,0)),N$2,)</f>
        <v>0</v>
      </c>
      <c r="O343" s="179">
        <f ca="1">IF(ISNUMBER(MATCH(DATEVALUE($A343),'changes1_based on steps'!O$1:O$400,0)),O$2,)</f>
        <v>0</v>
      </c>
      <c r="P343" s="179">
        <f ca="1">IF(ISNUMBER(MATCH(DATEVALUE($A343),'changes1_based on steps'!P$1:P$400,0)),P$2,)</f>
        <v>0</v>
      </c>
      <c r="Q343" s="179">
        <f ca="1">IF(ISNUMBER(MATCH(DATEVALUE($A343),'changes1_based on steps'!Q$1:Q$400,0)),Q$2,)</f>
        <v>0</v>
      </c>
      <c r="R343" s="179">
        <f ca="1">IF(ISNUMBER(MATCH(DATEVALUE($A343),'changes1_based on steps'!R$1:R$400,0)),R$2,)</f>
        <v>0</v>
      </c>
      <c r="S343" s="179">
        <f ca="1">IF(ISNUMBER(MATCH(DATEVALUE($A343),'changes1_based on steps'!S$1:S$400,0)),S$2,)</f>
        <v>0</v>
      </c>
      <c r="T343" s="179">
        <f ca="1">IF(ISNUMBER(MATCH(DATEVALUE($A343),'changes1_based on steps'!T$1:T$400,0)),T$2,)</f>
        <v>0</v>
      </c>
      <c r="U343" s="179">
        <f ca="1">IF(ISNUMBER(MATCH(DATEVALUE($A343),'changes1_based on steps'!U$1:U$400,0)),U$2,)</f>
        <v>0</v>
      </c>
      <c r="V343" s="179"/>
      <c r="W343" s="179"/>
      <c r="X343" s="179"/>
      <c r="Y343" s="179"/>
      <c r="Z343" s="179"/>
      <c r="AA343" s="179"/>
      <c r="AB343" s="179"/>
      <c r="AC343" s="179"/>
      <c r="AD343" s="179"/>
      <c r="AE343" s="179"/>
      <c r="AF343" s="179"/>
      <c r="AG343" s="179"/>
      <c r="AH343" s="179"/>
      <c r="AI343" s="179"/>
      <c r="AJ343" s="179"/>
      <c r="AK343" s="179"/>
      <c r="AL343" s="179"/>
      <c r="AM343" s="179"/>
      <c r="AN343" s="179"/>
      <c r="AO343" s="179"/>
      <c r="AP343" s="179"/>
      <c r="AQ343" s="179"/>
      <c r="AR343" s="179"/>
      <c r="AS343" s="179"/>
      <c r="AT343" s="179"/>
      <c r="AU343" s="179"/>
      <c r="AV343" s="179"/>
      <c r="AW343" s="179"/>
      <c r="AX343" s="179"/>
      <c r="AY343" s="179"/>
      <c r="AZ343" s="179"/>
      <c r="BA343" s="179"/>
      <c r="BB343" s="179"/>
      <c r="BC343" s="179"/>
      <c r="BD343" s="179"/>
      <c r="BE343" s="179"/>
      <c r="BF343" s="179"/>
      <c r="BG343" s="179"/>
      <c r="BH343" s="179"/>
      <c r="BI343" s="179"/>
      <c r="BJ343" s="179"/>
      <c r="BK343" s="179"/>
      <c r="BL343" s="179"/>
      <c r="BM343" s="179"/>
      <c r="BN343" s="179"/>
      <c r="BO343" s="179"/>
      <c r="BP343" s="179"/>
      <c r="BQ343" s="179"/>
      <c r="BR343" s="179"/>
      <c r="BS343" s="179"/>
      <c r="BT343" s="179"/>
      <c r="BU343" s="179"/>
      <c r="BV343" s="179"/>
      <c r="BW343" s="179"/>
      <c r="BX343" s="179"/>
      <c r="BY343" s="179"/>
      <c r="BZ343" s="179"/>
      <c r="CA343" s="179"/>
      <c r="CB343" s="179"/>
      <c r="CC343" s="179"/>
      <c r="CD343" s="179"/>
      <c r="CE343" s="179"/>
      <c r="CF343" s="179"/>
      <c r="CG343" s="179"/>
      <c r="CH343" s="179"/>
      <c r="CI343" s="179"/>
      <c r="CJ343" s="179"/>
      <c r="CK343" s="179"/>
      <c r="CL343" s="179"/>
      <c r="CM343" s="179"/>
      <c r="CN343" s="179"/>
      <c r="CO343" s="179"/>
      <c r="CP343" s="179"/>
      <c r="CQ343" s="179"/>
      <c r="CR343" s="179"/>
      <c r="CS343" s="179"/>
      <c r="CT343" s="179"/>
      <c r="CU343" s="179"/>
      <c r="CV343" s="179"/>
      <c r="CW343" s="179"/>
    </row>
    <row r="344" spans="1:101" x14ac:dyDescent="0.2">
      <c r="A344" s="32" t="str">
        <f t="shared" ca="1" si="5"/>
        <v>2026-03-12</v>
      </c>
      <c r="B344" s="179">
        <f ca="1">IF(ISNUMBER(MATCH(DATEVALUE($A344),'changes1_based on steps'!B$1:B$400,0)),B$2,)</f>
        <v>0</v>
      </c>
      <c r="C344" s="179">
        <f ca="1">IF(ISNUMBER(MATCH(DATEVALUE($A344),'changes1_based on steps'!C$1:C$400,0)),C$2,)</f>
        <v>0</v>
      </c>
      <c r="D344" s="179">
        <f ca="1">IF(ISNUMBER(MATCH(DATEVALUE($A344),'changes1_based on steps'!D$1:D$400,0)),D$2,)</f>
        <v>0</v>
      </c>
      <c r="E344" s="179">
        <f ca="1">IF(ISNUMBER(MATCH(DATEVALUE($A344),'changes1_based on steps'!E$1:E$400,0)),E$2,)</f>
        <v>0</v>
      </c>
      <c r="F344" s="179">
        <f ca="1">IF(ISNUMBER(MATCH(DATEVALUE($A344),'changes1_based on steps'!F$1:F$400,0)),F$2,)</f>
        <v>0</v>
      </c>
      <c r="G344" s="179">
        <f ca="1">IF(ISNUMBER(MATCH(DATEVALUE($A344),'changes1_based on steps'!G$1:G$400,0)),G$2,)</f>
        <v>0</v>
      </c>
      <c r="H344" s="179">
        <f ca="1">IF(ISNUMBER(MATCH(DATEVALUE($A344),'changes1_based on steps'!H$1:H$400,0)),H$2,)</f>
        <v>0</v>
      </c>
      <c r="I344" s="179">
        <f ca="1">IF(ISNUMBER(MATCH(DATEVALUE($A344),'changes1_based on steps'!I$1:I$400,0)),I$2,)</f>
        <v>0</v>
      </c>
      <c r="J344" s="179">
        <f ca="1">IF(ISNUMBER(MATCH(DATEVALUE($A344),'changes1_based on steps'!J$1:J$400,0)),J$2,)</f>
        <v>0</v>
      </c>
      <c r="K344" s="179">
        <f ca="1">IF(ISNUMBER(MATCH(DATEVALUE($A344),'changes1_based on steps'!K$1:K$400,0)),K$2,)</f>
        <v>0</v>
      </c>
      <c r="L344" s="179">
        <f ca="1">IF(ISNUMBER(MATCH(DATEVALUE($A344),'changes1_based on steps'!L$1:L$400,0)),L$2,)</f>
        <v>0</v>
      </c>
      <c r="M344" s="179">
        <f ca="1">IF(ISNUMBER(MATCH(DATEVALUE($A344),'changes1_based on steps'!M$1:M$400,0)),M$2,)</f>
        <v>0</v>
      </c>
      <c r="N344" s="179">
        <f ca="1">IF(ISNUMBER(MATCH(DATEVALUE($A344),'changes1_based on steps'!N$1:N$400,0)),N$2,)</f>
        <v>0</v>
      </c>
      <c r="O344" s="179">
        <f ca="1">IF(ISNUMBER(MATCH(DATEVALUE($A344),'changes1_based on steps'!O$1:O$400,0)),O$2,)</f>
        <v>0</v>
      </c>
      <c r="P344" s="179">
        <f ca="1">IF(ISNUMBER(MATCH(DATEVALUE($A344),'changes1_based on steps'!P$1:P$400,0)),P$2,)</f>
        <v>0</v>
      </c>
      <c r="Q344" s="179">
        <f ca="1">IF(ISNUMBER(MATCH(DATEVALUE($A344),'changes1_based on steps'!Q$1:Q$400,0)),Q$2,)</f>
        <v>0</v>
      </c>
      <c r="R344" s="179">
        <f ca="1">IF(ISNUMBER(MATCH(DATEVALUE($A344),'changes1_based on steps'!R$1:R$400,0)),R$2,)</f>
        <v>0</v>
      </c>
      <c r="S344" s="179">
        <f ca="1">IF(ISNUMBER(MATCH(DATEVALUE($A344),'changes1_based on steps'!S$1:S$400,0)),S$2,)</f>
        <v>0</v>
      </c>
      <c r="T344" s="179">
        <f ca="1">IF(ISNUMBER(MATCH(DATEVALUE($A344),'changes1_based on steps'!T$1:T$400,0)),T$2,)</f>
        <v>0</v>
      </c>
      <c r="U344" s="179">
        <f ca="1">IF(ISNUMBER(MATCH(DATEVALUE($A344),'changes1_based on steps'!U$1:U$400,0)),U$2,)</f>
        <v>0</v>
      </c>
      <c r="V344" s="179"/>
      <c r="W344" s="179"/>
      <c r="X344" s="179"/>
      <c r="Y344" s="179"/>
      <c r="Z344" s="179"/>
      <c r="AA344" s="179"/>
      <c r="AB344" s="179"/>
      <c r="AC344" s="179"/>
      <c r="AD344" s="179"/>
      <c r="AE344" s="179"/>
      <c r="AF344" s="179"/>
      <c r="AG344" s="179"/>
      <c r="AH344" s="179"/>
      <c r="AI344" s="179"/>
      <c r="AJ344" s="179"/>
      <c r="AK344" s="179"/>
      <c r="AL344" s="179"/>
      <c r="AM344" s="179"/>
      <c r="AN344" s="179"/>
      <c r="AO344" s="179"/>
      <c r="AP344" s="179"/>
      <c r="AQ344" s="179"/>
      <c r="AR344" s="179"/>
      <c r="AS344" s="179"/>
      <c r="AT344" s="179"/>
      <c r="AU344" s="179"/>
      <c r="AV344" s="179"/>
      <c r="AW344" s="179"/>
      <c r="AX344" s="179"/>
      <c r="AY344" s="179"/>
      <c r="AZ344" s="179"/>
      <c r="BA344" s="179"/>
      <c r="BB344" s="179"/>
      <c r="BC344" s="179"/>
      <c r="BD344" s="179"/>
      <c r="BE344" s="179"/>
      <c r="BF344" s="179"/>
      <c r="BG344" s="179"/>
      <c r="BH344" s="179"/>
      <c r="BI344" s="179"/>
      <c r="BJ344" s="179"/>
      <c r="BK344" s="179"/>
      <c r="BL344" s="179"/>
      <c r="BM344" s="179"/>
      <c r="BN344" s="179"/>
      <c r="BO344" s="179"/>
      <c r="BP344" s="179"/>
      <c r="BQ344" s="179"/>
      <c r="BR344" s="179"/>
      <c r="BS344" s="179"/>
      <c r="BT344" s="179"/>
      <c r="BU344" s="179"/>
      <c r="BV344" s="179"/>
      <c r="BW344" s="179"/>
      <c r="BX344" s="179"/>
      <c r="BY344" s="179"/>
      <c r="BZ344" s="179"/>
      <c r="CA344" s="179"/>
      <c r="CB344" s="179"/>
      <c r="CC344" s="179"/>
      <c r="CD344" s="179"/>
      <c r="CE344" s="179"/>
      <c r="CF344" s="179"/>
      <c r="CG344" s="179"/>
      <c r="CH344" s="179"/>
      <c r="CI344" s="179"/>
      <c r="CJ344" s="179"/>
      <c r="CK344" s="179"/>
      <c r="CL344" s="179"/>
      <c r="CM344" s="179"/>
      <c r="CN344" s="179"/>
      <c r="CO344" s="179"/>
      <c r="CP344" s="179"/>
      <c r="CQ344" s="179"/>
      <c r="CR344" s="179"/>
      <c r="CS344" s="179"/>
      <c r="CT344" s="179"/>
      <c r="CU344" s="179"/>
      <c r="CV344" s="179"/>
      <c r="CW344" s="179"/>
    </row>
    <row r="345" spans="1:101" x14ac:dyDescent="0.2">
      <c r="A345" s="32" t="str">
        <f t="shared" ca="1" si="5"/>
        <v>2026-03-13</v>
      </c>
      <c r="B345" s="179">
        <f ca="1">IF(ISNUMBER(MATCH(DATEVALUE($A345),'changes1_based on steps'!B$1:B$400,0)),B$2,)</f>
        <v>0</v>
      </c>
      <c r="C345" s="179">
        <f ca="1">IF(ISNUMBER(MATCH(DATEVALUE($A345),'changes1_based on steps'!C$1:C$400,0)),C$2,)</f>
        <v>0</v>
      </c>
      <c r="D345" s="179">
        <f ca="1">IF(ISNUMBER(MATCH(DATEVALUE($A345),'changes1_based on steps'!D$1:D$400,0)),D$2,)</f>
        <v>0</v>
      </c>
      <c r="E345" s="179">
        <f ca="1">IF(ISNUMBER(MATCH(DATEVALUE($A345),'changes1_based on steps'!E$1:E$400,0)),E$2,)</f>
        <v>0</v>
      </c>
      <c r="F345" s="179">
        <f ca="1">IF(ISNUMBER(MATCH(DATEVALUE($A345),'changes1_based on steps'!F$1:F$400,0)),F$2,)</f>
        <v>0</v>
      </c>
      <c r="G345" s="179">
        <f ca="1">IF(ISNUMBER(MATCH(DATEVALUE($A345),'changes1_based on steps'!G$1:G$400,0)),G$2,)</f>
        <v>0</v>
      </c>
      <c r="H345" s="179">
        <f ca="1">IF(ISNUMBER(MATCH(DATEVALUE($A345),'changes1_based on steps'!H$1:H$400,0)),H$2,)</f>
        <v>0</v>
      </c>
      <c r="I345" s="179">
        <f ca="1">IF(ISNUMBER(MATCH(DATEVALUE($A345),'changes1_based on steps'!I$1:I$400,0)),I$2,)</f>
        <v>0</v>
      </c>
      <c r="J345" s="179">
        <f ca="1">IF(ISNUMBER(MATCH(DATEVALUE($A345),'changes1_based on steps'!J$1:J$400,0)),J$2,)</f>
        <v>0</v>
      </c>
      <c r="K345" s="179">
        <f ca="1">IF(ISNUMBER(MATCH(DATEVALUE($A345),'changes1_based on steps'!K$1:K$400,0)),K$2,)</f>
        <v>0</v>
      </c>
      <c r="L345" s="179">
        <f ca="1">IF(ISNUMBER(MATCH(DATEVALUE($A345),'changes1_based on steps'!L$1:L$400,0)),L$2,)</f>
        <v>0</v>
      </c>
      <c r="M345" s="179">
        <f ca="1">IF(ISNUMBER(MATCH(DATEVALUE($A345),'changes1_based on steps'!M$1:M$400,0)),M$2,)</f>
        <v>0</v>
      </c>
      <c r="N345" s="179">
        <f ca="1">IF(ISNUMBER(MATCH(DATEVALUE($A345),'changes1_based on steps'!N$1:N$400,0)),N$2,)</f>
        <v>0</v>
      </c>
      <c r="O345" s="179">
        <f ca="1">IF(ISNUMBER(MATCH(DATEVALUE($A345),'changes1_based on steps'!O$1:O$400,0)),O$2,)</f>
        <v>0</v>
      </c>
      <c r="P345" s="179">
        <f ca="1">IF(ISNUMBER(MATCH(DATEVALUE($A345),'changes1_based on steps'!P$1:P$400,0)),P$2,)</f>
        <v>0</v>
      </c>
      <c r="Q345" s="179">
        <f ca="1">IF(ISNUMBER(MATCH(DATEVALUE($A345),'changes1_based on steps'!Q$1:Q$400,0)),Q$2,)</f>
        <v>0</v>
      </c>
      <c r="R345" s="179">
        <f ca="1">IF(ISNUMBER(MATCH(DATEVALUE($A345),'changes1_based on steps'!R$1:R$400,0)),R$2,)</f>
        <v>0</v>
      </c>
      <c r="S345" s="179">
        <f ca="1">IF(ISNUMBER(MATCH(DATEVALUE($A345),'changes1_based on steps'!S$1:S$400,0)),S$2,)</f>
        <v>0</v>
      </c>
      <c r="T345" s="179">
        <f ca="1">IF(ISNUMBER(MATCH(DATEVALUE($A345),'changes1_based on steps'!T$1:T$400,0)),T$2,)</f>
        <v>0</v>
      </c>
      <c r="U345" s="179">
        <f ca="1">IF(ISNUMBER(MATCH(DATEVALUE($A345),'changes1_based on steps'!U$1:U$400,0)),U$2,)</f>
        <v>0</v>
      </c>
      <c r="V345" s="179"/>
      <c r="W345" s="179"/>
      <c r="X345" s="179"/>
      <c r="Y345" s="179"/>
      <c r="Z345" s="179"/>
      <c r="AA345" s="179"/>
      <c r="AB345" s="179"/>
      <c r="AC345" s="179"/>
      <c r="AD345" s="179"/>
      <c r="AE345" s="179"/>
      <c r="AF345" s="179"/>
      <c r="AG345" s="179"/>
      <c r="AH345" s="179"/>
      <c r="AI345" s="179"/>
      <c r="AJ345" s="179"/>
      <c r="AK345" s="179"/>
      <c r="AL345" s="179"/>
      <c r="AM345" s="179"/>
      <c r="AN345" s="179"/>
      <c r="AO345" s="179"/>
      <c r="AP345" s="179"/>
      <c r="AQ345" s="179"/>
      <c r="AR345" s="179"/>
      <c r="AS345" s="179"/>
      <c r="AT345" s="179"/>
      <c r="AU345" s="179"/>
      <c r="AV345" s="179"/>
      <c r="AW345" s="179"/>
      <c r="AX345" s="179"/>
      <c r="AY345" s="179"/>
      <c r="AZ345" s="179"/>
      <c r="BA345" s="179"/>
      <c r="BB345" s="179"/>
      <c r="BC345" s="179"/>
      <c r="BD345" s="179"/>
      <c r="BE345" s="179"/>
      <c r="BF345" s="179"/>
      <c r="BG345" s="179"/>
      <c r="BH345" s="179"/>
      <c r="BI345" s="179"/>
      <c r="BJ345" s="179"/>
      <c r="BK345" s="179"/>
      <c r="BL345" s="179"/>
      <c r="BM345" s="179"/>
      <c r="BN345" s="179"/>
      <c r="BO345" s="179"/>
      <c r="BP345" s="179"/>
      <c r="BQ345" s="179"/>
      <c r="BR345" s="179"/>
      <c r="BS345" s="179"/>
      <c r="BT345" s="179"/>
      <c r="BU345" s="179"/>
      <c r="BV345" s="179"/>
      <c r="BW345" s="179"/>
      <c r="BX345" s="179"/>
      <c r="BY345" s="179"/>
      <c r="BZ345" s="179"/>
      <c r="CA345" s="179"/>
      <c r="CB345" s="179"/>
      <c r="CC345" s="179"/>
      <c r="CD345" s="179"/>
      <c r="CE345" s="179"/>
      <c r="CF345" s="179"/>
      <c r="CG345" s="179"/>
      <c r="CH345" s="179"/>
      <c r="CI345" s="179"/>
      <c r="CJ345" s="179"/>
      <c r="CK345" s="179"/>
      <c r="CL345" s="179"/>
      <c r="CM345" s="179"/>
      <c r="CN345" s="179"/>
      <c r="CO345" s="179"/>
      <c r="CP345" s="179"/>
      <c r="CQ345" s="179"/>
      <c r="CR345" s="179"/>
      <c r="CS345" s="179"/>
      <c r="CT345" s="179"/>
      <c r="CU345" s="179"/>
      <c r="CV345" s="179"/>
      <c r="CW345" s="179"/>
    </row>
    <row r="346" spans="1:101" x14ac:dyDescent="0.2">
      <c r="A346" s="32" t="str">
        <f t="shared" ca="1" si="5"/>
        <v>2026-03-14</v>
      </c>
      <c r="B346" s="179">
        <f ca="1">IF(ISNUMBER(MATCH(DATEVALUE($A346),'changes1_based on steps'!B$1:B$400,0)),B$2,)</f>
        <v>0</v>
      </c>
      <c r="C346" s="179">
        <f ca="1">IF(ISNUMBER(MATCH(DATEVALUE($A346),'changes1_based on steps'!C$1:C$400,0)),C$2,)</f>
        <v>0</v>
      </c>
      <c r="D346" s="179">
        <f ca="1">IF(ISNUMBER(MATCH(DATEVALUE($A346),'changes1_based on steps'!D$1:D$400,0)),D$2,)</f>
        <v>0</v>
      </c>
      <c r="E346" s="179">
        <f ca="1">IF(ISNUMBER(MATCH(DATEVALUE($A346),'changes1_based on steps'!E$1:E$400,0)),E$2,)</f>
        <v>0</v>
      </c>
      <c r="F346" s="179">
        <f ca="1">IF(ISNUMBER(MATCH(DATEVALUE($A346),'changes1_based on steps'!F$1:F$400,0)),F$2,)</f>
        <v>0</v>
      </c>
      <c r="G346" s="179">
        <f ca="1">IF(ISNUMBER(MATCH(DATEVALUE($A346),'changes1_based on steps'!G$1:G$400,0)),G$2,)</f>
        <v>0</v>
      </c>
      <c r="H346" s="179">
        <f ca="1">IF(ISNUMBER(MATCH(DATEVALUE($A346),'changes1_based on steps'!H$1:H$400,0)),H$2,)</f>
        <v>0</v>
      </c>
      <c r="I346" s="179">
        <f ca="1">IF(ISNUMBER(MATCH(DATEVALUE($A346),'changes1_based on steps'!I$1:I$400,0)),I$2,)</f>
        <v>0</v>
      </c>
      <c r="J346" s="179">
        <f ca="1">IF(ISNUMBER(MATCH(DATEVALUE($A346),'changes1_based on steps'!J$1:J$400,0)),J$2,)</f>
        <v>0</v>
      </c>
      <c r="K346" s="179">
        <f ca="1">IF(ISNUMBER(MATCH(DATEVALUE($A346),'changes1_based on steps'!K$1:K$400,0)),K$2,)</f>
        <v>0</v>
      </c>
      <c r="L346" s="179">
        <f ca="1">IF(ISNUMBER(MATCH(DATEVALUE($A346),'changes1_based on steps'!L$1:L$400,0)),L$2,)</f>
        <v>0</v>
      </c>
      <c r="M346" s="179">
        <f ca="1">IF(ISNUMBER(MATCH(DATEVALUE($A346),'changes1_based on steps'!M$1:M$400,0)),M$2,)</f>
        <v>0</v>
      </c>
      <c r="N346" s="179">
        <f ca="1">IF(ISNUMBER(MATCH(DATEVALUE($A346),'changes1_based on steps'!N$1:N$400,0)),N$2,)</f>
        <v>0</v>
      </c>
      <c r="O346" s="179">
        <f ca="1">IF(ISNUMBER(MATCH(DATEVALUE($A346),'changes1_based on steps'!O$1:O$400,0)),O$2,)</f>
        <v>0</v>
      </c>
      <c r="P346" s="179">
        <f ca="1">IF(ISNUMBER(MATCH(DATEVALUE($A346),'changes1_based on steps'!P$1:P$400,0)),P$2,)</f>
        <v>0</v>
      </c>
      <c r="Q346" s="179">
        <f ca="1">IF(ISNUMBER(MATCH(DATEVALUE($A346),'changes1_based on steps'!Q$1:Q$400,0)),Q$2,)</f>
        <v>0</v>
      </c>
      <c r="R346" s="179">
        <f ca="1">IF(ISNUMBER(MATCH(DATEVALUE($A346),'changes1_based on steps'!R$1:R$400,0)),R$2,)</f>
        <v>0</v>
      </c>
      <c r="S346" s="179">
        <f ca="1">IF(ISNUMBER(MATCH(DATEVALUE($A346),'changes1_based on steps'!S$1:S$400,0)),S$2,)</f>
        <v>0</v>
      </c>
      <c r="T346" s="179">
        <f ca="1">IF(ISNUMBER(MATCH(DATEVALUE($A346),'changes1_based on steps'!T$1:T$400,0)),T$2,)</f>
        <v>0</v>
      </c>
      <c r="U346" s="179">
        <f ca="1">IF(ISNUMBER(MATCH(DATEVALUE($A346),'changes1_based on steps'!U$1:U$400,0)),U$2,)</f>
        <v>0</v>
      </c>
      <c r="V346" s="179"/>
      <c r="W346" s="179"/>
      <c r="X346" s="179"/>
      <c r="Y346" s="179"/>
      <c r="Z346" s="179"/>
      <c r="AA346" s="179"/>
      <c r="AB346" s="179"/>
      <c r="AC346" s="179"/>
      <c r="AD346" s="179"/>
      <c r="AE346" s="179"/>
      <c r="AF346" s="179"/>
      <c r="AG346" s="179"/>
      <c r="AH346" s="179"/>
      <c r="AI346" s="179"/>
      <c r="AJ346" s="179"/>
      <c r="AK346" s="179"/>
      <c r="AL346" s="179"/>
      <c r="AM346" s="179"/>
      <c r="AN346" s="179"/>
      <c r="AO346" s="179"/>
      <c r="AP346" s="179"/>
      <c r="AQ346" s="179"/>
      <c r="AR346" s="179"/>
      <c r="AS346" s="179"/>
      <c r="AT346" s="179"/>
      <c r="AU346" s="179"/>
      <c r="AV346" s="179"/>
      <c r="AW346" s="179"/>
      <c r="AX346" s="179"/>
      <c r="AY346" s="179"/>
      <c r="AZ346" s="179"/>
      <c r="BA346" s="179"/>
      <c r="BB346" s="179"/>
      <c r="BC346" s="179"/>
      <c r="BD346" s="179"/>
      <c r="BE346" s="179"/>
      <c r="BF346" s="179"/>
      <c r="BG346" s="179"/>
      <c r="BH346" s="179"/>
      <c r="BI346" s="179"/>
      <c r="BJ346" s="179"/>
      <c r="BK346" s="179"/>
      <c r="BL346" s="179"/>
      <c r="BM346" s="179"/>
      <c r="BN346" s="179"/>
      <c r="BO346" s="179"/>
      <c r="BP346" s="179"/>
      <c r="BQ346" s="179"/>
      <c r="BR346" s="179"/>
      <c r="BS346" s="179"/>
      <c r="BT346" s="179"/>
      <c r="BU346" s="179"/>
      <c r="BV346" s="179"/>
      <c r="BW346" s="179"/>
      <c r="BX346" s="179"/>
      <c r="BY346" s="179"/>
      <c r="BZ346" s="179"/>
      <c r="CA346" s="179"/>
      <c r="CB346" s="179"/>
      <c r="CC346" s="179"/>
      <c r="CD346" s="179"/>
      <c r="CE346" s="179"/>
      <c r="CF346" s="179"/>
      <c r="CG346" s="179"/>
      <c r="CH346" s="179"/>
      <c r="CI346" s="179"/>
      <c r="CJ346" s="179"/>
      <c r="CK346" s="179"/>
      <c r="CL346" s="179"/>
      <c r="CM346" s="179"/>
      <c r="CN346" s="179"/>
      <c r="CO346" s="179"/>
      <c r="CP346" s="179"/>
      <c r="CQ346" s="179"/>
      <c r="CR346" s="179"/>
      <c r="CS346" s="179"/>
      <c r="CT346" s="179"/>
      <c r="CU346" s="179"/>
      <c r="CV346" s="179"/>
      <c r="CW346" s="179"/>
    </row>
    <row r="347" spans="1:101" x14ac:dyDescent="0.2">
      <c r="A347" s="32" t="str">
        <f t="shared" ca="1" si="5"/>
        <v>2026-03-15</v>
      </c>
      <c r="B347" s="179">
        <f ca="1">IF(ISNUMBER(MATCH(DATEVALUE($A347),'changes1_based on steps'!B$1:B$400,0)),B$2,)</f>
        <v>0</v>
      </c>
      <c r="C347" s="179">
        <f ca="1">IF(ISNUMBER(MATCH(DATEVALUE($A347),'changes1_based on steps'!C$1:C$400,0)),C$2,)</f>
        <v>0</v>
      </c>
      <c r="D347" s="179">
        <f ca="1">IF(ISNUMBER(MATCH(DATEVALUE($A347),'changes1_based on steps'!D$1:D$400,0)),D$2,)</f>
        <v>0</v>
      </c>
      <c r="E347" s="179">
        <f ca="1">IF(ISNUMBER(MATCH(DATEVALUE($A347),'changes1_based on steps'!E$1:E$400,0)),E$2,)</f>
        <v>0</v>
      </c>
      <c r="F347" s="179">
        <f ca="1">IF(ISNUMBER(MATCH(DATEVALUE($A347),'changes1_based on steps'!F$1:F$400,0)),F$2,)</f>
        <v>0</v>
      </c>
      <c r="G347" s="179">
        <f ca="1">IF(ISNUMBER(MATCH(DATEVALUE($A347),'changes1_based on steps'!G$1:G$400,0)),G$2,)</f>
        <v>0</v>
      </c>
      <c r="H347" s="179">
        <f ca="1">IF(ISNUMBER(MATCH(DATEVALUE($A347),'changes1_based on steps'!H$1:H$400,0)),H$2,)</f>
        <v>0</v>
      </c>
      <c r="I347" s="179">
        <f ca="1">IF(ISNUMBER(MATCH(DATEVALUE($A347),'changes1_based on steps'!I$1:I$400,0)),I$2,)</f>
        <v>0</v>
      </c>
      <c r="J347" s="179">
        <f ca="1">IF(ISNUMBER(MATCH(DATEVALUE($A347),'changes1_based on steps'!J$1:J$400,0)),J$2,)</f>
        <v>0</v>
      </c>
      <c r="K347" s="179">
        <f ca="1">IF(ISNUMBER(MATCH(DATEVALUE($A347),'changes1_based on steps'!K$1:K$400,0)),K$2,)</f>
        <v>0</v>
      </c>
      <c r="L347" s="179">
        <f ca="1">IF(ISNUMBER(MATCH(DATEVALUE($A347),'changes1_based on steps'!L$1:L$400,0)),L$2,)</f>
        <v>0</v>
      </c>
      <c r="M347" s="179">
        <f ca="1">IF(ISNUMBER(MATCH(DATEVALUE($A347),'changes1_based on steps'!M$1:M$400,0)),M$2,)</f>
        <v>0</v>
      </c>
      <c r="N347" s="179">
        <f ca="1">IF(ISNUMBER(MATCH(DATEVALUE($A347),'changes1_based on steps'!N$1:N$400,0)),N$2,)</f>
        <v>0</v>
      </c>
      <c r="O347" s="179">
        <f ca="1">IF(ISNUMBER(MATCH(DATEVALUE($A347),'changes1_based on steps'!O$1:O$400,0)),O$2,)</f>
        <v>0</v>
      </c>
      <c r="P347" s="179">
        <f ca="1">IF(ISNUMBER(MATCH(DATEVALUE($A347),'changes1_based on steps'!P$1:P$400,0)),P$2,)</f>
        <v>0</v>
      </c>
      <c r="Q347" s="179">
        <f ca="1">IF(ISNUMBER(MATCH(DATEVALUE($A347),'changes1_based on steps'!Q$1:Q$400,0)),Q$2,)</f>
        <v>0</v>
      </c>
      <c r="R347" s="179">
        <f ca="1">IF(ISNUMBER(MATCH(DATEVALUE($A347),'changes1_based on steps'!R$1:R$400,0)),R$2,)</f>
        <v>0</v>
      </c>
      <c r="S347" s="179">
        <f ca="1">IF(ISNUMBER(MATCH(DATEVALUE($A347),'changes1_based on steps'!S$1:S$400,0)),S$2,)</f>
        <v>0</v>
      </c>
      <c r="T347" s="179">
        <f ca="1">IF(ISNUMBER(MATCH(DATEVALUE($A347),'changes1_based on steps'!T$1:T$400,0)),T$2,)</f>
        <v>0</v>
      </c>
      <c r="U347" s="179">
        <f ca="1">IF(ISNUMBER(MATCH(DATEVALUE($A347),'changes1_based on steps'!U$1:U$400,0)),U$2,)</f>
        <v>0</v>
      </c>
      <c r="V347" s="179"/>
      <c r="W347" s="179"/>
      <c r="X347" s="179"/>
      <c r="Y347" s="179"/>
      <c r="Z347" s="179"/>
      <c r="AA347" s="179"/>
      <c r="AB347" s="179"/>
      <c r="AC347" s="179"/>
      <c r="AD347" s="179"/>
      <c r="AE347" s="179"/>
      <c r="AF347" s="179"/>
      <c r="AG347" s="179"/>
      <c r="AH347" s="179"/>
      <c r="AI347" s="179"/>
      <c r="AJ347" s="179"/>
      <c r="AK347" s="179"/>
      <c r="AL347" s="179"/>
      <c r="AM347" s="179"/>
      <c r="AN347" s="179"/>
      <c r="AO347" s="179"/>
      <c r="AP347" s="179"/>
      <c r="AQ347" s="179"/>
      <c r="AR347" s="179"/>
      <c r="AS347" s="179"/>
      <c r="AT347" s="179"/>
      <c r="AU347" s="179"/>
      <c r="AV347" s="179"/>
      <c r="AW347" s="179"/>
      <c r="AX347" s="179"/>
      <c r="AY347" s="179"/>
      <c r="AZ347" s="179"/>
      <c r="BA347" s="179"/>
      <c r="BB347" s="179"/>
      <c r="BC347" s="179"/>
      <c r="BD347" s="179"/>
      <c r="BE347" s="179"/>
      <c r="BF347" s="179"/>
      <c r="BG347" s="179"/>
      <c r="BH347" s="179"/>
      <c r="BI347" s="179"/>
      <c r="BJ347" s="179"/>
      <c r="BK347" s="179"/>
      <c r="BL347" s="179"/>
      <c r="BM347" s="179"/>
      <c r="BN347" s="179"/>
      <c r="BO347" s="179"/>
      <c r="BP347" s="179"/>
      <c r="BQ347" s="179"/>
      <c r="BR347" s="179"/>
      <c r="BS347" s="179"/>
      <c r="BT347" s="179"/>
      <c r="BU347" s="179"/>
      <c r="BV347" s="179"/>
      <c r="BW347" s="179"/>
      <c r="BX347" s="179"/>
      <c r="BY347" s="179"/>
      <c r="BZ347" s="179"/>
      <c r="CA347" s="179"/>
      <c r="CB347" s="179"/>
      <c r="CC347" s="179"/>
      <c r="CD347" s="179"/>
      <c r="CE347" s="179"/>
      <c r="CF347" s="179"/>
      <c r="CG347" s="179"/>
      <c r="CH347" s="179"/>
      <c r="CI347" s="179"/>
      <c r="CJ347" s="179"/>
      <c r="CK347" s="179"/>
      <c r="CL347" s="179"/>
      <c r="CM347" s="179"/>
      <c r="CN347" s="179"/>
      <c r="CO347" s="179"/>
      <c r="CP347" s="179"/>
      <c r="CQ347" s="179"/>
      <c r="CR347" s="179"/>
      <c r="CS347" s="179"/>
      <c r="CT347" s="179"/>
      <c r="CU347" s="179"/>
      <c r="CV347" s="179"/>
      <c r="CW347" s="179"/>
    </row>
    <row r="348" spans="1:101" x14ac:dyDescent="0.2">
      <c r="A348" s="32" t="str">
        <f t="shared" ca="1" si="5"/>
        <v>2026-03-16</v>
      </c>
      <c r="B348" s="179">
        <f ca="1">IF(ISNUMBER(MATCH(DATEVALUE($A348),'changes1_based on steps'!B$1:B$400,0)),B$2,)</f>
        <v>0</v>
      </c>
      <c r="C348" s="179">
        <f ca="1">IF(ISNUMBER(MATCH(DATEVALUE($A348),'changes1_based on steps'!C$1:C$400,0)),C$2,)</f>
        <v>0</v>
      </c>
      <c r="D348" s="179">
        <f ca="1">IF(ISNUMBER(MATCH(DATEVALUE($A348),'changes1_based on steps'!D$1:D$400,0)),D$2,)</f>
        <v>0</v>
      </c>
      <c r="E348" s="179">
        <f ca="1">IF(ISNUMBER(MATCH(DATEVALUE($A348),'changes1_based on steps'!E$1:E$400,0)),E$2,)</f>
        <v>0</v>
      </c>
      <c r="F348" s="179">
        <f ca="1">IF(ISNUMBER(MATCH(DATEVALUE($A348),'changes1_based on steps'!F$1:F$400,0)),F$2,)</f>
        <v>0</v>
      </c>
      <c r="G348" s="179">
        <f ca="1">IF(ISNUMBER(MATCH(DATEVALUE($A348),'changes1_based on steps'!G$1:G$400,0)),G$2,)</f>
        <v>0</v>
      </c>
      <c r="H348" s="179">
        <f ca="1">IF(ISNUMBER(MATCH(DATEVALUE($A348),'changes1_based on steps'!H$1:H$400,0)),H$2,)</f>
        <v>0</v>
      </c>
      <c r="I348" s="179">
        <f ca="1">IF(ISNUMBER(MATCH(DATEVALUE($A348),'changes1_based on steps'!I$1:I$400,0)),I$2,)</f>
        <v>0</v>
      </c>
      <c r="J348" s="179">
        <f ca="1">IF(ISNUMBER(MATCH(DATEVALUE($A348),'changes1_based on steps'!J$1:J$400,0)),J$2,)</f>
        <v>0</v>
      </c>
      <c r="K348" s="179">
        <f ca="1">IF(ISNUMBER(MATCH(DATEVALUE($A348),'changes1_based on steps'!K$1:K$400,0)),K$2,)</f>
        <v>0</v>
      </c>
      <c r="L348" s="179">
        <f ca="1">IF(ISNUMBER(MATCH(DATEVALUE($A348),'changes1_based on steps'!L$1:L$400,0)),L$2,)</f>
        <v>0</v>
      </c>
      <c r="M348" s="179">
        <f ca="1">IF(ISNUMBER(MATCH(DATEVALUE($A348),'changes1_based on steps'!M$1:M$400,0)),M$2,)</f>
        <v>0</v>
      </c>
      <c r="N348" s="179">
        <f ca="1">IF(ISNUMBER(MATCH(DATEVALUE($A348),'changes1_based on steps'!N$1:N$400,0)),N$2,)</f>
        <v>0</v>
      </c>
      <c r="O348" s="179">
        <f ca="1">IF(ISNUMBER(MATCH(DATEVALUE($A348),'changes1_based on steps'!O$1:O$400,0)),O$2,)</f>
        <v>0</v>
      </c>
      <c r="P348" s="179">
        <f ca="1">IF(ISNUMBER(MATCH(DATEVALUE($A348),'changes1_based on steps'!P$1:P$400,0)),P$2,)</f>
        <v>0</v>
      </c>
      <c r="Q348" s="179">
        <f ca="1">IF(ISNUMBER(MATCH(DATEVALUE($A348),'changes1_based on steps'!Q$1:Q$400,0)),Q$2,)</f>
        <v>0</v>
      </c>
      <c r="R348" s="179">
        <f ca="1">IF(ISNUMBER(MATCH(DATEVALUE($A348),'changes1_based on steps'!R$1:R$400,0)),R$2,)</f>
        <v>0</v>
      </c>
      <c r="S348" s="179">
        <f ca="1">IF(ISNUMBER(MATCH(DATEVALUE($A348),'changes1_based on steps'!S$1:S$400,0)),S$2,)</f>
        <v>0</v>
      </c>
      <c r="T348" s="179">
        <f ca="1">IF(ISNUMBER(MATCH(DATEVALUE($A348),'changes1_based on steps'!T$1:T$400,0)),T$2,)</f>
        <v>0</v>
      </c>
      <c r="U348" s="179">
        <f ca="1">IF(ISNUMBER(MATCH(DATEVALUE($A348),'changes1_based on steps'!U$1:U$400,0)),U$2,)</f>
        <v>0</v>
      </c>
      <c r="V348" s="179"/>
      <c r="W348" s="179"/>
      <c r="X348" s="179"/>
      <c r="Y348" s="179"/>
      <c r="Z348" s="179"/>
      <c r="AA348" s="179"/>
      <c r="AB348" s="179"/>
      <c r="AC348" s="179"/>
      <c r="AD348" s="179"/>
      <c r="AE348" s="179"/>
      <c r="AF348" s="179"/>
      <c r="AG348" s="179"/>
      <c r="AH348" s="179"/>
      <c r="AI348" s="179"/>
      <c r="AJ348" s="179"/>
      <c r="AK348" s="179"/>
      <c r="AL348" s="179"/>
      <c r="AM348" s="179"/>
      <c r="AN348" s="179"/>
      <c r="AO348" s="179"/>
      <c r="AP348" s="179"/>
      <c r="AQ348" s="179"/>
      <c r="AR348" s="179"/>
      <c r="AS348" s="179"/>
      <c r="AT348" s="179"/>
      <c r="AU348" s="179"/>
      <c r="AV348" s="179"/>
      <c r="AW348" s="179"/>
      <c r="AX348" s="179"/>
      <c r="AY348" s="179"/>
      <c r="AZ348" s="179"/>
      <c r="BA348" s="179"/>
      <c r="BB348" s="179"/>
      <c r="BC348" s="179"/>
      <c r="BD348" s="179"/>
      <c r="BE348" s="179"/>
      <c r="BF348" s="179"/>
      <c r="BG348" s="179"/>
      <c r="BH348" s="179"/>
      <c r="BI348" s="179"/>
      <c r="BJ348" s="179"/>
      <c r="BK348" s="179"/>
      <c r="BL348" s="179"/>
      <c r="BM348" s="179"/>
      <c r="BN348" s="179"/>
      <c r="BO348" s="179"/>
      <c r="BP348" s="179"/>
      <c r="BQ348" s="179"/>
      <c r="BR348" s="179"/>
      <c r="BS348" s="179"/>
      <c r="BT348" s="179"/>
      <c r="BU348" s="179"/>
      <c r="BV348" s="179"/>
      <c r="BW348" s="179"/>
      <c r="BX348" s="179"/>
      <c r="BY348" s="179"/>
      <c r="BZ348" s="179"/>
      <c r="CA348" s="179"/>
      <c r="CB348" s="179"/>
      <c r="CC348" s="179"/>
      <c r="CD348" s="179"/>
      <c r="CE348" s="179"/>
      <c r="CF348" s="179"/>
      <c r="CG348" s="179"/>
      <c r="CH348" s="179"/>
      <c r="CI348" s="179"/>
      <c r="CJ348" s="179"/>
      <c r="CK348" s="179"/>
      <c r="CL348" s="179"/>
      <c r="CM348" s="179"/>
      <c r="CN348" s="179"/>
      <c r="CO348" s="179"/>
      <c r="CP348" s="179"/>
      <c r="CQ348" s="179"/>
      <c r="CR348" s="179"/>
      <c r="CS348" s="179"/>
      <c r="CT348" s="179"/>
      <c r="CU348" s="179"/>
      <c r="CV348" s="179"/>
      <c r="CW348" s="179"/>
    </row>
    <row r="349" spans="1:101" x14ac:dyDescent="0.2">
      <c r="A349" s="32" t="str">
        <f t="shared" ca="1" si="5"/>
        <v>2026-03-17</v>
      </c>
      <c r="B349" s="179">
        <f ca="1">IF(ISNUMBER(MATCH(DATEVALUE($A349),'changes1_based on steps'!B$1:B$400,0)),B$2,)</f>
        <v>0</v>
      </c>
      <c r="C349" s="179">
        <f ca="1">IF(ISNUMBER(MATCH(DATEVALUE($A349),'changes1_based on steps'!C$1:C$400,0)),C$2,)</f>
        <v>0</v>
      </c>
      <c r="D349" s="179">
        <f ca="1">IF(ISNUMBER(MATCH(DATEVALUE($A349),'changes1_based on steps'!D$1:D$400,0)),D$2,)</f>
        <v>0</v>
      </c>
      <c r="E349" s="179">
        <f ca="1">IF(ISNUMBER(MATCH(DATEVALUE($A349),'changes1_based on steps'!E$1:E$400,0)),E$2,)</f>
        <v>0</v>
      </c>
      <c r="F349" s="179">
        <f ca="1">IF(ISNUMBER(MATCH(DATEVALUE($A349),'changes1_based on steps'!F$1:F$400,0)),F$2,)</f>
        <v>0</v>
      </c>
      <c r="G349" s="179">
        <f ca="1">IF(ISNUMBER(MATCH(DATEVALUE($A349),'changes1_based on steps'!G$1:G$400,0)),G$2,)</f>
        <v>0</v>
      </c>
      <c r="H349" s="179">
        <f ca="1">IF(ISNUMBER(MATCH(DATEVALUE($A349),'changes1_based on steps'!H$1:H$400,0)),H$2,)</f>
        <v>0</v>
      </c>
      <c r="I349" s="179">
        <f ca="1">IF(ISNUMBER(MATCH(DATEVALUE($A349),'changes1_based on steps'!I$1:I$400,0)),I$2,)</f>
        <v>0</v>
      </c>
      <c r="J349" s="179">
        <f ca="1">IF(ISNUMBER(MATCH(DATEVALUE($A349),'changes1_based on steps'!J$1:J$400,0)),J$2,)</f>
        <v>0</v>
      </c>
      <c r="K349" s="179">
        <f ca="1">IF(ISNUMBER(MATCH(DATEVALUE($A349),'changes1_based on steps'!K$1:K$400,0)),K$2,)</f>
        <v>0</v>
      </c>
      <c r="L349" s="179">
        <f ca="1">IF(ISNUMBER(MATCH(DATEVALUE($A349),'changes1_based on steps'!L$1:L$400,0)),L$2,)</f>
        <v>0</v>
      </c>
      <c r="M349" s="179">
        <f ca="1">IF(ISNUMBER(MATCH(DATEVALUE($A349),'changes1_based on steps'!M$1:M$400,0)),M$2,)</f>
        <v>0</v>
      </c>
      <c r="N349" s="179">
        <f ca="1">IF(ISNUMBER(MATCH(DATEVALUE($A349),'changes1_based on steps'!N$1:N$400,0)),N$2,)</f>
        <v>0</v>
      </c>
      <c r="O349" s="179">
        <f ca="1">IF(ISNUMBER(MATCH(DATEVALUE($A349),'changes1_based on steps'!O$1:O$400,0)),O$2,)</f>
        <v>0</v>
      </c>
      <c r="P349" s="179">
        <f ca="1">IF(ISNUMBER(MATCH(DATEVALUE($A349),'changes1_based on steps'!P$1:P$400,0)),P$2,)</f>
        <v>0</v>
      </c>
      <c r="Q349" s="179">
        <f ca="1">IF(ISNUMBER(MATCH(DATEVALUE($A349),'changes1_based on steps'!Q$1:Q$400,0)),Q$2,)</f>
        <v>0</v>
      </c>
      <c r="R349" s="179">
        <f ca="1">IF(ISNUMBER(MATCH(DATEVALUE($A349),'changes1_based on steps'!R$1:R$400,0)),R$2,)</f>
        <v>0</v>
      </c>
      <c r="S349" s="179">
        <f ca="1">IF(ISNUMBER(MATCH(DATEVALUE($A349),'changes1_based on steps'!S$1:S$400,0)),S$2,)</f>
        <v>0</v>
      </c>
      <c r="T349" s="179">
        <f ca="1">IF(ISNUMBER(MATCH(DATEVALUE($A349),'changes1_based on steps'!T$1:T$400,0)),T$2,)</f>
        <v>0</v>
      </c>
      <c r="U349" s="179">
        <f ca="1">IF(ISNUMBER(MATCH(DATEVALUE($A349),'changes1_based on steps'!U$1:U$400,0)),U$2,)</f>
        <v>0</v>
      </c>
      <c r="V349" s="179"/>
      <c r="W349" s="179"/>
      <c r="X349" s="179"/>
      <c r="Y349" s="179"/>
      <c r="Z349" s="179"/>
      <c r="AA349" s="179"/>
      <c r="AB349" s="179"/>
      <c r="AC349" s="179"/>
      <c r="AD349" s="179"/>
      <c r="AE349" s="179"/>
      <c r="AF349" s="179"/>
      <c r="AG349" s="179"/>
      <c r="AH349" s="179"/>
      <c r="AI349" s="179"/>
      <c r="AJ349" s="179"/>
      <c r="AK349" s="179"/>
      <c r="AL349" s="179"/>
      <c r="AM349" s="179"/>
      <c r="AN349" s="179"/>
      <c r="AO349" s="179"/>
      <c r="AP349" s="179"/>
      <c r="AQ349" s="179"/>
      <c r="AR349" s="179"/>
      <c r="AS349" s="179"/>
      <c r="AT349" s="179"/>
      <c r="AU349" s="179"/>
      <c r="AV349" s="179"/>
      <c r="AW349" s="179"/>
      <c r="AX349" s="179"/>
      <c r="AY349" s="179"/>
      <c r="AZ349" s="179"/>
      <c r="BA349" s="179"/>
      <c r="BB349" s="179"/>
      <c r="BC349" s="179"/>
      <c r="BD349" s="179"/>
      <c r="BE349" s="179"/>
      <c r="BF349" s="179"/>
      <c r="BG349" s="179"/>
      <c r="BH349" s="179"/>
      <c r="BI349" s="179"/>
      <c r="BJ349" s="179"/>
      <c r="BK349" s="179"/>
      <c r="BL349" s="179"/>
      <c r="BM349" s="179"/>
      <c r="BN349" s="179"/>
      <c r="BO349" s="179"/>
      <c r="BP349" s="179"/>
      <c r="BQ349" s="179"/>
      <c r="BR349" s="179"/>
      <c r="BS349" s="179"/>
      <c r="BT349" s="179"/>
      <c r="BU349" s="179"/>
      <c r="BV349" s="179"/>
      <c r="BW349" s="179"/>
      <c r="BX349" s="179"/>
      <c r="BY349" s="179"/>
      <c r="BZ349" s="179"/>
      <c r="CA349" s="179"/>
      <c r="CB349" s="179"/>
      <c r="CC349" s="179"/>
      <c r="CD349" s="179"/>
      <c r="CE349" s="179"/>
      <c r="CF349" s="179"/>
      <c r="CG349" s="179"/>
      <c r="CH349" s="179"/>
      <c r="CI349" s="179"/>
      <c r="CJ349" s="179"/>
      <c r="CK349" s="179"/>
      <c r="CL349" s="179"/>
      <c r="CM349" s="179"/>
      <c r="CN349" s="179"/>
      <c r="CO349" s="179"/>
      <c r="CP349" s="179"/>
      <c r="CQ349" s="179"/>
      <c r="CR349" s="179"/>
      <c r="CS349" s="179"/>
      <c r="CT349" s="179"/>
      <c r="CU349" s="179"/>
      <c r="CV349" s="179"/>
      <c r="CW349" s="179"/>
    </row>
    <row r="350" spans="1:101" x14ac:dyDescent="0.2">
      <c r="A350" s="32" t="str">
        <f t="shared" ca="1" si="5"/>
        <v>2026-03-18</v>
      </c>
      <c r="B350" s="179">
        <f ca="1">IF(ISNUMBER(MATCH(DATEVALUE($A350),'changes1_based on steps'!B$1:B$400,0)),B$2,)</f>
        <v>0</v>
      </c>
      <c r="C350" s="179">
        <f ca="1">IF(ISNUMBER(MATCH(DATEVALUE($A350),'changes1_based on steps'!C$1:C$400,0)),C$2,)</f>
        <v>0</v>
      </c>
      <c r="D350" s="179">
        <f ca="1">IF(ISNUMBER(MATCH(DATEVALUE($A350),'changes1_based on steps'!D$1:D$400,0)),D$2,)</f>
        <v>0</v>
      </c>
      <c r="E350" s="179">
        <f ca="1">IF(ISNUMBER(MATCH(DATEVALUE($A350),'changes1_based on steps'!E$1:E$400,0)),E$2,)</f>
        <v>0</v>
      </c>
      <c r="F350" s="179">
        <f ca="1">IF(ISNUMBER(MATCH(DATEVALUE($A350),'changes1_based on steps'!F$1:F$400,0)),F$2,)</f>
        <v>0</v>
      </c>
      <c r="G350" s="179">
        <f ca="1">IF(ISNUMBER(MATCH(DATEVALUE($A350),'changes1_based on steps'!G$1:G$400,0)),G$2,)</f>
        <v>0</v>
      </c>
      <c r="H350" s="179">
        <f ca="1">IF(ISNUMBER(MATCH(DATEVALUE($A350),'changes1_based on steps'!H$1:H$400,0)),H$2,)</f>
        <v>0</v>
      </c>
      <c r="I350" s="179">
        <f ca="1">IF(ISNUMBER(MATCH(DATEVALUE($A350),'changes1_based on steps'!I$1:I$400,0)),I$2,)</f>
        <v>0</v>
      </c>
      <c r="J350" s="179">
        <f ca="1">IF(ISNUMBER(MATCH(DATEVALUE($A350),'changes1_based on steps'!J$1:J$400,0)),J$2,)</f>
        <v>0</v>
      </c>
      <c r="K350" s="179">
        <f ca="1">IF(ISNUMBER(MATCH(DATEVALUE($A350),'changes1_based on steps'!K$1:K$400,0)),K$2,)</f>
        <v>0</v>
      </c>
      <c r="L350" s="179">
        <f ca="1">IF(ISNUMBER(MATCH(DATEVALUE($A350),'changes1_based on steps'!L$1:L$400,0)),L$2,)</f>
        <v>0</v>
      </c>
      <c r="M350" s="179">
        <f ca="1">IF(ISNUMBER(MATCH(DATEVALUE($A350),'changes1_based on steps'!M$1:M$400,0)),M$2,)</f>
        <v>0</v>
      </c>
      <c r="N350" s="179">
        <f ca="1">IF(ISNUMBER(MATCH(DATEVALUE($A350),'changes1_based on steps'!N$1:N$400,0)),N$2,)</f>
        <v>0</v>
      </c>
      <c r="O350" s="179">
        <f ca="1">IF(ISNUMBER(MATCH(DATEVALUE($A350),'changes1_based on steps'!O$1:O$400,0)),O$2,)</f>
        <v>0</v>
      </c>
      <c r="P350" s="179">
        <f ca="1">IF(ISNUMBER(MATCH(DATEVALUE($A350),'changes1_based on steps'!P$1:P$400,0)),P$2,)</f>
        <v>0</v>
      </c>
      <c r="Q350" s="179">
        <f ca="1">IF(ISNUMBER(MATCH(DATEVALUE($A350),'changes1_based on steps'!Q$1:Q$400,0)),Q$2,)</f>
        <v>0</v>
      </c>
      <c r="R350" s="179">
        <f ca="1">IF(ISNUMBER(MATCH(DATEVALUE($A350),'changes1_based on steps'!R$1:R$400,0)),R$2,)</f>
        <v>0</v>
      </c>
      <c r="S350" s="179">
        <f ca="1">IF(ISNUMBER(MATCH(DATEVALUE($A350),'changes1_based on steps'!S$1:S$400,0)),S$2,)</f>
        <v>0</v>
      </c>
      <c r="T350" s="179">
        <f ca="1">IF(ISNUMBER(MATCH(DATEVALUE($A350),'changes1_based on steps'!T$1:T$400,0)),T$2,)</f>
        <v>0</v>
      </c>
      <c r="U350" s="179">
        <f ca="1">IF(ISNUMBER(MATCH(DATEVALUE($A350),'changes1_based on steps'!U$1:U$400,0)),U$2,)</f>
        <v>0</v>
      </c>
      <c r="V350" s="179"/>
      <c r="W350" s="179"/>
      <c r="X350" s="179"/>
      <c r="Y350" s="179"/>
      <c r="Z350" s="179"/>
      <c r="AA350" s="179"/>
      <c r="AB350" s="179"/>
      <c r="AC350" s="179"/>
      <c r="AD350" s="179"/>
      <c r="AE350" s="179"/>
      <c r="AF350" s="179"/>
      <c r="AG350" s="179"/>
      <c r="AH350" s="179"/>
      <c r="AI350" s="179"/>
      <c r="AJ350" s="179"/>
      <c r="AK350" s="179"/>
      <c r="AL350" s="179"/>
      <c r="AM350" s="179"/>
      <c r="AN350" s="179"/>
      <c r="AO350" s="179"/>
      <c r="AP350" s="179"/>
      <c r="AQ350" s="179"/>
      <c r="AR350" s="179"/>
      <c r="AS350" s="179"/>
      <c r="AT350" s="179"/>
      <c r="AU350" s="179"/>
      <c r="AV350" s="179"/>
      <c r="AW350" s="179"/>
      <c r="AX350" s="179"/>
      <c r="AY350" s="179"/>
      <c r="AZ350" s="179"/>
      <c r="BA350" s="179"/>
      <c r="BB350" s="179"/>
      <c r="BC350" s="179"/>
      <c r="BD350" s="179"/>
      <c r="BE350" s="179"/>
      <c r="BF350" s="179"/>
      <c r="BG350" s="179"/>
      <c r="BH350" s="179"/>
      <c r="BI350" s="179"/>
      <c r="BJ350" s="179"/>
      <c r="BK350" s="179"/>
      <c r="BL350" s="179"/>
      <c r="BM350" s="179"/>
      <c r="BN350" s="179"/>
      <c r="BO350" s="179"/>
      <c r="BP350" s="179"/>
      <c r="BQ350" s="179"/>
      <c r="BR350" s="179"/>
      <c r="BS350" s="179"/>
      <c r="BT350" s="179"/>
      <c r="BU350" s="179"/>
      <c r="BV350" s="179"/>
      <c r="BW350" s="179"/>
      <c r="BX350" s="179"/>
      <c r="BY350" s="179"/>
      <c r="BZ350" s="179"/>
      <c r="CA350" s="179"/>
      <c r="CB350" s="179"/>
      <c r="CC350" s="179"/>
      <c r="CD350" s="179"/>
      <c r="CE350" s="179"/>
      <c r="CF350" s="179"/>
      <c r="CG350" s="179"/>
      <c r="CH350" s="179"/>
      <c r="CI350" s="179"/>
      <c r="CJ350" s="179"/>
      <c r="CK350" s="179"/>
      <c r="CL350" s="179"/>
      <c r="CM350" s="179"/>
      <c r="CN350" s="179"/>
      <c r="CO350" s="179"/>
      <c r="CP350" s="179"/>
      <c r="CQ350" s="179"/>
      <c r="CR350" s="179"/>
      <c r="CS350" s="179"/>
      <c r="CT350" s="179"/>
      <c r="CU350" s="179"/>
      <c r="CV350" s="179"/>
      <c r="CW350" s="179"/>
    </row>
    <row r="351" spans="1:101" x14ac:dyDescent="0.2">
      <c r="A351" s="32" t="str">
        <f t="shared" ca="1" si="5"/>
        <v>2026-03-19</v>
      </c>
      <c r="B351" s="179">
        <f ca="1">IF(ISNUMBER(MATCH(DATEVALUE($A351),'changes1_based on steps'!B$1:B$400,0)),B$2,)</f>
        <v>0</v>
      </c>
      <c r="C351" s="179">
        <f ca="1">IF(ISNUMBER(MATCH(DATEVALUE($A351),'changes1_based on steps'!C$1:C$400,0)),C$2,)</f>
        <v>0</v>
      </c>
      <c r="D351" s="179">
        <f ca="1">IF(ISNUMBER(MATCH(DATEVALUE($A351),'changes1_based on steps'!D$1:D$400,0)),D$2,)</f>
        <v>0</v>
      </c>
      <c r="E351" s="179">
        <f ca="1">IF(ISNUMBER(MATCH(DATEVALUE($A351),'changes1_based on steps'!E$1:E$400,0)),E$2,)</f>
        <v>0</v>
      </c>
      <c r="F351" s="179">
        <f ca="1">IF(ISNUMBER(MATCH(DATEVALUE($A351),'changes1_based on steps'!F$1:F$400,0)),F$2,)</f>
        <v>0</v>
      </c>
      <c r="G351" s="179">
        <f ca="1">IF(ISNUMBER(MATCH(DATEVALUE($A351),'changes1_based on steps'!G$1:G$400,0)),G$2,)</f>
        <v>0</v>
      </c>
      <c r="H351" s="179">
        <f ca="1">IF(ISNUMBER(MATCH(DATEVALUE($A351),'changes1_based on steps'!H$1:H$400,0)),H$2,)</f>
        <v>0</v>
      </c>
      <c r="I351" s="179">
        <f ca="1">IF(ISNUMBER(MATCH(DATEVALUE($A351),'changes1_based on steps'!I$1:I$400,0)),I$2,)</f>
        <v>0</v>
      </c>
      <c r="J351" s="179">
        <f ca="1">IF(ISNUMBER(MATCH(DATEVALUE($A351),'changes1_based on steps'!J$1:J$400,0)),J$2,)</f>
        <v>0</v>
      </c>
      <c r="K351" s="179">
        <f ca="1">IF(ISNUMBER(MATCH(DATEVALUE($A351),'changes1_based on steps'!K$1:K$400,0)),K$2,)</f>
        <v>0</v>
      </c>
      <c r="L351" s="179">
        <f ca="1">IF(ISNUMBER(MATCH(DATEVALUE($A351),'changes1_based on steps'!L$1:L$400,0)),L$2,)</f>
        <v>0</v>
      </c>
      <c r="M351" s="179">
        <f ca="1">IF(ISNUMBER(MATCH(DATEVALUE($A351),'changes1_based on steps'!M$1:M$400,0)),M$2,)</f>
        <v>0</v>
      </c>
      <c r="N351" s="179">
        <f ca="1">IF(ISNUMBER(MATCH(DATEVALUE($A351),'changes1_based on steps'!N$1:N$400,0)),N$2,)</f>
        <v>0</v>
      </c>
      <c r="O351" s="179">
        <f ca="1">IF(ISNUMBER(MATCH(DATEVALUE($A351),'changes1_based on steps'!O$1:O$400,0)),O$2,)</f>
        <v>0</v>
      </c>
      <c r="P351" s="179">
        <f ca="1">IF(ISNUMBER(MATCH(DATEVALUE($A351),'changes1_based on steps'!P$1:P$400,0)),P$2,)</f>
        <v>0</v>
      </c>
      <c r="Q351" s="179">
        <f ca="1">IF(ISNUMBER(MATCH(DATEVALUE($A351),'changes1_based on steps'!Q$1:Q$400,0)),Q$2,)</f>
        <v>0</v>
      </c>
      <c r="R351" s="179">
        <f ca="1">IF(ISNUMBER(MATCH(DATEVALUE($A351),'changes1_based on steps'!R$1:R$400,0)),R$2,)</f>
        <v>0</v>
      </c>
      <c r="S351" s="179">
        <f ca="1">IF(ISNUMBER(MATCH(DATEVALUE($A351),'changes1_based on steps'!S$1:S$400,0)),S$2,)</f>
        <v>0</v>
      </c>
      <c r="T351" s="179">
        <f ca="1">IF(ISNUMBER(MATCH(DATEVALUE($A351),'changes1_based on steps'!T$1:T$400,0)),T$2,)</f>
        <v>0</v>
      </c>
      <c r="U351" s="179">
        <f ca="1">IF(ISNUMBER(MATCH(DATEVALUE($A351),'changes1_based on steps'!U$1:U$400,0)),U$2,)</f>
        <v>0</v>
      </c>
      <c r="V351" s="179"/>
      <c r="W351" s="179"/>
      <c r="X351" s="179"/>
      <c r="Y351" s="179"/>
      <c r="Z351" s="179"/>
      <c r="AA351" s="179"/>
      <c r="AB351" s="179"/>
      <c r="AC351" s="179"/>
      <c r="AD351" s="179"/>
      <c r="AE351" s="179"/>
      <c r="AF351" s="179"/>
      <c r="AG351" s="179"/>
      <c r="AH351" s="179"/>
      <c r="AI351" s="179"/>
      <c r="AJ351" s="179"/>
      <c r="AK351" s="179"/>
      <c r="AL351" s="179"/>
      <c r="AM351" s="179"/>
      <c r="AN351" s="179"/>
      <c r="AO351" s="179"/>
      <c r="AP351" s="179"/>
      <c r="AQ351" s="179"/>
      <c r="AR351" s="179"/>
      <c r="AS351" s="179"/>
      <c r="AT351" s="179"/>
      <c r="AU351" s="179"/>
      <c r="AV351" s="179"/>
      <c r="AW351" s="179"/>
      <c r="AX351" s="179"/>
      <c r="AY351" s="179"/>
      <c r="AZ351" s="179"/>
      <c r="BA351" s="179"/>
      <c r="BB351" s="179"/>
      <c r="BC351" s="179"/>
      <c r="BD351" s="179"/>
      <c r="BE351" s="179"/>
      <c r="BF351" s="179"/>
      <c r="BG351" s="179"/>
      <c r="BH351" s="179"/>
      <c r="BI351" s="179"/>
      <c r="BJ351" s="179"/>
      <c r="BK351" s="179"/>
      <c r="BL351" s="179"/>
      <c r="BM351" s="179"/>
      <c r="BN351" s="179"/>
      <c r="BO351" s="179"/>
      <c r="BP351" s="179"/>
      <c r="BQ351" s="179"/>
      <c r="BR351" s="179"/>
      <c r="BS351" s="179"/>
      <c r="BT351" s="179"/>
      <c r="BU351" s="179"/>
      <c r="BV351" s="179"/>
      <c r="BW351" s="179"/>
      <c r="BX351" s="179"/>
      <c r="BY351" s="179"/>
      <c r="BZ351" s="179"/>
      <c r="CA351" s="179"/>
      <c r="CB351" s="179"/>
      <c r="CC351" s="179"/>
      <c r="CD351" s="179"/>
      <c r="CE351" s="179"/>
      <c r="CF351" s="179"/>
      <c r="CG351" s="179"/>
      <c r="CH351" s="179"/>
      <c r="CI351" s="179"/>
      <c r="CJ351" s="179"/>
      <c r="CK351" s="179"/>
      <c r="CL351" s="179"/>
      <c r="CM351" s="179"/>
      <c r="CN351" s="179"/>
      <c r="CO351" s="179"/>
      <c r="CP351" s="179"/>
      <c r="CQ351" s="179"/>
      <c r="CR351" s="179"/>
      <c r="CS351" s="179"/>
      <c r="CT351" s="179"/>
      <c r="CU351" s="179"/>
      <c r="CV351" s="179"/>
      <c r="CW351" s="179"/>
    </row>
    <row r="352" spans="1:101" x14ac:dyDescent="0.2">
      <c r="A352" s="32" t="str">
        <f t="shared" ca="1" si="5"/>
        <v>2026-03-20</v>
      </c>
      <c r="B352" s="179">
        <f ca="1">IF(ISNUMBER(MATCH(DATEVALUE($A352),'changes1_based on steps'!B$1:B$400,0)),B$2,)</f>
        <v>0</v>
      </c>
      <c r="C352" s="179">
        <f ca="1">IF(ISNUMBER(MATCH(DATEVALUE($A352),'changes1_based on steps'!C$1:C$400,0)),C$2,)</f>
        <v>0</v>
      </c>
      <c r="D352" s="179">
        <f ca="1">IF(ISNUMBER(MATCH(DATEVALUE($A352),'changes1_based on steps'!D$1:D$400,0)),D$2,)</f>
        <v>0</v>
      </c>
      <c r="E352" s="179">
        <f ca="1">IF(ISNUMBER(MATCH(DATEVALUE($A352),'changes1_based on steps'!E$1:E$400,0)),E$2,)</f>
        <v>0</v>
      </c>
      <c r="F352" s="179">
        <f ca="1">IF(ISNUMBER(MATCH(DATEVALUE($A352),'changes1_based on steps'!F$1:F$400,0)),F$2,)</f>
        <v>0</v>
      </c>
      <c r="G352" s="179">
        <f ca="1">IF(ISNUMBER(MATCH(DATEVALUE($A352),'changes1_based on steps'!G$1:G$400,0)),G$2,)</f>
        <v>0</v>
      </c>
      <c r="H352" s="179">
        <f ca="1">IF(ISNUMBER(MATCH(DATEVALUE($A352),'changes1_based on steps'!H$1:H$400,0)),H$2,)</f>
        <v>0</v>
      </c>
      <c r="I352" s="179">
        <f ca="1">IF(ISNUMBER(MATCH(DATEVALUE($A352),'changes1_based on steps'!I$1:I$400,0)),I$2,)</f>
        <v>0</v>
      </c>
      <c r="J352" s="179">
        <f ca="1">IF(ISNUMBER(MATCH(DATEVALUE($A352),'changes1_based on steps'!J$1:J$400,0)),J$2,)</f>
        <v>0</v>
      </c>
      <c r="K352" s="179">
        <f ca="1">IF(ISNUMBER(MATCH(DATEVALUE($A352),'changes1_based on steps'!K$1:K$400,0)),K$2,)</f>
        <v>0</v>
      </c>
      <c r="L352" s="179">
        <f ca="1">IF(ISNUMBER(MATCH(DATEVALUE($A352),'changes1_based on steps'!L$1:L$400,0)),L$2,)</f>
        <v>0</v>
      </c>
      <c r="M352" s="179">
        <f ca="1">IF(ISNUMBER(MATCH(DATEVALUE($A352),'changes1_based on steps'!M$1:M$400,0)),M$2,)</f>
        <v>0</v>
      </c>
      <c r="N352" s="179">
        <f ca="1">IF(ISNUMBER(MATCH(DATEVALUE($A352),'changes1_based on steps'!N$1:N$400,0)),N$2,)</f>
        <v>0</v>
      </c>
      <c r="O352" s="179">
        <f ca="1">IF(ISNUMBER(MATCH(DATEVALUE($A352),'changes1_based on steps'!O$1:O$400,0)),O$2,)</f>
        <v>0</v>
      </c>
      <c r="P352" s="179">
        <f ca="1">IF(ISNUMBER(MATCH(DATEVALUE($A352),'changes1_based on steps'!P$1:P$400,0)),P$2,)</f>
        <v>0</v>
      </c>
      <c r="Q352" s="179">
        <f ca="1">IF(ISNUMBER(MATCH(DATEVALUE($A352),'changes1_based on steps'!Q$1:Q$400,0)),Q$2,)</f>
        <v>0</v>
      </c>
      <c r="R352" s="179">
        <f ca="1">IF(ISNUMBER(MATCH(DATEVALUE($A352),'changes1_based on steps'!R$1:R$400,0)),R$2,)</f>
        <v>0</v>
      </c>
      <c r="S352" s="179">
        <f ca="1">IF(ISNUMBER(MATCH(DATEVALUE($A352),'changes1_based on steps'!S$1:S$400,0)),S$2,)</f>
        <v>0</v>
      </c>
      <c r="T352" s="179">
        <f ca="1">IF(ISNUMBER(MATCH(DATEVALUE($A352),'changes1_based on steps'!T$1:T$400,0)),T$2,)</f>
        <v>0</v>
      </c>
      <c r="U352" s="179">
        <f ca="1">IF(ISNUMBER(MATCH(DATEVALUE($A352),'changes1_based on steps'!U$1:U$400,0)),U$2,)</f>
        <v>0</v>
      </c>
      <c r="V352" s="179"/>
      <c r="W352" s="179"/>
      <c r="X352" s="179"/>
      <c r="Y352" s="179"/>
      <c r="Z352" s="179"/>
      <c r="AA352" s="179"/>
      <c r="AB352" s="179"/>
      <c r="AC352" s="179"/>
      <c r="AD352" s="179"/>
      <c r="AE352" s="179"/>
      <c r="AF352" s="179"/>
      <c r="AG352" s="179"/>
      <c r="AH352" s="179"/>
      <c r="AI352" s="179"/>
      <c r="AJ352" s="179"/>
      <c r="AK352" s="179"/>
      <c r="AL352" s="179"/>
      <c r="AM352" s="179"/>
      <c r="AN352" s="179"/>
      <c r="AO352" s="179"/>
      <c r="AP352" s="179"/>
      <c r="AQ352" s="179"/>
      <c r="AR352" s="179"/>
      <c r="AS352" s="179"/>
      <c r="AT352" s="179"/>
      <c r="AU352" s="179"/>
      <c r="AV352" s="179"/>
      <c r="AW352" s="179"/>
      <c r="AX352" s="179"/>
      <c r="AY352" s="179"/>
      <c r="AZ352" s="179"/>
      <c r="BA352" s="179"/>
      <c r="BB352" s="179"/>
      <c r="BC352" s="179"/>
      <c r="BD352" s="179"/>
      <c r="BE352" s="179"/>
      <c r="BF352" s="179"/>
      <c r="BG352" s="179"/>
      <c r="BH352" s="179"/>
      <c r="BI352" s="179"/>
      <c r="BJ352" s="179"/>
      <c r="BK352" s="179"/>
      <c r="BL352" s="179"/>
      <c r="BM352" s="179"/>
      <c r="BN352" s="179"/>
      <c r="BO352" s="179"/>
      <c r="BP352" s="179"/>
      <c r="BQ352" s="179"/>
      <c r="BR352" s="179"/>
      <c r="BS352" s="179"/>
      <c r="BT352" s="179"/>
      <c r="BU352" s="179"/>
      <c r="BV352" s="179"/>
      <c r="BW352" s="179"/>
      <c r="BX352" s="179"/>
      <c r="BY352" s="179"/>
      <c r="BZ352" s="179"/>
      <c r="CA352" s="179"/>
      <c r="CB352" s="179"/>
      <c r="CC352" s="179"/>
      <c r="CD352" s="179"/>
      <c r="CE352" s="179"/>
      <c r="CF352" s="179"/>
      <c r="CG352" s="179"/>
      <c r="CH352" s="179"/>
      <c r="CI352" s="179"/>
      <c r="CJ352" s="179"/>
      <c r="CK352" s="179"/>
      <c r="CL352" s="179"/>
      <c r="CM352" s="179"/>
      <c r="CN352" s="179"/>
      <c r="CO352" s="179"/>
      <c r="CP352" s="179"/>
      <c r="CQ352" s="179"/>
      <c r="CR352" s="179"/>
      <c r="CS352" s="179"/>
      <c r="CT352" s="179"/>
      <c r="CU352" s="179"/>
      <c r="CV352" s="179"/>
      <c r="CW352" s="179"/>
    </row>
    <row r="353" spans="1:101" x14ac:dyDescent="0.2">
      <c r="A353" s="32" t="str">
        <f t="shared" ca="1" si="5"/>
        <v>2026-03-21</v>
      </c>
      <c r="B353" s="179">
        <f ca="1">IF(ISNUMBER(MATCH(DATEVALUE($A353),'changes1_based on steps'!B$1:B$400,0)),B$2,)</f>
        <v>0</v>
      </c>
      <c r="C353" s="179">
        <f ca="1">IF(ISNUMBER(MATCH(DATEVALUE($A353),'changes1_based on steps'!C$1:C$400,0)),C$2,)</f>
        <v>0</v>
      </c>
      <c r="D353" s="179">
        <f ca="1">IF(ISNUMBER(MATCH(DATEVALUE($A353),'changes1_based on steps'!D$1:D$400,0)),D$2,)</f>
        <v>0</v>
      </c>
      <c r="E353" s="179">
        <f ca="1">IF(ISNUMBER(MATCH(DATEVALUE($A353),'changes1_based on steps'!E$1:E$400,0)),E$2,)</f>
        <v>0</v>
      </c>
      <c r="F353" s="179">
        <f ca="1">IF(ISNUMBER(MATCH(DATEVALUE($A353),'changes1_based on steps'!F$1:F$400,0)),F$2,)</f>
        <v>0</v>
      </c>
      <c r="G353" s="179">
        <f ca="1">IF(ISNUMBER(MATCH(DATEVALUE($A353),'changes1_based on steps'!G$1:G$400,0)),G$2,)</f>
        <v>0</v>
      </c>
      <c r="H353" s="179">
        <f ca="1">IF(ISNUMBER(MATCH(DATEVALUE($A353),'changes1_based on steps'!H$1:H$400,0)),H$2,)</f>
        <v>0</v>
      </c>
      <c r="I353" s="179">
        <f ca="1">IF(ISNUMBER(MATCH(DATEVALUE($A353),'changes1_based on steps'!I$1:I$400,0)),I$2,)</f>
        <v>0</v>
      </c>
      <c r="J353" s="179">
        <f ca="1">IF(ISNUMBER(MATCH(DATEVALUE($A353),'changes1_based on steps'!J$1:J$400,0)),J$2,)</f>
        <v>0</v>
      </c>
      <c r="K353" s="179">
        <f ca="1">IF(ISNUMBER(MATCH(DATEVALUE($A353),'changes1_based on steps'!K$1:K$400,0)),K$2,)</f>
        <v>0</v>
      </c>
      <c r="L353" s="179">
        <f ca="1">IF(ISNUMBER(MATCH(DATEVALUE($A353),'changes1_based on steps'!L$1:L$400,0)),L$2,)</f>
        <v>0</v>
      </c>
      <c r="M353" s="179">
        <f ca="1">IF(ISNUMBER(MATCH(DATEVALUE($A353),'changes1_based on steps'!M$1:M$400,0)),M$2,)</f>
        <v>0</v>
      </c>
      <c r="N353" s="179">
        <f ca="1">IF(ISNUMBER(MATCH(DATEVALUE($A353),'changes1_based on steps'!N$1:N$400,0)),N$2,)</f>
        <v>0</v>
      </c>
      <c r="O353" s="179">
        <f ca="1">IF(ISNUMBER(MATCH(DATEVALUE($A353),'changes1_based on steps'!O$1:O$400,0)),O$2,)</f>
        <v>0</v>
      </c>
      <c r="P353" s="179">
        <f ca="1">IF(ISNUMBER(MATCH(DATEVALUE($A353),'changes1_based on steps'!P$1:P$400,0)),P$2,)</f>
        <v>0</v>
      </c>
      <c r="Q353" s="179">
        <f ca="1">IF(ISNUMBER(MATCH(DATEVALUE($A353),'changes1_based on steps'!Q$1:Q$400,0)),Q$2,)</f>
        <v>0</v>
      </c>
      <c r="R353" s="179">
        <f ca="1">IF(ISNUMBER(MATCH(DATEVALUE($A353),'changes1_based on steps'!R$1:R$400,0)),R$2,)</f>
        <v>0</v>
      </c>
      <c r="S353" s="179">
        <f ca="1">IF(ISNUMBER(MATCH(DATEVALUE($A353),'changes1_based on steps'!S$1:S$400,0)),S$2,)</f>
        <v>0</v>
      </c>
      <c r="T353" s="179">
        <f ca="1">IF(ISNUMBER(MATCH(DATEVALUE($A353),'changes1_based on steps'!T$1:T$400,0)),T$2,)</f>
        <v>0</v>
      </c>
      <c r="U353" s="179">
        <f ca="1">IF(ISNUMBER(MATCH(DATEVALUE($A353),'changes1_based on steps'!U$1:U$400,0)),U$2,)</f>
        <v>0</v>
      </c>
      <c r="V353" s="179"/>
      <c r="W353" s="179"/>
      <c r="X353" s="179"/>
      <c r="Y353" s="179"/>
      <c r="Z353" s="179"/>
      <c r="AA353" s="179"/>
      <c r="AB353" s="179"/>
      <c r="AC353" s="179"/>
      <c r="AD353" s="179"/>
      <c r="AE353" s="179"/>
      <c r="AF353" s="179"/>
      <c r="AG353" s="179"/>
      <c r="AH353" s="179"/>
      <c r="AI353" s="179"/>
      <c r="AJ353" s="179"/>
      <c r="AK353" s="179"/>
      <c r="AL353" s="179"/>
      <c r="AM353" s="179"/>
      <c r="AN353" s="179"/>
      <c r="AO353" s="179"/>
      <c r="AP353" s="179"/>
      <c r="AQ353" s="179"/>
      <c r="AR353" s="179"/>
      <c r="AS353" s="179"/>
      <c r="AT353" s="179"/>
      <c r="AU353" s="179"/>
      <c r="AV353" s="179"/>
      <c r="AW353" s="179"/>
      <c r="AX353" s="179"/>
      <c r="AY353" s="179"/>
      <c r="AZ353" s="179"/>
      <c r="BA353" s="179"/>
      <c r="BB353" s="179"/>
      <c r="BC353" s="179"/>
      <c r="BD353" s="179"/>
      <c r="BE353" s="179"/>
      <c r="BF353" s="179"/>
      <c r="BG353" s="179"/>
      <c r="BH353" s="179"/>
      <c r="BI353" s="179"/>
      <c r="BJ353" s="179"/>
      <c r="BK353" s="179"/>
      <c r="BL353" s="179"/>
      <c r="BM353" s="179"/>
      <c r="BN353" s="179"/>
      <c r="BO353" s="179"/>
      <c r="BP353" s="179"/>
      <c r="BQ353" s="179"/>
      <c r="BR353" s="179"/>
      <c r="BS353" s="179"/>
      <c r="BT353" s="179"/>
      <c r="BU353" s="179"/>
      <c r="BV353" s="179"/>
      <c r="BW353" s="179"/>
      <c r="BX353" s="179"/>
      <c r="BY353" s="179"/>
      <c r="BZ353" s="179"/>
      <c r="CA353" s="179"/>
      <c r="CB353" s="179"/>
      <c r="CC353" s="179"/>
      <c r="CD353" s="179"/>
      <c r="CE353" s="179"/>
      <c r="CF353" s="179"/>
      <c r="CG353" s="179"/>
      <c r="CH353" s="179"/>
      <c r="CI353" s="179"/>
      <c r="CJ353" s="179"/>
      <c r="CK353" s="179"/>
      <c r="CL353" s="179"/>
      <c r="CM353" s="179"/>
      <c r="CN353" s="179"/>
      <c r="CO353" s="179"/>
      <c r="CP353" s="179"/>
      <c r="CQ353" s="179"/>
      <c r="CR353" s="179"/>
      <c r="CS353" s="179"/>
      <c r="CT353" s="179"/>
      <c r="CU353" s="179"/>
      <c r="CV353" s="179"/>
      <c r="CW353" s="179"/>
    </row>
    <row r="354" spans="1:101" x14ac:dyDescent="0.2">
      <c r="A354" s="32" t="str">
        <f t="shared" ca="1" si="5"/>
        <v>2026-03-22</v>
      </c>
      <c r="B354" s="179">
        <f ca="1">IF(ISNUMBER(MATCH(DATEVALUE($A354),'changes1_based on steps'!B$1:B$400,0)),B$2,)</f>
        <v>0</v>
      </c>
      <c r="C354" s="179">
        <f ca="1">IF(ISNUMBER(MATCH(DATEVALUE($A354),'changes1_based on steps'!C$1:C$400,0)),C$2,)</f>
        <v>0</v>
      </c>
      <c r="D354" s="179">
        <f ca="1">IF(ISNUMBER(MATCH(DATEVALUE($A354),'changes1_based on steps'!D$1:D$400,0)),D$2,)</f>
        <v>0</v>
      </c>
      <c r="E354" s="179">
        <f ca="1">IF(ISNUMBER(MATCH(DATEVALUE($A354),'changes1_based on steps'!E$1:E$400,0)),E$2,)</f>
        <v>0</v>
      </c>
      <c r="F354" s="179">
        <f ca="1">IF(ISNUMBER(MATCH(DATEVALUE($A354),'changes1_based on steps'!F$1:F$400,0)),F$2,)</f>
        <v>0</v>
      </c>
      <c r="G354" s="179">
        <f ca="1">IF(ISNUMBER(MATCH(DATEVALUE($A354),'changes1_based on steps'!G$1:G$400,0)),G$2,)</f>
        <v>0</v>
      </c>
      <c r="H354" s="179">
        <f ca="1">IF(ISNUMBER(MATCH(DATEVALUE($A354),'changes1_based on steps'!H$1:H$400,0)),H$2,)</f>
        <v>0</v>
      </c>
      <c r="I354" s="179">
        <f ca="1">IF(ISNUMBER(MATCH(DATEVALUE($A354),'changes1_based on steps'!I$1:I$400,0)),I$2,)</f>
        <v>0</v>
      </c>
      <c r="J354" s="179">
        <f ca="1">IF(ISNUMBER(MATCH(DATEVALUE($A354),'changes1_based on steps'!J$1:J$400,0)),J$2,)</f>
        <v>0</v>
      </c>
      <c r="K354" s="179">
        <f ca="1">IF(ISNUMBER(MATCH(DATEVALUE($A354),'changes1_based on steps'!K$1:K$400,0)),K$2,)</f>
        <v>0</v>
      </c>
      <c r="L354" s="179">
        <f ca="1">IF(ISNUMBER(MATCH(DATEVALUE($A354),'changes1_based on steps'!L$1:L$400,0)),L$2,)</f>
        <v>0</v>
      </c>
      <c r="M354" s="179">
        <f ca="1">IF(ISNUMBER(MATCH(DATEVALUE($A354),'changes1_based on steps'!M$1:M$400,0)),M$2,)</f>
        <v>0</v>
      </c>
      <c r="N354" s="179">
        <f ca="1">IF(ISNUMBER(MATCH(DATEVALUE($A354),'changes1_based on steps'!N$1:N$400,0)),N$2,)</f>
        <v>0</v>
      </c>
      <c r="O354" s="179">
        <f ca="1">IF(ISNUMBER(MATCH(DATEVALUE($A354),'changes1_based on steps'!O$1:O$400,0)),O$2,)</f>
        <v>0</v>
      </c>
      <c r="P354" s="179">
        <f ca="1">IF(ISNUMBER(MATCH(DATEVALUE($A354),'changes1_based on steps'!P$1:P$400,0)),P$2,)</f>
        <v>0</v>
      </c>
      <c r="Q354" s="179">
        <f ca="1">IF(ISNUMBER(MATCH(DATEVALUE($A354),'changes1_based on steps'!Q$1:Q$400,0)),Q$2,)</f>
        <v>0</v>
      </c>
      <c r="R354" s="179">
        <f ca="1">IF(ISNUMBER(MATCH(DATEVALUE($A354),'changes1_based on steps'!R$1:R$400,0)),R$2,)</f>
        <v>0</v>
      </c>
      <c r="S354" s="179">
        <f ca="1">IF(ISNUMBER(MATCH(DATEVALUE($A354),'changes1_based on steps'!S$1:S$400,0)),S$2,)</f>
        <v>0</v>
      </c>
      <c r="T354" s="179">
        <f ca="1">IF(ISNUMBER(MATCH(DATEVALUE($A354),'changes1_based on steps'!T$1:T$400,0)),T$2,)</f>
        <v>0</v>
      </c>
      <c r="U354" s="179">
        <f ca="1">IF(ISNUMBER(MATCH(DATEVALUE($A354),'changes1_based on steps'!U$1:U$400,0)),U$2,)</f>
        <v>0</v>
      </c>
      <c r="V354" s="179"/>
      <c r="W354" s="179"/>
      <c r="X354" s="179"/>
      <c r="Y354" s="179"/>
      <c r="Z354" s="179"/>
      <c r="AA354" s="179"/>
      <c r="AB354" s="179"/>
      <c r="AC354" s="179"/>
      <c r="AD354" s="179"/>
      <c r="AE354" s="179"/>
      <c r="AF354" s="179"/>
      <c r="AG354" s="179"/>
      <c r="AH354" s="179"/>
      <c r="AI354" s="179"/>
      <c r="AJ354" s="179"/>
      <c r="AK354" s="179"/>
      <c r="AL354" s="179"/>
      <c r="AM354" s="179"/>
      <c r="AN354" s="179"/>
      <c r="AO354" s="179"/>
      <c r="AP354" s="179"/>
      <c r="AQ354" s="179"/>
      <c r="AR354" s="179"/>
      <c r="AS354" s="179"/>
      <c r="AT354" s="179"/>
      <c r="AU354" s="179"/>
      <c r="AV354" s="179"/>
      <c r="AW354" s="179"/>
      <c r="AX354" s="179"/>
      <c r="AY354" s="179"/>
      <c r="AZ354" s="179"/>
      <c r="BA354" s="179"/>
      <c r="BB354" s="179"/>
      <c r="BC354" s="179"/>
      <c r="BD354" s="179"/>
      <c r="BE354" s="179"/>
      <c r="BF354" s="179"/>
      <c r="BG354" s="179"/>
      <c r="BH354" s="179"/>
      <c r="BI354" s="179"/>
      <c r="BJ354" s="179"/>
      <c r="BK354" s="179"/>
      <c r="BL354" s="179"/>
      <c r="BM354" s="179"/>
      <c r="BN354" s="179"/>
      <c r="BO354" s="179"/>
      <c r="BP354" s="179"/>
      <c r="BQ354" s="179"/>
      <c r="BR354" s="179"/>
      <c r="BS354" s="179"/>
      <c r="BT354" s="179"/>
      <c r="BU354" s="179"/>
      <c r="BV354" s="179"/>
      <c r="BW354" s="179"/>
      <c r="BX354" s="179"/>
      <c r="BY354" s="179"/>
      <c r="BZ354" s="179"/>
      <c r="CA354" s="179"/>
      <c r="CB354" s="179"/>
      <c r="CC354" s="179"/>
      <c r="CD354" s="179"/>
      <c r="CE354" s="179"/>
      <c r="CF354" s="179"/>
      <c r="CG354" s="179"/>
      <c r="CH354" s="179"/>
      <c r="CI354" s="179"/>
      <c r="CJ354" s="179"/>
      <c r="CK354" s="179"/>
      <c r="CL354" s="179"/>
      <c r="CM354" s="179"/>
      <c r="CN354" s="179"/>
      <c r="CO354" s="179"/>
      <c r="CP354" s="179"/>
      <c r="CQ354" s="179"/>
      <c r="CR354" s="179"/>
      <c r="CS354" s="179"/>
      <c r="CT354" s="179"/>
      <c r="CU354" s="179"/>
      <c r="CV354" s="179"/>
      <c r="CW354" s="179"/>
    </row>
    <row r="355" spans="1:101" x14ac:dyDescent="0.2">
      <c r="A355" s="32" t="str">
        <f t="shared" ca="1" si="5"/>
        <v>2026-03-23</v>
      </c>
      <c r="B355" s="179">
        <f ca="1">IF(ISNUMBER(MATCH(DATEVALUE($A355),'changes1_based on steps'!B$1:B$400,0)),B$2,)</f>
        <v>0</v>
      </c>
      <c r="C355" s="179">
        <f ca="1">IF(ISNUMBER(MATCH(DATEVALUE($A355),'changes1_based on steps'!C$1:C$400,0)),C$2,)</f>
        <v>0</v>
      </c>
      <c r="D355" s="179">
        <f ca="1">IF(ISNUMBER(MATCH(DATEVALUE($A355),'changes1_based on steps'!D$1:D$400,0)),D$2,)</f>
        <v>0</v>
      </c>
      <c r="E355" s="179">
        <f ca="1">IF(ISNUMBER(MATCH(DATEVALUE($A355),'changes1_based on steps'!E$1:E$400,0)),E$2,)</f>
        <v>0</v>
      </c>
      <c r="F355" s="179">
        <f ca="1">IF(ISNUMBER(MATCH(DATEVALUE($A355),'changes1_based on steps'!F$1:F$400,0)),F$2,)</f>
        <v>0</v>
      </c>
      <c r="G355" s="179">
        <f ca="1">IF(ISNUMBER(MATCH(DATEVALUE($A355),'changes1_based on steps'!G$1:G$400,0)),G$2,)</f>
        <v>0</v>
      </c>
      <c r="H355" s="179">
        <f ca="1">IF(ISNUMBER(MATCH(DATEVALUE($A355),'changes1_based on steps'!H$1:H$400,0)),H$2,)</f>
        <v>0</v>
      </c>
      <c r="I355" s="179">
        <f ca="1">IF(ISNUMBER(MATCH(DATEVALUE($A355),'changes1_based on steps'!I$1:I$400,0)),I$2,)</f>
        <v>0</v>
      </c>
      <c r="J355" s="179">
        <f ca="1">IF(ISNUMBER(MATCH(DATEVALUE($A355),'changes1_based on steps'!J$1:J$400,0)),J$2,)</f>
        <v>0</v>
      </c>
      <c r="K355" s="179">
        <f ca="1">IF(ISNUMBER(MATCH(DATEVALUE($A355),'changes1_based on steps'!K$1:K$400,0)),K$2,)</f>
        <v>0</v>
      </c>
      <c r="L355" s="179">
        <f ca="1">IF(ISNUMBER(MATCH(DATEVALUE($A355),'changes1_based on steps'!L$1:L$400,0)),L$2,)</f>
        <v>0</v>
      </c>
      <c r="M355" s="179">
        <f ca="1">IF(ISNUMBER(MATCH(DATEVALUE($A355),'changes1_based on steps'!M$1:M$400,0)),M$2,)</f>
        <v>0</v>
      </c>
      <c r="N355" s="179">
        <f ca="1">IF(ISNUMBER(MATCH(DATEVALUE($A355),'changes1_based on steps'!N$1:N$400,0)),N$2,)</f>
        <v>0</v>
      </c>
      <c r="O355" s="179">
        <f ca="1">IF(ISNUMBER(MATCH(DATEVALUE($A355),'changes1_based on steps'!O$1:O$400,0)),O$2,)</f>
        <v>0</v>
      </c>
      <c r="P355" s="179">
        <f ca="1">IF(ISNUMBER(MATCH(DATEVALUE($A355),'changes1_based on steps'!P$1:P$400,0)),P$2,)</f>
        <v>0</v>
      </c>
      <c r="Q355" s="179">
        <f ca="1">IF(ISNUMBER(MATCH(DATEVALUE($A355),'changes1_based on steps'!Q$1:Q$400,0)),Q$2,)</f>
        <v>0</v>
      </c>
      <c r="R355" s="179">
        <f ca="1">IF(ISNUMBER(MATCH(DATEVALUE($A355),'changes1_based on steps'!R$1:R$400,0)),R$2,)</f>
        <v>0</v>
      </c>
      <c r="S355" s="179">
        <f ca="1">IF(ISNUMBER(MATCH(DATEVALUE($A355),'changes1_based on steps'!S$1:S$400,0)),S$2,)</f>
        <v>0</v>
      </c>
      <c r="T355" s="179">
        <f ca="1">IF(ISNUMBER(MATCH(DATEVALUE($A355),'changes1_based on steps'!T$1:T$400,0)),T$2,)</f>
        <v>0</v>
      </c>
      <c r="U355" s="179">
        <f ca="1">IF(ISNUMBER(MATCH(DATEVALUE($A355),'changes1_based on steps'!U$1:U$400,0)),U$2,)</f>
        <v>0</v>
      </c>
      <c r="V355" s="179"/>
      <c r="W355" s="179"/>
      <c r="X355" s="179"/>
      <c r="Y355" s="179"/>
      <c r="Z355" s="179"/>
      <c r="AA355" s="179"/>
      <c r="AB355" s="179"/>
      <c r="AC355" s="179"/>
      <c r="AD355" s="179"/>
      <c r="AE355" s="179"/>
      <c r="AF355" s="179"/>
      <c r="AG355" s="179"/>
      <c r="AH355" s="179"/>
      <c r="AI355" s="179"/>
      <c r="AJ355" s="179"/>
      <c r="AK355" s="179"/>
      <c r="AL355" s="179"/>
      <c r="AM355" s="179"/>
      <c r="AN355" s="179"/>
      <c r="AO355" s="179"/>
      <c r="AP355" s="179"/>
      <c r="AQ355" s="179"/>
      <c r="AR355" s="179"/>
      <c r="AS355" s="179"/>
      <c r="AT355" s="179"/>
      <c r="AU355" s="179"/>
      <c r="AV355" s="179"/>
      <c r="AW355" s="179"/>
      <c r="AX355" s="179"/>
      <c r="AY355" s="179"/>
      <c r="AZ355" s="179"/>
      <c r="BA355" s="179"/>
      <c r="BB355" s="179"/>
      <c r="BC355" s="179"/>
      <c r="BD355" s="179"/>
      <c r="BE355" s="179"/>
      <c r="BF355" s="179"/>
      <c r="BG355" s="179"/>
      <c r="BH355" s="179"/>
      <c r="BI355" s="179"/>
      <c r="BJ355" s="179"/>
      <c r="BK355" s="179"/>
      <c r="BL355" s="179"/>
      <c r="BM355" s="179"/>
      <c r="BN355" s="179"/>
      <c r="BO355" s="179"/>
      <c r="BP355" s="179"/>
      <c r="BQ355" s="179"/>
      <c r="BR355" s="179"/>
      <c r="BS355" s="179"/>
      <c r="BT355" s="179"/>
      <c r="BU355" s="179"/>
      <c r="BV355" s="179"/>
      <c r="BW355" s="179"/>
      <c r="BX355" s="179"/>
      <c r="BY355" s="179"/>
      <c r="BZ355" s="179"/>
      <c r="CA355" s="179"/>
      <c r="CB355" s="179"/>
      <c r="CC355" s="179"/>
      <c r="CD355" s="179"/>
      <c r="CE355" s="179"/>
      <c r="CF355" s="179"/>
      <c r="CG355" s="179"/>
      <c r="CH355" s="179"/>
      <c r="CI355" s="179"/>
      <c r="CJ355" s="179"/>
      <c r="CK355" s="179"/>
      <c r="CL355" s="179"/>
      <c r="CM355" s="179"/>
      <c r="CN355" s="179"/>
      <c r="CO355" s="179"/>
      <c r="CP355" s="179"/>
      <c r="CQ355" s="179"/>
      <c r="CR355" s="179"/>
      <c r="CS355" s="179"/>
      <c r="CT355" s="179"/>
      <c r="CU355" s="179"/>
      <c r="CV355" s="179"/>
      <c r="CW355" s="179"/>
    </row>
    <row r="356" spans="1:101" x14ac:dyDescent="0.2">
      <c r="A356" s="32" t="str">
        <f t="shared" ca="1" si="5"/>
        <v>2026-03-24</v>
      </c>
      <c r="B356" s="179">
        <f ca="1">IF(ISNUMBER(MATCH(DATEVALUE($A356),'changes1_based on steps'!B$1:B$400,0)),B$2,)</f>
        <v>0</v>
      </c>
      <c r="C356" s="179">
        <f ca="1">IF(ISNUMBER(MATCH(DATEVALUE($A356),'changes1_based on steps'!C$1:C$400,0)),C$2,)</f>
        <v>0</v>
      </c>
      <c r="D356" s="179">
        <f ca="1">IF(ISNUMBER(MATCH(DATEVALUE($A356),'changes1_based on steps'!D$1:D$400,0)),D$2,)</f>
        <v>0</v>
      </c>
      <c r="E356" s="179">
        <f ca="1">IF(ISNUMBER(MATCH(DATEVALUE($A356),'changes1_based on steps'!E$1:E$400,0)),E$2,)</f>
        <v>0</v>
      </c>
      <c r="F356" s="179">
        <f ca="1">IF(ISNUMBER(MATCH(DATEVALUE($A356),'changes1_based on steps'!F$1:F$400,0)),F$2,)</f>
        <v>0</v>
      </c>
      <c r="G356" s="179">
        <f ca="1">IF(ISNUMBER(MATCH(DATEVALUE($A356),'changes1_based on steps'!G$1:G$400,0)),G$2,)</f>
        <v>0</v>
      </c>
      <c r="H356" s="179">
        <f ca="1">IF(ISNUMBER(MATCH(DATEVALUE($A356),'changes1_based on steps'!H$1:H$400,0)),H$2,)</f>
        <v>0</v>
      </c>
      <c r="I356" s="179">
        <f ca="1">IF(ISNUMBER(MATCH(DATEVALUE($A356),'changes1_based on steps'!I$1:I$400,0)),I$2,)</f>
        <v>0</v>
      </c>
      <c r="J356" s="179">
        <f ca="1">IF(ISNUMBER(MATCH(DATEVALUE($A356),'changes1_based on steps'!J$1:J$400,0)),J$2,)</f>
        <v>0</v>
      </c>
      <c r="K356" s="179">
        <f ca="1">IF(ISNUMBER(MATCH(DATEVALUE($A356),'changes1_based on steps'!K$1:K$400,0)),K$2,)</f>
        <v>0</v>
      </c>
      <c r="L356" s="179">
        <f ca="1">IF(ISNUMBER(MATCH(DATEVALUE($A356),'changes1_based on steps'!L$1:L$400,0)),L$2,)</f>
        <v>0</v>
      </c>
      <c r="M356" s="179">
        <f ca="1">IF(ISNUMBER(MATCH(DATEVALUE($A356),'changes1_based on steps'!M$1:M$400,0)),M$2,)</f>
        <v>0</v>
      </c>
      <c r="N356" s="179">
        <f ca="1">IF(ISNUMBER(MATCH(DATEVALUE($A356),'changes1_based on steps'!N$1:N$400,0)),N$2,)</f>
        <v>0</v>
      </c>
      <c r="O356" s="179">
        <f ca="1">IF(ISNUMBER(MATCH(DATEVALUE($A356),'changes1_based on steps'!O$1:O$400,0)),O$2,)</f>
        <v>0</v>
      </c>
      <c r="P356" s="179">
        <f ca="1">IF(ISNUMBER(MATCH(DATEVALUE($A356),'changes1_based on steps'!P$1:P$400,0)),P$2,)</f>
        <v>0</v>
      </c>
      <c r="Q356" s="179">
        <f ca="1">IF(ISNUMBER(MATCH(DATEVALUE($A356),'changes1_based on steps'!Q$1:Q$400,0)),Q$2,)</f>
        <v>0</v>
      </c>
      <c r="R356" s="179">
        <f ca="1">IF(ISNUMBER(MATCH(DATEVALUE($A356),'changes1_based on steps'!R$1:R$400,0)),R$2,)</f>
        <v>0</v>
      </c>
      <c r="S356" s="179">
        <f ca="1">IF(ISNUMBER(MATCH(DATEVALUE($A356),'changes1_based on steps'!S$1:S$400,0)),S$2,)</f>
        <v>0</v>
      </c>
      <c r="T356" s="179">
        <f ca="1">IF(ISNUMBER(MATCH(DATEVALUE($A356),'changes1_based on steps'!T$1:T$400,0)),T$2,)</f>
        <v>0</v>
      </c>
      <c r="U356" s="179">
        <f ca="1">IF(ISNUMBER(MATCH(DATEVALUE($A356),'changes1_based on steps'!U$1:U$400,0)),U$2,)</f>
        <v>0</v>
      </c>
      <c r="V356" s="179"/>
      <c r="W356" s="179"/>
      <c r="X356" s="179"/>
      <c r="Y356" s="179"/>
      <c r="Z356" s="179"/>
      <c r="AA356" s="179"/>
      <c r="AB356" s="179"/>
      <c r="AC356" s="179"/>
      <c r="AD356" s="179"/>
      <c r="AE356" s="179"/>
      <c r="AF356" s="179"/>
      <c r="AG356" s="179"/>
      <c r="AH356" s="179"/>
      <c r="AI356" s="179"/>
      <c r="AJ356" s="179"/>
      <c r="AK356" s="179"/>
      <c r="AL356" s="179"/>
      <c r="AM356" s="179"/>
      <c r="AN356" s="179"/>
      <c r="AO356" s="179"/>
      <c r="AP356" s="179"/>
      <c r="AQ356" s="179"/>
      <c r="AR356" s="179"/>
      <c r="AS356" s="179"/>
      <c r="AT356" s="179"/>
      <c r="AU356" s="179"/>
      <c r="AV356" s="179"/>
      <c r="AW356" s="179"/>
      <c r="AX356" s="179"/>
      <c r="AY356" s="179"/>
      <c r="AZ356" s="179"/>
      <c r="BA356" s="179"/>
      <c r="BB356" s="179"/>
      <c r="BC356" s="179"/>
      <c r="BD356" s="179"/>
      <c r="BE356" s="179"/>
      <c r="BF356" s="179"/>
      <c r="BG356" s="179"/>
      <c r="BH356" s="179"/>
      <c r="BI356" s="179"/>
      <c r="BJ356" s="179"/>
      <c r="BK356" s="179"/>
      <c r="BL356" s="179"/>
      <c r="BM356" s="179"/>
      <c r="BN356" s="179"/>
      <c r="BO356" s="179"/>
      <c r="BP356" s="179"/>
      <c r="BQ356" s="179"/>
      <c r="BR356" s="179"/>
      <c r="BS356" s="179"/>
      <c r="BT356" s="179"/>
      <c r="BU356" s="179"/>
      <c r="BV356" s="179"/>
      <c r="BW356" s="179"/>
      <c r="BX356" s="179"/>
      <c r="BY356" s="179"/>
      <c r="BZ356" s="179"/>
      <c r="CA356" s="179"/>
      <c r="CB356" s="179"/>
      <c r="CC356" s="179"/>
      <c r="CD356" s="179"/>
      <c r="CE356" s="179"/>
      <c r="CF356" s="179"/>
      <c r="CG356" s="179"/>
      <c r="CH356" s="179"/>
      <c r="CI356" s="179"/>
      <c r="CJ356" s="179"/>
      <c r="CK356" s="179"/>
      <c r="CL356" s="179"/>
      <c r="CM356" s="179"/>
      <c r="CN356" s="179"/>
      <c r="CO356" s="179"/>
      <c r="CP356" s="179"/>
      <c r="CQ356" s="179"/>
      <c r="CR356" s="179"/>
      <c r="CS356" s="179"/>
      <c r="CT356" s="179"/>
      <c r="CU356" s="179"/>
      <c r="CV356" s="179"/>
      <c r="CW356" s="179"/>
    </row>
    <row r="357" spans="1:101" x14ac:dyDescent="0.2">
      <c r="A357" s="32" t="str">
        <f t="shared" ca="1" si="5"/>
        <v>2026-03-25</v>
      </c>
      <c r="B357" s="179">
        <f ca="1">IF(ISNUMBER(MATCH(DATEVALUE($A357),'changes1_based on steps'!B$1:B$400,0)),B$2,)</f>
        <v>0</v>
      </c>
      <c r="C357" s="179">
        <f ca="1">IF(ISNUMBER(MATCH(DATEVALUE($A357),'changes1_based on steps'!C$1:C$400,0)),C$2,)</f>
        <v>0</v>
      </c>
      <c r="D357" s="179">
        <f ca="1">IF(ISNUMBER(MATCH(DATEVALUE($A357),'changes1_based on steps'!D$1:D$400,0)),D$2,)</f>
        <v>0</v>
      </c>
      <c r="E357" s="179">
        <f ca="1">IF(ISNUMBER(MATCH(DATEVALUE($A357),'changes1_based on steps'!E$1:E$400,0)),E$2,)</f>
        <v>0</v>
      </c>
      <c r="F357" s="179">
        <f ca="1">IF(ISNUMBER(MATCH(DATEVALUE($A357),'changes1_based on steps'!F$1:F$400,0)),F$2,)</f>
        <v>0</v>
      </c>
      <c r="G357" s="179">
        <f ca="1">IF(ISNUMBER(MATCH(DATEVALUE($A357),'changes1_based on steps'!G$1:G$400,0)),G$2,)</f>
        <v>0</v>
      </c>
      <c r="H357" s="179">
        <f ca="1">IF(ISNUMBER(MATCH(DATEVALUE($A357),'changes1_based on steps'!H$1:H$400,0)),H$2,)</f>
        <v>0</v>
      </c>
      <c r="I357" s="179">
        <f ca="1">IF(ISNUMBER(MATCH(DATEVALUE($A357),'changes1_based on steps'!I$1:I$400,0)),I$2,)</f>
        <v>0</v>
      </c>
      <c r="J357" s="179">
        <f ca="1">IF(ISNUMBER(MATCH(DATEVALUE($A357),'changes1_based on steps'!J$1:J$400,0)),J$2,)</f>
        <v>0</v>
      </c>
      <c r="K357" s="179">
        <f ca="1">IF(ISNUMBER(MATCH(DATEVALUE($A357),'changes1_based on steps'!K$1:K$400,0)),K$2,)</f>
        <v>0</v>
      </c>
      <c r="L357" s="179">
        <f ca="1">IF(ISNUMBER(MATCH(DATEVALUE($A357),'changes1_based on steps'!L$1:L$400,0)),L$2,)</f>
        <v>0</v>
      </c>
      <c r="M357" s="179">
        <f ca="1">IF(ISNUMBER(MATCH(DATEVALUE($A357),'changes1_based on steps'!M$1:M$400,0)),M$2,)</f>
        <v>0</v>
      </c>
      <c r="N357" s="179">
        <f ca="1">IF(ISNUMBER(MATCH(DATEVALUE($A357),'changes1_based on steps'!N$1:N$400,0)),N$2,)</f>
        <v>0</v>
      </c>
      <c r="O357" s="179">
        <f ca="1">IF(ISNUMBER(MATCH(DATEVALUE($A357),'changes1_based on steps'!O$1:O$400,0)),O$2,)</f>
        <v>0</v>
      </c>
      <c r="P357" s="179">
        <f ca="1">IF(ISNUMBER(MATCH(DATEVALUE($A357),'changes1_based on steps'!P$1:P$400,0)),P$2,)</f>
        <v>0</v>
      </c>
      <c r="Q357" s="179">
        <f ca="1">IF(ISNUMBER(MATCH(DATEVALUE($A357),'changes1_based on steps'!Q$1:Q$400,0)),Q$2,)</f>
        <v>0</v>
      </c>
      <c r="R357" s="179">
        <f ca="1">IF(ISNUMBER(MATCH(DATEVALUE($A357),'changes1_based on steps'!R$1:R$400,0)),R$2,)</f>
        <v>0</v>
      </c>
      <c r="S357" s="179">
        <f ca="1">IF(ISNUMBER(MATCH(DATEVALUE($A357),'changes1_based on steps'!S$1:S$400,0)),S$2,)</f>
        <v>0</v>
      </c>
      <c r="T357" s="179">
        <f ca="1">IF(ISNUMBER(MATCH(DATEVALUE($A357),'changes1_based on steps'!T$1:T$400,0)),T$2,)</f>
        <v>0</v>
      </c>
      <c r="U357" s="179">
        <f ca="1">IF(ISNUMBER(MATCH(DATEVALUE($A357),'changes1_based on steps'!U$1:U$400,0)),U$2,)</f>
        <v>0</v>
      </c>
      <c r="V357" s="179"/>
      <c r="W357" s="179"/>
      <c r="X357" s="179"/>
      <c r="Y357" s="179"/>
      <c r="Z357" s="179"/>
      <c r="AA357" s="179"/>
      <c r="AB357" s="179"/>
      <c r="AC357" s="179"/>
      <c r="AD357" s="179"/>
      <c r="AE357" s="179"/>
      <c r="AF357" s="179"/>
      <c r="AG357" s="179"/>
      <c r="AH357" s="179"/>
      <c r="AI357" s="179"/>
      <c r="AJ357" s="179"/>
      <c r="AK357" s="179"/>
      <c r="AL357" s="179"/>
      <c r="AM357" s="179"/>
      <c r="AN357" s="179"/>
      <c r="AO357" s="179"/>
      <c r="AP357" s="179"/>
      <c r="AQ357" s="179"/>
      <c r="AR357" s="179"/>
      <c r="AS357" s="179"/>
      <c r="AT357" s="179"/>
      <c r="AU357" s="179"/>
      <c r="AV357" s="179"/>
      <c r="AW357" s="179"/>
      <c r="AX357" s="179"/>
      <c r="AY357" s="179"/>
      <c r="AZ357" s="179"/>
      <c r="BA357" s="179"/>
      <c r="BB357" s="179"/>
      <c r="BC357" s="179"/>
      <c r="BD357" s="179"/>
      <c r="BE357" s="179"/>
      <c r="BF357" s="179"/>
      <c r="BG357" s="179"/>
      <c r="BH357" s="179"/>
      <c r="BI357" s="179"/>
      <c r="BJ357" s="179"/>
      <c r="BK357" s="179"/>
      <c r="BL357" s="179"/>
      <c r="BM357" s="179"/>
      <c r="BN357" s="179"/>
      <c r="BO357" s="179"/>
      <c r="BP357" s="179"/>
      <c r="BQ357" s="179"/>
      <c r="BR357" s="179"/>
      <c r="BS357" s="179"/>
      <c r="BT357" s="179"/>
      <c r="BU357" s="179"/>
      <c r="BV357" s="179"/>
      <c r="BW357" s="179"/>
      <c r="BX357" s="179"/>
      <c r="BY357" s="179"/>
      <c r="BZ357" s="179"/>
      <c r="CA357" s="179"/>
      <c r="CB357" s="179"/>
      <c r="CC357" s="179"/>
      <c r="CD357" s="179"/>
      <c r="CE357" s="179"/>
      <c r="CF357" s="179"/>
      <c r="CG357" s="179"/>
      <c r="CH357" s="179"/>
      <c r="CI357" s="179"/>
      <c r="CJ357" s="179"/>
      <c r="CK357" s="179"/>
      <c r="CL357" s="179"/>
      <c r="CM357" s="179"/>
      <c r="CN357" s="179"/>
      <c r="CO357" s="179"/>
      <c r="CP357" s="179"/>
      <c r="CQ357" s="179"/>
      <c r="CR357" s="179"/>
      <c r="CS357" s="179"/>
      <c r="CT357" s="179"/>
      <c r="CU357" s="179"/>
      <c r="CV357" s="179"/>
      <c r="CW357" s="179"/>
    </row>
    <row r="358" spans="1:101" x14ac:dyDescent="0.2">
      <c r="A358" s="32" t="str">
        <f t="shared" ca="1" si="5"/>
        <v>2026-03-26</v>
      </c>
      <c r="B358" s="179">
        <f ca="1">IF(ISNUMBER(MATCH(DATEVALUE($A358),'changes1_based on steps'!B$1:B$400,0)),B$2,)</f>
        <v>0</v>
      </c>
      <c r="C358" s="179">
        <f ca="1">IF(ISNUMBER(MATCH(DATEVALUE($A358),'changes1_based on steps'!C$1:C$400,0)),C$2,)</f>
        <v>0</v>
      </c>
      <c r="D358" s="179">
        <f ca="1">IF(ISNUMBER(MATCH(DATEVALUE($A358),'changes1_based on steps'!D$1:D$400,0)),D$2,)</f>
        <v>0</v>
      </c>
      <c r="E358" s="179">
        <f ca="1">IF(ISNUMBER(MATCH(DATEVALUE($A358),'changes1_based on steps'!E$1:E$400,0)),E$2,)</f>
        <v>0</v>
      </c>
      <c r="F358" s="179">
        <f ca="1">IF(ISNUMBER(MATCH(DATEVALUE($A358),'changes1_based on steps'!F$1:F$400,0)),F$2,)</f>
        <v>0</v>
      </c>
      <c r="G358" s="179">
        <f ca="1">IF(ISNUMBER(MATCH(DATEVALUE($A358),'changes1_based on steps'!G$1:G$400,0)),G$2,)</f>
        <v>0</v>
      </c>
      <c r="H358" s="179">
        <f ca="1">IF(ISNUMBER(MATCH(DATEVALUE($A358),'changes1_based on steps'!H$1:H$400,0)),H$2,)</f>
        <v>0</v>
      </c>
      <c r="I358" s="179">
        <f ca="1">IF(ISNUMBER(MATCH(DATEVALUE($A358),'changes1_based on steps'!I$1:I$400,0)),I$2,)</f>
        <v>0</v>
      </c>
      <c r="J358" s="179">
        <f ca="1">IF(ISNUMBER(MATCH(DATEVALUE($A358),'changes1_based on steps'!J$1:J$400,0)),J$2,)</f>
        <v>0</v>
      </c>
      <c r="K358" s="179">
        <f ca="1">IF(ISNUMBER(MATCH(DATEVALUE($A358),'changes1_based on steps'!K$1:K$400,0)),K$2,)</f>
        <v>0</v>
      </c>
      <c r="L358" s="179">
        <f ca="1">IF(ISNUMBER(MATCH(DATEVALUE($A358),'changes1_based on steps'!L$1:L$400,0)),L$2,)</f>
        <v>0</v>
      </c>
      <c r="M358" s="179">
        <f ca="1">IF(ISNUMBER(MATCH(DATEVALUE($A358),'changes1_based on steps'!M$1:M$400,0)),M$2,)</f>
        <v>0</v>
      </c>
      <c r="N358" s="179">
        <f ca="1">IF(ISNUMBER(MATCH(DATEVALUE($A358),'changes1_based on steps'!N$1:N$400,0)),N$2,)</f>
        <v>0</v>
      </c>
      <c r="O358" s="179">
        <f ca="1">IF(ISNUMBER(MATCH(DATEVALUE($A358),'changes1_based on steps'!O$1:O$400,0)),O$2,)</f>
        <v>0</v>
      </c>
      <c r="P358" s="179">
        <f ca="1">IF(ISNUMBER(MATCH(DATEVALUE($A358),'changes1_based on steps'!P$1:P$400,0)),P$2,)</f>
        <v>0</v>
      </c>
      <c r="Q358" s="179">
        <f ca="1">IF(ISNUMBER(MATCH(DATEVALUE($A358),'changes1_based on steps'!Q$1:Q$400,0)),Q$2,)</f>
        <v>0</v>
      </c>
      <c r="R358" s="179">
        <f ca="1">IF(ISNUMBER(MATCH(DATEVALUE($A358),'changes1_based on steps'!R$1:R$400,0)),R$2,)</f>
        <v>0</v>
      </c>
      <c r="S358" s="179">
        <f ca="1">IF(ISNUMBER(MATCH(DATEVALUE($A358),'changes1_based on steps'!S$1:S$400,0)),S$2,)</f>
        <v>0</v>
      </c>
      <c r="T358" s="179">
        <f ca="1">IF(ISNUMBER(MATCH(DATEVALUE($A358),'changes1_based on steps'!T$1:T$400,0)),T$2,)</f>
        <v>0</v>
      </c>
      <c r="U358" s="179">
        <f ca="1">IF(ISNUMBER(MATCH(DATEVALUE($A358),'changes1_based on steps'!U$1:U$400,0)),U$2,)</f>
        <v>0</v>
      </c>
      <c r="V358" s="179"/>
      <c r="W358" s="179"/>
      <c r="X358" s="179"/>
      <c r="Y358" s="179"/>
      <c r="Z358" s="179"/>
      <c r="AA358" s="179"/>
      <c r="AB358" s="179"/>
      <c r="AC358" s="179"/>
      <c r="AD358" s="179"/>
      <c r="AE358" s="179"/>
      <c r="AF358" s="179"/>
      <c r="AG358" s="179"/>
      <c r="AH358" s="179"/>
      <c r="AI358" s="179"/>
      <c r="AJ358" s="179"/>
      <c r="AK358" s="179"/>
      <c r="AL358" s="179"/>
      <c r="AM358" s="179"/>
      <c r="AN358" s="179"/>
      <c r="AO358" s="179"/>
      <c r="AP358" s="179"/>
      <c r="AQ358" s="179"/>
      <c r="AR358" s="179"/>
      <c r="AS358" s="179"/>
      <c r="AT358" s="179"/>
      <c r="AU358" s="179"/>
      <c r="AV358" s="179"/>
      <c r="AW358" s="179"/>
      <c r="AX358" s="179"/>
      <c r="AY358" s="179"/>
      <c r="AZ358" s="179"/>
      <c r="BA358" s="179"/>
      <c r="BB358" s="179"/>
      <c r="BC358" s="179"/>
      <c r="BD358" s="179"/>
      <c r="BE358" s="179"/>
      <c r="BF358" s="179"/>
      <c r="BG358" s="179"/>
      <c r="BH358" s="179"/>
      <c r="BI358" s="179"/>
      <c r="BJ358" s="179"/>
      <c r="BK358" s="179"/>
      <c r="BL358" s="179"/>
      <c r="BM358" s="179"/>
      <c r="BN358" s="179"/>
      <c r="BO358" s="179"/>
      <c r="BP358" s="179"/>
      <c r="BQ358" s="179"/>
      <c r="BR358" s="179"/>
      <c r="BS358" s="179"/>
      <c r="BT358" s="179"/>
      <c r="BU358" s="179"/>
      <c r="BV358" s="179"/>
      <c r="BW358" s="179"/>
      <c r="BX358" s="179"/>
      <c r="BY358" s="179"/>
      <c r="BZ358" s="179"/>
      <c r="CA358" s="179"/>
      <c r="CB358" s="179"/>
      <c r="CC358" s="179"/>
      <c r="CD358" s="179"/>
      <c r="CE358" s="179"/>
      <c r="CF358" s="179"/>
      <c r="CG358" s="179"/>
      <c r="CH358" s="179"/>
      <c r="CI358" s="179"/>
      <c r="CJ358" s="179"/>
      <c r="CK358" s="179"/>
      <c r="CL358" s="179"/>
      <c r="CM358" s="179"/>
      <c r="CN358" s="179"/>
      <c r="CO358" s="179"/>
      <c r="CP358" s="179"/>
      <c r="CQ358" s="179"/>
      <c r="CR358" s="179"/>
      <c r="CS358" s="179"/>
      <c r="CT358" s="179"/>
      <c r="CU358" s="179"/>
      <c r="CV358" s="179"/>
      <c r="CW358" s="179"/>
    </row>
    <row r="359" spans="1:101" x14ac:dyDescent="0.2">
      <c r="A359" s="32" t="str">
        <f t="shared" ca="1" si="5"/>
        <v>2026-03-27</v>
      </c>
      <c r="B359" s="179">
        <f ca="1">IF(ISNUMBER(MATCH(DATEVALUE($A359),'changes1_based on steps'!B$1:B$400,0)),B$2,)</f>
        <v>0</v>
      </c>
      <c r="C359" s="179">
        <f ca="1">IF(ISNUMBER(MATCH(DATEVALUE($A359),'changes1_based on steps'!C$1:C$400,0)),C$2,)</f>
        <v>0</v>
      </c>
      <c r="D359" s="179">
        <f ca="1">IF(ISNUMBER(MATCH(DATEVALUE($A359),'changes1_based on steps'!D$1:D$400,0)),D$2,)</f>
        <v>0</v>
      </c>
      <c r="E359" s="179">
        <f ca="1">IF(ISNUMBER(MATCH(DATEVALUE($A359),'changes1_based on steps'!E$1:E$400,0)),E$2,)</f>
        <v>0</v>
      </c>
      <c r="F359" s="179">
        <f ca="1">IF(ISNUMBER(MATCH(DATEVALUE($A359),'changes1_based on steps'!F$1:F$400,0)),F$2,)</f>
        <v>0</v>
      </c>
      <c r="G359" s="179">
        <f ca="1">IF(ISNUMBER(MATCH(DATEVALUE($A359),'changes1_based on steps'!G$1:G$400,0)),G$2,)</f>
        <v>0</v>
      </c>
      <c r="H359" s="179">
        <f ca="1">IF(ISNUMBER(MATCH(DATEVALUE($A359),'changes1_based on steps'!H$1:H$400,0)),H$2,)</f>
        <v>0</v>
      </c>
      <c r="I359" s="179">
        <f ca="1">IF(ISNUMBER(MATCH(DATEVALUE($A359),'changes1_based on steps'!I$1:I$400,0)),I$2,)</f>
        <v>0</v>
      </c>
      <c r="J359" s="179">
        <f ca="1">IF(ISNUMBER(MATCH(DATEVALUE($A359),'changes1_based on steps'!J$1:J$400,0)),J$2,)</f>
        <v>0</v>
      </c>
      <c r="K359" s="179">
        <f ca="1">IF(ISNUMBER(MATCH(DATEVALUE($A359),'changes1_based on steps'!K$1:K$400,0)),K$2,)</f>
        <v>0</v>
      </c>
      <c r="L359" s="179">
        <f ca="1">IF(ISNUMBER(MATCH(DATEVALUE($A359),'changes1_based on steps'!L$1:L$400,0)),L$2,)</f>
        <v>0</v>
      </c>
      <c r="M359" s="179">
        <f ca="1">IF(ISNUMBER(MATCH(DATEVALUE($A359),'changes1_based on steps'!M$1:M$400,0)),M$2,)</f>
        <v>0</v>
      </c>
      <c r="N359" s="179">
        <f ca="1">IF(ISNUMBER(MATCH(DATEVALUE($A359),'changes1_based on steps'!N$1:N$400,0)),N$2,)</f>
        <v>0</v>
      </c>
      <c r="O359" s="179">
        <f ca="1">IF(ISNUMBER(MATCH(DATEVALUE($A359),'changes1_based on steps'!O$1:O$400,0)),O$2,)</f>
        <v>0</v>
      </c>
      <c r="P359" s="179">
        <f ca="1">IF(ISNUMBER(MATCH(DATEVALUE($A359),'changes1_based on steps'!P$1:P$400,0)),P$2,)</f>
        <v>0</v>
      </c>
      <c r="Q359" s="179">
        <f ca="1">IF(ISNUMBER(MATCH(DATEVALUE($A359),'changes1_based on steps'!Q$1:Q$400,0)),Q$2,)</f>
        <v>0</v>
      </c>
      <c r="R359" s="179">
        <f ca="1">IF(ISNUMBER(MATCH(DATEVALUE($A359),'changes1_based on steps'!R$1:R$400,0)),R$2,)</f>
        <v>0</v>
      </c>
      <c r="S359" s="179">
        <f ca="1">IF(ISNUMBER(MATCH(DATEVALUE($A359),'changes1_based on steps'!S$1:S$400,0)),S$2,)</f>
        <v>0</v>
      </c>
      <c r="T359" s="179">
        <f ca="1">IF(ISNUMBER(MATCH(DATEVALUE($A359),'changes1_based on steps'!T$1:T$400,0)),T$2,)</f>
        <v>0</v>
      </c>
      <c r="U359" s="179">
        <f ca="1">IF(ISNUMBER(MATCH(DATEVALUE($A359),'changes1_based on steps'!U$1:U$400,0)),U$2,)</f>
        <v>0</v>
      </c>
      <c r="V359" s="179"/>
      <c r="W359" s="179"/>
      <c r="X359" s="179"/>
      <c r="Y359" s="179"/>
      <c r="Z359" s="179"/>
      <c r="AA359" s="179"/>
      <c r="AB359" s="179"/>
      <c r="AC359" s="179"/>
      <c r="AD359" s="179"/>
      <c r="AE359" s="179"/>
      <c r="AF359" s="179"/>
      <c r="AG359" s="179"/>
      <c r="AH359" s="179"/>
      <c r="AI359" s="179"/>
      <c r="AJ359" s="179"/>
      <c r="AK359" s="179"/>
      <c r="AL359" s="179"/>
      <c r="AM359" s="179"/>
      <c r="AN359" s="179"/>
      <c r="AO359" s="179"/>
      <c r="AP359" s="179"/>
      <c r="AQ359" s="179"/>
      <c r="AR359" s="179"/>
      <c r="AS359" s="179"/>
      <c r="AT359" s="179"/>
      <c r="AU359" s="179"/>
      <c r="AV359" s="179"/>
      <c r="AW359" s="179"/>
      <c r="AX359" s="179"/>
      <c r="AY359" s="179"/>
      <c r="AZ359" s="179"/>
      <c r="BA359" s="179"/>
      <c r="BB359" s="179"/>
      <c r="BC359" s="179"/>
      <c r="BD359" s="179"/>
      <c r="BE359" s="179"/>
      <c r="BF359" s="179"/>
      <c r="BG359" s="179"/>
      <c r="BH359" s="179"/>
      <c r="BI359" s="179"/>
      <c r="BJ359" s="179"/>
      <c r="BK359" s="179"/>
      <c r="BL359" s="179"/>
      <c r="BM359" s="179"/>
      <c r="BN359" s="179"/>
      <c r="BO359" s="179"/>
      <c r="BP359" s="179"/>
      <c r="BQ359" s="179"/>
      <c r="BR359" s="179"/>
      <c r="BS359" s="179"/>
      <c r="BT359" s="179"/>
      <c r="BU359" s="179"/>
      <c r="BV359" s="179"/>
      <c r="BW359" s="179"/>
      <c r="BX359" s="179"/>
      <c r="BY359" s="179"/>
      <c r="BZ359" s="179"/>
      <c r="CA359" s="179"/>
      <c r="CB359" s="179"/>
      <c r="CC359" s="179"/>
      <c r="CD359" s="179"/>
      <c r="CE359" s="179"/>
      <c r="CF359" s="179"/>
      <c r="CG359" s="179"/>
      <c r="CH359" s="179"/>
      <c r="CI359" s="179"/>
      <c r="CJ359" s="179"/>
      <c r="CK359" s="179"/>
      <c r="CL359" s="179"/>
      <c r="CM359" s="179"/>
      <c r="CN359" s="179"/>
      <c r="CO359" s="179"/>
      <c r="CP359" s="179"/>
      <c r="CQ359" s="179"/>
      <c r="CR359" s="179"/>
      <c r="CS359" s="179"/>
      <c r="CT359" s="179"/>
      <c r="CU359" s="179"/>
      <c r="CV359" s="179"/>
      <c r="CW359" s="179"/>
    </row>
    <row r="360" spans="1:101" x14ac:dyDescent="0.2">
      <c r="A360" s="32" t="str">
        <f t="shared" ca="1" si="5"/>
        <v>2026-03-28</v>
      </c>
      <c r="B360" s="179">
        <f ca="1">IF(ISNUMBER(MATCH(DATEVALUE($A360),'changes1_based on steps'!B$1:B$400,0)),B$2,)</f>
        <v>0</v>
      </c>
      <c r="C360" s="179">
        <f ca="1">IF(ISNUMBER(MATCH(DATEVALUE($A360),'changes1_based on steps'!C$1:C$400,0)),C$2,)</f>
        <v>0</v>
      </c>
      <c r="D360" s="179">
        <f ca="1">IF(ISNUMBER(MATCH(DATEVALUE($A360),'changes1_based on steps'!D$1:D$400,0)),D$2,)</f>
        <v>0</v>
      </c>
      <c r="E360" s="179">
        <f ca="1">IF(ISNUMBER(MATCH(DATEVALUE($A360),'changes1_based on steps'!E$1:E$400,0)),E$2,)</f>
        <v>0</v>
      </c>
      <c r="F360" s="179">
        <f ca="1">IF(ISNUMBER(MATCH(DATEVALUE($A360),'changes1_based on steps'!F$1:F$400,0)),F$2,)</f>
        <v>0</v>
      </c>
      <c r="G360" s="179">
        <f ca="1">IF(ISNUMBER(MATCH(DATEVALUE($A360),'changes1_based on steps'!G$1:G$400,0)),G$2,)</f>
        <v>0</v>
      </c>
      <c r="H360" s="179">
        <f ca="1">IF(ISNUMBER(MATCH(DATEVALUE($A360),'changes1_based on steps'!H$1:H$400,0)),H$2,)</f>
        <v>0</v>
      </c>
      <c r="I360" s="179">
        <f ca="1">IF(ISNUMBER(MATCH(DATEVALUE($A360),'changes1_based on steps'!I$1:I$400,0)),I$2,)</f>
        <v>0</v>
      </c>
      <c r="J360" s="179">
        <f ca="1">IF(ISNUMBER(MATCH(DATEVALUE($A360),'changes1_based on steps'!J$1:J$400,0)),J$2,)</f>
        <v>0</v>
      </c>
      <c r="K360" s="179">
        <f ca="1">IF(ISNUMBER(MATCH(DATEVALUE($A360),'changes1_based on steps'!K$1:K$400,0)),K$2,)</f>
        <v>0</v>
      </c>
      <c r="L360" s="179">
        <f ca="1">IF(ISNUMBER(MATCH(DATEVALUE($A360),'changes1_based on steps'!L$1:L$400,0)),L$2,)</f>
        <v>0</v>
      </c>
      <c r="M360" s="179">
        <f ca="1">IF(ISNUMBER(MATCH(DATEVALUE($A360),'changes1_based on steps'!M$1:M$400,0)),M$2,)</f>
        <v>0</v>
      </c>
      <c r="N360" s="179">
        <f ca="1">IF(ISNUMBER(MATCH(DATEVALUE($A360),'changes1_based on steps'!N$1:N$400,0)),N$2,)</f>
        <v>0</v>
      </c>
      <c r="O360" s="179">
        <f ca="1">IF(ISNUMBER(MATCH(DATEVALUE($A360),'changes1_based on steps'!O$1:O$400,0)),O$2,)</f>
        <v>0</v>
      </c>
      <c r="P360" s="179">
        <f ca="1">IF(ISNUMBER(MATCH(DATEVALUE($A360),'changes1_based on steps'!P$1:P$400,0)),P$2,)</f>
        <v>0</v>
      </c>
      <c r="Q360" s="179">
        <f ca="1">IF(ISNUMBER(MATCH(DATEVALUE($A360),'changes1_based on steps'!Q$1:Q$400,0)),Q$2,)</f>
        <v>0</v>
      </c>
      <c r="R360" s="179">
        <f ca="1">IF(ISNUMBER(MATCH(DATEVALUE($A360),'changes1_based on steps'!R$1:R$400,0)),R$2,)</f>
        <v>0</v>
      </c>
      <c r="S360" s="179">
        <f ca="1">IF(ISNUMBER(MATCH(DATEVALUE($A360),'changes1_based on steps'!S$1:S$400,0)),S$2,)</f>
        <v>0</v>
      </c>
      <c r="T360" s="179">
        <f ca="1">IF(ISNUMBER(MATCH(DATEVALUE($A360),'changes1_based on steps'!T$1:T$400,0)),T$2,)</f>
        <v>0</v>
      </c>
      <c r="U360" s="179">
        <f ca="1">IF(ISNUMBER(MATCH(DATEVALUE($A360),'changes1_based on steps'!U$1:U$400,0)),U$2,)</f>
        <v>0</v>
      </c>
      <c r="V360" s="179"/>
      <c r="W360" s="179"/>
      <c r="X360" s="179"/>
      <c r="Y360" s="179"/>
      <c r="Z360" s="179"/>
      <c r="AA360" s="179"/>
      <c r="AB360" s="179"/>
      <c r="AC360" s="179"/>
      <c r="AD360" s="179"/>
      <c r="AE360" s="179"/>
      <c r="AF360" s="179"/>
      <c r="AG360" s="179"/>
      <c r="AH360" s="179"/>
      <c r="AI360" s="179"/>
      <c r="AJ360" s="179"/>
      <c r="AK360" s="179"/>
      <c r="AL360" s="179"/>
      <c r="AM360" s="179"/>
      <c r="AN360" s="179"/>
      <c r="AO360" s="179"/>
      <c r="AP360" s="179"/>
      <c r="AQ360" s="179"/>
      <c r="AR360" s="179"/>
      <c r="AS360" s="179"/>
      <c r="AT360" s="179"/>
      <c r="AU360" s="179"/>
      <c r="AV360" s="179"/>
      <c r="AW360" s="179"/>
      <c r="AX360" s="179"/>
      <c r="AY360" s="179"/>
      <c r="AZ360" s="179"/>
      <c r="BA360" s="179"/>
      <c r="BB360" s="179"/>
      <c r="BC360" s="179"/>
      <c r="BD360" s="179"/>
      <c r="BE360" s="179"/>
      <c r="BF360" s="179"/>
      <c r="BG360" s="179"/>
      <c r="BH360" s="179"/>
      <c r="BI360" s="179"/>
      <c r="BJ360" s="179"/>
      <c r="BK360" s="179"/>
      <c r="BL360" s="179"/>
      <c r="BM360" s="179"/>
      <c r="BN360" s="179"/>
      <c r="BO360" s="179"/>
      <c r="BP360" s="179"/>
      <c r="BQ360" s="179"/>
      <c r="BR360" s="179"/>
      <c r="BS360" s="179"/>
      <c r="BT360" s="179"/>
      <c r="BU360" s="179"/>
      <c r="BV360" s="179"/>
      <c r="BW360" s="179"/>
      <c r="BX360" s="179"/>
      <c r="BY360" s="179"/>
      <c r="BZ360" s="179"/>
      <c r="CA360" s="179"/>
      <c r="CB360" s="179"/>
      <c r="CC360" s="179"/>
      <c r="CD360" s="179"/>
      <c r="CE360" s="179"/>
      <c r="CF360" s="179"/>
      <c r="CG360" s="179"/>
      <c r="CH360" s="179"/>
      <c r="CI360" s="179"/>
      <c r="CJ360" s="179"/>
      <c r="CK360" s="179"/>
      <c r="CL360" s="179"/>
      <c r="CM360" s="179"/>
      <c r="CN360" s="179"/>
      <c r="CO360" s="179"/>
      <c r="CP360" s="179"/>
      <c r="CQ360" s="179"/>
      <c r="CR360" s="179"/>
      <c r="CS360" s="179"/>
      <c r="CT360" s="179"/>
      <c r="CU360" s="179"/>
      <c r="CV360" s="179"/>
      <c r="CW360" s="179"/>
    </row>
    <row r="361" spans="1:101" x14ac:dyDescent="0.2">
      <c r="A361" s="32" t="str">
        <f t="shared" ca="1" si="5"/>
        <v>2026-03-29</v>
      </c>
      <c r="B361" s="179">
        <f ca="1">IF(ISNUMBER(MATCH(DATEVALUE($A361),'changes1_based on steps'!B$1:B$400,0)),B$2,)</f>
        <v>0</v>
      </c>
      <c r="C361" s="179">
        <f ca="1">IF(ISNUMBER(MATCH(DATEVALUE($A361),'changes1_based on steps'!C$1:C$400,0)),C$2,)</f>
        <v>0</v>
      </c>
      <c r="D361" s="179">
        <f ca="1">IF(ISNUMBER(MATCH(DATEVALUE($A361),'changes1_based on steps'!D$1:D$400,0)),D$2,)</f>
        <v>0</v>
      </c>
      <c r="E361" s="179">
        <f ca="1">IF(ISNUMBER(MATCH(DATEVALUE($A361),'changes1_based on steps'!E$1:E$400,0)),E$2,)</f>
        <v>0</v>
      </c>
      <c r="F361" s="179">
        <f ca="1">IF(ISNUMBER(MATCH(DATEVALUE($A361),'changes1_based on steps'!F$1:F$400,0)),F$2,)</f>
        <v>0</v>
      </c>
      <c r="G361" s="179">
        <f ca="1">IF(ISNUMBER(MATCH(DATEVALUE($A361),'changes1_based on steps'!G$1:G$400,0)),G$2,)</f>
        <v>0</v>
      </c>
      <c r="H361" s="179">
        <f ca="1">IF(ISNUMBER(MATCH(DATEVALUE($A361),'changes1_based on steps'!H$1:H$400,0)),H$2,)</f>
        <v>0</v>
      </c>
      <c r="I361" s="179">
        <f ca="1">IF(ISNUMBER(MATCH(DATEVALUE($A361),'changes1_based on steps'!I$1:I$400,0)),I$2,)</f>
        <v>0</v>
      </c>
      <c r="J361" s="179">
        <f ca="1">IF(ISNUMBER(MATCH(DATEVALUE($A361),'changes1_based on steps'!J$1:J$400,0)),J$2,)</f>
        <v>0</v>
      </c>
      <c r="K361" s="179">
        <f ca="1">IF(ISNUMBER(MATCH(DATEVALUE($A361),'changes1_based on steps'!K$1:K$400,0)),K$2,)</f>
        <v>0</v>
      </c>
      <c r="L361" s="179">
        <f ca="1">IF(ISNUMBER(MATCH(DATEVALUE($A361),'changes1_based on steps'!L$1:L$400,0)),L$2,)</f>
        <v>0</v>
      </c>
      <c r="M361" s="179">
        <f ca="1">IF(ISNUMBER(MATCH(DATEVALUE($A361),'changes1_based on steps'!M$1:M$400,0)),M$2,)</f>
        <v>0</v>
      </c>
      <c r="N361" s="179">
        <f ca="1">IF(ISNUMBER(MATCH(DATEVALUE($A361),'changes1_based on steps'!N$1:N$400,0)),N$2,)</f>
        <v>0</v>
      </c>
      <c r="O361" s="179">
        <f ca="1">IF(ISNUMBER(MATCH(DATEVALUE($A361),'changes1_based on steps'!O$1:O$400,0)),O$2,)</f>
        <v>0</v>
      </c>
      <c r="P361" s="179">
        <f ca="1">IF(ISNUMBER(MATCH(DATEVALUE($A361),'changes1_based on steps'!P$1:P$400,0)),P$2,)</f>
        <v>0</v>
      </c>
      <c r="Q361" s="179">
        <f ca="1">IF(ISNUMBER(MATCH(DATEVALUE($A361),'changes1_based on steps'!Q$1:Q$400,0)),Q$2,)</f>
        <v>0</v>
      </c>
      <c r="R361" s="179">
        <f ca="1">IF(ISNUMBER(MATCH(DATEVALUE($A361),'changes1_based on steps'!R$1:R$400,0)),R$2,)</f>
        <v>0</v>
      </c>
      <c r="S361" s="179">
        <f ca="1">IF(ISNUMBER(MATCH(DATEVALUE($A361),'changes1_based on steps'!S$1:S$400,0)),S$2,)</f>
        <v>0</v>
      </c>
      <c r="T361" s="179">
        <f ca="1">IF(ISNUMBER(MATCH(DATEVALUE($A361),'changes1_based on steps'!T$1:T$400,0)),T$2,)</f>
        <v>0</v>
      </c>
      <c r="U361" s="179">
        <f ca="1">IF(ISNUMBER(MATCH(DATEVALUE($A361),'changes1_based on steps'!U$1:U$400,0)),U$2,)</f>
        <v>0</v>
      </c>
      <c r="V361" s="179"/>
      <c r="W361" s="179"/>
      <c r="X361" s="179"/>
      <c r="Y361" s="179"/>
      <c r="Z361" s="179"/>
      <c r="AA361" s="179"/>
      <c r="AB361" s="179"/>
      <c r="AC361" s="179"/>
      <c r="AD361" s="179"/>
      <c r="AE361" s="179"/>
      <c r="AF361" s="179"/>
      <c r="AG361" s="179"/>
      <c r="AH361" s="179"/>
      <c r="AI361" s="179"/>
      <c r="AJ361" s="179"/>
      <c r="AK361" s="179"/>
      <c r="AL361" s="179"/>
      <c r="AM361" s="179"/>
      <c r="AN361" s="179"/>
      <c r="AO361" s="179"/>
      <c r="AP361" s="179"/>
      <c r="AQ361" s="179"/>
      <c r="AR361" s="179"/>
      <c r="AS361" s="179"/>
      <c r="AT361" s="179"/>
      <c r="AU361" s="179"/>
      <c r="AV361" s="179"/>
      <c r="AW361" s="179"/>
      <c r="AX361" s="179"/>
      <c r="AY361" s="179"/>
      <c r="AZ361" s="179"/>
      <c r="BA361" s="179"/>
      <c r="BB361" s="179"/>
      <c r="BC361" s="179"/>
      <c r="BD361" s="179"/>
      <c r="BE361" s="179"/>
      <c r="BF361" s="179"/>
      <c r="BG361" s="179"/>
      <c r="BH361" s="179"/>
      <c r="BI361" s="179"/>
      <c r="BJ361" s="179"/>
      <c r="BK361" s="179"/>
      <c r="BL361" s="179"/>
      <c r="BM361" s="179"/>
      <c r="BN361" s="179"/>
      <c r="BO361" s="179"/>
      <c r="BP361" s="179"/>
      <c r="BQ361" s="179"/>
      <c r="BR361" s="179"/>
      <c r="BS361" s="179"/>
      <c r="BT361" s="179"/>
      <c r="BU361" s="179"/>
      <c r="BV361" s="179"/>
      <c r="BW361" s="179"/>
      <c r="BX361" s="179"/>
      <c r="BY361" s="179"/>
      <c r="BZ361" s="179"/>
      <c r="CA361" s="179"/>
      <c r="CB361" s="179"/>
      <c r="CC361" s="179"/>
      <c r="CD361" s="179"/>
      <c r="CE361" s="179"/>
      <c r="CF361" s="179"/>
      <c r="CG361" s="179"/>
      <c r="CH361" s="179"/>
      <c r="CI361" s="179"/>
      <c r="CJ361" s="179"/>
      <c r="CK361" s="179"/>
      <c r="CL361" s="179"/>
      <c r="CM361" s="179"/>
      <c r="CN361" s="179"/>
      <c r="CO361" s="179"/>
      <c r="CP361" s="179"/>
      <c r="CQ361" s="179"/>
      <c r="CR361" s="179"/>
      <c r="CS361" s="179"/>
      <c r="CT361" s="179"/>
      <c r="CU361" s="179"/>
      <c r="CV361" s="179"/>
      <c r="CW361" s="179"/>
    </row>
    <row r="362" spans="1:101" x14ac:dyDescent="0.2">
      <c r="A362" s="32" t="str">
        <f t="shared" ca="1" si="5"/>
        <v>2026-03-30</v>
      </c>
      <c r="B362" s="179">
        <f ca="1">IF(ISNUMBER(MATCH(DATEVALUE($A362),'changes1_based on steps'!B$1:B$400,0)),B$2,)</f>
        <v>0</v>
      </c>
      <c r="C362" s="179">
        <f ca="1">IF(ISNUMBER(MATCH(DATEVALUE($A362),'changes1_based on steps'!C$1:C$400,0)),C$2,)</f>
        <v>0</v>
      </c>
      <c r="D362" s="179">
        <f ca="1">IF(ISNUMBER(MATCH(DATEVALUE($A362),'changes1_based on steps'!D$1:D$400,0)),D$2,)</f>
        <v>0</v>
      </c>
      <c r="E362" s="179">
        <f ca="1">IF(ISNUMBER(MATCH(DATEVALUE($A362),'changes1_based on steps'!E$1:E$400,0)),E$2,)</f>
        <v>0</v>
      </c>
      <c r="F362" s="179">
        <f ca="1">IF(ISNUMBER(MATCH(DATEVALUE($A362),'changes1_based on steps'!F$1:F$400,0)),F$2,)</f>
        <v>0</v>
      </c>
      <c r="G362" s="179">
        <f ca="1">IF(ISNUMBER(MATCH(DATEVALUE($A362),'changes1_based on steps'!G$1:G$400,0)),G$2,)</f>
        <v>0</v>
      </c>
      <c r="H362" s="179">
        <f ca="1">IF(ISNUMBER(MATCH(DATEVALUE($A362),'changes1_based on steps'!H$1:H$400,0)),H$2,)</f>
        <v>0</v>
      </c>
      <c r="I362" s="179">
        <f ca="1">IF(ISNUMBER(MATCH(DATEVALUE($A362),'changes1_based on steps'!I$1:I$400,0)),I$2,)</f>
        <v>0</v>
      </c>
      <c r="J362" s="179">
        <f ca="1">IF(ISNUMBER(MATCH(DATEVALUE($A362),'changes1_based on steps'!J$1:J$400,0)),J$2,)</f>
        <v>0</v>
      </c>
      <c r="K362" s="179">
        <f ca="1">IF(ISNUMBER(MATCH(DATEVALUE($A362),'changes1_based on steps'!K$1:K$400,0)),K$2,)</f>
        <v>0</v>
      </c>
      <c r="L362" s="179">
        <f ca="1">IF(ISNUMBER(MATCH(DATEVALUE($A362),'changes1_based on steps'!L$1:L$400,0)),L$2,)</f>
        <v>0</v>
      </c>
      <c r="M362" s="179">
        <f ca="1">IF(ISNUMBER(MATCH(DATEVALUE($A362),'changes1_based on steps'!M$1:M$400,0)),M$2,)</f>
        <v>0</v>
      </c>
      <c r="N362" s="179">
        <f ca="1">IF(ISNUMBER(MATCH(DATEVALUE($A362),'changes1_based on steps'!N$1:N$400,0)),N$2,)</f>
        <v>0</v>
      </c>
      <c r="O362" s="179">
        <f ca="1">IF(ISNUMBER(MATCH(DATEVALUE($A362),'changes1_based on steps'!O$1:O$400,0)),O$2,)</f>
        <v>0</v>
      </c>
      <c r="P362" s="179">
        <f ca="1">IF(ISNUMBER(MATCH(DATEVALUE($A362),'changes1_based on steps'!P$1:P$400,0)),P$2,)</f>
        <v>0</v>
      </c>
      <c r="Q362" s="179">
        <f ca="1">IF(ISNUMBER(MATCH(DATEVALUE($A362),'changes1_based on steps'!Q$1:Q$400,0)),Q$2,)</f>
        <v>0</v>
      </c>
      <c r="R362" s="179">
        <f ca="1">IF(ISNUMBER(MATCH(DATEVALUE($A362),'changes1_based on steps'!R$1:R$400,0)),R$2,)</f>
        <v>0</v>
      </c>
      <c r="S362" s="179">
        <f ca="1">IF(ISNUMBER(MATCH(DATEVALUE($A362),'changes1_based on steps'!S$1:S$400,0)),S$2,)</f>
        <v>0</v>
      </c>
      <c r="T362" s="179">
        <f ca="1">IF(ISNUMBER(MATCH(DATEVALUE($A362),'changes1_based on steps'!T$1:T$400,0)),T$2,)</f>
        <v>0</v>
      </c>
      <c r="U362" s="179">
        <f ca="1">IF(ISNUMBER(MATCH(DATEVALUE($A362),'changes1_based on steps'!U$1:U$400,0)),U$2,)</f>
        <v>0</v>
      </c>
      <c r="V362" s="179"/>
      <c r="W362" s="179"/>
      <c r="X362" s="179"/>
      <c r="Y362" s="179"/>
      <c r="Z362" s="179"/>
      <c r="AA362" s="179"/>
      <c r="AB362" s="179"/>
      <c r="AC362" s="179"/>
      <c r="AD362" s="179"/>
      <c r="AE362" s="179"/>
      <c r="AF362" s="179"/>
      <c r="AG362" s="179"/>
      <c r="AH362" s="179"/>
      <c r="AI362" s="179"/>
      <c r="AJ362" s="179"/>
      <c r="AK362" s="179"/>
      <c r="AL362" s="179"/>
      <c r="AM362" s="179"/>
      <c r="AN362" s="179"/>
      <c r="AO362" s="179"/>
      <c r="AP362" s="179"/>
      <c r="AQ362" s="179"/>
      <c r="AR362" s="179"/>
      <c r="AS362" s="179"/>
      <c r="AT362" s="179"/>
      <c r="AU362" s="179"/>
      <c r="AV362" s="179"/>
      <c r="AW362" s="179"/>
      <c r="AX362" s="179"/>
      <c r="AY362" s="179"/>
      <c r="AZ362" s="179"/>
      <c r="BA362" s="179"/>
      <c r="BB362" s="179"/>
      <c r="BC362" s="179"/>
      <c r="BD362" s="179"/>
      <c r="BE362" s="179"/>
      <c r="BF362" s="179"/>
      <c r="BG362" s="179"/>
      <c r="BH362" s="179"/>
      <c r="BI362" s="179"/>
      <c r="BJ362" s="179"/>
      <c r="BK362" s="179"/>
      <c r="BL362" s="179"/>
      <c r="BM362" s="179"/>
      <c r="BN362" s="179"/>
      <c r="BO362" s="179"/>
      <c r="BP362" s="179"/>
      <c r="BQ362" s="179"/>
      <c r="BR362" s="179"/>
      <c r="BS362" s="179"/>
      <c r="BT362" s="179"/>
      <c r="BU362" s="179"/>
      <c r="BV362" s="179"/>
      <c r="BW362" s="179"/>
      <c r="BX362" s="179"/>
      <c r="BY362" s="179"/>
      <c r="BZ362" s="179"/>
      <c r="CA362" s="179"/>
      <c r="CB362" s="179"/>
      <c r="CC362" s="179"/>
      <c r="CD362" s="179"/>
      <c r="CE362" s="179"/>
      <c r="CF362" s="179"/>
      <c r="CG362" s="179"/>
      <c r="CH362" s="179"/>
      <c r="CI362" s="179"/>
      <c r="CJ362" s="179"/>
      <c r="CK362" s="179"/>
      <c r="CL362" s="179"/>
      <c r="CM362" s="179"/>
      <c r="CN362" s="179"/>
      <c r="CO362" s="179"/>
      <c r="CP362" s="179"/>
      <c r="CQ362" s="179"/>
      <c r="CR362" s="179"/>
      <c r="CS362" s="179"/>
      <c r="CT362" s="179"/>
      <c r="CU362" s="179"/>
      <c r="CV362" s="179"/>
      <c r="CW362" s="179"/>
    </row>
    <row r="363" spans="1:101" x14ac:dyDescent="0.2">
      <c r="A363" s="32" t="str">
        <f t="shared" ca="1" si="5"/>
        <v>2026-03-31</v>
      </c>
      <c r="B363" s="179">
        <f ca="1">IF(ISNUMBER(MATCH(DATEVALUE($A363),'changes1_based on steps'!B$1:B$400,0)),B$2,)</f>
        <v>0</v>
      </c>
      <c r="C363" s="179">
        <f ca="1">IF(ISNUMBER(MATCH(DATEVALUE($A363),'changes1_based on steps'!C$1:C$400,0)),C$2,)</f>
        <v>0</v>
      </c>
      <c r="D363" s="179">
        <f ca="1">IF(ISNUMBER(MATCH(DATEVALUE($A363),'changes1_based on steps'!D$1:D$400,0)),D$2,)</f>
        <v>0</v>
      </c>
      <c r="E363" s="179">
        <f ca="1">IF(ISNUMBER(MATCH(DATEVALUE($A363),'changes1_based on steps'!E$1:E$400,0)),E$2,)</f>
        <v>0</v>
      </c>
      <c r="F363" s="179">
        <f ca="1">IF(ISNUMBER(MATCH(DATEVALUE($A363),'changes1_based on steps'!F$1:F$400,0)),F$2,)</f>
        <v>0</v>
      </c>
      <c r="G363" s="179">
        <f ca="1">IF(ISNUMBER(MATCH(DATEVALUE($A363),'changes1_based on steps'!G$1:G$400,0)),G$2,)</f>
        <v>0</v>
      </c>
      <c r="H363" s="179">
        <f ca="1">IF(ISNUMBER(MATCH(DATEVALUE($A363),'changes1_based on steps'!H$1:H$400,0)),H$2,)</f>
        <v>0</v>
      </c>
      <c r="I363" s="179">
        <f ca="1">IF(ISNUMBER(MATCH(DATEVALUE($A363),'changes1_based on steps'!I$1:I$400,0)),I$2,)</f>
        <v>0</v>
      </c>
      <c r="J363" s="179">
        <f ca="1">IF(ISNUMBER(MATCH(DATEVALUE($A363),'changes1_based on steps'!J$1:J$400,0)),J$2,)</f>
        <v>0</v>
      </c>
      <c r="K363" s="179">
        <f ca="1">IF(ISNUMBER(MATCH(DATEVALUE($A363),'changes1_based on steps'!K$1:K$400,0)),K$2,)</f>
        <v>0</v>
      </c>
      <c r="L363" s="179">
        <f ca="1">IF(ISNUMBER(MATCH(DATEVALUE($A363),'changes1_based on steps'!L$1:L$400,0)),L$2,)</f>
        <v>0</v>
      </c>
      <c r="M363" s="179">
        <f ca="1">IF(ISNUMBER(MATCH(DATEVALUE($A363),'changes1_based on steps'!M$1:M$400,0)),M$2,)</f>
        <v>0</v>
      </c>
      <c r="N363" s="179">
        <f ca="1">IF(ISNUMBER(MATCH(DATEVALUE($A363),'changes1_based on steps'!N$1:N$400,0)),N$2,)</f>
        <v>0</v>
      </c>
      <c r="O363" s="179">
        <f ca="1">IF(ISNUMBER(MATCH(DATEVALUE($A363),'changes1_based on steps'!O$1:O$400,0)),O$2,)</f>
        <v>0</v>
      </c>
      <c r="P363" s="179">
        <f ca="1">IF(ISNUMBER(MATCH(DATEVALUE($A363),'changes1_based on steps'!P$1:P$400,0)),P$2,)</f>
        <v>0</v>
      </c>
      <c r="Q363" s="179">
        <f ca="1">IF(ISNUMBER(MATCH(DATEVALUE($A363),'changes1_based on steps'!Q$1:Q$400,0)),Q$2,)</f>
        <v>0</v>
      </c>
      <c r="R363" s="179">
        <f ca="1">IF(ISNUMBER(MATCH(DATEVALUE($A363),'changes1_based on steps'!R$1:R$400,0)),R$2,)</f>
        <v>0</v>
      </c>
      <c r="S363" s="179">
        <f ca="1">IF(ISNUMBER(MATCH(DATEVALUE($A363),'changes1_based on steps'!S$1:S$400,0)),S$2,)</f>
        <v>0</v>
      </c>
      <c r="T363" s="179">
        <f ca="1">IF(ISNUMBER(MATCH(DATEVALUE($A363),'changes1_based on steps'!T$1:T$400,0)),T$2,)</f>
        <v>0</v>
      </c>
      <c r="U363" s="179">
        <f ca="1">IF(ISNUMBER(MATCH(DATEVALUE($A363),'changes1_based on steps'!U$1:U$400,0)),U$2,)</f>
        <v>0</v>
      </c>
      <c r="V363" s="179"/>
      <c r="W363" s="179"/>
      <c r="X363" s="179"/>
      <c r="Y363" s="179"/>
      <c r="Z363" s="179"/>
      <c r="AA363" s="179"/>
      <c r="AB363" s="179"/>
      <c r="AC363" s="179"/>
      <c r="AD363" s="179"/>
      <c r="AE363" s="179"/>
      <c r="AF363" s="179"/>
      <c r="AG363" s="179"/>
      <c r="AH363" s="179"/>
      <c r="AI363" s="179"/>
      <c r="AJ363" s="179"/>
      <c r="AK363" s="179"/>
      <c r="AL363" s="179"/>
      <c r="AM363" s="179"/>
      <c r="AN363" s="179"/>
      <c r="AO363" s="179"/>
      <c r="AP363" s="179"/>
      <c r="AQ363" s="179"/>
      <c r="AR363" s="179"/>
      <c r="AS363" s="179"/>
      <c r="AT363" s="179"/>
      <c r="AU363" s="179"/>
      <c r="AV363" s="179"/>
      <c r="AW363" s="179"/>
      <c r="AX363" s="179"/>
      <c r="AY363" s="179"/>
      <c r="AZ363" s="179"/>
      <c r="BA363" s="179"/>
      <c r="BB363" s="179"/>
      <c r="BC363" s="179"/>
      <c r="BD363" s="179"/>
      <c r="BE363" s="179"/>
      <c r="BF363" s="179"/>
      <c r="BG363" s="179"/>
      <c r="BH363" s="179"/>
      <c r="BI363" s="179"/>
      <c r="BJ363" s="179"/>
      <c r="BK363" s="179"/>
      <c r="BL363" s="179"/>
      <c r="BM363" s="179"/>
      <c r="BN363" s="179"/>
      <c r="BO363" s="179"/>
      <c r="BP363" s="179"/>
      <c r="BQ363" s="179"/>
      <c r="BR363" s="179"/>
      <c r="BS363" s="179"/>
      <c r="BT363" s="179"/>
      <c r="BU363" s="179"/>
      <c r="BV363" s="179"/>
      <c r="BW363" s="179"/>
      <c r="BX363" s="179"/>
      <c r="BY363" s="179"/>
      <c r="BZ363" s="179"/>
      <c r="CA363" s="179"/>
      <c r="CB363" s="179"/>
      <c r="CC363" s="179"/>
      <c r="CD363" s="179"/>
      <c r="CE363" s="179"/>
      <c r="CF363" s="179"/>
      <c r="CG363" s="179"/>
      <c r="CH363" s="179"/>
      <c r="CI363" s="179"/>
      <c r="CJ363" s="179"/>
      <c r="CK363" s="179"/>
      <c r="CL363" s="179"/>
      <c r="CM363" s="179"/>
      <c r="CN363" s="179"/>
      <c r="CO363" s="179"/>
      <c r="CP363" s="179"/>
      <c r="CQ363" s="179"/>
      <c r="CR363" s="179"/>
      <c r="CS363" s="179"/>
      <c r="CT363" s="179"/>
      <c r="CU363" s="179"/>
      <c r="CV363" s="179"/>
      <c r="CW363" s="179"/>
    </row>
    <row r="364" spans="1:101" x14ac:dyDescent="0.2">
      <c r="A364" s="32" t="str">
        <f t="shared" ca="1" si="5"/>
        <v>2026-04-01</v>
      </c>
      <c r="B364" s="179">
        <f ca="1">IF(ISNUMBER(MATCH(DATEVALUE($A364),'changes1_based on steps'!B$1:B$400,0)),B$2,)</f>
        <v>0</v>
      </c>
      <c r="C364" s="179">
        <f ca="1">IF(ISNUMBER(MATCH(DATEVALUE($A364),'changes1_based on steps'!C$1:C$400,0)),C$2,)</f>
        <v>0</v>
      </c>
      <c r="D364" s="179">
        <f ca="1">IF(ISNUMBER(MATCH(DATEVALUE($A364),'changes1_based on steps'!D$1:D$400,0)),D$2,)</f>
        <v>0</v>
      </c>
      <c r="E364" s="179">
        <f ca="1">IF(ISNUMBER(MATCH(DATEVALUE($A364),'changes1_based on steps'!E$1:E$400,0)),E$2,)</f>
        <v>0</v>
      </c>
      <c r="F364" s="179">
        <f ca="1">IF(ISNUMBER(MATCH(DATEVALUE($A364),'changes1_based on steps'!F$1:F$400,0)),F$2,)</f>
        <v>0</v>
      </c>
      <c r="G364" s="179">
        <f ca="1">IF(ISNUMBER(MATCH(DATEVALUE($A364),'changes1_based on steps'!G$1:G$400,0)),G$2,)</f>
        <v>0</v>
      </c>
      <c r="H364" s="179">
        <f ca="1">IF(ISNUMBER(MATCH(DATEVALUE($A364),'changes1_based on steps'!H$1:H$400,0)),H$2,)</f>
        <v>0</v>
      </c>
      <c r="I364" s="179">
        <f ca="1">IF(ISNUMBER(MATCH(DATEVALUE($A364),'changes1_based on steps'!I$1:I$400,0)),I$2,)</f>
        <v>0</v>
      </c>
      <c r="J364" s="179">
        <f ca="1">IF(ISNUMBER(MATCH(DATEVALUE($A364),'changes1_based on steps'!J$1:J$400,0)),J$2,)</f>
        <v>0</v>
      </c>
      <c r="K364" s="179">
        <f ca="1">IF(ISNUMBER(MATCH(DATEVALUE($A364),'changes1_based on steps'!K$1:K$400,0)),K$2,)</f>
        <v>0</v>
      </c>
      <c r="L364" s="179">
        <f ca="1">IF(ISNUMBER(MATCH(DATEVALUE($A364),'changes1_based on steps'!L$1:L$400,0)),L$2,)</f>
        <v>0</v>
      </c>
      <c r="M364" s="179">
        <f ca="1">IF(ISNUMBER(MATCH(DATEVALUE($A364),'changes1_based on steps'!M$1:M$400,0)),M$2,)</f>
        <v>0</v>
      </c>
      <c r="N364" s="179">
        <f ca="1">IF(ISNUMBER(MATCH(DATEVALUE($A364),'changes1_based on steps'!N$1:N$400,0)),N$2,)</f>
        <v>0</v>
      </c>
      <c r="O364" s="179">
        <f ca="1">IF(ISNUMBER(MATCH(DATEVALUE($A364),'changes1_based on steps'!O$1:O$400,0)),O$2,)</f>
        <v>0</v>
      </c>
      <c r="P364" s="179">
        <f ca="1">IF(ISNUMBER(MATCH(DATEVALUE($A364),'changes1_based on steps'!P$1:P$400,0)),P$2,)</f>
        <v>0</v>
      </c>
      <c r="Q364" s="179">
        <f ca="1">IF(ISNUMBER(MATCH(DATEVALUE($A364),'changes1_based on steps'!Q$1:Q$400,0)),Q$2,)</f>
        <v>0</v>
      </c>
      <c r="R364" s="179">
        <f ca="1">IF(ISNUMBER(MATCH(DATEVALUE($A364),'changes1_based on steps'!R$1:R$400,0)),R$2,)</f>
        <v>0</v>
      </c>
      <c r="S364" s="179">
        <f ca="1">IF(ISNUMBER(MATCH(DATEVALUE($A364),'changes1_based on steps'!S$1:S$400,0)),S$2,)</f>
        <v>0</v>
      </c>
      <c r="T364" s="179">
        <f ca="1">IF(ISNUMBER(MATCH(DATEVALUE($A364),'changes1_based on steps'!T$1:T$400,0)),T$2,)</f>
        <v>0</v>
      </c>
      <c r="U364" s="179">
        <f ca="1">IF(ISNUMBER(MATCH(DATEVALUE($A364),'changes1_based on steps'!U$1:U$400,0)),U$2,)</f>
        <v>0</v>
      </c>
      <c r="V364" s="179"/>
      <c r="W364" s="179"/>
      <c r="X364" s="179"/>
      <c r="Y364" s="179"/>
      <c r="Z364" s="179"/>
      <c r="AA364" s="179"/>
      <c r="AB364" s="179"/>
      <c r="AC364" s="179"/>
      <c r="AD364" s="179"/>
      <c r="AE364" s="179"/>
      <c r="AF364" s="179"/>
      <c r="AG364" s="179"/>
      <c r="AH364" s="179"/>
      <c r="AI364" s="179"/>
      <c r="AJ364" s="179"/>
      <c r="AK364" s="179"/>
      <c r="AL364" s="179"/>
      <c r="AM364" s="179"/>
      <c r="AN364" s="179"/>
      <c r="AO364" s="179"/>
      <c r="AP364" s="179"/>
      <c r="AQ364" s="179"/>
      <c r="AR364" s="179"/>
      <c r="AS364" s="179"/>
      <c r="AT364" s="179"/>
      <c r="AU364" s="179"/>
      <c r="AV364" s="179"/>
      <c r="AW364" s="179"/>
      <c r="AX364" s="179"/>
      <c r="AY364" s="179"/>
      <c r="AZ364" s="179"/>
      <c r="BA364" s="179"/>
      <c r="BB364" s="179"/>
      <c r="BC364" s="179"/>
      <c r="BD364" s="179"/>
      <c r="BE364" s="179"/>
      <c r="BF364" s="179"/>
      <c r="BG364" s="179"/>
      <c r="BH364" s="179"/>
      <c r="BI364" s="179"/>
      <c r="BJ364" s="179"/>
      <c r="BK364" s="179"/>
      <c r="BL364" s="179"/>
      <c r="BM364" s="179"/>
      <c r="BN364" s="179"/>
      <c r="BO364" s="179"/>
      <c r="BP364" s="179"/>
      <c r="BQ364" s="179"/>
      <c r="BR364" s="179"/>
      <c r="BS364" s="179"/>
      <c r="BT364" s="179"/>
      <c r="BU364" s="179"/>
      <c r="BV364" s="179"/>
      <c r="BW364" s="179"/>
      <c r="BX364" s="179"/>
      <c r="BY364" s="179"/>
      <c r="BZ364" s="179"/>
      <c r="CA364" s="179"/>
      <c r="CB364" s="179"/>
      <c r="CC364" s="179"/>
      <c r="CD364" s="179"/>
      <c r="CE364" s="179"/>
      <c r="CF364" s="179"/>
      <c r="CG364" s="179"/>
      <c r="CH364" s="179"/>
      <c r="CI364" s="179"/>
      <c r="CJ364" s="179"/>
      <c r="CK364" s="179"/>
      <c r="CL364" s="179"/>
      <c r="CM364" s="179"/>
      <c r="CN364" s="179"/>
      <c r="CO364" s="179"/>
      <c r="CP364" s="179"/>
      <c r="CQ364" s="179"/>
      <c r="CR364" s="179"/>
      <c r="CS364" s="179"/>
      <c r="CT364" s="179"/>
      <c r="CU364" s="179"/>
      <c r="CV364" s="179"/>
      <c r="CW364" s="179"/>
    </row>
    <row r="365" spans="1:101" x14ac:dyDescent="0.2">
      <c r="A365" s="32" t="str">
        <f t="shared" ca="1" si="5"/>
        <v>2026-04-02</v>
      </c>
      <c r="B365" s="179">
        <f ca="1">IF(ISNUMBER(MATCH(DATEVALUE($A365),'changes1_based on steps'!B$1:B$400,0)),B$2,)</f>
        <v>0</v>
      </c>
      <c r="C365" s="179">
        <f ca="1">IF(ISNUMBER(MATCH(DATEVALUE($A365),'changes1_based on steps'!C$1:C$400,0)),C$2,)</f>
        <v>0</v>
      </c>
      <c r="D365" s="179">
        <f ca="1">IF(ISNUMBER(MATCH(DATEVALUE($A365),'changes1_based on steps'!D$1:D$400,0)),D$2,)</f>
        <v>0</v>
      </c>
      <c r="E365" s="179">
        <f ca="1">IF(ISNUMBER(MATCH(DATEVALUE($A365),'changes1_based on steps'!E$1:E$400,0)),E$2,)</f>
        <v>0</v>
      </c>
      <c r="F365" s="179">
        <f ca="1">IF(ISNUMBER(MATCH(DATEVALUE($A365),'changes1_based on steps'!F$1:F$400,0)),F$2,)</f>
        <v>0</v>
      </c>
      <c r="G365" s="179">
        <f ca="1">IF(ISNUMBER(MATCH(DATEVALUE($A365),'changes1_based on steps'!G$1:G$400,0)),G$2,)</f>
        <v>0</v>
      </c>
      <c r="H365" s="179">
        <f ca="1">IF(ISNUMBER(MATCH(DATEVALUE($A365),'changes1_based on steps'!H$1:H$400,0)),H$2,)</f>
        <v>0</v>
      </c>
      <c r="I365" s="179">
        <f ca="1">IF(ISNUMBER(MATCH(DATEVALUE($A365),'changes1_based on steps'!I$1:I$400,0)),I$2,)</f>
        <v>0</v>
      </c>
      <c r="J365" s="179">
        <f ca="1">IF(ISNUMBER(MATCH(DATEVALUE($A365),'changes1_based on steps'!J$1:J$400,0)),J$2,)</f>
        <v>0</v>
      </c>
      <c r="K365" s="179">
        <f ca="1">IF(ISNUMBER(MATCH(DATEVALUE($A365),'changes1_based on steps'!K$1:K$400,0)),K$2,)</f>
        <v>0</v>
      </c>
      <c r="L365" s="179">
        <f ca="1">IF(ISNUMBER(MATCH(DATEVALUE($A365),'changes1_based on steps'!L$1:L$400,0)),L$2,)</f>
        <v>0</v>
      </c>
      <c r="M365" s="179">
        <f ca="1">IF(ISNUMBER(MATCH(DATEVALUE($A365),'changes1_based on steps'!M$1:M$400,0)),M$2,)</f>
        <v>0</v>
      </c>
      <c r="N365" s="179">
        <f ca="1">IF(ISNUMBER(MATCH(DATEVALUE($A365),'changes1_based on steps'!N$1:N$400,0)),N$2,)</f>
        <v>0</v>
      </c>
      <c r="O365" s="179">
        <f ca="1">IF(ISNUMBER(MATCH(DATEVALUE($A365),'changes1_based on steps'!O$1:O$400,0)),O$2,)</f>
        <v>0</v>
      </c>
      <c r="P365" s="179">
        <f ca="1">IF(ISNUMBER(MATCH(DATEVALUE($A365),'changes1_based on steps'!P$1:P$400,0)),P$2,)</f>
        <v>0</v>
      </c>
      <c r="Q365" s="179">
        <f ca="1">IF(ISNUMBER(MATCH(DATEVALUE($A365),'changes1_based on steps'!Q$1:Q$400,0)),Q$2,)</f>
        <v>0</v>
      </c>
      <c r="R365" s="179">
        <f ca="1">IF(ISNUMBER(MATCH(DATEVALUE($A365),'changes1_based on steps'!R$1:R$400,0)),R$2,)</f>
        <v>0</v>
      </c>
      <c r="S365" s="179">
        <f ca="1">IF(ISNUMBER(MATCH(DATEVALUE($A365),'changes1_based on steps'!S$1:S$400,0)),S$2,)</f>
        <v>0</v>
      </c>
      <c r="T365" s="179">
        <f ca="1">IF(ISNUMBER(MATCH(DATEVALUE($A365),'changes1_based on steps'!T$1:T$400,0)),T$2,)</f>
        <v>0</v>
      </c>
      <c r="U365" s="179">
        <f ca="1">IF(ISNUMBER(MATCH(DATEVALUE($A365),'changes1_based on steps'!U$1:U$400,0)),U$2,)</f>
        <v>0</v>
      </c>
      <c r="V365" s="179"/>
      <c r="W365" s="179"/>
      <c r="X365" s="179"/>
      <c r="Y365" s="179"/>
      <c r="Z365" s="179"/>
      <c r="AA365" s="179"/>
      <c r="AB365" s="179"/>
      <c r="AC365" s="179"/>
      <c r="AD365" s="179"/>
      <c r="AE365" s="179"/>
      <c r="AF365" s="179"/>
      <c r="AG365" s="179"/>
      <c r="AH365" s="179"/>
      <c r="AI365" s="179"/>
      <c r="AJ365" s="179"/>
      <c r="AK365" s="179"/>
      <c r="AL365" s="179"/>
      <c r="AM365" s="179"/>
      <c r="AN365" s="179"/>
      <c r="AO365" s="179"/>
      <c r="AP365" s="179"/>
      <c r="AQ365" s="179"/>
      <c r="AR365" s="179"/>
      <c r="AS365" s="179"/>
      <c r="AT365" s="179"/>
      <c r="AU365" s="179"/>
      <c r="AV365" s="179"/>
      <c r="AW365" s="179"/>
      <c r="AX365" s="179"/>
      <c r="AY365" s="179"/>
      <c r="AZ365" s="179"/>
      <c r="BA365" s="179"/>
      <c r="BB365" s="179"/>
      <c r="BC365" s="179"/>
      <c r="BD365" s="179"/>
      <c r="BE365" s="179"/>
      <c r="BF365" s="179"/>
      <c r="BG365" s="179"/>
      <c r="BH365" s="179"/>
      <c r="BI365" s="179"/>
      <c r="BJ365" s="179"/>
      <c r="BK365" s="179"/>
      <c r="BL365" s="179"/>
      <c r="BM365" s="179"/>
      <c r="BN365" s="179"/>
      <c r="BO365" s="179"/>
      <c r="BP365" s="179"/>
      <c r="BQ365" s="179"/>
      <c r="BR365" s="179"/>
      <c r="BS365" s="179"/>
      <c r="BT365" s="179"/>
      <c r="BU365" s="179"/>
      <c r="BV365" s="179"/>
      <c r="BW365" s="179"/>
      <c r="BX365" s="179"/>
      <c r="BY365" s="179"/>
      <c r="BZ365" s="179"/>
      <c r="CA365" s="179"/>
      <c r="CB365" s="179"/>
      <c r="CC365" s="179"/>
      <c r="CD365" s="179"/>
      <c r="CE365" s="179"/>
      <c r="CF365" s="179"/>
      <c r="CG365" s="179"/>
      <c r="CH365" s="179"/>
      <c r="CI365" s="179"/>
      <c r="CJ365" s="179"/>
      <c r="CK365" s="179"/>
      <c r="CL365" s="179"/>
      <c r="CM365" s="179"/>
      <c r="CN365" s="179"/>
      <c r="CO365" s="179"/>
      <c r="CP365" s="179"/>
      <c r="CQ365" s="179"/>
      <c r="CR365" s="179"/>
      <c r="CS365" s="179"/>
      <c r="CT365" s="179"/>
      <c r="CU365" s="179"/>
      <c r="CV365" s="179"/>
      <c r="CW365" s="179"/>
    </row>
    <row r="366" spans="1:101" x14ac:dyDescent="0.2">
      <c r="A366" s="32" t="str">
        <f t="shared" ca="1" si="5"/>
        <v>2026-04-03</v>
      </c>
      <c r="B366" s="179">
        <f ca="1">IF(ISNUMBER(MATCH(DATEVALUE($A366),'changes1_based on steps'!B$1:B$400,0)),B$2,)</f>
        <v>0</v>
      </c>
      <c r="C366" s="179">
        <f ca="1">IF(ISNUMBER(MATCH(DATEVALUE($A366),'changes1_based on steps'!C$1:C$400,0)),C$2,)</f>
        <v>0</v>
      </c>
      <c r="D366" s="179">
        <f ca="1">IF(ISNUMBER(MATCH(DATEVALUE($A366),'changes1_based on steps'!D$1:D$400,0)),D$2,)</f>
        <v>0</v>
      </c>
      <c r="E366" s="179">
        <f ca="1">IF(ISNUMBER(MATCH(DATEVALUE($A366),'changes1_based on steps'!E$1:E$400,0)),E$2,)</f>
        <v>0</v>
      </c>
      <c r="F366" s="179">
        <f ca="1">IF(ISNUMBER(MATCH(DATEVALUE($A366),'changes1_based on steps'!F$1:F$400,0)),F$2,)</f>
        <v>0</v>
      </c>
      <c r="G366" s="179">
        <f ca="1">IF(ISNUMBER(MATCH(DATEVALUE($A366),'changes1_based on steps'!G$1:G$400,0)),G$2,)</f>
        <v>0</v>
      </c>
      <c r="H366" s="179">
        <f ca="1">IF(ISNUMBER(MATCH(DATEVALUE($A366),'changes1_based on steps'!H$1:H$400,0)),H$2,)</f>
        <v>0</v>
      </c>
      <c r="I366" s="179">
        <f ca="1">IF(ISNUMBER(MATCH(DATEVALUE($A366),'changes1_based on steps'!I$1:I$400,0)),I$2,)</f>
        <v>0</v>
      </c>
      <c r="J366" s="179">
        <f ca="1">IF(ISNUMBER(MATCH(DATEVALUE($A366),'changes1_based on steps'!J$1:J$400,0)),J$2,)</f>
        <v>0</v>
      </c>
      <c r="K366" s="179">
        <f ca="1">IF(ISNUMBER(MATCH(DATEVALUE($A366),'changes1_based on steps'!K$1:K$400,0)),K$2,)</f>
        <v>0</v>
      </c>
      <c r="L366" s="179">
        <f ca="1">IF(ISNUMBER(MATCH(DATEVALUE($A366),'changes1_based on steps'!L$1:L$400,0)),L$2,)</f>
        <v>0</v>
      </c>
      <c r="M366" s="179">
        <f ca="1">IF(ISNUMBER(MATCH(DATEVALUE($A366),'changes1_based on steps'!M$1:M$400,0)),M$2,)</f>
        <v>0</v>
      </c>
      <c r="N366" s="179">
        <f ca="1">IF(ISNUMBER(MATCH(DATEVALUE($A366),'changes1_based on steps'!N$1:N$400,0)),N$2,)</f>
        <v>0</v>
      </c>
      <c r="O366" s="179">
        <f ca="1">IF(ISNUMBER(MATCH(DATEVALUE($A366),'changes1_based on steps'!O$1:O$400,0)),O$2,)</f>
        <v>0</v>
      </c>
      <c r="P366" s="179">
        <f ca="1">IF(ISNUMBER(MATCH(DATEVALUE($A366),'changes1_based on steps'!P$1:P$400,0)),P$2,)</f>
        <v>0</v>
      </c>
      <c r="Q366" s="179">
        <f ca="1">IF(ISNUMBER(MATCH(DATEVALUE($A366),'changes1_based on steps'!Q$1:Q$400,0)),Q$2,)</f>
        <v>0</v>
      </c>
      <c r="R366" s="179">
        <f ca="1">IF(ISNUMBER(MATCH(DATEVALUE($A366),'changes1_based on steps'!R$1:R$400,0)),R$2,)</f>
        <v>0</v>
      </c>
      <c r="S366" s="179">
        <f ca="1">IF(ISNUMBER(MATCH(DATEVALUE($A366),'changes1_based on steps'!S$1:S$400,0)),S$2,)</f>
        <v>0</v>
      </c>
      <c r="T366" s="179">
        <f ca="1">IF(ISNUMBER(MATCH(DATEVALUE($A366),'changes1_based on steps'!T$1:T$400,0)),T$2,)</f>
        <v>0</v>
      </c>
      <c r="U366" s="179">
        <f ca="1">IF(ISNUMBER(MATCH(DATEVALUE($A366),'changes1_based on steps'!U$1:U$400,0)),U$2,)</f>
        <v>0</v>
      </c>
      <c r="V366" s="179"/>
      <c r="W366" s="179"/>
      <c r="X366" s="179"/>
      <c r="Y366" s="179"/>
      <c r="Z366" s="179"/>
      <c r="AA366" s="179"/>
      <c r="AB366" s="179"/>
      <c r="AC366" s="179"/>
      <c r="AD366" s="179"/>
      <c r="AE366" s="179"/>
      <c r="AF366" s="179"/>
      <c r="AG366" s="179"/>
      <c r="AH366" s="179"/>
      <c r="AI366" s="179"/>
      <c r="AJ366" s="179"/>
      <c r="AK366" s="179"/>
      <c r="AL366" s="179"/>
      <c r="AM366" s="179"/>
      <c r="AN366" s="179"/>
      <c r="AO366" s="179"/>
      <c r="AP366" s="179"/>
      <c r="AQ366" s="179"/>
      <c r="AR366" s="179"/>
      <c r="AS366" s="179"/>
      <c r="AT366" s="179"/>
      <c r="AU366" s="179"/>
      <c r="AV366" s="179"/>
      <c r="AW366" s="179"/>
      <c r="AX366" s="179"/>
      <c r="AY366" s="179"/>
      <c r="AZ366" s="179"/>
      <c r="BA366" s="179"/>
      <c r="BB366" s="179"/>
      <c r="BC366" s="179"/>
      <c r="BD366" s="179"/>
      <c r="BE366" s="179"/>
      <c r="BF366" s="179"/>
      <c r="BG366" s="179"/>
      <c r="BH366" s="179"/>
      <c r="BI366" s="179"/>
      <c r="BJ366" s="179"/>
      <c r="BK366" s="179"/>
      <c r="BL366" s="179"/>
      <c r="BM366" s="179"/>
      <c r="BN366" s="179"/>
      <c r="BO366" s="179"/>
      <c r="BP366" s="179"/>
      <c r="BQ366" s="179"/>
      <c r="BR366" s="179"/>
      <c r="BS366" s="179"/>
      <c r="BT366" s="179"/>
      <c r="BU366" s="179"/>
      <c r="BV366" s="179"/>
      <c r="BW366" s="179"/>
      <c r="BX366" s="179"/>
      <c r="BY366" s="179"/>
      <c r="BZ366" s="179"/>
      <c r="CA366" s="179"/>
      <c r="CB366" s="179"/>
      <c r="CC366" s="179"/>
      <c r="CD366" s="179"/>
      <c r="CE366" s="179"/>
      <c r="CF366" s="179"/>
      <c r="CG366" s="179"/>
      <c r="CH366" s="179"/>
      <c r="CI366" s="179"/>
      <c r="CJ366" s="179"/>
      <c r="CK366" s="179"/>
      <c r="CL366" s="179"/>
      <c r="CM366" s="179"/>
      <c r="CN366" s="179"/>
      <c r="CO366" s="179"/>
      <c r="CP366" s="179"/>
      <c r="CQ366" s="179"/>
      <c r="CR366" s="179"/>
      <c r="CS366" s="179"/>
      <c r="CT366" s="179"/>
      <c r="CU366" s="179"/>
      <c r="CV366" s="179"/>
      <c r="CW366" s="179"/>
    </row>
    <row r="367" spans="1:101" x14ac:dyDescent="0.2">
      <c r="A367" s="32" t="str">
        <f t="shared" ca="1" si="5"/>
        <v>2026-04-04</v>
      </c>
      <c r="B367" s="179">
        <f ca="1">IF(ISNUMBER(MATCH(DATEVALUE($A367),'changes1_based on steps'!B$1:B$400,0)),B$2,)</f>
        <v>0</v>
      </c>
      <c r="C367" s="179">
        <f ca="1">IF(ISNUMBER(MATCH(DATEVALUE($A367),'changes1_based on steps'!C$1:C$400,0)),C$2,)</f>
        <v>0</v>
      </c>
      <c r="D367" s="179">
        <f ca="1">IF(ISNUMBER(MATCH(DATEVALUE($A367),'changes1_based on steps'!D$1:D$400,0)),D$2,)</f>
        <v>0</v>
      </c>
      <c r="E367" s="179">
        <f ca="1">IF(ISNUMBER(MATCH(DATEVALUE($A367),'changes1_based on steps'!E$1:E$400,0)),E$2,)</f>
        <v>0</v>
      </c>
      <c r="F367" s="179">
        <f ca="1">IF(ISNUMBER(MATCH(DATEVALUE($A367),'changes1_based on steps'!F$1:F$400,0)),F$2,)</f>
        <v>0</v>
      </c>
      <c r="G367" s="179">
        <f ca="1">IF(ISNUMBER(MATCH(DATEVALUE($A367),'changes1_based on steps'!G$1:G$400,0)),G$2,)</f>
        <v>0</v>
      </c>
      <c r="H367" s="179">
        <f ca="1">IF(ISNUMBER(MATCH(DATEVALUE($A367),'changes1_based on steps'!H$1:H$400,0)),H$2,)</f>
        <v>0</v>
      </c>
      <c r="I367" s="179">
        <f ca="1">IF(ISNUMBER(MATCH(DATEVALUE($A367),'changes1_based on steps'!I$1:I$400,0)),I$2,)</f>
        <v>0</v>
      </c>
      <c r="J367" s="179">
        <f ca="1">IF(ISNUMBER(MATCH(DATEVALUE($A367),'changes1_based on steps'!J$1:J$400,0)),J$2,)</f>
        <v>0</v>
      </c>
      <c r="K367" s="179">
        <f ca="1">IF(ISNUMBER(MATCH(DATEVALUE($A367),'changes1_based on steps'!K$1:K$400,0)),K$2,)</f>
        <v>0</v>
      </c>
      <c r="L367" s="179">
        <f ca="1">IF(ISNUMBER(MATCH(DATEVALUE($A367),'changes1_based on steps'!L$1:L$400,0)),L$2,)</f>
        <v>0</v>
      </c>
      <c r="M367" s="179">
        <f ca="1">IF(ISNUMBER(MATCH(DATEVALUE($A367),'changes1_based on steps'!M$1:M$400,0)),M$2,)</f>
        <v>0</v>
      </c>
      <c r="N367" s="179">
        <f ca="1">IF(ISNUMBER(MATCH(DATEVALUE($A367),'changes1_based on steps'!N$1:N$400,0)),N$2,)</f>
        <v>0</v>
      </c>
      <c r="O367" s="179">
        <f ca="1">IF(ISNUMBER(MATCH(DATEVALUE($A367),'changes1_based on steps'!O$1:O$400,0)),O$2,)</f>
        <v>0</v>
      </c>
      <c r="P367" s="179">
        <f ca="1">IF(ISNUMBER(MATCH(DATEVALUE($A367),'changes1_based on steps'!P$1:P$400,0)),P$2,)</f>
        <v>0</v>
      </c>
      <c r="Q367" s="179">
        <f ca="1">IF(ISNUMBER(MATCH(DATEVALUE($A367),'changes1_based on steps'!Q$1:Q$400,0)),Q$2,)</f>
        <v>0</v>
      </c>
      <c r="R367" s="179">
        <f ca="1">IF(ISNUMBER(MATCH(DATEVALUE($A367),'changes1_based on steps'!R$1:R$400,0)),R$2,)</f>
        <v>0</v>
      </c>
      <c r="S367" s="179">
        <f ca="1">IF(ISNUMBER(MATCH(DATEVALUE($A367),'changes1_based on steps'!S$1:S$400,0)),S$2,)</f>
        <v>0</v>
      </c>
      <c r="T367" s="179">
        <f ca="1">IF(ISNUMBER(MATCH(DATEVALUE($A367),'changes1_based on steps'!T$1:T$400,0)),T$2,)</f>
        <v>0</v>
      </c>
      <c r="U367" s="179">
        <f ca="1">IF(ISNUMBER(MATCH(DATEVALUE($A367),'changes1_based on steps'!U$1:U$400,0)),U$2,)</f>
        <v>0</v>
      </c>
      <c r="V367" s="179"/>
      <c r="W367" s="179"/>
      <c r="X367" s="179"/>
      <c r="Y367" s="179"/>
      <c r="Z367" s="179"/>
      <c r="AA367" s="179"/>
      <c r="AB367" s="179"/>
      <c r="AC367" s="179"/>
      <c r="AD367" s="179"/>
      <c r="AE367" s="179"/>
      <c r="AF367" s="179"/>
      <c r="AG367" s="179"/>
      <c r="AH367" s="179"/>
      <c r="AI367" s="179"/>
      <c r="AJ367" s="179"/>
      <c r="AK367" s="179"/>
      <c r="AL367" s="179"/>
      <c r="AM367" s="179"/>
      <c r="AN367" s="179"/>
      <c r="AO367" s="179"/>
      <c r="AP367" s="179"/>
      <c r="AQ367" s="179"/>
      <c r="AR367" s="179"/>
      <c r="AS367" s="179"/>
      <c r="AT367" s="179"/>
      <c r="AU367" s="179"/>
      <c r="AV367" s="179"/>
      <c r="AW367" s="179"/>
      <c r="AX367" s="179"/>
      <c r="AY367" s="179"/>
      <c r="AZ367" s="179"/>
      <c r="BA367" s="179"/>
      <c r="BB367" s="179"/>
      <c r="BC367" s="179"/>
      <c r="BD367" s="179"/>
      <c r="BE367" s="179"/>
      <c r="BF367" s="179"/>
      <c r="BG367" s="179"/>
      <c r="BH367" s="179"/>
      <c r="BI367" s="179"/>
      <c r="BJ367" s="179"/>
      <c r="BK367" s="179"/>
      <c r="BL367" s="179"/>
      <c r="BM367" s="179"/>
      <c r="BN367" s="179"/>
      <c r="BO367" s="179"/>
      <c r="BP367" s="179"/>
      <c r="BQ367" s="179"/>
      <c r="BR367" s="179"/>
      <c r="BS367" s="179"/>
      <c r="BT367" s="179"/>
      <c r="BU367" s="179"/>
      <c r="BV367" s="179"/>
      <c r="BW367" s="179"/>
      <c r="BX367" s="179"/>
      <c r="BY367" s="179"/>
      <c r="BZ367" s="179"/>
      <c r="CA367" s="179"/>
      <c r="CB367" s="179"/>
      <c r="CC367" s="179"/>
      <c r="CD367" s="179"/>
      <c r="CE367" s="179"/>
      <c r="CF367" s="179"/>
      <c r="CG367" s="179"/>
      <c r="CH367" s="179"/>
      <c r="CI367" s="179"/>
      <c r="CJ367" s="179"/>
      <c r="CK367" s="179"/>
      <c r="CL367" s="179"/>
      <c r="CM367" s="179"/>
      <c r="CN367" s="179"/>
      <c r="CO367" s="179"/>
      <c r="CP367" s="179"/>
      <c r="CQ367" s="179"/>
      <c r="CR367" s="179"/>
      <c r="CS367" s="179"/>
      <c r="CT367" s="179"/>
      <c r="CU367" s="179"/>
      <c r="CV367" s="179"/>
      <c r="CW367" s="179"/>
    </row>
    <row r="368" spans="1:101" x14ac:dyDescent="0.2">
      <c r="A368" s="32" t="str">
        <f t="shared" ca="1" si="5"/>
        <v>2026-04-05</v>
      </c>
      <c r="B368" s="179">
        <f ca="1">IF(ISNUMBER(MATCH(DATEVALUE($A368),'changes1_based on steps'!B$1:B$400,0)),B$2,)</f>
        <v>0</v>
      </c>
      <c r="C368" s="179">
        <f ca="1">IF(ISNUMBER(MATCH(DATEVALUE($A368),'changes1_based on steps'!C$1:C$400,0)),C$2,)</f>
        <v>0</v>
      </c>
      <c r="D368" s="179">
        <f ca="1">IF(ISNUMBER(MATCH(DATEVALUE($A368),'changes1_based on steps'!D$1:D$400,0)),D$2,)</f>
        <v>0</v>
      </c>
      <c r="E368" s="179">
        <f ca="1">IF(ISNUMBER(MATCH(DATEVALUE($A368),'changes1_based on steps'!E$1:E$400,0)),E$2,)</f>
        <v>0</v>
      </c>
      <c r="F368" s="179">
        <f ca="1">IF(ISNUMBER(MATCH(DATEVALUE($A368),'changes1_based on steps'!F$1:F$400,0)),F$2,)</f>
        <v>0</v>
      </c>
      <c r="G368" s="179">
        <f ca="1">IF(ISNUMBER(MATCH(DATEVALUE($A368),'changes1_based on steps'!G$1:G$400,0)),G$2,)</f>
        <v>0</v>
      </c>
      <c r="H368" s="179">
        <f ca="1">IF(ISNUMBER(MATCH(DATEVALUE($A368),'changes1_based on steps'!H$1:H$400,0)),H$2,)</f>
        <v>0</v>
      </c>
      <c r="I368" s="179">
        <f ca="1">IF(ISNUMBER(MATCH(DATEVALUE($A368),'changes1_based on steps'!I$1:I$400,0)),I$2,)</f>
        <v>0</v>
      </c>
      <c r="J368" s="179">
        <f ca="1">IF(ISNUMBER(MATCH(DATEVALUE($A368),'changes1_based on steps'!J$1:J$400,0)),J$2,)</f>
        <v>0</v>
      </c>
      <c r="K368" s="179">
        <f ca="1">IF(ISNUMBER(MATCH(DATEVALUE($A368),'changes1_based on steps'!K$1:K$400,0)),K$2,)</f>
        <v>0</v>
      </c>
      <c r="L368" s="179">
        <f ca="1">IF(ISNUMBER(MATCH(DATEVALUE($A368),'changes1_based on steps'!L$1:L$400,0)),L$2,)</f>
        <v>0</v>
      </c>
      <c r="M368" s="179">
        <f ca="1">IF(ISNUMBER(MATCH(DATEVALUE($A368),'changes1_based on steps'!M$1:M$400,0)),M$2,)</f>
        <v>0</v>
      </c>
      <c r="N368" s="179">
        <f ca="1">IF(ISNUMBER(MATCH(DATEVALUE($A368),'changes1_based on steps'!N$1:N$400,0)),N$2,)</f>
        <v>0</v>
      </c>
      <c r="O368" s="179">
        <f ca="1">IF(ISNUMBER(MATCH(DATEVALUE($A368),'changes1_based on steps'!O$1:O$400,0)),O$2,)</f>
        <v>0</v>
      </c>
      <c r="P368" s="179">
        <f ca="1">IF(ISNUMBER(MATCH(DATEVALUE($A368),'changes1_based on steps'!P$1:P$400,0)),P$2,)</f>
        <v>0</v>
      </c>
      <c r="Q368" s="179">
        <f ca="1">IF(ISNUMBER(MATCH(DATEVALUE($A368),'changes1_based on steps'!Q$1:Q$400,0)),Q$2,)</f>
        <v>0</v>
      </c>
      <c r="R368" s="179">
        <f ca="1">IF(ISNUMBER(MATCH(DATEVALUE($A368),'changes1_based on steps'!R$1:R$400,0)),R$2,)</f>
        <v>0</v>
      </c>
      <c r="S368" s="179">
        <f ca="1">IF(ISNUMBER(MATCH(DATEVALUE($A368),'changes1_based on steps'!S$1:S$400,0)),S$2,)</f>
        <v>0</v>
      </c>
      <c r="T368" s="179">
        <f ca="1">IF(ISNUMBER(MATCH(DATEVALUE($A368),'changes1_based on steps'!T$1:T$400,0)),T$2,)</f>
        <v>0</v>
      </c>
      <c r="U368" s="179">
        <f ca="1">IF(ISNUMBER(MATCH(DATEVALUE($A368),'changes1_based on steps'!U$1:U$400,0)),U$2,)</f>
        <v>0</v>
      </c>
      <c r="V368" s="179"/>
      <c r="W368" s="179"/>
      <c r="X368" s="179"/>
      <c r="Y368" s="179"/>
      <c r="Z368" s="179"/>
      <c r="AA368" s="179"/>
      <c r="AB368" s="179"/>
      <c r="AC368" s="179"/>
      <c r="AD368" s="179"/>
      <c r="AE368" s="179"/>
      <c r="AF368" s="179"/>
      <c r="AG368" s="179"/>
      <c r="AH368" s="179"/>
      <c r="AI368" s="179"/>
      <c r="AJ368" s="179"/>
      <c r="AK368" s="179"/>
      <c r="AL368" s="179"/>
      <c r="AM368" s="179"/>
      <c r="AN368" s="179"/>
      <c r="AO368" s="179"/>
      <c r="AP368" s="179"/>
      <c r="AQ368" s="179"/>
      <c r="AR368" s="179"/>
      <c r="AS368" s="179"/>
      <c r="AT368" s="179"/>
      <c r="AU368" s="179"/>
      <c r="AV368" s="179"/>
      <c r="AW368" s="179"/>
      <c r="AX368" s="179"/>
      <c r="AY368" s="179"/>
      <c r="AZ368" s="179"/>
      <c r="BA368" s="179"/>
      <c r="BB368" s="179"/>
      <c r="BC368" s="179"/>
      <c r="BD368" s="179"/>
      <c r="BE368" s="179"/>
      <c r="BF368" s="179"/>
      <c r="BG368" s="179"/>
      <c r="BH368" s="179"/>
      <c r="BI368" s="179"/>
      <c r="BJ368" s="179"/>
      <c r="BK368" s="179"/>
      <c r="BL368" s="179"/>
      <c r="BM368" s="179"/>
      <c r="BN368" s="179"/>
      <c r="BO368" s="179"/>
      <c r="BP368" s="179"/>
      <c r="BQ368" s="179"/>
      <c r="BR368" s="179"/>
      <c r="BS368" s="179"/>
      <c r="BT368" s="179"/>
      <c r="BU368" s="179"/>
      <c r="BV368" s="179"/>
      <c r="BW368" s="179"/>
      <c r="BX368" s="179"/>
      <c r="BY368" s="179"/>
      <c r="BZ368" s="179"/>
      <c r="CA368" s="179"/>
      <c r="CB368" s="179"/>
      <c r="CC368" s="179"/>
      <c r="CD368" s="179"/>
      <c r="CE368" s="179"/>
      <c r="CF368" s="179"/>
      <c r="CG368" s="179"/>
      <c r="CH368" s="179"/>
      <c r="CI368" s="179"/>
      <c r="CJ368" s="179"/>
      <c r="CK368" s="179"/>
      <c r="CL368" s="179"/>
      <c r="CM368" s="179"/>
      <c r="CN368" s="179"/>
      <c r="CO368" s="179"/>
      <c r="CP368" s="179"/>
      <c r="CQ368" s="179"/>
      <c r="CR368" s="179"/>
      <c r="CS368" s="179"/>
      <c r="CT368" s="179"/>
      <c r="CU368" s="179"/>
      <c r="CV368" s="179"/>
      <c r="CW368" s="179"/>
    </row>
    <row r="369" spans="1:101" x14ac:dyDescent="0.2">
      <c r="A369" s="32" t="str">
        <f t="shared" ca="1" si="5"/>
        <v>2026-04-06</v>
      </c>
      <c r="B369" s="179">
        <f ca="1">IF(ISNUMBER(MATCH(DATEVALUE($A369),'changes1_based on steps'!B$1:B$400,0)),B$2,)</f>
        <v>0</v>
      </c>
      <c r="C369" s="179">
        <f ca="1">IF(ISNUMBER(MATCH(DATEVALUE($A369),'changes1_based on steps'!C$1:C$400,0)),C$2,)</f>
        <v>0</v>
      </c>
      <c r="D369" s="179">
        <f ca="1">IF(ISNUMBER(MATCH(DATEVALUE($A369),'changes1_based on steps'!D$1:D$400,0)),D$2,)</f>
        <v>0</v>
      </c>
      <c r="E369" s="179">
        <f ca="1">IF(ISNUMBER(MATCH(DATEVALUE($A369),'changes1_based on steps'!E$1:E$400,0)),E$2,)</f>
        <v>0</v>
      </c>
      <c r="F369" s="179">
        <f ca="1">IF(ISNUMBER(MATCH(DATEVALUE($A369),'changes1_based on steps'!F$1:F$400,0)),F$2,)</f>
        <v>0</v>
      </c>
      <c r="G369" s="179">
        <f ca="1">IF(ISNUMBER(MATCH(DATEVALUE($A369),'changes1_based on steps'!G$1:G$400,0)),G$2,)</f>
        <v>0</v>
      </c>
      <c r="H369" s="179">
        <f ca="1">IF(ISNUMBER(MATCH(DATEVALUE($A369),'changes1_based on steps'!H$1:H$400,0)),H$2,)</f>
        <v>0</v>
      </c>
      <c r="I369" s="179">
        <f ca="1">IF(ISNUMBER(MATCH(DATEVALUE($A369),'changes1_based on steps'!I$1:I$400,0)),I$2,)</f>
        <v>0</v>
      </c>
      <c r="J369" s="179">
        <f ca="1">IF(ISNUMBER(MATCH(DATEVALUE($A369),'changes1_based on steps'!J$1:J$400,0)),J$2,)</f>
        <v>0</v>
      </c>
      <c r="K369" s="179">
        <f ca="1">IF(ISNUMBER(MATCH(DATEVALUE($A369),'changes1_based on steps'!K$1:K$400,0)),K$2,)</f>
        <v>0</v>
      </c>
      <c r="L369" s="179">
        <f ca="1">IF(ISNUMBER(MATCH(DATEVALUE($A369),'changes1_based on steps'!L$1:L$400,0)),L$2,)</f>
        <v>0</v>
      </c>
      <c r="M369" s="179">
        <f ca="1">IF(ISNUMBER(MATCH(DATEVALUE($A369),'changes1_based on steps'!M$1:M$400,0)),M$2,)</f>
        <v>0</v>
      </c>
      <c r="N369" s="179">
        <f ca="1">IF(ISNUMBER(MATCH(DATEVALUE($A369),'changes1_based on steps'!N$1:N$400,0)),N$2,)</f>
        <v>0</v>
      </c>
      <c r="O369" s="179">
        <f ca="1">IF(ISNUMBER(MATCH(DATEVALUE($A369),'changes1_based on steps'!O$1:O$400,0)),O$2,)</f>
        <v>0</v>
      </c>
      <c r="P369" s="179">
        <f ca="1">IF(ISNUMBER(MATCH(DATEVALUE($A369),'changes1_based on steps'!P$1:P$400,0)),P$2,)</f>
        <v>0</v>
      </c>
      <c r="Q369" s="179">
        <f ca="1">IF(ISNUMBER(MATCH(DATEVALUE($A369),'changes1_based on steps'!Q$1:Q$400,0)),Q$2,)</f>
        <v>0</v>
      </c>
      <c r="R369" s="179">
        <f ca="1">IF(ISNUMBER(MATCH(DATEVALUE($A369),'changes1_based on steps'!R$1:R$400,0)),R$2,)</f>
        <v>0</v>
      </c>
      <c r="S369" s="179">
        <f ca="1">IF(ISNUMBER(MATCH(DATEVALUE($A369),'changes1_based on steps'!S$1:S$400,0)),S$2,)</f>
        <v>0</v>
      </c>
      <c r="T369" s="179">
        <f ca="1">IF(ISNUMBER(MATCH(DATEVALUE($A369),'changes1_based on steps'!T$1:T$400,0)),T$2,)</f>
        <v>0</v>
      </c>
      <c r="U369" s="179">
        <f ca="1">IF(ISNUMBER(MATCH(DATEVALUE($A369),'changes1_based on steps'!U$1:U$400,0)),U$2,)</f>
        <v>0</v>
      </c>
      <c r="V369" s="179"/>
      <c r="W369" s="179"/>
      <c r="X369" s="179"/>
      <c r="Y369" s="179"/>
      <c r="Z369" s="179"/>
      <c r="AA369" s="179"/>
      <c r="AB369" s="179"/>
      <c r="AC369" s="179"/>
      <c r="AD369" s="179"/>
      <c r="AE369" s="179"/>
      <c r="AF369" s="179"/>
      <c r="AG369" s="179"/>
      <c r="AH369" s="179"/>
      <c r="AI369" s="179"/>
      <c r="AJ369" s="179"/>
      <c r="AK369" s="179"/>
      <c r="AL369" s="179"/>
      <c r="AM369" s="179"/>
      <c r="AN369" s="179"/>
      <c r="AO369" s="179"/>
      <c r="AP369" s="179"/>
      <c r="AQ369" s="179"/>
      <c r="AR369" s="179"/>
      <c r="AS369" s="179"/>
      <c r="AT369" s="179"/>
      <c r="AU369" s="179"/>
      <c r="AV369" s="179"/>
      <c r="AW369" s="179"/>
      <c r="AX369" s="179"/>
      <c r="AY369" s="179"/>
      <c r="AZ369" s="179"/>
      <c r="BA369" s="179"/>
      <c r="BB369" s="179"/>
      <c r="BC369" s="179"/>
      <c r="BD369" s="179"/>
      <c r="BE369" s="179"/>
      <c r="BF369" s="179"/>
      <c r="BG369" s="179"/>
      <c r="BH369" s="179"/>
      <c r="BI369" s="179"/>
      <c r="BJ369" s="179"/>
      <c r="BK369" s="179"/>
      <c r="BL369" s="179"/>
      <c r="BM369" s="179"/>
      <c r="BN369" s="179"/>
      <c r="BO369" s="179"/>
      <c r="BP369" s="179"/>
      <c r="BQ369" s="179"/>
      <c r="BR369" s="179"/>
      <c r="BS369" s="179"/>
      <c r="BT369" s="179"/>
      <c r="BU369" s="179"/>
      <c r="BV369" s="179"/>
      <c r="BW369" s="179"/>
      <c r="BX369" s="179"/>
      <c r="BY369" s="179"/>
      <c r="BZ369" s="179"/>
      <c r="CA369" s="179"/>
      <c r="CB369" s="179"/>
      <c r="CC369" s="179"/>
      <c r="CD369" s="179"/>
      <c r="CE369" s="179"/>
      <c r="CF369" s="179"/>
      <c r="CG369" s="179"/>
      <c r="CH369" s="179"/>
      <c r="CI369" s="179"/>
      <c r="CJ369" s="179"/>
      <c r="CK369" s="179"/>
      <c r="CL369" s="179"/>
      <c r="CM369" s="179"/>
      <c r="CN369" s="179"/>
      <c r="CO369" s="179"/>
      <c r="CP369" s="179"/>
      <c r="CQ369" s="179"/>
      <c r="CR369" s="179"/>
      <c r="CS369" s="179"/>
      <c r="CT369" s="179"/>
      <c r="CU369" s="179"/>
      <c r="CV369" s="179"/>
      <c r="CW369" s="179"/>
    </row>
    <row r="370" spans="1:101" x14ac:dyDescent="0.2">
      <c r="A370" s="32" t="str">
        <f t="shared" ca="1" si="5"/>
        <v>2026-04-07</v>
      </c>
      <c r="B370" s="179">
        <f ca="1">IF(ISNUMBER(MATCH(DATEVALUE($A370),'changes1_based on steps'!B$1:B$400,0)),B$2,)</f>
        <v>0</v>
      </c>
      <c r="C370" s="179">
        <f ca="1">IF(ISNUMBER(MATCH(DATEVALUE($A370),'changes1_based on steps'!C$1:C$400,0)),C$2,)</f>
        <v>0</v>
      </c>
      <c r="D370" s="179">
        <f ca="1">IF(ISNUMBER(MATCH(DATEVALUE($A370),'changes1_based on steps'!D$1:D$400,0)),D$2,)</f>
        <v>0</v>
      </c>
      <c r="E370" s="179">
        <f ca="1">IF(ISNUMBER(MATCH(DATEVALUE($A370),'changes1_based on steps'!E$1:E$400,0)),E$2,)</f>
        <v>0</v>
      </c>
      <c r="F370" s="179">
        <f ca="1">IF(ISNUMBER(MATCH(DATEVALUE($A370),'changes1_based on steps'!F$1:F$400,0)),F$2,)</f>
        <v>0</v>
      </c>
      <c r="G370" s="179">
        <f ca="1">IF(ISNUMBER(MATCH(DATEVALUE($A370),'changes1_based on steps'!G$1:G$400,0)),G$2,)</f>
        <v>0</v>
      </c>
      <c r="H370" s="179">
        <f ca="1">IF(ISNUMBER(MATCH(DATEVALUE($A370),'changes1_based on steps'!H$1:H$400,0)),H$2,)</f>
        <v>0</v>
      </c>
      <c r="I370" s="179">
        <f ca="1">IF(ISNUMBER(MATCH(DATEVALUE($A370),'changes1_based on steps'!I$1:I$400,0)),I$2,)</f>
        <v>0</v>
      </c>
      <c r="J370" s="179">
        <f ca="1">IF(ISNUMBER(MATCH(DATEVALUE($A370),'changes1_based on steps'!J$1:J$400,0)),J$2,)</f>
        <v>0</v>
      </c>
      <c r="K370" s="179">
        <f ca="1">IF(ISNUMBER(MATCH(DATEVALUE($A370),'changes1_based on steps'!K$1:K$400,0)),K$2,)</f>
        <v>0</v>
      </c>
      <c r="L370" s="179">
        <f ca="1">IF(ISNUMBER(MATCH(DATEVALUE($A370),'changes1_based on steps'!L$1:L$400,0)),L$2,)</f>
        <v>0</v>
      </c>
      <c r="M370" s="179">
        <f ca="1">IF(ISNUMBER(MATCH(DATEVALUE($A370),'changes1_based on steps'!M$1:M$400,0)),M$2,)</f>
        <v>0</v>
      </c>
      <c r="N370" s="179">
        <f ca="1">IF(ISNUMBER(MATCH(DATEVALUE($A370),'changes1_based on steps'!N$1:N$400,0)),N$2,)</f>
        <v>0</v>
      </c>
      <c r="O370" s="179">
        <f ca="1">IF(ISNUMBER(MATCH(DATEVALUE($A370),'changes1_based on steps'!O$1:O$400,0)),O$2,)</f>
        <v>0</v>
      </c>
      <c r="P370" s="179">
        <f ca="1">IF(ISNUMBER(MATCH(DATEVALUE($A370),'changes1_based on steps'!P$1:P$400,0)),P$2,)</f>
        <v>0</v>
      </c>
      <c r="Q370" s="179">
        <f ca="1">IF(ISNUMBER(MATCH(DATEVALUE($A370),'changes1_based on steps'!Q$1:Q$400,0)),Q$2,)</f>
        <v>0</v>
      </c>
      <c r="R370" s="179">
        <f ca="1">IF(ISNUMBER(MATCH(DATEVALUE($A370),'changes1_based on steps'!R$1:R$400,0)),R$2,)</f>
        <v>0</v>
      </c>
      <c r="S370" s="179">
        <f ca="1">IF(ISNUMBER(MATCH(DATEVALUE($A370),'changes1_based on steps'!S$1:S$400,0)),S$2,)</f>
        <v>0</v>
      </c>
      <c r="T370" s="179">
        <f ca="1">IF(ISNUMBER(MATCH(DATEVALUE($A370),'changes1_based on steps'!T$1:T$400,0)),T$2,)</f>
        <v>0</v>
      </c>
      <c r="U370" s="179">
        <f ca="1">IF(ISNUMBER(MATCH(DATEVALUE($A370),'changes1_based on steps'!U$1:U$400,0)),U$2,)</f>
        <v>0</v>
      </c>
      <c r="V370" s="179"/>
      <c r="W370" s="179"/>
      <c r="X370" s="179"/>
      <c r="Y370" s="179"/>
      <c r="Z370" s="179"/>
      <c r="AA370" s="179"/>
      <c r="AB370" s="179"/>
      <c r="AC370" s="179"/>
      <c r="AD370" s="179"/>
      <c r="AE370" s="179"/>
      <c r="AF370" s="179"/>
      <c r="AG370" s="179"/>
      <c r="AH370" s="179"/>
      <c r="AI370" s="179"/>
      <c r="AJ370" s="179"/>
      <c r="AK370" s="179"/>
      <c r="AL370" s="179"/>
      <c r="AM370" s="179"/>
      <c r="AN370" s="179"/>
      <c r="AO370" s="179"/>
      <c r="AP370" s="179"/>
      <c r="AQ370" s="179"/>
      <c r="AR370" s="179"/>
      <c r="AS370" s="179"/>
      <c r="AT370" s="179"/>
      <c r="AU370" s="179"/>
      <c r="AV370" s="179"/>
      <c r="AW370" s="179"/>
      <c r="AX370" s="179"/>
      <c r="AY370" s="179"/>
      <c r="AZ370" s="179"/>
      <c r="BA370" s="179"/>
      <c r="BB370" s="179"/>
      <c r="BC370" s="179"/>
      <c r="BD370" s="179"/>
      <c r="BE370" s="179"/>
      <c r="BF370" s="179"/>
      <c r="BG370" s="179"/>
      <c r="BH370" s="179"/>
      <c r="BI370" s="179"/>
      <c r="BJ370" s="179"/>
      <c r="BK370" s="179"/>
      <c r="BL370" s="179"/>
      <c r="BM370" s="179"/>
      <c r="BN370" s="179"/>
      <c r="BO370" s="179"/>
      <c r="BP370" s="179"/>
      <c r="BQ370" s="179"/>
      <c r="BR370" s="179"/>
      <c r="BS370" s="179"/>
      <c r="BT370" s="179"/>
      <c r="BU370" s="179"/>
      <c r="BV370" s="179"/>
      <c r="BW370" s="179"/>
      <c r="BX370" s="179"/>
      <c r="BY370" s="179"/>
      <c r="BZ370" s="179"/>
      <c r="CA370" s="179"/>
      <c r="CB370" s="179"/>
      <c r="CC370" s="179"/>
      <c r="CD370" s="179"/>
      <c r="CE370" s="179"/>
      <c r="CF370" s="179"/>
      <c r="CG370" s="179"/>
      <c r="CH370" s="179"/>
      <c r="CI370" s="179"/>
      <c r="CJ370" s="179"/>
      <c r="CK370" s="179"/>
      <c r="CL370" s="179"/>
      <c r="CM370" s="179"/>
      <c r="CN370" s="179"/>
      <c r="CO370" s="179"/>
      <c r="CP370" s="179"/>
      <c r="CQ370" s="179"/>
      <c r="CR370" s="179"/>
      <c r="CS370" s="179"/>
      <c r="CT370" s="179"/>
      <c r="CU370" s="179"/>
      <c r="CV370" s="179"/>
      <c r="CW370" s="179"/>
    </row>
    <row r="371" spans="1:101" x14ac:dyDescent="0.2">
      <c r="A371" s="32" t="str">
        <f t="shared" ca="1" si="5"/>
        <v>2026-04-08</v>
      </c>
      <c r="B371" s="179">
        <f ca="1">IF(ISNUMBER(MATCH(DATEVALUE($A371),'changes1_based on steps'!B$1:B$400,0)),B$2,)</f>
        <v>0</v>
      </c>
      <c r="C371" s="179">
        <f ca="1">IF(ISNUMBER(MATCH(DATEVALUE($A371),'changes1_based on steps'!C$1:C$400,0)),C$2,)</f>
        <v>0</v>
      </c>
      <c r="D371" s="179">
        <f ca="1">IF(ISNUMBER(MATCH(DATEVALUE($A371),'changes1_based on steps'!D$1:D$400,0)),D$2,)</f>
        <v>0</v>
      </c>
      <c r="E371" s="179">
        <f ca="1">IF(ISNUMBER(MATCH(DATEVALUE($A371),'changes1_based on steps'!E$1:E$400,0)),E$2,)</f>
        <v>0</v>
      </c>
      <c r="F371" s="179">
        <f ca="1">IF(ISNUMBER(MATCH(DATEVALUE($A371),'changes1_based on steps'!F$1:F$400,0)),F$2,)</f>
        <v>0</v>
      </c>
      <c r="G371" s="179">
        <f ca="1">IF(ISNUMBER(MATCH(DATEVALUE($A371),'changes1_based on steps'!G$1:G$400,0)),G$2,)</f>
        <v>0</v>
      </c>
      <c r="H371" s="179">
        <f ca="1">IF(ISNUMBER(MATCH(DATEVALUE($A371),'changes1_based on steps'!H$1:H$400,0)),H$2,)</f>
        <v>0</v>
      </c>
      <c r="I371" s="179">
        <f ca="1">IF(ISNUMBER(MATCH(DATEVALUE($A371),'changes1_based on steps'!I$1:I$400,0)),I$2,)</f>
        <v>0</v>
      </c>
      <c r="J371" s="179">
        <f ca="1">IF(ISNUMBER(MATCH(DATEVALUE($A371),'changes1_based on steps'!J$1:J$400,0)),J$2,)</f>
        <v>0</v>
      </c>
      <c r="K371" s="179">
        <f ca="1">IF(ISNUMBER(MATCH(DATEVALUE($A371),'changes1_based on steps'!K$1:K$400,0)),K$2,)</f>
        <v>0</v>
      </c>
      <c r="L371" s="179">
        <f ca="1">IF(ISNUMBER(MATCH(DATEVALUE($A371),'changes1_based on steps'!L$1:L$400,0)),L$2,)</f>
        <v>0</v>
      </c>
      <c r="M371" s="179">
        <f ca="1">IF(ISNUMBER(MATCH(DATEVALUE($A371),'changes1_based on steps'!M$1:M$400,0)),M$2,)</f>
        <v>0</v>
      </c>
      <c r="N371" s="179">
        <f ca="1">IF(ISNUMBER(MATCH(DATEVALUE($A371),'changes1_based on steps'!N$1:N$400,0)),N$2,)</f>
        <v>0</v>
      </c>
      <c r="O371" s="179">
        <f ca="1">IF(ISNUMBER(MATCH(DATEVALUE($A371),'changes1_based on steps'!O$1:O$400,0)),O$2,)</f>
        <v>0</v>
      </c>
      <c r="P371" s="179">
        <f ca="1">IF(ISNUMBER(MATCH(DATEVALUE($A371),'changes1_based on steps'!P$1:P$400,0)),P$2,)</f>
        <v>0</v>
      </c>
      <c r="Q371" s="179">
        <f ca="1">IF(ISNUMBER(MATCH(DATEVALUE($A371),'changes1_based on steps'!Q$1:Q$400,0)),Q$2,)</f>
        <v>0</v>
      </c>
      <c r="R371" s="179">
        <f ca="1">IF(ISNUMBER(MATCH(DATEVALUE($A371),'changes1_based on steps'!R$1:R$400,0)),R$2,)</f>
        <v>0</v>
      </c>
      <c r="S371" s="179">
        <f ca="1">IF(ISNUMBER(MATCH(DATEVALUE($A371),'changes1_based on steps'!S$1:S$400,0)),S$2,)</f>
        <v>0</v>
      </c>
      <c r="T371" s="179">
        <f ca="1">IF(ISNUMBER(MATCH(DATEVALUE($A371),'changes1_based on steps'!T$1:T$400,0)),T$2,)</f>
        <v>0</v>
      </c>
      <c r="U371" s="179">
        <f ca="1">IF(ISNUMBER(MATCH(DATEVALUE($A371),'changes1_based on steps'!U$1:U$400,0)),U$2,)</f>
        <v>0</v>
      </c>
      <c r="V371" s="179"/>
      <c r="W371" s="179"/>
      <c r="X371" s="179"/>
      <c r="Y371" s="179"/>
      <c r="Z371" s="179"/>
      <c r="AA371" s="179"/>
      <c r="AB371" s="179"/>
      <c r="AC371" s="179"/>
      <c r="AD371" s="179"/>
      <c r="AE371" s="179"/>
      <c r="AF371" s="179"/>
      <c r="AG371" s="179"/>
      <c r="AH371" s="179"/>
      <c r="AI371" s="179"/>
      <c r="AJ371" s="179"/>
      <c r="AK371" s="179"/>
      <c r="AL371" s="179"/>
      <c r="AM371" s="179"/>
      <c r="AN371" s="179"/>
      <c r="AO371" s="179"/>
      <c r="AP371" s="179"/>
      <c r="AQ371" s="179"/>
      <c r="AR371" s="179"/>
      <c r="AS371" s="179"/>
      <c r="AT371" s="179"/>
      <c r="AU371" s="179"/>
      <c r="AV371" s="179"/>
      <c r="AW371" s="179"/>
      <c r="AX371" s="179"/>
      <c r="AY371" s="179"/>
      <c r="AZ371" s="179"/>
      <c r="BA371" s="179"/>
      <c r="BB371" s="179"/>
      <c r="BC371" s="179"/>
      <c r="BD371" s="179"/>
      <c r="BE371" s="179"/>
      <c r="BF371" s="179"/>
      <c r="BG371" s="179"/>
      <c r="BH371" s="179"/>
      <c r="BI371" s="179"/>
      <c r="BJ371" s="179"/>
      <c r="BK371" s="179"/>
      <c r="BL371" s="179"/>
      <c r="BM371" s="179"/>
      <c r="BN371" s="179"/>
      <c r="BO371" s="179"/>
      <c r="BP371" s="179"/>
      <c r="BQ371" s="179"/>
      <c r="BR371" s="179"/>
      <c r="BS371" s="179"/>
      <c r="BT371" s="179"/>
      <c r="BU371" s="179"/>
      <c r="BV371" s="179"/>
      <c r="BW371" s="179"/>
      <c r="BX371" s="179"/>
      <c r="BY371" s="179"/>
      <c r="BZ371" s="179"/>
      <c r="CA371" s="179"/>
      <c r="CB371" s="179"/>
      <c r="CC371" s="179"/>
      <c r="CD371" s="179"/>
      <c r="CE371" s="179"/>
      <c r="CF371" s="179"/>
      <c r="CG371" s="179"/>
      <c r="CH371" s="179"/>
      <c r="CI371" s="179"/>
      <c r="CJ371" s="179"/>
      <c r="CK371" s="179"/>
      <c r="CL371" s="179"/>
      <c r="CM371" s="179"/>
      <c r="CN371" s="179"/>
      <c r="CO371" s="179"/>
      <c r="CP371" s="179"/>
      <c r="CQ371" s="179"/>
      <c r="CR371" s="179"/>
      <c r="CS371" s="179"/>
      <c r="CT371" s="179"/>
      <c r="CU371" s="179"/>
      <c r="CV371" s="179"/>
      <c r="CW371" s="179"/>
    </row>
    <row r="372" spans="1:101" x14ac:dyDescent="0.2">
      <c r="A372" s="32"/>
      <c r="B372" s="32"/>
      <c r="C372" s="32"/>
      <c r="D372" s="32"/>
      <c r="E372" s="32"/>
      <c r="F372" s="32"/>
      <c r="G372" s="32"/>
      <c r="H372" s="32"/>
      <c r="I372" s="32"/>
      <c r="J372" s="32"/>
      <c r="K372" s="32"/>
      <c r="L372" s="32"/>
      <c r="M372" s="32"/>
      <c r="N372" s="32"/>
      <c r="O372" s="32"/>
      <c r="P372" s="32"/>
      <c r="Q372" s="32"/>
      <c r="R372" s="32"/>
      <c r="S372" s="32"/>
      <c r="T372" s="32"/>
      <c r="U372" s="32"/>
      <c r="V372" s="32"/>
      <c r="W372" s="32"/>
      <c r="X372" s="32"/>
      <c r="Y372" s="32"/>
      <c r="Z372" s="32"/>
    </row>
    <row r="373" spans="1:101" x14ac:dyDescent="0.2">
      <c r="A373" s="32"/>
      <c r="B373" s="32"/>
      <c r="C373" s="32"/>
      <c r="D373" s="32"/>
      <c r="E373" s="32"/>
      <c r="F373" s="32"/>
      <c r="G373" s="32"/>
      <c r="H373" s="32"/>
      <c r="I373" s="32"/>
      <c r="J373" s="32"/>
      <c r="K373" s="32"/>
      <c r="L373" s="32"/>
      <c r="M373" s="32"/>
      <c r="N373" s="32"/>
      <c r="O373" s="32"/>
      <c r="P373" s="32"/>
      <c r="Q373" s="32"/>
      <c r="R373" s="32"/>
      <c r="S373" s="32"/>
      <c r="T373" s="32"/>
      <c r="U373" s="32"/>
      <c r="V373" s="32"/>
      <c r="W373" s="32"/>
      <c r="X373" s="32"/>
      <c r="Y373" s="32"/>
      <c r="Z373" s="32"/>
    </row>
    <row r="374" spans="1:101" x14ac:dyDescent="0.2">
      <c r="A374" s="32"/>
      <c r="B374" s="32"/>
      <c r="C374" s="32"/>
      <c r="D374" s="32"/>
      <c r="E374" s="32"/>
      <c r="F374" s="32"/>
      <c r="G374" s="32"/>
      <c r="H374" s="32"/>
      <c r="I374" s="32"/>
      <c r="J374" s="32"/>
      <c r="K374" s="32"/>
      <c r="L374" s="32"/>
      <c r="M374" s="32"/>
      <c r="N374" s="32"/>
      <c r="O374" s="32"/>
      <c r="P374" s="32"/>
      <c r="Q374" s="32"/>
      <c r="R374" s="32"/>
      <c r="S374" s="32"/>
      <c r="T374" s="32"/>
      <c r="U374" s="32"/>
      <c r="V374" s="32"/>
      <c r="W374" s="32"/>
      <c r="X374" s="32"/>
      <c r="Y374" s="32"/>
      <c r="Z374" s="32"/>
    </row>
    <row r="375" spans="1:101" x14ac:dyDescent="0.2">
      <c r="A375" s="32"/>
      <c r="B375" s="32"/>
      <c r="C375" s="32"/>
      <c r="D375" s="32"/>
      <c r="E375" s="32"/>
      <c r="F375" s="32"/>
      <c r="G375" s="32"/>
      <c r="H375" s="32"/>
      <c r="I375" s="32"/>
      <c r="J375" s="32"/>
      <c r="K375" s="32"/>
      <c r="L375" s="32"/>
      <c r="M375" s="32"/>
      <c r="N375" s="32"/>
      <c r="O375" s="32"/>
      <c r="P375" s="32"/>
      <c r="Q375" s="32"/>
      <c r="R375" s="32"/>
      <c r="S375" s="32"/>
      <c r="T375" s="32"/>
      <c r="U375" s="32"/>
      <c r="V375" s="32"/>
      <c r="W375" s="32"/>
      <c r="X375" s="32"/>
      <c r="Y375" s="32"/>
      <c r="Z375" s="32"/>
    </row>
    <row r="376" spans="1:101" x14ac:dyDescent="0.2">
      <c r="A376" s="32"/>
      <c r="B376" s="32"/>
      <c r="C376" s="32"/>
      <c r="D376" s="32"/>
      <c r="E376" s="32"/>
      <c r="F376" s="32"/>
      <c r="G376" s="32"/>
      <c r="H376" s="32"/>
      <c r="I376" s="32"/>
      <c r="J376" s="32"/>
      <c r="K376" s="32"/>
      <c r="L376" s="32"/>
      <c r="M376" s="32"/>
      <c r="N376" s="32"/>
      <c r="O376" s="32"/>
      <c r="P376" s="32"/>
      <c r="Q376" s="32"/>
      <c r="R376" s="32"/>
      <c r="S376" s="32"/>
      <c r="T376" s="32"/>
      <c r="U376" s="32"/>
      <c r="V376" s="32"/>
      <c r="W376" s="32"/>
      <c r="X376" s="32"/>
      <c r="Y376" s="32"/>
      <c r="Z376" s="32"/>
    </row>
    <row r="377" spans="1:101" x14ac:dyDescent="0.2">
      <c r="A377" s="32"/>
      <c r="B377" s="32"/>
      <c r="C377" s="32"/>
      <c r="D377" s="32"/>
      <c r="E377" s="32"/>
      <c r="F377" s="32"/>
      <c r="G377" s="32"/>
      <c r="H377" s="32"/>
      <c r="I377" s="32"/>
      <c r="J377" s="32"/>
      <c r="K377" s="32"/>
      <c r="L377" s="32"/>
      <c r="M377" s="32"/>
      <c r="N377" s="32"/>
      <c r="O377" s="32"/>
      <c r="P377" s="32"/>
      <c r="Q377" s="32"/>
      <c r="R377" s="32"/>
      <c r="S377" s="32"/>
      <c r="T377" s="32"/>
      <c r="U377" s="32"/>
      <c r="V377" s="32"/>
      <c r="W377" s="32"/>
      <c r="X377" s="32"/>
      <c r="Y377" s="32"/>
      <c r="Z377" s="32"/>
    </row>
    <row r="378" spans="1:101" x14ac:dyDescent="0.2">
      <c r="A378" s="32"/>
      <c r="B378" s="32"/>
      <c r="C378" s="32"/>
      <c r="D378" s="32"/>
      <c r="E378" s="32"/>
      <c r="F378" s="32"/>
      <c r="G378" s="32"/>
      <c r="H378" s="32"/>
      <c r="I378" s="32"/>
      <c r="J378" s="32"/>
      <c r="K378" s="32"/>
      <c r="L378" s="32"/>
      <c r="M378" s="32"/>
      <c r="N378" s="32"/>
      <c r="O378" s="32"/>
      <c r="P378" s="32"/>
      <c r="Q378" s="32"/>
      <c r="R378" s="32"/>
      <c r="S378" s="32"/>
      <c r="T378" s="32"/>
      <c r="U378" s="32"/>
      <c r="V378" s="32"/>
      <c r="W378" s="32"/>
      <c r="X378" s="32"/>
      <c r="Y378" s="32"/>
      <c r="Z378" s="32"/>
    </row>
    <row r="379" spans="1:101" x14ac:dyDescent="0.2">
      <c r="A379" s="32"/>
      <c r="B379" s="32"/>
      <c r="C379" s="32"/>
      <c r="D379" s="32"/>
      <c r="E379" s="32"/>
      <c r="F379" s="32"/>
      <c r="G379" s="32"/>
      <c r="H379" s="32"/>
      <c r="I379" s="32"/>
      <c r="J379" s="32"/>
      <c r="K379" s="32"/>
      <c r="L379" s="32"/>
      <c r="M379" s="32"/>
      <c r="N379" s="32"/>
      <c r="O379" s="32"/>
      <c r="P379" s="32"/>
      <c r="Q379" s="32"/>
      <c r="R379" s="32"/>
      <c r="S379" s="32"/>
      <c r="T379" s="32"/>
      <c r="U379" s="32"/>
      <c r="V379" s="32"/>
      <c r="W379" s="32"/>
      <c r="X379" s="32"/>
      <c r="Y379" s="32"/>
      <c r="Z379" s="32"/>
    </row>
    <row r="380" spans="1:101" x14ac:dyDescent="0.2">
      <c r="A380" s="32"/>
      <c r="B380" s="32"/>
      <c r="C380" s="32"/>
      <c r="D380" s="32"/>
      <c r="E380" s="32"/>
      <c r="F380" s="32"/>
      <c r="G380" s="32"/>
      <c r="H380" s="32"/>
      <c r="I380" s="32"/>
      <c r="J380" s="32"/>
      <c r="K380" s="32"/>
      <c r="L380" s="32"/>
      <c r="M380" s="32"/>
      <c r="N380" s="32"/>
      <c r="O380" s="32"/>
      <c r="P380" s="32"/>
      <c r="Q380" s="32"/>
      <c r="R380" s="32"/>
      <c r="S380" s="32"/>
      <c r="T380" s="32"/>
      <c r="U380" s="32"/>
      <c r="V380" s="32"/>
      <c r="W380" s="32"/>
      <c r="X380" s="32"/>
      <c r="Y380" s="32"/>
      <c r="Z380" s="32"/>
    </row>
    <row r="381" spans="1:101" x14ac:dyDescent="0.2">
      <c r="A381" s="32"/>
      <c r="B381" s="32"/>
      <c r="C381" s="32"/>
      <c r="D381" s="32"/>
      <c r="E381" s="32"/>
      <c r="F381" s="32"/>
      <c r="G381" s="32"/>
      <c r="H381" s="32"/>
      <c r="I381" s="32"/>
      <c r="J381" s="32"/>
      <c r="K381" s="32"/>
      <c r="L381" s="32"/>
      <c r="M381" s="32"/>
      <c r="N381" s="32"/>
      <c r="O381" s="32"/>
      <c r="P381" s="32"/>
      <c r="Q381" s="32"/>
      <c r="R381" s="32"/>
      <c r="S381" s="32"/>
      <c r="T381" s="32"/>
      <c r="U381" s="32"/>
      <c r="V381" s="32"/>
      <c r="W381" s="32"/>
      <c r="X381" s="32"/>
      <c r="Y381" s="32"/>
      <c r="Z381" s="32"/>
    </row>
    <row r="382" spans="1:101" x14ac:dyDescent="0.2">
      <c r="A382" s="32"/>
      <c r="B382" s="32"/>
      <c r="C382" s="32"/>
      <c r="D382" s="32"/>
      <c r="E382" s="32"/>
      <c r="F382" s="32"/>
      <c r="G382" s="32"/>
      <c r="H382" s="32"/>
      <c r="I382" s="32"/>
      <c r="J382" s="32"/>
      <c r="K382" s="32"/>
      <c r="L382" s="32"/>
      <c r="M382" s="32"/>
      <c r="N382" s="32"/>
      <c r="O382" s="32"/>
      <c r="P382" s="32"/>
      <c r="Q382" s="32"/>
      <c r="R382" s="32"/>
      <c r="S382" s="32"/>
      <c r="T382" s="32"/>
      <c r="U382" s="32"/>
      <c r="V382" s="32"/>
      <c r="W382" s="32"/>
      <c r="X382" s="32"/>
      <c r="Y382" s="32"/>
      <c r="Z382" s="32"/>
    </row>
    <row r="383" spans="1:101" x14ac:dyDescent="0.2">
      <c r="A383" s="32"/>
      <c r="B383" s="32"/>
      <c r="C383" s="32"/>
      <c r="D383" s="32"/>
      <c r="E383" s="32"/>
      <c r="F383" s="32"/>
      <c r="G383" s="32"/>
      <c r="H383" s="32"/>
      <c r="I383" s="32"/>
      <c r="J383" s="32"/>
      <c r="K383" s="32"/>
      <c r="L383" s="32"/>
      <c r="M383" s="32"/>
      <c r="N383" s="32"/>
      <c r="O383" s="32"/>
      <c r="P383" s="32"/>
      <c r="Q383" s="32"/>
      <c r="R383" s="32"/>
      <c r="S383" s="32"/>
      <c r="T383" s="32"/>
      <c r="U383" s="32"/>
      <c r="V383" s="32"/>
      <c r="W383" s="32"/>
      <c r="X383" s="32"/>
      <c r="Y383" s="32"/>
      <c r="Z383" s="32"/>
    </row>
    <row r="384" spans="1:101" x14ac:dyDescent="0.2">
      <c r="A384" s="32"/>
      <c r="B384" s="32"/>
      <c r="C384" s="32"/>
      <c r="D384" s="32"/>
      <c r="E384" s="32"/>
      <c r="F384" s="32"/>
      <c r="G384" s="32"/>
      <c r="H384" s="32"/>
      <c r="I384" s="32"/>
      <c r="J384" s="32"/>
      <c r="K384" s="32"/>
      <c r="L384" s="32"/>
      <c r="M384" s="32"/>
      <c r="N384" s="32"/>
      <c r="O384" s="32"/>
      <c r="P384" s="32"/>
      <c r="Q384" s="32"/>
      <c r="R384" s="32"/>
      <c r="S384" s="32"/>
      <c r="T384" s="32"/>
      <c r="U384" s="32"/>
      <c r="V384" s="32"/>
      <c r="W384" s="32"/>
      <c r="X384" s="32"/>
      <c r="Y384" s="32"/>
      <c r="Z384" s="32"/>
    </row>
    <row r="385" spans="1:26" x14ac:dyDescent="0.2">
      <c r="A385" s="32"/>
      <c r="B385" s="32"/>
      <c r="C385" s="32"/>
      <c r="D385" s="32"/>
      <c r="E385" s="32"/>
      <c r="F385" s="32"/>
      <c r="G385" s="32"/>
      <c r="H385" s="32"/>
      <c r="I385" s="32"/>
      <c r="J385" s="32"/>
      <c r="K385" s="32"/>
      <c r="L385" s="32"/>
      <c r="M385" s="32"/>
      <c r="N385" s="32"/>
      <c r="O385" s="32"/>
      <c r="P385" s="32"/>
      <c r="Q385" s="32"/>
      <c r="R385" s="32"/>
      <c r="S385" s="32"/>
      <c r="T385" s="32"/>
      <c r="U385" s="32"/>
      <c r="V385" s="32"/>
      <c r="W385" s="32"/>
      <c r="X385" s="32"/>
      <c r="Y385" s="32"/>
      <c r="Z385" s="32"/>
    </row>
    <row r="386" spans="1:26" x14ac:dyDescent="0.2">
      <c r="A386" s="32"/>
      <c r="B386" s="32"/>
      <c r="C386" s="32"/>
      <c r="D386" s="32"/>
      <c r="E386" s="32"/>
      <c r="F386" s="32"/>
      <c r="G386" s="32"/>
      <c r="H386" s="32"/>
      <c r="I386" s="32"/>
      <c r="J386" s="32"/>
      <c r="K386" s="32"/>
      <c r="L386" s="32"/>
      <c r="M386" s="32"/>
      <c r="N386" s="32"/>
      <c r="O386" s="32"/>
      <c r="P386" s="32"/>
      <c r="Q386" s="32"/>
      <c r="R386" s="32"/>
      <c r="S386" s="32"/>
      <c r="T386" s="32"/>
      <c r="U386" s="32"/>
      <c r="V386" s="32"/>
      <c r="W386" s="32"/>
      <c r="X386" s="32"/>
      <c r="Y386" s="32"/>
      <c r="Z386" s="32"/>
    </row>
    <row r="387" spans="1:26" x14ac:dyDescent="0.2">
      <c r="B387" s="32"/>
      <c r="C387" s="32"/>
      <c r="D387" s="32"/>
      <c r="E387" s="32"/>
      <c r="F387" s="32"/>
      <c r="G387" s="32"/>
      <c r="H387" s="32"/>
      <c r="I387" s="32"/>
      <c r="J387" s="32"/>
      <c r="K387" s="32"/>
      <c r="L387" s="32"/>
      <c r="M387" s="32"/>
      <c r="N387" s="32"/>
      <c r="O387" s="32"/>
      <c r="P387" s="32"/>
      <c r="Q387" s="32"/>
      <c r="R387" s="32"/>
      <c r="S387" s="32"/>
      <c r="T387" s="32"/>
      <c r="U387" s="32"/>
      <c r="V387" s="32"/>
      <c r="W387" s="32"/>
      <c r="X387" s="32"/>
      <c r="Y387" s="32"/>
      <c r="Z387" s="32"/>
    </row>
    <row r="388" spans="1:26" x14ac:dyDescent="0.2">
      <c r="B388" s="32"/>
      <c r="C388" s="32"/>
      <c r="D388" s="32"/>
      <c r="E388" s="32"/>
      <c r="F388" s="32"/>
      <c r="G388" s="32"/>
      <c r="H388" s="32"/>
      <c r="I388" s="32"/>
      <c r="J388" s="32"/>
      <c r="K388" s="32"/>
      <c r="L388" s="32"/>
      <c r="M388" s="32"/>
      <c r="N388" s="32"/>
      <c r="O388" s="32"/>
      <c r="P388" s="32"/>
      <c r="Q388" s="32"/>
      <c r="R388" s="32"/>
      <c r="S388" s="32"/>
      <c r="T388" s="32"/>
      <c r="U388" s="32"/>
      <c r="V388" s="32"/>
      <c r="W388" s="32"/>
      <c r="X388" s="32"/>
      <c r="Y388" s="32"/>
      <c r="Z388" s="32"/>
    </row>
    <row r="389" spans="1:26" x14ac:dyDescent="0.2">
      <c r="B389" s="32"/>
      <c r="C389" s="32"/>
      <c r="D389" s="32"/>
      <c r="E389" s="32"/>
      <c r="F389" s="32"/>
      <c r="G389" s="32"/>
      <c r="H389" s="32"/>
      <c r="I389" s="32"/>
      <c r="J389" s="32"/>
      <c r="K389" s="32"/>
      <c r="L389" s="32"/>
      <c r="M389" s="32"/>
      <c r="N389" s="32"/>
      <c r="O389" s="32"/>
      <c r="P389" s="32"/>
      <c r="Q389" s="32"/>
      <c r="R389" s="32"/>
      <c r="S389" s="32"/>
      <c r="T389" s="32"/>
      <c r="U389" s="32"/>
      <c r="V389" s="32"/>
      <c r="W389" s="32"/>
      <c r="X389" s="32"/>
      <c r="Y389" s="32"/>
      <c r="Z389" s="32"/>
    </row>
    <row r="390" spans="1:26" x14ac:dyDescent="0.2">
      <c r="B390" s="32"/>
      <c r="C390" s="32"/>
      <c r="D390" s="32"/>
      <c r="E390" s="32"/>
      <c r="F390" s="32"/>
      <c r="G390" s="32"/>
      <c r="H390" s="32"/>
      <c r="I390" s="32"/>
      <c r="J390" s="32"/>
      <c r="K390" s="32"/>
      <c r="L390" s="32"/>
      <c r="M390" s="32"/>
      <c r="N390" s="32"/>
      <c r="O390" s="32"/>
      <c r="P390" s="32"/>
      <c r="Q390" s="32"/>
      <c r="R390" s="32"/>
      <c r="S390" s="32"/>
      <c r="T390" s="32"/>
      <c r="U390" s="32"/>
      <c r="V390" s="32"/>
      <c r="W390" s="32"/>
      <c r="X390" s="32"/>
      <c r="Y390" s="32"/>
      <c r="Z390" s="32"/>
    </row>
    <row r="391" spans="1:26" x14ac:dyDescent="0.2">
      <c r="B391" s="32"/>
      <c r="C391" s="32"/>
      <c r="D391" s="32"/>
      <c r="E391" s="32"/>
      <c r="F391" s="32"/>
      <c r="G391" s="32"/>
      <c r="H391" s="32"/>
      <c r="I391" s="32"/>
      <c r="J391" s="32"/>
      <c r="K391" s="32"/>
      <c r="L391" s="32"/>
      <c r="M391" s="32"/>
      <c r="N391" s="32"/>
      <c r="O391" s="32"/>
      <c r="P391" s="32"/>
      <c r="Q391" s="32"/>
      <c r="R391" s="32"/>
      <c r="S391" s="32"/>
      <c r="T391" s="32"/>
      <c r="U391" s="32"/>
      <c r="V391" s="32"/>
      <c r="W391" s="32"/>
      <c r="X391" s="32"/>
      <c r="Y391" s="32"/>
      <c r="Z391" s="32"/>
    </row>
    <row r="392" spans="1:26" x14ac:dyDescent="0.2">
      <c r="B392" s="32"/>
      <c r="C392" s="32"/>
      <c r="D392" s="32"/>
      <c r="E392" s="32"/>
      <c r="F392" s="32"/>
      <c r="G392" s="32"/>
      <c r="H392" s="32"/>
      <c r="I392" s="32"/>
      <c r="J392" s="32"/>
      <c r="K392" s="32"/>
      <c r="L392" s="32"/>
      <c r="M392" s="32"/>
      <c r="N392" s="32"/>
      <c r="O392" s="32"/>
      <c r="P392" s="32"/>
      <c r="Q392" s="32"/>
      <c r="R392" s="32"/>
      <c r="S392" s="32"/>
      <c r="T392" s="32"/>
      <c r="U392" s="32"/>
      <c r="V392" s="32"/>
      <c r="W392" s="32"/>
      <c r="X392" s="32"/>
      <c r="Y392" s="32"/>
      <c r="Z392" s="32"/>
    </row>
    <row r="393" spans="1:26" x14ac:dyDescent="0.2">
      <c r="B393" s="32"/>
      <c r="C393" s="32"/>
      <c r="D393" s="32"/>
      <c r="E393" s="32"/>
      <c r="F393" s="32"/>
      <c r="G393" s="32"/>
      <c r="H393" s="32"/>
      <c r="I393" s="32"/>
      <c r="J393" s="32"/>
      <c r="K393" s="32"/>
      <c r="L393" s="32"/>
      <c r="M393" s="32"/>
      <c r="N393" s="32"/>
      <c r="O393" s="32"/>
      <c r="P393" s="32"/>
      <c r="Q393" s="32"/>
      <c r="R393" s="32"/>
      <c r="S393" s="32"/>
      <c r="T393" s="32"/>
      <c r="U393" s="32"/>
      <c r="V393" s="32"/>
      <c r="W393" s="32"/>
      <c r="X393" s="32"/>
      <c r="Y393" s="32"/>
      <c r="Z393" s="32"/>
    </row>
    <row r="394" spans="1:26" x14ac:dyDescent="0.2">
      <c r="B394" s="32"/>
      <c r="C394" s="32"/>
      <c r="D394" s="32"/>
      <c r="E394" s="32"/>
      <c r="F394" s="32"/>
      <c r="G394" s="32"/>
      <c r="H394" s="32"/>
      <c r="I394" s="32"/>
      <c r="J394" s="32"/>
      <c r="K394" s="32"/>
      <c r="L394" s="32"/>
      <c r="M394" s="32"/>
      <c r="N394" s="32"/>
      <c r="O394" s="32"/>
      <c r="P394" s="32"/>
      <c r="Q394" s="32"/>
      <c r="R394" s="32"/>
      <c r="S394" s="32"/>
      <c r="T394" s="32"/>
      <c r="U394" s="32"/>
      <c r="V394" s="32"/>
      <c r="W394" s="32"/>
      <c r="X394" s="32"/>
      <c r="Y394" s="32"/>
      <c r="Z394" s="32"/>
    </row>
    <row r="395" spans="1:26" x14ac:dyDescent="0.2">
      <c r="B395" s="32"/>
      <c r="C395" s="32"/>
      <c r="D395" s="32"/>
      <c r="E395" s="32"/>
      <c r="F395" s="32"/>
      <c r="G395" s="32"/>
      <c r="H395" s="32"/>
      <c r="I395" s="32"/>
      <c r="J395" s="32"/>
      <c r="K395" s="32"/>
      <c r="L395" s="32"/>
      <c r="M395" s="32"/>
      <c r="N395" s="32"/>
      <c r="O395" s="32"/>
      <c r="P395" s="32"/>
      <c r="Q395" s="32"/>
      <c r="R395" s="32"/>
      <c r="S395" s="32"/>
      <c r="T395" s="32"/>
      <c r="U395" s="32"/>
      <c r="V395" s="32"/>
      <c r="W395" s="32"/>
      <c r="X395" s="32"/>
      <c r="Y395" s="32"/>
      <c r="Z395" s="32"/>
    </row>
    <row r="396" spans="1:26" x14ac:dyDescent="0.2">
      <c r="B396" s="32"/>
      <c r="C396" s="32"/>
      <c r="D396" s="32"/>
      <c r="E396" s="32"/>
      <c r="F396" s="32"/>
      <c r="G396" s="32"/>
      <c r="H396" s="32"/>
      <c r="I396" s="32"/>
      <c r="J396" s="32"/>
      <c r="K396" s="32"/>
      <c r="L396" s="32"/>
      <c r="M396" s="32"/>
      <c r="N396" s="32"/>
      <c r="O396" s="32"/>
      <c r="P396" s="32"/>
      <c r="Q396" s="32"/>
      <c r="R396" s="32"/>
      <c r="S396" s="32"/>
      <c r="T396" s="32"/>
      <c r="U396" s="32"/>
      <c r="V396" s="32"/>
      <c r="W396" s="32"/>
      <c r="X396" s="32"/>
      <c r="Y396" s="32"/>
      <c r="Z396" s="32"/>
    </row>
    <row r="397" spans="1:26" x14ac:dyDescent="0.2">
      <c r="B397" s="32"/>
      <c r="C397" s="32"/>
      <c r="D397" s="32"/>
      <c r="E397" s="32"/>
      <c r="F397" s="32"/>
      <c r="G397" s="32"/>
      <c r="H397" s="32"/>
      <c r="I397" s="32"/>
      <c r="J397" s="32"/>
      <c r="K397" s="32"/>
      <c r="L397" s="32"/>
      <c r="M397" s="32"/>
      <c r="N397" s="32"/>
      <c r="O397" s="32"/>
      <c r="P397" s="32"/>
      <c r="Q397" s="32"/>
      <c r="R397" s="32"/>
      <c r="S397" s="32"/>
      <c r="T397" s="32"/>
      <c r="U397" s="32"/>
      <c r="V397" s="32"/>
      <c r="W397" s="32"/>
      <c r="X397" s="32"/>
      <c r="Y397" s="32"/>
      <c r="Z397" s="32"/>
    </row>
    <row r="398" spans="1:26" x14ac:dyDescent="0.2">
      <c r="B398" s="32"/>
      <c r="C398" s="32"/>
      <c r="D398" s="32"/>
      <c r="E398" s="32"/>
      <c r="F398" s="32"/>
      <c r="G398" s="32"/>
      <c r="H398" s="32"/>
      <c r="I398" s="32"/>
      <c r="J398" s="32"/>
      <c r="K398" s="32"/>
      <c r="L398" s="32"/>
      <c r="M398" s="32"/>
      <c r="N398" s="32"/>
      <c r="O398" s="32"/>
      <c r="P398" s="32"/>
      <c r="Q398" s="32"/>
      <c r="R398" s="32"/>
      <c r="S398" s="32"/>
      <c r="T398" s="32"/>
      <c r="U398" s="32"/>
      <c r="V398" s="32"/>
      <c r="W398" s="32"/>
      <c r="X398" s="32"/>
      <c r="Y398" s="32"/>
      <c r="Z398" s="32"/>
    </row>
    <row r="399" spans="1:26" x14ac:dyDescent="0.2">
      <c r="B399" s="32"/>
      <c r="C399" s="32"/>
      <c r="D399" s="32"/>
      <c r="E399" s="32"/>
      <c r="F399" s="32"/>
      <c r="G399" s="32"/>
      <c r="H399" s="32"/>
      <c r="I399" s="32"/>
      <c r="J399" s="32"/>
      <c r="K399" s="32"/>
      <c r="L399" s="32"/>
      <c r="M399" s="32"/>
      <c r="N399" s="32"/>
      <c r="O399" s="32"/>
      <c r="P399" s="32"/>
      <c r="Q399" s="32"/>
      <c r="R399" s="32"/>
      <c r="S399" s="32"/>
      <c r="T399" s="32"/>
      <c r="U399" s="32"/>
      <c r="V399" s="32"/>
      <c r="W399" s="32"/>
      <c r="X399" s="32"/>
      <c r="Y399" s="32"/>
      <c r="Z399" s="32"/>
    </row>
    <row r="400" spans="1:26" x14ac:dyDescent="0.2">
      <c r="B400" s="32"/>
      <c r="C400" s="32"/>
      <c r="D400" s="32"/>
      <c r="E400" s="32"/>
      <c r="F400" s="32"/>
      <c r="G400" s="32"/>
      <c r="H400" s="32"/>
      <c r="I400" s="32"/>
      <c r="J400" s="32"/>
      <c r="K400" s="32"/>
      <c r="L400" s="32"/>
      <c r="M400" s="32"/>
      <c r="N400" s="32"/>
      <c r="O400" s="32"/>
      <c r="P400" s="32"/>
      <c r="Q400" s="32"/>
      <c r="R400" s="32"/>
      <c r="S400" s="32"/>
      <c r="T400" s="32"/>
      <c r="U400" s="32"/>
      <c r="V400" s="32"/>
      <c r="W400" s="32"/>
      <c r="X400" s="32"/>
      <c r="Y400" s="32"/>
      <c r="Z400" s="32"/>
    </row>
    <row r="401" spans="2:26" x14ac:dyDescent="0.2">
      <c r="B401" s="32"/>
      <c r="C401" s="32"/>
      <c r="D401" s="32"/>
      <c r="E401" s="32"/>
      <c r="F401" s="32"/>
      <c r="G401" s="32"/>
      <c r="H401" s="32"/>
      <c r="I401" s="32"/>
      <c r="J401" s="32"/>
      <c r="K401" s="32"/>
      <c r="L401" s="32"/>
      <c r="M401" s="32"/>
      <c r="N401" s="32"/>
      <c r="O401" s="32"/>
      <c r="P401" s="32"/>
      <c r="Q401" s="32"/>
      <c r="R401" s="32"/>
      <c r="S401" s="32"/>
      <c r="T401" s="32"/>
      <c r="U401" s="32"/>
      <c r="V401" s="32"/>
      <c r="W401" s="32"/>
      <c r="X401" s="32"/>
      <c r="Y401" s="32"/>
      <c r="Z401" s="32"/>
    </row>
    <row r="402" spans="2:26" x14ac:dyDescent="0.2">
      <c r="B402" s="32"/>
      <c r="C402" s="32"/>
      <c r="D402" s="32"/>
      <c r="E402" s="32"/>
      <c r="F402" s="32"/>
      <c r="G402" s="32"/>
      <c r="H402" s="32"/>
      <c r="I402" s="32"/>
      <c r="J402" s="32"/>
      <c r="K402" s="32"/>
      <c r="L402" s="32"/>
      <c r="M402" s="32"/>
      <c r="N402" s="32"/>
      <c r="O402" s="32"/>
      <c r="P402" s="32"/>
      <c r="Q402" s="32"/>
      <c r="R402" s="32"/>
      <c r="S402" s="32"/>
      <c r="T402" s="32"/>
      <c r="U402" s="32"/>
      <c r="V402" s="32"/>
      <c r="W402" s="32"/>
      <c r="X402" s="32"/>
      <c r="Y402" s="32"/>
      <c r="Z402" s="32"/>
    </row>
    <row r="403" spans="2:26" x14ac:dyDescent="0.2">
      <c r="B403" s="32"/>
      <c r="C403" s="32"/>
      <c r="D403" s="32"/>
      <c r="E403" s="32"/>
      <c r="F403" s="32"/>
      <c r="G403" s="32"/>
      <c r="H403" s="32"/>
      <c r="I403" s="32"/>
      <c r="J403" s="32"/>
      <c r="K403" s="32"/>
      <c r="L403" s="32"/>
      <c r="M403" s="32"/>
      <c r="N403" s="32"/>
      <c r="O403" s="32"/>
      <c r="P403" s="32"/>
      <c r="Q403" s="32"/>
      <c r="R403" s="32"/>
      <c r="S403" s="32"/>
      <c r="T403" s="32"/>
      <c r="U403" s="32"/>
      <c r="V403" s="32"/>
      <c r="W403" s="32"/>
      <c r="X403" s="32"/>
      <c r="Y403" s="32"/>
      <c r="Z403" s="32"/>
    </row>
    <row r="404" spans="2:26" x14ac:dyDescent="0.2">
      <c r="B404" s="32"/>
      <c r="C404" s="32"/>
      <c r="D404" s="32"/>
      <c r="E404" s="32"/>
      <c r="F404" s="32"/>
      <c r="G404" s="32"/>
      <c r="H404" s="32"/>
      <c r="I404" s="32"/>
      <c r="J404" s="32"/>
      <c r="K404" s="32"/>
      <c r="L404" s="32"/>
      <c r="M404" s="32"/>
      <c r="N404" s="32"/>
      <c r="O404" s="32"/>
      <c r="P404" s="32"/>
      <c r="Q404" s="32"/>
      <c r="R404" s="32"/>
      <c r="S404" s="32"/>
      <c r="T404" s="32"/>
      <c r="U404" s="32"/>
      <c r="V404" s="32"/>
      <c r="W404" s="32"/>
      <c r="X404" s="32"/>
      <c r="Y404" s="32"/>
      <c r="Z404" s="32"/>
    </row>
    <row r="405" spans="2:26" x14ac:dyDescent="0.2">
      <c r="B405" s="32"/>
      <c r="C405" s="32"/>
      <c r="D405" s="32"/>
      <c r="E405" s="32"/>
      <c r="F405" s="32"/>
      <c r="G405" s="32"/>
      <c r="H405" s="32"/>
      <c r="I405" s="32"/>
      <c r="J405" s="32"/>
      <c r="K405" s="32"/>
      <c r="L405" s="32"/>
      <c r="M405" s="32"/>
      <c r="N405" s="32"/>
      <c r="O405" s="32"/>
      <c r="P405" s="32"/>
      <c r="Q405" s="32"/>
      <c r="R405" s="32"/>
      <c r="S405" s="32"/>
      <c r="T405" s="32"/>
      <c r="U405" s="32"/>
      <c r="V405" s="32"/>
      <c r="W405" s="32"/>
      <c r="X405" s="32"/>
      <c r="Y405" s="32"/>
      <c r="Z405" s="32"/>
    </row>
    <row r="406" spans="2:26" x14ac:dyDescent="0.2">
      <c r="B406" s="32"/>
      <c r="C406" s="32"/>
      <c r="D406" s="32"/>
      <c r="E406" s="32"/>
      <c r="F406" s="32"/>
      <c r="G406" s="32"/>
      <c r="H406" s="32"/>
      <c r="I406" s="32"/>
      <c r="J406" s="32"/>
      <c r="K406" s="32"/>
      <c r="L406" s="32"/>
      <c r="M406" s="32"/>
      <c r="N406" s="32"/>
      <c r="O406" s="32"/>
      <c r="P406" s="32"/>
      <c r="Q406" s="32"/>
      <c r="R406" s="32"/>
      <c r="S406" s="32"/>
      <c r="T406" s="32"/>
      <c r="U406" s="32"/>
      <c r="V406" s="32"/>
      <c r="W406" s="32"/>
      <c r="X406" s="32"/>
      <c r="Y406" s="32"/>
      <c r="Z406" s="32"/>
    </row>
    <row r="407" spans="2:26" x14ac:dyDescent="0.2">
      <c r="B407" s="32"/>
      <c r="C407" s="32"/>
      <c r="D407" s="32"/>
      <c r="E407" s="32"/>
      <c r="F407" s="32"/>
      <c r="G407" s="32"/>
      <c r="H407" s="32"/>
      <c r="I407" s="32"/>
      <c r="J407" s="32"/>
      <c r="K407" s="32"/>
      <c r="L407" s="32"/>
      <c r="M407" s="32"/>
      <c r="N407" s="32"/>
      <c r="O407" s="32"/>
      <c r="P407" s="32"/>
      <c r="Q407" s="32"/>
      <c r="R407" s="32"/>
      <c r="S407" s="32"/>
      <c r="T407" s="32"/>
      <c r="U407" s="32"/>
      <c r="V407" s="32"/>
      <c r="W407" s="32"/>
      <c r="X407" s="32"/>
      <c r="Y407" s="32"/>
      <c r="Z407" s="32"/>
    </row>
    <row r="408" spans="2:26" x14ac:dyDescent="0.2">
      <c r="B408" s="32"/>
      <c r="C408" s="32"/>
      <c r="D408" s="32"/>
      <c r="E408" s="32"/>
      <c r="F408" s="32"/>
      <c r="G408" s="32"/>
      <c r="H408" s="32"/>
      <c r="I408" s="32"/>
      <c r="J408" s="32"/>
      <c r="K408" s="32"/>
      <c r="L408" s="32"/>
      <c r="M408" s="32"/>
      <c r="N408" s="32"/>
      <c r="O408" s="32"/>
      <c r="P408" s="32"/>
      <c r="Q408" s="32"/>
      <c r="R408" s="32"/>
      <c r="S408" s="32"/>
      <c r="T408" s="32"/>
      <c r="U408" s="32"/>
      <c r="V408" s="32"/>
      <c r="W408" s="32"/>
      <c r="X408" s="32"/>
      <c r="Y408" s="32"/>
      <c r="Z408" s="32"/>
    </row>
    <row r="409" spans="2:26" x14ac:dyDescent="0.2">
      <c r="B409" s="32"/>
      <c r="C409" s="32"/>
      <c r="D409" s="32"/>
      <c r="E409" s="32"/>
      <c r="F409" s="32"/>
      <c r="G409" s="32"/>
      <c r="H409" s="32"/>
      <c r="I409" s="32"/>
      <c r="J409" s="32"/>
      <c r="K409" s="32"/>
      <c r="L409" s="32"/>
      <c r="M409" s="32"/>
      <c r="N409" s="32"/>
      <c r="O409" s="32"/>
      <c r="P409" s="32"/>
      <c r="Q409" s="32"/>
      <c r="R409" s="32"/>
      <c r="S409" s="32"/>
      <c r="T409" s="32"/>
      <c r="U409" s="32"/>
      <c r="V409" s="32"/>
      <c r="W409" s="32"/>
      <c r="X409" s="32"/>
      <c r="Y409" s="32"/>
      <c r="Z409" s="32"/>
    </row>
    <row r="410" spans="2:26" x14ac:dyDescent="0.2">
      <c r="B410" s="32"/>
      <c r="C410" s="32"/>
      <c r="D410" s="32"/>
      <c r="E410" s="32"/>
      <c r="F410" s="32"/>
      <c r="G410" s="32"/>
      <c r="H410" s="32"/>
      <c r="I410" s="32"/>
      <c r="J410" s="32"/>
      <c r="K410" s="32"/>
      <c r="L410" s="32"/>
      <c r="M410" s="32"/>
      <c r="N410" s="32"/>
      <c r="O410" s="32"/>
      <c r="P410" s="32"/>
      <c r="Q410" s="32"/>
      <c r="R410" s="32"/>
      <c r="S410" s="32"/>
      <c r="T410" s="32"/>
      <c r="U410" s="32"/>
      <c r="V410" s="32"/>
      <c r="W410" s="32"/>
      <c r="X410" s="32"/>
      <c r="Y410" s="32"/>
      <c r="Z410" s="32"/>
    </row>
    <row r="411" spans="2:26" x14ac:dyDescent="0.2">
      <c r="B411" s="32"/>
      <c r="C411" s="32"/>
      <c r="D411" s="32"/>
      <c r="E411" s="32"/>
      <c r="F411" s="32"/>
      <c r="G411" s="32"/>
      <c r="H411" s="32"/>
      <c r="I411" s="32"/>
      <c r="J411" s="32"/>
      <c r="K411" s="32"/>
      <c r="L411" s="32"/>
      <c r="M411" s="32"/>
      <c r="N411" s="32"/>
      <c r="O411" s="32"/>
      <c r="P411" s="32"/>
      <c r="Q411" s="32"/>
      <c r="R411" s="32"/>
      <c r="S411" s="32"/>
      <c r="T411" s="32"/>
      <c r="U411" s="32"/>
      <c r="V411" s="32"/>
      <c r="W411" s="32"/>
      <c r="X411" s="32"/>
      <c r="Y411" s="32"/>
      <c r="Z411" s="32"/>
    </row>
    <row r="412" spans="2:26" x14ac:dyDescent="0.2">
      <c r="B412" s="32"/>
      <c r="C412" s="32"/>
      <c r="D412" s="32"/>
      <c r="E412" s="32"/>
      <c r="F412" s="32"/>
      <c r="G412" s="32"/>
      <c r="H412" s="32"/>
      <c r="I412" s="32"/>
      <c r="J412" s="32"/>
      <c r="K412" s="32"/>
      <c r="L412" s="32"/>
      <c r="M412" s="32"/>
      <c r="N412" s="32"/>
      <c r="O412" s="32"/>
      <c r="P412" s="32"/>
      <c r="Q412" s="32"/>
      <c r="R412" s="32"/>
      <c r="S412" s="32"/>
      <c r="T412" s="32"/>
      <c r="U412" s="32"/>
      <c r="V412" s="32"/>
      <c r="W412" s="32"/>
      <c r="X412" s="32"/>
      <c r="Y412" s="32"/>
      <c r="Z412" s="32"/>
    </row>
    <row r="413" spans="2:26" x14ac:dyDescent="0.2">
      <c r="B413" s="32"/>
      <c r="C413" s="32"/>
      <c r="D413" s="32"/>
      <c r="E413" s="32"/>
      <c r="F413" s="32"/>
      <c r="G413" s="32"/>
      <c r="H413" s="32"/>
      <c r="I413" s="32"/>
      <c r="J413" s="32"/>
      <c r="K413" s="32"/>
      <c r="L413" s="32"/>
      <c r="M413" s="32"/>
      <c r="N413" s="32"/>
      <c r="O413" s="32"/>
      <c r="P413" s="32"/>
      <c r="Q413" s="32"/>
      <c r="R413" s="32"/>
      <c r="S413" s="32"/>
      <c r="T413" s="32"/>
      <c r="U413" s="32"/>
      <c r="V413" s="32"/>
      <c r="W413" s="32"/>
      <c r="X413" s="32"/>
      <c r="Y413" s="32"/>
      <c r="Z413" s="32"/>
    </row>
    <row r="414" spans="2:26" x14ac:dyDescent="0.2">
      <c r="B414" s="32"/>
      <c r="C414" s="32"/>
      <c r="D414" s="32"/>
      <c r="E414" s="32"/>
      <c r="F414" s="32"/>
      <c r="G414" s="32"/>
      <c r="H414" s="32"/>
      <c r="I414" s="32"/>
      <c r="J414" s="32"/>
      <c r="K414" s="32"/>
      <c r="L414" s="32"/>
      <c r="M414" s="32"/>
      <c r="N414" s="32"/>
      <c r="O414" s="32"/>
      <c r="P414" s="32"/>
      <c r="Q414" s="32"/>
      <c r="R414" s="32"/>
      <c r="S414" s="32"/>
      <c r="T414" s="32"/>
      <c r="U414" s="32"/>
      <c r="V414" s="32"/>
      <c r="W414" s="32"/>
      <c r="X414" s="32"/>
      <c r="Y414" s="32"/>
      <c r="Z414" s="32"/>
    </row>
    <row r="415" spans="2:26" x14ac:dyDescent="0.2">
      <c r="B415" s="32"/>
      <c r="C415" s="32"/>
      <c r="D415" s="32"/>
      <c r="E415" s="32"/>
      <c r="F415" s="32"/>
      <c r="G415" s="32"/>
      <c r="H415" s="32"/>
      <c r="I415" s="32"/>
      <c r="J415" s="32"/>
      <c r="K415" s="32"/>
      <c r="L415" s="32"/>
      <c r="M415" s="32"/>
      <c r="N415" s="32"/>
      <c r="O415" s="32"/>
      <c r="P415" s="32"/>
      <c r="Q415" s="32"/>
      <c r="R415" s="32"/>
      <c r="S415" s="32"/>
      <c r="T415" s="32"/>
      <c r="U415" s="32"/>
      <c r="V415" s="32"/>
      <c r="W415" s="32"/>
      <c r="X415" s="32"/>
      <c r="Y415" s="32"/>
      <c r="Z415" s="32"/>
    </row>
    <row r="416" spans="2:26" x14ac:dyDescent="0.2">
      <c r="B416" s="32"/>
      <c r="C416" s="32"/>
      <c r="D416" s="32"/>
      <c r="E416" s="32"/>
      <c r="F416" s="32"/>
      <c r="G416" s="32"/>
      <c r="H416" s="32"/>
      <c r="I416" s="32"/>
      <c r="J416" s="32"/>
      <c r="K416" s="32"/>
      <c r="L416" s="32"/>
      <c r="M416" s="32"/>
      <c r="N416" s="32"/>
      <c r="O416" s="32"/>
      <c r="P416" s="32"/>
      <c r="Q416" s="32"/>
      <c r="R416" s="32"/>
      <c r="S416" s="32"/>
      <c r="T416" s="32"/>
      <c r="U416" s="32"/>
      <c r="V416" s="32"/>
      <c r="W416" s="32"/>
      <c r="X416" s="32"/>
      <c r="Y416" s="32"/>
      <c r="Z416" s="32"/>
    </row>
    <row r="417" spans="2:26" x14ac:dyDescent="0.2">
      <c r="B417" s="32"/>
      <c r="C417" s="32"/>
      <c r="D417" s="32"/>
      <c r="E417" s="32"/>
      <c r="F417" s="32"/>
      <c r="G417" s="32"/>
      <c r="H417" s="32"/>
      <c r="I417" s="32"/>
      <c r="J417" s="32"/>
      <c r="K417" s="32"/>
      <c r="L417" s="32"/>
      <c r="M417" s="32"/>
      <c r="N417" s="32"/>
      <c r="O417" s="32"/>
      <c r="P417" s="32"/>
      <c r="Q417" s="32"/>
      <c r="R417" s="32"/>
      <c r="S417" s="32"/>
      <c r="T417" s="32"/>
      <c r="U417" s="32"/>
      <c r="V417" s="32"/>
      <c r="W417" s="32"/>
      <c r="X417" s="32"/>
      <c r="Y417" s="32"/>
      <c r="Z417" s="32"/>
    </row>
    <row r="418" spans="2:26" x14ac:dyDescent="0.2">
      <c r="B418" s="32"/>
      <c r="C418" s="32"/>
      <c r="D418" s="32"/>
      <c r="E418" s="32"/>
      <c r="F418" s="32"/>
      <c r="G418" s="32"/>
      <c r="H418" s="32"/>
      <c r="I418" s="32"/>
      <c r="J418" s="32"/>
      <c r="K418" s="32"/>
      <c r="L418" s="32"/>
      <c r="M418" s="32"/>
      <c r="N418" s="32"/>
      <c r="O418" s="32"/>
      <c r="P418" s="32"/>
      <c r="Q418" s="32"/>
      <c r="R418" s="32"/>
      <c r="S418" s="32"/>
      <c r="T418" s="32"/>
      <c r="U418" s="32"/>
      <c r="V418" s="32"/>
      <c r="W418" s="32"/>
      <c r="X418" s="32"/>
      <c r="Y418" s="32"/>
      <c r="Z418" s="32"/>
    </row>
    <row r="419" spans="2:26" x14ac:dyDescent="0.2">
      <c r="B419" s="32"/>
      <c r="C419" s="32"/>
      <c r="D419" s="32"/>
      <c r="E419" s="32"/>
      <c r="F419" s="32"/>
      <c r="G419" s="32"/>
      <c r="H419" s="32"/>
      <c r="I419" s="32"/>
      <c r="J419" s="32"/>
      <c r="K419" s="32"/>
      <c r="L419" s="32"/>
      <c r="M419" s="32"/>
      <c r="N419" s="32"/>
      <c r="O419" s="32"/>
      <c r="P419" s="32"/>
      <c r="Q419" s="32"/>
      <c r="R419" s="32"/>
      <c r="S419" s="32"/>
      <c r="T419" s="32"/>
      <c r="U419" s="32"/>
      <c r="V419" s="32"/>
      <c r="W419" s="32"/>
      <c r="X419" s="32"/>
      <c r="Y419" s="32"/>
      <c r="Z419" s="32"/>
    </row>
    <row r="420" spans="2:26" x14ac:dyDescent="0.2">
      <c r="B420" s="32"/>
      <c r="C420" s="32"/>
      <c r="D420" s="32"/>
      <c r="E420" s="32"/>
      <c r="F420" s="32"/>
      <c r="G420" s="32"/>
      <c r="H420" s="32"/>
      <c r="I420" s="32"/>
      <c r="J420" s="32"/>
      <c r="K420" s="32"/>
      <c r="L420" s="32"/>
      <c r="M420" s="32"/>
      <c r="N420" s="32"/>
      <c r="O420" s="32"/>
      <c r="P420" s="32"/>
      <c r="Q420" s="32"/>
      <c r="R420" s="32"/>
      <c r="S420" s="32"/>
      <c r="T420" s="32"/>
      <c r="U420" s="32"/>
      <c r="V420" s="32"/>
      <c r="W420" s="32"/>
      <c r="X420" s="32"/>
      <c r="Y420" s="32"/>
      <c r="Z420" s="32"/>
    </row>
    <row r="421" spans="2:26" x14ac:dyDescent="0.2">
      <c r="B421" s="32"/>
      <c r="C421" s="32"/>
      <c r="D421" s="32"/>
      <c r="E421" s="32"/>
      <c r="F421" s="32"/>
      <c r="G421" s="32"/>
      <c r="H421" s="32"/>
      <c r="I421" s="32"/>
      <c r="J421" s="32"/>
      <c r="K421" s="32"/>
      <c r="L421" s="32"/>
      <c r="M421" s="32"/>
      <c r="N421" s="32"/>
      <c r="O421" s="32"/>
      <c r="P421" s="32"/>
      <c r="Q421" s="32"/>
      <c r="R421" s="32"/>
      <c r="S421" s="32"/>
      <c r="T421" s="32"/>
      <c r="U421" s="32"/>
      <c r="V421" s="32"/>
      <c r="W421" s="32"/>
      <c r="X421" s="32"/>
      <c r="Y421" s="32"/>
      <c r="Z421" s="32"/>
    </row>
    <row r="422" spans="2:26" x14ac:dyDescent="0.2">
      <c r="B422" s="32"/>
      <c r="C422" s="32"/>
      <c r="D422" s="32"/>
      <c r="E422" s="32"/>
      <c r="F422" s="32"/>
      <c r="G422" s="32"/>
      <c r="H422" s="32"/>
      <c r="I422" s="32"/>
      <c r="J422" s="32"/>
      <c r="K422" s="32"/>
      <c r="L422" s="32"/>
      <c r="M422" s="32"/>
      <c r="N422" s="32"/>
      <c r="O422" s="32"/>
      <c r="P422" s="32"/>
      <c r="Q422" s="32"/>
      <c r="R422" s="32"/>
      <c r="S422" s="32"/>
      <c r="T422" s="32"/>
      <c r="U422" s="32"/>
      <c r="V422" s="32"/>
      <c r="W422" s="32"/>
      <c r="X422" s="32"/>
      <c r="Y422" s="32"/>
      <c r="Z422" s="32"/>
    </row>
    <row r="423" spans="2:26" x14ac:dyDescent="0.2">
      <c r="B423" s="32"/>
      <c r="C423" s="32"/>
      <c r="D423" s="32"/>
      <c r="E423" s="32"/>
      <c r="F423" s="32"/>
      <c r="G423" s="32"/>
      <c r="H423" s="32"/>
      <c r="I423" s="32"/>
      <c r="J423" s="32"/>
      <c r="K423" s="32"/>
      <c r="L423" s="32"/>
      <c r="M423" s="32"/>
      <c r="N423" s="32"/>
      <c r="O423" s="32"/>
      <c r="P423" s="32"/>
      <c r="Q423" s="32"/>
      <c r="R423" s="32"/>
      <c r="S423" s="32"/>
      <c r="T423" s="32"/>
      <c r="U423" s="32"/>
      <c r="V423" s="32"/>
      <c r="W423" s="32"/>
      <c r="X423" s="32"/>
      <c r="Y423" s="32"/>
      <c r="Z423" s="32"/>
    </row>
    <row r="424" spans="2:26" x14ac:dyDescent="0.2">
      <c r="B424" s="32"/>
      <c r="C424" s="32"/>
      <c r="D424" s="32"/>
      <c r="E424" s="32"/>
      <c r="F424" s="32"/>
      <c r="G424" s="32"/>
      <c r="H424" s="32"/>
      <c r="I424" s="32"/>
      <c r="J424" s="32"/>
      <c r="K424" s="32"/>
      <c r="L424" s="32"/>
      <c r="M424" s="32"/>
      <c r="N424" s="32"/>
      <c r="O424" s="32"/>
      <c r="P424" s="32"/>
      <c r="Q424" s="32"/>
      <c r="R424" s="32"/>
      <c r="S424" s="32"/>
      <c r="T424" s="32"/>
      <c r="U424" s="32"/>
      <c r="V424" s="32"/>
      <c r="W424" s="32"/>
      <c r="X424" s="32"/>
      <c r="Y424" s="32"/>
      <c r="Z424" s="32"/>
    </row>
    <row r="425" spans="2:26" x14ac:dyDescent="0.2">
      <c r="B425" s="32"/>
      <c r="C425" s="32"/>
      <c r="D425" s="32"/>
      <c r="E425" s="32"/>
      <c r="F425" s="32"/>
      <c r="G425" s="32"/>
      <c r="H425" s="32"/>
      <c r="I425" s="32"/>
      <c r="J425" s="32"/>
      <c r="K425" s="32"/>
      <c r="L425" s="32"/>
      <c r="M425" s="32"/>
      <c r="N425" s="32"/>
      <c r="O425" s="32"/>
      <c r="P425" s="32"/>
      <c r="Q425" s="32"/>
      <c r="R425" s="32"/>
      <c r="S425" s="32"/>
      <c r="T425" s="32"/>
      <c r="U425" s="32"/>
      <c r="V425" s="32"/>
      <c r="W425" s="32"/>
      <c r="X425" s="32"/>
      <c r="Y425" s="32"/>
      <c r="Z425" s="32"/>
    </row>
    <row r="426" spans="2:26" x14ac:dyDescent="0.2">
      <c r="B426" s="32"/>
      <c r="C426" s="32"/>
      <c r="D426" s="32"/>
      <c r="E426" s="32"/>
      <c r="F426" s="32"/>
      <c r="G426" s="32"/>
      <c r="H426" s="32"/>
      <c r="I426" s="32"/>
      <c r="J426" s="32"/>
      <c r="K426" s="32"/>
      <c r="L426" s="32"/>
      <c r="M426" s="32"/>
      <c r="N426" s="32"/>
      <c r="O426" s="32"/>
      <c r="P426" s="32"/>
      <c r="Q426" s="32"/>
      <c r="R426" s="32"/>
      <c r="S426" s="32"/>
      <c r="T426" s="32"/>
      <c r="U426" s="32"/>
      <c r="V426" s="32"/>
      <c r="W426" s="32"/>
      <c r="X426" s="32"/>
      <c r="Y426" s="32"/>
      <c r="Z426" s="32"/>
    </row>
    <row r="427" spans="2:26" x14ac:dyDescent="0.2">
      <c r="B427" s="32"/>
      <c r="C427" s="32"/>
      <c r="D427" s="32"/>
      <c r="E427" s="32"/>
      <c r="F427" s="32"/>
      <c r="G427" s="32"/>
      <c r="H427" s="32"/>
      <c r="I427" s="32"/>
      <c r="J427" s="32"/>
      <c r="K427" s="32"/>
      <c r="L427" s="32"/>
      <c r="M427" s="32"/>
      <c r="N427" s="32"/>
      <c r="O427" s="32"/>
      <c r="P427" s="32"/>
      <c r="Q427" s="32"/>
      <c r="R427" s="32"/>
      <c r="S427" s="32"/>
      <c r="T427" s="32"/>
      <c r="U427" s="32"/>
      <c r="V427" s="32"/>
      <c r="W427" s="32"/>
      <c r="X427" s="32"/>
      <c r="Y427" s="32"/>
      <c r="Z427" s="32"/>
    </row>
    <row r="428" spans="2:26" x14ac:dyDescent="0.2">
      <c r="B428" s="32"/>
      <c r="C428" s="32"/>
      <c r="D428" s="32"/>
      <c r="E428" s="32"/>
      <c r="F428" s="32"/>
      <c r="G428" s="32"/>
      <c r="H428" s="32"/>
      <c r="I428" s="32"/>
      <c r="J428" s="32"/>
      <c r="K428" s="32"/>
      <c r="L428" s="32"/>
      <c r="M428" s="32"/>
      <c r="N428" s="32"/>
      <c r="O428" s="32"/>
      <c r="P428" s="32"/>
      <c r="Q428" s="32"/>
      <c r="R428" s="32"/>
      <c r="S428" s="32"/>
      <c r="T428" s="32"/>
      <c r="U428" s="32"/>
      <c r="V428" s="32"/>
      <c r="W428" s="32"/>
      <c r="X428" s="32"/>
      <c r="Y428" s="32"/>
      <c r="Z428" s="32"/>
    </row>
    <row r="429" spans="2:26" x14ac:dyDescent="0.2">
      <c r="B429" s="32"/>
      <c r="C429" s="32"/>
      <c r="D429" s="32"/>
      <c r="E429" s="32"/>
      <c r="F429" s="32"/>
      <c r="G429" s="32"/>
      <c r="H429" s="32"/>
      <c r="I429" s="32"/>
      <c r="J429" s="32"/>
      <c r="K429" s="32"/>
      <c r="L429" s="32"/>
      <c r="M429" s="32"/>
      <c r="N429" s="32"/>
      <c r="O429" s="32"/>
      <c r="P429" s="32"/>
      <c r="Q429" s="32"/>
      <c r="R429" s="32"/>
      <c r="S429" s="32"/>
      <c r="T429" s="32"/>
      <c r="U429" s="32"/>
      <c r="V429" s="32"/>
      <c r="W429" s="32"/>
      <c r="X429" s="32"/>
      <c r="Y429" s="32"/>
      <c r="Z429" s="32"/>
    </row>
    <row r="430" spans="2:26" x14ac:dyDescent="0.2">
      <c r="B430" s="32"/>
      <c r="C430" s="32"/>
      <c r="D430" s="32"/>
      <c r="E430" s="32"/>
      <c r="F430" s="32"/>
      <c r="G430" s="32"/>
      <c r="H430" s="32"/>
      <c r="I430" s="32"/>
      <c r="J430" s="32"/>
      <c r="K430" s="32"/>
      <c r="L430" s="32"/>
      <c r="M430" s="32"/>
      <c r="N430" s="32"/>
      <c r="O430" s="32"/>
      <c r="P430" s="32"/>
      <c r="Q430" s="32"/>
      <c r="R430" s="32"/>
      <c r="S430" s="32"/>
      <c r="T430" s="32"/>
      <c r="U430" s="32"/>
      <c r="V430" s="32"/>
      <c r="W430" s="32"/>
      <c r="X430" s="32"/>
      <c r="Y430" s="32"/>
      <c r="Z430" s="32"/>
    </row>
    <row r="431" spans="2:26" x14ac:dyDescent="0.2">
      <c r="B431" s="32"/>
      <c r="C431" s="32"/>
      <c r="D431" s="32"/>
      <c r="E431" s="32"/>
      <c r="F431" s="32"/>
      <c r="G431" s="32"/>
      <c r="H431" s="32"/>
      <c r="I431" s="32"/>
      <c r="J431" s="32"/>
      <c r="K431" s="32"/>
      <c r="L431" s="32"/>
      <c r="M431" s="32"/>
      <c r="N431" s="32"/>
      <c r="O431" s="32"/>
      <c r="P431" s="32"/>
      <c r="Q431" s="32"/>
      <c r="R431" s="32"/>
      <c r="S431" s="32"/>
      <c r="T431" s="32"/>
      <c r="U431" s="32"/>
      <c r="V431" s="32"/>
      <c r="W431" s="32"/>
      <c r="X431" s="32"/>
      <c r="Y431" s="32"/>
      <c r="Z431" s="32"/>
    </row>
    <row r="432" spans="2:26" x14ac:dyDescent="0.2">
      <c r="B432" s="32"/>
      <c r="C432" s="32"/>
      <c r="D432" s="32"/>
      <c r="E432" s="32"/>
      <c r="F432" s="32"/>
      <c r="G432" s="32"/>
      <c r="H432" s="32"/>
      <c r="I432" s="32"/>
      <c r="J432" s="32"/>
      <c r="K432" s="32"/>
      <c r="L432" s="32"/>
      <c r="M432" s="32"/>
      <c r="N432" s="32"/>
      <c r="O432" s="32"/>
      <c r="P432" s="32"/>
      <c r="Q432" s="32"/>
      <c r="R432" s="32"/>
      <c r="S432" s="32"/>
      <c r="T432" s="32"/>
      <c r="U432" s="32"/>
      <c r="V432" s="32"/>
      <c r="W432" s="32"/>
      <c r="X432" s="32"/>
      <c r="Y432" s="32"/>
      <c r="Z432" s="32"/>
    </row>
    <row r="433" spans="2:26" x14ac:dyDescent="0.2">
      <c r="B433" s="32"/>
      <c r="C433" s="32"/>
      <c r="D433" s="32"/>
      <c r="E433" s="32"/>
      <c r="F433" s="32"/>
      <c r="G433" s="32"/>
      <c r="H433" s="32"/>
      <c r="I433" s="32"/>
      <c r="J433" s="32"/>
      <c r="K433" s="32"/>
      <c r="L433" s="32"/>
      <c r="M433" s="32"/>
      <c r="N433" s="32"/>
      <c r="O433" s="32"/>
      <c r="P433" s="32"/>
      <c r="Q433" s="32"/>
      <c r="R433" s="32"/>
      <c r="S433" s="32"/>
      <c r="T433" s="32"/>
      <c r="U433" s="32"/>
      <c r="V433" s="32"/>
      <c r="W433" s="32"/>
      <c r="X433" s="32"/>
      <c r="Y433" s="32"/>
      <c r="Z433" s="32"/>
    </row>
    <row r="434" spans="2:26" x14ac:dyDescent="0.2">
      <c r="B434" s="32"/>
      <c r="C434" s="32"/>
      <c r="D434" s="32"/>
      <c r="E434" s="32"/>
      <c r="F434" s="32"/>
      <c r="G434" s="32"/>
      <c r="H434" s="32"/>
      <c r="I434" s="32"/>
      <c r="J434" s="32"/>
      <c r="K434" s="32"/>
      <c r="L434" s="32"/>
      <c r="M434" s="32"/>
      <c r="N434" s="32"/>
      <c r="O434" s="32"/>
      <c r="P434" s="32"/>
      <c r="Q434" s="32"/>
      <c r="R434" s="32"/>
      <c r="S434" s="32"/>
      <c r="T434" s="32"/>
      <c r="U434" s="32"/>
      <c r="V434" s="32"/>
      <c r="W434" s="32"/>
      <c r="X434" s="32"/>
      <c r="Y434" s="32"/>
      <c r="Z434" s="32"/>
    </row>
    <row r="435" spans="2:26" x14ac:dyDescent="0.2">
      <c r="B435" s="32"/>
      <c r="C435" s="32"/>
      <c r="D435" s="32"/>
      <c r="E435" s="32"/>
      <c r="F435" s="32"/>
      <c r="G435" s="32"/>
      <c r="H435" s="32"/>
      <c r="I435" s="32"/>
      <c r="J435" s="32"/>
      <c r="K435" s="32"/>
      <c r="L435" s="32"/>
      <c r="M435" s="32"/>
      <c r="N435" s="32"/>
      <c r="O435" s="32"/>
      <c r="P435" s="32"/>
      <c r="Q435" s="32"/>
      <c r="R435" s="32"/>
      <c r="S435" s="32"/>
      <c r="T435" s="32"/>
      <c r="U435" s="32"/>
      <c r="V435" s="32"/>
      <c r="W435" s="32"/>
      <c r="X435" s="32"/>
      <c r="Y435" s="32"/>
      <c r="Z435" s="32"/>
    </row>
    <row r="436" spans="2:26" x14ac:dyDescent="0.2">
      <c r="B436" s="32"/>
      <c r="C436" s="32"/>
      <c r="D436" s="32"/>
      <c r="E436" s="32"/>
      <c r="F436" s="32"/>
      <c r="G436" s="32"/>
      <c r="H436" s="32"/>
      <c r="I436" s="32"/>
      <c r="J436" s="32"/>
      <c r="K436" s="32"/>
      <c r="L436" s="32"/>
      <c r="M436" s="32"/>
      <c r="N436" s="32"/>
      <c r="O436" s="32"/>
      <c r="P436" s="32"/>
      <c r="Q436" s="32"/>
      <c r="R436" s="32"/>
      <c r="S436" s="32"/>
      <c r="T436" s="32"/>
      <c r="U436" s="32"/>
      <c r="V436" s="32"/>
      <c r="W436" s="32"/>
      <c r="X436" s="32"/>
      <c r="Y436" s="32"/>
      <c r="Z436" s="32"/>
    </row>
    <row r="437" spans="2:26" x14ac:dyDescent="0.2">
      <c r="B437" s="32"/>
      <c r="C437" s="32"/>
      <c r="D437" s="32"/>
      <c r="E437" s="32"/>
      <c r="F437" s="32"/>
      <c r="G437" s="32"/>
      <c r="H437" s="32"/>
      <c r="I437" s="32"/>
      <c r="J437" s="32"/>
      <c r="K437" s="32"/>
      <c r="L437" s="32"/>
      <c r="M437" s="32"/>
      <c r="N437" s="32"/>
      <c r="O437" s="32"/>
      <c r="P437" s="32"/>
      <c r="Q437" s="32"/>
      <c r="R437" s="32"/>
      <c r="S437" s="32"/>
      <c r="T437" s="32"/>
      <c r="U437" s="32"/>
      <c r="V437" s="32"/>
      <c r="W437" s="32"/>
      <c r="X437" s="32"/>
      <c r="Y437" s="32"/>
      <c r="Z437" s="32"/>
    </row>
    <row r="438" spans="2:26" x14ac:dyDescent="0.2">
      <c r="B438" s="32"/>
      <c r="C438" s="32"/>
      <c r="D438" s="32"/>
      <c r="E438" s="32"/>
      <c r="F438" s="32"/>
      <c r="G438" s="32"/>
      <c r="H438" s="32"/>
      <c r="I438" s="32"/>
      <c r="J438" s="32"/>
      <c r="K438" s="32"/>
      <c r="L438" s="32"/>
      <c r="M438" s="32"/>
      <c r="N438" s="32"/>
      <c r="O438" s="32"/>
      <c r="P438" s="32"/>
      <c r="Q438" s="32"/>
      <c r="R438" s="32"/>
      <c r="S438" s="32"/>
      <c r="T438" s="32"/>
      <c r="U438" s="32"/>
      <c r="V438" s="32"/>
      <c r="W438" s="32"/>
      <c r="X438" s="32"/>
      <c r="Y438" s="32"/>
      <c r="Z438" s="32"/>
    </row>
    <row r="439" spans="2:26" x14ac:dyDescent="0.2">
      <c r="B439" s="32"/>
      <c r="C439" s="32"/>
      <c r="D439" s="32"/>
      <c r="E439" s="32"/>
      <c r="F439" s="32"/>
      <c r="G439" s="32"/>
      <c r="H439" s="32"/>
      <c r="I439" s="32"/>
      <c r="J439" s="32"/>
      <c r="K439" s="32"/>
      <c r="L439" s="32"/>
      <c r="M439" s="32"/>
      <c r="N439" s="32"/>
      <c r="O439" s="32"/>
      <c r="P439" s="32"/>
      <c r="Q439" s="32"/>
      <c r="R439" s="32"/>
      <c r="S439" s="32"/>
      <c r="T439" s="32"/>
      <c r="U439" s="32"/>
      <c r="V439" s="32"/>
      <c r="W439" s="32"/>
      <c r="X439" s="32"/>
      <c r="Y439" s="32"/>
      <c r="Z439" s="32"/>
    </row>
    <row r="440" spans="2:26" x14ac:dyDescent="0.2">
      <c r="B440" s="32"/>
      <c r="C440" s="32"/>
      <c r="D440" s="32"/>
      <c r="E440" s="32"/>
      <c r="F440" s="32"/>
      <c r="G440" s="32"/>
      <c r="H440" s="32"/>
      <c r="I440" s="32"/>
      <c r="J440" s="32"/>
      <c r="K440" s="32"/>
      <c r="L440" s="32"/>
      <c r="M440" s="32"/>
      <c r="N440" s="32"/>
      <c r="O440" s="32"/>
      <c r="P440" s="32"/>
      <c r="Q440" s="32"/>
      <c r="R440" s="32"/>
      <c r="S440" s="32"/>
      <c r="T440" s="32"/>
      <c r="U440" s="32"/>
      <c r="V440" s="32"/>
      <c r="W440" s="32"/>
      <c r="X440" s="32"/>
      <c r="Y440" s="32"/>
      <c r="Z440" s="32"/>
    </row>
    <row r="441" spans="2:26" x14ac:dyDescent="0.2">
      <c r="B441" s="32"/>
      <c r="C441" s="32"/>
      <c r="D441" s="32"/>
      <c r="E441" s="32"/>
      <c r="F441" s="32"/>
      <c r="G441" s="32"/>
      <c r="H441" s="32"/>
      <c r="I441" s="32"/>
      <c r="J441" s="32"/>
      <c r="K441" s="32"/>
      <c r="L441" s="32"/>
      <c r="M441" s="32"/>
      <c r="N441" s="32"/>
      <c r="O441" s="32"/>
      <c r="P441" s="32"/>
      <c r="Q441" s="32"/>
      <c r="R441" s="32"/>
      <c r="S441" s="32"/>
      <c r="T441" s="32"/>
      <c r="U441" s="32"/>
      <c r="V441" s="32"/>
      <c r="W441" s="32"/>
      <c r="X441" s="32"/>
      <c r="Y441" s="32"/>
      <c r="Z441" s="32"/>
    </row>
    <row r="442" spans="2:26" x14ac:dyDescent="0.2">
      <c r="B442" s="32"/>
      <c r="C442" s="32"/>
      <c r="D442" s="32"/>
      <c r="E442" s="32"/>
      <c r="F442" s="32"/>
      <c r="G442" s="32"/>
      <c r="H442" s="32"/>
      <c r="I442" s="32"/>
      <c r="J442" s="32"/>
      <c r="K442" s="32"/>
      <c r="L442" s="32"/>
      <c r="M442" s="32"/>
      <c r="N442" s="32"/>
      <c r="O442" s="32"/>
      <c r="P442" s="32"/>
      <c r="Q442" s="32"/>
      <c r="R442" s="32"/>
      <c r="S442" s="32"/>
      <c r="T442" s="32"/>
      <c r="U442" s="32"/>
      <c r="V442" s="32"/>
      <c r="W442" s="32"/>
      <c r="X442" s="32"/>
      <c r="Y442" s="32"/>
      <c r="Z442" s="32"/>
    </row>
    <row r="443" spans="2:26" x14ac:dyDescent="0.2">
      <c r="B443" s="32"/>
      <c r="C443" s="32"/>
      <c r="D443" s="32"/>
      <c r="E443" s="32"/>
      <c r="F443" s="32"/>
      <c r="G443" s="32"/>
      <c r="H443" s="32"/>
      <c r="I443" s="32"/>
      <c r="J443" s="32"/>
      <c r="K443" s="32"/>
      <c r="L443" s="32"/>
      <c r="M443" s="32"/>
      <c r="N443" s="32"/>
      <c r="O443" s="32"/>
      <c r="P443" s="32"/>
      <c r="Q443" s="32"/>
      <c r="R443" s="32"/>
      <c r="S443" s="32"/>
      <c r="T443" s="32"/>
      <c r="U443" s="32"/>
      <c r="V443" s="32"/>
      <c r="W443" s="32"/>
      <c r="X443" s="32"/>
      <c r="Y443" s="32"/>
      <c r="Z443" s="32"/>
    </row>
    <row r="444" spans="2:26" x14ac:dyDescent="0.2">
      <c r="B444" s="32"/>
      <c r="C444" s="32"/>
      <c r="D444" s="32"/>
      <c r="E444" s="32"/>
      <c r="F444" s="32"/>
      <c r="G444" s="32"/>
      <c r="H444" s="32"/>
      <c r="I444" s="32"/>
      <c r="J444" s="32"/>
      <c r="K444" s="32"/>
      <c r="L444" s="32"/>
      <c r="M444" s="32"/>
      <c r="N444" s="32"/>
      <c r="O444" s="32"/>
      <c r="P444" s="32"/>
      <c r="Q444" s="32"/>
      <c r="R444" s="32"/>
      <c r="S444" s="32"/>
      <c r="T444" s="32"/>
      <c r="U444" s="32"/>
      <c r="V444" s="32"/>
      <c r="W444" s="32"/>
      <c r="X444" s="32"/>
      <c r="Y444" s="32"/>
      <c r="Z444" s="32"/>
    </row>
    <row r="445" spans="2:26" x14ac:dyDescent="0.2">
      <c r="B445" s="32"/>
      <c r="C445" s="32"/>
      <c r="D445" s="32"/>
      <c r="E445" s="32"/>
      <c r="F445" s="32"/>
      <c r="G445" s="32"/>
      <c r="H445" s="32"/>
      <c r="I445" s="32"/>
      <c r="J445" s="32"/>
      <c r="K445" s="32"/>
      <c r="L445" s="32"/>
      <c r="M445" s="32"/>
      <c r="N445" s="32"/>
      <c r="O445" s="32"/>
      <c r="P445" s="32"/>
      <c r="Q445" s="32"/>
      <c r="R445" s="32"/>
      <c r="S445" s="32"/>
      <c r="T445" s="32"/>
      <c r="U445" s="32"/>
      <c r="V445" s="32"/>
      <c r="W445" s="32"/>
      <c r="X445" s="32"/>
      <c r="Y445" s="32"/>
      <c r="Z445" s="32"/>
    </row>
    <row r="446" spans="2:26" x14ac:dyDescent="0.2">
      <c r="B446" s="32"/>
      <c r="C446" s="32"/>
      <c r="D446" s="32"/>
      <c r="E446" s="32"/>
      <c r="F446" s="32"/>
      <c r="G446" s="32"/>
      <c r="H446" s="32"/>
      <c r="I446" s="32"/>
      <c r="J446" s="32"/>
      <c r="K446" s="32"/>
      <c r="L446" s="32"/>
      <c r="M446" s="32"/>
      <c r="N446" s="32"/>
      <c r="O446" s="32"/>
      <c r="P446" s="32"/>
      <c r="Q446" s="32"/>
      <c r="R446" s="32"/>
      <c r="S446" s="32"/>
      <c r="T446" s="32"/>
      <c r="U446" s="32"/>
      <c r="V446" s="32"/>
      <c r="W446" s="32"/>
      <c r="X446" s="32"/>
      <c r="Y446" s="32"/>
      <c r="Z446" s="32"/>
    </row>
    <row r="447" spans="2:26" x14ac:dyDescent="0.2">
      <c r="B447" s="32"/>
      <c r="C447" s="32"/>
      <c r="D447" s="32"/>
      <c r="E447" s="32"/>
      <c r="F447" s="32"/>
      <c r="G447" s="32"/>
      <c r="H447" s="32"/>
      <c r="I447" s="32"/>
      <c r="J447" s="32"/>
      <c r="K447" s="32"/>
      <c r="L447" s="32"/>
      <c r="M447" s="32"/>
      <c r="N447" s="32"/>
      <c r="O447" s="32"/>
      <c r="P447" s="32"/>
      <c r="Q447" s="32"/>
      <c r="R447" s="32"/>
      <c r="S447" s="32"/>
      <c r="T447" s="32"/>
      <c r="U447" s="32"/>
      <c r="V447" s="32"/>
      <c r="W447" s="32"/>
      <c r="X447" s="32"/>
      <c r="Y447" s="32"/>
      <c r="Z447" s="32"/>
    </row>
    <row r="448" spans="2:26" x14ac:dyDescent="0.2">
      <c r="B448" s="32"/>
      <c r="C448" s="32"/>
      <c r="D448" s="32"/>
      <c r="E448" s="32"/>
      <c r="F448" s="32"/>
      <c r="G448" s="32"/>
      <c r="H448" s="32"/>
      <c r="I448" s="32"/>
      <c r="J448" s="32"/>
      <c r="K448" s="32"/>
      <c r="L448" s="32"/>
      <c r="M448" s="32"/>
      <c r="N448" s="32"/>
      <c r="O448" s="32"/>
      <c r="P448" s="32"/>
      <c r="Q448" s="32"/>
      <c r="R448" s="32"/>
      <c r="S448" s="32"/>
      <c r="T448" s="32"/>
      <c r="U448" s="32"/>
      <c r="V448" s="32"/>
      <c r="W448" s="32"/>
      <c r="X448" s="32"/>
      <c r="Y448" s="32"/>
      <c r="Z448" s="32"/>
    </row>
    <row r="449" spans="2:26" x14ac:dyDescent="0.2">
      <c r="B449" s="32"/>
      <c r="C449" s="32"/>
      <c r="D449" s="32"/>
      <c r="E449" s="32"/>
      <c r="F449" s="32"/>
      <c r="G449" s="32"/>
      <c r="H449" s="32"/>
      <c r="I449" s="32"/>
      <c r="J449" s="32"/>
      <c r="K449" s="32"/>
      <c r="L449" s="32"/>
      <c r="M449" s="32"/>
      <c r="N449" s="32"/>
      <c r="O449" s="32"/>
      <c r="P449" s="32"/>
      <c r="Q449" s="32"/>
      <c r="R449" s="32"/>
      <c r="S449" s="32"/>
      <c r="T449" s="32"/>
      <c r="U449" s="32"/>
      <c r="V449" s="32"/>
      <c r="W449" s="32"/>
      <c r="X449" s="32"/>
      <c r="Y449" s="32"/>
      <c r="Z449" s="32"/>
    </row>
    <row r="450" spans="2:26" x14ac:dyDescent="0.2">
      <c r="B450" s="32"/>
      <c r="C450" s="32"/>
      <c r="D450" s="32"/>
      <c r="E450" s="32"/>
      <c r="F450" s="32"/>
      <c r="G450" s="32"/>
      <c r="H450" s="32"/>
      <c r="I450" s="32"/>
      <c r="J450" s="32"/>
      <c r="K450" s="32"/>
      <c r="L450" s="32"/>
      <c r="M450" s="32"/>
      <c r="N450" s="32"/>
      <c r="O450" s="32"/>
      <c r="P450" s="32"/>
      <c r="Q450" s="32"/>
      <c r="R450" s="32"/>
      <c r="S450" s="32"/>
      <c r="T450" s="32"/>
      <c r="U450" s="32"/>
      <c r="V450" s="32"/>
      <c r="W450" s="32"/>
      <c r="X450" s="32"/>
      <c r="Y450" s="32"/>
      <c r="Z450" s="32"/>
    </row>
    <row r="451" spans="2:26" x14ac:dyDescent="0.2">
      <c r="B451" s="32"/>
      <c r="C451" s="32"/>
      <c r="D451" s="32"/>
      <c r="E451" s="32"/>
      <c r="F451" s="32"/>
      <c r="G451" s="32"/>
      <c r="H451" s="32"/>
      <c r="I451" s="32"/>
      <c r="J451" s="32"/>
      <c r="K451" s="32"/>
      <c r="L451" s="32"/>
      <c r="M451" s="32"/>
      <c r="N451" s="32"/>
      <c r="O451" s="32"/>
      <c r="P451" s="32"/>
      <c r="Q451" s="32"/>
      <c r="R451" s="32"/>
      <c r="S451" s="32"/>
      <c r="T451" s="32"/>
      <c r="U451" s="32"/>
      <c r="V451" s="32"/>
      <c r="W451" s="32"/>
      <c r="X451" s="32"/>
      <c r="Y451" s="32"/>
      <c r="Z451" s="32"/>
    </row>
    <row r="452" spans="2:26" x14ac:dyDescent="0.2">
      <c r="B452" s="32"/>
      <c r="C452" s="32"/>
      <c r="D452" s="32"/>
      <c r="E452" s="32"/>
      <c r="F452" s="32"/>
      <c r="G452" s="32"/>
      <c r="H452" s="32"/>
      <c r="I452" s="32"/>
      <c r="J452" s="32"/>
      <c r="K452" s="32"/>
      <c r="L452" s="32"/>
      <c r="M452" s="32"/>
      <c r="N452" s="32"/>
      <c r="O452" s="32"/>
      <c r="P452" s="32"/>
      <c r="Q452" s="32"/>
      <c r="R452" s="32"/>
      <c r="S452" s="32"/>
      <c r="T452" s="32"/>
      <c r="U452" s="32"/>
      <c r="V452" s="32"/>
      <c r="W452" s="32"/>
      <c r="X452" s="32"/>
      <c r="Y452" s="32"/>
      <c r="Z452" s="32"/>
    </row>
    <row r="453" spans="2:26" x14ac:dyDescent="0.2">
      <c r="B453" s="32"/>
      <c r="C453" s="32"/>
      <c r="D453" s="32"/>
      <c r="E453" s="32"/>
      <c r="F453" s="32"/>
      <c r="G453" s="32"/>
      <c r="H453" s="32"/>
      <c r="I453" s="32"/>
      <c r="J453" s="32"/>
      <c r="K453" s="32"/>
      <c r="L453" s="32"/>
      <c r="M453" s="32"/>
      <c r="N453" s="32"/>
      <c r="O453" s="32"/>
      <c r="P453" s="32"/>
      <c r="Q453" s="32"/>
      <c r="R453" s="32"/>
      <c r="S453" s="32"/>
      <c r="T453" s="32"/>
      <c r="U453" s="32"/>
      <c r="V453" s="32"/>
      <c r="W453" s="32"/>
      <c r="X453" s="32"/>
      <c r="Y453" s="32"/>
      <c r="Z453" s="32"/>
    </row>
    <row r="454" spans="2:26" x14ac:dyDescent="0.2">
      <c r="B454" s="32"/>
      <c r="C454" s="32"/>
      <c r="D454" s="32"/>
      <c r="E454" s="32"/>
      <c r="F454" s="32"/>
      <c r="G454" s="32"/>
      <c r="H454" s="32"/>
      <c r="I454" s="32"/>
      <c r="J454" s="32"/>
      <c r="K454" s="32"/>
      <c r="L454" s="32"/>
      <c r="M454" s="32"/>
      <c r="N454" s="32"/>
      <c r="O454" s="32"/>
      <c r="P454" s="32"/>
      <c r="Q454" s="32"/>
      <c r="R454" s="32"/>
      <c r="S454" s="32"/>
      <c r="T454" s="32"/>
      <c r="U454" s="32"/>
      <c r="V454" s="32"/>
      <c r="W454" s="32"/>
      <c r="X454" s="32"/>
      <c r="Y454" s="32"/>
      <c r="Z454" s="32"/>
    </row>
    <row r="455" spans="2:26" x14ac:dyDescent="0.2">
      <c r="B455" s="32"/>
      <c r="C455" s="32"/>
      <c r="D455" s="32"/>
      <c r="E455" s="32"/>
      <c r="F455" s="32"/>
      <c r="G455" s="32"/>
      <c r="H455" s="32"/>
      <c r="I455" s="32"/>
      <c r="J455" s="32"/>
      <c r="K455" s="32"/>
      <c r="L455" s="32"/>
      <c r="M455" s="32"/>
      <c r="N455" s="32"/>
      <c r="O455" s="32"/>
      <c r="P455" s="32"/>
      <c r="Q455" s="32"/>
      <c r="R455" s="32"/>
      <c r="S455" s="32"/>
      <c r="T455" s="32"/>
      <c r="U455" s="32"/>
      <c r="V455" s="32"/>
      <c r="W455" s="32"/>
      <c r="X455" s="32"/>
      <c r="Y455" s="32"/>
      <c r="Z455" s="32"/>
    </row>
    <row r="456" spans="2:26" x14ac:dyDescent="0.2">
      <c r="B456" s="32"/>
      <c r="C456" s="32"/>
      <c r="D456" s="32"/>
      <c r="E456" s="32"/>
      <c r="F456" s="32"/>
      <c r="G456" s="32"/>
      <c r="H456" s="32"/>
      <c r="I456" s="32"/>
      <c r="J456" s="32"/>
      <c r="K456" s="32"/>
      <c r="L456" s="32"/>
      <c r="M456" s="32"/>
      <c r="N456" s="32"/>
      <c r="O456" s="32"/>
      <c r="P456" s="32"/>
      <c r="Q456" s="32"/>
      <c r="R456" s="32"/>
      <c r="S456" s="32"/>
      <c r="T456" s="32"/>
      <c r="U456" s="32"/>
      <c r="V456" s="32"/>
      <c r="W456" s="32"/>
      <c r="X456" s="32"/>
      <c r="Y456" s="32"/>
      <c r="Z456" s="32"/>
    </row>
    <row r="457" spans="2:26" x14ac:dyDescent="0.2">
      <c r="B457" s="32"/>
      <c r="C457" s="32"/>
      <c r="D457" s="32"/>
      <c r="E457" s="32"/>
      <c r="F457" s="32"/>
      <c r="G457" s="32"/>
      <c r="H457" s="32"/>
      <c r="I457" s="32"/>
      <c r="J457" s="32"/>
      <c r="K457" s="32"/>
      <c r="L457" s="32"/>
      <c r="M457" s="32"/>
      <c r="N457" s="32"/>
      <c r="O457" s="32"/>
      <c r="P457" s="32"/>
      <c r="Q457" s="32"/>
      <c r="R457" s="32"/>
      <c r="S457" s="32"/>
      <c r="T457" s="32"/>
      <c r="U457" s="32"/>
      <c r="V457" s="32"/>
      <c r="W457" s="32"/>
      <c r="X457" s="32"/>
      <c r="Y457" s="32"/>
      <c r="Z457" s="32"/>
    </row>
    <row r="458" spans="2:26" x14ac:dyDescent="0.2">
      <c r="B458" s="32"/>
      <c r="C458" s="32"/>
      <c r="D458" s="32"/>
      <c r="E458" s="32"/>
      <c r="F458" s="32"/>
      <c r="G458" s="32"/>
      <c r="H458" s="32"/>
      <c r="I458" s="32"/>
      <c r="J458" s="32"/>
      <c r="K458" s="32"/>
      <c r="L458" s="32"/>
      <c r="M458" s="32"/>
      <c r="N458" s="32"/>
      <c r="O458" s="32"/>
      <c r="P458" s="32"/>
      <c r="Q458" s="32"/>
      <c r="R458" s="32"/>
      <c r="S458" s="32"/>
      <c r="T458" s="32"/>
      <c r="U458" s="32"/>
      <c r="V458" s="32"/>
      <c r="W458" s="32"/>
      <c r="X458" s="32"/>
      <c r="Y458" s="32"/>
      <c r="Z458" s="32"/>
    </row>
    <row r="459" spans="2:26" x14ac:dyDescent="0.2">
      <c r="B459" s="32"/>
      <c r="C459" s="32"/>
      <c r="D459" s="32"/>
      <c r="E459" s="32"/>
      <c r="F459" s="32"/>
      <c r="G459" s="32"/>
      <c r="H459" s="32"/>
      <c r="I459" s="32"/>
      <c r="J459" s="32"/>
      <c r="K459" s="32"/>
      <c r="L459" s="32"/>
      <c r="M459" s="32"/>
      <c r="N459" s="32"/>
      <c r="O459" s="32"/>
      <c r="P459" s="32"/>
      <c r="Q459" s="32"/>
      <c r="R459" s="32"/>
      <c r="S459" s="32"/>
      <c r="T459" s="32"/>
      <c r="U459" s="32"/>
      <c r="V459" s="32"/>
      <c r="W459" s="32"/>
      <c r="X459" s="32"/>
      <c r="Y459" s="32"/>
      <c r="Z459" s="32"/>
    </row>
    <row r="460" spans="2:26" x14ac:dyDescent="0.2">
      <c r="B460" s="32"/>
      <c r="C460" s="32"/>
      <c r="D460" s="32"/>
      <c r="E460" s="32"/>
      <c r="F460" s="32"/>
      <c r="G460" s="32"/>
      <c r="H460" s="32"/>
      <c r="I460" s="32"/>
      <c r="J460" s="32"/>
      <c r="K460" s="32"/>
      <c r="L460" s="32"/>
      <c r="M460" s="32"/>
      <c r="N460" s="32"/>
      <c r="O460" s="32"/>
      <c r="P460" s="32"/>
      <c r="Q460" s="32"/>
      <c r="R460" s="32"/>
      <c r="S460" s="32"/>
      <c r="T460" s="32"/>
      <c r="U460" s="32"/>
      <c r="V460" s="32"/>
      <c r="W460" s="32"/>
      <c r="X460" s="32"/>
      <c r="Y460" s="32"/>
      <c r="Z460" s="32"/>
    </row>
    <row r="461" spans="2:26" x14ac:dyDescent="0.2">
      <c r="B461" s="32"/>
      <c r="C461" s="32"/>
      <c r="D461" s="32"/>
      <c r="E461" s="32"/>
      <c r="F461" s="32"/>
      <c r="G461" s="32"/>
      <c r="H461" s="32"/>
      <c r="I461" s="32"/>
      <c r="J461" s="32"/>
      <c r="K461" s="32"/>
      <c r="L461" s="32"/>
      <c r="M461" s="32"/>
      <c r="N461" s="32"/>
      <c r="O461" s="32"/>
      <c r="P461" s="32"/>
      <c r="Q461" s="32"/>
      <c r="R461" s="32"/>
      <c r="S461" s="32"/>
      <c r="T461" s="32"/>
      <c r="U461" s="32"/>
      <c r="V461" s="32"/>
      <c r="W461" s="32"/>
      <c r="X461" s="32"/>
      <c r="Y461" s="32"/>
      <c r="Z461" s="32"/>
    </row>
    <row r="462" spans="2:26" x14ac:dyDescent="0.2">
      <c r="B462" s="32"/>
      <c r="C462" s="32"/>
      <c r="D462" s="32"/>
      <c r="E462" s="32"/>
      <c r="F462" s="32"/>
      <c r="G462" s="32"/>
      <c r="H462" s="32"/>
      <c r="I462" s="32"/>
      <c r="J462" s="32"/>
      <c r="K462" s="32"/>
      <c r="L462" s="32"/>
      <c r="M462" s="32"/>
      <c r="N462" s="32"/>
      <c r="O462" s="32"/>
      <c r="P462" s="32"/>
      <c r="Q462" s="32"/>
      <c r="R462" s="32"/>
      <c r="S462" s="32"/>
      <c r="T462" s="32"/>
      <c r="U462" s="32"/>
      <c r="V462" s="32"/>
      <c r="W462" s="32"/>
      <c r="X462" s="32"/>
      <c r="Y462" s="32"/>
      <c r="Z462" s="32"/>
    </row>
    <row r="463" spans="2:26" x14ac:dyDescent="0.2">
      <c r="B463" s="32"/>
      <c r="C463" s="32"/>
      <c r="D463" s="32"/>
      <c r="E463" s="32"/>
      <c r="F463" s="32"/>
      <c r="G463" s="32"/>
      <c r="H463" s="32"/>
      <c r="I463" s="32"/>
      <c r="J463" s="32"/>
      <c r="K463" s="32"/>
      <c r="L463" s="32"/>
      <c r="M463" s="32"/>
      <c r="N463" s="32"/>
      <c r="O463" s="32"/>
      <c r="P463" s="32"/>
      <c r="Q463" s="32"/>
      <c r="R463" s="32"/>
      <c r="S463" s="32"/>
      <c r="T463" s="32"/>
      <c r="U463" s="32"/>
      <c r="V463" s="32"/>
      <c r="W463" s="32"/>
      <c r="X463" s="32"/>
      <c r="Y463" s="32"/>
      <c r="Z463" s="32"/>
    </row>
    <row r="464" spans="2:26" x14ac:dyDescent="0.2">
      <c r="B464" s="32"/>
      <c r="C464" s="32"/>
      <c r="D464" s="32"/>
      <c r="E464" s="32"/>
      <c r="F464" s="32"/>
      <c r="G464" s="32"/>
      <c r="H464" s="32"/>
      <c r="I464" s="32"/>
      <c r="J464" s="32"/>
      <c r="K464" s="32"/>
      <c r="L464" s="32"/>
      <c r="M464" s="32"/>
      <c r="N464" s="32"/>
      <c r="O464" s="32"/>
      <c r="P464" s="32"/>
      <c r="Q464" s="32"/>
      <c r="R464" s="32"/>
      <c r="S464" s="32"/>
      <c r="T464" s="32"/>
      <c r="U464" s="32"/>
      <c r="V464" s="32"/>
      <c r="W464" s="32"/>
      <c r="X464" s="32"/>
      <c r="Y464" s="32"/>
      <c r="Z464" s="32"/>
    </row>
    <row r="465" spans="2:26" x14ac:dyDescent="0.2">
      <c r="B465" s="32"/>
      <c r="C465" s="32"/>
      <c r="D465" s="32"/>
      <c r="E465" s="32"/>
      <c r="F465" s="32"/>
      <c r="G465" s="32"/>
      <c r="H465" s="32"/>
      <c r="I465" s="32"/>
      <c r="J465" s="32"/>
      <c r="K465" s="32"/>
      <c r="L465" s="32"/>
      <c r="M465" s="32"/>
      <c r="N465" s="32"/>
      <c r="O465" s="32"/>
      <c r="P465" s="32"/>
      <c r="Q465" s="32"/>
      <c r="R465" s="32"/>
      <c r="S465" s="32"/>
      <c r="T465" s="32"/>
      <c r="U465" s="32"/>
      <c r="V465" s="32"/>
      <c r="W465" s="32"/>
      <c r="X465" s="32"/>
      <c r="Y465" s="32"/>
      <c r="Z465" s="32"/>
    </row>
    <row r="466" spans="2:26" x14ac:dyDescent="0.2">
      <c r="B466" s="32"/>
      <c r="C466" s="32"/>
      <c r="D466" s="32"/>
      <c r="E466" s="32"/>
      <c r="F466" s="32"/>
      <c r="G466" s="32"/>
      <c r="H466" s="32"/>
      <c r="I466" s="32"/>
      <c r="J466" s="32"/>
      <c r="K466" s="32"/>
      <c r="L466" s="32"/>
      <c r="M466" s="32"/>
      <c r="N466" s="32"/>
      <c r="O466" s="32"/>
      <c r="P466" s="32"/>
      <c r="Q466" s="32"/>
      <c r="R466" s="32"/>
      <c r="S466" s="32"/>
      <c r="T466" s="32"/>
      <c r="U466" s="32"/>
      <c r="V466" s="32"/>
      <c r="W466" s="32"/>
      <c r="X466" s="32"/>
      <c r="Y466" s="32"/>
      <c r="Z466" s="32"/>
    </row>
    <row r="467" spans="2:26" x14ac:dyDescent="0.2">
      <c r="B467" s="32"/>
      <c r="C467" s="32"/>
      <c r="D467" s="32"/>
      <c r="E467" s="32"/>
      <c r="F467" s="32"/>
      <c r="G467" s="32"/>
      <c r="H467" s="32"/>
      <c r="I467" s="32"/>
      <c r="J467" s="32"/>
      <c r="K467" s="32"/>
      <c r="L467" s="32"/>
      <c r="M467" s="32"/>
      <c r="N467" s="32"/>
      <c r="O467" s="32"/>
      <c r="P467" s="32"/>
      <c r="Q467" s="32"/>
      <c r="R467" s="32"/>
      <c r="S467" s="32"/>
      <c r="T467" s="32"/>
      <c r="U467" s="32"/>
      <c r="V467" s="32"/>
      <c r="W467" s="32"/>
      <c r="X467" s="32"/>
      <c r="Y467" s="32"/>
      <c r="Z467" s="32"/>
    </row>
    <row r="468" spans="2:26" x14ac:dyDescent="0.2">
      <c r="B468" s="32"/>
      <c r="C468" s="32"/>
      <c r="D468" s="32"/>
      <c r="E468" s="32"/>
      <c r="F468" s="32"/>
      <c r="G468" s="32"/>
      <c r="H468" s="32"/>
      <c r="I468" s="32"/>
      <c r="J468" s="32"/>
      <c r="K468" s="32"/>
      <c r="L468" s="32"/>
      <c r="M468" s="32"/>
      <c r="N468" s="32"/>
      <c r="O468" s="32"/>
      <c r="P468" s="32"/>
      <c r="Q468" s="32"/>
      <c r="R468" s="32"/>
      <c r="S468" s="32"/>
      <c r="T468" s="32"/>
      <c r="U468" s="32"/>
      <c r="V468" s="32"/>
      <c r="W468" s="32"/>
      <c r="X468" s="32"/>
      <c r="Y468" s="32"/>
      <c r="Z468" s="32"/>
    </row>
    <row r="469" spans="2:26" x14ac:dyDescent="0.2">
      <c r="B469" s="32"/>
      <c r="C469" s="32"/>
      <c r="D469" s="32"/>
      <c r="E469" s="32"/>
      <c r="F469" s="32"/>
      <c r="G469" s="32"/>
      <c r="H469" s="32"/>
      <c r="I469" s="32"/>
      <c r="J469" s="32"/>
      <c r="K469" s="32"/>
      <c r="L469" s="32"/>
      <c r="M469" s="32"/>
      <c r="N469" s="32"/>
      <c r="O469" s="32"/>
      <c r="P469" s="32"/>
      <c r="Q469" s="32"/>
      <c r="R469" s="32"/>
      <c r="S469" s="32"/>
      <c r="T469" s="32"/>
      <c r="U469" s="32"/>
      <c r="V469" s="32"/>
      <c r="W469" s="32"/>
      <c r="X469" s="32"/>
      <c r="Y469" s="32"/>
      <c r="Z469" s="32"/>
    </row>
    <row r="470" spans="2:26" x14ac:dyDescent="0.2">
      <c r="B470" s="32"/>
      <c r="C470" s="32"/>
      <c r="D470" s="32"/>
      <c r="E470" s="32"/>
      <c r="F470" s="32"/>
      <c r="G470" s="32"/>
      <c r="H470" s="32"/>
      <c r="I470" s="32"/>
      <c r="J470" s="32"/>
      <c r="K470" s="32"/>
      <c r="L470" s="32"/>
      <c r="M470" s="32"/>
      <c r="N470" s="32"/>
      <c r="O470" s="32"/>
      <c r="P470" s="32"/>
      <c r="Q470" s="32"/>
      <c r="R470" s="32"/>
      <c r="S470" s="32"/>
      <c r="T470" s="32"/>
      <c r="U470" s="32"/>
      <c r="V470" s="32"/>
      <c r="W470" s="32"/>
      <c r="X470" s="32"/>
      <c r="Y470" s="32"/>
      <c r="Z470" s="32"/>
    </row>
    <row r="471" spans="2:26" x14ac:dyDescent="0.2">
      <c r="B471" s="32"/>
      <c r="C471" s="32"/>
      <c r="D471" s="32"/>
      <c r="E471" s="32"/>
      <c r="F471" s="32"/>
      <c r="G471" s="32"/>
      <c r="H471" s="32"/>
      <c r="I471" s="32"/>
      <c r="J471" s="32"/>
      <c r="K471" s="32"/>
      <c r="L471" s="32"/>
      <c r="M471" s="32"/>
      <c r="N471" s="32"/>
      <c r="O471" s="32"/>
      <c r="P471" s="32"/>
      <c r="Q471" s="32"/>
      <c r="R471" s="32"/>
      <c r="S471" s="32"/>
      <c r="T471" s="32"/>
      <c r="U471" s="32"/>
      <c r="V471" s="32"/>
      <c r="W471" s="32"/>
      <c r="X471" s="32"/>
      <c r="Y471" s="32"/>
      <c r="Z471" s="32"/>
    </row>
    <row r="472" spans="2:26" x14ac:dyDescent="0.2">
      <c r="B472" s="32"/>
      <c r="C472" s="32"/>
      <c r="D472" s="32"/>
      <c r="E472" s="32"/>
      <c r="F472" s="32"/>
      <c r="G472" s="32"/>
      <c r="H472" s="32"/>
      <c r="I472" s="32"/>
      <c r="J472" s="32"/>
      <c r="K472" s="32"/>
      <c r="L472" s="32"/>
      <c r="M472" s="32"/>
      <c r="N472" s="32"/>
      <c r="O472" s="32"/>
      <c r="P472" s="32"/>
      <c r="Q472" s="32"/>
      <c r="R472" s="32"/>
      <c r="S472" s="32"/>
      <c r="T472" s="32"/>
      <c r="U472" s="32"/>
      <c r="V472" s="32"/>
      <c r="W472" s="32"/>
      <c r="X472" s="32"/>
      <c r="Y472" s="32"/>
      <c r="Z472" s="32"/>
    </row>
    <row r="473" spans="2:26" x14ac:dyDescent="0.2">
      <c r="B473" s="32"/>
      <c r="C473" s="32"/>
      <c r="D473" s="32"/>
      <c r="E473" s="32"/>
      <c r="F473" s="32"/>
      <c r="G473" s="32"/>
      <c r="H473" s="32"/>
      <c r="I473" s="32"/>
      <c r="J473" s="32"/>
      <c r="K473" s="32"/>
      <c r="L473" s="32"/>
      <c r="M473" s="32"/>
      <c r="N473" s="32"/>
      <c r="O473" s="32"/>
      <c r="P473" s="32"/>
      <c r="Q473" s="32"/>
      <c r="R473" s="32"/>
      <c r="S473" s="32"/>
      <c r="T473" s="32"/>
      <c r="U473" s="32"/>
      <c r="V473" s="32"/>
      <c r="W473" s="32"/>
      <c r="X473" s="32"/>
      <c r="Y473" s="32"/>
      <c r="Z473" s="32"/>
    </row>
    <row r="474" spans="2:26" x14ac:dyDescent="0.2">
      <c r="B474" s="32"/>
      <c r="C474" s="32"/>
      <c r="D474" s="32"/>
      <c r="E474" s="32"/>
      <c r="F474" s="32"/>
      <c r="G474" s="32"/>
      <c r="H474" s="32"/>
      <c r="I474" s="32"/>
      <c r="J474" s="32"/>
      <c r="K474" s="32"/>
      <c r="L474" s="32"/>
      <c r="M474" s="32"/>
      <c r="N474" s="32"/>
      <c r="O474" s="32"/>
      <c r="P474" s="32"/>
      <c r="Q474" s="32"/>
      <c r="R474" s="32"/>
      <c r="S474" s="32"/>
      <c r="T474" s="32"/>
      <c r="U474" s="32"/>
      <c r="V474" s="32"/>
      <c r="W474" s="32"/>
      <c r="X474" s="32"/>
      <c r="Y474" s="32"/>
      <c r="Z474" s="32"/>
    </row>
    <row r="475" spans="2:26" x14ac:dyDescent="0.2">
      <c r="B475" s="32"/>
      <c r="C475" s="32"/>
      <c r="D475" s="32"/>
      <c r="E475" s="32"/>
      <c r="F475" s="32"/>
      <c r="G475" s="32"/>
      <c r="H475" s="32"/>
      <c r="I475" s="32"/>
      <c r="J475" s="32"/>
      <c r="K475" s="32"/>
      <c r="L475" s="32"/>
      <c r="M475" s="32"/>
      <c r="N475" s="32"/>
      <c r="O475" s="32"/>
      <c r="P475" s="32"/>
      <c r="Q475" s="32"/>
      <c r="R475" s="32"/>
      <c r="S475" s="32"/>
      <c r="T475" s="32"/>
      <c r="U475" s="32"/>
      <c r="V475" s="32"/>
      <c r="W475" s="32"/>
      <c r="X475" s="32"/>
      <c r="Y475" s="32"/>
      <c r="Z475" s="32"/>
    </row>
    <row r="476" spans="2:26" x14ac:dyDescent="0.2">
      <c r="B476" s="32"/>
      <c r="C476" s="32"/>
      <c r="D476" s="32"/>
      <c r="E476" s="32"/>
      <c r="F476" s="32"/>
      <c r="G476" s="32"/>
      <c r="H476" s="32"/>
      <c r="I476" s="32"/>
      <c r="J476" s="32"/>
      <c r="K476" s="32"/>
      <c r="L476" s="32"/>
      <c r="M476" s="32"/>
      <c r="N476" s="32"/>
      <c r="O476" s="32"/>
      <c r="P476" s="32"/>
      <c r="Q476" s="32"/>
      <c r="R476" s="32"/>
      <c r="S476" s="32"/>
      <c r="T476" s="32"/>
      <c r="U476" s="32"/>
      <c r="V476" s="32"/>
      <c r="W476" s="32"/>
      <c r="X476" s="32"/>
      <c r="Y476" s="32"/>
      <c r="Z476" s="32"/>
    </row>
    <row r="477" spans="2:26" x14ac:dyDescent="0.2">
      <c r="B477" s="32"/>
      <c r="C477" s="32"/>
      <c r="D477" s="32"/>
      <c r="E477" s="32"/>
      <c r="F477" s="32"/>
      <c r="G477" s="32"/>
      <c r="H477" s="32"/>
      <c r="I477" s="32"/>
      <c r="J477" s="32"/>
      <c r="K477" s="32"/>
      <c r="L477" s="32"/>
      <c r="M477" s="32"/>
      <c r="N477" s="32"/>
      <c r="O477" s="32"/>
      <c r="P477" s="32"/>
      <c r="Q477" s="32"/>
      <c r="R477" s="32"/>
      <c r="S477" s="32"/>
      <c r="T477" s="32"/>
      <c r="U477" s="32"/>
      <c r="V477" s="32"/>
      <c r="W477" s="32"/>
      <c r="X477" s="32"/>
      <c r="Y477" s="32"/>
      <c r="Z477" s="32"/>
    </row>
    <row r="478" spans="2:26" x14ac:dyDescent="0.2">
      <c r="B478" s="32"/>
      <c r="C478" s="32"/>
      <c r="D478" s="32"/>
      <c r="E478" s="32"/>
      <c r="F478" s="32"/>
      <c r="G478" s="32"/>
      <c r="H478" s="32"/>
      <c r="I478" s="32"/>
      <c r="J478" s="32"/>
      <c r="K478" s="32"/>
      <c r="L478" s="32"/>
      <c r="M478" s="32"/>
      <c r="N478" s="32"/>
      <c r="O478" s="32"/>
      <c r="P478" s="32"/>
      <c r="Q478" s="32"/>
      <c r="R478" s="32"/>
      <c r="S478" s="32"/>
      <c r="T478" s="32"/>
      <c r="U478" s="32"/>
      <c r="V478" s="32"/>
      <c r="W478" s="32"/>
      <c r="X478" s="32"/>
      <c r="Y478" s="32"/>
      <c r="Z478" s="32"/>
    </row>
    <row r="479" spans="2:26" x14ac:dyDescent="0.2">
      <c r="B479" s="32"/>
      <c r="C479" s="32"/>
      <c r="D479" s="32"/>
      <c r="E479" s="32"/>
      <c r="F479" s="32"/>
      <c r="G479" s="32"/>
      <c r="H479" s="32"/>
      <c r="I479" s="32"/>
      <c r="J479" s="32"/>
      <c r="K479" s="32"/>
      <c r="L479" s="32"/>
      <c r="M479" s="32"/>
      <c r="N479" s="32"/>
      <c r="O479" s="32"/>
      <c r="P479" s="32"/>
      <c r="Q479" s="32"/>
      <c r="R479" s="32"/>
      <c r="S479" s="32"/>
      <c r="T479" s="32"/>
      <c r="U479" s="32"/>
      <c r="V479" s="32"/>
      <c r="W479" s="32"/>
      <c r="X479" s="32"/>
      <c r="Y479" s="32"/>
      <c r="Z479" s="32"/>
    </row>
    <row r="480" spans="2:26" x14ac:dyDescent="0.2">
      <c r="B480" s="32"/>
      <c r="C480" s="32"/>
      <c r="D480" s="32"/>
      <c r="E480" s="32"/>
      <c r="F480" s="32"/>
      <c r="G480" s="32"/>
      <c r="H480" s="32"/>
      <c r="I480" s="32"/>
      <c r="J480" s="32"/>
      <c r="K480" s="32"/>
      <c r="L480" s="32"/>
      <c r="M480" s="32"/>
      <c r="N480" s="32"/>
      <c r="O480" s="32"/>
      <c r="P480" s="32"/>
      <c r="Q480" s="32"/>
      <c r="R480" s="32"/>
      <c r="S480" s="32"/>
      <c r="T480" s="32"/>
      <c r="U480" s="32"/>
      <c r="V480" s="32"/>
      <c r="W480" s="32"/>
      <c r="X480" s="32"/>
      <c r="Y480" s="32"/>
      <c r="Z480" s="32"/>
    </row>
    <row r="481" spans="2:26" x14ac:dyDescent="0.2">
      <c r="B481" s="32"/>
      <c r="C481" s="32"/>
      <c r="D481" s="32"/>
      <c r="E481" s="32"/>
      <c r="F481" s="32"/>
      <c r="G481" s="32"/>
      <c r="H481" s="32"/>
      <c r="I481" s="32"/>
      <c r="J481" s="32"/>
      <c r="K481" s="32"/>
      <c r="L481" s="32"/>
      <c r="M481" s="32"/>
      <c r="N481" s="32"/>
      <c r="O481" s="32"/>
      <c r="P481" s="32"/>
      <c r="Q481" s="32"/>
      <c r="R481" s="32"/>
      <c r="S481" s="32"/>
      <c r="T481" s="32"/>
      <c r="U481" s="32"/>
      <c r="V481" s="32"/>
      <c r="W481" s="32"/>
      <c r="X481" s="32"/>
      <c r="Y481" s="32"/>
      <c r="Z481" s="32"/>
    </row>
    <row r="482" spans="2:26" x14ac:dyDescent="0.2">
      <c r="B482" s="32"/>
      <c r="C482" s="32"/>
      <c r="D482" s="32"/>
      <c r="E482" s="32"/>
      <c r="F482" s="32"/>
      <c r="G482" s="32"/>
      <c r="H482" s="32"/>
      <c r="I482" s="32"/>
      <c r="J482" s="32"/>
      <c r="K482" s="32"/>
      <c r="L482" s="32"/>
      <c r="M482" s="32"/>
      <c r="N482" s="32"/>
      <c r="O482" s="32"/>
      <c r="P482" s="32"/>
      <c r="Q482" s="32"/>
      <c r="R482" s="32"/>
      <c r="S482" s="32"/>
      <c r="T482" s="32"/>
      <c r="U482" s="32"/>
      <c r="V482" s="32"/>
      <c r="W482" s="32"/>
      <c r="X482" s="32"/>
      <c r="Y482" s="32"/>
      <c r="Z482" s="32"/>
    </row>
    <row r="483" spans="2:26" x14ac:dyDescent="0.2">
      <c r="B483" s="32"/>
      <c r="C483" s="32"/>
      <c r="D483" s="32"/>
      <c r="E483" s="32"/>
      <c r="F483" s="32"/>
      <c r="G483" s="32"/>
      <c r="H483" s="32"/>
      <c r="I483" s="32"/>
      <c r="J483" s="32"/>
      <c r="K483" s="32"/>
      <c r="L483" s="32"/>
      <c r="M483" s="32"/>
      <c r="N483" s="32"/>
      <c r="O483" s="32"/>
      <c r="P483" s="32"/>
      <c r="Q483" s="32"/>
      <c r="R483" s="32"/>
      <c r="S483" s="32"/>
      <c r="T483" s="32"/>
      <c r="U483" s="32"/>
      <c r="V483" s="32"/>
      <c r="W483" s="32"/>
      <c r="X483" s="32"/>
      <c r="Y483" s="32"/>
      <c r="Z483" s="32"/>
    </row>
    <row r="484" spans="2:26" x14ac:dyDescent="0.2">
      <c r="B484" s="32"/>
      <c r="C484" s="32"/>
      <c r="D484" s="32"/>
      <c r="E484" s="32"/>
      <c r="F484" s="32"/>
      <c r="G484" s="32"/>
      <c r="H484" s="32"/>
      <c r="I484" s="32"/>
      <c r="J484" s="32"/>
      <c r="K484" s="32"/>
      <c r="L484" s="32"/>
      <c r="M484" s="32"/>
      <c r="N484" s="32"/>
      <c r="O484" s="32"/>
      <c r="P484" s="32"/>
      <c r="Q484" s="32"/>
      <c r="R484" s="32"/>
      <c r="S484" s="32"/>
      <c r="T484" s="32"/>
      <c r="U484" s="32"/>
      <c r="V484" s="32"/>
      <c r="W484" s="32"/>
      <c r="X484" s="32"/>
      <c r="Y484" s="32"/>
      <c r="Z484" s="32"/>
    </row>
    <row r="485" spans="2:26" x14ac:dyDescent="0.2">
      <c r="B485" s="32"/>
      <c r="C485" s="32"/>
      <c r="D485" s="32"/>
      <c r="E485" s="32"/>
      <c r="F485" s="32"/>
      <c r="G485" s="32"/>
      <c r="H485" s="32"/>
      <c r="I485" s="32"/>
      <c r="J485" s="32"/>
      <c r="K485" s="32"/>
      <c r="L485" s="32"/>
      <c r="M485" s="32"/>
      <c r="N485" s="32"/>
      <c r="O485" s="32"/>
      <c r="P485" s="32"/>
      <c r="Q485" s="32"/>
      <c r="R485" s="32"/>
      <c r="S485" s="32"/>
      <c r="T485" s="32"/>
      <c r="U485" s="32"/>
      <c r="V485" s="32"/>
      <c r="W485" s="32"/>
      <c r="X485" s="32"/>
      <c r="Y485" s="32"/>
      <c r="Z485" s="32"/>
    </row>
    <row r="486" spans="2:26" x14ac:dyDescent="0.2">
      <c r="B486" s="32"/>
      <c r="C486" s="32"/>
      <c r="D486" s="32"/>
      <c r="E486" s="32"/>
      <c r="F486" s="32"/>
      <c r="G486" s="32"/>
      <c r="H486" s="32"/>
      <c r="I486" s="32"/>
      <c r="J486" s="32"/>
      <c r="K486" s="32"/>
      <c r="L486" s="32"/>
      <c r="M486" s="32"/>
      <c r="N486" s="32"/>
      <c r="O486" s="32"/>
      <c r="P486" s="32"/>
      <c r="Q486" s="32"/>
      <c r="R486" s="32"/>
      <c r="S486" s="32"/>
      <c r="T486" s="32"/>
      <c r="U486" s="32"/>
      <c r="V486" s="32"/>
      <c r="W486" s="32"/>
      <c r="X486" s="32"/>
      <c r="Y486" s="32"/>
      <c r="Z486" s="32"/>
    </row>
    <row r="487" spans="2:26" x14ac:dyDescent="0.2">
      <c r="B487" s="32"/>
      <c r="C487" s="32"/>
      <c r="D487" s="32"/>
      <c r="E487" s="32"/>
      <c r="F487" s="32"/>
      <c r="G487" s="32"/>
      <c r="H487" s="32"/>
      <c r="I487" s="32"/>
      <c r="J487" s="32"/>
      <c r="K487" s="32"/>
      <c r="L487" s="32"/>
      <c r="M487" s="32"/>
      <c r="N487" s="32"/>
      <c r="O487" s="32"/>
      <c r="P487" s="32"/>
      <c r="Q487" s="32"/>
      <c r="R487" s="32"/>
      <c r="S487" s="32"/>
      <c r="T487" s="32"/>
      <c r="U487" s="32"/>
      <c r="V487" s="32"/>
      <c r="W487" s="32"/>
      <c r="X487" s="32"/>
      <c r="Y487" s="32"/>
      <c r="Z487" s="32"/>
    </row>
    <row r="488" spans="2:26" x14ac:dyDescent="0.2">
      <c r="B488" s="32"/>
      <c r="C488" s="32"/>
      <c r="D488" s="32"/>
      <c r="E488" s="32"/>
      <c r="F488" s="32"/>
      <c r="G488" s="32"/>
      <c r="H488" s="32"/>
      <c r="I488" s="32"/>
      <c r="J488" s="32"/>
      <c r="K488" s="32"/>
      <c r="L488" s="32"/>
      <c r="M488" s="32"/>
      <c r="N488" s="32"/>
      <c r="O488" s="32"/>
      <c r="P488" s="32"/>
      <c r="Q488" s="32"/>
      <c r="R488" s="32"/>
      <c r="S488" s="32"/>
      <c r="T488" s="32"/>
      <c r="U488" s="32"/>
      <c r="V488" s="32"/>
      <c r="W488" s="32"/>
      <c r="X488" s="32"/>
      <c r="Y488" s="32"/>
      <c r="Z488" s="32"/>
    </row>
    <row r="489" spans="2:26" x14ac:dyDescent="0.2">
      <c r="B489" s="32"/>
      <c r="C489" s="32"/>
      <c r="D489" s="32"/>
      <c r="E489" s="32"/>
      <c r="F489" s="32"/>
      <c r="G489" s="32"/>
      <c r="H489" s="32"/>
      <c r="I489" s="32"/>
      <c r="J489" s="32"/>
      <c r="K489" s="32"/>
      <c r="L489" s="32"/>
      <c r="M489" s="32"/>
      <c r="N489" s="32"/>
      <c r="O489" s="32"/>
      <c r="P489" s="32"/>
      <c r="Q489" s="32"/>
      <c r="R489" s="32"/>
      <c r="S489" s="32"/>
      <c r="T489" s="32"/>
      <c r="U489" s="32"/>
      <c r="V489" s="32"/>
      <c r="W489" s="32"/>
      <c r="X489" s="32"/>
      <c r="Y489" s="32"/>
      <c r="Z489" s="32"/>
    </row>
    <row r="490" spans="2:26" x14ac:dyDescent="0.2">
      <c r="B490" s="32"/>
      <c r="C490" s="32"/>
      <c r="D490" s="32"/>
      <c r="E490" s="32"/>
      <c r="F490" s="32"/>
      <c r="G490" s="32"/>
      <c r="H490" s="32"/>
      <c r="I490" s="32"/>
      <c r="J490" s="32"/>
      <c r="K490" s="32"/>
      <c r="L490" s="32"/>
      <c r="M490" s="32"/>
      <c r="N490" s="32"/>
      <c r="O490" s="32"/>
      <c r="P490" s="32"/>
      <c r="Q490" s="32"/>
      <c r="R490" s="32"/>
      <c r="S490" s="32"/>
      <c r="T490" s="32"/>
      <c r="U490" s="32"/>
      <c r="V490" s="32"/>
      <c r="W490" s="32"/>
      <c r="X490" s="32"/>
      <c r="Y490" s="32"/>
      <c r="Z490" s="32"/>
    </row>
    <row r="491" spans="2:26" x14ac:dyDescent="0.2">
      <c r="B491" s="32"/>
      <c r="C491" s="32"/>
      <c r="D491" s="32"/>
      <c r="E491" s="32"/>
      <c r="F491" s="32"/>
      <c r="G491" s="32"/>
      <c r="H491" s="32"/>
      <c r="I491" s="32"/>
      <c r="J491" s="32"/>
      <c r="K491" s="32"/>
      <c r="L491" s="32"/>
      <c r="M491" s="32"/>
      <c r="N491" s="32"/>
      <c r="O491" s="32"/>
      <c r="P491" s="32"/>
      <c r="Q491" s="32"/>
      <c r="R491" s="32"/>
      <c r="S491" s="32"/>
      <c r="T491" s="32"/>
      <c r="U491" s="32"/>
      <c r="V491" s="32"/>
      <c r="W491" s="32"/>
      <c r="X491" s="32"/>
      <c r="Y491" s="32"/>
      <c r="Z491" s="32"/>
    </row>
    <row r="492" spans="2:26" x14ac:dyDescent="0.2">
      <c r="B492" s="32"/>
      <c r="C492" s="32"/>
      <c r="D492" s="32"/>
      <c r="E492" s="32"/>
      <c r="F492" s="32"/>
      <c r="G492" s="32"/>
      <c r="H492" s="32"/>
      <c r="I492" s="32"/>
      <c r="J492" s="32"/>
      <c r="K492" s="32"/>
      <c r="L492" s="32"/>
      <c r="M492" s="32"/>
      <c r="N492" s="32"/>
      <c r="O492" s="32"/>
      <c r="P492" s="32"/>
      <c r="Q492" s="32"/>
      <c r="R492" s="32"/>
      <c r="S492" s="32"/>
      <c r="T492" s="32"/>
      <c r="U492" s="32"/>
      <c r="V492" s="32"/>
      <c r="W492" s="32"/>
      <c r="X492" s="32"/>
      <c r="Y492" s="32"/>
      <c r="Z492" s="32"/>
    </row>
    <row r="493" spans="2:26" x14ac:dyDescent="0.2">
      <c r="B493" s="32"/>
      <c r="C493" s="32"/>
      <c r="D493" s="32"/>
      <c r="E493" s="32"/>
      <c r="F493" s="32"/>
      <c r="G493" s="32"/>
      <c r="H493" s="32"/>
      <c r="I493" s="32"/>
      <c r="J493" s="32"/>
      <c r="K493" s="32"/>
      <c r="L493" s="32"/>
      <c r="M493" s="32"/>
      <c r="N493" s="32"/>
      <c r="O493" s="32"/>
      <c r="P493" s="32"/>
      <c r="Q493" s="32"/>
      <c r="R493" s="32"/>
      <c r="S493" s="32"/>
      <c r="T493" s="32"/>
      <c r="U493" s="32"/>
      <c r="V493" s="32"/>
      <c r="W493" s="32"/>
      <c r="X493" s="32"/>
      <c r="Y493" s="32"/>
      <c r="Z493" s="32"/>
    </row>
    <row r="494" spans="2:26" x14ac:dyDescent="0.2">
      <c r="B494" s="32"/>
      <c r="C494" s="32"/>
      <c r="D494" s="32"/>
      <c r="E494" s="32"/>
      <c r="F494" s="32"/>
      <c r="G494" s="32"/>
      <c r="H494" s="32"/>
      <c r="I494" s="32"/>
      <c r="J494" s="32"/>
      <c r="K494" s="32"/>
      <c r="L494" s="32"/>
      <c r="M494" s="32"/>
      <c r="N494" s="32"/>
      <c r="O494" s="32"/>
      <c r="P494" s="32"/>
      <c r="Q494" s="32"/>
      <c r="R494" s="32"/>
      <c r="S494" s="32"/>
      <c r="T494" s="32"/>
      <c r="U494" s="32"/>
      <c r="V494" s="32"/>
      <c r="W494" s="32"/>
      <c r="X494" s="32"/>
      <c r="Y494" s="32"/>
      <c r="Z494" s="32"/>
    </row>
    <row r="495" spans="2:26" x14ac:dyDescent="0.2">
      <c r="B495" s="32"/>
      <c r="C495" s="32"/>
      <c r="D495" s="32"/>
      <c r="E495" s="32"/>
      <c r="F495" s="32"/>
      <c r="G495" s="32"/>
      <c r="H495" s="32"/>
      <c r="I495" s="32"/>
      <c r="J495" s="32"/>
      <c r="K495" s="32"/>
      <c r="L495" s="32"/>
      <c r="M495" s="32"/>
      <c r="N495" s="32"/>
      <c r="O495" s="32"/>
      <c r="P495" s="32"/>
      <c r="Q495" s="32"/>
      <c r="R495" s="32"/>
      <c r="S495" s="32"/>
      <c r="T495" s="32"/>
      <c r="U495" s="32"/>
      <c r="V495" s="32"/>
      <c r="W495" s="32"/>
      <c r="X495" s="32"/>
      <c r="Y495" s="32"/>
      <c r="Z495" s="32"/>
    </row>
    <row r="496" spans="2:26" x14ac:dyDescent="0.2">
      <c r="B496" s="32"/>
      <c r="C496" s="32"/>
      <c r="D496" s="32"/>
      <c r="E496" s="32"/>
      <c r="F496" s="32"/>
      <c r="G496" s="32"/>
      <c r="H496" s="32"/>
      <c r="I496" s="32"/>
      <c r="J496" s="32"/>
      <c r="K496" s="32"/>
      <c r="L496" s="32"/>
      <c r="M496" s="32"/>
      <c r="N496" s="32"/>
      <c r="O496" s="32"/>
      <c r="P496" s="32"/>
      <c r="Q496" s="32"/>
      <c r="R496" s="32"/>
      <c r="S496" s="32"/>
      <c r="T496" s="32"/>
      <c r="U496" s="32"/>
      <c r="V496" s="32"/>
      <c r="W496" s="32"/>
      <c r="X496" s="32"/>
      <c r="Y496" s="32"/>
      <c r="Z496" s="32"/>
    </row>
    <row r="497" spans="2:26" x14ac:dyDescent="0.2">
      <c r="B497" s="32"/>
      <c r="C497" s="32"/>
      <c r="D497" s="32"/>
      <c r="E497" s="32"/>
      <c r="F497" s="32"/>
      <c r="G497" s="32"/>
      <c r="H497" s="32"/>
      <c r="I497" s="32"/>
      <c r="J497" s="32"/>
      <c r="K497" s="32"/>
      <c r="L497" s="32"/>
      <c r="M497" s="32"/>
      <c r="N497" s="32"/>
      <c r="O497" s="32"/>
      <c r="P497" s="32"/>
      <c r="Q497" s="32"/>
      <c r="R497" s="32"/>
      <c r="S497" s="32"/>
      <c r="T497" s="32"/>
      <c r="U497" s="32"/>
      <c r="V497" s="32"/>
      <c r="W497" s="32"/>
      <c r="X497" s="32"/>
      <c r="Y497" s="32"/>
      <c r="Z497" s="32"/>
    </row>
    <row r="498" spans="2:26" x14ac:dyDescent="0.2">
      <c r="B498" s="32"/>
      <c r="C498" s="32"/>
      <c r="D498" s="32"/>
      <c r="E498" s="32"/>
      <c r="F498" s="32"/>
      <c r="G498" s="32"/>
      <c r="H498" s="32"/>
      <c r="I498" s="32"/>
      <c r="J498" s="32"/>
      <c r="K498" s="32"/>
      <c r="L498" s="32"/>
      <c r="M498" s="32"/>
      <c r="N498" s="32"/>
      <c r="O498" s="32"/>
      <c r="P498" s="32"/>
      <c r="Q498" s="32"/>
      <c r="R498" s="32"/>
      <c r="S498" s="32"/>
      <c r="T498" s="32"/>
      <c r="U498" s="32"/>
      <c r="V498" s="32"/>
      <c r="W498" s="32"/>
      <c r="X498" s="32"/>
      <c r="Y498" s="32"/>
      <c r="Z498" s="32"/>
    </row>
    <row r="499" spans="2:26" x14ac:dyDescent="0.2">
      <c r="B499" s="32"/>
      <c r="C499" s="32"/>
      <c r="D499" s="32"/>
      <c r="E499" s="32"/>
      <c r="F499" s="32"/>
      <c r="G499" s="32"/>
      <c r="H499" s="32"/>
      <c r="I499" s="32"/>
      <c r="J499" s="32"/>
      <c r="K499" s="32"/>
      <c r="L499" s="32"/>
      <c r="M499" s="32"/>
      <c r="N499" s="32"/>
      <c r="O499" s="32"/>
      <c r="P499" s="32"/>
      <c r="Q499" s="32"/>
      <c r="R499" s="32"/>
      <c r="S499" s="32"/>
      <c r="T499" s="32"/>
      <c r="U499" s="32"/>
      <c r="V499" s="32"/>
      <c r="W499" s="32"/>
      <c r="X499" s="32"/>
      <c r="Y499" s="32"/>
      <c r="Z499" s="32"/>
    </row>
    <row r="500" spans="2:26" x14ac:dyDescent="0.2">
      <c r="B500" s="32"/>
      <c r="C500" s="32"/>
      <c r="D500" s="32"/>
      <c r="E500" s="32"/>
      <c r="F500" s="32"/>
      <c r="G500" s="32"/>
      <c r="H500" s="32"/>
      <c r="I500" s="32"/>
      <c r="J500" s="32"/>
      <c r="K500" s="32"/>
      <c r="L500" s="32"/>
      <c r="M500" s="32"/>
      <c r="N500" s="32"/>
      <c r="O500" s="32"/>
      <c r="P500" s="32"/>
      <c r="Q500" s="32"/>
      <c r="R500" s="32"/>
      <c r="S500" s="32"/>
      <c r="T500" s="32"/>
      <c r="U500" s="32"/>
      <c r="V500" s="32"/>
      <c r="W500" s="32"/>
      <c r="X500" s="32"/>
      <c r="Y500" s="32"/>
      <c r="Z500" s="32"/>
    </row>
    <row r="501" spans="2:26" x14ac:dyDescent="0.2">
      <c r="B501" s="32"/>
      <c r="C501" s="32"/>
      <c r="D501" s="32"/>
      <c r="E501" s="32"/>
      <c r="F501" s="32"/>
      <c r="G501" s="32"/>
      <c r="H501" s="32"/>
      <c r="I501" s="32"/>
      <c r="J501" s="32"/>
      <c r="K501" s="32"/>
      <c r="L501" s="32"/>
      <c r="M501" s="32"/>
      <c r="N501" s="32"/>
      <c r="O501" s="32"/>
      <c r="P501" s="32"/>
      <c r="Q501" s="32"/>
      <c r="R501" s="32"/>
      <c r="S501" s="32"/>
      <c r="T501" s="32"/>
      <c r="U501" s="32"/>
      <c r="V501" s="32"/>
      <c r="W501" s="32"/>
      <c r="X501" s="32"/>
      <c r="Y501" s="32"/>
      <c r="Z501" s="32"/>
    </row>
    <row r="502" spans="2:26" x14ac:dyDescent="0.2">
      <c r="B502" s="32"/>
      <c r="C502" s="32"/>
      <c r="D502" s="32"/>
      <c r="E502" s="32"/>
      <c r="F502" s="32"/>
      <c r="G502" s="32"/>
      <c r="H502" s="32"/>
      <c r="I502" s="32"/>
      <c r="J502" s="32"/>
      <c r="K502" s="32"/>
      <c r="L502" s="32"/>
      <c r="M502" s="32"/>
      <c r="N502" s="32"/>
      <c r="O502" s="32"/>
      <c r="P502" s="32"/>
      <c r="Q502" s="32"/>
      <c r="R502" s="32"/>
      <c r="S502" s="32"/>
      <c r="T502" s="32"/>
      <c r="U502" s="32"/>
      <c r="V502" s="32"/>
      <c r="W502" s="32"/>
      <c r="X502" s="32"/>
      <c r="Y502" s="32"/>
      <c r="Z502" s="32"/>
    </row>
    <row r="503" spans="2:26" x14ac:dyDescent="0.2">
      <c r="B503" s="32"/>
      <c r="C503" s="32"/>
      <c r="D503" s="32"/>
      <c r="E503" s="32"/>
      <c r="F503" s="32"/>
      <c r="G503" s="32"/>
      <c r="H503" s="32"/>
      <c r="I503" s="32"/>
      <c r="J503" s="32"/>
      <c r="K503" s="32"/>
      <c r="L503" s="32"/>
      <c r="M503" s="32"/>
      <c r="N503" s="32"/>
      <c r="O503" s="32"/>
      <c r="P503" s="32"/>
      <c r="Q503" s="32"/>
      <c r="R503" s="32"/>
      <c r="S503" s="32"/>
      <c r="T503" s="32"/>
      <c r="U503" s="32"/>
      <c r="V503" s="32"/>
      <c r="W503" s="32"/>
      <c r="X503" s="32"/>
      <c r="Y503" s="32"/>
      <c r="Z503" s="32"/>
    </row>
    <row r="504" spans="2:26" x14ac:dyDescent="0.2">
      <c r="B504" s="32"/>
      <c r="C504" s="32"/>
      <c r="D504" s="32"/>
      <c r="E504" s="32"/>
      <c r="F504" s="32"/>
      <c r="G504" s="32"/>
      <c r="H504" s="32"/>
      <c r="I504" s="32"/>
      <c r="J504" s="32"/>
      <c r="K504" s="32"/>
      <c r="L504" s="32"/>
      <c r="M504" s="32"/>
      <c r="N504" s="32"/>
      <c r="O504" s="32"/>
      <c r="P504" s="32"/>
      <c r="Q504" s="32"/>
      <c r="R504" s="32"/>
      <c r="S504" s="32"/>
      <c r="T504" s="32"/>
      <c r="U504" s="32"/>
      <c r="V504" s="32"/>
      <c r="W504" s="32"/>
      <c r="X504" s="32"/>
      <c r="Y504" s="32"/>
      <c r="Z504" s="32"/>
    </row>
    <row r="505" spans="2:26" x14ac:dyDescent="0.2">
      <c r="B505" s="32"/>
      <c r="C505" s="32"/>
      <c r="D505" s="32"/>
      <c r="E505" s="32"/>
      <c r="F505" s="32"/>
      <c r="G505" s="32"/>
      <c r="H505" s="32"/>
      <c r="I505" s="32"/>
      <c r="J505" s="32"/>
      <c r="K505" s="32"/>
      <c r="L505" s="32"/>
      <c r="M505" s="32"/>
      <c r="N505" s="32"/>
      <c r="O505" s="32"/>
      <c r="P505" s="32"/>
      <c r="Q505" s="32"/>
      <c r="R505" s="32"/>
      <c r="S505" s="32"/>
      <c r="T505" s="32"/>
      <c r="U505" s="32"/>
      <c r="V505" s="32"/>
      <c r="W505" s="32"/>
      <c r="X505" s="32"/>
      <c r="Y505" s="32"/>
      <c r="Z505" s="32"/>
    </row>
    <row r="506" spans="2:26" x14ac:dyDescent="0.2">
      <c r="B506" s="32"/>
      <c r="C506" s="32"/>
      <c r="D506" s="32"/>
      <c r="E506" s="32"/>
      <c r="F506" s="32"/>
      <c r="G506" s="32"/>
      <c r="H506" s="32"/>
      <c r="I506" s="32"/>
      <c r="J506" s="32"/>
      <c r="K506" s="32"/>
      <c r="L506" s="32"/>
      <c r="M506" s="32"/>
      <c r="N506" s="32"/>
      <c r="O506" s="32"/>
      <c r="P506" s="32"/>
      <c r="Q506" s="32"/>
      <c r="R506" s="32"/>
      <c r="S506" s="32"/>
      <c r="T506" s="32"/>
      <c r="U506" s="32"/>
      <c r="V506" s="32"/>
      <c r="W506" s="32"/>
      <c r="X506" s="32"/>
      <c r="Y506" s="32"/>
      <c r="Z506" s="32"/>
    </row>
    <row r="507" spans="2:26" x14ac:dyDescent="0.2">
      <c r="B507" s="32"/>
      <c r="C507" s="32"/>
      <c r="D507" s="32"/>
      <c r="E507" s="32"/>
      <c r="F507" s="32"/>
      <c r="G507" s="32"/>
      <c r="H507" s="32"/>
      <c r="I507" s="32"/>
      <c r="J507" s="32"/>
      <c r="K507" s="32"/>
      <c r="L507" s="32"/>
      <c r="M507" s="32"/>
      <c r="N507" s="32"/>
      <c r="O507" s="32"/>
      <c r="P507" s="32"/>
      <c r="Q507" s="32"/>
      <c r="R507" s="32"/>
      <c r="S507" s="32"/>
      <c r="T507" s="32"/>
      <c r="U507" s="32"/>
      <c r="V507" s="32"/>
      <c r="W507" s="32"/>
      <c r="X507" s="32"/>
      <c r="Y507" s="32"/>
      <c r="Z507" s="32"/>
    </row>
    <row r="508" spans="2:26" x14ac:dyDescent="0.2">
      <c r="B508" s="32"/>
      <c r="C508" s="32"/>
      <c r="D508" s="32"/>
      <c r="E508" s="32"/>
      <c r="F508" s="32"/>
      <c r="G508" s="32"/>
      <c r="H508" s="32"/>
      <c r="I508" s="32"/>
      <c r="J508" s="32"/>
      <c r="K508" s="32"/>
      <c r="L508" s="32"/>
      <c r="M508" s="32"/>
      <c r="N508" s="32"/>
      <c r="O508" s="32"/>
      <c r="P508" s="32"/>
      <c r="Q508" s="32"/>
      <c r="R508" s="32"/>
      <c r="S508" s="32"/>
      <c r="T508" s="32"/>
      <c r="U508" s="32"/>
      <c r="V508" s="32"/>
      <c r="W508" s="32"/>
      <c r="X508" s="32"/>
      <c r="Y508" s="32"/>
      <c r="Z508" s="32"/>
    </row>
    <row r="509" spans="2:26" x14ac:dyDescent="0.2">
      <c r="B509" s="32"/>
      <c r="C509" s="32"/>
      <c r="D509" s="32"/>
      <c r="E509" s="32"/>
      <c r="F509" s="32"/>
      <c r="G509" s="32"/>
      <c r="H509" s="32"/>
      <c r="I509" s="32"/>
      <c r="J509" s="32"/>
      <c r="K509" s="32"/>
      <c r="L509" s="32"/>
      <c r="M509" s="32"/>
      <c r="N509" s="32"/>
      <c r="O509" s="32"/>
      <c r="P509" s="32"/>
      <c r="Q509" s="32"/>
      <c r="R509" s="32"/>
      <c r="S509" s="32"/>
      <c r="T509" s="32"/>
      <c r="U509" s="32"/>
      <c r="V509" s="32"/>
      <c r="W509" s="32"/>
      <c r="X509" s="32"/>
      <c r="Y509" s="32"/>
      <c r="Z509" s="32"/>
    </row>
    <row r="510" spans="2:26" x14ac:dyDescent="0.2">
      <c r="B510" s="32"/>
      <c r="C510" s="32"/>
      <c r="D510" s="32"/>
      <c r="E510" s="32"/>
      <c r="F510" s="32"/>
      <c r="G510" s="32"/>
      <c r="H510" s="32"/>
      <c r="I510" s="32"/>
      <c r="J510" s="32"/>
      <c r="K510" s="32"/>
      <c r="L510" s="32"/>
      <c r="M510" s="32"/>
      <c r="N510" s="32"/>
      <c r="O510" s="32"/>
      <c r="P510" s="32"/>
      <c r="Q510" s="32"/>
      <c r="R510" s="32"/>
      <c r="S510" s="32"/>
      <c r="T510" s="32"/>
      <c r="U510" s="32"/>
      <c r="V510" s="32"/>
      <c r="W510" s="32"/>
      <c r="X510" s="32"/>
      <c r="Y510" s="32"/>
      <c r="Z510" s="32"/>
    </row>
    <row r="511" spans="2:26" x14ac:dyDescent="0.2">
      <c r="B511" s="32"/>
      <c r="C511" s="32"/>
      <c r="D511" s="32"/>
      <c r="E511" s="32"/>
      <c r="F511" s="32"/>
      <c r="G511" s="32"/>
      <c r="H511" s="32"/>
      <c r="I511" s="32"/>
      <c r="J511" s="32"/>
      <c r="K511" s="32"/>
      <c r="L511" s="32"/>
      <c r="M511" s="32"/>
      <c r="N511" s="32"/>
      <c r="O511" s="32"/>
      <c r="P511" s="32"/>
      <c r="Q511" s="32"/>
      <c r="R511" s="32"/>
      <c r="S511" s="32"/>
      <c r="T511" s="32"/>
      <c r="U511" s="32"/>
      <c r="V511" s="32"/>
      <c r="W511" s="32"/>
      <c r="X511" s="32"/>
      <c r="Y511" s="32"/>
      <c r="Z511" s="32"/>
    </row>
    <row r="512" spans="2:26" x14ac:dyDescent="0.2">
      <c r="B512" s="32"/>
      <c r="C512" s="32"/>
      <c r="D512" s="32"/>
      <c r="E512" s="32"/>
      <c r="F512" s="32"/>
      <c r="G512" s="32"/>
      <c r="H512" s="32"/>
      <c r="I512" s="32"/>
      <c r="J512" s="32"/>
      <c r="K512" s="32"/>
      <c r="L512" s="32"/>
      <c r="M512" s="32"/>
      <c r="N512" s="32"/>
      <c r="O512" s="32"/>
      <c r="P512" s="32"/>
      <c r="Q512" s="32"/>
      <c r="R512" s="32"/>
      <c r="S512" s="32"/>
      <c r="T512" s="32"/>
      <c r="U512" s="32"/>
      <c r="V512" s="32"/>
      <c r="W512" s="32"/>
      <c r="X512" s="32"/>
      <c r="Y512" s="32"/>
      <c r="Z512" s="32"/>
    </row>
    <row r="513" spans="2:26" x14ac:dyDescent="0.2">
      <c r="B513" s="32"/>
      <c r="C513" s="32"/>
      <c r="D513" s="32"/>
      <c r="E513" s="32"/>
      <c r="F513" s="32"/>
      <c r="G513" s="32"/>
      <c r="H513" s="32"/>
      <c r="I513" s="32"/>
      <c r="J513" s="32"/>
      <c r="K513" s="32"/>
      <c r="L513" s="32"/>
      <c r="M513" s="32"/>
      <c r="N513" s="32"/>
      <c r="O513" s="32"/>
      <c r="P513" s="32"/>
      <c r="Q513" s="32"/>
      <c r="R513" s="32"/>
      <c r="S513" s="32"/>
      <c r="T513" s="32"/>
      <c r="U513" s="32"/>
      <c r="V513" s="32"/>
      <c r="W513" s="32"/>
      <c r="X513" s="32"/>
      <c r="Y513" s="32"/>
      <c r="Z513" s="32"/>
    </row>
    <row r="514" spans="2:26" x14ac:dyDescent="0.2">
      <c r="B514" s="32"/>
      <c r="C514" s="32"/>
      <c r="D514" s="32"/>
      <c r="E514" s="32"/>
      <c r="F514" s="32"/>
      <c r="G514" s="32"/>
      <c r="H514" s="32"/>
      <c r="I514" s="32"/>
      <c r="J514" s="32"/>
      <c r="K514" s="32"/>
      <c r="L514" s="32"/>
      <c r="M514" s="32"/>
      <c r="N514" s="32"/>
      <c r="O514" s="32"/>
      <c r="P514" s="32"/>
      <c r="Q514" s="32"/>
      <c r="R514" s="32"/>
      <c r="S514" s="32"/>
      <c r="T514" s="32"/>
      <c r="U514" s="32"/>
      <c r="V514" s="32"/>
      <c r="W514" s="32"/>
      <c r="X514" s="32"/>
      <c r="Y514" s="32"/>
      <c r="Z514" s="32"/>
    </row>
    <row r="515" spans="2:26" x14ac:dyDescent="0.2">
      <c r="B515" s="32"/>
      <c r="C515" s="32"/>
      <c r="D515" s="32"/>
      <c r="E515" s="32"/>
      <c r="F515" s="32"/>
      <c r="G515" s="32"/>
      <c r="H515" s="32"/>
      <c r="I515" s="32"/>
      <c r="J515" s="32"/>
      <c r="K515" s="32"/>
      <c r="L515" s="32"/>
      <c r="M515" s="32"/>
      <c r="N515" s="32"/>
      <c r="O515" s="32"/>
      <c r="P515" s="32"/>
      <c r="Q515" s="32"/>
      <c r="R515" s="32"/>
      <c r="S515" s="32"/>
      <c r="T515" s="32"/>
      <c r="U515" s="32"/>
      <c r="V515" s="32"/>
      <c r="W515" s="32"/>
      <c r="X515" s="32"/>
      <c r="Y515" s="32"/>
      <c r="Z515" s="32"/>
    </row>
    <row r="516" spans="2:26" x14ac:dyDescent="0.2">
      <c r="B516" s="32"/>
      <c r="C516" s="32"/>
      <c r="D516" s="32"/>
      <c r="E516" s="32"/>
      <c r="F516" s="32"/>
      <c r="G516" s="32"/>
      <c r="H516" s="32"/>
      <c r="I516" s="32"/>
      <c r="J516" s="32"/>
      <c r="K516" s="32"/>
      <c r="L516" s="32"/>
      <c r="M516" s="32"/>
      <c r="N516" s="32"/>
      <c r="O516" s="32"/>
      <c r="P516" s="32"/>
      <c r="Q516" s="32"/>
      <c r="R516" s="32"/>
      <c r="S516" s="32"/>
      <c r="T516" s="32"/>
      <c r="U516" s="32"/>
      <c r="V516" s="32"/>
      <c r="W516" s="32"/>
      <c r="X516" s="32"/>
      <c r="Y516" s="32"/>
      <c r="Z516" s="32"/>
    </row>
    <row r="517" spans="2:26" x14ac:dyDescent="0.2">
      <c r="B517" s="32"/>
      <c r="C517" s="32"/>
      <c r="D517" s="32"/>
      <c r="E517" s="32"/>
      <c r="F517" s="32"/>
      <c r="G517" s="32"/>
      <c r="H517" s="32"/>
      <c r="I517" s="32"/>
      <c r="J517" s="32"/>
      <c r="K517" s="32"/>
      <c r="L517" s="32"/>
      <c r="M517" s="32"/>
      <c r="N517" s="32"/>
      <c r="O517" s="32"/>
      <c r="P517" s="32"/>
      <c r="Q517" s="32"/>
      <c r="R517" s="32"/>
      <c r="S517" s="32"/>
      <c r="T517" s="32"/>
      <c r="U517" s="32"/>
      <c r="V517" s="32"/>
      <c r="W517" s="32"/>
      <c r="X517" s="32"/>
      <c r="Y517" s="32"/>
      <c r="Z517" s="32"/>
    </row>
    <row r="518" spans="2:26" x14ac:dyDescent="0.2">
      <c r="B518" s="32"/>
      <c r="C518" s="32"/>
      <c r="D518" s="32"/>
      <c r="E518" s="32"/>
      <c r="F518" s="32"/>
      <c r="G518" s="32"/>
      <c r="H518" s="32"/>
      <c r="I518" s="32"/>
      <c r="J518" s="32"/>
      <c r="K518" s="32"/>
      <c r="L518" s="32"/>
      <c r="M518" s="32"/>
      <c r="N518" s="32"/>
      <c r="O518" s="32"/>
      <c r="P518" s="32"/>
      <c r="Q518" s="32"/>
      <c r="R518" s="32"/>
      <c r="S518" s="32"/>
      <c r="T518" s="32"/>
      <c r="U518" s="32"/>
      <c r="V518" s="32"/>
      <c r="W518" s="32"/>
      <c r="X518" s="32"/>
      <c r="Y518" s="32"/>
      <c r="Z518" s="32"/>
    </row>
    <row r="519" spans="2:26" x14ac:dyDescent="0.2">
      <c r="B519" s="32"/>
      <c r="C519" s="32"/>
      <c r="D519" s="32"/>
      <c r="E519" s="32"/>
      <c r="F519" s="32"/>
      <c r="G519" s="32"/>
      <c r="H519" s="32"/>
      <c r="I519" s="32"/>
      <c r="J519" s="32"/>
      <c r="K519" s="32"/>
      <c r="L519" s="32"/>
      <c r="M519" s="32"/>
      <c r="N519" s="32"/>
      <c r="O519" s="32"/>
      <c r="P519" s="32"/>
      <c r="Q519" s="32"/>
      <c r="R519" s="32"/>
      <c r="S519" s="32"/>
      <c r="T519" s="32"/>
      <c r="U519" s="32"/>
      <c r="V519" s="32"/>
      <c r="W519" s="32"/>
      <c r="X519" s="32"/>
      <c r="Y519" s="32"/>
      <c r="Z519" s="32"/>
    </row>
    <row r="520" spans="2:26" x14ac:dyDescent="0.2">
      <c r="B520" s="32"/>
      <c r="C520" s="32"/>
      <c r="D520" s="32"/>
      <c r="E520" s="32"/>
      <c r="F520" s="32"/>
      <c r="G520" s="32"/>
      <c r="H520" s="32"/>
      <c r="I520" s="32"/>
      <c r="J520" s="32"/>
      <c r="K520" s="32"/>
      <c r="L520" s="32"/>
      <c r="M520" s="32"/>
      <c r="N520" s="32"/>
      <c r="O520" s="32"/>
      <c r="P520" s="32"/>
      <c r="Q520" s="32"/>
      <c r="R520" s="32"/>
      <c r="S520" s="32"/>
      <c r="T520" s="32"/>
      <c r="U520" s="32"/>
      <c r="V520" s="32"/>
      <c r="W520" s="32"/>
      <c r="X520" s="32"/>
      <c r="Y520" s="32"/>
      <c r="Z520" s="32"/>
    </row>
    <row r="521" spans="2:26" x14ac:dyDescent="0.2">
      <c r="B521" s="32"/>
      <c r="C521" s="32"/>
      <c r="D521" s="32"/>
      <c r="E521" s="32"/>
      <c r="F521" s="32"/>
      <c r="G521" s="32"/>
      <c r="H521" s="32"/>
      <c r="I521" s="32"/>
      <c r="J521" s="32"/>
      <c r="K521" s="32"/>
      <c r="L521" s="32"/>
      <c r="M521" s="32"/>
      <c r="N521" s="32"/>
      <c r="O521" s="32"/>
      <c r="P521" s="32"/>
      <c r="Q521" s="32"/>
      <c r="R521" s="32"/>
      <c r="S521" s="32"/>
      <c r="T521" s="32"/>
      <c r="U521" s="32"/>
      <c r="V521" s="32"/>
      <c r="W521" s="32"/>
      <c r="X521" s="32"/>
      <c r="Y521" s="32"/>
      <c r="Z521" s="32"/>
    </row>
    <row r="522" spans="2:26" x14ac:dyDescent="0.2">
      <c r="B522" s="32"/>
      <c r="C522" s="32"/>
      <c r="D522" s="32"/>
      <c r="E522" s="32"/>
      <c r="F522" s="32"/>
      <c r="G522" s="32"/>
      <c r="H522" s="32"/>
      <c r="I522" s="32"/>
      <c r="J522" s="32"/>
      <c r="K522" s="32"/>
      <c r="L522" s="32"/>
      <c r="M522" s="32"/>
      <c r="N522" s="32"/>
      <c r="O522" s="32"/>
      <c r="P522" s="32"/>
      <c r="Q522" s="32"/>
      <c r="R522" s="32"/>
      <c r="S522" s="32"/>
      <c r="T522" s="32"/>
      <c r="U522" s="32"/>
      <c r="V522" s="32"/>
      <c r="W522" s="32"/>
      <c r="X522" s="32"/>
      <c r="Y522" s="32"/>
      <c r="Z522" s="32"/>
    </row>
    <row r="523" spans="2:26" x14ac:dyDescent="0.2">
      <c r="B523" s="32"/>
      <c r="C523" s="32"/>
      <c r="D523" s="32"/>
      <c r="E523" s="32"/>
      <c r="F523" s="32"/>
      <c r="G523" s="32"/>
      <c r="H523" s="32"/>
      <c r="I523" s="32"/>
      <c r="J523" s="32"/>
      <c r="K523" s="32"/>
      <c r="L523" s="32"/>
      <c r="M523" s="32"/>
      <c r="N523" s="32"/>
      <c r="O523" s="32"/>
      <c r="P523" s="32"/>
      <c r="Q523" s="32"/>
      <c r="R523" s="32"/>
      <c r="S523" s="32"/>
      <c r="T523" s="32"/>
      <c r="U523" s="32"/>
      <c r="V523" s="32"/>
      <c r="W523" s="32"/>
      <c r="X523" s="32"/>
      <c r="Y523" s="32"/>
      <c r="Z523" s="32"/>
    </row>
    <row r="524" spans="2:26" x14ac:dyDescent="0.2">
      <c r="B524" s="32"/>
      <c r="C524" s="32"/>
      <c r="D524" s="32"/>
      <c r="E524" s="32"/>
      <c r="F524" s="32"/>
      <c r="G524" s="32"/>
      <c r="H524" s="32"/>
      <c r="I524" s="32"/>
      <c r="J524" s="32"/>
      <c r="K524" s="32"/>
      <c r="L524" s="32"/>
      <c r="M524" s="32"/>
      <c r="N524" s="32"/>
      <c r="O524" s="32"/>
      <c r="P524" s="32"/>
      <c r="Q524" s="32"/>
      <c r="R524" s="32"/>
      <c r="S524" s="32"/>
      <c r="T524" s="32"/>
      <c r="U524" s="32"/>
      <c r="V524" s="32"/>
      <c r="W524" s="32"/>
      <c r="X524" s="32"/>
      <c r="Y524" s="32"/>
      <c r="Z524" s="32"/>
    </row>
    <row r="525" spans="2:26" x14ac:dyDescent="0.2">
      <c r="B525" s="32"/>
      <c r="C525" s="32"/>
      <c r="D525" s="32"/>
      <c r="E525" s="32"/>
      <c r="F525" s="32"/>
      <c r="G525" s="32"/>
      <c r="H525" s="32"/>
      <c r="I525" s="32"/>
      <c r="J525" s="32"/>
      <c r="K525" s="32"/>
      <c r="L525" s="32"/>
      <c r="M525" s="32"/>
      <c r="N525" s="32"/>
      <c r="O525" s="32"/>
      <c r="P525" s="32"/>
      <c r="Q525" s="32"/>
      <c r="R525" s="32"/>
      <c r="S525" s="32"/>
      <c r="T525" s="32"/>
      <c r="U525" s="32"/>
      <c r="V525" s="32"/>
      <c r="W525" s="32"/>
      <c r="X525" s="32"/>
      <c r="Y525" s="32"/>
      <c r="Z525" s="32"/>
    </row>
    <row r="526" spans="2:26" x14ac:dyDescent="0.2">
      <c r="B526" s="32"/>
      <c r="C526" s="32"/>
      <c r="D526" s="32"/>
      <c r="E526" s="32"/>
      <c r="F526" s="32"/>
      <c r="G526" s="32"/>
      <c r="H526" s="32"/>
      <c r="I526" s="32"/>
      <c r="J526" s="32"/>
      <c r="K526" s="32"/>
      <c r="L526" s="32"/>
      <c r="M526" s="32"/>
      <c r="N526" s="32"/>
      <c r="O526" s="32"/>
      <c r="P526" s="32"/>
      <c r="Q526" s="32"/>
      <c r="R526" s="32"/>
      <c r="S526" s="32"/>
      <c r="T526" s="32"/>
      <c r="U526" s="32"/>
      <c r="V526" s="32"/>
      <c r="W526" s="32"/>
      <c r="X526" s="32"/>
      <c r="Y526" s="32"/>
      <c r="Z526" s="32"/>
    </row>
    <row r="527" spans="2:26" x14ac:dyDescent="0.2">
      <c r="B527" s="32"/>
      <c r="C527" s="32"/>
      <c r="D527" s="32"/>
      <c r="E527" s="32"/>
      <c r="F527" s="32"/>
      <c r="G527" s="32"/>
      <c r="H527" s="32"/>
      <c r="I527" s="32"/>
      <c r="J527" s="32"/>
      <c r="K527" s="32"/>
      <c r="L527" s="32"/>
      <c r="M527" s="32"/>
      <c r="N527" s="32"/>
      <c r="O527" s="32"/>
      <c r="P527" s="32"/>
      <c r="Q527" s="32"/>
      <c r="R527" s="32"/>
      <c r="S527" s="32"/>
      <c r="T527" s="32"/>
      <c r="U527" s="32"/>
      <c r="V527" s="32"/>
      <c r="W527" s="32"/>
      <c r="X527" s="32"/>
      <c r="Y527" s="32"/>
      <c r="Z527" s="32"/>
    </row>
    <row r="528" spans="2:26" x14ac:dyDescent="0.2">
      <c r="B528" s="32"/>
      <c r="C528" s="32"/>
      <c r="D528" s="32"/>
      <c r="E528" s="32"/>
      <c r="F528" s="32"/>
      <c r="G528" s="32"/>
      <c r="H528" s="32"/>
      <c r="I528" s="32"/>
      <c r="J528" s="32"/>
      <c r="K528" s="32"/>
      <c r="L528" s="32"/>
      <c r="M528" s="32"/>
      <c r="N528" s="32"/>
      <c r="O528" s="32"/>
      <c r="P528" s="32"/>
      <c r="Q528" s="32"/>
      <c r="R528" s="32"/>
      <c r="S528" s="32"/>
      <c r="T528" s="32"/>
      <c r="U528" s="32"/>
      <c r="V528" s="32"/>
      <c r="W528" s="32"/>
      <c r="X528" s="32"/>
      <c r="Y528" s="32"/>
      <c r="Z528" s="32"/>
    </row>
    <row r="529" spans="2:26" x14ac:dyDescent="0.2">
      <c r="B529" s="32"/>
      <c r="C529" s="32"/>
      <c r="D529" s="32"/>
      <c r="E529" s="32"/>
      <c r="F529" s="32"/>
      <c r="G529" s="32"/>
      <c r="H529" s="32"/>
      <c r="I529" s="32"/>
      <c r="J529" s="32"/>
      <c r="K529" s="32"/>
      <c r="L529" s="32"/>
      <c r="M529" s="32"/>
      <c r="N529" s="32"/>
      <c r="O529" s="32"/>
      <c r="P529" s="32"/>
      <c r="Q529" s="32"/>
      <c r="R529" s="32"/>
      <c r="S529" s="32"/>
      <c r="T529" s="32"/>
      <c r="U529" s="32"/>
      <c r="V529" s="32"/>
      <c r="W529" s="32"/>
      <c r="X529" s="32"/>
      <c r="Y529" s="32"/>
      <c r="Z529" s="32"/>
    </row>
    <row r="530" spans="2:26" x14ac:dyDescent="0.2">
      <c r="B530" s="32"/>
      <c r="C530" s="32"/>
      <c r="D530" s="32"/>
      <c r="E530" s="32"/>
      <c r="F530" s="32"/>
      <c r="G530" s="32"/>
      <c r="H530" s="32"/>
      <c r="I530" s="32"/>
      <c r="J530" s="32"/>
      <c r="K530" s="32"/>
      <c r="L530" s="32"/>
      <c r="M530" s="32"/>
      <c r="N530" s="32"/>
      <c r="O530" s="32"/>
      <c r="P530" s="32"/>
      <c r="Q530" s="32"/>
      <c r="R530" s="32"/>
      <c r="S530" s="32"/>
      <c r="T530" s="32"/>
      <c r="U530" s="32"/>
      <c r="V530" s="32"/>
      <c r="W530" s="32"/>
      <c r="X530" s="32"/>
      <c r="Y530" s="32"/>
      <c r="Z530" s="32"/>
    </row>
    <row r="531" spans="2:26" x14ac:dyDescent="0.2">
      <c r="B531" s="32"/>
      <c r="C531" s="32"/>
      <c r="D531" s="32"/>
      <c r="E531" s="32"/>
      <c r="F531" s="32"/>
      <c r="G531" s="32"/>
      <c r="H531" s="32"/>
      <c r="I531" s="32"/>
      <c r="J531" s="32"/>
      <c r="K531" s="32"/>
      <c r="L531" s="32"/>
      <c r="M531" s="32"/>
      <c r="N531" s="32"/>
      <c r="O531" s="32"/>
      <c r="P531" s="32"/>
      <c r="Q531" s="32"/>
      <c r="R531" s="32"/>
      <c r="S531" s="32"/>
      <c r="T531" s="32"/>
      <c r="U531" s="32"/>
      <c r="V531" s="32"/>
      <c r="W531" s="32"/>
      <c r="X531" s="32"/>
      <c r="Y531" s="32"/>
      <c r="Z531" s="32"/>
    </row>
    <row r="532" spans="2:26" x14ac:dyDescent="0.2">
      <c r="B532" s="32"/>
      <c r="C532" s="32"/>
      <c r="D532" s="32"/>
      <c r="E532" s="32"/>
      <c r="F532" s="32"/>
      <c r="G532" s="32"/>
      <c r="H532" s="32"/>
      <c r="I532" s="32"/>
      <c r="J532" s="32"/>
      <c r="K532" s="32"/>
      <c r="L532" s="32"/>
      <c r="M532" s="32"/>
      <c r="N532" s="32"/>
      <c r="O532" s="32"/>
      <c r="P532" s="32"/>
      <c r="Q532" s="32"/>
      <c r="R532" s="32"/>
      <c r="S532" s="32"/>
      <c r="T532" s="32"/>
      <c r="U532" s="32"/>
      <c r="V532" s="32"/>
      <c r="W532" s="32"/>
      <c r="X532" s="32"/>
      <c r="Y532" s="32"/>
      <c r="Z532" s="32"/>
    </row>
    <row r="533" spans="2:26" x14ac:dyDescent="0.2">
      <c r="B533" s="32"/>
      <c r="C533" s="32"/>
      <c r="D533" s="32"/>
      <c r="E533" s="32"/>
      <c r="F533" s="32"/>
      <c r="G533" s="32"/>
      <c r="H533" s="32"/>
      <c r="I533" s="32"/>
      <c r="J533" s="32"/>
      <c r="K533" s="32"/>
      <c r="L533" s="32"/>
      <c r="M533" s="32"/>
      <c r="N533" s="32"/>
      <c r="O533" s="32"/>
      <c r="P533" s="32"/>
      <c r="Q533" s="32"/>
      <c r="R533" s="32"/>
      <c r="S533" s="32"/>
      <c r="T533" s="32"/>
      <c r="U533" s="32"/>
      <c r="V533" s="32"/>
      <c r="W533" s="32"/>
      <c r="X533" s="32"/>
      <c r="Y533" s="32"/>
      <c r="Z533" s="32"/>
    </row>
    <row r="534" spans="2:26" x14ac:dyDescent="0.2">
      <c r="B534" s="32"/>
      <c r="C534" s="32"/>
      <c r="D534" s="32"/>
      <c r="E534" s="32"/>
      <c r="F534" s="32"/>
      <c r="G534" s="32"/>
      <c r="H534" s="32"/>
      <c r="I534" s="32"/>
      <c r="J534" s="32"/>
      <c r="K534" s="32"/>
      <c r="L534" s="32"/>
      <c r="M534" s="32"/>
      <c r="N534" s="32"/>
      <c r="O534" s="32"/>
      <c r="P534" s="32"/>
      <c r="Q534" s="32"/>
      <c r="R534" s="32"/>
      <c r="S534" s="32"/>
      <c r="T534" s="32"/>
      <c r="U534" s="32"/>
      <c r="V534" s="32"/>
      <c r="W534" s="32"/>
      <c r="X534" s="32"/>
      <c r="Y534" s="32"/>
      <c r="Z534" s="32"/>
    </row>
    <row r="535" spans="2:26" x14ac:dyDescent="0.2">
      <c r="B535" s="32"/>
      <c r="C535" s="32"/>
      <c r="D535" s="32"/>
      <c r="E535" s="32"/>
      <c r="F535" s="32"/>
      <c r="G535" s="32"/>
      <c r="H535" s="32"/>
      <c r="I535" s="32"/>
      <c r="J535" s="32"/>
      <c r="K535" s="32"/>
      <c r="L535" s="32"/>
      <c r="M535" s="32"/>
      <c r="N535" s="32"/>
      <c r="O535" s="32"/>
      <c r="P535" s="32"/>
      <c r="Q535" s="32"/>
      <c r="R535" s="32"/>
      <c r="S535" s="32"/>
      <c r="T535" s="32"/>
      <c r="U535" s="32"/>
      <c r="V535" s="32"/>
      <c r="W535" s="32"/>
      <c r="X535" s="32"/>
      <c r="Y535" s="32"/>
      <c r="Z535" s="32"/>
    </row>
    <row r="536" spans="2:26" x14ac:dyDescent="0.2">
      <c r="B536" s="32"/>
      <c r="C536" s="32"/>
      <c r="D536" s="32"/>
      <c r="E536" s="32"/>
      <c r="F536" s="32"/>
      <c r="G536" s="32"/>
      <c r="H536" s="32"/>
      <c r="I536" s="32"/>
      <c r="J536" s="32"/>
      <c r="K536" s="32"/>
      <c r="L536" s="32"/>
      <c r="M536" s="32"/>
      <c r="N536" s="32"/>
      <c r="O536" s="32"/>
      <c r="P536" s="32"/>
      <c r="Q536" s="32"/>
      <c r="R536" s="32"/>
      <c r="S536" s="32"/>
      <c r="T536" s="32"/>
      <c r="U536" s="32"/>
      <c r="V536" s="32"/>
      <c r="W536" s="32"/>
      <c r="X536" s="32"/>
      <c r="Y536" s="32"/>
      <c r="Z536" s="32"/>
    </row>
    <row r="537" spans="2:26" x14ac:dyDescent="0.2">
      <c r="B537" s="32"/>
      <c r="C537" s="32"/>
      <c r="D537" s="32"/>
      <c r="E537" s="32"/>
      <c r="F537" s="32"/>
      <c r="G537" s="32"/>
      <c r="H537" s="32"/>
      <c r="I537" s="32"/>
      <c r="J537" s="32"/>
      <c r="K537" s="32"/>
      <c r="L537" s="32"/>
      <c r="M537" s="32"/>
      <c r="N537" s="32"/>
      <c r="O537" s="32"/>
      <c r="P537" s="32"/>
      <c r="Q537" s="32"/>
      <c r="R537" s="32"/>
      <c r="S537" s="32"/>
      <c r="T537" s="32"/>
      <c r="U537" s="32"/>
      <c r="V537" s="32"/>
      <c r="W537" s="32"/>
      <c r="X537" s="32"/>
      <c r="Y537" s="32"/>
      <c r="Z537" s="32"/>
    </row>
    <row r="538" spans="2:26" x14ac:dyDescent="0.2">
      <c r="B538" s="32"/>
      <c r="C538" s="32"/>
      <c r="D538" s="32"/>
      <c r="E538" s="32"/>
      <c r="F538" s="32"/>
      <c r="G538" s="32"/>
      <c r="H538" s="32"/>
      <c r="I538" s="32"/>
      <c r="J538" s="32"/>
      <c r="K538" s="32"/>
      <c r="L538" s="32"/>
      <c r="M538" s="32"/>
      <c r="N538" s="32"/>
      <c r="O538" s="32"/>
      <c r="P538" s="32"/>
      <c r="Q538" s="32"/>
      <c r="R538" s="32"/>
      <c r="S538" s="32"/>
      <c r="T538" s="32"/>
      <c r="U538" s="32"/>
      <c r="V538" s="32"/>
      <c r="W538" s="32"/>
      <c r="X538" s="32"/>
      <c r="Y538" s="32"/>
      <c r="Z538" s="32"/>
    </row>
    <row r="539" spans="2:26" x14ac:dyDescent="0.2">
      <c r="B539" s="32"/>
      <c r="C539" s="32"/>
      <c r="D539" s="32"/>
      <c r="E539" s="32"/>
      <c r="F539" s="32"/>
      <c r="G539" s="32"/>
      <c r="H539" s="32"/>
      <c r="I539" s="32"/>
      <c r="J539" s="32"/>
      <c r="K539" s="32"/>
      <c r="L539" s="32"/>
      <c r="M539" s="32"/>
      <c r="N539" s="32"/>
      <c r="O539" s="32"/>
      <c r="P539" s="32"/>
      <c r="Q539" s="32"/>
      <c r="R539" s="32"/>
      <c r="S539" s="32"/>
      <c r="T539" s="32"/>
      <c r="U539" s="32"/>
      <c r="V539" s="32"/>
      <c r="W539" s="32"/>
      <c r="X539" s="32"/>
      <c r="Y539" s="32"/>
      <c r="Z539" s="32"/>
    </row>
    <row r="540" spans="2:26" x14ac:dyDescent="0.2">
      <c r="B540" s="32"/>
      <c r="C540" s="32"/>
      <c r="D540" s="32"/>
      <c r="E540" s="32"/>
      <c r="F540" s="32"/>
      <c r="G540" s="32"/>
      <c r="H540" s="32"/>
      <c r="I540" s="32"/>
      <c r="J540" s="32"/>
      <c r="K540" s="32"/>
      <c r="L540" s="32"/>
      <c r="M540" s="32"/>
      <c r="N540" s="32"/>
      <c r="O540" s="32"/>
      <c r="P540" s="32"/>
      <c r="Q540" s="32"/>
      <c r="R540" s="32"/>
      <c r="S540" s="32"/>
      <c r="T540" s="32"/>
      <c r="U540" s="32"/>
      <c r="V540" s="32"/>
      <c r="W540" s="32"/>
      <c r="X540" s="32"/>
      <c r="Y540" s="32"/>
      <c r="Z540" s="32"/>
    </row>
    <row r="541" spans="2:26" x14ac:dyDescent="0.2">
      <c r="B541" s="32"/>
      <c r="C541" s="32"/>
      <c r="D541" s="32"/>
      <c r="E541" s="32"/>
      <c r="F541" s="32"/>
      <c r="G541" s="32"/>
      <c r="H541" s="32"/>
      <c r="I541" s="32"/>
      <c r="J541" s="32"/>
      <c r="K541" s="32"/>
      <c r="L541" s="32"/>
      <c r="M541" s="32"/>
      <c r="N541" s="32"/>
      <c r="O541" s="32"/>
      <c r="P541" s="32"/>
      <c r="Q541" s="32"/>
      <c r="R541" s="32"/>
      <c r="S541" s="32"/>
      <c r="T541" s="32"/>
      <c r="U541" s="32"/>
      <c r="V541" s="32"/>
      <c r="W541" s="32"/>
      <c r="X541" s="32"/>
      <c r="Y541" s="32"/>
      <c r="Z541" s="32"/>
    </row>
    <row r="542" spans="2:26" x14ac:dyDescent="0.2">
      <c r="B542" s="32"/>
      <c r="C542" s="32"/>
      <c r="D542" s="32"/>
      <c r="E542" s="32"/>
      <c r="F542" s="32"/>
      <c r="G542" s="32"/>
      <c r="H542" s="32"/>
      <c r="I542" s="32"/>
      <c r="J542" s="32"/>
      <c r="K542" s="32"/>
      <c r="L542" s="32"/>
      <c r="M542" s="32"/>
      <c r="N542" s="32"/>
      <c r="O542" s="32"/>
      <c r="P542" s="32"/>
      <c r="Q542" s="32"/>
      <c r="R542" s="32"/>
      <c r="S542" s="32"/>
      <c r="T542" s="32"/>
      <c r="U542" s="32"/>
      <c r="V542" s="32"/>
      <c r="W542" s="32"/>
      <c r="X542" s="32"/>
      <c r="Y542" s="32"/>
      <c r="Z542" s="32"/>
    </row>
    <row r="543" spans="2:26" x14ac:dyDescent="0.2">
      <c r="B543" s="32"/>
      <c r="C543" s="32"/>
      <c r="D543" s="32"/>
      <c r="E543" s="32"/>
      <c r="F543" s="32"/>
      <c r="G543" s="32"/>
      <c r="H543" s="32"/>
      <c r="I543" s="32"/>
      <c r="J543" s="32"/>
      <c r="K543" s="32"/>
      <c r="L543" s="32"/>
      <c r="M543" s="32"/>
      <c r="N543" s="32"/>
      <c r="O543" s="32"/>
      <c r="P543" s="32"/>
      <c r="Q543" s="32"/>
      <c r="R543" s="32"/>
      <c r="S543" s="32"/>
      <c r="T543" s="32"/>
      <c r="U543" s="32"/>
      <c r="V543" s="32"/>
      <c r="W543" s="32"/>
      <c r="X543" s="32"/>
      <c r="Y543" s="32"/>
      <c r="Z543" s="32"/>
    </row>
    <row r="544" spans="2:26" x14ac:dyDescent="0.2">
      <c r="B544" s="32"/>
      <c r="C544" s="32"/>
      <c r="D544" s="32"/>
      <c r="E544" s="32"/>
      <c r="F544" s="32"/>
      <c r="G544" s="32"/>
      <c r="H544" s="32"/>
      <c r="I544" s="32"/>
      <c r="J544" s="32"/>
      <c r="K544" s="32"/>
      <c r="L544" s="32"/>
      <c r="M544" s="32"/>
      <c r="N544" s="32"/>
      <c r="O544" s="32"/>
      <c r="P544" s="32"/>
      <c r="Q544" s="32"/>
      <c r="R544" s="32"/>
      <c r="S544" s="32"/>
      <c r="T544" s="32"/>
      <c r="U544" s="32"/>
      <c r="V544" s="32"/>
      <c r="W544" s="32"/>
      <c r="X544" s="32"/>
      <c r="Y544" s="32"/>
      <c r="Z544" s="32"/>
    </row>
    <row r="545" spans="2:26" x14ac:dyDescent="0.2">
      <c r="B545" s="32"/>
      <c r="C545" s="32"/>
      <c r="D545" s="32"/>
      <c r="E545" s="32"/>
      <c r="F545" s="32"/>
      <c r="G545" s="32"/>
      <c r="H545" s="32"/>
      <c r="I545" s="32"/>
      <c r="J545" s="32"/>
      <c r="K545" s="32"/>
      <c r="L545" s="32"/>
      <c r="M545" s="32"/>
      <c r="N545" s="32"/>
      <c r="O545" s="32"/>
      <c r="P545" s="32"/>
      <c r="Q545" s="32"/>
      <c r="R545" s="32"/>
      <c r="S545" s="32"/>
      <c r="T545" s="32"/>
      <c r="U545" s="32"/>
      <c r="V545" s="32"/>
      <c r="W545" s="32"/>
      <c r="X545" s="32"/>
      <c r="Y545" s="32"/>
      <c r="Z545" s="32"/>
    </row>
    <row r="546" spans="2:26" x14ac:dyDescent="0.2">
      <c r="B546" s="32"/>
      <c r="C546" s="32"/>
      <c r="D546" s="32"/>
      <c r="E546" s="32"/>
      <c r="F546" s="32"/>
      <c r="G546" s="32"/>
      <c r="H546" s="32"/>
      <c r="I546" s="32"/>
      <c r="J546" s="32"/>
      <c r="K546" s="32"/>
      <c r="L546" s="32"/>
      <c r="M546" s="32"/>
      <c r="N546" s="32"/>
      <c r="O546" s="32"/>
      <c r="P546" s="32"/>
      <c r="Q546" s="32"/>
      <c r="R546" s="32"/>
      <c r="S546" s="32"/>
      <c r="T546" s="32"/>
      <c r="U546" s="32"/>
      <c r="V546" s="32"/>
      <c r="W546" s="32"/>
      <c r="X546" s="32"/>
      <c r="Y546" s="32"/>
      <c r="Z546" s="32"/>
    </row>
    <row r="547" spans="2:26" x14ac:dyDescent="0.2">
      <c r="B547" s="32"/>
      <c r="C547" s="32"/>
      <c r="D547" s="32"/>
      <c r="E547" s="32"/>
      <c r="F547" s="32"/>
      <c r="G547" s="32"/>
      <c r="H547" s="32"/>
      <c r="I547" s="32"/>
      <c r="J547" s="32"/>
      <c r="K547" s="32"/>
      <c r="L547" s="32"/>
      <c r="M547" s="32"/>
      <c r="N547" s="32"/>
      <c r="O547" s="32"/>
      <c r="P547" s="32"/>
      <c r="Q547" s="32"/>
      <c r="R547" s="32"/>
      <c r="S547" s="32"/>
      <c r="T547" s="32"/>
      <c r="U547" s="32"/>
      <c r="V547" s="32"/>
      <c r="W547" s="32"/>
      <c r="X547" s="32"/>
      <c r="Y547" s="32"/>
      <c r="Z547" s="32"/>
    </row>
    <row r="548" spans="2:26" x14ac:dyDescent="0.2">
      <c r="B548" s="32"/>
      <c r="C548" s="32"/>
      <c r="D548" s="32"/>
      <c r="E548" s="32"/>
      <c r="F548" s="32"/>
      <c r="G548" s="32"/>
      <c r="H548" s="32"/>
      <c r="I548" s="32"/>
      <c r="J548" s="32"/>
      <c r="K548" s="32"/>
      <c r="L548" s="32"/>
      <c r="M548" s="32"/>
      <c r="N548" s="32"/>
      <c r="O548" s="32"/>
      <c r="P548" s="32"/>
      <c r="Q548" s="32"/>
      <c r="R548" s="32"/>
      <c r="S548" s="32"/>
      <c r="T548" s="32"/>
      <c r="U548" s="32"/>
      <c r="V548" s="32"/>
      <c r="W548" s="32"/>
      <c r="X548" s="32"/>
      <c r="Y548" s="32"/>
      <c r="Z548" s="32"/>
    </row>
    <row r="549" spans="2:26" x14ac:dyDescent="0.2">
      <c r="B549" s="32"/>
      <c r="C549" s="32"/>
      <c r="D549" s="32"/>
      <c r="E549" s="32"/>
      <c r="F549" s="32"/>
      <c r="G549" s="32"/>
      <c r="H549" s="32"/>
      <c r="I549" s="32"/>
      <c r="J549" s="32"/>
      <c r="K549" s="32"/>
      <c r="L549" s="32"/>
      <c r="M549" s="32"/>
      <c r="N549" s="32"/>
      <c r="O549" s="32"/>
      <c r="P549" s="32"/>
      <c r="Q549" s="32"/>
      <c r="R549" s="32"/>
      <c r="S549" s="32"/>
      <c r="T549" s="32"/>
      <c r="U549" s="32"/>
      <c r="V549" s="32"/>
      <c r="W549" s="32"/>
      <c r="X549" s="32"/>
      <c r="Y549" s="32"/>
      <c r="Z549" s="32"/>
    </row>
    <row r="550" spans="2:26" x14ac:dyDescent="0.2">
      <c r="B550" s="32"/>
      <c r="C550" s="32"/>
      <c r="D550" s="32"/>
      <c r="E550" s="32"/>
      <c r="F550" s="32"/>
      <c r="G550" s="32"/>
      <c r="H550" s="32"/>
      <c r="I550" s="32"/>
      <c r="J550" s="32"/>
      <c r="K550" s="32"/>
      <c r="L550" s="32"/>
      <c r="M550" s="32"/>
      <c r="N550" s="32"/>
      <c r="O550" s="32"/>
      <c r="P550" s="32"/>
      <c r="Q550" s="32"/>
      <c r="R550" s="32"/>
      <c r="S550" s="32"/>
      <c r="T550" s="32"/>
      <c r="U550" s="32"/>
      <c r="V550" s="32"/>
      <c r="W550" s="32"/>
      <c r="X550" s="32"/>
      <c r="Y550" s="32"/>
      <c r="Z550" s="32"/>
    </row>
    <row r="551" spans="2:26" x14ac:dyDescent="0.2">
      <c r="B551" s="32"/>
      <c r="C551" s="32"/>
      <c r="D551" s="32"/>
      <c r="E551" s="32"/>
      <c r="F551" s="32"/>
      <c r="G551" s="32"/>
      <c r="H551" s="32"/>
      <c r="I551" s="32"/>
      <c r="J551" s="32"/>
      <c r="K551" s="32"/>
      <c r="L551" s="32"/>
      <c r="M551" s="32"/>
      <c r="N551" s="32"/>
      <c r="O551" s="32"/>
      <c r="P551" s="32"/>
      <c r="Q551" s="32"/>
      <c r="R551" s="32"/>
      <c r="S551" s="32"/>
      <c r="T551" s="32"/>
      <c r="U551" s="32"/>
      <c r="V551" s="32"/>
      <c r="W551" s="32"/>
      <c r="X551" s="32"/>
      <c r="Y551" s="32"/>
      <c r="Z551" s="32"/>
    </row>
    <row r="552" spans="2:26" x14ac:dyDescent="0.2">
      <c r="B552" s="32"/>
      <c r="C552" s="32"/>
      <c r="D552" s="32"/>
      <c r="E552" s="32"/>
      <c r="F552" s="32"/>
      <c r="G552" s="32"/>
      <c r="H552" s="32"/>
      <c r="I552" s="32"/>
      <c r="J552" s="32"/>
      <c r="K552" s="32"/>
      <c r="L552" s="32"/>
      <c r="M552" s="32"/>
      <c r="N552" s="32"/>
      <c r="O552" s="32"/>
      <c r="P552" s="32"/>
      <c r="Q552" s="32"/>
      <c r="R552" s="32"/>
      <c r="S552" s="32"/>
      <c r="T552" s="32"/>
      <c r="U552" s="32"/>
      <c r="V552" s="32"/>
      <c r="W552" s="32"/>
      <c r="X552" s="32"/>
      <c r="Y552" s="32"/>
      <c r="Z552" s="32"/>
    </row>
    <row r="553" spans="2:26" x14ac:dyDescent="0.2">
      <c r="B553" s="32"/>
      <c r="C553" s="32"/>
      <c r="D553" s="32"/>
      <c r="E553" s="32"/>
      <c r="F553" s="32"/>
      <c r="G553" s="32"/>
      <c r="H553" s="32"/>
      <c r="I553" s="32"/>
      <c r="J553" s="32"/>
      <c r="K553" s="32"/>
      <c r="L553" s="32"/>
      <c r="M553" s="32"/>
      <c r="N553" s="32"/>
      <c r="O553" s="32"/>
      <c r="P553" s="32"/>
      <c r="Q553" s="32"/>
      <c r="R553" s="32"/>
      <c r="S553" s="32"/>
      <c r="T553" s="32"/>
      <c r="U553" s="32"/>
      <c r="V553" s="32"/>
      <c r="W553" s="32"/>
      <c r="X553" s="32"/>
      <c r="Y553" s="32"/>
      <c r="Z553" s="32"/>
    </row>
    <row r="554" spans="2:26" x14ac:dyDescent="0.2">
      <c r="B554" s="32"/>
      <c r="C554" s="32"/>
      <c r="D554" s="32"/>
      <c r="E554" s="32"/>
      <c r="F554" s="32"/>
      <c r="G554" s="32"/>
      <c r="H554" s="32"/>
      <c r="I554" s="32"/>
      <c r="J554" s="32"/>
      <c r="K554" s="32"/>
      <c r="L554" s="32"/>
      <c r="M554" s="32"/>
      <c r="N554" s="32"/>
      <c r="O554" s="32"/>
      <c r="P554" s="32"/>
      <c r="Q554" s="32"/>
      <c r="R554" s="32"/>
      <c r="S554" s="32"/>
      <c r="T554" s="32"/>
      <c r="U554" s="32"/>
      <c r="V554" s="32"/>
      <c r="W554" s="32"/>
      <c r="X554" s="32"/>
      <c r="Y554" s="32"/>
      <c r="Z554" s="32"/>
    </row>
    <row r="555" spans="2:26" x14ac:dyDescent="0.2">
      <c r="B555" s="32"/>
      <c r="C555" s="32"/>
      <c r="D555" s="32"/>
      <c r="E555" s="32"/>
      <c r="F555" s="32"/>
      <c r="G555" s="32"/>
      <c r="H555" s="32"/>
      <c r="I555" s="32"/>
      <c r="J555" s="32"/>
      <c r="K555" s="32"/>
      <c r="L555" s="32"/>
      <c r="M555" s="32"/>
      <c r="N555" s="32"/>
      <c r="O555" s="32"/>
      <c r="P555" s="32"/>
      <c r="Q555" s="32"/>
      <c r="R555" s="32"/>
      <c r="S555" s="32"/>
      <c r="T555" s="32"/>
      <c r="U555" s="32"/>
      <c r="V555" s="32"/>
      <c r="W555" s="32"/>
      <c r="X555" s="32"/>
      <c r="Y555" s="32"/>
      <c r="Z555" s="32"/>
    </row>
    <row r="556" spans="2:26" x14ac:dyDescent="0.2">
      <c r="B556" s="32"/>
      <c r="C556" s="32"/>
      <c r="D556" s="32"/>
      <c r="E556" s="32"/>
      <c r="F556" s="32"/>
      <c r="G556" s="32"/>
      <c r="H556" s="32"/>
      <c r="I556" s="32"/>
      <c r="J556" s="32"/>
      <c r="K556" s="32"/>
      <c r="L556" s="32"/>
      <c r="M556" s="32"/>
      <c r="N556" s="32"/>
      <c r="O556" s="32"/>
      <c r="P556" s="32"/>
      <c r="Q556" s="32"/>
      <c r="R556" s="32"/>
      <c r="S556" s="32"/>
      <c r="T556" s="32"/>
      <c r="U556" s="32"/>
      <c r="V556" s="32"/>
      <c r="W556" s="32"/>
      <c r="X556" s="32"/>
      <c r="Y556" s="32"/>
      <c r="Z556" s="32"/>
    </row>
    <row r="557" spans="2:26" x14ac:dyDescent="0.2">
      <c r="B557" s="32"/>
      <c r="C557" s="32"/>
      <c r="D557" s="32"/>
      <c r="E557" s="32"/>
      <c r="F557" s="32"/>
      <c r="G557" s="32"/>
      <c r="H557" s="32"/>
      <c r="I557" s="32"/>
      <c r="J557" s="32"/>
      <c r="K557" s="32"/>
      <c r="L557" s="32"/>
      <c r="M557" s="32"/>
      <c r="N557" s="32"/>
      <c r="O557" s="32"/>
      <c r="P557" s="32"/>
      <c r="Q557" s="32"/>
      <c r="R557" s="32"/>
      <c r="S557" s="32"/>
      <c r="T557" s="32"/>
      <c r="U557" s="32"/>
      <c r="V557" s="32"/>
      <c r="W557" s="32"/>
      <c r="X557" s="32"/>
      <c r="Y557" s="32"/>
      <c r="Z557" s="32"/>
    </row>
    <row r="558" spans="2:26" x14ac:dyDescent="0.2">
      <c r="B558" s="32"/>
      <c r="C558" s="32"/>
      <c r="D558" s="32"/>
      <c r="E558" s="32"/>
      <c r="F558" s="32"/>
      <c r="G558" s="32"/>
      <c r="H558" s="32"/>
      <c r="I558" s="32"/>
      <c r="J558" s="32"/>
      <c r="K558" s="32"/>
      <c r="L558" s="32"/>
      <c r="M558" s="32"/>
      <c r="N558" s="32"/>
      <c r="O558" s="32"/>
      <c r="P558" s="32"/>
      <c r="Q558" s="32"/>
      <c r="R558" s="32"/>
      <c r="S558" s="32"/>
      <c r="T558" s="32"/>
      <c r="U558" s="32"/>
      <c r="V558" s="32"/>
      <c r="W558" s="32"/>
      <c r="X558" s="32"/>
      <c r="Y558" s="32"/>
      <c r="Z558" s="32"/>
    </row>
    <row r="559" spans="2:26" x14ac:dyDescent="0.2">
      <c r="B559" s="32"/>
      <c r="C559" s="32"/>
      <c r="D559" s="32"/>
      <c r="E559" s="32"/>
      <c r="F559" s="32"/>
      <c r="G559" s="32"/>
      <c r="H559" s="32"/>
      <c r="I559" s="32"/>
      <c r="J559" s="32"/>
      <c r="K559" s="32"/>
      <c r="L559" s="32"/>
      <c r="M559" s="32"/>
      <c r="N559" s="32"/>
      <c r="O559" s="32"/>
      <c r="P559" s="32"/>
      <c r="Q559" s="32"/>
      <c r="R559" s="32"/>
      <c r="S559" s="32"/>
      <c r="T559" s="32"/>
      <c r="U559" s="32"/>
      <c r="V559" s="32"/>
      <c r="W559" s="32"/>
      <c r="X559" s="32"/>
      <c r="Y559" s="32"/>
      <c r="Z559" s="32"/>
    </row>
    <row r="560" spans="2:26" x14ac:dyDescent="0.2">
      <c r="B560" s="32"/>
      <c r="C560" s="32"/>
      <c r="D560" s="32"/>
      <c r="E560" s="32"/>
      <c r="F560" s="32"/>
      <c r="G560" s="32"/>
      <c r="H560" s="32"/>
      <c r="I560" s="32"/>
      <c r="J560" s="32"/>
      <c r="K560" s="32"/>
      <c r="L560" s="32"/>
      <c r="M560" s="32"/>
      <c r="N560" s="32"/>
      <c r="O560" s="32"/>
      <c r="P560" s="32"/>
      <c r="Q560" s="32"/>
      <c r="R560" s="32"/>
      <c r="S560" s="32"/>
      <c r="T560" s="32"/>
      <c r="U560" s="32"/>
      <c r="V560" s="32"/>
      <c r="W560" s="32"/>
      <c r="X560" s="32"/>
      <c r="Y560" s="32"/>
      <c r="Z560" s="32"/>
    </row>
    <row r="561" spans="2:26" x14ac:dyDescent="0.2">
      <c r="B561" s="32"/>
      <c r="C561" s="32"/>
      <c r="D561" s="32"/>
      <c r="E561" s="32"/>
      <c r="F561" s="32"/>
      <c r="G561" s="32"/>
      <c r="H561" s="32"/>
      <c r="I561" s="32"/>
      <c r="J561" s="32"/>
      <c r="K561" s="32"/>
      <c r="L561" s="32"/>
      <c r="M561" s="32"/>
      <c r="N561" s="32"/>
      <c r="O561" s="32"/>
      <c r="P561" s="32"/>
      <c r="Q561" s="32"/>
      <c r="R561" s="32"/>
      <c r="S561" s="32"/>
      <c r="T561" s="32"/>
      <c r="U561" s="32"/>
      <c r="V561" s="32"/>
      <c r="W561" s="32"/>
      <c r="X561" s="32"/>
      <c r="Y561" s="32"/>
      <c r="Z561" s="32"/>
    </row>
    <row r="562" spans="2:26" x14ac:dyDescent="0.2">
      <c r="B562" s="32"/>
      <c r="C562" s="32"/>
      <c r="D562" s="32"/>
      <c r="E562" s="32"/>
      <c r="F562" s="32"/>
      <c r="G562" s="32"/>
      <c r="H562" s="32"/>
      <c r="I562" s="32"/>
      <c r="J562" s="32"/>
      <c r="K562" s="32"/>
      <c r="L562" s="32"/>
      <c r="M562" s="32"/>
      <c r="N562" s="32"/>
      <c r="O562" s="32"/>
      <c r="P562" s="32"/>
      <c r="Q562" s="32"/>
      <c r="R562" s="32"/>
      <c r="S562" s="32"/>
      <c r="T562" s="32"/>
      <c r="U562" s="32"/>
      <c r="V562" s="32"/>
      <c r="W562" s="32"/>
      <c r="X562" s="32"/>
      <c r="Y562" s="32"/>
      <c r="Z562" s="32"/>
    </row>
    <row r="563" spans="2:26" x14ac:dyDescent="0.2">
      <c r="B563" s="32"/>
      <c r="C563" s="32"/>
      <c r="D563" s="32"/>
      <c r="E563" s="32"/>
      <c r="F563" s="32"/>
      <c r="G563" s="32"/>
      <c r="H563" s="32"/>
      <c r="I563" s="32"/>
      <c r="J563" s="32"/>
      <c r="K563" s="32"/>
      <c r="L563" s="32"/>
      <c r="M563" s="32"/>
      <c r="N563" s="32"/>
      <c r="O563" s="32"/>
      <c r="P563" s="32"/>
      <c r="Q563" s="32"/>
      <c r="R563" s="32"/>
      <c r="S563" s="32"/>
      <c r="T563" s="32"/>
      <c r="U563" s="32"/>
      <c r="V563" s="32"/>
      <c r="W563" s="32"/>
      <c r="X563" s="32"/>
      <c r="Y563" s="32"/>
      <c r="Z563" s="32"/>
    </row>
    <row r="564" spans="2:26" x14ac:dyDescent="0.2">
      <c r="B564" s="32"/>
      <c r="C564" s="32"/>
      <c r="D564" s="32"/>
      <c r="E564" s="32"/>
      <c r="F564" s="32"/>
      <c r="G564" s="32"/>
      <c r="H564" s="32"/>
      <c r="I564" s="32"/>
      <c r="J564" s="32"/>
      <c r="K564" s="32"/>
      <c r="L564" s="32"/>
      <c r="M564" s="32"/>
      <c r="N564" s="32"/>
      <c r="O564" s="32"/>
      <c r="P564" s="32"/>
      <c r="Q564" s="32"/>
      <c r="R564" s="32"/>
      <c r="S564" s="32"/>
      <c r="T564" s="32"/>
      <c r="U564" s="32"/>
      <c r="V564" s="32"/>
      <c r="W564" s="32"/>
      <c r="X564" s="32"/>
      <c r="Y564" s="32"/>
      <c r="Z564" s="32"/>
    </row>
    <row r="565" spans="2:26" x14ac:dyDescent="0.2">
      <c r="B565" s="32"/>
      <c r="C565" s="32"/>
      <c r="D565" s="32"/>
      <c r="E565" s="32"/>
      <c r="F565" s="32"/>
      <c r="G565" s="32"/>
      <c r="H565" s="32"/>
      <c r="I565" s="32"/>
      <c r="J565" s="32"/>
      <c r="K565" s="32"/>
      <c r="L565" s="32"/>
      <c r="M565" s="32"/>
      <c r="N565" s="32"/>
      <c r="O565" s="32"/>
      <c r="P565" s="32"/>
      <c r="Q565" s="32"/>
      <c r="R565" s="32"/>
      <c r="S565" s="32"/>
      <c r="T565" s="32"/>
      <c r="U565" s="32"/>
      <c r="V565" s="32"/>
      <c r="W565" s="32"/>
      <c r="X565" s="32"/>
      <c r="Y565" s="32"/>
      <c r="Z565" s="32"/>
    </row>
    <row r="566" spans="2:26" x14ac:dyDescent="0.2">
      <c r="B566" s="32"/>
      <c r="C566" s="32"/>
      <c r="D566" s="32"/>
      <c r="E566" s="32"/>
      <c r="F566" s="32"/>
      <c r="G566" s="32"/>
      <c r="H566" s="32"/>
      <c r="I566" s="32"/>
      <c r="J566" s="32"/>
      <c r="K566" s="32"/>
      <c r="L566" s="32"/>
      <c r="M566" s="32"/>
      <c r="N566" s="32"/>
      <c r="O566" s="32"/>
      <c r="P566" s="32"/>
      <c r="Q566" s="32"/>
      <c r="R566" s="32"/>
      <c r="S566" s="32"/>
      <c r="T566" s="32"/>
      <c r="U566" s="32"/>
      <c r="V566" s="32"/>
      <c r="W566" s="32"/>
      <c r="X566" s="32"/>
      <c r="Y566" s="32"/>
      <c r="Z566" s="32"/>
    </row>
    <row r="567" spans="2:26" x14ac:dyDescent="0.2">
      <c r="B567" s="32"/>
      <c r="C567" s="32"/>
      <c r="D567" s="32"/>
      <c r="E567" s="32"/>
      <c r="F567" s="32"/>
      <c r="G567" s="32"/>
      <c r="H567" s="32"/>
      <c r="I567" s="32"/>
      <c r="J567" s="32"/>
      <c r="K567" s="32"/>
      <c r="L567" s="32"/>
      <c r="M567" s="32"/>
      <c r="N567" s="32"/>
      <c r="O567" s="32"/>
      <c r="P567" s="32"/>
      <c r="Q567" s="32"/>
      <c r="R567" s="32"/>
      <c r="S567" s="32"/>
      <c r="T567" s="32"/>
      <c r="U567" s="32"/>
      <c r="V567" s="32"/>
      <c r="W567" s="32"/>
      <c r="X567" s="32"/>
      <c r="Y567" s="32"/>
      <c r="Z567" s="32"/>
    </row>
    <row r="568" spans="2:26" x14ac:dyDescent="0.2">
      <c r="B568" s="32"/>
      <c r="C568" s="32"/>
      <c r="D568" s="32"/>
      <c r="E568" s="32"/>
      <c r="F568" s="32"/>
      <c r="G568" s="32"/>
      <c r="H568" s="32"/>
      <c r="I568" s="32"/>
      <c r="J568" s="32"/>
      <c r="K568" s="32"/>
      <c r="L568" s="32"/>
      <c r="M568" s="32"/>
      <c r="N568" s="32"/>
      <c r="O568" s="32"/>
      <c r="P568" s="32"/>
      <c r="Q568" s="32"/>
      <c r="R568" s="32"/>
      <c r="S568" s="32"/>
      <c r="T568" s="32"/>
      <c r="U568" s="32"/>
      <c r="V568" s="32"/>
      <c r="W568" s="32"/>
      <c r="X568" s="32"/>
      <c r="Y568" s="32"/>
      <c r="Z568" s="32"/>
    </row>
    <row r="569" spans="2:26" x14ac:dyDescent="0.2">
      <c r="B569" s="32"/>
      <c r="C569" s="32"/>
      <c r="D569" s="32"/>
      <c r="E569" s="32"/>
      <c r="F569" s="32"/>
      <c r="G569" s="32"/>
      <c r="H569" s="32"/>
      <c r="I569" s="32"/>
      <c r="J569" s="32"/>
      <c r="K569" s="32"/>
      <c r="L569" s="32"/>
      <c r="M569" s="32"/>
      <c r="N569" s="32"/>
      <c r="O569" s="32"/>
      <c r="P569" s="32"/>
      <c r="Q569" s="32"/>
      <c r="R569" s="32"/>
      <c r="S569" s="32"/>
      <c r="T569" s="32"/>
      <c r="U569" s="32"/>
      <c r="V569" s="32"/>
      <c r="W569" s="32"/>
      <c r="X569" s="32"/>
      <c r="Y569" s="32"/>
      <c r="Z569" s="32"/>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B55A9-C0EB-4D6C-8525-FD2115A9D13B}">
  <sheetPr codeName="Sheet24">
    <tabColor theme="9"/>
  </sheetPr>
  <dimension ref="A1:AM567"/>
  <sheetViews>
    <sheetView workbookViewId="0"/>
  </sheetViews>
  <sheetFormatPr defaultColWidth="8" defaultRowHeight="12.75" x14ac:dyDescent="0.2"/>
  <cols>
    <col min="1" max="12" width="10.140625" style="33" bestFit="1" customWidth="1"/>
    <col min="13" max="31" width="10.140625" style="33" customWidth="1"/>
    <col min="32" max="38" width="10.140625" style="33" bestFit="1" customWidth="1"/>
    <col min="39" max="16384" width="8" style="33"/>
  </cols>
  <sheetData>
    <row r="1" spans="1:39" x14ac:dyDescent="0.2">
      <c r="B1" s="179" t="str" cm="1">
        <f t="array" ref="B1:AD1">TRANSPOSE(_xlfn.UNIQUE(_xlfn._xlws.FILTER('Categorized Inputs'!$D:$D,'Categorized Inputs'!$A:$A="Cash Flow")))</f>
        <v>Salary &amp; Paychecks</v>
      </c>
      <c r="C1" s="179" t="str">
        <v>Other Earnings</v>
      </c>
      <c r="D1" s="179" t="str">
        <v>Bonus</v>
      </c>
      <c r="E1" s="179" t="str">
        <v>Friend Receivable</v>
      </c>
      <c r="F1" s="179" t="str">
        <v>Selling &amp; Refunds</v>
      </c>
      <c r="G1" s="179" t="str">
        <v>Brokerage Cashout</v>
      </c>
      <c r="H1" s="179" t="str">
        <v>Other</v>
      </c>
      <c r="I1" s="179" t="str">
        <v>Other Inflows</v>
      </c>
      <c r="J1" s="179" t="str">
        <v>Loans</v>
      </c>
      <c r="K1" s="179" t="str">
        <v>Credit Cards</v>
      </c>
      <c r="L1" s="179" t="str">
        <v>Retirement Deductions</v>
      </c>
      <c r="M1" s="179" t="str">
        <v>Events &amp; Entertainment</v>
      </c>
      <c r="N1" s="179" t="str">
        <v>Housing</v>
      </c>
      <c r="O1" s="179" t="str">
        <v>Travel</v>
      </c>
      <c r="P1" s="179" t="str">
        <v>Shopping</v>
      </c>
      <c r="Q1" s="179" t="str">
        <v>Food &amp; Drinks</v>
      </c>
      <c r="R1" s="179" t="str">
        <v>Dues &amp; Subscriptions</v>
      </c>
      <c r="S1" s="179" t="str">
        <v>Other Flexible Outflows</v>
      </c>
      <c r="T1" s="179" t="str">
        <v>Brokerage Contributions</v>
      </c>
      <c r="U1" s="179" t="str">
        <v>Retirement Contributions</v>
      </c>
      <c r="V1" s="179" t="str">
        <v>Employer Retirement Contributions</v>
      </c>
      <c r="W1" s="179" t="str">
        <v>Taxes</v>
      </c>
      <c r="X1" s="179" t="str">
        <v>Other Deductions</v>
      </c>
      <c r="Y1" s="179" t="str">
        <v>Transportation</v>
      </c>
      <c r="Z1" s="179" t="str">
        <v>Friend Payment</v>
      </c>
      <c r="AA1" s="179" t="str">
        <v>Health &amp; Personal Care</v>
      </c>
      <c r="AB1" s="179" t="str">
        <v>Groceries</v>
      </c>
      <c r="AC1" s="179" t="str">
        <v>Medication &amp; Supplements</v>
      </c>
      <c r="AD1" s="179" t="str">
        <v>Other Required Outflows</v>
      </c>
      <c r="AE1" s="179"/>
      <c r="AF1" s="203" t="s">
        <v>187</v>
      </c>
    </row>
    <row r="2" spans="1:39" x14ac:dyDescent="0.2">
      <c r="B2" s="201"/>
      <c r="C2" s="201"/>
      <c r="D2" s="201"/>
      <c r="E2" s="201"/>
      <c r="F2" s="201"/>
      <c r="G2" s="201"/>
      <c r="H2" s="201"/>
      <c r="I2" s="28"/>
      <c r="J2" s="201"/>
      <c r="K2" s="201"/>
      <c r="L2" s="201"/>
      <c r="M2" s="201"/>
      <c r="N2" s="201"/>
      <c r="O2" s="202"/>
      <c r="P2" s="201"/>
      <c r="Q2" s="28"/>
      <c r="R2" s="201"/>
      <c r="S2" s="201"/>
      <c r="T2" s="201"/>
      <c r="U2" s="201"/>
      <c r="V2"/>
      <c r="W2" s="201"/>
      <c r="X2" s="201"/>
      <c r="Y2" s="201"/>
      <c r="Z2" s="201"/>
      <c r="AA2" s="201"/>
      <c r="AB2" s="201"/>
      <c r="AC2" s="201"/>
      <c r="AD2" s="201"/>
      <c r="AE2" s="201"/>
      <c r="AF2" s="203"/>
    </row>
    <row r="3" spans="1:39" x14ac:dyDescent="0.2">
      <c r="A3" s="32">
        <f ca="1">TODAY()</f>
        <v>45752</v>
      </c>
      <c r="B3" s="179">
        <f>SUMIFS('recurring2_based on steps'!$B3:$AY3,'recurring2_based on steps'!$B$1:$AY$1,B$1)+SUMIFS('changes2_based on steps'!$B3:$U3,'changes2_based on steps'!$B$1:$U$1,B$1)</f>
        <v>0</v>
      </c>
      <c r="C3" s="179">
        <f>SUMIFS('recurring2_based on steps'!$B3:$AY3,'recurring2_based on steps'!$B$1:$AY$1,C$1)+SUMIFS('changes2_based on steps'!$B3:$U3,'changes2_based on steps'!$B$1:$U$1,C$1)</f>
        <v>0</v>
      </c>
      <c r="D3" s="179">
        <f>SUMIFS('recurring2_based on steps'!$B3:$AY3,'recurring2_based on steps'!$B$1:$AY$1,D$1)+SUMIFS('changes2_based on steps'!$B3:$U3,'changes2_based on steps'!$B$1:$U$1,D$1)</f>
        <v>0</v>
      </c>
      <c r="E3" s="179">
        <f>SUMIFS('recurring2_based on steps'!$B3:$AY3,'recurring2_based on steps'!$B$1:$AY$1,E$1)+SUMIFS('changes2_based on steps'!$B3:$U3,'changes2_based on steps'!$B$1:$U$1,E$1)</f>
        <v>0</v>
      </c>
      <c r="F3" s="179">
        <f>SUMIFS('recurring2_based on steps'!$B3:$AY3,'recurring2_based on steps'!$B$1:$AY$1,F$1)+SUMIFS('changes2_based on steps'!$B3:$U3,'changes2_based on steps'!$B$1:$U$1,F$1)</f>
        <v>0</v>
      </c>
      <c r="G3" s="179">
        <f>SUMIFS('recurring2_based on steps'!$B3:$AY3,'recurring2_based on steps'!$B$1:$AY$1,G$1)+SUMIFS('changes2_based on steps'!$B3:$U3,'changes2_based on steps'!$B$1:$U$1,G$1)</f>
        <v>0</v>
      </c>
      <c r="H3" s="179">
        <f>SUMIFS('recurring2_based on steps'!$B3:$AY3,'recurring2_based on steps'!$B$1:$AY$1,H$1)+SUMIFS('changes2_based on steps'!$B3:$U3,'changes2_based on steps'!$B$1:$U$1,H$1)</f>
        <v>0</v>
      </c>
      <c r="I3" s="179">
        <f>SUMIFS('recurring2_based on steps'!$B3:$AY3,'recurring2_based on steps'!$B$1:$AY$1,I$1)+SUMIFS('changes2_based on steps'!$B3:$U3,'changes2_based on steps'!$B$1:$U$1,I$1)</f>
        <v>0</v>
      </c>
      <c r="J3" s="179">
        <f>SUMIFS('recurring2_based on steps'!$B3:$AY3,'recurring2_based on steps'!$B$1:$AY$1,J$1)+SUMIFS('changes2_based on steps'!$B3:$U3,'changes2_based on steps'!$B$1:$U$1,J$1)</f>
        <v>0</v>
      </c>
      <c r="K3" s="179">
        <f>SUMIFS('recurring2_based on steps'!$B3:$AY3,'recurring2_based on steps'!$B$1:$AY$1,K$1)+SUMIFS('changes2_based on steps'!$B3:$U3,'changes2_based on steps'!$B$1:$U$1,K$1)</f>
        <v>0</v>
      </c>
      <c r="L3" s="179">
        <f>SUMIFS('recurring2_based on steps'!$B3:$AY3,'recurring2_based on steps'!$B$1:$AY$1,L$1)+SUMIFS('changes2_based on steps'!$B3:$U3,'changes2_based on steps'!$B$1:$U$1,L$1)</f>
        <v>0</v>
      </c>
      <c r="M3" s="179">
        <f>SUMIFS('recurring2_based on steps'!$B3:$AY3,'recurring2_based on steps'!$B$1:$AY$1,M$1)+SUMIFS('changes2_based on steps'!$B3:$U3,'changes2_based on steps'!$B$1:$U$1,M$1)</f>
        <v>0</v>
      </c>
      <c r="N3" s="179">
        <f>SUMIFS('recurring2_based on steps'!$B3:$AY3,'recurring2_based on steps'!$B$1:$AY$1,N$1)+SUMIFS('changes2_based on steps'!$B3:$U3,'changes2_based on steps'!$B$1:$U$1,N$1)</f>
        <v>0</v>
      </c>
      <c r="O3" s="179">
        <f>SUMIFS('recurring2_based on steps'!$B3:$AY3,'recurring2_based on steps'!$B$1:$AY$1,O$1)+SUMIFS('changes2_based on steps'!$B3:$U3,'changes2_based on steps'!$B$1:$U$1,O$1)</f>
        <v>0</v>
      </c>
      <c r="P3" s="179">
        <f>SUMIFS('recurring2_based on steps'!$B3:$AY3,'recurring2_based on steps'!$B$1:$AY$1,P$1)+SUMIFS('changes2_based on steps'!$B3:$U3,'changes2_based on steps'!$B$1:$U$1,P$1)</f>
        <v>0</v>
      </c>
      <c r="Q3" s="179">
        <f>SUMIFS('recurring2_based on steps'!$B3:$AY3,'recurring2_based on steps'!$B$1:$AY$1,Q$1)+SUMIFS('changes2_based on steps'!$B3:$U3,'changes2_based on steps'!$B$1:$U$1,Q$1)</f>
        <v>0</v>
      </c>
      <c r="R3" s="179">
        <f>SUMIFS('recurring2_based on steps'!$B3:$AY3,'recurring2_based on steps'!$B$1:$AY$1,R$1)+SUMIFS('changes2_based on steps'!$B3:$U3,'changes2_based on steps'!$B$1:$U$1,R$1)</f>
        <v>0</v>
      </c>
      <c r="S3" s="179">
        <f>SUMIFS('recurring2_based on steps'!$B3:$AY3,'recurring2_based on steps'!$B$1:$AY$1,S$1)+SUMIFS('changes2_based on steps'!$B3:$U3,'changes2_based on steps'!$B$1:$U$1,S$1)</f>
        <v>0</v>
      </c>
      <c r="T3" s="179">
        <f>SUMIFS('recurring2_based on steps'!$B3:$AY3,'recurring2_based on steps'!$B$1:$AY$1,T$1)+SUMIFS('changes2_based on steps'!$B3:$U3,'changes2_based on steps'!$B$1:$U$1,T$1)</f>
        <v>0</v>
      </c>
      <c r="U3" s="179">
        <f>SUMIFS('recurring2_based on steps'!$B3:$AY3,'recurring2_based on steps'!$B$1:$AY$1,U$1)+SUMIFS('changes2_based on steps'!$B3:$U3,'changes2_based on steps'!$B$1:$U$1,U$1)</f>
        <v>0</v>
      </c>
      <c r="V3" s="179">
        <f>SUMIFS('recurring2_based on steps'!$B3:$AY3,'recurring2_based on steps'!$B$1:$AY$1,V$1)+SUMIFS('changes2_based on steps'!$B3:$U3,'changes2_based on steps'!$B$1:$U$1,V$1)</f>
        <v>0</v>
      </c>
      <c r="W3" s="179">
        <f>SUMIFS('recurring2_based on steps'!$B3:$AY3,'recurring2_based on steps'!$B$1:$AY$1,W$1)+SUMIFS('changes2_based on steps'!$B3:$U3,'changes2_based on steps'!$B$1:$U$1,W$1)</f>
        <v>0</v>
      </c>
      <c r="X3" s="179">
        <f>SUMIFS('recurring2_based on steps'!$B3:$AY3,'recurring2_based on steps'!$B$1:$AY$1,X$1)+SUMIFS('changes2_based on steps'!$B3:$U3,'changes2_based on steps'!$B$1:$U$1,X$1)</f>
        <v>0</v>
      </c>
      <c r="Y3" s="179">
        <f>SUMIFS('recurring2_based on steps'!$B3:$AY3,'recurring2_based on steps'!$B$1:$AY$1,Y$1)+SUMIFS('changes2_based on steps'!$B3:$U3,'changes2_based on steps'!$B$1:$U$1,Y$1)</f>
        <v>0</v>
      </c>
      <c r="Z3" s="179">
        <f>SUMIFS('recurring2_based on steps'!$B3:$AY3,'recurring2_based on steps'!$B$1:$AY$1,Z$1)+SUMIFS('changes2_based on steps'!$B3:$U3,'changes2_based on steps'!$B$1:$U$1,Z$1)</f>
        <v>0</v>
      </c>
      <c r="AA3" s="179">
        <f>SUMIFS('recurring2_based on steps'!$B3:$AY3,'recurring2_based on steps'!$B$1:$AY$1,AA$1)+SUMIFS('changes2_based on steps'!$B3:$U3,'changes2_based on steps'!$B$1:$U$1,AA$1)</f>
        <v>0</v>
      </c>
      <c r="AB3" s="179">
        <f>SUMIFS('recurring2_based on steps'!$B3:$AY3,'recurring2_based on steps'!$B$1:$AY$1,AB$1)+SUMIFS('changes2_based on steps'!$B3:$U3,'changes2_based on steps'!$B$1:$U$1,AB$1)</f>
        <v>0</v>
      </c>
      <c r="AC3" s="179">
        <f>SUMIFS('recurring2_based on steps'!$B3:$AY3,'recurring2_based on steps'!$B$1:$AY$1,AC$1)+SUMIFS('changes2_based on steps'!$B3:$U3,'changes2_based on steps'!$B$1:$U$1,AC$1)</f>
        <v>0</v>
      </c>
      <c r="AD3" s="179">
        <f>SUMIFS('recurring2_based on steps'!$B3:$AY3,'recurring2_based on steps'!$B$1:$AY$1,AD$1)+SUMIFS('changes2_based on steps'!$B3:$U3,'changes2_based on steps'!$B$1:$U$1,AD$1)</f>
        <v>0</v>
      </c>
      <c r="AE3" s="179">
        <f>SUMIFS('recurring2_based on steps'!$B3:$AY3,'recurring2_based on steps'!$B$1:$AY$1,AE$1)+SUMIFS('changes2_based on steps'!$B3:$U3,'changes2_based on steps'!$B$1:$U$1,AE$1)</f>
        <v>0</v>
      </c>
      <c r="AF3" s="179"/>
      <c r="AG3" s="179"/>
      <c r="AH3" s="179"/>
      <c r="AI3" s="179"/>
      <c r="AJ3" s="179"/>
      <c r="AK3" s="179"/>
      <c r="AL3" s="179"/>
      <c r="AM3" s="179"/>
    </row>
    <row r="4" spans="1:39" x14ac:dyDescent="0.2">
      <c r="A4" s="32">
        <f ca="1">A3+1</f>
        <v>45753</v>
      </c>
      <c r="B4" s="179">
        <f>SUMIFS('recurring2_based on steps'!$B4:$AY4,'recurring2_based on steps'!$B$1:$AY$1,B$1)+SUMIFS('changes2_based on steps'!$B4:$U4,'changes2_based on steps'!$B$1:$U$1,B$1)</f>
        <v>0</v>
      </c>
      <c r="C4" s="179">
        <f>SUMIFS('recurring2_based on steps'!$B4:$AY4,'recurring2_based on steps'!$B$1:$AY$1,C$1)+SUMIFS('changes2_based on steps'!$B4:$U4,'changes2_based on steps'!$B$1:$U$1,C$1)</f>
        <v>0</v>
      </c>
      <c r="D4" s="179">
        <f>SUMIFS('recurring2_based on steps'!$B4:$AY4,'recurring2_based on steps'!$B$1:$AY$1,D$1)+SUMIFS('changes2_based on steps'!$B4:$U4,'changes2_based on steps'!$B$1:$U$1,D$1)</f>
        <v>0</v>
      </c>
      <c r="E4" s="179">
        <f>SUMIFS('recurring2_based on steps'!$B4:$AY4,'recurring2_based on steps'!$B$1:$AY$1,E$1)+SUMIFS('changes2_based on steps'!$B4:$U4,'changes2_based on steps'!$B$1:$U$1,E$1)</f>
        <v>0</v>
      </c>
      <c r="F4" s="179">
        <f>SUMIFS('recurring2_based on steps'!$B4:$AY4,'recurring2_based on steps'!$B$1:$AY$1,F$1)+SUMIFS('changes2_based on steps'!$B4:$U4,'changes2_based on steps'!$B$1:$U$1,F$1)</f>
        <v>0</v>
      </c>
      <c r="G4" s="179">
        <f>SUMIFS('recurring2_based on steps'!$B4:$AY4,'recurring2_based on steps'!$B$1:$AY$1,G$1)+SUMIFS('changes2_based on steps'!$B4:$U4,'changes2_based on steps'!$B$1:$U$1,G$1)</f>
        <v>0</v>
      </c>
      <c r="H4" s="179">
        <f>SUMIFS('recurring2_based on steps'!$B4:$AY4,'recurring2_based on steps'!$B$1:$AY$1,H$1)+SUMIFS('changes2_based on steps'!$B4:$U4,'changes2_based on steps'!$B$1:$U$1,H$1)</f>
        <v>0</v>
      </c>
      <c r="I4" s="179">
        <f>SUMIFS('recurring2_based on steps'!$B4:$AY4,'recurring2_based on steps'!$B$1:$AY$1,I$1)+SUMIFS('changes2_based on steps'!$B4:$U4,'changes2_based on steps'!$B$1:$U$1,I$1)</f>
        <v>0</v>
      </c>
      <c r="J4" s="179">
        <f>SUMIFS('recurring2_based on steps'!$B4:$AY4,'recurring2_based on steps'!$B$1:$AY$1,J$1)+SUMIFS('changes2_based on steps'!$B4:$U4,'changes2_based on steps'!$B$1:$U$1,J$1)</f>
        <v>0</v>
      </c>
      <c r="K4" s="179">
        <f>SUMIFS('recurring2_based on steps'!$B4:$AY4,'recurring2_based on steps'!$B$1:$AY$1,K$1)+SUMIFS('changes2_based on steps'!$B4:$U4,'changes2_based on steps'!$B$1:$U$1,K$1)</f>
        <v>0</v>
      </c>
      <c r="L4" s="179">
        <f>SUMIFS('recurring2_based on steps'!$B4:$AY4,'recurring2_based on steps'!$B$1:$AY$1,L$1)+SUMIFS('changes2_based on steps'!$B4:$U4,'changes2_based on steps'!$B$1:$U$1,L$1)</f>
        <v>0</v>
      </c>
      <c r="M4" s="179">
        <f>SUMIFS('recurring2_based on steps'!$B4:$AY4,'recurring2_based on steps'!$B$1:$AY$1,M$1)+SUMIFS('changes2_based on steps'!$B4:$U4,'changes2_based on steps'!$B$1:$U$1,M$1)</f>
        <v>0</v>
      </c>
      <c r="N4" s="179">
        <f>SUMIFS('recurring2_based on steps'!$B4:$AY4,'recurring2_based on steps'!$B$1:$AY$1,N$1)+SUMIFS('changes2_based on steps'!$B4:$U4,'changes2_based on steps'!$B$1:$U$1,N$1)</f>
        <v>0</v>
      </c>
      <c r="O4" s="179">
        <f>SUMIFS('recurring2_based on steps'!$B4:$AY4,'recurring2_based on steps'!$B$1:$AY$1,O$1)+SUMIFS('changes2_based on steps'!$B4:$U4,'changes2_based on steps'!$B$1:$U$1,O$1)</f>
        <v>0</v>
      </c>
      <c r="P4" s="179">
        <f>SUMIFS('recurring2_based on steps'!$B4:$AY4,'recurring2_based on steps'!$B$1:$AY$1,P$1)+SUMIFS('changes2_based on steps'!$B4:$U4,'changes2_based on steps'!$B$1:$U$1,P$1)</f>
        <v>0</v>
      </c>
      <c r="Q4" s="179">
        <f>SUMIFS('recurring2_based on steps'!$B4:$AY4,'recurring2_based on steps'!$B$1:$AY$1,Q$1)+SUMIFS('changes2_based on steps'!$B4:$U4,'changes2_based on steps'!$B$1:$U$1,Q$1)</f>
        <v>0</v>
      </c>
      <c r="R4" s="179">
        <f>SUMIFS('recurring2_based on steps'!$B4:$AY4,'recurring2_based on steps'!$B$1:$AY$1,R$1)+SUMIFS('changes2_based on steps'!$B4:$U4,'changes2_based on steps'!$B$1:$U$1,R$1)</f>
        <v>0</v>
      </c>
      <c r="S4" s="179">
        <f>SUMIFS('recurring2_based on steps'!$B4:$AY4,'recurring2_based on steps'!$B$1:$AY$1,S$1)+SUMIFS('changes2_based on steps'!$B4:$U4,'changes2_based on steps'!$B$1:$U$1,S$1)</f>
        <v>0</v>
      </c>
      <c r="T4" s="179">
        <f>SUMIFS('recurring2_based on steps'!$B4:$AY4,'recurring2_based on steps'!$B$1:$AY$1,T$1)+SUMIFS('changes2_based on steps'!$B4:$U4,'changes2_based on steps'!$B$1:$U$1,T$1)</f>
        <v>0</v>
      </c>
      <c r="U4" s="179">
        <f>SUMIFS('recurring2_based on steps'!$B4:$AY4,'recurring2_based on steps'!$B$1:$AY$1,U$1)+SUMIFS('changes2_based on steps'!$B4:$U4,'changes2_based on steps'!$B$1:$U$1,U$1)</f>
        <v>0</v>
      </c>
      <c r="V4" s="179">
        <f>SUMIFS('recurring2_based on steps'!$B4:$AY4,'recurring2_based on steps'!$B$1:$AY$1,V$1)+SUMIFS('changes2_based on steps'!$B4:$U4,'changes2_based on steps'!$B$1:$U$1,V$1)</f>
        <v>0</v>
      </c>
      <c r="W4" s="179">
        <f>SUMIFS('recurring2_based on steps'!$B4:$AY4,'recurring2_based on steps'!$B$1:$AY$1,W$1)+SUMIFS('changes2_based on steps'!$B4:$U4,'changes2_based on steps'!$B$1:$U$1,W$1)</f>
        <v>0</v>
      </c>
      <c r="X4" s="179">
        <f>SUMIFS('recurring2_based on steps'!$B4:$AY4,'recurring2_based on steps'!$B$1:$AY$1,X$1)+SUMIFS('changes2_based on steps'!$B4:$U4,'changes2_based on steps'!$B$1:$U$1,X$1)</f>
        <v>0</v>
      </c>
      <c r="Y4" s="179">
        <f>SUMIFS('recurring2_based on steps'!$B4:$AY4,'recurring2_based on steps'!$B$1:$AY$1,Y$1)+SUMIFS('changes2_based on steps'!$B4:$U4,'changes2_based on steps'!$B$1:$U$1,Y$1)</f>
        <v>0</v>
      </c>
      <c r="Z4" s="179">
        <f>SUMIFS('recurring2_based on steps'!$B4:$AY4,'recurring2_based on steps'!$B$1:$AY$1,Z$1)+SUMIFS('changes2_based on steps'!$B4:$U4,'changes2_based on steps'!$B$1:$U$1,Z$1)</f>
        <v>0</v>
      </c>
      <c r="AA4" s="179">
        <f>SUMIFS('recurring2_based on steps'!$B4:$AY4,'recurring2_based on steps'!$B$1:$AY$1,AA$1)+SUMIFS('changes2_based on steps'!$B4:$U4,'changes2_based on steps'!$B$1:$U$1,AA$1)</f>
        <v>0</v>
      </c>
      <c r="AB4" s="179">
        <f>SUMIFS('recurring2_based on steps'!$B4:$AY4,'recurring2_based on steps'!$B$1:$AY$1,AB$1)+SUMIFS('changes2_based on steps'!$B4:$U4,'changes2_based on steps'!$B$1:$U$1,AB$1)</f>
        <v>0</v>
      </c>
      <c r="AC4" s="179">
        <f>SUMIFS('recurring2_based on steps'!$B4:$AY4,'recurring2_based on steps'!$B$1:$AY$1,AC$1)+SUMIFS('changes2_based on steps'!$B4:$U4,'changes2_based on steps'!$B$1:$U$1,AC$1)</f>
        <v>0</v>
      </c>
      <c r="AD4" s="179">
        <f>SUMIFS('recurring2_based on steps'!$B4:$AY4,'recurring2_based on steps'!$B$1:$AY$1,AD$1)+SUMIFS('changes2_based on steps'!$B4:$U4,'changes2_based on steps'!$B$1:$U$1,AD$1)</f>
        <v>0</v>
      </c>
      <c r="AE4" s="179">
        <f>SUMIFS('recurring2_based on steps'!$B4:$AY4,'recurring2_based on steps'!$B$1:$AY$1,AE$1)+SUMIFS('changes2_based on steps'!$B4:$U4,'changes2_based on steps'!$B$1:$U$1,AE$1)</f>
        <v>0</v>
      </c>
      <c r="AF4" s="179"/>
      <c r="AG4" s="179"/>
      <c r="AH4" s="179"/>
      <c r="AI4" s="179"/>
      <c r="AJ4" s="179"/>
      <c r="AK4" s="179"/>
      <c r="AL4" s="179"/>
      <c r="AM4" s="179"/>
    </row>
    <row r="5" spans="1:39" x14ac:dyDescent="0.2">
      <c r="A5" s="32">
        <f t="shared" ref="A5:A68" ca="1" si="0">A4+1</f>
        <v>45754</v>
      </c>
      <c r="B5" s="179">
        <f>SUMIFS('recurring2_based on steps'!$B5:$AY5,'recurring2_based on steps'!$B$1:$AY$1,B$1)+SUMIFS('changes2_based on steps'!$B5:$U5,'changes2_based on steps'!$B$1:$U$1,B$1)</f>
        <v>0</v>
      </c>
      <c r="C5" s="179">
        <f>SUMIFS('recurring2_based on steps'!$B5:$AY5,'recurring2_based on steps'!$B$1:$AY$1,C$1)+SUMIFS('changes2_based on steps'!$B5:$U5,'changes2_based on steps'!$B$1:$U$1,C$1)</f>
        <v>0</v>
      </c>
      <c r="D5" s="179">
        <f>SUMIFS('recurring2_based on steps'!$B5:$AY5,'recurring2_based on steps'!$B$1:$AY$1,D$1)+SUMIFS('changes2_based on steps'!$B5:$U5,'changes2_based on steps'!$B$1:$U$1,D$1)</f>
        <v>0</v>
      </c>
      <c r="E5" s="179">
        <f>SUMIFS('recurring2_based on steps'!$B5:$AY5,'recurring2_based on steps'!$B$1:$AY$1,E$1)+SUMIFS('changes2_based on steps'!$B5:$U5,'changes2_based on steps'!$B$1:$U$1,E$1)</f>
        <v>0</v>
      </c>
      <c r="F5" s="179">
        <f>SUMIFS('recurring2_based on steps'!$B5:$AY5,'recurring2_based on steps'!$B$1:$AY$1,F$1)+SUMIFS('changes2_based on steps'!$B5:$U5,'changes2_based on steps'!$B$1:$U$1,F$1)</f>
        <v>0</v>
      </c>
      <c r="G5" s="179">
        <f>SUMIFS('recurring2_based on steps'!$B5:$AY5,'recurring2_based on steps'!$B$1:$AY$1,G$1)+SUMIFS('changes2_based on steps'!$B5:$U5,'changes2_based on steps'!$B$1:$U$1,G$1)</f>
        <v>0</v>
      </c>
      <c r="H5" s="179">
        <f>SUMIFS('recurring2_based on steps'!$B5:$AY5,'recurring2_based on steps'!$B$1:$AY$1,H$1)+SUMIFS('changes2_based on steps'!$B5:$U5,'changes2_based on steps'!$B$1:$U$1,H$1)</f>
        <v>0</v>
      </c>
      <c r="I5" s="179">
        <f>SUMIFS('recurring2_based on steps'!$B5:$AY5,'recurring2_based on steps'!$B$1:$AY$1,I$1)+SUMIFS('changes2_based on steps'!$B5:$U5,'changes2_based on steps'!$B$1:$U$1,I$1)</f>
        <v>0</v>
      </c>
      <c r="J5" s="179">
        <f>SUMIFS('recurring2_based on steps'!$B5:$AY5,'recurring2_based on steps'!$B$1:$AY$1,J$1)+SUMIFS('changes2_based on steps'!$B5:$U5,'changes2_based on steps'!$B$1:$U$1,J$1)</f>
        <v>0</v>
      </c>
      <c r="K5" s="179">
        <f>SUMIFS('recurring2_based on steps'!$B5:$AY5,'recurring2_based on steps'!$B$1:$AY$1,K$1)+SUMIFS('changes2_based on steps'!$B5:$U5,'changes2_based on steps'!$B$1:$U$1,K$1)</f>
        <v>0</v>
      </c>
      <c r="L5" s="179">
        <f>SUMIFS('recurring2_based on steps'!$B5:$AY5,'recurring2_based on steps'!$B$1:$AY$1,L$1)+SUMIFS('changes2_based on steps'!$B5:$U5,'changes2_based on steps'!$B$1:$U$1,L$1)</f>
        <v>0</v>
      </c>
      <c r="M5" s="179">
        <f>SUMIFS('recurring2_based on steps'!$B5:$AY5,'recurring2_based on steps'!$B$1:$AY$1,M$1)+SUMIFS('changes2_based on steps'!$B5:$U5,'changes2_based on steps'!$B$1:$U$1,M$1)</f>
        <v>0</v>
      </c>
      <c r="N5" s="179">
        <f>SUMIFS('recurring2_based on steps'!$B5:$AY5,'recurring2_based on steps'!$B$1:$AY$1,N$1)+SUMIFS('changes2_based on steps'!$B5:$U5,'changes2_based on steps'!$B$1:$U$1,N$1)</f>
        <v>0</v>
      </c>
      <c r="O5" s="179">
        <f>SUMIFS('recurring2_based on steps'!$B5:$AY5,'recurring2_based on steps'!$B$1:$AY$1,O$1)+SUMIFS('changes2_based on steps'!$B5:$U5,'changes2_based on steps'!$B$1:$U$1,O$1)</f>
        <v>0</v>
      </c>
      <c r="P5" s="179">
        <f>SUMIFS('recurring2_based on steps'!$B5:$AY5,'recurring2_based on steps'!$B$1:$AY$1,P$1)+SUMIFS('changes2_based on steps'!$B5:$U5,'changes2_based on steps'!$B$1:$U$1,P$1)</f>
        <v>0</v>
      </c>
      <c r="Q5" s="179">
        <f>SUMIFS('recurring2_based on steps'!$B5:$AY5,'recurring2_based on steps'!$B$1:$AY$1,Q$1)+SUMIFS('changes2_based on steps'!$B5:$U5,'changes2_based on steps'!$B$1:$U$1,Q$1)</f>
        <v>0</v>
      </c>
      <c r="R5" s="179">
        <f>SUMIFS('recurring2_based on steps'!$B5:$AY5,'recurring2_based on steps'!$B$1:$AY$1,R$1)+SUMIFS('changes2_based on steps'!$B5:$U5,'changes2_based on steps'!$B$1:$U$1,R$1)</f>
        <v>0</v>
      </c>
      <c r="S5" s="179">
        <f>SUMIFS('recurring2_based on steps'!$B5:$AY5,'recurring2_based on steps'!$B$1:$AY$1,S$1)+SUMIFS('changes2_based on steps'!$B5:$U5,'changes2_based on steps'!$B$1:$U$1,S$1)</f>
        <v>0</v>
      </c>
      <c r="T5" s="179">
        <f>SUMIFS('recurring2_based on steps'!$B5:$AY5,'recurring2_based on steps'!$B$1:$AY$1,T$1)+SUMIFS('changes2_based on steps'!$B5:$U5,'changes2_based on steps'!$B$1:$U$1,T$1)</f>
        <v>0</v>
      </c>
      <c r="U5" s="179">
        <f>SUMIFS('recurring2_based on steps'!$B5:$AY5,'recurring2_based on steps'!$B$1:$AY$1,U$1)+SUMIFS('changes2_based on steps'!$B5:$U5,'changes2_based on steps'!$B$1:$U$1,U$1)</f>
        <v>0</v>
      </c>
      <c r="V5" s="179">
        <f>SUMIFS('recurring2_based on steps'!$B5:$AY5,'recurring2_based on steps'!$B$1:$AY$1,V$1)+SUMIFS('changes2_based on steps'!$B5:$U5,'changes2_based on steps'!$B$1:$U$1,V$1)</f>
        <v>0</v>
      </c>
      <c r="W5" s="179">
        <f>SUMIFS('recurring2_based on steps'!$B5:$AY5,'recurring2_based on steps'!$B$1:$AY$1,W$1)+SUMIFS('changes2_based on steps'!$B5:$U5,'changes2_based on steps'!$B$1:$U$1,W$1)</f>
        <v>0</v>
      </c>
      <c r="X5" s="179">
        <f>SUMIFS('recurring2_based on steps'!$B5:$AY5,'recurring2_based on steps'!$B$1:$AY$1,X$1)+SUMIFS('changes2_based on steps'!$B5:$U5,'changes2_based on steps'!$B$1:$U$1,X$1)</f>
        <v>0</v>
      </c>
      <c r="Y5" s="179">
        <f>SUMIFS('recurring2_based on steps'!$B5:$AY5,'recurring2_based on steps'!$B$1:$AY$1,Y$1)+SUMIFS('changes2_based on steps'!$B5:$U5,'changes2_based on steps'!$B$1:$U$1,Y$1)</f>
        <v>0</v>
      </c>
      <c r="Z5" s="179">
        <f>SUMIFS('recurring2_based on steps'!$B5:$AY5,'recurring2_based on steps'!$B$1:$AY$1,Z$1)+SUMIFS('changes2_based on steps'!$B5:$U5,'changes2_based on steps'!$B$1:$U$1,Z$1)</f>
        <v>0</v>
      </c>
      <c r="AA5" s="179">
        <f>SUMIFS('recurring2_based on steps'!$B5:$AY5,'recurring2_based on steps'!$B$1:$AY$1,AA$1)+SUMIFS('changes2_based on steps'!$B5:$U5,'changes2_based on steps'!$B$1:$U$1,AA$1)</f>
        <v>0</v>
      </c>
      <c r="AB5" s="179">
        <f>SUMIFS('recurring2_based on steps'!$B5:$AY5,'recurring2_based on steps'!$B$1:$AY$1,AB$1)+SUMIFS('changes2_based on steps'!$B5:$U5,'changes2_based on steps'!$B$1:$U$1,AB$1)</f>
        <v>0</v>
      </c>
      <c r="AC5" s="179">
        <f>SUMIFS('recurring2_based on steps'!$B5:$AY5,'recurring2_based on steps'!$B$1:$AY$1,AC$1)+SUMIFS('changes2_based on steps'!$B5:$U5,'changes2_based on steps'!$B$1:$U$1,AC$1)</f>
        <v>0</v>
      </c>
      <c r="AD5" s="179">
        <f>SUMIFS('recurring2_based on steps'!$B5:$AY5,'recurring2_based on steps'!$B$1:$AY$1,AD$1)+SUMIFS('changes2_based on steps'!$B5:$U5,'changes2_based on steps'!$B$1:$U$1,AD$1)</f>
        <v>0</v>
      </c>
      <c r="AE5" s="179">
        <f>SUMIFS('recurring2_based on steps'!$B5:$AY5,'recurring2_based on steps'!$B$1:$AY$1,AE$1)+SUMIFS('changes2_based on steps'!$B5:$U5,'changes2_based on steps'!$B$1:$U$1,AE$1)</f>
        <v>0</v>
      </c>
      <c r="AF5" s="179"/>
      <c r="AG5" s="179"/>
      <c r="AH5" s="179"/>
      <c r="AI5" s="179"/>
      <c r="AJ5" s="179"/>
      <c r="AK5" s="179"/>
      <c r="AL5" s="179"/>
      <c r="AM5" s="179"/>
    </row>
    <row r="6" spans="1:39" x14ac:dyDescent="0.2">
      <c r="A6" s="32">
        <f t="shared" ca="1" si="0"/>
        <v>45755</v>
      </c>
      <c r="B6" s="179">
        <f>SUMIFS('recurring2_based on steps'!$B6:$AY6,'recurring2_based on steps'!$B$1:$AY$1,B$1)+SUMIFS('changes2_based on steps'!$B6:$U6,'changes2_based on steps'!$B$1:$U$1,B$1)</f>
        <v>0</v>
      </c>
      <c r="C6" s="179">
        <f>SUMIFS('recurring2_based on steps'!$B6:$AY6,'recurring2_based on steps'!$B$1:$AY$1,C$1)+SUMIFS('changes2_based on steps'!$B6:$U6,'changes2_based on steps'!$B$1:$U$1,C$1)</f>
        <v>0</v>
      </c>
      <c r="D6" s="179">
        <f>SUMIFS('recurring2_based on steps'!$B6:$AY6,'recurring2_based on steps'!$B$1:$AY$1,D$1)+SUMIFS('changes2_based on steps'!$B6:$U6,'changes2_based on steps'!$B$1:$U$1,D$1)</f>
        <v>0</v>
      </c>
      <c r="E6" s="179">
        <f>SUMIFS('recurring2_based on steps'!$B6:$AY6,'recurring2_based on steps'!$B$1:$AY$1,E$1)+SUMIFS('changes2_based on steps'!$B6:$U6,'changes2_based on steps'!$B$1:$U$1,E$1)</f>
        <v>0</v>
      </c>
      <c r="F6" s="179">
        <f>SUMIFS('recurring2_based on steps'!$B6:$AY6,'recurring2_based on steps'!$B$1:$AY$1,F$1)+SUMIFS('changes2_based on steps'!$B6:$U6,'changes2_based on steps'!$B$1:$U$1,F$1)</f>
        <v>0</v>
      </c>
      <c r="G6" s="179">
        <f>SUMIFS('recurring2_based on steps'!$B6:$AY6,'recurring2_based on steps'!$B$1:$AY$1,G$1)+SUMIFS('changes2_based on steps'!$B6:$U6,'changes2_based on steps'!$B$1:$U$1,G$1)</f>
        <v>0</v>
      </c>
      <c r="H6" s="179">
        <f>SUMIFS('recurring2_based on steps'!$B6:$AY6,'recurring2_based on steps'!$B$1:$AY$1,H$1)+SUMIFS('changes2_based on steps'!$B6:$U6,'changes2_based on steps'!$B$1:$U$1,H$1)</f>
        <v>0</v>
      </c>
      <c r="I6" s="179">
        <f>SUMIFS('recurring2_based on steps'!$B6:$AY6,'recurring2_based on steps'!$B$1:$AY$1,I$1)+SUMIFS('changes2_based on steps'!$B6:$U6,'changes2_based on steps'!$B$1:$U$1,I$1)</f>
        <v>0</v>
      </c>
      <c r="J6" s="179">
        <f>SUMIFS('recurring2_based on steps'!$B6:$AY6,'recurring2_based on steps'!$B$1:$AY$1,J$1)+SUMIFS('changes2_based on steps'!$B6:$U6,'changes2_based on steps'!$B$1:$U$1,J$1)</f>
        <v>0</v>
      </c>
      <c r="K6" s="179">
        <f>SUMIFS('recurring2_based on steps'!$B6:$AY6,'recurring2_based on steps'!$B$1:$AY$1,K$1)+SUMIFS('changes2_based on steps'!$B6:$U6,'changes2_based on steps'!$B$1:$U$1,K$1)</f>
        <v>0</v>
      </c>
      <c r="L6" s="179">
        <f>SUMIFS('recurring2_based on steps'!$B6:$AY6,'recurring2_based on steps'!$B$1:$AY$1,L$1)+SUMIFS('changes2_based on steps'!$B6:$U6,'changes2_based on steps'!$B$1:$U$1,L$1)</f>
        <v>0</v>
      </c>
      <c r="M6" s="179">
        <f>SUMIFS('recurring2_based on steps'!$B6:$AY6,'recurring2_based on steps'!$B$1:$AY$1,M$1)+SUMIFS('changes2_based on steps'!$B6:$U6,'changes2_based on steps'!$B$1:$U$1,M$1)</f>
        <v>0</v>
      </c>
      <c r="N6" s="179">
        <f>SUMIFS('recurring2_based on steps'!$B6:$AY6,'recurring2_based on steps'!$B$1:$AY$1,N$1)+SUMIFS('changes2_based on steps'!$B6:$U6,'changes2_based on steps'!$B$1:$U$1,N$1)</f>
        <v>0</v>
      </c>
      <c r="O6" s="179">
        <f>SUMIFS('recurring2_based on steps'!$B6:$AY6,'recurring2_based on steps'!$B$1:$AY$1,O$1)+SUMIFS('changes2_based on steps'!$B6:$U6,'changes2_based on steps'!$B$1:$U$1,O$1)</f>
        <v>0</v>
      </c>
      <c r="P6" s="179">
        <f>SUMIFS('recurring2_based on steps'!$B6:$AY6,'recurring2_based on steps'!$B$1:$AY$1,P$1)+SUMIFS('changes2_based on steps'!$B6:$U6,'changes2_based on steps'!$B$1:$U$1,P$1)</f>
        <v>0</v>
      </c>
      <c r="Q6" s="179">
        <f>SUMIFS('recurring2_based on steps'!$B6:$AY6,'recurring2_based on steps'!$B$1:$AY$1,Q$1)+SUMIFS('changes2_based on steps'!$B6:$U6,'changes2_based on steps'!$B$1:$U$1,Q$1)</f>
        <v>0</v>
      </c>
      <c r="R6" s="179">
        <f>SUMIFS('recurring2_based on steps'!$B6:$AY6,'recurring2_based on steps'!$B$1:$AY$1,R$1)+SUMIFS('changes2_based on steps'!$B6:$U6,'changes2_based on steps'!$B$1:$U$1,R$1)</f>
        <v>0</v>
      </c>
      <c r="S6" s="179">
        <f>SUMIFS('recurring2_based on steps'!$B6:$AY6,'recurring2_based on steps'!$B$1:$AY$1,S$1)+SUMIFS('changes2_based on steps'!$B6:$U6,'changes2_based on steps'!$B$1:$U$1,S$1)</f>
        <v>0</v>
      </c>
      <c r="T6" s="179">
        <f>SUMIFS('recurring2_based on steps'!$B6:$AY6,'recurring2_based on steps'!$B$1:$AY$1,T$1)+SUMIFS('changes2_based on steps'!$B6:$U6,'changes2_based on steps'!$B$1:$U$1,T$1)</f>
        <v>0</v>
      </c>
      <c r="U6" s="179">
        <f>SUMIFS('recurring2_based on steps'!$B6:$AY6,'recurring2_based on steps'!$B$1:$AY$1,U$1)+SUMIFS('changes2_based on steps'!$B6:$U6,'changes2_based on steps'!$B$1:$U$1,U$1)</f>
        <v>0</v>
      </c>
      <c r="V6" s="179">
        <f>SUMIFS('recurring2_based on steps'!$B6:$AY6,'recurring2_based on steps'!$B$1:$AY$1,V$1)+SUMIFS('changes2_based on steps'!$B6:$U6,'changes2_based on steps'!$B$1:$U$1,V$1)</f>
        <v>0</v>
      </c>
      <c r="W6" s="179">
        <f>SUMIFS('recurring2_based on steps'!$B6:$AY6,'recurring2_based on steps'!$B$1:$AY$1,W$1)+SUMIFS('changes2_based on steps'!$B6:$U6,'changes2_based on steps'!$B$1:$U$1,W$1)</f>
        <v>0</v>
      </c>
      <c r="X6" s="179">
        <f>SUMIFS('recurring2_based on steps'!$B6:$AY6,'recurring2_based on steps'!$B$1:$AY$1,X$1)+SUMIFS('changes2_based on steps'!$B6:$U6,'changes2_based on steps'!$B$1:$U$1,X$1)</f>
        <v>0</v>
      </c>
      <c r="Y6" s="179">
        <f>SUMIFS('recurring2_based on steps'!$B6:$AY6,'recurring2_based on steps'!$B$1:$AY$1,Y$1)+SUMIFS('changes2_based on steps'!$B6:$U6,'changes2_based on steps'!$B$1:$U$1,Y$1)</f>
        <v>0</v>
      </c>
      <c r="Z6" s="179">
        <f>SUMIFS('recurring2_based on steps'!$B6:$AY6,'recurring2_based on steps'!$B$1:$AY$1,Z$1)+SUMIFS('changes2_based on steps'!$B6:$U6,'changes2_based on steps'!$B$1:$U$1,Z$1)</f>
        <v>0</v>
      </c>
      <c r="AA6" s="179">
        <f>SUMIFS('recurring2_based on steps'!$B6:$AY6,'recurring2_based on steps'!$B$1:$AY$1,AA$1)+SUMIFS('changes2_based on steps'!$B6:$U6,'changes2_based on steps'!$B$1:$U$1,AA$1)</f>
        <v>0</v>
      </c>
      <c r="AB6" s="179">
        <f>SUMIFS('recurring2_based on steps'!$B6:$AY6,'recurring2_based on steps'!$B$1:$AY$1,AB$1)+SUMIFS('changes2_based on steps'!$B6:$U6,'changes2_based on steps'!$B$1:$U$1,AB$1)</f>
        <v>0</v>
      </c>
      <c r="AC6" s="179">
        <f>SUMIFS('recurring2_based on steps'!$B6:$AY6,'recurring2_based on steps'!$B$1:$AY$1,AC$1)+SUMIFS('changes2_based on steps'!$B6:$U6,'changes2_based on steps'!$B$1:$U$1,AC$1)</f>
        <v>0</v>
      </c>
      <c r="AD6" s="179">
        <f>SUMIFS('recurring2_based on steps'!$B6:$AY6,'recurring2_based on steps'!$B$1:$AY$1,AD$1)+SUMIFS('changes2_based on steps'!$B6:$U6,'changes2_based on steps'!$B$1:$U$1,AD$1)</f>
        <v>0</v>
      </c>
      <c r="AE6" s="179">
        <f>SUMIFS('recurring2_based on steps'!$B6:$AY6,'recurring2_based on steps'!$B$1:$AY$1,AE$1)+SUMIFS('changes2_based on steps'!$B6:$U6,'changes2_based on steps'!$B$1:$U$1,AE$1)</f>
        <v>0</v>
      </c>
      <c r="AF6" s="179"/>
      <c r="AG6" s="179"/>
      <c r="AH6" s="179"/>
      <c r="AI6" s="179"/>
      <c r="AJ6" s="179"/>
      <c r="AK6" s="179"/>
      <c r="AL6" s="179"/>
      <c r="AM6" s="179"/>
    </row>
    <row r="7" spans="1:39" x14ac:dyDescent="0.2">
      <c r="A7" s="32">
        <f t="shared" ca="1" si="0"/>
        <v>45756</v>
      </c>
      <c r="B7" s="179">
        <f>SUMIFS('recurring2_based on steps'!$B7:$AY7,'recurring2_based on steps'!$B$1:$AY$1,B$1)+SUMIFS('changes2_based on steps'!$B7:$U7,'changes2_based on steps'!$B$1:$U$1,B$1)</f>
        <v>0</v>
      </c>
      <c r="C7" s="179">
        <f>SUMIFS('recurring2_based on steps'!$B7:$AY7,'recurring2_based on steps'!$B$1:$AY$1,C$1)+SUMIFS('changes2_based on steps'!$B7:$U7,'changes2_based on steps'!$B$1:$U$1,C$1)</f>
        <v>0</v>
      </c>
      <c r="D7" s="179">
        <f>SUMIFS('recurring2_based on steps'!$B7:$AY7,'recurring2_based on steps'!$B$1:$AY$1,D$1)+SUMIFS('changes2_based on steps'!$B7:$U7,'changes2_based on steps'!$B$1:$U$1,D$1)</f>
        <v>0</v>
      </c>
      <c r="E7" s="179">
        <f>SUMIFS('recurring2_based on steps'!$B7:$AY7,'recurring2_based on steps'!$B$1:$AY$1,E$1)+SUMIFS('changes2_based on steps'!$B7:$U7,'changes2_based on steps'!$B$1:$U$1,E$1)</f>
        <v>0</v>
      </c>
      <c r="F7" s="179">
        <f>SUMIFS('recurring2_based on steps'!$B7:$AY7,'recurring2_based on steps'!$B$1:$AY$1,F$1)+SUMIFS('changes2_based on steps'!$B7:$U7,'changes2_based on steps'!$B$1:$U$1,F$1)</f>
        <v>0</v>
      </c>
      <c r="G7" s="179">
        <f>SUMIFS('recurring2_based on steps'!$B7:$AY7,'recurring2_based on steps'!$B$1:$AY$1,G$1)+SUMIFS('changes2_based on steps'!$B7:$U7,'changes2_based on steps'!$B$1:$U$1,G$1)</f>
        <v>0</v>
      </c>
      <c r="H7" s="179">
        <f>SUMIFS('recurring2_based on steps'!$B7:$AY7,'recurring2_based on steps'!$B$1:$AY$1,H$1)+SUMIFS('changes2_based on steps'!$B7:$U7,'changes2_based on steps'!$B$1:$U$1,H$1)</f>
        <v>0</v>
      </c>
      <c r="I7" s="179">
        <f>SUMIFS('recurring2_based on steps'!$B7:$AY7,'recurring2_based on steps'!$B$1:$AY$1,I$1)+SUMIFS('changes2_based on steps'!$B7:$U7,'changes2_based on steps'!$B$1:$U$1,I$1)</f>
        <v>0</v>
      </c>
      <c r="J7" s="179">
        <f>SUMIFS('recurring2_based on steps'!$B7:$AY7,'recurring2_based on steps'!$B$1:$AY$1,J$1)+SUMIFS('changes2_based on steps'!$B7:$U7,'changes2_based on steps'!$B$1:$U$1,J$1)</f>
        <v>0</v>
      </c>
      <c r="K7" s="179">
        <f>SUMIFS('recurring2_based on steps'!$B7:$AY7,'recurring2_based on steps'!$B$1:$AY$1,K$1)+SUMIFS('changes2_based on steps'!$B7:$U7,'changes2_based on steps'!$B$1:$U$1,K$1)</f>
        <v>0</v>
      </c>
      <c r="L7" s="179">
        <f>SUMIFS('recurring2_based on steps'!$B7:$AY7,'recurring2_based on steps'!$B$1:$AY$1,L$1)+SUMIFS('changes2_based on steps'!$B7:$U7,'changes2_based on steps'!$B$1:$U$1,L$1)</f>
        <v>0</v>
      </c>
      <c r="M7" s="179">
        <f>SUMIFS('recurring2_based on steps'!$B7:$AY7,'recurring2_based on steps'!$B$1:$AY$1,M$1)+SUMIFS('changes2_based on steps'!$B7:$U7,'changes2_based on steps'!$B$1:$U$1,M$1)</f>
        <v>0</v>
      </c>
      <c r="N7" s="179">
        <f>SUMIFS('recurring2_based on steps'!$B7:$AY7,'recurring2_based on steps'!$B$1:$AY$1,N$1)+SUMIFS('changes2_based on steps'!$B7:$U7,'changes2_based on steps'!$B$1:$U$1,N$1)</f>
        <v>0</v>
      </c>
      <c r="O7" s="179">
        <f>SUMIFS('recurring2_based on steps'!$B7:$AY7,'recurring2_based on steps'!$B$1:$AY$1,O$1)+SUMIFS('changes2_based on steps'!$B7:$U7,'changes2_based on steps'!$B$1:$U$1,O$1)</f>
        <v>0</v>
      </c>
      <c r="P7" s="179">
        <f>SUMIFS('recurring2_based on steps'!$B7:$AY7,'recurring2_based on steps'!$B$1:$AY$1,P$1)+SUMIFS('changes2_based on steps'!$B7:$U7,'changes2_based on steps'!$B$1:$U$1,P$1)</f>
        <v>0</v>
      </c>
      <c r="Q7" s="179">
        <f>SUMIFS('recurring2_based on steps'!$B7:$AY7,'recurring2_based on steps'!$B$1:$AY$1,Q$1)+SUMIFS('changes2_based on steps'!$B7:$U7,'changes2_based on steps'!$B$1:$U$1,Q$1)</f>
        <v>0</v>
      </c>
      <c r="R7" s="179">
        <f>SUMIFS('recurring2_based on steps'!$B7:$AY7,'recurring2_based on steps'!$B$1:$AY$1,R$1)+SUMIFS('changes2_based on steps'!$B7:$U7,'changes2_based on steps'!$B$1:$U$1,R$1)</f>
        <v>0</v>
      </c>
      <c r="S7" s="179">
        <f>SUMIFS('recurring2_based on steps'!$B7:$AY7,'recurring2_based on steps'!$B$1:$AY$1,S$1)+SUMIFS('changes2_based on steps'!$B7:$U7,'changes2_based on steps'!$B$1:$U$1,S$1)</f>
        <v>0</v>
      </c>
      <c r="T7" s="179">
        <f>SUMIFS('recurring2_based on steps'!$B7:$AY7,'recurring2_based on steps'!$B$1:$AY$1,T$1)+SUMIFS('changes2_based on steps'!$B7:$U7,'changes2_based on steps'!$B$1:$U$1,T$1)</f>
        <v>0</v>
      </c>
      <c r="U7" s="179">
        <f>SUMIFS('recurring2_based on steps'!$B7:$AY7,'recurring2_based on steps'!$B$1:$AY$1,U$1)+SUMIFS('changes2_based on steps'!$B7:$U7,'changes2_based on steps'!$B$1:$U$1,U$1)</f>
        <v>0</v>
      </c>
      <c r="V7" s="179">
        <f>SUMIFS('recurring2_based on steps'!$B7:$AY7,'recurring2_based on steps'!$B$1:$AY$1,V$1)+SUMIFS('changes2_based on steps'!$B7:$U7,'changes2_based on steps'!$B$1:$U$1,V$1)</f>
        <v>0</v>
      </c>
      <c r="W7" s="179">
        <f>SUMIFS('recurring2_based on steps'!$B7:$AY7,'recurring2_based on steps'!$B$1:$AY$1,W$1)+SUMIFS('changes2_based on steps'!$B7:$U7,'changes2_based on steps'!$B$1:$U$1,W$1)</f>
        <v>0</v>
      </c>
      <c r="X7" s="179">
        <f>SUMIFS('recurring2_based on steps'!$B7:$AY7,'recurring2_based on steps'!$B$1:$AY$1,X$1)+SUMIFS('changes2_based on steps'!$B7:$U7,'changes2_based on steps'!$B$1:$U$1,X$1)</f>
        <v>0</v>
      </c>
      <c r="Y7" s="179">
        <f>SUMIFS('recurring2_based on steps'!$B7:$AY7,'recurring2_based on steps'!$B$1:$AY$1,Y$1)+SUMIFS('changes2_based on steps'!$B7:$U7,'changes2_based on steps'!$B$1:$U$1,Y$1)</f>
        <v>0</v>
      </c>
      <c r="Z7" s="179">
        <f>SUMIFS('recurring2_based on steps'!$B7:$AY7,'recurring2_based on steps'!$B$1:$AY$1,Z$1)+SUMIFS('changes2_based on steps'!$B7:$U7,'changes2_based on steps'!$B$1:$U$1,Z$1)</f>
        <v>0</v>
      </c>
      <c r="AA7" s="179">
        <f>SUMIFS('recurring2_based on steps'!$B7:$AY7,'recurring2_based on steps'!$B$1:$AY$1,AA$1)+SUMIFS('changes2_based on steps'!$B7:$U7,'changes2_based on steps'!$B$1:$U$1,AA$1)</f>
        <v>0</v>
      </c>
      <c r="AB7" s="179">
        <f>SUMIFS('recurring2_based on steps'!$B7:$AY7,'recurring2_based on steps'!$B$1:$AY$1,AB$1)+SUMIFS('changes2_based on steps'!$B7:$U7,'changes2_based on steps'!$B$1:$U$1,AB$1)</f>
        <v>0</v>
      </c>
      <c r="AC7" s="179">
        <f>SUMIFS('recurring2_based on steps'!$B7:$AY7,'recurring2_based on steps'!$B$1:$AY$1,AC$1)+SUMIFS('changes2_based on steps'!$B7:$U7,'changes2_based on steps'!$B$1:$U$1,AC$1)</f>
        <v>0</v>
      </c>
      <c r="AD7" s="179">
        <f>SUMIFS('recurring2_based on steps'!$B7:$AY7,'recurring2_based on steps'!$B$1:$AY$1,AD$1)+SUMIFS('changes2_based on steps'!$B7:$U7,'changes2_based on steps'!$B$1:$U$1,AD$1)</f>
        <v>0</v>
      </c>
      <c r="AE7" s="179">
        <f>SUMIFS('recurring2_based on steps'!$B7:$AY7,'recurring2_based on steps'!$B$1:$AY$1,AE$1)+SUMIFS('changes2_based on steps'!$B7:$U7,'changes2_based on steps'!$B$1:$U$1,AE$1)</f>
        <v>0</v>
      </c>
      <c r="AF7" s="179"/>
      <c r="AG7" s="179"/>
      <c r="AH7" s="179"/>
      <c r="AI7" s="179"/>
      <c r="AJ7" s="179"/>
      <c r="AK7" s="179"/>
      <c r="AL7" s="179"/>
      <c r="AM7" s="179"/>
    </row>
    <row r="8" spans="1:39" x14ac:dyDescent="0.2">
      <c r="A8" s="32">
        <f t="shared" ca="1" si="0"/>
        <v>45757</v>
      </c>
      <c r="B8" s="179">
        <f>SUMIFS('recurring2_based on steps'!$B8:$AY8,'recurring2_based on steps'!$B$1:$AY$1,B$1)+SUMIFS('changes2_based on steps'!$B8:$U8,'changes2_based on steps'!$B$1:$U$1,B$1)</f>
        <v>0</v>
      </c>
      <c r="C8" s="179">
        <f>SUMIFS('recurring2_based on steps'!$B8:$AY8,'recurring2_based on steps'!$B$1:$AY$1,C$1)+SUMIFS('changes2_based on steps'!$B8:$U8,'changes2_based on steps'!$B$1:$U$1,C$1)</f>
        <v>0</v>
      </c>
      <c r="D8" s="179">
        <f>SUMIFS('recurring2_based on steps'!$B8:$AY8,'recurring2_based on steps'!$B$1:$AY$1,D$1)+SUMIFS('changes2_based on steps'!$B8:$U8,'changes2_based on steps'!$B$1:$U$1,D$1)</f>
        <v>0</v>
      </c>
      <c r="E8" s="179">
        <f>SUMIFS('recurring2_based on steps'!$B8:$AY8,'recurring2_based on steps'!$B$1:$AY$1,E$1)+SUMIFS('changes2_based on steps'!$B8:$U8,'changes2_based on steps'!$B$1:$U$1,E$1)</f>
        <v>0</v>
      </c>
      <c r="F8" s="179">
        <f>SUMIFS('recurring2_based on steps'!$B8:$AY8,'recurring2_based on steps'!$B$1:$AY$1,F$1)+SUMIFS('changes2_based on steps'!$B8:$U8,'changes2_based on steps'!$B$1:$U$1,F$1)</f>
        <v>0</v>
      </c>
      <c r="G8" s="179">
        <f>SUMIFS('recurring2_based on steps'!$B8:$AY8,'recurring2_based on steps'!$B$1:$AY$1,G$1)+SUMIFS('changes2_based on steps'!$B8:$U8,'changes2_based on steps'!$B$1:$U$1,G$1)</f>
        <v>0</v>
      </c>
      <c r="H8" s="179">
        <f>SUMIFS('recurring2_based on steps'!$B8:$AY8,'recurring2_based on steps'!$B$1:$AY$1,H$1)+SUMIFS('changes2_based on steps'!$B8:$U8,'changes2_based on steps'!$B$1:$U$1,H$1)</f>
        <v>0</v>
      </c>
      <c r="I8" s="179">
        <f>SUMIFS('recurring2_based on steps'!$B8:$AY8,'recurring2_based on steps'!$B$1:$AY$1,I$1)+SUMIFS('changes2_based on steps'!$B8:$U8,'changes2_based on steps'!$B$1:$U$1,I$1)</f>
        <v>0</v>
      </c>
      <c r="J8" s="179">
        <f>SUMIFS('recurring2_based on steps'!$B8:$AY8,'recurring2_based on steps'!$B$1:$AY$1,J$1)+SUMIFS('changes2_based on steps'!$B8:$U8,'changes2_based on steps'!$B$1:$U$1,J$1)</f>
        <v>0</v>
      </c>
      <c r="K8" s="179">
        <f>SUMIFS('recurring2_based on steps'!$B8:$AY8,'recurring2_based on steps'!$B$1:$AY$1,K$1)+SUMIFS('changes2_based on steps'!$B8:$U8,'changes2_based on steps'!$B$1:$U$1,K$1)</f>
        <v>0</v>
      </c>
      <c r="L8" s="179">
        <f>SUMIFS('recurring2_based on steps'!$B8:$AY8,'recurring2_based on steps'!$B$1:$AY$1,L$1)+SUMIFS('changes2_based on steps'!$B8:$U8,'changes2_based on steps'!$B$1:$U$1,L$1)</f>
        <v>0</v>
      </c>
      <c r="M8" s="179">
        <f>SUMIFS('recurring2_based on steps'!$B8:$AY8,'recurring2_based on steps'!$B$1:$AY$1,M$1)+SUMIFS('changes2_based on steps'!$B8:$U8,'changes2_based on steps'!$B$1:$U$1,M$1)</f>
        <v>0</v>
      </c>
      <c r="N8" s="179">
        <f>SUMIFS('recurring2_based on steps'!$B8:$AY8,'recurring2_based on steps'!$B$1:$AY$1,N$1)+SUMIFS('changes2_based on steps'!$B8:$U8,'changes2_based on steps'!$B$1:$U$1,N$1)</f>
        <v>0</v>
      </c>
      <c r="O8" s="179">
        <f>SUMIFS('recurring2_based on steps'!$B8:$AY8,'recurring2_based on steps'!$B$1:$AY$1,O$1)+SUMIFS('changes2_based on steps'!$B8:$U8,'changes2_based on steps'!$B$1:$U$1,O$1)</f>
        <v>0</v>
      </c>
      <c r="P8" s="179">
        <f>SUMIFS('recurring2_based on steps'!$B8:$AY8,'recurring2_based on steps'!$B$1:$AY$1,P$1)+SUMIFS('changes2_based on steps'!$B8:$U8,'changes2_based on steps'!$B$1:$U$1,P$1)</f>
        <v>0</v>
      </c>
      <c r="Q8" s="179">
        <f>SUMIFS('recurring2_based on steps'!$B8:$AY8,'recurring2_based on steps'!$B$1:$AY$1,Q$1)+SUMIFS('changes2_based on steps'!$B8:$U8,'changes2_based on steps'!$B$1:$U$1,Q$1)</f>
        <v>0</v>
      </c>
      <c r="R8" s="179">
        <f>SUMIFS('recurring2_based on steps'!$B8:$AY8,'recurring2_based on steps'!$B$1:$AY$1,R$1)+SUMIFS('changes2_based on steps'!$B8:$U8,'changes2_based on steps'!$B$1:$U$1,R$1)</f>
        <v>0</v>
      </c>
      <c r="S8" s="179">
        <f>SUMIFS('recurring2_based on steps'!$B8:$AY8,'recurring2_based on steps'!$B$1:$AY$1,S$1)+SUMIFS('changes2_based on steps'!$B8:$U8,'changes2_based on steps'!$B$1:$U$1,S$1)</f>
        <v>0</v>
      </c>
      <c r="T8" s="179">
        <f>SUMIFS('recurring2_based on steps'!$B8:$AY8,'recurring2_based on steps'!$B$1:$AY$1,T$1)+SUMIFS('changes2_based on steps'!$B8:$U8,'changes2_based on steps'!$B$1:$U$1,T$1)</f>
        <v>0</v>
      </c>
      <c r="U8" s="179">
        <f>SUMIFS('recurring2_based on steps'!$B8:$AY8,'recurring2_based on steps'!$B$1:$AY$1,U$1)+SUMIFS('changes2_based on steps'!$B8:$U8,'changes2_based on steps'!$B$1:$U$1,U$1)</f>
        <v>0</v>
      </c>
      <c r="V8" s="179">
        <f>SUMIFS('recurring2_based on steps'!$B8:$AY8,'recurring2_based on steps'!$B$1:$AY$1,V$1)+SUMIFS('changes2_based on steps'!$B8:$U8,'changes2_based on steps'!$B$1:$U$1,V$1)</f>
        <v>0</v>
      </c>
      <c r="W8" s="179">
        <f>SUMIFS('recurring2_based on steps'!$B8:$AY8,'recurring2_based on steps'!$B$1:$AY$1,W$1)+SUMIFS('changes2_based on steps'!$B8:$U8,'changes2_based on steps'!$B$1:$U$1,W$1)</f>
        <v>0</v>
      </c>
      <c r="X8" s="179">
        <f>SUMIFS('recurring2_based on steps'!$B8:$AY8,'recurring2_based on steps'!$B$1:$AY$1,X$1)+SUMIFS('changes2_based on steps'!$B8:$U8,'changes2_based on steps'!$B$1:$U$1,X$1)</f>
        <v>0</v>
      </c>
      <c r="Y8" s="179">
        <f>SUMIFS('recurring2_based on steps'!$B8:$AY8,'recurring2_based on steps'!$B$1:$AY$1,Y$1)+SUMIFS('changes2_based on steps'!$B8:$U8,'changes2_based on steps'!$B$1:$U$1,Y$1)</f>
        <v>0</v>
      </c>
      <c r="Z8" s="179">
        <f>SUMIFS('recurring2_based on steps'!$B8:$AY8,'recurring2_based on steps'!$B$1:$AY$1,Z$1)+SUMIFS('changes2_based on steps'!$B8:$U8,'changes2_based on steps'!$B$1:$U$1,Z$1)</f>
        <v>0</v>
      </c>
      <c r="AA8" s="179">
        <f>SUMIFS('recurring2_based on steps'!$B8:$AY8,'recurring2_based on steps'!$B$1:$AY$1,AA$1)+SUMIFS('changes2_based on steps'!$B8:$U8,'changes2_based on steps'!$B$1:$U$1,AA$1)</f>
        <v>0</v>
      </c>
      <c r="AB8" s="179">
        <f>SUMIFS('recurring2_based on steps'!$B8:$AY8,'recurring2_based on steps'!$B$1:$AY$1,AB$1)+SUMIFS('changes2_based on steps'!$B8:$U8,'changes2_based on steps'!$B$1:$U$1,AB$1)</f>
        <v>0</v>
      </c>
      <c r="AC8" s="179">
        <f>SUMIFS('recurring2_based on steps'!$B8:$AY8,'recurring2_based on steps'!$B$1:$AY$1,AC$1)+SUMIFS('changes2_based on steps'!$B8:$U8,'changes2_based on steps'!$B$1:$U$1,AC$1)</f>
        <v>0</v>
      </c>
      <c r="AD8" s="179">
        <f>SUMIFS('recurring2_based on steps'!$B8:$AY8,'recurring2_based on steps'!$B$1:$AY$1,AD$1)+SUMIFS('changes2_based on steps'!$B8:$U8,'changes2_based on steps'!$B$1:$U$1,AD$1)</f>
        <v>0</v>
      </c>
      <c r="AE8" s="179">
        <f>SUMIFS('recurring2_based on steps'!$B8:$AY8,'recurring2_based on steps'!$B$1:$AY$1,AE$1)+SUMIFS('changes2_based on steps'!$B8:$U8,'changes2_based on steps'!$B$1:$U$1,AE$1)</f>
        <v>0</v>
      </c>
      <c r="AF8" s="179"/>
      <c r="AG8" s="179"/>
      <c r="AH8" s="179"/>
      <c r="AI8" s="179"/>
      <c r="AJ8" s="179"/>
      <c r="AK8" s="179"/>
      <c r="AL8" s="179"/>
      <c r="AM8" s="179"/>
    </row>
    <row r="9" spans="1:39" x14ac:dyDescent="0.2">
      <c r="A9" s="32">
        <f t="shared" ca="1" si="0"/>
        <v>45758</v>
      </c>
      <c r="B9" s="179">
        <f>SUMIFS('recurring2_based on steps'!$B9:$AY9,'recurring2_based on steps'!$B$1:$AY$1,B$1)+SUMIFS('changes2_based on steps'!$B9:$U9,'changes2_based on steps'!$B$1:$U$1,B$1)</f>
        <v>0</v>
      </c>
      <c r="C9" s="179">
        <f>SUMIFS('recurring2_based on steps'!$B9:$AY9,'recurring2_based on steps'!$B$1:$AY$1,C$1)+SUMIFS('changes2_based on steps'!$B9:$U9,'changes2_based on steps'!$B$1:$U$1,C$1)</f>
        <v>0</v>
      </c>
      <c r="D9" s="179">
        <f>SUMIFS('recurring2_based on steps'!$B9:$AY9,'recurring2_based on steps'!$B$1:$AY$1,D$1)+SUMIFS('changes2_based on steps'!$B9:$U9,'changes2_based on steps'!$B$1:$U$1,D$1)</f>
        <v>0</v>
      </c>
      <c r="E9" s="179">
        <f>SUMIFS('recurring2_based on steps'!$B9:$AY9,'recurring2_based on steps'!$B$1:$AY$1,E$1)+SUMIFS('changes2_based on steps'!$B9:$U9,'changes2_based on steps'!$B$1:$U$1,E$1)</f>
        <v>0</v>
      </c>
      <c r="F9" s="179">
        <f>SUMIFS('recurring2_based on steps'!$B9:$AY9,'recurring2_based on steps'!$B$1:$AY$1,F$1)+SUMIFS('changes2_based on steps'!$B9:$U9,'changes2_based on steps'!$B$1:$U$1,F$1)</f>
        <v>0</v>
      </c>
      <c r="G9" s="179">
        <f>SUMIFS('recurring2_based on steps'!$B9:$AY9,'recurring2_based on steps'!$B$1:$AY$1,G$1)+SUMIFS('changes2_based on steps'!$B9:$U9,'changes2_based on steps'!$B$1:$U$1,G$1)</f>
        <v>0</v>
      </c>
      <c r="H9" s="179">
        <f>SUMIFS('recurring2_based on steps'!$B9:$AY9,'recurring2_based on steps'!$B$1:$AY$1,H$1)+SUMIFS('changes2_based on steps'!$B9:$U9,'changes2_based on steps'!$B$1:$U$1,H$1)</f>
        <v>0</v>
      </c>
      <c r="I9" s="179">
        <f>SUMIFS('recurring2_based on steps'!$B9:$AY9,'recurring2_based on steps'!$B$1:$AY$1,I$1)+SUMIFS('changes2_based on steps'!$B9:$U9,'changes2_based on steps'!$B$1:$U$1,I$1)</f>
        <v>0</v>
      </c>
      <c r="J9" s="179">
        <f>SUMIFS('recurring2_based on steps'!$B9:$AY9,'recurring2_based on steps'!$B$1:$AY$1,J$1)+SUMIFS('changes2_based on steps'!$B9:$U9,'changes2_based on steps'!$B$1:$U$1,J$1)</f>
        <v>0</v>
      </c>
      <c r="K9" s="179">
        <f>SUMIFS('recurring2_based on steps'!$B9:$AY9,'recurring2_based on steps'!$B$1:$AY$1,K$1)+SUMIFS('changes2_based on steps'!$B9:$U9,'changes2_based on steps'!$B$1:$U$1,K$1)</f>
        <v>0</v>
      </c>
      <c r="L9" s="179">
        <f>SUMIFS('recurring2_based on steps'!$B9:$AY9,'recurring2_based on steps'!$B$1:$AY$1,L$1)+SUMIFS('changes2_based on steps'!$B9:$U9,'changes2_based on steps'!$B$1:$U$1,L$1)</f>
        <v>0</v>
      </c>
      <c r="M9" s="179">
        <f>SUMIFS('recurring2_based on steps'!$B9:$AY9,'recurring2_based on steps'!$B$1:$AY$1,M$1)+SUMIFS('changes2_based on steps'!$B9:$U9,'changes2_based on steps'!$B$1:$U$1,M$1)</f>
        <v>0</v>
      </c>
      <c r="N9" s="179">
        <f>SUMIFS('recurring2_based on steps'!$B9:$AY9,'recurring2_based on steps'!$B$1:$AY$1,N$1)+SUMIFS('changes2_based on steps'!$B9:$U9,'changes2_based on steps'!$B$1:$U$1,N$1)</f>
        <v>0</v>
      </c>
      <c r="O9" s="179">
        <f>SUMIFS('recurring2_based on steps'!$B9:$AY9,'recurring2_based on steps'!$B$1:$AY$1,O$1)+SUMIFS('changes2_based on steps'!$B9:$U9,'changes2_based on steps'!$B$1:$U$1,O$1)</f>
        <v>0</v>
      </c>
      <c r="P9" s="179">
        <f>SUMIFS('recurring2_based on steps'!$B9:$AY9,'recurring2_based on steps'!$B$1:$AY$1,P$1)+SUMIFS('changes2_based on steps'!$B9:$U9,'changes2_based on steps'!$B$1:$U$1,P$1)</f>
        <v>0</v>
      </c>
      <c r="Q9" s="179">
        <f>SUMIFS('recurring2_based on steps'!$B9:$AY9,'recurring2_based on steps'!$B$1:$AY$1,Q$1)+SUMIFS('changes2_based on steps'!$B9:$U9,'changes2_based on steps'!$B$1:$U$1,Q$1)</f>
        <v>0</v>
      </c>
      <c r="R9" s="179">
        <f>SUMIFS('recurring2_based on steps'!$B9:$AY9,'recurring2_based on steps'!$B$1:$AY$1,R$1)+SUMIFS('changes2_based on steps'!$B9:$U9,'changes2_based on steps'!$B$1:$U$1,R$1)</f>
        <v>0</v>
      </c>
      <c r="S9" s="179">
        <f>SUMIFS('recurring2_based on steps'!$B9:$AY9,'recurring2_based on steps'!$B$1:$AY$1,S$1)+SUMIFS('changes2_based on steps'!$B9:$U9,'changes2_based on steps'!$B$1:$U$1,S$1)</f>
        <v>0</v>
      </c>
      <c r="T9" s="179">
        <f>SUMIFS('recurring2_based on steps'!$B9:$AY9,'recurring2_based on steps'!$B$1:$AY$1,T$1)+SUMIFS('changes2_based on steps'!$B9:$U9,'changes2_based on steps'!$B$1:$U$1,T$1)</f>
        <v>0</v>
      </c>
      <c r="U9" s="179">
        <f>SUMIFS('recurring2_based on steps'!$B9:$AY9,'recurring2_based on steps'!$B$1:$AY$1,U$1)+SUMIFS('changes2_based on steps'!$B9:$U9,'changes2_based on steps'!$B$1:$U$1,U$1)</f>
        <v>0</v>
      </c>
      <c r="V9" s="179">
        <f>SUMIFS('recurring2_based on steps'!$B9:$AY9,'recurring2_based on steps'!$B$1:$AY$1,V$1)+SUMIFS('changes2_based on steps'!$B9:$U9,'changes2_based on steps'!$B$1:$U$1,V$1)</f>
        <v>0</v>
      </c>
      <c r="W9" s="179">
        <f>SUMIFS('recurring2_based on steps'!$B9:$AY9,'recurring2_based on steps'!$B$1:$AY$1,W$1)+SUMIFS('changes2_based on steps'!$B9:$U9,'changes2_based on steps'!$B$1:$U$1,W$1)</f>
        <v>0</v>
      </c>
      <c r="X9" s="179">
        <f>SUMIFS('recurring2_based on steps'!$B9:$AY9,'recurring2_based on steps'!$B$1:$AY$1,X$1)+SUMIFS('changes2_based on steps'!$B9:$U9,'changes2_based on steps'!$B$1:$U$1,X$1)</f>
        <v>0</v>
      </c>
      <c r="Y9" s="179">
        <f>SUMIFS('recurring2_based on steps'!$B9:$AY9,'recurring2_based on steps'!$B$1:$AY$1,Y$1)+SUMIFS('changes2_based on steps'!$B9:$U9,'changes2_based on steps'!$B$1:$U$1,Y$1)</f>
        <v>0</v>
      </c>
      <c r="Z9" s="179">
        <f>SUMIFS('recurring2_based on steps'!$B9:$AY9,'recurring2_based on steps'!$B$1:$AY$1,Z$1)+SUMIFS('changes2_based on steps'!$B9:$U9,'changes2_based on steps'!$B$1:$U$1,Z$1)</f>
        <v>0</v>
      </c>
      <c r="AA9" s="179">
        <f>SUMIFS('recurring2_based on steps'!$B9:$AY9,'recurring2_based on steps'!$B$1:$AY$1,AA$1)+SUMIFS('changes2_based on steps'!$B9:$U9,'changes2_based on steps'!$B$1:$U$1,AA$1)</f>
        <v>0</v>
      </c>
      <c r="AB9" s="179">
        <f>SUMIFS('recurring2_based on steps'!$B9:$AY9,'recurring2_based on steps'!$B$1:$AY$1,AB$1)+SUMIFS('changes2_based on steps'!$B9:$U9,'changes2_based on steps'!$B$1:$U$1,AB$1)</f>
        <v>0</v>
      </c>
      <c r="AC9" s="179">
        <f>SUMIFS('recurring2_based on steps'!$B9:$AY9,'recurring2_based on steps'!$B$1:$AY$1,AC$1)+SUMIFS('changes2_based on steps'!$B9:$U9,'changes2_based on steps'!$B$1:$U$1,AC$1)</f>
        <v>0</v>
      </c>
      <c r="AD9" s="179">
        <f>SUMIFS('recurring2_based on steps'!$B9:$AY9,'recurring2_based on steps'!$B$1:$AY$1,AD$1)+SUMIFS('changes2_based on steps'!$B9:$U9,'changes2_based on steps'!$B$1:$U$1,AD$1)</f>
        <v>0</v>
      </c>
      <c r="AE9" s="179">
        <f>SUMIFS('recurring2_based on steps'!$B9:$AY9,'recurring2_based on steps'!$B$1:$AY$1,AE$1)+SUMIFS('changes2_based on steps'!$B9:$U9,'changes2_based on steps'!$B$1:$U$1,AE$1)</f>
        <v>0</v>
      </c>
      <c r="AF9" s="179"/>
      <c r="AG9" s="179"/>
      <c r="AH9" s="179"/>
      <c r="AI9" s="179"/>
      <c r="AJ9" s="179"/>
      <c r="AK9" s="179"/>
      <c r="AL9" s="179"/>
      <c r="AM9" s="179"/>
    </row>
    <row r="10" spans="1:39" x14ac:dyDescent="0.2">
      <c r="A10" s="32">
        <f t="shared" ca="1" si="0"/>
        <v>45759</v>
      </c>
      <c r="B10" s="179">
        <f>SUMIFS('recurring2_based on steps'!$B10:$AY10,'recurring2_based on steps'!$B$1:$AY$1,B$1)+SUMIFS('changes2_based on steps'!$B10:$U10,'changes2_based on steps'!$B$1:$U$1,B$1)</f>
        <v>0</v>
      </c>
      <c r="C10" s="179">
        <f>SUMIFS('recurring2_based on steps'!$B10:$AY10,'recurring2_based on steps'!$B$1:$AY$1,C$1)+SUMIFS('changes2_based on steps'!$B10:$U10,'changes2_based on steps'!$B$1:$U$1,C$1)</f>
        <v>0</v>
      </c>
      <c r="D10" s="179">
        <f>SUMIFS('recurring2_based on steps'!$B10:$AY10,'recurring2_based on steps'!$B$1:$AY$1,D$1)+SUMIFS('changes2_based on steps'!$B10:$U10,'changes2_based on steps'!$B$1:$U$1,D$1)</f>
        <v>0</v>
      </c>
      <c r="E10" s="179">
        <f>SUMIFS('recurring2_based on steps'!$B10:$AY10,'recurring2_based on steps'!$B$1:$AY$1,E$1)+SUMIFS('changes2_based on steps'!$B10:$U10,'changes2_based on steps'!$B$1:$U$1,E$1)</f>
        <v>0</v>
      </c>
      <c r="F10" s="179">
        <f>SUMIFS('recurring2_based on steps'!$B10:$AY10,'recurring2_based on steps'!$B$1:$AY$1,F$1)+SUMIFS('changes2_based on steps'!$B10:$U10,'changes2_based on steps'!$B$1:$U$1,F$1)</f>
        <v>0</v>
      </c>
      <c r="G10" s="179">
        <f>SUMIFS('recurring2_based on steps'!$B10:$AY10,'recurring2_based on steps'!$B$1:$AY$1,G$1)+SUMIFS('changes2_based on steps'!$B10:$U10,'changes2_based on steps'!$B$1:$U$1,G$1)</f>
        <v>0</v>
      </c>
      <c r="H10" s="179">
        <f>SUMIFS('recurring2_based on steps'!$B10:$AY10,'recurring2_based on steps'!$B$1:$AY$1,H$1)+SUMIFS('changes2_based on steps'!$B10:$U10,'changes2_based on steps'!$B$1:$U$1,H$1)</f>
        <v>0</v>
      </c>
      <c r="I10" s="179">
        <f>SUMIFS('recurring2_based on steps'!$B10:$AY10,'recurring2_based on steps'!$B$1:$AY$1,I$1)+SUMIFS('changes2_based on steps'!$B10:$U10,'changes2_based on steps'!$B$1:$U$1,I$1)</f>
        <v>0</v>
      </c>
      <c r="J10" s="179">
        <f>SUMIFS('recurring2_based on steps'!$B10:$AY10,'recurring2_based on steps'!$B$1:$AY$1,J$1)+SUMIFS('changes2_based on steps'!$B10:$U10,'changes2_based on steps'!$B$1:$U$1,J$1)</f>
        <v>0</v>
      </c>
      <c r="K10" s="179">
        <f>SUMIFS('recurring2_based on steps'!$B10:$AY10,'recurring2_based on steps'!$B$1:$AY$1,K$1)+SUMIFS('changes2_based on steps'!$B10:$U10,'changes2_based on steps'!$B$1:$U$1,K$1)</f>
        <v>0</v>
      </c>
      <c r="L10" s="179">
        <f>SUMIFS('recurring2_based on steps'!$B10:$AY10,'recurring2_based on steps'!$B$1:$AY$1,L$1)+SUMIFS('changes2_based on steps'!$B10:$U10,'changes2_based on steps'!$B$1:$U$1,L$1)</f>
        <v>0</v>
      </c>
      <c r="M10" s="179">
        <f>SUMIFS('recurring2_based on steps'!$B10:$AY10,'recurring2_based on steps'!$B$1:$AY$1,M$1)+SUMIFS('changes2_based on steps'!$B10:$U10,'changes2_based on steps'!$B$1:$U$1,M$1)</f>
        <v>0</v>
      </c>
      <c r="N10" s="179">
        <f>SUMIFS('recurring2_based on steps'!$B10:$AY10,'recurring2_based on steps'!$B$1:$AY$1,N$1)+SUMIFS('changes2_based on steps'!$B10:$U10,'changes2_based on steps'!$B$1:$U$1,N$1)</f>
        <v>0</v>
      </c>
      <c r="O10" s="179">
        <f>SUMIFS('recurring2_based on steps'!$B10:$AY10,'recurring2_based on steps'!$B$1:$AY$1,O$1)+SUMIFS('changes2_based on steps'!$B10:$U10,'changes2_based on steps'!$B$1:$U$1,O$1)</f>
        <v>0</v>
      </c>
      <c r="P10" s="179">
        <f>SUMIFS('recurring2_based on steps'!$B10:$AY10,'recurring2_based on steps'!$B$1:$AY$1,P$1)+SUMIFS('changes2_based on steps'!$B10:$U10,'changes2_based on steps'!$B$1:$U$1,P$1)</f>
        <v>0</v>
      </c>
      <c r="Q10" s="179">
        <f>SUMIFS('recurring2_based on steps'!$B10:$AY10,'recurring2_based on steps'!$B$1:$AY$1,Q$1)+SUMIFS('changes2_based on steps'!$B10:$U10,'changes2_based on steps'!$B$1:$U$1,Q$1)</f>
        <v>0</v>
      </c>
      <c r="R10" s="179">
        <f>SUMIFS('recurring2_based on steps'!$B10:$AY10,'recurring2_based on steps'!$B$1:$AY$1,R$1)+SUMIFS('changes2_based on steps'!$B10:$U10,'changes2_based on steps'!$B$1:$U$1,R$1)</f>
        <v>0</v>
      </c>
      <c r="S10" s="179">
        <f>SUMIFS('recurring2_based on steps'!$B10:$AY10,'recurring2_based on steps'!$B$1:$AY$1,S$1)+SUMIFS('changes2_based on steps'!$B10:$U10,'changes2_based on steps'!$B$1:$U$1,S$1)</f>
        <v>0</v>
      </c>
      <c r="T10" s="179">
        <f>SUMIFS('recurring2_based on steps'!$B10:$AY10,'recurring2_based on steps'!$B$1:$AY$1,T$1)+SUMIFS('changes2_based on steps'!$B10:$U10,'changes2_based on steps'!$B$1:$U$1,T$1)</f>
        <v>0</v>
      </c>
      <c r="U10" s="179">
        <f>SUMIFS('recurring2_based on steps'!$B10:$AY10,'recurring2_based on steps'!$B$1:$AY$1,U$1)+SUMIFS('changes2_based on steps'!$B10:$U10,'changes2_based on steps'!$B$1:$U$1,U$1)</f>
        <v>0</v>
      </c>
      <c r="V10" s="179">
        <f>SUMIFS('recurring2_based on steps'!$B10:$AY10,'recurring2_based on steps'!$B$1:$AY$1,V$1)+SUMIFS('changes2_based on steps'!$B10:$U10,'changes2_based on steps'!$B$1:$U$1,V$1)</f>
        <v>0</v>
      </c>
      <c r="W10" s="179">
        <f>SUMIFS('recurring2_based on steps'!$B10:$AY10,'recurring2_based on steps'!$B$1:$AY$1,W$1)+SUMIFS('changes2_based on steps'!$B10:$U10,'changes2_based on steps'!$B$1:$U$1,W$1)</f>
        <v>0</v>
      </c>
      <c r="X10" s="179">
        <f>SUMIFS('recurring2_based on steps'!$B10:$AY10,'recurring2_based on steps'!$B$1:$AY$1,X$1)+SUMIFS('changes2_based on steps'!$B10:$U10,'changes2_based on steps'!$B$1:$U$1,X$1)</f>
        <v>0</v>
      </c>
      <c r="Y10" s="179">
        <f>SUMIFS('recurring2_based on steps'!$B10:$AY10,'recurring2_based on steps'!$B$1:$AY$1,Y$1)+SUMIFS('changes2_based on steps'!$B10:$U10,'changes2_based on steps'!$B$1:$U$1,Y$1)</f>
        <v>0</v>
      </c>
      <c r="Z10" s="179">
        <f>SUMIFS('recurring2_based on steps'!$B10:$AY10,'recurring2_based on steps'!$B$1:$AY$1,Z$1)+SUMIFS('changes2_based on steps'!$B10:$U10,'changes2_based on steps'!$B$1:$U$1,Z$1)</f>
        <v>0</v>
      </c>
      <c r="AA10" s="179">
        <f>SUMIFS('recurring2_based on steps'!$B10:$AY10,'recurring2_based on steps'!$B$1:$AY$1,AA$1)+SUMIFS('changes2_based on steps'!$B10:$U10,'changes2_based on steps'!$B$1:$U$1,AA$1)</f>
        <v>0</v>
      </c>
      <c r="AB10" s="179">
        <f>SUMIFS('recurring2_based on steps'!$B10:$AY10,'recurring2_based on steps'!$B$1:$AY$1,AB$1)+SUMIFS('changes2_based on steps'!$B10:$U10,'changes2_based on steps'!$B$1:$U$1,AB$1)</f>
        <v>0</v>
      </c>
      <c r="AC10" s="179">
        <f>SUMIFS('recurring2_based on steps'!$B10:$AY10,'recurring2_based on steps'!$B$1:$AY$1,AC$1)+SUMIFS('changes2_based on steps'!$B10:$U10,'changes2_based on steps'!$B$1:$U$1,AC$1)</f>
        <v>0</v>
      </c>
      <c r="AD10" s="179">
        <f>SUMIFS('recurring2_based on steps'!$B10:$AY10,'recurring2_based on steps'!$B$1:$AY$1,AD$1)+SUMIFS('changes2_based on steps'!$B10:$U10,'changes2_based on steps'!$B$1:$U$1,AD$1)</f>
        <v>0</v>
      </c>
      <c r="AE10" s="179">
        <f>SUMIFS('recurring2_based on steps'!$B10:$AY10,'recurring2_based on steps'!$B$1:$AY$1,AE$1)+SUMIFS('changes2_based on steps'!$B10:$U10,'changes2_based on steps'!$B$1:$U$1,AE$1)</f>
        <v>0</v>
      </c>
      <c r="AF10" s="179"/>
      <c r="AG10" s="179"/>
      <c r="AH10" s="179"/>
      <c r="AI10" s="179"/>
      <c r="AJ10" s="179"/>
      <c r="AK10" s="179"/>
      <c r="AL10" s="179"/>
      <c r="AM10" s="179"/>
    </row>
    <row r="11" spans="1:39" x14ac:dyDescent="0.2">
      <c r="A11" s="32">
        <f t="shared" ca="1" si="0"/>
        <v>45760</v>
      </c>
      <c r="B11" s="179">
        <f>SUMIFS('recurring2_based on steps'!$B11:$AY11,'recurring2_based on steps'!$B$1:$AY$1,B$1)+SUMIFS('changes2_based on steps'!$B11:$U11,'changes2_based on steps'!$B$1:$U$1,B$1)</f>
        <v>0</v>
      </c>
      <c r="C11" s="179">
        <f>SUMIFS('recurring2_based on steps'!$B11:$AY11,'recurring2_based on steps'!$B$1:$AY$1,C$1)+SUMIFS('changes2_based on steps'!$B11:$U11,'changes2_based on steps'!$B$1:$U$1,C$1)</f>
        <v>0</v>
      </c>
      <c r="D11" s="179">
        <f>SUMIFS('recurring2_based on steps'!$B11:$AY11,'recurring2_based on steps'!$B$1:$AY$1,D$1)+SUMIFS('changes2_based on steps'!$B11:$U11,'changes2_based on steps'!$B$1:$U$1,D$1)</f>
        <v>0</v>
      </c>
      <c r="E11" s="179">
        <f>SUMIFS('recurring2_based on steps'!$B11:$AY11,'recurring2_based on steps'!$B$1:$AY$1,E$1)+SUMIFS('changes2_based on steps'!$B11:$U11,'changes2_based on steps'!$B$1:$U$1,E$1)</f>
        <v>0</v>
      </c>
      <c r="F11" s="179">
        <f>SUMIFS('recurring2_based on steps'!$B11:$AY11,'recurring2_based on steps'!$B$1:$AY$1,F$1)+SUMIFS('changes2_based on steps'!$B11:$U11,'changes2_based on steps'!$B$1:$U$1,F$1)</f>
        <v>0</v>
      </c>
      <c r="G11" s="179">
        <f>SUMIFS('recurring2_based on steps'!$B11:$AY11,'recurring2_based on steps'!$B$1:$AY$1,G$1)+SUMIFS('changes2_based on steps'!$B11:$U11,'changes2_based on steps'!$B$1:$U$1,G$1)</f>
        <v>0</v>
      </c>
      <c r="H11" s="179">
        <f>SUMIFS('recurring2_based on steps'!$B11:$AY11,'recurring2_based on steps'!$B$1:$AY$1,H$1)+SUMIFS('changes2_based on steps'!$B11:$U11,'changes2_based on steps'!$B$1:$U$1,H$1)</f>
        <v>0</v>
      </c>
      <c r="I11" s="179">
        <f>SUMIFS('recurring2_based on steps'!$B11:$AY11,'recurring2_based on steps'!$B$1:$AY$1,I$1)+SUMIFS('changes2_based on steps'!$B11:$U11,'changes2_based on steps'!$B$1:$U$1,I$1)</f>
        <v>0</v>
      </c>
      <c r="J11" s="179">
        <f>SUMIFS('recurring2_based on steps'!$B11:$AY11,'recurring2_based on steps'!$B$1:$AY$1,J$1)+SUMIFS('changes2_based on steps'!$B11:$U11,'changes2_based on steps'!$B$1:$U$1,J$1)</f>
        <v>0</v>
      </c>
      <c r="K11" s="179">
        <f>SUMIFS('recurring2_based on steps'!$B11:$AY11,'recurring2_based on steps'!$B$1:$AY$1,K$1)+SUMIFS('changes2_based on steps'!$B11:$U11,'changes2_based on steps'!$B$1:$U$1,K$1)</f>
        <v>0</v>
      </c>
      <c r="L11" s="179">
        <f>SUMIFS('recurring2_based on steps'!$B11:$AY11,'recurring2_based on steps'!$B$1:$AY$1,L$1)+SUMIFS('changes2_based on steps'!$B11:$U11,'changes2_based on steps'!$B$1:$U$1,L$1)</f>
        <v>0</v>
      </c>
      <c r="M11" s="179">
        <f>SUMIFS('recurring2_based on steps'!$B11:$AY11,'recurring2_based on steps'!$B$1:$AY$1,M$1)+SUMIFS('changes2_based on steps'!$B11:$U11,'changes2_based on steps'!$B$1:$U$1,M$1)</f>
        <v>0</v>
      </c>
      <c r="N11" s="179">
        <f>SUMIFS('recurring2_based on steps'!$B11:$AY11,'recurring2_based on steps'!$B$1:$AY$1,N$1)+SUMIFS('changes2_based on steps'!$B11:$U11,'changes2_based on steps'!$B$1:$U$1,N$1)</f>
        <v>0</v>
      </c>
      <c r="O11" s="179">
        <f>SUMIFS('recurring2_based on steps'!$B11:$AY11,'recurring2_based on steps'!$B$1:$AY$1,O$1)+SUMIFS('changes2_based on steps'!$B11:$U11,'changes2_based on steps'!$B$1:$U$1,O$1)</f>
        <v>0</v>
      </c>
      <c r="P11" s="179">
        <f>SUMIFS('recurring2_based on steps'!$B11:$AY11,'recurring2_based on steps'!$B$1:$AY$1,P$1)+SUMIFS('changes2_based on steps'!$B11:$U11,'changes2_based on steps'!$B$1:$U$1,P$1)</f>
        <v>0</v>
      </c>
      <c r="Q11" s="179">
        <f>SUMIFS('recurring2_based on steps'!$B11:$AY11,'recurring2_based on steps'!$B$1:$AY$1,Q$1)+SUMIFS('changes2_based on steps'!$B11:$U11,'changes2_based on steps'!$B$1:$U$1,Q$1)</f>
        <v>0</v>
      </c>
      <c r="R11" s="179">
        <f>SUMIFS('recurring2_based on steps'!$B11:$AY11,'recurring2_based on steps'!$B$1:$AY$1,R$1)+SUMIFS('changes2_based on steps'!$B11:$U11,'changes2_based on steps'!$B$1:$U$1,R$1)</f>
        <v>0</v>
      </c>
      <c r="S11" s="179">
        <f>SUMIFS('recurring2_based on steps'!$B11:$AY11,'recurring2_based on steps'!$B$1:$AY$1,S$1)+SUMIFS('changes2_based on steps'!$B11:$U11,'changes2_based on steps'!$B$1:$U$1,S$1)</f>
        <v>0</v>
      </c>
      <c r="T11" s="179">
        <f>SUMIFS('recurring2_based on steps'!$B11:$AY11,'recurring2_based on steps'!$B$1:$AY$1,T$1)+SUMIFS('changes2_based on steps'!$B11:$U11,'changes2_based on steps'!$B$1:$U$1,T$1)</f>
        <v>0</v>
      </c>
      <c r="U11" s="179">
        <f>SUMIFS('recurring2_based on steps'!$B11:$AY11,'recurring2_based on steps'!$B$1:$AY$1,U$1)+SUMIFS('changes2_based on steps'!$B11:$U11,'changes2_based on steps'!$B$1:$U$1,U$1)</f>
        <v>0</v>
      </c>
      <c r="V11" s="179">
        <f>SUMIFS('recurring2_based on steps'!$B11:$AY11,'recurring2_based on steps'!$B$1:$AY$1,V$1)+SUMIFS('changes2_based on steps'!$B11:$U11,'changes2_based on steps'!$B$1:$U$1,V$1)</f>
        <v>0</v>
      </c>
      <c r="W11" s="179">
        <f>SUMIFS('recurring2_based on steps'!$B11:$AY11,'recurring2_based on steps'!$B$1:$AY$1,W$1)+SUMIFS('changes2_based on steps'!$B11:$U11,'changes2_based on steps'!$B$1:$U$1,W$1)</f>
        <v>0</v>
      </c>
      <c r="X11" s="179">
        <f>SUMIFS('recurring2_based on steps'!$B11:$AY11,'recurring2_based on steps'!$B$1:$AY$1,X$1)+SUMIFS('changes2_based on steps'!$B11:$U11,'changes2_based on steps'!$B$1:$U$1,X$1)</f>
        <v>0</v>
      </c>
      <c r="Y11" s="179">
        <f>SUMIFS('recurring2_based on steps'!$B11:$AY11,'recurring2_based on steps'!$B$1:$AY$1,Y$1)+SUMIFS('changes2_based on steps'!$B11:$U11,'changes2_based on steps'!$B$1:$U$1,Y$1)</f>
        <v>0</v>
      </c>
      <c r="Z11" s="179">
        <f>SUMIFS('recurring2_based on steps'!$B11:$AY11,'recurring2_based on steps'!$B$1:$AY$1,Z$1)+SUMIFS('changes2_based on steps'!$B11:$U11,'changes2_based on steps'!$B$1:$U$1,Z$1)</f>
        <v>0</v>
      </c>
      <c r="AA11" s="179">
        <f>SUMIFS('recurring2_based on steps'!$B11:$AY11,'recurring2_based on steps'!$B$1:$AY$1,AA$1)+SUMIFS('changes2_based on steps'!$B11:$U11,'changes2_based on steps'!$B$1:$U$1,AA$1)</f>
        <v>0</v>
      </c>
      <c r="AB11" s="179">
        <f>SUMIFS('recurring2_based on steps'!$B11:$AY11,'recurring2_based on steps'!$B$1:$AY$1,AB$1)+SUMIFS('changes2_based on steps'!$B11:$U11,'changes2_based on steps'!$B$1:$U$1,AB$1)</f>
        <v>0</v>
      </c>
      <c r="AC11" s="179">
        <f>SUMIFS('recurring2_based on steps'!$B11:$AY11,'recurring2_based on steps'!$B$1:$AY$1,AC$1)+SUMIFS('changes2_based on steps'!$B11:$U11,'changes2_based on steps'!$B$1:$U$1,AC$1)</f>
        <v>0</v>
      </c>
      <c r="AD11" s="179">
        <f>SUMIFS('recurring2_based on steps'!$B11:$AY11,'recurring2_based on steps'!$B$1:$AY$1,AD$1)+SUMIFS('changes2_based on steps'!$B11:$U11,'changes2_based on steps'!$B$1:$U$1,AD$1)</f>
        <v>0</v>
      </c>
      <c r="AE11" s="179">
        <f>SUMIFS('recurring2_based on steps'!$B11:$AY11,'recurring2_based on steps'!$B$1:$AY$1,AE$1)+SUMIFS('changes2_based on steps'!$B11:$U11,'changes2_based on steps'!$B$1:$U$1,AE$1)</f>
        <v>0</v>
      </c>
      <c r="AF11" s="179"/>
      <c r="AG11" s="179"/>
      <c r="AH11" s="179"/>
      <c r="AI11" s="179"/>
      <c r="AJ11" s="179"/>
      <c r="AK11" s="179"/>
      <c r="AL11" s="179"/>
      <c r="AM11" s="179"/>
    </row>
    <row r="12" spans="1:39" x14ac:dyDescent="0.2">
      <c r="A12" s="32">
        <f t="shared" ca="1" si="0"/>
        <v>45761</v>
      </c>
      <c r="B12" s="179">
        <f>SUMIFS('recurring2_based on steps'!$B12:$AY12,'recurring2_based on steps'!$B$1:$AY$1,B$1)+SUMIFS('changes2_based on steps'!$B12:$U12,'changes2_based on steps'!$B$1:$U$1,B$1)</f>
        <v>0</v>
      </c>
      <c r="C12" s="179">
        <f>SUMIFS('recurring2_based on steps'!$B12:$AY12,'recurring2_based on steps'!$B$1:$AY$1,C$1)+SUMIFS('changes2_based on steps'!$B12:$U12,'changes2_based on steps'!$B$1:$U$1,C$1)</f>
        <v>0</v>
      </c>
      <c r="D12" s="179">
        <f>SUMIFS('recurring2_based on steps'!$B12:$AY12,'recurring2_based on steps'!$B$1:$AY$1,D$1)+SUMIFS('changes2_based on steps'!$B12:$U12,'changes2_based on steps'!$B$1:$U$1,D$1)</f>
        <v>0</v>
      </c>
      <c r="E12" s="179">
        <f>SUMIFS('recurring2_based on steps'!$B12:$AY12,'recurring2_based on steps'!$B$1:$AY$1,E$1)+SUMIFS('changes2_based on steps'!$B12:$U12,'changes2_based on steps'!$B$1:$U$1,E$1)</f>
        <v>0</v>
      </c>
      <c r="F12" s="179">
        <f>SUMIFS('recurring2_based on steps'!$B12:$AY12,'recurring2_based on steps'!$B$1:$AY$1,F$1)+SUMIFS('changes2_based on steps'!$B12:$U12,'changes2_based on steps'!$B$1:$U$1,F$1)</f>
        <v>0</v>
      </c>
      <c r="G12" s="179">
        <f>SUMIFS('recurring2_based on steps'!$B12:$AY12,'recurring2_based on steps'!$B$1:$AY$1,G$1)+SUMIFS('changes2_based on steps'!$B12:$U12,'changes2_based on steps'!$B$1:$U$1,G$1)</f>
        <v>0</v>
      </c>
      <c r="H12" s="179">
        <f>SUMIFS('recurring2_based on steps'!$B12:$AY12,'recurring2_based on steps'!$B$1:$AY$1,H$1)+SUMIFS('changes2_based on steps'!$B12:$U12,'changes2_based on steps'!$B$1:$U$1,H$1)</f>
        <v>0</v>
      </c>
      <c r="I12" s="179">
        <f>SUMIFS('recurring2_based on steps'!$B12:$AY12,'recurring2_based on steps'!$B$1:$AY$1,I$1)+SUMIFS('changes2_based on steps'!$B12:$U12,'changes2_based on steps'!$B$1:$U$1,I$1)</f>
        <v>0</v>
      </c>
      <c r="J12" s="179">
        <f>SUMIFS('recurring2_based on steps'!$B12:$AY12,'recurring2_based on steps'!$B$1:$AY$1,J$1)+SUMIFS('changes2_based on steps'!$B12:$U12,'changes2_based on steps'!$B$1:$U$1,J$1)</f>
        <v>0</v>
      </c>
      <c r="K12" s="179">
        <f>SUMIFS('recurring2_based on steps'!$B12:$AY12,'recurring2_based on steps'!$B$1:$AY$1,K$1)+SUMIFS('changes2_based on steps'!$B12:$U12,'changes2_based on steps'!$B$1:$U$1,K$1)</f>
        <v>0</v>
      </c>
      <c r="L12" s="179">
        <f>SUMIFS('recurring2_based on steps'!$B12:$AY12,'recurring2_based on steps'!$B$1:$AY$1,L$1)+SUMIFS('changes2_based on steps'!$B12:$U12,'changes2_based on steps'!$B$1:$U$1,L$1)</f>
        <v>0</v>
      </c>
      <c r="M12" s="179">
        <f>SUMIFS('recurring2_based on steps'!$B12:$AY12,'recurring2_based on steps'!$B$1:$AY$1,M$1)+SUMIFS('changes2_based on steps'!$B12:$U12,'changes2_based on steps'!$B$1:$U$1,M$1)</f>
        <v>0</v>
      </c>
      <c r="N12" s="179">
        <f>SUMIFS('recurring2_based on steps'!$B12:$AY12,'recurring2_based on steps'!$B$1:$AY$1,N$1)+SUMIFS('changes2_based on steps'!$B12:$U12,'changes2_based on steps'!$B$1:$U$1,N$1)</f>
        <v>0</v>
      </c>
      <c r="O12" s="179">
        <f>SUMIFS('recurring2_based on steps'!$B12:$AY12,'recurring2_based on steps'!$B$1:$AY$1,O$1)+SUMIFS('changes2_based on steps'!$B12:$U12,'changes2_based on steps'!$B$1:$U$1,O$1)</f>
        <v>0</v>
      </c>
      <c r="P12" s="179">
        <f>SUMIFS('recurring2_based on steps'!$B12:$AY12,'recurring2_based on steps'!$B$1:$AY$1,P$1)+SUMIFS('changes2_based on steps'!$B12:$U12,'changes2_based on steps'!$B$1:$U$1,P$1)</f>
        <v>0</v>
      </c>
      <c r="Q12" s="179">
        <f>SUMIFS('recurring2_based on steps'!$B12:$AY12,'recurring2_based on steps'!$B$1:$AY$1,Q$1)+SUMIFS('changes2_based on steps'!$B12:$U12,'changes2_based on steps'!$B$1:$U$1,Q$1)</f>
        <v>0</v>
      </c>
      <c r="R12" s="179">
        <f>SUMIFS('recurring2_based on steps'!$B12:$AY12,'recurring2_based on steps'!$B$1:$AY$1,R$1)+SUMIFS('changes2_based on steps'!$B12:$U12,'changes2_based on steps'!$B$1:$U$1,R$1)</f>
        <v>0</v>
      </c>
      <c r="S12" s="179">
        <f>SUMIFS('recurring2_based on steps'!$B12:$AY12,'recurring2_based on steps'!$B$1:$AY$1,S$1)+SUMIFS('changes2_based on steps'!$B12:$U12,'changes2_based on steps'!$B$1:$U$1,S$1)</f>
        <v>0</v>
      </c>
      <c r="T12" s="179">
        <f>SUMIFS('recurring2_based on steps'!$B12:$AY12,'recurring2_based on steps'!$B$1:$AY$1,T$1)+SUMIFS('changes2_based on steps'!$B12:$U12,'changes2_based on steps'!$B$1:$U$1,T$1)</f>
        <v>0</v>
      </c>
      <c r="U12" s="179">
        <f>SUMIFS('recurring2_based on steps'!$B12:$AY12,'recurring2_based on steps'!$B$1:$AY$1,U$1)+SUMIFS('changes2_based on steps'!$B12:$U12,'changes2_based on steps'!$B$1:$U$1,U$1)</f>
        <v>0</v>
      </c>
      <c r="V12" s="179">
        <f>SUMIFS('recurring2_based on steps'!$B12:$AY12,'recurring2_based on steps'!$B$1:$AY$1,V$1)+SUMIFS('changes2_based on steps'!$B12:$U12,'changes2_based on steps'!$B$1:$U$1,V$1)</f>
        <v>0</v>
      </c>
      <c r="W12" s="179">
        <f>SUMIFS('recurring2_based on steps'!$B12:$AY12,'recurring2_based on steps'!$B$1:$AY$1,W$1)+SUMIFS('changes2_based on steps'!$B12:$U12,'changes2_based on steps'!$B$1:$U$1,W$1)</f>
        <v>0</v>
      </c>
      <c r="X12" s="179">
        <f>SUMIFS('recurring2_based on steps'!$B12:$AY12,'recurring2_based on steps'!$B$1:$AY$1,X$1)+SUMIFS('changes2_based on steps'!$B12:$U12,'changes2_based on steps'!$B$1:$U$1,X$1)</f>
        <v>0</v>
      </c>
      <c r="Y12" s="179">
        <f>SUMIFS('recurring2_based on steps'!$B12:$AY12,'recurring2_based on steps'!$B$1:$AY$1,Y$1)+SUMIFS('changes2_based on steps'!$B12:$U12,'changes2_based on steps'!$B$1:$U$1,Y$1)</f>
        <v>0</v>
      </c>
      <c r="Z12" s="179">
        <f>SUMIFS('recurring2_based on steps'!$B12:$AY12,'recurring2_based on steps'!$B$1:$AY$1,Z$1)+SUMIFS('changes2_based on steps'!$B12:$U12,'changes2_based on steps'!$B$1:$U$1,Z$1)</f>
        <v>0</v>
      </c>
      <c r="AA12" s="179">
        <f>SUMIFS('recurring2_based on steps'!$B12:$AY12,'recurring2_based on steps'!$B$1:$AY$1,AA$1)+SUMIFS('changes2_based on steps'!$B12:$U12,'changes2_based on steps'!$B$1:$U$1,AA$1)</f>
        <v>0</v>
      </c>
      <c r="AB12" s="179">
        <f>SUMIFS('recurring2_based on steps'!$B12:$AY12,'recurring2_based on steps'!$B$1:$AY$1,AB$1)+SUMIFS('changes2_based on steps'!$B12:$U12,'changes2_based on steps'!$B$1:$U$1,AB$1)</f>
        <v>0</v>
      </c>
      <c r="AC12" s="179">
        <f>SUMIFS('recurring2_based on steps'!$B12:$AY12,'recurring2_based on steps'!$B$1:$AY$1,AC$1)+SUMIFS('changes2_based on steps'!$B12:$U12,'changes2_based on steps'!$B$1:$U$1,AC$1)</f>
        <v>0</v>
      </c>
      <c r="AD12" s="179">
        <f>SUMIFS('recurring2_based on steps'!$B12:$AY12,'recurring2_based on steps'!$B$1:$AY$1,AD$1)+SUMIFS('changes2_based on steps'!$B12:$U12,'changes2_based on steps'!$B$1:$U$1,AD$1)</f>
        <v>0</v>
      </c>
      <c r="AE12" s="179">
        <f>SUMIFS('recurring2_based on steps'!$B12:$AY12,'recurring2_based on steps'!$B$1:$AY$1,AE$1)+SUMIFS('changes2_based on steps'!$B12:$U12,'changes2_based on steps'!$B$1:$U$1,AE$1)</f>
        <v>0</v>
      </c>
      <c r="AF12" s="179"/>
      <c r="AG12" s="179"/>
      <c r="AH12" s="179"/>
      <c r="AI12" s="179"/>
      <c r="AJ12" s="179"/>
      <c r="AK12" s="179"/>
      <c r="AL12" s="179"/>
      <c r="AM12" s="179"/>
    </row>
    <row r="13" spans="1:39" x14ac:dyDescent="0.2">
      <c r="A13" s="32">
        <f t="shared" ca="1" si="0"/>
        <v>45762</v>
      </c>
      <c r="B13" s="179">
        <f>SUMIFS('recurring2_based on steps'!$B13:$AY13,'recurring2_based on steps'!$B$1:$AY$1,B$1)+SUMIFS('changes2_based on steps'!$B13:$U13,'changes2_based on steps'!$B$1:$U$1,B$1)</f>
        <v>0</v>
      </c>
      <c r="C13" s="179">
        <f>SUMIFS('recurring2_based on steps'!$B13:$AY13,'recurring2_based on steps'!$B$1:$AY$1,C$1)+SUMIFS('changes2_based on steps'!$B13:$U13,'changes2_based on steps'!$B$1:$U$1,C$1)</f>
        <v>0</v>
      </c>
      <c r="D13" s="179">
        <f>SUMIFS('recurring2_based on steps'!$B13:$AY13,'recurring2_based on steps'!$B$1:$AY$1,D$1)+SUMIFS('changes2_based on steps'!$B13:$U13,'changes2_based on steps'!$B$1:$U$1,D$1)</f>
        <v>0</v>
      </c>
      <c r="E13" s="179">
        <f>SUMIFS('recurring2_based on steps'!$B13:$AY13,'recurring2_based on steps'!$B$1:$AY$1,E$1)+SUMIFS('changes2_based on steps'!$B13:$U13,'changes2_based on steps'!$B$1:$U$1,E$1)</f>
        <v>0</v>
      </c>
      <c r="F13" s="179">
        <f>SUMIFS('recurring2_based on steps'!$B13:$AY13,'recurring2_based on steps'!$B$1:$AY$1,F$1)+SUMIFS('changes2_based on steps'!$B13:$U13,'changes2_based on steps'!$B$1:$U$1,F$1)</f>
        <v>0</v>
      </c>
      <c r="G13" s="179">
        <f>SUMIFS('recurring2_based on steps'!$B13:$AY13,'recurring2_based on steps'!$B$1:$AY$1,G$1)+SUMIFS('changes2_based on steps'!$B13:$U13,'changes2_based on steps'!$B$1:$U$1,G$1)</f>
        <v>0</v>
      </c>
      <c r="H13" s="179">
        <f>SUMIFS('recurring2_based on steps'!$B13:$AY13,'recurring2_based on steps'!$B$1:$AY$1,H$1)+SUMIFS('changes2_based on steps'!$B13:$U13,'changes2_based on steps'!$B$1:$U$1,H$1)</f>
        <v>0</v>
      </c>
      <c r="I13" s="179">
        <f>SUMIFS('recurring2_based on steps'!$B13:$AY13,'recurring2_based on steps'!$B$1:$AY$1,I$1)+SUMIFS('changes2_based on steps'!$B13:$U13,'changes2_based on steps'!$B$1:$U$1,I$1)</f>
        <v>0</v>
      </c>
      <c r="J13" s="179">
        <f>SUMIFS('recurring2_based on steps'!$B13:$AY13,'recurring2_based on steps'!$B$1:$AY$1,J$1)+SUMIFS('changes2_based on steps'!$B13:$U13,'changes2_based on steps'!$B$1:$U$1,J$1)</f>
        <v>0</v>
      </c>
      <c r="K13" s="179">
        <f>SUMIFS('recurring2_based on steps'!$B13:$AY13,'recurring2_based on steps'!$B$1:$AY$1,K$1)+SUMIFS('changes2_based on steps'!$B13:$U13,'changes2_based on steps'!$B$1:$U$1,K$1)</f>
        <v>0</v>
      </c>
      <c r="L13" s="179">
        <f>SUMIFS('recurring2_based on steps'!$B13:$AY13,'recurring2_based on steps'!$B$1:$AY$1,L$1)+SUMIFS('changes2_based on steps'!$B13:$U13,'changes2_based on steps'!$B$1:$U$1,L$1)</f>
        <v>0</v>
      </c>
      <c r="M13" s="179">
        <f>SUMIFS('recurring2_based on steps'!$B13:$AY13,'recurring2_based on steps'!$B$1:$AY$1,M$1)+SUMIFS('changes2_based on steps'!$B13:$U13,'changes2_based on steps'!$B$1:$U$1,M$1)</f>
        <v>0</v>
      </c>
      <c r="N13" s="179">
        <f>SUMIFS('recurring2_based on steps'!$B13:$AY13,'recurring2_based on steps'!$B$1:$AY$1,N$1)+SUMIFS('changes2_based on steps'!$B13:$U13,'changes2_based on steps'!$B$1:$U$1,N$1)</f>
        <v>0</v>
      </c>
      <c r="O13" s="179">
        <f>SUMIFS('recurring2_based on steps'!$B13:$AY13,'recurring2_based on steps'!$B$1:$AY$1,O$1)+SUMIFS('changes2_based on steps'!$B13:$U13,'changes2_based on steps'!$B$1:$U$1,O$1)</f>
        <v>0</v>
      </c>
      <c r="P13" s="179">
        <f>SUMIFS('recurring2_based on steps'!$B13:$AY13,'recurring2_based on steps'!$B$1:$AY$1,P$1)+SUMIFS('changes2_based on steps'!$B13:$U13,'changes2_based on steps'!$B$1:$U$1,P$1)</f>
        <v>0</v>
      </c>
      <c r="Q13" s="179">
        <f>SUMIFS('recurring2_based on steps'!$B13:$AY13,'recurring2_based on steps'!$B$1:$AY$1,Q$1)+SUMIFS('changes2_based on steps'!$B13:$U13,'changes2_based on steps'!$B$1:$U$1,Q$1)</f>
        <v>0</v>
      </c>
      <c r="R13" s="179">
        <f>SUMIFS('recurring2_based on steps'!$B13:$AY13,'recurring2_based on steps'!$B$1:$AY$1,R$1)+SUMIFS('changes2_based on steps'!$B13:$U13,'changes2_based on steps'!$B$1:$U$1,R$1)</f>
        <v>0</v>
      </c>
      <c r="S13" s="179">
        <f>SUMIFS('recurring2_based on steps'!$B13:$AY13,'recurring2_based on steps'!$B$1:$AY$1,S$1)+SUMIFS('changes2_based on steps'!$B13:$U13,'changes2_based on steps'!$B$1:$U$1,S$1)</f>
        <v>0</v>
      </c>
      <c r="T13" s="179">
        <f>SUMIFS('recurring2_based on steps'!$B13:$AY13,'recurring2_based on steps'!$B$1:$AY$1,T$1)+SUMIFS('changes2_based on steps'!$B13:$U13,'changes2_based on steps'!$B$1:$U$1,T$1)</f>
        <v>0</v>
      </c>
      <c r="U13" s="179">
        <f>SUMIFS('recurring2_based on steps'!$B13:$AY13,'recurring2_based on steps'!$B$1:$AY$1,U$1)+SUMIFS('changes2_based on steps'!$B13:$U13,'changes2_based on steps'!$B$1:$U$1,U$1)</f>
        <v>0</v>
      </c>
      <c r="V13" s="179">
        <f>SUMIFS('recurring2_based on steps'!$B13:$AY13,'recurring2_based on steps'!$B$1:$AY$1,V$1)+SUMIFS('changes2_based on steps'!$B13:$U13,'changes2_based on steps'!$B$1:$U$1,V$1)</f>
        <v>0</v>
      </c>
      <c r="W13" s="179">
        <f>SUMIFS('recurring2_based on steps'!$B13:$AY13,'recurring2_based on steps'!$B$1:$AY$1,W$1)+SUMIFS('changes2_based on steps'!$B13:$U13,'changes2_based on steps'!$B$1:$U$1,W$1)</f>
        <v>0</v>
      </c>
      <c r="X13" s="179">
        <f>SUMIFS('recurring2_based on steps'!$B13:$AY13,'recurring2_based on steps'!$B$1:$AY$1,X$1)+SUMIFS('changes2_based on steps'!$B13:$U13,'changes2_based on steps'!$B$1:$U$1,X$1)</f>
        <v>0</v>
      </c>
      <c r="Y13" s="179">
        <f>SUMIFS('recurring2_based on steps'!$B13:$AY13,'recurring2_based on steps'!$B$1:$AY$1,Y$1)+SUMIFS('changes2_based on steps'!$B13:$U13,'changes2_based on steps'!$B$1:$U$1,Y$1)</f>
        <v>0</v>
      </c>
      <c r="Z13" s="179">
        <f>SUMIFS('recurring2_based on steps'!$B13:$AY13,'recurring2_based on steps'!$B$1:$AY$1,Z$1)+SUMIFS('changes2_based on steps'!$B13:$U13,'changes2_based on steps'!$B$1:$U$1,Z$1)</f>
        <v>0</v>
      </c>
      <c r="AA13" s="179">
        <f>SUMIFS('recurring2_based on steps'!$B13:$AY13,'recurring2_based on steps'!$B$1:$AY$1,AA$1)+SUMIFS('changes2_based on steps'!$B13:$U13,'changes2_based on steps'!$B$1:$U$1,AA$1)</f>
        <v>0</v>
      </c>
      <c r="AB13" s="179">
        <f>SUMIFS('recurring2_based on steps'!$B13:$AY13,'recurring2_based on steps'!$B$1:$AY$1,AB$1)+SUMIFS('changes2_based on steps'!$B13:$U13,'changes2_based on steps'!$B$1:$U$1,AB$1)</f>
        <v>0</v>
      </c>
      <c r="AC13" s="179">
        <f>SUMIFS('recurring2_based on steps'!$B13:$AY13,'recurring2_based on steps'!$B$1:$AY$1,AC$1)+SUMIFS('changes2_based on steps'!$B13:$U13,'changes2_based on steps'!$B$1:$U$1,AC$1)</f>
        <v>0</v>
      </c>
      <c r="AD13" s="179">
        <f>SUMIFS('recurring2_based on steps'!$B13:$AY13,'recurring2_based on steps'!$B$1:$AY$1,AD$1)+SUMIFS('changes2_based on steps'!$B13:$U13,'changes2_based on steps'!$B$1:$U$1,AD$1)</f>
        <v>0</v>
      </c>
      <c r="AE13" s="179">
        <f>SUMIFS('recurring2_based on steps'!$B13:$AY13,'recurring2_based on steps'!$B$1:$AY$1,AE$1)+SUMIFS('changes2_based on steps'!$B13:$U13,'changes2_based on steps'!$B$1:$U$1,AE$1)</f>
        <v>0</v>
      </c>
      <c r="AF13" s="179"/>
      <c r="AG13" s="179"/>
      <c r="AH13" s="179"/>
      <c r="AI13" s="179"/>
      <c r="AJ13" s="179"/>
      <c r="AK13" s="179"/>
      <c r="AL13" s="179"/>
      <c r="AM13" s="179"/>
    </row>
    <row r="14" spans="1:39" x14ac:dyDescent="0.2">
      <c r="A14" s="32">
        <f t="shared" ca="1" si="0"/>
        <v>45763</v>
      </c>
      <c r="B14" s="179">
        <f>SUMIFS('recurring2_based on steps'!$B14:$AY14,'recurring2_based on steps'!$B$1:$AY$1,B$1)+SUMIFS('changes2_based on steps'!$B14:$U14,'changes2_based on steps'!$B$1:$U$1,B$1)</f>
        <v>0</v>
      </c>
      <c r="C14" s="179">
        <f>SUMIFS('recurring2_based on steps'!$B14:$AY14,'recurring2_based on steps'!$B$1:$AY$1,C$1)+SUMIFS('changes2_based on steps'!$B14:$U14,'changes2_based on steps'!$B$1:$U$1,C$1)</f>
        <v>0</v>
      </c>
      <c r="D14" s="179">
        <f>SUMIFS('recurring2_based on steps'!$B14:$AY14,'recurring2_based on steps'!$B$1:$AY$1,D$1)+SUMIFS('changes2_based on steps'!$B14:$U14,'changes2_based on steps'!$B$1:$U$1,D$1)</f>
        <v>0</v>
      </c>
      <c r="E14" s="179">
        <f>SUMIFS('recurring2_based on steps'!$B14:$AY14,'recurring2_based on steps'!$B$1:$AY$1,E$1)+SUMIFS('changes2_based on steps'!$B14:$U14,'changes2_based on steps'!$B$1:$U$1,E$1)</f>
        <v>0</v>
      </c>
      <c r="F14" s="179">
        <f>SUMIFS('recurring2_based on steps'!$B14:$AY14,'recurring2_based on steps'!$B$1:$AY$1,F$1)+SUMIFS('changes2_based on steps'!$B14:$U14,'changes2_based on steps'!$B$1:$U$1,F$1)</f>
        <v>0</v>
      </c>
      <c r="G14" s="179">
        <f>SUMIFS('recurring2_based on steps'!$B14:$AY14,'recurring2_based on steps'!$B$1:$AY$1,G$1)+SUMIFS('changes2_based on steps'!$B14:$U14,'changes2_based on steps'!$B$1:$U$1,G$1)</f>
        <v>0</v>
      </c>
      <c r="H14" s="179">
        <f>SUMIFS('recurring2_based on steps'!$B14:$AY14,'recurring2_based on steps'!$B$1:$AY$1,H$1)+SUMIFS('changes2_based on steps'!$B14:$U14,'changes2_based on steps'!$B$1:$U$1,H$1)</f>
        <v>0</v>
      </c>
      <c r="I14" s="179">
        <f>SUMIFS('recurring2_based on steps'!$B14:$AY14,'recurring2_based on steps'!$B$1:$AY$1,I$1)+SUMIFS('changes2_based on steps'!$B14:$U14,'changes2_based on steps'!$B$1:$U$1,I$1)</f>
        <v>0</v>
      </c>
      <c r="J14" s="179">
        <f>SUMIFS('recurring2_based on steps'!$B14:$AY14,'recurring2_based on steps'!$B$1:$AY$1,J$1)+SUMIFS('changes2_based on steps'!$B14:$U14,'changes2_based on steps'!$B$1:$U$1,J$1)</f>
        <v>0</v>
      </c>
      <c r="K14" s="179">
        <f>SUMIFS('recurring2_based on steps'!$B14:$AY14,'recurring2_based on steps'!$B$1:$AY$1,K$1)+SUMIFS('changes2_based on steps'!$B14:$U14,'changes2_based on steps'!$B$1:$U$1,K$1)</f>
        <v>0</v>
      </c>
      <c r="L14" s="179">
        <f>SUMIFS('recurring2_based on steps'!$B14:$AY14,'recurring2_based on steps'!$B$1:$AY$1,L$1)+SUMIFS('changes2_based on steps'!$B14:$U14,'changes2_based on steps'!$B$1:$U$1,L$1)</f>
        <v>0</v>
      </c>
      <c r="M14" s="179">
        <f>SUMIFS('recurring2_based on steps'!$B14:$AY14,'recurring2_based on steps'!$B$1:$AY$1,M$1)+SUMIFS('changes2_based on steps'!$B14:$U14,'changes2_based on steps'!$B$1:$U$1,M$1)</f>
        <v>0</v>
      </c>
      <c r="N14" s="179">
        <f>SUMIFS('recurring2_based on steps'!$B14:$AY14,'recurring2_based on steps'!$B$1:$AY$1,N$1)+SUMIFS('changes2_based on steps'!$B14:$U14,'changes2_based on steps'!$B$1:$U$1,N$1)</f>
        <v>0</v>
      </c>
      <c r="O14" s="179">
        <f>SUMIFS('recurring2_based on steps'!$B14:$AY14,'recurring2_based on steps'!$B$1:$AY$1,O$1)+SUMIFS('changes2_based on steps'!$B14:$U14,'changes2_based on steps'!$B$1:$U$1,O$1)</f>
        <v>0</v>
      </c>
      <c r="P14" s="179">
        <f>SUMIFS('recurring2_based on steps'!$B14:$AY14,'recurring2_based on steps'!$B$1:$AY$1,P$1)+SUMIFS('changes2_based on steps'!$B14:$U14,'changes2_based on steps'!$B$1:$U$1,P$1)</f>
        <v>0</v>
      </c>
      <c r="Q14" s="179">
        <f>SUMIFS('recurring2_based on steps'!$B14:$AY14,'recurring2_based on steps'!$B$1:$AY$1,Q$1)+SUMIFS('changes2_based on steps'!$B14:$U14,'changes2_based on steps'!$B$1:$U$1,Q$1)</f>
        <v>0</v>
      </c>
      <c r="R14" s="179">
        <f>SUMIFS('recurring2_based on steps'!$B14:$AY14,'recurring2_based on steps'!$B$1:$AY$1,R$1)+SUMIFS('changes2_based on steps'!$B14:$U14,'changes2_based on steps'!$B$1:$U$1,R$1)</f>
        <v>0</v>
      </c>
      <c r="S14" s="179">
        <f>SUMIFS('recurring2_based on steps'!$B14:$AY14,'recurring2_based on steps'!$B$1:$AY$1,S$1)+SUMIFS('changes2_based on steps'!$B14:$U14,'changes2_based on steps'!$B$1:$U$1,S$1)</f>
        <v>0</v>
      </c>
      <c r="T14" s="179">
        <f>SUMIFS('recurring2_based on steps'!$B14:$AY14,'recurring2_based on steps'!$B$1:$AY$1,T$1)+SUMIFS('changes2_based on steps'!$B14:$U14,'changes2_based on steps'!$B$1:$U$1,T$1)</f>
        <v>0</v>
      </c>
      <c r="U14" s="179">
        <f>SUMIFS('recurring2_based on steps'!$B14:$AY14,'recurring2_based on steps'!$B$1:$AY$1,U$1)+SUMIFS('changes2_based on steps'!$B14:$U14,'changes2_based on steps'!$B$1:$U$1,U$1)</f>
        <v>0</v>
      </c>
      <c r="V14" s="179">
        <f>SUMIFS('recurring2_based on steps'!$B14:$AY14,'recurring2_based on steps'!$B$1:$AY$1,V$1)+SUMIFS('changes2_based on steps'!$B14:$U14,'changes2_based on steps'!$B$1:$U$1,V$1)</f>
        <v>0</v>
      </c>
      <c r="W14" s="179">
        <f>SUMIFS('recurring2_based on steps'!$B14:$AY14,'recurring2_based on steps'!$B$1:$AY$1,W$1)+SUMIFS('changes2_based on steps'!$B14:$U14,'changes2_based on steps'!$B$1:$U$1,W$1)</f>
        <v>0</v>
      </c>
      <c r="X14" s="179">
        <f>SUMIFS('recurring2_based on steps'!$B14:$AY14,'recurring2_based on steps'!$B$1:$AY$1,X$1)+SUMIFS('changes2_based on steps'!$B14:$U14,'changes2_based on steps'!$B$1:$U$1,X$1)</f>
        <v>0</v>
      </c>
      <c r="Y14" s="179">
        <f>SUMIFS('recurring2_based on steps'!$B14:$AY14,'recurring2_based on steps'!$B$1:$AY$1,Y$1)+SUMIFS('changes2_based on steps'!$B14:$U14,'changes2_based on steps'!$B$1:$U$1,Y$1)</f>
        <v>0</v>
      </c>
      <c r="Z14" s="179">
        <f>SUMIFS('recurring2_based on steps'!$B14:$AY14,'recurring2_based on steps'!$B$1:$AY$1,Z$1)+SUMIFS('changes2_based on steps'!$B14:$U14,'changes2_based on steps'!$B$1:$U$1,Z$1)</f>
        <v>0</v>
      </c>
      <c r="AA14" s="179">
        <f>SUMIFS('recurring2_based on steps'!$B14:$AY14,'recurring2_based on steps'!$B$1:$AY$1,AA$1)+SUMIFS('changes2_based on steps'!$B14:$U14,'changes2_based on steps'!$B$1:$U$1,AA$1)</f>
        <v>0</v>
      </c>
      <c r="AB14" s="179">
        <f>SUMIFS('recurring2_based on steps'!$B14:$AY14,'recurring2_based on steps'!$B$1:$AY$1,AB$1)+SUMIFS('changes2_based on steps'!$B14:$U14,'changes2_based on steps'!$B$1:$U$1,AB$1)</f>
        <v>0</v>
      </c>
      <c r="AC14" s="179">
        <f>SUMIFS('recurring2_based on steps'!$B14:$AY14,'recurring2_based on steps'!$B$1:$AY$1,AC$1)+SUMIFS('changes2_based on steps'!$B14:$U14,'changes2_based on steps'!$B$1:$U$1,AC$1)</f>
        <v>0</v>
      </c>
      <c r="AD14" s="179">
        <f>SUMIFS('recurring2_based on steps'!$B14:$AY14,'recurring2_based on steps'!$B$1:$AY$1,AD$1)+SUMIFS('changes2_based on steps'!$B14:$U14,'changes2_based on steps'!$B$1:$U$1,AD$1)</f>
        <v>0</v>
      </c>
      <c r="AE14" s="179">
        <f>SUMIFS('recurring2_based on steps'!$B14:$AY14,'recurring2_based on steps'!$B$1:$AY$1,AE$1)+SUMIFS('changes2_based on steps'!$B14:$U14,'changes2_based on steps'!$B$1:$U$1,AE$1)</f>
        <v>0</v>
      </c>
      <c r="AF14" s="179"/>
      <c r="AG14" s="179"/>
      <c r="AH14" s="179"/>
      <c r="AI14" s="179"/>
      <c r="AJ14" s="179"/>
      <c r="AK14" s="179"/>
      <c r="AL14" s="179"/>
      <c r="AM14" s="179"/>
    </row>
    <row r="15" spans="1:39" x14ac:dyDescent="0.2">
      <c r="A15" s="32">
        <f t="shared" ca="1" si="0"/>
        <v>45764</v>
      </c>
      <c r="B15" s="179">
        <f>SUMIFS('recurring2_based on steps'!$B15:$AY15,'recurring2_based on steps'!$B$1:$AY$1,B$1)+SUMIFS('changes2_based on steps'!$B15:$U15,'changes2_based on steps'!$B$1:$U$1,B$1)</f>
        <v>0</v>
      </c>
      <c r="C15" s="179">
        <f>SUMIFS('recurring2_based on steps'!$B15:$AY15,'recurring2_based on steps'!$B$1:$AY$1,C$1)+SUMIFS('changes2_based on steps'!$B15:$U15,'changes2_based on steps'!$B$1:$U$1,C$1)</f>
        <v>0</v>
      </c>
      <c r="D15" s="179">
        <f>SUMIFS('recurring2_based on steps'!$B15:$AY15,'recurring2_based on steps'!$B$1:$AY$1,D$1)+SUMIFS('changes2_based on steps'!$B15:$U15,'changes2_based on steps'!$B$1:$U$1,D$1)</f>
        <v>0</v>
      </c>
      <c r="E15" s="179">
        <f>SUMIFS('recurring2_based on steps'!$B15:$AY15,'recurring2_based on steps'!$B$1:$AY$1,E$1)+SUMIFS('changes2_based on steps'!$B15:$U15,'changes2_based on steps'!$B$1:$U$1,E$1)</f>
        <v>0</v>
      </c>
      <c r="F15" s="179">
        <f>SUMIFS('recurring2_based on steps'!$B15:$AY15,'recurring2_based on steps'!$B$1:$AY$1,F$1)+SUMIFS('changes2_based on steps'!$B15:$U15,'changes2_based on steps'!$B$1:$U$1,F$1)</f>
        <v>0</v>
      </c>
      <c r="G15" s="179">
        <f>SUMIFS('recurring2_based on steps'!$B15:$AY15,'recurring2_based on steps'!$B$1:$AY$1,G$1)+SUMIFS('changes2_based on steps'!$B15:$U15,'changes2_based on steps'!$B$1:$U$1,G$1)</f>
        <v>0</v>
      </c>
      <c r="H15" s="179">
        <f>SUMIFS('recurring2_based on steps'!$B15:$AY15,'recurring2_based on steps'!$B$1:$AY$1,H$1)+SUMIFS('changes2_based on steps'!$B15:$U15,'changes2_based on steps'!$B$1:$U$1,H$1)</f>
        <v>0</v>
      </c>
      <c r="I15" s="179">
        <f>SUMIFS('recurring2_based on steps'!$B15:$AY15,'recurring2_based on steps'!$B$1:$AY$1,I$1)+SUMIFS('changes2_based on steps'!$B15:$U15,'changes2_based on steps'!$B$1:$U$1,I$1)</f>
        <v>0</v>
      </c>
      <c r="J15" s="179">
        <f>SUMIFS('recurring2_based on steps'!$B15:$AY15,'recurring2_based on steps'!$B$1:$AY$1,J$1)+SUMIFS('changes2_based on steps'!$B15:$U15,'changes2_based on steps'!$B$1:$U$1,J$1)</f>
        <v>0</v>
      </c>
      <c r="K15" s="179">
        <f>SUMIFS('recurring2_based on steps'!$B15:$AY15,'recurring2_based on steps'!$B$1:$AY$1,K$1)+SUMIFS('changes2_based on steps'!$B15:$U15,'changes2_based on steps'!$B$1:$U$1,K$1)</f>
        <v>0</v>
      </c>
      <c r="L15" s="179">
        <f>SUMIFS('recurring2_based on steps'!$B15:$AY15,'recurring2_based on steps'!$B$1:$AY$1,L$1)+SUMIFS('changes2_based on steps'!$B15:$U15,'changes2_based on steps'!$B$1:$U$1,L$1)</f>
        <v>0</v>
      </c>
      <c r="M15" s="179">
        <f>SUMIFS('recurring2_based on steps'!$B15:$AY15,'recurring2_based on steps'!$B$1:$AY$1,M$1)+SUMIFS('changes2_based on steps'!$B15:$U15,'changes2_based on steps'!$B$1:$U$1,M$1)</f>
        <v>0</v>
      </c>
      <c r="N15" s="179">
        <f>SUMIFS('recurring2_based on steps'!$B15:$AY15,'recurring2_based on steps'!$B$1:$AY$1,N$1)+SUMIFS('changes2_based on steps'!$B15:$U15,'changes2_based on steps'!$B$1:$U$1,N$1)</f>
        <v>0</v>
      </c>
      <c r="O15" s="179">
        <f>SUMIFS('recurring2_based on steps'!$B15:$AY15,'recurring2_based on steps'!$B$1:$AY$1,O$1)+SUMIFS('changes2_based on steps'!$B15:$U15,'changes2_based on steps'!$B$1:$U$1,O$1)</f>
        <v>0</v>
      </c>
      <c r="P15" s="179">
        <f>SUMIFS('recurring2_based on steps'!$B15:$AY15,'recurring2_based on steps'!$B$1:$AY$1,P$1)+SUMIFS('changes2_based on steps'!$B15:$U15,'changes2_based on steps'!$B$1:$U$1,P$1)</f>
        <v>0</v>
      </c>
      <c r="Q15" s="179">
        <f>SUMIFS('recurring2_based on steps'!$B15:$AY15,'recurring2_based on steps'!$B$1:$AY$1,Q$1)+SUMIFS('changes2_based on steps'!$B15:$U15,'changes2_based on steps'!$B$1:$U$1,Q$1)</f>
        <v>0</v>
      </c>
      <c r="R15" s="179">
        <f>SUMIFS('recurring2_based on steps'!$B15:$AY15,'recurring2_based on steps'!$B$1:$AY$1,R$1)+SUMIFS('changes2_based on steps'!$B15:$U15,'changes2_based on steps'!$B$1:$U$1,R$1)</f>
        <v>0</v>
      </c>
      <c r="S15" s="179">
        <f>SUMIFS('recurring2_based on steps'!$B15:$AY15,'recurring2_based on steps'!$B$1:$AY$1,S$1)+SUMIFS('changes2_based on steps'!$B15:$U15,'changes2_based on steps'!$B$1:$U$1,S$1)</f>
        <v>0</v>
      </c>
      <c r="T15" s="179">
        <f>SUMIFS('recurring2_based on steps'!$B15:$AY15,'recurring2_based on steps'!$B$1:$AY$1,T$1)+SUMIFS('changes2_based on steps'!$B15:$U15,'changes2_based on steps'!$B$1:$U$1,T$1)</f>
        <v>0</v>
      </c>
      <c r="U15" s="179">
        <f>SUMIFS('recurring2_based on steps'!$B15:$AY15,'recurring2_based on steps'!$B$1:$AY$1,U$1)+SUMIFS('changes2_based on steps'!$B15:$U15,'changes2_based on steps'!$B$1:$U$1,U$1)</f>
        <v>0</v>
      </c>
      <c r="V15" s="179">
        <f>SUMIFS('recurring2_based on steps'!$B15:$AY15,'recurring2_based on steps'!$B$1:$AY$1,V$1)+SUMIFS('changes2_based on steps'!$B15:$U15,'changes2_based on steps'!$B$1:$U$1,V$1)</f>
        <v>0</v>
      </c>
      <c r="W15" s="179">
        <f>SUMIFS('recurring2_based on steps'!$B15:$AY15,'recurring2_based on steps'!$B$1:$AY$1,W$1)+SUMIFS('changes2_based on steps'!$B15:$U15,'changes2_based on steps'!$B$1:$U$1,W$1)</f>
        <v>0</v>
      </c>
      <c r="X15" s="179">
        <f>SUMIFS('recurring2_based on steps'!$B15:$AY15,'recurring2_based on steps'!$B$1:$AY$1,X$1)+SUMIFS('changes2_based on steps'!$B15:$U15,'changes2_based on steps'!$B$1:$U$1,X$1)</f>
        <v>0</v>
      </c>
      <c r="Y15" s="179">
        <f>SUMIFS('recurring2_based on steps'!$B15:$AY15,'recurring2_based on steps'!$B$1:$AY$1,Y$1)+SUMIFS('changes2_based on steps'!$B15:$U15,'changes2_based on steps'!$B$1:$U$1,Y$1)</f>
        <v>0</v>
      </c>
      <c r="Z15" s="179">
        <f>SUMIFS('recurring2_based on steps'!$B15:$AY15,'recurring2_based on steps'!$B$1:$AY$1,Z$1)+SUMIFS('changes2_based on steps'!$B15:$U15,'changes2_based on steps'!$B$1:$U$1,Z$1)</f>
        <v>0</v>
      </c>
      <c r="AA15" s="179">
        <f>SUMIFS('recurring2_based on steps'!$B15:$AY15,'recurring2_based on steps'!$B$1:$AY$1,AA$1)+SUMIFS('changes2_based on steps'!$B15:$U15,'changes2_based on steps'!$B$1:$U$1,AA$1)</f>
        <v>0</v>
      </c>
      <c r="AB15" s="179">
        <f>SUMIFS('recurring2_based on steps'!$B15:$AY15,'recurring2_based on steps'!$B$1:$AY$1,AB$1)+SUMIFS('changes2_based on steps'!$B15:$U15,'changes2_based on steps'!$B$1:$U$1,AB$1)</f>
        <v>0</v>
      </c>
      <c r="AC15" s="179">
        <f>SUMIFS('recurring2_based on steps'!$B15:$AY15,'recurring2_based on steps'!$B$1:$AY$1,AC$1)+SUMIFS('changes2_based on steps'!$B15:$U15,'changes2_based on steps'!$B$1:$U$1,AC$1)</f>
        <v>0</v>
      </c>
      <c r="AD15" s="179">
        <f>SUMIFS('recurring2_based on steps'!$B15:$AY15,'recurring2_based on steps'!$B$1:$AY$1,AD$1)+SUMIFS('changes2_based on steps'!$B15:$U15,'changes2_based on steps'!$B$1:$U$1,AD$1)</f>
        <v>0</v>
      </c>
      <c r="AE15" s="179">
        <f>SUMIFS('recurring2_based on steps'!$B15:$AY15,'recurring2_based on steps'!$B$1:$AY$1,AE$1)+SUMIFS('changes2_based on steps'!$B15:$U15,'changes2_based on steps'!$B$1:$U$1,AE$1)</f>
        <v>0</v>
      </c>
      <c r="AF15" s="179"/>
      <c r="AG15" s="179"/>
      <c r="AH15" s="179"/>
      <c r="AI15" s="179"/>
      <c r="AJ15" s="179"/>
      <c r="AK15" s="179"/>
      <c r="AL15" s="179"/>
      <c r="AM15" s="179"/>
    </row>
    <row r="16" spans="1:39" x14ac:dyDescent="0.2">
      <c r="A16" s="32">
        <f t="shared" ca="1" si="0"/>
        <v>45765</v>
      </c>
      <c r="B16" s="179">
        <f>SUMIFS('recurring2_based on steps'!$B16:$AY16,'recurring2_based on steps'!$B$1:$AY$1,B$1)+SUMIFS('changes2_based on steps'!$B16:$U16,'changes2_based on steps'!$B$1:$U$1,B$1)</f>
        <v>0</v>
      </c>
      <c r="C16" s="179">
        <f>SUMIFS('recurring2_based on steps'!$B16:$AY16,'recurring2_based on steps'!$B$1:$AY$1,C$1)+SUMIFS('changes2_based on steps'!$B16:$U16,'changes2_based on steps'!$B$1:$U$1,C$1)</f>
        <v>0</v>
      </c>
      <c r="D16" s="179">
        <f>SUMIFS('recurring2_based on steps'!$B16:$AY16,'recurring2_based on steps'!$B$1:$AY$1,D$1)+SUMIFS('changes2_based on steps'!$B16:$U16,'changes2_based on steps'!$B$1:$U$1,D$1)</f>
        <v>0</v>
      </c>
      <c r="E16" s="179">
        <f>SUMIFS('recurring2_based on steps'!$B16:$AY16,'recurring2_based on steps'!$B$1:$AY$1,E$1)+SUMIFS('changes2_based on steps'!$B16:$U16,'changes2_based on steps'!$B$1:$U$1,E$1)</f>
        <v>0</v>
      </c>
      <c r="F16" s="179">
        <f>SUMIFS('recurring2_based on steps'!$B16:$AY16,'recurring2_based on steps'!$B$1:$AY$1,F$1)+SUMIFS('changes2_based on steps'!$B16:$U16,'changes2_based on steps'!$B$1:$U$1,F$1)</f>
        <v>0</v>
      </c>
      <c r="G16" s="179">
        <f>SUMIFS('recurring2_based on steps'!$B16:$AY16,'recurring2_based on steps'!$B$1:$AY$1,G$1)+SUMIFS('changes2_based on steps'!$B16:$U16,'changes2_based on steps'!$B$1:$U$1,G$1)</f>
        <v>0</v>
      </c>
      <c r="H16" s="179">
        <f>SUMIFS('recurring2_based on steps'!$B16:$AY16,'recurring2_based on steps'!$B$1:$AY$1,H$1)+SUMIFS('changes2_based on steps'!$B16:$U16,'changes2_based on steps'!$B$1:$U$1,H$1)</f>
        <v>0</v>
      </c>
      <c r="I16" s="179">
        <f>SUMIFS('recurring2_based on steps'!$B16:$AY16,'recurring2_based on steps'!$B$1:$AY$1,I$1)+SUMIFS('changes2_based on steps'!$B16:$U16,'changes2_based on steps'!$B$1:$U$1,I$1)</f>
        <v>0</v>
      </c>
      <c r="J16" s="179">
        <f>SUMIFS('recurring2_based on steps'!$B16:$AY16,'recurring2_based on steps'!$B$1:$AY$1,J$1)+SUMIFS('changes2_based on steps'!$B16:$U16,'changes2_based on steps'!$B$1:$U$1,J$1)</f>
        <v>0</v>
      </c>
      <c r="K16" s="179">
        <f>SUMIFS('recurring2_based on steps'!$B16:$AY16,'recurring2_based on steps'!$B$1:$AY$1,K$1)+SUMIFS('changes2_based on steps'!$B16:$U16,'changes2_based on steps'!$B$1:$U$1,K$1)</f>
        <v>0</v>
      </c>
      <c r="L16" s="179">
        <f>SUMIFS('recurring2_based on steps'!$B16:$AY16,'recurring2_based on steps'!$B$1:$AY$1,L$1)+SUMIFS('changes2_based on steps'!$B16:$U16,'changes2_based on steps'!$B$1:$U$1,L$1)</f>
        <v>0</v>
      </c>
      <c r="M16" s="179">
        <f>SUMIFS('recurring2_based on steps'!$B16:$AY16,'recurring2_based on steps'!$B$1:$AY$1,M$1)+SUMIFS('changes2_based on steps'!$B16:$U16,'changes2_based on steps'!$B$1:$U$1,M$1)</f>
        <v>0</v>
      </c>
      <c r="N16" s="179">
        <f>SUMIFS('recurring2_based on steps'!$B16:$AY16,'recurring2_based on steps'!$B$1:$AY$1,N$1)+SUMIFS('changes2_based on steps'!$B16:$U16,'changes2_based on steps'!$B$1:$U$1,N$1)</f>
        <v>0</v>
      </c>
      <c r="O16" s="179">
        <f>SUMIFS('recurring2_based on steps'!$B16:$AY16,'recurring2_based on steps'!$B$1:$AY$1,O$1)+SUMIFS('changes2_based on steps'!$B16:$U16,'changes2_based on steps'!$B$1:$U$1,O$1)</f>
        <v>0</v>
      </c>
      <c r="P16" s="179">
        <f>SUMIFS('recurring2_based on steps'!$B16:$AY16,'recurring2_based on steps'!$B$1:$AY$1,P$1)+SUMIFS('changes2_based on steps'!$B16:$U16,'changes2_based on steps'!$B$1:$U$1,P$1)</f>
        <v>0</v>
      </c>
      <c r="Q16" s="179">
        <f>SUMIFS('recurring2_based on steps'!$B16:$AY16,'recurring2_based on steps'!$B$1:$AY$1,Q$1)+SUMIFS('changes2_based on steps'!$B16:$U16,'changes2_based on steps'!$B$1:$U$1,Q$1)</f>
        <v>0</v>
      </c>
      <c r="R16" s="179">
        <f>SUMIFS('recurring2_based on steps'!$B16:$AY16,'recurring2_based on steps'!$B$1:$AY$1,R$1)+SUMIFS('changes2_based on steps'!$B16:$U16,'changes2_based on steps'!$B$1:$U$1,R$1)</f>
        <v>0</v>
      </c>
      <c r="S16" s="179">
        <f>SUMIFS('recurring2_based on steps'!$B16:$AY16,'recurring2_based on steps'!$B$1:$AY$1,S$1)+SUMIFS('changes2_based on steps'!$B16:$U16,'changes2_based on steps'!$B$1:$U$1,S$1)</f>
        <v>0</v>
      </c>
      <c r="T16" s="179">
        <f>SUMIFS('recurring2_based on steps'!$B16:$AY16,'recurring2_based on steps'!$B$1:$AY$1,T$1)+SUMIFS('changes2_based on steps'!$B16:$U16,'changes2_based on steps'!$B$1:$U$1,T$1)</f>
        <v>0</v>
      </c>
      <c r="U16" s="179">
        <f>SUMIFS('recurring2_based on steps'!$B16:$AY16,'recurring2_based on steps'!$B$1:$AY$1,U$1)+SUMIFS('changes2_based on steps'!$B16:$U16,'changes2_based on steps'!$B$1:$U$1,U$1)</f>
        <v>0</v>
      </c>
      <c r="V16" s="179">
        <f>SUMIFS('recurring2_based on steps'!$B16:$AY16,'recurring2_based on steps'!$B$1:$AY$1,V$1)+SUMIFS('changes2_based on steps'!$B16:$U16,'changes2_based on steps'!$B$1:$U$1,V$1)</f>
        <v>0</v>
      </c>
      <c r="W16" s="179">
        <f>SUMIFS('recurring2_based on steps'!$B16:$AY16,'recurring2_based on steps'!$B$1:$AY$1,W$1)+SUMIFS('changes2_based on steps'!$B16:$U16,'changes2_based on steps'!$B$1:$U$1,W$1)</f>
        <v>0</v>
      </c>
      <c r="X16" s="179">
        <f>SUMIFS('recurring2_based on steps'!$B16:$AY16,'recurring2_based on steps'!$B$1:$AY$1,X$1)+SUMIFS('changes2_based on steps'!$B16:$U16,'changes2_based on steps'!$B$1:$U$1,X$1)</f>
        <v>0</v>
      </c>
      <c r="Y16" s="179">
        <f>SUMIFS('recurring2_based on steps'!$B16:$AY16,'recurring2_based on steps'!$B$1:$AY$1,Y$1)+SUMIFS('changes2_based on steps'!$B16:$U16,'changes2_based on steps'!$B$1:$U$1,Y$1)</f>
        <v>0</v>
      </c>
      <c r="Z16" s="179">
        <f>SUMIFS('recurring2_based on steps'!$B16:$AY16,'recurring2_based on steps'!$B$1:$AY$1,Z$1)+SUMIFS('changes2_based on steps'!$B16:$U16,'changes2_based on steps'!$B$1:$U$1,Z$1)</f>
        <v>0</v>
      </c>
      <c r="AA16" s="179">
        <f>SUMIFS('recurring2_based on steps'!$B16:$AY16,'recurring2_based on steps'!$B$1:$AY$1,AA$1)+SUMIFS('changes2_based on steps'!$B16:$U16,'changes2_based on steps'!$B$1:$U$1,AA$1)</f>
        <v>0</v>
      </c>
      <c r="AB16" s="179">
        <f>SUMIFS('recurring2_based on steps'!$B16:$AY16,'recurring2_based on steps'!$B$1:$AY$1,AB$1)+SUMIFS('changes2_based on steps'!$B16:$U16,'changes2_based on steps'!$B$1:$U$1,AB$1)</f>
        <v>0</v>
      </c>
      <c r="AC16" s="179">
        <f>SUMIFS('recurring2_based on steps'!$B16:$AY16,'recurring2_based on steps'!$B$1:$AY$1,AC$1)+SUMIFS('changes2_based on steps'!$B16:$U16,'changes2_based on steps'!$B$1:$U$1,AC$1)</f>
        <v>0</v>
      </c>
      <c r="AD16" s="179">
        <f>SUMIFS('recurring2_based on steps'!$B16:$AY16,'recurring2_based on steps'!$B$1:$AY$1,AD$1)+SUMIFS('changes2_based on steps'!$B16:$U16,'changes2_based on steps'!$B$1:$U$1,AD$1)</f>
        <v>0</v>
      </c>
      <c r="AE16" s="179">
        <f>SUMIFS('recurring2_based on steps'!$B16:$AY16,'recurring2_based on steps'!$B$1:$AY$1,AE$1)+SUMIFS('changes2_based on steps'!$B16:$U16,'changes2_based on steps'!$B$1:$U$1,AE$1)</f>
        <v>0</v>
      </c>
      <c r="AF16" s="179"/>
      <c r="AG16" s="179"/>
      <c r="AH16" s="179"/>
      <c r="AI16" s="179"/>
      <c r="AJ16" s="179"/>
      <c r="AK16" s="179"/>
      <c r="AL16" s="179"/>
      <c r="AM16" s="179"/>
    </row>
    <row r="17" spans="1:39" x14ac:dyDescent="0.2">
      <c r="A17" s="32">
        <f t="shared" ca="1" si="0"/>
        <v>45766</v>
      </c>
      <c r="B17" s="179">
        <f>SUMIFS('recurring2_based on steps'!$B17:$AY17,'recurring2_based on steps'!$B$1:$AY$1,B$1)+SUMIFS('changes2_based on steps'!$B17:$U17,'changes2_based on steps'!$B$1:$U$1,B$1)</f>
        <v>0</v>
      </c>
      <c r="C17" s="179">
        <f>SUMIFS('recurring2_based on steps'!$B17:$AY17,'recurring2_based on steps'!$B$1:$AY$1,C$1)+SUMIFS('changes2_based on steps'!$B17:$U17,'changes2_based on steps'!$B$1:$U$1,C$1)</f>
        <v>0</v>
      </c>
      <c r="D17" s="179">
        <f>SUMIFS('recurring2_based on steps'!$B17:$AY17,'recurring2_based on steps'!$B$1:$AY$1,D$1)+SUMIFS('changes2_based on steps'!$B17:$U17,'changes2_based on steps'!$B$1:$U$1,D$1)</f>
        <v>0</v>
      </c>
      <c r="E17" s="179">
        <f>SUMIFS('recurring2_based on steps'!$B17:$AY17,'recurring2_based on steps'!$B$1:$AY$1,E$1)+SUMIFS('changes2_based on steps'!$B17:$U17,'changes2_based on steps'!$B$1:$U$1,E$1)</f>
        <v>0</v>
      </c>
      <c r="F17" s="179">
        <f>SUMIFS('recurring2_based on steps'!$B17:$AY17,'recurring2_based on steps'!$B$1:$AY$1,F$1)+SUMIFS('changes2_based on steps'!$B17:$U17,'changes2_based on steps'!$B$1:$U$1,F$1)</f>
        <v>0</v>
      </c>
      <c r="G17" s="179">
        <f>SUMIFS('recurring2_based on steps'!$B17:$AY17,'recurring2_based on steps'!$B$1:$AY$1,G$1)+SUMIFS('changes2_based on steps'!$B17:$U17,'changes2_based on steps'!$B$1:$U$1,G$1)</f>
        <v>0</v>
      </c>
      <c r="H17" s="179">
        <f>SUMIFS('recurring2_based on steps'!$B17:$AY17,'recurring2_based on steps'!$B$1:$AY$1,H$1)+SUMIFS('changes2_based on steps'!$B17:$U17,'changes2_based on steps'!$B$1:$U$1,H$1)</f>
        <v>0</v>
      </c>
      <c r="I17" s="179">
        <f>SUMIFS('recurring2_based on steps'!$B17:$AY17,'recurring2_based on steps'!$B$1:$AY$1,I$1)+SUMIFS('changes2_based on steps'!$B17:$U17,'changes2_based on steps'!$B$1:$U$1,I$1)</f>
        <v>0</v>
      </c>
      <c r="J17" s="179">
        <f>SUMIFS('recurring2_based on steps'!$B17:$AY17,'recurring2_based on steps'!$B$1:$AY$1,J$1)+SUMIFS('changes2_based on steps'!$B17:$U17,'changes2_based on steps'!$B$1:$U$1,J$1)</f>
        <v>0</v>
      </c>
      <c r="K17" s="179">
        <f>SUMIFS('recurring2_based on steps'!$B17:$AY17,'recurring2_based on steps'!$B$1:$AY$1,K$1)+SUMIFS('changes2_based on steps'!$B17:$U17,'changes2_based on steps'!$B$1:$U$1,K$1)</f>
        <v>0</v>
      </c>
      <c r="L17" s="179">
        <f>SUMIFS('recurring2_based on steps'!$B17:$AY17,'recurring2_based on steps'!$B$1:$AY$1,L$1)+SUMIFS('changes2_based on steps'!$B17:$U17,'changes2_based on steps'!$B$1:$U$1,L$1)</f>
        <v>0</v>
      </c>
      <c r="M17" s="179">
        <f>SUMIFS('recurring2_based on steps'!$B17:$AY17,'recurring2_based on steps'!$B$1:$AY$1,M$1)+SUMIFS('changes2_based on steps'!$B17:$U17,'changes2_based on steps'!$B$1:$U$1,M$1)</f>
        <v>0</v>
      </c>
      <c r="N17" s="179">
        <f>SUMIFS('recurring2_based on steps'!$B17:$AY17,'recurring2_based on steps'!$B$1:$AY$1,N$1)+SUMIFS('changes2_based on steps'!$B17:$U17,'changes2_based on steps'!$B$1:$U$1,N$1)</f>
        <v>0</v>
      </c>
      <c r="O17" s="179">
        <f>SUMIFS('recurring2_based on steps'!$B17:$AY17,'recurring2_based on steps'!$B$1:$AY$1,O$1)+SUMIFS('changes2_based on steps'!$B17:$U17,'changes2_based on steps'!$B$1:$U$1,O$1)</f>
        <v>0</v>
      </c>
      <c r="P17" s="179">
        <f>SUMIFS('recurring2_based on steps'!$B17:$AY17,'recurring2_based on steps'!$B$1:$AY$1,P$1)+SUMIFS('changes2_based on steps'!$B17:$U17,'changes2_based on steps'!$B$1:$U$1,P$1)</f>
        <v>0</v>
      </c>
      <c r="Q17" s="179">
        <f>SUMIFS('recurring2_based on steps'!$B17:$AY17,'recurring2_based on steps'!$B$1:$AY$1,Q$1)+SUMIFS('changes2_based on steps'!$B17:$U17,'changes2_based on steps'!$B$1:$U$1,Q$1)</f>
        <v>0</v>
      </c>
      <c r="R17" s="179">
        <f>SUMIFS('recurring2_based on steps'!$B17:$AY17,'recurring2_based on steps'!$B$1:$AY$1,R$1)+SUMIFS('changes2_based on steps'!$B17:$U17,'changes2_based on steps'!$B$1:$U$1,R$1)</f>
        <v>0</v>
      </c>
      <c r="S17" s="179">
        <f>SUMIFS('recurring2_based on steps'!$B17:$AY17,'recurring2_based on steps'!$B$1:$AY$1,S$1)+SUMIFS('changes2_based on steps'!$B17:$U17,'changes2_based on steps'!$B$1:$U$1,S$1)</f>
        <v>0</v>
      </c>
      <c r="T17" s="179">
        <f>SUMIFS('recurring2_based on steps'!$B17:$AY17,'recurring2_based on steps'!$B$1:$AY$1,T$1)+SUMIFS('changes2_based on steps'!$B17:$U17,'changes2_based on steps'!$B$1:$U$1,T$1)</f>
        <v>0</v>
      </c>
      <c r="U17" s="179">
        <f>SUMIFS('recurring2_based on steps'!$B17:$AY17,'recurring2_based on steps'!$B$1:$AY$1,U$1)+SUMIFS('changes2_based on steps'!$B17:$U17,'changes2_based on steps'!$B$1:$U$1,U$1)</f>
        <v>0</v>
      </c>
      <c r="V17" s="179">
        <f>SUMIFS('recurring2_based on steps'!$B17:$AY17,'recurring2_based on steps'!$B$1:$AY$1,V$1)+SUMIFS('changes2_based on steps'!$B17:$U17,'changes2_based on steps'!$B$1:$U$1,V$1)</f>
        <v>0</v>
      </c>
      <c r="W17" s="179">
        <f>SUMIFS('recurring2_based on steps'!$B17:$AY17,'recurring2_based on steps'!$B$1:$AY$1,W$1)+SUMIFS('changes2_based on steps'!$B17:$U17,'changes2_based on steps'!$B$1:$U$1,W$1)</f>
        <v>0</v>
      </c>
      <c r="X17" s="179">
        <f>SUMIFS('recurring2_based on steps'!$B17:$AY17,'recurring2_based on steps'!$B$1:$AY$1,X$1)+SUMIFS('changes2_based on steps'!$B17:$U17,'changes2_based on steps'!$B$1:$U$1,X$1)</f>
        <v>0</v>
      </c>
      <c r="Y17" s="179">
        <f>SUMIFS('recurring2_based on steps'!$B17:$AY17,'recurring2_based on steps'!$B$1:$AY$1,Y$1)+SUMIFS('changes2_based on steps'!$B17:$U17,'changes2_based on steps'!$B$1:$U$1,Y$1)</f>
        <v>0</v>
      </c>
      <c r="Z17" s="179">
        <f>SUMIFS('recurring2_based on steps'!$B17:$AY17,'recurring2_based on steps'!$B$1:$AY$1,Z$1)+SUMIFS('changes2_based on steps'!$B17:$U17,'changes2_based on steps'!$B$1:$U$1,Z$1)</f>
        <v>0</v>
      </c>
      <c r="AA17" s="179">
        <f>SUMIFS('recurring2_based on steps'!$B17:$AY17,'recurring2_based on steps'!$B$1:$AY$1,AA$1)+SUMIFS('changes2_based on steps'!$B17:$U17,'changes2_based on steps'!$B$1:$U$1,AA$1)</f>
        <v>0</v>
      </c>
      <c r="AB17" s="179">
        <f>SUMIFS('recurring2_based on steps'!$B17:$AY17,'recurring2_based on steps'!$B$1:$AY$1,AB$1)+SUMIFS('changes2_based on steps'!$B17:$U17,'changes2_based on steps'!$B$1:$U$1,AB$1)</f>
        <v>0</v>
      </c>
      <c r="AC17" s="179">
        <f>SUMIFS('recurring2_based on steps'!$B17:$AY17,'recurring2_based on steps'!$B$1:$AY$1,AC$1)+SUMIFS('changes2_based on steps'!$B17:$U17,'changes2_based on steps'!$B$1:$U$1,AC$1)</f>
        <v>0</v>
      </c>
      <c r="AD17" s="179">
        <f>SUMIFS('recurring2_based on steps'!$B17:$AY17,'recurring2_based on steps'!$B$1:$AY$1,AD$1)+SUMIFS('changes2_based on steps'!$B17:$U17,'changes2_based on steps'!$B$1:$U$1,AD$1)</f>
        <v>0</v>
      </c>
      <c r="AE17" s="179">
        <f>SUMIFS('recurring2_based on steps'!$B17:$AY17,'recurring2_based on steps'!$B$1:$AY$1,AE$1)+SUMIFS('changes2_based on steps'!$B17:$U17,'changes2_based on steps'!$B$1:$U$1,AE$1)</f>
        <v>0</v>
      </c>
      <c r="AF17" s="179"/>
      <c r="AG17" s="179"/>
      <c r="AH17" s="179"/>
      <c r="AI17" s="179"/>
      <c r="AJ17" s="179"/>
      <c r="AK17" s="179"/>
      <c r="AL17" s="179"/>
      <c r="AM17" s="179"/>
    </row>
    <row r="18" spans="1:39" x14ac:dyDescent="0.2">
      <c r="A18" s="32">
        <f t="shared" ca="1" si="0"/>
        <v>45767</v>
      </c>
      <c r="B18" s="179">
        <f>SUMIFS('recurring2_based on steps'!$B18:$AY18,'recurring2_based on steps'!$B$1:$AY$1,B$1)+SUMIFS('changes2_based on steps'!$B18:$U18,'changes2_based on steps'!$B$1:$U$1,B$1)</f>
        <v>0</v>
      </c>
      <c r="C18" s="179">
        <f>SUMIFS('recurring2_based on steps'!$B18:$AY18,'recurring2_based on steps'!$B$1:$AY$1,C$1)+SUMIFS('changes2_based on steps'!$B18:$U18,'changes2_based on steps'!$B$1:$U$1,C$1)</f>
        <v>0</v>
      </c>
      <c r="D18" s="179">
        <f>SUMIFS('recurring2_based on steps'!$B18:$AY18,'recurring2_based on steps'!$B$1:$AY$1,D$1)+SUMIFS('changes2_based on steps'!$B18:$U18,'changes2_based on steps'!$B$1:$U$1,D$1)</f>
        <v>0</v>
      </c>
      <c r="E18" s="179">
        <f>SUMIFS('recurring2_based on steps'!$B18:$AY18,'recurring2_based on steps'!$B$1:$AY$1,E$1)+SUMIFS('changes2_based on steps'!$B18:$U18,'changes2_based on steps'!$B$1:$U$1,E$1)</f>
        <v>0</v>
      </c>
      <c r="F18" s="179">
        <f>SUMIFS('recurring2_based on steps'!$B18:$AY18,'recurring2_based on steps'!$B$1:$AY$1,F$1)+SUMIFS('changes2_based on steps'!$B18:$U18,'changes2_based on steps'!$B$1:$U$1,F$1)</f>
        <v>0</v>
      </c>
      <c r="G18" s="179">
        <f>SUMIFS('recurring2_based on steps'!$B18:$AY18,'recurring2_based on steps'!$B$1:$AY$1,G$1)+SUMIFS('changes2_based on steps'!$B18:$U18,'changes2_based on steps'!$B$1:$U$1,G$1)</f>
        <v>0</v>
      </c>
      <c r="H18" s="179">
        <f>SUMIFS('recurring2_based on steps'!$B18:$AY18,'recurring2_based on steps'!$B$1:$AY$1,H$1)+SUMIFS('changes2_based on steps'!$B18:$U18,'changes2_based on steps'!$B$1:$U$1,H$1)</f>
        <v>0</v>
      </c>
      <c r="I18" s="179">
        <f>SUMIFS('recurring2_based on steps'!$B18:$AY18,'recurring2_based on steps'!$B$1:$AY$1,I$1)+SUMIFS('changes2_based on steps'!$B18:$U18,'changes2_based on steps'!$B$1:$U$1,I$1)</f>
        <v>0</v>
      </c>
      <c r="J18" s="179">
        <f>SUMIFS('recurring2_based on steps'!$B18:$AY18,'recurring2_based on steps'!$B$1:$AY$1,J$1)+SUMIFS('changes2_based on steps'!$B18:$U18,'changes2_based on steps'!$B$1:$U$1,J$1)</f>
        <v>0</v>
      </c>
      <c r="K18" s="179">
        <f>SUMIFS('recurring2_based on steps'!$B18:$AY18,'recurring2_based on steps'!$B$1:$AY$1,K$1)+SUMIFS('changes2_based on steps'!$B18:$U18,'changes2_based on steps'!$B$1:$U$1,K$1)</f>
        <v>0</v>
      </c>
      <c r="L18" s="179">
        <f>SUMIFS('recurring2_based on steps'!$B18:$AY18,'recurring2_based on steps'!$B$1:$AY$1,L$1)+SUMIFS('changes2_based on steps'!$B18:$U18,'changes2_based on steps'!$B$1:$U$1,L$1)</f>
        <v>0</v>
      </c>
      <c r="M18" s="179">
        <f>SUMIFS('recurring2_based on steps'!$B18:$AY18,'recurring2_based on steps'!$B$1:$AY$1,M$1)+SUMIFS('changes2_based on steps'!$B18:$U18,'changes2_based on steps'!$B$1:$U$1,M$1)</f>
        <v>0</v>
      </c>
      <c r="N18" s="179">
        <f>SUMIFS('recurring2_based on steps'!$B18:$AY18,'recurring2_based on steps'!$B$1:$AY$1,N$1)+SUMIFS('changes2_based on steps'!$B18:$U18,'changes2_based on steps'!$B$1:$U$1,N$1)</f>
        <v>0</v>
      </c>
      <c r="O18" s="179">
        <f>SUMIFS('recurring2_based on steps'!$B18:$AY18,'recurring2_based on steps'!$B$1:$AY$1,O$1)+SUMIFS('changes2_based on steps'!$B18:$U18,'changes2_based on steps'!$B$1:$U$1,O$1)</f>
        <v>0</v>
      </c>
      <c r="P18" s="179">
        <f>SUMIFS('recurring2_based on steps'!$B18:$AY18,'recurring2_based on steps'!$B$1:$AY$1,P$1)+SUMIFS('changes2_based on steps'!$B18:$U18,'changes2_based on steps'!$B$1:$U$1,P$1)</f>
        <v>0</v>
      </c>
      <c r="Q18" s="179">
        <f>SUMIFS('recurring2_based on steps'!$B18:$AY18,'recurring2_based on steps'!$B$1:$AY$1,Q$1)+SUMIFS('changes2_based on steps'!$B18:$U18,'changes2_based on steps'!$B$1:$U$1,Q$1)</f>
        <v>0</v>
      </c>
      <c r="R18" s="179">
        <f>SUMIFS('recurring2_based on steps'!$B18:$AY18,'recurring2_based on steps'!$B$1:$AY$1,R$1)+SUMIFS('changes2_based on steps'!$B18:$U18,'changes2_based on steps'!$B$1:$U$1,R$1)</f>
        <v>0</v>
      </c>
      <c r="S18" s="179">
        <f>SUMIFS('recurring2_based on steps'!$B18:$AY18,'recurring2_based on steps'!$B$1:$AY$1,S$1)+SUMIFS('changes2_based on steps'!$B18:$U18,'changes2_based on steps'!$B$1:$U$1,S$1)</f>
        <v>0</v>
      </c>
      <c r="T18" s="179">
        <f>SUMIFS('recurring2_based on steps'!$B18:$AY18,'recurring2_based on steps'!$B$1:$AY$1,T$1)+SUMIFS('changes2_based on steps'!$B18:$U18,'changes2_based on steps'!$B$1:$U$1,T$1)</f>
        <v>0</v>
      </c>
      <c r="U18" s="179">
        <f>SUMIFS('recurring2_based on steps'!$B18:$AY18,'recurring2_based on steps'!$B$1:$AY$1,U$1)+SUMIFS('changes2_based on steps'!$B18:$U18,'changes2_based on steps'!$B$1:$U$1,U$1)</f>
        <v>0</v>
      </c>
      <c r="V18" s="179">
        <f>SUMIFS('recurring2_based on steps'!$B18:$AY18,'recurring2_based on steps'!$B$1:$AY$1,V$1)+SUMIFS('changes2_based on steps'!$B18:$U18,'changes2_based on steps'!$B$1:$U$1,V$1)</f>
        <v>0</v>
      </c>
      <c r="W18" s="179">
        <f>SUMIFS('recurring2_based on steps'!$B18:$AY18,'recurring2_based on steps'!$B$1:$AY$1,W$1)+SUMIFS('changes2_based on steps'!$B18:$U18,'changes2_based on steps'!$B$1:$U$1,W$1)</f>
        <v>0</v>
      </c>
      <c r="X18" s="179">
        <f>SUMIFS('recurring2_based on steps'!$B18:$AY18,'recurring2_based on steps'!$B$1:$AY$1,X$1)+SUMIFS('changes2_based on steps'!$B18:$U18,'changes2_based on steps'!$B$1:$U$1,X$1)</f>
        <v>0</v>
      </c>
      <c r="Y18" s="179">
        <f>SUMIFS('recurring2_based on steps'!$B18:$AY18,'recurring2_based on steps'!$B$1:$AY$1,Y$1)+SUMIFS('changes2_based on steps'!$B18:$U18,'changes2_based on steps'!$B$1:$U$1,Y$1)</f>
        <v>0</v>
      </c>
      <c r="Z18" s="179">
        <f>SUMIFS('recurring2_based on steps'!$B18:$AY18,'recurring2_based on steps'!$B$1:$AY$1,Z$1)+SUMIFS('changes2_based on steps'!$B18:$U18,'changes2_based on steps'!$B$1:$U$1,Z$1)</f>
        <v>0</v>
      </c>
      <c r="AA18" s="179">
        <f>SUMIFS('recurring2_based on steps'!$B18:$AY18,'recurring2_based on steps'!$B$1:$AY$1,AA$1)+SUMIFS('changes2_based on steps'!$B18:$U18,'changes2_based on steps'!$B$1:$U$1,AA$1)</f>
        <v>0</v>
      </c>
      <c r="AB18" s="179">
        <f>SUMIFS('recurring2_based on steps'!$B18:$AY18,'recurring2_based on steps'!$B$1:$AY$1,AB$1)+SUMIFS('changes2_based on steps'!$B18:$U18,'changes2_based on steps'!$B$1:$U$1,AB$1)</f>
        <v>0</v>
      </c>
      <c r="AC18" s="179">
        <f>SUMIFS('recurring2_based on steps'!$B18:$AY18,'recurring2_based on steps'!$B$1:$AY$1,AC$1)+SUMIFS('changes2_based on steps'!$B18:$U18,'changes2_based on steps'!$B$1:$U$1,AC$1)</f>
        <v>0</v>
      </c>
      <c r="AD18" s="179">
        <f>SUMIFS('recurring2_based on steps'!$B18:$AY18,'recurring2_based on steps'!$B$1:$AY$1,AD$1)+SUMIFS('changes2_based on steps'!$B18:$U18,'changes2_based on steps'!$B$1:$U$1,AD$1)</f>
        <v>0</v>
      </c>
      <c r="AE18" s="179">
        <f>SUMIFS('recurring2_based on steps'!$B18:$AY18,'recurring2_based on steps'!$B$1:$AY$1,AE$1)+SUMIFS('changes2_based on steps'!$B18:$U18,'changes2_based on steps'!$B$1:$U$1,AE$1)</f>
        <v>0</v>
      </c>
      <c r="AF18" s="179"/>
      <c r="AG18" s="179"/>
      <c r="AH18" s="179"/>
      <c r="AI18" s="179"/>
      <c r="AJ18" s="179"/>
      <c r="AK18" s="179"/>
      <c r="AL18" s="179"/>
      <c r="AM18" s="179"/>
    </row>
    <row r="19" spans="1:39" x14ac:dyDescent="0.2">
      <c r="A19" s="32">
        <f t="shared" ca="1" si="0"/>
        <v>45768</v>
      </c>
      <c r="B19" s="179">
        <f>SUMIFS('recurring2_based on steps'!$B19:$AY19,'recurring2_based on steps'!$B$1:$AY$1,B$1)+SUMIFS('changes2_based on steps'!$B19:$U19,'changes2_based on steps'!$B$1:$U$1,B$1)</f>
        <v>0</v>
      </c>
      <c r="C19" s="179">
        <f>SUMIFS('recurring2_based on steps'!$B19:$AY19,'recurring2_based on steps'!$B$1:$AY$1,C$1)+SUMIFS('changes2_based on steps'!$B19:$U19,'changes2_based on steps'!$B$1:$U$1,C$1)</f>
        <v>0</v>
      </c>
      <c r="D19" s="179">
        <f>SUMIFS('recurring2_based on steps'!$B19:$AY19,'recurring2_based on steps'!$B$1:$AY$1,D$1)+SUMIFS('changes2_based on steps'!$B19:$U19,'changes2_based on steps'!$B$1:$U$1,D$1)</f>
        <v>0</v>
      </c>
      <c r="E19" s="179">
        <f>SUMIFS('recurring2_based on steps'!$B19:$AY19,'recurring2_based on steps'!$B$1:$AY$1,E$1)+SUMIFS('changes2_based on steps'!$B19:$U19,'changes2_based on steps'!$B$1:$U$1,E$1)</f>
        <v>0</v>
      </c>
      <c r="F19" s="179">
        <f>SUMIFS('recurring2_based on steps'!$B19:$AY19,'recurring2_based on steps'!$B$1:$AY$1,F$1)+SUMIFS('changes2_based on steps'!$B19:$U19,'changes2_based on steps'!$B$1:$U$1,F$1)</f>
        <v>0</v>
      </c>
      <c r="G19" s="179">
        <f>SUMIFS('recurring2_based on steps'!$B19:$AY19,'recurring2_based on steps'!$B$1:$AY$1,G$1)+SUMIFS('changes2_based on steps'!$B19:$U19,'changes2_based on steps'!$B$1:$U$1,G$1)</f>
        <v>0</v>
      </c>
      <c r="H19" s="179">
        <f>SUMIFS('recurring2_based on steps'!$B19:$AY19,'recurring2_based on steps'!$B$1:$AY$1,H$1)+SUMIFS('changes2_based on steps'!$B19:$U19,'changes2_based on steps'!$B$1:$U$1,H$1)</f>
        <v>0</v>
      </c>
      <c r="I19" s="179">
        <f>SUMIFS('recurring2_based on steps'!$B19:$AY19,'recurring2_based on steps'!$B$1:$AY$1,I$1)+SUMIFS('changes2_based on steps'!$B19:$U19,'changes2_based on steps'!$B$1:$U$1,I$1)</f>
        <v>0</v>
      </c>
      <c r="J19" s="179">
        <f>SUMIFS('recurring2_based on steps'!$B19:$AY19,'recurring2_based on steps'!$B$1:$AY$1,J$1)+SUMIFS('changes2_based on steps'!$B19:$U19,'changes2_based on steps'!$B$1:$U$1,J$1)</f>
        <v>0</v>
      </c>
      <c r="K19" s="179">
        <f>SUMIFS('recurring2_based on steps'!$B19:$AY19,'recurring2_based on steps'!$B$1:$AY$1,K$1)+SUMIFS('changes2_based on steps'!$B19:$U19,'changes2_based on steps'!$B$1:$U$1,K$1)</f>
        <v>0</v>
      </c>
      <c r="L19" s="179">
        <f>SUMIFS('recurring2_based on steps'!$B19:$AY19,'recurring2_based on steps'!$B$1:$AY$1,L$1)+SUMIFS('changes2_based on steps'!$B19:$U19,'changes2_based on steps'!$B$1:$U$1,L$1)</f>
        <v>0</v>
      </c>
      <c r="M19" s="179">
        <f>SUMIFS('recurring2_based on steps'!$B19:$AY19,'recurring2_based on steps'!$B$1:$AY$1,M$1)+SUMIFS('changes2_based on steps'!$B19:$U19,'changes2_based on steps'!$B$1:$U$1,M$1)</f>
        <v>0</v>
      </c>
      <c r="N19" s="179">
        <f>SUMIFS('recurring2_based on steps'!$B19:$AY19,'recurring2_based on steps'!$B$1:$AY$1,N$1)+SUMIFS('changes2_based on steps'!$B19:$U19,'changes2_based on steps'!$B$1:$U$1,N$1)</f>
        <v>0</v>
      </c>
      <c r="O19" s="179">
        <f>SUMIFS('recurring2_based on steps'!$B19:$AY19,'recurring2_based on steps'!$B$1:$AY$1,O$1)+SUMIFS('changes2_based on steps'!$B19:$U19,'changes2_based on steps'!$B$1:$U$1,O$1)</f>
        <v>0</v>
      </c>
      <c r="P19" s="179">
        <f>SUMIFS('recurring2_based on steps'!$B19:$AY19,'recurring2_based on steps'!$B$1:$AY$1,P$1)+SUMIFS('changes2_based on steps'!$B19:$U19,'changes2_based on steps'!$B$1:$U$1,P$1)</f>
        <v>0</v>
      </c>
      <c r="Q19" s="179">
        <f>SUMIFS('recurring2_based on steps'!$B19:$AY19,'recurring2_based on steps'!$B$1:$AY$1,Q$1)+SUMIFS('changes2_based on steps'!$B19:$U19,'changes2_based on steps'!$B$1:$U$1,Q$1)</f>
        <v>0</v>
      </c>
      <c r="R19" s="179">
        <f>SUMIFS('recurring2_based on steps'!$B19:$AY19,'recurring2_based on steps'!$B$1:$AY$1,R$1)+SUMIFS('changes2_based on steps'!$B19:$U19,'changes2_based on steps'!$B$1:$U$1,R$1)</f>
        <v>0</v>
      </c>
      <c r="S19" s="179">
        <f>SUMIFS('recurring2_based on steps'!$B19:$AY19,'recurring2_based on steps'!$B$1:$AY$1,S$1)+SUMIFS('changes2_based on steps'!$B19:$U19,'changes2_based on steps'!$B$1:$U$1,S$1)</f>
        <v>0</v>
      </c>
      <c r="T19" s="179">
        <f>SUMIFS('recurring2_based on steps'!$B19:$AY19,'recurring2_based on steps'!$B$1:$AY$1,T$1)+SUMIFS('changes2_based on steps'!$B19:$U19,'changes2_based on steps'!$B$1:$U$1,T$1)</f>
        <v>0</v>
      </c>
      <c r="U19" s="179">
        <f>SUMIFS('recurring2_based on steps'!$B19:$AY19,'recurring2_based on steps'!$B$1:$AY$1,U$1)+SUMIFS('changes2_based on steps'!$B19:$U19,'changes2_based on steps'!$B$1:$U$1,U$1)</f>
        <v>0</v>
      </c>
      <c r="V19" s="179">
        <f>SUMIFS('recurring2_based on steps'!$B19:$AY19,'recurring2_based on steps'!$B$1:$AY$1,V$1)+SUMIFS('changes2_based on steps'!$B19:$U19,'changes2_based on steps'!$B$1:$U$1,V$1)</f>
        <v>0</v>
      </c>
      <c r="W19" s="179">
        <f>SUMIFS('recurring2_based on steps'!$B19:$AY19,'recurring2_based on steps'!$B$1:$AY$1,W$1)+SUMIFS('changes2_based on steps'!$B19:$U19,'changes2_based on steps'!$B$1:$U$1,W$1)</f>
        <v>0</v>
      </c>
      <c r="X19" s="179">
        <f>SUMIFS('recurring2_based on steps'!$B19:$AY19,'recurring2_based on steps'!$B$1:$AY$1,X$1)+SUMIFS('changes2_based on steps'!$B19:$U19,'changes2_based on steps'!$B$1:$U$1,X$1)</f>
        <v>0</v>
      </c>
      <c r="Y19" s="179">
        <f>SUMIFS('recurring2_based on steps'!$B19:$AY19,'recurring2_based on steps'!$B$1:$AY$1,Y$1)+SUMIFS('changes2_based on steps'!$B19:$U19,'changes2_based on steps'!$B$1:$U$1,Y$1)</f>
        <v>0</v>
      </c>
      <c r="Z19" s="179">
        <f>SUMIFS('recurring2_based on steps'!$B19:$AY19,'recurring2_based on steps'!$B$1:$AY$1,Z$1)+SUMIFS('changes2_based on steps'!$B19:$U19,'changes2_based on steps'!$B$1:$U$1,Z$1)</f>
        <v>0</v>
      </c>
      <c r="AA19" s="179">
        <f>SUMIFS('recurring2_based on steps'!$B19:$AY19,'recurring2_based on steps'!$B$1:$AY$1,AA$1)+SUMIFS('changes2_based on steps'!$B19:$U19,'changes2_based on steps'!$B$1:$U$1,AA$1)</f>
        <v>0</v>
      </c>
      <c r="AB19" s="179">
        <f>SUMIFS('recurring2_based on steps'!$B19:$AY19,'recurring2_based on steps'!$B$1:$AY$1,AB$1)+SUMIFS('changes2_based on steps'!$B19:$U19,'changes2_based on steps'!$B$1:$U$1,AB$1)</f>
        <v>0</v>
      </c>
      <c r="AC19" s="179">
        <f>SUMIFS('recurring2_based on steps'!$B19:$AY19,'recurring2_based on steps'!$B$1:$AY$1,AC$1)+SUMIFS('changes2_based on steps'!$B19:$U19,'changes2_based on steps'!$B$1:$U$1,AC$1)</f>
        <v>0</v>
      </c>
      <c r="AD19" s="179">
        <f>SUMIFS('recurring2_based on steps'!$B19:$AY19,'recurring2_based on steps'!$B$1:$AY$1,AD$1)+SUMIFS('changes2_based on steps'!$B19:$U19,'changes2_based on steps'!$B$1:$U$1,AD$1)</f>
        <v>0</v>
      </c>
      <c r="AE19" s="179">
        <f>SUMIFS('recurring2_based on steps'!$B19:$AY19,'recurring2_based on steps'!$B$1:$AY$1,AE$1)+SUMIFS('changes2_based on steps'!$B19:$U19,'changes2_based on steps'!$B$1:$U$1,AE$1)</f>
        <v>0</v>
      </c>
      <c r="AF19" s="179"/>
      <c r="AG19" s="179"/>
      <c r="AH19" s="179"/>
      <c r="AI19" s="179"/>
      <c r="AJ19" s="179"/>
      <c r="AK19" s="179"/>
      <c r="AL19" s="179"/>
      <c r="AM19" s="179"/>
    </row>
    <row r="20" spans="1:39" x14ac:dyDescent="0.2">
      <c r="A20" s="32">
        <f t="shared" ca="1" si="0"/>
        <v>45769</v>
      </c>
      <c r="B20" s="179">
        <f>SUMIFS('recurring2_based on steps'!$B20:$AY20,'recurring2_based on steps'!$B$1:$AY$1,B$1)+SUMIFS('changes2_based on steps'!$B20:$U20,'changes2_based on steps'!$B$1:$U$1,B$1)</f>
        <v>0</v>
      </c>
      <c r="C20" s="179">
        <f>SUMIFS('recurring2_based on steps'!$B20:$AY20,'recurring2_based on steps'!$B$1:$AY$1,C$1)+SUMIFS('changes2_based on steps'!$B20:$U20,'changes2_based on steps'!$B$1:$U$1,C$1)</f>
        <v>0</v>
      </c>
      <c r="D20" s="179">
        <f>SUMIFS('recurring2_based on steps'!$B20:$AY20,'recurring2_based on steps'!$B$1:$AY$1,D$1)+SUMIFS('changes2_based on steps'!$B20:$U20,'changes2_based on steps'!$B$1:$U$1,D$1)</f>
        <v>0</v>
      </c>
      <c r="E20" s="179">
        <f>SUMIFS('recurring2_based on steps'!$B20:$AY20,'recurring2_based on steps'!$B$1:$AY$1,E$1)+SUMIFS('changes2_based on steps'!$B20:$U20,'changes2_based on steps'!$B$1:$U$1,E$1)</f>
        <v>0</v>
      </c>
      <c r="F20" s="179">
        <f>SUMIFS('recurring2_based on steps'!$B20:$AY20,'recurring2_based on steps'!$B$1:$AY$1,F$1)+SUMIFS('changes2_based on steps'!$B20:$U20,'changes2_based on steps'!$B$1:$U$1,F$1)</f>
        <v>0</v>
      </c>
      <c r="G20" s="179">
        <f>SUMIFS('recurring2_based on steps'!$B20:$AY20,'recurring2_based on steps'!$B$1:$AY$1,G$1)+SUMIFS('changes2_based on steps'!$B20:$U20,'changes2_based on steps'!$B$1:$U$1,G$1)</f>
        <v>0</v>
      </c>
      <c r="H20" s="179">
        <f>SUMIFS('recurring2_based on steps'!$B20:$AY20,'recurring2_based on steps'!$B$1:$AY$1,H$1)+SUMIFS('changes2_based on steps'!$B20:$U20,'changes2_based on steps'!$B$1:$U$1,H$1)</f>
        <v>0</v>
      </c>
      <c r="I20" s="179">
        <f>SUMIFS('recurring2_based on steps'!$B20:$AY20,'recurring2_based on steps'!$B$1:$AY$1,I$1)+SUMIFS('changes2_based on steps'!$B20:$U20,'changes2_based on steps'!$B$1:$U$1,I$1)</f>
        <v>0</v>
      </c>
      <c r="J20" s="179">
        <f>SUMIFS('recurring2_based on steps'!$B20:$AY20,'recurring2_based on steps'!$B$1:$AY$1,J$1)+SUMIFS('changes2_based on steps'!$B20:$U20,'changes2_based on steps'!$B$1:$U$1,J$1)</f>
        <v>0</v>
      </c>
      <c r="K20" s="179">
        <f>SUMIFS('recurring2_based on steps'!$B20:$AY20,'recurring2_based on steps'!$B$1:$AY$1,K$1)+SUMIFS('changes2_based on steps'!$B20:$U20,'changes2_based on steps'!$B$1:$U$1,K$1)</f>
        <v>0</v>
      </c>
      <c r="L20" s="179">
        <f>SUMIFS('recurring2_based on steps'!$B20:$AY20,'recurring2_based on steps'!$B$1:$AY$1,L$1)+SUMIFS('changes2_based on steps'!$B20:$U20,'changes2_based on steps'!$B$1:$U$1,L$1)</f>
        <v>0</v>
      </c>
      <c r="M20" s="179">
        <f>SUMIFS('recurring2_based on steps'!$B20:$AY20,'recurring2_based on steps'!$B$1:$AY$1,M$1)+SUMIFS('changes2_based on steps'!$B20:$U20,'changes2_based on steps'!$B$1:$U$1,M$1)</f>
        <v>0</v>
      </c>
      <c r="N20" s="179">
        <f>SUMIFS('recurring2_based on steps'!$B20:$AY20,'recurring2_based on steps'!$B$1:$AY$1,N$1)+SUMIFS('changes2_based on steps'!$B20:$U20,'changes2_based on steps'!$B$1:$U$1,N$1)</f>
        <v>0</v>
      </c>
      <c r="O20" s="179">
        <f>SUMIFS('recurring2_based on steps'!$B20:$AY20,'recurring2_based on steps'!$B$1:$AY$1,O$1)+SUMIFS('changes2_based on steps'!$B20:$U20,'changes2_based on steps'!$B$1:$U$1,O$1)</f>
        <v>0</v>
      </c>
      <c r="P20" s="179">
        <f>SUMIFS('recurring2_based on steps'!$B20:$AY20,'recurring2_based on steps'!$B$1:$AY$1,P$1)+SUMIFS('changes2_based on steps'!$B20:$U20,'changes2_based on steps'!$B$1:$U$1,P$1)</f>
        <v>0</v>
      </c>
      <c r="Q20" s="179">
        <f>SUMIFS('recurring2_based on steps'!$B20:$AY20,'recurring2_based on steps'!$B$1:$AY$1,Q$1)+SUMIFS('changes2_based on steps'!$B20:$U20,'changes2_based on steps'!$B$1:$U$1,Q$1)</f>
        <v>0</v>
      </c>
      <c r="R20" s="179">
        <f>SUMIFS('recurring2_based on steps'!$B20:$AY20,'recurring2_based on steps'!$B$1:$AY$1,R$1)+SUMIFS('changes2_based on steps'!$B20:$U20,'changes2_based on steps'!$B$1:$U$1,R$1)</f>
        <v>0</v>
      </c>
      <c r="S20" s="179">
        <f>SUMIFS('recurring2_based on steps'!$B20:$AY20,'recurring2_based on steps'!$B$1:$AY$1,S$1)+SUMIFS('changes2_based on steps'!$B20:$U20,'changes2_based on steps'!$B$1:$U$1,S$1)</f>
        <v>0</v>
      </c>
      <c r="T20" s="179">
        <f>SUMIFS('recurring2_based on steps'!$B20:$AY20,'recurring2_based on steps'!$B$1:$AY$1,T$1)+SUMIFS('changes2_based on steps'!$B20:$U20,'changes2_based on steps'!$B$1:$U$1,T$1)</f>
        <v>0</v>
      </c>
      <c r="U20" s="179">
        <f>SUMIFS('recurring2_based on steps'!$B20:$AY20,'recurring2_based on steps'!$B$1:$AY$1,U$1)+SUMIFS('changes2_based on steps'!$B20:$U20,'changes2_based on steps'!$B$1:$U$1,U$1)</f>
        <v>0</v>
      </c>
      <c r="V20" s="179">
        <f>SUMIFS('recurring2_based on steps'!$B20:$AY20,'recurring2_based on steps'!$B$1:$AY$1,V$1)+SUMIFS('changes2_based on steps'!$B20:$U20,'changes2_based on steps'!$B$1:$U$1,V$1)</f>
        <v>0</v>
      </c>
      <c r="W20" s="179">
        <f>SUMIFS('recurring2_based on steps'!$B20:$AY20,'recurring2_based on steps'!$B$1:$AY$1,W$1)+SUMIFS('changes2_based on steps'!$B20:$U20,'changes2_based on steps'!$B$1:$U$1,W$1)</f>
        <v>0</v>
      </c>
      <c r="X20" s="179">
        <f>SUMIFS('recurring2_based on steps'!$B20:$AY20,'recurring2_based on steps'!$B$1:$AY$1,X$1)+SUMIFS('changes2_based on steps'!$B20:$U20,'changes2_based on steps'!$B$1:$U$1,X$1)</f>
        <v>0</v>
      </c>
      <c r="Y20" s="179">
        <f>SUMIFS('recurring2_based on steps'!$B20:$AY20,'recurring2_based on steps'!$B$1:$AY$1,Y$1)+SUMIFS('changes2_based on steps'!$B20:$U20,'changes2_based on steps'!$B$1:$U$1,Y$1)</f>
        <v>0</v>
      </c>
      <c r="Z20" s="179">
        <f>SUMIFS('recurring2_based on steps'!$B20:$AY20,'recurring2_based on steps'!$B$1:$AY$1,Z$1)+SUMIFS('changes2_based on steps'!$B20:$U20,'changes2_based on steps'!$B$1:$U$1,Z$1)</f>
        <v>0</v>
      </c>
      <c r="AA20" s="179">
        <f>SUMIFS('recurring2_based on steps'!$B20:$AY20,'recurring2_based on steps'!$B$1:$AY$1,AA$1)+SUMIFS('changes2_based on steps'!$B20:$U20,'changes2_based on steps'!$B$1:$U$1,AA$1)</f>
        <v>0</v>
      </c>
      <c r="AB20" s="179">
        <f>SUMIFS('recurring2_based on steps'!$B20:$AY20,'recurring2_based on steps'!$B$1:$AY$1,AB$1)+SUMIFS('changes2_based on steps'!$B20:$U20,'changes2_based on steps'!$B$1:$U$1,AB$1)</f>
        <v>0</v>
      </c>
      <c r="AC20" s="179">
        <f>SUMIFS('recurring2_based on steps'!$B20:$AY20,'recurring2_based on steps'!$B$1:$AY$1,AC$1)+SUMIFS('changes2_based on steps'!$B20:$U20,'changes2_based on steps'!$B$1:$U$1,AC$1)</f>
        <v>0</v>
      </c>
      <c r="AD20" s="179">
        <f>SUMIFS('recurring2_based on steps'!$B20:$AY20,'recurring2_based on steps'!$B$1:$AY$1,AD$1)+SUMIFS('changes2_based on steps'!$B20:$U20,'changes2_based on steps'!$B$1:$U$1,AD$1)</f>
        <v>0</v>
      </c>
      <c r="AE20" s="179">
        <f>SUMIFS('recurring2_based on steps'!$B20:$AY20,'recurring2_based on steps'!$B$1:$AY$1,AE$1)+SUMIFS('changes2_based on steps'!$B20:$U20,'changes2_based on steps'!$B$1:$U$1,AE$1)</f>
        <v>0</v>
      </c>
      <c r="AF20" s="179"/>
      <c r="AG20" s="179"/>
      <c r="AH20" s="179"/>
      <c r="AI20" s="179"/>
      <c r="AJ20" s="179"/>
      <c r="AK20" s="179"/>
      <c r="AL20" s="179"/>
      <c r="AM20" s="179"/>
    </row>
    <row r="21" spans="1:39" x14ac:dyDescent="0.2">
      <c r="A21" s="32">
        <f t="shared" ca="1" si="0"/>
        <v>45770</v>
      </c>
      <c r="B21" s="179">
        <f>SUMIFS('recurring2_based on steps'!$B21:$AY21,'recurring2_based on steps'!$B$1:$AY$1,B$1)+SUMIFS('changes2_based on steps'!$B21:$U21,'changes2_based on steps'!$B$1:$U$1,B$1)</f>
        <v>0</v>
      </c>
      <c r="C21" s="179">
        <f>SUMIFS('recurring2_based on steps'!$B21:$AY21,'recurring2_based on steps'!$B$1:$AY$1,C$1)+SUMIFS('changes2_based on steps'!$B21:$U21,'changes2_based on steps'!$B$1:$U$1,C$1)</f>
        <v>0</v>
      </c>
      <c r="D21" s="179">
        <f>SUMIFS('recurring2_based on steps'!$B21:$AY21,'recurring2_based on steps'!$B$1:$AY$1,D$1)+SUMIFS('changes2_based on steps'!$B21:$U21,'changes2_based on steps'!$B$1:$U$1,D$1)</f>
        <v>0</v>
      </c>
      <c r="E21" s="179">
        <f>SUMIFS('recurring2_based on steps'!$B21:$AY21,'recurring2_based on steps'!$B$1:$AY$1,E$1)+SUMIFS('changes2_based on steps'!$B21:$U21,'changes2_based on steps'!$B$1:$U$1,E$1)</f>
        <v>0</v>
      </c>
      <c r="F21" s="179">
        <f>SUMIFS('recurring2_based on steps'!$B21:$AY21,'recurring2_based on steps'!$B$1:$AY$1,F$1)+SUMIFS('changes2_based on steps'!$B21:$U21,'changes2_based on steps'!$B$1:$U$1,F$1)</f>
        <v>0</v>
      </c>
      <c r="G21" s="179">
        <f>SUMIFS('recurring2_based on steps'!$B21:$AY21,'recurring2_based on steps'!$B$1:$AY$1,G$1)+SUMIFS('changes2_based on steps'!$B21:$U21,'changes2_based on steps'!$B$1:$U$1,G$1)</f>
        <v>0</v>
      </c>
      <c r="H21" s="179">
        <f>SUMIFS('recurring2_based on steps'!$B21:$AY21,'recurring2_based on steps'!$B$1:$AY$1,H$1)+SUMIFS('changes2_based on steps'!$B21:$U21,'changes2_based on steps'!$B$1:$U$1,H$1)</f>
        <v>0</v>
      </c>
      <c r="I21" s="179">
        <f>SUMIFS('recurring2_based on steps'!$B21:$AY21,'recurring2_based on steps'!$B$1:$AY$1,I$1)+SUMIFS('changes2_based on steps'!$B21:$U21,'changes2_based on steps'!$B$1:$U$1,I$1)</f>
        <v>0</v>
      </c>
      <c r="J21" s="179">
        <f>SUMIFS('recurring2_based on steps'!$B21:$AY21,'recurring2_based on steps'!$B$1:$AY$1,J$1)+SUMIFS('changes2_based on steps'!$B21:$U21,'changes2_based on steps'!$B$1:$U$1,J$1)</f>
        <v>0</v>
      </c>
      <c r="K21" s="179">
        <f>SUMIFS('recurring2_based on steps'!$B21:$AY21,'recurring2_based on steps'!$B$1:$AY$1,K$1)+SUMIFS('changes2_based on steps'!$B21:$U21,'changes2_based on steps'!$B$1:$U$1,K$1)</f>
        <v>0</v>
      </c>
      <c r="L21" s="179">
        <f>SUMIFS('recurring2_based on steps'!$B21:$AY21,'recurring2_based on steps'!$B$1:$AY$1,L$1)+SUMIFS('changes2_based on steps'!$B21:$U21,'changes2_based on steps'!$B$1:$U$1,L$1)</f>
        <v>0</v>
      </c>
      <c r="M21" s="179">
        <f>SUMIFS('recurring2_based on steps'!$B21:$AY21,'recurring2_based on steps'!$B$1:$AY$1,M$1)+SUMIFS('changes2_based on steps'!$B21:$U21,'changes2_based on steps'!$B$1:$U$1,M$1)</f>
        <v>0</v>
      </c>
      <c r="N21" s="179">
        <f>SUMIFS('recurring2_based on steps'!$B21:$AY21,'recurring2_based on steps'!$B$1:$AY$1,N$1)+SUMIFS('changes2_based on steps'!$B21:$U21,'changes2_based on steps'!$B$1:$U$1,N$1)</f>
        <v>0</v>
      </c>
      <c r="O21" s="179">
        <f>SUMIFS('recurring2_based on steps'!$B21:$AY21,'recurring2_based on steps'!$B$1:$AY$1,O$1)+SUMIFS('changes2_based on steps'!$B21:$U21,'changes2_based on steps'!$B$1:$U$1,O$1)</f>
        <v>0</v>
      </c>
      <c r="P21" s="179">
        <f>SUMIFS('recurring2_based on steps'!$B21:$AY21,'recurring2_based on steps'!$B$1:$AY$1,P$1)+SUMIFS('changes2_based on steps'!$B21:$U21,'changes2_based on steps'!$B$1:$U$1,P$1)</f>
        <v>0</v>
      </c>
      <c r="Q21" s="179">
        <f>SUMIFS('recurring2_based on steps'!$B21:$AY21,'recurring2_based on steps'!$B$1:$AY$1,Q$1)+SUMIFS('changes2_based on steps'!$B21:$U21,'changes2_based on steps'!$B$1:$U$1,Q$1)</f>
        <v>0</v>
      </c>
      <c r="R21" s="179">
        <f>SUMIFS('recurring2_based on steps'!$B21:$AY21,'recurring2_based on steps'!$B$1:$AY$1,R$1)+SUMIFS('changes2_based on steps'!$B21:$U21,'changes2_based on steps'!$B$1:$U$1,R$1)</f>
        <v>0</v>
      </c>
      <c r="S21" s="179">
        <f>SUMIFS('recurring2_based on steps'!$B21:$AY21,'recurring2_based on steps'!$B$1:$AY$1,S$1)+SUMIFS('changes2_based on steps'!$B21:$U21,'changes2_based on steps'!$B$1:$U$1,S$1)</f>
        <v>0</v>
      </c>
      <c r="T21" s="179">
        <f>SUMIFS('recurring2_based on steps'!$B21:$AY21,'recurring2_based on steps'!$B$1:$AY$1,T$1)+SUMIFS('changes2_based on steps'!$B21:$U21,'changes2_based on steps'!$B$1:$U$1,T$1)</f>
        <v>0</v>
      </c>
      <c r="U21" s="179">
        <f>SUMIFS('recurring2_based on steps'!$B21:$AY21,'recurring2_based on steps'!$B$1:$AY$1,U$1)+SUMIFS('changes2_based on steps'!$B21:$U21,'changes2_based on steps'!$B$1:$U$1,U$1)</f>
        <v>0</v>
      </c>
      <c r="V21" s="179">
        <f>SUMIFS('recurring2_based on steps'!$B21:$AY21,'recurring2_based on steps'!$B$1:$AY$1,V$1)+SUMIFS('changes2_based on steps'!$B21:$U21,'changes2_based on steps'!$B$1:$U$1,V$1)</f>
        <v>0</v>
      </c>
      <c r="W21" s="179">
        <f>SUMIFS('recurring2_based on steps'!$B21:$AY21,'recurring2_based on steps'!$B$1:$AY$1,W$1)+SUMIFS('changes2_based on steps'!$B21:$U21,'changes2_based on steps'!$B$1:$U$1,W$1)</f>
        <v>0</v>
      </c>
      <c r="X21" s="179">
        <f>SUMIFS('recurring2_based on steps'!$B21:$AY21,'recurring2_based on steps'!$B$1:$AY$1,X$1)+SUMIFS('changes2_based on steps'!$B21:$U21,'changes2_based on steps'!$B$1:$U$1,X$1)</f>
        <v>0</v>
      </c>
      <c r="Y21" s="179">
        <f>SUMIFS('recurring2_based on steps'!$B21:$AY21,'recurring2_based on steps'!$B$1:$AY$1,Y$1)+SUMIFS('changes2_based on steps'!$B21:$U21,'changes2_based on steps'!$B$1:$U$1,Y$1)</f>
        <v>0</v>
      </c>
      <c r="Z21" s="179">
        <f>SUMIFS('recurring2_based on steps'!$B21:$AY21,'recurring2_based on steps'!$B$1:$AY$1,Z$1)+SUMIFS('changes2_based on steps'!$B21:$U21,'changes2_based on steps'!$B$1:$U$1,Z$1)</f>
        <v>0</v>
      </c>
      <c r="AA21" s="179">
        <f>SUMIFS('recurring2_based on steps'!$B21:$AY21,'recurring2_based on steps'!$B$1:$AY$1,AA$1)+SUMIFS('changes2_based on steps'!$B21:$U21,'changes2_based on steps'!$B$1:$U$1,AA$1)</f>
        <v>0</v>
      </c>
      <c r="AB21" s="179">
        <f>SUMIFS('recurring2_based on steps'!$B21:$AY21,'recurring2_based on steps'!$B$1:$AY$1,AB$1)+SUMIFS('changes2_based on steps'!$B21:$U21,'changes2_based on steps'!$B$1:$U$1,AB$1)</f>
        <v>0</v>
      </c>
      <c r="AC21" s="179">
        <f>SUMIFS('recurring2_based on steps'!$B21:$AY21,'recurring2_based on steps'!$B$1:$AY$1,AC$1)+SUMIFS('changes2_based on steps'!$B21:$U21,'changes2_based on steps'!$B$1:$U$1,AC$1)</f>
        <v>0</v>
      </c>
      <c r="AD21" s="179">
        <f>SUMIFS('recurring2_based on steps'!$B21:$AY21,'recurring2_based on steps'!$B$1:$AY$1,AD$1)+SUMIFS('changes2_based on steps'!$B21:$U21,'changes2_based on steps'!$B$1:$U$1,AD$1)</f>
        <v>0</v>
      </c>
      <c r="AE21" s="179">
        <f>SUMIFS('recurring2_based on steps'!$B21:$AY21,'recurring2_based on steps'!$B$1:$AY$1,AE$1)+SUMIFS('changes2_based on steps'!$B21:$U21,'changes2_based on steps'!$B$1:$U$1,AE$1)</f>
        <v>0</v>
      </c>
      <c r="AF21" s="179"/>
      <c r="AG21" s="179"/>
      <c r="AH21" s="179"/>
      <c r="AI21" s="179"/>
      <c r="AJ21" s="179"/>
      <c r="AK21" s="179"/>
      <c r="AL21" s="179"/>
      <c r="AM21" s="179"/>
    </row>
    <row r="22" spans="1:39" x14ac:dyDescent="0.2">
      <c r="A22" s="32">
        <f t="shared" ca="1" si="0"/>
        <v>45771</v>
      </c>
      <c r="B22" s="179">
        <f>SUMIFS('recurring2_based on steps'!$B22:$AY22,'recurring2_based on steps'!$B$1:$AY$1,B$1)+SUMIFS('changes2_based on steps'!$B22:$U22,'changes2_based on steps'!$B$1:$U$1,B$1)</f>
        <v>0</v>
      </c>
      <c r="C22" s="179">
        <f>SUMIFS('recurring2_based on steps'!$B22:$AY22,'recurring2_based on steps'!$B$1:$AY$1,C$1)+SUMIFS('changes2_based on steps'!$B22:$U22,'changes2_based on steps'!$B$1:$U$1,C$1)</f>
        <v>0</v>
      </c>
      <c r="D22" s="179">
        <f>SUMIFS('recurring2_based on steps'!$B22:$AY22,'recurring2_based on steps'!$B$1:$AY$1,D$1)+SUMIFS('changes2_based on steps'!$B22:$U22,'changes2_based on steps'!$B$1:$U$1,D$1)</f>
        <v>0</v>
      </c>
      <c r="E22" s="179">
        <f>SUMIFS('recurring2_based on steps'!$B22:$AY22,'recurring2_based on steps'!$B$1:$AY$1,E$1)+SUMIFS('changes2_based on steps'!$B22:$U22,'changes2_based on steps'!$B$1:$U$1,E$1)</f>
        <v>0</v>
      </c>
      <c r="F22" s="179">
        <f>SUMIFS('recurring2_based on steps'!$B22:$AY22,'recurring2_based on steps'!$B$1:$AY$1,F$1)+SUMIFS('changes2_based on steps'!$B22:$U22,'changes2_based on steps'!$B$1:$U$1,F$1)</f>
        <v>0</v>
      </c>
      <c r="G22" s="179">
        <f>SUMIFS('recurring2_based on steps'!$B22:$AY22,'recurring2_based on steps'!$B$1:$AY$1,G$1)+SUMIFS('changes2_based on steps'!$B22:$U22,'changes2_based on steps'!$B$1:$U$1,G$1)</f>
        <v>0</v>
      </c>
      <c r="H22" s="179">
        <f>SUMIFS('recurring2_based on steps'!$B22:$AY22,'recurring2_based on steps'!$B$1:$AY$1,H$1)+SUMIFS('changes2_based on steps'!$B22:$U22,'changes2_based on steps'!$B$1:$U$1,H$1)</f>
        <v>0</v>
      </c>
      <c r="I22" s="179">
        <f>SUMIFS('recurring2_based on steps'!$B22:$AY22,'recurring2_based on steps'!$B$1:$AY$1,I$1)+SUMIFS('changes2_based on steps'!$B22:$U22,'changes2_based on steps'!$B$1:$U$1,I$1)</f>
        <v>0</v>
      </c>
      <c r="J22" s="179">
        <f>SUMIFS('recurring2_based on steps'!$B22:$AY22,'recurring2_based on steps'!$B$1:$AY$1,J$1)+SUMIFS('changes2_based on steps'!$B22:$U22,'changes2_based on steps'!$B$1:$U$1,J$1)</f>
        <v>0</v>
      </c>
      <c r="K22" s="179">
        <f>SUMIFS('recurring2_based on steps'!$B22:$AY22,'recurring2_based on steps'!$B$1:$AY$1,K$1)+SUMIFS('changes2_based on steps'!$B22:$U22,'changes2_based on steps'!$B$1:$U$1,K$1)</f>
        <v>0</v>
      </c>
      <c r="L22" s="179">
        <f>SUMIFS('recurring2_based on steps'!$B22:$AY22,'recurring2_based on steps'!$B$1:$AY$1,L$1)+SUMIFS('changes2_based on steps'!$B22:$U22,'changes2_based on steps'!$B$1:$U$1,L$1)</f>
        <v>0</v>
      </c>
      <c r="M22" s="179">
        <f>SUMIFS('recurring2_based on steps'!$B22:$AY22,'recurring2_based on steps'!$B$1:$AY$1,M$1)+SUMIFS('changes2_based on steps'!$B22:$U22,'changes2_based on steps'!$B$1:$U$1,M$1)</f>
        <v>0</v>
      </c>
      <c r="N22" s="179">
        <f>SUMIFS('recurring2_based on steps'!$B22:$AY22,'recurring2_based on steps'!$B$1:$AY$1,N$1)+SUMIFS('changes2_based on steps'!$B22:$U22,'changes2_based on steps'!$B$1:$U$1,N$1)</f>
        <v>0</v>
      </c>
      <c r="O22" s="179">
        <f>SUMIFS('recurring2_based on steps'!$B22:$AY22,'recurring2_based on steps'!$B$1:$AY$1,O$1)+SUMIFS('changes2_based on steps'!$B22:$U22,'changes2_based on steps'!$B$1:$U$1,O$1)</f>
        <v>0</v>
      </c>
      <c r="P22" s="179">
        <f>SUMIFS('recurring2_based on steps'!$B22:$AY22,'recurring2_based on steps'!$B$1:$AY$1,P$1)+SUMIFS('changes2_based on steps'!$B22:$U22,'changes2_based on steps'!$B$1:$U$1,P$1)</f>
        <v>0</v>
      </c>
      <c r="Q22" s="179">
        <f>SUMIFS('recurring2_based on steps'!$B22:$AY22,'recurring2_based on steps'!$B$1:$AY$1,Q$1)+SUMIFS('changes2_based on steps'!$B22:$U22,'changes2_based on steps'!$B$1:$U$1,Q$1)</f>
        <v>0</v>
      </c>
      <c r="R22" s="179">
        <f>SUMIFS('recurring2_based on steps'!$B22:$AY22,'recurring2_based on steps'!$B$1:$AY$1,R$1)+SUMIFS('changes2_based on steps'!$B22:$U22,'changes2_based on steps'!$B$1:$U$1,R$1)</f>
        <v>0</v>
      </c>
      <c r="S22" s="179">
        <f>SUMIFS('recurring2_based on steps'!$B22:$AY22,'recurring2_based on steps'!$B$1:$AY$1,S$1)+SUMIFS('changes2_based on steps'!$B22:$U22,'changes2_based on steps'!$B$1:$U$1,S$1)</f>
        <v>0</v>
      </c>
      <c r="T22" s="179">
        <f>SUMIFS('recurring2_based on steps'!$B22:$AY22,'recurring2_based on steps'!$B$1:$AY$1,T$1)+SUMIFS('changes2_based on steps'!$B22:$U22,'changes2_based on steps'!$B$1:$U$1,T$1)</f>
        <v>0</v>
      </c>
      <c r="U22" s="179">
        <f>SUMIFS('recurring2_based on steps'!$B22:$AY22,'recurring2_based on steps'!$B$1:$AY$1,U$1)+SUMIFS('changes2_based on steps'!$B22:$U22,'changes2_based on steps'!$B$1:$U$1,U$1)</f>
        <v>0</v>
      </c>
      <c r="V22" s="179">
        <f>SUMIFS('recurring2_based on steps'!$B22:$AY22,'recurring2_based on steps'!$B$1:$AY$1,V$1)+SUMIFS('changes2_based on steps'!$B22:$U22,'changes2_based on steps'!$B$1:$U$1,V$1)</f>
        <v>0</v>
      </c>
      <c r="W22" s="179">
        <f>SUMIFS('recurring2_based on steps'!$B22:$AY22,'recurring2_based on steps'!$B$1:$AY$1,W$1)+SUMIFS('changes2_based on steps'!$B22:$U22,'changes2_based on steps'!$B$1:$U$1,W$1)</f>
        <v>0</v>
      </c>
      <c r="X22" s="179">
        <f>SUMIFS('recurring2_based on steps'!$B22:$AY22,'recurring2_based on steps'!$B$1:$AY$1,X$1)+SUMIFS('changes2_based on steps'!$B22:$U22,'changes2_based on steps'!$B$1:$U$1,X$1)</f>
        <v>0</v>
      </c>
      <c r="Y22" s="179">
        <f>SUMIFS('recurring2_based on steps'!$B22:$AY22,'recurring2_based on steps'!$B$1:$AY$1,Y$1)+SUMIFS('changes2_based on steps'!$B22:$U22,'changes2_based on steps'!$B$1:$U$1,Y$1)</f>
        <v>0</v>
      </c>
      <c r="Z22" s="179">
        <f>SUMIFS('recurring2_based on steps'!$B22:$AY22,'recurring2_based on steps'!$B$1:$AY$1,Z$1)+SUMIFS('changes2_based on steps'!$B22:$U22,'changes2_based on steps'!$B$1:$U$1,Z$1)</f>
        <v>0</v>
      </c>
      <c r="AA22" s="179">
        <f>SUMIFS('recurring2_based on steps'!$B22:$AY22,'recurring2_based on steps'!$B$1:$AY$1,AA$1)+SUMIFS('changes2_based on steps'!$B22:$U22,'changes2_based on steps'!$B$1:$U$1,AA$1)</f>
        <v>0</v>
      </c>
      <c r="AB22" s="179">
        <f>SUMIFS('recurring2_based on steps'!$B22:$AY22,'recurring2_based on steps'!$B$1:$AY$1,AB$1)+SUMIFS('changes2_based on steps'!$B22:$U22,'changes2_based on steps'!$B$1:$U$1,AB$1)</f>
        <v>0</v>
      </c>
      <c r="AC22" s="179">
        <f>SUMIFS('recurring2_based on steps'!$B22:$AY22,'recurring2_based on steps'!$B$1:$AY$1,AC$1)+SUMIFS('changes2_based on steps'!$B22:$U22,'changes2_based on steps'!$B$1:$U$1,AC$1)</f>
        <v>0</v>
      </c>
      <c r="AD22" s="179">
        <f>SUMIFS('recurring2_based on steps'!$B22:$AY22,'recurring2_based on steps'!$B$1:$AY$1,AD$1)+SUMIFS('changes2_based on steps'!$B22:$U22,'changes2_based on steps'!$B$1:$U$1,AD$1)</f>
        <v>0</v>
      </c>
      <c r="AE22" s="179">
        <f>SUMIFS('recurring2_based on steps'!$B22:$AY22,'recurring2_based on steps'!$B$1:$AY$1,AE$1)+SUMIFS('changes2_based on steps'!$B22:$U22,'changes2_based on steps'!$B$1:$U$1,AE$1)</f>
        <v>0</v>
      </c>
      <c r="AF22" s="179"/>
      <c r="AG22" s="179"/>
      <c r="AH22" s="179"/>
      <c r="AI22" s="179"/>
      <c r="AJ22" s="179"/>
      <c r="AK22" s="179"/>
      <c r="AL22" s="179"/>
      <c r="AM22" s="179"/>
    </row>
    <row r="23" spans="1:39" x14ac:dyDescent="0.2">
      <c r="A23" s="32">
        <f t="shared" ca="1" si="0"/>
        <v>45772</v>
      </c>
      <c r="B23" s="179">
        <f>SUMIFS('recurring2_based on steps'!$B23:$AY23,'recurring2_based on steps'!$B$1:$AY$1,B$1)+SUMIFS('changes2_based on steps'!$B23:$U23,'changes2_based on steps'!$B$1:$U$1,B$1)</f>
        <v>0</v>
      </c>
      <c r="C23" s="179">
        <f>SUMIFS('recurring2_based on steps'!$B23:$AY23,'recurring2_based on steps'!$B$1:$AY$1,C$1)+SUMIFS('changes2_based on steps'!$B23:$U23,'changes2_based on steps'!$B$1:$U$1,C$1)</f>
        <v>0</v>
      </c>
      <c r="D23" s="179">
        <f>SUMIFS('recurring2_based on steps'!$B23:$AY23,'recurring2_based on steps'!$B$1:$AY$1,D$1)+SUMIFS('changes2_based on steps'!$B23:$U23,'changes2_based on steps'!$B$1:$U$1,D$1)</f>
        <v>0</v>
      </c>
      <c r="E23" s="179">
        <f>SUMIFS('recurring2_based on steps'!$B23:$AY23,'recurring2_based on steps'!$B$1:$AY$1,E$1)+SUMIFS('changes2_based on steps'!$B23:$U23,'changes2_based on steps'!$B$1:$U$1,E$1)</f>
        <v>0</v>
      </c>
      <c r="F23" s="179">
        <f>SUMIFS('recurring2_based on steps'!$B23:$AY23,'recurring2_based on steps'!$B$1:$AY$1,F$1)+SUMIFS('changes2_based on steps'!$B23:$U23,'changes2_based on steps'!$B$1:$U$1,F$1)</f>
        <v>0</v>
      </c>
      <c r="G23" s="179">
        <f>SUMIFS('recurring2_based on steps'!$B23:$AY23,'recurring2_based on steps'!$B$1:$AY$1,G$1)+SUMIFS('changes2_based on steps'!$B23:$U23,'changes2_based on steps'!$B$1:$U$1,G$1)</f>
        <v>0</v>
      </c>
      <c r="H23" s="179">
        <f>SUMIFS('recurring2_based on steps'!$B23:$AY23,'recurring2_based on steps'!$B$1:$AY$1,H$1)+SUMIFS('changes2_based on steps'!$B23:$U23,'changes2_based on steps'!$B$1:$U$1,H$1)</f>
        <v>0</v>
      </c>
      <c r="I23" s="179">
        <f>SUMIFS('recurring2_based on steps'!$B23:$AY23,'recurring2_based on steps'!$B$1:$AY$1,I$1)+SUMIFS('changes2_based on steps'!$B23:$U23,'changes2_based on steps'!$B$1:$U$1,I$1)</f>
        <v>0</v>
      </c>
      <c r="J23" s="179">
        <f>SUMIFS('recurring2_based on steps'!$B23:$AY23,'recurring2_based on steps'!$B$1:$AY$1,J$1)+SUMIFS('changes2_based on steps'!$B23:$U23,'changes2_based on steps'!$B$1:$U$1,J$1)</f>
        <v>0</v>
      </c>
      <c r="K23" s="179">
        <f>SUMIFS('recurring2_based on steps'!$B23:$AY23,'recurring2_based on steps'!$B$1:$AY$1,K$1)+SUMIFS('changes2_based on steps'!$B23:$U23,'changes2_based on steps'!$B$1:$U$1,K$1)</f>
        <v>0</v>
      </c>
      <c r="L23" s="179">
        <f>SUMIFS('recurring2_based on steps'!$B23:$AY23,'recurring2_based on steps'!$B$1:$AY$1,L$1)+SUMIFS('changes2_based on steps'!$B23:$U23,'changes2_based on steps'!$B$1:$U$1,L$1)</f>
        <v>0</v>
      </c>
      <c r="M23" s="179">
        <f>SUMIFS('recurring2_based on steps'!$B23:$AY23,'recurring2_based on steps'!$B$1:$AY$1,M$1)+SUMIFS('changes2_based on steps'!$B23:$U23,'changes2_based on steps'!$B$1:$U$1,M$1)</f>
        <v>0</v>
      </c>
      <c r="N23" s="179">
        <f>SUMIFS('recurring2_based on steps'!$B23:$AY23,'recurring2_based on steps'!$B$1:$AY$1,N$1)+SUMIFS('changes2_based on steps'!$B23:$U23,'changes2_based on steps'!$B$1:$U$1,N$1)</f>
        <v>0</v>
      </c>
      <c r="O23" s="179">
        <f>SUMIFS('recurring2_based on steps'!$B23:$AY23,'recurring2_based on steps'!$B$1:$AY$1,O$1)+SUMIFS('changes2_based on steps'!$B23:$U23,'changes2_based on steps'!$B$1:$U$1,O$1)</f>
        <v>0</v>
      </c>
      <c r="P23" s="179">
        <f>SUMIFS('recurring2_based on steps'!$B23:$AY23,'recurring2_based on steps'!$B$1:$AY$1,P$1)+SUMIFS('changes2_based on steps'!$B23:$U23,'changes2_based on steps'!$B$1:$U$1,P$1)</f>
        <v>0</v>
      </c>
      <c r="Q23" s="179">
        <f>SUMIFS('recurring2_based on steps'!$B23:$AY23,'recurring2_based on steps'!$B$1:$AY$1,Q$1)+SUMIFS('changes2_based on steps'!$B23:$U23,'changes2_based on steps'!$B$1:$U$1,Q$1)</f>
        <v>0</v>
      </c>
      <c r="R23" s="179">
        <f>SUMIFS('recurring2_based on steps'!$B23:$AY23,'recurring2_based on steps'!$B$1:$AY$1,R$1)+SUMIFS('changes2_based on steps'!$B23:$U23,'changes2_based on steps'!$B$1:$U$1,R$1)</f>
        <v>0</v>
      </c>
      <c r="S23" s="179">
        <f>SUMIFS('recurring2_based on steps'!$B23:$AY23,'recurring2_based on steps'!$B$1:$AY$1,S$1)+SUMIFS('changes2_based on steps'!$B23:$U23,'changes2_based on steps'!$B$1:$U$1,S$1)</f>
        <v>0</v>
      </c>
      <c r="T23" s="179">
        <f>SUMIFS('recurring2_based on steps'!$B23:$AY23,'recurring2_based on steps'!$B$1:$AY$1,T$1)+SUMIFS('changes2_based on steps'!$B23:$U23,'changes2_based on steps'!$B$1:$U$1,T$1)</f>
        <v>0</v>
      </c>
      <c r="U23" s="179">
        <f>SUMIFS('recurring2_based on steps'!$B23:$AY23,'recurring2_based on steps'!$B$1:$AY$1,U$1)+SUMIFS('changes2_based on steps'!$B23:$U23,'changes2_based on steps'!$B$1:$U$1,U$1)</f>
        <v>0</v>
      </c>
      <c r="V23" s="179">
        <f>SUMIFS('recurring2_based on steps'!$B23:$AY23,'recurring2_based on steps'!$B$1:$AY$1,V$1)+SUMIFS('changes2_based on steps'!$B23:$U23,'changes2_based on steps'!$B$1:$U$1,V$1)</f>
        <v>0</v>
      </c>
      <c r="W23" s="179">
        <f>SUMIFS('recurring2_based on steps'!$B23:$AY23,'recurring2_based on steps'!$B$1:$AY$1,W$1)+SUMIFS('changes2_based on steps'!$B23:$U23,'changes2_based on steps'!$B$1:$U$1,W$1)</f>
        <v>0</v>
      </c>
      <c r="X23" s="179">
        <f>SUMIFS('recurring2_based on steps'!$B23:$AY23,'recurring2_based on steps'!$B$1:$AY$1,X$1)+SUMIFS('changes2_based on steps'!$B23:$U23,'changes2_based on steps'!$B$1:$U$1,X$1)</f>
        <v>0</v>
      </c>
      <c r="Y23" s="179">
        <f>SUMIFS('recurring2_based on steps'!$B23:$AY23,'recurring2_based on steps'!$B$1:$AY$1,Y$1)+SUMIFS('changes2_based on steps'!$B23:$U23,'changes2_based on steps'!$B$1:$U$1,Y$1)</f>
        <v>0</v>
      </c>
      <c r="Z23" s="179">
        <f>SUMIFS('recurring2_based on steps'!$B23:$AY23,'recurring2_based on steps'!$B$1:$AY$1,Z$1)+SUMIFS('changes2_based on steps'!$B23:$U23,'changes2_based on steps'!$B$1:$U$1,Z$1)</f>
        <v>0</v>
      </c>
      <c r="AA23" s="179">
        <f>SUMIFS('recurring2_based on steps'!$B23:$AY23,'recurring2_based on steps'!$B$1:$AY$1,AA$1)+SUMIFS('changes2_based on steps'!$B23:$U23,'changes2_based on steps'!$B$1:$U$1,AA$1)</f>
        <v>0</v>
      </c>
      <c r="AB23" s="179">
        <f>SUMIFS('recurring2_based on steps'!$B23:$AY23,'recurring2_based on steps'!$B$1:$AY$1,AB$1)+SUMIFS('changes2_based on steps'!$B23:$U23,'changes2_based on steps'!$B$1:$U$1,AB$1)</f>
        <v>0</v>
      </c>
      <c r="AC23" s="179">
        <f>SUMIFS('recurring2_based on steps'!$B23:$AY23,'recurring2_based on steps'!$B$1:$AY$1,AC$1)+SUMIFS('changes2_based on steps'!$B23:$U23,'changes2_based on steps'!$B$1:$U$1,AC$1)</f>
        <v>0</v>
      </c>
      <c r="AD23" s="179">
        <f>SUMIFS('recurring2_based on steps'!$B23:$AY23,'recurring2_based on steps'!$B$1:$AY$1,AD$1)+SUMIFS('changes2_based on steps'!$B23:$U23,'changes2_based on steps'!$B$1:$U$1,AD$1)</f>
        <v>0</v>
      </c>
      <c r="AE23" s="179">
        <f>SUMIFS('recurring2_based on steps'!$B23:$AY23,'recurring2_based on steps'!$B$1:$AY$1,AE$1)+SUMIFS('changes2_based on steps'!$B23:$U23,'changes2_based on steps'!$B$1:$U$1,AE$1)</f>
        <v>0</v>
      </c>
      <c r="AF23" s="179"/>
      <c r="AG23" s="179"/>
      <c r="AH23" s="179"/>
      <c r="AI23" s="179"/>
      <c r="AJ23" s="179"/>
      <c r="AK23" s="179"/>
      <c r="AL23" s="179"/>
      <c r="AM23" s="179"/>
    </row>
    <row r="24" spans="1:39" x14ac:dyDescent="0.2">
      <c r="A24" s="32">
        <f t="shared" ca="1" si="0"/>
        <v>45773</v>
      </c>
      <c r="B24" s="179">
        <f>SUMIFS('recurring2_based on steps'!$B24:$AY24,'recurring2_based on steps'!$B$1:$AY$1,B$1)+SUMIFS('changes2_based on steps'!$B24:$U24,'changes2_based on steps'!$B$1:$U$1,B$1)</f>
        <v>0</v>
      </c>
      <c r="C24" s="179">
        <f>SUMIFS('recurring2_based on steps'!$B24:$AY24,'recurring2_based on steps'!$B$1:$AY$1,C$1)+SUMIFS('changes2_based on steps'!$B24:$U24,'changes2_based on steps'!$B$1:$U$1,C$1)</f>
        <v>0</v>
      </c>
      <c r="D24" s="179">
        <f>SUMIFS('recurring2_based on steps'!$B24:$AY24,'recurring2_based on steps'!$B$1:$AY$1,D$1)+SUMIFS('changes2_based on steps'!$B24:$U24,'changes2_based on steps'!$B$1:$U$1,D$1)</f>
        <v>0</v>
      </c>
      <c r="E24" s="179">
        <f>SUMIFS('recurring2_based on steps'!$B24:$AY24,'recurring2_based on steps'!$B$1:$AY$1,E$1)+SUMIFS('changes2_based on steps'!$B24:$U24,'changes2_based on steps'!$B$1:$U$1,E$1)</f>
        <v>0</v>
      </c>
      <c r="F24" s="179">
        <f>SUMIFS('recurring2_based on steps'!$B24:$AY24,'recurring2_based on steps'!$B$1:$AY$1,F$1)+SUMIFS('changes2_based on steps'!$B24:$U24,'changes2_based on steps'!$B$1:$U$1,F$1)</f>
        <v>0</v>
      </c>
      <c r="G24" s="179">
        <f>SUMIFS('recurring2_based on steps'!$B24:$AY24,'recurring2_based on steps'!$B$1:$AY$1,G$1)+SUMIFS('changes2_based on steps'!$B24:$U24,'changes2_based on steps'!$B$1:$U$1,G$1)</f>
        <v>0</v>
      </c>
      <c r="H24" s="179">
        <f>SUMIFS('recurring2_based on steps'!$B24:$AY24,'recurring2_based on steps'!$B$1:$AY$1,H$1)+SUMIFS('changes2_based on steps'!$B24:$U24,'changes2_based on steps'!$B$1:$U$1,H$1)</f>
        <v>0</v>
      </c>
      <c r="I24" s="179">
        <f>SUMIFS('recurring2_based on steps'!$B24:$AY24,'recurring2_based on steps'!$B$1:$AY$1,I$1)+SUMIFS('changes2_based on steps'!$B24:$U24,'changes2_based on steps'!$B$1:$U$1,I$1)</f>
        <v>0</v>
      </c>
      <c r="J24" s="179">
        <f>SUMIFS('recurring2_based on steps'!$B24:$AY24,'recurring2_based on steps'!$B$1:$AY$1,J$1)+SUMIFS('changes2_based on steps'!$B24:$U24,'changes2_based on steps'!$B$1:$U$1,J$1)</f>
        <v>0</v>
      </c>
      <c r="K24" s="179">
        <f>SUMIFS('recurring2_based on steps'!$B24:$AY24,'recurring2_based on steps'!$B$1:$AY$1,K$1)+SUMIFS('changes2_based on steps'!$B24:$U24,'changes2_based on steps'!$B$1:$U$1,K$1)</f>
        <v>0</v>
      </c>
      <c r="L24" s="179">
        <f>SUMIFS('recurring2_based on steps'!$B24:$AY24,'recurring2_based on steps'!$B$1:$AY$1,L$1)+SUMIFS('changes2_based on steps'!$B24:$U24,'changes2_based on steps'!$B$1:$U$1,L$1)</f>
        <v>0</v>
      </c>
      <c r="M24" s="179">
        <f>SUMIFS('recurring2_based on steps'!$B24:$AY24,'recurring2_based on steps'!$B$1:$AY$1,M$1)+SUMIFS('changes2_based on steps'!$B24:$U24,'changes2_based on steps'!$B$1:$U$1,M$1)</f>
        <v>0</v>
      </c>
      <c r="N24" s="179">
        <f>SUMIFS('recurring2_based on steps'!$B24:$AY24,'recurring2_based on steps'!$B$1:$AY$1,N$1)+SUMIFS('changes2_based on steps'!$B24:$U24,'changes2_based on steps'!$B$1:$U$1,N$1)</f>
        <v>0</v>
      </c>
      <c r="O24" s="179">
        <f>SUMIFS('recurring2_based on steps'!$B24:$AY24,'recurring2_based on steps'!$B$1:$AY$1,O$1)+SUMIFS('changes2_based on steps'!$B24:$U24,'changes2_based on steps'!$B$1:$U$1,O$1)</f>
        <v>0</v>
      </c>
      <c r="P24" s="179">
        <f>SUMIFS('recurring2_based on steps'!$B24:$AY24,'recurring2_based on steps'!$B$1:$AY$1,P$1)+SUMIFS('changes2_based on steps'!$B24:$U24,'changes2_based on steps'!$B$1:$U$1,P$1)</f>
        <v>0</v>
      </c>
      <c r="Q24" s="179">
        <f>SUMIFS('recurring2_based on steps'!$B24:$AY24,'recurring2_based on steps'!$B$1:$AY$1,Q$1)+SUMIFS('changes2_based on steps'!$B24:$U24,'changes2_based on steps'!$B$1:$U$1,Q$1)</f>
        <v>0</v>
      </c>
      <c r="R24" s="179">
        <f>SUMIFS('recurring2_based on steps'!$B24:$AY24,'recurring2_based on steps'!$B$1:$AY$1,R$1)+SUMIFS('changes2_based on steps'!$B24:$U24,'changes2_based on steps'!$B$1:$U$1,R$1)</f>
        <v>0</v>
      </c>
      <c r="S24" s="179">
        <f>SUMIFS('recurring2_based on steps'!$B24:$AY24,'recurring2_based on steps'!$B$1:$AY$1,S$1)+SUMIFS('changes2_based on steps'!$B24:$U24,'changes2_based on steps'!$B$1:$U$1,S$1)</f>
        <v>0</v>
      </c>
      <c r="T24" s="179">
        <f>SUMIFS('recurring2_based on steps'!$B24:$AY24,'recurring2_based on steps'!$B$1:$AY$1,T$1)+SUMIFS('changes2_based on steps'!$B24:$U24,'changes2_based on steps'!$B$1:$U$1,T$1)</f>
        <v>0</v>
      </c>
      <c r="U24" s="179">
        <f>SUMIFS('recurring2_based on steps'!$B24:$AY24,'recurring2_based on steps'!$B$1:$AY$1,U$1)+SUMIFS('changes2_based on steps'!$B24:$U24,'changes2_based on steps'!$B$1:$U$1,U$1)</f>
        <v>0</v>
      </c>
      <c r="V24" s="179">
        <f>SUMIFS('recurring2_based on steps'!$B24:$AY24,'recurring2_based on steps'!$B$1:$AY$1,V$1)+SUMIFS('changes2_based on steps'!$B24:$U24,'changes2_based on steps'!$B$1:$U$1,V$1)</f>
        <v>0</v>
      </c>
      <c r="W24" s="179">
        <f>SUMIFS('recurring2_based on steps'!$B24:$AY24,'recurring2_based on steps'!$B$1:$AY$1,W$1)+SUMIFS('changes2_based on steps'!$B24:$U24,'changes2_based on steps'!$B$1:$U$1,W$1)</f>
        <v>0</v>
      </c>
      <c r="X24" s="179">
        <f>SUMIFS('recurring2_based on steps'!$B24:$AY24,'recurring2_based on steps'!$B$1:$AY$1,X$1)+SUMIFS('changes2_based on steps'!$B24:$U24,'changes2_based on steps'!$B$1:$U$1,X$1)</f>
        <v>0</v>
      </c>
      <c r="Y24" s="179">
        <f>SUMIFS('recurring2_based on steps'!$B24:$AY24,'recurring2_based on steps'!$B$1:$AY$1,Y$1)+SUMIFS('changes2_based on steps'!$B24:$U24,'changes2_based on steps'!$B$1:$U$1,Y$1)</f>
        <v>0</v>
      </c>
      <c r="Z24" s="179">
        <f>SUMIFS('recurring2_based on steps'!$B24:$AY24,'recurring2_based on steps'!$B$1:$AY$1,Z$1)+SUMIFS('changes2_based on steps'!$B24:$U24,'changes2_based on steps'!$B$1:$U$1,Z$1)</f>
        <v>0</v>
      </c>
      <c r="AA24" s="179">
        <f>SUMIFS('recurring2_based on steps'!$B24:$AY24,'recurring2_based on steps'!$B$1:$AY$1,AA$1)+SUMIFS('changes2_based on steps'!$B24:$U24,'changes2_based on steps'!$B$1:$U$1,AA$1)</f>
        <v>0</v>
      </c>
      <c r="AB24" s="179">
        <f>SUMIFS('recurring2_based on steps'!$B24:$AY24,'recurring2_based on steps'!$B$1:$AY$1,AB$1)+SUMIFS('changes2_based on steps'!$B24:$U24,'changes2_based on steps'!$B$1:$U$1,AB$1)</f>
        <v>0</v>
      </c>
      <c r="AC24" s="179">
        <f>SUMIFS('recurring2_based on steps'!$B24:$AY24,'recurring2_based on steps'!$B$1:$AY$1,AC$1)+SUMIFS('changes2_based on steps'!$B24:$U24,'changes2_based on steps'!$B$1:$U$1,AC$1)</f>
        <v>0</v>
      </c>
      <c r="AD24" s="179">
        <f>SUMIFS('recurring2_based on steps'!$B24:$AY24,'recurring2_based on steps'!$B$1:$AY$1,AD$1)+SUMIFS('changes2_based on steps'!$B24:$U24,'changes2_based on steps'!$B$1:$U$1,AD$1)</f>
        <v>0</v>
      </c>
      <c r="AE24" s="179">
        <f>SUMIFS('recurring2_based on steps'!$B24:$AY24,'recurring2_based on steps'!$B$1:$AY$1,AE$1)+SUMIFS('changes2_based on steps'!$B24:$U24,'changes2_based on steps'!$B$1:$U$1,AE$1)</f>
        <v>0</v>
      </c>
      <c r="AF24" s="179"/>
      <c r="AG24" s="179"/>
      <c r="AH24" s="179"/>
      <c r="AI24" s="179"/>
      <c r="AJ24" s="179"/>
      <c r="AK24" s="179"/>
      <c r="AL24" s="179"/>
      <c r="AM24" s="179"/>
    </row>
    <row r="25" spans="1:39" x14ac:dyDescent="0.2">
      <c r="A25" s="32">
        <f t="shared" ca="1" si="0"/>
        <v>45774</v>
      </c>
      <c r="B25" s="179">
        <f>SUMIFS('recurring2_based on steps'!$B25:$AY25,'recurring2_based on steps'!$B$1:$AY$1,B$1)+SUMIFS('changes2_based on steps'!$B25:$U25,'changes2_based on steps'!$B$1:$U$1,B$1)</f>
        <v>0</v>
      </c>
      <c r="C25" s="179">
        <f>SUMIFS('recurring2_based on steps'!$B25:$AY25,'recurring2_based on steps'!$B$1:$AY$1,C$1)+SUMIFS('changes2_based on steps'!$B25:$U25,'changes2_based on steps'!$B$1:$U$1,C$1)</f>
        <v>0</v>
      </c>
      <c r="D25" s="179">
        <f>SUMIFS('recurring2_based on steps'!$B25:$AY25,'recurring2_based on steps'!$B$1:$AY$1,D$1)+SUMIFS('changes2_based on steps'!$B25:$U25,'changes2_based on steps'!$B$1:$U$1,D$1)</f>
        <v>0</v>
      </c>
      <c r="E25" s="179">
        <f>SUMIFS('recurring2_based on steps'!$B25:$AY25,'recurring2_based on steps'!$B$1:$AY$1,E$1)+SUMIFS('changes2_based on steps'!$B25:$U25,'changes2_based on steps'!$B$1:$U$1,E$1)</f>
        <v>0</v>
      </c>
      <c r="F25" s="179">
        <f>SUMIFS('recurring2_based on steps'!$B25:$AY25,'recurring2_based on steps'!$B$1:$AY$1,F$1)+SUMIFS('changes2_based on steps'!$B25:$U25,'changes2_based on steps'!$B$1:$U$1,F$1)</f>
        <v>0</v>
      </c>
      <c r="G25" s="179">
        <f>SUMIFS('recurring2_based on steps'!$B25:$AY25,'recurring2_based on steps'!$B$1:$AY$1,G$1)+SUMIFS('changes2_based on steps'!$B25:$U25,'changes2_based on steps'!$B$1:$U$1,G$1)</f>
        <v>0</v>
      </c>
      <c r="H25" s="179">
        <f>SUMIFS('recurring2_based on steps'!$B25:$AY25,'recurring2_based on steps'!$B$1:$AY$1,H$1)+SUMIFS('changes2_based on steps'!$B25:$U25,'changes2_based on steps'!$B$1:$U$1,H$1)</f>
        <v>0</v>
      </c>
      <c r="I25" s="179">
        <f>SUMIFS('recurring2_based on steps'!$B25:$AY25,'recurring2_based on steps'!$B$1:$AY$1,I$1)+SUMIFS('changes2_based on steps'!$B25:$U25,'changes2_based on steps'!$B$1:$U$1,I$1)</f>
        <v>0</v>
      </c>
      <c r="J25" s="179">
        <f>SUMIFS('recurring2_based on steps'!$B25:$AY25,'recurring2_based on steps'!$B$1:$AY$1,J$1)+SUMIFS('changes2_based on steps'!$B25:$U25,'changes2_based on steps'!$B$1:$U$1,J$1)</f>
        <v>0</v>
      </c>
      <c r="K25" s="179">
        <f>SUMIFS('recurring2_based on steps'!$B25:$AY25,'recurring2_based on steps'!$B$1:$AY$1,K$1)+SUMIFS('changes2_based on steps'!$B25:$U25,'changes2_based on steps'!$B$1:$U$1,K$1)</f>
        <v>0</v>
      </c>
      <c r="L25" s="179">
        <f>SUMIFS('recurring2_based on steps'!$B25:$AY25,'recurring2_based on steps'!$B$1:$AY$1,L$1)+SUMIFS('changes2_based on steps'!$B25:$U25,'changes2_based on steps'!$B$1:$U$1,L$1)</f>
        <v>0</v>
      </c>
      <c r="M25" s="179">
        <f>SUMIFS('recurring2_based on steps'!$B25:$AY25,'recurring2_based on steps'!$B$1:$AY$1,M$1)+SUMIFS('changes2_based on steps'!$B25:$U25,'changes2_based on steps'!$B$1:$U$1,M$1)</f>
        <v>0</v>
      </c>
      <c r="N25" s="179">
        <f>SUMIFS('recurring2_based on steps'!$B25:$AY25,'recurring2_based on steps'!$B$1:$AY$1,N$1)+SUMIFS('changes2_based on steps'!$B25:$U25,'changes2_based on steps'!$B$1:$U$1,N$1)</f>
        <v>0</v>
      </c>
      <c r="O25" s="179">
        <f>SUMIFS('recurring2_based on steps'!$B25:$AY25,'recurring2_based on steps'!$B$1:$AY$1,O$1)+SUMIFS('changes2_based on steps'!$B25:$U25,'changes2_based on steps'!$B$1:$U$1,O$1)</f>
        <v>0</v>
      </c>
      <c r="P25" s="179">
        <f>SUMIFS('recurring2_based on steps'!$B25:$AY25,'recurring2_based on steps'!$B$1:$AY$1,P$1)+SUMIFS('changes2_based on steps'!$B25:$U25,'changes2_based on steps'!$B$1:$U$1,P$1)</f>
        <v>0</v>
      </c>
      <c r="Q25" s="179">
        <f>SUMIFS('recurring2_based on steps'!$B25:$AY25,'recurring2_based on steps'!$B$1:$AY$1,Q$1)+SUMIFS('changes2_based on steps'!$B25:$U25,'changes2_based on steps'!$B$1:$U$1,Q$1)</f>
        <v>0</v>
      </c>
      <c r="R25" s="179">
        <f>SUMIFS('recurring2_based on steps'!$B25:$AY25,'recurring2_based on steps'!$B$1:$AY$1,R$1)+SUMIFS('changes2_based on steps'!$B25:$U25,'changes2_based on steps'!$B$1:$U$1,R$1)</f>
        <v>0</v>
      </c>
      <c r="S25" s="179">
        <f>SUMIFS('recurring2_based on steps'!$B25:$AY25,'recurring2_based on steps'!$B$1:$AY$1,S$1)+SUMIFS('changes2_based on steps'!$B25:$U25,'changes2_based on steps'!$B$1:$U$1,S$1)</f>
        <v>0</v>
      </c>
      <c r="T25" s="179">
        <f>SUMIFS('recurring2_based on steps'!$B25:$AY25,'recurring2_based on steps'!$B$1:$AY$1,T$1)+SUMIFS('changes2_based on steps'!$B25:$U25,'changes2_based on steps'!$B$1:$U$1,T$1)</f>
        <v>0</v>
      </c>
      <c r="U25" s="179">
        <f>SUMIFS('recurring2_based on steps'!$B25:$AY25,'recurring2_based on steps'!$B$1:$AY$1,U$1)+SUMIFS('changes2_based on steps'!$B25:$U25,'changes2_based on steps'!$B$1:$U$1,U$1)</f>
        <v>0</v>
      </c>
      <c r="V25" s="179">
        <f>SUMIFS('recurring2_based on steps'!$B25:$AY25,'recurring2_based on steps'!$B$1:$AY$1,V$1)+SUMIFS('changes2_based on steps'!$B25:$U25,'changes2_based on steps'!$B$1:$U$1,V$1)</f>
        <v>0</v>
      </c>
      <c r="W25" s="179">
        <f>SUMIFS('recurring2_based on steps'!$B25:$AY25,'recurring2_based on steps'!$B$1:$AY$1,W$1)+SUMIFS('changes2_based on steps'!$B25:$U25,'changes2_based on steps'!$B$1:$U$1,W$1)</f>
        <v>0</v>
      </c>
      <c r="X25" s="179">
        <f>SUMIFS('recurring2_based on steps'!$B25:$AY25,'recurring2_based on steps'!$B$1:$AY$1,X$1)+SUMIFS('changes2_based on steps'!$B25:$U25,'changes2_based on steps'!$B$1:$U$1,X$1)</f>
        <v>0</v>
      </c>
      <c r="Y25" s="179">
        <f>SUMIFS('recurring2_based on steps'!$B25:$AY25,'recurring2_based on steps'!$B$1:$AY$1,Y$1)+SUMIFS('changes2_based on steps'!$B25:$U25,'changes2_based on steps'!$B$1:$U$1,Y$1)</f>
        <v>0</v>
      </c>
      <c r="Z25" s="179">
        <f>SUMIFS('recurring2_based on steps'!$B25:$AY25,'recurring2_based on steps'!$B$1:$AY$1,Z$1)+SUMIFS('changes2_based on steps'!$B25:$U25,'changes2_based on steps'!$B$1:$U$1,Z$1)</f>
        <v>0</v>
      </c>
      <c r="AA25" s="179">
        <f>SUMIFS('recurring2_based on steps'!$B25:$AY25,'recurring2_based on steps'!$B$1:$AY$1,AA$1)+SUMIFS('changes2_based on steps'!$B25:$U25,'changes2_based on steps'!$B$1:$U$1,AA$1)</f>
        <v>0</v>
      </c>
      <c r="AB25" s="179">
        <f>SUMIFS('recurring2_based on steps'!$B25:$AY25,'recurring2_based on steps'!$B$1:$AY$1,AB$1)+SUMIFS('changes2_based on steps'!$B25:$U25,'changes2_based on steps'!$B$1:$U$1,AB$1)</f>
        <v>0</v>
      </c>
      <c r="AC25" s="179">
        <f>SUMIFS('recurring2_based on steps'!$B25:$AY25,'recurring2_based on steps'!$B$1:$AY$1,AC$1)+SUMIFS('changes2_based on steps'!$B25:$U25,'changes2_based on steps'!$B$1:$U$1,AC$1)</f>
        <v>0</v>
      </c>
      <c r="AD25" s="179">
        <f>SUMIFS('recurring2_based on steps'!$B25:$AY25,'recurring2_based on steps'!$B$1:$AY$1,AD$1)+SUMIFS('changes2_based on steps'!$B25:$U25,'changes2_based on steps'!$B$1:$U$1,AD$1)</f>
        <v>0</v>
      </c>
      <c r="AE25" s="179">
        <f>SUMIFS('recurring2_based on steps'!$B25:$AY25,'recurring2_based on steps'!$B$1:$AY$1,AE$1)+SUMIFS('changes2_based on steps'!$B25:$U25,'changes2_based on steps'!$B$1:$U$1,AE$1)</f>
        <v>0</v>
      </c>
      <c r="AF25" s="179"/>
      <c r="AG25" s="179"/>
      <c r="AH25" s="179"/>
      <c r="AI25" s="179"/>
      <c r="AJ25" s="179"/>
      <c r="AK25" s="179"/>
      <c r="AL25" s="179"/>
      <c r="AM25" s="179"/>
    </row>
    <row r="26" spans="1:39" x14ac:dyDescent="0.2">
      <c r="A26" s="32">
        <f t="shared" ca="1" si="0"/>
        <v>45775</v>
      </c>
      <c r="B26" s="179">
        <f>SUMIFS('recurring2_based on steps'!$B26:$AY26,'recurring2_based on steps'!$B$1:$AY$1,B$1)+SUMIFS('changes2_based on steps'!$B26:$U26,'changes2_based on steps'!$B$1:$U$1,B$1)</f>
        <v>0</v>
      </c>
      <c r="C26" s="179">
        <f>SUMIFS('recurring2_based on steps'!$B26:$AY26,'recurring2_based on steps'!$B$1:$AY$1,C$1)+SUMIFS('changes2_based on steps'!$B26:$U26,'changes2_based on steps'!$B$1:$U$1,C$1)</f>
        <v>0</v>
      </c>
      <c r="D26" s="179">
        <f>SUMIFS('recurring2_based on steps'!$B26:$AY26,'recurring2_based on steps'!$B$1:$AY$1,D$1)+SUMIFS('changes2_based on steps'!$B26:$U26,'changes2_based on steps'!$B$1:$U$1,D$1)</f>
        <v>0</v>
      </c>
      <c r="E26" s="179">
        <f>SUMIFS('recurring2_based on steps'!$B26:$AY26,'recurring2_based on steps'!$B$1:$AY$1,E$1)+SUMIFS('changes2_based on steps'!$B26:$U26,'changes2_based on steps'!$B$1:$U$1,E$1)</f>
        <v>0</v>
      </c>
      <c r="F26" s="179">
        <f>SUMIFS('recurring2_based on steps'!$B26:$AY26,'recurring2_based on steps'!$B$1:$AY$1,F$1)+SUMIFS('changes2_based on steps'!$B26:$U26,'changes2_based on steps'!$B$1:$U$1,F$1)</f>
        <v>0</v>
      </c>
      <c r="G26" s="179">
        <f>SUMIFS('recurring2_based on steps'!$B26:$AY26,'recurring2_based on steps'!$B$1:$AY$1,G$1)+SUMIFS('changes2_based on steps'!$B26:$U26,'changes2_based on steps'!$B$1:$U$1,G$1)</f>
        <v>0</v>
      </c>
      <c r="H26" s="179">
        <f>SUMIFS('recurring2_based on steps'!$B26:$AY26,'recurring2_based on steps'!$B$1:$AY$1,H$1)+SUMIFS('changes2_based on steps'!$B26:$U26,'changes2_based on steps'!$B$1:$U$1,H$1)</f>
        <v>0</v>
      </c>
      <c r="I26" s="179">
        <f>SUMIFS('recurring2_based on steps'!$B26:$AY26,'recurring2_based on steps'!$B$1:$AY$1,I$1)+SUMIFS('changes2_based on steps'!$B26:$U26,'changes2_based on steps'!$B$1:$U$1,I$1)</f>
        <v>0</v>
      </c>
      <c r="J26" s="179">
        <f>SUMIFS('recurring2_based on steps'!$B26:$AY26,'recurring2_based on steps'!$B$1:$AY$1,J$1)+SUMIFS('changes2_based on steps'!$B26:$U26,'changes2_based on steps'!$B$1:$U$1,J$1)</f>
        <v>0</v>
      </c>
      <c r="K26" s="179">
        <f>SUMIFS('recurring2_based on steps'!$B26:$AY26,'recurring2_based on steps'!$B$1:$AY$1,K$1)+SUMIFS('changes2_based on steps'!$B26:$U26,'changes2_based on steps'!$B$1:$U$1,K$1)</f>
        <v>0</v>
      </c>
      <c r="L26" s="179">
        <f>SUMIFS('recurring2_based on steps'!$B26:$AY26,'recurring2_based on steps'!$B$1:$AY$1,L$1)+SUMIFS('changes2_based on steps'!$B26:$U26,'changes2_based on steps'!$B$1:$U$1,L$1)</f>
        <v>0</v>
      </c>
      <c r="M26" s="179">
        <f>SUMIFS('recurring2_based on steps'!$B26:$AY26,'recurring2_based on steps'!$B$1:$AY$1,M$1)+SUMIFS('changes2_based on steps'!$B26:$U26,'changes2_based on steps'!$B$1:$U$1,M$1)</f>
        <v>0</v>
      </c>
      <c r="N26" s="179">
        <f>SUMIFS('recurring2_based on steps'!$B26:$AY26,'recurring2_based on steps'!$B$1:$AY$1,N$1)+SUMIFS('changes2_based on steps'!$B26:$U26,'changes2_based on steps'!$B$1:$U$1,N$1)</f>
        <v>0</v>
      </c>
      <c r="O26" s="179">
        <f>SUMIFS('recurring2_based on steps'!$B26:$AY26,'recurring2_based on steps'!$B$1:$AY$1,O$1)+SUMIFS('changes2_based on steps'!$B26:$U26,'changes2_based on steps'!$B$1:$U$1,O$1)</f>
        <v>0</v>
      </c>
      <c r="P26" s="179">
        <f>SUMIFS('recurring2_based on steps'!$B26:$AY26,'recurring2_based on steps'!$B$1:$AY$1,P$1)+SUMIFS('changes2_based on steps'!$B26:$U26,'changes2_based on steps'!$B$1:$U$1,P$1)</f>
        <v>0</v>
      </c>
      <c r="Q26" s="179">
        <f>SUMIFS('recurring2_based on steps'!$B26:$AY26,'recurring2_based on steps'!$B$1:$AY$1,Q$1)+SUMIFS('changes2_based on steps'!$B26:$U26,'changes2_based on steps'!$B$1:$U$1,Q$1)</f>
        <v>0</v>
      </c>
      <c r="R26" s="179">
        <f>SUMIFS('recurring2_based on steps'!$B26:$AY26,'recurring2_based on steps'!$B$1:$AY$1,R$1)+SUMIFS('changes2_based on steps'!$B26:$U26,'changes2_based on steps'!$B$1:$U$1,R$1)</f>
        <v>0</v>
      </c>
      <c r="S26" s="179">
        <f>SUMIFS('recurring2_based on steps'!$B26:$AY26,'recurring2_based on steps'!$B$1:$AY$1,S$1)+SUMIFS('changes2_based on steps'!$B26:$U26,'changes2_based on steps'!$B$1:$U$1,S$1)</f>
        <v>0</v>
      </c>
      <c r="T26" s="179">
        <f>SUMIFS('recurring2_based on steps'!$B26:$AY26,'recurring2_based on steps'!$B$1:$AY$1,T$1)+SUMIFS('changes2_based on steps'!$B26:$U26,'changes2_based on steps'!$B$1:$U$1,T$1)</f>
        <v>0</v>
      </c>
      <c r="U26" s="179">
        <f>SUMIFS('recurring2_based on steps'!$B26:$AY26,'recurring2_based on steps'!$B$1:$AY$1,U$1)+SUMIFS('changes2_based on steps'!$B26:$U26,'changes2_based on steps'!$B$1:$U$1,U$1)</f>
        <v>0</v>
      </c>
      <c r="V26" s="179">
        <f>SUMIFS('recurring2_based on steps'!$B26:$AY26,'recurring2_based on steps'!$B$1:$AY$1,V$1)+SUMIFS('changes2_based on steps'!$B26:$U26,'changes2_based on steps'!$B$1:$U$1,V$1)</f>
        <v>0</v>
      </c>
      <c r="W26" s="179">
        <f>SUMIFS('recurring2_based on steps'!$B26:$AY26,'recurring2_based on steps'!$B$1:$AY$1,W$1)+SUMIFS('changes2_based on steps'!$B26:$U26,'changes2_based on steps'!$B$1:$U$1,W$1)</f>
        <v>0</v>
      </c>
      <c r="X26" s="179">
        <f>SUMIFS('recurring2_based on steps'!$B26:$AY26,'recurring2_based on steps'!$B$1:$AY$1,X$1)+SUMIFS('changes2_based on steps'!$B26:$U26,'changes2_based on steps'!$B$1:$U$1,X$1)</f>
        <v>0</v>
      </c>
      <c r="Y26" s="179">
        <f>SUMIFS('recurring2_based on steps'!$B26:$AY26,'recurring2_based on steps'!$B$1:$AY$1,Y$1)+SUMIFS('changes2_based on steps'!$B26:$U26,'changes2_based on steps'!$B$1:$U$1,Y$1)</f>
        <v>0</v>
      </c>
      <c r="Z26" s="179">
        <f>SUMIFS('recurring2_based on steps'!$B26:$AY26,'recurring2_based on steps'!$B$1:$AY$1,Z$1)+SUMIFS('changes2_based on steps'!$B26:$U26,'changes2_based on steps'!$B$1:$U$1,Z$1)</f>
        <v>0</v>
      </c>
      <c r="AA26" s="179">
        <f>SUMIFS('recurring2_based on steps'!$B26:$AY26,'recurring2_based on steps'!$B$1:$AY$1,AA$1)+SUMIFS('changes2_based on steps'!$B26:$U26,'changes2_based on steps'!$B$1:$U$1,AA$1)</f>
        <v>0</v>
      </c>
      <c r="AB26" s="179">
        <f>SUMIFS('recurring2_based on steps'!$B26:$AY26,'recurring2_based on steps'!$B$1:$AY$1,AB$1)+SUMIFS('changes2_based on steps'!$B26:$U26,'changes2_based on steps'!$B$1:$U$1,AB$1)</f>
        <v>0</v>
      </c>
      <c r="AC26" s="179">
        <f>SUMIFS('recurring2_based on steps'!$B26:$AY26,'recurring2_based on steps'!$B$1:$AY$1,AC$1)+SUMIFS('changes2_based on steps'!$B26:$U26,'changes2_based on steps'!$B$1:$U$1,AC$1)</f>
        <v>0</v>
      </c>
      <c r="AD26" s="179">
        <f>SUMIFS('recurring2_based on steps'!$B26:$AY26,'recurring2_based on steps'!$B$1:$AY$1,AD$1)+SUMIFS('changes2_based on steps'!$B26:$U26,'changes2_based on steps'!$B$1:$U$1,AD$1)</f>
        <v>0</v>
      </c>
      <c r="AE26" s="179">
        <f>SUMIFS('recurring2_based on steps'!$B26:$AY26,'recurring2_based on steps'!$B$1:$AY$1,AE$1)+SUMIFS('changes2_based on steps'!$B26:$U26,'changes2_based on steps'!$B$1:$U$1,AE$1)</f>
        <v>0</v>
      </c>
      <c r="AF26" s="179"/>
      <c r="AG26" s="179"/>
      <c r="AH26" s="179"/>
      <c r="AI26" s="179"/>
      <c r="AJ26" s="179"/>
      <c r="AK26" s="179"/>
      <c r="AL26" s="179"/>
      <c r="AM26" s="179"/>
    </row>
    <row r="27" spans="1:39" x14ac:dyDescent="0.2">
      <c r="A27" s="32">
        <f t="shared" ca="1" si="0"/>
        <v>45776</v>
      </c>
      <c r="B27" s="179">
        <f>SUMIFS('recurring2_based on steps'!$B27:$AY27,'recurring2_based on steps'!$B$1:$AY$1,B$1)+SUMIFS('changes2_based on steps'!$B27:$U27,'changes2_based on steps'!$B$1:$U$1,B$1)</f>
        <v>0</v>
      </c>
      <c r="C27" s="179">
        <f>SUMIFS('recurring2_based on steps'!$B27:$AY27,'recurring2_based on steps'!$B$1:$AY$1,C$1)+SUMIFS('changes2_based on steps'!$B27:$U27,'changes2_based on steps'!$B$1:$U$1,C$1)</f>
        <v>0</v>
      </c>
      <c r="D27" s="179">
        <f>SUMIFS('recurring2_based on steps'!$B27:$AY27,'recurring2_based on steps'!$B$1:$AY$1,D$1)+SUMIFS('changes2_based on steps'!$B27:$U27,'changes2_based on steps'!$B$1:$U$1,D$1)</f>
        <v>0</v>
      </c>
      <c r="E27" s="179">
        <f>SUMIFS('recurring2_based on steps'!$B27:$AY27,'recurring2_based on steps'!$B$1:$AY$1,E$1)+SUMIFS('changes2_based on steps'!$B27:$U27,'changes2_based on steps'!$B$1:$U$1,E$1)</f>
        <v>0</v>
      </c>
      <c r="F27" s="179">
        <f>SUMIFS('recurring2_based on steps'!$B27:$AY27,'recurring2_based on steps'!$B$1:$AY$1,F$1)+SUMIFS('changes2_based on steps'!$B27:$U27,'changes2_based on steps'!$B$1:$U$1,F$1)</f>
        <v>0</v>
      </c>
      <c r="G27" s="179">
        <f>SUMIFS('recurring2_based on steps'!$B27:$AY27,'recurring2_based on steps'!$B$1:$AY$1,G$1)+SUMIFS('changes2_based on steps'!$B27:$U27,'changes2_based on steps'!$B$1:$U$1,G$1)</f>
        <v>0</v>
      </c>
      <c r="H27" s="179">
        <f>SUMIFS('recurring2_based on steps'!$B27:$AY27,'recurring2_based on steps'!$B$1:$AY$1,H$1)+SUMIFS('changes2_based on steps'!$B27:$U27,'changes2_based on steps'!$B$1:$U$1,H$1)</f>
        <v>0</v>
      </c>
      <c r="I27" s="179">
        <f>SUMIFS('recurring2_based on steps'!$B27:$AY27,'recurring2_based on steps'!$B$1:$AY$1,I$1)+SUMIFS('changes2_based on steps'!$B27:$U27,'changes2_based on steps'!$B$1:$U$1,I$1)</f>
        <v>0</v>
      </c>
      <c r="J27" s="179">
        <f>SUMIFS('recurring2_based on steps'!$B27:$AY27,'recurring2_based on steps'!$B$1:$AY$1,J$1)+SUMIFS('changes2_based on steps'!$B27:$U27,'changes2_based on steps'!$B$1:$U$1,J$1)</f>
        <v>0</v>
      </c>
      <c r="K27" s="179">
        <f>SUMIFS('recurring2_based on steps'!$B27:$AY27,'recurring2_based on steps'!$B$1:$AY$1,K$1)+SUMIFS('changes2_based on steps'!$B27:$U27,'changes2_based on steps'!$B$1:$U$1,K$1)</f>
        <v>0</v>
      </c>
      <c r="L27" s="179">
        <f>SUMIFS('recurring2_based on steps'!$B27:$AY27,'recurring2_based on steps'!$B$1:$AY$1,L$1)+SUMIFS('changes2_based on steps'!$B27:$U27,'changes2_based on steps'!$B$1:$U$1,L$1)</f>
        <v>0</v>
      </c>
      <c r="M27" s="179">
        <f>SUMIFS('recurring2_based on steps'!$B27:$AY27,'recurring2_based on steps'!$B$1:$AY$1,M$1)+SUMIFS('changes2_based on steps'!$B27:$U27,'changes2_based on steps'!$B$1:$U$1,M$1)</f>
        <v>0</v>
      </c>
      <c r="N27" s="179">
        <f>SUMIFS('recurring2_based on steps'!$B27:$AY27,'recurring2_based on steps'!$B$1:$AY$1,N$1)+SUMIFS('changes2_based on steps'!$B27:$U27,'changes2_based on steps'!$B$1:$U$1,N$1)</f>
        <v>0</v>
      </c>
      <c r="O27" s="179">
        <f>SUMIFS('recurring2_based on steps'!$B27:$AY27,'recurring2_based on steps'!$B$1:$AY$1,O$1)+SUMIFS('changes2_based on steps'!$B27:$U27,'changes2_based on steps'!$B$1:$U$1,O$1)</f>
        <v>0</v>
      </c>
      <c r="P27" s="179">
        <f>SUMIFS('recurring2_based on steps'!$B27:$AY27,'recurring2_based on steps'!$B$1:$AY$1,P$1)+SUMIFS('changes2_based on steps'!$B27:$U27,'changes2_based on steps'!$B$1:$U$1,P$1)</f>
        <v>0</v>
      </c>
      <c r="Q27" s="179">
        <f>SUMIFS('recurring2_based on steps'!$B27:$AY27,'recurring2_based on steps'!$B$1:$AY$1,Q$1)+SUMIFS('changes2_based on steps'!$B27:$U27,'changes2_based on steps'!$B$1:$U$1,Q$1)</f>
        <v>0</v>
      </c>
      <c r="R27" s="179">
        <f>SUMIFS('recurring2_based on steps'!$B27:$AY27,'recurring2_based on steps'!$B$1:$AY$1,R$1)+SUMIFS('changes2_based on steps'!$B27:$U27,'changes2_based on steps'!$B$1:$U$1,R$1)</f>
        <v>0</v>
      </c>
      <c r="S27" s="179">
        <f>SUMIFS('recurring2_based on steps'!$B27:$AY27,'recurring2_based on steps'!$B$1:$AY$1,S$1)+SUMIFS('changes2_based on steps'!$B27:$U27,'changes2_based on steps'!$B$1:$U$1,S$1)</f>
        <v>0</v>
      </c>
      <c r="T27" s="179">
        <f>SUMIFS('recurring2_based on steps'!$B27:$AY27,'recurring2_based on steps'!$B$1:$AY$1,T$1)+SUMIFS('changes2_based on steps'!$B27:$U27,'changes2_based on steps'!$B$1:$U$1,T$1)</f>
        <v>0</v>
      </c>
      <c r="U27" s="179">
        <f>SUMIFS('recurring2_based on steps'!$B27:$AY27,'recurring2_based on steps'!$B$1:$AY$1,U$1)+SUMIFS('changes2_based on steps'!$B27:$U27,'changes2_based on steps'!$B$1:$U$1,U$1)</f>
        <v>0</v>
      </c>
      <c r="V27" s="179">
        <f>SUMIFS('recurring2_based on steps'!$B27:$AY27,'recurring2_based on steps'!$B$1:$AY$1,V$1)+SUMIFS('changes2_based on steps'!$B27:$U27,'changes2_based on steps'!$B$1:$U$1,V$1)</f>
        <v>0</v>
      </c>
      <c r="W27" s="179">
        <f>SUMIFS('recurring2_based on steps'!$B27:$AY27,'recurring2_based on steps'!$B$1:$AY$1,W$1)+SUMIFS('changes2_based on steps'!$B27:$U27,'changes2_based on steps'!$B$1:$U$1,W$1)</f>
        <v>0</v>
      </c>
      <c r="X27" s="179">
        <f>SUMIFS('recurring2_based on steps'!$B27:$AY27,'recurring2_based on steps'!$B$1:$AY$1,X$1)+SUMIFS('changes2_based on steps'!$B27:$U27,'changes2_based on steps'!$B$1:$U$1,X$1)</f>
        <v>0</v>
      </c>
      <c r="Y27" s="179">
        <f>SUMIFS('recurring2_based on steps'!$B27:$AY27,'recurring2_based on steps'!$B$1:$AY$1,Y$1)+SUMIFS('changes2_based on steps'!$B27:$U27,'changes2_based on steps'!$B$1:$U$1,Y$1)</f>
        <v>0</v>
      </c>
      <c r="Z27" s="179">
        <f>SUMIFS('recurring2_based on steps'!$B27:$AY27,'recurring2_based on steps'!$B$1:$AY$1,Z$1)+SUMIFS('changes2_based on steps'!$B27:$U27,'changes2_based on steps'!$B$1:$U$1,Z$1)</f>
        <v>0</v>
      </c>
      <c r="AA27" s="179">
        <f>SUMIFS('recurring2_based on steps'!$B27:$AY27,'recurring2_based on steps'!$B$1:$AY$1,AA$1)+SUMIFS('changes2_based on steps'!$B27:$U27,'changes2_based on steps'!$B$1:$U$1,AA$1)</f>
        <v>0</v>
      </c>
      <c r="AB27" s="179">
        <f>SUMIFS('recurring2_based on steps'!$B27:$AY27,'recurring2_based on steps'!$B$1:$AY$1,AB$1)+SUMIFS('changes2_based on steps'!$B27:$U27,'changes2_based on steps'!$B$1:$U$1,AB$1)</f>
        <v>0</v>
      </c>
      <c r="AC27" s="179">
        <f>SUMIFS('recurring2_based on steps'!$B27:$AY27,'recurring2_based on steps'!$B$1:$AY$1,AC$1)+SUMIFS('changes2_based on steps'!$B27:$U27,'changes2_based on steps'!$B$1:$U$1,AC$1)</f>
        <v>0</v>
      </c>
      <c r="AD27" s="179">
        <f>SUMIFS('recurring2_based on steps'!$B27:$AY27,'recurring2_based on steps'!$B$1:$AY$1,AD$1)+SUMIFS('changes2_based on steps'!$B27:$U27,'changes2_based on steps'!$B$1:$U$1,AD$1)</f>
        <v>0</v>
      </c>
      <c r="AE27" s="179">
        <f>SUMIFS('recurring2_based on steps'!$B27:$AY27,'recurring2_based on steps'!$B$1:$AY$1,AE$1)+SUMIFS('changes2_based on steps'!$B27:$U27,'changes2_based on steps'!$B$1:$U$1,AE$1)</f>
        <v>0</v>
      </c>
      <c r="AF27" s="179"/>
      <c r="AG27" s="179"/>
      <c r="AH27" s="179"/>
      <c r="AI27" s="179"/>
      <c r="AJ27" s="179"/>
      <c r="AK27" s="179"/>
      <c r="AL27" s="179"/>
      <c r="AM27" s="179"/>
    </row>
    <row r="28" spans="1:39" x14ac:dyDescent="0.2">
      <c r="A28" s="32">
        <f t="shared" ca="1" si="0"/>
        <v>45777</v>
      </c>
      <c r="B28" s="179">
        <f>SUMIFS('recurring2_based on steps'!$B28:$AY28,'recurring2_based on steps'!$B$1:$AY$1,B$1)+SUMIFS('changes2_based on steps'!$B28:$U28,'changes2_based on steps'!$B$1:$U$1,B$1)</f>
        <v>0</v>
      </c>
      <c r="C28" s="179">
        <f>SUMIFS('recurring2_based on steps'!$B28:$AY28,'recurring2_based on steps'!$B$1:$AY$1,C$1)+SUMIFS('changes2_based on steps'!$B28:$U28,'changes2_based on steps'!$B$1:$U$1,C$1)</f>
        <v>0</v>
      </c>
      <c r="D28" s="179">
        <f>SUMIFS('recurring2_based on steps'!$B28:$AY28,'recurring2_based on steps'!$B$1:$AY$1,D$1)+SUMIFS('changes2_based on steps'!$B28:$U28,'changes2_based on steps'!$B$1:$U$1,D$1)</f>
        <v>0</v>
      </c>
      <c r="E28" s="179">
        <f>SUMIFS('recurring2_based on steps'!$B28:$AY28,'recurring2_based on steps'!$B$1:$AY$1,E$1)+SUMIFS('changes2_based on steps'!$B28:$U28,'changes2_based on steps'!$B$1:$U$1,E$1)</f>
        <v>0</v>
      </c>
      <c r="F28" s="179">
        <f>SUMIFS('recurring2_based on steps'!$B28:$AY28,'recurring2_based on steps'!$B$1:$AY$1,F$1)+SUMIFS('changes2_based on steps'!$B28:$U28,'changes2_based on steps'!$B$1:$U$1,F$1)</f>
        <v>0</v>
      </c>
      <c r="G28" s="179">
        <f>SUMIFS('recurring2_based on steps'!$B28:$AY28,'recurring2_based on steps'!$B$1:$AY$1,G$1)+SUMIFS('changes2_based on steps'!$B28:$U28,'changes2_based on steps'!$B$1:$U$1,G$1)</f>
        <v>0</v>
      </c>
      <c r="H28" s="179">
        <f>SUMIFS('recurring2_based on steps'!$B28:$AY28,'recurring2_based on steps'!$B$1:$AY$1,H$1)+SUMIFS('changes2_based on steps'!$B28:$U28,'changes2_based on steps'!$B$1:$U$1,H$1)</f>
        <v>0</v>
      </c>
      <c r="I28" s="179">
        <f>SUMIFS('recurring2_based on steps'!$B28:$AY28,'recurring2_based on steps'!$B$1:$AY$1,I$1)+SUMIFS('changes2_based on steps'!$B28:$U28,'changes2_based on steps'!$B$1:$U$1,I$1)</f>
        <v>0</v>
      </c>
      <c r="J28" s="179">
        <f>SUMIFS('recurring2_based on steps'!$B28:$AY28,'recurring2_based on steps'!$B$1:$AY$1,J$1)+SUMIFS('changes2_based on steps'!$B28:$U28,'changes2_based on steps'!$B$1:$U$1,J$1)</f>
        <v>0</v>
      </c>
      <c r="K28" s="179">
        <f>SUMIFS('recurring2_based on steps'!$B28:$AY28,'recurring2_based on steps'!$B$1:$AY$1,K$1)+SUMIFS('changes2_based on steps'!$B28:$U28,'changes2_based on steps'!$B$1:$U$1,K$1)</f>
        <v>0</v>
      </c>
      <c r="L28" s="179">
        <f>SUMIFS('recurring2_based on steps'!$B28:$AY28,'recurring2_based on steps'!$B$1:$AY$1,L$1)+SUMIFS('changes2_based on steps'!$B28:$U28,'changes2_based on steps'!$B$1:$U$1,L$1)</f>
        <v>0</v>
      </c>
      <c r="M28" s="179">
        <f>SUMIFS('recurring2_based on steps'!$B28:$AY28,'recurring2_based on steps'!$B$1:$AY$1,M$1)+SUMIFS('changes2_based on steps'!$B28:$U28,'changes2_based on steps'!$B$1:$U$1,M$1)</f>
        <v>0</v>
      </c>
      <c r="N28" s="179">
        <f>SUMIFS('recurring2_based on steps'!$B28:$AY28,'recurring2_based on steps'!$B$1:$AY$1,N$1)+SUMIFS('changes2_based on steps'!$B28:$U28,'changes2_based on steps'!$B$1:$U$1,N$1)</f>
        <v>0</v>
      </c>
      <c r="O28" s="179">
        <f>SUMIFS('recurring2_based on steps'!$B28:$AY28,'recurring2_based on steps'!$B$1:$AY$1,O$1)+SUMIFS('changes2_based on steps'!$B28:$U28,'changes2_based on steps'!$B$1:$U$1,O$1)</f>
        <v>0</v>
      </c>
      <c r="P28" s="179">
        <f>SUMIFS('recurring2_based on steps'!$B28:$AY28,'recurring2_based on steps'!$B$1:$AY$1,P$1)+SUMIFS('changes2_based on steps'!$B28:$U28,'changes2_based on steps'!$B$1:$U$1,P$1)</f>
        <v>0</v>
      </c>
      <c r="Q28" s="179">
        <f>SUMIFS('recurring2_based on steps'!$B28:$AY28,'recurring2_based on steps'!$B$1:$AY$1,Q$1)+SUMIFS('changes2_based on steps'!$B28:$U28,'changes2_based on steps'!$B$1:$U$1,Q$1)</f>
        <v>0</v>
      </c>
      <c r="R28" s="179">
        <f>SUMIFS('recurring2_based on steps'!$B28:$AY28,'recurring2_based on steps'!$B$1:$AY$1,R$1)+SUMIFS('changes2_based on steps'!$B28:$U28,'changes2_based on steps'!$B$1:$U$1,R$1)</f>
        <v>0</v>
      </c>
      <c r="S28" s="179">
        <f>SUMIFS('recurring2_based on steps'!$B28:$AY28,'recurring2_based on steps'!$B$1:$AY$1,S$1)+SUMIFS('changes2_based on steps'!$B28:$U28,'changes2_based on steps'!$B$1:$U$1,S$1)</f>
        <v>0</v>
      </c>
      <c r="T28" s="179">
        <f>SUMIFS('recurring2_based on steps'!$B28:$AY28,'recurring2_based on steps'!$B$1:$AY$1,T$1)+SUMIFS('changes2_based on steps'!$B28:$U28,'changes2_based on steps'!$B$1:$U$1,T$1)</f>
        <v>0</v>
      </c>
      <c r="U28" s="179">
        <f>SUMIFS('recurring2_based on steps'!$B28:$AY28,'recurring2_based on steps'!$B$1:$AY$1,U$1)+SUMIFS('changes2_based on steps'!$B28:$U28,'changes2_based on steps'!$B$1:$U$1,U$1)</f>
        <v>0</v>
      </c>
      <c r="V28" s="179">
        <f>SUMIFS('recurring2_based on steps'!$B28:$AY28,'recurring2_based on steps'!$B$1:$AY$1,V$1)+SUMIFS('changes2_based on steps'!$B28:$U28,'changes2_based on steps'!$B$1:$U$1,V$1)</f>
        <v>0</v>
      </c>
      <c r="W28" s="179">
        <f>SUMIFS('recurring2_based on steps'!$B28:$AY28,'recurring2_based on steps'!$B$1:$AY$1,W$1)+SUMIFS('changes2_based on steps'!$B28:$U28,'changes2_based on steps'!$B$1:$U$1,W$1)</f>
        <v>0</v>
      </c>
      <c r="X28" s="179">
        <f>SUMIFS('recurring2_based on steps'!$B28:$AY28,'recurring2_based on steps'!$B$1:$AY$1,X$1)+SUMIFS('changes2_based on steps'!$B28:$U28,'changes2_based on steps'!$B$1:$U$1,X$1)</f>
        <v>0</v>
      </c>
      <c r="Y28" s="179">
        <f>SUMIFS('recurring2_based on steps'!$B28:$AY28,'recurring2_based on steps'!$B$1:$AY$1,Y$1)+SUMIFS('changes2_based on steps'!$B28:$U28,'changes2_based on steps'!$B$1:$U$1,Y$1)</f>
        <v>0</v>
      </c>
      <c r="Z28" s="179">
        <f>SUMIFS('recurring2_based on steps'!$B28:$AY28,'recurring2_based on steps'!$B$1:$AY$1,Z$1)+SUMIFS('changes2_based on steps'!$B28:$U28,'changes2_based on steps'!$B$1:$U$1,Z$1)</f>
        <v>0</v>
      </c>
      <c r="AA28" s="179">
        <f>SUMIFS('recurring2_based on steps'!$B28:$AY28,'recurring2_based on steps'!$B$1:$AY$1,AA$1)+SUMIFS('changes2_based on steps'!$B28:$U28,'changes2_based on steps'!$B$1:$U$1,AA$1)</f>
        <v>0</v>
      </c>
      <c r="AB28" s="179">
        <f>SUMIFS('recurring2_based on steps'!$B28:$AY28,'recurring2_based on steps'!$B$1:$AY$1,AB$1)+SUMIFS('changes2_based on steps'!$B28:$U28,'changes2_based on steps'!$B$1:$U$1,AB$1)</f>
        <v>0</v>
      </c>
      <c r="AC28" s="179">
        <f>SUMIFS('recurring2_based on steps'!$B28:$AY28,'recurring2_based on steps'!$B$1:$AY$1,AC$1)+SUMIFS('changes2_based on steps'!$B28:$U28,'changes2_based on steps'!$B$1:$U$1,AC$1)</f>
        <v>0</v>
      </c>
      <c r="AD28" s="179">
        <f>SUMIFS('recurring2_based on steps'!$B28:$AY28,'recurring2_based on steps'!$B$1:$AY$1,AD$1)+SUMIFS('changes2_based on steps'!$B28:$U28,'changes2_based on steps'!$B$1:$U$1,AD$1)</f>
        <v>0</v>
      </c>
      <c r="AE28" s="179">
        <f>SUMIFS('recurring2_based on steps'!$B28:$AY28,'recurring2_based on steps'!$B$1:$AY$1,AE$1)+SUMIFS('changes2_based on steps'!$B28:$U28,'changes2_based on steps'!$B$1:$U$1,AE$1)</f>
        <v>0</v>
      </c>
      <c r="AF28" s="179"/>
      <c r="AG28" s="179"/>
      <c r="AH28" s="179"/>
      <c r="AI28" s="179"/>
      <c r="AJ28" s="179"/>
      <c r="AK28" s="179"/>
      <c r="AL28" s="179"/>
      <c r="AM28" s="179"/>
    </row>
    <row r="29" spans="1:39" x14ac:dyDescent="0.2">
      <c r="A29" s="32">
        <f t="shared" ca="1" si="0"/>
        <v>45778</v>
      </c>
      <c r="B29" s="179">
        <f>SUMIFS('recurring2_based on steps'!$B29:$AY29,'recurring2_based on steps'!$B$1:$AY$1,B$1)+SUMIFS('changes2_based on steps'!$B29:$U29,'changes2_based on steps'!$B$1:$U$1,B$1)</f>
        <v>0</v>
      </c>
      <c r="C29" s="179">
        <f>SUMIFS('recurring2_based on steps'!$B29:$AY29,'recurring2_based on steps'!$B$1:$AY$1,C$1)+SUMIFS('changes2_based on steps'!$B29:$U29,'changes2_based on steps'!$B$1:$U$1,C$1)</f>
        <v>0</v>
      </c>
      <c r="D29" s="179">
        <f>SUMIFS('recurring2_based on steps'!$B29:$AY29,'recurring2_based on steps'!$B$1:$AY$1,D$1)+SUMIFS('changes2_based on steps'!$B29:$U29,'changes2_based on steps'!$B$1:$U$1,D$1)</f>
        <v>0</v>
      </c>
      <c r="E29" s="179">
        <f>SUMIFS('recurring2_based on steps'!$B29:$AY29,'recurring2_based on steps'!$B$1:$AY$1,E$1)+SUMIFS('changes2_based on steps'!$B29:$U29,'changes2_based on steps'!$B$1:$U$1,E$1)</f>
        <v>0</v>
      </c>
      <c r="F29" s="179">
        <f>SUMIFS('recurring2_based on steps'!$B29:$AY29,'recurring2_based on steps'!$B$1:$AY$1,F$1)+SUMIFS('changes2_based on steps'!$B29:$U29,'changes2_based on steps'!$B$1:$U$1,F$1)</f>
        <v>0</v>
      </c>
      <c r="G29" s="179">
        <f>SUMIFS('recurring2_based on steps'!$B29:$AY29,'recurring2_based on steps'!$B$1:$AY$1,G$1)+SUMIFS('changes2_based on steps'!$B29:$U29,'changes2_based on steps'!$B$1:$U$1,G$1)</f>
        <v>0</v>
      </c>
      <c r="H29" s="179">
        <f>SUMIFS('recurring2_based on steps'!$B29:$AY29,'recurring2_based on steps'!$B$1:$AY$1,H$1)+SUMIFS('changes2_based on steps'!$B29:$U29,'changes2_based on steps'!$B$1:$U$1,H$1)</f>
        <v>0</v>
      </c>
      <c r="I29" s="179">
        <f>SUMIFS('recurring2_based on steps'!$B29:$AY29,'recurring2_based on steps'!$B$1:$AY$1,I$1)+SUMIFS('changes2_based on steps'!$B29:$U29,'changes2_based on steps'!$B$1:$U$1,I$1)</f>
        <v>0</v>
      </c>
      <c r="J29" s="179">
        <f>SUMIFS('recurring2_based on steps'!$B29:$AY29,'recurring2_based on steps'!$B$1:$AY$1,J$1)+SUMIFS('changes2_based on steps'!$B29:$U29,'changes2_based on steps'!$B$1:$U$1,J$1)</f>
        <v>0</v>
      </c>
      <c r="K29" s="179">
        <f>SUMIFS('recurring2_based on steps'!$B29:$AY29,'recurring2_based on steps'!$B$1:$AY$1,K$1)+SUMIFS('changes2_based on steps'!$B29:$U29,'changes2_based on steps'!$B$1:$U$1,K$1)</f>
        <v>0</v>
      </c>
      <c r="L29" s="179">
        <f>SUMIFS('recurring2_based on steps'!$B29:$AY29,'recurring2_based on steps'!$B$1:$AY$1,L$1)+SUMIFS('changes2_based on steps'!$B29:$U29,'changes2_based on steps'!$B$1:$U$1,L$1)</f>
        <v>0</v>
      </c>
      <c r="M29" s="179">
        <f>SUMIFS('recurring2_based on steps'!$B29:$AY29,'recurring2_based on steps'!$B$1:$AY$1,M$1)+SUMIFS('changes2_based on steps'!$B29:$U29,'changes2_based on steps'!$B$1:$U$1,M$1)</f>
        <v>0</v>
      </c>
      <c r="N29" s="179">
        <f>SUMIFS('recurring2_based on steps'!$B29:$AY29,'recurring2_based on steps'!$B$1:$AY$1,N$1)+SUMIFS('changes2_based on steps'!$B29:$U29,'changes2_based on steps'!$B$1:$U$1,N$1)</f>
        <v>0</v>
      </c>
      <c r="O29" s="179">
        <f>SUMIFS('recurring2_based on steps'!$B29:$AY29,'recurring2_based on steps'!$B$1:$AY$1,O$1)+SUMIFS('changes2_based on steps'!$B29:$U29,'changes2_based on steps'!$B$1:$U$1,O$1)</f>
        <v>0</v>
      </c>
      <c r="P29" s="179">
        <f>SUMIFS('recurring2_based on steps'!$B29:$AY29,'recurring2_based on steps'!$B$1:$AY$1,P$1)+SUMIFS('changes2_based on steps'!$B29:$U29,'changes2_based on steps'!$B$1:$U$1,P$1)</f>
        <v>0</v>
      </c>
      <c r="Q29" s="179">
        <f>SUMIFS('recurring2_based on steps'!$B29:$AY29,'recurring2_based on steps'!$B$1:$AY$1,Q$1)+SUMIFS('changes2_based on steps'!$B29:$U29,'changes2_based on steps'!$B$1:$U$1,Q$1)</f>
        <v>0</v>
      </c>
      <c r="R29" s="179">
        <f>SUMIFS('recurring2_based on steps'!$B29:$AY29,'recurring2_based on steps'!$B$1:$AY$1,R$1)+SUMIFS('changes2_based on steps'!$B29:$U29,'changes2_based on steps'!$B$1:$U$1,R$1)</f>
        <v>0</v>
      </c>
      <c r="S29" s="179">
        <f>SUMIFS('recurring2_based on steps'!$B29:$AY29,'recurring2_based on steps'!$B$1:$AY$1,S$1)+SUMIFS('changes2_based on steps'!$B29:$U29,'changes2_based on steps'!$B$1:$U$1,S$1)</f>
        <v>0</v>
      </c>
      <c r="T29" s="179">
        <f>SUMIFS('recurring2_based on steps'!$B29:$AY29,'recurring2_based on steps'!$B$1:$AY$1,T$1)+SUMIFS('changes2_based on steps'!$B29:$U29,'changes2_based on steps'!$B$1:$U$1,T$1)</f>
        <v>0</v>
      </c>
      <c r="U29" s="179">
        <f>SUMIFS('recurring2_based on steps'!$B29:$AY29,'recurring2_based on steps'!$B$1:$AY$1,U$1)+SUMIFS('changes2_based on steps'!$B29:$U29,'changes2_based on steps'!$B$1:$U$1,U$1)</f>
        <v>0</v>
      </c>
      <c r="V29" s="179">
        <f>SUMIFS('recurring2_based on steps'!$B29:$AY29,'recurring2_based on steps'!$B$1:$AY$1,V$1)+SUMIFS('changes2_based on steps'!$B29:$U29,'changes2_based on steps'!$B$1:$U$1,V$1)</f>
        <v>0</v>
      </c>
      <c r="W29" s="179">
        <f>SUMIFS('recurring2_based on steps'!$B29:$AY29,'recurring2_based on steps'!$B$1:$AY$1,W$1)+SUMIFS('changes2_based on steps'!$B29:$U29,'changes2_based on steps'!$B$1:$U$1,W$1)</f>
        <v>0</v>
      </c>
      <c r="X29" s="179">
        <f>SUMIFS('recurring2_based on steps'!$B29:$AY29,'recurring2_based on steps'!$B$1:$AY$1,X$1)+SUMIFS('changes2_based on steps'!$B29:$U29,'changes2_based on steps'!$B$1:$U$1,X$1)</f>
        <v>0</v>
      </c>
      <c r="Y29" s="179">
        <f>SUMIFS('recurring2_based on steps'!$B29:$AY29,'recurring2_based on steps'!$B$1:$AY$1,Y$1)+SUMIFS('changes2_based on steps'!$B29:$U29,'changes2_based on steps'!$B$1:$U$1,Y$1)</f>
        <v>0</v>
      </c>
      <c r="Z29" s="179">
        <f>SUMIFS('recurring2_based on steps'!$B29:$AY29,'recurring2_based on steps'!$B$1:$AY$1,Z$1)+SUMIFS('changes2_based on steps'!$B29:$U29,'changes2_based on steps'!$B$1:$U$1,Z$1)</f>
        <v>0</v>
      </c>
      <c r="AA29" s="179">
        <f>SUMIFS('recurring2_based on steps'!$B29:$AY29,'recurring2_based on steps'!$B$1:$AY$1,AA$1)+SUMIFS('changes2_based on steps'!$B29:$U29,'changes2_based on steps'!$B$1:$U$1,AA$1)</f>
        <v>0</v>
      </c>
      <c r="AB29" s="179">
        <f>SUMIFS('recurring2_based on steps'!$B29:$AY29,'recurring2_based on steps'!$B$1:$AY$1,AB$1)+SUMIFS('changes2_based on steps'!$B29:$U29,'changes2_based on steps'!$B$1:$U$1,AB$1)</f>
        <v>0</v>
      </c>
      <c r="AC29" s="179">
        <f>SUMIFS('recurring2_based on steps'!$B29:$AY29,'recurring2_based on steps'!$B$1:$AY$1,AC$1)+SUMIFS('changes2_based on steps'!$B29:$U29,'changes2_based on steps'!$B$1:$U$1,AC$1)</f>
        <v>0</v>
      </c>
      <c r="AD29" s="179">
        <f>SUMIFS('recurring2_based on steps'!$B29:$AY29,'recurring2_based on steps'!$B$1:$AY$1,AD$1)+SUMIFS('changes2_based on steps'!$B29:$U29,'changes2_based on steps'!$B$1:$U$1,AD$1)</f>
        <v>0</v>
      </c>
      <c r="AE29" s="179">
        <f>SUMIFS('recurring2_based on steps'!$B29:$AY29,'recurring2_based on steps'!$B$1:$AY$1,AE$1)+SUMIFS('changes2_based on steps'!$B29:$U29,'changes2_based on steps'!$B$1:$U$1,AE$1)</f>
        <v>0</v>
      </c>
      <c r="AF29" s="179"/>
      <c r="AG29" s="179"/>
      <c r="AH29" s="179"/>
      <c r="AI29" s="179"/>
      <c r="AJ29" s="179"/>
      <c r="AK29" s="179"/>
      <c r="AL29" s="179"/>
      <c r="AM29" s="179"/>
    </row>
    <row r="30" spans="1:39" x14ac:dyDescent="0.2">
      <c r="A30" s="32">
        <f t="shared" ca="1" si="0"/>
        <v>45779</v>
      </c>
      <c r="B30" s="179">
        <f>SUMIFS('recurring2_based on steps'!$B30:$AY30,'recurring2_based on steps'!$B$1:$AY$1,B$1)+SUMIFS('changes2_based on steps'!$B30:$U30,'changes2_based on steps'!$B$1:$U$1,B$1)</f>
        <v>0</v>
      </c>
      <c r="C30" s="179">
        <f>SUMIFS('recurring2_based on steps'!$B30:$AY30,'recurring2_based on steps'!$B$1:$AY$1,C$1)+SUMIFS('changes2_based on steps'!$B30:$U30,'changes2_based on steps'!$B$1:$U$1,C$1)</f>
        <v>0</v>
      </c>
      <c r="D30" s="179">
        <f>SUMIFS('recurring2_based on steps'!$B30:$AY30,'recurring2_based on steps'!$B$1:$AY$1,D$1)+SUMIFS('changes2_based on steps'!$B30:$U30,'changes2_based on steps'!$B$1:$U$1,D$1)</f>
        <v>0</v>
      </c>
      <c r="E30" s="179">
        <f>SUMIFS('recurring2_based on steps'!$B30:$AY30,'recurring2_based on steps'!$B$1:$AY$1,E$1)+SUMIFS('changes2_based on steps'!$B30:$U30,'changes2_based on steps'!$B$1:$U$1,E$1)</f>
        <v>0</v>
      </c>
      <c r="F30" s="179">
        <f>SUMIFS('recurring2_based on steps'!$B30:$AY30,'recurring2_based on steps'!$B$1:$AY$1,F$1)+SUMIFS('changes2_based on steps'!$B30:$U30,'changes2_based on steps'!$B$1:$U$1,F$1)</f>
        <v>0</v>
      </c>
      <c r="G30" s="179">
        <f>SUMIFS('recurring2_based on steps'!$B30:$AY30,'recurring2_based on steps'!$B$1:$AY$1,G$1)+SUMIFS('changes2_based on steps'!$B30:$U30,'changes2_based on steps'!$B$1:$U$1,G$1)</f>
        <v>0</v>
      </c>
      <c r="H30" s="179">
        <f>SUMIFS('recurring2_based on steps'!$B30:$AY30,'recurring2_based on steps'!$B$1:$AY$1,H$1)+SUMIFS('changes2_based on steps'!$B30:$U30,'changes2_based on steps'!$B$1:$U$1,H$1)</f>
        <v>0</v>
      </c>
      <c r="I30" s="179">
        <f>SUMIFS('recurring2_based on steps'!$B30:$AY30,'recurring2_based on steps'!$B$1:$AY$1,I$1)+SUMIFS('changes2_based on steps'!$B30:$U30,'changes2_based on steps'!$B$1:$U$1,I$1)</f>
        <v>0</v>
      </c>
      <c r="J30" s="179">
        <f>SUMIFS('recurring2_based on steps'!$B30:$AY30,'recurring2_based on steps'!$B$1:$AY$1,J$1)+SUMIFS('changes2_based on steps'!$B30:$U30,'changes2_based on steps'!$B$1:$U$1,J$1)</f>
        <v>0</v>
      </c>
      <c r="K30" s="179">
        <f>SUMIFS('recurring2_based on steps'!$B30:$AY30,'recurring2_based on steps'!$B$1:$AY$1,K$1)+SUMIFS('changes2_based on steps'!$B30:$U30,'changes2_based on steps'!$B$1:$U$1,K$1)</f>
        <v>0</v>
      </c>
      <c r="L30" s="179">
        <f>SUMIFS('recurring2_based on steps'!$B30:$AY30,'recurring2_based on steps'!$B$1:$AY$1,L$1)+SUMIFS('changes2_based on steps'!$B30:$U30,'changes2_based on steps'!$B$1:$U$1,L$1)</f>
        <v>0</v>
      </c>
      <c r="M30" s="179">
        <f>SUMIFS('recurring2_based on steps'!$B30:$AY30,'recurring2_based on steps'!$B$1:$AY$1,M$1)+SUMIFS('changes2_based on steps'!$B30:$U30,'changes2_based on steps'!$B$1:$U$1,M$1)</f>
        <v>0</v>
      </c>
      <c r="N30" s="179">
        <f>SUMIFS('recurring2_based on steps'!$B30:$AY30,'recurring2_based on steps'!$B$1:$AY$1,N$1)+SUMIFS('changes2_based on steps'!$B30:$U30,'changes2_based on steps'!$B$1:$U$1,N$1)</f>
        <v>0</v>
      </c>
      <c r="O30" s="179">
        <f>SUMIFS('recurring2_based on steps'!$B30:$AY30,'recurring2_based on steps'!$B$1:$AY$1,O$1)+SUMIFS('changes2_based on steps'!$B30:$U30,'changes2_based on steps'!$B$1:$U$1,O$1)</f>
        <v>0</v>
      </c>
      <c r="P30" s="179">
        <f>SUMIFS('recurring2_based on steps'!$B30:$AY30,'recurring2_based on steps'!$B$1:$AY$1,P$1)+SUMIFS('changes2_based on steps'!$B30:$U30,'changes2_based on steps'!$B$1:$U$1,P$1)</f>
        <v>0</v>
      </c>
      <c r="Q30" s="179">
        <f>SUMIFS('recurring2_based on steps'!$B30:$AY30,'recurring2_based on steps'!$B$1:$AY$1,Q$1)+SUMIFS('changes2_based on steps'!$B30:$U30,'changes2_based on steps'!$B$1:$U$1,Q$1)</f>
        <v>0</v>
      </c>
      <c r="R30" s="179">
        <f>SUMIFS('recurring2_based on steps'!$B30:$AY30,'recurring2_based on steps'!$B$1:$AY$1,R$1)+SUMIFS('changes2_based on steps'!$B30:$U30,'changes2_based on steps'!$B$1:$U$1,R$1)</f>
        <v>0</v>
      </c>
      <c r="S30" s="179">
        <f>SUMIFS('recurring2_based on steps'!$B30:$AY30,'recurring2_based on steps'!$B$1:$AY$1,S$1)+SUMIFS('changes2_based on steps'!$B30:$U30,'changes2_based on steps'!$B$1:$U$1,S$1)</f>
        <v>0</v>
      </c>
      <c r="T30" s="179">
        <f>SUMIFS('recurring2_based on steps'!$B30:$AY30,'recurring2_based on steps'!$B$1:$AY$1,T$1)+SUMIFS('changes2_based on steps'!$B30:$U30,'changes2_based on steps'!$B$1:$U$1,T$1)</f>
        <v>0</v>
      </c>
      <c r="U30" s="179">
        <f>SUMIFS('recurring2_based on steps'!$B30:$AY30,'recurring2_based on steps'!$B$1:$AY$1,U$1)+SUMIFS('changes2_based on steps'!$B30:$U30,'changes2_based on steps'!$B$1:$U$1,U$1)</f>
        <v>0</v>
      </c>
      <c r="V30" s="179">
        <f>SUMIFS('recurring2_based on steps'!$B30:$AY30,'recurring2_based on steps'!$B$1:$AY$1,V$1)+SUMIFS('changes2_based on steps'!$B30:$U30,'changes2_based on steps'!$B$1:$U$1,V$1)</f>
        <v>0</v>
      </c>
      <c r="W30" s="179">
        <f>SUMIFS('recurring2_based on steps'!$B30:$AY30,'recurring2_based on steps'!$B$1:$AY$1,W$1)+SUMIFS('changes2_based on steps'!$B30:$U30,'changes2_based on steps'!$B$1:$U$1,W$1)</f>
        <v>0</v>
      </c>
      <c r="X30" s="179">
        <f>SUMIFS('recurring2_based on steps'!$B30:$AY30,'recurring2_based on steps'!$B$1:$AY$1,X$1)+SUMIFS('changes2_based on steps'!$B30:$U30,'changes2_based on steps'!$B$1:$U$1,X$1)</f>
        <v>0</v>
      </c>
      <c r="Y30" s="179">
        <f>SUMIFS('recurring2_based on steps'!$B30:$AY30,'recurring2_based on steps'!$B$1:$AY$1,Y$1)+SUMIFS('changes2_based on steps'!$B30:$U30,'changes2_based on steps'!$B$1:$U$1,Y$1)</f>
        <v>0</v>
      </c>
      <c r="Z30" s="179">
        <f>SUMIFS('recurring2_based on steps'!$B30:$AY30,'recurring2_based on steps'!$B$1:$AY$1,Z$1)+SUMIFS('changes2_based on steps'!$B30:$U30,'changes2_based on steps'!$B$1:$U$1,Z$1)</f>
        <v>0</v>
      </c>
      <c r="AA30" s="179">
        <f>SUMIFS('recurring2_based on steps'!$B30:$AY30,'recurring2_based on steps'!$B$1:$AY$1,AA$1)+SUMIFS('changes2_based on steps'!$B30:$U30,'changes2_based on steps'!$B$1:$U$1,AA$1)</f>
        <v>0</v>
      </c>
      <c r="AB30" s="179">
        <f>SUMIFS('recurring2_based on steps'!$B30:$AY30,'recurring2_based on steps'!$B$1:$AY$1,AB$1)+SUMIFS('changes2_based on steps'!$B30:$U30,'changes2_based on steps'!$B$1:$U$1,AB$1)</f>
        <v>0</v>
      </c>
      <c r="AC30" s="179">
        <f>SUMIFS('recurring2_based on steps'!$B30:$AY30,'recurring2_based on steps'!$B$1:$AY$1,AC$1)+SUMIFS('changes2_based on steps'!$B30:$U30,'changes2_based on steps'!$B$1:$U$1,AC$1)</f>
        <v>0</v>
      </c>
      <c r="AD30" s="179">
        <f>SUMIFS('recurring2_based on steps'!$B30:$AY30,'recurring2_based on steps'!$B$1:$AY$1,AD$1)+SUMIFS('changes2_based on steps'!$B30:$U30,'changes2_based on steps'!$B$1:$U$1,AD$1)</f>
        <v>0</v>
      </c>
      <c r="AE30" s="179">
        <f>SUMIFS('recurring2_based on steps'!$B30:$AY30,'recurring2_based on steps'!$B$1:$AY$1,AE$1)+SUMIFS('changes2_based on steps'!$B30:$U30,'changes2_based on steps'!$B$1:$U$1,AE$1)</f>
        <v>0</v>
      </c>
      <c r="AF30" s="179"/>
      <c r="AG30" s="179"/>
      <c r="AH30" s="179"/>
      <c r="AI30" s="179"/>
      <c r="AJ30" s="179"/>
      <c r="AK30" s="179"/>
      <c r="AL30" s="179"/>
      <c r="AM30" s="179"/>
    </row>
    <row r="31" spans="1:39" x14ac:dyDescent="0.2">
      <c r="A31" s="32">
        <f t="shared" ca="1" si="0"/>
        <v>45780</v>
      </c>
      <c r="B31" s="179">
        <f>SUMIFS('recurring2_based on steps'!$B31:$AY31,'recurring2_based on steps'!$B$1:$AY$1,B$1)+SUMIFS('changes2_based on steps'!$B31:$U31,'changes2_based on steps'!$B$1:$U$1,B$1)</f>
        <v>0</v>
      </c>
      <c r="C31" s="179">
        <f>SUMIFS('recurring2_based on steps'!$B31:$AY31,'recurring2_based on steps'!$B$1:$AY$1,C$1)+SUMIFS('changes2_based on steps'!$B31:$U31,'changes2_based on steps'!$B$1:$U$1,C$1)</f>
        <v>0</v>
      </c>
      <c r="D31" s="179">
        <f>SUMIFS('recurring2_based on steps'!$B31:$AY31,'recurring2_based on steps'!$B$1:$AY$1,D$1)+SUMIFS('changes2_based on steps'!$B31:$U31,'changes2_based on steps'!$B$1:$U$1,D$1)</f>
        <v>0</v>
      </c>
      <c r="E31" s="179">
        <f>SUMIFS('recurring2_based on steps'!$B31:$AY31,'recurring2_based on steps'!$B$1:$AY$1,E$1)+SUMIFS('changes2_based on steps'!$B31:$U31,'changes2_based on steps'!$B$1:$U$1,E$1)</f>
        <v>0</v>
      </c>
      <c r="F31" s="179">
        <f>SUMIFS('recurring2_based on steps'!$B31:$AY31,'recurring2_based on steps'!$B$1:$AY$1,F$1)+SUMIFS('changes2_based on steps'!$B31:$U31,'changes2_based on steps'!$B$1:$U$1,F$1)</f>
        <v>0</v>
      </c>
      <c r="G31" s="179">
        <f>SUMIFS('recurring2_based on steps'!$B31:$AY31,'recurring2_based on steps'!$B$1:$AY$1,G$1)+SUMIFS('changes2_based on steps'!$B31:$U31,'changes2_based on steps'!$B$1:$U$1,G$1)</f>
        <v>0</v>
      </c>
      <c r="H31" s="179">
        <f>SUMIFS('recurring2_based on steps'!$B31:$AY31,'recurring2_based on steps'!$B$1:$AY$1,H$1)+SUMIFS('changes2_based on steps'!$B31:$U31,'changes2_based on steps'!$B$1:$U$1,H$1)</f>
        <v>0</v>
      </c>
      <c r="I31" s="179">
        <f>SUMIFS('recurring2_based on steps'!$B31:$AY31,'recurring2_based on steps'!$B$1:$AY$1,I$1)+SUMIFS('changes2_based on steps'!$B31:$U31,'changes2_based on steps'!$B$1:$U$1,I$1)</f>
        <v>0</v>
      </c>
      <c r="J31" s="179">
        <f>SUMIFS('recurring2_based on steps'!$B31:$AY31,'recurring2_based on steps'!$B$1:$AY$1,J$1)+SUMIFS('changes2_based on steps'!$B31:$U31,'changes2_based on steps'!$B$1:$U$1,J$1)</f>
        <v>0</v>
      </c>
      <c r="K31" s="179">
        <f>SUMIFS('recurring2_based on steps'!$B31:$AY31,'recurring2_based on steps'!$B$1:$AY$1,K$1)+SUMIFS('changes2_based on steps'!$B31:$U31,'changes2_based on steps'!$B$1:$U$1,K$1)</f>
        <v>0</v>
      </c>
      <c r="L31" s="179">
        <f>SUMIFS('recurring2_based on steps'!$B31:$AY31,'recurring2_based on steps'!$B$1:$AY$1,L$1)+SUMIFS('changes2_based on steps'!$B31:$U31,'changes2_based on steps'!$B$1:$U$1,L$1)</f>
        <v>0</v>
      </c>
      <c r="M31" s="179">
        <f>SUMIFS('recurring2_based on steps'!$B31:$AY31,'recurring2_based on steps'!$B$1:$AY$1,M$1)+SUMIFS('changes2_based on steps'!$B31:$U31,'changes2_based on steps'!$B$1:$U$1,M$1)</f>
        <v>0</v>
      </c>
      <c r="N31" s="179">
        <f>SUMIFS('recurring2_based on steps'!$B31:$AY31,'recurring2_based on steps'!$B$1:$AY$1,N$1)+SUMIFS('changes2_based on steps'!$B31:$U31,'changes2_based on steps'!$B$1:$U$1,N$1)</f>
        <v>0</v>
      </c>
      <c r="O31" s="179">
        <f>SUMIFS('recurring2_based on steps'!$B31:$AY31,'recurring2_based on steps'!$B$1:$AY$1,O$1)+SUMIFS('changes2_based on steps'!$B31:$U31,'changes2_based on steps'!$B$1:$U$1,O$1)</f>
        <v>0</v>
      </c>
      <c r="P31" s="179">
        <f>SUMIFS('recurring2_based on steps'!$B31:$AY31,'recurring2_based on steps'!$B$1:$AY$1,P$1)+SUMIFS('changes2_based on steps'!$B31:$U31,'changes2_based on steps'!$B$1:$U$1,P$1)</f>
        <v>0</v>
      </c>
      <c r="Q31" s="179">
        <f>SUMIFS('recurring2_based on steps'!$B31:$AY31,'recurring2_based on steps'!$B$1:$AY$1,Q$1)+SUMIFS('changes2_based on steps'!$B31:$U31,'changes2_based on steps'!$B$1:$U$1,Q$1)</f>
        <v>0</v>
      </c>
      <c r="R31" s="179">
        <f>SUMIFS('recurring2_based on steps'!$B31:$AY31,'recurring2_based on steps'!$B$1:$AY$1,R$1)+SUMIFS('changes2_based on steps'!$B31:$U31,'changes2_based on steps'!$B$1:$U$1,R$1)</f>
        <v>0</v>
      </c>
      <c r="S31" s="179">
        <f>SUMIFS('recurring2_based on steps'!$B31:$AY31,'recurring2_based on steps'!$B$1:$AY$1,S$1)+SUMIFS('changes2_based on steps'!$B31:$U31,'changes2_based on steps'!$B$1:$U$1,S$1)</f>
        <v>0</v>
      </c>
      <c r="T31" s="179">
        <f>SUMIFS('recurring2_based on steps'!$B31:$AY31,'recurring2_based on steps'!$B$1:$AY$1,T$1)+SUMIFS('changes2_based on steps'!$B31:$U31,'changes2_based on steps'!$B$1:$U$1,T$1)</f>
        <v>0</v>
      </c>
      <c r="U31" s="179">
        <f>SUMIFS('recurring2_based on steps'!$B31:$AY31,'recurring2_based on steps'!$B$1:$AY$1,U$1)+SUMIFS('changes2_based on steps'!$B31:$U31,'changes2_based on steps'!$B$1:$U$1,U$1)</f>
        <v>0</v>
      </c>
      <c r="V31" s="179">
        <f>SUMIFS('recurring2_based on steps'!$B31:$AY31,'recurring2_based on steps'!$B$1:$AY$1,V$1)+SUMIFS('changes2_based on steps'!$B31:$U31,'changes2_based on steps'!$B$1:$U$1,V$1)</f>
        <v>0</v>
      </c>
      <c r="W31" s="179">
        <f>SUMIFS('recurring2_based on steps'!$B31:$AY31,'recurring2_based on steps'!$B$1:$AY$1,W$1)+SUMIFS('changes2_based on steps'!$B31:$U31,'changes2_based on steps'!$B$1:$U$1,W$1)</f>
        <v>0</v>
      </c>
      <c r="X31" s="179">
        <f>SUMIFS('recurring2_based on steps'!$B31:$AY31,'recurring2_based on steps'!$B$1:$AY$1,X$1)+SUMIFS('changes2_based on steps'!$B31:$U31,'changes2_based on steps'!$B$1:$U$1,X$1)</f>
        <v>0</v>
      </c>
      <c r="Y31" s="179">
        <f>SUMIFS('recurring2_based on steps'!$B31:$AY31,'recurring2_based on steps'!$B$1:$AY$1,Y$1)+SUMIFS('changes2_based on steps'!$B31:$U31,'changes2_based on steps'!$B$1:$U$1,Y$1)</f>
        <v>0</v>
      </c>
      <c r="Z31" s="179">
        <f>SUMIFS('recurring2_based on steps'!$B31:$AY31,'recurring2_based on steps'!$B$1:$AY$1,Z$1)+SUMIFS('changes2_based on steps'!$B31:$U31,'changes2_based on steps'!$B$1:$U$1,Z$1)</f>
        <v>0</v>
      </c>
      <c r="AA31" s="179">
        <f>SUMIFS('recurring2_based on steps'!$B31:$AY31,'recurring2_based on steps'!$B$1:$AY$1,AA$1)+SUMIFS('changes2_based on steps'!$B31:$U31,'changes2_based on steps'!$B$1:$U$1,AA$1)</f>
        <v>0</v>
      </c>
      <c r="AB31" s="179">
        <f>SUMIFS('recurring2_based on steps'!$B31:$AY31,'recurring2_based on steps'!$B$1:$AY$1,AB$1)+SUMIFS('changes2_based on steps'!$B31:$U31,'changes2_based on steps'!$B$1:$U$1,AB$1)</f>
        <v>0</v>
      </c>
      <c r="AC31" s="179">
        <f>SUMIFS('recurring2_based on steps'!$B31:$AY31,'recurring2_based on steps'!$B$1:$AY$1,AC$1)+SUMIFS('changes2_based on steps'!$B31:$U31,'changes2_based on steps'!$B$1:$U$1,AC$1)</f>
        <v>0</v>
      </c>
      <c r="AD31" s="179">
        <f>SUMIFS('recurring2_based on steps'!$B31:$AY31,'recurring2_based on steps'!$B$1:$AY$1,AD$1)+SUMIFS('changes2_based on steps'!$B31:$U31,'changes2_based on steps'!$B$1:$U$1,AD$1)</f>
        <v>0</v>
      </c>
      <c r="AE31" s="179">
        <f>SUMIFS('recurring2_based on steps'!$B31:$AY31,'recurring2_based on steps'!$B$1:$AY$1,AE$1)+SUMIFS('changes2_based on steps'!$B31:$U31,'changes2_based on steps'!$B$1:$U$1,AE$1)</f>
        <v>0</v>
      </c>
      <c r="AF31" s="179"/>
      <c r="AG31" s="179"/>
      <c r="AH31" s="179"/>
      <c r="AI31" s="179"/>
      <c r="AJ31" s="179"/>
      <c r="AK31" s="179"/>
      <c r="AL31" s="179"/>
      <c r="AM31" s="179"/>
    </row>
    <row r="32" spans="1:39" x14ac:dyDescent="0.2">
      <c r="A32" s="32">
        <f t="shared" ca="1" si="0"/>
        <v>45781</v>
      </c>
      <c r="B32" s="179">
        <f>SUMIFS('recurring2_based on steps'!$B32:$AY32,'recurring2_based on steps'!$B$1:$AY$1,B$1)+SUMIFS('changes2_based on steps'!$B32:$U32,'changes2_based on steps'!$B$1:$U$1,B$1)</f>
        <v>0</v>
      </c>
      <c r="C32" s="179">
        <f>SUMIFS('recurring2_based on steps'!$B32:$AY32,'recurring2_based on steps'!$B$1:$AY$1,C$1)+SUMIFS('changes2_based on steps'!$B32:$U32,'changes2_based on steps'!$B$1:$U$1,C$1)</f>
        <v>0</v>
      </c>
      <c r="D32" s="179">
        <f>SUMIFS('recurring2_based on steps'!$B32:$AY32,'recurring2_based on steps'!$B$1:$AY$1,D$1)+SUMIFS('changes2_based on steps'!$B32:$U32,'changes2_based on steps'!$B$1:$U$1,D$1)</f>
        <v>0</v>
      </c>
      <c r="E32" s="179">
        <f>SUMIFS('recurring2_based on steps'!$B32:$AY32,'recurring2_based on steps'!$B$1:$AY$1,E$1)+SUMIFS('changes2_based on steps'!$B32:$U32,'changes2_based on steps'!$B$1:$U$1,E$1)</f>
        <v>0</v>
      </c>
      <c r="F32" s="179">
        <f>SUMIFS('recurring2_based on steps'!$B32:$AY32,'recurring2_based on steps'!$B$1:$AY$1,F$1)+SUMIFS('changes2_based on steps'!$B32:$U32,'changes2_based on steps'!$B$1:$U$1,F$1)</f>
        <v>0</v>
      </c>
      <c r="G32" s="179">
        <f>SUMIFS('recurring2_based on steps'!$B32:$AY32,'recurring2_based on steps'!$B$1:$AY$1,G$1)+SUMIFS('changes2_based on steps'!$B32:$U32,'changes2_based on steps'!$B$1:$U$1,G$1)</f>
        <v>0</v>
      </c>
      <c r="H32" s="179">
        <f>SUMIFS('recurring2_based on steps'!$B32:$AY32,'recurring2_based on steps'!$B$1:$AY$1,H$1)+SUMIFS('changes2_based on steps'!$B32:$U32,'changes2_based on steps'!$B$1:$U$1,H$1)</f>
        <v>0</v>
      </c>
      <c r="I32" s="179">
        <f>SUMIFS('recurring2_based on steps'!$B32:$AY32,'recurring2_based on steps'!$B$1:$AY$1,I$1)+SUMIFS('changes2_based on steps'!$B32:$U32,'changes2_based on steps'!$B$1:$U$1,I$1)</f>
        <v>0</v>
      </c>
      <c r="J32" s="179">
        <f>SUMIFS('recurring2_based on steps'!$B32:$AY32,'recurring2_based on steps'!$B$1:$AY$1,J$1)+SUMIFS('changes2_based on steps'!$B32:$U32,'changes2_based on steps'!$B$1:$U$1,J$1)</f>
        <v>0</v>
      </c>
      <c r="K32" s="179">
        <f>SUMIFS('recurring2_based on steps'!$B32:$AY32,'recurring2_based on steps'!$B$1:$AY$1,K$1)+SUMIFS('changes2_based on steps'!$B32:$U32,'changes2_based on steps'!$B$1:$U$1,K$1)</f>
        <v>0</v>
      </c>
      <c r="L32" s="179">
        <f>SUMIFS('recurring2_based on steps'!$B32:$AY32,'recurring2_based on steps'!$B$1:$AY$1,L$1)+SUMIFS('changes2_based on steps'!$B32:$U32,'changes2_based on steps'!$B$1:$U$1,L$1)</f>
        <v>0</v>
      </c>
      <c r="M32" s="179">
        <f>SUMIFS('recurring2_based on steps'!$B32:$AY32,'recurring2_based on steps'!$B$1:$AY$1,M$1)+SUMIFS('changes2_based on steps'!$B32:$U32,'changes2_based on steps'!$B$1:$U$1,M$1)</f>
        <v>0</v>
      </c>
      <c r="N32" s="179">
        <f>SUMIFS('recurring2_based on steps'!$B32:$AY32,'recurring2_based on steps'!$B$1:$AY$1,N$1)+SUMIFS('changes2_based on steps'!$B32:$U32,'changes2_based on steps'!$B$1:$U$1,N$1)</f>
        <v>0</v>
      </c>
      <c r="O32" s="179">
        <f>SUMIFS('recurring2_based on steps'!$B32:$AY32,'recurring2_based on steps'!$B$1:$AY$1,O$1)+SUMIFS('changes2_based on steps'!$B32:$U32,'changes2_based on steps'!$B$1:$U$1,O$1)</f>
        <v>0</v>
      </c>
      <c r="P32" s="179">
        <f>SUMIFS('recurring2_based on steps'!$B32:$AY32,'recurring2_based on steps'!$B$1:$AY$1,P$1)+SUMIFS('changes2_based on steps'!$B32:$U32,'changes2_based on steps'!$B$1:$U$1,P$1)</f>
        <v>0</v>
      </c>
      <c r="Q32" s="179">
        <f>SUMIFS('recurring2_based on steps'!$B32:$AY32,'recurring2_based on steps'!$B$1:$AY$1,Q$1)+SUMIFS('changes2_based on steps'!$B32:$U32,'changes2_based on steps'!$B$1:$U$1,Q$1)</f>
        <v>0</v>
      </c>
      <c r="R32" s="179">
        <f>SUMIFS('recurring2_based on steps'!$B32:$AY32,'recurring2_based on steps'!$B$1:$AY$1,R$1)+SUMIFS('changes2_based on steps'!$B32:$U32,'changes2_based on steps'!$B$1:$U$1,R$1)</f>
        <v>0</v>
      </c>
      <c r="S32" s="179">
        <f>SUMIFS('recurring2_based on steps'!$B32:$AY32,'recurring2_based on steps'!$B$1:$AY$1,S$1)+SUMIFS('changes2_based on steps'!$B32:$U32,'changes2_based on steps'!$B$1:$U$1,S$1)</f>
        <v>0</v>
      </c>
      <c r="T32" s="179">
        <f>SUMIFS('recurring2_based on steps'!$B32:$AY32,'recurring2_based on steps'!$B$1:$AY$1,T$1)+SUMIFS('changes2_based on steps'!$B32:$U32,'changes2_based on steps'!$B$1:$U$1,T$1)</f>
        <v>0</v>
      </c>
      <c r="U32" s="179">
        <f>SUMIFS('recurring2_based on steps'!$B32:$AY32,'recurring2_based on steps'!$B$1:$AY$1,U$1)+SUMIFS('changes2_based on steps'!$B32:$U32,'changes2_based on steps'!$B$1:$U$1,U$1)</f>
        <v>0</v>
      </c>
      <c r="V32" s="179">
        <f>SUMIFS('recurring2_based on steps'!$B32:$AY32,'recurring2_based on steps'!$B$1:$AY$1,V$1)+SUMIFS('changes2_based on steps'!$B32:$U32,'changes2_based on steps'!$B$1:$U$1,V$1)</f>
        <v>0</v>
      </c>
      <c r="W32" s="179">
        <f>SUMIFS('recurring2_based on steps'!$B32:$AY32,'recurring2_based on steps'!$B$1:$AY$1,W$1)+SUMIFS('changes2_based on steps'!$B32:$U32,'changes2_based on steps'!$B$1:$U$1,W$1)</f>
        <v>0</v>
      </c>
      <c r="X32" s="179">
        <f>SUMIFS('recurring2_based on steps'!$B32:$AY32,'recurring2_based on steps'!$B$1:$AY$1,X$1)+SUMIFS('changes2_based on steps'!$B32:$U32,'changes2_based on steps'!$B$1:$U$1,X$1)</f>
        <v>0</v>
      </c>
      <c r="Y32" s="179">
        <f>SUMIFS('recurring2_based on steps'!$B32:$AY32,'recurring2_based on steps'!$B$1:$AY$1,Y$1)+SUMIFS('changes2_based on steps'!$B32:$U32,'changes2_based on steps'!$B$1:$U$1,Y$1)</f>
        <v>0</v>
      </c>
      <c r="Z32" s="179">
        <f>SUMIFS('recurring2_based on steps'!$B32:$AY32,'recurring2_based on steps'!$B$1:$AY$1,Z$1)+SUMIFS('changes2_based on steps'!$B32:$U32,'changes2_based on steps'!$B$1:$U$1,Z$1)</f>
        <v>0</v>
      </c>
      <c r="AA32" s="179">
        <f>SUMIFS('recurring2_based on steps'!$B32:$AY32,'recurring2_based on steps'!$B$1:$AY$1,AA$1)+SUMIFS('changes2_based on steps'!$B32:$U32,'changes2_based on steps'!$B$1:$U$1,AA$1)</f>
        <v>0</v>
      </c>
      <c r="AB32" s="179">
        <f>SUMIFS('recurring2_based on steps'!$B32:$AY32,'recurring2_based on steps'!$B$1:$AY$1,AB$1)+SUMIFS('changes2_based on steps'!$B32:$U32,'changes2_based on steps'!$B$1:$U$1,AB$1)</f>
        <v>0</v>
      </c>
      <c r="AC32" s="179">
        <f>SUMIFS('recurring2_based on steps'!$B32:$AY32,'recurring2_based on steps'!$B$1:$AY$1,AC$1)+SUMIFS('changes2_based on steps'!$B32:$U32,'changes2_based on steps'!$B$1:$U$1,AC$1)</f>
        <v>0</v>
      </c>
      <c r="AD32" s="179">
        <f>SUMIFS('recurring2_based on steps'!$B32:$AY32,'recurring2_based on steps'!$B$1:$AY$1,AD$1)+SUMIFS('changes2_based on steps'!$B32:$U32,'changes2_based on steps'!$B$1:$U$1,AD$1)</f>
        <v>0</v>
      </c>
      <c r="AE32" s="179">
        <f>SUMIFS('recurring2_based on steps'!$B32:$AY32,'recurring2_based on steps'!$B$1:$AY$1,AE$1)+SUMIFS('changes2_based on steps'!$B32:$U32,'changes2_based on steps'!$B$1:$U$1,AE$1)</f>
        <v>0</v>
      </c>
      <c r="AF32" s="179"/>
      <c r="AG32" s="179"/>
      <c r="AH32" s="179"/>
      <c r="AI32" s="179"/>
      <c r="AJ32" s="179"/>
      <c r="AK32" s="179"/>
      <c r="AL32" s="179"/>
      <c r="AM32" s="179"/>
    </row>
    <row r="33" spans="1:39" x14ac:dyDescent="0.2">
      <c r="A33" s="32">
        <f t="shared" ca="1" si="0"/>
        <v>45782</v>
      </c>
      <c r="B33" s="179">
        <f>SUMIFS('recurring2_based on steps'!$B33:$AY33,'recurring2_based on steps'!$B$1:$AY$1,B$1)+SUMIFS('changes2_based on steps'!$B33:$U33,'changes2_based on steps'!$B$1:$U$1,B$1)</f>
        <v>0</v>
      </c>
      <c r="C33" s="179">
        <f>SUMIFS('recurring2_based on steps'!$B33:$AY33,'recurring2_based on steps'!$B$1:$AY$1,C$1)+SUMIFS('changes2_based on steps'!$B33:$U33,'changes2_based on steps'!$B$1:$U$1,C$1)</f>
        <v>0</v>
      </c>
      <c r="D33" s="179">
        <f>SUMIFS('recurring2_based on steps'!$B33:$AY33,'recurring2_based on steps'!$B$1:$AY$1,D$1)+SUMIFS('changes2_based on steps'!$B33:$U33,'changes2_based on steps'!$B$1:$U$1,D$1)</f>
        <v>0</v>
      </c>
      <c r="E33" s="179">
        <f>SUMIFS('recurring2_based on steps'!$B33:$AY33,'recurring2_based on steps'!$B$1:$AY$1,E$1)+SUMIFS('changes2_based on steps'!$B33:$U33,'changes2_based on steps'!$B$1:$U$1,E$1)</f>
        <v>0</v>
      </c>
      <c r="F33" s="179">
        <f>SUMIFS('recurring2_based on steps'!$B33:$AY33,'recurring2_based on steps'!$B$1:$AY$1,F$1)+SUMIFS('changes2_based on steps'!$B33:$U33,'changes2_based on steps'!$B$1:$U$1,F$1)</f>
        <v>0</v>
      </c>
      <c r="G33" s="179">
        <f>SUMIFS('recurring2_based on steps'!$B33:$AY33,'recurring2_based on steps'!$B$1:$AY$1,G$1)+SUMIFS('changes2_based on steps'!$B33:$U33,'changes2_based on steps'!$B$1:$U$1,G$1)</f>
        <v>0</v>
      </c>
      <c r="H33" s="179">
        <f>SUMIFS('recurring2_based on steps'!$B33:$AY33,'recurring2_based on steps'!$B$1:$AY$1,H$1)+SUMIFS('changes2_based on steps'!$B33:$U33,'changes2_based on steps'!$B$1:$U$1,H$1)</f>
        <v>0</v>
      </c>
      <c r="I33" s="179">
        <f>SUMIFS('recurring2_based on steps'!$B33:$AY33,'recurring2_based on steps'!$B$1:$AY$1,I$1)+SUMIFS('changes2_based on steps'!$B33:$U33,'changes2_based on steps'!$B$1:$U$1,I$1)</f>
        <v>0</v>
      </c>
      <c r="J33" s="179">
        <f>SUMIFS('recurring2_based on steps'!$B33:$AY33,'recurring2_based on steps'!$B$1:$AY$1,J$1)+SUMIFS('changes2_based on steps'!$B33:$U33,'changes2_based on steps'!$B$1:$U$1,J$1)</f>
        <v>0</v>
      </c>
      <c r="K33" s="179">
        <f>SUMIFS('recurring2_based on steps'!$B33:$AY33,'recurring2_based on steps'!$B$1:$AY$1,K$1)+SUMIFS('changes2_based on steps'!$B33:$U33,'changes2_based on steps'!$B$1:$U$1,K$1)</f>
        <v>0</v>
      </c>
      <c r="L33" s="179">
        <f>SUMIFS('recurring2_based on steps'!$B33:$AY33,'recurring2_based on steps'!$B$1:$AY$1,L$1)+SUMIFS('changes2_based on steps'!$B33:$U33,'changes2_based on steps'!$B$1:$U$1,L$1)</f>
        <v>0</v>
      </c>
      <c r="M33" s="179">
        <f>SUMIFS('recurring2_based on steps'!$B33:$AY33,'recurring2_based on steps'!$B$1:$AY$1,M$1)+SUMIFS('changes2_based on steps'!$B33:$U33,'changes2_based on steps'!$B$1:$U$1,M$1)</f>
        <v>0</v>
      </c>
      <c r="N33" s="179">
        <f>SUMIFS('recurring2_based on steps'!$B33:$AY33,'recurring2_based on steps'!$B$1:$AY$1,N$1)+SUMIFS('changes2_based on steps'!$B33:$U33,'changes2_based on steps'!$B$1:$U$1,N$1)</f>
        <v>0</v>
      </c>
      <c r="O33" s="179">
        <f>SUMIFS('recurring2_based on steps'!$B33:$AY33,'recurring2_based on steps'!$B$1:$AY$1,O$1)+SUMIFS('changes2_based on steps'!$B33:$U33,'changes2_based on steps'!$B$1:$U$1,O$1)</f>
        <v>0</v>
      </c>
      <c r="P33" s="179">
        <f>SUMIFS('recurring2_based on steps'!$B33:$AY33,'recurring2_based on steps'!$B$1:$AY$1,P$1)+SUMIFS('changes2_based on steps'!$B33:$U33,'changes2_based on steps'!$B$1:$U$1,P$1)</f>
        <v>0</v>
      </c>
      <c r="Q33" s="179">
        <f>SUMIFS('recurring2_based on steps'!$B33:$AY33,'recurring2_based on steps'!$B$1:$AY$1,Q$1)+SUMIFS('changes2_based on steps'!$B33:$U33,'changes2_based on steps'!$B$1:$U$1,Q$1)</f>
        <v>0</v>
      </c>
      <c r="R33" s="179">
        <f>SUMIFS('recurring2_based on steps'!$B33:$AY33,'recurring2_based on steps'!$B$1:$AY$1,R$1)+SUMIFS('changes2_based on steps'!$B33:$U33,'changes2_based on steps'!$B$1:$U$1,R$1)</f>
        <v>0</v>
      </c>
      <c r="S33" s="179">
        <f>SUMIFS('recurring2_based on steps'!$B33:$AY33,'recurring2_based on steps'!$B$1:$AY$1,S$1)+SUMIFS('changes2_based on steps'!$B33:$U33,'changes2_based on steps'!$B$1:$U$1,S$1)</f>
        <v>0</v>
      </c>
      <c r="T33" s="179">
        <f>SUMIFS('recurring2_based on steps'!$B33:$AY33,'recurring2_based on steps'!$B$1:$AY$1,T$1)+SUMIFS('changes2_based on steps'!$B33:$U33,'changes2_based on steps'!$B$1:$U$1,T$1)</f>
        <v>0</v>
      </c>
      <c r="U33" s="179">
        <f>SUMIFS('recurring2_based on steps'!$B33:$AY33,'recurring2_based on steps'!$B$1:$AY$1,U$1)+SUMIFS('changes2_based on steps'!$B33:$U33,'changes2_based on steps'!$B$1:$U$1,U$1)</f>
        <v>0</v>
      </c>
      <c r="V33" s="179">
        <f>SUMIFS('recurring2_based on steps'!$B33:$AY33,'recurring2_based on steps'!$B$1:$AY$1,V$1)+SUMIFS('changes2_based on steps'!$B33:$U33,'changes2_based on steps'!$B$1:$U$1,V$1)</f>
        <v>0</v>
      </c>
      <c r="W33" s="179">
        <f>SUMIFS('recurring2_based on steps'!$B33:$AY33,'recurring2_based on steps'!$B$1:$AY$1,W$1)+SUMIFS('changes2_based on steps'!$B33:$U33,'changes2_based on steps'!$B$1:$U$1,W$1)</f>
        <v>0</v>
      </c>
      <c r="X33" s="179">
        <f>SUMIFS('recurring2_based on steps'!$B33:$AY33,'recurring2_based on steps'!$B$1:$AY$1,X$1)+SUMIFS('changes2_based on steps'!$B33:$U33,'changes2_based on steps'!$B$1:$U$1,X$1)</f>
        <v>0</v>
      </c>
      <c r="Y33" s="179">
        <f>SUMIFS('recurring2_based on steps'!$B33:$AY33,'recurring2_based on steps'!$B$1:$AY$1,Y$1)+SUMIFS('changes2_based on steps'!$B33:$U33,'changes2_based on steps'!$B$1:$U$1,Y$1)</f>
        <v>0</v>
      </c>
      <c r="Z33" s="179">
        <f>SUMIFS('recurring2_based on steps'!$B33:$AY33,'recurring2_based on steps'!$B$1:$AY$1,Z$1)+SUMIFS('changes2_based on steps'!$B33:$U33,'changes2_based on steps'!$B$1:$U$1,Z$1)</f>
        <v>0</v>
      </c>
      <c r="AA33" s="179">
        <f>SUMIFS('recurring2_based on steps'!$B33:$AY33,'recurring2_based on steps'!$B$1:$AY$1,AA$1)+SUMIFS('changes2_based on steps'!$B33:$U33,'changes2_based on steps'!$B$1:$U$1,AA$1)</f>
        <v>0</v>
      </c>
      <c r="AB33" s="179">
        <f>SUMIFS('recurring2_based on steps'!$B33:$AY33,'recurring2_based on steps'!$B$1:$AY$1,AB$1)+SUMIFS('changes2_based on steps'!$B33:$U33,'changes2_based on steps'!$B$1:$U$1,AB$1)</f>
        <v>0</v>
      </c>
      <c r="AC33" s="179">
        <f>SUMIFS('recurring2_based on steps'!$B33:$AY33,'recurring2_based on steps'!$B$1:$AY$1,AC$1)+SUMIFS('changes2_based on steps'!$B33:$U33,'changes2_based on steps'!$B$1:$U$1,AC$1)</f>
        <v>0</v>
      </c>
      <c r="AD33" s="179">
        <f>SUMIFS('recurring2_based on steps'!$B33:$AY33,'recurring2_based on steps'!$B$1:$AY$1,AD$1)+SUMIFS('changes2_based on steps'!$B33:$U33,'changes2_based on steps'!$B$1:$U$1,AD$1)</f>
        <v>0</v>
      </c>
      <c r="AE33" s="179">
        <f>SUMIFS('recurring2_based on steps'!$B33:$AY33,'recurring2_based on steps'!$B$1:$AY$1,AE$1)+SUMIFS('changes2_based on steps'!$B33:$U33,'changes2_based on steps'!$B$1:$U$1,AE$1)</f>
        <v>0</v>
      </c>
      <c r="AF33" s="179"/>
      <c r="AG33" s="179"/>
      <c r="AH33" s="179"/>
      <c r="AI33" s="179"/>
      <c r="AJ33" s="179"/>
      <c r="AK33" s="179"/>
      <c r="AL33" s="179"/>
      <c r="AM33" s="179"/>
    </row>
    <row r="34" spans="1:39" x14ac:dyDescent="0.2">
      <c r="A34" s="32">
        <f t="shared" ca="1" si="0"/>
        <v>45783</v>
      </c>
      <c r="B34" s="179">
        <f>SUMIFS('recurring2_based on steps'!$B34:$AY34,'recurring2_based on steps'!$B$1:$AY$1,B$1)+SUMIFS('changes2_based on steps'!$B34:$U34,'changes2_based on steps'!$B$1:$U$1,B$1)</f>
        <v>0</v>
      </c>
      <c r="C34" s="179">
        <f>SUMIFS('recurring2_based on steps'!$B34:$AY34,'recurring2_based on steps'!$B$1:$AY$1,C$1)+SUMIFS('changes2_based on steps'!$B34:$U34,'changes2_based on steps'!$B$1:$U$1,C$1)</f>
        <v>0</v>
      </c>
      <c r="D34" s="179">
        <f>SUMIFS('recurring2_based on steps'!$B34:$AY34,'recurring2_based on steps'!$B$1:$AY$1,D$1)+SUMIFS('changes2_based on steps'!$B34:$U34,'changes2_based on steps'!$B$1:$U$1,D$1)</f>
        <v>0</v>
      </c>
      <c r="E34" s="179">
        <f>SUMIFS('recurring2_based on steps'!$B34:$AY34,'recurring2_based on steps'!$B$1:$AY$1,E$1)+SUMIFS('changes2_based on steps'!$B34:$U34,'changes2_based on steps'!$B$1:$U$1,E$1)</f>
        <v>0</v>
      </c>
      <c r="F34" s="179">
        <f>SUMIFS('recurring2_based on steps'!$B34:$AY34,'recurring2_based on steps'!$B$1:$AY$1,F$1)+SUMIFS('changes2_based on steps'!$B34:$U34,'changes2_based on steps'!$B$1:$U$1,F$1)</f>
        <v>0</v>
      </c>
      <c r="G34" s="179">
        <f>SUMIFS('recurring2_based on steps'!$B34:$AY34,'recurring2_based on steps'!$B$1:$AY$1,G$1)+SUMIFS('changes2_based on steps'!$B34:$U34,'changes2_based on steps'!$B$1:$U$1,G$1)</f>
        <v>0</v>
      </c>
      <c r="H34" s="179">
        <f>SUMIFS('recurring2_based on steps'!$B34:$AY34,'recurring2_based on steps'!$B$1:$AY$1,H$1)+SUMIFS('changes2_based on steps'!$B34:$U34,'changes2_based on steps'!$B$1:$U$1,H$1)</f>
        <v>0</v>
      </c>
      <c r="I34" s="179">
        <f>SUMIFS('recurring2_based on steps'!$B34:$AY34,'recurring2_based on steps'!$B$1:$AY$1,I$1)+SUMIFS('changes2_based on steps'!$B34:$U34,'changes2_based on steps'!$B$1:$U$1,I$1)</f>
        <v>0</v>
      </c>
      <c r="J34" s="179">
        <f>SUMIFS('recurring2_based on steps'!$B34:$AY34,'recurring2_based on steps'!$B$1:$AY$1,J$1)+SUMIFS('changes2_based on steps'!$B34:$U34,'changes2_based on steps'!$B$1:$U$1,J$1)</f>
        <v>0</v>
      </c>
      <c r="K34" s="179">
        <f>SUMIFS('recurring2_based on steps'!$B34:$AY34,'recurring2_based on steps'!$B$1:$AY$1,K$1)+SUMIFS('changes2_based on steps'!$B34:$U34,'changes2_based on steps'!$B$1:$U$1,K$1)</f>
        <v>0</v>
      </c>
      <c r="L34" s="179">
        <f>SUMIFS('recurring2_based on steps'!$B34:$AY34,'recurring2_based on steps'!$B$1:$AY$1,L$1)+SUMIFS('changes2_based on steps'!$B34:$U34,'changes2_based on steps'!$B$1:$U$1,L$1)</f>
        <v>0</v>
      </c>
      <c r="M34" s="179">
        <f>SUMIFS('recurring2_based on steps'!$B34:$AY34,'recurring2_based on steps'!$B$1:$AY$1,M$1)+SUMIFS('changes2_based on steps'!$B34:$U34,'changes2_based on steps'!$B$1:$U$1,M$1)</f>
        <v>0</v>
      </c>
      <c r="N34" s="179">
        <f>SUMIFS('recurring2_based on steps'!$B34:$AY34,'recurring2_based on steps'!$B$1:$AY$1,N$1)+SUMIFS('changes2_based on steps'!$B34:$U34,'changes2_based on steps'!$B$1:$U$1,N$1)</f>
        <v>0</v>
      </c>
      <c r="O34" s="179">
        <f>SUMIFS('recurring2_based on steps'!$B34:$AY34,'recurring2_based on steps'!$B$1:$AY$1,O$1)+SUMIFS('changes2_based on steps'!$B34:$U34,'changes2_based on steps'!$B$1:$U$1,O$1)</f>
        <v>0</v>
      </c>
      <c r="P34" s="179">
        <f>SUMIFS('recurring2_based on steps'!$B34:$AY34,'recurring2_based on steps'!$B$1:$AY$1,P$1)+SUMIFS('changes2_based on steps'!$B34:$U34,'changes2_based on steps'!$B$1:$U$1,P$1)</f>
        <v>0</v>
      </c>
      <c r="Q34" s="179">
        <f>SUMIFS('recurring2_based on steps'!$B34:$AY34,'recurring2_based on steps'!$B$1:$AY$1,Q$1)+SUMIFS('changes2_based on steps'!$B34:$U34,'changes2_based on steps'!$B$1:$U$1,Q$1)</f>
        <v>0</v>
      </c>
      <c r="R34" s="179">
        <f>SUMIFS('recurring2_based on steps'!$B34:$AY34,'recurring2_based on steps'!$B$1:$AY$1,R$1)+SUMIFS('changes2_based on steps'!$B34:$U34,'changes2_based on steps'!$B$1:$U$1,R$1)</f>
        <v>0</v>
      </c>
      <c r="S34" s="179">
        <f>SUMIFS('recurring2_based on steps'!$B34:$AY34,'recurring2_based on steps'!$B$1:$AY$1,S$1)+SUMIFS('changes2_based on steps'!$B34:$U34,'changes2_based on steps'!$B$1:$U$1,S$1)</f>
        <v>0</v>
      </c>
      <c r="T34" s="179">
        <f>SUMIFS('recurring2_based on steps'!$B34:$AY34,'recurring2_based on steps'!$B$1:$AY$1,T$1)+SUMIFS('changes2_based on steps'!$B34:$U34,'changes2_based on steps'!$B$1:$U$1,T$1)</f>
        <v>0</v>
      </c>
      <c r="U34" s="179">
        <f>SUMIFS('recurring2_based on steps'!$B34:$AY34,'recurring2_based on steps'!$B$1:$AY$1,U$1)+SUMIFS('changes2_based on steps'!$B34:$U34,'changes2_based on steps'!$B$1:$U$1,U$1)</f>
        <v>0</v>
      </c>
      <c r="V34" s="179">
        <f>SUMIFS('recurring2_based on steps'!$B34:$AY34,'recurring2_based on steps'!$B$1:$AY$1,V$1)+SUMIFS('changes2_based on steps'!$B34:$U34,'changes2_based on steps'!$B$1:$U$1,V$1)</f>
        <v>0</v>
      </c>
      <c r="W34" s="179">
        <f>SUMIFS('recurring2_based on steps'!$B34:$AY34,'recurring2_based on steps'!$B$1:$AY$1,W$1)+SUMIFS('changes2_based on steps'!$B34:$U34,'changes2_based on steps'!$B$1:$U$1,W$1)</f>
        <v>0</v>
      </c>
      <c r="X34" s="179">
        <f>SUMIFS('recurring2_based on steps'!$B34:$AY34,'recurring2_based on steps'!$B$1:$AY$1,X$1)+SUMIFS('changes2_based on steps'!$B34:$U34,'changes2_based on steps'!$B$1:$U$1,X$1)</f>
        <v>0</v>
      </c>
      <c r="Y34" s="179">
        <f>SUMIFS('recurring2_based on steps'!$B34:$AY34,'recurring2_based on steps'!$B$1:$AY$1,Y$1)+SUMIFS('changes2_based on steps'!$B34:$U34,'changes2_based on steps'!$B$1:$U$1,Y$1)</f>
        <v>0</v>
      </c>
      <c r="Z34" s="179">
        <f>SUMIFS('recurring2_based on steps'!$B34:$AY34,'recurring2_based on steps'!$B$1:$AY$1,Z$1)+SUMIFS('changes2_based on steps'!$B34:$U34,'changes2_based on steps'!$B$1:$U$1,Z$1)</f>
        <v>0</v>
      </c>
      <c r="AA34" s="179">
        <f>SUMIFS('recurring2_based on steps'!$B34:$AY34,'recurring2_based on steps'!$B$1:$AY$1,AA$1)+SUMIFS('changes2_based on steps'!$B34:$U34,'changes2_based on steps'!$B$1:$U$1,AA$1)</f>
        <v>0</v>
      </c>
      <c r="AB34" s="179">
        <f>SUMIFS('recurring2_based on steps'!$B34:$AY34,'recurring2_based on steps'!$B$1:$AY$1,AB$1)+SUMIFS('changes2_based on steps'!$B34:$U34,'changes2_based on steps'!$B$1:$U$1,AB$1)</f>
        <v>0</v>
      </c>
      <c r="AC34" s="179">
        <f>SUMIFS('recurring2_based on steps'!$B34:$AY34,'recurring2_based on steps'!$B$1:$AY$1,AC$1)+SUMIFS('changes2_based on steps'!$B34:$U34,'changes2_based on steps'!$B$1:$U$1,AC$1)</f>
        <v>0</v>
      </c>
      <c r="AD34" s="179">
        <f>SUMIFS('recurring2_based on steps'!$B34:$AY34,'recurring2_based on steps'!$B$1:$AY$1,AD$1)+SUMIFS('changes2_based on steps'!$B34:$U34,'changes2_based on steps'!$B$1:$U$1,AD$1)</f>
        <v>0</v>
      </c>
      <c r="AE34" s="179">
        <f>SUMIFS('recurring2_based on steps'!$B34:$AY34,'recurring2_based on steps'!$B$1:$AY$1,AE$1)+SUMIFS('changes2_based on steps'!$B34:$U34,'changes2_based on steps'!$B$1:$U$1,AE$1)</f>
        <v>0</v>
      </c>
      <c r="AF34" s="179"/>
      <c r="AG34" s="179"/>
      <c r="AH34" s="179"/>
      <c r="AI34" s="179"/>
      <c r="AJ34" s="179"/>
      <c r="AK34" s="179"/>
      <c r="AL34" s="179"/>
      <c r="AM34" s="179"/>
    </row>
    <row r="35" spans="1:39" x14ac:dyDescent="0.2">
      <c r="A35" s="32">
        <f t="shared" ca="1" si="0"/>
        <v>45784</v>
      </c>
      <c r="B35" s="179">
        <f>SUMIFS('recurring2_based on steps'!$B35:$AY35,'recurring2_based on steps'!$B$1:$AY$1,B$1)+SUMIFS('changes2_based on steps'!$B35:$U35,'changes2_based on steps'!$B$1:$U$1,B$1)</f>
        <v>0</v>
      </c>
      <c r="C35" s="179">
        <f>SUMIFS('recurring2_based on steps'!$B35:$AY35,'recurring2_based on steps'!$B$1:$AY$1,C$1)+SUMIFS('changes2_based on steps'!$B35:$U35,'changes2_based on steps'!$B$1:$U$1,C$1)</f>
        <v>0</v>
      </c>
      <c r="D35" s="179">
        <f>SUMIFS('recurring2_based on steps'!$B35:$AY35,'recurring2_based on steps'!$B$1:$AY$1,D$1)+SUMIFS('changes2_based on steps'!$B35:$U35,'changes2_based on steps'!$B$1:$U$1,D$1)</f>
        <v>0</v>
      </c>
      <c r="E35" s="179">
        <f>SUMIFS('recurring2_based on steps'!$B35:$AY35,'recurring2_based on steps'!$B$1:$AY$1,E$1)+SUMIFS('changes2_based on steps'!$B35:$U35,'changes2_based on steps'!$B$1:$U$1,E$1)</f>
        <v>0</v>
      </c>
      <c r="F35" s="179">
        <f>SUMIFS('recurring2_based on steps'!$B35:$AY35,'recurring2_based on steps'!$B$1:$AY$1,F$1)+SUMIFS('changes2_based on steps'!$B35:$U35,'changes2_based on steps'!$B$1:$U$1,F$1)</f>
        <v>0</v>
      </c>
      <c r="G35" s="179">
        <f>SUMIFS('recurring2_based on steps'!$B35:$AY35,'recurring2_based on steps'!$B$1:$AY$1,G$1)+SUMIFS('changes2_based on steps'!$B35:$U35,'changes2_based on steps'!$B$1:$U$1,G$1)</f>
        <v>0</v>
      </c>
      <c r="H35" s="179">
        <f>SUMIFS('recurring2_based on steps'!$B35:$AY35,'recurring2_based on steps'!$B$1:$AY$1,H$1)+SUMIFS('changes2_based on steps'!$B35:$U35,'changes2_based on steps'!$B$1:$U$1,H$1)</f>
        <v>0</v>
      </c>
      <c r="I35" s="179">
        <f>SUMIFS('recurring2_based on steps'!$B35:$AY35,'recurring2_based on steps'!$B$1:$AY$1,I$1)+SUMIFS('changes2_based on steps'!$B35:$U35,'changes2_based on steps'!$B$1:$U$1,I$1)</f>
        <v>0</v>
      </c>
      <c r="J35" s="179">
        <f>SUMIFS('recurring2_based on steps'!$B35:$AY35,'recurring2_based on steps'!$B$1:$AY$1,J$1)+SUMIFS('changes2_based on steps'!$B35:$U35,'changes2_based on steps'!$B$1:$U$1,J$1)</f>
        <v>0</v>
      </c>
      <c r="K35" s="179">
        <f>SUMIFS('recurring2_based on steps'!$B35:$AY35,'recurring2_based on steps'!$B$1:$AY$1,K$1)+SUMIFS('changes2_based on steps'!$B35:$U35,'changes2_based on steps'!$B$1:$U$1,K$1)</f>
        <v>0</v>
      </c>
      <c r="L35" s="179">
        <f>SUMIFS('recurring2_based on steps'!$B35:$AY35,'recurring2_based on steps'!$B$1:$AY$1,L$1)+SUMIFS('changes2_based on steps'!$B35:$U35,'changes2_based on steps'!$B$1:$U$1,L$1)</f>
        <v>0</v>
      </c>
      <c r="M35" s="179">
        <f>SUMIFS('recurring2_based on steps'!$B35:$AY35,'recurring2_based on steps'!$B$1:$AY$1,M$1)+SUMIFS('changes2_based on steps'!$B35:$U35,'changes2_based on steps'!$B$1:$U$1,M$1)</f>
        <v>0</v>
      </c>
      <c r="N35" s="179">
        <f>SUMIFS('recurring2_based on steps'!$B35:$AY35,'recurring2_based on steps'!$B$1:$AY$1,N$1)+SUMIFS('changes2_based on steps'!$B35:$U35,'changes2_based on steps'!$B$1:$U$1,N$1)</f>
        <v>0</v>
      </c>
      <c r="O35" s="179">
        <f>SUMIFS('recurring2_based on steps'!$B35:$AY35,'recurring2_based on steps'!$B$1:$AY$1,O$1)+SUMIFS('changes2_based on steps'!$B35:$U35,'changes2_based on steps'!$B$1:$U$1,O$1)</f>
        <v>0</v>
      </c>
      <c r="P35" s="179">
        <f>SUMIFS('recurring2_based on steps'!$B35:$AY35,'recurring2_based on steps'!$B$1:$AY$1,P$1)+SUMIFS('changes2_based on steps'!$B35:$U35,'changes2_based on steps'!$B$1:$U$1,P$1)</f>
        <v>0</v>
      </c>
      <c r="Q35" s="179">
        <f>SUMIFS('recurring2_based on steps'!$B35:$AY35,'recurring2_based on steps'!$B$1:$AY$1,Q$1)+SUMIFS('changes2_based on steps'!$B35:$U35,'changes2_based on steps'!$B$1:$U$1,Q$1)</f>
        <v>0</v>
      </c>
      <c r="R35" s="179">
        <f>SUMIFS('recurring2_based on steps'!$B35:$AY35,'recurring2_based on steps'!$B$1:$AY$1,R$1)+SUMIFS('changes2_based on steps'!$B35:$U35,'changes2_based on steps'!$B$1:$U$1,R$1)</f>
        <v>0</v>
      </c>
      <c r="S35" s="179">
        <f>SUMIFS('recurring2_based on steps'!$B35:$AY35,'recurring2_based on steps'!$B$1:$AY$1,S$1)+SUMIFS('changes2_based on steps'!$B35:$U35,'changes2_based on steps'!$B$1:$U$1,S$1)</f>
        <v>0</v>
      </c>
      <c r="T35" s="179">
        <f>SUMIFS('recurring2_based on steps'!$B35:$AY35,'recurring2_based on steps'!$B$1:$AY$1,T$1)+SUMIFS('changes2_based on steps'!$B35:$U35,'changes2_based on steps'!$B$1:$U$1,T$1)</f>
        <v>0</v>
      </c>
      <c r="U35" s="179">
        <f>SUMIFS('recurring2_based on steps'!$B35:$AY35,'recurring2_based on steps'!$B$1:$AY$1,U$1)+SUMIFS('changes2_based on steps'!$B35:$U35,'changes2_based on steps'!$B$1:$U$1,U$1)</f>
        <v>0</v>
      </c>
      <c r="V35" s="179">
        <f>SUMIFS('recurring2_based on steps'!$B35:$AY35,'recurring2_based on steps'!$B$1:$AY$1,V$1)+SUMIFS('changes2_based on steps'!$B35:$U35,'changes2_based on steps'!$B$1:$U$1,V$1)</f>
        <v>0</v>
      </c>
      <c r="W35" s="179">
        <f>SUMIFS('recurring2_based on steps'!$B35:$AY35,'recurring2_based on steps'!$B$1:$AY$1,W$1)+SUMIFS('changes2_based on steps'!$B35:$U35,'changes2_based on steps'!$B$1:$U$1,W$1)</f>
        <v>0</v>
      </c>
      <c r="X35" s="179">
        <f>SUMIFS('recurring2_based on steps'!$B35:$AY35,'recurring2_based on steps'!$B$1:$AY$1,X$1)+SUMIFS('changes2_based on steps'!$B35:$U35,'changes2_based on steps'!$B$1:$U$1,X$1)</f>
        <v>0</v>
      </c>
      <c r="Y35" s="179">
        <f>SUMIFS('recurring2_based on steps'!$B35:$AY35,'recurring2_based on steps'!$B$1:$AY$1,Y$1)+SUMIFS('changes2_based on steps'!$B35:$U35,'changes2_based on steps'!$B$1:$U$1,Y$1)</f>
        <v>0</v>
      </c>
      <c r="Z35" s="179">
        <f>SUMIFS('recurring2_based on steps'!$B35:$AY35,'recurring2_based on steps'!$B$1:$AY$1,Z$1)+SUMIFS('changes2_based on steps'!$B35:$U35,'changes2_based on steps'!$B$1:$U$1,Z$1)</f>
        <v>0</v>
      </c>
      <c r="AA35" s="179">
        <f>SUMIFS('recurring2_based on steps'!$B35:$AY35,'recurring2_based on steps'!$B$1:$AY$1,AA$1)+SUMIFS('changes2_based on steps'!$B35:$U35,'changes2_based on steps'!$B$1:$U$1,AA$1)</f>
        <v>0</v>
      </c>
      <c r="AB35" s="179">
        <f>SUMIFS('recurring2_based on steps'!$B35:$AY35,'recurring2_based on steps'!$B$1:$AY$1,AB$1)+SUMIFS('changes2_based on steps'!$B35:$U35,'changes2_based on steps'!$B$1:$U$1,AB$1)</f>
        <v>0</v>
      </c>
      <c r="AC35" s="179">
        <f>SUMIFS('recurring2_based on steps'!$B35:$AY35,'recurring2_based on steps'!$B$1:$AY$1,AC$1)+SUMIFS('changes2_based on steps'!$B35:$U35,'changes2_based on steps'!$B$1:$U$1,AC$1)</f>
        <v>0</v>
      </c>
      <c r="AD35" s="179">
        <f>SUMIFS('recurring2_based on steps'!$B35:$AY35,'recurring2_based on steps'!$B$1:$AY$1,AD$1)+SUMIFS('changes2_based on steps'!$B35:$U35,'changes2_based on steps'!$B$1:$U$1,AD$1)</f>
        <v>0</v>
      </c>
      <c r="AE35" s="179">
        <f>SUMIFS('recurring2_based on steps'!$B35:$AY35,'recurring2_based on steps'!$B$1:$AY$1,AE$1)+SUMIFS('changes2_based on steps'!$B35:$U35,'changes2_based on steps'!$B$1:$U$1,AE$1)</f>
        <v>0</v>
      </c>
      <c r="AF35" s="179"/>
      <c r="AG35" s="179"/>
      <c r="AH35" s="179"/>
      <c r="AI35" s="179"/>
      <c r="AJ35" s="179"/>
      <c r="AK35" s="179"/>
      <c r="AL35" s="179"/>
      <c r="AM35" s="179"/>
    </row>
    <row r="36" spans="1:39" x14ac:dyDescent="0.2">
      <c r="A36" s="32">
        <f t="shared" ca="1" si="0"/>
        <v>45785</v>
      </c>
      <c r="B36" s="179">
        <f>SUMIFS('recurring2_based on steps'!$B36:$AY36,'recurring2_based on steps'!$B$1:$AY$1,B$1)+SUMIFS('changes2_based on steps'!$B36:$U36,'changes2_based on steps'!$B$1:$U$1,B$1)</f>
        <v>0</v>
      </c>
      <c r="C36" s="179">
        <f>SUMIFS('recurring2_based on steps'!$B36:$AY36,'recurring2_based on steps'!$B$1:$AY$1,C$1)+SUMIFS('changes2_based on steps'!$B36:$U36,'changes2_based on steps'!$B$1:$U$1,C$1)</f>
        <v>0</v>
      </c>
      <c r="D36" s="179">
        <f>SUMIFS('recurring2_based on steps'!$B36:$AY36,'recurring2_based on steps'!$B$1:$AY$1,D$1)+SUMIFS('changes2_based on steps'!$B36:$U36,'changes2_based on steps'!$B$1:$U$1,D$1)</f>
        <v>0</v>
      </c>
      <c r="E36" s="179">
        <f>SUMIFS('recurring2_based on steps'!$B36:$AY36,'recurring2_based on steps'!$B$1:$AY$1,E$1)+SUMIFS('changes2_based on steps'!$B36:$U36,'changes2_based on steps'!$B$1:$U$1,E$1)</f>
        <v>0</v>
      </c>
      <c r="F36" s="179">
        <f>SUMIFS('recurring2_based on steps'!$B36:$AY36,'recurring2_based on steps'!$B$1:$AY$1,F$1)+SUMIFS('changes2_based on steps'!$B36:$U36,'changes2_based on steps'!$B$1:$U$1,F$1)</f>
        <v>0</v>
      </c>
      <c r="G36" s="179">
        <f>SUMIFS('recurring2_based on steps'!$B36:$AY36,'recurring2_based on steps'!$B$1:$AY$1,G$1)+SUMIFS('changes2_based on steps'!$B36:$U36,'changes2_based on steps'!$B$1:$U$1,G$1)</f>
        <v>0</v>
      </c>
      <c r="H36" s="179">
        <f>SUMIFS('recurring2_based on steps'!$B36:$AY36,'recurring2_based on steps'!$B$1:$AY$1,H$1)+SUMIFS('changes2_based on steps'!$B36:$U36,'changes2_based on steps'!$B$1:$U$1,H$1)</f>
        <v>0</v>
      </c>
      <c r="I36" s="179">
        <f>SUMIFS('recurring2_based on steps'!$B36:$AY36,'recurring2_based on steps'!$B$1:$AY$1,I$1)+SUMIFS('changes2_based on steps'!$B36:$U36,'changes2_based on steps'!$B$1:$U$1,I$1)</f>
        <v>0</v>
      </c>
      <c r="J36" s="179">
        <f>SUMIFS('recurring2_based on steps'!$B36:$AY36,'recurring2_based on steps'!$B$1:$AY$1,J$1)+SUMIFS('changes2_based on steps'!$B36:$U36,'changes2_based on steps'!$B$1:$U$1,J$1)</f>
        <v>0</v>
      </c>
      <c r="K36" s="179">
        <f>SUMIFS('recurring2_based on steps'!$B36:$AY36,'recurring2_based on steps'!$B$1:$AY$1,K$1)+SUMIFS('changes2_based on steps'!$B36:$U36,'changes2_based on steps'!$B$1:$U$1,K$1)</f>
        <v>0</v>
      </c>
      <c r="L36" s="179">
        <f>SUMIFS('recurring2_based on steps'!$B36:$AY36,'recurring2_based on steps'!$B$1:$AY$1,L$1)+SUMIFS('changes2_based on steps'!$B36:$U36,'changes2_based on steps'!$B$1:$U$1,L$1)</f>
        <v>0</v>
      </c>
      <c r="M36" s="179">
        <f>SUMIFS('recurring2_based on steps'!$B36:$AY36,'recurring2_based on steps'!$B$1:$AY$1,M$1)+SUMIFS('changes2_based on steps'!$B36:$U36,'changes2_based on steps'!$B$1:$U$1,M$1)</f>
        <v>0</v>
      </c>
      <c r="N36" s="179">
        <f>SUMIFS('recurring2_based on steps'!$B36:$AY36,'recurring2_based on steps'!$B$1:$AY$1,N$1)+SUMIFS('changes2_based on steps'!$B36:$U36,'changes2_based on steps'!$B$1:$U$1,N$1)</f>
        <v>0</v>
      </c>
      <c r="O36" s="179">
        <f>SUMIFS('recurring2_based on steps'!$B36:$AY36,'recurring2_based on steps'!$B$1:$AY$1,O$1)+SUMIFS('changes2_based on steps'!$B36:$U36,'changes2_based on steps'!$B$1:$U$1,O$1)</f>
        <v>0</v>
      </c>
      <c r="P36" s="179">
        <f>SUMIFS('recurring2_based on steps'!$B36:$AY36,'recurring2_based on steps'!$B$1:$AY$1,P$1)+SUMIFS('changes2_based on steps'!$B36:$U36,'changes2_based on steps'!$B$1:$U$1,P$1)</f>
        <v>0</v>
      </c>
      <c r="Q36" s="179">
        <f>SUMIFS('recurring2_based on steps'!$B36:$AY36,'recurring2_based on steps'!$B$1:$AY$1,Q$1)+SUMIFS('changes2_based on steps'!$B36:$U36,'changes2_based on steps'!$B$1:$U$1,Q$1)</f>
        <v>0</v>
      </c>
      <c r="R36" s="179">
        <f>SUMIFS('recurring2_based on steps'!$B36:$AY36,'recurring2_based on steps'!$B$1:$AY$1,R$1)+SUMIFS('changes2_based on steps'!$B36:$U36,'changes2_based on steps'!$B$1:$U$1,R$1)</f>
        <v>0</v>
      </c>
      <c r="S36" s="179">
        <f>SUMIFS('recurring2_based on steps'!$B36:$AY36,'recurring2_based on steps'!$B$1:$AY$1,S$1)+SUMIFS('changes2_based on steps'!$B36:$U36,'changes2_based on steps'!$B$1:$U$1,S$1)</f>
        <v>0</v>
      </c>
      <c r="T36" s="179">
        <f>SUMIFS('recurring2_based on steps'!$B36:$AY36,'recurring2_based on steps'!$B$1:$AY$1,T$1)+SUMIFS('changes2_based on steps'!$B36:$U36,'changes2_based on steps'!$B$1:$U$1,T$1)</f>
        <v>0</v>
      </c>
      <c r="U36" s="179">
        <f>SUMIFS('recurring2_based on steps'!$B36:$AY36,'recurring2_based on steps'!$B$1:$AY$1,U$1)+SUMIFS('changes2_based on steps'!$B36:$U36,'changes2_based on steps'!$B$1:$U$1,U$1)</f>
        <v>0</v>
      </c>
      <c r="V36" s="179">
        <f>SUMIFS('recurring2_based on steps'!$B36:$AY36,'recurring2_based on steps'!$B$1:$AY$1,V$1)+SUMIFS('changes2_based on steps'!$B36:$U36,'changes2_based on steps'!$B$1:$U$1,V$1)</f>
        <v>0</v>
      </c>
      <c r="W36" s="179">
        <f>SUMIFS('recurring2_based on steps'!$B36:$AY36,'recurring2_based on steps'!$B$1:$AY$1,W$1)+SUMIFS('changes2_based on steps'!$B36:$U36,'changes2_based on steps'!$B$1:$U$1,W$1)</f>
        <v>0</v>
      </c>
      <c r="X36" s="179">
        <f>SUMIFS('recurring2_based on steps'!$B36:$AY36,'recurring2_based on steps'!$B$1:$AY$1,X$1)+SUMIFS('changes2_based on steps'!$B36:$U36,'changes2_based on steps'!$B$1:$U$1,X$1)</f>
        <v>0</v>
      </c>
      <c r="Y36" s="179">
        <f>SUMIFS('recurring2_based on steps'!$B36:$AY36,'recurring2_based on steps'!$B$1:$AY$1,Y$1)+SUMIFS('changes2_based on steps'!$B36:$U36,'changes2_based on steps'!$B$1:$U$1,Y$1)</f>
        <v>0</v>
      </c>
      <c r="Z36" s="179">
        <f>SUMIFS('recurring2_based on steps'!$B36:$AY36,'recurring2_based on steps'!$B$1:$AY$1,Z$1)+SUMIFS('changes2_based on steps'!$B36:$U36,'changes2_based on steps'!$B$1:$U$1,Z$1)</f>
        <v>0</v>
      </c>
      <c r="AA36" s="179">
        <f>SUMIFS('recurring2_based on steps'!$B36:$AY36,'recurring2_based on steps'!$B$1:$AY$1,AA$1)+SUMIFS('changes2_based on steps'!$B36:$U36,'changes2_based on steps'!$B$1:$U$1,AA$1)</f>
        <v>0</v>
      </c>
      <c r="AB36" s="179">
        <f>SUMIFS('recurring2_based on steps'!$B36:$AY36,'recurring2_based on steps'!$B$1:$AY$1,AB$1)+SUMIFS('changes2_based on steps'!$B36:$U36,'changes2_based on steps'!$B$1:$U$1,AB$1)</f>
        <v>0</v>
      </c>
      <c r="AC36" s="179">
        <f>SUMIFS('recurring2_based on steps'!$B36:$AY36,'recurring2_based on steps'!$B$1:$AY$1,AC$1)+SUMIFS('changes2_based on steps'!$B36:$U36,'changes2_based on steps'!$B$1:$U$1,AC$1)</f>
        <v>0</v>
      </c>
      <c r="AD36" s="179">
        <f>SUMIFS('recurring2_based on steps'!$B36:$AY36,'recurring2_based on steps'!$B$1:$AY$1,AD$1)+SUMIFS('changes2_based on steps'!$B36:$U36,'changes2_based on steps'!$B$1:$U$1,AD$1)</f>
        <v>0</v>
      </c>
      <c r="AE36" s="179">
        <f>SUMIFS('recurring2_based on steps'!$B36:$AY36,'recurring2_based on steps'!$B$1:$AY$1,AE$1)+SUMIFS('changes2_based on steps'!$B36:$U36,'changes2_based on steps'!$B$1:$U$1,AE$1)</f>
        <v>0</v>
      </c>
      <c r="AF36" s="179"/>
      <c r="AG36" s="179"/>
      <c r="AH36" s="179"/>
      <c r="AI36" s="179"/>
      <c r="AJ36" s="179"/>
      <c r="AK36" s="179"/>
      <c r="AL36" s="179"/>
      <c r="AM36" s="179"/>
    </row>
    <row r="37" spans="1:39" x14ac:dyDescent="0.2">
      <c r="A37" s="32">
        <f t="shared" ca="1" si="0"/>
        <v>45786</v>
      </c>
      <c r="B37" s="179">
        <f>SUMIFS('recurring2_based on steps'!$B37:$AY37,'recurring2_based on steps'!$B$1:$AY$1,B$1)+SUMIFS('changes2_based on steps'!$B37:$U37,'changes2_based on steps'!$B$1:$U$1,B$1)</f>
        <v>0</v>
      </c>
      <c r="C37" s="179">
        <f>SUMIFS('recurring2_based on steps'!$B37:$AY37,'recurring2_based on steps'!$B$1:$AY$1,C$1)+SUMIFS('changes2_based on steps'!$B37:$U37,'changes2_based on steps'!$B$1:$U$1,C$1)</f>
        <v>0</v>
      </c>
      <c r="D37" s="179">
        <f>SUMIFS('recurring2_based on steps'!$B37:$AY37,'recurring2_based on steps'!$B$1:$AY$1,D$1)+SUMIFS('changes2_based on steps'!$B37:$U37,'changes2_based on steps'!$B$1:$U$1,D$1)</f>
        <v>0</v>
      </c>
      <c r="E37" s="179">
        <f>SUMIFS('recurring2_based on steps'!$B37:$AY37,'recurring2_based on steps'!$B$1:$AY$1,E$1)+SUMIFS('changes2_based on steps'!$B37:$U37,'changes2_based on steps'!$B$1:$U$1,E$1)</f>
        <v>0</v>
      </c>
      <c r="F37" s="179">
        <f>SUMIFS('recurring2_based on steps'!$B37:$AY37,'recurring2_based on steps'!$B$1:$AY$1,F$1)+SUMIFS('changes2_based on steps'!$B37:$U37,'changes2_based on steps'!$B$1:$U$1,F$1)</f>
        <v>0</v>
      </c>
      <c r="G37" s="179">
        <f>SUMIFS('recurring2_based on steps'!$B37:$AY37,'recurring2_based on steps'!$B$1:$AY$1,G$1)+SUMIFS('changes2_based on steps'!$B37:$U37,'changes2_based on steps'!$B$1:$U$1,G$1)</f>
        <v>0</v>
      </c>
      <c r="H37" s="179">
        <f>SUMIFS('recurring2_based on steps'!$B37:$AY37,'recurring2_based on steps'!$B$1:$AY$1,H$1)+SUMIFS('changes2_based on steps'!$B37:$U37,'changes2_based on steps'!$B$1:$U$1,H$1)</f>
        <v>0</v>
      </c>
      <c r="I37" s="179">
        <f>SUMIFS('recurring2_based on steps'!$B37:$AY37,'recurring2_based on steps'!$B$1:$AY$1,I$1)+SUMIFS('changes2_based on steps'!$B37:$U37,'changes2_based on steps'!$B$1:$U$1,I$1)</f>
        <v>0</v>
      </c>
      <c r="J37" s="179">
        <f>SUMIFS('recurring2_based on steps'!$B37:$AY37,'recurring2_based on steps'!$B$1:$AY$1,J$1)+SUMIFS('changes2_based on steps'!$B37:$U37,'changes2_based on steps'!$B$1:$U$1,J$1)</f>
        <v>0</v>
      </c>
      <c r="K37" s="179">
        <f>SUMIFS('recurring2_based on steps'!$B37:$AY37,'recurring2_based on steps'!$B$1:$AY$1,K$1)+SUMIFS('changes2_based on steps'!$B37:$U37,'changes2_based on steps'!$B$1:$U$1,K$1)</f>
        <v>0</v>
      </c>
      <c r="L37" s="179">
        <f>SUMIFS('recurring2_based on steps'!$B37:$AY37,'recurring2_based on steps'!$B$1:$AY$1,L$1)+SUMIFS('changes2_based on steps'!$B37:$U37,'changes2_based on steps'!$B$1:$U$1,L$1)</f>
        <v>0</v>
      </c>
      <c r="M37" s="179">
        <f>SUMIFS('recurring2_based on steps'!$B37:$AY37,'recurring2_based on steps'!$B$1:$AY$1,M$1)+SUMIFS('changes2_based on steps'!$B37:$U37,'changes2_based on steps'!$B$1:$U$1,M$1)</f>
        <v>0</v>
      </c>
      <c r="N37" s="179">
        <f>SUMIFS('recurring2_based on steps'!$B37:$AY37,'recurring2_based on steps'!$B$1:$AY$1,N$1)+SUMIFS('changes2_based on steps'!$B37:$U37,'changes2_based on steps'!$B$1:$U$1,N$1)</f>
        <v>0</v>
      </c>
      <c r="O37" s="179">
        <f>SUMIFS('recurring2_based on steps'!$B37:$AY37,'recurring2_based on steps'!$B$1:$AY$1,O$1)+SUMIFS('changes2_based on steps'!$B37:$U37,'changes2_based on steps'!$B$1:$U$1,O$1)</f>
        <v>0</v>
      </c>
      <c r="P37" s="179">
        <f>SUMIFS('recurring2_based on steps'!$B37:$AY37,'recurring2_based on steps'!$B$1:$AY$1,P$1)+SUMIFS('changes2_based on steps'!$B37:$U37,'changes2_based on steps'!$B$1:$U$1,P$1)</f>
        <v>0</v>
      </c>
      <c r="Q37" s="179">
        <f>SUMIFS('recurring2_based on steps'!$B37:$AY37,'recurring2_based on steps'!$B$1:$AY$1,Q$1)+SUMIFS('changes2_based on steps'!$B37:$U37,'changes2_based on steps'!$B$1:$U$1,Q$1)</f>
        <v>0</v>
      </c>
      <c r="R37" s="179">
        <f>SUMIFS('recurring2_based on steps'!$B37:$AY37,'recurring2_based on steps'!$B$1:$AY$1,R$1)+SUMIFS('changes2_based on steps'!$B37:$U37,'changes2_based on steps'!$B$1:$U$1,R$1)</f>
        <v>0</v>
      </c>
      <c r="S37" s="179">
        <f>SUMIFS('recurring2_based on steps'!$B37:$AY37,'recurring2_based on steps'!$B$1:$AY$1,S$1)+SUMIFS('changes2_based on steps'!$B37:$U37,'changes2_based on steps'!$B$1:$U$1,S$1)</f>
        <v>0</v>
      </c>
      <c r="T37" s="179">
        <f>SUMIFS('recurring2_based on steps'!$B37:$AY37,'recurring2_based on steps'!$B$1:$AY$1,T$1)+SUMIFS('changes2_based on steps'!$B37:$U37,'changes2_based on steps'!$B$1:$U$1,T$1)</f>
        <v>0</v>
      </c>
      <c r="U37" s="179">
        <f>SUMIFS('recurring2_based on steps'!$B37:$AY37,'recurring2_based on steps'!$B$1:$AY$1,U$1)+SUMIFS('changes2_based on steps'!$B37:$U37,'changes2_based on steps'!$B$1:$U$1,U$1)</f>
        <v>0</v>
      </c>
      <c r="V37" s="179">
        <f>SUMIFS('recurring2_based on steps'!$B37:$AY37,'recurring2_based on steps'!$B$1:$AY$1,V$1)+SUMIFS('changes2_based on steps'!$B37:$U37,'changes2_based on steps'!$B$1:$U$1,V$1)</f>
        <v>0</v>
      </c>
      <c r="W37" s="179">
        <f>SUMIFS('recurring2_based on steps'!$B37:$AY37,'recurring2_based on steps'!$B$1:$AY$1,W$1)+SUMIFS('changes2_based on steps'!$B37:$U37,'changes2_based on steps'!$B$1:$U$1,W$1)</f>
        <v>0</v>
      </c>
      <c r="X37" s="179">
        <f>SUMIFS('recurring2_based on steps'!$B37:$AY37,'recurring2_based on steps'!$B$1:$AY$1,X$1)+SUMIFS('changes2_based on steps'!$B37:$U37,'changes2_based on steps'!$B$1:$U$1,X$1)</f>
        <v>0</v>
      </c>
      <c r="Y37" s="179">
        <f>SUMIFS('recurring2_based on steps'!$B37:$AY37,'recurring2_based on steps'!$B$1:$AY$1,Y$1)+SUMIFS('changes2_based on steps'!$B37:$U37,'changes2_based on steps'!$B$1:$U$1,Y$1)</f>
        <v>0</v>
      </c>
      <c r="Z37" s="179">
        <f>SUMIFS('recurring2_based on steps'!$B37:$AY37,'recurring2_based on steps'!$B$1:$AY$1,Z$1)+SUMIFS('changes2_based on steps'!$B37:$U37,'changes2_based on steps'!$B$1:$U$1,Z$1)</f>
        <v>0</v>
      </c>
      <c r="AA37" s="179">
        <f>SUMIFS('recurring2_based on steps'!$B37:$AY37,'recurring2_based on steps'!$B$1:$AY$1,AA$1)+SUMIFS('changes2_based on steps'!$B37:$U37,'changes2_based on steps'!$B$1:$U$1,AA$1)</f>
        <v>0</v>
      </c>
      <c r="AB37" s="179">
        <f>SUMIFS('recurring2_based on steps'!$B37:$AY37,'recurring2_based on steps'!$B$1:$AY$1,AB$1)+SUMIFS('changes2_based on steps'!$B37:$U37,'changes2_based on steps'!$B$1:$U$1,AB$1)</f>
        <v>0</v>
      </c>
      <c r="AC37" s="179">
        <f>SUMIFS('recurring2_based on steps'!$B37:$AY37,'recurring2_based on steps'!$B$1:$AY$1,AC$1)+SUMIFS('changes2_based on steps'!$B37:$U37,'changes2_based on steps'!$B$1:$U$1,AC$1)</f>
        <v>0</v>
      </c>
      <c r="AD37" s="179">
        <f>SUMIFS('recurring2_based on steps'!$B37:$AY37,'recurring2_based on steps'!$B$1:$AY$1,AD$1)+SUMIFS('changes2_based on steps'!$B37:$U37,'changes2_based on steps'!$B$1:$U$1,AD$1)</f>
        <v>0</v>
      </c>
      <c r="AE37" s="179">
        <f>SUMIFS('recurring2_based on steps'!$B37:$AY37,'recurring2_based on steps'!$B$1:$AY$1,AE$1)+SUMIFS('changes2_based on steps'!$B37:$U37,'changes2_based on steps'!$B$1:$U$1,AE$1)</f>
        <v>0</v>
      </c>
      <c r="AF37" s="179"/>
      <c r="AG37" s="179"/>
      <c r="AH37" s="179"/>
      <c r="AI37" s="179"/>
      <c r="AJ37" s="179"/>
      <c r="AK37" s="179"/>
      <c r="AL37" s="179"/>
      <c r="AM37" s="179"/>
    </row>
    <row r="38" spans="1:39" x14ac:dyDescent="0.2">
      <c r="A38" s="32">
        <f t="shared" ca="1" si="0"/>
        <v>45787</v>
      </c>
      <c r="B38" s="179">
        <f>SUMIFS('recurring2_based on steps'!$B38:$AY38,'recurring2_based on steps'!$B$1:$AY$1,B$1)+SUMIFS('changes2_based on steps'!$B38:$U38,'changes2_based on steps'!$B$1:$U$1,B$1)</f>
        <v>0</v>
      </c>
      <c r="C38" s="179">
        <f>SUMIFS('recurring2_based on steps'!$B38:$AY38,'recurring2_based on steps'!$B$1:$AY$1,C$1)+SUMIFS('changes2_based on steps'!$B38:$U38,'changes2_based on steps'!$B$1:$U$1,C$1)</f>
        <v>0</v>
      </c>
      <c r="D38" s="179">
        <f>SUMIFS('recurring2_based on steps'!$B38:$AY38,'recurring2_based on steps'!$B$1:$AY$1,D$1)+SUMIFS('changes2_based on steps'!$B38:$U38,'changes2_based on steps'!$B$1:$U$1,D$1)</f>
        <v>0</v>
      </c>
      <c r="E38" s="179">
        <f>SUMIFS('recurring2_based on steps'!$B38:$AY38,'recurring2_based on steps'!$B$1:$AY$1,E$1)+SUMIFS('changes2_based on steps'!$B38:$U38,'changes2_based on steps'!$B$1:$U$1,E$1)</f>
        <v>0</v>
      </c>
      <c r="F38" s="179">
        <f>SUMIFS('recurring2_based on steps'!$B38:$AY38,'recurring2_based on steps'!$B$1:$AY$1,F$1)+SUMIFS('changes2_based on steps'!$B38:$U38,'changes2_based on steps'!$B$1:$U$1,F$1)</f>
        <v>0</v>
      </c>
      <c r="G38" s="179">
        <f>SUMIFS('recurring2_based on steps'!$B38:$AY38,'recurring2_based on steps'!$B$1:$AY$1,G$1)+SUMIFS('changes2_based on steps'!$B38:$U38,'changes2_based on steps'!$B$1:$U$1,G$1)</f>
        <v>0</v>
      </c>
      <c r="H38" s="179">
        <f>SUMIFS('recurring2_based on steps'!$B38:$AY38,'recurring2_based on steps'!$B$1:$AY$1,H$1)+SUMIFS('changes2_based on steps'!$B38:$U38,'changes2_based on steps'!$B$1:$U$1,H$1)</f>
        <v>0</v>
      </c>
      <c r="I38" s="179">
        <f>SUMIFS('recurring2_based on steps'!$B38:$AY38,'recurring2_based on steps'!$B$1:$AY$1,I$1)+SUMIFS('changes2_based on steps'!$B38:$U38,'changes2_based on steps'!$B$1:$U$1,I$1)</f>
        <v>0</v>
      </c>
      <c r="J38" s="179">
        <f>SUMIFS('recurring2_based on steps'!$B38:$AY38,'recurring2_based on steps'!$B$1:$AY$1,J$1)+SUMIFS('changes2_based on steps'!$B38:$U38,'changes2_based on steps'!$B$1:$U$1,J$1)</f>
        <v>0</v>
      </c>
      <c r="K38" s="179">
        <f>SUMIFS('recurring2_based on steps'!$B38:$AY38,'recurring2_based on steps'!$B$1:$AY$1,K$1)+SUMIFS('changes2_based on steps'!$B38:$U38,'changes2_based on steps'!$B$1:$U$1,K$1)</f>
        <v>0</v>
      </c>
      <c r="L38" s="179">
        <f>SUMIFS('recurring2_based on steps'!$B38:$AY38,'recurring2_based on steps'!$B$1:$AY$1,L$1)+SUMIFS('changes2_based on steps'!$B38:$U38,'changes2_based on steps'!$B$1:$U$1,L$1)</f>
        <v>0</v>
      </c>
      <c r="M38" s="179">
        <f>SUMIFS('recurring2_based on steps'!$B38:$AY38,'recurring2_based on steps'!$B$1:$AY$1,M$1)+SUMIFS('changes2_based on steps'!$B38:$U38,'changes2_based on steps'!$B$1:$U$1,M$1)</f>
        <v>0</v>
      </c>
      <c r="N38" s="179">
        <f>SUMIFS('recurring2_based on steps'!$B38:$AY38,'recurring2_based on steps'!$B$1:$AY$1,N$1)+SUMIFS('changes2_based on steps'!$B38:$U38,'changes2_based on steps'!$B$1:$U$1,N$1)</f>
        <v>0</v>
      </c>
      <c r="O38" s="179">
        <f>SUMIFS('recurring2_based on steps'!$B38:$AY38,'recurring2_based on steps'!$B$1:$AY$1,O$1)+SUMIFS('changes2_based on steps'!$B38:$U38,'changes2_based on steps'!$B$1:$U$1,O$1)</f>
        <v>0</v>
      </c>
      <c r="P38" s="179">
        <f>SUMIFS('recurring2_based on steps'!$B38:$AY38,'recurring2_based on steps'!$B$1:$AY$1,P$1)+SUMIFS('changes2_based on steps'!$B38:$U38,'changes2_based on steps'!$B$1:$U$1,P$1)</f>
        <v>0</v>
      </c>
      <c r="Q38" s="179">
        <f>SUMIFS('recurring2_based on steps'!$B38:$AY38,'recurring2_based on steps'!$B$1:$AY$1,Q$1)+SUMIFS('changes2_based on steps'!$B38:$U38,'changes2_based on steps'!$B$1:$U$1,Q$1)</f>
        <v>0</v>
      </c>
      <c r="R38" s="179">
        <f>SUMIFS('recurring2_based on steps'!$B38:$AY38,'recurring2_based on steps'!$B$1:$AY$1,R$1)+SUMIFS('changes2_based on steps'!$B38:$U38,'changes2_based on steps'!$B$1:$U$1,R$1)</f>
        <v>0</v>
      </c>
      <c r="S38" s="179">
        <f>SUMIFS('recurring2_based on steps'!$B38:$AY38,'recurring2_based on steps'!$B$1:$AY$1,S$1)+SUMIFS('changes2_based on steps'!$B38:$U38,'changes2_based on steps'!$B$1:$U$1,S$1)</f>
        <v>0</v>
      </c>
      <c r="T38" s="179">
        <f>SUMIFS('recurring2_based on steps'!$B38:$AY38,'recurring2_based on steps'!$B$1:$AY$1,T$1)+SUMIFS('changes2_based on steps'!$B38:$U38,'changes2_based on steps'!$B$1:$U$1,T$1)</f>
        <v>0</v>
      </c>
      <c r="U38" s="179">
        <f>SUMIFS('recurring2_based on steps'!$B38:$AY38,'recurring2_based on steps'!$B$1:$AY$1,U$1)+SUMIFS('changes2_based on steps'!$B38:$U38,'changes2_based on steps'!$B$1:$U$1,U$1)</f>
        <v>0</v>
      </c>
      <c r="V38" s="179">
        <f>SUMIFS('recurring2_based on steps'!$B38:$AY38,'recurring2_based on steps'!$B$1:$AY$1,V$1)+SUMIFS('changes2_based on steps'!$B38:$U38,'changes2_based on steps'!$B$1:$U$1,V$1)</f>
        <v>0</v>
      </c>
      <c r="W38" s="179">
        <f>SUMIFS('recurring2_based on steps'!$B38:$AY38,'recurring2_based on steps'!$B$1:$AY$1,W$1)+SUMIFS('changes2_based on steps'!$B38:$U38,'changes2_based on steps'!$B$1:$U$1,W$1)</f>
        <v>0</v>
      </c>
      <c r="X38" s="179">
        <f>SUMIFS('recurring2_based on steps'!$B38:$AY38,'recurring2_based on steps'!$B$1:$AY$1,X$1)+SUMIFS('changes2_based on steps'!$B38:$U38,'changes2_based on steps'!$B$1:$U$1,X$1)</f>
        <v>0</v>
      </c>
      <c r="Y38" s="179">
        <f>SUMIFS('recurring2_based on steps'!$B38:$AY38,'recurring2_based on steps'!$B$1:$AY$1,Y$1)+SUMIFS('changes2_based on steps'!$B38:$U38,'changes2_based on steps'!$B$1:$U$1,Y$1)</f>
        <v>0</v>
      </c>
      <c r="Z38" s="179">
        <f>SUMIFS('recurring2_based on steps'!$B38:$AY38,'recurring2_based on steps'!$B$1:$AY$1,Z$1)+SUMIFS('changes2_based on steps'!$B38:$U38,'changes2_based on steps'!$B$1:$U$1,Z$1)</f>
        <v>0</v>
      </c>
      <c r="AA38" s="179">
        <f>SUMIFS('recurring2_based on steps'!$B38:$AY38,'recurring2_based on steps'!$B$1:$AY$1,AA$1)+SUMIFS('changes2_based on steps'!$B38:$U38,'changes2_based on steps'!$B$1:$U$1,AA$1)</f>
        <v>0</v>
      </c>
      <c r="AB38" s="179">
        <f>SUMIFS('recurring2_based on steps'!$B38:$AY38,'recurring2_based on steps'!$B$1:$AY$1,AB$1)+SUMIFS('changes2_based on steps'!$B38:$U38,'changes2_based on steps'!$B$1:$U$1,AB$1)</f>
        <v>0</v>
      </c>
      <c r="AC38" s="179">
        <f>SUMIFS('recurring2_based on steps'!$B38:$AY38,'recurring2_based on steps'!$B$1:$AY$1,AC$1)+SUMIFS('changes2_based on steps'!$B38:$U38,'changes2_based on steps'!$B$1:$U$1,AC$1)</f>
        <v>0</v>
      </c>
      <c r="AD38" s="179">
        <f>SUMIFS('recurring2_based on steps'!$B38:$AY38,'recurring2_based on steps'!$B$1:$AY$1,AD$1)+SUMIFS('changes2_based on steps'!$B38:$U38,'changes2_based on steps'!$B$1:$U$1,AD$1)</f>
        <v>0</v>
      </c>
      <c r="AE38" s="179">
        <f>SUMIFS('recurring2_based on steps'!$B38:$AY38,'recurring2_based on steps'!$B$1:$AY$1,AE$1)+SUMIFS('changes2_based on steps'!$B38:$U38,'changes2_based on steps'!$B$1:$U$1,AE$1)</f>
        <v>0</v>
      </c>
      <c r="AF38" s="179"/>
      <c r="AG38" s="179"/>
      <c r="AH38" s="179"/>
      <c r="AI38" s="179"/>
      <c r="AJ38" s="179"/>
      <c r="AK38" s="179"/>
      <c r="AL38" s="179"/>
      <c r="AM38" s="179"/>
    </row>
    <row r="39" spans="1:39" x14ac:dyDescent="0.2">
      <c r="A39" s="32">
        <f t="shared" ca="1" si="0"/>
        <v>45788</v>
      </c>
      <c r="B39" s="179">
        <f>SUMIFS('recurring2_based on steps'!$B39:$AY39,'recurring2_based on steps'!$B$1:$AY$1,B$1)+SUMIFS('changes2_based on steps'!$B39:$U39,'changes2_based on steps'!$B$1:$U$1,B$1)</f>
        <v>0</v>
      </c>
      <c r="C39" s="179">
        <f>SUMIFS('recurring2_based on steps'!$B39:$AY39,'recurring2_based on steps'!$B$1:$AY$1,C$1)+SUMIFS('changes2_based on steps'!$B39:$U39,'changes2_based on steps'!$B$1:$U$1,C$1)</f>
        <v>0</v>
      </c>
      <c r="D39" s="179">
        <f>SUMIFS('recurring2_based on steps'!$B39:$AY39,'recurring2_based on steps'!$B$1:$AY$1,D$1)+SUMIFS('changes2_based on steps'!$B39:$U39,'changes2_based on steps'!$B$1:$U$1,D$1)</f>
        <v>0</v>
      </c>
      <c r="E39" s="179">
        <f>SUMIFS('recurring2_based on steps'!$B39:$AY39,'recurring2_based on steps'!$B$1:$AY$1,E$1)+SUMIFS('changes2_based on steps'!$B39:$U39,'changes2_based on steps'!$B$1:$U$1,E$1)</f>
        <v>0</v>
      </c>
      <c r="F39" s="179">
        <f>SUMIFS('recurring2_based on steps'!$B39:$AY39,'recurring2_based on steps'!$B$1:$AY$1,F$1)+SUMIFS('changes2_based on steps'!$B39:$U39,'changes2_based on steps'!$B$1:$U$1,F$1)</f>
        <v>0</v>
      </c>
      <c r="G39" s="179">
        <f>SUMIFS('recurring2_based on steps'!$B39:$AY39,'recurring2_based on steps'!$B$1:$AY$1,G$1)+SUMIFS('changes2_based on steps'!$B39:$U39,'changes2_based on steps'!$B$1:$U$1,G$1)</f>
        <v>0</v>
      </c>
      <c r="H39" s="179">
        <f>SUMIFS('recurring2_based on steps'!$B39:$AY39,'recurring2_based on steps'!$B$1:$AY$1,H$1)+SUMIFS('changes2_based on steps'!$B39:$U39,'changes2_based on steps'!$B$1:$U$1,H$1)</f>
        <v>0</v>
      </c>
      <c r="I39" s="179">
        <f>SUMIFS('recurring2_based on steps'!$B39:$AY39,'recurring2_based on steps'!$B$1:$AY$1,I$1)+SUMIFS('changes2_based on steps'!$B39:$U39,'changes2_based on steps'!$B$1:$U$1,I$1)</f>
        <v>0</v>
      </c>
      <c r="J39" s="179">
        <f>SUMIFS('recurring2_based on steps'!$B39:$AY39,'recurring2_based on steps'!$B$1:$AY$1,J$1)+SUMIFS('changes2_based on steps'!$B39:$U39,'changes2_based on steps'!$B$1:$U$1,J$1)</f>
        <v>0</v>
      </c>
      <c r="K39" s="179">
        <f>SUMIFS('recurring2_based on steps'!$B39:$AY39,'recurring2_based on steps'!$B$1:$AY$1,K$1)+SUMIFS('changes2_based on steps'!$B39:$U39,'changes2_based on steps'!$B$1:$U$1,K$1)</f>
        <v>0</v>
      </c>
      <c r="L39" s="179">
        <f>SUMIFS('recurring2_based on steps'!$B39:$AY39,'recurring2_based on steps'!$B$1:$AY$1,L$1)+SUMIFS('changes2_based on steps'!$B39:$U39,'changes2_based on steps'!$B$1:$U$1,L$1)</f>
        <v>0</v>
      </c>
      <c r="M39" s="179">
        <f>SUMIFS('recurring2_based on steps'!$B39:$AY39,'recurring2_based on steps'!$B$1:$AY$1,M$1)+SUMIFS('changes2_based on steps'!$B39:$U39,'changes2_based on steps'!$B$1:$U$1,M$1)</f>
        <v>0</v>
      </c>
      <c r="N39" s="179">
        <f>SUMIFS('recurring2_based on steps'!$B39:$AY39,'recurring2_based on steps'!$B$1:$AY$1,N$1)+SUMIFS('changes2_based on steps'!$B39:$U39,'changes2_based on steps'!$B$1:$U$1,N$1)</f>
        <v>0</v>
      </c>
      <c r="O39" s="179">
        <f>SUMIFS('recurring2_based on steps'!$B39:$AY39,'recurring2_based on steps'!$B$1:$AY$1,O$1)+SUMIFS('changes2_based on steps'!$B39:$U39,'changes2_based on steps'!$B$1:$U$1,O$1)</f>
        <v>0</v>
      </c>
      <c r="P39" s="179">
        <f>SUMIFS('recurring2_based on steps'!$B39:$AY39,'recurring2_based on steps'!$B$1:$AY$1,P$1)+SUMIFS('changes2_based on steps'!$B39:$U39,'changes2_based on steps'!$B$1:$U$1,P$1)</f>
        <v>0</v>
      </c>
      <c r="Q39" s="179">
        <f>SUMIFS('recurring2_based on steps'!$B39:$AY39,'recurring2_based on steps'!$B$1:$AY$1,Q$1)+SUMIFS('changes2_based on steps'!$B39:$U39,'changes2_based on steps'!$B$1:$U$1,Q$1)</f>
        <v>0</v>
      </c>
      <c r="R39" s="179">
        <f>SUMIFS('recurring2_based on steps'!$B39:$AY39,'recurring2_based on steps'!$B$1:$AY$1,R$1)+SUMIFS('changes2_based on steps'!$B39:$U39,'changes2_based on steps'!$B$1:$U$1,R$1)</f>
        <v>0</v>
      </c>
      <c r="S39" s="179">
        <f>SUMIFS('recurring2_based on steps'!$B39:$AY39,'recurring2_based on steps'!$B$1:$AY$1,S$1)+SUMIFS('changes2_based on steps'!$B39:$U39,'changes2_based on steps'!$B$1:$U$1,S$1)</f>
        <v>0</v>
      </c>
      <c r="T39" s="179">
        <f>SUMIFS('recurring2_based on steps'!$B39:$AY39,'recurring2_based on steps'!$B$1:$AY$1,T$1)+SUMIFS('changes2_based on steps'!$B39:$U39,'changes2_based on steps'!$B$1:$U$1,T$1)</f>
        <v>0</v>
      </c>
      <c r="U39" s="179">
        <f>SUMIFS('recurring2_based on steps'!$B39:$AY39,'recurring2_based on steps'!$B$1:$AY$1,U$1)+SUMIFS('changes2_based on steps'!$B39:$U39,'changes2_based on steps'!$B$1:$U$1,U$1)</f>
        <v>0</v>
      </c>
      <c r="V39" s="179">
        <f>SUMIFS('recurring2_based on steps'!$B39:$AY39,'recurring2_based on steps'!$B$1:$AY$1,V$1)+SUMIFS('changes2_based on steps'!$B39:$U39,'changes2_based on steps'!$B$1:$U$1,V$1)</f>
        <v>0</v>
      </c>
      <c r="W39" s="179">
        <f>SUMIFS('recurring2_based on steps'!$B39:$AY39,'recurring2_based on steps'!$B$1:$AY$1,W$1)+SUMIFS('changes2_based on steps'!$B39:$U39,'changes2_based on steps'!$B$1:$U$1,W$1)</f>
        <v>0</v>
      </c>
      <c r="X39" s="179">
        <f>SUMIFS('recurring2_based on steps'!$B39:$AY39,'recurring2_based on steps'!$B$1:$AY$1,X$1)+SUMIFS('changes2_based on steps'!$B39:$U39,'changes2_based on steps'!$B$1:$U$1,X$1)</f>
        <v>0</v>
      </c>
      <c r="Y39" s="179">
        <f>SUMIFS('recurring2_based on steps'!$B39:$AY39,'recurring2_based on steps'!$B$1:$AY$1,Y$1)+SUMIFS('changes2_based on steps'!$B39:$U39,'changes2_based on steps'!$B$1:$U$1,Y$1)</f>
        <v>0</v>
      </c>
      <c r="Z39" s="179">
        <f>SUMIFS('recurring2_based on steps'!$B39:$AY39,'recurring2_based on steps'!$B$1:$AY$1,Z$1)+SUMIFS('changes2_based on steps'!$B39:$U39,'changes2_based on steps'!$B$1:$U$1,Z$1)</f>
        <v>0</v>
      </c>
      <c r="AA39" s="179">
        <f>SUMIFS('recurring2_based on steps'!$B39:$AY39,'recurring2_based on steps'!$B$1:$AY$1,AA$1)+SUMIFS('changes2_based on steps'!$B39:$U39,'changes2_based on steps'!$B$1:$U$1,AA$1)</f>
        <v>0</v>
      </c>
      <c r="AB39" s="179">
        <f>SUMIFS('recurring2_based on steps'!$B39:$AY39,'recurring2_based on steps'!$B$1:$AY$1,AB$1)+SUMIFS('changes2_based on steps'!$B39:$U39,'changes2_based on steps'!$B$1:$U$1,AB$1)</f>
        <v>0</v>
      </c>
      <c r="AC39" s="179">
        <f>SUMIFS('recurring2_based on steps'!$B39:$AY39,'recurring2_based on steps'!$B$1:$AY$1,AC$1)+SUMIFS('changes2_based on steps'!$B39:$U39,'changes2_based on steps'!$B$1:$U$1,AC$1)</f>
        <v>0</v>
      </c>
      <c r="AD39" s="179">
        <f>SUMIFS('recurring2_based on steps'!$B39:$AY39,'recurring2_based on steps'!$B$1:$AY$1,AD$1)+SUMIFS('changes2_based on steps'!$B39:$U39,'changes2_based on steps'!$B$1:$U$1,AD$1)</f>
        <v>0</v>
      </c>
      <c r="AE39" s="179">
        <f>SUMIFS('recurring2_based on steps'!$B39:$AY39,'recurring2_based on steps'!$B$1:$AY$1,AE$1)+SUMIFS('changes2_based on steps'!$B39:$U39,'changes2_based on steps'!$B$1:$U$1,AE$1)</f>
        <v>0</v>
      </c>
      <c r="AF39" s="179"/>
      <c r="AG39" s="179"/>
      <c r="AH39" s="179"/>
      <c r="AI39" s="179"/>
      <c r="AJ39" s="179"/>
      <c r="AK39" s="179"/>
      <c r="AL39" s="179"/>
      <c r="AM39" s="179"/>
    </row>
    <row r="40" spans="1:39" x14ac:dyDescent="0.2">
      <c r="A40" s="32">
        <f t="shared" ca="1" si="0"/>
        <v>45789</v>
      </c>
      <c r="B40" s="179">
        <f>SUMIFS('recurring2_based on steps'!$B40:$AY40,'recurring2_based on steps'!$B$1:$AY$1,B$1)+SUMIFS('changes2_based on steps'!$B40:$U40,'changes2_based on steps'!$B$1:$U$1,B$1)</f>
        <v>0</v>
      </c>
      <c r="C40" s="179">
        <f>SUMIFS('recurring2_based on steps'!$B40:$AY40,'recurring2_based on steps'!$B$1:$AY$1,C$1)+SUMIFS('changes2_based on steps'!$B40:$U40,'changes2_based on steps'!$B$1:$U$1,C$1)</f>
        <v>0</v>
      </c>
      <c r="D40" s="179">
        <f>SUMIFS('recurring2_based on steps'!$B40:$AY40,'recurring2_based on steps'!$B$1:$AY$1,D$1)+SUMIFS('changes2_based on steps'!$B40:$U40,'changes2_based on steps'!$B$1:$U$1,D$1)</f>
        <v>0</v>
      </c>
      <c r="E40" s="179">
        <f>SUMIFS('recurring2_based on steps'!$B40:$AY40,'recurring2_based on steps'!$B$1:$AY$1,E$1)+SUMIFS('changes2_based on steps'!$B40:$U40,'changes2_based on steps'!$B$1:$U$1,E$1)</f>
        <v>0</v>
      </c>
      <c r="F40" s="179">
        <f>SUMIFS('recurring2_based on steps'!$B40:$AY40,'recurring2_based on steps'!$B$1:$AY$1,F$1)+SUMIFS('changes2_based on steps'!$B40:$U40,'changes2_based on steps'!$B$1:$U$1,F$1)</f>
        <v>0</v>
      </c>
      <c r="G40" s="179">
        <f>SUMIFS('recurring2_based on steps'!$B40:$AY40,'recurring2_based on steps'!$B$1:$AY$1,G$1)+SUMIFS('changes2_based on steps'!$B40:$U40,'changes2_based on steps'!$B$1:$U$1,G$1)</f>
        <v>0</v>
      </c>
      <c r="H40" s="179">
        <f>SUMIFS('recurring2_based on steps'!$B40:$AY40,'recurring2_based on steps'!$B$1:$AY$1,H$1)+SUMIFS('changes2_based on steps'!$B40:$U40,'changes2_based on steps'!$B$1:$U$1,H$1)</f>
        <v>0</v>
      </c>
      <c r="I40" s="179">
        <f>SUMIFS('recurring2_based on steps'!$B40:$AY40,'recurring2_based on steps'!$B$1:$AY$1,I$1)+SUMIFS('changes2_based on steps'!$B40:$U40,'changes2_based on steps'!$B$1:$U$1,I$1)</f>
        <v>0</v>
      </c>
      <c r="J40" s="179">
        <f>SUMIFS('recurring2_based on steps'!$B40:$AY40,'recurring2_based on steps'!$B$1:$AY$1,J$1)+SUMIFS('changes2_based on steps'!$B40:$U40,'changes2_based on steps'!$B$1:$U$1,J$1)</f>
        <v>0</v>
      </c>
      <c r="K40" s="179">
        <f>SUMIFS('recurring2_based on steps'!$B40:$AY40,'recurring2_based on steps'!$B$1:$AY$1,K$1)+SUMIFS('changes2_based on steps'!$B40:$U40,'changes2_based on steps'!$B$1:$U$1,K$1)</f>
        <v>0</v>
      </c>
      <c r="L40" s="179">
        <f>SUMIFS('recurring2_based on steps'!$B40:$AY40,'recurring2_based on steps'!$B$1:$AY$1,L$1)+SUMIFS('changes2_based on steps'!$B40:$U40,'changes2_based on steps'!$B$1:$U$1,L$1)</f>
        <v>0</v>
      </c>
      <c r="M40" s="179">
        <f>SUMIFS('recurring2_based on steps'!$B40:$AY40,'recurring2_based on steps'!$B$1:$AY$1,M$1)+SUMIFS('changes2_based on steps'!$B40:$U40,'changes2_based on steps'!$B$1:$U$1,M$1)</f>
        <v>0</v>
      </c>
      <c r="N40" s="179">
        <f>SUMIFS('recurring2_based on steps'!$B40:$AY40,'recurring2_based on steps'!$B$1:$AY$1,N$1)+SUMIFS('changes2_based on steps'!$B40:$U40,'changes2_based on steps'!$B$1:$U$1,N$1)</f>
        <v>0</v>
      </c>
      <c r="O40" s="179">
        <f>SUMIFS('recurring2_based on steps'!$B40:$AY40,'recurring2_based on steps'!$B$1:$AY$1,O$1)+SUMIFS('changes2_based on steps'!$B40:$U40,'changes2_based on steps'!$B$1:$U$1,O$1)</f>
        <v>0</v>
      </c>
      <c r="P40" s="179">
        <f>SUMIFS('recurring2_based on steps'!$B40:$AY40,'recurring2_based on steps'!$B$1:$AY$1,P$1)+SUMIFS('changes2_based on steps'!$B40:$U40,'changes2_based on steps'!$B$1:$U$1,P$1)</f>
        <v>0</v>
      </c>
      <c r="Q40" s="179">
        <f>SUMIFS('recurring2_based on steps'!$B40:$AY40,'recurring2_based on steps'!$B$1:$AY$1,Q$1)+SUMIFS('changes2_based on steps'!$B40:$U40,'changes2_based on steps'!$B$1:$U$1,Q$1)</f>
        <v>0</v>
      </c>
      <c r="R40" s="179">
        <f>SUMIFS('recurring2_based on steps'!$B40:$AY40,'recurring2_based on steps'!$B$1:$AY$1,R$1)+SUMIFS('changes2_based on steps'!$B40:$U40,'changes2_based on steps'!$B$1:$U$1,R$1)</f>
        <v>0</v>
      </c>
      <c r="S40" s="179">
        <f>SUMIFS('recurring2_based on steps'!$B40:$AY40,'recurring2_based on steps'!$B$1:$AY$1,S$1)+SUMIFS('changes2_based on steps'!$B40:$U40,'changes2_based on steps'!$B$1:$U$1,S$1)</f>
        <v>0</v>
      </c>
      <c r="T40" s="179">
        <f>SUMIFS('recurring2_based on steps'!$B40:$AY40,'recurring2_based on steps'!$B$1:$AY$1,T$1)+SUMIFS('changes2_based on steps'!$B40:$U40,'changes2_based on steps'!$B$1:$U$1,T$1)</f>
        <v>0</v>
      </c>
      <c r="U40" s="179">
        <f>SUMIFS('recurring2_based on steps'!$B40:$AY40,'recurring2_based on steps'!$B$1:$AY$1,U$1)+SUMIFS('changes2_based on steps'!$B40:$U40,'changes2_based on steps'!$B$1:$U$1,U$1)</f>
        <v>0</v>
      </c>
      <c r="V40" s="179">
        <f>SUMIFS('recurring2_based on steps'!$B40:$AY40,'recurring2_based on steps'!$B$1:$AY$1,V$1)+SUMIFS('changes2_based on steps'!$B40:$U40,'changes2_based on steps'!$B$1:$U$1,V$1)</f>
        <v>0</v>
      </c>
      <c r="W40" s="179">
        <f>SUMIFS('recurring2_based on steps'!$B40:$AY40,'recurring2_based on steps'!$B$1:$AY$1,W$1)+SUMIFS('changes2_based on steps'!$B40:$U40,'changes2_based on steps'!$B$1:$U$1,W$1)</f>
        <v>0</v>
      </c>
      <c r="X40" s="179">
        <f>SUMIFS('recurring2_based on steps'!$B40:$AY40,'recurring2_based on steps'!$B$1:$AY$1,X$1)+SUMIFS('changes2_based on steps'!$B40:$U40,'changes2_based on steps'!$B$1:$U$1,X$1)</f>
        <v>0</v>
      </c>
      <c r="Y40" s="179">
        <f>SUMIFS('recurring2_based on steps'!$B40:$AY40,'recurring2_based on steps'!$B$1:$AY$1,Y$1)+SUMIFS('changes2_based on steps'!$B40:$U40,'changes2_based on steps'!$B$1:$U$1,Y$1)</f>
        <v>0</v>
      </c>
      <c r="Z40" s="179">
        <f>SUMIFS('recurring2_based on steps'!$B40:$AY40,'recurring2_based on steps'!$B$1:$AY$1,Z$1)+SUMIFS('changes2_based on steps'!$B40:$U40,'changes2_based on steps'!$B$1:$U$1,Z$1)</f>
        <v>0</v>
      </c>
      <c r="AA40" s="179">
        <f>SUMIFS('recurring2_based on steps'!$B40:$AY40,'recurring2_based on steps'!$B$1:$AY$1,AA$1)+SUMIFS('changes2_based on steps'!$B40:$U40,'changes2_based on steps'!$B$1:$U$1,AA$1)</f>
        <v>0</v>
      </c>
      <c r="AB40" s="179">
        <f>SUMIFS('recurring2_based on steps'!$B40:$AY40,'recurring2_based on steps'!$B$1:$AY$1,AB$1)+SUMIFS('changes2_based on steps'!$B40:$U40,'changes2_based on steps'!$B$1:$U$1,AB$1)</f>
        <v>0</v>
      </c>
      <c r="AC40" s="179">
        <f>SUMIFS('recurring2_based on steps'!$B40:$AY40,'recurring2_based on steps'!$B$1:$AY$1,AC$1)+SUMIFS('changes2_based on steps'!$B40:$U40,'changes2_based on steps'!$B$1:$U$1,AC$1)</f>
        <v>0</v>
      </c>
      <c r="AD40" s="179">
        <f>SUMIFS('recurring2_based on steps'!$B40:$AY40,'recurring2_based on steps'!$B$1:$AY$1,AD$1)+SUMIFS('changes2_based on steps'!$B40:$U40,'changes2_based on steps'!$B$1:$U$1,AD$1)</f>
        <v>0</v>
      </c>
      <c r="AE40" s="179">
        <f>SUMIFS('recurring2_based on steps'!$B40:$AY40,'recurring2_based on steps'!$B$1:$AY$1,AE$1)+SUMIFS('changes2_based on steps'!$B40:$U40,'changes2_based on steps'!$B$1:$U$1,AE$1)</f>
        <v>0</v>
      </c>
      <c r="AF40" s="179"/>
      <c r="AG40" s="179"/>
      <c r="AH40" s="179"/>
      <c r="AI40" s="179"/>
      <c r="AJ40" s="179"/>
      <c r="AK40" s="179"/>
      <c r="AL40" s="179"/>
      <c r="AM40" s="179"/>
    </row>
    <row r="41" spans="1:39" x14ac:dyDescent="0.2">
      <c r="A41" s="32">
        <f t="shared" ca="1" si="0"/>
        <v>45790</v>
      </c>
      <c r="B41" s="179">
        <f>SUMIFS('recurring2_based on steps'!$B41:$AY41,'recurring2_based on steps'!$B$1:$AY$1,B$1)+SUMIFS('changes2_based on steps'!$B41:$U41,'changes2_based on steps'!$B$1:$U$1,B$1)</f>
        <v>0</v>
      </c>
      <c r="C41" s="179">
        <f>SUMIFS('recurring2_based on steps'!$B41:$AY41,'recurring2_based on steps'!$B$1:$AY$1,C$1)+SUMIFS('changes2_based on steps'!$B41:$U41,'changes2_based on steps'!$B$1:$U$1,C$1)</f>
        <v>0</v>
      </c>
      <c r="D41" s="179">
        <f>SUMIFS('recurring2_based on steps'!$B41:$AY41,'recurring2_based on steps'!$B$1:$AY$1,D$1)+SUMIFS('changes2_based on steps'!$B41:$U41,'changes2_based on steps'!$B$1:$U$1,D$1)</f>
        <v>0</v>
      </c>
      <c r="E41" s="179">
        <f>SUMIFS('recurring2_based on steps'!$B41:$AY41,'recurring2_based on steps'!$B$1:$AY$1,E$1)+SUMIFS('changes2_based on steps'!$B41:$U41,'changes2_based on steps'!$B$1:$U$1,E$1)</f>
        <v>0</v>
      </c>
      <c r="F41" s="179">
        <f>SUMIFS('recurring2_based on steps'!$B41:$AY41,'recurring2_based on steps'!$B$1:$AY$1,F$1)+SUMIFS('changes2_based on steps'!$B41:$U41,'changes2_based on steps'!$B$1:$U$1,F$1)</f>
        <v>0</v>
      </c>
      <c r="G41" s="179">
        <f>SUMIFS('recurring2_based on steps'!$B41:$AY41,'recurring2_based on steps'!$B$1:$AY$1,G$1)+SUMIFS('changes2_based on steps'!$B41:$U41,'changes2_based on steps'!$B$1:$U$1,G$1)</f>
        <v>0</v>
      </c>
      <c r="H41" s="179">
        <f>SUMIFS('recurring2_based on steps'!$B41:$AY41,'recurring2_based on steps'!$B$1:$AY$1,H$1)+SUMIFS('changes2_based on steps'!$B41:$U41,'changes2_based on steps'!$B$1:$U$1,H$1)</f>
        <v>0</v>
      </c>
      <c r="I41" s="179">
        <f>SUMIFS('recurring2_based on steps'!$B41:$AY41,'recurring2_based on steps'!$B$1:$AY$1,I$1)+SUMIFS('changes2_based on steps'!$B41:$U41,'changes2_based on steps'!$B$1:$U$1,I$1)</f>
        <v>0</v>
      </c>
      <c r="J41" s="179">
        <f>SUMIFS('recurring2_based on steps'!$B41:$AY41,'recurring2_based on steps'!$B$1:$AY$1,J$1)+SUMIFS('changes2_based on steps'!$B41:$U41,'changes2_based on steps'!$B$1:$U$1,J$1)</f>
        <v>0</v>
      </c>
      <c r="K41" s="179">
        <f>SUMIFS('recurring2_based on steps'!$B41:$AY41,'recurring2_based on steps'!$B$1:$AY$1,K$1)+SUMIFS('changes2_based on steps'!$B41:$U41,'changes2_based on steps'!$B$1:$U$1,K$1)</f>
        <v>0</v>
      </c>
      <c r="L41" s="179">
        <f>SUMIFS('recurring2_based on steps'!$B41:$AY41,'recurring2_based on steps'!$B$1:$AY$1,L$1)+SUMIFS('changes2_based on steps'!$B41:$U41,'changes2_based on steps'!$B$1:$U$1,L$1)</f>
        <v>0</v>
      </c>
      <c r="M41" s="179">
        <f>SUMIFS('recurring2_based on steps'!$B41:$AY41,'recurring2_based on steps'!$B$1:$AY$1,M$1)+SUMIFS('changes2_based on steps'!$B41:$U41,'changes2_based on steps'!$B$1:$U$1,M$1)</f>
        <v>0</v>
      </c>
      <c r="N41" s="179">
        <f>SUMIFS('recurring2_based on steps'!$B41:$AY41,'recurring2_based on steps'!$B$1:$AY$1,N$1)+SUMIFS('changes2_based on steps'!$B41:$U41,'changes2_based on steps'!$B$1:$U$1,N$1)</f>
        <v>0</v>
      </c>
      <c r="O41" s="179">
        <f>SUMIFS('recurring2_based on steps'!$B41:$AY41,'recurring2_based on steps'!$B$1:$AY$1,O$1)+SUMIFS('changes2_based on steps'!$B41:$U41,'changes2_based on steps'!$B$1:$U$1,O$1)</f>
        <v>0</v>
      </c>
      <c r="P41" s="179">
        <f>SUMIFS('recurring2_based on steps'!$B41:$AY41,'recurring2_based on steps'!$B$1:$AY$1,P$1)+SUMIFS('changes2_based on steps'!$B41:$U41,'changes2_based on steps'!$B$1:$U$1,P$1)</f>
        <v>0</v>
      </c>
      <c r="Q41" s="179">
        <f>SUMIFS('recurring2_based on steps'!$B41:$AY41,'recurring2_based on steps'!$B$1:$AY$1,Q$1)+SUMIFS('changes2_based on steps'!$B41:$U41,'changes2_based on steps'!$B$1:$U$1,Q$1)</f>
        <v>0</v>
      </c>
      <c r="R41" s="179">
        <f>SUMIFS('recurring2_based on steps'!$B41:$AY41,'recurring2_based on steps'!$B$1:$AY$1,R$1)+SUMIFS('changes2_based on steps'!$B41:$U41,'changes2_based on steps'!$B$1:$U$1,R$1)</f>
        <v>0</v>
      </c>
      <c r="S41" s="179">
        <f>SUMIFS('recurring2_based on steps'!$B41:$AY41,'recurring2_based on steps'!$B$1:$AY$1,S$1)+SUMIFS('changes2_based on steps'!$B41:$U41,'changes2_based on steps'!$B$1:$U$1,S$1)</f>
        <v>0</v>
      </c>
      <c r="T41" s="179">
        <f>SUMIFS('recurring2_based on steps'!$B41:$AY41,'recurring2_based on steps'!$B$1:$AY$1,T$1)+SUMIFS('changes2_based on steps'!$B41:$U41,'changes2_based on steps'!$B$1:$U$1,T$1)</f>
        <v>0</v>
      </c>
      <c r="U41" s="179">
        <f>SUMIFS('recurring2_based on steps'!$B41:$AY41,'recurring2_based on steps'!$B$1:$AY$1,U$1)+SUMIFS('changes2_based on steps'!$B41:$U41,'changes2_based on steps'!$B$1:$U$1,U$1)</f>
        <v>0</v>
      </c>
      <c r="V41" s="179">
        <f>SUMIFS('recurring2_based on steps'!$B41:$AY41,'recurring2_based on steps'!$B$1:$AY$1,V$1)+SUMIFS('changes2_based on steps'!$B41:$U41,'changes2_based on steps'!$B$1:$U$1,V$1)</f>
        <v>0</v>
      </c>
      <c r="W41" s="179">
        <f>SUMIFS('recurring2_based on steps'!$B41:$AY41,'recurring2_based on steps'!$B$1:$AY$1,W$1)+SUMIFS('changes2_based on steps'!$B41:$U41,'changes2_based on steps'!$B$1:$U$1,W$1)</f>
        <v>0</v>
      </c>
      <c r="X41" s="179">
        <f>SUMIFS('recurring2_based on steps'!$B41:$AY41,'recurring2_based on steps'!$B$1:$AY$1,X$1)+SUMIFS('changes2_based on steps'!$B41:$U41,'changes2_based on steps'!$B$1:$U$1,X$1)</f>
        <v>0</v>
      </c>
      <c r="Y41" s="179">
        <f>SUMIFS('recurring2_based on steps'!$B41:$AY41,'recurring2_based on steps'!$B$1:$AY$1,Y$1)+SUMIFS('changes2_based on steps'!$B41:$U41,'changes2_based on steps'!$B$1:$U$1,Y$1)</f>
        <v>0</v>
      </c>
      <c r="Z41" s="179">
        <f>SUMIFS('recurring2_based on steps'!$B41:$AY41,'recurring2_based on steps'!$B$1:$AY$1,Z$1)+SUMIFS('changes2_based on steps'!$B41:$U41,'changes2_based on steps'!$B$1:$U$1,Z$1)</f>
        <v>0</v>
      </c>
      <c r="AA41" s="179">
        <f>SUMIFS('recurring2_based on steps'!$B41:$AY41,'recurring2_based on steps'!$B$1:$AY$1,AA$1)+SUMIFS('changes2_based on steps'!$B41:$U41,'changes2_based on steps'!$B$1:$U$1,AA$1)</f>
        <v>0</v>
      </c>
      <c r="AB41" s="179">
        <f>SUMIFS('recurring2_based on steps'!$B41:$AY41,'recurring2_based on steps'!$B$1:$AY$1,AB$1)+SUMIFS('changes2_based on steps'!$B41:$U41,'changes2_based on steps'!$B$1:$U$1,AB$1)</f>
        <v>0</v>
      </c>
      <c r="AC41" s="179">
        <f>SUMIFS('recurring2_based on steps'!$B41:$AY41,'recurring2_based on steps'!$B$1:$AY$1,AC$1)+SUMIFS('changes2_based on steps'!$B41:$U41,'changes2_based on steps'!$B$1:$U$1,AC$1)</f>
        <v>0</v>
      </c>
      <c r="AD41" s="179">
        <f>SUMIFS('recurring2_based on steps'!$B41:$AY41,'recurring2_based on steps'!$B$1:$AY$1,AD$1)+SUMIFS('changes2_based on steps'!$B41:$U41,'changes2_based on steps'!$B$1:$U$1,AD$1)</f>
        <v>0</v>
      </c>
      <c r="AE41" s="179">
        <f>SUMIFS('recurring2_based on steps'!$B41:$AY41,'recurring2_based on steps'!$B$1:$AY$1,AE$1)+SUMIFS('changes2_based on steps'!$B41:$U41,'changes2_based on steps'!$B$1:$U$1,AE$1)</f>
        <v>0</v>
      </c>
      <c r="AF41" s="179"/>
      <c r="AG41" s="179"/>
      <c r="AH41" s="179"/>
      <c r="AI41" s="179"/>
      <c r="AJ41" s="179"/>
      <c r="AK41" s="179"/>
      <c r="AL41" s="179"/>
      <c r="AM41" s="179"/>
    </row>
    <row r="42" spans="1:39" x14ac:dyDescent="0.2">
      <c r="A42" s="32">
        <f t="shared" ca="1" si="0"/>
        <v>45791</v>
      </c>
      <c r="B42" s="179">
        <f>SUMIFS('recurring2_based on steps'!$B42:$AY42,'recurring2_based on steps'!$B$1:$AY$1,B$1)+SUMIFS('changes2_based on steps'!$B42:$U42,'changes2_based on steps'!$B$1:$U$1,B$1)</f>
        <v>0</v>
      </c>
      <c r="C42" s="179">
        <f>SUMIFS('recurring2_based on steps'!$B42:$AY42,'recurring2_based on steps'!$B$1:$AY$1,C$1)+SUMIFS('changes2_based on steps'!$B42:$U42,'changes2_based on steps'!$B$1:$U$1,C$1)</f>
        <v>0</v>
      </c>
      <c r="D42" s="179">
        <f>SUMIFS('recurring2_based on steps'!$B42:$AY42,'recurring2_based on steps'!$B$1:$AY$1,D$1)+SUMIFS('changes2_based on steps'!$B42:$U42,'changes2_based on steps'!$B$1:$U$1,D$1)</f>
        <v>0</v>
      </c>
      <c r="E42" s="179">
        <f>SUMIFS('recurring2_based on steps'!$B42:$AY42,'recurring2_based on steps'!$B$1:$AY$1,E$1)+SUMIFS('changes2_based on steps'!$B42:$U42,'changes2_based on steps'!$B$1:$U$1,E$1)</f>
        <v>0</v>
      </c>
      <c r="F42" s="179">
        <f>SUMIFS('recurring2_based on steps'!$B42:$AY42,'recurring2_based on steps'!$B$1:$AY$1,F$1)+SUMIFS('changes2_based on steps'!$B42:$U42,'changes2_based on steps'!$B$1:$U$1,F$1)</f>
        <v>0</v>
      </c>
      <c r="G42" s="179">
        <f>SUMIFS('recurring2_based on steps'!$B42:$AY42,'recurring2_based on steps'!$B$1:$AY$1,G$1)+SUMIFS('changes2_based on steps'!$B42:$U42,'changes2_based on steps'!$B$1:$U$1,G$1)</f>
        <v>0</v>
      </c>
      <c r="H42" s="179">
        <f>SUMIFS('recurring2_based on steps'!$B42:$AY42,'recurring2_based on steps'!$B$1:$AY$1,H$1)+SUMIFS('changes2_based on steps'!$B42:$U42,'changes2_based on steps'!$B$1:$U$1,H$1)</f>
        <v>0</v>
      </c>
      <c r="I42" s="179">
        <f>SUMIFS('recurring2_based on steps'!$B42:$AY42,'recurring2_based on steps'!$B$1:$AY$1,I$1)+SUMIFS('changes2_based on steps'!$B42:$U42,'changes2_based on steps'!$B$1:$U$1,I$1)</f>
        <v>0</v>
      </c>
      <c r="J42" s="179">
        <f>SUMIFS('recurring2_based on steps'!$B42:$AY42,'recurring2_based on steps'!$B$1:$AY$1,J$1)+SUMIFS('changes2_based on steps'!$B42:$U42,'changes2_based on steps'!$B$1:$U$1,J$1)</f>
        <v>0</v>
      </c>
      <c r="K42" s="179">
        <f>SUMIFS('recurring2_based on steps'!$B42:$AY42,'recurring2_based on steps'!$B$1:$AY$1,K$1)+SUMIFS('changes2_based on steps'!$B42:$U42,'changes2_based on steps'!$B$1:$U$1,K$1)</f>
        <v>0</v>
      </c>
      <c r="L42" s="179">
        <f>SUMIFS('recurring2_based on steps'!$B42:$AY42,'recurring2_based on steps'!$B$1:$AY$1,L$1)+SUMIFS('changes2_based on steps'!$B42:$U42,'changes2_based on steps'!$B$1:$U$1,L$1)</f>
        <v>0</v>
      </c>
      <c r="M42" s="179">
        <f>SUMIFS('recurring2_based on steps'!$B42:$AY42,'recurring2_based on steps'!$B$1:$AY$1,M$1)+SUMIFS('changes2_based on steps'!$B42:$U42,'changes2_based on steps'!$B$1:$U$1,M$1)</f>
        <v>0</v>
      </c>
      <c r="N42" s="179">
        <f>SUMIFS('recurring2_based on steps'!$B42:$AY42,'recurring2_based on steps'!$B$1:$AY$1,N$1)+SUMIFS('changes2_based on steps'!$B42:$U42,'changes2_based on steps'!$B$1:$U$1,N$1)</f>
        <v>0</v>
      </c>
      <c r="O42" s="179">
        <f>SUMIFS('recurring2_based on steps'!$B42:$AY42,'recurring2_based on steps'!$B$1:$AY$1,O$1)+SUMIFS('changes2_based on steps'!$B42:$U42,'changes2_based on steps'!$B$1:$U$1,O$1)</f>
        <v>0</v>
      </c>
      <c r="P42" s="179">
        <f>SUMIFS('recurring2_based on steps'!$B42:$AY42,'recurring2_based on steps'!$B$1:$AY$1,P$1)+SUMIFS('changes2_based on steps'!$B42:$U42,'changes2_based on steps'!$B$1:$U$1,P$1)</f>
        <v>0</v>
      </c>
      <c r="Q42" s="179">
        <f>SUMIFS('recurring2_based on steps'!$B42:$AY42,'recurring2_based on steps'!$B$1:$AY$1,Q$1)+SUMIFS('changes2_based on steps'!$B42:$U42,'changes2_based on steps'!$B$1:$U$1,Q$1)</f>
        <v>0</v>
      </c>
      <c r="R42" s="179">
        <f>SUMIFS('recurring2_based on steps'!$B42:$AY42,'recurring2_based on steps'!$B$1:$AY$1,R$1)+SUMIFS('changes2_based on steps'!$B42:$U42,'changes2_based on steps'!$B$1:$U$1,R$1)</f>
        <v>0</v>
      </c>
      <c r="S42" s="179">
        <f>SUMIFS('recurring2_based on steps'!$B42:$AY42,'recurring2_based on steps'!$B$1:$AY$1,S$1)+SUMIFS('changes2_based on steps'!$B42:$U42,'changes2_based on steps'!$B$1:$U$1,S$1)</f>
        <v>0</v>
      </c>
      <c r="T42" s="179">
        <f>SUMIFS('recurring2_based on steps'!$B42:$AY42,'recurring2_based on steps'!$B$1:$AY$1,T$1)+SUMIFS('changes2_based on steps'!$B42:$U42,'changes2_based on steps'!$B$1:$U$1,T$1)</f>
        <v>0</v>
      </c>
      <c r="U42" s="179">
        <f>SUMIFS('recurring2_based on steps'!$B42:$AY42,'recurring2_based on steps'!$B$1:$AY$1,U$1)+SUMIFS('changes2_based on steps'!$B42:$U42,'changes2_based on steps'!$B$1:$U$1,U$1)</f>
        <v>0</v>
      </c>
      <c r="V42" s="179">
        <f>SUMIFS('recurring2_based on steps'!$B42:$AY42,'recurring2_based on steps'!$B$1:$AY$1,V$1)+SUMIFS('changes2_based on steps'!$B42:$U42,'changes2_based on steps'!$B$1:$U$1,V$1)</f>
        <v>0</v>
      </c>
      <c r="W42" s="179">
        <f>SUMIFS('recurring2_based on steps'!$B42:$AY42,'recurring2_based on steps'!$B$1:$AY$1,W$1)+SUMIFS('changes2_based on steps'!$B42:$U42,'changes2_based on steps'!$B$1:$U$1,W$1)</f>
        <v>0</v>
      </c>
      <c r="X42" s="179">
        <f>SUMIFS('recurring2_based on steps'!$B42:$AY42,'recurring2_based on steps'!$B$1:$AY$1,X$1)+SUMIFS('changes2_based on steps'!$B42:$U42,'changes2_based on steps'!$B$1:$U$1,X$1)</f>
        <v>0</v>
      </c>
      <c r="Y42" s="179">
        <f>SUMIFS('recurring2_based on steps'!$B42:$AY42,'recurring2_based on steps'!$B$1:$AY$1,Y$1)+SUMIFS('changes2_based on steps'!$B42:$U42,'changes2_based on steps'!$B$1:$U$1,Y$1)</f>
        <v>0</v>
      </c>
      <c r="Z42" s="179">
        <f>SUMIFS('recurring2_based on steps'!$B42:$AY42,'recurring2_based on steps'!$B$1:$AY$1,Z$1)+SUMIFS('changes2_based on steps'!$B42:$U42,'changes2_based on steps'!$B$1:$U$1,Z$1)</f>
        <v>0</v>
      </c>
      <c r="AA42" s="179">
        <f>SUMIFS('recurring2_based on steps'!$B42:$AY42,'recurring2_based on steps'!$B$1:$AY$1,AA$1)+SUMIFS('changes2_based on steps'!$B42:$U42,'changes2_based on steps'!$B$1:$U$1,AA$1)</f>
        <v>0</v>
      </c>
      <c r="AB42" s="179">
        <f>SUMIFS('recurring2_based on steps'!$B42:$AY42,'recurring2_based on steps'!$B$1:$AY$1,AB$1)+SUMIFS('changes2_based on steps'!$B42:$U42,'changes2_based on steps'!$B$1:$U$1,AB$1)</f>
        <v>0</v>
      </c>
      <c r="AC42" s="179">
        <f>SUMIFS('recurring2_based on steps'!$B42:$AY42,'recurring2_based on steps'!$B$1:$AY$1,AC$1)+SUMIFS('changes2_based on steps'!$B42:$U42,'changes2_based on steps'!$B$1:$U$1,AC$1)</f>
        <v>0</v>
      </c>
      <c r="AD42" s="179">
        <f>SUMIFS('recurring2_based on steps'!$B42:$AY42,'recurring2_based on steps'!$B$1:$AY$1,AD$1)+SUMIFS('changes2_based on steps'!$B42:$U42,'changes2_based on steps'!$B$1:$U$1,AD$1)</f>
        <v>0</v>
      </c>
      <c r="AE42" s="179">
        <f>SUMIFS('recurring2_based on steps'!$B42:$AY42,'recurring2_based on steps'!$B$1:$AY$1,AE$1)+SUMIFS('changes2_based on steps'!$B42:$U42,'changes2_based on steps'!$B$1:$U$1,AE$1)</f>
        <v>0</v>
      </c>
      <c r="AF42" s="179"/>
      <c r="AG42" s="179"/>
      <c r="AH42" s="179"/>
      <c r="AI42" s="179"/>
      <c r="AJ42" s="179"/>
      <c r="AK42" s="179"/>
      <c r="AL42" s="179"/>
      <c r="AM42" s="179"/>
    </row>
    <row r="43" spans="1:39" x14ac:dyDescent="0.2">
      <c r="A43" s="32">
        <f t="shared" ca="1" si="0"/>
        <v>45792</v>
      </c>
      <c r="B43" s="179">
        <f>SUMIFS('recurring2_based on steps'!$B43:$AY43,'recurring2_based on steps'!$B$1:$AY$1,B$1)+SUMIFS('changes2_based on steps'!$B43:$U43,'changes2_based on steps'!$B$1:$U$1,B$1)</f>
        <v>0</v>
      </c>
      <c r="C43" s="179">
        <f>SUMIFS('recurring2_based on steps'!$B43:$AY43,'recurring2_based on steps'!$B$1:$AY$1,C$1)+SUMIFS('changes2_based on steps'!$B43:$U43,'changes2_based on steps'!$B$1:$U$1,C$1)</f>
        <v>0</v>
      </c>
      <c r="D43" s="179">
        <f>SUMIFS('recurring2_based on steps'!$B43:$AY43,'recurring2_based on steps'!$B$1:$AY$1,D$1)+SUMIFS('changes2_based on steps'!$B43:$U43,'changes2_based on steps'!$B$1:$U$1,D$1)</f>
        <v>0</v>
      </c>
      <c r="E43" s="179">
        <f>SUMIFS('recurring2_based on steps'!$B43:$AY43,'recurring2_based on steps'!$B$1:$AY$1,E$1)+SUMIFS('changes2_based on steps'!$B43:$U43,'changes2_based on steps'!$B$1:$U$1,E$1)</f>
        <v>0</v>
      </c>
      <c r="F43" s="179">
        <f>SUMIFS('recurring2_based on steps'!$B43:$AY43,'recurring2_based on steps'!$B$1:$AY$1,F$1)+SUMIFS('changes2_based on steps'!$B43:$U43,'changes2_based on steps'!$B$1:$U$1,F$1)</f>
        <v>0</v>
      </c>
      <c r="G43" s="179">
        <f>SUMIFS('recurring2_based on steps'!$B43:$AY43,'recurring2_based on steps'!$B$1:$AY$1,G$1)+SUMIFS('changes2_based on steps'!$B43:$U43,'changes2_based on steps'!$B$1:$U$1,G$1)</f>
        <v>0</v>
      </c>
      <c r="H43" s="179">
        <f>SUMIFS('recurring2_based on steps'!$B43:$AY43,'recurring2_based on steps'!$B$1:$AY$1,H$1)+SUMIFS('changes2_based on steps'!$B43:$U43,'changes2_based on steps'!$B$1:$U$1,H$1)</f>
        <v>0</v>
      </c>
      <c r="I43" s="179">
        <f>SUMIFS('recurring2_based on steps'!$B43:$AY43,'recurring2_based on steps'!$B$1:$AY$1,I$1)+SUMIFS('changes2_based on steps'!$B43:$U43,'changes2_based on steps'!$B$1:$U$1,I$1)</f>
        <v>0</v>
      </c>
      <c r="J43" s="179">
        <f>SUMIFS('recurring2_based on steps'!$B43:$AY43,'recurring2_based on steps'!$B$1:$AY$1,J$1)+SUMIFS('changes2_based on steps'!$B43:$U43,'changes2_based on steps'!$B$1:$U$1,J$1)</f>
        <v>0</v>
      </c>
      <c r="K43" s="179">
        <f>SUMIFS('recurring2_based on steps'!$B43:$AY43,'recurring2_based on steps'!$B$1:$AY$1,K$1)+SUMIFS('changes2_based on steps'!$B43:$U43,'changes2_based on steps'!$B$1:$U$1,K$1)</f>
        <v>0</v>
      </c>
      <c r="L43" s="179">
        <f>SUMIFS('recurring2_based on steps'!$B43:$AY43,'recurring2_based on steps'!$B$1:$AY$1,L$1)+SUMIFS('changes2_based on steps'!$B43:$U43,'changes2_based on steps'!$B$1:$U$1,L$1)</f>
        <v>0</v>
      </c>
      <c r="M43" s="179">
        <f>SUMIFS('recurring2_based on steps'!$B43:$AY43,'recurring2_based on steps'!$B$1:$AY$1,M$1)+SUMIFS('changes2_based on steps'!$B43:$U43,'changes2_based on steps'!$B$1:$U$1,M$1)</f>
        <v>0</v>
      </c>
      <c r="N43" s="179">
        <f>SUMIFS('recurring2_based on steps'!$B43:$AY43,'recurring2_based on steps'!$B$1:$AY$1,N$1)+SUMIFS('changes2_based on steps'!$B43:$U43,'changes2_based on steps'!$B$1:$U$1,N$1)</f>
        <v>0</v>
      </c>
      <c r="O43" s="179">
        <f>SUMIFS('recurring2_based on steps'!$B43:$AY43,'recurring2_based on steps'!$B$1:$AY$1,O$1)+SUMIFS('changes2_based on steps'!$B43:$U43,'changes2_based on steps'!$B$1:$U$1,O$1)</f>
        <v>0</v>
      </c>
      <c r="P43" s="179">
        <f>SUMIFS('recurring2_based on steps'!$B43:$AY43,'recurring2_based on steps'!$B$1:$AY$1,P$1)+SUMIFS('changes2_based on steps'!$B43:$U43,'changes2_based on steps'!$B$1:$U$1,P$1)</f>
        <v>0</v>
      </c>
      <c r="Q43" s="179">
        <f>SUMIFS('recurring2_based on steps'!$B43:$AY43,'recurring2_based on steps'!$B$1:$AY$1,Q$1)+SUMIFS('changes2_based on steps'!$B43:$U43,'changes2_based on steps'!$B$1:$U$1,Q$1)</f>
        <v>0</v>
      </c>
      <c r="R43" s="179">
        <f>SUMIFS('recurring2_based on steps'!$B43:$AY43,'recurring2_based on steps'!$B$1:$AY$1,R$1)+SUMIFS('changes2_based on steps'!$B43:$U43,'changes2_based on steps'!$B$1:$U$1,R$1)</f>
        <v>0</v>
      </c>
      <c r="S43" s="179">
        <f>SUMIFS('recurring2_based on steps'!$B43:$AY43,'recurring2_based on steps'!$B$1:$AY$1,S$1)+SUMIFS('changes2_based on steps'!$B43:$U43,'changes2_based on steps'!$B$1:$U$1,S$1)</f>
        <v>0</v>
      </c>
      <c r="T43" s="179">
        <f>SUMIFS('recurring2_based on steps'!$B43:$AY43,'recurring2_based on steps'!$B$1:$AY$1,T$1)+SUMIFS('changes2_based on steps'!$B43:$U43,'changes2_based on steps'!$B$1:$U$1,T$1)</f>
        <v>0</v>
      </c>
      <c r="U43" s="179">
        <f>SUMIFS('recurring2_based on steps'!$B43:$AY43,'recurring2_based on steps'!$B$1:$AY$1,U$1)+SUMIFS('changes2_based on steps'!$B43:$U43,'changes2_based on steps'!$B$1:$U$1,U$1)</f>
        <v>0</v>
      </c>
      <c r="V43" s="179">
        <f>SUMIFS('recurring2_based on steps'!$B43:$AY43,'recurring2_based on steps'!$B$1:$AY$1,V$1)+SUMIFS('changes2_based on steps'!$B43:$U43,'changes2_based on steps'!$B$1:$U$1,V$1)</f>
        <v>0</v>
      </c>
      <c r="W43" s="179">
        <f>SUMIFS('recurring2_based on steps'!$B43:$AY43,'recurring2_based on steps'!$B$1:$AY$1,W$1)+SUMIFS('changes2_based on steps'!$B43:$U43,'changes2_based on steps'!$B$1:$U$1,W$1)</f>
        <v>0</v>
      </c>
      <c r="X43" s="179">
        <f>SUMIFS('recurring2_based on steps'!$B43:$AY43,'recurring2_based on steps'!$B$1:$AY$1,X$1)+SUMIFS('changes2_based on steps'!$B43:$U43,'changes2_based on steps'!$B$1:$U$1,X$1)</f>
        <v>0</v>
      </c>
      <c r="Y43" s="179">
        <f>SUMIFS('recurring2_based on steps'!$B43:$AY43,'recurring2_based on steps'!$B$1:$AY$1,Y$1)+SUMIFS('changes2_based on steps'!$B43:$U43,'changes2_based on steps'!$B$1:$U$1,Y$1)</f>
        <v>0</v>
      </c>
      <c r="Z43" s="179">
        <f>SUMIFS('recurring2_based on steps'!$B43:$AY43,'recurring2_based on steps'!$B$1:$AY$1,Z$1)+SUMIFS('changes2_based on steps'!$B43:$U43,'changes2_based on steps'!$B$1:$U$1,Z$1)</f>
        <v>0</v>
      </c>
      <c r="AA43" s="179">
        <f>SUMIFS('recurring2_based on steps'!$B43:$AY43,'recurring2_based on steps'!$B$1:$AY$1,AA$1)+SUMIFS('changes2_based on steps'!$B43:$U43,'changes2_based on steps'!$B$1:$U$1,AA$1)</f>
        <v>0</v>
      </c>
      <c r="AB43" s="179">
        <f>SUMIFS('recurring2_based on steps'!$B43:$AY43,'recurring2_based on steps'!$B$1:$AY$1,AB$1)+SUMIFS('changes2_based on steps'!$B43:$U43,'changes2_based on steps'!$B$1:$U$1,AB$1)</f>
        <v>0</v>
      </c>
      <c r="AC43" s="179">
        <f>SUMIFS('recurring2_based on steps'!$B43:$AY43,'recurring2_based on steps'!$B$1:$AY$1,AC$1)+SUMIFS('changes2_based on steps'!$B43:$U43,'changes2_based on steps'!$B$1:$U$1,AC$1)</f>
        <v>0</v>
      </c>
      <c r="AD43" s="179">
        <f>SUMIFS('recurring2_based on steps'!$B43:$AY43,'recurring2_based on steps'!$B$1:$AY$1,AD$1)+SUMIFS('changes2_based on steps'!$B43:$U43,'changes2_based on steps'!$B$1:$U$1,AD$1)</f>
        <v>0</v>
      </c>
      <c r="AE43" s="179">
        <f>SUMIFS('recurring2_based on steps'!$B43:$AY43,'recurring2_based on steps'!$B$1:$AY$1,AE$1)+SUMIFS('changes2_based on steps'!$B43:$U43,'changes2_based on steps'!$B$1:$U$1,AE$1)</f>
        <v>0</v>
      </c>
      <c r="AF43" s="179"/>
      <c r="AG43" s="179"/>
      <c r="AH43" s="179"/>
      <c r="AI43" s="179"/>
      <c r="AJ43" s="179"/>
      <c r="AK43" s="179"/>
      <c r="AL43" s="179"/>
      <c r="AM43" s="179"/>
    </row>
    <row r="44" spans="1:39" x14ac:dyDescent="0.2">
      <c r="A44" s="32">
        <f t="shared" ca="1" si="0"/>
        <v>45793</v>
      </c>
      <c r="B44" s="179">
        <f>SUMIFS('recurring2_based on steps'!$B44:$AY44,'recurring2_based on steps'!$B$1:$AY$1,B$1)+SUMIFS('changes2_based on steps'!$B44:$U44,'changes2_based on steps'!$B$1:$U$1,B$1)</f>
        <v>0</v>
      </c>
      <c r="C44" s="179">
        <f>SUMIFS('recurring2_based on steps'!$B44:$AY44,'recurring2_based on steps'!$B$1:$AY$1,C$1)+SUMIFS('changes2_based on steps'!$B44:$U44,'changes2_based on steps'!$B$1:$U$1,C$1)</f>
        <v>0</v>
      </c>
      <c r="D44" s="179">
        <f>SUMIFS('recurring2_based on steps'!$B44:$AY44,'recurring2_based on steps'!$B$1:$AY$1,D$1)+SUMIFS('changes2_based on steps'!$B44:$U44,'changes2_based on steps'!$B$1:$U$1,D$1)</f>
        <v>0</v>
      </c>
      <c r="E44" s="179">
        <f>SUMIFS('recurring2_based on steps'!$B44:$AY44,'recurring2_based on steps'!$B$1:$AY$1,E$1)+SUMIFS('changes2_based on steps'!$B44:$U44,'changes2_based on steps'!$B$1:$U$1,E$1)</f>
        <v>0</v>
      </c>
      <c r="F44" s="179">
        <f>SUMIFS('recurring2_based on steps'!$B44:$AY44,'recurring2_based on steps'!$B$1:$AY$1,F$1)+SUMIFS('changes2_based on steps'!$B44:$U44,'changes2_based on steps'!$B$1:$U$1,F$1)</f>
        <v>0</v>
      </c>
      <c r="G44" s="179">
        <f>SUMIFS('recurring2_based on steps'!$B44:$AY44,'recurring2_based on steps'!$B$1:$AY$1,G$1)+SUMIFS('changes2_based on steps'!$B44:$U44,'changes2_based on steps'!$B$1:$U$1,G$1)</f>
        <v>0</v>
      </c>
      <c r="H44" s="179">
        <f>SUMIFS('recurring2_based on steps'!$B44:$AY44,'recurring2_based on steps'!$B$1:$AY$1,H$1)+SUMIFS('changes2_based on steps'!$B44:$U44,'changes2_based on steps'!$B$1:$U$1,H$1)</f>
        <v>0</v>
      </c>
      <c r="I44" s="179">
        <f>SUMIFS('recurring2_based on steps'!$B44:$AY44,'recurring2_based on steps'!$B$1:$AY$1,I$1)+SUMIFS('changes2_based on steps'!$B44:$U44,'changes2_based on steps'!$B$1:$U$1,I$1)</f>
        <v>0</v>
      </c>
      <c r="J44" s="179">
        <f>SUMIFS('recurring2_based on steps'!$B44:$AY44,'recurring2_based on steps'!$B$1:$AY$1,J$1)+SUMIFS('changes2_based on steps'!$B44:$U44,'changes2_based on steps'!$B$1:$U$1,J$1)</f>
        <v>0</v>
      </c>
      <c r="K44" s="179">
        <f>SUMIFS('recurring2_based on steps'!$B44:$AY44,'recurring2_based on steps'!$B$1:$AY$1,K$1)+SUMIFS('changes2_based on steps'!$B44:$U44,'changes2_based on steps'!$B$1:$U$1,K$1)</f>
        <v>0</v>
      </c>
      <c r="L44" s="179">
        <f>SUMIFS('recurring2_based on steps'!$B44:$AY44,'recurring2_based on steps'!$B$1:$AY$1,L$1)+SUMIFS('changes2_based on steps'!$B44:$U44,'changes2_based on steps'!$B$1:$U$1,L$1)</f>
        <v>0</v>
      </c>
      <c r="M44" s="179">
        <f>SUMIFS('recurring2_based on steps'!$B44:$AY44,'recurring2_based on steps'!$B$1:$AY$1,M$1)+SUMIFS('changes2_based on steps'!$B44:$U44,'changes2_based on steps'!$B$1:$U$1,M$1)</f>
        <v>0</v>
      </c>
      <c r="N44" s="179">
        <f>SUMIFS('recurring2_based on steps'!$B44:$AY44,'recurring2_based on steps'!$B$1:$AY$1,N$1)+SUMIFS('changes2_based on steps'!$B44:$U44,'changes2_based on steps'!$B$1:$U$1,N$1)</f>
        <v>0</v>
      </c>
      <c r="O44" s="179">
        <f>SUMIFS('recurring2_based on steps'!$B44:$AY44,'recurring2_based on steps'!$B$1:$AY$1,O$1)+SUMIFS('changes2_based on steps'!$B44:$U44,'changes2_based on steps'!$B$1:$U$1,O$1)</f>
        <v>0</v>
      </c>
      <c r="P44" s="179">
        <f>SUMIFS('recurring2_based on steps'!$B44:$AY44,'recurring2_based on steps'!$B$1:$AY$1,P$1)+SUMIFS('changes2_based on steps'!$B44:$U44,'changes2_based on steps'!$B$1:$U$1,P$1)</f>
        <v>0</v>
      </c>
      <c r="Q44" s="179">
        <f>SUMIFS('recurring2_based on steps'!$B44:$AY44,'recurring2_based on steps'!$B$1:$AY$1,Q$1)+SUMIFS('changes2_based on steps'!$B44:$U44,'changes2_based on steps'!$B$1:$U$1,Q$1)</f>
        <v>0</v>
      </c>
      <c r="R44" s="179">
        <f>SUMIFS('recurring2_based on steps'!$B44:$AY44,'recurring2_based on steps'!$B$1:$AY$1,R$1)+SUMIFS('changes2_based on steps'!$B44:$U44,'changes2_based on steps'!$B$1:$U$1,R$1)</f>
        <v>0</v>
      </c>
      <c r="S44" s="179">
        <f>SUMIFS('recurring2_based on steps'!$B44:$AY44,'recurring2_based on steps'!$B$1:$AY$1,S$1)+SUMIFS('changes2_based on steps'!$B44:$U44,'changes2_based on steps'!$B$1:$U$1,S$1)</f>
        <v>0</v>
      </c>
      <c r="T44" s="179">
        <f>SUMIFS('recurring2_based on steps'!$B44:$AY44,'recurring2_based on steps'!$B$1:$AY$1,T$1)+SUMIFS('changes2_based on steps'!$B44:$U44,'changes2_based on steps'!$B$1:$U$1,T$1)</f>
        <v>0</v>
      </c>
      <c r="U44" s="179">
        <f>SUMIFS('recurring2_based on steps'!$B44:$AY44,'recurring2_based on steps'!$B$1:$AY$1,U$1)+SUMIFS('changes2_based on steps'!$B44:$U44,'changes2_based on steps'!$B$1:$U$1,U$1)</f>
        <v>0</v>
      </c>
      <c r="V44" s="179">
        <f>SUMIFS('recurring2_based on steps'!$B44:$AY44,'recurring2_based on steps'!$B$1:$AY$1,V$1)+SUMIFS('changes2_based on steps'!$B44:$U44,'changes2_based on steps'!$B$1:$U$1,V$1)</f>
        <v>0</v>
      </c>
      <c r="W44" s="179">
        <f>SUMIFS('recurring2_based on steps'!$B44:$AY44,'recurring2_based on steps'!$B$1:$AY$1,W$1)+SUMIFS('changes2_based on steps'!$B44:$U44,'changes2_based on steps'!$B$1:$U$1,W$1)</f>
        <v>0</v>
      </c>
      <c r="X44" s="179">
        <f>SUMIFS('recurring2_based on steps'!$B44:$AY44,'recurring2_based on steps'!$B$1:$AY$1,X$1)+SUMIFS('changes2_based on steps'!$B44:$U44,'changes2_based on steps'!$B$1:$U$1,X$1)</f>
        <v>0</v>
      </c>
      <c r="Y44" s="179">
        <f>SUMIFS('recurring2_based on steps'!$B44:$AY44,'recurring2_based on steps'!$B$1:$AY$1,Y$1)+SUMIFS('changes2_based on steps'!$B44:$U44,'changes2_based on steps'!$B$1:$U$1,Y$1)</f>
        <v>0</v>
      </c>
      <c r="Z44" s="179">
        <f>SUMIFS('recurring2_based on steps'!$B44:$AY44,'recurring2_based on steps'!$B$1:$AY$1,Z$1)+SUMIFS('changes2_based on steps'!$B44:$U44,'changes2_based on steps'!$B$1:$U$1,Z$1)</f>
        <v>0</v>
      </c>
      <c r="AA44" s="179">
        <f>SUMIFS('recurring2_based on steps'!$B44:$AY44,'recurring2_based on steps'!$B$1:$AY$1,AA$1)+SUMIFS('changes2_based on steps'!$B44:$U44,'changes2_based on steps'!$B$1:$U$1,AA$1)</f>
        <v>0</v>
      </c>
      <c r="AB44" s="179">
        <f>SUMIFS('recurring2_based on steps'!$B44:$AY44,'recurring2_based on steps'!$B$1:$AY$1,AB$1)+SUMIFS('changes2_based on steps'!$B44:$U44,'changes2_based on steps'!$B$1:$U$1,AB$1)</f>
        <v>0</v>
      </c>
      <c r="AC44" s="179">
        <f>SUMIFS('recurring2_based on steps'!$B44:$AY44,'recurring2_based on steps'!$B$1:$AY$1,AC$1)+SUMIFS('changes2_based on steps'!$B44:$U44,'changes2_based on steps'!$B$1:$U$1,AC$1)</f>
        <v>0</v>
      </c>
      <c r="AD44" s="179">
        <f>SUMIFS('recurring2_based on steps'!$B44:$AY44,'recurring2_based on steps'!$B$1:$AY$1,AD$1)+SUMIFS('changes2_based on steps'!$B44:$U44,'changes2_based on steps'!$B$1:$U$1,AD$1)</f>
        <v>0</v>
      </c>
      <c r="AE44" s="179">
        <f>SUMIFS('recurring2_based on steps'!$B44:$AY44,'recurring2_based on steps'!$B$1:$AY$1,AE$1)+SUMIFS('changes2_based on steps'!$B44:$U44,'changes2_based on steps'!$B$1:$U$1,AE$1)</f>
        <v>0</v>
      </c>
      <c r="AF44" s="179"/>
      <c r="AG44" s="179"/>
      <c r="AH44" s="179"/>
      <c r="AI44" s="179"/>
      <c r="AJ44" s="179"/>
      <c r="AK44" s="179"/>
      <c r="AL44" s="179"/>
      <c r="AM44" s="179"/>
    </row>
    <row r="45" spans="1:39" x14ac:dyDescent="0.2">
      <c r="A45" s="32">
        <f t="shared" ca="1" si="0"/>
        <v>45794</v>
      </c>
      <c r="B45" s="179">
        <f>SUMIFS('recurring2_based on steps'!$B45:$AY45,'recurring2_based on steps'!$B$1:$AY$1,B$1)+SUMIFS('changes2_based on steps'!$B45:$U45,'changes2_based on steps'!$B$1:$U$1,B$1)</f>
        <v>0</v>
      </c>
      <c r="C45" s="179">
        <f>SUMIFS('recurring2_based on steps'!$B45:$AY45,'recurring2_based on steps'!$B$1:$AY$1,C$1)+SUMIFS('changes2_based on steps'!$B45:$U45,'changes2_based on steps'!$B$1:$U$1,C$1)</f>
        <v>0</v>
      </c>
      <c r="D45" s="179">
        <f>SUMIFS('recurring2_based on steps'!$B45:$AY45,'recurring2_based on steps'!$B$1:$AY$1,D$1)+SUMIFS('changes2_based on steps'!$B45:$U45,'changes2_based on steps'!$B$1:$U$1,D$1)</f>
        <v>0</v>
      </c>
      <c r="E45" s="179">
        <f>SUMIFS('recurring2_based on steps'!$B45:$AY45,'recurring2_based on steps'!$B$1:$AY$1,E$1)+SUMIFS('changes2_based on steps'!$B45:$U45,'changes2_based on steps'!$B$1:$U$1,E$1)</f>
        <v>0</v>
      </c>
      <c r="F45" s="179">
        <f>SUMIFS('recurring2_based on steps'!$B45:$AY45,'recurring2_based on steps'!$B$1:$AY$1,F$1)+SUMIFS('changes2_based on steps'!$B45:$U45,'changes2_based on steps'!$B$1:$U$1,F$1)</f>
        <v>0</v>
      </c>
      <c r="G45" s="179">
        <f>SUMIFS('recurring2_based on steps'!$B45:$AY45,'recurring2_based on steps'!$B$1:$AY$1,G$1)+SUMIFS('changes2_based on steps'!$B45:$U45,'changes2_based on steps'!$B$1:$U$1,G$1)</f>
        <v>0</v>
      </c>
      <c r="H45" s="179">
        <f>SUMIFS('recurring2_based on steps'!$B45:$AY45,'recurring2_based on steps'!$B$1:$AY$1,H$1)+SUMIFS('changes2_based on steps'!$B45:$U45,'changes2_based on steps'!$B$1:$U$1,H$1)</f>
        <v>0</v>
      </c>
      <c r="I45" s="179">
        <f>SUMIFS('recurring2_based on steps'!$B45:$AY45,'recurring2_based on steps'!$B$1:$AY$1,I$1)+SUMIFS('changes2_based on steps'!$B45:$U45,'changes2_based on steps'!$B$1:$U$1,I$1)</f>
        <v>0</v>
      </c>
      <c r="J45" s="179">
        <f>SUMIFS('recurring2_based on steps'!$B45:$AY45,'recurring2_based on steps'!$B$1:$AY$1,J$1)+SUMIFS('changes2_based on steps'!$B45:$U45,'changes2_based on steps'!$B$1:$U$1,J$1)</f>
        <v>0</v>
      </c>
      <c r="K45" s="179">
        <f>SUMIFS('recurring2_based on steps'!$B45:$AY45,'recurring2_based on steps'!$B$1:$AY$1,K$1)+SUMIFS('changes2_based on steps'!$B45:$U45,'changes2_based on steps'!$B$1:$U$1,K$1)</f>
        <v>0</v>
      </c>
      <c r="L45" s="179">
        <f>SUMIFS('recurring2_based on steps'!$B45:$AY45,'recurring2_based on steps'!$B$1:$AY$1,L$1)+SUMIFS('changes2_based on steps'!$B45:$U45,'changes2_based on steps'!$B$1:$U$1,L$1)</f>
        <v>0</v>
      </c>
      <c r="M45" s="179">
        <f>SUMIFS('recurring2_based on steps'!$B45:$AY45,'recurring2_based on steps'!$B$1:$AY$1,M$1)+SUMIFS('changes2_based on steps'!$B45:$U45,'changes2_based on steps'!$B$1:$U$1,M$1)</f>
        <v>0</v>
      </c>
      <c r="N45" s="179">
        <f>SUMIFS('recurring2_based on steps'!$B45:$AY45,'recurring2_based on steps'!$B$1:$AY$1,N$1)+SUMIFS('changes2_based on steps'!$B45:$U45,'changes2_based on steps'!$B$1:$U$1,N$1)</f>
        <v>0</v>
      </c>
      <c r="O45" s="179">
        <f>SUMIFS('recurring2_based on steps'!$B45:$AY45,'recurring2_based on steps'!$B$1:$AY$1,O$1)+SUMIFS('changes2_based on steps'!$B45:$U45,'changes2_based on steps'!$B$1:$U$1,O$1)</f>
        <v>0</v>
      </c>
      <c r="P45" s="179">
        <f>SUMIFS('recurring2_based on steps'!$B45:$AY45,'recurring2_based on steps'!$B$1:$AY$1,P$1)+SUMIFS('changes2_based on steps'!$B45:$U45,'changes2_based on steps'!$B$1:$U$1,P$1)</f>
        <v>0</v>
      </c>
      <c r="Q45" s="179">
        <f>SUMIFS('recurring2_based on steps'!$B45:$AY45,'recurring2_based on steps'!$B$1:$AY$1,Q$1)+SUMIFS('changes2_based on steps'!$B45:$U45,'changes2_based on steps'!$B$1:$U$1,Q$1)</f>
        <v>0</v>
      </c>
      <c r="R45" s="179">
        <f>SUMIFS('recurring2_based on steps'!$B45:$AY45,'recurring2_based on steps'!$B$1:$AY$1,R$1)+SUMIFS('changes2_based on steps'!$B45:$U45,'changes2_based on steps'!$B$1:$U$1,R$1)</f>
        <v>0</v>
      </c>
      <c r="S45" s="179">
        <f>SUMIFS('recurring2_based on steps'!$B45:$AY45,'recurring2_based on steps'!$B$1:$AY$1,S$1)+SUMIFS('changes2_based on steps'!$B45:$U45,'changes2_based on steps'!$B$1:$U$1,S$1)</f>
        <v>0</v>
      </c>
      <c r="T45" s="179">
        <f>SUMIFS('recurring2_based on steps'!$B45:$AY45,'recurring2_based on steps'!$B$1:$AY$1,T$1)+SUMIFS('changes2_based on steps'!$B45:$U45,'changes2_based on steps'!$B$1:$U$1,T$1)</f>
        <v>0</v>
      </c>
      <c r="U45" s="179">
        <f>SUMIFS('recurring2_based on steps'!$B45:$AY45,'recurring2_based on steps'!$B$1:$AY$1,U$1)+SUMIFS('changes2_based on steps'!$B45:$U45,'changes2_based on steps'!$B$1:$U$1,U$1)</f>
        <v>0</v>
      </c>
      <c r="V45" s="179">
        <f>SUMIFS('recurring2_based on steps'!$B45:$AY45,'recurring2_based on steps'!$B$1:$AY$1,V$1)+SUMIFS('changes2_based on steps'!$B45:$U45,'changes2_based on steps'!$B$1:$U$1,V$1)</f>
        <v>0</v>
      </c>
      <c r="W45" s="179">
        <f>SUMIFS('recurring2_based on steps'!$B45:$AY45,'recurring2_based on steps'!$B$1:$AY$1,W$1)+SUMIFS('changes2_based on steps'!$B45:$U45,'changes2_based on steps'!$B$1:$U$1,W$1)</f>
        <v>0</v>
      </c>
      <c r="X45" s="179">
        <f>SUMIFS('recurring2_based on steps'!$B45:$AY45,'recurring2_based on steps'!$B$1:$AY$1,X$1)+SUMIFS('changes2_based on steps'!$B45:$U45,'changes2_based on steps'!$B$1:$U$1,X$1)</f>
        <v>0</v>
      </c>
      <c r="Y45" s="179">
        <f>SUMIFS('recurring2_based on steps'!$B45:$AY45,'recurring2_based on steps'!$B$1:$AY$1,Y$1)+SUMIFS('changes2_based on steps'!$B45:$U45,'changes2_based on steps'!$B$1:$U$1,Y$1)</f>
        <v>0</v>
      </c>
      <c r="Z45" s="179">
        <f>SUMIFS('recurring2_based on steps'!$B45:$AY45,'recurring2_based on steps'!$B$1:$AY$1,Z$1)+SUMIFS('changes2_based on steps'!$B45:$U45,'changes2_based on steps'!$B$1:$U$1,Z$1)</f>
        <v>0</v>
      </c>
      <c r="AA45" s="179">
        <f>SUMIFS('recurring2_based on steps'!$B45:$AY45,'recurring2_based on steps'!$B$1:$AY$1,AA$1)+SUMIFS('changes2_based on steps'!$B45:$U45,'changes2_based on steps'!$B$1:$U$1,AA$1)</f>
        <v>0</v>
      </c>
      <c r="AB45" s="179">
        <f>SUMIFS('recurring2_based on steps'!$B45:$AY45,'recurring2_based on steps'!$B$1:$AY$1,AB$1)+SUMIFS('changes2_based on steps'!$B45:$U45,'changes2_based on steps'!$B$1:$U$1,AB$1)</f>
        <v>0</v>
      </c>
      <c r="AC45" s="179">
        <f>SUMIFS('recurring2_based on steps'!$B45:$AY45,'recurring2_based on steps'!$B$1:$AY$1,AC$1)+SUMIFS('changes2_based on steps'!$B45:$U45,'changes2_based on steps'!$B$1:$U$1,AC$1)</f>
        <v>0</v>
      </c>
      <c r="AD45" s="179">
        <f>SUMIFS('recurring2_based on steps'!$B45:$AY45,'recurring2_based on steps'!$B$1:$AY$1,AD$1)+SUMIFS('changes2_based on steps'!$B45:$U45,'changes2_based on steps'!$B$1:$U$1,AD$1)</f>
        <v>0</v>
      </c>
      <c r="AE45" s="179">
        <f>SUMIFS('recurring2_based on steps'!$B45:$AY45,'recurring2_based on steps'!$B$1:$AY$1,AE$1)+SUMIFS('changes2_based on steps'!$B45:$U45,'changes2_based on steps'!$B$1:$U$1,AE$1)</f>
        <v>0</v>
      </c>
      <c r="AF45" s="179"/>
      <c r="AG45" s="179"/>
      <c r="AH45" s="179"/>
      <c r="AI45" s="179"/>
      <c r="AJ45" s="179"/>
      <c r="AK45" s="179"/>
      <c r="AL45" s="179"/>
      <c r="AM45" s="179"/>
    </row>
    <row r="46" spans="1:39" x14ac:dyDescent="0.2">
      <c r="A46" s="32">
        <f t="shared" ca="1" si="0"/>
        <v>45795</v>
      </c>
      <c r="B46" s="179">
        <f>SUMIFS('recurring2_based on steps'!$B46:$AY46,'recurring2_based on steps'!$B$1:$AY$1,B$1)+SUMIFS('changes2_based on steps'!$B46:$U46,'changes2_based on steps'!$B$1:$U$1,B$1)</f>
        <v>0</v>
      </c>
      <c r="C46" s="179">
        <f>SUMIFS('recurring2_based on steps'!$B46:$AY46,'recurring2_based on steps'!$B$1:$AY$1,C$1)+SUMIFS('changes2_based on steps'!$B46:$U46,'changes2_based on steps'!$B$1:$U$1,C$1)</f>
        <v>0</v>
      </c>
      <c r="D46" s="179">
        <f>SUMIFS('recurring2_based on steps'!$B46:$AY46,'recurring2_based on steps'!$B$1:$AY$1,D$1)+SUMIFS('changes2_based on steps'!$B46:$U46,'changes2_based on steps'!$B$1:$U$1,D$1)</f>
        <v>0</v>
      </c>
      <c r="E46" s="179">
        <f>SUMIFS('recurring2_based on steps'!$B46:$AY46,'recurring2_based on steps'!$B$1:$AY$1,E$1)+SUMIFS('changes2_based on steps'!$B46:$U46,'changes2_based on steps'!$B$1:$U$1,E$1)</f>
        <v>0</v>
      </c>
      <c r="F46" s="179">
        <f>SUMIFS('recurring2_based on steps'!$B46:$AY46,'recurring2_based on steps'!$B$1:$AY$1,F$1)+SUMIFS('changes2_based on steps'!$B46:$U46,'changes2_based on steps'!$B$1:$U$1,F$1)</f>
        <v>0</v>
      </c>
      <c r="G46" s="179">
        <f>SUMIFS('recurring2_based on steps'!$B46:$AY46,'recurring2_based on steps'!$B$1:$AY$1,G$1)+SUMIFS('changes2_based on steps'!$B46:$U46,'changes2_based on steps'!$B$1:$U$1,G$1)</f>
        <v>0</v>
      </c>
      <c r="H46" s="179">
        <f>SUMIFS('recurring2_based on steps'!$B46:$AY46,'recurring2_based on steps'!$B$1:$AY$1,H$1)+SUMIFS('changes2_based on steps'!$B46:$U46,'changes2_based on steps'!$B$1:$U$1,H$1)</f>
        <v>0</v>
      </c>
      <c r="I46" s="179">
        <f>SUMIFS('recurring2_based on steps'!$B46:$AY46,'recurring2_based on steps'!$B$1:$AY$1,I$1)+SUMIFS('changes2_based on steps'!$B46:$U46,'changes2_based on steps'!$B$1:$U$1,I$1)</f>
        <v>0</v>
      </c>
      <c r="J46" s="179">
        <f>SUMIFS('recurring2_based on steps'!$B46:$AY46,'recurring2_based on steps'!$B$1:$AY$1,J$1)+SUMIFS('changes2_based on steps'!$B46:$U46,'changes2_based on steps'!$B$1:$U$1,J$1)</f>
        <v>0</v>
      </c>
      <c r="K46" s="179">
        <f>SUMIFS('recurring2_based on steps'!$B46:$AY46,'recurring2_based on steps'!$B$1:$AY$1,K$1)+SUMIFS('changes2_based on steps'!$B46:$U46,'changes2_based on steps'!$B$1:$U$1,K$1)</f>
        <v>0</v>
      </c>
      <c r="L46" s="179">
        <f>SUMIFS('recurring2_based on steps'!$B46:$AY46,'recurring2_based on steps'!$B$1:$AY$1,L$1)+SUMIFS('changes2_based on steps'!$B46:$U46,'changes2_based on steps'!$B$1:$U$1,L$1)</f>
        <v>0</v>
      </c>
      <c r="M46" s="179">
        <f>SUMIFS('recurring2_based on steps'!$B46:$AY46,'recurring2_based on steps'!$B$1:$AY$1,M$1)+SUMIFS('changes2_based on steps'!$B46:$U46,'changes2_based on steps'!$B$1:$U$1,M$1)</f>
        <v>0</v>
      </c>
      <c r="N46" s="179">
        <f>SUMIFS('recurring2_based on steps'!$B46:$AY46,'recurring2_based on steps'!$B$1:$AY$1,N$1)+SUMIFS('changes2_based on steps'!$B46:$U46,'changes2_based on steps'!$B$1:$U$1,N$1)</f>
        <v>0</v>
      </c>
      <c r="O46" s="179">
        <f>SUMIFS('recurring2_based on steps'!$B46:$AY46,'recurring2_based on steps'!$B$1:$AY$1,O$1)+SUMIFS('changes2_based on steps'!$B46:$U46,'changes2_based on steps'!$B$1:$U$1,O$1)</f>
        <v>0</v>
      </c>
      <c r="P46" s="179">
        <f>SUMIFS('recurring2_based on steps'!$B46:$AY46,'recurring2_based on steps'!$B$1:$AY$1,P$1)+SUMIFS('changes2_based on steps'!$B46:$U46,'changes2_based on steps'!$B$1:$U$1,P$1)</f>
        <v>0</v>
      </c>
      <c r="Q46" s="179">
        <f>SUMIFS('recurring2_based on steps'!$B46:$AY46,'recurring2_based on steps'!$B$1:$AY$1,Q$1)+SUMIFS('changes2_based on steps'!$B46:$U46,'changes2_based on steps'!$B$1:$U$1,Q$1)</f>
        <v>0</v>
      </c>
      <c r="R46" s="179">
        <f>SUMIFS('recurring2_based on steps'!$B46:$AY46,'recurring2_based on steps'!$B$1:$AY$1,R$1)+SUMIFS('changes2_based on steps'!$B46:$U46,'changes2_based on steps'!$B$1:$U$1,R$1)</f>
        <v>0</v>
      </c>
      <c r="S46" s="179">
        <f>SUMIFS('recurring2_based on steps'!$B46:$AY46,'recurring2_based on steps'!$B$1:$AY$1,S$1)+SUMIFS('changes2_based on steps'!$B46:$U46,'changes2_based on steps'!$B$1:$U$1,S$1)</f>
        <v>0</v>
      </c>
      <c r="T46" s="179">
        <f>SUMIFS('recurring2_based on steps'!$B46:$AY46,'recurring2_based on steps'!$B$1:$AY$1,T$1)+SUMIFS('changes2_based on steps'!$B46:$U46,'changes2_based on steps'!$B$1:$U$1,T$1)</f>
        <v>0</v>
      </c>
      <c r="U46" s="179">
        <f>SUMIFS('recurring2_based on steps'!$B46:$AY46,'recurring2_based on steps'!$B$1:$AY$1,U$1)+SUMIFS('changes2_based on steps'!$B46:$U46,'changes2_based on steps'!$B$1:$U$1,U$1)</f>
        <v>0</v>
      </c>
      <c r="V46" s="179">
        <f>SUMIFS('recurring2_based on steps'!$B46:$AY46,'recurring2_based on steps'!$B$1:$AY$1,V$1)+SUMIFS('changes2_based on steps'!$B46:$U46,'changes2_based on steps'!$B$1:$U$1,V$1)</f>
        <v>0</v>
      </c>
      <c r="W46" s="179">
        <f>SUMIFS('recurring2_based on steps'!$B46:$AY46,'recurring2_based on steps'!$B$1:$AY$1,W$1)+SUMIFS('changes2_based on steps'!$B46:$U46,'changes2_based on steps'!$B$1:$U$1,W$1)</f>
        <v>0</v>
      </c>
      <c r="X46" s="179">
        <f>SUMIFS('recurring2_based on steps'!$B46:$AY46,'recurring2_based on steps'!$B$1:$AY$1,X$1)+SUMIFS('changes2_based on steps'!$B46:$U46,'changes2_based on steps'!$B$1:$U$1,X$1)</f>
        <v>0</v>
      </c>
      <c r="Y46" s="179">
        <f>SUMIFS('recurring2_based on steps'!$B46:$AY46,'recurring2_based on steps'!$B$1:$AY$1,Y$1)+SUMIFS('changes2_based on steps'!$B46:$U46,'changes2_based on steps'!$B$1:$U$1,Y$1)</f>
        <v>0</v>
      </c>
      <c r="Z46" s="179">
        <f>SUMIFS('recurring2_based on steps'!$B46:$AY46,'recurring2_based on steps'!$B$1:$AY$1,Z$1)+SUMIFS('changes2_based on steps'!$B46:$U46,'changes2_based on steps'!$B$1:$U$1,Z$1)</f>
        <v>0</v>
      </c>
      <c r="AA46" s="179">
        <f>SUMIFS('recurring2_based on steps'!$B46:$AY46,'recurring2_based on steps'!$B$1:$AY$1,AA$1)+SUMIFS('changes2_based on steps'!$B46:$U46,'changes2_based on steps'!$B$1:$U$1,AA$1)</f>
        <v>0</v>
      </c>
      <c r="AB46" s="179">
        <f>SUMIFS('recurring2_based on steps'!$B46:$AY46,'recurring2_based on steps'!$B$1:$AY$1,AB$1)+SUMIFS('changes2_based on steps'!$B46:$U46,'changes2_based on steps'!$B$1:$U$1,AB$1)</f>
        <v>0</v>
      </c>
      <c r="AC46" s="179">
        <f>SUMIFS('recurring2_based on steps'!$B46:$AY46,'recurring2_based on steps'!$B$1:$AY$1,AC$1)+SUMIFS('changes2_based on steps'!$B46:$U46,'changes2_based on steps'!$B$1:$U$1,AC$1)</f>
        <v>0</v>
      </c>
      <c r="AD46" s="179">
        <f>SUMIFS('recurring2_based on steps'!$B46:$AY46,'recurring2_based on steps'!$B$1:$AY$1,AD$1)+SUMIFS('changes2_based on steps'!$B46:$U46,'changes2_based on steps'!$B$1:$U$1,AD$1)</f>
        <v>0</v>
      </c>
      <c r="AE46" s="179">
        <f>SUMIFS('recurring2_based on steps'!$B46:$AY46,'recurring2_based on steps'!$B$1:$AY$1,AE$1)+SUMIFS('changes2_based on steps'!$B46:$U46,'changes2_based on steps'!$B$1:$U$1,AE$1)</f>
        <v>0</v>
      </c>
      <c r="AF46" s="179"/>
      <c r="AG46" s="179"/>
      <c r="AH46" s="179"/>
      <c r="AI46" s="179"/>
      <c r="AJ46" s="179"/>
      <c r="AK46" s="179"/>
      <c r="AL46" s="179"/>
      <c r="AM46" s="179"/>
    </row>
    <row r="47" spans="1:39" x14ac:dyDescent="0.2">
      <c r="A47" s="32">
        <f t="shared" ca="1" si="0"/>
        <v>45796</v>
      </c>
      <c r="B47" s="179">
        <f>SUMIFS('recurring2_based on steps'!$B47:$AY47,'recurring2_based on steps'!$B$1:$AY$1,B$1)+SUMIFS('changes2_based on steps'!$B47:$U47,'changes2_based on steps'!$B$1:$U$1,B$1)</f>
        <v>0</v>
      </c>
      <c r="C47" s="179">
        <f>SUMIFS('recurring2_based on steps'!$B47:$AY47,'recurring2_based on steps'!$B$1:$AY$1,C$1)+SUMIFS('changes2_based on steps'!$B47:$U47,'changes2_based on steps'!$B$1:$U$1,C$1)</f>
        <v>0</v>
      </c>
      <c r="D47" s="179">
        <f>SUMIFS('recurring2_based on steps'!$B47:$AY47,'recurring2_based on steps'!$B$1:$AY$1,D$1)+SUMIFS('changes2_based on steps'!$B47:$U47,'changes2_based on steps'!$B$1:$U$1,D$1)</f>
        <v>0</v>
      </c>
      <c r="E47" s="179">
        <f>SUMIFS('recurring2_based on steps'!$B47:$AY47,'recurring2_based on steps'!$B$1:$AY$1,E$1)+SUMIFS('changes2_based on steps'!$B47:$U47,'changes2_based on steps'!$B$1:$U$1,E$1)</f>
        <v>0</v>
      </c>
      <c r="F47" s="179">
        <f>SUMIFS('recurring2_based on steps'!$B47:$AY47,'recurring2_based on steps'!$B$1:$AY$1,F$1)+SUMIFS('changes2_based on steps'!$B47:$U47,'changes2_based on steps'!$B$1:$U$1,F$1)</f>
        <v>0</v>
      </c>
      <c r="G47" s="179">
        <f>SUMIFS('recurring2_based on steps'!$B47:$AY47,'recurring2_based on steps'!$B$1:$AY$1,G$1)+SUMIFS('changes2_based on steps'!$B47:$U47,'changes2_based on steps'!$B$1:$U$1,G$1)</f>
        <v>0</v>
      </c>
      <c r="H47" s="179">
        <f>SUMIFS('recurring2_based on steps'!$B47:$AY47,'recurring2_based on steps'!$B$1:$AY$1,H$1)+SUMIFS('changes2_based on steps'!$B47:$U47,'changes2_based on steps'!$B$1:$U$1,H$1)</f>
        <v>0</v>
      </c>
      <c r="I47" s="179">
        <f>SUMIFS('recurring2_based on steps'!$B47:$AY47,'recurring2_based on steps'!$B$1:$AY$1,I$1)+SUMIFS('changes2_based on steps'!$B47:$U47,'changes2_based on steps'!$B$1:$U$1,I$1)</f>
        <v>0</v>
      </c>
      <c r="J47" s="179">
        <f>SUMIFS('recurring2_based on steps'!$B47:$AY47,'recurring2_based on steps'!$B$1:$AY$1,J$1)+SUMIFS('changes2_based on steps'!$B47:$U47,'changes2_based on steps'!$B$1:$U$1,J$1)</f>
        <v>0</v>
      </c>
      <c r="K47" s="179">
        <f>SUMIFS('recurring2_based on steps'!$B47:$AY47,'recurring2_based on steps'!$B$1:$AY$1,K$1)+SUMIFS('changes2_based on steps'!$B47:$U47,'changes2_based on steps'!$B$1:$U$1,K$1)</f>
        <v>0</v>
      </c>
      <c r="L47" s="179">
        <f>SUMIFS('recurring2_based on steps'!$B47:$AY47,'recurring2_based on steps'!$B$1:$AY$1,L$1)+SUMIFS('changes2_based on steps'!$B47:$U47,'changes2_based on steps'!$B$1:$U$1,L$1)</f>
        <v>0</v>
      </c>
      <c r="M47" s="179">
        <f>SUMIFS('recurring2_based on steps'!$B47:$AY47,'recurring2_based on steps'!$B$1:$AY$1,M$1)+SUMIFS('changes2_based on steps'!$B47:$U47,'changes2_based on steps'!$B$1:$U$1,M$1)</f>
        <v>0</v>
      </c>
      <c r="N47" s="179">
        <f>SUMIFS('recurring2_based on steps'!$B47:$AY47,'recurring2_based on steps'!$B$1:$AY$1,N$1)+SUMIFS('changes2_based on steps'!$B47:$U47,'changes2_based on steps'!$B$1:$U$1,N$1)</f>
        <v>0</v>
      </c>
      <c r="O47" s="179">
        <f>SUMIFS('recurring2_based on steps'!$B47:$AY47,'recurring2_based on steps'!$B$1:$AY$1,O$1)+SUMIFS('changes2_based on steps'!$B47:$U47,'changes2_based on steps'!$B$1:$U$1,O$1)</f>
        <v>0</v>
      </c>
      <c r="P47" s="179">
        <f>SUMIFS('recurring2_based on steps'!$B47:$AY47,'recurring2_based on steps'!$B$1:$AY$1,P$1)+SUMIFS('changes2_based on steps'!$B47:$U47,'changes2_based on steps'!$B$1:$U$1,P$1)</f>
        <v>0</v>
      </c>
      <c r="Q47" s="179">
        <f>SUMIFS('recurring2_based on steps'!$B47:$AY47,'recurring2_based on steps'!$B$1:$AY$1,Q$1)+SUMIFS('changes2_based on steps'!$B47:$U47,'changes2_based on steps'!$B$1:$U$1,Q$1)</f>
        <v>0</v>
      </c>
      <c r="R47" s="179">
        <f>SUMIFS('recurring2_based on steps'!$B47:$AY47,'recurring2_based on steps'!$B$1:$AY$1,R$1)+SUMIFS('changes2_based on steps'!$B47:$U47,'changes2_based on steps'!$B$1:$U$1,R$1)</f>
        <v>0</v>
      </c>
      <c r="S47" s="179">
        <f>SUMIFS('recurring2_based on steps'!$B47:$AY47,'recurring2_based on steps'!$B$1:$AY$1,S$1)+SUMIFS('changes2_based on steps'!$B47:$U47,'changes2_based on steps'!$B$1:$U$1,S$1)</f>
        <v>0</v>
      </c>
      <c r="T47" s="179">
        <f>SUMIFS('recurring2_based on steps'!$B47:$AY47,'recurring2_based on steps'!$B$1:$AY$1,T$1)+SUMIFS('changes2_based on steps'!$B47:$U47,'changes2_based on steps'!$B$1:$U$1,T$1)</f>
        <v>0</v>
      </c>
      <c r="U47" s="179">
        <f>SUMIFS('recurring2_based on steps'!$B47:$AY47,'recurring2_based on steps'!$B$1:$AY$1,U$1)+SUMIFS('changes2_based on steps'!$B47:$U47,'changes2_based on steps'!$B$1:$U$1,U$1)</f>
        <v>0</v>
      </c>
      <c r="V47" s="179">
        <f>SUMIFS('recurring2_based on steps'!$B47:$AY47,'recurring2_based on steps'!$B$1:$AY$1,V$1)+SUMIFS('changes2_based on steps'!$B47:$U47,'changes2_based on steps'!$B$1:$U$1,V$1)</f>
        <v>0</v>
      </c>
      <c r="W47" s="179">
        <f>SUMIFS('recurring2_based on steps'!$B47:$AY47,'recurring2_based on steps'!$B$1:$AY$1,W$1)+SUMIFS('changes2_based on steps'!$B47:$U47,'changes2_based on steps'!$B$1:$U$1,W$1)</f>
        <v>0</v>
      </c>
      <c r="X47" s="179">
        <f>SUMIFS('recurring2_based on steps'!$B47:$AY47,'recurring2_based on steps'!$B$1:$AY$1,X$1)+SUMIFS('changes2_based on steps'!$B47:$U47,'changes2_based on steps'!$B$1:$U$1,X$1)</f>
        <v>0</v>
      </c>
      <c r="Y47" s="179">
        <f>SUMIFS('recurring2_based on steps'!$B47:$AY47,'recurring2_based on steps'!$B$1:$AY$1,Y$1)+SUMIFS('changes2_based on steps'!$B47:$U47,'changes2_based on steps'!$B$1:$U$1,Y$1)</f>
        <v>0</v>
      </c>
      <c r="Z47" s="179">
        <f>SUMIFS('recurring2_based on steps'!$B47:$AY47,'recurring2_based on steps'!$B$1:$AY$1,Z$1)+SUMIFS('changes2_based on steps'!$B47:$U47,'changes2_based on steps'!$B$1:$U$1,Z$1)</f>
        <v>0</v>
      </c>
      <c r="AA47" s="179">
        <f>SUMIFS('recurring2_based on steps'!$B47:$AY47,'recurring2_based on steps'!$B$1:$AY$1,AA$1)+SUMIFS('changes2_based on steps'!$B47:$U47,'changes2_based on steps'!$B$1:$U$1,AA$1)</f>
        <v>0</v>
      </c>
      <c r="AB47" s="179">
        <f>SUMIFS('recurring2_based on steps'!$B47:$AY47,'recurring2_based on steps'!$B$1:$AY$1,AB$1)+SUMIFS('changes2_based on steps'!$B47:$U47,'changes2_based on steps'!$B$1:$U$1,AB$1)</f>
        <v>0</v>
      </c>
      <c r="AC47" s="179">
        <f>SUMIFS('recurring2_based on steps'!$B47:$AY47,'recurring2_based on steps'!$B$1:$AY$1,AC$1)+SUMIFS('changes2_based on steps'!$B47:$U47,'changes2_based on steps'!$B$1:$U$1,AC$1)</f>
        <v>0</v>
      </c>
      <c r="AD47" s="179">
        <f>SUMIFS('recurring2_based on steps'!$B47:$AY47,'recurring2_based on steps'!$B$1:$AY$1,AD$1)+SUMIFS('changes2_based on steps'!$B47:$U47,'changes2_based on steps'!$B$1:$U$1,AD$1)</f>
        <v>0</v>
      </c>
      <c r="AE47" s="179">
        <f>SUMIFS('recurring2_based on steps'!$B47:$AY47,'recurring2_based on steps'!$B$1:$AY$1,AE$1)+SUMIFS('changes2_based on steps'!$B47:$U47,'changes2_based on steps'!$B$1:$U$1,AE$1)</f>
        <v>0</v>
      </c>
      <c r="AF47" s="179"/>
      <c r="AG47" s="179"/>
      <c r="AH47" s="179"/>
      <c r="AI47" s="179"/>
      <c r="AJ47" s="179"/>
      <c r="AK47" s="179"/>
      <c r="AL47" s="179"/>
      <c r="AM47" s="179"/>
    </row>
    <row r="48" spans="1:39" x14ac:dyDescent="0.2">
      <c r="A48" s="32">
        <f t="shared" ca="1" si="0"/>
        <v>45797</v>
      </c>
      <c r="B48" s="179">
        <f>SUMIFS('recurring2_based on steps'!$B48:$AY48,'recurring2_based on steps'!$B$1:$AY$1,B$1)+SUMIFS('changes2_based on steps'!$B48:$U48,'changes2_based on steps'!$B$1:$U$1,B$1)</f>
        <v>0</v>
      </c>
      <c r="C48" s="179">
        <f>SUMIFS('recurring2_based on steps'!$B48:$AY48,'recurring2_based on steps'!$B$1:$AY$1,C$1)+SUMIFS('changes2_based on steps'!$B48:$U48,'changes2_based on steps'!$B$1:$U$1,C$1)</f>
        <v>0</v>
      </c>
      <c r="D48" s="179">
        <f>SUMIFS('recurring2_based on steps'!$B48:$AY48,'recurring2_based on steps'!$B$1:$AY$1,D$1)+SUMIFS('changes2_based on steps'!$B48:$U48,'changes2_based on steps'!$B$1:$U$1,D$1)</f>
        <v>0</v>
      </c>
      <c r="E48" s="179">
        <f>SUMIFS('recurring2_based on steps'!$B48:$AY48,'recurring2_based on steps'!$B$1:$AY$1,E$1)+SUMIFS('changes2_based on steps'!$B48:$U48,'changes2_based on steps'!$B$1:$U$1,E$1)</f>
        <v>0</v>
      </c>
      <c r="F48" s="179">
        <f>SUMIFS('recurring2_based on steps'!$B48:$AY48,'recurring2_based on steps'!$B$1:$AY$1,F$1)+SUMIFS('changes2_based on steps'!$B48:$U48,'changes2_based on steps'!$B$1:$U$1,F$1)</f>
        <v>0</v>
      </c>
      <c r="G48" s="179">
        <f>SUMIFS('recurring2_based on steps'!$B48:$AY48,'recurring2_based on steps'!$B$1:$AY$1,G$1)+SUMIFS('changes2_based on steps'!$B48:$U48,'changes2_based on steps'!$B$1:$U$1,G$1)</f>
        <v>0</v>
      </c>
      <c r="H48" s="179">
        <f>SUMIFS('recurring2_based on steps'!$B48:$AY48,'recurring2_based on steps'!$B$1:$AY$1,H$1)+SUMIFS('changes2_based on steps'!$B48:$U48,'changes2_based on steps'!$B$1:$U$1,H$1)</f>
        <v>0</v>
      </c>
      <c r="I48" s="179">
        <f>SUMIFS('recurring2_based on steps'!$B48:$AY48,'recurring2_based on steps'!$B$1:$AY$1,I$1)+SUMIFS('changes2_based on steps'!$B48:$U48,'changes2_based on steps'!$B$1:$U$1,I$1)</f>
        <v>0</v>
      </c>
      <c r="J48" s="179">
        <f>SUMIFS('recurring2_based on steps'!$B48:$AY48,'recurring2_based on steps'!$B$1:$AY$1,J$1)+SUMIFS('changes2_based on steps'!$B48:$U48,'changes2_based on steps'!$B$1:$U$1,J$1)</f>
        <v>0</v>
      </c>
      <c r="K48" s="179">
        <f>SUMIFS('recurring2_based on steps'!$B48:$AY48,'recurring2_based on steps'!$B$1:$AY$1,K$1)+SUMIFS('changes2_based on steps'!$B48:$U48,'changes2_based on steps'!$B$1:$U$1,K$1)</f>
        <v>0</v>
      </c>
      <c r="L48" s="179">
        <f>SUMIFS('recurring2_based on steps'!$B48:$AY48,'recurring2_based on steps'!$B$1:$AY$1,L$1)+SUMIFS('changes2_based on steps'!$B48:$U48,'changes2_based on steps'!$B$1:$U$1,L$1)</f>
        <v>0</v>
      </c>
      <c r="M48" s="179">
        <f>SUMIFS('recurring2_based on steps'!$B48:$AY48,'recurring2_based on steps'!$B$1:$AY$1,M$1)+SUMIFS('changes2_based on steps'!$B48:$U48,'changes2_based on steps'!$B$1:$U$1,M$1)</f>
        <v>0</v>
      </c>
      <c r="N48" s="179">
        <f>SUMIFS('recurring2_based on steps'!$B48:$AY48,'recurring2_based on steps'!$B$1:$AY$1,N$1)+SUMIFS('changes2_based on steps'!$B48:$U48,'changes2_based on steps'!$B$1:$U$1,N$1)</f>
        <v>0</v>
      </c>
      <c r="O48" s="179">
        <f>SUMIFS('recurring2_based on steps'!$B48:$AY48,'recurring2_based on steps'!$B$1:$AY$1,O$1)+SUMIFS('changes2_based on steps'!$B48:$U48,'changes2_based on steps'!$B$1:$U$1,O$1)</f>
        <v>0</v>
      </c>
      <c r="P48" s="179">
        <f>SUMIFS('recurring2_based on steps'!$B48:$AY48,'recurring2_based on steps'!$B$1:$AY$1,P$1)+SUMIFS('changes2_based on steps'!$B48:$U48,'changes2_based on steps'!$B$1:$U$1,P$1)</f>
        <v>0</v>
      </c>
      <c r="Q48" s="179">
        <f>SUMIFS('recurring2_based on steps'!$B48:$AY48,'recurring2_based on steps'!$B$1:$AY$1,Q$1)+SUMIFS('changes2_based on steps'!$B48:$U48,'changes2_based on steps'!$B$1:$U$1,Q$1)</f>
        <v>0</v>
      </c>
      <c r="R48" s="179">
        <f>SUMIFS('recurring2_based on steps'!$B48:$AY48,'recurring2_based on steps'!$B$1:$AY$1,R$1)+SUMIFS('changes2_based on steps'!$B48:$U48,'changes2_based on steps'!$B$1:$U$1,R$1)</f>
        <v>0</v>
      </c>
      <c r="S48" s="179">
        <f>SUMIFS('recurring2_based on steps'!$B48:$AY48,'recurring2_based on steps'!$B$1:$AY$1,S$1)+SUMIFS('changes2_based on steps'!$B48:$U48,'changes2_based on steps'!$B$1:$U$1,S$1)</f>
        <v>0</v>
      </c>
      <c r="T48" s="179">
        <f>SUMIFS('recurring2_based on steps'!$B48:$AY48,'recurring2_based on steps'!$B$1:$AY$1,T$1)+SUMIFS('changes2_based on steps'!$B48:$U48,'changes2_based on steps'!$B$1:$U$1,T$1)</f>
        <v>0</v>
      </c>
      <c r="U48" s="179">
        <f>SUMIFS('recurring2_based on steps'!$B48:$AY48,'recurring2_based on steps'!$B$1:$AY$1,U$1)+SUMIFS('changes2_based on steps'!$B48:$U48,'changes2_based on steps'!$B$1:$U$1,U$1)</f>
        <v>0</v>
      </c>
      <c r="V48" s="179">
        <f>SUMIFS('recurring2_based on steps'!$B48:$AY48,'recurring2_based on steps'!$B$1:$AY$1,V$1)+SUMIFS('changes2_based on steps'!$B48:$U48,'changes2_based on steps'!$B$1:$U$1,V$1)</f>
        <v>0</v>
      </c>
      <c r="W48" s="179">
        <f>SUMIFS('recurring2_based on steps'!$B48:$AY48,'recurring2_based on steps'!$B$1:$AY$1,W$1)+SUMIFS('changes2_based on steps'!$B48:$U48,'changes2_based on steps'!$B$1:$U$1,W$1)</f>
        <v>0</v>
      </c>
      <c r="X48" s="179">
        <f>SUMIFS('recurring2_based on steps'!$B48:$AY48,'recurring2_based on steps'!$B$1:$AY$1,X$1)+SUMIFS('changes2_based on steps'!$B48:$U48,'changes2_based on steps'!$B$1:$U$1,X$1)</f>
        <v>0</v>
      </c>
      <c r="Y48" s="179">
        <f>SUMIFS('recurring2_based on steps'!$B48:$AY48,'recurring2_based on steps'!$B$1:$AY$1,Y$1)+SUMIFS('changes2_based on steps'!$B48:$U48,'changes2_based on steps'!$B$1:$U$1,Y$1)</f>
        <v>0</v>
      </c>
      <c r="Z48" s="179">
        <f>SUMIFS('recurring2_based on steps'!$B48:$AY48,'recurring2_based on steps'!$B$1:$AY$1,Z$1)+SUMIFS('changes2_based on steps'!$B48:$U48,'changes2_based on steps'!$B$1:$U$1,Z$1)</f>
        <v>0</v>
      </c>
      <c r="AA48" s="179">
        <f>SUMIFS('recurring2_based on steps'!$B48:$AY48,'recurring2_based on steps'!$B$1:$AY$1,AA$1)+SUMIFS('changes2_based on steps'!$B48:$U48,'changes2_based on steps'!$B$1:$U$1,AA$1)</f>
        <v>0</v>
      </c>
      <c r="AB48" s="179">
        <f>SUMIFS('recurring2_based on steps'!$B48:$AY48,'recurring2_based on steps'!$B$1:$AY$1,AB$1)+SUMIFS('changes2_based on steps'!$B48:$U48,'changes2_based on steps'!$B$1:$U$1,AB$1)</f>
        <v>0</v>
      </c>
      <c r="AC48" s="179">
        <f>SUMIFS('recurring2_based on steps'!$B48:$AY48,'recurring2_based on steps'!$B$1:$AY$1,AC$1)+SUMIFS('changes2_based on steps'!$B48:$U48,'changes2_based on steps'!$B$1:$U$1,AC$1)</f>
        <v>0</v>
      </c>
      <c r="AD48" s="179">
        <f>SUMIFS('recurring2_based on steps'!$B48:$AY48,'recurring2_based on steps'!$B$1:$AY$1,AD$1)+SUMIFS('changes2_based on steps'!$B48:$U48,'changes2_based on steps'!$B$1:$U$1,AD$1)</f>
        <v>0</v>
      </c>
      <c r="AE48" s="179">
        <f>SUMIFS('recurring2_based on steps'!$B48:$AY48,'recurring2_based on steps'!$B$1:$AY$1,AE$1)+SUMIFS('changes2_based on steps'!$B48:$U48,'changes2_based on steps'!$B$1:$U$1,AE$1)</f>
        <v>0</v>
      </c>
      <c r="AF48" s="179"/>
      <c r="AG48" s="179"/>
      <c r="AH48" s="179"/>
      <c r="AI48" s="179"/>
      <c r="AJ48" s="179"/>
      <c r="AK48" s="179"/>
      <c r="AL48" s="179"/>
      <c r="AM48" s="179"/>
    </row>
    <row r="49" spans="1:39" x14ac:dyDescent="0.2">
      <c r="A49" s="32">
        <f t="shared" ca="1" si="0"/>
        <v>45798</v>
      </c>
      <c r="B49" s="179">
        <f>SUMIFS('recurring2_based on steps'!$B49:$AY49,'recurring2_based on steps'!$B$1:$AY$1,B$1)+SUMIFS('changes2_based on steps'!$B49:$U49,'changes2_based on steps'!$B$1:$U$1,B$1)</f>
        <v>0</v>
      </c>
      <c r="C49" s="179">
        <f>SUMIFS('recurring2_based on steps'!$B49:$AY49,'recurring2_based on steps'!$B$1:$AY$1,C$1)+SUMIFS('changes2_based on steps'!$B49:$U49,'changes2_based on steps'!$B$1:$U$1,C$1)</f>
        <v>0</v>
      </c>
      <c r="D49" s="179">
        <f>SUMIFS('recurring2_based on steps'!$B49:$AY49,'recurring2_based on steps'!$B$1:$AY$1,D$1)+SUMIFS('changes2_based on steps'!$B49:$U49,'changes2_based on steps'!$B$1:$U$1,D$1)</f>
        <v>0</v>
      </c>
      <c r="E49" s="179">
        <f>SUMIFS('recurring2_based on steps'!$B49:$AY49,'recurring2_based on steps'!$B$1:$AY$1,E$1)+SUMIFS('changes2_based on steps'!$B49:$U49,'changes2_based on steps'!$B$1:$U$1,E$1)</f>
        <v>0</v>
      </c>
      <c r="F49" s="179">
        <f>SUMIFS('recurring2_based on steps'!$B49:$AY49,'recurring2_based on steps'!$B$1:$AY$1,F$1)+SUMIFS('changes2_based on steps'!$B49:$U49,'changes2_based on steps'!$B$1:$U$1,F$1)</f>
        <v>0</v>
      </c>
      <c r="G49" s="179">
        <f>SUMIFS('recurring2_based on steps'!$B49:$AY49,'recurring2_based on steps'!$B$1:$AY$1,G$1)+SUMIFS('changes2_based on steps'!$B49:$U49,'changes2_based on steps'!$B$1:$U$1,G$1)</f>
        <v>0</v>
      </c>
      <c r="H49" s="179">
        <f>SUMIFS('recurring2_based on steps'!$B49:$AY49,'recurring2_based on steps'!$B$1:$AY$1,H$1)+SUMIFS('changes2_based on steps'!$B49:$U49,'changes2_based on steps'!$B$1:$U$1,H$1)</f>
        <v>0</v>
      </c>
      <c r="I49" s="179">
        <f>SUMIFS('recurring2_based on steps'!$B49:$AY49,'recurring2_based on steps'!$B$1:$AY$1,I$1)+SUMIFS('changes2_based on steps'!$B49:$U49,'changes2_based on steps'!$B$1:$U$1,I$1)</f>
        <v>0</v>
      </c>
      <c r="J49" s="179">
        <f>SUMIFS('recurring2_based on steps'!$B49:$AY49,'recurring2_based on steps'!$B$1:$AY$1,J$1)+SUMIFS('changes2_based on steps'!$B49:$U49,'changes2_based on steps'!$B$1:$U$1,J$1)</f>
        <v>0</v>
      </c>
      <c r="K49" s="179">
        <f>SUMIFS('recurring2_based on steps'!$B49:$AY49,'recurring2_based on steps'!$B$1:$AY$1,K$1)+SUMIFS('changes2_based on steps'!$B49:$U49,'changes2_based on steps'!$B$1:$U$1,K$1)</f>
        <v>0</v>
      </c>
      <c r="L49" s="179">
        <f>SUMIFS('recurring2_based on steps'!$B49:$AY49,'recurring2_based on steps'!$B$1:$AY$1,L$1)+SUMIFS('changes2_based on steps'!$B49:$U49,'changes2_based on steps'!$B$1:$U$1,L$1)</f>
        <v>0</v>
      </c>
      <c r="M49" s="179">
        <f>SUMIFS('recurring2_based on steps'!$B49:$AY49,'recurring2_based on steps'!$B$1:$AY$1,M$1)+SUMIFS('changes2_based on steps'!$B49:$U49,'changes2_based on steps'!$B$1:$U$1,M$1)</f>
        <v>0</v>
      </c>
      <c r="N49" s="179">
        <f>SUMIFS('recurring2_based on steps'!$B49:$AY49,'recurring2_based on steps'!$B$1:$AY$1,N$1)+SUMIFS('changes2_based on steps'!$B49:$U49,'changes2_based on steps'!$B$1:$U$1,N$1)</f>
        <v>0</v>
      </c>
      <c r="O49" s="179">
        <f>SUMIFS('recurring2_based on steps'!$B49:$AY49,'recurring2_based on steps'!$B$1:$AY$1,O$1)+SUMIFS('changes2_based on steps'!$B49:$U49,'changes2_based on steps'!$B$1:$U$1,O$1)</f>
        <v>0</v>
      </c>
      <c r="P49" s="179">
        <f>SUMIFS('recurring2_based on steps'!$B49:$AY49,'recurring2_based on steps'!$B$1:$AY$1,P$1)+SUMIFS('changes2_based on steps'!$B49:$U49,'changes2_based on steps'!$B$1:$U$1,P$1)</f>
        <v>0</v>
      </c>
      <c r="Q49" s="179">
        <f>SUMIFS('recurring2_based on steps'!$B49:$AY49,'recurring2_based on steps'!$B$1:$AY$1,Q$1)+SUMIFS('changes2_based on steps'!$B49:$U49,'changes2_based on steps'!$B$1:$U$1,Q$1)</f>
        <v>0</v>
      </c>
      <c r="R49" s="179">
        <f>SUMIFS('recurring2_based on steps'!$B49:$AY49,'recurring2_based on steps'!$B$1:$AY$1,R$1)+SUMIFS('changes2_based on steps'!$B49:$U49,'changes2_based on steps'!$B$1:$U$1,R$1)</f>
        <v>0</v>
      </c>
      <c r="S49" s="179">
        <f>SUMIFS('recurring2_based on steps'!$B49:$AY49,'recurring2_based on steps'!$B$1:$AY$1,S$1)+SUMIFS('changes2_based on steps'!$B49:$U49,'changes2_based on steps'!$B$1:$U$1,S$1)</f>
        <v>0</v>
      </c>
      <c r="T49" s="179">
        <f>SUMIFS('recurring2_based on steps'!$B49:$AY49,'recurring2_based on steps'!$B$1:$AY$1,T$1)+SUMIFS('changes2_based on steps'!$B49:$U49,'changes2_based on steps'!$B$1:$U$1,T$1)</f>
        <v>0</v>
      </c>
      <c r="U49" s="179">
        <f>SUMIFS('recurring2_based on steps'!$B49:$AY49,'recurring2_based on steps'!$B$1:$AY$1,U$1)+SUMIFS('changes2_based on steps'!$B49:$U49,'changes2_based on steps'!$B$1:$U$1,U$1)</f>
        <v>0</v>
      </c>
      <c r="V49" s="179">
        <f>SUMIFS('recurring2_based on steps'!$B49:$AY49,'recurring2_based on steps'!$B$1:$AY$1,V$1)+SUMIFS('changes2_based on steps'!$B49:$U49,'changes2_based on steps'!$B$1:$U$1,V$1)</f>
        <v>0</v>
      </c>
      <c r="W49" s="179">
        <f>SUMIFS('recurring2_based on steps'!$B49:$AY49,'recurring2_based on steps'!$B$1:$AY$1,W$1)+SUMIFS('changes2_based on steps'!$B49:$U49,'changes2_based on steps'!$B$1:$U$1,W$1)</f>
        <v>0</v>
      </c>
      <c r="X49" s="179">
        <f>SUMIFS('recurring2_based on steps'!$B49:$AY49,'recurring2_based on steps'!$B$1:$AY$1,X$1)+SUMIFS('changes2_based on steps'!$B49:$U49,'changes2_based on steps'!$B$1:$U$1,X$1)</f>
        <v>0</v>
      </c>
      <c r="Y49" s="179">
        <f>SUMIFS('recurring2_based on steps'!$B49:$AY49,'recurring2_based on steps'!$B$1:$AY$1,Y$1)+SUMIFS('changes2_based on steps'!$B49:$U49,'changes2_based on steps'!$B$1:$U$1,Y$1)</f>
        <v>0</v>
      </c>
      <c r="Z49" s="179">
        <f>SUMIFS('recurring2_based on steps'!$B49:$AY49,'recurring2_based on steps'!$B$1:$AY$1,Z$1)+SUMIFS('changes2_based on steps'!$B49:$U49,'changes2_based on steps'!$B$1:$U$1,Z$1)</f>
        <v>0</v>
      </c>
      <c r="AA49" s="179">
        <f>SUMIFS('recurring2_based on steps'!$B49:$AY49,'recurring2_based on steps'!$B$1:$AY$1,AA$1)+SUMIFS('changes2_based on steps'!$B49:$U49,'changes2_based on steps'!$B$1:$U$1,AA$1)</f>
        <v>0</v>
      </c>
      <c r="AB49" s="179">
        <f>SUMIFS('recurring2_based on steps'!$B49:$AY49,'recurring2_based on steps'!$B$1:$AY$1,AB$1)+SUMIFS('changes2_based on steps'!$B49:$U49,'changes2_based on steps'!$B$1:$U$1,AB$1)</f>
        <v>0</v>
      </c>
      <c r="AC49" s="179">
        <f>SUMIFS('recurring2_based on steps'!$B49:$AY49,'recurring2_based on steps'!$B$1:$AY$1,AC$1)+SUMIFS('changes2_based on steps'!$B49:$U49,'changes2_based on steps'!$B$1:$U$1,AC$1)</f>
        <v>0</v>
      </c>
      <c r="AD49" s="179">
        <f>SUMIFS('recurring2_based on steps'!$B49:$AY49,'recurring2_based on steps'!$B$1:$AY$1,AD$1)+SUMIFS('changes2_based on steps'!$B49:$U49,'changes2_based on steps'!$B$1:$U$1,AD$1)</f>
        <v>0</v>
      </c>
      <c r="AE49" s="179">
        <f>SUMIFS('recurring2_based on steps'!$B49:$AY49,'recurring2_based on steps'!$B$1:$AY$1,AE$1)+SUMIFS('changes2_based on steps'!$B49:$U49,'changes2_based on steps'!$B$1:$U$1,AE$1)</f>
        <v>0</v>
      </c>
      <c r="AF49" s="179"/>
      <c r="AG49" s="179"/>
      <c r="AH49" s="179"/>
      <c r="AI49" s="179"/>
      <c r="AJ49" s="179"/>
      <c r="AK49" s="179"/>
      <c r="AL49" s="179"/>
      <c r="AM49" s="179"/>
    </row>
    <row r="50" spans="1:39" x14ac:dyDescent="0.2">
      <c r="A50" s="32">
        <f t="shared" ca="1" si="0"/>
        <v>45799</v>
      </c>
      <c r="B50" s="179">
        <f>SUMIFS('recurring2_based on steps'!$B50:$AY50,'recurring2_based on steps'!$B$1:$AY$1,B$1)+SUMIFS('changes2_based on steps'!$B50:$U50,'changes2_based on steps'!$B$1:$U$1,B$1)</f>
        <v>0</v>
      </c>
      <c r="C50" s="179">
        <f>SUMIFS('recurring2_based on steps'!$B50:$AY50,'recurring2_based on steps'!$B$1:$AY$1,C$1)+SUMIFS('changes2_based on steps'!$B50:$U50,'changes2_based on steps'!$B$1:$U$1,C$1)</f>
        <v>0</v>
      </c>
      <c r="D50" s="179">
        <f>SUMIFS('recurring2_based on steps'!$B50:$AY50,'recurring2_based on steps'!$B$1:$AY$1,D$1)+SUMIFS('changes2_based on steps'!$B50:$U50,'changes2_based on steps'!$B$1:$U$1,D$1)</f>
        <v>0</v>
      </c>
      <c r="E50" s="179">
        <f>SUMIFS('recurring2_based on steps'!$B50:$AY50,'recurring2_based on steps'!$B$1:$AY$1,E$1)+SUMIFS('changes2_based on steps'!$B50:$U50,'changes2_based on steps'!$B$1:$U$1,E$1)</f>
        <v>0</v>
      </c>
      <c r="F50" s="179">
        <f>SUMIFS('recurring2_based on steps'!$B50:$AY50,'recurring2_based on steps'!$B$1:$AY$1,F$1)+SUMIFS('changes2_based on steps'!$B50:$U50,'changes2_based on steps'!$B$1:$U$1,F$1)</f>
        <v>0</v>
      </c>
      <c r="G50" s="179">
        <f>SUMIFS('recurring2_based on steps'!$B50:$AY50,'recurring2_based on steps'!$B$1:$AY$1,G$1)+SUMIFS('changes2_based on steps'!$B50:$U50,'changes2_based on steps'!$B$1:$U$1,G$1)</f>
        <v>0</v>
      </c>
      <c r="H50" s="179">
        <f>SUMIFS('recurring2_based on steps'!$B50:$AY50,'recurring2_based on steps'!$B$1:$AY$1,H$1)+SUMIFS('changes2_based on steps'!$B50:$U50,'changes2_based on steps'!$B$1:$U$1,H$1)</f>
        <v>0</v>
      </c>
      <c r="I50" s="179">
        <f>SUMIFS('recurring2_based on steps'!$B50:$AY50,'recurring2_based on steps'!$B$1:$AY$1,I$1)+SUMIFS('changes2_based on steps'!$B50:$U50,'changes2_based on steps'!$B$1:$U$1,I$1)</f>
        <v>0</v>
      </c>
      <c r="J50" s="179">
        <f>SUMIFS('recurring2_based on steps'!$B50:$AY50,'recurring2_based on steps'!$B$1:$AY$1,J$1)+SUMIFS('changes2_based on steps'!$B50:$U50,'changes2_based on steps'!$B$1:$U$1,J$1)</f>
        <v>0</v>
      </c>
      <c r="K50" s="179">
        <f>SUMIFS('recurring2_based on steps'!$B50:$AY50,'recurring2_based on steps'!$B$1:$AY$1,K$1)+SUMIFS('changes2_based on steps'!$B50:$U50,'changes2_based on steps'!$B$1:$U$1,K$1)</f>
        <v>0</v>
      </c>
      <c r="L50" s="179">
        <f>SUMIFS('recurring2_based on steps'!$B50:$AY50,'recurring2_based on steps'!$B$1:$AY$1,L$1)+SUMIFS('changes2_based on steps'!$B50:$U50,'changes2_based on steps'!$B$1:$U$1,L$1)</f>
        <v>0</v>
      </c>
      <c r="M50" s="179">
        <f>SUMIFS('recurring2_based on steps'!$B50:$AY50,'recurring2_based on steps'!$B$1:$AY$1,M$1)+SUMIFS('changes2_based on steps'!$B50:$U50,'changes2_based on steps'!$B$1:$U$1,M$1)</f>
        <v>0</v>
      </c>
      <c r="N50" s="179">
        <f>SUMIFS('recurring2_based on steps'!$B50:$AY50,'recurring2_based on steps'!$B$1:$AY$1,N$1)+SUMIFS('changes2_based on steps'!$B50:$U50,'changes2_based on steps'!$B$1:$U$1,N$1)</f>
        <v>0</v>
      </c>
      <c r="O50" s="179">
        <f>SUMIFS('recurring2_based on steps'!$B50:$AY50,'recurring2_based on steps'!$B$1:$AY$1,O$1)+SUMIFS('changes2_based on steps'!$B50:$U50,'changes2_based on steps'!$B$1:$U$1,O$1)</f>
        <v>0</v>
      </c>
      <c r="P50" s="179">
        <f>SUMIFS('recurring2_based on steps'!$B50:$AY50,'recurring2_based on steps'!$B$1:$AY$1,P$1)+SUMIFS('changes2_based on steps'!$B50:$U50,'changes2_based on steps'!$B$1:$U$1,P$1)</f>
        <v>0</v>
      </c>
      <c r="Q50" s="179">
        <f>SUMIFS('recurring2_based on steps'!$B50:$AY50,'recurring2_based on steps'!$B$1:$AY$1,Q$1)+SUMIFS('changes2_based on steps'!$B50:$U50,'changes2_based on steps'!$B$1:$U$1,Q$1)</f>
        <v>0</v>
      </c>
      <c r="R50" s="179">
        <f>SUMIFS('recurring2_based on steps'!$B50:$AY50,'recurring2_based on steps'!$B$1:$AY$1,R$1)+SUMIFS('changes2_based on steps'!$B50:$U50,'changes2_based on steps'!$B$1:$U$1,R$1)</f>
        <v>0</v>
      </c>
      <c r="S50" s="179">
        <f>SUMIFS('recurring2_based on steps'!$B50:$AY50,'recurring2_based on steps'!$B$1:$AY$1,S$1)+SUMIFS('changes2_based on steps'!$B50:$U50,'changes2_based on steps'!$B$1:$U$1,S$1)</f>
        <v>0</v>
      </c>
      <c r="T50" s="179">
        <f>SUMIFS('recurring2_based on steps'!$B50:$AY50,'recurring2_based on steps'!$B$1:$AY$1,T$1)+SUMIFS('changes2_based on steps'!$B50:$U50,'changes2_based on steps'!$B$1:$U$1,T$1)</f>
        <v>0</v>
      </c>
      <c r="U50" s="179">
        <f>SUMIFS('recurring2_based on steps'!$B50:$AY50,'recurring2_based on steps'!$B$1:$AY$1,U$1)+SUMIFS('changes2_based on steps'!$B50:$U50,'changes2_based on steps'!$B$1:$U$1,U$1)</f>
        <v>0</v>
      </c>
      <c r="V50" s="179">
        <f>SUMIFS('recurring2_based on steps'!$B50:$AY50,'recurring2_based on steps'!$B$1:$AY$1,V$1)+SUMIFS('changes2_based on steps'!$B50:$U50,'changes2_based on steps'!$B$1:$U$1,V$1)</f>
        <v>0</v>
      </c>
      <c r="W50" s="179">
        <f>SUMIFS('recurring2_based on steps'!$B50:$AY50,'recurring2_based on steps'!$B$1:$AY$1,W$1)+SUMIFS('changes2_based on steps'!$B50:$U50,'changes2_based on steps'!$B$1:$U$1,W$1)</f>
        <v>0</v>
      </c>
      <c r="X50" s="179">
        <f>SUMIFS('recurring2_based on steps'!$B50:$AY50,'recurring2_based on steps'!$B$1:$AY$1,X$1)+SUMIFS('changes2_based on steps'!$B50:$U50,'changes2_based on steps'!$B$1:$U$1,X$1)</f>
        <v>0</v>
      </c>
      <c r="Y50" s="179">
        <f>SUMIFS('recurring2_based on steps'!$B50:$AY50,'recurring2_based on steps'!$B$1:$AY$1,Y$1)+SUMIFS('changes2_based on steps'!$B50:$U50,'changes2_based on steps'!$B$1:$U$1,Y$1)</f>
        <v>0</v>
      </c>
      <c r="Z50" s="179">
        <f>SUMIFS('recurring2_based on steps'!$B50:$AY50,'recurring2_based on steps'!$B$1:$AY$1,Z$1)+SUMIFS('changes2_based on steps'!$B50:$U50,'changes2_based on steps'!$B$1:$U$1,Z$1)</f>
        <v>0</v>
      </c>
      <c r="AA50" s="179">
        <f>SUMIFS('recurring2_based on steps'!$B50:$AY50,'recurring2_based on steps'!$B$1:$AY$1,AA$1)+SUMIFS('changes2_based on steps'!$B50:$U50,'changes2_based on steps'!$B$1:$U$1,AA$1)</f>
        <v>0</v>
      </c>
      <c r="AB50" s="179">
        <f>SUMIFS('recurring2_based on steps'!$B50:$AY50,'recurring2_based on steps'!$B$1:$AY$1,AB$1)+SUMIFS('changes2_based on steps'!$B50:$U50,'changes2_based on steps'!$B$1:$U$1,AB$1)</f>
        <v>0</v>
      </c>
      <c r="AC50" s="179">
        <f>SUMIFS('recurring2_based on steps'!$B50:$AY50,'recurring2_based on steps'!$B$1:$AY$1,AC$1)+SUMIFS('changes2_based on steps'!$B50:$U50,'changes2_based on steps'!$B$1:$U$1,AC$1)</f>
        <v>0</v>
      </c>
      <c r="AD50" s="179">
        <f>SUMIFS('recurring2_based on steps'!$B50:$AY50,'recurring2_based on steps'!$B$1:$AY$1,AD$1)+SUMIFS('changes2_based on steps'!$B50:$U50,'changes2_based on steps'!$B$1:$U$1,AD$1)</f>
        <v>0</v>
      </c>
      <c r="AE50" s="179">
        <f>SUMIFS('recurring2_based on steps'!$B50:$AY50,'recurring2_based on steps'!$B$1:$AY$1,AE$1)+SUMIFS('changes2_based on steps'!$B50:$U50,'changes2_based on steps'!$B$1:$U$1,AE$1)</f>
        <v>0</v>
      </c>
      <c r="AF50" s="179"/>
      <c r="AG50" s="179"/>
      <c r="AH50" s="179"/>
      <c r="AI50" s="179"/>
      <c r="AJ50" s="179"/>
      <c r="AK50" s="179"/>
      <c r="AL50" s="179"/>
      <c r="AM50" s="179"/>
    </row>
    <row r="51" spans="1:39" x14ac:dyDescent="0.2">
      <c r="A51" s="32">
        <f t="shared" ca="1" si="0"/>
        <v>45800</v>
      </c>
      <c r="B51" s="179">
        <f>SUMIFS('recurring2_based on steps'!$B51:$AY51,'recurring2_based on steps'!$B$1:$AY$1,B$1)+SUMIFS('changes2_based on steps'!$B51:$U51,'changes2_based on steps'!$B$1:$U$1,B$1)</f>
        <v>0</v>
      </c>
      <c r="C51" s="179">
        <f>SUMIFS('recurring2_based on steps'!$B51:$AY51,'recurring2_based on steps'!$B$1:$AY$1,C$1)+SUMIFS('changes2_based on steps'!$B51:$U51,'changes2_based on steps'!$B$1:$U$1,C$1)</f>
        <v>0</v>
      </c>
      <c r="D51" s="179">
        <f>SUMIFS('recurring2_based on steps'!$B51:$AY51,'recurring2_based on steps'!$B$1:$AY$1,D$1)+SUMIFS('changes2_based on steps'!$B51:$U51,'changes2_based on steps'!$B$1:$U$1,D$1)</f>
        <v>0</v>
      </c>
      <c r="E51" s="179">
        <f>SUMIFS('recurring2_based on steps'!$B51:$AY51,'recurring2_based on steps'!$B$1:$AY$1,E$1)+SUMIFS('changes2_based on steps'!$B51:$U51,'changes2_based on steps'!$B$1:$U$1,E$1)</f>
        <v>0</v>
      </c>
      <c r="F51" s="179">
        <f>SUMIFS('recurring2_based on steps'!$B51:$AY51,'recurring2_based on steps'!$B$1:$AY$1,F$1)+SUMIFS('changes2_based on steps'!$B51:$U51,'changes2_based on steps'!$B$1:$U$1,F$1)</f>
        <v>0</v>
      </c>
      <c r="G51" s="179">
        <f>SUMIFS('recurring2_based on steps'!$B51:$AY51,'recurring2_based on steps'!$B$1:$AY$1,G$1)+SUMIFS('changes2_based on steps'!$B51:$U51,'changes2_based on steps'!$B$1:$U$1,G$1)</f>
        <v>0</v>
      </c>
      <c r="H51" s="179">
        <f>SUMIFS('recurring2_based on steps'!$B51:$AY51,'recurring2_based on steps'!$B$1:$AY$1,H$1)+SUMIFS('changes2_based on steps'!$B51:$U51,'changes2_based on steps'!$B$1:$U$1,H$1)</f>
        <v>0</v>
      </c>
      <c r="I51" s="179">
        <f>SUMIFS('recurring2_based on steps'!$B51:$AY51,'recurring2_based on steps'!$B$1:$AY$1,I$1)+SUMIFS('changes2_based on steps'!$B51:$U51,'changes2_based on steps'!$B$1:$U$1,I$1)</f>
        <v>0</v>
      </c>
      <c r="J51" s="179">
        <f>SUMIFS('recurring2_based on steps'!$B51:$AY51,'recurring2_based on steps'!$B$1:$AY$1,J$1)+SUMIFS('changes2_based on steps'!$B51:$U51,'changes2_based on steps'!$B$1:$U$1,J$1)</f>
        <v>0</v>
      </c>
      <c r="K51" s="179">
        <f>SUMIFS('recurring2_based on steps'!$B51:$AY51,'recurring2_based on steps'!$B$1:$AY$1,K$1)+SUMIFS('changes2_based on steps'!$B51:$U51,'changes2_based on steps'!$B$1:$U$1,K$1)</f>
        <v>0</v>
      </c>
      <c r="L51" s="179">
        <f>SUMIFS('recurring2_based on steps'!$B51:$AY51,'recurring2_based on steps'!$B$1:$AY$1,L$1)+SUMIFS('changes2_based on steps'!$B51:$U51,'changes2_based on steps'!$B$1:$U$1,L$1)</f>
        <v>0</v>
      </c>
      <c r="M51" s="179">
        <f>SUMIFS('recurring2_based on steps'!$B51:$AY51,'recurring2_based on steps'!$B$1:$AY$1,M$1)+SUMIFS('changes2_based on steps'!$B51:$U51,'changes2_based on steps'!$B$1:$U$1,M$1)</f>
        <v>0</v>
      </c>
      <c r="N51" s="179">
        <f>SUMIFS('recurring2_based on steps'!$B51:$AY51,'recurring2_based on steps'!$B$1:$AY$1,N$1)+SUMIFS('changes2_based on steps'!$B51:$U51,'changes2_based on steps'!$B$1:$U$1,N$1)</f>
        <v>0</v>
      </c>
      <c r="O51" s="179">
        <f>SUMIFS('recurring2_based on steps'!$B51:$AY51,'recurring2_based on steps'!$B$1:$AY$1,O$1)+SUMIFS('changes2_based on steps'!$B51:$U51,'changes2_based on steps'!$B$1:$U$1,O$1)</f>
        <v>0</v>
      </c>
      <c r="P51" s="179">
        <f>SUMIFS('recurring2_based on steps'!$B51:$AY51,'recurring2_based on steps'!$B$1:$AY$1,P$1)+SUMIFS('changes2_based on steps'!$B51:$U51,'changes2_based on steps'!$B$1:$U$1,P$1)</f>
        <v>0</v>
      </c>
      <c r="Q51" s="179">
        <f>SUMIFS('recurring2_based on steps'!$B51:$AY51,'recurring2_based on steps'!$B$1:$AY$1,Q$1)+SUMIFS('changes2_based on steps'!$B51:$U51,'changes2_based on steps'!$B$1:$U$1,Q$1)</f>
        <v>0</v>
      </c>
      <c r="R51" s="179">
        <f>SUMIFS('recurring2_based on steps'!$B51:$AY51,'recurring2_based on steps'!$B$1:$AY$1,R$1)+SUMIFS('changes2_based on steps'!$B51:$U51,'changes2_based on steps'!$B$1:$U$1,R$1)</f>
        <v>0</v>
      </c>
      <c r="S51" s="179">
        <f>SUMIFS('recurring2_based on steps'!$B51:$AY51,'recurring2_based on steps'!$B$1:$AY$1,S$1)+SUMIFS('changes2_based on steps'!$B51:$U51,'changes2_based on steps'!$B$1:$U$1,S$1)</f>
        <v>0</v>
      </c>
      <c r="T51" s="179">
        <f>SUMIFS('recurring2_based on steps'!$B51:$AY51,'recurring2_based on steps'!$B$1:$AY$1,T$1)+SUMIFS('changes2_based on steps'!$B51:$U51,'changes2_based on steps'!$B$1:$U$1,T$1)</f>
        <v>0</v>
      </c>
      <c r="U51" s="179">
        <f>SUMIFS('recurring2_based on steps'!$B51:$AY51,'recurring2_based on steps'!$B$1:$AY$1,U$1)+SUMIFS('changes2_based on steps'!$B51:$U51,'changes2_based on steps'!$B$1:$U$1,U$1)</f>
        <v>0</v>
      </c>
      <c r="V51" s="179">
        <f>SUMIFS('recurring2_based on steps'!$B51:$AY51,'recurring2_based on steps'!$B$1:$AY$1,V$1)+SUMIFS('changes2_based on steps'!$B51:$U51,'changes2_based on steps'!$B$1:$U$1,V$1)</f>
        <v>0</v>
      </c>
      <c r="W51" s="179">
        <f>SUMIFS('recurring2_based on steps'!$B51:$AY51,'recurring2_based on steps'!$B$1:$AY$1,W$1)+SUMIFS('changes2_based on steps'!$B51:$U51,'changes2_based on steps'!$B$1:$U$1,W$1)</f>
        <v>0</v>
      </c>
      <c r="X51" s="179">
        <f>SUMIFS('recurring2_based on steps'!$B51:$AY51,'recurring2_based on steps'!$B$1:$AY$1,X$1)+SUMIFS('changes2_based on steps'!$B51:$U51,'changes2_based on steps'!$B$1:$U$1,X$1)</f>
        <v>0</v>
      </c>
      <c r="Y51" s="179">
        <f>SUMIFS('recurring2_based on steps'!$B51:$AY51,'recurring2_based on steps'!$B$1:$AY$1,Y$1)+SUMIFS('changes2_based on steps'!$B51:$U51,'changes2_based on steps'!$B$1:$U$1,Y$1)</f>
        <v>0</v>
      </c>
      <c r="Z51" s="179">
        <f>SUMIFS('recurring2_based on steps'!$B51:$AY51,'recurring2_based on steps'!$B$1:$AY$1,Z$1)+SUMIFS('changes2_based on steps'!$B51:$U51,'changes2_based on steps'!$B$1:$U$1,Z$1)</f>
        <v>0</v>
      </c>
      <c r="AA51" s="179">
        <f>SUMIFS('recurring2_based on steps'!$B51:$AY51,'recurring2_based on steps'!$B$1:$AY$1,AA$1)+SUMIFS('changes2_based on steps'!$B51:$U51,'changes2_based on steps'!$B$1:$U$1,AA$1)</f>
        <v>0</v>
      </c>
      <c r="AB51" s="179">
        <f>SUMIFS('recurring2_based on steps'!$B51:$AY51,'recurring2_based on steps'!$B$1:$AY$1,AB$1)+SUMIFS('changes2_based on steps'!$B51:$U51,'changes2_based on steps'!$B$1:$U$1,AB$1)</f>
        <v>0</v>
      </c>
      <c r="AC51" s="179">
        <f>SUMIFS('recurring2_based on steps'!$B51:$AY51,'recurring2_based on steps'!$B$1:$AY$1,AC$1)+SUMIFS('changes2_based on steps'!$B51:$U51,'changes2_based on steps'!$B$1:$U$1,AC$1)</f>
        <v>0</v>
      </c>
      <c r="AD51" s="179">
        <f>SUMIFS('recurring2_based on steps'!$B51:$AY51,'recurring2_based on steps'!$B$1:$AY$1,AD$1)+SUMIFS('changes2_based on steps'!$B51:$U51,'changes2_based on steps'!$B$1:$U$1,AD$1)</f>
        <v>0</v>
      </c>
      <c r="AE51" s="179">
        <f>SUMIFS('recurring2_based on steps'!$B51:$AY51,'recurring2_based on steps'!$B$1:$AY$1,AE$1)+SUMIFS('changes2_based on steps'!$B51:$U51,'changes2_based on steps'!$B$1:$U$1,AE$1)</f>
        <v>0</v>
      </c>
      <c r="AF51" s="179"/>
      <c r="AG51" s="179"/>
      <c r="AH51" s="179"/>
      <c r="AI51" s="179"/>
      <c r="AJ51" s="179"/>
      <c r="AK51" s="179"/>
      <c r="AL51" s="179"/>
      <c r="AM51" s="179"/>
    </row>
    <row r="52" spans="1:39" x14ac:dyDescent="0.2">
      <c r="A52" s="32">
        <f t="shared" ca="1" si="0"/>
        <v>45801</v>
      </c>
      <c r="B52" s="179">
        <f>SUMIFS('recurring2_based on steps'!$B52:$AY52,'recurring2_based on steps'!$B$1:$AY$1,B$1)+SUMIFS('changes2_based on steps'!$B52:$U52,'changes2_based on steps'!$B$1:$U$1,B$1)</f>
        <v>0</v>
      </c>
      <c r="C52" s="179">
        <f>SUMIFS('recurring2_based on steps'!$B52:$AY52,'recurring2_based on steps'!$B$1:$AY$1,C$1)+SUMIFS('changes2_based on steps'!$B52:$U52,'changes2_based on steps'!$B$1:$U$1,C$1)</f>
        <v>0</v>
      </c>
      <c r="D52" s="179">
        <f>SUMIFS('recurring2_based on steps'!$B52:$AY52,'recurring2_based on steps'!$B$1:$AY$1,D$1)+SUMIFS('changes2_based on steps'!$B52:$U52,'changes2_based on steps'!$B$1:$U$1,D$1)</f>
        <v>0</v>
      </c>
      <c r="E52" s="179">
        <f>SUMIFS('recurring2_based on steps'!$B52:$AY52,'recurring2_based on steps'!$B$1:$AY$1,E$1)+SUMIFS('changes2_based on steps'!$B52:$U52,'changes2_based on steps'!$B$1:$U$1,E$1)</f>
        <v>0</v>
      </c>
      <c r="F52" s="179">
        <f>SUMIFS('recurring2_based on steps'!$B52:$AY52,'recurring2_based on steps'!$B$1:$AY$1,F$1)+SUMIFS('changes2_based on steps'!$B52:$U52,'changes2_based on steps'!$B$1:$U$1,F$1)</f>
        <v>0</v>
      </c>
      <c r="G52" s="179">
        <f>SUMIFS('recurring2_based on steps'!$B52:$AY52,'recurring2_based on steps'!$B$1:$AY$1,G$1)+SUMIFS('changes2_based on steps'!$B52:$U52,'changes2_based on steps'!$B$1:$U$1,G$1)</f>
        <v>0</v>
      </c>
      <c r="H52" s="179">
        <f>SUMIFS('recurring2_based on steps'!$B52:$AY52,'recurring2_based on steps'!$B$1:$AY$1,H$1)+SUMIFS('changes2_based on steps'!$B52:$U52,'changes2_based on steps'!$B$1:$U$1,H$1)</f>
        <v>0</v>
      </c>
      <c r="I52" s="179">
        <f>SUMIFS('recurring2_based on steps'!$B52:$AY52,'recurring2_based on steps'!$B$1:$AY$1,I$1)+SUMIFS('changes2_based on steps'!$B52:$U52,'changes2_based on steps'!$B$1:$U$1,I$1)</f>
        <v>0</v>
      </c>
      <c r="J52" s="179">
        <f>SUMIFS('recurring2_based on steps'!$B52:$AY52,'recurring2_based on steps'!$B$1:$AY$1,J$1)+SUMIFS('changes2_based on steps'!$B52:$U52,'changes2_based on steps'!$B$1:$U$1,J$1)</f>
        <v>0</v>
      </c>
      <c r="K52" s="179">
        <f>SUMIFS('recurring2_based on steps'!$B52:$AY52,'recurring2_based on steps'!$B$1:$AY$1,K$1)+SUMIFS('changes2_based on steps'!$B52:$U52,'changes2_based on steps'!$B$1:$U$1,K$1)</f>
        <v>0</v>
      </c>
      <c r="L52" s="179">
        <f>SUMIFS('recurring2_based on steps'!$B52:$AY52,'recurring2_based on steps'!$B$1:$AY$1,L$1)+SUMIFS('changes2_based on steps'!$B52:$U52,'changes2_based on steps'!$B$1:$U$1,L$1)</f>
        <v>0</v>
      </c>
      <c r="M52" s="179">
        <f>SUMIFS('recurring2_based on steps'!$B52:$AY52,'recurring2_based on steps'!$B$1:$AY$1,M$1)+SUMIFS('changes2_based on steps'!$B52:$U52,'changes2_based on steps'!$B$1:$U$1,M$1)</f>
        <v>0</v>
      </c>
      <c r="N52" s="179">
        <f>SUMIFS('recurring2_based on steps'!$B52:$AY52,'recurring2_based on steps'!$B$1:$AY$1,N$1)+SUMIFS('changes2_based on steps'!$B52:$U52,'changes2_based on steps'!$B$1:$U$1,N$1)</f>
        <v>0</v>
      </c>
      <c r="O52" s="179">
        <f>SUMIFS('recurring2_based on steps'!$B52:$AY52,'recurring2_based on steps'!$B$1:$AY$1,O$1)+SUMIFS('changes2_based on steps'!$B52:$U52,'changes2_based on steps'!$B$1:$U$1,O$1)</f>
        <v>0</v>
      </c>
      <c r="P52" s="179">
        <f>SUMIFS('recurring2_based on steps'!$B52:$AY52,'recurring2_based on steps'!$B$1:$AY$1,P$1)+SUMIFS('changes2_based on steps'!$B52:$U52,'changes2_based on steps'!$B$1:$U$1,P$1)</f>
        <v>0</v>
      </c>
      <c r="Q52" s="179">
        <f>SUMIFS('recurring2_based on steps'!$B52:$AY52,'recurring2_based on steps'!$B$1:$AY$1,Q$1)+SUMIFS('changes2_based on steps'!$B52:$U52,'changes2_based on steps'!$B$1:$U$1,Q$1)</f>
        <v>0</v>
      </c>
      <c r="R52" s="179">
        <f>SUMIFS('recurring2_based on steps'!$B52:$AY52,'recurring2_based on steps'!$B$1:$AY$1,R$1)+SUMIFS('changes2_based on steps'!$B52:$U52,'changes2_based on steps'!$B$1:$U$1,R$1)</f>
        <v>0</v>
      </c>
      <c r="S52" s="179">
        <f>SUMIFS('recurring2_based on steps'!$B52:$AY52,'recurring2_based on steps'!$B$1:$AY$1,S$1)+SUMIFS('changes2_based on steps'!$B52:$U52,'changes2_based on steps'!$B$1:$U$1,S$1)</f>
        <v>0</v>
      </c>
      <c r="T52" s="179">
        <f>SUMIFS('recurring2_based on steps'!$B52:$AY52,'recurring2_based on steps'!$B$1:$AY$1,T$1)+SUMIFS('changes2_based on steps'!$B52:$U52,'changes2_based on steps'!$B$1:$U$1,T$1)</f>
        <v>0</v>
      </c>
      <c r="U52" s="179">
        <f>SUMIFS('recurring2_based on steps'!$B52:$AY52,'recurring2_based on steps'!$B$1:$AY$1,U$1)+SUMIFS('changes2_based on steps'!$B52:$U52,'changes2_based on steps'!$B$1:$U$1,U$1)</f>
        <v>0</v>
      </c>
      <c r="V52" s="179">
        <f>SUMIFS('recurring2_based on steps'!$B52:$AY52,'recurring2_based on steps'!$B$1:$AY$1,V$1)+SUMIFS('changes2_based on steps'!$B52:$U52,'changes2_based on steps'!$B$1:$U$1,V$1)</f>
        <v>0</v>
      </c>
      <c r="W52" s="179">
        <f>SUMIFS('recurring2_based on steps'!$B52:$AY52,'recurring2_based on steps'!$B$1:$AY$1,W$1)+SUMIFS('changes2_based on steps'!$B52:$U52,'changes2_based on steps'!$B$1:$U$1,W$1)</f>
        <v>0</v>
      </c>
      <c r="X52" s="179">
        <f>SUMIFS('recurring2_based on steps'!$B52:$AY52,'recurring2_based on steps'!$B$1:$AY$1,X$1)+SUMIFS('changes2_based on steps'!$B52:$U52,'changes2_based on steps'!$B$1:$U$1,X$1)</f>
        <v>0</v>
      </c>
      <c r="Y52" s="179">
        <f>SUMIFS('recurring2_based on steps'!$B52:$AY52,'recurring2_based on steps'!$B$1:$AY$1,Y$1)+SUMIFS('changes2_based on steps'!$B52:$U52,'changes2_based on steps'!$B$1:$U$1,Y$1)</f>
        <v>0</v>
      </c>
      <c r="Z52" s="179">
        <f>SUMIFS('recurring2_based on steps'!$B52:$AY52,'recurring2_based on steps'!$B$1:$AY$1,Z$1)+SUMIFS('changes2_based on steps'!$B52:$U52,'changes2_based on steps'!$B$1:$U$1,Z$1)</f>
        <v>0</v>
      </c>
      <c r="AA52" s="179">
        <f>SUMIFS('recurring2_based on steps'!$B52:$AY52,'recurring2_based on steps'!$B$1:$AY$1,AA$1)+SUMIFS('changes2_based on steps'!$B52:$U52,'changes2_based on steps'!$B$1:$U$1,AA$1)</f>
        <v>0</v>
      </c>
      <c r="AB52" s="179">
        <f>SUMIFS('recurring2_based on steps'!$B52:$AY52,'recurring2_based on steps'!$B$1:$AY$1,AB$1)+SUMIFS('changes2_based on steps'!$B52:$U52,'changes2_based on steps'!$B$1:$U$1,AB$1)</f>
        <v>0</v>
      </c>
      <c r="AC52" s="179">
        <f>SUMIFS('recurring2_based on steps'!$B52:$AY52,'recurring2_based on steps'!$B$1:$AY$1,AC$1)+SUMIFS('changes2_based on steps'!$B52:$U52,'changes2_based on steps'!$B$1:$U$1,AC$1)</f>
        <v>0</v>
      </c>
      <c r="AD52" s="179">
        <f>SUMIFS('recurring2_based on steps'!$B52:$AY52,'recurring2_based on steps'!$B$1:$AY$1,AD$1)+SUMIFS('changes2_based on steps'!$B52:$U52,'changes2_based on steps'!$B$1:$U$1,AD$1)</f>
        <v>0</v>
      </c>
      <c r="AE52" s="179">
        <f>SUMIFS('recurring2_based on steps'!$B52:$AY52,'recurring2_based on steps'!$B$1:$AY$1,AE$1)+SUMIFS('changes2_based on steps'!$B52:$U52,'changes2_based on steps'!$B$1:$U$1,AE$1)</f>
        <v>0</v>
      </c>
      <c r="AF52" s="179"/>
      <c r="AG52" s="179"/>
      <c r="AH52" s="179"/>
      <c r="AI52" s="179"/>
      <c r="AJ52" s="179"/>
      <c r="AK52" s="179"/>
      <c r="AL52" s="179"/>
      <c r="AM52" s="179"/>
    </row>
    <row r="53" spans="1:39" x14ac:dyDescent="0.2">
      <c r="A53" s="32">
        <f t="shared" ca="1" si="0"/>
        <v>45802</v>
      </c>
      <c r="B53" s="179">
        <f>SUMIFS('recurring2_based on steps'!$B53:$AY53,'recurring2_based on steps'!$B$1:$AY$1,B$1)+SUMIFS('changes2_based on steps'!$B53:$U53,'changes2_based on steps'!$B$1:$U$1,B$1)</f>
        <v>0</v>
      </c>
      <c r="C53" s="179">
        <f>SUMIFS('recurring2_based on steps'!$B53:$AY53,'recurring2_based on steps'!$B$1:$AY$1,C$1)+SUMIFS('changes2_based on steps'!$B53:$U53,'changes2_based on steps'!$B$1:$U$1,C$1)</f>
        <v>0</v>
      </c>
      <c r="D53" s="179">
        <f>SUMIFS('recurring2_based on steps'!$B53:$AY53,'recurring2_based on steps'!$B$1:$AY$1,D$1)+SUMIFS('changes2_based on steps'!$B53:$U53,'changes2_based on steps'!$B$1:$U$1,D$1)</f>
        <v>0</v>
      </c>
      <c r="E53" s="179">
        <f>SUMIFS('recurring2_based on steps'!$B53:$AY53,'recurring2_based on steps'!$B$1:$AY$1,E$1)+SUMIFS('changes2_based on steps'!$B53:$U53,'changes2_based on steps'!$B$1:$U$1,E$1)</f>
        <v>0</v>
      </c>
      <c r="F53" s="179">
        <f>SUMIFS('recurring2_based on steps'!$B53:$AY53,'recurring2_based on steps'!$B$1:$AY$1,F$1)+SUMIFS('changes2_based on steps'!$B53:$U53,'changes2_based on steps'!$B$1:$U$1,F$1)</f>
        <v>0</v>
      </c>
      <c r="G53" s="179">
        <f>SUMIFS('recurring2_based on steps'!$B53:$AY53,'recurring2_based on steps'!$B$1:$AY$1,G$1)+SUMIFS('changes2_based on steps'!$B53:$U53,'changes2_based on steps'!$B$1:$U$1,G$1)</f>
        <v>0</v>
      </c>
      <c r="H53" s="179">
        <f>SUMIFS('recurring2_based on steps'!$B53:$AY53,'recurring2_based on steps'!$B$1:$AY$1,H$1)+SUMIFS('changes2_based on steps'!$B53:$U53,'changes2_based on steps'!$B$1:$U$1,H$1)</f>
        <v>0</v>
      </c>
      <c r="I53" s="179">
        <f>SUMIFS('recurring2_based on steps'!$B53:$AY53,'recurring2_based on steps'!$B$1:$AY$1,I$1)+SUMIFS('changes2_based on steps'!$B53:$U53,'changes2_based on steps'!$B$1:$U$1,I$1)</f>
        <v>0</v>
      </c>
      <c r="J53" s="179">
        <f>SUMIFS('recurring2_based on steps'!$B53:$AY53,'recurring2_based on steps'!$B$1:$AY$1,J$1)+SUMIFS('changes2_based on steps'!$B53:$U53,'changes2_based on steps'!$B$1:$U$1,J$1)</f>
        <v>0</v>
      </c>
      <c r="K53" s="179">
        <f>SUMIFS('recurring2_based on steps'!$B53:$AY53,'recurring2_based on steps'!$B$1:$AY$1,K$1)+SUMIFS('changes2_based on steps'!$B53:$U53,'changes2_based on steps'!$B$1:$U$1,K$1)</f>
        <v>0</v>
      </c>
      <c r="L53" s="179">
        <f>SUMIFS('recurring2_based on steps'!$B53:$AY53,'recurring2_based on steps'!$B$1:$AY$1,L$1)+SUMIFS('changes2_based on steps'!$B53:$U53,'changes2_based on steps'!$B$1:$U$1,L$1)</f>
        <v>0</v>
      </c>
      <c r="M53" s="179">
        <f>SUMIFS('recurring2_based on steps'!$B53:$AY53,'recurring2_based on steps'!$B$1:$AY$1,M$1)+SUMIFS('changes2_based on steps'!$B53:$U53,'changes2_based on steps'!$B$1:$U$1,M$1)</f>
        <v>0</v>
      </c>
      <c r="N53" s="179">
        <f>SUMIFS('recurring2_based on steps'!$B53:$AY53,'recurring2_based on steps'!$B$1:$AY$1,N$1)+SUMIFS('changes2_based on steps'!$B53:$U53,'changes2_based on steps'!$B$1:$U$1,N$1)</f>
        <v>0</v>
      </c>
      <c r="O53" s="179">
        <f>SUMIFS('recurring2_based on steps'!$B53:$AY53,'recurring2_based on steps'!$B$1:$AY$1,O$1)+SUMIFS('changes2_based on steps'!$B53:$U53,'changes2_based on steps'!$B$1:$U$1,O$1)</f>
        <v>0</v>
      </c>
      <c r="P53" s="179">
        <f>SUMIFS('recurring2_based on steps'!$B53:$AY53,'recurring2_based on steps'!$B$1:$AY$1,P$1)+SUMIFS('changes2_based on steps'!$B53:$U53,'changes2_based on steps'!$B$1:$U$1,P$1)</f>
        <v>0</v>
      </c>
      <c r="Q53" s="179">
        <f>SUMIFS('recurring2_based on steps'!$B53:$AY53,'recurring2_based on steps'!$B$1:$AY$1,Q$1)+SUMIFS('changes2_based on steps'!$B53:$U53,'changes2_based on steps'!$B$1:$U$1,Q$1)</f>
        <v>0</v>
      </c>
      <c r="R53" s="179">
        <f>SUMIFS('recurring2_based on steps'!$B53:$AY53,'recurring2_based on steps'!$B$1:$AY$1,R$1)+SUMIFS('changes2_based on steps'!$B53:$U53,'changes2_based on steps'!$B$1:$U$1,R$1)</f>
        <v>0</v>
      </c>
      <c r="S53" s="179">
        <f>SUMIFS('recurring2_based on steps'!$B53:$AY53,'recurring2_based on steps'!$B$1:$AY$1,S$1)+SUMIFS('changes2_based on steps'!$B53:$U53,'changes2_based on steps'!$B$1:$U$1,S$1)</f>
        <v>0</v>
      </c>
      <c r="T53" s="179">
        <f>SUMIFS('recurring2_based on steps'!$B53:$AY53,'recurring2_based on steps'!$B$1:$AY$1,T$1)+SUMIFS('changes2_based on steps'!$B53:$U53,'changes2_based on steps'!$B$1:$U$1,T$1)</f>
        <v>0</v>
      </c>
      <c r="U53" s="179">
        <f>SUMIFS('recurring2_based on steps'!$B53:$AY53,'recurring2_based on steps'!$B$1:$AY$1,U$1)+SUMIFS('changes2_based on steps'!$B53:$U53,'changes2_based on steps'!$B$1:$U$1,U$1)</f>
        <v>0</v>
      </c>
      <c r="V53" s="179">
        <f>SUMIFS('recurring2_based on steps'!$B53:$AY53,'recurring2_based on steps'!$B$1:$AY$1,V$1)+SUMIFS('changes2_based on steps'!$B53:$U53,'changes2_based on steps'!$B$1:$U$1,V$1)</f>
        <v>0</v>
      </c>
      <c r="W53" s="179">
        <f>SUMIFS('recurring2_based on steps'!$B53:$AY53,'recurring2_based on steps'!$B$1:$AY$1,W$1)+SUMIFS('changes2_based on steps'!$B53:$U53,'changes2_based on steps'!$B$1:$U$1,W$1)</f>
        <v>0</v>
      </c>
      <c r="X53" s="179">
        <f>SUMIFS('recurring2_based on steps'!$B53:$AY53,'recurring2_based on steps'!$B$1:$AY$1,X$1)+SUMIFS('changes2_based on steps'!$B53:$U53,'changes2_based on steps'!$B$1:$U$1,X$1)</f>
        <v>0</v>
      </c>
      <c r="Y53" s="179">
        <f>SUMIFS('recurring2_based on steps'!$B53:$AY53,'recurring2_based on steps'!$B$1:$AY$1,Y$1)+SUMIFS('changes2_based on steps'!$B53:$U53,'changes2_based on steps'!$B$1:$U$1,Y$1)</f>
        <v>0</v>
      </c>
      <c r="Z53" s="179">
        <f>SUMIFS('recurring2_based on steps'!$B53:$AY53,'recurring2_based on steps'!$B$1:$AY$1,Z$1)+SUMIFS('changes2_based on steps'!$B53:$U53,'changes2_based on steps'!$B$1:$U$1,Z$1)</f>
        <v>0</v>
      </c>
      <c r="AA53" s="179">
        <f>SUMIFS('recurring2_based on steps'!$B53:$AY53,'recurring2_based on steps'!$B$1:$AY$1,AA$1)+SUMIFS('changes2_based on steps'!$B53:$U53,'changes2_based on steps'!$B$1:$U$1,AA$1)</f>
        <v>0</v>
      </c>
      <c r="AB53" s="179">
        <f>SUMIFS('recurring2_based on steps'!$B53:$AY53,'recurring2_based on steps'!$B$1:$AY$1,AB$1)+SUMIFS('changes2_based on steps'!$B53:$U53,'changes2_based on steps'!$B$1:$U$1,AB$1)</f>
        <v>0</v>
      </c>
      <c r="AC53" s="179">
        <f>SUMIFS('recurring2_based on steps'!$B53:$AY53,'recurring2_based on steps'!$B$1:$AY$1,AC$1)+SUMIFS('changes2_based on steps'!$B53:$U53,'changes2_based on steps'!$B$1:$U$1,AC$1)</f>
        <v>0</v>
      </c>
      <c r="AD53" s="179">
        <f>SUMIFS('recurring2_based on steps'!$B53:$AY53,'recurring2_based on steps'!$B$1:$AY$1,AD$1)+SUMIFS('changes2_based on steps'!$B53:$U53,'changes2_based on steps'!$B$1:$U$1,AD$1)</f>
        <v>0</v>
      </c>
      <c r="AE53" s="179">
        <f>SUMIFS('recurring2_based on steps'!$B53:$AY53,'recurring2_based on steps'!$B$1:$AY$1,AE$1)+SUMIFS('changes2_based on steps'!$B53:$U53,'changes2_based on steps'!$B$1:$U$1,AE$1)</f>
        <v>0</v>
      </c>
      <c r="AF53" s="179"/>
      <c r="AG53" s="179"/>
      <c r="AH53" s="179"/>
      <c r="AI53" s="179"/>
      <c r="AJ53" s="179"/>
      <c r="AK53" s="179"/>
      <c r="AL53" s="179"/>
      <c r="AM53" s="179"/>
    </row>
    <row r="54" spans="1:39" x14ac:dyDescent="0.2">
      <c r="A54" s="32">
        <f t="shared" ca="1" si="0"/>
        <v>45803</v>
      </c>
      <c r="B54" s="179">
        <f>SUMIFS('recurring2_based on steps'!$B54:$AY54,'recurring2_based on steps'!$B$1:$AY$1,B$1)+SUMIFS('changes2_based on steps'!$B54:$U54,'changes2_based on steps'!$B$1:$U$1,B$1)</f>
        <v>0</v>
      </c>
      <c r="C54" s="179">
        <f>SUMIFS('recurring2_based on steps'!$B54:$AY54,'recurring2_based on steps'!$B$1:$AY$1,C$1)+SUMIFS('changes2_based on steps'!$B54:$U54,'changes2_based on steps'!$B$1:$U$1,C$1)</f>
        <v>0</v>
      </c>
      <c r="D54" s="179">
        <f>SUMIFS('recurring2_based on steps'!$B54:$AY54,'recurring2_based on steps'!$B$1:$AY$1,D$1)+SUMIFS('changes2_based on steps'!$B54:$U54,'changes2_based on steps'!$B$1:$U$1,D$1)</f>
        <v>0</v>
      </c>
      <c r="E54" s="179">
        <f>SUMIFS('recurring2_based on steps'!$B54:$AY54,'recurring2_based on steps'!$B$1:$AY$1,E$1)+SUMIFS('changes2_based on steps'!$B54:$U54,'changes2_based on steps'!$B$1:$U$1,E$1)</f>
        <v>0</v>
      </c>
      <c r="F54" s="179">
        <f>SUMIFS('recurring2_based on steps'!$B54:$AY54,'recurring2_based on steps'!$B$1:$AY$1,F$1)+SUMIFS('changes2_based on steps'!$B54:$U54,'changes2_based on steps'!$B$1:$U$1,F$1)</f>
        <v>0</v>
      </c>
      <c r="G54" s="179">
        <f>SUMIFS('recurring2_based on steps'!$B54:$AY54,'recurring2_based on steps'!$B$1:$AY$1,G$1)+SUMIFS('changes2_based on steps'!$B54:$U54,'changes2_based on steps'!$B$1:$U$1,G$1)</f>
        <v>0</v>
      </c>
      <c r="H54" s="179">
        <f>SUMIFS('recurring2_based on steps'!$B54:$AY54,'recurring2_based on steps'!$B$1:$AY$1,H$1)+SUMIFS('changes2_based on steps'!$B54:$U54,'changes2_based on steps'!$B$1:$U$1,H$1)</f>
        <v>0</v>
      </c>
      <c r="I54" s="179">
        <f>SUMIFS('recurring2_based on steps'!$B54:$AY54,'recurring2_based on steps'!$B$1:$AY$1,I$1)+SUMIFS('changes2_based on steps'!$B54:$U54,'changes2_based on steps'!$B$1:$U$1,I$1)</f>
        <v>0</v>
      </c>
      <c r="J54" s="179">
        <f>SUMIFS('recurring2_based on steps'!$B54:$AY54,'recurring2_based on steps'!$B$1:$AY$1,J$1)+SUMIFS('changes2_based on steps'!$B54:$U54,'changes2_based on steps'!$B$1:$U$1,J$1)</f>
        <v>0</v>
      </c>
      <c r="K54" s="179">
        <f>SUMIFS('recurring2_based on steps'!$B54:$AY54,'recurring2_based on steps'!$B$1:$AY$1,K$1)+SUMIFS('changes2_based on steps'!$B54:$U54,'changes2_based on steps'!$B$1:$U$1,K$1)</f>
        <v>0</v>
      </c>
      <c r="L54" s="179">
        <f>SUMIFS('recurring2_based on steps'!$B54:$AY54,'recurring2_based on steps'!$B$1:$AY$1,L$1)+SUMIFS('changes2_based on steps'!$B54:$U54,'changes2_based on steps'!$B$1:$U$1,L$1)</f>
        <v>0</v>
      </c>
      <c r="M54" s="179">
        <f>SUMIFS('recurring2_based on steps'!$B54:$AY54,'recurring2_based on steps'!$B$1:$AY$1,M$1)+SUMIFS('changes2_based on steps'!$B54:$U54,'changes2_based on steps'!$B$1:$U$1,M$1)</f>
        <v>0</v>
      </c>
      <c r="N54" s="179">
        <f>SUMIFS('recurring2_based on steps'!$B54:$AY54,'recurring2_based on steps'!$B$1:$AY$1,N$1)+SUMIFS('changes2_based on steps'!$B54:$U54,'changes2_based on steps'!$B$1:$U$1,N$1)</f>
        <v>0</v>
      </c>
      <c r="O54" s="179">
        <f>SUMIFS('recurring2_based on steps'!$B54:$AY54,'recurring2_based on steps'!$B$1:$AY$1,O$1)+SUMIFS('changes2_based on steps'!$B54:$U54,'changes2_based on steps'!$B$1:$U$1,O$1)</f>
        <v>0</v>
      </c>
      <c r="P54" s="179">
        <f>SUMIFS('recurring2_based on steps'!$B54:$AY54,'recurring2_based on steps'!$B$1:$AY$1,P$1)+SUMIFS('changes2_based on steps'!$B54:$U54,'changes2_based on steps'!$B$1:$U$1,P$1)</f>
        <v>0</v>
      </c>
      <c r="Q54" s="179">
        <f>SUMIFS('recurring2_based on steps'!$B54:$AY54,'recurring2_based on steps'!$B$1:$AY$1,Q$1)+SUMIFS('changes2_based on steps'!$B54:$U54,'changes2_based on steps'!$B$1:$U$1,Q$1)</f>
        <v>0</v>
      </c>
      <c r="R54" s="179">
        <f>SUMIFS('recurring2_based on steps'!$B54:$AY54,'recurring2_based on steps'!$B$1:$AY$1,R$1)+SUMIFS('changes2_based on steps'!$B54:$U54,'changes2_based on steps'!$B$1:$U$1,R$1)</f>
        <v>0</v>
      </c>
      <c r="S54" s="179">
        <f>SUMIFS('recurring2_based on steps'!$B54:$AY54,'recurring2_based on steps'!$B$1:$AY$1,S$1)+SUMIFS('changes2_based on steps'!$B54:$U54,'changes2_based on steps'!$B$1:$U$1,S$1)</f>
        <v>0</v>
      </c>
      <c r="T54" s="179">
        <f>SUMIFS('recurring2_based on steps'!$B54:$AY54,'recurring2_based on steps'!$B$1:$AY$1,T$1)+SUMIFS('changes2_based on steps'!$B54:$U54,'changes2_based on steps'!$B$1:$U$1,T$1)</f>
        <v>0</v>
      </c>
      <c r="U54" s="179">
        <f>SUMIFS('recurring2_based on steps'!$B54:$AY54,'recurring2_based on steps'!$B$1:$AY$1,U$1)+SUMIFS('changes2_based on steps'!$B54:$U54,'changes2_based on steps'!$B$1:$U$1,U$1)</f>
        <v>0</v>
      </c>
      <c r="V54" s="179">
        <f>SUMIFS('recurring2_based on steps'!$B54:$AY54,'recurring2_based on steps'!$B$1:$AY$1,V$1)+SUMIFS('changes2_based on steps'!$B54:$U54,'changes2_based on steps'!$B$1:$U$1,V$1)</f>
        <v>0</v>
      </c>
      <c r="W54" s="179">
        <f>SUMIFS('recurring2_based on steps'!$B54:$AY54,'recurring2_based on steps'!$B$1:$AY$1,W$1)+SUMIFS('changes2_based on steps'!$B54:$U54,'changes2_based on steps'!$B$1:$U$1,W$1)</f>
        <v>0</v>
      </c>
      <c r="X54" s="179">
        <f>SUMIFS('recurring2_based on steps'!$B54:$AY54,'recurring2_based on steps'!$B$1:$AY$1,X$1)+SUMIFS('changes2_based on steps'!$B54:$U54,'changes2_based on steps'!$B$1:$U$1,X$1)</f>
        <v>0</v>
      </c>
      <c r="Y54" s="179">
        <f>SUMIFS('recurring2_based on steps'!$B54:$AY54,'recurring2_based on steps'!$B$1:$AY$1,Y$1)+SUMIFS('changes2_based on steps'!$B54:$U54,'changes2_based on steps'!$B$1:$U$1,Y$1)</f>
        <v>0</v>
      </c>
      <c r="Z54" s="179">
        <f>SUMIFS('recurring2_based on steps'!$B54:$AY54,'recurring2_based on steps'!$B$1:$AY$1,Z$1)+SUMIFS('changes2_based on steps'!$B54:$U54,'changes2_based on steps'!$B$1:$U$1,Z$1)</f>
        <v>0</v>
      </c>
      <c r="AA54" s="179">
        <f>SUMIFS('recurring2_based on steps'!$B54:$AY54,'recurring2_based on steps'!$B$1:$AY$1,AA$1)+SUMIFS('changes2_based on steps'!$B54:$U54,'changes2_based on steps'!$B$1:$U$1,AA$1)</f>
        <v>0</v>
      </c>
      <c r="AB54" s="179">
        <f>SUMIFS('recurring2_based on steps'!$B54:$AY54,'recurring2_based on steps'!$B$1:$AY$1,AB$1)+SUMIFS('changes2_based on steps'!$B54:$U54,'changes2_based on steps'!$B$1:$U$1,AB$1)</f>
        <v>0</v>
      </c>
      <c r="AC54" s="179">
        <f>SUMIFS('recurring2_based on steps'!$B54:$AY54,'recurring2_based on steps'!$B$1:$AY$1,AC$1)+SUMIFS('changes2_based on steps'!$B54:$U54,'changes2_based on steps'!$B$1:$U$1,AC$1)</f>
        <v>0</v>
      </c>
      <c r="AD54" s="179">
        <f>SUMIFS('recurring2_based on steps'!$B54:$AY54,'recurring2_based on steps'!$B$1:$AY$1,AD$1)+SUMIFS('changes2_based on steps'!$B54:$U54,'changes2_based on steps'!$B$1:$U$1,AD$1)</f>
        <v>0</v>
      </c>
      <c r="AE54" s="179">
        <f>SUMIFS('recurring2_based on steps'!$B54:$AY54,'recurring2_based on steps'!$B$1:$AY$1,AE$1)+SUMIFS('changes2_based on steps'!$B54:$U54,'changes2_based on steps'!$B$1:$U$1,AE$1)</f>
        <v>0</v>
      </c>
      <c r="AF54" s="179"/>
      <c r="AG54" s="179"/>
      <c r="AH54" s="179"/>
      <c r="AI54" s="179"/>
      <c r="AJ54" s="179"/>
      <c r="AK54" s="179"/>
      <c r="AL54" s="179"/>
      <c r="AM54" s="179"/>
    </row>
    <row r="55" spans="1:39" x14ac:dyDescent="0.2">
      <c r="A55" s="32">
        <f t="shared" ca="1" si="0"/>
        <v>45804</v>
      </c>
      <c r="B55" s="179">
        <f>SUMIFS('recurring2_based on steps'!$B55:$AY55,'recurring2_based on steps'!$B$1:$AY$1,B$1)+SUMIFS('changes2_based on steps'!$B55:$U55,'changes2_based on steps'!$B$1:$U$1,B$1)</f>
        <v>0</v>
      </c>
      <c r="C55" s="179">
        <f>SUMIFS('recurring2_based on steps'!$B55:$AY55,'recurring2_based on steps'!$B$1:$AY$1,C$1)+SUMIFS('changes2_based on steps'!$B55:$U55,'changes2_based on steps'!$B$1:$U$1,C$1)</f>
        <v>0</v>
      </c>
      <c r="D55" s="179">
        <f>SUMIFS('recurring2_based on steps'!$B55:$AY55,'recurring2_based on steps'!$B$1:$AY$1,D$1)+SUMIFS('changes2_based on steps'!$B55:$U55,'changes2_based on steps'!$B$1:$U$1,D$1)</f>
        <v>0</v>
      </c>
      <c r="E55" s="179">
        <f>SUMIFS('recurring2_based on steps'!$B55:$AY55,'recurring2_based on steps'!$B$1:$AY$1,E$1)+SUMIFS('changes2_based on steps'!$B55:$U55,'changes2_based on steps'!$B$1:$U$1,E$1)</f>
        <v>0</v>
      </c>
      <c r="F55" s="179">
        <f>SUMIFS('recurring2_based on steps'!$B55:$AY55,'recurring2_based on steps'!$B$1:$AY$1,F$1)+SUMIFS('changes2_based on steps'!$B55:$U55,'changes2_based on steps'!$B$1:$U$1,F$1)</f>
        <v>0</v>
      </c>
      <c r="G55" s="179">
        <f>SUMIFS('recurring2_based on steps'!$B55:$AY55,'recurring2_based on steps'!$B$1:$AY$1,G$1)+SUMIFS('changes2_based on steps'!$B55:$U55,'changes2_based on steps'!$B$1:$U$1,G$1)</f>
        <v>0</v>
      </c>
      <c r="H55" s="179">
        <f>SUMIFS('recurring2_based on steps'!$B55:$AY55,'recurring2_based on steps'!$B$1:$AY$1,H$1)+SUMIFS('changes2_based on steps'!$B55:$U55,'changes2_based on steps'!$B$1:$U$1,H$1)</f>
        <v>0</v>
      </c>
      <c r="I55" s="179">
        <f>SUMIFS('recurring2_based on steps'!$B55:$AY55,'recurring2_based on steps'!$B$1:$AY$1,I$1)+SUMIFS('changes2_based on steps'!$B55:$U55,'changes2_based on steps'!$B$1:$U$1,I$1)</f>
        <v>0</v>
      </c>
      <c r="J55" s="179">
        <f>SUMIFS('recurring2_based on steps'!$B55:$AY55,'recurring2_based on steps'!$B$1:$AY$1,J$1)+SUMIFS('changes2_based on steps'!$B55:$U55,'changes2_based on steps'!$B$1:$U$1,J$1)</f>
        <v>0</v>
      </c>
      <c r="K55" s="179">
        <f>SUMIFS('recurring2_based on steps'!$B55:$AY55,'recurring2_based on steps'!$B$1:$AY$1,K$1)+SUMIFS('changes2_based on steps'!$B55:$U55,'changes2_based on steps'!$B$1:$U$1,K$1)</f>
        <v>0</v>
      </c>
      <c r="L55" s="179">
        <f>SUMIFS('recurring2_based on steps'!$B55:$AY55,'recurring2_based on steps'!$B$1:$AY$1,L$1)+SUMIFS('changes2_based on steps'!$B55:$U55,'changes2_based on steps'!$B$1:$U$1,L$1)</f>
        <v>0</v>
      </c>
      <c r="M55" s="179">
        <f>SUMIFS('recurring2_based on steps'!$B55:$AY55,'recurring2_based on steps'!$B$1:$AY$1,M$1)+SUMIFS('changes2_based on steps'!$B55:$U55,'changes2_based on steps'!$B$1:$U$1,M$1)</f>
        <v>0</v>
      </c>
      <c r="N55" s="179">
        <f>SUMIFS('recurring2_based on steps'!$B55:$AY55,'recurring2_based on steps'!$B$1:$AY$1,N$1)+SUMIFS('changes2_based on steps'!$B55:$U55,'changes2_based on steps'!$B$1:$U$1,N$1)</f>
        <v>0</v>
      </c>
      <c r="O55" s="179">
        <f>SUMIFS('recurring2_based on steps'!$B55:$AY55,'recurring2_based on steps'!$B$1:$AY$1,O$1)+SUMIFS('changes2_based on steps'!$B55:$U55,'changes2_based on steps'!$B$1:$U$1,O$1)</f>
        <v>0</v>
      </c>
      <c r="P55" s="179">
        <f>SUMIFS('recurring2_based on steps'!$B55:$AY55,'recurring2_based on steps'!$B$1:$AY$1,P$1)+SUMIFS('changes2_based on steps'!$B55:$U55,'changes2_based on steps'!$B$1:$U$1,P$1)</f>
        <v>0</v>
      </c>
      <c r="Q55" s="179">
        <f>SUMIFS('recurring2_based on steps'!$B55:$AY55,'recurring2_based on steps'!$B$1:$AY$1,Q$1)+SUMIFS('changes2_based on steps'!$B55:$U55,'changes2_based on steps'!$B$1:$U$1,Q$1)</f>
        <v>0</v>
      </c>
      <c r="R55" s="179">
        <f>SUMIFS('recurring2_based on steps'!$B55:$AY55,'recurring2_based on steps'!$B$1:$AY$1,R$1)+SUMIFS('changes2_based on steps'!$B55:$U55,'changes2_based on steps'!$B$1:$U$1,R$1)</f>
        <v>0</v>
      </c>
      <c r="S55" s="179">
        <f>SUMIFS('recurring2_based on steps'!$B55:$AY55,'recurring2_based on steps'!$B$1:$AY$1,S$1)+SUMIFS('changes2_based on steps'!$B55:$U55,'changes2_based on steps'!$B$1:$U$1,S$1)</f>
        <v>0</v>
      </c>
      <c r="T55" s="179">
        <f>SUMIFS('recurring2_based on steps'!$B55:$AY55,'recurring2_based on steps'!$B$1:$AY$1,T$1)+SUMIFS('changes2_based on steps'!$B55:$U55,'changes2_based on steps'!$B$1:$U$1,T$1)</f>
        <v>0</v>
      </c>
      <c r="U55" s="179">
        <f>SUMIFS('recurring2_based on steps'!$B55:$AY55,'recurring2_based on steps'!$B$1:$AY$1,U$1)+SUMIFS('changes2_based on steps'!$B55:$U55,'changes2_based on steps'!$B$1:$U$1,U$1)</f>
        <v>0</v>
      </c>
      <c r="V55" s="179">
        <f>SUMIFS('recurring2_based on steps'!$B55:$AY55,'recurring2_based on steps'!$B$1:$AY$1,V$1)+SUMIFS('changes2_based on steps'!$B55:$U55,'changes2_based on steps'!$B$1:$U$1,V$1)</f>
        <v>0</v>
      </c>
      <c r="W55" s="179">
        <f>SUMIFS('recurring2_based on steps'!$B55:$AY55,'recurring2_based on steps'!$B$1:$AY$1,W$1)+SUMIFS('changes2_based on steps'!$B55:$U55,'changes2_based on steps'!$B$1:$U$1,W$1)</f>
        <v>0</v>
      </c>
      <c r="X55" s="179">
        <f>SUMIFS('recurring2_based on steps'!$B55:$AY55,'recurring2_based on steps'!$B$1:$AY$1,X$1)+SUMIFS('changes2_based on steps'!$B55:$U55,'changes2_based on steps'!$B$1:$U$1,X$1)</f>
        <v>0</v>
      </c>
      <c r="Y55" s="179">
        <f>SUMIFS('recurring2_based on steps'!$B55:$AY55,'recurring2_based on steps'!$B$1:$AY$1,Y$1)+SUMIFS('changes2_based on steps'!$B55:$U55,'changes2_based on steps'!$B$1:$U$1,Y$1)</f>
        <v>0</v>
      </c>
      <c r="Z55" s="179">
        <f>SUMIFS('recurring2_based on steps'!$B55:$AY55,'recurring2_based on steps'!$B$1:$AY$1,Z$1)+SUMIFS('changes2_based on steps'!$B55:$U55,'changes2_based on steps'!$B$1:$U$1,Z$1)</f>
        <v>0</v>
      </c>
      <c r="AA55" s="179">
        <f>SUMIFS('recurring2_based on steps'!$B55:$AY55,'recurring2_based on steps'!$B$1:$AY$1,AA$1)+SUMIFS('changes2_based on steps'!$B55:$U55,'changes2_based on steps'!$B$1:$U$1,AA$1)</f>
        <v>0</v>
      </c>
      <c r="AB55" s="179">
        <f>SUMIFS('recurring2_based on steps'!$B55:$AY55,'recurring2_based on steps'!$B$1:$AY$1,AB$1)+SUMIFS('changes2_based on steps'!$B55:$U55,'changes2_based on steps'!$B$1:$U$1,AB$1)</f>
        <v>0</v>
      </c>
      <c r="AC55" s="179">
        <f>SUMIFS('recurring2_based on steps'!$B55:$AY55,'recurring2_based on steps'!$B$1:$AY$1,AC$1)+SUMIFS('changes2_based on steps'!$B55:$U55,'changes2_based on steps'!$B$1:$U$1,AC$1)</f>
        <v>0</v>
      </c>
      <c r="AD55" s="179">
        <f>SUMIFS('recurring2_based on steps'!$B55:$AY55,'recurring2_based on steps'!$B$1:$AY$1,AD$1)+SUMIFS('changes2_based on steps'!$B55:$U55,'changes2_based on steps'!$B$1:$U$1,AD$1)</f>
        <v>0</v>
      </c>
      <c r="AE55" s="179">
        <f>SUMIFS('recurring2_based on steps'!$B55:$AY55,'recurring2_based on steps'!$B$1:$AY$1,AE$1)+SUMIFS('changes2_based on steps'!$B55:$U55,'changes2_based on steps'!$B$1:$U$1,AE$1)</f>
        <v>0</v>
      </c>
      <c r="AF55" s="179"/>
      <c r="AG55" s="179"/>
      <c r="AH55" s="179"/>
      <c r="AI55" s="179"/>
      <c r="AJ55" s="179"/>
      <c r="AK55" s="179"/>
      <c r="AL55" s="179"/>
      <c r="AM55" s="179"/>
    </row>
    <row r="56" spans="1:39" x14ac:dyDescent="0.2">
      <c r="A56" s="32">
        <f t="shared" ca="1" si="0"/>
        <v>45805</v>
      </c>
      <c r="B56" s="179">
        <f>SUMIFS('recurring2_based on steps'!$B56:$AY56,'recurring2_based on steps'!$B$1:$AY$1,B$1)+SUMIFS('changes2_based on steps'!$B56:$U56,'changes2_based on steps'!$B$1:$U$1,B$1)</f>
        <v>0</v>
      </c>
      <c r="C56" s="179">
        <f>SUMIFS('recurring2_based on steps'!$B56:$AY56,'recurring2_based on steps'!$B$1:$AY$1,C$1)+SUMIFS('changes2_based on steps'!$B56:$U56,'changes2_based on steps'!$B$1:$U$1,C$1)</f>
        <v>0</v>
      </c>
      <c r="D56" s="179">
        <f>SUMIFS('recurring2_based on steps'!$B56:$AY56,'recurring2_based on steps'!$B$1:$AY$1,D$1)+SUMIFS('changes2_based on steps'!$B56:$U56,'changes2_based on steps'!$B$1:$U$1,D$1)</f>
        <v>0</v>
      </c>
      <c r="E56" s="179">
        <f>SUMIFS('recurring2_based on steps'!$B56:$AY56,'recurring2_based on steps'!$B$1:$AY$1,E$1)+SUMIFS('changes2_based on steps'!$B56:$U56,'changes2_based on steps'!$B$1:$U$1,E$1)</f>
        <v>0</v>
      </c>
      <c r="F56" s="179">
        <f>SUMIFS('recurring2_based on steps'!$B56:$AY56,'recurring2_based on steps'!$B$1:$AY$1,F$1)+SUMIFS('changes2_based on steps'!$B56:$U56,'changes2_based on steps'!$B$1:$U$1,F$1)</f>
        <v>0</v>
      </c>
      <c r="G56" s="179">
        <f>SUMIFS('recurring2_based on steps'!$B56:$AY56,'recurring2_based on steps'!$B$1:$AY$1,G$1)+SUMIFS('changes2_based on steps'!$B56:$U56,'changes2_based on steps'!$B$1:$U$1,G$1)</f>
        <v>0</v>
      </c>
      <c r="H56" s="179">
        <f>SUMIFS('recurring2_based on steps'!$B56:$AY56,'recurring2_based on steps'!$B$1:$AY$1,H$1)+SUMIFS('changes2_based on steps'!$B56:$U56,'changes2_based on steps'!$B$1:$U$1,H$1)</f>
        <v>0</v>
      </c>
      <c r="I56" s="179">
        <f>SUMIFS('recurring2_based on steps'!$B56:$AY56,'recurring2_based on steps'!$B$1:$AY$1,I$1)+SUMIFS('changes2_based on steps'!$B56:$U56,'changes2_based on steps'!$B$1:$U$1,I$1)</f>
        <v>0</v>
      </c>
      <c r="J56" s="179">
        <f>SUMIFS('recurring2_based on steps'!$B56:$AY56,'recurring2_based on steps'!$B$1:$AY$1,J$1)+SUMIFS('changes2_based on steps'!$B56:$U56,'changes2_based on steps'!$B$1:$U$1,J$1)</f>
        <v>0</v>
      </c>
      <c r="K56" s="179">
        <f>SUMIFS('recurring2_based on steps'!$B56:$AY56,'recurring2_based on steps'!$B$1:$AY$1,K$1)+SUMIFS('changes2_based on steps'!$B56:$U56,'changes2_based on steps'!$B$1:$U$1,K$1)</f>
        <v>0</v>
      </c>
      <c r="L56" s="179">
        <f>SUMIFS('recurring2_based on steps'!$B56:$AY56,'recurring2_based on steps'!$B$1:$AY$1,L$1)+SUMIFS('changes2_based on steps'!$B56:$U56,'changes2_based on steps'!$B$1:$U$1,L$1)</f>
        <v>0</v>
      </c>
      <c r="M56" s="179">
        <f>SUMIFS('recurring2_based on steps'!$B56:$AY56,'recurring2_based on steps'!$B$1:$AY$1,M$1)+SUMIFS('changes2_based on steps'!$B56:$U56,'changes2_based on steps'!$B$1:$U$1,M$1)</f>
        <v>0</v>
      </c>
      <c r="N56" s="179">
        <f>SUMIFS('recurring2_based on steps'!$B56:$AY56,'recurring2_based on steps'!$B$1:$AY$1,N$1)+SUMIFS('changes2_based on steps'!$B56:$U56,'changes2_based on steps'!$B$1:$U$1,N$1)</f>
        <v>0</v>
      </c>
      <c r="O56" s="179">
        <f>SUMIFS('recurring2_based on steps'!$B56:$AY56,'recurring2_based on steps'!$B$1:$AY$1,O$1)+SUMIFS('changes2_based on steps'!$B56:$U56,'changes2_based on steps'!$B$1:$U$1,O$1)</f>
        <v>0</v>
      </c>
      <c r="P56" s="179">
        <f>SUMIFS('recurring2_based on steps'!$B56:$AY56,'recurring2_based on steps'!$B$1:$AY$1,P$1)+SUMIFS('changes2_based on steps'!$B56:$U56,'changes2_based on steps'!$B$1:$U$1,P$1)</f>
        <v>0</v>
      </c>
      <c r="Q56" s="179">
        <f>SUMIFS('recurring2_based on steps'!$B56:$AY56,'recurring2_based on steps'!$B$1:$AY$1,Q$1)+SUMIFS('changes2_based on steps'!$B56:$U56,'changes2_based on steps'!$B$1:$U$1,Q$1)</f>
        <v>0</v>
      </c>
      <c r="R56" s="179">
        <f>SUMIFS('recurring2_based on steps'!$B56:$AY56,'recurring2_based on steps'!$B$1:$AY$1,R$1)+SUMIFS('changes2_based on steps'!$B56:$U56,'changes2_based on steps'!$B$1:$U$1,R$1)</f>
        <v>0</v>
      </c>
      <c r="S56" s="179">
        <f>SUMIFS('recurring2_based on steps'!$B56:$AY56,'recurring2_based on steps'!$B$1:$AY$1,S$1)+SUMIFS('changes2_based on steps'!$B56:$U56,'changes2_based on steps'!$B$1:$U$1,S$1)</f>
        <v>0</v>
      </c>
      <c r="T56" s="179">
        <f>SUMIFS('recurring2_based on steps'!$B56:$AY56,'recurring2_based on steps'!$B$1:$AY$1,T$1)+SUMIFS('changes2_based on steps'!$B56:$U56,'changes2_based on steps'!$B$1:$U$1,T$1)</f>
        <v>0</v>
      </c>
      <c r="U56" s="179">
        <f>SUMIFS('recurring2_based on steps'!$B56:$AY56,'recurring2_based on steps'!$B$1:$AY$1,U$1)+SUMIFS('changes2_based on steps'!$B56:$U56,'changes2_based on steps'!$B$1:$U$1,U$1)</f>
        <v>0</v>
      </c>
      <c r="V56" s="179">
        <f>SUMIFS('recurring2_based on steps'!$B56:$AY56,'recurring2_based on steps'!$B$1:$AY$1,V$1)+SUMIFS('changes2_based on steps'!$B56:$U56,'changes2_based on steps'!$B$1:$U$1,V$1)</f>
        <v>0</v>
      </c>
      <c r="W56" s="179">
        <f>SUMIFS('recurring2_based on steps'!$B56:$AY56,'recurring2_based on steps'!$B$1:$AY$1,W$1)+SUMIFS('changes2_based on steps'!$B56:$U56,'changes2_based on steps'!$B$1:$U$1,W$1)</f>
        <v>0</v>
      </c>
      <c r="X56" s="179">
        <f>SUMIFS('recurring2_based on steps'!$B56:$AY56,'recurring2_based on steps'!$B$1:$AY$1,X$1)+SUMIFS('changes2_based on steps'!$B56:$U56,'changes2_based on steps'!$B$1:$U$1,X$1)</f>
        <v>0</v>
      </c>
      <c r="Y56" s="179">
        <f>SUMIFS('recurring2_based on steps'!$B56:$AY56,'recurring2_based on steps'!$B$1:$AY$1,Y$1)+SUMIFS('changes2_based on steps'!$B56:$U56,'changes2_based on steps'!$B$1:$U$1,Y$1)</f>
        <v>0</v>
      </c>
      <c r="Z56" s="179">
        <f>SUMIFS('recurring2_based on steps'!$B56:$AY56,'recurring2_based on steps'!$B$1:$AY$1,Z$1)+SUMIFS('changes2_based on steps'!$B56:$U56,'changes2_based on steps'!$B$1:$U$1,Z$1)</f>
        <v>0</v>
      </c>
      <c r="AA56" s="179">
        <f>SUMIFS('recurring2_based on steps'!$B56:$AY56,'recurring2_based on steps'!$B$1:$AY$1,AA$1)+SUMIFS('changes2_based on steps'!$B56:$U56,'changes2_based on steps'!$B$1:$U$1,AA$1)</f>
        <v>0</v>
      </c>
      <c r="AB56" s="179">
        <f>SUMIFS('recurring2_based on steps'!$B56:$AY56,'recurring2_based on steps'!$B$1:$AY$1,AB$1)+SUMIFS('changes2_based on steps'!$B56:$U56,'changes2_based on steps'!$B$1:$U$1,AB$1)</f>
        <v>0</v>
      </c>
      <c r="AC56" s="179">
        <f>SUMIFS('recurring2_based on steps'!$B56:$AY56,'recurring2_based on steps'!$B$1:$AY$1,AC$1)+SUMIFS('changes2_based on steps'!$B56:$U56,'changes2_based on steps'!$B$1:$U$1,AC$1)</f>
        <v>0</v>
      </c>
      <c r="AD56" s="179">
        <f>SUMIFS('recurring2_based on steps'!$B56:$AY56,'recurring2_based on steps'!$B$1:$AY$1,AD$1)+SUMIFS('changes2_based on steps'!$B56:$U56,'changes2_based on steps'!$B$1:$U$1,AD$1)</f>
        <v>0</v>
      </c>
      <c r="AE56" s="179">
        <f>SUMIFS('recurring2_based on steps'!$B56:$AY56,'recurring2_based on steps'!$B$1:$AY$1,AE$1)+SUMIFS('changes2_based on steps'!$B56:$U56,'changes2_based on steps'!$B$1:$U$1,AE$1)</f>
        <v>0</v>
      </c>
      <c r="AF56" s="179"/>
      <c r="AG56" s="179"/>
      <c r="AH56" s="179"/>
      <c r="AI56" s="179"/>
      <c r="AJ56" s="179"/>
      <c r="AK56" s="179"/>
      <c r="AL56" s="179"/>
      <c r="AM56" s="179"/>
    </row>
    <row r="57" spans="1:39" x14ac:dyDescent="0.2">
      <c r="A57" s="32">
        <f t="shared" ca="1" si="0"/>
        <v>45806</v>
      </c>
      <c r="B57" s="179">
        <f>SUMIFS('recurring2_based on steps'!$B57:$AY57,'recurring2_based on steps'!$B$1:$AY$1,B$1)+SUMIFS('changes2_based on steps'!$B57:$U57,'changes2_based on steps'!$B$1:$U$1,B$1)</f>
        <v>0</v>
      </c>
      <c r="C57" s="179">
        <f>SUMIFS('recurring2_based on steps'!$B57:$AY57,'recurring2_based on steps'!$B$1:$AY$1,C$1)+SUMIFS('changes2_based on steps'!$B57:$U57,'changes2_based on steps'!$B$1:$U$1,C$1)</f>
        <v>0</v>
      </c>
      <c r="D57" s="179">
        <f>SUMIFS('recurring2_based on steps'!$B57:$AY57,'recurring2_based on steps'!$B$1:$AY$1,D$1)+SUMIFS('changes2_based on steps'!$B57:$U57,'changes2_based on steps'!$B$1:$U$1,D$1)</f>
        <v>0</v>
      </c>
      <c r="E57" s="179">
        <f>SUMIFS('recurring2_based on steps'!$B57:$AY57,'recurring2_based on steps'!$B$1:$AY$1,E$1)+SUMIFS('changes2_based on steps'!$B57:$U57,'changes2_based on steps'!$B$1:$U$1,E$1)</f>
        <v>0</v>
      </c>
      <c r="F57" s="179">
        <f>SUMIFS('recurring2_based on steps'!$B57:$AY57,'recurring2_based on steps'!$B$1:$AY$1,F$1)+SUMIFS('changes2_based on steps'!$B57:$U57,'changes2_based on steps'!$B$1:$U$1,F$1)</f>
        <v>0</v>
      </c>
      <c r="G57" s="179">
        <f>SUMIFS('recurring2_based on steps'!$B57:$AY57,'recurring2_based on steps'!$B$1:$AY$1,G$1)+SUMIFS('changes2_based on steps'!$B57:$U57,'changes2_based on steps'!$B$1:$U$1,G$1)</f>
        <v>0</v>
      </c>
      <c r="H57" s="179">
        <f>SUMIFS('recurring2_based on steps'!$B57:$AY57,'recurring2_based on steps'!$B$1:$AY$1,H$1)+SUMIFS('changes2_based on steps'!$B57:$U57,'changes2_based on steps'!$B$1:$U$1,H$1)</f>
        <v>0</v>
      </c>
      <c r="I57" s="179">
        <f>SUMIFS('recurring2_based on steps'!$B57:$AY57,'recurring2_based on steps'!$B$1:$AY$1,I$1)+SUMIFS('changes2_based on steps'!$B57:$U57,'changes2_based on steps'!$B$1:$U$1,I$1)</f>
        <v>0</v>
      </c>
      <c r="J57" s="179">
        <f>SUMIFS('recurring2_based on steps'!$B57:$AY57,'recurring2_based on steps'!$B$1:$AY$1,J$1)+SUMIFS('changes2_based on steps'!$B57:$U57,'changes2_based on steps'!$B$1:$U$1,J$1)</f>
        <v>0</v>
      </c>
      <c r="K57" s="179">
        <f>SUMIFS('recurring2_based on steps'!$B57:$AY57,'recurring2_based on steps'!$B$1:$AY$1,K$1)+SUMIFS('changes2_based on steps'!$B57:$U57,'changes2_based on steps'!$B$1:$U$1,K$1)</f>
        <v>0</v>
      </c>
      <c r="L57" s="179">
        <f>SUMIFS('recurring2_based on steps'!$B57:$AY57,'recurring2_based on steps'!$B$1:$AY$1,L$1)+SUMIFS('changes2_based on steps'!$B57:$U57,'changes2_based on steps'!$B$1:$U$1,L$1)</f>
        <v>0</v>
      </c>
      <c r="M57" s="179">
        <f>SUMIFS('recurring2_based on steps'!$B57:$AY57,'recurring2_based on steps'!$B$1:$AY$1,M$1)+SUMIFS('changes2_based on steps'!$B57:$U57,'changes2_based on steps'!$B$1:$U$1,M$1)</f>
        <v>0</v>
      </c>
      <c r="N57" s="179">
        <f>SUMIFS('recurring2_based on steps'!$B57:$AY57,'recurring2_based on steps'!$B$1:$AY$1,N$1)+SUMIFS('changes2_based on steps'!$B57:$U57,'changes2_based on steps'!$B$1:$U$1,N$1)</f>
        <v>0</v>
      </c>
      <c r="O57" s="179">
        <f>SUMIFS('recurring2_based on steps'!$B57:$AY57,'recurring2_based on steps'!$B$1:$AY$1,O$1)+SUMIFS('changes2_based on steps'!$B57:$U57,'changes2_based on steps'!$B$1:$U$1,O$1)</f>
        <v>0</v>
      </c>
      <c r="P57" s="179">
        <f>SUMIFS('recurring2_based on steps'!$B57:$AY57,'recurring2_based on steps'!$B$1:$AY$1,P$1)+SUMIFS('changes2_based on steps'!$B57:$U57,'changes2_based on steps'!$B$1:$U$1,P$1)</f>
        <v>0</v>
      </c>
      <c r="Q57" s="179">
        <f>SUMIFS('recurring2_based on steps'!$B57:$AY57,'recurring2_based on steps'!$B$1:$AY$1,Q$1)+SUMIFS('changes2_based on steps'!$B57:$U57,'changes2_based on steps'!$B$1:$U$1,Q$1)</f>
        <v>0</v>
      </c>
      <c r="R57" s="179">
        <f>SUMIFS('recurring2_based on steps'!$B57:$AY57,'recurring2_based on steps'!$B$1:$AY$1,R$1)+SUMIFS('changes2_based on steps'!$B57:$U57,'changes2_based on steps'!$B$1:$U$1,R$1)</f>
        <v>0</v>
      </c>
      <c r="S57" s="179">
        <f>SUMIFS('recurring2_based on steps'!$B57:$AY57,'recurring2_based on steps'!$B$1:$AY$1,S$1)+SUMIFS('changes2_based on steps'!$B57:$U57,'changes2_based on steps'!$B$1:$U$1,S$1)</f>
        <v>0</v>
      </c>
      <c r="T57" s="179">
        <f>SUMIFS('recurring2_based on steps'!$B57:$AY57,'recurring2_based on steps'!$B$1:$AY$1,T$1)+SUMIFS('changes2_based on steps'!$B57:$U57,'changes2_based on steps'!$B$1:$U$1,T$1)</f>
        <v>0</v>
      </c>
      <c r="U57" s="179">
        <f>SUMIFS('recurring2_based on steps'!$B57:$AY57,'recurring2_based on steps'!$B$1:$AY$1,U$1)+SUMIFS('changes2_based on steps'!$B57:$U57,'changes2_based on steps'!$B$1:$U$1,U$1)</f>
        <v>0</v>
      </c>
      <c r="V57" s="179">
        <f>SUMIFS('recurring2_based on steps'!$B57:$AY57,'recurring2_based on steps'!$B$1:$AY$1,V$1)+SUMIFS('changes2_based on steps'!$B57:$U57,'changes2_based on steps'!$B$1:$U$1,V$1)</f>
        <v>0</v>
      </c>
      <c r="W57" s="179">
        <f>SUMIFS('recurring2_based on steps'!$B57:$AY57,'recurring2_based on steps'!$B$1:$AY$1,W$1)+SUMIFS('changes2_based on steps'!$B57:$U57,'changes2_based on steps'!$B$1:$U$1,W$1)</f>
        <v>0</v>
      </c>
      <c r="X57" s="179">
        <f>SUMIFS('recurring2_based on steps'!$B57:$AY57,'recurring2_based on steps'!$B$1:$AY$1,X$1)+SUMIFS('changes2_based on steps'!$B57:$U57,'changes2_based on steps'!$B$1:$U$1,X$1)</f>
        <v>0</v>
      </c>
      <c r="Y57" s="179">
        <f>SUMIFS('recurring2_based on steps'!$B57:$AY57,'recurring2_based on steps'!$B$1:$AY$1,Y$1)+SUMIFS('changes2_based on steps'!$B57:$U57,'changes2_based on steps'!$B$1:$U$1,Y$1)</f>
        <v>0</v>
      </c>
      <c r="Z57" s="179">
        <f>SUMIFS('recurring2_based on steps'!$B57:$AY57,'recurring2_based on steps'!$B$1:$AY$1,Z$1)+SUMIFS('changes2_based on steps'!$B57:$U57,'changes2_based on steps'!$B$1:$U$1,Z$1)</f>
        <v>0</v>
      </c>
      <c r="AA57" s="179">
        <f>SUMIFS('recurring2_based on steps'!$B57:$AY57,'recurring2_based on steps'!$B$1:$AY$1,AA$1)+SUMIFS('changes2_based on steps'!$B57:$U57,'changes2_based on steps'!$B$1:$U$1,AA$1)</f>
        <v>0</v>
      </c>
      <c r="AB57" s="179">
        <f>SUMIFS('recurring2_based on steps'!$B57:$AY57,'recurring2_based on steps'!$B$1:$AY$1,AB$1)+SUMIFS('changes2_based on steps'!$B57:$U57,'changes2_based on steps'!$B$1:$U$1,AB$1)</f>
        <v>0</v>
      </c>
      <c r="AC57" s="179">
        <f>SUMIFS('recurring2_based on steps'!$B57:$AY57,'recurring2_based on steps'!$B$1:$AY$1,AC$1)+SUMIFS('changes2_based on steps'!$B57:$U57,'changes2_based on steps'!$B$1:$U$1,AC$1)</f>
        <v>0</v>
      </c>
      <c r="AD57" s="179">
        <f>SUMIFS('recurring2_based on steps'!$B57:$AY57,'recurring2_based on steps'!$B$1:$AY$1,AD$1)+SUMIFS('changes2_based on steps'!$B57:$U57,'changes2_based on steps'!$B$1:$U$1,AD$1)</f>
        <v>0</v>
      </c>
      <c r="AE57" s="179">
        <f>SUMIFS('recurring2_based on steps'!$B57:$AY57,'recurring2_based on steps'!$B$1:$AY$1,AE$1)+SUMIFS('changes2_based on steps'!$B57:$U57,'changes2_based on steps'!$B$1:$U$1,AE$1)</f>
        <v>0</v>
      </c>
      <c r="AF57" s="179"/>
      <c r="AG57" s="179"/>
      <c r="AH57" s="179"/>
      <c r="AI57" s="179"/>
      <c r="AJ57" s="179"/>
      <c r="AK57" s="179"/>
      <c r="AL57" s="179"/>
      <c r="AM57" s="179"/>
    </row>
    <row r="58" spans="1:39" x14ac:dyDescent="0.2">
      <c r="A58" s="32">
        <f t="shared" ca="1" si="0"/>
        <v>45807</v>
      </c>
      <c r="B58" s="179">
        <f>SUMIFS('recurring2_based on steps'!$B58:$AY58,'recurring2_based on steps'!$B$1:$AY$1,B$1)+SUMIFS('changes2_based on steps'!$B58:$U58,'changes2_based on steps'!$B$1:$U$1,B$1)</f>
        <v>0</v>
      </c>
      <c r="C58" s="179">
        <f>SUMIFS('recurring2_based on steps'!$B58:$AY58,'recurring2_based on steps'!$B$1:$AY$1,C$1)+SUMIFS('changes2_based on steps'!$B58:$U58,'changes2_based on steps'!$B$1:$U$1,C$1)</f>
        <v>0</v>
      </c>
      <c r="D58" s="179">
        <f>SUMIFS('recurring2_based on steps'!$B58:$AY58,'recurring2_based on steps'!$B$1:$AY$1,D$1)+SUMIFS('changes2_based on steps'!$B58:$U58,'changes2_based on steps'!$B$1:$U$1,D$1)</f>
        <v>0</v>
      </c>
      <c r="E58" s="179">
        <f>SUMIFS('recurring2_based on steps'!$B58:$AY58,'recurring2_based on steps'!$B$1:$AY$1,E$1)+SUMIFS('changes2_based on steps'!$B58:$U58,'changes2_based on steps'!$B$1:$U$1,E$1)</f>
        <v>0</v>
      </c>
      <c r="F58" s="179">
        <f>SUMIFS('recurring2_based on steps'!$B58:$AY58,'recurring2_based on steps'!$B$1:$AY$1,F$1)+SUMIFS('changes2_based on steps'!$B58:$U58,'changes2_based on steps'!$B$1:$U$1,F$1)</f>
        <v>0</v>
      </c>
      <c r="G58" s="179">
        <f>SUMIFS('recurring2_based on steps'!$B58:$AY58,'recurring2_based on steps'!$B$1:$AY$1,G$1)+SUMIFS('changes2_based on steps'!$B58:$U58,'changes2_based on steps'!$B$1:$U$1,G$1)</f>
        <v>0</v>
      </c>
      <c r="H58" s="179">
        <f>SUMIFS('recurring2_based on steps'!$B58:$AY58,'recurring2_based on steps'!$B$1:$AY$1,H$1)+SUMIFS('changes2_based on steps'!$B58:$U58,'changes2_based on steps'!$B$1:$U$1,H$1)</f>
        <v>0</v>
      </c>
      <c r="I58" s="179">
        <f>SUMIFS('recurring2_based on steps'!$B58:$AY58,'recurring2_based on steps'!$B$1:$AY$1,I$1)+SUMIFS('changes2_based on steps'!$B58:$U58,'changes2_based on steps'!$B$1:$U$1,I$1)</f>
        <v>0</v>
      </c>
      <c r="J58" s="179">
        <f>SUMIFS('recurring2_based on steps'!$B58:$AY58,'recurring2_based on steps'!$B$1:$AY$1,J$1)+SUMIFS('changes2_based on steps'!$B58:$U58,'changes2_based on steps'!$B$1:$U$1,J$1)</f>
        <v>0</v>
      </c>
      <c r="K58" s="179">
        <f>SUMIFS('recurring2_based on steps'!$B58:$AY58,'recurring2_based on steps'!$B$1:$AY$1,K$1)+SUMIFS('changes2_based on steps'!$B58:$U58,'changes2_based on steps'!$B$1:$U$1,K$1)</f>
        <v>0</v>
      </c>
      <c r="L58" s="179">
        <f>SUMIFS('recurring2_based on steps'!$B58:$AY58,'recurring2_based on steps'!$B$1:$AY$1,L$1)+SUMIFS('changes2_based on steps'!$B58:$U58,'changes2_based on steps'!$B$1:$U$1,L$1)</f>
        <v>0</v>
      </c>
      <c r="M58" s="179">
        <f>SUMIFS('recurring2_based on steps'!$B58:$AY58,'recurring2_based on steps'!$B$1:$AY$1,M$1)+SUMIFS('changes2_based on steps'!$B58:$U58,'changes2_based on steps'!$B$1:$U$1,M$1)</f>
        <v>0</v>
      </c>
      <c r="N58" s="179">
        <f>SUMIFS('recurring2_based on steps'!$B58:$AY58,'recurring2_based on steps'!$B$1:$AY$1,N$1)+SUMIFS('changes2_based on steps'!$B58:$U58,'changes2_based on steps'!$B$1:$U$1,N$1)</f>
        <v>0</v>
      </c>
      <c r="O58" s="179">
        <f>SUMIFS('recurring2_based on steps'!$B58:$AY58,'recurring2_based on steps'!$B$1:$AY$1,O$1)+SUMIFS('changes2_based on steps'!$B58:$U58,'changes2_based on steps'!$B$1:$U$1,O$1)</f>
        <v>0</v>
      </c>
      <c r="P58" s="179">
        <f>SUMIFS('recurring2_based on steps'!$B58:$AY58,'recurring2_based on steps'!$B$1:$AY$1,P$1)+SUMIFS('changes2_based on steps'!$B58:$U58,'changes2_based on steps'!$B$1:$U$1,P$1)</f>
        <v>0</v>
      </c>
      <c r="Q58" s="179">
        <f>SUMIFS('recurring2_based on steps'!$B58:$AY58,'recurring2_based on steps'!$B$1:$AY$1,Q$1)+SUMIFS('changes2_based on steps'!$B58:$U58,'changes2_based on steps'!$B$1:$U$1,Q$1)</f>
        <v>0</v>
      </c>
      <c r="R58" s="179">
        <f>SUMIFS('recurring2_based on steps'!$B58:$AY58,'recurring2_based on steps'!$B$1:$AY$1,R$1)+SUMIFS('changes2_based on steps'!$B58:$U58,'changes2_based on steps'!$B$1:$U$1,R$1)</f>
        <v>0</v>
      </c>
      <c r="S58" s="179">
        <f>SUMIFS('recurring2_based on steps'!$B58:$AY58,'recurring2_based on steps'!$B$1:$AY$1,S$1)+SUMIFS('changes2_based on steps'!$B58:$U58,'changes2_based on steps'!$B$1:$U$1,S$1)</f>
        <v>0</v>
      </c>
      <c r="T58" s="179">
        <f>SUMIFS('recurring2_based on steps'!$B58:$AY58,'recurring2_based on steps'!$B$1:$AY$1,T$1)+SUMIFS('changes2_based on steps'!$B58:$U58,'changes2_based on steps'!$B$1:$U$1,T$1)</f>
        <v>0</v>
      </c>
      <c r="U58" s="179">
        <f>SUMIFS('recurring2_based on steps'!$B58:$AY58,'recurring2_based on steps'!$B$1:$AY$1,U$1)+SUMIFS('changes2_based on steps'!$B58:$U58,'changes2_based on steps'!$B$1:$U$1,U$1)</f>
        <v>0</v>
      </c>
      <c r="V58" s="179">
        <f>SUMIFS('recurring2_based on steps'!$B58:$AY58,'recurring2_based on steps'!$B$1:$AY$1,V$1)+SUMIFS('changes2_based on steps'!$B58:$U58,'changes2_based on steps'!$B$1:$U$1,V$1)</f>
        <v>0</v>
      </c>
      <c r="W58" s="179">
        <f>SUMIFS('recurring2_based on steps'!$B58:$AY58,'recurring2_based on steps'!$B$1:$AY$1,W$1)+SUMIFS('changes2_based on steps'!$B58:$U58,'changes2_based on steps'!$B$1:$U$1,W$1)</f>
        <v>0</v>
      </c>
      <c r="X58" s="179">
        <f>SUMIFS('recurring2_based on steps'!$B58:$AY58,'recurring2_based on steps'!$B$1:$AY$1,X$1)+SUMIFS('changes2_based on steps'!$B58:$U58,'changes2_based on steps'!$B$1:$U$1,X$1)</f>
        <v>0</v>
      </c>
      <c r="Y58" s="179">
        <f>SUMIFS('recurring2_based on steps'!$B58:$AY58,'recurring2_based on steps'!$B$1:$AY$1,Y$1)+SUMIFS('changes2_based on steps'!$B58:$U58,'changes2_based on steps'!$B$1:$U$1,Y$1)</f>
        <v>0</v>
      </c>
      <c r="Z58" s="179">
        <f>SUMIFS('recurring2_based on steps'!$B58:$AY58,'recurring2_based on steps'!$B$1:$AY$1,Z$1)+SUMIFS('changes2_based on steps'!$B58:$U58,'changes2_based on steps'!$B$1:$U$1,Z$1)</f>
        <v>0</v>
      </c>
      <c r="AA58" s="179">
        <f>SUMIFS('recurring2_based on steps'!$B58:$AY58,'recurring2_based on steps'!$B$1:$AY$1,AA$1)+SUMIFS('changes2_based on steps'!$B58:$U58,'changes2_based on steps'!$B$1:$U$1,AA$1)</f>
        <v>0</v>
      </c>
      <c r="AB58" s="179">
        <f>SUMIFS('recurring2_based on steps'!$B58:$AY58,'recurring2_based on steps'!$B$1:$AY$1,AB$1)+SUMIFS('changes2_based on steps'!$B58:$U58,'changes2_based on steps'!$B$1:$U$1,AB$1)</f>
        <v>0</v>
      </c>
      <c r="AC58" s="179">
        <f>SUMIFS('recurring2_based on steps'!$B58:$AY58,'recurring2_based on steps'!$B$1:$AY$1,AC$1)+SUMIFS('changes2_based on steps'!$B58:$U58,'changes2_based on steps'!$B$1:$U$1,AC$1)</f>
        <v>0</v>
      </c>
      <c r="AD58" s="179">
        <f>SUMIFS('recurring2_based on steps'!$B58:$AY58,'recurring2_based on steps'!$B$1:$AY$1,AD$1)+SUMIFS('changes2_based on steps'!$B58:$U58,'changes2_based on steps'!$B$1:$U$1,AD$1)</f>
        <v>0</v>
      </c>
      <c r="AE58" s="179">
        <f>SUMIFS('recurring2_based on steps'!$B58:$AY58,'recurring2_based on steps'!$B$1:$AY$1,AE$1)+SUMIFS('changes2_based on steps'!$B58:$U58,'changes2_based on steps'!$B$1:$U$1,AE$1)</f>
        <v>0</v>
      </c>
      <c r="AF58" s="179"/>
      <c r="AG58" s="179"/>
      <c r="AH58" s="179"/>
      <c r="AI58" s="179"/>
      <c r="AJ58" s="179"/>
      <c r="AK58" s="179"/>
      <c r="AL58" s="179"/>
      <c r="AM58" s="179"/>
    </row>
    <row r="59" spans="1:39" x14ac:dyDescent="0.2">
      <c r="A59" s="32">
        <f t="shared" ca="1" si="0"/>
        <v>45808</v>
      </c>
      <c r="B59" s="179">
        <f>SUMIFS('recurring2_based on steps'!$B59:$AY59,'recurring2_based on steps'!$B$1:$AY$1,B$1)+SUMIFS('changes2_based on steps'!$B59:$U59,'changes2_based on steps'!$B$1:$U$1,B$1)</f>
        <v>0</v>
      </c>
      <c r="C59" s="179">
        <f>SUMIFS('recurring2_based on steps'!$B59:$AY59,'recurring2_based on steps'!$B$1:$AY$1,C$1)+SUMIFS('changes2_based on steps'!$B59:$U59,'changes2_based on steps'!$B$1:$U$1,C$1)</f>
        <v>0</v>
      </c>
      <c r="D59" s="179">
        <f>SUMIFS('recurring2_based on steps'!$B59:$AY59,'recurring2_based on steps'!$B$1:$AY$1,D$1)+SUMIFS('changes2_based on steps'!$B59:$U59,'changes2_based on steps'!$B$1:$U$1,D$1)</f>
        <v>0</v>
      </c>
      <c r="E59" s="179">
        <f>SUMIFS('recurring2_based on steps'!$B59:$AY59,'recurring2_based on steps'!$B$1:$AY$1,E$1)+SUMIFS('changes2_based on steps'!$B59:$U59,'changes2_based on steps'!$B$1:$U$1,E$1)</f>
        <v>0</v>
      </c>
      <c r="F59" s="179">
        <f>SUMIFS('recurring2_based on steps'!$B59:$AY59,'recurring2_based on steps'!$B$1:$AY$1,F$1)+SUMIFS('changes2_based on steps'!$B59:$U59,'changes2_based on steps'!$B$1:$U$1,F$1)</f>
        <v>0</v>
      </c>
      <c r="G59" s="179">
        <f>SUMIFS('recurring2_based on steps'!$B59:$AY59,'recurring2_based on steps'!$B$1:$AY$1,G$1)+SUMIFS('changes2_based on steps'!$B59:$U59,'changes2_based on steps'!$B$1:$U$1,G$1)</f>
        <v>0</v>
      </c>
      <c r="H59" s="179">
        <f>SUMIFS('recurring2_based on steps'!$B59:$AY59,'recurring2_based on steps'!$B$1:$AY$1,H$1)+SUMIFS('changes2_based on steps'!$B59:$U59,'changes2_based on steps'!$B$1:$U$1,H$1)</f>
        <v>0</v>
      </c>
      <c r="I59" s="179">
        <f>SUMIFS('recurring2_based on steps'!$B59:$AY59,'recurring2_based on steps'!$B$1:$AY$1,I$1)+SUMIFS('changes2_based on steps'!$B59:$U59,'changes2_based on steps'!$B$1:$U$1,I$1)</f>
        <v>0</v>
      </c>
      <c r="J59" s="179">
        <f>SUMIFS('recurring2_based on steps'!$B59:$AY59,'recurring2_based on steps'!$B$1:$AY$1,J$1)+SUMIFS('changes2_based on steps'!$B59:$U59,'changes2_based on steps'!$B$1:$U$1,J$1)</f>
        <v>0</v>
      </c>
      <c r="K59" s="179">
        <f>SUMIFS('recurring2_based on steps'!$B59:$AY59,'recurring2_based on steps'!$B$1:$AY$1,K$1)+SUMIFS('changes2_based on steps'!$B59:$U59,'changes2_based on steps'!$B$1:$U$1,K$1)</f>
        <v>0</v>
      </c>
      <c r="L59" s="179">
        <f>SUMIFS('recurring2_based on steps'!$B59:$AY59,'recurring2_based on steps'!$B$1:$AY$1,L$1)+SUMIFS('changes2_based on steps'!$B59:$U59,'changes2_based on steps'!$B$1:$U$1,L$1)</f>
        <v>0</v>
      </c>
      <c r="M59" s="179">
        <f>SUMIFS('recurring2_based on steps'!$B59:$AY59,'recurring2_based on steps'!$B$1:$AY$1,M$1)+SUMIFS('changes2_based on steps'!$B59:$U59,'changes2_based on steps'!$B$1:$U$1,M$1)</f>
        <v>0</v>
      </c>
      <c r="N59" s="179">
        <f>SUMIFS('recurring2_based on steps'!$B59:$AY59,'recurring2_based on steps'!$B$1:$AY$1,N$1)+SUMIFS('changes2_based on steps'!$B59:$U59,'changes2_based on steps'!$B$1:$U$1,N$1)</f>
        <v>0</v>
      </c>
      <c r="O59" s="179">
        <f>SUMIFS('recurring2_based on steps'!$B59:$AY59,'recurring2_based on steps'!$B$1:$AY$1,O$1)+SUMIFS('changes2_based on steps'!$B59:$U59,'changes2_based on steps'!$B$1:$U$1,O$1)</f>
        <v>0</v>
      </c>
      <c r="P59" s="179">
        <f>SUMIFS('recurring2_based on steps'!$B59:$AY59,'recurring2_based on steps'!$B$1:$AY$1,P$1)+SUMIFS('changes2_based on steps'!$B59:$U59,'changes2_based on steps'!$B$1:$U$1,P$1)</f>
        <v>0</v>
      </c>
      <c r="Q59" s="179">
        <f>SUMIFS('recurring2_based on steps'!$B59:$AY59,'recurring2_based on steps'!$B$1:$AY$1,Q$1)+SUMIFS('changes2_based on steps'!$B59:$U59,'changes2_based on steps'!$B$1:$U$1,Q$1)</f>
        <v>0</v>
      </c>
      <c r="R59" s="179">
        <f>SUMIFS('recurring2_based on steps'!$B59:$AY59,'recurring2_based on steps'!$B$1:$AY$1,R$1)+SUMIFS('changes2_based on steps'!$B59:$U59,'changes2_based on steps'!$B$1:$U$1,R$1)</f>
        <v>0</v>
      </c>
      <c r="S59" s="179">
        <f>SUMIFS('recurring2_based on steps'!$B59:$AY59,'recurring2_based on steps'!$B$1:$AY$1,S$1)+SUMIFS('changes2_based on steps'!$B59:$U59,'changes2_based on steps'!$B$1:$U$1,S$1)</f>
        <v>0</v>
      </c>
      <c r="T59" s="179">
        <f>SUMIFS('recurring2_based on steps'!$B59:$AY59,'recurring2_based on steps'!$B$1:$AY$1,T$1)+SUMIFS('changes2_based on steps'!$B59:$U59,'changes2_based on steps'!$B$1:$U$1,T$1)</f>
        <v>0</v>
      </c>
      <c r="U59" s="179">
        <f>SUMIFS('recurring2_based on steps'!$B59:$AY59,'recurring2_based on steps'!$B$1:$AY$1,U$1)+SUMIFS('changes2_based on steps'!$B59:$U59,'changes2_based on steps'!$B$1:$U$1,U$1)</f>
        <v>0</v>
      </c>
      <c r="V59" s="179">
        <f>SUMIFS('recurring2_based on steps'!$B59:$AY59,'recurring2_based on steps'!$B$1:$AY$1,V$1)+SUMIFS('changes2_based on steps'!$B59:$U59,'changes2_based on steps'!$B$1:$U$1,V$1)</f>
        <v>0</v>
      </c>
      <c r="W59" s="179">
        <f>SUMIFS('recurring2_based on steps'!$B59:$AY59,'recurring2_based on steps'!$B$1:$AY$1,W$1)+SUMIFS('changes2_based on steps'!$B59:$U59,'changes2_based on steps'!$B$1:$U$1,W$1)</f>
        <v>0</v>
      </c>
      <c r="X59" s="179">
        <f>SUMIFS('recurring2_based on steps'!$B59:$AY59,'recurring2_based on steps'!$B$1:$AY$1,X$1)+SUMIFS('changes2_based on steps'!$B59:$U59,'changes2_based on steps'!$B$1:$U$1,X$1)</f>
        <v>0</v>
      </c>
      <c r="Y59" s="179">
        <f>SUMIFS('recurring2_based on steps'!$B59:$AY59,'recurring2_based on steps'!$B$1:$AY$1,Y$1)+SUMIFS('changes2_based on steps'!$B59:$U59,'changes2_based on steps'!$B$1:$U$1,Y$1)</f>
        <v>0</v>
      </c>
      <c r="Z59" s="179">
        <f>SUMIFS('recurring2_based on steps'!$B59:$AY59,'recurring2_based on steps'!$B$1:$AY$1,Z$1)+SUMIFS('changes2_based on steps'!$B59:$U59,'changes2_based on steps'!$B$1:$U$1,Z$1)</f>
        <v>0</v>
      </c>
      <c r="AA59" s="179">
        <f>SUMIFS('recurring2_based on steps'!$B59:$AY59,'recurring2_based on steps'!$B$1:$AY$1,AA$1)+SUMIFS('changes2_based on steps'!$B59:$U59,'changes2_based on steps'!$B$1:$U$1,AA$1)</f>
        <v>0</v>
      </c>
      <c r="AB59" s="179">
        <f>SUMIFS('recurring2_based on steps'!$B59:$AY59,'recurring2_based on steps'!$B$1:$AY$1,AB$1)+SUMIFS('changes2_based on steps'!$B59:$U59,'changes2_based on steps'!$B$1:$U$1,AB$1)</f>
        <v>0</v>
      </c>
      <c r="AC59" s="179">
        <f>SUMIFS('recurring2_based on steps'!$B59:$AY59,'recurring2_based on steps'!$B$1:$AY$1,AC$1)+SUMIFS('changes2_based on steps'!$B59:$U59,'changes2_based on steps'!$B$1:$U$1,AC$1)</f>
        <v>0</v>
      </c>
      <c r="AD59" s="179">
        <f>SUMIFS('recurring2_based on steps'!$B59:$AY59,'recurring2_based on steps'!$B$1:$AY$1,AD$1)+SUMIFS('changes2_based on steps'!$B59:$U59,'changes2_based on steps'!$B$1:$U$1,AD$1)</f>
        <v>0</v>
      </c>
      <c r="AE59" s="179">
        <f>SUMIFS('recurring2_based on steps'!$B59:$AY59,'recurring2_based on steps'!$B$1:$AY$1,AE$1)+SUMIFS('changes2_based on steps'!$B59:$U59,'changes2_based on steps'!$B$1:$U$1,AE$1)</f>
        <v>0</v>
      </c>
      <c r="AF59" s="179"/>
      <c r="AG59" s="179"/>
      <c r="AH59" s="179"/>
      <c r="AI59" s="179"/>
      <c r="AJ59" s="179"/>
      <c r="AK59" s="179"/>
      <c r="AL59" s="179"/>
      <c r="AM59" s="179"/>
    </row>
    <row r="60" spans="1:39" x14ac:dyDescent="0.2">
      <c r="A60" s="32">
        <f t="shared" ca="1" si="0"/>
        <v>45809</v>
      </c>
      <c r="B60" s="179">
        <f>SUMIFS('recurring2_based on steps'!$B60:$AY60,'recurring2_based on steps'!$B$1:$AY$1,B$1)+SUMIFS('changes2_based on steps'!$B60:$U60,'changes2_based on steps'!$B$1:$U$1,B$1)</f>
        <v>0</v>
      </c>
      <c r="C60" s="179">
        <f>SUMIFS('recurring2_based on steps'!$B60:$AY60,'recurring2_based on steps'!$B$1:$AY$1,C$1)+SUMIFS('changes2_based on steps'!$B60:$U60,'changes2_based on steps'!$B$1:$U$1,C$1)</f>
        <v>0</v>
      </c>
      <c r="D60" s="179">
        <f>SUMIFS('recurring2_based on steps'!$B60:$AY60,'recurring2_based on steps'!$B$1:$AY$1,D$1)+SUMIFS('changes2_based on steps'!$B60:$U60,'changes2_based on steps'!$B$1:$U$1,D$1)</f>
        <v>0</v>
      </c>
      <c r="E60" s="179">
        <f>SUMIFS('recurring2_based on steps'!$B60:$AY60,'recurring2_based on steps'!$B$1:$AY$1,E$1)+SUMIFS('changes2_based on steps'!$B60:$U60,'changes2_based on steps'!$B$1:$U$1,E$1)</f>
        <v>0</v>
      </c>
      <c r="F60" s="179">
        <f>SUMIFS('recurring2_based on steps'!$B60:$AY60,'recurring2_based on steps'!$B$1:$AY$1,F$1)+SUMIFS('changes2_based on steps'!$B60:$U60,'changes2_based on steps'!$B$1:$U$1,F$1)</f>
        <v>0</v>
      </c>
      <c r="G60" s="179">
        <f>SUMIFS('recurring2_based on steps'!$B60:$AY60,'recurring2_based on steps'!$B$1:$AY$1,G$1)+SUMIFS('changes2_based on steps'!$B60:$U60,'changes2_based on steps'!$B$1:$U$1,G$1)</f>
        <v>0</v>
      </c>
      <c r="H60" s="179">
        <f>SUMIFS('recurring2_based on steps'!$B60:$AY60,'recurring2_based on steps'!$B$1:$AY$1,H$1)+SUMIFS('changes2_based on steps'!$B60:$U60,'changes2_based on steps'!$B$1:$U$1,H$1)</f>
        <v>0</v>
      </c>
      <c r="I60" s="179">
        <f>SUMIFS('recurring2_based on steps'!$B60:$AY60,'recurring2_based on steps'!$B$1:$AY$1,I$1)+SUMIFS('changes2_based on steps'!$B60:$U60,'changes2_based on steps'!$B$1:$U$1,I$1)</f>
        <v>0</v>
      </c>
      <c r="J60" s="179">
        <f>SUMIFS('recurring2_based on steps'!$B60:$AY60,'recurring2_based on steps'!$B$1:$AY$1,J$1)+SUMIFS('changes2_based on steps'!$B60:$U60,'changes2_based on steps'!$B$1:$U$1,J$1)</f>
        <v>0</v>
      </c>
      <c r="K60" s="179">
        <f>SUMIFS('recurring2_based on steps'!$B60:$AY60,'recurring2_based on steps'!$B$1:$AY$1,K$1)+SUMIFS('changes2_based on steps'!$B60:$U60,'changes2_based on steps'!$B$1:$U$1,K$1)</f>
        <v>0</v>
      </c>
      <c r="L60" s="179">
        <f>SUMIFS('recurring2_based on steps'!$B60:$AY60,'recurring2_based on steps'!$B$1:$AY$1,L$1)+SUMIFS('changes2_based on steps'!$B60:$U60,'changes2_based on steps'!$B$1:$U$1,L$1)</f>
        <v>0</v>
      </c>
      <c r="M60" s="179">
        <f>SUMIFS('recurring2_based on steps'!$B60:$AY60,'recurring2_based on steps'!$B$1:$AY$1,M$1)+SUMIFS('changes2_based on steps'!$B60:$U60,'changes2_based on steps'!$B$1:$U$1,M$1)</f>
        <v>0</v>
      </c>
      <c r="N60" s="179">
        <f>SUMIFS('recurring2_based on steps'!$B60:$AY60,'recurring2_based on steps'!$B$1:$AY$1,N$1)+SUMIFS('changes2_based on steps'!$B60:$U60,'changes2_based on steps'!$B$1:$U$1,N$1)</f>
        <v>0</v>
      </c>
      <c r="O60" s="179">
        <f>SUMIFS('recurring2_based on steps'!$B60:$AY60,'recurring2_based on steps'!$B$1:$AY$1,O$1)+SUMIFS('changes2_based on steps'!$B60:$U60,'changes2_based on steps'!$B$1:$U$1,O$1)</f>
        <v>0</v>
      </c>
      <c r="P60" s="179">
        <f>SUMIFS('recurring2_based on steps'!$B60:$AY60,'recurring2_based on steps'!$B$1:$AY$1,P$1)+SUMIFS('changes2_based on steps'!$B60:$U60,'changes2_based on steps'!$B$1:$U$1,P$1)</f>
        <v>0</v>
      </c>
      <c r="Q60" s="179">
        <f>SUMIFS('recurring2_based on steps'!$B60:$AY60,'recurring2_based on steps'!$B$1:$AY$1,Q$1)+SUMIFS('changes2_based on steps'!$B60:$U60,'changes2_based on steps'!$B$1:$U$1,Q$1)</f>
        <v>0</v>
      </c>
      <c r="R60" s="179">
        <f>SUMIFS('recurring2_based on steps'!$B60:$AY60,'recurring2_based on steps'!$B$1:$AY$1,R$1)+SUMIFS('changes2_based on steps'!$B60:$U60,'changes2_based on steps'!$B$1:$U$1,R$1)</f>
        <v>0</v>
      </c>
      <c r="S60" s="179">
        <f>SUMIFS('recurring2_based on steps'!$B60:$AY60,'recurring2_based on steps'!$B$1:$AY$1,S$1)+SUMIFS('changes2_based on steps'!$B60:$U60,'changes2_based on steps'!$B$1:$U$1,S$1)</f>
        <v>0</v>
      </c>
      <c r="T60" s="179">
        <f>SUMIFS('recurring2_based on steps'!$B60:$AY60,'recurring2_based on steps'!$B$1:$AY$1,T$1)+SUMIFS('changes2_based on steps'!$B60:$U60,'changes2_based on steps'!$B$1:$U$1,T$1)</f>
        <v>0</v>
      </c>
      <c r="U60" s="179">
        <f>SUMIFS('recurring2_based on steps'!$B60:$AY60,'recurring2_based on steps'!$B$1:$AY$1,U$1)+SUMIFS('changes2_based on steps'!$B60:$U60,'changes2_based on steps'!$B$1:$U$1,U$1)</f>
        <v>0</v>
      </c>
      <c r="V60" s="179">
        <f>SUMIFS('recurring2_based on steps'!$B60:$AY60,'recurring2_based on steps'!$B$1:$AY$1,V$1)+SUMIFS('changes2_based on steps'!$B60:$U60,'changes2_based on steps'!$B$1:$U$1,V$1)</f>
        <v>0</v>
      </c>
      <c r="W60" s="179">
        <f>SUMIFS('recurring2_based on steps'!$B60:$AY60,'recurring2_based on steps'!$B$1:$AY$1,W$1)+SUMIFS('changes2_based on steps'!$B60:$U60,'changes2_based on steps'!$B$1:$U$1,W$1)</f>
        <v>0</v>
      </c>
      <c r="X60" s="179">
        <f>SUMIFS('recurring2_based on steps'!$B60:$AY60,'recurring2_based on steps'!$B$1:$AY$1,X$1)+SUMIFS('changes2_based on steps'!$B60:$U60,'changes2_based on steps'!$B$1:$U$1,X$1)</f>
        <v>0</v>
      </c>
      <c r="Y60" s="179">
        <f>SUMIFS('recurring2_based on steps'!$B60:$AY60,'recurring2_based on steps'!$B$1:$AY$1,Y$1)+SUMIFS('changes2_based on steps'!$B60:$U60,'changes2_based on steps'!$B$1:$U$1,Y$1)</f>
        <v>0</v>
      </c>
      <c r="Z60" s="179">
        <f>SUMIFS('recurring2_based on steps'!$B60:$AY60,'recurring2_based on steps'!$B$1:$AY$1,Z$1)+SUMIFS('changes2_based on steps'!$B60:$U60,'changes2_based on steps'!$B$1:$U$1,Z$1)</f>
        <v>0</v>
      </c>
      <c r="AA60" s="179">
        <f>SUMIFS('recurring2_based on steps'!$B60:$AY60,'recurring2_based on steps'!$B$1:$AY$1,AA$1)+SUMIFS('changes2_based on steps'!$B60:$U60,'changes2_based on steps'!$B$1:$U$1,AA$1)</f>
        <v>0</v>
      </c>
      <c r="AB60" s="179">
        <f>SUMIFS('recurring2_based on steps'!$B60:$AY60,'recurring2_based on steps'!$B$1:$AY$1,AB$1)+SUMIFS('changes2_based on steps'!$B60:$U60,'changes2_based on steps'!$B$1:$U$1,AB$1)</f>
        <v>0</v>
      </c>
      <c r="AC60" s="179">
        <f>SUMIFS('recurring2_based on steps'!$B60:$AY60,'recurring2_based on steps'!$B$1:$AY$1,AC$1)+SUMIFS('changes2_based on steps'!$B60:$U60,'changes2_based on steps'!$B$1:$U$1,AC$1)</f>
        <v>0</v>
      </c>
      <c r="AD60" s="179">
        <f>SUMIFS('recurring2_based on steps'!$B60:$AY60,'recurring2_based on steps'!$B$1:$AY$1,AD$1)+SUMIFS('changes2_based on steps'!$B60:$U60,'changes2_based on steps'!$B$1:$U$1,AD$1)</f>
        <v>0</v>
      </c>
      <c r="AE60" s="179">
        <f>SUMIFS('recurring2_based on steps'!$B60:$AY60,'recurring2_based on steps'!$B$1:$AY$1,AE$1)+SUMIFS('changes2_based on steps'!$B60:$U60,'changes2_based on steps'!$B$1:$U$1,AE$1)</f>
        <v>0</v>
      </c>
      <c r="AF60" s="179"/>
      <c r="AG60" s="179"/>
      <c r="AH60" s="179"/>
      <c r="AI60" s="179"/>
      <c r="AJ60" s="179"/>
      <c r="AK60" s="179"/>
      <c r="AL60" s="179"/>
      <c r="AM60" s="179"/>
    </row>
    <row r="61" spans="1:39" x14ac:dyDescent="0.2">
      <c r="A61" s="32">
        <f t="shared" ca="1" si="0"/>
        <v>45810</v>
      </c>
      <c r="B61" s="179">
        <f>SUMIFS('recurring2_based on steps'!$B61:$AY61,'recurring2_based on steps'!$B$1:$AY$1,B$1)+SUMIFS('changes2_based on steps'!$B61:$U61,'changes2_based on steps'!$B$1:$U$1,B$1)</f>
        <v>0</v>
      </c>
      <c r="C61" s="179">
        <f>SUMIFS('recurring2_based on steps'!$B61:$AY61,'recurring2_based on steps'!$B$1:$AY$1,C$1)+SUMIFS('changes2_based on steps'!$B61:$U61,'changes2_based on steps'!$B$1:$U$1,C$1)</f>
        <v>0</v>
      </c>
      <c r="D61" s="179">
        <f>SUMIFS('recurring2_based on steps'!$B61:$AY61,'recurring2_based on steps'!$B$1:$AY$1,D$1)+SUMIFS('changes2_based on steps'!$B61:$U61,'changes2_based on steps'!$B$1:$U$1,D$1)</f>
        <v>0</v>
      </c>
      <c r="E61" s="179">
        <f>SUMIFS('recurring2_based on steps'!$B61:$AY61,'recurring2_based on steps'!$B$1:$AY$1,E$1)+SUMIFS('changes2_based on steps'!$B61:$U61,'changes2_based on steps'!$B$1:$U$1,E$1)</f>
        <v>0</v>
      </c>
      <c r="F61" s="179">
        <f>SUMIFS('recurring2_based on steps'!$B61:$AY61,'recurring2_based on steps'!$B$1:$AY$1,F$1)+SUMIFS('changes2_based on steps'!$B61:$U61,'changes2_based on steps'!$B$1:$U$1,F$1)</f>
        <v>0</v>
      </c>
      <c r="G61" s="179">
        <f>SUMIFS('recurring2_based on steps'!$B61:$AY61,'recurring2_based on steps'!$B$1:$AY$1,G$1)+SUMIFS('changes2_based on steps'!$B61:$U61,'changes2_based on steps'!$B$1:$U$1,G$1)</f>
        <v>0</v>
      </c>
      <c r="H61" s="179">
        <f>SUMIFS('recurring2_based on steps'!$B61:$AY61,'recurring2_based on steps'!$B$1:$AY$1,H$1)+SUMIFS('changes2_based on steps'!$B61:$U61,'changes2_based on steps'!$B$1:$U$1,H$1)</f>
        <v>0</v>
      </c>
      <c r="I61" s="179">
        <f>SUMIFS('recurring2_based on steps'!$B61:$AY61,'recurring2_based on steps'!$B$1:$AY$1,I$1)+SUMIFS('changes2_based on steps'!$B61:$U61,'changes2_based on steps'!$B$1:$U$1,I$1)</f>
        <v>0</v>
      </c>
      <c r="J61" s="179">
        <f>SUMIFS('recurring2_based on steps'!$B61:$AY61,'recurring2_based on steps'!$B$1:$AY$1,J$1)+SUMIFS('changes2_based on steps'!$B61:$U61,'changes2_based on steps'!$B$1:$U$1,J$1)</f>
        <v>0</v>
      </c>
      <c r="K61" s="179">
        <f>SUMIFS('recurring2_based on steps'!$B61:$AY61,'recurring2_based on steps'!$B$1:$AY$1,K$1)+SUMIFS('changes2_based on steps'!$B61:$U61,'changes2_based on steps'!$B$1:$U$1,K$1)</f>
        <v>0</v>
      </c>
      <c r="L61" s="179">
        <f>SUMIFS('recurring2_based on steps'!$B61:$AY61,'recurring2_based on steps'!$B$1:$AY$1,L$1)+SUMIFS('changes2_based on steps'!$B61:$U61,'changes2_based on steps'!$B$1:$U$1,L$1)</f>
        <v>0</v>
      </c>
      <c r="M61" s="179">
        <f>SUMIFS('recurring2_based on steps'!$B61:$AY61,'recurring2_based on steps'!$B$1:$AY$1,M$1)+SUMIFS('changes2_based on steps'!$B61:$U61,'changes2_based on steps'!$B$1:$U$1,M$1)</f>
        <v>0</v>
      </c>
      <c r="N61" s="179">
        <f>SUMIFS('recurring2_based on steps'!$B61:$AY61,'recurring2_based on steps'!$B$1:$AY$1,N$1)+SUMIFS('changes2_based on steps'!$B61:$U61,'changes2_based on steps'!$B$1:$U$1,N$1)</f>
        <v>0</v>
      </c>
      <c r="O61" s="179">
        <f>SUMIFS('recurring2_based on steps'!$B61:$AY61,'recurring2_based on steps'!$B$1:$AY$1,O$1)+SUMIFS('changes2_based on steps'!$B61:$U61,'changes2_based on steps'!$B$1:$U$1,O$1)</f>
        <v>0</v>
      </c>
      <c r="P61" s="179">
        <f>SUMIFS('recurring2_based on steps'!$B61:$AY61,'recurring2_based on steps'!$B$1:$AY$1,P$1)+SUMIFS('changes2_based on steps'!$B61:$U61,'changes2_based on steps'!$B$1:$U$1,P$1)</f>
        <v>0</v>
      </c>
      <c r="Q61" s="179">
        <f>SUMIFS('recurring2_based on steps'!$B61:$AY61,'recurring2_based on steps'!$B$1:$AY$1,Q$1)+SUMIFS('changes2_based on steps'!$B61:$U61,'changes2_based on steps'!$B$1:$U$1,Q$1)</f>
        <v>0</v>
      </c>
      <c r="R61" s="179">
        <f>SUMIFS('recurring2_based on steps'!$B61:$AY61,'recurring2_based on steps'!$B$1:$AY$1,R$1)+SUMIFS('changes2_based on steps'!$B61:$U61,'changes2_based on steps'!$B$1:$U$1,R$1)</f>
        <v>0</v>
      </c>
      <c r="S61" s="179">
        <f>SUMIFS('recurring2_based on steps'!$B61:$AY61,'recurring2_based on steps'!$B$1:$AY$1,S$1)+SUMIFS('changes2_based on steps'!$B61:$U61,'changes2_based on steps'!$B$1:$U$1,S$1)</f>
        <v>0</v>
      </c>
      <c r="T61" s="179">
        <f>SUMIFS('recurring2_based on steps'!$B61:$AY61,'recurring2_based on steps'!$B$1:$AY$1,T$1)+SUMIFS('changes2_based on steps'!$B61:$U61,'changes2_based on steps'!$B$1:$U$1,T$1)</f>
        <v>0</v>
      </c>
      <c r="U61" s="179">
        <f>SUMIFS('recurring2_based on steps'!$B61:$AY61,'recurring2_based on steps'!$B$1:$AY$1,U$1)+SUMIFS('changes2_based on steps'!$B61:$U61,'changes2_based on steps'!$B$1:$U$1,U$1)</f>
        <v>0</v>
      </c>
      <c r="V61" s="179">
        <f>SUMIFS('recurring2_based on steps'!$B61:$AY61,'recurring2_based on steps'!$B$1:$AY$1,V$1)+SUMIFS('changes2_based on steps'!$B61:$U61,'changes2_based on steps'!$B$1:$U$1,V$1)</f>
        <v>0</v>
      </c>
      <c r="W61" s="179">
        <f>SUMIFS('recurring2_based on steps'!$B61:$AY61,'recurring2_based on steps'!$B$1:$AY$1,W$1)+SUMIFS('changes2_based on steps'!$B61:$U61,'changes2_based on steps'!$B$1:$U$1,W$1)</f>
        <v>0</v>
      </c>
      <c r="X61" s="179">
        <f>SUMIFS('recurring2_based on steps'!$B61:$AY61,'recurring2_based on steps'!$B$1:$AY$1,X$1)+SUMIFS('changes2_based on steps'!$B61:$U61,'changes2_based on steps'!$B$1:$U$1,X$1)</f>
        <v>0</v>
      </c>
      <c r="Y61" s="179">
        <f>SUMIFS('recurring2_based on steps'!$B61:$AY61,'recurring2_based on steps'!$B$1:$AY$1,Y$1)+SUMIFS('changes2_based on steps'!$B61:$U61,'changes2_based on steps'!$B$1:$U$1,Y$1)</f>
        <v>0</v>
      </c>
      <c r="Z61" s="179">
        <f>SUMIFS('recurring2_based on steps'!$B61:$AY61,'recurring2_based on steps'!$B$1:$AY$1,Z$1)+SUMIFS('changes2_based on steps'!$B61:$U61,'changes2_based on steps'!$B$1:$U$1,Z$1)</f>
        <v>0</v>
      </c>
      <c r="AA61" s="179">
        <f>SUMIFS('recurring2_based on steps'!$B61:$AY61,'recurring2_based on steps'!$B$1:$AY$1,AA$1)+SUMIFS('changes2_based on steps'!$B61:$U61,'changes2_based on steps'!$B$1:$U$1,AA$1)</f>
        <v>0</v>
      </c>
      <c r="AB61" s="179">
        <f>SUMIFS('recurring2_based on steps'!$B61:$AY61,'recurring2_based on steps'!$B$1:$AY$1,AB$1)+SUMIFS('changes2_based on steps'!$B61:$U61,'changes2_based on steps'!$B$1:$U$1,AB$1)</f>
        <v>0</v>
      </c>
      <c r="AC61" s="179">
        <f>SUMIFS('recurring2_based on steps'!$B61:$AY61,'recurring2_based on steps'!$B$1:$AY$1,AC$1)+SUMIFS('changes2_based on steps'!$B61:$U61,'changes2_based on steps'!$B$1:$U$1,AC$1)</f>
        <v>0</v>
      </c>
      <c r="AD61" s="179">
        <f>SUMIFS('recurring2_based on steps'!$B61:$AY61,'recurring2_based on steps'!$B$1:$AY$1,AD$1)+SUMIFS('changes2_based on steps'!$B61:$U61,'changes2_based on steps'!$B$1:$U$1,AD$1)</f>
        <v>0</v>
      </c>
      <c r="AE61" s="179">
        <f>SUMIFS('recurring2_based on steps'!$B61:$AY61,'recurring2_based on steps'!$B$1:$AY$1,AE$1)+SUMIFS('changes2_based on steps'!$B61:$U61,'changes2_based on steps'!$B$1:$U$1,AE$1)</f>
        <v>0</v>
      </c>
      <c r="AF61" s="179"/>
      <c r="AG61" s="179"/>
      <c r="AH61" s="179"/>
      <c r="AI61" s="179"/>
      <c r="AJ61" s="179"/>
      <c r="AK61" s="179"/>
      <c r="AL61" s="179"/>
      <c r="AM61" s="179"/>
    </row>
    <row r="62" spans="1:39" x14ac:dyDescent="0.2">
      <c r="A62" s="32">
        <f t="shared" ca="1" si="0"/>
        <v>45811</v>
      </c>
      <c r="B62" s="179">
        <f>SUMIFS('recurring2_based on steps'!$B62:$AY62,'recurring2_based on steps'!$B$1:$AY$1,B$1)+SUMIFS('changes2_based on steps'!$B62:$U62,'changes2_based on steps'!$B$1:$U$1,B$1)</f>
        <v>0</v>
      </c>
      <c r="C62" s="179">
        <f>SUMIFS('recurring2_based on steps'!$B62:$AY62,'recurring2_based on steps'!$B$1:$AY$1,C$1)+SUMIFS('changes2_based on steps'!$B62:$U62,'changes2_based on steps'!$B$1:$U$1,C$1)</f>
        <v>0</v>
      </c>
      <c r="D62" s="179">
        <f>SUMIFS('recurring2_based on steps'!$B62:$AY62,'recurring2_based on steps'!$B$1:$AY$1,D$1)+SUMIFS('changes2_based on steps'!$B62:$U62,'changes2_based on steps'!$B$1:$U$1,D$1)</f>
        <v>0</v>
      </c>
      <c r="E62" s="179">
        <f>SUMIFS('recurring2_based on steps'!$B62:$AY62,'recurring2_based on steps'!$B$1:$AY$1,E$1)+SUMIFS('changes2_based on steps'!$B62:$U62,'changes2_based on steps'!$B$1:$U$1,E$1)</f>
        <v>0</v>
      </c>
      <c r="F62" s="179">
        <f>SUMIFS('recurring2_based on steps'!$B62:$AY62,'recurring2_based on steps'!$B$1:$AY$1,F$1)+SUMIFS('changes2_based on steps'!$B62:$U62,'changes2_based on steps'!$B$1:$U$1,F$1)</f>
        <v>0</v>
      </c>
      <c r="G62" s="179">
        <f>SUMIFS('recurring2_based on steps'!$B62:$AY62,'recurring2_based on steps'!$B$1:$AY$1,G$1)+SUMIFS('changes2_based on steps'!$B62:$U62,'changes2_based on steps'!$B$1:$U$1,G$1)</f>
        <v>0</v>
      </c>
      <c r="H62" s="179">
        <f>SUMIFS('recurring2_based on steps'!$B62:$AY62,'recurring2_based on steps'!$B$1:$AY$1,H$1)+SUMIFS('changes2_based on steps'!$B62:$U62,'changes2_based on steps'!$B$1:$U$1,H$1)</f>
        <v>0</v>
      </c>
      <c r="I62" s="179">
        <f>SUMIFS('recurring2_based on steps'!$B62:$AY62,'recurring2_based on steps'!$B$1:$AY$1,I$1)+SUMIFS('changes2_based on steps'!$B62:$U62,'changes2_based on steps'!$B$1:$U$1,I$1)</f>
        <v>0</v>
      </c>
      <c r="J62" s="179">
        <f>SUMIFS('recurring2_based on steps'!$B62:$AY62,'recurring2_based on steps'!$B$1:$AY$1,J$1)+SUMIFS('changes2_based on steps'!$B62:$U62,'changes2_based on steps'!$B$1:$U$1,J$1)</f>
        <v>0</v>
      </c>
      <c r="K62" s="179">
        <f>SUMIFS('recurring2_based on steps'!$B62:$AY62,'recurring2_based on steps'!$B$1:$AY$1,K$1)+SUMIFS('changes2_based on steps'!$B62:$U62,'changes2_based on steps'!$B$1:$U$1,K$1)</f>
        <v>0</v>
      </c>
      <c r="L62" s="179">
        <f>SUMIFS('recurring2_based on steps'!$B62:$AY62,'recurring2_based on steps'!$B$1:$AY$1,L$1)+SUMIFS('changes2_based on steps'!$B62:$U62,'changes2_based on steps'!$B$1:$U$1,L$1)</f>
        <v>0</v>
      </c>
      <c r="M62" s="179">
        <f>SUMIFS('recurring2_based on steps'!$B62:$AY62,'recurring2_based on steps'!$B$1:$AY$1,M$1)+SUMIFS('changes2_based on steps'!$B62:$U62,'changes2_based on steps'!$B$1:$U$1,M$1)</f>
        <v>0</v>
      </c>
      <c r="N62" s="179">
        <f>SUMIFS('recurring2_based on steps'!$B62:$AY62,'recurring2_based on steps'!$B$1:$AY$1,N$1)+SUMIFS('changes2_based on steps'!$B62:$U62,'changes2_based on steps'!$B$1:$U$1,N$1)</f>
        <v>0</v>
      </c>
      <c r="O62" s="179">
        <f>SUMIFS('recurring2_based on steps'!$B62:$AY62,'recurring2_based on steps'!$B$1:$AY$1,O$1)+SUMIFS('changes2_based on steps'!$B62:$U62,'changes2_based on steps'!$B$1:$U$1,O$1)</f>
        <v>0</v>
      </c>
      <c r="P62" s="179">
        <f>SUMIFS('recurring2_based on steps'!$B62:$AY62,'recurring2_based on steps'!$B$1:$AY$1,P$1)+SUMIFS('changes2_based on steps'!$B62:$U62,'changes2_based on steps'!$B$1:$U$1,P$1)</f>
        <v>0</v>
      </c>
      <c r="Q62" s="179">
        <f>SUMIFS('recurring2_based on steps'!$B62:$AY62,'recurring2_based on steps'!$B$1:$AY$1,Q$1)+SUMIFS('changes2_based on steps'!$B62:$U62,'changes2_based on steps'!$B$1:$U$1,Q$1)</f>
        <v>0</v>
      </c>
      <c r="R62" s="179">
        <f>SUMIFS('recurring2_based on steps'!$B62:$AY62,'recurring2_based on steps'!$B$1:$AY$1,R$1)+SUMIFS('changes2_based on steps'!$B62:$U62,'changes2_based on steps'!$B$1:$U$1,R$1)</f>
        <v>0</v>
      </c>
      <c r="S62" s="179">
        <f>SUMIFS('recurring2_based on steps'!$B62:$AY62,'recurring2_based on steps'!$B$1:$AY$1,S$1)+SUMIFS('changes2_based on steps'!$B62:$U62,'changes2_based on steps'!$B$1:$U$1,S$1)</f>
        <v>0</v>
      </c>
      <c r="T62" s="179">
        <f>SUMIFS('recurring2_based on steps'!$B62:$AY62,'recurring2_based on steps'!$B$1:$AY$1,T$1)+SUMIFS('changes2_based on steps'!$B62:$U62,'changes2_based on steps'!$B$1:$U$1,T$1)</f>
        <v>0</v>
      </c>
      <c r="U62" s="179">
        <f>SUMIFS('recurring2_based on steps'!$B62:$AY62,'recurring2_based on steps'!$B$1:$AY$1,U$1)+SUMIFS('changes2_based on steps'!$B62:$U62,'changes2_based on steps'!$B$1:$U$1,U$1)</f>
        <v>0</v>
      </c>
      <c r="V62" s="179">
        <f>SUMIFS('recurring2_based on steps'!$B62:$AY62,'recurring2_based on steps'!$B$1:$AY$1,V$1)+SUMIFS('changes2_based on steps'!$B62:$U62,'changes2_based on steps'!$B$1:$U$1,V$1)</f>
        <v>0</v>
      </c>
      <c r="W62" s="179">
        <f>SUMIFS('recurring2_based on steps'!$B62:$AY62,'recurring2_based on steps'!$B$1:$AY$1,W$1)+SUMIFS('changes2_based on steps'!$B62:$U62,'changes2_based on steps'!$B$1:$U$1,W$1)</f>
        <v>0</v>
      </c>
      <c r="X62" s="179">
        <f>SUMIFS('recurring2_based on steps'!$B62:$AY62,'recurring2_based on steps'!$B$1:$AY$1,X$1)+SUMIFS('changes2_based on steps'!$B62:$U62,'changes2_based on steps'!$B$1:$U$1,X$1)</f>
        <v>0</v>
      </c>
      <c r="Y62" s="179">
        <f>SUMIFS('recurring2_based on steps'!$B62:$AY62,'recurring2_based on steps'!$B$1:$AY$1,Y$1)+SUMIFS('changes2_based on steps'!$B62:$U62,'changes2_based on steps'!$B$1:$U$1,Y$1)</f>
        <v>0</v>
      </c>
      <c r="Z62" s="179">
        <f>SUMIFS('recurring2_based on steps'!$B62:$AY62,'recurring2_based on steps'!$B$1:$AY$1,Z$1)+SUMIFS('changes2_based on steps'!$B62:$U62,'changes2_based on steps'!$B$1:$U$1,Z$1)</f>
        <v>0</v>
      </c>
      <c r="AA62" s="179">
        <f>SUMIFS('recurring2_based on steps'!$B62:$AY62,'recurring2_based on steps'!$B$1:$AY$1,AA$1)+SUMIFS('changes2_based on steps'!$B62:$U62,'changes2_based on steps'!$B$1:$U$1,AA$1)</f>
        <v>0</v>
      </c>
      <c r="AB62" s="179">
        <f>SUMIFS('recurring2_based on steps'!$B62:$AY62,'recurring2_based on steps'!$B$1:$AY$1,AB$1)+SUMIFS('changes2_based on steps'!$B62:$U62,'changes2_based on steps'!$B$1:$U$1,AB$1)</f>
        <v>0</v>
      </c>
      <c r="AC62" s="179">
        <f>SUMIFS('recurring2_based on steps'!$B62:$AY62,'recurring2_based on steps'!$B$1:$AY$1,AC$1)+SUMIFS('changes2_based on steps'!$B62:$U62,'changes2_based on steps'!$B$1:$U$1,AC$1)</f>
        <v>0</v>
      </c>
      <c r="AD62" s="179">
        <f>SUMIFS('recurring2_based on steps'!$B62:$AY62,'recurring2_based on steps'!$B$1:$AY$1,AD$1)+SUMIFS('changes2_based on steps'!$B62:$U62,'changes2_based on steps'!$B$1:$U$1,AD$1)</f>
        <v>0</v>
      </c>
      <c r="AE62" s="179">
        <f>SUMIFS('recurring2_based on steps'!$B62:$AY62,'recurring2_based on steps'!$B$1:$AY$1,AE$1)+SUMIFS('changes2_based on steps'!$B62:$U62,'changes2_based on steps'!$B$1:$U$1,AE$1)</f>
        <v>0</v>
      </c>
      <c r="AF62" s="179"/>
      <c r="AG62" s="179"/>
      <c r="AH62" s="179"/>
      <c r="AI62" s="179"/>
      <c r="AJ62" s="179"/>
      <c r="AK62" s="179"/>
      <c r="AL62" s="179"/>
      <c r="AM62" s="179"/>
    </row>
    <row r="63" spans="1:39" x14ac:dyDescent="0.2">
      <c r="A63" s="32">
        <f t="shared" ca="1" si="0"/>
        <v>45812</v>
      </c>
      <c r="B63" s="179">
        <f>SUMIFS('recurring2_based on steps'!$B63:$AY63,'recurring2_based on steps'!$B$1:$AY$1,B$1)+SUMIFS('changes2_based on steps'!$B63:$U63,'changes2_based on steps'!$B$1:$U$1,B$1)</f>
        <v>0</v>
      </c>
      <c r="C63" s="179">
        <f>SUMIFS('recurring2_based on steps'!$B63:$AY63,'recurring2_based on steps'!$B$1:$AY$1,C$1)+SUMIFS('changes2_based on steps'!$B63:$U63,'changes2_based on steps'!$B$1:$U$1,C$1)</f>
        <v>0</v>
      </c>
      <c r="D63" s="179">
        <f>SUMIFS('recurring2_based on steps'!$B63:$AY63,'recurring2_based on steps'!$B$1:$AY$1,D$1)+SUMIFS('changes2_based on steps'!$B63:$U63,'changes2_based on steps'!$B$1:$U$1,D$1)</f>
        <v>0</v>
      </c>
      <c r="E63" s="179">
        <f>SUMIFS('recurring2_based on steps'!$B63:$AY63,'recurring2_based on steps'!$B$1:$AY$1,E$1)+SUMIFS('changes2_based on steps'!$B63:$U63,'changes2_based on steps'!$B$1:$U$1,E$1)</f>
        <v>0</v>
      </c>
      <c r="F63" s="179">
        <f>SUMIFS('recurring2_based on steps'!$B63:$AY63,'recurring2_based on steps'!$B$1:$AY$1,F$1)+SUMIFS('changes2_based on steps'!$B63:$U63,'changes2_based on steps'!$B$1:$U$1,F$1)</f>
        <v>0</v>
      </c>
      <c r="G63" s="179">
        <f>SUMIFS('recurring2_based on steps'!$B63:$AY63,'recurring2_based on steps'!$B$1:$AY$1,G$1)+SUMIFS('changes2_based on steps'!$B63:$U63,'changes2_based on steps'!$B$1:$U$1,G$1)</f>
        <v>0</v>
      </c>
      <c r="H63" s="179">
        <f>SUMIFS('recurring2_based on steps'!$B63:$AY63,'recurring2_based on steps'!$B$1:$AY$1,H$1)+SUMIFS('changes2_based on steps'!$B63:$U63,'changes2_based on steps'!$B$1:$U$1,H$1)</f>
        <v>0</v>
      </c>
      <c r="I63" s="179">
        <f>SUMIFS('recurring2_based on steps'!$B63:$AY63,'recurring2_based on steps'!$B$1:$AY$1,I$1)+SUMIFS('changes2_based on steps'!$B63:$U63,'changes2_based on steps'!$B$1:$U$1,I$1)</f>
        <v>0</v>
      </c>
      <c r="J63" s="179">
        <f>SUMIFS('recurring2_based on steps'!$B63:$AY63,'recurring2_based on steps'!$B$1:$AY$1,J$1)+SUMIFS('changes2_based on steps'!$B63:$U63,'changes2_based on steps'!$B$1:$U$1,J$1)</f>
        <v>0</v>
      </c>
      <c r="K63" s="179">
        <f>SUMIFS('recurring2_based on steps'!$B63:$AY63,'recurring2_based on steps'!$B$1:$AY$1,K$1)+SUMIFS('changes2_based on steps'!$B63:$U63,'changes2_based on steps'!$B$1:$U$1,K$1)</f>
        <v>0</v>
      </c>
      <c r="L63" s="179">
        <f>SUMIFS('recurring2_based on steps'!$B63:$AY63,'recurring2_based on steps'!$B$1:$AY$1,L$1)+SUMIFS('changes2_based on steps'!$B63:$U63,'changes2_based on steps'!$B$1:$U$1,L$1)</f>
        <v>0</v>
      </c>
      <c r="M63" s="179">
        <f>SUMIFS('recurring2_based on steps'!$B63:$AY63,'recurring2_based on steps'!$B$1:$AY$1,M$1)+SUMIFS('changes2_based on steps'!$B63:$U63,'changes2_based on steps'!$B$1:$U$1,M$1)</f>
        <v>0</v>
      </c>
      <c r="N63" s="179">
        <f>SUMIFS('recurring2_based on steps'!$B63:$AY63,'recurring2_based on steps'!$B$1:$AY$1,N$1)+SUMIFS('changes2_based on steps'!$B63:$U63,'changes2_based on steps'!$B$1:$U$1,N$1)</f>
        <v>0</v>
      </c>
      <c r="O63" s="179">
        <f>SUMIFS('recurring2_based on steps'!$B63:$AY63,'recurring2_based on steps'!$B$1:$AY$1,O$1)+SUMIFS('changes2_based on steps'!$B63:$U63,'changes2_based on steps'!$B$1:$U$1,O$1)</f>
        <v>0</v>
      </c>
      <c r="P63" s="179">
        <f>SUMIFS('recurring2_based on steps'!$B63:$AY63,'recurring2_based on steps'!$B$1:$AY$1,P$1)+SUMIFS('changes2_based on steps'!$B63:$U63,'changes2_based on steps'!$B$1:$U$1,P$1)</f>
        <v>0</v>
      </c>
      <c r="Q63" s="179">
        <f>SUMIFS('recurring2_based on steps'!$B63:$AY63,'recurring2_based on steps'!$B$1:$AY$1,Q$1)+SUMIFS('changes2_based on steps'!$B63:$U63,'changes2_based on steps'!$B$1:$U$1,Q$1)</f>
        <v>0</v>
      </c>
      <c r="R63" s="179">
        <f>SUMIFS('recurring2_based on steps'!$B63:$AY63,'recurring2_based on steps'!$B$1:$AY$1,R$1)+SUMIFS('changes2_based on steps'!$B63:$U63,'changes2_based on steps'!$B$1:$U$1,R$1)</f>
        <v>0</v>
      </c>
      <c r="S63" s="179">
        <f>SUMIFS('recurring2_based on steps'!$B63:$AY63,'recurring2_based on steps'!$B$1:$AY$1,S$1)+SUMIFS('changes2_based on steps'!$B63:$U63,'changes2_based on steps'!$B$1:$U$1,S$1)</f>
        <v>0</v>
      </c>
      <c r="T63" s="179">
        <f>SUMIFS('recurring2_based on steps'!$B63:$AY63,'recurring2_based on steps'!$B$1:$AY$1,T$1)+SUMIFS('changes2_based on steps'!$B63:$U63,'changes2_based on steps'!$B$1:$U$1,T$1)</f>
        <v>0</v>
      </c>
      <c r="U63" s="179">
        <f>SUMIFS('recurring2_based on steps'!$B63:$AY63,'recurring2_based on steps'!$B$1:$AY$1,U$1)+SUMIFS('changes2_based on steps'!$B63:$U63,'changes2_based on steps'!$B$1:$U$1,U$1)</f>
        <v>0</v>
      </c>
      <c r="V63" s="179">
        <f>SUMIFS('recurring2_based on steps'!$B63:$AY63,'recurring2_based on steps'!$B$1:$AY$1,V$1)+SUMIFS('changes2_based on steps'!$B63:$U63,'changes2_based on steps'!$B$1:$U$1,V$1)</f>
        <v>0</v>
      </c>
      <c r="W63" s="179">
        <f>SUMIFS('recurring2_based on steps'!$B63:$AY63,'recurring2_based on steps'!$B$1:$AY$1,W$1)+SUMIFS('changes2_based on steps'!$B63:$U63,'changes2_based on steps'!$B$1:$U$1,W$1)</f>
        <v>0</v>
      </c>
      <c r="X63" s="179">
        <f>SUMIFS('recurring2_based on steps'!$B63:$AY63,'recurring2_based on steps'!$B$1:$AY$1,X$1)+SUMIFS('changes2_based on steps'!$B63:$U63,'changes2_based on steps'!$B$1:$U$1,X$1)</f>
        <v>0</v>
      </c>
      <c r="Y63" s="179">
        <f>SUMIFS('recurring2_based on steps'!$B63:$AY63,'recurring2_based on steps'!$B$1:$AY$1,Y$1)+SUMIFS('changes2_based on steps'!$B63:$U63,'changes2_based on steps'!$B$1:$U$1,Y$1)</f>
        <v>0</v>
      </c>
      <c r="Z63" s="179">
        <f>SUMIFS('recurring2_based on steps'!$B63:$AY63,'recurring2_based on steps'!$B$1:$AY$1,Z$1)+SUMIFS('changes2_based on steps'!$B63:$U63,'changes2_based on steps'!$B$1:$U$1,Z$1)</f>
        <v>0</v>
      </c>
      <c r="AA63" s="179">
        <f>SUMIFS('recurring2_based on steps'!$B63:$AY63,'recurring2_based on steps'!$B$1:$AY$1,AA$1)+SUMIFS('changes2_based on steps'!$B63:$U63,'changes2_based on steps'!$B$1:$U$1,AA$1)</f>
        <v>0</v>
      </c>
      <c r="AB63" s="179">
        <f>SUMIFS('recurring2_based on steps'!$B63:$AY63,'recurring2_based on steps'!$B$1:$AY$1,AB$1)+SUMIFS('changes2_based on steps'!$B63:$U63,'changes2_based on steps'!$B$1:$U$1,AB$1)</f>
        <v>0</v>
      </c>
      <c r="AC63" s="179">
        <f>SUMIFS('recurring2_based on steps'!$B63:$AY63,'recurring2_based on steps'!$B$1:$AY$1,AC$1)+SUMIFS('changes2_based on steps'!$B63:$U63,'changes2_based on steps'!$B$1:$U$1,AC$1)</f>
        <v>0</v>
      </c>
      <c r="AD63" s="179">
        <f>SUMIFS('recurring2_based on steps'!$B63:$AY63,'recurring2_based on steps'!$B$1:$AY$1,AD$1)+SUMIFS('changes2_based on steps'!$B63:$U63,'changes2_based on steps'!$B$1:$U$1,AD$1)</f>
        <v>0</v>
      </c>
      <c r="AE63" s="179">
        <f>SUMIFS('recurring2_based on steps'!$B63:$AY63,'recurring2_based on steps'!$B$1:$AY$1,AE$1)+SUMIFS('changes2_based on steps'!$B63:$U63,'changes2_based on steps'!$B$1:$U$1,AE$1)</f>
        <v>0</v>
      </c>
      <c r="AF63" s="179"/>
      <c r="AG63" s="179"/>
      <c r="AH63" s="179"/>
      <c r="AI63" s="179"/>
      <c r="AJ63" s="179"/>
      <c r="AK63" s="179"/>
      <c r="AL63" s="179"/>
      <c r="AM63" s="179"/>
    </row>
    <row r="64" spans="1:39" x14ac:dyDescent="0.2">
      <c r="A64" s="32">
        <f t="shared" ca="1" si="0"/>
        <v>45813</v>
      </c>
      <c r="B64" s="179">
        <f>SUMIFS('recurring2_based on steps'!$B64:$AY64,'recurring2_based on steps'!$B$1:$AY$1,B$1)+SUMIFS('changes2_based on steps'!$B64:$U64,'changes2_based on steps'!$B$1:$U$1,B$1)</f>
        <v>0</v>
      </c>
      <c r="C64" s="179">
        <f>SUMIFS('recurring2_based on steps'!$B64:$AY64,'recurring2_based on steps'!$B$1:$AY$1,C$1)+SUMIFS('changes2_based on steps'!$B64:$U64,'changes2_based on steps'!$B$1:$U$1,C$1)</f>
        <v>0</v>
      </c>
      <c r="D64" s="179">
        <f>SUMIFS('recurring2_based on steps'!$B64:$AY64,'recurring2_based on steps'!$B$1:$AY$1,D$1)+SUMIFS('changes2_based on steps'!$B64:$U64,'changes2_based on steps'!$B$1:$U$1,D$1)</f>
        <v>0</v>
      </c>
      <c r="E64" s="179">
        <f>SUMIFS('recurring2_based on steps'!$B64:$AY64,'recurring2_based on steps'!$B$1:$AY$1,E$1)+SUMIFS('changes2_based on steps'!$B64:$U64,'changes2_based on steps'!$B$1:$U$1,E$1)</f>
        <v>0</v>
      </c>
      <c r="F64" s="179">
        <f>SUMIFS('recurring2_based on steps'!$B64:$AY64,'recurring2_based on steps'!$B$1:$AY$1,F$1)+SUMIFS('changes2_based on steps'!$B64:$U64,'changes2_based on steps'!$B$1:$U$1,F$1)</f>
        <v>0</v>
      </c>
      <c r="G64" s="179">
        <f>SUMIFS('recurring2_based on steps'!$B64:$AY64,'recurring2_based on steps'!$B$1:$AY$1,G$1)+SUMIFS('changes2_based on steps'!$B64:$U64,'changes2_based on steps'!$B$1:$U$1,G$1)</f>
        <v>0</v>
      </c>
      <c r="H64" s="179">
        <f>SUMIFS('recurring2_based on steps'!$B64:$AY64,'recurring2_based on steps'!$B$1:$AY$1,H$1)+SUMIFS('changes2_based on steps'!$B64:$U64,'changes2_based on steps'!$B$1:$U$1,H$1)</f>
        <v>0</v>
      </c>
      <c r="I64" s="179">
        <f>SUMIFS('recurring2_based on steps'!$B64:$AY64,'recurring2_based on steps'!$B$1:$AY$1,I$1)+SUMIFS('changes2_based on steps'!$B64:$U64,'changes2_based on steps'!$B$1:$U$1,I$1)</f>
        <v>0</v>
      </c>
      <c r="J64" s="179">
        <f>SUMIFS('recurring2_based on steps'!$B64:$AY64,'recurring2_based on steps'!$B$1:$AY$1,J$1)+SUMIFS('changes2_based on steps'!$B64:$U64,'changes2_based on steps'!$B$1:$U$1,J$1)</f>
        <v>0</v>
      </c>
      <c r="K64" s="179">
        <f>SUMIFS('recurring2_based on steps'!$B64:$AY64,'recurring2_based on steps'!$B$1:$AY$1,K$1)+SUMIFS('changes2_based on steps'!$B64:$U64,'changes2_based on steps'!$B$1:$U$1,K$1)</f>
        <v>0</v>
      </c>
      <c r="L64" s="179">
        <f>SUMIFS('recurring2_based on steps'!$B64:$AY64,'recurring2_based on steps'!$B$1:$AY$1,L$1)+SUMIFS('changes2_based on steps'!$B64:$U64,'changes2_based on steps'!$B$1:$U$1,L$1)</f>
        <v>0</v>
      </c>
      <c r="M64" s="179">
        <f>SUMIFS('recurring2_based on steps'!$B64:$AY64,'recurring2_based on steps'!$B$1:$AY$1,M$1)+SUMIFS('changes2_based on steps'!$B64:$U64,'changes2_based on steps'!$B$1:$U$1,M$1)</f>
        <v>0</v>
      </c>
      <c r="N64" s="179">
        <f>SUMIFS('recurring2_based on steps'!$B64:$AY64,'recurring2_based on steps'!$B$1:$AY$1,N$1)+SUMIFS('changes2_based on steps'!$B64:$U64,'changes2_based on steps'!$B$1:$U$1,N$1)</f>
        <v>0</v>
      </c>
      <c r="O64" s="179">
        <f>SUMIFS('recurring2_based on steps'!$B64:$AY64,'recurring2_based on steps'!$B$1:$AY$1,O$1)+SUMIFS('changes2_based on steps'!$B64:$U64,'changes2_based on steps'!$B$1:$U$1,O$1)</f>
        <v>0</v>
      </c>
      <c r="P64" s="179">
        <f>SUMIFS('recurring2_based on steps'!$B64:$AY64,'recurring2_based on steps'!$B$1:$AY$1,P$1)+SUMIFS('changes2_based on steps'!$B64:$U64,'changes2_based on steps'!$B$1:$U$1,P$1)</f>
        <v>0</v>
      </c>
      <c r="Q64" s="179">
        <f>SUMIFS('recurring2_based on steps'!$B64:$AY64,'recurring2_based on steps'!$B$1:$AY$1,Q$1)+SUMIFS('changes2_based on steps'!$B64:$U64,'changes2_based on steps'!$B$1:$U$1,Q$1)</f>
        <v>0</v>
      </c>
      <c r="R64" s="179">
        <f>SUMIFS('recurring2_based on steps'!$B64:$AY64,'recurring2_based on steps'!$B$1:$AY$1,R$1)+SUMIFS('changes2_based on steps'!$B64:$U64,'changes2_based on steps'!$B$1:$U$1,R$1)</f>
        <v>0</v>
      </c>
      <c r="S64" s="179">
        <f>SUMIFS('recurring2_based on steps'!$B64:$AY64,'recurring2_based on steps'!$B$1:$AY$1,S$1)+SUMIFS('changes2_based on steps'!$B64:$U64,'changes2_based on steps'!$B$1:$U$1,S$1)</f>
        <v>0</v>
      </c>
      <c r="T64" s="179">
        <f>SUMIFS('recurring2_based on steps'!$B64:$AY64,'recurring2_based on steps'!$B$1:$AY$1,T$1)+SUMIFS('changes2_based on steps'!$B64:$U64,'changes2_based on steps'!$B$1:$U$1,T$1)</f>
        <v>0</v>
      </c>
      <c r="U64" s="179">
        <f>SUMIFS('recurring2_based on steps'!$B64:$AY64,'recurring2_based on steps'!$B$1:$AY$1,U$1)+SUMIFS('changes2_based on steps'!$B64:$U64,'changes2_based on steps'!$B$1:$U$1,U$1)</f>
        <v>0</v>
      </c>
      <c r="V64" s="179">
        <f>SUMIFS('recurring2_based on steps'!$B64:$AY64,'recurring2_based on steps'!$B$1:$AY$1,V$1)+SUMIFS('changes2_based on steps'!$B64:$U64,'changes2_based on steps'!$B$1:$U$1,V$1)</f>
        <v>0</v>
      </c>
      <c r="W64" s="179">
        <f>SUMIFS('recurring2_based on steps'!$B64:$AY64,'recurring2_based on steps'!$B$1:$AY$1,W$1)+SUMIFS('changes2_based on steps'!$B64:$U64,'changes2_based on steps'!$B$1:$U$1,W$1)</f>
        <v>0</v>
      </c>
      <c r="X64" s="179">
        <f>SUMIFS('recurring2_based on steps'!$B64:$AY64,'recurring2_based on steps'!$B$1:$AY$1,X$1)+SUMIFS('changes2_based on steps'!$B64:$U64,'changes2_based on steps'!$B$1:$U$1,X$1)</f>
        <v>0</v>
      </c>
      <c r="Y64" s="179">
        <f>SUMIFS('recurring2_based on steps'!$B64:$AY64,'recurring2_based on steps'!$B$1:$AY$1,Y$1)+SUMIFS('changes2_based on steps'!$B64:$U64,'changes2_based on steps'!$B$1:$U$1,Y$1)</f>
        <v>0</v>
      </c>
      <c r="Z64" s="179">
        <f>SUMIFS('recurring2_based on steps'!$B64:$AY64,'recurring2_based on steps'!$B$1:$AY$1,Z$1)+SUMIFS('changes2_based on steps'!$B64:$U64,'changes2_based on steps'!$B$1:$U$1,Z$1)</f>
        <v>0</v>
      </c>
      <c r="AA64" s="179">
        <f>SUMIFS('recurring2_based on steps'!$B64:$AY64,'recurring2_based on steps'!$B$1:$AY$1,AA$1)+SUMIFS('changes2_based on steps'!$B64:$U64,'changes2_based on steps'!$B$1:$U$1,AA$1)</f>
        <v>0</v>
      </c>
      <c r="AB64" s="179">
        <f>SUMIFS('recurring2_based on steps'!$B64:$AY64,'recurring2_based on steps'!$B$1:$AY$1,AB$1)+SUMIFS('changes2_based on steps'!$B64:$U64,'changes2_based on steps'!$B$1:$U$1,AB$1)</f>
        <v>0</v>
      </c>
      <c r="AC64" s="179">
        <f>SUMIFS('recurring2_based on steps'!$B64:$AY64,'recurring2_based on steps'!$B$1:$AY$1,AC$1)+SUMIFS('changes2_based on steps'!$B64:$U64,'changes2_based on steps'!$B$1:$U$1,AC$1)</f>
        <v>0</v>
      </c>
      <c r="AD64" s="179">
        <f>SUMIFS('recurring2_based on steps'!$B64:$AY64,'recurring2_based on steps'!$B$1:$AY$1,AD$1)+SUMIFS('changes2_based on steps'!$B64:$U64,'changes2_based on steps'!$B$1:$U$1,AD$1)</f>
        <v>0</v>
      </c>
      <c r="AE64" s="179">
        <f>SUMIFS('recurring2_based on steps'!$B64:$AY64,'recurring2_based on steps'!$B$1:$AY$1,AE$1)+SUMIFS('changes2_based on steps'!$B64:$U64,'changes2_based on steps'!$B$1:$U$1,AE$1)</f>
        <v>0</v>
      </c>
      <c r="AF64" s="179"/>
      <c r="AG64" s="179"/>
      <c r="AH64" s="179"/>
      <c r="AI64" s="179"/>
      <c r="AJ64" s="179"/>
      <c r="AK64" s="179"/>
      <c r="AL64" s="179"/>
      <c r="AM64" s="179"/>
    </row>
    <row r="65" spans="1:39" x14ac:dyDescent="0.2">
      <c r="A65" s="32">
        <f t="shared" ca="1" si="0"/>
        <v>45814</v>
      </c>
      <c r="B65" s="179">
        <f>SUMIFS('recurring2_based on steps'!$B65:$AY65,'recurring2_based on steps'!$B$1:$AY$1,B$1)+SUMIFS('changes2_based on steps'!$B65:$U65,'changes2_based on steps'!$B$1:$U$1,B$1)</f>
        <v>0</v>
      </c>
      <c r="C65" s="179">
        <f>SUMIFS('recurring2_based on steps'!$B65:$AY65,'recurring2_based on steps'!$B$1:$AY$1,C$1)+SUMIFS('changes2_based on steps'!$B65:$U65,'changes2_based on steps'!$B$1:$U$1,C$1)</f>
        <v>0</v>
      </c>
      <c r="D65" s="179">
        <f>SUMIFS('recurring2_based on steps'!$B65:$AY65,'recurring2_based on steps'!$B$1:$AY$1,D$1)+SUMIFS('changes2_based on steps'!$B65:$U65,'changes2_based on steps'!$B$1:$U$1,D$1)</f>
        <v>0</v>
      </c>
      <c r="E65" s="179">
        <f>SUMIFS('recurring2_based on steps'!$B65:$AY65,'recurring2_based on steps'!$B$1:$AY$1,E$1)+SUMIFS('changes2_based on steps'!$B65:$U65,'changes2_based on steps'!$B$1:$U$1,E$1)</f>
        <v>0</v>
      </c>
      <c r="F65" s="179">
        <f>SUMIFS('recurring2_based on steps'!$B65:$AY65,'recurring2_based on steps'!$B$1:$AY$1,F$1)+SUMIFS('changes2_based on steps'!$B65:$U65,'changes2_based on steps'!$B$1:$U$1,F$1)</f>
        <v>0</v>
      </c>
      <c r="G65" s="179">
        <f>SUMIFS('recurring2_based on steps'!$B65:$AY65,'recurring2_based on steps'!$B$1:$AY$1,G$1)+SUMIFS('changes2_based on steps'!$B65:$U65,'changes2_based on steps'!$B$1:$U$1,G$1)</f>
        <v>0</v>
      </c>
      <c r="H65" s="179">
        <f>SUMIFS('recurring2_based on steps'!$B65:$AY65,'recurring2_based on steps'!$B$1:$AY$1,H$1)+SUMIFS('changes2_based on steps'!$B65:$U65,'changes2_based on steps'!$B$1:$U$1,H$1)</f>
        <v>0</v>
      </c>
      <c r="I65" s="179">
        <f>SUMIFS('recurring2_based on steps'!$B65:$AY65,'recurring2_based on steps'!$B$1:$AY$1,I$1)+SUMIFS('changes2_based on steps'!$B65:$U65,'changes2_based on steps'!$B$1:$U$1,I$1)</f>
        <v>0</v>
      </c>
      <c r="J65" s="179">
        <f>SUMIFS('recurring2_based on steps'!$B65:$AY65,'recurring2_based on steps'!$B$1:$AY$1,J$1)+SUMIFS('changes2_based on steps'!$B65:$U65,'changes2_based on steps'!$B$1:$U$1,J$1)</f>
        <v>0</v>
      </c>
      <c r="K65" s="179">
        <f>SUMIFS('recurring2_based on steps'!$B65:$AY65,'recurring2_based on steps'!$B$1:$AY$1,K$1)+SUMIFS('changes2_based on steps'!$B65:$U65,'changes2_based on steps'!$B$1:$U$1,K$1)</f>
        <v>0</v>
      </c>
      <c r="L65" s="179">
        <f>SUMIFS('recurring2_based on steps'!$B65:$AY65,'recurring2_based on steps'!$B$1:$AY$1,L$1)+SUMIFS('changes2_based on steps'!$B65:$U65,'changes2_based on steps'!$B$1:$U$1,L$1)</f>
        <v>0</v>
      </c>
      <c r="M65" s="179">
        <f>SUMIFS('recurring2_based on steps'!$B65:$AY65,'recurring2_based on steps'!$B$1:$AY$1,M$1)+SUMIFS('changes2_based on steps'!$B65:$U65,'changes2_based on steps'!$B$1:$U$1,M$1)</f>
        <v>0</v>
      </c>
      <c r="N65" s="179">
        <f>SUMIFS('recurring2_based on steps'!$B65:$AY65,'recurring2_based on steps'!$B$1:$AY$1,N$1)+SUMIFS('changes2_based on steps'!$B65:$U65,'changes2_based on steps'!$B$1:$U$1,N$1)</f>
        <v>0</v>
      </c>
      <c r="O65" s="179">
        <f>SUMIFS('recurring2_based on steps'!$B65:$AY65,'recurring2_based on steps'!$B$1:$AY$1,O$1)+SUMIFS('changes2_based on steps'!$B65:$U65,'changes2_based on steps'!$B$1:$U$1,O$1)</f>
        <v>0</v>
      </c>
      <c r="P65" s="179">
        <f>SUMIFS('recurring2_based on steps'!$B65:$AY65,'recurring2_based on steps'!$B$1:$AY$1,P$1)+SUMIFS('changes2_based on steps'!$B65:$U65,'changes2_based on steps'!$B$1:$U$1,P$1)</f>
        <v>0</v>
      </c>
      <c r="Q65" s="179">
        <f>SUMIFS('recurring2_based on steps'!$B65:$AY65,'recurring2_based on steps'!$B$1:$AY$1,Q$1)+SUMIFS('changes2_based on steps'!$B65:$U65,'changes2_based on steps'!$B$1:$U$1,Q$1)</f>
        <v>0</v>
      </c>
      <c r="R65" s="179">
        <f>SUMIFS('recurring2_based on steps'!$B65:$AY65,'recurring2_based on steps'!$B$1:$AY$1,R$1)+SUMIFS('changes2_based on steps'!$B65:$U65,'changes2_based on steps'!$B$1:$U$1,R$1)</f>
        <v>0</v>
      </c>
      <c r="S65" s="179">
        <f>SUMIFS('recurring2_based on steps'!$B65:$AY65,'recurring2_based on steps'!$B$1:$AY$1,S$1)+SUMIFS('changes2_based on steps'!$B65:$U65,'changes2_based on steps'!$B$1:$U$1,S$1)</f>
        <v>0</v>
      </c>
      <c r="T65" s="179">
        <f>SUMIFS('recurring2_based on steps'!$B65:$AY65,'recurring2_based on steps'!$B$1:$AY$1,T$1)+SUMIFS('changes2_based on steps'!$B65:$U65,'changes2_based on steps'!$B$1:$U$1,T$1)</f>
        <v>0</v>
      </c>
      <c r="U65" s="179">
        <f>SUMIFS('recurring2_based on steps'!$B65:$AY65,'recurring2_based on steps'!$B$1:$AY$1,U$1)+SUMIFS('changes2_based on steps'!$B65:$U65,'changes2_based on steps'!$B$1:$U$1,U$1)</f>
        <v>0</v>
      </c>
      <c r="V65" s="179">
        <f>SUMIFS('recurring2_based on steps'!$B65:$AY65,'recurring2_based on steps'!$B$1:$AY$1,V$1)+SUMIFS('changes2_based on steps'!$B65:$U65,'changes2_based on steps'!$B$1:$U$1,V$1)</f>
        <v>0</v>
      </c>
      <c r="W65" s="179">
        <f>SUMIFS('recurring2_based on steps'!$B65:$AY65,'recurring2_based on steps'!$B$1:$AY$1,W$1)+SUMIFS('changes2_based on steps'!$B65:$U65,'changes2_based on steps'!$B$1:$U$1,W$1)</f>
        <v>0</v>
      </c>
      <c r="X65" s="179">
        <f>SUMIFS('recurring2_based on steps'!$B65:$AY65,'recurring2_based on steps'!$B$1:$AY$1,X$1)+SUMIFS('changes2_based on steps'!$B65:$U65,'changes2_based on steps'!$B$1:$U$1,X$1)</f>
        <v>0</v>
      </c>
      <c r="Y65" s="179">
        <f>SUMIFS('recurring2_based on steps'!$B65:$AY65,'recurring2_based on steps'!$B$1:$AY$1,Y$1)+SUMIFS('changes2_based on steps'!$B65:$U65,'changes2_based on steps'!$B$1:$U$1,Y$1)</f>
        <v>0</v>
      </c>
      <c r="Z65" s="179">
        <f>SUMIFS('recurring2_based on steps'!$B65:$AY65,'recurring2_based on steps'!$B$1:$AY$1,Z$1)+SUMIFS('changes2_based on steps'!$B65:$U65,'changes2_based on steps'!$B$1:$U$1,Z$1)</f>
        <v>0</v>
      </c>
      <c r="AA65" s="179">
        <f>SUMIFS('recurring2_based on steps'!$B65:$AY65,'recurring2_based on steps'!$B$1:$AY$1,AA$1)+SUMIFS('changes2_based on steps'!$B65:$U65,'changes2_based on steps'!$B$1:$U$1,AA$1)</f>
        <v>0</v>
      </c>
      <c r="AB65" s="179">
        <f>SUMIFS('recurring2_based on steps'!$B65:$AY65,'recurring2_based on steps'!$B$1:$AY$1,AB$1)+SUMIFS('changes2_based on steps'!$B65:$U65,'changes2_based on steps'!$B$1:$U$1,AB$1)</f>
        <v>0</v>
      </c>
      <c r="AC65" s="179">
        <f>SUMIFS('recurring2_based on steps'!$B65:$AY65,'recurring2_based on steps'!$B$1:$AY$1,AC$1)+SUMIFS('changes2_based on steps'!$B65:$U65,'changes2_based on steps'!$B$1:$U$1,AC$1)</f>
        <v>0</v>
      </c>
      <c r="AD65" s="179">
        <f>SUMIFS('recurring2_based on steps'!$B65:$AY65,'recurring2_based on steps'!$B$1:$AY$1,AD$1)+SUMIFS('changes2_based on steps'!$B65:$U65,'changes2_based on steps'!$B$1:$U$1,AD$1)</f>
        <v>0</v>
      </c>
      <c r="AE65" s="179">
        <f>SUMIFS('recurring2_based on steps'!$B65:$AY65,'recurring2_based on steps'!$B$1:$AY$1,AE$1)+SUMIFS('changes2_based on steps'!$B65:$U65,'changes2_based on steps'!$B$1:$U$1,AE$1)</f>
        <v>0</v>
      </c>
      <c r="AF65" s="179"/>
      <c r="AG65" s="179"/>
      <c r="AH65" s="179"/>
      <c r="AI65" s="179"/>
      <c r="AJ65" s="179"/>
      <c r="AK65" s="179"/>
      <c r="AL65" s="179"/>
      <c r="AM65" s="179"/>
    </row>
    <row r="66" spans="1:39" x14ac:dyDescent="0.2">
      <c r="A66" s="32">
        <f t="shared" ca="1" si="0"/>
        <v>45815</v>
      </c>
      <c r="B66" s="179">
        <f>SUMIFS('recurring2_based on steps'!$B66:$AY66,'recurring2_based on steps'!$B$1:$AY$1,B$1)+SUMIFS('changes2_based on steps'!$B66:$U66,'changes2_based on steps'!$B$1:$U$1,B$1)</f>
        <v>0</v>
      </c>
      <c r="C66" s="179">
        <f>SUMIFS('recurring2_based on steps'!$B66:$AY66,'recurring2_based on steps'!$B$1:$AY$1,C$1)+SUMIFS('changes2_based on steps'!$B66:$U66,'changes2_based on steps'!$B$1:$U$1,C$1)</f>
        <v>0</v>
      </c>
      <c r="D66" s="179">
        <f>SUMIFS('recurring2_based on steps'!$B66:$AY66,'recurring2_based on steps'!$B$1:$AY$1,D$1)+SUMIFS('changes2_based on steps'!$B66:$U66,'changes2_based on steps'!$B$1:$U$1,D$1)</f>
        <v>0</v>
      </c>
      <c r="E66" s="179">
        <f>SUMIFS('recurring2_based on steps'!$B66:$AY66,'recurring2_based on steps'!$B$1:$AY$1,E$1)+SUMIFS('changes2_based on steps'!$B66:$U66,'changes2_based on steps'!$B$1:$U$1,E$1)</f>
        <v>0</v>
      </c>
      <c r="F66" s="179">
        <f>SUMIFS('recurring2_based on steps'!$B66:$AY66,'recurring2_based on steps'!$B$1:$AY$1,F$1)+SUMIFS('changes2_based on steps'!$B66:$U66,'changes2_based on steps'!$B$1:$U$1,F$1)</f>
        <v>0</v>
      </c>
      <c r="G66" s="179">
        <f>SUMIFS('recurring2_based on steps'!$B66:$AY66,'recurring2_based on steps'!$B$1:$AY$1,G$1)+SUMIFS('changes2_based on steps'!$B66:$U66,'changes2_based on steps'!$B$1:$U$1,G$1)</f>
        <v>0</v>
      </c>
      <c r="H66" s="179">
        <f>SUMIFS('recurring2_based on steps'!$B66:$AY66,'recurring2_based on steps'!$B$1:$AY$1,H$1)+SUMIFS('changes2_based on steps'!$B66:$U66,'changes2_based on steps'!$B$1:$U$1,H$1)</f>
        <v>0</v>
      </c>
      <c r="I66" s="179">
        <f>SUMIFS('recurring2_based on steps'!$B66:$AY66,'recurring2_based on steps'!$B$1:$AY$1,I$1)+SUMIFS('changes2_based on steps'!$B66:$U66,'changes2_based on steps'!$B$1:$U$1,I$1)</f>
        <v>0</v>
      </c>
      <c r="J66" s="179">
        <f>SUMIFS('recurring2_based on steps'!$B66:$AY66,'recurring2_based on steps'!$B$1:$AY$1,J$1)+SUMIFS('changes2_based on steps'!$B66:$U66,'changes2_based on steps'!$B$1:$U$1,J$1)</f>
        <v>0</v>
      </c>
      <c r="K66" s="179">
        <f>SUMIFS('recurring2_based on steps'!$B66:$AY66,'recurring2_based on steps'!$B$1:$AY$1,K$1)+SUMIFS('changes2_based on steps'!$B66:$U66,'changes2_based on steps'!$B$1:$U$1,K$1)</f>
        <v>0</v>
      </c>
      <c r="L66" s="179">
        <f>SUMIFS('recurring2_based on steps'!$B66:$AY66,'recurring2_based on steps'!$B$1:$AY$1,L$1)+SUMIFS('changes2_based on steps'!$B66:$U66,'changes2_based on steps'!$B$1:$U$1,L$1)</f>
        <v>0</v>
      </c>
      <c r="M66" s="179">
        <f>SUMIFS('recurring2_based on steps'!$B66:$AY66,'recurring2_based on steps'!$B$1:$AY$1,M$1)+SUMIFS('changes2_based on steps'!$B66:$U66,'changes2_based on steps'!$B$1:$U$1,M$1)</f>
        <v>0</v>
      </c>
      <c r="N66" s="179">
        <f>SUMIFS('recurring2_based on steps'!$B66:$AY66,'recurring2_based on steps'!$B$1:$AY$1,N$1)+SUMIFS('changes2_based on steps'!$B66:$U66,'changes2_based on steps'!$B$1:$U$1,N$1)</f>
        <v>0</v>
      </c>
      <c r="O66" s="179">
        <f>SUMIFS('recurring2_based on steps'!$B66:$AY66,'recurring2_based on steps'!$B$1:$AY$1,O$1)+SUMIFS('changes2_based on steps'!$B66:$U66,'changes2_based on steps'!$B$1:$U$1,O$1)</f>
        <v>0</v>
      </c>
      <c r="P66" s="179">
        <f>SUMIFS('recurring2_based on steps'!$B66:$AY66,'recurring2_based on steps'!$B$1:$AY$1,P$1)+SUMIFS('changes2_based on steps'!$B66:$U66,'changes2_based on steps'!$B$1:$U$1,P$1)</f>
        <v>0</v>
      </c>
      <c r="Q66" s="179">
        <f>SUMIFS('recurring2_based on steps'!$B66:$AY66,'recurring2_based on steps'!$B$1:$AY$1,Q$1)+SUMIFS('changes2_based on steps'!$B66:$U66,'changes2_based on steps'!$B$1:$U$1,Q$1)</f>
        <v>0</v>
      </c>
      <c r="R66" s="179">
        <f>SUMIFS('recurring2_based on steps'!$B66:$AY66,'recurring2_based on steps'!$B$1:$AY$1,R$1)+SUMIFS('changes2_based on steps'!$B66:$U66,'changes2_based on steps'!$B$1:$U$1,R$1)</f>
        <v>0</v>
      </c>
      <c r="S66" s="179">
        <f>SUMIFS('recurring2_based on steps'!$B66:$AY66,'recurring2_based on steps'!$B$1:$AY$1,S$1)+SUMIFS('changes2_based on steps'!$B66:$U66,'changes2_based on steps'!$B$1:$U$1,S$1)</f>
        <v>0</v>
      </c>
      <c r="T66" s="179">
        <f>SUMIFS('recurring2_based on steps'!$B66:$AY66,'recurring2_based on steps'!$B$1:$AY$1,T$1)+SUMIFS('changes2_based on steps'!$B66:$U66,'changes2_based on steps'!$B$1:$U$1,T$1)</f>
        <v>0</v>
      </c>
      <c r="U66" s="179">
        <f>SUMIFS('recurring2_based on steps'!$B66:$AY66,'recurring2_based on steps'!$B$1:$AY$1,U$1)+SUMIFS('changes2_based on steps'!$B66:$U66,'changes2_based on steps'!$B$1:$U$1,U$1)</f>
        <v>0</v>
      </c>
      <c r="V66" s="179">
        <f>SUMIFS('recurring2_based on steps'!$B66:$AY66,'recurring2_based on steps'!$B$1:$AY$1,V$1)+SUMIFS('changes2_based on steps'!$B66:$U66,'changes2_based on steps'!$B$1:$U$1,V$1)</f>
        <v>0</v>
      </c>
      <c r="W66" s="179">
        <f>SUMIFS('recurring2_based on steps'!$B66:$AY66,'recurring2_based on steps'!$B$1:$AY$1,W$1)+SUMIFS('changes2_based on steps'!$B66:$U66,'changes2_based on steps'!$B$1:$U$1,W$1)</f>
        <v>0</v>
      </c>
      <c r="X66" s="179">
        <f>SUMIFS('recurring2_based on steps'!$B66:$AY66,'recurring2_based on steps'!$B$1:$AY$1,X$1)+SUMIFS('changes2_based on steps'!$B66:$U66,'changes2_based on steps'!$B$1:$U$1,X$1)</f>
        <v>0</v>
      </c>
      <c r="Y66" s="179">
        <f>SUMIFS('recurring2_based on steps'!$B66:$AY66,'recurring2_based on steps'!$B$1:$AY$1,Y$1)+SUMIFS('changes2_based on steps'!$B66:$U66,'changes2_based on steps'!$B$1:$U$1,Y$1)</f>
        <v>0</v>
      </c>
      <c r="Z66" s="179">
        <f>SUMIFS('recurring2_based on steps'!$B66:$AY66,'recurring2_based on steps'!$B$1:$AY$1,Z$1)+SUMIFS('changes2_based on steps'!$B66:$U66,'changes2_based on steps'!$B$1:$U$1,Z$1)</f>
        <v>0</v>
      </c>
      <c r="AA66" s="179">
        <f>SUMIFS('recurring2_based on steps'!$B66:$AY66,'recurring2_based on steps'!$B$1:$AY$1,AA$1)+SUMIFS('changes2_based on steps'!$B66:$U66,'changes2_based on steps'!$B$1:$U$1,AA$1)</f>
        <v>0</v>
      </c>
      <c r="AB66" s="179">
        <f>SUMIFS('recurring2_based on steps'!$B66:$AY66,'recurring2_based on steps'!$B$1:$AY$1,AB$1)+SUMIFS('changes2_based on steps'!$B66:$U66,'changes2_based on steps'!$B$1:$U$1,AB$1)</f>
        <v>0</v>
      </c>
      <c r="AC66" s="179">
        <f>SUMIFS('recurring2_based on steps'!$B66:$AY66,'recurring2_based on steps'!$B$1:$AY$1,AC$1)+SUMIFS('changes2_based on steps'!$B66:$U66,'changes2_based on steps'!$B$1:$U$1,AC$1)</f>
        <v>0</v>
      </c>
      <c r="AD66" s="179">
        <f>SUMIFS('recurring2_based on steps'!$B66:$AY66,'recurring2_based on steps'!$B$1:$AY$1,AD$1)+SUMIFS('changes2_based on steps'!$B66:$U66,'changes2_based on steps'!$B$1:$U$1,AD$1)</f>
        <v>0</v>
      </c>
      <c r="AE66" s="179">
        <f>SUMIFS('recurring2_based on steps'!$B66:$AY66,'recurring2_based on steps'!$B$1:$AY$1,AE$1)+SUMIFS('changes2_based on steps'!$B66:$U66,'changes2_based on steps'!$B$1:$U$1,AE$1)</f>
        <v>0</v>
      </c>
      <c r="AF66" s="179"/>
      <c r="AG66" s="179"/>
      <c r="AH66" s="179"/>
      <c r="AI66" s="179"/>
      <c r="AJ66" s="179"/>
      <c r="AK66" s="179"/>
      <c r="AL66" s="179"/>
      <c r="AM66" s="179"/>
    </row>
    <row r="67" spans="1:39" x14ac:dyDescent="0.2">
      <c r="A67" s="32">
        <f t="shared" ca="1" si="0"/>
        <v>45816</v>
      </c>
      <c r="B67" s="179">
        <f>SUMIFS('recurring2_based on steps'!$B67:$AY67,'recurring2_based on steps'!$B$1:$AY$1,B$1)+SUMIFS('changes2_based on steps'!$B67:$U67,'changes2_based on steps'!$B$1:$U$1,B$1)</f>
        <v>0</v>
      </c>
      <c r="C67" s="179">
        <f>SUMIFS('recurring2_based on steps'!$B67:$AY67,'recurring2_based on steps'!$B$1:$AY$1,C$1)+SUMIFS('changes2_based on steps'!$B67:$U67,'changes2_based on steps'!$B$1:$U$1,C$1)</f>
        <v>0</v>
      </c>
      <c r="D67" s="179">
        <f>SUMIFS('recurring2_based on steps'!$B67:$AY67,'recurring2_based on steps'!$B$1:$AY$1,D$1)+SUMIFS('changes2_based on steps'!$B67:$U67,'changes2_based on steps'!$B$1:$U$1,D$1)</f>
        <v>0</v>
      </c>
      <c r="E67" s="179">
        <f>SUMIFS('recurring2_based on steps'!$B67:$AY67,'recurring2_based on steps'!$B$1:$AY$1,E$1)+SUMIFS('changes2_based on steps'!$B67:$U67,'changes2_based on steps'!$B$1:$U$1,E$1)</f>
        <v>0</v>
      </c>
      <c r="F67" s="179">
        <f>SUMIFS('recurring2_based on steps'!$B67:$AY67,'recurring2_based on steps'!$B$1:$AY$1,F$1)+SUMIFS('changes2_based on steps'!$B67:$U67,'changes2_based on steps'!$B$1:$U$1,F$1)</f>
        <v>0</v>
      </c>
      <c r="G67" s="179">
        <f>SUMIFS('recurring2_based on steps'!$B67:$AY67,'recurring2_based on steps'!$B$1:$AY$1,G$1)+SUMIFS('changes2_based on steps'!$B67:$U67,'changes2_based on steps'!$B$1:$U$1,G$1)</f>
        <v>0</v>
      </c>
      <c r="H67" s="179">
        <f>SUMIFS('recurring2_based on steps'!$B67:$AY67,'recurring2_based on steps'!$B$1:$AY$1,H$1)+SUMIFS('changes2_based on steps'!$B67:$U67,'changes2_based on steps'!$B$1:$U$1,H$1)</f>
        <v>0</v>
      </c>
      <c r="I67" s="179">
        <f>SUMIFS('recurring2_based on steps'!$B67:$AY67,'recurring2_based on steps'!$B$1:$AY$1,I$1)+SUMIFS('changes2_based on steps'!$B67:$U67,'changes2_based on steps'!$B$1:$U$1,I$1)</f>
        <v>0</v>
      </c>
      <c r="J67" s="179">
        <f>SUMIFS('recurring2_based on steps'!$B67:$AY67,'recurring2_based on steps'!$B$1:$AY$1,J$1)+SUMIFS('changes2_based on steps'!$B67:$U67,'changes2_based on steps'!$B$1:$U$1,J$1)</f>
        <v>0</v>
      </c>
      <c r="K67" s="179">
        <f>SUMIFS('recurring2_based on steps'!$B67:$AY67,'recurring2_based on steps'!$B$1:$AY$1,K$1)+SUMIFS('changes2_based on steps'!$B67:$U67,'changes2_based on steps'!$B$1:$U$1,K$1)</f>
        <v>0</v>
      </c>
      <c r="L67" s="179">
        <f>SUMIFS('recurring2_based on steps'!$B67:$AY67,'recurring2_based on steps'!$B$1:$AY$1,L$1)+SUMIFS('changes2_based on steps'!$B67:$U67,'changes2_based on steps'!$B$1:$U$1,L$1)</f>
        <v>0</v>
      </c>
      <c r="M67" s="179">
        <f>SUMIFS('recurring2_based on steps'!$B67:$AY67,'recurring2_based on steps'!$B$1:$AY$1,M$1)+SUMIFS('changes2_based on steps'!$B67:$U67,'changes2_based on steps'!$B$1:$U$1,M$1)</f>
        <v>0</v>
      </c>
      <c r="N67" s="179">
        <f>SUMIFS('recurring2_based on steps'!$B67:$AY67,'recurring2_based on steps'!$B$1:$AY$1,N$1)+SUMIFS('changes2_based on steps'!$B67:$U67,'changes2_based on steps'!$B$1:$U$1,N$1)</f>
        <v>0</v>
      </c>
      <c r="O67" s="179">
        <f>SUMIFS('recurring2_based on steps'!$B67:$AY67,'recurring2_based on steps'!$B$1:$AY$1,O$1)+SUMIFS('changes2_based on steps'!$B67:$U67,'changes2_based on steps'!$B$1:$U$1,O$1)</f>
        <v>0</v>
      </c>
      <c r="P67" s="179">
        <f>SUMIFS('recurring2_based on steps'!$B67:$AY67,'recurring2_based on steps'!$B$1:$AY$1,P$1)+SUMIFS('changes2_based on steps'!$B67:$U67,'changes2_based on steps'!$B$1:$U$1,P$1)</f>
        <v>0</v>
      </c>
      <c r="Q67" s="179">
        <f>SUMIFS('recurring2_based on steps'!$B67:$AY67,'recurring2_based on steps'!$B$1:$AY$1,Q$1)+SUMIFS('changes2_based on steps'!$B67:$U67,'changes2_based on steps'!$B$1:$U$1,Q$1)</f>
        <v>0</v>
      </c>
      <c r="R67" s="179">
        <f>SUMIFS('recurring2_based on steps'!$B67:$AY67,'recurring2_based on steps'!$B$1:$AY$1,R$1)+SUMIFS('changes2_based on steps'!$B67:$U67,'changes2_based on steps'!$B$1:$U$1,R$1)</f>
        <v>0</v>
      </c>
      <c r="S67" s="179">
        <f>SUMIFS('recurring2_based on steps'!$B67:$AY67,'recurring2_based on steps'!$B$1:$AY$1,S$1)+SUMIFS('changes2_based on steps'!$B67:$U67,'changes2_based on steps'!$B$1:$U$1,S$1)</f>
        <v>0</v>
      </c>
      <c r="T67" s="179">
        <f>SUMIFS('recurring2_based on steps'!$B67:$AY67,'recurring2_based on steps'!$B$1:$AY$1,T$1)+SUMIFS('changes2_based on steps'!$B67:$U67,'changes2_based on steps'!$B$1:$U$1,T$1)</f>
        <v>0</v>
      </c>
      <c r="U67" s="179">
        <f>SUMIFS('recurring2_based on steps'!$B67:$AY67,'recurring2_based on steps'!$B$1:$AY$1,U$1)+SUMIFS('changes2_based on steps'!$B67:$U67,'changes2_based on steps'!$B$1:$U$1,U$1)</f>
        <v>0</v>
      </c>
      <c r="V67" s="179">
        <f>SUMIFS('recurring2_based on steps'!$B67:$AY67,'recurring2_based on steps'!$B$1:$AY$1,V$1)+SUMIFS('changes2_based on steps'!$B67:$U67,'changes2_based on steps'!$B$1:$U$1,V$1)</f>
        <v>0</v>
      </c>
      <c r="W67" s="179">
        <f>SUMIFS('recurring2_based on steps'!$B67:$AY67,'recurring2_based on steps'!$B$1:$AY$1,W$1)+SUMIFS('changes2_based on steps'!$B67:$U67,'changes2_based on steps'!$B$1:$U$1,W$1)</f>
        <v>0</v>
      </c>
      <c r="X67" s="179">
        <f>SUMIFS('recurring2_based on steps'!$B67:$AY67,'recurring2_based on steps'!$B$1:$AY$1,X$1)+SUMIFS('changes2_based on steps'!$B67:$U67,'changes2_based on steps'!$B$1:$U$1,X$1)</f>
        <v>0</v>
      </c>
      <c r="Y67" s="179">
        <f>SUMIFS('recurring2_based on steps'!$B67:$AY67,'recurring2_based on steps'!$B$1:$AY$1,Y$1)+SUMIFS('changes2_based on steps'!$B67:$U67,'changes2_based on steps'!$B$1:$U$1,Y$1)</f>
        <v>0</v>
      </c>
      <c r="Z67" s="179">
        <f>SUMIFS('recurring2_based on steps'!$B67:$AY67,'recurring2_based on steps'!$B$1:$AY$1,Z$1)+SUMIFS('changes2_based on steps'!$B67:$U67,'changes2_based on steps'!$B$1:$U$1,Z$1)</f>
        <v>0</v>
      </c>
      <c r="AA67" s="179">
        <f>SUMIFS('recurring2_based on steps'!$B67:$AY67,'recurring2_based on steps'!$B$1:$AY$1,AA$1)+SUMIFS('changes2_based on steps'!$B67:$U67,'changes2_based on steps'!$B$1:$U$1,AA$1)</f>
        <v>0</v>
      </c>
      <c r="AB67" s="179">
        <f>SUMIFS('recurring2_based on steps'!$B67:$AY67,'recurring2_based on steps'!$B$1:$AY$1,AB$1)+SUMIFS('changes2_based on steps'!$B67:$U67,'changes2_based on steps'!$B$1:$U$1,AB$1)</f>
        <v>0</v>
      </c>
      <c r="AC67" s="179">
        <f>SUMIFS('recurring2_based on steps'!$B67:$AY67,'recurring2_based on steps'!$B$1:$AY$1,AC$1)+SUMIFS('changes2_based on steps'!$B67:$U67,'changes2_based on steps'!$B$1:$U$1,AC$1)</f>
        <v>0</v>
      </c>
      <c r="AD67" s="179">
        <f>SUMIFS('recurring2_based on steps'!$B67:$AY67,'recurring2_based on steps'!$B$1:$AY$1,AD$1)+SUMIFS('changes2_based on steps'!$B67:$U67,'changes2_based on steps'!$B$1:$U$1,AD$1)</f>
        <v>0</v>
      </c>
      <c r="AE67" s="179">
        <f>SUMIFS('recurring2_based on steps'!$B67:$AY67,'recurring2_based on steps'!$B$1:$AY$1,AE$1)+SUMIFS('changes2_based on steps'!$B67:$U67,'changes2_based on steps'!$B$1:$U$1,AE$1)</f>
        <v>0</v>
      </c>
      <c r="AF67" s="179"/>
      <c r="AG67" s="179"/>
      <c r="AH67" s="179"/>
      <c r="AI67" s="179"/>
      <c r="AJ67" s="179"/>
      <c r="AK67" s="179"/>
      <c r="AL67" s="179"/>
      <c r="AM67" s="179"/>
    </row>
    <row r="68" spans="1:39" x14ac:dyDescent="0.2">
      <c r="A68" s="32">
        <f t="shared" ca="1" si="0"/>
        <v>45817</v>
      </c>
      <c r="B68" s="179">
        <f>SUMIFS('recurring2_based on steps'!$B68:$AY68,'recurring2_based on steps'!$B$1:$AY$1,B$1)+SUMIFS('changes2_based on steps'!$B68:$U68,'changes2_based on steps'!$B$1:$U$1,B$1)</f>
        <v>0</v>
      </c>
      <c r="C68" s="179">
        <f>SUMIFS('recurring2_based on steps'!$B68:$AY68,'recurring2_based on steps'!$B$1:$AY$1,C$1)+SUMIFS('changes2_based on steps'!$B68:$U68,'changes2_based on steps'!$B$1:$U$1,C$1)</f>
        <v>0</v>
      </c>
      <c r="D68" s="179">
        <f>SUMIFS('recurring2_based on steps'!$B68:$AY68,'recurring2_based on steps'!$B$1:$AY$1,D$1)+SUMIFS('changes2_based on steps'!$B68:$U68,'changes2_based on steps'!$B$1:$U$1,D$1)</f>
        <v>0</v>
      </c>
      <c r="E68" s="179">
        <f>SUMIFS('recurring2_based on steps'!$B68:$AY68,'recurring2_based on steps'!$B$1:$AY$1,E$1)+SUMIFS('changes2_based on steps'!$B68:$U68,'changes2_based on steps'!$B$1:$U$1,E$1)</f>
        <v>0</v>
      </c>
      <c r="F68" s="179">
        <f>SUMIFS('recurring2_based on steps'!$B68:$AY68,'recurring2_based on steps'!$B$1:$AY$1,F$1)+SUMIFS('changes2_based on steps'!$B68:$U68,'changes2_based on steps'!$B$1:$U$1,F$1)</f>
        <v>0</v>
      </c>
      <c r="G68" s="179">
        <f>SUMIFS('recurring2_based on steps'!$B68:$AY68,'recurring2_based on steps'!$B$1:$AY$1,G$1)+SUMIFS('changes2_based on steps'!$B68:$U68,'changes2_based on steps'!$B$1:$U$1,G$1)</f>
        <v>0</v>
      </c>
      <c r="H68" s="179">
        <f>SUMIFS('recurring2_based on steps'!$B68:$AY68,'recurring2_based on steps'!$B$1:$AY$1,H$1)+SUMIFS('changes2_based on steps'!$B68:$U68,'changes2_based on steps'!$B$1:$U$1,H$1)</f>
        <v>0</v>
      </c>
      <c r="I68" s="179">
        <f>SUMIFS('recurring2_based on steps'!$B68:$AY68,'recurring2_based on steps'!$B$1:$AY$1,I$1)+SUMIFS('changes2_based on steps'!$B68:$U68,'changes2_based on steps'!$B$1:$U$1,I$1)</f>
        <v>0</v>
      </c>
      <c r="J68" s="179">
        <f>SUMIFS('recurring2_based on steps'!$B68:$AY68,'recurring2_based on steps'!$B$1:$AY$1,J$1)+SUMIFS('changes2_based on steps'!$B68:$U68,'changes2_based on steps'!$B$1:$U$1,J$1)</f>
        <v>0</v>
      </c>
      <c r="K68" s="179">
        <f>SUMIFS('recurring2_based on steps'!$B68:$AY68,'recurring2_based on steps'!$B$1:$AY$1,K$1)+SUMIFS('changes2_based on steps'!$B68:$U68,'changes2_based on steps'!$B$1:$U$1,K$1)</f>
        <v>0</v>
      </c>
      <c r="L68" s="179">
        <f>SUMIFS('recurring2_based on steps'!$B68:$AY68,'recurring2_based on steps'!$B$1:$AY$1,L$1)+SUMIFS('changes2_based on steps'!$B68:$U68,'changes2_based on steps'!$B$1:$U$1,L$1)</f>
        <v>0</v>
      </c>
      <c r="M68" s="179">
        <f>SUMIFS('recurring2_based on steps'!$B68:$AY68,'recurring2_based on steps'!$B$1:$AY$1,M$1)+SUMIFS('changes2_based on steps'!$B68:$U68,'changes2_based on steps'!$B$1:$U$1,M$1)</f>
        <v>0</v>
      </c>
      <c r="N68" s="179">
        <f>SUMIFS('recurring2_based on steps'!$B68:$AY68,'recurring2_based on steps'!$B$1:$AY$1,N$1)+SUMIFS('changes2_based on steps'!$B68:$U68,'changes2_based on steps'!$B$1:$U$1,N$1)</f>
        <v>0</v>
      </c>
      <c r="O68" s="179">
        <f>SUMIFS('recurring2_based on steps'!$B68:$AY68,'recurring2_based on steps'!$B$1:$AY$1,O$1)+SUMIFS('changes2_based on steps'!$B68:$U68,'changes2_based on steps'!$B$1:$U$1,O$1)</f>
        <v>0</v>
      </c>
      <c r="P68" s="179">
        <f>SUMIFS('recurring2_based on steps'!$B68:$AY68,'recurring2_based on steps'!$B$1:$AY$1,P$1)+SUMIFS('changes2_based on steps'!$B68:$U68,'changes2_based on steps'!$B$1:$U$1,P$1)</f>
        <v>0</v>
      </c>
      <c r="Q68" s="179">
        <f>SUMIFS('recurring2_based on steps'!$B68:$AY68,'recurring2_based on steps'!$B$1:$AY$1,Q$1)+SUMIFS('changes2_based on steps'!$B68:$U68,'changes2_based on steps'!$B$1:$U$1,Q$1)</f>
        <v>0</v>
      </c>
      <c r="R68" s="179">
        <f>SUMIFS('recurring2_based on steps'!$B68:$AY68,'recurring2_based on steps'!$B$1:$AY$1,R$1)+SUMIFS('changes2_based on steps'!$B68:$U68,'changes2_based on steps'!$B$1:$U$1,R$1)</f>
        <v>0</v>
      </c>
      <c r="S68" s="179">
        <f>SUMIFS('recurring2_based on steps'!$B68:$AY68,'recurring2_based on steps'!$B$1:$AY$1,S$1)+SUMIFS('changes2_based on steps'!$B68:$U68,'changes2_based on steps'!$B$1:$U$1,S$1)</f>
        <v>0</v>
      </c>
      <c r="T68" s="179">
        <f>SUMIFS('recurring2_based on steps'!$B68:$AY68,'recurring2_based on steps'!$B$1:$AY$1,T$1)+SUMIFS('changes2_based on steps'!$B68:$U68,'changes2_based on steps'!$B$1:$U$1,T$1)</f>
        <v>0</v>
      </c>
      <c r="U68" s="179">
        <f>SUMIFS('recurring2_based on steps'!$B68:$AY68,'recurring2_based on steps'!$B$1:$AY$1,U$1)+SUMIFS('changes2_based on steps'!$B68:$U68,'changes2_based on steps'!$B$1:$U$1,U$1)</f>
        <v>0</v>
      </c>
      <c r="V68" s="179">
        <f>SUMIFS('recurring2_based on steps'!$B68:$AY68,'recurring2_based on steps'!$B$1:$AY$1,V$1)+SUMIFS('changes2_based on steps'!$B68:$U68,'changes2_based on steps'!$B$1:$U$1,V$1)</f>
        <v>0</v>
      </c>
      <c r="W68" s="179">
        <f>SUMIFS('recurring2_based on steps'!$B68:$AY68,'recurring2_based on steps'!$B$1:$AY$1,W$1)+SUMIFS('changes2_based on steps'!$B68:$U68,'changes2_based on steps'!$B$1:$U$1,W$1)</f>
        <v>0</v>
      </c>
      <c r="X68" s="179">
        <f>SUMIFS('recurring2_based on steps'!$B68:$AY68,'recurring2_based on steps'!$B$1:$AY$1,X$1)+SUMIFS('changes2_based on steps'!$B68:$U68,'changes2_based on steps'!$B$1:$U$1,X$1)</f>
        <v>0</v>
      </c>
      <c r="Y68" s="179">
        <f>SUMIFS('recurring2_based on steps'!$B68:$AY68,'recurring2_based on steps'!$B$1:$AY$1,Y$1)+SUMIFS('changes2_based on steps'!$B68:$U68,'changes2_based on steps'!$B$1:$U$1,Y$1)</f>
        <v>0</v>
      </c>
      <c r="Z68" s="179">
        <f>SUMIFS('recurring2_based on steps'!$B68:$AY68,'recurring2_based on steps'!$B$1:$AY$1,Z$1)+SUMIFS('changes2_based on steps'!$B68:$U68,'changes2_based on steps'!$B$1:$U$1,Z$1)</f>
        <v>0</v>
      </c>
      <c r="AA68" s="179">
        <f>SUMIFS('recurring2_based on steps'!$B68:$AY68,'recurring2_based on steps'!$B$1:$AY$1,AA$1)+SUMIFS('changes2_based on steps'!$B68:$U68,'changes2_based on steps'!$B$1:$U$1,AA$1)</f>
        <v>0</v>
      </c>
      <c r="AB68" s="179">
        <f>SUMIFS('recurring2_based on steps'!$B68:$AY68,'recurring2_based on steps'!$B$1:$AY$1,AB$1)+SUMIFS('changes2_based on steps'!$B68:$U68,'changes2_based on steps'!$B$1:$U$1,AB$1)</f>
        <v>0</v>
      </c>
      <c r="AC68" s="179">
        <f>SUMIFS('recurring2_based on steps'!$B68:$AY68,'recurring2_based on steps'!$B$1:$AY$1,AC$1)+SUMIFS('changes2_based on steps'!$B68:$U68,'changes2_based on steps'!$B$1:$U$1,AC$1)</f>
        <v>0</v>
      </c>
      <c r="AD68" s="179">
        <f>SUMIFS('recurring2_based on steps'!$B68:$AY68,'recurring2_based on steps'!$B$1:$AY$1,AD$1)+SUMIFS('changes2_based on steps'!$B68:$U68,'changes2_based on steps'!$B$1:$U$1,AD$1)</f>
        <v>0</v>
      </c>
      <c r="AE68" s="179">
        <f>SUMIFS('recurring2_based on steps'!$B68:$AY68,'recurring2_based on steps'!$B$1:$AY$1,AE$1)+SUMIFS('changes2_based on steps'!$B68:$U68,'changes2_based on steps'!$B$1:$U$1,AE$1)</f>
        <v>0</v>
      </c>
      <c r="AF68" s="179"/>
      <c r="AG68" s="179"/>
      <c r="AH68" s="179"/>
      <c r="AI68" s="179"/>
      <c r="AJ68" s="179"/>
      <c r="AK68" s="179"/>
      <c r="AL68" s="179"/>
      <c r="AM68" s="179"/>
    </row>
    <row r="69" spans="1:39" x14ac:dyDescent="0.2">
      <c r="A69" s="32">
        <f t="shared" ref="A69:A132" ca="1" si="1">A68+1</f>
        <v>45818</v>
      </c>
      <c r="B69" s="179">
        <f>SUMIFS('recurring2_based on steps'!$B69:$AY69,'recurring2_based on steps'!$B$1:$AY$1,B$1)+SUMIFS('changes2_based on steps'!$B69:$U69,'changes2_based on steps'!$B$1:$U$1,B$1)</f>
        <v>0</v>
      </c>
      <c r="C69" s="179">
        <f>SUMIFS('recurring2_based on steps'!$B69:$AY69,'recurring2_based on steps'!$B$1:$AY$1,C$1)+SUMIFS('changes2_based on steps'!$B69:$U69,'changes2_based on steps'!$B$1:$U$1,C$1)</f>
        <v>0</v>
      </c>
      <c r="D69" s="179">
        <f>SUMIFS('recurring2_based on steps'!$B69:$AY69,'recurring2_based on steps'!$B$1:$AY$1,D$1)+SUMIFS('changes2_based on steps'!$B69:$U69,'changes2_based on steps'!$B$1:$U$1,D$1)</f>
        <v>0</v>
      </c>
      <c r="E69" s="179">
        <f>SUMIFS('recurring2_based on steps'!$B69:$AY69,'recurring2_based on steps'!$B$1:$AY$1,E$1)+SUMIFS('changes2_based on steps'!$B69:$U69,'changes2_based on steps'!$B$1:$U$1,E$1)</f>
        <v>0</v>
      </c>
      <c r="F69" s="179">
        <f>SUMIFS('recurring2_based on steps'!$B69:$AY69,'recurring2_based on steps'!$B$1:$AY$1,F$1)+SUMIFS('changes2_based on steps'!$B69:$U69,'changes2_based on steps'!$B$1:$U$1,F$1)</f>
        <v>0</v>
      </c>
      <c r="G69" s="179">
        <f>SUMIFS('recurring2_based on steps'!$B69:$AY69,'recurring2_based on steps'!$B$1:$AY$1,G$1)+SUMIFS('changes2_based on steps'!$B69:$U69,'changes2_based on steps'!$B$1:$U$1,G$1)</f>
        <v>0</v>
      </c>
      <c r="H69" s="179">
        <f>SUMIFS('recurring2_based on steps'!$B69:$AY69,'recurring2_based on steps'!$B$1:$AY$1,H$1)+SUMIFS('changes2_based on steps'!$B69:$U69,'changes2_based on steps'!$B$1:$U$1,H$1)</f>
        <v>0</v>
      </c>
      <c r="I69" s="179">
        <f>SUMIFS('recurring2_based on steps'!$B69:$AY69,'recurring2_based on steps'!$B$1:$AY$1,I$1)+SUMIFS('changes2_based on steps'!$B69:$U69,'changes2_based on steps'!$B$1:$U$1,I$1)</f>
        <v>0</v>
      </c>
      <c r="J69" s="179">
        <f>SUMIFS('recurring2_based on steps'!$B69:$AY69,'recurring2_based on steps'!$B$1:$AY$1,J$1)+SUMIFS('changes2_based on steps'!$B69:$U69,'changes2_based on steps'!$B$1:$U$1,J$1)</f>
        <v>0</v>
      </c>
      <c r="K69" s="179">
        <f>SUMIFS('recurring2_based on steps'!$B69:$AY69,'recurring2_based on steps'!$B$1:$AY$1,K$1)+SUMIFS('changes2_based on steps'!$B69:$U69,'changes2_based on steps'!$B$1:$U$1,K$1)</f>
        <v>0</v>
      </c>
      <c r="L69" s="179">
        <f>SUMIFS('recurring2_based on steps'!$B69:$AY69,'recurring2_based on steps'!$B$1:$AY$1,L$1)+SUMIFS('changes2_based on steps'!$B69:$U69,'changes2_based on steps'!$B$1:$U$1,L$1)</f>
        <v>0</v>
      </c>
      <c r="M69" s="179">
        <f>SUMIFS('recurring2_based on steps'!$B69:$AY69,'recurring2_based on steps'!$B$1:$AY$1,M$1)+SUMIFS('changes2_based on steps'!$B69:$U69,'changes2_based on steps'!$B$1:$U$1,M$1)</f>
        <v>0</v>
      </c>
      <c r="N69" s="179">
        <f>SUMIFS('recurring2_based on steps'!$B69:$AY69,'recurring2_based on steps'!$B$1:$AY$1,N$1)+SUMIFS('changes2_based on steps'!$B69:$U69,'changes2_based on steps'!$B$1:$U$1,N$1)</f>
        <v>0</v>
      </c>
      <c r="O69" s="179">
        <f>SUMIFS('recurring2_based on steps'!$B69:$AY69,'recurring2_based on steps'!$B$1:$AY$1,O$1)+SUMIFS('changes2_based on steps'!$B69:$U69,'changes2_based on steps'!$B$1:$U$1,O$1)</f>
        <v>0</v>
      </c>
      <c r="P69" s="179">
        <f>SUMIFS('recurring2_based on steps'!$B69:$AY69,'recurring2_based on steps'!$B$1:$AY$1,P$1)+SUMIFS('changes2_based on steps'!$B69:$U69,'changes2_based on steps'!$B$1:$U$1,P$1)</f>
        <v>0</v>
      </c>
      <c r="Q69" s="179">
        <f>SUMIFS('recurring2_based on steps'!$B69:$AY69,'recurring2_based on steps'!$B$1:$AY$1,Q$1)+SUMIFS('changes2_based on steps'!$B69:$U69,'changes2_based on steps'!$B$1:$U$1,Q$1)</f>
        <v>0</v>
      </c>
      <c r="R69" s="179">
        <f>SUMIFS('recurring2_based on steps'!$B69:$AY69,'recurring2_based on steps'!$B$1:$AY$1,R$1)+SUMIFS('changes2_based on steps'!$B69:$U69,'changes2_based on steps'!$B$1:$U$1,R$1)</f>
        <v>0</v>
      </c>
      <c r="S69" s="179">
        <f>SUMIFS('recurring2_based on steps'!$B69:$AY69,'recurring2_based on steps'!$B$1:$AY$1,S$1)+SUMIFS('changes2_based on steps'!$B69:$U69,'changes2_based on steps'!$B$1:$U$1,S$1)</f>
        <v>0</v>
      </c>
      <c r="T69" s="179">
        <f>SUMIFS('recurring2_based on steps'!$B69:$AY69,'recurring2_based on steps'!$B$1:$AY$1,T$1)+SUMIFS('changes2_based on steps'!$B69:$U69,'changes2_based on steps'!$B$1:$U$1,T$1)</f>
        <v>0</v>
      </c>
      <c r="U69" s="179">
        <f>SUMIFS('recurring2_based on steps'!$B69:$AY69,'recurring2_based on steps'!$B$1:$AY$1,U$1)+SUMIFS('changes2_based on steps'!$B69:$U69,'changes2_based on steps'!$B$1:$U$1,U$1)</f>
        <v>0</v>
      </c>
      <c r="V69" s="179">
        <f>SUMIFS('recurring2_based on steps'!$B69:$AY69,'recurring2_based on steps'!$B$1:$AY$1,V$1)+SUMIFS('changes2_based on steps'!$B69:$U69,'changes2_based on steps'!$B$1:$U$1,V$1)</f>
        <v>0</v>
      </c>
      <c r="W69" s="179">
        <f>SUMIFS('recurring2_based on steps'!$B69:$AY69,'recurring2_based on steps'!$B$1:$AY$1,W$1)+SUMIFS('changes2_based on steps'!$B69:$U69,'changes2_based on steps'!$B$1:$U$1,W$1)</f>
        <v>0</v>
      </c>
      <c r="X69" s="179">
        <f>SUMIFS('recurring2_based on steps'!$B69:$AY69,'recurring2_based on steps'!$B$1:$AY$1,X$1)+SUMIFS('changes2_based on steps'!$B69:$U69,'changes2_based on steps'!$B$1:$U$1,X$1)</f>
        <v>0</v>
      </c>
      <c r="Y69" s="179">
        <f>SUMIFS('recurring2_based on steps'!$B69:$AY69,'recurring2_based on steps'!$B$1:$AY$1,Y$1)+SUMIFS('changes2_based on steps'!$B69:$U69,'changes2_based on steps'!$B$1:$U$1,Y$1)</f>
        <v>0</v>
      </c>
      <c r="Z69" s="179">
        <f>SUMIFS('recurring2_based on steps'!$B69:$AY69,'recurring2_based on steps'!$B$1:$AY$1,Z$1)+SUMIFS('changes2_based on steps'!$B69:$U69,'changes2_based on steps'!$B$1:$U$1,Z$1)</f>
        <v>0</v>
      </c>
      <c r="AA69" s="179">
        <f>SUMIFS('recurring2_based on steps'!$B69:$AY69,'recurring2_based on steps'!$B$1:$AY$1,AA$1)+SUMIFS('changes2_based on steps'!$B69:$U69,'changes2_based on steps'!$B$1:$U$1,AA$1)</f>
        <v>0</v>
      </c>
      <c r="AB69" s="179">
        <f>SUMIFS('recurring2_based on steps'!$B69:$AY69,'recurring2_based on steps'!$B$1:$AY$1,AB$1)+SUMIFS('changes2_based on steps'!$B69:$U69,'changes2_based on steps'!$B$1:$U$1,AB$1)</f>
        <v>0</v>
      </c>
      <c r="AC69" s="179">
        <f>SUMIFS('recurring2_based on steps'!$B69:$AY69,'recurring2_based on steps'!$B$1:$AY$1,AC$1)+SUMIFS('changes2_based on steps'!$B69:$U69,'changes2_based on steps'!$B$1:$U$1,AC$1)</f>
        <v>0</v>
      </c>
      <c r="AD69" s="179">
        <f>SUMIFS('recurring2_based on steps'!$B69:$AY69,'recurring2_based on steps'!$B$1:$AY$1,AD$1)+SUMIFS('changes2_based on steps'!$B69:$U69,'changes2_based on steps'!$B$1:$U$1,AD$1)</f>
        <v>0</v>
      </c>
      <c r="AE69" s="179">
        <f>SUMIFS('recurring2_based on steps'!$B69:$AY69,'recurring2_based on steps'!$B$1:$AY$1,AE$1)+SUMIFS('changes2_based on steps'!$B69:$U69,'changes2_based on steps'!$B$1:$U$1,AE$1)</f>
        <v>0</v>
      </c>
      <c r="AF69" s="179"/>
      <c r="AG69" s="179"/>
      <c r="AH69" s="179"/>
      <c r="AI69" s="179"/>
      <c r="AJ69" s="179"/>
      <c r="AK69" s="179"/>
      <c r="AL69" s="179"/>
      <c r="AM69" s="179"/>
    </row>
    <row r="70" spans="1:39" x14ac:dyDescent="0.2">
      <c r="A70" s="32">
        <f t="shared" ca="1" si="1"/>
        <v>45819</v>
      </c>
      <c r="B70" s="179">
        <f>SUMIFS('recurring2_based on steps'!$B70:$AY70,'recurring2_based on steps'!$B$1:$AY$1,B$1)+SUMIFS('changes2_based on steps'!$B70:$U70,'changes2_based on steps'!$B$1:$U$1,B$1)</f>
        <v>0</v>
      </c>
      <c r="C70" s="179">
        <f>SUMIFS('recurring2_based on steps'!$B70:$AY70,'recurring2_based on steps'!$B$1:$AY$1,C$1)+SUMIFS('changes2_based on steps'!$B70:$U70,'changes2_based on steps'!$B$1:$U$1,C$1)</f>
        <v>0</v>
      </c>
      <c r="D70" s="179">
        <f>SUMIFS('recurring2_based on steps'!$B70:$AY70,'recurring2_based on steps'!$B$1:$AY$1,D$1)+SUMIFS('changes2_based on steps'!$B70:$U70,'changes2_based on steps'!$B$1:$U$1,D$1)</f>
        <v>0</v>
      </c>
      <c r="E70" s="179">
        <f>SUMIFS('recurring2_based on steps'!$B70:$AY70,'recurring2_based on steps'!$B$1:$AY$1,E$1)+SUMIFS('changes2_based on steps'!$B70:$U70,'changes2_based on steps'!$B$1:$U$1,E$1)</f>
        <v>0</v>
      </c>
      <c r="F70" s="179">
        <f>SUMIFS('recurring2_based on steps'!$B70:$AY70,'recurring2_based on steps'!$B$1:$AY$1,F$1)+SUMIFS('changes2_based on steps'!$B70:$U70,'changes2_based on steps'!$B$1:$U$1,F$1)</f>
        <v>0</v>
      </c>
      <c r="G70" s="179">
        <f>SUMIFS('recurring2_based on steps'!$B70:$AY70,'recurring2_based on steps'!$B$1:$AY$1,G$1)+SUMIFS('changes2_based on steps'!$B70:$U70,'changes2_based on steps'!$B$1:$U$1,G$1)</f>
        <v>0</v>
      </c>
      <c r="H70" s="179">
        <f>SUMIFS('recurring2_based on steps'!$B70:$AY70,'recurring2_based on steps'!$B$1:$AY$1,H$1)+SUMIFS('changes2_based on steps'!$B70:$U70,'changes2_based on steps'!$B$1:$U$1,H$1)</f>
        <v>0</v>
      </c>
      <c r="I70" s="179">
        <f>SUMIFS('recurring2_based on steps'!$B70:$AY70,'recurring2_based on steps'!$B$1:$AY$1,I$1)+SUMIFS('changes2_based on steps'!$B70:$U70,'changes2_based on steps'!$B$1:$U$1,I$1)</f>
        <v>0</v>
      </c>
      <c r="J70" s="179">
        <f>SUMIFS('recurring2_based on steps'!$B70:$AY70,'recurring2_based on steps'!$B$1:$AY$1,J$1)+SUMIFS('changes2_based on steps'!$B70:$U70,'changes2_based on steps'!$B$1:$U$1,J$1)</f>
        <v>0</v>
      </c>
      <c r="K70" s="179">
        <f>SUMIFS('recurring2_based on steps'!$B70:$AY70,'recurring2_based on steps'!$B$1:$AY$1,K$1)+SUMIFS('changes2_based on steps'!$B70:$U70,'changes2_based on steps'!$B$1:$U$1,K$1)</f>
        <v>0</v>
      </c>
      <c r="L70" s="179">
        <f>SUMIFS('recurring2_based on steps'!$B70:$AY70,'recurring2_based on steps'!$B$1:$AY$1,L$1)+SUMIFS('changes2_based on steps'!$B70:$U70,'changes2_based on steps'!$B$1:$U$1,L$1)</f>
        <v>0</v>
      </c>
      <c r="M70" s="179">
        <f>SUMIFS('recurring2_based on steps'!$B70:$AY70,'recurring2_based on steps'!$B$1:$AY$1,M$1)+SUMIFS('changes2_based on steps'!$B70:$U70,'changes2_based on steps'!$B$1:$U$1,M$1)</f>
        <v>0</v>
      </c>
      <c r="N70" s="179">
        <f>SUMIFS('recurring2_based on steps'!$B70:$AY70,'recurring2_based on steps'!$B$1:$AY$1,N$1)+SUMIFS('changes2_based on steps'!$B70:$U70,'changes2_based on steps'!$B$1:$U$1,N$1)</f>
        <v>0</v>
      </c>
      <c r="O70" s="179">
        <f>SUMIFS('recurring2_based on steps'!$B70:$AY70,'recurring2_based on steps'!$B$1:$AY$1,O$1)+SUMIFS('changes2_based on steps'!$B70:$U70,'changes2_based on steps'!$B$1:$U$1,O$1)</f>
        <v>0</v>
      </c>
      <c r="P70" s="179">
        <f>SUMIFS('recurring2_based on steps'!$B70:$AY70,'recurring2_based on steps'!$B$1:$AY$1,P$1)+SUMIFS('changes2_based on steps'!$B70:$U70,'changes2_based on steps'!$B$1:$U$1,P$1)</f>
        <v>0</v>
      </c>
      <c r="Q70" s="179">
        <f>SUMIFS('recurring2_based on steps'!$B70:$AY70,'recurring2_based on steps'!$B$1:$AY$1,Q$1)+SUMIFS('changes2_based on steps'!$B70:$U70,'changes2_based on steps'!$B$1:$U$1,Q$1)</f>
        <v>0</v>
      </c>
      <c r="R70" s="179">
        <f>SUMIFS('recurring2_based on steps'!$B70:$AY70,'recurring2_based on steps'!$B$1:$AY$1,R$1)+SUMIFS('changes2_based on steps'!$B70:$U70,'changes2_based on steps'!$B$1:$U$1,R$1)</f>
        <v>0</v>
      </c>
      <c r="S70" s="179">
        <f>SUMIFS('recurring2_based on steps'!$B70:$AY70,'recurring2_based on steps'!$B$1:$AY$1,S$1)+SUMIFS('changes2_based on steps'!$B70:$U70,'changes2_based on steps'!$B$1:$U$1,S$1)</f>
        <v>0</v>
      </c>
      <c r="T70" s="179">
        <f>SUMIFS('recurring2_based on steps'!$B70:$AY70,'recurring2_based on steps'!$B$1:$AY$1,T$1)+SUMIFS('changes2_based on steps'!$B70:$U70,'changes2_based on steps'!$B$1:$U$1,T$1)</f>
        <v>0</v>
      </c>
      <c r="U70" s="179">
        <f>SUMIFS('recurring2_based on steps'!$B70:$AY70,'recurring2_based on steps'!$B$1:$AY$1,U$1)+SUMIFS('changes2_based on steps'!$B70:$U70,'changes2_based on steps'!$B$1:$U$1,U$1)</f>
        <v>0</v>
      </c>
      <c r="V70" s="179">
        <f>SUMIFS('recurring2_based on steps'!$B70:$AY70,'recurring2_based on steps'!$B$1:$AY$1,V$1)+SUMIFS('changes2_based on steps'!$B70:$U70,'changes2_based on steps'!$B$1:$U$1,V$1)</f>
        <v>0</v>
      </c>
      <c r="W70" s="179">
        <f>SUMIFS('recurring2_based on steps'!$B70:$AY70,'recurring2_based on steps'!$B$1:$AY$1,W$1)+SUMIFS('changes2_based on steps'!$B70:$U70,'changes2_based on steps'!$B$1:$U$1,W$1)</f>
        <v>0</v>
      </c>
      <c r="X70" s="179">
        <f>SUMIFS('recurring2_based on steps'!$B70:$AY70,'recurring2_based on steps'!$B$1:$AY$1,X$1)+SUMIFS('changes2_based on steps'!$B70:$U70,'changes2_based on steps'!$B$1:$U$1,X$1)</f>
        <v>0</v>
      </c>
      <c r="Y70" s="179">
        <f>SUMIFS('recurring2_based on steps'!$B70:$AY70,'recurring2_based on steps'!$B$1:$AY$1,Y$1)+SUMIFS('changes2_based on steps'!$B70:$U70,'changes2_based on steps'!$B$1:$U$1,Y$1)</f>
        <v>0</v>
      </c>
      <c r="Z70" s="179">
        <f>SUMIFS('recurring2_based on steps'!$B70:$AY70,'recurring2_based on steps'!$B$1:$AY$1,Z$1)+SUMIFS('changes2_based on steps'!$B70:$U70,'changes2_based on steps'!$B$1:$U$1,Z$1)</f>
        <v>0</v>
      </c>
      <c r="AA70" s="179">
        <f>SUMIFS('recurring2_based on steps'!$B70:$AY70,'recurring2_based on steps'!$B$1:$AY$1,AA$1)+SUMIFS('changes2_based on steps'!$B70:$U70,'changes2_based on steps'!$B$1:$U$1,AA$1)</f>
        <v>0</v>
      </c>
      <c r="AB70" s="179">
        <f>SUMIFS('recurring2_based on steps'!$B70:$AY70,'recurring2_based on steps'!$B$1:$AY$1,AB$1)+SUMIFS('changes2_based on steps'!$B70:$U70,'changes2_based on steps'!$B$1:$U$1,AB$1)</f>
        <v>0</v>
      </c>
      <c r="AC70" s="179">
        <f>SUMIFS('recurring2_based on steps'!$B70:$AY70,'recurring2_based on steps'!$B$1:$AY$1,AC$1)+SUMIFS('changes2_based on steps'!$B70:$U70,'changes2_based on steps'!$B$1:$U$1,AC$1)</f>
        <v>0</v>
      </c>
      <c r="AD70" s="179">
        <f>SUMIFS('recurring2_based on steps'!$B70:$AY70,'recurring2_based on steps'!$B$1:$AY$1,AD$1)+SUMIFS('changes2_based on steps'!$B70:$U70,'changes2_based on steps'!$B$1:$U$1,AD$1)</f>
        <v>0</v>
      </c>
      <c r="AE70" s="179">
        <f>SUMIFS('recurring2_based on steps'!$B70:$AY70,'recurring2_based on steps'!$B$1:$AY$1,AE$1)+SUMIFS('changes2_based on steps'!$B70:$U70,'changes2_based on steps'!$B$1:$U$1,AE$1)</f>
        <v>0</v>
      </c>
      <c r="AF70" s="179"/>
      <c r="AG70" s="179"/>
      <c r="AH70" s="179"/>
      <c r="AI70" s="179"/>
      <c r="AJ70" s="179"/>
      <c r="AK70" s="179"/>
      <c r="AL70" s="179"/>
      <c r="AM70" s="179"/>
    </row>
    <row r="71" spans="1:39" x14ac:dyDescent="0.2">
      <c r="A71" s="32">
        <f t="shared" ca="1" si="1"/>
        <v>45820</v>
      </c>
      <c r="B71" s="179">
        <f>SUMIFS('recurring2_based on steps'!$B71:$AY71,'recurring2_based on steps'!$B$1:$AY$1,B$1)+SUMIFS('changes2_based on steps'!$B71:$U71,'changes2_based on steps'!$B$1:$U$1,B$1)</f>
        <v>0</v>
      </c>
      <c r="C71" s="179">
        <f>SUMIFS('recurring2_based on steps'!$B71:$AY71,'recurring2_based on steps'!$B$1:$AY$1,C$1)+SUMIFS('changes2_based on steps'!$B71:$U71,'changes2_based on steps'!$B$1:$U$1,C$1)</f>
        <v>0</v>
      </c>
      <c r="D71" s="179">
        <f>SUMIFS('recurring2_based on steps'!$B71:$AY71,'recurring2_based on steps'!$B$1:$AY$1,D$1)+SUMIFS('changes2_based on steps'!$B71:$U71,'changes2_based on steps'!$B$1:$U$1,D$1)</f>
        <v>0</v>
      </c>
      <c r="E71" s="179">
        <f>SUMIFS('recurring2_based on steps'!$B71:$AY71,'recurring2_based on steps'!$B$1:$AY$1,E$1)+SUMIFS('changes2_based on steps'!$B71:$U71,'changes2_based on steps'!$B$1:$U$1,E$1)</f>
        <v>0</v>
      </c>
      <c r="F71" s="179">
        <f>SUMIFS('recurring2_based on steps'!$B71:$AY71,'recurring2_based on steps'!$B$1:$AY$1,F$1)+SUMIFS('changes2_based on steps'!$B71:$U71,'changes2_based on steps'!$B$1:$U$1,F$1)</f>
        <v>0</v>
      </c>
      <c r="G71" s="179">
        <f>SUMIFS('recurring2_based on steps'!$B71:$AY71,'recurring2_based on steps'!$B$1:$AY$1,G$1)+SUMIFS('changes2_based on steps'!$B71:$U71,'changes2_based on steps'!$B$1:$U$1,G$1)</f>
        <v>0</v>
      </c>
      <c r="H71" s="179">
        <f>SUMIFS('recurring2_based on steps'!$B71:$AY71,'recurring2_based on steps'!$B$1:$AY$1,H$1)+SUMIFS('changes2_based on steps'!$B71:$U71,'changes2_based on steps'!$B$1:$U$1,H$1)</f>
        <v>0</v>
      </c>
      <c r="I71" s="179">
        <f>SUMIFS('recurring2_based on steps'!$B71:$AY71,'recurring2_based on steps'!$B$1:$AY$1,I$1)+SUMIFS('changes2_based on steps'!$B71:$U71,'changes2_based on steps'!$B$1:$U$1,I$1)</f>
        <v>0</v>
      </c>
      <c r="J71" s="179">
        <f>SUMIFS('recurring2_based on steps'!$B71:$AY71,'recurring2_based on steps'!$B$1:$AY$1,J$1)+SUMIFS('changes2_based on steps'!$B71:$U71,'changes2_based on steps'!$B$1:$U$1,J$1)</f>
        <v>0</v>
      </c>
      <c r="K71" s="179">
        <f>SUMIFS('recurring2_based on steps'!$B71:$AY71,'recurring2_based on steps'!$B$1:$AY$1,K$1)+SUMIFS('changes2_based on steps'!$B71:$U71,'changes2_based on steps'!$B$1:$U$1,K$1)</f>
        <v>0</v>
      </c>
      <c r="L71" s="179">
        <f>SUMIFS('recurring2_based on steps'!$B71:$AY71,'recurring2_based on steps'!$B$1:$AY$1,L$1)+SUMIFS('changes2_based on steps'!$B71:$U71,'changes2_based on steps'!$B$1:$U$1,L$1)</f>
        <v>0</v>
      </c>
      <c r="M71" s="179">
        <f>SUMIFS('recurring2_based on steps'!$B71:$AY71,'recurring2_based on steps'!$B$1:$AY$1,M$1)+SUMIFS('changes2_based on steps'!$B71:$U71,'changes2_based on steps'!$B$1:$U$1,M$1)</f>
        <v>0</v>
      </c>
      <c r="N71" s="179">
        <f>SUMIFS('recurring2_based on steps'!$B71:$AY71,'recurring2_based on steps'!$B$1:$AY$1,N$1)+SUMIFS('changes2_based on steps'!$B71:$U71,'changes2_based on steps'!$B$1:$U$1,N$1)</f>
        <v>0</v>
      </c>
      <c r="O71" s="179">
        <f>SUMIFS('recurring2_based on steps'!$B71:$AY71,'recurring2_based on steps'!$B$1:$AY$1,O$1)+SUMIFS('changes2_based on steps'!$B71:$U71,'changes2_based on steps'!$B$1:$U$1,O$1)</f>
        <v>0</v>
      </c>
      <c r="P71" s="179">
        <f>SUMIFS('recurring2_based on steps'!$B71:$AY71,'recurring2_based on steps'!$B$1:$AY$1,P$1)+SUMIFS('changes2_based on steps'!$B71:$U71,'changes2_based on steps'!$B$1:$U$1,P$1)</f>
        <v>0</v>
      </c>
      <c r="Q71" s="179">
        <f>SUMIFS('recurring2_based on steps'!$B71:$AY71,'recurring2_based on steps'!$B$1:$AY$1,Q$1)+SUMIFS('changes2_based on steps'!$B71:$U71,'changes2_based on steps'!$B$1:$U$1,Q$1)</f>
        <v>0</v>
      </c>
      <c r="R71" s="179">
        <f>SUMIFS('recurring2_based on steps'!$B71:$AY71,'recurring2_based on steps'!$B$1:$AY$1,R$1)+SUMIFS('changes2_based on steps'!$B71:$U71,'changes2_based on steps'!$B$1:$U$1,R$1)</f>
        <v>0</v>
      </c>
      <c r="S71" s="179">
        <f>SUMIFS('recurring2_based on steps'!$B71:$AY71,'recurring2_based on steps'!$B$1:$AY$1,S$1)+SUMIFS('changes2_based on steps'!$B71:$U71,'changes2_based on steps'!$B$1:$U$1,S$1)</f>
        <v>0</v>
      </c>
      <c r="T71" s="179">
        <f>SUMIFS('recurring2_based on steps'!$B71:$AY71,'recurring2_based on steps'!$B$1:$AY$1,T$1)+SUMIFS('changes2_based on steps'!$B71:$U71,'changes2_based on steps'!$B$1:$U$1,T$1)</f>
        <v>0</v>
      </c>
      <c r="U71" s="179">
        <f>SUMIFS('recurring2_based on steps'!$B71:$AY71,'recurring2_based on steps'!$B$1:$AY$1,U$1)+SUMIFS('changes2_based on steps'!$B71:$U71,'changes2_based on steps'!$B$1:$U$1,U$1)</f>
        <v>0</v>
      </c>
      <c r="V71" s="179">
        <f>SUMIFS('recurring2_based on steps'!$B71:$AY71,'recurring2_based on steps'!$B$1:$AY$1,V$1)+SUMIFS('changes2_based on steps'!$B71:$U71,'changes2_based on steps'!$B$1:$U$1,V$1)</f>
        <v>0</v>
      </c>
      <c r="W71" s="179">
        <f>SUMIFS('recurring2_based on steps'!$B71:$AY71,'recurring2_based on steps'!$B$1:$AY$1,W$1)+SUMIFS('changes2_based on steps'!$B71:$U71,'changes2_based on steps'!$B$1:$U$1,W$1)</f>
        <v>0</v>
      </c>
      <c r="X71" s="179">
        <f>SUMIFS('recurring2_based on steps'!$B71:$AY71,'recurring2_based on steps'!$B$1:$AY$1,X$1)+SUMIFS('changes2_based on steps'!$B71:$U71,'changes2_based on steps'!$B$1:$U$1,X$1)</f>
        <v>0</v>
      </c>
      <c r="Y71" s="179">
        <f>SUMIFS('recurring2_based on steps'!$B71:$AY71,'recurring2_based on steps'!$B$1:$AY$1,Y$1)+SUMIFS('changes2_based on steps'!$B71:$U71,'changes2_based on steps'!$B$1:$U$1,Y$1)</f>
        <v>0</v>
      </c>
      <c r="Z71" s="179">
        <f>SUMIFS('recurring2_based on steps'!$B71:$AY71,'recurring2_based on steps'!$B$1:$AY$1,Z$1)+SUMIFS('changes2_based on steps'!$B71:$U71,'changes2_based on steps'!$B$1:$U$1,Z$1)</f>
        <v>0</v>
      </c>
      <c r="AA71" s="179">
        <f>SUMIFS('recurring2_based on steps'!$B71:$AY71,'recurring2_based on steps'!$B$1:$AY$1,AA$1)+SUMIFS('changes2_based on steps'!$B71:$U71,'changes2_based on steps'!$B$1:$U$1,AA$1)</f>
        <v>0</v>
      </c>
      <c r="AB71" s="179">
        <f>SUMIFS('recurring2_based on steps'!$B71:$AY71,'recurring2_based on steps'!$B$1:$AY$1,AB$1)+SUMIFS('changes2_based on steps'!$B71:$U71,'changes2_based on steps'!$B$1:$U$1,AB$1)</f>
        <v>0</v>
      </c>
      <c r="AC71" s="179">
        <f>SUMIFS('recurring2_based on steps'!$B71:$AY71,'recurring2_based on steps'!$B$1:$AY$1,AC$1)+SUMIFS('changes2_based on steps'!$B71:$U71,'changes2_based on steps'!$B$1:$U$1,AC$1)</f>
        <v>0</v>
      </c>
      <c r="AD71" s="179">
        <f>SUMIFS('recurring2_based on steps'!$B71:$AY71,'recurring2_based on steps'!$B$1:$AY$1,AD$1)+SUMIFS('changes2_based on steps'!$B71:$U71,'changes2_based on steps'!$B$1:$U$1,AD$1)</f>
        <v>0</v>
      </c>
      <c r="AE71" s="179">
        <f>SUMIFS('recurring2_based on steps'!$B71:$AY71,'recurring2_based on steps'!$B$1:$AY$1,AE$1)+SUMIFS('changes2_based on steps'!$B71:$U71,'changes2_based on steps'!$B$1:$U$1,AE$1)</f>
        <v>0</v>
      </c>
      <c r="AF71" s="179"/>
      <c r="AG71" s="179"/>
      <c r="AH71" s="179"/>
      <c r="AI71" s="179"/>
      <c r="AJ71" s="179"/>
      <c r="AK71" s="179"/>
      <c r="AL71" s="179"/>
      <c r="AM71" s="179"/>
    </row>
    <row r="72" spans="1:39" x14ac:dyDescent="0.2">
      <c r="A72" s="32">
        <f t="shared" ca="1" si="1"/>
        <v>45821</v>
      </c>
      <c r="B72" s="179">
        <f>SUMIFS('recurring2_based on steps'!$B72:$AY72,'recurring2_based on steps'!$B$1:$AY$1,B$1)+SUMIFS('changes2_based on steps'!$B72:$U72,'changes2_based on steps'!$B$1:$U$1,B$1)</f>
        <v>0</v>
      </c>
      <c r="C72" s="179">
        <f>SUMIFS('recurring2_based on steps'!$B72:$AY72,'recurring2_based on steps'!$B$1:$AY$1,C$1)+SUMIFS('changes2_based on steps'!$B72:$U72,'changes2_based on steps'!$B$1:$U$1,C$1)</f>
        <v>0</v>
      </c>
      <c r="D72" s="179">
        <f>SUMIFS('recurring2_based on steps'!$B72:$AY72,'recurring2_based on steps'!$B$1:$AY$1,D$1)+SUMIFS('changes2_based on steps'!$B72:$U72,'changes2_based on steps'!$B$1:$U$1,D$1)</f>
        <v>0</v>
      </c>
      <c r="E72" s="179">
        <f>SUMIFS('recurring2_based on steps'!$B72:$AY72,'recurring2_based on steps'!$B$1:$AY$1,E$1)+SUMIFS('changes2_based on steps'!$B72:$U72,'changes2_based on steps'!$B$1:$U$1,E$1)</f>
        <v>0</v>
      </c>
      <c r="F72" s="179">
        <f>SUMIFS('recurring2_based on steps'!$B72:$AY72,'recurring2_based on steps'!$B$1:$AY$1,F$1)+SUMIFS('changes2_based on steps'!$B72:$U72,'changes2_based on steps'!$B$1:$U$1,F$1)</f>
        <v>0</v>
      </c>
      <c r="G72" s="179">
        <f>SUMIFS('recurring2_based on steps'!$B72:$AY72,'recurring2_based on steps'!$B$1:$AY$1,G$1)+SUMIFS('changes2_based on steps'!$B72:$U72,'changes2_based on steps'!$B$1:$U$1,G$1)</f>
        <v>0</v>
      </c>
      <c r="H72" s="179">
        <f>SUMIFS('recurring2_based on steps'!$B72:$AY72,'recurring2_based on steps'!$B$1:$AY$1,H$1)+SUMIFS('changes2_based on steps'!$B72:$U72,'changes2_based on steps'!$B$1:$U$1,H$1)</f>
        <v>0</v>
      </c>
      <c r="I72" s="179">
        <f>SUMIFS('recurring2_based on steps'!$B72:$AY72,'recurring2_based on steps'!$B$1:$AY$1,I$1)+SUMIFS('changes2_based on steps'!$B72:$U72,'changes2_based on steps'!$B$1:$U$1,I$1)</f>
        <v>0</v>
      </c>
      <c r="J72" s="179">
        <f>SUMIFS('recurring2_based on steps'!$B72:$AY72,'recurring2_based on steps'!$B$1:$AY$1,J$1)+SUMIFS('changes2_based on steps'!$B72:$U72,'changes2_based on steps'!$B$1:$U$1,J$1)</f>
        <v>0</v>
      </c>
      <c r="K72" s="179">
        <f>SUMIFS('recurring2_based on steps'!$B72:$AY72,'recurring2_based on steps'!$B$1:$AY$1,K$1)+SUMIFS('changes2_based on steps'!$B72:$U72,'changes2_based on steps'!$B$1:$U$1,K$1)</f>
        <v>0</v>
      </c>
      <c r="L72" s="179">
        <f>SUMIFS('recurring2_based on steps'!$B72:$AY72,'recurring2_based on steps'!$B$1:$AY$1,L$1)+SUMIFS('changes2_based on steps'!$B72:$U72,'changes2_based on steps'!$B$1:$U$1,L$1)</f>
        <v>0</v>
      </c>
      <c r="M72" s="179">
        <f>SUMIFS('recurring2_based on steps'!$B72:$AY72,'recurring2_based on steps'!$B$1:$AY$1,M$1)+SUMIFS('changes2_based on steps'!$B72:$U72,'changes2_based on steps'!$B$1:$U$1,M$1)</f>
        <v>0</v>
      </c>
      <c r="N72" s="179">
        <f>SUMIFS('recurring2_based on steps'!$B72:$AY72,'recurring2_based on steps'!$B$1:$AY$1,N$1)+SUMIFS('changes2_based on steps'!$B72:$U72,'changes2_based on steps'!$B$1:$U$1,N$1)</f>
        <v>0</v>
      </c>
      <c r="O72" s="179">
        <f>SUMIFS('recurring2_based on steps'!$B72:$AY72,'recurring2_based on steps'!$B$1:$AY$1,O$1)+SUMIFS('changes2_based on steps'!$B72:$U72,'changes2_based on steps'!$B$1:$U$1,O$1)</f>
        <v>0</v>
      </c>
      <c r="P72" s="179">
        <f>SUMIFS('recurring2_based on steps'!$B72:$AY72,'recurring2_based on steps'!$B$1:$AY$1,P$1)+SUMIFS('changes2_based on steps'!$B72:$U72,'changes2_based on steps'!$B$1:$U$1,P$1)</f>
        <v>0</v>
      </c>
      <c r="Q72" s="179">
        <f>SUMIFS('recurring2_based on steps'!$B72:$AY72,'recurring2_based on steps'!$B$1:$AY$1,Q$1)+SUMIFS('changes2_based on steps'!$B72:$U72,'changes2_based on steps'!$B$1:$U$1,Q$1)</f>
        <v>0</v>
      </c>
      <c r="R72" s="179">
        <f>SUMIFS('recurring2_based on steps'!$B72:$AY72,'recurring2_based on steps'!$B$1:$AY$1,R$1)+SUMIFS('changes2_based on steps'!$B72:$U72,'changes2_based on steps'!$B$1:$U$1,R$1)</f>
        <v>0</v>
      </c>
      <c r="S72" s="179">
        <f>SUMIFS('recurring2_based on steps'!$B72:$AY72,'recurring2_based on steps'!$B$1:$AY$1,S$1)+SUMIFS('changes2_based on steps'!$B72:$U72,'changes2_based on steps'!$B$1:$U$1,S$1)</f>
        <v>0</v>
      </c>
      <c r="T72" s="179">
        <f>SUMIFS('recurring2_based on steps'!$B72:$AY72,'recurring2_based on steps'!$B$1:$AY$1,T$1)+SUMIFS('changes2_based on steps'!$B72:$U72,'changes2_based on steps'!$B$1:$U$1,T$1)</f>
        <v>0</v>
      </c>
      <c r="U72" s="179">
        <f>SUMIFS('recurring2_based on steps'!$B72:$AY72,'recurring2_based on steps'!$B$1:$AY$1,U$1)+SUMIFS('changes2_based on steps'!$B72:$U72,'changes2_based on steps'!$B$1:$U$1,U$1)</f>
        <v>0</v>
      </c>
      <c r="V72" s="179">
        <f>SUMIFS('recurring2_based on steps'!$B72:$AY72,'recurring2_based on steps'!$B$1:$AY$1,V$1)+SUMIFS('changes2_based on steps'!$B72:$U72,'changes2_based on steps'!$B$1:$U$1,V$1)</f>
        <v>0</v>
      </c>
      <c r="W72" s="179">
        <f>SUMIFS('recurring2_based on steps'!$B72:$AY72,'recurring2_based on steps'!$B$1:$AY$1,W$1)+SUMIFS('changes2_based on steps'!$B72:$U72,'changes2_based on steps'!$B$1:$U$1,W$1)</f>
        <v>0</v>
      </c>
      <c r="X72" s="179">
        <f>SUMIFS('recurring2_based on steps'!$B72:$AY72,'recurring2_based on steps'!$B$1:$AY$1,X$1)+SUMIFS('changes2_based on steps'!$B72:$U72,'changes2_based on steps'!$B$1:$U$1,X$1)</f>
        <v>0</v>
      </c>
      <c r="Y72" s="179">
        <f>SUMIFS('recurring2_based on steps'!$B72:$AY72,'recurring2_based on steps'!$B$1:$AY$1,Y$1)+SUMIFS('changes2_based on steps'!$B72:$U72,'changes2_based on steps'!$B$1:$U$1,Y$1)</f>
        <v>0</v>
      </c>
      <c r="Z72" s="179">
        <f>SUMIFS('recurring2_based on steps'!$B72:$AY72,'recurring2_based on steps'!$B$1:$AY$1,Z$1)+SUMIFS('changes2_based on steps'!$B72:$U72,'changes2_based on steps'!$B$1:$U$1,Z$1)</f>
        <v>0</v>
      </c>
      <c r="AA72" s="179">
        <f>SUMIFS('recurring2_based on steps'!$B72:$AY72,'recurring2_based on steps'!$B$1:$AY$1,AA$1)+SUMIFS('changes2_based on steps'!$B72:$U72,'changes2_based on steps'!$B$1:$U$1,AA$1)</f>
        <v>0</v>
      </c>
      <c r="AB72" s="179">
        <f>SUMIFS('recurring2_based on steps'!$B72:$AY72,'recurring2_based on steps'!$B$1:$AY$1,AB$1)+SUMIFS('changes2_based on steps'!$B72:$U72,'changes2_based on steps'!$B$1:$U$1,AB$1)</f>
        <v>0</v>
      </c>
      <c r="AC72" s="179">
        <f>SUMIFS('recurring2_based on steps'!$B72:$AY72,'recurring2_based on steps'!$B$1:$AY$1,AC$1)+SUMIFS('changes2_based on steps'!$B72:$U72,'changes2_based on steps'!$B$1:$U$1,AC$1)</f>
        <v>0</v>
      </c>
      <c r="AD72" s="179">
        <f>SUMIFS('recurring2_based on steps'!$B72:$AY72,'recurring2_based on steps'!$B$1:$AY$1,AD$1)+SUMIFS('changes2_based on steps'!$B72:$U72,'changes2_based on steps'!$B$1:$U$1,AD$1)</f>
        <v>0</v>
      </c>
      <c r="AE72" s="179">
        <f>SUMIFS('recurring2_based on steps'!$B72:$AY72,'recurring2_based on steps'!$B$1:$AY$1,AE$1)+SUMIFS('changes2_based on steps'!$B72:$U72,'changes2_based on steps'!$B$1:$U$1,AE$1)</f>
        <v>0</v>
      </c>
      <c r="AF72" s="179"/>
      <c r="AG72" s="179"/>
      <c r="AH72" s="179"/>
      <c r="AI72" s="179"/>
      <c r="AJ72" s="179"/>
      <c r="AK72" s="179"/>
      <c r="AL72" s="179"/>
      <c r="AM72" s="179"/>
    </row>
    <row r="73" spans="1:39" x14ac:dyDescent="0.2">
      <c r="A73" s="32">
        <f t="shared" ca="1" si="1"/>
        <v>45822</v>
      </c>
      <c r="B73" s="179">
        <f>SUMIFS('recurring2_based on steps'!$B73:$AY73,'recurring2_based on steps'!$B$1:$AY$1,B$1)+SUMIFS('changes2_based on steps'!$B73:$U73,'changes2_based on steps'!$B$1:$U$1,B$1)</f>
        <v>0</v>
      </c>
      <c r="C73" s="179">
        <f>SUMIFS('recurring2_based on steps'!$B73:$AY73,'recurring2_based on steps'!$B$1:$AY$1,C$1)+SUMIFS('changes2_based on steps'!$B73:$U73,'changes2_based on steps'!$B$1:$U$1,C$1)</f>
        <v>0</v>
      </c>
      <c r="D73" s="179">
        <f>SUMIFS('recurring2_based on steps'!$B73:$AY73,'recurring2_based on steps'!$B$1:$AY$1,D$1)+SUMIFS('changes2_based on steps'!$B73:$U73,'changes2_based on steps'!$B$1:$U$1,D$1)</f>
        <v>0</v>
      </c>
      <c r="E73" s="179">
        <f>SUMIFS('recurring2_based on steps'!$B73:$AY73,'recurring2_based on steps'!$B$1:$AY$1,E$1)+SUMIFS('changes2_based on steps'!$B73:$U73,'changes2_based on steps'!$B$1:$U$1,E$1)</f>
        <v>0</v>
      </c>
      <c r="F73" s="179">
        <f>SUMIFS('recurring2_based on steps'!$B73:$AY73,'recurring2_based on steps'!$B$1:$AY$1,F$1)+SUMIFS('changes2_based on steps'!$B73:$U73,'changes2_based on steps'!$B$1:$U$1,F$1)</f>
        <v>0</v>
      </c>
      <c r="G73" s="179">
        <f>SUMIFS('recurring2_based on steps'!$B73:$AY73,'recurring2_based on steps'!$B$1:$AY$1,G$1)+SUMIFS('changes2_based on steps'!$B73:$U73,'changes2_based on steps'!$B$1:$U$1,G$1)</f>
        <v>0</v>
      </c>
      <c r="H73" s="179">
        <f>SUMIFS('recurring2_based on steps'!$B73:$AY73,'recurring2_based on steps'!$B$1:$AY$1,H$1)+SUMIFS('changes2_based on steps'!$B73:$U73,'changes2_based on steps'!$B$1:$U$1,H$1)</f>
        <v>0</v>
      </c>
      <c r="I73" s="179">
        <f>SUMIFS('recurring2_based on steps'!$B73:$AY73,'recurring2_based on steps'!$B$1:$AY$1,I$1)+SUMIFS('changes2_based on steps'!$B73:$U73,'changes2_based on steps'!$B$1:$U$1,I$1)</f>
        <v>0</v>
      </c>
      <c r="J73" s="179">
        <f>SUMIFS('recurring2_based on steps'!$B73:$AY73,'recurring2_based on steps'!$B$1:$AY$1,J$1)+SUMIFS('changes2_based on steps'!$B73:$U73,'changes2_based on steps'!$B$1:$U$1,J$1)</f>
        <v>0</v>
      </c>
      <c r="K73" s="179">
        <f>SUMIFS('recurring2_based on steps'!$B73:$AY73,'recurring2_based on steps'!$B$1:$AY$1,K$1)+SUMIFS('changes2_based on steps'!$B73:$U73,'changes2_based on steps'!$B$1:$U$1,K$1)</f>
        <v>0</v>
      </c>
      <c r="L73" s="179">
        <f>SUMIFS('recurring2_based on steps'!$B73:$AY73,'recurring2_based on steps'!$B$1:$AY$1,L$1)+SUMIFS('changes2_based on steps'!$B73:$U73,'changes2_based on steps'!$B$1:$U$1,L$1)</f>
        <v>0</v>
      </c>
      <c r="M73" s="179">
        <f>SUMIFS('recurring2_based on steps'!$B73:$AY73,'recurring2_based on steps'!$B$1:$AY$1,M$1)+SUMIFS('changes2_based on steps'!$B73:$U73,'changes2_based on steps'!$B$1:$U$1,M$1)</f>
        <v>0</v>
      </c>
      <c r="N73" s="179">
        <f>SUMIFS('recurring2_based on steps'!$B73:$AY73,'recurring2_based on steps'!$B$1:$AY$1,N$1)+SUMIFS('changes2_based on steps'!$B73:$U73,'changes2_based on steps'!$B$1:$U$1,N$1)</f>
        <v>0</v>
      </c>
      <c r="O73" s="179">
        <f>SUMIFS('recurring2_based on steps'!$B73:$AY73,'recurring2_based on steps'!$B$1:$AY$1,O$1)+SUMIFS('changes2_based on steps'!$B73:$U73,'changes2_based on steps'!$B$1:$U$1,O$1)</f>
        <v>0</v>
      </c>
      <c r="P73" s="179">
        <f>SUMIFS('recurring2_based on steps'!$B73:$AY73,'recurring2_based on steps'!$B$1:$AY$1,P$1)+SUMIFS('changes2_based on steps'!$B73:$U73,'changes2_based on steps'!$B$1:$U$1,P$1)</f>
        <v>0</v>
      </c>
      <c r="Q73" s="179">
        <f>SUMIFS('recurring2_based on steps'!$B73:$AY73,'recurring2_based on steps'!$B$1:$AY$1,Q$1)+SUMIFS('changes2_based on steps'!$B73:$U73,'changes2_based on steps'!$B$1:$U$1,Q$1)</f>
        <v>0</v>
      </c>
      <c r="R73" s="179">
        <f>SUMIFS('recurring2_based on steps'!$B73:$AY73,'recurring2_based on steps'!$B$1:$AY$1,R$1)+SUMIFS('changes2_based on steps'!$B73:$U73,'changes2_based on steps'!$B$1:$U$1,R$1)</f>
        <v>0</v>
      </c>
      <c r="S73" s="179">
        <f>SUMIFS('recurring2_based on steps'!$B73:$AY73,'recurring2_based on steps'!$B$1:$AY$1,S$1)+SUMIFS('changes2_based on steps'!$B73:$U73,'changes2_based on steps'!$B$1:$U$1,S$1)</f>
        <v>0</v>
      </c>
      <c r="T73" s="179">
        <f>SUMIFS('recurring2_based on steps'!$B73:$AY73,'recurring2_based on steps'!$B$1:$AY$1,T$1)+SUMIFS('changes2_based on steps'!$B73:$U73,'changes2_based on steps'!$B$1:$U$1,T$1)</f>
        <v>0</v>
      </c>
      <c r="U73" s="179">
        <f>SUMIFS('recurring2_based on steps'!$B73:$AY73,'recurring2_based on steps'!$B$1:$AY$1,U$1)+SUMIFS('changes2_based on steps'!$B73:$U73,'changes2_based on steps'!$B$1:$U$1,U$1)</f>
        <v>0</v>
      </c>
      <c r="V73" s="179">
        <f>SUMIFS('recurring2_based on steps'!$B73:$AY73,'recurring2_based on steps'!$B$1:$AY$1,V$1)+SUMIFS('changes2_based on steps'!$B73:$U73,'changes2_based on steps'!$B$1:$U$1,V$1)</f>
        <v>0</v>
      </c>
      <c r="W73" s="179">
        <f>SUMIFS('recurring2_based on steps'!$B73:$AY73,'recurring2_based on steps'!$B$1:$AY$1,W$1)+SUMIFS('changes2_based on steps'!$B73:$U73,'changes2_based on steps'!$B$1:$U$1,W$1)</f>
        <v>0</v>
      </c>
      <c r="X73" s="179">
        <f>SUMIFS('recurring2_based on steps'!$B73:$AY73,'recurring2_based on steps'!$B$1:$AY$1,X$1)+SUMIFS('changes2_based on steps'!$B73:$U73,'changes2_based on steps'!$B$1:$U$1,X$1)</f>
        <v>0</v>
      </c>
      <c r="Y73" s="179">
        <f>SUMIFS('recurring2_based on steps'!$B73:$AY73,'recurring2_based on steps'!$B$1:$AY$1,Y$1)+SUMIFS('changes2_based on steps'!$B73:$U73,'changes2_based on steps'!$B$1:$U$1,Y$1)</f>
        <v>0</v>
      </c>
      <c r="Z73" s="179">
        <f>SUMIFS('recurring2_based on steps'!$B73:$AY73,'recurring2_based on steps'!$B$1:$AY$1,Z$1)+SUMIFS('changes2_based on steps'!$B73:$U73,'changes2_based on steps'!$B$1:$U$1,Z$1)</f>
        <v>0</v>
      </c>
      <c r="AA73" s="179">
        <f>SUMIFS('recurring2_based on steps'!$B73:$AY73,'recurring2_based on steps'!$B$1:$AY$1,AA$1)+SUMIFS('changes2_based on steps'!$B73:$U73,'changes2_based on steps'!$B$1:$U$1,AA$1)</f>
        <v>0</v>
      </c>
      <c r="AB73" s="179">
        <f>SUMIFS('recurring2_based on steps'!$B73:$AY73,'recurring2_based on steps'!$B$1:$AY$1,AB$1)+SUMIFS('changes2_based on steps'!$B73:$U73,'changes2_based on steps'!$B$1:$U$1,AB$1)</f>
        <v>0</v>
      </c>
      <c r="AC73" s="179">
        <f>SUMIFS('recurring2_based on steps'!$B73:$AY73,'recurring2_based on steps'!$B$1:$AY$1,AC$1)+SUMIFS('changes2_based on steps'!$B73:$U73,'changes2_based on steps'!$B$1:$U$1,AC$1)</f>
        <v>0</v>
      </c>
      <c r="AD73" s="179">
        <f>SUMIFS('recurring2_based on steps'!$B73:$AY73,'recurring2_based on steps'!$B$1:$AY$1,AD$1)+SUMIFS('changes2_based on steps'!$B73:$U73,'changes2_based on steps'!$B$1:$U$1,AD$1)</f>
        <v>0</v>
      </c>
      <c r="AE73" s="179">
        <f>SUMIFS('recurring2_based on steps'!$B73:$AY73,'recurring2_based on steps'!$B$1:$AY$1,AE$1)+SUMIFS('changes2_based on steps'!$B73:$U73,'changes2_based on steps'!$B$1:$U$1,AE$1)</f>
        <v>0</v>
      </c>
      <c r="AF73" s="179"/>
      <c r="AG73" s="179"/>
      <c r="AH73" s="179"/>
      <c r="AI73" s="179"/>
      <c r="AJ73" s="179"/>
      <c r="AK73" s="179"/>
      <c r="AL73" s="179"/>
      <c r="AM73" s="179"/>
    </row>
    <row r="74" spans="1:39" x14ac:dyDescent="0.2">
      <c r="A74" s="32">
        <f t="shared" ca="1" si="1"/>
        <v>45823</v>
      </c>
      <c r="B74" s="179">
        <f>SUMIFS('recurring2_based on steps'!$B74:$AY74,'recurring2_based on steps'!$B$1:$AY$1,B$1)+SUMIFS('changes2_based on steps'!$B74:$U74,'changes2_based on steps'!$B$1:$U$1,B$1)</f>
        <v>0</v>
      </c>
      <c r="C74" s="179">
        <f>SUMIFS('recurring2_based on steps'!$B74:$AY74,'recurring2_based on steps'!$B$1:$AY$1,C$1)+SUMIFS('changes2_based on steps'!$B74:$U74,'changes2_based on steps'!$B$1:$U$1,C$1)</f>
        <v>0</v>
      </c>
      <c r="D74" s="179">
        <f>SUMIFS('recurring2_based on steps'!$B74:$AY74,'recurring2_based on steps'!$B$1:$AY$1,D$1)+SUMIFS('changes2_based on steps'!$B74:$U74,'changes2_based on steps'!$B$1:$U$1,D$1)</f>
        <v>0</v>
      </c>
      <c r="E74" s="179">
        <f>SUMIFS('recurring2_based on steps'!$B74:$AY74,'recurring2_based on steps'!$B$1:$AY$1,E$1)+SUMIFS('changes2_based on steps'!$B74:$U74,'changes2_based on steps'!$B$1:$U$1,E$1)</f>
        <v>0</v>
      </c>
      <c r="F74" s="179">
        <f>SUMIFS('recurring2_based on steps'!$B74:$AY74,'recurring2_based on steps'!$B$1:$AY$1,F$1)+SUMIFS('changes2_based on steps'!$B74:$U74,'changes2_based on steps'!$B$1:$U$1,F$1)</f>
        <v>0</v>
      </c>
      <c r="G74" s="179">
        <f>SUMIFS('recurring2_based on steps'!$B74:$AY74,'recurring2_based on steps'!$B$1:$AY$1,G$1)+SUMIFS('changes2_based on steps'!$B74:$U74,'changes2_based on steps'!$B$1:$U$1,G$1)</f>
        <v>0</v>
      </c>
      <c r="H74" s="179">
        <f>SUMIFS('recurring2_based on steps'!$B74:$AY74,'recurring2_based on steps'!$B$1:$AY$1,H$1)+SUMIFS('changes2_based on steps'!$B74:$U74,'changes2_based on steps'!$B$1:$U$1,H$1)</f>
        <v>0</v>
      </c>
      <c r="I74" s="179">
        <f>SUMIFS('recurring2_based on steps'!$B74:$AY74,'recurring2_based on steps'!$B$1:$AY$1,I$1)+SUMIFS('changes2_based on steps'!$B74:$U74,'changes2_based on steps'!$B$1:$U$1,I$1)</f>
        <v>0</v>
      </c>
      <c r="J74" s="179">
        <f>SUMIFS('recurring2_based on steps'!$B74:$AY74,'recurring2_based on steps'!$B$1:$AY$1,J$1)+SUMIFS('changes2_based on steps'!$B74:$U74,'changes2_based on steps'!$B$1:$U$1,J$1)</f>
        <v>0</v>
      </c>
      <c r="K74" s="179">
        <f>SUMIFS('recurring2_based on steps'!$B74:$AY74,'recurring2_based on steps'!$B$1:$AY$1,K$1)+SUMIFS('changes2_based on steps'!$B74:$U74,'changes2_based on steps'!$B$1:$U$1,K$1)</f>
        <v>0</v>
      </c>
      <c r="L74" s="179">
        <f>SUMIFS('recurring2_based on steps'!$B74:$AY74,'recurring2_based on steps'!$B$1:$AY$1,L$1)+SUMIFS('changes2_based on steps'!$B74:$U74,'changes2_based on steps'!$B$1:$U$1,L$1)</f>
        <v>0</v>
      </c>
      <c r="M74" s="179">
        <f>SUMIFS('recurring2_based on steps'!$B74:$AY74,'recurring2_based on steps'!$B$1:$AY$1,M$1)+SUMIFS('changes2_based on steps'!$B74:$U74,'changes2_based on steps'!$B$1:$U$1,M$1)</f>
        <v>0</v>
      </c>
      <c r="N74" s="179">
        <f>SUMIFS('recurring2_based on steps'!$B74:$AY74,'recurring2_based on steps'!$B$1:$AY$1,N$1)+SUMIFS('changes2_based on steps'!$B74:$U74,'changes2_based on steps'!$B$1:$U$1,N$1)</f>
        <v>0</v>
      </c>
      <c r="O74" s="179">
        <f>SUMIFS('recurring2_based on steps'!$B74:$AY74,'recurring2_based on steps'!$B$1:$AY$1,O$1)+SUMIFS('changes2_based on steps'!$B74:$U74,'changes2_based on steps'!$B$1:$U$1,O$1)</f>
        <v>0</v>
      </c>
      <c r="P74" s="179">
        <f>SUMIFS('recurring2_based on steps'!$B74:$AY74,'recurring2_based on steps'!$B$1:$AY$1,P$1)+SUMIFS('changes2_based on steps'!$B74:$U74,'changes2_based on steps'!$B$1:$U$1,P$1)</f>
        <v>0</v>
      </c>
      <c r="Q74" s="179">
        <f>SUMIFS('recurring2_based on steps'!$B74:$AY74,'recurring2_based on steps'!$B$1:$AY$1,Q$1)+SUMIFS('changes2_based on steps'!$B74:$U74,'changes2_based on steps'!$B$1:$U$1,Q$1)</f>
        <v>0</v>
      </c>
      <c r="R74" s="179">
        <f>SUMIFS('recurring2_based on steps'!$B74:$AY74,'recurring2_based on steps'!$B$1:$AY$1,R$1)+SUMIFS('changes2_based on steps'!$B74:$U74,'changes2_based on steps'!$B$1:$U$1,R$1)</f>
        <v>0</v>
      </c>
      <c r="S74" s="179">
        <f>SUMIFS('recurring2_based on steps'!$B74:$AY74,'recurring2_based on steps'!$B$1:$AY$1,S$1)+SUMIFS('changes2_based on steps'!$B74:$U74,'changes2_based on steps'!$B$1:$U$1,S$1)</f>
        <v>0</v>
      </c>
      <c r="T74" s="179">
        <f>SUMIFS('recurring2_based on steps'!$B74:$AY74,'recurring2_based on steps'!$B$1:$AY$1,T$1)+SUMIFS('changes2_based on steps'!$B74:$U74,'changes2_based on steps'!$B$1:$U$1,T$1)</f>
        <v>0</v>
      </c>
      <c r="U74" s="179">
        <f>SUMIFS('recurring2_based on steps'!$B74:$AY74,'recurring2_based on steps'!$B$1:$AY$1,U$1)+SUMIFS('changes2_based on steps'!$B74:$U74,'changes2_based on steps'!$B$1:$U$1,U$1)</f>
        <v>0</v>
      </c>
      <c r="V74" s="179">
        <f>SUMIFS('recurring2_based on steps'!$B74:$AY74,'recurring2_based on steps'!$B$1:$AY$1,V$1)+SUMIFS('changes2_based on steps'!$B74:$U74,'changes2_based on steps'!$B$1:$U$1,V$1)</f>
        <v>0</v>
      </c>
      <c r="W74" s="179">
        <f>SUMIFS('recurring2_based on steps'!$B74:$AY74,'recurring2_based on steps'!$B$1:$AY$1,W$1)+SUMIFS('changes2_based on steps'!$B74:$U74,'changes2_based on steps'!$B$1:$U$1,W$1)</f>
        <v>0</v>
      </c>
      <c r="X74" s="179">
        <f>SUMIFS('recurring2_based on steps'!$B74:$AY74,'recurring2_based on steps'!$B$1:$AY$1,X$1)+SUMIFS('changes2_based on steps'!$B74:$U74,'changes2_based on steps'!$B$1:$U$1,X$1)</f>
        <v>0</v>
      </c>
      <c r="Y74" s="179">
        <f>SUMIFS('recurring2_based on steps'!$B74:$AY74,'recurring2_based on steps'!$B$1:$AY$1,Y$1)+SUMIFS('changes2_based on steps'!$B74:$U74,'changes2_based on steps'!$B$1:$U$1,Y$1)</f>
        <v>0</v>
      </c>
      <c r="Z74" s="179">
        <f>SUMIFS('recurring2_based on steps'!$B74:$AY74,'recurring2_based on steps'!$B$1:$AY$1,Z$1)+SUMIFS('changes2_based on steps'!$B74:$U74,'changes2_based on steps'!$B$1:$U$1,Z$1)</f>
        <v>0</v>
      </c>
      <c r="AA74" s="179">
        <f>SUMIFS('recurring2_based on steps'!$B74:$AY74,'recurring2_based on steps'!$B$1:$AY$1,AA$1)+SUMIFS('changes2_based on steps'!$B74:$U74,'changes2_based on steps'!$B$1:$U$1,AA$1)</f>
        <v>0</v>
      </c>
      <c r="AB74" s="179">
        <f>SUMIFS('recurring2_based on steps'!$B74:$AY74,'recurring2_based on steps'!$B$1:$AY$1,AB$1)+SUMIFS('changes2_based on steps'!$B74:$U74,'changes2_based on steps'!$B$1:$U$1,AB$1)</f>
        <v>0</v>
      </c>
      <c r="AC74" s="179">
        <f>SUMIFS('recurring2_based on steps'!$B74:$AY74,'recurring2_based on steps'!$B$1:$AY$1,AC$1)+SUMIFS('changes2_based on steps'!$B74:$U74,'changes2_based on steps'!$B$1:$U$1,AC$1)</f>
        <v>0</v>
      </c>
      <c r="AD74" s="179">
        <f>SUMIFS('recurring2_based on steps'!$B74:$AY74,'recurring2_based on steps'!$B$1:$AY$1,AD$1)+SUMIFS('changes2_based on steps'!$B74:$U74,'changes2_based on steps'!$B$1:$U$1,AD$1)</f>
        <v>0</v>
      </c>
      <c r="AE74" s="179">
        <f>SUMIFS('recurring2_based on steps'!$B74:$AY74,'recurring2_based on steps'!$B$1:$AY$1,AE$1)+SUMIFS('changes2_based on steps'!$B74:$U74,'changes2_based on steps'!$B$1:$U$1,AE$1)</f>
        <v>0</v>
      </c>
      <c r="AF74" s="179"/>
      <c r="AG74" s="179"/>
      <c r="AH74" s="179"/>
      <c r="AI74" s="179"/>
      <c r="AJ74" s="179"/>
      <c r="AK74" s="179"/>
      <c r="AL74" s="179"/>
      <c r="AM74" s="179"/>
    </row>
    <row r="75" spans="1:39" x14ac:dyDescent="0.2">
      <c r="A75" s="32">
        <f t="shared" ca="1" si="1"/>
        <v>45824</v>
      </c>
      <c r="B75" s="179">
        <f>SUMIFS('recurring2_based on steps'!$B75:$AY75,'recurring2_based on steps'!$B$1:$AY$1,B$1)+SUMIFS('changes2_based on steps'!$B75:$U75,'changes2_based on steps'!$B$1:$U$1,B$1)</f>
        <v>0</v>
      </c>
      <c r="C75" s="179">
        <f>SUMIFS('recurring2_based on steps'!$B75:$AY75,'recurring2_based on steps'!$B$1:$AY$1,C$1)+SUMIFS('changes2_based on steps'!$B75:$U75,'changes2_based on steps'!$B$1:$U$1,C$1)</f>
        <v>0</v>
      </c>
      <c r="D75" s="179">
        <f>SUMIFS('recurring2_based on steps'!$B75:$AY75,'recurring2_based on steps'!$B$1:$AY$1,D$1)+SUMIFS('changes2_based on steps'!$B75:$U75,'changes2_based on steps'!$B$1:$U$1,D$1)</f>
        <v>0</v>
      </c>
      <c r="E75" s="179">
        <f>SUMIFS('recurring2_based on steps'!$B75:$AY75,'recurring2_based on steps'!$B$1:$AY$1,E$1)+SUMIFS('changes2_based on steps'!$B75:$U75,'changes2_based on steps'!$B$1:$U$1,E$1)</f>
        <v>0</v>
      </c>
      <c r="F75" s="179">
        <f>SUMIFS('recurring2_based on steps'!$B75:$AY75,'recurring2_based on steps'!$B$1:$AY$1,F$1)+SUMIFS('changes2_based on steps'!$B75:$U75,'changes2_based on steps'!$B$1:$U$1,F$1)</f>
        <v>0</v>
      </c>
      <c r="G75" s="179">
        <f>SUMIFS('recurring2_based on steps'!$B75:$AY75,'recurring2_based on steps'!$B$1:$AY$1,G$1)+SUMIFS('changes2_based on steps'!$B75:$U75,'changes2_based on steps'!$B$1:$U$1,G$1)</f>
        <v>0</v>
      </c>
      <c r="H75" s="179">
        <f>SUMIFS('recurring2_based on steps'!$B75:$AY75,'recurring2_based on steps'!$B$1:$AY$1,H$1)+SUMIFS('changes2_based on steps'!$B75:$U75,'changes2_based on steps'!$B$1:$U$1,H$1)</f>
        <v>0</v>
      </c>
      <c r="I75" s="179">
        <f>SUMIFS('recurring2_based on steps'!$B75:$AY75,'recurring2_based on steps'!$B$1:$AY$1,I$1)+SUMIFS('changes2_based on steps'!$B75:$U75,'changes2_based on steps'!$B$1:$U$1,I$1)</f>
        <v>0</v>
      </c>
      <c r="J75" s="179">
        <f>SUMIFS('recurring2_based on steps'!$B75:$AY75,'recurring2_based on steps'!$B$1:$AY$1,J$1)+SUMIFS('changes2_based on steps'!$B75:$U75,'changes2_based on steps'!$B$1:$U$1,J$1)</f>
        <v>0</v>
      </c>
      <c r="K75" s="179">
        <f>SUMIFS('recurring2_based on steps'!$B75:$AY75,'recurring2_based on steps'!$B$1:$AY$1,K$1)+SUMIFS('changes2_based on steps'!$B75:$U75,'changes2_based on steps'!$B$1:$U$1,K$1)</f>
        <v>0</v>
      </c>
      <c r="L75" s="179">
        <f>SUMIFS('recurring2_based on steps'!$B75:$AY75,'recurring2_based on steps'!$B$1:$AY$1,L$1)+SUMIFS('changes2_based on steps'!$B75:$U75,'changes2_based on steps'!$B$1:$U$1,L$1)</f>
        <v>0</v>
      </c>
      <c r="M75" s="179">
        <f>SUMIFS('recurring2_based on steps'!$B75:$AY75,'recurring2_based on steps'!$B$1:$AY$1,M$1)+SUMIFS('changes2_based on steps'!$B75:$U75,'changes2_based on steps'!$B$1:$U$1,M$1)</f>
        <v>0</v>
      </c>
      <c r="N75" s="179">
        <f>SUMIFS('recurring2_based on steps'!$B75:$AY75,'recurring2_based on steps'!$B$1:$AY$1,N$1)+SUMIFS('changes2_based on steps'!$B75:$U75,'changes2_based on steps'!$B$1:$U$1,N$1)</f>
        <v>0</v>
      </c>
      <c r="O75" s="179">
        <f>SUMIFS('recurring2_based on steps'!$B75:$AY75,'recurring2_based on steps'!$B$1:$AY$1,O$1)+SUMIFS('changes2_based on steps'!$B75:$U75,'changes2_based on steps'!$B$1:$U$1,O$1)</f>
        <v>0</v>
      </c>
      <c r="P75" s="179">
        <f>SUMIFS('recurring2_based on steps'!$B75:$AY75,'recurring2_based on steps'!$B$1:$AY$1,P$1)+SUMIFS('changes2_based on steps'!$B75:$U75,'changes2_based on steps'!$B$1:$U$1,P$1)</f>
        <v>0</v>
      </c>
      <c r="Q75" s="179">
        <f>SUMIFS('recurring2_based on steps'!$B75:$AY75,'recurring2_based on steps'!$B$1:$AY$1,Q$1)+SUMIFS('changes2_based on steps'!$B75:$U75,'changes2_based on steps'!$B$1:$U$1,Q$1)</f>
        <v>0</v>
      </c>
      <c r="R75" s="179">
        <f>SUMIFS('recurring2_based on steps'!$B75:$AY75,'recurring2_based on steps'!$B$1:$AY$1,R$1)+SUMIFS('changes2_based on steps'!$B75:$U75,'changes2_based on steps'!$B$1:$U$1,R$1)</f>
        <v>0</v>
      </c>
      <c r="S75" s="179">
        <f>SUMIFS('recurring2_based on steps'!$B75:$AY75,'recurring2_based on steps'!$B$1:$AY$1,S$1)+SUMIFS('changes2_based on steps'!$B75:$U75,'changes2_based on steps'!$B$1:$U$1,S$1)</f>
        <v>0</v>
      </c>
      <c r="T75" s="179">
        <f>SUMIFS('recurring2_based on steps'!$B75:$AY75,'recurring2_based on steps'!$B$1:$AY$1,T$1)+SUMIFS('changes2_based on steps'!$B75:$U75,'changes2_based on steps'!$B$1:$U$1,T$1)</f>
        <v>0</v>
      </c>
      <c r="U75" s="179">
        <f>SUMIFS('recurring2_based on steps'!$B75:$AY75,'recurring2_based on steps'!$B$1:$AY$1,U$1)+SUMIFS('changes2_based on steps'!$B75:$U75,'changes2_based on steps'!$B$1:$U$1,U$1)</f>
        <v>0</v>
      </c>
      <c r="V75" s="179">
        <f>SUMIFS('recurring2_based on steps'!$B75:$AY75,'recurring2_based on steps'!$B$1:$AY$1,V$1)+SUMIFS('changes2_based on steps'!$B75:$U75,'changes2_based on steps'!$B$1:$U$1,V$1)</f>
        <v>0</v>
      </c>
      <c r="W75" s="179">
        <f>SUMIFS('recurring2_based on steps'!$B75:$AY75,'recurring2_based on steps'!$B$1:$AY$1,W$1)+SUMIFS('changes2_based on steps'!$B75:$U75,'changes2_based on steps'!$B$1:$U$1,W$1)</f>
        <v>0</v>
      </c>
      <c r="X75" s="179">
        <f>SUMIFS('recurring2_based on steps'!$B75:$AY75,'recurring2_based on steps'!$B$1:$AY$1,X$1)+SUMIFS('changes2_based on steps'!$B75:$U75,'changes2_based on steps'!$B$1:$U$1,X$1)</f>
        <v>0</v>
      </c>
      <c r="Y75" s="179">
        <f>SUMIFS('recurring2_based on steps'!$B75:$AY75,'recurring2_based on steps'!$B$1:$AY$1,Y$1)+SUMIFS('changes2_based on steps'!$B75:$U75,'changes2_based on steps'!$B$1:$U$1,Y$1)</f>
        <v>0</v>
      </c>
      <c r="Z75" s="179">
        <f>SUMIFS('recurring2_based on steps'!$B75:$AY75,'recurring2_based on steps'!$B$1:$AY$1,Z$1)+SUMIFS('changes2_based on steps'!$B75:$U75,'changes2_based on steps'!$B$1:$U$1,Z$1)</f>
        <v>0</v>
      </c>
      <c r="AA75" s="179">
        <f>SUMIFS('recurring2_based on steps'!$B75:$AY75,'recurring2_based on steps'!$B$1:$AY$1,AA$1)+SUMIFS('changes2_based on steps'!$B75:$U75,'changes2_based on steps'!$B$1:$U$1,AA$1)</f>
        <v>0</v>
      </c>
      <c r="AB75" s="179">
        <f>SUMIFS('recurring2_based on steps'!$B75:$AY75,'recurring2_based on steps'!$B$1:$AY$1,AB$1)+SUMIFS('changes2_based on steps'!$B75:$U75,'changes2_based on steps'!$B$1:$U$1,AB$1)</f>
        <v>0</v>
      </c>
      <c r="AC75" s="179">
        <f>SUMIFS('recurring2_based on steps'!$B75:$AY75,'recurring2_based on steps'!$B$1:$AY$1,AC$1)+SUMIFS('changes2_based on steps'!$B75:$U75,'changes2_based on steps'!$B$1:$U$1,AC$1)</f>
        <v>0</v>
      </c>
      <c r="AD75" s="179">
        <f>SUMIFS('recurring2_based on steps'!$B75:$AY75,'recurring2_based on steps'!$B$1:$AY$1,AD$1)+SUMIFS('changes2_based on steps'!$B75:$U75,'changes2_based on steps'!$B$1:$U$1,AD$1)</f>
        <v>0</v>
      </c>
      <c r="AE75" s="179">
        <f>SUMIFS('recurring2_based on steps'!$B75:$AY75,'recurring2_based on steps'!$B$1:$AY$1,AE$1)+SUMIFS('changes2_based on steps'!$B75:$U75,'changes2_based on steps'!$B$1:$U$1,AE$1)</f>
        <v>0</v>
      </c>
      <c r="AF75" s="179"/>
      <c r="AG75" s="179"/>
      <c r="AH75" s="179"/>
      <c r="AI75" s="179"/>
      <c r="AJ75" s="179"/>
      <c r="AK75" s="179"/>
      <c r="AL75" s="179"/>
      <c r="AM75" s="179"/>
    </row>
    <row r="76" spans="1:39" x14ac:dyDescent="0.2">
      <c r="A76" s="32">
        <f t="shared" ca="1" si="1"/>
        <v>45825</v>
      </c>
      <c r="B76" s="179">
        <f>SUMIFS('recurring2_based on steps'!$B76:$AY76,'recurring2_based on steps'!$B$1:$AY$1,B$1)+SUMIFS('changes2_based on steps'!$B76:$U76,'changes2_based on steps'!$B$1:$U$1,B$1)</f>
        <v>0</v>
      </c>
      <c r="C76" s="179">
        <f>SUMIFS('recurring2_based on steps'!$B76:$AY76,'recurring2_based on steps'!$B$1:$AY$1,C$1)+SUMIFS('changes2_based on steps'!$B76:$U76,'changes2_based on steps'!$B$1:$U$1,C$1)</f>
        <v>0</v>
      </c>
      <c r="D76" s="179">
        <f>SUMIFS('recurring2_based on steps'!$B76:$AY76,'recurring2_based on steps'!$B$1:$AY$1,D$1)+SUMIFS('changes2_based on steps'!$B76:$U76,'changes2_based on steps'!$B$1:$U$1,D$1)</f>
        <v>0</v>
      </c>
      <c r="E76" s="179">
        <f>SUMIFS('recurring2_based on steps'!$B76:$AY76,'recurring2_based on steps'!$B$1:$AY$1,E$1)+SUMIFS('changes2_based on steps'!$B76:$U76,'changes2_based on steps'!$B$1:$U$1,E$1)</f>
        <v>0</v>
      </c>
      <c r="F76" s="179">
        <f>SUMIFS('recurring2_based on steps'!$B76:$AY76,'recurring2_based on steps'!$B$1:$AY$1,F$1)+SUMIFS('changes2_based on steps'!$B76:$U76,'changes2_based on steps'!$B$1:$U$1,F$1)</f>
        <v>0</v>
      </c>
      <c r="G76" s="179">
        <f>SUMIFS('recurring2_based on steps'!$B76:$AY76,'recurring2_based on steps'!$B$1:$AY$1,G$1)+SUMIFS('changes2_based on steps'!$B76:$U76,'changes2_based on steps'!$B$1:$U$1,G$1)</f>
        <v>0</v>
      </c>
      <c r="H76" s="179">
        <f>SUMIFS('recurring2_based on steps'!$B76:$AY76,'recurring2_based on steps'!$B$1:$AY$1,H$1)+SUMIFS('changes2_based on steps'!$B76:$U76,'changes2_based on steps'!$B$1:$U$1,H$1)</f>
        <v>0</v>
      </c>
      <c r="I76" s="179">
        <f>SUMIFS('recurring2_based on steps'!$B76:$AY76,'recurring2_based on steps'!$B$1:$AY$1,I$1)+SUMIFS('changes2_based on steps'!$B76:$U76,'changes2_based on steps'!$B$1:$U$1,I$1)</f>
        <v>0</v>
      </c>
      <c r="J76" s="179">
        <f>SUMIFS('recurring2_based on steps'!$B76:$AY76,'recurring2_based on steps'!$B$1:$AY$1,J$1)+SUMIFS('changes2_based on steps'!$B76:$U76,'changes2_based on steps'!$B$1:$U$1,J$1)</f>
        <v>0</v>
      </c>
      <c r="K76" s="179">
        <f>SUMIFS('recurring2_based on steps'!$B76:$AY76,'recurring2_based on steps'!$B$1:$AY$1,K$1)+SUMIFS('changes2_based on steps'!$B76:$U76,'changes2_based on steps'!$B$1:$U$1,K$1)</f>
        <v>0</v>
      </c>
      <c r="L76" s="179">
        <f>SUMIFS('recurring2_based on steps'!$B76:$AY76,'recurring2_based on steps'!$B$1:$AY$1,L$1)+SUMIFS('changes2_based on steps'!$B76:$U76,'changes2_based on steps'!$B$1:$U$1,L$1)</f>
        <v>0</v>
      </c>
      <c r="M76" s="179">
        <f>SUMIFS('recurring2_based on steps'!$B76:$AY76,'recurring2_based on steps'!$B$1:$AY$1,M$1)+SUMIFS('changes2_based on steps'!$B76:$U76,'changes2_based on steps'!$B$1:$U$1,M$1)</f>
        <v>0</v>
      </c>
      <c r="N76" s="179">
        <f>SUMIFS('recurring2_based on steps'!$B76:$AY76,'recurring2_based on steps'!$B$1:$AY$1,N$1)+SUMIFS('changes2_based on steps'!$B76:$U76,'changes2_based on steps'!$B$1:$U$1,N$1)</f>
        <v>0</v>
      </c>
      <c r="O76" s="179">
        <f>SUMIFS('recurring2_based on steps'!$B76:$AY76,'recurring2_based on steps'!$B$1:$AY$1,O$1)+SUMIFS('changes2_based on steps'!$B76:$U76,'changes2_based on steps'!$B$1:$U$1,O$1)</f>
        <v>0</v>
      </c>
      <c r="P76" s="179">
        <f>SUMIFS('recurring2_based on steps'!$B76:$AY76,'recurring2_based on steps'!$B$1:$AY$1,P$1)+SUMIFS('changes2_based on steps'!$B76:$U76,'changes2_based on steps'!$B$1:$U$1,P$1)</f>
        <v>0</v>
      </c>
      <c r="Q76" s="179">
        <f>SUMIFS('recurring2_based on steps'!$B76:$AY76,'recurring2_based on steps'!$B$1:$AY$1,Q$1)+SUMIFS('changes2_based on steps'!$B76:$U76,'changes2_based on steps'!$B$1:$U$1,Q$1)</f>
        <v>0</v>
      </c>
      <c r="R76" s="179">
        <f>SUMIFS('recurring2_based on steps'!$B76:$AY76,'recurring2_based on steps'!$B$1:$AY$1,R$1)+SUMIFS('changes2_based on steps'!$B76:$U76,'changes2_based on steps'!$B$1:$U$1,R$1)</f>
        <v>0</v>
      </c>
      <c r="S76" s="179">
        <f>SUMIFS('recurring2_based on steps'!$B76:$AY76,'recurring2_based on steps'!$B$1:$AY$1,S$1)+SUMIFS('changes2_based on steps'!$B76:$U76,'changes2_based on steps'!$B$1:$U$1,S$1)</f>
        <v>0</v>
      </c>
      <c r="T76" s="179">
        <f>SUMIFS('recurring2_based on steps'!$B76:$AY76,'recurring2_based on steps'!$B$1:$AY$1,T$1)+SUMIFS('changes2_based on steps'!$B76:$U76,'changes2_based on steps'!$B$1:$U$1,T$1)</f>
        <v>0</v>
      </c>
      <c r="U76" s="179">
        <f>SUMIFS('recurring2_based on steps'!$B76:$AY76,'recurring2_based on steps'!$B$1:$AY$1,U$1)+SUMIFS('changes2_based on steps'!$B76:$U76,'changes2_based on steps'!$B$1:$U$1,U$1)</f>
        <v>0</v>
      </c>
      <c r="V76" s="179">
        <f>SUMIFS('recurring2_based on steps'!$B76:$AY76,'recurring2_based on steps'!$B$1:$AY$1,V$1)+SUMIFS('changes2_based on steps'!$B76:$U76,'changes2_based on steps'!$B$1:$U$1,V$1)</f>
        <v>0</v>
      </c>
      <c r="W76" s="179">
        <f>SUMIFS('recurring2_based on steps'!$B76:$AY76,'recurring2_based on steps'!$B$1:$AY$1,W$1)+SUMIFS('changes2_based on steps'!$B76:$U76,'changes2_based on steps'!$B$1:$U$1,W$1)</f>
        <v>0</v>
      </c>
      <c r="X76" s="179">
        <f>SUMIFS('recurring2_based on steps'!$B76:$AY76,'recurring2_based on steps'!$B$1:$AY$1,X$1)+SUMIFS('changes2_based on steps'!$B76:$U76,'changes2_based on steps'!$B$1:$U$1,X$1)</f>
        <v>0</v>
      </c>
      <c r="Y76" s="179">
        <f>SUMIFS('recurring2_based on steps'!$B76:$AY76,'recurring2_based on steps'!$B$1:$AY$1,Y$1)+SUMIFS('changes2_based on steps'!$B76:$U76,'changes2_based on steps'!$B$1:$U$1,Y$1)</f>
        <v>0</v>
      </c>
      <c r="Z76" s="179">
        <f>SUMIFS('recurring2_based on steps'!$B76:$AY76,'recurring2_based on steps'!$B$1:$AY$1,Z$1)+SUMIFS('changes2_based on steps'!$B76:$U76,'changes2_based on steps'!$B$1:$U$1,Z$1)</f>
        <v>0</v>
      </c>
      <c r="AA76" s="179">
        <f>SUMIFS('recurring2_based on steps'!$B76:$AY76,'recurring2_based on steps'!$B$1:$AY$1,AA$1)+SUMIFS('changes2_based on steps'!$B76:$U76,'changes2_based on steps'!$B$1:$U$1,AA$1)</f>
        <v>0</v>
      </c>
      <c r="AB76" s="179">
        <f>SUMIFS('recurring2_based on steps'!$B76:$AY76,'recurring2_based on steps'!$B$1:$AY$1,AB$1)+SUMIFS('changes2_based on steps'!$B76:$U76,'changes2_based on steps'!$B$1:$U$1,AB$1)</f>
        <v>0</v>
      </c>
      <c r="AC76" s="179">
        <f>SUMIFS('recurring2_based on steps'!$B76:$AY76,'recurring2_based on steps'!$B$1:$AY$1,AC$1)+SUMIFS('changes2_based on steps'!$B76:$U76,'changes2_based on steps'!$B$1:$U$1,AC$1)</f>
        <v>0</v>
      </c>
      <c r="AD76" s="179">
        <f>SUMIFS('recurring2_based on steps'!$B76:$AY76,'recurring2_based on steps'!$B$1:$AY$1,AD$1)+SUMIFS('changes2_based on steps'!$B76:$U76,'changes2_based on steps'!$B$1:$U$1,AD$1)</f>
        <v>0</v>
      </c>
      <c r="AE76" s="179">
        <f>SUMIFS('recurring2_based on steps'!$B76:$AY76,'recurring2_based on steps'!$B$1:$AY$1,AE$1)+SUMIFS('changes2_based on steps'!$B76:$U76,'changes2_based on steps'!$B$1:$U$1,AE$1)</f>
        <v>0</v>
      </c>
      <c r="AF76" s="179"/>
      <c r="AG76" s="179"/>
      <c r="AH76" s="179"/>
      <c r="AI76" s="179"/>
      <c r="AJ76" s="179"/>
      <c r="AK76" s="179"/>
      <c r="AL76" s="179"/>
      <c r="AM76" s="179"/>
    </row>
    <row r="77" spans="1:39" x14ac:dyDescent="0.2">
      <c r="A77" s="32">
        <f t="shared" ca="1" si="1"/>
        <v>45826</v>
      </c>
      <c r="B77" s="179">
        <f>SUMIFS('recurring2_based on steps'!$B77:$AY77,'recurring2_based on steps'!$B$1:$AY$1,B$1)+SUMIFS('changes2_based on steps'!$B77:$U77,'changes2_based on steps'!$B$1:$U$1,B$1)</f>
        <v>0</v>
      </c>
      <c r="C77" s="179">
        <f>SUMIFS('recurring2_based on steps'!$B77:$AY77,'recurring2_based on steps'!$B$1:$AY$1,C$1)+SUMIFS('changes2_based on steps'!$B77:$U77,'changes2_based on steps'!$B$1:$U$1,C$1)</f>
        <v>0</v>
      </c>
      <c r="D77" s="179">
        <f>SUMIFS('recurring2_based on steps'!$B77:$AY77,'recurring2_based on steps'!$B$1:$AY$1,D$1)+SUMIFS('changes2_based on steps'!$B77:$U77,'changes2_based on steps'!$B$1:$U$1,D$1)</f>
        <v>0</v>
      </c>
      <c r="E77" s="179">
        <f>SUMIFS('recurring2_based on steps'!$B77:$AY77,'recurring2_based on steps'!$B$1:$AY$1,E$1)+SUMIFS('changes2_based on steps'!$B77:$U77,'changes2_based on steps'!$B$1:$U$1,E$1)</f>
        <v>0</v>
      </c>
      <c r="F77" s="179">
        <f>SUMIFS('recurring2_based on steps'!$B77:$AY77,'recurring2_based on steps'!$B$1:$AY$1,F$1)+SUMIFS('changes2_based on steps'!$B77:$U77,'changes2_based on steps'!$B$1:$U$1,F$1)</f>
        <v>0</v>
      </c>
      <c r="G77" s="179">
        <f>SUMIFS('recurring2_based on steps'!$B77:$AY77,'recurring2_based on steps'!$B$1:$AY$1,G$1)+SUMIFS('changes2_based on steps'!$B77:$U77,'changes2_based on steps'!$B$1:$U$1,G$1)</f>
        <v>0</v>
      </c>
      <c r="H77" s="179">
        <f>SUMIFS('recurring2_based on steps'!$B77:$AY77,'recurring2_based on steps'!$B$1:$AY$1,H$1)+SUMIFS('changes2_based on steps'!$B77:$U77,'changes2_based on steps'!$B$1:$U$1,H$1)</f>
        <v>0</v>
      </c>
      <c r="I77" s="179">
        <f>SUMIFS('recurring2_based on steps'!$B77:$AY77,'recurring2_based on steps'!$B$1:$AY$1,I$1)+SUMIFS('changes2_based on steps'!$B77:$U77,'changes2_based on steps'!$B$1:$U$1,I$1)</f>
        <v>0</v>
      </c>
      <c r="J77" s="179">
        <f>SUMIFS('recurring2_based on steps'!$B77:$AY77,'recurring2_based on steps'!$B$1:$AY$1,J$1)+SUMIFS('changes2_based on steps'!$B77:$U77,'changes2_based on steps'!$B$1:$U$1,J$1)</f>
        <v>0</v>
      </c>
      <c r="K77" s="179">
        <f>SUMIFS('recurring2_based on steps'!$B77:$AY77,'recurring2_based on steps'!$B$1:$AY$1,K$1)+SUMIFS('changes2_based on steps'!$B77:$U77,'changes2_based on steps'!$B$1:$U$1,K$1)</f>
        <v>0</v>
      </c>
      <c r="L77" s="179">
        <f>SUMIFS('recurring2_based on steps'!$B77:$AY77,'recurring2_based on steps'!$B$1:$AY$1,L$1)+SUMIFS('changes2_based on steps'!$B77:$U77,'changes2_based on steps'!$B$1:$U$1,L$1)</f>
        <v>0</v>
      </c>
      <c r="M77" s="179">
        <f>SUMIFS('recurring2_based on steps'!$B77:$AY77,'recurring2_based on steps'!$B$1:$AY$1,M$1)+SUMIFS('changes2_based on steps'!$B77:$U77,'changes2_based on steps'!$B$1:$U$1,M$1)</f>
        <v>0</v>
      </c>
      <c r="N77" s="179">
        <f>SUMIFS('recurring2_based on steps'!$B77:$AY77,'recurring2_based on steps'!$B$1:$AY$1,N$1)+SUMIFS('changes2_based on steps'!$B77:$U77,'changes2_based on steps'!$B$1:$U$1,N$1)</f>
        <v>0</v>
      </c>
      <c r="O77" s="179">
        <f>SUMIFS('recurring2_based on steps'!$B77:$AY77,'recurring2_based on steps'!$B$1:$AY$1,O$1)+SUMIFS('changes2_based on steps'!$B77:$U77,'changes2_based on steps'!$B$1:$U$1,O$1)</f>
        <v>0</v>
      </c>
      <c r="P77" s="179">
        <f>SUMIFS('recurring2_based on steps'!$B77:$AY77,'recurring2_based on steps'!$B$1:$AY$1,P$1)+SUMIFS('changes2_based on steps'!$B77:$U77,'changes2_based on steps'!$B$1:$U$1,P$1)</f>
        <v>0</v>
      </c>
      <c r="Q77" s="179">
        <f>SUMIFS('recurring2_based on steps'!$B77:$AY77,'recurring2_based on steps'!$B$1:$AY$1,Q$1)+SUMIFS('changes2_based on steps'!$B77:$U77,'changes2_based on steps'!$B$1:$U$1,Q$1)</f>
        <v>0</v>
      </c>
      <c r="R77" s="179">
        <f>SUMIFS('recurring2_based on steps'!$B77:$AY77,'recurring2_based on steps'!$B$1:$AY$1,R$1)+SUMIFS('changes2_based on steps'!$B77:$U77,'changes2_based on steps'!$B$1:$U$1,R$1)</f>
        <v>0</v>
      </c>
      <c r="S77" s="179">
        <f>SUMIFS('recurring2_based on steps'!$B77:$AY77,'recurring2_based on steps'!$B$1:$AY$1,S$1)+SUMIFS('changes2_based on steps'!$B77:$U77,'changes2_based on steps'!$B$1:$U$1,S$1)</f>
        <v>0</v>
      </c>
      <c r="T77" s="179">
        <f>SUMIFS('recurring2_based on steps'!$B77:$AY77,'recurring2_based on steps'!$B$1:$AY$1,T$1)+SUMIFS('changes2_based on steps'!$B77:$U77,'changes2_based on steps'!$B$1:$U$1,T$1)</f>
        <v>0</v>
      </c>
      <c r="U77" s="179">
        <f>SUMIFS('recurring2_based on steps'!$B77:$AY77,'recurring2_based on steps'!$B$1:$AY$1,U$1)+SUMIFS('changes2_based on steps'!$B77:$U77,'changes2_based on steps'!$B$1:$U$1,U$1)</f>
        <v>0</v>
      </c>
      <c r="V77" s="179">
        <f>SUMIFS('recurring2_based on steps'!$B77:$AY77,'recurring2_based on steps'!$B$1:$AY$1,V$1)+SUMIFS('changes2_based on steps'!$B77:$U77,'changes2_based on steps'!$B$1:$U$1,V$1)</f>
        <v>0</v>
      </c>
      <c r="W77" s="179">
        <f>SUMIFS('recurring2_based on steps'!$B77:$AY77,'recurring2_based on steps'!$B$1:$AY$1,W$1)+SUMIFS('changes2_based on steps'!$B77:$U77,'changes2_based on steps'!$B$1:$U$1,W$1)</f>
        <v>0</v>
      </c>
      <c r="X77" s="179">
        <f>SUMIFS('recurring2_based on steps'!$B77:$AY77,'recurring2_based on steps'!$B$1:$AY$1,X$1)+SUMIFS('changes2_based on steps'!$B77:$U77,'changes2_based on steps'!$B$1:$U$1,X$1)</f>
        <v>0</v>
      </c>
      <c r="Y77" s="179">
        <f>SUMIFS('recurring2_based on steps'!$B77:$AY77,'recurring2_based on steps'!$B$1:$AY$1,Y$1)+SUMIFS('changes2_based on steps'!$B77:$U77,'changes2_based on steps'!$B$1:$U$1,Y$1)</f>
        <v>0</v>
      </c>
      <c r="Z77" s="179">
        <f>SUMIFS('recurring2_based on steps'!$B77:$AY77,'recurring2_based on steps'!$B$1:$AY$1,Z$1)+SUMIFS('changes2_based on steps'!$B77:$U77,'changes2_based on steps'!$B$1:$U$1,Z$1)</f>
        <v>0</v>
      </c>
      <c r="AA77" s="179">
        <f>SUMIFS('recurring2_based on steps'!$B77:$AY77,'recurring2_based on steps'!$B$1:$AY$1,AA$1)+SUMIFS('changes2_based on steps'!$B77:$U77,'changes2_based on steps'!$B$1:$U$1,AA$1)</f>
        <v>0</v>
      </c>
      <c r="AB77" s="179">
        <f>SUMIFS('recurring2_based on steps'!$B77:$AY77,'recurring2_based on steps'!$B$1:$AY$1,AB$1)+SUMIFS('changes2_based on steps'!$B77:$U77,'changes2_based on steps'!$B$1:$U$1,AB$1)</f>
        <v>0</v>
      </c>
      <c r="AC77" s="179">
        <f>SUMIFS('recurring2_based on steps'!$B77:$AY77,'recurring2_based on steps'!$B$1:$AY$1,AC$1)+SUMIFS('changes2_based on steps'!$B77:$U77,'changes2_based on steps'!$B$1:$U$1,AC$1)</f>
        <v>0</v>
      </c>
      <c r="AD77" s="179">
        <f>SUMIFS('recurring2_based on steps'!$B77:$AY77,'recurring2_based on steps'!$B$1:$AY$1,AD$1)+SUMIFS('changes2_based on steps'!$B77:$U77,'changes2_based on steps'!$B$1:$U$1,AD$1)</f>
        <v>0</v>
      </c>
      <c r="AE77" s="179">
        <f>SUMIFS('recurring2_based on steps'!$B77:$AY77,'recurring2_based on steps'!$B$1:$AY$1,AE$1)+SUMIFS('changes2_based on steps'!$B77:$U77,'changes2_based on steps'!$B$1:$U$1,AE$1)</f>
        <v>0</v>
      </c>
      <c r="AF77" s="179"/>
      <c r="AG77" s="179"/>
      <c r="AH77" s="179"/>
      <c r="AI77" s="179"/>
      <c r="AJ77" s="179"/>
      <c r="AK77" s="179"/>
      <c r="AL77" s="179"/>
      <c r="AM77" s="179"/>
    </row>
    <row r="78" spans="1:39" x14ac:dyDescent="0.2">
      <c r="A78" s="32">
        <f t="shared" ca="1" si="1"/>
        <v>45827</v>
      </c>
      <c r="B78" s="179">
        <f>SUMIFS('recurring2_based on steps'!$B78:$AY78,'recurring2_based on steps'!$B$1:$AY$1,B$1)+SUMIFS('changes2_based on steps'!$B78:$U78,'changes2_based on steps'!$B$1:$U$1,B$1)</f>
        <v>0</v>
      </c>
      <c r="C78" s="179">
        <f>SUMIFS('recurring2_based on steps'!$B78:$AY78,'recurring2_based on steps'!$B$1:$AY$1,C$1)+SUMIFS('changes2_based on steps'!$B78:$U78,'changes2_based on steps'!$B$1:$U$1,C$1)</f>
        <v>0</v>
      </c>
      <c r="D78" s="179">
        <f>SUMIFS('recurring2_based on steps'!$B78:$AY78,'recurring2_based on steps'!$B$1:$AY$1,D$1)+SUMIFS('changes2_based on steps'!$B78:$U78,'changes2_based on steps'!$B$1:$U$1,D$1)</f>
        <v>0</v>
      </c>
      <c r="E78" s="179">
        <f>SUMIFS('recurring2_based on steps'!$B78:$AY78,'recurring2_based on steps'!$B$1:$AY$1,E$1)+SUMIFS('changes2_based on steps'!$B78:$U78,'changes2_based on steps'!$B$1:$U$1,E$1)</f>
        <v>0</v>
      </c>
      <c r="F78" s="179">
        <f>SUMIFS('recurring2_based on steps'!$B78:$AY78,'recurring2_based on steps'!$B$1:$AY$1,F$1)+SUMIFS('changes2_based on steps'!$B78:$U78,'changes2_based on steps'!$B$1:$U$1,F$1)</f>
        <v>0</v>
      </c>
      <c r="G78" s="179">
        <f>SUMIFS('recurring2_based on steps'!$B78:$AY78,'recurring2_based on steps'!$B$1:$AY$1,G$1)+SUMIFS('changes2_based on steps'!$B78:$U78,'changes2_based on steps'!$B$1:$U$1,G$1)</f>
        <v>0</v>
      </c>
      <c r="H78" s="179">
        <f>SUMIFS('recurring2_based on steps'!$B78:$AY78,'recurring2_based on steps'!$B$1:$AY$1,H$1)+SUMIFS('changes2_based on steps'!$B78:$U78,'changes2_based on steps'!$B$1:$U$1,H$1)</f>
        <v>0</v>
      </c>
      <c r="I78" s="179">
        <f>SUMIFS('recurring2_based on steps'!$B78:$AY78,'recurring2_based on steps'!$B$1:$AY$1,I$1)+SUMIFS('changes2_based on steps'!$B78:$U78,'changes2_based on steps'!$B$1:$U$1,I$1)</f>
        <v>0</v>
      </c>
      <c r="J78" s="179">
        <f>SUMIFS('recurring2_based on steps'!$B78:$AY78,'recurring2_based on steps'!$B$1:$AY$1,J$1)+SUMIFS('changes2_based on steps'!$B78:$U78,'changes2_based on steps'!$B$1:$U$1,J$1)</f>
        <v>0</v>
      </c>
      <c r="K78" s="179">
        <f>SUMIFS('recurring2_based on steps'!$B78:$AY78,'recurring2_based on steps'!$B$1:$AY$1,K$1)+SUMIFS('changes2_based on steps'!$B78:$U78,'changes2_based on steps'!$B$1:$U$1,K$1)</f>
        <v>0</v>
      </c>
      <c r="L78" s="179">
        <f>SUMIFS('recurring2_based on steps'!$B78:$AY78,'recurring2_based on steps'!$B$1:$AY$1,L$1)+SUMIFS('changes2_based on steps'!$B78:$U78,'changes2_based on steps'!$B$1:$U$1,L$1)</f>
        <v>0</v>
      </c>
      <c r="M78" s="179">
        <f>SUMIFS('recurring2_based on steps'!$B78:$AY78,'recurring2_based on steps'!$B$1:$AY$1,M$1)+SUMIFS('changes2_based on steps'!$B78:$U78,'changes2_based on steps'!$B$1:$U$1,M$1)</f>
        <v>0</v>
      </c>
      <c r="N78" s="179">
        <f>SUMIFS('recurring2_based on steps'!$B78:$AY78,'recurring2_based on steps'!$B$1:$AY$1,N$1)+SUMIFS('changes2_based on steps'!$B78:$U78,'changes2_based on steps'!$B$1:$U$1,N$1)</f>
        <v>0</v>
      </c>
      <c r="O78" s="179">
        <f>SUMIFS('recurring2_based on steps'!$B78:$AY78,'recurring2_based on steps'!$B$1:$AY$1,O$1)+SUMIFS('changes2_based on steps'!$B78:$U78,'changes2_based on steps'!$B$1:$U$1,O$1)</f>
        <v>0</v>
      </c>
      <c r="P78" s="179">
        <f>SUMIFS('recurring2_based on steps'!$B78:$AY78,'recurring2_based on steps'!$B$1:$AY$1,P$1)+SUMIFS('changes2_based on steps'!$B78:$U78,'changes2_based on steps'!$B$1:$U$1,P$1)</f>
        <v>0</v>
      </c>
      <c r="Q78" s="179">
        <f>SUMIFS('recurring2_based on steps'!$B78:$AY78,'recurring2_based on steps'!$B$1:$AY$1,Q$1)+SUMIFS('changes2_based on steps'!$B78:$U78,'changes2_based on steps'!$B$1:$U$1,Q$1)</f>
        <v>0</v>
      </c>
      <c r="R78" s="179">
        <f>SUMIFS('recurring2_based on steps'!$B78:$AY78,'recurring2_based on steps'!$B$1:$AY$1,R$1)+SUMIFS('changes2_based on steps'!$B78:$U78,'changes2_based on steps'!$B$1:$U$1,R$1)</f>
        <v>0</v>
      </c>
      <c r="S78" s="179">
        <f>SUMIFS('recurring2_based on steps'!$B78:$AY78,'recurring2_based on steps'!$B$1:$AY$1,S$1)+SUMIFS('changes2_based on steps'!$B78:$U78,'changes2_based on steps'!$B$1:$U$1,S$1)</f>
        <v>0</v>
      </c>
      <c r="T78" s="179">
        <f>SUMIFS('recurring2_based on steps'!$B78:$AY78,'recurring2_based on steps'!$B$1:$AY$1,T$1)+SUMIFS('changes2_based on steps'!$B78:$U78,'changes2_based on steps'!$B$1:$U$1,T$1)</f>
        <v>0</v>
      </c>
      <c r="U78" s="179">
        <f>SUMIFS('recurring2_based on steps'!$B78:$AY78,'recurring2_based on steps'!$B$1:$AY$1,U$1)+SUMIFS('changes2_based on steps'!$B78:$U78,'changes2_based on steps'!$B$1:$U$1,U$1)</f>
        <v>0</v>
      </c>
      <c r="V78" s="179">
        <f>SUMIFS('recurring2_based on steps'!$B78:$AY78,'recurring2_based on steps'!$B$1:$AY$1,V$1)+SUMIFS('changes2_based on steps'!$B78:$U78,'changes2_based on steps'!$B$1:$U$1,V$1)</f>
        <v>0</v>
      </c>
      <c r="W78" s="179">
        <f>SUMIFS('recurring2_based on steps'!$B78:$AY78,'recurring2_based on steps'!$B$1:$AY$1,W$1)+SUMIFS('changes2_based on steps'!$B78:$U78,'changes2_based on steps'!$B$1:$U$1,W$1)</f>
        <v>0</v>
      </c>
      <c r="X78" s="179">
        <f>SUMIFS('recurring2_based on steps'!$B78:$AY78,'recurring2_based on steps'!$B$1:$AY$1,X$1)+SUMIFS('changes2_based on steps'!$B78:$U78,'changes2_based on steps'!$B$1:$U$1,X$1)</f>
        <v>0</v>
      </c>
      <c r="Y78" s="179">
        <f>SUMIFS('recurring2_based on steps'!$B78:$AY78,'recurring2_based on steps'!$B$1:$AY$1,Y$1)+SUMIFS('changes2_based on steps'!$B78:$U78,'changes2_based on steps'!$B$1:$U$1,Y$1)</f>
        <v>0</v>
      </c>
      <c r="Z78" s="179">
        <f>SUMIFS('recurring2_based on steps'!$B78:$AY78,'recurring2_based on steps'!$B$1:$AY$1,Z$1)+SUMIFS('changes2_based on steps'!$B78:$U78,'changes2_based on steps'!$B$1:$U$1,Z$1)</f>
        <v>0</v>
      </c>
      <c r="AA78" s="179">
        <f>SUMIFS('recurring2_based on steps'!$B78:$AY78,'recurring2_based on steps'!$B$1:$AY$1,AA$1)+SUMIFS('changes2_based on steps'!$B78:$U78,'changes2_based on steps'!$B$1:$U$1,AA$1)</f>
        <v>0</v>
      </c>
      <c r="AB78" s="179">
        <f>SUMIFS('recurring2_based on steps'!$B78:$AY78,'recurring2_based on steps'!$B$1:$AY$1,AB$1)+SUMIFS('changes2_based on steps'!$B78:$U78,'changes2_based on steps'!$B$1:$U$1,AB$1)</f>
        <v>0</v>
      </c>
      <c r="AC78" s="179">
        <f>SUMIFS('recurring2_based on steps'!$B78:$AY78,'recurring2_based on steps'!$B$1:$AY$1,AC$1)+SUMIFS('changes2_based on steps'!$B78:$U78,'changes2_based on steps'!$B$1:$U$1,AC$1)</f>
        <v>0</v>
      </c>
      <c r="AD78" s="179">
        <f>SUMIFS('recurring2_based on steps'!$B78:$AY78,'recurring2_based on steps'!$B$1:$AY$1,AD$1)+SUMIFS('changes2_based on steps'!$B78:$U78,'changes2_based on steps'!$B$1:$U$1,AD$1)</f>
        <v>0</v>
      </c>
      <c r="AE78" s="179">
        <f>SUMIFS('recurring2_based on steps'!$B78:$AY78,'recurring2_based on steps'!$B$1:$AY$1,AE$1)+SUMIFS('changes2_based on steps'!$B78:$U78,'changes2_based on steps'!$B$1:$U$1,AE$1)</f>
        <v>0</v>
      </c>
      <c r="AF78" s="179"/>
      <c r="AG78" s="179"/>
      <c r="AH78" s="179"/>
      <c r="AI78" s="179"/>
      <c r="AJ78" s="179"/>
      <c r="AK78" s="179"/>
      <c r="AL78" s="179"/>
      <c r="AM78" s="179"/>
    </row>
    <row r="79" spans="1:39" x14ac:dyDescent="0.2">
      <c r="A79" s="32">
        <f t="shared" ca="1" si="1"/>
        <v>45828</v>
      </c>
      <c r="B79" s="179">
        <f>SUMIFS('recurring2_based on steps'!$B79:$AY79,'recurring2_based on steps'!$B$1:$AY$1,B$1)+SUMIFS('changes2_based on steps'!$B79:$U79,'changes2_based on steps'!$B$1:$U$1,B$1)</f>
        <v>0</v>
      </c>
      <c r="C79" s="179">
        <f>SUMIFS('recurring2_based on steps'!$B79:$AY79,'recurring2_based on steps'!$B$1:$AY$1,C$1)+SUMIFS('changes2_based on steps'!$B79:$U79,'changes2_based on steps'!$B$1:$U$1,C$1)</f>
        <v>0</v>
      </c>
      <c r="D79" s="179">
        <f>SUMIFS('recurring2_based on steps'!$B79:$AY79,'recurring2_based on steps'!$B$1:$AY$1,D$1)+SUMIFS('changes2_based on steps'!$B79:$U79,'changes2_based on steps'!$B$1:$U$1,D$1)</f>
        <v>0</v>
      </c>
      <c r="E79" s="179">
        <f>SUMIFS('recurring2_based on steps'!$B79:$AY79,'recurring2_based on steps'!$B$1:$AY$1,E$1)+SUMIFS('changes2_based on steps'!$B79:$U79,'changes2_based on steps'!$B$1:$U$1,E$1)</f>
        <v>0</v>
      </c>
      <c r="F79" s="179">
        <f>SUMIFS('recurring2_based on steps'!$B79:$AY79,'recurring2_based on steps'!$B$1:$AY$1,F$1)+SUMIFS('changes2_based on steps'!$B79:$U79,'changes2_based on steps'!$B$1:$U$1,F$1)</f>
        <v>0</v>
      </c>
      <c r="G79" s="179">
        <f>SUMIFS('recurring2_based on steps'!$B79:$AY79,'recurring2_based on steps'!$B$1:$AY$1,G$1)+SUMIFS('changes2_based on steps'!$B79:$U79,'changes2_based on steps'!$B$1:$U$1,G$1)</f>
        <v>0</v>
      </c>
      <c r="H79" s="179">
        <f>SUMIFS('recurring2_based on steps'!$B79:$AY79,'recurring2_based on steps'!$B$1:$AY$1,H$1)+SUMIFS('changes2_based on steps'!$B79:$U79,'changes2_based on steps'!$B$1:$U$1,H$1)</f>
        <v>0</v>
      </c>
      <c r="I79" s="179">
        <f>SUMIFS('recurring2_based on steps'!$B79:$AY79,'recurring2_based on steps'!$B$1:$AY$1,I$1)+SUMIFS('changes2_based on steps'!$B79:$U79,'changes2_based on steps'!$B$1:$U$1,I$1)</f>
        <v>0</v>
      </c>
      <c r="J79" s="179">
        <f>SUMIFS('recurring2_based on steps'!$B79:$AY79,'recurring2_based on steps'!$B$1:$AY$1,J$1)+SUMIFS('changes2_based on steps'!$B79:$U79,'changes2_based on steps'!$B$1:$U$1,J$1)</f>
        <v>0</v>
      </c>
      <c r="K79" s="179">
        <f>SUMIFS('recurring2_based on steps'!$B79:$AY79,'recurring2_based on steps'!$B$1:$AY$1,K$1)+SUMIFS('changes2_based on steps'!$B79:$U79,'changes2_based on steps'!$B$1:$U$1,K$1)</f>
        <v>0</v>
      </c>
      <c r="L79" s="179">
        <f>SUMIFS('recurring2_based on steps'!$B79:$AY79,'recurring2_based on steps'!$B$1:$AY$1,L$1)+SUMIFS('changes2_based on steps'!$B79:$U79,'changes2_based on steps'!$B$1:$U$1,L$1)</f>
        <v>0</v>
      </c>
      <c r="M79" s="179">
        <f>SUMIFS('recurring2_based on steps'!$B79:$AY79,'recurring2_based on steps'!$B$1:$AY$1,M$1)+SUMIFS('changes2_based on steps'!$B79:$U79,'changes2_based on steps'!$B$1:$U$1,M$1)</f>
        <v>0</v>
      </c>
      <c r="N79" s="179">
        <f>SUMIFS('recurring2_based on steps'!$B79:$AY79,'recurring2_based on steps'!$B$1:$AY$1,N$1)+SUMIFS('changes2_based on steps'!$B79:$U79,'changes2_based on steps'!$B$1:$U$1,N$1)</f>
        <v>0</v>
      </c>
      <c r="O79" s="179">
        <f>SUMIFS('recurring2_based on steps'!$B79:$AY79,'recurring2_based on steps'!$B$1:$AY$1,O$1)+SUMIFS('changes2_based on steps'!$B79:$U79,'changes2_based on steps'!$B$1:$U$1,O$1)</f>
        <v>0</v>
      </c>
      <c r="P79" s="179">
        <f>SUMIFS('recurring2_based on steps'!$B79:$AY79,'recurring2_based on steps'!$B$1:$AY$1,P$1)+SUMIFS('changes2_based on steps'!$B79:$U79,'changes2_based on steps'!$B$1:$U$1,P$1)</f>
        <v>0</v>
      </c>
      <c r="Q79" s="179">
        <f>SUMIFS('recurring2_based on steps'!$B79:$AY79,'recurring2_based on steps'!$B$1:$AY$1,Q$1)+SUMIFS('changes2_based on steps'!$B79:$U79,'changes2_based on steps'!$B$1:$U$1,Q$1)</f>
        <v>0</v>
      </c>
      <c r="R79" s="179">
        <f>SUMIFS('recurring2_based on steps'!$B79:$AY79,'recurring2_based on steps'!$B$1:$AY$1,R$1)+SUMIFS('changes2_based on steps'!$B79:$U79,'changes2_based on steps'!$B$1:$U$1,R$1)</f>
        <v>0</v>
      </c>
      <c r="S79" s="179">
        <f>SUMIFS('recurring2_based on steps'!$B79:$AY79,'recurring2_based on steps'!$B$1:$AY$1,S$1)+SUMIFS('changes2_based on steps'!$B79:$U79,'changes2_based on steps'!$B$1:$U$1,S$1)</f>
        <v>0</v>
      </c>
      <c r="T79" s="179">
        <f>SUMIFS('recurring2_based on steps'!$B79:$AY79,'recurring2_based on steps'!$B$1:$AY$1,T$1)+SUMIFS('changes2_based on steps'!$B79:$U79,'changes2_based on steps'!$B$1:$U$1,T$1)</f>
        <v>0</v>
      </c>
      <c r="U79" s="179">
        <f>SUMIFS('recurring2_based on steps'!$B79:$AY79,'recurring2_based on steps'!$B$1:$AY$1,U$1)+SUMIFS('changes2_based on steps'!$B79:$U79,'changes2_based on steps'!$B$1:$U$1,U$1)</f>
        <v>0</v>
      </c>
      <c r="V79" s="179">
        <f>SUMIFS('recurring2_based on steps'!$B79:$AY79,'recurring2_based on steps'!$B$1:$AY$1,V$1)+SUMIFS('changes2_based on steps'!$B79:$U79,'changes2_based on steps'!$B$1:$U$1,V$1)</f>
        <v>0</v>
      </c>
      <c r="W79" s="179">
        <f>SUMIFS('recurring2_based on steps'!$B79:$AY79,'recurring2_based on steps'!$B$1:$AY$1,W$1)+SUMIFS('changes2_based on steps'!$B79:$U79,'changes2_based on steps'!$B$1:$U$1,W$1)</f>
        <v>0</v>
      </c>
      <c r="X79" s="179">
        <f>SUMIFS('recurring2_based on steps'!$B79:$AY79,'recurring2_based on steps'!$B$1:$AY$1,X$1)+SUMIFS('changes2_based on steps'!$B79:$U79,'changes2_based on steps'!$B$1:$U$1,X$1)</f>
        <v>0</v>
      </c>
      <c r="Y79" s="179">
        <f>SUMIFS('recurring2_based on steps'!$B79:$AY79,'recurring2_based on steps'!$B$1:$AY$1,Y$1)+SUMIFS('changes2_based on steps'!$B79:$U79,'changes2_based on steps'!$B$1:$U$1,Y$1)</f>
        <v>0</v>
      </c>
      <c r="Z79" s="179">
        <f>SUMIFS('recurring2_based on steps'!$B79:$AY79,'recurring2_based on steps'!$B$1:$AY$1,Z$1)+SUMIFS('changes2_based on steps'!$B79:$U79,'changes2_based on steps'!$B$1:$U$1,Z$1)</f>
        <v>0</v>
      </c>
      <c r="AA79" s="179">
        <f>SUMIFS('recurring2_based on steps'!$B79:$AY79,'recurring2_based on steps'!$B$1:$AY$1,AA$1)+SUMIFS('changes2_based on steps'!$B79:$U79,'changes2_based on steps'!$B$1:$U$1,AA$1)</f>
        <v>0</v>
      </c>
      <c r="AB79" s="179">
        <f>SUMIFS('recurring2_based on steps'!$B79:$AY79,'recurring2_based on steps'!$B$1:$AY$1,AB$1)+SUMIFS('changes2_based on steps'!$B79:$U79,'changes2_based on steps'!$B$1:$U$1,AB$1)</f>
        <v>0</v>
      </c>
      <c r="AC79" s="179">
        <f>SUMIFS('recurring2_based on steps'!$B79:$AY79,'recurring2_based on steps'!$B$1:$AY$1,AC$1)+SUMIFS('changes2_based on steps'!$B79:$U79,'changes2_based on steps'!$B$1:$U$1,AC$1)</f>
        <v>0</v>
      </c>
      <c r="AD79" s="179">
        <f>SUMIFS('recurring2_based on steps'!$B79:$AY79,'recurring2_based on steps'!$B$1:$AY$1,AD$1)+SUMIFS('changes2_based on steps'!$B79:$U79,'changes2_based on steps'!$B$1:$U$1,AD$1)</f>
        <v>0</v>
      </c>
      <c r="AE79" s="179">
        <f>SUMIFS('recurring2_based on steps'!$B79:$AY79,'recurring2_based on steps'!$B$1:$AY$1,AE$1)+SUMIFS('changes2_based on steps'!$B79:$U79,'changes2_based on steps'!$B$1:$U$1,AE$1)</f>
        <v>0</v>
      </c>
      <c r="AF79" s="179"/>
      <c r="AG79" s="179"/>
      <c r="AH79" s="179"/>
      <c r="AI79" s="179"/>
      <c r="AJ79" s="179"/>
      <c r="AK79" s="179"/>
      <c r="AL79" s="179"/>
      <c r="AM79" s="179"/>
    </row>
    <row r="80" spans="1:39" x14ac:dyDescent="0.2">
      <c r="A80" s="32">
        <f t="shared" ca="1" si="1"/>
        <v>45829</v>
      </c>
      <c r="B80" s="179">
        <f>SUMIFS('recurring2_based on steps'!$B80:$AY80,'recurring2_based on steps'!$B$1:$AY$1,B$1)+SUMIFS('changes2_based on steps'!$B80:$U80,'changes2_based on steps'!$B$1:$U$1,B$1)</f>
        <v>0</v>
      </c>
      <c r="C80" s="179">
        <f>SUMIFS('recurring2_based on steps'!$B80:$AY80,'recurring2_based on steps'!$B$1:$AY$1,C$1)+SUMIFS('changes2_based on steps'!$B80:$U80,'changes2_based on steps'!$B$1:$U$1,C$1)</f>
        <v>0</v>
      </c>
      <c r="D80" s="179">
        <f>SUMIFS('recurring2_based on steps'!$B80:$AY80,'recurring2_based on steps'!$B$1:$AY$1,D$1)+SUMIFS('changes2_based on steps'!$B80:$U80,'changes2_based on steps'!$B$1:$U$1,D$1)</f>
        <v>0</v>
      </c>
      <c r="E80" s="179">
        <f>SUMIFS('recurring2_based on steps'!$B80:$AY80,'recurring2_based on steps'!$B$1:$AY$1,E$1)+SUMIFS('changes2_based on steps'!$B80:$U80,'changes2_based on steps'!$B$1:$U$1,E$1)</f>
        <v>0</v>
      </c>
      <c r="F80" s="179">
        <f>SUMIFS('recurring2_based on steps'!$B80:$AY80,'recurring2_based on steps'!$B$1:$AY$1,F$1)+SUMIFS('changes2_based on steps'!$B80:$U80,'changes2_based on steps'!$B$1:$U$1,F$1)</f>
        <v>0</v>
      </c>
      <c r="G80" s="179">
        <f>SUMIFS('recurring2_based on steps'!$B80:$AY80,'recurring2_based on steps'!$B$1:$AY$1,G$1)+SUMIFS('changes2_based on steps'!$B80:$U80,'changes2_based on steps'!$B$1:$U$1,G$1)</f>
        <v>0</v>
      </c>
      <c r="H80" s="179">
        <f>SUMIFS('recurring2_based on steps'!$B80:$AY80,'recurring2_based on steps'!$B$1:$AY$1,H$1)+SUMIFS('changes2_based on steps'!$B80:$U80,'changes2_based on steps'!$B$1:$U$1,H$1)</f>
        <v>0</v>
      </c>
      <c r="I80" s="179">
        <f>SUMIFS('recurring2_based on steps'!$B80:$AY80,'recurring2_based on steps'!$B$1:$AY$1,I$1)+SUMIFS('changes2_based on steps'!$B80:$U80,'changes2_based on steps'!$B$1:$U$1,I$1)</f>
        <v>0</v>
      </c>
      <c r="J80" s="179">
        <f>SUMIFS('recurring2_based on steps'!$B80:$AY80,'recurring2_based on steps'!$B$1:$AY$1,J$1)+SUMIFS('changes2_based on steps'!$B80:$U80,'changes2_based on steps'!$B$1:$U$1,J$1)</f>
        <v>0</v>
      </c>
      <c r="K80" s="179">
        <f>SUMIFS('recurring2_based on steps'!$B80:$AY80,'recurring2_based on steps'!$B$1:$AY$1,K$1)+SUMIFS('changes2_based on steps'!$B80:$U80,'changes2_based on steps'!$B$1:$U$1,K$1)</f>
        <v>0</v>
      </c>
      <c r="L80" s="179">
        <f>SUMIFS('recurring2_based on steps'!$B80:$AY80,'recurring2_based on steps'!$B$1:$AY$1,L$1)+SUMIFS('changes2_based on steps'!$B80:$U80,'changes2_based on steps'!$B$1:$U$1,L$1)</f>
        <v>0</v>
      </c>
      <c r="M80" s="179">
        <f>SUMIFS('recurring2_based on steps'!$B80:$AY80,'recurring2_based on steps'!$B$1:$AY$1,M$1)+SUMIFS('changes2_based on steps'!$B80:$U80,'changes2_based on steps'!$B$1:$U$1,M$1)</f>
        <v>0</v>
      </c>
      <c r="N80" s="179">
        <f>SUMIFS('recurring2_based on steps'!$B80:$AY80,'recurring2_based on steps'!$B$1:$AY$1,N$1)+SUMIFS('changes2_based on steps'!$B80:$U80,'changes2_based on steps'!$B$1:$U$1,N$1)</f>
        <v>0</v>
      </c>
      <c r="O80" s="179">
        <f>SUMIFS('recurring2_based on steps'!$B80:$AY80,'recurring2_based on steps'!$B$1:$AY$1,O$1)+SUMIFS('changes2_based on steps'!$B80:$U80,'changes2_based on steps'!$B$1:$U$1,O$1)</f>
        <v>0</v>
      </c>
      <c r="P80" s="179">
        <f>SUMIFS('recurring2_based on steps'!$B80:$AY80,'recurring2_based on steps'!$B$1:$AY$1,P$1)+SUMIFS('changes2_based on steps'!$B80:$U80,'changes2_based on steps'!$B$1:$U$1,P$1)</f>
        <v>0</v>
      </c>
      <c r="Q80" s="179">
        <f>SUMIFS('recurring2_based on steps'!$B80:$AY80,'recurring2_based on steps'!$B$1:$AY$1,Q$1)+SUMIFS('changes2_based on steps'!$B80:$U80,'changes2_based on steps'!$B$1:$U$1,Q$1)</f>
        <v>0</v>
      </c>
      <c r="R80" s="179">
        <f>SUMIFS('recurring2_based on steps'!$B80:$AY80,'recurring2_based on steps'!$B$1:$AY$1,R$1)+SUMIFS('changes2_based on steps'!$B80:$U80,'changes2_based on steps'!$B$1:$U$1,R$1)</f>
        <v>0</v>
      </c>
      <c r="S80" s="179">
        <f>SUMIFS('recurring2_based on steps'!$B80:$AY80,'recurring2_based on steps'!$B$1:$AY$1,S$1)+SUMIFS('changes2_based on steps'!$B80:$U80,'changes2_based on steps'!$B$1:$U$1,S$1)</f>
        <v>0</v>
      </c>
      <c r="T80" s="179">
        <f>SUMIFS('recurring2_based on steps'!$B80:$AY80,'recurring2_based on steps'!$B$1:$AY$1,T$1)+SUMIFS('changes2_based on steps'!$B80:$U80,'changes2_based on steps'!$B$1:$U$1,T$1)</f>
        <v>0</v>
      </c>
      <c r="U80" s="179">
        <f>SUMIFS('recurring2_based on steps'!$B80:$AY80,'recurring2_based on steps'!$B$1:$AY$1,U$1)+SUMIFS('changes2_based on steps'!$B80:$U80,'changes2_based on steps'!$B$1:$U$1,U$1)</f>
        <v>0</v>
      </c>
      <c r="V80" s="179">
        <f>SUMIFS('recurring2_based on steps'!$B80:$AY80,'recurring2_based on steps'!$B$1:$AY$1,V$1)+SUMIFS('changes2_based on steps'!$B80:$U80,'changes2_based on steps'!$B$1:$U$1,V$1)</f>
        <v>0</v>
      </c>
      <c r="W80" s="179">
        <f>SUMIFS('recurring2_based on steps'!$B80:$AY80,'recurring2_based on steps'!$B$1:$AY$1,W$1)+SUMIFS('changes2_based on steps'!$B80:$U80,'changes2_based on steps'!$B$1:$U$1,W$1)</f>
        <v>0</v>
      </c>
      <c r="X80" s="179">
        <f>SUMIFS('recurring2_based on steps'!$B80:$AY80,'recurring2_based on steps'!$B$1:$AY$1,X$1)+SUMIFS('changes2_based on steps'!$B80:$U80,'changes2_based on steps'!$B$1:$U$1,X$1)</f>
        <v>0</v>
      </c>
      <c r="Y80" s="179">
        <f>SUMIFS('recurring2_based on steps'!$B80:$AY80,'recurring2_based on steps'!$B$1:$AY$1,Y$1)+SUMIFS('changes2_based on steps'!$B80:$U80,'changes2_based on steps'!$B$1:$U$1,Y$1)</f>
        <v>0</v>
      </c>
      <c r="Z80" s="179">
        <f>SUMIFS('recurring2_based on steps'!$B80:$AY80,'recurring2_based on steps'!$B$1:$AY$1,Z$1)+SUMIFS('changes2_based on steps'!$B80:$U80,'changes2_based on steps'!$B$1:$U$1,Z$1)</f>
        <v>0</v>
      </c>
      <c r="AA80" s="179">
        <f>SUMIFS('recurring2_based on steps'!$B80:$AY80,'recurring2_based on steps'!$B$1:$AY$1,AA$1)+SUMIFS('changes2_based on steps'!$B80:$U80,'changes2_based on steps'!$B$1:$U$1,AA$1)</f>
        <v>0</v>
      </c>
      <c r="AB80" s="179">
        <f>SUMIFS('recurring2_based on steps'!$B80:$AY80,'recurring2_based on steps'!$B$1:$AY$1,AB$1)+SUMIFS('changes2_based on steps'!$B80:$U80,'changes2_based on steps'!$B$1:$U$1,AB$1)</f>
        <v>0</v>
      </c>
      <c r="AC80" s="179">
        <f>SUMIFS('recurring2_based on steps'!$B80:$AY80,'recurring2_based on steps'!$B$1:$AY$1,AC$1)+SUMIFS('changes2_based on steps'!$B80:$U80,'changes2_based on steps'!$B$1:$U$1,AC$1)</f>
        <v>0</v>
      </c>
      <c r="AD80" s="179">
        <f>SUMIFS('recurring2_based on steps'!$B80:$AY80,'recurring2_based on steps'!$B$1:$AY$1,AD$1)+SUMIFS('changes2_based on steps'!$B80:$U80,'changes2_based on steps'!$B$1:$U$1,AD$1)</f>
        <v>0</v>
      </c>
      <c r="AE80" s="179">
        <f>SUMIFS('recurring2_based on steps'!$B80:$AY80,'recurring2_based on steps'!$B$1:$AY$1,AE$1)+SUMIFS('changes2_based on steps'!$B80:$U80,'changes2_based on steps'!$B$1:$U$1,AE$1)</f>
        <v>0</v>
      </c>
      <c r="AF80" s="179"/>
      <c r="AG80" s="179"/>
      <c r="AH80" s="179"/>
      <c r="AI80" s="179"/>
      <c r="AJ80" s="179"/>
      <c r="AK80" s="179"/>
      <c r="AL80" s="179"/>
      <c r="AM80" s="179"/>
    </row>
    <row r="81" spans="1:39" x14ac:dyDescent="0.2">
      <c r="A81" s="32">
        <f t="shared" ca="1" si="1"/>
        <v>45830</v>
      </c>
      <c r="B81" s="179">
        <f>SUMIFS('recurring2_based on steps'!$B81:$AY81,'recurring2_based on steps'!$B$1:$AY$1,B$1)+SUMIFS('changes2_based on steps'!$B81:$U81,'changes2_based on steps'!$B$1:$U$1,B$1)</f>
        <v>0</v>
      </c>
      <c r="C81" s="179">
        <f>SUMIFS('recurring2_based on steps'!$B81:$AY81,'recurring2_based on steps'!$B$1:$AY$1,C$1)+SUMIFS('changes2_based on steps'!$B81:$U81,'changes2_based on steps'!$B$1:$U$1,C$1)</f>
        <v>0</v>
      </c>
      <c r="D81" s="179">
        <f>SUMIFS('recurring2_based on steps'!$B81:$AY81,'recurring2_based on steps'!$B$1:$AY$1,D$1)+SUMIFS('changes2_based on steps'!$B81:$U81,'changes2_based on steps'!$B$1:$U$1,D$1)</f>
        <v>0</v>
      </c>
      <c r="E81" s="179">
        <f>SUMIFS('recurring2_based on steps'!$B81:$AY81,'recurring2_based on steps'!$B$1:$AY$1,E$1)+SUMIFS('changes2_based on steps'!$B81:$U81,'changes2_based on steps'!$B$1:$U$1,E$1)</f>
        <v>0</v>
      </c>
      <c r="F81" s="179">
        <f>SUMIFS('recurring2_based on steps'!$B81:$AY81,'recurring2_based on steps'!$B$1:$AY$1,F$1)+SUMIFS('changes2_based on steps'!$B81:$U81,'changes2_based on steps'!$B$1:$U$1,F$1)</f>
        <v>0</v>
      </c>
      <c r="G81" s="179">
        <f>SUMIFS('recurring2_based on steps'!$B81:$AY81,'recurring2_based on steps'!$B$1:$AY$1,G$1)+SUMIFS('changes2_based on steps'!$B81:$U81,'changes2_based on steps'!$B$1:$U$1,G$1)</f>
        <v>0</v>
      </c>
      <c r="H81" s="179">
        <f>SUMIFS('recurring2_based on steps'!$B81:$AY81,'recurring2_based on steps'!$B$1:$AY$1,H$1)+SUMIFS('changes2_based on steps'!$B81:$U81,'changes2_based on steps'!$B$1:$U$1,H$1)</f>
        <v>0</v>
      </c>
      <c r="I81" s="179">
        <f>SUMIFS('recurring2_based on steps'!$B81:$AY81,'recurring2_based on steps'!$B$1:$AY$1,I$1)+SUMIFS('changes2_based on steps'!$B81:$U81,'changes2_based on steps'!$B$1:$U$1,I$1)</f>
        <v>0</v>
      </c>
      <c r="J81" s="179">
        <f>SUMIFS('recurring2_based on steps'!$B81:$AY81,'recurring2_based on steps'!$B$1:$AY$1,J$1)+SUMIFS('changes2_based on steps'!$B81:$U81,'changes2_based on steps'!$B$1:$U$1,J$1)</f>
        <v>0</v>
      </c>
      <c r="K81" s="179">
        <f>SUMIFS('recurring2_based on steps'!$B81:$AY81,'recurring2_based on steps'!$B$1:$AY$1,K$1)+SUMIFS('changes2_based on steps'!$B81:$U81,'changes2_based on steps'!$B$1:$U$1,K$1)</f>
        <v>0</v>
      </c>
      <c r="L81" s="179">
        <f>SUMIFS('recurring2_based on steps'!$B81:$AY81,'recurring2_based on steps'!$B$1:$AY$1,L$1)+SUMIFS('changes2_based on steps'!$B81:$U81,'changes2_based on steps'!$B$1:$U$1,L$1)</f>
        <v>0</v>
      </c>
      <c r="M81" s="179">
        <f>SUMIFS('recurring2_based on steps'!$B81:$AY81,'recurring2_based on steps'!$B$1:$AY$1,M$1)+SUMIFS('changes2_based on steps'!$B81:$U81,'changes2_based on steps'!$B$1:$U$1,M$1)</f>
        <v>0</v>
      </c>
      <c r="N81" s="179">
        <f>SUMIFS('recurring2_based on steps'!$B81:$AY81,'recurring2_based on steps'!$B$1:$AY$1,N$1)+SUMIFS('changes2_based on steps'!$B81:$U81,'changes2_based on steps'!$B$1:$U$1,N$1)</f>
        <v>0</v>
      </c>
      <c r="O81" s="179">
        <f>SUMIFS('recurring2_based on steps'!$B81:$AY81,'recurring2_based on steps'!$B$1:$AY$1,O$1)+SUMIFS('changes2_based on steps'!$B81:$U81,'changes2_based on steps'!$B$1:$U$1,O$1)</f>
        <v>0</v>
      </c>
      <c r="P81" s="179">
        <f>SUMIFS('recurring2_based on steps'!$B81:$AY81,'recurring2_based on steps'!$B$1:$AY$1,P$1)+SUMIFS('changes2_based on steps'!$B81:$U81,'changes2_based on steps'!$B$1:$U$1,P$1)</f>
        <v>0</v>
      </c>
      <c r="Q81" s="179">
        <f>SUMIFS('recurring2_based on steps'!$B81:$AY81,'recurring2_based on steps'!$B$1:$AY$1,Q$1)+SUMIFS('changes2_based on steps'!$B81:$U81,'changes2_based on steps'!$B$1:$U$1,Q$1)</f>
        <v>0</v>
      </c>
      <c r="R81" s="179">
        <f>SUMIFS('recurring2_based on steps'!$B81:$AY81,'recurring2_based on steps'!$B$1:$AY$1,R$1)+SUMIFS('changes2_based on steps'!$B81:$U81,'changes2_based on steps'!$B$1:$U$1,R$1)</f>
        <v>0</v>
      </c>
      <c r="S81" s="179">
        <f>SUMIFS('recurring2_based on steps'!$B81:$AY81,'recurring2_based on steps'!$B$1:$AY$1,S$1)+SUMIFS('changes2_based on steps'!$B81:$U81,'changes2_based on steps'!$B$1:$U$1,S$1)</f>
        <v>0</v>
      </c>
      <c r="T81" s="179">
        <f>SUMIFS('recurring2_based on steps'!$B81:$AY81,'recurring2_based on steps'!$B$1:$AY$1,T$1)+SUMIFS('changes2_based on steps'!$B81:$U81,'changes2_based on steps'!$B$1:$U$1,T$1)</f>
        <v>0</v>
      </c>
      <c r="U81" s="179">
        <f>SUMIFS('recurring2_based on steps'!$B81:$AY81,'recurring2_based on steps'!$B$1:$AY$1,U$1)+SUMIFS('changes2_based on steps'!$B81:$U81,'changes2_based on steps'!$B$1:$U$1,U$1)</f>
        <v>0</v>
      </c>
      <c r="V81" s="179">
        <f>SUMIFS('recurring2_based on steps'!$B81:$AY81,'recurring2_based on steps'!$B$1:$AY$1,V$1)+SUMIFS('changes2_based on steps'!$B81:$U81,'changes2_based on steps'!$B$1:$U$1,V$1)</f>
        <v>0</v>
      </c>
      <c r="W81" s="179">
        <f>SUMIFS('recurring2_based on steps'!$B81:$AY81,'recurring2_based on steps'!$B$1:$AY$1,W$1)+SUMIFS('changes2_based on steps'!$B81:$U81,'changes2_based on steps'!$B$1:$U$1,W$1)</f>
        <v>0</v>
      </c>
      <c r="X81" s="179">
        <f>SUMIFS('recurring2_based on steps'!$B81:$AY81,'recurring2_based on steps'!$B$1:$AY$1,X$1)+SUMIFS('changes2_based on steps'!$B81:$U81,'changes2_based on steps'!$B$1:$U$1,X$1)</f>
        <v>0</v>
      </c>
      <c r="Y81" s="179">
        <f>SUMIFS('recurring2_based on steps'!$B81:$AY81,'recurring2_based on steps'!$B$1:$AY$1,Y$1)+SUMIFS('changes2_based on steps'!$B81:$U81,'changes2_based on steps'!$B$1:$U$1,Y$1)</f>
        <v>0</v>
      </c>
      <c r="Z81" s="179">
        <f>SUMIFS('recurring2_based on steps'!$B81:$AY81,'recurring2_based on steps'!$B$1:$AY$1,Z$1)+SUMIFS('changes2_based on steps'!$B81:$U81,'changes2_based on steps'!$B$1:$U$1,Z$1)</f>
        <v>0</v>
      </c>
      <c r="AA81" s="179">
        <f>SUMIFS('recurring2_based on steps'!$B81:$AY81,'recurring2_based on steps'!$B$1:$AY$1,AA$1)+SUMIFS('changes2_based on steps'!$B81:$U81,'changes2_based on steps'!$B$1:$U$1,AA$1)</f>
        <v>0</v>
      </c>
      <c r="AB81" s="179">
        <f>SUMIFS('recurring2_based on steps'!$B81:$AY81,'recurring2_based on steps'!$B$1:$AY$1,AB$1)+SUMIFS('changes2_based on steps'!$B81:$U81,'changes2_based on steps'!$B$1:$U$1,AB$1)</f>
        <v>0</v>
      </c>
      <c r="AC81" s="179">
        <f>SUMIFS('recurring2_based on steps'!$B81:$AY81,'recurring2_based on steps'!$B$1:$AY$1,AC$1)+SUMIFS('changes2_based on steps'!$B81:$U81,'changes2_based on steps'!$B$1:$U$1,AC$1)</f>
        <v>0</v>
      </c>
      <c r="AD81" s="179">
        <f>SUMIFS('recurring2_based on steps'!$B81:$AY81,'recurring2_based on steps'!$B$1:$AY$1,AD$1)+SUMIFS('changes2_based on steps'!$B81:$U81,'changes2_based on steps'!$B$1:$U$1,AD$1)</f>
        <v>0</v>
      </c>
      <c r="AE81" s="179">
        <f>SUMIFS('recurring2_based on steps'!$B81:$AY81,'recurring2_based on steps'!$B$1:$AY$1,AE$1)+SUMIFS('changes2_based on steps'!$B81:$U81,'changes2_based on steps'!$B$1:$U$1,AE$1)</f>
        <v>0</v>
      </c>
      <c r="AF81" s="179"/>
      <c r="AG81" s="179"/>
      <c r="AH81" s="179"/>
      <c r="AI81" s="179"/>
      <c r="AJ81" s="179"/>
      <c r="AK81" s="179"/>
      <c r="AL81" s="179"/>
      <c r="AM81" s="179"/>
    </row>
    <row r="82" spans="1:39" x14ac:dyDescent="0.2">
      <c r="A82" s="32">
        <f t="shared" ca="1" si="1"/>
        <v>45831</v>
      </c>
      <c r="B82" s="179">
        <f>SUMIFS('recurring2_based on steps'!$B82:$AY82,'recurring2_based on steps'!$B$1:$AY$1,B$1)+SUMIFS('changes2_based on steps'!$B82:$U82,'changes2_based on steps'!$B$1:$U$1,B$1)</f>
        <v>0</v>
      </c>
      <c r="C82" s="179">
        <f>SUMIFS('recurring2_based on steps'!$B82:$AY82,'recurring2_based on steps'!$B$1:$AY$1,C$1)+SUMIFS('changes2_based on steps'!$B82:$U82,'changes2_based on steps'!$B$1:$U$1,C$1)</f>
        <v>0</v>
      </c>
      <c r="D82" s="179">
        <f>SUMIFS('recurring2_based on steps'!$B82:$AY82,'recurring2_based on steps'!$B$1:$AY$1,D$1)+SUMIFS('changes2_based on steps'!$B82:$U82,'changes2_based on steps'!$B$1:$U$1,D$1)</f>
        <v>0</v>
      </c>
      <c r="E82" s="179">
        <f>SUMIFS('recurring2_based on steps'!$B82:$AY82,'recurring2_based on steps'!$B$1:$AY$1,E$1)+SUMIFS('changes2_based on steps'!$B82:$U82,'changes2_based on steps'!$B$1:$U$1,E$1)</f>
        <v>0</v>
      </c>
      <c r="F82" s="179">
        <f>SUMIFS('recurring2_based on steps'!$B82:$AY82,'recurring2_based on steps'!$B$1:$AY$1,F$1)+SUMIFS('changes2_based on steps'!$B82:$U82,'changes2_based on steps'!$B$1:$U$1,F$1)</f>
        <v>0</v>
      </c>
      <c r="G82" s="179">
        <f>SUMIFS('recurring2_based on steps'!$B82:$AY82,'recurring2_based on steps'!$B$1:$AY$1,G$1)+SUMIFS('changes2_based on steps'!$B82:$U82,'changes2_based on steps'!$B$1:$U$1,G$1)</f>
        <v>0</v>
      </c>
      <c r="H82" s="179">
        <f>SUMIFS('recurring2_based on steps'!$B82:$AY82,'recurring2_based on steps'!$B$1:$AY$1,H$1)+SUMIFS('changes2_based on steps'!$B82:$U82,'changes2_based on steps'!$B$1:$U$1,H$1)</f>
        <v>0</v>
      </c>
      <c r="I82" s="179">
        <f>SUMIFS('recurring2_based on steps'!$B82:$AY82,'recurring2_based on steps'!$B$1:$AY$1,I$1)+SUMIFS('changes2_based on steps'!$B82:$U82,'changes2_based on steps'!$B$1:$U$1,I$1)</f>
        <v>0</v>
      </c>
      <c r="J82" s="179">
        <f>SUMIFS('recurring2_based on steps'!$B82:$AY82,'recurring2_based on steps'!$B$1:$AY$1,J$1)+SUMIFS('changes2_based on steps'!$B82:$U82,'changes2_based on steps'!$B$1:$U$1,J$1)</f>
        <v>0</v>
      </c>
      <c r="K82" s="179">
        <f>SUMIFS('recurring2_based on steps'!$B82:$AY82,'recurring2_based on steps'!$B$1:$AY$1,K$1)+SUMIFS('changes2_based on steps'!$B82:$U82,'changes2_based on steps'!$B$1:$U$1,K$1)</f>
        <v>0</v>
      </c>
      <c r="L82" s="179">
        <f>SUMIFS('recurring2_based on steps'!$B82:$AY82,'recurring2_based on steps'!$B$1:$AY$1,L$1)+SUMIFS('changes2_based on steps'!$B82:$U82,'changes2_based on steps'!$B$1:$U$1,L$1)</f>
        <v>0</v>
      </c>
      <c r="M82" s="179">
        <f>SUMIFS('recurring2_based on steps'!$B82:$AY82,'recurring2_based on steps'!$B$1:$AY$1,M$1)+SUMIFS('changes2_based on steps'!$B82:$U82,'changes2_based on steps'!$B$1:$U$1,M$1)</f>
        <v>0</v>
      </c>
      <c r="N82" s="179">
        <f>SUMIFS('recurring2_based on steps'!$B82:$AY82,'recurring2_based on steps'!$B$1:$AY$1,N$1)+SUMIFS('changes2_based on steps'!$B82:$U82,'changes2_based on steps'!$B$1:$U$1,N$1)</f>
        <v>0</v>
      </c>
      <c r="O82" s="179">
        <f>SUMIFS('recurring2_based on steps'!$B82:$AY82,'recurring2_based on steps'!$B$1:$AY$1,O$1)+SUMIFS('changes2_based on steps'!$B82:$U82,'changes2_based on steps'!$B$1:$U$1,O$1)</f>
        <v>0</v>
      </c>
      <c r="P82" s="179">
        <f>SUMIFS('recurring2_based on steps'!$B82:$AY82,'recurring2_based on steps'!$B$1:$AY$1,P$1)+SUMIFS('changes2_based on steps'!$B82:$U82,'changes2_based on steps'!$B$1:$U$1,P$1)</f>
        <v>0</v>
      </c>
      <c r="Q82" s="179">
        <f>SUMIFS('recurring2_based on steps'!$B82:$AY82,'recurring2_based on steps'!$B$1:$AY$1,Q$1)+SUMIFS('changes2_based on steps'!$B82:$U82,'changes2_based on steps'!$B$1:$U$1,Q$1)</f>
        <v>0</v>
      </c>
      <c r="R82" s="179">
        <f>SUMIFS('recurring2_based on steps'!$B82:$AY82,'recurring2_based on steps'!$B$1:$AY$1,R$1)+SUMIFS('changes2_based on steps'!$B82:$U82,'changes2_based on steps'!$B$1:$U$1,R$1)</f>
        <v>0</v>
      </c>
      <c r="S82" s="179">
        <f>SUMIFS('recurring2_based on steps'!$B82:$AY82,'recurring2_based on steps'!$B$1:$AY$1,S$1)+SUMIFS('changes2_based on steps'!$B82:$U82,'changes2_based on steps'!$B$1:$U$1,S$1)</f>
        <v>0</v>
      </c>
      <c r="T82" s="179">
        <f>SUMIFS('recurring2_based on steps'!$B82:$AY82,'recurring2_based on steps'!$B$1:$AY$1,T$1)+SUMIFS('changes2_based on steps'!$B82:$U82,'changes2_based on steps'!$B$1:$U$1,T$1)</f>
        <v>0</v>
      </c>
      <c r="U82" s="179">
        <f>SUMIFS('recurring2_based on steps'!$B82:$AY82,'recurring2_based on steps'!$B$1:$AY$1,U$1)+SUMIFS('changes2_based on steps'!$B82:$U82,'changes2_based on steps'!$B$1:$U$1,U$1)</f>
        <v>0</v>
      </c>
      <c r="V82" s="179">
        <f>SUMIFS('recurring2_based on steps'!$B82:$AY82,'recurring2_based on steps'!$B$1:$AY$1,V$1)+SUMIFS('changes2_based on steps'!$B82:$U82,'changes2_based on steps'!$B$1:$U$1,V$1)</f>
        <v>0</v>
      </c>
      <c r="W82" s="179">
        <f>SUMIFS('recurring2_based on steps'!$B82:$AY82,'recurring2_based on steps'!$B$1:$AY$1,W$1)+SUMIFS('changes2_based on steps'!$B82:$U82,'changes2_based on steps'!$B$1:$U$1,W$1)</f>
        <v>0</v>
      </c>
      <c r="X82" s="179">
        <f>SUMIFS('recurring2_based on steps'!$B82:$AY82,'recurring2_based on steps'!$B$1:$AY$1,X$1)+SUMIFS('changes2_based on steps'!$B82:$U82,'changes2_based on steps'!$B$1:$U$1,X$1)</f>
        <v>0</v>
      </c>
      <c r="Y82" s="179">
        <f>SUMIFS('recurring2_based on steps'!$B82:$AY82,'recurring2_based on steps'!$B$1:$AY$1,Y$1)+SUMIFS('changes2_based on steps'!$B82:$U82,'changes2_based on steps'!$B$1:$U$1,Y$1)</f>
        <v>0</v>
      </c>
      <c r="Z82" s="179">
        <f>SUMIFS('recurring2_based on steps'!$B82:$AY82,'recurring2_based on steps'!$B$1:$AY$1,Z$1)+SUMIFS('changes2_based on steps'!$B82:$U82,'changes2_based on steps'!$B$1:$U$1,Z$1)</f>
        <v>0</v>
      </c>
      <c r="AA82" s="179">
        <f>SUMIFS('recurring2_based on steps'!$B82:$AY82,'recurring2_based on steps'!$B$1:$AY$1,AA$1)+SUMIFS('changes2_based on steps'!$B82:$U82,'changes2_based on steps'!$B$1:$U$1,AA$1)</f>
        <v>0</v>
      </c>
      <c r="AB82" s="179">
        <f>SUMIFS('recurring2_based on steps'!$B82:$AY82,'recurring2_based on steps'!$B$1:$AY$1,AB$1)+SUMIFS('changes2_based on steps'!$B82:$U82,'changes2_based on steps'!$B$1:$U$1,AB$1)</f>
        <v>0</v>
      </c>
      <c r="AC82" s="179">
        <f>SUMIFS('recurring2_based on steps'!$B82:$AY82,'recurring2_based on steps'!$B$1:$AY$1,AC$1)+SUMIFS('changes2_based on steps'!$B82:$U82,'changes2_based on steps'!$B$1:$U$1,AC$1)</f>
        <v>0</v>
      </c>
      <c r="AD82" s="179">
        <f>SUMIFS('recurring2_based on steps'!$B82:$AY82,'recurring2_based on steps'!$B$1:$AY$1,AD$1)+SUMIFS('changes2_based on steps'!$B82:$U82,'changes2_based on steps'!$B$1:$U$1,AD$1)</f>
        <v>0</v>
      </c>
      <c r="AE82" s="179">
        <f>SUMIFS('recurring2_based on steps'!$B82:$AY82,'recurring2_based on steps'!$B$1:$AY$1,AE$1)+SUMIFS('changes2_based on steps'!$B82:$U82,'changes2_based on steps'!$B$1:$U$1,AE$1)</f>
        <v>0</v>
      </c>
      <c r="AF82" s="179"/>
      <c r="AG82" s="179"/>
      <c r="AH82" s="179"/>
      <c r="AI82" s="179"/>
      <c r="AJ82" s="179"/>
      <c r="AK82" s="179"/>
      <c r="AL82" s="179"/>
      <c r="AM82" s="179"/>
    </row>
    <row r="83" spans="1:39" x14ac:dyDescent="0.2">
      <c r="A83" s="32">
        <f t="shared" ca="1" si="1"/>
        <v>45832</v>
      </c>
      <c r="B83" s="179">
        <f>SUMIFS('recurring2_based on steps'!$B83:$AY83,'recurring2_based on steps'!$B$1:$AY$1,B$1)+SUMIFS('changes2_based on steps'!$B83:$U83,'changes2_based on steps'!$B$1:$U$1,B$1)</f>
        <v>0</v>
      </c>
      <c r="C83" s="179">
        <f>SUMIFS('recurring2_based on steps'!$B83:$AY83,'recurring2_based on steps'!$B$1:$AY$1,C$1)+SUMIFS('changes2_based on steps'!$B83:$U83,'changes2_based on steps'!$B$1:$U$1,C$1)</f>
        <v>0</v>
      </c>
      <c r="D83" s="179">
        <f>SUMIFS('recurring2_based on steps'!$B83:$AY83,'recurring2_based on steps'!$B$1:$AY$1,D$1)+SUMIFS('changes2_based on steps'!$B83:$U83,'changes2_based on steps'!$B$1:$U$1,D$1)</f>
        <v>0</v>
      </c>
      <c r="E83" s="179">
        <f>SUMIFS('recurring2_based on steps'!$B83:$AY83,'recurring2_based on steps'!$B$1:$AY$1,E$1)+SUMIFS('changes2_based on steps'!$B83:$U83,'changes2_based on steps'!$B$1:$U$1,E$1)</f>
        <v>0</v>
      </c>
      <c r="F83" s="179">
        <f>SUMIFS('recurring2_based on steps'!$B83:$AY83,'recurring2_based on steps'!$B$1:$AY$1,F$1)+SUMIFS('changes2_based on steps'!$B83:$U83,'changes2_based on steps'!$B$1:$U$1,F$1)</f>
        <v>0</v>
      </c>
      <c r="G83" s="179">
        <f>SUMIFS('recurring2_based on steps'!$B83:$AY83,'recurring2_based on steps'!$B$1:$AY$1,G$1)+SUMIFS('changes2_based on steps'!$B83:$U83,'changes2_based on steps'!$B$1:$U$1,G$1)</f>
        <v>0</v>
      </c>
      <c r="H83" s="179">
        <f>SUMIFS('recurring2_based on steps'!$B83:$AY83,'recurring2_based on steps'!$B$1:$AY$1,H$1)+SUMIFS('changes2_based on steps'!$B83:$U83,'changes2_based on steps'!$B$1:$U$1,H$1)</f>
        <v>0</v>
      </c>
      <c r="I83" s="179">
        <f>SUMIFS('recurring2_based on steps'!$B83:$AY83,'recurring2_based on steps'!$B$1:$AY$1,I$1)+SUMIFS('changes2_based on steps'!$B83:$U83,'changes2_based on steps'!$B$1:$U$1,I$1)</f>
        <v>0</v>
      </c>
      <c r="J83" s="179">
        <f>SUMIFS('recurring2_based on steps'!$B83:$AY83,'recurring2_based on steps'!$B$1:$AY$1,J$1)+SUMIFS('changes2_based on steps'!$B83:$U83,'changes2_based on steps'!$B$1:$U$1,J$1)</f>
        <v>0</v>
      </c>
      <c r="K83" s="179">
        <f>SUMIFS('recurring2_based on steps'!$B83:$AY83,'recurring2_based on steps'!$B$1:$AY$1,K$1)+SUMIFS('changes2_based on steps'!$B83:$U83,'changes2_based on steps'!$B$1:$U$1,K$1)</f>
        <v>0</v>
      </c>
      <c r="L83" s="179">
        <f>SUMIFS('recurring2_based on steps'!$B83:$AY83,'recurring2_based on steps'!$B$1:$AY$1,L$1)+SUMIFS('changes2_based on steps'!$B83:$U83,'changes2_based on steps'!$B$1:$U$1,L$1)</f>
        <v>0</v>
      </c>
      <c r="M83" s="179">
        <f>SUMIFS('recurring2_based on steps'!$B83:$AY83,'recurring2_based on steps'!$B$1:$AY$1,M$1)+SUMIFS('changes2_based on steps'!$B83:$U83,'changes2_based on steps'!$B$1:$U$1,M$1)</f>
        <v>0</v>
      </c>
      <c r="N83" s="179">
        <f>SUMIFS('recurring2_based on steps'!$B83:$AY83,'recurring2_based on steps'!$B$1:$AY$1,N$1)+SUMIFS('changes2_based on steps'!$B83:$U83,'changes2_based on steps'!$B$1:$U$1,N$1)</f>
        <v>0</v>
      </c>
      <c r="O83" s="179">
        <f>SUMIFS('recurring2_based on steps'!$B83:$AY83,'recurring2_based on steps'!$B$1:$AY$1,O$1)+SUMIFS('changes2_based on steps'!$B83:$U83,'changes2_based on steps'!$B$1:$U$1,O$1)</f>
        <v>0</v>
      </c>
      <c r="P83" s="179">
        <f>SUMIFS('recurring2_based on steps'!$B83:$AY83,'recurring2_based on steps'!$B$1:$AY$1,P$1)+SUMIFS('changes2_based on steps'!$B83:$U83,'changes2_based on steps'!$B$1:$U$1,P$1)</f>
        <v>0</v>
      </c>
      <c r="Q83" s="179">
        <f>SUMIFS('recurring2_based on steps'!$B83:$AY83,'recurring2_based on steps'!$B$1:$AY$1,Q$1)+SUMIFS('changes2_based on steps'!$B83:$U83,'changes2_based on steps'!$B$1:$U$1,Q$1)</f>
        <v>0</v>
      </c>
      <c r="R83" s="179">
        <f>SUMIFS('recurring2_based on steps'!$B83:$AY83,'recurring2_based on steps'!$B$1:$AY$1,R$1)+SUMIFS('changes2_based on steps'!$B83:$U83,'changes2_based on steps'!$B$1:$U$1,R$1)</f>
        <v>0</v>
      </c>
      <c r="S83" s="179">
        <f>SUMIFS('recurring2_based on steps'!$B83:$AY83,'recurring2_based on steps'!$B$1:$AY$1,S$1)+SUMIFS('changes2_based on steps'!$B83:$U83,'changes2_based on steps'!$B$1:$U$1,S$1)</f>
        <v>0</v>
      </c>
      <c r="T83" s="179">
        <f>SUMIFS('recurring2_based on steps'!$B83:$AY83,'recurring2_based on steps'!$B$1:$AY$1,T$1)+SUMIFS('changes2_based on steps'!$B83:$U83,'changes2_based on steps'!$B$1:$U$1,T$1)</f>
        <v>0</v>
      </c>
      <c r="U83" s="179">
        <f>SUMIFS('recurring2_based on steps'!$B83:$AY83,'recurring2_based on steps'!$B$1:$AY$1,U$1)+SUMIFS('changes2_based on steps'!$B83:$U83,'changes2_based on steps'!$B$1:$U$1,U$1)</f>
        <v>0</v>
      </c>
      <c r="V83" s="179">
        <f>SUMIFS('recurring2_based on steps'!$B83:$AY83,'recurring2_based on steps'!$B$1:$AY$1,V$1)+SUMIFS('changes2_based on steps'!$B83:$U83,'changes2_based on steps'!$B$1:$U$1,V$1)</f>
        <v>0</v>
      </c>
      <c r="W83" s="179">
        <f>SUMIFS('recurring2_based on steps'!$B83:$AY83,'recurring2_based on steps'!$B$1:$AY$1,W$1)+SUMIFS('changes2_based on steps'!$B83:$U83,'changes2_based on steps'!$B$1:$U$1,W$1)</f>
        <v>0</v>
      </c>
      <c r="X83" s="179">
        <f>SUMIFS('recurring2_based on steps'!$B83:$AY83,'recurring2_based on steps'!$B$1:$AY$1,X$1)+SUMIFS('changes2_based on steps'!$B83:$U83,'changes2_based on steps'!$B$1:$U$1,X$1)</f>
        <v>0</v>
      </c>
      <c r="Y83" s="179">
        <f>SUMIFS('recurring2_based on steps'!$B83:$AY83,'recurring2_based on steps'!$B$1:$AY$1,Y$1)+SUMIFS('changes2_based on steps'!$B83:$U83,'changes2_based on steps'!$B$1:$U$1,Y$1)</f>
        <v>0</v>
      </c>
      <c r="Z83" s="179">
        <f>SUMIFS('recurring2_based on steps'!$B83:$AY83,'recurring2_based on steps'!$B$1:$AY$1,Z$1)+SUMIFS('changes2_based on steps'!$B83:$U83,'changes2_based on steps'!$B$1:$U$1,Z$1)</f>
        <v>0</v>
      </c>
      <c r="AA83" s="179">
        <f>SUMIFS('recurring2_based on steps'!$B83:$AY83,'recurring2_based on steps'!$B$1:$AY$1,AA$1)+SUMIFS('changes2_based on steps'!$B83:$U83,'changes2_based on steps'!$B$1:$U$1,AA$1)</f>
        <v>0</v>
      </c>
      <c r="AB83" s="179">
        <f>SUMIFS('recurring2_based on steps'!$B83:$AY83,'recurring2_based on steps'!$B$1:$AY$1,AB$1)+SUMIFS('changes2_based on steps'!$B83:$U83,'changes2_based on steps'!$B$1:$U$1,AB$1)</f>
        <v>0</v>
      </c>
      <c r="AC83" s="179">
        <f>SUMIFS('recurring2_based on steps'!$B83:$AY83,'recurring2_based on steps'!$B$1:$AY$1,AC$1)+SUMIFS('changes2_based on steps'!$B83:$U83,'changes2_based on steps'!$B$1:$U$1,AC$1)</f>
        <v>0</v>
      </c>
      <c r="AD83" s="179">
        <f>SUMIFS('recurring2_based on steps'!$B83:$AY83,'recurring2_based on steps'!$B$1:$AY$1,AD$1)+SUMIFS('changes2_based on steps'!$B83:$U83,'changes2_based on steps'!$B$1:$U$1,AD$1)</f>
        <v>0</v>
      </c>
      <c r="AE83" s="179">
        <f>SUMIFS('recurring2_based on steps'!$B83:$AY83,'recurring2_based on steps'!$B$1:$AY$1,AE$1)+SUMIFS('changes2_based on steps'!$B83:$U83,'changes2_based on steps'!$B$1:$U$1,AE$1)</f>
        <v>0</v>
      </c>
      <c r="AF83" s="179"/>
      <c r="AG83" s="179"/>
      <c r="AH83" s="179"/>
      <c r="AI83" s="179"/>
      <c r="AJ83" s="179"/>
      <c r="AK83" s="179"/>
      <c r="AL83" s="179"/>
      <c r="AM83" s="179"/>
    </row>
    <row r="84" spans="1:39" x14ac:dyDescent="0.2">
      <c r="A84" s="32">
        <f t="shared" ca="1" si="1"/>
        <v>45833</v>
      </c>
      <c r="B84" s="179">
        <f>SUMIFS('recurring2_based on steps'!$B84:$AY84,'recurring2_based on steps'!$B$1:$AY$1,B$1)+SUMIFS('changes2_based on steps'!$B84:$U84,'changes2_based on steps'!$B$1:$U$1,B$1)</f>
        <v>0</v>
      </c>
      <c r="C84" s="179">
        <f>SUMIFS('recurring2_based on steps'!$B84:$AY84,'recurring2_based on steps'!$B$1:$AY$1,C$1)+SUMIFS('changes2_based on steps'!$B84:$U84,'changes2_based on steps'!$B$1:$U$1,C$1)</f>
        <v>0</v>
      </c>
      <c r="D84" s="179">
        <f>SUMIFS('recurring2_based on steps'!$B84:$AY84,'recurring2_based on steps'!$B$1:$AY$1,D$1)+SUMIFS('changes2_based on steps'!$B84:$U84,'changes2_based on steps'!$B$1:$U$1,D$1)</f>
        <v>0</v>
      </c>
      <c r="E84" s="179">
        <f>SUMIFS('recurring2_based on steps'!$B84:$AY84,'recurring2_based on steps'!$B$1:$AY$1,E$1)+SUMIFS('changes2_based on steps'!$B84:$U84,'changes2_based on steps'!$B$1:$U$1,E$1)</f>
        <v>0</v>
      </c>
      <c r="F84" s="179">
        <f>SUMIFS('recurring2_based on steps'!$B84:$AY84,'recurring2_based on steps'!$B$1:$AY$1,F$1)+SUMIFS('changes2_based on steps'!$B84:$U84,'changes2_based on steps'!$B$1:$U$1,F$1)</f>
        <v>0</v>
      </c>
      <c r="G84" s="179">
        <f>SUMIFS('recurring2_based on steps'!$B84:$AY84,'recurring2_based on steps'!$B$1:$AY$1,G$1)+SUMIFS('changes2_based on steps'!$B84:$U84,'changes2_based on steps'!$B$1:$U$1,G$1)</f>
        <v>0</v>
      </c>
      <c r="H84" s="179">
        <f>SUMIFS('recurring2_based on steps'!$B84:$AY84,'recurring2_based on steps'!$B$1:$AY$1,H$1)+SUMIFS('changes2_based on steps'!$B84:$U84,'changes2_based on steps'!$B$1:$U$1,H$1)</f>
        <v>0</v>
      </c>
      <c r="I84" s="179">
        <f>SUMIFS('recurring2_based on steps'!$B84:$AY84,'recurring2_based on steps'!$B$1:$AY$1,I$1)+SUMIFS('changes2_based on steps'!$B84:$U84,'changes2_based on steps'!$B$1:$U$1,I$1)</f>
        <v>0</v>
      </c>
      <c r="J84" s="179">
        <f>SUMIFS('recurring2_based on steps'!$B84:$AY84,'recurring2_based on steps'!$B$1:$AY$1,J$1)+SUMIFS('changes2_based on steps'!$B84:$U84,'changes2_based on steps'!$B$1:$U$1,J$1)</f>
        <v>0</v>
      </c>
      <c r="K84" s="179">
        <f>SUMIFS('recurring2_based on steps'!$B84:$AY84,'recurring2_based on steps'!$B$1:$AY$1,K$1)+SUMIFS('changes2_based on steps'!$B84:$U84,'changes2_based on steps'!$B$1:$U$1,K$1)</f>
        <v>0</v>
      </c>
      <c r="L84" s="179">
        <f>SUMIFS('recurring2_based on steps'!$B84:$AY84,'recurring2_based on steps'!$B$1:$AY$1,L$1)+SUMIFS('changes2_based on steps'!$B84:$U84,'changes2_based on steps'!$B$1:$U$1,L$1)</f>
        <v>0</v>
      </c>
      <c r="M84" s="179">
        <f>SUMIFS('recurring2_based on steps'!$B84:$AY84,'recurring2_based on steps'!$B$1:$AY$1,M$1)+SUMIFS('changes2_based on steps'!$B84:$U84,'changes2_based on steps'!$B$1:$U$1,M$1)</f>
        <v>0</v>
      </c>
      <c r="N84" s="179">
        <f>SUMIFS('recurring2_based on steps'!$B84:$AY84,'recurring2_based on steps'!$B$1:$AY$1,N$1)+SUMIFS('changes2_based on steps'!$B84:$U84,'changes2_based on steps'!$B$1:$U$1,N$1)</f>
        <v>0</v>
      </c>
      <c r="O84" s="179">
        <f>SUMIFS('recurring2_based on steps'!$B84:$AY84,'recurring2_based on steps'!$B$1:$AY$1,O$1)+SUMIFS('changes2_based on steps'!$B84:$U84,'changes2_based on steps'!$B$1:$U$1,O$1)</f>
        <v>0</v>
      </c>
      <c r="P84" s="179">
        <f>SUMIFS('recurring2_based on steps'!$B84:$AY84,'recurring2_based on steps'!$B$1:$AY$1,P$1)+SUMIFS('changes2_based on steps'!$B84:$U84,'changes2_based on steps'!$B$1:$U$1,P$1)</f>
        <v>0</v>
      </c>
      <c r="Q84" s="179">
        <f>SUMIFS('recurring2_based on steps'!$B84:$AY84,'recurring2_based on steps'!$B$1:$AY$1,Q$1)+SUMIFS('changes2_based on steps'!$B84:$U84,'changes2_based on steps'!$B$1:$U$1,Q$1)</f>
        <v>0</v>
      </c>
      <c r="R84" s="179">
        <f>SUMIFS('recurring2_based on steps'!$B84:$AY84,'recurring2_based on steps'!$B$1:$AY$1,R$1)+SUMIFS('changes2_based on steps'!$B84:$U84,'changes2_based on steps'!$B$1:$U$1,R$1)</f>
        <v>0</v>
      </c>
      <c r="S84" s="179">
        <f>SUMIFS('recurring2_based on steps'!$B84:$AY84,'recurring2_based on steps'!$B$1:$AY$1,S$1)+SUMIFS('changes2_based on steps'!$B84:$U84,'changes2_based on steps'!$B$1:$U$1,S$1)</f>
        <v>0</v>
      </c>
      <c r="T84" s="179">
        <f>SUMIFS('recurring2_based on steps'!$B84:$AY84,'recurring2_based on steps'!$B$1:$AY$1,T$1)+SUMIFS('changes2_based on steps'!$B84:$U84,'changes2_based on steps'!$B$1:$U$1,T$1)</f>
        <v>0</v>
      </c>
      <c r="U84" s="179">
        <f>SUMIFS('recurring2_based on steps'!$B84:$AY84,'recurring2_based on steps'!$B$1:$AY$1,U$1)+SUMIFS('changes2_based on steps'!$B84:$U84,'changes2_based on steps'!$B$1:$U$1,U$1)</f>
        <v>0</v>
      </c>
      <c r="V84" s="179">
        <f>SUMIFS('recurring2_based on steps'!$B84:$AY84,'recurring2_based on steps'!$B$1:$AY$1,V$1)+SUMIFS('changes2_based on steps'!$B84:$U84,'changes2_based on steps'!$B$1:$U$1,V$1)</f>
        <v>0</v>
      </c>
      <c r="W84" s="179">
        <f>SUMIFS('recurring2_based on steps'!$B84:$AY84,'recurring2_based on steps'!$B$1:$AY$1,W$1)+SUMIFS('changes2_based on steps'!$B84:$U84,'changes2_based on steps'!$B$1:$U$1,W$1)</f>
        <v>0</v>
      </c>
      <c r="X84" s="179">
        <f>SUMIFS('recurring2_based on steps'!$B84:$AY84,'recurring2_based on steps'!$B$1:$AY$1,X$1)+SUMIFS('changes2_based on steps'!$B84:$U84,'changes2_based on steps'!$B$1:$U$1,X$1)</f>
        <v>0</v>
      </c>
      <c r="Y84" s="179">
        <f>SUMIFS('recurring2_based on steps'!$B84:$AY84,'recurring2_based on steps'!$B$1:$AY$1,Y$1)+SUMIFS('changes2_based on steps'!$B84:$U84,'changes2_based on steps'!$B$1:$U$1,Y$1)</f>
        <v>0</v>
      </c>
      <c r="Z84" s="179">
        <f>SUMIFS('recurring2_based on steps'!$B84:$AY84,'recurring2_based on steps'!$B$1:$AY$1,Z$1)+SUMIFS('changes2_based on steps'!$B84:$U84,'changes2_based on steps'!$B$1:$U$1,Z$1)</f>
        <v>0</v>
      </c>
      <c r="AA84" s="179">
        <f>SUMIFS('recurring2_based on steps'!$B84:$AY84,'recurring2_based on steps'!$B$1:$AY$1,AA$1)+SUMIFS('changes2_based on steps'!$B84:$U84,'changes2_based on steps'!$B$1:$U$1,AA$1)</f>
        <v>0</v>
      </c>
      <c r="AB84" s="179">
        <f>SUMIFS('recurring2_based on steps'!$B84:$AY84,'recurring2_based on steps'!$B$1:$AY$1,AB$1)+SUMIFS('changes2_based on steps'!$B84:$U84,'changes2_based on steps'!$B$1:$U$1,AB$1)</f>
        <v>0</v>
      </c>
      <c r="AC84" s="179">
        <f>SUMIFS('recurring2_based on steps'!$B84:$AY84,'recurring2_based on steps'!$B$1:$AY$1,AC$1)+SUMIFS('changes2_based on steps'!$B84:$U84,'changes2_based on steps'!$B$1:$U$1,AC$1)</f>
        <v>0</v>
      </c>
      <c r="AD84" s="179">
        <f>SUMIFS('recurring2_based on steps'!$B84:$AY84,'recurring2_based on steps'!$B$1:$AY$1,AD$1)+SUMIFS('changes2_based on steps'!$B84:$U84,'changes2_based on steps'!$B$1:$U$1,AD$1)</f>
        <v>0</v>
      </c>
      <c r="AE84" s="179">
        <f>SUMIFS('recurring2_based on steps'!$B84:$AY84,'recurring2_based on steps'!$B$1:$AY$1,AE$1)+SUMIFS('changes2_based on steps'!$B84:$U84,'changes2_based on steps'!$B$1:$U$1,AE$1)</f>
        <v>0</v>
      </c>
      <c r="AF84" s="179"/>
      <c r="AG84" s="179"/>
      <c r="AH84" s="179"/>
      <c r="AI84" s="179"/>
      <c r="AJ84" s="179"/>
      <c r="AK84" s="179"/>
      <c r="AL84" s="179"/>
      <c r="AM84" s="179"/>
    </row>
    <row r="85" spans="1:39" x14ac:dyDescent="0.2">
      <c r="A85" s="32">
        <f t="shared" ca="1" si="1"/>
        <v>45834</v>
      </c>
      <c r="B85" s="179">
        <f>SUMIFS('recurring2_based on steps'!$B85:$AY85,'recurring2_based on steps'!$B$1:$AY$1,B$1)+SUMIFS('changes2_based on steps'!$B85:$U85,'changes2_based on steps'!$B$1:$U$1,B$1)</f>
        <v>0</v>
      </c>
      <c r="C85" s="179">
        <f>SUMIFS('recurring2_based on steps'!$B85:$AY85,'recurring2_based on steps'!$B$1:$AY$1,C$1)+SUMIFS('changes2_based on steps'!$B85:$U85,'changes2_based on steps'!$B$1:$U$1,C$1)</f>
        <v>0</v>
      </c>
      <c r="D85" s="179">
        <f>SUMIFS('recurring2_based on steps'!$B85:$AY85,'recurring2_based on steps'!$B$1:$AY$1,D$1)+SUMIFS('changes2_based on steps'!$B85:$U85,'changes2_based on steps'!$B$1:$U$1,D$1)</f>
        <v>0</v>
      </c>
      <c r="E85" s="179">
        <f>SUMIFS('recurring2_based on steps'!$B85:$AY85,'recurring2_based on steps'!$B$1:$AY$1,E$1)+SUMIFS('changes2_based on steps'!$B85:$U85,'changes2_based on steps'!$B$1:$U$1,E$1)</f>
        <v>0</v>
      </c>
      <c r="F85" s="179">
        <f>SUMIFS('recurring2_based on steps'!$B85:$AY85,'recurring2_based on steps'!$B$1:$AY$1,F$1)+SUMIFS('changes2_based on steps'!$B85:$U85,'changes2_based on steps'!$B$1:$U$1,F$1)</f>
        <v>0</v>
      </c>
      <c r="G85" s="179">
        <f>SUMIFS('recurring2_based on steps'!$B85:$AY85,'recurring2_based on steps'!$B$1:$AY$1,G$1)+SUMIFS('changes2_based on steps'!$B85:$U85,'changes2_based on steps'!$B$1:$U$1,G$1)</f>
        <v>0</v>
      </c>
      <c r="H85" s="179">
        <f>SUMIFS('recurring2_based on steps'!$B85:$AY85,'recurring2_based on steps'!$B$1:$AY$1,H$1)+SUMIFS('changes2_based on steps'!$B85:$U85,'changes2_based on steps'!$B$1:$U$1,H$1)</f>
        <v>0</v>
      </c>
      <c r="I85" s="179">
        <f>SUMIFS('recurring2_based on steps'!$B85:$AY85,'recurring2_based on steps'!$B$1:$AY$1,I$1)+SUMIFS('changes2_based on steps'!$B85:$U85,'changes2_based on steps'!$B$1:$U$1,I$1)</f>
        <v>0</v>
      </c>
      <c r="J85" s="179">
        <f>SUMIFS('recurring2_based on steps'!$B85:$AY85,'recurring2_based on steps'!$B$1:$AY$1,J$1)+SUMIFS('changes2_based on steps'!$B85:$U85,'changes2_based on steps'!$B$1:$U$1,J$1)</f>
        <v>0</v>
      </c>
      <c r="K85" s="179">
        <f>SUMIFS('recurring2_based on steps'!$B85:$AY85,'recurring2_based on steps'!$B$1:$AY$1,K$1)+SUMIFS('changes2_based on steps'!$B85:$U85,'changes2_based on steps'!$B$1:$U$1,K$1)</f>
        <v>0</v>
      </c>
      <c r="L85" s="179">
        <f>SUMIFS('recurring2_based on steps'!$B85:$AY85,'recurring2_based on steps'!$B$1:$AY$1,L$1)+SUMIFS('changes2_based on steps'!$B85:$U85,'changes2_based on steps'!$B$1:$U$1,L$1)</f>
        <v>0</v>
      </c>
      <c r="M85" s="179">
        <f>SUMIFS('recurring2_based on steps'!$B85:$AY85,'recurring2_based on steps'!$B$1:$AY$1,M$1)+SUMIFS('changes2_based on steps'!$B85:$U85,'changes2_based on steps'!$B$1:$U$1,M$1)</f>
        <v>0</v>
      </c>
      <c r="N85" s="179">
        <f>SUMIFS('recurring2_based on steps'!$B85:$AY85,'recurring2_based on steps'!$B$1:$AY$1,N$1)+SUMIFS('changes2_based on steps'!$B85:$U85,'changes2_based on steps'!$B$1:$U$1,N$1)</f>
        <v>0</v>
      </c>
      <c r="O85" s="179">
        <f>SUMIFS('recurring2_based on steps'!$B85:$AY85,'recurring2_based on steps'!$B$1:$AY$1,O$1)+SUMIFS('changes2_based on steps'!$B85:$U85,'changes2_based on steps'!$B$1:$U$1,O$1)</f>
        <v>0</v>
      </c>
      <c r="P85" s="179">
        <f>SUMIFS('recurring2_based on steps'!$B85:$AY85,'recurring2_based on steps'!$B$1:$AY$1,P$1)+SUMIFS('changes2_based on steps'!$B85:$U85,'changes2_based on steps'!$B$1:$U$1,P$1)</f>
        <v>0</v>
      </c>
      <c r="Q85" s="179">
        <f>SUMIFS('recurring2_based on steps'!$B85:$AY85,'recurring2_based on steps'!$B$1:$AY$1,Q$1)+SUMIFS('changes2_based on steps'!$B85:$U85,'changes2_based on steps'!$B$1:$U$1,Q$1)</f>
        <v>0</v>
      </c>
      <c r="R85" s="179">
        <f>SUMIFS('recurring2_based on steps'!$B85:$AY85,'recurring2_based on steps'!$B$1:$AY$1,R$1)+SUMIFS('changes2_based on steps'!$B85:$U85,'changes2_based on steps'!$B$1:$U$1,R$1)</f>
        <v>0</v>
      </c>
      <c r="S85" s="179">
        <f>SUMIFS('recurring2_based on steps'!$B85:$AY85,'recurring2_based on steps'!$B$1:$AY$1,S$1)+SUMIFS('changes2_based on steps'!$B85:$U85,'changes2_based on steps'!$B$1:$U$1,S$1)</f>
        <v>0</v>
      </c>
      <c r="T85" s="179">
        <f>SUMIFS('recurring2_based on steps'!$B85:$AY85,'recurring2_based on steps'!$B$1:$AY$1,T$1)+SUMIFS('changes2_based on steps'!$B85:$U85,'changes2_based on steps'!$B$1:$U$1,T$1)</f>
        <v>0</v>
      </c>
      <c r="U85" s="179">
        <f>SUMIFS('recurring2_based on steps'!$B85:$AY85,'recurring2_based on steps'!$B$1:$AY$1,U$1)+SUMIFS('changes2_based on steps'!$B85:$U85,'changes2_based on steps'!$B$1:$U$1,U$1)</f>
        <v>0</v>
      </c>
      <c r="V85" s="179">
        <f>SUMIFS('recurring2_based on steps'!$B85:$AY85,'recurring2_based on steps'!$B$1:$AY$1,V$1)+SUMIFS('changes2_based on steps'!$B85:$U85,'changes2_based on steps'!$B$1:$U$1,V$1)</f>
        <v>0</v>
      </c>
      <c r="W85" s="179">
        <f>SUMIFS('recurring2_based on steps'!$B85:$AY85,'recurring2_based on steps'!$B$1:$AY$1,W$1)+SUMIFS('changes2_based on steps'!$B85:$U85,'changes2_based on steps'!$B$1:$U$1,W$1)</f>
        <v>0</v>
      </c>
      <c r="X85" s="179">
        <f>SUMIFS('recurring2_based on steps'!$B85:$AY85,'recurring2_based on steps'!$B$1:$AY$1,X$1)+SUMIFS('changes2_based on steps'!$B85:$U85,'changes2_based on steps'!$B$1:$U$1,X$1)</f>
        <v>0</v>
      </c>
      <c r="Y85" s="179">
        <f>SUMIFS('recurring2_based on steps'!$B85:$AY85,'recurring2_based on steps'!$B$1:$AY$1,Y$1)+SUMIFS('changes2_based on steps'!$B85:$U85,'changes2_based on steps'!$B$1:$U$1,Y$1)</f>
        <v>0</v>
      </c>
      <c r="Z85" s="179">
        <f>SUMIFS('recurring2_based on steps'!$B85:$AY85,'recurring2_based on steps'!$B$1:$AY$1,Z$1)+SUMIFS('changes2_based on steps'!$B85:$U85,'changes2_based on steps'!$B$1:$U$1,Z$1)</f>
        <v>0</v>
      </c>
      <c r="AA85" s="179">
        <f>SUMIFS('recurring2_based on steps'!$B85:$AY85,'recurring2_based on steps'!$B$1:$AY$1,AA$1)+SUMIFS('changes2_based on steps'!$B85:$U85,'changes2_based on steps'!$B$1:$U$1,AA$1)</f>
        <v>0</v>
      </c>
      <c r="AB85" s="179">
        <f>SUMIFS('recurring2_based on steps'!$B85:$AY85,'recurring2_based on steps'!$B$1:$AY$1,AB$1)+SUMIFS('changes2_based on steps'!$B85:$U85,'changes2_based on steps'!$B$1:$U$1,AB$1)</f>
        <v>0</v>
      </c>
      <c r="AC85" s="179">
        <f>SUMIFS('recurring2_based on steps'!$B85:$AY85,'recurring2_based on steps'!$B$1:$AY$1,AC$1)+SUMIFS('changes2_based on steps'!$B85:$U85,'changes2_based on steps'!$B$1:$U$1,AC$1)</f>
        <v>0</v>
      </c>
      <c r="AD85" s="179">
        <f>SUMIFS('recurring2_based on steps'!$B85:$AY85,'recurring2_based on steps'!$B$1:$AY$1,AD$1)+SUMIFS('changes2_based on steps'!$B85:$U85,'changes2_based on steps'!$B$1:$U$1,AD$1)</f>
        <v>0</v>
      </c>
      <c r="AE85" s="179">
        <f>SUMIFS('recurring2_based on steps'!$B85:$AY85,'recurring2_based on steps'!$B$1:$AY$1,AE$1)+SUMIFS('changes2_based on steps'!$B85:$U85,'changes2_based on steps'!$B$1:$U$1,AE$1)</f>
        <v>0</v>
      </c>
      <c r="AF85" s="179"/>
      <c r="AG85" s="179"/>
      <c r="AH85" s="179"/>
      <c r="AI85" s="179"/>
      <c r="AJ85" s="179"/>
      <c r="AK85" s="179"/>
      <c r="AL85" s="179"/>
      <c r="AM85" s="179"/>
    </row>
    <row r="86" spans="1:39" x14ac:dyDescent="0.2">
      <c r="A86" s="32">
        <f t="shared" ca="1" si="1"/>
        <v>45835</v>
      </c>
      <c r="B86" s="179">
        <f>SUMIFS('recurring2_based on steps'!$B86:$AY86,'recurring2_based on steps'!$B$1:$AY$1,B$1)+SUMIFS('changes2_based on steps'!$B86:$U86,'changes2_based on steps'!$B$1:$U$1,B$1)</f>
        <v>0</v>
      </c>
      <c r="C86" s="179">
        <f>SUMIFS('recurring2_based on steps'!$B86:$AY86,'recurring2_based on steps'!$B$1:$AY$1,C$1)+SUMIFS('changes2_based on steps'!$B86:$U86,'changes2_based on steps'!$B$1:$U$1,C$1)</f>
        <v>0</v>
      </c>
      <c r="D86" s="179">
        <f>SUMIFS('recurring2_based on steps'!$B86:$AY86,'recurring2_based on steps'!$B$1:$AY$1,D$1)+SUMIFS('changes2_based on steps'!$B86:$U86,'changes2_based on steps'!$B$1:$U$1,D$1)</f>
        <v>0</v>
      </c>
      <c r="E86" s="179">
        <f>SUMIFS('recurring2_based on steps'!$B86:$AY86,'recurring2_based on steps'!$B$1:$AY$1,E$1)+SUMIFS('changes2_based on steps'!$B86:$U86,'changes2_based on steps'!$B$1:$U$1,E$1)</f>
        <v>0</v>
      </c>
      <c r="F86" s="179">
        <f>SUMIFS('recurring2_based on steps'!$B86:$AY86,'recurring2_based on steps'!$B$1:$AY$1,F$1)+SUMIFS('changes2_based on steps'!$B86:$U86,'changes2_based on steps'!$B$1:$U$1,F$1)</f>
        <v>0</v>
      </c>
      <c r="G86" s="179">
        <f>SUMIFS('recurring2_based on steps'!$B86:$AY86,'recurring2_based on steps'!$B$1:$AY$1,G$1)+SUMIFS('changes2_based on steps'!$B86:$U86,'changes2_based on steps'!$B$1:$U$1,G$1)</f>
        <v>0</v>
      </c>
      <c r="H86" s="179">
        <f>SUMIFS('recurring2_based on steps'!$B86:$AY86,'recurring2_based on steps'!$B$1:$AY$1,H$1)+SUMIFS('changes2_based on steps'!$B86:$U86,'changes2_based on steps'!$B$1:$U$1,H$1)</f>
        <v>0</v>
      </c>
      <c r="I86" s="179">
        <f>SUMIFS('recurring2_based on steps'!$B86:$AY86,'recurring2_based on steps'!$B$1:$AY$1,I$1)+SUMIFS('changes2_based on steps'!$B86:$U86,'changes2_based on steps'!$B$1:$U$1,I$1)</f>
        <v>0</v>
      </c>
      <c r="J86" s="179">
        <f>SUMIFS('recurring2_based on steps'!$B86:$AY86,'recurring2_based on steps'!$B$1:$AY$1,J$1)+SUMIFS('changes2_based on steps'!$B86:$U86,'changes2_based on steps'!$B$1:$U$1,J$1)</f>
        <v>0</v>
      </c>
      <c r="K86" s="179">
        <f>SUMIFS('recurring2_based on steps'!$B86:$AY86,'recurring2_based on steps'!$B$1:$AY$1,K$1)+SUMIFS('changes2_based on steps'!$B86:$U86,'changes2_based on steps'!$B$1:$U$1,K$1)</f>
        <v>0</v>
      </c>
      <c r="L86" s="179">
        <f>SUMIFS('recurring2_based on steps'!$B86:$AY86,'recurring2_based on steps'!$B$1:$AY$1,L$1)+SUMIFS('changes2_based on steps'!$B86:$U86,'changes2_based on steps'!$B$1:$U$1,L$1)</f>
        <v>0</v>
      </c>
      <c r="M86" s="179">
        <f>SUMIFS('recurring2_based on steps'!$B86:$AY86,'recurring2_based on steps'!$B$1:$AY$1,M$1)+SUMIFS('changes2_based on steps'!$B86:$U86,'changes2_based on steps'!$B$1:$U$1,M$1)</f>
        <v>0</v>
      </c>
      <c r="N86" s="179">
        <f>SUMIFS('recurring2_based on steps'!$B86:$AY86,'recurring2_based on steps'!$B$1:$AY$1,N$1)+SUMIFS('changes2_based on steps'!$B86:$U86,'changes2_based on steps'!$B$1:$U$1,N$1)</f>
        <v>0</v>
      </c>
      <c r="O86" s="179">
        <f>SUMIFS('recurring2_based on steps'!$B86:$AY86,'recurring2_based on steps'!$B$1:$AY$1,O$1)+SUMIFS('changes2_based on steps'!$B86:$U86,'changes2_based on steps'!$B$1:$U$1,O$1)</f>
        <v>0</v>
      </c>
      <c r="P86" s="179">
        <f>SUMIFS('recurring2_based on steps'!$B86:$AY86,'recurring2_based on steps'!$B$1:$AY$1,P$1)+SUMIFS('changes2_based on steps'!$B86:$U86,'changes2_based on steps'!$B$1:$U$1,P$1)</f>
        <v>0</v>
      </c>
      <c r="Q86" s="179">
        <f>SUMIFS('recurring2_based on steps'!$B86:$AY86,'recurring2_based on steps'!$B$1:$AY$1,Q$1)+SUMIFS('changes2_based on steps'!$B86:$U86,'changes2_based on steps'!$B$1:$U$1,Q$1)</f>
        <v>0</v>
      </c>
      <c r="R86" s="179">
        <f>SUMIFS('recurring2_based on steps'!$B86:$AY86,'recurring2_based on steps'!$B$1:$AY$1,R$1)+SUMIFS('changes2_based on steps'!$B86:$U86,'changes2_based on steps'!$B$1:$U$1,R$1)</f>
        <v>0</v>
      </c>
      <c r="S86" s="179">
        <f>SUMIFS('recurring2_based on steps'!$B86:$AY86,'recurring2_based on steps'!$B$1:$AY$1,S$1)+SUMIFS('changes2_based on steps'!$B86:$U86,'changes2_based on steps'!$B$1:$U$1,S$1)</f>
        <v>0</v>
      </c>
      <c r="T86" s="179">
        <f>SUMIFS('recurring2_based on steps'!$B86:$AY86,'recurring2_based on steps'!$B$1:$AY$1,T$1)+SUMIFS('changes2_based on steps'!$B86:$U86,'changes2_based on steps'!$B$1:$U$1,T$1)</f>
        <v>0</v>
      </c>
      <c r="U86" s="179">
        <f>SUMIFS('recurring2_based on steps'!$B86:$AY86,'recurring2_based on steps'!$B$1:$AY$1,U$1)+SUMIFS('changes2_based on steps'!$B86:$U86,'changes2_based on steps'!$B$1:$U$1,U$1)</f>
        <v>0</v>
      </c>
      <c r="V86" s="179">
        <f>SUMIFS('recurring2_based on steps'!$B86:$AY86,'recurring2_based on steps'!$B$1:$AY$1,V$1)+SUMIFS('changes2_based on steps'!$B86:$U86,'changes2_based on steps'!$B$1:$U$1,V$1)</f>
        <v>0</v>
      </c>
      <c r="W86" s="179">
        <f>SUMIFS('recurring2_based on steps'!$B86:$AY86,'recurring2_based on steps'!$B$1:$AY$1,W$1)+SUMIFS('changes2_based on steps'!$B86:$U86,'changes2_based on steps'!$B$1:$U$1,W$1)</f>
        <v>0</v>
      </c>
      <c r="X86" s="179">
        <f>SUMIFS('recurring2_based on steps'!$B86:$AY86,'recurring2_based on steps'!$B$1:$AY$1,X$1)+SUMIFS('changes2_based on steps'!$B86:$U86,'changes2_based on steps'!$B$1:$U$1,X$1)</f>
        <v>0</v>
      </c>
      <c r="Y86" s="179">
        <f>SUMIFS('recurring2_based on steps'!$B86:$AY86,'recurring2_based on steps'!$B$1:$AY$1,Y$1)+SUMIFS('changes2_based on steps'!$B86:$U86,'changes2_based on steps'!$B$1:$U$1,Y$1)</f>
        <v>0</v>
      </c>
      <c r="Z86" s="179">
        <f>SUMIFS('recurring2_based on steps'!$B86:$AY86,'recurring2_based on steps'!$B$1:$AY$1,Z$1)+SUMIFS('changes2_based on steps'!$B86:$U86,'changes2_based on steps'!$B$1:$U$1,Z$1)</f>
        <v>0</v>
      </c>
      <c r="AA86" s="179">
        <f>SUMIFS('recurring2_based on steps'!$B86:$AY86,'recurring2_based on steps'!$B$1:$AY$1,AA$1)+SUMIFS('changes2_based on steps'!$B86:$U86,'changes2_based on steps'!$B$1:$U$1,AA$1)</f>
        <v>0</v>
      </c>
      <c r="AB86" s="179">
        <f>SUMIFS('recurring2_based on steps'!$B86:$AY86,'recurring2_based on steps'!$B$1:$AY$1,AB$1)+SUMIFS('changes2_based on steps'!$B86:$U86,'changes2_based on steps'!$B$1:$U$1,AB$1)</f>
        <v>0</v>
      </c>
      <c r="AC86" s="179">
        <f>SUMIFS('recurring2_based on steps'!$B86:$AY86,'recurring2_based on steps'!$B$1:$AY$1,AC$1)+SUMIFS('changes2_based on steps'!$B86:$U86,'changes2_based on steps'!$B$1:$U$1,AC$1)</f>
        <v>0</v>
      </c>
      <c r="AD86" s="179">
        <f>SUMIFS('recurring2_based on steps'!$B86:$AY86,'recurring2_based on steps'!$B$1:$AY$1,AD$1)+SUMIFS('changes2_based on steps'!$B86:$U86,'changes2_based on steps'!$B$1:$U$1,AD$1)</f>
        <v>0</v>
      </c>
      <c r="AE86" s="179">
        <f>SUMIFS('recurring2_based on steps'!$B86:$AY86,'recurring2_based on steps'!$B$1:$AY$1,AE$1)+SUMIFS('changes2_based on steps'!$B86:$U86,'changes2_based on steps'!$B$1:$U$1,AE$1)</f>
        <v>0</v>
      </c>
      <c r="AF86" s="179"/>
      <c r="AG86" s="179"/>
      <c r="AH86" s="179"/>
      <c r="AI86" s="179"/>
      <c r="AJ86" s="179"/>
      <c r="AK86" s="179"/>
      <c r="AL86" s="179"/>
      <c r="AM86" s="179"/>
    </row>
    <row r="87" spans="1:39" x14ac:dyDescent="0.2">
      <c r="A87" s="32">
        <f t="shared" ca="1" si="1"/>
        <v>45836</v>
      </c>
      <c r="B87" s="179">
        <f>SUMIFS('recurring2_based on steps'!$B87:$AY87,'recurring2_based on steps'!$B$1:$AY$1,B$1)+SUMIFS('changes2_based on steps'!$B87:$U87,'changes2_based on steps'!$B$1:$U$1,B$1)</f>
        <v>0</v>
      </c>
      <c r="C87" s="179">
        <f>SUMIFS('recurring2_based on steps'!$B87:$AY87,'recurring2_based on steps'!$B$1:$AY$1,C$1)+SUMIFS('changes2_based on steps'!$B87:$U87,'changes2_based on steps'!$B$1:$U$1,C$1)</f>
        <v>0</v>
      </c>
      <c r="D87" s="179">
        <f>SUMIFS('recurring2_based on steps'!$B87:$AY87,'recurring2_based on steps'!$B$1:$AY$1,D$1)+SUMIFS('changes2_based on steps'!$B87:$U87,'changes2_based on steps'!$B$1:$U$1,D$1)</f>
        <v>0</v>
      </c>
      <c r="E87" s="179">
        <f>SUMIFS('recurring2_based on steps'!$B87:$AY87,'recurring2_based on steps'!$B$1:$AY$1,E$1)+SUMIFS('changes2_based on steps'!$B87:$U87,'changes2_based on steps'!$B$1:$U$1,E$1)</f>
        <v>0</v>
      </c>
      <c r="F87" s="179">
        <f>SUMIFS('recurring2_based on steps'!$B87:$AY87,'recurring2_based on steps'!$B$1:$AY$1,F$1)+SUMIFS('changes2_based on steps'!$B87:$U87,'changes2_based on steps'!$B$1:$U$1,F$1)</f>
        <v>0</v>
      </c>
      <c r="G87" s="179">
        <f>SUMIFS('recurring2_based on steps'!$B87:$AY87,'recurring2_based on steps'!$B$1:$AY$1,G$1)+SUMIFS('changes2_based on steps'!$B87:$U87,'changes2_based on steps'!$B$1:$U$1,G$1)</f>
        <v>0</v>
      </c>
      <c r="H87" s="179">
        <f>SUMIFS('recurring2_based on steps'!$B87:$AY87,'recurring2_based on steps'!$B$1:$AY$1,H$1)+SUMIFS('changes2_based on steps'!$B87:$U87,'changes2_based on steps'!$B$1:$U$1,H$1)</f>
        <v>0</v>
      </c>
      <c r="I87" s="179">
        <f>SUMIFS('recurring2_based on steps'!$B87:$AY87,'recurring2_based on steps'!$B$1:$AY$1,I$1)+SUMIFS('changes2_based on steps'!$B87:$U87,'changes2_based on steps'!$B$1:$U$1,I$1)</f>
        <v>0</v>
      </c>
      <c r="J87" s="179">
        <f>SUMIFS('recurring2_based on steps'!$B87:$AY87,'recurring2_based on steps'!$B$1:$AY$1,J$1)+SUMIFS('changes2_based on steps'!$B87:$U87,'changes2_based on steps'!$B$1:$U$1,J$1)</f>
        <v>0</v>
      </c>
      <c r="K87" s="179">
        <f>SUMIFS('recurring2_based on steps'!$B87:$AY87,'recurring2_based on steps'!$B$1:$AY$1,K$1)+SUMIFS('changes2_based on steps'!$B87:$U87,'changes2_based on steps'!$B$1:$U$1,K$1)</f>
        <v>0</v>
      </c>
      <c r="L87" s="179">
        <f>SUMIFS('recurring2_based on steps'!$B87:$AY87,'recurring2_based on steps'!$B$1:$AY$1,L$1)+SUMIFS('changes2_based on steps'!$B87:$U87,'changes2_based on steps'!$B$1:$U$1,L$1)</f>
        <v>0</v>
      </c>
      <c r="M87" s="179">
        <f>SUMIFS('recurring2_based on steps'!$B87:$AY87,'recurring2_based on steps'!$B$1:$AY$1,M$1)+SUMIFS('changes2_based on steps'!$B87:$U87,'changes2_based on steps'!$B$1:$U$1,M$1)</f>
        <v>0</v>
      </c>
      <c r="N87" s="179">
        <f>SUMIFS('recurring2_based on steps'!$B87:$AY87,'recurring2_based on steps'!$B$1:$AY$1,N$1)+SUMIFS('changes2_based on steps'!$B87:$U87,'changes2_based on steps'!$B$1:$U$1,N$1)</f>
        <v>0</v>
      </c>
      <c r="O87" s="179">
        <f>SUMIFS('recurring2_based on steps'!$B87:$AY87,'recurring2_based on steps'!$B$1:$AY$1,O$1)+SUMIFS('changes2_based on steps'!$B87:$U87,'changes2_based on steps'!$B$1:$U$1,O$1)</f>
        <v>0</v>
      </c>
      <c r="P87" s="179">
        <f>SUMIFS('recurring2_based on steps'!$B87:$AY87,'recurring2_based on steps'!$B$1:$AY$1,P$1)+SUMIFS('changes2_based on steps'!$B87:$U87,'changes2_based on steps'!$B$1:$U$1,P$1)</f>
        <v>0</v>
      </c>
      <c r="Q87" s="179">
        <f>SUMIFS('recurring2_based on steps'!$B87:$AY87,'recurring2_based on steps'!$B$1:$AY$1,Q$1)+SUMIFS('changes2_based on steps'!$B87:$U87,'changes2_based on steps'!$B$1:$U$1,Q$1)</f>
        <v>0</v>
      </c>
      <c r="R87" s="179">
        <f>SUMIFS('recurring2_based on steps'!$B87:$AY87,'recurring2_based on steps'!$B$1:$AY$1,R$1)+SUMIFS('changes2_based on steps'!$B87:$U87,'changes2_based on steps'!$B$1:$U$1,R$1)</f>
        <v>0</v>
      </c>
      <c r="S87" s="179">
        <f>SUMIFS('recurring2_based on steps'!$B87:$AY87,'recurring2_based on steps'!$B$1:$AY$1,S$1)+SUMIFS('changes2_based on steps'!$B87:$U87,'changes2_based on steps'!$B$1:$U$1,S$1)</f>
        <v>0</v>
      </c>
      <c r="T87" s="179">
        <f>SUMIFS('recurring2_based on steps'!$B87:$AY87,'recurring2_based on steps'!$B$1:$AY$1,T$1)+SUMIFS('changes2_based on steps'!$B87:$U87,'changes2_based on steps'!$B$1:$U$1,T$1)</f>
        <v>0</v>
      </c>
      <c r="U87" s="179">
        <f>SUMIFS('recurring2_based on steps'!$B87:$AY87,'recurring2_based on steps'!$B$1:$AY$1,U$1)+SUMIFS('changes2_based on steps'!$B87:$U87,'changes2_based on steps'!$B$1:$U$1,U$1)</f>
        <v>0</v>
      </c>
      <c r="V87" s="179">
        <f>SUMIFS('recurring2_based on steps'!$B87:$AY87,'recurring2_based on steps'!$B$1:$AY$1,V$1)+SUMIFS('changes2_based on steps'!$B87:$U87,'changes2_based on steps'!$B$1:$U$1,V$1)</f>
        <v>0</v>
      </c>
      <c r="W87" s="179">
        <f>SUMIFS('recurring2_based on steps'!$B87:$AY87,'recurring2_based on steps'!$B$1:$AY$1,W$1)+SUMIFS('changes2_based on steps'!$B87:$U87,'changes2_based on steps'!$B$1:$U$1,W$1)</f>
        <v>0</v>
      </c>
      <c r="X87" s="179">
        <f>SUMIFS('recurring2_based on steps'!$B87:$AY87,'recurring2_based on steps'!$B$1:$AY$1,X$1)+SUMIFS('changes2_based on steps'!$B87:$U87,'changes2_based on steps'!$B$1:$U$1,X$1)</f>
        <v>0</v>
      </c>
      <c r="Y87" s="179">
        <f>SUMIFS('recurring2_based on steps'!$B87:$AY87,'recurring2_based on steps'!$B$1:$AY$1,Y$1)+SUMIFS('changes2_based on steps'!$B87:$U87,'changes2_based on steps'!$B$1:$U$1,Y$1)</f>
        <v>0</v>
      </c>
      <c r="Z87" s="179">
        <f>SUMIFS('recurring2_based on steps'!$B87:$AY87,'recurring2_based on steps'!$B$1:$AY$1,Z$1)+SUMIFS('changes2_based on steps'!$B87:$U87,'changes2_based on steps'!$B$1:$U$1,Z$1)</f>
        <v>0</v>
      </c>
      <c r="AA87" s="179">
        <f>SUMIFS('recurring2_based on steps'!$B87:$AY87,'recurring2_based on steps'!$B$1:$AY$1,AA$1)+SUMIFS('changes2_based on steps'!$B87:$U87,'changes2_based on steps'!$B$1:$U$1,AA$1)</f>
        <v>0</v>
      </c>
      <c r="AB87" s="179">
        <f>SUMIFS('recurring2_based on steps'!$B87:$AY87,'recurring2_based on steps'!$B$1:$AY$1,AB$1)+SUMIFS('changes2_based on steps'!$B87:$U87,'changes2_based on steps'!$B$1:$U$1,AB$1)</f>
        <v>0</v>
      </c>
      <c r="AC87" s="179">
        <f>SUMIFS('recurring2_based on steps'!$B87:$AY87,'recurring2_based on steps'!$B$1:$AY$1,AC$1)+SUMIFS('changes2_based on steps'!$B87:$U87,'changes2_based on steps'!$B$1:$U$1,AC$1)</f>
        <v>0</v>
      </c>
      <c r="AD87" s="179">
        <f>SUMIFS('recurring2_based on steps'!$B87:$AY87,'recurring2_based on steps'!$B$1:$AY$1,AD$1)+SUMIFS('changes2_based on steps'!$B87:$U87,'changes2_based on steps'!$B$1:$U$1,AD$1)</f>
        <v>0</v>
      </c>
      <c r="AE87" s="179">
        <f>SUMIFS('recurring2_based on steps'!$B87:$AY87,'recurring2_based on steps'!$B$1:$AY$1,AE$1)+SUMIFS('changes2_based on steps'!$B87:$U87,'changes2_based on steps'!$B$1:$U$1,AE$1)</f>
        <v>0</v>
      </c>
      <c r="AF87" s="179"/>
      <c r="AG87" s="179"/>
      <c r="AH87" s="179"/>
      <c r="AI87" s="179"/>
      <c r="AJ87" s="179"/>
      <c r="AK87" s="179"/>
      <c r="AL87" s="179"/>
      <c r="AM87" s="179"/>
    </row>
    <row r="88" spans="1:39" x14ac:dyDescent="0.2">
      <c r="A88" s="32">
        <f t="shared" ca="1" si="1"/>
        <v>45837</v>
      </c>
      <c r="B88" s="179">
        <f>SUMIFS('recurring2_based on steps'!$B88:$AY88,'recurring2_based on steps'!$B$1:$AY$1,B$1)+SUMIFS('changes2_based on steps'!$B88:$U88,'changes2_based on steps'!$B$1:$U$1,B$1)</f>
        <v>0</v>
      </c>
      <c r="C88" s="179">
        <f>SUMIFS('recurring2_based on steps'!$B88:$AY88,'recurring2_based on steps'!$B$1:$AY$1,C$1)+SUMIFS('changes2_based on steps'!$B88:$U88,'changes2_based on steps'!$B$1:$U$1,C$1)</f>
        <v>0</v>
      </c>
      <c r="D88" s="179">
        <f>SUMIFS('recurring2_based on steps'!$B88:$AY88,'recurring2_based on steps'!$B$1:$AY$1,D$1)+SUMIFS('changes2_based on steps'!$B88:$U88,'changes2_based on steps'!$B$1:$U$1,D$1)</f>
        <v>0</v>
      </c>
      <c r="E88" s="179">
        <f>SUMIFS('recurring2_based on steps'!$B88:$AY88,'recurring2_based on steps'!$B$1:$AY$1,E$1)+SUMIFS('changes2_based on steps'!$B88:$U88,'changes2_based on steps'!$B$1:$U$1,E$1)</f>
        <v>0</v>
      </c>
      <c r="F88" s="179">
        <f>SUMIFS('recurring2_based on steps'!$B88:$AY88,'recurring2_based on steps'!$B$1:$AY$1,F$1)+SUMIFS('changes2_based on steps'!$B88:$U88,'changes2_based on steps'!$B$1:$U$1,F$1)</f>
        <v>0</v>
      </c>
      <c r="G88" s="179">
        <f>SUMIFS('recurring2_based on steps'!$B88:$AY88,'recurring2_based on steps'!$B$1:$AY$1,G$1)+SUMIFS('changes2_based on steps'!$B88:$U88,'changes2_based on steps'!$B$1:$U$1,G$1)</f>
        <v>0</v>
      </c>
      <c r="H88" s="179">
        <f>SUMIFS('recurring2_based on steps'!$B88:$AY88,'recurring2_based on steps'!$B$1:$AY$1,H$1)+SUMIFS('changes2_based on steps'!$B88:$U88,'changes2_based on steps'!$B$1:$U$1,H$1)</f>
        <v>0</v>
      </c>
      <c r="I88" s="179">
        <f>SUMIFS('recurring2_based on steps'!$B88:$AY88,'recurring2_based on steps'!$B$1:$AY$1,I$1)+SUMIFS('changes2_based on steps'!$B88:$U88,'changes2_based on steps'!$B$1:$U$1,I$1)</f>
        <v>0</v>
      </c>
      <c r="J88" s="179">
        <f>SUMIFS('recurring2_based on steps'!$B88:$AY88,'recurring2_based on steps'!$B$1:$AY$1,J$1)+SUMIFS('changes2_based on steps'!$B88:$U88,'changes2_based on steps'!$B$1:$U$1,J$1)</f>
        <v>0</v>
      </c>
      <c r="K88" s="179">
        <f>SUMIFS('recurring2_based on steps'!$B88:$AY88,'recurring2_based on steps'!$B$1:$AY$1,K$1)+SUMIFS('changes2_based on steps'!$B88:$U88,'changes2_based on steps'!$B$1:$U$1,K$1)</f>
        <v>0</v>
      </c>
      <c r="L88" s="179">
        <f>SUMIFS('recurring2_based on steps'!$B88:$AY88,'recurring2_based on steps'!$B$1:$AY$1,L$1)+SUMIFS('changes2_based on steps'!$B88:$U88,'changes2_based on steps'!$B$1:$U$1,L$1)</f>
        <v>0</v>
      </c>
      <c r="M88" s="179">
        <f>SUMIFS('recurring2_based on steps'!$B88:$AY88,'recurring2_based on steps'!$B$1:$AY$1,M$1)+SUMIFS('changes2_based on steps'!$B88:$U88,'changes2_based on steps'!$B$1:$U$1,M$1)</f>
        <v>0</v>
      </c>
      <c r="N88" s="179">
        <f>SUMIFS('recurring2_based on steps'!$B88:$AY88,'recurring2_based on steps'!$B$1:$AY$1,N$1)+SUMIFS('changes2_based on steps'!$B88:$U88,'changes2_based on steps'!$B$1:$U$1,N$1)</f>
        <v>0</v>
      </c>
      <c r="O88" s="179">
        <f>SUMIFS('recurring2_based on steps'!$B88:$AY88,'recurring2_based on steps'!$B$1:$AY$1,O$1)+SUMIFS('changes2_based on steps'!$B88:$U88,'changes2_based on steps'!$B$1:$U$1,O$1)</f>
        <v>0</v>
      </c>
      <c r="P88" s="179">
        <f>SUMIFS('recurring2_based on steps'!$B88:$AY88,'recurring2_based on steps'!$B$1:$AY$1,P$1)+SUMIFS('changes2_based on steps'!$B88:$U88,'changes2_based on steps'!$B$1:$U$1,P$1)</f>
        <v>0</v>
      </c>
      <c r="Q88" s="179">
        <f>SUMIFS('recurring2_based on steps'!$B88:$AY88,'recurring2_based on steps'!$B$1:$AY$1,Q$1)+SUMIFS('changes2_based on steps'!$B88:$U88,'changes2_based on steps'!$B$1:$U$1,Q$1)</f>
        <v>0</v>
      </c>
      <c r="R88" s="179">
        <f>SUMIFS('recurring2_based on steps'!$B88:$AY88,'recurring2_based on steps'!$B$1:$AY$1,R$1)+SUMIFS('changes2_based on steps'!$B88:$U88,'changes2_based on steps'!$B$1:$U$1,R$1)</f>
        <v>0</v>
      </c>
      <c r="S88" s="179">
        <f>SUMIFS('recurring2_based on steps'!$B88:$AY88,'recurring2_based on steps'!$B$1:$AY$1,S$1)+SUMIFS('changes2_based on steps'!$B88:$U88,'changes2_based on steps'!$B$1:$U$1,S$1)</f>
        <v>0</v>
      </c>
      <c r="T88" s="179">
        <f>SUMIFS('recurring2_based on steps'!$B88:$AY88,'recurring2_based on steps'!$B$1:$AY$1,T$1)+SUMIFS('changes2_based on steps'!$B88:$U88,'changes2_based on steps'!$B$1:$U$1,T$1)</f>
        <v>0</v>
      </c>
      <c r="U88" s="179">
        <f>SUMIFS('recurring2_based on steps'!$B88:$AY88,'recurring2_based on steps'!$B$1:$AY$1,U$1)+SUMIFS('changes2_based on steps'!$B88:$U88,'changes2_based on steps'!$B$1:$U$1,U$1)</f>
        <v>0</v>
      </c>
      <c r="V88" s="179">
        <f>SUMIFS('recurring2_based on steps'!$B88:$AY88,'recurring2_based on steps'!$B$1:$AY$1,V$1)+SUMIFS('changes2_based on steps'!$B88:$U88,'changes2_based on steps'!$B$1:$U$1,V$1)</f>
        <v>0</v>
      </c>
      <c r="W88" s="179">
        <f>SUMIFS('recurring2_based on steps'!$B88:$AY88,'recurring2_based on steps'!$B$1:$AY$1,W$1)+SUMIFS('changes2_based on steps'!$B88:$U88,'changes2_based on steps'!$B$1:$U$1,W$1)</f>
        <v>0</v>
      </c>
      <c r="X88" s="179">
        <f>SUMIFS('recurring2_based on steps'!$B88:$AY88,'recurring2_based on steps'!$B$1:$AY$1,X$1)+SUMIFS('changes2_based on steps'!$B88:$U88,'changes2_based on steps'!$B$1:$U$1,X$1)</f>
        <v>0</v>
      </c>
      <c r="Y88" s="179">
        <f>SUMIFS('recurring2_based on steps'!$B88:$AY88,'recurring2_based on steps'!$B$1:$AY$1,Y$1)+SUMIFS('changes2_based on steps'!$B88:$U88,'changes2_based on steps'!$B$1:$U$1,Y$1)</f>
        <v>0</v>
      </c>
      <c r="Z88" s="179">
        <f>SUMIFS('recurring2_based on steps'!$B88:$AY88,'recurring2_based on steps'!$B$1:$AY$1,Z$1)+SUMIFS('changes2_based on steps'!$B88:$U88,'changes2_based on steps'!$B$1:$U$1,Z$1)</f>
        <v>0</v>
      </c>
      <c r="AA88" s="179">
        <f>SUMIFS('recurring2_based on steps'!$B88:$AY88,'recurring2_based on steps'!$B$1:$AY$1,AA$1)+SUMIFS('changes2_based on steps'!$B88:$U88,'changes2_based on steps'!$B$1:$U$1,AA$1)</f>
        <v>0</v>
      </c>
      <c r="AB88" s="179">
        <f>SUMIFS('recurring2_based on steps'!$B88:$AY88,'recurring2_based on steps'!$B$1:$AY$1,AB$1)+SUMIFS('changes2_based on steps'!$B88:$U88,'changes2_based on steps'!$B$1:$U$1,AB$1)</f>
        <v>0</v>
      </c>
      <c r="AC88" s="179">
        <f>SUMIFS('recurring2_based on steps'!$B88:$AY88,'recurring2_based on steps'!$B$1:$AY$1,AC$1)+SUMIFS('changes2_based on steps'!$B88:$U88,'changes2_based on steps'!$B$1:$U$1,AC$1)</f>
        <v>0</v>
      </c>
      <c r="AD88" s="179">
        <f>SUMIFS('recurring2_based on steps'!$B88:$AY88,'recurring2_based on steps'!$B$1:$AY$1,AD$1)+SUMIFS('changes2_based on steps'!$B88:$U88,'changes2_based on steps'!$B$1:$U$1,AD$1)</f>
        <v>0</v>
      </c>
      <c r="AE88" s="179">
        <f>SUMIFS('recurring2_based on steps'!$B88:$AY88,'recurring2_based on steps'!$B$1:$AY$1,AE$1)+SUMIFS('changes2_based on steps'!$B88:$U88,'changes2_based on steps'!$B$1:$U$1,AE$1)</f>
        <v>0</v>
      </c>
      <c r="AF88" s="179"/>
      <c r="AG88" s="179"/>
      <c r="AH88" s="179"/>
      <c r="AI88" s="179"/>
      <c r="AJ88" s="179"/>
      <c r="AK88" s="179"/>
      <c r="AL88" s="179"/>
      <c r="AM88" s="179"/>
    </row>
    <row r="89" spans="1:39" x14ac:dyDescent="0.2">
      <c r="A89" s="32">
        <f t="shared" ca="1" si="1"/>
        <v>45838</v>
      </c>
      <c r="B89" s="179">
        <f>SUMIFS('recurring2_based on steps'!$B89:$AY89,'recurring2_based on steps'!$B$1:$AY$1,B$1)+SUMIFS('changes2_based on steps'!$B89:$U89,'changes2_based on steps'!$B$1:$U$1,B$1)</f>
        <v>0</v>
      </c>
      <c r="C89" s="179">
        <f>SUMIFS('recurring2_based on steps'!$B89:$AY89,'recurring2_based on steps'!$B$1:$AY$1,C$1)+SUMIFS('changes2_based on steps'!$B89:$U89,'changes2_based on steps'!$B$1:$U$1,C$1)</f>
        <v>0</v>
      </c>
      <c r="D89" s="179">
        <f>SUMIFS('recurring2_based on steps'!$B89:$AY89,'recurring2_based on steps'!$B$1:$AY$1,D$1)+SUMIFS('changes2_based on steps'!$B89:$U89,'changes2_based on steps'!$B$1:$U$1,D$1)</f>
        <v>0</v>
      </c>
      <c r="E89" s="179">
        <f>SUMIFS('recurring2_based on steps'!$B89:$AY89,'recurring2_based on steps'!$B$1:$AY$1,E$1)+SUMIFS('changes2_based on steps'!$B89:$U89,'changes2_based on steps'!$B$1:$U$1,E$1)</f>
        <v>0</v>
      </c>
      <c r="F89" s="179">
        <f>SUMIFS('recurring2_based on steps'!$B89:$AY89,'recurring2_based on steps'!$B$1:$AY$1,F$1)+SUMIFS('changes2_based on steps'!$B89:$U89,'changes2_based on steps'!$B$1:$U$1,F$1)</f>
        <v>0</v>
      </c>
      <c r="G89" s="179">
        <f>SUMIFS('recurring2_based on steps'!$B89:$AY89,'recurring2_based on steps'!$B$1:$AY$1,G$1)+SUMIFS('changes2_based on steps'!$B89:$U89,'changes2_based on steps'!$B$1:$U$1,G$1)</f>
        <v>0</v>
      </c>
      <c r="H89" s="179">
        <f>SUMIFS('recurring2_based on steps'!$B89:$AY89,'recurring2_based on steps'!$B$1:$AY$1,H$1)+SUMIFS('changes2_based on steps'!$B89:$U89,'changes2_based on steps'!$B$1:$U$1,H$1)</f>
        <v>0</v>
      </c>
      <c r="I89" s="179">
        <f>SUMIFS('recurring2_based on steps'!$B89:$AY89,'recurring2_based on steps'!$B$1:$AY$1,I$1)+SUMIFS('changes2_based on steps'!$B89:$U89,'changes2_based on steps'!$B$1:$U$1,I$1)</f>
        <v>0</v>
      </c>
      <c r="J89" s="179">
        <f>SUMIFS('recurring2_based on steps'!$B89:$AY89,'recurring2_based on steps'!$B$1:$AY$1,J$1)+SUMIFS('changes2_based on steps'!$B89:$U89,'changes2_based on steps'!$B$1:$U$1,J$1)</f>
        <v>0</v>
      </c>
      <c r="K89" s="179">
        <f>SUMIFS('recurring2_based on steps'!$B89:$AY89,'recurring2_based on steps'!$B$1:$AY$1,K$1)+SUMIFS('changes2_based on steps'!$B89:$U89,'changes2_based on steps'!$B$1:$U$1,K$1)</f>
        <v>0</v>
      </c>
      <c r="L89" s="179">
        <f>SUMIFS('recurring2_based on steps'!$B89:$AY89,'recurring2_based on steps'!$B$1:$AY$1,L$1)+SUMIFS('changes2_based on steps'!$B89:$U89,'changes2_based on steps'!$B$1:$U$1,L$1)</f>
        <v>0</v>
      </c>
      <c r="M89" s="179">
        <f>SUMIFS('recurring2_based on steps'!$B89:$AY89,'recurring2_based on steps'!$B$1:$AY$1,M$1)+SUMIFS('changes2_based on steps'!$B89:$U89,'changes2_based on steps'!$B$1:$U$1,M$1)</f>
        <v>0</v>
      </c>
      <c r="N89" s="179">
        <f>SUMIFS('recurring2_based on steps'!$B89:$AY89,'recurring2_based on steps'!$B$1:$AY$1,N$1)+SUMIFS('changes2_based on steps'!$B89:$U89,'changes2_based on steps'!$B$1:$U$1,N$1)</f>
        <v>0</v>
      </c>
      <c r="O89" s="179">
        <f>SUMIFS('recurring2_based on steps'!$B89:$AY89,'recurring2_based on steps'!$B$1:$AY$1,O$1)+SUMIFS('changes2_based on steps'!$B89:$U89,'changes2_based on steps'!$B$1:$U$1,O$1)</f>
        <v>0</v>
      </c>
      <c r="P89" s="179">
        <f>SUMIFS('recurring2_based on steps'!$B89:$AY89,'recurring2_based on steps'!$B$1:$AY$1,P$1)+SUMIFS('changes2_based on steps'!$B89:$U89,'changes2_based on steps'!$B$1:$U$1,P$1)</f>
        <v>0</v>
      </c>
      <c r="Q89" s="179">
        <f>SUMIFS('recurring2_based on steps'!$B89:$AY89,'recurring2_based on steps'!$B$1:$AY$1,Q$1)+SUMIFS('changes2_based on steps'!$B89:$U89,'changes2_based on steps'!$B$1:$U$1,Q$1)</f>
        <v>0</v>
      </c>
      <c r="R89" s="179">
        <f>SUMIFS('recurring2_based on steps'!$B89:$AY89,'recurring2_based on steps'!$B$1:$AY$1,R$1)+SUMIFS('changes2_based on steps'!$B89:$U89,'changes2_based on steps'!$B$1:$U$1,R$1)</f>
        <v>0</v>
      </c>
      <c r="S89" s="179">
        <f>SUMIFS('recurring2_based on steps'!$B89:$AY89,'recurring2_based on steps'!$B$1:$AY$1,S$1)+SUMIFS('changes2_based on steps'!$B89:$U89,'changes2_based on steps'!$B$1:$U$1,S$1)</f>
        <v>0</v>
      </c>
      <c r="T89" s="179">
        <f>SUMIFS('recurring2_based on steps'!$B89:$AY89,'recurring2_based on steps'!$B$1:$AY$1,T$1)+SUMIFS('changes2_based on steps'!$B89:$U89,'changes2_based on steps'!$B$1:$U$1,T$1)</f>
        <v>0</v>
      </c>
      <c r="U89" s="179">
        <f>SUMIFS('recurring2_based on steps'!$B89:$AY89,'recurring2_based on steps'!$B$1:$AY$1,U$1)+SUMIFS('changes2_based on steps'!$B89:$U89,'changes2_based on steps'!$B$1:$U$1,U$1)</f>
        <v>0</v>
      </c>
      <c r="V89" s="179">
        <f>SUMIFS('recurring2_based on steps'!$B89:$AY89,'recurring2_based on steps'!$B$1:$AY$1,V$1)+SUMIFS('changes2_based on steps'!$B89:$U89,'changes2_based on steps'!$B$1:$U$1,V$1)</f>
        <v>0</v>
      </c>
      <c r="W89" s="179">
        <f>SUMIFS('recurring2_based on steps'!$B89:$AY89,'recurring2_based on steps'!$B$1:$AY$1,W$1)+SUMIFS('changes2_based on steps'!$B89:$U89,'changes2_based on steps'!$B$1:$U$1,W$1)</f>
        <v>0</v>
      </c>
      <c r="X89" s="179">
        <f>SUMIFS('recurring2_based on steps'!$B89:$AY89,'recurring2_based on steps'!$B$1:$AY$1,X$1)+SUMIFS('changes2_based on steps'!$B89:$U89,'changes2_based on steps'!$B$1:$U$1,X$1)</f>
        <v>0</v>
      </c>
      <c r="Y89" s="179">
        <f>SUMIFS('recurring2_based on steps'!$B89:$AY89,'recurring2_based on steps'!$B$1:$AY$1,Y$1)+SUMIFS('changes2_based on steps'!$B89:$U89,'changes2_based on steps'!$B$1:$U$1,Y$1)</f>
        <v>0</v>
      </c>
      <c r="Z89" s="179">
        <f>SUMIFS('recurring2_based on steps'!$B89:$AY89,'recurring2_based on steps'!$B$1:$AY$1,Z$1)+SUMIFS('changes2_based on steps'!$B89:$U89,'changes2_based on steps'!$B$1:$U$1,Z$1)</f>
        <v>0</v>
      </c>
      <c r="AA89" s="179">
        <f>SUMIFS('recurring2_based on steps'!$B89:$AY89,'recurring2_based on steps'!$B$1:$AY$1,AA$1)+SUMIFS('changes2_based on steps'!$B89:$U89,'changes2_based on steps'!$B$1:$U$1,AA$1)</f>
        <v>0</v>
      </c>
      <c r="AB89" s="179">
        <f>SUMIFS('recurring2_based on steps'!$B89:$AY89,'recurring2_based on steps'!$B$1:$AY$1,AB$1)+SUMIFS('changes2_based on steps'!$B89:$U89,'changes2_based on steps'!$B$1:$U$1,AB$1)</f>
        <v>0</v>
      </c>
      <c r="AC89" s="179">
        <f>SUMIFS('recurring2_based on steps'!$B89:$AY89,'recurring2_based on steps'!$B$1:$AY$1,AC$1)+SUMIFS('changes2_based on steps'!$B89:$U89,'changes2_based on steps'!$B$1:$U$1,AC$1)</f>
        <v>0</v>
      </c>
      <c r="AD89" s="179">
        <f>SUMIFS('recurring2_based on steps'!$B89:$AY89,'recurring2_based on steps'!$B$1:$AY$1,AD$1)+SUMIFS('changes2_based on steps'!$B89:$U89,'changes2_based on steps'!$B$1:$U$1,AD$1)</f>
        <v>0</v>
      </c>
      <c r="AE89" s="179">
        <f>SUMIFS('recurring2_based on steps'!$B89:$AY89,'recurring2_based on steps'!$B$1:$AY$1,AE$1)+SUMIFS('changes2_based on steps'!$B89:$U89,'changes2_based on steps'!$B$1:$U$1,AE$1)</f>
        <v>0</v>
      </c>
      <c r="AF89" s="179"/>
      <c r="AG89" s="179"/>
      <c r="AH89" s="179"/>
      <c r="AI89" s="179"/>
      <c r="AJ89" s="179"/>
      <c r="AK89" s="179"/>
      <c r="AL89" s="179"/>
      <c r="AM89" s="179"/>
    </row>
    <row r="90" spans="1:39" x14ac:dyDescent="0.2">
      <c r="A90" s="32">
        <f t="shared" ca="1" si="1"/>
        <v>45839</v>
      </c>
      <c r="B90" s="179">
        <f>SUMIFS('recurring2_based on steps'!$B90:$AY90,'recurring2_based on steps'!$B$1:$AY$1,B$1)+SUMIFS('changes2_based on steps'!$B90:$U90,'changes2_based on steps'!$B$1:$U$1,B$1)</f>
        <v>0</v>
      </c>
      <c r="C90" s="179">
        <f>SUMIFS('recurring2_based on steps'!$B90:$AY90,'recurring2_based on steps'!$B$1:$AY$1,C$1)+SUMIFS('changes2_based on steps'!$B90:$U90,'changes2_based on steps'!$B$1:$U$1,C$1)</f>
        <v>0</v>
      </c>
      <c r="D90" s="179">
        <f>SUMIFS('recurring2_based on steps'!$B90:$AY90,'recurring2_based on steps'!$B$1:$AY$1,D$1)+SUMIFS('changes2_based on steps'!$B90:$U90,'changes2_based on steps'!$B$1:$U$1,D$1)</f>
        <v>0</v>
      </c>
      <c r="E90" s="179">
        <f>SUMIFS('recurring2_based on steps'!$B90:$AY90,'recurring2_based on steps'!$B$1:$AY$1,E$1)+SUMIFS('changes2_based on steps'!$B90:$U90,'changes2_based on steps'!$B$1:$U$1,E$1)</f>
        <v>0</v>
      </c>
      <c r="F90" s="179">
        <f>SUMIFS('recurring2_based on steps'!$B90:$AY90,'recurring2_based on steps'!$B$1:$AY$1,F$1)+SUMIFS('changes2_based on steps'!$B90:$U90,'changes2_based on steps'!$B$1:$U$1,F$1)</f>
        <v>0</v>
      </c>
      <c r="G90" s="179">
        <f>SUMIFS('recurring2_based on steps'!$B90:$AY90,'recurring2_based on steps'!$B$1:$AY$1,G$1)+SUMIFS('changes2_based on steps'!$B90:$U90,'changes2_based on steps'!$B$1:$U$1,G$1)</f>
        <v>0</v>
      </c>
      <c r="H90" s="179">
        <f>SUMIFS('recurring2_based on steps'!$B90:$AY90,'recurring2_based on steps'!$B$1:$AY$1,H$1)+SUMIFS('changes2_based on steps'!$B90:$U90,'changes2_based on steps'!$B$1:$U$1,H$1)</f>
        <v>0</v>
      </c>
      <c r="I90" s="179">
        <f>SUMIFS('recurring2_based on steps'!$B90:$AY90,'recurring2_based on steps'!$B$1:$AY$1,I$1)+SUMIFS('changes2_based on steps'!$B90:$U90,'changes2_based on steps'!$B$1:$U$1,I$1)</f>
        <v>0</v>
      </c>
      <c r="J90" s="179">
        <f>SUMIFS('recurring2_based on steps'!$B90:$AY90,'recurring2_based on steps'!$B$1:$AY$1,J$1)+SUMIFS('changes2_based on steps'!$B90:$U90,'changes2_based on steps'!$B$1:$U$1,J$1)</f>
        <v>0</v>
      </c>
      <c r="K90" s="179">
        <f>SUMIFS('recurring2_based on steps'!$B90:$AY90,'recurring2_based on steps'!$B$1:$AY$1,K$1)+SUMIFS('changes2_based on steps'!$B90:$U90,'changes2_based on steps'!$B$1:$U$1,K$1)</f>
        <v>0</v>
      </c>
      <c r="L90" s="179">
        <f>SUMIFS('recurring2_based on steps'!$B90:$AY90,'recurring2_based on steps'!$B$1:$AY$1,L$1)+SUMIFS('changes2_based on steps'!$B90:$U90,'changes2_based on steps'!$B$1:$U$1,L$1)</f>
        <v>0</v>
      </c>
      <c r="M90" s="179">
        <f>SUMIFS('recurring2_based on steps'!$B90:$AY90,'recurring2_based on steps'!$B$1:$AY$1,M$1)+SUMIFS('changes2_based on steps'!$B90:$U90,'changes2_based on steps'!$B$1:$U$1,M$1)</f>
        <v>0</v>
      </c>
      <c r="N90" s="179">
        <f>SUMIFS('recurring2_based on steps'!$B90:$AY90,'recurring2_based on steps'!$B$1:$AY$1,N$1)+SUMIFS('changes2_based on steps'!$B90:$U90,'changes2_based on steps'!$B$1:$U$1,N$1)</f>
        <v>0</v>
      </c>
      <c r="O90" s="179">
        <f>SUMIFS('recurring2_based on steps'!$B90:$AY90,'recurring2_based on steps'!$B$1:$AY$1,O$1)+SUMIFS('changes2_based on steps'!$B90:$U90,'changes2_based on steps'!$B$1:$U$1,O$1)</f>
        <v>0</v>
      </c>
      <c r="P90" s="179">
        <f>SUMIFS('recurring2_based on steps'!$B90:$AY90,'recurring2_based on steps'!$B$1:$AY$1,P$1)+SUMIFS('changes2_based on steps'!$B90:$U90,'changes2_based on steps'!$B$1:$U$1,P$1)</f>
        <v>0</v>
      </c>
      <c r="Q90" s="179">
        <f>SUMIFS('recurring2_based on steps'!$B90:$AY90,'recurring2_based on steps'!$B$1:$AY$1,Q$1)+SUMIFS('changes2_based on steps'!$B90:$U90,'changes2_based on steps'!$B$1:$U$1,Q$1)</f>
        <v>0</v>
      </c>
      <c r="R90" s="179">
        <f>SUMIFS('recurring2_based on steps'!$B90:$AY90,'recurring2_based on steps'!$B$1:$AY$1,R$1)+SUMIFS('changes2_based on steps'!$B90:$U90,'changes2_based on steps'!$B$1:$U$1,R$1)</f>
        <v>0</v>
      </c>
      <c r="S90" s="179">
        <f>SUMIFS('recurring2_based on steps'!$B90:$AY90,'recurring2_based on steps'!$B$1:$AY$1,S$1)+SUMIFS('changes2_based on steps'!$B90:$U90,'changes2_based on steps'!$B$1:$U$1,S$1)</f>
        <v>0</v>
      </c>
      <c r="T90" s="179">
        <f>SUMIFS('recurring2_based on steps'!$B90:$AY90,'recurring2_based on steps'!$B$1:$AY$1,T$1)+SUMIFS('changes2_based on steps'!$B90:$U90,'changes2_based on steps'!$B$1:$U$1,T$1)</f>
        <v>0</v>
      </c>
      <c r="U90" s="179">
        <f>SUMIFS('recurring2_based on steps'!$B90:$AY90,'recurring2_based on steps'!$B$1:$AY$1,U$1)+SUMIFS('changes2_based on steps'!$B90:$U90,'changes2_based on steps'!$B$1:$U$1,U$1)</f>
        <v>0</v>
      </c>
      <c r="V90" s="179">
        <f>SUMIFS('recurring2_based on steps'!$B90:$AY90,'recurring2_based on steps'!$B$1:$AY$1,V$1)+SUMIFS('changes2_based on steps'!$B90:$U90,'changes2_based on steps'!$B$1:$U$1,V$1)</f>
        <v>0</v>
      </c>
      <c r="W90" s="179">
        <f>SUMIFS('recurring2_based on steps'!$B90:$AY90,'recurring2_based on steps'!$B$1:$AY$1,W$1)+SUMIFS('changes2_based on steps'!$B90:$U90,'changes2_based on steps'!$B$1:$U$1,W$1)</f>
        <v>0</v>
      </c>
      <c r="X90" s="179">
        <f>SUMIFS('recurring2_based on steps'!$B90:$AY90,'recurring2_based on steps'!$B$1:$AY$1,X$1)+SUMIFS('changes2_based on steps'!$B90:$U90,'changes2_based on steps'!$B$1:$U$1,X$1)</f>
        <v>0</v>
      </c>
      <c r="Y90" s="179">
        <f>SUMIFS('recurring2_based on steps'!$B90:$AY90,'recurring2_based on steps'!$B$1:$AY$1,Y$1)+SUMIFS('changes2_based on steps'!$B90:$U90,'changes2_based on steps'!$B$1:$U$1,Y$1)</f>
        <v>0</v>
      </c>
      <c r="Z90" s="179">
        <f>SUMIFS('recurring2_based on steps'!$B90:$AY90,'recurring2_based on steps'!$B$1:$AY$1,Z$1)+SUMIFS('changes2_based on steps'!$B90:$U90,'changes2_based on steps'!$B$1:$U$1,Z$1)</f>
        <v>0</v>
      </c>
      <c r="AA90" s="179">
        <f>SUMIFS('recurring2_based on steps'!$B90:$AY90,'recurring2_based on steps'!$B$1:$AY$1,AA$1)+SUMIFS('changes2_based on steps'!$B90:$U90,'changes2_based on steps'!$B$1:$U$1,AA$1)</f>
        <v>0</v>
      </c>
      <c r="AB90" s="179">
        <f>SUMIFS('recurring2_based on steps'!$B90:$AY90,'recurring2_based on steps'!$B$1:$AY$1,AB$1)+SUMIFS('changes2_based on steps'!$B90:$U90,'changes2_based on steps'!$B$1:$U$1,AB$1)</f>
        <v>0</v>
      </c>
      <c r="AC90" s="179">
        <f>SUMIFS('recurring2_based on steps'!$B90:$AY90,'recurring2_based on steps'!$B$1:$AY$1,AC$1)+SUMIFS('changes2_based on steps'!$B90:$U90,'changes2_based on steps'!$B$1:$U$1,AC$1)</f>
        <v>0</v>
      </c>
      <c r="AD90" s="179">
        <f>SUMIFS('recurring2_based on steps'!$B90:$AY90,'recurring2_based on steps'!$B$1:$AY$1,AD$1)+SUMIFS('changes2_based on steps'!$B90:$U90,'changes2_based on steps'!$B$1:$U$1,AD$1)</f>
        <v>0</v>
      </c>
      <c r="AE90" s="179">
        <f>SUMIFS('recurring2_based on steps'!$B90:$AY90,'recurring2_based on steps'!$B$1:$AY$1,AE$1)+SUMIFS('changes2_based on steps'!$B90:$U90,'changes2_based on steps'!$B$1:$U$1,AE$1)</f>
        <v>0</v>
      </c>
      <c r="AF90" s="179"/>
      <c r="AG90" s="179"/>
      <c r="AH90" s="179"/>
      <c r="AI90" s="179"/>
      <c r="AJ90" s="179"/>
      <c r="AK90" s="179"/>
      <c r="AL90" s="179"/>
      <c r="AM90" s="179"/>
    </row>
    <row r="91" spans="1:39" x14ac:dyDescent="0.2">
      <c r="A91" s="32">
        <f t="shared" ca="1" si="1"/>
        <v>45840</v>
      </c>
      <c r="B91" s="179">
        <f>SUMIFS('recurring2_based on steps'!$B91:$AY91,'recurring2_based on steps'!$B$1:$AY$1,B$1)+SUMIFS('changes2_based on steps'!$B91:$U91,'changes2_based on steps'!$B$1:$U$1,B$1)</f>
        <v>0</v>
      </c>
      <c r="C91" s="179">
        <f>SUMIFS('recurring2_based on steps'!$B91:$AY91,'recurring2_based on steps'!$B$1:$AY$1,C$1)+SUMIFS('changes2_based on steps'!$B91:$U91,'changes2_based on steps'!$B$1:$U$1,C$1)</f>
        <v>0</v>
      </c>
      <c r="D91" s="179">
        <f>SUMIFS('recurring2_based on steps'!$B91:$AY91,'recurring2_based on steps'!$B$1:$AY$1,D$1)+SUMIFS('changes2_based on steps'!$B91:$U91,'changes2_based on steps'!$B$1:$U$1,D$1)</f>
        <v>0</v>
      </c>
      <c r="E91" s="179">
        <f>SUMIFS('recurring2_based on steps'!$B91:$AY91,'recurring2_based on steps'!$B$1:$AY$1,E$1)+SUMIFS('changes2_based on steps'!$B91:$U91,'changes2_based on steps'!$B$1:$U$1,E$1)</f>
        <v>0</v>
      </c>
      <c r="F91" s="179">
        <f>SUMIFS('recurring2_based on steps'!$B91:$AY91,'recurring2_based on steps'!$B$1:$AY$1,F$1)+SUMIFS('changes2_based on steps'!$B91:$U91,'changes2_based on steps'!$B$1:$U$1,F$1)</f>
        <v>0</v>
      </c>
      <c r="G91" s="179">
        <f>SUMIFS('recurring2_based on steps'!$B91:$AY91,'recurring2_based on steps'!$B$1:$AY$1,G$1)+SUMIFS('changes2_based on steps'!$B91:$U91,'changes2_based on steps'!$B$1:$U$1,G$1)</f>
        <v>0</v>
      </c>
      <c r="H91" s="179">
        <f>SUMIFS('recurring2_based on steps'!$B91:$AY91,'recurring2_based on steps'!$B$1:$AY$1,H$1)+SUMIFS('changes2_based on steps'!$B91:$U91,'changes2_based on steps'!$B$1:$U$1,H$1)</f>
        <v>0</v>
      </c>
      <c r="I91" s="179">
        <f>SUMIFS('recurring2_based on steps'!$B91:$AY91,'recurring2_based on steps'!$B$1:$AY$1,I$1)+SUMIFS('changes2_based on steps'!$B91:$U91,'changes2_based on steps'!$B$1:$U$1,I$1)</f>
        <v>0</v>
      </c>
      <c r="J91" s="179">
        <f>SUMIFS('recurring2_based on steps'!$B91:$AY91,'recurring2_based on steps'!$B$1:$AY$1,J$1)+SUMIFS('changes2_based on steps'!$B91:$U91,'changes2_based on steps'!$B$1:$U$1,J$1)</f>
        <v>0</v>
      </c>
      <c r="K91" s="179">
        <f>SUMIFS('recurring2_based on steps'!$B91:$AY91,'recurring2_based on steps'!$B$1:$AY$1,K$1)+SUMIFS('changes2_based on steps'!$B91:$U91,'changes2_based on steps'!$B$1:$U$1,K$1)</f>
        <v>0</v>
      </c>
      <c r="L91" s="179">
        <f>SUMIFS('recurring2_based on steps'!$B91:$AY91,'recurring2_based on steps'!$B$1:$AY$1,L$1)+SUMIFS('changes2_based on steps'!$B91:$U91,'changes2_based on steps'!$B$1:$U$1,L$1)</f>
        <v>0</v>
      </c>
      <c r="M91" s="179">
        <f>SUMIFS('recurring2_based on steps'!$B91:$AY91,'recurring2_based on steps'!$B$1:$AY$1,M$1)+SUMIFS('changes2_based on steps'!$B91:$U91,'changes2_based on steps'!$B$1:$U$1,M$1)</f>
        <v>0</v>
      </c>
      <c r="N91" s="179">
        <f>SUMIFS('recurring2_based on steps'!$B91:$AY91,'recurring2_based on steps'!$B$1:$AY$1,N$1)+SUMIFS('changes2_based on steps'!$B91:$U91,'changes2_based on steps'!$B$1:$U$1,N$1)</f>
        <v>0</v>
      </c>
      <c r="O91" s="179">
        <f>SUMIFS('recurring2_based on steps'!$B91:$AY91,'recurring2_based on steps'!$B$1:$AY$1,O$1)+SUMIFS('changes2_based on steps'!$B91:$U91,'changes2_based on steps'!$B$1:$U$1,O$1)</f>
        <v>0</v>
      </c>
      <c r="P91" s="179">
        <f>SUMIFS('recurring2_based on steps'!$B91:$AY91,'recurring2_based on steps'!$B$1:$AY$1,P$1)+SUMIFS('changes2_based on steps'!$B91:$U91,'changes2_based on steps'!$B$1:$U$1,P$1)</f>
        <v>0</v>
      </c>
      <c r="Q91" s="179">
        <f>SUMIFS('recurring2_based on steps'!$B91:$AY91,'recurring2_based on steps'!$B$1:$AY$1,Q$1)+SUMIFS('changes2_based on steps'!$B91:$U91,'changes2_based on steps'!$B$1:$U$1,Q$1)</f>
        <v>0</v>
      </c>
      <c r="R91" s="179">
        <f>SUMIFS('recurring2_based on steps'!$B91:$AY91,'recurring2_based on steps'!$B$1:$AY$1,R$1)+SUMIFS('changes2_based on steps'!$B91:$U91,'changes2_based on steps'!$B$1:$U$1,R$1)</f>
        <v>0</v>
      </c>
      <c r="S91" s="179">
        <f>SUMIFS('recurring2_based on steps'!$B91:$AY91,'recurring2_based on steps'!$B$1:$AY$1,S$1)+SUMIFS('changes2_based on steps'!$B91:$U91,'changes2_based on steps'!$B$1:$U$1,S$1)</f>
        <v>0</v>
      </c>
      <c r="T91" s="179">
        <f>SUMIFS('recurring2_based on steps'!$B91:$AY91,'recurring2_based on steps'!$B$1:$AY$1,T$1)+SUMIFS('changes2_based on steps'!$B91:$U91,'changes2_based on steps'!$B$1:$U$1,T$1)</f>
        <v>0</v>
      </c>
      <c r="U91" s="179">
        <f>SUMIFS('recurring2_based on steps'!$B91:$AY91,'recurring2_based on steps'!$B$1:$AY$1,U$1)+SUMIFS('changes2_based on steps'!$B91:$U91,'changes2_based on steps'!$B$1:$U$1,U$1)</f>
        <v>0</v>
      </c>
      <c r="V91" s="179">
        <f>SUMIFS('recurring2_based on steps'!$B91:$AY91,'recurring2_based on steps'!$B$1:$AY$1,V$1)+SUMIFS('changes2_based on steps'!$B91:$U91,'changes2_based on steps'!$B$1:$U$1,V$1)</f>
        <v>0</v>
      </c>
      <c r="W91" s="179">
        <f>SUMIFS('recurring2_based on steps'!$B91:$AY91,'recurring2_based on steps'!$B$1:$AY$1,W$1)+SUMIFS('changes2_based on steps'!$B91:$U91,'changes2_based on steps'!$B$1:$U$1,W$1)</f>
        <v>0</v>
      </c>
      <c r="X91" s="179">
        <f>SUMIFS('recurring2_based on steps'!$B91:$AY91,'recurring2_based on steps'!$B$1:$AY$1,X$1)+SUMIFS('changes2_based on steps'!$B91:$U91,'changes2_based on steps'!$B$1:$U$1,X$1)</f>
        <v>0</v>
      </c>
      <c r="Y91" s="179">
        <f>SUMIFS('recurring2_based on steps'!$B91:$AY91,'recurring2_based on steps'!$B$1:$AY$1,Y$1)+SUMIFS('changes2_based on steps'!$B91:$U91,'changes2_based on steps'!$B$1:$U$1,Y$1)</f>
        <v>0</v>
      </c>
      <c r="Z91" s="179">
        <f>SUMIFS('recurring2_based on steps'!$B91:$AY91,'recurring2_based on steps'!$B$1:$AY$1,Z$1)+SUMIFS('changes2_based on steps'!$B91:$U91,'changes2_based on steps'!$B$1:$U$1,Z$1)</f>
        <v>0</v>
      </c>
      <c r="AA91" s="179">
        <f>SUMIFS('recurring2_based on steps'!$B91:$AY91,'recurring2_based on steps'!$B$1:$AY$1,AA$1)+SUMIFS('changes2_based on steps'!$B91:$U91,'changes2_based on steps'!$B$1:$U$1,AA$1)</f>
        <v>0</v>
      </c>
      <c r="AB91" s="179">
        <f>SUMIFS('recurring2_based on steps'!$B91:$AY91,'recurring2_based on steps'!$B$1:$AY$1,AB$1)+SUMIFS('changes2_based on steps'!$B91:$U91,'changes2_based on steps'!$B$1:$U$1,AB$1)</f>
        <v>0</v>
      </c>
      <c r="AC91" s="179">
        <f>SUMIFS('recurring2_based on steps'!$B91:$AY91,'recurring2_based on steps'!$B$1:$AY$1,AC$1)+SUMIFS('changes2_based on steps'!$B91:$U91,'changes2_based on steps'!$B$1:$U$1,AC$1)</f>
        <v>0</v>
      </c>
      <c r="AD91" s="179">
        <f>SUMIFS('recurring2_based on steps'!$B91:$AY91,'recurring2_based on steps'!$B$1:$AY$1,AD$1)+SUMIFS('changes2_based on steps'!$B91:$U91,'changes2_based on steps'!$B$1:$U$1,AD$1)</f>
        <v>0</v>
      </c>
      <c r="AE91" s="179">
        <f>SUMIFS('recurring2_based on steps'!$B91:$AY91,'recurring2_based on steps'!$B$1:$AY$1,AE$1)+SUMIFS('changes2_based on steps'!$B91:$U91,'changes2_based on steps'!$B$1:$U$1,AE$1)</f>
        <v>0</v>
      </c>
      <c r="AF91" s="179"/>
      <c r="AG91" s="179"/>
      <c r="AH91" s="179"/>
      <c r="AI91" s="179"/>
      <c r="AJ91" s="179"/>
      <c r="AK91" s="179"/>
      <c r="AL91" s="179"/>
      <c r="AM91" s="179"/>
    </row>
    <row r="92" spans="1:39" x14ac:dyDescent="0.2">
      <c r="A92" s="32">
        <f t="shared" ca="1" si="1"/>
        <v>45841</v>
      </c>
      <c r="B92" s="179">
        <f>SUMIFS('recurring2_based on steps'!$B92:$AY92,'recurring2_based on steps'!$B$1:$AY$1,B$1)+SUMIFS('changes2_based on steps'!$B92:$U92,'changes2_based on steps'!$B$1:$U$1,B$1)</f>
        <v>0</v>
      </c>
      <c r="C92" s="179">
        <f>SUMIFS('recurring2_based on steps'!$B92:$AY92,'recurring2_based on steps'!$B$1:$AY$1,C$1)+SUMIFS('changes2_based on steps'!$B92:$U92,'changes2_based on steps'!$B$1:$U$1,C$1)</f>
        <v>0</v>
      </c>
      <c r="D92" s="179">
        <f>SUMIFS('recurring2_based on steps'!$B92:$AY92,'recurring2_based on steps'!$B$1:$AY$1,D$1)+SUMIFS('changes2_based on steps'!$B92:$U92,'changes2_based on steps'!$B$1:$U$1,D$1)</f>
        <v>0</v>
      </c>
      <c r="E92" s="179">
        <f>SUMIFS('recurring2_based on steps'!$B92:$AY92,'recurring2_based on steps'!$B$1:$AY$1,E$1)+SUMIFS('changes2_based on steps'!$B92:$U92,'changes2_based on steps'!$B$1:$U$1,E$1)</f>
        <v>0</v>
      </c>
      <c r="F92" s="179">
        <f>SUMIFS('recurring2_based on steps'!$B92:$AY92,'recurring2_based on steps'!$B$1:$AY$1,F$1)+SUMIFS('changes2_based on steps'!$B92:$U92,'changes2_based on steps'!$B$1:$U$1,F$1)</f>
        <v>0</v>
      </c>
      <c r="G92" s="179">
        <f>SUMIFS('recurring2_based on steps'!$B92:$AY92,'recurring2_based on steps'!$B$1:$AY$1,G$1)+SUMIFS('changes2_based on steps'!$B92:$U92,'changes2_based on steps'!$B$1:$U$1,G$1)</f>
        <v>0</v>
      </c>
      <c r="H92" s="179">
        <f>SUMIFS('recurring2_based on steps'!$B92:$AY92,'recurring2_based on steps'!$B$1:$AY$1,H$1)+SUMIFS('changes2_based on steps'!$B92:$U92,'changes2_based on steps'!$B$1:$U$1,H$1)</f>
        <v>0</v>
      </c>
      <c r="I92" s="179">
        <f>SUMIFS('recurring2_based on steps'!$B92:$AY92,'recurring2_based on steps'!$B$1:$AY$1,I$1)+SUMIFS('changes2_based on steps'!$B92:$U92,'changes2_based on steps'!$B$1:$U$1,I$1)</f>
        <v>0</v>
      </c>
      <c r="J92" s="179">
        <f>SUMIFS('recurring2_based on steps'!$B92:$AY92,'recurring2_based on steps'!$B$1:$AY$1,J$1)+SUMIFS('changes2_based on steps'!$B92:$U92,'changes2_based on steps'!$B$1:$U$1,J$1)</f>
        <v>0</v>
      </c>
      <c r="K92" s="179">
        <f>SUMIFS('recurring2_based on steps'!$B92:$AY92,'recurring2_based on steps'!$B$1:$AY$1,K$1)+SUMIFS('changes2_based on steps'!$B92:$U92,'changes2_based on steps'!$B$1:$U$1,K$1)</f>
        <v>0</v>
      </c>
      <c r="L92" s="179">
        <f>SUMIFS('recurring2_based on steps'!$B92:$AY92,'recurring2_based on steps'!$B$1:$AY$1,L$1)+SUMIFS('changes2_based on steps'!$B92:$U92,'changes2_based on steps'!$B$1:$U$1,L$1)</f>
        <v>0</v>
      </c>
      <c r="M92" s="179">
        <f>SUMIFS('recurring2_based on steps'!$B92:$AY92,'recurring2_based on steps'!$B$1:$AY$1,M$1)+SUMIFS('changes2_based on steps'!$B92:$U92,'changes2_based on steps'!$B$1:$U$1,M$1)</f>
        <v>0</v>
      </c>
      <c r="N92" s="179">
        <f>SUMIFS('recurring2_based on steps'!$B92:$AY92,'recurring2_based on steps'!$B$1:$AY$1,N$1)+SUMIFS('changes2_based on steps'!$B92:$U92,'changes2_based on steps'!$B$1:$U$1,N$1)</f>
        <v>0</v>
      </c>
      <c r="O92" s="179">
        <f>SUMIFS('recurring2_based on steps'!$B92:$AY92,'recurring2_based on steps'!$B$1:$AY$1,O$1)+SUMIFS('changes2_based on steps'!$B92:$U92,'changes2_based on steps'!$B$1:$U$1,O$1)</f>
        <v>0</v>
      </c>
      <c r="P92" s="179">
        <f>SUMIFS('recurring2_based on steps'!$B92:$AY92,'recurring2_based on steps'!$B$1:$AY$1,P$1)+SUMIFS('changes2_based on steps'!$B92:$U92,'changes2_based on steps'!$B$1:$U$1,P$1)</f>
        <v>0</v>
      </c>
      <c r="Q92" s="179">
        <f>SUMIFS('recurring2_based on steps'!$B92:$AY92,'recurring2_based on steps'!$B$1:$AY$1,Q$1)+SUMIFS('changes2_based on steps'!$B92:$U92,'changes2_based on steps'!$B$1:$U$1,Q$1)</f>
        <v>0</v>
      </c>
      <c r="R92" s="179">
        <f>SUMIFS('recurring2_based on steps'!$B92:$AY92,'recurring2_based on steps'!$B$1:$AY$1,R$1)+SUMIFS('changes2_based on steps'!$B92:$U92,'changes2_based on steps'!$B$1:$U$1,R$1)</f>
        <v>0</v>
      </c>
      <c r="S92" s="179">
        <f>SUMIFS('recurring2_based on steps'!$B92:$AY92,'recurring2_based on steps'!$B$1:$AY$1,S$1)+SUMIFS('changes2_based on steps'!$B92:$U92,'changes2_based on steps'!$B$1:$U$1,S$1)</f>
        <v>0</v>
      </c>
      <c r="T92" s="179">
        <f>SUMIFS('recurring2_based on steps'!$B92:$AY92,'recurring2_based on steps'!$B$1:$AY$1,T$1)+SUMIFS('changes2_based on steps'!$B92:$U92,'changes2_based on steps'!$B$1:$U$1,T$1)</f>
        <v>0</v>
      </c>
      <c r="U92" s="179">
        <f>SUMIFS('recurring2_based on steps'!$B92:$AY92,'recurring2_based on steps'!$B$1:$AY$1,U$1)+SUMIFS('changes2_based on steps'!$B92:$U92,'changes2_based on steps'!$B$1:$U$1,U$1)</f>
        <v>0</v>
      </c>
      <c r="V92" s="179">
        <f>SUMIFS('recurring2_based on steps'!$B92:$AY92,'recurring2_based on steps'!$B$1:$AY$1,V$1)+SUMIFS('changes2_based on steps'!$B92:$U92,'changes2_based on steps'!$B$1:$U$1,V$1)</f>
        <v>0</v>
      </c>
      <c r="W92" s="179">
        <f>SUMIFS('recurring2_based on steps'!$B92:$AY92,'recurring2_based on steps'!$B$1:$AY$1,W$1)+SUMIFS('changes2_based on steps'!$B92:$U92,'changes2_based on steps'!$B$1:$U$1,W$1)</f>
        <v>0</v>
      </c>
      <c r="X92" s="179">
        <f>SUMIFS('recurring2_based on steps'!$B92:$AY92,'recurring2_based on steps'!$B$1:$AY$1,X$1)+SUMIFS('changes2_based on steps'!$B92:$U92,'changes2_based on steps'!$B$1:$U$1,X$1)</f>
        <v>0</v>
      </c>
      <c r="Y92" s="179">
        <f>SUMIFS('recurring2_based on steps'!$B92:$AY92,'recurring2_based on steps'!$B$1:$AY$1,Y$1)+SUMIFS('changes2_based on steps'!$B92:$U92,'changes2_based on steps'!$B$1:$U$1,Y$1)</f>
        <v>0</v>
      </c>
      <c r="Z92" s="179">
        <f>SUMIFS('recurring2_based on steps'!$B92:$AY92,'recurring2_based on steps'!$B$1:$AY$1,Z$1)+SUMIFS('changes2_based on steps'!$B92:$U92,'changes2_based on steps'!$B$1:$U$1,Z$1)</f>
        <v>0</v>
      </c>
      <c r="AA92" s="179">
        <f>SUMIFS('recurring2_based on steps'!$B92:$AY92,'recurring2_based on steps'!$B$1:$AY$1,AA$1)+SUMIFS('changes2_based on steps'!$B92:$U92,'changes2_based on steps'!$B$1:$U$1,AA$1)</f>
        <v>0</v>
      </c>
      <c r="AB92" s="179">
        <f>SUMIFS('recurring2_based on steps'!$B92:$AY92,'recurring2_based on steps'!$B$1:$AY$1,AB$1)+SUMIFS('changes2_based on steps'!$B92:$U92,'changes2_based on steps'!$B$1:$U$1,AB$1)</f>
        <v>0</v>
      </c>
      <c r="AC92" s="179">
        <f>SUMIFS('recurring2_based on steps'!$B92:$AY92,'recurring2_based on steps'!$B$1:$AY$1,AC$1)+SUMIFS('changes2_based on steps'!$B92:$U92,'changes2_based on steps'!$B$1:$U$1,AC$1)</f>
        <v>0</v>
      </c>
      <c r="AD92" s="179">
        <f>SUMIFS('recurring2_based on steps'!$B92:$AY92,'recurring2_based on steps'!$B$1:$AY$1,AD$1)+SUMIFS('changes2_based on steps'!$B92:$U92,'changes2_based on steps'!$B$1:$U$1,AD$1)</f>
        <v>0</v>
      </c>
      <c r="AE92" s="179">
        <f>SUMIFS('recurring2_based on steps'!$B92:$AY92,'recurring2_based on steps'!$B$1:$AY$1,AE$1)+SUMIFS('changes2_based on steps'!$B92:$U92,'changes2_based on steps'!$B$1:$U$1,AE$1)</f>
        <v>0</v>
      </c>
      <c r="AF92" s="179"/>
      <c r="AG92" s="179"/>
      <c r="AH92" s="179"/>
      <c r="AI92" s="179"/>
      <c r="AJ92" s="179"/>
      <c r="AK92" s="179"/>
      <c r="AL92" s="179"/>
      <c r="AM92" s="179"/>
    </row>
    <row r="93" spans="1:39" x14ac:dyDescent="0.2">
      <c r="A93" s="32">
        <f t="shared" ca="1" si="1"/>
        <v>45842</v>
      </c>
      <c r="B93" s="179">
        <f>SUMIFS('recurring2_based on steps'!$B93:$AY93,'recurring2_based on steps'!$B$1:$AY$1,B$1)+SUMIFS('changes2_based on steps'!$B93:$U93,'changes2_based on steps'!$B$1:$U$1,B$1)</f>
        <v>0</v>
      </c>
      <c r="C93" s="179">
        <f>SUMIFS('recurring2_based on steps'!$B93:$AY93,'recurring2_based on steps'!$B$1:$AY$1,C$1)+SUMIFS('changes2_based on steps'!$B93:$U93,'changes2_based on steps'!$B$1:$U$1,C$1)</f>
        <v>0</v>
      </c>
      <c r="D93" s="179">
        <f>SUMIFS('recurring2_based on steps'!$B93:$AY93,'recurring2_based on steps'!$B$1:$AY$1,D$1)+SUMIFS('changes2_based on steps'!$B93:$U93,'changes2_based on steps'!$B$1:$U$1,D$1)</f>
        <v>0</v>
      </c>
      <c r="E93" s="179">
        <f>SUMIFS('recurring2_based on steps'!$B93:$AY93,'recurring2_based on steps'!$B$1:$AY$1,E$1)+SUMIFS('changes2_based on steps'!$B93:$U93,'changes2_based on steps'!$B$1:$U$1,E$1)</f>
        <v>0</v>
      </c>
      <c r="F93" s="179">
        <f>SUMIFS('recurring2_based on steps'!$B93:$AY93,'recurring2_based on steps'!$B$1:$AY$1,F$1)+SUMIFS('changes2_based on steps'!$B93:$U93,'changes2_based on steps'!$B$1:$U$1,F$1)</f>
        <v>0</v>
      </c>
      <c r="G93" s="179">
        <f>SUMIFS('recurring2_based on steps'!$B93:$AY93,'recurring2_based on steps'!$B$1:$AY$1,G$1)+SUMIFS('changes2_based on steps'!$B93:$U93,'changes2_based on steps'!$B$1:$U$1,G$1)</f>
        <v>0</v>
      </c>
      <c r="H93" s="179">
        <f>SUMIFS('recurring2_based on steps'!$B93:$AY93,'recurring2_based on steps'!$B$1:$AY$1,H$1)+SUMIFS('changes2_based on steps'!$B93:$U93,'changes2_based on steps'!$B$1:$U$1,H$1)</f>
        <v>0</v>
      </c>
      <c r="I93" s="179">
        <f>SUMIFS('recurring2_based on steps'!$B93:$AY93,'recurring2_based on steps'!$B$1:$AY$1,I$1)+SUMIFS('changes2_based on steps'!$B93:$U93,'changes2_based on steps'!$B$1:$U$1,I$1)</f>
        <v>0</v>
      </c>
      <c r="J93" s="179">
        <f>SUMIFS('recurring2_based on steps'!$B93:$AY93,'recurring2_based on steps'!$B$1:$AY$1,J$1)+SUMIFS('changes2_based on steps'!$B93:$U93,'changes2_based on steps'!$B$1:$U$1,J$1)</f>
        <v>0</v>
      </c>
      <c r="K93" s="179">
        <f>SUMIFS('recurring2_based on steps'!$B93:$AY93,'recurring2_based on steps'!$B$1:$AY$1,K$1)+SUMIFS('changes2_based on steps'!$B93:$U93,'changes2_based on steps'!$B$1:$U$1,K$1)</f>
        <v>0</v>
      </c>
      <c r="L93" s="179">
        <f>SUMIFS('recurring2_based on steps'!$B93:$AY93,'recurring2_based on steps'!$B$1:$AY$1,L$1)+SUMIFS('changes2_based on steps'!$B93:$U93,'changes2_based on steps'!$B$1:$U$1,L$1)</f>
        <v>0</v>
      </c>
      <c r="M93" s="179">
        <f>SUMIFS('recurring2_based on steps'!$B93:$AY93,'recurring2_based on steps'!$B$1:$AY$1,M$1)+SUMIFS('changes2_based on steps'!$B93:$U93,'changes2_based on steps'!$B$1:$U$1,M$1)</f>
        <v>0</v>
      </c>
      <c r="N93" s="179">
        <f>SUMIFS('recurring2_based on steps'!$B93:$AY93,'recurring2_based on steps'!$B$1:$AY$1,N$1)+SUMIFS('changes2_based on steps'!$B93:$U93,'changes2_based on steps'!$B$1:$U$1,N$1)</f>
        <v>0</v>
      </c>
      <c r="O93" s="179">
        <f>SUMIFS('recurring2_based on steps'!$B93:$AY93,'recurring2_based on steps'!$B$1:$AY$1,O$1)+SUMIFS('changes2_based on steps'!$B93:$U93,'changes2_based on steps'!$B$1:$U$1,O$1)</f>
        <v>0</v>
      </c>
      <c r="P93" s="179">
        <f>SUMIFS('recurring2_based on steps'!$B93:$AY93,'recurring2_based on steps'!$B$1:$AY$1,P$1)+SUMIFS('changes2_based on steps'!$B93:$U93,'changes2_based on steps'!$B$1:$U$1,P$1)</f>
        <v>0</v>
      </c>
      <c r="Q93" s="179">
        <f>SUMIFS('recurring2_based on steps'!$B93:$AY93,'recurring2_based on steps'!$B$1:$AY$1,Q$1)+SUMIFS('changes2_based on steps'!$B93:$U93,'changes2_based on steps'!$B$1:$U$1,Q$1)</f>
        <v>0</v>
      </c>
      <c r="R93" s="179">
        <f>SUMIFS('recurring2_based on steps'!$B93:$AY93,'recurring2_based on steps'!$B$1:$AY$1,R$1)+SUMIFS('changes2_based on steps'!$B93:$U93,'changes2_based on steps'!$B$1:$U$1,R$1)</f>
        <v>0</v>
      </c>
      <c r="S93" s="179">
        <f>SUMIFS('recurring2_based on steps'!$B93:$AY93,'recurring2_based on steps'!$B$1:$AY$1,S$1)+SUMIFS('changes2_based on steps'!$B93:$U93,'changes2_based on steps'!$B$1:$U$1,S$1)</f>
        <v>0</v>
      </c>
      <c r="T93" s="179">
        <f>SUMIFS('recurring2_based on steps'!$B93:$AY93,'recurring2_based on steps'!$B$1:$AY$1,T$1)+SUMIFS('changes2_based on steps'!$B93:$U93,'changes2_based on steps'!$B$1:$U$1,T$1)</f>
        <v>0</v>
      </c>
      <c r="U93" s="179">
        <f>SUMIFS('recurring2_based on steps'!$B93:$AY93,'recurring2_based on steps'!$B$1:$AY$1,U$1)+SUMIFS('changes2_based on steps'!$B93:$U93,'changes2_based on steps'!$B$1:$U$1,U$1)</f>
        <v>0</v>
      </c>
      <c r="V93" s="179">
        <f>SUMIFS('recurring2_based on steps'!$B93:$AY93,'recurring2_based on steps'!$B$1:$AY$1,V$1)+SUMIFS('changes2_based on steps'!$B93:$U93,'changes2_based on steps'!$B$1:$U$1,V$1)</f>
        <v>0</v>
      </c>
      <c r="W93" s="179">
        <f>SUMIFS('recurring2_based on steps'!$B93:$AY93,'recurring2_based on steps'!$B$1:$AY$1,W$1)+SUMIFS('changes2_based on steps'!$B93:$U93,'changes2_based on steps'!$B$1:$U$1,W$1)</f>
        <v>0</v>
      </c>
      <c r="X93" s="179">
        <f>SUMIFS('recurring2_based on steps'!$B93:$AY93,'recurring2_based on steps'!$B$1:$AY$1,X$1)+SUMIFS('changes2_based on steps'!$B93:$U93,'changes2_based on steps'!$B$1:$U$1,X$1)</f>
        <v>0</v>
      </c>
      <c r="Y93" s="179">
        <f>SUMIFS('recurring2_based on steps'!$B93:$AY93,'recurring2_based on steps'!$B$1:$AY$1,Y$1)+SUMIFS('changes2_based on steps'!$B93:$U93,'changes2_based on steps'!$B$1:$U$1,Y$1)</f>
        <v>0</v>
      </c>
      <c r="Z93" s="179">
        <f>SUMIFS('recurring2_based on steps'!$B93:$AY93,'recurring2_based on steps'!$B$1:$AY$1,Z$1)+SUMIFS('changes2_based on steps'!$B93:$U93,'changes2_based on steps'!$B$1:$U$1,Z$1)</f>
        <v>0</v>
      </c>
      <c r="AA93" s="179">
        <f>SUMIFS('recurring2_based on steps'!$B93:$AY93,'recurring2_based on steps'!$B$1:$AY$1,AA$1)+SUMIFS('changes2_based on steps'!$B93:$U93,'changes2_based on steps'!$B$1:$U$1,AA$1)</f>
        <v>0</v>
      </c>
      <c r="AB93" s="179">
        <f>SUMIFS('recurring2_based on steps'!$B93:$AY93,'recurring2_based on steps'!$B$1:$AY$1,AB$1)+SUMIFS('changes2_based on steps'!$B93:$U93,'changes2_based on steps'!$B$1:$U$1,AB$1)</f>
        <v>0</v>
      </c>
      <c r="AC93" s="179">
        <f>SUMIFS('recurring2_based on steps'!$B93:$AY93,'recurring2_based on steps'!$B$1:$AY$1,AC$1)+SUMIFS('changes2_based on steps'!$B93:$U93,'changes2_based on steps'!$B$1:$U$1,AC$1)</f>
        <v>0</v>
      </c>
      <c r="AD93" s="179">
        <f>SUMIFS('recurring2_based on steps'!$B93:$AY93,'recurring2_based on steps'!$B$1:$AY$1,AD$1)+SUMIFS('changes2_based on steps'!$B93:$U93,'changes2_based on steps'!$B$1:$U$1,AD$1)</f>
        <v>0</v>
      </c>
      <c r="AE93" s="179">
        <f>SUMIFS('recurring2_based on steps'!$B93:$AY93,'recurring2_based on steps'!$B$1:$AY$1,AE$1)+SUMIFS('changes2_based on steps'!$B93:$U93,'changes2_based on steps'!$B$1:$U$1,AE$1)</f>
        <v>0</v>
      </c>
      <c r="AF93" s="179"/>
      <c r="AG93" s="179"/>
      <c r="AH93" s="179"/>
      <c r="AI93" s="179"/>
      <c r="AJ93" s="179"/>
      <c r="AK93" s="179"/>
      <c r="AL93" s="179"/>
      <c r="AM93" s="179"/>
    </row>
    <row r="94" spans="1:39" x14ac:dyDescent="0.2">
      <c r="A94" s="32">
        <f t="shared" ca="1" si="1"/>
        <v>45843</v>
      </c>
      <c r="B94" s="179">
        <f>SUMIFS('recurring2_based on steps'!$B94:$AY94,'recurring2_based on steps'!$B$1:$AY$1,B$1)+SUMIFS('changes2_based on steps'!$B94:$U94,'changes2_based on steps'!$B$1:$U$1,B$1)</f>
        <v>0</v>
      </c>
      <c r="C94" s="179">
        <f>SUMIFS('recurring2_based on steps'!$B94:$AY94,'recurring2_based on steps'!$B$1:$AY$1,C$1)+SUMIFS('changes2_based on steps'!$B94:$U94,'changes2_based on steps'!$B$1:$U$1,C$1)</f>
        <v>0</v>
      </c>
      <c r="D94" s="179">
        <f>SUMIFS('recurring2_based on steps'!$B94:$AY94,'recurring2_based on steps'!$B$1:$AY$1,D$1)+SUMIFS('changes2_based on steps'!$B94:$U94,'changes2_based on steps'!$B$1:$U$1,D$1)</f>
        <v>0</v>
      </c>
      <c r="E94" s="179">
        <f>SUMIFS('recurring2_based on steps'!$B94:$AY94,'recurring2_based on steps'!$B$1:$AY$1,E$1)+SUMIFS('changes2_based on steps'!$B94:$U94,'changes2_based on steps'!$B$1:$U$1,E$1)</f>
        <v>0</v>
      </c>
      <c r="F94" s="179">
        <f>SUMIFS('recurring2_based on steps'!$B94:$AY94,'recurring2_based on steps'!$B$1:$AY$1,F$1)+SUMIFS('changes2_based on steps'!$B94:$U94,'changes2_based on steps'!$B$1:$U$1,F$1)</f>
        <v>0</v>
      </c>
      <c r="G94" s="179">
        <f>SUMIFS('recurring2_based on steps'!$B94:$AY94,'recurring2_based on steps'!$B$1:$AY$1,G$1)+SUMIFS('changes2_based on steps'!$B94:$U94,'changes2_based on steps'!$B$1:$U$1,G$1)</f>
        <v>0</v>
      </c>
      <c r="H94" s="179">
        <f>SUMIFS('recurring2_based on steps'!$B94:$AY94,'recurring2_based on steps'!$B$1:$AY$1,H$1)+SUMIFS('changes2_based on steps'!$B94:$U94,'changes2_based on steps'!$B$1:$U$1,H$1)</f>
        <v>0</v>
      </c>
      <c r="I94" s="179">
        <f>SUMIFS('recurring2_based on steps'!$B94:$AY94,'recurring2_based on steps'!$B$1:$AY$1,I$1)+SUMIFS('changes2_based on steps'!$B94:$U94,'changes2_based on steps'!$B$1:$U$1,I$1)</f>
        <v>0</v>
      </c>
      <c r="J94" s="179">
        <f>SUMIFS('recurring2_based on steps'!$B94:$AY94,'recurring2_based on steps'!$B$1:$AY$1,J$1)+SUMIFS('changes2_based on steps'!$B94:$U94,'changes2_based on steps'!$B$1:$U$1,J$1)</f>
        <v>0</v>
      </c>
      <c r="K94" s="179">
        <f>SUMIFS('recurring2_based on steps'!$B94:$AY94,'recurring2_based on steps'!$B$1:$AY$1,K$1)+SUMIFS('changes2_based on steps'!$B94:$U94,'changes2_based on steps'!$B$1:$U$1,K$1)</f>
        <v>0</v>
      </c>
      <c r="L94" s="179">
        <f>SUMIFS('recurring2_based on steps'!$B94:$AY94,'recurring2_based on steps'!$B$1:$AY$1,L$1)+SUMIFS('changes2_based on steps'!$B94:$U94,'changes2_based on steps'!$B$1:$U$1,L$1)</f>
        <v>0</v>
      </c>
      <c r="M94" s="179">
        <f>SUMIFS('recurring2_based on steps'!$B94:$AY94,'recurring2_based on steps'!$B$1:$AY$1,M$1)+SUMIFS('changes2_based on steps'!$B94:$U94,'changes2_based on steps'!$B$1:$U$1,M$1)</f>
        <v>0</v>
      </c>
      <c r="N94" s="179">
        <f>SUMIFS('recurring2_based on steps'!$B94:$AY94,'recurring2_based on steps'!$B$1:$AY$1,N$1)+SUMIFS('changes2_based on steps'!$B94:$U94,'changes2_based on steps'!$B$1:$U$1,N$1)</f>
        <v>0</v>
      </c>
      <c r="O94" s="179">
        <f>SUMIFS('recurring2_based on steps'!$B94:$AY94,'recurring2_based on steps'!$B$1:$AY$1,O$1)+SUMIFS('changes2_based on steps'!$B94:$U94,'changes2_based on steps'!$B$1:$U$1,O$1)</f>
        <v>0</v>
      </c>
      <c r="P94" s="179">
        <f>SUMIFS('recurring2_based on steps'!$B94:$AY94,'recurring2_based on steps'!$B$1:$AY$1,P$1)+SUMIFS('changes2_based on steps'!$B94:$U94,'changes2_based on steps'!$B$1:$U$1,P$1)</f>
        <v>0</v>
      </c>
      <c r="Q94" s="179">
        <f>SUMIFS('recurring2_based on steps'!$B94:$AY94,'recurring2_based on steps'!$B$1:$AY$1,Q$1)+SUMIFS('changes2_based on steps'!$B94:$U94,'changes2_based on steps'!$B$1:$U$1,Q$1)</f>
        <v>0</v>
      </c>
      <c r="R94" s="179">
        <f>SUMIFS('recurring2_based on steps'!$B94:$AY94,'recurring2_based on steps'!$B$1:$AY$1,R$1)+SUMIFS('changes2_based on steps'!$B94:$U94,'changes2_based on steps'!$B$1:$U$1,R$1)</f>
        <v>0</v>
      </c>
      <c r="S94" s="179">
        <f>SUMIFS('recurring2_based on steps'!$B94:$AY94,'recurring2_based on steps'!$B$1:$AY$1,S$1)+SUMIFS('changes2_based on steps'!$B94:$U94,'changes2_based on steps'!$B$1:$U$1,S$1)</f>
        <v>0</v>
      </c>
      <c r="T94" s="179">
        <f>SUMIFS('recurring2_based on steps'!$B94:$AY94,'recurring2_based on steps'!$B$1:$AY$1,T$1)+SUMIFS('changes2_based on steps'!$B94:$U94,'changes2_based on steps'!$B$1:$U$1,T$1)</f>
        <v>0</v>
      </c>
      <c r="U94" s="179">
        <f>SUMIFS('recurring2_based on steps'!$B94:$AY94,'recurring2_based on steps'!$B$1:$AY$1,U$1)+SUMIFS('changes2_based on steps'!$B94:$U94,'changes2_based on steps'!$B$1:$U$1,U$1)</f>
        <v>0</v>
      </c>
      <c r="V94" s="179">
        <f>SUMIFS('recurring2_based on steps'!$B94:$AY94,'recurring2_based on steps'!$B$1:$AY$1,V$1)+SUMIFS('changes2_based on steps'!$B94:$U94,'changes2_based on steps'!$B$1:$U$1,V$1)</f>
        <v>0</v>
      </c>
      <c r="W94" s="179">
        <f>SUMIFS('recurring2_based on steps'!$B94:$AY94,'recurring2_based on steps'!$B$1:$AY$1,W$1)+SUMIFS('changes2_based on steps'!$B94:$U94,'changes2_based on steps'!$B$1:$U$1,W$1)</f>
        <v>0</v>
      </c>
      <c r="X94" s="179">
        <f>SUMIFS('recurring2_based on steps'!$B94:$AY94,'recurring2_based on steps'!$B$1:$AY$1,X$1)+SUMIFS('changes2_based on steps'!$B94:$U94,'changes2_based on steps'!$B$1:$U$1,X$1)</f>
        <v>0</v>
      </c>
      <c r="Y94" s="179">
        <f>SUMIFS('recurring2_based on steps'!$B94:$AY94,'recurring2_based on steps'!$B$1:$AY$1,Y$1)+SUMIFS('changes2_based on steps'!$B94:$U94,'changes2_based on steps'!$B$1:$U$1,Y$1)</f>
        <v>0</v>
      </c>
      <c r="Z94" s="179">
        <f>SUMIFS('recurring2_based on steps'!$B94:$AY94,'recurring2_based on steps'!$B$1:$AY$1,Z$1)+SUMIFS('changes2_based on steps'!$B94:$U94,'changes2_based on steps'!$B$1:$U$1,Z$1)</f>
        <v>0</v>
      </c>
      <c r="AA94" s="179">
        <f>SUMIFS('recurring2_based on steps'!$B94:$AY94,'recurring2_based on steps'!$B$1:$AY$1,AA$1)+SUMIFS('changes2_based on steps'!$B94:$U94,'changes2_based on steps'!$B$1:$U$1,AA$1)</f>
        <v>0</v>
      </c>
      <c r="AB94" s="179">
        <f>SUMIFS('recurring2_based on steps'!$B94:$AY94,'recurring2_based on steps'!$B$1:$AY$1,AB$1)+SUMIFS('changes2_based on steps'!$B94:$U94,'changes2_based on steps'!$B$1:$U$1,AB$1)</f>
        <v>0</v>
      </c>
      <c r="AC94" s="179">
        <f>SUMIFS('recurring2_based on steps'!$B94:$AY94,'recurring2_based on steps'!$B$1:$AY$1,AC$1)+SUMIFS('changes2_based on steps'!$B94:$U94,'changes2_based on steps'!$B$1:$U$1,AC$1)</f>
        <v>0</v>
      </c>
      <c r="AD94" s="179">
        <f>SUMIFS('recurring2_based on steps'!$B94:$AY94,'recurring2_based on steps'!$B$1:$AY$1,AD$1)+SUMIFS('changes2_based on steps'!$B94:$U94,'changes2_based on steps'!$B$1:$U$1,AD$1)</f>
        <v>0</v>
      </c>
      <c r="AE94" s="179">
        <f>SUMIFS('recurring2_based on steps'!$B94:$AY94,'recurring2_based on steps'!$B$1:$AY$1,AE$1)+SUMIFS('changes2_based on steps'!$B94:$U94,'changes2_based on steps'!$B$1:$U$1,AE$1)</f>
        <v>0</v>
      </c>
      <c r="AF94" s="179"/>
      <c r="AG94" s="179"/>
      <c r="AH94" s="179"/>
      <c r="AI94" s="179"/>
      <c r="AJ94" s="179"/>
      <c r="AK94" s="179"/>
      <c r="AL94" s="179"/>
      <c r="AM94" s="179"/>
    </row>
    <row r="95" spans="1:39" x14ac:dyDescent="0.2">
      <c r="A95" s="32">
        <f t="shared" ca="1" si="1"/>
        <v>45844</v>
      </c>
      <c r="B95" s="179">
        <f>SUMIFS('recurring2_based on steps'!$B95:$AY95,'recurring2_based on steps'!$B$1:$AY$1,B$1)+SUMIFS('changes2_based on steps'!$B95:$U95,'changes2_based on steps'!$B$1:$U$1,B$1)</f>
        <v>0</v>
      </c>
      <c r="C95" s="179">
        <f>SUMIFS('recurring2_based on steps'!$B95:$AY95,'recurring2_based on steps'!$B$1:$AY$1,C$1)+SUMIFS('changes2_based on steps'!$B95:$U95,'changes2_based on steps'!$B$1:$U$1,C$1)</f>
        <v>0</v>
      </c>
      <c r="D95" s="179">
        <f>SUMIFS('recurring2_based on steps'!$B95:$AY95,'recurring2_based on steps'!$B$1:$AY$1,D$1)+SUMIFS('changes2_based on steps'!$B95:$U95,'changes2_based on steps'!$B$1:$U$1,D$1)</f>
        <v>0</v>
      </c>
      <c r="E95" s="179">
        <f>SUMIFS('recurring2_based on steps'!$B95:$AY95,'recurring2_based on steps'!$B$1:$AY$1,E$1)+SUMIFS('changes2_based on steps'!$B95:$U95,'changes2_based on steps'!$B$1:$U$1,E$1)</f>
        <v>0</v>
      </c>
      <c r="F95" s="179">
        <f>SUMIFS('recurring2_based on steps'!$B95:$AY95,'recurring2_based on steps'!$B$1:$AY$1,F$1)+SUMIFS('changes2_based on steps'!$B95:$U95,'changes2_based on steps'!$B$1:$U$1,F$1)</f>
        <v>0</v>
      </c>
      <c r="G95" s="179">
        <f>SUMIFS('recurring2_based on steps'!$B95:$AY95,'recurring2_based on steps'!$B$1:$AY$1,G$1)+SUMIFS('changes2_based on steps'!$B95:$U95,'changes2_based on steps'!$B$1:$U$1,G$1)</f>
        <v>0</v>
      </c>
      <c r="H95" s="179">
        <f>SUMIFS('recurring2_based on steps'!$B95:$AY95,'recurring2_based on steps'!$B$1:$AY$1,H$1)+SUMIFS('changes2_based on steps'!$B95:$U95,'changes2_based on steps'!$B$1:$U$1,H$1)</f>
        <v>0</v>
      </c>
      <c r="I95" s="179">
        <f>SUMIFS('recurring2_based on steps'!$B95:$AY95,'recurring2_based on steps'!$B$1:$AY$1,I$1)+SUMIFS('changes2_based on steps'!$B95:$U95,'changes2_based on steps'!$B$1:$U$1,I$1)</f>
        <v>0</v>
      </c>
      <c r="J95" s="179">
        <f>SUMIFS('recurring2_based on steps'!$B95:$AY95,'recurring2_based on steps'!$B$1:$AY$1,J$1)+SUMIFS('changes2_based on steps'!$B95:$U95,'changes2_based on steps'!$B$1:$U$1,J$1)</f>
        <v>0</v>
      </c>
      <c r="K95" s="179">
        <f>SUMIFS('recurring2_based on steps'!$B95:$AY95,'recurring2_based on steps'!$B$1:$AY$1,K$1)+SUMIFS('changes2_based on steps'!$B95:$U95,'changes2_based on steps'!$B$1:$U$1,K$1)</f>
        <v>0</v>
      </c>
      <c r="L95" s="179">
        <f>SUMIFS('recurring2_based on steps'!$B95:$AY95,'recurring2_based on steps'!$B$1:$AY$1,L$1)+SUMIFS('changes2_based on steps'!$B95:$U95,'changes2_based on steps'!$B$1:$U$1,L$1)</f>
        <v>0</v>
      </c>
      <c r="M95" s="179">
        <f>SUMIFS('recurring2_based on steps'!$B95:$AY95,'recurring2_based on steps'!$B$1:$AY$1,M$1)+SUMIFS('changes2_based on steps'!$B95:$U95,'changes2_based on steps'!$B$1:$U$1,M$1)</f>
        <v>0</v>
      </c>
      <c r="N95" s="179">
        <f>SUMIFS('recurring2_based on steps'!$B95:$AY95,'recurring2_based on steps'!$B$1:$AY$1,N$1)+SUMIFS('changes2_based on steps'!$B95:$U95,'changes2_based on steps'!$B$1:$U$1,N$1)</f>
        <v>0</v>
      </c>
      <c r="O95" s="179">
        <f>SUMIFS('recurring2_based on steps'!$B95:$AY95,'recurring2_based on steps'!$B$1:$AY$1,O$1)+SUMIFS('changes2_based on steps'!$B95:$U95,'changes2_based on steps'!$B$1:$U$1,O$1)</f>
        <v>0</v>
      </c>
      <c r="P95" s="179">
        <f>SUMIFS('recurring2_based on steps'!$B95:$AY95,'recurring2_based on steps'!$B$1:$AY$1,P$1)+SUMIFS('changes2_based on steps'!$B95:$U95,'changes2_based on steps'!$B$1:$U$1,P$1)</f>
        <v>0</v>
      </c>
      <c r="Q95" s="179">
        <f>SUMIFS('recurring2_based on steps'!$B95:$AY95,'recurring2_based on steps'!$B$1:$AY$1,Q$1)+SUMIFS('changes2_based on steps'!$B95:$U95,'changes2_based on steps'!$B$1:$U$1,Q$1)</f>
        <v>0</v>
      </c>
      <c r="R95" s="179">
        <f>SUMIFS('recurring2_based on steps'!$B95:$AY95,'recurring2_based on steps'!$B$1:$AY$1,R$1)+SUMIFS('changes2_based on steps'!$B95:$U95,'changes2_based on steps'!$B$1:$U$1,R$1)</f>
        <v>0</v>
      </c>
      <c r="S95" s="179">
        <f>SUMIFS('recurring2_based on steps'!$B95:$AY95,'recurring2_based on steps'!$B$1:$AY$1,S$1)+SUMIFS('changes2_based on steps'!$B95:$U95,'changes2_based on steps'!$B$1:$U$1,S$1)</f>
        <v>0</v>
      </c>
      <c r="T95" s="179">
        <f>SUMIFS('recurring2_based on steps'!$B95:$AY95,'recurring2_based on steps'!$B$1:$AY$1,T$1)+SUMIFS('changes2_based on steps'!$B95:$U95,'changes2_based on steps'!$B$1:$U$1,T$1)</f>
        <v>0</v>
      </c>
      <c r="U95" s="179">
        <f>SUMIFS('recurring2_based on steps'!$B95:$AY95,'recurring2_based on steps'!$B$1:$AY$1,U$1)+SUMIFS('changes2_based on steps'!$B95:$U95,'changes2_based on steps'!$B$1:$U$1,U$1)</f>
        <v>0</v>
      </c>
      <c r="V95" s="179">
        <f>SUMIFS('recurring2_based on steps'!$B95:$AY95,'recurring2_based on steps'!$B$1:$AY$1,V$1)+SUMIFS('changes2_based on steps'!$B95:$U95,'changes2_based on steps'!$B$1:$U$1,V$1)</f>
        <v>0</v>
      </c>
      <c r="W95" s="179">
        <f>SUMIFS('recurring2_based on steps'!$B95:$AY95,'recurring2_based on steps'!$B$1:$AY$1,W$1)+SUMIFS('changes2_based on steps'!$B95:$U95,'changes2_based on steps'!$B$1:$U$1,W$1)</f>
        <v>0</v>
      </c>
      <c r="X95" s="179">
        <f>SUMIFS('recurring2_based on steps'!$B95:$AY95,'recurring2_based on steps'!$B$1:$AY$1,X$1)+SUMIFS('changes2_based on steps'!$B95:$U95,'changes2_based on steps'!$B$1:$U$1,X$1)</f>
        <v>0</v>
      </c>
      <c r="Y95" s="179">
        <f>SUMIFS('recurring2_based on steps'!$B95:$AY95,'recurring2_based on steps'!$B$1:$AY$1,Y$1)+SUMIFS('changes2_based on steps'!$B95:$U95,'changes2_based on steps'!$B$1:$U$1,Y$1)</f>
        <v>0</v>
      </c>
      <c r="Z95" s="179">
        <f>SUMIFS('recurring2_based on steps'!$B95:$AY95,'recurring2_based on steps'!$B$1:$AY$1,Z$1)+SUMIFS('changes2_based on steps'!$B95:$U95,'changes2_based on steps'!$B$1:$U$1,Z$1)</f>
        <v>0</v>
      </c>
      <c r="AA95" s="179">
        <f>SUMIFS('recurring2_based on steps'!$B95:$AY95,'recurring2_based on steps'!$B$1:$AY$1,AA$1)+SUMIFS('changes2_based on steps'!$B95:$U95,'changes2_based on steps'!$B$1:$U$1,AA$1)</f>
        <v>0</v>
      </c>
      <c r="AB95" s="179">
        <f>SUMIFS('recurring2_based on steps'!$B95:$AY95,'recurring2_based on steps'!$B$1:$AY$1,AB$1)+SUMIFS('changes2_based on steps'!$B95:$U95,'changes2_based on steps'!$B$1:$U$1,AB$1)</f>
        <v>0</v>
      </c>
      <c r="AC95" s="179">
        <f>SUMIFS('recurring2_based on steps'!$B95:$AY95,'recurring2_based on steps'!$B$1:$AY$1,AC$1)+SUMIFS('changes2_based on steps'!$B95:$U95,'changes2_based on steps'!$B$1:$U$1,AC$1)</f>
        <v>0</v>
      </c>
      <c r="AD95" s="179">
        <f>SUMIFS('recurring2_based on steps'!$B95:$AY95,'recurring2_based on steps'!$B$1:$AY$1,AD$1)+SUMIFS('changes2_based on steps'!$B95:$U95,'changes2_based on steps'!$B$1:$U$1,AD$1)</f>
        <v>0</v>
      </c>
      <c r="AE95" s="179">
        <f>SUMIFS('recurring2_based on steps'!$B95:$AY95,'recurring2_based on steps'!$B$1:$AY$1,AE$1)+SUMIFS('changes2_based on steps'!$B95:$U95,'changes2_based on steps'!$B$1:$U$1,AE$1)</f>
        <v>0</v>
      </c>
      <c r="AF95" s="179"/>
      <c r="AG95" s="179"/>
      <c r="AH95" s="179"/>
      <c r="AI95" s="179"/>
      <c r="AJ95" s="179"/>
      <c r="AK95" s="179"/>
      <c r="AL95" s="179"/>
      <c r="AM95" s="179"/>
    </row>
    <row r="96" spans="1:39" x14ac:dyDescent="0.2">
      <c r="A96" s="32">
        <f t="shared" ca="1" si="1"/>
        <v>45845</v>
      </c>
      <c r="B96" s="179">
        <f>SUMIFS('recurring2_based on steps'!$B96:$AY96,'recurring2_based on steps'!$B$1:$AY$1,B$1)+SUMIFS('changes2_based on steps'!$B96:$U96,'changes2_based on steps'!$B$1:$U$1,B$1)</f>
        <v>0</v>
      </c>
      <c r="C96" s="179">
        <f>SUMIFS('recurring2_based on steps'!$B96:$AY96,'recurring2_based on steps'!$B$1:$AY$1,C$1)+SUMIFS('changes2_based on steps'!$B96:$U96,'changes2_based on steps'!$B$1:$U$1,C$1)</f>
        <v>0</v>
      </c>
      <c r="D96" s="179">
        <f>SUMIFS('recurring2_based on steps'!$B96:$AY96,'recurring2_based on steps'!$B$1:$AY$1,D$1)+SUMIFS('changes2_based on steps'!$B96:$U96,'changes2_based on steps'!$B$1:$U$1,D$1)</f>
        <v>0</v>
      </c>
      <c r="E96" s="179">
        <f>SUMIFS('recurring2_based on steps'!$B96:$AY96,'recurring2_based on steps'!$B$1:$AY$1,E$1)+SUMIFS('changes2_based on steps'!$B96:$U96,'changes2_based on steps'!$B$1:$U$1,E$1)</f>
        <v>0</v>
      </c>
      <c r="F96" s="179">
        <f>SUMIFS('recurring2_based on steps'!$B96:$AY96,'recurring2_based on steps'!$B$1:$AY$1,F$1)+SUMIFS('changes2_based on steps'!$B96:$U96,'changes2_based on steps'!$B$1:$U$1,F$1)</f>
        <v>0</v>
      </c>
      <c r="G96" s="179">
        <f>SUMIFS('recurring2_based on steps'!$B96:$AY96,'recurring2_based on steps'!$B$1:$AY$1,G$1)+SUMIFS('changes2_based on steps'!$B96:$U96,'changes2_based on steps'!$B$1:$U$1,G$1)</f>
        <v>0</v>
      </c>
      <c r="H96" s="179">
        <f>SUMIFS('recurring2_based on steps'!$B96:$AY96,'recurring2_based on steps'!$B$1:$AY$1,H$1)+SUMIFS('changes2_based on steps'!$B96:$U96,'changes2_based on steps'!$B$1:$U$1,H$1)</f>
        <v>0</v>
      </c>
      <c r="I96" s="179">
        <f>SUMIFS('recurring2_based on steps'!$B96:$AY96,'recurring2_based on steps'!$B$1:$AY$1,I$1)+SUMIFS('changes2_based on steps'!$B96:$U96,'changes2_based on steps'!$B$1:$U$1,I$1)</f>
        <v>0</v>
      </c>
      <c r="J96" s="179">
        <f>SUMIFS('recurring2_based on steps'!$B96:$AY96,'recurring2_based on steps'!$B$1:$AY$1,J$1)+SUMIFS('changes2_based on steps'!$B96:$U96,'changes2_based on steps'!$B$1:$U$1,J$1)</f>
        <v>0</v>
      </c>
      <c r="K96" s="179">
        <f>SUMIFS('recurring2_based on steps'!$B96:$AY96,'recurring2_based on steps'!$B$1:$AY$1,K$1)+SUMIFS('changes2_based on steps'!$B96:$U96,'changes2_based on steps'!$B$1:$U$1,K$1)</f>
        <v>0</v>
      </c>
      <c r="L96" s="179">
        <f>SUMIFS('recurring2_based on steps'!$B96:$AY96,'recurring2_based on steps'!$B$1:$AY$1,L$1)+SUMIFS('changes2_based on steps'!$B96:$U96,'changes2_based on steps'!$B$1:$U$1,L$1)</f>
        <v>0</v>
      </c>
      <c r="M96" s="179">
        <f>SUMIFS('recurring2_based on steps'!$B96:$AY96,'recurring2_based on steps'!$B$1:$AY$1,M$1)+SUMIFS('changes2_based on steps'!$B96:$U96,'changes2_based on steps'!$B$1:$U$1,M$1)</f>
        <v>0</v>
      </c>
      <c r="N96" s="179">
        <f>SUMIFS('recurring2_based on steps'!$B96:$AY96,'recurring2_based on steps'!$B$1:$AY$1,N$1)+SUMIFS('changes2_based on steps'!$B96:$U96,'changes2_based on steps'!$B$1:$U$1,N$1)</f>
        <v>0</v>
      </c>
      <c r="O96" s="179">
        <f>SUMIFS('recurring2_based on steps'!$B96:$AY96,'recurring2_based on steps'!$B$1:$AY$1,O$1)+SUMIFS('changes2_based on steps'!$B96:$U96,'changes2_based on steps'!$B$1:$U$1,O$1)</f>
        <v>0</v>
      </c>
      <c r="P96" s="179">
        <f>SUMIFS('recurring2_based on steps'!$B96:$AY96,'recurring2_based on steps'!$B$1:$AY$1,P$1)+SUMIFS('changes2_based on steps'!$B96:$U96,'changes2_based on steps'!$B$1:$U$1,P$1)</f>
        <v>0</v>
      </c>
      <c r="Q96" s="179">
        <f>SUMIFS('recurring2_based on steps'!$B96:$AY96,'recurring2_based on steps'!$B$1:$AY$1,Q$1)+SUMIFS('changes2_based on steps'!$B96:$U96,'changes2_based on steps'!$B$1:$U$1,Q$1)</f>
        <v>0</v>
      </c>
      <c r="R96" s="179">
        <f>SUMIFS('recurring2_based on steps'!$B96:$AY96,'recurring2_based on steps'!$B$1:$AY$1,R$1)+SUMIFS('changes2_based on steps'!$B96:$U96,'changes2_based on steps'!$B$1:$U$1,R$1)</f>
        <v>0</v>
      </c>
      <c r="S96" s="179">
        <f>SUMIFS('recurring2_based on steps'!$B96:$AY96,'recurring2_based on steps'!$B$1:$AY$1,S$1)+SUMIFS('changes2_based on steps'!$B96:$U96,'changes2_based on steps'!$B$1:$U$1,S$1)</f>
        <v>0</v>
      </c>
      <c r="T96" s="179">
        <f>SUMIFS('recurring2_based on steps'!$B96:$AY96,'recurring2_based on steps'!$B$1:$AY$1,T$1)+SUMIFS('changes2_based on steps'!$B96:$U96,'changes2_based on steps'!$B$1:$U$1,T$1)</f>
        <v>0</v>
      </c>
      <c r="U96" s="179">
        <f>SUMIFS('recurring2_based on steps'!$B96:$AY96,'recurring2_based on steps'!$B$1:$AY$1,U$1)+SUMIFS('changes2_based on steps'!$B96:$U96,'changes2_based on steps'!$B$1:$U$1,U$1)</f>
        <v>0</v>
      </c>
      <c r="V96" s="179">
        <f>SUMIFS('recurring2_based on steps'!$B96:$AY96,'recurring2_based on steps'!$B$1:$AY$1,V$1)+SUMIFS('changes2_based on steps'!$B96:$U96,'changes2_based on steps'!$B$1:$U$1,V$1)</f>
        <v>0</v>
      </c>
      <c r="W96" s="179">
        <f>SUMIFS('recurring2_based on steps'!$B96:$AY96,'recurring2_based on steps'!$B$1:$AY$1,W$1)+SUMIFS('changes2_based on steps'!$B96:$U96,'changes2_based on steps'!$B$1:$U$1,W$1)</f>
        <v>0</v>
      </c>
      <c r="X96" s="179">
        <f>SUMIFS('recurring2_based on steps'!$B96:$AY96,'recurring2_based on steps'!$B$1:$AY$1,X$1)+SUMIFS('changes2_based on steps'!$B96:$U96,'changes2_based on steps'!$B$1:$U$1,X$1)</f>
        <v>0</v>
      </c>
      <c r="Y96" s="179">
        <f>SUMIFS('recurring2_based on steps'!$B96:$AY96,'recurring2_based on steps'!$B$1:$AY$1,Y$1)+SUMIFS('changes2_based on steps'!$B96:$U96,'changes2_based on steps'!$B$1:$U$1,Y$1)</f>
        <v>0</v>
      </c>
      <c r="Z96" s="179">
        <f>SUMIFS('recurring2_based on steps'!$B96:$AY96,'recurring2_based on steps'!$B$1:$AY$1,Z$1)+SUMIFS('changes2_based on steps'!$B96:$U96,'changes2_based on steps'!$B$1:$U$1,Z$1)</f>
        <v>0</v>
      </c>
      <c r="AA96" s="179">
        <f>SUMIFS('recurring2_based on steps'!$B96:$AY96,'recurring2_based on steps'!$B$1:$AY$1,AA$1)+SUMIFS('changes2_based on steps'!$B96:$U96,'changes2_based on steps'!$B$1:$U$1,AA$1)</f>
        <v>0</v>
      </c>
      <c r="AB96" s="179">
        <f>SUMIFS('recurring2_based on steps'!$B96:$AY96,'recurring2_based on steps'!$B$1:$AY$1,AB$1)+SUMIFS('changes2_based on steps'!$B96:$U96,'changes2_based on steps'!$B$1:$U$1,AB$1)</f>
        <v>0</v>
      </c>
      <c r="AC96" s="179">
        <f>SUMIFS('recurring2_based on steps'!$B96:$AY96,'recurring2_based on steps'!$B$1:$AY$1,AC$1)+SUMIFS('changes2_based on steps'!$B96:$U96,'changes2_based on steps'!$B$1:$U$1,AC$1)</f>
        <v>0</v>
      </c>
      <c r="AD96" s="179">
        <f>SUMIFS('recurring2_based on steps'!$B96:$AY96,'recurring2_based on steps'!$B$1:$AY$1,AD$1)+SUMIFS('changes2_based on steps'!$B96:$U96,'changes2_based on steps'!$B$1:$U$1,AD$1)</f>
        <v>0</v>
      </c>
      <c r="AE96" s="179">
        <f>SUMIFS('recurring2_based on steps'!$B96:$AY96,'recurring2_based on steps'!$B$1:$AY$1,AE$1)+SUMIFS('changes2_based on steps'!$B96:$U96,'changes2_based on steps'!$B$1:$U$1,AE$1)</f>
        <v>0</v>
      </c>
      <c r="AF96" s="179"/>
      <c r="AG96" s="179"/>
      <c r="AH96" s="179"/>
      <c r="AI96" s="179"/>
      <c r="AJ96" s="179"/>
      <c r="AK96" s="179"/>
      <c r="AL96" s="179"/>
      <c r="AM96" s="179"/>
    </row>
    <row r="97" spans="1:39" x14ac:dyDescent="0.2">
      <c r="A97" s="32">
        <f t="shared" ca="1" si="1"/>
        <v>45846</v>
      </c>
      <c r="B97" s="179">
        <f>SUMIFS('recurring2_based on steps'!$B97:$AY97,'recurring2_based on steps'!$B$1:$AY$1,B$1)+SUMIFS('changes2_based on steps'!$B97:$U97,'changes2_based on steps'!$B$1:$U$1,B$1)</f>
        <v>0</v>
      </c>
      <c r="C97" s="179">
        <f>SUMIFS('recurring2_based on steps'!$B97:$AY97,'recurring2_based on steps'!$B$1:$AY$1,C$1)+SUMIFS('changes2_based on steps'!$B97:$U97,'changes2_based on steps'!$B$1:$U$1,C$1)</f>
        <v>0</v>
      </c>
      <c r="D97" s="179">
        <f>SUMIFS('recurring2_based on steps'!$B97:$AY97,'recurring2_based on steps'!$B$1:$AY$1,D$1)+SUMIFS('changes2_based on steps'!$B97:$U97,'changes2_based on steps'!$B$1:$U$1,D$1)</f>
        <v>0</v>
      </c>
      <c r="E97" s="179">
        <f>SUMIFS('recurring2_based on steps'!$B97:$AY97,'recurring2_based on steps'!$B$1:$AY$1,E$1)+SUMIFS('changes2_based on steps'!$B97:$U97,'changes2_based on steps'!$B$1:$U$1,E$1)</f>
        <v>0</v>
      </c>
      <c r="F97" s="179">
        <f>SUMIFS('recurring2_based on steps'!$B97:$AY97,'recurring2_based on steps'!$B$1:$AY$1,F$1)+SUMIFS('changes2_based on steps'!$B97:$U97,'changes2_based on steps'!$B$1:$U$1,F$1)</f>
        <v>0</v>
      </c>
      <c r="G97" s="179">
        <f>SUMIFS('recurring2_based on steps'!$B97:$AY97,'recurring2_based on steps'!$B$1:$AY$1,G$1)+SUMIFS('changes2_based on steps'!$B97:$U97,'changes2_based on steps'!$B$1:$U$1,G$1)</f>
        <v>0</v>
      </c>
      <c r="H97" s="179">
        <f>SUMIFS('recurring2_based on steps'!$B97:$AY97,'recurring2_based on steps'!$B$1:$AY$1,H$1)+SUMIFS('changes2_based on steps'!$B97:$U97,'changes2_based on steps'!$B$1:$U$1,H$1)</f>
        <v>0</v>
      </c>
      <c r="I97" s="179">
        <f>SUMIFS('recurring2_based on steps'!$B97:$AY97,'recurring2_based on steps'!$B$1:$AY$1,I$1)+SUMIFS('changes2_based on steps'!$B97:$U97,'changes2_based on steps'!$B$1:$U$1,I$1)</f>
        <v>0</v>
      </c>
      <c r="J97" s="179">
        <f>SUMIFS('recurring2_based on steps'!$B97:$AY97,'recurring2_based on steps'!$B$1:$AY$1,J$1)+SUMIFS('changes2_based on steps'!$B97:$U97,'changes2_based on steps'!$B$1:$U$1,J$1)</f>
        <v>0</v>
      </c>
      <c r="K97" s="179">
        <f>SUMIFS('recurring2_based on steps'!$B97:$AY97,'recurring2_based on steps'!$B$1:$AY$1,K$1)+SUMIFS('changes2_based on steps'!$B97:$U97,'changes2_based on steps'!$B$1:$U$1,K$1)</f>
        <v>0</v>
      </c>
      <c r="L97" s="179">
        <f>SUMIFS('recurring2_based on steps'!$B97:$AY97,'recurring2_based on steps'!$B$1:$AY$1,L$1)+SUMIFS('changes2_based on steps'!$B97:$U97,'changes2_based on steps'!$B$1:$U$1,L$1)</f>
        <v>0</v>
      </c>
      <c r="M97" s="179">
        <f>SUMIFS('recurring2_based on steps'!$B97:$AY97,'recurring2_based on steps'!$B$1:$AY$1,M$1)+SUMIFS('changes2_based on steps'!$B97:$U97,'changes2_based on steps'!$B$1:$U$1,M$1)</f>
        <v>0</v>
      </c>
      <c r="N97" s="179">
        <f>SUMIFS('recurring2_based on steps'!$B97:$AY97,'recurring2_based on steps'!$B$1:$AY$1,N$1)+SUMIFS('changes2_based on steps'!$B97:$U97,'changes2_based on steps'!$B$1:$U$1,N$1)</f>
        <v>0</v>
      </c>
      <c r="O97" s="179">
        <f>SUMIFS('recurring2_based on steps'!$B97:$AY97,'recurring2_based on steps'!$B$1:$AY$1,O$1)+SUMIFS('changes2_based on steps'!$B97:$U97,'changes2_based on steps'!$B$1:$U$1,O$1)</f>
        <v>0</v>
      </c>
      <c r="P97" s="179">
        <f>SUMIFS('recurring2_based on steps'!$B97:$AY97,'recurring2_based on steps'!$B$1:$AY$1,P$1)+SUMIFS('changes2_based on steps'!$B97:$U97,'changes2_based on steps'!$B$1:$U$1,P$1)</f>
        <v>0</v>
      </c>
      <c r="Q97" s="179">
        <f>SUMIFS('recurring2_based on steps'!$B97:$AY97,'recurring2_based on steps'!$B$1:$AY$1,Q$1)+SUMIFS('changes2_based on steps'!$B97:$U97,'changes2_based on steps'!$B$1:$U$1,Q$1)</f>
        <v>0</v>
      </c>
      <c r="R97" s="179">
        <f>SUMIFS('recurring2_based on steps'!$B97:$AY97,'recurring2_based on steps'!$B$1:$AY$1,R$1)+SUMIFS('changes2_based on steps'!$B97:$U97,'changes2_based on steps'!$B$1:$U$1,R$1)</f>
        <v>0</v>
      </c>
      <c r="S97" s="179">
        <f>SUMIFS('recurring2_based on steps'!$B97:$AY97,'recurring2_based on steps'!$B$1:$AY$1,S$1)+SUMIFS('changes2_based on steps'!$B97:$U97,'changes2_based on steps'!$B$1:$U$1,S$1)</f>
        <v>0</v>
      </c>
      <c r="T97" s="179">
        <f>SUMIFS('recurring2_based on steps'!$B97:$AY97,'recurring2_based on steps'!$B$1:$AY$1,T$1)+SUMIFS('changes2_based on steps'!$B97:$U97,'changes2_based on steps'!$B$1:$U$1,T$1)</f>
        <v>0</v>
      </c>
      <c r="U97" s="179">
        <f>SUMIFS('recurring2_based on steps'!$B97:$AY97,'recurring2_based on steps'!$B$1:$AY$1,U$1)+SUMIFS('changes2_based on steps'!$B97:$U97,'changes2_based on steps'!$B$1:$U$1,U$1)</f>
        <v>0</v>
      </c>
      <c r="V97" s="179">
        <f>SUMIFS('recurring2_based on steps'!$B97:$AY97,'recurring2_based on steps'!$B$1:$AY$1,V$1)+SUMIFS('changes2_based on steps'!$B97:$U97,'changes2_based on steps'!$B$1:$U$1,V$1)</f>
        <v>0</v>
      </c>
      <c r="W97" s="179">
        <f>SUMIFS('recurring2_based on steps'!$B97:$AY97,'recurring2_based on steps'!$B$1:$AY$1,W$1)+SUMIFS('changes2_based on steps'!$B97:$U97,'changes2_based on steps'!$B$1:$U$1,W$1)</f>
        <v>0</v>
      </c>
      <c r="X97" s="179">
        <f>SUMIFS('recurring2_based on steps'!$B97:$AY97,'recurring2_based on steps'!$B$1:$AY$1,X$1)+SUMIFS('changes2_based on steps'!$B97:$U97,'changes2_based on steps'!$B$1:$U$1,X$1)</f>
        <v>0</v>
      </c>
      <c r="Y97" s="179">
        <f>SUMIFS('recurring2_based on steps'!$B97:$AY97,'recurring2_based on steps'!$B$1:$AY$1,Y$1)+SUMIFS('changes2_based on steps'!$B97:$U97,'changes2_based on steps'!$B$1:$U$1,Y$1)</f>
        <v>0</v>
      </c>
      <c r="Z97" s="179">
        <f>SUMIFS('recurring2_based on steps'!$B97:$AY97,'recurring2_based on steps'!$B$1:$AY$1,Z$1)+SUMIFS('changes2_based on steps'!$B97:$U97,'changes2_based on steps'!$B$1:$U$1,Z$1)</f>
        <v>0</v>
      </c>
      <c r="AA97" s="179">
        <f>SUMIFS('recurring2_based on steps'!$B97:$AY97,'recurring2_based on steps'!$B$1:$AY$1,AA$1)+SUMIFS('changes2_based on steps'!$B97:$U97,'changes2_based on steps'!$B$1:$U$1,AA$1)</f>
        <v>0</v>
      </c>
      <c r="AB97" s="179">
        <f>SUMIFS('recurring2_based on steps'!$B97:$AY97,'recurring2_based on steps'!$B$1:$AY$1,AB$1)+SUMIFS('changes2_based on steps'!$B97:$U97,'changes2_based on steps'!$B$1:$U$1,AB$1)</f>
        <v>0</v>
      </c>
      <c r="AC97" s="179">
        <f>SUMIFS('recurring2_based on steps'!$B97:$AY97,'recurring2_based on steps'!$B$1:$AY$1,AC$1)+SUMIFS('changes2_based on steps'!$B97:$U97,'changes2_based on steps'!$B$1:$U$1,AC$1)</f>
        <v>0</v>
      </c>
      <c r="AD97" s="179">
        <f>SUMIFS('recurring2_based on steps'!$B97:$AY97,'recurring2_based on steps'!$B$1:$AY$1,AD$1)+SUMIFS('changes2_based on steps'!$B97:$U97,'changes2_based on steps'!$B$1:$U$1,AD$1)</f>
        <v>0</v>
      </c>
      <c r="AE97" s="179">
        <f>SUMIFS('recurring2_based on steps'!$B97:$AY97,'recurring2_based on steps'!$B$1:$AY$1,AE$1)+SUMIFS('changes2_based on steps'!$B97:$U97,'changes2_based on steps'!$B$1:$U$1,AE$1)</f>
        <v>0</v>
      </c>
      <c r="AF97" s="179"/>
      <c r="AG97" s="179"/>
      <c r="AH97" s="179"/>
      <c r="AI97" s="179"/>
      <c r="AJ97" s="179"/>
      <c r="AK97" s="179"/>
      <c r="AL97" s="179"/>
      <c r="AM97" s="179"/>
    </row>
    <row r="98" spans="1:39" x14ac:dyDescent="0.2">
      <c r="A98" s="32">
        <f t="shared" ca="1" si="1"/>
        <v>45847</v>
      </c>
      <c r="B98" s="179">
        <f>SUMIFS('recurring2_based on steps'!$B98:$AY98,'recurring2_based on steps'!$B$1:$AY$1,B$1)+SUMIFS('changes2_based on steps'!$B98:$U98,'changes2_based on steps'!$B$1:$U$1,B$1)</f>
        <v>0</v>
      </c>
      <c r="C98" s="179">
        <f>SUMIFS('recurring2_based on steps'!$B98:$AY98,'recurring2_based on steps'!$B$1:$AY$1,C$1)+SUMIFS('changes2_based on steps'!$B98:$U98,'changes2_based on steps'!$B$1:$U$1,C$1)</f>
        <v>0</v>
      </c>
      <c r="D98" s="179">
        <f>SUMIFS('recurring2_based on steps'!$B98:$AY98,'recurring2_based on steps'!$B$1:$AY$1,D$1)+SUMIFS('changes2_based on steps'!$B98:$U98,'changes2_based on steps'!$B$1:$U$1,D$1)</f>
        <v>0</v>
      </c>
      <c r="E98" s="179">
        <f>SUMIFS('recurring2_based on steps'!$B98:$AY98,'recurring2_based on steps'!$B$1:$AY$1,E$1)+SUMIFS('changes2_based on steps'!$B98:$U98,'changes2_based on steps'!$B$1:$U$1,E$1)</f>
        <v>0</v>
      </c>
      <c r="F98" s="179">
        <f>SUMIFS('recurring2_based on steps'!$B98:$AY98,'recurring2_based on steps'!$B$1:$AY$1,F$1)+SUMIFS('changes2_based on steps'!$B98:$U98,'changes2_based on steps'!$B$1:$U$1,F$1)</f>
        <v>0</v>
      </c>
      <c r="G98" s="179">
        <f>SUMIFS('recurring2_based on steps'!$B98:$AY98,'recurring2_based on steps'!$B$1:$AY$1,G$1)+SUMIFS('changes2_based on steps'!$B98:$U98,'changes2_based on steps'!$B$1:$U$1,G$1)</f>
        <v>0</v>
      </c>
      <c r="H98" s="179">
        <f>SUMIFS('recurring2_based on steps'!$B98:$AY98,'recurring2_based on steps'!$B$1:$AY$1,H$1)+SUMIFS('changes2_based on steps'!$B98:$U98,'changes2_based on steps'!$B$1:$U$1,H$1)</f>
        <v>0</v>
      </c>
      <c r="I98" s="179">
        <f>SUMIFS('recurring2_based on steps'!$B98:$AY98,'recurring2_based on steps'!$B$1:$AY$1,I$1)+SUMIFS('changes2_based on steps'!$B98:$U98,'changes2_based on steps'!$B$1:$U$1,I$1)</f>
        <v>0</v>
      </c>
      <c r="J98" s="179">
        <f>SUMIFS('recurring2_based on steps'!$B98:$AY98,'recurring2_based on steps'!$B$1:$AY$1,J$1)+SUMIFS('changes2_based on steps'!$B98:$U98,'changes2_based on steps'!$B$1:$U$1,J$1)</f>
        <v>0</v>
      </c>
      <c r="K98" s="179">
        <f>SUMIFS('recurring2_based on steps'!$B98:$AY98,'recurring2_based on steps'!$B$1:$AY$1,K$1)+SUMIFS('changes2_based on steps'!$B98:$U98,'changes2_based on steps'!$B$1:$U$1,K$1)</f>
        <v>0</v>
      </c>
      <c r="L98" s="179">
        <f>SUMIFS('recurring2_based on steps'!$B98:$AY98,'recurring2_based on steps'!$B$1:$AY$1,L$1)+SUMIFS('changes2_based on steps'!$B98:$U98,'changes2_based on steps'!$B$1:$U$1,L$1)</f>
        <v>0</v>
      </c>
      <c r="M98" s="179">
        <f>SUMIFS('recurring2_based on steps'!$B98:$AY98,'recurring2_based on steps'!$B$1:$AY$1,M$1)+SUMIFS('changes2_based on steps'!$B98:$U98,'changes2_based on steps'!$B$1:$U$1,M$1)</f>
        <v>0</v>
      </c>
      <c r="N98" s="179">
        <f>SUMIFS('recurring2_based on steps'!$B98:$AY98,'recurring2_based on steps'!$B$1:$AY$1,N$1)+SUMIFS('changes2_based on steps'!$B98:$U98,'changes2_based on steps'!$B$1:$U$1,N$1)</f>
        <v>0</v>
      </c>
      <c r="O98" s="179">
        <f>SUMIFS('recurring2_based on steps'!$B98:$AY98,'recurring2_based on steps'!$B$1:$AY$1,O$1)+SUMIFS('changes2_based on steps'!$B98:$U98,'changes2_based on steps'!$B$1:$U$1,O$1)</f>
        <v>0</v>
      </c>
      <c r="P98" s="179">
        <f>SUMIFS('recurring2_based on steps'!$B98:$AY98,'recurring2_based on steps'!$B$1:$AY$1,P$1)+SUMIFS('changes2_based on steps'!$B98:$U98,'changes2_based on steps'!$B$1:$U$1,P$1)</f>
        <v>0</v>
      </c>
      <c r="Q98" s="179">
        <f>SUMIFS('recurring2_based on steps'!$B98:$AY98,'recurring2_based on steps'!$B$1:$AY$1,Q$1)+SUMIFS('changes2_based on steps'!$B98:$U98,'changes2_based on steps'!$B$1:$U$1,Q$1)</f>
        <v>0</v>
      </c>
      <c r="R98" s="179">
        <f>SUMIFS('recurring2_based on steps'!$B98:$AY98,'recurring2_based on steps'!$B$1:$AY$1,R$1)+SUMIFS('changes2_based on steps'!$B98:$U98,'changes2_based on steps'!$B$1:$U$1,R$1)</f>
        <v>0</v>
      </c>
      <c r="S98" s="179">
        <f>SUMIFS('recurring2_based on steps'!$B98:$AY98,'recurring2_based on steps'!$B$1:$AY$1,S$1)+SUMIFS('changes2_based on steps'!$B98:$U98,'changes2_based on steps'!$B$1:$U$1,S$1)</f>
        <v>0</v>
      </c>
      <c r="T98" s="179">
        <f>SUMIFS('recurring2_based on steps'!$B98:$AY98,'recurring2_based on steps'!$B$1:$AY$1,T$1)+SUMIFS('changes2_based on steps'!$B98:$U98,'changes2_based on steps'!$B$1:$U$1,T$1)</f>
        <v>0</v>
      </c>
      <c r="U98" s="179">
        <f>SUMIFS('recurring2_based on steps'!$B98:$AY98,'recurring2_based on steps'!$B$1:$AY$1,U$1)+SUMIFS('changes2_based on steps'!$B98:$U98,'changes2_based on steps'!$B$1:$U$1,U$1)</f>
        <v>0</v>
      </c>
      <c r="V98" s="179">
        <f>SUMIFS('recurring2_based on steps'!$B98:$AY98,'recurring2_based on steps'!$B$1:$AY$1,V$1)+SUMIFS('changes2_based on steps'!$B98:$U98,'changes2_based on steps'!$B$1:$U$1,V$1)</f>
        <v>0</v>
      </c>
      <c r="W98" s="179">
        <f>SUMIFS('recurring2_based on steps'!$B98:$AY98,'recurring2_based on steps'!$B$1:$AY$1,W$1)+SUMIFS('changes2_based on steps'!$B98:$U98,'changes2_based on steps'!$B$1:$U$1,W$1)</f>
        <v>0</v>
      </c>
      <c r="X98" s="179">
        <f>SUMIFS('recurring2_based on steps'!$B98:$AY98,'recurring2_based on steps'!$B$1:$AY$1,X$1)+SUMIFS('changes2_based on steps'!$B98:$U98,'changes2_based on steps'!$B$1:$U$1,X$1)</f>
        <v>0</v>
      </c>
      <c r="Y98" s="179">
        <f>SUMIFS('recurring2_based on steps'!$B98:$AY98,'recurring2_based on steps'!$B$1:$AY$1,Y$1)+SUMIFS('changes2_based on steps'!$B98:$U98,'changes2_based on steps'!$B$1:$U$1,Y$1)</f>
        <v>0</v>
      </c>
      <c r="Z98" s="179">
        <f>SUMIFS('recurring2_based on steps'!$B98:$AY98,'recurring2_based on steps'!$B$1:$AY$1,Z$1)+SUMIFS('changes2_based on steps'!$B98:$U98,'changes2_based on steps'!$B$1:$U$1,Z$1)</f>
        <v>0</v>
      </c>
      <c r="AA98" s="179">
        <f>SUMIFS('recurring2_based on steps'!$B98:$AY98,'recurring2_based on steps'!$B$1:$AY$1,AA$1)+SUMIFS('changes2_based on steps'!$B98:$U98,'changes2_based on steps'!$B$1:$U$1,AA$1)</f>
        <v>0</v>
      </c>
      <c r="AB98" s="179">
        <f>SUMIFS('recurring2_based on steps'!$B98:$AY98,'recurring2_based on steps'!$B$1:$AY$1,AB$1)+SUMIFS('changes2_based on steps'!$B98:$U98,'changes2_based on steps'!$B$1:$U$1,AB$1)</f>
        <v>0</v>
      </c>
      <c r="AC98" s="179">
        <f>SUMIFS('recurring2_based on steps'!$B98:$AY98,'recurring2_based on steps'!$B$1:$AY$1,AC$1)+SUMIFS('changes2_based on steps'!$B98:$U98,'changes2_based on steps'!$B$1:$U$1,AC$1)</f>
        <v>0</v>
      </c>
      <c r="AD98" s="179">
        <f>SUMIFS('recurring2_based on steps'!$B98:$AY98,'recurring2_based on steps'!$B$1:$AY$1,AD$1)+SUMIFS('changes2_based on steps'!$B98:$U98,'changes2_based on steps'!$B$1:$U$1,AD$1)</f>
        <v>0</v>
      </c>
      <c r="AE98" s="179">
        <f>SUMIFS('recurring2_based on steps'!$B98:$AY98,'recurring2_based on steps'!$B$1:$AY$1,AE$1)+SUMIFS('changes2_based on steps'!$B98:$U98,'changes2_based on steps'!$B$1:$U$1,AE$1)</f>
        <v>0</v>
      </c>
      <c r="AF98" s="179"/>
      <c r="AG98" s="179"/>
      <c r="AH98" s="179"/>
      <c r="AI98" s="179"/>
      <c r="AJ98" s="179"/>
      <c r="AK98" s="179"/>
      <c r="AL98" s="179"/>
      <c r="AM98" s="179"/>
    </row>
    <row r="99" spans="1:39" x14ac:dyDescent="0.2">
      <c r="A99" s="32">
        <f t="shared" ca="1" si="1"/>
        <v>45848</v>
      </c>
      <c r="B99" s="179">
        <f>SUMIFS('recurring2_based on steps'!$B99:$AY99,'recurring2_based on steps'!$B$1:$AY$1,B$1)+SUMIFS('changes2_based on steps'!$B99:$U99,'changes2_based on steps'!$B$1:$U$1,B$1)</f>
        <v>0</v>
      </c>
      <c r="C99" s="179">
        <f>SUMIFS('recurring2_based on steps'!$B99:$AY99,'recurring2_based on steps'!$B$1:$AY$1,C$1)+SUMIFS('changes2_based on steps'!$B99:$U99,'changes2_based on steps'!$B$1:$U$1,C$1)</f>
        <v>0</v>
      </c>
      <c r="D99" s="179">
        <f>SUMIFS('recurring2_based on steps'!$B99:$AY99,'recurring2_based on steps'!$B$1:$AY$1,D$1)+SUMIFS('changes2_based on steps'!$B99:$U99,'changes2_based on steps'!$B$1:$U$1,D$1)</f>
        <v>0</v>
      </c>
      <c r="E99" s="179">
        <f>SUMIFS('recurring2_based on steps'!$B99:$AY99,'recurring2_based on steps'!$B$1:$AY$1,E$1)+SUMIFS('changes2_based on steps'!$B99:$U99,'changes2_based on steps'!$B$1:$U$1,E$1)</f>
        <v>0</v>
      </c>
      <c r="F99" s="179">
        <f>SUMIFS('recurring2_based on steps'!$B99:$AY99,'recurring2_based on steps'!$B$1:$AY$1,F$1)+SUMIFS('changes2_based on steps'!$B99:$U99,'changes2_based on steps'!$B$1:$U$1,F$1)</f>
        <v>0</v>
      </c>
      <c r="G99" s="179">
        <f>SUMIFS('recurring2_based on steps'!$B99:$AY99,'recurring2_based on steps'!$B$1:$AY$1,G$1)+SUMIFS('changes2_based on steps'!$B99:$U99,'changes2_based on steps'!$B$1:$U$1,G$1)</f>
        <v>0</v>
      </c>
      <c r="H99" s="179">
        <f>SUMIFS('recurring2_based on steps'!$B99:$AY99,'recurring2_based on steps'!$B$1:$AY$1,H$1)+SUMIFS('changes2_based on steps'!$B99:$U99,'changes2_based on steps'!$B$1:$U$1,H$1)</f>
        <v>0</v>
      </c>
      <c r="I99" s="179">
        <f>SUMIFS('recurring2_based on steps'!$B99:$AY99,'recurring2_based on steps'!$B$1:$AY$1,I$1)+SUMIFS('changes2_based on steps'!$B99:$U99,'changes2_based on steps'!$B$1:$U$1,I$1)</f>
        <v>0</v>
      </c>
      <c r="J99" s="179">
        <f>SUMIFS('recurring2_based on steps'!$B99:$AY99,'recurring2_based on steps'!$B$1:$AY$1,J$1)+SUMIFS('changes2_based on steps'!$B99:$U99,'changes2_based on steps'!$B$1:$U$1,J$1)</f>
        <v>0</v>
      </c>
      <c r="K99" s="179">
        <f>SUMIFS('recurring2_based on steps'!$B99:$AY99,'recurring2_based on steps'!$B$1:$AY$1,K$1)+SUMIFS('changes2_based on steps'!$B99:$U99,'changes2_based on steps'!$B$1:$U$1,K$1)</f>
        <v>0</v>
      </c>
      <c r="L99" s="179">
        <f>SUMIFS('recurring2_based on steps'!$B99:$AY99,'recurring2_based on steps'!$B$1:$AY$1,L$1)+SUMIFS('changes2_based on steps'!$B99:$U99,'changes2_based on steps'!$B$1:$U$1,L$1)</f>
        <v>0</v>
      </c>
      <c r="M99" s="179">
        <f>SUMIFS('recurring2_based on steps'!$B99:$AY99,'recurring2_based on steps'!$B$1:$AY$1,M$1)+SUMIFS('changes2_based on steps'!$B99:$U99,'changes2_based on steps'!$B$1:$U$1,M$1)</f>
        <v>0</v>
      </c>
      <c r="N99" s="179">
        <f>SUMIFS('recurring2_based on steps'!$B99:$AY99,'recurring2_based on steps'!$B$1:$AY$1,N$1)+SUMIFS('changes2_based on steps'!$B99:$U99,'changes2_based on steps'!$B$1:$U$1,N$1)</f>
        <v>0</v>
      </c>
      <c r="O99" s="179">
        <f>SUMIFS('recurring2_based on steps'!$B99:$AY99,'recurring2_based on steps'!$B$1:$AY$1,O$1)+SUMIFS('changes2_based on steps'!$B99:$U99,'changes2_based on steps'!$B$1:$U$1,O$1)</f>
        <v>0</v>
      </c>
      <c r="P99" s="179">
        <f>SUMIFS('recurring2_based on steps'!$B99:$AY99,'recurring2_based on steps'!$B$1:$AY$1,P$1)+SUMIFS('changes2_based on steps'!$B99:$U99,'changes2_based on steps'!$B$1:$U$1,P$1)</f>
        <v>0</v>
      </c>
      <c r="Q99" s="179">
        <f>SUMIFS('recurring2_based on steps'!$B99:$AY99,'recurring2_based on steps'!$B$1:$AY$1,Q$1)+SUMIFS('changes2_based on steps'!$B99:$U99,'changes2_based on steps'!$B$1:$U$1,Q$1)</f>
        <v>0</v>
      </c>
      <c r="R99" s="179">
        <f>SUMIFS('recurring2_based on steps'!$B99:$AY99,'recurring2_based on steps'!$B$1:$AY$1,R$1)+SUMIFS('changes2_based on steps'!$B99:$U99,'changes2_based on steps'!$B$1:$U$1,R$1)</f>
        <v>0</v>
      </c>
      <c r="S99" s="179">
        <f>SUMIFS('recurring2_based on steps'!$B99:$AY99,'recurring2_based on steps'!$B$1:$AY$1,S$1)+SUMIFS('changes2_based on steps'!$B99:$U99,'changes2_based on steps'!$B$1:$U$1,S$1)</f>
        <v>0</v>
      </c>
      <c r="T99" s="179">
        <f>SUMIFS('recurring2_based on steps'!$B99:$AY99,'recurring2_based on steps'!$B$1:$AY$1,T$1)+SUMIFS('changes2_based on steps'!$B99:$U99,'changes2_based on steps'!$B$1:$U$1,T$1)</f>
        <v>0</v>
      </c>
      <c r="U99" s="179">
        <f>SUMIFS('recurring2_based on steps'!$B99:$AY99,'recurring2_based on steps'!$B$1:$AY$1,U$1)+SUMIFS('changes2_based on steps'!$B99:$U99,'changes2_based on steps'!$B$1:$U$1,U$1)</f>
        <v>0</v>
      </c>
      <c r="V99" s="179">
        <f>SUMIFS('recurring2_based on steps'!$B99:$AY99,'recurring2_based on steps'!$B$1:$AY$1,V$1)+SUMIFS('changes2_based on steps'!$B99:$U99,'changes2_based on steps'!$B$1:$U$1,V$1)</f>
        <v>0</v>
      </c>
      <c r="W99" s="179">
        <f>SUMIFS('recurring2_based on steps'!$B99:$AY99,'recurring2_based on steps'!$B$1:$AY$1,W$1)+SUMIFS('changes2_based on steps'!$B99:$U99,'changes2_based on steps'!$B$1:$U$1,W$1)</f>
        <v>0</v>
      </c>
      <c r="X99" s="179">
        <f>SUMIFS('recurring2_based on steps'!$B99:$AY99,'recurring2_based on steps'!$B$1:$AY$1,X$1)+SUMIFS('changes2_based on steps'!$B99:$U99,'changes2_based on steps'!$B$1:$U$1,X$1)</f>
        <v>0</v>
      </c>
      <c r="Y99" s="179">
        <f>SUMIFS('recurring2_based on steps'!$B99:$AY99,'recurring2_based on steps'!$B$1:$AY$1,Y$1)+SUMIFS('changes2_based on steps'!$B99:$U99,'changes2_based on steps'!$B$1:$U$1,Y$1)</f>
        <v>0</v>
      </c>
      <c r="Z99" s="179">
        <f>SUMIFS('recurring2_based on steps'!$B99:$AY99,'recurring2_based on steps'!$B$1:$AY$1,Z$1)+SUMIFS('changes2_based on steps'!$B99:$U99,'changes2_based on steps'!$B$1:$U$1,Z$1)</f>
        <v>0</v>
      </c>
      <c r="AA99" s="179">
        <f>SUMIFS('recurring2_based on steps'!$B99:$AY99,'recurring2_based on steps'!$B$1:$AY$1,AA$1)+SUMIFS('changes2_based on steps'!$B99:$U99,'changes2_based on steps'!$B$1:$U$1,AA$1)</f>
        <v>0</v>
      </c>
      <c r="AB99" s="179">
        <f>SUMIFS('recurring2_based on steps'!$B99:$AY99,'recurring2_based on steps'!$B$1:$AY$1,AB$1)+SUMIFS('changes2_based on steps'!$B99:$U99,'changes2_based on steps'!$B$1:$U$1,AB$1)</f>
        <v>0</v>
      </c>
      <c r="AC99" s="179">
        <f>SUMIFS('recurring2_based on steps'!$B99:$AY99,'recurring2_based on steps'!$B$1:$AY$1,AC$1)+SUMIFS('changes2_based on steps'!$B99:$U99,'changes2_based on steps'!$B$1:$U$1,AC$1)</f>
        <v>0</v>
      </c>
      <c r="AD99" s="179">
        <f>SUMIFS('recurring2_based on steps'!$B99:$AY99,'recurring2_based on steps'!$B$1:$AY$1,AD$1)+SUMIFS('changes2_based on steps'!$B99:$U99,'changes2_based on steps'!$B$1:$U$1,AD$1)</f>
        <v>0</v>
      </c>
      <c r="AE99" s="179">
        <f>SUMIFS('recurring2_based on steps'!$B99:$AY99,'recurring2_based on steps'!$B$1:$AY$1,AE$1)+SUMIFS('changes2_based on steps'!$B99:$U99,'changes2_based on steps'!$B$1:$U$1,AE$1)</f>
        <v>0</v>
      </c>
      <c r="AF99" s="179"/>
      <c r="AG99" s="179"/>
      <c r="AH99" s="179"/>
      <c r="AI99" s="179"/>
      <c r="AJ99" s="179"/>
      <c r="AK99" s="179"/>
      <c r="AL99" s="179"/>
      <c r="AM99" s="179"/>
    </row>
    <row r="100" spans="1:39" x14ac:dyDescent="0.2">
      <c r="A100" s="32">
        <f t="shared" ca="1" si="1"/>
        <v>45849</v>
      </c>
      <c r="B100" s="179">
        <f>SUMIFS('recurring2_based on steps'!$B100:$AY100,'recurring2_based on steps'!$B$1:$AY$1,B$1)+SUMIFS('changes2_based on steps'!$B100:$U100,'changes2_based on steps'!$B$1:$U$1,B$1)</f>
        <v>0</v>
      </c>
      <c r="C100" s="179">
        <f>SUMIFS('recurring2_based on steps'!$B100:$AY100,'recurring2_based on steps'!$B$1:$AY$1,C$1)+SUMIFS('changes2_based on steps'!$B100:$U100,'changes2_based on steps'!$B$1:$U$1,C$1)</f>
        <v>0</v>
      </c>
      <c r="D100" s="179">
        <f>SUMIFS('recurring2_based on steps'!$B100:$AY100,'recurring2_based on steps'!$B$1:$AY$1,D$1)+SUMIFS('changes2_based on steps'!$B100:$U100,'changes2_based on steps'!$B$1:$U$1,D$1)</f>
        <v>0</v>
      </c>
      <c r="E100" s="179">
        <f>SUMIFS('recurring2_based on steps'!$B100:$AY100,'recurring2_based on steps'!$B$1:$AY$1,E$1)+SUMIFS('changes2_based on steps'!$B100:$U100,'changes2_based on steps'!$B$1:$U$1,E$1)</f>
        <v>0</v>
      </c>
      <c r="F100" s="179">
        <f>SUMIFS('recurring2_based on steps'!$B100:$AY100,'recurring2_based on steps'!$B$1:$AY$1,F$1)+SUMIFS('changes2_based on steps'!$B100:$U100,'changes2_based on steps'!$B$1:$U$1,F$1)</f>
        <v>0</v>
      </c>
      <c r="G100" s="179">
        <f>SUMIFS('recurring2_based on steps'!$B100:$AY100,'recurring2_based on steps'!$B$1:$AY$1,G$1)+SUMIFS('changes2_based on steps'!$B100:$U100,'changes2_based on steps'!$B$1:$U$1,G$1)</f>
        <v>0</v>
      </c>
      <c r="H100" s="179">
        <f>SUMIFS('recurring2_based on steps'!$B100:$AY100,'recurring2_based on steps'!$B$1:$AY$1,H$1)+SUMIFS('changes2_based on steps'!$B100:$U100,'changes2_based on steps'!$B$1:$U$1,H$1)</f>
        <v>0</v>
      </c>
      <c r="I100" s="179">
        <f>SUMIFS('recurring2_based on steps'!$B100:$AY100,'recurring2_based on steps'!$B$1:$AY$1,I$1)+SUMIFS('changes2_based on steps'!$B100:$U100,'changes2_based on steps'!$B$1:$U$1,I$1)</f>
        <v>0</v>
      </c>
      <c r="J100" s="179">
        <f>SUMIFS('recurring2_based on steps'!$B100:$AY100,'recurring2_based on steps'!$B$1:$AY$1,J$1)+SUMIFS('changes2_based on steps'!$B100:$U100,'changes2_based on steps'!$B$1:$U$1,J$1)</f>
        <v>0</v>
      </c>
      <c r="K100" s="179">
        <f>SUMIFS('recurring2_based on steps'!$B100:$AY100,'recurring2_based on steps'!$B$1:$AY$1,K$1)+SUMIFS('changes2_based on steps'!$B100:$U100,'changes2_based on steps'!$B$1:$U$1,K$1)</f>
        <v>0</v>
      </c>
      <c r="L100" s="179">
        <f>SUMIFS('recurring2_based on steps'!$B100:$AY100,'recurring2_based on steps'!$B$1:$AY$1,L$1)+SUMIFS('changes2_based on steps'!$B100:$U100,'changes2_based on steps'!$B$1:$U$1,L$1)</f>
        <v>0</v>
      </c>
      <c r="M100" s="179">
        <f>SUMIFS('recurring2_based on steps'!$B100:$AY100,'recurring2_based on steps'!$B$1:$AY$1,M$1)+SUMIFS('changes2_based on steps'!$B100:$U100,'changes2_based on steps'!$B$1:$U$1,M$1)</f>
        <v>0</v>
      </c>
      <c r="N100" s="179">
        <f>SUMIFS('recurring2_based on steps'!$B100:$AY100,'recurring2_based on steps'!$B$1:$AY$1,N$1)+SUMIFS('changes2_based on steps'!$B100:$U100,'changes2_based on steps'!$B$1:$U$1,N$1)</f>
        <v>0</v>
      </c>
      <c r="O100" s="179">
        <f>SUMIFS('recurring2_based on steps'!$B100:$AY100,'recurring2_based on steps'!$B$1:$AY$1,O$1)+SUMIFS('changes2_based on steps'!$B100:$U100,'changes2_based on steps'!$B$1:$U$1,O$1)</f>
        <v>0</v>
      </c>
      <c r="P100" s="179">
        <f>SUMIFS('recurring2_based on steps'!$B100:$AY100,'recurring2_based on steps'!$B$1:$AY$1,P$1)+SUMIFS('changes2_based on steps'!$B100:$U100,'changes2_based on steps'!$B$1:$U$1,P$1)</f>
        <v>0</v>
      </c>
      <c r="Q100" s="179">
        <f>SUMIFS('recurring2_based on steps'!$B100:$AY100,'recurring2_based on steps'!$B$1:$AY$1,Q$1)+SUMIFS('changes2_based on steps'!$B100:$U100,'changes2_based on steps'!$B$1:$U$1,Q$1)</f>
        <v>0</v>
      </c>
      <c r="R100" s="179">
        <f>SUMIFS('recurring2_based on steps'!$B100:$AY100,'recurring2_based on steps'!$B$1:$AY$1,R$1)+SUMIFS('changes2_based on steps'!$B100:$U100,'changes2_based on steps'!$B$1:$U$1,R$1)</f>
        <v>0</v>
      </c>
      <c r="S100" s="179">
        <f>SUMIFS('recurring2_based on steps'!$B100:$AY100,'recurring2_based on steps'!$B$1:$AY$1,S$1)+SUMIFS('changes2_based on steps'!$B100:$U100,'changes2_based on steps'!$B$1:$U$1,S$1)</f>
        <v>0</v>
      </c>
      <c r="T100" s="179">
        <f>SUMIFS('recurring2_based on steps'!$B100:$AY100,'recurring2_based on steps'!$B$1:$AY$1,T$1)+SUMIFS('changes2_based on steps'!$B100:$U100,'changes2_based on steps'!$B$1:$U$1,T$1)</f>
        <v>0</v>
      </c>
      <c r="U100" s="179">
        <f>SUMIFS('recurring2_based on steps'!$B100:$AY100,'recurring2_based on steps'!$B$1:$AY$1,U$1)+SUMIFS('changes2_based on steps'!$B100:$U100,'changes2_based on steps'!$B$1:$U$1,U$1)</f>
        <v>0</v>
      </c>
      <c r="V100" s="179">
        <f>SUMIFS('recurring2_based on steps'!$B100:$AY100,'recurring2_based on steps'!$B$1:$AY$1,V$1)+SUMIFS('changes2_based on steps'!$B100:$U100,'changes2_based on steps'!$B$1:$U$1,V$1)</f>
        <v>0</v>
      </c>
      <c r="W100" s="179">
        <f>SUMIFS('recurring2_based on steps'!$B100:$AY100,'recurring2_based on steps'!$B$1:$AY$1,W$1)+SUMIFS('changes2_based on steps'!$B100:$U100,'changes2_based on steps'!$B$1:$U$1,W$1)</f>
        <v>0</v>
      </c>
      <c r="X100" s="179">
        <f>SUMIFS('recurring2_based on steps'!$B100:$AY100,'recurring2_based on steps'!$B$1:$AY$1,X$1)+SUMIFS('changes2_based on steps'!$B100:$U100,'changes2_based on steps'!$B$1:$U$1,X$1)</f>
        <v>0</v>
      </c>
      <c r="Y100" s="179">
        <f>SUMIFS('recurring2_based on steps'!$B100:$AY100,'recurring2_based on steps'!$B$1:$AY$1,Y$1)+SUMIFS('changes2_based on steps'!$B100:$U100,'changes2_based on steps'!$B$1:$U$1,Y$1)</f>
        <v>0</v>
      </c>
      <c r="Z100" s="179">
        <f>SUMIFS('recurring2_based on steps'!$B100:$AY100,'recurring2_based on steps'!$B$1:$AY$1,Z$1)+SUMIFS('changes2_based on steps'!$B100:$U100,'changes2_based on steps'!$B$1:$U$1,Z$1)</f>
        <v>0</v>
      </c>
      <c r="AA100" s="179">
        <f>SUMIFS('recurring2_based on steps'!$B100:$AY100,'recurring2_based on steps'!$B$1:$AY$1,AA$1)+SUMIFS('changes2_based on steps'!$B100:$U100,'changes2_based on steps'!$B$1:$U$1,AA$1)</f>
        <v>0</v>
      </c>
      <c r="AB100" s="179">
        <f>SUMIFS('recurring2_based on steps'!$B100:$AY100,'recurring2_based on steps'!$B$1:$AY$1,AB$1)+SUMIFS('changes2_based on steps'!$B100:$U100,'changes2_based on steps'!$B$1:$U$1,AB$1)</f>
        <v>0</v>
      </c>
      <c r="AC100" s="179">
        <f>SUMIFS('recurring2_based on steps'!$B100:$AY100,'recurring2_based on steps'!$B$1:$AY$1,AC$1)+SUMIFS('changes2_based on steps'!$B100:$U100,'changes2_based on steps'!$B$1:$U$1,AC$1)</f>
        <v>0</v>
      </c>
      <c r="AD100" s="179">
        <f>SUMIFS('recurring2_based on steps'!$B100:$AY100,'recurring2_based on steps'!$B$1:$AY$1,AD$1)+SUMIFS('changes2_based on steps'!$B100:$U100,'changes2_based on steps'!$B$1:$U$1,AD$1)</f>
        <v>0</v>
      </c>
      <c r="AE100" s="179">
        <f>SUMIFS('recurring2_based on steps'!$B100:$AY100,'recurring2_based on steps'!$B$1:$AY$1,AE$1)+SUMIFS('changes2_based on steps'!$B100:$U100,'changes2_based on steps'!$B$1:$U$1,AE$1)</f>
        <v>0</v>
      </c>
      <c r="AF100" s="179"/>
      <c r="AG100" s="179"/>
      <c r="AH100" s="179"/>
      <c r="AI100" s="179"/>
      <c r="AJ100" s="179"/>
      <c r="AK100" s="179"/>
      <c r="AL100" s="179"/>
      <c r="AM100" s="179"/>
    </row>
    <row r="101" spans="1:39" x14ac:dyDescent="0.2">
      <c r="A101" s="32">
        <f t="shared" ca="1" si="1"/>
        <v>45850</v>
      </c>
      <c r="B101" s="179">
        <f>SUMIFS('recurring2_based on steps'!$B101:$AY101,'recurring2_based on steps'!$B$1:$AY$1,B$1)+SUMIFS('changes2_based on steps'!$B101:$U101,'changes2_based on steps'!$B$1:$U$1,B$1)</f>
        <v>0</v>
      </c>
      <c r="C101" s="179">
        <f>SUMIFS('recurring2_based on steps'!$B101:$AY101,'recurring2_based on steps'!$B$1:$AY$1,C$1)+SUMIFS('changes2_based on steps'!$B101:$U101,'changes2_based on steps'!$B$1:$U$1,C$1)</f>
        <v>0</v>
      </c>
      <c r="D101" s="179">
        <f>SUMIFS('recurring2_based on steps'!$B101:$AY101,'recurring2_based on steps'!$B$1:$AY$1,D$1)+SUMIFS('changes2_based on steps'!$B101:$U101,'changes2_based on steps'!$B$1:$U$1,D$1)</f>
        <v>0</v>
      </c>
      <c r="E101" s="179">
        <f>SUMIFS('recurring2_based on steps'!$B101:$AY101,'recurring2_based on steps'!$B$1:$AY$1,E$1)+SUMIFS('changes2_based on steps'!$B101:$U101,'changes2_based on steps'!$B$1:$U$1,E$1)</f>
        <v>0</v>
      </c>
      <c r="F101" s="179">
        <f>SUMIFS('recurring2_based on steps'!$B101:$AY101,'recurring2_based on steps'!$B$1:$AY$1,F$1)+SUMIFS('changes2_based on steps'!$B101:$U101,'changes2_based on steps'!$B$1:$U$1,F$1)</f>
        <v>0</v>
      </c>
      <c r="G101" s="179">
        <f>SUMIFS('recurring2_based on steps'!$B101:$AY101,'recurring2_based on steps'!$B$1:$AY$1,G$1)+SUMIFS('changes2_based on steps'!$B101:$U101,'changes2_based on steps'!$B$1:$U$1,G$1)</f>
        <v>0</v>
      </c>
      <c r="H101" s="179">
        <f>SUMIFS('recurring2_based on steps'!$B101:$AY101,'recurring2_based on steps'!$B$1:$AY$1,H$1)+SUMIFS('changes2_based on steps'!$B101:$U101,'changes2_based on steps'!$B$1:$U$1,H$1)</f>
        <v>0</v>
      </c>
      <c r="I101" s="179">
        <f>SUMIFS('recurring2_based on steps'!$B101:$AY101,'recurring2_based on steps'!$B$1:$AY$1,I$1)+SUMIFS('changes2_based on steps'!$B101:$U101,'changes2_based on steps'!$B$1:$U$1,I$1)</f>
        <v>0</v>
      </c>
      <c r="J101" s="179">
        <f>SUMIFS('recurring2_based on steps'!$B101:$AY101,'recurring2_based on steps'!$B$1:$AY$1,J$1)+SUMIFS('changes2_based on steps'!$B101:$U101,'changes2_based on steps'!$B$1:$U$1,J$1)</f>
        <v>0</v>
      </c>
      <c r="K101" s="179">
        <f>SUMIFS('recurring2_based on steps'!$B101:$AY101,'recurring2_based on steps'!$B$1:$AY$1,K$1)+SUMIFS('changes2_based on steps'!$B101:$U101,'changes2_based on steps'!$B$1:$U$1,K$1)</f>
        <v>0</v>
      </c>
      <c r="L101" s="179">
        <f>SUMIFS('recurring2_based on steps'!$B101:$AY101,'recurring2_based on steps'!$B$1:$AY$1,L$1)+SUMIFS('changes2_based on steps'!$B101:$U101,'changes2_based on steps'!$B$1:$U$1,L$1)</f>
        <v>0</v>
      </c>
      <c r="M101" s="179">
        <f>SUMIFS('recurring2_based on steps'!$B101:$AY101,'recurring2_based on steps'!$B$1:$AY$1,M$1)+SUMIFS('changes2_based on steps'!$B101:$U101,'changes2_based on steps'!$B$1:$U$1,M$1)</f>
        <v>0</v>
      </c>
      <c r="N101" s="179">
        <f>SUMIFS('recurring2_based on steps'!$B101:$AY101,'recurring2_based on steps'!$B$1:$AY$1,N$1)+SUMIFS('changes2_based on steps'!$B101:$U101,'changes2_based on steps'!$B$1:$U$1,N$1)</f>
        <v>0</v>
      </c>
      <c r="O101" s="179">
        <f>SUMIFS('recurring2_based on steps'!$B101:$AY101,'recurring2_based on steps'!$B$1:$AY$1,O$1)+SUMIFS('changes2_based on steps'!$B101:$U101,'changes2_based on steps'!$B$1:$U$1,O$1)</f>
        <v>0</v>
      </c>
      <c r="P101" s="179">
        <f>SUMIFS('recurring2_based on steps'!$B101:$AY101,'recurring2_based on steps'!$B$1:$AY$1,P$1)+SUMIFS('changes2_based on steps'!$B101:$U101,'changes2_based on steps'!$B$1:$U$1,P$1)</f>
        <v>0</v>
      </c>
      <c r="Q101" s="179">
        <f>SUMIFS('recurring2_based on steps'!$B101:$AY101,'recurring2_based on steps'!$B$1:$AY$1,Q$1)+SUMIFS('changes2_based on steps'!$B101:$U101,'changes2_based on steps'!$B$1:$U$1,Q$1)</f>
        <v>0</v>
      </c>
      <c r="R101" s="179">
        <f>SUMIFS('recurring2_based on steps'!$B101:$AY101,'recurring2_based on steps'!$B$1:$AY$1,R$1)+SUMIFS('changes2_based on steps'!$B101:$U101,'changes2_based on steps'!$B$1:$U$1,R$1)</f>
        <v>0</v>
      </c>
      <c r="S101" s="179">
        <f>SUMIFS('recurring2_based on steps'!$B101:$AY101,'recurring2_based on steps'!$B$1:$AY$1,S$1)+SUMIFS('changes2_based on steps'!$B101:$U101,'changes2_based on steps'!$B$1:$U$1,S$1)</f>
        <v>0</v>
      </c>
      <c r="T101" s="179">
        <f>SUMIFS('recurring2_based on steps'!$B101:$AY101,'recurring2_based on steps'!$B$1:$AY$1,T$1)+SUMIFS('changes2_based on steps'!$B101:$U101,'changes2_based on steps'!$B$1:$U$1,T$1)</f>
        <v>0</v>
      </c>
      <c r="U101" s="179">
        <f>SUMIFS('recurring2_based on steps'!$B101:$AY101,'recurring2_based on steps'!$B$1:$AY$1,U$1)+SUMIFS('changes2_based on steps'!$B101:$U101,'changes2_based on steps'!$B$1:$U$1,U$1)</f>
        <v>0</v>
      </c>
      <c r="V101" s="179">
        <f>SUMIFS('recurring2_based on steps'!$B101:$AY101,'recurring2_based on steps'!$B$1:$AY$1,V$1)+SUMIFS('changes2_based on steps'!$B101:$U101,'changes2_based on steps'!$B$1:$U$1,V$1)</f>
        <v>0</v>
      </c>
      <c r="W101" s="179">
        <f>SUMIFS('recurring2_based on steps'!$B101:$AY101,'recurring2_based on steps'!$B$1:$AY$1,W$1)+SUMIFS('changes2_based on steps'!$B101:$U101,'changes2_based on steps'!$B$1:$U$1,W$1)</f>
        <v>0</v>
      </c>
      <c r="X101" s="179">
        <f>SUMIFS('recurring2_based on steps'!$B101:$AY101,'recurring2_based on steps'!$B$1:$AY$1,X$1)+SUMIFS('changes2_based on steps'!$B101:$U101,'changes2_based on steps'!$B$1:$U$1,X$1)</f>
        <v>0</v>
      </c>
      <c r="Y101" s="179">
        <f>SUMIFS('recurring2_based on steps'!$B101:$AY101,'recurring2_based on steps'!$B$1:$AY$1,Y$1)+SUMIFS('changes2_based on steps'!$B101:$U101,'changes2_based on steps'!$B$1:$U$1,Y$1)</f>
        <v>0</v>
      </c>
      <c r="Z101" s="179">
        <f>SUMIFS('recurring2_based on steps'!$B101:$AY101,'recurring2_based on steps'!$B$1:$AY$1,Z$1)+SUMIFS('changes2_based on steps'!$B101:$U101,'changes2_based on steps'!$B$1:$U$1,Z$1)</f>
        <v>0</v>
      </c>
      <c r="AA101" s="179">
        <f>SUMIFS('recurring2_based on steps'!$B101:$AY101,'recurring2_based on steps'!$B$1:$AY$1,AA$1)+SUMIFS('changes2_based on steps'!$B101:$U101,'changes2_based on steps'!$B$1:$U$1,AA$1)</f>
        <v>0</v>
      </c>
      <c r="AB101" s="179">
        <f>SUMIFS('recurring2_based on steps'!$B101:$AY101,'recurring2_based on steps'!$B$1:$AY$1,AB$1)+SUMIFS('changes2_based on steps'!$B101:$U101,'changes2_based on steps'!$B$1:$U$1,AB$1)</f>
        <v>0</v>
      </c>
      <c r="AC101" s="179">
        <f>SUMIFS('recurring2_based on steps'!$B101:$AY101,'recurring2_based on steps'!$B$1:$AY$1,AC$1)+SUMIFS('changes2_based on steps'!$B101:$U101,'changes2_based on steps'!$B$1:$U$1,AC$1)</f>
        <v>0</v>
      </c>
      <c r="AD101" s="179">
        <f>SUMIFS('recurring2_based on steps'!$B101:$AY101,'recurring2_based on steps'!$B$1:$AY$1,AD$1)+SUMIFS('changes2_based on steps'!$B101:$U101,'changes2_based on steps'!$B$1:$U$1,AD$1)</f>
        <v>0</v>
      </c>
      <c r="AE101" s="179">
        <f>SUMIFS('recurring2_based on steps'!$B101:$AY101,'recurring2_based on steps'!$B$1:$AY$1,AE$1)+SUMIFS('changes2_based on steps'!$B101:$U101,'changes2_based on steps'!$B$1:$U$1,AE$1)</f>
        <v>0</v>
      </c>
      <c r="AF101" s="179"/>
      <c r="AG101" s="179"/>
      <c r="AH101" s="179"/>
      <c r="AI101" s="179"/>
      <c r="AJ101" s="179"/>
      <c r="AK101" s="179"/>
      <c r="AL101" s="179"/>
      <c r="AM101" s="179"/>
    </row>
    <row r="102" spans="1:39" x14ac:dyDescent="0.2">
      <c r="A102" s="32">
        <f t="shared" ca="1" si="1"/>
        <v>45851</v>
      </c>
      <c r="B102" s="179">
        <f>SUMIFS('recurring2_based on steps'!$B102:$AY102,'recurring2_based on steps'!$B$1:$AY$1,B$1)+SUMIFS('changes2_based on steps'!$B102:$U102,'changes2_based on steps'!$B$1:$U$1,B$1)</f>
        <v>0</v>
      </c>
      <c r="C102" s="179">
        <f>SUMIFS('recurring2_based on steps'!$B102:$AY102,'recurring2_based on steps'!$B$1:$AY$1,C$1)+SUMIFS('changes2_based on steps'!$B102:$U102,'changes2_based on steps'!$B$1:$U$1,C$1)</f>
        <v>0</v>
      </c>
      <c r="D102" s="179">
        <f>SUMIFS('recurring2_based on steps'!$B102:$AY102,'recurring2_based on steps'!$B$1:$AY$1,D$1)+SUMIFS('changes2_based on steps'!$B102:$U102,'changes2_based on steps'!$B$1:$U$1,D$1)</f>
        <v>0</v>
      </c>
      <c r="E102" s="179">
        <f>SUMIFS('recurring2_based on steps'!$B102:$AY102,'recurring2_based on steps'!$B$1:$AY$1,E$1)+SUMIFS('changes2_based on steps'!$B102:$U102,'changes2_based on steps'!$B$1:$U$1,E$1)</f>
        <v>0</v>
      </c>
      <c r="F102" s="179">
        <f>SUMIFS('recurring2_based on steps'!$B102:$AY102,'recurring2_based on steps'!$B$1:$AY$1,F$1)+SUMIFS('changes2_based on steps'!$B102:$U102,'changes2_based on steps'!$B$1:$U$1,F$1)</f>
        <v>0</v>
      </c>
      <c r="G102" s="179">
        <f>SUMIFS('recurring2_based on steps'!$B102:$AY102,'recurring2_based on steps'!$B$1:$AY$1,G$1)+SUMIFS('changes2_based on steps'!$B102:$U102,'changes2_based on steps'!$B$1:$U$1,G$1)</f>
        <v>0</v>
      </c>
      <c r="H102" s="179">
        <f>SUMIFS('recurring2_based on steps'!$B102:$AY102,'recurring2_based on steps'!$B$1:$AY$1,H$1)+SUMIFS('changes2_based on steps'!$B102:$U102,'changes2_based on steps'!$B$1:$U$1,H$1)</f>
        <v>0</v>
      </c>
      <c r="I102" s="179">
        <f>SUMIFS('recurring2_based on steps'!$B102:$AY102,'recurring2_based on steps'!$B$1:$AY$1,I$1)+SUMIFS('changes2_based on steps'!$B102:$U102,'changes2_based on steps'!$B$1:$U$1,I$1)</f>
        <v>0</v>
      </c>
      <c r="J102" s="179">
        <f>SUMIFS('recurring2_based on steps'!$B102:$AY102,'recurring2_based on steps'!$B$1:$AY$1,J$1)+SUMIFS('changes2_based on steps'!$B102:$U102,'changes2_based on steps'!$B$1:$U$1,J$1)</f>
        <v>0</v>
      </c>
      <c r="K102" s="179">
        <f>SUMIFS('recurring2_based on steps'!$B102:$AY102,'recurring2_based on steps'!$B$1:$AY$1,K$1)+SUMIFS('changes2_based on steps'!$B102:$U102,'changes2_based on steps'!$B$1:$U$1,K$1)</f>
        <v>0</v>
      </c>
      <c r="L102" s="179">
        <f>SUMIFS('recurring2_based on steps'!$B102:$AY102,'recurring2_based on steps'!$B$1:$AY$1,L$1)+SUMIFS('changes2_based on steps'!$B102:$U102,'changes2_based on steps'!$B$1:$U$1,L$1)</f>
        <v>0</v>
      </c>
      <c r="M102" s="179">
        <f>SUMIFS('recurring2_based on steps'!$B102:$AY102,'recurring2_based on steps'!$B$1:$AY$1,M$1)+SUMIFS('changes2_based on steps'!$B102:$U102,'changes2_based on steps'!$B$1:$U$1,M$1)</f>
        <v>0</v>
      </c>
      <c r="N102" s="179">
        <f>SUMIFS('recurring2_based on steps'!$B102:$AY102,'recurring2_based on steps'!$B$1:$AY$1,N$1)+SUMIFS('changes2_based on steps'!$B102:$U102,'changes2_based on steps'!$B$1:$U$1,N$1)</f>
        <v>0</v>
      </c>
      <c r="O102" s="179">
        <f>SUMIFS('recurring2_based on steps'!$B102:$AY102,'recurring2_based on steps'!$B$1:$AY$1,O$1)+SUMIFS('changes2_based on steps'!$B102:$U102,'changes2_based on steps'!$B$1:$U$1,O$1)</f>
        <v>0</v>
      </c>
      <c r="P102" s="179">
        <f>SUMIFS('recurring2_based on steps'!$B102:$AY102,'recurring2_based on steps'!$B$1:$AY$1,P$1)+SUMIFS('changes2_based on steps'!$B102:$U102,'changes2_based on steps'!$B$1:$U$1,P$1)</f>
        <v>0</v>
      </c>
      <c r="Q102" s="179">
        <f>SUMIFS('recurring2_based on steps'!$B102:$AY102,'recurring2_based on steps'!$B$1:$AY$1,Q$1)+SUMIFS('changes2_based on steps'!$B102:$U102,'changes2_based on steps'!$B$1:$U$1,Q$1)</f>
        <v>0</v>
      </c>
      <c r="R102" s="179">
        <f>SUMIFS('recurring2_based on steps'!$B102:$AY102,'recurring2_based on steps'!$B$1:$AY$1,R$1)+SUMIFS('changes2_based on steps'!$B102:$U102,'changes2_based on steps'!$B$1:$U$1,R$1)</f>
        <v>0</v>
      </c>
      <c r="S102" s="179">
        <f>SUMIFS('recurring2_based on steps'!$B102:$AY102,'recurring2_based on steps'!$B$1:$AY$1,S$1)+SUMIFS('changes2_based on steps'!$B102:$U102,'changes2_based on steps'!$B$1:$U$1,S$1)</f>
        <v>0</v>
      </c>
      <c r="T102" s="179">
        <f>SUMIFS('recurring2_based on steps'!$B102:$AY102,'recurring2_based on steps'!$B$1:$AY$1,T$1)+SUMIFS('changes2_based on steps'!$B102:$U102,'changes2_based on steps'!$B$1:$U$1,T$1)</f>
        <v>0</v>
      </c>
      <c r="U102" s="179">
        <f>SUMIFS('recurring2_based on steps'!$B102:$AY102,'recurring2_based on steps'!$B$1:$AY$1,U$1)+SUMIFS('changes2_based on steps'!$B102:$U102,'changes2_based on steps'!$B$1:$U$1,U$1)</f>
        <v>0</v>
      </c>
      <c r="V102" s="179">
        <f>SUMIFS('recurring2_based on steps'!$B102:$AY102,'recurring2_based on steps'!$B$1:$AY$1,V$1)+SUMIFS('changes2_based on steps'!$B102:$U102,'changes2_based on steps'!$B$1:$U$1,V$1)</f>
        <v>0</v>
      </c>
      <c r="W102" s="179">
        <f>SUMIFS('recurring2_based on steps'!$B102:$AY102,'recurring2_based on steps'!$B$1:$AY$1,W$1)+SUMIFS('changes2_based on steps'!$B102:$U102,'changes2_based on steps'!$B$1:$U$1,W$1)</f>
        <v>0</v>
      </c>
      <c r="X102" s="179">
        <f>SUMIFS('recurring2_based on steps'!$B102:$AY102,'recurring2_based on steps'!$B$1:$AY$1,X$1)+SUMIFS('changes2_based on steps'!$B102:$U102,'changes2_based on steps'!$B$1:$U$1,X$1)</f>
        <v>0</v>
      </c>
      <c r="Y102" s="179">
        <f>SUMIFS('recurring2_based on steps'!$B102:$AY102,'recurring2_based on steps'!$B$1:$AY$1,Y$1)+SUMIFS('changes2_based on steps'!$B102:$U102,'changes2_based on steps'!$B$1:$U$1,Y$1)</f>
        <v>0</v>
      </c>
      <c r="Z102" s="179">
        <f>SUMIFS('recurring2_based on steps'!$B102:$AY102,'recurring2_based on steps'!$B$1:$AY$1,Z$1)+SUMIFS('changes2_based on steps'!$B102:$U102,'changes2_based on steps'!$B$1:$U$1,Z$1)</f>
        <v>0</v>
      </c>
      <c r="AA102" s="179">
        <f>SUMIFS('recurring2_based on steps'!$B102:$AY102,'recurring2_based on steps'!$B$1:$AY$1,AA$1)+SUMIFS('changes2_based on steps'!$B102:$U102,'changes2_based on steps'!$B$1:$U$1,AA$1)</f>
        <v>0</v>
      </c>
      <c r="AB102" s="179">
        <f>SUMIFS('recurring2_based on steps'!$B102:$AY102,'recurring2_based on steps'!$B$1:$AY$1,AB$1)+SUMIFS('changes2_based on steps'!$B102:$U102,'changes2_based on steps'!$B$1:$U$1,AB$1)</f>
        <v>0</v>
      </c>
      <c r="AC102" s="179">
        <f>SUMIFS('recurring2_based on steps'!$B102:$AY102,'recurring2_based on steps'!$B$1:$AY$1,AC$1)+SUMIFS('changes2_based on steps'!$B102:$U102,'changes2_based on steps'!$B$1:$U$1,AC$1)</f>
        <v>0</v>
      </c>
      <c r="AD102" s="179">
        <f>SUMIFS('recurring2_based on steps'!$B102:$AY102,'recurring2_based on steps'!$B$1:$AY$1,AD$1)+SUMIFS('changes2_based on steps'!$B102:$U102,'changes2_based on steps'!$B$1:$U$1,AD$1)</f>
        <v>0</v>
      </c>
      <c r="AE102" s="179">
        <f>SUMIFS('recurring2_based on steps'!$B102:$AY102,'recurring2_based on steps'!$B$1:$AY$1,AE$1)+SUMIFS('changes2_based on steps'!$B102:$U102,'changes2_based on steps'!$B$1:$U$1,AE$1)</f>
        <v>0</v>
      </c>
      <c r="AF102" s="179"/>
      <c r="AG102" s="179"/>
      <c r="AH102" s="179"/>
      <c r="AI102" s="179"/>
      <c r="AJ102" s="179"/>
      <c r="AK102" s="179"/>
      <c r="AL102" s="179"/>
      <c r="AM102" s="179"/>
    </row>
    <row r="103" spans="1:39" x14ac:dyDescent="0.2">
      <c r="A103" s="32">
        <f t="shared" ca="1" si="1"/>
        <v>45852</v>
      </c>
      <c r="B103" s="179">
        <f>SUMIFS('recurring2_based on steps'!$B103:$AY103,'recurring2_based on steps'!$B$1:$AY$1,B$1)+SUMIFS('changes2_based on steps'!$B103:$U103,'changes2_based on steps'!$B$1:$U$1,B$1)</f>
        <v>0</v>
      </c>
      <c r="C103" s="179">
        <f>SUMIFS('recurring2_based on steps'!$B103:$AY103,'recurring2_based on steps'!$B$1:$AY$1,C$1)+SUMIFS('changes2_based on steps'!$B103:$U103,'changes2_based on steps'!$B$1:$U$1,C$1)</f>
        <v>0</v>
      </c>
      <c r="D103" s="179">
        <f>SUMIFS('recurring2_based on steps'!$B103:$AY103,'recurring2_based on steps'!$B$1:$AY$1,D$1)+SUMIFS('changes2_based on steps'!$B103:$U103,'changes2_based on steps'!$B$1:$U$1,D$1)</f>
        <v>0</v>
      </c>
      <c r="E103" s="179">
        <f>SUMIFS('recurring2_based on steps'!$B103:$AY103,'recurring2_based on steps'!$B$1:$AY$1,E$1)+SUMIFS('changes2_based on steps'!$B103:$U103,'changes2_based on steps'!$B$1:$U$1,E$1)</f>
        <v>0</v>
      </c>
      <c r="F103" s="179">
        <f>SUMIFS('recurring2_based on steps'!$B103:$AY103,'recurring2_based on steps'!$B$1:$AY$1,F$1)+SUMIFS('changes2_based on steps'!$B103:$U103,'changes2_based on steps'!$B$1:$U$1,F$1)</f>
        <v>0</v>
      </c>
      <c r="G103" s="179">
        <f>SUMIFS('recurring2_based on steps'!$B103:$AY103,'recurring2_based on steps'!$B$1:$AY$1,G$1)+SUMIFS('changes2_based on steps'!$B103:$U103,'changes2_based on steps'!$B$1:$U$1,G$1)</f>
        <v>0</v>
      </c>
      <c r="H103" s="179">
        <f>SUMIFS('recurring2_based on steps'!$B103:$AY103,'recurring2_based on steps'!$B$1:$AY$1,H$1)+SUMIFS('changes2_based on steps'!$B103:$U103,'changes2_based on steps'!$B$1:$U$1,H$1)</f>
        <v>0</v>
      </c>
      <c r="I103" s="179">
        <f>SUMIFS('recurring2_based on steps'!$B103:$AY103,'recurring2_based on steps'!$B$1:$AY$1,I$1)+SUMIFS('changes2_based on steps'!$B103:$U103,'changes2_based on steps'!$B$1:$U$1,I$1)</f>
        <v>0</v>
      </c>
      <c r="J103" s="179">
        <f>SUMIFS('recurring2_based on steps'!$B103:$AY103,'recurring2_based on steps'!$B$1:$AY$1,J$1)+SUMIFS('changes2_based on steps'!$B103:$U103,'changes2_based on steps'!$B$1:$U$1,J$1)</f>
        <v>0</v>
      </c>
      <c r="K103" s="179">
        <f>SUMIFS('recurring2_based on steps'!$B103:$AY103,'recurring2_based on steps'!$B$1:$AY$1,K$1)+SUMIFS('changes2_based on steps'!$B103:$U103,'changes2_based on steps'!$B$1:$U$1,K$1)</f>
        <v>0</v>
      </c>
      <c r="L103" s="179">
        <f>SUMIFS('recurring2_based on steps'!$B103:$AY103,'recurring2_based on steps'!$B$1:$AY$1,L$1)+SUMIFS('changes2_based on steps'!$B103:$U103,'changes2_based on steps'!$B$1:$U$1,L$1)</f>
        <v>0</v>
      </c>
      <c r="M103" s="179">
        <f>SUMIFS('recurring2_based on steps'!$B103:$AY103,'recurring2_based on steps'!$B$1:$AY$1,M$1)+SUMIFS('changes2_based on steps'!$B103:$U103,'changes2_based on steps'!$B$1:$U$1,M$1)</f>
        <v>0</v>
      </c>
      <c r="N103" s="179">
        <f>SUMIFS('recurring2_based on steps'!$B103:$AY103,'recurring2_based on steps'!$B$1:$AY$1,N$1)+SUMIFS('changes2_based on steps'!$B103:$U103,'changes2_based on steps'!$B$1:$U$1,N$1)</f>
        <v>0</v>
      </c>
      <c r="O103" s="179">
        <f>SUMIFS('recurring2_based on steps'!$B103:$AY103,'recurring2_based on steps'!$B$1:$AY$1,O$1)+SUMIFS('changes2_based on steps'!$B103:$U103,'changes2_based on steps'!$B$1:$U$1,O$1)</f>
        <v>0</v>
      </c>
      <c r="P103" s="179">
        <f>SUMIFS('recurring2_based on steps'!$B103:$AY103,'recurring2_based on steps'!$B$1:$AY$1,P$1)+SUMIFS('changes2_based on steps'!$B103:$U103,'changes2_based on steps'!$B$1:$U$1,P$1)</f>
        <v>0</v>
      </c>
      <c r="Q103" s="179">
        <f>SUMIFS('recurring2_based on steps'!$B103:$AY103,'recurring2_based on steps'!$B$1:$AY$1,Q$1)+SUMIFS('changes2_based on steps'!$B103:$U103,'changes2_based on steps'!$B$1:$U$1,Q$1)</f>
        <v>0</v>
      </c>
      <c r="R103" s="179">
        <f>SUMIFS('recurring2_based on steps'!$B103:$AY103,'recurring2_based on steps'!$B$1:$AY$1,R$1)+SUMIFS('changes2_based on steps'!$B103:$U103,'changes2_based on steps'!$B$1:$U$1,R$1)</f>
        <v>0</v>
      </c>
      <c r="S103" s="179">
        <f>SUMIFS('recurring2_based on steps'!$B103:$AY103,'recurring2_based on steps'!$B$1:$AY$1,S$1)+SUMIFS('changes2_based on steps'!$B103:$U103,'changes2_based on steps'!$B$1:$U$1,S$1)</f>
        <v>0</v>
      </c>
      <c r="T103" s="179">
        <f>SUMIFS('recurring2_based on steps'!$B103:$AY103,'recurring2_based on steps'!$B$1:$AY$1,T$1)+SUMIFS('changes2_based on steps'!$B103:$U103,'changes2_based on steps'!$B$1:$U$1,T$1)</f>
        <v>0</v>
      </c>
      <c r="U103" s="179">
        <f>SUMIFS('recurring2_based on steps'!$B103:$AY103,'recurring2_based on steps'!$B$1:$AY$1,U$1)+SUMIFS('changes2_based on steps'!$B103:$U103,'changes2_based on steps'!$B$1:$U$1,U$1)</f>
        <v>0</v>
      </c>
      <c r="V103" s="179">
        <f>SUMIFS('recurring2_based on steps'!$B103:$AY103,'recurring2_based on steps'!$B$1:$AY$1,V$1)+SUMIFS('changes2_based on steps'!$B103:$U103,'changes2_based on steps'!$B$1:$U$1,V$1)</f>
        <v>0</v>
      </c>
      <c r="W103" s="179">
        <f>SUMIFS('recurring2_based on steps'!$B103:$AY103,'recurring2_based on steps'!$B$1:$AY$1,W$1)+SUMIFS('changes2_based on steps'!$B103:$U103,'changes2_based on steps'!$B$1:$U$1,W$1)</f>
        <v>0</v>
      </c>
      <c r="X103" s="179">
        <f>SUMIFS('recurring2_based on steps'!$B103:$AY103,'recurring2_based on steps'!$B$1:$AY$1,X$1)+SUMIFS('changes2_based on steps'!$B103:$U103,'changes2_based on steps'!$B$1:$U$1,X$1)</f>
        <v>0</v>
      </c>
      <c r="Y103" s="179">
        <f>SUMIFS('recurring2_based on steps'!$B103:$AY103,'recurring2_based on steps'!$B$1:$AY$1,Y$1)+SUMIFS('changes2_based on steps'!$B103:$U103,'changes2_based on steps'!$B$1:$U$1,Y$1)</f>
        <v>0</v>
      </c>
      <c r="Z103" s="179">
        <f>SUMIFS('recurring2_based on steps'!$B103:$AY103,'recurring2_based on steps'!$B$1:$AY$1,Z$1)+SUMIFS('changes2_based on steps'!$B103:$U103,'changes2_based on steps'!$B$1:$U$1,Z$1)</f>
        <v>0</v>
      </c>
      <c r="AA103" s="179">
        <f>SUMIFS('recurring2_based on steps'!$B103:$AY103,'recurring2_based on steps'!$B$1:$AY$1,AA$1)+SUMIFS('changes2_based on steps'!$B103:$U103,'changes2_based on steps'!$B$1:$U$1,AA$1)</f>
        <v>0</v>
      </c>
      <c r="AB103" s="179">
        <f>SUMIFS('recurring2_based on steps'!$B103:$AY103,'recurring2_based on steps'!$B$1:$AY$1,AB$1)+SUMIFS('changes2_based on steps'!$B103:$U103,'changes2_based on steps'!$B$1:$U$1,AB$1)</f>
        <v>0</v>
      </c>
      <c r="AC103" s="179">
        <f>SUMIFS('recurring2_based on steps'!$B103:$AY103,'recurring2_based on steps'!$B$1:$AY$1,AC$1)+SUMIFS('changes2_based on steps'!$B103:$U103,'changes2_based on steps'!$B$1:$U$1,AC$1)</f>
        <v>0</v>
      </c>
      <c r="AD103" s="179">
        <f>SUMIFS('recurring2_based on steps'!$B103:$AY103,'recurring2_based on steps'!$B$1:$AY$1,AD$1)+SUMIFS('changes2_based on steps'!$B103:$U103,'changes2_based on steps'!$B$1:$U$1,AD$1)</f>
        <v>0</v>
      </c>
      <c r="AE103" s="179">
        <f>SUMIFS('recurring2_based on steps'!$B103:$AY103,'recurring2_based on steps'!$B$1:$AY$1,AE$1)+SUMIFS('changes2_based on steps'!$B103:$U103,'changes2_based on steps'!$B$1:$U$1,AE$1)</f>
        <v>0</v>
      </c>
      <c r="AF103" s="179"/>
      <c r="AG103" s="179"/>
      <c r="AH103" s="179"/>
      <c r="AI103" s="179"/>
      <c r="AJ103" s="179"/>
      <c r="AK103" s="179"/>
      <c r="AL103" s="179"/>
      <c r="AM103" s="179"/>
    </row>
    <row r="104" spans="1:39" x14ac:dyDescent="0.2">
      <c r="A104" s="32">
        <f t="shared" ca="1" si="1"/>
        <v>45853</v>
      </c>
      <c r="B104" s="179">
        <f>SUMIFS('recurring2_based on steps'!$B104:$AY104,'recurring2_based on steps'!$B$1:$AY$1,B$1)+SUMIFS('changes2_based on steps'!$B104:$U104,'changes2_based on steps'!$B$1:$U$1,B$1)</f>
        <v>0</v>
      </c>
      <c r="C104" s="179">
        <f>SUMIFS('recurring2_based on steps'!$B104:$AY104,'recurring2_based on steps'!$B$1:$AY$1,C$1)+SUMIFS('changes2_based on steps'!$B104:$U104,'changes2_based on steps'!$B$1:$U$1,C$1)</f>
        <v>0</v>
      </c>
      <c r="D104" s="179">
        <f>SUMIFS('recurring2_based on steps'!$B104:$AY104,'recurring2_based on steps'!$B$1:$AY$1,D$1)+SUMIFS('changes2_based on steps'!$B104:$U104,'changes2_based on steps'!$B$1:$U$1,D$1)</f>
        <v>0</v>
      </c>
      <c r="E104" s="179">
        <f>SUMIFS('recurring2_based on steps'!$B104:$AY104,'recurring2_based on steps'!$B$1:$AY$1,E$1)+SUMIFS('changes2_based on steps'!$B104:$U104,'changes2_based on steps'!$B$1:$U$1,E$1)</f>
        <v>0</v>
      </c>
      <c r="F104" s="179">
        <f>SUMIFS('recurring2_based on steps'!$B104:$AY104,'recurring2_based on steps'!$B$1:$AY$1,F$1)+SUMIFS('changes2_based on steps'!$B104:$U104,'changes2_based on steps'!$B$1:$U$1,F$1)</f>
        <v>0</v>
      </c>
      <c r="G104" s="179">
        <f>SUMIFS('recurring2_based on steps'!$B104:$AY104,'recurring2_based on steps'!$B$1:$AY$1,G$1)+SUMIFS('changes2_based on steps'!$B104:$U104,'changes2_based on steps'!$B$1:$U$1,G$1)</f>
        <v>0</v>
      </c>
      <c r="H104" s="179">
        <f>SUMIFS('recurring2_based on steps'!$B104:$AY104,'recurring2_based on steps'!$B$1:$AY$1,H$1)+SUMIFS('changes2_based on steps'!$B104:$U104,'changes2_based on steps'!$B$1:$U$1,H$1)</f>
        <v>0</v>
      </c>
      <c r="I104" s="179">
        <f>SUMIFS('recurring2_based on steps'!$B104:$AY104,'recurring2_based on steps'!$B$1:$AY$1,I$1)+SUMIFS('changes2_based on steps'!$B104:$U104,'changes2_based on steps'!$B$1:$U$1,I$1)</f>
        <v>0</v>
      </c>
      <c r="J104" s="179">
        <f>SUMIFS('recurring2_based on steps'!$B104:$AY104,'recurring2_based on steps'!$B$1:$AY$1,J$1)+SUMIFS('changes2_based on steps'!$B104:$U104,'changes2_based on steps'!$B$1:$U$1,J$1)</f>
        <v>0</v>
      </c>
      <c r="K104" s="179">
        <f>SUMIFS('recurring2_based on steps'!$B104:$AY104,'recurring2_based on steps'!$B$1:$AY$1,K$1)+SUMIFS('changes2_based on steps'!$B104:$U104,'changes2_based on steps'!$B$1:$U$1,K$1)</f>
        <v>0</v>
      </c>
      <c r="L104" s="179">
        <f>SUMIFS('recurring2_based on steps'!$B104:$AY104,'recurring2_based on steps'!$B$1:$AY$1,L$1)+SUMIFS('changes2_based on steps'!$B104:$U104,'changes2_based on steps'!$B$1:$U$1,L$1)</f>
        <v>0</v>
      </c>
      <c r="M104" s="179">
        <f>SUMIFS('recurring2_based on steps'!$B104:$AY104,'recurring2_based on steps'!$B$1:$AY$1,M$1)+SUMIFS('changes2_based on steps'!$B104:$U104,'changes2_based on steps'!$B$1:$U$1,M$1)</f>
        <v>0</v>
      </c>
      <c r="N104" s="179">
        <f>SUMIFS('recurring2_based on steps'!$B104:$AY104,'recurring2_based on steps'!$B$1:$AY$1,N$1)+SUMIFS('changes2_based on steps'!$B104:$U104,'changes2_based on steps'!$B$1:$U$1,N$1)</f>
        <v>0</v>
      </c>
      <c r="O104" s="179">
        <f>SUMIFS('recurring2_based on steps'!$B104:$AY104,'recurring2_based on steps'!$B$1:$AY$1,O$1)+SUMIFS('changes2_based on steps'!$B104:$U104,'changes2_based on steps'!$B$1:$U$1,O$1)</f>
        <v>0</v>
      </c>
      <c r="P104" s="179">
        <f>SUMIFS('recurring2_based on steps'!$B104:$AY104,'recurring2_based on steps'!$B$1:$AY$1,P$1)+SUMIFS('changes2_based on steps'!$B104:$U104,'changes2_based on steps'!$B$1:$U$1,P$1)</f>
        <v>0</v>
      </c>
      <c r="Q104" s="179">
        <f>SUMIFS('recurring2_based on steps'!$B104:$AY104,'recurring2_based on steps'!$B$1:$AY$1,Q$1)+SUMIFS('changes2_based on steps'!$B104:$U104,'changes2_based on steps'!$B$1:$U$1,Q$1)</f>
        <v>0</v>
      </c>
      <c r="R104" s="179">
        <f>SUMIFS('recurring2_based on steps'!$B104:$AY104,'recurring2_based on steps'!$B$1:$AY$1,R$1)+SUMIFS('changes2_based on steps'!$B104:$U104,'changes2_based on steps'!$B$1:$U$1,R$1)</f>
        <v>0</v>
      </c>
      <c r="S104" s="179">
        <f>SUMIFS('recurring2_based on steps'!$B104:$AY104,'recurring2_based on steps'!$B$1:$AY$1,S$1)+SUMIFS('changes2_based on steps'!$B104:$U104,'changes2_based on steps'!$B$1:$U$1,S$1)</f>
        <v>0</v>
      </c>
      <c r="T104" s="179">
        <f>SUMIFS('recurring2_based on steps'!$B104:$AY104,'recurring2_based on steps'!$B$1:$AY$1,T$1)+SUMIFS('changes2_based on steps'!$B104:$U104,'changes2_based on steps'!$B$1:$U$1,T$1)</f>
        <v>0</v>
      </c>
      <c r="U104" s="179">
        <f>SUMIFS('recurring2_based on steps'!$B104:$AY104,'recurring2_based on steps'!$B$1:$AY$1,U$1)+SUMIFS('changes2_based on steps'!$B104:$U104,'changes2_based on steps'!$B$1:$U$1,U$1)</f>
        <v>0</v>
      </c>
      <c r="V104" s="179">
        <f>SUMIFS('recurring2_based on steps'!$B104:$AY104,'recurring2_based on steps'!$B$1:$AY$1,V$1)+SUMIFS('changes2_based on steps'!$B104:$U104,'changes2_based on steps'!$B$1:$U$1,V$1)</f>
        <v>0</v>
      </c>
      <c r="W104" s="179">
        <f>SUMIFS('recurring2_based on steps'!$B104:$AY104,'recurring2_based on steps'!$B$1:$AY$1,W$1)+SUMIFS('changes2_based on steps'!$B104:$U104,'changes2_based on steps'!$B$1:$U$1,W$1)</f>
        <v>0</v>
      </c>
      <c r="X104" s="179">
        <f>SUMIFS('recurring2_based on steps'!$B104:$AY104,'recurring2_based on steps'!$B$1:$AY$1,X$1)+SUMIFS('changes2_based on steps'!$B104:$U104,'changes2_based on steps'!$B$1:$U$1,X$1)</f>
        <v>0</v>
      </c>
      <c r="Y104" s="179">
        <f>SUMIFS('recurring2_based on steps'!$B104:$AY104,'recurring2_based on steps'!$B$1:$AY$1,Y$1)+SUMIFS('changes2_based on steps'!$B104:$U104,'changes2_based on steps'!$B$1:$U$1,Y$1)</f>
        <v>0</v>
      </c>
      <c r="Z104" s="179">
        <f>SUMIFS('recurring2_based on steps'!$B104:$AY104,'recurring2_based on steps'!$B$1:$AY$1,Z$1)+SUMIFS('changes2_based on steps'!$B104:$U104,'changes2_based on steps'!$B$1:$U$1,Z$1)</f>
        <v>0</v>
      </c>
      <c r="AA104" s="179">
        <f>SUMIFS('recurring2_based on steps'!$B104:$AY104,'recurring2_based on steps'!$B$1:$AY$1,AA$1)+SUMIFS('changes2_based on steps'!$B104:$U104,'changes2_based on steps'!$B$1:$U$1,AA$1)</f>
        <v>0</v>
      </c>
      <c r="AB104" s="179">
        <f>SUMIFS('recurring2_based on steps'!$B104:$AY104,'recurring2_based on steps'!$B$1:$AY$1,AB$1)+SUMIFS('changes2_based on steps'!$B104:$U104,'changes2_based on steps'!$B$1:$U$1,AB$1)</f>
        <v>0</v>
      </c>
      <c r="AC104" s="179">
        <f>SUMIFS('recurring2_based on steps'!$B104:$AY104,'recurring2_based on steps'!$B$1:$AY$1,AC$1)+SUMIFS('changes2_based on steps'!$B104:$U104,'changes2_based on steps'!$B$1:$U$1,AC$1)</f>
        <v>0</v>
      </c>
      <c r="AD104" s="179">
        <f>SUMIFS('recurring2_based on steps'!$B104:$AY104,'recurring2_based on steps'!$B$1:$AY$1,AD$1)+SUMIFS('changes2_based on steps'!$B104:$U104,'changes2_based on steps'!$B$1:$U$1,AD$1)</f>
        <v>0</v>
      </c>
      <c r="AE104" s="179">
        <f>SUMIFS('recurring2_based on steps'!$B104:$AY104,'recurring2_based on steps'!$B$1:$AY$1,AE$1)+SUMIFS('changes2_based on steps'!$B104:$U104,'changes2_based on steps'!$B$1:$U$1,AE$1)</f>
        <v>0</v>
      </c>
      <c r="AF104" s="179"/>
      <c r="AG104" s="179"/>
      <c r="AH104" s="179"/>
      <c r="AI104" s="179"/>
      <c r="AJ104" s="179"/>
      <c r="AK104" s="179"/>
      <c r="AL104" s="179"/>
      <c r="AM104" s="179"/>
    </row>
    <row r="105" spans="1:39" x14ac:dyDescent="0.2">
      <c r="A105" s="32">
        <f t="shared" ca="1" si="1"/>
        <v>45854</v>
      </c>
      <c r="B105" s="179">
        <f>SUMIFS('recurring2_based on steps'!$B105:$AY105,'recurring2_based on steps'!$B$1:$AY$1,B$1)+SUMIFS('changes2_based on steps'!$B105:$U105,'changes2_based on steps'!$B$1:$U$1,B$1)</f>
        <v>0</v>
      </c>
      <c r="C105" s="179">
        <f>SUMIFS('recurring2_based on steps'!$B105:$AY105,'recurring2_based on steps'!$B$1:$AY$1,C$1)+SUMIFS('changes2_based on steps'!$B105:$U105,'changes2_based on steps'!$B$1:$U$1,C$1)</f>
        <v>0</v>
      </c>
      <c r="D105" s="179">
        <f>SUMIFS('recurring2_based on steps'!$B105:$AY105,'recurring2_based on steps'!$B$1:$AY$1,D$1)+SUMIFS('changes2_based on steps'!$B105:$U105,'changes2_based on steps'!$B$1:$U$1,D$1)</f>
        <v>0</v>
      </c>
      <c r="E105" s="179">
        <f>SUMIFS('recurring2_based on steps'!$B105:$AY105,'recurring2_based on steps'!$B$1:$AY$1,E$1)+SUMIFS('changes2_based on steps'!$B105:$U105,'changes2_based on steps'!$B$1:$U$1,E$1)</f>
        <v>0</v>
      </c>
      <c r="F105" s="179">
        <f>SUMIFS('recurring2_based on steps'!$B105:$AY105,'recurring2_based on steps'!$B$1:$AY$1,F$1)+SUMIFS('changes2_based on steps'!$B105:$U105,'changes2_based on steps'!$B$1:$U$1,F$1)</f>
        <v>0</v>
      </c>
      <c r="G105" s="179">
        <f>SUMIFS('recurring2_based on steps'!$B105:$AY105,'recurring2_based on steps'!$B$1:$AY$1,G$1)+SUMIFS('changes2_based on steps'!$B105:$U105,'changes2_based on steps'!$B$1:$U$1,G$1)</f>
        <v>0</v>
      </c>
      <c r="H105" s="179">
        <f>SUMIFS('recurring2_based on steps'!$B105:$AY105,'recurring2_based on steps'!$B$1:$AY$1,H$1)+SUMIFS('changes2_based on steps'!$B105:$U105,'changes2_based on steps'!$B$1:$U$1,H$1)</f>
        <v>0</v>
      </c>
      <c r="I105" s="179">
        <f>SUMIFS('recurring2_based on steps'!$B105:$AY105,'recurring2_based on steps'!$B$1:$AY$1,I$1)+SUMIFS('changes2_based on steps'!$B105:$U105,'changes2_based on steps'!$B$1:$U$1,I$1)</f>
        <v>0</v>
      </c>
      <c r="J105" s="179">
        <f>SUMIFS('recurring2_based on steps'!$B105:$AY105,'recurring2_based on steps'!$B$1:$AY$1,J$1)+SUMIFS('changes2_based on steps'!$B105:$U105,'changes2_based on steps'!$B$1:$U$1,J$1)</f>
        <v>0</v>
      </c>
      <c r="K105" s="179">
        <f>SUMIFS('recurring2_based on steps'!$B105:$AY105,'recurring2_based on steps'!$B$1:$AY$1,K$1)+SUMIFS('changes2_based on steps'!$B105:$U105,'changes2_based on steps'!$B$1:$U$1,K$1)</f>
        <v>0</v>
      </c>
      <c r="L105" s="179">
        <f>SUMIFS('recurring2_based on steps'!$B105:$AY105,'recurring2_based on steps'!$B$1:$AY$1,L$1)+SUMIFS('changes2_based on steps'!$B105:$U105,'changes2_based on steps'!$B$1:$U$1,L$1)</f>
        <v>0</v>
      </c>
      <c r="M105" s="179">
        <f>SUMIFS('recurring2_based on steps'!$B105:$AY105,'recurring2_based on steps'!$B$1:$AY$1,M$1)+SUMIFS('changes2_based on steps'!$B105:$U105,'changes2_based on steps'!$B$1:$U$1,M$1)</f>
        <v>0</v>
      </c>
      <c r="N105" s="179">
        <f>SUMIFS('recurring2_based on steps'!$B105:$AY105,'recurring2_based on steps'!$B$1:$AY$1,N$1)+SUMIFS('changes2_based on steps'!$B105:$U105,'changes2_based on steps'!$B$1:$U$1,N$1)</f>
        <v>0</v>
      </c>
      <c r="O105" s="179">
        <f>SUMIFS('recurring2_based on steps'!$B105:$AY105,'recurring2_based on steps'!$B$1:$AY$1,O$1)+SUMIFS('changes2_based on steps'!$B105:$U105,'changes2_based on steps'!$B$1:$U$1,O$1)</f>
        <v>0</v>
      </c>
      <c r="P105" s="179">
        <f>SUMIFS('recurring2_based on steps'!$B105:$AY105,'recurring2_based on steps'!$B$1:$AY$1,P$1)+SUMIFS('changes2_based on steps'!$B105:$U105,'changes2_based on steps'!$B$1:$U$1,P$1)</f>
        <v>0</v>
      </c>
      <c r="Q105" s="179">
        <f>SUMIFS('recurring2_based on steps'!$B105:$AY105,'recurring2_based on steps'!$B$1:$AY$1,Q$1)+SUMIFS('changes2_based on steps'!$B105:$U105,'changes2_based on steps'!$B$1:$U$1,Q$1)</f>
        <v>0</v>
      </c>
      <c r="R105" s="179">
        <f>SUMIFS('recurring2_based on steps'!$B105:$AY105,'recurring2_based on steps'!$B$1:$AY$1,R$1)+SUMIFS('changes2_based on steps'!$B105:$U105,'changes2_based on steps'!$B$1:$U$1,R$1)</f>
        <v>0</v>
      </c>
      <c r="S105" s="179">
        <f>SUMIFS('recurring2_based on steps'!$B105:$AY105,'recurring2_based on steps'!$B$1:$AY$1,S$1)+SUMIFS('changes2_based on steps'!$B105:$U105,'changes2_based on steps'!$B$1:$U$1,S$1)</f>
        <v>0</v>
      </c>
      <c r="T105" s="179">
        <f>SUMIFS('recurring2_based on steps'!$B105:$AY105,'recurring2_based on steps'!$B$1:$AY$1,T$1)+SUMIFS('changes2_based on steps'!$B105:$U105,'changes2_based on steps'!$B$1:$U$1,T$1)</f>
        <v>0</v>
      </c>
      <c r="U105" s="179">
        <f>SUMIFS('recurring2_based on steps'!$B105:$AY105,'recurring2_based on steps'!$B$1:$AY$1,U$1)+SUMIFS('changes2_based on steps'!$B105:$U105,'changes2_based on steps'!$B$1:$U$1,U$1)</f>
        <v>0</v>
      </c>
      <c r="V105" s="179">
        <f>SUMIFS('recurring2_based on steps'!$B105:$AY105,'recurring2_based on steps'!$B$1:$AY$1,V$1)+SUMIFS('changes2_based on steps'!$B105:$U105,'changes2_based on steps'!$B$1:$U$1,V$1)</f>
        <v>0</v>
      </c>
      <c r="W105" s="179">
        <f>SUMIFS('recurring2_based on steps'!$B105:$AY105,'recurring2_based on steps'!$B$1:$AY$1,W$1)+SUMIFS('changes2_based on steps'!$B105:$U105,'changes2_based on steps'!$B$1:$U$1,W$1)</f>
        <v>0</v>
      </c>
      <c r="X105" s="179">
        <f>SUMIFS('recurring2_based on steps'!$B105:$AY105,'recurring2_based on steps'!$B$1:$AY$1,X$1)+SUMIFS('changes2_based on steps'!$B105:$U105,'changes2_based on steps'!$B$1:$U$1,X$1)</f>
        <v>0</v>
      </c>
      <c r="Y105" s="179">
        <f>SUMIFS('recurring2_based on steps'!$B105:$AY105,'recurring2_based on steps'!$B$1:$AY$1,Y$1)+SUMIFS('changes2_based on steps'!$B105:$U105,'changes2_based on steps'!$B$1:$U$1,Y$1)</f>
        <v>0</v>
      </c>
      <c r="Z105" s="179">
        <f>SUMIFS('recurring2_based on steps'!$B105:$AY105,'recurring2_based on steps'!$B$1:$AY$1,Z$1)+SUMIFS('changes2_based on steps'!$B105:$U105,'changes2_based on steps'!$B$1:$U$1,Z$1)</f>
        <v>0</v>
      </c>
      <c r="AA105" s="179">
        <f>SUMIFS('recurring2_based on steps'!$B105:$AY105,'recurring2_based on steps'!$B$1:$AY$1,AA$1)+SUMIFS('changes2_based on steps'!$B105:$U105,'changes2_based on steps'!$B$1:$U$1,AA$1)</f>
        <v>0</v>
      </c>
      <c r="AB105" s="179">
        <f>SUMIFS('recurring2_based on steps'!$B105:$AY105,'recurring2_based on steps'!$B$1:$AY$1,AB$1)+SUMIFS('changes2_based on steps'!$B105:$U105,'changes2_based on steps'!$B$1:$U$1,AB$1)</f>
        <v>0</v>
      </c>
      <c r="AC105" s="179">
        <f>SUMIFS('recurring2_based on steps'!$B105:$AY105,'recurring2_based on steps'!$B$1:$AY$1,AC$1)+SUMIFS('changes2_based on steps'!$B105:$U105,'changes2_based on steps'!$B$1:$U$1,AC$1)</f>
        <v>0</v>
      </c>
      <c r="AD105" s="179">
        <f>SUMIFS('recurring2_based on steps'!$B105:$AY105,'recurring2_based on steps'!$B$1:$AY$1,AD$1)+SUMIFS('changes2_based on steps'!$B105:$U105,'changes2_based on steps'!$B$1:$U$1,AD$1)</f>
        <v>0</v>
      </c>
      <c r="AE105" s="179">
        <f>SUMIFS('recurring2_based on steps'!$B105:$AY105,'recurring2_based on steps'!$B$1:$AY$1,AE$1)+SUMIFS('changes2_based on steps'!$B105:$U105,'changes2_based on steps'!$B$1:$U$1,AE$1)</f>
        <v>0</v>
      </c>
      <c r="AF105" s="179"/>
      <c r="AG105" s="179"/>
      <c r="AH105" s="179"/>
      <c r="AI105" s="179"/>
      <c r="AJ105" s="179"/>
      <c r="AK105" s="179"/>
      <c r="AL105" s="179"/>
      <c r="AM105" s="179"/>
    </row>
    <row r="106" spans="1:39" x14ac:dyDescent="0.2">
      <c r="A106" s="32">
        <f t="shared" ca="1" si="1"/>
        <v>45855</v>
      </c>
      <c r="B106" s="179">
        <f>SUMIFS('recurring2_based on steps'!$B106:$AY106,'recurring2_based on steps'!$B$1:$AY$1,B$1)+SUMIFS('changes2_based on steps'!$B106:$U106,'changes2_based on steps'!$B$1:$U$1,B$1)</f>
        <v>0</v>
      </c>
      <c r="C106" s="179">
        <f>SUMIFS('recurring2_based on steps'!$B106:$AY106,'recurring2_based on steps'!$B$1:$AY$1,C$1)+SUMIFS('changes2_based on steps'!$B106:$U106,'changes2_based on steps'!$B$1:$U$1,C$1)</f>
        <v>0</v>
      </c>
      <c r="D106" s="179">
        <f>SUMIFS('recurring2_based on steps'!$B106:$AY106,'recurring2_based on steps'!$B$1:$AY$1,D$1)+SUMIFS('changes2_based on steps'!$B106:$U106,'changes2_based on steps'!$B$1:$U$1,D$1)</f>
        <v>0</v>
      </c>
      <c r="E106" s="179">
        <f>SUMIFS('recurring2_based on steps'!$B106:$AY106,'recurring2_based on steps'!$B$1:$AY$1,E$1)+SUMIFS('changes2_based on steps'!$B106:$U106,'changes2_based on steps'!$B$1:$U$1,E$1)</f>
        <v>0</v>
      </c>
      <c r="F106" s="179">
        <f>SUMIFS('recurring2_based on steps'!$B106:$AY106,'recurring2_based on steps'!$B$1:$AY$1,F$1)+SUMIFS('changes2_based on steps'!$B106:$U106,'changes2_based on steps'!$B$1:$U$1,F$1)</f>
        <v>0</v>
      </c>
      <c r="G106" s="179">
        <f>SUMIFS('recurring2_based on steps'!$B106:$AY106,'recurring2_based on steps'!$B$1:$AY$1,G$1)+SUMIFS('changes2_based on steps'!$B106:$U106,'changes2_based on steps'!$B$1:$U$1,G$1)</f>
        <v>0</v>
      </c>
      <c r="H106" s="179">
        <f>SUMIFS('recurring2_based on steps'!$B106:$AY106,'recurring2_based on steps'!$B$1:$AY$1,H$1)+SUMIFS('changes2_based on steps'!$B106:$U106,'changes2_based on steps'!$B$1:$U$1,H$1)</f>
        <v>0</v>
      </c>
      <c r="I106" s="179">
        <f>SUMIFS('recurring2_based on steps'!$B106:$AY106,'recurring2_based on steps'!$B$1:$AY$1,I$1)+SUMIFS('changes2_based on steps'!$B106:$U106,'changes2_based on steps'!$B$1:$U$1,I$1)</f>
        <v>0</v>
      </c>
      <c r="J106" s="179">
        <f>SUMIFS('recurring2_based on steps'!$B106:$AY106,'recurring2_based on steps'!$B$1:$AY$1,J$1)+SUMIFS('changes2_based on steps'!$B106:$U106,'changes2_based on steps'!$B$1:$U$1,J$1)</f>
        <v>0</v>
      </c>
      <c r="K106" s="179">
        <f>SUMIFS('recurring2_based on steps'!$B106:$AY106,'recurring2_based on steps'!$B$1:$AY$1,K$1)+SUMIFS('changes2_based on steps'!$B106:$U106,'changes2_based on steps'!$B$1:$U$1,K$1)</f>
        <v>0</v>
      </c>
      <c r="L106" s="179">
        <f>SUMIFS('recurring2_based on steps'!$B106:$AY106,'recurring2_based on steps'!$B$1:$AY$1,L$1)+SUMIFS('changes2_based on steps'!$B106:$U106,'changes2_based on steps'!$B$1:$U$1,L$1)</f>
        <v>0</v>
      </c>
      <c r="M106" s="179">
        <f>SUMIFS('recurring2_based on steps'!$B106:$AY106,'recurring2_based on steps'!$B$1:$AY$1,M$1)+SUMIFS('changes2_based on steps'!$B106:$U106,'changes2_based on steps'!$B$1:$U$1,M$1)</f>
        <v>0</v>
      </c>
      <c r="N106" s="179">
        <f>SUMIFS('recurring2_based on steps'!$B106:$AY106,'recurring2_based on steps'!$B$1:$AY$1,N$1)+SUMIFS('changes2_based on steps'!$B106:$U106,'changes2_based on steps'!$B$1:$U$1,N$1)</f>
        <v>0</v>
      </c>
      <c r="O106" s="179">
        <f>SUMIFS('recurring2_based on steps'!$B106:$AY106,'recurring2_based on steps'!$B$1:$AY$1,O$1)+SUMIFS('changes2_based on steps'!$B106:$U106,'changes2_based on steps'!$B$1:$U$1,O$1)</f>
        <v>0</v>
      </c>
      <c r="P106" s="179">
        <f>SUMIFS('recurring2_based on steps'!$B106:$AY106,'recurring2_based on steps'!$B$1:$AY$1,P$1)+SUMIFS('changes2_based on steps'!$B106:$U106,'changes2_based on steps'!$B$1:$U$1,P$1)</f>
        <v>0</v>
      </c>
      <c r="Q106" s="179">
        <f>SUMIFS('recurring2_based on steps'!$B106:$AY106,'recurring2_based on steps'!$B$1:$AY$1,Q$1)+SUMIFS('changes2_based on steps'!$B106:$U106,'changes2_based on steps'!$B$1:$U$1,Q$1)</f>
        <v>0</v>
      </c>
      <c r="R106" s="179">
        <f>SUMIFS('recurring2_based on steps'!$B106:$AY106,'recurring2_based on steps'!$B$1:$AY$1,R$1)+SUMIFS('changes2_based on steps'!$B106:$U106,'changes2_based on steps'!$B$1:$U$1,R$1)</f>
        <v>0</v>
      </c>
      <c r="S106" s="179">
        <f>SUMIFS('recurring2_based on steps'!$B106:$AY106,'recurring2_based on steps'!$B$1:$AY$1,S$1)+SUMIFS('changes2_based on steps'!$B106:$U106,'changes2_based on steps'!$B$1:$U$1,S$1)</f>
        <v>0</v>
      </c>
      <c r="T106" s="179">
        <f>SUMIFS('recurring2_based on steps'!$B106:$AY106,'recurring2_based on steps'!$B$1:$AY$1,T$1)+SUMIFS('changes2_based on steps'!$B106:$U106,'changes2_based on steps'!$B$1:$U$1,T$1)</f>
        <v>0</v>
      </c>
      <c r="U106" s="179">
        <f>SUMIFS('recurring2_based on steps'!$B106:$AY106,'recurring2_based on steps'!$B$1:$AY$1,U$1)+SUMIFS('changes2_based on steps'!$B106:$U106,'changes2_based on steps'!$B$1:$U$1,U$1)</f>
        <v>0</v>
      </c>
      <c r="V106" s="179">
        <f>SUMIFS('recurring2_based on steps'!$B106:$AY106,'recurring2_based on steps'!$B$1:$AY$1,V$1)+SUMIFS('changes2_based on steps'!$B106:$U106,'changes2_based on steps'!$B$1:$U$1,V$1)</f>
        <v>0</v>
      </c>
      <c r="W106" s="179">
        <f>SUMIFS('recurring2_based on steps'!$B106:$AY106,'recurring2_based on steps'!$B$1:$AY$1,W$1)+SUMIFS('changes2_based on steps'!$B106:$U106,'changes2_based on steps'!$B$1:$U$1,W$1)</f>
        <v>0</v>
      </c>
      <c r="X106" s="179">
        <f>SUMIFS('recurring2_based on steps'!$B106:$AY106,'recurring2_based on steps'!$B$1:$AY$1,X$1)+SUMIFS('changes2_based on steps'!$B106:$U106,'changes2_based on steps'!$B$1:$U$1,X$1)</f>
        <v>0</v>
      </c>
      <c r="Y106" s="179">
        <f>SUMIFS('recurring2_based on steps'!$B106:$AY106,'recurring2_based on steps'!$B$1:$AY$1,Y$1)+SUMIFS('changes2_based on steps'!$B106:$U106,'changes2_based on steps'!$B$1:$U$1,Y$1)</f>
        <v>0</v>
      </c>
      <c r="Z106" s="179">
        <f>SUMIFS('recurring2_based on steps'!$B106:$AY106,'recurring2_based on steps'!$B$1:$AY$1,Z$1)+SUMIFS('changes2_based on steps'!$B106:$U106,'changes2_based on steps'!$B$1:$U$1,Z$1)</f>
        <v>0</v>
      </c>
      <c r="AA106" s="179">
        <f>SUMIFS('recurring2_based on steps'!$B106:$AY106,'recurring2_based on steps'!$B$1:$AY$1,AA$1)+SUMIFS('changes2_based on steps'!$B106:$U106,'changes2_based on steps'!$B$1:$U$1,AA$1)</f>
        <v>0</v>
      </c>
      <c r="AB106" s="179">
        <f>SUMIFS('recurring2_based on steps'!$B106:$AY106,'recurring2_based on steps'!$B$1:$AY$1,AB$1)+SUMIFS('changes2_based on steps'!$B106:$U106,'changes2_based on steps'!$B$1:$U$1,AB$1)</f>
        <v>0</v>
      </c>
      <c r="AC106" s="179">
        <f>SUMIFS('recurring2_based on steps'!$B106:$AY106,'recurring2_based on steps'!$B$1:$AY$1,AC$1)+SUMIFS('changes2_based on steps'!$B106:$U106,'changes2_based on steps'!$B$1:$U$1,AC$1)</f>
        <v>0</v>
      </c>
      <c r="AD106" s="179">
        <f>SUMIFS('recurring2_based on steps'!$B106:$AY106,'recurring2_based on steps'!$B$1:$AY$1,AD$1)+SUMIFS('changes2_based on steps'!$B106:$U106,'changes2_based on steps'!$B$1:$U$1,AD$1)</f>
        <v>0</v>
      </c>
      <c r="AE106" s="179">
        <f>SUMIFS('recurring2_based on steps'!$B106:$AY106,'recurring2_based on steps'!$B$1:$AY$1,AE$1)+SUMIFS('changes2_based on steps'!$B106:$U106,'changes2_based on steps'!$B$1:$U$1,AE$1)</f>
        <v>0</v>
      </c>
      <c r="AF106" s="179"/>
      <c r="AG106" s="179"/>
      <c r="AH106" s="179"/>
      <c r="AI106" s="179"/>
      <c r="AJ106" s="179"/>
      <c r="AK106" s="179"/>
      <c r="AL106" s="179"/>
      <c r="AM106" s="179"/>
    </row>
    <row r="107" spans="1:39" x14ac:dyDescent="0.2">
      <c r="A107" s="32">
        <f t="shared" ca="1" si="1"/>
        <v>45856</v>
      </c>
      <c r="B107" s="179">
        <f>SUMIFS('recurring2_based on steps'!$B107:$AY107,'recurring2_based on steps'!$B$1:$AY$1,B$1)+SUMIFS('changes2_based on steps'!$B107:$U107,'changes2_based on steps'!$B$1:$U$1,B$1)</f>
        <v>0</v>
      </c>
      <c r="C107" s="179">
        <f>SUMIFS('recurring2_based on steps'!$B107:$AY107,'recurring2_based on steps'!$B$1:$AY$1,C$1)+SUMIFS('changes2_based on steps'!$B107:$U107,'changes2_based on steps'!$B$1:$U$1,C$1)</f>
        <v>0</v>
      </c>
      <c r="D107" s="179">
        <f>SUMIFS('recurring2_based on steps'!$B107:$AY107,'recurring2_based on steps'!$B$1:$AY$1,D$1)+SUMIFS('changes2_based on steps'!$B107:$U107,'changes2_based on steps'!$B$1:$U$1,D$1)</f>
        <v>0</v>
      </c>
      <c r="E107" s="179">
        <f>SUMIFS('recurring2_based on steps'!$B107:$AY107,'recurring2_based on steps'!$B$1:$AY$1,E$1)+SUMIFS('changes2_based on steps'!$B107:$U107,'changes2_based on steps'!$B$1:$U$1,E$1)</f>
        <v>0</v>
      </c>
      <c r="F107" s="179">
        <f>SUMIFS('recurring2_based on steps'!$B107:$AY107,'recurring2_based on steps'!$B$1:$AY$1,F$1)+SUMIFS('changes2_based on steps'!$B107:$U107,'changes2_based on steps'!$B$1:$U$1,F$1)</f>
        <v>0</v>
      </c>
      <c r="G107" s="179">
        <f>SUMIFS('recurring2_based on steps'!$B107:$AY107,'recurring2_based on steps'!$B$1:$AY$1,G$1)+SUMIFS('changes2_based on steps'!$B107:$U107,'changes2_based on steps'!$B$1:$U$1,G$1)</f>
        <v>0</v>
      </c>
      <c r="H107" s="179">
        <f>SUMIFS('recurring2_based on steps'!$B107:$AY107,'recurring2_based on steps'!$B$1:$AY$1,H$1)+SUMIFS('changes2_based on steps'!$B107:$U107,'changes2_based on steps'!$B$1:$U$1,H$1)</f>
        <v>0</v>
      </c>
      <c r="I107" s="179">
        <f>SUMIFS('recurring2_based on steps'!$B107:$AY107,'recurring2_based on steps'!$B$1:$AY$1,I$1)+SUMIFS('changes2_based on steps'!$B107:$U107,'changes2_based on steps'!$B$1:$U$1,I$1)</f>
        <v>0</v>
      </c>
      <c r="J107" s="179">
        <f>SUMIFS('recurring2_based on steps'!$B107:$AY107,'recurring2_based on steps'!$B$1:$AY$1,J$1)+SUMIFS('changes2_based on steps'!$B107:$U107,'changes2_based on steps'!$B$1:$U$1,J$1)</f>
        <v>0</v>
      </c>
      <c r="K107" s="179">
        <f>SUMIFS('recurring2_based on steps'!$B107:$AY107,'recurring2_based on steps'!$B$1:$AY$1,K$1)+SUMIFS('changes2_based on steps'!$B107:$U107,'changes2_based on steps'!$B$1:$U$1,K$1)</f>
        <v>0</v>
      </c>
      <c r="L107" s="179">
        <f>SUMIFS('recurring2_based on steps'!$B107:$AY107,'recurring2_based on steps'!$B$1:$AY$1,L$1)+SUMIFS('changes2_based on steps'!$B107:$U107,'changes2_based on steps'!$B$1:$U$1,L$1)</f>
        <v>0</v>
      </c>
      <c r="M107" s="179">
        <f>SUMIFS('recurring2_based on steps'!$B107:$AY107,'recurring2_based on steps'!$B$1:$AY$1,M$1)+SUMIFS('changes2_based on steps'!$B107:$U107,'changes2_based on steps'!$B$1:$U$1,M$1)</f>
        <v>0</v>
      </c>
      <c r="N107" s="179">
        <f>SUMIFS('recurring2_based on steps'!$B107:$AY107,'recurring2_based on steps'!$B$1:$AY$1,N$1)+SUMIFS('changes2_based on steps'!$B107:$U107,'changes2_based on steps'!$B$1:$U$1,N$1)</f>
        <v>0</v>
      </c>
      <c r="O107" s="179">
        <f>SUMIFS('recurring2_based on steps'!$B107:$AY107,'recurring2_based on steps'!$B$1:$AY$1,O$1)+SUMIFS('changes2_based on steps'!$B107:$U107,'changes2_based on steps'!$B$1:$U$1,O$1)</f>
        <v>0</v>
      </c>
      <c r="P107" s="179">
        <f>SUMIFS('recurring2_based on steps'!$B107:$AY107,'recurring2_based on steps'!$B$1:$AY$1,P$1)+SUMIFS('changes2_based on steps'!$B107:$U107,'changes2_based on steps'!$B$1:$U$1,P$1)</f>
        <v>0</v>
      </c>
      <c r="Q107" s="179">
        <f>SUMIFS('recurring2_based on steps'!$B107:$AY107,'recurring2_based on steps'!$B$1:$AY$1,Q$1)+SUMIFS('changes2_based on steps'!$B107:$U107,'changes2_based on steps'!$B$1:$U$1,Q$1)</f>
        <v>0</v>
      </c>
      <c r="R107" s="179">
        <f>SUMIFS('recurring2_based on steps'!$B107:$AY107,'recurring2_based on steps'!$B$1:$AY$1,R$1)+SUMIFS('changes2_based on steps'!$B107:$U107,'changes2_based on steps'!$B$1:$U$1,R$1)</f>
        <v>0</v>
      </c>
      <c r="S107" s="179">
        <f>SUMIFS('recurring2_based on steps'!$B107:$AY107,'recurring2_based on steps'!$B$1:$AY$1,S$1)+SUMIFS('changes2_based on steps'!$B107:$U107,'changes2_based on steps'!$B$1:$U$1,S$1)</f>
        <v>0</v>
      </c>
      <c r="T107" s="179">
        <f>SUMIFS('recurring2_based on steps'!$B107:$AY107,'recurring2_based on steps'!$B$1:$AY$1,T$1)+SUMIFS('changes2_based on steps'!$B107:$U107,'changes2_based on steps'!$B$1:$U$1,T$1)</f>
        <v>0</v>
      </c>
      <c r="U107" s="179">
        <f>SUMIFS('recurring2_based on steps'!$B107:$AY107,'recurring2_based on steps'!$B$1:$AY$1,U$1)+SUMIFS('changes2_based on steps'!$B107:$U107,'changes2_based on steps'!$B$1:$U$1,U$1)</f>
        <v>0</v>
      </c>
      <c r="V107" s="179">
        <f>SUMIFS('recurring2_based on steps'!$B107:$AY107,'recurring2_based on steps'!$B$1:$AY$1,V$1)+SUMIFS('changes2_based on steps'!$B107:$U107,'changes2_based on steps'!$B$1:$U$1,V$1)</f>
        <v>0</v>
      </c>
      <c r="W107" s="179">
        <f>SUMIFS('recurring2_based on steps'!$B107:$AY107,'recurring2_based on steps'!$B$1:$AY$1,W$1)+SUMIFS('changes2_based on steps'!$B107:$U107,'changes2_based on steps'!$B$1:$U$1,W$1)</f>
        <v>0</v>
      </c>
      <c r="X107" s="179">
        <f>SUMIFS('recurring2_based on steps'!$B107:$AY107,'recurring2_based on steps'!$B$1:$AY$1,X$1)+SUMIFS('changes2_based on steps'!$B107:$U107,'changes2_based on steps'!$B$1:$U$1,X$1)</f>
        <v>0</v>
      </c>
      <c r="Y107" s="179">
        <f>SUMIFS('recurring2_based on steps'!$B107:$AY107,'recurring2_based on steps'!$B$1:$AY$1,Y$1)+SUMIFS('changes2_based on steps'!$B107:$U107,'changes2_based on steps'!$B$1:$U$1,Y$1)</f>
        <v>0</v>
      </c>
      <c r="Z107" s="179">
        <f>SUMIFS('recurring2_based on steps'!$B107:$AY107,'recurring2_based on steps'!$B$1:$AY$1,Z$1)+SUMIFS('changes2_based on steps'!$B107:$U107,'changes2_based on steps'!$B$1:$U$1,Z$1)</f>
        <v>0</v>
      </c>
      <c r="AA107" s="179">
        <f>SUMIFS('recurring2_based on steps'!$B107:$AY107,'recurring2_based on steps'!$B$1:$AY$1,AA$1)+SUMIFS('changes2_based on steps'!$B107:$U107,'changes2_based on steps'!$B$1:$U$1,AA$1)</f>
        <v>0</v>
      </c>
      <c r="AB107" s="179">
        <f>SUMIFS('recurring2_based on steps'!$B107:$AY107,'recurring2_based on steps'!$B$1:$AY$1,AB$1)+SUMIFS('changes2_based on steps'!$B107:$U107,'changes2_based on steps'!$B$1:$U$1,AB$1)</f>
        <v>0</v>
      </c>
      <c r="AC107" s="179">
        <f>SUMIFS('recurring2_based on steps'!$B107:$AY107,'recurring2_based on steps'!$B$1:$AY$1,AC$1)+SUMIFS('changes2_based on steps'!$B107:$U107,'changes2_based on steps'!$B$1:$U$1,AC$1)</f>
        <v>0</v>
      </c>
      <c r="AD107" s="179">
        <f>SUMIFS('recurring2_based on steps'!$B107:$AY107,'recurring2_based on steps'!$B$1:$AY$1,AD$1)+SUMIFS('changes2_based on steps'!$B107:$U107,'changes2_based on steps'!$B$1:$U$1,AD$1)</f>
        <v>0</v>
      </c>
      <c r="AE107" s="179">
        <f>SUMIFS('recurring2_based on steps'!$B107:$AY107,'recurring2_based on steps'!$B$1:$AY$1,AE$1)+SUMIFS('changes2_based on steps'!$B107:$U107,'changes2_based on steps'!$B$1:$U$1,AE$1)</f>
        <v>0</v>
      </c>
      <c r="AF107" s="179"/>
      <c r="AG107" s="179"/>
      <c r="AH107" s="179"/>
      <c r="AI107" s="179"/>
      <c r="AJ107" s="179"/>
      <c r="AK107" s="179"/>
      <c r="AL107" s="179"/>
      <c r="AM107" s="179"/>
    </row>
    <row r="108" spans="1:39" x14ac:dyDescent="0.2">
      <c r="A108" s="32">
        <f t="shared" ca="1" si="1"/>
        <v>45857</v>
      </c>
      <c r="B108" s="179">
        <f>SUMIFS('recurring2_based on steps'!$B108:$AY108,'recurring2_based on steps'!$B$1:$AY$1,B$1)+SUMIFS('changes2_based on steps'!$B108:$U108,'changes2_based on steps'!$B$1:$U$1,B$1)</f>
        <v>0</v>
      </c>
      <c r="C108" s="179">
        <f>SUMIFS('recurring2_based on steps'!$B108:$AY108,'recurring2_based on steps'!$B$1:$AY$1,C$1)+SUMIFS('changes2_based on steps'!$B108:$U108,'changes2_based on steps'!$B$1:$U$1,C$1)</f>
        <v>0</v>
      </c>
      <c r="D108" s="179">
        <f>SUMIFS('recurring2_based on steps'!$B108:$AY108,'recurring2_based on steps'!$B$1:$AY$1,D$1)+SUMIFS('changes2_based on steps'!$B108:$U108,'changes2_based on steps'!$B$1:$U$1,D$1)</f>
        <v>0</v>
      </c>
      <c r="E108" s="179">
        <f>SUMIFS('recurring2_based on steps'!$B108:$AY108,'recurring2_based on steps'!$B$1:$AY$1,E$1)+SUMIFS('changes2_based on steps'!$B108:$U108,'changes2_based on steps'!$B$1:$U$1,E$1)</f>
        <v>0</v>
      </c>
      <c r="F108" s="179">
        <f>SUMIFS('recurring2_based on steps'!$B108:$AY108,'recurring2_based on steps'!$B$1:$AY$1,F$1)+SUMIFS('changes2_based on steps'!$B108:$U108,'changes2_based on steps'!$B$1:$U$1,F$1)</f>
        <v>0</v>
      </c>
      <c r="G108" s="179">
        <f>SUMIFS('recurring2_based on steps'!$B108:$AY108,'recurring2_based on steps'!$B$1:$AY$1,G$1)+SUMIFS('changes2_based on steps'!$B108:$U108,'changes2_based on steps'!$B$1:$U$1,G$1)</f>
        <v>0</v>
      </c>
      <c r="H108" s="179">
        <f>SUMIFS('recurring2_based on steps'!$B108:$AY108,'recurring2_based on steps'!$B$1:$AY$1,H$1)+SUMIFS('changes2_based on steps'!$B108:$U108,'changes2_based on steps'!$B$1:$U$1,H$1)</f>
        <v>0</v>
      </c>
      <c r="I108" s="179">
        <f>SUMIFS('recurring2_based on steps'!$B108:$AY108,'recurring2_based on steps'!$B$1:$AY$1,I$1)+SUMIFS('changes2_based on steps'!$B108:$U108,'changes2_based on steps'!$B$1:$U$1,I$1)</f>
        <v>0</v>
      </c>
      <c r="J108" s="179">
        <f>SUMIFS('recurring2_based on steps'!$B108:$AY108,'recurring2_based on steps'!$B$1:$AY$1,J$1)+SUMIFS('changes2_based on steps'!$B108:$U108,'changes2_based on steps'!$B$1:$U$1,J$1)</f>
        <v>0</v>
      </c>
      <c r="K108" s="179">
        <f>SUMIFS('recurring2_based on steps'!$B108:$AY108,'recurring2_based on steps'!$B$1:$AY$1,K$1)+SUMIFS('changes2_based on steps'!$B108:$U108,'changes2_based on steps'!$B$1:$U$1,K$1)</f>
        <v>0</v>
      </c>
      <c r="L108" s="179">
        <f>SUMIFS('recurring2_based on steps'!$B108:$AY108,'recurring2_based on steps'!$B$1:$AY$1,L$1)+SUMIFS('changes2_based on steps'!$B108:$U108,'changes2_based on steps'!$B$1:$U$1,L$1)</f>
        <v>0</v>
      </c>
      <c r="M108" s="179">
        <f>SUMIFS('recurring2_based on steps'!$B108:$AY108,'recurring2_based on steps'!$B$1:$AY$1,M$1)+SUMIFS('changes2_based on steps'!$B108:$U108,'changes2_based on steps'!$B$1:$U$1,M$1)</f>
        <v>0</v>
      </c>
      <c r="N108" s="179">
        <f>SUMIFS('recurring2_based on steps'!$B108:$AY108,'recurring2_based on steps'!$B$1:$AY$1,N$1)+SUMIFS('changes2_based on steps'!$B108:$U108,'changes2_based on steps'!$B$1:$U$1,N$1)</f>
        <v>0</v>
      </c>
      <c r="O108" s="179">
        <f>SUMIFS('recurring2_based on steps'!$B108:$AY108,'recurring2_based on steps'!$B$1:$AY$1,O$1)+SUMIFS('changes2_based on steps'!$B108:$U108,'changes2_based on steps'!$B$1:$U$1,O$1)</f>
        <v>0</v>
      </c>
      <c r="P108" s="179">
        <f>SUMIFS('recurring2_based on steps'!$B108:$AY108,'recurring2_based on steps'!$B$1:$AY$1,P$1)+SUMIFS('changes2_based on steps'!$B108:$U108,'changes2_based on steps'!$B$1:$U$1,P$1)</f>
        <v>0</v>
      </c>
      <c r="Q108" s="179">
        <f>SUMIFS('recurring2_based on steps'!$B108:$AY108,'recurring2_based on steps'!$B$1:$AY$1,Q$1)+SUMIFS('changes2_based on steps'!$B108:$U108,'changes2_based on steps'!$B$1:$U$1,Q$1)</f>
        <v>0</v>
      </c>
      <c r="R108" s="179">
        <f>SUMIFS('recurring2_based on steps'!$B108:$AY108,'recurring2_based on steps'!$B$1:$AY$1,R$1)+SUMIFS('changes2_based on steps'!$B108:$U108,'changes2_based on steps'!$B$1:$U$1,R$1)</f>
        <v>0</v>
      </c>
      <c r="S108" s="179">
        <f>SUMIFS('recurring2_based on steps'!$B108:$AY108,'recurring2_based on steps'!$B$1:$AY$1,S$1)+SUMIFS('changes2_based on steps'!$B108:$U108,'changes2_based on steps'!$B$1:$U$1,S$1)</f>
        <v>0</v>
      </c>
      <c r="T108" s="179">
        <f>SUMIFS('recurring2_based on steps'!$B108:$AY108,'recurring2_based on steps'!$B$1:$AY$1,T$1)+SUMIFS('changes2_based on steps'!$B108:$U108,'changes2_based on steps'!$B$1:$U$1,T$1)</f>
        <v>0</v>
      </c>
      <c r="U108" s="179">
        <f>SUMIFS('recurring2_based on steps'!$B108:$AY108,'recurring2_based on steps'!$B$1:$AY$1,U$1)+SUMIFS('changes2_based on steps'!$B108:$U108,'changes2_based on steps'!$B$1:$U$1,U$1)</f>
        <v>0</v>
      </c>
      <c r="V108" s="179">
        <f>SUMIFS('recurring2_based on steps'!$B108:$AY108,'recurring2_based on steps'!$B$1:$AY$1,V$1)+SUMIFS('changes2_based on steps'!$B108:$U108,'changes2_based on steps'!$B$1:$U$1,V$1)</f>
        <v>0</v>
      </c>
      <c r="W108" s="179">
        <f>SUMIFS('recurring2_based on steps'!$B108:$AY108,'recurring2_based on steps'!$B$1:$AY$1,W$1)+SUMIFS('changes2_based on steps'!$B108:$U108,'changes2_based on steps'!$B$1:$U$1,W$1)</f>
        <v>0</v>
      </c>
      <c r="X108" s="179">
        <f>SUMIFS('recurring2_based on steps'!$B108:$AY108,'recurring2_based on steps'!$B$1:$AY$1,X$1)+SUMIFS('changes2_based on steps'!$B108:$U108,'changes2_based on steps'!$B$1:$U$1,X$1)</f>
        <v>0</v>
      </c>
      <c r="Y108" s="179">
        <f>SUMIFS('recurring2_based on steps'!$B108:$AY108,'recurring2_based on steps'!$B$1:$AY$1,Y$1)+SUMIFS('changes2_based on steps'!$B108:$U108,'changes2_based on steps'!$B$1:$U$1,Y$1)</f>
        <v>0</v>
      </c>
      <c r="Z108" s="179">
        <f>SUMIFS('recurring2_based on steps'!$B108:$AY108,'recurring2_based on steps'!$B$1:$AY$1,Z$1)+SUMIFS('changes2_based on steps'!$B108:$U108,'changes2_based on steps'!$B$1:$U$1,Z$1)</f>
        <v>0</v>
      </c>
      <c r="AA108" s="179">
        <f>SUMIFS('recurring2_based on steps'!$B108:$AY108,'recurring2_based on steps'!$B$1:$AY$1,AA$1)+SUMIFS('changes2_based on steps'!$B108:$U108,'changes2_based on steps'!$B$1:$U$1,AA$1)</f>
        <v>0</v>
      </c>
      <c r="AB108" s="179">
        <f>SUMIFS('recurring2_based on steps'!$B108:$AY108,'recurring2_based on steps'!$B$1:$AY$1,AB$1)+SUMIFS('changes2_based on steps'!$B108:$U108,'changes2_based on steps'!$B$1:$U$1,AB$1)</f>
        <v>0</v>
      </c>
      <c r="AC108" s="179">
        <f>SUMIFS('recurring2_based on steps'!$B108:$AY108,'recurring2_based on steps'!$B$1:$AY$1,AC$1)+SUMIFS('changes2_based on steps'!$B108:$U108,'changes2_based on steps'!$B$1:$U$1,AC$1)</f>
        <v>0</v>
      </c>
      <c r="AD108" s="179">
        <f>SUMIFS('recurring2_based on steps'!$B108:$AY108,'recurring2_based on steps'!$B$1:$AY$1,AD$1)+SUMIFS('changes2_based on steps'!$B108:$U108,'changes2_based on steps'!$B$1:$U$1,AD$1)</f>
        <v>0</v>
      </c>
      <c r="AE108" s="179">
        <f>SUMIFS('recurring2_based on steps'!$B108:$AY108,'recurring2_based on steps'!$B$1:$AY$1,AE$1)+SUMIFS('changes2_based on steps'!$B108:$U108,'changes2_based on steps'!$B$1:$U$1,AE$1)</f>
        <v>0</v>
      </c>
      <c r="AF108" s="179"/>
      <c r="AG108" s="179"/>
      <c r="AH108" s="179"/>
      <c r="AI108" s="179"/>
      <c r="AJ108" s="179"/>
      <c r="AK108" s="179"/>
      <c r="AL108" s="179"/>
      <c r="AM108" s="179"/>
    </row>
    <row r="109" spans="1:39" x14ac:dyDescent="0.2">
      <c r="A109" s="32">
        <f t="shared" ca="1" si="1"/>
        <v>45858</v>
      </c>
      <c r="B109" s="179">
        <f>SUMIFS('recurring2_based on steps'!$B109:$AY109,'recurring2_based on steps'!$B$1:$AY$1,B$1)+SUMIFS('changes2_based on steps'!$B109:$U109,'changes2_based on steps'!$B$1:$U$1,B$1)</f>
        <v>0</v>
      </c>
      <c r="C109" s="179">
        <f>SUMIFS('recurring2_based on steps'!$B109:$AY109,'recurring2_based on steps'!$B$1:$AY$1,C$1)+SUMIFS('changes2_based on steps'!$B109:$U109,'changes2_based on steps'!$B$1:$U$1,C$1)</f>
        <v>0</v>
      </c>
      <c r="D109" s="179">
        <f>SUMIFS('recurring2_based on steps'!$B109:$AY109,'recurring2_based on steps'!$B$1:$AY$1,D$1)+SUMIFS('changes2_based on steps'!$B109:$U109,'changes2_based on steps'!$B$1:$U$1,D$1)</f>
        <v>0</v>
      </c>
      <c r="E109" s="179">
        <f>SUMIFS('recurring2_based on steps'!$B109:$AY109,'recurring2_based on steps'!$B$1:$AY$1,E$1)+SUMIFS('changes2_based on steps'!$B109:$U109,'changes2_based on steps'!$B$1:$U$1,E$1)</f>
        <v>0</v>
      </c>
      <c r="F109" s="179">
        <f>SUMIFS('recurring2_based on steps'!$B109:$AY109,'recurring2_based on steps'!$B$1:$AY$1,F$1)+SUMIFS('changes2_based on steps'!$B109:$U109,'changes2_based on steps'!$B$1:$U$1,F$1)</f>
        <v>0</v>
      </c>
      <c r="G109" s="179">
        <f>SUMIFS('recurring2_based on steps'!$B109:$AY109,'recurring2_based on steps'!$B$1:$AY$1,G$1)+SUMIFS('changes2_based on steps'!$B109:$U109,'changes2_based on steps'!$B$1:$U$1,G$1)</f>
        <v>0</v>
      </c>
      <c r="H109" s="179">
        <f>SUMIFS('recurring2_based on steps'!$B109:$AY109,'recurring2_based on steps'!$B$1:$AY$1,H$1)+SUMIFS('changes2_based on steps'!$B109:$U109,'changes2_based on steps'!$B$1:$U$1,H$1)</f>
        <v>0</v>
      </c>
      <c r="I109" s="179">
        <f>SUMIFS('recurring2_based on steps'!$B109:$AY109,'recurring2_based on steps'!$B$1:$AY$1,I$1)+SUMIFS('changes2_based on steps'!$B109:$U109,'changes2_based on steps'!$B$1:$U$1,I$1)</f>
        <v>0</v>
      </c>
      <c r="J109" s="179">
        <f>SUMIFS('recurring2_based on steps'!$B109:$AY109,'recurring2_based on steps'!$B$1:$AY$1,J$1)+SUMIFS('changes2_based on steps'!$B109:$U109,'changes2_based on steps'!$B$1:$U$1,J$1)</f>
        <v>0</v>
      </c>
      <c r="K109" s="179">
        <f>SUMIFS('recurring2_based on steps'!$B109:$AY109,'recurring2_based on steps'!$B$1:$AY$1,K$1)+SUMIFS('changes2_based on steps'!$B109:$U109,'changes2_based on steps'!$B$1:$U$1,K$1)</f>
        <v>0</v>
      </c>
      <c r="L109" s="179">
        <f>SUMIFS('recurring2_based on steps'!$B109:$AY109,'recurring2_based on steps'!$B$1:$AY$1,L$1)+SUMIFS('changes2_based on steps'!$B109:$U109,'changes2_based on steps'!$B$1:$U$1,L$1)</f>
        <v>0</v>
      </c>
      <c r="M109" s="179">
        <f>SUMIFS('recurring2_based on steps'!$B109:$AY109,'recurring2_based on steps'!$B$1:$AY$1,M$1)+SUMIFS('changes2_based on steps'!$B109:$U109,'changes2_based on steps'!$B$1:$U$1,M$1)</f>
        <v>0</v>
      </c>
      <c r="N109" s="179">
        <f>SUMIFS('recurring2_based on steps'!$B109:$AY109,'recurring2_based on steps'!$B$1:$AY$1,N$1)+SUMIFS('changes2_based on steps'!$B109:$U109,'changes2_based on steps'!$B$1:$U$1,N$1)</f>
        <v>0</v>
      </c>
      <c r="O109" s="179">
        <f>SUMIFS('recurring2_based on steps'!$B109:$AY109,'recurring2_based on steps'!$B$1:$AY$1,O$1)+SUMIFS('changes2_based on steps'!$B109:$U109,'changes2_based on steps'!$B$1:$U$1,O$1)</f>
        <v>0</v>
      </c>
      <c r="P109" s="179">
        <f>SUMIFS('recurring2_based on steps'!$B109:$AY109,'recurring2_based on steps'!$B$1:$AY$1,P$1)+SUMIFS('changes2_based on steps'!$B109:$U109,'changes2_based on steps'!$B$1:$U$1,P$1)</f>
        <v>0</v>
      </c>
      <c r="Q109" s="179">
        <f>SUMIFS('recurring2_based on steps'!$B109:$AY109,'recurring2_based on steps'!$B$1:$AY$1,Q$1)+SUMIFS('changes2_based on steps'!$B109:$U109,'changes2_based on steps'!$B$1:$U$1,Q$1)</f>
        <v>0</v>
      </c>
      <c r="R109" s="179">
        <f>SUMIFS('recurring2_based on steps'!$B109:$AY109,'recurring2_based on steps'!$B$1:$AY$1,R$1)+SUMIFS('changes2_based on steps'!$B109:$U109,'changes2_based on steps'!$B$1:$U$1,R$1)</f>
        <v>0</v>
      </c>
      <c r="S109" s="179">
        <f>SUMIFS('recurring2_based on steps'!$B109:$AY109,'recurring2_based on steps'!$B$1:$AY$1,S$1)+SUMIFS('changes2_based on steps'!$B109:$U109,'changes2_based on steps'!$B$1:$U$1,S$1)</f>
        <v>0</v>
      </c>
      <c r="T109" s="179">
        <f>SUMIFS('recurring2_based on steps'!$B109:$AY109,'recurring2_based on steps'!$B$1:$AY$1,T$1)+SUMIFS('changes2_based on steps'!$B109:$U109,'changes2_based on steps'!$B$1:$U$1,T$1)</f>
        <v>0</v>
      </c>
      <c r="U109" s="179">
        <f>SUMIFS('recurring2_based on steps'!$B109:$AY109,'recurring2_based on steps'!$B$1:$AY$1,U$1)+SUMIFS('changes2_based on steps'!$B109:$U109,'changes2_based on steps'!$B$1:$U$1,U$1)</f>
        <v>0</v>
      </c>
      <c r="V109" s="179">
        <f>SUMIFS('recurring2_based on steps'!$B109:$AY109,'recurring2_based on steps'!$B$1:$AY$1,V$1)+SUMIFS('changes2_based on steps'!$B109:$U109,'changes2_based on steps'!$B$1:$U$1,V$1)</f>
        <v>0</v>
      </c>
      <c r="W109" s="179">
        <f>SUMIFS('recurring2_based on steps'!$B109:$AY109,'recurring2_based on steps'!$B$1:$AY$1,W$1)+SUMIFS('changes2_based on steps'!$B109:$U109,'changes2_based on steps'!$B$1:$U$1,W$1)</f>
        <v>0</v>
      </c>
      <c r="X109" s="179">
        <f>SUMIFS('recurring2_based on steps'!$B109:$AY109,'recurring2_based on steps'!$B$1:$AY$1,X$1)+SUMIFS('changes2_based on steps'!$B109:$U109,'changes2_based on steps'!$B$1:$U$1,X$1)</f>
        <v>0</v>
      </c>
      <c r="Y109" s="179">
        <f>SUMIFS('recurring2_based on steps'!$B109:$AY109,'recurring2_based on steps'!$B$1:$AY$1,Y$1)+SUMIFS('changes2_based on steps'!$B109:$U109,'changes2_based on steps'!$B$1:$U$1,Y$1)</f>
        <v>0</v>
      </c>
      <c r="Z109" s="179">
        <f>SUMIFS('recurring2_based on steps'!$B109:$AY109,'recurring2_based on steps'!$B$1:$AY$1,Z$1)+SUMIFS('changes2_based on steps'!$B109:$U109,'changes2_based on steps'!$B$1:$U$1,Z$1)</f>
        <v>0</v>
      </c>
      <c r="AA109" s="179">
        <f>SUMIFS('recurring2_based on steps'!$B109:$AY109,'recurring2_based on steps'!$B$1:$AY$1,AA$1)+SUMIFS('changes2_based on steps'!$B109:$U109,'changes2_based on steps'!$B$1:$U$1,AA$1)</f>
        <v>0</v>
      </c>
      <c r="AB109" s="179">
        <f>SUMIFS('recurring2_based on steps'!$B109:$AY109,'recurring2_based on steps'!$B$1:$AY$1,AB$1)+SUMIFS('changes2_based on steps'!$B109:$U109,'changes2_based on steps'!$B$1:$U$1,AB$1)</f>
        <v>0</v>
      </c>
      <c r="AC109" s="179">
        <f>SUMIFS('recurring2_based on steps'!$B109:$AY109,'recurring2_based on steps'!$B$1:$AY$1,AC$1)+SUMIFS('changes2_based on steps'!$B109:$U109,'changes2_based on steps'!$B$1:$U$1,AC$1)</f>
        <v>0</v>
      </c>
      <c r="AD109" s="179">
        <f>SUMIFS('recurring2_based on steps'!$B109:$AY109,'recurring2_based on steps'!$B$1:$AY$1,AD$1)+SUMIFS('changes2_based on steps'!$B109:$U109,'changes2_based on steps'!$B$1:$U$1,AD$1)</f>
        <v>0</v>
      </c>
      <c r="AE109" s="179">
        <f>SUMIFS('recurring2_based on steps'!$B109:$AY109,'recurring2_based on steps'!$B$1:$AY$1,AE$1)+SUMIFS('changes2_based on steps'!$B109:$U109,'changes2_based on steps'!$B$1:$U$1,AE$1)</f>
        <v>0</v>
      </c>
      <c r="AF109" s="179"/>
      <c r="AG109" s="179"/>
      <c r="AH109" s="179"/>
      <c r="AI109" s="179"/>
      <c r="AJ109" s="179"/>
      <c r="AK109" s="179"/>
      <c r="AL109" s="179"/>
      <c r="AM109" s="179"/>
    </row>
    <row r="110" spans="1:39" x14ac:dyDescent="0.2">
      <c r="A110" s="32">
        <f t="shared" ca="1" si="1"/>
        <v>45859</v>
      </c>
      <c r="B110" s="179">
        <f>SUMIFS('recurring2_based on steps'!$B110:$AY110,'recurring2_based on steps'!$B$1:$AY$1,B$1)+SUMIFS('changes2_based on steps'!$B110:$U110,'changes2_based on steps'!$B$1:$U$1,B$1)</f>
        <v>0</v>
      </c>
      <c r="C110" s="179">
        <f>SUMIFS('recurring2_based on steps'!$B110:$AY110,'recurring2_based on steps'!$B$1:$AY$1,C$1)+SUMIFS('changes2_based on steps'!$B110:$U110,'changes2_based on steps'!$B$1:$U$1,C$1)</f>
        <v>0</v>
      </c>
      <c r="D110" s="179">
        <f>SUMIFS('recurring2_based on steps'!$B110:$AY110,'recurring2_based on steps'!$B$1:$AY$1,D$1)+SUMIFS('changes2_based on steps'!$B110:$U110,'changes2_based on steps'!$B$1:$U$1,D$1)</f>
        <v>0</v>
      </c>
      <c r="E110" s="179">
        <f>SUMIFS('recurring2_based on steps'!$B110:$AY110,'recurring2_based on steps'!$B$1:$AY$1,E$1)+SUMIFS('changes2_based on steps'!$B110:$U110,'changes2_based on steps'!$B$1:$U$1,E$1)</f>
        <v>0</v>
      </c>
      <c r="F110" s="179">
        <f>SUMIFS('recurring2_based on steps'!$B110:$AY110,'recurring2_based on steps'!$B$1:$AY$1,F$1)+SUMIFS('changes2_based on steps'!$B110:$U110,'changes2_based on steps'!$B$1:$U$1,F$1)</f>
        <v>0</v>
      </c>
      <c r="G110" s="179">
        <f>SUMIFS('recurring2_based on steps'!$B110:$AY110,'recurring2_based on steps'!$B$1:$AY$1,G$1)+SUMIFS('changes2_based on steps'!$B110:$U110,'changes2_based on steps'!$B$1:$U$1,G$1)</f>
        <v>0</v>
      </c>
      <c r="H110" s="179">
        <f>SUMIFS('recurring2_based on steps'!$B110:$AY110,'recurring2_based on steps'!$B$1:$AY$1,H$1)+SUMIFS('changes2_based on steps'!$B110:$U110,'changes2_based on steps'!$B$1:$U$1,H$1)</f>
        <v>0</v>
      </c>
      <c r="I110" s="179">
        <f>SUMIFS('recurring2_based on steps'!$B110:$AY110,'recurring2_based on steps'!$B$1:$AY$1,I$1)+SUMIFS('changes2_based on steps'!$B110:$U110,'changes2_based on steps'!$B$1:$U$1,I$1)</f>
        <v>0</v>
      </c>
      <c r="J110" s="179">
        <f>SUMIFS('recurring2_based on steps'!$B110:$AY110,'recurring2_based on steps'!$B$1:$AY$1,J$1)+SUMIFS('changes2_based on steps'!$B110:$U110,'changes2_based on steps'!$B$1:$U$1,J$1)</f>
        <v>0</v>
      </c>
      <c r="K110" s="179">
        <f>SUMIFS('recurring2_based on steps'!$B110:$AY110,'recurring2_based on steps'!$B$1:$AY$1,K$1)+SUMIFS('changes2_based on steps'!$B110:$U110,'changes2_based on steps'!$B$1:$U$1,K$1)</f>
        <v>0</v>
      </c>
      <c r="L110" s="179">
        <f>SUMIFS('recurring2_based on steps'!$B110:$AY110,'recurring2_based on steps'!$B$1:$AY$1,L$1)+SUMIFS('changes2_based on steps'!$B110:$U110,'changes2_based on steps'!$B$1:$U$1,L$1)</f>
        <v>0</v>
      </c>
      <c r="M110" s="179">
        <f>SUMIFS('recurring2_based on steps'!$B110:$AY110,'recurring2_based on steps'!$B$1:$AY$1,M$1)+SUMIFS('changes2_based on steps'!$B110:$U110,'changes2_based on steps'!$B$1:$U$1,M$1)</f>
        <v>0</v>
      </c>
      <c r="N110" s="179">
        <f>SUMIFS('recurring2_based on steps'!$B110:$AY110,'recurring2_based on steps'!$B$1:$AY$1,N$1)+SUMIFS('changes2_based on steps'!$B110:$U110,'changes2_based on steps'!$B$1:$U$1,N$1)</f>
        <v>0</v>
      </c>
      <c r="O110" s="179">
        <f>SUMIFS('recurring2_based on steps'!$B110:$AY110,'recurring2_based on steps'!$B$1:$AY$1,O$1)+SUMIFS('changes2_based on steps'!$B110:$U110,'changes2_based on steps'!$B$1:$U$1,O$1)</f>
        <v>0</v>
      </c>
      <c r="P110" s="179">
        <f>SUMIFS('recurring2_based on steps'!$B110:$AY110,'recurring2_based on steps'!$B$1:$AY$1,P$1)+SUMIFS('changes2_based on steps'!$B110:$U110,'changes2_based on steps'!$B$1:$U$1,P$1)</f>
        <v>0</v>
      </c>
      <c r="Q110" s="179">
        <f>SUMIFS('recurring2_based on steps'!$B110:$AY110,'recurring2_based on steps'!$B$1:$AY$1,Q$1)+SUMIFS('changes2_based on steps'!$B110:$U110,'changes2_based on steps'!$B$1:$U$1,Q$1)</f>
        <v>0</v>
      </c>
      <c r="R110" s="179">
        <f>SUMIFS('recurring2_based on steps'!$B110:$AY110,'recurring2_based on steps'!$B$1:$AY$1,R$1)+SUMIFS('changes2_based on steps'!$B110:$U110,'changes2_based on steps'!$B$1:$U$1,R$1)</f>
        <v>0</v>
      </c>
      <c r="S110" s="179">
        <f>SUMIFS('recurring2_based on steps'!$B110:$AY110,'recurring2_based on steps'!$B$1:$AY$1,S$1)+SUMIFS('changes2_based on steps'!$B110:$U110,'changes2_based on steps'!$B$1:$U$1,S$1)</f>
        <v>0</v>
      </c>
      <c r="T110" s="179">
        <f>SUMIFS('recurring2_based on steps'!$B110:$AY110,'recurring2_based on steps'!$B$1:$AY$1,T$1)+SUMIFS('changes2_based on steps'!$B110:$U110,'changes2_based on steps'!$B$1:$U$1,T$1)</f>
        <v>0</v>
      </c>
      <c r="U110" s="179">
        <f>SUMIFS('recurring2_based on steps'!$B110:$AY110,'recurring2_based on steps'!$B$1:$AY$1,U$1)+SUMIFS('changes2_based on steps'!$B110:$U110,'changes2_based on steps'!$B$1:$U$1,U$1)</f>
        <v>0</v>
      </c>
      <c r="V110" s="179">
        <f>SUMIFS('recurring2_based on steps'!$B110:$AY110,'recurring2_based on steps'!$B$1:$AY$1,V$1)+SUMIFS('changes2_based on steps'!$B110:$U110,'changes2_based on steps'!$B$1:$U$1,V$1)</f>
        <v>0</v>
      </c>
      <c r="W110" s="179">
        <f>SUMIFS('recurring2_based on steps'!$B110:$AY110,'recurring2_based on steps'!$B$1:$AY$1,W$1)+SUMIFS('changes2_based on steps'!$B110:$U110,'changes2_based on steps'!$B$1:$U$1,W$1)</f>
        <v>0</v>
      </c>
      <c r="X110" s="179">
        <f>SUMIFS('recurring2_based on steps'!$B110:$AY110,'recurring2_based on steps'!$B$1:$AY$1,X$1)+SUMIFS('changes2_based on steps'!$B110:$U110,'changes2_based on steps'!$B$1:$U$1,X$1)</f>
        <v>0</v>
      </c>
      <c r="Y110" s="179">
        <f>SUMIFS('recurring2_based on steps'!$B110:$AY110,'recurring2_based on steps'!$B$1:$AY$1,Y$1)+SUMIFS('changes2_based on steps'!$B110:$U110,'changes2_based on steps'!$B$1:$U$1,Y$1)</f>
        <v>0</v>
      </c>
      <c r="Z110" s="179">
        <f>SUMIFS('recurring2_based on steps'!$B110:$AY110,'recurring2_based on steps'!$B$1:$AY$1,Z$1)+SUMIFS('changes2_based on steps'!$B110:$U110,'changes2_based on steps'!$B$1:$U$1,Z$1)</f>
        <v>0</v>
      </c>
      <c r="AA110" s="179">
        <f>SUMIFS('recurring2_based on steps'!$B110:$AY110,'recurring2_based on steps'!$B$1:$AY$1,AA$1)+SUMIFS('changes2_based on steps'!$B110:$U110,'changes2_based on steps'!$B$1:$U$1,AA$1)</f>
        <v>0</v>
      </c>
      <c r="AB110" s="179">
        <f>SUMIFS('recurring2_based on steps'!$B110:$AY110,'recurring2_based on steps'!$B$1:$AY$1,AB$1)+SUMIFS('changes2_based on steps'!$B110:$U110,'changes2_based on steps'!$B$1:$U$1,AB$1)</f>
        <v>0</v>
      </c>
      <c r="AC110" s="179">
        <f>SUMIFS('recurring2_based on steps'!$B110:$AY110,'recurring2_based on steps'!$B$1:$AY$1,AC$1)+SUMIFS('changes2_based on steps'!$B110:$U110,'changes2_based on steps'!$B$1:$U$1,AC$1)</f>
        <v>0</v>
      </c>
      <c r="AD110" s="179">
        <f>SUMIFS('recurring2_based on steps'!$B110:$AY110,'recurring2_based on steps'!$B$1:$AY$1,AD$1)+SUMIFS('changes2_based on steps'!$B110:$U110,'changes2_based on steps'!$B$1:$U$1,AD$1)</f>
        <v>0</v>
      </c>
      <c r="AE110" s="179">
        <f>SUMIFS('recurring2_based on steps'!$B110:$AY110,'recurring2_based on steps'!$B$1:$AY$1,AE$1)+SUMIFS('changes2_based on steps'!$B110:$U110,'changes2_based on steps'!$B$1:$U$1,AE$1)</f>
        <v>0</v>
      </c>
      <c r="AF110" s="179"/>
      <c r="AG110" s="179"/>
      <c r="AH110" s="179"/>
      <c r="AI110" s="179"/>
      <c r="AJ110" s="179"/>
      <c r="AK110" s="179"/>
      <c r="AL110" s="179"/>
      <c r="AM110" s="179"/>
    </row>
    <row r="111" spans="1:39" x14ac:dyDescent="0.2">
      <c r="A111" s="32">
        <f t="shared" ca="1" si="1"/>
        <v>45860</v>
      </c>
      <c r="B111" s="179">
        <f>SUMIFS('recurring2_based on steps'!$B111:$AY111,'recurring2_based on steps'!$B$1:$AY$1,B$1)+SUMIFS('changes2_based on steps'!$B111:$U111,'changes2_based on steps'!$B$1:$U$1,B$1)</f>
        <v>0</v>
      </c>
      <c r="C111" s="179">
        <f>SUMIFS('recurring2_based on steps'!$B111:$AY111,'recurring2_based on steps'!$B$1:$AY$1,C$1)+SUMIFS('changes2_based on steps'!$B111:$U111,'changes2_based on steps'!$B$1:$U$1,C$1)</f>
        <v>0</v>
      </c>
      <c r="D111" s="179">
        <f>SUMIFS('recurring2_based on steps'!$B111:$AY111,'recurring2_based on steps'!$B$1:$AY$1,D$1)+SUMIFS('changes2_based on steps'!$B111:$U111,'changes2_based on steps'!$B$1:$U$1,D$1)</f>
        <v>0</v>
      </c>
      <c r="E111" s="179">
        <f>SUMIFS('recurring2_based on steps'!$B111:$AY111,'recurring2_based on steps'!$B$1:$AY$1,E$1)+SUMIFS('changes2_based on steps'!$B111:$U111,'changes2_based on steps'!$B$1:$U$1,E$1)</f>
        <v>0</v>
      </c>
      <c r="F111" s="179">
        <f>SUMIFS('recurring2_based on steps'!$B111:$AY111,'recurring2_based on steps'!$B$1:$AY$1,F$1)+SUMIFS('changes2_based on steps'!$B111:$U111,'changes2_based on steps'!$B$1:$U$1,F$1)</f>
        <v>0</v>
      </c>
      <c r="G111" s="179">
        <f>SUMIFS('recurring2_based on steps'!$B111:$AY111,'recurring2_based on steps'!$B$1:$AY$1,G$1)+SUMIFS('changes2_based on steps'!$B111:$U111,'changes2_based on steps'!$B$1:$U$1,G$1)</f>
        <v>0</v>
      </c>
      <c r="H111" s="179">
        <f>SUMIFS('recurring2_based on steps'!$B111:$AY111,'recurring2_based on steps'!$B$1:$AY$1,H$1)+SUMIFS('changes2_based on steps'!$B111:$U111,'changes2_based on steps'!$B$1:$U$1,H$1)</f>
        <v>0</v>
      </c>
      <c r="I111" s="179">
        <f>SUMIFS('recurring2_based on steps'!$B111:$AY111,'recurring2_based on steps'!$B$1:$AY$1,I$1)+SUMIFS('changes2_based on steps'!$B111:$U111,'changes2_based on steps'!$B$1:$U$1,I$1)</f>
        <v>0</v>
      </c>
      <c r="J111" s="179">
        <f>SUMIFS('recurring2_based on steps'!$B111:$AY111,'recurring2_based on steps'!$B$1:$AY$1,J$1)+SUMIFS('changes2_based on steps'!$B111:$U111,'changes2_based on steps'!$B$1:$U$1,J$1)</f>
        <v>0</v>
      </c>
      <c r="K111" s="179">
        <f>SUMIFS('recurring2_based on steps'!$B111:$AY111,'recurring2_based on steps'!$B$1:$AY$1,K$1)+SUMIFS('changes2_based on steps'!$B111:$U111,'changes2_based on steps'!$B$1:$U$1,K$1)</f>
        <v>0</v>
      </c>
      <c r="L111" s="179">
        <f>SUMIFS('recurring2_based on steps'!$B111:$AY111,'recurring2_based on steps'!$B$1:$AY$1,L$1)+SUMIFS('changes2_based on steps'!$B111:$U111,'changes2_based on steps'!$B$1:$U$1,L$1)</f>
        <v>0</v>
      </c>
      <c r="M111" s="179">
        <f>SUMIFS('recurring2_based on steps'!$B111:$AY111,'recurring2_based on steps'!$B$1:$AY$1,M$1)+SUMIFS('changes2_based on steps'!$B111:$U111,'changes2_based on steps'!$B$1:$U$1,M$1)</f>
        <v>0</v>
      </c>
      <c r="N111" s="179">
        <f>SUMIFS('recurring2_based on steps'!$B111:$AY111,'recurring2_based on steps'!$B$1:$AY$1,N$1)+SUMIFS('changes2_based on steps'!$B111:$U111,'changes2_based on steps'!$B$1:$U$1,N$1)</f>
        <v>0</v>
      </c>
      <c r="O111" s="179">
        <f>SUMIFS('recurring2_based on steps'!$B111:$AY111,'recurring2_based on steps'!$B$1:$AY$1,O$1)+SUMIFS('changes2_based on steps'!$B111:$U111,'changes2_based on steps'!$B$1:$U$1,O$1)</f>
        <v>0</v>
      </c>
      <c r="P111" s="179">
        <f>SUMIFS('recurring2_based on steps'!$B111:$AY111,'recurring2_based on steps'!$B$1:$AY$1,P$1)+SUMIFS('changes2_based on steps'!$B111:$U111,'changes2_based on steps'!$B$1:$U$1,P$1)</f>
        <v>0</v>
      </c>
      <c r="Q111" s="179">
        <f>SUMIFS('recurring2_based on steps'!$B111:$AY111,'recurring2_based on steps'!$B$1:$AY$1,Q$1)+SUMIFS('changes2_based on steps'!$B111:$U111,'changes2_based on steps'!$B$1:$U$1,Q$1)</f>
        <v>0</v>
      </c>
      <c r="R111" s="179">
        <f>SUMIFS('recurring2_based on steps'!$B111:$AY111,'recurring2_based on steps'!$B$1:$AY$1,R$1)+SUMIFS('changes2_based on steps'!$B111:$U111,'changes2_based on steps'!$B$1:$U$1,R$1)</f>
        <v>0</v>
      </c>
      <c r="S111" s="179">
        <f>SUMIFS('recurring2_based on steps'!$B111:$AY111,'recurring2_based on steps'!$B$1:$AY$1,S$1)+SUMIFS('changes2_based on steps'!$B111:$U111,'changes2_based on steps'!$B$1:$U$1,S$1)</f>
        <v>0</v>
      </c>
      <c r="T111" s="179">
        <f>SUMIFS('recurring2_based on steps'!$B111:$AY111,'recurring2_based on steps'!$B$1:$AY$1,T$1)+SUMIFS('changes2_based on steps'!$B111:$U111,'changes2_based on steps'!$B$1:$U$1,T$1)</f>
        <v>0</v>
      </c>
      <c r="U111" s="179">
        <f>SUMIFS('recurring2_based on steps'!$B111:$AY111,'recurring2_based on steps'!$B$1:$AY$1,U$1)+SUMIFS('changes2_based on steps'!$B111:$U111,'changes2_based on steps'!$B$1:$U$1,U$1)</f>
        <v>0</v>
      </c>
      <c r="V111" s="179">
        <f>SUMIFS('recurring2_based on steps'!$B111:$AY111,'recurring2_based on steps'!$B$1:$AY$1,V$1)+SUMIFS('changes2_based on steps'!$B111:$U111,'changes2_based on steps'!$B$1:$U$1,V$1)</f>
        <v>0</v>
      </c>
      <c r="W111" s="179">
        <f>SUMIFS('recurring2_based on steps'!$B111:$AY111,'recurring2_based on steps'!$B$1:$AY$1,W$1)+SUMIFS('changes2_based on steps'!$B111:$U111,'changes2_based on steps'!$B$1:$U$1,W$1)</f>
        <v>0</v>
      </c>
      <c r="X111" s="179">
        <f>SUMIFS('recurring2_based on steps'!$B111:$AY111,'recurring2_based on steps'!$B$1:$AY$1,X$1)+SUMIFS('changes2_based on steps'!$B111:$U111,'changes2_based on steps'!$B$1:$U$1,X$1)</f>
        <v>0</v>
      </c>
      <c r="Y111" s="179">
        <f>SUMIFS('recurring2_based on steps'!$B111:$AY111,'recurring2_based on steps'!$B$1:$AY$1,Y$1)+SUMIFS('changes2_based on steps'!$B111:$U111,'changes2_based on steps'!$B$1:$U$1,Y$1)</f>
        <v>0</v>
      </c>
      <c r="Z111" s="179">
        <f>SUMIFS('recurring2_based on steps'!$B111:$AY111,'recurring2_based on steps'!$B$1:$AY$1,Z$1)+SUMIFS('changes2_based on steps'!$B111:$U111,'changes2_based on steps'!$B$1:$U$1,Z$1)</f>
        <v>0</v>
      </c>
      <c r="AA111" s="179">
        <f>SUMIFS('recurring2_based on steps'!$B111:$AY111,'recurring2_based on steps'!$B$1:$AY$1,AA$1)+SUMIFS('changes2_based on steps'!$B111:$U111,'changes2_based on steps'!$B$1:$U$1,AA$1)</f>
        <v>0</v>
      </c>
      <c r="AB111" s="179">
        <f>SUMIFS('recurring2_based on steps'!$B111:$AY111,'recurring2_based on steps'!$B$1:$AY$1,AB$1)+SUMIFS('changes2_based on steps'!$B111:$U111,'changes2_based on steps'!$B$1:$U$1,AB$1)</f>
        <v>0</v>
      </c>
      <c r="AC111" s="179">
        <f>SUMIFS('recurring2_based on steps'!$B111:$AY111,'recurring2_based on steps'!$B$1:$AY$1,AC$1)+SUMIFS('changes2_based on steps'!$B111:$U111,'changes2_based on steps'!$B$1:$U$1,AC$1)</f>
        <v>0</v>
      </c>
      <c r="AD111" s="179">
        <f>SUMIFS('recurring2_based on steps'!$B111:$AY111,'recurring2_based on steps'!$B$1:$AY$1,AD$1)+SUMIFS('changes2_based on steps'!$B111:$U111,'changes2_based on steps'!$B$1:$U$1,AD$1)</f>
        <v>0</v>
      </c>
      <c r="AE111" s="179">
        <f>SUMIFS('recurring2_based on steps'!$B111:$AY111,'recurring2_based on steps'!$B$1:$AY$1,AE$1)+SUMIFS('changes2_based on steps'!$B111:$U111,'changes2_based on steps'!$B$1:$U$1,AE$1)</f>
        <v>0</v>
      </c>
      <c r="AF111" s="179"/>
      <c r="AG111" s="179"/>
      <c r="AH111" s="179"/>
      <c r="AI111" s="179"/>
      <c r="AJ111" s="179"/>
      <c r="AK111" s="179"/>
      <c r="AL111" s="179"/>
      <c r="AM111" s="179"/>
    </row>
    <row r="112" spans="1:39" x14ac:dyDescent="0.2">
      <c r="A112" s="32">
        <f t="shared" ca="1" si="1"/>
        <v>45861</v>
      </c>
      <c r="B112" s="179">
        <f>SUMIFS('recurring2_based on steps'!$B112:$AY112,'recurring2_based on steps'!$B$1:$AY$1,B$1)+SUMIFS('changes2_based on steps'!$B112:$U112,'changes2_based on steps'!$B$1:$U$1,B$1)</f>
        <v>0</v>
      </c>
      <c r="C112" s="179">
        <f>SUMIFS('recurring2_based on steps'!$B112:$AY112,'recurring2_based on steps'!$B$1:$AY$1,C$1)+SUMIFS('changes2_based on steps'!$B112:$U112,'changes2_based on steps'!$B$1:$U$1,C$1)</f>
        <v>0</v>
      </c>
      <c r="D112" s="179">
        <f>SUMIFS('recurring2_based on steps'!$B112:$AY112,'recurring2_based on steps'!$B$1:$AY$1,D$1)+SUMIFS('changes2_based on steps'!$B112:$U112,'changes2_based on steps'!$B$1:$U$1,D$1)</f>
        <v>0</v>
      </c>
      <c r="E112" s="179">
        <f>SUMIFS('recurring2_based on steps'!$B112:$AY112,'recurring2_based on steps'!$B$1:$AY$1,E$1)+SUMIFS('changes2_based on steps'!$B112:$U112,'changes2_based on steps'!$B$1:$U$1,E$1)</f>
        <v>0</v>
      </c>
      <c r="F112" s="179">
        <f>SUMIFS('recurring2_based on steps'!$B112:$AY112,'recurring2_based on steps'!$B$1:$AY$1,F$1)+SUMIFS('changes2_based on steps'!$B112:$U112,'changes2_based on steps'!$B$1:$U$1,F$1)</f>
        <v>0</v>
      </c>
      <c r="G112" s="179">
        <f>SUMIFS('recurring2_based on steps'!$B112:$AY112,'recurring2_based on steps'!$B$1:$AY$1,G$1)+SUMIFS('changes2_based on steps'!$B112:$U112,'changes2_based on steps'!$B$1:$U$1,G$1)</f>
        <v>0</v>
      </c>
      <c r="H112" s="179">
        <f>SUMIFS('recurring2_based on steps'!$B112:$AY112,'recurring2_based on steps'!$B$1:$AY$1,H$1)+SUMIFS('changes2_based on steps'!$B112:$U112,'changes2_based on steps'!$B$1:$U$1,H$1)</f>
        <v>0</v>
      </c>
      <c r="I112" s="179">
        <f>SUMIFS('recurring2_based on steps'!$B112:$AY112,'recurring2_based on steps'!$B$1:$AY$1,I$1)+SUMIFS('changes2_based on steps'!$B112:$U112,'changes2_based on steps'!$B$1:$U$1,I$1)</f>
        <v>0</v>
      </c>
      <c r="J112" s="179">
        <f>SUMIFS('recurring2_based on steps'!$B112:$AY112,'recurring2_based on steps'!$B$1:$AY$1,J$1)+SUMIFS('changes2_based on steps'!$B112:$U112,'changes2_based on steps'!$B$1:$U$1,J$1)</f>
        <v>0</v>
      </c>
      <c r="K112" s="179">
        <f>SUMIFS('recurring2_based on steps'!$B112:$AY112,'recurring2_based on steps'!$B$1:$AY$1,K$1)+SUMIFS('changes2_based on steps'!$B112:$U112,'changes2_based on steps'!$B$1:$U$1,K$1)</f>
        <v>0</v>
      </c>
      <c r="L112" s="179">
        <f>SUMIFS('recurring2_based on steps'!$B112:$AY112,'recurring2_based on steps'!$B$1:$AY$1,L$1)+SUMIFS('changes2_based on steps'!$B112:$U112,'changes2_based on steps'!$B$1:$U$1,L$1)</f>
        <v>0</v>
      </c>
      <c r="M112" s="179">
        <f>SUMIFS('recurring2_based on steps'!$B112:$AY112,'recurring2_based on steps'!$B$1:$AY$1,M$1)+SUMIFS('changes2_based on steps'!$B112:$U112,'changes2_based on steps'!$B$1:$U$1,M$1)</f>
        <v>0</v>
      </c>
      <c r="N112" s="179">
        <f>SUMIFS('recurring2_based on steps'!$B112:$AY112,'recurring2_based on steps'!$B$1:$AY$1,N$1)+SUMIFS('changes2_based on steps'!$B112:$U112,'changes2_based on steps'!$B$1:$U$1,N$1)</f>
        <v>0</v>
      </c>
      <c r="O112" s="179">
        <f>SUMIFS('recurring2_based on steps'!$B112:$AY112,'recurring2_based on steps'!$B$1:$AY$1,O$1)+SUMIFS('changes2_based on steps'!$B112:$U112,'changes2_based on steps'!$B$1:$U$1,O$1)</f>
        <v>0</v>
      </c>
      <c r="P112" s="179">
        <f>SUMIFS('recurring2_based on steps'!$B112:$AY112,'recurring2_based on steps'!$B$1:$AY$1,P$1)+SUMIFS('changes2_based on steps'!$B112:$U112,'changes2_based on steps'!$B$1:$U$1,P$1)</f>
        <v>0</v>
      </c>
      <c r="Q112" s="179">
        <f>SUMIFS('recurring2_based on steps'!$B112:$AY112,'recurring2_based on steps'!$B$1:$AY$1,Q$1)+SUMIFS('changes2_based on steps'!$B112:$U112,'changes2_based on steps'!$B$1:$U$1,Q$1)</f>
        <v>0</v>
      </c>
      <c r="R112" s="179">
        <f>SUMIFS('recurring2_based on steps'!$B112:$AY112,'recurring2_based on steps'!$B$1:$AY$1,R$1)+SUMIFS('changes2_based on steps'!$B112:$U112,'changes2_based on steps'!$B$1:$U$1,R$1)</f>
        <v>0</v>
      </c>
      <c r="S112" s="179">
        <f>SUMIFS('recurring2_based on steps'!$B112:$AY112,'recurring2_based on steps'!$B$1:$AY$1,S$1)+SUMIFS('changes2_based on steps'!$B112:$U112,'changes2_based on steps'!$B$1:$U$1,S$1)</f>
        <v>0</v>
      </c>
      <c r="T112" s="179">
        <f>SUMIFS('recurring2_based on steps'!$B112:$AY112,'recurring2_based on steps'!$B$1:$AY$1,T$1)+SUMIFS('changes2_based on steps'!$B112:$U112,'changes2_based on steps'!$B$1:$U$1,T$1)</f>
        <v>0</v>
      </c>
      <c r="U112" s="179">
        <f>SUMIFS('recurring2_based on steps'!$B112:$AY112,'recurring2_based on steps'!$B$1:$AY$1,U$1)+SUMIFS('changes2_based on steps'!$B112:$U112,'changes2_based on steps'!$B$1:$U$1,U$1)</f>
        <v>0</v>
      </c>
      <c r="V112" s="179">
        <f>SUMIFS('recurring2_based on steps'!$B112:$AY112,'recurring2_based on steps'!$B$1:$AY$1,V$1)+SUMIFS('changes2_based on steps'!$B112:$U112,'changes2_based on steps'!$B$1:$U$1,V$1)</f>
        <v>0</v>
      </c>
      <c r="W112" s="179">
        <f>SUMIFS('recurring2_based on steps'!$B112:$AY112,'recurring2_based on steps'!$B$1:$AY$1,W$1)+SUMIFS('changes2_based on steps'!$B112:$U112,'changes2_based on steps'!$B$1:$U$1,W$1)</f>
        <v>0</v>
      </c>
      <c r="X112" s="179">
        <f>SUMIFS('recurring2_based on steps'!$B112:$AY112,'recurring2_based on steps'!$B$1:$AY$1,X$1)+SUMIFS('changes2_based on steps'!$B112:$U112,'changes2_based on steps'!$B$1:$U$1,X$1)</f>
        <v>0</v>
      </c>
      <c r="Y112" s="179">
        <f>SUMIFS('recurring2_based on steps'!$B112:$AY112,'recurring2_based on steps'!$B$1:$AY$1,Y$1)+SUMIFS('changes2_based on steps'!$B112:$U112,'changes2_based on steps'!$B$1:$U$1,Y$1)</f>
        <v>0</v>
      </c>
      <c r="Z112" s="179">
        <f>SUMIFS('recurring2_based on steps'!$B112:$AY112,'recurring2_based on steps'!$B$1:$AY$1,Z$1)+SUMIFS('changes2_based on steps'!$B112:$U112,'changes2_based on steps'!$B$1:$U$1,Z$1)</f>
        <v>0</v>
      </c>
      <c r="AA112" s="179">
        <f>SUMIFS('recurring2_based on steps'!$B112:$AY112,'recurring2_based on steps'!$B$1:$AY$1,AA$1)+SUMIFS('changes2_based on steps'!$B112:$U112,'changes2_based on steps'!$B$1:$U$1,AA$1)</f>
        <v>0</v>
      </c>
      <c r="AB112" s="179">
        <f>SUMIFS('recurring2_based on steps'!$B112:$AY112,'recurring2_based on steps'!$B$1:$AY$1,AB$1)+SUMIFS('changes2_based on steps'!$B112:$U112,'changes2_based on steps'!$B$1:$U$1,AB$1)</f>
        <v>0</v>
      </c>
      <c r="AC112" s="179">
        <f>SUMIFS('recurring2_based on steps'!$B112:$AY112,'recurring2_based on steps'!$B$1:$AY$1,AC$1)+SUMIFS('changes2_based on steps'!$B112:$U112,'changes2_based on steps'!$B$1:$U$1,AC$1)</f>
        <v>0</v>
      </c>
      <c r="AD112" s="179">
        <f>SUMIFS('recurring2_based on steps'!$B112:$AY112,'recurring2_based on steps'!$B$1:$AY$1,AD$1)+SUMIFS('changes2_based on steps'!$B112:$U112,'changes2_based on steps'!$B$1:$U$1,AD$1)</f>
        <v>0</v>
      </c>
      <c r="AE112" s="179">
        <f>SUMIFS('recurring2_based on steps'!$B112:$AY112,'recurring2_based on steps'!$B$1:$AY$1,AE$1)+SUMIFS('changes2_based on steps'!$B112:$U112,'changes2_based on steps'!$B$1:$U$1,AE$1)</f>
        <v>0</v>
      </c>
      <c r="AF112" s="179"/>
      <c r="AG112" s="179"/>
      <c r="AH112" s="179"/>
      <c r="AI112" s="179"/>
      <c r="AJ112" s="179"/>
      <c r="AK112" s="179"/>
      <c r="AL112" s="179"/>
      <c r="AM112" s="179"/>
    </row>
    <row r="113" spans="1:39" x14ac:dyDescent="0.2">
      <c r="A113" s="32">
        <f t="shared" ca="1" si="1"/>
        <v>45862</v>
      </c>
      <c r="B113" s="179">
        <f>SUMIFS('recurring2_based on steps'!$B113:$AY113,'recurring2_based on steps'!$B$1:$AY$1,B$1)+SUMIFS('changes2_based on steps'!$B113:$U113,'changes2_based on steps'!$B$1:$U$1,B$1)</f>
        <v>0</v>
      </c>
      <c r="C113" s="179">
        <f>SUMIFS('recurring2_based on steps'!$B113:$AY113,'recurring2_based on steps'!$B$1:$AY$1,C$1)+SUMIFS('changes2_based on steps'!$B113:$U113,'changes2_based on steps'!$B$1:$U$1,C$1)</f>
        <v>0</v>
      </c>
      <c r="D113" s="179">
        <f>SUMIFS('recurring2_based on steps'!$B113:$AY113,'recurring2_based on steps'!$B$1:$AY$1,D$1)+SUMIFS('changes2_based on steps'!$B113:$U113,'changes2_based on steps'!$B$1:$U$1,D$1)</f>
        <v>0</v>
      </c>
      <c r="E113" s="179">
        <f>SUMIFS('recurring2_based on steps'!$B113:$AY113,'recurring2_based on steps'!$B$1:$AY$1,E$1)+SUMIFS('changes2_based on steps'!$B113:$U113,'changes2_based on steps'!$B$1:$U$1,E$1)</f>
        <v>0</v>
      </c>
      <c r="F113" s="179">
        <f>SUMIFS('recurring2_based on steps'!$B113:$AY113,'recurring2_based on steps'!$B$1:$AY$1,F$1)+SUMIFS('changes2_based on steps'!$B113:$U113,'changes2_based on steps'!$B$1:$U$1,F$1)</f>
        <v>0</v>
      </c>
      <c r="G113" s="179">
        <f>SUMIFS('recurring2_based on steps'!$B113:$AY113,'recurring2_based on steps'!$B$1:$AY$1,G$1)+SUMIFS('changes2_based on steps'!$B113:$U113,'changes2_based on steps'!$B$1:$U$1,G$1)</f>
        <v>0</v>
      </c>
      <c r="H113" s="179">
        <f>SUMIFS('recurring2_based on steps'!$B113:$AY113,'recurring2_based on steps'!$B$1:$AY$1,H$1)+SUMIFS('changes2_based on steps'!$B113:$U113,'changes2_based on steps'!$B$1:$U$1,H$1)</f>
        <v>0</v>
      </c>
      <c r="I113" s="179">
        <f>SUMIFS('recurring2_based on steps'!$B113:$AY113,'recurring2_based on steps'!$B$1:$AY$1,I$1)+SUMIFS('changes2_based on steps'!$B113:$U113,'changes2_based on steps'!$B$1:$U$1,I$1)</f>
        <v>0</v>
      </c>
      <c r="J113" s="179">
        <f>SUMIFS('recurring2_based on steps'!$B113:$AY113,'recurring2_based on steps'!$B$1:$AY$1,J$1)+SUMIFS('changes2_based on steps'!$B113:$U113,'changes2_based on steps'!$B$1:$U$1,J$1)</f>
        <v>0</v>
      </c>
      <c r="K113" s="179">
        <f>SUMIFS('recurring2_based on steps'!$B113:$AY113,'recurring2_based on steps'!$B$1:$AY$1,K$1)+SUMIFS('changes2_based on steps'!$B113:$U113,'changes2_based on steps'!$B$1:$U$1,K$1)</f>
        <v>0</v>
      </c>
      <c r="L113" s="179">
        <f>SUMIFS('recurring2_based on steps'!$B113:$AY113,'recurring2_based on steps'!$B$1:$AY$1,L$1)+SUMIFS('changes2_based on steps'!$B113:$U113,'changes2_based on steps'!$B$1:$U$1,L$1)</f>
        <v>0</v>
      </c>
      <c r="M113" s="179">
        <f>SUMIFS('recurring2_based on steps'!$B113:$AY113,'recurring2_based on steps'!$B$1:$AY$1,M$1)+SUMIFS('changes2_based on steps'!$B113:$U113,'changes2_based on steps'!$B$1:$U$1,M$1)</f>
        <v>0</v>
      </c>
      <c r="N113" s="179">
        <f>SUMIFS('recurring2_based on steps'!$B113:$AY113,'recurring2_based on steps'!$B$1:$AY$1,N$1)+SUMIFS('changes2_based on steps'!$B113:$U113,'changes2_based on steps'!$B$1:$U$1,N$1)</f>
        <v>0</v>
      </c>
      <c r="O113" s="179">
        <f>SUMIFS('recurring2_based on steps'!$B113:$AY113,'recurring2_based on steps'!$B$1:$AY$1,O$1)+SUMIFS('changes2_based on steps'!$B113:$U113,'changes2_based on steps'!$B$1:$U$1,O$1)</f>
        <v>0</v>
      </c>
      <c r="P113" s="179">
        <f>SUMIFS('recurring2_based on steps'!$B113:$AY113,'recurring2_based on steps'!$B$1:$AY$1,P$1)+SUMIFS('changes2_based on steps'!$B113:$U113,'changes2_based on steps'!$B$1:$U$1,P$1)</f>
        <v>0</v>
      </c>
      <c r="Q113" s="179">
        <f>SUMIFS('recurring2_based on steps'!$B113:$AY113,'recurring2_based on steps'!$B$1:$AY$1,Q$1)+SUMIFS('changes2_based on steps'!$B113:$U113,'changes2_based on steps'!$B$1:$U$1,Q$1)</f>
        <v>0</v>
      </c>
      <c r="R113" s="179">
        <f>SUMIFS('recurring2_based on steps'!$B113:$AY113,'recurring2_based on steps'!$B$1:$AY$1,R$1)+SUMIFS('changes2_based on steps'!$B113:$U113,'changes2_based on steps'!$B$1:$U$1,R$1)</f>
        <v>0</v>
      </c>
      <c r="S113" s="179">
        <f>SUMIFS('recurring2_based on steps'!$B113:$AY113,'recurring2_based on steps'!$B$1:$AY$1,S$1)+SUMIFS('changes2_based on steps'!$B113:$U113,'changes2_based on steps'!$B$1:$U$1,S$1)</f>
        <v>0</v>
      </c>
      <c r="T113" s="179">
        <f>SUMIFS('recurring2_based on steps'!$B113:$AY113,'recurring2_based on steps'!$B$1:$AY$1,T$1)+SUMIFS('changes2_based on steps'!$B113:$U113,'changes2_based on steps'!$B$1:$U$1,T$1)</f>
        <v>0</v>
      </c>
      <c r="U113" s="179">
        <f>SUMIFS('recurring2_based on steps'!$B113:$AY113,'recurring2_based on steps'!$B$1:$AY$1,U$1)+SUMIFS('changes2_based on steps'!$B113:$U113,'changes2_based on steps'!$B$1:$U$1,U$1)</f>
        <v>0</v>
      </c>
      <c r="V113" s="179">
        <f>SUMIFS('recurring2_based on steps'!$B113:$AY113,'recurring2_based on steps'!$B$1:$AY$1,V$1)+SUMIFS('changes2_based on steps'!$B113:$U113,'changes2_based on steps'!$B$1:$U$1,V$1)</f>
        <v>0</v>
      </c>
      <c r="W113" s="179">
        <f>SUMIFS('recurring2_based on steps'!$B113:$AY113,'recurring2_based on steps'!$B$1:$AY$1,W$1)+SUMIFS('changes2_based on steps'!$B113:$U113,'changes2_based on steps'!$B$1:$U$1,W$1)</f>
        <v>0</v>
      </c>
      <c r="X113" s="179">
        <f>SUMIFS('recurring2_based on steps'!$B113:$AY113,'recurring2_based on steps'!$B$1:$AY$1,X$1)+SUMIFS('changes2_based on steps'!$B113:$U113,'changes2_based on steps'!$B$1:$U$1,X$1)</f>
        <v>0</v>
      </c>
      <c r="Y113" s="179">
        <f>SUMIFS('recurring2_based on steps'!$B113:$AY113,'recurring2_based on steps'!$B$1:$AY$1,Y$1)+SUMIFS('changes2_based on steps'!$B113:$U113,'changes2_based on steps'!$B$1:$U$1,Y$1)</f>
        <v>0</v>
      </c>
      <c r="Z113" s="179">
        <f>SUMIFS('recurring2_based on steps'!$B113:$AY113,'recurring2_based on steps'!$B$1:$AY$1,Z$1)+SUMIFS('changes2_based on steps'!$B113:$U113,'changes2_based on steps'!$B$1:$U$1,Z$1)</f>
        <v>0</v>
      </c>
      <c r="AA113" s="179">
        <f>SUMIFS('recurring2_based on steps'!$B113:$AY113,'recurring2_based on steps'!$B$1:$AY$1,AA$1)+SUMIFS('changes2_based on steps'!$B113:$U113,'changes2_based on steps'!$B$1:$U$1,AA$1)</f>
        <v>0</v>
      </c>
      <c r="AB113" s="179">
        <f>SUMIFS('recurring2_based on steps'!$B113:$AY113,'recurring2_based on steps'!$B$1:$AY$1,AB$1)+SUMIFS('changes2_based on steps'!$B113:$U113,'changes2_based on steps'!$B$1:$U$1,AB$1)</f>
        <v>0</v>
      </c>
      <c r="AC113" s="179">
        <f>SUMIFS('recurring2_based on steps'!$B113:$AY113,'recurring2_based on steps'!$B$1:$AY$1,AC$1)+SUMIFS('changes2_based on steps'!$B113:$U113,'changes2_based on steps'!$B$1:$U$1,AC$1)</f>
        <v>0</v>
      </c>
      <c r="AD113" s="179">
        <f>SUMIFS('recurring2_based on steps'!$B113:$AY113,'recurring2_based on steps'!$B$1:$AY$1,AD$1)+SUMIFS('changes2_based on steps'!$B113:$U113,'changes2_based on steps'!$B$1:$U$1,AD$1)</f>
        <v>0</v>
      </c>
      <c r="AE113" s="179">
        <f>SUMIFS('recurring2_based on steps'!$B113:$AY113,'recurring2_based on steps'!$B$1:$AY$1,AE$1)+SUMIFS('changes2_based on steps'!$B113:$U113,'changes2_based on steps'!$B$1:$U$1,AE$1)</f>
        <v>0</v>
      </c>
      <c r="AF113" s="179"/>
      <c r="AG113" s="179"/>
      <c r="AH113" s="179"/>
      <c r="AI113" s="179"/>
      <c r="AJ113" s="179"/>
      <c r="AK113" s="179"/>
      <c r="AL113" s="179"/>
      <c r="AM113" s="179"/>
    </row>
    <row r="114" spans="1:39" x14ac:dyDescent="0.2">
      <c r="A114" s="32">
        <f t="shared" ca="1" si="1"/>
        <v>45863</v>
      </c>
      <c r="B114" s="179">
        <f>SUMIFS('recurring2_based on steps'!$B114:$AY114,'recurring2_based on steps'!$B$1:$AY$1,B$1)+SUMIFS('changes2_based on steps'!$B114:$U114,'changes2_based on steps'!$B$1:$U$1,B$1)</f>
        <v>0</v>
      </c>
      <c r="C114" s="179">
        <f>SUMIFS('recurring2_based on steps'!$B114:$AY114,'recurring2_based on steps'!$B$1:$AY$1,C$1)+SUMIFS('changes2_based on steps'!$B114:$U114,'changes2_based on steps'!$B$1:$U$1,C$1)</f>
        <v>0</v>
      </c>
      <c r="D114" s="179">
        <f>SUMIFS('recurring2_based on steps'!$B114:$AY114,'recurring2_based on steps'!$B$1:$AY$1,D$1)+SUMIFS('changes2_based on steps'!$B114:$U114,'changes2_based on steps'!$B$1:$U$1,D$1)</f>
        <v>0</v>
      </c>
      <c r="E114" s="179">
        <f>SUMIFS('recurring2_based on steps'!$B114:$AY114,'recurring2_based on steps'!$B$1:$AY$1,E$1)+SUMIFS('changes2_based on steps'!$B114:$U114,'changes2_based on steps'!$B$1:$U$1,E$1)</f>
        <v>0</v>
      </c>
      <c r="F114" s="179">
        <f>SUMIFS('recurring2_based on steps'!$B114:$AY114,'recurring2_based on steps'!$B$1:$AY$1,F$1)+SUMIFS('changes2_based on steps'!$B114:$U114,'changes2_based on steps'!$B$1:$U$1,F$1)</f>
        <v>0</v>
      </c>
      <c r="G114" s="179">
        <f>SUMIFS('recurring2_based on steps'!$B114:$AY114,'recurring2_based on steps'!$B$1:$AY$1,G$1)+SUMIFS('changes2_based on steps'!$B114:$U114,'changes2_based on steps'!$B$1:$U$1,G$1)</f>
        <v>0</v>
      </c>
      <c r="H114" s="179">
        <f>SUMIFS('recurring2_based on steps'!$B114:$AY114,'recurring2_based on steps'!$B$1:$AY$1,H$1)+SUMIFS('changes2_based on steps'!$B114:$U114,'changes2_based on steps'!$B$1:$U$1,H$1)</f>
        <v>0</v>
      </c>
      <c r="I114" s="179">
        <f>SUMIFS('recurring2_based on steps'!$B114:$AY114,'recurring2_based on steps'!$B$1:$AY$1,I$1)+SUMIFS('changes2_based on steps'!$B114:$U114,'changes2_based on steps'!$B$1:$U$1,I$1)</f>
        <v>0</v>
      </c>
      <c r="J114" s="179">
        <f>SUMIFS('recurring2_based on steps'!$B114:$AY114,'recurring2_based on steps'!$B$1:$AY$1,J$1)+SUMIFS('changes2_based on steps'!$B114:$U114,'changes2_based on steps'!$B$1:$U$1,J$1)</f>
        <v>0</v>
      </c>
      <c r="K114" s="179">
        <f>SUMIFS('recurring2_based on steps'!$B114:$AY114,'recurring2_based on steps'!$B$1:$AY$1,K$1)+SUMIFS('changes2_based on steps'!$B114:$U114,'changes2_based on steps'!$B$1:$U$1,K$1)</f>
        <v>0</v>
      </c>
      <c r="L114" s="179">
        <f>SUMIFS('recurring2_based on steps'!$B114:$AY114,'recurring2_based on steps'!$B$1:$AY$1,L$1)+SUMIFS('changes2_based on steps'!$B114:$U114,'changes2_based on steps'!$B$1:$U$1,L$1)</f>
        <v>0</v>
      </c>
      <c r="M114" s="179">
        <f>SUMIFS('recurring2_based on steps'!$B114:$AY114,'recurring2_based on steps'!$B$1:$AY$1,M$1)+SUMIFS('changes2_based on steps'!$B114:$U114,'changes2_based on steps'!$B$1:$U$1,M$1)</f>
        <v>0</v>
      </c>
      <c r="N114" s="179">
        <f>SUMIFS('recurring2_based on steps'!$B114:$AY114,'recurring2_based on steps'!$B$1:$AY$1,N$1)+SUMIFS('changes2_based on steps'!$B114:$U114,'changes2_based on steps'!$B$1:$U$1,N$1)</f>
        <v>0</v>
      </c>
      <c r="O114" s="179">
        <f>SUMIFS('recurring2_based on steps'!$B114:$AY114,'recurring2_based on steps'!$B$1:$AY$1,O$1)+SUMIFS('changes2_based on steps'!$B114:$U114,'changes2_based on steps'!$B$1:$U$1,O$1)</f>
        <v>0</v>
      </c>
      <c r="P114" s="179">
        <f>SUMIFS('recurring2_based on steps'!$B114:$AY114,'recurring2_based on steps'!$B$1:$AY$1,P$1)+SUMIFS('changes2_based on steps'!$B114:$U114,'changes2_based on steps'!$B$1:$U$1,P$1)</f>
        <v>0</v>
      </c>
      <c r="Q114" s="179">
        <f>SUMIFS('recurring2_based on steps'!$B114:$AY114,'recurring2_based on steps'!$B$1:$AY$1,Q$1)+SUMIFS('changes2_based on steps'!$B114:$U114,'changes2_based on steps'!$B$1:$U$1,Q$1)</f>
        <v>0</v>
      </c>
      <c r="R114" s="179">
        <f>SUMIFS('recurring2_based on steps'!$B114:$AY114,'recurring2_based on steps'!$B$1:$AY$1,R$1)+SUMIFS('changes2_based on steps'!$B114:$U114,'changes2_based on steps'!$B$1:$U$1,R$1)</f>
        <v>0</v>
      </c>
      <c r="S114" s="179">
        <f>SUMIFS('recurring2_based on steps'!$B114:$AY114,'recurring2_based on steps'!$B$1:$AY$1,S$1)+SUMIFS('changes2_based on steps'!$B114:$U114,'changes2_based on steps'!$B$1:$U$1,S$1)</f>
        <v>0</v>
      </c>
      <c r="T114" s="179">
        <f>SUMIFS('recurring2_based on steps'!$B114:$AY114,'recurring2_based on steps'!$B$1:$AY$1,T$1)+SUMIFS('changes2_based on steps'!$B114:$U114,'changes2_based on steps'!$B$1:$U$1,T$1)</f>
        <v>0</v>
      </c>
      <c r="U114" s="179">
        <f>SUMIFS('recurring2_based on steps'!$B114:$AY114,'recurring2_based on steps'!$B$1:$AY$1,U$1)+SUMIFS('changes2_based on steps'!$B114:$U114,'changes2_based on steps'!$B$1:$U$1,U$1)</f>
        <v>0</v>
      </c>
      <c r="V114" s="179">
        <f>SUMIFS('recurring2_based on steps'!$B114:$AY114,'recurring2_based on steps'!$B$1:$AY$1,V$1)+SUMIFS('changes2_based on steps'!$B114:$U114,'changes2_based on steps'!$B$1:$U$1,V$1)</f>
        <v>0</v>
      </c>
      <c r="W114" s="179">
        <f>SUMIFS('recurring2_based on steps'!$B114:$AY114,'recurring2_based on steps'!$B$1:$AY$1,W$1)+SUMIFS('changes2_based on steps'!$B114:$U114,'changes2_based on steps'!$B$1:$U$1,W$1)</f>
        <v>0</v>
      </c>
      <c r="X114" s="179">
        <f>SUMIFS('recurring2_based on steps'!$B114:$AY114,'recurring2_based on steps'!$B$1:$AY$1,X$1)+SUMIFS('changes2_based on steps'!$B114:$U114,'changes2_based on steps'!$B$1:$U$1,X$1)</f>
        <v>0</v>
      </c>
      <c r="Y114" s="179">
        <f>SUMIFS('recurring2_based on steps'!$B114:$AY114,'recurring2_based on steps'!$B$1:$AY$1,Y$1)+SUMIFS('changes2_based on steps'!$B114:$U114,'changes2_based on steps'!$B$1:$U$1,Y$1)</f>
        <v>0</v>
      </c>
      <c r="Z114" s="179">
        <f>SUMIFS('recurring2_based on steps'!$B114:$AY114,'recurring2_based on steps'!$B$1:$AY$1,Z$1)+SUMIFS('changes2_based on steps'!$B114:$U114,'changes2_based on steps'!$B$1:$U$1,Z$1)</f>
        <v>0</v>
      </c>
      <c r="AA114" s="179">
        <f>SUMIFS('recurring2_based on steps'!$B114:$AY114,'recurring2_based on steps'!$B$1:$AY$1,AA$1)+SUMIFS('changes2_based on steps'!$B114:$U114,'changes2_based on steps'!$B$1:$U$1,AA$1)</f>
        <v>0</v>
      </c>
      <c r="AB114" s="179">
        <f>SUMIFS('recurring2_based on steps'!$B114:$AY114,'recurring2_based on steps'!$B$1:$AY$1,AB$1)+SUMIFS('changes2_based on steps'!$B114:$U114,'changes2_based on steps'!$B$1:$U$1,AB$1)</f>
        <v>0</v>
      </c>
      <c r="AC114" s="179">
        <f>SUMIFS('recurring2_based on steps'!$B114:$AY114,'recurring2_based on steps'!$B$1:$AY$1,AC$1)+SUMIFS('changes2_based on steps'!$B114:$U114,'changes2_based on steps'!$B$1:$U$1,AC$1)</f>
        <v>0</v>
      </c>
      <c r="AD114" s="179">
        <f>SUMIFS('recurring2_based on steps'!$B114:$AY114,'recurring2_based on steps'!$B$1:$AY$1,AD$1)+SUMIFS('changes2_based on steps'!$B114:$U114,'changes2_based on steps'!$B$1:$U$1,AD$1)</f>
        <v>0</v>
      </c>
      <c r="AE114" s="179">
        <f>SUMIFS('recurring2_based on steps'!$B114:$AY114,'recurring2_based on steps'!$B$1:$AY$1,AE$1)+SUMIFS('changes2_based on steps'!$B114:$U114,'changes2_based on steps'!$B$1:$U$1,AE$1)</f>
        <v>0</v>
      </c>
      <c r="AF114" s="179"/>
      <c r="AG114" s="179"/>
      <c r="AH114" s="179"/>
      <c r="AI114" s="179"/>
      <c r="AJ114" s="179"/>
      <c r="AK114" s="179"/>
      <c r="AL114" s="179"/>
      <c r="AM114" s="179"/>
    </row>
    <row r="115" spans="1:39" x14ac:dyDescent="0.2">
      <c r="A115" s="32">
        <f t="shared" ca="1" si="1"/>
        <v>45864</v>
      </c>
      <c r="B115" s="179">
        <f>SUMIFS('recurring2_based on steps'!$B115:$AY115,'recurring2_based on steps'!$B$1:$AY$1,B$1)+SUMIFS('changes2_based on steps'!$B115:$U115,'changes2_based on steps'!$B$1:$U$1,B$1)</f>
        <v>0</v>
      </c>
      <c r="C115" s="179">
        <f>SUMIFS('recurring2_based on steps'!$B115:$AY115,'recurring2_based on steps'!$B$1:$AY$1,C$1)+SUMIFS('changes2_based on steps'!$B115:$U115,'changes2_based on steps'!$B$1:$U$1,C$1)</f>
        <v>0</v>
      </c>
      <c r="D115" s="179">
        <f>SUMIFS('recurring2_based on steps'!$B115:$AY115,'recurring2_based on steps'!$B$1:$AY$1,D$1)+SUMIFS('changes2_based on steps'!$B115:$U115,'changes2_based on steps'!$B$1:$U$1,D$1)</f>
        <v>0</v>
      </c>
      <c r="E115" s="179">
        <f>SUMIFS('recurring2_based on steps'!$B115:$AY115,'recurring2_based on steps'!$B$1:$AY$1,E$1)+SUMIFS('changes2_based on steps'!$B115:$U115,'changes2_based on steps'!$B$1:$U$1,E$1)</f>
        <v>0</v>
      </c>
      <c r="F115" s="179">
        <f>SUMIFS('recurring2_based on steps'!$B115:$AY115,'recurring2_based on steps'!$B$1:$AY$1,F$1)+SUMIFS('changes2_based on steps'!$B115:$U115,'changes2_based on steps'!$B$1:$U$1,F$1)</f>
        <v>0</v>
      </c>
      <c r="G115" s="179">
        <f>SUMIFS('recurring2_based on steps'!$B115:$AY115,'recurring2_based on steps'!$B$1:$AY$1,G$1)+SUMIFS('changes2_based on steps'!$B115:$U115,'changes2_based on steps'!$B$1:$U$1,G$1)</f>
        <v>0</v>
      </c>
      <c r="H115" s="179">
        <f>SUMIFS('recurring2_based on steps'!$B115:$AY115,'recurring2_based on steps'!$B$1:$AY$1,H$1)+SUMIFS('changes2_based on steps'!$B115:$U115,'changes2_based on steps'!$B$1:$U$1,H$1)</f>
        <v>0</v>
      </c>
      <c r="I115" s="179">
        <f>SUMIFS('recurring2_based on steps'!$B115:$AY115,'recurring2_based on steps'!$B$1:$AY$1,I$1)+SUMIFS('changes2_based on steps'!$B115:$U115,'changes2_based on steps'!$B$1:$U$1,I$1)</f>
        <v>0</v>
      </c>
      <c r="J115" s="179">
        <f>SUMIFS('recurring2_based on steps'!$B115:$AY115,'recurring2_based on steps'!$B$1:$AY$1,J$1)+SUMIFS('changes2_based on steps'!$B115:$U115,'changes2_based on steps'!$B$1:$U$1,J$1)</f>
        <v>0</v>
      </c>
      <c r="K115" s="179">
        <f>SUMIFS('recurring2_based on steps'!$B115:$AY115,'recurring2_based on steps'!$B$1:$AY$1,K$1)+SUMIFS('changes2_based on steps'!$B115:$U115,'changes2_based on steps'!$B$1:$U$1,K$1)</f>
        <v>0</v>
      </c>
      <c r="L115" s="179">
        <f>SUMIFS('recurring2_based on steps'!$B115:$AY115,'recurring2_based on steps'!$B$1:$AY$1,L$1)+SUMIFS('changes2_based on steps'!$B115:$U115,'changes2_based on steps'!$B$1:$U$1,L$1)</f>
        <v>0</v>
      </c>
      <c r="M115" s="179">
        <f>SUMIFS('recurring2_based on steps'!$B115:$AY115,'recurring2_based on steps'!$B$1:$AY$1,M$1)+SUMIFS('changes2_based on steps'!$B115:$U115,'changes2_based on steps'!$B$1:$U$1,M$1)</f>
        <v>0</v>
      </c>
      <c r="N115" s="179">
        <f>SUMIFS('recurring2_based on steps'!$B115:$AY115,'recurring2_based on steps'!$B$1:$AY$1,N$1)+SUMIFS('changes2_based on steps'!$B115:$U115,'changes2_based on steps'!$B$1:$U$1,N$1)</f>
        <v>0</v>
      </c>
      <c r="O115" s="179">
        <f>SUMIFS('recurring2_based on steps'!$B115:$AY115,'recurring2_based on steps'!$B$1:$AY$1,O$1)+SUMIFS('changes2_based on steps'!$B115:$U115,'changes2_based on steps'!$B$1:$U$1,O$1)</f>
        <v>0</v>
      </c>
      <c r="P115" s="179">
        <f>SUMIFS('recurring2_based on steps'!$B115:$AY115,'recurring2_based on steps'!$B$1:$AY$1,P$1)+SUMIFS('changes2_based on steps'!$B115:$U115,'changes2_based on steps'!$B$1:$U$1,P$1)</f>
        <v>0</v>
      </c>
      <c r="Q115" s="179">
        <f>SUMIFS('recurring2_based on steps'!$B115:$AY115,'recurring2_based on steps'!$B$1:$AY$1,Q$1)+SUMIFS('changes2_based on steps'!$B115:$U115,'changes2_based on steps'!$B$1:$U$1,Q$1)</f>
        <v>0</v>
      </c>
      <c r="R115" s="179">
        <f>SUMIFS('recurring2_based on steps'!$B115:$AY115,'recurring2_based on steps'!$B$1:$AY$1,R$1)+SUMIFS('changes2_based on steps'!$B115:$U115,'changes2_based on steps'!$B$1:$U$1,R$1)</f>
        <v>0</v>
      </c>
      <c r="S115" s="179">
        <f>SUMIFS('recurring2_based on steps'!$B115:$AY115,'recurring2_based on steps'!$B$1:$AY$1,S$1)+SUMIFS('changes2_based on steps'!$B115:$U115,'changes2_based on steps'!$B$1:$U$1,S$1)</f>
        <v>0</v>
      </c>
      <c r="T115" s="179">
        <f>SUMIFS('recurring2_based on steps'!$B115:$AY115,'recurring2_based on steps'!$B$1:$AY$1,T$1)+SUMIFS('changes2_based on steps'!$B115:$U115,'changes2_based on steps'!$B$1:$U$1,T$1)</f>
        <v>0</v>
      </c>
      <c r="U115" s="179">
        <f>SUMIFS('recurring2_based on steps'!$B115:$AY115,'recurring2_based on steps'!$B$1:$AY$1,U$1)+SUMIFS('changes2_based on steps'!$B115:$U115,'changes2_based on steps'!$B$1:$U$1,U$1)</f>
        <v>0</v>
      </c>
      <c r="V115" s="179">
        <f>SUMIFS('recurring2_based on steps'!$B115:$AY115,'recurring2_based on steps'!$B$1:$AY$1,V$1)+SUMIFS('changes2_based on steps'!$B115:$U115,'changes2_based on steps'!$B$1:$U$1,V$1)</f>
        <v>0</v>
      </c>
      <c r="W115" s="179">
        <f>SUMIFS('recurring2_based on steps'!$B115:$AY115,'recurring2_based on steps'!$B$1:$AY$1,W$1)+SUMIFS('changes2_based on steps'!$B115:$U115,'changes2_based on steps'!$B$1:$U$1,W$1)</f>
        <v>0</v>
      </c>
      <c r="X115" s="179">
        <f>SUMIFS('recurring2_based on steps'!$B115:$AY115,'recurring2_based on steps'!$B$1:$AY$1,X$1)+SUMIFS('changes2_based on steps'!$B115:$U115,'changes2_based on steps'!$B$1:$U$1,X$1)</f>
        <v>0</v>
      </c>
      <c r="Y115" s="179">
        <f>SUMIFS('recurring2_based on steps'!$B115:$AY115,'recurring2_based on steps'!$B$1:$AY$1,Y$1)+SUMIFS('changes2_based on steps'!$B115:$U115,'changes2_based on steps'!$B$1:$U$1,Y$1)</f>
        <v>0</v>
      </c>
      <c r="Z115" s="179">
        <f>SUMIFS('recurring2_based on steps'!$B115:$AY115,'recurring2_based on steps'!$B$1:$AY$1,Z$1)+SUMIFS('changes2_based on steps'!$B115:$U115,'changes2_based on steps'!$B$1:$U$1,Z$1)</f>
        <v>0</v>
      </c>
      <c r="AA115" s="179">
        <f>SUMIFS('recurring2_based on steps'!$B115:$AY115,'recurring2_based on steps'!$B$1:$AY$1,AA$1)+SUMIFS('changes2_based on steps'!$B115:$U115,'changes2_based on steps'!$B$1:$U$1,AA$1)</f>
        <v>0</v>
      </c>
      <c r="AB115" s="179">
        <f>SUMIFS('recurring2_based on steps'!$B115:$AY115,'recurring2_based on steps'!$B$1:$AY$1,AB$1)+SUMIFS('changes2_based on steps'!$B115:$U115,'changes2_based on steps'!$B$1:$U$1,AB$1)</f>
        <v>0</v>
      </c>
      <c r="AC115" s="179">
        <f>SUMIFS('recurring2_based on steps'!$B115:$AY115,'recurring2_based on steps'!$B$1:$AY$1,AC$1)+SUMIFS('changes2_based on steps'!$B115:$U115,'changes2_based on steps'!$B$1:$U$1,AC$1)</f>
        <v>0</v>
      </c>
      <c r="AD115" s="179">
        <f>SUMIFS('recurring2_based on steps'!$B115:$AY115,'recurring2_based on steps'!$B$1:$AY$1,AD$1)+SUMIFS('changes2_based on steps'!$B115:$U115,'changes2_based on steps'!$B$1:$U$1,AD$1)</f>
        <v>0</v>
      </c>
      <c r="AE115" s="179">
        <f>SUMIFS('recurring2_based on steps'!$B115:$AY115,'recurring2_based on steps'!$B$1:$AY$1,AE$1)+SUMIFS('changes2_based on steps'!$B115:$U115,'changes2_based on steps'!$B$1:$U$1,AE$1)</f>
        <v>0</v>
      </c>
      <c r="AF115" s="179"/>
      <c r="AG115" s="179"/>
      <c r="AH115" s="179"/>
      <c r="AI115" s="179"/>
      <c r="AJ115" s="179"/>
      <c r="AK115" s="179"/>
      <c r="AL115" s="179"/>
      <c r="AM115" s="179"/>
    </row>
    <row r="116" spans="1:39" x14ac:dyDescent="0.2">
      <c r="A116" s="32">
        <f t="shared" ca="1" si="1"/>
        <v>45865</v>
      </c>
      <c r="B116" s="179">
        <f>SUMIFS('recurring2_based on steps'!$B116:$AY116,'recurring2_based on steps'!$B$1:$AY$1,B$1)+SUMIFS('changes2_based on steps'!$B116:$U116,'changes2_based on steps'!$B$1:$U$1,B$1)</f>
        <v>0</v>
      </c>
      <c r="C116" s="179">
        <f>SUMIFS('recurring2_based on steps'!$B116:$AY116,'recurring2_based on steps'!$B$1:$AY$1,C$1)+SUMIFS('changes2_based on steps'!$B116:$U116,'changes2_based on steps'!$B$1:$U$1,C$1)</f>
        <v>0</v>
      </c>
      <c r="D116" s="179">
        <f>SUMIFS('recurring2_based on steps'!$B116:$AY116,'recurring2_based on steps'!$B$1:$AY$1,D$1)+SUMIFS('changes2_based on steps'!$B116:$U116,'changes2_based on steps'!$B$1:$U$1,D$1)</f>
        <v>0</v>
      </c>
      <c r="E116" s="179">
        <f>SUMIFS('recurring2_based on steps'!$B116:$AY116,'recurring2_based on steps'!$B$1:$AY$1,E$1)+SUMIFS('changes2_based on steps'!$B116:$U116,'changes2_based on steps'!$B$1:$U$1,E$1)</f>
        <v>0</v>
      </c>
      <c r="F116" s="179">
        <f>SUMIFS('recurring2_based on steps'!$B116:$AY116,'recurring2_based on steps'!$B$1:$AY$1,F$1)+SUMIFS('changes2_based on steps'!$B116:$U116,'changes2_based on steps'!$B$1:$U$1,F$1)</f>
        <v>0</v>
      </c>
      <c r="G116" s="179">
        <f>SUMIFS('recurring2_based on steps'!$B116:$AY116,'recurring2_based on steps'!$B$1:$AY$1,G$1)+SUMIFS('changes2_based on steps'!$B116:$U116,'changes2_based on steps'!$B$1:$U$1,G$1)</f>
        <v>0</v>
      </c>
      <c r="H116" s="179">
        <f>SUMIFS('recurring2_based on steps'!$B116:$AY116,'recurring2_based on steps'!$B$1:$AY$1,H$1)+SUMIFS('changes2_based on steps'!$B116:$U116,'changes2_based on steps'!$B$1:$U$1,H$1)</f>
        <v>0</v>
      </c>
      <c r="I116" s="179">
        <f>SUMIFS('recurring2_based on steps'!$B116:$AY116,'recurring2_based on steps'!$B$1:$AY$1,I$1)+SUMIFS('changes2_based on steps'!$B116:$U116,'changes2_based on steps'!$B$1:$U$1,I$1)</f>
        <v>0</v>
      </c>
      <c r="J116" s="179">
        <f>SUMIFS('recurring2_based on steps'!$B116:$AY116,'recurring2_based on steps'!$B$1:$AY$1,J$1)+SUMIFS('changes2_based on steps'!$B116:$U116,'changes2_based on steps'!$B$1:$U$1,J$1)</f>
        <v>0</v>
      </c>
      <c r="K116" s="179">
        <f>SUMIFS('recurring2_based on steps'!$B116:$AY116,'recurring2_based on steps'!$B$1:$AY$1,K$1)+SUMIFS('changes2_based on steps'!$B116:$U116,'changes2_based on steps'!$B$1:$U$1,K$1)</f>
        <v>0</v>
      </c>
      <c r="L116" s="179">
        <f>SUMIFS('recurring2_based on steps'!$B116:$AY116,'recurring2_based on steps'!$B$1:$AY$1,L$1)+SUMIFS('changes2_based on steps'!$B116:$U116,'changes2_based on steps'!$B$1:$U$1,L$1)</f>
        <v>0</v>
      </c>
      <c r="M116" s="179">
        <f>SUMIFS('recurring2_based on steps'!$B116:$AY116,'recurring2_based on steps'!$B$1:$AY$1,M$1)+SUMIFS('changes2_based on steps'!$B116:$U116,'changes2_based on steps'!$B$1:$U$1,M$1)</f>
        <v>0</v>
      </c>
      <c r="N116" s="179">
        <f>SUMIFS('recurring2_based on steps'!$B116:$AY116,'recurring2_based on steps'!$B$1:$AY$1,N$1)+SUMIFS('changes2_based on steps'!$B116:$U116,'changes2_based on steps'!$B$1:$U$1,N$1)</f>
        <v>0</v>
      </c>
      <c r="O116" s="179">
        <f>SUMIFS('recurring2_based on steps'!$B116:$AY116,'recurring2_based on steps'!$B$1:$AY$1,O$1)+SUMIFS('changes2_based on steps'!$B116:$U116,'changes2_based on steps'!$B$1:$U$1,O$1)</f>
        <v>0</v>
      </c>
      <c r="P116" s="179">
        <f>SUMIFS('recurring2_based on steps'!$B116:$AY116,'recurring2_based on steps'!$B$1:$AY$1,P$1)+SUMIFS('changes2_based on steps'!$B116:$U116,'changes2_based on steps'!$B$1:$U$1,P$1)</f>
        <v>0</v>
      </c>
      <c r="Q116" s="179">
        <f>SUMIFS('recurring2_based on steps'!$B116:$AY116,'recurring2_based on steps'!$B$1:$AY$1,Q$1)+SUMIFS('changes2_based on steps'!$B116:$U116,'changes2_based on steps'!$B$1:$U$1,Q$1)</f>
        <v>0</v>
      </c>
      <c r="R116" s="179">
        <f>SUMIFS('recurring2_based on steps'!$B116:$AY116,'recurring2_based on steps'!$B$1:$AY$1,R$1)+SUMIFS('changes2_based on steps'!$B116:$U116,'changes2_based on steps'!$B$1:$U$1,R$1)</f>
        <v>0</v>
      </c>
      <c r="S116" s="179">
        <f>SUMIFS('recurring2_based on steps'!$B116:$AY116,'recurring2_based on steps'!$B$1:$AY$1,S$1)+SUMIFS('changes2_based on steps'!$B116:$U116,'changes2_based on steps'!$B$1:$U$1,S$1)</f>
        <v>0</v>
      </c>
      <c r="T116" s="179">
        <f>SUMIFS('recurring2_based on steps'!$B116:$AY116,'recurring2_based on steps'!$B$1:$AY$1,T$1)+SUMIFS('changes2_based on steps'!$B116:$U116,'changes2_based on steps'!$B$1:$U$1,T$1)</f>
        <v>0</v>
      </c>
      <c r="U116" s="179">
        <f>SUMIFS('recurring2_based on steps'!$B116:$AY116,'recurring2_based on steps'!$B$1:$AY$1,U$1)+SUMIFS('changes2_based on steps'!$B116:$U116,'changes2_based on steps'!$B$1:$U$1,U$1)</f>
        <v>0</v>
      </c>
      <c r="V116" s="179">
        <f>SUMIFS('recurring2_based on steps'!$B116:$AY116,'recurring2_based on steps'!$B$1:$AY$1,V$1)+SUMIFS('changes2_based on steps'!$B116:$U116,'changes2_based on steps'!$B$1:$U$1,V$1)</f>
        <v>0</v>
      </c>
      <c r="W116" s="179">
        <f>SUMIFS('recurring2_based on steps'!$B116:$AY116,'recurring2_based on steps'!$B$1:$AY$1,W$1)+SUMIFS('changes2_based on steps'!$B116:$U116,'changes2_based on steps'!$B$1:$U$1,W$1)</f>
        <v>0</v>
      </c>
      <c r="X116" s="179">
        <f>SUMIFS('recurring2_based on steps'!$B116:$AY116,'recurring2_based on steps'!$B$1:$AY$1,X$1)+SUMIFS('changes2_based on steps'!$B116:$U116,'changes2_based on steps'!$B$1:$U$1,X$1)</f>
        <v>0</v>
      </c>
      <c r="Y116" s="179">
        <f>SUMIFS('recurring2_based on steps'!$B116:$AY116,'recurring2_based on steps'!$B$1:$AY$1,Y$1)+SUMIFS('changes2_based on steps'!$B116:$U116,'changes2_based on steps'!$B$1:$U$1,Y$1)</f>
        <v>0</v>
      </c>
      <c r="Z116" s="179">
        <f>SUMIFS('recurring2_based on steps'!$B116:$AY116,'recurring2_based on steps'!$B$1:$AY$1,Z$1)+SUMIFS('changes2_based on steps'!$B116:$U116,'changes2_based on steps'!$B$1:$U$1,Z$1)</f>
        <v>0</v>
      </c>
      <c r="AA116" s="179">
        <f>SUMIFS('recurring2_based on steps'!$B116:$AY116,'recurring2_based on steps'!$B$1:$AY$1,AA$1)+SUMIFS('changes2_based on steps'!$B116:$U116,'changes2_based on steps'!$B$1:$U$1,AA$1)</f>
        <v>0</v>
      </c>
      <c r="AB116" s="179">
        <f>SUMIFS('recurring2_based on steps'!$B116:$AY116,'recurring2_based on steps'!$B$1:$AY$1,AB$1)+SUMIFS('changes2_based on steps'!$B116:$U116,'changes2_based on steps'!$B$1:$U$1,AB$1)</f>
        <v>0</v>
      </c>
      <c r="AC116" s="179">
        <f>SUMIFS('recurring2_based on steps'!$B116:$AY116,'recurring2_based on steps'!$B$1:$AY$1,AC$1)+SUMIFS('changes2_based on steps'!$B116:$U116,'changes2_based on steps'!$B$1:$U$1,AC$1)</f>
        <v>0</v>
      </c>
      <c r="AD116" s="179">
        <f>SUMIFS('recurring2_based on steps'!$B116:$AY116,'recurring2_based on steps'!$B$1:$AY$1,AD$1)+SUMIFS('changes2_based on steps'!$B116:$U116,'changes2_based on steps'!$B$1:$U$1,AD$1)</f>
        <v>0</v>
      </c>
      <c r="AE116" s="179">
        <f>SUMIFS('recurring2_based on steps'!$B116:$AY116,'recurring2_based on steps'!$B$1:$AY$1,AE$1)+SUMIFS('changes2_based on steps'!$B116:$U116,'changes2_based on steps'!$B$1:$U$1,AE$1)</f>
        <v>0</v>
      </c>
      <c r="AF116" s="179"/>
      <c r="AG116" s="179"/>
      <c r="AH116" s="179"/>
      <c r="AI116" s="179"/>
      <c r="AJ116" s="179"/>
      <c r="AK116" s="179"/>
      <c r="AL116" s="179"/>
      <c r="AM116" s="179"/>
    </row>
    <row r="117" spans="1:39" x14ac:dyDescent="0.2">
      <c r="A117" s="32">
        <f t="shared" ca="1" si="1"/>
        <v>45866</v>
      </c>
      <c r="B117" s="179">
        <f>SUMIFS('recurring2_based on steps'!$B117:$AY117,'recurring2_based on steps'!$B$1:$AY$1,B$1)+SUMIFS('changes2_based on steps'!$B117:$U117,'changes2_based on steps'!$B$1:$U$1,B$1)</f>
        <v>0</v>
      </c>
      <c r="C117" s="179">
        <f>SUMIFS('recurring2_based on steps'!$B117:$AY117,'recurring2_based on steps'!$B$1:$AY$1,C$1)+SUMIFS('changes2_based on steps'!$B117:$U117,'changes2_based on steps'!$B$1:$U$1,C$1)</f>
        <v>0</v>
      </c>
      <c r="D117" s="179">
        <f>SUMIFS('recurring2_based on steps'!$B117:$AY117,'recurring2_based on steps'!$B$1:$AY$1,D$1)+SUMIFS('changes2_based on steps'!$B117:$U117,'changes2_based on steps'!$B$1:$U$1,D$1)</f>
        <v>0</v>
      </c>
      <c r="E117" s="179">
        <f>SUMIFS('recurring2_based on steps'!$B117:$AY117,'recurring2_based on steps'!$B$1:$AY$1,E$1)+SUMIFS('changes2_based on steps'!$B117:$U117,'changes2_based on steps'!$B$1:$U$1,E$1)</f>
        <v>0</v>
      </c>
      <c r="F117" s="179">
        <f>SUMIFS('recurring2_based on steps'!$B117:$AY117,'recurring2_based on steps'!$B$1:$AY$1,F$1)+SUMIFS('changes2_based on steps'!$B117:$U117,'changes2_based on steps'!$B$1:$U$1,F$1)</f>
        <v>0</v>
      </c>
      <c r="G117" s="179">
        <f>SUMIFS('recurring2_based on steps'!$B117:$AY117,'recurring2_based on steps'!$B$1:$AY$1,G$1)+SUMIFS('changes2_based on steps'!$B117:$U117,'changes2_based on steps'!$B$1:$U$1,G$1)</f>
        <v>0</v>
      </c>
      <c r="H117" s="179">
        <f>SUMIFS('recurring2_based on steps'!$B117:$AY117,'recurring2_based on steps'!$B$1:$AY$1,H$1)+SUMIFS('changes2_based on steps'!$B117:$U117,'changes2_based on steps'!$B$1:$U$1,H$1)</f>
        <v>0</v>
      </c>
      <c r="I117" s="179">
        <f>SUMIFS('recurring2_based on steps'!$B117:$AY117,'recurring2_based on steps'!$B$1:$AY$1,I$1)+SUMIFS('changes2_based on steps'!$B117:$U117,'changes2_based on steps'!$B$1:$U$1,I$1)</f>
        <v>0</v>
      </c>
      <c r="J117" s="179">
        <f>SUMIFS('recurring2_based on steps'!$B117:$AY117,'recurring2_based on steps'!$B$1:$AY$1,J$1)+SUMIFS('changes2_based on steps'!$B117:$U117,'changes2_based on steps'!$B$1:$U$1,J$1)</f>
        <v>0</v>
      </c>
      <c r="K117" s="179">
        <f>SUMIFS('recurring2_based on steps'!$B117:$AY117,'recurring2_based on steps'!$B$1:$AY$1,K$1)+SUMIFS('changes2_based on steps'!$B117:$U117,'changes2_based on steps'!$B$1:$U$1,K$1)</f>
        <v>0</v>
      </c>
      <c r="L117" s="179">
        <f>SUMIFS('recurring2_based on steps'!$B117:$AY117,'recurring2_based on steps'!$B$1:$AY$1,L$1)+SUMIFS('changes2_based on steps'!$B117:$U117,'changes2_based on steps'!$B$1:$U$1,L$1)</f>
        <v>0</v>
      </c>
      <c r="M117" s="179">
        <f>SUMIFS('recurring2_based on steps'!$B117:$AY117,'recurring2_based on steps'!$B$1:$AY$1,M$1)+SUMIFS('changes2_based on steps'!$B117:$U117,'changes2_based on steps'!$B$1:$U$1,M$1)</f>
        <v>0</v>
      </c>
      <c r="N117" s="179">
        <f>SUMIFS('recurring2_based on steps'!$B117:$AY117,'recurring2_based on steps'!$B$1:$AY$1,N$1)+SUMIFS('changes2_based on steps'!$B117:$U117,'changes2_based on steps'!$B$1:$U$1,N$1)</f>
        <v>0</v>
      </c>
      <c r="O117" s="179">
        <f>SUMIFS('recurring2_based on steps'!$B117:$AY117,'recurring2_based on steps'!$B$1:$AY$1,O$1)+SUMIFS('changes2_based on steps'!$B117:$U117,'changes2_based on steps'!$B$1:$U$1,O$1)</f>
        <v>0</v>
      </c>
      <c r="P117" s="179">
        <f>SUMIFS('recurring2_based on steps'!$B117:$AY117,'recurring2_based on steps'!$B$1:$AY$1,P$1)+SUMIFS('changes2_based on steps'!$B117:$U117,'changes2_based on steps'!$B$1:$U$1,P$1)</f>
        <v>0</v>
      </c>
      <c r="Q117" s="179">
        <f>SUMIFS('recurring2_based on steps'!$B117:$AY117,'recurring2_based on steps'!$B$1:$AY$1,Q$1)+SUMIFS('changes2_based on steps'!$B117:$U117,'changes2_based on steps'!$B$1:$U$1,Q$1)</f>
        <v>0</v>
      </c>
      <c r="R117" s="179">
        <f>SUMIFS('recurring2_based on steps'!$B117:$AY117,'recurring2_based on steps'!$B$1:$AY$1,R$1)+SUMIFS('changes2_based on steps'!$B117:$U117,'changes2_based on steps'!$B$1:$U$1,R$1)</f>
        <v>0</v>
      </c>
      <c r="S117" s="179">
        <f>SUMIFS('recurring2_based on steps'!$B117:$AY117,'recurring2_based on steps'!$B$1:$AY$1,S$1)+SUMIFS('changes2_based on steps'!$B117:$U117,'changes2_based on steps'!$B$1:$U$1,S$1)</f>
        <v>0</v>
      </c>
      <c r="T117" s="179">
        <f>SUMIFS('recurring2_based on steps'!$B117:$AY117,'recurring2_based on steps'!$B$1:$AY$1,T$1)+SUMIFS('changes2_based on steps'!$B117:$U117,'changes2_based on steps'!$B$1:$U$1,T$1)</f>
        <v>0</v>
      </c>
      <c r="U117" s="179">
        <f>SUMIFS('recurring2_based on steps'!$B117:$AY117,'recurring2_based on steps'!$B$1:$AY$1,U$1)+SUMIFS('changes2_based on steps'!$B117:$U117,'changes2_based on steps'!$B$1:$U$1,U$1)</f>
        <v>0</v>
      </c>
      <c r="V117" s="179">
        <f>SUMIFS('recurring2_based on steps'!$B117:$AY117,'recurring2_based on steps'!$B$1:$AY$1,V$1)+SUMIFS('changes2_based on steps'!$B117:$U117,'changes2_based on steps'!$B$1:$U$1,V$1)</f>
        <v>0</v>
      </c>
      <c r="W117" s="179">
        <f>SUMIFS('recurring2_based on steps'!$B117:$AY117,'recurring2_based on steps'!$B$1:$AY$1,W$1)+SUMIFS('changes2_based on steps'!$B117:$U117,'changes2_based on steps'!$B$1:$U$1,W$1)</f>
        <v>0</v>
      </c>
      <c r="X117" s="179">
        <f>SUMIFS('recurring2_based on steps'!$B117:$AY117,'recurring2_based on steps'!$B$1:$AY$1,X$1)+SUMIFS('changes2_based on steps'!$B117:$U117,'changes2_based on steps'!$B$1:$U$1,X$1)</f>
        <v>0</v>
      </c>
      <c r="Y117" s="179">
        <f>SUMIFS('recurring2_based on steps'!$B117:$AY117,'recurring2_based on steps'!$B$1:$AY$1,Y$1)+SUMIFS('changes2_based on steps'!$B117:$U117,'changes2_based on steps'!$B$1:$U$1,Y$1)</f>
        <v>0</v>
      </c>
      <c r="Z117" s="179">
        <f>SUMIFS('recurring2_based on steps'!$B117:$AY117,'recurring2_based on steps'!$B$1:$AY$1,Z$1)+SUMIFS('changes2_based on steps'!$B117:$U117,'changes2_based on steps'!$B$1:$U$1,Z$1)</f>
        <v>0</v>
      </c>
      <c r="AA117" s="179">
        <f>SUMIFS('recurring2_based on steps'!$B117:$AY117,'recurring2_based on steps'!$B$1:$AY$1,AA$1)+SUMIFS('changes2_based on steps'!$B117:$U117,'changes2_based on steps'!$B$1:$U$1,AA$1)</f>
        <v>0</v>
      </c>
      <c r="AB117" s="179">
        <f>SUMIFS('recurring2_based on steps'!$B117:$AY117,'recurring2_based on steps'!$B$1:$AY$1,AB$1)+SUMIFS('changes2_based on steps'!$B117:$U117,'changes2_based on steps'!$B$1:$U$1,AB$1)</f>
        <v>0</v>
      </c>
      <c r="AC117" s="179">
        <f>SUMIFS('recurring2_based on steps'!$B117:$AY117,'recurring2_based on steps'!$B$1:$AY$1,AC$1)+SUMIFS('changes2_based on steps'!$B117:$U117,'changes2_based on steps'!$B$1:$U$1,AC$1)</f>
        <v>0</v>
      </c>
      <c r="AD117" s="179">
        <f>SUMIFS('recurring2_based on steps'!$B117:$AY117,'recurring2_based on steps'!$B$1:$AY$1,AD$1)+SUMIFS('changes2_based on steps'!$B117:$U117,'changes2_based on steps'!$B$1:$U$1,AD$1)</f>
        <v>0</v>
      </c>
      <c r="AE117" s="179">
        <f>SUMIFS('recurring2_based on steps'!$B117:$AY117,'recurring2_based on steps'!$B$1:$AY$1,AE$1)+SUMIFS('changes2_based on steps'!$B117:$U117,'changes2_based on steps'!$B$1:$U$1,AE$1)</f>
        <v>0</v>
      </c>
      <c r="AF117" s="179"/>
      <c r="AG117" s="179"/>
      <c r="AH117" s="179"/>
      <c r="AI117" s="179"/>
      <c r="AJ117" s="179"/>
      <c r="AK117" s="179"/>
      <c r="AL117" s="179"/>
      <c r="AM117" s="179"/>
    </row>
    <row r="118" spans="1:39" x14ac:dyDescent="0.2">
      <c r="A118" s="32">
        <f t="shared" ca="1" si="1"/>
        <v>45867</v>
      </c>
      <c r="B118" s="179">
        <f>SUMIFS('recurring2_based on steps'!$B118:$AY118,'recurring2_based on steps'!$B$1:$AY$1,B$1)+SUMIFS('changes2_based on steps'!$B118:$U118,'changes2_based on steps'!$B$1:$U$1,B$1)</f>
        <v>0</v>
      </c>
      <c r="C118" s="179">
        <f>SUMIFS('recurring2_based on steps'!$B118:$AY118,'recurring2_based on steps'!$B$1:$AY$1,C$1)+SUMIFS('changes2_based on steps'!$B118:$U118,'changes2_based on steps'!$B$1:$U$1,C$1)</f>
        <v>0</v>
      </c>
      <c r="D118" s="179">
        <f>SUMIFS('recurring2_based on steps'!$B118:$AY118,'recurring2_based on steps'!$B$1:$AY$1,D$1)+SUMIFS('changes2_based on steps'!$B118:$U118,'changes2_based on steps'!$B$1:$U$1,D$1)</f>
        <v>0</v>
      </c>
      <c r="E118" s="179">
        <f>SUMIFS('recurring2_based on steps'!$B118:$AY118,'recurring2_based on steps'!$B$1:$AY$1,E$1)+SUMIFS('changes2_based on steps'!$B118:$U118,'changes2_based on steps'!$B$1:$U$1,E$1)</f>
        <v>0</v>
      </c>
      <c r="F118" s="179">
        <f>SUMIFS('recurring2_based on steps'!$B118:$AY118,'recurring2_based on steps'!$B$1:$AY$1,F$1)+SUMIFS('changes2_based on steps'!$B118:$U118,'changes2_based on steps'!$B$1:$U$1,F$1)</f>
        <v>0</v>
      </c>
      <c r="G118" s="179">
        <f>SUMIFS('recurring2_based on steps'!$B118:$AY118,'recurring2_based on steps'!$B$1:$AY$1,G$1)+SUMIFS('changes2_based on steps'!$B118:$U118,'changes2_based on steps'!$B$1:$U$1,G$1)</f>
        <v>0</v>
      </c>
      <c r="H118" s="179">
        <f>SUMIFS('recurring2_based on steps'!$B118:$AY118,'recurring2_based on steps'!$B$1:$AY$1,H$1)+SUMIFS('changes2_based on steps'!$B118:$U118,'changes2_based on steps'!$B$1:$U$1,H$1)</f>
        <v>0</v>
      </c>
      <c r="I118" s="179">
        <f>SUMIFS('recurring2_based on steps'!$B118:$AY118,'recurring2_based on steps'!$B$1:$AY$1,I$1)+SUMIFS('changes2_based on steps'!$B118:$U118,'changes2_based on steps'!$B$1:$U$1,I$1)</f>
        <v>0</v>
      </c>
      <c r="J118" s="179">
        <f>SUMIFS('recurring2_based on steps'!$B118:$AY118,'recurring2_based on steps'!$B$1:$AY$1,J$1)+SUMIFS('changes2_based on steps'!$B118:$U118,'changes2_based on steps'!$B$1:$U$1,J$1)</f>
        <v>0</v>
      </c>
      <c r="K118" s="179">
        <f>SUMIFS('recurring2_based on steps'!$B118:$AY118,'recurring2_based on steps'!$B$1:$AY$1,K$1)+SUMIFS('changes2_based on steps'!$B118:$U118,'changes2_based on steps'!$B$1:$U$1,K$1)</f>
        <v>0</v>
      </c>
      <c r="L118" s="179">
        <f>SUMIFS('recurring2_based on steps'!$B118:$AY118,'recurring2_based on steps'!$B$1:$AY$1,L$1)+SUMIFS('changes2_based on steps'!$B118:$U118,'changes2_based on steps'!$B$1:$U$1,L$1)</f>
        <v>0</v>
      </c>
      <c r="M118" s="179">
        <f>SUMIFS('recurring2_based on steps'!$B118:$AY118,'recurring2_based on steps'!$B$1:$AY$1,M$1)+SUMIFS('changes2_based on steps'!$B118:$U118,'changes2_based on steps'!$B$1:$U$1,M$1)</f>
        <v>0</v>
      </c>
      <c r="N118" s="179">
        <f>SUMIFS('recurring2_based on steps'!$B118:$AY118,'recurring2_based on steps'!$B$1:$AY$1,N$1)+SUMIFS('changes2_based on steps'!$B118:$U118,'changes2_based on steps'!$B$1:$U$1,N$1)</f>
        <v>0</v>
      </c>
      <c r="O118" s="179">
        <f>SUMIFS('recurring2_based on steps'!$B118:$AY118,'recurring2_based on steps'!$B$1:$AY$1,O$1)+SUMIFS('changes2_based on steps'!$B118:$U118,'changes2_based on steps'!$B$1:$U$1,O$1)</f>
        <v>0</v>
      </c>
      <c r="P118" s="179">
        <f>SUMIFS('recurring2_based on steps'!$B118:$AY118,'recurring2_based on steps'!$B$1:$AY$1,P$1)+SUMIFS('changes2_based on steps'!$B118:$U118,'changes2_based on steps'!$B$1:$U$1,P$1)</f>
        <v>0</v>
      </c>
      <c r="Q118" s="179">
        <f>SUMIFS('recurring2_based on steps'!$B118:$AY118,'recurring2_based on steps'!$B$1:$AY$1,Q$1)+SUMIFS('changes2_based on steps'!$B118:$U118,'changes2_based on steps'!$B$1:$U$1,Q$1)</f>
        <v>0</v>
      </c>
      <c r="R118" s="179">
        <f>SUMIFS('recurring2_based on steps'!$B118:$AY118,'recurring2_based on steps'!$B$1:$AY$1,R$1)+SUMIFS('changes2_based on steps'!$B118:$U118,'changes2_based on steps'!$B$1:$U$1,R$1)</f>
        <v>0</v>
      </c>
      <c r="S118" s="179">
        <f>SUMIFS('recurring2_based on steps'!$B118:$AY118,'recurring2_based on steps'!$B$1:$AY$1,S$1)+SUMIFS('changes2_based on steps'!$B118:$U118,'changes2_based on steps'!$B$1:$U$1,S$1)</f>
        <v>0</v>
      </c>
      <c r="T118" s="179">
        <f>SUMIFS('recurring2_based on steps'!$B118:$AY118,'recurring2_based on steps'!$B$1:$AY$1,T$1)+SUMIFS('changes2_based on steps'!$B118:$U118,'changes2_based on steps'!$B$1:$U$1,T$1)</f>
        <v>0</v>
      </c>
      <c r="U118" s="179">
        <f>SUMIFS('recurring2_based on steps'!$B118:$AY118,'recurring2_based on steps'!$B$1:$AY$1,U$1)+SUMIFS('changes2_based on steps'!$B118:$U118,'changes2_based on steps'!$B$1:$U$1,U$1)</f>
        <v>0</v>
      </c>
      <c r="V118" s="179">
        <f>SUMIFS('recurring2_based on steps'!$B118:$AY118,'recurring2_based on steps'!$B$1:$AY$1,V$1)+SUMIFS('changes2_based on steps'!$B118:$U118,'changes2_based on steps'!$B$1:$U$1,V$1)</f>
        <v>0</v>
      </c>
      <c r="W118" s="179">
        <f>SUMIFS('recurring2_based on steps'!$B118:$AY118,'recurring2_based on steps'!$B$1:$AY$1,W$1)+SUMIFS('changes2_based on steps'!$B118:$U118,'changes2_based on steps'!$B$1:$U$1,W$1)</f>
        <v>0</v>
      </c>
      <c r="X118" s="179">
        <f>SUMIFS('recurring2_based on steps'!$B118:$AY118,'recurring2_based on steps'!$B$1:$AY$1,X$1)+SUMIFS('changes2_based on steps'!$B118:$U118,'changes2_based on steps'!$B$1:$U$1,X$1)</f>
        <v>0</v>
      </c>
      <c r="Y118" s="179">
        <f>SUMIFS('recurring2_based on steps'!$B118:$AY118,'recurring2_based on steps'!$B$1:$AY$1,Y$1)+SUMIFS('changes2_based on steps'!$B118:$U118,'changes2_based on steps'!$B$1:$U$1,Y$1)</f>
        <v>0</v>
      </c>
      <c r="Z118" s="179">
        <f>SUMIFS('recurring2_based on steps'!$B118:$AY118,'recurring2_based on steps'!$B$1:$AY$1,Z$1)+SUMIFS('changes2_based on steps'!$B118:$U118,'changes2_based on steps'!$B$1:$U$1,Z$1)</f>
        <v>0</v>
      </c>
      <c r="AA118" s="179">
        <f>SUMIFS('recurring2_based on steps'!$B118:$AY118,'recurring2_based on steps'!$B$1:$AY$1,AA$1)+SUMIFS('changes2_based on steps'!$B118:$U118,'changes2_based on steps'!$B$1:$U$1,AA$1)</f>
        <v>0</v>
      </c>
      <c r="AB118" s="179">
        <f>SUMIFS('recurring2_based on steps'!$B118:$AY118,'recurring2_based on steps'!$B$1:$AY$1,AB$1)+SUMIFS('changes2_based on steps'!$B118:$U118,'changes2_based on steps'!$B$1:$U$1,AB$1)</f>
        <v>0</v>
      </c>
      <c r="AC118" s="179">
        <f>SUMIFS('recurring2_based on steps'!$B118:$AY118,'recurring2_based on steps'!$B$1:$AY$1,AC$1)+SUMIFS('changes2_based on steps'!$B118:$U118,'changes2_based on steps'!$B$1:$U$1,AC$1)</f>
        <v>0</v>
      </c>
      <c r="AD118" s="179">
        <f>SUMIFS('recurring2_based on steps'!$B118:$AY118,'recurring2_based on steps'!$B$1:$AY$1,AD$1)+SUMIFS('changes2_based on steps'!$B118:$U118,'changes2_based on steps'!$B$1:$U$1,AD$1)</f>
        <v>0</v>
      </c>
      <c r="AE118" s="179">
        <f>SUMIFS('recurring2_based on steps'!$B118:$AY118,'recurring2_based on steps'!$B$1:$AY$1,AE$1)+SUMIFS('changes2_based on steps'!$B118:$U118,'changes2_based on steps'!$B$1:$U$1,AE$1)</f>
        <v>0</v>
      </c>
      <c r="AF118" s="179"/>
      <c r="AG118" s="179"/>
      <c r="AH118" s="179"/>
      <c r="AI118" s="179"/>
      <c r="AJ118" s="179"/>
      <c r="AK118" s="179"/>
      <c r="AL118" s="179"/>
      <c r="AM118" s="179"/>
    </row>
    <row r="119" spans="1:39" x14ac:dyDescent="0.2">
      <c r="A119" s="32">
        <f t="shared" ca="1" si="1"/>
        <v>45868</v>
      </c>
      <c r="B119" s="179">
        <f>SUMIFS('recurring2_based on steps'!$B119:$AY119,'recurring2_based on steps'!$B$1:$AY$1,B$1)+SUMIFS('changes2_based on steps'!$B119:$U119,'changes2_based on steps'!$B$1:$U$1,B$1)</f>
        <v>0</v>
      </c>
      <c r="C119" s="179">
        <f>SUMIFS('recurring2_based on steps'!$B119:$AY119,'recurring2_based on steps'!$B$1:$AY$1,C$1)+SUMIFS('changes2_based on steps'!$B119:$U119,'changes2_based on steps'!$B$1:$U$1,C$1)</f>
        <v>0</v>
      </c>
      <c r="D119" s="179">
        <f>SUMIFS('recurring2_based on steps'!$B119:$AY119,'recurring2_based on steps'!$B$1:$AY$1,D$1)+SUMIFS('changes2_based on steps'!$B119:$U119,'changes2_based on steps'!$B$1:$U$1,D$1)</f>
        <v>0</v>
      </c>
      <c r="E119" s="179">
        <f>SUMIFS('recurring2_based on steps'!$B119:$AY119,'recurring2_based on steps'!$B$1:$AY$1,E$1)+SUMIFS('changes2_based on steps'!$B119:$U119,'changes2_based on steps'!$B$1:$U$1,E$1)</f>
        <v>0</v>
      </c>
      <c r="F119" s="179">
        <f>SUMIFS('recurring2_based on steps'!$B119:$AY119,'recurring2_based on steps'!$B$1:$AY$1,F$1)+SUMIFS('changes2_based on steps'!$B119:$U119,'changes2_based on steps'!$B$1:$U$1,F$1)</f>
        <v>0</v>
      </c>
      <c r="G119" s="179">
        <f>SUMIFS('recurring2_based on steps'!$B119:$AY119,'recurring2_based on steps'!$B$1:$AY$1,G$1)+SUMIFS('changes2_based on steps'!$B119:$U119,'changes2_based on steps'!$B$1:$U$1,G$1)</f>
        <v>0</v>
      </c>
      <c r="H119" s="179">
        <f>SUMIFS('recurring2_based on steps'!$B119:$AY119,'recurring2_based on steps'!$B$1:$AY$1,H$1)+SUMIFS('changes2_based on steps'!$B119:$U119,'changes2_based on steps'!$B$1:$U$1,H$1)</f>
        <v>0</v>
      </c>
      <c r="I119" s="179">
        <f>SUMIFS('recurring2_based on steps'!$B119:$AY119,'recurring2_based on steps'!$B$1:$AY$1,I$1)+SUMIFS('changes2_based on steps'!$B119:$U119,'changes2_based on steps'!$B$1:$U$1,I$1)</f>
        <v>0</v>
      </c>
      <c r="J119" s="179">
        <f>SUMIFS('recurring2_based on steps'!$B119:$AY119,'recurring2_based on steps'!$B$1:$AY$1,J$1)+SUMIFS('changes2_based on steps'!$B119:$U119,'changes2_based on steps'!$B$1:$U$1,J$1)</f>
        <v>0</v>
      </c>
      <c r="K119" s="179">
        <f>SUMIFS('recurring2_based on steps'!$B119:$AY119,'recurring2_based on steps'!$B$1:$AY$1,K$1)+SUMIFS('changes2_based on steps'!$B119:$U119,'changes2_based on steps'!$B$1:$U$1,K$1)</f>
        <v>0</v>
      </c>
      <c r="L119" s="179">
        <f>SUMIFS('recurring2_based on steps'!$B119:$AY119,'recurring2_based on steps'!$B$1:$AY$1,L$1)+SUMIFS('changes2_based on steps'!$B119:$U119,'changes2_based on steps'!$B$1:$U$1,L$1)</f>
        <v>0</v>
      </c>
      <c r="M119" s="179">
        <f>SUMIFS('recurring2_based on steps'!$B119:$AY119,'recurring2_based on steps'!$B$1:$AY$1,M$1)+SUMIFS('changes2_based on steps'!$B119:$U119,'changes2_based on steps'!$B$1:$U$1,M$1)</f>
        <v>0</v>
      </c>
      <c r="N119" s="179">
        <f>SUMIFS('recurring2_based on steps'!$B119:$AY119,'recurring2_based on steps'!$B$1:$AY$1,N$1)+SUMIFS('changes2_based on steps'!$B119:$U119,'changes2_based on steps'!$B$1:$U$1,N$1)</f>
        <v>0</v>
      </c>
      <c r="O119" s="179">
        <f>SUMIFS('recurring2_based on steps'!$B119:$AY119,'recurring2_based on steps'!$B$1:$AY$1,O$1)+SUMIFS('changes2_based on steps'!$B119:$U119,'changes2_based on steps'!$B$1:$U$1,O$1)</f>
        <v>0</v>
      </c>
      <c r="P119" s="179">
        <f>SUMIFS('recurring2_based on steps'!$B119:$AY119,'recurring2_based on steps'!$B$1:$AY$1,P$1)+SUMIFS('changes2_based on steps'!$B119:$U119,'changes2_based on steps'!$B$1:$U$1,P$1)</f>
        <v>0</v>
      </c>
      <c r="Q119" s="179">
        <f>SUMIFS('recurring2_based on steps'!$B119:$AY119,'recurring2_based on steps'!$B$1:$AY$1,Q$1)+SUMIFS('changes2_based on steps'!$B119:$U119,'changes2_based on steps'!$B$1:$U$1,Q$1)</f>
        <v>0</v>
      </c>
      <c r="R119" s="179">
        <f>SUMIFS('recurring2_based on steps'!$B119:$AY119,'recurring2_based on steps'!$B$1:$AY$1,R$1)+SUMIFS('changes2_based on steps'!$B119:$U119,'changes2_based on steps'!$B$1:$U$1,R$1)</f>
        <v>0</v>
      </c>
      <c r="S119" s="179">
        <f>SUMIFS('recurring2_based on steps'!$B119:$AY119,'recurring2_based on steps'!$B$1:$AY$1,S$1)+SUMIFS('changes2_based on steps'!$B119:$U119,'changes2_based on steps'!$B$1:$U$1,S$1)</f>
        <v>0</v>
      </c>
      <c r="T119" s="179">
        <f>SUMIFS('recurring2_based on steps'!$B119:$AY119,'recurring2_based on steps'!$B$1:$AY$1,T$1)+SUMIFS('changes2_based on steps'!$B119:$U119,'changes2_based on steps'!$B$1:$U$1,T$1)</f>
        <v>0</v>
      </c>
      <c r="U119" s="179">
        <f>SUMIFS('recurring2_based on steps'!$B119:$AY119,'recurring2_based on steps'!$B$1:$AY$1,U$1)+SUMIFS('changes2_based on steps'!$B119:$U119,'changes2_based on steps'!$B$1:$U$1,U$1)</f>
        <v>0</v>
      </c>
      <c r="V119" s="179">
        <f>SUMIFS('recurring2_based on steps'!$B119:$AY119,'recurring2_based on steps'!$B$1:$AY$1,V$1)+SUMIFS('changes2_based on steps'!$B119:$U119,'changes2_based on steps'!$B$1:$U$1,V$1)</f>
        <v>0</v>
      </c>
      <c r="W119" s="179">
        <f>SUMIFS('recurring2_based on steps'!$B119:$AY119,'recurring2_based on steps'!$B$1:$AY$1,W$1)+SUMIFS('changes2_based on steps'!$B119:$U119,'changes2_based on steps'!$B$1:$U$1,W$1)</f>
        <v>0</v>
      </c>
      <c r="X119" s="179">
        <f>SUMIFS('recurring2_based on steps'!$B119:$AY119,'recurring2_based on steps'!$B$1:$AY$1,X$1)+SUMIFS('changes2_based on steps'!$B119:$U119,'changes2_based on steps'!$B$1:$U$1,X$1)</f>
        <v>0</v>
      </c>
      <c r="Y119" s="179">
        <f>SUMIFS('recurring2_based on steps'!$B119:$AY119,'recurring2_based on steps'!$B$1:$AY$1,Y$1)+SUMIFS('changes2_based on steps'!$B119:$U119,'changes2_based on steps'!$B$1:$U$1,Y$1)</f>
        <v>0</v>
      </c>
      <c r="Z119" s="179">
        <f>SUMIFS('recurring2_based on steps'!$B119:$AY119,'recurring2_based on steps'!$B$1:$AY$1,Z$1)+SUMIFS('changes2_based on steps'!$B119:$U119,'changes2_based on steps'!$B$1:$U$1,Z$1)</f>
        <v>0</v>
      </c>
      <c r="AA119" s="179">
        <f>SUMIFS('recurring2_based on steps'!$B119:$AY119,'recurring2_based on steps'!$B$1:$AY$1,AA$1)+SUMIFS('changes2_based on steps'!$B119:$U119,'changes2_based on steps'!$B$1:$U$1,AA$1)</f>
        <v>0</v>
      </c>
      <c r="AB119" s="179">
        <f>SUMIFS('recurring2_based on steps'!$B119:$AY119,'recurring2_based on steps'!$B$1:$AY$1,AB$1)+SUMIFS('changes2_based on steps'!$B119:$U119,'changes2_based on steps'!$B$1:$U$1,AB$1)</f>
        <v>0</v>
      </c>
      <c r="AC119" s="179">
        <f>SUMIFS('recurring2_based on steps'!$B119:$AY119,'recurring2_based on steps'!$B$1:$AY$1,AC$1)+SUMIFS('changes2_based on steps'!$B119:$U119,'changes2_based on steps'!$B$1:$U$1,AC$1)</f>
        <v>0</v>
      </c>
      <c r="AD119" s="179">
        <f>SUMIFS('recurring2_based on steps'!$B119:$AY119,'recurring2_based on steps'!$B$1:$AY$1,AD$1)+SUMIFS('changes2_based on steps'!$B119:$U119,'changes2_based on steps'!$B$1:$U$1,AD$1)</f>
        <v>0</v>
      </c>
      <c r="AE119" s="179">
        <f>SUMIFS('recurring2_based on steps'!$B119:$AY119,'recurring2_based on steps'!$B$1:$AY$1,AE$1)+SUMIFS('changes2_based on steps'!$B119:$U119,'changes2_based on steps'!$B$1:$U$1,AE$1)</f>
        <v>0</v>
      </c>
      <c r="AF119" s="179"/>
      <c r="AG119" s="179"/>
      <c r="AH119" s="179"/>
      <c r="AI119" s="179"/>
      <c r="AJ119" s="179"/>
      <c r="AK119" s="179"/>
      <c r="AL119" s="179"/>
      <c r="AM119" s="179"/>
    </row>
    <row r="120" spans="1:39" x14ac:dyDescent="0.2">
      <c r="A120" s="32">
        <f t="shared" ca="1" si="1"/>
        <v>45869</v>
      </c>
      <c r="B120" s="179">
        <f>SUMIFS('recurring2_based on steps'!$B120:$AY120,'recurring2_based on steps'!$B$1:$AY$1,B$1)+SUMIFS('changes2_based on steps'!$B120:$U120,'changes2_based on steps'!$B$1:$U$1,B$1)</f>
        <v>0</v>
      </c>
      <c r="C120" s="179">
        <f>SUMIFS('recurring2_based on steps'!$B120:$AY120,'recurring2_based on steps'!$B$1:$AY$1,C$1)+SUMIFS('changes2_based on steps'!$B120:$U120,'changes2_based on steps'!$B$1:$U$1,C$1)</f>
        <v>0</v>
      </c>
      <c r="D120" s="179">
        <f>SUMIFS('recurring2_based on steps'!$B120:$AY120,'recurring2_based on steps'!$B$1:$AY$1,D$1)+SUMIFS('changes2_based on steps'!$B120:$U120,'changes2_based on steps'!$B$1:$U$1,D$1)</f>
        <v>0</v>
      </c>
      <c r="E120" s="179">
        <f>SUMIFS('recurring2_based on steps'!$B120:$AY120,'recurring2_based on steps'!$B$1:$AY$1,E$1)+SUMIFS('changes2_based on steps'!$B120:$U120,'changes2_based on steps'!$B$1:$U$1,E$1)</f>
        <v>0</v>
      </c>
      <c r="F120" s="179">
        <f>SUMIFS('recurring2_based on steps'!$B120:$AY120,'recurring2_based on steps'!$B$1:$AY$1,F$1)+SUMIFS('changes2_based on steps'!$B120:$U120,'changes2_based on steps'!$B$1:$U$1,F$1)</f>
        <v>0</v>
      </c>
      <c r="G120" s="179">
        <f>SUMIFS('recurring2_based on steps'!$B120:$AY120,'recurring2_based on steps'!$B$1:$AY$1,G$1)+SUMIFS('changes2_based on steps'!$B120:$U120,'changes2_based on steps'!$B$1:$U$1,G$1)</f>
        <v>0</v>
      </c>
      <c r="H120" s="179">
        <f>SUMIFS('recurring2_based on steps'!$B120:$AY120,'recurring2_based on steps'!$B$1:$AY$1,H$1)+SUMIFS('changes2_based on steps'!$B120:$U120,'changes2_based on steps'!$B$1:$U$1,H$1)</f>
        <v>0</v>
      </c>
      <c r="I120" s="179">
        <f>SUMIFS('recurring2_based on steps'!$B120:$AY120,'recurring2_based on steps'!$B$1:$AY$1,I$1)+SUMIFS('changes2_based on steps'!$B120:$U120,'changes2_based on steps'!$B$1:$U$1,I$1)</f>
        <v>0</v>
      </c>
      <c r="J120" s="179">
        <f>SUMIFS('recurring2_based on steps'!$B120:$AY120,'recurring2_based on steps'!$B$1:$AY$1,J$1)+SUMIFS('changes2_based on steps'!$B120:$U120,'changes2_based on steps'!$B$1:$U$1,J$1)</f>
        <v>0</v>
      </c>
      <c r="K120" s="179">
        <f>SUMIFS('recurring2_based on steps'!$B120:$AY120,'recurring2_based on steps'!$B$1:$AY$1,K$1)+SUMIFS('changes2_based on steps'!$B120:$U120,'changes2_based on steps'!$B$1:$U$1,K$1)</f>
        <v>0</v>
      </c>
      <c r="L120" s="179">
        <f>SUMIFS('recurring2_based on steps'!$B120:$AY120,'recurring2_based on steps'!$B$1:$AY$1,L$1)+SUMIFS('changes2_based on steps'!$B120:$U120,'changes2_based on steps'!$B$1:$U$1,L$1)</f>
        <v>0</v>
      </c>
      <c r="M120" s="179">
        <f>SUMIFS('recurring2_based on steps'!$B120:$AY120,'recurring2_based on steps'!$B$1:$AY$1,M$1)+SUMIFS('changes2_based on steps'!$B120:$U120,'changes2_based on steps'!$B$1:$U$1,M$1)</f>
        <v>0</v>
      </c>
      <c r="N120" s="179">
        <f>SUMIFS('recurring2_based on steps'!$B120:$AY120,'recurring2_based on steps'!$B$1:$AY$1,N$1)+SUMIFS('changes2_based on steps'!$B120:$U120,'changes2_based on steps'!$B$1:$U$1,N$1)</f>
        <v>0</v>
      </c>
      <c r="O120" s="179">
        <f>SUMIFS('recurring2_based on steps'!$B120:$AY120,'recurring2_based on steps'!$B$1:$AY$1,O$1)+SUMIFS('changes2_based on steps'!$B120:$U120,'changes2_based on steps'!$B$1:$U$1,O$1)</f>
        <v>0</v>
      </c>
      <c r="P120" s="179">
        <f>SUMIFS('recurring2_based on steps'!$B120:$AY120,'recurring2_based on steps'!$B$1:$AY$1,P$1)+SUMIFS('changes2_based on steps'!$B120:$U120,'changes2_based on steps'!$B$1:$U$1,P$1)</f>
        <v>0</v>
      </c>
      <c r="Q120" s="179">
        <f>SUMIFS('recurring2_based on steps'!$B120:$AY120,'recurring2_based on steps'!$B$1:$AY$1,Q$1)+SUMIFS('changes2_based on steps'!$B120:$U120,'changes2_based on steps'!$B$1:$U$1,Q$1)</f>
        <v>0</v>
      </c>
      <c r="R120" s="179">
        <f>SUMIFS('recurring2_based on steps'!$B120:$AY120,'recurring2_based on steps'!$B$1:$AY$1,R$1)+SUMIFS('changes2_based on steps'!$B120:$U120,'changes2_based on steps'!$B$1:$U$1,R$1)</f>
        <v>0</v>
      </c>
      <c r="S120" s="179">
        <f>SUMIFS('recurring2_based on steps'!$B120:$AY120,'recurring2_based on steps'!$B$1:$AY$1,S$1)+SUMIFS('changes2_based on steps'!$B120:$U120,'changes2_based on steps'!$B$1:$U$1,S$1)</f>
        <v>0</v>
      </c>
      <c r="T120" s="179">
        <f>SUMIFS('recurring2_based on steps'!$B120:$AY120,'recurring2_based on steps'!$B$1:$AY$1,T$1)+SUMIFS('changes2_based on steps'!$B120:$U120,'changes2_based on steps'!$B$1:$U$1,T$1)</f>
        <v>0</v>
      </c>
      <c r="U120" s="179">
        <f>SUMIFS('recurring2_based on steps'!$B120:$AY120,'recurring2_based on steps'!$B$1:$AY$1,U$1)+SUMIFS('changes2_based on steps'!$B120:$U120,'changes2_based on steps'!$B$1:$U$1,U$1)</f>
        <v>0</v>
      </c>
      <c r="V120" s="179">
        <f>SUMIFS('recurring2_based on steps'!$B120:$AY120,'recurring2_based on steps'!$B$1:$AY$1,V$1)+SUMIFS('changes2_based on steps'!$B120:$U120,'changes2_based on steps'!$B$1:$U$1,V$1)</f>
        <v>0</v>
      </c>
      <c r="W120" s="179">
        <f>SUMIFS('recurring2_based on steps'!$B120:$AY120,'recurring2_based on steps'!$B$1:$AY$1,W$1)+SUMIFS('changes2_based on steps'!$B120:$U120,'changes2_based on steps'!$B$1:$U$1,W$1)</f>
        <v>0</v>
      </c>
      <c r="X120" s="179">
        <f>SUMIFS('recurring2_based on steps'!$B120:$AY120,'recurring2_based on steps'!$B$1:$AY$1,X$1)+SUMIFS('changes2_based on steps'!$B120:$U120,'changes2_based on steps'!$B$1:$U$1,X$1)</f>
        <v>0</v>
      </c>
      <c r="Y120" s="179">
        <f>SUMIFS('recurring2_based on steps'!$B120:$AY120,'recurring2_based on steps'!$B$1:$AY$1,Y$1)+SUMIFS('changes2_based on steps'!$B120:$U120,'changes2_based on steps'!$B$1:$U$1,Y$1)</f>
        <v>0</v>
      </c>
      <c r="Z120" s="179">
        <f>SUMIFS('recurring2_based on steps'!$B120:$AY120,'recurring2_based on steps'!$B$1:$AY$1,Z$1)+SUMIFS('changes2_based on steps'!$B120:$U120,'changes2_based on steps'!$B$1:$U$1,Z$1)</f>
        <v>0</v>
      </c>
      <c r="AA120" s="179">
        <f>SUMIFS('recurring2_based on steps'!$B120:$AY120,'recurring2_based on steps'!$B$1:$AY$1,AA$1)+SUMIFS('changes2_based on steps'!$B120:$U120,'changes2_based on steps'!$B$1:$U$1,AA$1)</f>
        <v>0</v>
      </c>
      <c r="AB120" s="179">
        <f>SUMIFS('recurring2_based on steps'!$B120:$AY120,'recurring2_based on steps'!$B$1:$AY$1,AB$1)+SUMIFS('changes2_based on steps'!$B120:$U120,'changes2_based on steps'!$B$1:$U$1,AB$1)</f>
        <v>0</v>
      </c>
      <c r="AC120" s="179">
        <f>SUMIFS('recurring2_based on steps'!$B120:$AY120,'recurring2_based on steps'!$B$1:$AY$1,AC$1)+SUMIFS('changes2_based on steps'!$B120:$U120,'changes2_based on steps'!$B$1:$U$1,AC$1)</f>
        <v>0</v>
      </c>
      <c r="AD120" s="179">
        <f>SUMIFS('recurring2_based on steps'!$B120:$AY120,'recurring2_based on steps'!$B$1:$AY$1,AD$1)+SUMIFS('changes2_based on steps'!$B120:$U120,'changes2_based on steps'!$B$1:$U$1,AD$1)</f>
        <v>0</v>
      </c>
      <c r="AE120" s="179">
        <f>SUMIFS('recurring2_based on steps'!$B120:$AY120,'recurring2_based on steps'!$B$1:$AY$1,AE$1)+SUMIFS('changes2_based on steps'!$B120:$U120,'changes2_based on steps'!$B$1:$U$1,AE$1)</f>
        <v>0</v>
      </c>
      <c r="AF120" s="179"/>
      <c r="AG120" s="179"/>
      <c r="AH120" s="179"/>
      <c r="AI120" s="179"/>
      <c r="AJ120" s="179"/>
      <c r="AK120" s="179"/>
      <c r="AL120" s="179"/>
      <c r="AM120" s="179"/>
    </row>
    <row r="121" spans="1:39" x14ac:dyDescent="0.2">
      <c r="A121" s="32">
        <f t="shared" ca="1" si="1"/>
        <v>45870</v>
      </c>
      <c r="B121" s="179">
        <f>SUMIFS('recurring2_based on steps'!$B121:$AY121,'recurring2_based on steps'!$B$1:$AY$1,B$1)+SUMIFS('changes2_based on steps'!$B121:$U121,'changes2_based on steps'!$B$1:$U$1,B$1)</f>
        <v>0</v>
      </c>
      <c r="C121" s="179">
        <f>SUMIFS('recurring2_based on steps'!$B121:$AY121,'recurring2_based on steps'!$B$1:$AY$1,C$1)+SUMIFS('changes2_based on steps'!$B121:$U121,'changes2_based on steps'!$B$1:$U$1,C$1)</f>
        <v>0</v>
      </c>
      <c r="D121" s="179">
        <f>SUMIFS('recurring2_based on steps'!$B121:$AY121,'recurring2_based on steps'!$B$1:$AY$1,D$1)+SUMIFS('changes2_based on steps'!$B121:$U121,'changes2_based on steps'!$B$1:$U$1,D$1)</f>
        <v>0</v>
      </c>
      <c r="E121" s="179">
        <f>SUMIFS('recurring2_based on steps'!$B121:$AY121,'recurring2_based on steps'!$B$1:$AY$1,E$1)+SUMIFS('changes2_based on steps'!$B121:$U121,'changes2_based on steps'!$B$1:$U$1,E$1)</f>
        <v>0</v>
      </c>
      <c r="F121" s="179">
        <f>SUMIFS('recurring2_based on steps'!$B121:$AY121,'recurring2_based on steps'!$B$1:$AY$1,F$1)+SUMIFS('changes2_based on steps'!$B121:$U121,'changes2_based on steps'!$B$1:$U$1,F$1)</f>
        <v>0</v>
      </c>
      <c r="G121" s="179">
        <f>SUMIFS('recurring2_based on steps'!$B121:$AY121,'recurring2_based on steps'!$B$1:$AY$1,G$1)+SUMIFS('changes2_based on steps'!$B121:$U121,'changes2_based on steps'!$B$1:$U$1,G$1)</f>
        <v>0</v>
      </c>
      <c r="H121" s="179">
        <f>SUMIFS('recurring2_based on steps'!$B121:$AY121,'recurring2_based on steps'!$B$1:$AY$1,H$1)+SUMIFS('changes2_based on steps'!$B121:$U121,'changes2_based on steps'!$B$1:$U$1,H$1)</f>
        <v>0</v>
      </c>
      <c r="I121" s="179">
        <f>SUMIFS('recurring2_based on steps'!$B121:$AY121,'recurring2_based on steps'!$B$1:$AY$1,I$1)+SUMIFS('changes2_based on steps'!$B121:$U121,'changes2_based on steps'!$B$1:$U$1,I$1)</f>
        <v>0</v>
      </c>
      <c r="J121" s="179">
        <f>SUMIFS('recurring2_based on steps'!$B121:$AY121,'recurring2_based on steps'!$B$1:$AY$1,J$1)+SUMIFS('changes2_based on steps'!$B121:$U121,'changes2_based on steps'!$B$1:$U$1,J$1)</f>
        <v>0</v>
      </c>
      <c r="K121" s="179">
        <f>SUMIFS('recurring2_based on steps'!$B121:$AY121,'recurring2_based on steps'!$B$1:$AY$1,K$1)+SUMIFS('changes2_based on steps'!$B121:$U121,'changes2_based on steps'!$B$1:$U$1,K$1)</f>
        <v>0</v>
      </c>
      <c r="L121" s="179">
        <f>SUMIFS('recurring2_based on steps'!$B121:$AY121,'recurring2_based on steps'!$B$1:$AY$1,L$1)+SUMIFS('changes2_based on steps'!$B121:$U121,'changes2_based on steps'!$B$1:$U$1,L$1)</f>
        <v>0</v>
      </c>
      <c r="M121" s="179">
        <f>SUMIFS('recurring2_based on steps'!$B121:$AY121,'recurring2_based on steps'!$B$1:$AY$1,M$1)+SUMIFS('changes2_based on steps'!$B121:$U121,'changes2_based on steps'!$B$1:$U$1,M$1)</f>
        <v>0</v>
      </c>
      <c r="N121" s="179">
        <f>SUMIFS('recurring2_based on steps'!$B121:$AY121,'recurring2_based on steps'!$B$1:$AY$1,N$1)+SUMIFS('changes2_based on steps'!$B121:$U121,'changes2_based on steps'!$B$1:$U$1,N$1)</f>
        <v>0</v>
      </c>
      <c r="O121" s="179">
        <f>SUMIFS('recurring2_based on steps'!$B121:$AY121,'recurring2_based on steps'!$B$1:$AY$1,O$1)+SUMIFS('changes2_based on steps'!$B121:$U121,'changes2_based on steps'!$B$1:$U$1,O$1)</f>
        <v>0</v>
      </c>
      <c r="P121" s="179">
        <f>SUMIFS('recurring2_based on steps'!$B121:$AY121,'recurring2_based on steps'!$B$1:$AY$1,P$1)+SUMIFS('changes2_based on steps'!$B121:$U121,'changes2_based on steps'!$B$1:$U$1,P$1)</f>
        <v>0</v>
      </c>
      <c r="Q121" s="179">
        <f>SUMIFS('recurring2_based on steps'!$B121:$AY121,'recurring2_based on steps'!$B$1:$AY$1,Q$1)+SUMIFS('changes2_based on steps'!$B121:$U121,'changes2_based on steps'!$B$1:$U$1,Q$1)</f>
        <v>0</v>
      </c>
      <c r="R121" s="179">
        <f>SUMIFS('recurring2_based on steps'!$B121:$AY121,'recurring2_based on steps'!$B$1:$AY$1,R$1)+SUMIFS('changes2_based on steps'!$B121:$U121,'changes2_based on steps'!$B$1:$U$1,R$1)</f>
        <v>0</v>
      </c>
      <c r="S121" s="179">
        <f>SUMIFS('recurring2_based on steps'!$B121:$AY121,'recurring2_based on steps'!$B$1:$AY$1,S$1)+SUMIFS('changes2_based on steps'!$B121:$U121,'changes2_based on steps'!$B$1:$U$1,S$1)</f>
        <v>0</v>
      </c>
      <c r="T121" s="179">
        <f>SUMIFS('recurring2_based on steps'!$B121:$AY121,'recurring2_based on steps'!$B$1:$AY$1,T$1)+SUMIFS('changes2_based on steps'!$B121:$U121,'changes2_based on steps'!$B$1:$U$1,T$1)</f>
        <v>0</v>
      </c>
      <c r="U121" s="179">
        <f>SUMIFS('recurring2_based on steps'!$B121:$AY121,'recurring2_based on steps'!$B$1:$AY$1,U$1)+SUMIFS('changes2_based on steps'!$B121:$U121,'changes2_based on steps'!$B$1:$U$1,U$1)</f>
        <v>0</v>
      </c>
      <c r="V121" s="179">
        <f>SUMIFS('recurring2_based on steps'!$B121:$AY121,'recurring2_based on steps'!$B$1:$AY$1,V$1)+SUMIFS('changes2_based on steps'!$B121:$U121,'changes2_based on steps'!$B$1:$U$1,V$1)</f>
        <v>0</v>
      </c>
      <c r="W121" s="179">
        <f>SUMIFS('recurring2_based on steps'!$B121:$AY121,'recurring2_based on steps'!$B$1:$AY$1,W$1)+SUMIFS('changes2_based on steps'!$B121:$U121,'changes2_based on steps'!$B$1:$U$1,W$1)</f>
        <v>0</v>
      </c>
      <c r="X121" s="179">
        <f>SUMIFS('recurring2_based on steps'!$B121:$AY121,'recurring2_based on steps'!$B$1:$AY$1,X$1)+SUMIFS('changes2_based on steps'!$B121:$U121,'changes2_based on steps'!$B$1:$U$1,X$1)</f>
        <v>0</v>
      </c>
      <c r="Y121" s="179">
        <f>SUMIFS('recurring2_based on steps'!$B121:$AY121,'recurring2_based on steps'!$B$1:$AY$1,Y$1)+SUMIFS('changes2_based on steps'!$B121:$U121,'changes2_based on steps'!$B$1:$U$1,Y$1)</f>
        <v>0</v>
      </c>
      <c r="Z121" s="179">
        <f>SUMIFS('recurring2_based on steps'!$B121:$AY121,'recurring2_based on steps'!$B$1:$AY$1,Z$1)+SUMIFS('changes2_based on steps'!$B121:$U121,'changes2_based on steps'!$B$1:$U$1,Z$1)</f>
        <v>0</v>
      </c>
      <c r="AA121" s="179">
        <f>SUMIFS('recurring2_based on steps'!$B121:$AY121,'recurring2_based on steps'!$B$1:$AY$1,AA$1)+SUMIFS('changes2_based on steps'!$B121:$U121,'changes2_based on steps'!$B$1:$U$1,AA$1)</f>
        <v>0</v>
      </c>
      <c r="AB121" s="179">
        <f>SUMIFS('recurring2_based on steps'!$B121:$AY121,'recurring2_based on steps'!$B$1:$AY$1,AB$1)+SUMIFS('changes2_based on steps'!$B121:$U121,'changes2_based on steps'!$B$1:$U$1,AB$1)</f>
        <v>0</v>
      </c>
      <c r="AC121" s="179">
        <f>SUMIFS('recurring2_based on steps'!$B121:$AY121,'recurring2_based on steps'!$B$1:$AY$1,AC$1)+SUMIFS('changes2_based on steps'!$B121:$U121,'changes2_based on steps'!$B$1:$U$1,AC$1)</f>
        <v>0</v>
      </c>
      <c r="AD121" s="179">
        <f>SUMIFS('recurring2_based on steps'!$B121:$AY121,'recurring2_based on steps'!$B$1:$AY$1,AD$1)+SUMIFS('changes2_based on steps'!$B121:$U121,'changes2_based on steps'!$B$1:$U$1,AD$1)</f>
        <v>0</v>
      </c>
      <c r="AE121" s="179">
        <f>SUMIFS('recurring2_based on steps'!$B121:$AY121,'recurring2_based on steps'!$B$1:$AY$1,AE$1)+SUMIFS('changes2_based on steps'!$B121:$U121,'changes2_based on steps'!$B$1:$U$1,AE$1)</f>
        <v>0</v>
      </c>
      <c r="AF121" s="179"/>
      <c r="AG121" s="179"/>
      <c r="AH121" s="179"/>
      <c r="AI121" s="179"/>
      <c r="AJ121" s="179"/>
      <c r="AK121" s="179"/>
      <c r="AL121" s="179"/>
      <c r="AM121" s="179"/>
    </row>
    <row r="122" spans="1:39" x14ac:dyDescent="0.2">
      <c r="A122" s="32">
        <f t="shared" ca="1" si="1"/>
        <v>45871</v>
      </c>
      <c r="B122" s="179">
        <f>SUMIFS('recurring2_based on steps'!$B122:$AY122,'recurring2_based on steps'!$B$1:$AY$1,B$1)+SUMIFS('changes2_based on steps'!$B122:$U122,'changes2_based on steps'!$B$1:$U$1,B$1)</f>
        <v>0</v>
      </c>
      <c r="C122" s="179">
        <f>SUMIFS('recurring2_based on steps'!$B122:$AY122,'recurring2_based on steps'!$B$1:$AY$1,C$1)+SUMIFS('changes2_based on steps'!$B122:$U122,'changes2_based on steps'!$B$1:$U$1,C$1)</f>
        <v>0</v>
      </c>
      <c r="D122" s="179">
        <f>SUMIFS('recurring2_based on steps'!$B122:$AY122,'recurring2_based on steps'!$B$1:$AY$1,D$1)+SUMIFS('changes2_based on steps'!$B122:$U122,'changes2_based on steps'!$B$1:$U$1,D$1)</f>
        <v>0</v>
      </c>
      <c r="E122" s="179">
        <f>SUMIFS('recurring2_based on steps'!$B122:$AY122,'recurring2_based on steps'!$B$1:$AY$1,E$1)+SUMIFS('changes2_based on steps'!$B122:$U122,'changes2_based on steps'!$B$1:$U$1,E$1)</f>
        <v>0</v>
      </c>
      <c r="F122" s="179">
        <f>SUMIFS('recurring2_based on steps'!$B122:$AY122,'recurring2_based on steps'!$B$1:$AY$1,F$1)+SUMIFS('changes2_based on steps'!$B122:$U122,'changes2_based on steps'!$B$1:$U$1,F$1)</f>
        <v>0</v>
      </c>
      <c r="G122" s="179">
        <f>SUMIFS('recurring2_based on steps'!$B122:$AY122,'recurring2_based on steps'!$B$1:$AY$1,G$1)+SUMIFS('changes2_based on steps'!$B122:$U122,'changes2_based on steps'!$B$1:$U$1,G$1)</f>
        <v>0</v>
      </c>
      <c r="H122" s="179">
        <f>SUMIFS('recurring2_based on steps'!$B122:$AY122,'recurring2_based on steps'!$B$1:$AY$1,H$1)+SUMIFS('changes2_based on steps'!$B122:$U122,'changes2_based on steps'!$B$1:$U$1,H$1)</f>
        <v>0</v>
      </c>
      <c r="I122" s="179">
        <f>SUMIFS('recurring2_based on steps'!$B122:$AY122,'recurring2_based on steps'!$B$1:$AY$1,I$1)+SUMIFS('changes2_based on steps'!$B122:$U122,'changes2_based on steps'!$B$1:$U$1,I$1)</f>
        <v>0</v>
      </c>
      <c r="J122" s="179">
        <f>SUMIFS('recurring2_based on steps'!$B122:$AY122,'recurring2_based on steps'!$B$1:$AY$1,J$1)+SUMIFS('changes2_based on steps'!$B122:$U122,'changes2_based on steps'!$B$1:$U$1,J$1)</f>
        <v>0</v>
      </c>
      <c r="K122" s="179">
        <f>SUMIFS('recurring2_based on steps'!$B122:$AY122,'recurring2_based on steps'!$B$1:$AY$1,K$1)+SUMIFS('changes2_based on steps'!$B122:$U122,'changes2_based on steps'!$B$1:$U$1,K$1)</f>
        <v>0</v>
      </c>
      <c r="L122" s="179">
        <f>SUMIFS('recurring2_based on steps'!$B122:$AY122,'recurring2_based on steps'!$B$1:$AY$1,L$1)+SUMIFS('changes2_based on steps'!$B122:$U122,'changes2_based on steps'!$B$1:$U$1,L$1)</f>
        <v>0</v>
      </c>
      <c r="M122" s="179">
        <f>SUMIFS('recurring2_based on steps'!$B122:$AY122,'recurring2_based on steps'!$B$1:$AY$1,M$1)+SUMIFS('changes2_based on steps'!$B122:$U122,'changes2_based on steps'!$B$1:$U$1,M$1)</f>
        <v>0</v>
      </c>
      <c r="N122" s="179">
        <f>SUMIFS('recurring2_based on steps'!$B122:$AY122,'recurring2_based on steps'!$B$1:$AY$1,N$1)+SUMIFS('changes2_based on steps'!$B122:$U122,'changes2_based on steps'!$B$1:$U$1,N$1)</f>
        <v>0</v>
      </c>
      <c r="O122" s="179">
        <f>SUMIFS('recurring2_based on steps'!$B122:$AY122,'recurring2_based on steps'!$B$1:$AY$1,O$1)+SUMIFS('changes2_based on steps'!$B122:$U122,'changes2_based on steps'!$B$1:$U$1,O$1)</f>
        <v>0</v>
      </c>
      <c r="P122" s="179">
        <f>SUMIFS('recurring2_based on steps'!$B122:$AY122,'recurring2_based on steps'!$B$1:$AY$1,P$1)+SUMIFS('changes2_based on steps'!$B122:$U122,'changes2_based on steps'!$B$1:$U$1,P$1)</f>
        <v>0</v>
      </c>
      <c r="Q122" s="179">
        <f>SUMIFS('recurring2_based on steps'!$B122:$AY122,'recurring2_based on steps'!$B$1:$AY$1,Q$1)+SUMIFS('changes2_based on steps'!$B122:$U122,'changes2_based on steps'!$B$1:$U$1,Q$1)</f>
        <v>0</v>
      </c>
      <c r="R122" s="179">
        <f>SUMIFS('recurring2_based on steps'!$B122:$AY122,'recurring2_based on steps'!$B$1:$AY$1,R$1)+SUMIFS('changes2_based on steps'!$B122:$U122,'changes2_based on steps'!$B$1:$U$1,R$1)</f>
        <v>0</v>
      </c>
      <c r="S122" s="179">
        <f>SUMIFS('recurring2_based on steps'!$B122:$AY122,'recurring2_based on steps'!$B$1:$AY$1,S$1)+SUMIFS('changes2_based on steps'!$B122:$U122,'changes2_based on steps'!$B$1:$U$1,S$1)</f>
        <v>0</v>
      </c>
      <c r="T122" s="179">
        <f>SUMIFS('recurring2_based on steps'!$B122:$AY122,'recurring2_based on steps'!$B$1:$AY$1,T$1)+SUMIFS('changes2_based on steps'!$B122:$U122,'changes2_based on steps'!$B$1:$U$1,T$1)</f>
        <v>0</v>
      </c>
      <c r="U122" s="179">
        <f>SUMIFS('recurring2_based on steps'!$B122:$AY122,'recurring2_based on steps'!$B$1:$AY$1,U$1)+SUMIFS('changes2_based on steps'!$B122:$U122,'changes2_based on steps'!$B$1:$U$1,U$1)</f>
        <v>0</v>
      </c>
      <c r="V122" s="179">
        <f>SUMIFS('recurring2_based on steps'!$B122:$AY122,'recurring2_based on steps'!$B$1:$AY$1,V$1)+SUMIFS('changes2_based on steps'!$B122:$U122,'changes2_based on steps'!$B$1:$U$1,V$1)</f>
        <v>0</v>
      </c>
      <c r="W122" s="179">
        <f>SUMIFS('recurring2_based on steps'!$B122:$AY122,'recurring2_based on steps'!$B$1:$AY$1,W$1)+SUMIFS('changes2_based on steps'!$B122:$U122,'changes2_based on steps'!$B$1:$U$1,W$1)</f>
        <v>0</v>
      </c>
      <c r="X122" s="179">
        <f>SUMIFS('recurring2_based on steps'!$B122:$AY122,'recurring2_based on steps'!$B$1:$AY$1,X$1)+SUMIFS('changes2_based on steps'!$B122:$U122,'changes2_based on steps'!$B$1:$U$1,X$1)</f>
        <v>0</v>
      </c>
      <c r="Y122" s="179">
        <f>SUMIFS('recurring2_based on steps'!$B122:$AY122,'recurring2_based on steps'!$B$1:$AY$1,Y$1)+SUMIFS('changes2_based on steps'!$B122:$U122,'changes2_based on steps'!$B$1:$U$1,Y$1)</f>
        <v>0</v>
      </c>
      <c r="Z122" s="179">
        <f>SUMIFS('recurring2_based on steps'!$B122:$AY122,'recurring2_based on steps'!$B$1:$AY$1,Z$1)+SUMIFS('changes2_based on steps'!$B122:$U122,'changes2_based on steps'!$B$1:$U$1,Z$1)</f>
        <v>0</v>
      </c>
      <c r="AA122" s="179">
        <f>SUMIFS('recurring2_based on steps'!$B122:$AY122,'recurring2_based on steps'!$B$1:$AY$1,AA$1)+SUMIFS('changes2_based on steps'!$B122:$U122,'changes2_based on steps'!$B$1:$U$1,AA$1)</f>
        <v>0</v>
      </c>
      <c r="AB122" s="179">
        <f>SUMIFS('recurring2_based on steps'!$B122:$AY122,'recurring2_based on steps'!$B$1:$AY$1,AB$1)+SUMIFS('changes2_based on steps'!$B122:$U122,'changes2_based on steps'!$B$1:$U$1,AB$1)</f>
        <v>0</v>
      </c>
      <c r="AC122" s="179">
        <f>SUMIFS('recurring2_based on steps'!$B122:$AY122,'recurring2_based on steps'!$B$1:$AY$1,AC$1)+SUMIFS('changes2_based on steps'!$B122:$U122,'changes2_based on steps'!$B$1:$U$1,AC$1)</f>
        <v>0</v>
      </c>
      <c r="AD122" s="179">
        <f>SUMIFS('recurring2_based on steps'!$B122:$AY122,'recurring2_based on steps'!$B$1:$AY$1,AD$1)+SUMIFS('changes2_based on steps'!$B122:$U122,'changes2_based on steps'!$B$1:$U$1,AD$1)</f>
        <v>0</v>
      </c>
      <c r="AE122" s="179">
        <f>SUMIFS('recurring2_based on steps'!$B122:$AY122,'recurring2_based on steps'!$B$1:$AY$1,AE$1)+SUMIFS('changes2_based on steps'!$B122:$U122,'changes2_based on steps'!$B$1:$U$1,AE$1)</f>
        <v>0</v>
      </c>
      <c r="AF122" s="179"/>
      <c r="AG122" s="179"/>
      <c r="AH122" s="179"/>
      <c r="AI122" s="179"/>
      <c r="AJ122" s="179"/>
      <c r="AK122" s="179"/>
      <c r="AL122" s="179"/>
      <c r="AM122" s="179"/>
    </row>
    <row r="123" spans="1:39" x14ac:dyDescent="0.2">
      <c r="A123" s="32">
        <f t="shared" ca="1" si="1"/>
        <v>45872</v>
      </c>
      <c r="B123" s="179">
        <f>SUMIFS('recurring2_based on steps'!$B123:$AY123,'recurring2_based on steps'!$B$1:$AY$1,B$1)+SUMIFS('changes2_based on steps'!$B123:$U123,'changes2_based on steps'!$B$1:$U$1,B$1)</f>
        <v>0</v>
      </c>
      <c r="C123" s="179">
        <f>SUMIFS('recurring2_based on steps'!$B123:$AY123,'recurring2_based on steps'!$B$1:$AY$1,C$1)+SUMIFS('changes2_based on steps'!$B123:$U123,'changes2_based on steps'!$B$1:$U$1,C$1)</f>
        <v>0</v>
      </c>
      <c r="D123" s="179">
        <f>SUMIFS('recurring2_based on steps'!$B123:$AY123,'recurring2_based on steps'!$B$1:$AY$1,D$1)+SUMIFS('changes2_based on steps'!$B123:$U123,'changes2_based on steps'!$B$1:$U$1,D$1)</f>
        <v>0</v>
      </c>
      <c r="E123" s="179">
        <f>SUMIFS('recurring2_based on steps'!$B123:$AY123,'recurring2_based on steps'!$B$1:$AY$1,E$1)+SUMIFS('changes2_based on steps'!$B123:$U123,'changes2_based on steps'!$B$1:$U$1,E$1)</f>
        <v>0</v>
      </c>
      <c r="F123" s="179">
        <f>SUMIFS('recurring2_based on steps'!$B123:$AY123,'recurring2_based on steps'!$B$1:$AY$1,F$1)+SUMIFS('changes2_based on steps'!$B123:$U123,'changes2_based on steps'!$B$1:$U$1,F$1)</f>
        <v>0</v>
      </c>
      <c r="G123" s="179">
        <f>SUMIFS('recurring2_based on steps'!$B123:$AY123,'recurring2_based on steps'!$B$1:$AY$1,G$1)+SUMIFS('changes2_based on steps'!$B123:$U123,'changes2_based on steps'!$B$1:$U$1,G$1)</f>
        <v>0</v>
      </c>
      <c r="H123" s="179">
        <f>SUMIFS('recurring2_based on steps'!$B123:$AY123,'recurring2_based on steps'!$B$1:$AY$1,H$1)+SUMIFS('changes2_based on steps'!$B123:$U123,'changes2_based on steps'!$B$1:$U$1,H$1)</f>
        <v>0</v>
      </c>
      <c r="I123" s="179">
        <f>SUMIFS('recurring2_based on steps'!$B123:$AY123,'recurring2_based on steps'!$B$1:$AY$1,I$1)+SUMIFS('changes2_based on steps'!$B123:$U123,'changes2_based on steps'!$B$1:$U$1,I$1)</f>
        <v>0</v>
      </c>
      <c r="J123" s="179">
        <f>SUMIFS('recurring2_based on steps'!$B123:$AY123,'recurring2_based on steps'!$B$1:$AY$1,J$1)+SUMIFS('changes2_based on steps'!$B123:$U123,'changes2_based on steps'!$B$1:$U$1,J$1)</f>
        <v>0</v>
      </c>
      <c r="K123" s="179">
        <f>SUMIFS('recurring2_based on steps'!$B123:$AY123,'recurring2_based on steps'!$B$1:$AY$1,K$1)+SUMIFS('changes2_based on steps'!$B123:$U123,'changes2_based on steps'!$B$1:$U$1,K$1)</f>
        <v>0</v>
      </c>
      <c r="L123" s="179">
        <f>SUMIFS('recurring2_based on steps'!$B123:$AY123,'recurring2_based on steps'!$B$1:$AY$1,L$1)+SUMIFS('changes2_based on steps'!$B123:$U123,'changes2_based on steps'!$B$1:$U$1,L$1)</f>
        <v>0</v>
      </c>
      <c r="M123" s="179">
        <f>SUMIFS('recurring2_based on steps'!$B123:$AY123,'recurring2_based on steps'!$B$1:$AY$1,M$1)+SUMIFS('changes2_based on steps'!$B123:$U123,'changes2_based on steps'!$B$1:$U$1,M$1)</f>
        <v>0</v>
      </c>
      <c r="N123" s="179">
        <f>SUMIFS('recurring2_based on steps'!$B123:$AY123,'recurring2_based on steps'!$B$1:$AY$1,N$1)+SUMIFS('changes2_based on steps'!$B123:$U123,'changes2_based on steps'!$B$1:$U$1,N$1)</f>
        <v>0</v>
      </c>
      <c r="O123" s="179">
        <f>SUMIFS('recurring2_based on steps'!$B123:$AY123,'recurring2_based on steps'!$B$1:$AY$1,O$1)+SUMIFS('changes2_based on steps'!$B123:$U123,'changes2_based on steps'!$B$1:$U$1,O$1)</f>
        <v>0</v>
      </c>
      <c r="P123" s="179">
        <f>SUMIFS('recurring2_based on steps'!$B123:$AY123,'recurring2_based on steps'!$B$1:$AY$1,P$1)+SUMIFS('changes2_based on steps'!$B123:$U123,'changes2_based on steps'!$B$1:$U$1,P$1)</f>
        <v>0</v>
      </c>
      <c r="Q123" s="179">
        <f>SUMIFS('recurring2_based on steps'!$B123:$AY123,'recurring2_based on steps'!$B$1:$AY$1,Q$1)+SUMIFS('changes2_based on steps'!$B123:$U123,'changes2_based on steps'!$B$1:$U$1,Q$1)</f>
        <v>0</v>
      </c>
      <c r="R123" s="179">
        <f>SUMIFS('recurring2_based on steps'!$B123:$AY123,'recurring2_based on steps'!$B$1:$AY$1,R$1)+SUMIFS('changes2_based on steps'!$B123:$U123,'changes2_based on steps'!$B$1:$U$1,R$1)</f>
        <v>0</v>
      </c>
      <c r="S123" s="179">
        <f>SUMIFS('recurring2_based on steps'!$B123:$AY123,'recurring2_based on steps'!$B$1:$AY$1,S$1)+SUMIFS('changes2_based on steps'!$B123:$U123,'changes2_based on steps'!$B$1:$U$1,S$1)</f>
        <v>0</v>
      </c>
      <c r="T123" s="179">
        <f>SUMIFS('recurring2_based on steps'!$B123:$AY123,'recurring2_based on steps'!$B$1:$AY$1,T$1)+SUMIFS('changes2_based on steps'!$B123:$U123,'changes2_based on steps'!$B$1:$U$1,T$1)</f>
        <v>0</v>
      </c>
      <c r="U123" s="179">
        <f>SUMIFS('recurring2_based on steps'!$B123:$AY123,'recurring2_based on steps'!$B$1:$AY$1,U$1)+SUMIFS('changes2_based on steps'!$B123:$U123,'changes2_based on steps'!$B$1:$U$1,U$1)</f>
        <v>0</v>
      </c>
      <c r="V123" s="179">
        <f>SUMIFS('recurring2_based on steps'!$B123:$AY123,'recurring2_based on steps'!$B$1:$AY$1,V$1)+SUMIFS('changes2_based on steps'!$B123:$U123,'changes2_based on steps'!$B$1:$U$1,V$1)</f>
        <v>0</v>
      </c>
      <c r="W123" s="179">
        <f>SUMIFS('recurring2_based on steps'!$B123:$AY123,'recurring2_based on steps'!$B$1:$AY$1,W$1)+SUMIFS('changes2_based on steps'!$B123:$U123,'changes2_based on steps'!$B$1:$U$1,W$1)</f>
        <v>0</v>
      </c>
      <c r="X123" s="179">
        <f>SUMIFS('recurring2_based on steps'!$B123:$AY123,'recurring2_based on steps'!$B$1:$AY$1,X$1)+SUMIFS('changes2_based on steps'!$B123:$U123,'changes2_based on steps'!$B$1:$U$1,X$1)</f>
        <v>0</v>
      </c>
      <c r="Y123" s="179">
        <f>SUMIFS('recurring2_based on steps'!$B123:$AY123,'recurring2_based on steps'!$B$1:$AY$1,Y$1)+SUMIFS('changes2_based on steps'!$B123:$U123,'changes2_based on steps'!$B$1:$U$1,Y$1)</f>
        <v>0</v>
      </c>
      <c r="Z123" s="179">
        <f>SUMIFS('recurring2_based on steps'!$B123:$AY123,'recurring2_based on steps'!$B$1:$AY$1,Z$1)+SUMIFS('changes2_based on steps'!$B123:$U123,'changes2_based on steps'!$B$1:$U$1,Z$1)</f>
        <v>0</v>
      </c>
      <c r="AA123" s="179">
        <f>SUMIFS('recurring2_based on steps'!$B123:$AY123,'recurring2_based on steps'!$B$1:$AY$1,AA$1)+SUMIFS('changes2_based on steps'!$B123:$U123,'changes2_based on steps'!$B$1:$U$1,AA$1)</f>
        <v>0</v>
      </c>
      <c r="AB123" s="179">
        <f>SUMIFS('recurring2_based on steps'!$B123:$AY123,'recurring2_based on steps'!$B$1:$AY$1,AB$1)+SUMIFS('changes2_based on steps'!$B123:$U123,'changes2_based on steps'!$B$1:$U$1,AB$1)</f>
        <v>0</v>
      </c>
      <c r="AC123" s="179">
        <f>SUMIFS('recurring2_based on steps'!$B123:$AY123,'recurring2_based on steps'!$B$1:$AY$1,AC$1)+SUMIFS('changes2_based on steps'!$B123:$U123,'changes2_based on steps'!$B$1:$U$1,AC$1)</f>
        <v>0</v>
      </c>
      <c r="AD123" s="179">
        <f>SUMIFS('recurring2_based on steps'!$B123:$AY123,'recurring2_based on steps'!$B$1:$AY$1,AD$1)+SUMIFS('changes2_based on steps'!$B123:$U123,'changes2_based on steps'!$B$1:$U$1,AD$1)</f>
        <v>0</v>
      </c>
      <c r="AE123" s="179">
        <f>SUMIFS('recurring2_based on steps'!$B123:$AY123,'recurring2_based on steps'!$B$1:$AY$1,AE$1)+SUMIFS('changes2_based on steps'!$B123:$U123,'changes2_based on steps'!$B$1:$U$1,AE$1)</f>
        <v>0</v>
      </c>
      <c r="AF123" s="179"/>
      <c r="AG123" s="179"/>
      <c r="AH123" s="179"/>
      <c r="AI123" s="179"/>
      <c r="AJ123" s="179"/>
      <c r="AK123" s="179"/>
      <c r="AL123" s="179"/>
      <c r="AM123" s="179"/>
    </row>
    <row r="124" spans="1:39" x14ac:dyDescent="0.2">
      <c r="A124" s="32">
        <f t="shared" ca="1" si="1"/>
        <v>45873</v>
      </c>
      <c r="B124" s="179">
        <f>SUMIFS('recurring2_based on steps'!$B124:$AY124,'recurring2_based on steps'!$B$1:$AY$1,B$1)+SUMIFS('changes2_based on steps'!$B124:$U124,'changes2_based on steps'!$B$1:$U$1,B$1)</f>
        <v>0</v>
      </c>
      <c r="C124" s="179">
        <f>SUMIFS('recurring2_based on steps'!$B124:$AY124,'recurring2_based on steps'!$B$1:$AY$1,C$1)+SUMIFS('changes2_based on steps'!$B124:$U124,'changes2_based on steps'!$B$1:$U$1,C$1)</f>
        <v>0</v>
      </c>
      <c r="D124" s="179">
        <f>SUMIFS('recurring2_based on steps'!$B124:$AY124,'recurring2_based on steps'!$B$1:$AY$1,D$1)+SUMIFS('changes2_based on steps'!$B124:$U124,'changes2_based on steps'!$B$1:$U$1,D$1)</f>
        <v>0</v>
      </c>
      <c r="E124" s="179">
        <f>SUMIFS('recurring2_based on steps'!$B124:$AY124,'recurring2_based on steps'!$B$1:$AY$1,E$1)+SUMIFS('changes2_based on steps'!$B124:$U124,'changes2_based on steps'!$B$1:$U$1,E$1)</f>
        <v>0</v>
      </c>
      <c r="F124" s="179">
        <f>SUMIFS('recurring2_based on steps'!$B124:$AY124,'recurring2_based on steps'!$B$1:$AY$1,F$1)+SUMIFS('changes2_based on steps'!$B124:$U124,'changes2_based on steps'!$B$1:$U$1,F$1)</f>
        <v>0</v>
      </c>
      <c r="G124" s="179">
        <f>SUMIFS('recurring2_based on steps'!$B124:$AY124,'recurring2_based on steps'!$B$1:$AY$1,G$1)+SUMIFS('changes2_based on steps'!$B124:$U124,'changes2_based on steps'!$B$1:$U$1,G$1)</f>
        <v>0</v>
      </c>
      <c r="H124" s="179">
        <f>SUMIFS('recurring2_based on steps'!$B124:$AY124,'recurring2_based on steps'!$B$1:$AY$1,H$1)+SUMIFS('changes2_based on steps'!$B124:$U124,'changes2_based on steps'!$B$1:$U$1,H$1)</f>
        <v>0</v>
      </c>
      <c r="I124" s="179">
        <f>SUMIFS('recurring2_based on steps'!$B124:$AY124,'recurring2_based on steps'!$B$1:$AY$1,I$1)+SUMIFS('changes2_based on steps'!$B124:$U124,'changes2_based on steps'!$B$1:$U$1,I$1)</f>
        <v>0</v>
      </c>
      <c r="J124" s="179">
        <f>SUMIFS('recurring2_based on steps'!$B124:$AY124,'recurring2_based on steps'!$B$1:$AY$1,J$1)+SUMIFS('changes2_based on steps'!$B124:$U124,'changes2_based on steps'!$B$1:$U$1,J$1)</f>
        <v>0</v>
      </c>
      <c r="K124" s="179">
        <f>SUMIFS('recurring2_based on steps'!$B124:$AY124,'recurring2_based on steps'!$B$1:$AY$1,K$1)+SUMIFS('changes2_based on steps'!$B124:$U124,'changes2_based on steps'!$B$1:$U$1,K$1)</f>
        <v>0</v>
      </c>
      <c r="L124" s="179">
        <f>SUMIFS('recurring2_based on steps'!$B124:$AY124,'recurring2_based on steps'!$B$1:$AY$1,L$1)+SUMIFS('changes2_based on steps'!$B124:$U124,'changes2_based on steps'!$B$1:$U$1,L$1)</f>
        <v>0</v>
      </c>
      <c r="M124" s="179">
        <f>SUMIFS('recurring2_based on steps'!$B124:$AY124,'recurring2_based on steps'!$B$1:$AY$1,M$1)+SUMIFS('changes2_based on steps'!$B124:$U124,'changes2_based on steps'!$B$1:$U$1,M$1)</f>
        <v>0</v>
      </c>
      <c r="N124" s="179">
        <f>SUMIFS('recurring2_based on steps'!$B124:$AY124,'recurring2_based on steps'!$B$1:$AY$1,N$1)+SUMIFS('changes2_based on steps'!$B124:$U124,'changes2_based on steps'!$B$1:$U$1,N$1)</f>
        <v>0</v>
      </c>
      <c r="O124" s="179">
        <f>SUMIFS('recurring2_based on steps'!$B124:$AY124,'recurring2_based on steps'!$B$1:$AY$1,O$1)+SUMIFS('changes2_based on steps'!$B124:$U124,'changes2_based on steps'!$B$1:$U$1,O$1)</f>
        <v>0</v>
      </c>
      <c r="P124" s="179">
        <f>SUMIFS('recurring2_based on steps'!$B124:$AY124,'recurring2_based on steps'!$B$1:$AY$1,P$1)+SUMIFS('changes2_based on steps'!$B124:$U124,'changes2_based on steps'!$B$1:$U$1,P$1)</f>
        <v>0</v>
      </c>
      <c r="Q124" s="179">
        <f>SUMIFS('recurring2_based on steps'!$B124:$AY124,'recurring2_based on steps'!$B$1:$AY$1,Q$1)+SUMIFS('changes2_based on steps'!$B124:$U124,'changes2_based on steps'!$B$1:$U$1,Q$1)</f>
        <v>0</v>
      </c>
      <c r="R124" s="179">
        <f>SUMIFS('recurring2_based on steps'!$B124:$AY124,'recurring2_based on steps'!$B$1:$AY$1,R$1)+SUMIFS('changes2_based on steps'!$B124:$U124,'changes2_based on steps'!$B$1:$U$1,R$1)</f>
        <v>0</v>
      </c>
      <c r="S124" s="179">
        <f>SUMIFS('recurring2_based on steps'!$B124:$AY124,'recurring2_based on steps'!$B$1:$AY$1,S$1)+SUMIFS('changes2_based on steps'!$B124:$U124,'changes2_based on steps'!$B$1:$U$1,S$1)</f>
        <v>0</v>
      </c>
      <c r="T124" s="179">
        <f>SUMIFS('recurring2_based on steps'!$B124:$AY124,'recurring2_based on steps'!$B$1:$AY$1,T$1)+SUMIFS('changes2_based on steps'!$B124:$U124,'changes2_based on steps'!$B$1:$U$1,T$1)</f>
        <v>0</v>
      </c>
      <c r="U124" s="179">
        <f>SUMIFS('recurring2_based on steps'!$B124:$AY124,'recurring2_based on steps'!$B$1:$AY$1,U$1)+SUMIFS('changes2_based on steps'!$B124:$U124,'changes2_based on steps'!$B$1:$U$1,U$1)</f>
        <v>0</v>
      </c>
      <c r="V124" s="179">
        <f>SUMIFS('recurring2_based on steps'!$B124:$AY124,'recurring2_based on steps'!$B$1:$AY$1,V$1)+SUMIFS('changes2_based on steps'!$B124:$U124,'changes2_based on steps'!$B$1:$U$1,V$1)</f>
        <v>0</v>
      </c>
      <c r="W124" s="179">
        <f>SUMIFS('recurring2_based on steps'!$B124:$AY124,'recurring2_based on steps'!$B$1:$AY$1,W$1)+SUMIFS('changes2_based on steps'!$B124:$U124,'changes2_based on steps'!$B$1:$U$1,W$1)</f>
        <v>0</v>
      </c>
      <c r="X124" s="179">
        <f>SUMIFS('recurring2_based on steps'!$B124:$AY124,'recurring2_based on steps'!$B$1:$AY$1,X$1)+SUMIFS('changes2_based on steps'!$B124:$U124,'changes2_based on steps'!$B$1:$U$1,X$1)</f>
        <v>0</v>
      </c>
      <c r="Y124" s="179">
        <f>SUMIFS('recurring2_based on steps'!$B124:$AY124,'recurring2_based on steps'!$B$1:$AY$1,Y$1)+SUMIFS('changes2_based on steps'!$B124:$U124,'changes2_based on steps'!$B$1:$U$1,Y$1)</f>
        <v>0</v>
      </c>
      <c r="Z124" s="179">
        <f>SUMIFS('recurring2_based on steps'!$B124:$AY124,'recurring2_based on steps'!$B$1:$AY$1,Z$1)+SUMIFS('changes2_based on steps'!$B124:$U124,'changes2_based on steps'!$B$1:$U$1,Z$1)</f>
        <v>0</v>
      </c>
      <c r="AA124" s="179">
        <f>SUMIFS('recurring2_based on steps'!$B124:$AY124,'recurring2_based on steps'!$B$1:$AY$1,AA$1)+SUMIFS('changes2_based on steps'!$B124:$U124,'changes2_based on steps'!$B$1:$U$1,AA$1)</f>
        <v>0</v>
      </c>
      <c r="AB124" s="179">
        <f>SUMIFS('recurring2_based on steps'!$B124:$AY124,'recurring2_based on steps'!$B$1:$AY$1,AB$1)+SUMIFS('changes2_based on steps'!$B124:$U124,'changes2_based on steps'!$B$1:$U$1,AB$1)</f>
        <v>0</v>
      </c>
      <c r="AC124" s="179">
        <f>SUMIFS('recurring2_based on steps'!$B124:$AY124,'recurring2_based on steps'!$B$1:$AY$1,AC$1)+SUMIFS('changes2_based on steps'!$B124:$U124,'changes2_based on steps'!$B$1:$U$1,AC$1)</f>
        <v>0</v>
      </c>
      <c r="AD124" s="179">
        <f>SUMIFS('recurring2_based on steps'!$B124:$AY124,'recurring2_based on steps'!$B$1:$AY$1,AD$1)+SUMIFS('changes2_based on steps'!$B124:$U124,'changes2_based on steps'!$B$1:$U$1,AD$1)</f>
        <v>0</v>
      </c>
      <c r="AE124" s="179">
        <f>SUMIFS('recurring2_based on steps'!$B124:$AY124,'recurring2_based on steps'!$B$1:$AY$1,AE$1)+SUMIFS('changes2_based on steps'!$B124:$U124,'changes2_based on steps'!$B$1:$U$1,AE$1)</f>
        <v>0</v>
      </c>
      <c r="AF124" s="179"/>
      <c r="AG124" s="179"/>
      <c r="AH124" s="179"/>
      <c r="AI124" s="179"/>
      <c r="AJ124" s="179"/>
      <c r="AK124" s="179"/>
      <c r="AL124" s="179"/>
      <c r="AM124" s="179"/>
    </row>
    <row r="125" spans="1:39" x14ac:dyDescent="0.2">
      <c r="A125" s="32">
        <f t="shared" ca="1" si="1"/>
        <v>45874</v>
      </c>
      <c r="B125" s="179">
        <f>SUMIFS('recurring2_based on steps'!$B125:$AY125,'recurring2_based on steps'!$B$1:$AY$1,B$1)+SUMIFS('changes2_based on steps'!$B125:$U125,'changes2_based on steps'!$B$1:$U$1,B$1)</f>
        <v>0</v>
      </c>
      <c r="C125" s="179">
        <f>SUMIFS('recurring2_based on steps'!$B125:$AY125,'recurring2_based on steps'!$B$1:$AY$1,C$1)+SUMIFS('changes2_based on steps'!$B125:$U125,'changes2_based on steps'!$B$1:$U$1,C$1)</f>
        <v>0</v>
      </c>
      <c r="D125" s="179">
        <f>SUMIFS('recurring2_based on steps'!$B125:$AY125,'recurring2_based on steps'!$B$1:$AY$1,D$1)+SUMIFS('changes2_based on steps'!$B125:$U125,'changes2_based on steps'!$B$1:$U$1,D$1)</f>
        <v>0</v>
      </c>
      <c r="E125" s="179">
        <f>SUMIFS('recurring2_based on steps'!$B125:$AY125,'recurring2_based on steps'!$B$1:$AY$1,E$1)+SUMIFS('changes2_based on steps'!$B125:$U125,'changes2_based on steps'!$B$1:$U$1,E$1)</f>
        <v>0</v>
      </c>
      <c r="F125" s="179">
        <f>SUMIFS('recurring2_based on steps'!$B125:$AY125,'recurring2_based on steps'!$B$1:$AY$1,F$1)+SUMIFS('changes2_based on steps'!$B125:$U125,'changes2_based on steps'!$B$1:$U$1,F$1)</f>
        <v>0</v>
      </c>
      <c r="G125" s="179">
        <f>SUMIFS('recurring2_based on steps'!$B125:$AY125,'recurring2_based on steps'!$B$1:$AY$1,G$1)+SUMIFS('changes2_based on steps'!$B125:$U125,'changes2_based on steps'!$B$1:$U$1,G$1)</f>
        <v>0</v>
      </c>
      <c r="H125" s="179">
        <f>SUMIFS('recurring2_based on steps'!$B125:$AY125,'recurring2_based on steps'!$B$1:$AY$1,H$1)+SUMIFS('changes2_based on steps'!$B125:$U125,'changes2_based on steps'!$B$1:$U$1,H$1)</f>
        <v>0</v>
      </c>
      <c r="I125" s="179">
        <f>SUMIFS('recurring2_based on steps'!$B125:$AY125,'recurring2_based on steps'!$B$1:$AY$1,I$1)+SUMIFS('changes2_based on steps'!$B125:$U125,'changes2_based on steps'!$B$1:$U$1,I$1)</f>
        <v>0</v>
      </c>
      <c r="J125" s="179">
        <f>SUMIFS('recurring2_based on steps'!$B125:$AY125,'recurring2_based on steps'!$B$1:$AY$1,J$1)+SUMIFS('changes2_based on steps'!$B125:$U125,'changes2_based on steps'!$B$1:$U$1,J$1)</f>
        <v>0</v>
      </c>
      <c r="K125" s="179">
        <f>SUMIFS('recurring2_based on steps'!$B125:$AY125,'recurring2_based on steps'!$B$1:$AY$1,K$1)+SUMIFS('changes2_based on steps'!$B125:$U125,'changes2_based on steps'!$B$1:$U$1,K$1)</f>
        <v>0</v>
      </c>
      <c r="L125" s="179">
        <f>SUMIFS('recurring2_based on steps'!$B125:$AY125,'recurring2_based on steps'!$B$1:$AY$1,L$1)+SUMIFS('changes2_based on steps'!$B125:$U125,'changes2_based on steps'!$B$1:$U$1,L$1)</f>
        <v>0</v>
      </c>
      <c r="M125" s="179">
        <f>SUMIFS('recurring2_based on steps'!$B125:$AY125,'recurring2_based on steps'!$B$1:$AY$1,M$1)+SUMIFS('changes2_based on steps'!$B125:$U125,'changes2_based on steps'!$B$1:$U$1,M$1)</f>
        <v>0</v>
      </c>
      <c r="N125" s="179">
        <f>SUMIFS('recurring2_based on steps'!$B125:$AY125,'recurring2_based on steps'!$B$1:$AY$1,N$1)+SUMIFS('changes2_based on steps'!$B125:$U125,'changes2_based on steps'!$B$1:$U$1,N$1)</f>
        <v>0</v>
      </c>
      <c r="O125" s="179">
        <f>SUMIFS('recurring2_based on steps'!$B125:$AY125,'recurring2_based on steps'!$B$1:$AY$1,O$1)+SUMIFS('changes2_based on steps'!$B125:$U125,'changes2_based on steps'!$B$1:$U$1,O$1)</f>
        <v>0</v>
      </c>
      <c r="P125" s="179">
        <f>SUMIFS('recurring2_based on steps'!$B125:$AY125,'recurring2_based on steps'!$B$1:$AY$1,P$1)+SUMIFS('changes2_based on steps'!$B125:$U125,'changes2_based on steps'!$B$1:$U$1,P$1)</f>
        <v>0</v>
      </c>
      <c r="Q125" s="179">
        <f>SUMIFS('recurring2_based on steps'!$B125:$AY125,'recurring2_based on steps'!$B$1:$AY$1,Q$1)+SUMIFS('changes2_based on steps'!$B125:$U125,'changes2_based on steps'!$B$1:$U$1,Q$1)</f>
        <v>0</v>
      </c>
      <c r="R125" s="179">
        <f>SUMIFS('recurring2_based on steps'!$B125:$AY125,'recurring2_based on steps'!$B$1:$AY$1,R$1)+SUMIFS('changes2_based on steps'!$B125:$U125,'changes2_based on steps'!$B$1:$U$1,R$1)</f>
        <v>0</v>
      </c>
      <c r="S125" s="179">
        <f>SUMIFS('recurring2_based on steps'!$B125:$AY125,'recurring2_based on steps'!$B$1:$AY$1,S$1)+SUMIFS('changes2_based on steps'!$B125:$U125,'changes2_based on steps'!$B$1:$U$1,S$1)</f>
        <v>0</v>
      </c>
      <c r="T125" s="179">
        <f>SUMIFS('recurring2_based on steps'!$B125:$AY125,'recurring2_based on steps'!$B$1:$AY$1,T$1)+SUMIFS('changes2_based on steps'!$B125:$U125,'changes2_based on steps'!$B$1:$U$1,T$1)</f>
        <v>0</v>
      </c>
      <c r="U125" s="179">
        <f>SUMIFS('recurring2_based on steps'!$B125:$AY125,'recurring2_based on steps'!$B$1:$AY$1,U$1)+SUMIFS('changes2_based on steps'!$B125:$U125,'changes2_based on steps'!$B$1:$U$1,U$1)</f>
        <v>0</v>
      </c>
      <c r="V125" s="179">
        <f>SUMIFS('recurring2_based on steps'!$B125:$AY125,'recurring2_based on steps'!$B$1:$AY$1,V$1)+SUMIFS('changes2_based on steps'!$B125:$U125,'changes2_based on steps'!$B$1:$U$1,V$1)</f>
        <v>0</v>
      </c>
      <c r="W125" s="179">
        <f>SUMIFS('recurring2_based on steps'!$B125:$AY125,'recurring2_based on steps'!$B$1:$AY$1,W$1)+SUMIFS('changes2_based on steps'!$B125:$U125,'changes2_based on steps'!$B$1:$U$1,W$1)</f>
        <v>0</v>
      </c>
      <c r="X125" s="179">
        <f>SUMIFS('recurring2_based on steps'!$B125:$AY125,'recurring2_based on steps'!$B$1:$AY$1,X$1)+SUMIFS('changes2_based on steps'!$B125:$U125,'changes2_based on steps'!$B$1:$U$1,X$1)</f>
        <v>0</v>
      </c>
      <c r="Y125" s="179">
        <f>SUMIFS('recurring2_based on steps'!$B125:$AY125,'recurring2_based on steps'!$B$1:$AY$1,Y$1)+SUMIFS('changes2_based on steps'!$B125:$U125,'changes2_based on steps'!$B$1:$U$1,Y$1)</f>
        <v>0</v>
      </c>
      <c r="Z125" s="179">
        <f>SUMIFS('recurring2_based on steps'!$B125:$AY125,'recurring2_based on steps'!$B$1:$AY$1,Z$1)+SUMIFS('changes2_based on steps'!$B125:$U125,'changes2_based on steps'!$B$1:$U$1,Z$1)</f>
        <v>0</v>
      </c>
      <c r="AA125" s="179">
        <f>SUMIFS('recurring2_based on steps'!$B125:$AY125,'recurring2_based on steps'!$B$1:$AY$1,AA$1)+SUMIFS('changes2_based on steps'!$B125:$U125,'changes2_based on steps'!$B$1:$U$1,AA$1)</f>
        <v>0</v>
      </c>
      <c r="AB125" s="179">
        <f>SUMIFS('recurring2_based on steps'!$B125:$AY125,'recurring2_based on steps'!$B$1:$AY$1,AB$1)+SUMIFS('changes2_based on steps'!$B125:$U125,'changes2_based on steps'!$B$1:$U$1,AB$1)</f>
        <v>0</v>
      </c>
      <c r="AC125" s="179">
        <f>SUMIFS('recurring2_based on steps'!$B125:$AY125,'recurring2_based on steps'!$B$1:$AY$1,AC$1)+SUMIFS('changes2_based on steps'!$B125:$U125,'changes2_based on steps'!$B$1:$U$1,AC$1)</f>
        <v>0</v>
      </c>
      <c r="AD125" s="179">
        <f>SUMIFS('recurring2_based on steps'!$B125:$AY125,'recurring2_based on steps'!$B$1:$AY$1,AD$1)+SUMIFS('changes2_based on steps'!$B125:$U125,'changes2_based on steps'!$B$1:$U$1,AD$1)</f>
        <v>0</v>
      </c>
      <c r="AE125" s="179">
        <f>SUMIFS('recurring2_based on steps'!$B125:$AY125,'recurring2_based on steps'!$B$1:$AY$1,AE$1)+SUMIFS('changes2_based on steps'!$B125:$U125,'changes2_based on steps'!$B$1:$U$1,AE$1)</f>
        <v>0</v>
      </c>
      <c r="AF125" s="179"/>
      <c r="AG125" s="179"/>
      <c r="AH125" s="179"/>
      <c r="AI125" s="179"/>
      <c r="AJ125" s="179"/>
      <c r="AK125" s="179"/>
      <c r="AL125" s="179"/>
      <c r="AM125" s="179"/>
    </row>
    <row r="126" spans="1:39" x14ac:dyDescent="0.2">
      <c r="A126" s="32">
        <f t="shared" ca="1" si="1"/>
        <v>45875</v>
      </c>
      <c r="B126" s="179">
        <f>SUMIFS('recurring2_based on steps'!$B126:$AY126,'recurring2_based on steps'!$B$1:$AY$1,B$1)+SUMIFS('changes2_based on steps'!$B126:$U126,'changes2_based on steps'!$B$1:$U$1,B$1)</f>
        <v>0</v>
      </c>
      <c r="C126" s="179">
        <f>SUMIFS('recurring2_based on steps'!$B126:$AY126,'recurring2_based on steps'!$B$1:$AY$1,C$1)+SUMIFS('changes2_based on steps'!$B126:$U126,'changes2_based on steps'!$B$1:$U$1,C$1)</f>
        <v>0</v>
      </c>
      <c r="D126" s="179">
        <f>SUMIFS('recurring2_based on steps'!$B126:$AY126,'recurring2_based on steps'!$B$1:$AY$1,D$1)+SUMIFS('changes2_based on steps'!$B126:$U126,'changes2_based on steps'!$B$1:$U$1,D$1)</f>
        <v>0</v>
      </c>
      <c r="E126" s="179">
        <f>SUMIFS('recurring2_based on steps'!$B126:$AY126,'recurring2_based on steps'!$B$1:$AY$1,E$1)+SUMIFS('changes2_based on steps'!$B126:$U126,'changes2_based on steps'!$B$1:$U$1,E$1)</f>
        <v>0</v>
      </c>
      <c r="F126" s="179">
        <f>SUMIFS('recurring2_based on steps'!$B126:$AY126,'recurring2_based on steps'!$B$1:$AY$1,F$1)+SUMIFS('changes2_based on steps'!$B126:$U126,'changes2_based on steps'!$B$1:$U$1,F$1)</f>
        <v>0</v>
      </c>
      <c r="G126" s="179">
        <f>SUMIFS('recurring2_based on steps'!$B126:$AY126,'recurring2_based on steps'!$B$1:$AY$1,G$1)+SUMIFS('changes2_based on steps'!$B126:$U126,'changes2_based on steps'!$B$1:$U$1,G$1)</f>
        <v>0</v>
      </c>
      <c r="H126" s="179">
        <f>SUMIFS('recurring2_based on steps'!$B126:$AY126,'recurring2_based on steps'!$B$1:$AY$1,H$1)+SUMIFS('changes2_based on steps'!$B126:$U126,'changes2_based on steps'!$B$1:$U$1,H$1)</f>
        <v>0</v>
      </c>
      <c r="I126" s="179">
        <f>SUMIFS('recurring2_based on steps'!$B126:$AY126,'recurring2_based on steps'!$B$1:$AY$1,I$1)+SUMIFS('changes2_based on steps'!$B126:$U126,'changes2_based on steps'!$B$1:$U$1,I$1)</f>
        <v>0</v>
      </c>
      <c r="J126" s="179">
        <f>SUMIFS('recurring2_based on steps'!$B126:$AY126,'recurring2_based on steps'!$B$1:$AY$1,J$1)+SUMIFS('changes2_based on steps'!$B126:$U126,'changes2_based on steps'!$B$1:$U$1,J$1)</f>
        <v>0</v>
      </c>
      <c r="K126" s="179">
        <f>SUMIFS('recurring2_based on steps'!$B126:$AY126,'recurring2_based on steps'!$B$1:$AY$1,K$1)+SUMIFS('changes2_based on steps'!$B126:$U126,'changes2_based on steps'!$B$1:$U$1,K$1)</f>
        <v>0</v>
      </c>
      <c r="L126" s="179">
        <f>SUMIFS('recurring2_based on steps'!$B126:$AY126,'recurring2_based on steps'!$B$1:$AY$1,L$1)+SUMIFS('changes2_based on steps'!$B126:$U126,'changes2_based on steps'!$B$1:$U$1,L$1)</f>
        <v>0</v>
      </c>
      <c r="M126" s="179">
        <f>SUMIFS('recurring2_based on steps'!$B126:$AY126,'recurring2_based on steps'!$B$1:$AY$1,M$1)+SUMIFS('changes2_based on steps'!$B126:$U126,'changes2_based on steps'!$B$1:$U$1,M$1)</f>
        <v>0</v>
      </c>
      <c r="N126" s="179">
        <f>SUMIFS('recurring2_based on steps'!$B126:$AY126,'recurring2_based on steps'!$B$1:$AY$1,N$1)+SUMIFS('changes2_based on steps'!$B126:$U126,'changes2_based on steps'!$B$1:$U$1,N$1)</f>
        <v>0</v>
      </c>
      <c r="O126" s="179">
        <f>SUMIFS('recurring2_based on steps'!$B126:$AY126,'recurring2_based on steps'!$B$1:$AY$1,O$1)+SUMIFS('changes2_based on steps'!$B126:$U126,'changes2_based on steps'!$B$1:$U$1,O$1)</f>
        <v>0</v>
      </c>
      <c r="P126" s="179">
        <f>SUMIFS('recurring2_based on steps'!$B126:$AY126,'recurring2_based on steps'!$B$1:$AY$1,P$1)+SUMIFS('changes2_based on steps'!$B126:$U126,'changes2_based on steps'!$B$1:$U$1,P$1)</f>
        <v>0</v>
      </c>
      <c r="Q126" s="179">
        <f>SUMIFS('recurring2_based on steps'!$B126:$AY126,'recurring2_based on steps'!$B$1:$AY$1,Q$1)+SUMIFS('changes2_based on steps'!$B126:$U126,'changes2_based on steps'!$B$1:$U$1,Q$1)</f>
        <v>0</v>
      </c>
      <c r="R126" s="179">
        <f>SUMIFS('recurring2_based on steps'!$B126:$AY126,'recurring2_based on steps'!$B$1:$AY$1,R$1)+SUMIFS('changes2_based on steps'!$B126:$U126,'changes2_based on steps'!$B$1:$U$1,R$1)</f>
        <v>0</v>
      </c>
      <c r="S126" s="179">
        <f>SUMIFS('recurring2_based on steps'!$B126:$AY126,'recurring2_based on steps'!$B$1:$AY$1,S$1)+SUMIFS('changes2_based on steps'!$B126:$U126,'changes2_based on steps'!$B$1:$U$1,S$1)</f>
        <v>0</v>
      </c>
      <c r="T126" s="179">
        <f>SUMIFS('recurring2_based on steps'!$B126:$AY126,'recurring2_based on steps'!$B$1:$AY$1,T$1)+SUMIFS('changes2_based on steps'!$B126:$U126,'changes2_based on steps'!$B$1:$U$1,T$1)</f>
        <v>0</v>
      </c>
      <c r="U126" s="179">
        <f>SUMIFS('recurring2_based on steps'!$B126:$AY126,'recurring2_based on steps'!$B$1:$AY$1,U$1)+SUMIFS('changes2_based on steps'!$B126:$U126,'changes2_based on steps'!$B$1:$U$1,U$1)</f>
        <v>0</v>
      </c>
      <c r="V126" s="179">
        <f>SUMIFS('recurring2_based on steps'!$B126:$AY126,'recurring2_based on steps'!$B$1:$AY$1,V$1)+SUMIFS('changes2_based on steps'!$B126:$U126,'changes2_based on steps'!$B$1:$U$1,V$1)</f>
        <v>0</v>
      </c>
      <c r="W126" s="179">
        <f>SUMIFS('recurring2_based on steps'!$B126:$AY126,'recurring2_based on steps'!$B$1:$AY$1,W$1)+SUMIFS('changes2_based on steps'!$B126:$U126,'changes2_based on steps'!$B$1:$U$1,W$1)</f>
        <v>0</v>
      </c>
      <c r="X126" s="179">
        <f>SUMIFS('recurring2_based on steps'!$B126:$AY126,'recurring2_based on steps'!$B$1:$AY$1,X$1)+SUMIFS('changes2_based on steps'!$B126:$U126,'changes2_based on steps'!$B$1:$U$1,X$1)</f>
        <v>0</v>
      </c>
      <c r="Y126" s="179">
        <f>SUMIFS('recurring2_based on steps'!$B126:$AY126,'recurring2_based on steps'!$B$1:$AY$1,Y$1)+SUMIFS('changes2_based on steps'!$B126:$U126,'changes2_based on steps'!$B$1:$U$1,Y$1)</f>
        <v>0</v>
      </c>
      <c r="Z126" s="179">
        <f>SUMIFS('recurring2_based on steps'!$B126:$AY126,'recurring2_based on steps'!$B$1:$AY$1,Z$1)+SUMIFS('changes2_based on steps'!$B126:$U126,'changes2_based on steps'!$B$1:$U$1,Z$1)</f>
        <v>0</v>
      </c>
      <c r="AA126" s="179">
        <f>SUMIFS('recurring2_based on steps'!$B126:$AY126,'recurring2_based on steps'!$B$1:$AY$1,AA$1)+SUMIFS('changes2_based on steps'!$B126:$U126,'changes2_based on steps'!$B$1:$U$1,AA$1)</f>
        <v>0</v>
      </c>
      <c r="AB126" s="179">
        <f>SUMIFS('recurring2_based on steps'!$B126:$AY126,'recurring2_based on steps'!$B$1:$AY$1,AB$1)+SUMIFS('changes2_based on steps'!$B126:$U126,'changes2_based on steps'!$B$1:$U$1,AB$1)</f>
        <v>0</v>
      </c>
      <c r="AC126" s="179">
        <f>SUMIFS('recurring2_based on steps'!$B126:$AY126,'recurring2_based on steps'!$B$1:$AY$1,AC$1)+SUMIFS('changes2_based on steps'!$B126:$U126,'changes2_based on steps'!$B$1:$U$1,AC$1)</f>
        <v>0</v>
      </c>
      <c r="AD126" s="179">
        <f>SUMIFS('recurring2_based on steps'!$B126:$AY126,'recurring2_based on steps'!$B$1:$AY$1,AD$1)+SUMIFS('changes2_based on steps'!$B126:$U126,'changes2_based on steps'!$B$1:$U$1,AD$1)</f>
        <v>0</v>
      </c>
      <c r="AE126" s="179">
        <f>SUMIFS('recurring2_based on steps'!$B126:$AY126,'recurring2_based on steps'!$B$1:$AY$1,AE$1)+SUMIFS('changes2_based on steps'!$B126:$U126,'changes2_based on steps'!$B$1:$U$1,AE$1)</f>
        <v>0</v>
      </c>
      <c r="AF126" s="179"/>
      <c r="AG126" s="179"/>
      <c r="AH126" s="179"/>
      <c r="AI126" s="179"/>
      <c r="AJ126" s="179"/>
      <c r="AK126" s="179"/>
      <c r="AL126" s="179"/>
      <c r="AM126" s="179"/>
    </row>
    <row r="127" spans="1:39" x14ac:dyDescent="0.2">
      <c r="A127" s="32">
        <f t="shared" ca="1" si="1"/>
        <v>45876</v>
      </c>
      <c r="B127" s="179">
        <f>SUMIFS('recurring2_based on steps'!$B127:$AY127,'recurring2_based on steps'!$B$1:$AY$1,B$1)+SUMIFS('changes2_based on steps'!$B127:$U127,'changes2_based on steps'!$B$1:$U$1,B$1)</f>
        <v>0</v>
      </c>
      <c r="C127" s="179">
        <f>SUMIFS('recurring2_based on steps'!$B127:$AY127,'recurring2_based on steps'!$B$1:$AY$1,C$1)+SUMIFS('changes2_based on steps'!$B127:$U127,'changes2_based on steps'!$B$1:$U$1,C$1)</f>
        <v>0</v>
      </c>
      <c r="D127" s="179">
        <f>SUMIFS('recurring2_based on steps'!$B127:$AY127,'recurring2_based on steps'!$B$1:$AY$1,D$1)+SUMIFS('changes2_based on steps'!$B127:$U127,'changes2_based on steps'!$B$1:$U$1,D$1)</f>
        <v>0</v>
      </c>
      <c r="E127" s="179">
        <f>SUMIFS('recurring2_based on steps'!$B127:$AY127,'recurring2_based on steps'!$B$1:$AY$1,E$1)+SUMIFS('changes2_based on steps'!$B127:$U127,'changes2_based on steps'!$B$1:$U$1,E$1)</f>
        <v>0</v>
      </c>
      <c r="F127" s="179">
        <f>SUMIFS('recurring2_based on steps'!$B127:$AY127,'recurring2_based on steps'!$B$1:$AY$1,F$1)+SUMIFS('changes2_based on steps'!$B127:$U127,'changes2_based on steps'!$B$1:$U$1,F$1)</f>
        <v>0</v>
      </c>
      <c r="G127" s="179">
        <f>SUMIFS('recurring2_based on steps'!$B127:$AY127,'recurring2_based on steps'!$B$1:$AY$1,G$1)+SUMIFS('changes2_based on steps'!$B127:$U127,'changes2_based on steps'!$B$1:$U$1,G$1)</f>
        <v>0</v>
      </c>
      <c r="H127" s="179">
        <f>SUMIFS('recurring2_based on steps'!$B127:$AY127,'recurring2_based on steps'!$B$1:$AY$1,H$1)+SUMIFS('changes2_based on steps'!$B127:$U127,'changes2_based on steps'!$B$1:$U$1,H$1)</f>
        <v>0</v>
      </c>
      <c r="I127" s="179">
        <f>SUMIFS('recurring2_based on steps'!$B127:$AY127,'recurring2_based on steps'!$B$1:$AY$1,I$1)+SUMIFS('changes2_based on steps'!$B127:$U127,'changes2_based on steps'!$B$1:$U$1,I$1)</f>
        <v>0</v>
      </c>
      <c r="J127" s="179">
        <f>SUMIFS('recurring2_based on steps'!$B127:$AY127,'recurring2_based on steps'!$B$1:$AY$1,J$1)+SUMIFS('changes2_based on steps'!$B127:$U127,'changes2_based on steps'!$B$1:$U$1,J$1)</f>
        <v>0</v>
      </c>
      <c r="K127" s="179">
        <f>SUMIFS('recurring2_based on steps'!$B127:$AY127,'recurring2_based on steps'!$B$1:$AY$1,K$1)+SUMIFS('changes2_based on steps'!$B127:$U127,'changes2_based on steps'!$B$1:$U$1,K$1)</f>
        <v>0</v>
      </c>
      <c r="L127" s="179">
        <f>SUMIFS('recurring2_based on steps'!$B127:$AY127,'recurring2_based on steps'!$B$1:$AY$1,L$1)+SUMIFS('changes2_based on steps'!$B127:$U127,'changes2_based on steps'!$B$1:$U$1,L$1)</f>
        <v>0</v>
      </c>
      <c r="M127" s="179">
        <f>SUMIFS('recurring2_based on steps'!$B127:$AY127,'recurring2_based on steps'!$B$1:$AY$1,M$1)+SUMIFS('changes2_based on steps'!$B127:$U127,'changes2_based on steps'!$B$1:$U$1,M$1)</f>
        <v>0</v>
      </c>
      <c r="N127" s="179">
        <f>SUMIFS('recurring2_based on steps'!$B127:$AY127,'recurring2_based on steps'!$B$1:$AY$1,N$1)+SUMIFS('changes2_based on steps'!$B127:$U127,'changes2_based on steps'!$B$1:$U$1,N$1)</f>
        <v>0</v>
      </c>
      <c r="O127" s="179">
        <f>SUMIFS('recurring2_based on steps'!$B127:$AY127,'recurring2_based on steps'!$B$1:$AY$1,O$1)+SUMIFS('changes2_based on steps'!$B127:$U127,'changes2_based on steps'!$B$1:$U$1,O$1)</f>
        <v>0</v>
      </c>
      <c r="P127" s="179">
        <f>SUMIFS('recurring2_based on steps'!$B127:$AY127,'recurring2_based on steps'!$B$1:$AY$1,P$1)+SUMIFS('changes2_based on steps'!$B127:$U127,'changes2_based on steps'!$B$1:$U$1,P$1)</f>
        <v>0</v>
      </c>
      <c r="Q127" s="179">
        <f>SUMIFS('recurring2_based on steps'!$B127:$AY127,'recurring2_based on steps'!$B$1:$AY$1,Q$1)+SUMIFS('changes2_based on steps'!$B127:$U127,'changes2_based on steps'!$B$1:$U$1,Q$1)</f>
        <v>0</v>
      </c>
      <c r="R127" s="179">
        <f>SUMIFS('recurring2_based on steps'!$B127:$AY127,'recurring2_based on steps'!$B$1:$AY$1,R$1)+SUMIFS('changes2_based on steps'!$B127:$U127,'changes2_based on steps'!$B$1:$U$1,R$1)</f>
        <v>0</v>
      </c>
      <c r="S127" s="179">
        <f>SUMIFS('recurring2_based on steps'!$B127:$AY127,'recurring2_based on steps'!$B$1:$AY$1,S$1)+SUMIFS('changes2_based on steps'!$B127:$U127,'changes2_based on steps'!$B$1:$U$1,S$1)</f>
        <v>0</v>
      </c>
      <c r="T127" s="179">
        <f>SUMIFS('recurring2_based on steps'!$B127:$AY127,'recurring2_based on steps'!$B$1:$AY$1,T$1)+SUMIFS('changes2_based on steps'!$B127:$U127,'changes2_based on steps'!$B$1:$U$1,T$1)</f>
        <v>0</v>
      </c>
      <c r="U127" s="179">
        <f>SUMIFS('recurring2_based on steps'!$B127:$AY127,'recurring2_based on steps'!$B$1:$AY$1,U$1)+SUMIFS('changes2_based on steps'!$B127:$U127,'changes2_based on steps'!$B$1:$U$1,U$1)</f>
        <v>0</v>
      </c>
      <c r="V127" s="179">
        <f>SUMIFS('recurring2_based on steps'!$B127:$AY127,'recurring2_based on steps'!$B$1:$AY$1,V$1)+SUMIFS('changes2_based on steps'!$B127:$U127,'changes2_based on steps'!$B$1:$U$1,V$1)</f>
        <v>0</v>
      </c>
      <c r="W127" s="179">
        <f>SUMIFS('recurring2_based on steps'!$B127:$AY127,'recurring2_based on steps'!$B$1:$AY$1,W$1)+SUMIFS('changes2_based on steps'!$B127:$U127,'changes2_based on steps'!$B$1:$U$1,W$1)</f>
        <v>0</v>
      </c>
      <c r="X127" s="179">
        <f>SUMIFS('recurring2_based on steps'!$B127:$AY127,'recurring2_based on steps'!$B$1:$AY$1,X$1)+SUMIFS('changes2_based on steps'!$B127:$U127,'changes2_based on steps'!$B$1:$U$1,X$1)</f>
        <v>0</v>
      </c>
      <c r="Y127" s="179">
        <f>SUMIFS('recurring2_based on steps'!$B127:$AY127,'recurring2_based on steps'!$B$1:$AY$1,Y$1)+SUMIFS('changes2_based on steps'!$B127:$U127,'changes2_based on steps'!$B$1:$U$1,Y$1)</f>
        <v>0</v>
      </c>
      <c r="Z127" s="179">
        <f>SUMIFS('recurring2_based on steps'!$B127:$AY127,'recurring2_based on steps'!$B$1:$AY$1,Z$1)+SUMIFS('changes2_based on steps'!$B127:$U127,'changes2_based on steps'!$B$1:$U$1,Z$1)</f>
        <v>0</v>
      </c>
      <c r="AA127" s="179">
        <f>SUMIFS('recurring2_based on steps'!$B127:$AY127,'recurring2_based on steps'!$B$1:$AY$1,AA$1)+SUMIFS('changes2_based on steps'!$B127:$U127,'changes2_based on steps'!$B$1:$U$1,AA$1)</f>
        <v>0</v>
      </c>
      <c r="AB127" s="179">
        <f>SUMIFS('recurring2_based on steps'!$B127:$AY127,'recurring2_based on steps'!$B$1:$AY$1,AB$1)+SUMIFS('changes2_based on steps'!$B127:$U127,'changes2_based on steps'!$B$1:$U$1,AB$1)</f>
        <v>0</v>
      </c>
      <c r="AC127" s="179">
        <f>SUMIFS('recurring2_based on steps'!$B127:$AY127,'recurring2_based on steps'!$B$1:$AY$1,AC$1)+SUMIFS('changes2_based on steps'!$B127:$U127,'changes2_based on steps'!$B$1:$U$1,AC$1)</f>
        <v>0</v>
      </c>
      <c r="AD127" s="179">
        <f>SUMIFS('recurring2_based on steps'!$B127:$AY127,'recurring2_based on steps'!$B$1:$AY$1,AD$1)+SUMIFS('changes2_based on steps'!$B127:$U127,'changes2_based on steps'!$B$1:$U$1,AD$1)</f>
        <v>0</v>
      </c>
      <c r="AE127" s="179">
        <f>SUMIFS('recurring2_based on steps'!$B127:$AY127,'recurring2_based on steps'!$B$1:$AY$1,AE$1)+SUMIFS('changes2_based on steps'!$B127:$U127,'changes2_based on steps'!$B$1:$U$1,AE$1)</f>
        <v>0</v>
      </c>
      <c r="AF127" s="179"/>
      <c r="AG127" s="179"/>
      <c r="AH127" s="179"/>
      <c r="AI127" s="179"/>
      <c r="AJ127" s="179"/>
      <c r="AK127" s="179"/>
      <c r="AL127" s="179"/>
      <c r="AM127" s="179"/>
    </row>
    <row r="128" spans="1:39" x14ac:dyDescent="0.2">
      <c r="A128" s="32">
        <f t="shared" ca="1" si="1"/>
        <v>45877</v>
      </c>
      <c r="B128" s="179">
        <f>SUMIFS('recurring2_based on steps'!$B128:$AY128,'recurring2_based on steps'!$B$1:$AY$1,B$1)+SUMIFS('changes2_based on steps'!$B128:$U128,'changes2_based on steps'!$B$1:$U$1,B$1)</f>
        <v>0</v>
      </c>
      <c r="C128" s="179">
        <f>SUMIFS('recurring2_based on steps'!$B128:$AY128,'recurring2_based on steps'!$B$1:$AY$1,C$1)+SUMIFS('changes2_based on steps'!$B128:$U128,'changes2_based on steps'!$B$1:$U$1,C$1)</f>
        <v>0</v>
      </c>
      <c r="D128" s="179">
        <f>SUMIFS('recurring2_based on steps'!$B128:$AY128,'recurring2_based on steps'!$B$1:$AY$1,D$1)+SUMIFS('changes2_based on steps'!$B128:$U128,'changes2_based on steps'!$B$1:$U$1,D$1)</f>
        <v>0</v>
      </c>
      <c r="E128" s="179">
        <f>SUMIFS('recurring2_based on steps'!$B128:$AY128,'recurring2_based on steps'!$B$1:$AY$1,E$1)+SUMIFS('changes2_based on steps'!$B128:$U128,'changes2_based on steps'!$B$1:$U$1,E$1)</f>
        <v>0</v>
      </c>
      <c r="F128" s="179">
        <f>SUMIFS('recurring2_based on steps'!$B128:$AY128,'recurring2_based on steps'!$B$1:$AY$1,F$1)+SUMIFS('changes2_based on steps'!$B128:$U128,'changes2_based on steps'!$B$1:$U$1,F$1)</f>
        <v>0</v>
      </c>
      <c r="G128" s="179">
        <f>SUMIFS('recurring2_based on steps'!$B128:$AY128,'recurring2_based on steps'!$B$1:$AY$1,G$1)+SUMIFS('changes2_based on steps'!$B128:$U128,'changes2_based on steps'!$B$1:$U$1,G$1)</f>
        <v>0</v>
      </c>
      <c r="H128" s="179">
        <f>SUMIFS('recurring2_based on steps'!$B128:$AY128,'recurring2_based on steps'!$B$1:$AY$1,H$1)+SUMIFS('changes2_based on steps'!$B128:$U128,'changes2_based on steps'!$B$1:$U$1,H$1)</f>
        <v>0</v>
      </c>
      <c r="I128" s="179">
        <f>SUMIFS('recurring2_based on steps'!$B128:$AY128,'recurring2_based on steps'!$B$1:$AY$1,I$1)+SUMIFS('changes2_based on steps'!$B128:$U128,'changes2_based on steps'!$B$1:$U$1,I$1)</f>
        <v>0</v>
      </c>
      <c r="J128" s="179">
        <f>SUMIFS('recurring2_based on steps'!$B128:$AY128,'recurring2_based on steps'!$B$1:$AY$1,J$1)+SUMIFS('changes2_based on steps'!$B128:$U128,'changes2_based on steps'!$B$1:$U$1,J$1)</f>
        <v>0</v>
      </c>
      <c r="K128" s="179">
        <f>SUMIFS('recurring2_based on steps'!$B128:$AY128,'recurring2_based on steps'!$B$1:$AY$1,K$1)+SUMIFS('changes2_based on steps'!$B128:$U128,'changes2_based on steps'!$B$1:$U$1,K$1)</f>
        <v>0</v>
      </c>
      <c r="L128" s="179">
        <f>SUMIFS('recurring2_based on steps'!$B128:$AY128,'recurring2_based on steps'!$B$1:$AY$1,L$1)+SUMIFS('changes2_based on steps'!$B128:$U128,'changes2_based on steps'!$B$1:$U$1,L$1)</f>
        <v>0</v>
      </c>
      <c r="M128" s="179">
        <f>SUMIFS('recurring2_based on steps'!$B128:$AY128,'recurring2_based on steps'!$B$1:$AY$1,M$1)+SUMIFS('changes2_based on steps'!$B128:$U128,'changes2_based on steps'!$B$1:$U$1,M$1)</f>
        <v>0</v>
      </c>
      <c r="N128" s="179">
        <f>SUMIFS('recurring2_based on steps'!$B128:$AY128,'recurring2_based on steps'!$B$1:$AY$1,N$1)+SUMIFS('changes2_based on steps'!$B128:$U128,'changes2_based on steps'!$B$1:$U$1,N$1)</f>
        <v>0</v>
      </c>
      <c r="O128" s="179">
        <f>SUMIFS('recurring2_based on steps'!$B128:$AY128,'recurring2_based on steps'!$B$1:$AY$1,O$1)+SUMIFS('changes2_based on steps'!$B128:$U128,'changes2_based on steps'!$B$1:$U$1,O$1)</f>
        <v>0</v>
      </c>
      <c r="P128" s="179">
        <f>SUMIFS('recurring2_based on steps'!$B128:$AY128,'recurring2_based on steps'!$B$1:$AY$1,P$1)+SUMIFS('changes2_based on steps'!$B128:$U128,'changes2_based on steps'!$B$1:$U$1,P$1)</f>
        <v>0</v>
      </c>
      <c r="Q128" s="179">
        <f>SUMIFS('recurring2_based on steps'!$B128:$AY128,'recurring2_based on steps'!$B$1:$AY$1,Q$1)+SUMIFS('changes2_based on steps'!$B128:$U128,'changes2_based on steps'!$B$1:$U$1,Q$1)</f>
        <v>0</v>
      </c>
      <c r="R128" s="179">
        <f>SUMIFS('recurring2_based on steps'!$B128:$AY128,'recurring2_based on steps'!$B$1:$AY$1,R$1)+SUMIFS('changes2_based on steps'!$B128:$U128,'changes2_based on steps'!$B$1:$U$1,R$1)</f>
        <v>0</v>
      </c>
      <c r="S128" s="179">
        <f>SUMIFS('recurring2_based on steps'!$B128:$AY128,'recurring2_based on steps'!$B$1:$AY$1,S$1)+SUMIFS('changes2_based on steps'!$B128:$U128,'changes2_based on steps'!$B$1:$U$1,S$1)</f>
        <v>0</v>
      </c>
      <c r="T128" s="179">
        <f>SUMIFS('recurring2_based on steps'!$B128:$AY128,'recurring2_based on steps'!$B$1:$AY$1,T$1)+SUMIFS('changes2_based on steps'!$B128:$U128,'changes2_based on steps'!$B$1:$U$1,T$1)</f>
        <v>0</v>
      </c>
      <c r="U128" s="179">
        <f>SUMIFS('recurring2_based on steps'!$B128:$AY128,'recurring2_based on steps'!$B$1:$AY$1,U$1)+SUMIFS('changes2_based on steps'!$B128:$U128,'changes2_based on steps'!$B$1:$U$1,U$1)</f>
        <v>0</v>
      </c>
      <c r="V128" s="179">
        <f>SUMIFS('recurring2_based on steps'!$B128:$AY128,'recurring2_based on steps'!$B$1:$AY$1,V$1)+SUMIFS('changes2_based on steps'!$B128:$U128,'changes2_based on steps'!$B$1:$U$1,V$1)</f>
        <v>0</v>
      </c>
      <c r="W128" s="179">
        <f>SUMIFS('recurring2_based on steps'!$B128:$AY128,'recurring2_based on steps'!$B$1:$AY$1,W$1)+SUMIFS('changes2_based on steps'!$B128:$U128,'changes2_based on steps'!$B$1:$U$1,W$1)</f>
        <v>0</v>
      </c>
      <c r="X128" s="179">
        <f>SUMIFS('recurring2_based on steps'!$B128:$AY128,'recurring2_based on steps'!$B$1:$AY$1,X$1)+SUMIFS('changes2_based on steps'!$B128:$U128,'changes2_based on steps'!$B$1:$U$1,X$1)</f>
        <v>0</v>
      </c>
      <c r="Y128" s="179">
        <f>SUMIFS('recurring2_based on steps'!$B128:$AY128,'recurring2_based on steps'!$B$1:$AY$1,Y$1)+SUMIFS('changes2_based on steps'!$B128:$U128,'changes2_based on steps'!$B$1:$U$1,Y$1)</f>
        <v>0</v>
      </c>
      <c r="Z128" s="179">
        <f>SUMIFS('recurring2_based on steps'!$B128:$AY128,'recurring2_based on steps'!$B$1:$AY$1,Z$1)+SUMIFS('changes2_based on steps'!$B128:$U128,'changes2_based on steps'!$B$1:$U$1,Z$1)</f>
        <v>0</v>
      </c>
      <c r="AA128" s="179">
        <f>SUMIFS('recurring2_based on steps'!$B128:$AY128,'recurring2_based on steps'!$B$1:$AY$1,AA$1)+SUMIFS('changes2_based on steps'!$B128:$U128,'changes2_based on steps'!$B$1:$U$1,AA$1)</f>
        <v>0</v>
      </c>
      <c r="AB128" s="179">
        <f>SUMIFS('recurring2_based on steps'!$B128:$AY128,'recurring2_based on steps'!$B$1:$AY$1,AB$1)+SUMIFS('changes2_based on steps'!$B128:$U128,'changes2_based on steps'!$B$1:$U$1,AB$1)</f>
        <v>0</v>
      </c>
      <c r="AC128" s="179">
        <f>SUMIFS('recurring2_based on steps'!$B128:$AY128,'recurring2_based on steps'!$B$1:$AY$1,AC$1)+SUMIFS('changes2_based on steps'!$B128:$U128,'changes2_based on steps'!$B$1:$U$1,AC$1)</f>
        <v>0</v>
      </c>
      <c r="AD128" s="179">
        <f>SUMIFS('recurring2_based on steps'!$B128:$AY128,'recurring2_based on steps'!$B$1:$AY$1,AD$1)+SUMIFS('changes2_based on steps'!$B128:$U128,'changes2_based on steps'!$B$1:$U$1,AD$1)</f>
        <v>0</v>
      </c>
      <c r="AE128" s="179">
        <f>SUMIFS('recurring2_based on steps'!$B128:$AY128,'recurring2_based on steps'!$B$1:$AY$1,AE$1)+SUMIFS('changes2_based on steps'!$B128:$U128,'changes2_based on steps'!$B$1:$U$1,AE$1)</f>
        <v>0</v>
      </c>
      <c r="AF128" s="179"/>
      <c r="AG128" s="179"/>
      <c r="AH128" s="179"/>
      <c r="AI128" s="179"/>
      <c r="AJ128" s="179"/>
      <c r="AK128" s="179"/>
      <c r="AL128" s="179"/>
      <c r="AM128" s="179"/>
    </row>
    <row r="129" spans="1:39" x14ac:dyDescent="0.2">
      <c r="A129" s="32">
        <f t="shared" ca="1" si="1"/>
        <v>45878</v>
      </c>
      <c r="B129" s="179">
        <f>SUMIFS('recurring2_based on steps'!$B129:$AY129,'recurring2_based on steps'!$B$1:$AY$1,B$1)+SUMIFS('changes2_based on steps'!$B129:$U129,'changes2_based on steps'!$B$1:$U$1,B$1)</f>
        <v>0</v>
      </c>
      <c r="C129" s="179">
        <f>SUMIFS('recurring2_based on steps'!$B129:$AY129,'recurring2_based on steps'!$B$1:$AY$1,C$1)+SUMIFS('changes2_based on steps'!$B129:$U129,'changes2_based on steps'!$B$1:$U$1,C$1)</f>
        <v>0</v>
      </c>
      <c r="D129" s="179">
        <f>SUMIFS('recurring2_based on steps'!$B129:$AY129,'recurring2_based on steps'!$B$1:$AY$1,D$1)+SUMIFS('changes2_based on steps'!$B129:$U129,'changes2_based on steps'!$B$1:$U$1,D$1)</f>
        <v>0</v>
      </c>
      <c r="E129" s="179">
        <f>SUMIFS('recurring2_based on steps'!$B129:$AY129,'recurring2_based on steps'!$B$1:$AY$1,E$1)+SUMIFS('changes2_based on steps'!$B129:$U129,'changes2_based on steps'!$B$1:$U$1,E$1)</f>
        <v>0</v>
      </c>
      <c r="F129" s="179">
        <f>SUMIFS('recurring2_based on steps'!$B129:$AY129,'recurring2_based on steps'!$B$1:$AY$1,F$1)+SUMIFS('changes2_based on steps'!$B129:$U129,'changes2_based on steps'!$B$1:$U$1,F$1)</f>
        <v>0</v>
      </c>
      <c r="G129" s="179">
        <f>SUMIFS('recurring2_based on steps'!$B129:$AY129,'recurring2_based on steps'!$B$1:$AY$1,G$1)+SUMIFS('changes2_based on steps'!$B129:$U129,'changes2_based on steps'!$B$1:$U$1,G$1)</f>
        <v>0</v>
      </c>
      <c r="H129" s="179">
        <f>SUMIFS('recurring2_based on steps'!$B129:$AY129,'recurring2_based on steps'!$B$1:$AY$1,H$1)+SUMIFS('changes2_based on steps'!$B129:$U129,'changes2_based on steps'!$B$1:$U$1,H$1)</f>
        <v>0</v>
      </c>
      <c r="I129" s="179">
        <f>SUMIFS('recurring2_based on steps'!$B129:$AY129,'recurring2_based on steps'!$B$1:$AY$1,I$1)+SUMIFS('changes2_based on steps'!$B129:$U129,'changes2_based on steps'!$B$1:$U$1,I$1)</f>
        <v>0</v>
      </c>
      <c r="J129" s="179">
        <f>SUMIFS('recurring2_based on steps'!$B129:$AY129,'recurring2_based on steps'!$B$1:$AY$1,J$1)+SUMIFS('changes2_based on steps'!$B129:$U129,'changes2_based on steps'!$B$1:$U$1,J$1)</f>
        <v>0</v>
      </c>
      <c r="K129" s="179">
        <f>SUMIFS('recurring2_based on steps'!$B129:$AY129,'recurring2_based on steps'!$B$1:$AY$1,K$1)+SUMIFS('changes2_based on steps'!$B129:$U129,'changes2_based on steps'!$B$1:$U$1,K$1)</f>
        <v>0</v>
      </c>
      <c r="L129" s="179">
        <f>SUMIFS('recurring2_based on steps'!$B129:$AY129,'recurring2_based on steps'!$B$1:$AY$1,L$1)+SUMIFS('changes2_based on steps'!$B129:$U129,'changes2_based on steps'!$B$1:$U$1,L$1)</f>
        <v>0</v>
      </c>
      <c r="M129" s="179">
        <f>SUMIFS('recurring2_based on steps'!$B129:$AY129,'recurring2_based on steps'!$B$1:$AY$1,M$1)+SUMIFS('changes2_based on steps'!$B129:$U129,'changes2_based on steps'!$B$1:$U$1,M$1)</f>
        <v>0</v>
      </c>
      <c r="N129" s="179">
        <f>SUMIFS('recurring2_based on steps'!$B129:$AY129,'recurring2_based on steps'!$B$1:$AY$1,N$1)+SUMIFS('changes2_based on steps'!$B129:$U129,'changes2_based on steps'!$B$1:$U$1,N$1)</f>
        <v>0</v>
      </c>
      <c r="O129" s="179">
        <f>SUMIFS('recurring2_based on steps'!$B129:$AY129,'recurring2_based on steps'!$B$1:$AY$1,O$1)+SUMIFS('changes2_based on steps'!$B129:$U129,'changes2_based on steps'!$B$1:$U$1,O$1)</f>
        <v>0</v>
      </c>
      <c r="P129" s="179">
        <f>SUMIFS('recurring2_based on steps'!$B129:$AY129,'recurring2_based on steps'!$B$1:$AY$1,P$1)+SUMIFS('changes2_based on steps'!$B129:$U129,'changes2_based on steps'!$B$1:$U$1,P$1)</f>
        <v>0</v>
      </c>
      <c r="Q129" s="179">
        <f>SUMIFS('recurring2_based on steps'!$B129:$AY129,'recurring2_based on steps'!$B$1:$AY$1,Q$1)+SUMIFS('changes2_based on steps'!$B129:$U129,'changes2_based on steps'!$B$1:$U$1,Q$1)</f>
        <v>0</v>
      </c>
      <c r="R129" s="179">
        <f>SUMIFS('recurring2_based on steps'!$B129:$AY129,'recurring2_based on steps'!$B$1:$AY$1,R$1)+SUMIFS('changes2_based on steps'!$B129:$U129,'changes2_based on steps'!$B$1:$U$1,R$1)</f>
        <v>0</v>
      </c>
      <c r="S129" s="179">
        <f>SUMIFS('recurring2_based on steps'!$B129:$AY129,'recurring2_based on steps'!$B$1:$AY$1,S$1)+SUMIFS('changes2_based on steps'!$B129:$U129,'changes2_based on steps'!$B$1:$U$1,S$1)</f>
        <v>0</v>
      </c>
      <c r="T129" s="179">
        <f>SUMIFS('recurring2_based on steps'!$B129:$AY129,'recurring2_based on steps'!$B$1:$AY$1,T$1)+SUMIFS('changes2_based on steps'!$B129:$U129,'changes2_based on steps'!$B$1:$U$1,T$1)</f>
        <v>0</v>
      </c>
      <c r="U129" s="179">
        <f>SUMIFS('recurring2_based on steps'!$B129:$AY129,'recurring2_based on steps'!$B$1:$AY$1,U$1)+SUMIFS('changes2_based on steps'!$B129:$U129,'changes2_based on steps'!$B$1:$U$1,U$1)</f>
        <v>0</v>
      </c>
      <c r="V129" s="179">
        <f>SUMIFS('recurring2_based on steps'!$B129:$AY129,'recurring2_based on steps'!$B$1:$AY$1,V$1)+SUMIFS('changes2_based on steps'!$B129:$U129,'changes2_based on steps'!$B$1:$U$1,V$1)</f>
        <v>0</v>
      </c>
      <c r="W129" s="179">
        <f>SUMIFS('recurring2_based on steps'!$B129:$AY129,'recurring2_based on steps'!$B$1:$AY$1,W$1)+SUMIFS('changes2_based on steps'!$B129:$U129,'changes2_based on steps'!$B$1:$U$1,W$1)</f>
        <v>0</v>
      </c>
      <c r="X129" s="179">
        <f>SUMIFS('recurring2_based on steps'!$B129:$AY129,'recurring2_based on steps'!$B$1:$AY$1,X$1)+SUMIFS('changes2_based on steps'!$B129:$U129,'changes2_based on steps'!$B$1:$U$1,X$1)</f>
        <v>0</v>
      </c>
      <c r="Y129" s="179">
        <f>SUMIFS('recurring2_based on steps'!$B129:$AY129,'recurring2_based on steps'!$B$1:$AY$1,Y$1)+SUMIFS('changes2_based on steps'!$B129:$U129,'changes2_based on steps'!$B$1:$U$1,Y$1)</f>
        <v>0</v>
      </c>
      <c r="Z129" s="179">
        <f>SUMIFS('recurring2_based on steps'!$B129:$AY129,'recurring2_based on steps'!$B$1:$AY$1,Z$1)+SUMIFS('changes2_based on steps'!$B129:$U129,'changes2_based on steps'!$B$1:$U$1,Z$1)</f>
        <v>0</v>
      </c>
      <c r="AA129" s="179">
        <f>SUMIFS('recurring2_based on steps'!$B129:$AY129,'recurring2_based on steps'!$B$1:$AY$1,AA$1)+SUMIFS('changes2_based on steps'!$B129:$U129,'changes2_based on steps'!$B$1:$U$1,AA$1)</f>
        <v>0</v>
      </c>
      <c r="AB129" s="179">
        <f>SUMIFS('recurring2_based on steps'!$B129:$AY129,'recurring2_based on steps'!$B$1:$AY$1,AB$1)+SUMIFS('changes2_based on steps'!$B129:$U129,'changes2_based on steps'!$B$1:$U$1,AB$1)</f>
        <v>0</v>
      </c>
      <c r="AC129" s="179">
        <f>SUMIFS('recurring2_based on steps'!$B129:$AY129,'recurring2_based on steps'!$B$1:$AY$1,AC$1)+SUMIFS('changes2_based on steps'!$B129:$U129,'changes2_based on steps'!$B$1:$U$1,AC$1)</f>
        <v>0</v>
      </c>
      <c r="AD129" s="179">
        <f>SUMIFS('recurring2_based on steps'!$B129:$AY129,'recurring2_based on steps'!$B$1:$AY$1,AD$1)+SUMIFS('changes2_based on steps'!$B129:$U129,'changes2_based on steps'!$B$1:$U$1,AD$1)</f>
        <v>0</v>
      </c>
      <c r="AE129" s="179">
        <f>SUMIFS('recurring2_based on steps'!$B129:$AY129,'recurring2_based on steps'!$B$1:$AY$1,AE$1)+SUMIFS('changes2_based on steps'!$B129:$U129,'changes2_based on steps'!$B$1:$U$1,AE$1)</f>
        <v>0</v>
      </c>
      <c r="AF129" s="179"/>
      <c r="AG129" s="179"/>
      <c r="AH129" s="179"/>
      <c r="AI129" s="179"/>
      <c r="AJ129" s="179"/>
      <c r="AK129" s="179"/>
      <c r="AL129" s="179"/>
      <c r="AM129" s="179"/>
    </row>
    <row r="130" spans="1:39" x14ac:dyDescent="0.2">
      <c r="A130" s="32">
        <f t="shared" ca="1" si="1"/>
        <v>45879</v>
      </c>
      <c r="B130" s="179">
        <f>SUMIFS('recurring2_based on steps'!$B130:$AY130,'recurring2_based on steps'!$B$1:$AY$1,B$1)+SUMIFS('changes2_based on steps'!$B130:$U130,'changes2_based on steps'!$B$1:$U$1,B$1)</f>
        <v>0</v>
      </c>
      <c r="C130" s="179">
        <f>SUMIFS('recurring2_based on steps'!$B130:$AY130,'recurring2_based on steps'!$B$1:$AY$1,C$1)+SUMIFS('changes2_based on steps'!$B130:$U130,'changes2_based on steps'!$B$1:$U$1,C$1)</f>
        <v>0</v>
      </c>
      <c r="D130" s="179">
        <f>SUMIFS('recurring2_based on steps'!$B130:$AY130,'recurring2_based on steps'!$B$1:$AY$1,D$1)+SUMIFS('changes2_based on steps'!$B130:$U130,'changes2_based on steps'!$B$1:$U$1,D$1)</f>
        <v>0</v>
      </c>
      <c r="E130" s="179">
        <f>SUMIFS('recurring2_based on steps'!$B130:$AY130,'recurring2_based on steps'!$B$1:$AY$1,E$1)+SUMIFS('changes2_based on steps'!$B130:$U130,'changes2_based on steps'!$B$1:$U$1,E$1)</f>
        <v>0</v>
      </c>
      <c r="F130" s="179">
        <f>SUMIFS('recurring2_based on steps'!$B130:$AY130,'recurring2_based on steps'!$B$1:$AY$1,F$1)+SUMIFS('changes2_based on steps'!$B130:$U130,'changes2_based on steps'!$B$1:$U$1,F$1)</f>
        <v>0</v>
      </c>
      <c r="G130" s="179">
        <f>SUMIFS('recurring2_based on steps'!$B130:$AY130,'recurring2_based on steps'!$B$1:$AY$1,G$1)+SUMIFS('changes2_based on steps'!$B130:$U130,'changes2_based on steps'!$B$1:$U$1,G$1)</f>
        <v>0</v>
      </c>
      <c r="H130" s="179">
        <f>SUMIFS('recurring2_based on steps'!$B130:$AY130,'recurring2_based on steps'!$B$1:$AY$1,H$1)+SUMIFS('changes2_based on steps'!$B130:$U130,'changes2_based on steps'!$B$1:$U$1,H$1)</f>
        <v>0</v>
      </c>
      <c r="I130" s="179">
        <f>SUMIFS('recurring2_based on steps'!$B130:$AY130,'recurring2_based on steps'!$B$1:$AY$1,I$1)+SUMIFS('changes2_based on steps'!$B130:$U130,'changes2_based on steps'!$B$1:$U$1,I$1)</f>
        <v>0</v>
      </c>
      <c r="J130" s="179">
        <f>SUMIFS('recurring2_based on steps'!$B130:$AY130,'recurring2_based on steps'!$B$1:$AY$1,J$1)+SUMIFS('changes2_based on steps'!$B130:$U130,'changes2_based on steps'!$B$1:$U$1,J$1)</f>
        <v>0</v>
      </c>
      <c r="K130" s="179">
        <f>SUMIFS('recurring2_based on steps'!$B130:$AY130,'recurring2_based on steps'!$B$1:$AY$1,K$1)+SUMIFS('changes2_based on steps'!$B130:$U130,'changes2_based on steps'!$B$1:$U$1,K$1)</f>
        <v>0</v>
      </c>
      <c r="L130" s="179">
        <f>SUMIFS('recurring2_based on steps'!$B130:$AY130,'recurring2_based on steps'!$B$1:$AY$1,L$1)+SUMIFS('changes2_based on steps'!$B130:$U130,'changes2_based on steps'!$B$1:$U$1,L$1)</f>
        <v>0</v>
      </c>
      <c r="M130" s="179">
        <f>SUMIFS('recurring2_based on steps'!$B130:$AY130,'recurring2_based on steps'!$B$1:$AY$1,M$1)+SUMIFS('changes2_based on steps'!$B130:$U130,'changes2_based on steps'!$B$1:$U$1,M$1)</f>
        <v>0</v>
      </c>
      <c r="N130" s="179">
        <f>SUMIFS('recurring2_based on steps'!$B130:$AY130,'recurring2_based on steps'!$B$1:$AY$1,N$1)+SUMIFS('changes2_based on steps'!$B130:$U130,'changes2_based on steps'!$B$1:$U$1,N$1)</f>
        <v>0</v>
      </c>
      <c r="O130" s="179">
        <f>SUMIFS('recurring2_based on steps'!$B130:$AY130,'recurring2_based on steps'!$B$1:$AY$1,O$1)+SUMIFS('changes2_based on steps'!$B130:$U130,'changes2_based on steps'!$B$1:$U$1,O$1)</f>
        <v>0</v>
      </c>
      <c r="P130" s="179">
        <f>SUMIFS('recurring2_based on steps'!$B130:$AY130,'recurring2_based on steps'!$B$1:$AY$1,P$1)+SUMIFS('changes2_based on steps'!$B130:$U130,'changes2_based on steps'!$B$1:$U$1,P$1)</f>
        <v>0</v>
      </c>
      <c r="Q130" s="179">
        <f>SUMIFS('recurring2_based on steps'!$B130:$AY130,'recurring2_based on steps'!$B$1:$AY$1,Q$1)+SUMIFS('changes2_based on steps'!$B130:$U130,'changes2_based on steps'!$B$1:$U$1,Q$1)</f>
        <v>0</v>
      </c>
      <c r="R130" s="179">
        <f>SUMIFS('recurring2_based on steps'!$B130:$AY130,'recurring2_based on steps'!$B$1:$AY$1,R$1)+SUMIFS('changes2_based on steps'!$B130:$U130,'changes2_based on steps'!$B$1:$U$1,R$1)</f>
        <v>0</v>
      </c>
      <c r="S130" s="179">
        <f>SUMIFS('recurring2_based on steps'!$B130:$AY130,'recurring2_based on steps'!$B$1:$AY$1,S$1)+SUMIFS('changes2_based on steps'!$B130:$U130,'changes2_based on steps'!$B$1:$U$1,S$1)</f>
        <v>0</v>
      </c>
      <c r="T130" s="179">
        <f>SUMIFS('recurring2_based on steps'!$B130:$AY130,'recurring2_based on steps'!$B$1:$AY$1,T$1)+SUMIFS('changes2_based on steps'!$B130:$U130,'changes2_based on steps'!$B$1:$U$1,T$1)</f>
        <v>0</v>
      </c>
      <c r="U130" s="179">
        <f>SUMIFS('recurring2_based on steps'!$B130:$AY130,'recurring2_based on steps'!$B$1:$AY$1,U$1)+SUMIFS('changes2_based on steps'!$B130:$U130,'changes2_based on steps'!$B$1:$U$1,U$1)</f>
        <v>0</v>
      </c>
      <c r="V130" s="179">
        <f>SUMIFS('recurring2_based on steps'!$B130:$AY130,'recurring2_based on steps'!$B$1:$AY$1,V$1)+SUMIFS('changes2_based on steps'!$B130:$U130,'changes2_based on steps'!$B$1:$U$1,V$1)</f>
        <v>0</v>
      </c>
      <c r="W130" s="179">
        <f>SUMIFS('recurring2_based on steps'!$B130:$AY130,'recurring2_based on steps'!$B$1:$AY$1,W$1)+SUMIFS('changes2_based on steps'!$B130:$U130,'changes2_based on steps'!$B$1:$U$1,W$1)</f>
        <v>0</v>
      </c>
      <c r="X130" s="179">
        <f>SUMIFS('recurring2_based on steps'!$B130:$AY130,'recurring2_based on steps'!$B$1:$AY$1,X$1)+SUMIFS('changes2_based on steps'!$B130:$U130,'changes2_based on steps'!$B$1:$U$1,X$1)</f>
        <v>0</v>
      </c>
      <c r="Y130" s="179">
        <f>SUMIFS('recurring2_based on steps'!$B130:$AY130,'recurring2_based on steps'!$B$1:$AY$1,Y$1)+SUMIFS('changes2_based on steps'!$B130:$U130,'changes2_based on steps'!$B$1:$U$1,Y$1)</f>
        <v>0</v>
      </c>
      <c r="Z130" s="179">
        <f>SUMIFS('recurring2_based on steps'!$B130:$AY130,'recurring2_based on steps'!$B$1:$AY$1,Z$1)+SUMIFS('changes2_based on steps'!$B130:$U130,'changes2_based on steps'!$B$1:$U$1,Z$1)</f>
        <v>0</v>
      </c>
      <c r="AA130" s="179">
        <f>SUMIFS('recurring2_based on steps'!$B130:$AY130,'recurring2_based on steps'!$B$1:$AY$1,AA$1)+SUMIFS('changes2_based on steps'!$B130:$U130,'changes2_based on steps'!$B$1:$U$1,AA$1)</f>
        <v>0</v>
      </c>
      <c r="AB130" s="179">
        <f>SUMIFS('recurring2_based on steps'!$B130:$AY130,'recurring2_based on steps'!$B$1:$AY$1,AB$1)+SUMIFS('changes2_based on steps'!$B130:$U130,'changes2_based on steps'!$B$1:$U$1,AB$1)</f>
        <v>0</v>
      </c>
      <c r="AC130" s="179">
        <f>SUMIFS('recurring2_based on steps'!$B130:$AY130,'recurring2_based on steps'!$B$1:$AY$1,AC$1)+SUMIFS('changes2_based on steps'!$B130:$U130,'changes2_based on steps'!$B$1:$U$1,AC$1)</f>
        <v>0</v>
      </c>
      <c r="AD130" s="179">
        <f>SUMIFS('recurring2_based on steps'!$B130:$AY130,'recurring2_based on steps'!$B$1:$AY$1,AD$1)+SUMIFS('changes2_based on steps'!$B130:$U130,'changes2_based on steps'!$B$1:$U$1,AD$1)</f>
        <v>0</v>
      </c>
      <c r="AE130" s="179">
        <f>SUMIFS('recurring2_based on steps'!$B130:$AY130,'recurring2_based on steps'!$B$1:$AY$1,AE$1)+SUMIFS('changes2_based on steps'!$B130:$U130,'changes2_based on steps'!$B$1:$U$1,AE$1)</f>
        <v>0</v>
      </c>
      <c r="AF130" s="179"/>
      <c r="AG130" s="179"/>
      <c r="AH130" s="179"/>
      <c r="AI130" s="179"/>
      <c r="AJ130" s="179"/>
      <c r="AK130" s="179"/>
      <c r="AL130" s="179"/>
      <c r="AM130" s="179"/>
    </row>
    <row r="131" spans="1:39" x14ac:dyDescent="0.2">
      <c r="A131" s="32">
        <f t="shared" ca="1" si="1"/>
        <v>45880</v>
      </c>
      <c r="B131" s="179">
        <f>SUMIFS('recurring2_based on steps'!$B131:$AY131,'recurring2_based on steps'!$B$1:$AY$1,B$1)+SUMIFS('changes2_based on steps'!$B131:$U131,'changes2_based on steps'!$B$1:$U$1,B$1)</f>
        <v>0</v>
      </c>
      <c r="C131" s="179">
        <f>SUMIFS('recurring2_based on steps'!$B131:$AY131,'recurring2_based on steps'!$B$1:$AY$1,C$1)+SUMIFS('changes2_based on steps'!$B131:$U131,'changes2_based on steps'!$B$1:$U$1,C$1)</f>
        <v>0</v>
      </c>
      <c r="D131" s="179">
        <f>SUMIFS('recurring2_based on steps'!$B131:$AY131,'recurring2_based on steps'!$B$1:$AY$1,D$1)+SUMIFS('changes2_based on steps'!$B131:$U131,'changes2_based on steps'!$B$1:$U$1,D$1)</f>
        <v>0</v>
      </c>
      <c r="E131" s="179">
        <f>SUMIFS('recurring2_based on steps'!$B131:$AY131,'recurring2_based on steps'!$B$1:$AY$1,E$1)+SUMIFS('changes2_based on steps'!$B131:$U131,'changes2_based on steps'!$B$1:$U$1,E$1)</f>
        <v>0</v>
      </c>
      <c r="F131" s="179">
        <f>SUMIFS('recurring2_based on steps'!$B131:$AY131,'recurring2_based on steps'!$B$1:$AY$1,F$1)+SUMIFS('changes2_based on steps'!$B131:$U131,'changes2_based on steps'!$B$1:$U$1,F$1)</f>
        <v>0</v>
      </c>
      <c r="G131" s="179">
        <f>SUMIFS('recurring2_based on steps'!$B131:$AY131,'recurring2_based on steps'!$B$1:$AY$1,G$1)+SUMIFS('changes2_based on steps'!$B131:$U131,'changes2_based on steps'!$B$1:$U$1,G$1)</f>
        <v>0</v>
      </c>
      <c r="H131" s="179">
        <f>SUMIFS('recurring2_based on steps'!$B131:$AY131,'recurring2_based on steps'!$B$1:$AY$1,H$1)+SUMIFS('changes2_based on steps'!$B131:$U131,'changes2_based on steps'!$B$1:$U$1,H$1)</f>
        <v>0</v>
      </c>
      <c r="I131" s="179">
        <f>SUMIFS('recurring2_based on steps'!$B131:$AY131,'recurring2_based on steps'!$B$1:$AY$1,I$1)+SUMIFS('changes2_based on steps'!$B131:$U131,'changes2_based on steps'!$B$1:$U$1,I$1)</f>
        <v>0</v>
      </c>
      <c r="J131" s="179">
        <f>SUMIFS('recurring2_based on steps'!$B131:$AY131,'recurring2_based on steps'!$B$1:$AY$1,J$1)+SUMIFS('changes2_based on steps'!$B131:$U131,'changes2_based on steps'!$B$1:$U$1,J$1)</f>
        <v>0</v>
      </c>
      <c r="K131" s="179">
        <f>SUMIFS('recurring2_based on steps'!$B131:$AY131,'recurring2_based on steps'!$B$1:$AY$1,K$1)+SUMIFS('changes2_based on steps'!$B131:$U131,'changes2_based on steps'!$B$1:$U$1,K$1)</f>
        <v>0</v>
      </c>
      <c r="L131" s="179">
        <f>SUMIFS('recurring2_based on steps'!$B131:$AY131,'recurring2_based on steps'!$B$1:$AY$1,L$1)+SUMIFS('changes2_based on steps'!$B131:$U131,'changes2_based on steps'!$B$1:$U$1,L$1)</f>
        <v>0</v>
      </c>
      <c r="M131" s="179">
        <f>SUMIFS('recurring2_based on steps'!$B131:$AY131,'recurring2_based on steps'!$B$1:$AY$1,M$1)+SUMIFS('changes2_based on steps'!$B131:$U131,'changes2_based on steps'!$B$1:$U$1,M$1)</f>
        <v>0</v>
      </c>
      <c r="N131" s="179">
        <f>SUMIFS('recurring2_based on steps'!$B131:$AY131,'recurring2_based on steps'!$B$1:$AY$1,N$1)+SUMIFS('changes2_based on steps'!$B131:$U131,'changes2_based on steps'!$B$1:$U$1,N$1)</f>
        <v>0</v>
      </c>
      <c r="O131" s="179">
        <f>SUMIFS('recurring2_based on steps'!$B131:$AY131,'recurring2_based on steps'!$B$1:$AY$1,O$1)+SUMIFS('changes2_based on steps'!$B131:$U131,'changes2_based on steps'!$B$1:$U$1,O$1)</f>
        <v>0</v>
      </c>
      <c r="P131" s="179">
        <f>SUMIFS('recurring2_based on steps'!$B131:$AY131,'recurring2_based on steps'!$B$1:$AY$1,P$1)+SUMIFS('changes2_based on steps'!$B131:$U131,'changes2_based on steps'!$B$1:$U$1,P$1)</f>
        <v>0</v>
      </c>
      <c r="Q131" s="179">
        <f>SUMIFS('recurring2_based on steps'!$B131:$AY131,'recurring2_based on steps'!$B$1:$AY$1,Q$1)+SUMIFS('changes2_based on steps'!$B131:$U131,'changes2_based on steps'!$B$1:$U$1,Q$1)</f>
        <v>0</v>
      </c>
      <c r="R131" s="179">
        <f>SUMIFS('recurring2_based on steps'!$B131:$AY131,'recurring2_based on steps'!$B$1:$AY$1,R$1)+SUMIFS('changes2_based on steps'!$B131:$U131,'changes2_based on steps'!$B$1:$U$1,R$1)</f>
        <v>0</v>
      </c>
      <c r="S131" s="179">
        <f>SUMIFS('recurring2_based on steps'!$B131:$AY131,'recurring2_based on steps'!$B$1:$AY$1,S$1)+SUMIFS('changes2_based on steps'!$B131:$U131,'changes2_based on steps'!$B$1:$U$1,S$1)</f>
        <v>0</v>
      </c>
      <c r="T131" s="179">
        <f>SUMIFS('recurring2_based on steps'!$B131:$AY131,'recurring2_based on steps'!$B$1:$AY$1,T$1)+SUMIFS('changes2_based on steps'!$B131:$U131,'changes2_based on steps'!$B$1:$U$1,T$1)</f>
        <v>0</v>
      </c>
      <c r="U131" s="179">
        <f>SUMIFS('recurring2_based on steps'!$B131:$AY131,'recurring2_based on steps'!$B$1:$AY$1,U$1)+SUMIFS('changes2_based on steps'!$B131:$U131,'changes2_based on steps'!$B$1:$U$1,U$1)</f>
        <v>0</v>
      </c>
      <c r="V131" s="179">
        <f>SUMIFS('recurring2_based on steps'!$B131:$AY131,'recurring2_based on steps'!$B$1:$AY$1,V$1)+SUMIFS('changes2_based on steps'!$B131:$U131,'changes2_based on steps'!$B$1:$U$1,V$1)</f>
        <v>0</v>
      </c>
      <c r="W131" s="179">
        <f>SUMIFS('recurring2_based on steps'!$B131:$AY131,'recurring2_based on steps'!$B$1:$AY$1,W$1)+SUMIFS('changes2_based on steps'!$B131:$U131,'changes2_based on steps'!$B$1:$U$1,W$1)</f>
        <v>0</v>
      </c>
      <c r="X131" s="179">
        <f>SUMIFS('recurring2_based on steps'!$B131:$AY131,'recurring2_based on steps'!$B$1:$AY$1,X$1)+SUMIFS('changes2_based on steps'!$B131:$U131,'changes2_based on steps'!$B$1:$U$1,X$1)</f>
        <v>0</v>
      </c>
      <c r="Y131" s="179">
        <f>SUMIFS('recurring2_based on steps'!$B131:$AY131,'recurring2_based on steps'!$B$1:$AY$1,Y$1)+SUMIFS('changes2_based on steps'!$B131:$U131,'changes2_based on steps'!$B$1:$U$1,Y$1)</f>
        <v>0</v>
      </c>
      <c r="Z131" s="179">
        <f>SUMIFS('recurring2_based on steps'!$B131:$AY131,'recurring2_based on steps'!$B$1:$AY$1,Z$1)+SUMIFS('changes2_based on steps'!$B131:$U131,'changes2_based on steps'!$B$1:$U$1,Z$1)</f>
        <v>0</v>
      </c>
      <c r="AA131" s="179">
        <f>SUMIFS('recurring2_based on steps'!$B131:$AY131,'recurring2_based on steps'!$B$1:$AY$1,AA$1)+SUMIFS('changes2_based on steps'!$B131:$U131,'changes2_based on steps'!$B$1:$U$1,AA$1)</f>
        <v>0</v>
      </c>
      <c r="AB131" s="179">
        <f>SUMIFS('recurring2_based on steps'!$B131:$AY131,'recurring2_based on steps'!$B$1:$AY$1,AB$1)+SUMIFS('changes2_based on steps'!$B131:$U131,'changes2_based on steps'!$B$1:$U$1,AB$1)</f>
        <v>0</v>
      </c>
      <c r="AC131" s="179">
        <f>SUMIFS('recurring2_based on steps'!$B131:$AY131,'recurring2_based on steps'!$B$1:$AY$1,AC$1)+SUMIFS('changes2_based on steps'!$B131:$U131,'changes2_based on steps'!$B$1:$U$1,AC$1)</f>
        <v>0</v>
      </c>
      <c r="AD131" s="179">
        <f>SUMIFS('recurring2_based on steps'!$B131:$AY131,'recurring2_based on steps'!$B$1:$AY$1,AD$1)+SUMIFS('changes2_based on steps'!$B131:$U131,'changes2_based on steps'!$B$1:$U$1,AD$1)</f>
        <v>0</v>
      </c>
      <c r="AE131" s="179">
        <f>SUMIFS('recurring2_based on steps'!$B131:$AY131,'recurring2_based on steps'!$B$1:$AY$1,AE$1)+SUMIFS('changes2_based on steps'!$B131:$U131,'changes2_based on steps'!$B$1:$U$1,AE$1)</f>
        <v>0</v>
      </c>
      <c r="AF131" s="179"/>
      <c r="AG131" s="179"/>
      <c r="AH131" s="179"/>
      <c r="AI131" s="179"/>
      <c r="AJ131" s="179"/>
      <c r="AK131" s="179"/>
      <c r="AL131" s="179"/>
      <c r="AM131" s="179"/>
    </row>
    <row r="132" spans="1:39" x14ac:dyDescent="0.2">
      <c r="A132" s="32">
        <f t="shared" ca="1" si="1"/>
        <v>45881</v>
      </c>
      <c r="B132" s="179">
        <f>SUMIFS('recurring2_based on steps'!$B132:$AY132,'recurring2_based on steps'!$B$1:$AY$1,B$1)+SUMIFS('changes2_based on steps'!$B132:$U132,'changes2_based on steps'!$B$1:$U$1,B$1)</f>
        <v>0</v>
      </c>
      <c r="C132" s="179">
        <f>SUMIFS('recurring2_based on steps'!$B132:$AY132,'recurring2_based on steps'!$B$1:$AY$1,C$1)+SUMIFS('changes2_based on steps'!$B132:$U132,'changes2_based on steps'!$B$1:$U$1,C$1)</f>
        <v>0</v>
      </c>
      <c r="D132" s="179">
        <f>SUMIFS('recurring2_based on steps'!$B132:$AY132,'recurring2_based on steps'!$B$1:$AY$1,D$1)+SUMIFS('changes2_based on steps'!$B132:$U132,'changes2_based on steps'!$B$1:$U$1,D$1)</f>
        <v>0</v>
      </c>
      <c r="E132" s="179">
        <f>SUMIFS('recurring2_based on steps'!$B132:$AY132,'recurring2_based on steps'!$B$1:$AY$1,E$1)+SUMIFS('changes2_based on steps'!$B132:$U132,'changes2_based on steps'!$B$1:$U$1,E$1)</f>
        <v>0</v>
      </c>
      <c r="F132" s="179">
        <f>SUMIFS('recurring2_based on steps'!$B132:$AY132,'recurring2_based on steps'!$B$1:$AY$1,F$1)+SUMIFS('changes2_based on steps'!$B132:$U132,'changes2_based on steps'!$B$1:$U$1,F$1)</f>
        <v>0</v>
      </c>
      <c r="G132" s="179">
        <f>SUMIFS('recurring2_based on steps'!$B132:$AY132,'recurring2_based on steps'!$B$1:$AY$1,G$1)+SUMIFS('changes2_based on steps'!$B132:$U132,'changes2_based on steps'!$B$1:$U$1,G$1)</f>
        <v>0</v>
      </c>
      <c r="H132" s="179">
        <f>SUMIFS('recurring2_based on steps'!$B132:$AY132,'recurring2_based on steps'!$B$1:$AY$1,H$1)+SUMIFS('changes2_based on steps'!$B132:$U132,'changes2_based on steps'!$B$1:$U$1,H$1)</f>
        <v>0</v>
      </c>
      <c r="I132" s="179">
        <f>SUMIFS('recurring2_based on steps'!$B132:$AY132,'recurring2_based on steps'!$B$1:$AY$1,I$1)+SUMIFS('changes2_based on steps'!$B132:$U132,'changes2_based on steps'!$B$1:$U$1,I$1)</f>
        <v>0</v>
      </c>
      <c r="J132" s="179">
        <f>SUMIFS('recurring2_based on steps'!$B132:$AY132,'recurring2_based on steps'!$B$1:$AY$1,J$1)+SUMIFS('changes2_based on steps'!$B132:$U132,'changes2_based on steps'!$B$1:$U$1,J$1)</f>
        <v>0</v>
      </c>
      <c r="K132" s="179">
        <f>SUMIFS('recurring2_based on steps'!$B132:$AY132,'recurring2_based on steps'!$B$1:$AY$1,K$1)+SUMIFS('changes2_based on steps'!$B132:$U132,'changes2_based on steps'!$B$1:$U$1,K$1)</f>
        <v>0</v>
      </c>
      <c r="L132" s="179">
        <f>SUMIFS('recurring2_based on steps'!$B132:$AY132,'recurring2_based on steps'!$B$1:$AY$1,L$1)+SUMIFS('changes2_based on steps'!$B132:$U132,'changes2_based on steps'!$B$1:$U$1,L$1)</f>
        <v>0</v>
      </c>
      <c r="M132" s="179">
        <f>SUMIFS('recurring2_based on steps'!$B132:$AY132,'recurring2_based on steps'!$B$1:$AY$1,M$1)+SUMIFS('changes2_based on steps'!$B132:$U132,'changes2_based on steps'!$B$1:$U$1,M$1)</f>
        <v>0</v>
      </c>
      <c r="N132" s="179">
        <f>SUMIFS('recurring2_based on steps'!$B132:$AY132,'recurring2_based on steps'!$B$1:$AY$1,N$1)+SUMIFS('changes2_based on steps'!$B132:$U132,'changes2_based on steps'!$B$1:$U$1,N$1)</f>
        <v>0</v>
      </c>
      <c r="O132" s="179">
        <f>SUMIFS('recurring2_based on steps'!$B132:$AY132,'recurring2_based on steps'!$B$1:$AY$1,O$1)+SUMIFS('changes2_based on steps'!$B132:$U132,'changes2_based on steps'!$B$1:$U$1,O$1)</f>
        <v>0</v>
      </c>
      <c r="P132" s="179">
        <f>SUMIFS('recurring2_based on steps'!$B132:$AY132,'recurring2_based on steps'!$B$1:$AY$1,P$1)+SUMIFS('changes2_based on steps'!$B132:$U132,'changes2_based on steps'!$B$1:$U$1,P$1)</f>
        <v>0</v>
      </c>
      <c r="Q132" s="179">
        <f>SUMIFS('recurring2_based on steps'!$B132:$AY132,'recurring2_based on steps'!$B$1:$AY$1,Q$1)+SUMIFS('changes2_based on steps'!$B132:$U132,'changes2_based on steps'!$B$1:$U$1,Q$1)</f>
        <v>0</v>
      </c>
      <c r="R132" s="179">
        <f>SUMIFS('recurring2_based on steps'!$B132:$AY132,'recurring2_based on steps'!$B$1:$AY$1,R$1)+SUMIFS('changes2_based on steps'!$B132:$U132,'changes2_based on steps'!$B$1:$U$1,R$1)</f>
        <v>0</v>
      </c>
      <c r="S132" s="179">
        <f>SUMIFS('recurring2_based on steps'!$B132:$AY132,'recurring2_based on steps'!$B$1:$AY$1,S$1)+SUMIFS('changes2_based on steps'!$B132:$U132,'changes2_based on steps'!$B$1:$U$1,S$1)</f>
        <v>0</v>
      </c>
      <c r="T132" s="179">
        <f>SUMIFS('recurring2_based on steps'!$B132:$AY132,'recurring2_based on steps'!$B$1:$AY$1,T$1)+SUMIFS('changes2_based on steps'!$B132:$U132,'changes2_based on steps'!$B$1:$U$1,T$1)</f>
        <v>0</v>
      </c>
      <c r="U132" s="179">
        <f>SUMIFS('recurring2_based on steps'!$B132:$AY132,'recurring2_based on steps'!$B$1:$AY$1,U$1)+SUMIFS('changes2_based on steps'!$B132:$U132,'changes2_based on steps'!$B$1:$U$1,U$1)</f>
        <v>0</v>
      </c>
      <c r="V132" s="179">
        <f>SUMIFS('recurring2_based on steps'!$B132:$AY132,'recurring2_based on steps'!$B$1:$AY$1,V$1)+SUMIFS('changes2_based on steps'!$B132:$U132,'changes2_based on steps'!$B$1:$U$1,V$1)</f>
        <v>0</v>
      </c>
      <c r="W132" s="179">
        <f>SUMIFS('recurring2_based on steps'!$B132:$AY132,'recurring2_based on steps'!$B$1:$AY$1,W$1)+SUMIFS('changes2_based on steps'!$B132:$U132,'changes2_based on steps'!$B$1:$U$1,W$1)</f>
        <v>0</v>
      </c>
      <c r="X132" s="179">
        <f>SUMIFS('recurring2_based on steps'!$B132:$AY132,'recurring2_based on steps'!$B$1:$AY$1,X$1)+SUMIFS('changes2_based on steps'!$B132:$U132,'changes2_based on steps'!$B$1:$U$1,X$1)</f>
        <v>0</v>
      </c>
      <c r="Y132" s="179">
        <f>SUMIFS('recurring2_based on steps'!$B132:$AY132,'recurring2_based on steps'!$B$1:$AY$1,Y$1)+SUMIFS('changes2_based on steps'!$B132:$U132,'changes2_based on steps'!$B$1:$U$1,Y$1)</f>
        <v>0</v>
      </c>
      <c r="Z132" s="179">
        <f>SUMIFS('recurring2_based on steps'!$B132:$AY132,'recurring2_based on steps'!$B$1:$AY$1,Z$1)+SUMIFS('changes2_based on steps'!$B132:$U132,'changes2_based on steps'!$B$1:$U$1,Z$1)</f>
        <v>0</v>
      </c>
      <c r="AA132" s="179">
        <f>SUMIFS('recurring2_based on steps'!$B132:$AY132,'recurring2_based on steps'!$B$1:$AY$1,AA$1)+SUMIFS('changes2_based on steps'!$B132:$U132,'changes2_based on steps'!$B$1:$U$1,AA$1)</f>
        <v>0</v>
      </c>
      <c r="AB132" s="179">
        <f>SUMIFS('recurring2_based on steps'!$B132:$AY132,'recurring2_based on steps'!$B$1:$AY$1,AB$1)+SUMIFS('changes2_based on steps'!$B132:$U132,'changes2_based on steps'!$B$1:$U$1,AB$1)</f>
        <v>0</v>
      </c>
      <c r="AC132" s="179">
        <f>SUMIFS('recurring2_based on steps'!$B132:$AY132,'recurring2_based on steps'!$B$1:$AY$1,AC$1)+SUMIFS('changes2_based on steps'!$B132:$U132,'changes2_based on steps'!$B$1:$U$1,AC$1)</f>
        <v>0</v>
      </c>
      <c r="AD132" s="179">
        <f>SUMIFS('recurring2_based on steps'!$B132:$AY132,'recurring2_based on steps'!$B$1:$AY$1,AD$1)+SUMIFS('changes2_based on steps'!$B132:$U132,'changes2_based on steps'!$B$1:$U$1,AD$1)</f>
        <v>0</v>
      </c>
      <c r="AE132" s="179">
        <f>SUMIFS('recurring2_based on steps'!$B132:$AY132,'recurring2_based on steps'!$B$1:$AY$1,AE$1)+SUMIFS('changes2_based on steps'!$B132:$U132,'changes2_based on steps'!$B$1:$U$1,AE$1)</f>
        <v>0</v>
      </c>
      <c r="AF132" s="179"/>
      <c r="AG132" s="179"/>
      <c r="AH132" s="179"/>
      <c r="AI132" s="179"/>
      <c r="AJ132" s="179"/>
      <c r="AK132" s="179"/>
      <c r="AL132" s="179"/>
      <c r="AM132" s="179"/>
    </row>
    <row r="133" spans="1:39" x14ac:dyDescent="0.2">
      <c r="A133" s="32">
        <f t="shared" ref="A133:A196" ca="1" si="2">A132+1</f>
        <v>45882</v>
      </c>
      <c r="B133" s="179">
        <f>SUMIFS('recurring2_based on steps'!$B133:$AY133,'recurring2_based on steps'!$B$1:$AY$1,B$1)+SUMIFS('changes2_based on steps'!$B133:$U133,'changes2_based on steps'!$B$1:$U$1,B$1)</f>
        <v>0</v>
      </c>
      <c r="C133" s="179">
        <f>SUMIFS('recurring2_based on steps'!$B133:$AY133,'recurring2_based on steps'!$B$1:$AY$1,C$1)+SUMIFS('changes2_based on steps'!$B133:$U133,'changes2_based on steps'!$B$1:$U$1,C$1)</f>
        <v>0</v>
      </c>
      <c r="D133" s="179">
        <f>SUMIFS('recurring2_based on steps'!$B133:$AY133,'recurring2_based on steps'!$B$1:$AY$1,D$1)+SUMIFS('changes2_based on steps'!$B133:$U133,'changes2_based on steps'!$B$1:$U$1,D$1)</f>
        <v>0</v>
      </c>
      <c r="E133" s="179">
        <f>SUMIFS('recurring2_based on steps'!$B133:$AY133,'recurring2_based on steps'!$B$1:$AY$1,E$1)+SUMIFS('changes2_based on steps'!$B133:$U133,'changes2_based on steps'!$B$1:$U$1,E$1)</f>
        <v>0</v>
      </c>
      <c r="F133" s="179">
        <f>SUMIFS('recurring2_based on steps'!$B133:$AY133,'recurring2_based on steps'!$B$1:$AY$1,F$1)+SUMIFS('changes2_based on steps'!$B133:$U133,'changes2_based on steps'!$B$1:$U$1,F$1)</f>
        <v>0</v>
      </c>
      <c r="G133" s="179">
        <f>SUMIFS('recurring2_based on steps'!$B133:$AY133,'recurring2_based on steps'!$B$1:$AY$1,G$1)+SUMIFS('changes2_based on steps'!$B133:$U133,'changes2_based on steps'!$B$1:$U$1,G$1)</f>
        <v>0</v>
      </c>
      <c r="H133" s="179">
        <f>SUMIFS('recurring2_based on steps'!$B133:$AY133,'recurring2_based on steps'!$B$1:$AY$1,H$1)+SUMIFS('changes2_based on steps'!$B133:$U133,'changes2_based on steps'!$B$1:$U$1,H$1)</f>
        <v>0</v>
      </c>
      <c r="I133" s="179">
        <f>SUMIFS('recurring2_based on steps'!$B133:$AY133,'recurring2_based on steps'!$B$1:$AY$1,I$1)+SUMIFS('changes2_based on steps'!$B133:$U133,'changes2_based on steps'!$B$1:$U$1,I$1)</f>
        <v>0</v>
      </c>
      <c r="J133" s="179">
        <f>SUMIFS('recurring2_based on steps'!$B133:$AY133,'recurring2_based on steps'!$B$1:$AY$1,J$1)+SUMIFS('changes2_based on steps'!$B133:$U133,'changes2_based on steps'!$B$1:$U$1,J$1)</f>
        <v>0</v>
      </c>
      <c r="K133" s="179">
        <f>SUMIFS('recurring2_based on steps'!$B133:$AY133,'recurring2_based on steps'!$B$1:$AY$1,K$1)+SUMIFS('changes2_based on steps'!$B133:$U133,'changes2_based on steps'!$B$1:$U$1,K$1)</f>
        <v>0</v>
      </c>
      <c r="L133" s="179">
        <f>SUMIFS('recurring2_based on steps'!$B133:$AY133,'recurring2_based on steps'!$B$1:$AY$1,L$1)+SUMIFS('changes2_based on steps'!$B133:$U133,'changes2_based on steps'!$B$1:$U$1,L$1)</f>
        <v>0</v>
      </c>
      <c r="M133" s="179">
        <f>SUMIFS('recurring2_based on steps'!$B133:$AY133,'recurring2_based on steps'!$B$1:$AY$1,M$1)+SUMIFS('changes2_based on steps'!$B133:$U133,'changes2_based on steps'!$B$1:$U$1,M$1)</f>
        <v>0</v>
      </c>
      <c r="N133" s="179">
        <f>SUMIFS('recurring2_based on steps'!$B133:$AY133,'recurring2_based on steps'!$B$1:$AY$1,N$1)+SUMIFS('changes2_based on steps'!$B133:$U133,'changes2_based on steps'!$B$1:$U$1,N$1)</f>
        <v>0</v>
      </c>
      <c r="O133" s="179">
        <f>SUMIFS('recurring2_based on steps'!$B133:$AY133,'recurring2_based on steps'!$B$1:$AY$1,O$1)+SUMIFS('changes2_based on steps'!$B133:$U133,'changes2_based on steps'!$B$1:$U$1,O$1)</f>
        <v>0</v>
      </c>
      <c r="P133" s="179">
        <f>SUMIFS('recurring2_based on steps'!$B133:$AY133,'recurring2_based on steps'!$B$1:$AY$1,P$1)+SUMIFS('changes2_based on steps'!$B133:$U133,'changes2_based on steps'!$B$1:$U$1,P$1)</f>
        <v>0</v>
      </c>
      <c r="Q133" s="179">
        <f>SUMIFS('recurring2_based on steps'!$B133:$AY133,'recurring2_based on steps'!$B$1:$AY$1,Q$1)+SUMIFS('changes2_based on steps'!$B133:$U133,'changes2_based on steps'!$B$1:$U$1,Q$1)</f>
        <v>0</v>
      </c>
      <c r="R133" s="179">
        <f>SUMIFS('recurring2_based on steps'!$B133:$AY133,'recurring2_based on steps'!$B$1:$AY$1,R$1)+SUMIFS('changes2_based on steps'!$B133:$U133,'changes2_based on steps'!$B$1:$U$1,R$1)</f>
        <v>0</v>
      </c>
      <c r="S133" s="179">
        <f>SUMIFS('recurring2_based on steps'!$B133:$AY133,'recurring2_based on steps'!$B$1:$AY$1,S$1)+SUMIFS('changes2_based on steps'!$B133:$U133,'changes2_based on steps'!$B$1:$U$1,S$1)</f>
        <v>0</v>
      </c>
      <c r="T133" s="179">
        <f>SUMIFS('recurring2_based on steps'!$B133:$AY133,'recurring2_based on steps'!$B$1:$AY$1,T$1)+SUMIFS('changes2_based on steps'!$B133:$U133,'changes2_based on steps'!$B$1:$U$1,T$1)</f>
        <v>0</v>
      </c>
      <c r="U133" s="179">
        <f>SUMIFS('recurring2_based on steps'!$B133:$AY133,'recurring2_based on steps'!$B$1:$AY$1,U$1)+SUMIFS('changes2_based on steps'!$B133:$U133,'changes2_based on steps'!$B$1:$U$1,U$1)</f>
        <v>0</v>
      </c>
      <c r="V133" s="179">
        <f>SUMIFS('recurring2_based on steps'!$B133:$AY133,'recurring2_based on steps'!$B$1:$AY$1,V$1)+SUMIFS('changes2_based on steps'!$B133:$U133,'changes2_based on steps'!$B$1:$U$1,V$1)</f>
        <v>0</v>
      </c>
      <c r="W133" s="179">
        <f>SUMIFS('recurring2_based on steps'!$B133:$AY133,'recurring2_based on steps'!$B$1:$AY$1,W$1)+SUMIFS('changes2_based on steps'!$B133:$U133,'changes2_based on steps'!$B$1:$U$1,W$1)</f>
        <v>0</v>
      </c>
      <c r="X133" s="179">
        <f>SUMIFS('recurring2_based on steps'!$B133:$AY133,'recurring2_based on steps'!$B$1:$AY$1,X$1)+SUMIFS('changes2_based on steps'!$B133:$U133,'changes2_based on steps'!$B$1:$U$1,X$1)</f>
        <v>0</v>
      </c>
      <c r="Y133" s="179">
        <f>SUMIFS('recurring2_based on steps'!$B133:$AY133,'recurring2_based on steps'!$B$1:$AY$1,Y$1)+SUMIFS('changes2_based on steps'!$B133:$U133,'changes2_based on steps'!$B$1:$U$1,Y$1)</f>
        <v>0</v>
      </c>
      <c r="Z133" s="179">
        <f>SUMIFS('recurring2_based on steps'!$B133:$AY133,'recurring2_based on steps'!$B$1:$AY$1,Z$1)+SUMIFS('changes2_based on steps'!$B133:$U133,'changes2_based on steps'!$B$1:$U$1,Z$1)</f>
        <v>0</v>
      </c>
      <c r="AA133" s="179">
        <f>SUMIFS('recurring2_based on steps'!$B133:$AY133,'recurring2_based on steps'!$B$1:$AY$1,AA$1)+SUMIFS('changes2_based on steps'!$B133:$U133,'changes2_based on steps'!$B$1:$U$1,AA$1)</f>
        <v>0</v>
      </c>
      <c r="AB133" s="179">
        <f>SUMIFS('recurring2_based on steps'!$B133:$AY133,'recurring2_based on steps'!$B$1:$AY$1,AB$1)+SUMIFS('changes2_based on steps'!$B133:$U133,'changes2_based on steps'!$B$1:$U$1,AB$1)</f>
        <v>0</v>
      </c>
      <c r="AC133" s="179">
        <f>SUMIFS('recurring2_based on steps'!$B133:$AY133,'recurring2_based on steps'!$B$1:$AY$1,AC$1)+SUMIFS('changes2_based on steps'!$B133:$U133,'changes2_based on steps'!$B$1:$U$1,AC$1)</f>
        <v>0</v>
      </c>
      <c r="AD133" s="179">
        <f>SUMIFS('recurring2_based on steps'!$B133:$AY133,'recurring2_based on steps'!$B$1:$AY$1,AD$1)+SUMIFS('changes2_based on steps'!$B133:$U133,'changes2_based on steps'!$B$1:$U$1,AD$1)</f>
        <v>0</v>
      </c>
      <c r="AE133" s="179">
        <f>SUMIFS('recurring2_based on steps'!$B133:$AY133,'recurring2_based on steps'!$B$1:$AY$1,AE$1)+SUMIFS('changes2_based on steps'!$B133:$U133,'changes2_based on steps'!$B$1:$U$1,AE$1)</f>
        <v>0</v>
      </c>
      <c r="AF133" s="179"/>
      <c r="AG133" s="179"/>
      <c r="AH133" s="179"/>
      <c r="AI133" s="179"/>
      <c r="AJ133" s="179"/>
      <c r="AK133" s="179"/>
      <c r="AL133" s="179"/>
      <c r="AM133" s="179"/>
    </row>
    <row r="134" spans="1:39" x14ac:dyDescent="0.2">
      <c r="A134" s="32">
        <f t="shared" ca="1" si="2"/>
        <v>45883</v>
      </c>
      <c r="B134" s="179">
        <f>SUMIFS('recurring2_based on steps'!$B134:$AY134,'recurring2_based on steps'!$B$1:$AY$1,B$1)+SUMIFS('changes2_based on steps'!$B134:$U134,'changes2_based on steps'!$B$1:$U$1,B$1)</f>
        <v>0</v>
      </c>
      <c r="C134" s="179">
        <f>SUMIFS('recurring2_based on steps'!$B134:$AY134,'recurring2_based on steps'!$B$1:$AY$1,C$1)+SUMIFS('changes2_based on steps'!$B134:$U134,'changes2_based on steps'!$B$1:$U$1,C$1)</f>
        <v>0</v>
      </c>
      <c r="D134" s="179">
        <f>SUMIFS('recurring2_based on steps'!$B134:$AY134,'recurring2_based on steps'!$B$1:$AY$1,D$1)+SUMIFS('changes2_based on steps'!$B134:$U134,'changes2_based on steps'!$B$1:$U$1,D$1)</f>
        <v>0</v>
      </c>
      <c r="E134" s="179">
        <f>SUMIFS('recurring2_based on steps'!$B134:$AY134,'recurring2_based on steps'!$B$1:$AY$1,E$1)+SUMIFS('changes2_based on steps'!$B134:$U134,'changes2_based on steps'!$B$1:$U$1,E$1)</f>
        <v>0</v>
      </c>
      <c r="F134" s="179">
        <f>SUMIFS('recurring2_based on steps'!$B134:$AY134,'recurring2_based on steps'!$B$1:$AY$1,F$1)+SUMIFS('changes2_based on steps'!$B134:$U134,'changes2_based on steps'!$B$1:$U$1,F$1)</f>
        <v>0</v>
      </c>
      <c r="G134" s="179">
        <f>SUMIFS('recurring2_based on steps'!$B134:$AY134,'recurring2_based on steps'!$B$1:$AY$1,G$1)+SUMIFS('changes2_based on steps'!$B134:$U134,'changes2_based on steps'!$B$1:$U$1,G$1)</f>
        <v>0</v>
      </c>
      <c r="H134" s="179">
        <f>SUMIFS('recurring2_based on steps'!$B134:$AY134,'recurring2_based on steps'!$B$1:$AY$1,H$1)+SUMIFS('changes2_based on steps'!$B134:$U134,'changes2_based on steps'!$B$1:$U$1,H$1)</f>
        <v>0</v>
      </c>
      <c r="I134" s="179">
        <f>SUMIFS('recurring2_based on steps'!$B134:$AY134,'recurring2_based on steps'!$B$1:$AY$1,I$1)+SUMIFS('changes2_based on steps'!$B134:$U134,'changes2_based on steps'!$B$1:$U$1,I$1)</f>
        <v>0</v>
      </c>
      <c r="J134" s="179">
        <f>SUMIFS('recurring2_based on steps'!$B134:$AY134,'recurring2_based on steps'!$B$1:$AY$1,J$1)+SUMIFS('changes2_based on steps'!$B134:$U134,'changes2_based on steps'!$B$1:$U$1,J$1)</f>
        <v>0</v>
      </c>
      <c r="K134" s="179">
        <f>SUMIFS('recurring2_based on steps'!$B134:$AY134,'recurring2_based on steps'!$B$1:$AY$1,K$1)+SUMIFS('changes2_based on steps'!$B134:$U134,'changes2_based on steps'!$B$1:$U$1,K$1)</f>
        <v>0</v>
      </c>
      <c r="L134" s="179">
        <f>SUMIFS('recurring2_based on steps'!$B134:$AY134,'recurring2_based on steps'!$B$1:$AY$1,L$1)+SUMIFS('changes2_based on steps'!$B134:$U134,'changes2_based on steps'!$B$1:$U$1,L$1)</f>
        <v>0</v>
      </c>
      <c r="M134" s="179">
        <f>SUMIFS('recurring2_based on steps'!$B134:$AY134,'recurring2_based on steps'!$B$1:$AY$1,M$1)+SUMIFS('changes2_based on steps'!$B134:$U134,'changes2_based on steps'!$B$1:$U$1,M$1)</f>
        <v>0</v>
      </c>
      <c r="N134" s="179">
        <f>SUMIFS('recurring2_based on steps'!$B134:$AY134,'recurring2_based on steps'!$B$1:$AY$1,N$1)+SUMIFS('changes2_based on steps'!$B134:$U134,'changes2_based on steps'!$B$1:$U$1,N$1)</f>
        <v>0</v>
      </c>
      <c r="O134" s="179">
        <f>SUMIFS('recurring2_based on steps'!$B134:$AY134,'recurring2_based on steps'!$B$1:$AY$1,O$1)+SUMIFS('changes2_based on steps'!$B134:$U134,'changes2_based on steps'!$B$1:$U$1,O$1)</f>
        <v>0</v>
      </c>
      <c r="P134" s="179">
        <f>SUMIFS('recurring2_based on steps'!$B134:$AY134,'recurring2_based on steps'!$B$1:$AY$1,P$1)+SUMIFS('changes2_based on steps'!$B134:$U134,'changes2_based on steps'!$B$1:$U$1,P$1)</f>
        <v>0</v>
      </c>
      <c r="Q134" s="179">
        <f>SUMIFS('recurring2_based on steps'!$B134:$AY134,'recurring2_based on steps'!$B$1:$AY$1,Q$1)+SUMIFS('changes2_based on steps'!$B134:$U134,'changes2_based on steps'!$B$1:$U$1,Q$1)</f>
        <v>0</v>
      </c>
      <c r="R134" s="179">
        <f>SUMIFS('recurring2_based on steps'!$B134:$AY134,'recurring2_based on steps'!$B$1:$AY$1,R$1)+SUMIFS('changes2_based on steps'!$B134:$U134,'changes2_based on steps'!$B$1:$U$1,R$1)</f>
        <v>0</v>
      </c>
      <c r="S134" s="179">
        <f>SUMIFS('recurring2_based on steps'!$B134:$AY134,'recurring2_based on steps'!$B$1:$AY$1,S$1)+SUMIFS('changes2_based on steps'!$B134:$U134,'changes2_based on steps'!$B$1:$U$1,S$1)</f>
        <v>0</v>
      </c>
      <c r="T134" s="179">
        <f>SUMIFS('recurring2_based on steps'!$B134:$AY134,'recurring2_based on steps'!$B$1:$AY$1,T$1)+SUMIFS('changes2_based on steps'!$B134:$U134,'changes2_based on steps'!$B$1:$U$1,T$1)</f>
        <v>0</v>
      </c>
      <c r="U134" s="179">
        <f>SUMIFS('recurring2_based on steps'!$B134:$AY134,'recurring2_based on steps'!$B$1:$AY$1,U$1)+SUMIFS('changes2_based on steps'!$B134:$U134,'changes2_based on steps'!$B$1:$U$1,U$1)</f>
        <v>0</v>
      </c>
      <c r="V134" s="179">
        <f>SUMIFS('recurring2_based on steps'!$B134:$AY134,'recurring2_based on steps'!$B$1:$AY$1,V$1)+SUMIFS('changes2_based on steps'!$B134:$U134,'changes2_based on steps'!$B$1:$U$1,V$1)</f>
        <v>0</v>
      </c>
      <c r="W134" s="179">
        <f>SUMIFS('recurring2_based on steps'!$B134:$AY134,'recurring2_based on steps'!$B$1:$AY$1,W$1)+SUMIFS('changes2_based on steps'!$B134:$U134,'changes2_based on steps'!$B$1:$U$1,W$1)</f>
        <v>0</v>
      </c>
      <c r="X134" s="179">
        <f>SUMIFS('recurring2_based on steps'!$B134:$AY134,'recurring2_based on steps'!$B$1:$AY$1,X$1)+SUMIFS('changes2_based on steps'!$B134:$U134,'changes2_based on steps'!$B$1:$U$1,X$1)</f>
        <v>0</v>
      </c>
      <c r="Y134" s="179">
        <f>SUMIFS('recurring2_based on steps'!$B134:$AY134,'recurring2_based on steps'!$B$1:$AY$1,Y$1)+SUMIFS('changes2_based on steps'!$B134:$U134,'changes2_based on steps'!$B$1:$U$1,Y$1)</f>
        <v>0</v>
      </c>
      <c r="Z134" s="179">
        <f>SUMIFS('recurring2_based on steps'!$B134:$AY134,'recurring2_based on steps'!$B$1:$AY$1,Z$1)+SUMIFS('changes2_based on steps'!$B134:$U134,'changes2_based on steps'!$B$1:$U$1,Z$1)</f>
        <v>0</v>
      </c>
      <c r="AA134" s="179">
        <f>SUMIFS('recurring2_based on steps'!$B134:$AY134,'recurring2_based on steps'!$B$1:$AY$1,AA$1)+SUMIFS('changes2_based on steps'!$B134:$U134,'changes2_based on steps'!$B$1:$U$1,AA$1)</f>
        <v>0</v>
      </c>
      <c r="AB134" s="179">
        <f>SUMIFS('recurring2_based on steps'!$B134:$AY134,'recurring2_based on steps'!$B$1:$AY$1,AB$1)+SUMIFS('changes2_based on steps'!$B134:$U134,'changes2_based on steps'!$B$1:$U$1,AB$1)</f>
        <v>0</v>
      </c>
      <c r="AC134" s="179">
        <f>SUMIFS('recurring2_based on steps'!$B134:$AY134,'recurring2_based on steps'!$B$1:$AY$1,AC$1)+SUMIFS('changes2_based on steps'!$B134:$U134,'changes2_based on steps'!$B$1:$U$1,AC$1)</f>
        <v>0</v>
      </c>
      <c r="AD134" s="179">
        <f>SUMIFS('recurring2_based on steps'!$B134:$AY134,'recurring2_based on steps'!$B$1:$AY$1,AD$1)+SUMIFS('changes2_based on steps'!$B134:$U134,'changes2_based on steps'!$B$1:$U$1,AD$1)</f>
        <v>0</v>
      </c>
      <c r="AE134" s="179">
        <f>SUMIFS('recurring2_based on steps'!$B134:$AY134,'recurring2_based on steps'!$B$1:$AY$1,AE$1)+SUMIFS('changes2_based on steps'!$B134:$U134,'changes2_based on steps'!$B$1:$U$1,AE$1)</f>
        <v>0</v>
      </c>
      <c r="AF134" s="179"/>
      <c r="AG134" s="179"/>
      <c r="AH134" s="179"/>
      <c r="AI134" s="179"/>
      <c r="AJ134" s="179"/>
      <c r="AK134" s="179"/>
      <c r="AL134" s="179"/>
      <c r="AM134" s="179"/>
    </row>
    <row r="135" spans="1:39" x14ac:dyDescent="0.2">
      <c r="A135" s="32">
        <f t="shared" ca="1" si="2"/>
        <v>45884</v>
      </c>
      <c r="B135" s="179">
        <f>SUMIFS('recurring2_based on steps'!$B135:$AY135,'recurring2_based on steps'!$B$1:$AY$1,B$1)+SUMIFS('changes2_based on steps'!$B135:$U135,'changes2_based on steps'!$B$1:$U$1,B$1)</f>
        <v>0</v>
      </c>
      <c r="C135" s="179">
        <f>SUMIFS('recurring2_based on steps'!$B135:$AY135,'recurring2_based on steps'!$B$1:$AY$1,C$1)+SUMIFS('changes2_based on steps'!$B135:$U135,'changes2_based on steps'!$B$1:$U$1,C$1)</f>
        <v>0</v>
      </c>
      <c r="D135" s="179">
        <f>SUMIFS('recurring2_based on steps'!$B135:$AY135,'recurring2_based on steps'!$B$1:$AY$1,D$1)+SUMIFS('changes2_based on steps'!$B135:$U135,'changes2_based on steps'!$B$1:$U$1,D$1)</f>
        <v>0</v>
      </c>
      <c r="E135" s="179">
        <f>SUMIFS('recurring2_based on steps'!$B135:$AY135,'recurring2_based on steps'!$B$1:$AY$1,E$1)+SUMIFS('changes2_based on steps'!$B135:$U135,'changes2_based on steps'!$B$1:$U$1,E$1)</f>
        <v>0</v>
      </c>
      <c r="F135" s="179">
        <f>SUMIFS('recurring2_based on steps'!$B135:$AY135,'recurring2_based on steps'!$B$1:$AY$1,F$1)+SUMIFS('changes2_based on steps'!$B135:$U135,'changes2_based on steps'!$B$1:$U$1,F$1)</f>
        <v>0</v>
      </c>
      <c r="G135" s="179">
        <f>SUMIFS('recurring2_based on steps'!$B135:$AY135,'recurring2_based on steps'!$B$1:$AY$1,G$1)+SUMIFS('changes2_based on steps'!$B135:$U135,'changes2_based on steps'!$B$1:$U$1,G$1)</f>
        <v>0</v>
      </c>
      <c r="H135" s="179">
        <f>SUMIFS('recurring2_based on steps'!$B135:$AY135,'recurring2_based on steps'!$B$1:$AY$1,H$1)+SUMIFS('changes2_based on steps'!$B135:$U135,'changes2_based on steps'!$B$1:$U$1,H$1)</f>
        <v>0</v>
      </c>
      <c r="I135" s="179">
        <f>SUMIFS('recurring2_based on steps'!$B135:$AY135,'recurring2_based on steps'!$B$1:$AY$1,I$1)+SUMIFS('changes2_based on steps'!$B135:$U135,'changes2_based on steps'!$B$1:$U$1,I$1)</f>
        <v>0</v>
      </c>
      <c r="J135" s="179">
        <f>SUMIFS('recurring2_based on steps'!$B135:$AY135,'recurring2_based on steps'!$B$1:$AY$1,J$1)+SUMIFS('changes2_based on steps'!$B135:$U135,'changes2_based on steps'!$B$1:$U$1,J$1)</f>
        <v>0</v>
      </c>
      <c r="K135" s="179">
        <f>SUMIFS('recurring2_based on steps'!$B135:$AY135,'recurring2_based on steps'!$B$1:$AY$1,K$1)+SUMIFS('changes2_based on steps'!$B135:$U135,'changes2_based on steps'!$B$1:$U$1,K$1)</f>
        <v>0</v>
      </c>
      <c r="L135" s="179">
        <f>SUMIFS('recurring2_based on steps'!$B135:$AY135,'recurring2_based on steps'!$B$1:$AY$1,L$1)+SUMIFS('changes2_based on steps'!$B135:$U135,'changes2_based on steps'!$B$1:$U$1,L$1)</f>
        <v>0</v>
      </c>
      <c r="M135" s="179">
        <f>SUMIFS('recurring2_based on steps'!$B135:$AY135,'recurring2_based on steps'!$B$1:$AY$1,M$1)+SUMIFS('changes2_based on steps'!$B135:$U135,'changes2_based on steps'!$B$1:$U$1,M$1)</f>
        <v>0</v>
      </c>
      <c r="N135" s="179">
        <f>SUMIFS('recurring2_based on steps'!$B135:$AY135,'recurring2_based on steps'!$B$1:$AY$1,N$1)+SUMIFS('changes2_based on steps'!$B135:$U135,'changes2_based on steps'!$B$1:$U$1,N$1)</f>
        <v>0</v>
      </c>
      <c r="O135" s="179">
        <f>SUMIFS('recurring2_based on steps'!$B135:$AY135,'recurring2_based on steps'!$B$1:$AY$1,O$1)+SUMIFS('changes2_based on steps'!$B135:$U135,'changes2_based on steps'!$B$1:$U$1,O$1)</f>
        <v>0</v>
      </c>
      <c r="P135" s="179">
        <f>SUMIFS('recurring2_based on steps'!$B135:$AY135,'recurring2_based on steps'!$B$1:$AY$1,P$1)+SUMIFS('changes2_based on steps'!$B135:$U135,'changes2_based on steps'!$B$1:$U$1,P$1)</f>
        <v>0</v>
      </c>
      <c r="Q135" s="179">
        <f>SUMIFS('recurring2_based on steps'!$B135:$AY135,'recurring2_based on steps'!$B$1:$AY$1,Q$1)+SUMIFS('changes2_based on steps'!$B135:$U135,'changes2_based on steps'!$B$1:$U$1,Q$1)</f>
        <v>0</v>
      </c>
      <c r="R135" s="179">
        <f>SUMIFS('recurring2_based on steps'!$B135:$AY135,'recurring2_based on steps'!$B$1:$AY$1,R$1)+SUMIFS('changes2_based on steps'!$B135:$U135,'changes2_based on steps'!$B$1:$U$1,R$1)</f>
        <v>0</v>
      </c>
      <c r="S135" s="179">
        <f>SUMIFS('recurring2_based on steps'!$B135:$AY135,'recurring2_based on steps'!$B$1:$AY$1,S$1)+SUMIFS('changes2_based on steps'!$B135:$U135,'changes2_based on steps'!$B$1:$U$1,S$1)</f>
        <v>0</v>
      </c>
      <c r="T135" s="179">
        <f>SUMIFS('recurring2_based on steps'!$B135:$AY135,'recurring2_based on steps'!$B$1:$AY$1,T$1)+SUMIFS('changes2_based on steps'!$B135:$U135,'changes2_based on steps'!$B$1:$U$1,T$1)</f>
        <v>0</v>
      </c>
      <c r="U135" s="179">
        <f>SUMIFS('recurring2_based on steps'!$B135:$AY135,'recurring2_based on steps'!$B$1:$AY$1,U$1)+SUMIFS('changes2_based on steps'!$B135:$U135,'changes2_based on steps'!$B$1:$U$1,U$1)</f>
        <v>0</v>
      </c>
      <c r="V135" s="179">
        <f>SUMIFS('recurring2_based on steps'!$B135:$AY135,'recurring2_based on steps'!$B$1:$AY$1,V$1)+SUMIFS('changes2_based on steps'!$B135:$U135,'changes2_based on steps'!$B$1:$U$1,V$1)</f>
        <v>0</v>
      </c>
      <c r="W135" s="179">
        <f>SUMIFS('recurring2_based on steps'!$B135:$AY135,'recurring2_based on steps'!$B$1:$AY$1,W$1)+SUMIFS('changes2_based on steps'!$B135:$U135,'changes2_based on steps'!$B$1:$U$1,W$1)</f>
        <v>0</v>
      </c>
      <c r="X135" s="179">
        <f>SUMIFS('recurring2_based on steps'!$B135:$AY135,'recurring2_based on steps'!$B$1:$AY$1,X$1)+SUMIFS('changes2_based on steps'!$B135:$U135,'changes2_based on steps'!$B$1:$U$1,X$1)</f>
        <v>0</v>
      </c>
      <c r="Y135" s="179">
        <f>SUMIFS('recurring2_based on steps'!$B135:$AY135,'recurring2_based on steps'!$B$1:$AY$1,Y$1)+SUMIFS('changes2_based on steps'!$B135:$U135,'changes2_based on steps'!$B$1:$U$1,Y$1)</f>
        <v>0</v>
      </c>
      <c r="Z135" s="179">
        <f>SUMIFS('recurring2_based on steps'!$B135:$AY135,'recurring2_based on steps'!$B$1:$AY$1,Z$1)+SUMIFS('changes2_based on steps'!$B135:$U135,'changes2_based on steps'!$B$1:$U$1,Z$1)</f>
        <v>0</v>
      </c>
      <c r="AA135" s="179">
        <f>SUMIFS('recurring2_based on steps'!$B135:$AY135,'recurring2_based on steps'!$B$1:$AY$1,AA$1)+SUMIFS('changes2_based on steps'!$B135:$U135,'changes2_based on steps'!$B$1:$U$1,AA$1)</f>
        <v>0</v>
      </c>
      <c r="AB135" s="179">
        <f>SUMIFS('recurring2_based on steps'!$B135:$AY135,'recurring2_based on steps'!$B$1:$AY$1,AB$1)+SUMIFS('changes2_based on steps'!$B135:$U135,'changes2_based on steps'!$B$1:$U$1,AB$1)</f>
        <v>0</v>
      </c>
      <c r="AC135" s="179">
        <f>SUMIFS('recurring2_based on steps'!$B135:$AY135,'recurring2_based on steps'!$B$1:$AY$1,AC$1)+SUMIFS('changes2_based on steps'!$B135:$U135,'changes2_based on steps'!$B$1:$U$1,AC$1)</f>
        <v>0</v>
      </c>
      <c r="AD135" s="179">
        <f>SUMIFS('recurring2_based on steps'!$B135:$AY135,'recurring2_based on steps'!$B$1:$AY$1,AD$1)+SUMIFS('changes2_based on steps'!$B135:$U135,'changes2_based on steps'!$B$1:$U$1,AD$1)</f>
        <v>0</v>
      </c>
      <c r="AE135" s="179">
        <f>SUMIFS('recurring2_based on steps'!$B135:$AY135,'recurring2_based on steps'!$B$1:$AY$1,AE$1)+SUMIFS('changes2_based on steps'!$B135:$U135,'changes2_based on steps'!$B$1:$U$1,AE$1)</f>
        <v>0</v>
      </c>
      <c r="AF135" s="179"/>
      <c r="AG135" s="179"/>
      <c r="AH135" s="179"/>
      <c r="AI135" s="179"/>
      <c r="AJ135" s="179"/>
      <c r="AK135" s="179"/>
      <c r="AL135" s="179"/>
      <c r="AM135" s="179"/>
    </row>
    <row r="136" spans="1:39" x14ac:dyDescent="0.2">
      <c r="A136" s="32">
        <f t="shared" ca="1" si="2"/>
        <v>45885</v>
      </c>
      <c r="B136" s="179">
        <f>SUMIFS('recurring2_based on steps'!$B136:$AY136,'recurring2_based on steps'!$B$1:$AY$1,B$1)+SUMIFS('changes2_based on steps'!$B136:$U136,'changes2_based on steps'!$B$1:$U$1,B$1)</f>
        <v>0</v>
      </c>
      <c r="C136" s="179">
        <f>SUMIFS('recurring2_based on steps'!$B136:$AY136,'recurring2_based on steps'!$B$1:$AY$1,C$1)+SUMIFS('changes2_based on steps'!$B136:$U136,'changes2_based on steps'!$B$1:$U$1,C$1)</f>
        <v>0</v>
      </c>
      <c r="D136" s="179">
        <f>SUMIFS('recurring2_based on steps'!$B136:$AY136,'recurring2_based on steps'!$B$1:$AY$1,D$1)+SUMIFS('changes2_based on steps'!$B136:$U136,'changes2_based on steps'!$B$1:$U$1,D$1)</f>
        <v>0</v>
      </c>
      <c r="E136" s="179">
        <f>SUMIFS('recurring2_based on steps'!$B136:$AY136,'recurring2_based on steps'!$B$1:$AY$1,E$1)+SUMIFS('changes2_based on steps'!$B136:$U136,'changes2_based on steps'!$B$1:$U$1,E$1)</f>
        <v>0</v>
      </c>
      <c r="F136" s="179">
        <f>SUMIFS('recurring2_based on steps'!$B136:$AY136,'recurring2_based on steps'!$B$1:$AY$1,F$1)+SUMIFS('changes2_based on steps'!$B136:$U136,'changes2_based on steps'!$B$1:$U$1,F$1)</f>
        <v>0</v>
      </c>
      <c r="G136" s="179">
        <f>SUMIFS('recurring2_based on steps'!$B136:$AY136,'recurring2_based on steps'!$B$1:$AY$1,G$1)+SUMIFS('changes2_based on steps'!$B136:$U136,'changes2_based on steps'!$B$1:$U$1,G$1)</f>
        <v>0</v>
      </c>
      <c r="H136" s="179">
        <f>SUMIFS('recurring2_based on steps'!$B136:$AY136,'recurring2_based on steps'!$B$1:$AY$1,H$1)+SUMIFS('changes2_based on steps'!$B136:$U136,'changes2_based on steps'!$B$1:$U$1,H$1)</f>
        <v>0</v>
      </c>
      <c r="I136" s="179">
        <f>SUMIFS('recurring2_based on steps'!$B136:$AY136,'recurring2_based on steps'!$B$1:$AY$1,I$1)+SUMIFS('changes2_based on steps'!$B136:$U136,'changes2_based on steps'!$B$1:$U$1,I$1)</f>
        <v>0</v>
      </c>
      <c r="J136" s="179">
        <f>SUMIFS('recurring2_based on steps'!$B136:$AY136,'recurring2_based on steps'!$B$1:$AY$1,J$1)+SUMIFS('changes2_based on steps'!$B136:$U136,'changes2_based on steps'!$B$1:$U$1,J$1)</f>
        <v>0</v>
      </c>
      <c r="K136" s="179">
        <f>SUMIFS('recurring2_based on steps'!$B136:$AY136,'recurring2_based on steps'!$B$1:$AY$1,K$1)+SUMIFS('changes2_based on steps'!$B136:$U136,'changes2_based on steps'!$B$1:$U$1,K$1)</f>
        <v>0</v>
      </c>
      <c r="L136" s="179">
        <f>SUMIFS('recurring2_based on steps'!$B136:$AY136,'recurring2_based on steps'!$B$1:$AY$1,L$1)+SUMIFS('changes2_based on steps'!$B136:$U136,'changes2_based on steps'!$B$1:$U$1,L$1)</f>
        <v>0</v>
      </c>
      <c r="M136" s="179">
        <f>SUMIFS('recurring2_based on steps'!$B136:$AY136,'recurring2_based on steps'!$B$1:$AY$1,M$1)+SUMIFS('changes2_based on steps'!$B136:$U136,'changes2_based on steps'!$B$1:$U$1,M$1)</f>
        <v>0</v>
      </c>
      <c r="N136" s="179">
        <f>SUMIFS('recurring2_based on steps'!$B136:$AY136,'recurring2_based on steps'!$B$1:$AY$1,N$1)+SUMIFS('changes2_based on steps'!$B136:$U136,'changes2_based on steps'!$B$1:$U$1,N$1)</f>
        <v>0</v>
      </c>
      <c r="O136" s="179">
        <f>SUMIFS('recurring2_based on steps'!$B136:$AY136,'recurring2_based on steps'!$B$1:$AY$1,O$1)+SUMIFS('changes2_based on steps'!$B136:$U136,'changes2_based on steps'!$B$1:$U$1,O$1)</f>
        <v>0</v>
      </c>
      <c r="P136" s="179">
        <f>SUMIFS('recurring2_based on steps'!$B136:$AY136,'recurring2_based on steps'!$B$1:$AY$1,P$1)+SUMIFS('changes2_based on steps'!$B136:$U136,'changes2_based on steps'!$B$1:$U$1,P$1)</f>
        <v>0</v>
      </c>
      <c r="Q136" s="179">
        <f>SUMIFS('recurring2_based on steps'!$B136:$AY136,'recurring2_based on steps'!$B$1:$AY$1,Q$1)+SUMIFS('changes2_based on steps'!$B136:$U136,'changes2_based on steps'!$B$1:$U$1,Q$1)</f>
        <v>0</v>
      </c>
      <c r="R136" s="179">
        <f>SUMIFS('recurring2_based on steps'!$B136:$AY136,'recurring2_based on steps'!$B$1:$AY$1,R$1)+SUMIFS('changes2_based on steps'!$B136:$U136,'changes2_based on steps'!$B$1:$U$1,R$1)</f>
        <v>0</v>
      </c>
      <c r="S136" s="179">
        <f>SUMIFS('recurring2_based on steps'!$B136:$AY136,'recurring2_based on steps'!$B$1:$AY$1,S$1)+SUMIFS('changes2_based on steps'!$B136:$U136,'changes2_based on steps'!$B$1:$U$1,S$1)</f>
        <v>0</v>
      </c>
      <c r="T136" s="179">
        <f>SUMIFS('recurring2_based on steps'!$B136:$AY136,'recurring2_based on steps'!$B$1:$AY$1,T$1)+SUMIFS('changes2_based on steps'!$B136:$U136,'changes2_based on steps'!$B$1:$U$1,T$1)</f>
        <v>0</v>
      </c>
      <c r="U136" s="179">
        <f>SUMIFS('recurring2_based on steps'!$B136:$AY136,'recurring2_based on steps'!$B$1:$AY$1,U$1)+SUMIFS('changes2_based on steps'!$B136:$U136,'changes2_based on steps'!$B$1:$U$1,U$1)</f>
        <v>0</v>
      </c>
      <c r="V136" s="179">
        <f>SUMIFS('recurring2_based on steps'!$B136:$AY136,'recurring2_based on steps'!$B$1:$AY$1,V$1)+SUMIFS('changes2_based on steps'!$B136:$U136,'changes2_based on steps'!$B$1:$U$1,V$1)</f>
        <v>0</v>
      </c>
      <c r="W136" s="179">
        <f>SUMIFS('recurring2_based on steps'!$B136:$AY136,'recurring2_based on steps'!$B$1:$AY$1,W$1)+SUMIFS('changes2_based on steps'!$B136:$U136,'changes2_based on steps'!$B$1:$U$1,W$1)</f>
        <v>0</v>
      </c>
      <c r="X136" s="179">
        <f>SUMIFS('recurring2_based on steps'!$B136:$AY136,'recurring2_based on steps'!$B$1:$AY$1,X$1)+SUMIFS('changes2_based on steps'!$B136:$U136,'changes2_based on steps'!$B$1:$U$1,X$1)</f>
        <v>0</v>
      </c>
      <c r="Y136" s="179">
        <f>SUMIFS('recurring2_based on steps'!$B136:$AY136,'recurring2_based on steps'!$B$1:$AY$1,Y$1)+SUMIFS('changes2_based on steps'!$B136:$U136,'changes2_based on steps'!$B$1:$U$1,Y$1)</f>
        <v>0</v>
      </c>
      <c r="Z136" s="179">
        <f>SUMIFS('recurring2_based on steps'!$B136:$AY136,'recurring2_based on steps'!$B$1:$AY$1,Z$1)+SUMIFS('changes2_based on steps'!$B136:$U136,'changes2_based on steps'!$B$1:$U$1,Z$1)</f>
        <v>0</v>
      </c>
      <c r="AA136" s="179">
        <f>SUMIFS('recurring2_based on steps'!$B136:$AY136,'recurring2_based on steps'!$B$1:$AY$1,AA$1)+SUMIFS('changes2_based on steps'!$B136:$U136,'changes2_based on steps'!$B$1:$U$1,AA$1)</f>
        <v>0</v>
      </c>
      <c r="AB136" s="179">
        <f>SUMIFS('recurring2_based on steps'!$B136:$AY136,'recurring2_based on steps'!$B$1:$AY$1,AB$1)+SUMIFS('changes2_based on steps'!$B136:$U136,'changes2_based on steps'!$B$1:$U$1,AB$1)</f>
        <v>0</v>
      </c>
      <c r="AC136" s="179">
        <f>SUMIFS('recurring2_based on steps'!$B136:$AY136,'recurring2_based on steps'!$B$1:$AY$1,AC$1)+SUMIFS('changes2_based on steps'!$B136:$U136,'changes2_based on steps'!$B$1:$U$1,AC$1)</f>
        <v>0</v>
      </c>
      <c r="AD136" s="179">
        <f>SUMIFS('recurring2_based on steps'!$B136:$AY136,'recurring2_based on steps'!$B$1:$AY$1,AD$1)+SUMIFS('changes2_based on steps'!$B136:$U136,'changes2_based on steps'!$B$1:$U$1,AD$1)</f>
        <v>0</v>
      </c>
      <c r="AE136" s="179">
        <f>SUMIFS('recurring2_based on steps'!$B136:$AY136,'recurring2_based on steps'!$B$1:$AY$1,AE$1)+SUMIFS('changes2_based on steps'!$B136:$U136,'changes2_based on steps'!$B$1:$U$1,AE$1)</f>
        <v>0</v>
      </c>
      <c r="AF136" s="179"/>
      <c r="AG136" s="179"/>
      <c r="AH136" s="179"/>
      <c r="AI136" s="179"/>
      <c r="AJ136" s="179"/>
      <c r="AK136" s="179"/>
      <c r="AL136" s="179"/>
      <c r="AM136" s="179"/>
    </row>
    <row r="137" spans="1:39" x14ac:dyDescent="0.2">
      <c r="A137" s="32">
        <f t="shared" ca="1" si="2"/>
        <v>45886</v>
      </c>
      <c r="B137" s="179">
        <f>SUMIFS('recurring2_based on steps'!$B137:$AY137,'recurring2_based on steps'!$B$1:$AY$1,B$1)+SUMIFS('changes2_based on steps'!$B137:$U137,'changes2_based on steps'!$B$1:$U$1,B$1)</f>
        <v>0</v>
      </c>
      <c r="C137" s="179">
        <f>SUMIFS('recurring2_based on steps'!$B137:$AY137,'recurring2_based on steps'!$B$1:$AY$1,C$1)+SUMIFS('changes2_based on steps'!$B137:$U137,'changes2_based on steps'!$B$1:$U$1,C$1)</f>
        <v>0</v>
      </c>
      <c r="D137" s="179">
        <f>SUMIFS('recurring2_based on steps'!$B137:$AY137,'recurring2_based on steps'!$B$1:$AY$1,D$1)+SUMIFS('changes2_based on steps'!$B137:$U137,'changes2_based on steps'!$B$1:$U$1,D$1)</f>
        <v>0</v>
      </c>
      <c r="E137" s="179">
        <f>SUMIFS('recurring2_based on steps'!$B137:$AY137,'recurring2_based on steps'!$B$1:$AY$1,E$1)+SUMIFS('changes2_based on steps'!$B137:$U137,'changes2_based on steps'!$B$1:$U$1,E$1)</f>
        <v>0</v>
      </c>
      <c r="F137" s="179">
        <f>SUMIFS('recurring2_based on steps'!$B137:$AY137,'recurring2_based on steps'!$B$1:$AY$1,F$1)+SUMIFS('changes2_based on steps'!$B137:$U137,'changes2_based on steps'!$B$1:$U$1,F$1)</f>
        <v>0</v>
      </c>
      <c r="G137" s="179">
        <f>SUMIFS('recurring2_based on steps'!$B137:$AY137,'recurring2_based on steps'!$B$1:$AY$1,G$1)+SUMIFS('changes2_based on steps'!$B137:$U137,'changes2_based on steps'!$B$1:$U$1,G$1)</f>
        <v>0</v>
      </c>
      <c r="H137" s="179">
        <f>SUMIFS('recurring2_based on steps'!$B137:$AY137,'recurring2_based on steps'!$B$1:$AY$1,H$1)+SUMIFS('changes2_based on steps'!$B137:$U137,'changes2_based on steps'!$B$1:$U$1,H$1)</f>
        <v>0</v>
      </c>
      <c r="I137" s="179">
        <f>SUMIFS('recurring2_based on steps'!$B137:$AY137,'recurring2_based on steps'!$B$1:$AY$1,I$1)+SUMIFS('changes2_based on steps'!$B137:$U137,'changes2_based on steps'!$B$1:$U$1,I$1)</f>
        <v>0</v>
      </c>
      <c r="J137" s="179">
        <f>SUMIFS('recurring2_based on steps'!$B137:$AY137,'recurring2_based on steps'!$B$1:$AY$1,J$1)+SUMIFS('changes2_based on steps'!$B137:$U137,'changes2_based on steps'!$B$1:$U$1,J$1)</f>
        <v>0</v>
      </c>
      <c r="K137" s="179">
        <f>SUMIFS('recurring2_based on steps'!$B137:$AY137,'recurring2_based on steps'!$B$1:$AY$1,K$1)+SUMIFS('changes2_based on steps'!$B137:$U137,'changes2_based on steps'!$B$1:$U$1,K$1)</f>
        <v>0</v>
      </c>
      <c r="L137" s="179">
        <f>SUMIFS('recurring2_based on steps'!$B137:$AY137,'recurring2_based on steps'!$B$1:$AY$1,L$1)+SUMIFS('changes2_based on steps'!$B137:$U137,'changes2_based on steps'!$B$1:$U$1,L$1)</f>
        <v>0</v>
      </c>
      <c r="M137" s="179">
        <f>SUMIFS('recurring2_based on steps'!$B137:$AY137,'recurring2_based on steps'!$B$1:$AY$1,M$1)+SUMIFS('changes2_based on steps'!$B137:$U137,'changes2_based on steps'!$B$1:$U$1,M$1)</f>
        <v>0</v>
      </c>
      <c r="N137" s="179">
        <f>SUMIFS('recurring2_based on steps'!$B137:$AY137,'recurring2_based on steps'!$B$1:$AY$1,N$1)+SUMIFS('changes2_based on steps'!$B137:$U137,'changes2_based on steps'!$B$1:$U$1,N$1)</f>
        <v>0</v>
      </c>
      <c r="O137" s="179">
        <f>SUMIFS('recurring2_based on steps'!$B137:$AY137,'recurring2_based on steps'!$B$1:$AY$1,O$1)+SUMIFS('changes2_based on steps'!$B137:$U137,'changes2_based on steps'!$B$1:$U$1,O$1)</f>
        <v>0</v>
      </c>
      <c r="P137" s="179">
        <f>SUMIFS('recurring2_based on steps'!$B137:$AY137,'recurring2_based on steps'!$B$1:$AY$1,P$1)+SUMIFS('changes2_based on steps'!$B137:$U137,'changes2_based on steps'!$B$1:$U$1,P$1)</f>
        <v>0</v>
      </c>
      <c r="Q137" s="179">
        <f>SUMIFS('recurring2_based on steps'!$B137:$AY137,'recurring2_based on steps'!$B$1:$AY$1,Q$1)+SUMIFS('changes2_based on steps'!$B137:$U137,'changes2_based on steps'!$B$1:$U$1,Q$1)</f>
        <v>0</v>
      </c>
      <c r="R137" s="179">
        <f>SUMIFS('recurring2_based on steps'!$B137:$AY137,'recurring2_based on steps'!$B$1:$AY$1,R$1)+SUMIFS('changes2_based on steps'!$B137:$U137,'changes2_based on steps'!$B$1:$U$1,R$1)</f>
        <v>0</v>
      </c>
      <c r="S137" s="179">
        <f>SUMIFS('recurring2_based on steps'!$B137:$AY137,'recurring2_based on steps'!$B$1:$AY$1,S$1)+SUMIFS('changes2_based on steps'!$B137:$U137,'changes2_based on steps'!$B$1:$U$1,S$1)</f>
        <v>0</v>
      </c>
      <c r="T137" s="179">
        <f>SUMIFS('recurring2_based on steps'!$B137:$AY137,'recurring2_based on steps'!$B$1:$AY$1,T$1)+SUMIFS('changes2_based on steps'!$B137:$U137,'changes2_based on steps'!$B$1:$U$1,T$1)</f>
        <v>0</v>
      </c>
      <c r="U137" s="179">
        <f>SUMIFS('recurring2_based on steps'!$B137:$AY137,'recurring2_based on steps'!$B$1:$AY$1,U$1)+SUMIFS('changes2_based on steps'!$B137:$U137,'changes2_based on steps'!$B$1:$U$1,U$1)</f>
        <v>0</v>
      </c>
      <c r="V137" s="179">
        <f>SUMIFS('recurring2_based on steps'!$B137:$AY137,'recurring2_based on steps'!$B$1:$AY$1,V$1)+SUMIFS('changes2_based on steps'!$B137:$U137,'changes2_based on steps'!$B$1:$U$1,V$1)</f>
        <v>0</v>
      </c>
      <c r="W137" s="179">
        <f>SUMIFS('recurring2_based on steps'!$B137:$AY137,'recurring2_based on steps'!$B$1:$AY$1,W$1)+SUMIFS('changes2_based on steps'!$B137:$U137,'changes2_based on steps'!$B$1:$U$1,W$1)</f>
        <v>0</v>
      </c>
      <c r="X137" s="179">
        <f>SUMIFS('recurring2_based on steps'!$B137:$AY137,'recurring2_based on steps'!$B$1:$AY$1,X$1)+SUMIFS('changes2_based on steps'!$B137:$U137,'changes2_based on steps'!$B$1:$U$1,X$1)</f>
        <v>0</v>
      </c>
      <c r="Y137" s="179">
        <f>SUMIFS('recurring2_based on steps'!$B137:$AY137,'recurring2_based on steps'!$B$1:$AY$1,Y$1)+SUMIFS('changes2_based on steps'!$B137:$U137,'changes2_based on steps'!$B$1:$U$1,Y$1)</f>
        <v>0</v>
      </c>
      <c r="Z137" s="179">
        <f>SUMIFS('recurring2_based on steps'!$B137:$AY137,'recurring2_based on steps'!$B$1:$AY$1,Z$1)+SUMIFS('changes2_based on steps'!$B137:$U137,'changes2_based on steps'!$B$1:$U$1,Z$1)</f>
        <v>0</v>
      </c>
      <c r="AA137" s="179">
        <f>SUMIFS('recurring2_based on steps'!$B137:$AY137,'recurring2_based on steps'!$B$1:$AY$1,AA$1)+SUMIFS('changes2_based on steps'!$B137:$U137,'changes2_based on steps'!$B$1:$U$1,AA$1)</f>
        <v>0</v>
      </c>
      <c r="AB137" s="179">
        <f>SUMIFS('recurring2_based on steps'!$B137:$AY137,'recurring2_based on steps'!$B$1:$AY$1,AB$1)+SUMIFS('changes2_based on steps'!$B137:$U137,'changes2_based on steps'!$B$1:$U$1,AB$1)</f>
        <v>0</v>
      </c>
      <c r="AC137" s="179">
        <f>SUMIFS('recurring2_based on steps'!$B137:$AY137,'recurring2_based on steps'!$B$1:$AY$1,AC$1)+SUMIFS('changes2_based on steps'!$B137:$U137,'changes2_based on steps'!$B$1:$U$1,AC$1)</f>
        <v>0</v>
      </c>
      <c r="AD137" s="179">
        <f>SUMIFS('recurring2_based on steps'!$B137:$AY137,'recurring2_based on steps'!$B$1:$AY$1,AD$1)+SUMIFS('changes2_based on steps'!$B137:$U137,'changes2_based on steps'!$B$1:$U$1,AD$1)</f>
        <v>0</v>
      </c>
      <c r="AE137" s="179">
        <f>SUMIFS('recurring2_based on steps'!$B137:$AY137,'recurring2_based on steps'!$B$1:$AY$1,AE$1)+SUMIFS('changes2_based on steps'!$B137:$U137,'changes2_based on steps'!$B$1:$U$1,AE$1)</f>
        <v>0</v>
      </c>
      <c r="AF137" s="179"/>
      <c r="AG137" s="179"/>
      <c r="AH137" s="179"/>
      <c r="AI137" s="179"/>
      <c r="AJ137" s="179"/>
      <c r="AK137" s="179"/>
      <c r="AL137" s="179"/>
      <c r="AM137" s="179"/>
    </row>
    <row r="138" spans="1:39" x14ac:dyDescent="0.2">
      <c r="A138" s="32">
        <f t="shared" ca="1" si="2"/>
        <v>45887</v>
      </c>
      <c r="B138" s="179">
        <f>SUMIFS('recurring2_based on steps'!$B138:$AY138,'recurring2_based on steps'!$B$1:$AY$1,B$1)+SUMIFS('changes2_based on steps'!$B138:$U138,'changes2_based on steps'!$B$1:$U$1,B$1)</f>
        <v>0</v>
      </c>
      <c r="C138" s="179">
        <f>SUMIFS('recurring2_based on steps'!$B138:$AY138,'recurring2_based on steps'!$B$1:$AY$1,C$1)+SUMIFS('changes2_based on steps'!$B138:$U138,'changes2_based on steps'!$B$1:$U$1,C$1)</f>
        <v>0</v>
      </c>
      <c r="D138" s="179">
        <f>SUMIFS('recurring2_based on steps'!$B138:$AY138,'recurring2_based on steps'!$B$1:$AY$1,D$1)+SUMIFS('changes2_based on steps'!$B138:$U138,'changes2_based on steps'!$B$1:$U$1,D$1)</f>
        <v>0</v>
      </c>
      <c r="E138" s="179">
        <f>SUMIFS('recurring2_based on steps'!$B138:$AY138,'recurring2_based on steps'!$B$1:$AY$1,E$1)+SUMIFS('changes2_based on steps'!$B138:$U138,'changes2_based on steps'!$B$1:$U$1,E$1)</f>
        <v>0</v>
      </c>
      <c r="F138" s="179">
        <f>SUMIFS('recurring2_based on steps'!$B138:$AY138,'recurring2_based on steps'!$B$1:$AY$1,F$1)+SUMIFS('changes2_based on steps'!$B138:$U138,'changes2_based on steps'!$B$1:$U$1,F$1)</f>
        <v>0</v>
      </c>
      <c r="G138" s="179">
        <f>SUMIFS('recurring2_based on steps'!$B138:$AY138,'recurring2_based on steps'!$B$1:$AY$1,G$1)+SUMIFS('changes2_based on steps'!$B138:$U138,'changes2_based on steps'!$B$1:$U$1,G$1)</f>
        <v>0</v>
      </c>
      <c r="H138" s="179">
        <f>SUMIFS('recurring2_based on steps'!$B138:$AY138,'recurring2_based on steps'!$B$1:$AY$1,H$1)+SUMIFS('changes2_based on steps'!$B138:$U138,'changes2_based on steps'!$B$1:$U$1,H$1)</f>
        <v>0</v>
      </c>
      <c r="I138" s="179">
        <f>SUMIFS('recurring2_based on steps'!$B138:$AY138,'recurring2_based on steps'!$B$1:$AY$1,I$1)+SUMIFS('changes2_based on steps'!$B138:$U138,'changes2_based on steps'!$B$1:$U$1,I$1)</f>
        <v>0</v>
      </c>
      <c r="J138" s="179">
        <f>SUMIFS('recurring2_based on steps'!$B138:$AY138,'recurring2_based on steps'!$B$1:$AY$1,J$1)+SUMIFS('changes2_based on steps'!$B138:$U138,'changes2_based on steps'!$B$1:$U$1,J$1)</f>
        <v>0</v>
      </c>
      <c r="K138" s="179">
        <f>SUMIFS('recurring2_based on steps'!$B138:$AY138,'recurring2_based on steps'!$B$1:$AY$1,K$1)+SUMIFS('changes2_based on steps'!$B138:$U138,'changes2_based on steps'!$B$1:$U$1,K$1)</f>
        <v>0</v>
      </c>
      <c r="L138" s="179">
        <f>SUMIFS('recurring2_based on steps'!$B138:$AY138,'recurring2_based on steps'!$B$1:$AY$1,L$1)+SUMIFS('changes2_based on steps'!$B138:$U138,'changes2_based on steps'!$B$1:$U$1,L$1)</f>
        <v>0</v>
      </c>
      <c r="M138" s="179">
        <f>SUMIFS('recurring2_based on steps'!$B138:$AY138,'recurring2_based on steps'!$B$1:$AY$1,M$1)+SUMIFS('changes2_based on steps'!$B138:$U138,'changes2_based on steps'!$B$1:$U$1,M$1)</f>
        <v>0</v>
      </c>
      <c r="N138" s="179">
        <f>SUMIFS('recurring2_based on steps'!$B138:$AY138,'recurring2_based on steps'!$B$1:$AY$1,N$1)+SUMIFS('changes2_based on steps'!$B138:$U138,'changes2_based on steps'!$B$1:$U$1,N$1)</f>
        <v>0</v>
      </c>
      <c r="O138" s="179">
        <f>SUMIFS('recurring2_based on steps'!$B138:$AY138,'recurring2_based on steps'!$B$1:$AY$1,O$1)+SUMIFS('changes2_based on steps'!$B138:$U138,'changes2_based on steps'!$B$1:$U$1,O$1)</f>
        <v>0</v>
      </c>
      <c r="P138" s="179">
        <f>SUMIFS('recurring2_based on steps'!$B138:$AY138,'recurring2_based on steps'!$B$1:$AY$1,P$1)+SUMIFS('changes2_based on steps'!$B138:$U138,'changes2_based on steps'!$B$1:$U$1,P$1)</f>
        <v>0</v>
      </c>
      <c r="Q138" s="179">
        <f>SUMIFS('recurring2_based on steps'!$B138:$AY138,'recurring2_based on steps'!$B$1:$AY$1,Q$1)+SUMIFS('changes2_based on steps'!$B138:$U138,'changes2_based on steps'!$B$1:$U$1,Q$1)</f>
        <v>0</v>
      </c>
      <c r="R138" s="179">
        <f>SUMIFS('recurring2_based on steps'!$B138:$AY138,'recurring2_based on steps'!$B$1:$AY$1,R$1)+SUMIFS('changes2_based on steps'!$B138:$U138,'changes2_based on steps'!$B$1:$U$1,R$1)</f>
        <v>0</v>
      </c>
      <c r="S138" s="179">
        <f>SUMIFS('recurring2_based on steps'!$B138:$AY138,'recurring2_based on steps'!$B$1:$AY$1,S$1)+SUMIFS('changes2_based on steps'!$B138:$U138,'changes2_based on steps'!$B$1:$U$1,S$1)</f>
        <v>0</v>
      </c>
      <c r="T138" s="179">
        <f>SUMIFS('recurring2_based on steps'!$B138:$AY138,'recurring2_based on steps'!$B$1:$AY$1,T$1)+SUMIFS('changes2_based on steps'!$B138:$U138,'changes2_based on steps'!$B$1:$U$1,T$1)</f>
        <v>0</v>
      </c>
      <c r="U138" s="179">
        <f>SUMIFS('recurring2_based on steps'!$B138:$AY138,'recurring2_based on steps'!$B$1:$AY$1,U$1)+SUMIFS('changes2_based on steps'!$B138:$U138,'changes2_based on steps'!$B$1:$U$1,U$1)</f>
        <v>0</v>
      </c>
      <c r="V138" s="179">
        <f>SUMIFS('recurring2_based on steps'!$B138:$AY138,'recurring2_based on steps'!$B$1:$AY$1,V$1)+SUMIFS('changes2_based on steps'!$B138:$U138,'changes2_based on steps'!$B$1:$U$1,V$1)</f>
        <v>0</v>
      </c>
      <c r="W138" s="179">
        <f>SUMIFS('recurring2_based on steps'!$B138:$AY138,'recurring2_based on steps'!$B$1:$AY$1,W$1)+SUMIFS('changes2_based on steps'!$B138:$U138,'changes2_based on steps'!$B$1:$U$1,W$1)</f>
        <v>0</v>
      </c>
      <c r="X138" s="179">
        <f>SUMIFS('recurring2_based on steps'!$B138:$AY138,'recurring2_based on steps'!$B$1:$AY$1,X$1)+SUMIFS('changes2_based on steps'!$B138:$U138,'changes2_based on steps'!$B$1:$U$1,X$1)</f>
        <v>0</v>
      </c>
      <c r="Y138" s="179">
        <f>SUMIFS('recurring2_based on steps'!$B138:$AY138,'recurring2_based on steps'!$B$1:$AY$1,Y$1)+SUMIFS('changes2_based on steps'!$B138:$U138,'changes2_based on steps'!$B$1:$U$1,Y$1)</f>
        <v>0</v>
      </c>
      <c r="Z138" s="179">
        <f>SUMIFS('recurring2_based on steps'!$B138:$AY138,'recurring2_based on steps'!$B$1:$AY$1,Z$1)+SUMIFS('changes2_based on steps'!$B138:$U138,'changes2_based on steps'!$B$1:$U$1,Z$1)</f>
        <v>0</v>
      </c>
      <c r="AA138" s="179">
        <f>SUMIFS('recurring2_based on steps'!$B138:$AY138,'recurring2_based on steps'!$B$1:$AY$1,AA$1)+SUMIFS('changes2_based on steps'!$B138:$U138,'changes2_based on steps'!$B$1:$U$1,AA$1)</f>
        <v>0</v>
      </c>
      <c r="AB138" s="179">
        <f>SUMIFS('recurring2_based on steps'!$B138:$AY138,'recurring2_based on steps'!$B$1:$AY$1,AB$1)+SUMIFS('changes2_based on steps'!$B138:$U138,'changes2_based on steps'!$B$1:$U$1,AB$1)</f>
        <v>0</v>
      </c>
      <c r="AC138" s="179">
        <f>SUMIFS('recurring2_based on steps'!$B138:$AY138,'recurring2_based on steps'!$B$1:$AY$1,AC$1)+SUMIFS('changes2_based on steps'!$B138:$U138,'changes2_based on steps'!$B$1:$U$1,AC$1)</f>
        <v>0</v>
      </c>
      <c r="AD138" s="179">
        <f>SUMIFS('recurring2_based on steps'!$B138:$AY138,'recurring2_based on steps'!$B$1:$AY$1,AD$1)+SUMIFS('changes2_based on steps'!$B138:$U138,'changes2_based on steps'!$B$1:$U$1,AD$1)</f>
        <v>0</v>
      </c>
      <c r="AE138" s="179">
        <f>SUMIFS('recurring2_based on steps'!$B138:$AY138,'recurring2_based on steps'!$B$1:$AY$1,AE$1)+SUMIFS('changes2_based on steps'!$B138:$U138,'changes2_based on steps'!$B$1:$U$1,AE$1)</f>
        <v>0</v>
      </c>
      <c r="AF138" s="179"/>
      <c r="AG138" s="179"/>
      <c r="AH138" s="179"/>
      <c r="AI138" s="179"/>
      <c r="AJ138" s="179"/>
      <c r="AK138" s="179"/>
      <c r="AL138" s="179"/>
      <c r="AM138" s="179"/>
    </row>
    <row r="139" spans="1:39" x14ac:dyDescent="0.2">
      <c r="A139" s="32">
        <f t="shared" ca="1" si="2"/>
        <v>45888</v>
      </c>
      <c r="B139" s="179">
        <f>SUMIFS('recurring2_based on steps'!$B139:$AY139,'recurring2_based on steps'!$B$1:$AY$1,B$1)+SUMIFS('changes2_based on steps'!$B139:$U139,'changes2_based on steps'!$B$1:$U$1,B$1)</f>
        <v>0</v>
      </c>
      <c r="C139" s="179">
        <f>SUMIFS('recurring2_based on steps'!$B139:$AY139,'recurring2_based on steps'!$B$1:$AY$1,C$1)+SUMIFS('changes2_based on steps'!$B139:$U139,'changes2_based on steps'!$B$1:$U$1,C$1)</f>
        <v>0</v>
      </c>
      <c r="D139" s="179">
        <f>SUMIFS('recurring2_based on steps'!$B139:$AY139,'recurring2_based on steps'!$B$1:$AY$1,D$1)+SUMIFS('changes2_based on steps'!$B139:$U139,'changes2_based on steps'!$B$1:$U$1,D$1)</f>
        <v>0</v>
      </c>
      <c r="E139" s="179">
        <f>SUMIFS('recurring2_based on steps'!$B139:$AY139,'recurring2_based on steps'!$B$1:$AY$1,E$1)+SUMIFS('changes2_based on steps'!$B139:$U139,'changes2_based on steps'!$B$1:$U$1,E$1)</f>
        <v>0</v>
      </c>
      <c r="F139" s="179">
        <f>SUMIFS('recurring2_based on steps'!$B139:$AY139,'recurring2_based on steps'!$B$1:$AY$1,F$1)+SUMIFS('changes2_based on steps'!$B139:$U139,'changes2_based on steps'!$B$1:$U$1,F$1)</f>
        <v>0</v>
      </c>
      <c r="G139" s="179">
        <f>SUMIFS('recurring2_based on steps'!$B139:$AY139,'recurring2_based on steps'!$B$1:$AY$1,G$1)+SUMIFS('changes2_based on steps'!$B139:$U139,'changes2_based on steps'!$B$1:$U$1,G$1)</f>
        <v>0</v>
      </c>
      <c r="H139" s="179">
        <f>SUMIFS('recurring2_based on steps'!$B139:$AY139,'recurring2_based on steps'!$B$1:$AY$1,H$1)+SUMIFS('changes2_based on steps'!$B139:$U139,'changes2_based on steps'!$B$1:$U$1,H$1)</f>
        <v>0</v>
      </c>
      <c r="I139" s="179">
        <f>SUMIFS('recurring2_based on steps'!$B139:$AY139,'recurring2_based on steps'!$B$1:$AY$1,I$1)+SUMIFS('changes2_based on steps'!$B139:$U139,'changes2_based on steps'!$B$1:$U$1,I$1)</f>
        <v>0</v>
      </c>
      <c r="J139" s="179">
        <f>SUMIFS('recurring2_based on steps'!$B139:$AY139,'recurring2_based on steps'!$B$1:$AY$1,J$1)+SUMIFS('changes2_based on steps'!$B139:$U139,'changes2_based on steps'!$B$1:$U$1,J$1)</f>
        <v>0</v>
      </c>
      <c r="K139" s="179">
        <f>SUMIFS('recurring2_based on steps'!$B139:$AY139,'recurring2_based on steps'!$B$1:$AY$1,K$1)+SUMIFS('changes2_based on steps'!$B139:$U139,'changes2_based on steps'!$B$1:$U$1,K$1)</f>
        <v>0</v>
      </c>
      <c r="L139" s="179">
        <f>SUMIFS('recurring2_based on steps'!$B139:$AY139,'recurring2_based on steps'!$B$1:$AY$1,L$1)+SUMIFS('changes2_based on steps'!$B139:$U139,'changes2_based on steps'!$B$1:$U$1,L$1)</f>
        <v>0</v>
      </c>
      <c r="M139" s="179">
        <f>SUMIFS('recurring2_based on steps'!$B139:$AY139,'recurring2_based on steps'!$B$1:$AY$1,M$1)+SUMIFS('changes2_based on steps'!$B139:$U139,'changes2_based on steps'!$B$1:$U$1,M$1)</f>
        <v>0</v>
      </c>
      <c r="N139" s="179">
        <f>SUMIFS('recurring2_based on steps'!$B139:$AY139,'recurring2_based on steps'!$B$1:$AY$1,N$1)+SUMIFS('changes2_based on steps'!$B139:$U139,'changes2_based on steps'!$B$1:$U$1,N$1)</f>
        <v>0</v>
      </c>
      <c r="O139" s="179">
        <f>SUMIFS('recurring2_based on steps'!$B139:$AY139,'recurring2_based on steps'!$B$1:$AY$1,O$1)+SUMIFS('changes2_based on steps'!$B139:$U139,'changes2_based on steps'!$B$1:$U$1,O$1)</f>
        <v>0</v>
      </c>
      <c r="P139" s="179">
        <f>SUMIFS('recurring2_based on steps'!$B139:$AY139,'recurring2_based on steps'!$B$1:$AY$1,P$1)+SUMIFS('changes2_based on steps'!$B139:$U139,'changes2_based on steps'!$B$1:$U$1,P$1)</f>
        <v>0</v>
      </c>
      <c r="Q139" s="179">
        <f>SUMIFS('recurring2_based on steps'!$B139:$AY139,'recurring2_based on steps'!$B$1:$AY$1,Q$1)+SUMIFS('changes2_based on steps'!$B139:$U139,'changes2_based on steps'!$B$1:$U$1,Q$1)</f>
        <v>0</v>
      </c>
      <c r="R139" s="179">
        <f>SUMIFS('recurring2_based on steps'!$B139:$AY139,'recurring2_based on steps'!$B$1:$AY$1,R$1)+SUMIFS('changes2_based on steps'!$B139:$U139,'changes2_based on steps'!$B$1:$U$1,R$1)</f>
        <v>0</v>
      </c>
      <c r="S139" s="179">
        <f>SUMIFS('recurring2_based on steps'!$B139:$AY139,'recurring2_based on steps'!$B$1:$AY$1,S$1)+SUMIFS('changes2_based on steps'!$B139:$U139,'changes2_based on steps'!$B$1:$U$1,S$1)</f>
        <v>0</v>
      </c>
      <c r="T139" s="179">
        <f>SUMIFS('recurring2_based on steps'!$B139:$AY139,'recurring2_based on steps'!$B$1:$AY$1,T$1)+SUMIFS('changes2_based on steps'!$B139:$U139,'changes2_based on steps'!$B$1:$U$1,T$1)</f>
        <v>0</v>
      </c>
      <c r="U139" s="179">
        <f>SUMIFS('recurring2_based on steps'!$B139:$AY139,'recurring2_based on steps'!$B$1:$AY$1,U$1)+SUMIFS('changes2_based on steps'!$B139:$U139,'changes2_based on steps'!$B$1:$U$1,U$1)</f>
        <v>0</v>
      </c>
      <c r="V139" s="179">
        <f>SUMIFS('recurring2_based on steps'!$B139:$AY139,'recurring2_based on steps'!$B$1:$AY$1,V$1)+SUMIFS('changes2_based on steps'!$B139:$U139,'changes2_based on steps'!$B$1:$U$1,V$1)</f>
        <v>0</v>
      </c>
      <c r="W139" s="179">
        <f>SUMIFS('recurring2_based on steps'!$B139:$AY139,'recurring2_based on steps'!$B$1:$AY$1,W$1)+SUMIFS('changes2_based on steps'!$B139:$U139,'changes2_based on steps'!$B$1:$U$1,W$1)</f>
        <v>0</v>
      </c>
      <c r="X139" s="179">
        <f>SUMIFS('recurring2_based on steps'!$B139:$AY139,'recurring2_based on steps'!$B$1:$AY$1,X$1)+SUMIFS('changes2_based on steps'!$B139:$U139,'changes2_based on steps'!$B$1:$U$1,X$1)</f>
        <v>0</v>
      </c>
      <c r="Y139" s="179">
        <f>SUMIFS('recurring2_based on steps'!$B139:$AY139,'recurring2_based on steps'!$B$1:$AY$1,Y$1)+SUMIFS('changes2_based on steps'!$B139:$U139,'changes2_based on steps'!$B$1:$U$1,Y$1)</f>
        <v>0</v>
      </c>
      <c r="Z139" s="179">
        <f>SUMIFS('recurring2_based on steps'!$B139:$AY139,'recurring2_based on steps'!$B$1:$AY$1,Z$1)+SUMIFS('changes2_based on steps'!$B139:$U139,'changes2_based on steps'!$B$1:$U$1,Z$1)</f>
        <v>0</v>
      </c>
      <c r="AA139" s="179">
        <f>SUMIFS('recurring2_based on steps'!$B139:$AY139,'recurring2_based on steps'!$B$1:$AY$1,AA$1)+SUMIFS('changes2_based on steps'!$B139:$U139,'changes2_based on steps'!$B$1:$U$1,AA$1)</f>
        <v>0</v>
      </c>
      <c r="AB139" s="179">
        <f>SUMIFS('recurring2_based on steps'!$B139:$AY139,'recurring2_based on steps'!$B$1:$AY$1,AB$1)+SUMIFS('changes2_based on steps'!$B139:$U139,'changes2_based on steps'!$B$1:$U$1,AB$1)</f>
        <v>0</v>
      </c>
      <c r="AC139" s="179">
        <f>SUMIFS('recurring2_based on steps'!$B139:$AY139,'recurring2_based on steps'!$B$1:$AY$1,AC$1)+SUMIFS('changes2_based on steps'!$B139:$U139,'changes2_based on steps'!$B$1:$U$1,AC$1)</f>
        <v>0</v>
      </c>
      <c r="AD139" s="179">
        <f>SUMIFS('recurring2_based on steps'!$B139:$AY139,'recurring2_based on steps'!$B$1:$AY$1,AD$1)+SUMIFS('changes2_based on steps'!$B139:$U139,'changes2_based on steps'!$B$1:$U$1,AD$1)</f>
        <v>0</v>
      </c>
      <c r="AE139" s="179">
        <f>SUMIFS('recurring2_based on steps'!$B139:$AY139,'recurring2_based on steps'!$B$1:$AY$1,AE$1)+SUMIFS('changes2_based on steps'!$B139:$U139,'changes2_based on steps'!$B$1:$U$1,AE$1)</f>
        <v>0</v>
      </c>
      <c r="AF139" s="179"/>
      <c r="AG139" s="179"/>
      <c r="AH139" s="179"/>
      <c r="AI139" s="179"/>
      <c r="AJ139" s="179"/>
      <c r="AK139" s="179"/>
      <c r="AL139" s="179"/>
      <c r="AM139" s="179"/>
    </row>
    <row r="140" spans="1:39" x14ac:dyDescent="0.2">
      <c r="A140" s="32">
        <f t="shared" ca="1" si="2"/>
        <v>45889</v>
      </c>
      <c r="B140" s="179">
        <f>SUMIFS('recurring2_based on steps'!$B140:$AY140,'recurring2_based on steps'!$B$1:$AY$1,B$1)+SUMIFS('changes2_based on steps'!$B140:$U140,'changes2_based on steps'!$B$1:$U$1,B$1)</f>
        <v>0</v>
      </c>
      <c r="C140" s="179">
        <f>SUMIFS('recurring2_based on steps'!$B140:$AY140,'recurring2_based on steps'!$B$1:$AY$1,C$1)+SUMIFS('changes2_based on steps'!$B140:$U140,'changes2_based on steps'!$B$1:$U$1,C$1)</f>
        <v>0</v>
      </c>
      <c r="D140" s="179">
        <f>SUMIFS('recurring2_based on steps'!$B140:$AY140,'recurring2_based on steps'!$B$1:$AY$1,D$1)+SUMIFS('changes2_based on steps'!$B140:$U140,'changes2_based on steps'!$B$1:$U$1,D$1)</f>
        <v>0</v>
      </c>
      <c r="E140" s="179">
        <f>SUMIFS('recurring2_based on steps'!$B140:$AY140,'recurring2_based on steps'!$B$1:$AY$1,E$1)+SUMIFS('changes2_based on steps'!$B140:$U140,'changes2_based on steps'!$B$1:$U$1,E$1)</f>
        <v>0</v>
      </c>
      <c r="F140" s="179">
        <f>SUMIFS('recurring2_based on steps'!$B140:$AY140,'recurring2_based on steps'!$B$1:$AY$1,F$1)+SUMIFS('changes2_based on steps'!$B140:$U140,'changes2_based on steps'!$B$1:$U$1,F$1)</f>
        <v>0</v>
      </c>
      <c r="G140" s="179">
        <f>SUMIFS('recurring2_based on steps'!$B140:$AY140,'recurring2_based on steps'!$B$1:$AY$1,G$1)+SUMIFS('changes2_based on steps'!$B140:$U140,'changes2_based on steps'!$B$1:$U$1,G$1)</f>
        <v>0</v>
      </c>
      <c r="H140" s="179">
        <f>SUMIFS('recurring2_based on steps'!$B140:$AY140,'recurring2_based on steps'!$B$1:$AY$1,H$1)+SUMIFS('changes2_based on steps'!$B140:$U140,'changes2_based on steps'!$B$1:$U$1,H$1)</f>
        <v>0</v>
      </c>
      <c r="I140" s="179">
        <f>SUMIFS('recurring2_based on steps'!$B140:$AY140,'recurring2_based on steps'!$B$1:$AY$1,I$1)+SUMIFS('changes2_based on steps'!$B140:$U140,'changes2_based on steps'!$B$1:$U$1,I$1)</f>
        <v>0</v>
      </c>
      <c r="J140" s="179">
        <f>SUMIFS('recurring2_based on steps'!$B140:$AY140,'recurring2_based on steps'!$B$1:$AY$1,J$1)+SUMIFS('changes2_based on steps'!$B140:$U140,'changes2_based on steps'!$B$1:$U$1,J$1)</f>
        <v>0</v>
      </c>
      <c r="K140" s="179">
        <f>SUMIFS('recurring2_based on steps'!$B140:$AY140,'recurring2_based on steps'!$B$1:$AY$1,K$1)+SUMIFS('changes2_based on steps'!$B140:$U140,'changes2_based on steps'!$B$1:$U$1,K$1)</f>
        <v>0</v>
      </c>
      <c r="L140" s="179">
        <f>SUMIFS('recurring2_based on steps'!$B140:$AY140,'recurring2_based on steps'!$B$1:$AY$1,L$1)+SUMIFS('changes2_based on steps'!$B140:$U140,'changes2_based on steps'!$B$1:$U$1,L$1)</f>
        <v>0</v>
      </c>
      <c r="M140" s="179">
        <f>SUMIFS('recurring2_based on steps'!$B140:$AY140,'recurring2_based on steps'!$B$1:$AY$1,M$1)+SUMIFS('changes2_based on steps'!$B140:$U140,'changes2_based on steps'!$B$1:$U$1,M$1)</f>
        <v>0</v>
      </c>
      <c r="N140" s="179">
        <f>SUMIFS('recurring2_based on steps'!$B140:$AY140,'recurring2_based on steps'!$B$1:$AY$1,N$1)+SUMIFS('changes2_based on steps'!$B140:$U140,'changes2_based on steps'!$B$1:$U$1,N$1)</f>
        <v>0</v>
      </c>
      <c r="O140" s="179">
        <f>SUMIFS('recurring2_based on steps'!$B140:$AY140,'recurring2_based on steps'!$B$1:$AY$1,O$1)+SUMIFS('changes2_based on steps'!$B140:$U140,'changes2_based on steps'!$B$1:$U$1,O$1)</f>
        <v>0</v>
      </c>
      <c r="P140" s="179">
        <f>SUMIFS('recurring2_based on steps'!$B140:$AY140,'recurring2_based on steps'!$B$1:$AY$1,P$1)+SUMIFS('changes2_based on steps'!$B140:$U140,'changes2_based on steps'!$B$1:$U$1,P$1)</f>
        <v>0</v>
      </c>
      <c r="Q140" s="179">
        <f>SUMIFS('recurring2_based on steps'!$B140:$AY140,'recurring2_based on steps'!$B$1:$AY$1,Q$1)+SUMIFS('changes2_based on steps'!$B140:$U140,'changes2_based on steps'!$B$1:$U$1,Q$1)</f>
        <v>0</v>
      </c>
      <c r="R140" s="179">
        <f>SUMIFS('recurring2_based on steps'!$B140:$AY140,'recurring2_based on steps'!$B$1:$AY$1,R$1)+SUMIFS('changes2_based on steps'!$B140:$U140,'changes2_based on steps'!$B$1:$U$1,R$1)</f>
        <v>0</v>
      </c>
      <c r="S140" s="179">
        <f>SUMIFS('recurring2_based on steps'!$B140:$AY140,'recurring2_based on steps'!$B$1:$AY$1,S$1)+SUMIFS('changes2_based on steps'!$B140:$U140,'changes2_based on steps'!$B$1:$U$1,S$1)</f>
        <v>0</v>
      </c>
      <c r="T140" s="179">
        <f>SUMIFS('recurring2_based on steps'!$B140:$AY140,'recurring2_based on steps'!$B$1:$AY$1,T$1)+SUMIFS('changes2_based on steps'!$B140:$U140,'changes2_based on steps'!$B$1:$U$1,T$1)</f>
        <v>0</v>
      </c>
      <c r="U140" s="179">
        <f>SUMIFS('recurring2_based on steps'!$B140:$AY140,'recurring2_based on steps'!$B$1:$AY$1,U$1)+SUMIFS('changes2_based on steps'!$B140:$U140,'changes2_based on steps'!$B$1:$U$1,U$1)</f>
        <v>0</v>
      </c>
      <c r="V140" s="179">
        <f>SUMIFS('recurring2_based on steps'!$B140:$AY140,'recurring2_based on steps'!$B$1:$AY$1,V$1)+SUMIFS('changes2_based on steps'!$B140:$U140,'changes2_based on steps'!$B$1:$U$1,V$1)</f>
        <v>0</v>
      </c>
      <c r="W140" s="179">
        <f>SUMIFS('recurring2_based on steps'!$B140:$AY140,'recurring2_based on steps'!$B$1:$AY$1,W$1)+SUMIFS('changes2_based on steps'!$B140:$U140,'changes2_based on steps'!$B$1:$U$1,W$1)</f>
        <v>0</v>
      </c>
      <c r="X140" s="179">
        <f>SUMIFS('recurring2_based on steps'!$B140:$AY140,'recurring2_based on steps'!$B$1:$AY$1,X$1)+SUMIFS('changes2_based on steps'!$B140:$U140,'changes2_based on steps'!$B$1:$U$1,X$1)</f>
        <v>0</v>
      </c>
      <c r="Y140" s="179">
        <f>SUMIFS('recurring2_based on steps'!$B140:$AY140,'recurring2_based on steps'!$B$1:$AY$1,Y$1)+SUMIFS('changes2_based on steps'!$B140:$U140,'changes2_based on steps'!$B$1:$U$1,Y$1)</f>
        <v>0</v>
      </c>
      <c r="Z140" s="179">
        <f>SUMIFS('recurring2_based on steps'!$B140:$AY140,'recurring2_based on steps'!$B$1:$AY$1,Z$1)+SUMIFS('changes2_based on steps'!$B140:$U140,'changes2_based on steps'!$B$1:$U$1,Z$1)</f>
        <v>0</v>
      </c>
      <c r="AA140" s="179">
        <f>SUMIFS('recurring2_based on steps'!$B140:$AY140,'recurring2_based on steps'!$B$1:$AY$1,AA$1)+SUMIFS('changes2_based on steps'!$B140:$U140,'changes2_based on steps'!$B$1:$U$1,AA$1)</f>
        <v>0</v>
      </c>
      <c r="AB140" s="179">
        <f>SUMIFS('recurring2_based on steps'!$B140:$AY140,'recurring2_based on steps'!$B$1:$AY$1,AB$1)+SUMIFS('changes2_based on steps'!$B140:$U140,'changes2_based on steps'!$B$1:$U$1,AB$1)</f>
        <v>0</v>
      </c>
      <c r="AC140" s="179">
        <f>SUMIFS('recurring2_based on steps'!$B140:$AY140,'recurring2_based on steps'!$B$1:$AY$1,AC$1)+SUMIFS('changes2_based on steps'!$B140:$U140,'changes2_based on steps'!$B$1:$U$1,AC$1)</f>
        <v>0</v>
      </c>
      <c r="AD140" s="179">
        <f>SUMIFS('recurring2_based on steps'!$B140:$AY140,'recurring2_based on steps'!$B$1:$AY$1,AD$1)+SUMIFS('changes2_based on steps'!$B140:$U140,'changes2_based on steps'!$B$1:$U$1,AD$1)</f>
        <v>0</v>
      </c>
      <c r="AE140" s="179">
        <f>SUMIFS('recurring2_based on steps'!$B140:$AY140,'recurring2_based on steps'!$B$1:$AY$1,AE$1)+SUMIFS('changes2_based on steps'!$B140:$U140,'changes2_based on steps'!$B$1:$U$1,AE$1)</f>
        <v>0</v>
      </c>
      <c r="AF140" s="179"/>
      <c r="AG140" s="179"/>
      <c r="AH140" s="179"/>
      <c r="AI140" s="179"/>
      <c r="AJ140" s="179"/>
      <c r="AK140" s="179"/>
      <c r="AL140" s="179"/>
      <c r="AM140" s="179"/>
    </row>
    <row r="141" spans="1:39" x14ac:dyDescent="0.2">
      <c r="A141" s="32">
        <f t="shared" ca="1" si="2"/>
        <v>45890</v>
      </c>
      <c r="B141" s="179">
        <f>SUMIFS('recurring2_based on steps'!$B141:$AY141,'recurring2_based on steps'!$B$1:$AY$1,B$1)+SUMIFS('changes2_based on steps'!$B141:$U141,'changes2_based on steps'!$B$1:$U$1,B$1)</f>
        <v>0</v>
      </c>
      <c r="C141" s="179">
        <f>SUMIFS('recurring2_based on steps'!$B141:$AY141,'recurring2_based on steps'!$B$1:$AY$1,C$1)+SUMIFS('changes2_based on steps'!$B141:$U141,'changes2_based on steps'!$B$1:$U$1,C$1)</f>
        <v>0</v>
      </c>
      <c r="D141" s="179">
        <f>SUMIFS('recurring2_based on steps'!$B141:$AY141,'recurring2_based on steps'!$B$1:$AY$1,D$1)+SUMIFS('changes2_based on steps'!$B141:$U141,'changes2_based on steps'!$B$1:$U$1,D$1)</f>
        <v>0</v>
      </c>
      <c r="E141" s="179">
        <f>SUMIFS('recurring2_based on steps'!$B141:$AY141,'recurring2_based on steps'!$B$1:$AY$1,E$1)+SUMIFS('changes2_based on steps'!$B141:$U141,'changes2_based on steps'!$B$1:$U$1,E$1)</f>
        <v>0</v>
      </c>
      <c r="F141" s="179">
        <f>SUMIFS('recurring2_based on steps'!$B141:$AY141,'recurring2_based on steps'!$B$1:$AY$1,F$1)+SUMIFS('changes2_based on steps'!$B141:$U141,'changes2_based on steps'!$B$1:$U$1,F$1)</f>
        <v>0</v>
      </c>
      <c r="G141" s="179">
        <f>SUMIFS('recurring2_based on steps'!$B141:$AY141,'recurring2_based on steps'!$B$1:$AY$1,G$1)+SUMIFS('changes2_based on steps'!$B141:$U141,'changes2_based on steps'!$B$1:$U$1,G$1)</f>
        <v>0</v>
      </c>
      <c r="H141" s="179">
        <f>SUMIFS('recurring2_based on steps'!$B141:$AY141,'recurring2_based on steps'!$B$1:$AY$1,H$1)+SUMIFS('changes2_based on steps'!$B141:$U141,'changes2_based on steps'!$B$1:$U$1,H$1)</f>
        <v>0</v>
      </c>
      <c r="I141" s="179">
        <f>SUMIFS('recurring2_based on steps'!$B141:$AY141,'recurring2_based on steps'!$B$1:$AY$1,I$1)+SUMIFS('changes2_based on steps'!$B141:$U141,'changes2_based on steps'!$B$1:$U$1,I$1)</f>
        <v>0</v>
      </c>
      <c r="J141" s="179">
        <f>SUMIFS('recurring2_based on steps'!$B141:$AY141,'recurring2_based on steps'!$B$1:$AY$1,J$1)+SUMIFS('changes2_based on steps'!$B141:$U141,'changes2_based on steps'!$B$1:$U$1,J$1)</f>
        <v>0</v>
      </c>
      <c r="K141" s="179">
        <f>SUMIFS('recurring2_based on steps'!$B141:$AY141,'recurring2_based on steps'!$B$1:$AY$1,K$1)+SUMIFS('changes2_based on steps'!$B141:$U141,'changes2_based on steps'!$B$1:$U$1,K$1)</f>
        <v>0</v>
      </c>
      <c r="L141" s="179">
        <f>SUMIFS('recurring2_based on steps'!$B141:$AY141,'recurring2_based on steps'!$B$1:$AY$1,L$1)+SUMIFS('changes2_based on steps'!$B141:$U141,'changes2_based on steps'!$B$1:$U$1,L$1)</f>
        <v>0</v>
      </c>
      <c r="M141" s="179">
        <f>SUMIFS('recurring2_based on steps'!$B141:$AY141,'recurring2_based on steps'!$B$1:$AY$1,M$1)+SUMIFS('changes2_based on steps'!$B141:$U141,'changes2_based on steps'!$B$1:$U$1,M$1)</f>
        <v>0</v>
      </c>
      <c r="N141" s="179">
        <f>SUMIFS('recurring2_based on steps'!$B141:$AY141,'recurring2_based on steps'!$B$1:$AY$1,N$1)+SUMIFS('changes2_based on steps'!$B141:$U141,'changes2_based on steps'!$B$1:$U$1,N$1)</f>
        <v>0</v>
      </c>
      <c r="O141" s="179">
        <f>SUMIFS('recurring2_based on steps'!$B141:$AY141,'recurring2_based on steps'!$B$1:$AY$1,O$1)+SUMIFS('changes2_based on steps'!$B141:$U141,'changes2_based on steps'!$B$1:$U$1,O$1)</f>
        <v>0</v>
      </c>
      <c r="P141" s="179">
        <f>SUMIFS('recurring2_based on steps'!$B141:$AY141,'recurring2_based on steps'!$B$1:$AY$1,P$1)+SUMIFS('changes2_based on steps'!$B141:$U141,'changes2_based on steps'!$B$1:$U$1,P$1)</f>
        <v>0</v>
      </c>
      <c r="Q141" s="179">
        <f>SUMIFS('recurring2_based on steps'!$B141:$AY141,'recurring2_based on steps'!$B$1:$AY$1,Q$1)+SUMIFS('changes2_based on steps'!$B141:$U141,'changes2_based on steps'!$B$1:$U$1,Q$1)</f>
        <v>0</v>
      </c>
      <c r="R141" s="179">
        <f>SUMIFS('recurring2_based on steps'!$B141:$AY141,'recurring2_based on steps'!$B$1:$AY$1,R$1)+SUMIFS('changes2_based on steps'!$B141:$U141,'changes2_based on steps'!$B$1:$U$1,R$1)</f>
        <v>0</v>
      </c>
      <c r="S141" s="179">
        <f>SUMIFS('recurring2_based on steps'!$B141:$AY141,'recurring2_based on steps'!$B$1:$AY$1,S$1)+SUMIFS('changes2_based on steps'!$B141:$U141,'changes2_based on steps'!$B$1:$U$1,S$1)</f>
        <v>0</v>
      </c>
      <c r="T141" s="179">
        <f>SUMIFS('recurring2_based on steps'!$B141:$AY141,'recurring2_based on steps'!$B$1:$AY$1,T$1)+SUMIFS('changes2_based on steps'!$B141:$U141,'changes2_based on steps'!$B$1:$U$1,T$1)</f>
        <v>0</v>
      </c>
      <c r="U141" s="179">
        <f>SUMIFS('recurring2_based on steps'!$B141:$AY141,'recurring2_based on steps'!$B$1:$AY$1,U$1)+SUMIFS('changes2_based on steps'!$B141:$U141,'changes2_based on steps'!$B$1:$U$1,U$1)</f>
        <v>0</v>
      </c>
      <c r="V141" s="179">
        <f>SUMIFS('recurring2_based on steps'!$B141:$AY141,'recurring2_based on steps'!$B$1:$AY$1,V$1)+SUMIFS('changes2_based on steps'!$B141:$U141,'changes2_based on steps'!$B$1:$U$1,V$1)</f>
        <v>0</v>
      </c>
      <c r="W141" s="179">
        <f>SUMIFS('recurring2_based on steps'!$B141:$AY141,'recurring2_based on steps'!$B$1:$AY$1,W$1)+SUMIFS('changes2_based on steps'!$B141:$U141,'changes2_based on steps'!$B$1:$U$1,W$1)</f>
        <v>0</v>
      </c>
      <c r="X141" s="179">
        <f>SUMIFS('recurring2_based on steps'!$B141:$AY141,'recurring2_based on steps'!$B$1:$AY$1,X$1)+SUMIFS('changes2_based on steps'!$B141:$U141,'changes2_based on steps'!$B$1:$U$1,X$1)</f>
        <v>0</v>
      </c>
      <c r="Y141" s="179">
        <f>SUMIFS('recurring2_based on steps'!$B141:$AY141,'recurring2_based on steps'!$B$1:$AY$1,Y$1)+SUMIFS('changes2_based on steps'!$B141:$U141,'changes2_based on steps'!$B$1:$U$1,Y$1)</f>
        <v>0</v>
      </c>
      <c r="Z141" s="179">
        <f>SUMIFS('recurring2_based on steps'!$B141:$AY141,'recurring2_based on steps'!$B$1:$AY$1,Z$1)+SUMIFS('changes2_based on steps'!$B141:$U141,'changes2_based on steps'!$B$1:$U$1,Z$1)</f>
        <v>0</v>
      </c>
      <c r="AA141" s="179">
        <f>SUMIFS('recurring2_based on steps'!$B141:$AY141,'recurring2_based on steps'!$B$1:$AY$1,AA$1)+SUMIFS('changes2_based on steps'!$B141:$U141,'changes2_based on steps'!$B$1:$U$1,AA$1)</f>
        <v>0</v>
      </c>
      <c r="AB141" s="179">
        <f>SUMIFS('recurring2_based on steps'!$B141:$AY141,'recurring2_based on steps'!$B$1:$AY$1,AB$1)+SUMIFS('changes2_based on steps'!$B141:$U141,'changes2_based on steps'!$B$1:$U$1,AB$1)</f>
        <v>0</v>
      </c>
      <c r="AC141" s="179">
        <f>SUMIFS('recurring2_based on steps'!$B141:$AY141,'recurring2_based on steps'!$B$1:$AY$1,AC$1)+SUMIFS('changes2_based on steps'!$B141:$U141,'changes2_based on steps'!$B$1:$U$1,AC$1)</f>
        <v>0</v>
      </c>
      <c r="AD141" s="179">
        <f>SUMIFS('recurring2_based on steps'!$B141:$AY141,'recurring2_based on steps'!$B$1:$AY$1,AD$1)+SUMIFS('changes2_based on steps'!$B141:$U141,'changes2_based on steps'!$B$1:$U$1,AD$1)</f>
        <v>0</v>
      </c>
      <c r="AE141" s="179">
        <f>SUMIFS('recurring2_based on steps'!$B141:$AY141,'recurring2_based on steps'!$B$1:$AY$1,AE$1)+SUMIFS('changes2_based on steps'!$B141:$U141,'changes2_based on steps'!$B$1:$U$1,AE$1)</f>
        <v>0</v>
      </c>
      <c r="AF141" s="179"/>
      <c r="AG141" s="179"/>
      <c r="AH141" s="179"/>
      <c r="AI141" s="179"/>
      <c r="AJ141" s="179"/>
      <c r="AK141" s="179"/>
      <c r="AL141" s="179"/>
      <c r="AM141" s="179"/>
    </row>
    <row r="142" spans="1:39" x14ac:dyDescent="0.2">
      <c r="A142" s="32">
        <f t="shared" ca="1" si="2"/>
        <v>45891</v>
      </c>
      <c r="B142" s="179">
        <f>SUMIFS('recurring2_based on steps'!$B142:$AY142,'recurring2_based on steps'!$B$1:$AY$1,B$1)+SUMIFS('changes2_based on steps'!$B142:$U142,'changes2_based on steps'!$B$1:$U$1,B$1)</f>
        <v>0</v>
      </c>
      <c r="C142" s="179">
        <f>SUMIFS('recurring2_based on steps'!$B142:$AY142,'recurring2_based on steps'!$B$1:$AY$1,C$1)+SUMIFS('changes2_based on steps'!$B142:$U142,'changes2_based on steps'!$B$1:$U$1,C$1)</f>
        <v>0</v>
      </c>
      <c r="D142" s="179">
        <f>SUMIFS('recurring2_based on steps'!$B142:$AY142,'recurring2_based on steps'!$B$1:$AY$1,D$1)+SUMIFS('changes2_based on steps'!$B142:$U142,'changes2_based on steps'!$B$1:$U$1,D$1)</f>
        <v>0</v>
      </c>
      <c r="E142" s="179">
        <f>SUMIFS('recurring2_based on steps'!$B142:$AY142,'recurring2_based on steps'!$B$1:$AY$1,E$1)+SUMIFS('changes2_based on steps'!$B142:$U142,'changes2_based on steps'!$B$1:$U$1,E$1)</f>
        <v>0</v>
      </c>
      <c r="F142" s="179">
        <f>SUMIFS('recurring2_based on steps'!$B142:$AY142,'recurring2_based on steps'!$B$1:$AY$1,F$1)+SUMIFS('changes2_based on steps'!$B142:$U142,'changes2_based on steps'!$B$1:$U$1,F$1)</f>
        <v>0</v>
      </c>
      <c r="G142" s="179">
        <f>SUMIFS('recurring2_based on steps'!$B142:$AY142,'recurring2_based on steps'!$B$1:$AY$1,G$1)+SUMIFS('changes2_based on steps'!$B142:$U142,'changes2_based on steps'!$B$1:$U$1,G$1)</f>
        <v>0</v>
      </c>
      <c r="H142" s="179">
        <f>SUMIFS('recurring2_based on steps'!$B142:$AY142,'recurring2_based on steps'!$B$1:$AY$1,H$1)+SUMIFS('changes2_based on steps'!$B142:$U142,'changes2_based on steps'!$B$1:$U$1,H$1)</f>
        <v>0</v>
      </c>
      <c r="I142" s="179">
        <f>SUMIFS('recurring2_based on steps'!$B142:$AY142,'recurring2_based on steps'!$B$1:$AY$1,I$1)+SUMIFS('changes2_based on steps'!$B142:$U142,'changes2_based on steps'!$B$1:$U$1,I$1)</f>
        <v>0</v>
      </c>
      <c r="J142" s="179">
        <f>SUMIFS('recurring2_based on steps'!$B142:$AY142,'recurring2_based on steps'!$B$1:$AY$1,J$1)+SUMIFS('changes2_based on steps'!$B142:$U142,'changes2_based on steps'!$B$1:$U$1,J$1)</f>
        <v>0</v>
      </c>
      <c r="K142" s="179">
        <f>SUMIFS('recurring2_based on steps'!$B142:$AY142,'recurring2_based on steps'!$B$1:$AY$1,K$1)+SUMIFS('changes2_based on steps'!$B142:$U142,'changes2_based on steps'!$B$1:$U$1,K$1)</f>
        <v>0</v>
      </c>
      <c r="L142" s="179">
        <f>SUMIFS('recurring2_based on steps'!$B142:$AY142,'recurring2_based on steps'!$B$1:$AY$1,L$1)+SUMIFS('changes2_based on steps'!$B142:$U142,'changes2_based on steps'!$B$1:$U$1,L$1)</f>
        <v>0</v>
      </c>
      <c r="M142" s="179">
        <f>SUMIFS('recurring2_based on steps'!$B142:$AY142,'recurring2_based on steps'!$B$1:$AY$1,M$1)+SUMIFS('changes2_based on steps'!$B142:$U142,'changes2_based on steps'!$B$1:$U$1,M$1)</f>
        <v>0</v>
      </c>
      <c r="N142" s="179">
        <f>SUMIFS('recurring2_based on steps'!$B142:$AY142,'recurring2_based on steps'!$B$1:$AY$1,N$1)+SUMIFS('changes2_based on steps'!$B142:$U142,'changes2_based on steps'!$B$1:$U$1,N$1)</f>
        <v>0</v>
      </c>
      <c r="O142" s="179">
        <f>SUMIFS('recurring2_based on steps'!$B142:$AY142,'recurring2_based on steps'!$B$1:$AY$1,O$1)+SUMIFS('changes2_based on steps'!$B142:$U142,'changes2_based on steps'!$B$1:$U$1,O$1)</f>
        <v>0</v>
      </c>
      <c r="P142" s="179">
        <f>SUMIFS('recurring2_based on steps'!$B142:$AY142,'recurring2_based on steps'!$B$1:$AY$1,P$1)+SUMIFS('changes2_based on steps'!$B142:$U142,'changes2_based on steps'!$B$1:$U$1,P$1)</f>
        <v>0</v>
      </c>
      <c r="Q142" s="179">
        <f>SUMIFS('recurring2_based on steps'!$B142:$AY142,'recurring2_based on steps'!$B$1:$AY$1,Q$1)+SUMIFS('changes2_based on steps'!$B142:$U142,'changes2_based on steps'!$B$1:$U$1,Q$1)</f>
        <v>0</v>
      </c>
      <c r="R142" s="179">
        <f>SUMIFS('recurring2_based on steps'!$B142:$AY142,'recurring2_based on steps'!$B$1:$AY$1,R$1)+SUMIFS('changes2_based on steps'!$B142:$U142,'changes2_based on steps'!$B$1:$U$1,R$1)</f>
        <v>0</v>
      </c>
      <c r="S142" s="179">
        <f>SUMIFS('recurring2_based on steps'!$B142:$AY142,'recurring2_based on steps'!$B$1:$AY$1,S$1)+SUMIFS('changes2_based on steps'!$B142:$U142,'changes2_based on steps'!$B$1:$U$1,S$1)</f>
        <v>0</v>
      </c>
      <c r="T142" s="179">
        <f>SUMIFS('recurring2_based on steps'!$B142:$AY142,'recurring2_based on steps'!$B$1:$AY$1,T$1)+SUMIFS('changes2_based on steps'!$B142:$U142,'changes2_based on steps'!$B$1:$U$1,T$1)</f>
        <v>0</v>
      </c>
      <c r="U142" s="179">
        <f>SUMIFS('recurring2_based on steps'!$B142:$AY142,'recurring2_based on steps'!$B$1:$AY$1,U$1)+SUMIFS('changes2_based on steps'!$B142:$U142,'changes2_based on steps'!$B$1:$U$1,U$1)</f>
        <v>0</v>
      </c>
      <c r="V142" s="179">
        <f>SUMIFS('recurring2_based on steps'!$B142:$AY142,'recurring2_based on steps'!$B$1:$AY$1,V$1)+SUMIFS('changes2_based on steps'!$B142:$U142,'changes2_based on steps'!$B$1:$U$1,V$1)</f>
        <v>0</v>
      </c>
      <c r="W142" s="179">
        <f>SUMIFS('recurring2_based on steps'!$B142:$AY142,'recurring2_based on steps'!$B$1:$AY$1,W$1)+SUMIFS('changes2_based on steps'!$B142:$U142,'changes2_based on steps'!$B$1:$U$1,W$1)</f>
        <v>0</v>
      </c>
      <c r="X142" s="179">
        <f>SUMIFS('recurring2_based on steps'!$B142:$AY142,'recurring2_based on steps'!$B$1:$AY$1,X$1)+SUMIFS('changes2_based on steps'!$B142:$U142,'changes2_based on steps'!$B$1:$U$1,X$1)</f>
        <v>0</v>
      </c>
      <c r="Y142" s="179">
        <f>SUMIFS('recurring2_based on steps'!$B142:$AY142,'recurring2_based on steps'!$B$1:$AY$1,Y$1)+SUMIFS('changes2_based on steps'!$B142:$U142,'changes2_based on steps'!$B$1:$U$1,Y$1)</f>
        <v>0</v>
      </c>
      <c r="Z142" s="179">
        <f>SUMIFS('recurring2_based on steps'!$B142:$AY142,'recurring2_based on steps'!$B$1:$AY$1,Z$1)+SUMIFS('changes2_based on steps'!$B142:$U142,'changes2_based on steps'!$B$1:$U$1,Z$1)</f>
        <v>0</v>
      </c>
      <c r="AA142" s="179">
        <f>SUMIFS('recurring2_based on steps'!$B142:$AY142,'recurring2_based on steps'!$B$1:$AY$1,AA$1)+SUMIFS('changes2_based on steps'!$B142:$U142,'changes2_based on steps'!$B$1:$U$1,AA$1)</f>
        <v>0</v>
      </c>
      <c r="AB142" s="179">
        <f>SUMIFS('recurring2_based on steps'!$B142:$AY142,'recurring2_based on steps'!$B$1:$AY$1,AB$1)+SUMIFS('changes2_based on steps'!$B142:$U142,'changes2_based on steps'!$B$1:$U$1,AB$1)</f>
        <v>0</v>
      </c>
      <c r="AC142" s="179">
        <f>SUMIFS('recurring2_based on steps'!$B142:$AY142,'recurring2_based on steps'!$B$1:$AY$1,AC$1)+SUMIFS('changes2_based on steps'!$B142:$U142,'changes2_based on steps'!$B$1:$U$1,AC$1)</f>
        <v>0</v>
      </c>
      <c r="AD142" s="179">
        <f>SUMIFS('recurring2_based on steps'!$B142:$AY142,'recurring2_based on steps'!$B$1:$AY$1,AD$1)+SUMIFS('changes2_based on steps'!$B142:$U142,'changes2_based on steps'!$B$1:$U$1,AD$1)</f>
        <v>0</v>
      </c>
      <c r="AE142" s="179">
        <f>SUMIFS('recurring2_based on steps'!$B142:$AY142,'recurring2_based on steps'!$B$1:$AY$1,AE$1)+SUMIFS('changes2_based on steps'!$B142:$U142,'changes2_based on steps'!$B$1:$U$1,AE$1)</f>
        <v>0</v>
      </c>
      <c r="AF142" s="179"/>
      <c r="AG142" s="179"/>
      <c r="AH142" s="179"/>
      <c r="AI142" s="179"/>
      <c r="AJ142" s="179"/>
      <c r="AK142" s="179"/>
      <c r="AL142" s="179"/>
      <c r="AM142" s="179"/>
    </row>
    <row r="143" spans="1:39" x14ac:dyDescent="0.2">
      <c r="A143" s="32">
        <f t="shared" ca="1" si="2"/>
        <v>45892</v>
      </c>
      <c r="B143" s="179">
        <f>SUMIFS('recurring2_based on steps'!$B143:$AY143,'recurring2_based on steps'!$B$1:$AY$1,B$1)+SUMIFS('changes2_based on steps'!$B143:$U143,'changes2_based on steps'!$B$1:$U$1,B$1)</f>
        <v>0</v>
      </c>
      <c r="C143" s="179">
        <f>SUMIFS('recurring2_based on steps'!$B143:$AY143,'recurring2_based on steps'!$B$1:$AY$1,C$1)+SUMIFS('changes2_based on steps'!$B143:$U143,'changes2_based on steps'!$B$1:$U$1,C$1)</f>
        <v>0</v>
      </c>
      <c r="D143" s="179">
        <f>SUMIFS('recurring2_based on steps'!$B143:$AY143,'recurring2_based on steps'!$B$1:$AY$1,D$1)+SUMIFS('changes2_based on steps'!$B143:$U143,'changes2_based on steps'!$B$1:$U$1,D$1)</f>
        <v>0</v>
      </c>
      <c r="E143" s="179">
        <f>SUMIFS('recurring2_based on steps'!$B143:$AY143,'recurring2_based on steps'!$B$1:$AY$1,E$1)+SUMIFS('changes2_based on steps'!$B143:$U143,'changes2_based on steps'!$B$1:$U$1,E$1)</f>
        <v>0</v>
      </c>
      <c r="F143" s="179">
        <f>SUMIFS('recurring2_based on steps'!$B143:$AY143,'recurring2_based on steps'!$B$1:$AY$1,F$1)+SUMIFS('changes2_based on steps'!$B143:$U143,'changes2_based on steps'!$B$1:$U$1,F$1)</f>
        <v>0</v>
      </c>
      <c r="G143" s="179">
        <f>SUMIFS('recurring2_based on steps'!$B143:$AY143,'recurring2_based on steps'!$B$1:$AY$1,G$1)+SUMIFS('changes2_based on steps'!$B143:$U143,'changes2_based on steps'!$B$1:$U$1,G$1)</f>
        <v>0</v>
      </c>
      <c r="H143" s="179">
        <f>SUMIFS('recurring2_based on steps'!$B143:$AY143,'recurring2_based on steps'!$B$1:$AY$1,H$1)+SUMIFS('changes2_based on steps'!$B143:$U143,'changes2_based on steps'!$B$1:$U$1,H$1)</f>
        <v>0</v>
      </c>
      <c r="I143" s="179">
        <f>SUMIFS('recurring2_based on steps'!$B143:$AY143,'recurring2_based on steps'!$B$1:$AY$1,I$1)+SUMIFS('changes2_based on steps'!$B143:$U143,'changes2_based on steps'!$B$1:$U$1,I$1)</f>
        <v>0</v>
      </c>
      <c r="J143" s="179">
        <f>SUMIFS('recurring2_based on steps'!$B143:$AY143,'recurring2_based on steps'!$B$1:$AY$1,J$1)+SUMIFS('changes2_based on steps'!$B143:$U143,'changes2_based on steps'!$B$1:$U$1,J$1)</f>
        <v>0</v>
      </c>
      <c r="K143" s="179">
        <f>SUMIFS('recurring2_based on steps'!$B143:$AY143,'recurring2_based on steps'!$B$1:$AY$1,K$1)+SUMIFS('changes2_based on steps'!$B143:$U143,'changes2_based on steps'!$B$1:$U$1,K$1)</f>
        <v>0</v>
      </c>
      <c r="L143" s="179">
        <f>SUMIFS('recurring2_based on steps'!$B143:$AY143,'recurring2_based on steps'!$B$1:$AY$1,L$1)+SUMIFS('changes2_based on steps'!$B143:$U143,'changes2_based on steps'!$B$1:$U$1,L$1)</f>
        <v>0</v>
      </c>
      <c r="M143" s="179">
        <f>SUMIFS('recurring2_based on steps'!$B143:$AY143,'recurring2_based on steps'!$B$1:$AY$1,M$1)+SUMIFS('changes2_based on steps'!$B143:$U143,'changes2_based on steps'!$B$1:$U$1,M$1)</f>
        <v>0</v>
      </c>
      <c r="N143" s="179">
        <f>SUMIFS('recurring2_based on steps'!$B143:$AY143,'recurring2_based on steps'!$B$1:$AY$1,N$1)+SUMIFS('changes2_based on steps'!$B143:$U143,'changes2_based on steps'!$B$1:$U$1,N$1)</f>
        <v>0</v>
      </c>
      <c r="O143" s="179">
        <f>SUMIFS('recurring2_based on steps'!$B143:$AY143,'recurring2_based on steps'!$B$1:$AY$1,O$1)+SUMIFS('changes2_based on steps'!$B143:$U143,'changes2_based on steps'!$B$1:$U$1,O$1)</f>
        <v>0</v>
      </c>
      <c r="P143" s="179">
        <f>SUMIFS('recurring2_based on steps'!$B143:$AY143,'recurring2_based on steps'!$B$1:$AY$1,P$1)+SUMIFS('changes2_based on steps'!$B143:$U143,'changes2_based on steps'!$B$1:$U$1,P$1)</f>
        <v>0</v>
      </c>
      <c r="Q143" s="179">
        <f>SUMIFS('recurring2_based on steps'!$B143:$AY143,'recurring2_based on steps'!$B$1:$AY$1,Q$1)+SUMIFS('changes2_based on steps'!$B143:$U143,'changes2_based on steps'!$B$1:$U$1,Q$1)</f>
        <v>0</v>
      </c>
      <c r="R143" s="179">
        <f>SUMIFS('recurring2_based on steps'!$B143:$AY143,'recurring2_based on steps'!$B$1:$AY$1,R$1)+SUMIFS('changes2_based on steps'!$B143:$U143,'changes2_based on steps'!$B$1:$U$1,R$1)</f>
        <v>0</v>
      </c>
      <c r="S143" s="179">
        <f>SUMIFS('recurring2_based on steps'!$B143:$AY143,'recurring2_based on steps'!$B$1:$AY$1,S$1)+SUMIFS('changes2_based on steps'!$B143:$U143,'changes2_based on steps'!$B$1:$U$1,S$1)</f>
        <v>0</v>
      </c>
      <c r="T143" s="179">
        <f>SUMIFS('recurring2_based on steps'!$B143:$AY143,'recurring2_based on steps'!$B$1:$AY$1,T$1)+SUMIFS('changes2_based on steps'!$B143:$U143,'changes2_based on steps'!$B$1:$U$1,T$1)</f>
        <v>0</v>
      </c>
      <c r="U143" s="179">
        <f>SUMIFS('recurring2_based on steps'!$B143:$AY143,'recurring2_based on steps'!$B$1:$AY$1,U$1)+SUMIFS('changes2_based on steps'!$B143:$U143,'changes2_based on steps'!$B$1:$U$1,U$1)</f>
        <v>0</v>
      </c>
      <c r="V143" s="179">
        <f>SUMIFS('recurring2_based on steps'!$B143:$AY143,'recurring2_based on steps'!$B$1:$AY$1,V$1)+SUMIFS('changes2_based on steps'!$B143:$U143,'changes2_based on steps'!$B$1:$U$1,V$1)</f>
        <v>0</v>
      </c>
      <c r="W143" s="179">
        <f>SUMIFS('recurring2_based on steps'!$B143:$AY143,'recurring2_based on steps'!$B$1:$AY$1,W$1)+SUMIFS('changes2_based on steps'!$B143:$U143,'changes2_based on steps'!$B$1:$U$1,W$1)</f>
        <v>0</v>
      </c>
      <c r="X143" s="179">
        <f>SUMIFS('recurring2_based on steps'!$B143:$AY143,'recurring2_based on steps'!$B$1:$AY$1,X$1)+SUMIFS('changes2_based on steps'!$B143:$U143,'changes2_based on steps'!$B$1:$U$1,X$1)</f>
        <v>0</v>
      </c>
      <c r="Y143" s="179">
        <f>SUMIFS('recurring2_based on steps'!$B143:$AY143,'recurring2_based on steps'!$B$1:$AY$1,Y$1)+SUMIFS('changes2_based on steps'!$B143:$U143,'changes2_based on steps'!$B$1:$U$1,Y$1)</f>
        <v>0</v>
      </c>
      <c r="Z143" s="179">
        <f>SUMIFS('recurring2_based on steps'!$B143:$AY143,'recurring2_based on steps'!$B$1:$AY$1,Z$1)+SUMIFS('changes2_based on steps'!$B143:$U143,'changes2_based on steps'!$B$1:$U$1,Z$1)</f>
        <v>0</v>
      </c>
      <c r="AA143" s="179">
        <f>SUMIFS('recurring2_based on steps'!$B143:$AY143,'recurring2_based on steps'!$B$1:$AY$1,AA$1)+SUMIFS('changes2_based on steps'!$B143:$U143,'changes2_based on steps'!$B$1:$U$1,AA$1)</f>
        <v>0</v>
      </c>
      <c r="AB143" s="179">
        <f>SUMIFS('recurring2_based on steps'!$B143:$AY143,'recurring2_based on steps'!$B$1:$AY$1,AB$1)+SUMIFS('changes2_based on steps'!$B143:$U143,'changes2_based on steps'!$B$1:$U$1,AB$1)</f>
        <v>0</v>
      </c>
      <c r="AC143" s="179">
        <f>SUMIFS('recurring2_based on steps'!$B143:$AY143,'recurring2_based on steps'!$B$1:$AY$1,AC$1)+SUMIFS('changes2_based on steps'!$B143:$U143,'changes2_based on steps'!$B$1:$U$1,AC$1)</f>
        <v>0</v>
      </c>
      <c r="AD143" s="179">
        <f>SUMIFS('recurring2_based on steps'!$B143:$AY143,'recurring2_based on steps'!$B$1:$AY$1,AD$1)+SUMIFS('changes2_based on steps'!$B143:$U143,'changes2_based on steps'!$B$1:$U$1,AD$1)</f>
        <v>0</v>
      </c>
      <c r="AE143" s="179">
        <f>SUMIFS('recurring2_based on steps'!$B143:$AY143,'recurring2_based on steps'!$B$1:$AY$1,AE$1)+SUMIFS('changes2_based on steps'!$B143:$U143,'changes2_based on steps'!$B$1:$U$1,AE$1)</f>
        <v>0</v>
      </c>
      <c r="AF143" s="179"/>
      <c r="AG143" s="179"/>
      <c r="AH143" s="179"/>
      <c r="AI143" s="179"/>
      <c r="AJ143" s="179"/>
      <c r="AK143" s="179"/>
      <c r="AL143" s="179"/>
      <c r="AM143" s="179"/>
    </row>
    <row r="144" spans="1:39" x14ac:dyDescent="0.2">
      <c r="A144" s="32">
        <f t="shared" ca="1" si="2"/>
        <v>45893</v>
      </c>
      <c r="B144" s="179">
        <f>SUMIFS('recurring2_based on steps'!$B144:$AY144,'recurring2_based on steps'!$B$1:$AY$1,B$1)+SUMIFS('changes2_based on steps'!$B144:$U144,'changes2_based on steps'!$B$1:$U$1,B$1)</f>
        <v>0</v>
      </c>
      <c r="C144" s="179">
        <f>SUMIFS('recurring2_based on steps'!$B144:$AY144,'recurring2_based on steps'!$B$1:$AY$1,C$1)+SUMIFS('changes2_based on steps'!$B144:$U144,'changes2_based on steps'!$B$1:$U$1,C$1)</f>
        <v>0</v>
      </c>
      <c r="D144" s="179">
        <f>SUMIFS('recurring2_based on steps'!$B144:$AY144,'recurring2_based on steps'!$B$1:$AY$1,D$1)+SUMIFS('changes2_based on steps'!$B144:$U144,'changes2_based on steps'!$B$1:$U$1,D$1)</f>
        <v>0</v>
      </c>
      <c r="E144" s="179">
        <f>SUMIFS('recurring2_based on steps'!$B144:$AY144,'recurring2_based on steps'!$B$1:$AY$1,E$1)+SUMIFS('changes2_based on steps'!$B144:$U144,'changes2_based on steps'!$B$1:$U$1,E$1)</f>
        <v>0</v>
      </c>
      <c r="F144" s="179">
        <f>SUMIFS('recurring2_based on steps'!$B144:$AY144,'recurring2_based on steps'!$B$1:$AY$1,F$1)+SUMIFS('changes2_based on steps'!$B144:$U144,'changes2_based on steps'!$B$1:$U$1,F$1)</f>
        <v>0</v>
      </c>
      <c r="G144" s="179">
        <f>SUMIFS('recurring2_based on steps'!$B144:$AY144,'recurring2_based on steps'!$B$1:$AY$1,G$1)+SUMIFS('changes2_based on steps'!$B144:$U144,'changes2_based on steps'!$B$1:$U$1,G$1)</f>
        <v>0</v>
      </c>
      <c r="H144" s="179">
        <f>SUMIFS('recurring2_based on steps'!$B144:$AY144,'recurring2_based on steps'!$B$1:$AY$1,H$1)+SUMIFS('changes2_based on steps'!$B144:$U144,'changes2_based on steps'!$B$1:$U$1,H$1)</f>
        <v>0</v>
      </c>
      <c r="I144" s="179">
        <f>SUMIFS('recurring2_based on steps'!$B144:$AY144,'recurring2_based on steps'!$B$1:$AY$1,I$1)+SUMIFS('changes2_based on steps'!$B144:$U144,'changes2_based on steps'!$B$1:$U$1,I$1)</f>
        <v>0</v>
      </c>
      <c r="J144" s="179">
        <f>SUMIFS('recurring2_based on steps'!$B144:$AY144,'recurring2_based on steps'!$B$1:$AY$1,J$1)+SUMIFS('changes2_based on steps'!$B144:$U144,'changes2_based on steps'!$B$1:$U$1,J$1)</f>
        <v>0</v>
      </c>
      <c r="K144" s="179">
        <f>SUMIFS('recurring2_based on steps'!$B144:$AY144,'recurring2_based on steps'!$B$1:$AY$1,K$1)+SUMIFS('changes2_based on steps'!$B144:$U144,'changes2_based on steps'!$B$1:$U$1,K$1)</f>
        <v>0</v>
      </c>
      <c r="L144" s="179">
        <f>SUMIFS('recurring2_based on steps'!$B144:$AY144,'recurring2_based on steps'!$B$1:$AY$1,L$1)+SUMIFS('changes2_based on steps'!$B144:$U144,'changes2_based on steps'!$B$1:$U$1,L$1)</f>
        <v>0</v>
      </c>
      <c r="M144" s="179">
        <f>SUMIFS('recurring2_based on steps'!$B144:$AY144,'recurring2_based on steps'!$B$1:$AY$1,M$1)+SUMIFS('changes2_based on steps'!$B144:$U144,'changes2_based on steps'!$B$1:$U$1,M$1)</f>
        <v>0</v>
      </c>
      <c r="N144" s="179">
        <f>SUMIFS('recurring2_based on steps'!$B144:$AY144,'recurring2_based on steps'!$B$1:$AY$1,N$1)+SUMIFS('changes2_based on steps'!$B144:$U144,'changes2_based on steps'!$B$1:$U$1,N$1)</f>
        <v>0</v>
      </c>
      <c r="O144" s="179">
        <f>SUMIFS('recurring2_based on steps'!$B144:$AY144,'recurring2_based on steps'!$B$1:$AY$1,O$1)+SUMIFS('changes2_based on steps'!$B144:$U144,'changes2_based on steps'!$B$1:$U$1,O$1)</f>
        <v>0</v>
      </c>
      <c r="P144" s="179">
        <f>SUMIFS('recurring2_based on steps'!$B144:$AY144,'recurring2_based on steps'!$B$1:$AY$1,P$1)+SUMIFS('changes2_based on steps'!$B144:$U144,'changes2_based on steps'!$B$1:$U$1,P$1)</f>
        <v>0</v>
      </c>
      <c r="Q144" s="179">
        <f>SUMIFS('recurring2_based on steps'!$B144:$AY144,'recurring2_based on steps'!$B$1:$AY$1,Q$1)+SUMIFS('changes2_based on steps'!$B144:$U144,'changes2_based on steps'!$B$1:$U$1,Q$1)</f>
        <v>0</v>
      </c>
      <c r="R144" s="179">
        <f>SUMIFS('recurring2_based on steps'!$B144:$AY144,'recurring2_based on steps'!$B$1:$AY$1,R$1)+SUMIFS('changes2_based on steps'!$B144:$U144,'changes2_based on steps'!$B$1:$U$1,R$1)</f>
        <v>0</v>
      </c>
      <c r="S144" s="179">
        <f>SUMIFS('recurring2_based on steps'!$B144:$AY144,'recurring2_based on steps'!$B$1:$AY$1,S$1)+SUMIFS('changes2_based on steps'!$B144:$U144,'changes2_based on steps'!$B$1:$U$1,S$1)</f>
        <v>0</v>
      </c>
      <c r="T144" s="179">
        <f>SUMIFS('recurring2_based on steps'!$B144:$AY144,'recurring2_based on steps'!$B$1:$AY$1,T$1)+SUMIFS('changes2_based on steps'!$B144:$U144,'changes2_based on steps'!$B$1:$U$1,T$1)</f>
        <v>0</v>
      </c>
      <c r="U144" s="179">
        <f>SUMIFS('recurring2_based on steps'!$B144:$AY144,'recurring2_based on steps'!$B$1:$AY$1,U$1)+SUMIFS('changes2_based on steps'!$B144:$U144,'changes2_based on steps'!$B$1:$U$1,U$1)</f>
        <v>0</v>
      </c>
      <c r="V144" s="179">
        <f>SUMIFS('recurring2_based on steps'!$B144:$AY144,'recurring2_based on steps'!$B$1:$AY$1,V$1)+SUMIFS('changes2_based on steps'!$B144:$U144,'changes2_based on steps'!$B$1:$U$1,V$1)</f>
        <v>0</v>
      </c>
      <c r="W144" s="179">
        <f>SUMIFS('recurring2_based on steps'!$B144:$AY144,'recurring2_based on steps'!$B$1:$AY$1,W$1)+SUMIFS('changes2_based on steps'!$B144:$U144,'changes2_based on steps'!$B$1:$U$1,W$1)</f>
        <v>0</v>
      </c>
      <c r="X144" s="179">
        <f>SUMIFS('recurring2_based on steps'!$B144:$AY144,'recurring2_based on steps'!$B$1:$AY$1,X$1)+SUMIFS('changes2_based on steps'!$B144:$U144,'changes2_based on steps'!$B$1:$U$1,X$1)</f>
        <v>0</v>
      </c>
      <c r="Y144" s="179">
        <f>SUMIFS('recurring2_based on steps'!$B144:$AY144,'recurring2_based on steps'!$B$1:$AY$1,Y$1)+SUMIFS('changes2_based on steps'!$B144:$U144,'changes2_based on steps'!$B$1:$U$1,Y$1)</f>
        <v>0</v>
      </c>
      <c r="Z144" s="179">
        <f>SUMIFS('recurring2_based on steps'!$B144:$AY144,'recurring2_based on steps'!$B$1:$AY$1,Z$1)+SUMIFS('changes2_based on steps'!$B144:$U144,'changes2_based on steps'!$B$1:$U$1,Z$1)</f>
        <v>0</v>
      </c>
      <c r="AA144" s="179">
        <f>SUMIFS('recurring2_based on steps'!$B144:$AY144,'recurring2_based on steps'!$B$1:$AY$1,AA$1)+SUMIFS('changes2_based on steps'!$B144:$U144,'changes2_based on steps'!$B$1:$U$1,AA$1)</f>
        <v>0</v>
      </c>
      <c r="AB144" s="179">
        <f>SUMIFS('recurring2_based on steps'!$B144:$AY144,'recurring2_based on steps'!$B$1:$AY$1,AB$1)+SUMIFS('changes2_based on steps'!$B144:$U144,'changes2_based on steps'!$B$1:$U$1,AB$1)</f>
        <v>0</v>
      </c>
      <c r="AC144" s="179">
        <f>SUMIFS('recurring2_based on steps'!$B144:$AY144,'recurring2_based on steps'!$B$1:$AY$1,AC$1)+SUMIFS('changes2_based on steps'!$B144:$U144,'changes2_based on steps'!$B$1:$U$1,AC$1)</f>
        <v>0</v>
      </c>
      <c r="AD144" s="179">
        <f>SUMIFS('recurring2_based on steps'!$B144:$AY144,'recurring2_based on steps'!$B$1:$AY$1,AD$1)+SUMIFS('changes2_based on steps'!$B144:$U144,'changes2_based on steps'!$B$1:$U$1,AD$1)</f>
        <v>0</v>
      </c>
      <c r="AE144" s="179">
        <f>SUMIFS('recurring2_based on steps'!$B144:$AY144,'recurring2_based on steps'!$B$1:$AY$1,AE$1)+SUMIFS('changes2_based on steps'!$B144:$U144,'changes2_based on steps'!$B$1:$U$1,AE$1)</f>
        <v>0</v>
      </c>
      <c r="AF144" s="179"/>
      <c r="AG144" s="179"/>
      <c r="AH144" s="179"/>
      <c r="AI144" s="179"/>
      <c r="AJ144" s="179"/>
      <c r="AK144" s="179"/>
      <c r="AL144" s="179"/>
      <c r="AM144" s="179"/>
    </row>
    <row r="145" spans="1:39" x14ac:dyDescent="0.2">
      <c r="A145" s="32">
        <f t="shared" ca="1" si="2"/>
        <v>45894</v>
      </c>
      <c r="B145" s="179">
        <f>SUMIFS('recurring2_based on steps'!$B145:$AY145,'recurring2_based on steps'!$B$1:$AY$1,B$1)+SUMIFS('changes2_based on steps'!$B145:$U145,'changes2_based on steps'!$B$1:$U$1,B$1)</f>
        <v>0</v>
      </c>
      <c r="C145" s="179">
        <f>SUMIFS('recurring2_based on steps'!$B145:$AY145,'recurring2_based on steps'!$B$1:$AY$1,C$1)+SUMIFS('changes2_based on steps'!$B145:$U145,'changes2_based on steps'!$B$1:$U$1,C$1)</f>
        <v>0</v>
      </c>
      <c r="D145" s="179">
        <f>SUMIFS('recurring2_based on steps'!$B145:$AY145,'recurring2_based on steps'!$B$1:$AY$1,D$1)+SUMIFS('changes2_based on steps'!$B145:$U145,'changes2_based on steps'!$B$1:$U$1,D$1)</f>
        <v>0</v>
      </c>
      <c r="E145" s="179">
        <f>SUMIFS('recurring2_based on steps'!$B145:$AY145,'recurring2_based on steps'!$B$1:$AY$1,E$1)+SUMIFS('changes2_based on steps'!$B145:$U145,'changes2_based on steps'!$B$1:$U$1,E$1)</f>
        <v>0</v>
      </c>
      <c r="F145" s="179">
        <f>SUMIFS('recurring2_based on steps'!$B145:$AY145,'recurring2_based on steps'!$B$1:$AY$1,F$1)+SUMIFS('changes2_based on steps'!$B145:$U145,'changes2_based on steps'!$B$1:$U$1,F$1)</f>
        <v>0</v>
      </c>
      <c r="G145" s="179">
        <f>SUMIFS('recurring2_based on steps'!$B145:$AY145,'recurring2_based on steps'!$B$1:$AY$1,G$1)+SUMIFS('changes2_based on steps'!$B145:$U145,'changes2_based on steps'!$B$1:$U$1,G$1)</f>
        <v>0</v>
      </c>
      <c r="H145" s="179">
        <f>SUMIFS('recurring2_based on steps'!$B145:$AY145,'recurring2_based on steps'!$B$1:$AY$1,H$1)+SUMIFS('changes2_based on steps'!$B145:$U145,'changes2_based on steps'!$B$1:$U$1,H$1)</f>
        <v>0</v>
      </c>
      <c r="I145" s="179">
        <f>SUMIFS('recurring2_based on steps'!$B145:$AY145,'recurring2_based on steps'!$B$1:$AY$1,I$1)+SUMIFS('changes2_based on steps'!$B145:$U145,'changes2_based on steps'!$B$1:$U$1,I$1)</f>
        <v>0</v>
      </c>
      <c r="J145" s="179">
        <f>SUMIFS('recurring2_based on steps'!$B145:$AY145,'recurring2_based on steps'!$B$1:$AY$1,J$1)+SUMIFS('changes2_based on steps'!$B145:$U145,'changes2_based on steps'!$B$1:$U$1,J$1)</f>
        <v>0</v>
      </c>
      <c r="K145" s="179">
        <f>SUMIFS('recurring2_based on steps'!$B145:$AY145,'recurring2_based on steps'!$B$1:$AY$1,K$1)+SUMIFS('changes2_based on steps'!$B145:$U145,'changes2_based on steps'!$B$1:$U$1,K$1)</f>
        <v>0</v>
      </c>
      <c r="L145" s="179">
        <f>SUMIFS('recurring2_based on steps'!$B145:$AY145,'recurring2_based on steps'!$B$1:$AY$1,L$1)+SUMIFS('changes2_based on steps'!$B145:$U145,'changes2_based on steps'!$B$1:$U$1,L$1)</f>
        <v>0</v>
      </c>
      <c r="M145" s="179">
        <f>SUMIFS('recurring2_based on steps'!$B145:$AY145,'recurring2_based on steps'!$B$1:$AY$1,M$1)+SUMIFS('changes2_based on steps'!$B145:$U145,'changes2_based on steps'!$B$1:$U$1,M$1)</f>
        <v>0</v>
      </c>
      <c r="N145" s="179">
        <f>SUMIFS('recurring2_based on steps'!$B145:$AY145,'recurring2_based on steps'!$B$1:$AY$1,N$1)+SUMIFS('changes2_based on steps'!$B145:$U145,'changes2_based on steps'!$B$1:$U$1,N$1)</f>
        <v>0</v>
      </c>
      <c r="O145" s="179">
        <f>SUMIFS('recurring2_based on steps'!$B145:$AY145,'recurring2_based on steps'!$B$1:$AY$1,O$1)+SUMIFS('changes2_based on steps'!$B145:$U145,'changes2_based on steps'!$B$1:$U$1,O$1)</f>
        <v>0</v>
      </c>
      <c r="P145" s="179">
        <f>SUMIFS('recurring2_based on steps'!$B145:$AY145,'recurring2_based on steps'!$B$1:$AY$1,P$1)+SUMIFS('changes2_based on steps'!$B145:$U145,'changes2_based on steps'!$B$1:$U$1,P$1)</f>
        <v>0</v>
      </c>
      <c r="Q145" s="179">
        <f>SUMIFS('recurring2_based on steps'!$B145:$AY145,'recurring2_based on steps'!$B$1:$AY$1,Q$1)+SUMIFS('changes2_based on steps'!$B145:$U145,'changes2_based on steps'!$B$1:$U$1,Q$1)</f>
        <v>0</v>
      </c>
      <c r="R145" s="179">
        <f>SUMIFS('recurring2_based on steps'!$B145:$AY145,'recurring2_based on steps'!$B$1:$AY$1,R$1)+SUMIFS('changes2_based on steps'!$B145:$U145,'changes2_based on steps'!$B$1:$U$1,R$1)</f>
        <v>0</v>
      </c>
      <c r="S145" s="179">
        <f>SUMIFS('recurring2_based on steps'!$B145:$AY145,'recurring2_based on steps'!$B$1:$AY$1,S$1)+SUMIFS('changes2_based on steps'!$B145:$U145,'changes2_based on steps'!$B$1:$U$1,S$1)</f>
        <v>0</v>
      </c>
      <c r="T145" s="179">
        <f>SUMIFS('recurring2_based on steps'!$B145:$AY145,'recurring2_based on steps'!$B$1:$AY$1,T$1)+SUMIFS('changes2_based on steps'!$B145:$U145,'changes2_based on steps'!$B$1:$U$1,T$1)</f>
        <v>0</v>
      </c>
      <c r="U145" s="179">
        <f>SUMIFS('recurring2_based on steps'!$B145:$AY145,'recurring2_based on steps'!$B$1:$AY$1,U$1)+SUMIFS('changes2_based on steps'!$B145:$U145,'changes2_based on steps'!$B$1:$U$1,U$1)</f>
        <v>0</v>
      </c>
      <c r="V145" s="179">
        <f>SUMIFS('recurring2_based on steps'!$B145:$AY145,'recurring2_based on steps'!$B$1:$AY$1,V$1)+SUMIFS('changes2_based on steps'!$B145:$U145,'changes2_based on steps'!$B$1:$U$1,V$1)</f>
        <v>0</v>
      </c>
      <c r="W145" s="179">
        <f>SUMIFS('recurring2_based on steps'!$B145:$AY145,'recurring2_based on steps'!$B$1:$AY$1,W$1)+SUMIFS('changes2_based on steps'!$B145:$U145,'changes2_based on steps'!$B$1:$U$1,W$1)</f>
        <v>0</v>
      </c>
      <c r="X145" s="179">
        <f>SUMIFS('recurring2_based on steps'!$B145:$AY145,'recurring2_based on steps'!$B$1:$AY$1,X$1)+SUMIFS('changes2_based on steps'!$B145:$U145,'changes2_based on steps'!$B$1:$U$1,X$1)</f>
        <v>0</v>
      </c>
      <c r="Y145" s="179">
        <f>SUMIFS('recurring2_based on steps'!$B145:$AY145,'recurring2_based on steps'!$B$1:$AY$1,Y$1)+SUMIFS('changes2_based on steps'!$B145:$U145,'changes2_based on steps'!$B$1:$U$1,Y$1)</f>
        <v>0</v>
      </c>
      <c r="Z145" s="179">
        <f>SUMIFS('recurring2_based on steps'!$B145:$AY145,'recurring2_based on steps'!$B$1:$AY$1,Z$1)+SUMIFS('changes2_based on steps'!$B145:$U145,'changes2_based on steps'!$B$1:$U$1,Z$1)</f>
        <v>0</v>
      </c>
      <c r="AA145" s="179">
        <f>SUMIFS('recurring2_based on steps'!$B145:$AY145,'recurring2_based on steps'!$B$1:$AY$1,AA$1)+SUMIFS('changes2_based on steps'!$B145:$U145,'changes2_based on steps'!$B$1:$U$1,AA$1)</f>
        <v>0</v>
      </c>
      <c r="AB145" s="179">
        <f>SUMIFS('recurring2_based on steps'!$B145:$AY145,'recurring2_based on steps'!$B$1:$AY$1,AB$1)+SUMIFS('changes2_based on steps'!$B145:$U145,'changes2_based on steps'!$B$1:$U$1,AB$1)</f>
        <v>0</v>
      </c>
      <c r="AC145" s="179">
        <f>SUMIFS('recurring2_based on steps'!$B145:$AY145,'recurring2_based on steps'!$B$1:$AY$1,AC$1)+SUMIFS('changes2_based on steps'!$B145:$U145,'changes2_based on steps'!$B$1:$U$1,AC$1)</f>
        <v>0</v>
      </c>
      <c r="AD145" s="179">
        <f>SUMIFS('recurring2_based on steps'!$B145:$AY145,'recurring2_based on steps'!$B$1:$AY$1,AD$1)+SUMIFS('changes2_based on steps'!$B145:$U145,'changes2_based on steps'!$B$1:$U$1,AD$1)</f>
        <v>0</v>
      </c>
      <c r="AE145" s="179">
        <f>SUMIFS('recurring2_based on steps'!$B145:$AY145,'recurring2_based on steps'!$B$1:$AY$1,AE$1)+SUMIFS('changes2_based on steps'!$B145:$U145,'changes2_based on steps'!$B$1:$U$1,AE$1)</f>
        <v>0</v>
      </c>
      <c r="AF145" s="179"/>
      <c r="AG145" s="179"/>
      <c r="AH145" s="179"/>
      <c r="AI145" s="179"/>
      <c r="AJ145" s="179"/>
      <c r="AK145" s="179"/>
      <c r="AL145" s="179"/>
      <c r="AM145" s="179"/>
    </row>
    <row r="146" spans="1:39" x14ac:dyDescent="0.2">
      <c r="A146" s="32">
        <f t="shared" ca="1" si="2"/>
        <v>45895</v>
      </c>
      <c r="B146" s="179">
        <f>SUMIFS('recurring2_based on steps'!$B146:$AY146,'recurring2_based on steps'!$B$1:$AY$1,B$1)+SUMIFS('changes2_based on steps'!$B146:$U146,'changes2_based on steps'!$B$1:$U$1,B$1)</f>
        <v>0</v>
      </c>
      <c r="C146" s="179">
        <f>SUMIFS('recurring2_based on steps'!$B146:$AY146,'recurring2_based on steps'!$B$1:$AY$1,C$1)+SUMIFS('changes2_based on steps'!$B146:$U146,'changes2_based on steps'!$B$1:$U$1,C$1)</f>
        <v>0</v>
      </c>
      <c r="D146" s="179">
        <f>SUMIFS('recurring2_based on steps'!$B146:$AY146,'recurring2_based on steps'!$B$1:$AY$1,D$1)+SUMIFS('changes2_based on steps'!$B146:$U146,'changes2_based on steps'!$B$1:$U$1,D$1)</f>
        <v>0</v>
      </c>
      <c r="E146" s="179">
        <f>SUMIFS('recurring2_based on steps'!$B146:$AY146,'recurring2_based on steps'!$B$1:$AY$1,E$1)+SUMIFS('changes2_based on steps'!$B146:$U146,'changes2_based on steps'!$B$1:$U$1,E$1)</f>
        <v>0</v>
      </c>
      <c r="F146" s="179">
        <f>SUMIFS('recurring2_based on steps'!$B146:$AY146,'recurring2_based on steps'!$B$1:$AY$1,F$1)+SUMIFS('changes2_based on steps'!$B146:$U146,'changes2_based on steps'!$B$1:$U$1,F$1)</f>
        <v>0</v>
      </c>
      <c r="G146" s="179">
        <f>SUMIFS('recurring2_based on steps'!$B146:$AY146,'recurring2_based on steps'!$B$1:$AY$1,G$1)+SUMIFS('changes2_based on steps'!$B146:$U146,'changes2_based on steps'!$B$1:$U$1,G$1)</f>
        <v>0</v>
      </c>
      <c r="H146" s="179">
        <f>SUMIFS('recurring2_based on steps'!$B146:$AY146,'recurring2_based on steps'!$B$1:$AY$1,H$1)+SUMIFS('changes2_based on steps'!$B146:$U146,'changes2_based on steps'!$B$1:$U$1,H$1)</f>
        <v>0</v>
      </c>
      <c r="I146" s="179">
        <f>SUMIFS('recurring2_based on steps'!$B146:$AY146,'recurring2_based on steps'!$B$1:$AY$1,I$1)+SUMIFS('changes2_based on steps'!$B146:$U146,'changes2_based on steps'!$B$1:$U$1,I$1)</f>
        <v>0</v>
      </c>
      <c r="J146" s="179">
        <f>SUMIFS('recurring2_based on steps'!$B146:$AY146,'recurring2_based on steps'!$B$1:$AY$1,J$1)+SUMIFS('changes2_based on steps'!$B146:$U146,'changes2_based on steps'!$B$1:$U$1,J$1)</f>
        <v>0</v>
      </c>
      <c r="K146" s="179">
        <f>SUMIFS('recurring2_based on steps'!$B146:$AY146,'recurring2_based on steps'!$B$1:$AY$1,K$1)+SUMIFS('changes2_based on steps'!$B146:$U146,'changes2_based on steps'!$B$1:$U$1,K$1)</f>
        <v>0</v>
      </c>
      <c r="L146" s="179">
        <f>SUMIFS('recurring2_based on steps'!$B146:$AY146,'recurring2_based on steps'!$B$1:$AY$1,L$1)+SUMIFS('changes2_based on steps'!$B146:$U146,'changes2_based on steps'!$B$1:$U$1,L$1)</f>
        <v>0</v>
      </c>
      <c r="M146" s="179">
        <f>SUMIFS('recurring2_based on steps'!$B146:$AY146,'recurring2_based on steps'!$B$1:$AY$1,M$1)+SUMIFS('changes2_based on steps'!$B146:$U146,'changes2_based on steps'!$B$1:$U$1,M$1)</f>
        <v>0</v>
      </c>
      <c r="N146" s="179">
        <f>SUMIFS('recurring2_based on steps'!$B146:$AY146,'recurring2_based on steps'!$B$1:$AY$1,N$1)+SUMIFS('changes2_based on steps'!$B146:$U146,'changes2_based on steps'!$B$1:$U$1,N$1)</f>
        <v>0</v>
      </c>
      <c r="O146" s="179">
        <f>SUMIFS('recurring2_based on steps'!$B146:$AY146,'recurring2_based on steps'!$B$1:$AY$1,O$1)+SUMIFS('changes2_based on steps'!$B146:$U146,'changes2_based on steps'!$B$1:$U$1,O$1)</f>
        <v>0</v>
      </c>
      <c r="P146" s="179">
        <f>SUMIFS('recurring2_based on steps'!$B146:$AY146,'recurring2_based on steps'!$B$1:$AY$1,P$1)+SUMIFS('changes2_based on steps'!$B146:$U146,'changes2_based on steps'!$B$1:$U$1,P$1)</f>
        <v>0</v>
      </c>
      <c r="Q146" s="179">
        <f>SUMIFS('recurring2_based on steps'!$B146:$AY146,'recurring2_based on steps'!$B$1:$AY$1,Q$1)+SUMIFS('changes2_based on steps'!$B146:$U146,'changes2_based on steps'!$B$1:$U$1,Q$1)</f>
        <v>0</v>
      </c>
      <c r="R146" s="179">
        <f>SUMIFS('recurring2_based on steps'!$B146:$AY146,'recurring2_based on steps'!$B$1:$AY$1,R$1)+SUMIFS('changes2_based on steps'!$B146:$U146,'changes2_based on steps'!$B$1:$U$1,R$1)</f>
        <v>0</v>
      </c>
      <c r="S146" s="179">
        <f>SUMIFS('recurring2_based on steps'!$B146:$AY146,'recurring2_based on steps'!$B$1:$AY$1,S$1)+SUMIFS('changes2_based on steps'!$B146:$U146,'changes2_based on steps'!$B$1:$U$1,S$1)</f>
        <v>0</v>
      </c>
      <c r="T146" s="179">
        <f>SUMIFS('recurring2_based on steps'!$B146:$AY146,'recurring2_based on steps'!$B$1:$AY$1,T$1)+SUMIFS('changes2_based on steps'!$B146:$U146,'changes2_based on steps'!$B$1:$U$1,T$1)</f>
        <v>0</v>
      </c>
      <c r="U146" s="179">
        <f>SUMIFS('recurring2_based on steps'!$B146:$AY146,'recurring2_based on steps'!$B$1:$AY$1,U$1)+SUMIFS('changes2_based on steps'!$B146:$U146,'changes2_based on steps'!$B$1:$U$1,U$1)</f>
        <v>0</v>
      </c>
      <c r="V146" s="179">
        <f>SUMIFS('recurring2_based on steps'!$B146:$AY146,'recurring2_based on steps'!$B$1:$AY$1,V$1)+SUMIFS('changes2_based on steps'!$B146:$U146,'changes2_based on steps'!$B$1:$U$1,V$1)</f>
        <v>0</v>
      </c>
      <c r="W146" s="179">
        <f>SUMIFS('recurring2_based on steps'!$B146:$AY146,'recurring2_based on steps'!$B$1:$AY$1,W$1)+SUMIFS('changes2_based on steps'!$B146:$U146,'changes2_based on steps'!$B$1:$U$1,W$1)</f>
        <v>0</v>
      </c>
      <c r="X146" s="179">
        <f>SUMIFS('recurring2_based on steps'!$B146:$AY146,'recurring2_based on steps'!$B$1:$AY$1,X$1)+SUMIFS('changes2_based on steps'!$B146:$U146,'changes2_based on steps'!$B$1:$U$1,X$1)</f>
        <v>0</v>
      </c>
      <c r="Y146" s="179">
        <f>SUMIFS('recurring2_based on steps'!$B146:$AY146,'recurring2_based on steps'!$B$1:$AY$1,Y$1)+SUMIFS('changes2_based on steps'!$B146:$U146,'changes2_based on steps'!$B$1:$U$1,Y$1)</f>
        <v>0</v>
      </c>
      <c r="Z146" s="179">
        <f>SUMIFS('recurring2_based on steps'!$B146:$AY146,'recurring2_based on steps'!$B$1:$AY$1,Z$1)+SUMIFS('changes2_based on steps'!$B146:$U146,'changes2_based on steps'!$B$1:$U$1,Z$1)</f>
        <v>0</v>
      </c>
      <c r="AA146" s="179">
        <f>SUMIFS('recurring2_based on steps'!$B146:$AY146,'recurring2_based on steps'!$B$1:$AY$1,AA$1)+SUMIFS('changes2_based on steps'!$B146:$U146,'changes2_based on steps'!$B$1:$U$1,AA$1)</f>
        <v>0</v>
      </c>
      <c r="AB146" s="179">
        <f>SUMIFS('recurring2_based on steps'!$B146:$AY146,'recurring2_based on steps'!$B$1:$AY$1,AB$1)+SUMIFS('changes2_based on steps'!$B146:$U146,'changes2_based on steps'!$B$1:$U$1,AB$1)</f>
        <v>0</v>
      </c>
      <c r="AC146" s="179">
        <f>SUMIFS('recurring2_based on steps'!$B146:$AY146,'recurring2_based on steps'!$B$1:$AY$1,AC$1)+SUMIFS('changes2_based on steps'!$B146:$U146,'changes2_based on steps'!$B$1:$U$1,AC$1)</f>
        <v>0</v>
      </c>
      <c r="AD146" s="179">
        <f>SUMIFS('recurring2_based on steps'!$B146:$AY146,'recurring2_based on steps'!$B$1:$AY$1,AD$1)+SUMIFS('changes2_based on steps'!$B146:$U146,'changes2_based on steps'!$B$1:$U$1,AD$1)</f>
        <v>0</v>
      </c>
      <c r="AE146" s="179">
        <f>SUMIFS('recurring2_based on steps'!$B146:$AY146,'recurring2_based on steps'!$B$1:$AY$1,AE$1)+SUMIFS('changes2_based on steps'!$B146:$U146,'changes2_based on steps'!$B$1:$U$1,AE$1)</f>
        <v>0</v>
      </c>
      <c r="AF146" s="179"/>
      <c r="AG146" s="179"/>
      <c r="AH146" s="179"/>
      <c r="AI146" s="179"/>
      <c r="AJ146" s="179"/>
      <c r="AK146" s="179"/>
      <c r="AL146" s="179"/>
      <c r="AM146" s="179"/>
    </row>
    <row r="147" spans="1:39" x14ac:dyDescent="0.2">
      <c r="A147" s="32">
        <f t="shared" ca="1" si="2"/>
        <v>45896</v>
      </c>
      <c r="B147" s="179">
        <f>SUMIFS('recurring2_based on steps'!$B147:$AY147,'recurring2_based on steps'!$B$1:$AY$1,B$1)+SUMIFS('changes2_based on steps'!$B147:$U147,'changes2_based on steps'!$B$1:$U$1,B$1)</f>
        <v>0</v>
      </c>
      <c r="C147" s="179">
        <f>SUMIFS('recurring2_based on steps'!$B147:$AY147,'recurring2_based on steps'!$B$1:$AY$1,C$1)+SUMIFS('changes2_based on steps'!$B147:$U147,'changes2_based on steps'!$B$1:$U$1,C$1)</f>
        <v>0</v>
      </c>
      <c r="D147" s="179">
        <f>SUMIFS('recurring2_based on steps'!$B147:$AY147,'recurring2_based on steps'!$B$1:$AY$1,D$1)+SUMIFS('changes2_based on steps'!$B147:$U147,'changes2_based on steps'!$B$1:$U$1,D$1)</f>
        <v>0</v>
      </c>
      <c r="E147" s="179">
        <f>SUMIFS('recurring2_based on steps'!$B147:$AY147,'recurring2_based on steps'!$B$1:$AY$1,E$1)+SUMIFS('changes2_based on steps'!$B147:$U147,'changes2_based on steps'!$B$1:$U$1,E$1)</f>
        <v>0</v>
      </c>
      <c r="F147" s="179">
        <f>SUMIFS('recurring2_based on steps'!$B147:$AY147,'recurring2_based on steps'!$B$1:$AY$1,F$1)+SUMIFS('changes2_based on steps'!$B147:$U147,'changes2_based on steps'!$B$1:$U$1,F$1)</f>
        <v>0</v>
      </c>
      <c r="G147" s="179">
        <f>SUMIFS('recurring2_based on steps'!$B147:$AY147,'recurring2_based on steps'!$B$1:$AY$1,G$1)+SUMIFS('changes2_based on steps'!$B147:$U147,'changes2_based on steps'!$B$1:$U$1,G$1)</f>
        <v>0</v>
      </c>
      <c r="H147" s="179">
        <f>SUMIFS('recurring2_based on steps'!$B147:$AY147,'recurring2_based on steps'!$B$1:$AY$1,H$1)+SUMIFS('changes2_based on steps'!$B147:$U147,'changes2_based on steps'!$B$1:$U$1,H$1)</f>
        <v>0</v>
      </c>
      <c r="I147" s="179">
        <f>SUMIFS('recurring2_based on steps'!$B147:$AY147,'recurring2_based on steps'!$B$1:$AY$1,I$1)+SUMIFS('changes2_based on steps'!$B147:$U147,'changes2_based on steps'!$B$1:$U$1,I$1)</f>
        <v>0</v>
      </c>
      <c r="J147" s="179">
        <f>SUMIFS('recurring2_based on steps'!$B147:$AY147,'recurring2_based on steps'!$B$1:$AY$1,J$1)+SUMIFS('changes2_based on steps'!$B147:$U147,'changes2_based on steps'!$B$1:$U$1,J$1)</f>
        <v>0</v>
      </c>
      <c r="K147" s="179">
        <f>SUMIFS('recurring2_based on steps'!$B147:$AY147,'recurring2_based on steps'!$B$1:$AY$1,K$1)+SUMIFS('changes2_based on steps'!$B147:$U147,'changes2_based on steps'!$B$1:$U$1,K$1)</f>
        <v>0</v>
      </c>
      <c r="L147" s="179">
        <f>SUMIFS('recurring2_based on steps'!$B147:$AY147,'recurring2_based on steps'!$B$1:$AY$1,L$1)+SUMIFS('changes2_based on steps'!$B147:$U147,'changes2_based on steps'!$B$1:$U$1,L$1)</f>
        <v>0</v>
      </c>
      <c r="M147" s="179">
        <f>SUMIFS('recurring2_based on steps'!$B147:$AY147,'recurring2_based on steps'!$B$1:$AY$1,M$1)+SUMIFS('changes2_based on steps'!$B147:$U147,'changes2_based on steps'!$B$1:$U$1,M$1)</f>
        <v>0</v>
      </c>
      <c r="N147" s="179">
        <f>SUMIFS('recurring2_based on steps'!$B147:$AY147,'recurring2_based on steps'!$B$1:$AY$1,N$1)+SUMIFS('changes2_based on steps'!$B147:$U147,'changes2_based on steps'!$B$1:$U$1,N$1)</f>
        <v>0</v>
      </c>
      <c r="O147" s="179">
        <f>SUMIFS('recurring2_based on steps'!$B147:$AY147,'recurring2_based on steps'!$B$1:$AY$1,O$1)+SUMIFS('changes2_based on steps'!$B147:$U147,'changes2_based on steps'!$B$1:$U$1,O$1)</f>
        <v>0</v>
      </c>
      <c r="P147" s="179">
        <f>SUMIFS('recurring2_based on steps'!$B147:$AY147,'recurring2_based on steps'!$B$1:$AY$1,P$1)+SUMIFS('changes2_based on steps'!$B147:$U147,'changes2_based on steps'!$B$1:$U$1,P$1)</f>
        <v>0</v>
      </c>
      <c r="Q147" s="179">
        <f>SUMIFS('recurring2_based on steps'!$B147:$AY147,'recurring2_based on steps'!$B$1:$AY$1,Q$1)+SUMIFS('changes2_based on steps'!$B147:$U147,'changes2_based on steps'!$B$1:$U$1,Q$1)</f>
        <v>0</v>
      </c>
      <c r="R147" s="179">
        <f>SUMIFS('recurring2_based on steps'!$B147:$AY147,'recurring2_based on steps'!$B$1:$AY$1,R$1)+SUMIFS('changes2_based on steps'!$B147:$U147,'changes2_based on steps'!$B$1:$U$1,R$1)</f>
        <v>0</v>
      </c>
      <c r="S147" s="179">
        <f>SUMIFS('recurring2_based on steps'!$B147:$AY147,'recurring2_based on steps'!$B$1:$AY$1,S$1)+SUMIFS('changes2_based on steps'!$B147:$U147,'changes2_based on steps'!$B$1:$U$1,S$1)</f>
        <v>0</v>
      </c>
      <c r="T147" s="179">
        <f>SUMIFS('recurring2_based on steps'!$B147:$AY147,'recurring2_based on steps'!$B$1:$AY$1,T$1)+SUMIFS('changes2_based on steps'!$B147:$U147,'changes2_based on steps'!$B$1:$U$1,T$1)</f>
        <v>0</v>
      </c>
      <c r="U147" s="179">
        <f>SUMIFS('recurring2_based on steps'!$B147:$AY147,'recurring2_based on steps'!$B$1:$AY$1,U$1)+SUMIFS('changes2_based on steps'!$B147:$U147,'changes2_based on steps'!$B$1:$U$1,U$1)</f>
        <v>0</v>
      </c>
      <c r="V147" s="179">
        <f>SUMIFS('recurring2_based on steps'!$B147:$AY147,'recurring2_based on steps'!$B$1:$AY$1,V$1)+SUMIFS('changes2_based on steps'!$B147:$U147,'changes2_based on steps'!$B$1:$U$1,V$1)</f>
        <v>0</v>
      </c>
      <c r="W147" s="179">
        <f>SUMIFS('recurring2_based on steps'!$B147:$AY147,'recurring2_based on steps'!$B$1:$AY$1,W$1)+SUMIFS('changes2_based on steps'!$B147:$U147,'changes2_based on steps'!$B$1:$U$1,W$1)</f>
        <v>0</v>
      </c>
      <c r="X147" s="179">
        <f>SUMIFS('recurring2_based on steps'!$B147:$AY147,'recurring2_based on steps'!$B$1:$AY$1,X$1)+SUMIFS('changes2_based on steps'!$B147:$U147,'changes2_based on steps'!$B$1:$U$1,X$1)</f>
        <v>0</v>
      </c>
      <c r="Y147" s="179">
        <f>SUMIFS('recurring2_based on steps'!$B147:$AY147,'recurring2_based on steps'!$B$1:$AY$1,Y$1)+SUMIFS('changes2_based on steps'!$B147:$U147,'changes2_based on steps'!$B$1:$U$1,Y$1)</f>
        <v>0</v>
      </c>
      <c r="Z147" s="179">
        <f>SUMIFS('recurring2_based on steps'!$B147:$AY147,'recurring2_based on steps'!$B$1:$AY$1,Z$1)+SUMIFS('changes2_based on steps'!$B147:$U147,'changes2_based on steps'!$B$1:$U$1,Z$1)</f>
        <v>0</v>
      </c>
      <c r="AA147" s="179">
        <f>SUMIFS('recurring2_based on steps'!$B147:$AY147,'recurring2_based on steps'!$B$1:$AY$1,AA$1)+SUMIFS('changes2_based on steps'!$B147:$U147,'changes2_based on steps'!$B$1:$U$1,AA$1)</f>
        <v>0</v>
      </c>
      <c r="AB147" s="179">
        <f>SUMIFS('recurring2_based on steps'!$B147:$AY147,'recurring2_based on steps'!$B$1:$AY$1,AB$1)+SUMIFS('changes2_based on steps'!$B147:$U147,'changes2_based on steps'!$B$1:$U$1,AB$1)</f>
        <v>0</v>
      </c>
      <c r="AC147" s="179">
        <f>SUMIFS('recurring2_based on steps'!$B147:$AY147,'recurring2_based on steps'!$B$1:$AY$1,AC$1)+SUMIFS('changes2_based on steps'!$B147:$U147,'changes2_based on steps'!$B$1:$U$1,AC$1)</f>
        <v>0</v>
      </c>
      <c r="AD147" s="179">
        <f>SUMIFS('recurring2_based on steps'!$B147:$AY147,'recurring2_based on steps'!$B$1:$AY$1,AD$1)+SUMIFS('changes2_based on steps'!$B147:$U147,'changes2_based on steps'!$B$1:$U$1,AD$1)</f>
        <v>0</v>
      </c>
      <c r="AE147" s="179">
        <f>SUMIFS('recurring2_based on steps'!$B147:$AY147,'recurring2_based on steps'!$B$1:$AY$1,AE$1)+SUMIFS('changes2_based on steps'!$B147:$U147,'changes2_based on steps'!$B$1:$U$1,AE$1)</f>
        <v>0</v>
      </c>
      <c r="AF147" s="179"/>
      <c r="AG147" s="179"/>
      <c r="AH147" s="179"/>
      <c r="AI147" s="179"/>
      <c r="AJ147" s="179"/>
      <c r="AK147" s="179"/>
      <c r="AL147" s="179"/>
      <c r="AM147" s="179"/>
    </row>
    <row r="148" spans="1:39" x14ac:dyDescent="0.2">
      <c r="A148" s="32">
        <f t="shared" ca="1" si="2"/>
        <v>45897</v>
      </c>
      <c r="B148" s="179">
        <f>SUMIFS('recurring2_based on steps'!$B148:$AY148,'recurring2_based on steps'!$B$1:$AY$1,B$1)+SUMIFS('changes2_based on steps'!$B148:$U148,'changes2_based on steps'!$B$1:$U$1,B$1)</f>
        <v>0</v>
      </c>
      <c r="C148" s="179">
        <f>SUMIFS('recurring2_based on steps'!$B148:$AY148,'recurring2_based on steps'!$B$1:$AY$1,C$1)+SUMIFS('changes2_based on steps'!$B148:$U148,'changes2_based on steps'!$B$1:$U$1,C$1)</f>
        <v>0</v>
      </c>
      <c r="D148" s="179">
        <f>SUMIFS('recurring2_based on steps'!$B148:$AY148,'recurring2_based on steps'!$B$1:$AY$1,D$1)+SUMIFS('changes2_based on steps'!$B148:$U148,'changes2_based on steps'!$B$1:$U$1,D$1)</f>
        <v>0</v>
      </c>
      <c r="E148" s="179">
        <f>SUMIFS('recurring2_based on steps'!$B148:$AY148,'recurring2_based on steps'!$B$1:$AY$1,E$1)+SUMIFS('changes2_based on steps'!$B148:$U148,'changes2_based on steps'!$B$1:$U$1,E$1)</f>
        <v>0</v>
      </c>
      <c r="F148" s="179">
        <f>SUMIFS('recurring2_based on steps'!$B148:$AY148,'recurring2_based on steps'!$B$1:$AY$1,F$1)+SUMIFS('changes2_based on steps'!$B148:$U148,'changes2_based on steps'!$B$1:$U$1,F$1)</f>
        <v>0</v>
      </c>
      <c r="G148" s="179">
        <f>SUMIFS('recurring2_based on steps'!$B148:$AY148,'recurring2_based on steps'!$B$1:$AY$1,G$1)+SUMIFS('changes2_based on steps'!$B148:$U148,'changes2_based on steps'!$B$1:$U$1,G$1)</f>
        <v>0</v>
      </c>
      <c r="H148" s="179">
        <f>SUMIFS('recurring2_based on steps'!$B148:$AY148,'recurring2_based on steps'!$B$1:$AY$1,H$1)+SUMIFS('changes2_based on steps'!$B148:$U148,'changes2_based on steps'!$B$1:$U$1,H$1)</f>
        <v>0</v>
      </c>
      <c r="I148" s="179">
        <f>SUMIFS('recurring2_based on steps'!$B148:$AY148,'recurring2_based on steps'!$B$1:$AY$1,I$1)+SUMIFS('changes2_based on steps'!$B148:$U148,'changes2_based on steps'!$B$1:$U$1,I$1)</f>
        <v>0</v>
      </c>
      <c r="J148" s="179">
        <f>SUMIFS('recurring2_based on steps'!$B148:$AY148,'recurring2_based on steps'!$B$1:$AY$1,J$1)+SUMIFS('changes2_based on steps'!$B148:$U148,'changes2_based on steps'!$B$1:$U$1,J$1)</f>
        <v>0</v>
      </c>
      <c r="K148" s="179">
        <f>SUMIFS('recurring2_based on steps'!$B148:$AY148,'recurring2_based on steps'!$B$1:$AY$1,K$1)+SUMIFS('changes2_based on steps'!$B148:$U148,'changes2_based on steps'!$B$1:$U$1,K$1)</f>
        <v>0</v>
      </c>
      <c r="L148" s="179">
        <f>SUMIFS('recurring2_based on steps'!$B148:$AY148,'recurring2_based on steps'!$B$1:$AY$1,L$1)+SUMIFS('changes2_based on steps'!$B148:$U148,'changes2_based on steps'!$B$1:$U$1,L$1)</f>
        <v>0</v>
      </c>
      <c r="M148" s="179">
        <f>SUMIFS('recurring2_based on steps'!$B148:$AY148,'recurring2_based on steps'!$B$1:$AY$1,M$1)+SUMIFS('changes2_based on steps'!$B148:$U148,'changes2_based on steps'!$B$1:$U$1,M$1)</f>
        <v>0</v>
      </c>
      <c r="N148" s="179">
        <f>SUMIFS('recurring2_based on steps'!$B148:$AY148,'recurring2_based on steps'!$B$1:$AY$1,N$1)+SUMIFS('changes2_based on steps'!$B148:$U148,'changes2_based on steps'!$B$1:$U$1,N$1)</f>
        <v>0</v>
      </c>
      <c r="O148" s="179">
        <f>SUMIFS('recurring2_based on steps'!$B148:$AY148,'recurring2_based on steps'!$B$1:$AY$1,O$1)+SUMIFS('changes2_based on steps'!$B148:$U148,'changes2_based on steps'!$B$1:$U$1,O$1)</f>
        <v>0</v>
      </c>
      <c r="P148" s="179">
        <f>SUMIFS('recurring2_based on steps'!$B148:$AY148,'recurring2_based on steps'!$B$1:$AY$1,P$1)+SUMIFS('changes2_based on steps'!$B148:$U148,'changes2_based on steps'!$B$1:$U$1,P$1)</f>
        <v>0</v>
      </c>
      <c r="Q148" s="179">
        <f>SUMIFS('recurring2_based on steps'!$B148:$AY148,'recurring2_based on steps'!$B$1:$AY$1,Q$1)+SUMIFS('changes2_based on steps'!$B148:$U148,'changes2_based on steps'!$B$1:$U$1,Q$1)</f>
        <v>0</v>
      </c>
      <c r="R148" s="179">
        <f>SUMIFS('recurring2_based on steps'!$B148:$AY148,'recurring2_based on steps'!$B$1:$AY$1,R$1)+SUMIFS('changes2_based on steps'!$B148:$U148,'changes2_based on steps'!$B$1:$U$1,R$1)</f>
        <v>0</v>
      </c>
      <c r="S148" s="179">
        <f>SUMIFS('recurring2_based on steps'!$B148:$AY148,'recurring2_based on steps'!$B$1:$AY$1,S$1)+SUMIFS('changes2_based on steps'!$B148:$U148,'changes2_based on steps'!$B$1:$U$1,S$1)</f>
        <v>0</v>
      </c>
      <c r="T148" s="179">
        <f>SUMIFS('recurring2_based on steps'!$B148:$AY148,'recurring2_based on steps'!$B$1:$AY$1,T$1)+SUMIFS('changes2_based on steps'!$B148:$U148,'changes2_based on steps'!$B$1:$U$1,T$1)</f>
        <v>0</v>
      </c>
      <c r="U148" s="179">
        <f>SUMIFS('recurring2_based on steps'!$B148:$AY148,'recurring2_based on steps'!$B$1:$AY$1,U$1)+SUMIFS('changes2_based on steps'!$B148:$U148,'changes2_based on steps'!$B$1:$U$1,U$1)</f>
        <v>0</v>
      </c>
      <c r="V148" s="179">
        <f>SUMIFS('recurring2_based on steps'!$B148:$AY148,'recurring2_based on steps'!$B$1:$AY$1,V$1)+SUMIFS('changes2_based on steps'!$B148:$U148,'changes2_based on steps'!$B$1:$U$1,V$1)</f>
        <v>0</v>
      </c>
      <c r="W148" s="179">
        <f>SUMIFS('recurring2_based on steps'!$B148:$AY148,'recurring2_based on steps'!$B$1:$AY$1,W$1)+SUMIFS('changes2_based on steps'!$B148:$U148,'changes2_based on steps'!$B$1:$U$1,W$1)</f>
        <v>0</v>
      </c>
      <c r="X148" s="179">
        <f>SUMIFS('recurring2_based on steps'!$B148:$AY148,'recurring2_based on steps'!$B$1:$AY$1,X$1)+SUMIFS('changes2_based on steps'!$B148:$U148,'changes2_based on steps'!$B$1:$U$1,X$1)</f>
        <v>0</v>
      </c>
      <c r="Y148" s="179">
        <f>SUMIFS('recurring2_based on steps'!$B148:$AY148,'recurring2_based on steps'!$B$1:$AY$1,Y$1)+SUMIFS('changes2_based on steps'!$B148:$U148,'changes2_based on steps'!$B$1:$U$1,Y$1)</f>
        <v>0</v>
      </c>
      <c r="Z148" s="179">
        <f>SUMIFS('recurring2_based on steps'!$B148:$AY148,'recurring2_based on steps'!$B$1:$AY$1,Z$1)+SUMIFS('changes2_based on steps'!$B148:$U148,'changes2_based on steps'!$B$1:$U$1,Z$1)</f>
        <v>0</v>
      </c>
      <c r="AA148" s="179">
        <f>SUMIFS('recurring2_based on steps'!$B148:$AY148,'recurring2_based on steps'!$B$1:$AY$1,AA$1)+SUMIFS('changes2_based on steps'!$B148:$U148,'changes2_based on steps'!$B$1:$U$1,AA$1)</f>
        <v>0</v>
      </c>
      <c r="AB148" s="179">
        <f>SUMIFS('recurring2_based on steps'!$B148:$AY148,'recurring2_based on steps'!$B$1:$AY$1,AB$1)+SUMIFS('changes2_based on steps'!$B148:$U148,'changes2_based on steps'!$B$1:$U$1,AB$1)</f>
        <v>0</v>
      </c>
      <c r="AC148" s="179">
        <f>SUMIFS('recurring2_based on steps'!$B148:$AY148,'recurring2_based on steps'!$B$1:$AY$1,AC$1)+SUMIFS('changes2_based on steps'!$B148:$U148,'changes2_based on steps'!$B$1:$U$1,AC$1)</f>
        <v>0</v>
      </c>
      <c r="AD148" s="179">
        <f>SUMIFS('recurring2_based on steps'!$B148:$AY148,'recurring2_based on steps'!$B$1:$AY$1,AD$1)+SUMIFS('changes2_based on steps'!$B148:$U148,'changes2_based on steps'!$B$1:$U$1,AD$1)</f>
        <v>0</v>
      </c>
      <c r="AE148" s="179">
        <f>SUMIFS('recurring2_based on steps'!$B148:$AY148,'recurring2_based on steps'!$B$1:$AY$1,AE$1)+SUMIFS('changes2_based on steps'!$B148:$U148,'changes2_based on steps'!$B$1:$U$1,AE$1)</f>
        <v>0</v>
      </c>
      <c r="AF148" s="179"/>
      <c r="AG148" s="179"/>
      <c r="AH148" s="179"/>
      <c r="AI148" s="179"/>
      <c r="AJ148" s="179"/>
      <c r="AK148" s="179"/>
      <c r="AL148" s="179"/>
      <c r="AM148" s="179"/>
    </row>
    <row r="149" spans="1:39" x14ac:dyDescent="0.2">
      <c r="A149" s="32">
        <f t="shared" ca="1" si="2"/>
        <v>45898</v>
      </c>
      <c r="B149" s="179">
        <f>SUMIFS('recurring2_based on steps'!$B149:$AY149,'recurring2_based on steps'!$B$1:$AY$1,B$1)+SUMIFS('changes2_based on steps'!$B149:$U149,'changes2_based on steps'!$B$1:$U$1,B$1)</f>
        <v>0</v>
      </c>
      <c r="C149" s="179">
        <f>SUMIFS('recurring2_based on steps'!$B149:$AY149,'recurring2_based on steps'!$B$1:$AY$1,C$1)+SUMIFS('changes2_based on steps'!$B149:$U149,'changes2_based on steps'!$B$1:$U$1,C$1)</f>
        <v>0</v>
      </c>
      <c r="D149" s="179">
        <f>SUMIFS('recurring2_based on steps'!$B149:$AY149,'recurring2_based on steps'!$B$1:$AY$1,D$1)+SUMIFS('changes2_based on steps'!$B149:$U149,'changes2_based on steps'!$B$1:$U$1,D$1)</f>
        <v>0</v>
      </c>
      <c r="E149" s="179">
        <f>SUMIFS('recurring2_based on steps'!$B149:$AY149,'recurring2_based on steps'!$B$1:$AY$1,E$1)+SUMIFS('changes2_based on steps'!$B149:$U149,'changes2_based on steps'!$B$1:$U$1,E$1)</f>
        <v>0</v>
      </c>
      <c r="F149" s="179">
        <f>SUMIFS('recurring2_based on steps'!$B149:$AY149,'recurring2_based on steps'!$B$1:$AY$1,F$1)+SUMIFS('changes2_based on steps'!$B149:$U149,'changes2_based on steps'!$B$1:$U$1,F$1)</f>
        <v>0</v>
      </c>
      <c r="G149" s="179">
        <f>SUMIFS('recurring2_based on steps'!$B149:$AY149,'recurring2_based on steps'!$B$1:$AY$1,G$1)+SUMIFS('changes2_based on steps'!$B149:$U149,'changes2_based on steps'!$B$1:$U$1,G$1)</f>
        <v>0</v>
      </c>
      <c r="H149" s="179">
        <f>SUMIFS('recurring2_based on steps'!$B149:$AY149,'recurring2_based on steps'!$B$1:$AY$1,H$1)+SUMIFS('changes2_based on steps'!$B149:$U149,'changes2_based on steps'!$B$1:$U$1,H$1)</f>
        <v>0</v>
      </c>
      <c r="I149" s="179">
        <f>SUMIFS('recurring2_based on steps'!$B149:$AY149,'recurring2_based on steps'!$B$1:$AY$1,I$1)+SUMIFS('changes2_based on steps'!$B149:$U149,'changes2_based on steps'!$B$1:$U$1,I$1)</f>
        <v>0</v>
      </c>
      <c r="J149" s="179">
        <f>SUMIFS('recurring2_based on steps'!$B149:$AY149,'recurring2_based on steps'!$B$1:$AY$1,J$1)+SUMIFS('changes2_based on steps'!$B149:$U149,'changes2_based on steps'!$B$1:$U$1,J$1)</f>
        <v>0</v>
      </c>
      <c r="K149" s="179">
        <f>SUMIFS('recurring2_based on steps'!$B149:$AY149,'recurring2_based on steps'!$B$1:$AY$1,K$1)+SUMIFS('changes2_based on steps'!$B149:$U149,'changes2_based on steps'!$B$1:$U$1,K$1)</f>
        <v>0</v>
      </c>
      <c r="L149" s="179">
        <f>SUMIFS('recurring2_based on steps'!$B149:$AY149,'recurring2_based on steps'!$B$1:$AY$1,L$1)+SUMIFS('changes2_based on steps'!$B149:$U149,'changes2_based on steps'!$B$1:$U$1,L$1)</f>
        <v>0</v>
      </c>
      <c r="M149" s="179">
        <f>SUMIFS('recurring2_based on steps'!$B149:$AY149,'recurring2_based on steps'!$B$1:$AY$1,M$1)+SUMIFS('changes2_based on steps'!$B149:$U149,'changes2_based on steps'!$B$1:$U$1,M$1)</f>
        <v>0</v>
      </c>
      <c r="N149" s="179">
        <f>SUMIFS('recurring2_based on steps'!$B149:$AY149,'recurring2_based on steps'!$B$1:$AY$1,N$1)+SUMIFS('changes2_based on steps'!$B149:$U149,'changes2_based on steps'!$B$1:$U$1,N$1)</f>
        <v>0</v>
      </c>
      <c r="O149" s="179">
        <f>SUMIFS('recurring2_based on steps'!$B149:$AY149,'recurring2_based on steps'!$B$1:$AY$1,O$1)+SUMIFS('changes2_based on steps'!$B149:$U149,'changes2_based on steps'!$B$1:$U$1,O$1)</f>
        <v>0</v>
      </c>
      <c r="P149" s="179">
        <f>SUMIFS('recurring2_based on steps'!$B149:$AY149,'recurring2_based on steps'!$B$1:$AY$1,P$1)+SUMIFS('changes2_based on steps'!$B149:$U149,'changes2_based on steps'!$B$1:$U$1,P$1)</f>
        <v>0</v>
      </c>
      <c r="Q149" s="179">
        <f>SUMIFS('recurring2_based on steps'!$B149:$AY149,'recurring2_based on steps'!$B$1:$AY$1,Q$1)+SUMIFS('changes2_based on steps'!$B149:$U149,'changes2_based on steps'!$B$1:$U$1,Q$1)</f>
        <v>0</v>
      </c>
      <c r="R149" s="179">
        <f>SUMIFS('recurring2_based on steps'!$B149:$AY149,'recurring2_based on steps'!$B$1:$AY$1,R$1)+SUMIFS('changes2_based on steps'!$B149:$U149,'changes2_based on steps'!$B$1:$U$1,R$1)</f>
        <v>0</v>
      </c>
      <c r="S149" s="179">
        <f>SUMIFS('recurring2_based on steps'!$B149:$AY149,'recurring2_based on steps'!$B$1:$AY$1,S$1)+SUMIFS('changes2_based on steps'!$B149:$U149,'changes2_based on steps'!$B$1:$U$1,S$1)</f>
        <v>0</v>
      </c>
      <c r="T149" s="179">
        <f>SUMIFS('recurring2_based on steps'!$B149:$AY149,'recurring2_based on steps'!$B$1:$AY$1,T$1)+SUMIFS('changes2_based on steps'!$B149:$U149,'changes2_based on steps'!$B$1:$U$1,T$1)</f>
        <v>0</v>
      </c>
      <c r="U149" s="179">
        <f>SUMIFS('recurring2_based on steps'!$B149:$AY149,'recurring2_based on steps'!$B$1:$AY$1,U$1)+SUMIFS('changes2_based on steps'!$B149:$U149,'changes2_based on steps'!$B$1:$U$1,U$1)</f>
        <v>0</v>
      </c>
      <c r="V149" s="179">
        <f>SUMIFS('recurring2_based on steps'!$B149:$AY149,'recurring2_based on steps'!$B$1:$AY$1,V$1)+SUMIFS('changes2_based on steps'!$B149:$U149,'changes2_based on steps'!$B$1:$U$1,V$1)</f>
        <v>0</v>
      </c>
      <c r="W149" s="179">
        <f>SUMIFS('recurring2_based on steps'!$B149:$AY149,'recurring2_based on steps'!$B$1:$AY$1,W$1)+SUMIFS('changes2_based on steps'!$B149:$U149,'changes2_based on steps'!$B$1:$U$1,W$1)</f>
        <v>0</v>
      </c>
      <c r="X149" s="179">
        <f>SUMIFS('recurring2_based on steps'!$B149:$AY149,'recurring2_based on steps'!$B$1:$AY$1,X$1)+SUMIFS('changes2_based on steps'!$B149:$U149,'changes2_based on steps'!$B$1:$U$1,X$1)</f>
        <v>0</v>
      </c>
      <c r="Y149" s="179">
        <f>SUMIFS('recurring2_based on steps'!$B149:$AY149,'recurring2_based on steps'!$B$1:$AY$1,Y$1)+SUMIFS('changes2_based on steps'!$B149:$U149,'changes2_based on steps'!$B$1:$U$1,Y$1)</f>
        <v>0</v>
      </c>
      <c r="Z149" s="179">
        <f>SUMIFS('recurring2_based on steps'!$B149:$AY149,'recurring2_based on steps'!$B$1:$AY$1,Z$1)+SUMIFS('changes2_based on steps'!$B149:$U149,'changes2_based on steps'!$B$1:$U$1,Z$1)</f>
        <v>0</v>
      </c>
      <c r="AA149" s="179">
        <f>SUMIFS('recurring2_based on steps'!$B149:$AY149,'recurring2_based on steps'!$B$1:$AY$1,AA$1)+SUMIFS('changes2_based on steps'!$B149:$U149,'changes2_based on steps'!$B$1:$U$1,AA$1)</f>
        <v>0</v>
      </c>
      <c r="AB149" s="179">
        <f>SUMIFS('recurring2_based on steps'!$B149:$AY149,'recurring2_based on steps'!$B$1:$AY$1,AB$1)+SUMIFS('changes2_based on steps'!$B149:$U149,'changes2_based on steps'!$B$1:$U$1,AB$1)</f>
        <v>0</v>
      </c>
      <c r="AC149" s="179">
        <f>SUMIFS('recurring2_based on steps'!$B149:$AY149,'recurring2_based on steps'!$B$1:$AY$1,AC$1)+SUMIFS('changes2_based on steps'!$B149:$U149,'changes2_based on steps'!$B$1:$U$1,AC$1)</f>
        <v>0</v>
      </c>
      <c r="AD149" s="179">
        <f>SUMIFS('recurring2_based on steps'!$B149:$AY149,'recurring2_based on steps'!$B$1:$AY$1,AD$1)+SUMIFS('changes2_based on steps'!$B149:$U149,'changes2_based on steps'!$B$1:$U$1,AD$1)</f>
        <v>0</v>
      </c>
      <c r="AE149" s="179">
        <f>SUMIFS('recurring2_based on steps'!$B149:$AY149,'recurring2_based on steps'!$B$1:$AY$1,AE$1)+SUMIFS('changes2_based on steps'!$B149:$U149,'changes2_based on steps'!$B$1:$U$1,AE$1)</f>
        <v>0</v>
      </c>
      <c r="AF149" s="179"/>
      <c r="AG149" s="179"/>
      <c r="AH149" s="179"/>
      <c r="AI149" s="179"/>
      <c r="AJ149" s="179"/>
      <c r="AK149" s="179"/>
      <c r="AL149" s="179"/>
      <c r="AM149" s="179"/>
    </row>
    <row r="150" spans="1:39" x14ac:dyDescent="0.2">
      <c r="A150" s="32">
        <f t="shared" ca="1" si="2"/>
        <v>45899</v>
      </c>
      <c r="B150" s="179">
        <f>SUMIFS('recurring2_based on steps'!$B150:$AY150,'recurring2_based on steps'!$B$1:$AY$1,B$1)+SUMIFS('changes2_based on steps'!$B150:$U150,'changes2_based on steps'!$B$1:$U$1,B$1)</f>
        <v>0</v>
      </c>
      <c r="C150" s="179">
        <f>SUMIFS('recurring2_based on steps'!$B150:$AY150,'recurring2_based on steps'!$B$1:$AY$1,C$1)+SUMIFS('changes2_based on steps'!$B150:$U150,'changes2_based on steps'!$B$1:$U$1,C$1)</f>
        <v>0</v>
      </c>
      <c r="D150" s="179">
        <f>SUMIFS('recurring2_based on steps'!$B150:$AY150,'recurring2_based on steps'!$B$1:$AY$1,D$1)+SUMIFS('changes2_based on steps'!$B150:$U150,'changes2_based on steps'!$B$1:$U$1,D$1)</f>
        <v>0</v>
      </c>
      <c r="E150" s="179">
        <f>SUMIFS('recurring2_based on steps'!$B150:$AY150,'recurring2_based on steps'!$B$1:$AY$1,E$1)+SUMIFS('changes2_based on steps'!$B150:$U150,'changes2_based on steps'!$B$1:$U$1,E$1)</f>
        <v>0</v>
      </c>
      <c r="F150" s="179">
        <f>SUMIFS('recurring2_based on steps'!$B150:$AY150,'recurring2_based on steps'!$B$1:$AY$1,F$1)+SUMIFS('changes2_based on steps'!$B150:$U150,'changes2_based on steps'!$B$1:$U$1,F$1)</f>
        <v>0</v>
      </c>
      <c r="G150" s="179">
        <f>SUMIFS('recurring2_based on steps'!$B150:$AY150,'recurring2_based on steps'!$B$1:$AY$1,G$1)+SUMIFS('changes2_based on steps'!$B150:$U150,'changes2_based on steps'!$B$1:$U$1,G$1)</f>
        <v>0</v>
      </c>
      <c r="H150" s="179">
        <f>SUMIFS('recurring2_based on steps'!$B150:$AY150,'recurring2_based on steps'!$B$1:$AY$1,H$1)+SUMIFS('changes2_based on steps'!$B150:$U150,'changes2_based on steps'!$B$1:$U$1,H$1)</f>
        <v>0</v>
      </c>
      <c r="I150" s="179">
        <f>SUMIFS('recurring2_based on steps'!$B150:$AY150,'recurring2_based on steps'!$B$1:$AY$1,I$1)+SUMIFS('changes2_based on steps'!$B150:$U150,'changes2_based on steps'!$B$1:$U$1,I$1)</f>
        <v>0</v>
      </c>
      <c r="J150" s="179">
        <f>SUMIFS('recurring2_based on steps'!$B150:$AY150,'recurring2_based on steps'!$B$1:$AY$1,J$1)+SUMIFS('changes2_based on steps'!$B150:$U150,'changes2_based on steps'!$B$1:$U$1,J$1)</f>
        <v>0</v>
      </c>
      <c r="K150" s="179">
        <f>SUMIFS('recurring2_based on steps'!$B150:$AY150,'recurring2_based on steps'!$B$1:$AY$1,K$1)+SUMIFS('changes2_based on steps'!$B150:$U150,'changes2_based on steps'!$B$1:$U$1,K$1)</f>
        <v>0</v>
      </c>
      <c r="L150" s="179">
        <f>SUMIFS('recurring2_based on steps'!$B150:$AY150,'recurring2_based on steps'!$B$1:$AY$1,L$1)+SUMIFS('changes2_based on steps'!$B150:$U150,'changes2_based on steps'!$B$1:$U$1,L$1)</f>
        <v>0</v>
      </c>
      <c r="M150" s="179">
        <f>SUMIFS('recurring2_based on steps'!$B150:$AY150,'recurring2_based on steps'!$B$1:$AY$1,M$1)+SUMIFS('changes2_based on steps'!$B150:$U150,'changes2_based on steps'!$B$1:$U$1,M$1)</f>
        <v>0</v>
      </c>
      <c r="N150" s="179">
        <f>SUMIFS('recurring2_based on steps'!$B150:$AY150,'recurring2_based on steps'!$B$1:$AY$1,N$1)+SUMIFS('changes2_based on steps'!$B150:$U150,'changes2_based on steps'!$B$1:$U$1,N$1)</f>
        <v>0</v>
      </c>
      <c r="O150" s="179">
        <f>SUMIFS('recurring2_based on steps'!$B150:$AY150,'recurring2_based on steps'!$B$1:$AY$1,O$1)+SUMIFS('changes2_based on steps'!$B150:$U150,'changes2_based on steps'!$B$1:$U$1,O$1)</f>
        <v>0</v>
      </c>
      <c r="P150" s="179">
        <f>SUMIFS('recurring2_based on steps'!$B150:$AY150,'recurring2_based on steps'!$B$1:$AY$1,P$1)+SUMIFS('changes2_based on steps'!$B150:$U150,'changes2_based on steps'!$B$1:$U$1,P$1)</f>
        <v>0</v>
      </c>
      <c r="Q150" s="179">
        <f>SUMIFS('recurring2_based on steps'!$B150:$AY150,'recurring2_based on steps'!$B$1:$AY$1,Q$1)+SUMIFS('changes2_based on steps'!$B150:$U150,'changes2_based on steps'!$B$1:$U$1,Q$1)</f>
        <v>0</v>
      </c>
      <c r="R150" s="179">
        <f>SUMIFS('recurring2_based on steps'!$B150:$AY150,'recurring2_based on steps'!$B$1:$AY$1,R$1)+SUMIFS('changes2_based on steps'!$B150:$U150,'changes2_based on steps'!$B$1:$U$1,R$1)</f>
        <v>0</v>
      </c>
      <c r="S150" s="179">
        <f>SUMIFS('recurring2_based on steps'!$B150:$AY150,'recurring2_based on steps'!$B$1:$AY$1,S$1)+SUMIFS('changes2_based on steps'!$B150:$U150,'changes2_based on steps'!$B$1:$U$1,S$1)</f>
        <v>0</v>
      </c>
      <c r="T150" s="179">
        <f>SUMIFS('recurring2_based on steps'!$B150:$AY150,'recurring2_based on steps'!$B$1:$AY$1,T$1)+SUMIFS('changes2_based on steps'!$B150:$U150,'changes2_based on steps'!$B$1:$U$1,T$1)</f>
        <v>0</v>
      </c>
      <c r="U150" s="179">
        <f>SUMIFS('recurring2_based on steps'!$B150:$AY150,'recurring2_based on steps'!$B$1:$AY$1,U$1)+SUMIFS('changes2_based on steps'!$B150:$U150,'changes2_based on steps'!$B$1:$U$1,U$1)</f>
        <v>0</v>
      </c>
      <c r="V150" s="179">
        <f>SUMIFS('recurring2_based on steps'!$B150:$AY150,'recurring2_based on steps'!$B$1:$AY$1,V$1)+SUMIFS('changes2_based on steps'!$B150:$U150,'changes2_based on steps'!$B$1:$U$1,V$1)</f>
        <v>0</v>
      </c>
      <c r="W150" s="179">
        <f>SUMIFS('recurring2_based on steps'!$B150:$AY150,'recurring2_based on steps'!$B$1:$AY$1,W$1)+SUMIFS('changes2_based on steps'!$B150:$U150,'changes2_based on steps'!$B$1:$U$1,W$1)</f>
        <v>0</v>
      </c>
      <c r="X150" s="179">
        <f>SUMIFS('recurring2_based on steps'!$B150:$AY150,'recurring2_based on steps'!$B$1:$AY$1,X$1)+SUMIFS('changes2_based on steps'!$B150:$U150,'changes2_based on steps'!$B$1:$U$1,X$1)</f>
        <v>0</v>
      </c>
      <c r="Y150" s="179">
        <f>SUMIFS('recurring2_based on steps'!$B150:$AY150,'recurring2_based on steps'!$B$1:$AY$1,Y$1)+SUMIFS('changes2_based on steps'!$B150:$U150,'changes2_based on steps'!$B$1:$U$1,Y$1)</f>
        <v>0</v>
      </c>
      <c r="Z150" s="179">
        <f>SUMIFS('recurring2_based on steps'!$B150:$AY150,'recurring2_based on steps'!$B$1:$AY$1,Z$1)+SUMIFS('changes2_based on steps'!$B150:$U150,'changes2_based on steps'!$B$1:$U$1,Z$1)</f>
        <v>0</v>
      </c>
      <c r="AA150" s="179">
        <f>SUMIFS('recurring2_based on steps'!$B150:$AY150,'recurring2_based on steps'!$B$1:$AY$1,AA$1)+SUMIFS('changes2_based on steps'!$B150:$U150,'changes2_based on steps'!$B$1:$U$1,AA$1)</f>
        <v>0</v>
      </c>
      <c r="AB150" s="179">
        <f>SUMIFS('recurring2_based on steps'!$B150:$AY150,'recurring2_based on steps'!$B$1:$AY$1,AB$1)+SUMIFS('changes2_based on steps'!$B150:$U150,'changes2_based on steps'!$B$1:$U$1,AB$1)</f>
        <v>0</v>
      </c>
      <c r="AC150" s="179">
        <f>SUMIFS('recurring2_based on steps'!$B150:$AY150,'recurring2_based on steps'!$B$1:$AY$1,AC$1)+SUMIFS('changes2_based on steps'!$B150:$U150,'changes2_based on steps'!$B$1:$U$1,AC$1)</f>
        <v>0</v>
      </c>
      <c r="AD150" s="179">
        <f>SUMIFS('recurring2_based on steps'!$B150:$AY150,'recurring2_based on steps'!$B$1:$AY$1,AD$1)+SUMIFS('changes2_based on steps'!$B150:$U150,'changes2_based on steps'!$B$1:$U$1,AD$1)</f>
        <v>0</v>
      </c>
      <c r="AE150" s="179">
        <f>SUMIFS('recurring2_based on steps'!$B150:$AY150,'recurring2_based on steps'!$B$1:$AY$1,AE$1)+SUMIFS('changes2_based on steps'!$B150:$U150,'changes2_based on steps'!$B$1:$U$1,AE$1)</f>
        <v>0</v>
      </c>
      <c r="AF150" s="179"/>
      <c r="AG150" s="179"/>
      <c r="AH150" s="179"/>
      <c r="AI150" s="179"/>
      <c r="AJ150" s="179"/>
      <c r="AK150" s="179"/>
      <c r="AL150" s="179"/>
      <c r="AM150" s="179"/>
    </row>
    <row r="151" spans="1:39" x14ac:dyDescent="0.2">
      <c r="A151" s="32">
        <f t="shared" ca="1" si="2"/>
        <v>45900</v>
      </c>
      <c r="B151" s="179">
        <f>SUMIFS('recurring2_based on steps'!$B151:$AY151,'recurring2_based on steps'!$B$1:$AY$1,B$1)+SUMIFS('changes2_based on steps'!$B151:$U151,'changes2_based on steps'!$B$1:$U$1,B$1)</f>
        <v>0</v>
      </c>
      <c r="C151" s="179">
        <f>SUMIFS('recurring2_based on steps'!$B151:$AY151,'recurring2_based on steps'!$B$1:$AY$1,C$1)+SUMIFS('changes2_based on steps'!$B151:$U151,'changes2_based on steps'!$B$1:$U$1,C$1)</f>
        <v>0</v>
      </c>
      <c r="D151" s="179">
        <f>SUMIFS('recurring2_based on steps'!$B151:$AY151,'recurring2_based on steps'!$B$1:$AY$1,D$1)+SUMIFS('changes2_based on steps'!$B151:$U151,'changes2_based on steps'!$B$1:$U$1,D$1)</f>
        <v>0</v>
      </c>
      <c r="E151" s="179">
        <f>SUMIFS('recurring2_based on steps'!$B151:$AY151,'recurring2_based on steps'!$B$1:$AY$1,E$1)+SUMIFS('changes2_based on steps'!$B151:$U151,'changes2_based on steps'!$B$1:$U$1,E$1)</f>
        <v>0</v>
      </c>
      <c r="F151" s="179">
        <f>SUMIFS('recurring2_based on steps'!$B151:$AY151,'recurring2_based on steps'!$B$1:$AY$1,F$1)+SUMIFS('changes2_based on steps'!$B151:$U151,'changes2_based on steps'!$B$1:$U$1,F$1)</f>
        <v>0</v>
      </c>
      <c r="G151" s="179">
        <f>SUMIFS('recurring2_based on steps'!$B151:$AY151,'recurring2_based on steps'!$B$1:$AY$1,G$1)+SUMIFS('changes2_based on steps'!$B151:$U151,'changes2_based on steps'!$B$1:$U$1,G$1)</f>
        <v>0</v>
      </c>
      <c r="H151" s="179">
        <f>SUMIFS('recurring2_based on steps'!$B151:$AY151,'recurring2_based on steps'!$B$1:$AY$1,H$1)+SUMIFS('changes2_based on steps'!$B151:$U151,'changes2_based on steps'!$B$1:$U$1,H$1)</f>
        <v>0</v>
      </c>
      <c r="I151" s="179">
        <f>SUMIFS('recurring2_based on steps'!$B151:$AY151,'recurring2_based on steps'!$B$1:$AY$1,I$1)+SUMIFS('changes2_based on steps'!$B151:$U151,'changes2_based on steps'!$B$1:$U$1,I$1)</f>
        <v>0</v>
      </c>
      <c r="J151" s="179">
        <f>SUMIFS('recurring2_based on steps'!$B151:$AY151,'recurring2_based on steps'!$B$1:$AY$1,J$1)+SUMIFS('changes2_based on steps'!$B151:$U151,'changes2_based on steps'!$B$1:$U$1,J$1)</f>
        <v>0</v>
      </c>
      <c r="K151" s="179">
        <f>SUMIFS('recurring2_based on steps'!$B151:$AY151,'recurring2_based on steps'!$B$1:$AY$1,K$1)+SUMIFS('changes2_based on steps'!$B151:$U151,'changes2_based on steps'!$B$1:$U$1,K$1)</f>
        <v>0</v>
      </c>
      <c r="L151" s="179">
        <f>SUMIFS('recurring2_based on steps'!$B151:$AY151,'recurring2_based on steps'!$B$1:$AY$1,L$1)+SUMIFS('changes2_based on steps'!$B151:$U151,'changes2_based on steps'!$B$1:$U$1,L$1)</f>
        <v>0</v>
      </c>
      <c r="M151" s="179">
        <f>SUMIFS('recurring2_based on steps'!$B151:$AY151,'recurring2_based on steps'!$B$1:$AY$1,M$1)+SUMIFS('changes2_based on steps'!$B151:$U151,'changes2_based on steps'!$B$1:$U$1,M$1)</f>
        <v>0</v>
      </c>
      <c r="N151" s="179">
        <f>SUMIFS('recurring2_based on steps'!$B151:$AY151,'recurring2_based on steps'!$B$1:$AY$1,N$1)+SUMIFS('changes2_based on steps'!$B151:$U151,'changes2_based on steps'!$B$1:$U$1,N$1)</f>
        <v>0</v>
      </c>
      <c r="O151" s="179">
        <f>SUMIFS('recurring2_based on steps'!$B151:$AY151,'recurring2_based on steps'!$B$1:$AY$1,O$1)+SUMIFS('changes2_based on steps'!$B151:$U151,'changes2_based on steps'!$B$1:$U$1,O$1)</f>
        <v>0</v>
      </c>
      <c r="P151" s="179">
        <f>SUMIFS('recurring2_based on steps'!$B151:$AY151,'recurring2_based on steps'!$B$1:$AY$1,P$1)+SUMIFS('changes2_based on steps'!$B151:$U151,'changes2_based on steps'!$B$1:$U$1,P$1)</f>
        <v>0</v>
      </c>
      <c r="Q151" s="179">
        <f>SUMIFS('recurring2_based on steps'!$B151:$AY151,'recurring2_based on steps'!$B$1:$AY$1,Q$1)+SUMIFS('changes2_based on steps'!$B151:$U151,'changes2_based on steps'!$B$1:$U$1,Q$1)</f>
        <v>0</v>
      </c>
      <c r="R151" s="179">
        <f>SUMIFS('recurring2_based on steps'!$B151:$AY151,'recurring2_based on steps'!$B$1:$AY$1,R$1)+SUMIFS('changes2_based on steps'!$B151:$U151,'changes2_based on steps'!$B$1:$U$1,R$1)</f>
        <v>0</v>
      </c>
      <c r="S151" s="179">
        <f>SUMIFS('recurring2_based on steps'!$B151:$AY151,'recurring2_based on steps'!$B$1:$AY$1,S$1)+SUMIFS('changes2_based on steps'!$B151:$U151,'changes2_based on steps'!$B$1:$U$1,S$1)</f>
        <v>0</v>
      </c>
      <c r="T151" s="179">
        <f>SUMIFS('recurring2_based on steps'!$B151:$AY151,'recurring2_based on steps'!$B$1:$AY$1,T$1)+SUMIFS('changes2_based on steps'!$B151:$U151,'changes2_based on steps'!$B$1:$U$1,T$1)</f>
        <v>0</v>
      </c>
      <c r="U151" s="179">
        <f>SUMIFS('recurring2_based on steps'!$B151:$AY151,'recurring2_based on steps'!$B$1:$AY$1,U$1)+SUMIFS('changes2_based on steps'!$B151:$U151,'changes2_based on steps'!$B$1:$U$1,U$1)</f>
        <v>0</v>
      </c>
      <c r="V151" s="179">
        <f>SUMIFS('recurring2_based on steps'!$B151:$AY151,'recurring2_based on steps'!$B$1:$AY$1,V$1)+SUMIFS('changes2_based on steps'!$B151:$U151,'changes2_based on steps'!$B$1:$U$1,V$1)</f>
        <v>0</v>
      </c>
      <c r="W151" s="179">
        <f>SUMIFS('recurring2_based on steps'!$B151:$AY151,'recurring2_based on steps'!$B$1:$AY$1,W$1)+SUMIFS('changes2_based on steps'!$B151:$U151,'changes2_based on steps'!$B$1:$U$1,W$1)</f>
        <v>0</v>
      </c>
      <c r="X151" s="179">
        <f>SUMIFS('recurring2_based on steps'!$B151:$AY151,'recurring2_based on steps'!$B$1:$AY$1,X$1)+SUMIFS('changes2_based on steps'!$B151:$U151,'changes2_based on steps'!$B$1:$U$1,X$1)</f>
        <v>0</v>
      </c>
      <c r="Y151" s="179">
        <f>SUMIFS('recurring2_based on steps'!$B151:$AY151,'recurring2_based on steps'!$B$1:$AY$1,Y$1)+SUMIFS('changes2_based on steps'!$B151:$U151,'changes2_based on steps'!$B$1:$U$1,Y$1)</f>
        <v>0</v>
      </c>
      <c r="Z151" s="179">
        <f>SUMIFS('recurring2_based on steps'!$B151:$AY151,'recurring2_based on steps'!$B$1:$AY$1,Z$1)+SUMIFS('changes2_based on steps'!$B151:$U151,'changes2_based on steps'!$B$1:$U$1,Z$1)</f>
        <v>0</v>
      </c>
      <c r="AA151" s="179">
        <f>SUMIFS('recurring2_based on steps'!$B151:$AY151,'recurring2_based on steps'!$B$1:$AY$1,AA$1)+SUMIFS('changes2_based on steps'!$B151:$U151,'changes2_based on steps'!$B$1:$U$1,AA$1)</f>
        <v>0</v>
      </c>
      <c r="AB151" s="179">
        <f>SUMIFS('recurring2_based on steps'!$B151:$AY151,'recurring2_based on steps'!$B$1:$AY$1,AB$1)+SUMIFS('changes2_based on steps'!$B151:$U151,'changes2_based on steps'!$B$1:$U$1,AB$1)</f>
        <v>0</v>
      </c>
      <c r="AC151" s="179">
        <f>SUMIFS('recurring2_based on steps'!$B151:$AY151,'recurring2_based on steps'!$B$1:$AY$1,AC$1)+SUMIFS('changes2_based on steps'!$B151:$U151,'changes2_based on steps'!$B$1:$U$1,AC$1)</f>
        <v>0</v>
      </c>
      <c r="AD151" s="179">
        <f>SUMIFS('recurring2_based on steps'!$B151:$AY151,'recurring2_based on steps'!$B$1:$AY$1,AD$1)+SUMIFS('changes2_based on steps'!$B151:$U151,'changes2_based on steps'!$B$1:$U$1,AD$1)</f>
        <v>0</v>
      </c>
      <c r="AE151" s="179">
        <f>SUMIFS('recurring2_based on steps'!$B151:$AY151,'recurring2_based on steps'!$B$1:$AY$1,AE$1)+SUMIFS('changes2_based on steps'!$B151:$U151,'changes2_based on steps'!$B$1:$U$1,AE$1)</f>
        <v>0</v>
      </c>
      <c r="AF151" s="179"/>
      <c r="AG151" s="179"/>
      <c r="AH151" s="179"/>
      <c r="AI151" s="179"/>
      <c r="AJ151" s="179"/>
      <c r="AK151" s="179"/>
      <c r="AL151" s="179"/>
      <c r="AM151" s="179"/>
    </row>
    <row r="152" spans="1:39" x14ac:dyDescent="0.2">
      <c r="A152" s="32">
        <f t="shared" ca="1" si="2"/>
        <v>45901</v>
      </c>
      <c r="B152" s="179">
        <f>SUMIFS('recurring2_based on steps'!$B152:$AY152,'recurring2_based on steps'!$B$1:$AY$1,B$1)+SUMIFS('changes2_based on steps'!$B152:$U152,'changes2_based on steps'!$B$1:$U$1,B$1)</f>
        <v>0</v>
      </c>
      <c r="C152" s="179">
        <f>SUMIFS('recurring2_based on steps'!$B152:$AY152,'recurring2_based on steps'!$B$1:$AY$1,C$1)+SUMIFS('changes2_based on steps'!$B152:$U152,'changes2_based on steps'!$B$1:$U$1,C$1)</f>
        <v>0</v>
      </c>
      <c r="D152" s="179">
        <f>SUMIFS('recurring2_based on steps'!$B152:$AY152,'recurring2_based on steps'!$B$1:$AY$1,D$1)+SUMIFS('changes2_based on steps'!$B152:$U152,'changes2_based on steps'!$B$1:$U$1,D$1)</f>
        <v>0</v>
      </c>
      <c r="E152" s="179">
        <f>SUMIFS('recurring2_based on steps'!$B152:$AY152,'recurring2_based on steps'!$B$1:$AY$1,E$1)+SUMIFS('changes2_based on steps'!$B152:$U152,'changes2_based on steps'!$B$1:$U$1,E$1)</f>
        <v>0</v>
      </c>
      <c r="F152" s="179">
        <f>SUMIFS('recurring2_based on steps'!$B152:$AY152,'recurring2_based on steps'!$B$1:$AY$1,F$1)+SUMIFS('changes2_based on steps'!$B152:$U152,'changes2_based on steps'!$B$1:$U$1,F$1)</f>
        <v>0</v>
      </c>
      <c r="G152" s="179">
        <f>SUMIFS('recurring2_based on steps'!$B152:$AY152,'recurring2_based on steps'!$B$1:$AY$1,G$1)+SUMIFS('changes2_based on steps'!$B152:$U152,'changes2_based on steps'!$B$1:$U$1,G$1)</f>
        <v>0</v>
      </c>
      <c r="H152" s="179">
        <f>SUMIFS('recurring2_based on steps'!$B152:$AY152,'recurring2_based on steps'!$B$1:$AY$1,H$1)+SUMIFS('changes2_based on steps'!$B152:$U152,'changes2_based on steps'!$B$1:$U$1,H$1)</f>
        <v>0</v>
      </c>
      <c r="I152" s="179">
        <f>SUMIFS('recurring2_based on steps'!$B152:$AY152,'recurring2_based on steps'!$B$1:$AY$1,I$1)+SUMIFS('changes2_based on steps'!$B152:$U152,'changes2_based on steps'!$B$1:$U$1,I$1)</f>
        <v>0</v>
      </c>
      <c r="J152" s="179">
        <f>SUMIFS('recurring2_based on steps'!$B152:$AY152,'recurring2_based on steps'!$B$1:$AY$1,J$1)+SUMIFS('changes2_based on steps'!$B152:$U152,'changes2_based on steps'!$B$1:$U$1,J$1)</f>
        <v>0</v>
      </c>
      <c r="K152" s="179">
        <f>SUMIFS('recurring2_based on steps'!$B152:$AY152,'recurring2_based on steps'!$B$1:$AY$1,K$1)+SUMIFS('changes2_based on steps'!$B152:$U152,'changes2_based on steps'!$B$1:$U$1,K$1)</f>
        <v>0</v>
      </c>
      <c r="L152" s="179">
        <f>SUMIFS('recurring2_based on steps'!$B152:$AY152,'recurring2_based on steps'!$B$1:$AY$1,L$1)+SUMIFS('changes2_based on steps'!$B152:$U152,'changes2_based on steps'!$B$1:$U$1,L$1)</f>
        <v>0</v>
      </c>
      <c r="M152" s="179">
        <f>SUMIFS('recurring2_based on steps'!$B152:$AY152,'recurring2_based on steps'!$B$1:$AY$1,M$1)+SUMIFS('changes2_based on steps'!$B152:$U152,'changes2_based on steps'!$B$1:$U$1,M$1)</f>
        <v>0</v>
      </c>
      <c r="N152" s="179">
        <f>SUMIFS('recurring2_based on steps'!$B152:$AY152,'recurring2_based on steps'!$B$1:$AY$1,N$1)+SUMIFS('changes2_based on steps'!$B152:$U152,'changes2_based on steps'!$B$1:$U$1,N$1)</f>
        <v>0</v>
      </c>
      <c r="O152" s="179">
        <f>SUMIFS('recurring2_based on steps'!$B152:$AY152,'recurring2_based on steps'!$B$1:$AY$1,O$1)+SUMIFS('changes2_based on steps'!$B152:$U152,'changes2_based on steps'!$B$1:$U$1,O$1)</f>
        <v>0</v>
      </c>
      <c r="P152" s="179">
        <f>SUMIFS('recurring2_based on steps'!$B152:$AY152,'recurring2_based on steps'!$B$1:$AY$1,P$1)+SUMIFS('changes2_based on steps'!$B152:$U152,'changes2_based on steps'!$B$1:$U$1,P$1)</f>
        <v>0</v>
      </c>
      <c r="Q152" s="179">
        <f>SUMIFS('recurring2_based on steps'!$B152:$AY152,'recurring2_based on steps'!$B$1:$AY$1,Q$1)+SUMIFS('changes2_based on steps'!$B152:$U152,'changes2_based on steps'!$B$1:$U$1,Q$1)</f>
        <v>0</v>
      </c>
      <c r="R152" s="179">
        <f>SUMIFS('recurring2_based on steps'!$B152:$AY152,'recurring2_based on steps'!$B$1:$AY$1,R$1)+SUMIFS('changes2_based on steps'!$B152:$U152,'changes2_based on steps'!$B$1:$U$1,R$1)</f>
        <v>0</v>
      </c>
      <c r="S152" s="179">
        <f>SUMIFS('recurring2_based on steps'!$B152:$AY152,'recurring2_based on steps'!$B$1:$AY$1,S$1)+SUMIFS('changes2_based on steps'!$B152:$U152,'changes2_based on steps'!$B$1:$U$1,S$1)</f>
        <v>0</v>
      </c>
      <c r="T152" s="179">
        <f>SUMIFS('recurring2_based on steps'!$B152:$AY152,'recurring2_based on steps'!$B$1:$AY$1,T$1)+SUMIFS('changes2_based on steps'!$B152:$U152,'changes2_based on steps'!$B$1:$U$1,T$1)</f>
        <v>0</v>
      </c>
      <c r="U152" s="179">
        <f>SUMIFS('recurring2_based on steps'!$B152:$AY152,'recurring2_based on steps'!$B$1:$AY$1,U$1)+SUMIFS('changes2_based on steps'!$B152:$U152,'changes2_based on steps'!$B$1:$U$1,U$1)</f>
        <v>0</v>
      </c>
      <c r="V152" s="179">
        <f>SUMIFS('recurring2_based on steps'!$B152:$AY152,'recurring2_based on steps'!$B$1:$AY$1,V$1)+SUMIFS('changes2_based on steps'!$B152:$U152,'changes2_based on steps'!$B$1:$U$1,V$1)</f>
        <v>0</v>
      </c>
      <c r="W152" s="179">
        <f>SUMIFS('recurring2_based on steps'!$B152:$AY152,'recurring2_based on steps'!$B$1:$AY$1,W$1)+SUMIFS('changes2_based on steps'!$B152:$U152,'changes2_based on steps'!$B$1:$U$1,W$1)</f>
        <v>0</v>
      </c>
      <c r="X152" s="179">
        <f>SUMIFS('recurring2_based on steps'!$B152:$AY152,'recurring2_based on steps'!$B$1:$AY$1,X$1)+SUMIFS('changes2_based on steps'!$B152:$U152,'changes2_based on steps'!$B$1:$U$1,X$1)</f>
        <v>0</v>
      </c>
      <c r="Y152" s="179">
        <f>SUMIFS('recurring2_based on steps'!$B152:$AY152,'recurring2_based on steps'!$B$1:$AY$1,Y$1)+SUMIFS('changes2_based on steps'!$B152:$U152,'changes2_based on steps'!$B$1:$U$1,Y$1)</f>
        <v>0</v>
      </c>
      <c r="Z152" s="179">
        <f>SUMIFS('recurring2_based on steps'!$B152:$AY152,'recurring2_based on steps'!$B$1:$AY$1,Z$1)+SUMIFS('changes2_based on steps'!$B152:$U152,'changes2_based on steps'!$B$1:$U$1,Z$1)</f>
        <v>0</v>
      </c>
      <c r="AA152" s="179">
        <f>SUMIFS('recurring2_based on steps'!$B152:$AY152,'recurring2_based on steps'!$B$1:$AY$1,AA$1)+SUMIFS('changes2_based on steps'!$B152:$U152,'changes2_based on steps'!$B$1:$U$1,AA$1)</f>
        <v>0</v>
      </c>
      <c r="AB152" s="179">
        <f>SUMIFS('recurring2_based on steps'!$B152:$AY152,'recurring2_based on steps'!$B$1:$AY$1,AB$1)+SUMIFS('changes2_based on steps'!$B152:$U152,'changes2_based on steps'!$B$1:$U$1,AB$1)</f>
        <v>0</v>
      </c>
      <c r="AC152" s="179">
        <f>SUMIFS('recurring2_based on steps'!$B152:$AY152,'recurring2_based on steps'!$B$1:$AY$1,AC$1)+SUMIFS('changes2_based on steps'!$B152:$U152,'changes2_based on steps'!$B$1:$U$1,AC$1)</f>
        <v>0</v>
      </c>
      <c r="AD152" s="179">
        <f>SUMIFS('recurring2_based on steps'!$B152:$AY152,'recurring2_based on steps'!$B$1:$AY$1,AD$1)+SUMIFS('changes2_based on steps'!$B152:$U152,'changes2_based on steps'!$B$1:$U$1,AD$1)</f>
        <v>0</v>
      </c>
      <c r="AE152" s="179">
        <f>SUMIFS('recurring2_based on steps'!$B152:$AY152,'recurring2_based on steps'!$B$1:$AY$1,AE$1)+SUMIFS('changes2_based on steps'!$B152:$U152,'changes2_based on steps'!$B$1:$U$1,AE$1)</f>
        <v>0</v>
      </c>
      <c r="AF152" s="179"/>
      <c r="AG152" s="179"/>
      <c r="AH152" s="179"/>
      <c r="AI152" s="179"/>
      <c r="AJ152" s="179"/>
      <c r="AK152" s="179"/>
      <c r="AL152" s="179"/>
      <c r="AM152" s="179"/>
    </row>
    <row r="153" spans="1:39" x14ac:dyDescent="0.2">
      <c r="A153" s="32">
        <f t="shared" ca="1" si="2"/>
        <v>45902</v>
      </c>
      <c r="B153" s="179">
        <f>SUMIFS('recurring2_based on steps'!$B153:$AY153,'recurring2_based on steps'!$B$1:$AY$1,B$1)+SUMIFS('changes2_based on steps'!$B153:$U153,'changes2_based on steps'!$B$1:$U$1,B$1)</f>
        <v>0</v>
      </c>
      <c r="C153" s="179">
        <f>SUMIFS('recurring2_based on steps'!$B153:$AY153,'recurring2_based on steps'!$B$1:$AY$1,C$1)+SUMIFS('changes2_based on steps'!$B153:$U153,'changes2_based on steps'!$B$1:$U$1,C$1)</f>
        <v>0</v>
      </c>
      <c r="D153" s="179">
        <f>SUMIFS('recurring2_based on steps'!$B153:$AY153,'recurring2_based on steps'!$B$1:$AY$1,D$1)+SUMIFS('changes2_based on steps'!$B153:$U153,'changes2_based on steps'!$B$1:$U$1,D$1)</f>
        <v>0</v>
      </c>
      <c r="E153" s="179">
        <f>SUMIFS('recurring2_based on steps'!$B153:$AY153,'recurring2_based on steps'!$B$1:$AY$1,E$1)+SUMIFS('changes2_based on steps'!$B153:$U153,'changes2_based on steps'!$B$1:$U$1,E$1)</f>
        <v>0</v>
      </c>
      <c r="F153" s="179">
        <f>SUMIFS('recurring2_based on steps'!$B153:$AY153,'recurring2_based on steps'!$B$1:$AY$1,F$1)+SUMIFS('changes2_based on steps'!$B153:$U153,'changes2_based on steps'!$B$1:$U$1,F$1)</f>
        <v>0</v>
      </c>
      <c r="G153" s="179">
        <f>SUMIFS('recurring2_based on steps'!$B153:$AY153,'recurring2_based on steps'!$B$1:$AY$1,G$1)+SUMIFS('changes2_based on steps'!$B153:$U153,'changes2_based on steps'!$B$1:$U$1,G$1)</f>
        <v>0</v>
      </c>
      <c r="H153" s="179">
        <f>SUMIFS('recurring2_based on steps'!$B153:$AY153,'recurring2_based on steps'!$B$1:$AY$1,H$1)+SUMIFS('changes2_based on steps'!$B153:$U153,'changes2_based on steps'!$B$1:$U$1,H$1)</f>
        <v>0</v>
      </c>
      <c r="I153" s="179">
        <f>SUMIFS('recurring2_based on steps'!$B153:$AY153,'recurring2_based on steps'!$B$1:$AY$1,I$1)+SUMIFS('changes2_based on steps'!$B153:$U153,'changes2_based on steps'!$B$1:$U$1,I$1)</f>
        <v>0</v>
      </c>
      <c r="J153" s="179">
        <f>SUMIFS('recurring2_based on steps'!$B153:$AY153,'recurring2_based on steps'!$B$1:$AY$1,J$1)+SUMIFS('changes2_based on steps'!$B153:$U153,'changes2_based on steps'!$B$1:$U$1,J$1)</f>
        <v>0</v>
      </c>
      <c r="K153" s="179">
        <f>SUMIFS('recurring2_based on steps'!$B153:$AY153,'recurring2_based on steps'!$B$1:$AY$1,K$1)+SUMIFS('changes2_based on steps'!$B153:$U153,'changes2_based on steps'!$B$1:$U$1,K$1)</f>
        <v>0</v>
      </c>
      <c r="L153" s="179">
        <f>SUMIFS('recurring2_based on steps'!$B153:$AY153,'recurring2_based on steps'!$B$1:$AY$1,L$1)+SUMIFS('changes2_based on steps'!$B153:$U153,'changes2_based on steps'!$B$1:$U$1,L$1)</f>
        <v>0</v>
      </c>
      <c r="M153" s="179">
        <f>SUMIFS('recurring2_based on steps'!$B153:$AY153,'recurring2_based on steps'!$B$1:$AY$1,M$1)+SUMIFS('changes2_based on steps'!$B153:$U153,'changes2_based on steps'!$B$1:$U$1,M$1)</f>
        <v>0</v>
      </c>
      <c r="N153" s="179">
        <f>SUMIFS('recurring2_based on steps'!$B153:$AY153,'recurring2_based on steps'!$B$1:$AY$1,N$1)+SUMIFS('changes2_based on steps'!$B153:$U153,'changes2_based on steps'!$B$1:$U$1,N$1)</f>
        <v>0</v>
      </c>
      <c r="O153" s="179">
        <f>SUMIFS('recurring2_based on steps'!$B153:$AY153,'recurring2_based on steps'!$B$1:$AY$1,O$1)+SUMIFS('changes2_based on steps'!$B153:$U153,'changes2_based on steps'!$B$1:$U$1,O$1)</f>
        <v>0</v>
      </c>
      <c r="P153" s="179">
        <f>SUMIFS('recurring2_based on steps'!$B153:$AY153,'recurring2_based on steps'!$B$1:$AY$1,P$1)+SUMIFS('changes2_based on steps'!$B153:$U153,'changes2_based on steps'!$B$1:$U$1,P$1)</f>
        <v>0</v>
      </c>
      <c r="Q153" s="179">
        <f>SUMIFS('recurring2_based on steps'!$B153:$AY153,'recurring2_based on steps'!$B$1:$AY$1,Q$1)+SUMIFS('changes2_based on steps'!$B153:$U153,'changes2_based on steps'!$B$1:$U$1,Q$1)</f>
        <v>0</v>
      </c>
      <c r="R153" s="179">
        <f>SUMIFS('recurring2_based on steps'!$B153:$AY153,'recurring2_based on steps'!$B$1:$AY$1,R$1)+SUMIFS('changes2_based on steps'!$B153:$U153,'changes2_based on steps'!$B$1:$U$1,R$1)</f>
        <v>0</v>
      </c>
      <c r="S153" s="179">
        <f>SUMIFS('recurring2_based on steps'!$B153:$AY153,'recurring2_based on steps'!$B$1:$AY$1,S$1)+SUMIFS('changes2_based on steps'!$B153:$U153,'changes2_based on steps'!$B$1:$U$1,S$1)</f>
        <v>0</v>
      </c>
      <c r="T153" s="179">
        <f>SUMIFS('recurring2_based on steps'!$B153:$AY153,'recurring2_based on steps'!$B$1:$AY$1,T$1)+SUMIFS('changes2_based on steps'!$B153:$U153,'changes2_based on steps'!$B$1:$U$1,T$1)</f>
        <v>0</v>
      </c>
      <c r="U153" s="179">
        <f>SUMIFS('recurring2_based on steps'!$B153:$AY153,'recurring2_based on steps'!$B$1:$AY$1,U$1)+SUMIFS('changes2_based on steps'!$B153:$U153,'changes2_based on steps'!$B$1:$U$1,U$1)</f>
        <v>0</v>
      </c>
      <c r="V153" s="179">
        <f>SUMIFS('recurring2_based on steps'!$B153:$AY153,'recurring2_based on steps'!$B$1:$AY$1,V$1)+SUMIFS('changes2_based on steps'!$B153:$U153,'changes2_based on steps'!$B$1:$U$1,V$1)</f>
        <v>0</v>
      </c>
      <c r="W153" s="179">
        <f>SUMIFS('recurring2_based on steps'!$B153:$AY153,'recurring2_based on steps'!$B$1:$AY$1,W$1)+SUMIFS('changes2_based on steps'!$B153:$U153,'changes2_based on steps'!$B$1:$U$1,W$1)</f>
        <v>0</v>
      </c>
      <c r="X153" s="179">
        <f>SUMIFS('recurring2_based on steps'!$B153:$AY153,'recurring2_based on steps'!$B$1:$AY$1,X$1)+SUMIFS('changes2_based on steps'!$B153:$U153,'changes2_based on steps'!$B$1:$U$1,X$1)</f>
        <v>0</v>
      </c>
      <c r="Y153" s="179">
        <f>SUMIFS('recurring2_based on steps'!$B153:$AY153,'recurring2_based on steps'!$B$1:$AY$1,Y$1)+SUMIFS('changes2_based on steps'!$B153:$U153,'changes2_based on steps'!$B$1:$U$1,Y$1)</f>
        <v>0</v>
      </c>
      <c r="Z153" s="179">
        <f>SUMIFS('recurring2_based on steps'!$B153:$AY153,'recurring2_based on steps'!$B$1:$AY$1,Z$1)+SUMIFS('changes2_based on steps'!$B153:$U153,'changes2_based on steps'!$B$1:$U$1,Z$1)</f>
        <v>0</v>
      </c>
      <c r="AA153" s="179">
        <f>SUMIFS('recurring2_based on steps'!$B153:$AY153,'recurring2_based on steps'!$B$1:$AY$1,AA$1)+SUMIFS('changes2_based on steps'!$B153:$U153,'changes2_based on steps'!$B$1:$U$1,AA$1)</f>
        <v>0</v>
      </c>
      <c r="AB153" s="179">
        <f>SUMIFS('recurring2_based on steps'!$B153:$AY153,'recurring2_based on steps'!$B$1:$AY$1,AB$1)+SUMIFS('changes2_based on steps'!$B153:$U153,'changes2_based on steps'!$B$1:$U$1,AB$1)</f>
        <v>0</v>
      </c>
      <c r="AC153" s="179">
        <f>SUMIFS('recurring2_based on steps'!$B153:$AY153,'recurring2_based on steps'!$B$1:$AY$1,AC$1)+SUMIFS('changes2_based on steps'!$B153:$U153,'changes2_based on steps'!$B$1:$U$1,AC$1)</f>
        <v>0</v>
      </c>
      <c r="AD153" s="179">
        <f>SUMIFS('recurring2_based on steps'!$B153:$AY153,'recurring2_based on steps'!$B$1:$AY$1,AD$1)+SUMIFS('changes2_based on steps'!$B153:$U153,'changes2_based on steps'!$B$1:$U$1,AD$1)</f>
        <v>0</v>
      </c>
      <c r="AE153" s="179">
        <f>SUMIFS('recurring2_based on steps'!$B153:$AY153,'recurring2_based on steps'!$B$1:$AY$1,AE$1)+SUMIFS('changes2_based on steps'!$B153:$U153,'changes2_based on steps'!$B$1:$U$1,AE$1)</f>
        <v>0</v>
      </c>
      <c r="AF153" s="179"/>
      <c r="AG153" s="179"/>
      <c r="AH153" s="179"/>
      <c r="AI153" s="179"/>
      <c r="AJ153" s="179"/>
      <c r="AK153" s="179"/>
      <c r="AL153" s="179"/>
      <c r="AM153" s="179"/>
    </row>
    <row r="154" spans="1:39" x14ac:dyDescent="0.2">
      <c r="A154" s="32">
        <f t="shared" ca="1" si="2"/>
        <v>45903</v>
      </c>
      <c r="B154" s="179">
        <f>SUMIFS('recurring2_based on steps'!$B154:$AY154,'recurring2_based on steps'!$B$1:$AY$1,B$1)+SUMIFS('changes2_based on steps'!$B154:$U154,'changes2_based on steps'!$B$1:$U$1,B$1)</f>
        <v>0</v>
      </c>
      <c r="C154" s="179">
        <f>SUMIFS('recurring2_based on steps'!$B154:$AY154,'recurring2_based on steps'!$B$1:$AY$1,C$1)+SUMIFS('changes2_based on steps'!$B154:$U154,'changes2_based on steps'!$B$1:$U$1,C$1)</f>
        <v>0</v>
      </c>
      <c r="D154" s="179">
        <f>SUMIFS('recurring2_based on steps'!$B154:$AY154,'recurring2_based on steps'!$B$1:$AY$1,D$1)+SUMIFS('changes2_based on steps'!$B154:$U154,'changes2_based on steps'!$B$1:$U$1,D$1)</f>
        <v>0</v>
      </c>
      <c r="E154" s="179">
        <f>SUMIFS('recurring2_based on steps'!$B154:$AY154,'recurring2_based on steps'!$B$1:$AY$1,E$1)+SUMIFS('changes2_based on steps'!$B154:$U154,'changes2_based on steps'!$B$1:$U$1,E$1)</f>
        <v>0</v>
      </c>
      <c r="F154" s="179">
        <f>SUMIFS('recurring2_based on steps'!$B154:$AY154,'recurring2_based on steps'!$B$1:$AY$1,F$1)+SUMIFS('changes2_based on steps'!$B154:$U154,'changes2_based on steps'!$B$1:$U$1,F$1)</f>
        <v>0</v>
      </c>
      <c r="G154" s="179">
        <f>SUMIFS('recurring2_based on steps'!$B154:$AY154,'recurring2_based on steps'!$B$1:$AY$1,G$1)+SUMIFS('changes2_based on steps'!$B154:$U154,'changes2_based on steps'!$B$1:$U$1,G$1)</f>
        <v>0</v>
      </c>
      <c r="H154" s="179">
        <f>SUMIFS('recurring2_based on steps'!$B154:$AY154,'recurring2_based on steps'!$B$1:$AY$1,H$1)+SUMIFS('changes2_based on steps'!$B154:$U154,'changes2_based on steps'!$B$1:$U$1,H$1)</f>
        <v>0</v>
      </c>
      <c r="I154" s="179">
        <f>SUMIFS('recurring2_based on steps'!$B154:$AY154,'recurring2_based on steps'!$B$1:$AY$1,I$1)+SUMIFS('changes2_based on steps'!$B154:$U154,'changes2_based on steps'!$B$1:$U$1,I$1)</f>
        <v>0</v>
      </c>
      <c r="J154" s="179">
        <f>SUMIFS('recurring2_based on steps'!$B154:$AY154,'recurring2_based on steps'!$B$1:$AY$1,J$1)+SUMIFS('changes2_based on steps'!$B154:$U154,'changes2_based on steps'!$B$1:$U$1,J$1)</f>
        <v>0</v>
      </c>
      <c r="K154" s="179">
        <f>SUMIFS('recurring2_based on steps'!$B154:$AY154,'recurring2_based on steps'!$B$1:$AY$1,K$1)+SUMIFS('changes2_based on steps'!$B154:$U154,'changes2_based on steps'!$B$1:$U$1,K$1)</f>
        <v>0</v>
      </c>
      <c r="L154" s="179">
        <f>SUMIFS('recurring2_based on steps'!$B154:$AY154,'recurring2_based on steps'!$B$1:$AY$1,L$1)+SUMIFS('changes2_based on steps'!$B154:$U154,'changes2_based on steps'!$B$1:$U$1,L$1)</f>
        <v>0</v>
      </c>
      <c r="M154" s="179">
        <f>SUMIFS('recurring2_based on steps'!$B154:$AY154,'recurring2_based on steps'!$B$1:$AY$1,M$1)+SUMIFS('changes2_based on steps'!$B154:$U154,'changes2_based on steps'!$B$1:$U$1,M$1)</f>
        <v>0</v>
      </c>
      <c r="N154" s="179">
        <f>SUMIFS('recurring2_based on steps'!$B154:$AY154,'recurring2_based on steps'!$B$1:$AY$1,N$1)+SUMIFS('changes2_based on steps'!$B154:$U154,'changes2_based on steps'!$B$1:$U$1,N$1)</f>
        <v>0</v>
      </c>
      <c r="O154" s="179">
        <f>SUMIFS('recurring2_based on steps'!$B154:$AY154,'recurring2_based on steps'!$B$1:$AY$1,O$1)+SUMIFS('changes2_based on steps'!$B154:$U154,'changes2_based on steps'!$B$1:$U$1,O$1)</f>
        <v>0</v>
      </c>
      <c r="P154" s="179">
        <f>SUMIFS('recurring2_based on steps'!$B154:$AY154,'recurring2_based on steps'!$B$1:$AY$1,P$1)+SUMIFS('changes2_based on steps'!$B154:$U154,'changes2_based on steps'!$B$1:$U$1,P$1)</f>
        <v>0</v>
      </c>
      <c r="Q154" s="179">
        <f>SUMIFS('recurring2_based on steps'!$B154:$AY154,'recurring2_based on steps'!$B$1:$AY$1,Q$1)+SUMIFS('changes2_based on steps'!$B154:$U154,'changes2_based on steps'!$B$1:$U$1,Q$1)</f>
        <v>0</v>
      </c>
      <c r="R154" s="179">
        <f>SUMIFS('recurring2_based on steps'!$B154:$AY154,'recurring2_based on steps'!$B$1:$AY$1,R$1)+SUMIFS('changes2_based on steps'!$B154:$U154,'changes2_based on steps'!$B$1:$U$1,R$1)</f>
        <v>0</v>
      </c>
      <c r="S154" s="179">
        <f>SUMIFS('recurring2_based on steps'!$B154:$AY154,'recurring2_based on steps'!$B$1:$AY$1,S$1)+SUMIFS('changes2_based on steps'!$B154:$U154,'changes2_based on steps'!$B$1:$U$1,S$1)</f>
        <v>0</v>
      </c>
      <c r="T154" s="179">
        <f>SUMIFS('recurring2_based on steps'!$B154:$AY154,'recurring2_based on steps'!$B$1:$AY$1,T$1)+SUMIFS('changes2_based on steps'!$B154:$U154,'changes2_based on steps'!$B$1:$U$1,T$1)</f>
        <v>0</v>
      </c>
      <c r="U154" s="179">
        <f>SUMIFS('recurring2_based on steps'!$B154:$AY154,'recurring2_based on steps'!$B$1:$AY$1,U$1)+SUMIFS('changes2_based on steps'!$B154:$U154,'changes2_based on steps'!$B$1:$U$1,U$1)</f>
        <v>0</v>
      </c>
      <c r="V154" s="179">
        <f>SUMIFS('recurring2_based on steps'!$B154:$AY154,'recurring2_based on steps'!$B$1:$AY$1,V$1)+SUMIFS('changes2_based on steps'!$B154:$U154,'changes2_based on steps'!$B$1:$U$1,V$1)</f>
        <v>0</v>
      </c>
      <c r="W154" s="179">
        <f>SUMIFS('recurring2_based on steps'!$B154:$AY154,'recurring2_based on steps'!$B$1:$AY$1,W$1)+SUMIFS('changes2_based on steps'!$B154:$U154,'changes2_based on steps'!$B$1:$U$1,W$1)</f>
        <v>0</v>
      </c>
      <c r="X154" s="179">
        <f>SUMIFS('recurring2_based on steps'!$B154:$AY154,'recurring2_based on steps'!$B$1:$AY$1,X$1)+SUMIFS('changes2_based on steps'!$B154:$U154,'changes2_based on steps'!$B$1:$U$1,X$1)</f>
        <v>0</v>
      </c>
      <c r="Y154" s="179">
        <f>SUMIFS('recurring2_based on steps'!$B154:$AY154,'recurring2_based on steps'!$B$1:$AY$1,Y$1)+SUMIFS('changes2_based on steps'!$B154:$U154,'changes2_based on steps'!$B$1:$U$1,Y$1)</f>
        <v>0</v>
      </c>
      <c r="Z154" s="179">
        <f>SUMIFS('recurring2_based on steps'!$B154:$AY154,'recurring2_based on steps'!$B$1:$AY$1,Z$1)+SUMIFS('changes2_based on steps'!$B154:$U154,'changes2_based on steps'!$B$1:$U$1,Z$1)</f>
        <v>0</v>
      </c>
      <c r="AA154" s="179">
        <f>SUMIFS('recurring2_based on steps'!$B154:$AY154,'recurring2_based on steps'!$B$1:$AY$1,AA$1)+SUMIFS('changes2_based on steps'!$B154:$U154,'changes2_based on steps'!$B$1:$U$1,AA$1)</f>
        <v>0</v>
      </c>
      <c r="AB154" s="179">
        <f>SUMIFS('recurring2_based on steps'!$B154:$AY154,'recurring2_based on steps'!$B$1:$AY$1,AB$1)+SUMIFS('changes2_based on steps'!$B154:$U154,'changes2_based on steps'!$B$1:$U$1,AB$1)</f>
        <v>0</v>
      </c>
      <c r="AC154" s="179">
        <f>SUMIFS('recurring2_based on steps'!$B154:$AY154,'recurring2_based on steps'!$B$1:$AY$1,AC$1)+SUMIFS('changes2_based on steps'!$B154:$U154,'changes2_based on steps'!$B$1:$U$1,AC$1)</f>
        <v>0</v>
      </c>
      <c r="AD154" s="179">
        <f>SUMIFS('recurring2_based on steps'!$B154:$AY154,'recurring2_based on steps'!$B$1:$AY$1,AD$1)+SUMIFS('changes2_based on steps'!$B154:$U154,'changes2_based on steps'!$B$1:$U$1,AD$1)</f>
        <v>0</v>
      </c>
      <c r="AE154" s="179">
        <f>SUMIFS('recurring2_based on steps'!$B154:$AY154,'recurring2_based on steps'!$B$1:$AY$1,AE$1)+SUMIFS('changes2_based on steps'!$B154:$U154,'changes2_based on steps'!$B$1:$U$1,AE$1)</f>
        <v>0</v>
      </c>
      <c r="AF154" s="179"/>
      <c r="AG154" s="179"/>
      <c r="AH154" s="179"/>
      <c r="AI154" s="179"/>
      <c r="AJ154" s="179"/>
      <c r="AK154" s="179"/>
      <c r="AL154" s="179"/>
      <c r="AM154" s="179"/>
    </row>
    <row r="155" spans="1:39" x14ac:dyDescent="0.2">
      <c r="A155" s="32">
        <f t="shared" ca="1" si="2"/>
        <v>45904</v>
      </c>
      <c r="B155" s="179">
        <f>SUMIFS('recurring2_based on steps'!$B155:$AY155,'recurring2_based on steps'!$B$1:$AY$1,B$1)+SUMIFS('changes2_based on steps'!$B155:$U155,'changes2_based on steps'!$B$1:$U$1,B$1)</f>
        <v>0</v>
      </c>
      <c r="C155" s="179">
        <f>SUMIFS('recurring2_based on steps'!$B155:$AY155,'recurring2_based on steps'!$B$1:$AY$1,C$1)+SUMIFS('changes2_based on steps'!$B155:$U155,'changes2_based on steps'!$B$1:$U$1,C$1)</f>
        <v>0</v>
      </c>
      <c r="D155" s="179">
        <f>SUMIFS('recurring2_based on steps'!$B155:$AY155,'recurring2_based on steps'!$B$1:$AY$1,D$1)+SUMIFS('changes2_based on steps'!$B155:$U155,'changes2_based on steps'!$B$1:$U$1,D$1)</f>
        <v>0</v>
      </c>
      <c r="E155" s="179">
        <f>SUMIFS('recurring2_based on steps'!$B155:$AY155,'recurring2_based on steps'!$B$1:$AY$1,E$1)+SUMIFS('changes2_based on steps'!$B155:$U155,'changes2_based on steps'!$B$1:$U$1,E$1)</f>
        <v>0</v>
      </c>
      <c r="F155" s="179">
        <f>SUMIFS('recurring2_based on steps'!$B155:$AY155,'recurring2_based on steps'!$B$1:$AY$1,F$1)+SUMIFS('changes2_based on steps'!$B155:$U155,'changes2_based on steps'!$B$1:$U$1,F$1)</f>
        <v>0</v>
      </c>
      <c r="G155" s="179">
        <f>SUMIFS('recurring2_based on steps'!$B155:$AY155,'recurring2_based on steps'!$B$1:$AY$1,G$1)+SUMIFS('changes2_based on steps'!$B155:$U155,'changes2_based on steps'!$B$1:$U$1,G$1)</f>
        <v>0</v>
      </c>
      <c r="H155" s="179">
        <f>SUMIFS('recurring2_based on steps'!$B155:$AY155,'recurring2_based on steps'!$B$1:$AY$1,H$1)+SUMIFS('changes2_based on steps'!$B155:$U155,'changes2_based on steps'!$B$1:$U$1,H$1)</f>
        <v>0</v>
      </c>
      <c r="I155" s="179">
        <f>SUMIFS('recurring2_based on steps'!$B155:$AY155,'recurring2_based on steps'!$B$1:$AY$1,I$1)+SUMIFS('changes2_based on steps'!$B155:$U155,'changes2_based on steps'!$B$1:$U$1,I$1)</f>
        <v>0</v>
      </c>
      <c r="J155" s="179">
        <f>SUMIFS('recurring2_based on steps'!$B155:$AY155,'recurring2_based on steps'!$B$1:$AY$1,J$1)+SUMIFS('changes2_based on steps'!$B155:$U155,'changes2_based on steps'!$B$1:$U$1,J$1)</f>
        <v>0</v>
      </c>
      <c r="K155" s="179">
        <f>SUMIFS('recurring2_based on steps'!$B155:$AY155,'recurring2_based on steps'!$B$1:$AY$1,K$1)+SUMIFS('changes2_based on steps'!$B155:$U155,'changes2_based on steps'!$B$1:$U$1,K$1)</f>
        <v>0</v>
      </c>
      <c r="L155" s="179">
        <f>SUMIFS('recurring2_based on steps'!$B155:$AY155,'recurring2_based on steps'!$B$1:$AY$1,L$1)+SUMIFS('changes2_based on steps'!$B155:$U155,'changes2_based on steps'!$B$1:$U$1,L$1)</f>
        <v>0</v>
      </c>
      <c r="M155" s="179">
        <f>SUMIFS('recurring2_based on steps'!$B155:$AY155,'recurring2_based on steps'!$B$1:$AY$1,M$1)+SUMIFS('changes2_based on steps'!$B155:$U155,'changes2_based on steps'!$B$1:$U$1,M$1)</f>
        <v>0</v>
      </c>
      <c r="N155" s="179">
        <f>SUMIFS('recurring2_based on steps'!$B155:$AY155,'recurring2_based on steps'!$B$1:$AY$1,N$1)+SUMIFS('changes2_based on steps'!$B155:$U155,'changes2_based on steps'!$B$1:$U$1,N$1)</f>
        <v>0</v>
      </c>
      <c r="O155" s="179">
        <f>SUMIFS('recurring2_based on steps'!$B155:$AY155,'recurring2_based on steps'!$B$1:$AY$1,O$1)+SUMIFS('changes2_based on steps'!$B155:$U155,'changes2_based on steps'!$B$1:$U$1,O$1)</f>
        <v>0</v>
      </c>
      <c r="P155" s="179">
        <f>SUMIFS('recurring2_based on steps'!$B155:$AY155,'recurring2_based on steps'!$B$1:$AY$1,P$1)+SUMIFS('changes2_based on steps'!$B155:$U155,'changes2_based on steps'!$B$1:$U$1,P$1)</f>
        <v>0</v>
      </c>
      <c r="Q155" s="179">
        <f>SUMIFS('recurring2_based on steps'!$B155:$AY155,'recurring2_based on steps'!$B$1:$AY$1,Q$1)+SUMIFS('changes2_based on steps'!$B155:$U155,'changes2_based on steps'!$B$1:$U$1,Q$1)</f>
        <v>0</v>
      </c>
      <c r="R155" s="179">
        <f>SUMIFS('recurring2_based on steps'!$B155:$AY155,'recurring2_based on steps'!$B$1:$AY$1,R$1)+SUMIFS('changes2_based on steps'!$B155:$U155,'changes2_based on steps'!$B$1:$U$1,R$1)</f>
        <v>0</v>
      </c>
      <c r="S155" s="179">
        <f>SUMIFS('recurring2_based on steps'!$B155:$AY155,'recurring2_based on steps'!$B$1:$AY$1,S$1)+SUMIFS('changes2_based on steps'!$B155:$U155,'changes2_based on steps'!$B$1:$U$1,S$1)</f>
        <v>0</v>
      </c>
      <c r="T155" s="179">
        <f>SUMIFS('recurring2_based on steps'!$B155:$AY155,'recurring2_based on steps'!$B$1:$AY$1,T$1)+SUMIFS('changes2_based on steps'!$B155:$U155,'changes2_based on steps'!$B$1:$U$1,T$1)</f>
        <v>0</v>
      </c>
      <c r="U155" s="179">
        <f>SUMIFS('recurring2_based on steps'!$B155:$AY155,'recurring2_based on steps'!$B$1:$AY$1,U$1)+SUMIFS('changes2_based on steps'!$B155:$U155,'changes2_based on steps'!$B$1:$U$1,U$1)</f>
        <v>0</v>
      </c>
      <c r="V155" s="179">
        <f>SUMIFS('recurring2_based on steps'!$B155:$AY155,'recurring2_based on steps'!$B$1:$AY$1,V$1)+SUMIFS('changes2_based on steps'!$B155:$U155,'changes2_based on steps'!$B$1:$U$1,V$1)</f>
        <v>0</v>
      </c>
      <c r="W155" s="179">
        <f>SUMIFS('recurring2_based on steps'!$B155:$AY155,'recurring2_based on steps'!$B$1:$AY$1,W$1)+SUMIFS('changes2_based on steps'!$B155:$U155,'changes2_based on steps'!$B$1:$U$1,W$1)</f>
        <v>0</v>
      </c>
      <c r="X155" s="179">
        <f>SUMIFS('recurring2_based on steps'!$B155:$AY155,'recurring2_based on steps'!$B$1:$AY$1,X$1)+SUMIFS('changes2_based on steps'!$B155:$U155,'changes2_based on steps'!$B$1:$U$1,X$1)</f>
        <v>0</v>
      </c>
      <c r="Y155" s="179">
        <f>SUMIFS('recurring2_based on steps'!$B155:$AY155,'recurring2_based on steps'!$B$1:$AY$1,Y$1)+SUMIFS('changes2_based on steps'!$B155:$U155,'changes2_based on steps'!$B$1:$U$1,Y$1)</f>
        <v>0</v>
      </c>
      <c r="Z155" s="179">
        <f>SUMIFS('recurring2_based on steps'!$B155:$AY155,'recurring2_based on steps'!$B$1:$AY$1,Z$1)+SUMIFS('changes2_based on steps'!$B155:$U155,'changes2_based on steps'!$B$1:$U$1,Z$1)</f>
        <v>0</v>
      </c>
      <c r="AA155" s="179">
        <f>SUMIFS('recurring2_based on steps'!$B155:$AY155,'recurring2_based on steps'!$B$1:$AY$1,AA$1)+SUMIFS('changes2_based on steps'!$B155:$U155,'changes2_based on steps'!$B$1:$U$1,AA$1)</f>
        <v>0</v>
      </c>
      <c r="AB155" s="179">
        <f>SUMIFS('recurring2_based on steps'!$B155:$AY155,'recurring2_based on steps'!$B$1:$AY$1,AB$1)+SUMIFS('changes2_based on steps'!$B155:$U155,'changes2_based on steps'!$B$1:$U$1,AB$1)</f>
        <v>0</v>
      </c>
      <c r="AC155" s="179">
        <f>SUMIFS('recurring2_based on steps'!$B155:$AY155,'recurring2_based on steps'!$B$1:$AY$1,AC$1)+SUMIFS('changes2_based on steps'!$B155:$U155,'changes2_based on steps'!$B$1:$U$1,AC$1)</f>
        <v>0</v>
      </c>
      <c r="AD155" s="179">
        <f>SUMIFS('recurring2_based on steps'!$B155:$AY155,'recurring2_based on steps'!$B$1:$AY$1,AD$1)+SUMIFS('changes2_based on steps'!$B155:$U155,'changes2_based on steps'!$B$1:$U$1,AD$1)</f>
        <v>0</v>
      </c>
      <c r="AE155" s="179">
        <f>SUMIFS('recurring2_based on steps'!$B155:$AY155,'recurring2_based on steps'!$B$1:$AY$1,AE$1)+SUMIFS('changes2_based on steps'!$B155:$U155,'changes2_based on steps'!$B$1:$U$1,AE$1)</f>
        <v>0</v>
      </c>
      <c r="AF155" s="179"/>
      <c r="AG155" s="179"/>
      <c r="AH155" s="179"/>
      <c r="AI155" s="179"/>
      <c r="AJ155" s="179"/>
      <c r="AK155" s="179"/>
      <c r="AL155" s="179"/>
      <c r="AM155" s="179"/>
    </row>
    <row r="156" spans="1:39" x14ac:dyDescent="0.2">
      <c r="A156" s="32">
        <f t="shared" ca="1" si="2"/>
        <v>45905</v>
      </c>
      <c r="B156" s="179">
        <f>SUMIFS('recurring2_based on steps'!$B156:$AY156,'recurring2_based on steps'!$B$1:$AY$1,B$1)+SUMIFS('changes2_based on steps'!$B156:$U156,'changes2_based on steps'!$B$1:$U$1,B$1)</f>
        <v>0</v>
      </c>
      <c r="C156" s="179">
        <f>SUMIFS('recurring2_based on steps'!$B156:$AY156,'recurring2_based on steps'!$B$1:$AY$1,C$1)+SUMIFS('changes2_based on steps'!$B156:$U156,'changes2_based on steps'!$B$1:$U$1,C$1)</f>
        <v>0</v>
      </c>
      <c r="D156" s="179">
        <f>SUMIFS('recurring2_based on steps'!$B156:$AY156,'recurring2_based on steps'!$B$1:$AY$1,D$1)+SUMIFS('changes2_based on steps'!$B156:$U156,'changes2_based on steps'!$B$1:$U$1,D$1)</f>
        <v>0</v>
      </c>
      <c r="E156" s="179">
        <f>SUMIFS('recurring2_based on steps'!$B156:$AY156,'recurring2_based on steps'!$B$1:$AY$1,E$1)+SUMIFS('changes2_based on steps'!$B156:$U156,'changes2_based on steps'!$B$1:$U$1,E$1)</f>
        <v>0</v>
      </c>
      <c r="F156" s="179">
        <f>SUMIFS('recurring2_based on steps'!$B156:$AY156,'recurring2_based on steps'!$B$1:$AY$1,F$1)+SUMIFS('changes2_based on steps'!$B156:$U156,'changes2_based on steps'!$B$1:$U$1,F$1)</f>
        <v>0</v>
      </c>
      <c r="G156" s="179">
        <f>SUMIFS('recurring2_based on steps'!$B156:$AY156,'recurring2_based on steps'!$B$1:$AY$1,G$1)+SUMIFS('changes2_based on steps'!$B156:$U156,'changes2_based on steps'!$B$1:$U$1,G$1)</f>
        <v>0</v>
      </c>
      <c r="H156" s="179">
        <f>SUMIFS('recurring2_based on steps'!$B156:$AY156,'recurring2_based on steps'!$B$1:$AY$1,H$1)+SUMIFS('changes2_based on steps'!$B156:$U156,'changes2_based on steps'!$B$1:$U$1,H$1)</f>
        <v>0</v>
      </c>
      <c r="I156" s="179">
        <f>SUMIFS('recurring2_based on steps'!$B156:$AY156,'recurring2_based on steps'!$B$1:$AY$1,I$1)+SUMIFS('changes2_based on steps'!$B156:$U156,'changes2_based on steps'!$B$1:$U$1,I$1)</f>
        <v>0</v>
      </c>
      <c r="J156" s="179">
        <f>SUMIFS('recurring2_based on steps'!$B156:$AY156,'recurring2_based on steps'!$B$1:$AY$1,J$1)+SUMIFS('changes2_based on steps'!$B156:$U156,'changes2_based on steps'!$B$1:$U$1,J$1)</f>
        <v>0</v>
      </c>
      <c r="K156" s="179">
        <f>SUMIFS('recurring2_based on steps'!$B156:$AY156,'recurring2_based on steps'!$B$1:$AY$1,K$1)+SUMIFS('changes2_based on steps'!$B156:$U156,'changes2_based on steps'!$B$1:$U$1,K$1)</f>
        <v>0</v>
      </c>
      <c r="L156" s="179">
        <f>SUMIFS('recurring2_based on steps'!$B156:$AY156,'recurring2_based on steps'!$B$1:$AY$1,L$1)+SUMIFS('changes2_based on steps'!$B156:$U156,'changes2_based on steps'!$B$1:$U$1,L$1)</f>
        <v>0</v>
      </c>
      <c r="M156" s="179">
        <f>SUMIFS('recurring2_based on steps'!$B156:$AY156,'recurring2_based on steps'!$B$1:$AY$1,M$1)+SUMIFS('changes2_based on steps'!$B156:$U156,'changes2_based on steps'!$B$1:$U$1,M$1)</f>
        <v>0</v>
      </c>
      <c r="N156" s="179">
        <f>SUMIFS('recurring2_based on steps'!$B156:$AY156,'recurring2_based on steps'!$B$1:$AY$1,N$1)+SUMIFS('changes2_based on steps'!$B156:$U156,'changes2_based on steps'!$B$1:$U$1,N$1)</f>
        <v>0</v>
      </c>
      <c r="O156" s="179">
        <f>SUMIFS('recurring2_based on steps'!$B156:$AY156,'recurring2_based on steps'!$B$1:$AY$1,O$1)+SUMIFS('changes2_based on steps'!$B156:$U156,'changes2_based on steps'!$B$1:$U$1,O$1)</f>
        <v>0</v>
      </c>
      <c r="P156" s="179">
        <f>SUMIFS('recurring2_based on steps'!$B156:$AY156,'recurring2_based on steps'!$B$1:$AY$1,P$1)+SUMIFS('changes2_based on steps'!$B156:$U156,'changes2_based on steps'!$B$1:$U$1,P$1)</f>
        <v>0</v>
      </c>
      <c r="Q156" s="179">
        <f>SUMIFS('recurring2_based on steps'!$B156:$AY156,'recurring2_based on steps'!$B$1:$AY$1,Q$1)+SUMIFS('changes2_based on steps'!$B156:$U156,'changes2_based on steps'!$B$1:$U$1,Q$1)</f>
        <v>0</v>
      </c>
      <c r="R156" s="179">
        <f>SUMIFS('recurring2_based on steps'!$B156:$AY156,'recurring2_based on steps'!$B$1:$AY$1,R$1)+SUMIFS('changes2_based on steps'!$B156:$U156,'changes2_based on steps'!$B$1:$U$1,R$1)</f>
        <v>0</v>
      </c>
      <c r="S156" s="179">
        <f>SUMIFS('recurring2_based on steps'!$B156:$AY156,'recurring2_based on steps'!$B$1:$AY$1,S$1)+SUMIFS('changes2_based on steps'!$B156:$U156,'changes2_based on steps'!$B$1:$U$1,S$1)</f>
        <v>0</v>
      </c>
      <c r="T156" s="179">
        <f>SUMIFS('recurring2_based on steps'!$B156:$AY156,'recurring2_based on steps'!$B$1:$AY$1,T$1)+SUMIFS('changes2_based on steps'!$B156:$U156,'changes2_based on steps'!$B$1:$U$1,T$1)</f>
        <v>0</v>
      </c>
      <c r="U156" s="179">
        <f>SUMIFS('recurring2_based on steps'!$B156:$AY156,'recurring2_based on steps'!$B$1:$AY$1,U$1)+SUMIFS('changes2_based on steps'!$B156:$U156,'changes2_based on steps'!$B$1:$U$1,U$1)</f>
        <v>0</v>
      </c>
      <c r="V156" s="179">
        <f>SUMIFS('recurring2_based on steps'!$B156:$AY156,'recurring2_based on steps'!$B$1:$AY$1,V$1)+SUMIFS('changes2_based on steps'!$B156:$U156,'changes2_based on steps'!$B$1:$U$1,V$1)</f>
        <v>0</v>
      </c>
      <c r="W156" s="179">
        <f>SUMIFS('recurring2_based on steps'!$B156:$AY156,'recurring2_based on steps'!$B$1:$AY$1,W$1)+SUMIFS('changes2_based on steps'!$B156:$U156,'changes2_based on steps'!$B$1:$U$1,W$1)</f>
        <v>0</v>
      </c>
      <c r="X156" s="179">
        <f>SUMIFS('recurring2_based on steps'!$B156:$AY156,'recurring2_based on steps'!$B$1:$AY$1,X$1)+SUMIFS('changes2_based on steps'!$B156:$U156,'changes2_based on steps'!$B$1:$U$1,X$1)</f>
        <v>0</v>
      </c>
      <c r="Y156" s="179">
        <f>SUMIFS('recurring2_based on steps'!$B156:$AY156,'recurring2_based on steps'!$B$1:$AY$1,Y$1)+SUMIFS('changes2_based on steps'!$B156:$U156,'changes2_based on steps'!$B$1:$U$1,Y$1)</f>
        <v>0</v>
      </c>
      <c r="Z156" s="179">
        <f>SUMIFS('recurring2_based on steps'!$B156:$AY156,'recurring2_based on steps'!$B$1:$AY$1,Z$1)+SUMIFS('changes2_based on steps'!$B156:$U156,'changes2_based on steps'!$B$1:$U$1,Z$1)</f>
        <v>0</v>
      </c>
      <c r="AA156" s="179">
        <f>SUMIFS('recurring2_based on steps'!$B156:$AY156,'recurring2_based on steps'!$B$1:$AY$1,AA$1)+SUMIFS('changes2_based on steps'!$B156:$U156,'changes2_based on steps'!$B$1:$U$1,AA$1)</f>
        <v>0</v>
      </c>
      <c r="AB156" s="179">
        <f>SUMIFS('recurring2_based on steps'!$B156:$AY156,'recurring2_based on steps'!$B$1:$AY$1,AB$1)+SUMIFS('changes2_based on steps'!$B156:$U156,'changes2_based on steps'!$B$1:$U$1,AB$1)</f>
        <v>0</v>
      </c>
      <c r="AC156" s="179">
        <f>SUMIFS('recurring2_based on steps'!$B156:$AY156,'recurring2_based on steps'!$B$1:$AY$1,AC$1)+SUMIFS('changes2_based on steps'!$B156:$U156,'changes2_based on steps'!$B$1:$U$1,AC$1)</f>
        <v>0</v>
      </c>
      <c r="AD156" s="179">
        <f>SUMIFS('recurring2_based on steps'!$B156:$AY156,'recurring2_based on steps'!$B$1:$AY$1,AD$1)+SUMIFS('changes2_based on steps'!$B156:$U156,'changes2_based on steps'!$B$1:$U$1,AD$1)</f>
        <v>0</v>
      </c>
      <c r="AE156" s="179">
        <f>SUMIFS('recurring2_based on steps'!$B156:$AY156,'recurring2_based on steps'!$B$1:$AY$1,AE$1)+SUMIFS('changes2_based on steps'!$B156:$U156,'changes2_based on steps'!$B$1:$U$1,AE$1)</f>
        <v>0</v>
      </c>
      <c r="AF156" s="179"/>
      <c r="AG156" s="179"/>
      <c r="AH156" s="179"/>
      <c r="AI156" s="179"/>
      <c r="AJ156" s="179"/>
      <c r="AK156" s="179"/>
      <c r="AL156" s="179"/>
      <c r="AM156" s="179"/>
    </row>
    <row r="157" spans="1:39" x14ac:dyDescent="0.2">
      <c r="A157" s="32">
        <f t="shared" ca="1" si="2"/>
        <v>45906</v>
      </c>
      <c r="B157" s="179">
        <f>SUMIFS('recurring2_based on steps'!$B157:$AY157,'recurring2_based on steps'!$B$1:$AY$1,B$1)+SUMIFS('changes2_based on steps'!$B157:$U157,'changes2_based on steps'!$B$1:$U$1,B$1)</f>
        <v>0</v>
      </c>
      <c r="C157" s="179">
        <f>SUMIFS('recurring2_based on steps'!$B157:$AY157,'recurring2_based on steps'!$B$1:$AY$1,C$1)+SUMIFS('changes2_based on steps'!$B157:$U157,'changes2_based on steps'!$B$1:$U$1,C$1)</f>
        <v>0</v>
      </c>
      <c r="D157" s="179">
        <f>SUMIFS('recurring2_based on steps'!$B157:$AY157,'recurring2_based on steps'!$B$1:$AY$1,D$1)+SUMIFS('changes2_based on steps'!$B157:$U157,'changes2_based on steps'!$B$1:$U$1,D$1)</f>
        <v>0</v>
      </c>
      <c r="E157" s="179">
        <f>SUMIFS('recurring2_based on steps'!$B157:$AY157,'recurring2_based on steps'!$B$1:$AY$1,E$1)+SUMIFS('changes2_based on steps'!$B157:$U157,'changes2_based on steps'!$B$1:$U$1,E$1)</f>
        <v>0</v>
      </c>
      <c r="F157" s="179">
        <f>SUMIFS('recurring2_based on steps'!$B157:$AY157,'recurring2_based on steps'!$B$1:$AY$1,F$1)+SUMIFS('changes2_based on steps'!$B157:$U157,'changes2_based on steps'!$B$1:$U$1,F$1)</f>
        <v>0</v>
      </c>
      <c r="G157" s="179">
        <f>SUMIFS('recurring2_based on steps'!$B157:$AY157,'recurring2_based on steps'!$B$1:$AY$1,G$1)+SUMIFS('changes2_based on steps'!$B157:$U157,'changes2_based on steps'!$B$1:$U$1,G$1)</f>
        <v>0</v>
      </c>
      <c r="H157" s="179">
        <f>SUMIFS('recurring2_based on steps'!$B157:$AY157,'recurring2_based on steps'!$B$1:$AY$1,H$1)+SUMIFS('changes2_based on steps'!$B157:$U157,'changes2_based on steps'!$B$1:$U$1,H$1)</f>
        <v>0</v>
      </c>
      <c r="I157" s="179">
        <f>SUMIFS('recurring2_based on steps'!$B157:$AY157,'recurring2_based on steps'!$B$1:$AY$1,I$1)+SUMIFS('changes2_based on steps'!$B157:$U157,'changes2_based on steps'!$B$1:$U$1,I$1)</f>
        <v>0</v>
      </c>
      <c r="J157" s="179">
        <f>SUMIFS('recurring2_based on steps'!$B157:$AY157,'recurring2_based on steps'!$B$1:$AY$1,J$1)+SUMIFS('changes2_based on steps'!$B157:$U157,'changes2_based on steps'!$B$1:$U$1,J$1)</f>
        <v>0</v>
      </c>
      <c r="K157" s="179">
        <f>SUMIFS('recurring2_based on steps'!$B157:$AY157,'recurring2_based on steps'!$B$1:$AY$1,K$1)+SUMIFS('changes2_based on steps'!$B157:$U157,'changes2_based on steps'!$B$1:$U$1,K$1)</f>
        <v>0</v>
      </c>
      <c r="L157" s="179">
        <f>SUMIFS('recurring2_based on steps'!$B157:$AY157,'recurring2_based on steps'!$B$1:$AY$1,L$1)+SUMIFS('changes2_based on steps'!$B157:$U157,'changes2_based on steps'!$B$1:$U$1,L$1)</f>
        <v>0</v>
      </c>
      <c r="M157" s="179">
        <f>SUMIFS('recurring2_based on steps'!$B157:$AY157,'recurring2_based on steps'!$B$1:$AY$1,M$1)+SUMIFS('changes2_based on steps'!$B157:$U157,'changes2_based on steps'!$B$1:$U$1,M$1)</f>
        <v>0</v>
      </c>
      <c r="N157" s="179">
        <f>SUMIFS('recurring2_based on steps'!$B157:$AY157,'recurring2_based on steps'!$B$1:$AY$1,N$1)+SUMIFS('changes2_based on steps'!$B157:$U157,'changes2_based on steps'!$B$1:$U$1,N$1)</f>
        <v>0</v>
      </c>
      <c r="O157" s="179">
        <f>SUMIFS('recurring2_based on steps'!$B157:$AY157,'recurring2_based on steps'!$B$1:$AY$1,O$1)+SUMIFS('changes2_based on steps'!$B157:$U157,'changes2_based on steps'!$B$1:$U$1,O$1)</f>
        <v>0</v>
      </c>
      <c r="P157" s="179">
        <f>SUMIFS('recurring2_based on steps'!$B157:$AY157,'recurring2_based on steps'!$B$1:$AY$1,P$1)+SUMIFS('changes2_based on steps'!$B157:$U157,'changes2_based on steps'!$B$1:$U$1,P$1)</f>
        <v>0</v>
      </c>
      <c r="Q157" s="179">
        <f>SUMIFS('recurring2_based on steps'!$B157:$AY157,'recurring2_based on steps'!$B$1:$AY$1,Q$1)+SUMIFS('changes2_based on steps'!$B157:$U157,'changes2_based on steps'!$B$1:$U$1,Q$1)</f>
        <v>0</v>
      </c>
      <c r="R157" s="179">
        <f>SUMIFS('recurring2_based on steps'!$B157:$AY157,'recurring2_based on steps'!$B$1:$AY$1,R$1)+SUMIFS('changes2_based on steps'!$B157:$U157,'changes2_based on steps'!$B$1:$U$1,R$1)</f>
        <v>0</v>
      </c>
      <c r="S157" s="179">
        <f>SUMIFS('recurring2_based on steps'!$B157:$AY157,'recurring2_based on steps'!$B$1:$AY$1,S$1)+SUMIFS('changes2_based on steps'!$B157:$U157,'changes2_based on steps'!$B$1:$U$1,S$1)</f>
        <v>0</v>
      </c>
      <c r="T157" s="179">
        <f>SUMIFS('recurring2_based on steps'!$B157:$AY157,'recurring2_based on steps'!$B$1:$AY$1,T$1)+SUMIFS('changes2_based on steps'!$B157:$U157,'changes2_based on steps'!$B$1:$U$1,T$1)</f>
        <v>0</v>
      </c>
      <c r="U157" s="179">
        <f>SUMIFS('recurring2_based on steps'!$B157:$AY157,'recurring2_based on steps'!$B$1:$AY$1,U$1)+SUMIFS('changes2_based on steps'!$B157:$U157,'changes2_based on steps'!$B$1:$U$1,U$1)</f>
        <v>0</v>
      </c>
      <c r="V157" s="179">
        <f>SUMIFS('recurring2_based on steps'!$B157:$AY157,'recurring2_based on steps'!$B$1:$AY$1,V$1)+SUMIFS('changes2_based on steps'!$B157:$U157,'changes2_based on steps'!$B$1:$U$1,V$1)</f>
        <v>0</v>
      </c>
      <c r="W157" s="179">
        <f>SUMIFS('recurring2_based on steps'!$B157:$AY157,'recurring2_based on steps'!$B$1:$AY$1,W$1)+SUMIFS('changes2_based on steps'!$B157:$U157,'changes2_based on steps'!$B$1:$U$1,W$1)</f>
        <v>0</v>
      </c>
      <c r="X157" s="179">
        <f>SUMIFS('recurring2_based on steps'!$B157:$AY157,'recurring2_based on steps'!$B$1:$AY$1,X$1)+SUMIFS('changes2_based on steps'!$B157:$U157,'changes2_based on steps'!$B$1:$U$1,X$1)</f>
        <v>0</v>
      </c>
      <c r="Y157" s="179">
        <f>SUMIFS('recurring2_based on steps'!$B157:$AY157,'recurring2_based on steps'!$B$1:$AY$1,Y$1)+SUMIFS('changes2_based on steps'!$B157:$U157,'changes2_based on steps'!$B$1:$U$1,Y$1)</f>
        <v>0</v>
      </c>
      <c r="Z157" s="179">
        <f>SUMIFS('recurring2_based on steps'!$B157:$AY157,'recurring2_based on steps'!$B$1:$AY$1,Z$1)+SUMIFS('changes2_based on steps'!$B157:$U157,'changes2_based on steps'!$B$1:$U$1,Z$1)</f>
        <v>0</v>
      </c>
      <c r="AA157" s="179">
        <f>SUMIFS('recurring2_based on steps'!$B157:$AY157,'recurring2_based on steps'!$B$1:$AY$1,AA$1)+SUMIFS('changes2_based on steps'!$B157:$U157,'changes2_based on steps'!$B$1:$U$1,AA$1)</f>
        <v>0</v>
      </c>
      <c r="AB157" s="179">
        <f>SUMIFS('recurring2_based on steps'!$B157:$AY157,'recurring2_based on steps'!$B$1:$AY$1,AB$1)+SUMIFS('changes2_based on steps'!$B157:$U157,'changes2_based on steps'!$B$1:$U$1,AB$1)</f>
        <v>0</v>
      </c>
      <c r="AC157" s="179">
        <f>SUMIFS('recurring2_based on steps'!$B157:$AY157,'recurring2_based on steps'!$B$1:$AY$1,AC$1)+SUMIFS('changes2_based on steps'!$B157:$U157,'changes2_based on steps'!$B$1:$U$1,AC$1)</f>
        <v>0</v>
      </c>
      <c r="AD157" s="179">
        <f>SUMIFS('recurring2_based on steps'!$B157:$AY157,'recurring2_based on steps'!$B$1:$AY$1,AD$1)+SUMIFS('changes2_based on steps'!$B157:$U157,'changes2_based on steps'!$B$1:$U$1,AD$1)</f>
        <v>0</v>
      </c>
      <c r="AE157" s="179">
        <f>SUMIFS('recurring2_based on steps'!$B157:$AY157,'recurring2_based on steps'!$B$1:$AY$1,AE$1)+SUMIFS('changes2_based on steps'!$B157:$U157,'changes2_based on steps'!$B$1:$U$1,AE$1)</f>
        <v>0</v>
      </c>
      <c r="AF157" s="179"/>
      <c r="AG157" s="179"/>
      <c r="AH157" s="179"/>
      <c r="AI157" s="179"/>
      <c r="AJ157" s="179"/>
      <c r="AK157" s="179"/>
      <c r="AL157" s="179"/>
      <c r="AM157" s="179"/>
    </row>
    <row r="158" spans="1:39" x14ac:dyDescent="0.2">
      <c r="A158" s="32">
        <f t="shared" ca="1" si="2"/>
        <v>45907</v>
      </c>
      <c r="B158" s="179">
        <f>SUMIFS('recurring2_based on steps'!$B158:$AY158,'recurring2_based on steps'!$B$1:$AY$1,B$1)+SUMIFS('changes2_based on steps'!$B158:$U158,'changes2_based on steps'!$B$1:$U$1,B$1)</f>
        <v>0</v>
      </c>
      <c r="C158" s="179">
        <f>SUMIFS('recurring2_based on steps'!$B158:$AY158,'recurring2_based on steps'!$B$1:$AY$1,C$1)+SUMIFS('changes2_based on steps'!$B158:$U158,'changes2_based on steps'!$B$1:$U$1,C$1)</f>
        <v>0</v>
      </c>
      <c r="D158" s="179">
        <f>SUMIFS('recurring2_based on steps'!$B158:$AY158,'recurring2_based on steps'!$B$1:$AY$1,D$1)+SUMIFS('changes2_based on steps'!$B158:$U158,'changes2_based on steps'!$B$1:$U$1,D$1)</f>
        <v>0</v>
      </c>
      <c r="E158" s="179">
        <f>SUMIFS('recurring2_based on steps'!$B158:$AY158,'recurring2_based on steps'!$B$1:$AY$1,E$1)+SUMIFS('changes2_based on steps'!$B158:$U158,'changes2_based on steps'!$B$1:$U$1,E$1)</f>
        <v>0</v>
      </c>
      <c r="F158" s="179">
        <f>SUMIFS('recurring2_based on steps'!$B158:$AY158,'recurring2_based on steps'!$B$1:$AY$1,F$1)+SUMIFS('changes2_based on steps'!$B158:$U158,'changes2_based on steps'!$B$1:$U$1,F$1)</f>
        <v>0</v>
      </c>
      <c r="G158" s="179">
        <f>SUMIFS('recurring2_based on steps'!$B158:$AY158,'recurring2_based on steps'!$B$1:$AY$1,G$1)+SUMIFS('changes2_based on steps'!$B158:$U158,'changes2_based on steps'!$B$1:$U$1,G$1)</f>
        <v>0</v>
      </c>
      <c r="H158" s="179">
        <f>SUMIFS('recurring2_based on steps'!$B158:$AY158,'recurring2_based on steps'!$B$1:$AY$1,H$1)+SUMIFS('changes2_based on steps'!$B158:$U158,'changes2_based on steps'!$B$1:$U$1,H$1)</f>
        <v>0</v>
      </c>
      <c r="I158" s="179">
        <f>SUMIFS('recurring2_based on steps'!$B158:$AY158,'recurring2_based on steps'!$B$1:$AY$1,I$1)+SUMIFS('changes2_based on steps'!$B158:$U158,'changes2_based on steps'!$B$1:$U$1,I$1)</f>
        <v>0</v>
      </c>
      <c r="J158" s="179">
        <f>SUMIFS('recurring2_based on steps'!$B158:$AY158,'recurring2_based on steps'!$B$1:$AY$1,J$1)+SUMIFS('changes2_based on steps'!$B158:$U158,'changes2_based on steps'!$B$1:$U$1,J$1)</f>
        <v>0</v>
      </c>
      <c r="K158" s="179">
        <f>SUMIFS('recurring2_based on steps'!$B158:$AY158,'recurring2_based on steps'!$B$1:$AY$1,K$1)+SUMIFS('changes2_based on steps'!$B158:$U158,'changes2_based on steps'!$B$1:$U$1,K$1)</f>
        <v>0</v>
      </c>
      <c r="L158" s="179">
        <f>SUMIFS('recurring2_based on steps'!$B158:$AY158,'recurring2_based on steps'!$B$1:$AY$1,L$1)+SUMIFS('changes2_based on steps'!$B158:$U158,'changes2_based on steps'!$B$1:$U$1,L$1)</f>
        <v>0</v>
      </c>
      <c r="M158" s="179">
        <f>SUMIFS('recurring2_based on steps'!$B158:$AY158,'recurring2_based on steps'!$B$1:$AY$1,M$1)+SUMIFS('changes2_based on steps'!$B158:$U158,'changes2_based on steps'!$B$1:$U$1,M$1)</f>
        <v>0</v>
      </c>
      <c r="N158" s="179">
        <f>SUMIFS('recurring2_based on steps'!$B158:$AY158,'recurring2_based on steps'!$B$1:$AY$1,N$1)+SUMIFS('changes2_based on steps'!$B158:$U158,'changes2_based on steps'!$B$1:$U$1,N$1)</f>
        <v>0</v>
      </c>
      <c r="O158" s="179">
        <f>SUMIFS('recurring2_based on steps'!$B158:$AY158,'recurring2_based on steps'!$B$1:$AY$1,O$1)+SUMIFS('changes2_based on steps'!$B158:$U158,'changes2_based on steps'!$B$1:$U$1,O$1)</f>
        <v>0</v>
      </c>
      <c r="P158" s="179">
        <f>SUMIFS('recurring2_based on steps'!$B158:$AY158,'recurring2_based on steps'!$B$1:$AY$1,P$1)+SUMIFS('changes2_based on steps'!$B158:$U158,'changes2_based on steps'!$B$1:$U$1,P$1)</f>
        <v>0</v>
      </c>
      <c r="Q158" s="179">
        <f>SUMIFS('recurring2_based on steps'!$B158:$AY158,'recurring2_based on steps'!$B$1:$AY$1,Q$1)+SUMIFS('changes2_based on steps'!$B158:$U158,'changes2_based on steps'!$B$1:$U$1,Q$1)</f>
        <v>0</v>
      </c>
      <c r="R158" s="179">
        <f>SUMIFS('recurring2_based on steps'!$B158:$AY158,'recurring2_based on steps'!$B$1:$AY$1,R$1)+SUMIFS('changes2_based on steps'!$B158:$U158,'changes2_based on steps'!$B$1:$U$1,R$1)</f>
        <v>0</v>
      </c>
      <c r="S158" s="179">
        <f>SUMIFS('recurring2_based on steps'!$B158:$AY158,'recurring2_based on steps'!$B$1:$AY$1,S$1)+SUMIFS('changes2_based on steps'!$B158:$U158,'changes2_based on steps'!$B$1:$U$1,S$1)</f>
        <v>0</v>
      </c>
      <c r="T158" s="179">
        <f>SUMIFS('recurring2_based on steps'!$B158:$AY158,'recurring2_based on steps'!$B$1:$AY$1,T$1)+SUMIFS('changes2_based on steps'!$B158:$U158,'changes2_based on steps'!$B$1:$U$1,T$1)</f>
        <v>0</v>
      </c>
      <c r="U158" s="179">
        <f>SUMIFS('recurring2_based on steps'!$B158:$AY158,'recurring2_based on steps'!$B$1:$AY$1,U$1)+SUMIFS('changes2_based on steps'!$B158:$U158,'changes2_based on steps'!$B$1:$U$1,U$1)</f>
        <v>0</v>
      </c>
      <c r="V158" s="179">
        <f>SUMIFS('recurring2_based on steps'!$B158:$AY158,'recurring2_based on steps'!$B$1:$AY$1,V$1)+SUMIFS('changes2_based on steps'!$B158:$U158,'changes2_based on steps'!$B$1:$U$1,V$1)</f>
        <v>0</v>
      </c>
      <c r="W158" s="179">
        <f>SUMIFS('recurring2_based on steps'!$B158:$AY158,'recurring2_based on steps'!$B$1:$AY$1,W$1)+SUMIFS('changes2_based on steps'!$B158:$U158,'changes2_based on steps'!$B$1:$U$1,W$1)</f>
        <v>0</v>
      </c>
      <c r="X158" s="179">
        <f>SUMIFS('recurring2_based on steps'!$B158:$AY158,'recurring2_based on steps'!$B$1:$AY$1,X$1)+SUMIFS('changes2_based on steps'!$B158:$U158,'changes2_based on steps'!$B$1:$U$1,X$1)</f>
        <v>0</v>
      </c>
      <c r="Y158" s="179">
        <f>SUMIFS('recurring2_based on steps'!$B158:$AY158,'recurring2_based on steps'!$B$1:$AY$1,Y$1)+SUMIFS('changes2_based on steps'!$B158:$U158,'changes2_based on steps'!$B$1:$U$1,Y$1)</f>
        <v>0</v>
      </c>
      <c r="Z158" s="179">
        <f>SUMIFS('recurring2_based on steps'!$B158:$AY158,'recurring2_based on steps'!$B$1:$AY$1,Z$1)+SUMIFS('changes2_based on steps'!$B158:$U158,'changes2_based on steps'!$B$1:$U$1,Z$1)</f>
        <v>0</v>
      </c>
      <c r="AA158" s="179">
        <f>SUMIFS('recurring2_based on steps'!$B158:$AY158,'recurring2_based on steps'!$B$1:$AY$1,AA$1)+SUMIFS('changes2_based on steps'!$B158:$U158,'changes2_based on steps'!$B$1:$U$1,AA$1)</f>
        <v>0</v>
      </c>
      <c r="AB158" s="179">
        <f>SUMIFS('recurring2_based on steps'!$B158:$AY158,'recurring2_based on steps'!$B$1:$AY$1,AB$1)+SUMIFS('changes2_based on steps'!$B158:$U158,'changes2_based on steps'!$B$1:$U$1,AB$1)</f>
        <v>0</v>
      </c>
      <c r="AC158" s="179">
        <f>SUMIFS('recurring2_based on steps'!$B158:$AY158,'recurring2_based on steps'!$B$1:$AY$1,AC$1)+SUMIFS('changes2_based on steps'!$B158:$U158,'changes2_based on steps'!$B$1:$U$1,AC$1)</f>
        <v>0</v>
      </c>
      <c r="AD158" s="179">
        <f>SUMIFS('recurring2_based on steps'!$B158:$AY158,'recurring2_based on steps'!$B$1:$AY$1,AD$1)+SUMIFS('changes2_based on steps'!$B158:$U158,'changes2_based on steps'!$B$1:$U$1,AD$1)</f>
        <v>0</v>
      </c>
      <c r="AE158" s="179">
        <f>SUMIFS('recurring2_based on steps'!$B158:$AY158,'recurring2_based on steps'!$B$1:$AY$1,AE$1)+SUMIFS('changes2_based on steps'!$B158:$U158,'changes2_based on steps'!$B$1:$U$1,AE$1)</f>
        <v>0</v>
      </c>
      <c r="AF158" s="179"/>
      <c r="AG158" s="179"/>
      <c r="AH158" s="179"/>
      <c r="AI158" s="179"/>
      <c r="AJ158" s="179"/>
      <c r="AK158" s="179"/>
      <c r="AL158" s="179"/>
      <c r="AM158" s="179"/>
    </row>
    <row r="159" spans="1:39" x14ac:dyDescent="0.2">
      <c r="A159" s="32">
        <f t="shared" ca="1" si="2"/>
        <v>45908</v>
      </c>
      <c r="B159" s="179">
        <f>SUMIFS('recurring2_based on steps'!$B159:$AY159,'recurring2_based on steps'!$B$1:$AY$1,B$1)+SUMIFS('changes2_based on steps'!$B159:$U159,'changes2_based on steps'!$B$1:$U$1,B$1)</f>
        <v>0</v>
      </c>
      <c r="C159" s="179">
        <f>SUMIFS('recurring2_based on steps'!$B159:$AY159,'recurring2_based on steps'!$B$1:$AY$1,C$1)+SUMIFS('changes2_based on steps'!$B159:$U159,'changes2_based on steps'!$B$1:$U$1,C$1)</f>
        <v>0</v>
      </c>
      <c r="D159" s="179">
        <f>SUMIFS('recurring2_based on steps'!$B159:$AY159,'recurring2_based on steps'!$B$1:$AY$1,D$1)+SUMIFS('changes2_based on steps'!$B159:$U159,'changes2_based on steps'!$B$1:$U$1,D$1)</f>
        <v>0</v>
      </c>
      <c r="E159" s="179">
        <f>SUMIFS('recurring2_based on steps'!$B159:$AY159,'recurring2_based on steps'!$B$1:$AY$1,E$1)+SUMIFS('changes2_based on steps'!$B159:$U159,'changes2_based on steps'!$B$1:$U$1,E$1)</f>
        <v>0</v>
      </c>
      <c r="F159" s="179">
        <f>SUMIFS('recurring2_based on steps'!$B159:$AY159,'recurring2_based on steps'!$B$1:$AY$1,F$1)+SUMIFS('changes2_based on steps'!$B159:$U159,'changes2_based on steps'!$B$1:$U$1,F$1)</f>
        <v>0</v>
      </c>
      <c r="G159" s="179">
        <f>SUMIFS('recurring2_based on steps'!$B159:$AY159,'recurring2_based on steps'!$B$1:$AY$1,G$1)+SUMIFS('changes2_based on steps'!$B159:$U159,'changes2_based on steps'!$B$1:$U$1,G$1)</f>
        <v>0</v>
      </c>
      <c r="H159" s="179">
        <f>SUMIFS('recurring2_based on steps'!$B159:$AY159,'recurring2_based on steps'!$B$1:$AY$1,H$1)+SUMIFS('changes2_based on steps'!$B159:$U159,'changes2_based on steps'!$B$1:$U$1,H$1)</f>
        <v>0</v>
      </c>
      <c r="I159" s="179">
        <f>SUMIFS('recurring2_based on steps'!$B159:$AY159,'recurring2_based on steps'!$B$1:$AY$1,I$1)+SUMIFS('changes2_based on steps'!$B159:$U159,'changes2_based on steps'!$B$1:$U$1,I$1)</f>
        <v>0</v>
      </c>
      <c r="J159" s="179">
        <f>SUMIFS('recurring2_based on steps'!$B159:$AY159,'recurring2_based on steps'!$B$1:$AY$1,J$1)+SUMIFS('changes2_based on steps'!$B159:$U159,'changes2_based on steps'!$B$1:$U$1,J$1)</f>
        <v>0</v>
      </c>
      <c r="K159" s="179">
        <f>SUMIFS('recurring2_based on steps'!$B159:$AY159,'recurring2_based on steps'!$B$1:$AY$1,K$1)+SUMIFS('changes2_based on steps'!$B159:$U159,'changes2_based on steps'!$B$1:$U$1,K$1)</f>
        <v>0</v>
      </c>
      <c r="L159" s="179">
        <f>SUMIFS('recurring2_based on steps'!$B159:$AY159,'recurring2_based on steps'!$B$1:$AY$1,L$1)+SUMIFS('changes2_based on steps'!$B159:$U159,'changes2_based on steps'!$B$1:$U$1,L$1)</f>
        <v>0</v>
      </c>
      <c r="M159" s="179">
        <f>SUMIFS('recurring2_based on steps'!$B159:$AY159,'recurring2_based on steps'!$B$1:$AY$1,M$1)+SUMIFS('changes2_based on steps'!$B159:$U159,'changes2_based on steps'!$B$1:$U$1,M$1)</f>
        <v>0</v>
      </c>
      <c r="N159" s="179">
        <f>SUMIFS('recurring2_based on steps'!$B159:$AY159,'recurring2_based on steps'!$B$1:$AY$1,N$1)+SUMIFS('changes2_based on steps'!$B159:$U159,'changes2_based on steps'!$B$1:$U$1,N$1)</f>
        <v>0</v>
      </c>
      <c r="O159" s="179">
        <f>SUMIFS('recurring2_based on steps'!$B159:$AY159,'recurring2_based on steps'!$B$1:$AY$1,O$1)+SUMIFS('changes2_based on steps'!$B159:$U159,'changes2_based on steps'!$B$1:$U$1,O$1)</f>
        <v>0</v>
      </c>
      <c r="P159" s="179">
        <f>SUMIFS('recurring2_based on steps'!$B159:$AY159,'recurring2_based on steps'!$B$1:$AY$1,P$1)+SUMIFS('changes2_based on steps'!$B159:$U159,'changes2_based on steps'!$B$1:$U$1,P$1)</f>
        <v>0</v>
      </c>
      <c r="Q159" s="179">
        <f>SUMIFS('recurring2_based on steps'!$B159:$AY159,'recurring2_based on steps'!$B$1:$AY$1,Q$1)+SUMIFS('changes2_based on steps'!$B159:$U159,'changes2_based on steps'!$B$1:$U$1,Q$1)</f>
        <v>0</v>
      </c>
      <c r="R159" s="179">
        <f>SUMIFS('recurring2_based on steps'!$B159:$AY159,'recurring2_based on steps'!$B$1:$AY$1,R$1)+SUMIFS('changes2_based on steps'!$B159:$U159,'changes2_based on steps'!$B$1:$U$1,R$1)</f>
        <v>0</v>
      </c>
      <c r="S159" s="179">
        <f>SUMIFS('recurring2_based on steps'!$B159:$AY159,'recurring2_based on steps'!$B$1:$AY$1,S$1)+SUMIFS('changes2_based on steps'!$B159:$U159,'changes2_based on steps'!$B$1:$U$1,S$1)</f>
        <v>0</v>
      </c>
      <c r="T159" s="179">
        <f>SUMIFS('recurring2_based on steps'!$B159:$AY159,'recurring2_based on steps'!$B$1:$AY$1,T$1)+SUMIFS('changes2_based on steps'!$B159:$U159,'changes2_based on steps'!$B$1:$U$1,T$1)</f>
        <v>0</v>
      </c>
      <c r="U159" s="179">
        <f>SUMIFS('recurring2_based on steps'!$B159:$AY159,'recurring2_based on steps'!$B$1:$AY$1,U$1)+SUMIFS('changes2_based on steps'!$B159:$U159,'changes2_based on steps'!$B$1:$U$1,U$1)</f>
        <v>0</v>
      </c>
      <c r="V159" s="179">
        <f>SUMIFS('recurring2_based on steps'!$B159:$AY159,'recurring2_based on steps'!$B$1:$AY$1,V$1)+SUMIFS('changes2_based on steps'!$B159:$U159,'changes2_based on steps'!$B$1:$U$1,V$1)</f>
        <v>0</v>
      </c>
      <c r="W159" s="179">
        <f>SUMIFS('recurring2_based on steps'!$B159:$AY159,'recurring2_based on steps'!$B$1:$AY$1,W$1)+SUMIFS('changes2_based on steps'!$B159:$U159,'changes2_based on steps'!$B$1:$U$1,W$1)</f>
        <v>0</v>
      </c>
      <c r="X159" s="179">
        <f>SUMIFS('recurring2_based on steps'!$B159:$AY159,'recurring2_based on steps'!$B$1:$AY$1,X$1)+SUMIFS('changes2_based on steps'!$B159:$U159,'changes2_based on steps'!$B$1:$U$1,X$1)</f>
        <v>0</v>
      </c>
      <c r="Y159" s="179">
        <f>SUMIFS('recurring2_based on steps'!$B159:$AY159,'recurring2_based on steps'!$B$1:$AY$1,Y$1)+SUMIFS('changes2_based on steps'!$B159:$U159,'changes2_based on steps'!$B$1:$U$1,Y$1)</f>
        <v>0</v>
      </c>
      <c r="Z159" s="179">
        <f>SUMIFS('recurring2_based on steps'!$B159:$AY159,'recurring2_based on steps'!$B$1:$AY$1,Z$1)+SUMIFS('changes2_based on steps'!$B159:$U159,'changes2_based on steps'!$B$1:$U$1,Z$1)</f>
        <v>0</v>
      </c>
      <c r="AA159" s="179">
        <f>SUMIFS('recurring2_based on steps'!$B159:$AY159,'recurring2_based on steps'!$B$1:$AY$1,AA$1)+SUMIFS('changes2_based on steps'!$B159:$U159,'changes2_based on steps'!$B$1:$U$1,AA$1)</f>
        <v>0</v>
      </c>
      <c r="AB159" s="179">
        <f>SUMIFS('recurring2_based on steps'!$B159:$AY159,'recurring2_based on steps'!$B$1:$AY$1,AB$1)+SUMIFS('changes2_based on steps'!$B159:$U159,'changes2_based on steps'!$B$1:$U$1,AB$1)</f>
        <v>0</v>
      </c>
      <c r="AC159" s="179">
        <f>SUMIFS('recurring2_based on steps'!$B159:$AY159,'recurring2_based on steps'!$B$1:$AY$1,AC$1)+SUMIFS('changes2_based on steps'!$B159:$U159,'changes2_based on steps'!$B$1:$U$1,AC$1)</f>
        <v>0</v>
      </c>
      <c r="AD159" s="179">
        <f>SUMIFS('recurring2_based on steps'!$B159:$AY159,'recurring2_based on steps'!$B$1:$AY$1,AD$1)+SUMIFS('changes2_based on steps'!$B159:$U159,'changes2_based on steps'!$B$1:$U$1,AD$1)</f>
        <v>0</v>
      </c>
      <c r="AE159" s="179">
        <f>SUMIFS('recurring2_based on steps'!$B159:$AY159,'recurring2_based on steps'!$B$1:$AY$1,AE$1)+SUMIFS('changes2_based on steps'!$B159:$U159,'changes2_based on steps'!$B$1:$U$1,AE$1)</f>
        <v>0</v>
      </c>
      <c r="AF159" s="179"/>
      <c r="AG159" s="179"/>
      <c r="AH159" s="179"/>
      <c r="AI159" s="179"/>
      <c r="AJ159" s="179"/>
      <c r="AK159" s="179"/>
      <c r="AL159" s="179"/>
      <c r="AM159" s="179"/>
    </row>
    <row r="160" spans="1:39" x14ac:dyDescent="0.2">
      <c r="A160" s="32">
        <f t="shared" ca="1" si="2"/>
        <v>45909</v>
      </c>
      <c r="B160" s="179">
        <f>SUMIFS('recurring2_based on steps'!$B160:$AY160,'recurring2_based on steps'!$B$1:$AY$1,B$1)+SUMIFS('changes2_based on steps'!$B160:$U160,'changes2_based on steps'!$B$1:$U$1,B$1)</f>
        <v>0</v>
      </c>
      <c r="C160" s="179">
        <f>SUMIFS('recurring2_based on steps'!$B160:$AY160,'recurring2_based on steps'!$B$1:$AY$1,C$1)+SUMIFS('changes2_based on steps'!$B160:$U160,'changes2_based on steps'!$B$1:$U$1,C$1)</f>
        <v>0</v>
      </c>
      <c r="D160" s="179">
        <f>SUMIFS('recurring2_based on steps'!$B160:$AY160,'recurring2_based on steps'!$B$1:$AY$1,D$1)+SUMIFS('changes2_based on steps'!$B160:$U160,'changes2_based on steps'!$B$1:$U$1,D$1)</f>
        <v>0</v>
      </c>
      <c r="E160" s="179">
        <f>SUMIFS('recurring2_based on steps'!$B160:$AY160,'recurring2_based on steps'!$B$1:$AY$1,E$1)+SUMIFS('changes2_based on steps'!$B160:$U160,'changes2_based on steps'!$B$1:$U$1,E$1)</f>
        <v>0</v>
      </c>
      <c r="F160" s="179">
        <f>SUMIFS('recurring2_based on steps'!$B160:$AY160,'recurring2_based on steps'!$B$1:$AY$1,F$1)+SUMIFS('changes2_based on steps'!$B160:$U160,'changes2_based on steps'!$B$1:$U$1,F$1)</f>
        <v>0</v>
      </c>
      <c r="G160" s="179">
        <f>SUMIFS('recurring2_based on steps'!$B160:$AY160,'recurring2_based on steps'!$B$1:$AY$1,G$1)+SUMIFS('changes2_based on steps'!$B160:$U160,'changes2_based on steps'!$B$1:$U$1,G$1)</f>
        <v>0</v>
      </c>
      <c r="H160" s="179">
        <f>SUMIFS('recurring2_based on steps'!$B160:$AY160,'recurring2_based on steps'!$B$1:$AY$1,H$1)+SUMIFS('changes2_based on steps'!$B160:$U160,'changes2_based on steps'!$B$1:$U$1,H$1)</f>
        <v>0</v>
      </c>
      <c r="I160" s="179">
        <f>SUMIFS('recurring2_based on steps'!$B160:$AY160,'recurring2_based on steps'!$B$1:$AY$1,I$1)+SUMIFS('changes2_based on steps'!$B160:$U160,'changes2_based on steps'!$B$1:$U$1,I$1)</f>
        <v>0</v>
      </c>
      <c r="J160" s="179">
        <f>SUMIFS('recurring2_based on steps'!$B160:$AY160,'recurring2_based on steps'!$B$1:$AY$1,J$1)+SUMIFS('changes2_based on steps'!$B160:$U160,'changes2_based on steps'!$B$1:$U$1,J$1)</f>
        <v>0</v>
      </c>
      <c r="K160" s="179">
        <f>SUMIFS('recurring2_based on steps'!$B160:$AY160,'recurring2_based on steps'!$B$1:$AY$1,K$1)+SUMIFS('changes2_based on steps'!$B160:$U160,'changes2_based on steps'!$B$1:$U$1,K$1)</f>
        <v>0</v>
      </c>
      <c r="L160" s="179">
        <f>SUMIFS('recurring2_based on steps'!$B160:$AY160,'recurring2_based on steps'!$B$1:$AY$1,L$1)+SUMIFS('changes2_based on steps'!$B160:$U160,'changes2_based on steps'!$B$1:$U$1,L$1)</f>
        <v>0</v>
      </c>
      <c r="M160" s="179">
        <f>SUMIFS('recurring2_based on steps'!$B160:$AY160,'recurring2_based on steps'!$B$1:$AY$1,M$1)+SUMIFS('changes2_based on steps'!$B160:$U160,'changes2_based on steps'!$B$1:$U$1,M$1)</f>
        <v>0</v>
      </c>
      <c r="N160" s="179">
        <f>SUMIFS('recurring2_based on steps'!$B160:$AY160,'recurring2_based on steps'!$B$1:$AY$1,N$1)+SUMIFS('changes2_based on steps'!$B160:$U160,'changes2_based on steps'!$B$1:$U$1,N$1)</f>
        <v>0</v>
      </c>
      <c r="O160" s="179">
        <f>SUMIFS('recurring2_based on steps'!$B160:$AY160,'recurring2_based on steps'!$B$1:$AY$1,O$1)+SUMIFS('changes2_based on steps'!$B160:$U160,'changes2_based on steps'!$B$1:$U$1,O$1)</f>
        <v>0</v>
      </c>
      <c r="P160" s="179">
        <f>SUMIFS('recurring2_based on steps'!$B160:$AY160,'recurring2_based on steps'!$B$1:$AY$1,P$1)+SUMIFS('changes2_based on steps'!$B160:$U160,'changes2_based on steps'!$B$1:$U$1,P$1)</f>
        <v>0</v>
      </c>
      <c r="Q160" s="179">
        <f>SUMIFS('recurring2_based on steps'!$B160:$AY160,'recurring2_based on steps'!$B$1:$AY$1,Q$1)+SUMIFS('changes2_based on steps'!$B160:$U160,'changes2_based on steps'!$B$1:$U$1,Q$1)</f>
        <v>0</v>
      </c>
      <c r="R160" s="179">
        <f>SUMIFS('recurring2_based on steps'!$B160:$AY160,'recurring2_based on steps'!$B$1:$AY$1,R$1)+SUMIFS('changes2_based on steps'!$B160:$U160,'changes2_based on steps'!$B$1:$U$1,R$1)</f>
        <v>0</v>
      </c>
      <c r="S160" s="179">
        <f>SUMIFS('recurring2_based on steps'!$B160:$AY160,'recurring2_based on steps'!$B$1:$AY$1,S$1)+SUMIFS('changes2_based on steps'!$B160:$U160,'changes2_based on steps'!$B$1:$U$1,S$1)</f>
        <v>0</v>
      </c>
      <c r="T160" s="179">
        <f>SUMIFS('recurring2_based on steps'!$B160:$AY160,'recurring2_based on steps'!$B$1:$AY$1,T$1)+SUMIFS('changes2_based on steps'!$B160:$U160,'changes2_based on steps'!$B$1:$U$1,T$1)</f>
        <v>0</v>
      </c>
      <c r="U160" s="179">
        <f>SUMIFS('recurring2_based on steps'!$B160:$AY160,'recurring2_based on steps'!$B$1:$AY$1,U$1)+SUMIFS('changes2_based on steps'!$B160:$U160,'changes2_based on steps'!$B$1:$U$1,U$1)</f>
        <v>0</v>
      </c>
      <c r="V160" s="179">
        <f>SUMIFS('recurring2_based on steps'!$B160:$AY160,'recurring2_based on steps'!$B$1:$AY$1,V$1)+SUMIFS('changes2_based on steps'!$B160:$U160,'changes2_based on steps'!$B$1:$U$1,V$1)</f>
        <v>0</v>
      </c>
      <c r="W160" s="179">
        <f>SUMIFS('recurring2_based on steps'!$B160:$AY160,'recurring2_based on steps'!$B$1:$AY$1,W$1)+SUMIFS('changes2_based on steps'!$B160:$U160,'changes2_based on steps'!$B$1:$U$1,W$1)</f>
        <v>0</v>
      </c>
      <c r="X160" s="179">
        <f>SUMIFS('recurring2_based on steps'!$B160:$AY160,'recurring2_based on steps'!$B$1:$AY$1,X$1)+SUMIFS('changes2_based on steps'!$B160:$U160,'changes2_based on steps'!$B$1:$U$1,X$1)</f>
        <v>0</v>
      </c>
      <c r="Y160" s="179">
        <f>SUMIFS('recurring2_based on steps'!$B160:$AY160,'recurring2_based on steps'!$B$1:$AY$1,Y$1)+SUMIFS('changes2_based on steps'!$B160:$U160,'changes2_based on steps'!$B$1:$U$1,Y$1)</f>
        <v>0</v>
      </c>
      <c r="Z160" s="179">
        <f>SUMIFS('recurring2_based on steps'!$B160:$AY160,'recurring2_based on steps'!$B$1:$AY$1,Z$1)+SUMIFS('changes2_based on steps'!$B160:$U160,'changes2_based on steps'!$B$1:$U$1,Z$1)</f>
        <v>0</v>
      </c>
      <c r="AA160" s="179">
        <f>SUMIFS('recurring2_based on steps'!$B160:$AY160,'recurring2_based on steps'!$B$1:$AY$1,AA$1)+SUMIFS('changes2_based on steps'!$B160:$U160,'changes2_based on steps'!$B$1:$U$1,AA$1)</f>
        <v>0</v>
      </c>
      <c r="AB160" s="179">
        <f>SUMIFS('recurring2_based on steps'!$B160:$AY160,'recurring2_based on steps'!$B$1:$AY$1,AB$1)+SUMIFS('changes2_based on steps'!$B160:$U160,'changes2_based on steps'!$B$1:$U$1,AB$1)</f>
        <v>0</v>
      </c>
      <c r="AC160" s="179">
        <f>SUMIFS('recurring2_based on steps'!$B160:$AY160,'recurring2_based on steps'!$B$1:$AY$1,AC$1)+SUMIFS('changes2_based on steps'!$B160:$U160,'changes2_based on steps'!$B$1:$U$1,AC$1)</f>
        <v>0</v>
      </c>
      <c r="AD160" s="179">
        <f>SUMIFS('recurring2_based on steps'!$B160:$AY160,'recurring2_based on steps'!$B$1:$AY$1,AD$1)+SUMIFS('changes2_based on steps'!$B160:$U160,'changes2_based on steps'!$B$1:$U$1,AD$1)</f>
        <v>0</v>
      </c>
      <c r="AE160" s="179">
        <f>SUMIFS('recurring2_based on steps'!$B160:$AY160,'recurring2_based on steps'!$B$1:$AY$1,AE$1)+SUMIFS('changes2_based on steps'!$B160:$U160,'changes2_based on steps'!$B$1:$U$1,AE$1)</f>
        <v>0</v>
      </c>
      <c r="AF160" s="179"/>
      <c r="AG160" s="179"/>
      <c r="AH160" s="179"/>
      <c r="AI160" s="179"/>
      <c r="AJ160" s="179"/>
      <c r="AK160" s="179"/>
      <c r="AL160" s="179"/>
      <c r="AM160" s="179"/>
    </row>
    <row r="161" spans="1:39" x14ac:dyDescent="0.2">
      <c r="A161" s="32">
        <f t="shared" ca="1" si="2"/>
        <v>45910</v>
      </c>
      <c r="B161" s="179">
        <f>SUMIFS('recurring2_based on steps'!$B161:$AY161,'recurring2_based on steps'!$B$1:$AY$1,B$1)+SUMIFS('changes2_based on steps'!$B161:$U161,'changes2_based on steps'!$B$1:$U$1,B$1)</f>
        <v>0</v>
      </c>
      <c r="C161" s="179">
        <f>SUMIFS('recurring2_based on steps'!$B161:$AY161,'recurring2_based on steps'!$B$1:$AY$1,C$1)+SUMIFS('changes2_based on steps'!$B161:$U161,'changes2_based on steps'!$B$1:$U$1,C$1)</f>
        <v>0</v>
      </c>
      <c r="D161" s="179">
        <f>SUMIFS('recurring2_based on steps'!$B161:$AY161,'recurring2_based on steps'!$B$1:$AY$1,D$1)+SUMIFS('changes2_based on steps'!$B161:$U161,'changes2_based on steps'!$B$1:$U$1,D$1)</f>
        <v>0</v>
      </c>
      <c r="E161" s="179">
        <f>SUMIFS('recurring2_based on steps'!$B161:$AY161,'recurring2_based on steps'!$B$1:$AY$1,E$1)+SUMIFS('changes2_based on steps'!$B161:$U161,'changes2_based on steps'!$B$1:$U$1,E$1)</f>
        <v>0</v>
      </c>
      <c r="F161" s="179">
        <f>SUMIFS('recurring2_based on steps'!$B161:$AY161,'recurring2_based on steps'!$B$1:$AY$1,F$1)+SUMIFS('changes2_based on steps'!$B161:$U161,'changes2_based on steps'!$B$1:$U$1,F$1)</f>
        <v>0</v>
      </c>
      <c r="G161" s="179">
        <f>SUMIFS('recurring2_based on steps'!$B161:$AY161,'recurring2_based on steps'!$B$1:$AY$1,G$1)+SUMIFS('changes2_based on steps'!$B161:$U161,'changes2_based on steps'!$B$1:$U$1,G$1)</f>
        <v>0</v>
      </c>
      <c r="H161" s="179">
        <f>SUMIFS('recurring2_based on steps'!$B161:$AY161,'recurring2_based on steps'!$B$1:$AY$1,H$1)+SUMIFS('changes2_based on steps'!$B161:$U161,'changes2_based on steps'!$B$1:$U$1,H$1)</f>
        <v>0</v>
      </c>
      <c r="I161" s="179">
        <f>SUMIFS('recurring2_based on steps'!$B161:$AY161,'recurring2_based on steps'!$B$1:$AY$1,I$1)+SUMIFS('changes2_based on steps'!$B161:$U161,'changes2_based on steps'!$B$1:$U$1,I$1)</f>
        <v>0</v>
      </c>
      <c r="J161" s="179">
        <f>SUMIFS('recurring2_based on steps'!$B161:$AY161,'recurring2_based on steps'!$B$1:$AY$1,J$1)+SUMIFS('changes2_based on steps'!$B161:$U161,'changes2_based on steps'!$B$1:$U$1,J$1)</f>
        <v>0</v>
      </c>
      <c r="K161" s="179">
        <f>SUMIFS('recurring2_based on steps'!$B161:$AY161,'recurring2_based on steps'!$B$1:$AY$1,K$1)+SUMIFS('changes2_based on steps'!$B161:$U161,'changes2_based on steps'!$B$1:$U$1,K$1)</f>
        <v>0</v>
      </c>
      <c r="L161" s="179">
        <f>SUMIFS('recurring2_based on steps'!$B161:$AY161,'recurring2_based on steps'!$B$1:$AY$1,L$1)+SUMIFS('changes2_based on steps'!$B161:$U161,'changes2_based on steps'!$B$1:$U$1,L$1)</f>
        <v>0</v>
      </c>
      <c r="M161" s="179">
        <f>SUMIFS('recurring2_based on steps'!$B161:$AY161,'recurring2_based on steps'!$B$1:$AY$1,M$1)+SUMIFS('changes2_based on steps'!$B161:$U161,'changes2_based on steps'!$B$1:$U$1,M$1)</f>
        <v>0</v>
      </c>
      <c r="N161" s="179">
        <f>SUMIFS('recurring2_based on steps'!$B161:$AY161,'recurring2_based on steps'!$B$1:$AY$1,N$1)+SUMIFS('changes2_based on steps'!$B161:$U161,'changes2_based on steps'!$B$1:$U$1,N$1)</f>
        <v>0</v>
      </c>
      <c r="O161" s="179">
        <f>SUMIFS('recurring2_based on steps'!$B161:$AY161,'recurring2_based on steps'!$B$1:$AY$1,O$1)+SUMIFS('changes2_based on steps'!$B161:$U161,'changes2_based on steps'!$B$1:$U$1,O$1)</f>
        <v>0</v>
      </c>
      <c r="P161" s="179">
        <f>SUMIFS('recurring2_based on steps'!$B161:$AY161,'recurring2_based on steps'!$B$1:$AY$1,P$1)+SUMIFS('changes2_based on steps'!$B161:$U161,'changes2_based on steps'!$B$1:$U$1,P$1)</f>
        <v>0</v>
      </c>
      <c r="Q161" s="179">
        <f>SUMIFS('recurring2_based on steps'!$B161:$AY161,'recurring2_based on steps'!$B$1:$AY$1,Q$1)+SUMIFS('changes2_based on steps'!$B161:$U161,'changes2_based on steps'!$B$1:$U$1,Q$1)</f>
        <v>0</v>
      </c>
      <c r="R161" s="179">
        <f>SUMIFS('recurring2_based on steps'!$B161:$AY161,'recurring2_based on steps'!$B$1:$AY$1,R$1)+SUMIFS('changes2_based on steps'!$B161:$U161,'changes2_based on steps'!$B$1:$U$1,R$1)</f>
        <v>0</v>
      </c>
      <c r="S161" s="179">
        <f>SUMIFS('recurring2_based on steps'!$B161:$AY161,'recurring2_based on steps'!$B$1:$AY$1,S$1)+SUMIFS('changes2_based on steps'!$B161:$U161,'changes2_based on steps'!$B$1:$U$1,S$1)</f>
        <v>0</v>
      </c>
      <c r="T161" s="179">
        <f>SUMIFS('recurring2_based on steps'!$B161:$AY161,'recurring2_based on steps'!$B$1:$AY$1,T$1)+SUMIFS('changes2_based on steps'!$B161:$U161,'changes2_based on steps'!$B$1:$U$1,T$1)</f>
        <v>0</v>
      </c>
      <c r="U161" s="179">
        <f>SUMIFS('recurring2_based on steps'!$B161:$AY161,'recurring2_based on steps'!$B$1:$AY$1,U$1)+SUMIFS('changes2_based on steps'!$B161:$U161,'changes2_based on steps'!$B$1:$U$1,U$1)</f>
        <v>0</v>
      </c>
      <c r="V161" s="179">
        <f>SUMIFS('recurring2_based on steps'!$B161:$AY161,'recurring2_based on steps'!$B$1:$AY$1,V$1)+SUMIFS('changes2_based on steps'!$B161:$U161,'changes2_based on steps'!$B$1:$U$1,V$1)</f>
        <v>0</v>
      </c>
      <c r="W161" s="179">
        <f>SUMIFS('recurring2_based on steps'!$B161:$AY161,'recurring2_based on steps'!$B$1:$AY$1,W$1)+SUMIFS('changes2_based on steps'!$B161:$U161,'changes2_based on steps'!$B$1:$U$1,W$1)</f>
        <v>0</v>
      </c>
      <c r="X161" s="179">
        <f>SUMIFS('recurring2_based on steps'!$B161:$AY161,'recurring2_based on steps'!$B$1:$AY$1,X$1)+SUMIFS('changes2_based on steps'!$B161:$U161,'changes2_based on steps'!$B$1:$U$1,X$1)</f>
        <v>0</v>
      </c>
      <c r="Y161" s="179">
        <f>SUMIFS('recurring2_based on steps'!$B161:$AY161,'recurring2_based on steps'!$B$1:$AY$1,Y$1)+SUMIFS('changes2_based on steps'!$B161:$U161,'changes2_based on steps'!$B$1:$U$1,Y$1)</f>
        <v>0</v>
      </c>
      <c r="Z161" s="179">
        <f>SUMIFS('recurring2_based on steps'!$B161:$AY161,'recurring2_based on steps'!$B$1:$AY$1,Z$1)+SUMIFS('changes2_based on steps'!$B161:$U161,'changes2_based on steps'!$B$1:$U$1,Z$1)</f>
        <v>0</v>
      </c>
      <c r="AA161" s="179">
        <f>SUMIFS('recurring2_based on steps'!$B161:$AY161,'recurring2_based on steps'!$B$1:$AY$1,AA$1)+SUMIFS('changes2_based on steps'!$B161:$U161,'changes2_based on steps'!$B$1:$U$1,AA$1)</f>
        <v>0</v>
      </c>
      <c r="AB161" s="179">
        <f>SUMIFS('recurring2_based on steps'!$B161:$AY161,'recurring2_based on steps'!$B$1:$AY$1,AB$1)+SUMIFS('changes2_based on steps'!$B161:$U161,'changes2_based on steps'!$B$1:$U$1,AB$1)</f>
        <v>0</v>
      </c>
      <c r="AC161" s="179">
        <f>SUMIFS('recurring2_based on steps'!$B161:$AY161,'recurring2_based on steps'!$B$1:$AY$1,AC$1)+SUMIFS('changes2_based on steps'!$B161:$U161,'changes2_based on steps'!$B$1:$U$1,AC$1)</f>
        <v>0</v>
      </c>
      <c r="AD161" s="179">
        <f>SUMIFS('recurring2_based on steps'!$B161:$AY161,'recurring2_based on steps'!$B$1:$AY$1,AD$1)+SUMIFS('changes2_based on steps'!$B161:$U161,'changes2_based on steps'!$B$1:$U$1,AD$1)</f>
        <v>0</v>
      </c>
      <c r="AE161" s="179">
        <f>SUMIFS('recurring2_based on steps'!$B161:$AY161,'recurring2_based on steps'!$B$1:$AY$1,AE$1)+SUMIFS('changes2_based on steps'!$B161:$U161,'changes2_based on steps'!$B$1:$U$1,AE$1)</f>
        <v>0</v>
      </c>
      <c r="AF161" s="179"/>
      <c r="AG161" s="179"/>
      <c r="AH161" s="179"/>
      <c r="AI161" s="179"/>
      <c r="AJ161" s="179"/>
      <c r="AK161" s="179"/>
      <c r="AL161" s="179"/>
      <c r="AM161" s="179"/>
    </row>
    <row r="162" spans="1:39" x14ac:dyDescent="0.2">
      <c r="A162" s="32">
        <f t="shared" ca="1" si="2"/>
        <v>45911</v>
      </c>
      <c r="B162" s="179">
        <f>SUMIFS('recurring2_based on steps'!$B162:$AY162,'recurring2_based on steps'!$B$1:$AY$1,B$1)+SUMIFS('changes2_based on steps'!$B162:$U162,'changes2_based on steps'!$B$1:$U$1,B$1)</f>
        <v>0</v>
      </c>
      <c r="C162" s="179">
        <f>SUMIFS('recurring2_based on steps'!$B162:$AY162,'recurring2_based on steps'!$B$1:$AY$1,C$1)+SUMIFS('changes2_based on steps'!$B162:$U162,'changes2_based on steps'!$B$1:$U$1,C$1)</f>
        <v>0</v>
      </c>
      <c r="D162" s="179">
        <f>SUMIFS('recurring2_based on steps'!$B162:$AY162,'recurring2_based on steps'!$B$1:$AY$1,D$1)+SUMIFS('changes2_based on steps'!$B162:$U162,'changes2_based on steps'!$B$1:$U$1,D$1)</f>
        <v>0</v>
      </c>
      <c r="E162" s="179">
        <f>SUMIFS('recurring2_based on steps'!$B162:$AY162,'recurring2_based on steps'!$B$1:$AY$1,E$1)+SUMIFS('changes2_based on steps'!$B162:$U162,'changes2_based on steps'!$B$1:$U$1,E$1)</f>
        <v>0</v>
      </c>
      <c r="F162" s="179">
        <f>SUMIFS('recurring2_based on steps'!$B162:$AY162,'recurring2_based on steps'!$B$1:$AY$1,F$1)+SUMIFS('changes2_based on steps'!$B162:$U162,'changes2_based on steps'!$B$1:$U$1,F$1)</f>
        <v>0</v>
      </c>
      <c r="G162" s="179">
        <f>SUMIFS('recurring2_based on steps'!$B162:$AY162,'recurring2_based on steps'!$B$1:$AY$1,G$1)+SUMIFS('changes2_based on steps'!$B162:$U162,'changes2_based on steps'!$B$1:$U$1,G$1)</f>
        <v>0</v>
      </c>
      <c r="H162" s="179">
        <f>SUMIFS('recurring2_based on steps'!$B162:$AY162,'recurring2_based on steps'!$B$1:$AY$1,H$1)+SUMIFS('changes2_based on steps'!$B162:$U162,'changes2_based on steps'!$B$1:$U$1,H$1)</f>
        <v>0</v>
      </c>
      <c r="I162" s="179">
        <f>SUMIFS('recurring2_based on steps'!$B162:$AY162,'recurring2_based on steps'!$B$1:$AY$1,I$1)+SUMIFS('changes2_based on steps'!$B162:$U162,'changes2_based on steps'!$B$1:$U$1,I$1)</f>
        <v>0</v>
      </c>
      <c r="J162" s="179">
        <f>SUMIFS('recurring2_based on steps'!$B162:$AY162,'recurring2_based on steps'!$B$1:$AY$1,J$1)+SUMIFS('changes2_based on steps'!$B162:$U162,'changes2_based on steps'!$B$1:$U$1,J$1)</f>
        <v>0</v>
      </c>
      <c r="K162" s="179">
        <f>SUMIFS('recurring2_based on steps'!$B162:$AY162,'recurring2_based on steps'!$B$1:$AY$1,K$1)+SUMIFS('changes2_based on steps'!$B162:$U162,'changes2_based on steps'!$B$1:$U$1,K$1)</f>
        <v>0</v>
      </c>
      <c r="L162" s="179">
        <f>SUMIFS('recurring2_based on steps'!$B162:$AY162,'recurring2_based on steps'!$B$1:$AY$1,L$1)+SUMIFS('changes2_based on steps'!$B162:$U162,'changes2_based on steps'!$B$1:$U$1,L$1)</f>
        <v>0</v>
      </c>
      <c r="M162" s="179">
        <f>SUMIFS('recurring2_based on steps'!$B162:$AY162,'recurring2_based on steps'!$B$1:$AY$1,M$1)+SUMIFS('changes2_based on steps'!$B162:$U162,'changes2_based on steps'!$B$1:$U$1,M$1)</f>
        <v>0</v>
      </c>
      <c r="N162" s="179">
        <f>SUMIFS('recurring2_based on steps'!$B162:$AY162,'recurring2_based on steps'!$B$1:$AY$1,N$1)+SUMIFS('changes2_based on steps'!$B162:$U162,'changes2_based on steps'!$B$1:$U$1,N$1)</f>
        <v>0</v>
      </c>
      <c r="O162" s="179">
        <f>SUMIFS('recurring2_based on steps'!$B162:$AY162,'recurring2_based on steps'!$B$1:$AY$1,O$1)+SUMIFS('changes2_based on steps'!$B162:$U162,'changes2_based on steps'!$B$1:$U$1,O$1)</f>
        <v>0</v>
      </c>
      <c r="P162" s="179">
        <f>SUMIFS('recurring2_based on steps'!$B162:$AY162,'recurring2_based on steps'!$B$1:$AY$1,P$1)+SUMIFS('changes2_based on steps'!$B162:$U162,'changes2_based on steps'!$B$1:$U$1,P$1)</f>
        <v>0</v>
      </c>
      <c r="Q162" s="179">
        <f>SUMIFS('recurring2_based on steps'!$B162:$AY162,'recurring2_based on steps'!$B$1:$AY$1,Q$1)+SUMIFS('changes2_based on steps'!$B162:$U162,'changes2_based on steps'!$B$1:$U$1,Q$1)</f>
        <v>0</v>
      </c>
      <c r="R162" s="179">
        <f>SUMIFS('recurring2_based on steps'!$B162:$AY162,'recurring2_based on steps'!$B$1:$AY$1,R$1)+SUMIFS('changes2_based on steps'!$B162:$U162,'changes2_based on steps'!$B$1:$U$1,R$1)</f>
        <v>0</v>
      </c>
      <c r="S162" s="179">
        <f>SUMIFS('recurring2_based on steps'!$B162:$AY162,'recurring2_based on steps'!$B$1:$AY$1,S$1)+SUMIFS('changes2_based on steps'!$B162:$U162,'changes2_based on steps'!$B$1:$U$1,S$1)</f>
        <v>0</v>
      </c>
      <c r="T162" s="179">
        <f>SUMIFS('recurring2_based on steps'!$B162:$AY162,'recurring2_based on steps'!$B$1:$AY$1,T$1)+SUMIFS('changes2_based on steps'!$B162:$U162,'changes2_based on steps'!$B$1:$U$1,T$1)</f>
        <v>0</v>
      </c>
      <c r="U162" s="179">
        <f>SUMIFS('recurring2_based on steps'!$B162:$AY162,'recurring2_based on steps'!$B$1:$AY$1,U$1)+SUMIFS('changes2_based on steps'!$B162:$U162,'changes2_based on steps'!$B$1:$U$1,U$1)</f>
        <v>0</v>
      </c>
      <c r="V162" s="179">
        <f>SUMIFS('recurring2_based on steps'!$B162:$AY162,'recurring2_based on steps'!$B$1:$AY$1,V$1)+SUMIFS('changes2_based on steps'!$B162:$U162,'changes2_based on steps'!$B$1:$U$1,V$1)</f>
        <v>0</v>
      </c>
      <c r="W162" s="179">
        <f>SUMIFS('recurring2_based on steps'!$B162:$AY162,'recurring2_based on steps'!$B$1:$AY$1,W$1)+SUMIFS('changes2_based on steps'!$B162:$U162,'changes2_based on steps'!$B$1:$U$1,W$1)</f>
        <v>0</v>
      </c>
      <c r="X162" s="179">
        <f>SUMIFS('recurring2_based on steps'!$B162:$AY162,'recurring2_based on steps'!$B$1:$AY$1,X$1)+SUMIFS('changes2_based on steps'!$B162:$U162,'changes2_based on steps'!$B$1:$U$1,X$1)</f>
        <v>0</v>
      </c>
      <c r="Y162" s="179">
        <f>SUMIFS('recurring2_based on steps'!$B162:$AY162,'recurring2_based on steps'!$B$1:$AY$1,Y$1)+SUMIFS('changes2_based on steps'!$B162:$U162,'changes2_based on steps'!$B$1:$U$1,Y$1)</f>
        <v>0</v>
      </c>
      <c r="Z162" s="179">
        <f>SUMIFS('recurring2_based on steps'!$B162:$AY162,'recurring2_based on steps'!$B$1:$AY$1,Z$1)+SUMIFS('changes2_based on steps'!$B162:$U162,'changes2_based on steps'!$B$1:$U$1,Z$1)</f>
        <v>0</v>
      </c>
      <c r="AA162" s="179">
        <f>SUMIFS('recurring2_based on steps'!$B162:$AY162,'recurring2_based on steps'!$B$1:$AY$1,AA$1)+SUMIFS('changes2_based on steps'!$B162:$U162,'changes2_based on steps'!$B$1:$U$1,AA$1)</f>
        <v>0</v>
      </c>
      <c r="AB162" s="179">
        <f>SUMIFS('recurring2_based on steps'!$B162:$AY162,'recurring2_based on steps'!$B$1:$AY$1,AB$1)+SUMIFS('changes2_based on steps'!$B162:$U162,'changes2_based on steps'!$B$1:$U$1,AB$1)</f>
        <v>0</v>
      </c>
      <c r="AC162" s="179">
        <f>SUMIFS('recurring2_based on steps'!$B162:$AY162,'recurring2_based on steps'!$B$1:$AY$1,AC$1)+SUMIFS('changes2_based on steps'!$B162:$U162,'changes2_based on steps'!$B$1:$U$1,AC$1)</f>
        <v>0</v>
      </c>
      <c r="AD162" s="179">
        <f>SUMIFS('recurring2_based on steps'!$B162:$AY162,'recurring2_based on steps'!$B$1:$AY$1,AD$1)+SUMIFS('changes2_based on steps'!$B162:$U162,'changes2_based on steps'!$B$1:$U$1,AD$1)</f>
        <v>0</v>
      </c>
      <c r="AE162" s="179">
        <f>SUMIFS('recurring2_based on steps'!$B162:$AY162,'recurring2_based on steps'!$B$1:$AY$1,AE$1)+SUMIFS('changes2_based on steps'!$B162:$U162,'changes2_based on steps'!$B$1:$U$1,AE$1)</f>
        <v>0</v>
      </c>
      <c r="AF162" s="179"/>
      <c r="AG162" s="179"/>
      <c r="AH162" s="179"/>
      <c r="AI162" s="179"/>
      <c r="AJ162" s="179"/>
      <c r="AK162" s="179"/>
      <c r="AL162" s="179"/>
      <c r="AM162" s="179"/>
    </row>
    <row r="163" spans="1:39" x14ac:dyDescent="0.2">
      <c r="A163" s="32">
        <f t="shared" ca="1" si="2"/>
        <v>45912</v>
      </c>
      <c r="B163" s="179">
        <f>SUMIFS('recurring2_based on steps'!$B163:$AY163,'recurring2_based on steps'!$B$1:$AY$1,B$1)+SUMIFS('changes2_based on steps'!$B163:$U163,'changes2_based on steps'!$B$1:$U$1,B$1)</f>
        <v>0</v>
      </c>
      <c r="C163" s="179">
        <f>SUMIFS('recurring2_based on steps'!$B163:$AY163,'recurring2_based on steps'!$B$1:$AY$1,C$1)+SUMIFS('changes2_based on steps'!$B163:$U163,'changes2_based on steps'!$B$1:$U$1,C$1)</f>
        <v>0</v>
      </c>
      <c r="D163" s="179">
        <f>SUMIFS('recurring2_based on steps'!$B163:$AY163,'recurring2_based on steps'!$B$1:$AY$1,D$1)+SUMIFS('changes2_based on steps'!$B163:$U163,'changes2_based on steps'!$B$1:$U$1,D$1)</f>
        <v>0</v>
      </c>
      <c r="E163" s="179">
        <f>SUMIFS('recurring2_based on steps'!$B163:$AY163,'recurring2_based on steps'!$B$1:$AY$1,E$1)+SUMIFS('changes2_based on steps'!$B163:$U163,'changes2_based on steps'!$B$1:$U$1,E$1)</f>
        <v>0</v>
      </c>
      <c r="F163" s="179">
        <f>SUMIFS('recurring2_based on steps'!$B163:$AY163,'recurring2_based on steps'!$B$1:$AY$1,F$1)+SUMIFS('changes2_based on steps'!$B163:$U163,'changes2_based on steps'!$B$1:$U$1,F$1)</f>
        <v>0</v>
      </c>
      <c r="G163" s="179">
        <f>SUMIFS('recurring2_based on steps'!$B163:$AY163,'recurring2_based on steps'!$B$1:$AY$1,G$1)+SUMIFS('changes2_based on steps'!$B163:$U163,'changes2_based on steps'!$B$1:$U$1,G$1)</f>
        <v>0</v>
      </c>
      <c r="H163" s="179">
        <f>SUMIFS('recurring2_based on steps'!$B163:$AY163,'recurring2_based on steps'!$B$1:$AY$1,H$1)+SUMIFS('changes2_based on steps'!$B163:$U163,'changes2_based on steps'!$B$1:$U$1,H$1)</f>
        <v>0</v>
      </c>
      <c r="I163" s="179">
        <f>SUMIFS('recurring2_based on steps'!$B163:$AY163,'recurring2_based on steps'!$B$1:$AY$1,I$1)+SUMIFS('changes2_based on steps'!$B163:$U163,'changes2_based on steps'!$B$1:$U$1,I$1)</f>
        <v>0</v>
      </c>
      <c r="J163" s="179">
        <f>SUMIFS('recurring2_based on steps'!$B163:$AY163,'recurring2_based on steps'!$B$1:$AY$1,J$1)+SUMIFS('changes2_based on steps'!$B163:$U163,'changes2_based on steps'!$B$1:$U$1,J$1)</f>
        <v>0</v>
      </c>
      <c r="K163" s="179">
        <f>SUMIFS('recurring2_based on steps'!$B163:$AY163,'recurring2_based on steps'!$B$1:$AY$1,K$1)+SUMIFS('changes2_based on steps'!$B163:$U163,'changes2_based on steps'!$B$1:$U$1,K$1)</f>
        <v>0</v>
      </c>
      <c r="L163" s="179">
        <f>SUMIFS('recurring2_based on steps'!$B163:$AY163,'recurring2_based on steps'!$B$1:$AY$1,L$1)+SUMIFS('changes2_based on steps'!$B163:$U163,'changes2_based on steps'!$B$1:$U$1,L$1)</f>
        <v>0</v>
      </c>
      <c r="M163" s="179">
        <f>SUMIFS('recurring2_based on steps'!$B163:$AY163,'recurring2_based on steps'!$B$1:$AY$1,M$1)+SUMIFS('changes2_based on steps'!$B163:$U163,'changes2_based on steps'!$B$1:$U$1,M$1)</f>
        <v>0</v>
      </c>
      <c r="N163" s="179">
        <f>SUMIFS('recurring2_based on steps'!$B163:$AY163,'recurring2_based on steps'!$B$1:$AY$1,N$1)+SUMIFS('changes2_based on steps'!$B163:$U163,'changes2_based on steps'!$B$1:$U$1,N$1)</f>
        <v>0</v>
      </c>
      <c r="O163" s="179">
        <f>SUMIFS('recurring2_based on steps'!$B163:$AY163,'recurring2_based on steps'!$B$1:$AY$1,O$1)+SUMIFS('changes2_based on steps'!$B163:$U163,'changes2_based on steps'!$B$1:$U$1,O$1)</f>
        <v>0</v>
      </c>
      <c r="P163" s="179">
        <f>SUMIFS('recurring2_based on steps'!$B163:$AY163,'recurring2_based on steps'!$B$1:$AY$1,P$1)+SUMIFS('changes2_based on steps'!$B163:$U163,'changes2_based on steps'!$B$1:$U$1,P$1)</f>
        <v>0</v>
      </c>
      <c r="Q163" s="179">
        <f>SUMIFS('recurring2_based on steps'!$B163:$AY163,'recurring2_based on steps'!$B$1:$AY$1,Q$1)+SUMIFS('changes2_based on steps'!$B163:$U163,'changes2_based on steps'!$B$1:$U$1,Q$1)</f>
        <v>0</v>
      </c>
      <c r="R163" s="179">
        <f>SUMIFS('recurring2_based on steps'!$B163:$AY163,'recurring2_based on steps'!$B$1:$AY$1,R$1)+SUMIFS('changes2_based on steps'!$B163:$U163,'changes2_based on steps'!$B$1:$U$1,R$1)</f>
        <v>0</v>
      </c>
      <c r="S163" s="179">
        <f>SUMIFS('recurring2_based on steps'!$B163:$AY163,'recurring2_based on steps'!$B$1:$AY$1,S$1)+SUMIFS('changes2_based on steps'!$B163:$U163,'changes2_based on steps'!$B$1:$U$1,S$1)</f>
        <v>0</v>
      </c>
      <c r="T163" s="179">
        <f>SUMIFS('recurring2_based on steps'!$B163:$AY163,'recurring2_based on steps'!$B$1:$AY$1,T$1)+SUMIFS('changes2_based on steps'!$B163:$U163,'changes2_based on steps'!$B$1:$U$1,T$1)</f>
        <v>0</v>
      </c>
      <c r="U163" s="179">
        <f>SUMIFS('recurring2_based on steps'!$B163:$AY163,'recurring2_based on steps'!$B$1:$AY$1,U$1)+SUMIFS('changes2_based on steps'!$B163:$U163,'changes2_based on steps'!$B$1:$U$1,U$1)</f>
        <v>0</v>
      </c>
      <c r="V163" s="179">
        <f>SUMIFS('recurring2_based on steps'!$B163:$AY163,'recurring2_based on steps'!$B$1:$AY$1,V$1)+SUMIFS('changes2_based on steps'!$B163:$U163,'changes2_based on steps'!$B$1:$U$1,V$1)</f>
        <v>0</v>
      </c>
      <c r="W163" s="179">
        <f>SUMIFS('recurring2_based on steps'!$B163:$AY163,'recurring2_based on steps'!$B$1:$AY$1,W$1)+SUMIFS('changes2_based on steps'!$B163:$U163,'changes2_based on steps'!$B$1:$U$1,W$1)</f>
        <v>0</v>
      </c>
      <c r="X163" s="179">
        <f>SUMIFS('recurring2_based on steps'!$B163:$AY163,'recurring2_based on steps'!$B$1:$AY$1,X$1)+SUMIFS('changes2_based on steps'!$B163:$U163,'changes2_based on steps'!$B$1:$U$1,X$1)</f>
        <v>0</v>
      </c>
      <c r="Y163" s="179">
        <f>SUMIFS('recurring2_based on steps'!$B163:$AY163,'recurring2_based on steps'!$B$1:$AY$1,Y$1)+SUMIFS('changes2_based on steps'!$B163:$U163,'changes2_based on steps'!$B$1:$U$1,Y$1)</f>
        <v>0</v>
      </c>
      <c r="Z163" s="179">
        <f>SUMIFS('recurring2_based on steps'!$B163:$AY163,'recurring2_based on steps'!$B$1:$AY$1,Z$1)+SUMIFS('changes2_based on steps'!$B163:$U163,'changes2_based on steps'!$B$1:$U$1,Z$1)</f>
        <v>0</v>
      </c>
      <c r="AA163" s="179">
        <f>SUMIFS('recurring2_based on steps'!$B163:$AY163,'recurring2_based on steps'!$B$1:$AY$1,AA$1)+SUMIFS('changes2_based on steps'!$B163:$U163,'changes2_based on steps'!$B$1:$U$1,AA$1)</f>
        <v>0</v>
      </c>
      <c r="AB163" s="179">
        <f>SUMIFS('recurring2_based on steps'!$B163:$AY163,'recurring2_based on steps'!$B$1:$AY$1,AB$1)+SUMIFS('changes2_based on steps'!$B163:$U163,'changes2_based on steps'!$B$1:$U$1,AB$1)</f>
        <v>0</v>
      </c>
      <c r="AC163" s="179">
        <f>SUMIFS('recurring2_based on steps'!$B163:$AY163,'recurring2_based on steps'!$B$1:$AY$1,AC$1)+SUMIFS('changes2_based on steps'!$B163:$U163,'changes2_based on steps'!$B$1:$U$1,AC$1)</f>
        <v>0</v>
      </c>
      <c r="AD163" s="179">
        <f>SUMIFS('recurring2_based on steps'!$B163:$AY163,'recurring2_based on steps'!$B$1:$AY$1,AD$1)+SUMIFS('changes2_based on steps'!$B163:$U163,'changes2_based on steps'!$B$1:$U$1,AD$1)</f>
        <v>0</v>
      </c>
      <c r="AE163" s="179">
        <f>SUMIFS('recurring2_based on steps'!$B163:$AY163,'recurring2_based on steps'!$B$1:$AY$1,AE$1)+SUMIFS('changes2_based on steps'!$B163:$U163,'changes2_based on steps'!$B$1:$U$1,AE$1)</f>
        <v>0</v>
      </c>
      <c r="AF163" s="179"/>
      <c r="AG163" s="179"/>
      <c r="AH163" s="179"/>
      <c r="AI163" s="179"/>
      <c r="AJ163" s="179"/>
      <c r="AK163" s="179"/>
      <c r="AL163" s="179"/>
      <c r="AM163" s="179"/>
    </row>
    <row r="164" spans="1:39" x14ac:dyDescent="0.2">
      <c r="A164" s="32">
        <f t="shared" ca="1" si="2"/>
        <v>45913</v>
      </c>
      <c r="B164" s="179">
        <f>SUMIFS('recurring2_based on steps'!$B164:$AY164,'recurring2_based on steps'!$B$1:$AY$1,B$1)+SUMIFS('changes2_based on steps'!$B164:$U164,'changes2_based on steps'!$B$1:$U$1,B$1)</f>
        <v>0</v>
      </c>
      <c r="C164" s="179">
        <f>SUMIFS('recurring2_based on steps'!$B164:$AY164,'recurring2_based on steps'!$B$1:$AY$1,C$1)+SUMIFS('changes2_based on steps'!$B164:$U164,'changes2_based on steps'!$B$1:$U$1,C$1)</f>
        <v>0</v>
      </c>
      <c r="D164" s="179">
        <f>SUMIFS('recurring2_based on steps'!$B164:$AY164,'recurring2_based on steps'!$B$1:$AY$1,D$1)+SUMIFS('changes2_based on steps'!$B164:$U164,'changes2_based on steps'!$B$1:$U$1,D$1)</f>
        <v>0</v>
      </c>
      <c r="E164" s="179">
        <f>SUMIFS('recurring2_based on steps'!$B164:$AY164,'recurring2_based on steps'!$B$1:$AY$1,E$1)+SUMIFS('changes2_based on steps'!$B164:$U164,'changes2_based on steps'!$B$1:$U$1,E$1)</f>
        <v>0</v>
      </c>
      <c r="F164" s="179">
        <f>SUMIFS('recurring2_based on steps'!$B164:$AY164,'recurring2_based on steps'!$B$1:$AY$1,F$1)+SUMIFS('changes2_based on steps'!$B164:$U164,'changes2_based on steps'!$B$1:$U$1,F$1)</f>
        <v>0</v>
      </c>
      <c r="G164" s="179">
        <f>SUMIFS('recurring2_based on steps'!$B164:$AY164,'recurring2_based on steps'!$B$1:$AY$1,G$1)+SUMIFS('changes2_based on steps'!$B164:$U164,'changes2_based on steps'!$B$1:$U$1,G$1)</f>
        <v>0</v>
      </c>
      <c r="H164" s="179">
        <f>SUMIFS('recurring2_based on steps'!$B164:$AY164,'recurring2_based on steps'!$B$1:$AY$1,H$1)+SUMIFS('changes2_based on steps'!$B164:$U164,'changes2_based on steps'!$B$1:$U$1,H$1)</f>
        <v>0</v>
      </c>
      <c r="I164" s="179">
        <f>SUMIFS('recurring2_based on steps'!$B164:$AY164,'recurring2_based on steps'!$B$1:$AY$1,I$1)+SUMIFS('changes2_based on steps'!$B164:$U164,'changes2_based on steps'!$B$1:$U$1,I$1)</f>
        <v>0</v>
      </c>
      <c r="J164" s="179">
        <f>SUMIFS('recurring2_based on steps'!$B164:$AY164,'recurring2_based on steps'!$B$1:$AY$1,J$1)+SUMIFS('changes2_based on steps'!$B164:$U164,'changes2_based on steps'!$B$1:$U$1,J$1)</f>
        <v>0</v>
      </c>
      <c r="K164" s="179">
        <f>SUMIFS('recurring2_based on steps'!$B164:$AY164,'recurring2_based on steps'!$B$1:$AY$1,K$1)+SUMIFS('changes2_based on steps'!$B164:$U164,'changes2_based on steps'!$B$1:$U$1,K$1)</f>
        <v>0</v>
      </c>
      <c r="L164" s="179">
        <f>SUMIFS('recurring2_based on steps'!$B164:$AY164,'recurring2_based on steps'!$B$1:$AY$1,L$1)+SUMIFS('changes2_based on steps'!$B164:$U164,'changes2_based on steps'!$B$1:$U$1,L$1)</f>
        <v>0</v>
      </c>
      <c r="M164" s="179">
        <f>SUMIFS('recurring2_based on steps'!$B164:$AY164,'recurring2_based on steps'!$B$1:$AY$1,M$1)+SUMIFS('changes2_based on steps'!$B164:$U164,'changes2_based on steps'!$B$1:$U$1,M$1)</f>
        <v>0</v>
      </c>
      <c r="N164" s="179">
        <f>SUMIFS('recurring2_based on steps'!$B164:$AY164,'recurring2_based on steps'!$B$1:$AY$1,N$1)+SUMIFS('changes2_based on steps'!$B164:$U164,'changes2_based on steps'!$B$1:$U$1,N$1)</f>
        <v>0</v>
      </c>
      <c r="O164" s="179">
        <f>SUMIFS('recurring2_based on steps'!$B164:$AY164,'recurring2_based on steps'!$B$1:$AY$1,O$1)+SUMIFS('changes2_based on steps'!$B164:$U164,'changes2_based on steps'!$B$1:$U$1,O$1)</f>
        <v>0</v>
      </c>
      <c r="P164" s="179">
        <f>SUMIFS('recurring2_based on steps'!$B164:$AY164,'recurring2_based on steps'!$B$1:$AY$1,P$1)+SUMIFS('changes2_based on steps'!$B164:$U164,'changes2_based on steps'!$B$1:$U$1,P$1)</f>
        <v>0</v>
      </c>
      <c r="Q164" s="179">
        <f>SUMIFS('recurring2_based on steps'!$B164:$AY164,'recurring2_based on steps'!$B$1:$AY$1,Q$1)+SUMIFS('changes2_based on steps'!$B164:$U164,'changes2_based on steps'!$B$1:$U$1,Q$1)</f>
        <v>0</v>
      </c>
      <c r="R164" s="179">
        <f>SUMIFS('recurring2_based on steps'!$B164:$AY164,'recurring2_based on steps'!$B$1:$AY$1,R$1)+SUMIFS('changes2_based on steps'!$B164:$U164,'changes2_based on steps'!$B$1:$U$1,R$1)</f>
        <v>0</v>
      </c>
      <c r="S164" s="179">
        <f>SUMIFS('recurring2_based on steps'!$B164:$AY164,'recurring2_based on steps'!$B$1:$AY$1,S$1)+SUMIFS('changes2_based on steps'!$B164:$U164,'changes2_based on steps'!$B$1:$U$1,S$1)</f>
        <v>0</v>
      </c>
      <c r="T164" s="179">
        <f>SUMIFS('recurring2_based on steps'!$B164:$AY164,'recurring2_based on steps'!$B$1:$AY$1,T$1)+SUMIFS('changes2_based on steps'!$B164:$U164,'changes2_based on steps'!$B$1:$U$1,T$1)</f>
        <v>0</v>
      </c>
      <c r="U164" s="179">
        <f>SUMIFS('recurring2_based on steps'!$B164:$AY164,'recurring2_based on steps'!$B$1:$AY$1,U$1)+SUMIFS('changes2_based on steps'!$B164:$U164,'changes2_based on steps'!$B$1:$U$1,U$1)</f>
        <v>0</v>
      </c>
      <c r="V164" s="179">
        <f>SUMIFS('recurring2_based on steps'!$B164:$AY164,'recurring2_based on steps'!$B$1:$AY$1,V$1)+SUMIFS('changes2_based on steps'!$B164:$U164,'changes2_based on steps'!$B$1:$U$1,V$1)</f>
        <v>0</v>
      </c>
      <c r="W164" s="179">
        <f>SUMIFS('recurring2_based on steps'!$B164:$AY164,'recurring2_based on steps'!$B$1:$AY$1,W$1)+SUMIFS('changes2_based on steps'!$B164:$U164,'changes2_based on steps'!$B$1:$U$1,W$1)</f>
        <v>0</v>
      </c>
      <c r="X164" s="179">
        <f>SUMIFS('recurring2_based on steps'!$B164:$AY164,'recurring2_based on steps'!$B$1:$AY$1,X$1)+SUMIFS('changes2_based on steps'!$B164:$U164,'changes2_based on steps'!$B$1:$U$1,X$1)</f>
        <v>0</v>
      </c>
      <c r="Y164" s="179">
        <f>SUMIFS('recurring2_based on steps'!$B164:$AY164,'recurring2_based on steps'!$B$1:$AY$1,Y$1)+SUMIFS('changes2_based on steps'!$B164:$U164,'changes2_based on steps'!$B$1:$U$1,Y$1)</f>
        <v>0</v>
      </c>
      <c r="Z164" s="179">
        <f>SUMIFS('recurring2_based on steps'!$B164:$AY164,'recurring2_based on steps'!$B$1:$AY$1,Z$1)+SUMIFS('changes2_based on steps'!$B164:$U164,'changes2_based on steps'!$B$1:$U$1,Z$1)</f>
        <v>0</v>
      </c>
      <c r="AA164" s="179">
        <f>SUMIFS('recurring2_based on steps'!$B164:$AY164,'recurring2_based on steps'!$B$1:$AY$1,AA$1)+SUMIFS('changes2_based on steps'!$B164:$U164,'changes2_based on steps'!$B$1:$U$1,AA$1)</f>
        <v>0</v>
      </c>
      <c r="AB164" s="179">
        <f>SUMIFS('recurring2_based on steps'!$B164:$AY164,'recurring2_based on steps'!$B$1:$AY$1,AB$1)+SUMIFS('changes2_based on steps'!$B164:$U164,'changes2_based on steps'!$B$1:$U$1,AB$1)</f>
        <v>0</v>
      </c>
      <c r="AC164" s="179">
        <f>SUMIFS('recurring2_based on steps'!$B164:$AY164,'recurring2_based on steps'!$B$1:$AY$1,AC$1)+SUMIFS('changes2_based on steps'!$B164:$U164,'changes2_based on steps'!$B$1:$U$1,AC$1)</f>
        <v>0</v>
      </c>
      <c r="AD164" s="179">
        <f>SUMIFS('recurring2_based on steps'!$B164:$AY164,'recurring2_based on steps'!$B$1:$AY$1,AD$1)+SUMIFS('changes2_based on steps'!$B164:$U164,'changes2_based on steps'!$B$1:$U$1,AD$1)</f>
        <v>0</v>
      </c>
      <c r="AE164" s="179">
        <f>SUMIFS('recurring2_based on steps'!$B164:$AY164,'recurring2_based on steps'!$B$1:$AY$1,AE$1)+SUMIFS('changes2_based on steps'!$B164:$U164,'changes2_based on steps'!$B$1:$U$1,AE$1)</f>
        <v>0</v>
      </c>
      <c r="AF164" s="179"/>
      <c r="AG164" s="179"/>
      <c r="AH164" s="179"/>
      <c r="AI164" s="179"/>
      <c r="AJ164" s="179"/>
      <c r="AK164" s="179"/>
      <c r="AL164" s="179"/>
      <c r="AM164" s="179"/>
    </row>
    <row r="165" spans="1:39" x14ac:dyDescent="0.2">
      <c r="A165" s="32">
        <f t="shared" ca="1" si="2"/>
        <v>45914</v>
      </c>
      <c r="B165" s="179">
        <f>SUMIFS('recurring2_based on steps'!$B165:$AY165,'recurring2_based on steps'!$B$1:$AY$1,B$1)+SUMIFS('changes2_based on steps'!$B165:$U165,'changes2_based on steps'!$B$1:$U$1,B$1)</f>
        <v>0</v>
      </c>
      <c r="C165" s="179">
        <f>SUMIFS('recurring2_based on steps'!$B165:$AY165,'recurring2_based on steps'!$B$1:$AY$1,C$1)+SUMIFS('changes2_based on steps'!$B165:$U165,'changes2_based on steps'!$B$1:$U$1,C$1)</f>
        <v>0</v>
      </c>
      <c r="D165" s="179">
        <f>SUMIFS('recurring2_based on steps'!$B165:$AY165,'recurring2_based on steps'!$B$1:$AY$1,D$1)+SUMIFS('changes2_based on steps'!$B165:$U165,'changes2_based on steps'!$B$1:$U$1,D$1)</f>
        <v>0</v>
      </c>
      <c r="E165" s="179">
        <f>SUMIFS('recurring2_based on steps'!$B165:$AY165,'recurring2_based on steps'!$B$1:$AY$1,E$1)+SUMIFS('changes2_based on steps'!$B165:$U165,'changes2_based on steps'!$B$1:$U$1,E$1)</f>
        <v>0</v>
      </c>
      <c r="F165" s="179">
        <f>SUMIFS('recurring2_based on steps'!$B165:$AY165,'recurring2_based on steps'!$B$1:$AY$1,F$1)+SUMIFS('changes2_based on steps'!$B165:$U165,'changes2_based on steps'!$B$1:$U$1,F$1)</f>
        <v>0</v>
      </c>
      <c r="G165" s="179">
        <f>SUMIFS('recurring2_based on steps'!$B165:$AY165,'recurring2_based on steps'!$B$1:$AY$1,G$1)+SUMIFS('changes2_based on steps'!$B165:$U165,'changes2_based on steps'!$B$1:$U$1,G$1)</f>
        <v>0</v>
      </c>
      <c r="H165" s="179">
        <f>SUMIFS('recurring2_based on steps'!$B165:$AY165,'recurring2_based on steps'!$B$1:$AY$1,H$1)+SUMIFS('changes2_based on steps'!$B165:$U165,'changes2_based on steps'!$B$1:$U$1,H$1)</f>
        <v>0</v>
      </c>
      <c r="I165" s="179">
        <f>SUMIFS('recurring2_based on steps'!$B165:$AY165,'recurring2_based on steps'!$B$1:$AY$1,I$1)+SUMIFS('changes2_based on steps'!$B165:$U165,'changes2_based on steps'!$B$1:$U$1,I$1)</f>
        <v>0</v>
      </c>
      <c r="J165" s="179">
        <f>SUMIFS('recurring2_based on steps'!$B165:$AY165,'recurring2_based on steps'!$B$1:$AY$1,J$1)+SUMIFS('changes2_based on steps'!$B165:$U165,'changes2_based on steps'!$B$1:$U$1,J$1)</f>
        <v>0</v>
      </c>
      <c r="K165" s="179">
        <f>SUMIFS('recurring2_based on steps'!$B165:$AY165,'recurring2_based on steps'!$B$1:$AY$1,K$1)+SUMIFS('changes2_based on steps'!$B165:$U165,'changes2_based on steps'!$B$1:$U$1,K$1)</f>
        <v>0</v>
      </c>
      <c r="L165" s="179">
        <f>SUMIFS('recurring2_based on steps'!$B165:$AY165,'recurring2_based on steps'!$B$1:$AY$1,L$1)+SUMIFS('changes2_based on steps'!$B165:$U165,'changes2_based on steps'!$B$1:$U$1,L$1)</f>
        <v>0</v>
      </c>
      <c r="M165" s="179">
        <f>SUMIFS('recurring2_based on steps'!$B165:$AY165,'recurring2_based on steps'!$B$1:$AY$1,M$1)+SUMIFS('changes2_based on steps'!$B165:$U165,'changes2_based on steps'!$B$1:$U$1,M$1)</f>
        <v>0</v>
      </c>
      <c r="N165" s="179">
        <f>SUMIFS('recurring2_based on steps'!$B165:$AY165,'recurring2_based on steps'!$B$1:$AY$1,N$1)+SUMIFS('changes2_based on steps'!$B165:$U165,'changes2_based on steps'!$B$1:$U$1,N$1)</f>
        <v>0</v>
      </c>
      <c r="O165" s="179">
        <f>SUMIFS('recurring2_based on steps'!$B165:$AY165,'recurring2_based on steps'!$B$1:$AY$1,O$1)+SUMIFS('changes2_based on steps'!$B165:$U165,'changes2_based on steps'!$B$1:$U$1,O$1)</f>
        <v>0</v>
      </c>
      <c r="P165" s="179">
        <f>SUMIFS('recurring2_based on steps'!$B165:$AY165,'recurring2_based on steps'!$B$1:$AY$1,P$1)+SUMIFS('changes2_based on steps'!$B165:$U165,'changes2_based on steps'!$B$1:$U$1,P$1)</f>
        <v>0</v>
      </c>
      <c r="Q165" s="179">
        <f>SUMIFS('recurring2_based on steps'!$B165:$AY165,'recurring2_based on steps'!$B$1:$AY$1,Q$1)+SUMIFS('changes2_based on steps'!$B165:$U165,'changes2_based on steps'!$B$1:$U$1,Q$1)</f>
        <v>0</v>
      </c>
      <c r="R165" s="179">
        <f>SUMIFS('recurring2_based on steps'!$B165:$AY165,'recurring2_based on steps'!$B$1:$AY$1,R$1)+SUMIFS('changes2_based on steps'!$B165:$U165,'changes2_based on steps'!$B$1:$U$1,R$1)</f>
        <v>0</v>
      </c>
      <c r="S165" s="179">
        <f>SUMIFS('recurring2_based on steps'!$B165:$AY165,'recurring2_based on steps'!$B$1:$AY$1,S$1)+SUMIFS('changes2_based on steps'!$B165:$U165,'changes2_based on steps'!$B$1:$U$1,S$1)</f>
        <v>0</v>
      </c>
      <c r="T165" s="179">
        <f>SUMIFS('recurring2_based on steps'!$B165:$AY165,'recurring2_based on steps'!$B$1:$AY$1,T$1)+SUMIFS('changes2_based on steps'!$B165:$U165,'changes2_based on steps'!$B$1:$U$1,T$1)</f>
        <v>0</v>
      </c>
      <c r="U165" s="179">
        <f>SUMIFS('recurring2_based on steps'!$B165:$AY165,'recurring2_based on steps'!$B$1:$AY$1,U$1)+SUMIFS('changes2_based on steps'!$B165:$U165,'changes2_based on steps'!$B$1:$U$1,U$1)</f>
        <v>0</v>
      </c>
      <c r="V165" s="179">
        <f>SUMIFS('recurring2_based on steps'!$B165:$AY165,'recurring2_based on steps'!$B$1:$AY$1,V$1)+SUMIFS('changes2_based on steps'!$B165:$U165,'changes2_based on steps'!$B$1:$U$1,V$1)</f>
        <v>0</v>
      </c>
      <c r="W165" s="179">
        <f>SUMIFS('recurring2_based on steps'!$B165:$AY165,'recurring2_based on steps'!$B$1:$AY$1,W$1)+SUMIFS('changes2_based on steps'!$B165:$U165,'changes2_based on steps'!$B$1:$U$1,W$1)</f>
        <v>0</v>
      </c>
      <c r="X165" s="179">
        <f>SUMIFS('recurring2_based on steps'!$B165:$AY165,'recurring2_based on steps'!$B$1:$AY$1,X$1)+SUMIFS('changes2_based on steps'!$B165:$U165,'changes2_based on steps'!$B$1:$U$1,X$1)</f>
        <v>0</v>
      </c>
      <c r="Y165" s="179">
        <f>SUMIFS('recurring2_based on steps'!$B165:$AY165,'recurring2_based on steps'!$B$1:$AY$1,Y$1)+SUMIFS('changes2_based on steps'!$B165:$U165,'changes2_based on steps'!$B$1:$U$1,Y$1)</f>
        <v>0</v>
      </c>
      <c r="Z165" s="179">
        <f>SUMIFS('recurring2_based on steps'!$B165:$AY165,'recurring2_based on steps'!$B$1:$AY$1,Z$1)+SUMIFS('changes2_based on steps'!$B165:$U165,'changes2_based on steps'!$B$1:$U$1,Z$1)</f>
        <v>0</v>
      </c>
      <c r="AA165" s="179">
        <f>SUMIFS('recurring2_based on steps'!$B165:$AY165,'recurring2_based on steps'!$B$1:$AY$1,AA$1)+SUMIFS('changes2_based on steps'!$B165:$U165,'changes2_based on steps'!$B$1:$U$1,AA$1)</f>
        <v>0</v>
      </c>
      <c r="AB165" s="179">
        <f>SUMIFS('recurring2_based on steps'!$B165:$AY165,'recurring2_based on steps'!$B$1:$AY$1,AB$1)+SUMIFS('changes2_based on steps'!$B165:$U165,'changes2_based on steps'!$B$1:$U$1,AB$1)</f>
        <v>0</v>
      </c>
      <c r="AC165" s="179">
        <f>SUMIFS('recurring2_based on steps'!$B165:$AY165,'recurring2_based on steps'!$B$1:$AY$1,AC$1)+SUMIFS('changes2_based on steps'!$B165:$U165,'changes2_based on steps'!$B$1:$U$1,AC$1)</f>
        <v>0</v>
      </c>
      <c r="AD165" s="179">
        <f>SUMIFS('recurring2_based on steps'!$B165:$AY165,'recurring2_based on steps'!$B$1:$AY$1,AD$1)+SUMIFS('changes2_based on steps'!$B165:$U165,'changes2_based on steps'!$B$1:$U$1,AD$1)</f>
        <v>0</v>
      </c>
      <c r="AE165" s="179">
        <f>SUMIFS('recurring2_based on steps'!$B165:$AY165,'recurring2_based on steps'!$B$1:$AY$1,AE$1)+SUMIFS('changes2_based on steps'!$B165:$U165,'changes2_based on steps'!$B$1:$U$1,AE$1)</f>
        <v>0</v>
      </c>
      <c r="AF165" s="179"/>
      <c r="AG165" s="179"/>
      <c r="AH165" s="179"/>
      <c r="AI165" s="179"/>
      <c r="AJ165" s="179"/>
      <c r="AK165" s="179"/>
      <c r="AL165" s="179"/>
      <c r="AM165" s="179"/>
    </row>
    <row r="166" spans="1:39" x14ac:dyDescent="0.2">
      <c r="A166" s="32">
        <f t="shared" ca="1" si="2"/>
        <v>45915</v>
      </c>
      <c r="B166" s="179">
        <f>SUMIFS('recurring2_based on steps'!$B166:$AY166,'recurring2_based on steps'!$B$1:$AY$1,B$1)+SUMIFS('changes2_based on steps'!$B166:$U166,'changes2_based on steps'!$B$1:$U$1,B$1)</f>
        <v>0</v>
      </c>
      <c r="C166" s="179">
        <f>SUMIFS('recurring2_based on steps'!$B166:$AY166,'recurring2_based on steps'!$B$1:$AY$1,C$1)+SUMIFS('changes2_based on steps'!$B166:$U166,'changes2_based on steps'!$B$1:$U$1,C$1)</f>
        <v>0</v>
      </c>
      <c r="D166" s="179">
        <f>SUMIFS('recurring2_based on steps'!$B166:$AY166,'recurring2_based on steps'!$B$1:$AY$1,D$1)+SUMIFS('changes2_based on steps'!$B166:$U166,'changes2_based on steps'!$B$1:$U$1,D$1)</f>
        <v>0</v>
      </c>
      <c r="E166" s="179">
        <f>SUMIFS('recurring2_based on steps'!$B166:$AY166,'recurring2_based on steps'!$B$1:$AY$1,E$1)+SUMIFS('changes2_based on steps'!$B166:$U166,'changes2_based on steps'!$B$1:$U$1,E$1)</f>
        <v>0</v>
      </c>
      <c r="F166" s="179">
        <f>SUMIFS('recurring2_based on steps'!$B166:$AY166,'recurring2_based on steps'!$B$1:$AY$1,F$1)+SUMIFS('changes2_based on steps'!$B166:$U166,'changes2_based on steps'!$B$1:$U$1,F$1)</f>
        <v>0</v>
      </c>
      <c r="G166" s="179">
        <f>SUMIFS('recurring2_based on steps'!$B166:$AY166,'recurring2_based on steps'!$B$1:$AY$1,G$1)+SUMIFS('changes2_based on steps'!$B166:$U166,'changes2_based on steps'!$B$1:$U$1,G$1)</f>
        <v>0</v>
      </c>
      <c r="H166" s="179">
        <f>SUMIFS('recurring2_based on steps'!$B166:$AY166,'recurring2_based on steps'!$B$1:$AY$1,H$1)+SUMIFS('changes2_based on steps'!$B166:$U166,'changes2_based on steps'!$B$1:$U$1,H$1)</f>
        <v>0</v>
      </c>
      <c r="I166" s="179">
        <f>SUMIFS('recurring2_based on steps'!$B166:$AY166,'recurring2_based on steps'!$B$1:$AY$1,I$1)+SUMIFS('changes2_based on steps'!$B166:$U166,'changes2_based on steps'!$B$1:$U$1,I$1)</f>
        <v>0</v>
      </c>
      <c r="J166" s="179">
        <f>SUMIFS('recurring2_based on steps'!$B166:$AY166,'recurring2_based on steps'!$B$1:$AY$1,J$1)+SUMIFS('changes2_based on steps'!$B166:$U166,'changes2_based on steps'!$B$1:$U$1,J$1)</f>
        <v>0</v>
      </c>
      <c r="K166" s="179">
        <f>SUMIFS('recurring2_based on steps'!$B166:$AY166,'recurring2_based on steps'!$B$1:$AY$1,K$1)+SUMIFS('changes2_based on steps'!$B166:$U166,'changes2_based on steps'!$B$1:$U$1,K$1)</f>
        <v>0</v>
      </c>
      <c r="L166" s="179">
        <f>SUMIFS('recurring2_based on steps'!$B166:$AY166,'recurring2_based on steps'!$B$1:$AY$1,L$1)+SUMIFS('changes2_based on steps'!$B166:$U166,'changes2_based on steps'!$B$1:$U$1,L$1)</f>
        <v>0</v>
      </c>
      <c r="M166" s="179">
        <f>SUMIFS('recurring2_based on steps'!$B166:$AY166,'recurring2_based on steps'!$B$1:$AY$1,M$1)+SUMIFS('changes2_based on steps'!$B166:$U166,'changes2_based on steps'!$B$1:$U$1,M$1)</f>
        <v>0</v>
      </c>
      <c r="N166" s="179">
        <f>SUMIFS('recurring2_based on steps'!$B166:$AY166,'recurring2_based on steps'!$B$1:$AY$1,N$1)+SUMIFS('changes2_based on steps'!$B166:$U166,'changes2_based on steps'!$B$1:$U$1,N$1)</f>
        <v>0</v>
      </c>
      <c r="O166" s="179">
        <f>SUMIFS('recurring2_based on steps'!$B166:$AY166,'recurring2_based on steps'!$B$1:$AY$1,O$1)+SUMIFS('changes2_based on steps'!$B166:$U166,'changes2_based on steps'!$B$1:$U$1,O$1)</f>
        <v>0</v>
      </c>
      <c r="P166" s="179">
        <f>SUMIFS('recurring2_based on steps'!$B166:$AY166,'recurring2_based on steps'!$B$1:$AY$1,P$1)+SUMIFS('changes2_based on steps'!$B166:$U166,'changes2_based on steps'!$B$1:$U$1,P$1)</f>
        <v>0</v>
      </c>
      <c r="Q166" s="179">
        <f>SUMIFS('recurring2_based on steps'!$B166:$AY166,'recurring2_based on steps'!$B$1:$AY$1,Q$1)+SUMIFS('changes2_based on steps'!$B166:$U166,'changes2_based on steps'!$B$1:$U$1,Q$1)</f>
        <v>0</v>
      </c>
      <c r="R166" s="179">
        <f>SUMIFS('recurring2_based on steps'!$B166:$AY166,'recurring2_based on steps'!$B$1:$AY$1,R$1)+SUMIFS('changes2_based on steps'!$B166:$U166,'changes2_based on steps'!$B$1:$U$1,R$1)</f>
        <v>0</v>
      </c>
      <c r="S166" s="179">
        <f>SUMIFS('recurring2_based on steps'!$B166:$AY166,'recurring2_based on steps'!$B$1:$AY$1,S$1)+SUMIFS('changes2_based on steps'!$B166:$U166,'changes2_based on steps'!$B$1:$U$1,S$1)</f>
        <v>0</v>
      </c>
      <c r="T166" s="179">
        <f>SUMIFS('recurring2_based on steps'!$B166:$AY166,'recurring2_based on steps'!$B$1:$AY$1,T$1)+SUMIFS('changes2_based on steps'!$B166:$U166,'changes2_based on steps'!$B$1:$U$1,T$1)</f>
        <v>0</v>
      </c>
      <c r="U166" s="179">
        <f>SUMIFS('recurring2_based on steps'!$B166:$AY166,'recurring2_based on steps'!$B$1:$AY$1,U$1)+SUMIFS('changes2_based on steps'!$B166:$U166,'changes2_based on steps'!$B$1:$U$1,U$1)</f>
        <v>0</v>
      </c>
      <c r="V166" s="179">
        <f>SUMIFS('recurring2_based on steps'!$B166:$AY166,'recurring2_based on steps'!$B$1:$AY$1,V$1)+SUMIFS('changes2_based on steps'!$B166:$U166,'changes2_based on steps'!$B$1:$U$1,V$1)</f>
        <v>0</v>
      </c>
      <c r="W166" s="179">
        <f>SUMIFS('recurring2_based on steps'!$B166:$AY166,'recurring2_based on steps'!$B$1:$AY$1,W$1)+SUMIFS('changes2_based on steps'!$B166:$U166,'changes2_based on steps'!$B$1:$U$1,W$1)</f>
        <v>0</v>
      </c>
      <c r="X166" s="179">
        <f>SUMIFS('recurring2_based on steps'!$B166:$AY166,'recurring2_based on steps'!$B$1:$AY$1,X$1)+SUMIFS('changes2_based on steps'!$B166:$U166,'changes2_based on steps'!$B$1:$U$1,X$1)</f>
        <v>0</v>
      </c>
      <c r="Y166" s="179">
        <f>SUMIFS('recurring2_based on steps'!$B166:$AY166,'recurring2_based on steps'!$B$1:$AY$1,Y$1)+SUMIFS('changes2_based on steps'!$B166:$U166,'changes2_based on steps'!$B$1:$U$1,Y$1)</f>
        <v>0</v>
      </c>
      <c r="Z166" s="179">
        <f>SUMIFS('recurring2_based on steps'!$B166:$AY166,'recurring2_based on steps'!$B$1:$AY$1,Z$1)+SUMIFS('changes2_based on steps'!$B166:$U166,'changes2_based on steps'!$B$1:$U$1,Z$1)</f>
        <v>0</v>
      </c>
      <c r="AA166" s="179">
        <f>SUMIFS('recurring2_based on steps'!$B166:$AY166,'recurring2_based on steps'!$B$1:$AY$1,AA$1)+SUMIFS('changes2_based on steps'!$B166:$U166,'changes2_based on steps'!$B$1:$U$1,AA$1)</f>
        <v>0</v>
      </c>
      <c r="AB166" s="179">
        <f>SUMIFS('recurring2_based on steps'!$B166:$AY166,'recurring2_based on steps'!$B$1:$AY$1,AB$1)+SUMIFS('changes2_based on steps'!$B166:$U166,'changes2_based on steps'!$B$1:$U$1,AB$1)</f>
        <v>0</v>
      </c>
      <c r="AC166" s="179">
        <f>SUMIFS('recurring2_based on steps'!$B166:$AY166,'recurring2_based on steps'!$B$1:$AY$1,AC$1)+SUMIFS('changes2_based on steps'!$B166:$U166,'changes2_based on steps'!$B$1:$U$1,AC$1)</f>
        <v>0</v>
      </c>
      <c r="AD166" s="179">
        <f>SUMIFS('recurring2_based on steps'!$B166:$AY166,'recurring2_based on steps'!$B$1:$AY$1,AD$1)+SUMIFS('changes2_based on steps'!$B166:$U166,'changes2_based on steps'!$B$1:$U$1,AD$1)</f>
        <v>0</v>
      </c>
      <c r="AE166" s="179">
        <f>SUMIFS('recurring2_based on steps'!$B166:$AY166,'recurring2_based on steps'!$B$1:$AY$1,AE$1)+SUMIFS('changes2_based on steps'!$B166:$U166,'changes2_based on steps'!$B$1:$U$1,AE$1)</f>
        <v>0</v>
      </c>
      <c r="AF166" s="179"/>
      <c r="AG166" s="179"/>
      <c r="AH166" s="179"/>
      <c r="AI166" s="179"/>
      <c r="AJ166" s="179"/>
      <c r="AK166" s="179"/>
      <c r="AL166" s="179"/>
      <c r="AM166" s="179"/>
    </row>
    <row r="167" spans="1:39" x14ac:dyDescent="0.2">
      <c r="A167" s="32">
        <f t="shared" ca="1" si="2"/>
        <v>45916</v>
      </c>
      <c r="B167" s="179">
        <f>SUMIFS('recurring2_based on steps'!$B167:$AY167,'recurring2_based on steps'!$B$1:$AY$1,B$1)+SUMIFS('changes2_based on steps'!$B167:$U167,'changes2_based on steps'!$B$1:$U$1,B$1)</f>
        <v>0</v>
      </c>
      <c r="C167" s="179">
        <f>SUMIFS('recurring2_based on steps'!$B167:$AY167,'recurring2_based on steps'!$B$1:$AY$1,C$1)+SUMIFS('changes2_based on steps'!$B167:$U167,'changes2_based on steps'!$B$1:$U$1,C$1)</f>
        <v>0</v>
      </c>
      <c r="D167" s="179">
        <f>SUMIFS('recurring2_based on steps'!$B167:$AY167,'recurring2_based on steps'!$B$1:$AY$1,D$1)+SUMIFS('changes2_based on steps'!$B167:$U167,'changes2_based on steps'!$B$1:$U$1,D$1)</f>
        <v>0</v>
      </c>
      <c r="E167" s="179">
        <f>SUMIFS('recurring2_based on steps'!$B167:$AY167,'recurring2_based on steps'!$B$1:$AY$1,E$1)+SUMIFS('changes2_based on steps'!$B167:$U167,'changes2_based on steps'!$B$1:$U$1,E$1)</f>
        <v>0</v>
      </c>
      <c r="F167" s="179">
        <f>SUMIFS('recurring2_based on steps'!$B167:$AY167,'recurring2_based on steps'!$B$1:$AY$1,F$1)+SUMIFS('changes2_based on steps'!$B167:$U167,'changes2_based on steps'!$B$1:$U$1,F$1)</f>
        <v>0</v>
      </c>
      <c r="G167" s="179">
        <f>SUMIFS('recurring2_based on steps'!$B167:$AY167,'recurring2_based on steps'!$B$1:$AY$1,G$1)+SUMIFS('changes2_based on steps'!$B167:$U167,'changes2_based on steps'!$B$1:$U$1,G$1)</f>
        <v>0</v>
      </c>
      <c r="H167" s="179">
        <f>SUMIFS('recurring2_based on steps'!$B167:$AY167,'recurring2_based on steps'!$B$1:$AY$1,H$1)+SUMIFS('changes2_based on steps'!$B167:$U167,'changes2_based on steps'!$B$1:$U$1,H$1)</f>
        <v>0</v>
      </c>
      <c r="I167" s="179">
        <f>SUMIFS('recurring2_based on steps'!$B167:$AY167,'recurring2_based on steps'!$B$1:$AY$1,I$1)+SUMIFS('changes2_based on steps'!$B167:$U167,'changes2_based on steps'!$B$1:$U$1,I$1)</f>
        <v>0</v>
      </c>
      <c r="J167" s="179">
        <f>SUMIFS('recurring2_based on steps'!$B167:$AY167,'recurring2_based on steps'!$B$1:$AY$1,J$1)+SUMIFS('changes2_based on steps'!$B167:$U167,'changes2_based on steps'!$B$1:$U$1,J$1)</f>
        <v>0</v>
      </c>
      <c r="K167" s="179">
        <f>SUMIFS('recurring2_based on steps'!$B167:$AY167,'recurring2_based on steps'!$B$1:$AY$1,K$1)+SUMIFS('changes2_based on steps'!$B167:$U167,'changes2_based on steps'!$B$1:$U$1,K$1)</f>
        <v>0</v>
      </c>
      <c r="L167" s="179">
        <f>SUMIFS('recurring2_based on steps'!$B167:$AY167,'recurring2_based on steps'!$B$1:$AY$1,L$1)+SUMIFS('changes2_based on steps'!$B167:$U167,'changes2_based on steps'!$B$1:$U$1,L$1)</f>
        <v>0</v>
      </c>
      <c r="M167" s="179">
        <f>SUMIFS('recurring2_based on steps'!$B167:$AY167,'recurring2_based on steps'!$B$1:$AY$1,M$1)+SUMIFS('changes2_based on steps'!$B167:$U167,'changes2_based on steps'!$B$1:$U$1,M$1)</f>
        <v>0</v>
      </c>
      <c r="N167" s="179">
        <f>SUMIFS('recurring2_based on steps'!$B167:$AY167,'recurring2_based on steps'!$B$1:$AY$1,N$1)+SUMIFS('changes2_based on steps'!$B167:$U167,'changes2_based on steps'!$B$1:$U$1,N$1)</f>
        <v>0</v>
      </c>
      <c r="O167" s="179">
        <f>SUMIFS('recurring2_based on steps'!$B167:$AY167,'recurring2_based on steps'!$B$1:$AY$1,O$1)+SUMIFS('changes2_based on steps'!$B167:$U167,'changes2_based on steps'!$B$1:$U$1,O$1)</f>
        <v>0</v>
      </c>
      <c r="P167" s="179">
        <f>SUMIFS('recurring2_based on steps'!$B167:$AY167,'recurring2_based on steps'!$B$1:$AY$1,P$1)+SUMIFS('changes2_based on steps'!$B167:$U167,'changes2_based on steps'!$B$1:$U$1,P$1)</f>
        <v>0</v>
      </c>
      <c r="Q167" s="179">
        <f>SUMIFS('recurring2_based on steps'!$B167:$AY167,'recurring2_based on steps'!$B$1:$AY$1,Q$1)+SUMIFS('changes2_based on steps'!$B167:$U167,'changes2_based on steps'!$B$1:$U$1,Q$1)</f>
        <v>0</v>
      </c>
      <c r="R167" s="179">
        <f>SUMIFS('recurring2_based on steps'!$B167:$AY167,'recurring2_based on steps'!$B$1:$AY$1,R$1)+SUMIFS('changes2_based on steps'!$B167:$U167,'changes2_based on steps'!$B$1:$U$1,R$1)</f>
        <v>0</v>
      </c>
      <c r="S167" s="179">
        <f>SUMIFS('recurring2_based on steps'!$B167:$AY167,'recurring2_based on steps'!$B$1:$AY$1,S$1)+SUMIFS('changes2_based on steps'!$B167:$U167,'changes2_based on steps'!$B$1:$U$1,S$1)</f>
        <v>0</v>
      </c>
      <c r="T167" s="179">
        <f>SUMIFS('recurring2_based on steps'!$B167:$AY167,'recurring2_based on steps'!$B$1:$AY$1,T$1)+SUMIFS('changes2_based on steps'!$B167:$U167,'changes2_based on steps'!$B$1:$U$1,T$1)</f>
        <v>0</v>
      </c>
      <c r="U167" s="179">
        <f>SUMIFS('recurring2_based on steps'!$B167:$AY167,'recurring2_based on steps'!$B$1:$AY$1,U$1)+SUMIFS('changes2_based on steps'!$B167:$U167,'changes2_based on steps'!$B$1:$U$1,U$1)</f>
        <v>0</v>
      </c>
      <c r="V167" s="179">
        <f>SUMIFS('recurring2_based on steps'!$B167:$AY167,'recurring2_based on steps'!$B$1:$AY$1,V$1)+SUMIFS('changes2_based on steps'!$B167:$U167,'changes2_based on steps'!$B$1:$U$1,V$1)</f>
        <v>0</v>
      </c>
      <c r="W167" s="179">
        <f>SUMIFS('recurring2_based on steps'!$B167:$AY167,'recurring2_based on steps'!$B$1:$AY$1,W$1)+SUMIFS('changes2_based on steps'!$B167:$U167,'changes2_based on steps'!$B$1:$U$1,W$1)</f>
        <v>0</v>
      </c>
      <c r="X167" s="179">
        <f>SUMIFS('recurring2_based on steps'!$B167:$AY167,'recurring2_based on steps'!$B$1:$AY$1,X$1)+SUMIFS('changes2_based on steps'!$B167:$U167,'changes2_based on steps'!$B$1:$U$1,X$1)</f>
        <v>0</v>
      </c>
      <c r="Y167" s="179">
        <f>SUMIFS('recurring2_based on steps'!$B167:$AY167,'recurring2_based on steps'!$B$1:$AY$1,Y$1)+SUMIFS('changes2_based on steps'!$B167:$U167,'changes2_based on steps'!$B$1:$U$1,Y$1)</f>
        <v>0</v>
      </c>
      <c r="Z167" s="179">
        <f>SUMIFS('recurring2_based on steps'!$B167:$AY167,'recurring2_based on steps'!$B$1:$AY$1,Z$1)+SUMIFS('changes2_based on steps'!$B167:$U167,'changes2_based on steps'!$B$1:$U$1,Z$1)</f>
        <v>0</v>
      </c>
      <c r="AA167" s="179">
        <f>SUMIFS('recurring2_based on steps'!$B167:$AY167,'recurring2_based on steps'!$B$1:$AY$1,AA$1)+SUMIFS('changes2_based on steps'!$B167:$U167,'changes2_based on steps'!$B$1:$U$1,AA$1)</f>
        <v>0</v>
      </c>
      <c r="AB167" s="179">
        <f>SUMIFS('recurring2_based on steps'!$B167:$AY167,'recurring2_based on steps'!$B$1:$AY$1,AB$1)+SUMIFS('changes2_based on steps'!$B167:$U167,'changes2_based on steps'!$B$1:$U$1,AB$1)</f>
        <v>0</v>
      </c>
      <c r="AC167" s="179">
        <f>SUMIFS('recurring2_based on steps'!$B167:$AY167,'recurring2_based on steps'!$B$1:$AY$1,AC$1)+SUMIFS('changes2_based on steps'!$B167:$U167,'changes2_based on steps'!$B$1:$U$1,AC$1)</f>
        <v>0</v>
      </c>
      <c r="AD167" s="179">
        <f>SUMIFS('recurring2_based on steps'!$B167:$AY167,'recurring2_based on steps'!$B$1:$AY$1,AD$1)+SUMIFS('changes2_based on steps'!$B167:$U167,'changes2_based on steps'!$B$1:$U$1,AD$1)</f>
        <v>0</v>
      </c>
      <c r="AE167" s="179">
        <f>SUMIFS('recurring2_based on steps'!$B167:$AY167,'recurring2_based on steps'!$B$1:$AY$1,AE$1)+SUMIFS('changes2_based on steps'!$B167:$U167,'changes2_based on steps'!$B$1:$U$1,AE$1)</f>
        <v>0</v>
      </c>
      <c r="AF167" s="179"/>
      <c r="AG167" s="179"/>
      <c r="AH167" s="179"/>
      <c r="AI167" s="179"/>
      <c r="AJ167" s="179"/>
      <c r="AK167" s="179"/>
      <c r="AL167" s="179"/>
      <c r="AM167" s="179"/>
    </row>
    <row r="168" spans="1:39" x14ac:dyDescent="0.2">
      <c r="A168" s="32">
        <f t="shared" ca="1" si="2"/>
        <v>45917</v>
      </c>
      <c r="B168" s="179">
        <f>SUMIFS('recurring2_based on steps'!$B168:$AY168,'recurring2_based on steps'!$B$1:$AY$1,B$1)+SUMIFS('changes2_based on steps'!$B168:$U168,'changes2_based on steps'!$B$1:$U$1,B$1)</f>
        <v>0</v>
      </c>
      <c r="C168" s="179">
        <f>SUMIFS('recurring2_based on steps'!$B168:$AY168,'recurring2_based on steps'!$B$1:$AY$1,C$1)+SUMIFS('changes2_based on steps'!$B168:$U168,'changes2_based on steps'!$B$1:$U$1,C$1)</f>
        <v>0</v>
      </c>
      <c r="D168" s="179">
        <f>SUMIFS('recurring2_based on steps'!$B168:$AY168,'recurring2_based on steps'!$B$1:$AY$1,D$1)+SUMIFS('changes2_based on steps'!$B168:$U168,'changes2_based on steps'!$B$1:$U$1,D$1)</f>
        <v>0</v>
      </c>
      <c r="E168" s="179">
        <f>SUMIFS('recurring2_based on steps'!$B168:$AY168,'recurring2_based on steps'!$B$1:$AY$1,E$1)+SUMIFS('changes2_based on steps'!$B168:$U168,'changes2_based on steps'!$B$1:$U$1,E$1)</f>
        <v>0</v>
      </c>
      <c r="F168" s="179">
        <f>SUMIFS('recurring2_based on steps'!$B168:$AY168,'recurring2_based on steps'!$B$1:$AY$1,F$1)+SUMIFS('changes2_based on steps'!$B168:$U168,'changes2_based on steps'!$B$1:$U$1,F$1)</f>
        <v>0</v>
      </c>
      <c r="G168" s="179">
        <f>SUMIFS('recurring2_based on steps'!$B168:$AY168,'recurring2_based on steps'!$B$1:$AY$1,G$1)+SUMIFS('changes2_based on steps'!$B168:$U168,'changes2_based on steps'!$B$1:$U$1,G$1)</f>
        <v>0</v>
      </c>
      <c r="H168" s="179">
        <f>SUMIFS('recurring2_based on steps'!$B168:$AY168,'recurring2_based on steps'!$B$1:$AY$1,H$1)+SUMIFS('changes2_based on steps'!$B168:$U168,'changes2_based on steps'!$B$1:$U$1,H$1)</f>
        <v>0</v>
      </c>
      <c r="I168" s="179">
        <f>SUMIFS('recurring2_based on steps'!$B168:$AY168,'recurring2_based on steps'!$B$1:$AY$1,I$1)+SUMIFS('changes2_based on steps'!$B168:$U168,'changes2_based on steps'!$B$1:$U$1,I$1)</f>
        <v>0</v>
      </c>
      <c r="J168" s="179">
        <f>SUMIFS('recurring2_based on steps'!$B168:$AY168,'recurring2_based on steps'!$B$1:$AY$1,J$1)+SUMIFS('changes2_based on steps'!$B168:$U168,'changes2_based on steps'!$B$1:$U$1,J$1)</f>
        <v>0</v>
      </c>
      <c r="K168" s="179">
        <f>SUMIFS('recurring2_based on steps'!$B168:$AY168,'recurring2_based on steps'!$B$1:$AY$1,K$1)+SUMIFS('changes2_based on steps'!$B168:$U168,'changes2_based on steps'!$B$1:$U$1,K$1)</f>
        <v>0</v>
      </c>
      <c r="L168" s="179">
        <f>SUMIFS('recurring2_based on steps'!$B168:$AY168,'recurring2_based on steps'!$B$1:$AY$1,L$1)+SUMIFS('changes2_based on steps'!$B168:$U168,'changes2_based on steps'!$B$1:$U$1,L$1)</f>
        <v>0</v>
      </c>
      <c r="M168" s="179">
        <f>SUMIFS('recurring2_based on steps'!$B168:$AY168,'recurring2_based on steps'!$B$1:$AY$1,M$1)+SUMIFS('changes2_based on steps'!$B168:$U168,'changes2_based on steps'!$B$1:$U$1,M$1)</f>
        <v>0</v>
      </c>
      <c r="N168" s="179">
        <f>SUMIFS('recurring2_based on steps'!$B168:$AY168,'recurring2_based on steps'!$B$1:$AY$1,N$1)+SUMIFS('changes2_based on steps'!$B168:$U168,'changes2_based on steps'!$B$1:$U$1,N$1)</f>
        <v>0</v>
      </c>
      <c r="O168" s="179">
        <f>SUMIFS('recurring2_based on steps'!$B168:$AY168,'recurring2_based on steps'!$B$1:$AY$1,O$1)+SUMIFS('changes2_based on steps'!$B168:$U168,'changes2_based on steps'!$B$1:$U$1,O$1)</f>
        <v>0</v>
      </c>
      <c r="P168" s="179">
        <f>SUMIFS('recurring2_based on steps'!$B168:$AY168,'recurring2_based on steps'!$B$1:$AY$1,P$1)+SUMIFS('changes2_based on steps'!$B168:$U168,'changes2_based on steps'!$B$1:$U$1,P$1)</f>
        <v>0</v>
      </c>
      <c r="Q168" s="179">
        <f>SUMIFS('recurring2_based on steps'!$B168:$AY168,'recurring2_based on steps'!$B$1:$AY$1,Q$1)+SUMIFS('changes2_based on steps'!$B168:$U168,'changes2_based on steps'!$B$1:$U$1,Q$1)</f>
        <v>0</v>
      </c>
      <c r="R168" s="179">
        <f>SUMIFS('recurring2_based on steps'!$B168:$AY168,'recurring2_based on steps'!$B$1:$AY$1,R$1)+SUMIFS('changes2_based on steps'!$B168:$U168,'changes2_based on steps'!$B$1:$U$1,R$1)</f>
        <v>0</v>
      </c>
      <c r="S168" s="179">
        <f>SUMIFS('recurring2_based on steps'!$B168:$AY168,'recurring2_based on steps'!$B$1:$AY$1,S$1)+SUMIFS('changes2_based on steps'!$B168:$U168,'changes2_based on steps'!$B$1:$U$1,S$1)</f>
        <v>0</v>
      </c>
      <c r="T168" s="179">
        <f>SUMIFS('recurring2_based on steps'!$B168:$AY168,'recurring2_based on steps'!$B$1:$AY$1,T$1)+SUMIFS('changes2_based on steps'!$B168:$U168,'changes2_based on steps'!$B$1:$U$1,T$1)</f>
        <v>0</v>
      </c>
      <c r="U168" s="179">
        <f>SUMIFS('recurring2_based on steps'!$B168:$AY168,'recurring2_based on steps'!$B$1:$AY$1,U$1)+SUMIFS('changes2_based on steps'!$B168:$U168,'changes2_based on steps'!$B$1:$U$1,U$1)</f>
        <v>0</v>
      </c>
      <c r="V168" s="179">
        <f>SUMIFS('recurring2_based on steps'!$B168:$AY168,'recurring2_based on steps'!$B$1:$AY$1,V$1)+SUMIFS('changes2_based on steps'!$B168:$U168,'changes2_based on steps'!$B$1:$U$1,V$1)</f>
        <v>0</v>
      </c>
      <c r="W168" s="179">
        <f>SUMIFS('recurring2_based on steps'!$B168:$AY168,'recurring2_based on steps'!$B$1:$AY$1,W$1)+SUMIFS('changes2_based on steps'!$B168:$U168,'changes2_based on steps'!$B$1:$U$1,W$1)</f>
        <v>0</v>
      </c>
      <c r="X168" s="179">
        <f>SUMIFS('recurring2_based on steps'!$B168:$AY168,'recurring2_based on steps'!$B$1:$AY$1,X$1)+SUMIFS('changes2_based on steps'!$B168:$U168,'changes2_based on steps'!$B$1:$U$1,X$1)</f>
        <v>0</v>
      </c>
      <c r="Y168" s="179">
        <f>SUMIFS('recurring2_based on steps'!$B168:$AY168,'recurring2_based on steps'!$B$1:$AY$1,Y$1)+SUMIFS('changes2_based on steps'!$B168:$U168,'changes2_based on steps'!$B$1:$U$1,Y$1)</f>
        <v>0</v>
      </c>
      <c r="Z168" s="179">
        <f>SUMIFS('recurring2_based on steps'!$B168:$AY168,'recurring2_based on steps'!$B$1:$AY$1,Z$1)+SUMIFS('changes2_based on steps'!$B168:$U168,'changes2_based on steps'!$B$1:$U$1,Z$1)</f>
        <v>0</v>
      </c>
      <c r="AA168" s="179">
        <f>SUMIFS('recurring2_based on steps'!$B168:$AY168,'recurring2_based on steps'!$B$1:$AY$1,AA$1)+SUMIFS('changes2_based on steps'!$B168:$U168,'changes2_based on steps'!$B$1:$U$1,AA$1)</f>
        <v>0</v>
      </c>
      <c r="AB168" s="179">
        <f>SUMIFS('recurring2_based on steps'!$B168:$AY168,'recurring2_based on steps'!$B$1:$AY$1,AB$1)+SUMIFS('changes2_based on steps'!$B168:$U168,'changes2_based on steps'!$B$1:$U$1,AB$1)</f>
        <v>0</v>
      </c>
      <c r="AC168" s="179">
        <f>SUMIFS('recurring2_based on steps'!$B168:$AY168,'recurring2_based on steps'!$B$1:$AY$1,AC$1)+SUMIFS('changes2_based on steps'!$B168:$U168,'changes2_based on steps'!$B$1:$U$1,AC$1)</f>
        <v>0</v>
      </c>
      <c r="AD168" s="179">
        <f>SUMIFS('recurring2_based on steps'!$B168:$AY168,'recurring2_based on steps'!$B$1:$AY$1,AD$1)+SUMIFS('changes2_based on steps'!$B168:$U168,'changes2_based on steps'!$B$1:$U$1,AD$1)</f>
        <v>0</v>
      </c>
      <c r="AE168" s="179">
        <f>SUMIFS('recurring2_based on steps'!$B168:$AY168,'recurring2_based on steps'!$B$1:$AY$1,AE$1)+SUMIFS('changes2_based on steps'!$B168:$U168,'changes2_based on steps'!$B$1:$U$1,AE$1)</f>
        <v>0</v>
      </c>
      <c r="AF168" s="179"/>
      <c r="AG168" s="179"/>
      <c r="AH168" s="179"/>
      <c r="AI168" s="179"/>
      <c r="AJ168" s="179"/>
      <c r="AK168" s="179"/>
      <c r="AL168" s="179"/>
      <c r="AM168" s="179"/>
    </row>
    <row r="169" spans="1:39" x14ac:dyDescent="0.2">
      <c r="A169" s="32">
        <f t="shared" ca="1" si="2"/>
        <v>45918</v>
      </c>
      <c r="B169" s="179">
        <f>SUMIFS('recurring2_based on steps'!$B169:$AY169,'recurring2_based on steps'!$B$1:$AY$1,B$1)+SUMIFS('changes2_based on steps'!$B169:$U169,'changes2_based on steps'!$B$1:$U$1,B$1)</f>
        <v>0</v>
      </c>
      <c r="C169" s="179">
        <f>SUMIFS('recurring2_based on steps'!$B169:$AY169,'recurring2_based on steps'!$B$1:$AY$1,C$1)+SUMIFS('changes2_based on steps'!$B169:$U169,'changes2_based on steps'!$B$1:$U$1,C$1)</f>
        <v>0</v>
      </c>
      <c r="D169" s="179">
        <f>SUMIFS('recurring2_based on steps'!$B169:$AY169,'recurring2_based on steps'!$B$1:$AY$1,D$1)+SUMIFS('changes2_based on steps'!$B169:$U169,'changes2_based on steps'!$B$1:$U$1,D$1)</f>
        <v>0</v>
      </c>
      <c r="E169" s="179">
        <f>SUMIFS('recurring2_based on steps'!$B169:$AY169,'recurring2_based on steps'!$B$1:$AY$1,E$1)+SUMIFS('changes2_based on steps'!$B169:$U169,'changes2_based on steps'!$B$1:$U$1,E$1)</f>
        <v>0</v>
      </c>
      <c r="F169" s="179">
        <f>SUMIFS('recurring2_based on steps'!$B169:$AY169,'recurring2_based on steps'!$B$1:$AY$1,F$1)+SUMIFS('changes2_based on steps'!$B169:$U169,'changes2_based on steps'!$B$1:$U$1,F$1)</f>
        <v>0</v>
      </c>
      <c r="G169" s="179">
        <f>SUMIFS('recurring2_based on steps'!$B169:$AY169,'recurring2_based on steps'!$B$1:$AY$1,G$1)+SUMIFS('changes2_based on steps'!$B169:$U169,'changes2_based on steps'!$B$1:$U$1,G$1)</f>
        <v>0</v>
      </c>
      <c r="H169" s="179">
        <f>SUMIFS('recurring2_based on steps'!$B169:$AY169,'recurring2_based on steps'!$B$1:$AY$1,H$1)+SUMIFS('changes2_based on steps'!$B169:$U169,'changes2_based on steps'!$B$1:$U$1,H$1)</f>
        <v>0</v>
      </c>
      <c r="I169" s="179">
        <f>SUMIFS('recurring2_based on steps'!$B169:$AY169,'recurring2_based on steps'!$B$1:$AY$1,I$1)+SUMIFS('changes2_based on steps'!$B169:$U169,'changes2_based on steps'!$B$1:$U$1,I$1)</f>
        <v>0</v>
      </c>
      <c r="J169" s="179">
        <f>SUMIFS('recurring2_based on steps'!$B169:$AY169,'recurring2_based on steps'!$B$1:$AY$1,J$1)+SUMIFS('changes2_based on steps'!$B169:$U169,'changes2_based on steps'!$B$1:$U$1,J$1)</f>
        <v>0</v>
      </c>
      <c r="K169" s="179">
        <f>SUMIFS('recurring2_based on steps'!$B169:$AY169,'recurring2_based on steps'!$B$1:$AY$1,K$1)+SUMIFS('changes2_based on steps'!$B169:$U169,'changes2_based on steps'!$B$1:$U$1,K$1)</f>
        <v>0</v>
      </c>
      <c r="L169" s="179">
        <f>SUMIFS('recurring2_based on steps'!$B169:$AY169,'recurring2_based on steps'!$B$1:$AY$1,L$1)+SUMIFS('changes2_based on steps'!$B169:$U169,'changes2_based on steps'!$B$1:$U$1,L$1)</f>
        <v>0</v>
      </c>
      <c r="M169" s="179">
        <f>SUMIFS('recurring2_based on steps'!$B169:$AY169,'recurring2_based on steps'!$B$1:$AY$1,M$1)+SUMIFS('changes2_based on steps'!$B169:$U169,'changes2_based on steps'!$B$1:$U$1,M$1)</f>
        <v>0</v>
      </c>
      <c r="N169" s="179">
        <f>SUMIFS('recurring2_based on steps'!$B169:$AY169,'recurring2_based on steps'!$B$1:$AY$1,N$1)+SUMIFS('changes2_based on steps'!$B169:$U169,'changes2_based on steps'!$B$1:$U$1,N$1)</f>
        <v>0</v>
      </c>
      <c r="O169" s="179">
        <f>SUMIFS('recurring2_based on steps'!$B169:$AY169,'recurring2_based on steps'!$B$1:$AY$1,O$1)+SUMIFS('changes2_based on steps'!$B169:$U169,'changes2_based on steps'!$B$1:$U$1,O$1)</f>
        <v>0</v>
      </c>
      <c r="P169" s="179">
        <f>SUMIFS('recurring2_based on steps'!$B169:$AY169,'recurring2_based on steps'!$B$1:$AY$1,P$1)+SUMIFS('changes2_based on steps'!$B169:$U169,'changes2_based on steps'!$B$1:$U$1,P$1)</f>
        <v>0</v>
      </c>
      <c r="Q169" s="179">
        <f>SUMIFS('recurring2_based on steps'!$B169:$AY169,'recurring2_based on steps'!$B$1:$AY$1,Q$1)+SUMIFS('changes2_based on steps'!$B169:$U169,'changes2_based on steps'!$B$1:$U$1,Q$1)</f>
        <v>0</v>
      </c>
      <c r="R169" s="179">
        <f>SUMIFS('recurring2_based on steps'!$B169:$AY169,'recurring2_based on steps'!$B$1:$AY$1,R$1)+SUMIFS('changes2_based on steps'!$B169:$U169,'changes2_based on steps'!$B$1:$U$1,R$1)</f>
        <v>0</v>
      </c>
      <c r="S169" s="179">
        <f>SUMIFS('recurring2_based on steps'!$B169:$AY169,'recurring2_based on steps'!$B$1:$AY$1,S$1)+SUMIFS('changes2_based on steps'!$B169:$U169,'changes2_based on steps'!$B$1:$U$1,S$1)</f>
        <v>0</v>
      </c>
      <c r="T169" s="179">
        <f>SUMIFS('recurring2_based on steps'!$B169:$AY169,'recurring2_based on steps'!$B$1:$AY$1,T$1)+SUMIFS('changes2_based on steps'!$B169:$U169,'changes2_based on steps'!$B$1:$U$1,T$1)</f>
        <v>0</v>
      </c>
      <c r="U169" s="179">
        <f>SUMIFS('recurring2_based on steps'!$B169:$AY169,'recurring2_based on steps'!$B$1:$AY$1,U$1)+SUMIFS('changes2_based on steps'!$B169:$U169,'changes2_based on steps'!$B$1:$U$1,U$1)</f>
        <v>0</v>
      </c>
      <c r="V169" s="179">
        <f>SUMIFS('recurring2_based on steps'!$B169:$AY169,'recurring2_based on steps'!$B$1:$AY$1,V$1)+SUMIFS('changes2_based on steps'!$B169:$U169,'changes2_based on steps'!$B$1:$U$1,V$1)</f>
        <v>0</v>
      </c>
      <c r="W169" s="179">
        <f>SUMIFS('recurring2_based on steps'!$B169:$AY169,'recurring2_based on steps'!$B$1:$AY$1,W$1)+SUMIFS('changes2_based on steps'!$B169:$U169,'changes2_based on steps'!$B$1:$U$1,W$1)</f>
        <v>0</v>
      </c>
      <c r="X169" s="179">
        <f>SUMIFS('recurring2_based on steps'!$B169:$AY169,'recurring2_based on steps'!$B$1:$AY$1,X$1)+SUMIFS('changes2_based on steps'!$B169:$U169,'changes2_based on steps'!$B$1:$U$1,X$1)</f>
        <v>0</v>
      </c>
      <c r="Y169" s="179">
        <f>SUMIFS('recurring2_based on steps'!$B169:$AY169,'recurring2_based on steps'!$B$1:$AY$1,Y$1)+SUMIFS('changes2_based on steps'!$B169:$U169,'changes2_based on steps'!$B$1:$U$1,Y$1)</f>
        <v>0</v>
      </c>
      <c r="Z169" s="179">
        <f>SUMIFS('recurring2_based on steps'!$B169:$AY169,'recurring2_based on steps'!$B$1:$AY$1,Z$1)+SUMIFS('changes2_based on steps'!$B169:$U169,'changes2_based on steps'!$B$1:$U$1,Z$1)</f>
        <v>0</v>
      </c>
      <c r="AA169" s="179">
        <f>SUMIFS('recurring2_based on steps'!$B169:$AY169,'recurring2_based on steps'!$B$1:$AY$1,AA$1)+SUMIFS('changes2_based on steps'!$B169:$U169,'changes2_based on steps'!$B$1:$U$1,AA$1)</f>
        <v>0</v>
      </c>
      <c r="AB169" s="179">
        <f>SUMIFS('recurring2_based on steps'!$B169:$AY169,'recurring2_based on steps'!$B$1:$AY$1,AB$1)+SUMIFS('changes2_based on steps'!$B169:$U169,'changes2_based on steps'!$B$1:$U$1,AB$1)</f>
        <v>0</v>
      </c>
      <c r="AC169" s="179">
        <f>SUMIFS('recurring2_based on steps'!$B169:$AY169,'recurring2_based on steps'!$B$1:$AY$1,AC$1)+SUMIFS('changes2_based on steps'!$B169:$U169,'changes2_based on steps'!$B$1:$U$1,AC$1)</f>
        <v>0</v>
      </c>
      <c r="AD169" s="179">
        <f>SUMIFS('recurring2_based on steps'!$B169:$AY169,'recurring2_based on steps'!$B$1:$AY$1,AD$1)+SUMIFS('changes2_based on steps'!$B169:$U169,'changes2_based on steps'!$B$1:$U$1,AD$1)</f>
        <v>0</v>
      </c>
      <c r="AE169" s="179">
        <f>SUMIFS('recurring2_based on steps'!$B169:$AY169,'recurring2_based on steps'!$B$1:$AY$1,AE$1)+SUMIFS('changes2_based on steps'!$B169:$U169,'changes2_based on steps'!$B$1:$U$1,AE$1)</f>
        <v>0</v>
      </c>
      <c r="AF169" s="179"/>
      <c r="AG169" s="179"/>
      <c r="AH169" s="179"/>
      <c r="AI169" s="179"/>
      <c r="AJ169" s="179"/>
      <c r="AK169" s="179"/>
      <c r="AL169" s="179"/>
      <c r="AM169" s="179"/>
    </row>
    <row r="170" spans="1:39" x14ac:dyDescent="0.2">
      <c r="A170" s="32">
        <f t="shared" ca="1" si="2"/>
        <v>45919</v>
      </c>
      <c r="B170" s="179">
        <f>SUMIFS('recurring2_based on steps'!$B170:$AY170,'recurring2_based on steps'!$B$1:$AY$1,B$1)+SUMIFS('changes2_based on steps'!$B170:$U170,'changes2_based on steps'!$B$1:$U$1,B$1)</f>
        <v>0</v>
      </c>
      <c r="C170" s="179">
        <f>SUMIFS('recurring2_based on steps'!$B170:$AY170,'recurring2_based on steps'!$B$1:$AY$1,C$1)+SUMIFS('changes2_based on steps'!$B170:$U170,'changes2_based on steps'!$B$1:$U$1,C$1)</f>
        <v>0</v>
      </c>
      <c r="D170" s="179">
        <f>SUMIFS('recurring2_based on steps'!$B170:$AY170,'recurring2_based on steps'!$B$1:$AY$1,D$1)+SUMIFS('changes2_based on steps'!$B170:$U170,'changes2_based on steps'!$B$1:$U$1,D$1)</f>
        <v>0</v>
      </c>
      <c r="E170" s="179">
        <f>SUMIFS('recurring2_based on steps'!$B170:$AY170,'recurring2_based on steps'!$B$1:$AY$1,E$1)+SUMIFS('changes2_based on steps'!$B170:$U170,'changes2_based on steps'!$B$1:$U$1,E$1)</f>
        <v>0</v>
      </c>
      <c r="F170" s="179">
        <f>SUMIFS('recurring2_based on steps'!$B170:$AY170,'recurring2_based on steps'!$B$1:$AY$1,F$1)+SUMIFS('changes2_based on steps'!$B170:$U170,'changes2_based on steps'!$B$1:$U$1,F$1)</f>
        <v>0</v>
      </c>
      <c r="G170" s="179">
        <f>SUMIFS('recurring2_based on steps'!$B170:$AY170,'recurring2_based on steps'!$B$1:$AY$1,G$1)+SUMIFS('changes2_based on steps'!$B170:$U170,'changes2_based on steps'!$B$1:$U$1,G$1)</f>
        <v>0</v>
      </c>
      <c r="H170" s="179">
        <f>SUMIFS('recurring2_based on steps'!$B170:$AY170,'recurring2_based on steps'!$B$1:$AY$1,H$1)+SUMIFS('changes2_based on steps'!$B170:$U170,'changes2_based on steps'!$B$1:$U$1,H$1)</f>
        <v>0</v>
      </c>
      <c r="I170" s="179">
        <f>SUMIFS('recurring2_based on steps'!$B170:$AY170,'recurring2_based on steps'!$B$1:$AY$1,I$1)+SUMIFS('changes2_based on steps'!$B170:$U170,'changes2_based on steps'!$B$1:$U$1,I$1)</f>
        <v>0</v>
      </c>
      <c r="J170" s="179">
        <f>SUMIFS('recurring2_based on steps'!$B170:$AY170,'recurring2_based on steps'!$B$1:$AY$1,J$1)+SUMIFS('changes2_based on steps'!$B170:$U170,'changes2_based on steps'!$B$1:$U$1,J$1)</f>
        <v>0</v>
      </c>
      <c r="K170" s="179">
        <f>SUMIFS('recurring2_based on steps'!$B170:$AY170,'recurring2_based on steps'!$B$1:$AY$1,K$1)+SUMIFS('changes2_based on steps'!$B170:$U170,'changes2_based on steps'!$B$1:$U$1,K$1)</f>
        <v>0</v>
      </c>
      <c r="L170" s="179">
        <f>SUMIFS('recurring2_based on steps'!$B170:$AY170,'recurring2_based on steps'!$B$1:$AY$1,L$1)+SUMIFS('changes2_based on steps'!$B170:$U170,'changes2_based on steps'!$B$1:$U$1,L$1)</f>
        <v>0</v>
      </c>
      <c r="M170" s="179">
        <f>SUMIFS('recurring2_based on steps'!$B170:$AY170,'recurring2_based on steps'!$B$1:$AY$1,M$1)+SUMIFS('changes2_based on steps'!$B170:$U170,'changes2_based on steps'!$B$1:$U$1,M$1)</f>
        <v>0</v>
      </c>
      <c r="N170" s="179">
        <f>SUMIFS('recurring2_based on steps'!$B170:$AY170,'recurring2_based on steps'!$B$1:$AY$1,N$1)+SUMIFS('changes2_based on steps'!$B170:$U170,'changes2_based on steps'!$B$1:$U$1,N$1)</f>
        <v>0</v>
      </c>
      <c r="O170" s="179">
        <f>SUMIFS('recurring2_based on steps'!$B170:$AY170,'recurring2_based on steps'!$B$1:$AY$1,O$1)+SUMIFS('changes2_based on steps'!$B170:$U170,'changes2_based on steps'!$B$1:$U$1,O$1)</f>
        <v>0</v>
      </c>
      <c r="P170" s="179">
        <f>SUMIFS('recurring2_based on steps'!$B170:$AY170,'recurring2_based on steps'!$B$1:$AY$1,P$1)+SUMIFS('changes2_based on steps'!$B170:$U170,'changes2_based on steps'!$B$1:$U$1,P$1)</f>
        <v>0</v>
      </c>
      <c r="Q170" s="179">
        <f>SUMIFS('recurring2_based on steps'!$B170:$AY170,'recurring2_based on steps'!$B$1:$AY$1,Q$1)+SUMIFS('changes2_based on steps'!$B170:$U170,'changes2_based on steps'!$B$1:$U$1,Q$1)</f>
        <v>0</v>
      </c>
      <c r="R170" s="179">
        <f>SUMIFS('recurring2_based on steps'!$B170:$AY170,'recurring2_based on steps'!$B$1:$AY$1,R$1)+SUMIFS('changes2_based on steps'!$B170:$U170,'changes2_based on steps'!$B$1:$U$1,R$1)</f>
        <v>0</v>
      </c>
      <c r="S170" s="179">
        <f>SUMIFS('recurring2_based on steps'!$B170:$AY170,'recurring2_based on steps'!$B$1:$AY$1,S$1)+SUMIFS('changes2_based on steps'!$B170:$U170,'changes2_based on steps'!$B$1:$U$1,S$1)</f>
        <v>0</v>
      </c>
      <c r="T170" s="179">
        <f>SUMIFS('recurring2_based on steps'!$B170:$AY170,'recurring2_based on steps'!$B$1:$AY$1,T$1)+SUMIFS('changes2_based on steps'!$B170:$U170,'changes2_based on steps'!$B$1:$U$1,T$1)</f>
        <v>0</v>
      </c>
      <c r="U170" s="179">
        <f>SUMIFS('recurring2_based on steps'!$B170:$AY170,'recurring2_based on steps'!$B$1:$AY$1,U$1)+SUMIFS('changes2_based on steps'!$B170:$U170,'changes2_based on steps'!$B$1:$U$1,U$1)</f>
        <v>0</v>
      </c>
      <c r="V170" s="179">
        <f>SUMIFS('recurring2_based on steps'!$B170:$AY170,'recurring2_based on steps'!$B$1:$AY$1,V$1)+SUMIFS('changes2_based on steps'!$B170:$U170,'changes2_based on steps'!$B$1:$U$1,V$1)</f>
        <v>0</v>
      </c>
      <c r="W170" s="179">
        <f>SUMIFS('recurring2_based on steps'!$B170:$AY170,'recurring2_based on steps'!$B$1:$AY$1,W$1)+SUMIFS('changes2_based on steps'!$B170:$U170,'changes2_based on steps'!$B$1:$U$1,W$1)</f>
        <v>0</v>
      </c>
      <c r="X170" s="179">
        <f>SUMIFS('recurring2_based on steps'!$B170:$AY170,'recurring2_based on steps'!$B$1:$AY$1,X$1)+SUMIFS('changes2_based on steps'!$B170:$U170,'changes2_based on steps'!$B$1:$U$1,X$1)</f>
        <v>0</v>
      </c>
      <c r="Y170" s="179">
        <f>SUMIFS('recurring2_based on steps'!$B170:$AY170,'recurring2_based on steps'!$B$1:$AY$1,Y$1)+SUMIFS('changes2_based on steps'!$B170:$U170,'changes2_based on steps'!$B$1:$U$1,Y$1)</f>
        <v>0</v>
      </c>
      <c r="Z170" s="179">
        <f>SUMIFS('recurring2_based on steps'!$B170:$AY170,'recurring2_based on steps'!$B$1:$AY$1,Z$1)+SUMIFS('changes2_based on steps'!$B170:$U170,'changes2_based on steps'!$B$1:$U$1,Z$1)</f>
        <v>0</v>
      </c>
      <c r="AA170" s="179">
        <f>SUMIFS('recurring2_based on steps'!$B170:$AY170,'recurring2_based on steps'!$B$1:$AY$1,AA$1)+SUMIFS('changes2_based on steps'!$B170:$U170,'changes2_based on steps'!$B$1:$U$1,AA$1)</f>
        <v>0</v>
      </c>
      <c r="AB170" s="179">
        <f>SUMIFS('recurring2_based on steps'!$B170:$AY170,'recurring2_based on steps'!$B$1:$AY$1,AB$1)+SUMIFS('changes2_based on steps'!$B170:$U170,'changes2_based on steps'!$B$1:$U$1,AB$1)</f>
        <v>0</v>
      </c>
      <c r="AC170" s="179">
        <f>SUMIFS('recurring2_based on steps'!$B170:$AY170,'recurring2_based on steps'!$B$1:$AY$1,AC$1)+SUMIFS('changes2_based on steps'!$B170:$U170,'changes2_based on steps'!$B$1:$U$1,AC$1)</f>
        <v>0</v>
      </c>
      <c r="AD170" s="179">
        <f>SUMIFS('recurring2_based on steps'!$B170:$AY170,'recurring2_based on steps'!$B$1:$AY$1,AD$1)+SUMIFS('changes2_based on steps'!$B170:$U170,'changes2_based on steps'!$B$1:$U$1,AD$1)</f>
        <v>0</v>
      </c>
      <c r="AE170" s="179">
        <f>SUMIFS('recurring2_based on steps'!$B170:$AY170,'recurring2_based on steps'!$B$1:$AY$1,AE$1)+SUMIFS('changes2_based on steps'!$B170:$U170,'changes2_based on steps'!$B$1:$U$1,AE$1)</f>
        <v>0</v>
      </c>
      <c r="AF170" s="179"/>
      <c r="AG170" s="179"/>
      <c r="AH170" s="179"/>
      <c r="AI170" s="179"/>
      <c r="AJ170" s="179"/>
      <c r="AK170" s="179"/>
      <c r="AL170" s="179"/>
      <c r="AM170" s="179"/>
    </row>
    <row r="171" spans="1:39" x14ac:dyDescent="0.2">
      <c r="A171" s="32">
        <f t="shared" ca="1" si="2"/>
        <v>45920</v>
      </c>
      <c r="B171" s="179">
        <f>SUMIFS('recurring2_based on steps'!$B171:$AY171,'recurring2_based on steps'!$B$1:$AY$1,B$1)+SUMIFS('changes2_based on steps'!$B171:$U171,'changes2_based on steps'!$B$1:$U$1,B$1)</f>
        <v>0</v>
      </c>
      <c r="C171" s="179">
        <f>SUMIFS('recurring2_based on steps'!$B171:$AY171,'recurring2_based on steps'!$B$1:$AY$1,C$1)+SUMIFS('changes2_based on steps'!$B171:$U171,'changes2_based on steps'!$B$1:$U$1,C$1)</f>
        <v>0</v>
      </c>
      <c r="D171" s="179">
        <f>SUMIFS('recurring2_based on steps'!$B171:$AY171,'recurring2_based on steps'!$B$1:$AY$1,D$1)+SUMIFS('changes2_based on steps'!$B171:$U171,'changes2_based on steps'!$B$1:$U$1,D$1)</f>
        <v>0</v>
      </c>
      <c r="E171" s="179">
        <f>SUMIFS('recurring2_based on steps'!$B171:$AY171,'recurring2_based on steps'!$B$1:$AY$1,E$1)+SUMIFS('changes2_based on steps'!$B171:$U171,'changes2_based on steps'!$B$1:$U$1,E$1)</f>
        <v>0</v>
      </c>
      <c r="F171" s="179">
        <f>SUMIFS('recurring2_based on steps'!$B171:$AY171,'recurring2_based on steps'!$B$1:$AY$1,F$1)+SUMIFS('changes2_based on steps'!$B171:$U171,'changes2_based on steps'!$B$1:$U$1,F$1)</f>
        <v>0</v>
      </c>
      <c r="G171" s="179">
        <f>SUMIFS('recurring2_based on steps'!$B171:$AY171,'recurring2_based on steps'!$B$1:$AY$1,G$1)+SUMIFS('changes2_based on steps'!$B171:$U171,'changes2_based on steps'!$B$1:$U$1,G$1)</f>
        <v>0</v>
      </c>
      <c r="H171" s="179">
        <f>SUMIFS('recurring2_based on steps'!$B171:$AY171,'recurring2_based on steps'!$B$1:$AY$1,H$1)+SUMIFS('changes2_based on steps'!$B171:$U171,'changes2_based on steps'!$B$1:$U$1,H$1)</f>
        <v>0</v>
      </c>
      <c r="I171" s="179">
        <f>SUMIFS('recurring2_based on steps'!$B171:$AY171,'recurring2_based on steps'!$B$1:$AY$1,I$1)+SUMIFS('changes2_based on steps'!$B171:$U171,'changes2_based on steps'!$B$1:$U$1,I$1)</f>
        <v>0</v>
      </c>
      <c r="J171" s="179">
        <f>SUMIFS('recurring2_based on steps'!$B171:$AY171,'recurring2_based on steps'!$B$1:$AY$1,J$1)+SUMIFS('changes2_based on steps'!$B171:$U171,'changes2_based on steps'!$B$1:$U$1,J$1)</f>
        <v>0</v>
      </c>
      <c r="K171" s="179">
        <f>SUMIFS('recurring2_based on steps'!$B171:$AY171,'recurring2_based on steps'!$B$1:$AY$1,K$1)+SUMIFS('changes2_based on steps'!$B171:$U171,'changes2_based on steps'!$B$1:$U$1,K$1)</f>
        <v>0</v>
      </c>
      <c r="L171" s="179">
        <f>SUMIFS('recurring2_based on steps'!$B171:$AY171,'recurring2_based on steps'!$B$1:$AY$1,L$1)+SUMIFS('changes2_based on steps'!$B171:$U171,'changes2_based on steps'!$B$1:$U$1,L$1)</f>
        <v>0</v>
      </c>
      <c r="M171" s="179">
        <f>SUMIFS('recurring2_based on steps'!$B171:$AY171,'recurring2_based on steps'!$B$1:$AY$1,M$1)+SUMIFS('changes2_based on steps'!$B171:$U171,'changes2_based on steps'!$B$1:$U$1,M$1)</f>
        <v>0</v>
      </c>
      <c r="N171" s="179">
        <f>SUMIFS('recurring2_based on steps'!$B171:$AY171,'recurring2_based on steps'!$B$1:$AY$1,N$1)+SUMIFS('changes2_based on steps'!$B171:$U171,'changes2_based on steps'!$B$1:$U$1,N$1)</f>
        <v>0</v>
      </c>
      <c r="O171" s="179">
        <f>SUMIFS('recurring2_based on steps'!$B171:$AY171,'recurring2_based on steps'!$B$1:$AY$1,O$1)+SUMIFS('changes2_based on steps'!$B171:$U171,'changes2_based on steps'!$B$1:$U$1,O$1)</f>
        <v>0</v>
      </c>
      <c r="P171" s="179">
        <f>SUMIFS('recurring2_based on steps'!$B171:$AY171,'recurring2_based on steps'!$B$1:$AY$1,P$1)+SUMIFS('changes2_based on steps'!$B171:$U171,'changes2_based on steps'!$B$1:$U$1,P$1)</f>
        <v>0</v>
      </c>
      <c r="Q171" s="179">
        <f>SUMIFS('recurring2_based on steps'!$B171:$AY171,'recurring2_based on steps'!$B$1:$AY$1,Q$1)+SUMIFS('changes2_based on steps'!$B171:$U171,'changes2_based on steps'!$B$1:$U$1,Q$1)</f>
        <v>0</v>
      </c>
      <c r="R171" s="179">
        <f>SUMIFS('recurring2_based on steps'!$B171:$AY171,'recurring2_based on steps'!$B$1:$AY$1,R$1)+SUMIFS('changes2_based on steps'!$B171:$U171,'changes2_based on steps'!$B$1:$U$1,R$1)</f>
        <v>0</v>
      </c>
      <c r="S171" s="179">
        <f>SUMIFS('recurring2_based on steps'!$B171:$AY171,'recurring2_based on steps'!$B$1:$AY$1,S$1)+SUMIFS('changes2_based on steps'!$B171:$U171,'changes2_based on steps'!$B$1:$U$1,S$1)</f>
        <v>0</v>
      </c>
      <c r="T171" s="179">
        <f>SUMIFS('recurring2_based on steps'!$B171:$AY171,'recurring2_based on steps'!$B$1:$AY$1,T$1)+SUMIFS('changes2_based on steps'!$B171:$U171,'changes2_based on steps'!$B$1:$U$1,T$1)</f>
        <v>0</v>
      </c>
      <c r="U171" s="179">
        <f>SUMIFS('recurring2_based on steps'!$B171:$AY171,'recurring2_based on steps'!$B$1:$AY$1,U$1)+SUMIFS('changes2_based on steps'!$B171:$U171,'changes2_based on steps'!$B$1:$U$1,U$1)</f>
        <v>0</v>
      </c>
      <c r="V171" s="179">
        <f>SUMIFS('recurring2_based on steps'!$B171:$AY171,'recurring2_based on steps'!$B$1:$AY$1,V$1)+SUMIFS('changes2_based on steps'!$B171:$U171,'changes2_based on steps'!$B$1:$U$1,V$1)</f>
        <v>0</v>
      </c>
      <c r="W171" s="179">
        <f>SUMIFS('recurring2_based on steps'!$B171:$AY171,'recurring2_based on steps'!$B$1:$AY$1,W$1)+SUMIFS('changes2_based on steps'!$B171:$U171,'changes2_based on steps'!$B$1:$U$1,W$1)</f>
        <v>0</v>
      </c>
      <c r="X171" s="179">
        <f>SUMIFS('recurring2_based on steps'!$B171:$AY171,'recurring2_based on steps'!$B$1:$AY$1,X$1)+SUMIFS('changes2_based on steps'!$B171:$U171,'changes2_based on steps'!$B$1:$U$1,X$1)</f>
        <v>0</v>
      </c>
      <c r="Y171" s="179">
        <f>SUMIFS('recurring2_based on steps'!$B171:$AY171,'recurring2_based on steps'!$B$1:$AY$1,Y$1)+SUMIFS('changes2_based on steps'!$B171:$U171,'changes2_based on steps'!$B$1:$U$1,Y$1)</f>
        <v>0</v>
      </c>
      <c r="Z171" s="179">
        <f>SUMIFS('recurring2_based on steps'!$B171:$AY171,'recurring2_based on steps'!$B$1:$AY$1,Z$1)+SUMIFS('changes2_based on steps'!$B171:$U171,'changes2_based on steps'!$B$1:$U$1,Z$1)</f>
        <v>0</v>
      </c>
      <c r="AA171" s="179">
        <f>SUMIFS('recurring2_based on steps'!$B171:$AY171,'recurring2_based on steps'!$B$1:$AY$1,AA$1)+SUMIFS('changes2_based on steps'!$B171:$U171,'changes2_based on steps'!$B$1:$U$1,AA$1)</f>
        <v>0</v>
      </c>
      <c r="AB171" s="179">
        <f>SUMIFS('recurring2_based on steps'!$B171:$AY171,'recurring2_based on steps'!$B$1:$AY$1,AB$1)+SUMIFS('changes2_based on steps'!$B171:$U171,'changes2_based on steps'!$B$1:$U$1,AB$1)</f>
        <v>0</v>
      </c>
      <c r="AC171" s="179">
        <f>SUMIFS('recurring2_based on steps'!$B171:$AY171,'recurring2_based on steps'!$B$1:$AY$1,AC$1)+SUMIFS('changes2_based on steps'!$B171:$U171,'changes2_based on steps'!$B$1:$U$1,AC$1)</f>
        <v>0</v>
      </c>
      <c r="AD171" s="179">
        <f>SUMIFS('recurring2_based on steps'!$B171:$AY171,'recurring2_based on steps'!$B$1:$AY$1,AD$1)+SUMIFS('changes2_based on steps'!$B171:$U171,'changes2_based on steps'!$B$1:$U$1,AD$1)</f>
        <v>0</v>
      </c>
      <c r="AE171" s="179">
        <f>SUMIFS('recurring2_based on steps'!$B171:$AY171,'recurring2_based on steps'!$B$1:$AY$1,AE$1)+SUMIFS('changes2_based on steps'!$B171:$U171,'changes2_based on steps'!$B$1:$U$1,AE$1)</f>
        <v>0</v>
      </c>
      <c r="AF171" s="179"/>
      <c r="AG171" s="179"/>
      <c r="AH171" s="179"/>
      <c r="AI171" s="179"/>
      <c r="AJ171" s="179"/>
      <c r="AK171" s="179"/>
      <c r="AL171" s="179"/>
      <c r="AM171" s="179"/>
    </row>
    <row r="172" spans="1:39" x14ac:dyDescent="0.2">
      <c r="A172" s="32">
        <f t="shared" ca="1" si="2"/>
        <v>45921</v>
      </c>
      <c r="B172" s="179">
        <f>SUMIFS('recurring2_based on steps'!$B172:$AY172,'recurring2_based on steps'!$B$1:$AY$1,B$1)+SUMIFS('changes2_based on steps'!$B172:$U172,'changes2_based on steps'!$B$1:$U$1,B$1)</f>
        <v>0</v>
      </c>
      <c r="C172" s="179">
        <f>SUMIFS('recurring2_based on steps'!$B172:$AY172,'recurring2_based on steps'!$B$1:$AY$1,C$1)+SUMIFS('changes2_based on steps'!$B172:$U172,'changes2_based on steps'!$B$1:$U$1,C$1)</f>
        <v>0</v>
      </c>
      <c r="D172" s="179">
        <f>SUMIFS('recurring2_based on steps'!$B172:$AY172,'recurring2_based on steps'!$B$1:$AY$1,D$1)+SUMIFS('changes2_based on steps'!$B172:$U172,'changes2_based on steps'!$B$1:$U$1,D$1)</f>
        <v>0</v>
      </c>
      <c r="E172" s="179">
        <f>SUMIFS('recurring2_based on steps'!$B172:$AY172,'recurring2_based on steps'!$B$1:$AY$1,E$1)+SUMIFS('changes2_based on steps'!$B172:$U172,'changes2_based on steps'!$B$1:$U$1,E$1)</f>
        <v>0</v>
      </c>
      <c r="F172" s="179">
        <f>SUMIFS('recurring2_based on steps'!$B172:$AY172,'recurring2_based on steps'!$B$1:$AY$1,F$1)+SUMIFS('changes2_based on steps'!$B172:$U172,'changes2_based on steps'!$B$1:$U$1,F$1)</f>
        <v>0</v>
      </c>
      <c r="G172" s="179">
        <f>SUMIFS('recurring2_based on steps'!$B172:$AY172,'recurring2_based on steps'!$B$1:$AY$1,G$1)+SUMIFS('changes2_based on steps'!$B172:$U172,'changes2_based on steps'!$B$1:$U$1,G$1)</f>
        <v>0</v>
      </c>
      <c r="H172" s="179">
        <f>SUMIFS('recurring2_based on steps'!$B172:$AY172,'recurring2_based on steps'!$B$1:$AY$1,H$1)+SUMIFS('changes2_based on steps'!$B172:$U172,'changes2_based on steps'!$B$1:$U$1,H$1)</f>
        <v>0</v>
      </c>
      <c r="I172" s="179">
        <f>SUMIFS('recurring2_based on steps'!$B172:$AY172,'recurring2_based on steps'!$B$1:$AY$1,I$1)+SUMIFS('changes2_based on steps'!$B172:$U172,'changes2_based on steps'!$B$1:$U$1,I$1)</f>
        <v>0</v>
      </c>
      <c r="J172" s="179">
        <f>SUMIFS('recurring2_based on steps'!$B172:$AY172,'recurring2_based on steps'!$B$1:$AY$1,J$1)+SUMIFS('changes2_based on steps'!$B172:$U172,'changes2_based on steps'!$B$1:$U$1,J$1)</f>
        <v>0</v>
      </c>
      <c r="K172" s="179">
        <f>SUMIFS('recurring2_based on steps'!$B172:$AY172,'recurring2_based on steps'!$B$1:$AY$1,K$1)+SUMIFS('changes2_based on steps'!$B172:$U172,'changes2_based on steps'!$B$1:$U$1,K$1)</f>
        <v>0</v>
      </c>
      <c r="L172" s="179">
        <f>SUMIFS('recurring2_based on steps'!$B172:$AY172,'recurring2_based on steps'!$B$1:$AY$1,L$1)+SUMIFS('changes2_based on steps'!$B172:$U172,'changes2_based on steps'!$B$1:$U$1,L$1)</f>
        <v>0</v>
      </c>
      <c r="M172" s="179">
        <f>SUMIFS('recurring2_based on steps'!$B172:$AY172,'recurring2_based on steps'!$B$1:$AY$1,M$1)+SUMIFS('changes2_based on steps'!$B172:$U172,'changes2_based on steps'!$B$1:$U$1,M$1)</f>
        <v>0</v>
      </c>
      <c r="N172" s="179">
        <f>SUMIFS('recurring2_based on steps'!$B172:$AY172,'recurring2_based on steps'!$B$1:$AY$1,N$1)+SUMIFS('changes2_based on steps'!$B172:$U172,'changes2_based on steps'!$B$1:$U$1,N$1)</f>
        <v>0</v>
      </c>
      <c r="O172" s="179">
        <f>SUMIFS('recurring2_based on steps'!$B172:$AY172,'recurring2_based on steps'!$B$1:$AY$1,O$1)+SUMIFS('changes2_based on steps'!$B172:$U172,'changes2_based on steps'!$B$1:$U$1,O$1)</f>
        <v>0</v>
      </c>
      <c r="P172" s="179">
        <f>SUMIFS('recurring2_based on steps'!$B172:$AY172,'recurring2_based on steps'!$B$1:$AY$1,P$1)+SUMIFS('changes2_based on steps'!$B172:$U172,'changes2_based on steps'!$B$1:$U$1,P$1)</f>
        <v>0</v>
      </c>
      <c r="Q172" s="179">
        <f>SUMIFS('recurring2_based on steps'!$B172:$AY172,'recurring2_based on steps'!$B$1:$AY$1,Q$1)+SUMIFS('changes2_based on steps'!$B172:$U172,'changes2_based on steps'!$B$1:$U$1,Q$1)</f>
        <v>0</v>
      </c>
      <c r="R172" s="179">
        <f>SUMIFS('recurring2_based on steps'!$B172:$AY172,'recurring2_based on steps'!$B$1:$AY$1,R$1)+SUMIFS('changes2_based on steps'!$B172:$U172,'changes2_based on steps'!$B$1:$U$1,R$1)</f>
        <v>0</v>
      </c>
      <c r="S172" s="179">
        <f>SUMIFS('recurring2_based on steps'!$B172:$AY172,'recurring2_based on steps'!$B$1:$AY$1,S$1)+SUMIFS('changes2_based on steps'!$B172:$U172,'changes2_based on steps'!$B$1:$U$1,S$1)</f>
        <v>0</v>
      </c>
      <c r="T172" s="179">
        <f>SUMIFS('recurring2_based on steps'!$B172:$AY172,'recurring2_based on steps'!$B$1:$AY$1,T$1)+SUMIFS('changes2_based on steps'!$B172:$U172,'changes2_based on steps'!$B$1:$U$1,T$1)</f>
        <v>0</v>
      </c>
      <c r="U172" s="179">
        <f>SUMIFS('recurring2_based on steps'!$B172:$AY172,'recurring2_based on steps'!$B$1:$AY$1,U$1)+SUMIFS('changes2_based on steps'!$B172:$U172,'changes2_based on steps'!$B$1:$U$1,U$1)</f>
        <v>0</v>
      </c>
      <c r="V172" s="179">
        <f>SUMIFS('recurring2_based on steps'!$B172:$AY172,'recurring2_based on steps'!$B$1:$AY$1,V$1)+SUMIFS('changes2_based on steps'!$B172:$U172,'changes2_based on steps'!$B$1:$U$1,V$1)</f>
        <v>0</v>
      </c>
      <c r="W172" s="179">
        <f>SUMIFS('recurring2_based on steps'!$B172:$AY172,'recurring2_based on steps'!$B$1:$AY$1,W$1)+SUMIFS('changes2_based on steps'!$B172:$U172,'changes2_based on steps'!$B$1:$U$1,W$1)</f>
        <v>0</v>
      </c>
      <c r="X172" s="179">
        <f>SUMIFS('recurring2_based on steps'!$B172:$AY172,'recurring2_based on steps'!$B$1:$AY$1,X$1)+SUMIFS('changes2_based on steps'!$B172:$U172,'changes2_based on steps'!$B$1:$U$1,X$1)</f>
        <v>0</v>
      </c>
      <c r="Y172" s="179">
        <f>SUMIFS('recurring2_based on steps'!$B172:$AY172,'recurring2_based on steps'!$B$1:$AY$1,Y$1)+SUMIFS('changes2_based on steps'!$B172:$U172,'changes2_based on steps'!$B$1:$U$1,Y$1)</f>
        <v>0</v>
      </c>
      <c r="Z172" s="179">
        <f>SUMIFS('recurring2_based on steps'!$B172:$AY172,'recurring2_based on steps'!$B$1:$AY$1,Z$1)+SUMIFS('changes2_based on steps'!$B172:$U172,'changes2_based on steps'!$B$1:$U$1,Z$1)</f>
        <v>0</v>
      </c>
      <c r="AA172" s="179">
        <f>SUMIFS('recurring2_based on steps'!$B172:$AY172,'recurring2_based on steps'!$B$1:$AY$1,AA$1)+SUMIFS('changes2_based on steps'!$B172:$U172,'changes2_based on steps'!$B$1:$U$1,AA$1)</f>
        <v>0</v>
      </c>
      <c r="AB172" s="179">
        <f>SUMIFS('recurring2_based on steps'!$B172:$AY172,'recurring2_based on steps'!$B$1:$AY$1,AB$1)+SUMIFS('changes2_based on steps'!$B172:$U172,'changes2_based on steps'!$B$1:$U$1,AB$1)</f>
        <v>0</v>
      </c>
      <c r="AC172" s="179">
        <f>SUMIFS('recurring2_based on steps'!$B172:$AY172,'recurring2_based on steps'!$B$1:$AY$1,AC$1)+SUMIFS('changes2_based on steps'!$B172:$U172,'changes2_based on steps'!$B$1:$U$1,AC$1)</f>
        <v>0</v>
      </c>
      <c r="AD172" s="179">
        <f>SUMIFS('recurring2_based on steps'!$B172:$AY172,'recurring2_based on steps'!$B$1:$AY$1,AD$1)+SUMIFS('changes2_based on steps'!$B172:$U172,'changes2_based on steps'!$B$1:$U$1,AD$1)</f>
        <v>0</v>
      </c>
      <c r="AE172" s="179">
        <f>SUMIFS('recurring2_based on steps'!$B172:$AY172,'recurring2_based on steps'!$B$1:$AY$1,AE$1)+SUMIFS('changes2_based on steps'!$B172:$U172,'changes2_based on steps'!$B$1:$U$1,AE$1)</f>
        <v>0</v>
      </c>
      <c r="AF172" s="179"/>
      <c r="AG172" s="179"/>
      <c r="AH172" s="179"/>
      <c r="AI172" s="179"/>
      <c r="AJ172" s="179"/>
      <c r="AK172" s="179"/>
      <c r="AL172" s="179"/>
      <c r="AM172" s="179"/>
    </row>
    <row r="173" spans="1:39" x14ac:dyDescent="0.2">
      <c r="A173" s="32">
        <f t="shared" ca="1" si="2"/>
        <v>45922</v>
      </c>
      <c r="B173" s="179">
        <f>SUMIFS('recurring2_based on steps'!$B173:$AY173,'recurring2_based on steps'!$B$1:$AY$1,B$1)+SUMIFS('changes2_based on steps'!$B173:$U173,'changes2_based on steps'!$B$1:$U$1,B$1)</f>
        <v>0</v>
      </c>
      <c r="C173" s="179">
        <f>SUMIFS('recurring2_based on steps'!$B173:$AY173,'recurring2_based on steps'!$B$1:$AY$1,C$1)+SUMIFS('changes2_based on steps'!$B173:$U173,'changes2_based on steps'!$B$1:$U$1,C$1)</f>
        <v>0</v>
      </c>
      <c r="D173" s="179">
        <f>SUMIFS('recurring2_based on steps'!$B173:$AY173,'recurring2_based on steps'!$B$1:$AY$1,D$1)+SUMIFS('changes2_based on steps'!$B173:$U173,'changes2_based on steps'!$B$1:$U$1,D$1)</f>
        <v>0</v>
      </c>
      <c r="E173" s="179">
        <f>SUMIFS('recurring2_based on steps'!$B173:$AY173,'recurring2_based on steps'!$B$1:$AY$1,E$1)+SUMIFS('changes2_based on steps'!$B173:$U173,'changes2_based on steps'!$B$1:$U$1,E$1)</f>
        <v>0</v>
      </c>
      <c r="F173" s="179">
        <f>SUMIFS('recurring2_based on steps'!$B173:$AY173,'recurring2_based on steps'!$B$1:$AY$1,F$1)+SUMIFS('changes2_based on steps'!$B173:$U173,'changes2_based on steps'!$B$1:$U$1,F$1)</f>
        <v>0</v>
      </c>
      <c r="G173" s="179">
        <f>SUMIFS('recurring2_based on steps'!$B173:$AY173,'recurring2_based on steps'!$B$1:$AY$1,G$1)+SUMIFS('changes2_based on steps'!$B173:$U173,'changes2_based on steps'!$B$1:$U$1,G$1)</f>
        <v>0</v>
      </c>
      <c r="H173" s="179">
        <f>SUMIFS('recurring2_based on steps'!$B173:$AY173,'recurring2_based on steps'!$B$1:$AY$1,H$1)+SUMIFS('changes2_based on steps'!$B173:$U173,'changes2_based on steps'!$B$1:$U$1,H$1)</f>
        <v>0</v>
      </c>
      <c r="I173" s="179">
        <f>SUMIFS('recurring2_based on steps'!$B173:$AY173,'recurring2_based on steps'!$B$1:$AY$1,I$1)+SUMIFS('changes2_based on steps'!$B173:$U173,'changes2_based on steps'!$B$1:$U$1,I$1)</f>
        <v>0</v>
      </c>
      <c r="J173" s="179">
        <f>SUMIFS('recurring2_based on steps'!$B173:$AY173,'recurring2_based on steps'!$B$1:$AY$1,J$1)+SUMIFS('changes2_based on steps'!$B173:$U173,'changes2_based on steps'!$B$1:$U$1,J$1)</f>
        <v>0</v>
      </c>
      <c r="K173" s="179">
        <f>SUMIFS('recurring2_based on steps'!$B173:$AY173,'recurring2_based on steps'!$B$1:$AY$1,K$1)+SUMIFS('changes2_based on steps'!$B173:$U173,'changes2_based on steps'!$B$1:$U$1,K$1)</f>
        <v>0</v>
      </c>
      <c r="L173" s="179">
        <f>SUMIFS('recurring2_based on steps'!$B173:$AY173,'recurring2_based on steps'!$B$1:$AY$1,L$1)+SUMIFS('changes2_based on steps'!$B173:$U173,'changes2_based on steps'!$B$1:$U$1,L$1)</f>
        <v>0</v>
      </c>
      <c r="M173" s="179">
        <f>SUMIFS('recurring2_based on steps'!$B173:$AY173,'recurring2_based on steps'!$B$1:$AY$1,M$1)+SUMIFS('changes2_based on steps'!$B173:$U173,'changes2_based on steps'!$B$1:$U$1,M$1)</f>
        <v>0</v>
      </c>
      <c r="N173" s="179">
        <f>SUMIFS('recurring2_based on steps'!$B173:$AY173,'recurring2_based on steps'!$B$1:$AY$1,N$1)+SUMIFS('changes2_based on steps'!$B173:$U173,'changes2_based on steps'!$B$1:$U$1,N$1)</f>
        <v>0</v>
      </c>
      <c r="O173" s="179">
        <f>SUMIFS('recurring2_based on steps'!$B173:$AY173,'recurring2_based on steps'!$B$1:$AY$1,O$1)+SUMIFS('changes2_based on steps'!$B173:$U173,'changes2_based on steps'!$B$1:$U$1,O$1)</f>
        <v>0</v>
      </c>
      <c r="P173" s="179">
        <f>SUMIFS('recurring2_based on steps'!$B173:$AY173,'recurring2_based on steps'!$B$1:$AY$1,P$1)+SUMIFS('changes2_based on steps'!$B173:$U173,'changes2_based on steps'!$B$1:$U$1,P$1)</f>
        <v>0</v>
      </c>
      <c r="Q173" s="179">
        <f>SUMIFS('recurring2_based on steps'!$B173:$AY173,'recurring2_based on steps'!$B$1:$AY$1,Q$1)+SUMIFS('changes2_based on steps'!$B173:$U173,'changes2_based on steps'!$B$1:$U$1,Q$1)</f>
        <v>0</v>
      </c>
      <c r="R173" s="179">
        <f>SUMIFS('recurring2_based on steps'!$B173:$AY173,'recurring2_based on steps'!$B$1:$AY$1,R$1)+SUMIFS('changes2_based on steps'!$B173:$U173,'changes2_based on steps'!$B$1:$U$1,R$1)</f>
        <v>0</v>
      </c>
      <c r="S173" s="179">
        <f>SUMIFS('recurring2_based on steps'!$B173:$AY173,'recurring2_based on steps'!$B$1:$AY$1,S$1)+SUMIFS('changes2_based on steps'!$B173:$U173,'changes2_based on steps'!$B$1:$U$1,S$1)</f>
        <v>0</v>
      </c>
      <c r="T173" s="179">
        <f>SUMIFS('recurring2_based on steps'!$B173:$AY173,'recurring2_based on steps'!$B$1:$AY$1,T$1)+SUMIFS('changes2_based on steps'!$B173:$U173,'changes2_based on steps'!$B$1:$U$1,T$1)</f>
        <v>0</v>
      </c>
      <c r="U173" s="179">
        <f>SUMIFS('recurring2_based on steps'!$B173:$AY173,'recurring2_based on steps'!$B$1:$AY$1,U$1)+SUMIFS('changes2_based on steps'!$B173:$U173,'changes2_based on steps'!$B$1:$U$1,U$1)</f>
        <v>0</v>
      </c>
      <c r="V173" s="179">
        <f>SUMIFS('recurring2_based on steps'!$B173:$AY173,'recurring2_based on steps'!$B$1:$AY$1,V$1)+SUMIFS('changes2_based on steps'!$B173:$U173,'changes2_based on steps'!$B$1:$U$1,V$1)</f>
        <v>0</v>
      </c>
      <c r="W173" s="179">
        <f>SUMIFS('recurring2_based on steps'!$B173:$AY173,'recurring2_based on steps'!$B$1:$AY$1,W$1)+SUMIFS('changes2_based on steps'!$B173:$U173,'changes2_based on steps'!$B$1:$U$1,W$1)</f>
        <v>0</v>
      </c>
      <c r="X173" s="179">
        <f>SUMIFS('recurring2_based on steps'!$B173:$AY173,'recurring2_based on steps'!$B$1:$AY$1,X$1)+SUMIFS('changes2_based on steps'!$B173:$U173,'changes2_based on steps'!$B$1:$U$1,X$1)</f>
        <v>0</v>
      </c>
      <c r="Y173" s="179">
        <f>SUMIFS('recurring2_based on steps'!$B173:$AY173,'recurring2_based on steps'!$B$1:$AY$1,Y$1)+SUMIFS('changes2_based on steps'!$B173:$U173,'changes2_based on steps'!$B$1:$U$1,Y$1)</f>
        <v>0</v>
      </c>
      <c r="Z173" s="179">
        <f>SUMIFS('recurring2_based on steps'!$B173:$AY173,'recurring2_based on steps'!$B$1:$AY$1,Z$1)+SUMIFS('changes2_based on steps'!$B173:$U173,'changes2_based on steps'!$B$1:$U$1,Z$1)</f>
        <v>0</v>
      </c>
      <c r="AA173" s="179">
        <f>SUMIFS('recurring2_based on steps'!$B173:$AY173,'recurring2_based on steps'!$B$1:$AY$1,AA$1)+SUMIFS('changes2_based on steps'!$B173:$U173,'changes2_based on steps'!$B$1:$U$1,AA$1)</f>
        <v>0</v>
      </c>
      <c r="AB173" s="179">
        <f>SUMIFS('recurring2_based on steps'!$B173:$AY173,'recurring2_based on steps'!$B$1:$AY$1,AB$1)+SUMIFS('changes2_based on steps'!$B173:$U173,'changes2_based on steps'!$B$1:$U$1,AB$1)</f>
        <v>0</v>
      </c>
      <c r="AC173" s="179">
        <f>SUMIFS('recurring2_based on steps'!$B173:$AY173,'recurring2_based on steps'!$B$1:$AY$1,AC$1)+SUMIFS('changes2_based on steps'!$B173:$U173,'changes2_based on steps'!$B$1:$U$1,AC$1)</f>
        <v>0</v>
      </c>
      <c r="AD173" s="179">
        <f>SUMIFS('recurring2_based on steps'!$B173:$AY173,'recurring2_based on steps'!$B$1:$AY$1,AD$1)+SUMIFS('changes2_based on steps'!$B173:$U173,'changes2_based on steps'!$B$1:$U$1,AD$1)</f>
        <v>0</v>
      </c>
      <c r="AE173" s="179">
        <f>SUMIFS('recurring2_based on steps'!$B173:$AY173,'recurring2_based on steps'!$B$1:$AY$1,AE$1)+SUMIFS('changes2_based on steps'!$B173:$U173,'changes2_based on steps'!$B$1:$U$1,AE$1)</f>
        <v>0</v>
      </c>
      <c r="AF173" s="179"/>
      <c r="AG173" s="179"/>
      <c r="AH173" s="179"/>
      <c r="AI173" s="179"/>
      <c r="AJ173" s="179"/>
      <c r="AK173" s="179"/>
      <c r="AL173" s="179"/>
      <c r="AM173" s="179"/>
    </row>
    <row r="174" spans="1:39" x14ac:dyDescent="0.2">
      <c r="A174" s="32">
        <f t="shared" ca="1" si="2"/>
        <v>45923</v>
      </c>
      <c r="B174" s="179">
        <f>SUMIFS('recurring2_based on steps'!$B174:$AY174,'recurring2_based on steps'!$B$1:$AY$1,B$1)+SUMIFS('changes2_based on steps'!$B174:$U174,'changes2_based on steps'!$B$1:$U$1,B$1)</f>
        <v>0</v>
      </c>
      <c r="C174" s="179">
        <f>SUMIFS('recurring2_based on steps'!$B174:$AY174,'recurring2_based on steps'!$B$1:$AY$1,C$1)+SUMIFS('changes2_based on steps'!$B174:$U174,'changes2_based on steps'!$B$1:$U$1,C$1)</f>
        <v>0</v>
      </c>
      <c r="D174" s="179">
        <f>SUMIFS('recurring2_based on steps'!$B174:$AY174,'recurring2_based on steps'!$B$1:$AY$1,D$1)+SUMIFS('changes2_based on steps'!$B174:$U174,'changes2_based on steps'!$B$1:$U$1,D$1)</f>
        <v>0</v>
      </c>
      <c r="E174" s="179">
        <f>SUMIFS('recurring2_based on steps'!$B174:$AY174,'recurring2_based on steps'!$B$1:$AY$1,E$1)+SUMIFS('changes2_based on steps'!$B174:$U174,'changes2_based on steps'!$B$1:$U$1,E$1)</f>
        <v>0</v>
      </c>
      <c r="F174" s="179">
        <f>SUMIFS('recurring2_based on steps'!$B174:$AY174,'recurring2_based on steps'!$B$1:$AY$1,F$1)+SUMIFS('changes2_based on steps'!$B174:$U174,'changes2_based on steps'!$B$1:$U$1,F$1)</f>
        <v>0</v>
      </c>
      <c r="G174" s="179">
        <f>SUMIFS('recurring2_based on steps'!$B174:$AY174,'recurring2_based on steps'!$B$1:$AY$1,G$1)+SUMIFS('changes2_based on steps'!$B174:$U174,'changes2_based on steps'!$B$1:$U$1,G$1)</f>
        <v>0</v>
      </c>
      <c r="H174" s="179">
        <f>SUMIFS('recurring2_based on steps'!$B174:$AY174,'recurring2_based on steps'!$B$1:$AY$1,H$1)+SUMIFS('changes2_based on steps'!$B174:$U174,'changes2_based on steps'!$B$1:$U$1,H$1)</f>
        <v>0</v>
      </c>
      <c r="I174" s="179">
        <f>SUMIFS('recurring2_based on steps'!$B174:$AY174,'recurring2_based on steps'!$B$1:$AY$1,I$1)+SUMIFS('changes2_based on steps'!$B174:$U174,'changes2_based on steps'!$B$1:$U$1,I$1)</f>
        <v>0</v>
      </c>
      <c r="J174" s="179">
        <f>SUMIFS('recurring2_based on steps'!$B174:$AY174,'recurring2_based on steps'!$B$1:$AY$1,J$1)+SUMIFS('changes2_based on steps'!$B174:$U174,'changes2_based on steps'!$B$1:$U$1,J$1)</f>
        <v>0</v>
      </c>
      <c r="K174" s="179">
        <f>SUMIFS('recurring2_based on steps'!$B174:$AY174,'recurring2_based on steps'!$B$1:$AY$1,K$1)+SUMIFS('changes2_based on steps'!$B174:$U174,'changes2_based on steps'!$B$1:$U$1,K$1)</f>
        <v>0</v>
      </c>
      <c r="L174" s="179">
        <f>SUMIFS('recurring2_based on steps'!$B174:$AY174,'recurring2_based on steps'!$B$1:$AY$1,L$1)+SUMIFS('changes2_based on steps'!$B174:$U174,'changes2_based on steps'!$B$1:$U$1,L$1)</f>
        <v>0</v>
      </c>
      <c r="M174" s="179">
        <f>SUMIFS('recurring2_based on steps'!$B174:$AY174,'recurring2_based on steps'!$B$1:$AY$1,M$1)+SUMIFS('changes2_based on steps'!$B174:$U174,'changes2_based on steps'!$B$1:$U$1,M$1)</f>
        <v>0</v>
      </c>
      <c r="N174" s="179">
        <f>SUMIFS('recurring2_based on steps'!$B174:$AY174,'recurring2_based on steps'!$B$1:$AY$1,N$1)+SUMIFS('changes2_based on steps'!$B174:$U174,'changes2_based on steps'!$B$1:$U$1,N$1)</f>
        <v>0</v>
      </c>
      <c r="O174" s="179">
        <f>SUMIFS('recurring2_based on steps'!$B174:$AY174,'recurring2_based on steps'!$B$1:$AY$1,O$1)+SUMIFS('changes2_based on steps'!$B174:$U174,'changes2_based on steps'!$B$1:$U$1,O$1)</f>
        <v>0</v>
      </c>
      <c r="P174" s="179">
        <f>SUMIFS('recurring2_based on steps'!$B174:$AY174,'recurring2_based on steps'!$B$1:$AY$1,P$1)+SUMIFS('changes2_based on steps'!$B174:$U174,'changes2_based on steps'!$B$1:$U$1,P$1)</f>
        <v>0</v>
      </c>
      <c r="Q174" s="179">
        <f>SUMIFS('recurring2_based on steps'!$B174:$AY174,'recurring2_based on steps'!$B$1:$AY$1,Q$1)+SUMIFS('changes2_based on steps'!$B174:$U174,'changes2_based on steps'!$B$1:$U$1,Q$1)</f>
        <v>0</v>
      </c>
      <c r="R174" s="179">
        <f>SUMIFS('recurring2_based on steps'!$B174:$AY174,'recurring2_based on steps'!$B$1:$AY$1,R$1)+SUMIFS('changes2_based on steps'!$B174:$U174,'changes2_based on steps'!$B$1:$U$1,R$1)</f>
        <v>0</v>
      </c>
      <c r="S174" s="179">
        <f>SUMIFS('recurring2_based on steps'!$B174:$AY174,'recurring2_based on steps'!$B$1:$AY$1,S$1)+SUMIFS('changes2_based on steps'!$B174:$U174,'changes2_based on steps'!$B$1:$U$1,S$1)</f>
        <v>0</v>
      </c>
      <c r="T174" s="179">
        <f>SUMIFS('recurring2_based on steps'!$B174:$AY174,'recurring2_based on steps'!$B$1:$AY$1,T$1)+SUMIFS('changes2_based on steps'!$B174:$U174,'changes2_based on steps'!$B$1:$U$1,T$1)</f>
        <v>0</v>
      </c>
      <c r="U174" s="179">
        <f>SUMIFS('recurring2_based on steps'!$B174:$AY174,'recurring2_based on steps'!$B$1:$AY$1,U$1)+SUMIFS('changes2_based on steps'!$B174:$U174,'changes2_based on steps'!$B$1:$U$1,U$1)</f>
        <v>0</v>
      </c>
      <c r="V174" s="179">
        <f>SUMIFS('recurring2_based on steps'!$B174:$AY174,'recurring2_based on steps'!$B$1:$AY$1,V$1)+SUMIFS('changes2_based on steps'!$B174:$U174,'changes2_based on steps'!$B$1:$U$1,V$1)</f>
        <v>0</v>
      </c>
      <c r="W174" s="179">
        <f>SUMIFS('recurring2_based on steps'!$B174:$AY174,'recurring2_based on steps'!$B$1:$AY$1,W$1)+SUMIFS('changes2_based on steps'!$B174:$U174,'changes2_based on steps'!$B$1:$U$1,W$1)</f>
        <v>0</v>
      </c>
      <c r="X174" s="179">
        <f>SUMIFS('recurring2_based on steps'!$B174:$AY174,'recurring2_based on steps'!$B$1:$AY$1,X$1)+SUMIFS('changes2_based on steps'!$B174:$U174,'changes2_based on steps'!$B$1:$U$1,X$1)</f>
        <v>0</v>
      </c>
      <c r="Y174" s="179">
        <f>SUMIFS('recurring2_based on steps'!$B174:$AY174,'recurring2_based on steps'!$B$1:$AY$1,Y$1)+SUMIFS('changes2_based on steps'!$B174:$U174,'changes2_based on steps'!$B$1:$U$1,Y$1)</f>
        <v>0</v>
      </c>
      <c r="Z174" s="179">
        <f>SUMIFS('recurring2_based on steps'!$B174:$AY174,'recurring2_based on steps'!$B$1:$AY$1,Z$1)+SUMIFS('changes2_based on steps'!$B174:$U174,'changes2_based on steps'!$B$1:$U$1,Z$1)</f>
        <v>0</v>
      </c>
      <c r="AA174" s="179">
        <f>SUMIFS('recurring2_based on steps'!$B174:$AY174,'recurring2_based on steps'!$B$1:$AY$1,AA$1)+SUMIFS('changes2_based on steps'!$B174:$U174,'changes2_based on steps'!$B$1:$U$1,AA$1)</f>
        <v>0</v>
      </c>
      <c r="AB174" s="179">
        <f>SUMIFS('recurring2_based on steps'!$B174:$AY174,'recurring2_based on steps'!$B$1:$AY$1,AB$1)+SUMIFS('changes2_based on steps'!$B174:$U174,'changes2_based on steps'!$B$1:$U$1,AB$1)</f>
        <v>0</v>
      </c>
      <c r="AC174" s="179">
        <f>SUMIFS('recurring2_based on steps'!$B174:$AY174,'recurring2_based on steps'!$B$1:$AY$1,AC$1)+SUMIFS('changes2_based on steps'!$B174:$U174,'changes2_based on steps'!$B$1:$U$1,AC$1)</f>
        <v>0</v>
      </c>
      <c r="AD174" s="179">
        <f>SUMIFS('recurring2_based on steps'!$B174:$AY174,'recurring2_based on steps'!$B$1:$AY$1,AD$1)+SUMIFS('changes2_based on steps'!$B174:$U174,'changes2_based on steps'!$B$1:$U$1,AD$1)</f>
        <v>0</v>
      </c>
      <c r="AE174" s="179">
        <f>SUMIFS('recurring2_based on steps'!$B174:$AY174,'recurring2_based on steps'!$B$1:$AY$1,AE$1)+SUMIFS('changes2_based on steps'!$B174:$U174,'changes2_based on steps'!$B$1:$U$1,AE$1)</f>
        <v>0</v>
      </c>
      <c r="AF174" s="179"/>
      <c r="AG174" s="179"/>
      <c r="AH174" s="179"/>
      <c r="AI174" s="179"/>
      <c r="AJ174" s="179"/>
      <c r="AK174" s="179"/>
      <c r="AL174" s="179"/>
      <c r="AM174" s="179"/>
    </row>
    <row r="175" spans="1:39" x14ac:dyDescent="0.2">
      <c r="A175" s="32">
        <f t="shared" ca="1" si="2"/>
        <v>45924</v>
      </c>
      <c r="B175" s="179">
        <f>SUMIFS('recurring2_based on steps'!$B175:$AY175,'recurring2_based on steps'!$B$1:$AY$1,B$1)+SUMIFS('changes2_based on steps'!$B175:$U175,'changes2_based on steps'!$B$1:$U$1,B$1)</f>
        <v>0</v>
      </c>
      <c r="C175" s="179">
        <f>SUMIFS('recurring2_based on steps'!$B175:$AY175,'recurring2_based on steps'!$B$1:$AY$1,C$1)+SUMIFS('changes2_based on steps'!$B175:$U175,'changes2_based on steps'!$B$1:$U$1,C$1)</f>
        <v>0</v>
      </c>
      <c r="D175" s="179">
        <f>SUMIFS('recurring2_based on steps'!$B175:$AY175,'recurring2_based on steps'!$B$1:$AY$1,D$1)+SUMIFS('changes2_based on steps'!$B175:$U175,'changes2_based on steps'!$B$1:$U$1,D$1)</f>
        <v>0</v>
      </c>
      <c r="E175" s="179">
        <f>SUMIFS('recurring2_based on steps'!$B175:$AY175,'recurring2_based on steps'!$B$1:$AY$1,E$1)+SUMIFS('changes2_based on steps'!$B175:$U175,'changes2_based on steps'!$B$1:$U$1,E$1)</f>
        <v>0</v>
      </c>
      <c r="F175" s="179">
        <f>SUMIFS('recurring2_based on steps'!$B175:$AY175,'recurring2_based on steps'!$B$1:$AY$1,F$1)+SUMIFS('changes2_based on steps'!$B175:$U175,'changes2_based on steps'!$B$1:$U$1,F$1)</f>
        <v>0</v>
      </c>
      <c r="G175" s="179">
        <f>SUMIFS('recurring2_based on steps'!$B175:$AY175,'recurring2_based on steps'!$B$1:$AY$1,G$1)+SUMIFS('changes2_based on steps'!$B175:$U175,'changes2_based on steps'!$B$1:$U$1,G$1)</f>
        <v>0</v>
      </c>
      <c r="H175" s="179">
        <f>SUMIFS('recurring2_based on steps'!$B175:$AY175,'recurring2_based on steps'!$B$1:$AY$1,H$1)+SUMIFS('changes2_based on steps'!$B175:$U175,'changes2_based on steps'!$B$1:$U$1,H$1)</f>
        <v>0</v>
      </c>
      <c r="I175" s="179">
        <f>SUMIFS('recurring2_based on steps'!$B175:$AY175,'recurring2_based on steps'!$B$1:$AY$1,I$1)+SUMIFS('changes2_based on steps'!$B175:$U175,'changes2_based on steps'!$B$1:$U$1,I$1)</f>
        <v>0</v>
      </c>
      <c r="J175" s="179">
        <f>SUMIFS('recurring2_based on steps'!$B175:$AY175,'recurring2_based on steps'!$B$1:$AY$1,J$1)+SUMIFS('changes2_based on steps'!$B175:$U175,'changes2_based on steps'!$B$1:$U$1,J$1)</f>
        <v>0</v>
      </c>
      <c r="K175" s="179">
        <f>SUMIFS('recurring2_based on steps'!$B175:$AY175,'recurring2_based on steps'!$B$1:$AY$1,K$1)+SUMIFS('changes2_based on steps'!$B175:$U175,'changes2_based on steps'!$B$1:$U$1,K$1)</f>
        <v>0</v>
      </c>
      <c r="L175" s="179">
        <f>SUMIFS('recurring2_based on steps'!$B175:$AY175,'recurring2_based on steps'!$B$1:$AY$1,L$1)+SUMIFS('changes2_based on steps'!$B175:$U175,'changes2_based on steps'!$B$1:$U$1,L$1)</f>
        <v>0</v>
      </c>
      <c r="M175" s="179">
        <f>SUMIFS('recurring2_based on steps'!$B175:$AY175,'recurring2_based on steps'!$B$1:$AY$1,M$1)+SUMIFS('changes2_based on steps'!$B175:$U175,'changes2_based on steps'!$B$1:$U$1,M$1)</f>
        <v>0</v>
      </c>
      <c r="N175" s="179">
        <f>SUMIFS('recurring2_based on steps'!$B175:$AY175,'recurring2_based on steps'!$B$1:$AY$1,N$1)+SUMIFS('changes2_based on steps'!$B175:$U175,'changes2_based on steps'!$B$1:$U$1,N$1)</f>
        <v>0</v>
      </c>
      <c r="O175" s="179">
        <f>SUMIFS('recurring2_based on steps'!$B175:$AY175,'recurring2_based on steps'!$B$1:$AY$1,O$1)+SUMIFS('changes2_based on steps'!$B175:$U175,'changes2_based on steps'!$B$1:$U$1,O$1)</f>
        <v>0</v>
      </c>
      <c r="P175" s="179">
        <f>SUMIFS('recurring2_based on steps'!$B175:$AY175,'recurring2_based on steps'!$B$1:$AY$1,P$1)+SUMIFS('changes2_based on steps'!$B175:$U175,'changes2_based on steps'!$B$1:$U$1,P$1)</f>
        <v>0</v>
      </c>
      <c r="Q175" s="179">
        <f>SUMIFS('recurring2_based on steps'!$B175:$AY175,'recurring2_based on steps'!$B$1:$AY$1,Q$1)+SUMIFS('changes2_based on steps'!$B175:$U175,'changes2_based on steps'!$B$1:$U$1,Q$1)</f>
        <v>0</v>
      </c>
      <c r="R175" s="179">
        <f>SUMIFS('recurring2_based on steps'!$B175:$AY175,'recurring2_based on steps'!$B$1:$AY$1,R$1)+SUMIFS('changes2_based on steps'!$B175:$U175,'changes2_based on steps'!$B$1:$U$1,R$1)</f>
        <v>0</v>
      </c>
      <c r="S175" s="179">
        <f>SUMIFS('recurring2_based on steps'!$B175:$AY175,'recurring2_based on steps'!$B$1:$AY$1,S$1)+SUMIFS('changes2_based on steps'!$B175:$U175,'changes2_based on steps'!$B$1:$U$1,S$1)</f>
        <v>0</v>
      </c>
      <c r="T175" s="179">
        <f>SUMIFS('recurring2_based on steps'!$B175:$AY175,'recurring2_based on steps'!$B$1:$AY$1,T$1)+SUMIFS('changes2_based on steps'!$B175:$U175,'changes2_based on steps'!$B$1:$U$1,T$1)</f>
        <v>0</v>
      </c>
      <c r="U175" s="179">
        <f>SUMIFS('recurring2_based on steps'!$B175:$AY175,'recurring2_based on steps'!$B$1:$AY$1,U$1)+SUMIFS('changes2_based on steps'!$B175:$U175,'changes2_based on steps'!$B$1:$U$1,U$1)</f>
        <v>0</v>
      </c>
      <c r="V175" s="179">
        <f>SUMIFS('recurring2_based on steps'!$B175:$AY175,'recurring2_based on steps'!$B$1:$AY$1,V$1)+SUMIFS('changes2_based on steps'!$B175:$U175,'changes2_based on steps'!$B$1:$U$1,V$1)</f>
        <v>0</v>
      </c>
      <c r="W175" s="179">
        <f>SUMIFS('recurring2_based on steps'!$B175:$AY175,'recurring2_based on steps'!$B$1:$AY$1,W$1)+SUMIFS('changes2_based on steps'!$B175:$U175,'changes2_based on steps'!$B$1:$U$1,W$1)</f>
        <v>0</v>
      </c>
      <c r="X175" s="179">
        <f>SUMIFS('recurring2_based on steps'!$B175:$AY175,'recurring2_based on steps'!$B$1:$AY$1,X$1)+SUMIFS('changes2_based on steps'!$B175:$U175,'changes2_based on steps'!$B$1:$U$1,X$1)</f>
        <v>0</v>
      </c>
      <c r="Y175" s="179">
        <f>SUMIFS('recurring2_based on steps'!$B175:$AY175,'recurring2_based on steps'!$B$1:$AY$1,Y$1)+SUMIFS('changes2_based on steps'!$B175:$U175,'changes2_based on steps'!$B$1:$U$1,Y$1)</f>
        <v>0</v>
      </c>
      <c r="Z175" s="179">
        <f>SUMIFS('recurring2_based on steps'!$B175:$AY175,'recurring2_based on steps'!$B$1:$AY$1,Z$1)+SUMIFS('changes2_based on steps'!$B175:$U175,'changes2_based on steps'!$B$1:$U$1,Z$1)</f>
        <v>0</v>
      </c>
      <c r="AA175" s="179">
        <f>SUMIFS('recurring2_based on steps'!$B175:$AY175,'recurring2_based on steps'!$B$1:$AY$1,AA$1)+SUMIFS('changes2_based on steps'!$B175:$U175,'changes2_based on steps'!$B$1:$U$1,AA$1)</f>
        <v>0</v>
      </c>
      <c r="AB175" s="179">
        <f>SUMIFS('recurring2_based on steps'!$B175:$AY175,'recurring2_based on steps'!$B$1:$AY$1,AB$1)+SUMIFS('changes2_based on steps'!$B175:$U175,'changes2_based on steps'!$B$1:$U$1,AB$1)</f>
        <v>0</v>
      </c>
      <c r="AC175" s="179">
        <f>SUMIFS('recurring2_based on steps'!$B175:$AY175,'recurring2_based on steps'!$B$1:$AY$1,AC$1)+SUMIFS('changes2_based on steps'!$B175:$U175,'changes2_based on steps'!$B$1:$U$1,AC$1)</f>
        <v>0</v>
      </c>
      <c r="AD175" s="179">
        <f>SUMIFS('recurring2_based on steps'!$B175:$AY175,'recurring2_based on steps'!$B$1:$AY$1,AD$1)+SUMIFS('changes2_based on steps'!$B175:$U175,'changes2_based on steps'!$B$1:$U$1,AD$1)</f>
        <v>0</v>
      </c>
      <c r="AE175" s="179">
        <f>SUMIFS('recurring2_based on steps'!$B175:$AY175,'recurring2_based on steps'!$B$1:$AY$1,AE$1)+SUMIFS('changes2_based on steps'!$B175:$U175,'changes2_based on steps'!$B$1:$U$1,AE$1)</f>
        <v>0</v>
      </c>
      <c r="AF175" s="179"/>
      <c r="AG175" s="179"/>
      <c r="AH175" s="179"/>
      <c r="AI175" s="179"/>
      <c r="AJ175" s="179"/>
      <c r="AK175" s="179"/>
      <c r="AL175" s="179"/>
      <c r="AM175" s="179"/>
    </row>
    <row r="176" spans="1:39" x14ac:dyDescent="0.2">
      <c r="A176" s="32">
        <f t="shared" ca="1" si="2"/>
        <v>45925</v>
      </c>
      <c r="B176" s="179">
        <f>SUMIFS('recurring2_based on steps'!$B176:$AY176,'recurring2_based on steps'!$B$1:$AY$1,B$1)+SUMIFS('changes2_based on steps'!$B176:$U176,'changes2_based on steps'!$B$1:$U$1,B$1)</f>
        <v>0</v>
      </c>
      <c r="C176" s="179">
        <f>SUMIFS('recurring2_based on steps'!$B176:$AY176,'recurring2_based on steps'!$B$1:$AY$1,C$1)+SUMIFS('changes2_based on steps'!$B176:$U176,'changes2_based on steps'!$B$1:$U$1,C$1)</f>
        <v>0</v>
      </c>
      <c r="D176" s="179">
        <f>SUMIFS('recurring2_based on steps'!$B176:$AY176,'recurring2_based on steps'!$B$1:$AY$1,D$1)+SUMIFS('changes2_based on steps'!$B176:$U176,'changes2_based on steps'!$B$1:$U$1,D$1)</f>
        <v>0</v>
      </c>
      <c r="E176" s="179">
        <f>SUMIFS('recurring2_based on steps'!$B176:$AY176,'recurring2_based on steps'!$B$1:$AY$1,E$1)+SUMIFS('changes2_based on steps'!$B176:$U176,'changes2_based on steps'!$B$1:$U$1,E$1)</f>
        <v>0</v>
      </c>
      <c r="F176" s="179">
        <f>SUMIFS('recurring2_based on steps'!$B176:$AY176,'recurring2_based on steps'!$B$1:$AY$1,F$1)+SUMIFS('changes2_based on steps'!$B176:$U176,'changes2_based on steps'!$B$1:$U$1,F$1)</f>
        <v>0</v>
      </c>
      <c r="G176" s="179">
        <f>SUMIFS('recurring2_based on steps'!$B176:$AY176,'recurring2_based on steps'!$B$1:$AY$1,G$1)+SUMIFS('changes2_based on steps'!$B176:$U176,'changes2_based on steps'!$B$1:$U$1,G$1)</f>
        <v>0</v>
      </c>
      <c r="H176" s="179">
        <f>SUMIFS('recurring2_based on steps'!$B176:$AY176,'recurring2_based on steps'!$B$1:$AY$1,H$1)+SUMIFS('changes2_based on steps'!$B176:$U176,'changes2_based on steps'!$B$1:$U$1,H$1)</f>
        <v>0</v>
      </c>
      <c r="I176" s="179">
        <f>SUMIFS('recurring2_based on steps'!$B176:$AY176,'recurring2_based on steps'!$B$1:$AY$1,I$1)+SUMIFS('changes2_based on steps'!$B176:$U176,'changes2_based on steps'!$B$1:$U$1,I$1)</f>
        <v>0</v>
      </c>
      <c r="J176" s="179">
        <f>SUMIFS('recurring2_based on steps'!$B176:$AY176,'recurring2_based on steps'!$B$1:$AY$1,J$1)+SUMIFS('changes2_based on steps'!$B176:$U176,'changes2_based on steps'!$B$1:$U$1,J$1)</f>
        <v>0</v>
      </c>
      <c r="K176" s="179">
        <f>SUMIFS('recurring2_based on steps'!$B176:$AY176,'recurring2_based on steps'!$B$1:$AY$1,K$1)+SUMIFS('changes2_based on steps'!$B176:$U176,'changes2_based on steps'!$B$1:$U$1,K$1)</f>
        <v>0</v>
      </c>
      <c r="L176" s="179">
        <f>SUMIFS('recurring2_based on steps'!$B176:$AY176,'recurring2_based on steps'!$B$1:$AY$1,L$1)+SUMIFS('changes2_based on steps'!$B176:$U176,'changes2_based on steps'!$B$1:$U$1,L$1)</f>
        <v>0</v>
      </c>
      <c r="M176" s="179">
        <f>SUMIFS('recurring2_based on steps'!$B176:$AY176,'recurring2_based on steps'!$B$1:$AY$1,M$1)+SUMIFS('changes2_based on steps'!$B176:$U176,'changes2_based on steps'!$B$1:$U$1,M$1)</f>
        <v>0</v>
      </c>
      <c r="N176" s="179">
        <f>SUMIFS('recurring2_based on steps'!$B176:$AY176,'recurring2_based on steps'!$B$1:$AY$1,N$1)+SUMIFS('changes2_based on steps'!$B176:$U176,'changes2_based on steps'!$B$1:$U$1,N$1)</f>
        <v>0</v>
      </c>
      <c r="O176" s="179">
        <f>SUMIFS('recurring2_based on steps'!$B176:$AY176,'recurring2_based on steps'!$B$1:$AY$1,O$1)+SUMIFS('changes2_based on steps'!$B176:$U176,'changes2_based on steps'!$B$1:$U$1,O$1)</f>
        <v>0</v>
      </c>
      <c r="P176" s="179">
        <f>SUMIFS('recurring2_based on steps'!$B176:$AY176,'recurring2_based on steps'!$B$1:$AY$1,P$1)+SUMIFS('changes2_based on steps'!$B176:$U176,'changes2_based on steps'!$B$1:$U$1,P$1)</f>
        <v>0</v>
      </c>
      <c r="Q176" s="179">
        <f>SUMIFS('recurring2_based on steps'!$B176:$AY176,'recurring2_based on steps'!$B$1:$AY$1,Q$1)+SUMIFS('changes2_based on steps'!$B176:$U176,'changes2_based on steps'!$B$1:$U$1,Q$1)</f>
        <v>0</v>
      </c>
      <c r="R176" s="179">
        <f>SUMIFS('recurring2_based on steps'!$B176:$AY176,'recurring2_based on steps'!$B$1:$AY$1,R$1)+SUMIFS('changes2_based on steps'!$B176:$U176,'changes2_based on steps'!$B$1:$U$1,R$1)</f>
        <v>0</v>
      </c>
      <c r="S176" s="179">
        <f>SUMIFS('recurring2_based on steps'!$B176:$AY176,'recurring2_based on steps'!$B$1:$AY$1,S$1)+SUMIFS('changes2_based on steps'!$B176:$U176,'changes2_based on steps'!$B$1:$U$1,S$1)</f>
        <v>0</v>
      </c>
      <c r="T176" s="179">
        <f>SUMIFS('recurring2_based on steps'!$B176:$AY176,'recurring2_based on steps'!$B$1:$AY$1,T$1)+SUMIFS('changes2_based on steps'!$B176:$U176,'changes2_based on steps'!$B$1:$U$1,T$1)</f>
        <v>0</v>
      </c>
      <c r="U176" s="179">
        <f>SUMIFS('recurring2_based on steps'!$B176:$AY176,'recurring2_based on steps'!$B$1:$AY$1,U$1)+SUMIFS('changes2_based on steps'!$B176:$U176,'changes2_based on steps'!$B$1:$U$1,U$1)</f>
        <v>0</v>
      </c>
      <c r="V176" s="179">
        <f>SUMIFS('recurring2_based on steps'!$B176:$AY176,'recurring2_based on steps'!$B$1:$AY$1,V$1)+SUMIFS('changes2_based on steps'!$B176:$U176,'changes2_based on steps'!$B$1:$U$1,V$1)</f>
        <v>0</v>
      </c>
      <c r="W176" s="179">
        <f>SUMIFS('recurring2_based on steps'!$B176:$AY176,'recurring2_based on steps'!$B$1:$AY$1,W$1)+SUMIFS('changes2_based on steps'!$B176:$U176,'changes2_based on steps'!$B$1:$U$1,W$1)</f>
        <v>0</v>
      </c>
      <c r="X176" s="179">
        <f>SUMIFS('recurring2_based on steps'!$B176:$AY176,'recurring2_based on steps'!$B$1:$AY$1,X$1)+SUMIFS('changes2_based on steps'!$B176:$U176,'changes2_based on steps'!$B$1:$U$1,X$1)</f>
        <v>0</v>
      </c>
      <c r="Y176" s="179">
        <f>SUMIFS('recurring2_based on steps'!$B176:$AY176,'recurring2_based on steps'!$B$1:$AY$1,Y$1)+SUMIFS('changes2_based on steps'!$B176:$U176,'changes2_based on steps'!$B$1:$U$1,Y$1)</f>
        <v>0</v>
      </c>
      <c r="Z176" s="179">
        <f>SUMIFS('recurring2_based on steps'!$B176:$AY176,'recurring2_based on steps'!$B$1:$AY$1,Z$1)+SUMIFS('changes2_based on steps'!$B176:$U176,'changes2_based on steps'!$B$1:$U$1,Z$1)</f>
        <v>0</v>
      </c>
      <c r="AA176" s="179">
        <f>SUMIFS('recurring2_based on steps'!$B176:$AY176,'recurring2_based on steps'!$B$1:$AY$1,AA$1)+SUMIFS('changes2_based on steps'!$B176:$U176,'changes2_based on steps'!$B$1:$U$1,AA$1)</f>
        <v>0</v>
      </c>
      <c r="AB176" s="179">
        <f>SUMIFS('recurring2_based on steps'!$B176:$AY176,'recurring2_based on steps'!$B$1:$AY$1,AB$1)+SUMIFS('changes2_based on steps'!$B176:$U176,'changes2_based on steps'!$B$1:$U$1,AB$1)</f>
        <v>0</v>
      </c>
      <c r="AC176" s="179">
        <f>SUMIFS('recurring2_based on steps'!$B176:$AY176,'recurring2_based on steps'!$B$1:$AY$1,AC$1)+SUMIFS('changes2_based on steps'!$B176:$U176,'changes2_based on steps'!$B$1:$U$1,AC$1)</f>
        <v>0</v>
      </c>
      <c r="AD176" s="179">
        <f>SUMIFS('recurring2_based on steps'!$B176:$AY176,'recurring2_based on steps'!$B$1:$AY$1,AD$1)+SUMIFS('changes2_based on steps'!$B176:$U176,'changes2_based on steps'!$B$1:$U$1,AD$1)</f>
        <v>0</v>
      </c>
      <c r="AE176" s="179">
        <f>SUMIFS('recurring2_based on steps'!$B176:$AY176,'recurring2_based on steps'!$B$1:$AY$1,AE$1)+SUMIFS('changes2_based on steps'!$B176:$U176,'changes2_based on steps'!$B$1:$U$1,AE$1)</f>
        <v>0</v>
      </c>
      <c r="AF176" s="179"/>
      <c r="AG176" s="179"/>
      <c r="AH176" s="179"/>
      <c r="AI176" s="179"/>
      <c r="AJ176" s="179"/>
      <c r="AK176" s="179"/>
      <c r="AL176" s="179"/>
      <c r="AM176" s="179"/>
    </row>
    <row r="177" spans="1:39" x14ac:dyDescent="0.2">
      <c r="A177" s="32">
        <f t="shared" ca="1" si="2"/>
        <v>45926</v>
      </c>
      <c r="B177" s="179">
        <f>SUMIFS('recurring2_based on steps'!$B177:$AY177,'recurring2_based on steps'!$B$1:$AY$1,B$1)+SUMIFS('changes2_based on steps'!$B177:$U177,'changes2_based on steps'!$B$1:$U$1,B$1)</f>
        <v>0</v>
      </c>
      <c r="C177" s="179">
        <f>SUMIFS('recurring2_based on steps'!$B177:$AY177,'recurring2_based on steps'!$B$1:$AY$1,C$1)+SUMIFS('changes2_based on steps'!$B177:$U177,'changes2_based on steps'!$B$1:$U$1,C$1)</f>
        <v>0</v>
      </c>
      <c r="D177" s="179">
        <f>SUMIFS('recurring2_based on steps'!$B177:$AY177,'recurring2_based on steps'!$B$1:$AY$1,D$1)+SUMIFS('changes2_based on steps'!$B177:$U177,'changes2_based on steps'!$B$1:$U$1,D$1)</f>
        <v>0</v>
      </c>
      <c r="E177" s="179">
        <f>SUMIFS('recurring2_based on steps'!$B177:$AY177,'recurring2_based on steps'!$B$1:$AY$1,E$1)+SUMIFS('changes2_based on steps'!$B177:$U177,'changes2_based on steps'!$B$1:$U$1,E$1)</f>
        <v>0</v>
      </c>
      <c r="F177" s="179">
        <f>SUMIFS('recurring2_based on steps'!$B177:$AY177,'recurring2_based on steps'!$B$1:$AY$1,F$1)+SUMIFS('changes2_based on steps'!$B177:$U177,'changes2_based on steps'!$B$1:$U$1,F$1)</f>
        <v>0</v>
      </c>
      <c r="G177" s="179">
        <f>SUMIFS('recurring2_based on steps'!$B177:$AY177,'recurring2_based on steps'!$B$1:$AY$1,G$1)+SUMIFS('changes2_based on steps'!$B177:$U177,'changes2_based on steps'!$B$1:$U$1,G$1)</f>
        <v>0</v>
      </c>
      <c r="H177" s="179">
        <f>SUMIFS('recurring2_based on steps'!$B177:$AY177,'recurring2_based on steps'!$B$1:$AY$1,H$1)+SUMIFS('changes2_based on steps'!$B177:$U177,'changes2_based on steps'!$B$1:$U$1,H$1)</f>
        <v>0</v>
      </c>
      <c r="I177" s="179">
        <f>SUMIFS('recurring2_based on steps'!$B177:$AY177,'recurring2_based on steps'!$B$1:$AY$1,I$1)+SUMIFS('changes2_based on steps'!$B177:$U177,'changes2_based on steps'!$B$1:$U$1,I$1)</f>
        <v>0</v>
      </c>
      <c r="J177" s="179">
        <f>SUMIFS('recurring2_based on steps'!$B177:$AY177,'recurring2_based on steps'!$B$1:$AY$1,J$1)+SUMIFS('changes2_based on steps'!$B177:$U177,'changes2_based on steps'!$B$1:$U$1,J$1)</f>
        <v>0</v>
      </c>
      <c r="K177" s="179">
        <f>SUMIFS('recurring2_based on steps'!$B177:$AY177,'recurring2_based on steps'!$B$1:$AY$1,K$1)+SUMIFS('changes2_based on steps'!$B177:$U177,'changes2_based on steps'!$B$1:$U$1,K$1)</f>
        <v>0</v>
      </c>
      <c r="L177" s="179">
        <f>SUMIFS('recurring2_based on steps'!$B177:$AY177,'recurring2_based on steps'!$B$1:$AY$1,L$1)+SUMIFS('changes2_based on steps'!$B177:$U177,'changes2_based on steps'!$B$1:$U$1,L$1)</f>
        <v>0</v>
      </c>
      <c r="M177" s="179">
        <f>SUMIFS('recurring2_based on steps'!$B177:$AY177,'recurring2_based on steps'!$B$1:$AY$1,M$1)+SUMIFS('changes2_based on steps'!$B177:$U177,'changes2_based on steps'!$B$1:$U$1,M$1)</f>
        <v>0</v>
      </c>
      <c r="N177" s="179">
        <f>SUMIFS('recurring2_based on steps'!$B177:$AY177,'recurring2_based on steps'!$B$1:$AY$1,N$1)+SUMIFS('changes2_based on steps'!$B177:$U177,'changes2_based on steps'!$B$1:$U$1,N$1)</f>
        <v>0</v>
      </c>
      <c r="O177" s="179">
        <f>SUMIFS('recurring2_based on steps'!$B177:$AY177,'recurring2_based on steps'!$B$1:$AY$1,O$1)+SUMIFS('changes2_based on steps'!$B177:$U177,'changes2_based on steps'!$B$1:$U$1,O$1)</f>
        <v>0</v>
      </c>
      <c r="P177" s="179">
        <f>SUMIFS('recurring2_based on steps'!$B177:$AY177,'recurring2_based on steps'!$B$1:$AY$1,P$1)+SUMIFS('changes2_based on steps'!$B177:$U177,'changes2_based on steps'!$B$1:$U$1,P$1)</f>
        <v>0</v>
      </c>
      <c r="Q177" s="179">
        <f>SUMIFS('recurring2_based on steps'!$B177:$AY177,'recurring2_based on steps'!$B$1:$AY$1,Q$1)+SUMIFS('changes2_based on steps'!$B177:$U177,'changes2_based on steps'!$B$1:$U$1,Q$1)</f>
        <v>0</v>
      </c>
      <c r="R177" s="179">
        <f>SUMIFS('recurring2_based on steps'!$B177:$AY177,'recurring2_based on steps'!$B$1:$AY$1,R$1)+SUMIFS('changes2_based on steps'!$B177:$U177,'changes2_based on steps'!$B$1:$U$1,R$1)</f>
        <v>0</v>
      </c>
      <c r="S177" s="179">
        <f>SUMIFS('recurring2_based on steps'!$B177:$AY177,'recurring2_based on steps'!$B$1:$AY$1,S$1)+SUMIFS('changes2_based on steps'!$B177:$U177,'changes2_based on steps'!$B$1:$U$1,S$1)</f>
        <v>0</v>
      </c>
      <c r="T177" s="179">
        <f>SUMIFS('recurring2_based on steps'!$B177:$AY177,'recurring2_based on steps'!$B$1:$AY$1,T$1)+SUMIFS('changes2_based on steps'!$B177:$U177,'changes2_based on steps'!$B$1:$U$1,T$1)</f>
        <v>0</v>
      </c>
      <c r="U177" s="179">
        <f>SUMIFS('recurring2_based on steps'!$B177:$AY177,'recurring2_based on steps'!$B$1:$AY$1,U$1)+SUMIFS('changes2_based on steps'!$B177:$U177,'changes2_based on steps'!$B$1:$U$1,U$1)</f>
        <v>0</v>
      </c>
      <c r="V177" s="179">
        <f>SUMIFS('recurring2_based on steps'!$B177:$AY177,'recurring2_based on steps'!$B$1:$AY$1,V$1)+SUMIFS('changes2_based on steps'!$B177:$U177,'changes2_based on steps'!$B$1:$U$1,V$1)</f>
        <v>0</v>
      </c>
      <c r="W177" s="179">
        <f>SUMIFS('recurring2_based on steps'!$B177:$AY177,'recurring2_based on steps'!$B$1:$AY$1,W$1)+SUMIFS('changes2_based on steps'!$B177:$U177,'changes2_based on steps'!$B$1:$U$1,W$1)</f>
        <v>0</v>
      </c>
      <c r="X177" s="179">
        <f>SUMIFS('recurring2_based on steps'!$B177:$AY177,'recurring2_based on steps'!$B$1:$AY$1,X$1)+SUMIFS('changes2_based on steps'!$B177:$U177,'changes2_based on steps'!$B$1:$U$1,X$1)</f>
        <v>0</v>
      </c>
      <c r="Y177" s="179">
        <f>SUMIFS('recurring2_based on steps'!$B177:$AY177,'recurring2_based on steps'!$B$1:$AY$1,Y$1)+SUMIFS('changes2_based on steps'!$B177:$U177,'changes2_based on steps'!$B$1:$U$1,Y$1)</f>
        <v>0</v>
      </c>
      <c r="Z177" s="179">
        <f>SUMIFS('recurring2_based on steps'!$B177:$AY177,'recurring2_based on steps'!$B$1:$AY$1,Z$1)+SUMIFS('changes2_based on steps'!$B177:$U177,'changes2_based on steps'!$B$1:$U$1,Z$1)</f>
        <v>0</v>
      </c>
      <c r="AA177" s="179">
        <f>SUMIFS('recurring2_based on steps'!$B177:$AY177,'recurring2_based on steps'!$B$1:$AY$1,AA$1)+SUMIFS('changes2_based on steps'!$B177:$U177,'changes2_based on steps'!$B$1:$U$1,AA$1)</f>
        <v>0</v>
      </c>
      <c r="AB177" s="179">
        <f>SUMIFS('recurring2_based on steps'!$B177:$AY177,'recurring2_based on steps'!$B$1:$AY$1,AB$1)+SUMIFS('changes2_based on steps'!$B177:$U177,'changes2_based on steps'!$B$1:$U$1,AB$1)</f>
        <v>0</v>
      </c>
      <c r="AC177" s="179">
        <f>SUMIFS('recurring2_based on steps'!$B177:$AY177,'recurring2_based on steps'!$B$1:$AY$1,AC$1)+SUMIFS('changes2_based on steps'!$B177:$U177,'changes2_based on steps'!$B$1:$U$1,AC$1)</f>
        <v>0</v>
      </c>
      <c r="AD177" s="179">
        <f>SUMIFS('recurring2_based on steps'!$B177:$AY177,'recurring2_based on steps'!$B$1:$AY$1,AD$1)+SUMIFS('changes2_based on steps'!$B177:$U177,'changes2_based on steps'!$B$1:$U$1,AD$1)</f>
        <v>0</v>
      </c>
      <c r="AE177" s="179">
        <f>SUMIFS('recurring2_based on steps'!$B177:$AY177,'recurring2_based on steps'!$B$1:$AY$1,AE$1)+SUMIFS('changes2_based on steps'!$B177:$U177,'changes2_based on steps'!$B$1:$U$1,AE$1)</f>
        <v>0</v>
      </c>
      <c r="AF177" s="179"/>
      <c r="AG177" s="179"/>
      <c r="AH177" s="179"/>
      <c r="AI177" s="179"/>
      <c r="AJ177" s="179"/>
      <c r="AK177" s="179"/>
      <c r="AL177" s="179"/>
      <c r="AM177" s="179"/>
    </row>
    <row r="178" spans="1:39" x14ac:dyDescent="0.2">
      <c r="A178" s="32">
        <f t="shared" ca="1" si="2"/>
        <v>45927</v>
      </c>
      <c r="B178" s="179">
        <f>SUMIFS('recurring2_based on steps'!$B178:$AY178,'recurring2_based on steps'!$B$1:$AY$1,B$1)+SUMIFS('changes2_based on steps'!$B178:$U178,'changes2_based on steps'!$B$1:$U$1,B$1)</f>
        <v>0</v>
      </c>
      <c r="C178" s="179">
        <f>SUMIFS('recurring2_based on steps'!$B178:$AY178,'recurring2_based on steps'!$B$1:$AY$1,C$1)+SUMIFS('changes2_based on steps'!$B178:$U178,'changes2_based on steps'!$B$1:$U$1,C$1)</f>
        <v>0</v>
      </c>
      <c r="D178" s="179">
        <f>SUMIFS('recurring2_based on steps'!$B178:$AY178,'recurring2_based on steps'!$B$1:$AY$1,D$1)+SUMIFS('changes2_based on steps'!$B178:$U178,'changes2_based on steps'!$B$1:$U$1,D$1)</f>
        <v>0</v>
      </c>
      <c r="E178" s="179">
        <f>SUMIFS('recurring2_based on steps'!$B178:$AY178,'recurring2_based on steps'!$B$1:$AY$1,E$1)+SUMIFS('changes2_based on steps'!$B178:$U178,'changes2_based on steps'!$B$1:$U$1,E$1)</f>
        <v>0</v>
      </c>
      <c r="F178" s="179">
        <f>SUMIFS('recurring2_based on steps'!$B178:$AY178,'recurring2_based on steps'!$B$1:$AY$1,F$1)+SUMIFS('changes2_based on steps'!$B178:$U178,'changes2_based on steps'!$B$1:$U$1,F$1)</f>
        <v>0</v>
      </c>
      <c r="G178" s="179">
        <f>SUMIFS('recurring2_based on steps'!$B178:$AY178,'recurring2_based on steps'!$B$1:$AY$1,G$1)+SUMIFS('changes2_based on steps'!$B178:$U178,'changes2_based on steps'!$B$1:$U$1,G$1)</f>
        <v>0</v>
      </c>
      <c r="H178" s="179">
        <f>SUMIFS('recurring2_based on steps'!$B178:$AY178,'recurring2_based on steps'!$B$1:$AY$1,H$1)+SUMIFS('changes2_based on steps'!$B178:$U178,'changes2_based on steps'!$B$1:$U$1,H$1)</f>
        <v>0</v>
      </c>
      <c r="I178" s="179">
        <f>SUMIFS('recurring2_based on steps'!$B178:$AY178,'recurring2_based on steps'!$B$1:$AY$1,I$1)+SUMIFS('changes2_based on steps'!$B178:$U178,'changes2_based on steps'!$B$1:$U$1,I$1)</f>
        <v>0</v>
      </c>
      <c r="J178" s="179">
        <f>SUMIFS('recurring2_based on steps'!$B178:$AY178,'recurring2_based on steps'!$B$1:$AY$1,J$1)+SUMIFS('changes2_based on steps'!$B178:$U178,'changes2_based on steps'!$B$1:$U$1,J$1)</f>
        <v>0</v>
      </c>
      <c r="K178" s="179">
        <f>SUMIFS('recurring2_based on steps'!$B178:$AY178,'recurring2_based on steps'!$B$1:$AY$1,K$1)+SUMIFS('changes2_based on steps'!$B178:$U178,'changes2_based on steps'!$B$1:$U$1,K$1)</f>
        <v>0</v>
      </c>
      <c r="L178" s="179">
        <f>SUMIFS('recurring2_based on steps'!$B178:$AY178,'recurring2_based on steps'!$B$1:$AY$1,L$1)+SUMIFS('changes2_based on steps'!$B178:$U178,'changes2_based on steps'!$B$1:$U$1,L$1)</f>
        <v>0</v>
      </c>
      <c r="M178" s="179">
        <f>SUMIFS('recurring2_based on steps'!$B178:$AY178,'recurring2_based on steps'!$B$1:$AY$1,M$1)+SUMIFS('changes2_based on steps'!$B178:$U178,'changes2_based on steps'!$B$1:$U$1,M$1)</f>
        <v>0</v>
      </c>
      <c r="N178" s="179">
        <f>SUMIFS('recurring2_based on steps'!$B178:$AY178,'recurring2_based on steps'!$B$1:$AY$1,N$1)+SUMIFS('changes2_based on steps'!$B178:$U178,'changes2_based on steps'!$B$1:$U$1,N$1)</f>
        <v>0</v>
      </c>
      <c r="O178" s="179">
        <f>SUMIFS('recurring2_based on steps'!$B178:$AY178,'recurring2_based on steps'!$B$1:$AY$1,O$1)+SUMIFS('changes2_based on steps'!$B178:$U178,'changes2_based on steps'!$B$1:$U$1,O$1)</f>
        <v>0</v>
      </c>
      <c r="P178" s="179">
        <f>SUMIFS('recurring2_based on steps'!$B178:$AY178,'recurring2_based on steps'!$B$1:$AY$1,P$1)+SUMIFS('changes2_based on steps'!$B178:$U178,'changes2_based on steps'!$B$1:$U$1,P$1)</f>
        <v>0</v>
      </c>
      <c r="Q178" s="179">
        <f>SUMIFS('recurring2_based on steps'!$B178:$AY178,'recurring2_based on steps'!$B$1:$AY$1,Q$1)+SUMIFS('changes2_based on steps'!$B178:$U178,'changes2_based on steps'!$B$1:$U$1,Q$1)</f>
        <v>0</v>
      </c>
      <c r="R178" s="179">
        <f>SUMIFS('recurring2_based on steps'!$B178:$AY178,'recurring2_based on steps'!$B$1:$AY$1,R$1)+SUMIFS('changes2_based on steps'!$B178:$U178,'changes2_based on steps'!$B$1:$U$1,R$1)</f>
        <v>0</v>
      </c>
      <c r="S178" s="179">
        <f>SUMIFS('recurring2_based on steps'!$B178:$AY178,'recurring2_based on steps'!$B$1:$AY$1,S$1)+SUMIFS('changes2_based on steps'!$B178:$U178,'changes2_based on steps'!$B$1:$U$1,S$1)</f>
        <v>0</v>
      </c>
      <c r="T178" s="179">
        <f>SUMIFS('recurring2_based on steps'!$B178:$AY178,'recurring2_based on steps'!$B$1:$AY$1,T$1)+SUMIFS('changes2_based on steps'!$B178:$U178,'changes2_based on steps'!$B$1:$U$1,T$1)</f>
        <v>0</v>
      </c>
      <c r="U178" s="179">
        <f>SUMIFS('recurring2_based on steps'!$B178:$AY178,'recurring2_based on steps'!$B$1:$AY$1,U$1)+SUMIFS('changes2_based on steps'!$B178:$U178,'changes2_based on steps'!$B$1:$U$1,U$1)</f>
        <v>0</v>
      </c>
      <c r="V178" s="179">
        <f>SUMIFS('recurring2_based on steps'!$B178:$AY178,'recurring2_based on steps'!$B$1:$AY$1,V$1)+SUMIFS('changes2_based on steps'!$B178:$U178,'changes2_based on steps'!$B$1:$U$1,V$1)</f>
        <v>0</v>
      </c>
      <c r="W178" s="179">
        <f>SUMIFS('recurring2_based on steps'!$B178:$AY178,'recurring2_based on steps'!$B$1:$AY$1,W$1)+SUMIFS('changes2_based on steps'!$B178:$U178,'changes2_based on steps'!$B$1:$U$1,W$1)</f>
        <v>0</v>
      </c>
      <c r="X178" s="179">
        <f>SUMIFS('recurring2_based on steps'!$B178:$AY178,'recurring2_based on steps'!$B$1:$AY$1,X$1)+SUMIFS('changes2_based on steps'!$B178:$U178,'changes2_based on steps'!$B$1:$U$1,X$1)</f>
        <v>0</v>
      </c>
      <c r="Y178" s="179">
        <f>SUMIFS('recurring2_based on steps'!$B178:$AY178,'recurring2_based on steps'!$B$1:$AY$1,Y$1)+SUMIFS('changes2_based on steps'!$B178:$U178,'changes2_based on steps'!$B$1:$U$1,Y$1)</f>
        <v>0</v>
      </c>
      <c r="Z178" s="179">
        <f>SUMIFS('recurring2_based on steps'!$B178:$AY178,'recurring2_based on steps'!$B$1:$AY$1,Z$1)+SUMIFS('changes2_based on steps'!$B178:$U178,'changes2_based on steps'!$B$1:$U$1,Z$1)</f>
        <v>0</v>
      </c>
      <c r="AA178" s="179">
        <f>SUMIFS('recurring2_based on steps'!$B178:$AY178,'recurring2_based on steps'!$B$1:$AY$1,AA$1)+SUMIFS('changes2_based on steps'!$B178:$U178,'changes2_based on steps'!$B$1:$U$1,AA$1)</f>
        <v>0</v>
      </c>
      <c r="AB178" s="179">
        <f>SUMIFS('recurring2_based on steps'!$B178:$AY178,'recurring2_based on steps'!$B$1:$AY$1,AB$1)+SUMIFS('changes2_based on steps'!$B178:$U178,'changes2_based on steps'!$B$1:$U$1,AB$1)</f>
        <v>0</v>
      </c>
      <c r="AC178" s="179">
        <f>SUMIFS('recurring2_based on steps'!$B178:$AY178,'recurring2_based on steps'!$B$1:$AY$1,AC$1)+SUMIFS('changes2_based on steps'!$B178:$U178,'changes2_based on steps'!$B$1:$U$1,AC$1)</f>
        <v>0</v>
      </c>
      <c r="AD178" s="179">
        <f>SUMIFS('recurring2_based on steps'!$B178:$AY178,'recurring2_based on steps'!$B$1:$AY$1,AD$1)+SUMIFS('changes2_based on steps'!$B178:$U178,'changes2_based on steps'!$B$1:$U$1,AD$1)</f>
        <v>0</v>
      </c>
      <c r="AE178" s="179">
        <f>SUMIFS('recurring2_based on steps'!$B178:$AY178,'recurring2_based on steps'!$B$1:$AY$1,AE$1)+SUMIFS('changes2_based on steps'!$B178:$U178,'changes2_based on steps'!$B$1:$U$1,AE$1)</f>
        <v>0</v>
      </c>
      <c r="AF178" s="179"/>
      <c r="AG178" s="179"/>
      <c r="AH178" s="179"/>
      <c r="AI178" s="179"/>
      <c r="AJ178" s="179"/>
      <c r="AK178" s="179"/>
      <c r="AL178" s="179"/>
      <c r="AM178" s="179"/>
    </row>
    <row r="179" spans="1:39" x14ac:dyDescent="0.2">
      <c r="A179" s="32">
        <f t="shared" ca="1" si="2"/>
        <v>45928</v>
      </c>
      <c r="B179" s="179">
        <f>SUMIFS('recurring2_based on steps'!$B179:$AY179,'recurring2_based on steps'!$B$1:$AY$1,B$1)+SUMIFS('changes2_based on steps'!$B179:$U179,'changes2_based on steps'!$B$1:$U$1,B$1)</f>
        <v>0</v>
      </c>
      <c r="C179" s="179">
        <f>SUMIFS('recurring2_based on steps'!$B179:$AY179,'recurring2_based on steps'!$B$1:$AY$1,C$1)+SUMIFS('changes2_based on steps'!$B179:$U179,'changes2_based on steps'!$B$1:$U$1,C$1)</f>
        <v>0</v>
      </c>
      <c r="D179" s="179">
        <f>SUMIFS('recurring2_based on steps'!$B179:$AY179,'recurring2_based on steps'!$B$1:$AY$1,D$1)+SUMIFS('changes2_based on steps'!$B179:$U179,'changes2_based on steps'!$B$1:$U$1,D$1)</f>
        <v>0</v>
      </c>
      <c r="E179" s="179">
        <f>SUMIFS('recurring2_based on steps'!$B179:$AY179,'recurring2_based on steps'!$B$1:$AY$1,E$1)+SUMIFS('changes2_based on steps'!$B179:$U179,'changes2_based on steps'!$B$1:$U$1,E$1)</f>
        <v>0</v>
      </c>
      <c r="F179" s="179">
        <f>SUMIFS('recurring2_based on steps'!$B179:$AY179,'recurring2_based on steps'!$B$1:$AY$1,F$1)+SUMIFS('changes2_based on steps'!$B179:$U179,'changes2_based on steps'!$B$1:$U$1,F$1)</f>
        <v>0</v>
      </c>
      <c r="G179" s="179">
        <f>SUMIFS('recurring2_based on steps'!$B179:$AY179,'recurring2_based on steps'!$B$1:$AY$1,G$1)+SUMIFS('changes2_based on steps'!$B179:$U179,'changes2_based on steps'!$B$1:$U$1,G$1)</f>
        <v>0</v>
      </c>
      <c r="H179" s="179">
        <f>SUMIFS('recurring2_based on steps'!$B179:$AY179,'recurring2_based on steps'!$B$1:$AY$1,H$1)+SUMIFS('changes2_based on steps'!$B179:$U179,'changes2_based on steps'!$B$1:$U$1,H$1)</f>
        <v>0</v>
      </c>
      <c r="I179" s="179">
        <f>SUMIFS('recurring2_based on steps'!$B179:$AY179,'recurring2_based on steps'!$B$1:$AY$1,I$1)+SUMIFS('changes2_based on steps'!$B179:$U179,'changes2_based on steps'!$B$1:$U$1,I$1)</f>
        <v>0</v>
      </c>
      <c r="J179" s="179">
        <f>SUMIFS('recurring2_based on steps'!$B179:$AY179,'recurring2_based on steps'!$B$1:$AY$1,J$1)+SUMIFS('changes2_based on steps'!$B179:$U179,'changes2_based on steps'!$B$1:$U$1,J$1)</f>
        <v>0</v>
      </c>
      <c r="K179" s="179">
        <f>SUMIFS('recurring2_based on steps'!$B179:$AY179,'recurring2_based on steps'!$B$1:$AY$1,K$1)+SUMIFS('changes2_based on steps'!$B179:$U179,'changes2_based on steps'!$B$1:$U$1,K$1)</f>
        <v>0</v>
      </c>
      <c r="L179" s="179">
        <f>SUMIFS('recurring2_based on steps'!$B179:$AY179,'recurring2_based on steps'!$B$1:$AY$1,L$1)+SUMIFS('changes2_based on steps'!$B179:$U179,'changes2_based on steps'!$B$1:$U$1,L$1)</f>
        <v>0</v>
      </c>
      <c r="M179" s="179">
        <f>SUMIFS('recurring2_based on steps'!$B179:$AY179,'recurring2_based on steps'!$B$1:$AY$1,M$1)+SUMIFS('changes2_based on steps'!$B179:$U179,'changes2_based on steps'!$B$1:$U$1,M$1)</f>
        <v>0</v>
      </c>
      <c r="N179" s="179">
        <f>SUMIFS('recurring2_based on steps'!$B179:$AY179,'recurring2_based on steps'!$B$1:$AY$1,N$1)+SUMIFS('changes2_based on steps'!$B179:$U179,'changes2_based on steps'!$B$1:$U$1,N$1)</f>
        <v>0</v>
      </c>
      <c r="O179" s="179">
        <f>SUMIFS('recurring2_based on steps'!$B179:$AY179,'recurring2_based on steps'!$B$1:$AY$1,O$1)+SUMIFS('changes2_based on steps'!$B179:$U179,'changes2_based on steps'!$B$1:$U$1,O$1)</f>
        <v>0</v>
      </c>
      <c r="P179" s="179">
        <f>SUMIFS('recurring2_based on steps'!$B179:$AY179,'recurring2_based on steps'!$B$1:$AY$1,P$1)+SUMIFS('changes2_based on steps'!$B179:$U179,'changes2_based on steps'!$B$1:$U$1,P$1)</f>
        <v>0</v>
      </c>
      <c r="Q179" s="179">
        <f>SUMIFS('recurring2_based on steps'!$B179:$AY179,'recurring2_based on steps'!$B$1:$AY$1,Q$1)+SUMIFS('changes2_based on steps'!$B179:$U179,'changes2_based on steps'!$B$1:$U$1,Q$1)</f>
        <v>0</v>
      </c>
      <c r="R179" s="179">
        <f>SUMIFS('recurring2_based on steps'!$B179:$AY179,'recurring2_based on steps'!$B$1:$AY$1,R$1)+SUMIFS('changes2_based on steps'!$B179:$U179,'changes2_based on steps'!$B$1:$U$1,R$1)</f>
        <v>0</v>
      </c>
      <c r="S179" s="179">
        <f>SUMIFS('recurring2_based on steps'!$B179:$AY179,'recurring2_based on steps'!$B$1:$AY$1,S$1)+SUMIFS('changes2_based on steps'!$B179:$U179,'changes2_based on steps'!$B$1:$U$1,S$1)</f>
        <v>0</v>
      </c>
      <c r="T179" s="179">
        <f>SUMIFS('recurring2_based on steps'!$B179:$AY179,'recurring2_based on steps'!$B$1:$AY$1,T$1)+SUMIFS('changes2_based on steps'!$B179:$U179,'changes2_based on steps'!$B$1:$U$1,T$1)</f>
        <v>0</v>
      </c>
      <c r="U179" s="179">
        <f>SUMIFS('recurring2_based on steps'!$B179:$AY179,'recurring2_based on steps'!$B$1:$AY$1,U$1)+SUMIFS('changes2_based on steps'!$B179:$U179,'changes2_based on steps'!$B$1:$U$1,U$1)</f>
        <v>0</v>
      </c>
      <c r="V179" s="179">
        <f>SUMIFS('recurring2_based on steps'!$B179:$AY179,'recurring2_based on steps'!$B$1:$AY$1,V$1)+SUMIFS('changes2_based on steps'!$B179:$U179,'changes2_based on steps'!$B$1:$U$1,V$1)</f>
        <v>0</v>
      </c>
      <c r="W179" s="179">
        <f>SUMIFS('recurring2_based on steps'!$B179:$AY179,'recurring2_based on steps'!$B$1:$AY$1,W$1)+SUMIFS('changes2_based on steps'!$B179:$U179,'changes2_based on steps'!$B$1:$U$1,W$1)</f>
        <v>0</v>
      </c>
      <c r="X179" s="179">
        <f>SUMIFS('recurring2_based on steps'!$B179:$AY179,'recurring2_based on steps'!$B$1:$AY$1,X$1)+SUMIFS('changes2_based on steps'!$B179:$U179,'changes2_based on steps'!$B$1:$U$1,X$1)</f>
        <v>0</v>
      </c>
      <c r="Y179" s="179">
        <f>SUMIFS('recurring2_based on steps'!$B179:$AY179,'recurring2_based on steps'!$B$1:$AY$1,Y$1)+SUMIFS('changes2_based on steps'!$B179:$U179,'changes2_based on steps'!$B$1:$U$1,Y$1)</f>
        <v>0</v>
      </c>
      <c r="Z179" s="179">
        <f>SUMIFS('recurring2_based on steps'!$B179:$AY179,'recurring2_based on steps'!$B$1:$AY$1,Z$1)+SUMIFS('changes2_based on steps'!$B179:$U179,'changes2_based on steps'!$B$1:$U$1,Z$1)</f>
        <v>0</v>
      </c>
      <c r="AA179" s="179">
        <f>SUMIFS('recurring2_based on steps'!$B179:$AY179,'recurring2_based on steps'!$B$1:$AY$1,AA$1)+SUMIFS('changes2_based on steps'!$B179:$U179,'changes2_based on steps'!$B$1:$U$1,AA$1)</f>
        <v>0</v>
      </c>
      <c r="AB179" s="179">
        <f>SUMIFS('recurring2_based on steps'!$B179:$AY179,'recurring2_based on steps'!$B$1:$AY$1,AB$1)+SUMIFS('changes2_based on steps'!$B179:$U179,'changes2_based on steps'!$B$1:$U$1,AB$1)</f>
        <v>0</v>
      </c>
      <c r="AC179" s="179">
        <f>SUMIFS('recurring2_based on steps'!$B179:$AY179,'recurring2_based on steps'!$B$1:$AY$1,AC$1)+SUMIFS('changes2_based on steps'!$B179:$U179,'changes2_based on steps'!$B$1:$U$1,AC$1)</f>
        <v>0</v>
      </c>
      <c r="AD179" s="179">
        <f>SUMIFS('recurring2_based on steps'!$B179:$AY179,'recurring2_based on steps'!$B$1:$AY$1,AD$1)+SUMIFS('changes2_based on steps'!$B179:$U179,'changes2_based on steps'!$B$1:$U$1,AD$1)</f>
        <v>0</v>
      </c>
      <c r="AE179" s="179">
        <f>SUMIFS('recurring2_based on steps'!$B179:$AY179,'recurring2_based on steps'!$B$1:$AY$1,AE$1)+SUMIFS('changes2_based on steps'!$B179:$U179,'changes2_based on steps'!$B$1:$U$1,AE$1)</f>
        <v>0</v>
      </c>
      <c r="AF179" s="179"/>
      <c r="AG179" s="179"/>
      <c r="AH179" s="179"/>
      <c r="AI179" s="179"/>
      <c r="AJ179" s="179"/>
      <c r="AK179" s="179"/>
      <c r="AL179" s="179"/>
      <c r="AM179" s="179"/>
    </row>
    <row r="180" spans="1:39" x14ac:dyDescent="0.2">
      <c r="A180" s="32">
        <f t="shared" ca="1" si="2"/>
        <v>45929</v>
      </c>
      <c r="B180" s="179">
        <f>SUMIFS('recurring2_based on steps'!$B180:$AY180,'recurring2_based on steps'!$B$1:$AY$1,B$1)+SUMIFS('changes2_based on steps'!$B180:$U180,'changes2_based on steps'!$B$1:$U$1,B$1)</f>
        <v>0</v>
      </c>
      <c r="C180" s="179">
        <f>SUMIFS('recurring2_based on steps'!$B180:$AY180,'recurring2_based on steps'!$B$1:$AY$1,C$1)+SUMIFS('changes2_based on steps'!$B180:$U180,'changes2_based on steps'!$B$1:$U$1,C$1)</f>
        <v>0</v>
      </c>
      <c r="D180" s="179">
        <f>SUMIFS('recurring2_based on steps'!$B180:$AY180,'recurring2_based on steps'!$B$1:$AY$1,D$1)+SUMIFS('changes2_based on steps'!$B180:$U180,'changes2_based on steps'!$B$1:$U$1,D$1)</f>
        <v>0</v>
      </c>
      <c r="E180" s="179">
        <f>SUMIFS('recurring2_based on steps'!$B180:$AY180,'recurring2_based on steps'!$B$1:$AY$1,E$1)+SUMIFS('changes2_based on steps'!$B180:$U180,'changes2_based on steps'!$B$1:$U$1,E$1)</f>
        <v>0</v>
      </c>
      <c r="F180" s="179">
        <f>SUMIFS('recurring2_based on steps'!$B180:$AY180,'recurring2_based on steps'!$B$1:$AY$1,F$1)+SUMIFS('changes2_based on steps'!$B180:$U180,'changes2_based on steps'!$B$1:$U$1,F$1)</f>
        <v>0</v>
      </c>
      <c r="G180" s="179">
        <f>SUMIFS('recurring2_based on steps'!$B180:$AY180,'recurring2_based on steps'!$B$1:$AY$1,G$1)+SUMIFS('changes2_based on steps'!$B180:$U180,'changes2_based on steps'!$B$1:$U$1,G$1)</f>
        <v>0</v>
      </c>
      <c r="H180" s="179">
        <f>SUMIFS('recurring2_based on steps'!$B180:$AY180,'recurring2_based on steps'!$B$1:$AY$1,H$1)+SUMIFS('changes2_based on steps'!$B180:$U180,'changes2_based on steps'!$B$1:$U$1,H$1)</f>
        <v>0</v>
      </c>
      <c r="I180" s="179">
        <f>SUMIFS('recurring2_based on steps'!$B180:$AY180,'recurring2_based on steps'!$B$1:$AY$1,I$1)+SUMIFS('changes2_based on steps'!$B180:$U180,'changes2_based on steps'!$B$1:$U$1,I$1)</f>
        <v>0</v>
      </c>
      <c r="J180" s="179">
        <f>SUMIFS('recurring2_based on steps'!$B180:$AY180,'recurring2_based on steps'!$B$1:$AY$1,J$1)+SUMIFS('changes2_based on steps'!$B180:$U180,'changes2_based on steps'!$B$1:$U$1,J$1)</f>
        <v>0</v>
      </c>
      <c r="K180" s="179">
        <f>SUMIFS('recurring2_based on steps'!$B180:$AY180,'recurring2_based on steps'!$B$1:$AY$1,K$1)+SUMIFS('changes2_based on steps'!$B180:$U180,'changes2_based on steps'!$B$1:$U$1,K$1)</f>
        <v>0</v>
      </c>
      <c r="L180" s="179">
        <f>SUMIFS('recurring2_based on steps'!$B180:$AY180,'recurring2_based on steps'!$B$1:$AY$1,L$1)+SUMIFS('changes2_based on steps'!$B180:$U180,'changes2_based on steps'!$B$1:$U$1,L$1)</f>
        <v>0</v>
      </c>
      <c r="M180" s="179">
        <f>SUMIFS('recurring2_based on steps'!$B180:$AY180,'recurring2_based on steps'!$B$1:$AY$1,M$1)+SUMIFS('changes2_based on steps'!$B180:$U180,'changes2_based on steps'!$B$1:$U$1,M$1)</f>
        <v>0</v>
      </c>
      <c r="N180" s="179">
        <f>SUMIFS('recurring2_based on steps'!$B180:$AY180,'recurring2_based on steps'!$B$1:$AY$1,N$1)+SUMIFS('changes2_based on steps'!$B180:$U180,'changes2_based on steps'!$B$1:$U$1,N$1)</f>
        <v>0</v>
      </c>
      <c r="O180" s="179">
        <f>SUMIFS('recurring2_based on steps'!$B180:$AY180,'recurring2_based on steps'!$B$1:$AY$1,O$1)+SUMIFS('changes2_based on steps'!$B180:$U180,'changes2_based on steps'!$B$1:$U$1,O$1)</f>
        <v>0</v>
      </c>
      <c r="P180" s="179">
        <f>SUMIFS('recurring2_based on steps'!$B180:$AY180,'recurring2_based on steps'!$B$1:$AY$1,P$1)+SUMIFS('changes2_based on steps'!$B180:$U180,'changes2_based on steps'!$B$1:$U$1,P$1)</f>
        <v>0</v>
      </c>
      <c r="Q180" s="179">
        <f>SUMIFS('recurring2_based on steps'!$B180:$AY180,'recurring2_based on steps'!$B$1:$AY$1,Q$1)+SUMIFS('changes2_based on steps'!$B180:$U180,'changes2_based on steps'!$B$1:$U$1,Q$1)</f>
        <v>0</v>
      </c>
      <c r="R180" s="179">
        <f>SUMIFS('recurring2_based on steps'!$B180:$AY180,'recurring2_based on steps'!$B$1:$AY$1,R$1)+SUMIFS('changes2_based on steps'!$B180:$U180,'changes2_based on steps'!$B$1:$U$1,R$1)</f>
        <v>0</v>
      </c>
      <c r="S180" s="179">
        <f>SUMIFS('recurring2_based on steps'!$B180:$AY180,'recurring2_based on steps'!$B$1:$AY$1,S$1)+SUMIFS('changes2_based on steps'!$B180:$U180,'changes2_based on steps'!$B$1:$U$1,S$1)</f>
        <v>0</v>
      </c>
      <c r="T180" s="179">
        <f>SUMIFS('recurring2_based on steps'!$B180:$AY180,'recurring2_based on steps'!$B$1:$AY$1,T$1)+SUMIFS('changes2_based on steps'!$B180:$U180,'changes2_based on steps'!$B$1:$U$1,T$1)</f>
        <v>0</v>
      </c>
      <c r="U180" s="179">
        <f>SUMIFS('recurring2_based on steps'!$B180:$AY180,'recurring2_based on steps'!$B$1:$AY$1,U$1)+SUMIFS('changes2_based on steps'!$B180:$U180,'changes2_based on steps'!$B$1:$U$1,U$1)</f>
        <v>0</v>
      </c>
      <c r="V180" s="179">
        <f>SUMIFS('recurring2_based on steps'!$B180:$AY180,'recurring2_based on steps'!$B$1:$AY$1,V$1)+SUMIFS('changes2_based on steps'!$B180:$U180,'changes2_based on steps'!$B$1:$U$1,V$1)</f>
        <v>0</v>
      </c>
      <c r="W180" s="179">
        <f>SUMIFS('recurring2_based on steps'!$B180:$AY180,'recurring2_based on steps'!$B$1:$AY$1,W$1)+SUMIFS('changes2_based on steps'!$B180:$U180,'changes2_based on steps'!$B$1:$U$1,W$1)</f>
        <v>0</v>
      </c>
      <c r="X180" s="179">
        <f>SUMIFS('recurring2_based on steps'!$B180:$AY180,'recurring2_based on steps'!$B$1:$AY$1,X$1)+SUMIFS('changes2_based on steps'!$B180:$U180,'changes2_based on steps'!$B$1:$U$1,X$1)</f>
        <v>0</v>
      </c>
      <c r="Y180" s="179">
        <f>SUMIFS('recurring2_based on steps'!$B180:$AY180,'recurring2_based on steps'!$B$1:$AY$1,Y$1)+SUMIFS('changes2_based on steps'!$B180:$U180,'changes2_based on steps'!$B$1:$U$1,Y$1)</f>
        <v>0</v>
      </c>
      <c r="Z180" s="179">
        <f>SUMIFS('recurring2_based on steps'!$B180:$AY180,'recurring2_based on steps'!$B$1:$AY$1,Z$1)+SUMIFS('changes2_based on steps'!$B180:$U180,'changes2_based on steps'!$B$1:$U$1,Z$1)</f>
        <v>0</v>
      </c>
      <c r="AA180" s="179">
        <f>SUMIFS('recurring2_based on steps'!$B180:$AY180,'recurring2_based on steps'!$B$1:$AY$1,AA$1)+SUMIFS('changes2_based on steps'!$B180:$U180,'changes2_based on steps'!$B$1:$U$1,AA$1)</f>
        <v>0</v>
      </c>
      <c r="AB180" s="179">
        <f>SUMIFS('recurring2_based on steps'!$B180:$AY180,'recurring2_based on steps'!$B$1:$AY$1,AB$1)+SUMIFS('changes2_based on steps'!$B180:$U180,'changes2_based on steps'!$B$1:$U$1,AB$1)</f>
        <v>0</v>
      </c>
      <c r="AC180" s="179">
        <f>SUMIFS('recurring2_based on steps'!$B180:$AY180,'recurring2_based on steps'!$B$1:$AY$1,AC$1)+SUMIFS('changes2_based on steps'!$B180:$U180,'changes2_based on steps'!$B$1:$U$1,AC$1)</f>
        <v>0</v>
      </c>
      <c r="AD180" s="179">
        <f>SUMIFS('recurring2_based on steps'!$B180:$AY180,'recurring2_based on steps'!$B$1:$AY$1,AD$1)+SUMIFS('changes2_based on steps'!$B180:$U180,'changes2_based on steps'!$B$1:$U$1,AD$1)</f>
        <v>0</v>
      </c>
      <c r="AE180" s="179">
        <f>SUMIFS('recurring2_based on steps'!$B180:$AY180,'recurring2_based on steps'!$B$1:$AY$1,AE$1)+SUMIFS('changes2_based on steps'!$B180:$U180,'changes2_based on steps'!$B$1:$U$1,AE$1)</f>
        <v>0</v>
      </c>
      <c r="AF180" s="179"/>
      <c r="AG180" s="179"/>
      <c r="AH180" s="179"/>
      <c r="AI180" s="179"/>
      <c r="AJ180" s="179"/>
      <c r="AK180" s="179"/>
      <c r="AL180" s="179"/>
      <c r="AM180" s="179"/>
    </row>
    <row r="181" spans="1:39" x14ac:dyDescent="0.2">
      <c r="A181" s="32">
        <f t="shared" ca="1" si="2"/>
        <v>45930</v>
      </c>
      <c r="B181" s="179">
        <f>SUMIFS('recurring2_based on steps'!$B181:$AY181,'recurring2_based on steps'!$B$1:$AY$1,B$1)+SUMIFS('changes2_based on steps'!$B181:$U181,'changes2_based on steps'!$B$1:$U$1,B$1)</f>
        <v>0</v>
      </c>
      <c r="C181" s="179">
        <f>SUMIFS('recurring2_based on steps'!$B181:$AY181,'recurring2_based on steps'!$B$1:$AY$1,C$1)+SUMIFS('changes2_based on steps'!$B181:$U181,'changes2_based on steps'!$B$1:$U$1,C$1)</f>
        <v>0</v>
      </c>
      <c r="D181" s="179">
        <f>SUMIFS('recurring2_based on steps'!$B181:$AY181,'recurring2_based on steps'!$B$1:$AY$1,D$1)+SUMIFS('changes2_based on steps'!$B181:$U181,'changes2_based on steps'!$B$1:$U$1,D$1)</f>
        <v>0</v>
      </c>
      <c r="E181" s="179">
        <f>SUMIFS('recurring2_based on steps'!$B181:$AY181,'recurring2_based on steps'!$B$1:$AY$1,E$1)+SUMIFS('changes2_based on steps'!$B181:$U181,'changes2_based on steps'!$B$1:$U$1,E$1)</f>
        <v>0</v>
      </c>
      <c r="F181" s="179">
        <f>SUMIFS('recurring2_based on steps'!$B181:$AY181,'recurring2_based on steps'!$B$1:$AY$1,F$1)+SUMIFS('changes2_based on steps'!$B181:$U181,'changes2_based on steps'!$B$1:$U$1,F$1)</f>
        <v>0</v>
      </c>
      <c r="G181" s="179">
        <f>SUMIFS('recurring2_based on steps'!$B181:$AY181,'recurring2_based on steps'!$B$1:$AY$1,G$1)+SUMIFS('changes2_based on steps'!$B181:$U181,'changes2_based on steps'!$B$1:$U$1,G$1)</f>
        <v>0</v>
      </c>
      <c r="H181" s="179">
        <f>SUMIFS('recurring2_based on steps'!$B181:$AY181,'recurring2_based on steps'!$B$1:$AY$1,H$1)+SUMIFS('changes2_based on steps'!$B181:$U181,'changes2_based on steps'!$B$1:$U$1,H$1)</f>
        <v>0</v>
      </c>
      <c r="I181" s="179">
        <f>SUMIFS('recurring2_based on steps'!$B181:$AY181,'recurring2_based on steps'!$B$1:$AY$1,I$1)+SUMIFS('changes2_based on steps'!$B181:$U181,'changes2_based on steps'!$B$1:$U$1,I$1)</f>
        <v>0</v>
      </c>
      <c r="J181" s="179">
        <f>SUMIFS('recurring2_based on steps'!$B181:$AY181,'recurring2_based on steps'!$B$1:$AY$1,J$1)+SUMIFS('changes2_based on steps'!$B181:$U181,'changes2_based on steps'!$B$1:$U$1,J$1)</f>
        <v>0</v>
      </c>
      <c r="K181" s="179">
        <f>SUMIFS('recurring2_based on steps'!$B181:$AY181,'recurring2_based on steps'!$B$1:$AY$1,K$1)+SUMIFS('changes2_based on steps'!$B181:$U181,'changes2_based on steps'!$B$1:$U$1,K$1)</f>
        <v>0</v>
      </c>
      <c r="L181" s="179">
        <f>SUMIFS('recurring2_based on steps'!$B181:$AY181,'recurring2_based on steps'!$B$1:$AY$1,L$1)+SUMIFS('changes2_based on steps'!$B181:$U181,'changes2_based on steps'!$B$1:$U$1,L$1)</f>
        <v>0</v>
      </c>
      <c r="M181" s="179">
        <f>SUMIFS('recurring2_based on steps'!$B181:$AY181,'recurring2_based on steps'!$B$1:$AY$1,M$1)+SUMIFS('changes2_based on steps'!$B181:$U181,'changes2_based on steps'!$B$1:$U$1,M$1)</f>
        <v>0</v>
      </c>
      <c r="N181" s="179">
        <f>SUMIFS('recurring2_based on steps'!$B181:$AY181,'recurring2_based on steps'!$B$1:$AY$1,N$1)+SUMIFS('changes2_based on steps'!$B181:$U181,'changes2_based on steps'!$B$1:$U$1,N$1)</f>
        <v>0</v>
      </c>
      <c r="O181" s="179">
        <f>SUMIFS('recurring2_based on steps'!$B181:$AY181,'recurring2_based on steps'!$B$1:$AY$1,O$1)+SUMIFS('changes2_based on steps'!$B181:$U181,'changes2_based on steps'!$B$1:$U$1,O$1)</f>
        <v>0</v>
      </c>
      <c r="P181" s="179">
        <f>SUMIFS('recurring2_based on steps'!$B181:$AY181,'recurring2_based on steps'!$B$1:$AY$1,P$1)+SUMIFS('changes2_based on steps'!$B181:$U181,'changes2_based on steps'!$B$1:$U$1,P$1)</f>
        <v>0</v>
      </c>
      <c r="Q181" s="179">
        <f>SUMIFS('recurring2_based on steps'!$B181:$AY181,'recurring2_based on steps'!$B$1:$AY$1,Q$1)+SUMIFS('changes2_based on steps'!$B181:$U181,'changes2_based on steps'!$B$1:$U$1,Q$1)</f>
        <v>0</v>
      </c>
      <c r="R181" s="179">
        <f>SUMIFS('recurring2_based on steps'!$B181:$AY181,'recurring2_based on steps'!$B$1:$AY$1,R$1)+SUMIFS('changes2_based on steps'!$B181:$U181,'changes2_based on steps'!$B$1:$U$1,R$1)</f>
        <v>0</v>
      </c>
      <c r="S181" s="179">
        <f>SUMIFS('recurring2_based on steps'!$B181:$AY181,'recurring2_based on steps'!$B$1:$AY$1,S$1)+SUMIFS('changes2_based on steps'!$B181:$U181,'changes2_based on steps'!$B$1:$U$1,S$1)</f>
        <v>0</v>
      </c>
      <c r="T181" s="179">
        <f>SUMIFS('recurring2_based on steps'!$B181:$AY181,'recurring2_based on steps'!$B$1:$AY$1,T$1)+SUMIFS('changes2_based on steps'!$B181:$U181,'changes2_based on steps'!$B$1:$U$1,T$1)</f>
        <v>0</v>
      </c>
      <c r="U181" s="179">
        <f>SUMIFS('recurring2_based on steps'!$B181:$AY181,'recurring2_based on steps'!$B$1:$AY$1,U$1)+SUMIFS('changes2_based on steps'!$B181:$U181,'changes2_based on steps'!$B$1:$U$1,U$1)</f>
        <v>0</v>
      </c>
      <c r="V181" s="179">
        <f>SUMIFS('recurring2_based on steps'!$B181:$AY181,'recurring2_based on steps'!$B$1:$AY$1,V$1)+SUMIFS('changes2_based on steps'!$B181:$U181,'changes2_based on steps'!$B$1:$U$1,V$1)</f>
        <v>0</v>
      </c>
      <c r="W181" s="179">
        <f>SUMIFS('recurring2_based on steps'!$B181:$AY181,'recurring2_based on steps'!$B$1:$AY$1,W$1)+SUMIFS('changes2_based on steps'!$B181:$U181,'changes2_based on steps'!$B$1:$U$1,W$1)</f>
        <v>0</v>
      </c>
      <c r="X181" s="179">
        <f>SUMIFS('recurring2_based on steps'!$B181:$AY181,'recurring2_based on steps'!$B$1:$AY$1,X$1)+SUMIFS('changes2_based on steps'!$B181:$U181,'changes2_based on steps'!$B$1:$U$1,X$1)</f>
        <v>0</v>
      </c>
      <c r="Y181" s="179">
        <f>SUMIFS('recurring2_based on steps'!$B181:$AY181,'recurring2_based on steps'!$B$1:$AY$1,Y$1)+SUMIFS('changes2_based on steps'!$B181:$U181,'changes2_based on steps'!$B$1:$U$1,Y$1)</f>
        <v>0</v>
      </c>
      <c r="Z181" s="179">
        <f>SUMIFS('recurring2_based on steps'!$B181:$AY181,'recurring2_based on steps'!$B$1:$AY$1,Z$1)+SUMIFS('changes2_based on steps'!$B181:$U181,'changes2_based on steps'!$B$1:$U$1,Z$1)</f>
        <v>0</v>
      </c>
      <c r="AA181" s="179">
        <f>SUMIFS('recurring2_based on steps'!$B181:$AY181,'recurring2_based on steps'!$B$1:$AY$1,AA$1)+SUMIFS('changes2_based on steps'!$B181:$U181,'changes2_based on steps'!$B$1:$U$1,AA$1)</f>
        <v>0</v>
      </c>
      <c r="AB181" s="179">
        <f>SUMIFS('recurring2_based on steps'!$B181:$AY181,'recurring2_based on steps'!$B$1:$AY$1,AB$1)+SUMIFS('changes2_based on steps'!$B181:$U181,'changes2_based on steps'!$B$1:$U$1,AB$1)</f>
        <v>0</v>
      </c>
      <c r="AC181" s="179">
        <f>SUMIFS('recurring2_based on steps'!$B181:$AY181,'recurring2_based on steps'!$B$1:$AY$1,AC$1)+SUMIFS('changes2_based on steps'!$B181:$U181,'changes2_based on steps'!$B$1:$U$1,AC$1)</f>
        <v>0</v>
      </c>
      <c r="AD181" s="179">
        <f>SUMIFS('recurring2_based on steps'!$B181:$AY181,'recurring2_based on steps'!$B$1:$AY$1,AD$1)+SUMIFS('changes2_based on steps'!$B181:$U181,'changes2_based on steps'!$B$1:$U$1,AD$1)</f>
        <v>0</v>
      </c>
      <c r="AE181" s="179">
        <f>SUMIFS('recurring2_based on steps'!$B181:$AY181,'recurring2_based on steps'!$B$1:$AY$1,AE$1)+SUMIFS('changes2_based on steps'!$B181:$U181,'changes2_based on steps'!$B$1:$U$1,AE$1)</f>
        <v>0</v>
      </c>
      <c r="AF181" s="179"/>
      <c r="AG181" s="179"/>
      <c r="AH181" s="179"/>
      <c r="AI181" s="179"/>
      <c r="AJ181" s="179"/>
      <c r="AK181" s="179"/>
      <c r="AL181" s="179"/>
      <c r="AM181" s="179"/>
    </row>
    <row r="182" spans="1:39" x14ac:dyDescent="0.2">
      <c r="A182" s="32">
        <f t="shared" ca="1" si="2"/>
        <v>45931</v>
      </c>
      <c r="B182" s="179">
        <f>SUMIFS('recurring2_based on steps'!$B182:$AY182,'recurring2_based on steps'!$B$1:$AY$1,B$1)+SUMIFS('changes2_based on steps'!$B182:$U182,'changes2_based on steps'!$B$1:$U$1,B$1)</f>
        <v>0</v>
      </c>
      <c r="C182" s="179">
        <f>SUMIFS('recurring2_based on steps'!$B182:$AY182,'recurring2_based on steps'!$B$1:$AY$1,C$1)+SUMIFS('changes2_based on steps'!$B182:$U182,'changes2_based on steps'!$B$1:$U$1,C$1)</f>
        <v>0</v>
      </c>
      <c r="D182" s="179">
        <f>SUMIFS('recurring2_based on steps'!$B182:$AY182,'recurring2_based on steps'!$B$1:$AY$1,D$1)+SUMIFS('changes2_based on steps'!$B182:$U182,'changes2_based on steps'!$B$1:$U$1,D$1)</f>
        <v>0</v>
      </c>
      <c r="E182" s="179">
        <f>SUMIFS('recurring2_based on steps'!$B182:$AY182,'recurring2_based on steps'!$B$1:$AY$1,E$1)+SUMIFS('changes2_based on steps'!$B182:$U182,'changes2_based on steps'!$B$1:$U$1,E$1)</f>
        <v>0</v>
      </c>
      <c r="F182" s="179">
        <f>SUMIFS('recurring2_based on steps'!$B182:$AY182,'recurring2_based on steps'!$B$1:$AY$1,F$1)+SUMIFS('changes2_based on steps'!$B182:$U182,'changes2_based on steps'!$B$1:$U$1,F$1)</f>
        <v>0</v>
      </c>
      <c r="G182" s="179">
        <f>SUMIFS('recurring2_based on steps'!$B182:$AY182,'recurring2_based on steps'!$B$1:$AY$1,G$1)+SUMIFS('changes2_based on steps'!$B182:$U182,'changes2_based on steps'!$B$1:$U$1,G$1)</f>
        <v>0</v>
      </c>
      <c r="H182" s="179">
        <f>SUMIFS('recurring2_based on steps'!$B182:$AY182,'recurring2_based on steps'!$B$1:$AY$1,H$1)+SUMIFS('changes2_based on steps'!$B182:$U182,'changes2_based on steps'!$B$1:$U$1,H$1)</f>
        <v>0</v>
      </c>
      <c r="I182" s="179">
        <f>SUMIFS('recurring2_based on steps'!$B182:$AY182,'recurring2_based on steps'!$B$1:$AY$1,I$1)+SUMIFS('changes2_based on steps'!$B182:$U182,'changes2_based on steps'!$B$1:$U$1,I$1)</f>
        <v>0</v>
      </c>
      <c r="J182" s="179">
        <f>SUMIFS('recurring2_based on steps'!$B182:$AY182,'recurring2_based on steps'!$B$1:$AY$1,J$1)+SUMIFS('changes2_based on steps'!$B182:$U182,'changes2_based on steps'!$B$1:$U$1,J$1)</f>
        <v>0</v>
      </c>
      <c r="K182" s="179">
        <f>SUMIFS('recurring2_based on steps'!$B182:$AY182,'recurring2_based on steps'!$B$1:$AY$1,K$1)+SUMIFS('changes2_based on steps'!$B182:$U182,'changes2_based on steps'!$B$1:$U$1,K$1)</f>
        <v>0</v>
      </c>
      <c r="L182" s="179">
        <f>SUMIFS('recurring2_based on steps'!$B182:$AY182,'recurring2_based on steps'!$B$1:$AY$1,L$1)+SUMIFS('changes2_based on steps'!$B182:$U182,'changes2_based on steps'!$B$1:$U$1,L$1)</f>
        <v>0</v>
      </c>
      <c r="M182" s="179">
        <f>SUMIFS('recurring2_based on steps'!$B182:$AY182,'recurring2_based on steps'!$B$1:$AY$1,M$1)+SUMIFS('changes2_based on steps'!$B182:$U182,'changes2_based on steps'!$B$1:$U$1,M$1)</f>
        <v>0</v>
      </c>
      <c r="N182" s="179">
        <f>SUMIFS('recurring2_based on steps'!$B182:$AY182,'recurring2_based on steps'!$B$1:$AY$1,N$1)+SUMIFS('changes2_based on steps'!$B182:$U182,'changes2_based on steps'!$B$1:$U$1,N$1)</f>
        <v>0</v>
      </c>
      <c r="O182" s="179">
        <f>SUMIFS('recurring2_based on steps'!$B182:$AY182,'recurring2_based on steps'!$B$1:$AY$1,O$1)+SUMIFS('changes2_based on steps'!$B182:$U182,'changes2_based on steps'!$B$1:$U$1,O$1)</f>
        <v>0</v>
      </c>
      <c r="P182" s="179">
        <f>SUMIFS('recurring2_based on steps'!$B182:$AY182,'recurring2_based on steps'!$B$1:$AY$1,P$1)+SUMIFS('changes2_based on steps'!$B182:$U182,'changes2_based on steps'!$B$1:$U$1,P$1)</f>
        <v>0</v>
      </c>
      <c r="Q182" s="179">
        <f>SUMIFS('recurring2_based on steps'!$B182:$AY182,'recurring2_based on steps'!$B$1:$AY$1,Q$1)+SUMIFS('changes2_based on steps'!$B182:$U182,'changes2_based on steps'!$B$1:$U$1,Q$1)</f>
        <v>0</v>
      </c>
      <c r="R182" s="179">
        <f>SUMIFS('recurring2_based on steps'!$B182:$AY182,'recurring2_based on steps'!$B$1:$AY$1,R$1)+SUMIFS('changes2_based on steps'!$B182:$U182,'changes2_based on steps'!$B$1:$U$1,R$1)</f>
        <v>0</v>
      </c>
      <c r="S182" s="179">
        <f>SUMIFS('recurring2_based on steps'!$B182:$AY182,'recurring2_based on steps'!$B$1:$AY$1,S$1)+SUMIFS('changes2_based on steps'!$B182:$U182,'changes2_based on steps'!$B$1:$U$1,S$1)</f>
        <v>0</v>
      </c>
      <c r="T182" s="179">
        <f>SUMIFS('recurring2_based on steps'!$B182:$AY182,'recurring2_based on steps'!$B$1:$AY$1,T$1)+SUMIFS('changes2_based on steps'!$B182:$U182,'changes2_based on steps'!$B$1:$U$1,T$1)</f>
        <v>0</v>
      </c>
      <c r="U182" s="179">
        <f>SUMIFS('recurring2_based on steps'!$B182:$AY182,'recurring2_based on steps'!$B$1:$AY$1,U$1)+SUMIFS('changes2_based on steps'!$B182:$U182,'changes2_based on steps'!$B$1:$U$1,U$1)</f>
        <v>0</v>
      </c>
      <c r="V182" s="179">
        <f>SUMIFS('recurring2_based on steps'!$B182:$AY182,'recurring2_based on steps'!$B$1:$AY$1,V$1)+SUMIFS('changes2_based on steps'!$B182:$U182,'changes2_based on steps'!$B$1:$U$1,V$1)</f>
        <v>0</v>
      </c>
      <c r="W182" s="179">
        <f>SUMIFS('recurring2_based on steps'!$B182:$AY182,'recurring2_based on steps'!$B$1:$AY$1,W$1)+SUMIFS('changes2_based on steps'!$B182:$U182,'changes2_based on steps'!$B$1:$U$1,W$1)</f>
        <v>0</v>
      </c>
      <c r="X182" s="179">
        <f>SUMIFS('recurring2_based on steps'!$B182:$AY182,'recurring2_based on steps'!$B$1:$AY$1,X$1)+SUMIFS('changes2_based on steps'!$B182:$U182,'changes2_based on steps'!$B$1:$U$1,X$1)</f>
        <v>0</v>
      </c>
      <c r="Y182" s="179">
        <f>SUMIFS('recurring2_based on steps'!$B182:$AY182,'recurring2_based on steps'!$B$1:$AY$1,Y$1)+SUMIFS('changes2_based on steps'!$B182:$U182,'changes2_based on steps'!$B$1:$U$1,Y$1)</f>
        <v>0</v>
      </c>
      <c r="Z182" s="179">
        <f>SUMIFS('recurring2_based on steps'!$B182:$AY182,'recurring2_based on steps'!$B$1:$AY$1,Z$1)+SUMIFS('changes2_based on steps'!$B182:$U182,'changes2_based on steps'!$B$1:$U$1,Z$1)</f>
        <v>0</v>
      </c>
      <c r="AA182" s="179">
        <f>SUMIFS('recurring2_based on steps'!$B182:$AY182,'recurring2_based on steps'!$B$1:$AY$1,AA$1)+SUMIFS('changes2_based on steps'!$B182:$U182,'changes2_based on steps'!$B$1:$U$1,AA$1)</f>
        <v>0</v>
      </c>
      <c r="AB182" s="179">
        <f>SUMIFS('recurring2_based on steps'!$B182:$AY182,'recurring2_based on steps'!$B$1:$AY$1,AB$1)+SUMIFS('changes2_based on steps'!$B182:$U182,'changes2_based on steps'!$B$1:$U$1,AB$1)</f>
        <v>0</v>
      </c>
      <c r="AC182" s="179">
        <f>SUMIFS('recurring2_based on steps'!$B182:$AY182,'recurring2_based on steps'!$B$1:$AY$1,AC$1)+SUMIFS('changes2_based on steps'!$B182:$U182,'changes2_based on steps'!$B$1:$U$1,AC$1)</f>
        <v>0</v>
      </c>
      <c r="AD182" s="179">
        <f>SUMIFS('recurring2_based on steps'!$B182:$AY182,'recurring2_based on steps'!$B$1:$AY$1,AD$1)+SUMIFS('changes2_based on steps'!$B182:$U182,'changes2_based on steps'!$B$1:$U$1,AD$1)</f>
        <v>0</v>
      </c>
      <c r="AE182" s="179">
        <f>SUMIFS('recurring2_based on steps'!$B182:$AY182,'recurring2_based on steps'!$B$1:$AY$1,AE$1)+SUMIFS('changes2_based on steps'!$B182:$U182,'changes2_based on steps'!$B$1:$U$1,AE$1)</f>
        <v>0</v>
      </c>
      <c r="AF182" s="179"/>
      <c r="AG182" s="179"/>
      <c r="AH182" s="179"/>
      <c r="AI182" s="179"/>
      <c r="AJ182" s="179"/>
      <c r="AK182" s="179"/>
      <c r="AL182" s="179"/>
      <c r="AM182" s="179"/>
    </row>
    <row r="183" spans="1:39" x14ac:dyDescent="0.2">
      <c r="A183" s="32">
        <f t="shared" ca="1" si="2"/>
        <v>45932</v>
      </c>
      <c r="B183" s="179">
        <f>SUMIFS('recurring2_based on steps'!$B183:$AY183,'recurring2_based on steps'!$B$1:$AY$1,B$1)+SUMIFS('changes2_based on steps'!$B183:$U183,'changes2_based on steps'!$B$1:$U$1,B$1)</f>
        <v>0</v>
      </c>
      <c r="C183" s="179">
        <f>SUMIFS('recurring2_based on steps'!$B183:$AY183,'recurring2_based on steps'!$B$1:$AY$1,C$1)+SUMIFS('changes2_based on steps'!$B183:$U183,'changes2_based on steps'!$B$1:$U$1,C$1)</f>
        <v>0</v>
      </c>
      <c r="D183" s="179">
        <f>SUMIFS('recurring2_based on steps'!$B183:$AY183,'recurring2_based on steps'!$B$1:$AY$1,D$1)+SUMIFS('changes2_based on steps'!$B183:$U183,'changes2_based on steps'!$B$1:$U$1,D$1)</f>
        <v>0</v>
      </c>
      <c r="E183" s="179">
        <f>SUMIFS('recurring2_based on steps'!$B183:$AY183,'recurring2_based on steps'!$B$1:$AY$1,E$1)+SUMIFS('changes2_based on steps'!$B183:$U183,'changes2_based on steps'!$B$1:$U$1,E$1)</f>
        <v>0</v>
      </c>
      <c r="F183" s="179">
        <f>SUMIFS('recurring2_based on steps'!$B183:$AY183,'recurring2_based on steps'!$B$1:$AY$1,F$1)+SUMIFS('changes2_based on steps'!$B183:$U183,'changes2_based on steps'!$B$1:$U$1,F$1)</f>
        <v>0</v>
      </c>
      <c r="G183" s="179">
        <f>SUMIFS('recurring2_based on steps'!$B183:$AY183,'recurring2_based on steps'!$B$1:$AY$1,G$1)+SUMIFS('changes2_based on steps'!$B183:$U183,'changes2_based on steps'!$B$1:$U$1,G$1)</f>
        <v>0</v>
      </c>
      <c r="H183" s="179">
        <f>SUMIFS('recurring2_based on steps'!$B183:$AY183,'recurring2_based on steps'!$B$1:$AY$1,H$1)+SUMIFS('changes2_based on steps'!$B183:$U183,'changes2_based on steps'!$B$1:$U$1,H$1)</f>
        <v>0</v>
      </c>
      <c r="I183" s="179">
        <f>SUMIFS('recurring2_based on steps'!$B183:$AY183,'recurring2_based on steps'!$B$1:$AY$1,I$1)+SUMIFS('changes2_based on steps'!$B183:$U183,'changes2_based on steps'!$B$1:$U$1,I$1)</f>
        <v>0</v>
      </c>
      <c r="J183" s="179">
        <f>SUMIFS('recurring2_based on steps'!$B183:$AY183,'recurring2_based on steps'!$B$1:$AY$1,J$1)+SUMIFS('changes2_based on steps'!$B183:$U183,'changes2_based on steps'!$B$1:$U$1,J$1)</f>
        <v>0</v>
      </c>
      <c r="K183" s="179">
        <f>SUMIFS('recurring2_based on steps'!$B183:$AY183,'recurring2_based on steps'!$B$1:$AY$1,K$1)+SUMIFS('changes2_based on steps'!$B183:$U183,'changes2_based on steps'!$B$1:$U$1,K$1)</f>
        <v>0</v>
      </c>
      <c r="L183" s="179">
        <f>SUMIFS('recurring2_based on steps'!$B183:$AY183,'recurring2_based on steps'!$B$1:$AY$1,L$1)+SUMIFS('changes2_based on steps'!$B183:$U183,'changes2_based on steps'!$B$1:$U$1,L$1)</f>
        <v>0</v>
      </c>
      <c r="M183" s="179">
        <f>SUMIFS('recurring2_based on steps'!$B183:$AY183,'recurring2_based on steps'!$B$1:$AY$1,M$1)+SUMIFS('changes2_based on steps'!$B183:$U183,'changes2_based on steps'!$B$1:$U$1,M$1)</f>
        <v>0</v>
      </c>
      <c r="N183" s="179">
        <f>SUMIFS('recurring2_based on steps'!$B183:$AY183,'recurring2_based on steps'!$B$1:$AY$1,N$1)+SUMIFS('changes2_based on steps'!$B183:$U183,'changes2_based on steps'!$B$1:$U$1,N$1)</f>
        <v>0</v>
      </c>
      <c r="O183" s="179">
        <f>SUMIFS('recurring2_based on steps'!$B183:$AY183,'recurring2_based on steps'!$B$1:$AY$1,O$1)+SUMIFS('changes2_based on steps'!$B183:$U183,'changes2_based on steps'!$B$1:$U$1,O$1)</f>
        <v>0</v>
      </c>
      <c r="P183" s="179">
        <f>SUMIFS('recurring2_based on steps'!$B183:$AY183,'recurring2_based on steps'!$B$1:$AY$1,P$1)+SUMIFS('changes2_based on steps'!$B183:$U183,'changes2_based on steps'!$B$1:$U$1,P$1)</f>
        <v>0</v>
      </c>
      <c r="Q183" s="179">
        <f>SUMIFS('recurring2_based on steps'!$B183:$AY183,'recurring2_based on steps'!$B$1:$AY$1,Q$1)+SUMIFS('changes2_based on steps'!$B183:$U183,'changes2_based on steps'!$B$1:$U$1,Q$1)</f>
        <v>0</v>
      </c>
      <c r="R183" s="179">
        <f>SUMIFS('recurring2_based on steps'!$B183:$AY183,'recurring2_based on steps'!$B$1:$AY$1,R$1)+SUMIFS('changes2_based on steps'!$B183:$U183,'changes2_based on steps'!$B$1:$U$1,R$1)</f>
        <v>0</v>
      </c>
      <c r="S183" s="179">
        <f>SUMIFS('recurring2_based on steps'!$B183:$AY183,'recurring2_based on steps'!$B$1:$AY$1,S$1)+SUMIFS('changes2_based on steps'!$B183:$U183,'changes2_based on steps'!$B$1:$U$1,S$1)</f>
        <v>0</v>
      </c>
      <c r="T183" s="179">
        <f>SUMIFS('recurring2_based on steps'!$B183:$AY183,'recurring2_based on steps'!$B$1:$AY$1,T$1)+SUMIFS('changes2_based on steps'!$B183:$U183,'changes2_based on steps'!$B$1:$U$1,T$1)</f>
        <v>0</v>
      </c>
      <c r="U183" s="179">
        <f>SUMIFS('recurring2_based on steps'!$B183:$AY183,'recurring2_based on steps'!$B$1:$AY$1,U$1)+SUMIFS('changes2_based on steps'!$B183:$U183,'changes2_based on steps'!$B$1:$U$1,U$1)</f>
        <v>0</v>
      </c>
      <c r="V183" s="179">
        <f>SUMIFS('recurring2_based on steps'!$B183:$AY183,'recurring2_based on steps'!$B$1:$AY$1,V$1)+SUMIFS('changes2_based on steps'!$B183:$U183,'changes2_based on steps'!$B$1:$U$1,V$1)</f>
        <v>0</v>
      </c>
      <c r="W183" s="179">
        <f>SUMIFS('recurring2_based on steps'!$B183:$AY183,'recurring2_based on steps'!$B$1:$AY$1,W$1)+SUMIFS('changes2_based on steps'!$B183:$U183,'changes2_based on steps'!$B$1:$U$1,W$1)</f>
        <v>0</v>
      </c>
      <c r="X183" s="179">
        <f>SUMIFS('recurring2_based on steps'!$B183:$AY183,'recurring2_based on steps'!$B$1:$AY$1,X$1)+SUMIFS('changes2_based on steps'!$B183:$U183,'changes2_based on steps'!$B$1:$U$1,X$1)</f>
        <v>0</v>
      </c>
      <c r="Y183" s="179">
        <f>SUMIFS('recurring2_based on steps'!$B183:$AY183,'recurring2_based on steps'!$B$1:$AY$1,Y$1)+SUMIFS('changes2_based on steps'!$B183:$U183,'changes2_based on steps'!$B$1:$U$1,Y$1)</f>
        <v>0</v>
      </c>
      <c r="Z183" s="179">
        <f>SUMIFS('recurring2_based on steps'!$B183:$AY183,'recurring2_based on steps'!$B$1:$AY$1,Z$1)+SUMIFS('changes2_based on steps'!$B183:$U183,'changes2_based on steps'!$B$1:$U$1,Z$1)</f>
        <v>0</v>
      </c>
      <c r="AA183" s="179">
        <f>SUMIFS('recurring2_based on steps'!$B183:$AY183,'recurring2_based on steps'!$B$1:$AY$1,AA$1)+SUMIFS('changes2_based on steps'!$B183:$U183,'changes2_based on steps'!$B$1:$U$1,AA$1)</f>
        <v>0</v>
      </c>
      <c r="AB183" s="179">
        <f>SUMIFS('recurring2_based on steps'!$B183:$AY183,'recurring2_based on steps'!$B$1:$AY$1,AB$1)+SUMIFS('changes2_based on steps'!$B183:$U183,'changes2_based on steps'!$B$1:$U$1,AB$1)</f>
        <v>0</v>
      </c>
      <c r="AC183" s="179">
        <f>SUMIFS('recurring2_based on steps'!$B183:$AY183,'recurring2_based on steps'!$B$1:$AY$1,AC$1)+SUMIFS('changes2_based on steps'!$B183:$U183,'changes2_based on steps'!$B$1:$U$1,AC$1)</f>
        <v>0</v>
      </c>
      <c r="AD183" s="179">
        <f>SUMIFS('recurring2_based on steps'!$B183:$AY183,'recurring2_based on steps'!$B$1:$AY$1,AD$1)+SUMIFS('changes2_based on steps'!$B183:$U183,'changes2_based on steps'!$B$1:$U$1,AD$1)</f>
        <v>0</v>
      </c>
      <c r="AE183" s="179">
        <f>SUMIFS('recurring2_based on steps'!$B183:$AY183,'recurring2_based on steps'!$B$1:$AY$1,AE$1)+SUMIFS('changes2_based on steps'!$B183:$U183,'changes2_based on steps'!$B$1:$U$1,AE$1)</f>
        <v>0</v>
      </c>
      <c r="AF183" s="179"/>
      <c r="AG183" s="179"/>
      <c r="AH183" s="179"/>
      <c r="AI183" s="179"/>
      <c r="AJ183" s="179"/>
      <c r="AK183" s="179"/>
      <c r="AL183" s="179"/>
      <c r="AM183" s="179"/>
    </row>
    <row r="184" spans="1:39" x14ac:dyDescent="0.2">
      <c r="A184" s="32">
        <f t="shared" ca="1" si="2"/>
        <v>45933</v>
      </c>
      <c r="B184" s="179">
        <f>SUMIFS('recurring2_based on steps'!$B184:$AY184,'recurring2_based on steps'!$B$1:$AY$1,B$1)+SUMIFS('changes2_based on steps'!$B184:$U184,'changes2_based on steps'!$B$1:$U$1,B$1)</f>
        <v>0</v>
      </c>
      <c r="C184" s="179">
        <f>SUMIFS('recurring2_based on steps'!$B184:$AY184,'recurring2_based on steps'!$B$1:$AY$1,C$1)+SUMIFS('changes2_based on steps'!$B184:$U184,'changes2_based on steps'!$B$1:$U$1,C$1)</f>
        <v>0</v>
      </c>
      <c r="D184" s="179">
        <f>SUMIFS('recurring2_based on steps'!$B184:$AY184,'recurring2_based on steps'!$B$1:$AY$1,D$1)+SUMIFS('changes2_based on steps'!$B184:$U184,'changes2_based on steps'!$B$1:$U$1,D$1)</f>
        <v>0</v>
      </c>
      <c r="E184" s="179">
        <f>SUMIFS('recurring2_based on steps'!$B184:$AY184,'recurring2_based on steps'!$B$1:$AY$1,E$1)+SUMIFS('changes2_based on steps'!$B184:$U184,'changes2_based on steps'!$B$1:$U$1,E$1)</f>
        <v>0</v>
      </c>
      <c r="F184" s="179">
        <f>SUMIFS('recurring2_based on steps'!$B184:$AY184,'recurring2_based on steps'!$B$1:$AY$1,F$1)+SUMIFS('changes2_based on steps'!$B184:$U184,'changes2_based on steps'!$B$1:$U$1,F$1)</f>
        <v>0</v>
      </c>
      <c r="G184" s="179">
        <f>SUMIFS('recurring2_based on steps'!$B184:$AY184,'recurring2_based on steps'!$B$1:$AY$1,G$1)+SUMIFS('changes2_based on steps'!$B184:$U184,'changes2_based on steps'!$B$1:$U$1,G$1)</f>
        <v>0</v>
      </c>
      <c r="H184" s="179">
        <f>SUMIFS('recurring2_based on steps'!$B184:$AY184,'recurring2_based on steps'!$B$1:$AY$1,H$1)+SUMIFS('changes2_based on steps'!$B184:$U184,'changes2_based on steps'!$B$1:$U$1,H$1)</f>
        <v>0</v>
      </c>
      <c r="I184" s="179">
        <f>SUMIFS('recurring2_based on steps'!$B184:$AY184,'recurring2_based on steps'!$B$1:$AY$1,I$1)+SUMIFS('changes2_based on steps'!$B184:$U184,'changes2_based on steps'!$B$1:$U$1,I$1)</f>
        <v>0</v>
      </c>
      <c r="J184" s="179">
        <f>SUMIFS('recurring2_based on steps'!$B184:$AY184,'recurring2_based on steps'!$B$1:$AY$1,J$1)+SUMIFS('changes2_based on steps'!$B184:$U184,'changes2_based on steps'!$B$1:$U$1,J$1)</f>
        <v>0</v>
      </c>
      <c r="K184" s="179">
        <f>SUMIFS('recurring2_based on steps'!$B184:$AY184,'recurring2_based on steps'!$B$1:$AY$1,K$1)+SUMIFS('changes2_based on steps'!$B184:$U184,'changes2_based on steps'!$B$1:$U$1,K$1)</f>
        <v>0</v>
      </c>
      <c r="L184" s="179">
        <f>SUMIFS('recurring2_based on steps'!$B184:$AY184,'recurring2_based on steps'!$B$1:$AY$1,L$1)+SUMIFS('changes2_based on steps'!$B184:$U184,'changes2_based on steps'!$B$1:$U$1,L$1)</f>
        <v>0</v>
      </c>
      <c r="M184" s="179">
        <f>SUMIFS('recurring2_based on steps'!$B184:$AY184,'recurring2_based on steps'!$B$1:$AY$1,M$1)+SUMIFS('changes2_based on steps'!$B184:$U184,'changes2_based on steps'!$B$1:$U$1,M$1)</f>
        <v>0</v>
      </c>
      <c r="N184" s="179">
        <f>SUMIFS('recurring2_based on steps'!$B184:$AY184,'recurring2_based on steps'!$B$1:$AY$1,N$1)+SUMIFS('changes2_based on steps'!$B184:$U184,'changes2_based on steps'!$B$1:$U$1,N$1)</f>
        <v>0</v>
      </c>
      <c r="O184" s="179">
        <f>SUMIFS('recurring2_based on steps'!$B184:$AY184,'recurring2_based on steps'!$B$1:$AY$1,O$1)+SUMIFS('changes2_based on steps'!$B184:$U184,'changes2_based on steps'!$B$1:$U$1,O$1)</f>
        <v>0</v>
      </c>
      <c r="P184" s="179">
        <f>SUMIFS('recurring2_based on steps'!$B184:$AY184,'recurring2_based on steps'!$B$1:$AY$1,P$1)+SUMIFS('changes2_based on steps'!$B184:$U184,'changes2_based on steps'!$B$1:$U$1,P$1)</f>
        <v>0</v>
      </c>
      <c r="Q184" s="179">
        <f>SUMIFS('recurring2_based on steps'!$B184:$AY184,'recurring2_based on steps'!$B$1:$AY$1,Q$1)+SUMIFS('changes2_based on steps'!$B184:$U184,'changes2_based on steps'!$B$1:$U$1,Q$1)</f>
        <v>0</v>
      </c>
      <c r="R184" s="179">
        <f>SUMIFS('recurring2_based on steps'!$B184:$AY184,'recurring2_based on steps'!$B$1:$AY$1,R$1)+SUMIFS('changes2_based on steps'!$B184:$U184,'changes2_based on steps'!$B$1:$U$1,R$1)</f>
        <v>0</v>
      </c>
      <c r="S184" s="179">
        <f>SUMIFS('recurring2_based on steps'!$B184:$AY184,'recurring2_based on steps'!$B$1:$AY$1,S$1)+SUMIFS('changes2_based on steps'!$B184:$U184,'changes2_based on steps'!$B$1:$U$1,S$1)</f>
        <v>0</v>
      </c>
      <c r="T184" s="179">
        <f>SUMIFS('recurring2_based on steps'!$B184:$AY184,'recurring2_based on steps'!$B$1:$AY$1,T$1)+SUMIFS('changes2_based on steps'!$B184:$U184,'changes2_based on steps'!$B$1:$U$1,T$1)</f>
        <v>0</v>
      </c>
      <c r="U184" s="179">
        <f>SUMIFS('recurring2_based on steps'!$B184:$AY184,'recurring2_based on steps'!$B$1:$AY$1,U$1)+SUMIFS('changes2_based on steps'!$B184:$U184,'changes2_based on steps'!$B$1:$U$1,U$1)</f>
        <v>0</v>
      </c>
      <c r="V184" s="179">
        <f>SUMIFS('recurring2_based on steps'!$B184:$AY184,'recurring2_based on steps'!$B$1:$AY$1,V$1)+SUMIFS('changes2_based on steps'!$B184:$U184,'changes2_based on steps'!$B$1:$U$1,V$1)</f>
        <v>0</v>
      </c>
      <c r="W184" s="179">
        <f>SUMIFS('recurring2_based on steps'!$B184:$AY184,'recurring2_based on steps'!$B$1:$AY$1,W$1)+SUMIFS('changes2_based on steps'!$B184:$U184,'changes2_based on steps'!$B$1:$U$1,W$1)</f>
        <v>0</v>
      </c>
      <c r="X184" s="179">
        <f>SUMIFS('recurring2_based on steps'!$B184:$AY184,'recurring2_based on steps'!$B$1:$AY$1,X$1)+SUMIFS('changes2_based on steps'!$B184:$U184,'changes2_based on steps'!$B$1:$U$1,X$1)</f>
        <v>0</v>
      </c>
      <c r="Y184" s="179">
        <f>SUMIFS('recurring2_based on steps'!$B184:$AY184,'recurring2_based on steps'!$B$1:$AY$1,Y$1)+SUMIFS('changes2_based on steps'!$B184:$U184,'changes2_based on steps'!$B$1:$U$1,Y$1)</f>
        <v>0</v>
      </c>
      <c r="Z184" s="179">
        <f>SUMIFS('recurring2_based on steps'!$B184:$AY184,'recurring2_based on steps'!$B$1:$AY$1,Z$1)+SUMIFS('changes2_based on steps'!$B184:$U184,'changes2_based on steps'!$B$1:$U$1,Z$1)</f>
        <v>0</v>
      </c>
      <c r="AA184" s="179">
        <f>SUMIFS('recurring2_based on steps'!$B184:$AY184,'recurring2_based on steps'!$B$1:$AY$1,AA$1)+SUMIFS('changes2_based on steps'!$B184:$U184,'changes2_based on steps'!$B$1:$U$1,AA$1)</f>
        <v>0</v>
      </c>
      <c r="AB184" s="179">
        <f>SUMIFS('recurring2_based on steps'!$B184:$AY184,'recurring2_based on steps'!$B$1:$AY$1,AB$1)+SUMIFS('changes2_based on steps'!$B184:$U184,'changes2_based on steps'!$B$1:$U$1,AB$1)</f>
        <v>0</v>
      </c>
      <c r="AC184" s="179">
        <f>SUMIFS('recurring2_based on steps'!$B184:$AY184,'recurring2_based on steps'!$B$1:$AY$1,AC$1)+SUMIFS('changes2_based on steps'!$B184:$U184,'changes2_based on steps'!$B$1:$U$1,AC$1)</f>
        <v>0</v>
      </c>
      <c r="AD184" s="179">
        <f>SUMIFS('recurring2_based on steps'!$B184:$AY184,'recurring2_based on steps'!$B$1:$AY$1,AD$1)+SUMIFS('changes2_based on steps'!$B184:$U184,'changes2_based on steps'!$B$1:$U$1,AD$1)</f>
        <v>0</v>
      </c>
      <c r="AE184" s="179">
        <f>SUMIFS('recurring2_based on steps'!$B184:$AY184,'recurring2_based on steps'!$B$1:$AY$1,AE$1)+SUMIFS('changes2_based on steps'!$B184:$U184,'changes2_based on steps'!$B$1:$U$1,AE$1)</f>
        <v>0</v>
      </c>
      <c r="AF184" s="179"/>
      <c r="AG184" s="179"/>
      <c r="AH184" s="179"/>
      <c r="AI184" s="179"/>
      <c r="AJ184" s="179"/>
      <c r="AK184" s="179"/>
      <c r="AL184" s="179"/>
      <c r="AM184" s="179"/>
    </row>
    <row r="185" spans="1:39" x14ac:dyDescent="0.2">
      <c r="A185" s="32">
        <f t="shared" ca="1" si="2"/>
        <v>45934</v>
      </c>
      <c r="B185" s="179">
        <f>SUMIFS('recurring2_based on steps'!$B185:$AY185,'recurring2_based on steps'!$B$1:$AY$1,B$1)+SUMIFS('changes2_based on steps'!$B185:$U185,'changes2_based on steps'!$B$1:$U$1,B$1)</f>
        <v>0</v>
      </c>
      <c r="C185" s="179">
        <f>SUMIFS('recurring2_based on steps'!$B185:$AY185,'recurring2_based on steps'!$B$1:$AY$1,C$1)+SUMIFS('changes2_based on steps'!$B185:$U185,'changes2_based on steps'!$B$1:$U$1,C$1)</f>
        <v>0</v>
      </c>
      <c r="D185" s="179">
        <f>SUMIFS('recurring2_based on steps'!$B185:$AY185,'recurring2_based on steps'!$B$1:$AY$1,D$1)+SUMIFS('changes2_based on steps'!$B185:$U185,'changes2_based on steps'!$B$1:$U$1,D$1)</f>
        <v>0</v>
      </c>
      <c r="E185" s="179">
        <f>SUMIFS('recurring2_based on steps'!$B185:$AY185,'recurring2_based on steps'!$B$1:$AY$1,E$1)+SUMIFS('changes2_based on steps'!$B185:$U185,'changes2_based on steps'!$B$1:$U$1,E$1)</f>
        <v>0</v>
      </c>
      <c r="F185" s="179">
        <f>SUMIFS('recurring2_based on steps'!$B185:$AY185,'recurring2_based on steps'!$B$1:$AY$1,F$1)+SUMIFS('changes2_based on steps'!$B185:$U185,'changes2_based on steps'!$B$1:$U$1,F$1)</f>
        <v>0</v>
      </c>
      <c r="G185" s="179">
        <f>SUMIFS('recurring2_based on steps'!$B185:$AY185,'recurring2_based on steps'!$B$1:$AY$1,G$1)+SUMIFS('changes2_based on steps'!$B185:$U185,'changes2_based on steps'!$B$1:$U$1,G$1)</f>
        <v>0</v>
      </c>
      <c r="H185" s="179">
        <f>SUMIFS('recurring2_based on steps'!$B185:$AY185,'recurring2_based on steps'!$B$1:$AY$1,H$1)+SUMIFS('changes2_based on steps'!$B185:$U185,'changes2_based on steps'!$B$1:$U$1,H$1)</f>
        <v>0</v>
      </c>
      <c r="I185" s="179">
        <f>SUMIFS('recurring2_based on steps'!$B185:$AY185,'recurring2_based on steps'!$B$1:$AY$1,I$1)+SUMIFS('changes2_based on steps'!$B185:$U185,'changes2_based on steps'!$B$1:$U$1,I$1)</f>
        <v>0</v>
      </c>
      <c r="J185" s="179">
        <f>SUMIFS('recurring2_based on steps'!$B185:$AY185,'recurring2_based on steps'!$B$1:$AY$1,J$1)+SUMIFS('changes2_based on steps'!$B185:$U185,'changes2_based on steps'!$B$1:$U$1,J$1)</f>
        <v>0</v>
      </c>
      <c r="K185" s="179">
        <f>SUMIFS('recurring2_based on steps'!$B185:$AY185,'recurring2_based on steps'!$B$1:$AY$1,K$1)+SUMIFS('changes2_based on steps'!$B185:$U185,'changes2_based on steps'!$B$1:$U$1,K$1)</f>
        <v>0</v>
      </c>
      <c r="L185" s="179">
        <f>SUMIFS('recurring2_based on steps'!$B185:$AY185,'recurring2_based on steps'!$B$1:$AY$1,L$1)+SUMIFS('changes2_based on steps'!$B185:$U185,'changes2_based on steps'!$B$1:$U$1,L$1)</f>
        <v>0</v>
      </c>
      <c r="M185" s="179">
        <f>SUMIFS('recurring2_based on steps'!$B185:$AY185,'recurring2_based on steps'!$B$1:$AY$1,M$1)+SUMIFS('changes2_based on steps'!$B185:$U185,'changes2_based on steps'!$B$1:$U$1,M$1)</f>
        <v>0</v>
      </c>
      <c r="N185" s="179">
        <f>SUMIFS('recurring2_based on steps'!$B185:$AY185,'recurring2_based on steps'!$B$1:$AY$1,N$1)+SUMIFS('changes2_based on steps'!$B185:$U185,'changes2_based on steps'!$B$1:$U$1,N$1)</f>
        <v>0</v>
      </c>
      <c r="O185" s="179">
        <f>SUMIFS('recurring2_based on steps'!$B185:$AY185,'recurring2_based on steps'!$B$1:$AY$1,O$1)+SUMIFS('changes2_based on steps'!$B185:$U185,'changes2_based on steps'!$B$1:$U$1,O$1)</f>
        <v>0</v>
      </c>
      <c r="P185" s="179">
        <f>SUMIFS('recurring2_based on steps'!$B185:$AY185,'recurring2_based on steps'!$B$1:$AY$1,P$1)+SUMIFS('changes2_based on steps'!$B185:$U185,'changes2_based on steps'!$B$1:$U$1,P$1)</f>
        <v>0</v>
      </c>
      <c r="Q185" s="179">
        <f>SUMIFS('recurring2_based on steps'!$B185:$AY185,'recurring2_based on steps'!$B$1:$AY$1,Q$1)+SUMIFS('changes2_based on steps'!$B185:$U185,'changes2_based on steps'!$B$1:$U$1,Q$1)</f>
        <v>0</v>
      </c>
      <c r="R185" s="179">
        <f>SUMIFS('recurring2_based on steps'!$B185:$AY185,'recurring2_based on steps'!$B$1:$AY$1,R$1)+SUMIFS('changes2_based on steps'!$B185:$U185,'changes2_based on steps'!$B$1:$U$1,R$1)</f>
        <v>0</v>
      </c>
      <c r="S185" s="179">
        <f>SUMIFS('recurring2_based on steps'!$B185:$AY185,'recurring2_based on steps'!$B$1:$AY$1,S$1)+SUMIFS('changes2_based on steps'!$B185:$U185,'changes2_based on steps'!$B$1:$U$1,S$1)</f>
        <v>0</v>
      </c>
      <c r="T185" s="179">
        <f>SUMIFS('recurring2_based on steps'!$B185:$AY185,'recurring2_based on steps'!$B$1:$AY$1,T$1)+SUMIFS('changes2_based on steps'!$B185:$U185,'changes2_based on steps'!$B$1:$U$1,T$1)</f>
        <v>0</v>
      </c>
      <c r="U185" s="179">
        <f>SUMIFS('recurring2_based on steps'!$B185:$AY185,'recurring2_based on steps'!$B$1:$AY$1,U$1)+SUMIFS('changes2_based on steps'!$B185:$U185,'changes2_based on steps'!$B$1:$U$1,U$1)</f>
        <v>0</v>
      </c>
      <c r="V185" s="179">
        <f>SUMIFS('recurring2_based on steps'!$B185:$AY185,'recurring2_based on steps'!$B$1:$AY$1,V$1)+SUMIFS('changes2_based on steps'!$B185:$U185,'changes2_based on steps'!$B$1:$U$1,V$1)</f>
        <v>0</v>
      </c>
      <c r="W185" s="179">
        <f>SUMIFS('recurring2_based on steps'!$B185:$AY185,'recurring2_based on steps'!$B$1:$AY$1,W$1)+SUMIFS('changes2_based on steps'!$B185:$U185,'changes2_based on steps'!$B$1:$U$1,W$1)</f>
        <v>0</v>
      </c>
      <c r="X185" s="179">
        <f>SUMIFS('recurring2_based on steps'!$B185:$AY185,'recurring2_based on steps'!$B$1:$AY$1,X$1)+SUMIFS('changes2_based on steps'!$B185:$U185,'changes2_based on steps'!$B$1:$U$1,X$1)</f>
        <v>0</v>
      </c>
      <c r="Y185" s="179">
        <f>SUMIFS('recurring2_based on steps'!$B185:$AY185,'recurring2_based on steps'!$B$1:$AY$1,Y$1)+SUMIFS('changes2_based on steps'!$B185:$U185,'changes2_based on steps'!$B$1:$U$1,Y$1)</f>
        <v>0</v>
      </c>
      <c r="Z185" s="179">
        <f>SUMIFS('recurring2_based on steps'!$B185:$AY185,'recurring2_based on steps'!$B$1:$AY$1,Z$1)+SUMIFS('changes2_based on steps'!$B185:$U185,'changes2_based on steps'!$B$1:$U$1,Z$1)</f>
        <v>0</v>
      </c>
      <c r="AA185" s="179">
        <f>SUMIFS('recurring2_based on steps'!$B185:$AY185,'recurring2_based on steps'!$B$1:$AY$1,AA$1)+SUMIFS('changes2_based on steps'!$B185:$U185,'changes2_based on steps'!$B$1:$U$1,AA$1)</f>
        <v>0</v>
      </c>
      <c r="AB185" s="179">
        <f>SUMIFS('recurring2_based on steps'!$B185:$AY185,'recurring2_based on steps'!$B$1:$AY$1,AB$1)+SUMIFS('changes2_based on steps'!$B185:$U185,'changes2_based on steps'!$B$1:$U$1,AB$1)</f>
        <v>0</v>
      </c>
      <c r="AC185" s="179">
        <f>SUMIFS('recurring2_based on steps'!$B185:$AY185,'recurring2_based on steps'!$B$1:$AY$1,AC$1)+SUMIFS('changes2_based on steps'!$B185:$U185,'changes2_based on steps'!$B$1:$U$1,AC$1)</f>
        <v>0</v>
      </c>
      <c r="AD185" s="179">
        <f>SUMIFS('recurring2_based on steps'!$B185:$AY185,'recurring2_based on steps'!$B$1:$AY$1,AD$1)+SUMIFS('changes2_based on steps'!$B185:$U185,'changes2_based on steps'!$B$1:$U$1,AD$1)</f>
        <v>0</v>
      </c>
      <c r="AE185" s="179">
        <f>SUMIFS('recurring2_based on steps'!$B185:$AY185,'recurring2_based on steps'!$B$1:$AY$1,AE$1)+SUMIFS('changes2_based on steps'!$B185:$U185,'changes2_based on steps'!$B$1:$U$1,AE$1)</f>
        <v>0</v>
      </c>
      <c r="AF185" s="179"/>
      <c r="AG185" s="179"/>
      <c r="AH185" s="179"/>
      <c r="AI185" s="179"/>
      <c r="AJ185" s="179"/>
      <c r="AK185" s="179"/>
      <c r="AL185" s="179"/>
      <c r="AM185" s="179"/>
    </row>
    <row r="186" spans="1:39" x14ac:dyDescent="0.2">
      <c r="A186" s="32">
        <f t="shared" ca="1" si="2"/>
        <v>45935</v>
      </c>
      <c r="B186" s="179">
        <f>SUMIFS('recurring2_based on steps'!$B186:$AY186,'recurring2_based on steps'!$B$1:$AY$1,B$1)+SUMIFS('changes2_based on steps'!$B186:$U186,'changes2_based on steps'!$B$1:$U$1,B$1)</f>
        <v>0</v>
      </c>
      <c r="C186" s="179">
        <f>SUMIFS('recurring2_based on steps'!$B186:$AY186,'recurring2_based on steps'!$B$1:$AY$1,C$1)+SUMIFS('changes2_based on steps'!$B186:$U186,'changes2_based on steps'!$B$1:$U$1,C$1)</f>
        <v>0</v>
      </c>
      <c r="D186" s="179">
        <f>SUMIFS('recurring2_based on steps'!$B186:$AY186,'recurring2_based on steps'!$B$1:$AY$1,D$1)+SUMIFS('changes2_based on steps'!$B186:$U186,'changes2_based on steps'!$B$1:$U$1,D$1)</f>
        <v>0</v>
      </c>
      <c r="E186" s="179">
        <f>SUMIFS('recurring2_based on steps'!$B186:$AY186,'recurring2_based on steps'!$B$1:$AY$1,E$1)+SUMIFS('changes2_based on steps'!$B186:$U186,'changes2_based on steps'!$B$1:$U$1,E$1)</f>
        <v>0</v>
      </c>
      <c r="F186" s="179">
        <f>SUMIFS('recurring2_based on steps'!$B186:$AY186,'recurring2_based on steps'!$B$1:$AY$1,F$1)+SUMIFS('changes2_based on steps'!$B186:$U186,'changes2_based on steps'!$B$1:$U$1,F$1)</f>
        <v>0</v>
      </c>
      <c r="G186" s="179">
        <f>SUMIFS('recurring2_based on steps'!$B186:$AY186,'recurring2_based on steps'!$B$1:$AY$1,G$1)+SUMIFS('changes2_based on steps'!$B186:$U186,'changes2_based on steps'!$B$1:$U$1,G$1)</f>
        <v>0</v>
      </c>
      <c r="H186" s="179">
        <f>SUMIFS('recurring2_based on steps'!$B186:$AY186,'recurring2_based on steps'!$B$1:$AY$1,H$1)+SUMIFS('changes2_based on steps'!$B186:$U186,'changes2_based on steps'!$B$1:$U$1,H$1)</f>
        <v>0</v>
      </c>
      <c r="I186" s="179">
        <f>SUMIFS('recurring2_based on steps'!$B186:$AY186,'recurring2_based on steps'!$B$1:$AY$1,I$1)+SUMIFS('changes2_based on steps'!$B186:$U186,'changes2_based on steps'!$B$1:$U$1,I$1)</f>
        <v>0</v>
      </c>
      <c r="J186" s="179">
        <f>SUMIFS('recurring2_based on steps'!$B186:$AY186,'recurring2_based on steps'!$B$1:$AY$1,J$1)+SUMIFS('changes2_based on steps'!$B186:$U186,'changes2_based on steps'!$B$1:$U$1,J$1)</f>
        <v>0</v>
      </c>
      <c r="K186" s="179">
        <f>SUMIFS('recurring2_based on steps'!$B186:$AY186,'recurring2_based on steps'!$B$1:$AY$1,K$1)+SUMIFS('changes2_based on steps'!$B186:$U186,'changes2_based on steps'!$B$1:$U$1,K$1)</f>
        <v>0</v>
      </c>
      <c r="L186" s="179">
        <f>SUMIFS('recurring2_based on steps'!$B186:$AY186,'recurring2_based on steps'!$B$1:$AY$1,L$1)+SUMIFS('changes2_based on steps'!$B186:$U186,'changes2_based on steps'!$B$1:$U$1,L$1)</f>
        <v>0</v>
      </c>
      <c r="M186" s="179">
        <f>SUMIFS('recurring2_based on steps'!$B186:$AY186,'recurring2_based on steps'!$B$1:$AY$1,M$1)+SUMIFS('changes2_based on steps'!$B186:$U186,'changes2_based on steps'!$B$1:$U$1,M$1)</f>
        <v>0</v>
      </c>
      <c r="N186" s="179">
        <f>SUMIFS('recurring2_based on steps'!$B186:$AY186,'recurring2_based on steps'!$B$1:$AY$1,N$1)+SUMIFS('changes2_based on steps'!$B186:$U186,'changes2_based on steps'!$B$1:$U$1,N$1)</f>
        <v>0</v>
      </c>
      <c r="O186" s="179">
        <f>SUMIFS('recurring2_based on steps'!$B186:$AY186,'recurring2_based on steps'!$B$1:$AY$1,O$1)+SUMIFS('changes2_based on steps'!$B186:$U186,'changes2_based on steps'!$B$1:$U$1,O$1)</f>
        <v>0</v>
      </c>
      <c r="P186" s="179">
        <f>SUMIFS('recurring2_based on steps'!$B186:$AY186,'recurring2_based on steps'!$B$1:$AY$1,P$1)+SUMIFS('changes2_based on steps'!$B186:$U186,'changes2_based on steps'!$B$1:$U$1,P$1)</f>
        <v>0</v>
      </c>
      <c r="Q186" s="179">
        <f>SUMIFS('recurring2_based on steps'!$B186:$AY186,'recurring2_based on steps'!$B$1:$AY$1,Q$1)+SUMIFS('changes2_based on steps'!$B186:$U186,'changes2_based on steps'!$B$1:$U$1,Q$1)</f>
        <v>0</v>
      </c>
      <c r="R186" s="179">
        <f>SUMIFS('recurring2_based on steps'!$B186:$AY186,'recurring2_based on steps'!$B$1:$AY$1,R$1)+SUMIFS('changes2_based on steps'!$B186:$U186,'changes2_based on steps'!$B$1:$U$1,R$1)</f>
        <v>0</v>
      </c>
      <c r="S186" s="179">
        <f>SUMIFS('recurring2_based on steps'!$B186:$AY186,'recurring2_based on steps'!$B$1:$AY$1,S$1)+SUMIFS('changes2_based on steps'!$B186:$U186,'changes2_based on steps'!$B$1:$U$1,S$1)</f>
        <v>0</v>
      </c>
      <c r="T186" s="179">
        <f>SUMIFS('recurring2_based on steps'!$B186:$AY186,'recurring2_based on steps'!$B$1:$AY$1,T$1)+SUMIFS('changes2_based on steps'!$B186:$U186,'changes2_based on steps'!$B$1:$U$1,T$1)</f>
        <v>0</v>
      </c>
      <c r="U186" s="179">
        <f>SUMIFS('recurring2_based on steps'!$B186:$AY186,'recurring2_based on steps'!$B$1:$AY$1,U$1)+SUMIFS('changes2_based on steps'!$B186:$U186,'changes2_based on steps'!$B$1:$U$1,U$1)</f>
        <v>0</v>
      </c>
      <c r="V186" s="179">
        <f>SUMIFS('recurring2_based on steps'!$B186:$AY186,'recurring2_based on steps'!$B$1:$AY$1,V$1)+SUMIFS('changes2_based on steps'!$B186:$U186,'changes2_based on steps'!$B$1:$U$1,V$1)</f>
        <v>0</v>
      </c>
      <c r="W186" s="179">
        <f>SUMIFS('recurring2_based on steps'!$B186:$AY186,'recurring2_based on steps'!$B$1:$AY$1,W$1)+SUMIFS('changes2_based on steps'!$B186:$U186,'changes2_based on steps'!$B$1:$U$1,W$1)</f>
        <v>0</v>
      </c>
      <c r="X186" s="179">
        <f>SUMIFS('recurring2_based on steps'!$B186:$AY186,'recurring2_based on steps'!$B$1:$AY$1,X$1)+SUMIFS('changes2_based on steps'!$B186:$U186,'changes2_based on steps'!$B$1:$U$1,X$1)</f>
        <v>0</v>
      </c>
      <c r="Y186" s="179">
        <f>SUMIFS('recurring2_based on steps'!$B186:$AY186,'recurring2_based on steps'!$B$1:$AY$1,Y$1)+SUMIFS('changes2_based on steps'!$B186:$U186,'changes2_based on steps'!$B$1:$U$1,Y$1)</f>
        <v>0</v>
      </c>
      <c r="Z186" s="179">
        <f>SUMIFS('recurring2_based on steps'!$B186:$AY186,'recurring2_based on steps'!$B$1:$AY$1,Z$1)+SUMIFS('changes2_based on steps'!$B186:$U186,'changes2_based on steps'!$B$1:$U$1,Z$1)</f>
        <v>0</v>
      </c>
      <c r="AA186" s="179">
        <f>SUMIFS('recurring2_based on steps'!$B186:$AY186,'recurring2_based on steps'!$B$1:$AY$1,AA$1)+SUMIFS('changes2_based on steps'!$B186:$U186,'changes2_based on steps'!$B$1:$U$1,AA$1)</f>
        <v>0</v>
      </c>
      <c r="AB186" s="179">
        <f>SUMIFS('recurring2_based on steps'!$B186:$AY186,'recurring2_based on steps'!$B$1:$AY$1,AB$1)+SUMIFS('changes2_based on steps'!$B186:$U186,'changes2_based on steps'!$B$1:$U$1,AB$1)</f>
        <v>0</v>
      </c>
      <c r="AC186" s="179">
        <f>SUMIFS('recurring2_based on steps'!$B186:$AY186,'recurring2_based on steps'!$B$1:$AY$1,AC$1)+SUMIFS('changes2_based on steps'!$B186:$U186,'changes2_based on steps'!$B$1:$U$1,AC$1)</f>
        <v>0</v>
      </c>
      <c r="AD186" s="179">
        <f>SUMIFS('recurring2_based on steps'!$B186:$AY186,'recurring2_based on steps'!$B$1:$AY$1,AD$1)+SUMIFS('changes2_based on steps'!$B186:$U186,'changes2_based on steps'!$B$1:$U$1,AD$1)</f>
        <v>0</v>
      </c>
      <c r="AE186" s="179">
        <f>SUMIFS('recurring2_based on steps'!$B186:$AY186,'recurring2_based on steps'!$B$1:$AY$1,AE$1)+SUMIFS('changes2_based on steps'!$B186:$U186,'changes2_based on steps'!$B$1:$U$1,AE$1)</f>
        <v>0</v>
      </c>
      <c r="AF186" s="179"/>
      <c r="AG186" s="179"/>
      <c r="AH186" s="179"/>
      <c r="AI186" s="179"/>
      <c r="AJ186" s="179"/>
      <c r="AK186" s="179"/>
      <c r="AL186" s="179"/>
      <c r="AM186" s="179"/>
    </row>
    <row r="187" spans="1:39" x14ac:dyDescent="0.2">
      <c r="A187" s="32">
        <f t="shared" ca="1" si="2"/>
        <v>45936</v>
      </c>
      <c r="B187" s="179">
        <f>SUMIFS('recurring2_based on steps'!$B187:$AY187,'recurring2_based on steps'!$B$1:$AY$1,B$1)+SUMIFS('changes2_based on steps'!$B187:$U187,'changes2_based on steps'!$B$1:$U$1,B$1)</f>
        <v>0</v>
      </c>
      <c r="C187" s="179">
        <f>SUMIFS('recurring2_based on steps'!$B187:$AY187,'recurring2_based on steps'!$B$1:$AY$1,C$1)+SUMIFS('changes2_based on steps'!$B187:$U187,'changes2_based on steps'!$B$1:$U$1,C$1)</f>
        <v>0</v>
      </c>
      <c r="D187" s="179">
        <f>SUMIFS('recurring2_based on steps'!$B187:$AY187,'recurring2_based on steps'!$B$1:$AY$1,D$1)+SUMIFS('changes2_based on steps'!$B187:$U187,'changes2_based on steps'!$B$1:$U$1,D$1)</f>
        <v>0</v>
      </c>
      <c r="E187" s="179">
        <f>SUMIFS('recurring2_based on steps'!$B187:$AY187,'recurring2_based on steps'!$B$1:$AY$1,E$1)+SUMIFS('changes2_based on steps'!$B187:$U187,'changes2_based on steps'!$B$1:$U$1,E$1)</f>
        <v>0</v>
      </c>
      <c r="F187" s="179">
        <f>SUMIFS('recurring2_based on steps'!$B187:$AY187,'recurring2_based on steps'!$B$1:$AY$1,F$1)+SUMIFS('changes2_based on steps'!$B187:$U187,'changes2_based on steps'!$B$1:$U$1,F$1)</f>
        <v>0</v>
      </c>
      <c r="G187" s="179">
        <f>SUMIFS('recurring2_based on steps'!$B187:$AY187,'recurring2_based on steps'!$B$1:$AY$1,G$1)+SUMIFS('changes2_based on steps'!$B187:$U187,'changes2_based on steps'!$B$1:$U$1,G$1)</f>
        <v>0</v>
      </c>
      <c r="H187" s="179">
        <f>SUMIFS('recurring2_based on steps'!$B187:$AY187,'recurring2_based on steps'!$B$1:$AY$1,H$1)+SUMIFS('changes2_based on steps'!$B187:$U187,'changes2_based on steps'!$B$1:$U$1,H$1)</f>
        <v>0</v>
      </c>
      <c r="I187" s="179">
        <f>SUMIFS('recurring2_based on steps'!$B187:$AY187,'recurring2_based on steps'!$B$1:$AY$1,I$1)+SUMIFS('changes2_based on steps'!$B187:$U187,'changes2_based on steps'!$B$1:$U$1,I$1)</f>
        <v>0</v>
      </c>
      <c r="J187" s="179">
        <f>SUMIFS('recurring2_based on steps'!$B187:$AY187,'recurring2_based on steps'!$B$1:$AY$1,J$1)+SUMIFS('changes2_based on steps'!$B187:$U187,'changes2_based on steps'!$B$1:$U$1,J$1)</f>
        <v>0</v>
      </c>
      <c r="K187" s="179">
        <f>SUMIFS('recurring2_based on steps'!$B187:$AY187,'recurring2_based on steps'!$B$1:$AY$1,K$1)+SUMIFS('changes2_based on steps'!$B187:$U187,'changes2_based on steps'!$B$1:$U$1,K$1)</f>
        <v>0</v>
      </c>
      <c r="L187" s="179">
        <f>SUMIFS('recurring2_based on steps'!$B187:$AY187,'recurring2_based on steps'!$B$1:$AY$1,L$1)+SUMIFS('changes2_based on steps'!$B187:$U187,'changes2_based on steps'!$B$1:$U$1,L$1)</f>
        <v>0</v>
      </c>
      <c r="M187" s="179">
        <f>SUMIFS('recurring2_based on steps'!$B187:$AY187,'recurring2_based on steps'!$B$1:$AY$1,M$1)+SUMIFS('changes2_based on steps'!$B187:$U187,'changes2_based on steps'!$B$1:$U$1,M$1)</f>
        <v>0</v>
      </c>
      <c r="N187" s="179">
        <f>SUMIFS('recurring2_based on steps'!$B187:$AY187,'recurring2_based on steps'!$B$1:$AY$1,N$1)+SUMIFS('changes2_based on steps'!$B187:$U187,'changes2_based on steps'!$B$1:$U$1,N$1)</f>
        <v>0</v>
      </c>
      <c r="O187" s="179">
        <f>SUMIFS('recurring2_based on steps'!$B187:$AY187,'recurring2_based on steps'!$B$1:$AY$1,O$1)+SUMIFS('changes2_based on steps'!$B187:$U187,'changes2_based on steps'!$B$1:$U$1,O$1)</f>
        <v>0</v>
      </c>
      <c r="P187" s="179">
        <f>SUMIFS('recurring2_based on steps'!$B187:$AY187,'recurring2_based on steps'!$B$1:$AY$1,P$1)+SUMIFS('changes2_based on steps'!$B187:$U187,'changes2_based on steps'!$B$1:$U$1,P$1)</f>
        <v>0</v>
      </c>
      <c r="Q187" s="179">
        <f>SUMIFS('recurring2_based on steps'!$B187:$AY187,'recurring2_based on steps'!$B$1:$AY$1,Q$1)+SUMIFS('changes2_based on steps'!$B187:$U187,'changes2_based on steps'!$B$1:$U$1,Q$1)</f>
        <v>0</v>
      </c>
      <c r="R187" s="179">
        <f>SUMIFS('recurring2_based on steps'!$B187:$AY187,'recurring2_based on steps'!$B$1:$AY$1,R$1)+SUMIFS('changes2_based on steps'!$B187:$U187,'changes2_based on steps'!$B$1:$U$1,R$1)</f>
        <v>0</v>
      </c>
      <c r="S187" s="179">
        <f>SUMIFS('recurring2_based on steps'!$B187:$AY187,'recurring2_based on steps'!$B$1:$AY$1,S$1)+SUMIFS('changes2_based on steps'!$B187:$U187,'changes2_based on steps'!$B$1:$U$1,S$1)</f>
        <v>0</v>
      </c>
      <c r="T187" s="179">
        <f>SUMIFS('recurring2_based on steps'!$B187:$AY187,'recurring2_based on steps'!$B$1:$AY$1,T$1)+SUMIFS('changes2_based on steps'!$B187:$U187,'changes2_based on steps'!$B$1:$U$1,T$1)</f>
        <v>0</v>
      </c>
      <c r="U187" s="179">
        <f>SUMIFS('recurring2_based on steps'!$B187:$AY187,'recurring2_based on steps'!$B$1:$AY$1,U$1)+SUMIFS('changes2_based on steps'!$B187:$U187,'changes2_based on steps'!$B$1:$U$1,U$1)</f>
        <v>0</v>
      </c>
      <c r="V187" s="179">
        <f>SUMIFS('recurring2_based on steps'!$B187:$AY187,'recurring2_based on steps'!$B$1:$AY$1,V$1)+SUMIFS('changes2_based on steps'!$B187:$U187,'changes2_based on steps'!$B$1:$U$1,V$1)</f>
        <v>0</v>
      </c>
      <c r="W187" s="179">
        <f>SUMIFS('recurring2_based on steps'!$B187:$AY187,'recurring2_based on steps'!$B$1:$AY$1,W$1)+SUMIFS('changes2_based on steps'!$B187:$U187,'changes2_based on steps'!$B$1:$U$1,W$1)</f>
        <v>0</v>
      </c>
      <c r="X187" s="179">
        <f>SUMIFS('recurring2_based on steps'!$B187:$AY187,'recurring2_based on steps'!$B$1:$AY$1,X$1)+SUMIFS('changes2_based on steps'!$B187:$U187,'changes2_based on steps'!$B$1:$U$1,X$1)</f>
        <v>0</v>
      </c>
      <c r="Y187" s="179">
        <f>SUMIFS('recurring2_based on steps'!$B187:$AY187,'recurring2_based on steps'!$B$1:$AY$1,Y$1)+SUMIFS('changes2_based on steps'!$B187:$U187,'changes2_based on steps'!$B$1:$U$1,Y$1)</f>
        <v>0</v>
      </c>
      <c r="Z187" s="179">
        <f>SUMIFS('recurring2_based on steps'!$B187:$AY187,'recurring2_based on steps'!$B$1:$AY$1,Z$1)+SUMIFS('changes2_based on steps'!$B187:$U187,'changes2_based on steps'!$B$1:$U$1,Z$1)</f>
        <v>0</v>
      </c>
      <c r="AA187" s="179">
        <f>SUMIFS('recurring2_based on steps'!$B187:$AY187,'recurring2_based on steps'!$B$1:$AY$1,AA$1)+SUMIFS('changes2_based on steps'!$B187:$U187,'changes2_based on steps'!$B$1:$U$1,AA$1)</f>
        <v>0</v>
      </c>
      <c r="AB187" s="179">
        <f>SUMIFS('recurring2_based on steps'!$B187:$AY187,'recurring2_based on steps'!$B$1:$AY$1,AB$1)+SUMIFS('changes2_based on steps'!$B187:$U187,'changes2_based on steps'!$B$1:$U$1,AB$1)</f>
        <v>0</v>
      </c>
      <c r="AC187" s="179">
        <f>SUMIFS('recurring2_based on steps'!$B187:$AY187,'recurring2_based on steps'!$B$1:$AY$1,AC$1)+SUMIFS('changes2_based on steps'!$B187:$U187,'changes2_based on steps'!$B$1:$U$1,AC$1)</f>
        <v>0</v>
      </c>
      <c r="AD187" s="179">
        <f>SUMIFS('recurring2_based on steps'!$B187:$AY187,'recurring2_based on steps'!$B$1:$AY$1,AD$1)+SUMIFS('changes2_based on steps'!$B187:$U187,'changes2_based on steps'!$B$1:$U$1,AD$1)</f>
        <v>0</v>
      </c>
      <c r="AE187" s="179">
        <f>SUMIFS('recurring2_based on steps'!$B187:$AY187,'recurring2_based on steps'!$B$1:$AY$1,AE$1)+SUMIFS('changes2_based on steps'!$B187:$U187,'changes2_based on steps'!$B$1:$U$1,AE$1)</f>
        <v>0</v>
      </c>
      <c r="AF187" s="179"/>
      <c r="AG187" s="179"/>
      <c r="AH187" s="179"/>
      <c r="AI187" s="179"/>
      <c r="AJ187" s="179"/>
      <c r="AK187" s="179"/>
      <c r="AL187" s="179"/>
      <c r="AM187" s="179"/>
    </row>
    <row r="188" spans="1:39" x14ac:dyDescent="0.2">
      <c r="A188" s="32">
        <f t="shared" ca="1" si="2"/>
        <v>45937</v>
      </c>
      <c r="B188" s="179">
        <f>SUMIFS('recurring2_based on steps'!$B188:$AY188,'recurring2_based on steps'!$B$1:$AY$1,B$1)+SUMIFS('changes2_based on steps'!$B188:$U188,'changes2_based on steps'!$B$1:$U$1,B$1)</f>
        <v>0</v>
      </c>
      <c r="C188" s="179">
        <f>SUMIFS('recurring2_based on steps'!$B188:$AY188,'recurring2_based on steps'!$B$1:$AY$1,C$1)+SUMIFS('changes2_based on steps'!$B188:$U188,'changes2_based on steps'!$B$1:$U$1,C$1)</f>
        <v>0</v>
      </c>
      <c r="D188" s="179">
        <f>SUMIFS('recurring2_based on steps'!$B188:$AY188,'recurring2_based on steps'!$B$1:$AY$1,D$1)+SUMIFS('changes2_based on steps'!$B188:$U188,'changes2_based on steps'!$B$1:$U$1,D$1)</f>
        <v>0</v>
      </c>
      <c r="E188" s="179">
        <f>SUMIFS('recurring2_based on steps'!$B188:$AY188,'recurring2_based on steps'!$B$1:$AY$1,E$1)+SUMIFS('changes2_based on steps'!$B188:$U188,'changes2_based on steps'!$B$1:$U$1,E$1)</f>
        <v>0</v>
      </c>
      <c r="F188" s="179">
        <f>SUMIFS('recurring2_based on steps'!$B188:$AY188,'recurring2_based on steps'!$B$1:$AY$1,F$1)+SUMIFS('changes2_based on steps'!$B188:$U188,'changes2_based on steps'!$B$1:$U$1,F$1)</f>
        <v>0</v>
      </c>
      <c r="G188" s="179">
        <f>SUMIFS('recurring2_based on steps'!$B188:$AY188,'recurring2_based on steps'!$B$1:$AY$1,G$1)+SUMIFS('changes2_based on steps'!$B188:$U188,'changes2_based on steps'!$B$1:$U$1,G$1)</f>
        <v>0</v>
      </c>
      <c r="H188" s="179">
        <f>SUMIFS('recurring2_based on steps'!$B188:$AY188,'recurring2_based on steps'!$B$1:$AY$1,H$1)+SUMIFS('changes2_based on steps'!$B188:$U188,'changes2_based on steps'!$B$1:$U$1,H$1)</f>
        <v>0</v>
      </c>
      <c r="I188" s="179">
        <f>SUMIFS('recurring2_based on steps'!$B188:$AY188,'recurring2_based on steps'!$B$1:$AY$1,I$1)+SUMIFS('changes2_based on steps'!$B188:$U188,'changes2_based on steps'!$B$1:$U$1,I$1)</f>
        <v>0</v>
      </c>
      <c r="J188" s="179">
        <f>SUMIFS('recurring2_based on steps'!$B188:$AY188,'recurring2_based on steps'!$B$1:$AY$1,J$1)+SUMIFS('changes2_based on steps'!$B188:$U188,'changes2_based on steps'!$B$1:$U$1,J$1)</f>
        <v>0</v>
      </c>
      <c r="K188" s="179">
        <f>SUMIFS('recurring2_based on steps'!$B188:$AY188,'recurring2_based on steps'!$B$1:$AY$1,K$1)+SUMIFS('changes2_based on steps'!$B188:$U188,'changes2_based on steps'!$B$1:$U$1,K$1)</f>
        <v>0</v>
      </c>
      <c r="L188" s="179">
        <f>SUMIFS('recurring2_based on steps'!$B188:$AY188,'recurring2_based on steps'!$B$1:$AY$1,L$1)+SUMIFS('changes2_based on steps'!$B188:$U188,'changes2_based on steps'!$B$1:$U$1,L$1)</f>
        <v>0</v>
      </c>
      <c r="M188" s="179">
        <f>SUMIFS('recurring2_based on steps'!$B188:$AY188,'recurring2_based on steps'!$B$1:$AY$1,M$1)+SUMIFS('changes2_based on steps'!$B188:$U188,'changes2_based on steps'!$B$1:$U$1,M$1)</f>
        <v>0</v>
      </c>
      <c r="N188" s="179">
        <f>SUMIFS('recurring2_based on steps'!$B188:$AY188,'recurring2_based on steps'!$B$1:$AY$1,N$1)+SUMIFS('changes2_based on steps'!$B188:$U188,'changes2_based on steps'!$B$1:$U$1,N$1)</f>
        <v>0</v>
      </c>
      <c r="O188" s="179">
        <f>SUMIFS('recurring2_based on steps'!$B188:$AY188,'recurring2_based on steps'!$B$1:$AY$1,O$1)+SUMIFS('changes2_based on steps'!$B188:$U188,'changes2_based on steps'!$B$1:$U$1,O$1)</f>
        <v>0</v>
      </c>
      <c r="P188" s="179">
        <f>SUMIFS('recurring2_based on steps'!$B188:$AY188,'recurring2_based on steps'!$B$1:$AY$1,P$1)+SUMIFS('changes2_based on steps'!$B188:$U188,'changes2_based on steps'!$B$1:$U$1,P$1)</f>
        <v>0</v>
      </c>
      <c r="Q188" s="179">
        <f>SUMIFS('recurring2_based on steps'!$B188:$AY188,'recurring2_based on steps'!$B$1:$AY$1,Q$1)+SUMIFS('changes2_based on steps'!$B188:$U188,'changes2_based on steps'!$B$1:$U$1,Q$1)</f>
        <v>0</v>
      </c>
      <c r="R188" s="179">
        <f>SUMIFS('recurring2_based on steps'!$B188:$AY188,'recurring2_based on steps'!$B$1:$AY$1,R$1)+SUMIFS('changes2_based on steps'!$B188:$U188,'changes2_based on steps'!$B$1:$U$1,R$1)</f>
        <v>0</v>
      </c>
      <c r="S188" s="179">
        <f>SUMIFS('recurring2_based on steps'!$B188:$AY188,'recurring2_based on steps'!$B$1:$AY$1,S$1)+SUMIFS('changes2_based on steps'!$B188:$U188,'changes2_based on steps'!$B$1:$U$1,S$1)</f>
        <v>0</v>
      </c>
      <c r="T188" s="179">
        <f>SUMIFS('recurring2_based on steps'!$B188:$AY188,'recurring2_based on steps'!$B$1:$AY$1,T$1)+SUMIFS('changes2_based on steps'!$B188:$U188,'changes2_based on steps'!$B$1:$U$1,T$1)</f>
        <v>0</v>
      </c>
      <c r="U188" s="179">
        <f>SUMIFS('recurring2_based on steps'!$B188:$AY188,'recurring2_based on steps'!$B$1:$AY$1,U$1)+SUMIFS('changes2_based on steps'!$B188:$U188,'changes2_based on steps'!$B$1:$U$1,U$1)</f>
        <v>0</v>
      </c>
      <c r="V188" s="179">
        <f>SUMIFS('recurring2_based on steps'!$B188:$AY188,'recurring2_based on steps'!$B$1:$AY$1,V$1)+SUMIFS('changes2_based on steps'!$B188:$U188,'changes2_based on steps'!$B$1:$U$1,V$1)</f>
        <v>0</v>
      </c>
      <c r="W188" s="179">
        <f>SUMIFS('recurring2_based on steps'!$B188:$AY188,'recurring2_based on steps'!$B$1:$AY$1,W$1)+SUMIFS('changes2_based on steps'!$B188:$U188,'changes2_based on steps'!$B$1:$U$1,W$1)</f>
        <v>0</v>
      </c>
      <c r="X188" s="179">
        <f>SUMIFS('recurring2_based on steps'!$B188:$AY188,'recurring2_based on steps'!$B$1:$AY$1,X$1)+SUMIFS('changes2_based on steps'!$B188:$U188,'changes2_based on steps'!$B$1:$U$1,X$1)</f>
        <v>0</v>
      </c>
      <c r="Y188" s="179">
        <f>SUMIFS('recurring2_based on steps'!$B188:$AY188,'recurring2_based on steps'!$B$1:$AY$1,Y$1)+SUMIFS('changes2_based on steps'!$B188:$U188,'changes2_based on steps'!$B$1:$U$1,Y$1)</f>
        <v>0</v>
      </c>
      <c r="Z188" s="179">
        <f>SUMIFS('recurring2_based on steps'!$B188:$AY188,'recurring2_based on steps'!$B$1:$AY$1,Z$1)+SUMIFS('changes2_based on steps'!$B188:$U188,'changes2_based on steps'!$B$1:$U$1,Z$1)</f>
        <v>0</v>
      </c>
      <c r="AA188" s="179">
        <f>SUMIFS('recurring2_based on steps'!$B188:$AY188,'recurring2_based on steps'!$B$1:$AY$1,AA$1)+SUMIFS('changes2_based on steps'!$B188:$U188,'changes2_based on steps'!$B$1:$U$1,AA$1)</f>
        <v>0</v>
      </c>
      <c r="AB188" s="179">
        <f>SUMIFS('recurring2_based on steps'!$B188:$AY188,'recurring2_based on steps'!$B$1:$AY$1,AB$1)+SUMIFS('changes2_based on steps'!$B188:$U188,'changes2_based on steps'!$B$1:$U$1,AB$1)</f>
        <v>0</v>
      </c>
      <c r="AC188" s="179">
        <f>SUMIFS('recurring2_based on steps'!$B188:$AY188,'recurring2_based on steps'!$B$1:$AY$1,AC$1)+SUMIFS('changes2_based on steps'!$B188:$U188,'changes2_based on steps'!$B$1:$U$1,AC$1)</f>
        <v>0</v>
      </c>
      <c r="AD188" s="179">
        <f>SUMIFS('recurring2_based on steps'!$B188:$AY188,'recurring2_based on steps'!$B$1:$AY$1,AD$1)+SUMIFS('changes2_based on steps'!$B188:$U188,'changes2_based on steps'!$B$1:$U$1,AD$1)</f>
        <v>0</v>
      </c>
      <c r="AE188" s="179">
        <f>SUMIFS('recurring2_based on steps'!$B188:$AY188,'recurring2_based on steps'!$B$1:$AY$1,AE$1)+SUMIFS('changes2_based on steps'!$B188:$U188,'changes2_based on steps'!$B$1:$U$1,AE$1)</f>
        <v>0</v>
      </c>
      <c r="AF188" s="179"/>
      <c r="AG188" s="179"/>
      <c r="AH188" s="179"/>
      <c r="AI188" s="179"/>
      <c r="AJ188" s="179"/>
      <c r="AK188" s="179"/>
      <c r="AL188" s="179"/>
      <c r="AM188" s="179"/>
    </row>
    <row r="189" spans="1:39" x14ac:dyDescent="0.2">
      <c r="A189" s="32">
        <f t="shared" ca="1" si="2"/>
        <v>45938</v>
      </c>
      <c r="B189" s="179">
        <f>SUMIFS('recurring2_based on steps'!$B189:$AY189,'recurring2_based on steps'!$B$1:$AY$1,B$1)+SUMIFS('changes2_based on steps'!$B189:$U189,'changes2_based on steps'!$B$1:$U$1,B$1)</f>
        <v>0</v>
      </c>
      <c r="C189" s="179">
        <f>SUMIFS('recurring2_based on steps'!$B189:$AY189,'recurring2_based on steps'!$B$1:$AY$1,C$1)+SUMIFS('changes2_based on steps'!$B189:$U189,'changes2_based on steps'!$B$1:$U$1,C$1)</f>
        <v>0</v>
      </c>
      <c r="D189" s="179">
        <f>SUMIFS('recurring2_based on steps'!$B189:$AY189,'recurring2_based on steps'!$B$1:$AY$1,D$1)+SUMIFS('changes2_based on steps'!$B189:$U189,'changes2_based on steps'!$B$1:$U$1,D$1)</f>
        <v>0</v>
      </c>
      <c r="E189" s="179">
        <f>SUMIFS('recurring2_based on steps'!$B189:$AY189,'recurring2_based on steps'!$B$1:$AY$1,E$1)+SUMIFS('changes2_based on steps'!$B189:$U189,'changes2_based on steps'!$B$1:$U$1,E$1)</f>
        <v>0</v>
      </c>
      <c r="F189" s="179">
        <f>SUMIFS('recurring2_based on steps'!$B189:$AY189,'recurring2_based on steps'!$B$1:$AY$1,F$1)+SUMIFS('changes2_based on steps'!$B189:$U189,'changes2_based on steps'!$B$1:$U$1,F$1)</f>
        <v>0</v>
      </c>
      <c r="G189" s="179">
        <f>SUMIFS('recurring2_based on steps'!$B189:$AY189,'recurring2_based on steps'!$B$1:$AY$1,G$1)+SUMIFS('changes2_based on steps'!$B189:$U189,'changes2_based on steps'!$B$1:$U$1,G$1)</f>
        <v>0</v>
      </c>
      <c r="H189" s="179">
        <f>SUMIFS('recurring2_based on steps'!$B189:$AY189,'recurring2_based on steps'!$B$1:$AY$1,H$1)+SUMIFS('changes2_based on steps'!$B189:$U189,'changes2_based on steps'!$B$1:$U$1,H$1)</f>
        <v>0</v>
      </c>
      <c r="I189" s="179">
        <f>SUMIFS('recurring2_based on steps'!$B189:$AY189,'recurring2_based on steps'!$B$1:$AY$1,I$1)+SUMIFS('changes2_based on steps'!$B189:$U189,'changes2_based on steps'!$B$1:$U$1,I$1)</f>
        <v>0</v>
      </c>
      <c r="J189" s="179">
        <f>SUMIFS('recurring2_based on steps'!$B189:$AY189,'recurring2_based on steps'!$B$1:$AY$1,J$1)+SUMIFS('changes2_based on steps'!$B189:$U189,'changes2_based on steps'!$B$1:$U$1,J$1)</f>
        <v>0</v>
      </c>
      <c r="K189" s="179">
        <f>SUMIFS('recurring2_based on steps'!$B189:$AY189,'recurring2_based on steps'!$B$1:$AY$1,K$1)+SUMIFS('changes2_based on steps'!$B189:$U189,'changes2_based on steps'!$B$1:$U$1,K$1)</f>
        <v>0</v>
      </c>
      <c r="L189" s="179">
        <f>SUMIFS('recurring2_based on steps'!$B189:$AY189,'recurring2_based on steps'!$B$1:$AY$1,L$1)+SUMIFS('changes2_based on steps'!$B189:$U189,'changes2_based on steps'!$B$1:$U$1,L$1)</f>
        <v>0</v>
      </c>
      <c r="M189" s="179">
        <f>SUMIFS('recurring2_based on steps'!$B189:$AY189,'recurring2_based on steps'!$B$1:$AY$1,M$1)+SUMIFS('changes2_based on steps'!$B189:$U189,'changes2_based on steps'!$B$1:$U$1,M$1)</f>
        <v>0</v>
      </c>
      <c r="N189" s="179">
        <f>SUMIFS('recurring2_based on steps'!$B189:$AY189,'recurring2_based on steps'!$B$1:$AY$1,N$1)+SUMIFS('changes2_based on steps'!$B189:$U189,'changes2_based on steps'!$B$1:$U$1,N$1)</f>
        <v>0</v>
      </c>
      <c r="O189" s="179">
        <f>SUMIFS('recurring2_based on steps'!$B189:$AY189,'recurring2_based on steps'!$B$1:$AY$1,O$1)+SUMIFS('changes2_based on steps'!$B189:$U189,'changes2_based on steps'!$B$1:$U$1,O$1)</f>
        <v>0</v>
      </c>
      <c r="P189" s="179">
        <f>SUMIFS('recurring2_based on steps'!$B189:$AY189,'recurring2_based on steps'!$B$1:$AY$1,P$1)+SUMIFS('changes2_based on steps'!$B189:$U189,'changes2_based on steps'!$B$1:$U$1,P$1)</f>
        <v>0</v>
      </c>
      <c r="Q189" s="179">
        <f>SUMIFS('recurring2_based on steps'!$B189:$AY189,'recurring2_based on steps'!$B$1:$AY$1,Q$1)+SUMIFS('changes2_based on steps'!$B189:$U189,'changes2_based on steps'!$B$1:$U$1,Q$1)</f>
        <v>0</v>
      </c>
      <c r="R189" s="179">
        <f>SUMIFS('recurring2_based on steps'!$B189:$AY189,'recurring2_based on steps'!$B$1:$AY$1,R$1)+SUMIFS('changes2_based on steps'!$B189:$U189,'changes2_based on steps'!$B$1:$U$1,R$1)</f>
        <v>0</v>
      </c>
      <c r="S189" s="179">
        <f>SUMIFS('recurring2_based on steps'!$B189:$AY189,'recurring2_based on steps'!$B$1:$AY$1,S$1)+SUMIFS('changes2_based on steps'!$B189:$U189,'changes2_based on steps'!$B$1:$U$1,S$1)</f>
        <v>0</v>
      </c>
      <c r="T189" s="179">
        <f>SUMIFS('recurring2_based on steps'!$B189:$AY189,'recurring2_based on steps'!$B$1:$AY$1,T$1)+SUMIFS('changes2_based on steps'!$B189:$U189,'changes2_based on steps'!$B$1:$U$1,T$1)</f>
        <v>0</v>
      </c>
      <c r="U189" s="179">
        <f>SUMIFS('recurring2_based on steps'!$B189:$AY189,'recurring2_based on steps'!$B$1:$AY$1,U$1)+SUMIFS('changes2_based on steps'!$B189:$U189,'changes2_based on steps'!$B$1:$U$1,U$1)</f>
        <v>0</v>
      </c>
      <c r="V189" s="179">
        <f>SUMIFS('recurring2_based on steps'!$B189:$AY189,'recurring2_based on steps'!$B$1:$AY$1,V$1)+SUMIFS('changes2_based on steps'!$B189:$U189,'changes2_based on steps'!$B$1:$U$1,V$1)</f>
        <v>0</v>
      </c>
      <c r="W189" s="179">
        <f>SUMIFS('recurring2_based on steps'!$B189:$AY189,'recurring2_based on steps'!$B$1:$AY$1,W$1)+SUMIFS('changes2_based on steps'!$B189:$U189,'changes2_based on steps'!$B$1:$U$1,W$1)</f>
        <v>0</v>
      </c>
      <c r="X189" s="179">
        <f>SUMIFS('recurring2_based on steps'!$B189:$AY189,'recurring2_based on steps'!$B$1:$AY$1,X$1)+SUMIFS('changes2_based on steps'!$B189:$U189,'changes2_based on steps'!$B$1:$U$1,X$1)</f>
        <v>0</v>
      </c>
      <c r="Y189" s="179">
        <f>SUMIFS('recurring2_based on steps'!$B189:$AY189,'recurring2_based on steps'!$B$1:$AY$1,Y$1)+SUMIFS('changes2_based on steps'!$B189:$U189,'changes2_based on steps'!$B$1:$U$1,Y$1)</f>
        <v>0</v>
      </c>
      <c r="Z189" s="179">
        <f>SUMIFS('recurring2_based on steps'!$B189:$AY189,'recurring2_based on steps'!$B$1:$AY$1,Z$1)+SUMIFS('changes2_based on steps'!$B189:$U189,'changes2_based on steps'!$B$1:$U$1,Z$1)</f>
        <v>0</v>
      </c>
      <c r="AA189" s="179">
        <f>SUMIFS('recurring2_based on steps'!$B189:$AY189,'recurring2_based on steps'!$B$1:$AY$1,AA$1)+SUMIFS('changes2_based on steps'!$B189:$U189,'changes2_based on steps'!$B$1:$U$1,AA$1)</f>
        <v>0</v>
      </c>
      <c r="AB189" s="179">
        <f>SUMIFS('recurring2_based on steps'!$B189:$AY189,'recurring2_based on steps'!$B$1:$AY$1,AB$1)+SUMIFS('changes2_based on steps'!$B189:$U189,'changes2_based on steps'!$B$1:$U$1,AB$1)</f>
        <v>0</v>
      </c>
      <c r="AC189" s="179">
        <f>SUMIFS('recurring2_based on steps'!$B189:$AY189,'recurring2_based on steps'!$B$1:$AY$1,AC$1)+SUMIFS('changes2_based on steps'!$B189:$U189,'changes2_based on steps'!$B$1:$U$1,AC$1)</f>
        <v>0</v>
      </c>
      <c r="AD189" s="179">
        <f>SUMIFS('recurring2_based on steps'!$B189:$AY189,'recurring2_based on steps'!$B$1:$AY$1,AD$1)+SUMIFS('changes2_based on steps'!$B189:$U189,'changes2_based on steps'!$B$1:$U$1,AD$1)</f>
        <v>0</v>
      </c>
      <c r="AE189" s="179">
        <f>SUMIFS('recurring2_based on steps'!$B189:$AY189,'recurring2_based on steps'!$B$1:$AY$1,AE$1)+SUMIFS('changes2_based on steps'!$B189:$U189,'changes2_based on steps'!$B$1:$U$1,AE$1)</f>
        <v>0</v>
      </c>
      <c r="AF189" s="179"/>
      <c r="AG189" s="179"/>
      <c r="AH189" s="179"/>
      <c r="AI189" s="179"/>
      <c r="AJ189" s="179"/>
      <c r="AK189" s="179"/>
      <c r="AL189" s="179"/>
      <c r="AM189" s="179"/>
    </row>
    <row r="190" spans="1:39" x14ac:dyDescent="0.2">
      <c r="A190" s="32">
        <f t="shared" ca="1" si="2"/>
        <v>45939</v>
      </c>
      <c r="B190" s="179">
        <f>SUMIFS('recurring2_based on steps'!$B190:$AY190,'recurring2_based on steps'!$B$1:$AY$1,B$1)+SUMIFS('changes2_based on steps'!$B190:$U190,'changes2_based on steps'!$B$1:$U$1,B$1)</f>
        <v>0</v>
      </c>
      <c r="C190" s="179">
        <f>SUMIFS('recurring2_based on steps'!$B190:$AY190,'recurring2_based on steps'!$B$1:$AY$1,C$1)+SUMIFS('changes2_based on steps'!$B190:$U190,'changes2_based on steps'!$B$1:$U$1,C$1)</f>
        <v>0</v>
      </c>
      <c r="D190" s="179">
        <f>SUMIFS('recurring2_based on steps'!$B190:$AY190,'recurring2_based on steps'!$B$1:$AY$1,D$1)+SUMIFS('changes2_based on steps'!$B190:$U190,'changes2_based on steps'!$B$1:$U$1,D$1)</f>
        <v>0</v>
      </c>
      <c r="E190" s="179">
        <f>SUMIFS('recurring2_based on steps'!$B190:$AY190,'recurring2_based on steps'!$B$1:$AY$1,E$1)+SUMIFS('changes2_based on steps'!$B190:$U190,'changes2_based on steps'!$B$1:$U$1,E$1)</f>
        <v>0</v>
      </c>
      <c r="F190" s="179">
        <f>SUMIFS('recurring2_based on steps'!$B190:$AY190,'recurring2_based on steps'!$B$1:$AY$1,F$1)+SUMIFS('changes2_based on steps'!$B190:$U190,'changes2_based on steps'!$B$1:$U$1,F$1)</f>
        <v>0</v>
      </c>
      <c r="G190" s="179">
        <f>SUMIFS('recurring2_based on steps'!$B190:$AY190,'recurring2_based on steps'!$B$1:$AY$1,G$1)+SUMIFS('changes2_based on steps'!$B190:$U190,'changes2_based on steps'!$B$1:$U$1,G$1)</f>
        <v>0</v>
      </c>
      <c r="H190" s="179">
        <f>SUMIFS('recurring2_based on steps'!$B190:$AY190,'recurring2_based on steps'!$B$1:$AY$1,H$1)+SUMIFS('changes2_based on steps'!$B190:$U190,'changes2_based on steps'!$B$1:$U$1,H$1)</f>
        <v>0</v>
      </c>
      <c r="I190" s="179">
        <f>SUMIFS('recurring2_based on steps'!$B190:$AY190,'recurring2_based on steps'!$B$1:$AY$1,I$1)+SUMIFS('changes2_based on steps'!$B190:$U190,'changes2_based on steps'!$B$1:$U$1,I$1)</f>
        <v>0</v>
      </c>
      <c r="J190" s="179">
        <f>SUMIFS('recurring2_based on steps'!$B190:$AY190,'recurring2_based on steps'!$B$1:$AY$1,J$1)+SUMIFS('changes2_based on steps'!$B190:$U190,'changes2_based on steps'!$B$1:$U$1,J$1)</f>
        <v>0</v>
      </c>
      <c r="K190" s="179">
        <f>SUMIFS('recurring2_based on steps'!$B190:$AY190,'recurring2_based on steps'!$B$1:$AY$1,K$1)+SUMIFS('changes2_based on steps'!$B190:$U190,'changes2_based on steps'!$B$1:$U$1,K$1)</f>
        <v>0</v>
      </c>
      <c r="L190" s="179">
        <f>SUMIFS('recurring2_based on steps'!$B190:$AY190,'recurring2_based on steps'!$B$1:$AY$1,L$1)+SUMIFS('changes2_based on steps'!$B190:$U190,'changes2_based on steps'!$B$1:$U$1,L$1)</f>
        <v>0</v>
      </c>
      <c r="M190" s="179">
        <f>SUMIFS('recurring2_based on steps'!$B190:$AY190,'recurring2_based on steps'!$B$1:$AY$1,M$1)+SUMIFS('changes2_based on steps'!$B190:$U190,'changes2_based on steps'!$B$1:$U$1,M$1)</f>
        <v>0</v>
      </c>
      <c r="N190" s="179">
        <f>SUMIFS('recurring2_based on steps'!$B190:$AY190,'recurring2_based on steps'!$B$1:$AY$1,N$1)+SUMIFS('changes2_based on steps'!$B190:$U190,'changes2_based on steps'!$B$1:$U$1,N$1)</f>
        <v>0</v>
      </c>
      <c r="O190" s="179">
        <f>SUMIFS('recurring2_based on steps'!$B190:$AY190,'recurring2_based on steps'!$B$1:$AY$1,O$1)+SUMIFS('changes2_based on steps'!$B190:$U190,'changes2_based on steps'!$B$1:$U$1,O$1)</f>
        <v>0</v>
      </c>
      <c r="P190" s="179">
        <f>SUMIFS('recurring2_based on steps'!$B190:$AY190,'recurring2_based on steps'!$B$1:$AY$1,P$1)+SUMIFS('changes2_based on steps'!$B190:$U190,'changes2_based on steps'!$B$1:$U$1,P$1)</f>
        <v>0</v>
      </c>
      <c r="Q190" s="179">
        <f>SUMIFS('recurring2_based on steps'!$B190:$AY190,'recurring2_based on steps'!$B$1:$AY$1,Q$1)+SUMIFS('changes2_based on steps'!$B190:$U190,'changes2_based on steps'!$B$1:$U$1,Q$1)</f>
        <v>0</v>
      </c>
      <c r="R190" s="179">
        <f>SUMIFS('recurring2_based on steps'!$B190:$AY190,'recurring2_based on steps'!$B$1:$AY$1,R$1)+SUMIFS('changes2_based on steps'!$B190:$U190,'changes2_based on steps'!$B$1:$U$1,R$1)</f>
        <v>0</v>
      </c>
      <c r="S190" s="179">
        <f>SUMIFS('recurring2_based on steps'!$B190:$AY190,'recurring2_based on steps'!$B$1:$AY$1,S$1)+SUMIFS('changes2_based on steps'!$B190:$U190,'changes2_based on steps'!$B$1:$U$1,S$1)</f>
        <v>0</v>
      </c>
      <c r="T190" s="179">
        <f>SUMIFS('recurring2_based on steps'!$B190:$AY190,'recurring2_based on steps'!$B$1:$AY$1,T$1)+SUMIFS('changes2_based on steps'!$B190:$U190,'changes2_based on steps'!$B$1:$U$1,T$1)</f>
        <v>0</v>
      </c>
      <c r="U190" s="179">
        <f>SUMIFS('recurring2_based on steps'!$B190:$AY190,'recurring2_based on steps'!$B$1:$AY$1,U$1)+SUMIFS('changes2_based on steps'!$B190:$U190,'changes2_based on steps'!$B$1:$U$1,U$1)</f>
        <v>0</v>
      </c>
      <c r="V190" s="179">
        <f>SUMIFS('recurring2_based on steps'!$B190:$AY190,'recurring2_based on steps'!$B$1:$AY$1,V$1)+SUMIFS('changes2_based on steps'!$B190:$U190,'changes2_based on steps'!$B$1:$U$1,V$1)</f>
        <v>0</v>
      </c>
      <c r="W190" s="179">
        <f>SUMIFS('recurring2_based on steps'!$B190:$AY190,'recurring2_based on steps'!$B$1:$AY$1,W$1)+SUMIFS('changes2_based on steps'!$B190:$U190,'changes2_based on steps'!$B$1:$U$1,W$1)</f>
        <v>0</v>
      </c>
      <c r="X190" s="179">
        <f>SUMIFS('recurring2_based on steps'!$B190:$AY190,'recurring2_based on steps'!$B$1:$AY$1,X$1)+SUMIFS('changes2_based on steps'!$B190:$U190,'changes2_based on steps'!$B$1:$U$1,X$1)</f>
        <v>0</v>
      </c>
      <c r="Y190" s="179">
        <f>SUMIFS('recurring2_based on steps'!$B190:$AY190,'recurring2_based on steps'!$B$1:$AY$1,Y$1)+SUMIFS('changes2_based on steps'!$B190:$U190,'changes2_based on steps'!$B$1:$U$1,Y$1)</f>
        <v>0</v>
      </c>
      <c r="Z190" s="179">
        <f>SUMIFS('recurring2_based on steps'!$B190:$AY190,'recurring2_based on steps'!$B$1:$AY$1,Z$1)+SUMIFS('changes2_based on steps'!$B190:$U190,'changes2_based on steps'!$B$1:$U$1,Z$1)</f>
        <v>0</v>
      </c>
      <c r="AA190" s="179">
        <f>SUMIFS('recurring2_based on steps'!$B190:$AY190,'recurring2_based on steps'!$B$1:$AY$1,AA$1)+SUMIFS('changes2_based on steps'!$B190:$U190,'changes2_based on steps'!$B$1:$U$1,AA$1)</f>
        <v>0</v>
      </c>
      <c r="AB190" s="179">
        <f>SUMIFS('recurring2_based on steps'!$B190:$AY190,'recurring2_based on steps'!$B$1:$AY$1,AB$1)+SUMIFS('changes2_based on steps'!$B190:$U190,'changes2_based on steps'!$B$1:$U$1,AB$1)</f>
        <v>0</v>
      </c>
      <c r="AC190" s="179">
        <f>SUMIFS('recurring2_based on steps'!$B190:$AY190,'recurring2_based on steps'!$B$1:$AY$1,AC$1)+SUMIFS('changes2_based on steps'!$B190:$U190,'changes2_based on steps'!$B$1:$U$1,AC$1)</f>
        <v>0</v>
      </c>
      <c r="AD190" s="179">
        <f>SUMIFS('recurring2_based on steps'!$B190:$AY190,'recurring2_based on steps'!$B$1:$AY$1,AD$1)+SUMIFS('changes2_based on steps'!$B190:$U190,'changes2_based on steps'!$B$1:$U$1,AD$1)</f>
        <v>0</v>
      </c>
      <c r="AE190" s="179">
        <f>SUMIFS('recurring2_based on steps'!$B190:$AY190,'recurring2_based on steps'!$B$1:$AY$1,AE$1)+SUMIFS('changes2_based on steps'!$B190:$U190,'changes2_based on steps'!$B$1:$U$1,AE$1)</f>
        <v>0</v>
      </c>
      <c r="AF190" s="179"/>
      <c r="AG190" s="179"/>
      <c r="AH190" s="179"/>
      <c r="AI190" s="179"/>
      <c r="AJ190" s="179"/>
      <c r="AK190" s="179"/>
      <c r="AL190" s="179"/>
      <c r="AM190" s="179"/>
    </row>
    <row r="191" spans="1:39" x14ac:dyDescent="0.2">
      <c r="A191" s="32">
        <f t="shared" ca="1" si="2"/>
        <v>45940</v>
      </c>
      <c r="B191" s="179">
        <f>SUMIFS('recurring2_based on steps'!$B191:$AY191,'recurring2_based on steps'!$B$1:$AY$1,B$1)+SUMIFS('changes2_based on steps'!$B191:$U191,'changes2_based on steps'!$B$1:$U$1,B$1)</f>
        <v>0</v>
      </c>
      <c r="C191" s="179">
        <f>SUMIFS('recurring2_based on steps'!$B191:$AY191,'recurring2_based on steps'!$B$1:$AY$1,C$1)+SUMIFS('changes2_based on steps'!$B191:$U191,'changes2_based on steps'!$B$1:$U$1,C$1)</f>
        <v>0</v>
      </c>
      <c r="D191" s="179">
        <f>SUMIFS('recurring2_based on steps'!$B191:$AY191,'recurring2_based on steps'!$B$1:$AY$1,D$1)+SUMIFS('changes2_based on steps'!$B191:$U191,'changes2_based on steps'!$B$1:$U$1,D$1)</f>
        <v>0</v>
      </c>
      <c r="E191" s="179">
        <f>SUMIFS('recurring2_based on steps'!$B191:$AY191,'recurring2_based on steps'!$B$1:$AY$1,E$1)+SUMIFS('changes2_based on steps'!$B191:$U191,'changes2_based on steps'!$B$1:$U$1,E$1)</f>
        <v>0</v>
      </c>
      <c r="F191" s="179">
        <f>SUMIFS('recurring2_based on steps'!$B191:$AY191,'recurring2_based on steps'!$B$1:$AY$1,F$1)+SUMIFS('changes2_based on steps'!$B191:$U191,'changes2_based on steps'!$B$1:$U$1,F$1)</f>
        <v>0</v>
      </c>
      <c r="G191" s="179">
        <f>SUMIFS('recurring2_based on steps'!$B191:$AY191,'recurring2_based on steps'!$B$1:$AY$1,G$1)+SUMIFS('changes2_based on steps'!$B191:$U191,'changes2_based on steps'!$B$1:$U$1,G$1)</f>
        <v>0</v>
      </c>
      <c r="H191" s="179">
        <f>SUMIFS('recurring2_based on steps'!$B191:$AY191,'recurring2_based on steps'!$B$1:$AY$1,H$1)+SUMIFS('changes2_based on steps'!$B191:$U191,'changes2_based on steps'!$B$1:$U$1,H$1)</f>
        <v>0</v>
      </c>
      <c r="I191" s="179">
        <f>SUMIFS('recurring2_based on steps'!$B191:$AY191,'recurring2_based on steps'!$B$1:$AY$1,I$1)+SUMIFS('changes2_based on steps'!$B191:$U191,'changes2_based on steps'!$B$1:$U$1,I$1)</f>
        <v>0</v>
      </c>
      <c r="J191" s="179">
        <f>SUMIFS('recurring2_based on steps'!$B191:$AY191,'recurring2_based on steps'!$B$1:$AY$1,J$1)+SUMIFS('changes2_based on steps'!$B191:$U191,'changes2_based on steps'!$B$1:$U$1,J$1)</f>
        <v>0</v>
      </c>
      <c r="K191" s="179">
        <f>SUMIFS('recurring2_based on steps'!$B191:$AY191,'recurring2_based on steps'!$B$1:$AY$1,K$1)+SUMIFS('changes2_based on steps'!$B191:$U191,'changes2_based on steps'!$B$1:$U$1,K$1)</f>
        <v>0</v>
      </c>
      <c r="L191" s="179">
        <f>SUMIFS('recurring2_based on steps'!$B191:$AY191,'recurring2_based on steps'!$B$1:$AY$1,L$1)+SUMIFS('changes2_based on steps'!$B191:$U191,'changes2_based on steps'!$B$1:$U$1,L$1)</f>
        <v>0</v>
      </c>
      <c r="M191" s="179">
        <f>SUMIFS('recurring2_based on steps'!$B191:$AY191,'recurring2_based on steps'!$B$1:$AY$1,M$1)+SUMIFS('changes2_based on steps'!$B191:$U191,'changes2_based on steps'!$B$1:$U$1,M$1)</f>
        <v>0</v>
      </c>
      <c r="N191" s="179">
        <f>SUMIFS('recurring2_based on steps'!$B191:$AY191,'recurring2_based on steps'!$B$1:$AY$1,N$1)+SUMIFS('changes2_based on steps'!$B191:$U191,'changes2_based on steps'!$B$1:$U$1,N$1)</f>
        <v>0</v>
      </c>
      <c r="O191" s="179">
        <f>SUMIFS('recurring2_based on steps'!$B191:$AY191,'recurring2_based on steps'!$B$1:$AY$1,O$1)+SUMIFS('changes2_based on steps'!$B191:$U191,'changes2_based on steps'!$B$1:$U$1,O$1)</f>
        <v>0</v>
      </c>
      <c r="P191" s="179">
        <f>SUMIFS('recurring2_based on steps'!$B191:$AY191,'recurring2_based on steps'!$B$1:$AY$1,P$1)+SUMIFS('changes2_based on steps'!$B191:$U191,'changes2_based on steps'!$B$1:$U$1,P$1)</f>
        <v>0</v>
      </c>
      <c r="Q191" s="179">
        <f>SUMIFS('recurring2_based on steps'!$B191:$AY191,'recurring2_based on steps'!$B$1:$AY$1,Q$1)+SUMIFS('changes2_based on steps'!$B191:$U191,'changes2_based on steps'!$B$1:$U$1,Q$1)</f>
        <v>0</v>
      </c>
      <c r="R191" s="179">
        <f>SUMIFS('recurring2_based on steps'!$B191:$AY191,'recurring2_based on steps'!$B$1:$AY$1,R$1)+SUMIFS('changes2_based on steps'!$B191:$U191,'changes2_based on steps'!$B$1:$U$1,R$1)</f>
        <v>0</v>
      </c>
      <c r="S191" s="179">
        <f>SUMIFS('recurring2_based on steps'!$B191:$AY191,'recurring2_based on steps'!$B$1:$AY$1,S$1)+SUMIFS('changes2_based on steps'!$B191:$U191,'changes2_based on steps'!$B$1:$U$1,S$1)</f>
        <v>0</v>
      </c>
      <c r="T191" s="179">
        <f>SUMIFS('recurring2_based on steps'!$B191:$AY191,'recurring2_based on steps'!$B$1:$AY$1,T$1)+SUMIFS('changes2_based on steps'!$B191:$U191,'changes2_based on steps'!$B$1:$U$1,T$1)</f>
        <v>0</v>
      </c>
      <c r="U191" s="179">
        <f>SUMIFS('recurring2_based on steps'!$B191:$AY191,'recurring2_based on steps'!$B$1:$AY$1,U$1)+SUMIFS('changes2_based on steps'!$B191:$U191,'changes2_based on steps'!$B$1:$U$1,U$1)</f>
        <v>0</v>
      </c>
      <c r="V191" s="179">
        <f>SUMIFS('recurring2_based on steps'!$B191:$AY191,'recurring2_based on steps'!$B$1:$AY$1,V$1)+SUMIFS('changes2_based on steps'!$B191:$U191,'changes2_based on steps'!$B$1:$U$1,V$1)</f>
        <v>0</v>
      </c>
      <c r="W191" s="179">
        <f>SUMIFS('recurring2_based on steps'!$B191:$AY191,'recurring2_based on steps'!$B$1:$AY$1,W$1)+SUMIFS('changes2_based on steps'!$B191:$U191,'changes2_based on steps'!$B$1:$U$1,W$1)</f>
        <v>0</v>
      </c>
      <c r="X191" s="179">
        <f>SUMIFS('recurring2_based on steps'!$B191:$AY191,'recurring2_based on steps'!$B$1:$AY$1,X$1)+SUMIFS('changes2_based on steps'!$B191:$U191,'changes2_based on steps'!$B$1:$U$1,X$1)</f>
        <v>0</v>
      </c>
      <c r="Y191" s="179">
        <f>SUMIFS('recurring2_based on steps'!$B191:$AY191,'recurring2_based on steps'!$B$1:$AY$1,Y$1)+SUMIFS('changes2_based on steps'!$B191:$U191,'changes2_based on steps'!$B$1:$U$1,Y$1)</f>
        <v>0</v>
      </c>
      <c r="Z191" s="179">
        <f>SUMIFS('recurring2_based on steps'!$B191:$AY191,'recurring2_based on steps'!$B$1:$AY$1,Z$1)+SUMIFS('changes2_based on steps'!$B191:$U191,'changes2_based on steps'!$B$1:$U$1,Z$1)</f>
        <v>0</v>
      </c>
      <c r="AA191" s="179">
        <f>SUMIFS('recurring2_based on steps'!$B191:$AY191,'recurring2_based on steps'!$B$1:$AY$1,AA$1)+SUMIFS('changes2_based on steps'!$B191:$U191,'changes2_based on steps'!$B$1:$U$1,AA$1)</f>
        <v>0</v>
      </c>
      <c r="AB191" s="179">
        <f>SUMIFS('recurring2_based on steps'!$B191:$AY191,'recurring2_based on steps'!$B$1:$AY$1,AB$1)+SUMIFS('changes2_based on steps'!$B191:$U191,'changes2_based on steps'!$B$1:$U$1,AB$1)</f>
        <v>0</v>
      </c>
      <c r="AC191" s="179">
        <f>SUMIFS('recurring2_based on steps'!$B191:$AY191,'recurring2_based on steps'!$B$1:$AY$1,AC$1)+SUMIFS('changes2_based on steps'!$B191:$U191,'changes2_based on steps'!$B$1:$U$1,AC$1)</f>
        <v>0</v>
      </c>
      <c r="AD191" s="179">
        <f>SUMIFS('recurring2_based on steps'!$B191:$AY191,'recurring2_based on steps'!$B$1:$AY$1,AD$1)+SUMIFS('changes2_based on steps'!$B191:$U191,'changes2_based on steps'!$B$1:$U$1,AD$1)</f>
        <v>0</v>
      </c>
      <c r="AE191" s="179">
        <f>SUMIFS('recurring2_based on steps'!$B191:$AY191,'recurring2_based on steps'!$B$1:$AY$1,AE$1)+SUMIFS('changes2_based on steps'!$B191:$U191,'changes2_based on steps'!$B$1:$U$1,AE$1)</f>
        <v>0</v>
      </c>
      <c r="AF191" s="179"/>
      <c r="AG191" s="179"/>
      <c r="AH191" s="179"/>
      <c r="AI191" s="179"/>
      <c r="AJ191" s="179"/>
      <c r="AK191" s="179"/>
      <c r="AL191" s="179"/>
      <c r="AM191" s="179"/>
    </row>
    <row r="192" spans="1:39" x14ac:dyDescent="0.2">
      <c r="A192" s="32">
        <f t="shared" ca="1" si="2"/>
        <v>45941</v>
      </c>
      <c r="B192" s="179">
        <f>SUMIFS('recurring2_based on steps'!$B192:$AY192,'recurring2_based on steps'!$B$1:$AY$1,B$1)+SUMIFS('changes2_based on steps'!$B192:$U192,'changes2_based on steps'!$B$1:$U$1,B$1)</f>
        <v>0</v>
      </c>
      <c r="C192" s="179">
        <f>SUMIFS('recurring2_based on steps'!$B192:$AY192,'recurring2_based on steps'!$B$1:$AY$1,C$1)+SUMIFS('changes2_based on steps'!$B192:$U192,'changes2_based on steps'!$B$1:$U$1,C$1)</f>
        <v>0</v>
      </c>
      <c r="D192" s="179">
        <f>SUMIFS('recurring2_based on steps'!$B192:$AY192,'recurring2_based on steps'!$B$1:$AY$1,D$1)+SUMIFS('changes2_based on steps'!$B192:$U192,'changes2_based on steps'!$B$1:$U$1,D$1)</f>
        <v>0</v>
      </c>
      <c r="E192" s="179">
        <f>SUMIFS('recurring2_based on steps'!$B192:$AY192,'recurring2_based on steps'!$B$1:$AY$1,E$1)+SUMIFS('changes2_based on steps'!$B192:$U192,'changes2_based on steps'!$B$1:$U$1,E$1)</f>
        <v>0</v>
      </c>
      <c r="F192" s="179">
        <f>SUMIFS('recurring2_based on steps'!$B192:$AY192,'recurring2_based on steps'!$B$1:$AY$1,F$1)+SUMIFS('changes2_based on steps'!$B192:$U192,'changes2_based on steps'!$B$1:$U$1,F$1)</f>
        <v>0</v>
      </c>
      <c r="G192" s="179">
        <f>SUMIFS('recurring2_based on steps'!$B192:$AY192,'recurring2_based on steps'!$B$1:$AY$1,G$1)+SUMIFS('changes2_based on steps'!$B192:$U192,'changes2_based on steps'!$B$1:$U$1,G$1)</f>
        <v>0</v>
      </c>
      <c r="H192" s="179">
        <f>SUMIFS('recurring2_based on steps'!$B192:$AY192,'recurring2_based on steps'!$B$1:$AY$1,H$1)+SUMIFS('changes2_based on steps'!$B192:$U192,'changes2_based on steps'!$B$1:$U$1,H$1)</f>
        <v>0</v>
      </c>
      <c r="I192" s="179">
        <f>SUMIFS('recurring2_based on steps'!$B192:$AY192,'recurring2_based on steps'!$B$1:$AY$1,I$1)+SUMIFS('changes2_based on steps'!$B192:$U192,'changes2_based on steps'!$B$1:$U$1,I$1)</f>
        <v>0</v>
      </c>
      <c r="J192" s="179">
        <f>SUMIFS('recurring2_based on steps'!$B192:$AY192,'recurring2_based on steps'!$B$1:$AY$1,J$1)+SUMIFS('changes2_based on steps'!$B192:$U192,'changes2_based on steps'!$B$1:$U$1,J$1)</f>
        <v>0</v>
      </c>
      <c r="K192" s="179">
        <f>SUMIFS('recurring2_based on steps'!$B192:$AY192,'recurring2_based on steps'!$B$1:$AY$1,K$1)+SUMIFS('changes2_based on steps'!$B192:$U192,'changes2_based on steps'!$B$1:$U$1,K$1)</f>
        <v>0</v>
      </c>
      <c r="L192" s="179">
        <f>SUMIFS('recurring2_based on steps'!$B192:$AY192,'recurring2_based on steps'!$B$1:$AY$1,L$1)+SUMIFS('changes2_based on steps'!$B192:$U192,'changes2_based on steps'!$B$1:$U$1,L$1)</f>
        <v>0</v>
      </c>
      <c r="M192" s="179">
        <f>SUMIFS('recurring2_based on steps'!$B192:$AY192,'recurring2_based on steps'!$B$1:$AY$1,M$1)+SUMIFS('changes2_based on steps'!$B192:$U192,'changes2_based on steps'!$B$1:$U$1,M$1)</f>
        <v>0</v>
      </c>
      <c r="N192" s="179">
        <f>SUMIFS('recurring2_based on steps'!$B192:$AY192,'recurring2_based on steps'!$B$1:$AY$1,N$1)+SUMIFS('changes2_based on steps'!$B192:$U192,'changes2_based on steps'!$B$1:$U$1,N$1)</f>
        <v>0</v>
      </c>
      <c r="O192" s="179">
        <f>SUMIFS('recurring2_based on steps'!$B192:$AY192,'recurring2_based on steps'!$B$1:$AY$1,O$1)+SUMIFS('changes2_based on steps'!$B192:$U192,'changes2_based on steps'!$B$1:$U$1,O$1)</f>
        <v>0</v>
      </c>
      <c r="P192" s="179">
        <f>SUMIFS('recurring2_based on steps'!$B192:$AY192,'recurring2_based on steps'!$B$1:$AY$1,P$1)+SUMIFS('changes2_based on steps'!$B192:$U192,'changes2_based on steps'!$B$1:$U$1,P$1)</f>
        <v>0</v>
      </c>
      <c r="Q192" s="179">
        <f>SUMIFS('recurring2_based on steps'!$B192:$AY192,'recurring2_based on steps'!$B$1:$AY$1,Q$1)+SUMIFS('changes2_based on steps'!$B192:$U192,'changes2_based on steps'!$B$1:$U$1,Q$1)</f>
        <v>0</v>
      </c>
      <c r="R192" s="179">
        <f>SUMIFS('recurring2_based on steps'!$B192:$AY192,'recurring2_based on steps'!$B$1:$AY$1,R$1)+SUMIFS('changes2_based on steps'!$B192:$U192,'changes2_based on steps'!$B$1:$U$1,R$1)</f>
        <v>0</v>
      </c>
      <c r="S192" s="179">
        <f>SUMIFS('recurring2_based on steps'!$B192:$AY192,'recurring2_based on steps'!$B$1:$AY$1,S$1)+SUMIFS('changes2_based on steps'!$B192:$U192,'changes2_based on steps'!$B$1:$U$1,S$1)</f>
        <v>0</v>
      </c>
      <c r="T192" s="179">
        <f>SUMIFS('recurring2_based on steps'!$B192:$AY192,'recurring2_based on steps'!$B$1:$AY$1,T$1)+SUMIFS('changes2_based on steps'!$B192:$U192,'changes2_based on steps'!$B$1:$U$1,T$1)</f>
        <v>0</v>
      </c>
      <c r="U192" s="179">
        <f>SUMIFS('recurring2_based on steps'!$B192:$AY192,'recurring2_based on steps'!$B$1:$AY$1,U$1)+SUMIFS('changes2_based on steps'!$B192:$U192,'changes2_based on steps'!$B$1:$U$1,U$1)</f>
        <v>0</v>
      </c>
      <c r="V192" s="179">
        <f>SUMIFS('recurring2_based on steps'!$B192:$AY192,'recurring2_based on steps'!$B$1:$AY$1,V$1)+SUMIFS('changes2_based on steps'!$B192:$U192,'changes2_based on steps'!$B$1:$U$1,V$1)</f>
        <v>0</v>
      </c>
      <c r="W192" s="179">
        <f>SUMIFS('recurring2_based on steps'!$B192:$AY192,'recurring2_based on steps'!$B$1:$AY$1,W$1)+SUMIFS('changes2_based on steps'!$B192:$U192,'changes2_based on steps'!$B$1:$U$1,W$1)</f>
        <v>0</v>
      </c>
      <c r="X192" s="179">
        <f>SUMIFS('recurring2_based on steps'!$B192:$AY192,'recurring2_based on steps'!$B$1:$AY$1,X$1)+SUMIFS('changes2_based on steps'!$B192:$U192,'changes2_based on steps'!$B$1:$U$1,X$1)</f>
        <v>0</v>
      </c>
      <c r="Y192" s="179">
        <f>SUMIFS('recurring2_based on steps'!$B192:$AY192,'recurring2_based on steps'!$B$1:$AY$1,Y$1)+SUMIFS('changes2_based on steps'!$B192:$U192,'changes2_based on steps'!$B$1:$U$1,Y$1)</f>
        <v>0</v>
      </c>
      <c r="Z192" s="179">
        <f>SUMIFS('recurring2_based on steps'!$B192:$AY192,'recurring2_based on steps'!$B$1:$AY$1,Z$1)+SUMIFS('changes2_based on steps'!$B192:$U192,'changes2_based on steps'!$B$1:$U$1,Z$1)</f>
        <v>0</v>
      </c>
      <c r="AA192" s="179">
        <f>SUMIFS('recurring2_based on steps'!$B192:$AY192,'recurring2_based on steps'!$B$1:$AY$1,AA$1)+SUMIFS('changes2_based on steps'!$B192:$U192,'changes2_based on steps'!$B$1:$U$1,AA$1)</f>
        <v>0</v>
      </c>
      <c r="AB192" s="179">
        <f>SUMIFS('recurring2_based on steps'!$B192:$AY192,'recurring2_based on steps'!$B$1:$AY$1,AB$1)+SUMIFS('changes2_based on steps'!$B192:$U192,'changes2_based on steps'!$B$1:$U$1,AB$1)</f>
        <v>0</v>
      </c>
      <c r="AC192" s="179">
        <f>SUMIFS('recurring2_based on steps'!$B192:$AY192,'recurring2_based on steps'!$B$1:$AY$1,AC$1)+SUMIFS('changes2_based on steps'!$B192:$U192,'changes2_based on steps'!$B$1:$U$1,AC$1)</f>
        <v>0</v>
      </c>
      <c r="AD192" s="179">
        <f>SUMIFS('recurring2_based on steps'!$B192:$AY192,'recurring2_based on steps'!$B$1:$AY$1,AD$1)+SUMIFS('changes2_based on steps'!$B192:$U192,'changes2_based on steps'!$B$1:$U$1,AD$1)</f>
        <v>0</v>
      </c>
      <c r="AE192" s="179">
        <f>SUMIFS('recurring2_based on steps'!$B192:$AY192,'recurring2_based on steps'!$B$1:$AY$1,AE$1)+SUMIFS('changes2_based on steps'!$B192:$U192,'changes2_based on steps'!$B$1:$U$1,AE$1)</f>
        <v>0</v>
      </c>
      <c r="AF192" s="179"/>
      <c r="AG192" s="179"/>
      <c r="AH192" s="179"/>
      <c r="AI192" s="179"/>
      <c r="AJ192" s="179"/>
      <c r="AK192" s="179"/>
      <c r="AL192" s="179"/>
      <c r="AM192" s="179"/>
    </row>
    <row r="193" spans="1:39" x14ac:dyDescent="0.2">
      <c r="A193" s="32">
        <f t="shared" ca="1" si="2"/>
        <v>45942</v>
      </c>
      <c r="B193" s="179">
        <f>SUMIFS('recurring2_based on steps'!$B193:$AY193,'recurring2_based on steps'!$B$1:$AY$1,B$1)+SUMIFS('changes2_based on steps'!$B193:$U193,'changes2_based on steps'!$B$1:$U$1,B$1)</f>
        <v>0</v>
      </c>
      <c r="C193" s="179">
        <f>SUMIFS('recurring2_based on steps'!$B193:$AY193,'recurring2_based on steps'!$B$1:$AY$1,C$1)+SUMIFS('changes2_based on steps'!$B193:$U193,'changes2_based on steps'!$B$1:$U$1,C$1)</f>
        <v>0</v>
      </c>
      <c r="D193" s="179">
        <f>SUMIFS('recurring2_based on steps'!$B193:$AY193,'recurring2_based on steps'!$B$1:$AY$1,D$1)+SUMIFS('changes2_based on steps'!$B193:$U193,'changes2_based on steps'!$B$1:$U$1,D$1)</f>
        <v>0</v>
      </c>
      <c r="E193" s="179">
        <f>SUMIFS('recurring2_based on steps'!$B193:$AY193,'recurring2_based on steps'!$B$1:$AY$1,E$1)+SUMIFS('changes2_based on steps'!$B193:$U193,'changes2_based on steps'!$B$1:$U$1,E$1)</f>
        <v>0</v>
      </c>
      <c r="F193" s="179">
        <f>SUMIFS('recurring2_based on steps'!$B193:$AY193,'recurring2_based on steps'!$B$1:$AY$1,F$1)+SUMIFS('changes2_based on steps'!$B193:$U193,'changes2_based on steps'!$B$1:$U$1,F$1)</f>
        <v>0</v>
      </c>
      <c r="G193" s="179">
        <f>SUMIFS('recurring2_based on steps'!$B193:$AY193,'recurring2_based on steps'!$B$1:$AY$1,G$1)+SUMIFS('changes2_based on steps'!$B193:$U193,'changes2_based on steps'!$B$1:$U$1,G$1)</f>
        <v>0</v>
      </c>
      <c r="H193" s="179">
        <f>SUMIFS('recurring2_based on steps'!$B193:$AY193,'recurring2_based on steps'!$B$1:$AY$1,H$1)+SUMIFS('changes2_based on steps'!$B193:$U193,'changes2_based on steps'!$B$1:$U$1,H$1)</f>
        <v>0</v>
      </c>
      <c r="I193" s="179">
        <f>SUMIFS('recurring2_based on steps'!$B193:$AY193,'recurring2_based on steps'!$B$1:$AY$1,I$1)+SUMIFS('changes2_based on steps'!$B193:$U193,'changes2_based on steps'!$B$1:$U$1,I$1)</f>
        <v>0</v>
      </c>
      <c r="J193" s="179">
        <f>SUMIFS('recurring2_based on steps'!$B193:$AY193,'recurring2_based on steps'!$B$1:$AY$1,J$1)+SUMIFS('changes2_based on steps'!$B193:$U193,'changes2_based on steps'!$B$1:$U$1,J$1)</f>
        <v>0</v>
      </c>
      <c r="K193" s="179">
        <f>SUMIFS('recurring2_based on steps'!$B193:$AY193,'recurring2_based on steps'!$B$1:$AY$1,K$1)+SUMIFS('changes2_based on steps'!$B193:$U193,'changes2_based on steps'!$B$1:$U$1,K$1)</f>
        <v>0</v>
      </c>
      <c r="L193" s="179">
        <f>SUMIFS('recurring2_based on steps'!$B193:$AY193,'recurring2_based on steps'!$B$1:$AY$1,L$1)+SUMIFS('changes2_based on steps'!$B193:$U193,'changes2_based on steps'!$B$1:$U$1,L$1)</f>
        <v>0</v>
      </c>
      <c r="M193" s="179">
        <f>SUMIFS('recurring2_based on steps'!$B193:$AY193,'recurring2_based on steps'!$B$1:$AY$1,M$1)+SUMIFS('changes2_based on steps'!$B193:$U193,'changes2_based on steps'!$B$1:$U$1,M$1)</f>
        <v>0</v>
      </c>
      <c r="N193" s="179">
        <f>SUMIFS('recurring2_based on steps'!$B193:$AY193,'recurring2_based on steps'!$B$1:$AY$1,N$1)+SUMIFS('changes2_based on steps'!$B193:$U193,'changes2_based on steps'!$B$1:$U$1,N$1)</f>
        <v>0</v>
      </c>
      <c r="O193" s="179">
        <f>SUMIFS('recurring2_based on steps'!$B193:$AY193,'recurring2_based on steps'!$B$1:$AY$1,O$1)+SUMIFS('changes2_based on steps'!$B193:$U193,'changes2_based on steps'!$B$1:$U$1,O$1)</f>
        <v>0</v>
      </c>
      <c r="P193" s="179">
        <f>SUMIFS('recurring2_based on steps'!$B193:$AY193,'recurring2_based on steps'!$B$1:$AY$1,P$1)+SUMIFS('changes2_based on steps'!$B193:$U193,'changes2_based on steps'!$B$1:$U$1,P$1)</f>
        <v>0</v>
      </c>
      <c r="Q193" s="179">
        <f>SUMIFS('recurring2_based on steps'!$B193:$AY193,'recurring2_based on steps'!$B$1:$AY$1,Q$1)+SUMIFS('changes2_based on steps'!$B193:$U193,'changes2_based on steps'!$B$1:$U$1,Q$1)</f>
        <v>0</v>
      </c>
      <c r="R193" s="179">
        <f>SUMIFS('recurring2_based on steps'!$B193:$AY193,'recurring2_based on steps'!$B$1:$AY$1,R$1)+SUMIFS('changes2_based on steps'!$B193:$U193,'changes2_based on steps'!$B$1:$U$1,R$1)</f>
        <v>0</v>
      </c>
      <c r="S193" s="179">
        <f>SUMIFS('recurring2_based on steps'!$B193:$AY193,'recurring2_based on steps'!$B$1:$AY$1,S$1)+SUMIFS('changes2_based on steps'!$B193:$U193,'changes2_based on steps'!$B$1:$U$1,S$1)</f>
        <v>0</v>
      </c>
      <c r="T193" s="179">
        <f>SUMIFS('recurring2_based on steps'!$B193:$AY193,'recurring2_based on steps'!$B$1:$AY$1,T$1)+SUMIFS('changes2_based on steps'!$B193:$U193,'changes2_based on steps'!$B$1:$U$1,T$1)</f>
        <v>0</v>
      </c>
      <c r="U193" s="179">
        <f>SUMIFS('recurring2_based on steps'!$B193:$AY193,'recurring2_based on steps'!$B$1:$AY$1,U$1)+SUMIFS('changes2_based on steps'!$B193:$U193,'changes2_based on steps'!$B$1:$U$1,U$1)</f>
        <v>0</v>
      </c>
      <c r="V193" s="179">
        <f>SUMIFS('recurring2_based on steps'!$B193:$AY193,'recurring2_based on steps'!$B$1:$AY$1,V$1)+SUMIFS('changes2_based on steps'!$B193:$U193,'changes2_based on steps'!$B$1:$U$1,V$1)</f>
        <v>0</v>
      </c>
      <c r="W193" s="179">
        <f>SUMIFS('recurring2_based on steps'!$B193:$AY193,'recurring2_based on steps'!$B$1:$AY$1,W$1)+SUMIFS('changes2_based on steps'!$B193:$U193,'changes2_based on steps'!$B$1:$U$1,W$1)</f>
        <v>0</v>
      </c>
      <c r="X193" s="179">
        <f>SUMIFS('recurring2_based on steps'!$B193:$AY193,'recurring2_based on steps'!$B$1:$AY$1,X$1)+SUMIFS('changes2_based on steps'!$B193:$U193,'changes2_based on steps'!$B$1:$U$1,X$1)</f>
        <v>0</v>
      </c>
      <c r="Y193" s="179">
        <f>SUMIFS('recurring2_based on steps'!$B193:$AY193,'recurring2_based on steps'!$B$1:$AY$1,Y$1)+SUMIFS('changes2_based on steps'!$B193:$U193,'changes2_based on steps'!$B$1:$U$1,Y$1)</f>
        <v>0</v>
      </c>
      <c r="Z193" s="179">
        <f>SUMIFS('recurring2_based on steps'!$B193:$AY193,'recurring2_based on steps'!$B$1:$AY$1,Z$1)+SUMIFS('changes2_based on steps'!$B193:$U193,'changes2_based on steps'!$B$1:$U$1,Z$1)</f>
        <v>0</v>
      </c>
      <c r="AA193" s="179">
        <f>SUMIFS('recurring2_based on steps'!$B193:$AY193,'recurring2_based on steps'!$B$1:$AY$1,AA$1)+SUMIFS('changes2_based on steps'!$B193:$U193,'changes2_based on steps'!$B$1:$U$1,AA$1)</f>
        <v>0</v>
      </c>
      <c r="AB193" s="179">
        <f>SUMIFS('recurring2_based on steps'!$B193:$AY193,'recurring2_based on steps'!$B$1:$AY$1,AB$1)+SUMIFS('changes2_based on steps'!$B193:$U193,'changes2_based on steps'!$B$1:$U$1,AB$1)</f>
        <v>0</v>
      </c>
      <c r="AC193" s="179">
        <f>SUMIFS('recurring2_based on steps'!$B193:$AY193,'recurring2_based on steps'!$B$1:$AY$1,AC$1)+SUMIFS('changes2_based on steps'!$B193:$U193,'changes2_based on steps'!$B$1:$U$1,AC$1)</f>
        <v>0</v>
      </c>
      <c r="AD193" s="179">
        <f>SUMIFS('recurring2_based on steps'!$B193:$AY193,'recurring2_based on steps'!$B$1:$AY$1,AD$1)+SUMIFS('changes2_based on steps'!$B193:$U193,'changes2_based on steps'!$B$1:$U$1,AD$1)</f>
        <v>0</v>
      </c>
      <c r="AE193" s="179">
        <f>SUMIFS('recurring2_based on steps'!$B193:$AY193,'recurring2_based on steps'!$B$1:$AY$1,AE$1)+SUMIFS('changes2_based on steps'!$B193:$U193,'changes2_based on steps'!$B$1:$U$1,AE$1)</f>
        <v>0</v>
      </c>
      <c r="AF193" s="179"/>
      <c r="AG193" s="179"/>
      <c r="AH193" s="179"/>
      <c r="AI193" s="179"/>
      <c r="AJ193" s="179"/>
      <c r="AK193" s="179"/>
      <c r="AL193" s="179"/>
      <c r="AM193" s="179"/>
    </row>
    <row r="194" spans="1:39" x14ac:dyDescent="0.2">
      <c r="A194" s="32">
        <f t="shared" ca="1" si="2"/>
        <v>45943</v>
      </c>
      <c r="B194" s="179">
        <f>SUMIFS('recurring2_based on steps'!$B194:$AY194,'recurring2_based on steps'!$B$1:$AY$1,B$1)+SUMIFS('changes2_based on steps'!$B194:$U194,'changes2_based on steps'!$B$1:$U$1,B$1)</f>
        <v>0</v>
      </c>
      <c r="C194" s="179">
        <f>SUMIFS('recurring2_based on steps'!$B194:$AY194,'recurring2_based on steps'!$B$1:$AY$1,C$1)+SUMIFS('changes2_based on steps'!$B194:$U194,'changes2_based on steps'!$B$1:$U$1,C$1)</f>
        <v>0</v>
      </c>
      <c r="D194" s="179">
        <f>SUMIFS('recurring2_based on steps'!$B194:$AY194,'recurring2_based on steps'!$B$1:$AY$1,D$1)+SUMIFS('changes2_based on steps'!$B194:$U194,'changes2_based on steps'!$B$1:$U$1,D$1)</f>
        <v>0</v>
      </c>
      <c r="E194" s="179">
        <f>SUMIFS('recurring2_based on steps'!$B194:$AY194,'recurring2_based on steps'!$B$1:$AY$1,E$1)+SUMIFS('changes2_based on steps'!$B194:$U194,'changes2_based on steps'!$B$1:$U$1,E$1)</f>
        <v>0</v>
      </c>
      <c r="F194" s="179">
        <f>SUMIFS('recurring2_based on steps'!$B194:$AY194,'recurring2_based on steps'!$B$1:$AY$1,F$1)+SUMIFS('changes2_based on steps'!$B194:$U194,'changes2_based on steps'!$B$1:$U$1,F$1)</f>
        <v>0</v>
      </c>
      <c r="G194" s="179">
        <f>SUMIFS('recurring2_based on steps'!$B194:$AY194,'recurring2_based on steps'!$B$1:$AY$1,G$1)+SUMIFS('changes2_based on steps'!$B194:$U194,'changes2_based on steps'!$B$1:$U$1,G$1)</f>
        <v>0</v>
      </c>
      <c r="H194" s="179">
        <f>SUMIFS('recurring2_based on steps'!$B194:$AY194,'recurring2_based on steps'!$B$1:$AY$1,H$1)+SUMIFS('changes2_based on steps'!$B194:$U194,'changes2_based on steps'!$B$1:$U$1,H$1)</f>
        <v>0</v>
      </c>
      <c r="I194" s="179">
        <f>SUMIFS('recurring2_based on steps'!$B194:$AY194,'recurring2_based on steps'!$B$1:$AY$1,I$1)+SUMIFS('changes2_based on steps'!$B194:$U194,'changes2_based on steps'!$B$1:$U$1,I$1)</f>
        <v>0</v>
      </c>
      <c r="J194" s="179">
        <f>SUMIFS('recurring2_based on steps'!$B194:$AY194,'recurring2_based on steps'!$B$1:$AY$1,J$1)+SUMIFS('changes2_based on steps'!$B194:$U194,'changes2_based on steps'!$B$1:$U$1,J$1)</f>
        <v>0</v>
      </c>
      <c r="K194" s="179">
        <f>SUMIFS('recurring2_based on steps'!$B194:$AY194,'recurring2_based on steps'!$B$1:$AY$1,K$1)+SUMIFS('changes2_based on steps'!$B194:$U194,'changes2_based on steps'!$B$1:$U$1,K$1)</f>
        <v>0</v>
      </c>
      <c r="L194" s="179">
        <f>SUMIFS('recurring2_based on steps'!$B194:$AY194,'recurring2_based on steps'!$B$1:$AY$1,L$1)+SUMIFS('changes2_based on steps'!$B194:$U194,'changes2_based on steps'!$B$1:$U$1,L$1)</f>
        <v>0</v>
      </c>
      <c r="M194" s="179">
        <f>SUMIFS('recurring2_based on steps'!$B194:$AY194,'recurring2_based on steps'!$B$1:$AY$1,M$1)+SUMIFS('changes2_based on steps'!$B194:$U194,'changes2_based on steps'!$B$1:$U$1,M$1)</f>
        <v>0</v>
      </c>
      <c r="N194" s="179">
        <f>SUMIFS('recurring2_based on steps'!$B194:$AY194,'recurring2_based on steps'!$B$1:$AY$1,N$1)+SUMIFS('changes2_based on steps'!$B194:$U194,'changes2_based on steps'!$B$1:$U$1,N$1)</f>
        <v>0</v>
      </c>
      <c r="O194" s="179">
        <f>SUMIFS('recurring2_based on steps'!$B194:$AY194,'recurring2_based on steps'!$B$1:$AY$1,O$1)+SUMIFS('changes2_based on steps'!$B194:$U194,'changes2_based on steps'!$B$1:$U$1,O$1)</f>
        <v>0</v>
      </c>
      <c r="P194" s="179">
        <f>SUMIFS('recurring2_based on steps'!$B194:$AY194,'recurring2_based on steps'!$B$1:$AY$1,P$1)+SUMIFS('changes2_based on steps'!$B194:$U194,'changes2_based on steps'!$B$1:$U$1,P$1)</f>
        <v>0</v>
      </c>
      <c r="Q194" s="179">
        <f>SUMIFS('recurring2_based on steps'!$B194:$AY194,'recurring2_based on steps'!$B$1:$AY$1,Q$1)+SUMIFS('changes2_based on steps'!$B194:$U194,'changes2_based on steps'!$B$1:$U$1,Q$1)</f>
        <v>0</v>
      </c>
      <c r="R194" s="179">
        <f>SUMIFS('recurring2_based on steps'!$B194:$AY194,'recurring2_based on steps'!$B$1:$AY$1,R$1)+SUMIFS('changes2_based on steps'!$B194:$U194,'changes2_based on steps'!$B$1:$U$1,R$1)</f>
        <v>0</v>
      </c>
      <c r="S194" s="179">
        <f>SUMIFS('recurring2_based on steps'!$B194:$AY194,'recurring2_based on steps'!$B$1:$AY$1,S$1)+SUMIFS('changes2_based on steps'!$B194:$U194,'changes2_based on steps'!$B$1:$U$1,S$1)</f>
        <v>0</v>
      </c>
      <c r="T194" s="179">
        <f>SUMIFS('recurring2_based on steps'!$B194:$AY194,'recurring2_based on steps'!$B$1:$AY$1,T$1)+SUMIFS('changes2_based on steps'!$B194:$U194,'changes2_based on steps'!$B$1:$U$1,T$1)</f>
        <v>0</v>
      </c>
      <c r="U194" s="179">
        <f>SUMIFS('recurring2_based on steps'!$B194:$AY194,'recurring2_based on steps'!$B$1:$AY$1,U$1)+SUMIFS('changes2_based on steps'!$B194:$U194,'changes2_based on steps'!$B$1:$U$1,U$1)</f>
        <v>0</v>
      </c>
      <c r="V194" s="179">
        <f>SUMIFS('recurring2_based on steps'!$B194:$AY194,'recurring2_based on steps'!$B$1:$AY$1,V$1)+SUMIFS('changes2_based on steps'!$B194:$U194,'changes2_based on steps'!$B$1:$U$1,V$1)</f>
        <v>0</v>
      </c>
      <c r="W194" s="179">
        <f>SUMIFS('recurring2_based on steps'!$B194:$AY194,'recurring2_based on steps'!$B$1:$AY$1,W$1)+SUMIFS('changes2_based on steps'!$B194:$U194,'changes2_based on steps'!$B$1:$U$1,W$1)</f>
        <v>0</v>
      </c>
      <c r="X194" s="179">
        <f>SUMIFS('recurring2_based on steps'!$B194:$AY194,'recurring2_based on steps'!$B$1:$AY$1,X$1)+SUMIFS('changes2_based on steps'!$B194:$U194,'changes2_based on steps'!$B$1:$U$1,X$1)</f>
        <v>0</v>
      </c>
      <c r="Y194" s="179">
        <f>SUMIFS('recurring2_based on steps'!$B194:$AY194,'recurring2_based on steps'!$B$1:$AY$1,Y$1)+SUMIFS('changes2_based on steps'!$B194:$U194,'changes2_based on steps'!$B$1:$U$1,Y$1)</f>
        <v>0</v>
      </c>
      <c r="Z194" s="179">
        <f>SUMIFS('recurring2_based on steps'!$B194:$AY194,'recurring2_based on steps'!$B$1:$AY$1,Z$1)+SUMIFS('changes2_based on steps'!$B194:$U194,'changes2_based on steps'!$B$1:$U$1,Z$1)</f>
        <v>0</v>
      </c>
      <c r="AA194" s="179">
        <f>SUMIFS('recurring2_based on steps'!$B194:$AY194,'recurring2_based on steps'!$B$1:$AY$1,AA$1)+SUMIFS('changes2_based on steps'!$B194:$U194,'changes2_based on steps'!$B$1:$U$1,AA$1)</f>
        <v>0</v>
      </c>
      <c r="AB194" s="179">
        <f>SUMIFS('recurring2_based on steps'!$B194:$AY194,'recurring2_based on steps'!$B$1:$AY$1,AB$1)+SUMIFS('changes2_based on steps'!$B194:$U194,'changes2_based on steps'!$B$1:$U$1,AB$1)</f>
        <v>0</v>
      </c>
      <c r="AC194" s="179">
        <f>SUMIFS('recurring2_based on steps'!$B194:$AY194,'recurring2_based on steps'!$B$1:$AY$1,AC$1)+SUMIFS('changes2_based on steps'!$B194:$U194,'changes2_based on steps'!$B$1:$U$1,AC$1)</f>
        <v>0</v>
      </c>
      <c r="AD194" s="179">
        <f>SUMIFS('recurring2_based on steps'!$B194:$AY194,'recurring2_based on steps'!$B$1:$AY$1,AD$1)+SUMIFS('changes2_based on steps'!$B194:$U194,'changes2_based on steps'!$B$1:$U$1,AD$1)</f>
        <v>0</v>
      </c>
      <c r="AE194" s="179">
        <f>SUMIFS('recurring2_based on steps'!$B194:$AY194,'recurring2_based on steps'!$B$1:$AY$1,AE$1)+SUMIFS('changes2_based on steps'!$B194:$U194,'changes2_based on steps'!$B$1:$U$1,AE$1)</f>
        <v>0</v>
      </c>
      <c r="AF194" s="179"/>
      <c r="AG194" s="179"/>
      <c r="AH194" s="179"/>
      <c r="AI194" s="179"/>
      <c r="AJ194" s="179"/>
      <c r="AK194" s="179"/>
      <c r="AL194" s="179"/>
      <c r="AM194" s="179"/>
    </row>
    <row r="195" spans="1:39" x14ac:dyDescent="0.2">
      <c r="A195" s="32">
        <f t="shared" ca="1" si="2"/>
        <v>45944</v>
      </c>
      <c r="B195" s="179">
        <f>SUMIFS('recurring2_based on steps'!$B195:$AY195,'recurring2_based on steps'!$B$1:$AY$1,B$1)+SUMIFS('changes2_based on steps'!$B195:$U195,'changes2_based on steps'!$B$1:$U$1,B$1)</f>
        <v>0</v>
      </c>
      <c r="C195" s="179">
        <f>SUMIFS('recurring2_based on steps'!$B195:$AY195,'recurring2_based on steps'!$B$1:$AY$1,C$1)+SUMIFS('changes2_based on steps'!$B195:$U195,'changes2_based on steps'!$B$1:$U$1,C$1)</f>
        <v>0</v>
      </c>
      <c r="D195" s="179">
        <f>SUMIFS('recurring2_based on steps'!$B195:$AY195,'recurring2_based on steps'!$B$1:$AY$1,D$1)+SUMIFS('changes2_based on steps'!$B195:$U195,'changes2_based on steps'!$B$1:$U$1,D$1)</f>
        <v>0</v>
      </c>
      <c r="E195" s="179">
        <f>SUMIFS('recurring2_based on steps'!$B195:$AY195,'recurring2_based on steps'!$B$1:$AY$1,E$1)+SUMIFS('changes2_based on steps'!$B195:$U195,'changes2_based on steps'!$B$1:$U$1,E$1)</f>
        <v>0</v>
      </c>
      <c r="F195" s="179">
        <f>SUMIFS('recurring2_based on steps'!$B195:$AY195,'recurring2_based on steps'!$B$1:$AY$1,F$1)+SUMIFS('changes2_based on steps'!$B195:$U195,'changes2_based on steps'!$B$1:$U$1,F$1)</f>
        <v>0</v>
      </c>
      <c r="G195" s="179">
        <f>SUMIFS('recurring2_based on steps'!$B195:$AY195,'recurring2_based on steps'!$B$1:$AY$1,G$1)+SUMIFS('changes2_based on steps'!$B195:$U195,'changes2_based on steps'!$B$1:$U$1,G$1)</f>
        <v>0</v>
      </c>
      <c r="H195" s="179">
        <f>SUMIFS('recurring2_based on steps'!$B195:$AY195,'recurring2_based on steps'!$B$1:$AY$1,H$1)+SUMIFS('changes2_based on steps'!$B195:$U195,'changes2_based on steps'!$B$1:$U$1,H$1)</f>
        <v>0</v>
      </c>
      <c r="I195" s="179">
        <f>SUMIFS('recurring2_based on steps'!$B195:$AY195,'recurring2_based on steps'!$B$1:$AY$1,I$1)+SUMIFS('changes2_based on steps'!$B195:$U195,'changes2_based on steps'!$B$1:$U$1,I$1)</f>
        <v>0</v>
      </c>
      <c r="J195" s="179">
        <f>SUMIFS('recurring2_based on steps'!$B195:$AY195,'recurring2_based on steps'!$B$1:$AY$1,J$1)+SUMIFS('changes2_based on steps'!$B195:$U195,'changes2_based on steps'!$B$1:$U$1,J$1)</f>
        <v>0</v>
      </c>
      <c r="K195" s="179">
        <f>SUMIFS('recurring2_based on steps'!$B195:$AY195,'recurring2_based on steps'!$B$1:$AY$1,K$1)+SUMIFS('changes2_based on steps'!$B195:$U195,'changes2_based on steps'!$B$1:$U$1,K$1)</f>
        <v>0</v>
      </c>
      <c r="L195" s="179">
        <f>SUMIFS('recurring2_based on steps'!$B195:$AY195,'recurring2_based on steps'!$B$1:$AY$1,L$1)+SUMIFS('changes2_based on steps'!$B195:$U195,'changes2_based on steps'!$B$1:$U$1,L$1)</f>
        <v>0</v>
      </c>
      <c r="M195" s="179">
        <f>SUMIFS('recurring2_based on steps'!$B195:$AY195,'recurring2_based on steps'!$B$1:$AY$1,M$1)+SUMIFS('changes2_based on steps'!$B195:$U195,'changes2_based on steps'!$B$1:$U$1,M$1)</f>
        <v>0</v>
      </c>
      <c r="N195" s="179">
        <f>SUMIFS('recurring2_based on steps'!$B195:$AY195,'recurring2_based on steps'!$B$1:$AY$1,N$1)+SUMIFS('changes2_based on steps'!$B195:$U195,'changes2_based on steps'!$B$1:$U$1,N$1)</f>
        <v>0</v>
      </c>
      <c r="O195" s="179">
        <f>SUMIFS('recurring2_based on steps'!$B195:$AY195,'recurring2_based on steps'!$B$1:$AY$1,O$1)+SUMIFS('changes2_based on steps'!$B195:$U195,'changes2_based on steps'!$B$1:$U$1,O$1)</f>
        <v>0</v>
      </c>
      <c r="P195" s="179">
        <f>SUMIFS('recurring2_based on steps'!$B195:$AY195,'recurring2_based on steps'!$B$1:$AY$1,P$1)+SUMIFS('changes2_based on steps'!$B195:$U195,'changes2_based on steps'!$B$1:$U$1,P$1)</f>
        <v>0</v>
      </c>
      <c r="Q195" s="179">
        <f>SUMIFS('recurring2_based on steps'!$B195:$AY195,'recurring2_based on steps'!$B$1:$AY$1,Q$1)+SUMIFS('changes2_based on steps'!$B195:$U195,'changes2_based on steps'!$B$1:$U$1,Q$1)</f>
        <v>0</v>
      </c>
      <c r="R195" s="179">
        <f>SUMIFS('recurring2_based on steps'!$B195:$AY195,'recurring2_based on steps'!$B$1:$AY$1,R$1)+SUMIFS('changes2_based on steps'!$B195:$U195,'changes2_based on steps'!$B$1:$U$1,R$1)</f>
        <v>0</v>
      </c>
      <c r="S195" s="179">
        <f>SUMIFS('recurring2_based on steps'!$B195:$AY195,'recurring2_based on steps'!$B$1:$AY$1,S$1)+SUMIFS('changes2_based on steps'!$B195:$U195,'changes2_based on steps'!$B$1:$U$1,S$1)</f>
        <v>0</v>
      </c>
      <c r="T195" s="179">
        <f>SUMIFS('recurring2_based on steps'!$B195:$AY195,'recurring2_based on steps'!$B$1:$AY$1,T$1)+SUMIFS('changes2_based on steps'!$B195:$U195,'changes2_based on steps'!$B$1:$U$1,T$1)</f>
        <v>0</v>
      </c>
      <c r="U195" s="179">
        <f>SUMIFS('recurring2_based on steps'!$B195:$AY195,'recurring2_based on steps'!$B$1:$AY$1,U$1)+SUMIFS('changes2_based on steps'!$B195:$U195,'changes2_based on steps'!$B$1:$U$1,U$1)</f>
        <v>0</v>
      </c>
      <c r="V195" s="179">
        <f>SUMIFS('recurring2_based on steps'!$B195:$AY195,'recurring2_based on steps'!$B$1:$AY$1,V$1)+SUMIFS('changes2_based on steps'!$B195:$U195,'changes2_based on steps'!$B$1:$U$1,V$1)</f>
        <v>0</v>
      </c>
      <c r="W195" s="179">
        <f>SUMIFS('recurring2_based on steps'!$B195:$AY195,'recurring2_based on steps'!$B$1:$AY$1,W$1)+SUMIFS('changes2_based on steps'!$B195:$U195,'changes2_based on steps'!$B$1:$U$1,W$1)</f>
        <v>0</v>
      </c>
      <c r="X195" s="179">
        <f>SUMIFS('recurring2_based on steps'!$B195:$AY195,'recurring2_based on steps'!$B$1:$AY$1,X$1)+SUMIFS('changes2_based on steps'!$B195:$U195,'changes2_based on steps'!$B$1:$U$1,X$1)</f>
        <v>0</v>
      </c>
      <c r="Y195" s="179">
        <f>SUMIFS('recurring2_based on steps'!$B195:$AY195,'recurring2_based on steps'!$B$1:$AY$1,Y$1)+SUMIFS('changes2_based on steps'!$B195:$U195,'changes2_based on steps'!$B$1:$U$1,Y$1)</f>
        <v>0</v>
      </c>
      <c r="Z195" s="179">
        <f>SUMIFS('recurring2_based on steps'!$B195:$AY195,'recurring2_based on steps'!$B$1:$AY$1,Z$1)+SUMIFS('changes2_based on steps'!$B195:$U195,'changes2_based on steps'!$B$1:$U$1,Z$1)</f>
        <v>0</v>
      </c>
      <c r="AA195" s="179">
        <f>SUMIFS('recurring2_based on steps'!$B195:$AY195,'recurring2_based on steps'!$B$1:$AY$1,AA$1)+SUMIFS('changes2_based on steps'!$B195:$U195,'changes2_based on steps'!$B$1:$U$1,AA$1)</f>
        <v>0</v>
      </c>
      <c r="AB195" s="179">
        <f>SUMIFS('recurring2_based on steps'!$B195:$AY195,'recurring2_based on steps'!$B$1:$AY$1,AB$1)+SUMIFS('changes2_based on steps'!$B195:$U195,'changes2_based on steps'!$B$1:$U$1,AB$1)</f>
        <v>0</v>
      </c>
      <c r="AC195" s="179">
        <f>SUMIFS('recurring2_based on steps'!$B195:$AY195,'recurring2_based on steps'!$B$1:$AY$1,AC$1)+SUMIFS('changes2_based on steps'!$B195:$U195,'changes2_based on steps'!$B$1:$U$1,AC$1)</f>
        <v>0</v>
      </c>
      <c r="AD195" s="179">
        <f>SUMIFS('recurring2_based on steps'!$B195:$AY195,'recurring2_based on steps'!$B$1:$AY$1,AD$1)+SUMIFS('changes2_based on steps'!$B195:$U195,'changes2_based on steps'!$B$1:$U$1,AD$1)</f>
        <v>0</v>
      </c>
      <c r="AE195" s="179">
        <f>SUMIFS('recurring2_based on steps'!$B195:$AY195,'recurring2_based on steps'!$B$1:$AY$1,AE$1)+SUMIFS('changes2_based on steps'!$B195:$U195,'changes2_based on steps'!$B$1:$U$1,AE$1)</f>
        <v>0</v>
      </c>
      <c r="AF195" s="179"/>
      <c r="AG195" s="179"/>
      <c r="AH195" s="179"/>
      <c r="AI195" s="179"/>
      <c r="AJ195" s="179"/>
      <c r="AK195" s="179"/>
      <c r="AL195" s="179"/>
      <c r="AM195" s="179"/>
    </row>
    <row r="196" spans="1:39" x14ac:dyDescent="0.2">
      <c r="A196" s="32">
        <f t="shared" ca="1" si="2"/>
        <v>45945</v>
      </c>
      <c r="B196" s="179">
        <f>SUMIFS('recurring2_based on steps'!$B196:$AY196,'recurring2_based on steps'!$B$1:$AY$1,B$1)+SUMIFS('changes2_based on steps'!$B196:$U196,'changes2_based on steps'!$B$1:$U$1,B$1)</f>
        <v>0</v>
      </c>
      <c r="C196" s="179">
        <f>SUMIFS('recurring2_based on steps'!$B196:$AY196,'recurring2_based on steps'!$B$1:$AY$1,C$1)+SUMIFS('changes2_based on steps'!$B196:$U196,'changes2_based on steps'!$B$1:$U$1,C$1)</f>
        <v>0</v>
      </c>
      <c r="D196" s="179">
        <f>SUMIFS('recurring2_based on steps'!$B196:$AY196,'recurring2_based on steps'!$B$1:$AY$1,D$1)+SUMIFS('changes2_based on steps'!$B196:$U196,'changes2_based on steps'!$B$1:$U$1,D$1)</f>
        <v>0</v>
      </c>
      <c r="E196" s="179">
        <f>SUMIFS('recurring2_based on steps'!$B196:$AY196,'recurring2_based on steps'!$B$1:$AY$1,E$1)+SUMIFS('changes2_based on steps'!$B196:$U196,'changes2_based on steps'!$B$1:$U$1,E$1)</f>
        <v>0</v>
      </c>
      <c r="F196" s="179">
        <f>SUMIFS('recurring2_based on steps'!$B196:$AY196,'recurring2_based on steps'!$B$1:$AY$1,F$1)+SUMIFS('changes2_based on steps'!$B196:$U196,'changes2_based on steps'!$B$1:$U$1,F$1)</f>
        <v>0</v>
      </c>
      <c r="G196" s="179">
        <f>SUMIFS('recurring2_based on steps'!$B196:$AY196,'recurring2_based on steps'!$B$1:$AY$1,G$1)+SUMIFS('changes2_based on steps'!$B196:$U196,'changes2_based on steps'!$B$1:$U$1,G$1)</f>
        <v>0</v>
      </c>
      <c r="H196" s="179">
        <f>SUMIFS('recurring2_based on steps'!$B196:$AY196,'recurring2_based on steps'!$B$1:$AY$1,H$1)+SUMIFS('changes2_based on steps'!$B196:$U196,'changes2_based on steps'!$B$1:$U$1,H$1)</f>
        <v>0</v>
      </c>
      <c r="I196" s="179">
        <f>SUMIFS('recurring2_based on steps'!$B196:$AY196,'recurring2_based on steps'!$B$1:$AY$1,I$1)+SUMIFS('changes2_based on steps'!$B196:$U196,'changes2_based on steps'!$B$1:$U$1,I$1)</f>
        <v>0</v>
      </c>
      <c r="J196" s="179">
        <f>SUMIFS('recurring2_based on steps'!$B196:$AY196,'recurring2_based on steps'!$B$1:$AY$1,J$1)+SUMIFS('changes2_based on steps'!$B196:$U196,'changes2_based on steps'!$B$1:$U$1,J$1)</f>
        <v>0</v>
      </c>
      <c r="K196" s="179">
        <f>SUMIFS('recurring2_based on steps'!$B196:$AY196,'recurring2_based on steps'!$B$1:$AY$1,K$1)+SUMIFS('changes2_based on steps'!$B196:$U196,'changes2_based on steps'!$B$1:$U$1,K$1)</f>
        <v>0</v>
      </c>
      <c r="L196" s="179">
        <f>SUMIFS('recurring2_based on steps'!$B196:$AY196,'recurring2_based on steps'!$B$1:$AY$1,L$1)+SUMIFS('changes2_based on steps'!$B196:$U196,'changes2_based on steps'!$B$1:$U$1,L$1)</f>
        <v>0</v>
      </c>
      <c r="M196" s="179">
        <f>SUMIFS('recurring2_based on steps'!$B196:$AY196,'recurring2_based on steps'!$B$1:$AY$1,M$1)+SUMIFS('changes2_based on steps'!$B196:$U196,'changes2_based on steps'!$B$1:$U$1,M$1)</f>
        <v>0</v>
      </c>
      <c r="N196" s="179">
        <f>SUMIFS('recurring2_based on steps'!$B196:$AY196,'recurring2_based on steps'!$B$1:$AY$1,N$1)+SUMIFS('changes2_based on steps'!$B196:$U196,'changes2_based on steps'!$B$1:$U$1,N$1)</f>
        <v>0</v>
      </c>
      <c r="O196" s="179">
        <f>SUMIFS('recurring2_based on steps'!$B196:$AY196,'recurring2_based on steps'!$B$1:$AY$1,O$1)+SUMIFS('changes2_based on steps'!$B196:$U196,'changes2_based on steps'!$B$1:$U$1,O$1)</f>
        <v>0</v>
      </c>
      <c r="P196" s="179">
        <f>SUMIFS('recurring2_based on steps'!$B196:$AY196,'recurring2_based on steps'!$B$1:$AY$1,P$1)+SUMIFS('changes2_based on steps'!$B196:$U196,'changes2_based on steps'!$B$1:$U$1,P$1)</f>
        <v>0</v>
      </c>
      <c r="Q196" s="179">
        <f>SUMIFS('recurring2_based on steps'!$B196:$AY196,'recurring2_based on steps'!$B$1:$AY$1,Q$1)+SUMIFS('changes2_based on steps'!$B196:$U196,'changes2_based on steps'!$B$1:$U$1,Q$1)</f>
        <v>0</v>
      </c>
      <c r="R196" s="179">
        <f>SUMIFS('recurring2_based on steps'!$B196:$AY196,'recurring2_based on steps'!$B$1:$AY$1,R$1)+SUMIFS('changes2_based on steps'!$B196:$U196,'changes2_based on steps'!$B$1:$U$1,R$1)</f>
        <v>0</v>
      </c>
      <c r="S196" s="179">
        <f>SUMIFS('recurring2_based on steps'!$B196:$AY196,'recurring2_based on steps'!$B$1:$AY$1,S$1)+SUMIFS('changes2_based on steps'!$B196:$U196,'changes2_based on steps'!$B$1:$U$1,S$1)</f>
        <v>0</v>
      </c>
      <c r="T196" s="179">
        <f>SUMIFS('recurring2_based on steps'!$B196:$AY196,'recurring2_based on steps'!$B$1:$AY$1,T$1)+SUMIFS('changes2_based on steps'!$B196:$U196,'changes2_based on steps'!$B$1:$U$1,T$1)</f>
        <v>0</v>
      </c>
      <c r="U196" s="179">
        <f>SUMIFS('recurring2_based on steps'!$B196:$AY196,'recurring2_based on steps'!$B$1:$AY$1,U$1)+SUMIFS('changes2_based on steps'!$B196:$U196,'changes2_based on steps'!$B$1:$U$1,U$1)</f>
        <v>0</v>
      </c>
      <c r="V196" s="179">
        <f>SUMIFS('recurring2_based on steps'!$B196:$AY196,'recurring2_based on steps'!$B$1:$AY$1,V$1)+SUMIFS('changes2_based on steps'!$B196:$U196,'changes2_based on steps'!$B$1:$U$1,V$1)</f>
        <v>0</v>
      </c>
      <c r="W196" s="179">
        <f>SUMIFS('recurring2_based on steps'!$B196:$AY196,'recurring2_based on steps'!$B$1:$AY$1,W$1)+SUMIFS('changes2_based on steps'!$B196:$U196,'changes2_based on steps'!$B$1:$U$1,W$1)</f>
        <v>0</v>
      </c>
      <c r="X196" s="179">
        <f>SUMIFS('recurring2_based on steps'!$B196:$AY196,'recurring2_based on steps'!$B$1:$AY$1,X$1)+SUMIFS('changes2_based on steps'!$B196:$U196,'changes2_based on steps'!$B$1:$U$1,X$1)</f>
        <v>0</v>
      </c>
      <c r="Y196" s="179">
        <f>SUMIFS('recurring2_based on steps'!$B196:$AY196,'recurring2_based on steps'!$B$1:$AY$1,Y$1)+SUMIFS('changes2_based on steps'!$B196:$U196,'changes2_based on steps'!$B$1:$U$1,Y$1)</f>
        <v>0</v>
      </c>
      <c r="Z196" s="179">
        <f>SUMIFS('recurring2_based on steps'!$B196:$AY196,'recurring2_based on steps'!$B$1:$AY$1,Z$1)+SUMIFS('changes2_based on steps'!$B196:$U196,'changes2_based on steps'!$B$1:$U$1,Z$1)</f>
        <v>0</v>
      </c>
      <c r="AA196" s="179">
        <f>SUMIFS('recurring2_based on steps'!$B196:$AY196,'recurring2_based on steps'!$B$1:$AY$1,AA$1)+SUMIFS('changes2_based on steps'!$B196:$U196,'changes2_based on steps'!$B$1:$U$1,AA$1)</f>
        <v>0</v>
      </c>
      <c r="AB196" s="179">
        <f>SUMIFS('recurring2_based on steps'!$B196:$AY196,'recurring2_based on steps'!$B$1:$AY$1,AB$1)+SUMIFS('changes2_based on steps'!$B196:$U196,'changes2_based on steps'!$B$1:$U$1,AB$1)</f>
        <v>0</v>
      </c>
      <c r="AC196" s="179">
        <f>SUMIFS('recurring2_based on steps'!$B196:$AY196,'recurring2_based on steps'!$B$1:$AY$1,AC$1)+SUMIFS('changes2_based on steps'!$B196:$U196,'changes2_based on steps'!$B$1:$U$1,AC$1)</f>
        <v>0</v>
      </c>
      <c r="AD196" s="179">
        <f>SUMIFS('recurring2_based on steps'!$B196:$AY196,'recurring2_based on steps'!$B$1:$AY$1,AD$1)+SUMIFS('changes2_based on steps'!$B196:$U196,'changes2_based on steps'!$B$1:$U$1,AD$1)</f>
        <v>0</v>
      </c>
      <c r="AE196" s="179">
        <f>SUMIFS('recurring2_based on steps'!$B196:$AY196,'recurring2_based on steps'!$B$1:$AY$1,AE$1)+SUMIFS('changes2_based on steps'!$B196:$U196,'changes2_based on steps'!$B$1:$U$1,AE$1)</f>
        <v>0</v>
      </c>
      <c r="AF196" s="179"/>
      <c r="AG196" s="179"/>
      <c r="AH196" s="179"/>
      <c r="AI196" s="179"/>
      <c r="AJ196" s="179"/>
      <c r="AK196" s="179"/>
      <c r="AL196" s="179"/>
      <c r="AM196" s="179"/>
    </row>
    <row r="197" spans="1:39" x14ac:dyDescent="0.2">
      <c r="A197" s="32">
        <f t="shared" ref="A197:A260" ca="1" si="3">A196+1</f>
        <v>45946</v>
      </c>
      <c r="B197" s="179">
        <f>SUMIFS('recurring2_based on steps'!$B197:$AY197,'recurring2_based on steps'!$B$1:$AY$1,B$1)+SUMIFS('changes2_based on steps'!$B197:$U197,'changes2_based on steps'!$B$1:$U$1,B$1)</f>
        <v>0</v>
      </c>
      <c r="C197" s="179">
        <f>SUMIFS('recurring2_based on steps'!$B197:$AY197,'recurring2_based on steps'!$B$1:$AY$1,C$1)+SUMIFS('changes2_based on steps'!$B197:$U197,'changes2_based on steps'!$B$1:$U$1,C$1)</f>
        <v>0</v>
      </c>
      <c r="D197" s="179">
        <f>SUMIFS('recurring2_based on steps'!$B197:$AY197,'recurring2_based on steps'!$B$1:$AY$1,D$1)+SUMIFS('changes2_based on steps'!$B197:$U197,'changes2_based on steps'!$B$1:$U$1,D$1)</f>
        <v>0</v>
      </c>
      <c r="E197" s="179">
        <f>SUMIFS('recurring2_based on steps'!$B197:$AY197,'recurring2_based on steps'!$B$1:$AY$1,E$1)+SUMIFS('changes2_based on steps'!$B197:$U197,'changes2_based on steps'!$B$1:$U$1,E$1)</f>
        <v>0</v>
      </c>
      <c r="F197" s="179">
        <f>SUMIFS('recurring2_based on steps'!$B197:$AY197,'recurring2_based on steps'!$B$1:$AY$1,F$1)+SUMIFS('changes2_based on steps'!$B197:$U197,'changes2_based on steps'!$B$1:$U$1,F$1)</f>
        <v>0</v>
      </c>
      <c r="G197" s="179">
        <f>SUMIFS('recurring2_based on steps'!$B197:$AY197,'recurring2_based on steps'!$B$1:$AY$1,G$1)+SUMIFS('changes2_based on steps'!$B197:$U197,'changes2_based on steps'!$B$1:$U$1,G$1)</f>
        <v>0</v>
      </c>
      <c r="H197" s="179">
        <f>SUMIFS('recurring2_based on steps'!$B197:$AY197,'recurring2_based on steps'!$B$1:$AY$1,H$1)+SUMIFS('changes2_based on steps'!$B197:$U197,'changes2_based on steps'!$B$1:$U$1,H$1)</f>
        <v>0</v>
      </c>
      <c r="I197" s="179">
        <f>SUMIFS('recurring2_based on steps'!$B197:$AY197,'recurring2_based on steps'!$B$1:$AY$1,I$1)+SUMIFS('changes2_based on steps'!$B197:$U197,'changes2_based on steps'!$B$1:$U$1,I$1)</f>
        <v>0</v>
      </c>
      <c r="J197" s="179">
        <f>SUMIFS('recurring2_based on steps'!$B197:$AY197,'recurring2_based on steps'!$B$1:$AY$1,J$1)+SUMIFS('changes2_based on steps'!$B197:$U197,'changes2_based on steps'!$B$1:$U$1,J$1)</f>
        <v>0</v>
      </c>
      <c r="K197" s="179">
        <f>SUMIFS('recurring2_based on steps'!$B197:$AY197,'recurring2_based on steps'!$B$1:$AY$1,K$1)+SUMIFS('changes2_based on steps'!$B197:$U197,'changes2_based on steps'!$B$1:$U$1,K$1)</f>
        <v>0</v>
      </c>
      <c r="L197" s="179">
        <f>SUMIFS('recurring2_based on steps'!$B197:$AY197,'recurring2_based on steps'!$B$1:$AY$1,L$1)+SUMIFS('changes2_based on steps'!$B197:$U197,'changes2_based on steps'!$B$1:$U$1,L$1)</f>
        <v>0</v>
      </c>
      <c r="M197" s="179">
        <f>SUMIFS('recurring2_based on steps'!$B197:$AY197,'recurring2_based on steps'!$B$1:$AY$1,M$1)+SUMIFS('changes2_based on steps'!$B197:$U197,'changes2_based on steps'!$B$1:$U$1,M$1)</f>
        <v>0</v>
      </c>
      <c r="N197" s="179">
        <f>SUMIFS('recurring2_based on steps'!$B197:$AY197,'recurring2_based on steps'!$B$1:$AY$1,N$1)+SUMIFS('changes2_based on steps'!$B197:$U197,'changes2_based on steps'!$B$1:$U$1,N$1)</f>
        <v>0</v>
      </c>
      <c r="O197" s="179">
        <f>SUMIFS('recurring2_based on steps'!$B197:$AY197,'recurring2_based on steps'!$B$1:$AY$1,O$1)+SUMIFS('changes2_based on steps'!$B197:$U197,'changes2_based on steps'!$B$1:$U$1,O$1)</f>
        <v>0</v>
      </c>
      <c r="P197" s="179">
        <f>SUMIFS('recurring2_based on steps'!$B197:$AY197,'recurring2_based on steps'!$B$1:$AY$1,P$1)+SUMIFS('changes2_based on steps'!$B197:$U197,'changes2_based on steps'!$B$1:$U$1,P$1)</f>
        <v>0</v>
      </c>
      <c r="Q197" s="179">
        <f>SUMIFS('recurring2_based on steps'!$B197:$AY197,'recurring2_based on steps'!$B$1:$AY$1,Q$1)+SUMIFS('changes2_based on steps'!$B197:$U197,'changes2_based on steps'!$B$1:$U$1,Q$1)</f>
        <v>0</v>
      </c>
      <c r="R197" s="179">
        <f>SUMIFS('recurring2_based on steps'!$B197:$AY197,'recurring2_based on steps'!$B$1:$AY$1,R$1)+SUMIFS('changes2_based on steps'!$B197:$U197,'changes2_based on steps'!$B$1:$U$1,R$1)</f>
        <v>0</v>
      </c>
      <c r="S197" s="179">
        <f>SUMIFS('recurring2_based on steps'!$B197:$AY197,'recurring2_based on steps'!$B$1:$AY$1,S$1)+SUMIFS('changes2_based on steps'!$B197:$U197,'changes2_based on steps'!$B$1:$U$1,S$1)</f>
        <v>0</v>
      </c>
      <c r="T197" s="179">
        <f>SUMIFS('recurring2_based on steps'!$B197:$AY197,'recurring2_based on steps'!$B$1:$AY$1,T$1)+SUMIFS('changes2_based on steps'!$B197:$U197,'changes2_based on steps'!$B$1:$U$1,T$1)</f>
        <v>0</v>
      </c>
      <c r="U197" s="179">
        <f>SUMIFS('recurring2_based on steps'!$B197:$AY197,'recurring2_based on steps'!$B$1:$AY$1,U$1)+SUMIFS('changes2_based on steps'!$B197:$U197,'changes2_based on steps'!$B$1:$U$1,U$1)</f>
        <v>0</v>
      </c>
      <c r="V197" s="179">
        <f>SUMIFS('recurring2_based on steps'!$B197:$AY197,'recurring2_based on steps'!$B$1:$AY$1,V$1)+SUMIFS('changes2_based on steps'!$B197:$U197,'changes2_based on steps'!$B$1:$U$1,V$1)</f>
        <v>0</v>
      </c>
      <c r="W197" s="179">
        <f>SUMIFS('recurring2_based on steps'!$B197:$AY197,'recurring2_based on steps'!$B$1:$AY$1,W$1)+SUMIFS('changes2_based on steps'!$B197:$U197,'changes2_based on steps'!$B$1:$U$1,W$1)</f>
        <v>0</v>
      </c>
      <c r="X197" s="179">
        <f>SUMIFS('recurring2_based on steps'!$B197:$AY197,'recurring2_based on steps'!$B$1:$AY$1,X$1)+SUMIFS('changes2_based on steps'!$B197:$U197,'changes2_based on steps'!$B$1:$U$1,X$1)</f>
        <v>0</v>
      </c>
      <c r="Y197" s="179">
        <f>SUMIFS('recurring2_based on steps'!$B197:$AY197,'recurring2_based on steps'!$B$1:$AY$1,Y$1)+SUMIFS('changes2_based on steps'!$B197:$U197,'changes2_based on steps'!$B$1:$U$1,Y$1)</f>
        <v>0</v>
      </c>
      <c r="Z197" s="179">
        <f>SUMIFS('recurring2_based on steps'!$B197:$AY197,'recurring2_based on steps'!$B$1:$AY$1,Z$1)+SUMIFS('changes2_based on steps'!$B197:$U197,'changes2_based on steps'!$B$1:$U$1,Z$1)</f>
        <v>0</v>
      </c>
      <c r="AA197" s="179">
        <f>SUMIFS('recurring2_based on steps'!$B197:$AY197,'recurring2_based on steps'!$B$1:$AY$1,AA$1)+SUMIFS('changes2_based on steps'!$B197:$U197,'changes2_based on steps'!$B$1:$U$1,AA$1)</f>
        <v>0</v>
      </c>
      <c r="AB197" s="179">
        <f>SUMIFS('recurring2_based on steps'!$B197:$AY197,'recurring2_based on steps'!$B$1:$AY$1,AB$1)+SUMIFS('changes2_based on steps'!$B197:$U197,'changes2_based on steps'!$B$1:$U$1,AB$1)</f>
        <v>0</v>
      </c>
      <c r="AC197" s="179">
        <f>SUMIFS('recurring2_based on steps'!$B197:$AY197,'recurring2_based on steps'!$B$1:$AY$1,AC$1)+SUMIFS('changes2_based on steps'!$B197:$U197,'changes2_based on steps'!$B$1:$U$1,AC$1)</f>
        <v>0</v>
      </c>
      <c r="AD197" s="179">
        <f>SUMIFS('recurring2_based on steps'!$B197:$AY197,'recurring2_based on steps'!$B$1:$AY$1,AD$1)+SUMIFS('changes2_based on steps'!$B197:$U197,'changes2_based on steps'!$B$1:$U$1,AD$1)</f>
        <v>0</v>
      </c>
      <c r="AE197" s="179">
        <f>SUMIFS('recurring2_based on steps'!$B197:$AY197,'recurring2_based on steps'!$B$1:$AY$1,AE$1)+SUMIFS('changes2_based on steps'!$B197:$U197,'changes2_based on steps'!$B$1:$U$1,AE$1)</f>
        <v>0</v>
      </c>
      <c r="AF197" s="179"/>
      <c r="AG197" s="179"/>
      <c r="AH197" s="179"/>
      <c r="AI197" s="179"/>
      <c r="AJ197" s="179"/>
      <c r="AK197" s="179"/>
      <c r="AL197" s="179"/>
      <c r="AM197" s="179"/>
    </row>
    <row r="198" spans="1:39" x14ac:dyDescent="0.2">
      <c r="A198" s="32">
        <f t="shared" ca="1" si="3"/>
        <v>45947</v>
      </c>
      <c r="B198" s="179">
        <f>SUMIFS('recurring2_based on steps'!$B198:$AY198,'recurring2_based on steps'!$B$1:$AY$1,B$1)+SUMIFS('changes2_based on steps'!$B198:$U198,'changes2_based on steps'!$B$1:$U$1,B$1)</f>
        <v>0</v>
      </c>
      <c r="C198" s="179">
        <f>SUMIFS('recurring2_based on steps'!$B198:$AY198,'recurring2_based on steps'!$B$1:$AY$1,C$1)+SUMIFS('changes2_based on steps'!$B198:$U198,'changes2_based on steps'!$B$1:$U$1,C$1)</f>
        <v>0</v>
      </c>
      <c r="D198" s="179">
        <f>SUMIFS('recurring2_based on steps'!$B198:$AY198,'recurring2_based on steps'!$B$1:$AY$1,D$1)+SUMIFS('changes2_based on steps'!$B198:$U198,'changes2_based on steps'!$B$1:$U$1,D$1)</f>
        <v>0</v>
      </c>
      <c r="E198" s="179">
        <f>SUMIFS('recurring2_based on steps'!$B198:$AY198,'recurring2_based on steps'!$B$1:$AY$1,E$1)+SUMIFS('changes2_based on steps'!$B198:$U198,'changes2_based on steps'!$B$1:$U$1,E$1)</f>
        <v>0</v>
      </c>
      <c r="F198" s="179">
        <f>SUMIFS('recurring2_based on steps'!$B198:$AY198,'recurring2_based on steps'!$B$1:$AY$1,F$1)+SUMIFS('changes2_based on steps'!$B198:$U198,'changes2_based on steps'!$B$1:$U$1,F$1)</f>
        <v>0</v>
      </c>
      <c r="G198" s="179">
        <f>SUMIFS('recurring2_based on steps'!$B198:$AY198,'recurring2_based on steps'!$B$1:$AY$1,G$1)+SUMIFS('changes2_based on steps'!$B198:$U198,'changes2_based on steps'!$B$1:$U$1,G$1)</f>
        <v>0</v>
      </c>
      <c r="H198" s="179">
        <f>SUMIFS('recurring2_based on steps'!$B198:$AY198,'recurring2_based on steps'!$B$1:$AY$1,H$1)+SUMIFS('changes2_based on steps'!$B198:$U198,'changes2_based on steps'!$B$1:$U$1,H$1)</f>
        <v>0</v>
      </c>
      <c r="I198" s="179">
        <f>SUMIFS('recurring2_based on steps'!$B198:$AY198,'recurring2_based on steps'!$B$1:$AY$1,I$1)+SUMIFS('changes2_based on steps'!$B198:$U198,'changes2_based on steps'!$B$1:$U$1,I$1)</f>
        <v>0</v>
      </c>
      <c r="J198" s="179">
        <f>SUMIFS('recurring2_based on steps'!$B198:$AY198,'recurring2_based on steps'!$B$1:$AY$1,J$1)+SUMIFS('changes2_based on steps'!$B198:$U198,'changes2_based on steps'!$B$1:$U$1,J$1)</f>
        <v>0</v>
      </c>
      <c r="K198" s="179">
        <f>SUMIFS('recurring2_based on steps'!$B198:$AY198,'recurring2_based on steps'!$B$1:$AY$1,K$1)+SUMIFS('changes2_based on steps'!$B198:$U198,'changes2_based on steps'!$B$1:$U$1,K$1)</f>
        <v>0</v>
      </c>
      <c r="L198" s="179">
        <f>SUMIFS('recurring2_based on steps'!$B198:$AY198,'recurring2_based on steps'!$B$1:$AY$1,L$1)+SUMIFS('changes2_based on steps'!$B198:$U198,'changes2_based on steps'!$B$1:$U$1,L$1)</f>
        <v>0</v>
      </c>
      <c r="M198" s="179">
        <f>SUMIFS('recurring2_based on steps'!$B198:$AY198,'recurring2_based on steps'!$B$1:$AY$1,M$1)+SUMIFS('changes2_based on steps'!$B198:$U198,'changes2_based on steps'!$B$1:$U$1,M$1)</f>
        <v>0</v>
      </c>
      <c r="N198" s="179">
        <f>SUMIFS('recurring2_based on steps'!$B198:$AY198,'recurring2_based on steps'!$B$1:$AY$1,N$1)+SUMIFS('changes2_based on steps'!$B198:$U198,'changes2_based on steps'!$B$1:$U$1,N$1)</f>
        <v>0</v>
      </c>
      <c r="O198" s="179">
        <f>SUMIFS('recurring2_based on steps'!$B198:$AY198,'recurring2_based on steps'!$B$1:$AY$1,O$1)+SUMIFS('changes2_based on steps'!$B198:$U198,'changes2_based on steps'!$B$1:$U$1,O$1)</f>
        <v>0</v>
      </c>
      <c r="P198" s="179">
        <f>SUMIFS('recurring2_based on steps'!$B198:$AY198,'recurring2_based on steps'!$B$1:$AY$1,P$1)+SUMIFS('changes2_based on steps'!$B198:$U198,'changes2_based on steps'!$B$1:$U$1,P$1)</f>
        <v>0</v>
      </c>
      <c r="Q198" s="179">
        <f>SUMIFS('recurring2_based on steps'!$B198:$AY198,'recurring2_based on steps'!$B$1:$AY$1,Q$1)+SUMIFS('changes2_based on steps'!$B198:$U198,'changes2_based on steps'!$B$1:$U$1,Q$1)</f>
        <v>0</v>
      </c>
      <c r="R198" s="179">
        <f>SUMIFS('recurring2_based on steps'!$B198:$AY198,'recurring2_based on steps'!$B$1:$AY$1,R$1)+SUMIFS('changes2_based on steps'!$B198:$U198,'changes2_based on steps'!$B$1:$U$1,R$1)</f>
        <v>0</v>
      </c>
      <c r="S198" s="179">
        <f>SUMIFS('recurring2_based on steps'!$B198:$AY198,'recurring2_based on steps'!$B$1:$AY$1,S$1)+SUMIFS('changes2_based on steps'!$B198:$U198,'changes2_based on steps'!$B$1:$U$1,S$1)</f>
        <v>0</v>
      </c>
      <c r="T198" s="179">
        <f>SUMIFS('recurring2_based on steps'!$B198:$AY198,'recurring2_based on steps'!$B$1:$AY$1,T$1)+SUMIFS('changes2_based on steps'!$B198:$U198,'changes2_based on steps'!$B$1:$U$1,T$1)</f>
        <v>0</v>
      </c>
      <c r="U198" s="179">
        <f>SUMIFS('recurring2_based on steps'!$B198:$AY198,'recurring2_based on steps'!$B$1:$AY$1,U$1)+SUMIFS('changes2_based on steps'!$B198:$U198,'changes2_based on steps'!$B$1:$U$1,U$1)</f>
        <v>0</v>
      </c>
      <c r="V198" s="179">
        <f>SUMIFS('recurring2_based on steps'!$B198:$AY198,'recurring2_based on steps'!$B$1:$AY$1,V$1)+SUMIFS('changes2_based on steps'!$B198:$U198,'changes2_based on steps'!$B$1:$U$1,V$1)</f>
        <v>0</v>
      </c>
      <c r="W198" s="179">
        <f>SUMIFS('recurring2_based on steps'!$B198:$AY198,'recurring2_based on steps'!$B$1:$AY$1,W$1)+SUMIFS('changes2_based on steps'!$B198:$U198,'changes2_based on steps'!$B$1:$U$1,W$1)</f>
        <v>0</v>
      </c>
      <c r="X198" s="179">
        <f>SUMIFS('recurring2_based on steps'!$B198:$AY198,'recurring2_based on steps'!$B$1:$AY$1,X$1)+SUMIFS('changes2_based on steps'!$B198:$U198,'changes2_based on steps'!$B$1:$U$1,X$1)</f>
        <v>0</v>
      </c>
      <c r="Y198" s="179">
        <f>SUMIFS('recurring2_based on steps'!$B198:$AY198,'recurring2_based on steps'!$B$1:$AY$1,Y$1)+SUMIFS('changes2_based on steps'!$B198:$U198,'changes2_based on steps'!$B$1:$U$1,Y$1)</f>
        <v>0</v>
      </c>
      <c r="Z198" s="179">
        <f>SUMIFS('recurring2_based on steps'!$B198:$AY198,'recurring2_based on steps'!$B$1:$AY$1,Z$1)+SUMIFS('changes2_based on steps'!$B198:$U198,'changes2_based on steps'!$B$1:$U$1,Z$1)</f>
        <v>0</v>
      </c>
      <c r="AA198" s="179">
        <f>SUMIFS('recurring2_based on steps'!$B198:$AY198,'recurring2_based on steps'!$B$1:$AY$1,AA$1)+SUMIFS('changes2_based on steps'!$B198:$U198,'changes2_based on steps'!$B$1:$U$1,AA$1)</f>
        <v>0</v>
      </c>
      <c r="AB198" s="179">
        <f>SUMIFS('recurring2_based on steps'!$B198:$AY198,'recurring2_based on steps'!$B$1:$AY$1,AB$1)+SUMIFS('changes2_based on steps'!$B198:$U198,'changes2_based on steps'!$B$1:$U$1,AB$1)</f>
        <v>0</v>
      </c>
      <c r="AC198" s="179">
        <f>SUMIFS('recurring2_based on steps'!$B198:$AY198,'recurring2_based on steps'!$B$1:$AY$1,AC$1)+SUMIFS('changes2_based on steps'!$B198:$U198,'changes2_based on steps'!$B$1:$U$1,AC$1)</f>
        <v>0</v>
      </c>
      <c r="AD198" s="179">
        <f>SUMIFS('recurring2_based on steps'!$B198:$AY198,'recurring2_based on steps'!$B$1:$AY$1,AD$1)+SUMIFS('changes2_based on steps'!$B198:$U198,'changes2_based on steps'!$B$1:$U$1,AD$1)</f>
        <v>0</v>
      </c>
      <c r="AE198" s="179">
        <f>SUMIFS('recurring2_based on steps'!$B198:$AY198,'recurring2_based on steps'!$B$1:$AY$1,AE$1)+SUMIFS('changes2_based on steps'!$B198:$U198,'changes2_based on steps'!$B$1:$U$1,AE$1)</f>
        <v>0</v>
      </c>
      <c r="AF198" s="179"/>
      <c r="AG198" s="179"/>
      <c r="AH198" s="179"/>
      <c r="AI198" s="179"/>
      <c r="AJ198" s="179"/>
      <c r="AK198" s="179"/>
      <c r="AL198" s="179"/>
      <c r="AM198" s="179"/>
    </row>
    <row r="199" spans="1:39" x14ac:dyDescent="0.2">
      <c r="A199" s="32">
        <f t="shared" ca="1" si="3"/>
        <v>45948</v>
      </c>
      <c r="B199" s="179">
        <f>SUMIFS('recurring2_based on steps'!$B199:$AY199,'recurring2_based on steps'!$B$1:$AY$1,B$1)+SUMIFS('changes2_based on steps'!$B199:$U199,'changes2_based on steps'!$B$1:$U$1,B$1)</f>
        <v>0</v>
      </c>
      <c r="C199" s="179">
        <f>SUMIFS('recurring2_based on steps'!$B199:$AY199,'recurring2_based on steps'!$B$1:$AY$1,C$1)+SUMIFS('changes2_based on steps'!$B199:$U199,'changes2_based on steps'!$B$1:$U$1,C$1)</f>
        <v>0</v>
      </c>
      <c r="D199" s="179">
        <f>SUMIFS('recurring2_based on steps'!$B199:$AY199,'recurring2_based on steps'!$B$1:$AY$1,D$1)+SUMIFS('changes2_based on steps'!$B199:$U199,'changes2_based on steps'!$B$1:$U$1,D$1)</f>
        <v>0</v>
      </c>
      <c r="E199" s="179">
        <f>SUMIFS('recurring2_based on steps'!$B199:$AY199,'recurring2_based on steps'!$B$1:$AY$1,E$1)+SUMIFS('changes2_based on steps'!$B199:$U199,'changes2_based on steps'!$B$1:$U$1,E$1)</f>
        <v>0</v>
      </c>
      <c r="F199" s="179">
        <f>SUMIFS('recurring2_based on steps'!$B199:$AY199,'recurring2_based on steps'!$B$1:$AY$1,F$1)+SUMIFS('changes2_based on steps'!$B199:$U199,'changes2_based on steps'!$B$1:$U$1,F$1)</f>
        <v>0</v>
      </c>
      <c r="G199" s="179">
        <f>SUMIFS('recurring2_based on steps'!$B199:$AY199,'recurring2_based on steps'!$B$1:$AY$1,G$1)+SUMIFS('changes2_based on steps'!$B199:$U199,'changes2_based on steps'!$B$1:$U$1,G$1)</f>
        <v>0</v>
      </c>
      <c r="H199" s="179">
        <f>SUMIFS('recurring2_based on steps'!$B199:$AY199,'recurring2_based on steps'!$B$1:$AY$1,H$1)+SUMIFS('changes2_based on steps'!$B199:$U199,'changes2_based on steps'!$B$1:$U$1,H$1)</f>
        <v>0</v>
      </c>
      <c r="I199" s="179">
        <f>SUMIFS('recurring2_based on steps'!$B199:$AY199,'recurring2_based on steps'!$B$1:$AY$1,I$1)+SUMIFS('changes2_based on steps'!$B199:$U199,'changes2_based on steps'!$B$1:$U$1,I$1)</f>
        <v>0</v>
      </c>
      <c r="J199" s="179">
        <f>SUMIFS('recurring2_based on steps'!$B199:$AY199,'recurring2_based on steps'!$B$1:$AY$1,J$1)+SUMIFS('changes2_based on steps'!$B199:$U199,'changes2_based on steps'!$B$1:$U$1,J$1)</f>
        <v>0</v>
      </c>
      <c r="K199" s="179">
        <f>SUMIFS('recurring2_based on steps'!$B199:$AY199,'recurring2_based on steps'!$B$1:$AY$1,K$1)+SUMIFS('changes2_based on steps'!$B199:$U199,'changes2_based on steps'!$B$1:$U$1,K$1)</f>
        <v>0</v>
      </c>
      <c r="L199" s="179">
        <f>SUMIFS('recurring2_based on steps'!$B199:$AY199,'recurring2_based on steps'!$B$1:$AY$1,L$1)+SUMIFS('changes2_based on steps'!$B199:$U199,'changes2_based on steps'!$B$1:$U$1,L$1)</f>
        <v>0</v>
      </c>
      <c r="M199" s="179">
        <f>SUMIFS('recurring2_based on steps'!$B199:$AY199,'recurring2_based on steps'!$B$1:$AY$1,M$1)+SUMIFS('changes2_based on steps'!$B199:$U199,'changes2_based on steps'!$B$1:$U$1,M$1)</f>
        <v>0</v>
      </c>
      <c r="N199" s="179">
        <f>SUMIFS('recurring2_based on steps'!$B199:$AY199,'recurring2_based on steps'!$B$1:$AY$1,N$1)+SUMIFS('changes2_based on steps'!$B199:$U199,'changes2_based on steps'!$B$1:$U$1,N$1)</f>
        <v>0</v>
      </c>
      <c r="O199" s="179">
        <f>SUMIFS('recurring2_based on steps'!$B199:$AY199,'recurring2_based on steps'!$B$1:$AY$1,O$1)+SUMIFS('changes2_based on steps'!$B199:$U199,'changes2_based on steps'!$B$1:$U$1,O$1)</f>
        <v>0</v>
      </c>
      <c r="P199" s="179">
        <f>SUMIFS('recurring2_based on steps'!$B199:$AY199,'recurring2_based on steps'!$B$1:$AY$1,P$1)+SUMIFS('changes2_based on steps'!$B199:$U199,'changes2_based on steps'!$B$1:$U$1,P$1)</f>
        <v>0</v>
      </c>
      <c r="Q199" s="179">
        <f>SUMIFS('recurring2_based on steps'!$B199:$AY199,'recurring2_based on steps'!$B$1:$AY$1,Q$1)+SUMIFS('changes2_based on steps'!$B199:$U199,'changes2_based on steps'!$B$1:$U$1,Q$1)</f>
        <v>0</v>
      </c>
      <c r="R199" s="179">
        <f>SUMIFS('recurring2_based on steps'!$B199:$AY199,'recurring2_based on steps'!$B$1:$AY$1,R$1)+SUMIFS('changes2_based on steps'!$B199:$U199,'changes2_based on steps'!$B$1:$U$1,R$1)</f>
        <v>0</v>
      </c>
      <c r="S199" s="179">
        <f>SUMIFS('recurring2_based on steps'!$B199:$AY199,'recurring2_based on steps'!$B$1:$AY$1,S$1)+SUMIFS('changes2_based on steps'!$B199:$U199,'changes2_based on steps'!$B$1:$U$1,S$1)</f>
        <v>0</v>
      </c>
      <c r="T199" s="179">
        <f>SUMIFS('recurring2_based on steps'!$B199:$AY199,'recurring2_based on steps'!$B$1:$AY$1,T$1)+SUMIFS('changes2_based on steps'!$B199:$U199,'changes2_based on steps'!$B$1:$U$1,T$1)</f>
        <v>0</v>
      </c>
      <c r="U199" s="179">
        <f>SUMIFS('recurring2_based on steps'!$B199:$AY199,'recurring2_based on steps'!$B$1:$AY$1,U$1)+SUMIFS('changes2_based on steps'!$B199:$U199,'changes2_based on steps'!$B$1:$U$1,U$1)</f>
        <v>0</v>
      </c>
      <c r="V199" s="179">
        <f>SUMIFS('recurring2_based on steps'!$B199:$AY199,'recurring2_based on steps'!$B$1:$AY$1,V$1)+SUMIFS('changes2_based on steps'!$B199:$U199,'changes2_based on steps'!$B$1:$U$1,V$1)</f>
        <v>0</v>
      </c>
      <c r="W199" s="179">
        <f>SUMIFS('recurring2_based on steps'!$B199:$AY199,'recurring2_based on steps'!$B$1:$AY$1,W$1)+SUMIFS('changes2_based on steps'!$B199:$U199,'changes2_based on steps'!$B$1:$U$1,W$1)</f>
        <v>0</v>
      </c>
      <c r="X199" s="179">
        <f>SUMIFS('recurring2_based on steps'!$B199:$AY199,'recurring2_based on steps'!$B$1:$AY$1,X$1)+SUMIFS('changes2_based on steps'!$B199:$U199,'changes2_based on steps'!$B$1:$U$1,X$1)</f>
        <v>0</v>
      </c>
      <c r="Y199" s="179">
        <f>SUMIFS('recurring2_based on steps'!$B199:$AY199,'recurring2_based on steps'!$B$1:$AY$1,Y$1)+SUMIFS('changes2_based on steps'!$B199:$U199,'changes2_based on steps'!$B$1:$U$1,Y$1)</f>
        <v>0</v>
      </c>
      <c r="Z199" s="179">
        <f>SUMIFS('recurring2_based on steps'!$B199:$AY199,'recurring2_based on steps'!$B$1:$AY$1,Z$1)+SUMIFS('changes2_based on steps'!$B199:$U199,'changes2_based on steps'!$B$1:$U$1,Z$1)</f>
        <v>0</v>
      </c>
      <c r="AA199" s="179">
        <f>SUMIFS('recurring2_based on steps'!$B199:$AY199,'recurring2_based on steps'!$B$1:$AY$1,AA$1)+SUMIFS('changes2_based on steps'!$B199:$U199,'changes2_based on steps'!$B$1:$U$1,AA$1)</f>
        <v>0</v>
      </c>
      <c r="AB199" s="179">
        <f>SUMIFS('recurring2_based on steps'!$B199:$AY199,'recurring2_based on steps'!$B$1:$AY$1,AB$1)+SUMIFS('changes2_based on steps'!$B199:$U199,'changes2_based on steps'!$B$1:$U$1,AB$1)</f>
        <v>0</v>
      </c>
      <c r="AC199" s="179">
        <f>SUMIFS('recurring2_based on steps'!$B199:$AY199,'recurring2_based on steps'!$B$1:$AY$1,AC$1)+SUMIFS('changes2_based on steps'!$B199:$U199,'changes2_based on steps'!$B$1:$U$1,AC$1)</f>
        <v>0</v>
      </c>
      <c r="AD199" s="179">
        <f>SUMIFS('recurring2_based on steps'!$B199:$AY199,'recurring2_based on steps'!$B$1:$AY$1,AD$1)+SUMIFS('changes2_based on steps'!$B199:$U199,'changes2_based on steps'!$B$1:$U$1,AD$1)</f>
        <v>0</v>
      </c>
      <c r="AE199" s="179">
        <f>SUMIFS('recurring2_based on steps'!$B199:$AY199,'recurring2_based on steps'!$B$1:$AY$1,AE$1)+SUMIFS('changes2_based on steps'!$B199:$U199,'changes2_based on steps'!$B$1:$U$1,AE$1)</f>
        <v>0</v>
      </c>
      <c r="AF199" s="179"/>
      <c r="AG199" s="179"/>
      <c r="AH199" s="179"/>
      <c r="AI199" s="179"/>
      <c r="AJ199" s="179"/>
      <c r="AK199" s="179"/>
      <c r="AL199" s="179"/>
      <c r="AM199" s="179"/>
    </row>
    <row r="200" spans="1:39" x14ac:dyDescent="0.2">
      <c r="A200" s="32">
        <f t="shared" ca="1" si="3"/>
        <v>45949</v>
      </c>
      <c r="B200" s="179">
        <f>SUMIFS('recurring2_based on steps'!$B200:$AY200,'recurring2_based on steps'!$B$1:$AY$1,B$1)+SUMIFS('changes2_based on steps'!$B200:$U200,'changes2_based on steps'!$B$1:$U$1,B$1)</f>
        <v>0</v>
      </c>
      <c r="C200" s="179">
        <f>SUMIFS('recurring2_based on steps'!$B200:$AY200,'recurring2_based on steps'!$B$1:$AY$1,C$1)+SUMIFS('changes2_based on steps'!$B200:$U200,'changes2_based on steps'!$B$1:$U$1,C$1)</f>
        <v>0</v>
      </c>
      <c r="D200" s="179">
        <f>SUMIFS('recurring2_based on steps'!$B200:$AY200,'recurring2_based on steps'!$B$1:$AY$1,D$1)+SUMIFS('changes2_based on steps'!$B200:$U200,'changes2_based on steps'!$B$1:$U$1,D$1)</f>
        <v>0</v>
      </c>
      <c r="E200" s="179">
        <f>SUMIFS('recurring2_based on steps'!$B200:$AY200,'recurring2_based on steps'!$B$1:$AY$1,E$1)+SUMIFS('changes2_based on steps'!$B200:$U200,'changes2_based on steps'!$B$1:$U$1,E$1)</f>
        <v>0</v>
      </c>
      <c r="F200" s="179">
        <f>SUMIFS('recurring2_based on steps'!$B200:$AY200,'recurring2_based on steps'!$B$1:$AY$1,F$1)+SUMIFS('changes2_based on steps'!$B200:$U200,'changes2_based on steps'!$B$1:$U$1,F$1)</f>
        <v>0</v>
      </c>
      <c r="G200" s="179">
        <f>SUMIFS('recurring2_based on steps'!$B200:$AY200,'recurring2_based on steps'!$B$1:$AY$1,G$1)+SUMIFS('changes2_based on steps'!$B200:$U200,'changes2_based on steps'!$B$1:$U$1,G$1)</f>
        <v>0</v>
      </c>
      <c r="H200" s="179">
        <f>SUMIFS('recurring2_based on steps'!$B200:$AY200,'recurring2_based on steps'!$B$1:$AY$1,H$1)+SUMIFS('changes2_based on steps'!$B200:$U200,'changes2_based on steps'!$B$1:$U$1,H$1)</f>
        <v>0</v>
      </c>
      <c r="I200" s="179">
        <f>SUMIFS('recurring2_based on steps'!$B200:$AY200,'recurring2_based on steps'!$B$1:$AY$1,I$1)+SUMIFS('changes2_based on steps'!$B200:$U200,'changes2_based on steps'!$B$1:$U$1,I$1)</f>
        <v>0</v>
      </c>
      <c r="J200" s="179">
        <f>SUMIFS('recurring2_based on steps'!$B200:$AY200,'recurring2_based on steps'!$B$1:$AY$1,J$1)+SUMIFS('changes2_based on steps'!$B200:$U200,'changes2_based on steps'!$B$1:$U$1,J$1)</f>
        <v>0</v>
      </c>
      <c r="K200" s="179">
        <f>SUMIFS('recurring2_based on steps'!$B200:$AY200,'recurring2_based on steps'!$B$1:$AY$1,K$1)+SUMIFS('changes2_based on steps'!$B200:$U200,'changes2_based on steps'!$B$1:$U$1,K$1)</f>
        <v>0</v>
      </c>
      <c r="L200" s="179">
        <f>SUMIFS('recurring2_based on steps'!$B200:$AY200,'recurring2_based on steps'!$B$1:$AY$1,L$1)+SUMIFS('changes2_based on steps'!$B200:$U200,'changes2_based on steps'!$B$1:$U$1,L$1)</f>
        <v>0</v>
      </c>
      <c r="M200" s="179">
        <f>SUMIFS('recurring2_based on steps'!$B200:$AY200,'recurring2_based on steps'!$B$1:$AY$1,M$1)+SUMIFS('changes2_based on steps'!$B200:$U200,'changes2_based on steps'!$B$1:$U$1,M$1)</f>
        <v>0</v>
      </c>
      <c r="N200" s="179">
        <f>SUMIFS('recurring2_based on steps'!$B200:$AY200,'recurring2_based on steps'!$B$1:$AY$1,N$1)+SUMIFS('changes2_based on steps'!$B200:$U200,'changes2_based on steps'!$B$1:$U$1,N$1)</f>
        <v>0</v>
      </c>
      <c r="O200" s="179">
        <f>SUMIFS('recurring2_based on steps'!$B200:$AY200,'recurring2_based on steps'!$B$1:$AY$1,O$1)+SUMIFS('changes2_based on steps'!$B200:$U200,'changes2_based on steps'!$B$1:$U$1,O$1)</f>
        <v>0</v>
      </c>
      <c r="P200" s="179">
        <f>SUMIFS('recurring2_based on steps'!$B200:$AY200,'recurring2_based on steps'!$B$1:$AY$1,P$1)+SUMIFS('changes2_based on steps'!$B200:$U200,'changes2_based on steps'!$B$1:$U$1,P$1)</f>
        <v>0</v>
      </c>
      <c r="Q200" s="179">
        <f>SUMIFS('recurring2_based on steps'!$B200:$AY200,'recurring2_based on steps'!$B$1:$AY$1,Q$1)+SUMIFS('changes2_based on steps'!$B200:$U200,'changes2_based on steps'!$B$1:$U$1,Q$1)</f>
        <v>0</v>
      </c>
      <c r="R200" s="179">
        <f>SUMIFS('recurring2_based on steps'!$B200:$AY200,'recurring2_based on steps'!$B$1:$AY$1,R$1)+SUMIFS('changes2_based on steps'!$B200:$U200,'changes2_based on steps'!$B$1:$U$1,R$1)</f>
        <v>0</v>
      </c>
      <c r="S200" s="179">
        <f>SUMIFS('recurring2_based on steps'!$B200:$AY200,'recurring2_based on steps'!$B$1:$AY$1,S$1)+SUMIFS('changes2_based on steps'!$B200:$U200,'changes2_based on steps'!$B$1:$U$1,S$1)</f>
        <v>0</v>
      </c>
      <c r="T200" s="179">
        <f>SUMIFS('recurring2_based on steps'!$B200:$AY200,'recurring2_based on steps'!$B$1:$AY$1,T$1)+SUMIFS('changes2_based on steps'!$B200:$U200,'changes2_based on steps'!$B$1:$U$1,T$1)</f>
        <v>0</v>
      </c>
      <c r="U200" s="179">
        <f>SUMIFS('recurring2_based on steps'!$B200:$AY200,'recurring2_based on steps'!$B$1:$AY$1,U$1)+SUMIFS('changes2_based on steps'!$B200:$U200,'changes2_based on steps'!$B$1:$U$1,U$1)</f>
        <v>0</v>
      </c>
      <c r="V200" s="179">
        <f>SUMIFS('recurring2_based on steps'!$B200:$AY200,'recurring2_based on steps'!$B$1:$AY$1,V$1)+SUMIFS('changes2_based on steps'!$B200:$U200,'changes2_based on steps'!$B$1:$U$1,V$1)</f>
        <v>0</v>
      </c>
      <c r="W200" s="179">
        <f>SUMIFS('recurring2_based on steps'!$B200:$AY200,'recurring2_based on steps'!$B$1:$AY$1,W$1)+SUMIFS('changes2_based on steps'!$B200:$U200,'changes2_based on steps'!$B$1:$U$1,W$1)</f>
        <v>0</v>
      </c>
      <c r="X200" s="179">
        <f>SUMIFS('recurring2_based on steps'!$B200:$AY200,'recurring2_based on steps'!$B$1:$AY$1,X$1)+SUMIFS('changes2_based on steps'!$B200:$U200,'changes2_based on steps'!$B$1:$U$1,X$1)</f>
        <v>0</v>
      </c>
      <c r="Y200" s="179">
        <f>SUMIFS('recurring2_based on steps'!$B200:$AY200,'recurring2_based on steps'!$B$1:$AY$1,Y$1)+SUMIFS('changes2_based on steps'!$B200:$U200,'changes2_based on steps'!$B$1:$U$1,Y$1)</f>
        <v>0</v>
      </c>
      <c r="Z200" s="179">
        <f>SUMIFS('recurring2_based on steps'!$B200:$AY200,'recurring2_based on steps'!$B$1:$AY$1,Z$1)+SUMIFS('changes2_based on steps'!$B200:$U200,'changes2_based on steps'!$B$1:$U$1,Z$1)</f>
        <v>0</v>
      </c>
      <c r="AA200" s="179">
        <f>SUMIFS('recurring2_based on steps'!$B200:$AY200,'recurring2_based on steps'!$B$1:$AY$1,AA$1)+SUMIFS('changes2_based on steps'!$B200:$U200,'changes2_based on steps'!$B$1:$U$1,AA$1)</f>
        <v>0</v>
      </c>
      <c r="AB200" s="179">
        <f>SUMIFS('recurring2_based on steps'!$B200:$AY200,'recurring2_based on steps'!$B$1:$AY$1,AB$1)+SUMIFS('changes2_based on steps'!$B200:$U200,'changes2_based on steps'!$B$1:$U$1,AB$1)</f>
        <v>0</v>
      </c>
      <c r="AC200" s="179">
        <f>SUMIFS('recurring2_based on steps'!$B200:$AY200,'recurring2_based on steps'!$B$1:$AY$1,AC$1)+SUMIFS('changes2_based on steps'!$B200:$U200,'changes2_based on steps'!$B$1:$U$1,AC$1)</f>
        <v>0</v>
      </c>
      <c r="AD200" s="179">
        <f>SUMIFS('recurring2_based on steps'!$B200:$AY200,'recurring2_based on steps'!$B$1:$AY$1,AD$1)+SUMIFS('changes2_based on steps'!$B200:$U200,'changes2_based on steps'!$B$1:$U$1,AD$1)</f>
        <v>0</v>
      </c>
      <c r="AE200" s="179">
        <f>SUMIFS('recurring2_based on steps'!$B200:$AY200,'recurring2_based on steps'!$B$1:$AY$1,AE$1)+SUMIFS('changes2_based on steps'!$B200:$U200,'changes2_based on steps'!$B$1:$U$1,AE$1)</f>
        <v>0</v>
      </c>
      <c r="AF200" s="179"/>
      <c r="AG200" s="179"/>
      <c r="AH200" s="179"/>
      <c r="AI200" s="179"/>
      <c r="AJ200" s="179"/>
      <c r="AK200" s="179"/>
      <c r="AL200" s="179"/>
      <c r="AM200" s="179"/>
    </row>
    <row r="201" spans="1:39" x14ac:dyDescent="0.2">
      <c r="A201" s="32">
        <f t="shared" ca="1" si="3"/>
        <v>45950</v>
      </c>
      <c r="B201" s="179">
        <f>SUMIFS('recurring2_based on steps'!$B201:$AY201,'recurring2_based on steps'!$B$1:$AY$1,B$1)+SUMIFS('changes2_based on steps'!$B201:$U201,'changes2_based on steps'!$B$1:$U$1,B$1)</f>
        <v>0</v>
      </c>
      <c r="C201" s="179">
        <f>SUMIFS('recurring2_based on steps'!$B201:$AY201,'recurring2_based on steps'!$B$1:$AY$1,C$1)+SUMIFS('changes2_based on steps'!$B201:$U201,'changes2_based on steps'!$B$1:$U$1,C$1)</f>
        <v>0</v>
      </c>
      <c r="D201" s="179">
        <f>SUMIFS('recurring2_based on steps'!$B201:$AY201,'recurring2_based on steps'!$B$1:$AY$1,D$1)+SUMIFS('changes2_based on steps'!$B201:$U201,'changes2_based on steps'!$B$1:$U$1,D$1)</f>
        <v>0</v>
      </c>
      <c r="E201" s="179">
        <f>SUMIFS('recurring2_based on steps'!$B201:$AY201,'recurring2_based on steps'!$B$1:$AY$1,E$1)+SUMIFS('changes2_based on steps'!$B201:$U201,'changes2_based on steps'!$B$1:$U$1,E$1)</f>
        <v>0</v>
      </c>
      <c r="F201" s="179">
        <f>SUMIFS('recurring2_based on steps'!$B201:$AY201,'recurring2_based on steps'!$B$1:$AY$1,F$1)+SUMIFS('changes2_based on steps'!$B201:$U201,'changes2_based on steps'!$B$1:$U$1,F$1)</f>
        <v>0</v>
      </c>
      <c r="G201" s="179">
        <f>SUMIFS('recurring2_based on steps'!$B201:$AY201,'recurring2_based on steps'!$B$1:$AY$1,G$1)+SUMIFS('changes2_based on steps'!$B201:$U201,'changes2_based on steps'!$B$1:$U$1,G$1)</f>
        <v>0</v>
      </c>
      <c r="H201" s="179">
        <f>SUMIFS('recurring2_based on steps'!$B201:$AY201,'recurring2_based on steps'!$B$1:$AY$1,H$1)+SUMIFS('changes2_based on steps'!$B201:$U201,'changes2_based on steps'!$B$1:$U$1,H$1)</f>
        <v>0</v>
      </c>
      <c r="I201" s="179">
        <f>SUMIFS('recurring2_based on steps'!$B201:$AY201,'recurring2_based on steps'!$B$1:$AY$1,I$1)+SUMIFS('changes2_based on steps'!$B201:$U201,'changes2_based on steps'!$B$1:$U$1,I$1)</f>
        <v>0</v>
      </c>
      <c r="J201" s="179">
        <f>SUMIFS('recurring2_based on steps'!$B201:$AY201,'recurring2_based on steps'!$B$1:$AY$1,J$1)+SUMIFS('changes2_based on steps'!$B201:$U201,'changes2_based on steps'!$B$1:$U$1,J$1)</f>
        <v>0</v>
      </c>
      <c r="K201" s="179">
        <f>SUMIFS('recurring2_based on steps'!$B201:$AY201,'recurring2_based on steps'!$B$1:$AY$1,K$1)+SUMIFS('changes2_based on steps'!$B201:$U201,'changes2_based on steps'!$B$1:$U$1,K$1)</f>
        <v>0</v>
      </c>
      <c r="L201" s="179">
        <f>SUMIFS('recurring2_based on steps'!$B201:$AY201,'recurring2_based on steps'!$B$1:$AY$1,L$1)+SUMIFS('changes2_based on steps'!$B201:$U201,'changes2_based on steps'!$B$1:$U$1,L$1)</f>
        <v>0</v>
      </c>
      <c r="M201" s="179">
        <f>SUMIFS('recurring2_based on steps'!$B201:$AY201,'recurring2_based on steps'!$B$1:$AY$1,M$1)+SUMIFS('changes2_based on steps'!$B201:$U201,'changes2_based on steps'!$B$1:$U$1,M$1)</f>
        <v>0</v>
      </c>
      <c r="N201" s="179">
        <f>SUMIFS('recurring2_based on steps'!$B201:$AY201,'recurring2_based on steps'!$B$1:$AY$1,N$1)+SUMIFS('changes2_based on steps'!$B201:$U201,'changes2_based on steps'!$B$1:$U$1,N$1)</f>
        <v>0</v>
      </c>
      <c r="O201" s="179">
        <f>SUMIFS('recurring2_based on steps'!$B201:$AY201,'recurring2_based on steps'!$B$1:$AY$1,O$1)+SUMIFS('changes2_based on steps'!$B201:$U201,'changes2_based on steps'!$B$1:$U$1,O$1)</f>
        <v>0</v>
      </c>
      <c r="P201" s="179">
        <f>SUMIFS('recurring2_based on steps'!$B201:$AY201,'recurring2_based on steps'!$B$1:$AY$1,P$1)+SUMIFS('changes2_based on steps'!$B201:$U201,'changes2_based on steps'!$B$1:$U$1,P$1)</f>
        <v>0</v>
      </c>
      <c r="Q201" s="179">
        <f>SUMIFS('recurring2_based on steps'!$B201:$AY201,'recurring2_based on steps'!$B$1:$AY$1,Q$1)+SUMIFS('changes2_based on steps'!$B201:$U201,'changes2_based on steps'!$B$1:$U$1,Q$1)</f>
        <v>0</v>
      </c>
      <c r="R201" s="179">
        <f>SUMIFS('recurring2_based on steps'!$B201:$AY201,'recurring2_based on steps'!$B$1:$AY$1,R$1)+SUMIFS('changes2_based on steps'!$B201:$U201,'changes2_based on steps'!$B$1:$U$1,R$1)</f>
        <v>0</v>
      </c>
      <c r="S201" s="179">
        <f>SUMIFS('recurring2_based on steps'!$B201:$AY201,'recurring2_based on steps'!$B$1:$AY$1,S$1)+SUMIFS('changes2_based on steps'!$B201:$U201,'changes2_based on steps'!$B$1:$U$1,S$1)</f>
        <v>0</v>
      </c>
      <c r="T201" s="179">
        <f>SUMIFS('recurring2_based on steps'!$B201:$AY201,'recurring2_based on steps'!$B$1:$AY$1,T$1)+SUMIFS('changes2_based on steps'!$B201:$U201,'changes2_based on steps'!$B$1:$U$1,T$1)</f>
        <v>0</v>
      </c>
      <c r="U201" s="179">
        <f>SUMIFS('recurring2_based on steps'!$B201:$AY201,'recurring2_based on steps'!$B$1:$AY$1,U$1)+SUMIFS('changes2_based on steps'!$B201:$U201,'changes2_based on steps'!$B$1:$U$1,U$1)</f>
        <v>0</v>
      </c>
      <c r="V201" s="179">
        <f>SUMIFS('recurring2_based on steps'!$B201:$AY201,'recurring2_based on steps'!$B$1:$AY$1,V$1)+SUMIFS('changes2_based on steps'!$B201:$U201,'changes2_based on steps'!$B$1:$U$1,V$1)</f>
        <v>0</v>
      </c>
      <c r="W201" s="179">
        <f>SUMIFS('recurring2_based on steps'!$B201:$AY201,'recurring2_based on steps'!$B$1:$AY$1,W$1)+SUMIFS('changes2_based on steps'!$B201:$U201,'changes2_based on steps'!$B$1:$U$1,W$1)</f>
        <v>0</v>
      </c>
      <c r="X201" s="179">
        <f>SUMIFS('recurring2_based on steps'!$B201:$AY201,'recurring2_based on steps'!$B$1:$AY$1,X$1)+SUMIFS('changes2_based on steps'!$B201:$U201,'changes2_based on steps'!$B$1:$U$1,X$1)</f>
        <v>0</v>
      </c>
      <c r="Y201" s="179">
        <f>SUMIFS('recurring2_based on steps'!$B201:$AY201,'recurring2_based on steps'!$B$1:$AY$1,Y$1)+SUMIFS('changes2_based on steps'!$B201:$U201,'changes2_based on steps'!$B$1:$U$1,Y$1)</f>
        <v>0</v>
      </c>
      <c r="Z201" s="179">
        <f>SUMIFS('recurring2_based on steps'!$B201:$AY201,'recurring2_based on steps'!$B$1:$AY$1,Z$1)+SUMIFS('changes2_based on steps'!$B201:$U201,'changes2_based on steps'!$B$1:$U$1,Z$1)</f>
        <v>0</v>
      </c>
      <c r="AA201" s="179">
        <f>SUMIFS('recurring2_based on steps'!$B201:$AY201,'recurring2_based on steps'!$B$1:$AY$1,AA$1)+SUMIFS('changes2_based on steps'!$B201:$U201,'changes2_based on steps'!$B$1:$U$1,AA$1)</f>
        <v>0</v>
      </c>
      <c r="AB201" s="179">
        <f>SUMIFS('recurring2_based on steps'!$B201:$AY201,'recurring2_based on steps'!$B$1:$AY$1,AB$1)+SUMIFS('changes2_based on steps'!$B201:$U201,'changes2_based on steps'!$B$1:$U$1,AB$1)</f>
        <v>0</v>
      </c>
      <c r="AC201" s="179">
        <f>SUMIFS('recurring2_based on steps'!$B201:$AY201,'recurring2_based on steps'!$B$1:$AY$1,AC$1)+SUMIFS('changes2_based on steps'!$B201:$U201,'changes2_based on steps'!$B$1:$U$1,AC$1)</f>
        <v>0</v>
      </c>
      <c r="AD201" s="179">
        <f>SUMIFS('recurring2_based on steps'!$B201:$AY201,'recurring2_based on steps'!$B$1:$AY$1,AD$1)+SUMIFS('changes2_based on steps'!$B201:$U201,'changes2_based on steps'!$B$1:$U$1,AD$1)</f>
        <v>0</v>
      </c>
      <c r="AE201" s="179">
        <f>SUMIFS('recurring2_based on steps'!$B201:$AY201,'recurring2_based on steps'!$B$1:$AY$1,AE$1)+SUMIFS('changes2_based on steps'!$B201:$U201,'changes2_based on steps'!$B$1:$U$1,AE$1)</f>
        <v>0</v>
      </c>
      <c r="AF201" s="179"/>
      <c r="AG201" s="179"/>
      <c r="AH201" s="179"/>
      <c r="AI201" s="179"/>
      <c r="AJ201" s="179"/>
      <c r="AK201" s="179"/>
      <c r="AL201" s="179"/>
      <c r="AM201" s="179"/>
    </row>
    <row r="202" spans="1:39" x14ac:dyDescent="0.2">
      <c r="A202" s="32">
        <f t="shared" ca="1" si="3"/>
        <v>45951</v>
      </c>
      <c r="B202" s="179">
        <f>SUMIFS('recurring2_based on steps'!$B202:$AY202,'recurring2_based on steps'!$B$1:$AY$1,B$1)+SUMIFS('changes2_based on steps'!$B202:$U202,'changes2_based on steps'!$B$1:$U$1,B$1)</f>
        <v>0</v>
      </c>
      <c r="C202" s="179">
        <f>SUMIFS('recurring2_based on steps'!$B202:$AY202,'recurring2_based on steps'!$B$1:$AY$1,C$1)+SUMIFS('changes2_based on steps'!$B202:$U202,'changes2_based on steps'!$B$1:$U$1,C$1)</f>
        <v>0</v>
      </c>
      <c r="D202" s="179">
        <f>SUMIFS('recurring2_based on steps'!$B202:$AY202,'recurring2_based on steps'!$B$1:$AY$1,D$1)+SUMIFS('changes2_based on steps'!$B202:$U202,'changes2_based on steps'!$B$1:$U$1,D$1)</f>
        <v>0</v>
      </c>
      <c r="E202" s="179">
        <f>SUMIFS('recurring2_based on steps'!$B202:$AY202,'recurring2_based on steps'!$B$1:$AY$1,E$1)+SUMIFS('changes2_based on steps'!$B202:$U202,'changes2_based on steps'!$B$1:$U$1,E$1)</f>
        <v>0</v>
      </c>
      <c r="F202" s="179">
        <f>SUMIFS('recurring2_based on steps'!$B202:$AY202,'recurring2_based on steps'!$B$1:$AY$1,F$1)+SUMIFS('changes2_based on steps'!$B202:$U202,'changes2_based on steps'!$B$1:$U$1,F$1)</f>
        <v>0</v>
      </c>
      <c r="G202" s="179">
        <f>SUMIFS('recurring2_based on steps'!$B202:$AY202,'recurring2_based on steps'!$B$1:$AY$1,G$1)+SUMIFS('changes2_based on steps'!$B202:$U202,'changes2_based on steps'!$B$1:$U$1,G$1)</f>
        <v>0</v>
      </c>
      <c r="H202" s="179">
        <f>SUMIFS('recurring2_based on steps'!$B202:$AY202,'recurring2_based on steps'!$B$1:$AY$1,H$1)+SUMIFS('changes2_based on steps'!$B202:$U202,'changes2_based on steps'!$B$1:$U$1,H$1)</f>
        <v>0</v>
      </c>
      <c r="I202" s="179">
        <f>SUMIFS('recurring2_based on steps'!$B202:$AY202,'recurring2_based on steps'!$B$1:$AY$1,I$1)+SUMIFS('changes2_based on steps'!$B202:$U202,'changes2_based on steps'!$B$1:$U$1,I$1)</f>
        <v>0</v>
      </c>
      <c r="J202" s="179">
        <f>SUMIFS('recurring2_based on steps'!$B202:$AY202,'recurring2_based on steps'!$B$1:$AY$1,J$1)+SUMIFS('changes2_based on steps'!$B202:$U202,'changes2_based on steps'!$B$1:$U$1,J$1)</f>
        <v>0</v>
      </c>
      <c r="K202" s="179">
        <f>SUMIFS('recurring2_based on steps'!$B202:$AY202,'recurring2_based on steps'!$B$1:$AY$1,K$1)+SUMIFS('changes2_based on steps'!$B202:$U202,'changes2_based on steps'!$B$1:$U$1,K$1)</f>
        <v>0</v>
      </c>
      <c r="L202" s="179">
        <f>SUMIFS('recurring2_based on steps'!$B202:$AY202,'recurring2_based on steps'!$B$1:$AY$1,L$1)+SUMIFS('changes2_based on steps'!$B202:$U202,'changes2_based on steps'!$B$1:$U$1,L$1)</f>
        <v>0</v>
      </c>
      <c r="M202" s="179">
        <f>SUMIFS('recurring2_based on steps'!$B202:$AY202,'recurring2_based on steps'!$B$1:$AY$1,M$1)+SUMIFS('changes2_based on steps'!$B202:$U202,'changes2_based on steps'!$B$1:$U$1,M$1)</f>
        <v>0</v>
      </c>
      <c r="N202" s="179">
        <f>SUMIFS('recurring2_based on steps'!$B202:$AY202,'recurring2_based on steps'!$B$1:$AY$1,N$1)+SUMIFS('changes2_based on steps'!$B202:$U202,'changes2_based on steps'!$B$1:$U$1,N$1)</f>
        <v>0</v>
      </c>
      <c r="O202" s="179">
        <f>SUMIFS('recurring2_based on steps'!$B202:$AY202,'recurring2_based on steps'!$B$1:$AY$1,O$1)+SUMIFS('changes2_based on steps'!$B202:$U202,'changes2_based on steps'!$B$1:$U$1,O$1)</f>
        <v>0</v>
      </c>
      <c r="P202" s="179">
        <f>SUMIFS('recurring2_based on steps'!$B202:$AY202,'recurring2_based on steps'!$B$1:$AY$1,P$1)+SUMIFS('changes2_based on steps'!$B202:$U202,'changes2_based on steps'!$B$1:$U$1,P$1)</f>
        <v>0</v>
      </c>
      <c r="Q202" s="179">
        <f>SUMIFS('recurring2_based on steps'!$B202:$AY202,'recurring2_based on steps'!$B$1:$AY$1,Q$1)+SUMIFS('changes2_based on steps'!$B202:$U202,'changes2_based on steps'!$B$1:$U$1,Q$1)</f>
        <v>0</v>
      </c>
      <c r="R202" s="179">
        <f>SUMIFS('recurring2_based on steps'!$B202:$AY202,'recurring2_based on steps'!$B$1:$AY$1,R$1)+SUMIFS('changes2_based on steps'!$B202:$U202,'changes2_based on steps'!$B$1:$U$1,R$1)</f>
        <v>0</v>
      </c>
      <c r="S202" s="179">
        <f>SUMIFS('recurring2_based on steps'!$B202:$AY202,'recurring2_based on steps'!$B$1:$AY$1,S$1)+SUMIFS('changes2_based on steps'!$B202:$U202,'changes2_based on steps'!$B$1:$U$1,S$1)</f>
        <v>0</v>
      </c>
      <c r="T202" s="179">
        <f>SUMIFS('recurring2_based on steps'!$B202:$AY202,'recurring2_based on steps'!$B$1:$AY$1,T$1)+SUMIFS('changes2_based on steps'!$B202:$U202,'changes2_based on steps'!$B$1:$U$1,T$1)</f>
        <v>0</v>
      </c>
      <c r="U202" s="179">
        <f>SUMIFS('recurring2_based on steps'!$B202:$AY202,'recurring2_based on steps'!$B$1:$AY$1,U$1)+SUMIFS('changes2_based on steps'!$B202:$U202,'changes2_based on steps'!$B$1:$U$1,U$1)</f>
        <v>0</v>
      </c>
      <c r="V202" s="179">
        <f>SUMIFS('recurring2_based on steps'!$B202:$AY202,'recurring2_based on steps'!$B$1:$AY$1,V$1)+SUMIFS('changes2_based on steps'!$B202:$U202,'changes2_based on steps'!$B$1:$U$1,V$1)</f>
        <v>0</v>
      </c>
      <c r="W202" s="179">
        <f>SUMIFS('recurring2_based on steps'!$B202:$AY202,'recurring2_based on steps'!$B$1:$AY$1,W$1)+SUMIFS('changes2_based on steps'!$B202:$U202,'changes2_based on steps'!$B$1:$U$1,W$1)</f>
        <v>0</v>
      </c>
      <c r="X202" s="179">
        <f>SUMIFS('recurring2_based on steps'!$B202:$AY202,'recurring2_based on steps'!$B$1:$AY$1,X$1)+SUMIFS('changes2_based on steps'!$B202:$U202,'changes2_based on steps'!$B$1:$U$1,X$1)</f>
        <v>0</v>
      </c>
      <c r="Y202" s="179">
        <f>SUMIFS('recurring2_based on steps'!$B202:$AY202,'recurring2_based on steps'!$B$1:$AY$1,Y$1)+SUMIFS('changes2_based on steps'!$B202:$U202,'changes2_based on steps'!$B$1:$U$1,Y$1)</f>
        <v>0</v>
      </c>
      <c r="Z202" s="179">
        <f>SUMIFS('recurring2_based on steps'!$B202:$AY202,'recurring2_based on steps'!$B$1:$AY$1,Z$1)+SUMIFS('changes2_based on steps'!$B202:$U202,'changes2_based on steps'!$B$1:$U$1,Z$1)</f>
        <v>0</v>
      </c>
      <c r="AA202" s="179">
        <f>SUMIFS('recurring2_based on steps'!$B202:$AY202,'recurring2_based on steps'!$B$1:$AY$1,AA$1)+SUMIFS('changes2_based on steps'!$B202:$U202,'changes2_based on steps'!$B$1:$U$1,AA$1)</f>
        <v>0</v>
      </c>
      <c r="AB202" s="179">
        <f>SUMIFS('recurring2_based on steps'!$B202:$AY202,'recurring2_based on steps'!$B$1:$AY$1,AB$1)+SUMIFS('changes2_based on steps'!$B202:$U202,'changes2_based on steps'!$B$1:$U$1,AB$1)</f>
        <v>0</v>
      </c>
      <c r="AC202" s="179">
        <f>SUMIFS('recurring2_based on steps'!$B202:$AY202,'recurring2_based on steps'!$B$1:$AY$1,AC$1)+SUMIFS('changes2_based on steps'!$B202:$U202,'changes2_based on steps'!$B$1:$U$1,AC$1)</f>
        <v>0</v>
      </c>
      <c r="AD202" s="179">
        <f>SUMIFS('recurring2_based on steps'!$B202:$AY202,'recurring2_based on steps'!$B$1:$AY$1,AD$1)+SUMIFS('changes2_based on steps'!$B202:$U202,'changes2_based on steps'!$B$1:$U$1,AD$1)</f>
        <v>0</v>
      </c>
      <c r="AE202" s="179">
        <f>SUMIFS('recurring2_based on steps'!$B202:$AY202,'recurring2_based on steps'!$B$1:$AY$1,AE$1)+SUMIFS('changes2_based on steps'!$B202:$U202,'changes2_based on steps'!$B$1:$U$1,AE$1)</f>
        <v>0</v>
      </c>
      <c r="AF202" s="179"/>
      <c r="AG202" s="179"/>
      <c r="AH202" s="179"/>
      <c r="AI202" s="179"/>
      <c r="AJ202" s="179"/>
      <c r="AK202" s="179"/>
      <c r="AL202" s="179"/>
      <c r="AM202" s="179"/>
    </row>
    <row r="203" spans="1:39" x14ac:dyDescent="0.2">
      <c r="A203" s="32">
        <f t="shared" ca="1" si="3"/>
        <v>45952</v>
      </c>
      <c r="B203" s="179">
        <f>SUMIFS('recurring2_based on steps'!$B203:$AY203,'recurring2_based on steps'!$B$1:$AY$1,B$1)+SUMIFS('changes2_based on steps'!$B203:$U203,'changes2_based on steps'!$B$1:$U$1,B$1)</f>
        <v>0</v>
      </c>
      <c r="C203" s="179">
        <f>SUMIFS('recurring2_based on steps'!$B203:$AY203,'recurring2_based on steps'!$B$1:$AY$1,C$1)+SUMIFS('changes2_based on steps'!$B203:$U203,'changes2_based on steps'!$B$1:$U$1,C$1)</f>
        <v>0</v>
      </c>
      <c r="D203" s="179">
        <f>SUMIFS('recurring2_based on steps'!$B203:$AY203,'recurring2_based on steps'!$B$1:$AY$1,D$1)+SUMIFS('changes2_based on steps'!$B203:$U203,'changes2_based on steps'!$B$1:$U$1,D$1)</f>
        <v>0</v>
      </c>
      <c r="E203" s="179">
        <f>SUMIFS('recurring2_based on steps'!$B203:$AY203,'recurring2_based on steps'!$B$1:$AY$1,E$1)+SUMIFS('changes2_based on steps'!$B203:$U203,'changes2_based on steps'!$B$1:$U$1,E$1)</f>
        <v>0</v>
      </c>
      <c r="F203" s="179">
        <f>SUMIFS('recurring2_based on steps'!$B203:$AY203,'recurring2_based on steps'!$B$1:$AY$1,F$1)+SUMIFS('changes2_based on steps'!$B203:$U203,'changes2_based on steps'!$B$1:$U$1,F$1)</f>
        <v>0</v>
      </c>
      <c r="G203" s="179">
        <f>SUMIFS('recurring2_based on steps'!$B203:$AY203,'recurring2_based on steps'!$B$1:$AY$1,G$1)+SUMIFS('changes2_based on steps'!$B203:$U203,'changes2_based on steps'!$B$1:$U$1,G$1)</f>
        <v>0</v>
      </c>
      <c r="H203" s="179">
        <f>SUMIFS('recurring2_based on steps'!$B203:$AY203,'recurring2_based on steps'!$B$1:$AY$1,H$1)+SUMIFS('changes2_based on steps'!$B203:$U203,'changes2_based on steps'!$B$1:$U$1,H$1)</f>
        <v>0</v>
      </c>
      <c r="I203" s="179">
        <f>SUMIFS('recurring2_based on steps'!$B203:$AY203,'recurring2_based on steps'!$B$1:$AY$1,I$1)+SUMIFS('changes2_based on steps'!$B203:$U203,'changes2_based on steps'!$B$1:$U$1,I$1)</f>
        <v>0</v>
      </c>
      <c r="J203" s="179">
        <f>SUMIFS('recurring2_based on steps'!$B203:$AY203,'recurring2_based on steps'!$B$1:$AY$1,J$1)+SUMIFS('changes2_based on steps'!$B203:$U203,'changes2_based on steps'!$B$1:$U$1,J$1)</f>
        <v>0</v>
      </c>
      <c r="K203" s="179">
        <f>SUMIFS('recurring2_based on steps'!$B203:$AY203,'recurring2_based on steps'!$B$1:$AY$1,K$1)+SUMIFS('changes2_based on steps'!$B203:$U203,'changes2_based on steps'!$B$1:$U$1,K$1)</f>
        <v>0</v>
      </c>
      <c r="L203" s="179">
        <f>SUMIFS('recurring2_based on steps'!$B203:$AY203,'recurring2_based on steps'!$B$1:$AY$1,L$1)+SUMIFS('changes2_based on steps'!$B203:$U203,'changes2_based on steps'!$B$1:$U$1,L$1)</f>
        <v>0</v>
      </c>
      <c r="M203" s="179">
        <f>SUMIFS('recurring2_based on steps'!$B203:$AY203,'recurring2_based on steps'!$B$1:$AY$1,M$1)+SUMIFS('changes2_based on steps'!$B203:$U203,'changes2_based on steps'!$B$1:$U$1,M$1)</f>
        <v>0</v>
      </c>
      <c r="N203" s="179">
        <f>SUMIFS('recurring2_based on steps'!$B203:$AY203,'recurring2_based on steps'!$B$1:$AY$1,N$1)+SUMIFS('changes2_based on steps'!$B203:$U203,'changes2_based on steps'!$B$1:$U$1,N$1)</f>
        <v>0</v>
      </c>
      <c r="O203" s="179">
        <f>SUMIFS('recurring2_based on steps'!$B203:$AY203,'recurring2_based on steps'!$B$1:$AY$1,O$1)+SUMIFS('changes2_based on steps'!$B203:$U203,'changes2_based on steps'!$B$1:$U$1,O$1)</f>
        <v>0</v>
      </c>
      <c r="P203" s="179">
        <f>SUMIFS('recurring2_based on steps'!$B203:$AY203,'recurring2_based on steps'!$B$1:$AY$1,P$1)+SUMIFS('changes2_based on steps'!$B203:$U203,'changes2_based on steps'!$B$1:$U$1,P$1)</f>
        <v>0</v>
      </c>
      <c r="Q203" s="179">
        <f>SUMIFS('recurring2_based on steps'!$B203:$AY203,'recurring2_based on steps'!$B$1:$AY$1,Q$1)+SUMIFS('changes2_based on steps'!$B203:$U203,'changes2_based on steps'!$B$1:$U$1,Q$1)</f>
        <v>0</v>
      </c>
      <c r="R203" s="179">
        <f>SUMIFS('recurring2_based on steps'!$B203:$AY203,'recurring2_based on steps'!$B$1:$AY$1,R$1)+SUMIFS('changes2_based on steps'!$B203:$U203,'changes2_based on steps'!$B$1:$U$1,R$1)</f>
        <v>0</v>
      </c>
      <c r="S203" s="179">
        <f>SUMIFS('recurring2_based on steps'!$B203:$AY203,'recurring2_based on steps'!$B$1:$AY$1,S$1)+SUMIFS('changes2_based on steps'!$B203:$U203,'changes2_based on steps'!$B$1:$U$1,S$1)</f>
        <v>0</v>
      </c>
      <c r="T203" s="179">
        <f>SUMIFS('recurring2_based on steps'!$B203:$AY203,'recurring2_based on steps'!$B$1:$AY$1,T$1)+SUMIFS('changes2_based on steps'!$B203:$U203,'changes2_based on steps'!$B$1:$U$1,T$1)</f>
        <v>0</v>
      </c>
      <c r="U203" s="179">
        <f>SUMIFS('recurring2_based on steps'!$B203:$AY203,'recurring2_based on steps'!$B$1:$AY$1,U$1)+SUMIFS('changes2_based on steps'!$B203:$U203,'changes2_based on steps'!$B$1:$U$1,U$1)</f>
        <v>0</v>
      </c>
      <c r="V203" s="179">
        <f>SUMIFS('recurring2_based on steps'!$B203:$AY203,'recurring2_based on steps'!$B$1:$AY$1,V$1)+SUMIFS('changes2_based on steps'!$B203:$U203,'changes2_based on steps'!$B$1:$U$1,V$1)</f>
        <v>0</v>
      </c>
      <c r="W203" s="179">
        <f>SUMIFS('recurring2_based on steps'!$B203:$AY203,'recurring2_based on steps'!$B$1:$AY$1,W$1)+SUMIFS('changes2_based on steps'!$B203:$U203,'changes2_based on steps'!$B$1:$U$1,W$1)</f>
        <v>0</v>
      </c>
      <c r="X203" s="179">
        <f>SUMIFS('recurring2_based on steps'!$B203:$AY203,'recurring2_based on steps'!$B$1:$AY$1,X$1)+SUMIFS('changes2_based on steps'!$B203:$U203,'changes2_based on steps'!$B$1:$U$1,X$1)</f>
        <v>0</v>
      </c>
      <c r="Y203" s="179">
        <f>SUMIFS('recurring2_based on steps'!$B203:$AY203,'recurring2_based on steps'!$B$1:$AY$1,Y$1)+SUMIFS('changes2_based on steps'!$B203:$U203,'changes2_based on steps'!$B$1:$U$1,Y$1)</f>
        <v>0</v>
      </c>
      <c r="Z203" s="179">
        <f>SUMIFS('recurring2_based on steps'!$B203:$AY203,'recurring2_based on steps'!$B$1:$AY$1,Z$1)+SUMIFS('changes2_based on steps'!$B203:$U203,'changes2_based on steps'!$B$1:$U$1,Z$1)</f>
        <v>0</v>
      </c>
      <c r="AA203" s="179">
        <f>SUMIFS('recurring2_based on steps'!$B203:$AY203,'recurring2_based on steps'!$B$1:$AY$1,AA$1)+SUMIFS('changes2_based on steps'!$B203:$U203,'changes2_based on steps'!$B$1:$U$1,AA$1)</f>
        <v>0</v>
      </c>
      <c r="AB203" s="179">
        <f>SUMIFS('recurring2_based on steps'!$B203:$AY203,'recurring2_based on steps'!$B$1:$AY$1,AB$1)+SUMIFS('changes2_based on steps'!$B203:$U203,'changes2_based on steps'!$B$1:$U$1,AB$1)</f>
        <v>0</v>
      </c>
      <c r="AC203" s="179">
        <f>SUMIFS('recurring2_based on steps'!$B203:$AY203,'recurring2_based on steps'!$B$1:$AY$1,AC$1)+SUMIFS('changes2_based on steps'!$B203:$U203,'changes2_based on steps'!$B$1:$U$1,AC$1)</f>
        <v>0</v>
      </c>
      <c r="AD203" s="179">
        <f>SUMIFS('recurring2_based on steps'!$B203:$AY203,'recurring2_based on steps'!$B$1:$AY$1,AD$1)+SUMIFS('changes2_based on steps'!$B203:$U203,'changes2_based on steps'!$B$1:$U$1,AD$1)</f>
        <v>0</v>
      </c>
      <c r="AE203" s="179">
        <f>SUMIFS('recurring2_based on steps'!$B203:$AY203,'recurring2_based on steps'!$B$1:$AY$1,AE$1)+SUMIFS('changes2_based on steps'!$B203:$U203,'changes2_based on steps'!$B$1:$U$1,AE$1)</f>
        <v>0</v>
      </c>
      <c r="AF203" s="179"/>
      <c r="AG203" s="179"/>
      <c r="AH203" s="179"/>
      <c r="AI203" s="179"/>
      <c r="AJ203" s="179"/>
      <c r="AK203" s="179"/>
      <c r="AL203" s="179"/>
      <c r="AM203" s="179"/>
    </row>
    <row r="204" spans="1:39" x14ac:dyDescent="0.2">
      <c r="A204" s="32">
        <f t="shared" ca="1" si="3"/>
        <v>45953</v>
      </c>
      <c r="B204" s="179">
        <f>SUMIFS('recurring2_based on steps'!$B204:$AY204,'recurring2_based on steps'!$B$1:$AY$1,B$1)+SUMIFS('changes2_based on steps'!$B204:$U204,'changes2_based on steps'!$B$1:$U$1,B$1)</f>
        <v>0</v>
      </c>
      <c r="C204" s="179">
        <f>SUMIFS('recurring2_based on steps'!$B204:$AY204,'recurring2_based on steps'!$B$1:$AY$1,C$1)+SUMIFS('changes2_based on steps'!$B204:$U204,'changes2_based on steps'!$B$1:$U$1,C$1)</f>
        <v>0</v>
      </c>
      <c r="D204" s="179">
        <f>SUMIFS('recurring2_based on steps'!$B204:$AY204,'recurring2_based on steps'!$B$1:$AY$1,D$1)+SUMIFS('changes2_based on steps'!$B204:$U204,'changes2_based on steps'!$B$1:$U$1,D$1)</f>
        <v>0</v>
      </c>
      <c r="E204" s="179">
        <f>SUMIFS('recurring2_based on steps'!$B204:$AY204,'recurring2_based on steps'!$B$1:$AY$1,E$1)+SUMIFS('changes2_based on steps'!$B204:$U204,'changes2_based on steps'!$B$1:$U$1,E$1)</f>
        <v>0</v>
      </c>
      <c r="F204" s="179">
        <f>SUMIFS('recurring2_based on steps'!$B204:$AY204,'recurring2_based on steps'!$B$1:$AY$1,F$1)+SUMIFS('changes2_based on steps'!$B204:$U204,'changes2_based on steps'!$B$1:$U$1,F$1)</f>
        <v>0</v>
      </c>
      <c r="G204" s="179">
        <f>SUMIFS('recurring2_based on steps'!$B204:$AY204,'recurring2_based on steps'!$B$1:$AY$1,G$1)+SUMIFS('changes2_based on steps'!$B204:$U204,'changes2_based on steps'!$B$1:$U$1,G$1)</f>
        <v>0</v>
      </c>
      <c r="H204" s="179">
        <f>SUMIFS('recurring2_based on steps'!$B204:$AY204,'recurring2_based on steps'!$B$1:$AY$1,H$1)+SUMIFS('changes2_based on steps'!$B204:$U204,'changes2_based on steps'!$B$1:$U$1,H$1)</f>
        <v>0</v>
      </c>
      <c r="I204" s="179">
        <f>SUMIFS('recurring2_based on steps'!$B204:$AY204,'recurring2_based on steps'!$B$1:$AY$1,I$1)+SUMIFS('changes2_based on steps'!$B204:$U204,'changes2_based on steps'!$B$1:$U$1,I$1)</f>
        <v>0</v>
      </c>
      <c r="J204" s="179">
        <f>SUMIFS('recurring2_based on steps'!$B204:$AY204,'recurring2_based on steps'!$B$1:$AY$1,J$1)+SUMIFS('changes2_based on steps'!$B204:$U204,'changes2_based on steps'!$B$1:$U$1,J$1)</f>
        <v>0</v>
      </c>
      <c r="K204" s="179">
        <f>SUMIFS('recurring2_based on steps'!$B204:$AY204,'recurring2_based on steps'!$B$1:$AY$1,K$1)+SUMIFS('changes2_based on steps'!$B204:$U204,'changes2_based on steps'!$B$1:$U$1,K$1)</f>
        <v>0</v>
      </c>
      <c r="L204" s="179">
        <f>SUMIFS('recurring2_based on steps'!$B204:$AY204,'recurring2_based on steps'!$B$1:$AY$1,L$1)+SUMIFS('changes2_based on steps'!$B204:$U204,'changes2_based on steps'!$B$1:$U$1,L$1)</f>
        <v>0</v>
      </c>
      <c r="M204" s="179">
        <f>SUMIFS('recurring2_based on steps'!$B204:$AY204,'recurring2_based on steps'!$B$1:$AY$1,M$1)+SUMIFS('changes2_based on steps'!$B204:$U204,'changes2_based on steps'!$B$1:$U$1,M$1)</f>
        <v>0</v>
      </c>
      <c r="N204" s="179">
        <f>SUMIFS('recurring2_based on steps'!$B204:$AY204,'recurring2_based on steps'!$B$1:$AY$1,N$1)+SUMIFS('changes2_based on steps'!$B204:$U204,'changes2_based on steps'!$B$1:$U$1,N$1)</f>
        <v>0</v>
      </c>
      <c r="O204" s="179">
        <f>SUMIFS('recurring2_based on steps'!$B204:$AY204,'recurring2_based on steps'!$B$1:$AY$1,O$1)+SUMIFS('changes2_based on steps'!$B204:$U204,'changes2_based on steps'!$B$1:$U$1,O$1)</f>
        <v>0</v>
      </c>
      <c r="P204" s="179">
        <f>SUMIFS('recurring2_based on steps'!$B204:$AY204,'recurring2_based on steps'!$B$1:$AY$1,P$1)+SUMIFS('changes2_based on steps'!$B204:$U204,'changes2_based on steps'!$B$1:$U$1,P$1)</f>
        <v>0</v>
      </c>
      <c r="Q204" s="179">
        <f>SUMIFS('recurring2_based on steps'!$B204:$AY204,'recurring2_based on steps'!$B$1:$AY$1,Q$1)+SUMIFS('changes2_based on steps'!$B204:$U204,'changes2_based on steps'!$B$1:$U$1,Q$1)</f>
        <v>0</v>
      </c>
      <c r="R204" s="179">
        <f>SUMIFS('recurring2_based on steps'!$B204:$AY204,'recurring2_based on steps'!$B$1:$AY$1,R$1)+SUMIFS('changes2_based on steps'!$B204:$U204,'changes2_based on steps'!$B$1:$U$1,R$1)</f>
        <v>0</v>
      </c>
      <c r="S204" s="179">
        <f>SUMIFS('recurring2_based on steps'!$B204:$AY204,'recurring2_based on steps'!$B$1:$AY$1,S$1)+SUMIFS('changes2_based on steps'!$B204:$U204,'changes2_based on steps'!$B$1:$U$1,S$1)</f>
        <v>0</v>
      </c>
      <c r="T204" s="179">
        <f>SUMIFS('recurring2_based on steps'!$B204:$AY204,'recurring2_based on steps'!$B$1:$AY$1,T$1)+SUMIFS('changes2_based on steps'!$B204:$U204,'changes2_based on steps'!$B$1:$U$1,T$1)</f>
        <v>0</v>
      </c>
      <c r="U204" s="179">
        <f>SUMIFS('recurring2_based on steps'!$B204:$AY204,'recurring2_based on steps'!$B$1:$AY$1,U$1)+SUMIFS('changes2_based on steps'!$B204:$U204,'changes2_based on steps'!$B$1:$U$1,U$1)</f>
        <v>0</v>
      </c>
      <c r="V204" s="179">
        <f>SUMIFS('recurring2_based on steps'!$B204:$AY204,'recurring2_based on steps'!$B$1:$AY$1,V$1)+SUMIFS('changes2_based on steps'!$B204:$U204,'changes2_based on steps'!$B$1:$U$1,V$1)</f>
        <v>0</v>
      </c>
      <c r="W204" s="179">
        <f>SUMIFS('recurring2_based on steps'!$B204:$AY204,'recurring2_based on steps'!$B$1:$AY$1,W$1)+SUMIFS('changes2_based on steps'!$B204:$U204,'changes2_based on steps'!$B$1:$U$1,W$1)</f>
        <v>0</v>
      </c>
      <c r="X204" s="179">
        <f>SUMIFS('recurring2_based on steps'!$B204:$AY204,'recurring2_based on steps'!$B$1:$AY$1,X$1)+SUMIFS('changes2_based on steps'!$B204:$U204,'changes2_based on steps'!$B$1:$U$1,X$1)</f>
        <v>0</v>
      </c>
      <c r="Y204" s="179">
        <f>SUMIFS('recurring2_based on steps'!$B204:$AY204,'recurring2_based on steps'!$B$1:$AY$1,Y$1)+SUMIFS('changes2_based on steps'!$B204:$U204,'changes2_based on steps'!$B$1:$U$1,Y$1)</f>
        <v>0</v>
      </c>
      <c r="Z204" s="179">
        <f>SUMIFS('recurring2_based on steps'!$B204:$AY204,'recurring2_based on steps'!$B$1:$AY$1,Z$1)+SUMIFS('changes2_based on steps'!$B204:$U204,'changes2_based on steps'!$B$1:$U$1,Z$1)</f>
        <v>0</v>
      </c>
      <c r="AA204" s="179">
        <f>SUMIFS('recurring2_based on steps'!$B204:$AY204,'recurring2_based on steps'!$B$1:$AY$1,AA$1)+SUMIFS('changes2_based on steps'!$B204:$U204,'changes2_based on steps'!$B$1:$U$1,AA$1)</f>
        <v>0</v>
      </c>
      <c r="AB204" s="179">
        <f>SUMIFS('recurring2_based on steps'!$B204:$AY204,'recurring2_based on steps'!$B$1:$AY$1,AB$1)+SUMIFS('changes2_based on steps'!$B204:$U204,'changes2_based on steps'!$B$1:$U$1,AB$1)</f>
        <v>0</v>
      </c>
      <c r="AC204" s="179">
        <f>SUMIFS('recurring2_based on steps'!$B204:$AY204,'recurring2_based on steps'!$B$1:$AY$1,AC$1)+SUMIFS('changes2_based on steps'!$B204:$U204,'changes2_based on steps'!$B$1:$U$1,AC$1)</f>
        <v>0</v>
      </c>
      <c r="AD204" s="179">
        <f>SUMIFS('recurring2_based on steps'!$B204:$AY204,'recurring2_based on steps'!$B$1:$AY$1,AD$1)+SUMIFS('changes2_based on steps'!$B204:$U204,'changes2_based on steps'!$B$1:$U$1,AD$1)</f>
        <v>0</v>
      </c>
      <c r="AE204" s="179">
        <f>SUMIFS('recurring2_based on steps'!$B204:$AY204,'recurring2_based on steps'!$B$1:$AY$1,AE$1)+SUMIFS('changes2_based on steps'!$B204:$U204,'changes2_based on steps'!$B$1:$U$1,AE$1)</f>
        <v>0</v>
      </c>
      <c r="AF204" s="179"/>
      <c r="AG204" s="179"/>
      <c r="AH204" s="179"/>
      <c r="AI204" s="179"/>
      <c r="AJ204" s="179"/>
      <c r="AK204" s="179"/>
      <c r="AL204" s="179"/>
      <c r="AM204" s="179"/>
    </row>
    <row r="205" spans="1:39" x14ac:dyDescent="0.2">
      <c r="A205" s="32">
        <f t="shared" ca="1" si="3"/>
        <v>45954</v>
      </c>
      <c r="B205" s="179">
        <f>SUMIFS('recurring2_based on steps'!$B205:$AY205,'recurring2_based on steps'!$B$1:$AY$1,B$1)+SUMIFS('changes2_based on steps'!$B205:$U205,'changes2_based on steps'!$B$1:$U$1,B$1)</f>
        <v>0</v>
      </c>
      <c r="C205" s="179">
        <f>SUMIFS('recurring2_based on steps'!$B205:$AY205,'recurring2_based on steps'!$B$1:$AY$1,C$1)+SUMIFS('changes2_based on steps'!$B205:$U205,'changes2_based on steps'!$B$1:$U$1,C$1)</f>
        <v>0</v>
      </c>
      <c r="D205" s="179">
        <f>SUMIFS('recurring2_based on steps'!$B205:$AY205,'recurring2_based on steps'!$B$1:$AY$1,D$1)+SUMIFS('changes2_based on steps'!$B205:$U205,'changes2_based on steps'!$B$1:$U$1,D$1)</f>
        <v>0</v>
      </c>
      <c r="E205" s="179">
        <f>SUMIFS('recurring2_based on steps'!$B205:$AY205,'recurring2_based on steps'!$B$1:$AY$1,E$1)+SUMIFS('changes2_based on steps'!$B205:$U205,'changes2_based on steps'!$B$1:$U$1,E$1)</f>
        <v>0</v>
      </c>
      <c r="F205" s="179">
        <f>SUMIFS('recurring2_based on steps'!$B205:$AY205,'recurring2_based on steps'!$B$1:$AY$1,F$1)+SUMIFS('changes2_based on steps'!$B205:$U205,'changes2_based on steps'!$B$1:$U$1,F$1)</f>
        <v>0</v>
      </c>
      <c r="G205" s="179">
        <f>SUMIFS('recurring2_based on steps'!$B205:$AY205,'recurring2_based on steps'!$B$1:$AY$1,G$1)+SUMIFS('changes2_based on steps'!$B205:$U205,'changes2_based on steps'!$B$1:$U$1,G$1)</f>
        <v>0</v>
      </c>
      <c r="H205" s="179">
        <f>SUMIFS('recurring2_based on steps'!$B205:$AY205,'recurring2_based on steps'!$B$1:$AY$1,H$1)+SUMIFS('changes2_based on steps'!$B205:$U205,'changes2_based on steps'!$B$1:$U$1,H$1)</f>
        <v>0</v>
      </c>
      <c r="I205" s="179">
        <f>SUMIFS('recurring2_based on steps'!$B205:$AY205,'recurring2_based on steps'!$B$1:$AY$1,I$1)+SUMIFS('changes2_based on steps'!$B205:$U205,'changes2_based on steps'!$B$1:$U$1,I$1)</f>
        <v>0</v>
      </c>
      <c r="J205" s="179">
        <f>SUMIFS('recurring2_based on steps'!$B205:$AY205,'recurring2_based on steps'!$B$1:$AY$1,J$1)+SUMIFS('changes2_based on steps'!$B205:$U205,'changes2_based on steps'!$B$1:$U$1,J$1)</f>
        <v>0</v>
      </c>
      <c r="K205" s="179">
        <f>SUMIFS('recurring2_based on steps'!$B205:$AY205,'recurring2_based on steps'!$B$1:$AY$1,K$1)+SUMIFS('changes2_based on steps'!$B205:$U205,'changes2_based on steps'!$B$1:$U$1,K$1)</f>
        <v>0</v>
      </c>
      <c r="L205" s="179">
        <f>SUMIFS('recurring2_based on steps'!$B205:$AY205,'recurring2_based on steps'!$B$1:$AY$1,L$1)+SUMIFS('changes2_based on steps'!$B205:$U205,'changes2_based on steps'!$B$1:$U$1,L$1)</f>
        <v>0</v>
      </c>
      <c r="M205" s="179">
        <f>SUMIFS('recurring2_based on steps'!$B205:$AY205,'recurring2_based on steps'!$B$1:$AY$1,M$1)+SUMIFS('changes2_based on steps'!$B205:$U205,'changes2_based on steps'!$B$1:$U$1,M$1)</f>
        <v>0</v>
      </c>
      <c r="N205" s="179">
        <f>SUMIFS('recurring2_based on steps'!$B205:$AY205,'recurring2_based on steps'!$B$1:$AY$1,N$1)+SUMIFS('changes2_based on steps'!$B205:$U205,'changes2_based on steps'!$B$1:$U$1,N$1)</f>
        <v>0</v>
      </c>
      <c r="O205" s="179">
        <f>SUMIFS('recurring2_based on steps'!$B205:$AY205,'recurring2_based on steps'!$B$1:$AY$1,O$1)+SUMIFS('changes2_based on steps'!$B205:$U205,'changes2_based on steps'!$B$1:$U$1,O$1)</f>
        <v>0</v>
      </c>
      <c r="P205" s="179">
        <f>SUMIFS('recurring2_based on steps'!$B205:$AY205,'recurring2_based on steps'!$B$1:$AY$1,P$1)+SUMIFS('changes2_based on steps'!$B205:$U205,'changes2_based on steps'!$B$1:$U$1,P$1)</f>
        <v>0</v>
      </c>
      <c r="Q205" s="179">
        <f>SUMIFS('recurring2_based on steps'!$B205:$AY205,'recurring2_based on steps'!$B$1:$AY$1,Q$1)+SUMIFS('changes2_based on steps'!$B205:$U205,'changes2_based on steps'!$B$1:$U$1,Q$1)</f>
        <v>0</v>
      </c>
      <c r="R205" s="179">
        <f>SUMIFS('recurring2_based on steps'!$B205:$AY205,'recurring2_based on steps'!$B$1:$AY$1,R$1)+SUMIFS('changes2_based on steps'!$B205:$U205,'changes2_based on steps'!$B$1:$U$1,R$1)</f>
        <v>0</v>
      </c>
      <c r="S205" s="179">
        <f>SUMIFS('recurring2_based on steps'!$B205:$AY205,'recurring2_based on steps'!$B$1:$AY$1,S$1)+SUMIFS('changes2_based on steps'!$B205:$U205,'changes2_based on steps'!$B$1:$U$1,S$1)</f>
        <v>0</v>
      </c>
      <c r="T205" s="179">
        <f>SUMIFS('recurring2_based on steps'!$B205:$AY205,'recurring2_based on steps'!$B$1:$AY$1,T$1)+SUMIFS('changes2_based on steps'!$B205:$U205,'changes2_based on steps'!$B$1:$U$1,T$1)</f>
        <v>0</v>
      </c>
      <c r="U205" s="179">
        <f>SUMIFS('recurring2_based on steps'!$B205:$AY205,'recurring2_based on steps'!$B$1:$AY$1,U$1)+SUMIFS('changes2_based on steps'!$B205:$U205,'changes2_based on steps'!$B$1:$U$1,U$1)</f>
        <v>0</v>
      </c>
      <c r="V205" s="179">
        <f>SUMIFS('recurring2_based on steps'!$B205:$AY205,'recurring2_based on steps'!$B$1:$AY$1,V$1)+SUMIFS('changes2_based on steps'!$B205:$U205,'changes2_based on steps'!$B$1:$U$1,V$1)</f>
        <v>0</v>
      </c>
      <c r="W205" s="179">
        <f>SUMIFS('recurring2_based on steps'!$B205:$AY205,'recurring2_based on steps'!$B$1:$AY$1,W$1)+SUMIFS('changes2_based on steps'!$B205:$U205,'changes2_based on steps'!$B$1:$U$1,W$1)</f>
        <v>0</v>
      </c>
      <c r="X205" s="179">
        <f>SUMIFS('recurring2_based on steps'!$B205:$AY205,'recurring2_based on steps'!$B$1:$AY$1,X$1)+SUMIFS('changes2_based on steps'!$B205:$U205,'changes2_based on steps'!$B$1:$U$1,X$1)</f>
        <v>0</v>
      </c>
      <c r="Y205" s="179">
        <f>SUMIFS('recurring2_based on steps'!$B205:$AY205,'recurring2_based on steps'!$B$1:$AY$1,Y$1)+SUMIFS('changes2_based on steps'!$B205:$U205,'changes2_based on steps'!$B$1:$U$1,Y$1)</f>
        <v>0</v>
      </c>
      <c r="Z205" s="179">
        <f>SUMIFS('recurring2_based on steps'!$B205:$AY205,'recurring2_based on steps'!$B$1:$AY$1,Z$1)+SUMIFS('changes2_based on steps'!$B205:$U205,'changes2_based on steps'!$B$1:$U$1,Z$1)</f>
        <v>0</v>
      </c>
      <c r="AA205" s="179">
        <f>SUMIFS('recurring2_based on steps'!$B205:$AY205,'recurring2_based on steps'!$B$1:$AY$1,AA$1)+SUMIFS('changes2_based on steps'!$B205:$U205,'changes2_based on steps'!$B$1:$U$1,AA$1)</f>
        <v>0</v>
      </c>
      <c r="AB205" s="179">
        <f>SUMIFS('recurring2_based on steps'!$B205:$AY205,'recurring2_based on steps'!$B$1:$AY$1,AB$1)+SUMIFS('changes2_based on steps'!$B205:$U205,'changes2_based on steps'!$B$1:$U$1,AB$1)</f>
        <v>0</v>
      </c>
      <c r="AC205" s="179">
        <f>SUMIFS('recurring2_based on steps'!$B205:$AY205,'recurring2_based on steps'!$B$1:$AY$1,AC$1)+SUMIFS('changes2_based on steps'!$B205:$U205,'changes2_based on steps'!$B$1:$U$1,AC$1)</f>
        <v>0</v>
      </c>
      <c r="AD205" s="179">
        <f>SUMIFS('recurring2_based on steps'!$B205:$AY205,'recurring2_based on steps'!$B$1:$AY$1,AD$1)+SUMIFS('changes2_based on steps'!$B205:$U205,'changes2_based on steps'!$B$1:$U$1,AD$1)</f>
        <v>0</v>
      </c>
      <c r="AE205" s="179">
        <f>SUMIFS('recurring2_based on steps'!$B205:$AY205,'recurring2_based on steps'!$B$1:$AY$1,AE$1)+SUMIFS('changes2_based on steps'!$B205:$U205,'changes2_based on steps'!$B$1:$U$1,AE$1)</f>
        <v>0</v>
      </c>
      <c r="AF205" s="179"/>
      <c r="AG205" s="179"/>
      <c r="AH205" s="179"/>
      <c r="AI205" s="179"/>
      <c r="AJ205" s="179"/>
      <c r="AK205" s="179"/>
      <c r="AL205" s="179"/>
      <c r="AM205" s="179"/>
    </row>
    <row r="206" spans="1:39" x14ac:dyDescent="0.2">
      <c r="A206" s="32">
        <f t="shared" ca="1" si="3"/>
        <v>45955</v>
      </c>
      <c r="B206" s="179">
        <f>SUMIFS('recurring2_based on steps'!$B206:$AY206,'recurring2_based on steps'!$B$1:$AY$1,B$1)+SUMIFS('changes2_based on steps'!$B206:$U206,'changes2_based on steps'!$B$1:$U$1,B$1)</f>
        <v>0</v>
      </c>
      <c r="C206" s="179">
        <f>SUMIFS('recurring2_based on steps'!$B206:$AY206,'recurring2_based on steps'!$B$1:$AY$1,C$1)+SUMIFS('changes2_based on steps'!$B206:$U206,'changes2_based on steps'!$B$1:$U$1,C$1)</f>
        <v>0</v>
      </c>
      <c r="D206" s="179">
        <f>SUMIFS('recurring2_based on steps'!$B206:$AY206,'recurring2_based on steps'!$B$1:$AY$1,D$1)+SUMIFS('changes2_based on steps'!$B206:$U206,'changes2_based on steps'!$B$1:$U$1,D$1)</f>
        <v>0</v>
      </c>
      <c r="E206" s="179">
        <f>SUMIFS('recurring2_based on steps'!$B206:$AY206,'recurring2_based on steps'!$B$1:$AY$1,E$1)+SUMIFS('changes2_based on steps'!$B206:$U206,'changes2_based on steps'!$B$1:$U$1,E$1)</f>
        <v>0</v>
      </c>
      <c r="F206" s="179">
        <f>SUMIFS('recurring2_based on steps'!$B206:$AY206,'recurring2_based on steps'!$B$1:$AY$1,F$1)+SUMIFS('changes2_based on steps'!$B206:$U206,'changes2_based on steps'!$B$1:$U$1,F$1)</f>
        <v>0</v>
      </c>
      <c r="G206" s="179">
        <f>SUMIFS('recurring2_based on steps'!$B206:$AY206,'recurring2_based on steps'!$B$1:$AY$1,G$1)+SUMIFS('changes2_based on steps'!$B206:$U206,'changes2_based on steps'!$B$1:$U$1,G$1)</f>
        <v>0</v>
      </c>
      <c r="H206" s="179">
        <f>SUMIFS('recurring2_based on steps'!$B206:$AY206,'recurring2_based on steps'!$B$1:$AY$1,H$1)+SUMIFS('changes2_based on steps'!$B206:$U206,'changes2_based on steps'!$B$1:$U$1,H$1)</f>
        <v>0</v>
      </c>
      <c r="I206" s="179">
        <f>SUMIFS('recurring2_based on steps'!$B206:$AY206,'recurring2_based on steps'!$B$1:$AY$1,I$1)+SUMIFS('changes2_based on steps'!$B206:$U206,'changes2_based on steps'!$B$1:$U$1,I$1)</f>
        <v>0</v>
      </c>
      <c r="J206" s="179">
        <f>SUMIFS('recurring2_based on steps'!$B206:$AY206,'recurring2_based on steps'!$B$1:$AY$1,J$1)+SUMIFS('changes2_based on steps'!$B206:$U206,'changes2_based on steps'!$B$1:$U$1,J$1)</f>
        <v>0</v>
      </c>
      <c r="K206" s="179">
        <f>SUMIFS('recurring2_based on steps'!$B206:$AY206,'recurring2_based on steps'!$B$1:$AY$1,K$1)+SUMIFS('changes2_based on steps'!$B206:$U206,'changes2_based on steps'!$B$1:$U$1,K$1)</f>
        <v>0</v>
      </c>
      <c r="L206" s="179">
        <f>SUMIFS('recurring2_based on steps'!$B206:$AY206,'recurring2_based on steps'!$B$1:$AY$1,L$1)+SUMIFS('changes2_based on steps'!$B206:$U206,'changes2_based on steps'!$B$1:$U$1,L$1)</f>
        <v>0</v>
      </c>
      <c r="M206" s="179">
        <f>SUMIFS('recurring2_based on steps'!$B206:$AY206,'recurring2_based on steps'!$B$1:$AY$1,M$1)+SUMIFS('changes2_based on steps'!$B206:$U206,'changes2_based on steps'!$B$1:$U$1,M$1)</f>
        <v>0</v>
      </c>
      <c r="N206" s="179">
        <f>SUMIFS('recurring2_based on steps'!$B206:$AY206,'recurring2_based on steps'!$B$1:$AY$1,N$1)+SUMIFS('changes2_based on steps'!$B206:$U206,'changes2_based on steps'!$B$1:$U$1,N$1)</f>
        <v>0</v>
      </c>
      <c r="O206" s="179">
        <f>SUMIFS('recurring2_based on steps'!$B206:$AY206,'recurring2_based on steps'!$B$1:$AY$1,O$1)+SUMIFS('changes2_based on steps'!$B206:$U206,'changes2_based on steps'!$B$1:$U$1,O$1)</f>
        <v>0</v>
      </c>
      <c r="P206" s="179">
        <f>SUMIFS('recurring2_based on steps'!$B206:$AY206,'recurring2_based on steps'!$B$1:$AY$1,P$1)+SUMIFS('changes2_based on steps'!$B206:$U206,'changes2_based on steps'!$B$1:$U$1,P$1)</f>
        <v>0</v>
      </c>
      <c r="Q206" s="179">
        <f>SUMIFS('recurring2_based on steps'!$B206:$AY206,'recurring2_based on steps'!$B$1:$AY$1,Q$1)+SUMIFS('changes2_based on steps'!$B206:$U206,'changes2_based on steps'!$B$1:$U$1,Q$1)</f>
        <v>0</v>
      </c>
      <c r="R206" s="179">
        <f>SUMIFS('recurring2_based on steps'!$B206:$AY206,'recurring2_based on steps'!$B$1:$AY$1,R$1)+SUMIFS('changes2_based on steps'!$B206:$U206,'changes2_based on steps'!$B$1:$U$1,R$1)</f>
        <v>0</v>
      </c>
      <c r="S206" s="179">
        <f>SUMIFS('recurring2_based on steps'!$B206:$AY206,'recurring2_based on steps'!$B$1:$AY$1,S$1)+SUMIFS('changes2_based on steps'!$B206:$U206,'changes2_based on steps'!$B$1:$U$1,S$1)</f>
        <v>0</v>
      </c>
      <c r="T206" s="179">
        <f>SUMIFS('recurring2_based on steps'!$B206:$AY206,'recurring2_based on steps'!$B$1:$AY$1,T$1)+SUMIFS('changes2_based on steps'!$B206:$U206,'changes2_based on steps'!$B$1:$U$1,T$1)</f>
        <v>0</v>
      </c>
      <c r="U206" s="179">
        <f>SUMIFS('recurring2_based on steps'!$B206:$AY206,'recurring2_based on steps'!$B$1:$AY$1,U$1)+SUMIFS('changes2_based on steps'!$B206:$U206,'changes2_based on steps'!$B$1:$U$1,U$1)</f>
        <v>0</v>
      </c>
      <c r="V206" s="179">
        <f>SUMIFS('recurring2_based on steps'!$B206:$AY206,'recurring2_based on steps'!$B$1:$AY$1,V$1)+SUMIFS('changes2_based on steps'!$B206:$U206,'changes2_based on steps'!$B$1:$U$1,V$1)</f>
        <v>0</v>
      </c>
      <c r="W206" s="179">
        <f>SUMIFS('recurring2_based on steps'!$B206:$AY206,'recurring2_based on steps'!$B$1:$AY$1,W$1)+SUMIFS('changes2_based on steps'!$B206:$U206,'changes2_based on steps'!$B$1:$U$1,W$1)</f>
        <v>0</v>
      </c>
      <c r="X206" s="179">
        <f>SUMIFS('recurring2_based on steps'!$B206:$AY206,'recurring2_based on steps'!$B$1:$AY$1,X$1)+SUMIFS('changes2_based on steps'!$B206:$U206,'changes2_based on steps'!$B$1:$U$1,X$1)</f>
        <v>0</v>
      </c>
      <c r="Y206" s="179">
        <f>SUMIFS('recurring2_based on steps'!$B206:$AY206,'recurring2_based on steps'!$B$1:$AY$1,Y$1)+SUMIFS('changes2_based on steps'!$B206:$U206,'changes2_based on steps'!$B$1:$U$1,Y$1)</f>
        <v>0</v>
      </c>
      <c r="Z206" s="179">
        <f>SUMIFS('recurring2_based on steps'!$B206:$AY206,'recurring2_based on steps'!$B$1:$AY$1,Z$1)+SUMIFS('changes2_based on steps'!$B206:$U206,'changes2_based on steps'!$B$1:$U$1,Z$1)</f>
        <v>0</v>
      </c>
      <c r="AA206" s="179">
        <f>SUMIFS('recurring2_based on steps'!$B206:$AY206,'recurring2_based on steps'!$B$1:$AY$1,AA$1)+SUMIFS('changes2_based on steps'!$B206:$U206,'changes2_based on steps'!$B$1:$U$1,AA$1)</f>
        <v>0</v>
      </c>
      <c r="AB206" s="179">
        <f>SUMIFS('recurring2_based on steps'!$B206:$AY206,'recurring2_based on steps'!$B$1:$AY$1,AB$1)+SUMIFS('changes2_based on steps'!$B206:$U206,'changes2_based on steps'!$B$1:$U$1,AB$1)</f>
        <v>0</v>
      </c>
      <c r="AC206" s="179">
        <f>SUMIFS('recurring2_based on steps'!$B206:$AY206,'recurring2_based on steps'!$B$1:$AY$1,AC$1)+SUMIFS('changes2_based on steps'!$B206:$U206,'changes2_based on steps'!$B$1:$U$1,AC$1)</f>
        <v>0</v>
      </c>
      <c r="AD206" s="179">
        <f>SUMIFS('recurring2_based on steps'!$B206:$AY206,'recurring2_based on steps'!$B$1:$AY$1,AD$1)+SUMIFS('changes2_based on steps'!$B206:$U206,'changes2_based on steps'!$B$1:$U$1,AD$1)</f>
        <v>0</v>
      </c>
      <c r="AE206" s="179">
        <f>SUMIFS('recurring2_based on steps'!$B206:$AY206,'recurring2_based on steps'!$B$1:$AY$1,AE$1)+SUMIFS('changes2_based on steps'!$B206:$U206,'changes2_based on steps'!$B$1:$U$1,AE$1)</f>
        <v>0</v>
      </c>
      <c r="AF206" s="179"/>
      <c r="AG206" s="179"/>
      <c r="AH206" s="179"/>
      <c r="AI206" s="179"/>
      <c r="AJ206" s="179"/>
      <c r="AK206" s="179"/>
      <c r="AL206" s="179"/>
      <c r="AM206" s="179"/>
    </row>
    <row r="207" spans="1:39" x14ac:dyDescent="0.2">
      <c r="A207" s="32">
        <f t="shared" ca="1" si="3"/>
        <v>45956</v>
      </c>
      <c r="B207" s="179">
        <f>SUMIFS('recurring2_based on steps'!$B207:$AY207,'recurring2_based on steps'!$B$1:$AY$1,B$1)+SUMIFS('changes2_based on steps'!$B207:$U207,'changes2_based on steps'!$B$1:$U$1,B$1)</f>
        <v>0</v>
      </c>
      <c r="C207" s="179">
        <f>SUMIFS('recurring2_based on steps'!$B207:$AY207,'recurring2_based on steps'!$B$1:$AY$1,C$1)+SUMIFS('changes2_based on steps'!$B207:$U207,'changes2_based on steps'!$B$1:$U$1,C$1)</f>
        <v>0</v>
      </c>
      <c r="D207" s="179">
        <f>SUMIFS('recurring2_based on steps'!$B207:$AY207,'recurring2_based on steps'!$B$1:$AY$1,D$1)+SUMIFS('changes2_based on steps'!$B207:$U207,'changes2_based on steps'!$B$1:$U$1,D$1)</f>
        <v>0</v>
      </c>
      <c r="E207" s="179">
        <f>SUMIFS('recurring2_based on steps'!$B207:$AY207,'recurring2_based on steps'!$B$1:$AY$1,E$1)+SUMIFS('changes2_based on steps'!$B207:$U207,'changes2_based on steps'!$B$1:$U$1,E$1)</f>
        <v>0</v>
      </c>
      <c r="F207" s="179">
        <f>SUMIFS('recurring2_based on steps'!$B207:$AY207,'recurring2_based on steps'!$B$1:$AY$1,F$1)+SUMIFS('changes2_based on steps'!$B207:$U207,'changes2_based on steps'!$B$1:$U$1,F$1)</f>
        <v>0</v>
      </c>
      <c r="G207" s="179">
        <f>SUMIFS('recurring2_based on steps'!$B207:$AY207,'recurring2_based on steps'!$B$1:$AY$1,G$1)+SUMIFS('changes2_based on steps'!$B207:$U207,'changes2_based on steps'!$B$1:$U$1,G$1)</f>
        <v>0</v>
      </c>
      <c r="H207" s="179">
        <f>SUMIFS('recurring2_based on steps'!$B207:$AY207,'recurring2_based on steps'!$B$1:$AY$1,H$1)+SUMIFS('changes2_based on steps'!$B207:$U207,'changes2_based on steps'!$B$1:$U$1,H$1)</f>
        <v>0</v>
      </c>
      <c r="I207" s="179">
        <f>SUMIFS('recurring2_based on steps'!$B207:$AY207,'recurring2_based on steps'!$B$1:$AY$1,I$1)+SUMIFS('changes2_based on steps'!$B207:$U207,'changes2_based on steps'!$B$1:$U$1,I$1)</f>
        <v>0</v>
      </c>
      <c r="J207" s="179">
        <f>SUMIFS('recurring2_based on steps'!$B207:$AY207,'recurring2_based on steps'!$B$1:$AY$1,J$1)+SUMIFS('changes2_based on steps'!$B207:$U207,'changes2_based on steps'!$B$1:$U$1,J$1)</f>
        <v>0</v>
      </c>
      <c r="K207" s="179">
        <f>SUMIFS('recurring2_based on steps'!$B207:$AY207,'recurring2_based on steps'!$B$1:$AY$1,K$1)+SUMIFS('changes2_based on steps'!$B207:$U207,'changes2_based on steps'!$B$1:$U$1,K$1)</f>
        <v>0</v>
      </c>
      <c r="L207" s="179">
        <f>SUMIFS('recurring2_based on steps'!$B207:$AY207,'recurring2_based on steps'!$B$1:$AY$1,L$1)+SUMIFS('changes2_based on steps'!$B207:$U207,'changes2_based on steps'!$B$1:$U$1,L$1)</f>
        <v>0</v>
      </c>
      <c r="M207" s="179">
        <f>SUMIFS('recurring2_based on steps'!$B207:$AY207,'recurring2_based on steps'!$B$1:$AY$1,M$1)+SUMIFS('changes2_based on steps'!$B207:$U207,'changes2_based on steps'!$B$1:$U$1,M$1)</f>
        <v>0</v>
      </c>
      <c r="N207" s="179">
        <f>SUMIFS('recurring2_based on steps'!$B207:$AY207,'recurring2_based on steps'!$B$1:$AY$1,N$1)+SUMIFS('changes2_based on steps'!$B207:$U207,'changes2_based on steps'!$B$1:$U$1,N$1)</f>
        <v>0</v>
      </c>
      <c r="O207" s="179">
        <f>SUMIFS('recurring2_based on steps'!$B207:$AY207,'recurring2_based on steps'!$B$1:$AY$1,O$1)+SUMIFS('changes2_based on steps'!$B207:$U207,'changes2_based on steps'!$B$1:$U$1,O$1)</f>
        <v>0</v>
      </c>
      <c r="P207" s="179">
        <f>SUMIFS('recurring2_based on steps'!$B207:$AY207,'recurring2_based on steps'!$B$1:$AY$1,P$1)+SUMIFS('changes2_based on steps'!$B207:$U207,'changes2_based on steps'!$B$1:$U$1,P$1)</f>
        <v>0</v>
      </c>
      <c r="Q207" s="179">
        <f>SUMIFS('recurring2_based on steps'!$B207:$AY207,'recurring2_based on steps'!$B$1:$AY$1,Q$1)+SUMIFS('changes2_based on steps'!$B207:$U207,'changes2_based on steps'!$B$1:$U$1,Q$1)</f>
        <v>0</v>
      </c>
      <c r="R207" s="179">
        <f>SUMIFS('recurring2_based on steps'!$B207:$AY207,'recurring2_based on steps'!$B$1:$AY$1,R$1)+SUMIFS('changes2_based on steps'!$B207:$U207,'changes2_based on steps'!$B$1:$U$1,R$1)</f>
        <v>0</v>
      </c>
      <c r="S207" s="179">
        <f>SUMIFS('recurring2_based on steps'!$B207:$AY207,'recurring2_based on steps'!$B$1:$AY$1,S$1)+SUMIFS('changes2_based on steps'!$B207:$U207,'changes2_based on steps'!$B$1:$U$1,S$1)</f>
        <v>0</v>
      </c>
      <c r="T207" s="179">
        <f>SUMIFS('recurring2_based on steps'!$B207:$AY207,'recurring2_based on steps'!$B$1:$AY$1,T$1)+SUMIFS('changes2_based on steps'!$B207:$U207,'changes2_based on steps'!$B$1:$U$1,T$1)</f>
        <v>0</v>
      </c>
      <c r="U207" s="179">
        <f>SUMIFS('recurring2_based on steps'!$B207:$AY207,'recurring2_based on steps'!$B$1:$AY$1,U$1)+SUMIFS('changes2_based on steps'!$B207:$U207,'changes2_based on steps'!$B$1:$U$1,U$1)</f>
        <v>0</v>
      </c>
      <c r="V207" s="179">
        <f>SUMIFS('recurring2_based on steps'!$B207:$AY207,'recurring2_based on steps'!$B$1:$AY$1,V$1)+SUMIFS('changes2_based on steps'!$B207:$U207,'changes2_based on steps'!$B$1:$U$1,V$1)</f>
        <v>0</v>
      </c>
      <c r="W207" s="179">
        <f>SUMIFS('recurring2_based on steps'!$B207:$AY207,'recurring2_based on steps'!$B$1:$AY$1,W$1)+SUMIFS('changes2_based on steps'!$B207:$U207,'changes2_based on steps'!$B$1:$U$1,W$1)</f>
        <v>0</v>
      </c>
      <c r="X207" s="179">
        <f>SUMIFS('recurring2_based on steps'!$B207:$AY207,'recurring2_based on steps'!$B$1:$AY$1,X$1)+SUMIFS('changes2_based on steps'!$B207:$U207,'changes2_based on steps'!$B$1:$U$1,X$1)</f>
        <v>0</v>
      </c>
      <c r="Y207" s="179">
        <f>SUMIFS('recurring2_based on steps'!$B207:$AY207,'recurring2_based on steps'!$B$1:$AY$1,Y$1)+SUMIFS('changes2_based on steps'!$B207:$U207,'changes2_based on steps'!$B$1:$U$1,Y$1)</f>
        <v>0</v>
      </c>
      <c r="Z207" s="179">
        <f>SUMIFS('recurring2_based on steps'!$B207:$AY207,'recurring2_based on steps'!$B$1:$AY$1,Z$1)+SUMIFS('changes2_based on steps'!$B207:$U207,'changes2_based on steps'!$B$1:$U$1,Z$1)</f>
        <v>0</v>
      </c>
      <c r="AA207" s="179">
        <f>SUMIFS('recurring2_based on steps'!$B207:$AY207,'recurring2_based on steps'!$B$1:$AY$1,AA$1)+SUMIFS('changes2_based on steps'!$B207:$U207,'changes2_based on steps'!$B$1:$U$1,AA$1)</f>
        <v>0</v>
      </c>
      <c r="AB207" s="179">
        <f>SUMIFS('recurring2_based on steps'!$B207:$AY207,'recurring2_based on steps'!$B$1:$AY$1,AB$1)+SUMIFS('changes2_based on steps'!$B207:$U207,'changes2_based on steps'!$B$1:$U$1,AB$1)</f>
        <v>0</v>
      </c>
      <c r="AC207" s="179">
        <f>SUMIFS('recurring2_based on steps'!$B207:$AY207,'recurring2_based on steps'!$B$1:$AY$1,AC$1)+SUMIFS('changes2_based on steps'!$B207:$U207,'changes2_based on steps'!$B$1:$U$1,AC$1)</f>
        <v>0</v>
      </c>
      <c r="AD207" s="179">
        <f>SUMIFS('recurring2_based on steps'!$B207:$AY207,'recurring2_based on steps'!$B$1:$AY$1,AD$1)+SUMIFS('changes2_based on steps'!$B207:$U207,'changes2_based on steps'!$B$1:$U$1,AD$1)</f>
        <v>0</v>
      </c>
      <c r="AE207" s="179">
        <f>SUMIFS('recurring2_based on steps'!$B207:$AY207,'recurring2_based on steps'!$B$1:$AY$1,AE$1)+SUMIFS('changes2_based on steps'!$B207:$U207,'changes2_based on steps'!$B$1:$U$1,AE$1)</f>
        <v>0</v>
      </c>
      <c r="AF207" s="179"/>
      <c r="AG207" s="179"/>
      <c r="AH207" s="179"/>
      <c r="AI207" s="179"/>
      <c r="AJ207" s="179"/>
      <c r="AK207" s="179"/>
      <c r="AL207" s="179"/>
      <c r="AM207" s="179"/>
    </row>
    <row r="208" spans="1:39" x14ac:dyDescent="0.2">
      <c r="A208" s="32">
        <f t="shared" ca="1" si="3"/>
        <v>45957</v>
      </c>
      <c r="B208" s="179">
        <f>SUMIFS('recurring2_based on steps'!$B208:$AY208,'recurring2_based on steps'!$B$1:$AY$1,B$1)+SUMIFS('changes2_based on steps'!$B208:$U208,'changes2_based on steps'!$B$1:$U$1,B$1)</f>
        <v>0</v>
      </c>
      <c r="C208" s="179">
        <f>SUMIFS('recurring2_based on steps'!$B208:$AY208,'recurring2_based on steps'!$B$1:$AY$1,C$1)+SUMIFS('changes2_based on steps'!$B208:$U208,'changes2_based on steps'!$B$1:$U$1,C$1)</f>
        <v>0</v>
      </c>
      <c r="D208" s="179">
        <f>SUMIFS('recurring2_based on steps'!$B208:$AY208,'recurring2_based on steps'!$B$1:$AY$1,D$1)+SUMIFS('changes2_based on steps'!$B208:$U208,'changes2_based on steps'!$B$1:$U$1,D$1)</f>
        <v>0</v>
      </c>
      <c r="E208" s="179">
        <f>SUMIFS('recurring2_based on steps'!$B208:$AY208,'recurring2_based on steps'!$B$1:$AY$1,E$1)+SUMIFS('changes2_based on steps'!$B208:$U208,'changes2_based on steps'!$B$1:$U$1,E$1)</f>
        <v>0</v>
      </c>
      <c r="F208" s="179">
        <f>SUMIFS('recurring2_based on steps'!$B208:$AY208,'recurring2_based on steps'!$B$1:$AY$1,F$1)+SUMIFS('changes2_based on steps'!$B208:$U208,'changes2_based on steps'!$B$1:$U$1,F$1)</f>
        <v>0</v>
      </c>
      <c r="G208" s="179">
        <f>SUMIFS('recurring2_based on steps'!$B208:$AY208,'recurring2_based on steps'!$B$1:$AY$1,G$1)+SUMIFS('changes2_based on steps'!$B208:$U208,'changes2_based on steps'!$B$1:$U$1,G$1)</f>
        <v>0</v>
      </c>
      <c r="H208" s="179">
        <f>SUMIFS('recurring2_based on steps'!$B208:$AY208,'recurring2_based on steps'!$B$1:$AY$1,H$1)+SUMIFS('changes2_based on steps'!$B208:$U208,'changes2_based on steps'!$B$1:$U$1,H$1)</f>
        <v>0</v>
      </c>
      <c r="I208" s="179">
        <f>SUMIFS('recurring2_based on steps'!$B208:$AY208,'recurring2_based on steps'!$B$1:$AY$1,I$1)+SUMIFS('changes2_based on steps'!$B208:$U208,'changes2_based on steps'!$B$1:$U$1,I$1)</f>
        <v>0</v>
      </c>
      <c r="J208" s="179">
        <f>SUMIFS('recurring2_based on steps'!$B208:$AY208,'recurring2_based on steps'!$B$1:$AY$1,J$1)+SUMIFS('changes2_based on steps'!$B208:$U208,'changes2_based on steps'!$B$1:$U$1,J$1)</f>
        <v>0</v>
      </c>
      <c r="K208" s="179">
        <f>SUMIFS('recurring2_based on steps'!$B208:$AY208,'recurring2_based on steps'!$B$1:$AY$1,K$1)+SUMIFS('changes2_based on steps'!$B208:$U208,'changes2_based on steps'!$B$1:$U$1,K$1)</f>
        <v>0</v>
      </c>
      <c r="L208" s="179">
        <f>SUMIFS('recurring2_based on steps'!$B208:$AY208,'recurring2_based on steps'!$B$1:$AY$1,L$1)+SUMIFS('changes2_based on steps'!$B208:$U208,'changes2_based on steps'!$B$1:$U$1,L$1)</f>
        <v>0</v>
      </c>
      <c r="M208" s="179">
        <f>SUMIFS('recurring2_based on steps'!$B208:$AY208,'recurring2_based on steps'!$B$1:$AY$1,M$1)+SUMIFS('changes2_based on steps'!$B208:$U208,'changes2_based on steps'!$B$1:$U$1,M$1)</f>
        <v>0</v>
      </c>
      <c r="N208" s="179">
        <f>SUMIFS('recurring2_based on steps'!$B208:$AY208,'recurring2_based on steps'!$B$1:$AY$1,N$1)+SUMIFS('changes2_based on steps'!$B208:$U208,'changes2_based on steps'!$B$1:$U$1,N$1)</f>
        <v>0</v>
      </c>
      <c r="O208" s="179">
        <f>SUMIFS('recurring2_based on steps'!$B208:$AY208,'recurring2_based on steps'!$B$1:$AY$1,O$1)+SUMIFS('changes2_based on steps'!$B208:$U208,'changes2_based on steps'!$B$1:$U$1,O$1)</f>
        <v>0</v>
      </c>
      <c r="P208" s="179">
        <f>SUMIFS('recurring2_based on steps'!$B208:$AY208,'recurring2_based on steps'!$B$1:$AY$1,P$1)+SUMIFS('changes2_based on steps'!$B208:$U208,'changes2_based on steps'!$B$1:$U$1,P$1)</f>
        <v>0</v>
      </c>
      <c r="Q208" s="179">
        <f>SUMIFS('recurring2_based on steps'!$B208:$AY208,'recurring2_based on steps'!$B$1:$AY$1,Q$1)+SUMIFS('changes2_based on steps'!$B208:$U208,'changes2_based on steps'!$B$1:$U$1,Q$1)</f>
        <v>0</v>
      </c>
      <c r="R208" s="179">
        <f>SUMIFS('recurring2_based on steps'!$B208:$AY208,'recurring2_based on steps'!$B$1:$AY$1,R$1)+SUMIFS('changes2_based on steps'!$B208:$U208,'changes2_based on steps'!$B$1:$U$1,R$1)</f>
        <v>0</v>
      </c>
      <c r="S208" s="179">
        <f>SUMIFS('recurring2_based on steps'!$B208:$AY208,'recurring2_based on steps'!$B$1:$AY$1,S$1)+SUMIFS('changes2_based on steps'!$B208:$U208,'changes2_based on steps'!$B$1:$U$1,S$1)</f>
        <v>0</v>
      </c>
      <c r="T208" s="179">
        <f>SUMIFS('recurring2_based on steps'!$B208:$AY208,'recurring2_based on steps'!$B$1:$AY$1,T$1)+SUMIFS('changes2_based on steps'!$B208:$U208,'changes2_based on steps'!$B$1:$U$1,T$1)</f>
        <v>0</v>
      </c>
      <c r="U208" s="179">
        <f>SUMIFS('recurring2_based on steps'!$B208:$AY208,'recurring2_based on steps'!$B$1:$AY$1,U$1)+SUMIFS('changes2_based on steps'!$B208:$U208,'changes2_based on steps'!$B$1:$U$1,U$1)</f>
        <v>0</v>
      </c>
      <c r="V208" s="179">
        <f>SUMIFS('recurring2_based on steps'!$B208:$AY208,'recurring2_based on steps'!$B$1:$AY$1,V$1)+SUMIFS('changes2_based on steps'!$B208:$U208,'changes2_based on steps'!$B$1:$U$1,V$1)</f>
        <v>0</v>
      </c>
      <c r="W208" s="179">
        <f>SUMIFS('recurring2_based on steps'!$B208:$AY208,'recurring2_based on steps'!$B$1:$AY$1,W$1)+SUMIFS('changes2_based on steps'!$B208:$U208,'changes2_based on steps'!$B$1:$U$1,W$1)</f>
        <v>0</v>
      </c>
      <c r="X208" s="179">
        <f>SUMIFS('recurring2_based on steps'!$B208:$AY208,'recurring2_based on steps'!$B$1:$AY$1,X$1)+SUMIFS('changes2_based on steps'!$B208:$U208,'changes2_based on steps'!$B$1:$U$1,X$1)</f>
        <v>0</v>
      </c>
      <c r="Y208" s="179">
        <f>SUMIFS('recurring2_based on steps'!$B208:$AY208,'recurring2_based on steps'!$B$1:$AY$1,Y$1)+SUMIFS('changes2_based on steps'!$B208:$U208,'changes2_based on steps'!$B$1:$U$1,Y$1)</f>
        <v>0</v>
      </c>
      <c r="Z208" s="179">
        <f>SUMIFS('recurring2_based on steps'!$B208:$AY208,'recurring2_based on steps'!$B$1:$AY$1,Z$1)+SUMIFS('changes2_based on steps'!$B208:$U208,'changes2_based on steps'!$B$1:$U$1,Z$1)</f>
        <v>0</v>
      </c>
      <c r="AA208" s="179">
        <f>SUMIFS('recurring2_based on steps'!$B208:$AY208,'recurring2_based on steps'!$B$1:$AY$1,AA$1)+SUMIFS('changes2_based on steps'!$B208:$U208,'changes2_based on steps'!$B$1:$U$1,AA$1)</f>
        <v>0</v>
      </c>
      <c r="AB208" s="179">
        <f>SUMIFS('recurring2_based on steps'!$B208:$AY208,'recurring2_based on steps'!$B$1:$AY$1,AB$1)+SUMIFS('changes2_based on steps'!$B208:$U208,'changes2_based on steps'!$B$1:$U$1,AB$1)</f>
        <v>0</v>
      </c>
      <c r="AC208" s="179">
        <f>SUMIFS('recurring2_based on steps'!$B208:$AY208,'recurring2_based on steps'!$B$1:$AY$1,AC$1)+SUMIFS('changes2_based on steps'!$B208:$U208,'changes2_based on steps'!$B$1:$U$1,AC$1)</f>
        <v>0</v>
      </c>
      <c r="AD208" s="179">
        <f>SUMIFS('recurring2_based on steps'!$B208:$AY208,'recurring2_based on steps'!$B$1:$AY$1,AD$1)+SUMIFS('changes2_based on steps'!$B208:$U208,'changes2_based on steps'!$B$1:$U$1,AD$1)</f>
        <v>0</v>
      </c>
      <c r="AE208" s="179">
        <f>SUMIFS('recurring2_based on steps'!$B208:$AY208,'recurring2_based on steps'!$B$1:$AY$1,AE$1)+SUMIFS('changes2_based on steps'!$B208:$U208,'changes2_based on steps'!$B$1:$U$1,AE$1)</f>
        <v>0</v>
      </c>
      <c r="AF208" s="179"/>
      <c r="AG208" s="179"/>
      <c r="AH208" s="179"/>
      <c r="AI208" s="179"/>
      <c r="AJ208" s="179"/>
      <c r="AK208" s="179"/>
      <c r="AL208" s="179"/>
      <c r="AM208" s="179"/>
    </row>
    <row r="209" spans="1:39" x14ac:dyDescent="0.2">
      <c r="A209" s="32">
        <f t="shared" ca="1" si="3"/>
        <v>45958</v>
      </c>
      <c r="B209" s="179">
        <f>SUMIFS('recurring2_based on steps'!$B209:$AY209,'recurring2_based on steps'!$B$1:$AY$1,B$1)+SUMIFS('changes2_based on steps'!$B209:$U209,'changes2_based on steps'!$B$1:$U$1,B$1)</f>
        <v>0</v>
      </c>
      <c r="C209" s="179">
        <f>SUMIFS('recurring2_based on steps'!$B209:$AY209,'recurring2_based on steps'!$B$1:$AY$1,C$1)+SUMIFS('changes2_based on steps'!$B209:$U209,'changes2_based on steps'!$B$1:$U$1,C$1)</f>
        <v>0</v>
      </c>
      <c r="D209" s="179">
        <f>SUMIFS('recurring2_based on steps'!$B209:$AY209,'recurring2_based on steps'!$B$1:$AY$1,D$1)+SUMIFS('changes2_based on steps'!$B209:$U209,'changes2_based on steps'!$B$1:$U$1,D$1)</f>
        <v>0</v>
      </c>
      <c r="E209" s="179">
        <f>SUMIFS('recurring2_based on steps'!$B209:$AY209,'recurring2_based on steps'!$B$1:$AY$1,E$1)+SUMIFS('changes2_based on steps'!$B209:$U209,'changes2_based on steps'!$B$1:$U$1,E$1)</f>
        <v>0</v>
      </c>
      <c r="F209" s="179">
        <f>SUMIFS('recurring2_based on steps'!$B209:$AY209,'recurring2_based on steps'!$B$1:$AY$1,F$1)+SUMIFS('changes2_based on steps'!$B209:$U209,'changes2_based on steps'!$B$1:$U$1,F$1)</f>
        <v>0</v>
      </c>
      <c r="G209" s="179">
        <f>SUMIFS('recurring2_based on steps'!$B209:$AY209,'recurring2_based on steps'!$B$1:$AY$1,G$1)+SUMIFS('changes2_based on steps'!$B209:$U209,'changes2_based on steps'!$B$1:$U$1,G$1)</f>
        <v>0</v>
      </c>
      <c r="H209" s="179">
        <f>SUMIFS('recurring2_based on steps'!$B209:$AY209,'recurring2_based on steps'!$B$1:$AY$1,H$1)+SUMIFS('changes2_based on steps'!$B209:$U209,'changes2_based on steps'!$B$1:$U$1,H$1)</f>
        <v>0</v>
      </c>
      <c r="I209" s="179">
        <f>SUMIFS('recurring2_based on steps'!$B209:$AY209,'recurring2_based on steps'!$B$1:$AY$1,I$1)+SUMIFS('changes2_based on steps'!$B209:$U209,'changes2_based on steps'!$B$1:$U$1,I$1)</f>
        <v>0</v>
      </c>
      <c r="J209" s="179">
        <f>SUMIFS('recurring2_based on steps'!$B209:$AY209,'recurring2_based on steps'!$B$1:$AY$1,J$1)+SUMIFS('changes2_based on steps'!$B209:$U209,'changes2_based on steps'!$B$1:$U$1,J$1)</f>
        <v>0</v>
      </c>
      <c r="K209" s="179">
        <f>SUMIFS('recurring2_based on steps'!$B209:$AY209,'recurring2_based on steps'!$B$1:$AY$1,K$1)+SUMIFS('changes2_based on steps'!$B209:$U209,'changes2_based on steps'!$B$1:$U$1,K$1)</f>
        <v>0</v>
      </c>
      <c r="L209" s="179">
        <f>SUMIFS('recurring2_based on steps'!$B209:$AY209,'recurring2_based on steps'!$B$1:$AY$1,L$1)+SUMIFS('changes2_based on steps'!$B209:$U209,'changes2_based on steps'!$B$1:$U$1,L$1)</f>
        <v>0</v>
      </c>
      <c r="M209" s="179">
        <f>SUMIFS('recurring2_based on steps'!$B209:$AY209,'recurring2_based on steps'!$B$1:$AY$1,M$1)+SUMIFS('changes2_based on steps'!$B209:$U209,'changes2_based on steps'!$B$1:$U$1,M$1)</f>
        <v>0</v>
      </c>
      <c r="N209" s="179">
        <f>SUMIFS('recurring2_based on steps'!$B209:$AY209,'recurring2_based on steps'!$B$1:$AY$1,N$1)+SUMIFS('changes2_based on steps'!$B209:$U209,'changes2_based on steps'!$B$1:$U$1,N$1)</f>
        <v>0</v>
      </c>
      <c r="O209" s="179">
        <f>SUMIFS('recurring2_based on steps'!$B209:$AY209,'recurring2_based on steps'!$B$1:$AY$1,O$1)+SUMIFS('changes2_based on steps'!$B209:$U209,'changes2_based on steps'!$B$1:$U$1,O$1)</f>
        <v>0</v>
      </c>
      <c r="P209" s="179">
        <f>SUMIFS('recurring2_based on steps'!$B209:$AY209,'recurring2_based on steps'!$B$1:$AY$1,P$1)+SUMIFS('changes2_based on steps'!$B209:$U209,'changes2_based on steps'!$B$1:$U$1,P$1)</f>
        <v>0</v>
      </c>
      <c r="Q209" s="179">
        <f>SUMIFS('recurring2_based on steps'!$B209:$AY209,'recurring2_based on steps'!$B$1:$AY$1,Q$1)+SUMIFS('changes2_based on steps'!$B209:$U209,'changes2_based on steps'!$B$1:$U$1,Q$1)</f>
        <v>0</v>
      </c>
      <c r="R209" s="179">
        <f>SUMIFS('recurring2_based on steps'!$B209:$AY209,'recurring2_based on steps'!$B$1:$AY$1,R$1)+SUMIFS('changes2_based on steps'!$B209:$U209,'changes2_based on steps'!$B$1:$U$1,R$1)</f>
        <v>0</v>
      </c>
      <c r="S209" s="179">
        <f>SUMIFS('recurring2_based on steps'!$B209:$AY209,'recurring2_based on steps'!$B$1:$AY$1,S$1)+SUMIFS('changes2_based on steps'!$B209:$U209,'changes2_based on steps'!$B$1:$U$1,S$1)</f>
        <v>0</v>
      </c>
      <c r="T209" s="179">
        <f>SUMIFS('recurring2_based on steps'!$B209:$AY209,'recurring2_based on steps'!$B$1:$AY$1,T$1)+SUMIFS('changes2_based on steps'!$B209:$U209,'changes2_based on steps'!$B$1:$U$1,T$1)</f>
        <v>0</v>
      </c>
      <c r="U209" s="179">
        <f>SUMIFS('recurring2_based on steps'!$B209:$AY209,'recurring2_based on steps'!$B$1:$AY$1,U$1)+SUMIFS('changes2_based on steps'!$B209:$U209,'changes2_based on steps'!$B$1:$U$1,U$1)</f>
        <v>0</v>
      </c>
      <c r="V209" s="179">
        <f>SUMIFS('recurring2_based on steps'!$B209:$AY209,'recurring2_based on steps'!$B$1:$AY$1,V$1)+SUMIFS('changes2_based on steps'!$B209:$U209,'changes2_based on steps'!$B$1:$U$1,V$1)</f>
        <v>0</v>
      </c>
      <c r="W209" s="179">
        <f>SUMIFS('recurring2_based on steps'!$B209:$AY209,'recurring2_based on steps'!$B$1:$AY$1,W$1)+SUMIFS('changes2_based on steps'!$B209:$U209,'changes2_based on steps'!$B$1:$U$1,W$1)</f>
        <v>0</v>
      </c>
      <c r="X209" s="179">
        <f>SUMIFS('recurring2_based on steps'!$B209:$AY209,'recurring2_based on steps'!$B$1:$AY$1,X$1)+SUMIFS('changes2_based on steps'!$B209:$U209,'changes2_based on steps'!$B$1:$U$1,X$1)</f>
        <v>0</v>
      </c>
      <c r="Y209" s="179">
        <f>SUMIFS('recurring2_based on steps'!$B209:$AY209,'recurring2_based on steps'!$B$1:$AY$1,Y$1)+SUMIFS('changes2_based on steps'!$B209:$U209,'changes2_based on steps'!$B$1:$U$1,Y$1)</f>
        <v>0</v>
      </c>
      <c r="Z209" s="179">
        <f>SUMIFS('recurring2_based on steps'!$B209:$AY209,'recurring2_based on steps'!$B$1:$AY$1,Z$1)+SUMIFS('changes2_based on steps'!$B209:$U209,'changes2_based on steps'!$B$1:$U$1,Z$1)</f>
        <v>0</v>
      </c>
      <c r="AA209" s="179">
        <f>SUMIFS('recurring2_based on steps'!$B209:$AY209,'recurring2_based on steps'!$B$1:$AY$1,AA$1)+SUMIFS('changes2_based on steps'!$B209:$U209,'changes2_based on steps'!$B$1:$U$1,AA$1)</f>
        <v>0</v>
      </c>
      <c r="AB209" s="179">
        <f>SUMIFS('recurring2_based on steps'!$B209:$AY209,'recurring2_based on steps'!$B$1:$AY$1,AB$1)+SUMIFS('changes2_based on steps'!$B209:$U209,'changes2_based on steps'!$B$1:$U$1,AB$1)</f>
        <v>0</v>
      </c>
      <c r="AC209" s="179">
        <f>SUMIFS('recurring2_based on steps'!$B209:$AY209,'recurring2_based on steps'!$B$1:$AY$1,AC$1)+SUMIFS('changes2_based on steps'!$B209:$U209,'changes2_based on steps'!$B$1:$U$1,AC$1)</f>
        <v>0</v>
      </c>
      <c r="AD209" s="179">
        <f>SUMIFS('recurring2_based on steps'!$B209:$AY209,'recurring2_based on steps'!$B$1:$AY$1,AD$1)+SUMIFS('changes2_based on steps'!$B209:$U209,'changes2_based on steps'!$B$1:$U$1,AD$1)</f>
        <v>0</v>
      </c>
      <c r="AE209" s="179">
        <f>SUMIFS('recurring2_based on steps'!$B209:$AY209,'recurring2_based on steps'!$B$1:$AY$1,AE$1)+SUMIFS('changes2_based on steps'!$B209:$U209,'changes2_based on steps'!$B$1:$U$1,AE$1)</f>
        <v>0</v>
      </c>
      <c r="AF209" s="179"/>
      <c r="AG209" s="179"/>
      <c r="AH209" s="179"/>
      <c r="AI209" s="179"/>
      <c r="AJ209" s="179"/>
      <c r="AK209" s="179"/>
      <c r="AL209" s="179"/>
      <c r="AM209" s="179"/>
    </row>
    <row r="210" spans="1:39" x14ac:dyDescent="0.2">
      <c r="A210" s="32">
        <f t="shared" ca="1" si="3"/>
        <v>45959</v>
      </c>
      <c r="B210" s="179">
        <f>SUMIFS('recurring2_based on steps'!$B210:$AY210,'recurring2_based on steps'!$B$1:$AY$1,B$1)+SUMIFS('changes2_based on steps'!$B210:$U210,'changes2_based on steps'!$B$1:$U$1,B$1)</f>
        <v>0</v>
      </c>
      <c r="C210" s="179">
        <f>SUMIFS('recurring2_based on steps'!$B210:$AY210,'recurring2_based on steps'!$B$1:$AY$1,C$1)+SUMIFS('changes2_based on steps'!$B210:$U210,'changes2_based on steps'!$B$1:$U$1,C$1)</f>
        <v>0</v>
      </c>
      <c r="D210" s="179">
        <f>SUMIFS('recurring2_based on steps'!$B210:$AY210,'recurring2_based on steps'!$B$1:$AY$1,D$1)+SUMIFS('changes2_based on steps'!$B210:$U210,'changes2_based on steps'!$B$1:$U$1,D$1)</f>
        <v>0</v>
      </c>
      <c r="E210" s="179">
        <f>SUMIFS('recurring2_based on steps'!$B210:$AY210,'recurring2_based on steps'!$B$1:$AY$1,E$1)+SUMIFS('changes2_based on steps'!$B210:$U210,'changes2_based on steps'!$B$1:$U$1,E$1)</f>
        <v>0</v>
      </c>
      <c r="F210" s="179">
        <f>SUMIFS('recurring2_based on steps'!$B210:$AY210,'recurring2_based on steps'!$B$1:$AY$1,F$1)+SUMIFS('changes2_based on steps'!$B210:$U210,'changes2_based on steps'!$B$1:$U$1,F$1)</f>
        <v>0</v>
      </c>
      <c r="G210" s="179">
        <f>SUMIFS('recurring2_based on steps'!$B210:$AY210,'recurring2_based on steps'!$B$1:$AY$1,G$1)+SUMIFS('changes2_based on steps'!$B210:$U210,'changes2_based on steps'!$B$1:$U$1,G$1)</f>
        <v>0</v>
      </c>
      <c r="H210" s="179">
        <f>SUMIFS('recurring2_based on steps'!$B210:$AY210,'recurring2_based on steps'!$B$1:$AY$1,H$1)+SUMIFS('changes2_based on steps'!$B210:$U210,'changes2_based on steps'!$B$1:$U$1,H$1)</f>
        <v>0</v>
      </c>
      <c r="I210" s="179">
        <f>SUMIFS('recurring2_based on steps'!$B210:$AY210,'recurring2_based on steps'!$B$1:$AY$1,I$1)+SUMIFS('changes2_based on steps'!$B210:$U210,'changes2_based on steps'!$B$1:$U$1,I$1)</f>
        <v>0</v>
      </c>
      <c r="J210" s="179">
        <f>SUMIFS('recurring2_based on steps'!$B210:$AY210,'recurring2_based on steps'!$B$1:$AY$1,J$1)+SUMIFS('changes2_based on steps'!$B210:$U210,'changes2_based on steps'!$B$1:$U$1,J$1)</f>
        <v>0</v>
      </c>
      <c r="K210" s="179">
        <f>SUMIFS('recurring2_based on steps'!$B210:$AY210,'recurring2_based on steps'!$B$1:$AY$1,K$1)+SUMIFS('changes2_based on steps'!$B210:$U210,'changes2_based on steps'!$B$1:$U$1,K$1)</f>
        <v>0</v>
      </c>
      <c r="L210" s="179">
        <f>SUMIFS('recurring2_based on steps'!$B210:$AY210,'recurring2_based on steps'!$B$1:$AY$1,L$1)+SUMIFS('changes2_based on steps'!$B210:$U210,'changes2_based on steps'!$B$1:$U$1,L$1)</f>
        <v>0</v>
      </c>
      <c r="M210" s="179">
        <f>SUMIFS('recurring2_based on steps'!$B210:$AY210,'recurring2_based on steps'!$B$1:$AY$1,M$1)+SUMIFS('changes2_based on steps'!$B210:$U210,'changes2_based on steps'!$B$1:$U$1,M$1)</f>
        <v>0</v>
      </c>
      <c r="N210" s="179">
        <f>SUMIFS('recurring2_based on steps'!$B210:$AY210,'recurring2_based on steps'!$B$1:$AY$1,N$1)+SUMIFS('changes2_based on steps'!$B210:$U210,'changes2_based on steps'!$B$1:$U$1,N$1)</f>
        <v>0</v>
      </c>
      <c r="O210" s="179">
        <f>SUMIFS('recurring2_based on steps'!$B210:$AY210,'recurring2_based on steps'!$B$1:$AY$1,O$1)+SUMIFS('changes2_based on steps'!$B210:$U210,'changes2_based on steps'!$B$1:$U$1,O$1)</f>
        <v>0</v>
      </c>
      <c r="P210" s="179">
        <f>SUMIFS('recurring2_based on steps'!$B210:$AY210,'recurring2_based on steps'!$B$1:$AY$1,P$1)+SUMIFS('changes2_based on steps'!$B210:$U210,'changes2_based on steps'!$B$1:$U$1,P$1)</f>
        <v>0</v>
      </c>
      <c r="Q210" s="179">
        <f>SUMIFS('recurring2_based on steps'!$B210:$AY210,'recurring2_based on steps'!$B$1:$AY$1,Q$1)+SUMIFS('changes2_based on steps'!$B210:$U210,'changes2_based on steps'!$B$1:$U$1,Q$1)</f>
        <v>0</v>
      </c>
      <c r="R210" s="179">
        <f>SUMIFS('recurring2_based on steps'!$B210:$AY210,'recurring2_based on steps'!$B$1:$AY$1,R$1)+SUMIFS('changes2_based on steps'!$B210:$U210,'changes2_based on steps'!$B$1:$U$1,R$1)</f>
        <v>0</v>
      </c>
      <c r="S210" s="179">
        <f>SUMIFS('recurring2_based on steps'!$B210:$AY210,'recurring2_based on steps'!$B$1:$AY$1,S$1)+SUMIFS('changes2_based on steps'!$B210:$U210,'changes2_based on steps'!$B$1:$U$1,S$1)</f>
        <v>0</v>
      </c>
      <c r="T210" s="179">
        <f>SUMIFS('recurring2_based on steps'!$B210:$AY210,'recurring2_based on steps'!$B$1:$AY$1,T$1)+SUMIFS('changes2_based on steps'!$B210:$U210,'changes2_based on steps'!$B$1:$U$1,T$1)</f>
        <v>0</v>
      </c>
      <c r="U210" s="179">
        <f>SUMIFS('recurring2_based on steps'!$B210:$AY210,'recurring2_based on steps'!$B$1:$AY$1,U$1)+SUMIFS('changes2_based on steps'!$B210:$U210,'changes2_based on steps'!$B$1:$U$1,U$1)</f>
        <v>0</v>
      </c>
      <c r="V210" s="179">
        <f>SUMIFS('recurring2_based on steps'!$B210:$AY210,'recurring2_based on steps'!$B$1:$AY$1,V$1)+SUMIFS('changes2_based on steps'!$B210:$U210,'changes2_based on steps'!$B$1:$U$1,V$1)</f>
        <v>0</v>
      </c>
      <c r="W210" s="179">
        <f>SUMIFS('recurring2_based on steps'!$B210:$AY210,'recurring2_based on steps'!$B$1:$AY$1,W$1)+SUMIFS('changes2_based on steps'!$B210:$U210,'changes2_based on steps'!$B$1:$U$1,W$1)</f>
        <v>0</v>
      </c>
      <c r="X210" s="179">
        <f>SUMIFS('recurring2_based on steps'!$B210:$AY210,'recurring2_based on steps'!$B$1:$AY$1,X$1)+SUMIFS('changes2_based on steps'!$B210:$U210,'changes2_based on steps'!$B$1:$U$1,X$1)</f>
        <v>0</v>
      </c>
      <c r="Y210" s="179">
        <f>SUMIFS('recurring2_based on steps'!$B210:$AY210,'recurring2_based on steps'!$B$1:$AY$1,Y$1)+SUMIFS('changes2_based on steps'!$B210:$U210,'changes2_based on steps'!$B$1:$U$1,Y$1)</f>
        <v>0</v>
      </c>
      <c r="Z210" s="179">
        <f>SUMIFS('recurring2_based on steps'!$B210:$AY210,'recurring2_based on steps'!$B$1:$AY$1,Z$1)+SUMIFS('changes2_based on steps'!$B210:$U210,'changes2_based on steps'!$B$1:$U$1,Z$1)</f>
        <v>0</v>
      </c>
      <c r="AA210" s="179">
        <f>SUMIFS('recurring2_based on steps'!$B210:$AY210,'recurring2_based on steps'!$B$1:$AY$1,AA$1)+SUMIFS('changes2_based on steps'!$B210:$U210,'changes2_based on steps'!$B$1:$U$1,AA$1)</f>
        <v>0</v>
      </c>
      <c r="AB210" s="179">
        <f>SUMIFS('recurring2_based on steps'!$B210:$AY210,'recurring2_based on steps'!$B$1:$AY$1,AB$1)+SUMIFS('changes2_based on steps'!$B210:$U210,'changes2_based on steps'!$B$1:$U$1,AB$1)</f>
        <v>0</v>
      </c>
      <c r="AC210" s="179">
        <f>SUMIFS('recurring2_based on steps'!$B210:$AY210,'recurring2_based on steps'!$B$1:$AY$1,AC$1)+SUMIFS('changes2_based on steps'!$B210:$U210,'changes2_based on steps'!$B$1:$U$1,AC$1)</f>
        <v>0</v>
      </c>
      <c r="AD210" s="179">
        <f>SUMIFS('recurring2_based on steps'!$B210:$AY210,'recurring2_based on steps'!$B$1:$AY$1,AD$1)+SUMIFS('changes2_based on steps'!$B210:$U210,'changes2_based on steps'!$B$1:$U$1,AD$1)</f>
        <v>0</v>
      </c>
      <c r="AE210" s="179">
        <f>SUMIFS('recurring2_based on steps'!$B210:$AY210,'recurring2_based on steps'!$B$1:$AY$1,AE$1)+SUMIFS('changes2_based on steps'!$B210:$U210,'changes2_based on steps'!$B$1:$U$1,AE$1)</f>
        <v>0</v>
      </c>
      <c r="AF210" s="179"/>
      <c r="AG210" s="179"/>
      <c r="AH210" s="179"/>
      <c r="AI210" s="179"/>
      <c r="AJ210" s="179"/>
      <c r="AK210" s="179"/>
      <c r="AL210" s="179"/>
      <c r="AM210" s="179"/>
    </row>
    <row r="211" spans="1:39" x14ac:dyDescent="0.2">
      <c r="A211" s="32">
        <f t="shared" ca="1" si="3"/>
        <v>45960</v>
      </c>
      <c r="B211" s="179">
        <f>SUMIFS('recurring2_based on steps'!$B211:$AY211,'recurring2_based on steps'!$B$1:$AY$1,B$1)+SUMIFS('changes2_based on steps'!$B211:$U211,'changes2_based on steps'!$B$1:$U$1,B$1)</f>
        <v>0</v>
      </c>
      <c r="C211" s="179">
        <f>SUMIFS('recurring2_based on steps'!$B211:$AY211,'recurring2_based on steps'!$B$1:$AY$1,C$1)+SUMIFS('changes2_based on steps'!$B211:$U211,'changes2_based on steps'!$B$1:$U$1,C$1)</f>
        <v>0</v>
      </c>
      <c r="D211" s="179">
        <f>SUMIFS('recurring2_based on steps'!$B211:$AY211,'recurring2_based on steps'!$B$1:$AY$1,D$1)+SUMIFS('changes2_based on steps'!$B211:$U211,'changes2_based on steps'!$B$1:$U$1,D$1)</f>
        <v>0</v>
      </c>
      <c r="E211" s="179">
        <f>SUMIFS('recurring2_based on steps'!$B211:$AY211,'recurring2_based on steps'!$B$1:$AY$1,E$1)+SUMIFS('changes2_based on steps'!$B211:$U211,'changes2_based on steps'!$B$1:$U$1,E$1)</f>
        <v>0</v>
      </c>
      <c r="F211" s="179">
        <f>SUMIFS('recurring2_based on steps'!$B211:$AY211,'recurring2_based on steps'!$B$1:$AY$1,F$1)+SUMIFS('changes2_based on steps'!$B211:$U211,'changes2_based on steps'!$B$1:$U$1,F$1)</f>
        <v>0</v>
      </c>
      <c r="G211" s="179">
        <f>SUMIFS('recurring2_based on steps'!$B211:$AY211,'recurring2_based on steps'!$B$1:$AY$1,G$1)+SUMIFS('changes2_based on steps'!$B211:$U211,'changes2_based on steps'!$B$1:$U$1,G$1)</f>
        <v>0</v>
      </c>
      <c r="H211" s="179">
        <f>SUMIFS('recurring2_based on steps'!$B211:$AY211,'recurring2_based on steps'!$B$1:$AY$1,H$1)+SUMIFS('changes2_based on steps'!$B211:$U211,'changes2_based on steps'!$B$1:$U$1,H$1)</f>
        <v>0</v>
      </c>
      <c r="I211" s="179">
        <f>SUMIFS('recurring2_based on steps'!$B211:$AY211,'recurring2_based on steps'!$B$1:$AY$1,I$1)+SUMIFS('changes2_based on steps'!$B211:$U211,'changes2_based on steps'!$B$1:$U$1,I$1)</f>
        <v>0</v>
      </c>
      <c r="J211" s="179">
        <f>SUMIFS('recurring2_based on steps'!$B211:$AY211,'recurring2_based on steps'!$B$1:$AY$1,J$1)+SUMIFS('changes2_based on steps'!$B211:$U211,'changes2_based on steps'!$B$1:$U$1,J$1)</f>
        <v>0</v>
      </c>
      <c r="K211" s="179">
        <f>SUMIFS('recurring2_based on steps'!$B211:$AY211,'recurring2_based on steps'!$B$1:$AY$1,K$1)+SUMIFS('changes2_based on steps'!$B211:$U211,'changes2_based on steps'!$B$1:$U$1,K$1)</f>
        <v>0</v>
      </c>
      <c r="L211" s="179">
        <f>SUMIFS('recurring2_based on steps'!$B211:$AY211,'recurring2_based on steps'!$B$1:$AY$1,L$1)+SUMIFS('changes2_based on steps'!$B211:$U211,'changes2_based on steps'!$B$1:$U$1,L$1)</f>
        <v>0</v>
      </c>
      <c r="M211" s="179">
        <f>SUMIFS('recurring2_based on steps'!$B211:$AY211,'recurring2_based on steps'!$B$1:$AY$1,M$1)+SUMIFS('changes2_based on steps'!$B211:$U211,'changes2_based on steps'!$B$1:$U$1,M$1)</f>
        <v>0</v>
      </c>
      <c r="N211" s="179">
        <f>SUMIFS('recurring2_based on steps'!$B211:$AY211,'recurring2_based on steps'!$B$1:$AY$1,N$1)+SUMIFS('changes2_based on steps'!$B211:$U211,'changes2_based on steps'!$B$1:$U$1,N$1)</f>
        <v>0</v>
      </c>
      <c r="O211" s="179">
        <f>SUMIFS('recurring2_based on steps'!$B211:$AY211,'recurring2_based on steps'!$B$1:$AY$1,O$1)+SUMIFS('changes2_based on steps'!$B211:$U211,'changes2_based on steps'!$B$1:$U$1,O$1)</f>
        <v>0</v>
      </c>
      <c r="P211" s="179">
        <f>SUMIFS('recurring2_based on steps'!$B211:$AY211,'recurring2_based on steps'!$B$1:$AY$1,P$1)+SUMIFS('changes2_based on steps'!$B211:$U211,'changes2_based on steps'!$B$1:$U$1,P$1)</f>
        <v>0</v>
      </c>
      <c r="Q211" s="179">
        <f>SUMIFS('recurring2_based on steps'!$B211:$AY211,'recurring2_based on steps'!$B$1:$AY$1,Q$1)+SUMIFS('changes2_based on steps'!$B211:$U211,'changes2_based on steps'!$B$1:$U$1,Q$1)</f>
        <v>0</v>
      </c>
      <c r="R211" s="179">
        <f>SUMIFS('recurring2_based on steps'!$B211:$AY211,'recurring2_based on steps'!$B$1:$AY$1,R$1)+SUMIFS('changes2_based on steps'!$B211:$U211,'changes2_based on steps'!$B$1:$U$1,R$1)</f>
        <v>0</v>
      </c>
      <c r="S211" s="179">
        <f>SUMIFS('recurring2_based on steps'!$B211:$AY211,'recurring2_based on steps'!$B$1:$AY$1,S$1)+SUMIFS('changes2_based on steps'!$B211:$U211,'changes2_based on steps'!$B$1:$U$1,S$1)</f>
        <v>0</v>
      </c>
      <c r="T211" s="179">
        <f>SUMIFS('recurring2_based on steps'!$B211:$AY211,'recurring2_based on steps'!$B$1:$AY$1,T$1)+SUMIFS('changes2_based on steps'!$B211:$U211,'changes2_based on steps'!$B$1:$U$1,T$1)</f>
        <v>0</v>
      </c>
      <c r="U211" s="179">
        <f>SUMIFS('recurring2_based on steps'!$B211:$AY211,'recurring2_based on steps'!$B$1:$AY$1,U$1)+SUMIFS('changes2_based on steps'!$B211:$U211,'changes2_based on steps'!$B$1:$U$1,U$1)</f>
        <v>0</v>
      </c>
      <c r="V211" s="179">
        <f>SUMIFS('recurring2_based on steps'!$B211:$AY211,'recurring2_based on steps'!$B$1:$AY$1,V$1)+SUMIFS('changes2_based on steps'!$B211:$U211,'changes2_based on steps'!$B$1:$U$1,V$1)</f>
        <v>0</v>
      </c>
      <c r="W211" s="179">
        <f>SUMIFS('recurring2_based on steps'!$B211:$AY211,'recurring2_based on steps'!$B$1:$AY$1,W$1)+SUMIFS('changes2_based on steps'!$B211:$U211,'changes2_based on steps'!$B$1:$U$1,W$1)</f>
        <v>0</v>
      </c>
      <c r="X211" s="179">
        <f>SUMIFS('recurring2_based on steps'!$B211:$AY211,'recurring2_based on steps'!$B$1:$AY$1,X$1)+SUMIFS('changes2_based on steps'!$B211:$U211,'changes2_based on steps'!$B$1:$U$1,X$1)</f>
        <v>0</v>
      </c>
      <c r="Y211" s="179">
        <f>SUMIFS('recurring2_based on steps'!$B211:$AY211,'recurring2_based on steps'!$B$1:$AY$1,Y$1)+SUMIFS('changes2_based on steps'!$B211:$U211,'changes2_based on steps'!$B$1:$U$1,Y$1)</f>
        <v>0</v>
      </c>
      <c r="Z211" s="179">
        <f>SUMIFS('recurring2_based on steps'!$B211:$AY211,'recurring2_based on steps'!$B$1:$AY$1,Z$1)+SUMIFS('changes2_based on steps'!$B211:$U211,'changes2_based on steps'!$B$1:$U$1,Z$1)</f>
        <v>0</v>
      </c>
      <c r="AA211" s="179">
        <f>SUMIFS('recurring2_based on steps'!$B211:$AY211,'recurring2_based on steps'!$B$1:$AY$1,AA$1)+SUMIFS('changes2_based on steps'!$B211:$U211,'changes2_based on steps'!$B$1:$U$1,AA$1)</f>
        <v>0</v>
      </c>
      <c r="AB211" s="179">
        <f>SUMIFS('recurring2_based on steps'!$B211:$AY211,'recurring2_based on steps'!$B$1:$AY$1,AB$1)+SUMIFS('changes2_based on steps'!$B211:$U211,'changes2_based on steps'!$B$1:$U$1,AB$1)</f>
        <v>0</v>
      </c>
      <c r="AC211" s="179">
        <f>SUMIFS('recurring2_based on steps'!$B211:$AY211,'recurring2_based on steps'!$B$1:$AY$1,AC$1)+SUMIFS('changes2_based on steps'!$B211:$U211,'changes2_based on steps'!$B$1:$U$1,AC$1)</f>
        <v>0</v>
      </c>
      <c r="AD211" s="179">
        <f>SUMIFS('recurring2_based on steps'!$B211:$AY211,'recurring2_based on steps'!$B$1:$AY$1,AD$1)+SUMIFS('changes2_based on steps'!$B211:$U211,'changes2_based on steps'!$B$1:$U$1,AD$1)</f>
        <v>0</v>
      </c>
      <c r="AE211" s="179">
        <f>SUMIFS('recurring2_based on steps'!$B211:$AY211,'recurring2_based on steps'!$B$1:$AY$1,AE$1)+SUMIFS('changes2_based on steps'!$B211:$U211,'changes2_based on steps'!$B$1:$U$1,AE$1)</f>
        <v>0</v>
      </c>
      <c r="AF211" s="179"/>
      <c r="AG211" s="179"/>
      <c r="AH211" s="179"/>
      <c r="AI211" s="179"/>
      <c r="AJ211" s="179"/>
      <c r="AK211" s="179"/>
      <c r="AL211" s="179"/>
      <c r="AM211" s="179"/>
    </row>
    <row r="212" spans="1:39" x14ac:dyDescent="0.2">
      <c r="A212" s="32">
        <f t="shared" ca="1" si="3"/>
        <v>45961</v>
      </c>
      <c r="B212" s="179">
        <f>SUMIFS('recurring2_based on steps'!$B212:$AY212,'recurring2_based on steps'!$B$1:$AY$1,B$1)+SUMIFS('changes2_based on steps'!$B212:$U212,'changes2_based on steps'!$B$1:$U$1,B$1)</f>
        <v>0</v>
      </c>
      <c r="C212" s="179">
        <f>SUMIFS('recurring2_based on steps'!$B212:$AY212,'recurring2_based on steps'!$B$1:$AY$1,C$1)+SUMIFS('changes2_based on steps'!$B212:$U212,'changes2_based on steps'!$B$1:$U$1,C$1)</f>
        <v>0</v>
      </c>
      <c r="D212" s="179">
        <f>SUMIFS('recurring2_based on steps'!$B212:$AY212,'recurring2_based on steps'!$B$1:$AY$1,D$1)+SUMIFS('changes2_based on steps'!$B212:$U212,'changes2_based on steps'!$B$1:$U$1,D$1)</f>
        <v>0</v>
      </c>
      <c r="E212" s="179">
        <f>SUMIFS('recurring2_based on steps'!$B212:$AY212,'recurring2_based on steps'!$B$1:$AY$1,E$1)+SUMIFS('changes2_based on steps'!$B212:$U212,'changes2_based on steps'!$B$1:$U$1,E$1)</f>
        <v>0</v>
      </c>
      <c r="F212" s="179">
        <f>SUMIFS('recurring2_based on steps'!$B212:$AY212,'recurring2_based on steps'!$B$1:$AY$1,F$1)+SUMIFS('changes2_based on steps'!$B212:$U212,'changes2_based on steps'!$B$1:$U$1,F$1)</f>
        <v>0</v>
      </c>
      <c r="G212" s="179">
        <f>SUMIFS('recurring2_based on steps'!$B212:$AY212,'recurring2_based on steps'!$B$1:$AY$1,G$1)+SUMIFS('changes2_based on steps'!$B212:$U212,'changes2_based on steps'!$B$1:$U$1,G$1)</f>
        <v>0</v>
      </c>
      <c r="H212" s="179">
        <f>SUMIFS('recurring2_based on steps'!$B212:$AY212,'recurring2_based on steps'!$B$1:$AY$1,H$1)+SUMIFS('changes2_based on steps'!$B212:$U212,'changes2_based on steps'!$B$1:$U$1,H$1)</f>
        <v>0</v>
      </c>
      <c r="I212" s="179">
        <f>SUMIFS('recurring2_based on steps'!$B212:$AY212,'recurring2_based on steps'!$B$1:$AY$1,I$1)+SUMIFS('changes2_based on steps'!$B212:$U212,'changes2_based on steps'!$B$1:$U$1,I$1)</f>
        <v>0</v>
      </c>
      <c r="J212" s="179">
        <f>SUMIFS('recurring2_based on steps'!$B212:$AY212,'recurring2_based on steps'!$B$1:$AY$1,J$1)+SUMIFS('changes2_based on steps'!$B212:$U212,'changes2_based on steps'!$B$1:$U$1,J$1)</f>
        <v>0</v>
      </c>
      <c r="K212" s="179">
        <f>SUMIFS('recurring2_based on steps'!$B212:$AY212,'recurring2_based on steps'!$B$1:$AY$1,K$1)+SUMIFS('changes2_based on steps'!$B212:$U212,'changes2_based on steps'!$B$1:$U$1,K$1)</f>
        <v>0</v>
      </c>
      <c r="L212" s="179">
        <f>SUMIFS('recurring2_based on steps'!$B212:$AY212,'recurring2_based on steps'!$B$1:$AY$1,L$1)+SUMIFS('changes2_based on steps'!$B212:$U212,'changes2_based on steps'!$B$1:$U$1,L$1)</f>
        <v>0</v>
      </c>
      <c r="M212" s="179">
        <f>SUMIFS('recurring2_based on steps'!$B212:$AY212,'recurring2_based on steps'!$B$1:$AY$1,M$1)+SUMIFS('changes2_based on steps'!$B212:$U212,'changes2_based on steps'!$B$1:$U$1,M$1)</f>
        <v>0</v>
      </c>
      <c r="N212" s="179">
        <f>SUMIFS('recurring2_based on steps'!$B212:$AY212,'recurring2_based on steps'!$B$1:$AY$1,N$1)+SUMIFS('changes2_based on steps'!$B212:$U212,'changes2_based on steps'!$B$1:$U$1,N$1)</f>
        <v>0</v>
      </c>
      <c r="O212" s="179">
        <f>SUMIFS('recurring2_based on steps'!$B212:$AY212,'recurring2_based on steps'!$B$1:$AY$1,O$1)+SUMIFS('changes2_based on steps'!$B212:$U212,'changes2_based on steps'!$B$1:$U$1,O$1)</f>
        <v>0</v>
      </c>
      <c r="P212" s="179">
        <f>SUMIFS('recurring2_based on steps'!$B212:$AY212,'recurring2_based on steps'!$B$1:$AY$1,P$1)+SUMIFS('changes2_based on steps'!$B212:$U212,'changes2_based on steps'!$B$1:$U$1,P$1)</f>
        <v>0</v>
      </c>
      <c r="Q212" s="179">
        <f>SUMIFS('recurring2_based on steps'!$B212:$AY212,'recurring2_based on steps'!$B$1:$AY$1,Q$1)+SUMIFS('changes2_based on steps'!$B212:$U212,'changes2_based on steps'!$B$1:$U$1,Q$1)</f>
        <v>0</v>
      </c>
      <c r="R212" s="179">
        <f>SUMIFS('recurring2_based on steps'!$B212:$AY212,'recurring2_based on steps'!$B$1:$AY$1,R$1)+SUMIFS('changes2_based on steps'!$B212:$U212,'changes2_based on steps'!$B$1:$U$1,R$1)</f>
        <v>0</v>
      </c>
      <c r="S212" s="179">
        <f>SUMIFS('recurring2_based on steps'!$B212:$AY212,'recurring2_based on steps'!$B$1:$AY$1,S$1)+SUMIFS('changes2_based on steps'!$B212:$U212,'changes2_based on steps'!$B$1:$U$1,S$1)</f>
        <v>0</v>
      </c>
      <c r="T212" s="179">
        <f>SUMIFS('recurring2_based on steps'!$B212:$AY212,'recurring2_based on steps'!$B$1:$AY$1,T$1)+SUMIFS('changes2_based on steps'!$B212:$U212,'changes2_based on steps'!$B$1:$U$1,T$1)</f>
        <v>0</v>
      </c>
      <c r="U212" s="179">
        <f>SUMIFS('recurring2_based on steps'!$B212:$AY212,'recurring2_based on steps'!$B$1:$AY$1,U$1)+SUMIFS('changes2_based on steps'!$B212:$U212,'changes2_based on steps'!$B$1:$U$1,U$1)</f>
        <v>0</v>
      </c>
      <c r="V212" s="179">
        <f>SUMIFS('recurring2_based on steps'!$B212:$AY212,'recurring2_based on steps'!$B$1:$AY$1,V$1)+SUMIFS('changes2_based on steps'!$B212:$U212,'changes2_based on steps'!$B$1:$U$1,V$1)</f>
        <v>0</v>
      </c>
      <c r="W212" s="179">
        <f>SUMIFS('recurring2_based on steps'!$B212:$AY212,'recurring2_based on steps'!$B$1:$AY$1,W$1)+SUMIFS('changes2_based on steps'!$B212:$U212,'changes2_based on steps'!$B$1:$U$1,W$1)</f>
        <v>0</v>
      </c>
      <c r="X212" s="179">
        <f>SUMIFS('recurring2_based on steps'!$B212:$AY212,'recurring2_based on steps'!$B$1:$AY$1,X$1)+SUMIFS('changes2_based on steps'!$B212:$U212,'changes2_based on steps'!$B$1:$U$1,X$1)</f>
        <v>0</v>
      </c>
      <c r="Y212" s="179">
        <f>SUMIFS('recurring2_based on steps'!$B212:$AY212,'recurring2_based on steps'!$B$1:$AY$1,Y$1)+SUMIFS('changes2_based on steps'!$B212:$U212,'changes2_based on steps'!$B$1:$U$1,Y$1)</f>
        <v>0</v>
      </c>
      <c r="Z212" s="179">
        <f>SUMIFS('recurring2_based on steps'!$B212:$AY212,'recurring2_based on steps'!$B$1:$AY$1,Z$1)+SUMIFS('changes2_based on steps'!$B212:$U212,'changes2_based on steps'!$B$1:$U$1,Z$1)</f>
        <v>0</v>
      </c>
      <c r="AA212" s="179">
        <f>SUMIFS('recurring2_based on steps'!$B212:$AY212,'recurring2_based on steps'!$B$1:$AY$1,AA$1)+SUMIFS('changes2_based on steps'!$B212:$U212,'changes2_based on steps'!$B$1:$U$1,AA$1)</f>
        <v>0</v>
      </c>
      <c r="AB212" s="179">
        <f>SUMIFS('recurring2_based on steps'!$B212:$AY212,'recurring2_based on steps'!$B$1:$AY$1,AB$1)+SUMIFS('changes2_based on steps'!$B212:$U212,'changes2_based on steps'!$B$1:$U$1,AB$1)</f>
        <v>0</v>
      </c>
      <c r="AC212" s="179">
        <f>SUMIFS('recurring2_based on steps'!$B212:$AY212,'recurring2_based on steps'!$B$1:$AY$1,AC$1)+SUMIFS('changes2_based on steps'!$B212:$U212,'changes2_based on steps'!$B$1:$U$1,AC$1)</f>
        <v>0</v>
      </c>
      <c r="AD212" s="179">
        <f>SUMIFS('recurring2_based on steps'!$B212:$AY212,'recurring2_based on steps'!$B$1:$AY$1,AD$1)+SUMIFS('changes2_based on steps'!$B212:$U212,'changes2_based on steps'!$B$1:$U$1,AD$1)</f>
        <v>0</v>
      </c>
      <c r="AE212" s="179">
        <f>SUMIFS('recurring2_based on steps'!$B212:$AY212,'recurring2_based on steps'!$B$1:$AY$1,AE$1)+SUMIFS('changes2_based on steps'!$B212:$U212,'changes2_based on steps'!$B$1:$U$1,AE$1)</f>
        <v>0</v>
      </c>
      <c r="AF212" s="179"/>
      <c r="AG212" s="179"/>
      <c r="AH212" s="179"/>
      <c r="AI212" s="179"/>
      <c r="AJ212" s="179"/>
      <c r="AK212" s="179"/>
      <c r="AL212" s="179"/>
      <c r="AM212" s="179"/>
    </row>
    <row r="213" spans="1:39" x14ac:dyDescent="0.2">
      <c r="A213" s="32">
        <f t="shared" ca="1" si="3"/>
        <v>45962</v>
      </c>
      <c r="B213" s="179">
        <f>SUMIFS('recurring2_based on steps'!$B213:$AY213,'recurring2_based on steps'!$B$1:$AY$1,B$1)+SUMIFS('changes2_based on steps'!$B213:$U213,'changes2_based on steps'!$B$1:$U$1,B$1)</f>
        <v>0</v>
      </c>
      <c r="C213" s="179">
        <f>SUMIFS('recurring2_based on steps'!$B213:$AY213,'recurring2_based on steps'!$B$1:$AY$1,C$1)+SUMIFS('changes2_based on steps'!$B213:$U213,'changes2_based on steps'!$B$1:$U$1,C$1)</f>
        <v>0</v>
      </c>
      <c r="D213" s="179">
        <f>SUMIFS('recurring2_based on steps'!$B213:$AY213,'recurring2_based on steps'!$B$1:$AY$1,D$1)+SUMIFS('changes2_based on steps'!$B213:$U213,'changes2_based on steps'!$B$1:$U$1,D$1)</f>
        <v>0</v>
      </c>
      <c r="E213" s="179">
        <f>SUMIFS('recurring2_based on steps'!$B213:$AY213,'recurring2_based on steps'!$B$1:$AY$1,E$1)+SUMIFS('changes2_based on steps'!$B213:$U213,'changes2_based on steps'!$B$1:$U$1,E$1)</f>
        <v>0</v>
      </c>
      <c r="F213" s="179">
        <f>SUMIFS('recurring2_based on steps'!$B213:$AY213,'recurring2_based on steps'!$B$1:$AY$1,F$1)+SUMIFS('changes2_based on steps'!$B213:$U213,'changes2_based on steps'!$B$1:$U$1,F$1)</f>
        <v>0</v>
      </c>
      <c r="G213" s="179">
        <f>SUMIFS('recurring2_based on steps'!$B213:$AY213,'recurring2_based on steps'!$B$1:$AY$1,G$1)+SUMIFS('changes2_based on steps'!$B213:$U213,'changes2_based on steps'!$B$1:$U$1,G$1)</f>
        <v>0</v>
      </c>
      <c r="H213" s="179">
        <f>SUMIFS('recurring2_based on steps'!$B213:$AY213,'recurring2_based on steps'!$B$1:$AY$1,H$1)+SUMIFS('changes2_based on steps'!$B213:$U213,'changes2_based on steps'!$B$1:$U$1,H$1)</f>
        <v>0</v>
      </c>
      <c r="I213" s="179">
        <f>SUMIFS('recurring2_based on steps'!$B213:$AY213,'recurring2_based on steps'!$B$1:$AY$1,I$1)+SUMIFS('changes2_based on steps'!$B213:$U213,'changes2_based on steps'!$B$1:$U$1,I$1)</f>
        <v>0</v>
      </c>
      <c r="J213" s="179">
        <f>SUMIFS('recurring2_based on steps'!$B213:$AY213,'recurring2_based on steps'!$B$1:$AY$1,J$1)+SUMIFS('changes2_based on steps'!$B213:$U213,'changes2_based on steps'!$B$1:$U$1,J$1)</f>
        <v>0</v>
      </c>
      <c r="K213" s="179">
        <f>SUMIFS('recurring2_based on steps'!$B213:$AY213,'recurring2_based on steps'!$B$1:$AY$1,K$1)+SUMIFS('changes2_based on steps'!$B213:$U213,'changes2_based on steps'!$B$1:$U$1,K$1)</f>
        <v>0</v>
      </c>
      <c r="L213" s="179">
        <f>SUMIFS('recurring2_based on steps'!$B213:$AY213,'recurring2_based on steps'!$B$1:$AY$1,L$1)+SUMIFS('changes2_based on steps'!$B213:$U213,'changes2_based on steps'!$B$1:$U$1,L$1)</f>
        <v>0</v>
      </c>
      <c r="M213" s="179">
        <f>SUMIFS('recurring2_based on steps'!$B213:$AY213,'recurring2_based on steps'!$B$1:$AY$1,M$1)+SUMIFS('changes2_based on steps'!$B213:$U213,'changes2_based on steps'!$B$1:$U$1,M$1)</f>
        <v>0</v>
      </c>
      <c r="N213" s="179">
        <f>SUMIFS('recurring2_based on steps'!$B213:$AY213,'recurring2_based on steps'!$B$1:$AY$1,N$1)+SUMIFS('changes2_based on steps'!$B213:$U213,'changes2_based on steps'!$B$1:$U$1,N$1)</f>
        <v>0</v>
      </c>
      <c r="O213" s="179">
        <f>SUMIFS('recurring2_based on steps'!$B213:$AY213,'recurring2_based on steps'!$B$1:$AY$1,O$1)+SUMIFS('changes2_based on steps'!$B213:$U213,'changes2_based on steps'!$B$1:$U$1,O$1)</f>
        <v>0</v>
      </c>
      <c r="P213" s="179">
        <f>SUMIFS('recurring2_based on steps'!$B213:$AY213,'recurring2_based on steps'!$B$1:$AY$1,P$1)+SUMIFS('changes2_based on steps'!$B213:$U213,'changes2_based on steps'!$B$1:$U$1,P$1)</f>
        <v>0</v>
      </c>
      <c r="Q213" s="179">
        <f>SUMIFS('recurring2_based on steps'!$B213:$AY213,'recurring2_based on steps'!$B$1:$AY$1,Q$1)+SUMIFS('changes2_based on steps'!$B213:$U213,'changes2_based on steps'!$B$1:$U$1,Q$1)</f>
        <v>0</v>
      </c>
      <c r="R213" s="179">
        <f>SUMIFS('recurring2_based on steps'!$B213:$AY213,'recurring2_based on steps'!$B$1:$AY$1,R$1)+SUMIFS('changes2_based on steps'!$B213:$U213,'changes2_based on steps'!$B$1:$U$1,R$1)</f>
        <v>0</v>
      </c>
      <c r="S213" s="179">
        <f>SUMIFS('recurring2_based on steps'!$B213:$AY213,'recurring2_based on steps'!$B$1:$AY$1,S$1)+SUMIFS('changes2_based on steps'!$B213:$U213,'changes2_based on steps'!$B$1:$U$1,S$1)</f>
        <v>0</v>
      </c>
      <c r="T213" s="179">
        <f>SUMIFS('recurring2_based on steps'!$B213:$AY213,'recurring2_based on steps'!$B$1:$AY$1,T$1)+SUMIFS('changes2_based on steps'!$B213:$U213,'changes2_based on steps'!$B$1:$U$1,T$1)</f>
        <v>0</v>
      </c>
      <c r="U213" s="179">
        <f>SUMIFS('recurring2_based on steps'!$B213:$AY213,'recurring2_based on steps'!$B$1:$AY$1,U$1)+SUMIFS('changes2_based on steps'!$B213:$U213,'changes2_based on steps'!$B$1:$U$1,U$1)</f>
        <v>0</v>
      </c>
      <c r="V213" s="179">
        <f>SUMIFS('recurring2_based on steps'!$B213:$AY213,'recurring2_based on steps'!$B$1:$AY$1,V$1)+SUMIFS('changes2_based on steps'!$B213:$U213,'changes2_based on steps'!$B$1:$U$1,V$1)</f>
        <v>0</v>
      </c>
      <c r="W213" s="179">
        <f>SUMIFS('recurring2_based on steps'!$B213:$AY213,'recurring2_based on steps'!$B$1:$AY$1,W$1)+SUMIFS('changes2_based on steps'!$B213:$U213,'changes2_based on steps'!$B$1:$U$1,W$1)</f>
        <v>0</v>
      </c>
      <c r="X213" s="179">
        <f>SUMIFS('recurring2_based on steps'!$B213:$AY213,'recurring2_based on steps'!$B$1:$AY$1,X$1)+SUMIFS('changes2_based on steps'!$B213:$U213,'changes2_based on steps'!$B$1:$U$1,X$1)</f>
        <v>0</v>
      </c>
      <c r="Y213" s="179">
        <f>SUMIFS('recurring2_based on steps'!$B213:$AY213,'recurring2_based on steps'!$B$1:$AY$1,Y$1)+SUMIFS('changes2_based on steps'!$B213:$U213,'changes2_based on steps'!$B$1:$U$1,Y$1)</f>
        <v>0</v>
      </c>
      <c r="Z213" s="179">
        <f>SUMIFS('recurring2_based on steps'!$B213:$AY213,'recurring2_based on steps'!$B$1:$AY$1,Z$1)+SUMIFS('changes2_based on steps'!$B213:$U213,'changes2_based on steps'!$B$1:$U$1,Z$1)</f>
        <v>0</v>
      </c>
      <c r="AA213" s="179">
        <f>SUMIFS('recurring2_based on steps'!$B213:$AY213,'recurring2_based on steps'!$B$1:$AY$1,AA$1)+SUMIFS('changes2_based on steps'!$B213:$U213,'changes2_based on steps'!$B$1:$U$1,AA$1)</f>
        <v>0</v>
      </c>
      <c r="AB213" s="179">
        <f>SUMIFS('recurring2_based on steps'!$B213:$AY213,'recurring2_based on steps'!$B$1:$AY$1,AB$1)+SUMIFS('changes2_based on steps'!$B213:$U213,'changes2_based on steps'!$B$1:$U$1,AB$1)</f>
        <v>0</v>
      </c>
      <c r="AC213" s="179">
        <f>SUMIFS('recurring2_based on steps'!$B213:$AY213,'recurring2_based on steps'!$B$1:$AY$1,AC$1)+SUMIFS('changes2_based on steps'!$B213:$U213,'changes2_based on steps'!$B$1:$U$1,AC$1)</f>
        <v>0</v>
      </c>
      <c r="AD213" s="179">
        <f>SUMIFS('recurring2_based on steps'!$B213:$AY213,'recurring2_based on steps'!$B$1:$AY$1,AD$1)+SUMIFS('changes2_based on steps'!$B213:$U213,'changes2_based on steps'!$B$1:$U$1,AD$1)</f>
        <v>0</v>
      </c>
      <c r="AE213" s="179">
        <f>SUMIFS('recurring2_based on steps'!$B213:$AY213,'recurring2_based on steps'!$B$1:$AY$1,AE$1)+SUMIFS('changes2_based on steps'!$B213:$U213,'changes2_based on steps'!$B$1:$U$1,AE$1)</f>
        <v>0</v>
      </c>
      <c r="AF213" s="179"/>
      <c r="AG213" s="179"/>
      <c r="AH213" s="179"/>
      <c r="AI213" s="179"/>
      <c r="AJ213" s="179"/>
      <c r="AK213" s="179"/>
      <c r="AL213" s="179"/>
      <c r="AM213" s="179"/>
    </row>
    <row r="214" spans="1:39" x14ac:dyDescent="0.2">
      <c r="A214" s="32">
        <f t="shared" ca="1" si="3"/>
        <v>45963</v>
      </c>
      <c r="B214" s="179">
        <f>SUMIFS('recurring2_based on steps'!$B214:$AY214,'recurring2_based on steps'!$B$1:$AY$1,B$1)+SUMIFS('changes2_based on steps'!$B214:$U214,'changes2_based on steps'!$B$1:$U$1,B$1)</f>
        <v>0</v>
      </c>
      <c r="C214" s="179">
        <f>SUMIFS('recurring2_based on steps'!$B214:$AY214,'recurring2_based on steps'!$B$1:$AY$1,C$1)+SUMIFS('changes2_based on steps'!$B214:$U214,'changes2_based on steps'!$B$1:$U$1,C$1)</f>
        <v>0</v>
      </c>
      <c r="D214" s="179">
        <f>SUMIFS('recurring2_based on steps'!$B214:$AY214,'recurring2_based on steps'!$B$1:$AY$1,D$1)+SUMIFS('changes2_based on steps'!$B214:$U214,'changes2_based on steps'!$B$1:$U$1,D$1)</f>
        <v>0</v>
      </c>
      <c r="E214" s="179">
        <f>SUMIFS('recurring2_based on steps'!$B214:$AY214,'recurring2_based on steps'!$B$1:$AY$1,E$1)+SUMIFS('changes2_based on steps'!$B214:$U214,'changes2_based on steps'!$B$1:$U$1,E$1)</f>
        <v>0</v>
      </c>
      <c r="F214" s="179">
        <f>SUMIFS('recurring2_based on steps'!$B214:$AY214,'recurring2_based on steps'!$B$1:$AY$1,F$1)+SUMIFS('changes2_based on steps'!$B214:$U214,'changes2_based on steps'!$B$1:$U$1,F$1)</f>
        <v>0</v>
      </c>
      <c r="G214" s="179">
        <f>SUMIFS('recurring2_based on steps'!$B214:$AY214,'recurring2_based on steps'!$B$1:$AY$1,G$1)+SUMIFS('changes2_based on steps'!$B214:$U214,'changes2_based on steps'!$B$1:$U$1,G$1)</f>
        <v>0</v>
      </c>
      <c r="H214" s="179">
        <f>SUMIFS('recurring2_based on steps'!$B214:$AY214,'recurring2_based on steps'!$B$1:$AY$1,H$1)+SUMIFS('changes2_based on steps'!$B214:$U214,'changes2_based on steps'!$B$1:$U$1,H$1)</f>
        <v>0</v>
      </c>
      <c r="I214" s="179">
        <f>SUMIFS('recurring2_based on steps'!$B214:$AY214,'recurring2_based on steps'!$B$1:$AY$1,I$1)+SUMIFS('changes2_based on steps'!$B214:$U214,'changes2_based on steps'!$B$1:$U$1,I$1)</f>
        <v>0</v>
      </c>
      <c r="J214" s="179">
        <f>SUMIFS('recurring2_based on steps'!$B214:$AY214,'recurring2_based on steps'!$B$1:$AY$1,J$1)+SUMIFS('changes2_based on steps'!$B214:$U214,'changes2_based on steps'!$B$1:$U$1,J$1)</f>
        <v>0</v>
      </c>
      <c r="K214" s="179">
        <f>SUMIFS('recurring2_based on steps'!$B214:$AY214,'recurring2_based on steps'!$B$1:$AY$1,K$1)+SUMIFS('changes2_based on steps'!$B214:$U214,'changes2_based on steps'!$B$1:$U$1,K$1)</f>
        <v>0</v>
      </c>
      <c r="L214" s="179">
        <f>SUMIFS('recurring2_based on steps'!$B214:$AY214,'recurring2_based on steps'!$B$1:$AY$1,L$1)+SUMIFS('changes2_based on steps'!$B214:$U214,'changes2_based on steps'!$B$1:$U$1,L$1)</f>
        <v>0</v>
      </c>
      <c r="M214" s="179">
        <f>SUMIFS('recurring2_based on steps'!$B214:$AY214,'recurring2_based on steps'!$B$1:$AY$1,M$1)+SUMIFS('changes2_based on steps'!$B214:$U214,'changes2_based on steps'!$B$1:$U$1,M$1)</f>
        <v>0</v>
      </c>
      <c r="N214" s="179">
        <f>SUMIFS('recurring2_based on steps'!$B214:$AY214,'recurring2_based on steps'!$B$1:$AY$1,N$1)+SUMIFS('changes2_based on steps'!$B214:$U214,'changes2_based on steps'!$B$1:$U$1,N$1)</f>
        <v>0</v>
      </c>
      <c r="O214" s="179">
        <f>SUMIFS('recurring2_based on steps'!$B214:$AY214,'recurring2_based on steps'!$B$1:$AY$1,O$1)+SUMIFS('changes2_based on steps'!$B214:$U214,'changes2_based on steps'!$B$1:$U$1,O$1)</f>
        <v>0</v>
      </c>
      <c r="P214" s="179">
        <f>SUMIFS('recurring2_based on steps'!$B214:$AY214,'recurring2_based on steps'!$B$1:$AY$1,P$1)+SUMIFS('changes2_based on steps'!$B214:$U214,'changes2_based on steps'!$B$1:$U$1,P$1)</f>
        <v>0</v>
      </c>
      <c r="Q214" s="179">
        <f>SUMIFS('recurring2_based on steps'!$B214:$AY214,'recurring2_based on steps'!$B$1:$AY$1,Q$1)+SUMIFS('changes2_based on steps'!$B214:$U214,'changes2_based on steps'!$B$1:$U$1,Q$1)</f>
        <v>0</v>
      </c>
      <c r="R214" s="179">
        <f>SUMIFS('recurring2_based on steps'!$B214:$AY214,'recurring2_based on steps'!$B$1:$AY$1,R$1)+SUMIFS('changes2_based on steps'!$B214:$U214,'changes2_based on steps'!$B$1:$U$1,R$1)</f>
        <v>0</v>
      </c>
      <c r="S214" s="179">
        <f>SUMIFS('recurring2_based on steps'!$B214:$AY214,'recurring2_based on steps'!$B$1:$AY$1,S$1)+SUMIFS('changes2_based on steps'!$B214:$U214,'changes2_based on steps'!$B$1:$U$1,S$1)</f>
        <v>0</v>
      </c>
      <c r="T214" s="179">
        <f>SUMIFS('recurring2_based on steps'!$B214:$AY214,'recurring2_based on steps'!$B$1:$AY$1,T$1)+SUMIFS('changes2_based on steps'!$B214:$U214,'changes2_based on steps'!$B$1:$U$1,T$1)</f>
        <v>0</v>
      </c>
      <c r="U214" s="179">
        <f>SUMIFS('recurring2_based on steps'!$B214:$AY214,'recurring2_based on steps'!$B$1:$AY$1,U$1)+SUMIFS('changes2_based on steps'!$B214:$U214,'changes2_based on steps'!$B$1:$U$1,U$1)</f>
        <v>0</v>
      </c>
      <c r="V214" s="179">
        <f>SUMIFS('recurring2_based on steps'!$B214:$AY214,'recurring2_based on steps'!$B$1:$AY$1,V$1)+SUMIFS('changes2_based on steps'!$B214:$U214,'changes2_based on steps'!$B$1:$U$1,V$1)</f>
        <v>0</v>
      </c>
      <c r="W214" s="179">
        <f>SUMIFS('recurring2_based on steps'!$B214:$AY214,'recurring2_based on steps'!$B$1:$AY$1,W$1)+SUMIFS('changes2_based on steps'!$B214:$U214,'changes2_based on steps'!$B$1:$U$1,W$1)</f>
        <v>0</v>
      </c>
      <c r="X214" s="179">
        <f>SUMIFS('recurring2_based on steps'!$B214:$AY214,'recurring2_based on steps'!$B$1:$AY$1,X$1)+SUMIFS('changes2_based on steps'!$B214:$U214,'changes2_based on steps'!$B$1:$U$1,X$1)</f>
        <v>0</v>
      </c>
      <c r="Y214" s="179">
        <f>SUMIFS('recurring2_based on steps'!$B214:$AY214,'recurring2_based on steps'!$B$1:$AY$1,Y$1)+SUMIFS('changes2_based on steps'!$B214:$U214,'changes2_based on steps'!$B$1:$U$1,Y$1)</f>
        <v>0</v>
      </c>
      <c r="Z214" s="179">
        <f>SUMIFS('recurring2_based on steps'!$B214:$AY214,'recurring2_based on steps'!$B$1:$AY$1,Z$1)+SUMIFS('changes2_based on steps'!$B214:$U214,'changes2_based on steps'!$B$1:$U$1,Z$1)</f>
        <v>0</v>
      </c>
      <c r="AA214" s="179">
        <f>SUMIFS('recurring2_based on steps'!$B214:$AY214,'recurring2_based on steps'!$B$1:$AY$1,AA$1)+SUMIFS('changes2_based on steps'!$B214:$U214,'changes2_based on steps'!$B$1:$U$1,AA$1)</f>
        <v>0</v>
      </c>
      <c r="AB214" s="179">
        <f>SUMIFS('recurring2_based on steps'!$B214:$AY214,'recurring2_based on steps'!$B$1:$AY$1,AB$1)+SUMIFS('changes2_based on steps'!$B214:$U214,'changes2_based on steps'!$B$1:$U$1,AB$1)</f>
        <v>0</v>
      </c>
      <c r="AC214" s="179">
        <f>SUMIFS('recurring2_based on steps'!$B214:$AY214,'recurring2_based on steps'!$B$1:$AY$1,AC$1)+SUMIFS('changes2_based on steps'!$B214:$U214,'changes2_based on steps'!$B$1:$U$1,AC$1)</f>
        <v>0</v>
      </c>
      <c r="AD214" s="179">
        <f>SUMIFS('recurring2_based on steps'!$B214:$AY214,'recurring2_based on steps'!$B$1:$AY$1,AD$1)+SUMIFS('changes2_based on steps'!$B214:$U214,'changes2_based on steps'!$B$1:$U$1,AD$1)</f>
        <v>0</v>
      </c>
      <c r="AE214" s="179">
        <f>SUMIFS('recurring2_based on steps'!$B214:$AY214,'recurring2_based on steps'!$B$1:$AY$1,AE$1)+SUMIFS('changes2_based on steps'!$B214:$U214,'changes2_based on steps'!$B$1:$U$1,AE$1)</f>
        <v>0</v>
      </c>
      <c r="AF214" s="179"/>
      <c r="AG214" s="179"/>
      <c r="AH214" s="179"/>
      <c r="AI214" s="179"/>
      <c r="AJ214" s="179"/>
      <c r="AK214" s="179"/>
      <c r="AL214" s="179"/>
      <c r="AM214" s="179"/>
    </row>
    <row r="215" spans="1:39" x14ac:dyDescent="0.2">
      <c r="A215" s="32">
        <f t="shared" ca="1" si="3"/>
        <v>45964</v>
      </c>
      <c r="B215" s="179">
        <f>SUMIFS('recurring2_based on steps'!$B215:$AY215,'recurring2_based on steps'!$B$1:$AY$1,B$1)+SUMIFS('changes2_based on steps'!$B215:$U215,'changes2_based on steps'!$B$1:$U$1,B$1)</f>
        <v>0</v>
      </c>
      <c r="C215" s="179">
        <f>SUMIFS('recurring2_based on steps'!$B215:$AY215,'recurring2_based on steps'!$B$1:$AY$1,C$1)+SUMIFS('changes2_based on steps'!$B215:$U215,'changes2_based on steps'!$B$1:$U$1,C$1)</f>
        <v>0</v>
      </c>
      <c r="D215" s="179">
        <f>SUMIFS('recurring2_based on steps'!$B215:$AY215,'recurring2_based on steps'!$B$1:$AY$1,D$1)+SUMIFS('changes2_based on steps'!$B215:$U215,'changes2_based on steps'!$B$1:$U$1,D$1)</f>
        <v>0</v>
      </c>
      <c r="E215" s="179">
        <f>SUMIFS('recurring2_based on steps'!$B215:$AY215,'recurring2_based on steps'!$B$1:$AY$1,E$1)+SUMIFS('changes2_based on steps'!$B215:$U215,'changes2_based on steps'!$B$1:$U$1,E$1)</f>
        <v>0</v>
      </c>
      <c r="F215" s="179">
        <f>SUMIFS('recurring2_based on steps'!$B215:$AY215,'recurring2_based on steps'!$B$1:$AY$1,F$1)+SUMIFS('changes2_based on steps'!$B215:$U215,'changes2_based on steps'!$B$1:$U$1,F$1)</f>
        <v>0</v>
      </c>
      <c r="G215" s="179">
        <f>SUMIFS('recurring2_based on steps'!$B215:$AY215,'recurring2_based on steps'!$B$1:$AY$1,G$1)+SUMIFS('changes2_based on steps'!$B215:$U215,'changes2_based on steps'!$B$1:$U$1,G$1)</f>
        <v>0</v>
      </c>
      <c r="H215" s="179">
        <f>SUMIFS('recurring2_based on steps'!$B215:$AY215,'recurring2_based on steps'!$B$1:$AY$1,H$1)+SUMIFS('changes2_based on steps'!$B215:$U215,'changes2_based on steps'!$B$1:$U$1,H$1)</f>
        <v>0</v>
      </c>
      <c r="I215" s="179">
        <f>SUMIFS('recurring2_based on steps'!$B215:$AY215,'recurring2_based on steps'!$B$1:$AY$1,I$1)+SUMIFS('changes2_based on steps'!$B215:$U215,'changes2_based on steps'!$B$1:$U$1,I$1)</f>
        <v>0</v>
      </c>
      <c r="J215" s="179">
        <f>SUMIFS('recurring2_based on steps'!$B215:$AY215,'recurring2_based on steps'!$B$1:$AY$1,J$1)+SUMIFS('changes2_based on steps'!$B215:$U215,'changes2_based on steps'!$B$1:$U$1,J$1)</f>
        <v>0</v>
      </c>
      <c r="K215" s="179">
        <f>SUMIFS('recurring2_based on steps'!$B215:$AY215,'recurring2_based on steps'!$B$1:$AY$1,K$1)+SUMIFS('changes2_based on steps'!$B215:$U215,'changes2_based on steps'!$B$1:$U$1,K$1)</f>
        <v>0</v>
      </c>
      <c r="L215" s="179">
        <f>SUMIFS('recurring2_based on steps'!$B215:$AY215,'recurring2_based on steps'!$B$1:$AY$1,L$1)+SUMIFS('changes2_based on steps'!$B215:$U215,'changes2_based on steps'!$B$1:$U$1,L$1)</f>
        <v>0</v>
      </c>
      <c r="M215" s="179">
        <f>SUMIFS('recurring2_based on steps'!$B215:$AY215,'recurring2_based on steps'!$B$1:$AY$1,M$1)+SUMIFS('changes2_based on steps'!$B215:$U215,'changes2_based on steps'!$B$1:$U$1,M$1)</f>
        <v>0</v>
      </c>
      <c r="N215" s="179">
        <f>SUMIFS('recurring2_based on steps'!$B215:$AY215,'recurring2_based on steps'!$B$1:$AY$1,N$1)+SUMIFS('changes2_based on steps'!$B215:$U215,'changes2_based on steps'!$B$1:$U$1,N$1)</f>
        <v>0</v>
      </c>
      <c r="O215" s="179">
        <f>SUMIFS('recurring2_based on steps'!$B215:$AY215,'recurring2_based on steps'!$B$1:$AY$1,O$1)+SUMIFS('changes2_based on steps'!$B215:$U215,'changes2_based on steps'!$B$1:$U$1,O$1)</f>
        <v>0</v>
      </c>
      <c r="P215" s="179">
        <f>SUMIFS('recurring2_based on steps'!$B215:$AY215,'recurring2_based on steps'!$B$1:$AY$1,P$1)+SUMIFS('changes2_based on steps'!$B215:$U215,'changes2_based on steps'!$B$1:$U$1,P$1)</f>
        <v>0</v>
      </c>
      <c r="Q215" s="179">
        <f>SUMIFS('recurring2_based on steps'!$B215:$AY215,'recurring2_based on steps'!$B$1:$AY$1,Q$1)+SUMIFS('changes2_based on steps'!$B215:$U215,'changes2_based on steps'!$B$1:$U$1,Q$1)</f>
        <v>0</v>
      </c>
      <c r="R215" s="179">
        <f>SUMIFS('recurring2_based on steps'!$B215:$AY215,'recurring2_based on steps'!$B$1:$AY$1,R$1)+SUMIFS('changes2_based on steps'!$B215:$U215,'changes2_based on steps'!$B$1:$U$1,R$1)</f>
        <v>0</v>
      </c>
      <c r="S215" s="179">
        <f>SUMIFS('recurring2_based on steps'!$B215:$AY215,'recurring2_based on steps'!$B$1:$AY$1,S$1)+SUMIFS('changes2_based on steps'!$B215:$U215,'changes2_based on steps'!$B$1:$U$1,S$1)</f>
        <v>0</v>
      </c>
      <c r="T215" s="179">
        <f>SUMIFS('recurring2_based on steps'!$B215:$AY215,'recurring2_based on steps'!$B$1:$AY$1,T$1)+SUMIFS('changes2_based on steps'!$B215:$U215,'changes2_based on steps'!$B$1:$U$1,T$1)</f>
        <v>0</v>
      </c>
      <c r="U215" s="179">
        <f>SUMIFS('recurring2_based on steps'!$B215:$AY215,'recurring2_based on steps'!$B$1:$AY$1,U$1)+SUMIFS('changes2_based on steps'!$B215:$U215,'changes2_based on steps'!$B$1:$U$1,U$1)</f>
        <v>0</v>
      </c>
      <c r="V215" s="179">
        <f>SUMIFS('recurring2_based on steps'!$B215:$AY215,'recurring2_based on steps'!$B$1:$AY$1,V$1)+SUMIFS('changes2_based on steps'!$B215:$U215,'changes2_based on steps'!$B$1:$U$1,V$1)</f>
        <v>0</v>
      </c>
      <c r="W215" s="179">
        <f>SUMIFS('recurring2_based on steps'!$B215:$AY215,'recurring2_based on steps'!$B$1:$AY$1,W$1)+SUMIFS('changes2_based on steps'!$B215:$U215,'changes2_based on steps'!$B$1:$U$1,W$1)</f>
        <v>0</v>
      </c>
      <c r="X215" s="179">
        <f>SUMIFS('recurring2_based on steps'!$B215:$AY215,'recurring2_based on steps'!$B$1:$AY$1,X$1)+SUMIFS('changes2_based on steps'!$B215:$U215,'changes2_based on steps'!$B$1:$U$1,X$1)</f>
        <v>0</v>
      </c>
      <c r="Y215" s="179">
        <f>SUMIFS('recurring2_based on steps'!$B215:$AY215,'recurring2_based on steps'!$B$1:$AY$1,Y$1)+SUMIFS('changes2_based on steps'!$B215:$U215,'changes2_based on steps'!$B$1:$U$1,Y$1)</f>
        <v>0</v>
      </c>
      <c r="Z215" s="179">
        <f>SUMIFS('recurring2_based on steps'!$B215:$AY215,'recurring2_based on steps'!$B$1:$AY$1,Z$1)+SUMIFS('changes2_based on steps'!$B215:$U215,'changes2_based on steps'!$B$1:$U$1,Z$1)</f>
        <v>0</v>
      </c>
      <c r="AA215" s="179">
        <f>SUMIFS('recurring2_based on steps'!$B215:$AY215,'recurring2_based on steps'!$B$1:$AY$1,AA$1)+SUMIFS('changes2_based on steps'!$B215:$U215,'changes2_based on steps'!$B$1:$U$1,AA$1)</f>
        <v>0</v>
      </c>
      <c r="AB215" s="179">
        <f>SUMIFS('recurring2_based on steps'!$B215:$AY215,'recurring2_based on steps'!$B$1:$AY$1,AB$1)+SUMIFS('changes2_based on steps'!$B215:$U215,'changes2_based on steps'!$B$1:$U$1,AB$1)</f>
        <v>0</v>
      </c>
      <c r="AC215" s="179">
        <f>SUMIFS('recurring2_based on steps'!$B215:$AY215,'recurring2_based on steps'!$B$1:$AY$1,AC$1)+SUMIFS('changes2_based on steps'!$B215:$U215,'changes2_based on steps'!$B$1:$U$1,AC$1)</f>
        <v>0</v>
      </c>
      <c r="AD215" s="179">
        <f>SUMIFS('recurring2_based on steps'!$B215:$AY215,'recurring2_based on steps'!$B$1:$AY$1,AD$1)+SUMIFS('changes2_based on steps'!$B215:$U215,'changes2_based on steps'!$B$1:$U$1,AD$1)</f>
        <v>0</v>
      </c>
      <c r="AE215" s="179">
        <f>SUMIFS('recurring2_based on steps'!$B215:$AY215,'recurring2_based on steps'!$B$1:$AY$1,AE$1)+SUMIFS('changes2_based on steps'!$B215:$U215,'changes2_based on steps'!$B$1:$U$1,AE$1)</f>
        <v>0</v>
      </c>
      <c r="AF215" s="179"/>
      <c r="AG215" s="179"/>
      <c r="AH215" s="179"/>
      <c r="AI215" s="179"/>
      <c r="AJ215" s="179"/>
      <c r="AK215" s="179"/>
      <c r="AL215" s="179"/>
      <c r="AM215" s="179"/>
    </row>
    <row r="216" spans="1:39" x14ac:dyDescent="0.2">
      <c r="A216" s="32">
        <f t="shared" ca="1" si="3"/>
        <v>45965</v>
      </c>
      <c r="B216" s="179">
        <f>SUMIFS('recurring2_based on steps'!$B216:$AY216,'recurring2_based on steps'!$B$1:$AY$1,B$1)+SUMIFS('changes2_based on steps'!$B216:$U216,'changes2_based on steps'!$B$1:$U$1,B$1)</f>
        <v>0</v>
      </c>
      <c r="C216" s="179">
        <f>SUMIFS('recurring2_based on steps'!$B216:$AY216,'recurring2_based on steps'!$B$1:$AY$1,C$1)+SUMIFS('changes2_based on steps'!$B216:$U216,'changes2_based on steps'!$B$1:$U$1,C$1)</f>
        <v>0</v>
      </c>
      <c r="D216" s="179">
        <f>SUMIFS('recurring2_based on steps'!$B216:$AY216,'recurring2_based on steps'!$B$1:$AY$1,D$1)+SUMIFS('changes2_based on steps'!$B216:$U216,'changes2_based on steps'!$B$1:$U$1,D$1)</f>
        <v>0</v>
      </c>
      <c r="E216" s="179">
        <f>SUMIFS('recurring2_based on steps'!$B216:$AY216,'recurring2_based on steps'!$B$1:$AY$1,E$1)+SUMIFS('changes2_based on steps'!$B216:$U216,'changes2_based on steps'!$B$1:$U$1,E$1)</f>
        <v>0</v>
      </c>
      <c r="F216" s="179">
        <f>SUMIFS('recurring2_based on steps'!$B216:$AY216,'recurring2_based on steps'!$B$1:$AY$1,F$1)+SUMIFS('changes2_based on steps'!$B216:$U216,'changes2_based on steps'!$B$1:$U$1,F$1)</f>
        <v>0</v>
      </c>
      <c r="G216" s="179">
        <f>SUMIFS('recurring2_based on steps'!$B216:$AY216,'recurring2_based on steps'!$B$1:$AY$1,G$1)+SUMIFS('changes2_based on steps'!$B216:$U216,'changes2_based on steps'!$B$1:$U$1,G$1)</f>
        <v>0</v>
      </c>
      <c r="H216" s="179">
        <f>SUMIFS('recurring2_based on steps'!$B216:$AY216,'recurring2_based on steps'!$B$1:$AY$1,H$1)+SUMIFS('changes2_based on steps'!$B216:$U216,'changes2_based on steps'!$B$1:$U$1,H$1)</f>
        <v>0</v>
      </c>
      <c r="I216" s="179">
        <f>SUMIFS('recurring2_based on steps'!$B216:$AY216,'recurring2_based on steps'!$B$1:$AY$1,I$1)+SUMIFS('changes2_based on steps'!$B216:$U216,'changes2_based on steps'!$B$1:$U$1,I$1)</f>
        <v>0</v>
      </c>
      <c r="J216" s="179">
        <f>SUMIFS('recurring2_based on steps'!$B216:$AY216,'recurring2_based on steps'!$B$1:$AY$1,J$1)+SUMIFS('changes2_based on steps'!$B216:$U216,'changes2_based on steps'!$B$1:$U$1,J$1)</f>
        <v>0</v>
      </c>
      <c r="K216" s="179">
        <f>SUMIFS('recurring2_based on steps'!$B216:$AY216,'recurring2_based on steps'!$B$1:$AY$1,K$1)+SUMIFS('changes2_based on steps'!$B216:$U216,'changes2_based on steps'!$B$1:$U$1,K$1)</f>
        <v>0</v>
      </c>
      <c r="L216" s="179">
        <f>SUMIFS('recurring2_based on steps'!$B216:$AY216,'recurring2_based on steps'!$B$1:$AY$1,L$1)+SUMIFS('changes2_based on steps'!$B216:$U216,'changes2_based on steps'!$B$1:$U$1,L$1)</f>
        <v>0</v>
      </c>
      <c r="M216" s="179">
        <f>SUMIFS('recurring2_based on steps'!$B216:$AY216,'recurring2_based on steps'!$B$1:$AY$1,M$1)+SUMIFS('changes2_based on steps'!$B216:$U216,'changes2_based on steps'!$B$1:$U$1,M$1)</f>
        <v>0</v>
      </c>
      <c r="N216" s="179">
        <f>SUMIFS('recurring2_based on steps'!$B216:$AY216,'recurring2_based on steps'!$B$1:$AY$1,N$1)+SUMIFS('changes2_based on steps'!$B216:$U216,'changes2_based on steps'!$B$1:$U$1,N$1)</f>
        <v>0</v>
      </c>
      <c r="O216" s="179">
        <f>SUMIFS('recurring2_based on steps'!$B216:$AY216,'recurring2_based on steps'!$B$1:$AY$1,O$1)+SUMIFS('changes2_based on steps'!$B216:$U216,'changes2_based on steps'!$B$1:$U$1,O$1)</f>
        <v>0</v>
      </c>
      <c r="P216" s="179">
        <f>SUMIFS('recurring2_based on steps'!$B216:$AY216,'recurring2_based on steps'!$B$1:$AY$1,P$1)+SUMIFS('changes2_based on steps'!$B216:$U216,'changes2_based on steps'!$B$1:$U$1,P$1)</f>
        <v>0</v>
      </c>
      <c r="Q216" s="179">
        <f>SUMIFS('recurring2_based on steps'!$B216:$AY216,'recurring2_based on steps'!$B$1:$AY$1,Q$1)+SUMIFS('changes2_based on steps'!$B216:$U216,'changes2_based on steps'!$B$1:$U$1,Q$1)</f>
        <v>0</v>
      </c>
      <c r="R216" s="179">
        <f>SUMIFS('recurring2_based on steps'!$B216:$AY216,'recurring2_based on steps'!$B$1:$AY$1,R$1)+SUMIFS('changes2_based on steps'!$B216:$U216,'changes2_based on steps'!$B$1:$U$1,R$1)</f>
        <v>0</v>
      </c>
      <c r="S216" s="179">
        <f>SUMIFS('recurring2_based on steps'!$B216:$AY216,'recurring2_based on steps'!$B$1:$AY$1,S$1)+SUMIFS('changes2_based on steps'!$B216:$U216,'changes2_based on steps'!$B$1:$U$1,S$1)</f>
        <v>0</v>
      </c>
      <c r="T216" s="179">
        <f>SUMIFS('recurring2_based on steps'!$B216:$AY216,'recurring2_based on steps'!$B$1:$AY$1,T$1)+SUMIFS('changes2_based on steps'!$B216:$U216,'changes2_based on steps'!$B$1:$U$1,T$1)</f>
        <v>0</v>
      </c>
      <c r="U216" s="179">
        <f>SUMIFS('recurring2_based on steps'!$B216:$AY216,'recurring2_based on steps'!$B$1:$AY$1,U$1)+SUMIFS('changes2_based on steps'!$B216:$U216,'changes2_based on steps'!$B$1:$U$1,U$1)</f>
        <v>0</v>
      </c>
      <c r="V216" s="179">
        <f>SUMIFS('recurring2_based on steps'!$B216:$AY216,'recurring2_based on steps'!$B$1:$AY$1,V$1)+SUMIFS('changes2_based on steps'!$B216:$U216,'changes2_based on steps'!$B$1:$U$1,V$1)</f>
        <v>0</v>
      </c>
      <c r="W216" s="179">
        <f>SUMIFS('recurring2_based on steps'!$B216:$AY216,'recurring2_based on steps'!$B$1:$AY$1,W$1)+SUMIFS('changes2_based on steps'!$B216:$U216,'changes2_based on steps'!$B$1:$U$1,W$1)</f>
        <v>0</v>
      </c>
      <c r="X216" s="179">
        <f>SUMIFS('recurring2_based on steps'!$B216:$AY216,'recurring2_based on steps'!$B$1:$AY$1,X$1)+SUMIFS('changes2_based on steps'!$B216:$U216,'changes2_based on steps'!$B$1:$U$1,X$1)</f>
        <v>0</v>
      </c>
      <c r="Y216" s="179">
        <f>SUMIFS('recurring2_based on steps'!$B216:$AY216,'recurring2_based on steps'!$B$1:$AY$1,Y$1)+SUMIFS('changes2_based on steps'!$B216:$U216,'changes2_based on steps'!$B$1:$U$1,Y$1)</f>
        <v>0</v>
      </c>
      <c r="Z216" s="179">
        <f>SUMIFS('recurring2_based on steps'!$B216:$AY216,'recurring2_based on steps'!$B$1:$AY$1,Z$1)+SUMIFS('changes2_based on steps'!$B216:$U216,'changes2_based on steps'!$B$1:$U$1,Z$1)</f>
        <v>0</v>
      </c>
      <c r="AA216" s="179">
        <f>SUMIFS('recurring2_based on steps'!$B216:$AY216,'recurring2_based on steps'!$B$1:$AY$1,AA$1)+SUMIFS('changes2_based on steps'!$B216:$U216,'changes2_based on steps'!$B$1:$U$1,AA$1)</f>
        <v>0</v>
      </c>
      <c r="AB216" s="179">
        <f>SUMIFS('recurring2_based on steps'!$B216:$AY216,'recurring2_based on steps'!$B$1:$AY$1,AB$1)+SUMIFS('changes2_based on steps'!$B216:$U216,'changes2_based on steps'!$B$1:$U$1,AB$1)</f>
        <v>0</v>
      </c>
      <c r="AC216" s="179">
        <f>SUMIFS('recurring2_based on steps'!$B216:$AY216,'recurring2_based on steps'!$B$1:$AY$1,AC$1)+SUMIFS('changes2_based on steps'!$B216:$U216,'changes2_based on steps'!$B$1:$U$1,AC$1)</f>
        <v>0</v>
      </c>
      <c r="AD216" s="179">
        <f>SUMIFS('recurring2_based on steps'!$B216:$AY216,'recurring2_based on steps'!$B$1:$AY$1,AD$1)+SUMIFS('changes2_based on steps'!$B216:$U216,'changes2_based on steps'!$B$1:$U$1,AD$1)</f>
        <v>0</v>
      </c>
      <c r="AE216" s="179">
        <f>SUMIFS('recurring2_based on steps'!$B216:$AY216,'recurring2_based on steps'!$B$1:$AY$1,AE$1)+SUMIFS('changes2_based on steps'!$B216:$U216,'changes2_based on steps'!$B$1:$U$1,AE$1)</f>
        <v>0</v>
      </c>
      <c r="AF216" s="179"/>
      <c r="AG216" s="179"/>
      <c r="AH216" s="179"/>
      <c r="AI216" s="179"/>
      <c r="AJ216" s="179"/>
      <c r="AK216" s="179"/>
      <c r="AL216" s="179"/>
      <c r="AM216" s="179"/>
    </row>
    <row r="217" spans="1:39" x14ac:dyDescent="0.2">
      <c r="A217" s="32">
        <f t="shared" ca="1" si="3"/>
        <v>45966</v>
      </c>
      <c r="B217" s="179">
        <f>SUMIFS('recurring2_based on steps'!$B217:$AY217,'recurring2_based on steps'!$B$1:$AY$1,B$1)+SUMIFS('changes2_based on steps'!$B217:$U217,'changes2_based on steps'!$B$1:$U$1,B$1)</f>
        <v>0</v>
      </c>
      <c r="C217" s="179">
        <f>SUMIFS('recurring2_based on steps'!$B217:$AY217,'recurring2_based on steps'!$B$1:$AY$1,C$1)+SUMIFS('changes2_based on steps'!$B217:$U217,'changes2_based on steps'!$B$1:$U$1,C$1)</f>
        <v>0</v>
      </c>
      <c r="D217" s="179">
        <f>SUMIFS('recurring2_based on steps'!$B217:$AY217,'recurring2_based on steps'!$B$1:$AY$1,D$1)+SUMIFS('changes2_based on steps'!$B217:$U217,'changes2_based on steps'!$B$1:$U$1,D$1)</f>
        <v>0</v>
      </c>
      <c r="E217" s="179">
        <f>SUMIFS('recurring2_based on steps'!$B217:$AY217,'recurring2_based on steps'!$B$1:$AY$1,E$1)+SUMIFS('changes2_based on steps'!$B217:$U217,'changes2_based on steps'!$B$1:$U$1,E$1)</f>
        <v>0</v>
      </c>
      <c r="F217" s="179">
        <f>SUMIFS('recurring2_based on steps'!$B217:$AY217,'recurring2_based on steps'!$B$1:$AY$1,F$1)+SUMIFS('changes2_based on steps'!$B217:$U217,'changes2_based on steps'!$B$1:$U$1,F$1)</f>
        <v>0</v>
      </c>
      <c r="G217" s="179">
        <f>SUMIFS('recurring2_based on steps'!$B217:$AY217,'recurring2_based on steps'!$B$1:$AY$1,G$1)+SUMIFS('changes2_based on steps'!$B217:$U217,'changes2_based on steps'!$B$1:$U$1,G$1)</f>
        <v>0</v>
      </c>
      <c r="H217" s="179">
        <f>SUMIFS('recurring2_based on steps'!$B217:$AY217,'recurring2_based on steps'!$B$1:$AY$1,H$1)+SUMIFS('changes2_based on steps'!$B217:$U217,'changes2_based on steps'!$B$1:$U$1,H$1)</f>
        <v>0</v>
      </c>
      <c r="I217" s="179">
        <f>SUMIFS('recurring2_based on steps'!$B217:$AY217,'recurring2_based on steps'!$B$1:$AY$1,I$1)+SUMIFS('changes2_based on steps'!$B217:$U217,'changes2_based on steps'!$B$1:$U$1,I$1)</f>
        <v>0</v>
      </c>
      <c r="J217" s="179">
        <f>SUMIFS('recurring2_based on steps'!$B217:$AY217,'recurring2_based on steps'!$B$1:$AY$1,J$1)+SUMIFS('changes2_based on steps'!$B217:$U217,'changes2_based on steps'!$B$1:$U$1,J$1)</f>
        <v>0</v>
      </c>
      <c r="K217" s="179">
        <f>SUMIFS('recurring2_based on steps'!$B217:$AY217,'recurring2_based on steps'!$B$1:$AY$1,K$1)+SUMIFS('changes2_based on steps'!$B217:$U217,'changes2_based on steps'!$B$1:$U$1,K$1)</f>
        <v>0</v>
      </c>
      <c r="L217" s="179">
        <f>SUMIFS('recurring2_based on steps'!$B217:$AY217,'recurring2_based on steps'!$B$1:$AY$1,L$1)+SUMIFS('changes2_based on steps'!$B217:$U217,'changes2_based on steps'!$B$1:$U$1,L$1)</f>
        <v>0</v>
      </c>
      <c r="M217" s="179">
        <f>SUMIFS('recurring2_based on steps'!$B217:$AY217,'recurring2_based on steps'!$B$1:$AY$1,M$1)+SUMIFS('changes2_based on steps'!$B217:$U217,'changes2_based on steps'!$B$1:$U$1,M$1)</f>
        <v>0</v>
      </c>
      <c r="N217" s="179">
        <f>SUMIFS('recurring2_based on steps'!$B217:$AY217,'recurring2_based on steps'!$B$1:$AY$1,N$1)+SUMIFS('changes2_based on steps'!$B217:$U217,'changes2_based on steps'!$B$1:$U$1,N$1)</f>
        <v>0</v>
      </c>
      <c r="O217" s="179">
        <f>SUMIFS('recurring2_based on steps'!$B217:$AY217,'recurring2_based on steps'!$B$1:$AY$1,O$1)+SUMIFS('changes2_based on steps'!$B217:$U217,'changes2_based on steps'!$B$1:$U$1,O$1)</f>
        <v>0</v>
      </c>
      <c r="P217" s="179">
        <f>SUMIFS('recurring2_based on steps'!$B217:$AY217,'recurring2_based on steps'!$B$1:$AY$1,P$1)+SUMIFS('changes2_based on steps'!$B217:$U217,'changes2_based on steps'!$B$1:$U$1,P$1)</f>
        <v>0</v>
      </c>
      <c r="Q217" s="179">
        <f>SUMIFS('recurring2_based on steps'!$B217:$AY217,'recurring2_based on steps'!$B$1:$AY$1,Q$1)+SUMIFS('changes2_based on steps'!$B217:$U217,'changes2_based on steps'!$B$1:$U$1,Q$1)</f>
        <v>0</v>
      </c>
      <c r="R217" s="179">
        <f>SUMIFS('recurring2_based on steps'!$B217:$AY217,'recurring2_based on steps'!$B$1:$AY$1,R$1)+SUMIFS('changes2_based on steps'!$B217:$U217,'changes2_based on steps'!$B$1:$U$1,R$1)</f>
        <v>0</v>
      </c>
      <c r="S217" s="179">
        <f>SUMIFS('recurring2_based on steps'!$B217:$AY217,'recurring2_based on steps'!$B$1:$AY$1,S$1)+SUMIFS('changes2_based on steps'!$B217:$U217,'changes2_based on steps'!$B$1:$U$1,S$1)</f>
        <v>0</v>
      </c>
      <c r="T217" s="179">
        <f>SUMIFS('recurring2_based on steps'!$B217:$AY217,'recurring2_based on steps'!$B$1:$AY$1,T$1)+SUMIFS('changes2_based on steps'!$B217:$U217,'changes2_based on steps'!$B$1:$U$1,T$1)</f>
        <v>0</v>
      </c>
      <c r="U217" s="179">
        <f>SUMIFS('recurring2_based on steps'!$B217:$AY217,'recurring2_based on steps'!$B$1:$AY$1,U$1)+SUMIFS('changes2_based on steps'!$B217:$U217,'changes2_based on steps'!$B$1:$U$1,U$1)</f>
        <v>0</v>
      </c>
      <c r="V217" s="179">
        <f>SUMIFS('recurring2_based on steps'!$B217:$AY217,'recurring2_based on steps'!$B$1:$AY$1,V$1)+SUMIFS('changes2_based on steps'!$B217:$U217,'changes2_based on steps'!$B$1:$U$1,V$1)</f>
        <v>0</v>
      </c>
      <c r="W217" s="179">
        <f>SUMIFS('recurring2_based on steps'!$B217:$AY217,'recurring2_based on steps'!$B$1:$AY$1,W$1)+SUMIFS('changes2_based on steps'!$B217:$U217,'changes2_based on steps'!$B$1:$U$1,W$1)</f>
        <v>0</v>
      </c>
      <c r="X217" s="179">
        <f>SUMIFS('recurring2_based on steps'!$B217:$AY217,'recurring2_based on steps'!$B$1:$AY$1,X$1)+SUMIFS('changes2_based on steps'!$B217:$U217,'changes2_based on steps'!$B$1:$U$1,X$1)</f>
        <v>0</v>
      </c>
      <c r="Y217" s="179">
        <f>SUMIFS('recurring2_based on steps'!$B217:$AY217,'recurring2_based on steps'!$B$1:$AY$1,Y$1)+SUMIFS('changes2_based on steps'!$B217:$U217,'changes2_based on steps'!$B$1:$U$1,Y$1)</f>
        <v>0</v>
      </c>
      <c r="Z217" s="179">
        <f>SUMIFS('recurring2_based on steps'!$B217:$AY217,'recurring2_based on steps'!$B$1:$AY$1,Z$1)+SUMIFS('changes2_based on steps'!$B217:$U217,'changes2_based on steps'!$B$1:$U$1,Z$1)</f>
        <v>0</v>
      </c>
      <c r="AA217" s="179">
        <f>SUMIFS('recurring2_based on steps'!$B217:$AY217,'recurring2_based on steps'!$B$1:$AY$1,AA$1)+SUMIFS('changes2_based on steps'!$B217:$U217,'changes2_based on steps'!$B$1:$U$1,AA$1)</f>
        <v>0</v>
      </c>
      <c r="AB217" s="179">
        <f>SUMIFS('recurring2_based on steps'!$B217:$AY217,'recurring2_based on steps'!$B$1:$AY$1,AB$1)+SUMIFS('changes2_based on steps'!$B217:$U217,'changes2_based on steps'!$B$1:$U$1,AB$1)</f>
        <v>0</v>
      </c>
      <c r="AC217" s="179">
        <f>SUMIFS('recurring2_based on steps'!$B217:$AY217,'recurring2_based on steps'!$B$1:$AY$1,AC$1)+SUMIFS('changes2_based on steps'!$B217:$U217,'changes2_based on steps'!$B$1:$U$1,AC$1)</f>
        <v>0</v>
      </c>
      <c r="AD217" s="179">
        <f>SUMIFS('recurring2_based on steps'!$B217:$AY217,'recurring2_based on steps'!$B$1:$AY$1,AD$1)+SUMIFS('changes2_based on steps'!$B217:$U217,'changes2_based on steps'!$B$1:$U$1,AD$1)</f>
        <v>0</v>
      </c>
      <c r="AE217" s="179">
        <f>SUMIFS('recurring2_based on steps'!$B217:$AY217,'recurring2_based on steps'!$B$1:$AY$1,AE$1)+SUMIFS('changes2_based on steps'!$B217:$U217,'changes2_based on steps'!$B$1:$U$1,AE$1)</f>
        <v>0</v>
      </c>
      <c r="AF217" s="179"/>
      <c r="AG217" s="179"/>
      <c r="AH217" s="179"/>
      <c r="AI217" s="179"/>
      <c r="AJ217" s="179"/>
      <c r="AK217" s="179"/>
      <c r="AL217" s="179"/>
      <c r="AM217" s="179"/>
    </row>
    <row r="218" spans="1:39" x14ac:dyDescent="0.2">
      <c r="A218" s="32">
        <f t="shared" ca="1" si="3"/>
        <v>45967</v>
      </c>
      <c r="B218" s="179">
        <f>SUMIFS('recurring2_based on steps'!$B218:$AY218,'recurring2_based on steps'!$B$1:$AY$1,B$1)+SUMIFS('changes2_based on steps'!$B218:$U218,'changes2_based on steps'!$B$1:$U$1,B$1)</f>
        <v>0</v>
      </c>
      <c r="C218" s="179">
        <f>SUMIFS('recurring2_based on steps'!$B218:$AY218,'recurring2_based on steps'!$B$1:$AY$1,C$1)+SUMIFS('changes2_based on steps'!$B218:$U218,'changes2_based on steps'!$B$1:$U$1,C$1)</f>
        <v>0</v>
      </c>
      <c r="D218" s="179">
        <f>SUMIFS('recurring2_based on steps'!$B218:$AY218,'recurring2_based on steps'!$B$1:$AY$1,D$1)+SUMIFS('changes2_based on steps'!$B218:$U218,'changes2_based on steps'!$B$1:$U$1,D$1)</f>
        <v>0</v>
      </c>
      <c r="E218" s="179">
        <f>SUMIFS('recurring2_based on steps'!$B218:$AY218,'recurring2_based on steps'!$B$1:$AY$1,E$1)+SUMIFS('changes2_based on steps'!$B218:$U218,'changes2_based on steps'!$B$1:$U$1,E$1)</f>
        <v>0</v>
      </c>
      <c r="F218" s="179">
        <f>SUMIFS('recurring2_based on steps'!$B218:$AY218,'recurring2_based on steps'!$B$1:$AY$1,F$1)+SUMIFS('changes2_based on steps'!$B218:$U218,'changes2_based on steps'!$B$1:$U$1,F$1)</f>
        <v>0</v>
      </c>
      <c r="G218" s="179">
        <f>SUMIFS('recurring2_based on steps'!$B218:$AY218,'recurring2_based on steps'!$B$1:$AY$1,G$1)+SUMIFS('changes2_based on steps'!$B218:$U218,'changes2_based on steps'!$B$1:$U$1,G$1)</f>
        <v>0</v>
      </c>
      <c r="H218" s="179">
        <f>SUMIFS('recurring2_based on steps'!$B218:$AY218,'recurring2_based on steps'!$B$1:$AY$1,H$1)+SUMIFS('changes2_based on steps'!$B218:$U218,'changes2_based on steps'!$B$1:$U$1,H$1)</f>
        <v>0</v>
      </c>
      <c r="I218" s="179">
        <f>SUMIFS('recurring2_based on steps'!$B218:$AY218,'recurring2_based on steps'!$B$1:$AY$1,I$1)+SUMIFS('changes2_based on steps'!$B218:$U218,'changes2_based on steps'!$B$1:$U$1,I$1)</f>
        <v>0</v>
      </c>
      <c r="J218" s="179">
        <f>SUMIFS('recurring2_based on steps'!$B218:$AY218,'recurring2_based on steps'!$B$1:$AY$1,J$1)+SUMIFS('changes2_based on steps'!$B218:$U218,'changes2_based on steps'!$B$1:$U$1,J$1)</f>
        <v>0</v>
      </c>
      <c r="K218" s="179">
        <f>SUMIFS('recurring2_based on steps'!$B218:$AY218,'recurring2_based on steps'!$B$1:$AY$1,K$1)+SUMIFS('changes2_based on steps'!$B218:$U218,'changes2_based on steps'!$B$1:$U$1,K$1)</f>
        <v>0</v>
      </c>
      <c r="L218" s="179">
        <f>SUMIFS('recurring2_based on steps'!$B218:$AY218,'recurring2_based on steps'!$B$1:$AY$1,L$1)+SUMIFS('changes2_based on steps'!$B218:$U218,'changes2_based on steps'!$B$1:$U$1,L$1)</f>
        <v>0</v>
      </c>
      <c r="M218" s="179">
        <f>SUMIFS('recurring2_based on steps'!$B218:$AY218,'recurring2_based on steps'!$B$1:$AY$1,M$1)+SUMIFS('changes2_based on steps'!$B218:$U218,'changes2_based on steps'!$B$1:$U$1,M$1)</f>
        <v>0</v>
      </c>
      <c r="N218" s="179">
        <f>SUMIFS('recurring2_based on steps'!$B218:$AY218,'recurring2_based on steps'!$B$1:$AY$1,N$1)+SUMIFS('changes2_based on steps'!$B218:$U218,'changes2_based on steps'!$B$1:$U$1,N$1)</f>
        <v>0</v>
      </c>
      <c r="O218" s="179">
        <f>SUMIFS('recurring2_based on steps'!$B218:$AY218,'recurring2_based on steps'!$B$1:$AY$1,O$1)+SUMIFS('changes2_based on steps'!$B218:$U218,'changes2_based on steps'!$B$1:$U$1,O$1)</f>
        <v>0</v>
      </c>
      <c r="P218" s="179">
        <f>SUMIFS('recurring2_based on steps'!$B218:$AY218,'recurring2_based on steps'!$B$1:$AY$1,P$1)+SUMIFS('changes2_based on steps'!$B218:$U218,'changes2_based on steps'!$B$1:$U$1,P$1)</f>
        <v>0</v>
      </c>
      <c r="Q218" s="179">
        <f>SUMIFS('recurring2_based on steps'!$B218:$AY218,'recurring2_based on steps'!$B$1:$AY$1,Q$1)+SUMIFS('changes2_based on steps'!$B218:$U218,'changes2_based on steps'!$B$1:$U$1,Q$1)</f>
        <v>0</v>
      </c>
      <c r="R218" s="179">
        <f>SUMIFS('recurring2_based on steps'!$B218:$AY218,'recurring2_based on steps'!$B$1:$AY$1,R$1)+SUMIFS('changes2_based on steps'!$B218:$U218,'changes2_based on steps'!$B$1:$U$1,R$1)</f>
        <v>0</v>
      </c>
      <c r="S218" s="179">
        <f>SUMIFS('recurring2_based on steps'!$B218:$AY218,'recurring2_based on steps'!$B$1:$AY$1,S$1)+SUMIFS('changes2_based on steps'!$B218:$U218,'changes2_based on steps'!$B$1:$U$1,S$1)</f>
        <v>0</v>
      </c>
      <c r="T218" s="179">
        <f>SUMIFS('recurring2_based on steps'!$B218:$AY218,'recurring2_based on steps'!$B$1:$AY$1,T$1)+SUMIFS('changes2_based on steps'!$B218:$U218,'changes2_based on steps'!$B$1:$U$1,T$1)</f>
        <v>0</v>
      </c>
      <c r="U218" s="179">
        <f>SUMIFS('recurring2_based on steps'!$B218:$AY218,'recurring2_based on steps'!$B$1:$AY$1,U$1)+SUMIFS('changes2_based on steps'!$B218:$U218,'changes2_based on steps'!$B$1:$U$1,U$1)</f>
        <v>0</v>
      </c>
      <c r="V218" s="179">
        <f>SUMIFS('recurring2_based on steps'!$B218:$AY218,'recurring2_based on steps'!$B$1:$AY$1,V$1)+SUMIFS('changes2_based on steps'!$B218:$U218,'changes2_based on steps'!$B$1:$U$1,V$1)</f>
        <v>0</v>
      </c>
      <c r="W218" s="179">
        <f>SUMIFS('recurring2_based on steps'!$B218:$AY218,'recurring2_based on steps'!$B$1:$AY$1,W$1)+SUMIFS('changes2_based on steps'!$B218:$U218,'changes2_based on steps'!$B$1:$U$1,W$1)</f>
        <v>0</v>
      </c>
      <c r="X218" s="179">
        <f>SUMIFS('recurring2_based on steps'!$B218:$AY218,'recurring2_based on steps'!$B$1:$AY$1,X$1)+SUMIFS('changes2_based on steps'!$B218:$U218,'changes2_based on steps'!$B$1:$U$1,X$1)</f>
        <v>0</v>
      </c>
      <c r="Y218" s="179">
        <f>SUMIFS('recurring2_based on steps'!$B218:$AY218,'recurring2_based on steps'!$B$1:$AY$1,Y$1)+SUMIFS('changes2_based on steps'!$B218:$U218,'changes2_based on steps'!$B$1:$U$1,Y$1)</f>
        <v>0</v>
      </c>
      <c r="Z218" s="179">
        <f>SUMIFS('recurring2_based on steps'!$B218:$AY218,'recurring2_based on steps'!$B$1:$AY$1,Z$1)+SUMIFS('changes2_based on steps'!$B218:$U218,'changes2_based on steps'!$B$1:$U$1,Z$1)</f>
        <v>0</v>
      </c>
      <c r="AA218" s="179">
        <f>SUMIFS('recurring2_based on steps'!$B218:$AY218,'recurring2_based on steps'!$B$1:$AY$1,AA$1)+SUMIFS('changes2_based on steps'!$B218:$U218,'changes2_based on steps'!$B$1:$U$1,AA$1)</f>
        <v>0</v>
      </c>
      <c r="AB218" s="179">
        <f>SUMIFS('recurring2_based on steps'!$B218:$AY218,'recurring2_based on steps'!$B$1:$AY$1,AB$1)+SUMIFS('changes2_based on steps'!$B218:$U218,'changes2_based on steps'!$B$1:$U$1,AB$1)</f>
        <v>0</v>
      </c>
      <c r="AC218" s="179">
        <f>SUMIFS('recurring2_based on steps'!$B218:$AY218,'recurring2_based on steps'!$B$1:$AY$1,AC$1)+SUMIFS('changes2_based on steps'!$B218:$U218,'changes2_based on steps'!$B$1:$U$1,AC$1)</f>
        <v>0</v>
      </c>
      <c r="AD218" s="179">
        <f>SUMIFS('recurring2_based on steps'!$B218:$AY218,'recurring2_based on steps'!$B$1:$AY$1,AD$1)+SUMIFS('changes2_based on steps'!$B218:$U218,'changes2_based on steps'!$B$1:$U$1,AD$1)</f>
        <v>0</v>
      </c>
      <c r="AE218" s="179">
        <f>SUMIFS('recurring2_based on steps'!$B218:$AY218,'recurring2_based on steps'!$B$1:$AY$1,AE$1)+SUMIFS('changes2_based on steps'!$B218:$U218,'changes2_based on steps'!$B$1:$U$1,AE$1)</f>
        <v>0</v>
      </c>
      <c r="AF218" s="179"/>
      <c r="AG218" s="179"/>
      <c r="AH218" s="179"/>
      <c r="AI218" s="179"/>
      <c r="AJ218" s="179"/>
      <c r="AK218" s="179"/>
      <c r="AL218" s="179"/>
      <c r="AM218" s="179"/>
    </row>
    <row r="219" spans="1:39" x14ac:dyDescent="0.2">
      <c r="A219" s="32">
        <f t="shared" ca="1" si="3"/>
        <v>45968</v>
      </c>
      <c r="B219" s="179">
        <f>SUMIFS('recurring2_based on steps'!$B219:$AY219,'recurring2_based on steps'!$B$1:$AY$1,B$1)+SUMIFS('changes2_based on steps'!$B219:$U219,'changes2_based on steps'!$B$1:$U$1,B$1)</f>
        <v>0</v>
      </c>
      <c r="C219" s="179">
        <f>SUMIFS('recurring2_based on steps'!$B219:$AY219,'recurring2_based on steps'!$B$1:$AY$1,C$1)+SUMIFS('changes2_based on steps'!$B219:$U219,'changes2_based on steps'!$B$1:$U$1,C$1)</f>
        <v>0</v>
      </c>
      <c r="D219" s="179">
        <f>SUMIFS('recurring2_based on steps'!$B219:$AY219,'recurring2_based on steps'!$B$1:$AY$1,D$1)+SUMIFS('changes2_based on steps'!$B219:$U219,'changes2_based on steps'!$B$1:$U$1,D$1)</f>
        <v>0</v>
      </c>
      <c r="E219" s="179">
        <f>SUMIFS('recurring2_based on steps'!$B219:$AY219,'recurring2_based on steps'!$B$1:$AY$1,E$1)+SUMIFS('changes2_based on steps'!$B219:$U219,'changes2_based on steps'!$B$1:$U$1,E$1)</f>
        <v>0</v>
      </c>
      <c r="F219" s="179">
        <f>SUMIFS('recurring2_based on steps'!$B219:$AY219,'recurring2_based on steps'!$B$1:$AY$1,F$1)+SUMIFS('changes2_based on steps'!$B219:$U219,'changes2_based on steps'!$B$1:$U$1,F$1)</f>
        <v>0</v>
      </c>
      <c r="G219" s="179">
        <f>SUMIFS('recurring2_based on steps'!$B219:$AY219,'recurring2_based on steps'!$B$1:$AY$1,G$1)+SUMIFS('changes2_based on steps'!$B219:$U219,'changes2_based on steps'!$B$1:$U$1,G$1)</f>
        <v>0</v>
      </c>
      <c r="H219" s="179">
        <f>SUMIFS('recurring2_based on steps'!$B219:$AY219,'recurring2_based on steps'!$B$1:$AY$1,H$1)+SUMIFS('changes2_based on steps'!$B219:$U219,'changes2_based on steps'!$B$1:$U$1,H$1)</f>
        <v>0</v>
      </c>
      <c r="I219" s="179">
        <f>SUMIFS('recurring2_based on steps'!$B219:$AY219,'recurring2_based on steps'!$B$1:$AY$1,I$1)+SUMIFS('changes2_based on steps'!$B219:$U219,'changes2_based on steps'!$B$1:$U$1,I$1)</f>
        <v>0</v>
      </c>
      <c r="J219" s="179">
        <f>SUMIFS('recurring2_based on steps'!$B219:$AY219,'recurring2_based on steps'!$B$1:$AY$1,J$1)+SUMIFS('changes2_based on steps'!$B219:$U219,'changes2_based on steps'!$B$1:$U$1,J$1)</f>
        <v>0</v>
      </c>
      <c r="K219" s="179">
        <f>SUMIFS('recurring2_based on steps'!$B219:$AY219,'recurring2_based on steps'!$B$1:$AY$1,K$1)+SUMIFS('changes2_based on steps'!$B219:$U219,'changes2_based on steps'!$B$1:$U$1,K$1)</f>
        <v>0</v>
      </c>
      <c r="L219" s="179">
        <f>SUMIFS('recurring2_based on steps'!$B219:$AY219,'recurring2_based on steps'!$B$1:$AY$1,L$1)+SUMIFS('changes2_based on steps'!$B219:$U219,'changes2_based on steps'!$B$1:$U$1,L$1)</f>
        <v>0</v>
      </c>
      <c r="M219" s="179">
        <f>SUMIFS('recurring2_based on steps'!$B219:$AY219,'recurring2_based on steps'!$B$1:$AY$1,M$1)+SUMIFS('changes2_based on steps'!$B219:$U219,'changes2_based on steps'!$B$1:$U$1,M$1)</f>
        <v>0</v>
      </c>
      <c r="N219" s="179">
        <f>SUMIFS('recurring2_based on steps'!$B219:$AY219,'recurring2_based on steps'!$B$1:$AY$1,N$1)+SUMIFS('changes2_based on steps'!$B219:$U219,'changes2_based on steps'!$B$1:$U$1,N$1)</f>
        <v>0</v>
      </c>
      <c r="O219" s="179">
        <f>SUMIFS('recurring2_based on steps'!$B219:$AY219,'recurring2_based on steps'!$B$1:$AY$1,O$1)+SUMIFS('changes2_based on steps'!$B219:$U219,'changes2_based on steps'!$B$1:$U$1,O$1)</f>
        <v>0</v>
      </c>
      <c r="P219" s="179">
        <f>SUMIFS('recurring2_based on steps'!$B219:$AY219,'recurring2_based on steps'!$B$1:$AY$1,P$1)+SUMIFS('changes2_based on steps'!$B219:$U219,'changes2_based on steps'!$B$1:$U$1,P$1)</f>
        <v>0</v>
      </c>
      <c r="Q219" s="179">
        <f>SUMIFS('recurring2_based on steps'!$B219:$AY219,'recurring2_based on steps'!$B$1:$AY$1,Q$1)+SUMIFS('changes2_based on steps'!$B219:$U219,'changes2_based on steps'!$B$1:$U$1,Q$1)</f>
        <v>0</v>
      </c>
      <c r="R219" s="179">
        <f>SUMIFS('recurring2_based on steps'!$B219:$AY219,'recurring2_based on steps'!$B$1:$AY$1,R$1)+SUMIFS('changes2_based on steps'!$B219:$U219,'changes2_based on steps'!$B$1:$U$1,R$1)</f>
        <v>0</v>
      </c>
      <c r="S219" s="179">
        <f>SUMIFS('recurring2_based on steps'!$B219:$AY219,'recurring2_based on steps'!$B$1:$AY$1,S$1)+SUMIFS('changes2_based on steps'!$B219:$U219,'changes2_based on steps'!$B$1:$U$1,S$1)</f>
        <v>0</v>
      </c>
      <c r="T219" s="179">
        <f>SUMIFS('recurring2_based on steps'!$B219:$AY219,'recurring2_based on steps'!$B$1:$AY$1,T$1)+SUMIFS('changes2_based on steps'!$B219:$U219,'changes2_based on steps'!$B$1:$U$1,T$1)</f>
        <v>0</v>
      </c>
      <c r="U219" s="179">
        <f>SUMIFS('recurring2_based on steps'!$B219:$AY219,'recurring2_based on steps'!$B$1:$AY$1,U$1)+SUMIFS('changes2_based on steps'!$B219:$U219,'changes2_based on steps'!$B$1:$U$1,U$1)</f>
        <v>0</v>
      </c>
      <c r="V219" s="179">
        <f>SUMIFS('recurring2_based on steps'!$B219:$AY219,'recurring2_based on steps'!$B$1:$AY$1,V$1)+SUMIFS('changes2_based on steps'!$B219:$U219,'changes2_based on steps'!$B$1:$U$1,V$1)</f>
        <v>0</v>
      </c>
      <c r="W219" s="179">
        <f>SUMIFS('recurring2_based on steps'!$B219:$AY219,'recurring2_based on steps'!$B$1:$AY$1,W$1)+SUMIFS('changes2_based on steps'!$B219:$U219,'changes2_based on steps'!$B$1:$U$1,W$1)</f>
        <v>0</v>
      </c>
      <c r="X219" s="179">
        <f>SUMIFS('recurring2_based on steps'!$B219:$AY219,'recurring2_based on steps'!$B$1:$AY$1,X$1)+SUMIFS('changes2_based on steps'!$B219:$U219,'changes2_based on steps'!$B$1:$U$1,X$1)</f>
        <v>0</v>
      </c>
      <c r="Y219" s="179">
        <f>SUMIFS('recurring2_based on steps'!$B219:$AY219,'recurring2_based on steps'!$B$1:$AY$1,Y$1)+SUMIFS('changes2_based on steps'!$B219:$U219,'changes2_based on steps'!$B$1:$U$1,Y$1)</f>
        <v>0</v>
      </c>
      <c r="Z219" s="179">
        <f>SUMIFS('recurring2_based on steps'!$B219:$AY219,'recurring2_based on steps'!$B$1:$AY$1,Z$1)+SUMIFS('changes2_based on steps'!$B219:$U219,'changes2_based on steps'!$B$1:$U$1,Z$1)</f>
        <v>0</v>
      </c>
      <c r="AA219" s="179">
        <f>SUMIFS('recurring2_based on steps'!$B219:$AY219,'recurring2_based on steps'!$B$1:$AY$1,AA$1)+SUMIFS('changes2_based on steps'!$B219:$U219,'changes2_based on steps'!$B$1:$U$1,AA$1)</f>
        <v>0</v>
      </c>
      <c r="AB219" s="179">
        <f>SUMIFS('recurring2_based on steps'!$B219:$AY219,'recurring2_based on steps'!$B$1:$AY$1,AB$1)+SUMIFS('changes2_based on steps'!$B219:$U219,'changes2_based on steps'!$B$1:$U$1,AB$1)</f>
        <v>0</v>
      </c>
      <c r="AC219" s="179">
        <f>SUMIFS('recurring2_based on steps'!$B219:$AY219,'recurring2_based on steps'!$B$1:$AY$1,AC$1)+SUMIFS('changes2_based on steps'!$B219:$U219,'changes2_based on steps'!$B$1:$U$1,AC$1)</f>
        <v>0</v>
      </c>
      <c r="AD219" s="179">
        <f>SUMIFS('recurring2_based on steps'!$B219:$AY219,'recurring2_based on steps'!$B$1:$AY$1,AD$1)+SUMIFS('changes2_based on steps'!$B219:$U219,'changes2_based on steps'!$B$1:$U$1,AD$1)</f>
        <v>0</v>
      </c>
      <c r="AE219" s="179">
        <f>SUMIFS('recurring2_based on steps'!$B219:$AY219,'recurring2_based on steps'!$B$1:$AY$1,AE$1)+SUMIFS('changes2_based on steps'!$B219:$U219,'changes2_based on steps'!$B$1:$U$1,AE$1)</f>
        <v>0</v>
      </c>
      <c r="AF219" s="179"/>
      <c r="AG219" s="179"/>
      <c r="AH219" s="179"/>
      <c r="AI219" s="179"/>
      <c r="AJ219" s="179"/>
      <c r="AK219" s="179"/>
      <c r="AL219" s="179"/>
      <c r="AM219" s="179"/>
    </row>
    <row r="220" spans="1:39" x14ac:dyDescent="0.2">
      <c r="A220" s="32">
        <f t="shared" ca="1" si="3"/>
        <v>45969</v>
      </c>
      <c r="B220" s="179">
        <f>SUMIFS('recurring2_based on steps'!$B220:$AY220,'recurring2_based on steps'!$B$1:$AY$1,B$1)+SUMIFS('changes2_based on steps'!$B220:$U220,'changes2_based on steps'!$B$1:$U$1,B$1)</f>
        <v>0</v>
      </c>
      <c r="C220" s="179">
        <f>SUMIFS('recurring2_based on steps'!$B220:$AY220,'recurring2_based on steps'!$B$1:$AY$1,C$1)+SUMIFS('changes2_based on steps'!$B220:$U220,'changes2_based on steps'!$B$1:$U$1,C$1)</f>
        <v>0</v>
      </c>
      <c r="D220" s="179">
        <f>SUMIFS('recurring2_based on steps'!$B220:$AY220,'recurring2_based on steps'!$B$1:$AY$1,D$1)+SUMIFS('changes2_based on steps'!$B220:$U220,'changes2_based on steps'!$B$1:$U$1,D$1)</f>
        <v>0</v>
      </c>
      <c r="E220" s="179">
        <f>SUMIFS('recurring2_based on steps'!$B220:$AY220,'recurring2_based on steps'!$B$1:$AY$1,E$1)+SUMIFS('changes2_based on steps'!$B220:$U220,'changes2_based on steps'!$B$1:$U$1,E$1)</f>
        <v>0</v>
      </c>
      <c r="F220" s="179">
        <f>SUMIFS('recurring2_based on steps'!$B220:$AY220,'recurring2_based on steps'!$B$1:$AY$1,F$1)+SUMIFS('changes2_based on steps'!$B220:$U220,'changes2_based on steps'!$B$1:$U$1,F$1)</f>
        <v>0</v>
      </c>
      <c r="G220" s="179">
        <f>SUMIFS('recurring2_based on steps'!$B220:$AY220,'recurring2_based on steps'!$B$1:$AY$1,G$1)+SUMIFS('changes2_based on steps'!$B220:$U220,'changes2_based on steps'!$B$1:$U$1,G$1)</f>
        <v>0</v>
      </c>
      <c r="H220" s="179">
        <f>SUMIFS('recurring2_based on steps'!$B220:$AY220,'recurring2_based on steps'!$B$1:$AY$1,H$1)+SUMIFS('changes2_based on steps'!$B220:$U220,'changes2_based on steps'!$B$1:$U$1,H$1)</f>
        <v>0</v>
      </c>
      <c r="I220" s="179">
        <f>SUMIFS('recurring2_based on steps'!$B220:$AY220,'recurring2_based on steps'!$B$1:$AY$1,I$1)+SUMIFS('changes2_based on steps'!$B220:$U220,'changes2_based on steps'!$B$1:$U$1,I$1)</f>
        <v>0</v>
      </c>
      <c r="J220" s="179">
        <f>SUMIFS('recurring2_based on steps'!$B220:$AY220,'recurring2_based on steps'!$B$1:$AY$1,J$1)+SUMIFS('changes2_based on steps'!$B220:$U220,'changes2_based on steps'!$B$1:$U$1,J$1)</f>
        <v>0</v>
      </c>
      <c r="K220" s="179">
        <f>SUMIFS('recurring2_based on steps'!$B220:$AY220,'recurring2_based on steps'!$B$1:$AY$1,K$1)+SUMIFS('changes2_based on steps'!$B220:$U220,'changes2_based on steps'!$B$1:$U$1,K$1)</f>
        <v>0</v>
      </c>
      <c r="L220" s="179">
        <f>SUMIFS('recurring2_based on steps'!$B220:$AY220,'recurring2_based on steps'!$B$1:$AY$1,L$1)+SUMIFS('changes2_based on steps'!$B220:$U220,'changes2_based on steps'!$B$1:$U$1,L$1)</f>
        <v>0</v>
      </c>
      <c r="M220" s="179">
        <f>SUMIFS('recurring2_based on steps'!$B220:$AY220,'recurring2_based on steps'!$B$1:$AY$1,M$1)+SUMIFS('changes2_based on steps'!$B220:$U220,'changes2_based on steps'!$B$1:$U$1,M$1)</f>
        <v>0</v>
      </c>
      <c r="N220" s="179">
        <f>SUMIFS('recurring2_based on steps'!$B220:$AY220,'recurring2_based on steps'!$B$1:$AY$1,N$1)+SUMIFS('changes2_based on steps'!$B220:$U220,'changes2_based on steps'!$B$1:$U$1,N$1)</f>
        <v>0</v>
      </c>
      <c r="O220" s="179">
        <f>SUMIFS('recurring2_based on steps'!$B220:$AY220,'recurring2_based on steps'!$B$1:$AY$1,O$1)+SUMIFS('changes2_based on steps'!$B220:$U220,'changes2_based on steps'!$B$1:$U$1,O$1)</f>
        <v>0</v>
      </c>
      <c r="P220" s="179">
        <f>SUMIFS('recurring2_based on steps'!$B220:$AY220,'recurring2_based on steps'!$B$1:$AY$1,P$1)+SUMIFS('changes2_based on steps'!$B220:$U220,'changes2_based on steps'!$B$1:$U$1,P$1)</f>
        <v>0</v>
      </c>
      <c r="Q220" s="179">
        <f>SUMIFS('recurring2_based on steps'!$B220:$AY220,'recurring2_based on steps'!$B$1:$AY$1,Q$1)+SUMIFS('changes2_based on steps'!$B220:$U220,'changes2_based on steps'!$B$1:$U$1,Q$1)</f>
        <v>0</v>
      </c>
      <c r="R220" s="179">
        <f>SUMIFS('recurring2_based on steps'!$B220:$AY220,'recurring2_based on steps'!$B$1:$AY$1,R$1)+SUMIFS('changes2_based on steps'!$B220:$U220,'changes2_based on steps'!$B$1:$U$1,R$1)</f>
        <v>0</v>
      </c>
      <c r="S220" s="179">
        <f>SUMIFS('recurring2_based on steps'!$B220:$AY220,'recurring2_based on steps'!$B$1:$AY$1,S$1)+SUMIFS('changes2_based on steps'!$B220:$U220,'changes2_based on steps'!$B$1:$U$1,S$1)</f>
        <v>0</v>
      </c>
      <c r="T220" s="179">
        <f>SUMIFS('recurring2_based on steps'!$B220:$AY220,'recurring2_based on steps'!$B$1:$AY$1,T$1)+SUMIFS('changes2_based on steps'!$B220:$U220,'changes2_based on steps'!$B$1:$U$1,T$1)</f>
        <v>0</v>
      </c>
      <c r="U220" s="179">
        <f>SUMIFS('recurring2_based on steps'!$B220:$AY220,'recurring2_based on steps'!$B$1:$AY$1,U$1)+SUMIFS('changes2_based on steps'!$B220:$U220,'changes2_based on steps'!$B$1:$U$1,U$1)</f>
        <v>0</v>
      </c>
      <c r="V220" s="179">
        <f>SUMIFS('recurring2_based on steps'!$B220:$AY220,'recurring2_based on steps'!$B$1:$AY$1,V$1)+SUMIFS('changes2_based on steps'!$B220:$U220,'changes2_based on steps'!$B$1:$U$1,V$1)</f>
        <v>0</v>
      </c>
      <c r="W220" s="179">
        <f>SUMIFS('recurring2_based on steps'!$B220:$AY220,'recurring2_based on steps'!$B$1:$AY$1,W$1)+SUMIFS('changes2_based on steps'!$B220:$U220,'changes2_based on steps'!$B$1:$U$1,W$1)</f>
        <v>0</v>
      </c>
      <c r="X220" s="179">
        <f>SUMIFS('recurring2_based on steps'!$B220:$AY220,'recurring2_based on steps'!$B$1:$AY$1,X$1)+SUMIFS('changes2_based on steps'!$B220:$U220,'changes2_based on steps'!$B$1:$U$1,X$1)</f>
        <v>0</v>
      </c>
      <c r="Y220" s="179">
        <f>SUMIFS('recurring2_based on steps'!$B220:$AY220,'recurring2_based on steps'!$B$1:$AY$1,Y$1)+SUMIFS('changes2_based on steps'!$B220:$U220,'changes2_based on steps'!$B$1:$U$1,Y$1)</f>
        <v>0</v>
      </c>
      <c r="Z220" s="179">
        <f>SUMIFS('recurring2_based on steps'!$B220:$AY220,'recurring2_based on steps'!$B$1:$AY$1,Z$1)+SUMIFS('changes2_based on steps'!$B220:$U220,'changes2_based on steps'!$B$1:$U$1,Z$1)</f>
        <v>0</v>
      </c>
      <c r="AA220" s="179">
        <f>SUMIFS('recurring2_based on steps'!$B220:$AY220,'recurring2_based on steps'!$B$1:$AY$1,AA$1)+SUMIFS('changes2_based on steps'!$B220:$U220,'changes2_based on steps'!$B$1:$U$1,AA$1)</f>
        <v>0</v>
      </c>
      <c r="AB220" s="179">
        <f>SUMIFS('recurring2_based on steps'!$B220:$AY220,'recurring2_based on steps'!$B$1:$AY$1,AB$1)+SUMIFS('changes2_based on steps'!$B220:$U220,'changes2_based on steps'!$B$1:$U$1,AB$1)</f>
        <v>0</v>
      </c>
      <c r="AC220" s="179">
        <f>SUMIFS('recurring2_based on steps'!$B220:$AY220,'recurring2_based on steps'!$B$1:$AY$1,AC$1)+SUMIFS('changes2_based on steps'!$B220:$U220,'changes2_based on steps'!$B$1:$U$1,AC$1)</f>
        <v>0</v>
      </c>
      <c r="AD220" s="179">
        <f>SUMIFS('recurring2_based on steps'!$B220:$AY220,'recurring2_based on steps'!$B$1:$AY$1,AD$1)+SUMIFS('changes2_based on steps'!$B220:$U220,'changes2_based on steps'!$B$1:$U$1,AD$1)</f>
        <v>0</v>
      </c>
      <c r="AE220" s="179">
        <f>SUMIFS('recurring2_based on steps'!$B220:$AY220,'recurring2_based on steps'!$B$1:$AY$1,AE$1)+SUMIFS('changes2_based on steps'!$B220:$U220,'changes2_based on steps'!$B$1:$U$1,AE$1)</f>
        <v>0</v>
      </c>
      <c r="AF220" s="179"/>
      <c r="AG220" s="179"/>
      <c r="AH220" s="179"/>
      <c r="AI220" s="179"/>
      <c r="AJ220" s="179"/>
      <c r="AK220" s="179"/>
      <c r="AL220" s="179"/>
      <c r="AM220" s="179"/>
    </row>
    <row r="221" spans="1:39" x14ac:dyDescent="0.2">
      <c r="A221" s="32">
        <f t="shared" ca="1" si="3"/>
        <v>45970</v>
      </c>
      <c r="B221" s="179">
        <f>SUMIFS('recurring2_based on steps'!$B221:$AY221,'recurring2_based on steps'!$B$1:$AY$1,B$1)+SUMIFS('changes2_based on steps'!$B221:$U221,'changes2_based on steps'!$B$1:$U$1,B$1)</f>
        <v>0</v>
      </c>
      <c r="C221" s="179">
        <f>SUMIFS('recurring2_based on steps'!$B221:$AY221,'recurring2_based on steps'!$B$1:$AY$1,C$1)+SUMIFS('changes2_based on steps'!$B221:$U221,'changes2_based on steps'!$B$1:$U$1,C$1)</f>
        <v>0</v>
      </c>
      <c r="D221" s="179">
        <f>SUMIFS('recurring2_based on steps'!$B221:$AY221,'recurring2_based on steps'!$B$1:$AY$1,D$1)+SUMIFS('changes2_based on steps'!$B221:$U221,'changes2_based on steps'!$B$1:$U$1,D$1)</f>
        <v>0</v>
      </c>
      <c r="E221" s="179">
        <f>SUMIFS('recurring2_based on steps'!$B221:$AY221,'recurring2_based on steps'!$B$1:$AY$1,E$1)+SUMIFS('changes2_based on steps'!$B221:$U221,'changes2_based on steps'!$B$1:$U$1,E$1)</f>
        <v>0</v>
      </c>
      <c r="F221" s="179">
        <f>SUMIFS('recurring2_based on steps'!$B221:$AY221,'recurring2_based on steps'!$B$1:$AY$1,F$1)+SUMIFS('changes2_based on steps'!$B221:$U221,'changes2_based on steps'!$B$1:$U$1,F$1)</f>
        <v>0</v>
      </c>
      <c r="G221" s="179">
        <f>SUMIFS('recurring2_based on steps'!$B221:$AY221,'recurring2_based on steps'!$B$1:$AY$1,G$1)+SUMIFS('changes2_based on steps'!$B221:$U221,'changes2_based on steps'!$B$1:$U$1,G$1)</f>
        <v>0</v>
      </c>
      <c r="H221" s="179">
        <f>SUMIFS('recurring2_based on steps'!$B221:$AY221,'recurring2_based on steps'!$B$1:$AY$1,H$1)+SUMIFS('changes2_based on steps'!$B221:$U221,'changes2_based on steps'!$B$1:$U$1,H$1)</f>
        <v>0</v>
      </c>
      <c r="I221" s="179">
        <f>SUMIFS('recurring2_based on steps'!$B221:$AY221,'recurring2_based on steps'!$B$1:$AY$1,I$1)+SUMIFS('changes2_based on steps'!$B221:$U221,'changes2_based on steps'!$B$1:$U$1,I$1)</f>
        <v>0</v>
      </c>
      <c r="J221" s="179">
        <f>SUMIFS('recurring2_based on steps'!$B221:$AY221,'recurring2_based on steps'!$B$1:$AY$1,J$1)+SUMIFS('changes2_based on steps'!$B221:$U221,'changes2_based on steps'!$B$1:$U$1,J$1)</f>
        <v>0</v>
      </c>
      <c r="K221" s="179">
        <f>SUMIFS('recurring2_based on steps'!$B221:$AY221,'recurring2_based on steps'!$B$1:$AY$1,K$1)+SUMIFS('changes2_based on steps'!$B221:$U221,'changes2_based on steps'!$B$1:$U$1,K$1)</f>
        <v>0</v>
      </c>
      <c r="L221" s="179">
        <f>SUMIFS('recurring2_based on steps'!$B221:$AY221,'recurring2_based on steps'!$B$1:$AY$1,L$1)+SUMIFS('changes2_based on steps'!$B221:$U221,'changes2_based on steps'!$B$1:$U$1,L$1)</f>
        <v>0</v>
      </c>
      <c r="M221" s="179">
        <f>SUMIFS('recurring2_based on steps'!$B221:$AY221,'recurring2_based on steps'!$B$1:$AY$1,M$1)+SUMIFS('changes2_based on steps'!$B221:$U221,'changes2_based on steps'!$B$1:$U$1,M$1)</f>
        <v>0</v>
      </c>
      <c r="N221" s="179">
        <f>SUMIFS('recurring2_based on steps'!$B221:$AY221,'recurring2_based on steps'!$B$1:$AY$1,N$1)+SUMIFS('changes2_based on steps'!$B221:$U221,'changes2_based on steps'!$B$1:$U$1,N$1)</f>
        <v>0</v>
      </c>
      <c r="O221" s="179">
        <f>SUMIFS('recurring2_based on steps'!$B221:$AY221,'recurring2_based on steps'!$B$1:$AY$1,O$1)+SUMIFS('changes2_based on steps'!$B221:$U221,'changes2_based on steps'!$B$1:$U$1,O$1)</f>
        <v>0</v>
      </c>
      <c r="P221" s="179">
        <f>SUMIFS('recurring2_based on steps'!$B221:$AY221,'recurring2_based on steps'!$B$1:$AY$1,P$1)+SUMIFS('changes2_based on steps'!$B221:$U221,'changes2_based on steps'!$B$1:$U$1,P$1)</f>
        <v>0</v>
      </c>
      <c r="Q221" s="179">
        <f>SUMIFS('recurring2_based on steps'!$B221:$AY221,'recurring2_based on steps'!$B$1:$AY$1,Q$1)+SUMIFS('changes2_based on steps'!$B221:$U221,'changes2_based on steps'!$B$1:$U$1,Q$1)</f>
        <v>0</v>
      </c>
      <c r="R221" s="179">
        <f>SUMIFS('recurring2_based on steps'!$B221:$AY221,'recurring2_based on steps'!$B$1:$AY$1,R$1)+SUMIFS('changes2_based on steps'!$B221:$U221,'changes2_based on steps'!$B$1:$U$1,R$1)</f>
        <v>0</v>
      </c>
      <c r="S221" s="179">
        <f>SUMIFS('recurring2_based on steps'!$B221:$AY221,'recurring2_based on steps'!$B$1:$AY$1,S$1)+SUMIFS('changes2_based on steps'!$B221:$U221,'changes2_based on steps'!$B$1:$U$1,S$1)</f>
        <v>0</v>
      </c>
      <c r="T221" s="179">
        <f>SUMIFS('recurring2_based on steps'!$B221:$AY221,'recurring2_based on steps'!$B$1:$AY$1,T$1)+SUMIFS('changes2_based on steps'!$B221:$U221,'changes2_based on steps'!$B$1:$U$1,T$1)</f>
        <v>0</v>
      </c>
      <c r="U221" s="179">
        <f>SUMIFS('recurring2_based on steps'!$B221:$AY221,'recurring2_based on steps'!$B$1:$AY$1,U$1)+SUMIFS('changes2_based on steps'!$B221:$U221,'changes2_based on steps'!$B$1:$U$1,U$1)</f>
        <v>0</v>
      </c>
      <c r="V221" s="179">
        <f>SUMIFS('recurring2_based on steps'!$B221:$AY221,'recurring2_based on steps'!$B$1:$AY$1,V$1)+SUMIFS('changes2_based on steps'!$B221:$U221,'changes2_based on steps'!$B$1:$U$1,V$1)</f>
        <v>0</v>
      </c>
      <c r="W221" s="179">
        <f>SUMIFS('recurring2_based on steps'!$B221:$AY221,'recurring2_based on steps'!$B$1:$AY$1,W$1)+SUMIFS('changes2_based on steps'!$B221:$U221,'changes2_based on steps'!$B$1:$U$1,W$1)</f>
        <v>0</v>
      </c>
      <c r="X221" s="179">
        <f>SUMIFS('recurring2_based on steps'!$B221:$AY221,'recurring2_based on steps'!$B$1:$AY$1,X$1)+SUMIFS('changes2_based on steps'!$B221:$U221,'changes2_based on steps'!$B$1:$U$1,X$1)</f>
        <v>0</v>
      </c>
      <c r="Y221" s="179">
        <f>SUMIFS('recurring2_based on steps'!$B221:$AY221,'recurring2_based on steps'!$B$1:$AY$1,Y$1)+SUMIFS('changes2_based on steps'!$B221:$U221,'changes2_based on steps'!$B$1:$U$1,Y$1)</f>
        <v>0</v>
      </c>
      <c r="Z221" s="179">
        <f>SUMIFS('recurring2_based on steps'!$B221:$AY221,'recurring2_based on steps'!$B$1:$AY$1,Z$1)+SUMIFS('changes2_based on steps'!$B221:$U221,'changes2_based on steps'!$B$1:$U$1,Z$1)</f>
        <v>0</v>
      </c>
      <c r="AA221" s="179">
        <f>SUMIFS('recurring2_based on steps'!$B221:$AY221,'recurring2_based on steps'!$B$1:$AY$1,AA$1)+SUMIFS('changes2_based on steps'!$B221:$U221,'changes2_based on steps'!$B$1:$U$1,AA$1)</f>
        <v>0</v>
      </c>
      <c r="AB221" s="179">
        <f>SUMIFS('recurring2_based on steps'!$B221:$AY221,'recurring2_based on steps'!$B$1:$AY$1,AB$1)+SUMIFS('changes2_based on steps'!$B221:$U221,'changes2_based on steps'!$B$1:$U$1,AB$1)</f>
        <v>0</v>
      </c>
      <c r="AC221" s="179">
        <f>SUMIFS('recurring2_based on steps'!$B221:$AY221,'recurring2_based on steps'!$B$1:$AY$1,AC$1)+SUMIFS('changes2_based on steps'!$B221:$U221,'changes2_based on steps'!$B$1:$U$1,AC$1)</f>
        <v>0</v>
      </c>
      <c r="AD221" s="179">
        <f>SUMIFS('recurring2_based on steps'!$B221:$AY221,'recurring2_based on steps'!$B$1:$AY$1,AD$1)+SUMIFS('changes2_based on steps'!$B221:$U221,'changes2_based on steps'!$B$1:$U$1,AD$1)</f>
        <v>0</v>
      </c>
      <c r="AE221" s="179">
        <f>SUMIFS('recurring2_based on steps'!$B221:$AY221,'recurring2_based on steps'!$B$1:$AY$1,AE$1)+SUMIFS('changes2_based on steps'!$B221:$U221,'changes2_based on steps'!$B$1:$U$1,AE$1)</f>
        <v>0</v>
      </c>
      <c r="AF221" s="179"/>
      <c r="AG221" s="179"/>
      <c r="AH221" s="179"/>
      <c r="AI221" s="179"/>
      <c r="AJ221" s="179"/>
      <c r="AK221" s="179"/>
      <c r="AL221" s="179"/>
      <c r="AM221" s="179"/>
    </row>
    <row r="222" spans="1:39" x14ac:dyDescent="0.2">
      <c r="A222" s="32">
        <f t="shared" ca="1" si="3"/>
        <v>45971</v>
      </c>
      <c r="B222" s="179">
        <f>SUMIFS('recurring2_based on steps'!$B222:$AY222,'recurring2_based on steps'!$B$1:$AY$1,B$1)+SUMIFS('changes2_based on steps'!$B222:$U222,'changes2_based on steps'!$B$1:$U$1,B$1)</f>
        <v>0</v>
      </c>
      <c r="C222" s="179">
        <f>SUMIFS('recurring2_based on steps'!$B222:$AY222,'recurring2_based on steps'!$B$1:$AY$1,C$1)+SUMIFS('changes2_based on steps'!$B222:$U222,'changes2_based on steps'!$B$1:$U$1,C$1)</f>
        <v>0</v>
      </c>
      <c r="D222" s="179">
        <f>SUMIFS('recurring2_based on steps'!$B222:$AY222,'recurring2_based on steps'!$B$1:$AY$1,D$1)+SUMIFS('changes2_based on steps'!$B222:$U222,'changes2_based on steps'!$B$1:$U$1,D$1)</f>
        <v>0</v>
      </c>
      <c r="E222" s="179">
        <f>SUMIFS('recurring2_based on steps'!$B222:$AY222,'recurring2_based on steps'!$B$1:$AY$1,E$1)+SUMIFS('changes2_based on steps'!$B222:$U222,'changes2_based on steps'!$B$1:$U$1,E$1)</f>
        <v>0</v>
      </c>
      <c r="F222" s="179">
        <f>SUMIFS('recurring2_based on steps'!$B222:$AY222,'recurring2_based on steps'!$B$1:$AY$1,F$1)+SUMIFS('changes2_based on steps'!$B222:$U222,'changes2_based on steps'!$B$1:$U$1,F$1)</f>
        <v>0</v>
      </c>
      <c r="G222" s="179">
        <f>SUMIFS('recurring2_based on steps'!$B222:$AY222,'recurring2_based on steps'!$B$1:$AY$1,G$1)+SUMIFS('changes2_based on steps'!$B222:$U222,'changes2_based on steps'!$B$1:$U$1,G$1)</f>
        <v>0</v>
      </c>
      <c r="H222" s="179">
        <f>SUMIFS('recurring2_based on steps'!$B222:$AY222,'recurring2_based on steps'!$B$1:$AY$1,H$1)+SUMIFS('changes2_based on steps'!$B222:$U222,'changes2_based on steps'!$B$1:$U$1,H$1)</f>
        <v>0</v>
      </c>
      <c r="I222" s="179">
        <f>SUMIFS('recurring2_based on steps'!$B222:$AY222,'recurring2_based on steps'!$B$1:$AY$1,I$1)+SUMIFS('changes2_based on steps'!$B222:$U222,'changes2_based on steps'!$B$1:$U$1,I$1)</f>
        <v>0</v>
      </c>
      <c r="J222" s="179">
        <f>SUMIFS('recurring2_based on steps'!$B222:$AY222,'recurring2_based on steps'!$B$1:$AY$1,J$1)+SUMIFS('changes2_based on steps'!$B222:$U222,'changes2_based on steps'!$B$1:$U$1,J$1)</f>
        <v>0</v>
      </c>
      <c r="K222" s="179">
        <f>SUMIFS('recurring2_based on steps'!$B222:$AY222,'recurring2_based on steps'!$B$1:$AY$1,K$1)+SUMIFS('changes2_based on steps'!$B222:$U222,'changes2_based on steps'!$B$1:$U$1,K$1)</f>
        <v>0</v>
      </c>
      <c r="L222" s="179">
        <f>SUMIFS('recurring2_based on steps'!$B222:$AY222,'recurring2_based on steps'!$B$1:$AY$1,L$1)+SUMIFS('changes2_based on steps'!$B222:$U222,'changes2_based on steps'!$B$1:$U$1,L$1)</f>
        <v>0</v>
      </c>
      <c r="M222" s="179">
        <f>SUMIFS('recurring2_based on steps'!$B222:$AY222,'recurring2_based on steps'!$B$1:$AY$1,M$1)+SUMIFS('changes2_based on steps'!$B222:$U222,'changes2_based on steps'!$B$1:$U$1,M$1)</f>
        <v>0</v>
      </c>
      <c r="N222" s="179">
        <f>SUMIFS('recurring2_based on steps'!$B222:$AY222,'recurring2_based on steps'!$B$1:$AY$1,N$1)+SUMIFS('changes2_based on steps'!$B222:$U222,'changes2_based on steps'!$B$1:$U$1,N$1)</f>
        <v>0</v>
      </c>
      <c r="O222" s="179">
        <f>SUMIFS('recurring2_based on steps'!$B222:$AY222,'recurring2_based on steps'!$B$1:$AY$1,O$1)+SUMIFS('changes2_based on steps'!$B222:$U222,'changes2_based on steps'!$B$1:$U$1,O$1)</f>
        <v>0</v>
      </c>
      <c r="P222" s="179">
        <f>SUMIFS('recurring2_based on steps'!$B222:$AY222,'recurring2_based on steps'!$B$1:$AY$1,P$1)+SUMIFS('changes2_based on steps'!$B222:$U222,'changes2_based on steps'!$B$1:$U$1,P$1)</f>
        <v>0</v>
      </c>
      <c r="Q222" s="179">
        <f>SUMIFS('recurring2_based on steps'!$B222:$AY222,'recurring2_based on steps'!$B$1:$AY$1,Q$1)+SUMIFS('changes2_based on steps'!$B222:$U222,'changes2_based on steps'!$B$1:$U$1,Q$1)</f>
        <v>0</v>
      </c>
      <c r="R222" s="179">
        <f>SUMIFS('recurring2_based on steps'!$B222:$AY222,'recurring2_based on steps'!$B$1:$AY$1,R$1)+SUMIFS('changes2_based on steps'!$B222:$U222,'changes2_based on steps'!$B$1:$U$1,R$1)</f>
        <v>0</v>
      </c>
      <c r="S222" s="179">
        <f>SUMIFS('recurring2_based on steps'!$B222:$AY222,'recurring2_based on steps'!$B$1:$AY$1,S$1)+SUMIFS('changes2_based on steps'!$B222:$U222,'changes2_based on steps'!$B$1:$U$1,S$1)</f>
        <v>0</v>
      </c>
      <c r="T222" s="179">
        <f>SUMIFS('recurring2_based on steps'!$B222:$AY222,'recurring2_based on steps'!$B$1:$AY$1,T$1)+SUMIFS('changes2_based on steps'!$B222:$U222,'changes2_based on steps'!$B$1:$U$1,T$1)</f>
        <v>0</v>
      </c>
      <c r="U222" s="179">
        <f>SUMIFS('recurring2_based on steps'!$B222:$AY222,'recurring2_based on steps'!$B$1:$AY$1,U$1)+SUMIFS('changes2_based on steps'!$B222:$U222,'changes2_based on steps'!$B$1:$U$1,U$1)</f>
        <v>0</v>
      </c>
      <c r="V222" s="179">
        <f>SUMIFS('recurring2_based on steps'!$B222:$AY222,'recurring2_based on steps'!$B$1:$AY$1,V$1)+SUMIFS('changes2_based on steps'!$B222:$U222,'changes2_based on steps'!$B$1:$U$1,V$1)</f>
        <v>0</v>
      </c>
      <c r="W222" s="179">
        <f>SUMIFS('recurring2_based on steps'!$B222:$AY222,'recurring2_based on steps'!$B$1:$AY$1,W$1)+SUMIFS('changes2_based on steps'!$B222:$U222,'changes2_based on steps'!$B$1:$U$1,W$1)</f>
        <v>0</v>
      </c>
      <c r="X222" s="179">
        <f>SUMIFS('recurring2_based on steps'!$B222:$AY222,'recurring2_based on steps'!$B$1:$AY$1,X$1)+SUMIFS('changes2_based on steps'!$B222:$U222,'changes2_based on steps'!$B$1:$U$1,X$1)</f>
        <v>0</v>
      </c>
      <c r="Y222" s="179">
        <f>SUMIFS('recurring2_based on steps'!$B222:$AY222,'recurring2_based on steps'!$B$1:$AY$1,Y$1)+SUMIFS('changes2_based on steps'!$B222:$U222,'changes2_based on steps'!$B$1:$U$1,Y$1)</f>
        <v>0</v>
      </c>
      <c r="Z222" s="179">
        <f>SUMIFS('recurring2_based on steps'!$B222:$AY222,'recurring2_based on steps'!$B$1:$AY$1,Z$1)+SUMIFS('changes2_based on steps'!$B222:$U222,'changes2_based on steps'!$B$1:$U$1,Z$1)</f>
        <v>0</v>
      </c>
      <c r="AA222" s="179">
        <f>SUMIFS('recurring2_based on steps'!$B222:$AY222,'recurring2_based on steps'!$B$1:$AY$1,AA$1)+SUMIFS('changes2_based on steps'!$B222:$U222,'changes2_based on steps'!$B$1:$U$1,AA$1)</f>
        <v>0</v>
      </c>
      <c r="AB222" s="179">
        <f>SUMIFS('recurring2_based on steps'!$B222:$AY222,'recurring2_based on steps'!$B$1:$AY$1,AB$1)+SUMIFS('changes2_based on steps'!$B222:$U222,'changes2_based on steps'!$B$1:$U$1,AB$1)</f>
        <v>0</v>
      </c>
      <c r="AC222" s="179">
        <f>SUMIFS('recurring2_based on steps'!$B222:$AY222,'recurring2_based on steps'!$B$1:$AY$1,AC$1)+SUMIFS('changes2_based on steps'!$B222:$U222,'changes2_based on steps'!$B$1:$U$1,AC$1)</f>
        <v>0</v>
      </c>
      <c r="AD222" s="179">
        <f>SUMIFS('recurring2_based on steps'!$B222:$AY222,'recurring2_based on steps'!$B$1:$AY$1,AD$1)+SUMIFS('changes2_based on steps'!$B222:$U222,'changes2_based on steps'!$B$1:$U$1,AD$1)</f>
        <v>0</v>
      </c>
      <c r="AE222" s="179">
        <f>SUMIFS('recurring2_based on steps'!$B222:$AY222,'recurring2_based on steps'!$B$1:$AY$1,AE$1)+SUMIFS('changes2_based on steps'!$B222:$U222,'changes2_based on steps'!$B$1:$U$1,AE$1)</f>
        <v>0</v>
      </c>
      <c r="AF222" s="179"/>
      <c r="AG222" s="179"/>
      <c r="AH222" s="179"/>
      <c r="AI222" s="179"/>
      <c r="AJ222" s="179"/>
      <c r="AK222" s="179"/>
      <c r="AL222" s="179"/>
      <c r="AM222" s="179"/>
    </row>
    <row r="223" spans="1:39" x14ac:dyDescent="0.2">
      <c r="A223" s="32">
        <f t="shared" ca="1" si="3"/>
        <v>45972</v>
      </c>
      <c r="B223" s="179">
        <f>SUMIFS('recurring2_based on steps'!$B223:$AY223,'recurring2_based on steps'!$B$1:$AY$1,B$1)+SUMIFS('changes2_based on steps'!$B223:$U223,'changes2_based on steps'!$B$1:$U$1,B$1)</f>
        <v>0</v>
      </c>
      <c r="C223" s="179">
        <f>SUMIFS('recurring2_based on steps'!$B223:$AY223,'recurring2_based on steps'!$B$1:$AY$1,C$1)+SUMIFS('changes2_based on steps'!$B223:$U223,'changes2_based on steps'!$B$1:$U$1,C$1)</f>
        <v>0</v>
      </c>
      <c r="D223" s="179">
        <f>SUMIFS('recurring2_based on steps'!$B223:$AY223,'recurring2_based on steps'!$B$1:$AY$1,D$1)+SUMIFS('changes2_based on steps'!$B223:$U223,'changes2_based on steps'!$B$1:$U$1,D$1)</f>
        <v>0</v>
      </c>
      <c r="E223" s="179">
        <f>SUMIFS('recurring2_based on steps'!$B223:$AY223,'recurring2_based on steps'!$B$1:$AY$1,E$1)+SUMIFS('changes2_based on steps'!$B223:$U223,'changes2_based on steps'!$B$1:$U$1,E$1)</f>
        <v>0</v>
      </c>
      <c r="F223" s="179">
        <f>SUMIFS('recurring2_based on steps'!$B223:$AY223,'recurring2_based on steps'!$B$1:$AY$1,F$1)+SUMIFS('changes2_based on steps'!$B223:$U223,'changes2_based on steps'!$B$1:$U$1,F$1)</f>
        <v>0</v>
      </c>
      <c r="G223" s="179">
        <f>SUMIFS('recurring2_based on steps'!$B223:$AY223,'recurring2_based on steps'!$B$1:$AY$1,G$1)+SUMIFS('changes2_based on steps'!$B223:$U223,'changes2_based on steps'!$B$1:$U$1,G$1)</f>
        <v>0</v>
      </c>
      <c r="H223" s="179">
        <f>SUMIFS('recurring2_based on steps'!$B223:$AY223,'recurring2_based on steps'!$B$1:$AY$1,H$1)+SUMIFS('changes2_based on steps'!$B223:$U223,'changes2_based on steps'!$B$1:$U$1,H$1)</f>
        <v>0</v>
      </c>
      <c r="I223" s="179">
        <f>SUMIFS('recurring2_based on steps'!$B223:$AY223,'recurring2_based on steps'!$B$1:$AY$1,I$1)+SUMIFS('changes2_based on steps'!$B223:$U223,'changes2_based on steps'!$B$1:$U$1,I$1)</f>
        <v>0</v>
      </c>
      <c r="J223" s="179">
        <f>SUMIFS('recurring2_based on steps'!$B223:$AY223,'recurring2_based on steps'!$B$1:$AY$1,J$1)+SUMIFS('changes2_based on steps'!$B223:$U223,'changes2_based on steps'!$B$1:$U$1,J$1)</f>
        <v>0</v>
      </c>
      <c r="K223" s="179">
        <f>SUMIFS('recurring2_based on steps'!$B223:$AY223,'recurring2_based on steps'!$B$1:$AY$1,K$1)+SUMIFS('changes2_based on steps'!$B223:$U223,'changes2_based on steps'!$B$1:$U$1,K$1)</f>
        <v>0</v>
      </c>
      <c r="L223" s="179">
        <f>SUMIFS('recurring2_based on steps'!$B223:$AY223,'recurring2_based on steps'!$B$1:$AY$1,L$1)+SUMIFS('changes2_based on steps'!$B223:$U223,'changes2_based on steps'!$B$1:$U$1,L$1)</f>
        <v>0</v>
      </c>
      <c r="M223" s="179">
        <f>SUMIFS('recurring2_based on steps'!$B223:$AY223,'recurring2_based on steps'!$B$1:$AY$1,M$1)+SUMIFS('changes2_based on steps'!$B223:$U223,'changes2_based on steps'!$B$1:$U$1,M$1)</f>
        <v>0</v>
      </c>
      <c r="N223" s="179">
        <f>SUMIFS('recurring2_based on steps'!$B223:$AY223,'recurring2_based on steps'!$B$1:$AY$1,N$1)+SUMIFS('changes2_based on steps'!$B223:$U223,'changes2_based on steps'!$B$1:$U$1,N$1)</f>
        <v>0</v>
      </c>
      <c r="O223" s="179">
        <f>SUMIFS('recurring2_based on steps'!$B223:$AY223,'recurring2_based on steps'!$B$1:$AY$1,O$1)+SUMIFS('changes2_based on steps'!$B223:$U223,'changes2_based on steps'!$B$1:$U$1,O$1)</f>
        <v>0</v>
      </c>
      <c r="P223" s="179">
        <f>SUMIFS('recurring2_based on steps'!$B223:$AY223,'recurring2_based on steps'!$B$1:$AY$1,P$1)+SUMIFS('changes2_based on steps'!$B223:$U223,'changes2_based on steps'!$B$1:$U$1,P$1)</f>
        <v>0</v>
      </c>
      <c r="Q223" s="179">
        <f>SUMIFS('recurring2_based on steps'!$B223:$AY223,'recurring2_based on steps'!$B$1:$AY$1,Q$1)+SUMIFS('changes2_based on steps'!$B223:$U223,'changes2_based on steps'!$B$1:$U$1,Q$1)</f>
        <v>0</v>
      </c>
      <c r="R223" s="179">
        <f>SUMIFS('recurring2_based on steps'!$B223:$AY223,'recurring2_based on steps'!$B$1:$AY$1,R$1)+SUMIFS('changes2_based on steps'!$B223:$U223,'changes2_based on steps'!$B$1:$U$1,R$1)</f>
        <v>0</v>
      </c>
      <c r="S223" s="179">
        <f>SUMIFS('recurring2_based on steps'!$B223:$AY223,'recurring2_based on steps'!$B$1:$AY$1,S$1)+SUMIFS('changes2_based on steps'!$B223:$U223,'changes2_based on steps'!$B$1:$U$1,S$1)</f>
        <v>0</v>
      </c>
      <c r="T223" s="179">
        <f>SUMIFS('recurring2_based on steps'!$B223:$AY223,'recurring2_based on steps'!$B$1:$AY$1,T$1)+SUMIFS('changes2_based on steps'!$B223:$U223,'changes2_based on steps'!$B$1:$U$1,T$1)</f>
        <v>0</v>
      </c>
      <c r="U223" s="179">
        <f>SUMIFS('recurring2_based on steps'!$B223:$AY223,'recurring2_based on steps'!$B$1:$AY$1,U$1)+SUMIFS('changes2_based on steps'!$B223:$U223,'changes2_based on steps'!$B$1:$U$1,U$1)</f>
        <v>0</v>
      </c>
      <c r="V223" s="179">
        <f>SUMIFS('recurring2_based on steps'!$B223:$AY223,'recurring2_based on steps'!$B$1:$AY$1,V$1)+SUMIFS('changes2_based on steps'!$B223:$U223,'changes2_based on steps'!$B$1:$U$1,V$1)</f>
        <v>0</v>
      </c>
      <c r="W223" s="179">
        <f>SUMIFS('recurring2_based on steps'!$B223:$AY223,'recurring2_based on steps'!$B$1:$AY$1,W$1)+SUMIFS('changes2_based on steps'!$B223:$U223,'changes2_based on steps'!$B$1:$U$1,W$1)</f>
        <v>0</v>
      </c>
      <c r="X223" s="179">
        <f>SUMIFS('recurring2_based on steps'!$B223:$AY223,'recurring2_based on steps'!$B$1:$AY$1,X$1)+SUMIFS('changes2_based on steps'!$B223:$U223,'changes2_based on steps'!$B$1:$U$1,X$1)</f>
        <v>0</v>
      </c>
      <c r="Y223" s="179">
        <f>SUMIFS('recurring2_based on steps'!$B223:$AY223,'recurring2_based on steps'!$B$1:$AY$1,Y$1)+SUMIFS('changes2_based on steps'!$B223:$U223,'changes2_based on steps'!$B$1:$U$1,Y$1)</f>
        <v>0</v>
      </c>
      <c r="Z223" s="179">
        <f>SUMIFS('recurring2_based on steps'!$B223:$AY223,'recurring2_based on steps'!$B$1:$AY$1,Z$1)+SUMIFS('changes2_based on steps'!$B223:$U223,'changes2_based on steps'!$B$1:$U$1,Z$1)</f>
        <v>0</v>
      </c>
      <c r="AA223" s="179">
        <f>SUMIFS('recurring2_based on steps'!$B223:$AY223,'recurring2_based on steps'!$B$1:$AY$1,AA$1)+SUMIFS('changes2_based on steps'!$B223:$U223,'changes2_based on steps'!$B$1:$U$1,AA$1)</f>
        <v>0</v>
      </c>
      <c r="AB223" s="179">
        <f>SUMIFS('recurring2_based on steps'!$B223:$AY223,'recurring2_based on steps'!$B$1:$AY$1,AB$1)+SUMIFS('changes2_based on steps'!$B223:$U223,'changes2_based on steps'!$B$1:$U$1,AB$1)</f>
        <v>0</v>
      </c>
      <c r="AC223" s="179">
        <f>SUMIFS('recurring2_based on steps'!$B223:$AY223,'recurring2_based on steps'!$B$1:$AY$1,AC$1)+SUMIFS('changes2_based on steps'!$B223:$U223,'changes2_based on steps'!$B$1:$U$1,AC$1)</f>
        <v>0</v>
      </c>
      <c r="AD223" s="179">
        <f>SUMIFS('recurring2_based on steps'!$B223:$AY223,'recurring2_based on steps'!$B$1:$AY$1,AD$1)+SUMIFS('changes2_based on steps'!$B223:$U223,'changes2_based on steps'!$B$1:$U$1,AD$1)</f>
        <v>0</v>
      </c>
      <c r="AE223" s="179">
        <f>SUMIFS('recurring2_based on steps'!$B223:$AY223,'recurring2_based on steps'!$B$1:$AY$1,AE$1)+SUMIFS('changes2_based on steps'!$B223:$U223,'changes2_based on steps'!$B$1:$U$1,AE$1)</f>
        <v>0</v>
      </c>
      <c r="AF223" s="179"/>
      <c r="AG223" s="179"/>
      <c r="AH223" s="179"/>
      <c r="AI223" s="179"/>
      <c r="AJ223" s="179"/>
      <c r="AK223" s="179"/>
      <c r="AL223" s="179"/>
      <c r="AM223" s="179"/>
    </row>
    <row r="224" spans="1:39" x14ac:dyDescent="0.2">
      <c r="A224" s="32">
        <f t="shared" ca="1" si="3"/>
        <v>45973</v>
      </c>
      <c r="B224" s="179">
        <f>SUMIFS('recurring2_based on steps'!$B224:$AY224,'recurring2_based on steps'!$B$1:$AY$1,B$1)+SUMIFS('changes2_based on steps'!$B224:$U224,'changes2_based on steps'!$B$1:$U$1,B$1)</f>
        <v>0</v>
      </c>
      <c r="C224" s="179">
        <f>SUMIFS('recurring2_based on steps'!$B224:$AY224,'recurring2_based on steps'!$B$1:$AY$1,C$1)+SUMIFS('changes2_based on steps'!$B224:$U224,'changes2_based on steps'!$B$1:$U$1,C$1)</f>
        <v>0</v>
      </c>
      <c r="D224" s="179">
        <f>SUMIFS('recurring2_based on steps'!$B224:$AY224,'recurring2_based on steps'!$B$1:$AY$1,D$1)+SUMIFS('changes2_based on steps'!$B224:$U224,'changes2_based on steps'!$B$1:$U$1,D$1)</f>
        <v>0</v>
      </c>
      <c r="E224" s="179">
        <f>SUMIFS('recurring2_based on steps'!$B224:$AY224,'recurring2_based on steps'!$B$1:$AY$1,E$1)+SUMIFS('changes2_based on steps'!$B224:$U224,'changes2_based on steps'!$B$1:$U$1,E$1)</f>
        <v>0</v>
      </c>
      <c r="F224" s="179">
        <f>SUMIFS('recurring2_based on steps'!$B224:$AY224,'recurring2_based on steps'!$B$1:$AY$1,F$1)+SUMIFS('changes2_based on steps'!$B224:$U224,'changes2_based on steps'!$B$1:$U$1,F$1)</f>
        <v>0</v>
      </c>
      <c r="G224" s="179">
        <f>SUMIFS('recurring2_based on steps'!$B224:$AY224,'recurring2_based on steps'!$B$1:$AY$1,G$1)+SUMIFS('changes2_based on steps'!$B224:$U224,'changes2_based on steps'!$B$1:$U$1,G$1)</f>
        <v>0</v>
      </c>
      <c r="H224" s="179">
        <f>SUMIFS('recurring2_based on steps'!$B224:$AY224,'recurring2_based on steps'!$B$1:$AY$1,H$1)+SUMIFS('changes2_based on steps'!$B224:$U224,'changes2_based on steps'!$B$1:$U$1,H$1)</f>
        <v>0</v>
      </c>
      <c r="I224" s="179">
        <f>SUMIFS('recurring2_based on steps'!$B224:$AY224,'recurring2_based on steps'!$B$1:$AY$1,I$1)+SUMIFS('changes2_based on steps'!$B224:$U224,'changes2_based on steps'!$B$1:$U$1,I$1)</f>
        <v>0</v>
      </c>
      <c r="J224" s="179">
        <f>SUMIFS('recurring2_based on steps'!$B224:$AY224,'recurring2_based on steps'!$B$1:$AY$1,J$1)+SUMIFS('changes2_based on steps'!$B224:$U224,'changes2_based on steps'!$B$1:$U$1,J$1)</f>
        <v>0</v>
      </c>
      <c r="K224" s="179">
        <f>SUMIFS('recurring2_based on steps'!$B224:$AY224,'recurring2_based on steps'!$B$1:$AY$1,K$1)+SUMIFS('changes2_based on steps'!$B224:$U224,'changes2_based on steps'!$B$1:$U$1,K$1)</f>
        <v>0</v>
      </c>
      <c r="L224" s="179">
        <f>SUMIFS('recurring2_based on steps'!$B224:$AY224,'recurring2_based on steps'!$B$1:$AY$1,L$1)+SUMIFS('changes2_based on steps'!$B224:$U224,'changes2_based on steps'!$B$1:$U$1,L$1)</f>
        <v>0</v>
      </c>
      <c r="M224" s="179">
        <f>SUMIFS('recurring2_based on steps'!$B224:$AY224,'recurring2_based on steps'!$B$1:$AY$1,M$1)+SUMIFS('changes2_based on steps'!$B224:$U224,'changes2_based on steps'!$B$1:$U$1,M$1)</f>
        <v>0</v>
      </c>
      <c r="N224" s="179">
        <f>SUMIFS('recurring2_based on steps'!$B224:$AY224,'recurring2_based on steps'!$B$1:$AY$1,N$1)+SUMIFS('changes2_based on steps'!$B224:$U224,'changes2_based on steps'!$B$1:$U$1,N$1)</f>
        <v>0</v>
      </c>
      <c r="O224" s="179">
        <f>SUMIFS('recurring2_based on steps'!$B224:$AY224,'recurring2_based on steps'!$B$1:$AY$1,O$1)+SUMIFS('changes2_based on steps'!$B224:$U224,'changes2_based on steps'!$B$1:$U$1,O$1)</f>
        <v>0</v>
      </c>
      <c r="P224" s="179">
        <f>SUMIFS('recurring2_based on steps'!$B224:$AY224,'recurring2_based on steps'!$B$1:$AY$1,P$1)+SUMIFS('changes2_based on steps'!$B224:$U224,'changes2_based on steps'!$B$1:$U$1,P$1)</f>
        <v>0</v>
      </c>
      <c r="Q224" s="179">
        <f>SUMIFS('recurring2_based on steps'!$B224:$AY224,'recurring2_based on steps'!$B$1:$AY$1,Q$1)+SUMIFS('changes2_based on steps'!$B224:$U224,'changes2_based on steps'!$B$1:$U$1,Q$1)</f>
        <v>0</v>
      </c>
      <c r="R224" s="179">
        <f>SUMIFS('recurring2_based on steps'!$B224:$AY224,'recurring2_based on steps'!$B$1:$AY$1,R$1)+SUMIFS('changes2_based on steps'!$B224:$U224,'changes2_based on steps'!$B$1:$U$1,R$1)</f>
        <v>0</v>
      </c>
      <c r="S224" s="179">
        <f>SUMIFS('recurring2_based on steps'!$B224:$AY224,'recurring2_based on steps'!$B$1:$AY$1,S$1)+SUMIFS('changes2_based on steps'!$B224:$U224,'changes2_based on steps'!$B$1:$U$1,S$1)</f>
        <v>0</v>
      </c>
      <c r="T224" s="179">
        <f>SUMIFS('recurring2_based on steps'!$B224:$AY224,'recurring2_based on steps'!$B$1:$AY$1,T$1)+SUMIFS('changes2_based on steps'!$B224:$U224,'changes2_based on steps'!$B$1:$U$1,T$1)</f>
        <v>0</v>
      </c>
      <c r="U224" s="179">
        <f>SUMIFS('recurring2_based on steps'!$B224:$AY224,'recurring2_based on steps'!$B$1:$AY$1,U$1)+SUMIFS('changes2_based on steps'!$B224:$U224,'changes2_based on steps'!$B$1:$U$1,U$1)</f>
        <v>0</v>
      </c>
      <c r="V224" s="179">
        <f>SUMIFS('recurring2_based on steps'!$B224:$AY224,'recurring2_based on steps'!$B$1:$AY$1,V$1)+SUMIFS('changes2_based on steps'!$B224:$U224,'changes2_based on steps'!$B$1:$U$1,V$1)</f>
        <v>0</v>
      </c>
      <c r="W224" s="179">
        <f>SUMIFS('recurring2_based on steps'!$B224:$AY224,'recurring2_based on steps'!$B$1:$AY$1,W$1)+SUMIFS('changes2_based on steps'!$B224:$U224,'changes2_based on steps'!$B$1:$U$1,W$1)</f>
        <v>0</v>
      </c>
      <c r="X224" s="179">
        <f>SUMIFS('recurring2_based on steps'!$B224:$AY224,'recurring2_based on steps'!$B$1:$AY$1,X$1)+SUMIFS('changes2_based on steps'!$B224:$U224,'changes2_based on steps'!$B$1:$U$1,X$1)</f>
        <v>0</v>
      </c>
      <c r="Y224" s="179">
        <f>SUMIFS('recurring2_based on steps'!$B224:$AY224,'recurring2_based on steps'!$B$1:$AY$1,Y$1)+SUMIFS('changes2_based on steps'!$B224:$U224,'changes2_based on steps'!$B$1:$U$1,Y$1)</f>
        <v>0</v>
      </c>
      <c r="Z224" s="179">
        <f>SUMIFS('recurring2_based on steps'!$B224:$AY224,'recurring2_based on steps'!$B$1:$AY$1,Z$1)+SUMIFS('changes2_based on steps'!$B224:$U224,'changes2_based on steps'!$B$1:$U$1,Z$1)</f>
        <v>0</v>
      </c>
      <c r="AA224" s="179">
        <f>SUMIFS('recurring2_based on steps'!$B224:$AY224,'recurring2_based on steps'!$B$1:$AY$1,AA$1)+SUMIFS('changes2_based on steps'!$B224:$U224,'changes2_based on steps'!$B$1:$U$1,AA$1)</f>
        <v>0</v>
      </c>
      <c r="AB224" s="179">
        <f>SUMIFS('recurring2_based on steps'!$B224:$AY224,'recurring2_based on steps'!$B$1:$AY$1,AB$1)+SUMIFS('changes2_based on steps'!$B224:$U224,'changes2_based on steps'!$B$1:$U$1,AB$1)</f>
        <v>0</v>
      </c>
      <c r="AC224" s="179">
        <f>SUMIFS('recurring2_based on steps'!$B224:$AY224,'recurring2_based on steps'!$B$1:$AY$1,AC$1)+SUMIFS('changes2_based on steps'!$B224:$U224,'changes2_based on steps'!$B$1:$U$1,AC$1)</f>
        <v>0</v>
      </c>
      <c r="AD224" s="179">
        <f>SUMIFS('recurring2_based on steps'!$B224:$AY224,'recurring2_based on steps'!$B$1:$AY$1,AD$1)+SUMIFS('changes2_based on steps'!$B224:$U224,'changes2_based on steps'!$B$1:$U$1,AD$1)</f>
        <v>0</v>
      </c>
      <c r="AE224" s="179">
        <f>SUMIFS('recurring2_based on steps'!$B224:$AY224,'recurring2_based on steps'!$B$1:$AY$1,AE$1)+SUMIFS('changes2_based on steps'!$B224:$U224,'changes2_based on steps'!$B$1:$U$1,AE$1)</f>
        <v>0</v>
      </c>
      <c r="AF224" s="179"/>
      <c r="AG224" s="179"/>
      <c r="AH224" s="179"/>
      <c r="AI224" s="179"/>
      <c r="AJ224" s="179"/>
      <c r="AK224" s="179"/>
      <c r="AL224" s="179"/>
      <c r="AM224" s="179"/>
    </row>
    <row r="225" spans="1:39" x14ac:dyDescent="0.2">
      <c r="A225" s="32">
        <f t="shared" ca="1" si="3"/>
        <v>45974</v>
      </c>
      <c r="B225" s="179">
        <f>SUMIFS('recurring2_based on steps'!$B225:$AY225,'recurring2_based on steps'!$B$1:$AY$1,B$1)+SUMIFS('changes2_based on steps'!$B225:$U225,'changes2_based on steps'!$B$1:$U$1,B$1)</f>
        <v>0</v>
      </c>
      <c r="C225" s="179">
        <f>SUMIFS('recurring2_based on steps'!$B225:$AY225,'recurring2_based on steps'!$B$1:$AY$1,C$1)+SUMIFS('changes2_based on steps'!$B225:$U225,'changes2_based on steps'!$B$1:$U$1,C$1)</f>
        <v>0</v>
      </c>
      <c r="D225" s="179">
        <f>SUMIFS('recurring2_based on steps'!$B225:$AY225,'recurring2_based on steps'!$B$1:$AY$1,D$1)+SUMIFS('changes2_based on steps'!$B225:$U225,'changes2_based on steps'!$B$1:$U$1,D$1)</f>
        <v>0</v>
      </c>
      <c r="E225" s="179">
        <f>SUMIFS('recurring2_based on steps'!$B225:$AY225,'recurring2_based on steps'!$B$1:$AY$1,E$1)+SUMIFS('changes2_based on steps'!$B225:$U225,'changes2_based on steps'!$B$1:$U$1,E$1)</f>
        <v>0</v>
      </c>
      <c r="F225" s="179">
        <f>SUMIFS('recurring2_based on steps'!$B225:$AY225,'recurring2_based on steps'!$B$1:$AY$1,F$1)+SUMIFS('changes2_based on steps'!$B225:$U225,'changes2_based on steps'!$B$1:$U$1,F$1)</f>
        <v>0</v>
      </c>
      <c r="G225" s="179">
        <f>SUMIFS('recurring2_based on steps'!$B225:$AY225,'recurring2_based on steps'!$B$1:$AY$1,G$1)+SUMIFS('changes2_based on steps'!$B225:$U225,'changes2_based on steps'!$B$1:$U$1,G$1)</f>
        <v>0</v>
      </c>
      <c r="H225" s="179">
        <f>SUMIFS('recurring2_based on steps'!$B225:$AY225,'recurring2_based on steps'!$B$1:$AY$1,H$1)+SUMIFS('changes2_based on steps'!$B225:$U225,'changes2_based on steps'!$B$1:$U$1,H$1)</f>
        <v>0</v>
      </c>
      <c r="I225" s="179">
        <f>SUMIFS('recurring2_based on steps'!$B225:$AY225,'recurring2_based on steps'!$B$1:$AY$1,I$1)+SUMIFS('changes2_based on steps'!$B225:$U225,'changes2_based on steps'!$B$1:$U$1,I$1)</f>
        <v>0</v>
      </c>
      <c r="J225" s="179">
        <f>SUMIFS('recurring2_based on steps'!$B225:$AY225,'recurring2_based on steps'!$B$1:$AY$1,J$1)+SUMIFS('changes2_based on steps'!$B225:$U225,'changes2_based on steps'!$B$1:$U$1,J$1)</f>
        <v>0</v>
      </c>
      <c r="K225" s="179">
        <f>SUMIFS('recurring2_based on steps'!$B225:$AY225,'recurring2_based on steps'!$B$1:$AY$1,K$1)+SUMIFS('changes2_based on steps'!$B225:$U225,'changes2_based on steps'!$B$1:$U$1,K$1)</f>
        <v>0</v>
      </c>
      <c r="L225" s="179">
        <f>SUMIFS('recurring2_based on steps'!$B225:$AY225,'recurring2_based on steps'!$B$1:$AY$1,L$1)+SUMIFS('changes2_based on steps'!$B225:$U225,'changes2_based on steps'!$B$1:$U$1,L$1)</f>
        <v>0</v>
      </c>
      <c r="M225" s="179">
        <f>SUMIFS('recurring2_based on steps'!$B225:$AY225,'recurring2_based on steps'!$B$1:$AY$1,M$1)+SUMIFS('changes2_based on steps'!$B225:$U225,'changes2_based on steps'!$B$1:$U$1,M$1)</f>
        <v>0</v>
      </c>
      <c r="N225" s="179">
        <f>SUMIFS('recurring2_based on steps'!$B225:$AY225,'recurring2_based on steps'!$B$1:$AY$1,N$1)+SUMIFS('changes2_based on steps'!$B225:$U225,'changes2_based on steps'!$B$1:$U$1,N$1)</f>
        <v>0</v>
      </c>
      <c r="O225" s="179">
        <f>SUMIFS('recurring2_based on steps'!$B225:$AY225,'recurring2_based on steps'!$B$1:$AY$1,O$1)+SUMIFS('changes2_based on steps'!$B225:$U225,'changes2_based on steps'!$B$1:$U$1,O$1)</f>
        <v>0</v>
      </c>
      <c r="P225" s="179">
        <f>SUMIFS('recurring2_based on steps'!$B225:$AY225,'recurring2_based on steps'!$B$1:$AY$1,P$1)+SUMIFS('changes2_based on steps'!$B225:$U225,'changes2_based on steps'!$B$1:$U$1,P$1)</f>
        <v>0</v>
      </c>
      <c r="Q225" s="179">
        <f>SUMIFS('recurring2_based on steps'!$B225:$AY225,'recurring2_based on steps'!$B$1:$AY$1,Q$1)+SUMIFS('changes2_based on steps'!$B225:$U225,'changes2_based on steps'!$B$1:$U$1,Q$1)</f>
        <v>0</v>
      </c>
      <c r="R225" s="179">
        <f>SUMIFS('recurring2_based on steps'!$B225:$AY225,'recurring2_based on steps'!$B$1:$AY$1,R$1)+SUMIFS('changes2_based on steps'!$B225:$U225,'changes2_based on steps'!$B$1:$U$1,R$1)</f>
        <v>0</v>
      </c>
      <c r="S225" s="179">
        <f>SUMIFS('recurring2_based on steps'!$B225:$AY225,'recurring2_based on steps'!$B$1:$AY$1,S$1)+SUMIFS('changes2_based on steps'!$B225:$U225,'changes2_based on steps'!$B$1:$U$1,S$1)</f>
        <v>0</v>
      </c>
      <c r="T225" s="179">
        <f>SUMIFS('recurring2_based on steps'!$B225:$AY225,'recurring2_based on steps'!$B$1:$AY$1,T$1)+SUMIFS('changes2_based on steps'!$B225:$U225,'changes2_based on steps'!$B$1:$U$1,T$1)</f>
        <v>0</v>
      </c>
      <c r="U225" s="179">
        <f>SUMIFS('recurring2_based on steps'!$B225:$AY225,'recurring2_based on steps'!$B$1:$AY$1,U$1)+SUMIFS('changes2_based on steps'!$B225:$U225,'changes2_based on steps'!$B$1:$U$1,U$1)</f>
        <v>0</v>
      </c>
      <c r="V225" s="179">
        <f>SUMIFS('recurring2_based on steps'!$B225:$AY225,'recurring2_based on steps'!$B$1:$AY$1,V$1)+SUMIFS('changes2_based on steps'!$B225:$U225,'changes2_based on steps'!$B$1:$U$1,V$1)</f>
        <v>0</v>
      </c>
      <c r="W225" s="179">
        <f>SUMIFS('recurring2_based on steps'!$B225:$AY225,'recurring2_based on steps'!$B$1:$AY$1,W$1)+SUMIFS('changes2_based on steps'!$B225:$U225,'changes2_based on steps'!$B$1:$U$1,W$1)</f>
        <v>0</v>
      </c>
      <c r="X225" s="179">
        <f>SUMIFS('recurring2_based on steps'!$B225:$AY225,'recurring2_based on steps'!$B$1:$AY$1,X$1)+SUMIFS('changes2_based on steps'!$B225:$U225,'changes2_based on steps'!$B$1:$U$1,X$1)</f>
        <v>0</v>
      </c>
      <c r="Y225" s="179">
        <f>SUMIFS('recurring2_based on steps'!$B225:$AY225,'recurring2_based on steps'!$B$1:$AY$1,Y$1)+SUMIFS('changes2_based on steps'!$B225:$U225,'changes2_based on steps'!$B$1:$U$1,Y$1)</f>
        <v>0</v>
      </c>
      <c r="Z225" s="179">
        <f>SUMIFS('recurring2_based on steps'!$B225:$AY225,'recurring2_based on steps'!$B$1:$AY$1,Z$1)+SUMIFS('changes2_based on steps'!$B225:$U225,'changes2_based on steps'!$B$1:$U$1,Z$1)</f>
        <v>0</v>
      </c>
      <c r="AA225" s="179">
        <f>SUMIFS('recurring2_based on steps'!$B225:$AY225,'recurring2_based on steps'!$B$1:$AY$1,AA$1)+SUMIFS('changes2_based on steps'!$B225:$U225,'changes2_based on steps'!$B$1:$U$1,AA$1)</f>
        <v>0</v>
      </c>
      <c r="AB225" s="179">
        <f>SUMIFS('recurring2_based on steps'!$B225:$AY225,'recurring2_based on steps'!$B$1:$AY$1,AB$1)+SUMIFS('changes2_based on steps'!$B225:$U225,'changes2_based on steps'!$B$1:$U$1,AB$1)</f>
        <v>0</v>
      </c>
      <c r="AC225" s="179">
        <f>SUMIFS('recurring2_based on steps'!$B225:$AY225,'recurring2_based on steps'!$B$1:$AY$1,AC$1)+SUMIFS('changes2_based on steps'!$B225:$U225,'changes2_based on steps'!$B$1:$U$1,AC$1)</f>
        <v>0</v>
      </c>
      <c r="AD225" s="179">
        <f>SUMIFS('recurring2_based on steps'!$B225:$AY225,'recurring2_based on steps'!$B$1:$AY$1,AD$1)+SUMIFS('changes2_based on steps'!$B225:$U225,'changes2_based on steps'!$B$1:$U$1,AD$1)</f>
        <v>0</v>
      </c>
      <c r="AE225" s="179">
        <f>SUMIFS('recurring2_based on steps'!$B225:$AY225,'recurring2_based on steps'!$B$1:$AY$1,AE$1)+SUMIFS('changes2_based on steps'!$B225:$U225,'changes2_based on steps'!$B$1:$U$1,AE$1)</f>
        <v>0</v>
      </c>
      <c r="AF225" s="179"/>
      <c r="AG225" s="179"/>
      <c r="AH225" s="179"/>
      <c r="AI225" s="179"/>
      <c r="AJ225" s="179"/>
      <c r="AK225" s="179"/>
      <c r="AL225" s="179"/>
      <c r="AM225" s="179"/>
    </row>
    <row r="226" spans="1:39" x14ac:dyDescent="0.2">
      <c r="A226" s="32">
        <f t="shared" ca="1" si="3"/>
        <v>45975</v>
      </c>
      <c r="B226" s="179">
        <f>SUMIFS('recurring2_based on steps'!$B226:$AY226,'recurring2_based on steps'!$B$1:$AY$1,B$1)+SUMIFS('changes2_based on steps'!$B226:$U226,'changes2_based on steps'!$B$1:$U$1,B$1)</f>
        <v>0</v>
      </c>
      <c r="C226" s="179">
        <f>SUMIFS('recurring2_based on steps'!$B226:$AY226,'recurring2_based on steps'!$B$1:$AY$1,C$1)+SUMIFS('changes2_based on steps'!$B226:$U226,'changes2_based on steps'!$B$1:$U$1,C$1)</f>
        <v>0</v>
      </c>
      <c r="D226" s="179">
        <f>SUMIFS('recurring2_based on steps'!$B226:$AY226,'recurring2_based on steps'!$B$1:$AY$1,D$1)+SUMIFS('changes2_based on steps'!$B226:$U226,'changes2_based on steps'!$B$1:$U$1,D$1)</f>
        <v>0</v>
      </c>
      <c r="E226" s="179">
        <f>SUMIFS('recurring2_based on steps'!$B226:$AY226,'recurring2_based on steps'!$B$1:$AY$1,E$1)+SUMIFS('changes2_based on steps'!$B226:$U226,'changes2_based on steps'!$B$1:$U$1,E$1)</f>
        <v>0</v>
      </c>
      <c r="F226" s="179">
        <f>SUMIFS('recurring2_based on steps'!$B226:$AY226,'recurring2_based on steps'!$B$1:$AY$1,F$1)+SUMIFS('changes2_based on steps'!$B226:$U226,'changes2_based on steps'!$B$1:$U$1,F$1)</f>
        <v>0</v>
      </c>
      <c r="G226" s="179">
        <f>SUMIFS('recurring2_based on steps'!$B226:$AY226,'recurring2_based on steps'!$B$1:$AY$1,G$1)+SUMIFS('changes2_based on steps'!$B226:$U226,'changes2_based on steps'!$B$1:$U$1,G$1)</f>
        <v>0</v>
      </c>
      <c r="H226" s="179">
        <f>SUMIFS('recurring2_based on steps'!$B226:$AY226,'recurring2_based on steps'!$B$1:$AY$1,H$1)+SUMIFS('changes2_based on steps'!$B226:$U226,'changes2_based on steps'!$B$1:$U$1,H$1)</f>
        <v>0</v>
      </c>
      <c r="I226" s="179">
        <f>SUMIFS('recurring2_based on steps'!$B226:$AY226,'recurring2_based on steps'!$B$1:$AY$1,I$1)+SUMIFS('changes2_based on steps'!$B226:$U226,'changes2_based on steps'!$B$1:$U$1,I$1)</f>
        <v>0</v>
      </c>
      <c r="J226" s="179">
        <f>SUMIFS('recurring2_based on steps'!$B226:$AY226,'recurring2_based on steps'!$B$1:$AY$1,J$1)+SUMIFS('changes2_based on steps'!$B226:$U226,'changes2_based on steps'!$B$1:$U$1,J$1)</f>
        <v>0</v>
      </c>
      <c r="K226" s="179">
        <f>SUMIFS('recurring2_based on steps'!$B226:$AY226,'recurring2_based on steps'!$B$1:$AY$1,K$1)+SUMIFS('changes2_based on steps'!$B226:$U226,'changes2_based on steps'!$B$1:$U$1,K$1)</f>
        <v>0</v>
      </c>
      <c r="L226" s="179">
        <f>SUMIFS('recurring2_based on steps'!$B226:$AY226,'recurring2_based on steps'!$B$1:$AY$1,L$1)+SUMIFS('changes2_based on steps'!$B226:$U226,'changes2_based on steps'!$B$1:$U$1,L$1)</f>
        <v>0</v>
      </c>
      <c r="M226" s="179">
        <f>SUMIFS('recurring2_based on steps'!$B226:$AY226,'recurring2_based on steps'!$B$1:$AY$1,M$1)+SUMIFS('changes2_based on steps'!$B226:$U226,'changes2_based on steps'!$B$1:$U$1,M$1)</f>
        <v>0</v>
      </c>
      <c r="N226" s="179">
        <f>SUMIFS('recurring2_based on steps'!$B226:$AY226,'recurring2_based on steps'!$B$1:$AY$1,N$1)+SUMIFS('changes2_based on steps'!$B226:$U226,'changes2_based on steps'!$B$1:$U$1,N$1)</f>
        <v>0</v>
      </c>
      <c r="O226" s="179">
        <f>SUMIFS('recurring2_based on steps'!$B226:$AY226,'recurring2_based on steps'!$B$1:$AY$1,O$1)+SUMIFS('changes2_based on steps'!$B226:$U226,'changes2_based on steps'!$B$1:$U$1,O$1)</f>
        <v>0</v>
      </c>
      <c r="P226" s="179">
        <f>SUMIFS('recurring2_based on steps'!$B226:$AY226,'recurring2_based on steps'!$B$1:$AY$1,P$1)+SUMIFS('changes2_based on steps'!$B226:$U226,'changes2_based on steps'!$B$1:$U$1,P$1)</f>
        <v>0</v>
      </c>
      <c r="Q226" s="179">
        <f>SUMIFS('recurring2_based on steps'!$B226:$AY226,'recurring2_based on steps'!$B$1:$AY$1,Q$1)+SUMIFS('changes2_based on steps'!$B226:$U226,'changes2_based on steps'!$B$1:$U$1,Q$1)</f>
        <v>0</v>
      </c>
      <c r="R226" s="179">
        <f>SUMIFS('recurring2_based on steps'!$B226:$AY226,'recurring2_based on steps'!$B$1:$AY$1,R$1)+SUMIFS('changes2_based on steps'!$B226:$U226,'changes2_based on steps'!$B$1:$U$1,R$1)</f>
        <v>0</v>
      </c>
      <c r="S226" s="179">
        <f>SUMIFS('recurring2_based on steps'!$B226:$AY226,'recurring2_based on steps'!$B$1:$AY$1,S$1)+SUMIFS('changes2_based on steps'!$B226:$U226,'changes2_based on steps'!$B$1:$U$1,S$1)</f>
        <v>0</v>
      </c>
      <c r="T226" s="179">
        <f>SUMIFS('recurring2_based on steps'!$B226:$AY226,'recurring2_based on steps'!$B$1:$AY$1,T$1)+SUMIFS('changes2_based on steps'!$B226:$U226,'changes2_based on steps'!$B$1:$U$1,T$1)</f>
        <v>0</v>
      </c>
      <c r="U226" s="179">
        <f>SUMIFS('recurring2_based on steps'!$B226:$AY226,'recurring2_based on steps'!$B$1:$AY$1,U$1)+SUMIFS('changes2_based on steps'!$B226:$U226,'changes2_based on steps'!$B$1:$U$1,U$1)</f>
        <v>0</v>
      </c>
      <c r="V226" s="179">
        <f>SUMIFS('recurring2_based on steps'!$B226:$AY226,'recurring2_based on steps'!$B$1:$AY$1,V$1)+SUMIFS('changes2_based on steps'!$B226:$U226,'changes2_based on steps'!$B$1:$U$1,V$1)</f>
        <v>0</v>
      </c>
      <c r="W226" s="179">
        <f>SUMIFS('recurring2_based on steps'!$B226:$AY226,'recurring2_based on steps'!$B$1:$AY$1,W$1)+SUMIFS('changes2_based on steps'!$B226:$U226,'changes2_based on steps'!$B$1:$U$1,W$1)</f>
        <v>0</v>
      </c>
      <c r="X226" s="179">
        <f>SUMIFS('recurring2_based on steps'!$B226:$AY226,'recurring2_based on steps'!$B$1:$AY$1,X$1)+SUMIFS('changes2_based on steps'!$B226:$U226,'changes2_based on steps'!$B$1:$U$1,X$1)</f>
        <v>0</v>
      </c>
      <c r="Y226" s="179">
        <f>SUMIFS('recurring2_based on steps'!$B226:$AY226,'recurring2_based on steps'!$B$1:$AY$1,Y$1)+SUMIFS('changes2_based on steps'!$B226:$U226,'changes2_based on steps'!$B$1:$U$1,Y$1)</f>
        <v>0</v>
      </c>
      <c r="Z226" s="179">
        <f>SUMIFS('recurring2_based on steps'!$B226:$AY226,'recurring2_based on steps'!$B$1:$AY$1,Z$1)+SUMIFS('changes2_based on steps'!$B226:$U226,'changes2_based on steps'!$B$1:$U$1,Z$1)</f>
        <v>0</v>
      </c>
      <c r="AA226" s="179">
        <f>SUMIFS('recurring2_based on steps'!$B226:$AY226,'recurring2_based on steps'!$B$1:$AY$1,AA$1)+SUMIFS('changes2_based on steps'!$B226:$U226,'changes2_based on steps'!$B$1:$U$1,AA$1)</f>
        <v>0</v>
      </c>
      <c r="AB226" s="179">
        <f>SUMIFS('recurring2_based on steps'!$B226:$AY226,'recurring2_based on steps'!$B$1:$AY$1,AB$1)+SUMIFS('changes2_based on steps'!$B226:$U226,'changes2_based on steps'!$B$1:$U$1,AB$1)</f>
        <v>0</v>
      </c>
      <c r="AC226" s="179">
        <f>SUMIFS('recurring2_based on steps'!$B226:$AY226,'recurring2_based on steps'!$B$1:$AY$1,AC$1)+SUMIFS('changes2_based on steps'!$B226:$U226,'changes2_based on steps'!$B$1:$U$1,AC$1)</f>
        <v>0</v>
      </c>
      <c r="AD226" s="179">
        <f>SUMIFS('recurring2_based on steps'!$B226:$AY226,'recurring2_based on steps'!$B$1:$AY$1,AD$1)+SUMIFS('changes2_based on steps'!$B226:$U226,'changes2_based on steps'!$B$1:$U$1,AD$1)</f>
        <v>0</v>
      </c>
      <c r="AE226" s="179">
        <f>SUMIFS('recurring2_based on steps'!$B226:$AY226,'recurring2_based on steps'!$B$1:$AY$1,AE$1)+SUMIFS('changes2_based on steps'!$B226:$U226,'changes2_based on steps'!$B$1:$U$1,AE$1)</f>
        <v>0</v>
      </c>
      <c r="AF226" s="179"/>
      <c r="AG226" s="179"/>
      <c r="AH226" s="179"/>
      <c r="AI226" s="179"/>
      <c r="AJ226" s="179"/>
      <c r="AK226" s="179"/>
      <c r="AL226" s="179"/>
      <c r="AM226" s="179"/>
    </row>
    <row r="227" spans="1:39" x14ac:dyDescent="0.2">
      <c r="A227" s="32">
        <f t="shared" ca="1" si="3"/>
        <v>45976</v>
      </c>
      <c r="B227" s="179">
        <f>SUMIFS('recurring2_based on steps'!$B227:$AY227,'recurring2_based on steps'!$B$1:$AY$1,B$1)+SUMIFS('changes2_based on steps'!$B227:$U227,'changes2_based on steps'!$B$1:$U$1,B$1)</f>
        <v>0</v>
      </c>
      <c r="C227" s="179">
        <f>SUMIFS('recurring2_based on steps'!$B227:$AY227,'recurring2_based on steps'!$B$1:$AY$1,C$1)+SUMIFS('changes2_based on steps'!$B227:$U227,'changes2_based on steps'!$B$1:$U$1,C$1)</f>
        <v>0</v>
      </c>
      <c r="D227" s="179">
        <f>SUMIFS('recurring2_based on steps'!$B227:$AY227,'recurring2_based on steps'!$B$1:$AY$1,D$1)+SUMIFS('changes2_based on steps'!$B227:$U227,'changes2_based on steps'!$B$1:$U$1,D$1)</f>
        <v>0</v>
      </c>
      <c r="E227" s="179">
        <f>SUMIFS('recurring2_based on steps'!$B227:$AY227,'recurring2_based on steps'!$B$1:$AY$1,E$1)+SUMIFS('changes2_based on steps'!$B227:$U227,'changes2_based on steps'!$B$1:$U$1,E$1)</f>
        <v>0</v>
      </c>
      <c r="F227" s="179">
        <f>SUMIFS('recurring2_based on steps'!$B227:$AY227,'recurring2_based on steps'!$B$1:$AY$1,F$1)+SUMIFS('changes2_based on steps'!$B227:$U227,'changes2_based on steps'!$B$1:$U$1,F$1)</f>
        <v>0</v>
      </c>
      <c r="G227" s="179">
        <f>SUMIFS('recurring2_based on steps'!$B227:$AY227,'recurring2_based on steps'!$B$1:$AY$1,G$1)+SUMIFS('changes2_based on steps'!$B227:$U227,'changes2_based on steps'!$B$1:$U$1,G$1)</f>
        <v>0</v>
      </c>
      <c r="H227" s="179">
        <f>SUMIFS('recurring2_based on steps'!$B227:$AY227,'recurring2_based on steps'!$B$1:$AY$1,H$1)+SUMIFS('changes2_based on steps'!$B227:$U227,'changes2_based on steps'!$B$1:$U$1,H$1)</f>
        <v>0</v>
      </c>
      <c r="I227" s="179">
        <f>SUMIFS('recurring2_based on steps'!$B227:$AY227,'recurring2_based on steps'!$B$1:$AY$1,I$1)+SUMIFS('changes2_based on steps'!$B227:$U227,'changes2_based on steps'!$B$1:$U$1,I$1)</f>
        <v>0</v>
      </c>
      <c r="J227" s="179">
        <f>SUMIFS('recurring2_based on steps'!$B227:$AY227,'recurring2_based on steps'!$B$1:$AY$1,J$1)+SUMIFS('changes2_based on steps'!$B227:$U227,'changes2_based on steps'!$B$1:$U$1,J$1)</f>
        <v>0</v>
      </c>
      <c r="K227" s="179">
        <f>SUMIFS('recurring2_based on steps'!$B227:$AY227,'recurring2_based on steps'!$B$1:$AY$1,K$1)+SUMIFS('changes2_based on steps'!$B227:$U227,'changes2_based on steps'!$B$1:$U$1,K$1)</f>
        <v>0</v>
      </c>
      <c r="L227" s="179">
        <f>SUMIFS('recurring2_based on steps'!$B227:$AY227,'recurring2_based on steps'!$B$1:$AY$1,L$1)+SUMIFS('changes2_based on steps'!$B227:$U227,'changes2_based on steps'!$B$1:$U$1,L$1)</f>
        <v>0</v>
      </c>
      <c r="M227" s="179">
        <f>SUMIFS('recurring2_based on steps'!$B227:$AY227,'recurring2_based on steps'!$B$1:$AY$1,M$1)+SUMIFS('changes2_based on steps'!$B227:$U227,'changes2_based on steps'!$B$1:$U$1,M$1)</f>
        <v>0</v>
      </c>
      <c r="N227" s="179">
        <f>SUMIFS('recurring2_based on steps'!$B227:$AY227,'recurring2_based on steps'!$B$1:$AY$1,N$1)+SUMIFS('changes2_based on steps'!$B227:$U227,'changes2_based on steps'!$B$1:$U$1,N$1)</f>
        <v>0</v>
      </c>
      <c r="O227" s="179">
        <f>SUMIFS('recurring2_based on steps'!$B227:$AY227,'recurring2_based on steps'!$B$1:$AY$1,O$1)+SUMIFS('changes2_based on steps'!$B227:$U227,'changes2_based on steps'!$B$1:$U$1,O$1)</f>
        <v>0</v>
      </c>
      <c r="P227" s="179">
        <f>SUMIFS('recurring2_based on steps'!$B227:$AY227,'recurring2_based on steps'!$B$1:$AY$1,P$1)+SUMIFS('changes2_based on steps'!$B227:$U227,'changes2_based on steps'!$B$1:$U$1,P$1)</f>
        <v>0</v>
      </c>
      <c r="Q227" s="179">
        <f>SUMIFS('recurring2_based on steps'!$B227:$AY227,'recurring2_based on steps'!$B$1:$AY$1,Q$1)+SUMIFS('changes2_based on steps'!$B227:$U227,'changes2_based on steps'!$B$1:$U$1,Q$1)</f>
        <v>0</v>
      </c>
      <c r="R227" s="179">
        <f>SUMIFS('recurring2_based on steps'!$B227:$AY227,'recurring2_based on steps'!$B$1:$AY$1,R$1)+SUMIFS('changes2_based on steps'!$B227:$U227,'changes2_based on steps'!$B$1:$U$1,R$1)</f>
        <v>0</v>
      </c>
      <c r="S227" s="179">
        <f>SUMIFS('recurring2_based on steps'!$B227:$AY227,'recurring2_based on steps'!$B$1:$AY$1,S$1)+SUMIFS('changes2_based on steps'!$B227:$U227,'changes2_based on steps'!$B$1:$U$1,S$1)</f>
        <v>0</v>
      </c>
      <c r="T227" s="179">
        <f>SUMIFS('recurring2_based on steps'!$B227:$AY227,'recurring2_based on steps'!$B$1:$AY$1,T$1)+SUMIFS('changes2_based on steps'!$B227:$U227,'changes2_based on steps'!$B$1:$U$1,T$1)</f>
        <v>0</v>
      </c>
      <c r="U227" s="179">
        <f>SUMIFS('recurring2_based on steps'!$B227:$AY227,'recurring2_based on steps'!$B$1:$AY$1,U$1)+SUMIFS('changes2_based on steps'!$B227:$U227,'changes2_based on steps'!$B$1:$U$1,U$1)</f>
        <v>0</v>
      </c>
      <c r="V227" s="179">
        <f>SUMIFS('recurring2_based on steps'!$B227:$AY227,'recurring2_based on steps'!$B$1:$AY$1,V$1)+SUMIFS('changes2_based on steps'!$B227:$U227,'changes2_based on steps'!$B$1:$U$1,V$1)</f>
        <v>0</v>
      </c>
      <c r="W227" s="179">
        <f>SUMIFS('recurring2_based on steps'!$B227:$AY227,'recurring2_based on steps'!$B$1:$AY$1,W$1)+SUMIFS('changes2_based on steps'!$B227:$U227,'changes2_based on steps'!$B$1:$U$1,W$1)</f>
        <v>0</v>
      </c>
      <c r="X227" s="179">
        <f>SUMIFS('recurring2_based on steps'!$B227:$AY227,'recurring2_based on steps'!$B$1:$AY$1,X$1)+SUMIFS('changes2_based on steps'!$B227:$U227,'changes2_based on steps'!$B$1:$U$1,X$1)</f>
        <v>0</v>
      </c>
      <c r="Y227" s="179">
        <f>SUMIFS('recurring2_based on steps'!$B227:$AY227,'recurring2_based on steps'!$B$1:$AY$1,Y$1)+SUMIFS('changes2_based on steps'!$B227:$U227,'changes2_based on steps'!$B$1:$U$1,Y$1)</f>
        <v>0</v>
      </c>
      <c r="Z227" s="179">
        <f>SUMIFS('recurring2_based on steps'!$B227:$AY227,'recurring2_based on steps'!$B$1:$AY$1,Z$1)+SUMIFS('changes2_based on steps'!$B227:$U227,'changes2_based on steps'!$B$1:$U$1,Z$1)</f>
        <v>0</v>
      </c>
      <c r="AA227" s="179">
        <f>SUMIFS('recurring2_based on steps'!$B227:$AY227,'recurring2_based on steps'!$B$1:$AY$1,AA$1)+SUMIFS('changes2_based on steps'!$B227:$U227,'changes2_based on steps'!$B$1:$U$1,AA$1)</f>
        <v>0</v>
      </c>
      <c r="AB227" s="179">
        <f>SUMIFS('recurring2_based on steps'!$B227:$AY227,'recurring2_based on steps'!$B$1:$AY$1,AB$1)+SUMIFS('changes2_based on steps'!$B227:$U227,'changes2_based on steps'!$B$1:$U$1,AB$1)</f>
        <v>0</v>
      </c>
      <c r="AC227" s="179">
        <f>SUMIFS('recurring2_based on steps'!$B227:$AY227,'recurring2_based on steps'!$B$1:$AY$1,AC$1)+SUMIFS('changes2_based on steps'!$B227:$U227,'changes2_based on steps'!$B$1:$U$1,AC$1)</f>
        <v>0</v>
      </c>
      <c r="AD227" s="179">
        <f>SUMIFS('recurring2_based on steps'!$B227:$AY227,'recurring2_based on steps'!$B$1:$AY$1,AD$1)+SUMIFS('changes2_based on steps'!$B227:$U227,'changes2_based on steps'!$B$1:$U$1,AD$1)</f>
        <v>0</v>
      </c>
      <c r="AE227" s="179">
        <f>SUMIFS('recurring2_based on steps'!$B227:$AY227,'recurring2_based on steps'!$B$1:$AY$1,AE$1)+SUMIFS('changes2_based on steps'!$B227:$U227,'changes2_based on steps'!$B$1:$U$1,AE$1)</f>
        <v>0</v>
      </c>
      <c r="AF227" s="179"/>
      <c r="AG227" s="179"/>
      <c r="AH227" s="179"/>
      <c r="AI227" s="179"/>
      <c r="AJ227" s="179"/>
      <c r="AK227" s="179"/>
      <c r="AL227" s="179"/>
      <c r="AM227" s="179"/>
    </row>
    <row r="228" spans="1:39" x14ac:dyDescent="0.2">
      <c r="A228" s="32">
        <f t="shared" ca="1" si="3"/>
        <v>45977</v>
      </c>
      <c r="B228" s="179">
        <f>SUMIFS('recurring2_based on steps'!$B228:$AY228,'recurring2_based on steps'!$B$1:$AY$1,B$1)+SUMIFS('changes2_based on steps'!$B228:$U228,'changes2_based on steps'!$B$1:$U$1,B$1)</f>
        <v>0</v>
      </c>
      <c r="C228" s="179">
        <f>SUMIFS('recurring2_based on steps'!$B228:$AY228,'recurring2_based on steps'!$B$1:$AY$1,C$1)+SUMIFS('changes2_based on steps'!$B228:$U228,'changes2_based on steps'!$B$1:$U$1,C$1)</f>
        <v>0</v>
      </c>
      <c r="D228" s="179">
        <f>SUMIFS('recurring2_based on steps'!$B228:$AY228,'recurring2_based on steps'!$B$1:$AY$1,D$1)+SUMIFS('changes2_based on steps'!$B228:$U228,'changes2_based on steps'!$B$1:$U$1,D$1)</f>
        <v>0</v>
      </c>
      <c r="E228" s="179">
        <f>SUMIFS('recurring2_based on steps'!$B228:$AY228,'recurring2_based on steps'!$B$1:$AY$1,E$1)+SUMIFS('changes2_based on steps'!$B228:$U228,'changes2_based on steps'!$B$1:$U$1,E$1)</f>
        <v>0</v>
      </c>
      <c r="F228" s="179">
        <f>SUMIFS('recurring2_based on steps'!$B228:$AY228,'recurring2_based on steps'!$B$1:$AY$1,F$1)+SUMIFS('changes2_based on steps'!$B228:$U228,'changes2_based on steps'!$B$1:$U$1,F$1)</f>
        <v>0</v>
      </c>
      <c r="G228" s="179">
        <f>SUMIFS('recurring2_based on steps'!$B228:$AY228,'recurring2_based on steps'!$B$1:$AY$1,G$1)+SUMIFS('changes2_based on steps'!$B228:$U228,'changes2_based on steps'!$B$1:$U$1,G$1)</f>
        <v>0</v>
      </c>
      <c r="H228" s="179">
        <f>SUMIFS('recurring2_based on steps'!$B228:$AY228,'recurring2_based on steps'!$B$1:$AY$1,H$1)+SUMIFS('changes2_based on steps'!$B228:$U228,'changes2_based on steps'!$B$1:$U$1,H$1)</f>
        <v>0</v>
      </c>
      <c r="I228" s="179">
        <f>SUMIFS('recurring2_based on steps'!$B228:$AY228,'recurring2_based on steps'!$B$1:$AY$1,I$1)+SUMIFS('changes2_based on steps'!$B228:$U228,'changes2_based on steps'!$B$1:$U$1,I$1)</f>
        <v>0</v>
      </c>
      <c r="J228" s="179">
        <f>SUMIFS('recurring2_based on steps'!$B228:$AY228,'recurring2_based on steps'!$B$1:$AY$1,J$1)+SUMIFS('changes2_based on steps'!$B228:$U228,'changes2_based on steps'!$B$1:$U$1,J$1)</f>
        <v>0</v>
      </c>
      <c r="K228" s="179">
        <f>SUMIFS('recurring2_based on steps'!$B228:$AY228,'recurring2_based on steps'!$B$1:$AY$1,K$1)+SUMIFS('changes2_based on steps'!$B228:$U228,'changes2_based on steps'!$B$1:$U$1,K$1)</f>
        <v>0</v>
      </c>
      <c r="L228" s="179">
        <f>SUMIFS('recurring2_based on steps'!$B228:$AY228,'recurring2_based on steps'!$B$1:$AY$1,L$1)+SUMIFS('changes2_based on steps'!$B228:$U228,'changes2_based on steps'!$B$1:$U$1,L$1)</f>
        <v>0</v>
      </c>
      <c r="M228" s="179">
        <f>SUMIFS('recurring2_based on steps'!$B228:$AY228,'recurring2_based on steps'!$B$1:$AY$1,M$1)+SUMIFS('changes2_based on steps'!$B228:$U228,'changes2_based on steps'!$B$1:$U$1,M$1)</f>
        <v>0</v>
      </c>
      <c r="N228" s="179">
        <f>SUMIFS('recurring2_based on steps'!$B228:$AY228,'recurring2_based on steps'!$B$1:$AY$1,N$1)+SUMIFS('changes2_based on steps'!$B228:$U228,'changes2_based on steps'!$B$1:$U$1,N$1)</f>
        <v>0</v>
      </c>
      <c r="O228" s="179">
        <f>SUMIFS('recurring2_based on steps'!$B228:$AY228,'recurring2_based on steps'!$B$1:$AY$1,O$1)+SUMIFS('changes2_based on steps'!$B228:$U228,'changes2_based on steps'!$B$1:$U$1,O$1)</f>
        <v>0</v>
      </c>
      <c r="P228" s="179">
        <f>SUMIFS('recurring2_based on steps'!$B228:$AY228,'recurring2_based on steps'!$B$1:$AY$1,P$1)+SUMIFS('changes2_based on steps'!$B228:$U228,'changes2_based on steps'!$B$1:$U$1,P$1)</f>
        <v>0</v>
      </c>
      <c r="Q228" s="179">
        <f>SUMIFS('recurring2_based on steps'!$B228:$AY228,'recurring2_based on steps'!$B$1:$AY$1,Q$1)+SUMIFS('changes2_based on steps'!$B228:$U228,'changes2_based on steps'!$B$1:$U$1,Q$1)</f>
        <v>0</v>
      </c>
      <c r="R228" s="179">
        <f>SUMIFS('recurring2_based on steps'!$B228:$AY228,'recurring2_based on steps'!$B$1:$AY$1,R$1)+SUMIFS('changes2_based on steps'!$B228:$U228,'changes2_based on steps'!$B$1:$U$1,R$1)</f>
        <v>0</v>
      </c>
      <c r="S228" s="179">
        <f>SUMIFS('recurring2_based on steps'!$B228:$AY228,'recurring2_based on steps'!$B$1:$AY$1,S$1)+SUMIFS('changes2_based on steps'!$B228:$U228,'changes2_based on steps'!$B$1:$U$1,S$1)</f>
        <v>0</v>
      </c>
      <c r="T228" s="179">
        <f>SUMIFS('recurring2_based on steps'!$B228:$AY228,'recurring2_based on steps'!$B$1:$AY$1,T$1)+SUMIFS('changes2_based on steps'!$B228:$U228,'changes2_based on steps'!$B$1:$U$1,T$1)</f>
        <v>0</v>
      </c>
      <c r="U228" s="179">
        <f>SUMIFS('recurring2_based on steps'!$B228:$AY228,'recurring2_based on steps'!$B$1:$AY$1,U$1)+SUMIFS('changes2_based on steps'!$B228:$U228,'changes2_based on steps'!$B$1:$U$1,U$1)</f>
        <v>0</v>
      </c>
      <c r="V228" s="179">
        <f>SUMIFS('recurring2_based on steps'!$B228:$AY228,'recurring2_based on steps'!$B$1:$AY$1,V$1)+SUMIFS('changes2_based on steps'!$B228:$U228,'changes2_based on steps'!$B$1:$U$1,V$1)</f>
        <v>0</v>
      </c>
      <c r="W228" s="179">
        <f>SUMIFS('recurring2_based on steps'!$B228:$AY228,'recurring2_based on steps'!$B$1:$AY$1,W$1)+SUMIFS('changes2_based on steps'!$B228:$U228,'changes2_based on steps'!$B$1:$U$1,W$1)</f>
        <v>0</v>
      </c>
      <c r="X228" s="179">
        <f>SUMIFS('recurring2_based on steps'!$B228:$AY228,'recurring2_based on steps'!$B$1:$AY$1,X$1)+SUMIFS('changes2_based on steps'!$B228:$U228,'changes2_based on steps'!$B$1:$U$1,X$1)</f>
        <v>0</v>
      </c>
      <c r="Y228" s="179">
        <f>SUMIFS('recurring2_based on steps'!$B228:$AY228,'recurring2_based on steps'!$B$1:$AY$1,Y$1)+SUMIFS('changes2_based on steps'!$B228:$U228,'changes2_based on steps'!$B$1:$U$1,Y$1)</f>
        <v>0</v>
      </c>
      <c r="Z228" s="179">
        <f>SUMIFS('recurring2_based on steps'!$B228:$AY228,'recurring2_based on steps'!$B$1:$AY$1,Z$1)+SUMIFS('changes2_based on steps'!$B228:$U228,'changes2_based on steps'!$B$1:$U$1,Z$1)</f>
        <v>0</v>
      </c>
      <c r="AA228" s="179">
        <f>SUMIFS('recurring2_based on steps'!$B228:$AY228,'recurring2_based on steps'!$B$1:$AY$1,AA$1)+SUMIFS('changes2_based on steps'!$B228:$U228,'changes2_based on steps'!$B$1:$U$1,AA$1)</f>
        <v>0</v>
      </c>
      <c r="AB228" s="179">
        <f>SUMIFS('recurring2_based on steps'!$B228:$AY228,'recurring2_based on steps'!$B$1:$AY$1,AB$1)+SUMIFS('changes2_based on steps'!$B228:$U228,'changes2_based on steps'!$B$1:$U$1,AB$1)</f>
        <v>0</v>
      </c>
      <c r="AC228" s="179">
        <f>SUMIFS('recurring2_based on steps'!$B228:$AY228,'recurring2_based on steps'!$B$1:$AY$1,AC$1)+SUMIFS('changes2_based on steps'!$B228:$U228,'changes2_based on steps'!$B$1:$U$1,AC$1)</f>
        <v>0</v>
      </c>
      <c r="AD228" s="179">
        <f>SUMIFS('recurring2_based on steps'!$B228:$AY228,'recurring2_based on steps'!$B$1:$AY$1,AD$1)+SUMIFS('changes2_based on steps'!$B228:$U228,'changes2_based on steps'!$B$1:$U$1,AD$1)</f>
        <v>0</v>
      </c>
      <c r="AE228" s="179">
        <f>SUMIFS('recurring2_based on steps'!$B228:$AY228,'recurring2_based on steps'!$B$1:$AY$1,AE$1)+SUMIFS('changes2_based on steps'!$B228:$U228,'changes2_based on steps'!$B$1:$U$1,AE$1)</f>
        <v>0</v>
      </c>
      <c r="AF228" s="179"/>
      <c r="AG228" s="179"/>
      <c r="AH228" s="179"/>
      <c r="AI228" s="179"/>
      <c r="AJ228" s="179"/>
      <c r="AK228" s="179"/>
      <c r="AL228" s="179"/>
      <c r="AM228" s="179"/>
    </row>
    <row r="229" spans="1:39" x14ac:dyDescent="0.2">
      <c r="A229" s="32">
        <f t="shared" ca="1" si="3"/>
        <v>45978</v>
      </c>
      <c r="B229" s="179">
        <f>SUMIFS('recurring2_based on steps'!$B229:$AY229,'recurring2_based on steps'!$B$1:$AY$1,B$1)+SUMIFS('changes2_based on steps'!$B229:$U229,'changes2_based on steps'!$B$1:$U$1,B$1)</f>
        <v>0</v>
      </c>
      <c r="C229" s="179">
        <f>SUMIFS('recurring2_based on steps'!$B229:$AY229,'recurring2_based on steps'!$B$1:$AY$1,C$1)+SUMIFS('changes2_based on steps'!$B229:$U229,'changes2_based on steps'!$B$1:$U$1,C$1)</f>
        <v>0</v>
      </c>
      <c r="D229" s="179">
        <f>SUMIFS('recurring2_based on steps'!$B229:$AY229,'recurring2_based on steps'!$B$1:$AY$1,D$1)+SUMIFS('changes2_based on steps'!$B229:$U229,'changes2_based on steps'!$B$1:$U$1,D$1)</f>
        <v>0</v>
      </c>
      <c r="E229" s="179">
        <f>SUMIFS('recurring2_based on steps'!$B229:$AY229,'recurring2_based on steps'!$B$1:$AY$1,E$1)+SUMIFS('changes2_based on steps'!$B229:$U229,'changes2_based on steps'!$B$1:$U$1,E$1)</f>
        <v>0</v>
      </c>
      <c r="F229" s="179">
        <f>SUMIFS('recurring2_based on steps'!$B229:$AY229,'recurring2_based on steps'!$B$1:$AY$1,F$1)+SUMIFS('changes2_based on steps'!$B229:$U229,'changes2_based on steps'!$B$1:$U$1,F$1)</f>
        <v>0</v>
      </c>
      <c r="G229" s="179">
        <f>SUMIFS('recurring2_based on steps'!$B229:$AY229,'recurring2_based on steps'!$B$1:$AY$1,G$1)+SUMIFS('changes2_based on steps'!$B229:$U229,'changes2_based on steps'!$B$1:$U$1,G$1)</f>
        <v>0</v>
      </c>
      <c r="H229" s="179">
        <f>SUMIFS('recurring2_based on steps'!$B229:$AY229,'recurring2_based on steps'!$B$1:$AY$1,H$1)+SUMIFS('changes2_based on steps'!$B229:$U229,'changes2_based on steps'!$B$1:$U$1,H$1)</f>
        <v>0</v>
      </c>
      <c r="I229" s="179">
        <f>SUMIFS('recurring2_based on steps'!$B229:$AY229,'recurring2_based on steps'!$B$1:$AY$1,I$1)+SUMIFS('changes2_based on steps'!$B229:$U229,'changes2_based on steps'!$B$1:$U$1,I$1)</f>
        <v>0</v>
      </c>
      <c r="J229" s="179">
        <f>SUMIFS('recurring2_based on steps'!$B229:$AY229,'recurring2_based on steps'!$B$1:$AY$1,J$1)+SUMIFS('changes2_based on steps'!$B229:$U229,'changes2_based on steps'!$B$1:$U$1,J$1)</f>
        <v>0</v>
      </c>
      <c r="K229" s="179">
        <f>SUMIFS('recurring2_based on steps'!$B229:$AY229,'recurring2_based on steps'!$B$1:$AY$1,K$1)+SUMIFS('changes2_based on steps'!$B229:$U229,'changes2_based on steps'!$B$1:$U$1,K$1)</f>
        <v>0</v>
      </c>
      <c r="L229" s="179">
        <f>SUMIFS('recurring2_based on steps'!$B229:$AY229,'recurring2_based on steps'!$B$1:$AY$1,L$1)+SUMIFS('changes2_based on steps'!$B229:$U229,'changes2_based on steps'!$B$1:$U$1,L$1)</f>
        <v>0</v>
      </c>
      <c r="M229" s="179">
        <f>SUMIFS('recurring2_based on steps'!$B229:$AY229,'recurring2_based on steps'!$B$1:$AY$1,M$1)+SUMIFS('changes2_based on steps'!$B229:$U229,'changes2_based on steps'!$B$1:$U$1,M$1)</f>
        <v>0</v>
      </c>
      <c r="N229" s="179">
        <f>SUMIFS('recurring2_based on steps'!$B229:$AY229,'recurring2_based on steps'!$B$1:$AY$1,N$1)+SUMIFS('changes2_based on steps'!$B229:$U229,'changes2_based on steps'!$B$1:$U$1,N$1)</f>
        <v>0</v>
      </c>
      <c r="O229" s="179">
        <f>SUMIFS('recurring2_based on steps'!$B229:$AY229,'recurring2_based on steps'!$B$1:$AY$1,O$1)+SUMIFS('changes2_based on steps'!$B229:$U229,'changes2_based on steps'!$B$1:$U$1,O$1)</f>
        <v>0</v>
      </c>
      <c r="P229" s="179">
        <f>SUMIFS('recurring2_based on steps'!$B229:$AY229,'recurring2_based on steps'!$B$1:$AY$1,P$1)+SUMIFS('changes2_based on steps'!$B229:$U229,'changes2_based on steps'!$B$1:$U$1,P$1)</f>
        <v>0</v>
      </c>
      <c r="Q229" s="179">
        <f>SUMIFS('recurring2_based on steps'!$B229:$AY229,'recurring2_based on steps'!$B$1:$AY$1,Q$1)+SUMIFS('changes2_based on steps'!$B229:$U229,'changes2_based on steps'!$B$1:$U$1,Q$1)</f>
        <v>0</v>
      </c>
      <c r="R229" s="179">
        <f>SUMIFS('recurring2_based on steps'!$B229:$AY229,'recurring2_based on steps'!$B$1:$AY$1,R$1)+SUMIFS('changes2_based on steps'!$B229:$U229,'changes2_based on steps'!$B$1:$U$1,R$1)</f>
        <v>0</v>
      </c>
      <c r="S229" s="179">
        <f>SUMIFS('recurring2_based on steps'!$B229:$AY229,'recurring2_based on steps'!$B$1:$AY$1,S$1)+SUMIFS('changes2_based on steps'!$B229:$U229,'changes2_based on steps'!$B$1:$U$1,S$1)</f>
        <v>0</v>
      </c>
      <c r="T229" s="179">
        <f>SUMIFS('recurring2_based on steps'!$B229:$AY229,'recurring2_based on steps'!$B$1:$AY$1,T$1)+SUMIFS('changes2_based on steps'!$B229:$U229,'changes2_based on steps'!$B$1:$U$1,T$1)</f>
        <v>0</v>
      </c>
      <c r="U229" s="179">
        <f>SUMIFS('recurring2_based on steps'!$B229:$AY229,'recurring2_based on steps'!$B$1:$AY$1,U$1)+SUMIFS('changes2_based on steps'!$B229:$U229,'changes2_based on steps'!$B$1:$U$1,U$1)</f>
        <v>0</v>
      </c>
      <c r="V229" s="179">
        <f>SUMIFS('recurring2_based on steps'!$B229:$AY229,'recurring2_based on steps'!$B$1:$AY$1,V$1)+SUMIFS('changes2_based on steps'!$B229:$U229,'changes2_based on steps'!$B$1:$U$1,V$1)</f>
        <v>0</v>
      </c>
      <c r="W229" s="179">
        <f>SUMIFS('recurring2_based on steps'!$B229:$AY229,'recurring2_based on steps'!$B$1:$AY$1,W$1)+SUMIFS('changes2_based on steps'!$B229:$U229,'changes2_based on steps'!$B$1:$U$1,W$1)</f>
        <v>0</v>
      </c>
      <c r="X229" s="179">
        <f>SUMIFS('recurring2_based on steps'!$B229:$AY229,'recurring2_based on steps'!$B$1:$AY$1,X$1)+SUMIFS('changes2_based on steps'!$B229:$U229,'changes2_based on steps'!$B$1:$U$1,X$1)</f>
        <v>0</v>
      </c>
      <c r="Y229" s="179">
        <f>SUMIFS('recurring2_based on steps'!$B229:$AY229,'recurring2_based on steps'!$B$1:$AY$1,Y$1)+SUMIFS('changes2_based on steps'!$B229:$U229,'changes2_based on steps'!$B$1:$U$1,Y$1)</f>
        <v>0</v>
      </c>
      <c r="Z229" s="179">
        <f>SUMIFS('recurring2_based on steps'!$B229:$AY229,'recurring2_based on steps'!$B$1:$AY$1,Z$1)+SUMIFS('changes2_based on steps'!$B229:$U229,'changes2_based on steps'!$B$1:$U$1,Z$1)</f>
        <v>0</v>
      </c>
      <c r="AA229" s="179">
        <f>SUMIFS('recurring2_based on steps'!$B229:$AY229,'recurring2_based on steps'!$B$1:$AY$1,AA$1)+SUMIFS('changes2_based on steps'!$B229:$U229,'changes2_based on steps'!$B$1:$U$1,AA$1)</f>
        <v>0</v>
      </c>
      <c r="AB229" s="179">
        <f>SUMIFS('recurring2_based on steps'!$B229:$AY229,'recurring2_based on steps'!$B$1:$AY$1,AB$1)+SUMIFS('changes2_based on steps'!$B229:$U229,'changes2_based on steps'!$B$1:$U$1,AB$1)</f>
        <v>0</v>
      </c>
      <c r="AC229" s="179">
        <f>SUMIFS('recurring2_based on steps'!$B229:$AY229,'recurring2_based on steps'!$B$1:$AY$1,AC$1)+SUMIFS('changes2_based on steps'!$B229:$U229,'changes2_based on steps'!$B$1:$U$1,AC$1)</f>
        <v>0</v>
      </c>
      <c r="AD229" s="179">
        <f>SUMIFS('recurring2_based on steps'!$B229:$AY229,'recurring2_based on steps'!$B$1:$AY$1,AD$1)+SUMIFS('changes2_based on steps'!$B229:$U229,'changes2_based on steps'!$B$1:$U$1,AD$1)</f>
        <v>0</v>
      </c>
      <c r="AE229" s="179">
        <f>SUMIFS('recurring2_based on steps'!$B229:$AY229,'recurring2_based on steps'!$B$1:$AY$1,AE$1)+SUMIFS('changes2_based on steps'!$B229:$U229,'changes2_based on steps'!$B$1:$U$1,AE$1)</f>
        <v>0</v>
      </c>
      <c r="AF229" s="179"/>
      <c r="AG229" s="179"/>
      <c r="AH229" s="179"/>
      <c r="AI229" s="179"/>
      <c r="AJ229" s="179"/>
      <c r="AK229" s="179"/>
      <c r="AL229" s="179"/>
      <c r="AM229" s="179"/>
    </row>
    <row r="230" spans="1:39" x14ac:dyDescent="0.2">
      <c r="A230" s="32">
        <f t="shared" ca="1" si="3"/>
        <v>45979</v>
      </c>
      <c r="B230" s="179">
        <f>SUMIFS('recurring2_based on steps'!$B230:$AY230,'recurring2_based on steps'!$B$1:$AY$1,B$1)+SUMIFS('changes2_based on steps'!$B230:$U230,'changes2_based on steps'!$B$1:$U$1,B$1)</f>
        <v>0</v>
      </c>
      <c r="C230" s="179">
        <f>SUMIFS('recurring2_based on steps'!$B230:$AY230,'recurring2_based on steps'!$B$1:$AY$1,C$1)+SUMIFS('changes2_based on steps'!$B230:$U230,'changes2_based on steps'!$B$1:$U$1,C$1)</f>
        <v>0</v>
      </c>
      <c r="D230" s="179">
        <f>SUMIFS('recurring2_based on steps'!$B230:$AY230,'recurring2_based on steps'!$B$1:$AY$1,D$1)+SUMIFS('changes2_based on steps'!$B230:$U230,'changes2_based on steps'!$B$1:$U$1,D$1)</f>
        <v>0</v>
      </c>
      <c r="E230" s="179">
        <f>SUMIFS('recurring2_based on steps'!$B230:$AY230,'recurring2_based on steps'!$B$1:$AY$1,E$1)+SUMIFS('changes2_based on steps'!$B230:$U230,'changes2_based on steps'!$B$1:$U$1,E$1)</f>
        <v>0</v>
      </c>
      <c r="F230" s="179">
        <f>SUMIFS('recurring2_based on steps'!$B230:$AY230,'recurring2_based on steps'!$B$1:$AY$1,F$1)+SUMIFS('changes2_based on steps'!$B230:$U230,'changes2_based on steps'!$B$1:$U$1,F$1)</f>
        <v>0</v>
      </c>
      <c r="G230" s="179">
        <f>SUMIFS('recurring2_based on steps'!$B230:$AY230,'recurring2_based on steps'!$B$1:$AY$1,G$1)+SUMIFS('changes2_based on steps'!$B230:$U230,'changes2_based on steps'!$B$1:$U$1,G$1)</f>
        <v>0</v>
      </c>
      <c r="H230" s="179">
        <f>SUMIFS('recurring2_based on steps'!$B230:$AY230,'recurring2_based on steps'!$B$1:$AY$1,H$1)+SUMIFS('changes2_based on steps'!$B230:$U230,'changes2_based on steps'!$B$1:$U$1,H$1)</f>
        <v>0</v>
      </c>
      <c r="I230" s="179">
        <f>SUMIFS('recurring2_based on steps'!$B230:$AY230,'recurring2_based on steps'!$B$1:$AY$1,I$1)+SUMIFS('changes2_based on steps'!$B230:$U230,'changes2_based on steps'!$B$1:$U$1,I$1)</f>
        <v>0</v>
      </c>
      <c r="J230" s="179">
        <f>SUMIFS('recurring2_based on steps'!$B230:$AY230,'recurring2_based on steps'!$B$1:$AY$1,J$1)+SUMIFS('changes2_based on steps'!$B230:$U230,'changes2_based on steps'!$B$1:$U$1,J$1)</f>
        <v>0</v>
      </c>
      <c r="K230" s="179">
        <f>SUMIFS('recurring2_based on steps'!$B230:$AY230,'recurring2_based on steps'!$B$1:$AY$1,K$1)+SUMIFS('changes2_based on steps'!$B230:$U230,'changes2_based on steps'!$B$1:$U$1,K$1)</f>
        <v>0</v>
      </c>
      <c r="L230" s="179">
        <f>SUMIFS('recurring2_based on steps'!$B230:$AY230,'recurring2_based on steps'!$B$1:$AY$1,L$1)+SUMIFS('changes2_based on steps'!$B230:$U230,'changes2_based on steps'!$B$1:$U$1,L$1)</f>
        <v>0</v>
      </c>
      <c r="M230" s="179">
        <f>SUMIFS('recurring2_based on steps'!$B230:$AY230,'recurring2_based on steps'!$B$1:$AY$1,M$1)+SUMIFS('changes2_based on steps'!$B230:$U230,'changes2_based on steps'!$B$1:$U$1,M$1)</f>
        <v>0</v>
      </c>
      <c r="N230" s="179">
        <f>SUMIFS('recurring2_based on steps'!$B230:$AY230,'recurring2_based on steps'!$B$1:$AY$1,N$1)+SUMIFS('changes2_based on steps'!$B230:$U230,'changes2_based on steps'!$B$1:$U$1,N$1)</f>
        <v>0</v>
      </c>
      <c r="O230" s="179">
        <f>SUMIFS('recurring2_based on steps'!$B230:$AY230,'recurring2_based on steps'!$B$1:$AY$1,O$1)+SUMIFS('changes2_based on steps'!$B230:$U230,'changes2_based on steps'!$B$1:$U$1,O$1)</f>
        <v>0</v>
      </c>
      <c r="P230" s="179">
        <f>SUMIFS('recurring2_based on steps'!$B230:$AY230,'recurring2_based on steps'!$B$1:$AY$1,P$1)+SUMIFS('changes2_based on steps'!$B230:$U230,'changes2_based on steps'!$B$1:$U$1,P$1)</f>
        <v>0</v>
      </c>
      <c r="Q230" s="179">
        <f>SUMIFS('recurring2_based on steps'!$B230:$AY230,'recurring2_based on steps'!$B$1:$AY$1,Q$1)+SUMIFS('changes2_based on steps'!$B230:$U230,'changes2_based on steps'!$B$1:$U$1,Q$1)</f>
        <v>0</v>
      </c>
      <c r="R230" s="179">
        <f>SUMIFS('recurring2_based on steps'!$B230:$AY230,'recurring2_based on steps'!$B$1:$AY$1,R$1)+SUMIFS('changes2_based on steps'!$B230:$U230,'changes2_based on steps'!$B$1:$U$1,R$1)</f>
        <v>0</v>
      </c>
      <c r="S230" s="179">
        <f>SUMIFS('recurring2_based on steps'!$B230:$AY230,'recurring2_based on steps'!$B$1:$AY$1,S$1)+SUMIFS('changes2_based on steps'!$B230:$U230,'changes2_based on steps'!$B$1:$U$1,S$1)</f>
        <v>0</v>
      </c>
      <c r="T230" s="179">
        <f>SUMIFS('recurring2_based on steps'!$B230:$AY230,'recurring2_based on steps'!$B$1:$AY$1,T$1)+SUMIFS('changes2_based on steps'!$B230:$U230,'changes2_based on steps'!$B$1:$U$1,T$1)</f>
        <v>0</v>
      </c>
      <c r="U230" s="179">
        <f>SUMIFS('recurring2_based on steps'!$B230:$AY230,'recurring2_based on steps'!$B$1:$AY$1,U$1)+SUMIFS('changes2_based on steps'!$B230:$U230,'changes2_based on steps'!$B$1:$U$1,U$1)</f>
        <v>0</v>
      </c>
      <c r="V230" s="179">
        <f>SUMIFS('recurring2_based on steps'!$B230:$AY230,'recurring2_based on steps'!$B$1:$AY$1,V$1)+SUMIFS('changes2_based on steps'!$B230:$U230,'changes2_based on steps'!$B$1:$U$1,V$1)</f>
        <v>0</v>
      </c>
      <c r="W230" s="179">
        <f>SUMIFS('recurring2_based on steps'!$B230:$AY230,'recurring2_based on steps'!$B$1:$AY$1,W$1)+SUMIFS('changes2_based on steps'!$B230:$U230,'changes2_based on steps'!$B$1:$U$1,W$1)</f>
        <v>0</v>
      </c>
      <c r="X230" s="179">
        <f>SUMIFS('recurring2_based on steps'!$B230:$AY230,'recurring2_based on steps'!$B$1:$AY$1,X$1)+SUMIFS('changes2_based on steps'!$B230:$U230,'changes2_based on steps'!$B$1:$U$1,X$1)</f>
        <v>0</v>
      </c>
      <c r="Y230" s="179">
        <f>SUMIFS('recurring2_based on steps'!$B230:$AY230,'recurring2_based on steps'!$B$1:$AY$1,Y$1)+SUMIFS('changes2_based on steps'!$B230:$U230,'changes2_based on steps'!$B$1:$U$1,Y$1)</f>
        <v>0</v>
      </c>
      <c r="Z230" s="179">
        <f>SUMIFS('recurring2_based on steps'!$B230:$AY230,'recurring2_based on steps'!$B$1:$AY$1,Z$1)+SUMIFS('changes2_based on steps'!$B230:$U230,'changes2_based on steps'!$B$1:$U$1,Z$1)</f>
        <v>0</v>
      </c>
      <c r="AA230" s="179">
        <f>SUMIFS('recurring2_based on steps'!$B230:$AY230,'recurring2_based on steps'!$B$1:$AY$1,AA$1)+SUMIFS('changes2_based on steps'!$B230:$U230,'changes2_based on steps'!$B$1:$U$1,AA$1)</f>
        <v>0</v>
      </c>
      <c r="AB230" s="179">
        <f>SUMIFS('recurring2_based on steps'!$B230:$AY230,'recurring2_based on steps'!$B$1:$AY$1,AB$1)+SUMIFS('changes2_based on steps'!$B230:$U230,'changes2_based on steps'!$B$1:$U$1,AB$1)</f>
        <v>0</v>
      </c>
      <c r="AC230" s="179">
        <f>SUMIFS('recurring2_based on steps'!$B230:$AY230,'recurring2_based on steps'!$B$1:$AY$1,AC$1)+SUMIFS('changes2_based on steps'!$B230:$U230,'changes2_based on steps'!$B$1:$U$1,AC$1)</f>
        <v>0</v>
      </c>
      <c r="AD230" s="179">
        <f>SUMIFS('recurring2_based on steps'!$B230:$AY230,'recurring2_based on steps'!$B$1:$AY$1,AD$1)+SUMIFS('changes2_based on steps'!$B230:$U230,'changes2_based on steps'!$B$1:$U$1,AD$1)</f>
        <v>0</v>
      </c>
      <c r="AE230" s="179">
        <f>SUMIFS('recurring2_based on steps'!$B230:$AY230,'recurring2_based on steps'!$B$1:$AY$1,AE$1)+SUMIFS('changes2_based on steps'!$B230:$U230,'changes2_based on steps'!$B$1:$U$1,AE$1)</f>
        <v>0</v>
      </c>
      <c r="AF230" s="179"/>
      <c r="AG230" s="179"/>
      <c r="AH230" s="179"/>
      <c r="AI230" s="179"/>
      <c r="AJ230" s="179"/>
      <c r="AK230" s="179"/>
      <c r="AL230" s="179"/>
      <c r="AM230" s="179"/>
    </row>
    <row r="231" spans="1:39" x14ac:dyDescent="0.2">
      <c r="A231" s="32">
        <f t="shared" ca="1" si="3"/>
        <v>45980</v>
      </c>
      <c r="B231" s="179">
        <f>SUMIFS('recurring2_based on steps'!$B231:$AY231,'recurring2_based on steps'!$B$1:$AY$1,B$1)+SUMIFS('changes2_based on steps'!$B231:$U231,'changes2_based on steps'!$B$1:$U$1,B$1)</f>
        <v>0</v>
      </c>
      <c r="C231" s="179">
        <f>SUMIFS('recurring2_based on steps'!$B231:$AY231,'recurring2_based on steps'!$B$1:$AY$1,C$1)+SUMIFS('changes2_based on steps'!$B231:$U231,'changes2_based on steps'!$B$1:$U$1,C$1)</f>
        <v>0</v>
      </c>
      <c r="D231" s="179">
        <f>SUMIFS('recurring2_based on steps'!$B231:$AY231,'recurring2_based on steps'!$B$1:$AY$1,D$1)+SUMIFS('changes2_based on steps'!$B231:$U231,'changes2_based on steps'!$B$1:$U$1,D$1)</f>
        <v>0</v>
      </c>
      <c r="E231" s="179">
        <f>SUMIFS('recurring2_based on steps'!$B231:$AY231,'recurring2_based on steps'!$B$1:$AY$1,E$1)+SUMIFS('changes2_based on steps'!$B231:$U231,'changes2_based on steps'!$B$1:$U$1,E$1)</f>
        <v>0</v>
      </c>
      <c r="F231" s="179">
        <f>SUMIFS('recurring2_based on steps'!$B231:$AY231,'recurring2_based on steps'!$B$1:$AY$1,F$1)+SUMIFS('changes2_based on steps'!$B231:$U231,'changes2_based on steps'!$B$1:$U$1,F$1)</f>
        <v>0</v>
      </c>
      <c r="G231" s="179">
        <f>SUMIFS('recurring2_based on steps'!$B231:$AY231,'recurring2_based on steps'!$B$1:$AY$1,G$1)+SUMIFS('changes2_based on steps'!$B231:$U231,'changes2_based on steps'!$B$1:$U$1,G$1)</f>
        <v>0</v>
      </c>
      <c r="H231" s="179">
        <f>SUMIFS('recurring2_based on steps'!$B231:$AY231,'recurring2_based on steps'!$B$1:$AY$1,H$1)+SUMIFS('changes2_based on steps'!$B231:$U231,'changes2_based on steps'!$B$1:$U$1,H$1)</f>
        <v>0</v>
      </c>
      <c r="I231" s="179">
        <f>SUMIFS('recurring2_based on steps'!$B231:$AY231,'recurring2_based on steps'!$B$1:$AY$1,I$1)+SUMIFS('changes2_based on steps'!$B231:$U231,'changes2_based on steps'!$B$1:$U$1,I$1)</f>
        <v>0</v>
      </c>
      <c r="J231" s="179">
        <f>SUMIFS('recurring2_based on steps'!$B231:$AY231,'recurring2_based on steps'!$B$1:$AY$1,J$1)+SUMIFS('changes2_based on steps'!$B231:$U231,'changes2_based on steps'!$B$1:$U$1,J$1)</f>
        <v>0</v>
      </c>
      <c r="K231" s="179">
        <f>SUMIFS('recurring2_based on steps'!$B231:$AY231,'recurring2_based on steps'!$B$1:$AY$1,K$1)+SUMIFS('changes2_based on steps'!$B231:$U231,'changes2_based on steps'!$B$1:$U$1,K$1)</f>
        <v>0</v>
      </c>
      <c r="L231" s="179">
        <f>SUMIFS('recurring2_based on steps'!$B231:$AY231,'recurring2_based on steps'!$B$1:$AY$1,L$1)+SUMIFS('changes2_based on steps'!$B231:$U231,'changes2_based on steps'!$B$1:$U$1,L$1)</f>
        <v>0</v>
      </c>
      <c r="M231" s="179">
        <f>SUMIFS('recurring2_based on steps'!$B231:$AY231,'recurring2_based on steps'!$B$1:$AY$1,M$1)+SUMIFS('changes2_based on steps'!$B231:$U231,'changes2_based on steps'!$B$1:$U$1,M$1)</f>
        <v>0</v>
      </c>
      <c r="N231" s="179">
        <f>SUMIFS('recurring2_based on steps'!$B231:$AY231,'recurring2_based on steps'!$B$1:$AY$1,N$1)+SUMIFS('changes2_based on steps'!$B231:$U231,'changes2_based on steps'!$B$1:$U$1,N$1)</f>
        <v>0</v>
      </c>
      <c r="O231" s="179">
        <f>SUMIFS('recurring2_based on steps'!$B231:$AY231,'recurring2_based on steps'!$B$1:$AY$1,O$1)+SUMIFS('changes2_based on steps'!$B231:$U231,'changes2_based on steps'!$B$1:$U$1,O$1)</f>
        <v>0</v>
      </c>
      <c r="P231" s="179">
        <f>SUMIFS('recurring2_based on steps'!$B231:$AY231,'recurring2_based on steps'!$B$1:$AY$1,P$1)+SUMIFS('changes2_based on steps'!$B231:$U231,'changes2_based on steps'!$B$1:$U$1,P$1)</f>
        <v>0</v>
      </c>
      <c r="Q231" s="179">
        <f>SUMIFS('recurring2_based on steps'!$B231:$AY231,'recurring2_based on steps'!$B$1:$AY$1,Q$1)+SUMIFS('changes2_based on steps'!$B231:$U231,'changes2_based on steps'!$B$1:$U$1,Q$1)</f>
        <v>0</v>
      </c>
      <c r="R231" s="179">
        <f>SUMIFS('recurring2_based on steps'!$B231:$AY231,'recurring2_based on steps'!$B$1:$AY$1,R$1)+SUMIFS('changes2_based on steps'!$B231:$U231,'changes2_based on steps'!$B$1:$U$1,R$1)</f>
        <v>0</v>
      </c>
      <c r="S231" s="179">
        <f>SUMIFS('recurring2_based on steps'!$B231:$AY231,'recurring2_based on steps'!$B$1:$AY$1,S$1)+SUMIFS('changes2_based on steps'!$B231:$U231,'changes2_based on steps'!$B$1:$U$1,S$1)</f>
        <v>0</v>
      </c>
      <c r="T231" s="179">
        <f>SUMIFS('recurring2_based on steps'!$B231:$AY231,'recurring2_based on steps'!$B$1:$AY$1,T$1)+SUMIFS('changes2_based on steps'!$B231:$U231,'changes2_based on steps'!$B$1:$U$1,T$1)</f>
        <v>0</v>
      </c>
      <c r="U231" s="179">
        <f>SUMIFS('recurring2_based on steps'!$B231:$AY231,'recurring2_based on steps'!$B$1:$AY$1,U$1)+SUMIFS('changes2_based on steps'!$B231:$U231,'changes2_based on steps'!$B$1:$U$1,U$1)</f>
        <v>0</v>
      </c>
      <c r="V231" s="179">
        <f>SUMIFS('recurring2_based on steps'!$B231:$AY231,'recurring2_based on steps'!$B$1:$AY$1,V$1)+SUMIFS('changes2_based on steps'!$B231:$U231,'changes2_based on steps'!$B$1:$U$1,V$1)</f>
        <v>0</v>
      </c>
      <c r="W231" s="179">
        <f>SUMIFS('recurring2_based on steps'!$B231:$AY231,'recurring2_based on steps'!$B$1:$AY$1,W$1)+SUMIFS('changes2_based on steps'!$B231:$U231,'changes2_based on steps'!$B$1:$U$1,W$1)</f>
        <v>0</v>
      </c>
      <c r="X231" s="179">
        <f>SUMIFS('recurring2_based on steps'!$B231:$AY231,'recurring2_based on steps'!$B$1:$AY$1,X$1)+SUMIFS('changes2_based on steps'!$B231:$U231,'changes2_based on steps'!$B$1:$U$1,X$1)</f>
        <v>0</v>
      </c>
      <c r="Y231" s="179">
        <f>SUMIFS('recurring2_based on steps'!$B231:$AY231,'recurring2_based on steps'!$B$1:$AY$1,Y$1)+SUMIFS('changes2_based on steps'!$B231:$U231,'changes2_based on steps'!$B$1:$U$1,Y$1)</f>
        <v>0</v>
      </c>
      <c r="Z231" s="179">
        <f>SUMIFS('recurring2_based on steps'!$B231:$AY231,'recurring2_based on steps'!$B$1:$AY$1,Z$1)+SUMIFS('changes2_based on steps'!$B231:$U231,'changes2_based on steps'!$B$1:$U$1,Z$1)</f>
        <v>0</v>
      </c>
      <c r="AA231" s="179">
        <f>SUMIFS('recurring2_based on steps'!$B231:$AY231,'recurring2_based on steps'!$B$1:$AY$1,AA$1)+SUMIFS('changes2_based on steps'!$B231:$U231,'changes2_based on steps'!$B$1:$U$1,AA$1)</f>
        <v>0</v>
      </c>
      <c r="AB231" s="179">
        <f>SUMIFS('recurring2_based on steps'!$B231:$AY231,'recurring2_based on steps'!$B$1:$AY$1,AB$1)+SUMIFS('changes2_based on steps'!$B231:$U231,'changes2_based on steps'!$B$1:$U$1,AB$1)</f>
        <v>0</v>
      </c>
      <c r="AC231" s="179">
        <f>SUMIFS('recurring2_based on steps'!$B231:$AY231,'recurring2_based on steps'!$B$1:$AY$1,AC$1)+SUMIFS('changes2_based on steps'!$B231:$U231,'changes2_based on steps'!$B$1:$U$1,AC$1)</f>
        <v>0</v>
      </c>
      <c r="AD231" s="179">
        <f>SUMIFS('recurring2_based on steps'!$B231:$AY231,'recurring2_based on steps'!$B$1:$AY$1,AD$1)+SUMIFS('changes2_based on steps'!$B231:$U231,'changes2_based on steps'!$B$1:$U$1,AD$1)</f>
        <v>0</v>
      </c>
      <c r="AE231" s="179">
        <f>SUMIFS('recurring2_based on steps'!$B231:$AY231,'recurring2_based on steps'!$B$1:$AY$1,AE$1)+SUMIFS('changes2_based on steps'!$B231:$U231,'changes2_based on steps'!$B$1:$U$1,AE$1)</f>
        <v>0</v>
      </c>
      <c r="AF231" s="179"/>
      <c r="AG231" s="179"/>
      <c r="AH231" s="179"/>
      <c r="AI231" s="179"/>
      <c r="AJ231" s="179"/>
      <c r="AK231" s="179"/>
      <c r="AL231" s="179"/>
      <c r="AM231" s="179"/>
    </row>
    <row r="232" spans="1:39" x14ac:dyDescent="0.2">
      <c r="A232" s="32">
        <f t="shared" ca="1" si="3"/>
        <v>45981</v>
      </c>
      <c r="B232" s="179">
        <f>SUMIFS('recurring2_based on steps'!$B232:$AY232,'recurring2_based on steps'!$B$1:$AY$1,B$1)+SUMIFS('changes2_based on steps'!$B232:$U232,'changes2_based on steps'!$B$1:$U$1,B$1)</f>
        <v>0</v>
      </c>
      <c r="C232" s="179">
        <f>SUMIFS('recurring2_based on steps'!$B232:$AY232,'recurring2_based on steps'!$B$1:$AY$1,C$1)+SUMIFS('changes2_based on steps'!$B232:$U232,'changes2_based on steps'!$B$1:$U$1,C$1)</f>
        <v>0</v>
      </c>
      <c r="D232" s="179">
        <f>SUMIFS('recurring2_based on steps'!$B232:$AY232,'recurring2_based on steps'!$B$1:$AY$1,D$1)+SUMIFS('changes2_based on steps'!$B232:$U232,'changes2_based on steps'!$B$1:$U$1,D$1)</f>
        <v>0</v>
      </c>
      <c r="E232" s="179">
        <f>SUMIFS('recurring2_based on steps'!$B232:$AY232,'recurring2_based on steps'!$B$1:$AY$1,E$1)+SUMIFS('changes2_based on steps'!$B232:$U232,'changes2_based on steps'!$B$1:$U$1,E$1)</f>
        <v>0</v>
      </c>
      <c r="F232" s="179">
        <f>SUMIFS('recurring2_based on steps'!$B232:$AY232,'recurring2_based on steps'!$B$1:$AY$1,F$1)+SUMIFS('changes2_based on steps'!$B232:$U232,'changes2_based on steps'!$B$1:$U$1,F$1)</f>
        <v>0</v>
      </c>
      <c r="G232" s="179">
        <f>SUMIFS('recurring2_based on steps'!$B232:$AY232,'recurring2_based on steps'!$B$1:$AY$1,G$1)+SUMIFS('changes2_based on steps'!$B232:$U232,'changes2_based on steps'!$B$1:$U$1,G$1)</f>
        <v>0</v>
      </c>
      <c r="H232" s="179">
        <f>SUMIFS('recurring2_based on steps'!$B232:$AY232,'recurring2_based on steps'!$B$1:$AY$1,H$1)+SUMIFS('changes2_based on steps'!$B232:$U232,'changes2_based on steps'!$B$1:$U$1,H$1)</f>
        <v>0</v>
      </c>
      <c r="I232" s="179">
        <f>SUMIFS('recurring2_based on steps'!$B232:$AY232,'recurring2_based on steps'!$B$1:$AY$1,I$1)+SUMIFS('changes2_based on steps'!$B232:$U232,'changes2_based on steps'!$B$1:$U$1,I$1)</f>
        <v>0</v>
      </c>
      <c r="J232" s="179">
        <f>SUMIFS('recurring2_based on steps'!$B232:$AY232,'recurring2_based on steps'!$B$1:$AY$1,J$1)+SUMIFS('changes2_based on steps'!$B232:$U232,'changes2_based on steps'!$B$1:$U$1,J$1)</f>
        <v>0</v>
      </c>
      <c r="K232" s="179">
        <f>SUMIFS('recurring2_based on steps'!$B232:$AY232,'recurring2_based on steps'!$B$1:$AY$1,K$1)+SUMIFS('changes2_based on steps'!$B232:$U232,'changes2_based on steps'!$B$1:$U$1,K$1)</f>
        <v>0</v>
      </c>
      <c r="L232" s="179">
        <f>SUMIFS('recurring2_based on steps'!$B232:$AY232,'recurring2_based on steps'!$B$1:$AY$1,L$1)+SUMIFS('changes2_based on steps'!$B232:$U232,'changes2_based on steps'!$B$1:$U$1,L$1)</f>
        <v>0</v>
      </c>
      <c r="M232" s="179">
        <f>SUMIFS('recurring2_based on steps'!$B232:$AY232,'recurring2_based on steps'!$B$1:$AY$1,M$1)+SUMIFS('changes2_based on steps'!$B232:$U232,'changes2_based on steps'!$B$1:$U$1,M$1)</f>
        <v>0</v>
      </c>
      <c r="N232" s="179">
        <f>SUMIFS('recurring2_based on steps'!$B232:$AY232,'recurring2_based on steps'!$B$1:$AY$1,N$1)+SUMIFS('changes2_based on steps'!$B232:$U232,'changes2_based on steps'!$B$1:$U$1,N$1)</f>
        <v>0</v>
      </c>
      <c r="O232" s="179">
        <f>SUMIFS('recurring2_based on steps'!$B232:$AY232,'recurring2_based on steps'!$B$1:$AY$1,O$1)+SUMIFS('changes2_based on steps'!$B232:$U232,'changes2_based on steps'!$B$1:$U$1,O$1)</f>
        <v>0</v>
      </c>
      <c r="P232" s="179">
        <f>SUMIFS('recurring2_based on steps'!$B232:$AY232,'recurring2_based on steps'!$B$1:$AY$1,P$1)+SUMIFS('changes2_based on steps'!$B232:$U232,'changes2_based on steps'!$B$1:$U$1,P$1)</f>
        <v>0</v>
      </c>
      <c r="Q232" s="179">
        <f>SUMIFS('recurring2_based on steps'!$B232:$AY232,'recurring2_based on steps'!$B$1:$AY$1,Q$1)+SUMIFS('changes2_based on steps'!$B232:$U232,'changes2_based on steps'!$B$1:$U$1,Q$1)</f>
        <v>0</v>
      </c>
      <c r="R232" s="179">
        <f>SUMIFS('recurring2_based on steps'!$B232:$AY232,'recurring2_based on steps'!$B$1:$AY$1,R$1)+SUMIFS('changes2_based on steps'!$B232:$U232,'changes2_based on steps'!$B$1:$U$1,R$1)</f>
        <v>0</v>
      </c>
      <c r="S232" s="179">
        <f>SUMIFS('recurring2_based on steps'!$B232:$AY232,'recurring2_based on steps'!$B$1:$AY$1,S$1)+SUMIFS('changes2_based on steps'!$B232:$U232,'changes2_based on steps'!$B$1:$U$1,S$1)</f>
        <v>0</v>
      </c>
      <c r="T232" s="179">
        <f>SUMIFS('recurring2_based on steps'!$B232:$AY232,'recurring2_based on steps'!$B$1:$AY$1,T$1)+SUMIFS('changes2_based on steps'!$B232:$U232,'changes2_based on steps'!$B$1:$U$1,T$1)</f>
        <v>0</v>
      </c>
      <c r="U232" s="179">
        <f>SUMIFS('recurring2_based on steps'!$B232:$AY232,'recurring2_based on steps'!$B$1:$AY$1,U$1)+SUMIFS('changes2_based on steps'!$B232:$U232,'changes2_based on steps'!$B$1:$U$1,U$1)</f>
        <v>0</v>
      </c>
      <c r="V232" s="179">
        <f>SUMIFS('recurring2_based on steps'!$B232:$AY232,'recurring2_based on steps'!$B$1:$AY$1,V$1)+SUMIFS('changes2_based on steps'!$B232:$U232,'changes2_based on steps'!$B$1:$U$1,V$1)</f>
        <v>0</v>
      </c>
      <c r="W232" s="179">
        <f>SUMIFS('recurring2_based on steps'!$B232:$AY232,'recurring2_based on steps'!$B$1:$AY$1,W$1)+SUMIFS('changes2_based on steps'!$B232:$U232,'changes2_based on steps'!$B$1:$U$1,W$1)</f>
        <v>0</v>
      </c>
      <c r="X232" s="179">
        <f>SUMIFS('recurring2_based on steps'!$B232:$AY232,'recurring2_based on steps'!$B$1:$AY$1,X$1)+SUMIFS('changes2_based on steps'!$B232:$U232,'changes2_based on steps'!$B$1:$U$1,X$1)</f>
        <v>0</v>
      </c>
      <c r="Y232" s="179">
        <f>SUMIFS('recurring2_based on steps'!$B232:$AY232,'recurring2_based on steps'!$B$1:$AY$1,Y$1)+SUMIFS('changes2_based on steps'!$B232:$U232,'changes2_based on steps'!$B$1:$U$1,Y$1)</f>
        <v>0</v>
      </c>
      <c r="Z232" s="179">
        <f>SUMIFS('recurring2_based on steps'!$B232:$AY232,'recurring2_based on steps'!$B$1:$AY$1,Z$1)+SUMIFS('changes2_based on steps'!$B232:$U232,'changes2_based on steps'!$B$1:$U$1,Z$1)</f>
        <v>0</v>
      </c>
      <c r="AA232" s="179">
        <f>SUMIFS('recurring2_based on steps'!$B232:$AY232,'recurring2_based on steps'!$B$1:$AY$1,AA$1)+SUMIFS('changes2_based on steps'!$B232:$U232,'changes2_based on steps'!$B$1:$U$1,AA$1)</f>
        <v>0</v>
      </c>
      <c r="AB232" s="179">
        <f>SUMIFS('recurring2_based on steps'!$B232:$AY232,'recurring2_based on steps'!$B$1:$AY$1,AB$1)+SUMIFS('changes2_based on steps'!$B232:$U232,'changes2_based on steps'!$B$1:$U$1,AB$1)</f>
        <v>0</v>
      </c>
      <c r="AC232" s="179">
        <f>SUMIFS('recurring2_based on steps'!$B232:$AY232,'recurring2_based on steps'!$B$1:$AY$1,AC$1)+SUMIFS('changes2_based on steps'!$B232:$U232,'changes2_based on steps'!$B$1:$U$1,AC$1)</f>
        <v>0</v>
      </c>
      <c r="AD232" s="179">
        <f>SUMIFS('recurring2_based on steps'!$B232:$AY232,'recurring2_based on steps'!$B$1:$AY$1,AD$1)+SUMIFS('changes2_based on steps'!$B232:$U232,'changes2_based on steps'!$B$1:$U$1,AD$1)</f>
        <v>0</v>
      </c>
      <c r="AE232" s="179">
        <f>SUMIFS('recurring2_based on steps'!$B232:$AY232,'recurring2_based on steps'!$B$1:$AY$1,AE$1)+SUMIFS('changes2_based on steps'!$B232:$U232,'changes2_based on steps'!$B$1:$U$1,AE$1)</f>
        <v>0</v>
      </c>
      <c r="AF232" s="179"/>
      <c r="AG232" s="179"/>
      <c r="AH232" s="179"/>
      <c r="AI232" s="179"/>
      <c r="AJ232" s="179"/>
      <c r="AK232" s="179"/>
      <c r="AL232" s="179"/>
      <c r="AM232" s="179"/>
    </row>
    <row r="233" spans="1:39" x14ac:dyDescent="0.2">
      <c r="A233" s="32">
        <f t="shared" ca="1" si="3"/>
        <v>45982</v>
      </c>
      <c r="B233" s="179">
        <f>SUMIFS('recurring2_based on steps'!$B233:$AY233,'recurring2_based on steps'!$B$1:$AY$1,B$1)+SUMIFS('changes2_based on steps'!$B233:$U233,'changes2_based on steps'!$B$1:$U$1,B$1)</f>
        <v>0</v>
      </c>
      <c r="C233" s="179">
        <f>SUMIFS('recurring2_based on steps'!$B233:$AY233,'recurring2_based on steps'!$B$1:$AY$1,C$1)+SUMIFS('changes2_based on steps'!$B233:$U233,'changes2_based on steps'!$B$1:$U$1,C$1)</f>
        <v>0</v>
      </c>
      <c r="D233" s="179">
        <f>SUMIFS('recurring2_based on steps'!$B233:$AY233,'recurring2_based on steps'!$B$1:$AY$1,D$1)+SUMIFS('changes2_based on steps'!$B233:$U233,'changes2_based on steps'!$B$1:$U$1,D$1)</f>
        <v>0</v>
      </c>
      <c r="E233" s="179">
        <f>SUMIFS('recurring2_based on steps'!$B233:$AY233,'recurring2_based on steps'!$B$1:$AY$1,E$1)+SUMIFS('changes2_based on steps'!$B233:$U233,'changes2_based on steps'!$B$1:$U$1,E$1)</f>
        <v>0</v>
      </c>
      <c r="F233" s="179">
        <f>SUMIFS('recurring2_based on steps'!$B233:$AY233,'recurring2_based on steps'!$B$1:$AY$1,F$1)+SUMIFS('changes2_based on steps'!$B233:$U233,'changes2_based on steps'!$B$1:$U$1,F$1)</f>
        <v>0</v>
      </c>
      <c r="G233" s="179">
        <f>SUMIFS('recurring2_based on steps'!$B233:$AY233,'recurring2_based on steps'!$B$1:$AY$1,G$1)+SUMIFS('changes2_based on steps'!$B233:$U233,'changes2_based on steps'!$B$1:$U$1,G$1)</f>
        <v>0</v>
      </c>
      <c r="H233" s="179">
        <f>SUMIFS('recurring2_based on steps'!$B233:$AY233,'recurring2_based on steps'!$B$1:$AY$1,H$1)+SUMIFS('changes2_based on steps'!$B233:$U233,'changes2_based on steps'!$B$1:$U$1,H$1)</f>
        <v>0</v>
      </c>
      <c r="I233" s="179">
        <f>SUMIFS('recurring2_based on steps'!$B233:$AY233,'recurring2_based on steps'!$B$1:$AY$1,I$1)+SUMIFS('changes2_based on steps'!$B233:$U233,'changes2_based on steps'!$B$1:$U$1,I$1)</f>
        <v>0</v>
      </c>
      <c r="J233" s="179">
        <f>SUMIFS('recurring2_based on steps'!$B233:$AY233,'recurring2_based on steps'!$B$1:$AY$1,J$1)+SUMIFS('changes2_based on steps'!$B233:$U233,'changes2_based on steps'!$B$1:$U$1,J$1)</f>
        <v>0</v>
      </c>
      <c r="K233" s="179">
        <f>SUMIFS('recurring2_based on steps'!$B233:$AY233,'recurring2_based on steps'!$B$1:$AY$1,K$1)+SUMIFS('changes2_based on steps'!$B233:$U233,'changes2_based on steps'!$B$1:$U$1,K$1)</f>
        <v>0</v>
      </c>
      <c r="L233" s="179">
        <f>SUMIFS('recurring2_based on steps'!$B233:$AY233,'recurring2_based on steps'!$B$1:$AY$1,L$1)+SUMIFS('changes2_based on steps'!$B233:$U233,'changes2_based on steps'!$B$1:$U$1,L$1)</f>
        <v>0</v>
      </c>
      <c r="M233" s="179">
        <f>SUMIFS('recurring2_based on steps'!$B233:$AY233,'recurring2_based on steps'!$B$1:$AY$1,M$1)+SUMIFS('changes2_based on steps'!$B233:$U233,'changes2_based on steps'!$B$1:$U$1,M$1)</f>
        <v>0</v>
      </c>
      <c r="N233" s="179">
        <f>SUMIFS('recurring2_based on steps'!$B233:$AY233,'recurring2_based on steps'!$B$1:$AY$1,N$1)+SUMIFS('changes2_based on steps'!$B233:$U233,'changes2_based on steps'!$B$1:$U$1,N$1)</f>
        <v>0</v>
      </c>
      <c r="O233" s="179">
        <f>SUMIFS('recurring2_based on steps'!$B233:$AY233,'recurring2_based on steps'!$B$1:$AY$1,O$1)+SUMIFS('changes2_based on steps'!$B233:$U233,'changes2_based on steps'!$B$1:$U$1,O$1)</f>
        <v>0</v>
      </c>
      <c r="P233" s="179">
        <f>SUMIFS('recurring2_based on steps'!$B233:$AY233,'recurring2_based on steps'!$B$1:$AY$1,P$1)+SUMIFS('changes2_based on steps'!$B233:$U233,'changes2_based on steps'!$B$1:$U$1,P$1)</f>
        <v>0</v>
      </c>
      <c r="Q233" s="179">
        <f>SUMIFS('recurring2_based on steps'!$B233:$AY233,'recurring2_based on steps'!$B$1:$AY$1,Q$1)+SUMIFS('changes2_based on steps'!$B233:$U233,'changes2_based on steps'!$B$1:$U$1,Q$1)</f>
        <v>0</v>
      </c>
      <c r="R233" s="179">
        <f>SUMIFS('recurring2_based on steps'!$B233:$AY233,'recurring2_based on steps'!$B$1:$AY$1,R$1)+SUMIFS('changes2_based on steps'!$B233:$U233,'changes2_based on steps'!$B$1:$U$1,R$1)</f>
        <v>0</v>
      </c>
      <c r="S233" s="179">
        <f>SUMIFS('recurring2_based on steps'!$B233:$AY233,'recurring2_based on steps'!$B$1:$AY$1,S$1)+SUMIFS('changes2_based on steps'!$B233:$U233,'changes2_based on steps'!$B$1:$U$1,S$1)</f>
        <v>0</v>
      </c>
      <c r="T233" s="179">
        <f>SUMIFS('recurring2_based on steps'!$B233:$AY233,'recurring2_based on steps'!$B$1:$AY$1,T$1)+SUMIFS('changes2_based on steps'!$B233:$U233,'changes2_based on steps'!$B$1:$U$1,T$1)</f>
        <v>0</v>
      </c>
      <c r="U233" s="179">
        <f>SUMIFS('recurring2_based on steps'!$B233:$AY233,'recurring2_based on steps'!$B$1:$AY$1,U$1)+SUMIFS('changes2_based on steps'!$B233:$U233,'changes2_based on steps'!$B$1:$U$1,U$1)</f>
        <v>0</v>
      </c>
      <c r="V233" s="179">
        <f>SUMIFS('recurring2_based on steps'!$B233:$AY233,'recurring2_based on steps'!$B$1:$AY$1,V$1)+SUMIFS('changes2_based on steps'!$B233:$U233,'changes2_based on steps'!$B$1:$U$1,V$1)</f>
        <v>0</v>
      </c>
      <c r="W233" s="179">
        <f>SUMIFS('recurring2_based on steps'!$B233:$AY233,'recurring2_based on steps'!$B$1:$AY$1,W$1)+SUMIFS('changes2_based on steps'!$B233:$U233,'changes2_based on steps'!$B$1:$U$1,W$1)</f>
        <v>0</v>
      </c>
      <c r="X233" s="179">
        <f>SUMIFS('recurring2_based on steps'!$B233:$AY233,'recurring2_based on steps'!$B$1:$AY$1,X$1)+SUMIFS('changes2_based on steps'!$B233:$U233,'changes2_based on steps'!$B$1:$U$1,X$1)</f>
        <v>0</v>
      </c>
      <c r="Y233" s="179">
        <f>SUMIFS('recurring2_based on steps'!$B233:$AY233,'recurring2_based on steps'!$B$1:$AY$1,Y$1)+SUMIFS('changes2_based on steps'!$B233:$U233,'changes2_based on steps'!$B$1:$U$1,Y$1)</f>
        <v>0</v>
      </c>
      <c r="Z233" s="179">
        <f>SUMIFS('recurring2_based on steps'!$B233:$AY233,'recurring2_based on steps'!$B$1:$AY$1,Z$1)+SUMIFS('changes2_based on steps'!$B233:$U233,'changes2_based on steps'!$B$1:$U$1,Z$1)</f>
        <v>0</v>
      </c>
      <c r="AA233" s="179">
        <f>SUMIFS('recurring2_based on steps'!$B233:$AY233,'recurring2_based on steps'!$B$1:$AY$1,AA$1)+SUMIFS('changes2_based on steps'!$B233:$U233,'changes2_based on steps'!$B$1:$U$1,AA$1)</f>
        <v>0</v>
      </c>
      <c r="AB233" s="179">
        <f>SUMIFS('recurring2_based on steps'!$B233:$AY233,'recurring2_based on steps'!$B$1:$AY$1,AB$1)+SUMIFS('changes2_based on steps'!$B233:$U233,'changes2_based on steps'!$B$1:$U$1,AB$1)</f>
        <v>0</v>
      </c>
      <c r="AC233" s="179">
        <f>SUMIFS('recurring2_based on steps'!$B233:$AY233,'recurring2_based on steps'!$B$1:$AY$1,AC$1)+SUMIFS('changes2_based on steps'!$B233:$U233,'changes2_based on steps'!$B$1:$U$1,AC$1)</f>
        <v>0</v>
      </c>
      <c r="AD233" s="179">
        <f>SUMIFS('recurring2_based on steps'!$B233:$AY233,'recurring2_based on steps'!$B$1:$AY$1,AD$1)+SUMIFS('changes2_based on steps'!$B233:$U233,'changes2_based on steps'!$B$1:$U$1,AD$1)</f>
        <v>0</v>
      </c>
      <c r="AE233" s="179">
        <f>SUMIFS('recurring2_based on steps'!$B233:$AY233,'recurring2_based on steps'!$B$1:$AY$1,AE$1)+SUMIFS('changes2_based on steps'!$B233:$U233,'changes2_based on steps'!$B$1:$U$1,AE$1)</f>
        <v>0</v>
      </c>
      <c r="AF233" s="179"/>
      <c r="AG233" s="179"/>
      <c r="AH233" s="179"/>
      <c r="AI233" s="179"/>
      <c r="AJ233" s="179"/>
      <c r="AK233" s="179"/>
      <c r="AL233" s="179"/>
      <c r="AM233" s="179"/>
    </row>
    <row r="234" spans="1:39" x14ac:dyDescent="0.2">
      <c r="A234" s="32">
        <f t="shared" ca="1" si="3"/>
        <v>45983</v>
      </c>
      <c r="B234" s="179">
        <f>SUMIFS('recurring2_based on steps'!$B234:$AY234,'recurring2_based on steps'!$B$1:$AY$1,B$1)+SUMIFS('changes2_based on steps'!$B234:$U234,'changes2_based on steps'!$B$1:$U$1,B$1)</f>
        <v>0</v>
      </c>
      <c r="C234" s="179">
        <f>SUMIFS('recurring2_based on steps'!$B234:$AY234,'recurring2_based on steps'!$B$1:$AY$1,C$1)+SUMIFS('changes2_based on steps'!$B234:$U234,'changes2_based on steps'!$B$1:$U$1,C$1)</f>
        <v>0</v>
      </c>
      <c r="D234" s="179">
        <f>SUMIFS('recurring2_based on steps'!$B234:$AY234,'recurring2_based on steps'!$B$1:$AY$1,D$1)+SUMIFS('changes2_based on steps'!$B234:$U234,'changes2_based on steps'!$B$1:$U$1,D$1)</f>
        <v>0</v>
      </c>
      <c r="E234" s="179">
        <f>SUMIFS('recurring2_based on steps'!$B234:$AY234,'recurring2_based on steps'!$B$1:$AY$1,E$1)+SUMIFS('changes2_based on steps'!$B234:$U234,'changes2_based on steps'!$B$1:$U$1,E$1)</f>
        <v>0</v>
      </c>
      <c r="F234" s="179">
        <f>SUMIFS('recurring2_based on steps'!$B234:$AY234,'recurring2_based on steps'!$B$1:$AY$1,F$1)+SUMIFS('changes2_based on steps'!$B234:$U234,'changes2_based on steps'!$B$1:$U$1,F$1)</f>
        <v>0</v>
      </c>
      <c r="G234" s="179">
        <f>SUMIFS('recurring2_based on steps'!$B234:$AY234,'recurring2_based on steps'!$B$1:$AY$1,G$1)+SUMIFS('changes2_based on steps'!$B234:$U234,'changes2_based on steps'!$B$1:$U$1,G$1)</f>
        <v>0</v>
      </c>
      <c r="H234" s="179">
        <f>SUMIFS('recurring2_based on steps'!$B234:$AY234,'recurring2_based on steps'!$B$1:$AY$1,H$1)+SUMIFS('changes2_based on steps'!$B234:$U234,'changes2_based on steps'!$B$1:$U$1,H$1)</f>
        <v>0</v>
      </c>
      <c r="I234" s="179">
        <f>SUMIFS('recurring2_based on steps'!$B234:$AY234,'recurring2_based on steps'!$B$1:$AY$1,I$1)+SUMIFS('changes2_based on steps'!$B234:$U234,'changes2_based on steps'!$B$1:$U$1,I$1)</f>
        <v>0</v>
      </c>
      <c r="J234" s="179">
        <f>SUMIFS('recurring2_based on steps'!$B234:$AY234,'recurring2_based on steps'!$B$1:$AY$1,J$1)+SUMIFS('changes2_based on steps'!$B234:$U234,'changes2_based on steps'!$B$1:$U$1,J$1)</f>
        <v>0</v>
      </c>
      <c r="K234" s="179">
        <f>SUMIFS('recurring2_based on steps'!$B234:$AY234,'recurring2_based on steps'!$B$1:$AY$1,K$1)+SUMIFS('changes2_based on steps'!$B234:$U234,'changes2_based on steps'!$B$1:$U$1,K$1)</f>
        <v>0</v>
      </c>
      <c r="L234" s="179">
        <f>SUMIFS('recurring2_based on steps'!$B234:$AY234,'recurring2_based on steps'!$B$1:$AY$1,L$1)+SUMIFS('changes2_based on steps'!$B234:$U234,'changes2_based on steps'!$B$1:$U$1,L$1)</f>
        <v>0</v>
      </c>
      <c r="M234" s="179">
        <f>SUMIFS('recurring2_based on steps'!$B234:$AY234,'recurring2_based on steps'!$B$1:$AY$1,M$1)+SUMIFS('changes2_based on steps'!$B234:$U234,'changes2_based on steps'!$B$1:$U$1,M$1)</f>
        <v>0</v>
      </c>
      <c r="N234" s="179">
        <f>SUMIFS('recurring2_based on steps'!$B234:$AY234,'recurring2_based on steps'!$B$1:$AY$1,N$1)+SUMIFS('changes2_based on steps'!$B234:$U234,'changes2_based on steps'!$B$1:$U$1,N$1)</f>
        <v>0</v>
      </c>
      <c r="O234" s="179">
        <f>SUMIFS('recurring2_based on steps'!$B234:$AY234,'recurring2_based on steps'!$B$1:$AY$1,O$1)+SUMIFS('changes2_based on steps'!$B234:$U234,'changes2_based on steps'!$B$1:$U$1,O$1)</f>
        <v>0</v>
      </c>
      <c r="P234" s="179">
        <f>SUMIFS('recurring2_based on steps'!$B234:$AY234,'recurring2_based on steps'!$B$1:$AY$1,P$1)+SUMIFS('changes2_based on steps'!$B234:$U234,'changes2_based on steps'!$B$1:$U$1,P$1)</f>
        <v>0</v>
      </c>
      <c r="Q234" s="179">
        <f>SUMIFS('recurring2_based on steps'!$B234:$AY234,'recurring2_based on steps'!$B$1:$AY$1,Q$1)+SUMIFS('changes2_based on steps'!$B234:$U234,'changes2_based on steps'!$B$1:$U$1,Q$1)</f>
        <v>0</v>
      </c>
      <c r="R234" s="179">
        <f>SUMIFS('recurring2_based on steps'!$B234:$AY234,'recurring2_based on steps'!$B$1:$AY$1,R$1)+SUMIFS('changes2_based on steps'!$B234:$U234,'changes2_based on steps'!$B$1:$U$1,R$1)</f>
        <v>0</v>
      </c>
      <c r="S234" s="179">
        <f>SUMIFS('recurring2_based on steps'!$B234:$AY234,'recurring2_based on steps'!$B$1:$AY$1,S$1)+SUMIFS('changes2_based on steps'!$B234:$U234,'changes2_based on steps'!$B$1:$U$1,S$1)</f>
        <v>0</v>
      </c>
      <c r="T234" s="179">
        <f>SUMIFS('recurring2_based on steps'!$B234:$AY234,'recurring2_based on steps'!$B$1:$AY$1,T$1)+SUMIFS('changes2_based on steps'!$B234:$U234,'changes2_based on steps'!$B$1:$U$1,T$1)</f>
        <v>0</v>
      </c>
      <c r="U234" s="179">
        <f>SUMIFS('recurring2_based on steps'!$B234:$AY234,'recurring2_based on steps'!$B$1:$AY$1,U$1)+SUMIFS('changes2_based on steps'!$B234:$U234,'changes2_based on steps'!$B$1:$U$1,U$1)</f>
        <v>0</v>
      </c>
      <c r="V234" s="179">
        <f>SUMIFS('recurring2_based on steps'!$B234:$AY234,'recurring2_based on steps'!$B$1:$AY$1,V$1)+SUMIFS('changes2_based on steps'!$B234:$U234,'changes2_based on steps'!$B$1:$U$1,V$1)</f>
        <v>0</v>
      </c>
      <c r="W234" s="179">
        <f>SUMIFS('recurring2_based on steps'!$B234:$AY234,'recurring2_based on steps'!$B$1:$AY$1,W$1)+SUMIFS('changes2_based on steps'!$B234:$U234,'changes2_based on steps'!$B$1:$U$1,W$1)</f>
        <v>0</v>
      </c>
      <c r="X234" s="179">
        <f>SUMIFS('recurring2_based on steps'!$B234:$AY234,'recurring2_based on steps'!$B$1:$AY$1,X$1)+SUMIFS('changes2_based on steps'!$B234:$U234,'changes2_based on steps'!$B$1:$U$1,X$1)</f>
        <v>0</v>
      </c>
      <c r="Y234" s="179">
        <f>SUMIFS('recurring2_based on steps'!$B234:$AY234,'recurring2_based on steps'!$B$1:$AY$1,Y$1)+SUMIFS('changes2_based on steps'!$B234:$U234,'changes2_based on steps'!$B$1:$U$1,Y$1)</f>
        <v>0</v>
      </c>
      <c r="Z234" s="179">
        <f>SUMIFS('recurring2_based on steps'!$B234:$AY234,'recurring2_based on steps'!$B$1:$AY$1,Z$1)+SUMIFS('changes2_based on steps'!$B234:$U234,'changes2_based on steps'!$B$1:$U$1,Z$1)</f>
        <v>0</v>
      </c>
      <c r="AA234" s="179">
        <f>SUMIFS('recurring2_based on steps'!$B234:$AY234,'recurring2_based on steps'!$B$1:$AY$1,AA$1)+SUMIFS('changes2_based on steps'!$B234:$U234,'changes2_based on steps'!$B$1:$U$1,AA$1)</f>
        <v>0</v>
      </c>
      <c r="AB234" s="179">
        <f>SUMIFS('recurring2_based on steps'!$B234:$AY234,'recurring2_based on steps'!$B$1:$AY$1,AB$1)+SUMIFS('changes2_based on steps'!$B234:$U234,'changes2_based on steps'!$B$1:$U$1,AB$1)</f>
        <v>0</v>
      </c>
      <c r="AC234" s="179">
        <f>SUMIFS('recurring2_based on steps'!$B234:$AY234,'recurring2_based on steps'!$B$1:$AY$1,AC$1)+SUMIFS('changes2_based on steps'!$B234:$U234,'changes2_based on steps'!$B$1:$U$1,AC$1)</f>
        <v>0</v>
      </c>
      <c r="AD234" s="179">
        <f>SUMIFS('recurring2_based on steps'!$B234:$AY234,'recurring2_based on steps'!$B$1:$AY$1,AD$1)+SUMIFS('changes2_based on steps'!$B234:$U234,'changes2_based on steps'!$B$1:$U$1,AD$1)</f>
        <v>0</v>
      </c>
      <c r="AE234" s="179">
        <f>SUMIFS('recurring2_based on steps'!$B234:$AY234,'recurring2_based on steps'!$B$1:$AY$1,AE$1)+SUMIFS('changes2_based on steps'!$B234:$U234,'changes2_based on steps'!$B$1:$U$1,AE$1)</f>
        <v>0</v>
      </c>
      <c r="AF234" s="179"/>
      <c r="AG234" s="179"/>
      <c r="AH234" s="179"/>
      <c r="AI234" s="179"/>
      <c r="AJ234" s="179"/>
      <c r="AK234" s="179"/>
      <c r="AL234" s="179"/>
      <c r="AM234" s="179"/>
    </row>
    <row r="235" spans="1:39" x14ac:dyDescent="0.2">
      <c r="A235" s="32">
        <f t="shared" ca="1" si="3"/>
        <v>45984</v>
      </c>
      <c r="B235" s="179">
        <f>SUMIFS('recurring2_based on steps'!$B235:$AY235,'recurring2_based on steps'!$B$1:$AY$1,B$1)+SUMIFS('changes2_based on steps'!$B235:$U235,'changes2_based on steps'!$B$1:$U$1,B$1)</f>
        <v>0</v>
      </c>
      <c r="C235" s="179">
        <f>SUMIFS('recurring2_based on steps'!$B235:$AY235,'recurring2_based on steps'!$B$1:$AY$1,C$1)+SUMIFS('changes2_based on steps'!$B235:$U235,'changes2_based on steps'!$B$1:$U$1,C$1)</f>
        <v>0</v>
      </c>
      <c r="D235" s="179">
        <f>SUMIFS('recurring2_based on steps'!$B235:$AY235,'recurring2_based on steps'!$B$1:$AY$1,D$1)+SUMIFS('changes2_based on steps'!$B235:$U235,'changes2_based on steps'!$B$1:$U$1,D$1)</f>
        <v>0</v>
      </c>
      <c r="E235" s="179">
        <f>SUMIFS('recurring2_based on steps'!$B235:$AY235,'recurring2_based on steps'!$B$1:$AY$1,E$1)+SUMIFS('changes2_based on steps'!$B235:$U235,'changes2_based on steps'!$B$1:$U$1,E$1)</f>
        <v>0</v>
      </c>
      <c r="F235" s="179">
        <f>SUMIFS('recurring2_based on steps'!$B235:$AY235,'recurring2_based on steps'!$B$1:$AY$1,F$1)+SUMIFS('changes2_based on steps'!$B235:$U235,'changes2_based on steps'!$B$1:$U$1,F$1)</f>
        <v>0</v>
      </c>
      <c r="G235" s="179">
        <f>SUMIFS('recurring2_based on steps'!$B235:$AY235,'recurring2_based on steps'!$B$1:$AY$1,G$1)+SUMIFS('changes2_based on steps'!$B235:$U235,'changes2_based on steps'!$B$1:$U$1,G$1)</f>
        <v>0</v>
      </c>
      <c r="H235" s="179">
        <f>SUMIFS('recurring2_based on steps'!$B235:$AY235,'recurring2_based on steps'!$B$1:$AY$1,H$1)+SUMIFS('changes2_based on steps'!$B235:$U235,'changes2_based on steps'!$B$1:$U$1,H$1)</f>
        <v>0</v>
      </c>
      <c r="I235" s="179">
        <f>SUMIFS('recurring2_based on steps'!$B235:$AY235,'recurring2_based on steps'!$B$1:$AY$1,I$1)+SUMIFS('changes2_based on steps'!$B235:$U235,'changes2_based on steps'!$B$1:$U$1,I$1)</f>
        <v>0</v>
      </c>
      <c r="J235" s="179">
        <f>SUMIFS('recurring2_based on steps'!$B235:$AY235,'recurring2_based on steps'!$B$1:$AY$1,J$1)+SUMIFS('changes2_based on steps'!$B235:$U235,'changes2_based on steps'!$B$1:$U$1,J$1)</f>
        <v>0</v>
      </c>
      <c r="K235" s="179">
        <f>SUMIFS('recurring2_based on steps'!$B235:$AY235,'recurring2_based on steps'!$B$1:$AY$1,K$1)+SUMIFS('changes2_based on steps'!$B235:$U235,'changes2_based on steps'!$B$1:$U$1,K$1)</f>
        <v>0</v>
      </c>
      <c r="L235" s="179">
        <f>SUMIFS('recurring2_based on steps'!$B235:$AY235,'recurring2_based on steps'!$B$1:$AY$1,L$1)+SUMIFS('changes2_based on steps'!$B235:$U235,'changes2_based on steps'!$B$1:$U$1,L$1)</f>
        <v>0</v>
      </c>
      <c r="M235" s="179">
        <f>SUMIFS('recurring2_based on steps'!$B235:$AY235,'recurring2_based on steps'!$B$1:$AY$1,M$1)+SUMIFS('changes2_based on steps'!$B235:$U235,'changes2_based on steps'!$B$1:$U$1,M$1)</f>
        <v>0</v>
      </c>
      <c r="N235" s="179">
        <f>SUMIFS('recurring2_based on steps'!$B235:$AY235,'recurring2_based on steps'!$B$1:$AY$1,N$1)+SUMIFS('changes2_based on steps'!$B235:$U235,'changes2_based on steps'!$B$1:$U$1,N$1)</f>
        <v>0</v>
      </c>
      <c r="O235" s="179">
        <f>SUMIFS('recurring2_based on steps'!$B235:$AY235,'recurring2_based on steps'!$B$1:$AY$1,O$1)+SUMIFS('changes2_based on steps'!$B235:$U235,'changes2_based on steps'!$B$1:$U$1,O$1)</f>
        <v>0</v>
      </c>
      <c r="P235" s="179">
        <f>SUMIFS('recurring2_based on steps'!$B235:$AY235,'recurring2_based on steps'!$B$1:$AY$1,P$1)+SUMIFS('changes2_based on steps'!$B235:$U235,'changes2_based on steps'!$B$1:$U$1,P$1)</f>
        <v>0</v>
      </c>
      <c r="Q235" s="179">
        <f>SUMIFS('recurring2_based on steps'!$B235:$AY235,'recurring2_based on steps'!$B$1:$AY$1,Q$1)+SUMIFS('changes2_based on steps'!$B235:$U235,'changes2_based on steps'!$B$1:$U$1,Q$1)</f>
        <v>0</v>
      </c>
      <c r="R235" s="179">
        <f>SUMIFS('recurring2_based on steps'!$B235:$AY235,'recurring2_based on steps'!$B$1:$AY$1,R$1)+SUMIFS('changes2_based on steps'!$B235:$U235,'changes2_based on steps'!$B$1:$U$1,R$1)</f>
        <v>0</v>
      </c>
      <c r="S235" s="179">
        <f>SUMIFS('recurring2_based on steps'!$B235:$AY235,'recurring2_based on steps'!$B$1:$AY$1,S$1)+SUMIFS('changes2_based on steps'!$B235:$U235,'changes2_based on steps'!$B$1:$U$1,S$1)</f>
        <v>0</v>
      </c>
      <c r="T235" s="179">
        <f>SUMIFS('recurring2_based on steps'!$B235:$AY235,'recurring2_based on steps'!$B$1:$AY$1,T$1)+SUMIFS('changes2_based on steps'!$B235:$U235,'changes2_based on steps'!$B$1:$U$1,T$1)</f>
        <v>0</v>
      </c>
      <c r="U235" s="179">
        <f>SUMIFS('recurring2_based on steps'!$B235:$AY235,'recurring2_based on steps'!$B$1:$AY$1,U$1)+SUMIFS('changes2_based on steps'!$B235:$U235,'changes2_based on steps'!$B$1:$U$1,U$1)</f>
        <v>0</v>
      </c>
      <c r="V235" s="179">
        <f>SUMIFS('recurring2_based on steps'!$B235:$AY235,'recurring2_based on steps'!$B$1:$AY$1,V$1)+SUMIFS('changes2_based on steps'!$B235:$U235,'changes2_based on steps'!$B$1:$U$1,V$1)</f>
        <v>0</v>
      </c>
      <c r="W235" s="179">
        <f>SUMIFS('recurring2_based on steps'!$B235:$AY235,'recurring2_based on steps'!$B$1:$AY$1,W$1)+SUMIFS('changes2_based on steps'!$B235:$U235,'changes2_based on steps'!$B$1:$U$1,W$1)</f>
        <v>0</v>
      </c>
      <c r="X235" s="179">
        <f>SUMIFS('recurring2_based on steps'!$B235:$AY235,'recurring2_based on steps'!$B$1:$AY$1,X$1)+SUMIFS('changes2_based on steps'!$B235:$U235,'changes2_based on steps'!$B$1:$U$1,X$1)</f>
        <v>0</v>
      </c>
      <c r="Y235" s="179">
        <f>SUMIFS('recurring2_based on steps'!$B235:$AY235,'recurring2_based on steps'!$B$1:$AY$1,Y$1)+SUMIFS('changes2_based on steps'!$B235:$U235,'changes2_based on steps'!$B$1:$U$1,Y$1)</f>
        <v>0</v>
      </c>
      <c r="Z235" s="179">
        <f>SUMIFS('recurring2_based on steps'!$B235:$AY235,'recurring2_based on steps'!$B$1:$AY$1,Z$1)+SUMIFS('changes2_based on steps'!$B235:$U235,'changes2_based on steps'!$B$1:$U$1,Z$1)</f>
        <v>0</v>
      </c>
      <c r="AA235" s="179">
        <f>SUMIFS('recurring2_based on steps'!$B235:$AY235,'recurring2_based on steps'!$B$1:$AY$1,AA$1)+SUMIFS('changes2_based on steps'!$B235:$U235,'changes2_based on steps'!$B$1:$U$1,AA$1)</f>
        <v>0</v>
      </c>
      <c r="AB235" s="179">
        <f>SUMIFS('recurring2_based on steps'!$B235:$AY235,'recurring2_based on steps'!$B$1:$AY$1,AB$1)+SUMIFS('changes2_based on steps'!$B235:$U235,'changes2_based on steps'!$B$1:$U$1,AB$1)</f>
        <v>0</v>
      </c>
      <c r="AC235" s="179">
        <f>SUMIFS('recurring2_based on steps'!$B235:$AY235,'recurring2_based on steps'!$B$1:$AY$1,AC$1)+SUMIFS('changes2_based on steps'!$B235:$U235,'changes2_based on steps'!$B$1:$U$1,AC$1)</f>
        <v>0</v>
      </c>
      <c r="AD235" s="179">
        <f>SUMIFS('recurring2_based on steps'!$B235:$AY235,'recurring2_based on steps'!$B$1:$AY$1,AD$1)+SUMIFS('changes2_based on steps'!$B235:$U235,'changes2_based on steps'!$B$1:$U$1,AD$1)</f>
        <v>0</v>
      </c>
      <c r="AE235" s="179">
        <f>SUMIFS('recurring2_based on steps'!$B235:$AY235,'recurring2_based on steps'!$B$1:$AY$1,AE$1)+SUMIFS('changes2_based on steps'!$B235:$U235,'changes2_based on steps'!$B$1:$U$1,AE$1)</f>
        <v>0</v>
      </c>
      <c r="AF235" s="179"/>
      <c r="AG235" s="179"/>
      <c r="AH235" s="179"/>
      <c r="AI235" s="179"/>
      <c r="AJ235" s="179"/>
      <c r="AK235" s="179"/>
      <c r="AL235" s="179"/>
      <c r="AM235" s="179"/>
    </row>
    <row r="236" spans="1:39" x14ac:dyDescent="0.2">
      <c r="A236" s="32">
        <f t="shared" ca="1" si="3"/>
        <v>45985</v>
      </c>
      <c r="B236" s="179">
        <f>SUMIFS('recurring2_based on steps'!$B236:$AY236,'recurring2_based on steps'!$B$1:$AY$1,B$1)+SUMIFS('changes2_based on steps'!$B236:$U236,'changes2_based on steps'!$B$1:$U$1,B$1)</f>
        <v>0</v>
      </c>
      <c r="C236" s="179">
        <f>SUMIFS('recurring2_based on steps'!$B236:$AY236,'recurring2_based on steps'!$B$1:$AY$1,C$1)+SUMIFS('changes2_based on steps'!$B236:$U236,'changes2_based on steps'!$B$1:$U$1,C$1)</f>
        <v>0</v>
      </c>
      <c r="D236" s="179">
        <f>SUMIFS('recurring2_based on steps'!$B236:$AY236,'recurring2_based on steps'!$B$1:$AY$1,D$1)+SUMIFS('changes2_based on steps'!$B236:$U236,'changes2_based on steps'!$B$1:$U$1,D$1)</f>
        <v>0</v>
      </c>
      <c r="E236" s="179">
        <f>SUMIFS('recurring2_based on steps'!$B236:$AY236,'recurring2_based on steps'!$B$1:$AY$1,E$1)+SUMIFS('changes2_based on steps'!$B236:$U236,'changes2_based on steps'!$B$1:$U$1,E$1)</f>
        <v>0</v>
      </c>
      <c r="F236" s="179">
        <f>SUMIFS('recurring2_based on steps'!$B236:$AY236,'recurring2_based on steps'!$B$1:$AY$1,F$1)+SUMIFS('changes2_based on steps'!$B236:$U236,'changes2_based on steps'!$B$1:$U$1,F$1)</f>
        <v>0</v>
      </c>
      <c r="G236" s="179">
        <f>SUMIFS('recurring2_based on steps'!$B236:$AY236,'recurring2_based on steps'!$B$1:$AY$1,G$1)+SUMIFS('changes2_based on steps'!$B236:$U236,'changes2_based on steps'!$B$1:$U$1,G$1)</f>
        <v>0</v>
      </c>
      <c r="H236" s="179">
        <f>SUMIFS('recurring2_based on steps'!$B236:$AY236,'recurring2_based on steps'!$B$1:$AY$1,H$1)+SUMIFS('changes2_based on steps'!$B236:$U236,'changes2_based on steps'!$B$1:$U$1,H$1)</f>
        <v>0</v>
      </c>
      <c r="I236" s="179">
        <f>SUMIFS('recurring2_based on steps'!$B236:$AY236,'recurring2_based on steps'!$B$1:$AY$1,I$1)+SUMIFS('changes2_based on steps'!$B236:$U236,'changes2_based on steps'!$B$1:$U$1,I$1)</f>
        <v>0</v>
      </c>
      <c r="J236" s="179">
        <f>SUMIFS('recurring2_based on steps'!$B236:$AY236,'recurring2_based on steps'!$B$1:$AY$1,J$1)+SUMIFS('changes2_based on steps'!$B236:$U236,'changes2_based on steps'!$B$1:$U$1,J$1)</f>
        <v>0</v>
      </c>
      <c r="K236" s="179">
        <f>SUMIFS('recurring2_based on steps'!$B236:$AY236,'recurring2_based on steps'!$B$1:$AY$1,K$1)+SUMIFS('changes2_based on steps'!$B236:$U236,'changes2_based on steps'!$B$1:$U$1,K$1)</f>
        <v>0</v>
      </c>
      <c r="L236" s="179">
        <f>SUMIFS('recurring2_based on steps'!$B236:$AY236,'recurring2_based on steps'!$B$1:$AY$1,L$1)+SUMIFS('changes2_based on steps'!$B236:$U236,'changes2_based on steps'!$B$1:$U$1,L$1)</f>
        <v>0</v>
      </c>
      <c r="M236" s="179">
        <f>SUMIFS('recurring2_based on steps'!$B236:$AY236,'recurring2_based on steps'!$B$1:$AY$1,M$1)+SUMIFS('changes2_based on steps'!$B236:$U236,'changes2_based on steps'!$B$1:$U$1,M$1)</f>
        <v>0</v>
      </c>
      <c r="N236" s="179">
        <f>SUMIFS('recurring2_based on steps'!$B236:$AY236,'recurring2_based on steps'!$B$1:$AY$1,N$1)+SUMIFS('changes2_based on steps'!$B236:$U236,'changes2_based on steps'!$B$1:$U$1,N$1)</f>
        <v>0</v>
      </c>
      <c r="O236" s="179">
        <f>SUMIFS('recurring2_based on steps'!$B236:$AY236,'recurring2_based on steps'!$B$1:$AY$1,O$1)+SUMIFS('changes2_based on steps'!$B236:$U236,'changes2_based on steps'!$B$1:$U$1,O$1)</f>
        <v>0</v>
      </c>
      <c r="P236" s="179">
        <f>SUMIFS('recurring2_based on steps'!$B236:$AY236,'recurring2_based on steps'!$B$1:$AY$1,P$1)+SUMIFS('changes2_based on steps'!$B236:$U236,'changes2_based on steps'!$B$1:$U$1,P$1)</f>
        <v>0</v>
      </c>
      <c r="Q236" s="179">
        <f>SUMIFS('recurring2_based on steps'!$B236:$AY236,'recurring2_based on steps'!$B$1:$AY$1,Q$1)+SUMIFS('changes2_based on steps'!$B236:$U236,'changes2_based on steps'!$B$1:$U$1,Q$1)</f>
        <v>0</v>
      </c>
      <c r="R236" s="179">
        <f>SUMIFS('recurring2_based on steps'!$B236:$AY236,'recurring2_based on steps'!$B$1:$AY$1,R$1)+SUMIFS('changes2_based on steps'!$B236:$U236,'changes2_based on steps'!$B$1:$U$1,R$1)</f>
        <v>0</v>
      </c>
      <c r="S236" s="179">
        <f>SUMIFS('recurring2_based on steps'!$B236:$AY236,'recurring2_based on steps'!$B$1:$AY$1,S$1)+SUMIFS('changes2_based on steps'!$B236:$U236,'changes2_based on steps'!$B$1:$U$1,S$1)</f>
        <v>0</v>
      </c>
      <c r="T236" s="179">
        <f>SUMIFS('recurring2_based on steps'!$B236:$AY236,'recurring2_based on steps'!$B$1:$AY$1,T$1)+SUMIFS('changes2_based on steps'!$B236:$U236,'changes2_based on steps'!$B$1:$U$1,T$1)</f>
        <v>0</v>
      </c>
      <c r="U236" s="179">
        <f>SUMIFS('recurring2_based on steps'!$B236:$AY236,'recurring2_based on steps'!$B$1:$AY$1,U$1)+SUMIFS('changes2_based on steps'!$B236:$U236,'changes2_based on steps'!$B$1:$U$1,U$1)</f>
        <v>0</v>
      </c>
      <c r="V236" s="179">
        <f>SUMIFS('recurring2_based on steps'!$B236:$AY236,'recurring2_based on steps'!$B$1:$AY$1,V$1)+SUMIFS('changes2_based on steps'!$B236:$U236,'changes2_based on steps'!$B$1:$U$1,V$1)</f>
        <v>0</v>
      </c>
      <c r="W236" s="179">
        <f>SUMIFS('recurring2_based on steps'!$B236:$AY236,'recurring2_based on steps'!$B$1:$AY$1,W$1)+SUMIFS('changes2_based on steps'!$B236:$U236,'changes2_based on steps'!$B$1:$U$1,W$1)</f>
        <v>0</v>
      </c>
      <c r="X236" s="179">
        <f>SUMIFS('recurring2_based on steps'!$B236:$AY236,'recurring2_based on steps'!$B$1:$AY$1,X$1)+SUMIFS('changes2_based on steps'!$B236:$U236,'changes2_based on steps'!$B$1:$U$1,X$1)</f>
        <v>0</v>
      </c>
      <c r="Y236" s="179">
        <f>SUMIFS('recurring2_based on steps'!$B236:$AY236,'recurring2_based on steps'!$B$1:$AY$1,Y$1)+SUMIFS('changes2_based on steps'!$B236:$U236,'changes2_based on steps'!$B$1:$U$1,Y$1)</f>
        <v>0</v>
      </c>
      <c r="Z236" s="179">
        <f>SUMIFS('recurring2_based on steps'!$B236:$AY236,'recurring2_based on steps'!$B$1:$AY$1,Z$1)+SUMIFS('changes2_based on steps'!$B236:$U236,'changes2_based on steps'!$B$1:$U$1,Z$1)</f>
        <v>0</v>
      </c>
      <c r="AA236" s="179">
        <f>SUMIFS('recurring2_based on steps'!$B236:$AY236,'recurring2_based on steps'!$B$1:$AY$1,AA$1)+SUMIFS('changes2_based on steps'!$B236:$U236,'changes2_based on steps'!$B$1:$U$1,AA$1)</f>
        <v>0</v>
      </c>
      <c r="AB236" s="179">
        <f>SUMIFS('recurring2_based on steps'!$B236:$AY236,'recurring2_based on steps'!$B$1:$AY$1,AB$1)+SUMIFS('changes2_based on steps'!$B236:$U236,'changes2_based on steps'!$B$1:$U$1,AB$1)</f>
        <v>0</v>
      </c>
      <c r="AC236" s="179">
        <f>SUMIFS('recurring2_based on steps'!$B236:$AY236,'recurring2_based on steps'!$B$1:$AY$1,AC$1)+SUMIFS('changes2_based on steps'!$B236:$U236,'changes2_based on steps'!$B$1:$U$1,AC$1)</f>
        <v>0</v>
      </c>
      <c r="AD236" s="179">
        <f>SUMIFS('recurring2_based on steps'!$B236:$AY236,'recurring2_based on steps'!$B$1:$AY$1,AD$1)+SUMIFS('changes2_based on steps'!$B236:$U236,'changes2_based on steps'!$B$1:$U$1,AD$1)</f>
        <v>0</v>
      </c>
      <c r="AE236" s="179">
        <f>SUMIFS('recurring2_based on steps'!$B236:$AY236,'recurring2_based on steps'!$B$1:$AY$1,AE$1)+SUMIFS('changes2_based on steps'!$B236:$U236,'changes2_based on steps'!$B$1:$U$1,AE$1)</f>
        <v>0</v>
      </c>
      <c r="AF236" s="179"/>
      <c r="AG236" s="179"/>
      <c r="AH236" s="179"/>
      <c r="AI236" s="179"/>
      <c r="AJ236" s="179"/>
      <c r="AK236" s="179"/>
      <c r="AL236" s="179"/>
      <c r="AM236" s="179"/>
    </row>
    <row r="237" spans="1:39" x14ac:dyDescent="0.2">
      <c r="A237" s="32">
        <f t="shared" ca="1" si="3"/>
        <v>45986</v>
      </c>
      <c r="B237" s="179">
        <f>SUMIFS('recurring2_based on steps'!$B237:$AY237,'recurring2_based on steps'!$B$1:$AY$1,B$1)+SUMIFS('changes2_based on steps'!$B237:$U237,'changes2_based on steps'!$B$1:$U$1,B$1)</f>
        <v>0</v>
      </c>
      <c r="C237" s="179">
        <f>SUMIFS('recurring2_based on steps'!$B237:$AY237,'recurring2_based on steps'!$B$1:$AY$1,C$1)+SUMIFS('changes2_based on steps'!$B237:$U237,'changes2_based on steps'!$B$1:$U$1,C$1)</f>
        <v>0</v>
      </c>
      <c r="D237" s="179">
        <f>SUMIFS('recurring2_based on steps'!$B237:$AY237,'recurring2_based on steps'!$B$1:$AY$1,D$1)+SUMIFS('changes2_based on steps'!$B237:$U237,'changes2_based on steps'!$B$1:$U$1,D$1)</f>
        <v>0</v>
      </c>
      <c r="E237" s="179">
        <f>SUMIFS('recurring2_based on steps'!$B237:$AY237,'recurring2_based on steps'!$B$1:$AY$1,E$1)+SUMIFS('changes2_based on steps'!$B237:$U237,'changes2_based on steps'!$B$1:$U$1,E$1)</f>
        <v>0</v>
      </c>
      <c r="F237" s="179">
        <f>SUMIFS('recurring2_based on steps'!$B237:$AY237,'recurring2_based on steps'!$B$1:$AY$1,F$1)+SUMIFS('changes2_based on steps'!$B237:$U237,'changes2_based on steps'!$B$1:$U$1,F$1)</f>
        <v>0</v>
      </c>
      <c r="G237" s="179">
        <f>SUMIFS('recurring2_based on steps'!$B237:$AY237,'recurring2_based on steps'!$B$1:$AY$1,G$1)+SUMIFS('changes2_based on steps'!$B237:$U237,'changes2_based on steps'!$B$1:$U$1,G$1)</f>
        <v>0</v>
      </c>
      <c r="H237" s="179">
        <f>SUMIFS('recurring2_based on steps'!$B237:$AY237,'recurring2_based on steps'!$B$1:$AY$1,H$1)+SUMIFS('changes2_based on steps'!$B237:$U237,'changes2_based on steps'!$B$1:$U$1,H$1)</f>
        <v>0</v>
      </c>
      <c r="I237" s="179">
        <f>SUMIFS('recurring2_based on steps'!$B237:$AY237,'recurring2_based on steps'!$B$1:$AY$1,I$1)+SUMIFS('changes2_based on steps'!$B237:$U237,'changes2_based on steps'!$B$1:$U$1,I$1)</f>
        <v>0</v>
      </c>
      <c r="J237" s="179">
        <f>SUMIFS('recurring2_based on steps'!$B237:$AY237,'recurring2_based on steps'!$B$1:$AY$1,J$1)+SUMIFS('changes2_based on steps'!$B237:$U237,'changes2_based on steps'!$B$1:$U$1,J$1)</f>
        <v>0</v>
      </c>
      <c r="K237" s="179">
        <f>SUMIFS('recurring2_based on steps'!$B237:$AY237,'recurring2_based on steps'!$B$1:$AY$1,K$1)+SUMIFS('changes2_based on steps'!$B237:$U237,'changes2_based on steps'!$B$1:$U$1,K$1)</f>
        <v>0</v>
      </c>
      <c r="L237" s="179">
        <f>SUMIFS('recurring2_based on steps'!$B237:$AY237,'recurring2_based on steps'!$B$1:$AY$1,L$1)+SUMIFS('changes2_based on steps'!$B237:$U237,'changes2_based on steps'!$B$1:$U$1,L$1)</f>
        <v>0</v>
      </c>
      <c r="M237" s="179">
        <f>SUMIFS('recurring2_based on steps'!$B237:$AY237,'recurring2_based on steps'!$B$1:$AY$1,M$1)+SUMIFS('changes2_based on steps'!$B237:$U237,'changes2_based on steps'!$B$1:$U$1,M$1)</f>
        <v>0</v>
      </c>
      <c r="N237" s="179">
        <f>SUMIFS('recurring2_based on steps'!$B237:$AY237,'recurring2_based on steps'!$B$1:$AY$1,N$1)+SUMIFS('changes2_based on steps'!$B237:$U237,'changes2_based on steps'!$B$1:$U$1,N$1)</f>
        <v>0</v>
      </c>
      <c r="O237" s="179">
        <f>SUMIFS('recurring2_based on steps'!$B237:$AY237,'recurring2_based on steps'!$B$1:$AY$1,O$1)+SUMIFS('changes2_based on steps'!$B237:$U237,'changes2_based on steps'!$B$1:$U$1,O$1)</f>
        <v>0</v>
      </c>
      <c r="P237" s="179">
        <f>SUMIFS('recurring2_based on steps'!$B237:$AY237,'recurring2_based on steps'!$B$1:$AY$1,P$1)+SUMIFS('changes2_based on steps'!$B237:$U237,'changes2_based on steps'!$B$1:$U$1,P$1)</f>
        <v>0</v>
      </c>
      <c r="Q237" s="179">
        <f>SUMIFS('recurring2_based on steps'!$B237:$AY237,'recurring2_based on steps'!$B$1:$AY$1,Q$1)+SUMIFS('changes2_based on steps'!$B237:$U237,'changes2_based on steps'!$B$1:$U$1,Q$1)</f>
        <v>0</v>
      </c>
      <c r="R237" s="179">
        <f>SUMIFS('recurring2_based on steps'!$B237:$AY237,'recurring2_based on steps'!$B$1:$AY$1,R$1)+SUMIFS('changes2_based on steps'!$B237:$U237,'changes2_based on steps'!$B$1:$U$1,R$1)</f>
        <v>0</v>
      </c>
      <c r="S237" s="179">
        <f>SUMIFS('recurring2_based on steps'!$B237:$AY237,'recurring2_based on steps'!$B$1:$AY$1,S$1)+SUMIFS('changes2_based on steps'!$B237:$U237,'changes2_based on steps'!$B$1:$U$1,S$1)</f>
        <v>0</v>
      </c>
      <c r="T237" s="179">
        <f>SUMIFS('recurring2_based on steps'!$B237:$AY237,'recurring2_based on steps'!$B$1:$AY$1,T$1)+SUMIFS('changes2_based on steps'!$B237:$U237,'changes2_based on steps'!$B$1:$U$1,T$1)</f>
        <v>0</v>
      </c>
      <c r="U237" s="179">
        <f>SUMIFS('recurring2_based on steps'!$B237:$AY237,'recurring2_based on steps'!$B$1:$AY$1,U$1)+SUMIFS('changes2_based on steps'!$B237:$U237,'changes2_based on steps'!$B$1:$U$1,U$1)</f>
        <v>0</v>
      </c>
      <c r="V237" s="179">
        <f>SUMIFS('recurring2_based on steps'!$B237:$AY237,'recurring2_based on steps'!$B$1:$AY$1,V$1)+SUMIFS('changes2_based on steps'!$B237:$U237,'changes2_based on steps'!$B$1:$U$1,V$1)</f>
        <v>0</v>
      </c>
      <c r="W237" s="179">
        <f>SUMIFS('recurring2_based on steps'!$B237:$AY237,'recurring2_based on steps'!$B$1:$AY$1,W$1)+SUMIFS('changes2_based on steps'!$B237:$U237,'changes2_based on steps'!$B$1:$U$1,W$1)</f>
        <v>0</v>
      </c>
      <c r="X237" s="179">
        <f>SUMIFS('recurring2_based on steps'!$B237:$AY237,'recurring2_based on steps'!$B$1:$AY$1,X$1)+SUMIFS('changes2_based on steps'!$B237:$U237,'changes2_based on steps'!$B$1:$U$1,X$1)</f>
        <v>0</v>
      </c>
      <c r="Y237" s="179">
        <f>SUMIFS('recurring2_based on steps'!$B237:$AY237,'recurring2_based on steps'!$B$1:$AY$1,Y$1)+SUMIFS('changes2_based on steps'!$B237:$U237,'changes2_based on steps'!$B$1:$U$1,Y$1)</f>
        <v>0</v>
      </c>
      <c r="Z237" s="179">
        <f>SUMIFS('recurring2_based on steps'!$B237:$AY237,'recurring2_based on steps'!$B$1:$AY$1,Z$1)+SUMIFS('changes2_based on steps'!$B237:$U237,'changes2_based on steps'!$B$1:$U$1,Z$1)</f>
        <v>0</v>
      </c>
      <c r="AA237" s="179">
        <f>SUMIFS('recurring2_based on steps'!$B237:$AY237,'recurring2_based on steps'!$B$1:$AY$1,AA$1)+SUMIFS('changes2_based on steps'!$B237:$U237,'changes2_based on steps'!$B$1:$U$1,AA$1)</f>
        <v>0</v>
      </c>
      <c r="AB237" s="179">
        <f>SUMIFS('recurring2_based on steps'!$B237:$AY237,'recurring2_based on steps'!$B$1:$AY$1,AB$1)+SUMIFS('changes2_based on steps'!$B237:$U237,'changes2_based on steps'!$B$1:$U$1,AB$1)</f>
        <v>0</v>
      </c>
      <c r="AC237" s="179">
        <f>SUMIFS('recurring2_based on steps'!$B237:$AY237,'recurring2_based on steps'!$B$1:$AY$1,AC$1)+SUMIFS('changes2_based on steps'!$B237:$U237,'changes2_based on steps'!$B$1:$U$1,AC$1)</f>
        <v>0</v>
      </c>
      <c r="AD237" s="179">
        <f>SUMIFS('recurring2_based on steps'!$B237:$AY237,'recurring2_based on steps'!$B$1:$AY$1,AD$1)+SUMIFS('changes2_based on steps'!$B237:$U237,'changes2_based on steps'!$B$1:$U$1,AD$1)</f>
        <v>0</v>
      </c>
      <c r="AE237" s="179">
        <f>SUMIFS('recurring2_based on steps'!$B237:$AY237,'recurring2_based on steps'!$B$1:$AY$1,AE$1)+SUMIFS('changes2_based on steps'!$B237:$U237,'changes2_based on steps'!$B$1:$U$1,AE$1)</f>
        <v>0</v>
      </c>
      <c r="AF237" s="179"/>
      <c r="AG237" s="179"/>
      <c r="AH237" s="179"/>
      <c r="AI237" s="179"/>
      <c r="AJ237" s="179"/>
      <c r="AK237" s="179"/>
      <c r="AL237" s="179"/>
      <c r="AM237" s="179"/>
    </row>
    <row r="238" spans="1:39" x14ac:dyDescent="0.2">
      <c r="A238" s="32">
        <f t="shared" ca="1" si="3"/>
        <v>45987</v>
      </c>
      <c r="B238" s="179">
        <f>SUMIFS('recurring2_based on steps'!$B238:$AY238,'recurring2_based on steps'!$B$1:$AY$1,B$1)+SUMIFS('changes2_based on steps'!$B238:$U238,'changes2_based on steps'!$B$1:$U$1,B$1)</f>
        <v>0</v>
      </c>
      <c r="C238" s="179">
        <f>SUMIFS('recurring2_based on steps'!$B238:$AY238,'recurring2_based on steps'!$B$1:$AY$1,C$1)+SUMIFS('changes2_based on steps'!$B238:$U238,'changes2_based on steps'!$B$1:$U$1,C$1)</f>
        <v>0</v>
      </c>
      <c r="D238" s="179">
        <f>SUMIFS('recurring2_based on steps'!$B238:$AY238,'recurring2_based on steps'!$B$1:$AY$1,D$1)+SUMIFS('changes2_based on steps'!$B238:$U238,'changes2_based on steps'!$B$1:$U$1,D$1)</f>
        <v>0</v>
      </c>
      <c r="E238" s="179">
        <f>SUMIFS('recurring2_based on steps'!$B238:$AY238,'recurring2_based on steps'!$B$1:$AY$1,E$1)+SUMIFS('changes2_based on steps'!$B238:$U238,'changes2_based on steps'!$B$1:$U$1,E$1)</f>
        <v>0</v>
      </c>
      <c r="F238" s="179">
        <f>SUMIFS('recurring2_based on steps'!$B238:$AY238,'recurring2_based on steps'!$B$1:$AY$1,F$1)+SUMIFS('changes2_based on steps'!$B238:$U238,'changes2_based on steps'!$B$1:$U$1,F$1)</f>
        <v>0</v>
      </c>
      <c r="G238" s="179">
        <f>SUMIFS('recurring2_based on steps'!$B238:$AY238,'recurring2_based on steps'!$B$1:$AY$1,G$1)+SUMIFS('changes2_based on steps'!$B238:$U238,'changes2_based on steps'!$B$1:$U$1,G$1)</f>
        <v>0</v>
      </c>
      <c r="H238" s="179">
        <f>SUMIFS('recurring2_based on steps'!$B238:$AY238,'recurring2_based on steps'!$B$1:$AY$1,H$1)+SUMIFS('changes2_based on steps'!$B238:$U238,'changes2_based on steps'!$B$1:$U$1,H$1)</f>
        <v>0</v>
      </c>
      <c r="I238" s="179">
        <f>SUMIFS('recurring2_based on steps'!$B238:$AY238,'recurring2_based on steps'!$B$1:$AY$1,I$1)+SUMIFS('changes2_based on steps'!$B238:$U238,'changes2_based on steps'!$B$1:$U$1,I$1)</f>
        <v>0</v>
      </c>
      <c r="J238" s="179">
        <f>SUMIFS('recurring2_based on steps'!$B238:$AY238,'recurring2_based on steps'!$B$1:$AY$1,J$1)+SUMIFS('changes2_based on steps'!$B238:$U238,'changes2_based on steps'!$B$1:$U$1,J$1)</f>
        <v>0</v>
      </c>
      <c r="K238" s="179">
        <f>SUMIFS('recurring2_based on steps'!$B238:$AY238,'recurring2_based on steps'!$B$1:$AY$1,K$1)+SUMIFS('changes2_based on steps'!$B238:$U238,'changes2_based on steps'!$B$1:$U$1,K$1)</f>
        <v>0</v>
      </c>
      <c r="L238" s="179">
        <f>SUMIFS('recurring2_based on steps'!$B238:$AY238,'recurring2_based on steps'!$B$1:$AY$1,L$1)+SUMIFS('changes2_based on steps'!$B238:$U238,'changes2_based on steps'!$B$1:$U$1,L$1)</f>
        <v>0</v>
      </c>
      <c r="M238" s="179">
        <f>SUMIFS('recurring2_based on steps'!$B238:$AY238,'recurring2_based on steps'!$B$1:$AY$1,M$1)+SUMIFS('changes2_based on steps'!$B238:$U238,'changes2_based on steps'!$B$1:$U$1,M$1)</f>
        <v>0</v>
      </c>
      <c r="N238" s="179">
        <f>SUMIFS('recurring2_based on steps'!$B238:$AY238,'recurring2_based on steps'!$B$1:$AY$1,N$1)+SUMIFS('changes2_based on steps'!$B238:$U238,'changes2_based on steps'!$B$1:$U$1,N$1)</f>
        <v>0</v>
      </c>
      <c r="O238" s="179">
        <f>SUMIFS('recurring2_based on steps'!$B238:$AY238,'recurring2_based on steps'!$B$1:$AY$1,O$1)+SUMIFS('changes2_based on steps'!$B238:$U238,'changes2_based on steps'!$B$1:$U$1,O$1)</f>
        <v>0</v>
      </c>
      <c r="P238" s="179">
        <f>SUMIFS('recurring2_based on steps'!$B238:$AY238,'recurring2_based on steps'!$B$1:$AY$1,P$1)+SUMIFS('changes2_based on steps'!$B238:$U238,'changes2_based on steps'!$B$1:$U$1,P$1)</f>
        <v>0</v>
      </c>
      <c r="Q238" s="179">
        <f>SUMIFS('recurring2_based on steps'!$B238:$AY238,'recurring2_based on steps'!$B$1:$AY$1,Q$1)+SUMIFS('changes2_based on steps'!$B238:$U238,'changes2_based on steps'!$B$1:$U$1,Q$1)</f>
        <v>0</v>
      </c>
      <c r="R238" s="179">
        <f>SUMIFS('recurring2_based on steps'!$B238:$AY238,'recurring2_based on steps'!$B$1:$AY$1,R$1)+SUMIFS('changes2_based on steps'!$B238:$U238,'changes2_based on steps'!$B$1:$U$1,R$1)</f>
        <v>0</v>
      </c>
      <c r="S238" s="179">
        <f>SUMIFS('recurring2_based on steps'!$B238:$AY238,'recurring2_based on steps'!$B$1:$AY$1,S$1)+SUMIFS('changes2_based on steps'!$B238:$U238,'changes2_based on steps'!$B$1:$U$1,S$1)</f>
        <v>0</v>
      </c>
      <c r="T238" s="179">
        <f>SUMIFS('recurring2_based on steps'!$B238:$AY238,'recurring2_based on steps'!$B$1:$AY$1,T$1)+SUMIFS('changes2_based on steps'!$B238:$U238,'changes2_based on steps'!$B$1:$U$1,T$1)</f>
        <v>0</v>
      </c>
      <c r="U238" s="179">
        <f>SUMIFS('recurring2_based on steps'!$B238:$AY238,'recurring2_based on steps'!$B$1:$AY$1,U$1)+SUMIFS('changes2_based on steps'!$B238:$U238,'changes2_based on steps'!$B$1:$U$1,U$1)</f>
        <v>0</v>
      </c>
      <c r="V238" s="179">
        <f>SUMIFS('recurring2_based on steps'!$B238:$AY238,'recurring2_based on steps'!$B$1:$AY$1,V$1)+SUMIFS('changes2_based on steps'!$B238:$U238,'changes2_based on steps'!$B$1:$U$1,V$1)</f>
        <v>0</v>
      </c>
      <c r="W238" s="179">
        <f>SUMIFS('recurring2_based on steps'!$B238:$AY238,'recurring2_based on steps'!$B$1:$AY$1,W$1)+SUMIFS('changes2_based on steps'!$B238:$U238,'changes2_based on steps'!$B$1:$U$1,W$1)</f>
        <v>0</v>
      </c>
      <c r="X238" s="179">
        <f>SUMIFS('recurring2_based on steps'!$B238:$AY238,'recurring2_based on steps'!$B$1:$AY$1,X$1)+SUMIFS('changes2_based on steps'!$B238:$U238,'changes2_based on steps'!$B$1:$U$1,X$1)</f>
        <v>0</v>
      </c>
      <c r="Y238" s="179">
        <f>SUMIFS('recurring2_based on steps'!$B238:$AY238,'recurring2_based on steps'!$B$1:$AY$1,Y$1)+SUMIFS('changes2_based on steps'!$B238:$U238,'changes2_based on steps'!$B$1:$U$1,Y$1)</f>
        <v>0</v>
      </c>
      <c r="Z238" s="179">
        <f>SUMIFS('recurring2_based on steps'!$B238:$AY238,'recurring2_based on steps'!$B$1:$AY$1,Z$1)+SUMIFS('changes2_based on steps'!$B238:$U238,'changes2_based on steps'!$B$1:$U$1,Z$1)</f>
        <v>0</v>
      </c>
      <c r="AA238" s="179">
        <f>SUMIFS('recurring2_based on steps'!$B238:$AY238,'recurring2_based on steps'!$B$1:$AY$1,AA$1)+SUMIFS('changes2_based on steps'!$B238:$U238,'changes2_based on steps'!$B$1:$U$1,AA$1)</f>
        <v>0</v>
      </c>
      <c r="AB238" s="179">
        <f>SUMIFS('recurring2_based on steps'!$B238:$AY238,'recurring2_based on steps'!$B$1:$AY$1,AB$1)+SUMIFS('changes2_based on steps'!$B238:$U238,'changes2_based on steps'!$B$1:$U$1,AB$1)</f>
        <v>0</v>
      </c>
      <c r="AC238" s="179">
        <f>SUMIFS('recurring2_based on steps'!$B238:$AY238,'recurring2_based on steps'!$B$1:$AY$1,AC$1)+SUMIFS('changes2_based on steps'!$B238:$U238,'changes2_based on steps'!$B$1:$U$1,AC$1)</f>
        <v>0</v>
      </c>
      <c r="AD238" s="179">
        <f>SUMIFS('recurring2_based on steps'!$B238:$AY238,'recurring2_based on steps'!$B$1:$AY$1,AD$1)+SUMIFS('changes2_based on steps'!$B238:$U238,'changes2_based on steps'!$B$1:$U$1,AD$1)</f>
        <v>0</v>
      </c>
      <c r="AE238" s="179">
        <f>SUMIFS('recurring2_based on steps'!$B238:$AY238,'recurring2_based on steps'!$B$1:$AY$1,AE$1)+SUMIFS('changes2_based on steps'!$B238:$U238,'changes2_based on steps'!$B$1:$U$1,AE$1)</f>
        <v>0</v>
      </c>
      <c r="AF238" s="179"/>
      <c r="AG238" s="179"/>
      <c r="AH238" s="179"/>
      <c r="AI238" s="179"/>
      <c r="AJ238" s="179"/>
      <c r="AK238" s="179"/>
      <c r="AL238" s="179"/>
      <c r="AM238" s="179"/>
    </row>
    <row r="239" spans="1:39" x14ac:dyDescent="0.2">
      <c r="A239" s="32">
        <f t="shared" ca="1" si="3"/>
        <v>45988</v>
      </c>
      <c r="B239" s="179">
        <f>SUMIFS('recurring2_based on steps'!$B239:$AY239,'recurring2_based on steps'!$B$1:$AY$1,B$1)+SUMIFS('changes2_based on steps'!$B239:$U239,'changes2_based on steps'!$B$1:$U$1,B$1)</f>
        <v>0</v>
      </c>
      <c r="C239" s="179">
        <f>SUMIFS('recurring2_based on steps'!$B239:$AY239,'recurring2_based on steps'!$B$1:$AY$1,C$1)+SUMIFS('changes2_based on steps'!$B239:$U239,'changes2_based on steps'!$B$1:$U$1,C$1)</f>
        <v>0</v>
      </c>
      <c r="D239" s="179">
        <f>SUMIFS('recurring2_based on steps'!$B239:$AY239,'recurring2_based on steps'!$B$1:$AY$1,D$1)+SUMIFS('changes2_based on steps'!$B239:$U239,'changes2_based on steps'!$B$1:$U$1,D$1)</f>
        <v>0</v>
      </c>
      <c r="E239" s="179">
        <f>SUMIFS('recurring2_based on steps'!$B239:$AY239,'recurring2_based on steps'!$B$1:$AY$1,E$1)+SUMIFS('changes2_based on steps'!$B239:$U239,'changes2_based on steps'!$B$1:$U$1,E$1)</f>
        <v>0</v>
      </c>
      <c r="F239" s="179">
        <f>SUMIFS('recurring2_based on steps'!$B239:$AY239,'recurring2_based on steps'!$B$1:$AY$1,F$1)+SUMIFS('changes2_based on steps'!$B239:$U239,'changes2_based on steps'!$B$1:$U$1,F$1)</f>
        <v>0</v>
      </c>
      <c r="G239" s="179">
        <f>SUMIFS('recurring2_based on steps'!$B239:$AY239,'recurring2_based on steps'!$B$1:$AY$1,G$1)+SUMIFS('changes2_based on steps'!$B239:$U239,'changes2_based on steps'!$B$1:$U$1,G$1)</f>
        <v>0</v>
      </c>
      <c r="H239" s="179">
        <f>SUMIFS('recurring2_based on steps'!$B239:$AY239,'recurring2_based on steps'!$B$1:$AY$1,H$1)+SUMIFS('changes2_based on steps'!$B239:$U239,'changes2_based on steps'!$B$1:$U$1,H$1)</f>
        <v>0</v>
      </c>
      <c r="I239" s="179">
        <f>SUMIFS('recurring2_based on steps'!$B239:$AY239,'recurring2_based on steps'!$B$1:$AY$1,I$1)+SUMIFS('changes2_based on steps'!$B239:$U239,'changes2_based on steps'!$B$1:$U$1,I$1)</f>
        <v>0</v>
      </c>
      <c r="J239" s="179">
        <f>SUMIFS('recurring2_based on steps'!$B239:$AY239,'recurring2_based on steps'!$B$1:$AY$1,J$1)+SUMIFS('changes2_based on steps'!$B239:$U239,'changes2_based on steps'!$B$1:$U$1,J$1)</f>
        <v>0</v>
      </c>
      <c r="K239" s="179">
        <f>SUMIFS('recurring2_based on steps'!$B239:$AY239,'recurring2_based on steps'!$B$1:$AY$1,K$1)+SUMIFS('changes2_based on steps'!$B239:$U239,'changes2_based on steps'!$B$1:$U$1,K$1)</f>
        <v>0</v>
      </c>
      <c r="L239" s="179">
        <f>SUMIFS('recurring2_based on steps'!$B239:$AY239,'recurring2_based on steps'!$B$1:$AY$1,L$1)+SUMIFS('changes2_based on steps'!$B239:$U239,'changes2_based on steps'!$B$1:$U$1,L$1)</f>
        <v>0</v>
      </c>
      <c r="M239" s="179">
        <f>SUMIFS('recurring2_based on steps'!$B239:$AY239,'recurring2_based on steps'!$B$1:$AY$1,M$1)+SUMIFS('changes2_based on steps'!$B239:$U239,'changes2_based on steps'!$B$1:$U$1,M$1)</f>
        <v>0</v>
      </c>
      <c r="N239" s="179">
        <f>SUMIFS('recurring2_based on steps'!$B239:$AY239,'recurring2_based on steps'!$B$1:$AY$1,N$1)+SUMIFS('changes2_based on steps'!$B239:$U239,'changes2_based on steps'!$B$1:$U$1,N$1)</f>
        <v>0</v>
      </c>
      <c r="O239" s="179">
        <f>SUMIFS('recurring2_based on steps'!$B239:$AY239,'recurring2_based on steps'!$B$1:$AY$1,O$1)+SUMIFS('changes2_based on steps'!$B239:$U239,'changes2_based on steps'!$B$1:$U$1,O$1)</f>
        <v>0</v>
      </c>
      <c r="P239" s="179">
        <f>SUMIFS('recurring2_based on steps'!$B239:$AY239,'recurring2_based on steps'!$B$1:$AY$1,P$1)+SUMIFS('changes2_based on steps'!$B239:$U239,'changes2_based on steps'!$B$1:$U$1,P$1)</f>
        <v>0</v>
      </c>
      <c r="Q239" s="179">
        <f>SUMIFS('recurring2_based on steps'!$B239:$AY239,'recurring2_based on steps'!$B$1:$AY$1,Q$1)+SUMIFS('changes2_based on steps'!$B239:$U239,'changes2_based on steps'!$B$1:$U$1,Q$1)</f>
        <v>0</v>
      </c>
      <c r="R239" s="179">
        <f>SUMIFS('recurring2_based on steps'!$B239:$AY239,'recurring2_based on steps'!$B$1:$AY$1,R$1)+SUMIFS('changes2_based on steps'!$B239:$U239,'changes2_based on steps'!$B$1:$U$1,R$1)</f>
        <v>0</v>
      </c>
      <c r="S239" s="179">
        <f>SUMIFS('recurring2_based on steps'!$B239:$AY239,'recurring2_based on steps'!$B$1:$AY$1,S$1)+SUMIFS('changes2_based on steps'!$B239:$U239,'changes2_based on steps'!$B$1:$U$1,S$1)</f>
        <v>0</v>
      </c>
      <c r="T239" s="179">
        <f>SUMIFS('recurring2_based on steps'!$B239:$AY239,'recurring2_based on steps'!$B$1:$AY$1,T$1)+SUMIFS('changes2_based on steps'!$B239:$U239,'changes2_based on steps'!$B$1:$U$1,T$1)</f>
        <v>0</v>
      </c>
      <c r="U239" s="179">
        <f>SUMIFS('recurring2_based on steps'!$B239:$AY239,'recurring2_based on steps'!$B$1:$AY$1,U$1)+SUMIFS('changes2_based on steps'!$B239:$U239,'changes2_based on steps'!$B$1:$U$1,U$1)</f>
        <v>0</v>
      </c>
      <c r="V239" s="179">
        <f>SUMIFS('recurring2_based on steps'!$B239:$AY239,'recurring2_based on steps'!$B$1:$AY$1,V$1)+SUMIFS('changes2_based on steps'!$B239:$U239,'changes2_based on steps'!$B$1:$U$1,V$1)</f>
        <v>0</v>
      </c>
      <c r="W239" s="179">
        <f>SUMIFS('recurring2_based on steps'!$B239:$AY239,'recurring2_based on steps'!$B$1:$AY$1,W$1)+SUMIFS('changes2_based on steps'!$B239:$U239,'changes2_based on steps'!$B$1:$U$1,W$1)</f>
        <v>0</v>
      </c>
      <c r="X239" s="179">
        <f>SUMIFS('recurring2_based on steps'!$B239:$AY239,'recurring2_based on steps'!$B$1:$AY$1,X$1)+SUMIFS('changes2_based on steps'!$B239:$U239,'changes2_based on steps'!$B$1:$U$1,X$1)</f>
        <v>0</v>
      </c>
      <c r="Y239" s="179">
        <f>SUMIFS('recurring2_based on steps'!$B239:$AY239,'recurring2_based on steps'!$B$1:$AY$1,Y$1)+SUMIFS('changes2_based on steps'!$B239:$U239,'changes2_based on steps'!$B$1:$U$1,Y$1)</f>
        <v>0</v>
      </c>
      <c r="Z239" s="179">
        <f>SUMIFS('recurring2_based on steps'!$B239:$AY239,'recurring2_based on steps'!$B$1:$AY$1,Z$1)+SUMIFS('changes2_based on steps'!$B239:$U239,'changes2_based on steps'!$B$1:$U$1,Z$1)</f>
        <v>0</v>
      </c>
      <c r="AA239" s="179">
        <f>SUMIFS('recurring2_based on steps'!$B239:$AY239,'recurring2_based on steps'!$B$1:$AY$1,AA$1)+SUMIFS('changes2_based on steps'!$B239:$U239,'changes2_based on steps'!$B$1:$U$1,AA$1)</f>
        <v>0</v>
      </c>
      <c r="AB239" s="179">
        <f>SUMIFS('recurring2_based on steps'!$B239:$AY239,'recurring2_based on steps'!$B$1:$AY$1,AB$1)+SUMIFS('changes2_based on steps'!$B239:$U239,'changes2_based on steps'!$B$1:$U$1,AB$1)</f>
        <v>0</v>
      </c>
      <c r="AC239" s="179">
        <f>SUMIFS('recurring2_based on steps'!$B239:$AY239,'recurring2_based on steps'!$B$1:$AY$1,AC$1)+SUMIFS('changes2_based on steps'!$B239:$U239,'changes2_based on steps'!$B$1:$U$1,AC$1)</f>
        <v>0</v>
      </c>
      <c r="AD239" s="179">
        <f>SUMIFS('recurring2_based on steps'!$B239:$AY239,'recurring2_based on steps'!$B$1:$AY$1,AD$1)+SUMIFS('changes2_based on steps'!$B239:$U239,'changes2_based on steps'!$B$1:$U$1,AD$1)</f>
        <v>0</v>
      </c>
      <c r="AE239" s="179">
        <f>SUMIFS('recurring2_based on steps'!$B239:$AY239,'recurring2_based on steps'!$B$1:$AY$1,AE$1)+SUMIFS('changes2_based on steps'!$B239:$U239,'changes2_based on steps'!$B$1:$U$1,AE$1)</f>
        <v>0</v>
      </c>
      <c r="AF239" s="179"/>
      <c r="AG239" s="179"/>
      <c r="AH239" s="179"/>
      <c r="AI239" s="179"/>
      <c r="AJ239" s="179"/>
      <c r="AK239" s="179"/>
      <c r="AL239" s="179"/>
      <c r="AM239" s="179"/>
    </row>
    <row r="240" spans="1:39" x14ac:dyDescent="0.2">
      <c r="A240" s="32">
        <f t="shared" ca="1" si="3"/>
        <v>45989</v>
      </c>
      <c r="B240" s="179">
        <f>SUMIFS('recurring2_based on steps'!$B240:$AY240,'recurring2_based on steps'!$B$1:$AY$1,B$1)+SUMIFS('changes2_based on steps'!$B240:$U240,'changes2_based on steps'!$B$1:$U$1,B$1)</f>
        <v>0</v>
      </c>
      <c r="C240" s="179">
        <f>SUMIFS('recurring2_based on steps'!$B240:$AY240,'recurring2_based on steps'!$B$1:$AY$1,C$1)+SUMIFS('changes2_based on steps'!$B240:$U240,'changes2_based on steps'!$B$1:$U$1,C$1)</f>
        <v>0</v>
      </c>
      <c r="D240" s="179">
        <f>SUMIFS('recurring2_based on steps'!$B240:$AY240,'recurring2_based on steps'!$B$1:$AY$1,D$1)+SUMIFS('changes2_based on steps'!$B240:$U240,'changes2_based on steps'!$B$1:$U$1,D$1)</f>
        <v>0</v>
      </c>
      <c r="E240" s="179">
        <f>SUMIFS('recurring2_based on steps'!$B240:$AY240,'recurring2_based on steps'!$B$1:$AY$1,E$1)+SUMIFS('changes2_based on steps'!$B240:$U240,'changes2_based on steps'!$B$1:$U$1,E$1)</f>
        <v>0</v>
      </c>
      <c r="F240" s="179">
        <f>SUMIFS('recurring2_based on steps'!$B240:$AY240,'recurring2_based on steps'!$B$1:$AY$1,F$1)+SUMIFS('changes2_based on steps'!$B240:$U240,'changes2_based on steps'!$B$1:$U$1,F$1)</f>
        <v>0</v>
      </c>
      <c r="G240" s="179">
        <f>SUMIFS('recurring2_based on steps'!$B240:$AY240,'recurring2_based on steps'!$B$1:$AY$1,G$1)+SUMIFS('changes2_based on steps'!$B240:$U240,'changes2_based on steps'!$B$1:$U$1,G$1)</f>
        <v>0</v>
      </c>
      <c r="H240" s="179">
        <f>SUMIFS('recurring2_based on steps'!$B240:$AY240,'recurring2_based on steps'!$B$1:$AY$1,H$1)+SUMIFS('changes2_based on steps'!$B240:$U240,'changes2_based on steps'!$B$1:$U$1,H$1)</f>
        <v>0</v>
      </c>
      <c r="I240" s="179">
        <f>SUMIFS('recurring2_based on steps'!$B240:$AY240,'recurring2_based on steps'!$B$1:$AY$1,I$1)+SUMIFS('changes2_based on steps'!$B240:$U240,'changes2_based on steps'!$B$1:$U$1,I$1)</f>
        <v>0</v>
      </c>
      <c r="J240" s="179">
        <f>SUMIFS('recurring2_based on steps'!$B240:$AY240,'recurring2_based on steps'!$B$1:$AY$1,J$1)+SUMIFS('changes2_based on steps'!$B240:$U240,'changes2_based on steps'!$B$1:$U$1,J$1)</f>
        <v>0</v>
      </c>
      <c r="K240" s="179">
        <f>SUMIFS('recurring2_based on steps'!$B240:$AY240,'recurring2_based on steps'!$B$1:$AY$1,K$1)+SUMIFS('changes2_based on steps'!$B240:$U240,'changes2_based on steps'!$B$1:$U$1,K$1)</f>
        <v>0</v>
      </c>
      <c r="L240" s="179">
        <f>SUMIFS('recurring2_based on steps'!$B240:$AY240,'recurring2_based on steps'!$B$1:$AY$1,L$1)+SUMIFS('changes2_based on steps'!$B240:$U240,'changes2_based on steps'!$B$1:$U$1,L$1)</f>
        <v>0</v>
      </c>
      <c r="M240" s="179">
        <f>SUMIFS('recurring2_based on steps'!$B240:$AY240,'recurring2_based on steps'!$B$1:$AY$1,M$1)+SUMIFS('changes2_based on steps'!$B240:$U240,'changes2_based on steps'!$B$1:$U$1,M$1)</f>
        <v>0</v>
      </c>
      <c r="N240" s="179">
        <f>SUMIFS('recurring2_based on steps'!$B240:$AY240,'recurring2_based on steps'!$B$1:$AY$1,N$1)+SUMIFS('changes2_based on steps'!$B240:$U240,'changes2_based on steps'!$B$1:$U$1,N$1)</f>
        <v>0</v>
      </c>
      <c r="O240" s="179">
        <f>SUMIFS('recurring2_based on steps'!$B240:$AY240,'recurring2_based on steps'!$B$1:$AY$1,O$1)+SUMIFS('changes2_based on steps'!$B240:$U240,'changes2_based on steps'!$B$1:$U$1,O$1)</f>
        <v>0</v>
      </c>
      <c r="P240" s="179">
        <f>SUMIFS('recurring2_based on steps'!$B240:$AY240,'recurring2_based on steps'!$B$1:$AY$1,P$1)+SUMIFS('changes2_based on steps'!$B240:$U240,'changes2_based on steps'!$B$1:$U$1,P$1)</f>
        <v>0</v>
      </c>
      <c r="Q240" s="179">
        <f>SUMIFS('recurring2_based on steps'!$B240:$AY240,'recurring2_based on steps'!$B$1:$AY$1,Q$1)+SUMIFS('changes2_based on steps'!$B240:$U240,'changes2_based on steps'!$B$1:$U$1,Q$1)</f>
        <v>0</v>
      </c>
      <c r="R240" s="179">
        <f>SUMIFS('recurring2_based on steps'!$B240:$AY240,'recurring2_based on steps'!$B$1:$AY$1,R$1)+SUMIFS('changes2_based on steps'!$B240:$U240,'changes2_based on steps'!$B$1:$U$1,R$1)</f>
        <v>0</v>
      </c>
      <c r="S240" s="179">
        <f>SUMIFS('recurring2_based on steps'!$B240:$AY240,'recurring2_based on steps'!$B$1:$AY$1,S$1)+SUMIFS('changes2_based on steps'!$B240:$U240,'changes2_based on steps'!$B$1:$U$1,S$1)</f>
        <v>0</v>
      </c>
      <c r="T240" s="179">
        <f>SUMIFS('recurring2_based on steps'!$B240:$AY240,'recurring2_based on steps'!$B$1:$AY$1,T$1)+SUMIFS('changes2_based on steps'!$B240:$U240,'changes2_based on steps'!$B$1:$U$1,T$1)</f>
        <v>0</v>
      </c>
      <c r="U240" s="179">
        <f>SUMIFS('recurring2_based on steps'!$B240:$AY240,'recurring2_based on steps'!$B$1:$AY$1,U$1)+SUMIFS('changes2_based on steps'!$B240:$U240,'changes2_based on steps'!$B$1:$U$1,U$1)</f>
        <v>0</v>
      </c>
      <c r="V240" s="179">
        <f>SUMIFS('recurring2_based on steps'!$B240:$AY240,'recurring2_based on steps'!$B$1:$AY$1,V$1)+SUMIFS('changes2_based on steps'!$B240:$U240,'changes2_based on steps'!$B$1:$U$1,V$1)</f>
        <v>0</v>
      </c>
      <c r="W240" s="179">
        <f>SUMIFS('recurring2_based on steps'!$B240:$AY240,'recurring2_based on steps'!$B$1:$AY$1,W$1)+SUMIFS('changes2_based on steps'!$B240:$U240,'changes2_based on steps'!$B$1:$U$1,W$1)</f>
        <v>0</v>
      </c>
      <c r="X240" s="179">
        <f>SUMIFS('recurring2_based on steps'!$B240:$AY240,'recurring2_based on steps'!$B$1:$AY$1,X$1)+SUMIFS('changes2_based on steps'!$B240:$U240,'changes2_based on steps'!$B$1:$U$1,X$1)</f>
        <v>0</v>
      </c>
      <c r="Y240" s="179">
        <f>SUMIFS('recurring2_based on steps'!$B240:$AY240,'recurring2_based on steps'!$B$1:$AY$1,Y$1)+SUMIFS('changes2_based on steps'!$B240:$U240,'changes2_based on steps'!$B$1:$U$1,Y$1)</f>
        <v>0</v>
      </c>
      <c r="Z240" s="179">
        <f>SUMIFS('recurring2_based on steps'!$B240:$AY240,'recurring2_based on steps'!$B$1:$AY$1,Z$1)+SUMIFS('changes2_based on steps'!$B240:$U240,'changes2_based on steps'!$B$1:$U$1,Z$1)</f>
        <v>0</v>
      </c>
      <c r="AA240" s="179">
        <f>SUMIFS('recurring2_based on steps'!$B240:$AY240,'recurring2_based on steps'!$B$1:$AY$1,AA$1)+SUMIFS('changes2_based on steps'!$B240:$U240,'changes2_based on steps'!$B$1:$U$1,AA$1)</f>
        <v>0</v>
      </c>
      <c r="AB240" s="179">
        <f>SUMIFS('recurring2_based on steps'!$B240:$AY240,'recurring2_based on steps'!$B$1:$AY$1,AB$1)+SUMIFS('changes2_based on steps'!$B240:$U240,'changes2_based on steps'!$B$1:$U$1,AB$1)</f>
        <v>0</v>
      </c>
      <c r="AC240" s="179">
        <f>SUMIFS('recurring2_based on steps'!$B240:$AY240,'recurring2_based on steps'!$B$1:$AY$1,AC$1)+SUMIFS('changes2_based on steps'!$B240:$U240,'changes2_based on steps'!$B$1:$U$1,AC$1)</f>
        <v>0</v>
      </c>
      <c r="AD240" s="179">
        <f>SUMIFS('recurring2_based on steps'!$B240:$AY240,'recurring2_based on steps'!$B$1:$AY$1,AD$1)+SUMIFS('changes2_based on steps'!$B240:$U240,'changes2_based on steps'!$B$1:$U$1,AD$1)</f>
        <v>0</v>
      </c>
      <c r="AE240" s="179">
        <f>SUMIFS('recurring2_based on steps'!$B240:$AY240,'recurring2_based on steps'!$B$1:$AY$1,AE$1)+SUMIFS('changes2_based on steps'!$B240:$U240,'changes2_based on steps'!$B$1:$U$1,AE$1)</f>
        <v>0</v>
      </c>
      <c r="AF240" s="179"/>
      <c r="AG240" s="179"/>
      <c r="AH240" s="179"/>
      <c r="AI240" s="179"/>
      <c r="AJ240" s="179"/>
      <c r="AK240" s="179"/>
      <c r="AL240" s="179"/>
      <c r="AM240" s="179"/>
    </row>
    <row r="241" spans="1:39" x14ac:dyDescent="0.2">
      <c r="A241" s="32">
        <f t="shared" ca="1" si="3"/>
        <v>45990</v>
      </c>
      <c r="B241" s="179">
        <f>SUMIFS('recurring2_based on steps'!$B241:$AY241,'recurring2_based on steps'!$B$1:$AY$1,B$1)+SUMIFS('changes2_based on steps'!$B241:$U241,'changes2_based on steps'!$B$1:$U$1,B$1)</f>
        <v>0</v>
      </c>
      <c r="C241" s="179">
        <f>SUMIFS('recurring2_based on steps'!$B241:$AY241,'recurring2_based on steps'!$B$1:$AY$1,C$1)+SUMIFS('changes2_based on steps'!$B241:$U241,'changes2_based on steps'!$B$1:$U$1,C$1)</f>
        <v>0</v>
      </c>
      <c r="D241" s="179">
        <f>SUMIFS('recurring2_based on steps'!$B241:$AY241,'recurring2_based on steps'!$B$1:$AY$1,D$1)+SUMIFS('changes2_based on steps'!$B241:$U241,'changes2_based on steps'!$B$1:$U$1,D$1)</f>
        <v>0</v>
      </c>
      <c r="E241" s="179">
        <f>SUMIFS('recurring2_based on steps'!$B241:$AY241,'recurring2_based on steps'!$B$1:$AY$1,E$1)+SUMIFS('changes2_based on steps'!$B241:$U241,'changes2_based on steps'!$B$1:$U$1,E$1)</f>
        <v>0</v>
      </c>
      <c r="F241" s="179">
        <f>SUMIFS('recurring2_based on steps'!$B241:$AY241,'recurring2_based on steps'!$B$1:$AY$1,F$1)+SUMIFS('changes2_based on steps'!$B241:$U241,'changes2_based on steps'!$B$1:$U$1,F$1)</f>
        <v>0</v>
      </c>
      <c r="G241" s="179">
        <f>SUMIFS('recurring2_based on steps'!$B241:$AY241,'recurring2_based on steps'!$B$1:$AY$1,G$1)+SUMIFS('changes2_based on steps'!$B241:$U241,'changes2_based on steps'!$B$1:$U$1,G$1)</f>
        <v>0</v>
      </c>
      <c r="H241" s="179">
        <f>SUMIFS('recurring2_based on steps'!$B241:$AY241,'recurring2_based on steps'!$B$1:$AY$1,H$1)+SUMIFS('changes2_based on steps'!$B241:$U241,'changes2_based on steps'!$B$1:$U$1,H$1)</f>
        <v>0</v>
      </c>
      <c r="I241" s="179">
        <f>SUMIFS('recurring2_based on steps'!$B241:$AY241,'recurring2_based on steps'!$B$1:$AY$1,I$1)+SUMIFS('changes2_based on steps'!$B241:$U241,'changes2_based on steps'!$B$1:$U$1,I$1)</f>
        <v>0</v>
      </c>
      <c r="J241" s="179">
        <f>SUMIFS('recurring2_based on steps'!$B241:$AY241,'recurring2_based on steps'!$B$1:$AY$1,J$1)+SUMIFS('changes2_based on steps'!$B241:$U241,'changes2_based on steps'!$B$1:$U$1,J$1)</f>
        <v>0</v>
      </c>
      <c r="K241" s="179">
        <f>SUMIFS('recurring2_based on steps'!$B241:$AY241,'recurring2_based on steps'!$B$1:$AY$1,K$1)+SUMIFS('changes2_based on steps'!$B241:$U241,'changes2_based on steps'!$B$1:$U$1,K$1)</f>
        <v>0</v>
      </c>
      <c r="L241" s="179">
        <f>SUMIFS('recurring2_based on steps'!$B241:$AY241,'recurring2_based on steps'!$B$1:$AY$1,L$1)+SUMIFS('changes2_based on steps'!$B241:$U241,'changes2_based on steps'!$B$1:$U$1,L$1)</f>
        <v>0</v>
      </c>
      <c r="M241" s="179">
        <f>SUMIFS('recurring2_based on steps'!$B241:$AY241,'recurring2_based on steps'!$B$1:$AY$1,M$1)+SUMIFS('changes2_based on steps'!$B241:$U241,'changes2_based on steps'!$B$1:$U$1,M$1)</f>
        <v>0</v>
      </c>
      <c r="N241" s="179">
        <f>SUMIFS('recurring2_based on steps'!$B241:$AY241,'recurring2_based on steps'!$B$1:$AY$1,N$1)+SUMIFS('changes2_based on steps'!$B241:$U241,'changes2_based on steps'!$B$1:$U$1,N$1)</f>
        <v>0</v>
      </c>
      <c r="O241" s="179">
        <f>SUMIFS('recurring2_based on steps'!$B241:$AY241,'recurring2_based on steps'!$B$1:$AY$1,O$1)+SUMIFS('changes2_based on steps'!$B241:$U241,'changes2_based on steps'!$B$1:$U$1,O$1)</f>
        <v>0</v>
      </c>
      <c r="P241" s="179">
        <f>SUMIFS('recurring2_based on steps'!$B241:$AY241,'recurring2_based on steps'!$B$1:$AY$1,P$1)+SUMIFS('changes2_based on steps'!$B241:$U241,'changes2_based on steps'!$B$1:$U$1,P$1)</f>
        <v>0</v>
      </c>
      <c r="Q241" s="179">
        <f>SUMIFS('recurring2_based on steps'!$B241:$AY241,'recurring2_based on steps'!$B$1:$AY$1,Q$1)+SUMIFS('changes2_based on steps'!$B241:$U241,'changes2_based on steps'!$B$1:$U$1,Q$1)</f>
        <v>0</v>
      </c>
      <c r="R241" s="179">
        <f>SUMIFS('recurring2_based on steps'!$B241:$AY241,'recurring2_based on steps'!$B$1:$AY$1,R$1)+SUMIFS('changes2_based on steps'!$B241:$U241,'changes2_based on steps'!$B$1:$U$1,R$1)</f>
        <v>0</v>
      </c>
      <c r="S241" s="179">
        <f>SUMIFS('recurring2_based on steps'!$B241:$AY241,'recurring2_based on steps'!$B$1:$AY$1,S$1)+SUMIFS('changes2_based on steps'!$B241:$U241,'changes2_based on steps'!$B$1:$U$1,S$1)</f>
        <v>0</v>
      </c>
      <c r="T241" s="179">
        <f>SUMIFS('recurring2_based on steps'!$B241:$AY241,'recurring2_based on steps'!$B$1:$AY$1,T$1)+SUMIFS('changes2_based on steps'!$B241:$U241,'changes2_based on steps'!$B$1:$U$1,T$1)</f>
        <v>0</v>
      </c>
      <c r="U241" s="179">
        <f>SUMIFS('recurring2_based on steps'!$B241:$AY241,'recurring2_based on steps'!$B$1:$AY$1,U$1)+SUMIFS('changes2_based on steps'!$B241:$U241,'changes2_based on steps'!$B$1:$U$1,U$1)</f>
        <v>0</v>
      </c>
      <c r="V241" s="179">
        <f>SUMIFS('recurring2_based on steps'!$B241:$AY241,'recurring2_based on steps'!$B$1:$AY$1,V$1)+SUMIFS('changes2_based on steps'!$B241:$U241,'changes2_based on steps'!$B$1:$U$1,V$1)</f>
        <v>0</v>
      </c>
      <c r="W241" s="179">
        <f>SUMIFS('recurring2_based on steps'!$B241:$AY241,'recurring2_based on steps'!$B$1:$AY$1,W$1)+SUMIFS('changes2_based on steps'!$B241:$U241,'changes2_based on steps'!$B$1:$U$1,W$1)</f>
        <v>0</v>
      </c>
      <c r="X241" s="179">
        <f>SUMIFS('recurring2_based on steps'!$B241:$AY241,'recurring2_based on steps'!$B$1:$AY$1,X$1)+SUMIFS('changes2_based on steps'!$B241:$U241,'changes2_based on steps'!$B$1:$U$1,X$1)</f>
        <v>0</v>
      </c>
      <c r="Y241" s="179">
        <f>SUMIFS('recurring2_based on steps'!$B241:$AY241,'recurring2_based on steps'!$B$1:$AY$1,Y$1)+SUMIFS('changes2_based on steps'!$B241:$U241,'changes2_based on steps'!$B$1:$U$1,Y$1)</f>
        <v>0</v>
      </c>
      <c r="Z241" s="179">
        <f>SUMIFS('recurring2_based on steps'!$B241:$AY241,'recurring2_based on steps'!$B$1:$AY$1,Z$1)+SUMIFS('changes2_based on steps'!$B241:$U241,'changes2_based on steps'!$B$1:$U$1,Z$1)</f>
        <v>0</v>
      </c>
      <c r="AA241" s="179">
        <f>SUMIFS('recurring2_based on steps'!$B241:$AY241,'recurring2_based on steps'!$B$1:$AY$1,AA$1)+SUMIFS('changes2_based on steps'!$B241:$U241,'changes2_based on steps'!$B$1:$U$1,AA$1)</f>
        <v>0</v>
      </c>
      <c r="AB241" s="179">
        <f>SUMIFS('recurring2_based on steps'!$B241:$AY241,'recurring2_based on steps'!$B$1:$AY$1,AB$1)+SUMIFS('changes2_based on steps'!$B241:$U241,'changes2_based on steps'!$B$1:$U$1,AB$1)</f>
        <v>0</v>
      </c>
      <c r="AC241" s="179">
        <f>SUMIFS('recurring2_based on steps'!$B241:$AY241,'recurring2_based on steps'!$B$1:$AY$1,AC$1)+SUMIFS('changes2_based on steps'!$B241:$U241,'changes2_based on steps'!$B$1:$U$1,AC$1)</f>
        <v>0</v>
      </c>
      <c r="AD241" s="179">
        <f>SUMIFS('recurring2_based on steps'!$B241:$AY241,'recurring2_based on steps'!$B$1:$AY$1,AD$1)+SUMIFS('changes2_based on steps'!$B241:$U241,'changes2_based on steps'!$B$1:$U$1,AD$1)</f>
        <v>0</v>
      </c>
      <c r="AE241" s="179">
        <f>SUMIFS('recurring2_based on steps'!$B241:$AY241,'recurring2_based on steps'!$B$1:$AY$1,AE$1)+SUMIFS('changes2_based on steps'!$B241:$U241,'changes2_based on steps'!$B$1:$U$1,AE$1)</f>
        <v>0</v>
      </c>
      <c r="AF241" s="179"/>
      <c r="AG241" s="179"/>
      <c r="AH241" s="179"/>
      <c r="AI241" s="179"/>
      <c r="AJ241" s="179"/>
      <c r="AK241" s="179"/>
      <c r="AL241" s="179"/>
      <c r="AM241" s="179"/>
    </row>
    <row r="242" spans="1:39" x14ac:dyDescent="0.2">
      <c r="A242" s="32">
        <f t="shared" ca="1" si="3"/>
        <v>45991</v>
      </c>
      <c r="B242" s="179">
        <f>SUMIFS('recurring2_based on steps'!$B242:$AY242,'recurring2_based on steps'!$B$1:$AY$1,B$1)+SUMIFS('changes2_based on steps'!$B242:$U242,'changes2_based on steps'!$B$1:$U$1,B$1)</f>
        <v>0</v>
      </c>
      <c r="C242" s="179">
        <f>SUMIFS('recurring2_based on steps'!$B242:$AY242,'recurring2_based on steps'!$B$1:$AY$1,C$1)+SUMIFS('changes2_based on steps'!$B242:$U242,'changes2_based on steps'!$B$1:$U$1,C$1)</f>
        <v>0</v>
      </c>
      <c r="D242" s="179">
        <f>SUMIFS('recurring2_based on steps'!$B242:$AY242,'recurring2_based on steps'!$B$1:$AY$1,D$1)+SUMIFS('changes2_based on steps'!$B242:$U242,'changes2_based on steps'!$B$1:$U$1,D$1)</f>
        <v>0</v>
      </c>
      <c r="E242" s="179">
        <f>SUMIFS('recurring2_based on steps'!$B242:$AY242,'recurring2_based on steps'!$B$1:$AY$1,E$1)+SUMIFS('changes2_based on steps'!$B242:$U242,'changes2_based on steps'!$B$1:$U$1,E$1)</f>
        <v>0</v>
      </c>
      <c r="F242" s="179">
        <f>SUMIFS('recurring2_based on steps'!$B242:$AY242,'recurring2_based on steps'!$B$1:$AY$1,F$1)+SUMIFS('changes2_based on steps'!$B242:$U242,'changes2_based on steps'!$B$1:$U$1,F$1)</f>
        <v>0</v>
      </c>
      <c r="G242" s="179">
        <f>SUMIFS('recurring2_based on steps'!$B242:$AY242,'recurring2_based on steps'!$B$1:$AY$1,G$1)+SUMIFS('changes2_based on steps'!$B242:$U242,'changes2_based on steps'!$B$1:$U$1,G$1)</f>
        <v>0</v>
      </c>
      <c r="H242" s="179">
        <f>SUMIFS('recurring2_based on steps'!$B242:$AY242,'recurring2_based on steps'!$B$1:$AY$1,H$1)+SUMIFS('changes2_based on steps'!$B242:$U242,'changes2_based on steps'!$B$1:$U$1,H$1)</f>
        <v>0</v>
      </c>
      <c r="I242" s="179">
        <f>SUMIFS('recurring2_based on steps'!$B242:$AY242,'recurring2_based on steps'!$B$1:$AY$1,I$1)+SUMIFS('changes2_based on steps'!$B242:$U242,'changes2_based on steps'!$B$1:$U$1,I$1)</f>
        <v>0</v>
      </c>
      <c r="J242" s="179">
        <f>SUMIFS('recurring2_based on steps'!$B242:$AY242,'recurring2_based on steps'!$B$1:$AY$1,J$1)+SUMIFS('changes2_based on steps'!$B242:$U242,'changes2_based on steps'!$B$1:$U$1,J$1)</f>
        <v>0</v>
      </c>
      <c r="K242" s="179">
        <f>SUMIFS('recurring2_based on steps'!$B242:$AY242,'recurring2_based on steps'!$B$1:$AY$1,K$1)+SUMIFS('changes2_based on steps'!$B242:$U242,'changes2_based on steps'!$B$1:$U$1,K$1)</f>
        <v>0</v>
      </c>
      <c r="L242" s="179">
        <f>SUMIFS('recurring2_based on steps'!$B242:$AY242,'recurring2_based on steps'!$B$1:$AY$1,L$1)+SUMIFS('changes2_based on steps'!$B242:$U242,'changes2_based on steps'!$B$1:$U$1,L$1)</f>
        <v>0</v>
      </c>
      <c r="M242" s="179">
        <f>SUMIFS('recurring2_based on steps'!$B242:$AY242,'recurring2_based on steps'!$B$1:$AY$1,M$1)+SUMIFS('changes2_based on steps'!$B242:$U242,'changes2_based on steps'!$B$1:$U$1,M$1)</f>
        <v>0</v>
      </c>
      <c r="N242" s="179">
        <f>SUMIFS('recurring2_based on steps'!$B242:$AY242,'recurring2_based on steps'!$B$1:$AY$1,N$1)+SUMIFS('changes2_based on steps'!$B242:$U242,'changes2_based on steps'!$B$1:$U$1,N$1)</f>
        <v>0</v>
      </c>
      <c r="O242" s="179">
        <f>SUMIFS('recurring2_based on steps'!$B242:$AY242,'recurring2_based on steps'!$B$1:$AY$1,O$1)+SUMIFS('changes2_based on steps'!$B242:$U242,'changes2_based on steps'!$B$1:$U$1,O$1)</f>
        <v>0</v>
      </c>
      <c r="P242" s="179">
        <f>SUMIFS('recurring2_based on steps'!$B242:$AY242,'recurring2_based on steps'!$B$1:$AY$1,P$1)+SUMIFS('changes2_based on steps'!$B242:$U242,'changes2_based on steps'!$B$1:$U$1,P$1)</f>
        <v>0</v>
      </c>
      <c r="Q242" s="179">
        <f>SUMIFS('recurring2_based on steps'!$B242:$AY242,'recurring2_based on steps'!$B$1:$AY$1,Q$1)+SUMIFS('changes2_based on steps'!$B242:$U242,'changes2_based on steps'!$B$1:$U$1,Q$1)</f>
        <v>0</v>
      </c>
      <c r="R242" s="179">
        <f>SUMIFS('recurring2_based on steps'!$B242:$AY242,'recurring2_based on steps'!$B$1:$AY$1,R$1)+SUMIFS('changes2_based on steps'!$B242:$U242,'changes2_based on steps'!$B$1:$U$1,R$1)</f>
        <v>0</v>
      </c>
      <c r="S242" s="179">
        <f>SUMIFS('recurring2_based on steps'!$B242:$AY242,'recurring2_based on steps'!$B$1:$AY$1,S$1)+SUMIFS('changes2_based on steps'!$B242:$U242,'changes2_based on steps'!$B$1:$U$1,S$1)</f>
        <v>0</v>
      </c>
      <c r="T242" s="179">
        <f>SUMIFS('recurring2_based on steps'!$B242:$AY242,'recurring2_based on steps'!$B$1:$AY$1,T$1)+SUMIFS('changes2_based on steps'!$B242:$U242,'changes2_based on steps'!$B$1:$U$1,T$1)</f>
        <v>0</v>
      </c>
      <c r="U242" s="179">
        <f>SUMIFS('recurring2_based on steps'!$B242:$AY242,'recurring2_based on steps'!$B$1:$AY$1,U$1)+SUMIFS('changes2_based on steps'!$B242:$U242,'changes2_based on steps'!$B$1:$U$1,U$1)</f>
        <v>0</v>
      </c>
      <c r="V242" s="179">
        <f>SUMIFS('recurring2_based on steps'!$B242:$AY242,'recurring2_based on steps'!$B$1:$AY$1,V$1)+SUMIFS('changes2_based on steps'!$B242:$U242,'changes2_based on steps'!$B$1:$U$1,V$1)</f>
        <v>0</v>
      </c>
      <c r="W242" s="179">
        <f>SUMIFS('recurring2_based on steps'!$B242:$AY242,'recurring2_based on steps'!$B$1:$AY$1,W$1)+SUMIFS('changes2_based on steps'!$B242:$U242,'changes2_based on steps'!$B$1:$U$1,W$1)</f>
        <v>0</v>
      </c>
      <c r="X242" s="179">
        <f>SUMIFS('recurring2_based on steps'!$B242:$AY242,'recurring2_based on steps'!$B$1:$AY$1,X$1)+SUMIFS('changes2_based on steps'!$B242:$U242,'changes2_based on steps'!$B$1:$U$1,X$1)</f>
        <v>0</v>
      </c>
      <c r="Y242" s="179">
        <f>SUMIFS('recurring2_based on steps'!$B242:$AY242,'recurring2_based on steps'!$B$1:$AY$1,Y$1)+SUMIFS('changes2_based on steps'!$B242:$U242,'changes2_based on steps'!$B$1:$U$1,Y$1)</f>
        <v>0</v>
      </c>
      <c r="Z242" s="179">
        <f>SUMIFS('recurring2_based on steps'!$B242:$AY242,'recurring2_based on steps'!$B$1:$AY$1,Z$1)+SUMIFS('changes2_based on steps'!$B242:$U242,'changes2_based on steps'!$B$1:$U$1,Z$1)</f>
        <v>0</v>
      </c>
      <c r="AA242" s="179">
        <f>SUMIFS('recurring2_based on steps'!$B242:$AY242,'recurring2_based on steps'!$B$1:$AY$1,AA$1)+SUMIFS('changes2_based on steps'!$B242:$U242,'changes2_based on steps'!$B$1:$U$1,AA$1)</f>
        <v>0</v>
      </c>
      <c r="AB242" s="179">
        <f>SUMIFS('recurring2_based on steps'!$B242:$AY242,'recurring2_based on steps'!$B$1:$AY$1,AB$1)+SUMIFS('changes2_based on steps'!$B242:$U242,'changes2_based on steps'!$B$1:$U$1,AB$1)</f>
        <v>0</v>
      </c>
      <c r="AC242" s="179">
        <f>SUMIFS('recurring2_based on steps'!$B242:$AY242,'recurring2_based on steps'!$B$1:$AY$1,AC$1)+SUMIFS('changes2_based on steps'!$B242:$U242,'changes2_based on steps'!$B$1:$U$1,AC$1)</f>
        <v>0</v>
      </c>
      <c r="AD242" s="179">
        <f>SUMIFS('recurring2_based on steps'!$B242:$AY242,'recurring2_based on steps'!$B$1:$AY$1,AD$1)+SUMIFS('changes2_based on steps'!$B242:$U242,'changes2_based on steps'!$B$1:$U$1,AD$1)</f>
        <v>0</v>
      </c>
      <c r="AE242" s="179">
        <f>SUMIFS('recurring2_based on steps'!$B242:$AY242,'recurring2_based on steps'!$B$1:$AY$1,AE$1)+SUMIFS('changes2_based on steps'!$B242:$U242,'changes2_based on steps'!$B$1:$U$1,AE$1)</f>
        <v>0</v>
      </c>
      <c r="AF242" s="179"/>
      <c r="AG242" s="179"/>
      <c r="AH242" s="179"/>
      <c r="AI242" s="179"/>
      <c r="AJ242" s="179"/>
      <c r="AK242" s="179"/>
      <c r="AL242" s="179"/>
      <c r="AM242" s="179"/>
    </row>
    <row r="243" spans="1:39" x14ac:dyDescent="0.2">
      <c r="A243" s="32">
        <f t="shared" ca="1" si="3"/>
        <v>45992</v>
      </c>
      <c r="B243" s="179">
        <f>SUMIFS('recurring2_based on steps'!$B243:$AY243,'recurring2_based on steps'!$B$1:$AY$1,B$1)+SUMIFS('changes2_based on steps'!$B243:$U243,'changes2_based on steps'!$B$1:$U$1,B$1)</f>
        <v>0</v>
      </c>
      <c r="C243" s="179">
        <f>SUMIFS('recurring2_based on steps'!$B243:$AY243,'recurring2_based on steps'!$B$1:$AY$1,C$1)+SUMIFS('changes2_based on steps'!$B243:$U243,'changes2_based on steps'!$B$1:$U$1,C$1)</f>
        <v>0</v>
      </c>
      <c r="D243" s="179">
        <f>SUMIFS('recurring2_based on steps'!$B243:$AY243,'recurring2_based on steps'!$B$1:$AY$1,D$1)+SUMIFS('changes2_based on steps'!$B243:$U243,'changes2_based on steps'!$B$1:$U$1,D$1)</f>
        <v>0</v>
      </c>
      <c r="E243" s="179">
        <f>SUMIFS('recurring2_based on steps'!$B243:$AY243,'recurring2_based on steps'!$B$1:$AY$1,E$1)+SUMIFS('changes2_based on steps'!$B243:$U243,'changes2_based on steps'!$B$1:$U$1,E$1)</f>
        <v>0</v>
      </c>
      <c r="F243" s="179">
        <f>SUMIFS('recurring2_based on steps'!$B243:$AY243,'recurring2_based on steps'!$B$1:$AY$1,F$1)+SUMIFS('changes2_based on steps'!$B243:$U243,'changes2_based on steps'!$B$1:$U$1,F$1)</f>
        <v>0</v>
      </c>
      <c r="G243" s="179">
        <f>SUMIFS('recurring2_based on steps'!$B243:$AY243,'recurring2_based on steps'!$B$1:$AY$1,G$1)+SUMIFS('changes2_based on steps'!$B243:$U243,'changes2_based on steps'!$B$1:$U$1,G$1)</f>
        <v>0</v>
      </c>
      <c r="H243" s="179">
        <f>SUMIFS('recurring2_based on steps'!$B243:$AY243,'recurring2_based on steps'!$B$1:$AY$1,H$1)+SUMIFS('changes2_based on steps'!$B243:$U243,'changes2_based on steps'!$B$1:$U$1,H$1)</f>
        <v>0</v>
      </c>
      <c r="I243" s="179">
        <f>SUMIFS('recurring2_based on steps'!$B243:$AY243,'recurring2_based on steps'!$B$1:$AY$1,I$1)+SUMIFS('changes2_based on steps'!$B243:$U243,'changes2_based on steps'!$B$1:$U$1,I$1)</f>
        <v>0</v>
      </c>
      <c r="J243" s="179">
        <f>SUMIFS('recurring2_based on steps'!$B243:$AY243,'recurring2_based on steps'!$B$1:$AY$1,J$1)+SUMIFS('changes2_based on steps'!$B243:$U243,'changes2_based on steps'!$B$1:$U$1,J$1)</f>
        <v>0</v>
      </c>
      <c r="K243" s="179">
        <f>SUMIFS('recurring2_based on steps'!$B243:$AY243,'recurring2_based on steps'!$B$1:$AY$1,K$1)+SUMIFS('changes2_based on steps'!$B243:$U243,'changes2_based on steps'!$B$1:$U$1,K$1)</f>
        <v>0</v>
      </c>
      <c r="L243" s="179">
        <f>SUMIFS('recurring2_based on steps'!$B243:$AY243,'recurring2_based on steps'!$B$1:$AY$1,L$1)+SUMIFS('changes2_based on steps'!$B243:$U243,'changes2_based on steps'!$B$1:$U$1,L$1)</f>
        <v>0</v>
      </c>
      <c r="M243" s="179">
        <f>SUMIFS('recurring2_based on steps'!$B243:$AY243,'recurring2_based on steps'!$B$1:$AY$1,M$1)+SUMIFS('changes2_based on steps'!$B243:$U243,'changes2_based on steps'!$B$1:$U$1,M$1)</f>
        <v>0</v>
      </c>
      <c r="N243" s="179">
        <f>SUMIFS('recurring2_based on steps'!$B243:$AY243,'recurring2_based on steps'!$B$1:$AY$1,N$1)+SUMIFS('changes2_based on steps'!$B243:$U243,'changes2_based on steps'!$B$1:$U$1,N$1)</f>
        <v>0</v>
      </c>
      <c r="O243" s="179">
        <f>SUMIFS('recurring2_based on steps'!$B243:$AY243,'recurring2_based on steps'!$B$1:$AY$1,O$1)+SUMIFS('changes2_based on steps'!$B243:$U243,'changes2_based on steps'!$B$1:$U$1,O$1)</f>
        <v>0</v>
      </c>
      <c r="P243" s="179">
        <f>SUMIFS('recurring2_based on steps'!$B243:$AY243,'recurring2_based on steps'!$B$1:$AY$1,P$1)+SUMIFS('changes2_based on steps'!$B243:$U243,'changes2_based on steps'!$B$1:$U$1,P$1)</f>
        <v>0</v>
      </c>
      <c r="Q243" s="179">
        <f>SUMIFS('recurring2_based on steps'!$B243:$AY243,'recurring2_based on steps'!$B$1:$AY$1,Q$1)+SUMIFS('changes2_based on steps'!$B243:$U243,'changes2_based on steps'!$B$1:$U$1,Q$1)</f>
        <v>0</v>
      </c>
      <c r="R243" s="179">
        <f>SUMIFS('recurring2_based on steps'!$B243:$AY243,'recurring2_based on steps'!$B$1:$AY$1,R$1)+SUMIFS('changes2_based on steps'!$B243:$U243,'changes2_based on steps'!$B$1:$U$1,R$1)</f>
        <v>0</v>
      </c>
      <c r="S243" s="179">
        <f>SUMIFS('recurring2_based on steps'!$B243:$AY243,'recurring2_based on steps'!$B$1:$AY$1,S$1)+SUMIFS('changes2_based on steps'!$B243:$U243,'changes2_based on steps'!$B$1:$U$1,S$1)</f>
        <v>0</v>
      </c>
      <c r="T243" s="179">
        <f>SUMIFS('recurring2_based on steps'!$B243:$AY243,'recurring2_based on steps'!$B$1:$AY$1,T$1)+SUMIFS('changes2_based on steps'!$B243:$U243,'changes2_based on steps'!$B$1:$U$1,T$1)</f>
        <v>0</v>
      </c>
      <c r="U243" s="179">
        <f>SUMIFS('recurring2_based on steps'!$B243:$AY243,'recurring2_based on steps'!$B$1:$AY$1,U$1)+SUMIFS('changes2_based on steps'!$B243:$U243,'changes2_based on steps'!$B$1:$U$1,U$1)</f>
        <v>0</v>
      </c>
      <c r="V243" s="179">
        <f>SUMIFS('recurring2_based on steps'!$B243:$AY243,'recurring2_based on steps'!$B$1:$AY$1,V$1)+SUMIFS('changes2_based on steps'!$B243:$U243,'changes2_based on steps'!$B$1:$U$1,V$1)</f>
        <v>0</v>
      </c>
      <c r="W243" s="179">
        <f>SUMIFS('recurring2_based on steps'!$B243:$AY243,'recurring2_based on steps'!$B$1:$AY$1,W$1)+SUMIFS('changes2_based on steps'!$B243:$U243,'changes2_based on steps'!$B$1:$U$1,W$1)</f>
        <v>0</v>
      </c>
      <c r="X243" s="179">
        <f>SUMIFS('recurring2_based on steps'!$B243:$AY243,'recurring2_based on steps'!$B$1:$AY$1,X$1)+SUMIFS('changes2_based on steps'!$B243:$U243,'changes2_based on steps'!$B$1:$U$1,X$1)</f>
        <v>0</v>
      </c>
      <c r="Y243" s="179">
        <f>SUMIFS('recurring2_based on steps'!$B243:$AY243,'recurring2_based on steps'!$B$1:$AY$1,Y$1)+SUMIFS('changes2_based on steps'!$B243:$U243,'changes2_based on steps'!$B$1:$U$1,Y$1)</f>
        <v>0</v>
      </c>
      <c r="Z243" s="179">
        <f>SUMIFS('recurring2_based on steps'!$B243:$AY243,'recurring2_based on steps'!$B$1:$AY$1,Z$1)+SUMIFS('changes2_based on steps'!$B243:$U243,'changes2_based on steps'!$B$1:$U$1,Z$1)</f>
        <v>0</v>
      </c>
      <c r="AA243" s="179">
        <f>SUMIFS('recurring2_based on steps'!$B243:$AY243,'recurring2_based on steps'!$B$1:$AY$1,AA$1)+SUMIFS('changes2_based on steps'!$B243:$U243,'changes2_based on steps'!$B$1:$U$1,AA$1)</f>
        <v>0</v>
      </c>
      <c r="AB243" s="179">
        <f>SUMIFS('recurring2_based on steps'!$B243:$AY243,'recurring2_based on steps'!$B$1:$AY$1,AB$1)+SUMIFS('changes2_based on steps'!$B243:$U243,'changes2_based on steps'!$B$1:$U$1,AB$1)</f>
        <v>0</v>
      </c>
      <c r="AC243" s="179">
        <f>SUMIFS('recurring2_based on steps'!$B243:$AY243,'recurring2_based on steps'!$B$1:$AY$1,AC$1)+SUMIFS('changes2_based on steps'!$B243:$U243,'changes2_based on steps'!$B$1:$U$1,AC$1)</f>
        <v>0</v>
      </c>
      <c r="AD243" s="179">
        <f>SUMIFS('recurring2_based on steps'!$B243:$AY243,'recurring2_based on steps'!$B$1:$AY$1,AD$1)+SUMIFS('changes2_based on steps'!$B243:$U243,'changes2_based on steps'!$B$1:$U$1,AD$1)</f>
        <v>0</v>
      </c>
      <c r="AE243" s="179">
        <f>SUMIFS('recurring2_based on steps'!$B243:$AY243,'recurring2_based on steps'!$B$1:$AY$1,AE$1)+SUMIFS('changes2_based on steps'!$B243:$U243,'changes2_based on steps'!$B$1:$U$1,AE$1)</f>
        <v>0</v>
      </c>
      <c r="AF243" s="179"/>
      <c r="AG243" s="179"/>
      <c r="AH243" s="179"/>
      <c r="AI243" s="179"/>
      <c r="AJ243" s="179"/>
      <c r="AK243" s="179"/>
      <c r="AL243" s="179"/>
      <c r="AM243" s="179"/>
    </row>
    <row r="244" spans="1:39" x14ac:dyDescent="0.2">
      <c r="A244" s="32">
        <f t="shared" ca="1" si="3"/>
        <v>45993</v>
      </c>
      <c r="B244" s="179">
        <f>SUMIFS('recurring2_based on steps'!$B244:$AY244,'recurring2_based on steps'!$B$1:$AY$1,B$1)+SUMIFS('changes2_based on steps'!$B244:$U244,'changes2_based on steps'!$B$1:$U$1,B$1)</f>
        <v>0</v>
      </c>
      <c r="C244" s="179">
        <f>SUMIFS('recurring2_based on steps'!$B244:$AY244,'recurring2_based on steps'!$B$1:$AY$1,C$1)+SUMIFS('changes2_based on steps'!$B244:$U244,'changes2_based on steps'!$B$1:$U$1,C$1)</f>
        <v>0</v>
      </c>
      <c r="D244" s="179">
        <f>SUMIFS('recurring2_based on steps'!$B244:$AY244,'recurring2_based on steps'!$B$1:$AY$1,D$1)+SUMIFS('changes2_based on steps'!$B244:$U244,'changes2_based on steps'!$B$1:$U$1,D$1)</f>
        <v>0</v>
      </c>
      <c r="E244" s="179">
        <f>SUMIFS('recurring2_based on steps'!$B244:$AY244,'recurring2_based on steps'!$B$1:$AY$1,E$1)+SUMIFS('changes2_based on steps'!$B244:$U244,'changes2_based on steps'!$B$1:$U$1,E$1)</f>
        <v>0</v>
      </c>
      <c r="F244" s="179">
        <f>SUMIFS('recurring2_based on steps'!$B244:$AY244,'recurring2_based on steps'!$B$1:$AY$1,F$1)+SUMIFS('changes2_based on steps'!$B244:$U244,'changes2_based on steps'!$B$1:$U$1,F$1)</f>
        <v>0</v>
      </c>
      <c r="G244" s="179">
        <f>SUMIFS('recurring2_based on steps'!$B244:$AY244,'recurring2_based on steps'!$B$1:$AY$1,G$1)+SUMIFS('changes2_based on steps'!$B244:$U244,'changes2_based on steps'!$B$1:$U$1,G$1)</f>
        <v>0</v>
      </c>
      <c r="H244" s="179">
        <f>SUMIFS('recurring2_based on steps'!$B244:$AY244,'recurring2_based on steps'!$B$1:$AY$1,H$1)+SUMIFS('changes2_based on steps'!$B244:$U244,'changes2_based on steps'!$B$1:$U$1,H$1)</f>
        <v>0</v>
      </c>
      <c r="I244" s="179">
        <f>SUMIFS('recurring2_based on steps'!$B244:$AY244,'recurring2_based on steps'!$B$1:$AY$1,I$1)+SUMIFS('changes2_based on steps'!$B244:$U244,'changes2_based on steps'!$B$1:$U$1,I$1)</f>
        <v>0</v>
      </c>
      <c r="J244" s="179">
        <f>SUMIFS('recurring2_based on steps'!$B244:$AY244,'recurring2_based on steps'!$B$1:$AY$1,J$1)+SUMIFS('changes2_based on steps'!$B244:$U244,'changes2_based on steps'!$B$1:$U$1,J$1)</f>
        <v>0</v>
      </c>
      <c r="K244" s="179">
        <f>SUMIFS('recurring2_based on steps'!$B244:$AY244,'recurring2_based on steps'!$B$1:$AY$1,K$1)+SUMIFS('changes2_based on steps'!$B244:$U244,'changes2_based on steps'!$B$1:$U$1,K$1)</f>
        <v>0</v>
      </c>
      <c r="L244" s="179">
        <f>SUMIFS('recurring2_based on steps'!$B244:$AY244,'recurring2_based on steps'!$B$1:$AY$1,L$1)+SUMIFS('changes2_based on steps'!$B244:$U244,'changes2_based on steps'!$B$1:$U$1,L$1)</f>
        <v>0</v>
      </c>
      <c r="M244" s="179">
        <f>SUMIFS('recurring2_based on steps'!$B244:$AY244,'recurring2_based on steps'!$B$1:$AY$1,M$1)+SUMIFS('changes2_based on steps'!$B244:$U244,'changes2_based on steps'!$B$1:$U$1,M$1)</f>
        <v>0</v>
      </c>
      <c r="N244" s="179">
        <f>SUMIFS('recurring2_based on steps'!$B244:$AY244,'recurring2_based on steps'!$B$1:$AY$1,N$1)+SUMIFS('changes2_based on steps'!$B244:$U244,'changes2_based on steps'!$B$1:$U$1,N$1)</f>
        <v>0</v>
      </c>
      <c r="O244" s="179">
        <f>SUMIFS('recurring2_based on steps'!$B244:$AY244,'recurring2_based on steps'!$B$1:$AY$1,O$1)+SUMIFS('changes2_based on steps'!$B244:$U244,'changes2_based on steps'!$B$1:$U$1,O$1)</f>
        <v>0</v>
      </c>
      <c r="P244" s="179">
        <f>SUMIFS('recurring2_based on steps'!$B244:$AY244,'recurring2_based on steps'!$B$1:$AY$1,P$1)+SUMIFS('changes2_based on steps'!$B244:$U244,'changes2_based on steps'!$B$1:$U$1,P$1)</f>
        <v>0</v>
      </c>
      <c r="Q244" s="179">
        <f>SUMIFS('recurring2_based on steps'!$B244:$AY244,'recurring2_based on steps'!$B$1:$AY$1,Q$1)+SUMIFS('changes2_based on steps'!$B244:$U244,'changes2_based on steps'!$B$1:$U$1,Q$1)</f>
        <v>0</v>
      </c>
      <c r="R244" s="179">
        <f>SUMIFS('recurring2_based on steps'!$B244:$AY244,'recurring2_based on steps'!$B$1:$AY$1,R$1)+SUMIFS('changes2_based on steps'!$B244:$U244,'changes2_based on steps'!$B$1:$U$1,R$1)</f>
        <v>0</v>
      </c>
      <c r="S244" s="179">
        <f>SUMIFS('recurring2_based on steps'!$B244:$AY244,'recurring2_based on steps'!$B$1:$AY$1,S$1)+SUMIFS('changes2_based on steps'!$B244:$U244,'changes2_based on steps'!$B$1:$U$1,S$1)</f>
        <v>0</v>
      </c>
      <c r="T244" s="179">
        <f>SUMIFS('recurring2_based on steps'!$B244:$AY244,'recurring2_based on steps'!$B$1:$AY$1,T$1)+SUMIFS('changes2_based on steps'!$B244:$U244,'changes2_based on steps'!$B$1:$U$1,T$1)</f>
        <v>0</v>
      </c>
      <c r="U244" s="179">
        <f>SUMIFS('recurring2_based on steps'!$B244:$AY244,'recurring2_based on steps'!$B$1:$AY$1,U$1)+SUMIFS('changes2_based on steps'!$B244:$U244,'changes2_based on steps'!$B$1:$U$1,U$1)</f>
        <v>0</v>
      </c>
      <c r="V244" s="179">
        <f>SUMIFS('recurring2_based on steps'!$B244:$AY244,'recurring2_based on steps'!$B$1:$AY$1,V$1)+SUMIFS('changes2_based on steps'!$B244:$U244,'changes2_based on steps'!$B$1:$U$1,V$1)</f>
        <v>0</v>
      </c>
      <c r="W244" s="179">
        <f>SUMIFS('recurring2_based on steps'!$B244:$AY244,'recurring2_based on steps'!$B$1:$AY$1,W$1)+SUMIFS('changes2_based on steps'!$B244:$U244,'changes2_based on steps'!$B$1:$U$1,W$1)</f>
        <v>0</v>
      </c>
      <c r="X244" s="179">
        <f>SUMIFS('recurring2_based on steps'!$B244:$AY244,'recurring2_based on steps'!$B$1:$AY$1,X$1)+SUMIFS('changes2_based on steps'!$B244:$U244,'changes2_based on steps'!$B$1:$U$1,X$1)</f>
        <v>0</v>
      </c>
      <c r="Y244" s="179">
        <f>SUMIFS('recurring2_based on steps'!$B244:$AY244,'recurring2_based on steps'!$B$1:$AY$1,Y$1)+SUMIFS('changes2_based on steps'!$B244:$U244,'changes2_based on steps'!$B$1:$U$1,Y$1)</f>
        <v>0</v>
      </c>
      <c r="Z244" s="179">
        <f>SUMIFS('recurring2_based on steps'!$B244:$AY244,'recurring2_based on steps'!$B$1:$AY$1,Z$1)+SUMIFS('changes2_based on steps'!$B244:$U244,'changes2_based on steps'!$B$1:$U$1,Z$1)</f>
        <v>0</v>
      </c>
      <c r="AA244" s="179">
        <f>SUMIFS('recurring2_based on steps'!$B244:$AY244,'recurring2_based on steps'!$B$1:$AY$1,AA$1)+SUMIFS('changes2_based on steps'!$B244:$U244,'changes2_based on steps'!$B$1:$U$1,AA$1)</f>
        <v>0</v>
      </c>
      <c r="AB244" s="179">
        <f>SUMIFS('recurring2_based on steps'!$B244:$AY244,'recurring2_based on steps'!$B$1:$AY$1,AB$1)+SUMIFS('changes2_based on steps'!$B244:$U244,'changes2_based on steps'!$B$1:$U$1,AB$1)</f>
        <v>0</v>
      </c>
      <c r="AC244" s="179">
        <f>SUMIFS('recurring2_based on steps'!$B244:$AY244,'recurring2_based on steps'!$B$1:$AY$1,AC$1)+SUMIFS('changes2_based on steps'!$B244:$U244,'changes2_based on steps'!$B$1:$U$1,AC$1)</f>
        <v>0</v>
      </c>
      <c r="AD244" s="179">
        <f>SUMIFS('recurring2_based on steps'!$B244:$AY244,'recurring2_based on steps'!$B$1:$AY$1,AD$1)+SUMIFS('changes2_based on steps'!$B244:$U244,'changes2_based on steps'!$B$1:$U$1,AD$1)</f>
        <v>0</v>
      </c>
      <c r="AE244" s="179">
        <f>SUMIFS('recurring2_based on steps'!$B244:$AY244,'recurring2_based on steps'!$B$1:$AY$1,AE$1)+SUMIFS('changes2_based on steps'!$B244:$U244,'changes2_based on steps'!$B$1:$U$1,AE$1)</f>
        <v>0</v>
      </c>
      <c r="AF244" s="179"/>
      <c r="AG244" s="179"/>
      <c r="AH244" s="179"/>
      <c r="AI244" s="179"/>
      <c r="AJ244" s="179"/>
      <c r="AK244" s="179"/>
      <c r="AL244" s="179"/>
      <c r="AM244" s="179"/>
    </row>
    <row r="245" spans="1:39" x14ac:dyDescent="0.2">
      <c r="A245" s="32">
        <f t="shared" ca="1" si="3"/>
        <v>45994</v>
      </c>
      <c r="B245" s="179">
        <f>SUMIFS('recurring2_based on steps'!$B245:$AY245,'recurring2_based on steps'!$B$1:$AY$1,B$1)+SUMIFS('changes2_based on steps'!$B245:$U245,'changes2_based on steps'!$B$1:$U$1,B$1)</f>
        <v>0</v>
      </c>
      <c r="C245" s="179">
        <f>SUMIFS('recurring2_based on steps'!$B245:$AY245,'recurring2_based on steps'!$B$1:$AY$1,C$1)+SUMIFS('changes2_based on steps'!$B245:$U245,'changes2_based on steps'!$B$1:$U$1,C$1)</f>
        <v>0</v>
      </c>
      <c r="D245" s="179">
        <f>SUMIFS('recurring2_based on steps'!$B245:$AY245,'recurring2_based on steps'!$B$1:$AY$1,D$1)+SUMIFS('changes2_based on steps'!$B245:$U245,'changes2_based on steps'!$B$1:$U$1,D$1)</f>
        <v>0</v>
      </c>
      <c r="E245" s="179">
        <f>SUMIFS('recurring2_based on steps'!$B245:$AY245,'recurring2_based on steps'!$B$1:$AY$1,E$1)+SUMIFS('changes2_based on steps'!$B245:$U245,'changes2_based on steps'!$B$1:$U$1,E$1)</f>
        <v>0</v>
      </c>
      <c r="F245" s="179">
        <f>SUMIFS('recurring2_based on steps'!$B245:$AY245,'recurring2_based on steps'!$B$1:$AY$1,F$1)+SUMIFS('changes2_based on steps'!$B245:$U245,'changes2_based on steps'!$B$1:$U$1,F$1)</f>
        <v>0</v>
      </c>
      <c r="G245" s="179">
        <f>SUMIFS('recurring2_based on steps'!$B245:$AY245,'recurring2_based on steps'!$B$1:$AY$1,G$1)+SUMIFS('changes2_based on steps'!$B245:$U245,'changes2_based on steps'!$B$1:$U$1,G$1)</f>
        <v>0</v>
      </c>
      <c r="H245" s="179">
        <f>SUMIFS('recurring2_based on steps'!$B245:$AY245,'recurring2_based on steps'!$B$1:$AY$1,H$1)+SUMIFS('changes2_based on steps'!$B245:$U245,'changes2_based on steps'!$B$1:$U$1,H$1)</f>
        <v>0</v>
      </c>
      <c r="I245" s="179">
        <f>SUMIFS('recurring2_based on steps'!$B245:$AY245,'recurring2_based on steps'!$B$1:$AY$1,I$1)+SUMIFS('changes2_based on steps'!$B245:$U245,'changes2_based on steps'!$B$1:$U$1,I$1)</f>
        <v>0</v>
      </c>
      <c r="J245" s="179">
        <f>SUMIFS('recurring2_based on steps'!$B245:$AY245,'recurring2_based on steps'!$B$1:$AY$1,J$1)+SUMIFS('changes2_based on steps'!$B245:$U245,'changes2_based on steps'!$B$1:$U$1,J$1)</f>
        <v>0</v>
      </c>
      <c r="K245" s="179">
        <f>SUMIFS('recurring2_based on steps'!$B245:$AY245,'recurring2_based on steps'!$B$1:$AY$1,K$1)+SUMIFS('changes2_based on steps'!$B245:$U245,'changes2_based on steps'!$B$1:$U$1,K$1)</f>
        <v>0</v>
      </c>
      <c r="L245" s="179">
        <f>SUMIFS('recurring2_based on steps'!$B245:$AY245,'recurring2_based on steps'!$B$1:$AY$1,L$1)+SUMIFS('changes2_based on steps'!$B245:$U245,'changes2_based on steps'!$B$1:$U$1,L$1)</f>
        <v>0</v>
      </c>
      <c r="M245" s="179">
        <f>SUMIFS('recurring2_based on steps'!$B245:$AY245,'recurring2_based on steps'!$B$1:$AY$1,M$1)+SUMIFS('changes2_based on steps'!$B245:$U245,'changes2_based on steps'!$B$1:$U$1,M$1)</f>
        <v>0</v>
      </c>
      <c r="N245" s="179">
        <f>SUMIFS('recurring2_based on steps'!$B245:$AY245,'recurring2_based on steps'!$B$1:$AY$1,N$1)+SUMIFS('changes2_based on steps'!$B245:$U245,'changes2_based on steps'!$B$1:$U$1,N$1)</f>
        <v>0</v>
      </c>
      <c r="O245" s="179">
        <f>SUMIFS('recurring2_based on steps'!$B245:$AY245,'recurring2_based on steps'!$B$1:$AY$1,O$1)+SUMIFS('changes2_based on steps'!$B245:$U245,'changes2_based on steps'!$B$1:$U$1,O$1)</f>
        <v>0</v>
      </c>
      <c r="P245" s="179">
        <f>SUMIFS('recurring2_based on steps'!$B245:$AY245,'recurring2_based on steps'!$B$1:$AY$1,P$1)+SUMIFS('changes2_based on steps'!$B245:$U245,'changes2_based on steps'!$B$1:$U$1,P$1)</f>
        <v>0</v>
      </c>
      <c r="Q245" s="179">
        <f>SUMIFS('recurring2_based on steps'!$B245:$AY245,'recurring2_based on steps'!$B$1:$AY$1,Q$1)+SUMIFS('changes2_based on steps'!$B245:$U245,'changes2_based on steps'!$B$1:$U$1,Q$1)</f>
        <v>0</v>
      </c>
      <c r="R245" s="179">
        <f>SUMIFS('recurring2_based on steps'!$B245:$AY245,'recurring2_based on steps'!$B$1:$AY$1,R$1)+SUMIFS('changes2_based on steps'!$B245:$U245,'changes2_based on steps'!$B$1:$U$1,R$1)</f>
        <v>0</v>
      </c>
      <c r="S245" s="179">
        <f>SUMIFS('recurring2_based on steps'!$B245:$AY245,'recurring2_based on steps'!$B$1:$AY$1,S$1)+SUMIFS('changes2_based on steps'!$B245:$U245,'changes2_based on steps'!$B$1:$U$1,S$1)</f>
        <v>0</v>
      </c>
      <c r="T245" s="179">
        <f>SUMIFS('recurring2_based on steps'!$B245:$AY245,'recurring2_based on steps'!$B$1:$AY$1,T$1)+SUMIFS('changes2_based on steps'!$B245:$U245,'changes2_based on steps'!$B$1:$U$1,T$1)</f>
        <v>0</v>
      </c>
      <c r="U245" s="179">
        <f>SUMIFS('recurring2_based on steps'!$B245:$AY245,'recurring2_based on steps'!$B$1:$AY$1,U$1)+SUMIFS('changes2_based on steps'!$B245:$U245,'changes2_based on steps'!$B$1:$U$1,U$1)</f>
        <v>0</v>
      </c>
      <c r="V245" s="179">
        <f>SUMIFS('recurring2_based on steps'!$B245:$AY245,'recurring2_based on steps'!$B$1:$AY$1,V$1)+SUMIFS('changes2_based on steps'!$B245:$U245,'changes2_based on steps'!$B$1:$U$1,V$1)</f>
        <v>0</v>
      </c>
      <c r="W245" s="179">
        <f>SUMIFS('recurring2_based on steps'!$B245:$AY245,'recurring2_based on steps'!$B$1:$AY$1,W$1)+SUMIFS('changes2_based on steps'!$B245:$U245,'changes2_based on steps'!$B$1:$U$1,W$1)</f>
        <v>0</v>
      </c>
      <c r="X245" s="179">
        <f>SUMIFS('recurring2_based on steps'!$B245:$AY245,'recurring2_based on steps'!$B$1:$AY$1,X$1)+SUMIFS('changes2_based on steps'!$B245:$U245,'changes2_based on steps'!$B$1:$U$1,X$1)</f>
        <v>0</v>
      </c>
      <c r="Y245" s="179">
        <f>SUMIFS('recurring2_based on steps'!$B245:$AY245,'recurring2_based on steps'!$B$1:$AY$1,Y$1)+SUMIFS('changes2_based on steps'!$B245:$U245,'changes2_based on steps'!$B$1:$U$1,Y$1)</f>
        <v>0</v>
      </c>
      <c r="Z245" s="179">
        <f>SUMIFS('recurring2_based on steps'!$B245:$AY245,'recurring2_based on steps'!$B$1:$AY$1,Z$1)+SUMIFS('changes2_based on steps'!$B245:$U245,'changes2_based on steps'!$B$1:$U$1,Z$1)</f>
        <v>0</v>
      </c>
      <c r="AA245" s="179">
        <f>SUMIFS('recurring2_based on steps'!$B245:$AY245,'recurring2_based on steps'!$B$1:$AY$1,AA$1)+SUMIFS('changes2_based on steps'!$B245:$U245,'changes2_based on steps'!$B$1:$U$1,AA$1)</f>
        <v>0</v>
      </c>
      <c r="AB245" s="179">
        <f>SUMIFS('recurring2_based on steps'!$B245:$AY245,'recurring2_based on steps'!$B$1:$AY$1,AB$1)+SUMIFS('changes2_based on steps'!$B245:$U245,'changes2_based on steps'!$B$1:$U$1,AB$1)</f>
        <v>0</v>
      </c>
      <c r="AC245" s="179">
        <f>SUMIFS('recurring2_based on steps'!$B245:$AY245,'recurring2_based on steps'!$B$1:$AY$1,AC$1)+SUMIFS('changes2_based on steps'!$B245:$U245,'changes2_based on steps'!$B$1:$U$1,AC$1)</f>
        <v>0</v>
      </c>
      <c r="AD245" s="179">
        <f>SUMIFS('recurring2_based on steps'!$B245:$AY245,'recurring2_based on steps'!$B$1:$AY$1,AD$1)+SUMIFS('changes2_based on steps'!$B245:$U245,'changes2_based on steps'!$B$1:$U$1,AD$1)</f>
        <v>0</v>
      </c>
      <c r="AE245" s="179">
        <f>SUMIFS('recurring2_based on steps'!$B245:$AY245,'recurring2_based on steps'!$B$1:$AY$1,AE$1)+SUMIFS('changes2_based on steps'!$B245:$U245,'changes2_based on steps'!$B$1:$U$1,AE$1)</f>
        <v>0</v>
      </c>
      <c r="AF245" s="179"/>
      <c r="AG245" s="179"/>
      <c r="AH245" s="179"/>
      <c r="AI245" s="179"/>
      <c r="AJ245" s="179"/>
      <c r="AK245" s="179"/>
      <c r="AL245" s="179"/>
      <c r="AM245" s="179"/>
    </row>
    <row r="246" spans="1:39" x14ac:dyDescent="0.2">
      <c r="A246" s="32">
        <f t="shared" ca="1" si="3"/>
        <v>45995</v>
      </c>
      <c r="B246" s="179">
        <f>SUMIFS('recurring2_based on steps'!$B246:$AY246,'recurring2_based on steps'!$B$1:$AY$1,B$1)+SUMIFS('changes2_based on steps'!$B246:$U246,'changes2_based on steps'!$B$1:$U$1,B$1)</f>
        <v>0</v>
      </c>
      <c r="C246" s="179">
        <f>SUMIFS('recurring2_based on steps'!$B246:$AY246,'recurring2_based on steps'!$B$1:$AY$1,C$1)+SUMIFS('changes2_based on steps'!$B246:$U246,'changes2_based on steps'!$B$1:$U$1,C$1)</f>
        <v>0</v>
      </c>
      <c r="D246" s="179">
        <f>SUMIFS('recurring2_based on steps'!$B246:$AY246,'recurring2_based on steps'!$B$1:$AY$1,D$1)+SUMIFS('changes2_based on steps'!$B246:$U246,'changes2_based on steps'!$B$1:$U$1,D$1)</f>
        <v>0</v>
      </c>
      <c r="E246" s="179">
        <f>SUMIFS('recurring2_based on steps'!$B246:$AY246,'recurring2_based on steps'!$B$1:$AY$1,E$1)+SUMIFS('changes2_based on steps'!$B246:$U246,'changes2_based on steps'!$B$1:$U$1,E$1)</f>
        <v>0</v>
      </c>
      <c r="F246" s="179">
        <f>SUMIFS('recurring2_based on steps'!$B246:$AY246,'recurring2_based on steps'!$B$1:$AY$1,F$1)+SUMIFS('changes2_based on steps'!$B246:$U246,'changes2_based on steps'!$B$1:$U$1,F$1)</f>
        <v>0</v>
      </c>
      <c r="G246" s="179">
        <f>SUMIFS('recurring2_based on steps'!$B246:$AY246,'recurring2_based on steps'!$B$1:$AY$1,G$1)+SUMIFS('changes2_based on steps'!$B246:$U246,'changes2_based on steps'!$B$1:$U$1,G$1)</f>
        <v>0</v>
      </c>
      <c r="H246" s="179">
        <f>SUMIFS('recurring2_based on steps'!$B246:$AY246,'recurring2_based on steps'!$B$1:$AY$1,H$1)+SUMIFS('changes2_based on steps'!$B246:$U246,'changes2_based on steps'!$B$1:$U$1,H$1)</f>
        <v>0</v>
      </c>
      <c r="I246" s="179">
        <f>SUMIFS('recurring2_based on steps'!$B246:$AY246,'recurring2_based on steps'!$B$1:$AY$1,I$1)+SUMIFS('changes2_based on steps'!$B246:$U246,'changes2_based on steps'!$B$1:$U$1,I$1)</f>
        <v>0</v>
      </c>
      <c r="J246" s="179">
        <f>SUMIFS('recurring2_based on steps'!$B246:$AY246,'recurring2_based on steps'!$B$1:$AY$1,J$1)+SUMIFS('changes2_based on steps'!$B246:$U246,'changes2_based on steps'!$B$1:$U$1,J$1)</f>
        <v>0</v>
      </c>
      <c r="K246" s="179">
        <f>SUMIFS('recurring2_based on steps'!$B246:$AY246,'recurring2_based on steps'!$B$1:$AY$1,K$1)+SUMIFS('changes2_based on steps'!$B246:$U246,'changes2_based on steps'!$B$1:$U$1,K$1)</f>
        <v>0</v>
      </c>
      <c r="L246" s="179">
        <f>SUMIFS('recurring2_based on steps'!$B246:$AY246,'recurring2_based on steps'!$B$1:$AY$1,L$1)+SUMIFS('changes2_based on steps'!$B246:$U246,'changes2_based on steps'!$B$1:$U$1,L$1)</f>
        <v>0</v>
      </c>
      <c r="M246" s="179">
        <f>SUMIFS('recurring2_based on steps'!$B246:$AY246,'recurring2_based on steps'!$B$1:$AY$1,M$1)+SUMIFS('changes2_based on steps'!$B246:$U246,'changes2_based on steps'!$B$1:$U$1,M$1)</f>
        <v>0</v>
      </c>
      <c r="N246" s="179">
        <f>SUMIFS('recurring2_based on steps'!$B246:$AY246,'recurring2_based on steps'!$B$1:$AY$1,N$1)+SUMIFS('changes2_based on steps'!$B246:$U246,'changes2_based on steps'!$B$1:$U$1,N$1)</f>
        <v>0</v>
      </c>
      <c r="O246" s="179">
        <f>SUMIFS('recurring2_based on steps'!$B246:$AY246,'recurring2_based on steps'!$B$1:$AY$1,O$1)+SUMIFS('changes2_based on steps'!$B246:$U246,'changes2_based on steps'!$B$1:$U$1,O$1)</f>
        <v>0</v>
      </c>
      <c r="P246" s="179">
        <f>SUMIFS('recurring2_based on steps'!$B246:$AY246,'recurring2_based on steps'!$B$1:$AY$1,P$1)+SUMIFS('changes2_based on steps'!$B246:$U246,'changes2_based on steps'!$B$1:$U$1,P$1)</f>
        <v>0</v>
      </c>
      <c r="Q246" s="179">
        <f>SUMIFS('recurring2_based on steps'!$B246:$AY246,'recurring2_based on steps'!$B$1:$AY$1,Q$1)+SUMIFS('changes2_based on steps'!$B246:$U246,'changes2_based on steps'!$B$1:$U$1,Q$1)</f>
        <v>0</v>
      </c>
      <c r="R246" s="179">
        <f>SUMIFS('recurring2_based on steps'!$B246:$AY246,'recurring2_based on steps'!$B$1:$AY$1,R$1)+SUMIFS('changes2_based on steps'!$B246:$U246,'changes2_based on steps'!$B$1:$U$1,R$1)</f>
        <v>0</v>
      </c>
      <c r="S246" s="179">
        <f>SUMIFS('recurring2_based on steps'!$B246:$AY246,'recurring2_based on steps'!$B$1:$AY$1,S$1)+SUMIFS('changes2_based on steps'!$B246:$U246,'changes2_based on steps'!$B$1:$U$1,S$1)</f>
        <v>0</v>
      </c>
      <c r="T246" s="179">
        <f>SUMIFS('recurring2_based on steps'!$B246:$AY246,'recurring2_based on steps'!$B$1:$AY$1,T$1)+SUMIFS('changes2_based on steps'!$B246:$U246,'changes2_based on steps'!$B$1:$U$1,T$1)</f>
        <v>0</v>
      </c>
      <c r="U246" s="179">
        <f>SUMIFS('recurring2_based on steps'!$B246:$AY246,'recurring2_based on steps'!$B$1:$AY$1,U$1)+SUMIFS('changes2_based on steps'!$B246:$U246,'changes2_based on steps'!$B$1:$U$1,U$1)</f>
        <v>0</v>
      </c>
      <c r="V246" s="179">
        <f>SUMIFS('recurring2_based on steps'!$B246:$AY246,'recurring2_based on steps'!$B$1:$AY$1,V$1)+SUMIFS('changes2_based on steps'!$B246:$U246,'changes2_based on steps'!$B$1:$U$1,V$1)</f>
        <v>0</v>
      </c>
      <c r="W246" s="179">
        <f>SUMIFS('recurring2_based on steps'!$B246:$AY246,'recurring2_based on steps'!$B$1:$AY$1,W$1)+SUMIFS('changes2_based on steps'!$B246:$U246,'changes2_based on steps'!$B$1:$U$1,W$1)</f>
        <v>0</v>
      </c>
      <c r="X246" s="179">
        <f>SUMIFS('recurring2_based on steps'!$B246:$AY246,'recurring2_based on steps'!$B$1:$AY$1,X$1)+SUMIFS('changes2_based on steps'!$B246:$U246,'changes2_based on steps'!$B$1:$U$1,X$1)</f>
        <v>0</v>
      </c>
      <c r="Y246" s="179">
        <f>SUMIFS('recurring2_based on steps'!$B246:$AY246,'recurring2_based on steps'!$B$1:$AY$1,Y$1)+SUMIFS('changes2_based on steps'!$B246:$U246,'changes2_based on steps'!$B$1:$U$1,Y$1)</f>
        <v>0</v>
      </c>
      <c r="Z246" s="179">
        <f>SUMIFS('recurring2_based on steps'!$B246:$AY246,'recurring2_based on steps'!$B$1:$AY$1,Z$1)+SUMIFS('changes2_based on steps'!$B246:$U246,'changes2_based on steps'!$B$1:$U$1,Z$1)</f>
        <v>0</v>
      </c>
      <c r="AA246" s="179">
        <f>SUMIFS('recurring2_based on steps'!$B246:$AY246,'recurring2_based on steps'!$B$1:$AY$1,AA$1)+SUMIFS('changes2_based on steps'!$B246:$U246,'changes2_based on steps'!$B$1:$U$1,AA$1)</f>
        <v>0</v>
      </c>
      <c r="AB246" s="179">
        <f>SUMIFS('recurring2_based on steps'!$B246:$AY246,'recurring2_based on steps'!$B$1:$AY$1,AB$1)+SUMIFS('changes2_based on steps'!$B246:$U246,'changes2_based on steps'!$B$1:$U$1,AB$1)</f>
        <v>0</v>
      </c>
      <c r="AC246" s="179">
        <f>SUMIFS('recurring2_based on steps'!$B246:$AY246,'recurring2_based on steps'!$B$1:$AY$1,AC$1)+SUMIFS('changes2_based on steps'!$B246:$U246,'changes2_based on steps'!$B$1:$U$1,AC$1)</f>
        <v>0</v>
      </c>
      <c r="AD246" s="179">
        <f>SUMIFS('recurring2_based on steps'!$B246:$AY246,'recurring2_based on steps'!$B$1:$AY$1,AD$1)+SUMIFS('changes2_based on steps'!$B246:$U246,'changes2_based on steps'!$B$1:$U$1,AD$1)</f>
        <v>0</v>
      </c>
      <c r="AE246" s="179">
        <f>SUMIFS('recurring2_based on steps'!$B246:$AY246,'recurring2_based on steps'!$B$1:$AY$1,AE$1)+SUMIFS('changes2_based on steps'!$B246:$U246,'changes2_based on steps'!$B$1:$U$1,AE$1)</f>
        <v>0</v>
      </c>
      <c r="AF246" s="179"/>
      <c r="AG246" s="179"/>
      <c r="AH246" s="179"/>
      <c r="AI246" s="179"/>
      <c r="AJ246" s="179"/>
      <c r="AK246" s="179"/>
      <c r="AL246" s="179"/>
      <c r="AM246" s="179"/>
    </row>
    <row r="247" spans="1:39" x14ac:dyDescent="0.2">
      <c r="A247" s="32">
        <f t="shared" ca="1" si="3"/>
        <v>45996</v>
      </c>
      <c r="B247" s="179">
        <f>SUMIFS('recurring2_based on steps'!$B247:$AY247,'recurring2_based on steps'!$B$1:$AY$1,B$1)+SUMIFS('changes2_based on steps'!$B247:$U247,'changes2_based on steps'!$B$1:$U$1,B$1)</f>
        <v>0</v>
      </c>
      <c r="C247" s="179">
        <f>SUMIFS('recurring2_based on steps'!$B247:$AY247,'recurring2_based on steps'!$B$1:$AY$1,C$1)+SUMIFS('changes2_based on steps'!$B247:$U247,'changes2_based on steps'!$B$1:$U$1,C$1)</f>
        <v>0</v>
      </c>
      <c r="D247" s="179">
        <f>SUMIFS('recurring2_based on steps'!$B247:$AY247,'recurring2_based on steps'!$B$1:$AY$1,D$1)+SUMIFS('changes2_based on steps'!$B247:$U247,'changes2_based on steps'!$B$1:$U$1,D$1)</f>
        <v>0</v>
      </c>
      <c r="E247" s="179">
        <f>SUMIFS('recurring2_based on steps'!$B247:$AY247,'recurring2_based on steps'!$B$1:$AY$1,E$1)+SUMIFS('changes2_based on steps'!$B247:$U247,'changes2_based on steps'!$B$1:$U$1,E$1)</f>
        <v>0</v>
      </c>
      <c r="F247" s="179">
        <f>SUMIFS('recurring2_based on steps'!$B247:$AY247,'recurring2_based on steps'!$B$1:$AY$1,F$1)+SUMIFS('changes2_based on steps'!$B247:$U247,'changes2_based on steps'!$B$1:$U$1,F$1)</f>
        <v>0</v>
      </c>
      <c r="G247" s="179">
        <f>SUMIFS('recurring2_based on steps'!$B247:$AY247,'recurring2_based on steps'!$B$1:$AY$1,G$1)+SUMIFS('changes2_based on steps'!$B247:$U247,'changes2_based on steps'!$B$1:$U$1,G$1)</f>
        <v>0</v>
      </c>
      <c r="H247" s="179">
        <f>SUMIFS('recurring2_based on steps'!$B247:$AY247,'recurring2_based on steps'!$B$1:$AY$1,H$1)+SUMIFS('changes2_based on steps'!$B247:$U247,'changes2_based on steps'!$B$1:$U$1,H$1)</f>
        <v>0</v>
      </c>
      <c r="I247" s="179">
        <f>SUMIFS('recurring2_based on steps'!$B247:$AY247,'recurring2_based on steps'!$B$1:$AY$1,I$1)+SUMIFS('changes2_based on steps'!$B247:$U247,'changes2_based on steps'!$B$1:$U$1,I$1)</f>
        <v>0</v>
      </c>
      <c r="J247" s="179">
        <f>SUMIFS('recurring2_based on steps'!$B247:$AY247,'recurring2_based on steps'!$B$1:$AY$1,J$1)+SUMIFS('changes2_based on steps'!$B247:$U247,'changes2_based on steps'!$B$1:$U$1,J$1)</f>
        <v>0</v>
      </c>
      <c r="K247" s="179">
        <f>SUMIFS('recurring2_based on steps'!$B247:$AY247,'recurring2_based on steps'!$B$1:$AY$1,K$1)+SUMIFS('changes2_based on steps'!$B247:$U247,'changes2_based on steps'!$B$1:$U$1,K$1)</f>
        <v>0</v>
      </c>
      <c r="L247" s="179">
        <f>SUMIFS('recurring2_based on steps'!$B247:$AY247,'recurring2_based on steps'!$B$1:$AY$1,L$1)+SUMIFS('changes2_based on steps'!$B247:$U247,'changes2_based on steps'!$B$1:$U$1,L$1)</f>
        <v>0</v>
      </c>
      <c r="M247" s="179">
        <f>SUMIFS('recurring2_based on steps'!$B247:$AY247,'recurring2_based on steps'!$B$1:$AY$1,M$1)+SUMIFS('changes2_based on steps'!$B247:$U247,'changes2_based on steps'!$B$1:$U$1,M$1)</f>
        <v>0</v>
      </c>
      <c r="N247" s="179">
        <f>SUMIFS('recurring2_based on steps'!$B247:$AY247,'recurring2_based on steps'!$B$1:$AY$1,N$1)+SUMIFS('changes2_based on steps'!$B247:$U247,'changes2_based on steps'!$B$1:$U$1,N$1)</f>
        <v>0</v>
      </c>
      <c r="O247" s="179">
        <f>SUMIFS('recurring2_based on steps'!$B247:$AY247,'recurring2_based on steps'!$B$1:$AY$1,O$1)+SUMIFS('changes2_based on steps'!$B247:$U247,'changes2_based on steps'!$B$1:$U$1,O$1)</f>
        <v>0</v>
      </c>
      <c r="P247" s="179">
        <f>SUMIFS('recurring2_based on steps'!$B247:$AY247,'recurring2_based on steps'!$B$1:$AY$1,P$1)+SUMIFS('changes2_based on steps'!$B247:$U247,'changes2_based on steps'!$B$1:$U$1,P$1)</f>
        <v>0</v>
      </c>
      <c r="Q247" s="179">
        <f>SUMIFS('recurring2_based on steps'!$B247:$AY247,'recurring2_based on steps'!$B$1:$AY$1,Q$1)+SUMIFS('changes2_based on steps'!$B247:$U247,'changes2_based on steps'!$B$1:$U$1,Q$1)</f>
        <v>0</v>
      </c>
      <c r="R247" s="179">
        <f>SUMIFS('recurring2_based on steps'!$B247:$AY247,'recurring2_based on steps'!$B$1:$AY$1,R$1)+SUMIFS('changes2_based on steps'!$B247:$U247,'changes2_based on steps'!$B$1:$U$1,R$1)</f>
        <v>0</v>
      </c>
      <c r="S247" s="179">
        <f>SUMIFS('recurring2_based on steps'!$B247:$AY247,'recurring2_based on steps'!$B$1:$AY$1,S$1)+SUMIFS('changes2_based on steps'!$B247:$U247,'changes2_based on steps'!$B$1:$U$1,S$1)</f>
        <v>0</v>
      </c>
      <c r="T247" s="179">
        <f>SUMIFS('recurring2_based on steps'!$B247:$AY247,'recurring2_based on steps'!$B$1:$AY$1,T$1)+SUMIFS('changes2_based on steps'!$B247:$U247,'changes2_based on steps'!$B$1:$U$1,T$1)</f>
        <v>0</v>
      </c>
      <c r="U247" s="179">
        <f>SUMIFS('recurring2_based on steps'!$B247:$AY247,'recurring2_based on steps'!$B$1:$AY$1,U$1)+SUMIFS('changes2_based on steps'!$B247:$U247,'changes2_based on steps'!$B$1:$U$1,U$1)</f>
        <v>0</v>
      </c>
      <c r="V247" s="179">
        <f>SUMIFS('recurring2_based on steps'!$B247:$AY247,'recurring2_based on steps'!$B$1:$AY$1,V$1)+SUMIFS('changes2_based on steps'!$B247:$U247,'changes2_based on steps'!$B$1:$U$1,V$1)</f>
        <v>0</v>
      </c>
      <c r="W247" s="179">
        <f>SUMIFS('recurring2_based on steps'!$B247:$AY247,'recurring2_based on steps'!$B$1:$AY$1,W$1)+SUMIFS('changes2_based on steps'!$B247:$U247,'changes2_based on steps'!$B$1:$U$1,W$1)</f>
        <v>0</v>
      </c>
      <c r="X247" s="179">
        <f>SUMIFS('recurring2_based on steps'!$B247:$AY247,'recurring2_based on steps'!$B$1:$AY$1,X$1)+SUMIFS('changes2_based on steps'!$B247:$U247,'changes2_based on steps'!$B$1:$U$1,X$1)</f>
        <v>0</v>
      </c>
      <c r="Y247" s="179">
        <f>SUMIFS('recurring2_based on steps'!$B247:$AY247,'recurring2_based on steps'!$B$1:$AY$1,Y$1)+SUMIFS('changes2_based on steps'!$B247:$U247,'changes2_based on steps'!$B$1:$U$1,Y$1)</f>
        <v>0</v>
      </c>
      <c r="Z247" s="179">
        <f>SUMIFS('recurring2_based on steps'!$B247:$AY247,'recurring2_based on steps'!$B$1:$AY$1,Z$1)+SUMIFS('changes2_based on steps'!$B247:$U247,'changes2_based on steps'!$B$1:$U$1,Z$1)</f>
        <v>0</v>
      </c>
      <c r="AA247" s="179">
        <f>SUMIFS('recurring2_based on steps'!$B247:$AY247,'recurring2_based on steps'!$B$1:$AY$1,AA$1)+SUMIFS('changes2_based on steps'!$B247:$U247,'changes2_based on steps'!$B$1:$U$1,AA$1)</f>
        <v>0</v>
      </c>
      <c r="AB247" s="179">
        <f>SUMIFS('recurring2_based on steps'!$B247:$AY247,'recurring2_based on steps'!$B$1:$AY$1,AB$1)+SUMIFS('changes2_based on steps'!$B247:$U247,'changes2_based on steps'!$B$1:$U$1,AB$1)</f>
        <v>0</v>
      </c>
      <c r="AC247" s="179">
        <f>SUMIFS('recurring2_based on steps'!$B247:$AY247,'recurring2_based on steps'!$B$1:$AY$1,AC$1)+SUMIFS('changes2_based on steps'!$B247:$U247,'changes2_based on steps'!$B$1:$U$1,AC$1)</f>
        <v>0</v>
      </c>
      <c r="AD247" s="179">
        <f>SUMIFS('recurring2_based on steps'!$B247:$AY247,'recurring2_based on steps'!$B$1:$AY$1,AD$1)+SUMIFS('changes2_based on steps'!$B247:$U247,'changes2_based on steps'!$B$1:$U$1,AD$1)</f>
        <v>0</v>
      </c>
      <c r="AE247" s="179">
        <f>SUMIFS('recurring2_based on steps'!$B247:$AY247,'recurring2_based on steps'!$B$1:$AY$1,AE$1)+SUMIFS('changes2_based on steps'!$B247:$U247,'changes2_based on steps'!$B$1:$U$1,AE$1)</f>
        <v>0</v>
      </c>
      <c r="AF247" s="179"/>
      <c r="AG247" s="179"/>
      <c r="AH247" s="179"/>
      <c r="AI247" s="179"/>
      <c r="AJ247" s="179"/>
      <c r="AK247" s="179"/>
      <c r="AL247" s="179"/>
      <c r="AM247" s="179"/>
    </row>
    <row r="248" spans="1:39" x14ac:dyDescent="0.2">
      <c r="A248" s="32">
        <f t="shared" ca="1" si="3"/>
        <v>45997</v>
      </c>
      <c r="B248" s="179">
        <f>SUMIFS('recurring2_based on steps'!$B248:$AY248,'recurring2_based on steps'!$B$1:$AY$1,B$1)+SUMIFS('changes2_based on steps'!$B248:$U248,'changes2_based on steps'!$B$1:$U$1,B$1)</f>
        <v>0</v>
      </c>
      <c r="C248" s="179">
        <f>SUMIFS('recurring2_based on steps'!$B248:$AY248,'recurring2_based on steps'!$B$1:$AY$1,C$1)+SUMIFS('changes2_based on steps'!$B248:$U248,'changes2_based on steps'!$B$1:$U$1,C$1)</f>
        <v>0</v>
      </c>
      <c r="D248" s="179">
        <f>SUMIFS('recurring2_based on steps'!$B248:$AY248,'recurring2_based on steps'!$B$1:$AY$1,D$1)+SUMIFS('changes2_based on steps'!$B248:$U248,'changes2_based on steps'!$B$1:$U$1,D$1)</f>
        <v>0</v>
      </c>
      <c r="E248" s="179">
        <f>SUMIFS('recurring2_based on steps'!$B248:$AY248,'recurring2_based on steps'!$B$1:$AY$1,E$1)+SUMIFS('changes2_based on steps'!$B248:$U248,'changes2_based on steps'!$B$1:$U$1,E$1)</f>
        <v>0</v>
      </c>
      <c r="F248" s="179">
        <f>SUMIFS('recurring2_based on steps'!$B248:$AY248,'recurring2_based on steps'!$B$1:$AY$1,F$1)+SUMIFS('changes2_based on steps'!$B248:$U248,'changes2_based on steps'!$B$1:$U$1,F$1)</f>
        <v>0</v>
      </c>
      <c r="G248" s="179">
        <f>SUMIFS('recurring2_based on steps'!$B248:$AY248,'recurring2_based on steps'!$B$1:$AY$1,G$1)+SUMIFS('changes2_based on steps'!$B248:$U248,'changes2_based on steps'!$B$1:$U$1,G$1)</f>
        <v>0</v>
      </c>
      <c r="H248" s="179">
        <f>SUMIFS('recurring2_based on steps'!$B248:$AY248,'recurring2_based on steps'!$B$1:$AY$1,H$1)+SUMIFS('changes2_based on steps'!$B248:$U248,'changes2_based on steps'!$B$1:$U$1,H$1)</f>
        <v>0</v>
      </c>
      <c r="I248" s="179">
        <f>SUMIFS('recurring2_based on steps'!$B248:$AY248,'recurring2_based on steps'!$B$1:$AY$1,I$1)+SUMIFS('changes2_based on steps'!$B248:$U248,'changes2_based on steps'!$B$1:$U$1,I$1)</f>
        <v>0</v>
      </c>
      <c r="J248" s="179">
        <f>SUMIFS('recurring2_based on steps'!$B248:$AY248,'recurring2_based on steps'!$B$1:$AY$1,J$1)+SUMIFS('changes2_based on steps'!$B248:$U248,'changes2_based on steps'!$B$1:$U$1,J$1)</f>
        <v>0</v>
      </c>
      <c r="K248" s="179">
        <f>SUMIFS('recurring2_based on steps'!$B248:$AY248,'recurring2_based on steps'!$B$1:$AY$1,K$1)+SUMIFS('changes2_based on steps'!$B248:$U248,'changes2_based on steps'!$B$1:$U$1,K$1)</f>
        <v>0</v>
      </c>
      <c r="L248" s="179">
        <f>SUMIFS('recurring2_based on steps'!$B248:$AY248,'recurring2_based on steps'!$B$1:$AY$1,L$1)+SUMIFS('changes2_based on steps'!$B248:$U248,'changes2_based on steps'!$B$1:$U$1,L$1)</f>
        <v>0</v>
      </c>
      <c r="M248" s="179">
        <f>SUMIFS('recurring2_based on steps'!$B248:$AY248,'recurring2_based on steps'!$B$1:$AY$1,M$1)+SUMIFS('changes2_based on steps'!$B248:$U248,'changes2_based on steps'!$B$1:$U$1,M$1)</f>
        <v>0</v>
      </c>
      <c r="N248" s="179">
        <f>SUMIFS('recurring2_based on steps'!$B248:$AY248,'recurring2_based on steps'!$B$1:$AY$1,N$1)+SUMIFS('changes2_based on steps'!$B248:$U248,'changes2_based on steps'!$B$1:$U$1,N$1)</f>
        <v>0</v>
      </c>
      <c r="O248" s="179">
        <f>SUMIFS('recurring2_based on steps'!$B248:$AY248,'recurring2_based on steps'!$B$1:$AY$1,O$1)+SUMIFS('changes2_based on steps'!$B248:$U248,'changes2_based on steps'!$B$1:$U$1,O$1)</f>
        <v>0</v>
      </c>
      <c r="P248" s="179">
        <f>SUMIFS('recurring2_based on steps'!$B248:$AY248,'recurring2_based on steps'!$B$1:$AY$1,P$1)+SUMIFS('changes2_based on steps'!$B248:$U248,'changes2_based on steps'!$B$1:$U$1,P$1)</f>
        <v>0</v>
      </c>
      <c r="Q248" s="179">
        <f>SUMIFS('recurring2_based on steps'!$B248:$AY248,'recurring2_based on steps'!$B$1:$AY$1,Q$1)+SUMIFS('changes2_based on steps'!$B248:$U248,'changes2_based on steps'!$B$1:$U$1,Q$1)</f>
        <v>0</v>
      </c>
      <c r="R248" s="179">
        <f>SUMIFS('recurring2_based on steps'!$B248:$AY248,'recurring2_based on steps'!$B$1:$AY$1,R$1)+SUMIFS('changes2_based on steps'!$B248:$U248,'changes2_based on steps'!$B$1:$U$1,R$1)</f>
        <v>0</v>
      </c>
      <c r="S248" s="179">
        <f>SUMIFS('recurring2_based on steps'!$B248:$AY248,'recurring2_based on steps'!$B$1:$AY$1,S$1)+SUMIFS('changes2_based on steps'!$B248:$U248,'changes2_based on steps'!$B$1:$U$1,S$1)</f>
        <v>0</v>
      </c>
      <c r="T248" s="179">
        <f>SUMIFS('recurring2_based on steps'!$B248:$AY248,'recurring2_based on steps'!$B$1:$AY$1,T$1)+SUMIFS('changes2_based on steps'!$B248:$U248,'changes2_based on steps'!$B$1:$U$1,T$1)</f>
        <v>0</v>
      </c>
      <c r="U248" s="179">
        <f>SUMIFS('recurring2_based on steps'!$B248:$AY248,'recurring2_based on steps'!$B$1:$AY$1,U$1)+SUMIFS('changes2_based on steps'!$B248:$U248,'changes2_based on steps'!$B$1:$U$1,U$1)</f>
        <v>0</v>
      </c>
      <c r="V248" s="179">
        <f>SUMIFS('recurring2_based on steps'!$B248:$AY248,'recurring2_based on steps'!$B$1:$AY$1,V$1)+SUMIFS('changes2_based on steps'!$B248:$U248,'changes2_based on steps'!$B$1:$U$1,V$1)</f>
        <v>0</v>
      </c>
      <c r="W248" s="179">
        <f>SUMIFS('recurring2_based on steps'!$B248:$AY248,'recurring2_based on steps'!$B$1:$AY$1,W$1)+SUMIFS('changes2_based on steps'!$B248:$U248,'changes2_based on steps'!$B$1:$U$1,W$1)</f>
        <v>0</v>
      </c>
      <c r="X248" s="179">
        <f>SUMIFS('recurring2_based on steps'!$B248:$AY248,'recurring2_based on steps'!$B$1:$AY$1,X$1)+SUMIFS('changes2_based on steps'!$B248:$U248,'changes2_based on steps'!$B$1:$U$1,X$1)</f>
        <v>0</v>
      </c>
      <c r="Y248" s="179">
        <f>SUMIFS('recurring2_based on steps'!$B248:$AY248,'recurring2_based on steps'!$B$1:$AY$1,Y$1)+SUMIFS('changes2_based on steps'!$B248:$U248,'changes2_based on steps'!$B$1:$U$1,Y$1)</f>
        <v>0</v>
      </c>
      <c r="Z248" s="179">
        <f>SUMIFS('recurring2_based on steps'!$B248:$AY248,'recurring2_based on steps'!$B$1:$AY$1,Z$1)+SUMIFS('changes2_based on steps'!$B248:$U248,'changes2_based on steps'!$B$1:$U$1,Z$1)</f>
        <v>0</v>
      </c>
      <c r="AA248" s="179">
        <f>SUMIFS('recurring2_based on steps'!$B248:$AY248,'recurring2_based on steps'!$B$1:$AY$1,AA$1)+SUMIFS('changes2_based on steps'!$B248:$U248,'changes2_based on steps'!$B$1:$U$1,AA$1)</f>
        <v>0</v>
      </c>
      <c r="AB248" s="179">
        <f>SUMIFS('recurring2_based on steps'!$B248:$AY248,'recurring2_based on steps'!$B$1:$AY$1,AB$1)+SUMIFS('changes2_based on steps'!$B248:$U248,'changes2_based on steps'!$B$1:$U$1,AB$1)</f>
        <v>0</v>
      </c>
      <c r="AC248" s="179">
        <f>SUMIFS('recurring2_based on steps'!$B248:$AY248,'recurring2_based on steps'!$B$1:$AY$1,AC$1)+SUMIFS('changes2_based on steps'!$B248:$U248,'changes2_based on steps'!$B$1:$U$1,AC$1)</f>
        <v>0</v>
      </c>
      <c r="AD248" s="179">
        <f>SUMIFS('recurring2_based on steps'!$B248:$AY248,'recurring2_based on steps'!$B$1:$AY$1,AD$1)+SUMIFS('changes2_based on steps'!$B248:$U248,'changes2_based on steps'!$B$1:$U$1,AD$1)</f>
        <v>0</v>
      </c>
      <c r="AE248" s="179">
        <f>SUMIFS('recurring2_based on steps'!$B248:$AY248,'recurring2_based on steps'!$B$1:$AY$1,AE$1)+SUMIFS('changes2_based on steps'!$B248:$U248,'changes2_based on steps'!$B$1:$U$1,AE$1)</f>
        <v>0</v>
      </c>
      <c r="AF248" s="179"/>
      <c r="AG248" s="179"/>
      <c r="AH248" s="179"/>
      <c r="AI248" s="179"/>
      <c r="AJ248" s="179"/>
      <c r="AK248" s="179"/>
      <c r="AL248" s="179"/>
      <c r="AM248" s="179"/>
    </row>
    <row r="249" spans="1:39" x14ac:dyDescent="0.2">
      <c r="A249" s="32">
        <f t="shared" ca="1" si="3"/>
        <v>45998</v>
      </c>
      <c r="B249" s="179">
        <f>SUMIFS('recurring2_based on steps'!$B249:$AY249,'recurring2_based on steps'!$B$1:$AY$1,B$1)+SUMIFS('changes2_based on steps'!$B249:$U249,'changes2_based on steps'!$B$1:$U$1,B$1)</f>
        <v>0</v>
      </c>
      <c r="C249" s="179">
        <f>SUMIFS('recurring2_based on steps'!$B249:$AY249,'recurring2_based on steps'!$B$1:$AY$1,C$1)+SUMIFS('changes2_based on steps'!$B249:$U249,'changes2_based on steps'!$B$1:$U$1,C$1)</f>
        <v>0</v>
      </c>
      <c r="D249" s="179">
        <f>SUMIFS('recurring2_based on steps'!$B249:$AY249,'recurring2_based on steps'!$B$1:$AY$1,D$1)+SUMIFS('changes2_based on steps'!$B249:$U249,'changes2_based on steps'!$B$1:$U$1,D$1)</f>
        <v>0</v>
      </c>
      <c r="E249" s="179">
        <f>SUMIFS('recurring2_based on steps'!$B249:$AY249,'recurring2_based on steps'!$B$1:$AY$1,E$1)+SUMIFS('changes2_based on steps'!$B249:$U249,'changes2_based on steps'!$B$1:$U$1,E$1)</f>
        <v>0</v>
      </c>
      <c r="F249" s="179">
        <f>SUMIFS('recurring2_based on steps'!$B249:$AY249,'recurring2_based on steps'!$B$1:$AY$1,F$1)+SUMIFS('changes2_based on steps'!$B249:$U249,'changes2_based on steps'!$B$1:$U$1,F$1)</f>
        <v>0</v>
      </c>
      <c r="G249" s="179">
        <f>SUMIFS('recurring2_based on steps'!$B249:$AY249,'recurring2_based on steps'!$B$1:$AY$1,G$1)+SUMIFS('changes2_based on steps'!$B249:$U249,'changes2_based on steps'!$B$1:$U$1,G$1)</f>
        <v>0</v>
      </c>
      <c r="H249" s="179">
        <f>SUMIFS('recurring2_based on steps'!$B249:$AY249,'recurring2_based on steps'!$B$1:$AY$1,H$1)+SUMIFS('changes2_based on steps'!$B249:$U249,'changes2_based on steps'!$B$1:$U$1,H$1)</f>
        <v>0</v>
      </c>
      <c r="I249" s="179">
        <f>SUMIFS('recurring2_based on steps'!$B249:$AY249,'recurring2_based on steps'!$B$1:$AY$1,I$1)+SUMIFS('changes2_based on steps'!$B249:$U249,'changes2_based on steps'!$B$1:$U$1,I$1)</f>
        <v>0</v>
      </c>
      <c r="J249" s="179">
        <f>SUMIFS('recurring2_based on steps'!$B249:$AY249,'recurring2_based on steps'!$B$1:$AY$1,J$1)+SUMIFS('changes2_based on steps'!$B249:$U249,'changes2_based on steps'!$B$1:$U$1,J$1)</f>
        <v>0</v>
      </c>
      <c r="K249" s="179">
        <f>SUMIFS('recurring2_based on steps'!$B249:$AY249,'recurring2_based on steps'!$B$1:$AY$1,K$1)+SUMIFS('changes2_based on steps'!$B249:$U249,'changes2_based on steps'!$B$1:$U$1,K$1)</f>
        <v>0</v>
      </c>
      <c r="L249" s="179">
        <f>SUMIFS('recurring2_based on steps'!$B249:$AY249,'recurring2_based on steps'!$B$1:$AY$1,L$1)+SUMIFS('changes2_based on steps'!$B249:$U249,'changes2_based on steps'!$B$1:$U$1,L$1)</f>
        <v>0</v>
      </c>
      <c r="M249" s="179">
        <f>SUMIFS('recurring2_based on steps'!$B249:$AY249,'recurring2_based on steps'!$B$1:$AY$1,M$1)+SUMIFS('changes2_based on steps'!$B249:$U249,'changes2_based on steps'!$B$1:$U$1,M$1)</f>
        <v>0</v>
      </c>
      <c r="N249" s="179">
        <f>SUMIFS('recurring2_based on steps'!$B249:$AY249,'recurring2_based on steps'!$B$1:$AY$1,N$1)+SUMIFS('changes2_based on steps'!$B249:$U249,'changes2_based on steps'!$B$1:$U$1,N$1)</f>
        <v>0</v>
      </c>
      <c r="O249" s="179">
        <f>SUMIFS('recurring2_based on steps'!$B249:$AY249,'recurring2_based on steps'!$B$1:$AY$1,O$1)+SUMIFS('changes2_based on steps'!$B249:$U249,'changes2_based on steps'!$B$1:$U$1,O$1)</f>
        <v>0</v>
      </c>
      <c r="P249" s="179">
        <f>SUMIFS('recurring2_based on steps'!$B249:$AY249,'recurring2_based on steps'!$B$1:$AY$1,P$1)+SUMIFS('changes2_based on steps'!$B249:$U249,'changes2_based on steps'!$B$1:$U$1,P$1)</f>
        <v>0</v>
      </c>
      <c r="Q249" s="179">
        <f>SUMIFS('recurring2_based on steps'!$B249:$AY249,'recurring2_based on steps'!$B$1:$AY$1,Q$1)+SUMIFS('changes2_based on steps'!$B249:$U249,'changes2_based on steps'!$B$1:$U$1,Q$1)</f>
        <v>0</v>
      </c>
      <c r="R249" s="179">
        <f>SUMIFS('recurring2_based on steps'!$B249:$AY249,'recurring2_based on steps'!$B$1:$AY$1,R$1)+SUMIFS('changes2_based on steps'!$B249:$U249,'changes2_based on steps'!$B$1:$U$1,R$1)</f>
        <v>0</v>
      </c>
      <c r="S249" s="179">
        <f>SUMIFS('recurring2_based on steps'!$B249:$AY249,'recurring2_based on steps'!$B$1:$AY$1,S$1)+SUMIFS('changes2_based on steps'!$B249:$U249,'changes2_based on steps'!$B$1:$U$1,S$1)</f>
        <v>0</v>
      </c>
      <c r="T249" s="179">
        <f>SUMIFS('recurring2_based on steps'!$B249:$AY249,'recurring2_based on steps'!$B$1:$AY$1,T$1)+SUMIFS('changes2_based on steps'!$B249:$U249,'changes2_based on steps'!$B$1:$U$1,T$1)</f>
        <v>0</v>
      </c>
      <c r="U249" s="179">
        <f>SUMIFS('recurring2_based on steps'!$B249:$AY249,'recurring2_based on steps'!$B$1:$AY$1,U$1)+SUMIFS('changes2_based on steps'!$B249:$U249,'changes2_based on steps'!$B$1:$U$1,U$1)</f>
        <v>0</v>
      </c>
      <c r="V249" s="179">
        <f>SUMIFS('recurring2_based on steps'!$B249:$AY249,'recurring2_based on steps'!$B$1:$AY$1,V$1)+SUMIFS('changes2_based on steps'!$B249:$U249,'changes2_based on steps'!$B$1:$U$1,V$1)</f>
        <v>0</v>
      </c>
      <c r="W249" s="179">
        <f>SUMIFS('recurring2_based on steps'!$B249:$AY249,'recurring2_based on steps'!$B$1:$AY$1,W$1)+SUMIFS('changes2_based on steps'!$B249:$U249,'changes2_based on steps'!$B$1:$U$1,W$1)</f>
        <v>0</v>
      </c>
      <c r="X249" s="179">
        <f>SUMIFS('recurring2_based on steps'!$B249:$AY249,'recurring2_based on steps'!$B$1:$AY$1,X$1)+SUMIFS('changes2_based on steps'!$B249:$U249,'changes2_based on steps'!$B$1:$U$1,X$1)</f>
        <v>0</v>
      </c>
      <c r="Y249" s="179">
        <f>SUMIFS('recurring2_based on steps'!$B249:$AY249,'recurring2_based on steps'!$B$1:$AY$1,Y$1)+SUMIFS('changes2_based on steps'!$B249:$U249,'changes2_based on steps'!$B$1:$U$1,Y$1)</f>
        <v>0</v>
      </c>
      <c r="Z249" s="179">
        <f>SUMIFS('recurring2_based on steps'!$B249:$AY249,'recurring2_based on steps'!$B$1:$AY$1,Z$1)+SUMIFS('changes2_based on steps'!$B249:$U249,'changes2_based on steps'!$B$1:$U$1,Z$1)</f>
        <v>0</v>
      </c>
      <c r="AA249" s="179">
        <f>SUMIFS('recurring2_based on steps'!$B249:$AY249,'recurring2_based on steps'!$B$1:$AY$1,AA$1)+SUMIFS('changes2_based on steps'!$B249:$U249,'changes2_based on steps'!$B$1:$U$1,AA$1)</f>
        <v>0</v>
      </c>
      <c r="AB249" s="179">
        <f>SUMIFS('recurring2_based on steps'!$B249:$AY249,'recurring2_based on steps'!$B$1:$AY$1,AB$1)+SUMIFS('changes2_based on steps'!$B249:$U249,'changes2_based on steps'!$B$1:$U$1,AB$1)</f>
        <v>0</v>
      </c>
      <c r="AC249" s="179">
        <f>SUMIFS('recurring2_based on steps'!$B249:$AY249,'recurring2_based on steps'!$B$1:$AY$1,AC$1)+SUMIFS('changes2_based on steps'!$B249:$U249,'changes2_based on steps'!$B$1:$U$1,AC$1)</f>
        <v>0</v>
      </c>
      <c r="AD249" s="179">
        <f>SUMIFS('recurring2_based on steps'!$B249:$AY249,'recurring2_based on steps'!$B$1:$AY$1,AD$1)+SUMIFS('changes2_based on steps'!$B249:$U249,'changes2_based on steps'!$B$1:$U$1,AD$1)</f>
        <v>0</v>
      </c>
      <c r="AE249" s="179">
        <f>SUMIFS('recurring2_based on steps'!$B249:$AY249,'recurring2_based on steps'!$B$1:$AY$1,AE$1)+SUMIFS('changes2_based on steps'!$B249:$U249,'changes2_based on steps'!$B$1:$U$1,AE$1)</f>
        <v>0</v>
      </c>
      <c r="AF249" s="179"/>
      <c r="AG249" s="179"/>
      <c r="AH249" s="179"/>
      <c r="AI249" s="179"/>
      <c r="AJ249" s="179"/>
      <c r="AK249" s="179"/>
      <c r="AL249" s="179"/>
      <c r="AM249" s="179"/>
    </row>
    <row r="250" spans="1:39" x14ac:dyDescent="0.2">
      <c r="A250" s="32">
        <f t="shared" ca="1" si="3"/>
        <v>45999</v>
      </c>
      <c r="B250" s="179">
        <f>SUMIFS('recurring2_based on steps'!$B250:$AY250,'recurring2_based on steps'!$B$1:$AY$1,B$1)+SUMIFS('changes2_based on steps'!$B250:$U250,'changes2_based on steps'!$B$1:$U$1,B$1)</f>
        <v>0</v>
      </c>
      <c r="C250" s="179">
        <f>SUMIFS('recurring2_based on steps'!$B250:$AY250,'recurring2_based on steps'!$B$1:$AY$1,C$1)+SUMIFS('changes2_based on steps'!$B250:$U250,'changes2_based on steps'!$B$1:$U$1,C$1)</f>
        <v>0</v>
      </c>
      <c r="D250" s="179">
        <f>SUMIFS('recurring2_based on steps'!$B250:$AY250,'recurring2_based on steps'!$B$1:$AY$1,D$1)+SUMIFS('changes2_based on steps'!$B250:$U250,'changes2_based on steps'!$B$1:$U$1,D$1)</f>
        <v>0</v>
      </c>
      <c r="E250" s="179">
        <f>SUMIFS('recurring2_based on steps'!$B250:$AY250,'recurring2_based on steps'!$B$1:$AY$1,E$1)+SUMIFS('changes2_based on steps'!$B250:$U250,'changes2_based on steps'!$B$1:$U$1,E$1)</f>
        <v>0</v>
      </c>
      <c r="F250" s="179">
        <f>SUMIFS('recurring2_based on steps'!$B250:$AY250,'recurring2_based on steps'!$B$1:$AY$1,F$1)+SUMIFS('changes2_based on steps'!$B250:$U250,'changes2_based on steps'!$B$1:$U$1,F$1)</f>
        <v>0</v>
      </c>
      <c r="G250" s="179">
        <f>SUMIFS('recurring2_based on steps'!$B250:$AY250,'recurring2_based on steps'!$B$1:$AY$1,G$1)+SUMIFS('changes2_based on steps'!$B250:$U250,'changes2_based on steps'!$B$1:$U$1,G$1)</f>
        <v>0</v>
      </c>
      <c r="H250" s="179">
        <f>SUMIFS('recurring2_based on steps'!$B250:$AY250,'recurring2_based on steps'!$B$1:$AY$1,H$1)+SUMIFS('changes2_based on steps'!$B250:$U250,'changes2_based on steps'!$B$1:$U$1,H$1)</f>
        <v>0</v>
      </c>
      <c r="I250" s="179">
        <f>SUMIFS('recurring2_based on steps'!$B250:$AY250,'recurring2_based on steps'!$B$1:$AY$1,I$1)+SUMIFS('changes2_based on steps'!$B250:$U250,'changes2_based on steps'!$B$1:$U$1,I$1)</f>
        <v>0</v>
      </c>
      <c r="J250" s="179">
        <f>SUMIFS('recurring2_based on steps'!$B250:$AY250,'recurring2_based on steps'!$B$1:$AY$1,J$1)+SUMIFS('changes2_based on steps'!$B250:$U250,'changes2_based on steps'!$B$1:$U$1,J$1)</f>
        <v>0</v>
      </c>
      <c r="K250" s="179">
        <f>SUMIFS('recurring2_based on steps'!$B250:$AY250,'recurring2_based on steps'!$B$1:$AY$1,K$1)+SUMIFS('changes2_based on steps'!$B250:$U250,'changes2_based on steps'!$B$1:$U$1,K$1)</f>
        <v>0</v>
      </c>
      <c r="L250" s="179">
        <f>SUMIFS('recurring2_based on steps'!$B250:$AY250,'recurring2_based on steps'!$B$1:$AY$1,L$1)+SUMIFS('changes2_based on steps'!$B250:$U250,'changes2_based on steps'!$B$1:$U$1,L$1)</f>
        <v>0</v>
      </c>
      <c r="M250" s="179">
        <f>SUMIFS('recurring2_based on steps'!$B250:$AY250,'recurring2_based on steps'!$B$1:$AY$1,M$1)+SUMIFS('changes2_based on steps'!$B250:$U250,'changes2_based on steps'!$B$1:$U$1,M$1)</f>
        <v>0</v>
      </c>
      <c r="N250" s="179">
        <f>SUMIFS('recurring2_based on steps'!$B250:$AY250,'recurring2_based on steps'!$B$1:$AY$1,N$1)+SUMIFS('changes2_based on steps'!$B250:$U250,'changes2_based on steps'!$B$1:$U$1,N$1)</f>
        <v>0</v>
      </c>
      <c r="O250" s="179">
        <f>SUMIFS('recurring2_based on steps'!$B250:$AY250,'recurring2_based on steps'!$B$1:$AY$1,O$1)+SUMIFS('changes2_based on steps'!$B250:$U250,'changes2_based on steps'!$B$1:$U$1,O$1)</f>
        <v>0</v>
      </c>
      <c r="P250" s="179">
        <f>SUMIFS('recurring2_based on steps'!$B250:$AY250,'recurring2_based on steps'!$B$1:$AY$1,P$1)+SUMIFS('changes2_based on steps'!$B250:$U250,'changes2_based on steps'!$B$1:$U$1,P$1)</f>
        <v>0</v>
      </c>
      <c r="Q250" s="179">
        <f>SUMIFS('recurring2_based on steps'!$B250:$AY250,'recurring2_based on steps'!$B$1:$AY$1,Q$1)+SUMIFS('changes2_based on steps'!$B250:$U250,'changes2_based on steps'!$B$1:$U$1,Q$1)</f>
        <v>0</v>
      </c>
      <c r="R250" s="179">
        <f>SUMIFS('recurring2_based on steps'!$B250:$AY250,'recurring2_based on steps'!$B$1:$AY$1,R$1)+SUMIFS('changes2_based on steps'!$B250:$U250,'changes2_based on steps'!$B$1:$U$1,R$1)</f>
        <v>0</v>
      </c>
      <c r="S250" s="179">
        <f>SUMIFS('recurring2_based on steps'!$B250:$AY250,'recurring2_based on steps'!$B$1:$AY$1,S$1)+SUMIFS('changes2_based on steps'!$B250:$U250,'changes2_based on steps'!$B$1:$U$1,S$1)</f>
        <v>0</v>
      </c>
      <c r="T250" s="179">
        <f>SUMIFS('recurring2_based on steps'!$B250:$AY250,'recurring2_based on steps'!$B$1:$AY$1,T$1)+SUMIFS('changes2_based on steps'!$B250:$U250,'changes2_based on steps'!$B$1:$U$1,T$1)</f>
        <v>0</v>
      </c>
      <c r="U250" s="179">
        <f>SUMIFS('recurring2_based on steps'!$B250:$AY250,'recurring2_based on steps'!$B$1:$AY$1,U$1)+SUMIFS('changes2_based on steps'!$B250:$U250,'changes2_based on steps'!$B$1:$U$1,U$1)</f>
        <v>0</v>
      </c>
      <c r="V250" s="179">
        <f>SUMIFS('recurring2_based on steps'!$B250:$AY250,'recurring2_based on steps'!$B$1:$AY$1,V$1)+SUMIFS('changes2_based on steps'!$B250:$U250,'changes2_based on steps'!$B$1:$U$1,V$1)</f>
        <v>0</v>
      </c>
      <c r="W250" s="179">
        <f>SUMIFS('recurring2_based on steps'!$B250:$AY250,'recurring2_based on steps'!$B$1:$AY$1,W$1)+SUMIFS('changes2_based on steps'!$B250:$U250,'changes2_based on steps'!$B$1:$U$1,W$1)</f>
        <v>0</v>
      </c>
      <c r="X250" s="179">
        <f>SUMIFS('recurring2_based on steps'!$B250:$AY250,'recurring2_based on steps'!$B$1:$AY$1,X$1)+SUMIFS('changes2_based on steps'!$B250:$U250,'changes2_based on steps'!$B$1:$U$1,X$1)</f>
        <v>0</v>
      </c>
      <c r="Y250" s="179">
        <f>SUMIFS('recurring2_based on steps'!$B250:$AY250,'recurring2_based on steps'!$B$1:$AY$1,Y$1)+SUMIFS('changes2_based on steps'!$B250:$U250,'changes2_based on steps'!$B$1:$U$1,Y$1)</f>
        <v>0</v>
      </c>
      <c r="Z250" s="179">
        <f>SUMIFS('recurring2_based on steps'!$B250:$AY250,'recurring2_based on steps'!$B$1:$AY$1,Z$1)+SUMIFS('changes2_based on steps'!$B250:$U250,'changes2_based on steps'!$B$1:$U$1,Z$1)</f>
        <v>0</v>
      </c>
      <c r="AA250" s="179">
        <f>SUMIFS('recurring2_based on steps'!$B250:$AY250,'recurring2_based on steps'!$B$1:$AY$1,AA$1)+SUMIFS('changes2_based on steps'!$B250:$U250,'changes2_based on steps'!$B$1:$U$1,AA$1)</f>
        <v>0</v>
      </c>
      <c r="AB250" s="179">
        <f>SUMIFS('recurring2_based on steps'!$B250:$AY250,'recurring2_based on steps'!$B$1:$AY$1,AB$1)+SUMIFS('changes2_based on steps'!$B250:$U250,'changes2_based on steps'!$B$1:$U$1,AB$1)</f>
        <v>0</v>
      </c>
      <c r="AC250" s="179">
        <f>SUMIFS('recurring2_based on steps'!$B250:$AY250,'recurring2_based on steps'!$B$1:$AY$1,AC$1)+SUMIFS('changes2_based on steps'!$B250:$U250,'changes2_based on steps'!$B$1:$U$1,AC$1)</f>
        <v>0</v>
      </c>
      <c r="AD250" s="179">
        <f>SUMIFS('recurring2_based on steps'!$B250:$AY250,'recurring2_based on steps'!$B$1:$AY$1,AD$1)+SUMIFS('changes2_based on steps'!$B250:$U250,'changes2_based on steps'!$B$1:$U$1,AD$1)</f>
        <v>0</v>
      </c>
      <c r="AE250" s="179">
        <f>SUMIFS('recurring2_based on steps'!$B250:$AY250,'recurring2_based on steps'!$B$1:$AY$1,AE$1)+SUMIFS('changes2_based on steps'!$B250:$U250,'changes2_based on steps'!$B$1:$U$1,AE$1)</f>
        <v>0</v>
      </c>
      <c r="AF250" s="179"/>
      <c r="AG250" s="179"/>
      <c r="AH250" s="179"/>
      <c r="AI250" s="179"/>
      <c r="AJ250" s="179"/>
      <c r="AK250" s="179"/>
      <c r="AL250" s="179"/>
      <c r="AM250" s="179"/>
    </row>
    <row r="251" spans="1:39" x14ac:dyDescent="0.2">
      <c r="A251" s="32">
        <f t="shared" ca="1" si="3"/>
        <v>46000</v>
      </c>
      <c r="B251" s="179">
        <f>SUMIFS('recurring2_based on steps'!$B251:$AY251,'recurring2_based on steps'!$B$1:$AY$1,B$1)+SUMIFS('changes2_based on steps'!$B251:$U251,'changes2_based on steps'!$B$1:$U$1,B$1)</f>
        <v>0</v>
      </c>
      <c r="C251" s="179">
        <f>SUMIFS('recurring2_based on steps'!$B251:$AY251,'recurring2_based on steps'!$B$1:$AY$1,C$1)+SUMIFS('changes2_based on steps'!$B251:$U251,'changes2_based on steps'!$B$1:$U$1,C$1)</f>
        <v>0</v>
      </c>
      <c r="D251" s="179">
        <f>SUMIFS('recurring2_based on steps'!$B251:$AY251,'recurring2_based on steps'!$B$1:$AY$1,D$1)+SUMIFS('changes2_based on steps'!$B251:$U251,'changes2_based on steps'!$B$1:$U$1,D$1)</f>
        <v>0</v>
      </c>
      <c r="E251" s="179">
        <f>SUMIFS('recurring2_based on steps'!$B251:$AY251,'recurring2_based on steps'!$B$1:$AY$1,E$1)+SUMIFS('changes2_based on steps'!$B251:$U251,'changes2_based on steps'!$B$1:$U$1,E$1)</f>
        <v>0</v>
      </c>
      <c r="F251" s="179">
        <f>SUMIFS('recurring2_based on steps'!$B251:$AY251,'recurring2_based on steps'!$B$1:$AY$1,F$1)+SUMIFS('changes2_based on steps'!$B251:$U251,'changes2_based on steps'!$B$1:$U$1,F$1)</f>
        <v>0</v>
      </c>
      <c r="G251" s="179">
        <f>SUMIFS('recurring2_based on steps'!$B251:$AY251,'recurring2_based on steps'!$B$1:$AY$1,G$1)+SUMIFS('changes2_based on steps'!$B251:$U251,'changes2_based on steps'!$B$1:$U$1,G$1)</f>
        <v>0</v>
      </c>
      <c r="H251" s="179">
        <f>SUMIFS('recurring2_based on steps'!$B251:$AY251,'recurring2_based on steps'!$B$1:$AY$1,H$1)+SUMIFS('changes2_based on steps'!$B251:$U251,'changes2_based on steps'!$B$1:$U$1,H$1)</f>
        <v>0</v>
      </c>
      <c r="I251" s="179">
        <f>SUMIFS('recurring2_based on steps'!$B251:$AY251,'recurring2_based on steps'!$B$1:$AY$1,I$1)+SUMIFS('changes2_based on steps'!$B251:$U251,'changes2_based on steps'!$B$1:$U$1,I$1)</f>
        <v>0</v>
      </c>
      <c r="J251" s="179">
        <f>SUMIFS('recurring2_based on steps'!$B251:$AY251,'recurring2_based on steps'!$B$1:$AY$1,J$1)+SUMIFS('changes2_based on steps'!$B251:$U251,'changes2_based on steps'!$B$1:$U$1,J$1)</f>
        <v>0</v>
      </c>
      <c r="K251" s="179">
        <f>SUMIFS('recurring2_based on steps'!$B251:$AY251,'recurring2_based on steps'!$B$1:$AY$1,K$1)+SUMIFS('changes2_based on steps'!$B251:$U251,'changes2_based on steps'!$B$1:$U$1,K$1)</f>
        <v>0</v>
      </c>
      <c r="L251" s="179">
        <f>SUMIFS('recurring2_based on steps'!$B251:$AY251,'recurring2_based on steps'!$B$1:$AY$1,L$1)+SUMIFS('changes2_based on steps'!$B251:$U251,'changes2_based on steps'!$B$1:$U$1,L$1)</f>
        <v>0</v>
      </c>
      <c r="M251" s="179">
        <f>SUMIFS('recurring2_based on steps'!$B251:$AY251,'recurring2_based on steps'!$B$1:$AY$1,M$1)+SUMIFS('changes2_based on steps'!$B251:$U251,'changes2_based on steps'!$B$1:$U$1,M$1)</f>
        <v>0</v>
      </c>
      <c r="N251" s="179">
        <f>SUMIFS('recurring2_based on steps'!$B251:$AY251,'recurring2_based on steps'!$B$1:$AY$1,N$1)+SUMIFS('changes2_based on steps'!$B251:$U251,'changes2_based on steps'!$B$1:$U$1,N$1)</f>
        <v>0</v>
      </c>
      <c r="O251" s="179">
        <f>SUMIFS('recurring2_based on steps'!$B251:$AY251,'recurring2_based on steps'!$B$1:$AY$1,O$1)+SUMIFS('changes2_based on steps'!$B251:$U251,'changes2_based on steps'!$B$1:$U$1,O$1)</f>
        <v>0</v>
      </c>
      <c r="P251" s="179">
        <f>SUMIFS('recurring2_based on steps'!$B251:$AY251,'recurring2_based on steps'!$B$1:$AY$1,P$1)+SUMIFS('changes2_based on steps'!$B251:$U251,'changes2_based on steps'!$B$1:$U$1,P$1)</f>
        <v>0</v>
      </c>
      <c r="Q251" s="179">
        <f>SUMIFS('recurring2_based on steps'!$B251:$AY251,'recurring2_based on steps'!$B$1:$AY$1,Q$1)+SUMIFS('changes2_based on steps'!$B251:$U251,'changes2_based on steps'!$B$1:$U$1,Q$1)</f>
        <v>0</v>
      </c>
      <c r="R251" s="179">
        <f>SUMIFS('recurring2_based on steps'!$B251:$AY251,'recurring2_based on steps'!$B$1:$AY$1,R$1)+SUMIFS('changes2_based on steps'!$B251:$U251,'changes2_based on steps'!$B$1:$U$1,R$1)</f>
        <v>0</v>
      </c>
      <c r="S251" s="179">
        <f>SUMIFS('recurring2_based on steps'!$B251:$AY251,'recurring2_based on steps'!$B$1:$AY$1,S$1)+SUMIFS('changes2_based on steps'!$B251:$U251,'changes2_based on steps'!$B$1:$U$1,S$1)</f>
        <v>0</v>
      </c>
      <c r="T251" s="179">
        <f>SUMIFS('recurring2_based on steps'!$B251:$AY251,'recurring2_based on steps'!$B$1:$AY$1,T$1)+SUMIFS('changes2_based on steps'!$B251:$U251,'changes2_based on steps'!$B$1:$U$1,T$1)</f>
        <v>0</v>
      </c>
      <c r="U251" s="179">
        <f>SUMIFS('recurring2_based on steps'!$B251:$AY251,'recurring2_based on steps'!$B$1:$AY$1,U$1)+SUMIFS('changes2_based on steps'!$B251:$U251,'changes2_based on steps'!$B$1:$U$1,U$1)</f>
        <v>0</v>
      </c>
      <c r="V251" s="179">
        <f>SUMIFS('recurring2_based on steps'!$B251:$AY251,'recurring2_based on steps'!$B$1:$AY$1,V$1)+SUMIFS('changes2_based on steps'!$B251:$U251,'changes2_based on steps'!$B$1:$U$1,V$1)</f>
        <v>0</v>
      </c>
      <c r="W251" s="179">
        <f>SUMIFS('recurring2_based on steps'!$B251:$AY251,'recurring2_based on steps'!$B$1:$AY$1,W$1)+SUMIFS('changes2_based on steps'!$B251:$U251,'changes2_based on steps'!$B$1:$U$1,W$1)</f>
        <v>0</v>
      </c>
      <c r="X251" s="179">
        <f>SUMIFS('recurring2_based on steps'!$B251:$AY251,'recurring2_based on steps'!$B$1:$AY$1,X$1)+SUMIFS('changes2_based on steps'!$B251:$U251,'changes2_based on steps'!$B$1:$U$1,X$1)</f>
        <v>0</v>
      </c>
      <c r="Y251" s="179">
        <f>SUMIFS('recurring2_based on steps'!$B251:$AY251,'recurring2_based on steps'!$B$1:$AY$1,Y$1)+SUMIFS('changes2_based on steps'!$B251:$U251,'changes2_based on steps'!$B$1:$U$1,Y$1)</f>
        <v>0</v>
      </c>
      <c r="Z251" s="179">
        <f>SUMIFS('recurring2_based on steps'!$B251:$AY251,'recurring2_based on steps'!$B$1:$AY$1,Z$1)+SUMIFS('changes2_based on steps'!$B251:$U251,'changes2_based on steps'!$B$1:$U$1,Z$1)</f>
        <v>0</v>
      </c>
      <c r="AA251" s="179">
        <f>SUMIFS('recurring2_based on steps'!$B251:$AY251,'recurring2_based on steps'!$B$1:$AY$1,AA$1)+SUMIFS('changes2_based on steps'!$B251:$U251,'changes2_based on steps'!$B$1:$U$1,AA$1)</f>
        <v>0</v>
      </c>
      <c r="AB251" s="179">
        <f>SUMIFS('recurring2_based on steps'!$B251:$AY251,'recurring2_based on steps'!$B$1:$AY$1,AB$1)+SUMIFS('changes2_based on steps'!$B251:$U251,'changes2_based on steps'!$B$1:$U$1,AB$1)</f>
        <v>0</v>
      </c>
      <c r="AC251" s="179">
        <f>SUMIFS('recurring2_based on steps'!$B251:$AY251,'recurring2_based on steps'!$B$1:$AY$1,AC$1)+SUMIFS('changes2_based on steps'!$B251:$U251,'changes2_based on steps'!$B$1:$U$1,AC$1)</f>
        <v>0</v>
      </c>
      <c r="AD251" s="179">
        <f>SUMIFS('recurring2_based on steps'!$B251:$AY251,'recurring2_based on steps'!$B$1:$AY$1,AD$1)+SUMIFS('changes2_based on steps'!$B251:$U251,'changes2_based on steps'!$B$1:$U$1,AD$1)</f>
        <v>0</v>
      </c>
      <c r="AE251" s="179">
        <f>SUMIFS('recurring2_based on steps'!$B251:$AY251,'recurring2_based on steps'!$B$1:$AY$1,AE$1)+SUMIFS('changes2_based on steps'!$B251:$U251,'changes2_based on steps'!$B$1:$U$1,AE$1)</f>
        <v>0</v>
      </c>
      <c r="AF251" s="179"/>
      <c r="AG251" s="179"/>
      <c r="AH251" s="179"/>
      <c r="AI251" s="179"/>
      <c r="AJ251" s="179"/>
      <c r="AK251" s="179"/>
      <c r="AL251" s="179"/>
      <c r="AM251" s="179"/>
    </row>
    <row r="252" spans="1:39" x14ac:dyDescent="0.2">
      <c r="A252" s="32">
        <f t="shared" ca="1" si="3"/>
        <v>46001</v>
      </c>
      <c r="B252" s="179">
        <f>SUMIFS('recurring2_based on steps'!$B252:$AY252,'recurring2_based on steps'!$B$1:$AY$1,B$1)+SUMIFS('changes2_based on steps'!$B252:$U252,'changes2_based on steps'!$B$1:$U$1,B$1)</f>
        <v>0</v>
      </c>
      <c r="C252" s="179">
        <f>SUMIFS('recurring2_based on steps'!$B252:$AY252,'recurring2_based on steps'!$B$1:$AY$1,C$1)+SUMIFS('changes2_based on steps'!$B252:$U252,'changes2_based on steps'!$B$1:$U$1,C$1)</f>
        <v>0</v>
      </c>
      <c r="D252" s="179">
        <f>SUMIFS('recurring2_based on steps'!$B252:$AY252,'recurring2_based on steps'!$B$1:$AY$1,D$1)+SUMIFS('changes2_based on steps'!$B252:$U252,'changes2_based on steps'!$B$1:$U$1,D$1)</f>
        <v>0</v>
      </c>
      <c r="E252" s="179">
        <f>SUMIFS('recurring2_based on steps'!$B252:$AY252,'recurring2_based on steps'!$B$1:$AY$1,E$1)+SUMIFS('changes2_based on steps'!$B252:$U252,'changes2_based on steps'!$B$1:$U$1,E$1)</f>
        <v>0</v>
      </c>
      <c r="F252" s="179">
        <f>SUMIFS('recurring2_based on steps'!$B252:$AY252,'recurring2_based on steps'!$B$1:$AY$1,F$1)+SUMIFS('changes2_based on steps'!$B252:$U252,'changes2_based on steps'!$B$1:$U$1,F$1)</f>
        <v>0</v>
      </c>
      <c r="G252" s="179">
        <f>SUMIFS('recurring2_based on steps'!$B252:$AY252,'recurring2_based on steps'!$B$1:$AY$1,G$1)+SUMIFS('changes2_based on steps'!$B252:$U252,'changes2_based on steps'!$B$1:$U$1,G$1)</f>
        <v>0</v>
      </c>
      <c r="H252" s="179">
        <f>SUMIFS('recurring2_based on steps'!$B252:$AY252,'recurring2_based on steps'!$B$1:$AY$1,H$1)+SUMIFS('changes2_based on steps'!$B252:$U252,'changes2_based on steps'!$B$1:$U$1,H$1)</f>
        <v>0</v>
      </c>
      <c r="I252" s="179">
        <f>SUMIFS('recurring2_based on steps'!$B252:$AY252,'recurring2_based on steps'!$B$1:$AY$1,I$1)+SUMIFS('changes2_based on steps'!$B252:$U252,'changes2_based on steps'!$B$1:$U$1,I$1)</f>
        <v>0</v>
      </c>
      <c r="J252" s="179">
        <f>SUMIFS('recurring2_based on steps'!$B252:$AY252,'recurring2_based on steps'!$B$1:$AY$1,J$1)+SUMIFS('changes2_based on steps'!$B252:$U252,'changes2_based on steps'!$B$1:$U$1,J$1)</f>
        <v>0</v>
      </c>
      <c r="K252" s="179">
        <f>SUMIFS('recurring2_based on steps'!$B252:$AY252,'recurring2_based on steps'!$B$1:$AY$1,K$1)+SUMIFS('changes2_based on steps'!$B252:$U252,'changes2_based on steps'!$B$1:$U$1,K$1)</f>
        <v>0</v>
      </c>
      <c r="L252" s="179">
        <f>SUMIFS('recurring2_based on steps'!$B252:$AY252,'recurring2_based on steps'!$B$1:$AY$1,L$1)+SUMIFS('changes2_based on steps'!$B252:$U252,'changes2_based on steps'!$B$1:$U$1,L$1)</f>
        <v>0</v>
      </c>
      <c r="M252" s="179">
        <f>SUMIFS('recurring2_based on steps'!$B252:$AY252,'recurring2_based on steps'!$B$1:$AY$1,M$1)+SUMIFS('changes2_based on steps'!$B252:$U252,'changes2_based on steps'!$B$1:$U$1,M$1)</f>
        <v>0</v>
      </c>
      <c r="N252" s="179">
        <f>SUMIFS('recurring2_based on steps'!$B252:$AY252,'recurring2_based on steps'!$B$1:$AY$1,N$1)+SUMIFS('changes2_based on steps'!$B252:$U252,'changes2_based on steps'!$B$1:$U$1,N$1)</f>
        <v>0</v>
      </c>
      <c r="O252" s="179">
        <f>SUMIFS('recurring2_based on steps'!$B252:$AY252,'recurring2_based on steps'!$B$1:$AY$1,O$1)+SUMIFS('changes2_based on steps'!$B252:$U252,'changes2_based on steps'!$B$1:$U$1,O$1)</f>
        <v>0</v>
      </c>
      <c r="P252" s="179">
        <f>SUMIFS('recurring2_based on steps'!$B252:$AY252,'recurring2_based on steps'!$B$1:$AY$1,P$1)+SUMIFS('changes2_based on steps'!$B252:$U252,'changes2_based on steps'!$B$1:$U$1,P$1)</f>
        <v>0</v>
      </c>
      <c r="Q252" s="179">
        <f>SUMIFS('recurring2_based on steps'!$B252:$AY252,'recurring2_based on steps'!$B$1:$AY$1,Q$1)+SUMIFS('changes2_based on steps'!$B252:$U252,'changes2_based on steps'!$B$1:$U$1,Q$1)</f>
        <v>0</v>
      </c>
      <c r="R252" s="179">
        <f>SUMIFS('recurring2_based on steps'!$B252:$AY252,'recurring2_based on steps'!$B$1:$AY$1,R$1)+SUMIFS('changes2_based on steps'!$B252:$U252,'changes2_based on steps'!$B$1:$U$1,R$1)</f>
        <v>0</v>
      </c>
      <c r="S252" s="179">
        <f>SUMIFS('recurring2_based on steps'!$B252:$AY252,'recurring2_based on steps'!$B$1:$AY$1,S$1)+SUMIFS('changes2_based on steps'!$B252:$U252,'changes2_based on steps'!$B$1:$U$1,S$1)</f>
        <v>0</v>
      </c>
      <c r="T252" s="179">
        <f>SUMIFS('recurring2_based on steps'!$B252:$AY252,'recurring2_based on steps'!$B$1:$AY$1,T$1)+SUMIFS('changes2_based on steps'!$B252:$U252,'changes2_based on steps'!$B$1:$U$1,T$1)</f>
        <v>0</v>
      </c>
      <c r="U252" s="179">
        <f>SUMIFS('recurring2_based on steps'!$B252:$AY252,'recurring2_based on steps'!$B$1:$AY$1,U$1)+SUMIFS('changes2_based on steps'!$B252:$U252,'changes2_based on steps'!$B$1:$U$1,U$1)</f>
        <v>0</v>
      </c>
      <c r="V252" s="179">
        <f>SUMIFS('recurring2_based on steps'!$B252:$AY252,'recurring2_based on steps'!$B$1:$AY$1,V$1)+SUMIFS('changes2_based on steps'!$B252:$U252,'changes2_based on steps'!$B$1:$U$1,V$1)</f>
        <v>0</v>
      </c>
      <c r="W252" s="179">
        <f>SUMIFS('recurring2_based on steps'!$B252:$AY252,'recurring2_based on steps'!$B$1:$AY$1,W$1)+SUMIFS('changes2_based on steps'!$B252:$U252,'changes2_based on steps'!$B$1:$U$1,W$1)</f>
        <v>0</v>
      </c>
      <c r="X252" s="179">
        <f>SUMIFS('recurring2_based on steps'!$B252:$AY252,'recurring2_based on steps'!$B$1:$AY$1,X$1)+SUMIFS('changes2_based on steps'!$B252:$U252,'changes2_based on steps'!$B$1:$U$1,X$1)</f>
        <v>0</v>
      </c>
      <c r="Y252" s="179">
        <f>SUMIFS('recurring2_based on steps'!$B252:$AY252,'recurring2_based on steps'!$B$1:$AY$1,Y$1)+SUMIFS('changes2_based on steps'!$B252:$U252,'changes2_based on steps'!$B$1:$U$1,Y$1)</f>
        <v>0</v>
      </c>
      <c r="Z252" s="179">
        <f>SUMIFS('recurring2_based on steps'!$B252:$AY252,'recurring2_based on steps'!$B$1:$AY$1,Z$1)+SUMIFS('changes2_based on steps'!$B252:$U252,'changes2_based on steps'!$B$1:$U$1,Z$1)</f>
        <v>0</v>
      </c>
      <c r="AA252" s="179">
        <f>SUMIFS('recurring2_based on steps'!$B252:$AY252,'recurring2_based on steps'!$B$1:$AY$1,AA$1)+SUMIFS('changes2_based on steps'!$B252:$U252,'changes2_based on steps'!$B$1:$U$1,AA$1)</f>
        <v>0</v>
      </c>
      <c r="AB252" s="179">
        <f>SUMIFS('recurring2_based on steps'!$B252:$AY252,'recurring2_based on steps'!$B$1:$AY$1,AB$1)+SUMIFS('changes2_based on steps'!$B252:$U252,'changes2_based on steps'!$B$1:$U$1,AB$1)</f>
        <v>0</v>
      </c>
      <c r="AC252" s="179">
        <f>SUMIFS('recurring2_based on steps'!$B252:$AY252,'recurring2_based on steps'!$B$1:$AY$1,AC$1)+SUMIFS('changes2_based on steps'!$B252:$U252,'changes2_based on steps'!$B$1:$U$1,AC$1)</f>
        <v>0</v>
      </c>
      <c r="AD252" s="179">
        <f>SUMIFS('recurring2_based on steps'!$B252:$AY252,'recurring2_based on steps'!$B$1:$AY$1,AD$1)+SUMIFS('changes2_based on steps'!$B252:$U252,'changes2_based on steps'!$B$1:$U$1,AD$1)</f>
        <v>0</v>
      </c>
      <c r="AE252" s="179">
        <f>SUMIFS('recurring2_based on steps'!$B252:$AY252,'recurring2_based on steps'!$B$1:$AY$1,AE$1)+SUMIFS('changes2_based on steps'!$B252:$U252,'changes2_based on steps'!$B$1:$U$1,AE$1)</f>
        <v>0</v>
      </c>
      <c r="AF252" s="179"/>
      <c r="AG252" s="179"/>
      <c r="AH252" s="179"/>
      <c r="AI252" s="179"/>
      <c r="AJ252" s="179"/>
      <c r="AK252" s="179"/>
      <c r="AL252" s="179"/>
      <c r="AM252" s="179"/>
    </row>
    <row r="253" spans="1:39" x14ac:dyDescent="0.2">
      <c r="A253" s="32">
        <f t="shared" ca="1" si="3"/>
        <v>46002</v>
      </c>
      <c r="B253" s="179">
        <f>SUMIFS('recurring2_based on steps'!$B253:$AY253,'recurring2_based on steps'!$B$1:$AY$1,B$1)+SUMIFS('changes2_based on steps'!$B253:$U253,'changes2_based on steps'!$B$1:$U$1,B$1)</f>
        <v>0</v>
      </c>
      <c r="C253" s="179">
        <f>SUMIFS('recurring2_based on steps'!$B253:$AY253,'recurring2_based on steps'!$B$1:$AY$1,C$1)+SUMIFS('changes2_based on steps'!$B253:$U253,'changes2_based on steps'!$B$1:$U$1,C$1)</f>
        <v>0</v>
      </c>
      <c r="D253" s="179">
        <f>SUMIFS('recurring2_based on steps'!$B253:$AY253,'recurring2_based on steps'!$B$1:$AY$1,D$1)+SUMIFS('changes2_based on steps'!$B253:$U253,'changes2_based on steps'!$B$1:$U$1,D$1)</f>
        <v>0</v>
      </c>
      <c r="E253" s="179">
        <f>SUMIFS('recurring2_based on steps'!$B253:$AY253,'recurring2_based on steps'!$B$1:$AY$1,E$1)+SUMIFS('changes2_based on steps'!$B253:$U253,'changes2_based on steps'!$B$1:$U$1,E$1)</f>
        <v>0</v>
      </c>
      <c r="F253" s="179">
        <f>SUMIFS('recurring2_based on steps'!$B253:$AY253,'recurring2_based on steps'!$B$1:$AY$1,F$1)+SUMIFS('changes2_based on steps'!$B253:$U253,'changes2_based on steps'!$B$1:$U$1,F$1)</f>
        <v>0</v>
      </c>
      <c r="G253" s="179">
        <f>SUMIFS('recurring2_based on steps'!$B253:$AY253,'recurring2_based on steps'!$B$1:$AY$1,G$1)+SUMIFS('changes2_based on steps'!$B253:$U253,'changes2_based on steps'!$B$1:$U$1,G$1)</f>
        <v>0</v>
      </c>
      <c r="H253" s="179">
        <f>SUMIFS('recurring2_based on steps'!$B253:$AY253,'recurring2_based on steps'!$B$1:$AY$1,H$1)+SUMIFS('changes2_based on steps'!$B253:$U253,'changes2_based on steps'!$B$1:$U$1,H$1)</f>
        <v>0</v>
      </c>
      <c r="I253" s="179">
        <f>SUMIFS('recurring2_based on steps'!$B253:$AY253,'recurring2_based on steps'!$B$1:$AY$1,I$1)+SUMIFS('changes2_based on steps'!$B253:$U253,'changes2_based on steps'!$B$1:$U$1,I$1)</f>
        <v>0</v>
      </c>
      <c r="J253" s="179">
        <f>SUMIFS('recurring2_based on steps'!$B253:$AY253,'recurring2_based on steps'!$B$1:$AY$1,J$1)+SUMIFS('changes2_based on steps'!$B253:$U253,'changes2_based on steps'!$B$1:$U$1,J$1)</f>
        <v>0</v>
      </c>
      <c r="K253" s="179">
        <f>SUMIFS('recurring2_based on steps'!$B253:$AY253,'recurring2_based on steps'!$B$1:$AY$1,K$1)+SUMIFS('changes2_based on steps'!$B253:$U253,'changes2_based on steps'!$B$1:$U$1,K$1)</f>
        <v>0</v>
      </c>
      <c r="L253" s="179">
        <f>SUMIFS('recurring2_based on steps'!$B253:$AY253,'recurring2_based on steps'!$B$1:$AY$1,L$1)+SUMIFS('changes2_based on steps'!$B253:$U253,'changes2_based on steps'!$B$1:$U$1,L$1)</f>
        <v>0</v>
      </c>
      <c r="M253" s="179">
        <f>SUMIFS('recurring2_based on steps'!$B253:$AY253,'recurring2_based on steps'!$B$1:$AY$1,M$1)+SUMIFS('changes2_based on steps'!$B253:$U253,'changes2_based on steps'!$B$1:$U$1,M$1)</f>
        <v>0</v>
      </c>
      <c r="N253" s="179">
        <f>SUMIFS('recurring2_based on steps'!$B253:$AY253,'recurring2_based on steps'!$B$1:$AY$1,N$1)+SUMIFS('changes2_based on steps'!$B253:$U253,'changes2_based on steps'!$B$1:$U$1,N$1)</f>
        <v>0</v>
      </c>
      <c r="O253" s="179">
        <f>SUMIFS('recurring2_based on steps'!$B253:$AY253,'recurring2_based on steps'!$B$1:$AY$1,O$1)+SUMIFS('changes2_based on steps'!$B253:$U253,'changes2_based on steps'!$B$1:$U$1,O$1)</f>
        <v>0</v>
      </c>
      <c r="P253" s="179">
        <f>SUMIFS('recurring2_based on steps'!$B253:$AY253,'recurring2_based on steps'!$B$1:$AY$1,P$1)+SUMIFS('changes2_based on steps'!$B253:$U253,'changes2_based on steps'!$B$1:$U$1,P$1)</f>
        <v>0</v>
      </c>
      <c r="Q253" s="179">
        <f>SUMIFS('recurring2_based on steps'!$B253:$AY253,'recurring2_based on steps'!$B$1:$AY$1,Q$1)+SUMIFS('changes2_based on steps'!$B253:$U253,'changes2_based on steps'!$B$1:$U$1,Q$1)</f>
        <v>0</v>
      </c>
      <c r="R253" s="179">
        <f>SUMIFS('recurring2_based on steps'!$B253:$AY253,'recurring2_based on steps'!$B$1:$AY$1,R$1)+SUMIFS('changes2_based on steps'!$B253:$U253,'changes2_based on steps'!$B$1:$U$1,R$1)</f>
        <v>0</v>
      </c>
      <c r="S253" s="179">
        <f>SUMIFS('recurring2_based on steps'!$B253:$AY253,'recurring2_based on steps'!$B$1:$AY$1,S$1)+SUMIFS('changes2_based on steps'!$B253:$U253,'changes2_based on steps'!$B$1:$U$1,S$1)</f>
        <v>0</v>
      </c>
      <c r="T253" s="179">
        <f>SUMIFS('recurring2_based on steps'!$B253:$AY253,'recurring2_based on steps'!$B$1:$AY$1,T$1)+SUMIFS('changes2_based on steps'!$B253:$U253,'changes2_based on steps'!$B$1:$U$1,T$1)</f>
        <v>0</v>
      </c>
      <c r="U253" s="179">
        <f>SUMIFS('recurring2_based on steps'!$B253:$AY253,'recurring2_based on steps'!$B$1:$AY$1,U$1)+SUMIFS('changes2_based on steps'!$B253:$U253,'changes2_based on steps'!$B$1:$U$1,U$1)</f>
        <v>0</v>
      </c>
      <c r="V253" s="179">
        <f>SUMIFS('recurring2_based on steps'!$B253:$AY253,'recurring2_based on steps'!$B$1:$AY$1,V$1)+SUMIFS('changes2_based on steps'!$B253:$U253,'changes2_based on steps'!$B$1:$U$1,V$1)</f>
        <v>0</v>
      </c>
      <c r="W253" s="179">
        <f>SUMIFS('recurring2_based on steps'!$B253:$AY253,'recurring2_based on steps'!$B$1:$AY$1,W$1)+SUMIFS('changes2_based on steps'!$B253:$U253,'changes2_based on steps'!$B$1:$U$1,W$1)</f>
        <v>0</v>
      </c>
      <c r="X253" s="179">
        <f>SUMIFS('recurring2_based on steps'!$B253:$AY253,'recurring2_based on steps'!$B$1:$AY$1,X$1)+SUMIFS('changes2_based on steps'!$B253:$U253,'changes2_based on steps'!$B$1:$U$1,X$1)</f>
        <v>0</v>
      </c>
      <c r="Y253" s="179">
        <f>SUMIFS('recurring2_based on steps'!$B253:$AY253,'recurring2_based on steps'!$B$1:$AY$1,Y$1)+SUMIFS('changes2_based on steps'!$B253:$U253,'changes2_based on steps'!$B$1:$U$1,Y$1)</f>
        <v>0</v>
      </c>
      <c r="Z253" s="179">
        <f>SUMIFS('recurring2_based on steps'!$B253:$AY253,'recurring2_based on steps'!$B$1:$AY$1,Z$1)+SUMIFS('changes2_based on steps'!$B253:$U253,'changes2_based on steps'!$B$1:$U$1,Z$1)</f>
        <v>0</v>
      </c>
      <c r="AA253" s="179">
        <f>SUMIFS('recurring2_based on steps'!$B253:$AY253,'recurring2_based on steps'!$B$1:$AY$1,AA$1)+SUMIFS('changes2_based on steps'!$B253:$U253,'changes2_based on steps'!$B$1:$U$1,AA$1)</f>
        <v>0</v>
      </c>
      <c r="AB253" s="179">
        <f>SUMIFS('recurring2_based on steps'!$B253:$AY253,'recurring2_based on steps'!$B$1:$AY$1,AB$1)+SUMIFS('changes2_based on steps'!$B253:$U253,'changes2_based on steps'!$B$1:$U$1,AB$1)</f>
        <v>0</v>
      </c>
      <c r="AC253" s="179">
        <f>SUMIFS('recurring2_based on steps'!$B253:$AY253,'recurring2_based on steps'!$B$1:$AY$1,AC$1)+SUMIFS('changes2_based on steps'!$B253:$U253,'changes2_based on steps'!$B$1:$U$1,AC$1)</f>
        <v>0</v>
      </c>
      <c r="AD253" s="179">
        <f>SUMIFS('recurring2_based on steps'!$B253:$AY253,'recurring2_based on steps'!$B$1:$AY$1,AD$1)+SUMIFS('changes2_based on steps'!$B253:$U253,'changes2_based on steps'!$B$1:$U$1,AD$1)</f>
        <v>0</v>
      </c>
      <c r="AE253" s="179">
        <f>SUMIFS('recurring2_based on steps'!$B253:$AY253,'recurring2_based on steps'!$B$1:$AY$1,AE$1)+SUMIFS('changes2_based on steps'!$B253:$U253,'changes2_based on steps'!$B$1:$U$1,AE$1)</f>
        <v>0</v>
      </c>
      <c r="AF253" s="179"/>
      <c r="AG253" s="179"/>
      <c r="AH253" s="179"/>
      <c r="AI253" s="179"/>
      <c r="AJ253" s="179"/>
      <c r="AK253" s="179"/>
      <c r="AL253" s="179"/>
      <c r="AM253" s="179"/>
    </row>
    <row r="254" spans="1:39" x14ac:dyDescent="0.2">
      <c r="A254" s="32">
        <f t="shared" ca="1" si="3"/>
        <v>46003</v>
      </c>
      <c r="B254" s="179">
        <f>SUMIFS('recurring2_based on steps'!$B254:$AY254,'recurring2_based on steps'!$B$1:$AY$1,B$1)+SUMIFS('changes2_based on steps'!$B254:$U254,'changes2_based on steps'!$B$1:$U$1,B$1)</f>
        <v>0</v>
      </c>
      <c r="C254" s="179">
        <f>SUMIFS('recurring2_based on steps'!$B254:$AY254,'recurring2_based on steps'!$B$1:$AY$1,C$1)+SUMIFS('changes2_based on steps'!$B254:$U254,'changes2_based on steps'!$B$1:$U$1,C$1)</f>
        <v>0</v>
      </c>
      <c r="D254" s="179">
        <f>SUMIFS('recurring2_based on steps'!$B254:$AY254,'recurring2_based on steps'!$B$1:$AY$1,D$1)+SUMIFS('changes2_based on steps'!$B254:$U254,'changes2_based on steps'!$B$1:$U$1,D$1)</f>
        <v>0</v>
      </c>
      <c r="E254" s="179">
        <f>SUMIFS('recurring2_based on steps'!$B254:$AY254,'recurring2_based on steps'!$B$1:$AY$1,E$1)+SUMIFS('changes2_based on steps'!$B254:$U254,'changes2_based on steps'!$B$1:$U$1,E$1)</f>
        <v>0</v>
      </c>
      <c r="F254" s="179">
        <f>SUMIFS('recurring2_based on steps'!$B254:$AY254,'recurring2_based on steps'!$B$1:$AY$1,F$1)+SUMIFS('changes2_based on steps'!$B254:$U254,'changes2_based on steps'!$B$1:$U$1,F$1)</f>
        <v>0</v>
      </c>
      <c r="G254" s="179">
        <f>SUMIFS('recurring2_based on steps'!$B254:$AY254,'recurring2_based on steps'!$B$1:$AY$1,G$1)+SUMIFS('changes2_based on steps'!$B254:$U254,'changes2_based on steps'!$B$1:$U$1,G$1)</f>
        <v>0</v>
      </c>
      <c r="H254" s="179">
        <f>SUMIFS('recurring2_based on steps'!$B254:$AY254,'recurring2_based on steps'!$B$1:$AY$1,H$1)+SUMIFS('changes2_based on steps'!$B254:$U254,'changes2_based on steps'!$B$1:$U$1,H$1)</f>
        <v>0</v>
      </c>
      <c r="I254" s="179">
        <f>SUMIFS('recurring2_based on steps'!$B254:$AY254,'recurring2_based on steps'!$B$1:$AY$1,I$1)+SUMIFS('changes2_based on steps'!$B254:$U254,'changes2_based on steps'!$B$1:$U$1,I$1)</f>
        <v>0</v>
      </c>
      <c r="J254" s="179">
        <f>SUMIFS('recurring2_based on steps'!$B254:$AY254,'recurring2_based on steps'!$B$1:$AY$1,J$1)+SUMIFS('changes2_based on steps'!$B254:$U254,'changes2_based on steps'!$B$1:$U$1,J$1)</f>
        <v>0</v>
      </c>
      <c r="K254" s="179">
        <f>SUMIFS('recurring2_based on steps'!$B254:$AY254,'recurring2_based on steps'!$B$1:$AY$1,K$1)+SUMIFS('changes2_based on steps'!$B254:$U254,'changes2_based on steps'!$B$1:$U$1,K$1)</f>
        <v>0</v>
      </c>
      <c r="L254" s="179">
        <f>SUMIFS('recurring2_based on steps'!$B254:$AY254,'recurring2_based on steps'!$B$1:$AY$1,L$1)+SUMIFS('changes2_based on steps'!$B254:$U254,'changes2_based on steps'!$B$1:$U$1,L$1)</f>
        <v>0</v>
      </c>
      <c r="M254" s="179">
        <f>SUMIFS('recurring2_based on steps'!$B254:$AY254,'recurring2_based on steps'!$B$1:$AY$1,M$1)+SUMIFS('changes2_based on steps'!$B254:$U254,'changes2_based on steps'!$B$1:$U$1,M$1)</f>
        <v>0</v>
      </c>
      <c r="N254" s="179">
        <f>SUMIFS('recurring2_based on steps'!$B254:$AY254,'recurring2_based on steps'!$B$1:$AY$1,N$1)+SUMIFS('changes2_based on steps'!$B254:$U254,'changes2_based on steps'!$B$1:$U$1,N$1)</f>
        <v>0</v>
      </c>
      <c r="O254" s="179">
        <f>SUMIFS('recurring2_based on steps'!$B254:$AY254,'recurring2_based on steps'!$B$1:$AY$1,O$1)+SUMIFS('changes2_based on steps'!$B254:$U254,'changes2_based on steps'!$B$1:$U$1,O$1)</f>
        <v>0</v>
      </c>
      <c r="P254" s="179">
        <f>SUMIFS('recurring2_based on steps'!$B254:$AY254,'recurring2_based on steps'!$B$1:$AY$1,P$1)+SUMIFS('changes2_based on steps'!$B254:$U254,'changes2_based on steps'!$B$1:$U$1,P$1)</f>
        <v>0</v>
      </c>
      <c r="Q254" s="179">
        <f>SUMIFS('recurring2_based on steps'!$B254:$AY254,'recurring2_based on steps'!$B$1:$AY$1,Q$1)+SUMIFS('changes2_based on steps'!$B254:$U254,'changes2_based on steps'!$B$1:$U$1,Q$1)</f>
        <v>0</v>
      </c>
      <c r="R254" s="179">
        <f>SUMIFS('recurring2_based on steps'!$B254:$AY254,'recurring2_based on steps'!$B$1:$AY$1,R$1)+SUMIFS('changes2_based on steps'!$B254:$U254,'changes2_based on steps'!$B$1:$U$1,R$1)</f>
        <v>0</v>
      </c>
      <c r="S254" s="179">
        <f>SUMIFS('recurring2_based on steps'!$B254:$AY254,'recurring2_based on steps'!$B$1:$AY$1,S$1)+SUMIFS('changes2_based on steps'!$B254:$U254,'changes2_based on steps'!$B$1:$U$1,S$1)</f>
        <v>0</v>
      </c>
      <c r="T254" s="179">
        <f>SUMIFS('recurring2_based on steps'!$B254:$AY254,'recurring2_based on steps'!$B$1:$AY$1,T$1)+SUMIFS('changes2_based on steps'!$B254:$U254,'changes2_based on steps'!$B$1:$U$1,T$1)</f>
        <v>0</v>
      </c>
      <c r="U254" s="179">
        <f>SUMIFS('recurring2_based on steps'!$B254:$AY254,'recurring2_based on steps'!$B$1:$AY$1,U$1)+SUMIFS('changes2_based on steps'!$B254:$U254,'changes2_based on steps'!$B$1:$U$1,U$1)</f>
        <v>0</v>
      </c>
      <c r="V254" s="179">
        <f>SUMIFS('recurring2_based on steps'!$B254:$AY254,'recurring2_based on steps'!$B$1:$AY$1,V$1)+SUMIFS('changes2_based on steps'!$B254:$U254,'changes2_based on steps'!$B$1:$U$1,V$1)</f>
        <v>0</v>
      </c>
      <c r="W254" s="179">
        <f>SUMIFS('recurring2_based on steps'!$B254:$AY254,'recurring2_based on steps'!$B$1:$AY$1,W$1)+SUMIFS('changes2_based on steps'!$B254:$U254,'changes2_based on steps'!$B$1:$U$1,W$1)</f>
        <v>0</v>
      </c>
      <c r="X254" s="179">
        <f>SUMIFS('recurring2_based on steps'!$B254:$AY254,'recurring2_based on steps'!$B$1:$AY$1,X$1)+SUMIFS('changes2_based on steps'!$B254:$U254,'changes2_based on steps'!$B$1:$U$1,X$1)</f>
        <v>0</v>
      </c>
      <c r="Y254" s="179">
        <f>SUMIFS('recurring2_based on steps'!$B254:$AY254,'recurring2_based on steps'!$B$1:$AY$1,Y$1)+SUMIFS('changes2_based on steps'!$B254:$U254,'changes2_based on steps'!$B$1:$U$1,Y$1)</f>
        <v>0</v>
      </c>
      <c r="Z254" s="179">
        <f>SUMIFS('recurring2_based on steps'!$B254:$AY254,'recurring2_based on steps'!$B$1:$AY$1,Z$1)+SUMIFS('changes2_based on steps'!$B254:$U254,'changes2_based on steps'!$B$1:$U$1,Z$1)</f>
        <v>0</v>
      </c>
      <c r="AA254" s="179">
        <f>SUMIFS('recurring2_based on steps'!$B254:$AY254,'recurring2_based on steps'!$B$1:$AY$1,AA$1)+SUMIFS('changes2_based on steps'!$B254:$U254,'changes2_based on steps'!$B$1:$U$1,AA$1)</f>
        <v>0</v>
      </c>
      <c r="AB254" s="179">
        <f>SUMIFS('recurring2_based on steps'!$B254:$AY254,'recurring2_based on steps'!$B$1:$AY$1,AB$1)+SUMIFS('changes2_based on steps'!$B254:$U254,'changes2_based on steps'!$B$1:$U$1,AB$1)</f>
        <v>0</v>
      </c>
      <c r="AC254" s="179">
        <f>SUMIFS('recurring2_based on steps'!$B254:$AY254,'recurring2_based on steps'!$B$1:$AY$1,AC$1)+SUMIFS('changes2_based on steps'!$B254:$U254,'changes2_based on steps'!$B$1:$U$1,AC$1)</f>
        <v>0</v>
      </c>
      <c r="AD254" s="179">
        <f>SUMIFS('recurring2_based on steps'!$B254:$AY254,'recurring2_based on steps'!$B$1:$AY$1,AD$1)+SUMIFS('changes2_based on steps'!$B254:$U254,'changes2_based on steps'!$B$1:$U$1,AD$1)</f>
        <v>0</v>
      </c>
      <c r="AE254" s="179">
        <f>SUMIFS('recurring2_based on steps'!$B254:$AY254,'recurring2_based on steps'!$B$1:$AY$1,AE$1)+SUMIFS('changes2_based on steps'!$B254:$U254,'changes2_based on steps'!$B$1:$U$1,AE$1)</f>
        <v>0</v>
      </c>
      <c r="AF254" s="179"/>
      <c r="AG254" s="179"/>
      <c r="AH254" s="179"/>
      <c r="AI254" s="179"/>
      <c r="AJ254" s="179"/>
      <c r="AK254" s="179"/>
      <c r="AL254" s="179"/>
      <c r="AM254" s="179"/>
    </row>
    <row r="255" spans="1:39" x14ac:dyDescent="0.2">
      <c r="A255" s="32">
        <f t="shared" ca="1" si="3"/>
        <v>46004</v>
      </c>
      <c r="B255" s="179">
        <f>SUMIFS('recurring2_based on steps'!$B255:$AY255,'recurring2_based on steps'!$B$1:$AY$1,B$1)+SUMIFS('changes2_based on steps'!$B255:$U255,'changes2_based on steps'!$B$1:$U$1,B$1)</f>
        <v>0</v>
      </c>
      <c r="C255" s="179">
        <f>SUMIFS('recurring2_based on steps'!$B255:$AY255,'recurring2_based on steps'!$B$1:$AY$1,C$1)+SUMIFS('changes2_based on steps'!$B255:$U255,'changes2_based on steps'!$B$1:$U$1,C$1)</f>
        <v>0</v>
      </c>
      <c r="D255" s="179">
        <f>SUMIFS('recurring2_based on steps'!$B255:$AY255,'recurring2_based on steps'!$B$1:$AY$1,D$1)+SUMIFS('changes2_based on steps'!$B255:$U255,'changes2_based on steps'!$B$1:$U$1,D$1)</f>
        <v>0</v>
      </c>
      <c r="E255" s="179">
        <f>SUMIFS('recurring2_based on steps'!$B255:$AY255,'recurring2_based on steps'!$B$1:$AY$1,E$1)+SUMIFS('changes2_based on steps'!$B255:$U255,'changes2_based on steps'!$B$1:$U$1,E$1)</f>
        <v>0</v>
      </c>
      <c r="F255" s="179">
        <f>SUMIFS('recurring2_based on steps'!$B255:$AY255,'recurring2_based on steps'!$B$1:$AY$1,F$1)+SUMIFS('changes2_based on steps'!$B255:$U255,'changes2_based on steps'!$B$1:$U$1,F$1)</f>
        <v>0</v>
      </c>
      <c r="G255" s="179">
        <f>SUMIFS('recurring2_based on steps'!$B255:$AY255,'recurring2_based on steps'!$B$1:$AY$1,G$1)+SUMIFS('changes2_based on steps'!$B255:$U255,'changes2_based on steps'!$B$1:$U$1,G$1)</f>
        <v>0</v>
      </c>
      <c r="H255" s="179">
        <f>SUMIFS('recurring2_based on steps'!$B255:$AY255,'recurring2_based on steps'!$B$1:$AY$1,H$1)+SUMIFS('changes2_based on steps'!$B255:$U255,'changes2_based on steps'!$B$1:$U$1,H$1)</f>
        <v>0</v>
      </c>
      <c r="I255" s="179">
        <f>SUMIFS('recurring2_based on steps'!$B255:$AY255,'recurring2_based on steps'!$B$1:$AY$1,I$1)+SUMIFS('changes2_based on steps'!$B255:$U255,'changes2_based on steps'!$B$1:$U$1,I$1)</f>
        <v>0</v>
      </c>
      <c r="J255" s="179">
        <f>SUMIFS('recurring2_based on steps'!$B255:$AY255,'recurring2_based on steps'!$B$1:$AY$1,J$1)+SUMIFS('changes2_based on steps'!$B255:$U255,'changes2_based on steps'!$B$1:$U$1,J$1)</f>
        <v>0</v>
      </c>
      <c r="K255" s="179">
        <f>SUMIFS('recurring2_based on steps'!$B255:$AY255,'recurring2_based on steps'!$B$1:$AY$1,K$1)+SUMIFS('changes2_based on steps'!$B255:$U255,'changes2_based on steps'!$B$1:$U$1,K$1)</f>
        <v>0</v>
      </c>
      <c r="L255" s="179">
        <f>SUMIFS('recurring2_based on steps'!$B255:$AY255,'recurring2_based on steps'!$B$1:$AY$1,L$1)+SUMIFS('changes2_based on steps'!$B255:$U255,'changes2_based on steps'!$B$1:$U$1,L$1)</f>
        <v>0</v>
      </c>
      <c r="M255" s="179">
        <f>SUMIFS('recurring2_based on steps'!$B255:$AY255,'recurring2_based on steps'!$B$1:$AY$1,M$1)+SUMIFS('changes2_based on steps'!$B255:$U255,'changes2_based on steps'!$B$1:$U$1,M$1)</f>
        <v>0</v>
      </c>
      <c r="N255" s="179">
        <f>SUMIFS('recurring2_based on steps'!$B255:$AY255,'recurring2_based on steps'!$B$1:$AY$1,N$1)+SUMIFS('changes2_based on steps'!$B255:$U255,'changes2_based on steps'!$B$1:$U$1,N$1)</f>
        <v>0</v>
      </c>
      <c r="O255" s="179">
        <f>SUMIFS('recurring2_based on steps'!$B255:$AY255,'recurring2_based on steps'!$B$1:$AY$1,O$1)+SUMIFS('changes2_based on steps'!$B255:$U255,'changes2_based on steps'!$B$1:$U$1,O$1)</f>
        <v>0</v>
      </c>
      <c r="P255" s="179">
        <f>SUMIFS('recurring2_based on steps'!$B255:$AY255,'recurring2_based on steps'!$B$1:$AY$1,P$1)+SUMIFS('changes2_based on steps'!$B255:$U255,'changes2_based on steps'!$B$1:$U$1,P$1)</f>
        <v>0</v>
      </c>
      <c r="Q255" s="179">
        <f>SUMIFS('recurring2_based on steps'!$B255:$AY255,'recurring2_based on steps'!$B$1:$AY$1,Q$1)+SUMIFS('changes2_based on steps'!$B255:$U255,'changes2_based on steps'!$B$1:$U$1,Q$1)</f>
        <v>0</v>
      </c>
      <c r="R255" s="179">
        <f>SUMIFS('recurring2_based on steps'!$B255:$AY255,'recurring2_based on steps'!$B$1:$AY$1,R$1)+SUMIFS('changes2_based on steps'!$B255:$U255,'changes2_based on steps'!$B$1:$U$1,R$1)</f>
        <v>0</v>
      </c>
      <c r="S255" s="179">
        <f>SUMIFS('recurring2_based on steps'!$B255:$AY255,'recurring2_based on steps'!$B$1:$AY$1,S$1)+SUMIFS('changes2_based on steps'!$B255:$U255,'changes2_based on steps'!$B$1:$U$1,S$1)</f>
        <v>0</v>
      </c>
      <c r="T255" s="179">
        <f>SUMIFS('recurring2_based on steps'!$B255:$AY255,'recurring2_based on steps'!$B$1:$AY$1,T$1)+SUMIFS('changes2_based on steps'!$B255:$U255,'changes2_based on steps'!$B$1:$U$1,T$1)</f>
        <v>0</v>
      </c>
      <c r="U255" s="179">
        <f>SUMIFS('recurring2_based on steps'!$B255:$AY255,'recurring2_based on steps'!$B$1:$AY$1,U$1)+SUMIFS('changes2_based on steps'!$B255:$U255,'changes2_based on steps'!$B$1:$U$1,U$1)</f>
        <v>0</v>
      </c>
      <c r="V255" s="179">
        <f>SUMIFS('recurring2_based on steps'!$B255:$AY255,'recurring2_based on steps'!$B$1:$AY$1,V$1)+SUMIFS('changes2_based on steps'!$B255:$U255,'changes2_based on steps'!$B$1:$U$1,V$1)</f>
        <v>0</v>
      </c>
      <c r="W255" s="179">
        <f>SUMIFS('recurring2_based on steps'!$B255:$AY255,'recurring2_based on steps'!$B$1:$AY$1,W$1)+SUMIFS('changes2_based on steps'!$B255:$U255,'changes2_based on steps'!$B$1:$U$1,W$1)</f>
        <v>0</v>
      </c>
      <c r="X255" s="179">
        <f>SUMIFS('recurring2_based on steps'!$B255:$AY255,'recurring2_based on steps'!$B$1:$AY$1,X$1)+SUMIFS('changes2_based on steps'!$B255:$U255,'changes2_based on steps'!$B$1:$U$1,X$1)</f>
        <v>0</v>
      </c>
      <c r="Y255" s="179">
        <f>SUMIFS('recurring2_based on steps'!$B255:$AY255,'recurring2_based on steps'!$B$1:$AY$1,Y$1)+SUMIFS('changes2_based on steps'!$B255:$U255,'changes2_based on steps'!$B$1:$U$1,Y$1)</f>
        <v>0</v>
      </c>
      <c r="Z255" s="179">
        <f>SUMIFS('recurring2_based on steps'!$B255:$AY255,'recurring2_based on steps'!$B$1:$AY$1,Z$1)+SUMIFS('changes2_based on steps'!$B255:$U255,'changes2_based on steps'!$B$1:$U$1,Z$1)</f>
        <v>0</v>
      </c>
      <c r="AA255" s="179">
        <f>SUMIFS('recurring2_based on steps'!$B255:$AY255,'recurring2_based on steps'!$B$1:$AY$1,AA$1)+SUMIFS('changes2_based on steps'!$B255:$U255,'changes2_based on steps'!$B$1:$U$1,AA$1)</f>
        <v>0</v>
      </c>
      <c r="AB255" s="179">
        <f>SUMIFS('recurring2_based on steps'!$B255:$AY255,'recurring2_based on steps'!$B$1:$AY$1,AB$1)+SUMIFS('changes2_based on steps'!$B255:$U255,'changes2_based on steps'!$B$1:$U$1,AB$1)</f>
        <v>0</v>
      </c>
      <c r="AC255" s="179">
        <f>SUMIFS('recurring2_based on steps'!$B255:$AY255,'recurring2_based on steps'!$B$1:$AY$1,AC$1)+SUMIFS('changes2_based on steps'!$B255:$U255,'changes2_based on steps'!$B$1:$U$1,AC$1)</f>
        <v>0</v>
      </c>
      <c r="AD255" s="179">
        <f>SUMIFS('recurring2_based on steps'!$B255:$AY255,'recurring2_based on steps'!$B$1:$AY$1,AD$1)+SUMIFS('changes2_based on steps'!$B255:$U255,'changes2_based on steps'!$B$1:$U$1,AD$1)</f>
        <v>0</v>
      </c>
      <c r="AE255" s="179">
        <f>SUMIFS('recurring2_based on steps'!$B255:$AY255,'recurring2_based on steps'!$B$1:$AY$1,AE$1)+SUMIFS('changes2_based on steps'!$B255:$U255,'changes2_based on steps'!$B$1:$U$1,AE$1)</f>
        <v>0</v>
      </c>
      <c r="AF255" s="179"/>
      <c r="AG255" s="179"/>
      <c r="AH255" s="179"/>
      <c r="AI255" s="179"/>
      <c r="AJ255" s="179"/>
      <c r="AK255" s="179"/>
      <c r="AL255" s="179"/>
      <c r="AM255" s="179"/>
    </row>
    <row r="256" spans="1:39" x14ac:dyDescent="0.2">
      <c r="A256" s="32">
        <f t="shared" ca="1" si="3"/>
        <v>46005</v>
      </c>
      <c r="B256" s="179">
        <f>SUMIFS('recurring2_based on steps'!$B256:$AY256,'recurring2_based on steps'!$B$1:$AY$1,B$1)+SUMIFS('changes2_based on steps'!$B256:$U256,'changes2_based on steps'!$B$1:$U$1,B$1)</f>
        <v>0</v>
      </c>
      <c r="C256" s="179">
        <f>SUMIFS('recurring2_based on steps'!$B256:$AY256,'recurring2_based on steps'!$B$1:$AY$1,C$1)+SUMIFS('changes2_based on steps'!$B256:$U256,'changes2_based on steps'!$B$1:$U$1,C$1)</f>
        <v>0</v>
      </c>
      <c r="D256" s="179">
        <f>SUMIFS('recurring2_based on steps'!$B256:$AY256,'recurring2_based on steps'!$B$1:$AY$1,D$1)+SUMIFS('changes2_based on steps'!$B256:$U256,'changes2_based on steps'!$B$1:$U$1,D$1)</f>
        <v>0</v>
      </c>
      <c r="E256" s="179">
        <f>SUMIFS('recurring2_based on steps'!$B256:$AY256,'recurring2_based on steps'!$B$1:$AY$1,E$1)+SUMIFS('changes2_based on steps'!$B256:$U256,'changes2_based on steps'!$B$1:$U$1,E$1)</f>
        <v>0</v>
      </c>
      <c r="F256" s="179">
        <f>SUMIFS('recurring2_based on steps'!$B256:$AY256,'recurring2_based on steps'!$B$1:$AY$1,F$1)+SUMIFS('changes2_based on steps'!$B256:$U256,'changes2_based on steps'!$B$1:$U$1,F$1)</f>
        <v>0</v>
      </c>
      <c r="G256" s="179">
        <f>SUMIFS('recurring2_based on steps'!$B256:$AY256,'recurring2_based on steps'!$B$1:$AY$1,G$1)+SUMIFS('changes2_based on steps'!$B256:$U256,'changes2_based on steps'!$B$1:$U$1,G$1)</f>
        <v>0</v>
      </c>
      <c r="H256" s="179">
        <f>SUMIFS('recurring2_based on steps'!$B256:$AY256,'recurring2_based on steps'!$B$1:$AY$1,H$1)+SUMIFS('changes2_based on steps'!$B256:$U256,'changes2_based on steps'!$B$1:$U$1,H$1)</f>
        <v>0</v>
      </c>
      <c r="I256" s="179">
        <f>SUMIFS('recurring2_based on steps'!$B256:$AY256,'recurring2_based on steps'!$B$1:$AY$1,I$1)+SUMIFS('changes2_based on steps'!$B256:$U256,'changes2_based on steps'!$B$1:$U$1,I$1)</f>
        <v>0</v>
      </c>
      <c r="J256" s="179">
        <f>SUMIFS('recurring2_based on steps'!$B256:$AY256,'recurring2_based on steps'!$B$1:$AY$1,J$1)+SUMIFS('changes2_based on steps'!$B256:$U256,'changes2_based on steps'!$B$1:$U$1,J$1)</f>
        <v>0</v>
      </c>
      <c r="K256" s="179">
        <f>SUMIFS('recurring2_based on steps'!$B256:$AY256,'recurring2_based on steps'!$B$1:$AY$1,K$1)+SUMIFS('changes2_based on steps'!$B256:$U256,'changes2_based on steps'!$B$1:$U$1,K$1)</f>
        <v>0</v>
      </c>
      <c r="L256" s="179">
        <f>SUMIFS('recurring2_based on steps'!$B256:$AY256,'recurring2_based on steps'!$B$1:$AY$1,L$1)+SUMIFS('changes2_based on steps'!$B256:$U256,'changes2_based on steps'!$B$1:$U$1,L$1)</f>
        <v>0</v>
      </c>
      <c r="M256" s="179">
        <f>SUMIFS('recurring2_based on steps'!$B256:$AY256,'recurring2_based on steps'!$B$1:$AY$1,M$1)+SUMIFS('changes2_based on steps'!$B256:$U256,'changes2_based on steps'!$B$1:$U$1,M$1)</f>
        <v>0</v>
      </c>
      <c r="N256" s="179">
        <f>SUMIFS('recurring2_based on steps'!$B256:$AY256,'recurring2_based on steps'!$B$1:$AY$1,N$1)+SUMIFS('changes2_based on steps'!$B256:$U256,'changes2_based on steps'!$B$1:$U$1,N$1)</f>
        <v>0</v>
      </c>
      <c r="O256" s="179">
        <f>SUMIFS('recurring2_based on steps'!$B256:$AY256,'recurring2_based on steps'!$B$1:$AY$1,O$1)+SUMIFS('changes2_based on steps'!$B256:$U256,'changes2_based on steps'!$B$1:$U$1,O$1)</f>
        <v>0</v>
      </c>
      <c r="P256" s="179">
        <f>SUMIFS('recurring2_based on steps'!$B256:$AY256,'recurring2_based on steps'!$B$1:$AY$1,P$1)+SUMIFS('changes2_based on steps'!$B256:$U256,'changes2_based on steps'!$B$1:$U$1,P$1)</f>
        <v>0</v>
      </c>
      <c r="Q256" s="179">
        <f>SUMIFS('recurring2_based on steps'!$B256:$AY256,'recurring2_based on steps'!$B$1:$AY$1,Q$1)+SUMIFS('changes2_based on steps'!$B256:$U256,'changes2_based on steps'!$B$1:$U$1,Q$1)</f>
        <v>0</v>
      </c>
      <c r="R256" s="179">
        <f>SUMIFS('recurring2_based on steps'!$B256:$AY256,'recurring2_based on steps'!$B$1:$AY$1,R$1)+SUMIFS('changes2_based on steps'!$B256:$U256,'changes2_based on steps'!$B$1:$U$1,R$1)</f>
        <v>0</v>
      </c>
      <c r="S256" s="179">
        <f>SUMIFS('recurring2_based on steps'!$B256:$AY256,'recurring2_based on steps'!$B$1:$AY$1,S$1)+SUMIFS('changes2_based on steps'!$B256:$U256,'changes2_based on steps'!$B$1:$U$1,S$1)</f>
        <v>0</v>
      </c>
      <c r="T256" s="179">
        <f>SUMIFS('recurring2_based on steps'!$B256:$AY256,'recurring2_based on steps'!$B$1:$AY$1,T$1)+SUMIFS('changes2_based on steps'!$B256:$U256,'changes2_based on steps'!$B$1:$U$1,T$1)</f>
        <v>0</v>
      </c>
      <c r="U256" s="179">
        <f>SUMIFS('recurring2_based on steps'!$B256:$AY256,'recurring2_based on steps'!$B$1:$AY$1,U$1)+SUMIFS('changes2_based on steps'!$B256:$U256,'changes2_based on steps'!$B$1:$U$1,U$1)</f>
        <v>0</v>
      </c>
      <c r="V256" s="179">
        <f>SUMIFS('recurring2_based on steps'!$B256:$AY256,'recurring2_based on steps'!$B$1:$AY$1,V$1)+SUMIFS('changes2_based on steps'!$B256:$U256,'changes2_based on steps'!$B$1:$U$1,V$1)</f>
        <v>0</v>
      </c>
      <c r="W256" s="179">
        <f>SUMIFS('recurring2_based on steps'!$B256:$AY256,'recurring2_based on steps'!$B$1:$AY$1,W$1)+SUMIFS('changes2_based on steps'!$B256:$U256,'changes2_based on steps'!$B$1:$U$1,W$1)</f>
        <v>0</v>
      </c>
      <c r="X256" s="179">
        <f>SUMIFS('recurring2_based on steps'!$B256:$AY256,'recurring2_based on steps'!$B$1:$AY$1,X$1)+SUMIFS('changes2_based on steps'!$B256:$U256,'changes2_based on steps'!$B$1:$U$1,X$1)</f>
        <v>0</v>
      </c>
      <c r="Y256" s="179">
        <f>SUMIFS('recurring2_based on steps'!$B256:$AY256,'recurring2_based on steps'!$B$1:$AY$1,Y$1)+SUMIFS('changes2_based on steps'!$B256:$U256,'changes2_based on steps'!$B$1:$U$1,Y$1)</f>
        <v>0</v>
      </c>
      <c r="Z256" s="179">
        <f>SUMIFS('recurring2_based on steps'!$B256:$AY256,'recurring2_based on steps'!$B$1:$AY$1,Z$1)+SUMIFS('changes2_based on steps'!$B256:$U256,'changes2_based on steps'!$B$1:$U$1,Z$1)</f>
        <v>0</v>
      </c>
      <c r="AA256" s="179">
        <f>SUMIFS('recurring2_based on steps'!$B256:$AY256,'recurring2_based on steps'!$B$1:$AY$1,AA$1)+SUMIFS('changes2_based on steps'!$B256:$U256,'changes2_based on steps'!$B$1:$U$1,AA$1)</f>
        <v>0</v>
      </c>
      <c r="AB256" s="179">
        <f>SUMIFS('recurring2_based on steps'!$B256:$AY256,'recurring2_based on steps'!$B$1:$AY$1,AB$1)+SUMIFS('changes2_based on steps'!$B256:$U256,'changes2_based on steps'!$B$1:$U$1,AB$1)</f>
        <v>0</v>
      </c>
      <c r="AC256" s="179">
        <f>SUMIFS('recurring2_based on steps'!$B256:$AY256,'recurring2_based on steps'!$B$1:$AY$1,AC$1)+SUMIFS('changes2_based on steps'!$B256:$U256,'changes2_based on steps'!$B$1:$U$1,AC$1)</f>
        <v>0</v>
      </c>
      <c r="AD256" s="179">
        <f>SUMIFS('recurring2_based on steps'!$B256:$AY256,'recurring2_based on steps'!$B$1:$AY$1,AD$1)+SUMIFS('changes2_based on steps'!$B256:$U256,'changes2_based on steps'!$B$1:$U$1,AD$1)</f>
        <v>0</v>
      </c>
      <c r="AE256" s="179">
        <f>SUMIFS('recurring2_based on steps'!$B256:$AY256,'recurring2_based on steps'!$B$1:$AY$1,AE$1)+SUMIFS('changes2_based on steps'!$B256:$U256,'changes2_based on steps'!$B$1:$U$1,AE$1)</f>
        <v>0</v>
      </c>
      <c r="AF256" s="179"/>
      <c r="AG256" s="179"/>
      <c r="AH256" s="179"/>
      <c r="AI256" s="179"/>
      <c r="AJ256" s="179"/>
      <c r="AK256" s="179"/>
      <c r="AL256" s="179"/>
      <c r="AM256" s="179"/>
    </row>
    <row r="257" spans="1:39" x14ac:dyDescent="0.2">
      <c r="A257" s="32">
        <f t="shared" ca="1" si="3"/>
        <v>46006</v>
      </c>
      <c r="B257" s="179">
        <f>SUMIFS('recurring2_based on steps'!$B257:$AY257,'recurring2_based on steps'!$B$1:$AY$1,B$1)+SUMIFS('changes2_based on steps'!$B257:$U257,'changes2_based on steps'!$B$1:$U$1,B$1)</f>
        <v>0</v>
      </c>
      <c r="C257" s="179">
        <f>SUMIFS('recurring2_based on steps'!$B257:$AY257,'recurring2_based on steps'!$B$1:$AY$1,C$1)+SUMIFS('changes2_based on steps'!$B257:$U257,'changes2_based on steps'!$B$1:$U$1,C$1)</f>
        <v>0</v>
      </c>
      <c r="D257" s="179">
        <f>SUMIFS('recurring2_based on steps'!$B257:$AY257,'recurring2_based on steps'!$B$1:$AY$1,D$1)+SUMIFS('changes2_based on steps'!$B257:$U257,'changes2_based on steps'!$B$1:$U$1,D$1)</f>
        <v>0</v>
      </c>
      <c r="E257" s="179">
        <f>SUMIFS('recurring2_based on steps'!$B257:$AY257,'recurring2_based on steps'!$B$1:$AY$1,E$1)+SUMIFS('changes2_based on steps'!$B257:$U257,'changes2_based on steps'!$B$1:$U$1,E$1)</f>
        <v>0</v>
      </c>
      <c r="F257" s="179">
        <f>SUMIFS('recurring2_based on steps'!$B257:$AY257,'recurring2_based on steps'!$B$1:$AY$1,F$1)+SUMIFS('changes2_based on steps'!$B257:$U257,'changes2_based on steps'!$B$1:$U$1,F$1)</f>
        <v>0</v>
      </c>
      <c r="G257" s="179">
        <f>SUMIFS('recurring2_based on steps'!$B257:$AY257,'recurring2_based on steps'!$B$1:$AY$1,G$1)+SUMIFS('changes2_based on steps'!$B257:$U257,'changes2_based on steps'!$B$1:$U$1,G$1)</f>
        <v>0</v>
      </c>
      <c r="H257" s="179">
        <f>SUMIFS('recurring2_based on steps'!$B257:$AY257,'recurring2_based on steps'!$B$1:$AY$1,H$1)+SUMIFS('changes2_based on steps'!$B257:$U257,'changes2_based on steps'!$B$1:$U$1,H$1)</f>
        <v>0</v>
      </c>
      <c r="I257" s="179">
        <f>SUMIFS('recurring2_based on steps'!$B257:$AY257,'recurring2_based on steps'!$B$1:$AY$1,I$1)+SUMIFS('changes2_based on steps'!$B257:$U257,'changes2_based on steps'!$B$1:$U$1,I$1)</f>
        <v>0</v>
      </c>
      <c r="J257" s="179">
        <f>SUMIFS('recurring2_based on steps'!$B257:$AY257,'recurring2_based on steps'!$B$1:$AY$1,J$1)+SUMIFS('changes2_based on steps'!$B257:$U257,'changes2_based on steps'!$B$1:$U$1,J$1)</f>
        <v>0</v>
      </c>
      <c r="K257" s="179">
        <f>SUMIFS('recurring2_based on steps'!$B257:$AY257,'recurring2_based on steps'!$B$1:$AY$1,K$1)+SUMIFS('changes2_based on steps'!$B257:$U257,'changes2_based on steps'!$B$1:$U$1,K$1)</f>
        <v>0</v>
      </c>
      <c r="L257" s="179">
        <f>SUMIFS('recurring2_based on steps'!$B257:$AY257,'recurring2_based on steps'!$B$1:$AY$1,L$1)+SUMIFS('changes2_based on steps'!$B257:$U257,'changes2_based on steps'!$B$1:$U$1,L$1)</f>
        <v>0</v>
      </c>
      <c r="M257" s="179">
        <f>SUMIFS('recurring2_based on steps'!$B257:$AY257,'recurring2_based on steps'!$B$1:$AY$1,M$1)+SUMIFS('changes2_based on steps'!$B257:$U257,'changes2_based on steps'!$B$1:$U$1,M$1)</f>
        <v>0</v>
      </c>
      <c r="N257" s="179">
        <f>SUMIFS('recurring2_based on steps'!$B257:$AY257,'recurring2_based on steps'!$B$1:$AY$1,N$1)+SUMIFS('changes2_based on steps'!$B257:$U257,'changes2_based on steps'!$B$1:$U$1,N$1)</f>
        <v>0</v>
      </c>
      <c r="O257" s="179">
        <f>SUMIFS('recurring2_based on steps'!$B257:$AY257,'recurring2_based on steps'!$B$1:$AY$1,O$1)+SUMIFS('changes2_based on steps'!$B257:$U257,'changes2_based on steps'!$B$1:$U$1,O$1)</f>
        <v>0</v>
      </c>
      <c r="P257" s="179">
        <f>SUMIFS('recurring2_based on steps'!$B257:$AY257,'recurring2_based on steps'!$B$1:$AY$1,P$1)+SUMIFS('changes2_based on steps'!$B257:$U257,'changes2_based on steps'!$B$1:$U$1,P$1)</f>
        <v>0</v>
      </c>
      <c r="Q257" s="179">
        <f>SUMIFS('recurring2_based on steps'!$B257:$AY257,'recurring2_based on steps'!$B$1:$AY$1,Q$1)+SUMIFS('changes2_based on steps'!$B257:$U257,'changes2_based on steps'!$B$1:$U$1,Q$1)</f>
        <v>0</v>
      </c>
      <c r="R257" s="179">
        <f>SUMIFS('recurring2_based on steps'!$B257:$AY257,'recurring2_based on steps'!$B$1:$AY$1,R$1)+SUMIFS('changes2_based on steps'!$B257:$U257,'changes2_based on steps'!$B$1:$U$1,R$1)</f>
        <v>0</v>
      </c>
      <c r="S257" s="179">
        <f>SUMIFS('recurring2_based on steps'!$B257:$AY257,'recurring2_based on steps'!$B$1:$AY$1,S$1)+SUMIFS('changes2_based on steps'!$B257:$U257,'changes2_based on steps'!$B$1:$U$1,S$1)</f>
        <v>0</v>
      </c>
      <c r="T257" s="179">
        <f>SUMIFS('recurring2_based on steps'!$B257:$AY257,'recurring2_based on steps'!$B$1:$AY$1,T$1)+SUMIFS('changes2_based on steps'!$B257:$U257,'changes2_based on steps'!$B$1:$U$1,T$1)</f>
        <v>0</v>
      </c>
      <c r="U257" s="179">
        <f>SUMIFS('recurring2_based on steps'!$B257:$AY257,'recurring2_based on steps'!$B$1:$AY$1,U$1)+SUMIFS('changes2_based on steps'!$B257:$U257,'changes2_based on steps'!$B$1:$U$1,U$1)</f>
        <v>0</v>
      </c>
      <c r="V257" s="179">
        <f>SUMIFS('recurring2_based on steps'!$B257:$AY257,'recurring2_based on steps'!$B$1:$AY$1,V$1)+SUMIFS('changes2_based on steps'!$B257:$U257,'changes2_based on steps'!$B$1:$U$1,V$1)</f>
        <v>0</v>
      </c>
      <c r="W257" s="179">
        <f>SUMIFS('recurring2_based on steps'!$B257:$AY257,'recurring2_based on steps'!$B$1:$AY$1,W$1)+SUMIFS('changes2_based on steps'!$B257:$U257,'changes2_based on steps'!$B$1:$U$1,W$1)</f>
        <v>0</v>
      </c>
      <c r="X257" s="179">
        <f>SUMIFS('recurring2_based on steps'!$B257:$AY257,'recurring2_based on steps'!$B$1:$AY$1,X$1)+SUMIFS('changes2_based on steps'!$B257:$U257,'changes2_based on steps'!$B$1:$U$1,X$1)</f>
        <v>0</v>
      </c>
      <c r="Y257" s="179">
        <f>SUMIFS('recurring2_based on steps'!$B257:$AY257,'recurring2_based on steps'!$B$1:$AY$1,Y$1)+SUMIFS('changes2_based on steps'!$B257:$U257,'changes2_based on steps'!$B$1:$U$1,Y$1)</f>
        <v>0</v>
      </c>
      <c r="Z257" s="179">
        <f>SUMIFS('recurring2_based on steps'!$B257:$AY257,'recurring2_based on steps'!$B$1:$AY$1,Z$1)+SUMIFS('changes2_based on steps'!$B257:$U257,'changes2_based on steps'!$B$1:$U$1,Z$1)</f>
        <v>0</v>
      </c>
      <c r="AA257" s="179">
        <f>SUMIFS('recurring2_based on steps'!$B257:$AY257,'recurring2_based on steps'!$B$1:$AY$1,AA$1)+SUMIFS('changes2_based on steps'!$B257:$U257,'changes2_based on steps'!$B$1:$U$1,AA$1)</f>
        <v>0</v>
      </c>
      <c r="AB257" s="179">
        <f>SUMIFS('recurring2_based on steps'!$B257:$AY257,'recurring2_based on steps'!$B$1:$AY$1,AB$1)+SUMIFS('changes2_based on steps'!$B257:$U257,'changes2_based on steps'!$B$1:$U$1,AB$1)</f>
        <v>0</v>
      </c>
      <c r="AC257" s="179">
        <f>SUMIFS('recurring2_based on steps'!$B257:$AY257,'recurring2_based on steps'!$B$1:$AY$1,AC$1)+SUMIFS('changes2_based on steps'!$B257:$U257,'changes2_based on steps'!$B$1:$U$1,AC$1)</f>
        <v>0</v>
      </c>
      <c r="AD257" s="179">
        <f>SUMIFS('recurring2_based on steps'!$B257:$AY257,'recurring2_based on steps'!$B$1:$AY$1,AD$1)+SUMIFS('changes2_based on steps'!$B257:$U257,'changes2_based on steps'!$B$1:$U$1,AD$1)</f>
        <v>0</v>
      </c>
      <c r="AE257" s="179">
        <f>SUMIFS('recurring2_based on steps'!$B257:$AY257,'recurring2_based on steps'!$B$1:$AY$1,AE$1)+SUMIFS('changes2_based on steps'!$B257:$U257,'changes2_based on steps'!$B$1:$U$1,AE$1)</f>
        <v>0</v>
      </c>
      <c r="AF257" s="179"/>
      <c r="AG257" s="179"/>
      <c r="AH257" s="179"/>
      <c r="AI257" s="179"/>
      <c r="AJ257" s="179"/>
      <c r="AK257" s="179"/>
      <c r="AL257" s="179"/>
      <c r="AM257" s="179"/>
    </row>
    <row r="258" spans="1:39" x14ac:dyDescent="0.2">
      <c r="A258" s="32">
        <f t="shared" ca="1" si="3"/>
        <v>46007</v>
      </c>
      <c r="B258" s="179">
        <f>SUMIFS('recurring2_based on steps'!$B258:$AY258,'recurring2_based on steps'!$B$1:$AY$1,B$1)+SUMIFS('changes2_based on steps'!$B258:$U258,'changes2_based on steps'!$B$1:$U$1,B$1)</f>
        <v>0</v>
      </c>
      <c r="C258" s="179">
        <f>SUMIFS('recurring2_based on steps'!$B258:$AY258,'recurring2_based on steps'!$B$1:$AY$1,C$1)+SUMIFS('changes2_based on steps'!$B258:$U258,'changes2_based on steps'!$B$1:$U$1,C$1)</f>
        <v>0</v>
      </c>
      <c r="D258" s="179">
        <f>SUMIFS('recurring2_based on steps'!$B258:$AY258,'recurring2_based on steps'!$B$1:$AY$1,D$1)+SUMIFS('changes2_based on steps'!$B258:$U258,'changes2_based on steps'!$B$1:$U$1,D$1)</f>
        <v>0</v>
      </c>
      <c r="E258" s="179">
        <f>SUMIFS('recurring2_based on steps'!$B258:$AY258,'recurring2_based on steps'!$B$1:$AY$1,E$1)+SUMIFS('changes2_based on steps'!$B258:$U258,'changes2_based on steps'!$B$1:$U$1,E$1)</f>
        <v>0</v>
      </c>
      <c r="F258" s="179">
        <f>SUMIFS('recurring2_based on steps'!$B258:$AY258,'recurring2_based on steps'!$B$1:$AY$1,F$1)+SUMIFS('changes2_based on steps'!$B258:$U258,'changes2_based on steps'!$B$1:$U$1,F$1)</f>
        <v>0</v>
      </c>
      <c r="G258" s="179">
        <f>SUMIFS('recurring2_based on steps'!$B258:$AY258,'recurring2_based on steps'!$B$1:$AY$1,G$1)+SUMIFS('changes2_based on steps'!$B258:$U258,'changes2_based on steps'!$B$1:$U$1,G$1)</f>
        <v>0</v>
      </c>
      <c r="H258" s="179">
        <f>SUMIFS('recurring2_based on steps'!$B258:$AY258,'recurring2_based on steps'!$B$1:$AY$1,H$1)+SUMIFS('changes2_based on steps'!$B258:$U258,'changes2_based on steps'!$B$1:$U$1,H$1)</f>
        <v>0</v>
      </c>
      <c r="I258" s="179">
        <f>SUMIFS('recurring2_based on steps'!$B258:$AY258,'recurring2_based on steps'!$B$1:$AY$1,I$1)+SUMIFS('changes2_based on steps'!$B258:$U258,'changes2_based on steps'!$B$1:$U$1,I$1)</f>
        <v>0</v>
      </c>
      <c r="J258" s="179">
        <f>SUMIFS('recurring2_based on steps'!$B258:$AY258,'recurring2_based on steps'!$B$1:$AY$1,J$1)+SUMIFS('changes2_based on steps'!$B258:$U258,'changes2_based on steps'!$B$1:$U$1,J$1)</f>
        <v>0</v>
      </c>
      <c r="K258" s="179">
        <f>SUMIFS('recurring2_based on steps'!$B258:$AY258,'recurring2_based on steps'!$B$1:$AY$1,K$1)+SUMIFS('changes2_based on steps'!$B258:$U258,'changes2_based on steps'!$B$1:$U$1,K$1)</f>
        <v>0</v>
      </c>
      <c r="L258" s="179">
        <f>SUMIFS('recurring2_based on steps'!$B258:$AY258,'recurring2_based on steps'!$B$1:$AY$1,L$1)+SUMIFS('changes2_based on steps'!$B258:$U258,'changes2_based on steps'!$B$1:$U$1,L$1)</f>
        <v>0</v>
      </c>
      <c r="M258" s="179">
        <f>SUMIFS('recurring2_based on steps'!$B258:$AY258,'recurring2_based on steps'!$B$1:$AY$1,M$1)+SUMIFS('changes2_based on steps'!$B258:$U258,'changes2_based on steps'!$B$1:$U$1,M$1)</f>
        <v>0</v>
      </c>
      <c r="N258" s="179">
        <f>SUMIFS('recurring2_based on steps'!$B258:$AY258,'recurring2_based on steps'!$B$1:$AY$1,N$1)+SUMIFS('changes2_based on steps'!$B258:$U258,'changes2_based on steps'!$B$1:$U$1,N$1)</f>
        <v>0</v>
      </c>
      <c r="O258" s="179">
        <f>SUMIFS('recurring2_based on steps'!$B258:$AY258,'recurring2_based on steps'!$B$1:$AY$1,O$1)+SUMIFS('changes2_based on steps'!$B258:$U258,'changes2_based on steps'!$B$1:$U$1,O$1)</f>
        <v>0</v>
      </c>
      <c r="P258" s="179">
        <f>SUMIFS('recurring2_based on steps'!$B258:$AY258,'recurring2_based on steps'!$B$1:$AY$1,P$1)+SUMIFS('changes2_based on steps'!$B258:$U258,'changes2_based on steps'!$B$1:$U$1,P$1)</f>
        <v>0</v>
      </c>
      <c r="Q258" s="179">
        <f>SUMIFS('recurring2_based on steps'!$B258:$AY258,'recurring2_based on steps'!$B$1:$AY$1,Q$1)+SUMIFS('changes2_based on steps'!$B258:$U258,'changes2_based on steps'!$B$1:$U$1,Q$1)</f>
        <v>0</v>
      </c>
      <c r="R258" s="179">
        <f>SUMIFS('recurring2_based on steps'!$B258:$AY258,'recurring2_based on steps'!$B$1:$AY$1,R$1)+SUMIFS('changes2_based on steps'!$B258:$U258,'changes2_based on steps'!$B$1:$U$1,R$1)</f>
        <v>0</v>
      </c>
      <c r="S258" s="179">
        <f>SUMIFS('recurring2_based on steps'!$B258:$AY258,'recurring2_based on steps'!$B$1:$AY$1,S$1)+SUMIFS('changes2_based on steps'!$B258:$U258,'changes2_based on steps'!$B$1:$U$1,S$1)</f>
        <v>0</v>
      </c>
      <c r="T258" s="179">
        <f>SUMIFS('recurring2_based on steps'!$B258:$AY258,'recurring2_based on steps'!$B$1:$AY$1,T$1)+SUMIFS('changes2_based on steps'!$B258:$U258,'changes2_based on steps'!$B$1:$U$1,T$1)</f>
        <v>0</v>
      </c>
      <c r="U258" s="179">
        <f>SUMIFS('recurring2_based on steps'!$B258:$AY258,'recurring2_based on steps'!$B$1:$AY$1,U$1)+SUMIFS('changes2_based on steps'!$B258:$U258,'changes2_based on steps'!$B$1:$U$1,U$1)</f>
        <v>0</v>
      </c>
      <c r="V258" s="179">
        <f>SUMIFS('recurring2_based on steps'!$B258:$AY258,'recurring2_based on steps'!$B$1:$AY$1,V$1)+SUMIFS('changes2_based on steps'!$B258:$U258,'changes2_based on steps'!$B$1:$U$1,V$1)</f>
        <v>0</v>
      </c>
      <c r="W258" s="179">
        <f>SUMIFS('recurring2_based on steps'!$B258:$AY258,'recurring2_based on steps'!$B$1:$AY$1,W$1)+SUMIFS('changes2_based on steps'!$B258:$U258,'changes2_based on steps'!$B$1:$U$1,W$1)</f>
        <v>0</v>
      </c>
      <c r="X258" s="179">
        <f>SUMIFS('recurring2_based on steps'!$B258:$AY258,'recurring2_based on steps'!$B$1:$AY$1,X$1)+SUMIFS('changes2_based on steps'!$B258:$U258,'changes2_based on steps'!$B$1:$U$1,X$1)</f>
        <v>0</v>
      </c>
      <c r="Y258" s="179">
        <f>SUMIFS('recurring2_based on steps'!$B258:$AY258,'recurring2_based on steps'!$B$1:$AY$1,Y$1)+SUMIFS('changes2_based on steps'!$B258:$U258,'changes2_based on steps'!$B$1:$U$1,Y$1)</f>
        <v>0</v>
      </c>
      <c r="Z258" s="179">
        <f>SUMIFS('recurring2_based on steps'!$B258:$AY258,'recurring2_based on steps'!$B$1:$AY$1,Z$1)+SUMIFS('changes2_based on steps'!$B258:$U258,'changes2_based on steps'!$B$1:$U$1,Z$1)</f>
        <v>0</v>
      </c>
      <c r="AA258" s="179">
        <f>SUMIFS('recurring2_based on steps'!$B258:$AY258,'recurring2_based on steps'!$B$1:$AY$1,AA$1)+SUMIFS('changes2_based on steps'!$B258:$U258,'changes2_based on steps'!$B$1:$U$1,AA$1)</f>
        <v>0</v>
      </c>
      <c r="AB258" s="179">
        <f>SUMIFS('recurring2_based on steps'!$B258:$AY258,'recurring2_based on steps'!$B$1:$AY$1,AB$1)+SUMIFS('changes2_based on steps'!$B258:$U258,'changes2_based on steps'!$B$1:$U$1,AB$1)</f>
        <v>0</v>
      </c>
      <c r="AC258" s="179">
        <f>SUMIFS('recurring2_based on steps'!$B258:$AY258,'recurring2_based on steps'!$B$1:$AY$1,AC$1)+SUMIFS('changes2_based on steps'!$B258:$U258,'changes2_based on steps'!$B$1:$U$1,AC$1)</f>
        <v>0</v>
      </c>
      <c r="AD258" s="179">
        <f>SUMIFS('recurring2_based on steps'!$B258:$AY258,'recurring2_based on steps'!$B$1:$AY$1,AD$1)+SUMIFS('changes2_based on steps'!$B258:$U258,'changes2_based on steps'!$B$1:$U$1,AD$1)</f>
        <v>0</v>
      </c>
      <c r="AE258" s="179">
        <f>SUMIFS('recurring2_based on steps'!$B258:$AY258,'recurring2_based on steps'!$B$1:$AY$1,AE$1)+SUMIFS('changes2_based on steps'!$B258:$U258,'changes2_based on steps'!$B$1:$U$1,AE$1)</f>
        <v>0</v>
      </c>
      <c r="AF258" s="179"/>
      <c r="AG258" s="179"/>
      <c r="AH258" s="179"/>
      <c r="AI258" s="179"/>
      <c r="AJ258" s="179"/>
      <c r="AK258" s="179"/>
      <c r="AL258" s="179"/>
      <c r="AM258" s="179"/>
    </row>
    <row r="259" spans="1:39" x14ac:dyDescent="0.2">
      <c r="A259" s="32">
        <f t="shared" ca="1" si="3"/>
        <v>46008</v>
      </c>
      <c r="B259" s="179">
        <f>SUMIFS('recurring2_based on steps'!$B259:$AY259,'recurring2_based on steps'!$B$1:$AY$1,B$1)+SUMIFS('changes2_based on steps'!$B259:$U259,'changes2_based on steps'!$B$1:$U$1,B$1)</f>
        <v>0</v>
      </c>
      <c r="C259" s="179">
        <f>SUMIFS('recurring2_based on steps'!$B259:$AY259,'recurring2_based on steps'!$B$1:$AY$1,C$1)+SUMIFS('changes2_based on steps'!$B259:$U259,'changes2_based on steps'!$B$1:$U$1,C$1)</f>
        <v>0</v>
      </c>
      <c r="D259" s="179">
        <f>SUMIFS('recurring2_based on steps'!$B259:$AY259,'recurring2_based on steps'!$B$1:$AY$1,D$1)+SUMIFS('changes2_based on steps'!$B259:$U259,'changes2_based on steps'!$B$1:$U$1,D$1)</f>
        <v>0</v>
      </c>
      <c r="E259" s="179">
        <f>SUMIFS('recurring2_based on steps'!$B259:$AY259,'recurring2_based on steps'!$B$1:$AY$1,E$1)+SUMIFS('changes2_based on steps'!$B259:$U259,'changes2_based on steps'!$B$1:$U$1,E$1)</f>
        <v>0</v>
      </c>
      <c r="F259" s="179">
        <f>SUMIFS('recurring2_based on steps'!$B259:$AY259,'recurring2_based on steps'!$B$1:$AY$1,F$1)+SUMIFS('changes2_based on steps'!$B259:$U259,'changes2_based on steps'!$B$1:$U$1,F$1)</f>
        <v>0</v>
      </c>
      <c r="G259" s="179">
        <f>SUMIFS('recurring2_based on steps'!$B259:$AY259,'recurring2_based on steps'!$B$1:$AY$1,G$1)+SUMIFS('changes2_based on steps'!$B259:$U259,'changes2_based on steps'!$B$1:$U$1,G$1)</f>
        <v>0</v>
      </c>
      <c r="H259" s="179">
        <f>SUMIFS('recurring2_based on steps'!$B259:$AY259,'recurring2_based on steps'!$B$1:$AY$1,H$1)+SUMIFS('changes2_based on steps'!$B259:$U259,'changes2_based on steps'!$B$1:$U$1,H$1)</f>
        <v>0</v>
      </c>
      <c r="I259" s="179">
        <f>SUMIFS('recurring2_based on steps'!$B259:$AY259,'recurring2_based on steps'!$B$1:$AY$1,I$1)+SUMIFS('changes2_based on steps'!$B259:$U259,'changes2_based on steps'!$B$1:$U$1,I$1)</f>
        <v>0</v>
      </c>
      <c r="J259" s="179">
        <f>SUMIFS('recurring2_based on steps'!$B259:$AY259,'recurring2_based on steps'!$B$1:$AY$1,J$1)+SUMIFS('changes2_based on steps'!$B259:$U259,'changes2_based on steps'!$B$1:$U$1,J$1)</f>
        <v>0</v>
      </c>
      <c r="K259" s="179">
        <f>SUMIFS('recurring2_based on steps'!$B259:$AY259,'recurring2_based on steps'!$B$1:$AY$1,K$1)+SUMIFS('changes2_based on steps'!$B259:$U259,'changes2_based on steps'!$B$1:$U$1,K$1)</f>
        <v>0</v>
      </c>
      <c r="L259" s="179">
        <f>SUMIFS('recurring2_based on steps'!$B259:$AY259,'recurring2_based on steps'!$B$1:$AY$1,L$1)+SUMIFS('changes2_based on steps'!$B259:$U259,'changes2_based on steps'!$B$1:$U$1,L$1)</f>
        <v>0</v>
      </c>
      <c r="M259" s="179">
        <f>SUMIFS('recurring2_based on steps'!$B259:$AY259,'recurring2_based on steps'!$B$1:$AY$1,M$1)+SUMIFS('changes2_based on steps'!$B259:$U259,'changes2_based on steps'!$B$1:$U$1,M$1)</f>
        <v>0</v>
      </c>
      <c r="N259" s="179">
        <f>SUMIFS('recurring2_based on steps'!$B259:$AY259,'recurring2_based on steps'!$B$1:$AY$1,N$1)+SUMIFS('changes2_based on steps'!$B259:$U259,'changes2_based on steps'!$B$1:$U$1,N$1)</f>
        <v>0</v>
      </c>
      <c r="O259" s="179">
        <f>SUMIFS('recurring2_based on steps'!$B259:$AY259,'recurring2_based on steps'!$B$1:$AY$1,O$1)+SUMIFS('changes2_based on steps'!$B259:$U259,'changes2_based on steps'!$B$1:$U$1,O$1)</f>
        <v>0</v>
      </c>
      <c r="P259" s="179">
        <f>SUMIFS('recurring2_based on steps'!$B259:$AY259,'recurring2_based on steps'!$B$1:$AY$1,P$1)+SUMIFS('changes2_based on steps'!$B259:$U259,'changes2_based on steps'!$B$1:$U$1,P$1)</f>
        <v>0</v>
      </c>
      <c r="Q259" s="179">
        <f>SUMIFS('recurring2_based on steps'!$B259:$AY259,'recurring2_based on steps'!$B$1:$AY$1,Q$1)+SUMIFS('changes2_based on steps'!$B259:$U259,'changes2_based on steps'!$B$1:$U$1,Q$1)</f>
        <v>0</v>
      </c>
      <c r="R259" s="179">
        <f>SUMIFS('recurring2_based on steps'!$B259:$AY259,'recurring2_based on steps'!$B$1:$AY$1,R$1)+SUMIFS('changes2_based on steps'!$B259:$U259,'changes2_based on steps'!$B$1:$U$1,R$1)</f>
        <v>0</v>
      </c>
      <c r="S259" s="179">
        <f>SUMIFS('recurring2_based on steps'!$B259:$AY259,'recurring2_based on steps'!$B$1:$AY$1,S$1)+SUMIFS('changes2_based on steps'!$B259:$U259,'changes2_based on steps'!$B$1:$U$1,S$1)</f>
        <v>0</v>
      </c>
      <c r="T259" s="179">
        <f>SUMIFS('recurring2_based on steps'!$B259:$AY259,'recurring2_based on steps'!$B$1:$AY$1,T$1)+SUMIFS('changes2_based on steps'!$B259:$U259,'changes2_based on steps'!$B$1:$U$1,T$1)</f>
        <v>0</v>
      </c>
      <c r="U259" s="179">
        <f>SUMIFS('recurring2_based on steps'!$B259:$AY259,'recurring2_based on steps'!$B$1:$AY$1,U$1)+SUMIFS('changes2_based on steps'!$B259:$U259,'changes2_based on steps'!$B$1:$U$1,U$1)</f>
        <v>0</v>
      </c>
      <c r="V259" s="179">
        <f>SUMIFS('recurring2_based on steps'!$B259:$AY259,'recurring2_based on steps'!$B$1:$AY$1,V$1)+SUMIFS('changes2_based on steps'!$B259:$U259,'changes2_based on steps'!$B$1:$U$1,V$1)</f>
        <v>0</v>
      </c>
      <c r="W259" s="179">
        <f>SUMIFS('recurring2_based on steps'!$B259:$AY259,'recurring2_based on steps'!$B$1:$AY$1,W$1)+SUMIFS('changes2_based on steps'!$B259:$U259,'changes2_based on steps'!$B$1:$U$1,W$1)</f>
        <v>0</v>
      </c>
      <c r="X259" s="179">
        <f>SUMIFS('recurring2_based on steps'!$B259:$AY259,'recurring2_based on steps'!$B$1:$AY$1,X$1)+SUMIFS('changes2_based on steps'!$B259:$U259,'changes2_based on steps'!$B$1:$U$1,X$1)</f>
        <v>0</v>
      </c>
      <c r="Y259" s="179">
        <f>SUMIFS('recurring2_based on steps'!$B259:$AY259,'recurring2_based on steps'!$B$1:$AY$1,Y$1)+SUMIFS('changes2_based on steps'!$B259:$U259,'changes2_based on steps'!$B$1:$U$1,Y$1)</f>
        <v>0</v>
      </c>
      <c r="Z259" s="179">
        <f>SUMIFS('recurring2_based on steps'!$B259:$AY259,'recurring2_based on steps'!$B$1:$AY$1,Z$1)+SUMIFS('changes2_based on steps'!$B259:$U259,'changes2_based on steps'!$B$1:$U$1,Z$1)</f>
        <v>0</v>
      </c>
      <c r="AA259" s="179">
        <f>SUMIFS('recurring2_based on steps'!$B259:$AY259,'recurring2_based on steps'!$B$1:$AY$1,AA$1)+SUMIFS('changes2_based on steps'!$B259:$U259,'changes2_based on steps'!$B$1:$U$1,AA$1)</f>
        <v>0</v>
      </c>
      <c r="AB259" s="179">
        <f>SUMIFS('recurring2_based on steps'!$B259:$AY259,'recurring2_based on steps'!$B$1:$AY$1,AB$1)+SUMIFS('changes2_based on steps'!$B259:$U259,'changes2_based on steps'!$B$1:$U$1,AB$1)</f>
        <v>0</v>
      </c>
      <c r="AC259" s="179">
        <f>SUMIFS('recurring2_based on steps'!$B259:$AY259,'recurring2_based on steps'!$B$1:$AY$1,AC$1)+SUMIFS('changes2_based on steps'!$B259:$U259,'changes2_based on steps'!$B$1:$U$1,AC$1)</f>
        <v>0</v>
      </c>
      <c r="AD259" s="179">
        <f>SUMIFS('recurring2_based on steps'!$B259:$AY259,'recurring2_based on steps'!$B$1:$AY$1,AD$1)+SUMIFS('changes2_based on steps'!$B259:$U259,'changes2_based on steps'!$B$1:$U$1,AD$1)</f>
        <v>0</v>
      </c>
      <c r="AE259" s="179">
        <f>SUMIFS('recurring2_based on steps'!$B259:$AY259,'recurring2_based on steps'!$B$1:$AY$1,AE$1)+SUMIFS('changes2_based on steps'!$B259:$U259,'changes2_based on steps'!$B$1:$U$1,AE$1)</f>
        <v>0</v>
      </c>
      <c r="AF259" s="179"/>
      <c r="AG259" s="179"/>
      <c r="AH259" s="179"/>
      <c r="AI259" s="179"/>
      <c r="AJ259" s="179"/>
      <c r="AK259" s="179"/>
      <c r="AL259" s="179"/>
      <c r="AM259" s="179"/>
    </row>
    <row r="260" spans="1:39" x14ac:dyDescent="0.2">
      <c r="A260" s="32">
        <f t="shared" ca="1" si="3"/>
        <v>46009</v>
      </c>
      <c r="B260" s="179">
        <f>SUMIFS('recurring2_based on steps'!$B260:$AY260,'recurring2_based on steps'!$B$1:$AY$1,B$1)+SUMIFS('changes2_based on steps'!$B260:$U260,'changes2_based on steps'!$B$1:$U$1,B$1)</f>
        <v>0</v>
      </c>
      <c r="C260" s="179">
        <f>SUMIFS('recurring2_based on steps'!$B260:$AY260,'recurring2_based on steps'!$B$1:$AY$1,C$1)+SUMIFS('changes2_based on steps'!$B260:$U260,'changes2_based on steps'!$B$1:$U$1,C$1)</f>
        <v>0</v>
      </c>
      <c r="D260" s="179">
        <f>SUMIFS('recurring2_based on steps'!$B260:$AY260,'recurring2_based on steps'!$B$1:$AY$1,D$1)+SUMIFS('changes2_based on steps'!$B260:$U260,'changes2_based on steps'!$B$1:$U$1,D$1)</f>
        <v>0</v>
      </c>
      <c r="E260" s="179">
        <f>SUMIFS('recurring2_based on steps'!$B260:$AY260,'recurring2_based on steps'!$B$1:$AY$1,E$1)+SUMIFS('changes2_based on steps'!$B260:$U260,'changes2_based on steps'!$B$1:$U$1,E$1)</f>
        <v>0</v>
      </c>
      <c r="F260" s="179">
        <f>SUMIFS('recurring2_based on steps'!$B260:$AY260,'recurring2_based on steps'!$B$1:$AY$1,F$1)+SUMIFS('changes2_based on steps'!$B260:$U260,'changes2_based on steps'!$B$1:$U$1,F$1)</f>
        <v>0</v>
      </c>
      <c r="G260" s="179">
        <f>SUMIFS('recurring2_based on steps'!$B260:$AY260,'recurring2_based on steps'!$B$1:$AY$1,G$1)+SUMIFS('changes2_based on steps'!$B260:$U260,'changes2_based on steps'!$B$1:$U$1,G$1)</f>
        <v>0</v>
      </c>
      <c r="H260" s="179">
        <f>SUMIFS('recurring2_based on steps'!$B260:$AY260,'recurring2_based on steps'!$B$1:$AY$1,H$1)+SUMIFS('changes2_based on steps'!$B260:$U260,'changes2_based on steps'!$B$1:$U$1,H$1)</f>
        <v>0</v>
      </c>
      <c r="I260" s="179">
        <f>SUMIFS('recurring2_based on steps'!$B260:$AY260,'recurring2_based on steps'!$B$1:$AY$1,I$1)+SUMIFS('changes2_based on steps'!$B260:$U260,'changes2_based on steps'!$B$1:$U$1,I$1)</f>
        <v>0</v>
      </c>
      <c r="J260" s="179">
        <f>SUMIFS('recurring2_based on steps'!$B260:$AY260,'recurring2_based on steps'!$B$1:$AY$1,J$1)+SUMIFS('changes2_based on steps'!$B260:$U260,'changes2_based on steps'!$B$1:$U$1,J$1)</f>
        <v>0</v>
      </c>
      <c r="K260" s="179">
        <f>SUMIFS('recurring2_based on steps'!$B260:$AY260,'recurring2_based on steps'!$B$1:$AY$1,K$1)+SUMIFS('changes2_based on steps'!$B260:$U260,'changes2_based on steps'!$B$1:$U$1,K$1)</f>
        <v>0</v>
      </c>
      <c r="L260" s="179">
        <f>SUMIFS('recurring2_based on steps'!$B260:$AY260,'recurring2_based on steps'!$B$1:$AY$1,L$1)+SUMIFS('changes2_based on steps'!$B260:$U260,'changes2_based on steps'!$B$1:$U$1,L$1)</f>
        <v>0</v>
      </c>
      <c r="M260" s="179">
        <f>SUMIFS('recurring2_based on steps'!$B260:$AY260,'recurring2_based on steps'!$B$1:$AY$1,M$1)+SUMIFS('changes2_based on steps'!$B260:$U260,'changes2_based on steps'!$B$1:$U$1,M$1)</f>
        <v>0</v>
      </c>
      <c r="N260" s="179">
        <f>SUMIFS('recurring2_based on steps'!$B260:$AY260,'recurring2_based on steps'!$B$1:$AY$1,N$1)+SUMIFS('changes2_based on steps'!$B260:$U260,'changes2_based on steps'!$B$1:$U$1,N$1)</f>
        <v>0</v>
      </c>
      <c r="O260" s="179">
        <f>SUMIFS('recurring2_based on steps'!$B260:$AY260,'recurring2_based on steps'!$B$1:$AY$1,O$1)+SUMIFS('changes2_based on steps'!$B260:$U260,'changes2_based on steps'!$B$1:$U$1,O$1)</f>
        <v>0</v>
      </c>
      <c r="P260" s="179">
        <f>SUMIFS('recurring2_based on steps'!$B260:$AY260,'recurring2_based on steps'!$B$1:$AY$1,P$1)+SUMIFS('changes2_based on steps'!$B260:$U260,'changes2_based on steps'!$B$1:$U$1,P$1)</f>
        <v>0</v>
      </c>
      <c r="Q260" s="179">
        <f>SUMIFS('recurring2_based on steps'!$B260:$AY260,'recurring2_based on steps'!$B$1:$AY$1,Q$1)+SUMIFS('changes2_based on steps'!$B260:$U260,'changes2_based on steps'!$B$1:$U$1,Q$1)</f>
        <v>0</v>
      </c>
      <c r="R260" s="179">
        <f>SUMIFS('recurring2_based on steps'!$B260:$AY260,'recurring2_based on steps'!$B$1:$AY$1,R$1)+SUMIFS('changes2_based on steps'!$B260:$U260,'changes2_based on steps'!$B$1:$U$1,R$1)</f>
        <v>0</v>
      </c>
      <c r="S260" s="179">
        <f>SUMIFS('recurring2_based on steps'!$B260:$AY260,'recurring2_based on steps'!$B$1:$AY$1,S$1)+SUMIFS('changes2_based on steps'!$B260:$U260,'changes2_based on steps'!$B$1:$U$1,S$1)</f>
        <v>0</v>
      </c>
      <c r="T260" s="179">
        <f>SUMIFS('recurring2_based on steps'!$B260:$AY260,'recurring2_based on steps'!$B$1:$AY$1,T$1)+SUMIFS('changes2_based on steps'!$B260:$U260,'changes2_based on steps'!$B$1:$U$1,T$1)</f>
        <v>0</v>
      </c>
      <c r="U260" s="179">
        <f>SUMIFS('recurring2_based on steps'!$B260:$AY260,'recurring2_based on steps'!$B$1:$AY$1,U$1)+SUMIFS('changes2_based on steps'!$B260:$U260,'changes2_based on steps'!$B$1:$U$1,U$1)</f>
        <v>0</v>
      </c>
      <c r="V260" s="179">
        <f>SUMIFS('recurring2_based on steps'!$B260:$AY260,'recurring2_based on steps'!$B$1:$AY$1,V$1)+SUMIFS('changes2_based on steps'!$B260:$U260,'changes2_based on steps'!$B$1:$U$1,V$1)</f>
        <v>0</v>
      </c>
      <c r="W260" s="179">
        <f>SUMIFS('recurring2_based on steps'!$B260:$AY260,'recurring2_based on steps'!$B$1:$AY$1,W$1)+SUMIFS('changes2_based on steps'!$B260:$U260,'changes2_based on steps'!$B$1:$U$1,W$1)</f>
        <v>0</v>
      </c>
      <c r="X260" s="179">
        <f>SUMIFS('recurring2_based on steps'!$B260:$AY260,'recurring2_based on steps'!$B$1:$AY$1,X$1)+SUMIFS('changes2_based on steps'!$B260:$U260,'changes2_based on steps'!$B$1:$U$1,X$1)</f>
        <v>0</v>
      </c>
      <c r="Y260" s="179">
        <f>SUMIFS('recurring2_based on steps'!$B260:$AY260,'recurring2_based on steps'!$B$1:$AY$1,Y$1)+SUMIFS('changes2_based on steps'!$B260:$U260,'changes2_based on steps'!$B$1:$U$1,Y$1)</f>
        <v>0</v>
      </c>
      <c r="Z260" s="179">
        <f>SUMIFS('recurring2_based on steps'!$B260:$AY260,'recurring2_based on steps'!$B$1:$AY$1,Z$1)+SUMIFS('changes2_based on steps'!$B260:$U260,'changes2_based on steps'!$B$1:$U$1,Z$1)</f>
        <v>0</v>
      </c>
      <c r="AA260" s="179">
        <f>SUMIFS('recurring2_based on steps'!$B260:$AY260,'recurring2_based on steps'!$B$1:$AY$1,AA$1)+SUMIFS('changes2_based on steps'!$B260:$U260,'changes2_based on steps'!$B$1:$U$1,AA$1)</f>
        <v>0</v>
      </c>
      <c r="AB260" s="179">
        <f>SUMIFS('recurring2_based on steps'!$B260:$AY260,'recurring2_based on steps'!$B$1:$AY$1,AB$1)+SUMIFS('changes2_based on steps'!$B260:$U260,'changes2_based on steps'!$B$1:$U$1,AB$1)</f>
        <v>0</v>
      </c>
      <c r="AC260" s="179">
        <f>SUMIFS('recurring2_based on steps'!$B260:$AY260,'recurring2_based on steps'!$B$1:$AY$1,AC$1)+SUMIFS('changes2_based on steps'!$B260:$U260,'changes2_based on steps'!$B$1:$U$1,AC$1)</f>
        <v>0</v>
      </c>
      <c r="AD260" s="179">
        <f>SUMIFS('recurring2_based on steps'!$B260:$AY260,'recurring2_based on steps'!$B$1:$AY$1,AD$1)+SUMIFS('changes2_based on steps'!$B260:$U260,'changes2_based on steps'!$B$1:$U$1,AD$1)</f>
        <v>0</v>
      </c>
      <c r="AE260" s="179">
        <f>SUMIFS('recurring2_based on steps'!$B260:$AY260,'recurring2_based on steps'!$B$1:$AY$1,AE$1)+SUMIFS('changes2_based on steps'!$B260:$U260,'changes2_based on steps'!$B$1:$U$1,AE$1)</f>
        <v>0</v>
      </c>
      <c r="AF260" s="179"/>
      <c r="AG260" s="179"/>
      <c r="AH260" s="179"/>
      <c r="AI260" s="179"/>
      <c r="AJ260" s="179"/>
      <c r="AK260" s="179"/>
      <c r="AL260" s="179"/>
      <c r="AM260" s="179"/>
    </row>
    <row r="261" spans="1:39" x14ac:dyDescent="0.2">
      <c r="A261" s="32">
        <f t="shared" ref="A261:A324" ca="1" si="4">A260+1</f>
        <v>46010</v>
      </c>
      <c r="B261" s="179">
        <f>SUMIFS('recurring2_based on steps'!$B261:$AY261,'recurring2_based on steps'!$B$1:$AY$1,B$1)+SUMIFS('changes2_based on steps'!$B261:$U261,'changes2_based on steps'!$B$1:$U$1,B$1)</f>
        <v>0</v>
      </c>
      <c r="C261" s="179">
        <f>SUMIFS('recurring2_based on steps'!$B261:$AY261,'recurring2_based on steps'!$B$1:$AY$1,C$1)+SUMIFS('changes2_based on steps'!$B261:$U261,'changes2_based on steps'!$B$1:$U$1,C$1)</f>
        <v>0</v>
      </c>
      <c r="D261" s="179">
        <f>SUMIFS('recurring2_based on steps'!$B261:$AY261,'recurring2_based on steps'!$B$1:$AY$1,D$1)+SUMIFS('changes2_based on steps'!$B261:$U261,'changes2_based on steps'!$B$1:$U$1,D$1)</f>
        <v>0</v>
      </c>
      <c r="E261" s="179">
        <f>SUMIFS('recurring2_based on steps'!$B261:$AY261,'recurring2_based on steps'!$B$1:$AY$1,E$1)+SUMIFS('changes2_based on steps'!$B261:$U261,'changes2_based on steps'!$B$1:$U$1,E$1)</f>
        <v>0</v>
      </c>
      <c r="F261" s="179">
        <f>SUMIFS('recurring2_based on steps'!$B261:$AY261,'recurring2_based on steps'!$B$1:$AY$1,F$1)+SUMIFS('changes2_based on steps'!$B261:$U261,'changes2_based on steps'!$B$1:$U$1,F$1)</f>
        <v>0</v>
      </c>
      <c r="G261" s="179">
        <f>SUMIFS('recurring2_based on steps'!$B261:$AY261,'recurring2_based on steps'!$B$1:$AY$1,G$1)+SUMIFS('changes2_based on steps'!$B261:$U261,'changes2_based on steps'!$B$1:$U$1,G$1)</f>
        <v>0</v>
      </c>
      <c r="H261" s="179">
        <f>SUMIFS('recurring2_based on steps'!$B261:$AY261,'recurring2_based on steps'!$B$1:$AY$1,H$1)+SUMIFS('changes2_based on steps'!$B261:$U261,'changes2_based on steps'!$B$1:$U$1,H$1)</f>
        <v>0</v>
      </c>
      <c r="I261" s="179">
        <f>SUMIFS('recurring2_based on steps'!$B261:$AY261,'recurring2_based on steps'!$B$1:$AY$1,I$1)+SUMIFS('changes2_based on steps'!$B261:$U261,'changes2_based on steps'!$B$1:$U$1,I$1)</f>
        <v>0</v>
      </c>
      <c r="J261" s="179">
        <f>SUMIFS('recurring2_based on steps'!$B261:$AY261,'recurring2_based on steps'!$B$1:$AY$1,J$1)+SUMIFS('changes2_based on steps'!$B261:$U261,'changes2_based on steps'!$B$1:$U$1,J$1)</f>
        <v>0</v>
      </c>
      <c r="K261" s="179">
        <f>SUMIFS('recurring2_based on steps'!$B261:$AY261,'recurring2_based on steps'!$B$1:$AY$1,K$1)+SUMIFS('changes2_based on steps'!$B261:$U261,'changes2_based on steps'!$B$1:$U$1,K$1)</f>
        <v>0</v>
      </c>
      <c r="L261" s="179">
        <f>SUMIFS('recurring2_based on steps'!$B261:$AY261,'recurring2_based on steps'!$B$1:$AY$1,L$1)+SUMIFS('changes2_based on steps'!$B261:$U261,'changes2_based on steps'!$B$1:$U$1,L$1)</f>
        <v>0</v>
      </c>
      <c r="M261" s="179">
        <f>SUMIFS('recurring2_based on steps'!$B261:$AY261,'recurring2_based on steps'!$B$1:$AY$1,M$1)+SUMIFS('changes2_based on steps'!$B261:$U261,'changes2_based on steps'!$B$1:$U$1,M$1)</f>
        <v>0</v>
      </c>
      <c r="N261" s="179">
        <f>SUMIFS('recurring2_based on steps'!$B261:$AY261,'recurring2_based on steps'!$B$1:$AY$1,N$1)+SUMIFS('changes2_based on steps'!$B261:$U261,'changes2_based on steps'!$B$1:$U$1,N$1)</f>
        <v>0</v>
      </c>
      <c r="O261" s="179">
        <f>SUMIFS('recurring2_based on steps'!$B261:$AY261,'recurring2_based on steps'!$B$1:$AY$1,O$1)+SUMIFS('changes2_based on steps'!$B261:$U261,'changes2_based on steps'!$B$1:$U$1,O$1)</f>
        <v>0</v>
      </c>
      <c r="P261" s="179">
        <f>SUMIFS('recurring2_based on steps'!$B261:$AY261,'recurring2_based on steps'!$B$1:$AY$1,P$1)+SUMIFS('changes2_based on steps'!$B261:$U261,'changes2_based on steps'!$B$1:$U$1,P$1)</f>
        <v>0</v>
      </c>
      <c r="Q261" s="179">
        <f>SUMIFS('recurring2_based on steps'!$B261:$AY261,'recurring2_based on steps'!$B$1:$AY$1,Q$1)+SUMIFS('changes2_based on steps'!$B261:$U261,'changes2_based on steps'!$B$1:$U$1,Q$1)</f>
        <v>0</v>
      </c>
      <c r="R261" s="179">
        <f>SUMIFS('recurring2_based on steps'!$B261:$AY261,'recurring2_based on steps'!$B$1:$AY$1,R$1)+SUMIFS('changes2_based on steps'!$B261:$U261,'changes2_based on steps'!$B$1:$U$1,R$1)</f>
        <v>0</v>
      </c>
      <c r="S261" s="179">
        <f>SUMIFS('recurring2_based on steps'!$B261:$AY261,'recurring2_based on steps'!$B$1:$AY$1,S$1)+SUMIFS('changes2_based on steps'!$B261:$U261,'changes2_based on steps'!$B$1:$U$1,S$1)</f>
        <v>0</v>
      </c>
      <c r="T261" s="179">
        <f>SUMIFS('recurring2_based on steps'!$B261:$AY261,'recurring2_based on steps'!$B$1:$AY$1,T$1)+SUMIFS('changes2_based on steps'!$B261:$U261,'changes2_based on steps'!$B$1:$U$1,T$1)</f>
        <v>0</v>
      </c>
      <c r="U261" s="179">
        <f>SUMIFS('recurring2_based on steps'!$B261:$AY261,'recurring2_based on steps'!$B$1:$AY$1,U$1)+SUMIFS('changes2_based on steps'!$B261:$U261,'changes2_based on steps'!$B$1:$U$1,U$1)</f>
        <v>0</v>
      </c>
      <c r="V261" s="179">
        <f>SUMIFS('recurring2_based on steps'!$B261:$AY261,'recurring2_based on steps'!$B$1:$AY$1,V$1)+SUMIFS('changes2_based on steps'!$B261:$U261,'changes2_based on steps'!$B$1:$U$1,V$1)</f>
        <v>0</v>
      </c>
      <c r="W261" s="179">
        <f>SUMIFS('recurring2_based on steps'!$B261:$AY261,'recurring2_based on steps'!$B$1:$AY$1,W$1)+SUMIFS('changes2_based on steps'!$B261:$U261,'changes2_based on steps'!$B$1:$U$1,W$1)</f>
        <v>0</v>
      </c>
      <c r="X261" s="179">
        <f>SUMIFS('recurring2_based on steps'!$B261:$AY261,'recurring2_based on steps'!$B$1:$AY$1,X$1)+SUMIFS('changes2_based on steps'!$B261:$U261,'changes2_based on steps'!$B$1:$U$1,X$1)</f>
        <v>0</v>
      </c>
      <c r="Y261" s="179">
        <f>SUMIFS('recurring2_based on steps'!$B261:$AY261,'recurring2_based on steps'!$B$1:$AY$1,Y$1)+SUMIFS('changes2_based on steps'!$B261:$U261,'changes2_based on steps'!$B$1:$U$1,Y$1)</f>
        <v>0</v>
      </c>
      <c r="Z261" s="179">
        <f>SUMIFS('recurring2_based on steps'!$B261:$AY261,'recurring2_based on steps'!$B$1:$AY$1,Z$1)+SUMIFS('changes2_based on steps'!$B261:$U261,'changes2_based on steps'!$B$1:$U$1,Z$1)</f>
        <v>0</v>
      </c>
      <c r="AA261" s="179">
        <f>SUMIFS('recurring2_based on steps'!$B261:$AY261,'recurring2_based on steps'!$B$1:$AY$1,AA$1)+SUMIFS('changes2_based on steps'!$B261:$U261,'changes2_based on steps'!$B$1:$U$1,AA$1)</f>
        <v>0</v>
      </c>
      <c r="AB261" s="179">
        <f>SUMIFS('recurring2_based on steps'!$B261:$AY261,'recurring2_based on steps'!$B$1:$AY$1,AB$1)+SUMIFS('changes2_based on steps'!$B261:$U261,'changes2_based on steps'!$B$1:$U$1,AB$1)</f>
        <v>0</v>
      </c>
      <c r="AC261" s="179">
        <f>SUMIFS('recurring2_based on steps'!$B261:$AY261,'recurring2_based on steps'!$B$1:$AY$1,AC$1)+SUMIFS('changes2_based on steps'!$B261:$U261,'changes2_based on steps'!$B$1:$U$1,AC$1)</f>
        <v>0</v>
      </c>
      <c r="AD261" s="179">
        <f>SUMIFS('recurring2_based on steps'!$B261:$AY261,'recurring2_based on steps'!$B$1:$AY$1,AD$1)+SUMIFS('changes2_based on steps'!$B261:$U261,'changes2_based on steps'!$B$1:$U$1,AD$1)</f>
        <v>0</v>
      </c>
      <c r="AE261" s="179">
        <f>SUMIFS('recurring2_based on steps'!$B261:$AY261,'recurring2_based on steps'!$B$1:$AY$1,AE$1)+SUMIFS('changes2_based on steps'!$B261:$U261,'changes2_based on steps'!$B$1:$U$1,AE$1)</f>
        <v>0</v>
      </c>
      <c r="AF261" s="179"/>
      <c r="AG261" s="179"/>
      <c r="AH261" s="179"/>
      <c r="AI261" s="179"/>
      <c r="AJ261" s="179"/>
      <c r="AK261" s="179"/>
      <c r="AL261" s="179"/>
      <c r="AM261" s="179"/>
    </row>
    <row r="262" spans="1:39" x14ac:dyDescent="0.2">
      <c r="A262" s="32">
        <f t="shared" ca="1" si="4"/>
        <v>46011</v>
      </c>
      <c r="B262" s="179">
        <f>SUMIFS('recurring2_based on steps'!$B262:$AY262,'recurring2_based on steps'!$B$1:$AY$1,B$1)+SUMIFS('changes2_based on steps'!$B262:$U262,'changes2_based on steps'!$B$1:$U$1,B$1)</f>
        <v>0</v>
      </c>
      <c r="C262" s="179">
        <f>SUMIFS('recurring2_based on steps'!$B262:$AY262,'recurring2_based on steps'!$B$1:$AY$1,C$1)+SUMIFS('changes2_based on steps'!$B262:$U262,'changes2_based on steps'!$B$1:$U$1,C$1)</f>
        <v>0</v>
      </c>
      <c r="D262" s="179">
        <f>SUMIFS('recurring2_based on steps'!$B262:$AY262,'recurring2_based on steps'!$B$1:$AY$1,D$1)+SUMIFS('changes2_based on steps'!$B262:$U262,'changes2_based on steps'!$B$1:$U$1,D$1)</f>
        <v>0</v>
      </c>
      <c r="E262" s="179">
        <f>SUMIFS('recurring2_based on steps'!$B262:$AY262,'recurring2_based on steps'!$B$1:$AY$1,E$1)+SUMIFS('changes2_based on steps'!$B262:$U262,'changes2_based on steps'!$B$1:$U$1,E$1)</f>
        <v>0</v>
      </c>
      <c r="F262" s="179">
        <f>SUMIFS('recurring2_based on steps'!$B262:$AY262,'recurring2_based on steps'!$B$1:$AY$1,F$1)+SUMIFS('changes2_based on steps'!$B262:$U262,'changes2_based on steps'!$B$1:$U$1,F$1)</f>
        <v>0</v>
      </c>
      <c r="G262" s="179">
        <f>SUMIFS('recurring2_based on steps'!$B262:$AY262,'recurring2_based on steps'!$B$1:$AY$1,G$1)+SUMIFS('changes2_based on steps'!$B262:$U262,'changes2_based on steps'!$B$1:$U$1,G$1)</f>
        <v>0</v>
      </c>
      <c r="H262" s="179">
        <f>SUMIFS('recurring2_based on steps'!$B262:$AY262,'recurring2_based on steps'!$B$1:$AY$1,H$1)+SUMIFS('changes2_based on steps'!$B262:$U262,'changes2_based on steps'!$B$1:$U$1,H$1)</f>
        <v>0</v>
      </c>
      <c r="I262" s="179">
        <f>SUMIFS('recurring2_based on steps'!$B262:$AY262,'recurring2_based on steps'!$B$1:$AY$1,I$1)+SUMIFS('changes2_based on steps'!$B262:$U262,'changes2_based on steps'!$B$1:$U$1,I$1)</f>
        <v>0</v>
      </c>
      <c r="J262" s="179">
        <f>SUMIFS('recurring2_based on steps'!$B262:$AY262,'recurring2_based on steps'!$B$1:$AY$1,J$1)+SUMIFS('changes2_based on steps'!$B262:$U262,'changes2_based on steps'!$B$1:$U$1,J$1)</f>
        <v>0</v>
      </c>
      <c r="K262" s="179">
        <f>SUMIFS('recurring2_based on steps'!$B262:$AY262,'recurring2_based on steps'!$B$1:$AY$1,K$1)+SUMIFS('changes2_based on steps'!$B262:$U262,'changes2_based on steps'!$B$1:$U$1,K$1)</f>
        <v>0</v>
      </c>
      <c r="L262" s="179">
        <f>SUMIFS('recurring2_based on steps'!$B262:$AY262,'recurring2_based on steps'!$B$1:$AY$1,L$1)+SUMIFS('changes2_based on steps'!$B262:$U262,'changes2_based on steps'!$B$1:$U$1,L$1)</f>
        <v>0</v>
      </c>
      <c r="M262" s="179">
        <f>SUMIFS('recurring2_based on steps'!$B262:$AY262,'recurring2_based on steps'!$B$1:$AY$1,M$1)+SUMIFS('changes2_based on steps'!$B262:$U262,'changes2_based on steps'!$B$1:$U$1,M$1)</f>
        <v>0</v>
      </c>
      <c r="N262" s="179">
        <f>SUMIFS('recurring2_based on steps'!$B262:$AY262,'recurring2_based on steps'!$B$1:$AY$1,N$1)+SUMIFS('changes2_based on steps'!$B262:$U262,'changes2_based on steps'!$B$1:$U$1,N$1)</f>
        <v>0</v>
      </c>
      <c r="O262" s="179">
        <f>SUMIFS('recurring2_based on steps'!$B262:$AY262,'recurring2_based on steps'!$B$1:$AY$1,O$1)+SUMIFS('changes2_based on steps'!$B262:$U262,'changes2_based on steps'!$B$1:$U$1,O$1)</f>
        <v>0</v>
      </c>
      <c r="P262" s="179">
        <f>SUMIFS('recurring2_based on steps'!$B262:$AY262,'recurring2_based on steps'!$B$1:$AY$1,P$1)+SUMIFS('changes2_based on steps'!$B262:$U262,'changes2_based on steps'!$B$1:$U$1,P$1)</f>
        <v>0</v>
      </c>
      <c r="Q262" s="179">
        <f>SUMIFS('recurring2_based on steps'!$B262:$AY262,'recurring2_based on steps'!$B$1:$AY$1,Q$1)+SUMIFS('changes2_based on steps'!$B262:$U262,'changes2_based on steps'!$B$1:$U$1,Q$1)</f>
        <v>0</v>
      </c>
      <c r="R262" s="179">
        <f>SUMIFS('recurring2_based on steps'!$B262:$AY262,'recurring2_based on steps'!$B$1:$AY$1,R$1)+SUMIFS('changes2_based on steps'!$B262:$U262,'changes2_based on steps'!$B$1:$U$1,R$1)</f>
        <v>0</v>
      </c>
      <c r="S262" s="179">
        <f>SUMIFS('recurring2_based on steps'!$B262:$AY262,'recurring2_based on steps'!$B$1:$AY$1,S$1)+SUMIFS('changes2_based on steps'!$B262:$U262,'changes2_based on steps'!$B$1:$U$1,S$1)</f>
        <v>0</v>
      </c>
      <c r="T262" s="179">
        <f>SUMIFS('recurring2_based on steps'!$B262:$AY262,'recurring2_based on steps'!$B$1:$AY$1,T$1)+SUMIFS('changes2_based on steps'!$B262:$U262,'changes2_based on steps'!$B$1:$U$1,T$1)</f>
        <v>0</v>
      </c>
      <c r="U262" s="179">
        <f>SUMIFS('recurring2_based on steps'!$B262:$AY262,'recurring2_based on steps'!$B$1:$AY$1,U$1)+SUMIFS('changes2_based on steps'!$B262:$U262,'changes2_based on steps'!$B$1:$U$1,U$1)</f>
        <v>0</v>
      </c>
      <c r="V262" s="179">
        <f>SUMIFS('recurring2_based on steps'!$B262:$AY262,'recurring2_based on steps'!$B$1:$AY$1,V$1)+SUMIFS('changes2_based on steps'!$B262:$U262,'changes2_based on steps'!$B$1:$U$1,V$1)</f>
        <v>0</v>
      </c>
      <c r="W262" s="179">
        <f>SUMIFS('recurring2_based on steps'!$B262:$AY262,'recurring2_based on steps'!$B$1:$AY$1,W$1)+SUMIFS('changes2_based on steps'!$B262:$U262,'changes2_based on steps'!$B$1:$U$1,W$1)</f>
        <v>0</v>
      </c>
      <c r="X262" s="179">
        <f>SUMIFS('recurring2_based on steps'!$B262:$AY262,'recurring2_based on steps'!$B$1:$AY$1,X$1)+SUMIFS('changes2_based on steps'!$B262:$U262,'changes2_based on steps'!$B$1:$U$1,X$1)</f>
        <v>0</v>
      </c>
      <c r="Y262" s="179">
        <f>SUMIFS('recurring2_based on steps'!$B262:$AY262,'recurring2_based on steps'!$B$1:$AY$1,Y$1)+SUMIFS('changes2_based on steps'!$B262:$U262,'changes2_based on steps'!$B$1:$U$1,Y$1)</f>
        <v>0</v>
      </c>
      <c r="Z262" s="179">
        <f>SUMIFS('recurring2_based on steps'!$B262:$AY262,'recurring2_based on steps'!$B$1:$AY$1,Z$1)+SUMIFS('changes2_based on steps'!$B262:$U262,'changes2_based on steps'!$B$1:$U$1,Z$1)</f>
        <v>0</v>
      </c>
      <c r="AA262" s="179">
        <f>SUMIFS('recurring2_based on steps'!$B262:$AY262,'recurring2_based on steps'!$B$1:$AY$1,AA$1)+SUMIFS('changes2_based on steps'!$B262:$U262,'changes2_based on steps'!$B$1:$U$1,AA$1)</f>
        <v>0</v>
      </c>
      <c r="AB262" s="179">
        <f>SUMIFS('recurring2_based on steps'!$B262:$AY262,'recurring2_based on steps'!$B$1:$AY$1,AB$1)+SUMIFS('changes2_based on steps'!$B262:$U262,'changes2_based on steps'!$B$1:$U$1,AB$1)</f>
        <v>0</v>
      </c>
      <c r="AC262" s="179">
        <f>SUMIFS('recurring2_based on steps'!$B262:$AY262,'recurring2_based on steps'!$B$1:$AY$1,AC$1)+SUMIFS('changes2_based on steps'!$B262:$U262,'changes2_based on steps'!$B$1:$U$1,AC$1)</f>
        <v>0</v>
      </c>
      <c r="AD262" s="179">
        <f>SUMIFS('recurring2_based on steps'!$B262:$AY262,'recurring2_based on steps'!$B$1:$AY$1,AD$1)+SUMIFS('changes2_based on steps'!$B262:$U262,'changes2_based on steps'!$B$1:$U$1,AD$1)</f>
        <v>0</v>
      </c>
      <c r="AE262" s="179">
        <f>SUMIFS('recurring2_based on steps'!$B262:$AY262,'recurring2_based on steps'!$B$1:$AY$1,AE$1)+SUMIFS('changes2_based on steps'!$B262:$U262,'changes2_based on steps'!$B$1:$U$1,AE$1)</f>
        <v>0</v>
      </c>
      <c r="AF262" s="179"/>
      <c r="AG262" s="179"/>
      <c r="AH262" s="179"/>
      <c r="AI262" s="179"/>
      <c r="AJ262" s="179"/>
      <c r="AK262" s="179"/>
      <c r="AL262" s="179"/>
      <c r="AM262" s="179"/>
    </row>
    <row r="263" spans="1:39" x14ac:dyDescent="0.2">
      <c r="A263" s="32">
        <f t="shared" ca="1" si="4"/>
        <v>46012</v>
      </c>
      <c r="B263" s="179">
        <f>SUMIFS('recurring2_based on steps'!$B263:$AY263,'recurring2_based on steps'!$B$1:$AY$1,B$1)+SUMIFS('changes2_based on steps'!$B263:$U263,'changes2_based on steps'!$B$1:$U$1,B$1)</f>
        <v>0</v>
      </c>
      <c r="C263" s="179">
        <f>SUMIFS('recurring2_based on steps'!$B263:$AY263,'recurring2_based on steps'!$B$1:$AY$1,C$1)+SUMIFS('changes2_based on steps'!$B263:$U263,'changes2_based on steps'!$B$1:$U$1,C$1)</f>
        <v>0</v>
      </c>
      <c r="D263" s="179">
        <f>SUMIFS('recurring2_based on steps'!$B263:$AY263,'recurring2_based on steps'!$B$1:$AY$1,D$1)+SUMIFS('changes2_based on steps'!$B263:$U263,'changes2_based on steps'!$B$1:$U$1,D$1)</f>
        <v>0</v>
      </c>
      <c r="E263" s="179">
        <f>SUMIFS('recurring2_based on steps'!$B263:$AY263,'recurring2_based on steps'!$B$1:$AY$1,E$1)+SUMIFS('changes2_based on steps'!$B263:$U263,'changes2_based on steps'!$B$1:$U$1,E$1)</f>
        <v>0</v>
      </c>
      <c r="F263" s="179">
        <f>SUMIFS('recurring2_based on steps'!$B263:$AY263,'recurring2_based on steps'!$B$1:$AY$1,F$1)+SUMIFS('changes2_based on steps'!$B263:$U263,'changes2_based on steps'!$B$1:$U$1,F$1)</f>
        <v>0</v>
      </c>
      <c r="G263" s="179">
        <f>SUMIFS('recurring2_based on steps'!$B263:$AY263,'recurring2_based on steps'!$B$1:$AY$1,G$1)+SUMIFS('changes2_based on steps'!$B263:$U263,'changes2_based on steps'!$B$1:$U$1,G$1)</f>
        <v>0</v>
      </c>
      <c r="H263" s="179">
        <f>SUMIFS('recurring2_based on steps'!$B263:$AY263,'recurring2_based on steps'!$B$1:$AY$1,H$1)+SUMIFS('changes2_based on steps'!$B263:$U263,'changes2_based on steps'!$B$1:$U$1,H$1)</f>
        <v>0</v>
      </c>
      <c r="I263" s="179">
        <f>SUMIFS('recurring2_based on steps'!$B263:$AY263,'recurring2_based on steps'!$B$1:$AY$1,I$1)+SUMIFS('changes2_based on steps'!$B263:$U263,'changes2_based on steps'!$B$1:$U$1,I$1)</f>
        <v>0</v>
      </c>
      <c r="J263" s="179">
        <f>SUMIFS('recurring2_based on steps'!$B263:$AY263,'recurring2_based on steps'!$B$1:$AY$1,J$1)+SUMIFS('changes2_based on steps'!$B263:$U263,'changes2_based on steps'!$B$1:$U$1,J$1)</f>
        <v>0</v>
      </c>
      <c r="K263" s="179">
        <f>SUMIFS('recurring2_based on steps'!$B263:$AY263,'recurring2_based on steps'!$B$1:$AY$1,K$1)+SUMIFS('changes2_based on steps'!$B263:$U263,'changes2_based on steps'!$B$1:$U$1,K$1)</f>
        <v>0</v>
      </c>
      <c r="L263" s="179">
        <f>SUMIFS('recurring2_based on steps'!$B263:$AY263,'recurring2_based on steps'!$B$1:$AY$1,L$1)+SUMIFS('changes2_based on steps'!$B263:$U263,'changes2_based on steps'!$B$1:$U$1,L$1)</f>
        <v>0</v>
      </c>
      <c r="M263" s="179">
        <f>SUMIFS('recurring2_based on steps'!$B263:$AY263,'recurring2_based on steps'!$B$1:$AY$1,M$1)+SUMIFS('changes2_based on steps'!$B263:$U263,'changes2_based on steps'!$B$1:$U$1,M$1)</f>
        <v>0</v>
      </c>
      <c r="N263" s="179">
        <f>SUMIFS('recurring2_based on steps'!$B263:$AY263,'recurring2_based on steps'!$B$1:$AY$1,N$1)+SUMIFS('changes2_based on steps'!$B263:$U263,'changes2_based on steps'!$B$1:$U$1,N$1)</f>
        <v>0</v>
      </c>
      <c r="O263" s="179">
        <f>SUMIFS('recurring2_based on steps'!$B263:$AY263,'recurring2_based on steps'!$B$1:$AY$1,O$1)+SUMIFS('changes2_based on steps'!$B263:$U263,'changes2_based on steps'!$B$1:$U$1,O$1)</f>
        <v>0</v>
      </c>
      <c r="P263" s="179">
        <f>SUMIFS('recurring2_based on steps'!$B263:$AY263,'recurring2_based on steps'!$B$1:$AY$1,P$1)+SUMIFS('changes2_based on steps'!$B263:$U263,'changes2_based on steps'!$B$1:$U$1,P$1)</f>
        <v>0</v>
      </c>
      <c r="Q263" s="179">
        <f>SUMIFS('recurring2_based on steps'!$B263:$AY263,'recurring2_based on steps'!$B$1:$AY$1,Q$1)+SUMIFS('changes2_based on steps'!$B263:$U263,'changes2_based on steps'!$B$1:$U$1,Q$1)</f>
        <v>0</v>
      </c>
      <c r="R263" s="179">
        <f>SUMIFS('recurring2_based on steps'!$B263:$AY263,'recurring2_based on steps'!$B$1:$AY$1,R$1)+SUMIFS('changes2_based on steps'!$B263:$U263,'changes2_based on steps'!$B$1:$U$1,R$1)</f>
        <v>0</v>
      </c>
      <c r="S263" s="179">
        <f>SUMIFS('recurring2_based on steps'!$B263:$AY263,'recurring2_based on steps'!$B$1:$AY$1,S$1)+SUMIFS('changes2_based on steps'!$B263:$U263,'changes2_based on steps'!$B$1:$U$1,S$1)</f>
        <v>0</v>
      </c>
      <c r="T263" s="179">
        <f>SUMIFS('recurring2_based on steps'!$B263:$AY263,'recurring2_based on steps'!$B$1:$AY$1,T$1)+SUMIFS('changes2_based on steps'!$B263:$U263,'changes2_based on steps'!$B$1:$U$1,T$1)</f>
        <v>0</v>
      </c>
      <c r="U263" s="179">
        <f>SUMIFS('recurring2_based on steps'!$B263:$AY263,'recurring2_based on steps'!$B$1:$AY$1,U$1)+SUMIFS('changes2_based on steps'!$B263:$U263,'changes2_based on steps'!$B$1:$U$1,U$1)</f>
        <v>0</v>
      </c>
      <c r="V263" s="179">
        <f>SUMIFS('recurring2_based on steps'!$B263:$AY263,'recurring2_based on steps'!$B$1:$AY$1,V$1)+SUMIFS('changes2_based on steps'!$B263:$U263,'changes2_based on steps'!$B$1:$U$1,V$1)</f>
        <v>0</v>
      </c>
      <c r="W263" s="179">
        <f>SUMIFS('recurring2_based on steps'!$B263:$AY263,'recurring2_based on steps'!$B$1:$AY$1,W$1)+SUMIFS('changes2_based on steps'!$B263:$U263,'changes2_based on steps'!$B$1:$U$1,W$1)</f>
        <v>0</v>
      </c>
      <c r="X263" s="179">
        <f>SUMIFS('recurring2_based on steps'!$B263:$AY263,'recurring2_based on steps'!$B$1:$AY$1,X$1)+SUMIFS('changes2_based on steps'!$B263:$U263,'changes2_based on steps'!$B$1:$U$1,X$1)</f>
        <v>0</v>
      </c>
      <c r="Y263" s="179">
        <f>SUMIFS('recurring2_based on steps'!$B263:$AY263,'recurring2_based on steps'!$B$1:$AY$1,Y$1)+SUMIFS('changes2_based on steps'!$B263:$U263,'changes2_based on steps'!$B$1:$U$1,Y$1)</f>
        <v>0</v>
      </c>
      <c r="Z263" s="179">
        <f>SUMIFS('recurring2_based on steps'!$B263:$AY263,'recurring2_based on steps'!$B$1:$AY$1,Z$1)+SUMIFS('changes2_based on steps'!$B263:$U263,'changes2_based on steps'!$B$1:$U$1,Z$1)</f>
        <v>0</v>
      </c>
      <c r="AA263" s="179">
        <f>SUMIFS('recurring2_based on steps'!$B263:$AY263,'recurring2_based on steps'!$B$1:$AY$1,AA$1)+SUMIFS('changes2_based on steps'!$B263:$U263,'changes2_based on steps'!$B$1:$U$1,AA$1)</f>
        <v>0</v>
      </c>
      <c r="AB263" s="179">
        <f>SUMIFS('recurring2_based on steps'!$B263:$AY263,'recurring2_based on steps'!$B$1:$AY$1,AB$1)+SUMIFS('changes2_based on steps'!$B263:$U263,'changes2_based on steps'!$B$1:$U$1,AB$1)</f>
        <v>0</v>
      </c>
      <c r="AC263" s="179">
        <f>SUMIFS('recurring2_based on steps'!$B263:$AY263,'recurring2_based on steps'!$B$1:$AY$1,AC$1)+SUMIFS('changes2_based on steps'!$B263:$U263,'changes2_based on steps'!$B$1:$U$1,AC$1)</f>
        <v>0</v>
      </c>
      <c r="AD263" s="179">
        <f>SUMIFS('recurring2_based on steps'!$B263:$AY263,'recurring2_based on steps'!$B$1:$AY$1,AD$1)+SUMIFS('changes2_based on steps'!$B263:$U263,'changes2_based on steps'!$B$1:$U$1,AD$1)</f>
        <v>0</v>
      </c>
      <c r="AE263" s="179">
        <f>SUMIFS('recurring2_based on steps'!$B263:$AY263,'recurring2_based on steps'!$B$1:$AY$1,AE$1)+SUMIFS('changes2_based on steps'!$B263:$U263,'changes2_based on steps'!$B$1:$U$1,AE$1)</f>
        <v>0</v>
      </c>
      <c r="AF263" s="179"/>
      <c r="AG263" s="179"/>
      <c r="AH263" s="179"/>
      <c r="AI263" s="179"/>
      <c r="AJ263" s="179"/>
      <c r="AK263" s="179"/>
      <c r="AL263" s="179"/>
      <c r="AM263" s="179"/>
    </row>
    <row r="264" spans="1:39" x14ac:dyDescent="0.2">
      <c r="A264" s="32">
        <f t="shared" ca="1" si="4"/>
        <v>46013</v>
      </c>
      <c r="B264" s="179">
        <f>SUMIFS('recurring2_based on steps'!$B264:$AY264,'recurring2_based on steps'!$B$1:$AY$1,B$1)+SUMIFS('changes2_based on steps'!$B264:$U264,'changes2_based on steps'!$B$1:$U$1,B$1)</f>
        <v>0</v>
      </c>
      <c r="C264" s="179">
        <f>SUMIFS('recurring2_based on steps'!$B264:$AY264,'recurring2_based on steps'!$B$1:$AY$1,C$1)+SUMIFS('changes2_based on steps'!$B264:$U264,'changes2_based on steps'!$B$1:$U$1,C$1)</f>
        <v>0</v>
      </c>
      <c r="D264" s="179">
        <f>SUMIFS('recurring2_based on steps'!$B264:$AY264,'recurring2_based on steps'!$B$1:$AY$1,D$1)+SUMIFS('changes2_based on steps'!$B264:$U264,'changes2_based on steps'!$B$1:$U$1,D$1)</f>
        <v>0</v>
      </c>
      <c r="E264" s="179">
        <f>SUMIFS('recurring2_based on steps'!$B264:$AY264,'recurring2_based on steps'!$B$1:$AY$1,E$1)+SUMIFS('changes2_based on steps'!$B264:$U264,'changes2_based on steps'!$B$1:$U$1,E$1)</f>
        <v>0</v>
      </c>
      <c r="F264" s="179">
        <f>SUMIFS('recurring2_based on steps'!$B264:$AY264,'recurring2_based on steps'!$B$1:$AY$1,F$1)+SUMIFS('changes2_based on steps'!$B264:$U264,'changes2_based on steps'!$B$1:$U$1,F$1)</f>
        <v>0</v>
      </c>
      <c r="G264" s="179">
        <f>SUMIFS('recurring2_based on steps'!$B264:$AY264,'recurring2_based on steps'!$B$1:$AY$1,G$1)+SUMIFS('changes2_based on steps'!$B264:$U264,'changes2_based on steps'!$B$1:$U$1,G$1)</f>
        <v>0</v>
      </c>
      <c r="H264" s="179">
        <f>SUMIFS('recurring2_based on steps'!$B264:$AY264,'recurring2_based on steps'!$B$1:$AY$1,H$1)+SUMIFS('changes2_based on steps'!$B264:$U264,'changes2_based on steps'!$B$1:$U$1,H$1)</f>
        <v>0</v>
      </c>
      <c r="I264" s="179">
        <f>SUMIFS('recurring2_based on steps'!$B264:$AY264,'recurring2_based on steps'!$B$1:$AY$1,I$1)+SUMIFS('changes2_based on steps'!$B264:$U264,'changes2_based on steps'!$B$1:$U$1,I$1)</f>
        <v>0</v>
      </c>
      <c r="J264" s="179">
        <f>SUMIFS('recurring2_based on steps'!$B264:$AY264,'recurring2_based on steps'!$B$1:$AY$1,J$1)+SUMIFS('changes2_based on steps'!$B264:$U264,'changes2_based on steps'!$B$1:$U$1,J$1)</f>
        <v>0</v>
      </c>
      <c r="K264" s="179">
        <f>SUMIFS('recurring2_based on steps'!$B264:$AY264,'recurring2_based on steps'!$B$1:$AY$1,K$1)+SUMIFS('changes2_based on steps'!$B264:$U264,'changes2_based on steps'!$B$1:$U$1,K$1)</f>
        <v>0</v>
      </c>
      <c r="L264" s="179">
        <f>SUMIFS('recurring2_based on steps'!$B264:$AY264,'recurring2_based on steps'!$B$1:$AY$1,L$1)+SUMIFS('changes2_based on steps'!$B264:$U264,'changes2_based on steps'!$B$1:$U$1,L$1)</f>
        <v>0</v>
      </c>
      <c r="M264" s="179">
        <f>SUMIFS('recurring2_based on steps'!$B264:$AY264,'recurring2_based on steps'!$B$1:$AY$1,M$1)+SUMIFS('changes2_based on steps'!$B264:$U264,'changes2_based on steps'!$B$1:$U$1,M$1)</f>
        <v>0</v>
      </c>
      <c r="N264" s="179">
        <f>SUMIFS('recurring2_based on steps'!$B264:$AY264,'recurring2_based on steps'!$B$1:$AY$1,N$1)+SUMIFS('changes2_based on steps'!$B264:$U264,'changes2_based on steps'!$B$1:$U$1,N$1)</f>
        <v>0</v>
      </c>
      <c r="O264" s="179">
        <f>SUMIFS('recurring2_based on steps'!$B264:$AY264,'recurring2_based on steps'!$B$1:$AY$1,O$1)+SUMIFS('changes2_based on steps'!$B264:$U264,'changes2_based on steps'!$B$1:$U$1,O$1)</f>
        <v>0</v>
      </c>
      <c r="P264" s="179">
        <f>SUMIFS('recurring2_based on steps'!$B264:$AY264,'recurring2_based on steps'!$B$1:$AY$1,P$1)+SUMIFS('changes2_based on steps'!$B264:$U264,'changes2_based on steps'!$B$1:$U$1,P$1)</f>
        <v>0</v>
      </c>
      <c r="Q264" s="179">
        <f>SUMIFS('recurring2_based on steps'!$B264:$AY264,'recurring2_based on steps'!$B$1:$AY$1,Q$1)+SUMIFS('changes2_based on steps'!$B264:$U264,'changes2_based on steps'!$B$1:$U$1,Q$1)</f>
        <v>0</v>
      </c>
      <c r="R264" s="179">
        <f>SUMIFS('recurring2_based on steps'!$B264:$AY264,'recurring2_based on steps'!$B$1:$AY$1,R$1)+SUMIFS('changes2_based on steps'!$B264:$U264,'changes2_based on steps'!$B$1:$U$1,R$1)</f>
        <v>0</v>
      </c>
      <c r="S264" s="179">
        <f>SUMIFS('recurring2_based on steps'!$B264:$AY264,'recurring2_based on steps'!$B$1:$AY$1,S$1)+SUMIFS('changes2_based on steps'!$B264:$U264,'changes2_based on steps'!$B$1:$U$1,S$1)</f>
        <v>0</v>
      </c>
      <c r="T264" s="179">
        <f>SUMIFS('recurring2_based on steps'!$B264:$AY264,'recurring2_based on steps'!$B$1:$AY$1,T$1)+SUMIFS('changes2_based on steps'!$B264:$U264,'changes2_based on steps'!$B$1:$U$1,T$1)</f>
        <v>0</v>
      </c>
      <c r="U264" s="179">
        <f>SUMIFS('recurring2_based on steps'!$B264:$AY264,'recurring2_based on steps'!$B$1:$AY$1,U$1)+SUMIFS('changes2_based on steps'!$B264:$U264,'changes2_based on steps'!$B$1:$U$1,U$1)</f>
        <v>0</v>
      </c>
      <c r="V264" s="179">
        <f>SUMIFS('recurring2_based on steps'!$B264:$AY264,'recurring2_based on steps'!$B$1:$AY$1,V$1)+SUMIFS('changes2_based on steps'!$B264:$U264,'changes2_based on steps'!$B$1:$U$1,V$1)</f>
        <v>0</v>
      </c>
      <c r="W264" s="179">
        <f>SUMIFS('recurring2_based on steps'!$B264:$AY264,'recurring2_based on steps'!$B$1:$AY$1,W$1)+SUMIFS('changes2_based on steps'!$B264:$U264,'changes2_based on steps'!$B$1:$U$1,W$1)</f>
        <v>0</v>
      </c>
      <c r="X264" s="179">
        <f>SUMIFS('recurring2_based on steps'!$B264:$AY264,'recurring2_based on steps'!$B$1:$AY$1,X$1)+SUMIFS('changes2_based on steps'!$B264:$U264,'changes2_based on steps'!$B$1:$U$1,X$1)</f>
        <v>0</v>
      </c>
      <c r="Y264" s="179">
        <f>SUMIFS('recurring2_based on steps'!$B264:$AY264,'recurring2_based on steps'!$B$1:$AY$1,Y$1)+SUMIFS('changes2_based on steps'!$B264:$U264,'changes2_based on steps'!$B$1:$U$1,Y$1)</f>
        <v>0</v>
      </c>
      <c r="Z264" s="179">
        <f>SUMIFS('recurring2_based on steps'!$B264:$AY264,'recurring2_based on steps'!$B$1:$AY$1,Z$1)+SUMIFS('changes2_based on steps'!$B264:$U264,'changes2_based on steps'!$B$1:$U$1,Z$1)</f>
        <v>0</v>
      </c>
      <c r="AA264" s="179">
        <f>SUMIFS('recurring2_based on steps'!$B264:$AY264,'recurring2_based on steps'!$B$1:$AY$1,AA$1)+SUMIFS('changes2_based on steps'!$B264:$U264,'changes2_based on steps'!$B$1:$U$1,AA$1)</f>
        <v>0</v>
      </c>
      <c r="AB264" s="179">
        <f>SUMIFS('recurring2_based on steps'!$B264:$AY264,'recurring2_based on steps'!$B$1:$AY$1,AB$1)+SUMIFS('changes2_based on steps'!$B264:$U264,'changes2_based on steps'!$B$1:$U$1,AB$1)</f>
        <v>0</v>
      </c>
      <c r="AC264" s="179">
        <f>SUMIFS('recurring2_based on steps'!$B264:$AY264,'recurring2_based on steps'!$B$1:$AY$1,AC$1)+SUMIFS('changes2_based on steps'!$B264:$U264,'changes2_based on steps'!$B$1:$U$1,AC$1)</f>
        <v>0</v>
      </c>
      <c r="AD264" s="179">
        <f>SUMIFS('recurring2_based on steps'!$B264:$AY264,'recurring2_based on steps'!$B$1:$AY$1,AD$1)+SUMIFS('changes2_based on steps'!$B264:$U264,'changes2_based on steps'!$B$1:$U$1,AD$1)</f>
        <v>0</v>
      </c>
      <c r="AE264" s="179">
        <f>SUMIFS('recurring2_based on steps'!$B264:$AY264,'recurring2_based on steps'!$B$1:$AY$1,AE$1)+SUMIFS('changes2_based on steps'!$B264:$U264,'changes2_based on steps'!$B$1:$U$1,AE$1)</f>
        <v>0</v>
      </c>
      <c r="AF264" s="179"/>
      <c r="AG264" s="179"/>
      <c r="AH264" s="179"/>
      <c r="AI264" s="179"/>
      <c r="AJ264" s="179"/>
      <c r="AK264" s="179"/>
      <c r="AL264" s="179"/>
      <c r="AM264" s="179"/>
    </row>
    <row r="265" spans="1:39" x14ac:dyDescent="0.2">
      <c r="A265" s="32">
        <f t="shared" ca="1" si="4"/>
        <v>46014</v>
      </c>
      <c r="B265" s="179">
        <f>SUMIFS('recurring2_based on steps'!$B265:$AY265,'recurring2_based on steps'!$B$1:$AY$1,B$1)+SUMIFS('changes2_based on steps'!$B265:$U265,'changes2_based on steps'!$B$1:$U$1,B$1)</f>
        <v>0</v>
      </c>
      <c r="C265" s="179">
        <f>SUMIFS('recurring2_based on steps'!$B265:$AY265,'recurring2_based on steps'!$B$1:$AY$1,C$1)+SUMIFS('changes2_based on steps'!$B265:$U265,'changes2_based on steps'!$B$1:$U$1,C$1)</f>
        <v>0</v>
      </c>
      <c r="D265" s="179">
        <f>SUMIFS('recurring2_based on steps'!$B265:$AY265,'recurring2_based on steps'!$B$1:$AY$1,D$1)+SUMIFS('changes2_based on steps'!$B265:$U265,'changes2_based on steps'!$B$1:$U$1,D$1)</f>
        <v>0</v>
      </c>
      <c r="E265" s="179">
        <f>SUMIFS('recurring2_based on steps'!$B265:$AY265,'recurring2_based on steps'!$B$1:$AY$1,E$1)+SUMIFS('changes2_based on steps'!$B265:$U265,'changes2_based on steps'!$B$1:$U$1,E$1)</f>
        <v>0</v>
      </c>
      <c r="F265" s="179">
        <f>SUMIFS('recurring2_based on steps'!$B265:$AY265,'recurring2_based on steps'!$B$1:$AY$1,F$1)+SUMIFS('changes2_based on steps'!$B265:$U265,'changes2_based on steps'!$B$1:$U$1,F$1)</f>
        <v>0</v>
      </c>
      <c r="G265" s="179">
        <f>SUMIFS('recurring2_based on steps'!$B265:$AY265,'recurring2_based on steps'!$B$1:$AY$1,G$1)+SUMIFS('changes2_based on steps'!$B265:$U265,'changes2_based on steps'!$B$1:$U$1,G$1)</f>
        <v>0</v>
      </c>
      <c r="H265" s="179">
        <f>SUMIFS('recurring2_based on steps'!$B265:$AY265,'recurring2_based on steps'!$B$1:$AY$1,H$1)+SUMIFS('changes2_based on steps'!$B265:$U265,'changes2_based on steps'!$B$1:$U$1,H$1)</f>
        <v>0</v>
      </c>
      <c r="I265" s="179">
        <f>SUMIFS('recurring2_based on steps'!$B265:$AY265,'recurring2_based on steps'!$B$1:$AY$1,I$1)+SUMIFS('changes2_based on steps'!$B265:$U265,'changes2_based on steps'!$B$1:$U$1,I$1)</f>
        <v>0</v>
      </c>
      <c r="J265" s="179">
        <f>SUMIFS('recurring2_based on steps'!$B265:$AY265,'recurring2_based on steps'!$B$1:$AY$1,J$1)+SUMIFS('changes2_based on steps'!$B265:$U265,'changes2_based on steps'!$B$1:$U$1,J$1)</f>
        <v>0</v>
      </c>
      <c r="K265" s="179">
        <f>SUMIFS('recurring2_based on steps'!$B265:$AY265,'recurring2_based on steps'!$B$1:$AY$1,K$1)+SUMIFS('changes2_based on steps'!$B265:$U265,'changes2_based on steps'!$B$1:$U$1,K$1)</f>
        <v>0</v>
      </c>
      <c r="L265" s="179">
        <f>SUMIFS('recurring2_based on steps'!$B265:$AY265,'recurring2_based on steps'!$B$1:$AY$1,L$1)+SUMIFS('changes2_based on steps'!$B265:$U265,'changes2_based on steps'!$B$1:$U$1,L$1)</f>
        <v>0</v>
      </c>
      <c r="M265" s="179">
        <f>SUMIFS('recurring2_based on steps'!$B265:$AY265,'recurring2_based on steps'!$B$1:$AY$1,M$1)+SUMIFS('changes2_based on steps'!$B265:$U265,'changes2_based on steps'!$B$1:$U$1,M$1)</f>
        <v>0</v>
      </c>
      <c r="N265" s="179">
        <f>SUMIFS('recurring2_based on steps'!$B265:$AY265,'recurring2_based on steps'!$B$1:$AY$1,N$1)+SUMIFS('changes2_based on steps'!$B265:$U265,'changes2_based on steps'!$B$1:$U$1,N$1)</f>
        <v>0</v>
      </c>
      <c r="O265" s="179">
        <f>SUMIFS('recurring2_based on steps'!$B265:$AY265,'recurring2_based on steps'!$B$1:$AY$1,O$1)+SUMIFS('changes2_based on steps'!$B265:$U265,'changes2_based on steps'!$B$1:$U$1,O$1)</f>
        <v>0</v>
      </c>
      <c r="P265" s="179">
        <f>SUMIFS('recurring2_based on steps'!$B265:$AY265,'recurring2_based on steps'!$B$1:$AY$1,P$1)+SUMIFS('changes2_based on steps'!$B265:$U265,'changes2_based on steps'!$B$1:$U$1,P$1)</f>
        <v>0</v>
      </c>
      <c r="Q265" s="179">
        <f>SUMIFS('recurring2_based on steps'!$B265:$AY265,'recurring2_based on steps'!$B$1:$AY$1,Q$1)+SUMIFS('changes2_based on steps'!$B265:$U265,'changes2_based on steps'!$B$1:$U$1,Q$1)</f>
        <v>0</v>
      </c>
      <c r="R265" s="179">
        <f>SUMIFS('recurring2_based on steps'!$B265:$AY265,'recurring2_based on steps'!$B$1:$AY$1,R$1)+SUMIFS('changes2_based on steps'!$B265:$U265,'changes2_based on steps'!$B$1:$U$1,R$1)</f>
        <v>0</v>
      </c>
      <c r="S265" s="179">
        <f>SUMIFS('recurring2_based on steps'!$B265:$AY265,'recurring2_based on steps'!$B$1:$AY$1,S$1)+SUMIFS('changes2_based on steps'!$B265:$U265,'changes2_based on steps'!$B$1:$U$1,S$1)</f>
        <v>0</v>
      </c>
      <c r="T265" s="179">
        <f>SUMIFS('recurring2_based on steps'!$B265:$AY265,'recurring2_based on steps'!$B$1:$AY$1,T$1)+SUMIFS('changes2_based on steps'!$B265:$U265,'changes2_based on steps'!$B$1:$U$1,T$1)</f>
        <v>0</v>
      </c>
      <c r="U265" s="179">
        <f>SUMIFS('recurring2_based on steps'!$B265:$AY265,'recurring2_based on steps'!$B$1:$AY$1,U$1)+SUMIFS('changes2_based on steps'!$B265:$U265,'changes2_based on steps'!$B$1:$U$1,U$1)</f>
        <v>0</v>
      </c>
      <c r="V265" s="179">
        <f>SUMIFS('recurring2_based on steps'!$B265:$AY265,'recurring2_based on steps'!$B$1:$AY$1,V$1)+SUMIFS('changes2_based on steps'!$B265:$U265,'changes2_based on steps'!$B$1:$U$1,V$1)</f>
        <v>0</v>
      </c>
      <c r="W265" s="179">
        <f>SUMIFS('recurring2_based on steps'!$B265:$AY265,'recurring2_based on steps'!$B$1:$AY$1,W$1)+SUMIFS('changes2_based on steps'!$B265:$U265,'changes2_based on steps'!$B$1:$U$1,W$1)</f>
        <v>0</v>
      </c>
      <c r="X265" s="179">
        <f>SUMIFS('recurring2_based on steps'!$B265:$AY265,'recurring2_based on steps'!$B$1:$AY$1,X$1)+SUMIFS('changes2_based on steps'!$B265:$U265,'changes2_based on steps'!$B$1:$U$1,X$1)</f>
        <v>0</v>
      </c>
      <c r="Y265" s="179">
        <f>SUMIFS('recurring2_based on steps'!$B265:$AY265,'recurring2_based on steps'!$B$1:$AY$1,Y$1)+SUMIFS('changes2_based on steps'!$B265:$U265,'changes2_based on steps'!$B$1:$U$1,Y$1)</f>
        <v>0</v>
      </c>
      <c r="Z265" s="179">
        <f>SUMIFS('recurring2_based on steps'!$B265:$AY265,'recurring2_based on steps'!$B$1:$AY$1,Z$1)+SUMIFS('changes2_based on steps'!$B265:$U265,'changes2_based on steps'!$B$1:$U$1,Z$1)</f>
        <v>0</v>
      </c>
      <c r="AA265" s="179">
        <f>SUMIFS('recurring2_based on steps'!$B265:$AY265,'recurring2_based on steps'!$B$1:$AY$1,AA$1)+SUMIFS('changes2_based on steps'!$B265:$U265,'changes2_based on steps'!$B$1:$U$1,AA$1)</f>
        <v>0</v>
      </c>
      <c r="AB265" s="179">
        <f>SUMIFS('recurring2_based on steps'!$B265:$AY265,'recurring2_based on steps'!$B$1:$AY$1,AB$1)+SUMIFS('changes2_based on steps'!$B265:$U265,'changes2_based on steps'!$B$1:$U$1,AB$1)</f>
        <v>0</v>
      </c>
      <c r="AC265" s="179">
        <f>SUMIFS('recurring2_based on steps'!$B265:$AY265,'recurring2_based on steps'!$B$1:$AY$1,AC$1)+SUMIFS('changes2_based on steps'!$B265:$U265,'changes2_based on steps'!$B$1:$U$1,AC$1)</f>
        <v>0</v>
      </c>
      <c r="AD265" s="179">
        <f>SUMIFS('recurring2_based on steps'!$B265:$AY265,'recurring2_based on steps'!$B$1:$AY$1,AD$1)+SUMIFS('changes2_based on steps'!$B265:$U265,'changes2_based on steps'!$B$1:$U$1,AD$1)</f>
        <v>0</v>
      </c>
      <c r="AE265" s="179">
        <f>SUMIFS('recurring2_based on steps'!$B265:$AY265,'recurring2_based on steps'!$B$1:$AY$1,AE$1)+SUMIFS('changes2_based on steps'!$B265:$U265,'changes2_based on steps'!$B$1:$U$1,AE$1)</f>
        <v>0</v>
      </c>
      <c r="AF265" s="179"/>
      <c r="AG265" s="179"/>
      <c r="AH265" s="179"/>
      <c r="AI265" s="179"/>
      <c r="AJ265" s="179"/>
      <c r="AK265" s="179"/>
      <c r="AL265" s="179"/>
      <c r="AM265" s="179"/>
    </row>
    <row r="266" spans="1:39" x14ac:dyDescent="0.2">
      <c r="A266" s="32">
        <f t="shared" ca="1" si="4"/>
        <v>46015</v>
      </c>
      <c r="B266" s="179">
        <f>SUMIFS('recurring2_based on steps'!$B266:$AY266,'recurring2_based on steps'!$B$1:$AY$1,B$1)+SUMIFS('changes2_based on steps'!$B266:$U266,'changes2_based on steps'!$B$1:$U$1,B$1)</f>
        <v>0</v>
      </c>
      <c r="C266" s="179">
        <f>SUMIFS('recurring2_based on steps'!$B266:$AY266,'recurring2_based on steps'!$B$1:$AY$1,C$1)+SUMIFS('changes2_based on steps'!$B266:$U266,'changes2_based on steps'!$B$1:$U$1,C$1)</f>
        <v>0</v>
      </c>
      <c r="D266" s="179">
        <f>SUMIFS('recurring2_based on steps'!$B266:$AY266,'recurring2_based on steps'!$B$1:$AY$1,D$1)+SUMIFS('changes2_based on steps'!$B266:$U266,'changes2_based on steps'!$B$1:$U$1,D$1)</f>
        <v>0</v>
      </c>
      <c r="E266" s="179">
        <f>SUMIFS('recurring2_based on steps'!$B266:$AY266,'recurring2_based on steps'!$B$1:$AY$1,E$1)+SUMIFS('changes2_based on steps'!$B266:$U266,'changes2_based on steps'!$B$1:$U$1,E$1)</f>
        <v>0</v>
      </c>
      <c r="F266" s="179">
        <f>SUMIFS('recurring2_based on steps'!$B266:$AY266,'recurring2_based on steps'!$B$1:$AY$1,F$1)+SUMIFS('changes2_based on steps'!$B266:$U266,'changes2_based on steps'!$B$1:$U$1,F$1)</f>
        <v>0</v>
      </c>
      <c r="G266" s="179">
        <f>SUMIFS('recurring2_based on steps'!$B266:$AY266,'recurring2_based on steps'!$B$1:$AY$1,G$1)+SUMIFS('changes2_based on steps'!$B266:$U266,'changes2_based on steps'!$B$1:$U$1,G$1)</f>
        <v>0</v>
      </c>
      <c r="H266" s="179">
        <f>SUMIFS('recurring2_based on steps'!$B266:$AY266,'recurring2_based on steps'!$B$1:$AY$1,H$1)+SUMIFS('changes2_based on steps'!$B266:$U266,'changes2_based on steps'!$B$1:$U$1,H$1)</f>
        <v>0</v>
      </c>
      <c r="I266" s="179">
        <f>SUMIFS('recurring2_based on steps'!$B266:$AY266,'recurring2_based on steps'!$B$1:$AY$1,I$1)+SUMIFS('changes2_based on steps'!$B266:$U266,'changes2_based on steps'!$B$1:$U$1,I$1)</f>
        <v>0</v>
      </c>
      <c r="J266" s="179">
        <f>SUMIFS('recurring2_based on steps'!$B266:$AY266,'recurring2_based on steps'!$B$1:$AY$1,J$1)+SUMIFS('changes2_based on steps'!$B266:$U266,'changes2_based on steps'!$B$1:$U$1,J$1)</f>
        <v>0</v>
      </c>
      <c r="K266" s="179">
        <f>SUMIFS('recurring2_based on steps'!$B266:$AY266,'recurring2_based on steps'!$B$1:$AY$1,K$1)+SUMIFS('changes2_based on steps'!$B266:$U266,'changes2_based on steps'!$B$1:$U$1,K$1)</f>
        <v>0</v>
      </c>
      <c r="L266" s="179">
        <f>SUMIFS('recurring2_based on steps'!$B266:$AY266,'recurring2_based on steps'!$B$1:$AY$1,L$1)+SUMIFS('changes2_based on steps'!$B266:$U266,'changes2_based on steps'!$B$1:$U$1,L$1)</f>
        <v>0</v>
      </c>
      <c r="M266" s="179">
        <f>SUMIFS('recurring2_based on steps'!$B266:$AY266,'recurring2_based on steps'!$B$1:$AY$1,M$1)+SUMIFS('changes2_based on steps'!$B266:$U266,'changes2_based on steps'!$B$1:$U$1,M$1)</f>
        <v>0</v>
      </c>
      <c r="N266" s="179">
        <f>SUMIFS('recurring2_based on steps'!$B266:$AY266,'recurring2_based on steps'!$B$1:$AY$1,N$1)+SUMIFS('changes2_based on steps'!$B266:$U266,'changes2_based on steps'!$B$1:$U$1,N$1)</f>
        <v>0</v>
      </c>
      <c r="O266" s="179">
        <f>SUMIFS('recurring2_based on steps'!$B266:$AY266,'recurring2_based on steps'!$B$1:$AY$1,O$1)+SUMIFS('changes2_based on steps'!$B266:$U266,'changes2_based on steps'!$B$1:$U$1,O$1)</f>
        <v>0</v>
      </c>
      <c r="P266" s="179">
        <f>SUMIFS('recurring2_based on steps'!$B266:$AY266,'recurring2_based on steps'!$B$1:$AY$1,P$1)+SUMIFS('changes2_based on steps'!$B266:$U266,'changes2_based on steps'!$B$1:$U$1,P$1)</f>
        <v>0</v>
      </c>
      <c r="Q266" s="179">
        <f>SUMIFS('recurring2_based on steps'!$B266:$AY266,'recurring2_based on steps'!$B$1:$AY$1,Q$1)+SUMIFS('changes2_based on steps'!$B266:$U266,'changes2_based on steps'!$B$1:$U$1,Q$1)</f>
        <v>0</v>
      </c>
      <c r="R266" s="179">
        <f>SUMIFS('recurring2_based on steps'!$B266:$AY266,'recurring2_based on steps'!$B$1:$AY$1,R$1)+SUMIFS('changes2_based on steps'!$B266:$U266,'changes2_based on steps'!$B$1:$U$1,R$1)</f>
        <v>0</v>
      </c>
      <c r="S266" s="179">
        <f>SUMIFS('recurring2_based on steps'!$B266:$AY266,'recurring2_based on steps'!$B$1:$AY$1,S$1)+SUMIFS('changes2_based on steps'!$B266:$U266,'changes2_based on steps'!$B$1:$U$1,S$1)</f>
        <v>0</v>
      </c>
      <c r="T266" s="179">
        <f>SUMIFS('recurring2_based on steps'!$B266:$AY266,'recurring2_based on steps'!$B$1:$AY$1,T$1)+SUMIFS('changes2_based on steps'!$B266:$U266,'changes2_based on steps'!$B$1:$U$1,T$1)</f>
        <v>0</v>
      </c>
      <c r="U266" s="179">
        <f>SUMIFS('recurring2_based on steps'!$B266:$AY266,'recurring2_based on steps'!$B$1:$AY$1,U$1)+SUMIFS('changes2_based on steps'!$B266:$U266,'changes2_based on steps'!$B$1:$U$1,U$1)</f>
        <v>0</v>
      </c>
      <c r="V266" s="179">
        <f>SUMIFS('recurring2_based on steps'!$B266:$AY266,'recurring2_based on steps'!$B$1:$AY$1,V$1)+SUMIFS('changes2_based on steps'!$B266:$U266,'changes2_based on steps'!$B$1:$U$1,V$1)</f>
        <v>0</v>
      </c>
      <c r="W266" s="179">
        <f>SUMIFS('recurring2_based on steps'!$B266:$AY266,'recurring2_based on steps'!$B$1:$AY$1,W$1)+SUMIFS('changes2_based on steps'!$B266:$U266,'changes2_based on steps'!$B$1:$U$1,W$1)</f>
        <v>0</v>
      </c>
      <c r="X266" s="179">
        <f>SUMIFS('recurring2_based on steps'!$B266:$AY266,'recurring2_based on steps'!$B$1:$AY$1,X$1)+SUMIFS('changes2_based on steps'!$B266:$U266,'changes2_based on steps'!$B$1:$U$1,X$1)</f>
        <v>0</v>
      </c>
      <c r="Y266" s="179">
        <f>SUMIFS('recurring2_based on steps'!$B266:$AY266,'recurring2_based on steps'!$B$1:$AY$1,Y$1)+SUMIFS('changes2_based on steps'!$B266:$U266,'changes2_based on steps'!$B$1:$U$1,Y$1)</f>
        <v>0</v>
      </c>
      <c r="Z266" s="179">
        <f>SUMIFS('recurring2_based on steps'!$B266:$AY266,'recurring2_based on steps'!$B$1:$AY$1,Z$1)+SUMIFS('changes2_based on steps'!$B266:$U266,'changes2_based on steps'!$B$1:$U$1,Z$1)</f>
        <v>0</v>
      </c>
      <c r="AA266" s="179">
        <f>SUMIFS('recurring2_based on steps'!$B266:$AY266,'recurring2_based on steps'!$B$1:$AY$1,AA$1)+SUMIFS('changes2_based on steps'!$B266:$U266,'changes2_based on steps'!$B$1:$U$1,AA$1)</f>
        <v>0</v>
      </c>
      <c r="AB266" s="179">
        <f>SUMIFS('recurring2_based on steps'!$B266:$AY266,'recurring2_based on steps'!$B$1:$AY$1,AB$1)+SUMIFS('changes2_based on steps'!$B266:$U266,'changes2_based on steps'!$B$1:$U$1,AB$1)</f>
        <v>0</v>
      </c>
      <c r="AC266" s="179">
        <f>SUMIFS('recurring2_based on steps'!$B266:$AY266,'recurring2_based on steps'!$B$1:$AY$1,AC$1)+SUMIFS('changes2_based on steps'!$B266:$U266,'changes2_based on steps'!$B$1:$U$1,AC$1)</f>
        <v>0</v>
      </c>
      <c r="AD266" s="179">
        <f>SUMIFS('recurring2_based on steps'!$B266:$AY266,'recurring2_based on steps'!$B$1:$AY$1,AD$1)+SUMIFS('changes2_based on steps'!$B266:$U266,'changes2_based on steps'!$B$1:$U$1,AD$1)</f>
        <v>0</v>
      </c>
      <c r="AE266" s="179">
        <f>SUMIFS('recurring2_based on steps'!$B266:$AY266,'recurring2_based on steps'!$B$1:$AY$1,AE$1)+SUMIFS('changes2_based on steps'!$B266:$U266,'changes2_based on steps'!$B$1:$U$1,AE$1)</f>
        <v>0</v>
      </c>
      <c r="AF266" s="179"/>
      <c r="AG266" s="179"/>
      <c r="AH266" s="179"/>
      <c r="AI266" s="179"/>
      <c r="AJ266" s="179"/>
      <c r="AK266" s="179"/>
      <c r="AL266" s="179"/>
      <c r="AM266" s="179"/>
    </row>
    <row r="267" spans="1:39" x14ac:dyDescent="0.2">
      <c r="A267" s="32">
        <f t="shared" ca="1" si="4"/>
        <v>46016</v>
      </c>
      <c r="B267" s="179">
        <f>SUMIFS('recurring2_based on steps'!$B267:$AY267,'recurring2_based on steps'!$B$1:$AY$1,B$1)+SUMIFS('changes2_based on steps'!$B267:$U267,'changes2_based on steps'!$B$1:$U$1,B$1)</f>
        <v>0</v>
      </c>
      <c r="C267" s="179">
        <f>SUMIFS('recurring2_based on steps'!$B267:$AY267,'recurring2_based on steps'!$B$1:$AY$1,C$1)+SUMIFS('changes2_based on steps'!$B267:$U267,'changes2_based on steps'!$B$1:$U$1,C$1)</f>
        <v>0</v>
      </c>
      <c r="D267" s="179">
        <f>SUMIFS('recurring2_based on steps'!$B267:$AY267,'recurring2_based on steps'!$B$1:$AY$1,D$1)+SUMIFS('changes2_based on steps'!$B267:$U267,'changes2_based on steps'!$B$1:$U$1,D$1)</f>
        <v>0</v>
      </c>
      <c r="E267" s="179">
        <f>SUMIFS('recurring2_based on steps'!$B267:$AY267,'recurring2_based on steps'!$B$1:$AY$1,E$1)+SUMIFS('changes2_based on steps'!$B267:$U267,'changes2_based on steps'!$B$1:$U$1,E$1)</f>
        <v>0</v>
      </c>
      <c r="F267" s="179">
        <f>SUMIFS('recurring2_based on steps'!$B267:$AY267,'recurring2_based on steps'!$B$1:$AY$1,F$1)+SUMIFS('changes2_based on steps'!$B267:$U267,'changes2_based on steps'!$B$1:$U$1,F$1)</f>
        <v>0</v>
      </c>
      <c r="G267" s="179">
        <f>SUMIFS('recurring2_based on steps'!$B267:$AY267,'recurring2_based on steps'!$B$1:$AY$1,G$1)+SUMIFS('changes2_based on steps'!$B267:$U267,'changes2_based on steps'!$B$1:$U$1,G$1)</f>
        <v>0</v>
      </c>
      <c r="H267" s="179">
        <f>SUMIFS('recurring2_based on steps'!$B267:$AY267,'recurring2_based on steps'!$B$1:$AY$1,H$1)+SUMIFS('changes2_based on steps'!$B267:$U267,'changes2_based on steps'!$B$1:$U$1,H$1)</f>
        <v>0</v>
      </c>
      <c r="I267" s="179">
        <f>SUMIFS('recurring2_based on steps'!$B267:$AY267,'recurring2_based on steps'!$B$1:$AY$1,I$1)+SUMIFS('changes2_based on steps'!$B267:$U267,'changes2_based on steps'!$B$1:$U$1,I$1)</f>
        <v>0</v>
      </c>
      <c r="J267" s="179">
        <f>SUMIFS('recurring2_based on steps'!$B267:$AY267,'recurring2_based on steps'!$B$1:$AY$1,J$1)+SUMIFS('changes2_based on steps'!$B267:$U267,'changes2_based on steps'!$B$1:$U$1,J$1)</f>
        <v>0</v>
      </c>
      <c r="K267" s="179">
        <f>SUMIFS('recurring2_based on steps'!$B267:$AY267,'recurring2_based on steps'!$B$1:$AY$1,K$1)+SUMIFS('changes2_based on steps'!$B267:$U267,'changes2_based on steps'!$B$1:$U$1,K$1)</f>
        <v>0</v>
      </c>
      <c r="L267" s="179">
        <f>SUMIFS('recurring2_based on steps'!$B267:$AY267,'recurring2_based on steps'!$B$1:$AY$1,L$1)+SUMIFS('changes2_based on steps'!$B267:$U267,'changes2_based on steps'!$B$1:$U$1,L$1)</f>
        <v>0</v>
      </c>
      <c r="M267" s="179">
        <f>SUMIFS('recurring2_based on steps'!$B267:$AY267,'recurring2_based on steps'!$B$1:$AY$1,M$1)+SUMIFS('changes2_based on steps'!$B267:$U267,'changes2_based on steps'!$B$1:$U$1,M$1)</f>
        <v>0</v>
      </c>
      <c r="N267" s="179">
        <f>SUMIFS('recurring2_based on steps'!$B267:$AY267,'recurring2_based on steps'!$B$1:$AY$1,N$1)+SUMIFS('changes2_based on steps'!$B267:$U267,'changes2_based on steps'!$B$1:$U$1,N$1)</f>
        <v>0</v>
      </c>
      <c r="O267" s="179">
        <f>SUMIFS('recurring2_based on steps'!$B267:$AY267,'recurring2_based on steps'!$B$1:$AY$1,O$1)+SUMIFS('changes2_based on steps'!$B267:$U267,'changes2_based on steps'!$B$1:$U$1,O$1)</f>
        <v>0</v>
      </c>
      <c r="P267" s="179">
        <f>SUMIFS('recurring2_based on steps'!$B267:$AY267,'recurring2_based on steps'!$B$1:$AY$1,P$1)+SUMIFS('changes2_based on steps'!$B267:$U267,'changes2_based on steps'!$B$1:$U$1,P$1)</f>
        <v>0</v>
      </c>
      <c r="Q267" s="179">
        <f>SUMIFS('recurring2_based on steps'!$B267:$AY267,'recurring2_based on steps'!$B$1:$AY$1,Q$1)+SUMIFS('changes2_based on steps'!$B267:$U267,'changes2_based on steps'!$B$1:$U$1,Q$1)</f>
        <v>0</v>
      </c>
      <c r="R267" s="179">
        <f>SUMIFS('recurring2_based on steps'!$B267:$AY267,'recurring2_based on steps'!$B$1:$AY$1,R$1)+SUMIFS('changes2_based on steps'!$B267:$U267,'changes2_based on steps'!$B$1:$U$1,R$1)</f>
        <v>0</v>
      </c>
      <c r="S267" s="179">
        <f>SUMIFS('recurring2_based on steps'!$B267:$AY267,'recurring2_based on steps'!$B$1:$AY$1,S$1)+SUMIFS('changes2_based on steps'!$B267:$U267,'changes2_based on steps'!$B$1:$U$1,S$1)</f>
        <v>0</v>
      </c>
      <c r="T267" s="179">
        <f>SUMIFS('recurring2_based on steps'!$B267:$AY267,'recurring2_based on steps'!$B$1:$AY$1,T$1)+SUMIFS('changes2_based on steps'!$B267:$U267,'changes2_based on steps'!$B$1:$U$1,T$1)</f>
        <v>0</v>
      </c>
      <c r="U267" s="179">
        <f>SUMIFS('recurring2_based on steps'!$B267:$AY267,'recurring2_based on steps'!$B$1:$AY$1,U$1)+SUMIFS('changes2_based on steps'!$B267:$U267,'changes2_based on steps'!$B$1:$U$1,U$1)</f>
        <v>0</v>
      </c>
      <c r="V267" s="179">
        <f>SUMIFS('recurring2_based on steps'!$B267:$AY267,'recurring2_based on steps'!$B$1:$AY$1,V$1)+SUMIFS('changes2_based on steps'!$B267:$U267,'changes2_based on steps'!$B$1:$U$1,V$1)</f>
        <v>0</v>
      </c>
      <c r="W267" s="179">
        <f>SUMIFS('recurring2_based on steps'!$B267:$AY267,'recurring2_based on steps'!$B$1:$AY$1,W$1)+SUMIFS('changes2_based on steps'!$B267:$U267,'changes2_based on steps'!$B$1:$U$1,W$1)</f>
        <v>0</v>
      </c>
      <c r="X267" s="179">
        <f>SUMIFS('recurring2_based on steps'!$B267:$AY267,'recurring2_based on steps'!$B$1:$AY$1,X$1)+SUMIFS('changes2_based on steps'!$B267:$U267,'changes2_based on steps'!$B$1:$U$1,X$1)</f>
        <v>0</v>
      </c>
      <c r="Y267" s="179">
        <f>SUMIFS('recurring2_based on steps'!$B267:$AY267,'recurring2_based on steps'!$B$1:$AY$1,Y$1)+SUMIFS('changes2_based on steps'!$B267:$U267,'changes2_based on steps'!$B$1:$U$1,Y$1)</f>
        <v>0</v>
      </c>
      <c r="Z267" s="179">
        <f>SUMIFS('recurring2_based on steps'!$B267:$AY267,'recurring2_based on steps'!$B$1:$AY$1,Z$1)+SUMIFS('changes2_based on steps'!$B267:$U267,'changes2_based on steps'!$B$1:$U$1,Z$1)</f>
        <v>0</v>
      </c>
      <c r="AA267" s="179">
        <f>SUMIFS('recurring2_based on steps'!$B267:$AY267,'recurring2_based on steps'!$B$1:$AY$1,AA$1)+SUMIFS('changes2_based on steps'!$B267:$U267,'changes2_based on steps'!$B$1:$U$1,AA$1)</f>
        <v>0</v>
      </c>
      <c r="AB267" s="179">
        <f>SUMIFS('recurring2_based on steps'!$B267:$AY267,'recurring2_based on steps'!$B$1:$AY$1,AB$1)+SUMIFS('changes2_based on steps'!$B267:$U267,'changes2_based on steps'!$B$1:$U$1,AB$1)</f>
        <v>0</v>
      </c>
      <c r="AC267" s="179">
        <f>SUMIFS('recurring2_based on steps'!$B267:$AY267,'recurring2_based on steps'!$B$1:$AY$1,AC$1)+SUMIFS('changes2_based on steps'!$B267:$U267,'changes2_based on steps'!$B$1:$U$1,AC$1)</f>
        <v>0</v>
      </c>
      <c r="AD267" s="179">
        <f>SUMIFS('recurring2_based on steps'!$B267:$AY267,'recurring2_based on steps'!$B$1:$AY$1,AD$1)+SUMIFS('changes2_based on steps'!$B267:$U267,'changes2_based on steps'!$B$1:$U$1,AD$1)</f>
        <v>0</v>
      </c>
      <c r="AE267" s="179">
        <f>SUMIFS('recurring2_based on steps'!$B267:$AY267,'recurring2_based on steps'!$B$1:$AY$1,AE$1)+SUMIFS('changes2_based on steps'!$B267:$U267,'changes2_based on steps'!$B$1:$U$1,AE$1)</f>
        <v>0</v>
      </c>
      <c r="AF267" s="179"/>
      <c r="AG267" s="179"/>
      <c r="AH267" s="179"/>
      <c r="AI267" s="179"/>
      <c r="AJ267" s="179"/>
      <c r="AK267" s="179"/>
      <c r="AL267" s="179"/>
      <c r="AM267" s="179"/>
    </row>
    <row r="268" spans="1:39" x14ac:dyDescent="0.2">
      <c r="A268" s="32">
        <f t="shared" ca="1" si="4"/>
        <v>46017</v>
      </c>
      <c r="B268" s="179">
        <f>SUMIFS('recurring2_based on steps'!$B268:$AY268,'recurring2_based on steps'!$B$1:$AY$1,B$1)+SUMIFS('changes2_based on steps'!$B268:$U268,'changes2_based on steps'!$B$1:$U$1,B$1)</f>
        <v>0</v>
      </c>
      <c r="C268" s="179">
        <f>SUMIFS('recurring2_based on steps'!$B268:$AY268,'recurring2_based on steps'!$B$1:$AY$1,C$1)+SUMIFS('changes2_based on steps'!$B268:$U268,'changes2_based on steps'!$B$1:$U$1,C$1)</f>
        <v>0</v>
      </c>
      <c r="D268" s="179">
        <f>SUMIFS('recurring2_based on steps'!$B268:$AY268,'recurring2_based on steps'!$B$1:$AY$1,D$1)+SUMIFS('changes2_based on steps'!$B268:$U268,'changes2_based on steps'!$B$1:$U$1,D$1)</f>
        <v>0</v>
      </c>
      <c r="E268" s="179">
        <f>SUMIFS('recurring2_based on steps'!$B268:$AY268,'recurring2_based on steps'!$B$1:$AY$1,E$1)+SUMIFS('changes2_based on steps'!$B268:$U268,'changes2_based on steps'!$B$1:$U$1,E$1)</f>
        <v>0</v>
      </c>
      <c r="F268" s="179">
        <f>SUMIFS('recurring2_based on steps'!$B268:$AY268,'recurring2_based on steps'!$B$1:$AY$1,F$1)+SUMIFS('changes2_based on steps'!$B268:$U268,'changes2_based on steps'!$B$1:$U$1,F$1)</f>
        <v>0</v>
      </c>
      <c r="G268" s="179">
        <f>SUMIFS('recurring2_based on steps'!$B268:$AY268,'recurring2_based on steps'!$B$1:$AY$1,G$1)+SUMIFS('changes2_based on steps'!$B268:$U268,'changes2_based on steps'!$B$1:$U$1,G$1)</f>
        <v>0</v>
      </c>
      <c r="H268" s="179">
        <f>SUMIFS('recurring2_based on steps'!$B268:$AY268,'recurring2_based on steps'!$B$1:$AY$1,H$1)+SUMIFS('changes2_based on steps'!$B268:$U268,'changes2_based on steps'!$B$1:$U$1,H$1)</f>
        <v>0</v>
      </c>
      <c r="I268" s="179">
        <f>SUMIFS('recurring2_based on steps'!$B268:$AY268,'recurring2_based on steps'!$B$1:$AY$1,I$1)+SUMIFS('changes2_based on steps'!$B268:$U268,'changes2_based on steps'!$B$1:$U$1,I$1)</f>
        <v>0</v>
      </c>
      <c r="J268" s="179">
        <f>SUMIFS('recurring2_based on steps'!$B268:$AY268,'recurring2_based on steps'!$B$1:$AY$1,J$1)+SUMIFS('changes2_based on steps'!$B268:$U268,'changes2_based on steps'!$B$1:$U$1,J$1)</f>
        <v>0</v>
      </c>
      <c r="K268" s="179">
        <f>SUMIFS('recurring2_based on steps'!$B268:$AY268,'recurring2_based on steps'!$B$1:$AY$1,K$1)+SUMIFS('changes2_based on steps'!$B268:$U268,'changes2_based on steps'!$B$1:$U$1,K$1)</f>
        <v>0</v>
      </c>
      <c r="L268" s="179">
        <f>SUMIFS('recurring2_based on steps'!$B268:$AY268,'recurring2_based on steps'!$B$1:$AY$1,L$1)+SUMIFS('changes2_based on steps'!$B268:$U268,'changes2_based on steps'!$B$1:$U$1,L$1)</f>
        <v>0</v>
      </c>
      <c r="M268" s="179">
        <f>SUMIFS('recurring2_based on steps'!$B268:$AY268,'recurring2_based on steps'!$B$1:$AY$1,M$1)+SUMIFS('changes2_based on steps'!$B268:$U268,'changes2_based on steps'!$B$1:$U$1,M$1)</f>
        <v>0</v>
      </c>
      <c r="N268" s="179">
        <f>SUMIFS('recurring2_based on steps'!$B268:$AY268,'recurring2_based on steps'!$B$1:$AY$1,N$1)+SUMIFS('changes2_based on steps'!$B268:$U268,'changes2_based on steps'!$B$1:$U$1,N$1)</f>
        <v>0</v>
      </c>
      <c r="O268" s="179">
        <f>SUMIFS('recurring2_based on steps'!$B268:$AY268,'recurring2_based on steps'!$B$1:$AY$1,O$1)+SUMIFS('changes2_based on steps'!$B268:$U268,'changes2_based on steps'!$B$1:$U$1,O$1)</f>
        <v>0</v>
      </c>
      <c r="P268" s="179">
        <f>SUMIFS('recurring2_based on steps'!$B268:$AY268,'recurring2_based on steps'!$B$1:$AY$1,P$1)+SUMIFS('changes2_based on steps'!$B268:$U268,'changes2_based on steps'!$B$1:$U$1,P$1)</f>
        <v>0</v>
      </c>
      <c r="Q268" s="179">
        <f>SUMIFS('recurring2_based on steps'!$B268:$AY268,'recurring2_based on steps'!$B$1:$AY$1,Q$1)+SUMIFS('changes2_based on steps'!$B268:$U268,'changes2_based on steps'!$B$1:$U$1,Q$1)</f>
        <v>0</v>
      </c>
      <c r="R268" s="179">
        <f>SUMIFS('recurring2_based on steps'!$B268:$AY268,'recurring2_based on steps'!$B$1:$AY$1,R$1)+SUMIFS('changes2_based on steps'!$B268:$U268,'changes2_based on steps'!$B$1:$U$1,R$1)</f>
        <v>0</v>
      </c>
      <c r="S268" s="179">
        <f>SUMIFS('recurring2_based on steps'!$B268:$AY268,'recurring2_based on steps'!$B$1:$AY$1,S$1)+SUMIFS('changes2_based on steps'!$B268:$U268,'changes2_based on steps'!$B$1:$U$1,S$1)</f>
        <v>0</v>
      </c>
      <c r="T268" s="179">
        <f>SUMIFS('recurring2_based on steps'!$B268:$AY268,'recurring2_based on steps'!$B$1:$AY$1,T$1)+SUMIFS('changes2_based on steps'!$B268:$U268,'changes2_based on steps'!$B$1:$U$1,T$1)</f>
        <v>0</v>
      </c>
      <c r="U268" s="179">
        <f>SUMIFS('recurring2_based on steps'!$B268:$AY268,'recurring2_based on steps'!$B$1:$AY$1,U$1)+SUMIFS('changes2_based on steps'!$B268:$U268,'changes2_based on steps'!$B$1:$U$1,U$1)</f>
        <v>0</v>
      </c>
      <c r="V268" s="179">
        <f>SUMIFS('recurring2_based on steps'!$B268:$AY268,'recurring2_based on steps'!$B$1:$AY$1,V$1)+SUMIFS('changes2_based on steps'!$B268:$U268,'changes2_based on steps'!$B$1:$U$1,V$1)</f>
        <v>0</v>
      </c>
      <c r="W268" s="179">
        <f>SUMIFS('recurring2_based on steps'!$B268:$AY268,'recurring2_based on steps'!$B$1:$AY$1,W$1)+SUMIFS('changes2_based on steps'!$B268:$U268,'changes2_based on steps'!$B$1:$U$1,W$1)</f>
        <v>0</v>
      </c>
      <c r="X268" s="179">
        <f>SUMIFS('recurring2_based on steps'!$B268:$AY268,'recurring2_based on steps'!$B$1:$AY$1,X$1)+SUMIFS('changes2_based on steps'!$B268:$U268,'changes2_based on steps'!$B$1:$U$1,X$1)</f>
        <v>0</v>
      </c>
      <c r="Y268" s="179">
        <f>SUMIFS('recurring2_based on steps'!$B268:$AY268,'recurring2_based on steps'!$B$1:$AY$1,Y$1)+SUMIFS('changes2_based on steps'!$B268:$U268,'changes2_based on steps'!$B$1:$U$1,Y$1)</f>
        <v>0</v>
      </c>
      <c r="Z268" s="179">
        <f>SUMIFS('recurring2_based on steps'!$B268:$AY268,'recurring2_based on steps'!$B$1:$AY$1,Z$1)+SUMIFS('changes2_based on steps'!$B268:$U268,'changes2_based on steps'!$B$1:$U$1,Z$1)</f>
        <v>0</v>
      </c>
      <c r="AA268" s="179">
        <f>SUMIFS('recurring2_based on steps'!$B268:$AY268,'recurring2_based on steps'!$B$1:$AY$1,AA$1)+SUMIFS('changes2_based on steps'!$B268:$U268,'changes2_based on steps'!$B$1:$U$1,AA$1)</f>
        <v>0</v>
      </c>
      <c r="AB268" s="179">
        <f>SUMIFS('recurring2_based on steps'!$B268:$AY268,'recurring2_based on steps'!$B$1:$AY$1,AB$1)+SUMIFS('changes2_based on steps'!$B268:$U268,'changes2_based on steps'!$B$1:$U$1,AB$1)</f>
        <v>0</v>
      </c>
      <c r="AC268" s="179">
        <f>SUMIFS('recurring2_based on steps'!$B268:$AY268,'recurring2_based on steps'!$B$1:$AY$1,AC$1)+SUMIFS('changes2_based on steps'!$B268:$U268,'changes2_based on steps'!$B$1:$U$1,AC$1)</f>
        <v>0</v>
      </c>
      <c r="AD268" s="179">
        <f>SUMIFS('recurring2_based on steps'!$B268:$AY268,'recurring2_based on steps'!$B$1:$AY$1,AD$1)+SUMIFS('changes2_based on steps'!$B268:$U268,'changes2_based on steps'!$B$1:$U$1,AD$1)</f>
        <v>0</v>
      </c>
      <c r="AE268" s="179">
        <f>SUMIFS('recurring2_based on steps'!$B268:$AY268,'recurring2_based on steps'!$B$1:$AY$1,AE$1)+SUMIFS('changes2_based on steps'!$B268:$U268,'changes2_based on steps'!$B$1:$U$1,AE$1)</f>
        <v>0</v>
      </c>
      <c r="AF268" s="179"/>
      <c r="AG268" s="179"/>
      <c r="AH268" s="179"/>
      <c r="AI268" s="179"/>
      <c r="AJ268" s="179"/>
      <c r="AK268" s="179"/>
      <c r="AL268" s="179"/>
      <c r="AM268" s="179"/>
    </row>
    <row r="269" spans="1:39" x14ac:dyDescent="0.2">
      <c r="A269" s="32">
        <f t="shared" ca="1" si="4"/>
        <v>46018</v>
      </c>
      <c r="B269" s="179">
        <f>SUMIFS('recurring2_based on steps'!$B269:$AY269,'recurring2_based on steps'!$B$1:$AY$1,B$1)+SUMIFS('changes2_based on steps'!$B269:$U269,'changes2_based on steps'!$B$1:$U$1,B$1)</f>
        <v>0</v>
      </c>
      <c r="C269" s="179">
        <f>SUMIFS('recurring2_based on steps'!$B269:$AY269,'recurring2_based on steps'!$B$1:$AY$1,C$1)+SUMIFS('changes2_based on steps'!$B269:$U269,'changes2_based on steps'!$B$1:$U$1,C$1)</f>
        <v>0</v>
      </c>
      <c r="D269" s="179">
        <f>SUMIFS('recurring2_based on steps'!$B269:$AY269,'recurring2_based on steps'!$B$1:$AY$1,D$1)+SUMIFS('changes2_based on steps'!$B269:$U269,'changes2_based on steps'!$B$1:$U$1,D$1)</f>
        <v>0</v>
      </c>
      <c r="E269" s="179">
        <f>SUMIFS('recurring2_based on steps'!$B269:$AY269,'recurring2_based on steps'!$B$1:$AY$1,E$1)+SUMIFS('changes2_based on steps'!$B269:$U269,'changes2_based on steps'!$B$1:$U$1,E$1)</f>
        <v>0</v>
      </c>
      <c r="F269" s="179">
        <f>SUMIFS('recurring2_based on steps'!$B269:$AY269,'recurring2_based on steps'!$B$1:$AY$1,F$1)+SUMIFS('changes2_based on steps'!$B269:$U269,'changes2_based on steps'!$B$1:$U$1,F$1)</f>
        <v>0</v>
      </c>
      <c r="G269" s="179">
        <f>SUMIFS('recurring2_based on steps'!$B269:$AY269,'recurring2_based on steps'!$B$1:$AY$1,G$1)+SUMIFS('changes2_based on steps'!$B269:$U269,'changes2_based on steps'!$B$1:$U$1,G$1)</f>
        <v>0</v>
      </c>
      <c r="H269" s="179">
        <f>SUMIFS('recurring2_based on steps'!$B269:$AY269,'recurring2_based on steps'!$B$1:$AY$1,H$1)+SUMIFS('changes2_based on steps'!$B269:$U269,'changes2_based on steps'!$B$1:$U$1,H$1)</f>
        <v>0</v>
      </c>
      <c r="I269" s="179">
        <f>SUMIFS('recurring2_based on steps'!$B269:$AY269,'recurring2_based on steps'!$B$1:$AY$1,I$1)+SUMIFS('changes2_based on steps'!$B269:$U269,'changes2_based on steps'!$B$1:$U$1,I$1)</f>
        <v>0</v>
      </c>
      <c r="J269" s="179">
        <f>SUMIFS('recurring2_based on steps'!$B269:$AY269,'recurring2_based on steps'!$B$1:$AY$1,J$1)+SUMIFS('changes2_based on steps'!$B269:$U269,'changes2_based on steps'!$B$1:$U$1,J$1)</f>
        <v>0</v>
      </c>
      <c r="K269" s="179">
        <f>SUMIFS('recurring2_based on steps'!$B269:$AY269,'recurring2_based on steps'!$B$1:$AY$1,K$1)+SUMIFS('changes2_based on steps'!$B269:$U269,'changes2_based on steps'!$B$1:$U$1,K$1)</f>
        <v>0</v>
      </c>
      <c r="L269" s="179">
        <f>SUMIFS('recurring2_based on steps'!$B269:$AY269,'recurring2_based on steps'!$B$1:$AY$1,L$1)+SUMIFS('changes2_based on steps'!$B269:$U269,'changes2_based on steps'!$B$1:$U$1,L$1)</f>
        <v>0</v>
      </c>
      <c r="M269" s="179">
        <f>SUMIFS('recurring2_based on steps'!$B269:$AY269,'recurring2_based on steps'!$B$1:$AY$1,M$1)+SUMIFS('changes2_based on steps'!$B269:$U269,'changes2_based on steps'!$B$1:$U$1,M$1)</f>
        <v>0</v>
      </c>
      <c r="N269" s="179">
        <f>SUMIFS('recurring2_based on steps'!$B269:$AY269,'recurring2_based on steps'!$B$1:$AY$1,N$1)+SUMIFS('changes2_based on steps'!$B269:$U269,'changes2_based on steps'!$B$1:$U$1,N$1)</f>
        <v>0</v>
      </c>
      <c r="O269" s="179">
        <f>SUMIFS('recurring2_based on steps'!$B269:$AY269,'recurring2_based on steps'!$B$1:$AY$1,O$1)+SUMIFS('changes2_based on steps'!$B269:$U269,'changes2_based on steps'!$B$1:$U$1,O$1)</f>
        <v>0</v>
      </c>
      <c r="P269" s="179">
        <f>SUMIFS('recurring2_based on steps'!$B269:$AY269,'recurring2_based on steps'!$B$1:$AY$1,P$1)+SUMIFS('changes2_based on steps'!$B269:$U269,'changes2_based on steps'!$B$1:$U$1,P$1)</f>
        <v>0</v>
      </c>
      <c r="Q269" s="179">
        <f>SUMIFS('recurring2_based on steps'!$B269:$AY269,'recurring2_based on steps'!$B$1:$AY$1,Q$1)+SUMIFS('changes2_based on steps'!$B269:$U269,'changes2_based on steps'!$B$1:$U$1,Q$1)</f>
        <v>0</v>
      </c>
      <c r="R269" s="179">
        <f>SUMIFS('recurring2_based on steps'!$B269:$AY269,'recurring2_based on steps'!$B$1:$AY$1,R$1)+SUMIFS('changes2_based on steps'!$B269:$U269,'changes2_based on steps'!$B$1:$U$1,R$1)</f>
        <v>0</v>
      </c>
      <c r="S269" s="179">
        <f>SUMIFS('recurring2_based on steps'!$B269:$AY269,'recurring2_based on steps'!$B$1:$AY$1,S$1)+SUMIFS('changes2_based on steps'!$B269:$U269,'changes2_based on steps'!$B$1:$U$1,S$1)</f>
        <v>0</v>
      </c>
      <c r="T269" s="179">
        <f>SUMIFS('recurring2_based on steps'!$B269:$AY269,'recurring2_based on steps'!$B$1:$AY$1,T$1)+SUMIFS('changes2_based on steps'!$B269:$U269,'changes2_based on steps'!$B$1:$U$1,T$1)</f>
        <v>0</v>
      </c>
      <c r="U269" s="179">
        <f>SUMIFS('recurring2_based on steps'!$B269:$AY269,'recurring2_based on steps'!$B$1:$AY$1,U$1)+SUMIFS('changes2_based on steps'!$B269:$U269,'changes2_based on steps'!$B$1:$U$1,U$1)</f>
        <v>0</v>
      </c>
      <c r="V269" s="179">
        <f>SUMIFS('recurring2_based on steps'!$B269:$AY269,'recurring2_based on steps'!$B$1:$AY$1,V$1)+SUMIFS('changes2_based on steps'!$B269:$U269,'changes2_based on steps'!$B$1:$U$1,V$1)</f>
        <v>0</v>
      </c>
      <c r="W269" s="179">
        <f>SUMIFS('recurring2_based on steps'!$B269:$AY269,'recurring2_based on steps'!$B$1:$AY$1,W$1)+SUMIFS('changes2_based on steps'!$B269:$U269,'changes2_based on steps'!$B$1:$U$1,W$1)</f>
        <v>0</v>
      </c>
      <c r="X269" s="179">
        <f>SUMIFS('recurring2_based on steps'!$B269:$AY269,'recurring2_based on steps'!$B$1:$AY$1,X$1)+SUMIFS('changes2_based on steps'!$B269:$U269,'changes2_based on steps'!$B$1:$U$1,X$1)</f>
        <v>0</v>
      </c>
      <c r="Y269" s="179">
        <f>SUMIFS('recurring2_based on steps'!$B269:$AY269,'recurring2_based on steps'!$B$1:$AY$1,Y$1)+SUMIFS('changes2_based on steps'!$B269:$U269,'changes2_based on steps'!$B$1:$U$1,Y$1)</f>
        <v>0</v>
      </c>
      <c r="Z269" s="179">
        <f>SUMIFS('recurring2_based on steps'!$B269:$AY269,'recurring2_based on steps'!$B$1:$AY$1,Z$1)+SUMIFS('changes2_based on steps'!$B269:$U269,'changes2_based on steps'!$B$1:$U$1,Z$1)</f>
        <v>0</v>
      </c>
      <c r="AA269" s="179">
        <f>SUMIFS('recurring2_based on steps'!$B269:$AY269,'recurring2_based on steps'!$B$1:$AY$1,AA$1)+SUMIFS('changes2_based on steps'!$B269:$U269,'changes2_based on steps'!$B$1:$U$1,AA$1)</f>
        <v>0</v>
      </c>
      <c r="AB269" s="179">
        <f>SUMIFS('recurring2_based on steps'!$B269:$AY269,'recurring2_based on steps'!$B$1:$AY$1,AB$1)+SUMIFS('changes2_based on steps'!$B269:$U269,'changes2_based on steps'!$B$1:$U$1,AB$1)</f>
        <v>0</v>
      </c>
      <c r="AC269" s="179">
        <f>SUMIFS('recurring2_based on steps'!$B269:$AY269,'recurring2_based on steps'!$B$1:$AY$1,AC$1)+SUMIFS('changes2_based on steps'!$B269:$U269,'changes2_based on steps'!$B$1:$U$1,AC$1)</f>
        <v>0</v>
      </c>
      <c r="AD269" s="179">
        <f>SUMIFS('recurring2_based on steps'!$B269:$AY269,'recurring2_based on steps'!$B$1:$AY$1,AD$1)+SUMIFS('changes2_based on steps'!$B269:$U269,'changes2_based on steps'!$B$1:$U$1,AD$1)</f>
        <v>0</v>
      </c>
      <c r="AE269" s="179">
        <f>SUMIFS('recurring2_based on steps'!$B269:$AY269,'recurring2_based on steps'!$B$1:$AY$1,AE$1)+SUMIFS('changes2_based on steps'!$B269:$U269,'changes2_based on steps'!$B$1:$U$1,AE$1)</f>
        <v>0</v>
      </c>
      <c r="AF269" s="179"/>
      <c r="AG269" s="179"/>
      <c r="AH269" s="179"/>
      <c r="AI269" s="179"/>
      <c r="AJ269" s="179"/>
      <c r="AK269" s="179"/>
      <c r="AL269" s="179"/>
      <c r="AM269" s="179"/>
    </row>
    <row r="270" spans="1:39" x14ac:dyDescent="0.2">
      <c r="A270" s="32">
        <f t="shared" ca="1" si="4"/>
        <v>46019</v>
      </c>
      <c r="B270" s="179">
        <f>SUMIFS('recurring2_based on steps'!$B270:$AY270,'recurring2_based on steps'!$B$1:$AY$1,B$1)+SUMIFS('changes2_based on steps'!$B270:$U270,'changes2_based on steps'!$B$1:$U$1,B$1)</f>
        <v>0</v>
      </c>
      <c r="C270" s="179">
        <f>SUMIFS('recurring2_based on steps'!$B270:$AY270,'recurring2_based on steps'!$B$1:$AY$1,C$1)+SUMIFS('changes2_based on steps'!$B270:$U270,'changes2_based on steps'!$B$1:$U$1,C$1)</f>
        <v>0</v>
      </c>
      <c r="D270" s="179">
        <f>SUMIFS('recurring2_based on steps'!$B270:$AY270,'recurring2_based on steps'!$B$1:$AY$1,D$1)+SUMIFS('changes2_based on steps'!$B270:$U270,'changes2_based on steps'!$B$1:$U$1,D$1)</f>
        <v>0</v>
      </c>
      <c r="E270" s="179">
        <f>SUMIFS('recurring2_based on steps'!$B270:$AY270,'recurring2_based on steps'!$B$1:$AY$1,E$1)+SUMIFS('changes2_based on steps'!$B270:$U270,'changes2_based on steps'!$B$1:$U$1,E$1)</f>
        <v>0</v>
      </c>
      <c r="F270" s="179">
        <f>SUMIFS('recurring2_based on steps'!$B270:$AY270,'recurring2_based on steps'!$B$1:$AY$1,F$1)+SUMIFS('changes2_based on steps'!$B270:$U270,'changes2_based on steps'!$B$1:$U$1,F$1)</f>
        <v>0</v>
      </c>
      <c r="G270" s="179">
        <f>SUMIFS('recurring2_based on steps'!$B270:$AY270,'recurring2_based on steps'!$B$1:$AY$1,G$1)+SUMIFS('changes2_based on steps'!$B270:$U270,'changes2_based on steps'!$B$1:$U$1,G$1)</f>
        <v>0</v>
      </c>
      <c r="H270" s="179">
        <f>SUMIFS('recurring2_based on steps'!$B270:$AY270,'recurring2_based on steps'!$B$1:$AY$1,H$1)+SUMIFS('changes2_based on steps'!$B270:$U270,'changes2_based on steps'!$B$1:$U$1,H$1)</f>
        <v>0</v>
      </c>
      <c r="I270" s="179">
        <f>SUMIFS('recurring2_based on steps'!$B270:$AY270,'recurring2_based on steps'!$B$1:$AY$1,I$1)+SUMIFS('changes2_based on steps'!$B270:$U270,'changes2_based on steps'!$B$1:$U$1,I$1)</f>
        <v>0</v>
      </c>
      <c r="J270" s="179">
        <f>SUMIFS('recurring2_based on steps'!$B270:$AY270,'recurring2_based on steps'!$B$1:$AY$1,J$1)+SUMIFS('changes2_based on steps'!$B270:$U270,'changes2_based on steps'!$B$1:$U$1,J$1)</f>
        <v>0</v>
      </c>
      <c r="K270" s="179">
        <f>SUMIFS('recurring2_based on steps'!$B270:$AY270,'recurring2_based on steps'!$B$1:$AY$1,K$1)+SUMIFS('changes2_based on steps'!$B270:$U270,'changes2_based on steps'!$B$1:$U$1,K$1)</f>
        <v>0</v>
      </c>
      <c r="L270" s="179">
        <f>SUMIFS('recurring2_based on steps'!$B270:$AY270,'recurring2_based on steps'!$B$1:$AY$1,L$1)+SUMIFS('changes2_based on steps'!$B270:$U270,'changes2_based on steps'!$B$1:$U$1,L$1)</f>
        <v>0</v>
      </c>
      <c r="M270" s="179">
        <f>SUMIFS('recurring2_based on steps'!$B270:$AY270,'recurring2_based on steps'!$B$1:$AY$1,M$1)+SUMIFS('changes2_based on steps'!$B270:$U270,'changes2_based on steps'!$B$1:$U$1,M$1)</f>
        <v>0</v>
      </c>
      <c r="N270" s="179">
        <f>SUMIFS('recurring2_based on steps'!$B270:$AY270,'recurring2_based on steps'!$B$1:$AY$1,N$1)+SUMIFS('changes2_based on steps'!$B270:$U270,'changes2_based on steps'!$B$1:$U$1,N$1)</f>
        <v>0</v>
      </c>
      <c r="O270" s="179">
        <f>SUMIFS('recurring2_based on steps'!$B270:$AY270,'recurring2_based on steps'!$B$1:$AY$1,O$1)+SUMIFS('changes2_based on steps'!$B270:$U270,'changes2_based on steps'!$B$1:$U$1,O$1)</f>
        <v>0</v>
      </c>
      <c r="P270" s="179">
        <f>SUMIFS('recurring2_based on steps'!$B270:$AY270,'recurring2_based on steps'!$B$1:$AY$1,P$1)+SUMIFS('changes2_based on steps'!$B270:$U270,'changes2_based on steps'!$B$1:$U$1,P$1)</f>
        <v>0</v>
      </c>
      <c r="Q270" s="179">
        <f>SUMIFS('recurring2_based on steps'!$B270:$AY270,'recurring2_based on steps'!$B$1:$AY$1,Q$1)+SUMIFS('changes2_based on steps'!$B270:$U270,'changes2_based on steps'!$B$1:$U$1,Q$1)</f>
        <v>0</v>
      </c>
      <c r="R270" s="179">
        <f>SUMIFS('recurring2_based on steps'!$B270:$AY270,'recurring2_based on steps'!$B$1:$AY$1,R$1)+SUMIFS('changes2_based on steps'!$B270:$U270,'changes2_based on steps'!$B$1:$U$1,R$1)</f>
        <v>0</v>
      </c>
      <c r="S270" s="179">
        <f>SUMIFS('recurring2_based on steps'!$B270:$AY270,'recurring2_based on steps'!$B$1:$AY$1,S$1)+SUMIFS('changes2_based on steps'!$B270:$U270,'changes2_based on steps'!$B$1:$U$1,S$1)</f>
        <v>0</v>
      </c>
      <c r="T270" s="179">
        <f>SUMIFS('recurring2_based on steps'!$B270:$AY270,'recurring2_based on steps'!$B$1:$AY$1,T$1)+SUMIFS('changes2_based on steps'!$B270:$U270,'changes2_based on steps'!$B$1:$U$1,T$1)</f>
        <v>0</v>
      </c>
      <c r="U270" s="179">
        <f>SUMIFS('recurring2_based on steps'!$B270:$AY270,'recurring2_based on steps'!$B$1:$AY$1,U$1)+SUMIFS('changes2_based on steps'!$B270:$U270,'changes2_based on steps'!$B$1:$U$1,U$1)</f>
        <v>0</v>
      </c>
      <c r="V270" s="179">
        <f>SUMIFS('recurring2_based on steps'!$B270:$AY270,'recurring2_based on steps'!$B$1:$AY$1,V$1)+SUMIFS('changes2_based on steps'!$B270:$U270,'changes2_based on steps'!$B$1:$U$1,V$1)</f>
        <v>0</v>
      </c>
      <c r="W270" s="179">
        <f>SUMIFS('recurring2_based on steps'!$B270:$AY270,'recurring2_based on steps'!$B$1:$AY$1,W$1)+SUMIFS('changes2_based on steps'!$B270:$U270,'changes2_based on steps'!$B$1:$U$1,W$1)</f>
        <v>0</v>
      </c>
      <c r="X270" s="179">
        <f>SUMIFS('recurring2_based on steps'!$B270:$AY270,'recurring2_based on steps'!$B$1:$AY$1,X$1)+SUMIFS('changes2_based on steps'!$B270:$U270,'changes2_based on steps'!$B$1:$U$1,X$1)</f>
        <v>0</v>
      </c>
      <c r="Y270" s="179">
        <f>SUMIFS('recurring2_based on steps'!$B270:$AY270,'recurring2_based on steps'!$B$1:$AY$1,Y$1)+SUMIFS('changes2_based on steps'!$B270:$U270,'changes2_based on steps'!$B$1:$U$1,Y$1)</f>
        <v>0</v>
      </c>
      <c r="Z270" s="179">
        <f>SUMIFS('recurring2_based on steps'!$B270:$AY270,'recurring2_based on steps'!$B$1:$AY$1,Z$1)+SUMIFS('changes2_based on steps'!$B270:$U270,'changes2_based on steps'!$B$1:$U$1,Z$1)</f>
        <v>0</v>
      </c>
      <c r="AA270" s="179">
        <f>SUMIFS('recurring2_based on steps'!$B270:$AY270,'recurring2_based on steps'!$B$1:$AY$1,AA$1)+SUMIFS('changes2_based on steps'!$B270:$U270,'changes2_based on steps'!$B$1:$U$1,AA$1)</f>
        <v>0</v>
      </c>
      <c r="AB270" s="179">
        <f>SUMIFS('recurring2_based on steps'!$B270:$AY270,'recurring2_based on steps'!$B$1:$AY$1,AB$1)+SUMIFS('changes2_based on steps'!$B270:$U270,'changes2_based on steps'!$B$1:$U$1,AB$1)</f>
        <v>0</v>
      </c>
      <c r="AC270" s="179">
        <f>SUMIFS('recurring2_based on steps'!$B270:$AY270,'recurring2_based on steps'!$B$1:$AY$1,AC$1)+SUMIFS('changes2_based on steps'!$B270:$U270,'changes2_based on steps'!$B$1:$U$1,AC$1)</f>
        <v>0</v>
      </c>
      <c r="AD270" s="179">
        <f>SUMIFS('recurring2_based on steps'!$B270:$AY270,'recurring2_based on steps'!$B$1:$AY$1,AD$1)+SUMIFS('changes2_based on steps'!$B270:$U270,'changes2_based on steps'!$B$1:$U$1,AD$1)</f>
        <v>0</v>
      </c>
      <c r="AE270" s="179">
        <f>SUMIFS('recurring2_based on steps'!$B270:$AY270,'recurring2_based on steps'!$B$1:$AY$1,AE$1)+SUMIFS('changes2_based on steps'!$B270:$U270,'changes2_based on steps'!$B$1:$U$1,AE$1)</f>
        <v>0</v>
      </c>
      <c r="AF270" s="179"/>
      <c r="AG270" s="179"/>
      <c r="AH270" s="179"/>
      <c r="AI270" s="179"/>
      <c r="AJ270" s="179"/>
      <c r="AK270" s="179"/>
      <c r="AL270" s="179"/>
      <c r="AM270" s="179"/>
    </row>
    <row r="271" spans="1:39" x14ac:dyDescent="0.2">
      <c r="A271" s="32">
        <f t="shared" ca="1" si="4"/>
        <v>46020</v>
      </c>
      <c r="B271" s="179">
        <f>SUMIFS('recurring2_based on steps'!$B271:$AY271,'recurring2_based on steps'!$B$1:$AY$1,B$1)+SUMIFS('changes2_based on steps'!$B271:$U271,'changes2_based on steps'!$B$1:$U$1,B$1)</f>
        <v>0</v>
      </c>
      <c r="C271" s="179">
        <f>SUMIFS('recurring2_based on steps'!$B271:$AY271,'recurring2_based on steps'!$B$1:$AY$1,C$1)+SUMIFS('changes2_based on steps'!$B271:$U271,'changes2_based on steps'!$B$1:$U$1,C$1)</f>
        <v>0</v>
      </c>
      <c r="D271" s="179">
        <f>SUMIFS('recurring2_based on steps'!$B271:$AY271,'recurring2_based on steps'!$B$1:$AY$1,D$1)+SUMIFS('changes2_based on steps'!$B271:$U271,'changes2_based on steps'!$B$1:$U$1,D$1)</f>
        <v>0</v>
      </c>
      <c r="E271" s="179">
        <f>SUMIFS('recurring2_based on steps'!$B271:$AY271,'recurring2_based on steps'!$B$1:$AY$1,E$1)+SUMIFS('changes2_based on steps'!$B271:$U271,'changes2_based on steps'!$B$1:$U$1,E$1)</f>
        <v>0</v>
      </c>
      <c r="F271" s="179">
        <f>SUMIFS('recurring2_based on steps'!$B271:$AY271,'recurring2_based on steps'!$B$1:$AY$1,F$1)+SUMIFS('changes2_based on steps'!$B271:$U271,'changes2_based on steps'!$B$1:$U$1,F$1)</f>
        <v>0</v>
      </c>
      <c r="G271" s="179">
        <f>SUMIFS('recurring2_based on steps'!$B271:$AY271,'recurring2_based on steps'!$B$1:$AY$1,G$1)+SUMIFS('changes2_based on steps'!$B271:$U271,'changes2_based on steps'!$B$1:$U$1,G$1)</f>
        <v>0</v>
      </c>
      <c r="H271" s="179">
        <f>SUMIFS('recurring2_based on steps'!$B271:$AY271,'recurring2_based on steps'!$B$1:$AY$1,H$1)+SUMIFS('changes2_based on steps'!$B271:$U271,'changes2_based on steps'!$B$1:$U$1,H$1)</f>
        <v>0</v>
      </c>
      <c r="I271" s="179">
        <f>SUMIFS('recurring2_based on steps'!$B271:$AY271,'recurring2_based on steps'!$B$1:$AY$1,I$1)+SUMIFS('changes2_based on steps'!$B271:$U271,'changes2_based on steps'!$B$1:$U$1,I$1)</f>
        <v>0</v>
      </c>
      <c r="J271" s="179">
        <f>SUMIFS('recurring2_based on steps'!$B271:$AY271,'recurring2_based on steps'!$B$1:$AY$1,J$1)+SUMIFS('changes2_based on steps'!$B271:$U271,'changes2_based on steps'!$B$1:$U$1,J$1)</f>
        <v>0</v>
      </c>
      <c r="K271" s="179">
        <f>SUMIFS('recurring2_based on steps'!$B271:$AY271,'recurring2_based on steps'!$B$1:$AY$1,K$1)+SUMIFS('changes2_based on steps'!$B271:$U271,'changes2_based on steps'!$B$1:$U$1,K$1)</f>
        <v>0</v>
      </c>
      <c r="L271" s="179">
        <f>SUMIFS('recurring2_based on steps'!$B271:$AY271,'recurring2_based on steps'!$B$1:$AY$1,L$1)+SUMIFS('changes2_based on steps'!$B271:$U271,'changes2_based on steps'!$B$1:$U$1,L$1)</f>
        <v>0</v>
      </c>
      <c r="M271" s="179">
        <f>SUMIFS('recurring2_based on steps'!$B271:$AY271,'recurring2_based on steps'!$B$1:$AY$1,M$1)+SUMIFS('changes2_based on steps'!$B271:$U271,'changes2_based on steps'!$B$1:$U$1,M$1)</f>
        <v>0</v>
      </c>
      <c r="N271" s="179">
        <f>SUMIFS('recurring2_based on steps'!$B271:$AY271,'recurring2_based on steps'!$B$1:$AY$1,N$1)+SUMIFS('changes2_based on steps'!$B271:$U271,'changes2_based on steps'!$B$1:$U$1,N$1)</f>
        <v>0</v>
      </c>
      <c r="O271" s="179">
        <f>SUMIFS('recurring2_based on steps'!$B271:$AY271,'recurring2_based on steps'!$B$1:$AY$1,O$1)+SUMIFS('changes2_based on steps'!$B271:$U271,'changes2_based on steps'!$B$1:$U$1,O$1)</f>
        <v>0</v>
      </c>
      <c r="P271" s="179">
        <f>SUMIFS('recurring2_based on steps'!$B271:$AY271,'recurring2_based on steps'!$B$1:$AY$1,P$1)+SUMIFS('changes2_based on steps'!$B271:$U271,'changes2_based on steps'!$B$1:$U$1,P$1)</f>
        <v>0</v>
      </c>
      <c r="Q271" s="179">
        <f>SUMIFS('recurring2_based on steps'!$B271:$AY271,'recurring2_based on steps'!$B$1:$AY$1,Q$1)+SUMIFS('changes2_based on steps'!$B271:$U271,'changes2_based on steps'!$B$1:$U$1,Q$1)</f>
        <v>0</v>
      </c>
      <c r="R271" s="179">
        <f>SUMIFS('recurring2_based on steps'!$B271:$AY271,'recurring2_based on steps'!$B$1:$AY$1,R$1)+SUMIFS('changes2_based on steps'!$B271:$U271,'changes2_based on steps'!$B$1:$U$1,R$1)</f>
        <v>0</v>
      </c>
      <c r="S271" s="179">
        <f>SUMIFS('recurring2_based on steps'!$B271:$AY271,'recurring2_based on steps'!$B$1:$AY$1,S$1)+SUMIFS('changes2_based on steps'!$B271:$U271,'changes2_based on steps'!$B$1:$U$1,S$1)</f>
        <v>0</v>
      </c>
      <c r="T271" s="179">
        <f>SUMIFS('recurring2_based on steps'!$B271:$AY271,'recurring2_based on steps'!$B$1:$AY$1,T$1)+SUMIFS('changes2_based on steps'!$B271:$U271,'changes2_based on steps'!$B$1:$U$1,T$1)</f>
        <v>0</v>
      </c>
      <c r="U271" s="179">
        <f>SUMIFS('recurring2_based on steps'!$B271:$AY271,'recurring2_based on steps'!$B$1:$AY$1,U$1)+SUMIFS('changes2_based on steps'!$B271:$U271,'changes2_based on steps'!$B$1:$U$1,U$1)</f>
        <v>0</v>
      </c>
      <c r="V271" s="179">
        <f>SUMIFS('recurring2_based on steps'!$B271:$AY271,'recurring2_based on steps'!$B$1:$AY$1,V$1)+SUMIFS('changes2_based on steps'!$B271:$U271,'changes2_based on steps'!$B$1:$U$1,V$1)</f>
        <v>0</v>
      </c>
      <c r="W271" s="179">
        <f>SUMIFS('recurring2_based on steps'!$B271:$AY271,'recurring2_based on steps'!$B$1:$AY$1,W$1)+SUMIFS('changes2_based on steps'!$B271:$U271,'changes2_based on steps'!$B$1:$U$1,W$1)</f>
        <v>0</v>
      </c>
      <c r="X271" s="179">
        <f>SUMIFS('recurring2_based on steps'!$B271:$AY271,'recurring2_based on steps'!$B$1:$AY$1,X$1)+SUMIFS('changes2_based on steps'!$B271:$U271,'changes2_based on steps'!$B$1:$U$1,X$1)</f>
        <v>0</v>
      </c>
      <c r="Y271" s="179">
        <f>SUMIFS('recurring2_based on steps'!$B271:$AY271,'recurring2_based on steps'!$B$1:$AY$1,Y$1)+SUMIFS('changes2_based on steps'!$B271:$U271,'changes2_based on steps'!$B$1:$U$1,Y$1)</f>
        <v>0</v>
      </c>
      <c r="Z271" s="179">
        <f>SUMIFS('recurring2_based on steps'!$B271:$AY271,'recurring2_based on steps'!$B$1:$AY$1,Z$1)+SUMIFS('changes2_based on steps'!$B271:$U271,'changes2_based on steps'!$B$1:$U$1,Z$1)</f>
        <v>0</v>
      </c>
      <c r="AA271" s="179">
        <f>SUMIFS('recurring2_based on steps'!$B271:$AY271,'recurring2_based on steps'!$B$1:$AY$1,AA$1)+SUMIFS('changes2_based on steps'!$B271:$U271,'changes2_based on steps'!$B$1:$U$1,AA$1)</f>
        <v>0</v>
      </c>
      <c r="AB271" s="179">
        <f>SUMIFS('recurring2_based on steps'!$B271:$AY271,'recurring2_based on steps'!$B$1:$AY$1,AB$1)+SUMIFS('changes2_based on steps'!$B271:$U271,'changes2_based on steps'!$B$1:$U$1,AB$1)</f>
        <v>0</v>
      </c>
      <c r="AC271" s="179">
        <f>SUMIFS('recurring2_based on steps'!$B271:$AY271,'recurring2_based on steps'!$B$1:$AY$1,AC$1)+SUMIFS('changes2_based on steps'!$B271:$U271,'changes2_based on steps'!$B$1:$U$1,AC$1)</f>
        <v>0</v>
      </c>
      <c r="AD271" s="179">
        <f>SUMIFS('recurring2_based on steps'!$B271:$AY271,'recurring2_based on steps'!$B$1:$AY$1,AD$1)+SUMIFS('changes2_based on steps'!$B271:$U271,'changes2_based on steps'!$B$1:$U$1,AD$1)</f>
        <v>0</v>
      </c>
      <c r="AE271" s="179">
        <f>SUMIFS('recurring2_based on steps'!$B271:$AY271,'recurring2_based on steps'!$B$1:$AY$1,AE$1)+SUMIFS('changes2_based on steps'!$B271:$U271,'changes2_based on steps'!$B$1:$U$1,AE$1)</f>
        <v>0</v>
      </c>
      <c r="AF271" s="179"/>
      <c r="AG271" s="179"/>
      <c r="AH271" s="179"/>
      <c r="AI271" s="179"/>
      <c r="AJ271" s="179"/>
      <c r="AK271" s="179"/>
      <c r="AL271" s="179"/>
      <c r="AM271" s="179"/>
    </row>
    <row r="272" spans="1:39" x14ac:dyDescent="0.2">
      <c r="A272" s="32">
        <f t="shared" ca="1" si="4"/>
        <v>46021</v>
      </c>
      <c r="B272" s="179">
        <f>SUMIFS('recurring2_based on steps'!$B272:$AY272,'recurring2_based on steps'!$B$1:$AY$1,B$1)+SUMIFS('changes2_based on steps'!$B272:$U272,'changes2_based on steps'!$B$1:$U$1,B$1)</f>
        <v>0</v>
      </c>
      <c r="C272" s="179">
        <f>SUMIFS('recurring2_based on steps'!$B272:$AY272,'recurring2_based on steps'!$B$1:$AY$1,C$1)+SUMIFS('changes2_based on steps'!$B272:$U272,'changes2_based on steps'!$B$1:$U$1,C$1)</f>
        <v>0</v>
      </c>
      <c r="D272" s="179">
        <f>SUMIFS('recurring2_based on steps'!$B272:$AY272,'recurring2_based on steps'!$B$1:$AY$1,D$1)+SUMIFS('changes2_based on steps'!$B272:$U272,'changes2_based on steps'!$B$1:$U$1,D$1)</f>
        <v>0</v>
      </c>
      <c r="E272" s="179">
        <f>SUMIFS('recurring2_based on steps'!$B272:$AY272,'recurring2_based on steps'!$B$1:$AY$1,E$1)+SUMIFS('changes2_based on steps'!$B272:$U272,'changes2_based on steps'!$B$1:$U$1,E$1)</f>
        <v>0</v>
      </c>
      <c r="F272" s="179">
        <f>SUMIFS('recurring2_based on steps'!$B272:$AY272,'recurring2_based on steps'!$B$1:$AY$1,F$1)+SUMIFS('changes2_based on steps'!$B272:$U272,'changes2_based on steps'!$B$1:$U$1,F$1)</f>
        <v>0</v>
      </c>
      <c r="G272" s="179">
        <f>SUMIFS('recurring2_based on steps'!$B272:$AY272,'recurring2_based on steps'!$B$1:$AY$1,G$1)+SUMIFS('changes2_based on steps'!$B272:$U272,'changes2_based on steps'!$B$1:$U$1,G$1)</f>
        <v>0</v>
      </c>
      <c r="H272" s="179">
        <f>SUMIFS('recurring2_based on steps'!$B272:$AY272,'recurring2_based on steps'!$B$1:$AY$1,H$1)+SUMIFS('changes2_based on steps'!$B272:$U272,'changes2_based on steps'!$B$1:$U$1,H$1)</f>
        <v>0</v>
      </c>
      <c r="I272" s="179">
        <f>SUMIFS('recurring2_based on steps'!$B272:$AY272,'recurring2_based on steps'!$B$1:$AY$1,I$1)+SUMIFS('changes2_based on steps'!$B272:$U272,'changes2_based on steps'!$B$1:$U$1,I$1)</f>
        <v>0</v>
      </c>
      <c r="J272" s="179">
        <f>SUMIFS('recurring2_based on steps'!$B272:$AY272,'recurring2_based on steps'!$B$1:$AY$1,J$1)+SUMIFS('changes2_based on steps'!$B272:$U272,'changes2_based on steps'!$B$1:$U$1,J$1)</f>
        <v>0</v>
      </c>
      <c r="K272" s="179">
        <f>SUMIFS('recurring2_based on steps'!$B272:$AY272,'recurring2_based on steps'!$B$1:$AY$1,K$1)+SUMIFS('changes2_based on steps'!$B272:$U272,'changes2_based on steps'!$B$1:$U$1,K$1)</f>
        <v>0</v>
      </c>
      <c r="L272" s="179">
        <f>SUMIFS('recurring2_based on steps'!$B272:$AY272,'recurring2_based on steps'!$B$1:$AY$1,L$1)+SUMIFS('changes2_based on steps'!$B272:$U272,'changes2_based on steps'!$B$1:$U$1,L$1)</f>
        <v>0</v>
      </c>
      <c r="M272" s="179">
        <f>SUMIFS('recurring2_based on steps'!$B272:$AY272,'recurring2_based on steps'!$B$1:$AY$1,M$1)+SUMIFS('changes2_based on steps'!$B272:$U272,'changes2_based on steps'!$B$1:$U$1,M$1)</f>
        <v>0</v>
      </c>
      <c r="N272" s="179">
        <f>SUMIFS('recurring2_based on steps'!$B272:$AY272,'recurring2_based on steps'!$B$1:$AY$1,N$1)+SUMIFS('changes2_based on steps'!$B272:$U272,'changes2_based on steps'!$B$1:$U$1,N$1)</f>
        <v>0</v>
      </c>
      <c r="O272" s="179">
        <f>SUMIFS('recurring2_based on steps'!$B272:$AY272,'recurring2_based on steps'!$B$1:$AY$1,O$1)+SUMIFS('changes2_based on steps'!$B272:$U272,'changes2_based on steps'!$B$1:$U$1,O$1)</f>
        <v>0</v>
      </c>
      <c r="P272" s="179">
        <f>SUMIFS('recurring2_based on steps'!$B272:$AY272,'recurring2_based on steps'!$B$1:$AY$1,P$1)+SUMIFS('changes2_based on steps'!$B272:$U272,'changes2_based on steps'!$B$1:$U$1,P$1)</f>
        <v>0</v>
      </c>
      <c r="Q272" s="179">
        <f>SUMIFS('recurring2_based on steps'!$B272:$AY272,'recurring2_based on steps'!$B$1:$AY$1,Q$1)+SUMIFS('changes2_based on steps'!$B272:$U272,'changes2_based on steps'!$B$1:$U$1,Q$1)</f>
        <v>0</v>
      </c>
      <c r="R272" s="179">
        <f>SUMIFS('recurring2_based on steps'!$B272:$AY272,'recurring2_based on steps'!$B$1:$AY$1,R$1)+SUMIFS('changes2_based on steps'!$B272:$U272,'changes2_based on steps'!$B$1:$U$1,R$1)</f>
        <v>0</v>
      </c>
      <c r="S272" s="179">
        <f>SUMIFS('recurring2_based on steps'!$B272:$AY272,'recurring2_based on steps'!$B$1:$AY$1,S$1)+SUMIFS('changes2_based on steps'!$B272:$U272,'changes2_based on steps'!$B$1:$U$1,S$1)</f>
        <v>0</v>
      </c>
      <c r="T272" s="179">
        <f>SUMIFS('recurring2_based on steps'!$B272:$AY272,'recurring2_based on steps'!$B$1:$AY$1,T$1)+SUMIFS('changes2_based on steps'!$B272:$U272,'changes2_based on steps'!$B$1:$U$1,T$1)</f>
        <v>0</v>
      </c>
      <c r="U272" s="179">
        <f>SUMIFS('recurring2_based on steps'!$B272:$AY272,'recurring2_based on steps'!$B$1:$AY$1,U$1)+SUMIFS('changes2_based on steps'!$B272:$U272,'changes2_based on steps'!$B$1:$U$1,U$1)</f>
        <v>0</v>
      </c>
      <c r="V272" s="179">
        <f>SUMIFS('recurring2_based on steps'!$B272:$AY272,'recurring2_based on steps'!$B$1:$AY$1,V$1)+SUMIFS('changes2_based on steps'!$B272:$U272,'changes2_based on steps'!$B$1:$U$1,V$1)</f>
        <v>0</v>
      </c>
      <c r="W272" s="179">
        <f>SUMIFS('recurring2_based on steps'!$B272:$AY272,'recurring2_based on steps'!$B$1:$AY$1,W$1)+SUMIFS('changes2_based on steps'!$B272:$U272,'changes2_based on steps'!$B$1:$U$1,W$1)</f>
        <v>0</v>
      </c>
      <c r="X272" s="179">
        <f>SUMIFS('recurring2_based on steps'!$B272:$AY272,'recurring2_based on steps'!$B$1:$AY$1,X$1)+SUMIFS('changes2_based on steps'!$B272:$U272,'changes2_based on steps'!$B$1:$U$1,X$1)</f>
        <v>0</v>
      </c>
      <c r="Y272" s="179">
        <f>SUMIFS('recurring2_based on steps'!$B272:$AY272,'recurring2_based on steps'!$B$1:$AY$1,Y$1)+SUMIFS('changes2_based on steps'!$B272:$U272,'changes2_based on steps'!$B$1:$U$1,Y$1)</f>
        <v>0</v>
      </c>
      <c r="Z272" s="179">
        <f>SUMIFS('recurring2_based on steps'!$B272:$AY272,'recurring2_based on steps'!$B$1:$AY$1,Z$1)+SUMIFS('changes2_based on steps'!$B272:$U272,'changes2_based on steps'!$B$1:$U$1,Z$1)</f>
        <v>0</v>
      </c>
      <c r="AA272" s="179">
        <f>SUMIFS('recurring2_based on steps'!$B272:$AY272,'recurring2_based on steps'!$B$1:$AY$1,AA$1)+SUMIFS('changes2_based on steps'!$B272:$U272,'changes2_based on steps'!$B$1:$U$1,AA$1)</f>
        <v>0</v>
      </c>
      <c r="AB272" s="179">
        <f>SUMIFS('recurring2_based on steps'!$B272:$AY272,'recurring2_based on steps'!$B$1:$AY$1,AB$1)+SUMIFS('changes2_based on steps'!$B272:$U272,'changes2_based on steps'!$B$1:$U$1,AB$1)</f>
        <v>0</v>
      </c>
      <c r="AC272" s="179">
        <f>SUMIFS('recurring2_based on steps'!$B272:$AY272,'recurring2_based on steps'!$B$1:$AY$1,AC$1)+SUMIFS('changes2_based on steps'!$B272:$U272,'changes2_based on steps'!$B$1:$U$1,AC$1)</f>
        <v>0</v>
      </c>
      <c r="AD272" s="179">
        <f>SUMIFS('recurring2_based on steps'!$B272:$AY272,'recurring2_based on steps'!$B$1:$AY$1,AD$1)+SUMIFS('changes2_based on steps'!$B272:$U272,'changes2_based on steps'!$B$1:$U$1,AD$1)</f>
        <v>0</v>
      </c>
      <c r="AE272" s="179">
        <f>SUMIFS('recurring2_based on steps'!$B272:$AY272,'recurring2_based on steps'!$B$1:$AY$1,AE$1)+SUMIFS('changes2_based on steps'!$B272:$U272,'changes2_based on steps'!$B$1:$U$1,AE$1)</f>
        <v>0</v>
      </c>
      <c r="AF272" s="179"/>
      <c r="AG272" s="179"/>
      <c r="AH272" s="179"/>
      <c r="AI272" s="179"/>
      <c r="AJ272" s="179"/>
      <c r="AK272" s="179"/>
      <c r="AL272" s="179"/>
      <c r="AM272" s="179"/>
    </row>
    <row r="273" spans="1:39" x14ac:dyDescent="0.2">
      <c r="A273" s="32">
        <f t="shared" ca="1" si="4"/>
        <v>46022</v>
      </c>
      <c r="B273" s="179">
        <f>SUMIFS('recurring2_based on steps'!$B273:$AY273,'recurring2_based on steps'!$B$1:$AY$1,B$1)+SUMIFS('changes2_based on steps'!$B273:$U273,'changes2_based on steps'!$B$1:$U$1,B$1)</f>
        <v>0</v>
      </c>
      <c r="C273" s="179">
        <f>SUMIFS('recurring2_based on steps'!$B273:$AY273,'recurring2_based on steps'!$B$1:$AY$1,C$1)+SUMIFS('changes2_based on steps'!$B273:$U273,'changes2_based on steps'!$B$1:$U$1,C$1)</f>
        <v>0</v>
      </c>
      <c r="D273" s="179">
        <f>SUMIFS('recurring2_based on steps'!$B273:$AY273,'recurring2_based on steps'!$B$1:$AY$1,D$1)+SUMIFS('changes2_based on steps'!$B273:$U273,'changes2_based on steps'!$B$1:$U$1,D$1)</f>
        <v>0</v>
      </c>
      <c r="E273" s="179">
        <f>SUMIFS('recurring2_based on steps'!$B273:$AY273,'recurring2_based on steps'!$B$1:$AY$1,E$1)+SUMIFS('changes2_based on steps'!$B273:$U273,'changes2_based on steps'!$B$1:$U$1,E$1)</f>
        <v>0</v>
      </c>
      <c r="F273" s="179">
        <f>SUMIFS('recurring2_based on steps'!$B273:$AY273,'recurring2_based on steps'!$B$1:$AY$1,F$1)+SUMIFS('changes2_based on steps'!$B273:$U273,'changes2_based on steps'!$B$1:$U$1,F$1)</f>
        <v>0</v>
      </c>
      <c r="G273" s="179">
        <f>SUMIFS('recurring2_based on steps'!$B273:$AY273,'recurring2_based on steps'!$B$1:$AY$1,G$1)+SUMIFS('changes2_based on steps'!$B273:$U273,'changes2_based on steps'!$B$1:$U$1,G$1)</f>
        <v>0</v>
      </c>
      <c r="H273" s="179">
        <f>SUMIFS('recurring2_based on steps'!$B273:$AY273,'recurring2_based on steps'!$B$1:$AY$1,H$1)+SUMIFS('changes2_based on steps'!$B273:$U273,'changes2_based on steps'!$B$1:$U$1,H$1)</f>
        <v>0</v>
      </c>
      <c r="I273" s="179">
        <f>SUMIFS('recurring2_based on steps'!$B273:$AY273,'recurring2_based on steps'!$B$1:$AY$1,I$1)+SUMIFS('changes2_based on steps'!$B273:$U273,'changes2_based on steps'!$B$1:$U$1,I$1)</f>
        <v>0</v>
      </c>
      <c r="J273" s="179">
        <f>SUMIFS('recurring2_based on steps'!$B273:$AY273,'recurring2_based on steps'!$B$1:$AY$1,J$1)+SUMIFS('changes2_based on steps'!$B273:$U273,'changes2_based on steps'!$B$1:$U$1,J$1)</f>
        <v>0</v>
      </c>
      <c r="K273" s="179">
        <f>SUMIFS('recurring2_based on steps'!$B273:$AY273,'recurring2_based on steps'!$B$1:$AY$1,K$1)+SUMIFS('changes2_based on steps'!$B273:$U273,'changes2_based on steps'!$B$1:$U$1,K$1)</f>
        <v>0</v>
      </c>
      <c r="L273" s="179">
        <f>SUMIFS('recurring2_based on steps'!$B273:$AY273,'recurring2_based on steps'!$B$1:$AY$1,L$1)+SUMIFS('changes2_based on steps'!$B273:$U273,'changes2_based on steps'!$B$1:$U$1,L$1)</f>
        <v>0</v>
      </c>
      <c r="M273" s="179">
        <f>SUMIFS('recurring2_based on steps'!$B273:$AY273,'recurring2_based on steps'!$B$1:$AY$1,M$1)+SUMIFS('changes2_based on steps'!$B273:$U273,'changes2_based on steps'!$B$1:$U$1,M$1)</f>
        <v>0</v>
      </c>
      <c r="N273" s="179">
        <f>SUMIFS('recurring2_based on steps'!$B273:$AY273,'recurring2_based on steps'!$B$1:$AY$1,N$1)+SUMIFS('changes2_based on steps'!$B273:$U273,'changes2_based on steps'!$B$1:$U$1,N$1)</f>
        <v>0</v>
      </c>
      <c r="O273" s="179">
        <f>SUMIFS('recurring2_based on steps'!$B273:$AY273,'recurring2_based on steps'!$B$1:$AY$1,O$1)+SUMIFS('changes2_based on steps'!$B273:$U273,'changes2_based on steps'!$B$1:$U$1,O$1)</f>
        <v>0</v>
      </c>
      <c r="P273" s="179">
        <f>SUMIFS('recurring2_based on steps'!$B273:$AY273,'recurring2_based on steps'!$B$1:$AY$1,P$1)+SUMIFS('changes2_based on steps'!$B273:$U273,'changes2_based on steps'!$B$1:$U$1,P$1)</f>
        <v>0</v>
      </c>
      <c r="Q273" s="179">
        <f>SUMIFS('recurring2_based on steps'!$B273:$AY273,'recurring2_based on steps'!$B$1:$AY$1,Q$1)+SUMIFS('changes2_based on steps'!$B273:$U273,'changes2_based on steps'!$B$1:$U$1,Q$1)</f>
        <v>0</v>
      </c>
      <c r="R273" s="179">
        <f>SUMIFS('recurring2_based on steps'!$B273:$AY273,'recurring2_based on steps'!$B$1:$AY$1,R$1)+SUMIFS('changes2_based on steps'!$B273:$U273,'changes2_based on steps'!$B$1:$U$1,R$1)</f>
        <v>0</v>
      </c>
      <c r="S273" s="179">
        <f>SUMIFS('recurring2_based on steps'!$B273:$AY273,'recurring2_based on steps'!$B$1:$AY$1,S$1)+SUMIFS('changes2_based on steps'!$B273:$U273,'changes2_based on steps'!$B$1:$U$1,S$1)</f>
        <v>0</v>
      </c>
      <c r="T273" s="179">
        <f>SUMIFS('recurring2_based on steps'!$B273:$AY273,'recurring2_based on steps'!$B$1:$AY$1,T$1)+SUMIFS('changes2_based on steps'!$B273:$U273,'changes2_based on steps'!$B$1:$U$1,T$1)</f>
        <v>0</v>
      </c>
      <c r="U273" s="179">
        <f>SUMIFS('recurring2_based on steps'!$B273:$AY273,'recurring2_based on steps'!$B$1:$AY$1,U$1)+SUMIFS('changes2_based on steps'!$B273:$U273,'changes2_based on steps'!$B$1:$U$1,U$1)</f>
        <v>0</v>
      </c>
      <c r="V273" s="179">
        <f>SUMIFS('recurring2_based on steps'!$B273:$AY273,'recurring2_based on steps'!$B$1:$AY$1,V$1)+SUMIFS('changes2_based on steps'!$B273:$U273,'changes2_based on steps'!$B$1:$U$1,V$1)</f>
        <v>0</v>
      </c>
      <c r="W273" s="179">
        <f>SUMIFS('recurring2_based on steps'!$B273:$AY273,'recurring2_based on steps'!$B$1:$AY$1,W$1)+SUMIFS('changes2_based on steps'!$B273:$U273,'changes2_based on steps'!$B$1:$U$1,W$1)</f>
        <v>0</v>
      </c>
      <c r="X273" s="179">
        <f>SUMIFS('recurring2_based on steps'!$B273:$AY273,'recurring2_based on steps'!$B$1:$AY$1,X$1)+SUMIFS('changes2_based on steps'!$B273:$U273,'changes2_based on steps'!$B$1:$U$1,X$1)</f>
        <v>0</v>
      </c>
      <c r="Y273" s="179">
        <f>SUMIFS('recurring2_based on steps'!$B273:$AY273,'recurring2_based on steps'!$B$1:$AY$1,Y$1)+SUMIFS('changes2_based on steps'!$B273:$U273,'changes2_based on steps'!$B$1:$U$1,Y$1)</f>
        <v>0</v>
      </c>
      <c r="Z273" s="179">
        <f>SUMIFS('recurring2_based on steps'!$B273:$AY273,'recurring2_based on steps'!$B$1:$AY$1,Z$1)+SUMIFS('changes2_based on steps'!$B273:$U273,'changes2_based on steps'!$B$1:$U$1,Z$1)</f>
        <v>0</v>
      </c>
      <c r="AA273" s="179">
        <f>SUMIFS('recurring2_based on steps'!$B273:$AY273,'recurring2_based on steps'!$B$1:$AY$1,AA$1)+SUMIFS('changes2_based on steps'!$B273:$U273,'changes2_based on steps'!$B$1:$U$1,AA$1)</f>
        <v>0</v>
      </c>
      <c r="AB273" s="179">
        <f>SUMIFS('recurring2_based on steps'!$B273:$AY273,'recurring2_based on steps'!$B$1:$AY$1,AB$1)+SUMIFS('changes2_based on steps'!$B273:$U273,'changes2_based on steps'!$B$1:$U$1,AB$1)</f>
        <v>0</v>
      </c>
      <c r="AC273" s="179">
        <f>SUMIFS('recurring2_based on steps'!$B273:$AY273,'recurring2_based on steps'!$B$1:$AY$1,AC$1)+SUMIFS('changes2_based on steps'!$B273:$U273,'changes2_based on steps'!$B$1:$U$1,AC$1)</f>
        <v>0</v>
      </c>
      <c r="AD273" s="179">
        <f>SUMIFS('recurring2_based on steps'!$B273:$AY273,'recurring2_based on steps'!$B$1:$AY$1,AD$1)+SUMIFS('changes2_based on steps'!$B273:$U273,'changes2_based on steps'!$B$1:$U$1,AD$1)</f>
        <v>0</v>
      </c>
      <c r="AE273" s="179">
        <f>SUMIFS('recurring2_based on steps'!$B273:$AY273,'recurring2_based on steps'!$B$1:$AY$1,AE$1)+SUMIFS('changes2_based on steps'!$B273:$U273,'changes2_based on steps'!$B$1:$U$1,AE$1)</f>
        <v>0</v>
      </c>
      <c r="AF273" s="179"/>
      <c r="AG273" s="179"/>
      <c r="AH273" s="179"/>
      <c r="AI273" s="179"/>
      <c r="AJ273" s="179"/>
      <c r="AK273" s="179"/>
      <c r="AL273" s="179"/>
      <c r="AM273" s="179"/>
    </row>
    <row r="274" spans="1:39" x14ac:dyDescent="0.2">
      <c r="A274" s="32">
        <f t="shared" ca="1" si="4"/>
        <v>46023</v>
      </c>
      <c r="B274" s="179">
        <f>SUMIFS('recurring2_based on steps'!$B274:$AY274,'recurring2_based on steps'!$B$1:$AY$1,B$1)+SUMIFS('changes2_based on steps'!$B274:$U274,'changes2_based on steps'!$B$1:$U$1,B$1)</f>
        <v>0</v>
      </c>
      <c r="C274" s="179">
        <f>SUMIFS('recurring2_based on steps'!$B274:$AY274,'recurring2_based on steps'!$B$1:$AY$1,C$1)+SUMIFS('changes2_based on steps'!$B274:$U274,'changes2_based on steps'!$B$1:$U$1,C$1)</f>
        <v>0</v>
      </c>
      <c r="D274" s="179">
        <f>SUMIFS('recurring2_based on steps'!$B274:$AY274,'recurring2_based on steps'!$B$1:$AY$1,D$1)+SUMIFS('changes2_based on steps'!$B274:$U274,'changes2_based on steps'!$B$1:$U$1,D$1)</f>
        <v>0</v>
      </c>
      <c r="E274" s="179">
        <f>SUMIFS('recurring2_based on steps'!$B274:$AY274,'recurring2_based on steps'!$B$1:$AY$1,E$1)+SUMIFS('changes2_based on steps'!$B274:$U274,'changes2_based on steps'!$B$1:$U$1,E$1)</f>
        <v>0</v>
      </c>
      <c r="F274" s="179">
        <f>SUMIFS('recurring2_based on steps'!$B274:$AY274,'recurring2_based on steps'!$B$1:$AY$1,F$1)+SUMIFS('changes2_based on steps'!$B274:$U274,'changes2_based on steps'!$B$1:$U$1,F$1)</f>
        <v>0</v>
      </c>
      <c r="G274" s="179">
        <f>SUMIFS('recurring2_based on steps'!$B274:$AY274,'recurring2_based on steps'!$B$1:$AY$1,G$1)+SUMIFS('changes2_based on steps'!$B274:$U274,'changes2_based on steps'!$B$1:$U$1,G$1)</f>
        <v>0</v>
      </c>
      <c r="H274" s="179">
        <f>SUMIFS('recurring2_based on steps'!$B274:$AY274,'recurring2_based on steps'!$B$1:$AY$1,H$1)+SUMIFS('changes2_based on steps'!$B274:$U274,'changes2_based on steps'!$B$1:$U$1,H$1)</f>
        <v>0</v>
      </c>
      <c r="I274" s="179">
        <f>SUMIFS('recurring2_based on steps'!$B274:$AY274,'recurring2_based on steps'!$B$1:$AY$1,I$1)+SUMIFS('changes2_based on steps'!$B274:$U274,'changes2_based on steps'!$B$1:$U$1,I$1)</f>
        <v>0</v>
      </c>
      <c r="J274" s="179">
        <f>SUMIFS('recurring2_based on steps'!$B274:$AY274,'recurring2_based on steps'!$B$1:$AY$1,J$1)+SUMIFS('changes2_based on steps'!$B274:$U274,'changes2_based on steps'!$B$1:$U$1,J$1)</f>
        <v>0</v>
      </c>
      <c r="K274" s="179">
        <f>SUMIFS('recurring2_based on steps'!$B274:$AY274,'recurring2_based on steps'!$B$1:$AY$1,K$1)+SUMIFS('changes2_based on steps'!$B274:$U274,'changes2_based on steps'!$B$1:$U$1,K$1)</f>
        <v>0</v>
      </c>
      <c r="L274" s="179">
        <f>SUMIFS('recurring2_based on steps'!$B274:$AY274,'recurring2_based on steps'!$B$1:$AY$1,L$1)+SUMIFS('changes2_based on steps'!$B274:$U274,'changes2_based on steps'!$B$1:$U$1,L$1)</f>
        <v>0</v>
      </c>
      <c r="M274" s="179">
        <f>SUMIFS('recurring2_based on steps'!$B274:$AY274,'recurring2_based on steps'!$B$1:$AY$1,M$1)+SUMIFS('changes2_based on steps'!$B274:$U274,'changes2_based on steps'!$B$1:$U$1,M$1)</f>
        <v>0</v>
      </c>
      <c r="N274" s="179">
        <f>SUMIFS('recurring2_based on steps'!$B274:$AY274,'recurring2_based on steps'!$B$1:$AY$1,N$1)+SUMIFS('changes2_based on steps'!$B274:$U274,'changes2_based on steps'!$B$1:$U$1,N$1)</f>
        <v>0</v>
      </c>
      <c r="O274" s="179">
        <f>SUMIFS('recurring2_based on steps'!$B274:$AY274,'recurring2_based on steps'!$B$1:$AY$1,O$1)+SUMIFS('changes2_based on steps'!$B274:$U274,'changes2_based on steps'!$B$1:$U$1,O$1)</f>
        <v>0</v>
      </c>
      <c r="P274" s="179">
        <f>SUMIFS('recurring2_based on steps'!$B274:$AY274,'recurring2_based on steps'!$B$1:$AY$1,P$1)+SUMIFS('changes2_based on steps'!$B274:$U274,'changes2_based on steps'!$B$1:$U$1,P$1)</f>
        <v>0</v>
      </c>
      <c r="Q274" s="179">
        <f>SUMIFS('recurring2_based on steps'!$B274:$AY274,'recurring2_based on steps'!$B$1:$AY$1,Q$1)+SUMIFS('changes2_based on steps'!$B274:$U274,'changes2_based on steps'!$B$1:$U$1,Q$1)</f>
        <v>0</v>
      </c>
      <c r="R274" s="179">
        <f>SUMIFS('recurring2_based on steps'!$B274:$AY274,'recurring2_based on steps'!$B$1:$AY$1,R$1)+SUMIFS('changes2_based on steps'!$B274:$U274,'changes2_based on steps'!$B$1:$U$1,R$1)</f>
        <v>0</v>
      </c>
      <c r="S274" s="179">
        <f>SUMIFS('recurring2_based on steps'!$B274:$AY274,'recurring2_based on steps'!$B$1:$AY$1,S$1)+SUMIFS('changes2_based on steps'!$B274:$U274,'changes2_based on steps'!$B$1:$U$1,S$1)</f>
        <v>0</v>
      </c>
      <c r="T274" s="179">
        <f>SUMIFS('recurring2_based on steps'!$B274:$AY274,'recurring2_based on steps'!$B$1:$AY$1,T$1)+SUMIFS('changes2_based on steps'!$B274:$U274,'changes2_based on steps'!$B$1:$U$1,T$1)</f>
        <v>0</v>
      </c>
      <c r="U274" s="179">
        <f>SUMIFS('recurring2_based on steps'!$B274:$AY274,'recurring2_based on steps'!$B$1:$AY$1,U$1)+SUMIFS('changes2_based on steps'!$B274:$U274,'changes2_based on steps'!$B$1:$U$1,U$1)</f>
        <v>0</v>
      </c>
      <c r="V274" s="179">
        <f>SUMIFS('recurring2_based on steps'!$B274:$AY274,'recurring2_based on steps'!$B$1:$AY$1,V$1)+SUMIFS('changes2_based on steps'!$B274:$U274,'changes2_based on steps'!$B$1:$U$1,V$1)</f>
        <v>0</v>
      </c>
      <c r="W274" s="179">
        <f>SUMIFS('recurring2_based on steps'!$B274:$AY274,'recurring2_based on steps'!$B$1:$AY$1,W$1)+SUMIFS('changes2_based on steps'!$B274:$U274,'changes2_based on steps'!$B$1:$U$1,W$1)</f>
        <v>0</v>
      </c>
      <c r="X274" s="179">
        <f>SUMIFS('recurring2_based on steps'!$B274:$AY274,'recurring2_based on steps'!$B$1:$AY$1,X$1)+SUMIFS('changes2_based on steps'!$B274:$U274,'changes2_based on steps'!$B$1:$U$1,X$1)</f>
        <v>0</v>
      </c>
      <c r="Y274" s="179">
        <f>SUMIFS('recurring2_based on steps'!$B274:$AY274,'recurring2_based on steps'!$B$1:$AY$1,Y$1)+SUMIFS('changes2_based on steps'!$B274:$U274,'changes2_based on steps'!$B$1:$U$1,Y$1)</f>
        <v>0</v>
      </c>
      <c r="Z274" s="179">
        <f>SUMIFS('recurring2_based on steps'!$B274:$AY274,'recurring2_based on steps'!$B$1:$AY$1,Z$1)+SUMIFS('changes2_based on steps'!$B274:$U274,'changes2_based on steps'!$B$1:$U$1,Z$1)</f>
        <v>0</v>
      </c>
      <c r="AA274" s="179">
        <f>SUMIFS('recurring2_based on steps'!$B274:$AY274,'recurring2_based on steps'!$B$1:$AY$1,AA$1)+SUMIFS('changes2_based on steps'!$B274:$U274,'changes2_based on steps'!$B$1:$U$1,AA$1)</f>
        <v>0</v>
      </c>
      <c r="AB274" s="179">
        <f>SUMIFS('recurring2_based on steps'!$B274:$AY274,'recurring2_based on steps'!$B$1:$AY$1,AB$1)+SUMIFS('changes2_based on steps'!$B274:$U274,'changes2_based on steps'!$B$1:$U$1,AB$1)</f>
        <v>0</v>
      </c>
      <c r="AC274" s="179">
        <f>SUMIFS('recurring2_based on steps'!$B274:$AY274,'recurring2_based on steps'!$B$1:$AY$1,AC$1)+SUMIFS('changes2_based on steps'!$B274:$U274,'changes2_based on steps'!$B$1:$U$1,AC$1)</f>
        <v>0</v>
      </c>
      <c r="AD274" s="179">
        <f>SUMIFS('recurring2_based on steps'!$B274:$AY274,'recurring2_based on steps'!$B$1:$AY$1,AD$1)+SUMIFS('changes2_based on steps'!$B274:$U274,'changes2_based on steps'!$B$1:$U$1,AD$1)</f>
        <v>0</v>
      </c>
      <c r="AE274" s="179">
        <f>SUMIFS('recurring2_based on steps'!$B274:$AY274,'recurring2_based on steps'!$B$1:$AY$1,AE$1)+SUMIFS('changes2_based on steps'!$B274:$U274,'changes2_based on steps'!$B$1:$U$1,AE$1)</f>
        <v>0</v>
      </c>
      <c r="AF274" s="179"/>
      <c r="AG274" s="179"/>
      <c r="AH274" s="179"/>
      <c r="AI274" s="179"/>
      <c r="AJ274" s="179"/>
      <c r="AK274" s="179"/>
      <c r="AL274" s="179"/>
      <c r="AM274" s="179"/>
    </row>
    <row r="275" spans="1:39" x14ac:dyDescent="0.2">
      <c r="A275" s="32">
        <f t="shared" ca="1" si="4"/>
        <v>46024</v>
      </c>
      <c r="B275" s="179">
        <f>SUMIFS('recurring2_based on steps'!$B275:$AY275,'recurring2_based on steps'!$B$1:$AY$1,B$1)+SUMIFS('changes2_based on steps'!$B275:$U275,'changes2_based on steps'!$B$1:$U$1,B$1)</f>
        <v>0</v>
      </c>
      <c r="C275" s="179">
        <f>SUMIFS('recurring2_based on steps'!$B275:$AY275,'recurring2_based on steps'!$B$1:$AY$1,C$1)+SUMIFS('changes2_based on steps'!$B275:$U275,'changes2_based on steps'!$B$1:$U$1,C$1)</f>
        <v>0</v>
      </c>
      <c r="D275" s="179">
        <f>SUMIFS('recurring2_based on steps'!$B275:$AY275,'recurring2_based on steps'!$B$1:$AY$1,D$1)+SUMIFS('changes2_based on steps'!$B275:$U275,'changes2_based on steps'!$B$1:$U$1,D$1)</f>
        <v>0</v>
      </c>
      <c r="E275" s="179">
        <f>SUMIFS('recurring2_based on steps'!$B275:$AY275,'recurring2_based on steps'!$B$1:$AY$1,E$1)+SUMIFS('changes2_based on steps'!$B275:$U275,'changes2_based on steps'!$B$1:$U$1,E$1)</f>
        <v>0</v>
      </c>
      <c r="F275" s="179">
        <f>SUMIFS('recurring2_based on steps'!$B275:$AY275,'recurring2_based on steps'!$B$1:$AY$1,F$1)+SUMIFS('changes2_based on steps'!$B275:$U275,'changes2_based on steps'!$B$1:$U$1,F$1)</f>
        <v>0</v>
      </c>
      <c r="G275" s="179">
        <f>SUMIFS('recurring2_based on steps'!$B275:$AY275,'recurring2_based on steps'!$B$1:$AY$1,G$1)+SUMIFS('changes2_based on steps'!$B275:$U275,'changes2_based on steps'!$B$1:$U$1,G$1)</f>
        <v>0</v>
      </c>
      <c r="H275" s="179">
        <f>SUMIFS('recurring2_based on steps'!$B275:$AY275,'recurring2_based on steps'!$B$1:$AY$1,H$1)+SUMIFS('changes2_based on steps'!$B275:$U275,'changes2_based on steps'!$B$1:$U$1,H$1)</f>
        <v>0</v>
      </c>
      <c r="I275" s="179">
        <f>SUMIFS('recurring2_based on steps'!$B275:$AY275,'recurring2_based on steps'!$B$1:$AY$1,I$1)+SUMIFS('changes2_based on steps'!$B275:$U275,'changes2_based on steps'!$B$1:$U$1,I$1)</f>
        <v>0</v>
      </c>
      <c r="J275" s="179">
        <f>SUMIFS('recurring2_based on steps'!$B275:$AY275,'recurring2_based on steps'!$B$1:$AY$1,J$1)+SUMIFS('changes2_based on steps'!$B275:$U275,'changes2_based on steps'!$B$1:$U$1,J$1)</f>
        <v>0</v>
      </c>
      <c r="K275" s="179">
        <f>SUMIFS('recurring2_based on steps'!$B275:$AY275,'recurring2_based on steps'!$B$1:$AY$1,K$1)+SUMIFS('changes2_based on steps'!$B275:$U275,'changes2_based on steps'!$B$1:$U$1,K$1)</f>
        <v>0</v>
      </c>
      <c r="L275" s="179">
        <f>SUMIFS('recurring2_based on steps'!$B275:$AY275,'recurring2_based on steps'!$B$1:$AY$1,L$1)+SUMIFS('changes2_based on steps'!$B275:$U275,'changes2_based on steps'!$B$1:$U$1,L$1)</f>
        <v>0</v>
      </c>
      <c r="M275" s="179">
        <f>SUMIFS('recurring2_based on steps'!$B275:$AY275,'recurring2_based on steps'!$B$1:$AY$1,M$1)+SUMIFS('changes2_based on steps'!$B275:$U275,'changes2_based on steps'!$B$1:$U$1,M$1)</f>
        <v>0</v>
      </c>
      <c r="N275" s="179">
        <f>SUMIFS('recurring2_based on steps'!$B275:$AY275,'recurring2_based on steps'!$B$1:$AY$1,N$1)+SUMIFS('changes2_based on steps'!$B275:$U275,'changes2_based on steps'!$B$1:$U$1,N$1)</f>
        <v>0</v>
      </c>
      <c r="O275" s="179">
        <f>SUMIFS('recurring2_based on steps'!$B275:$AY275,'recurring2_based on steps'!$B$1:$AY$1,O$1)+SUMIFS('changes2_based on steps'!$B275:$U275,'changes2_based on steps'!$B$1:$U$1,O$1)</f>
        <v>0</v>
      </c>
      <c r="P275" s="179">
        <f>SUMIFS('recurring2_based on steps'!$B275:$AY275,'recurring2_based on steps'!$B$1:$AY$1,P$1)+SUMIFS('changes2_based on steps'!$B275:$U275,'changes2_based on steps'!$B$1:$U$1,P$1)</f>
        <v>0</v>
      </c>
      <c r="Q275" s="179">
        <f>SUMIFS('recurring2_based on steps'!$B275:$AY275,'recurring2_based on steps'!$B$1:$AY$1,Q$1)+SUMIFS('changes2_based on steps'!$B275:$U275,'changes2_based on steps'!$B$1:$U$1,Q$1)</f>
        <v>0</v>
      </c>
      <c r="R275" s="179">
        <f>SUMIFS('recurring2_based on steps'!$B275:$AY275,'recurring2_based on steps'!$B$1:$AY$1,R$1)+SUMIFS('changes2_based on steps'!$B275:$U275,'changes2_based on steps'!$B$1:$U$1,R$1)</f>
        <v>0</v>
      </c>
      <c r="S275" s="179">
        <f>SUMIFS('recurring2_based on steps'!$B275:$AY275,'recurring2_based on steps'!$B$1:$AY$1,S$1)+SUMIFS('changes2_based on steps'!$B275:$U275,'changes2_based on steps'!$B$1:$U$1,S$1)</f>
        <v>0</v>
      </c>
      <c r="T275" s="179">
        <f>SUMIFS('recurring2_based on steps'!$B275:$AY275,'recurring2_based on steps'!$B$1:$AY$1,T$1)+SUMIFS('changes2_based on steps'!$B275:$U275,'changes2_based on steps'!$B$1:$U$1,T$1)</f>
        <v>0</v>
      </c>
      <c r="U275" s="179">
        <f>SUMIFS('recurring2_based on steps'!$B275:$AY275,'recurring2_based on steps'!$B$1:$AY$1,U$1)+SUMIFS('changes2_based on steps'!$B275:$U275,'changes2_based on steps'!$B$1:$U$1,U$1)</f>
        <v>0</v>
      </c>
      <c r="V275" s="179">
        <f>SUMIFS('recurring2_based on steps'!$B275:$AY275,'recurring2_based on steps'!$B$1:$AY$1,V$1)+SUMIFS('changes2_based on steps'!$B275:$U275,'changes2_based on steps'!$B$1:$U$1,V$1)</f>
        <v>0</v>
      </c>
      <c r="W275" s="179">
        <f>SUMIFS('recurring2_based on steps'!$B275:$AY275,'recurring2_based on steps'!$B$1:$AY$1,W$1)+SUMIFS('changes2_based on steps'!$B275:$U275,'changes2_based on steps'!$B$1:$U$1,W$1)</f>
        <v>0</v>
      </c>
      <c r="X275" s="179">
        <f>SUMIFS('recurring2_based on steps'!$B275:$AY275,'recurring2_based on steps'!$B$1:$AY$1,X$1)+SUMIFS('changes2_based on steps'!$B275:$U275,'changes2_based on steps'!$B$1:$U$1,X$1)</f>
        <v>0</v>
      </c>
      <c r="Y275" s="179">
        <f>SUMIFS('recurring2_based on steps'!$B275:$AY275,'recurring2_based on steps'!$B$1:$AY$1,Y$1)+SUMIFS('changes2_based on steps'!$B275:$U275,'changes2_based on steps'!$B$1:$U$1,Y$1)</f>
        <v>0</v>
      </c>
      <c r="Z275" s="179">
        <f>SUMIFS('recurring2_based on steps'!$B275:$AY275,'recurring2_based on steps'!$B$1:$AY$1,Z$1)+SUMIFS('changes2_based on steps'!$B275:$U275,'changes2_based on steps'!$B$1:$U$1,Z$1)</f>
        <v>0</v>
      </c>
      <c r="AA275" s="179">
        <f>SUMIFS('recurring2_based on steps'!$B275:$AY275,'recurring2_based on steps'!$B$1:$AY$1,AA$1)+SUMIFS('changes2_based on steps'!$B275:$U275,'changes2_based on steps'!$B$1:$U$1,AA$1)</f>
        <v>0</v>
      </c>
      <c r="AB275" s="179">
        <f>SUMIFS('recurring2_based on steps'!$B275:$AY275,'recurring2_based on steps'!$B$1:$AY$1,AB$1)+SUMIFS('changes2_based on steps'!$B275:$U275,'changes2_based on steps'!$B$1:$U$1,AB$1)</f>
        <v>0</v>
      </c>
      <c r="AC275" s="179">
        <f>SUMIFS('recurring2_based on steps'!$B275:$AY275,'recurring2_based on steps'!$B$1:$AY$1,AC$1)+SUMIFS('changes2_based on steps'!$B275:$U275,'changes2_based on steps'!$B$1:$U$1,AC$1)</f>
        <v>0</v>
      </c>
      <c r="AD275" s="179">
        <f>SUMIFS('recurring2_based on steps'!$B275:$AY275,'recurring2_based on steps'!$B$1:$AY$1,AD$1)+SUMIFS('changes2_based on steps'!$B275:$U275,'changes2_based on steps'!$B$1:$U$1,AD$1)</f>
        <v>0</v>
      </c>
      <c r="AE275" s="179">
        <f>SUMIFS('recurring2_based on steps'!$B275:$AY275,'recurring2_based on steps'!$B$1:$AY$1,AE$1)+SUMIFS('changes2_based on steps'!$B275:$U275,'changes2_based on steps'!$B$1:$U$1,AE$1)</f>
        <v>0</v>
      </c>
      <c r="AF275" s="179"/>
      <c r="AG275" s="179"/>
      <c r="AH275" s="179"/>
      <c r="AI275" s="179"/>
      <c r="AJ275" s="179"/>
      <c r="AK275" s="179"/>
      <c r="AL275" s="179"/>
      <c r="AM275" s="179"/>
    </row>
    <row r="276" spans="1:39" x14ac:dyDescent="0.2">
      <c r="A276" s="32">
        <f t="shared" ca="1" si="4"/>
        <v>46025</v>
      </c>
      <c r="B276" s="179">
        <f>SUMIFS('recurring2_based on steps'!$B276:$AY276,'recurring2_based on steps'!$B$1:$AY$1,B$1)+SUMIFS('changes2_based on steps'!$B276:$U276,'changes2_based on steps'!$B$1:$U$1,B$1)</f>
        <v>0</v>
      </c>
      <c r="C276" s="179">
        <f>SUMIFS('recurring2_based on steps'!$B276:$AY276,'recurring2_based on steps'!$B$1:$AY$1,C$1)+SUMIFS('changes2_based on steps'!$B276:$U276,'changes2_based on steps'!$B$1:$U$1,C$1)</f>
        <v>0</v>
      </c>
      <c r="D276" s="179">
        <f>SUMIFS('recurring2_based on steps'!$B276:$AY276,'recurring2_based on steps'!$B$1:$AY$1,D$1)+SUMIFS('changes2_based on steps'!$B276:$U276,'changes2_based on steps'!$B$1:$U$1,D$1)</f>
        <v>0</v>
      </c>
      <c r="E276" s="179">
        <f>SUMIFS('recurring2_based on steps'!$B276:$AY276,'recurring2_based on steps'!$B$1:$AY$1,E$1)+SUMIFS('changes2_based on steps'!$B276:$U276,'changes2_based on steps'!$B$1:$U$1,E$1)</f>
        <v>0</v>
      </c>
      <c r="F276" s="179">
        <f>SUMIFS('recurring2_based on steps'!$B276:$AY276,'recurring2_based on steps'!$B$1:$AY$1,F$1)+SUMIFS('changes2_based on steps'!$B276:$U276,'changes2_based on steps'!$B$1:$U$1,F$1)</f>
        <v>0</v>
      </c>
      <c r="G276" s="179">
        <f>SUMIFS('recurring2_based on steps'!$B276:$AY276,'recurring2_based on steps'!$B$1:$AY$1,G$1)+SUMIFS('changes2_based on steps'!$B276:$U276,'changes2_based on steps'!$B$1:$U$1,G$1)</f>
        <v>0</v>
      </c>
      <c r="H276" s="179">
        <f>SUMIFS('recurring2_based on steps'!$B276:$AY276,'recurring2_based on steps'!$B$1:$AY$1,H$1)+SUMIFS('changes2_based on steps'!$B276:$U276,'changes2_based on steps'!$B$1:$U$1,H$1)</f>
        <v>0</v>
      </c>
      <c r="I276" s="179">
        <f>SUMIFS('recurring2_based on steps'!$B276:$AY276,'recurring2_based on steps'!$B$1:$AY$1,I$1)+SUMIFS('changes2_based on steps'!$B276:$U276,'changes2_based on steps'!$B$1:$U$1,I$1)</f>
        <v>0</v>
      </c>
      <c r="J276" s="179">
        <f>SUMIFS('recurring2_based on steps'!$B276:$AY276,'recurring2_based on steps'!$B$1:$AY$1,J$1)+SUMIFS('changes2_based on steps'!$B276:$U276,'changes2_based on steps'!$B$1:$U$1,J$1)</f>
        <v>0</v>
      </c>
      <c r="K276" s="179">
        <f>SUMIFS('recurring2_based on steps'!$B276:$AY276,'recurring2_based on steps'!$B$1:$AY$1,K$1)+SUMIFS('changes2_based on steps'!$B276:$U276,'changes2_based on steps'!$B$1:$U$1,K$1)</f>
        <v>0</v>
      </c>
      <c r="L276" s="179">
        <f>SUMIFS('recurring2_based on steps'!$B276:$AY276,'recurring2_based on steps'!$B$1:$AY$1,L$1)+SUMIFS('changes2_based on steps'!$B276:$U276,'changes2_based on steps'!$B$1:$U$1,L$1)</f>
        <v>0</v>
      </c>
      <c r="M276" s="179">
        <f>SUMIFS('recurring2_based on steps'!$B276:$AY276,'recurring2_based on steps'!$B$1:$AY$1,M$1)+SUMIFS('changes2_based on steps'!$B276:$U276,'changes2_based on steps'!$B$1:$U$1,M$1)</f>
        <v>0</v>
      </c>
      <c r="N276" s="179">
        <f>SUMIFS('recurring2_based on steps'!$B276:$AY276,'recurring2_based on steps'!$B$1:$AY$1,N$1)+SUMIFS('changes2_based on steps'!$B276:$U276,'changes2_based on steps'!$B$1:$U$1,N$1)</f>
        <v>0</v>
      </c>
      <c r="O276" s="179">
        <f>SUMIFS('recurring2_based on steps'!$B276:$AY276,'recurring2_based on steps'!$B$1:$AY$1,O$1)+SUMIFS('changes2_based on steps'!$B276:$U276,'changes2_based on steps'!$B$1:$U$1,O$1)</f>
        <v>0</v>
      </c>
      <c r="P276" s="179">
        <f>SUMIFS('recurring2_based on steps'!$B276:$AY276,'recurring2_based on steps'!$B$1:$AY$1,P$1)+SUMIFS('changes2_based on steps'!$B276:$U276,'changes2_based on steps'!$B$1:$U$1,P$1)</f>
        <v>0</v>
      </c>
      <c r="Q276" s="179">
        <f>SUMIFS('recurring2_based on steps'!$B276:$AY276,'recurring2_based on steps'!$B$1:$AY$1,Q$1)+SUMIFS('changes2_based on steps'!$B276:$U276,'changes2_based on steps'!$B$1:$U$1,Q$1)</f>
        <v>0</v>
      </c>
      <c r="R276" s="179">
        <f>SUMIFS('recurring2_based on steps'!$B276:$AY276,'recurring2_based on steps'!$B$1:$AY$1,R$1)+SUMIFS('changes2_based on steps'!$B276:$U276,'changes2_based on steps'!$B$1:$U$1,R$1)</f>
        <v>0</v>
      </c>
      <c r="S276" s="179">
        <f>SUMIFS('recurring2_based on steps'!$B276:$AY276,'recurring2_based on steps'!$B$1:$AY$1,S$1)+SUMIFS('changes2_based on steps'!$B276:$U276,'changes2_based on steps'!$B$1:$U$1,S$1)</f>
        <v>0</v>
      </c>
      <c r="T276" s="179">
        <f>SUMIFS('recurring2_based on steps'!$B276:$AY276,'recurring2_based on steps'!$B$1:$AY$1,T$1)+SUMIFS('changes2_based on steps'!$B276:$U276,'changes2_based on steps'!$B$1:$U$1,T$1)</f>
        <v>0</v>
      </c>
      <c r="U276" s="179">
        <f>SUMIFS('recurring2_based on steps'!$B276:$AY276,'recurring2_based on steps'!$B$1:$AY$1,U$1)+SUMIFS('changes2_based on steps'!$B276:$U276,'changes2_based on steps'!$B$1:$U$1,U$1)</f>
        <v>0</v>
      </c>
      <c r="V276" s="179">
        <f>SUMIFS('recurring2_based on steps'!$B276:$AY276,'recurring2_based on steps'!$B$1:$AY$1,V$1)+SUMIFS('changes2_based on steps'!$B276:$U276,'changes2_based on steps'!$B$1:$U$1,V$1)</f>
        <v>0</v>
      </c>
      <c r="W276" s="179">
        <f>SUMIFS('recurring2_based on steps'!$B276:$AY276,'recurring2_based on steps'!$B$1:$AY$1,W$1)+SUMIFS('changes2_based on steps'!$B276:$U276,'changes2_based on steps'!$B$1:$U$1,W$1)</f>
        <v>0</v>
      </c>
      <c r="X276" s="179">
        <f>SUMIFS('recurring2_based on steps'!$B276:$AY276,'recurring2_based on steps'!$B$1:$AY$1,X$1)+SUMIFS('changes2_based on steps'!$B276:$U276,'changes2_based on steps'!$B$1:$U$1,X$1)</f>
        <v>0</v>
      </c>
      <c r="Y276" s="179">
        <f>SUMIFS('recurring2_based on steps'!$B276:$AY276,'recurring2_based on steps'!$B$1:$AY$1,Y$1)+SUMIFS('changes2_based on steps'!$B276:$U276,'changes2_based on steps'!$B$1:$U$1,Y$1)</f>
        <v>0</v>
      </c>
      <c r="Z276" s="179">
        <f>SUMIFS('recurring2_based on steps'!$B276:$AY276,'recurring2_based on steps'!$B$1:$AY$1,Z$1)+SUMIFS('changes2_based on steps'!$B276:$U276,'changes2_based on steps'!$B$1:$U$1,Z$1)</f>
        <v>0</v>
      </c>
      <c r="AA276" s="179">
        <f>SUMIFS('recurring2_based on steps'!$B276:$AY276,'recurring2_based on steps'!$B$1:$AY$1,AA$1)+SUMIFS('changes2_based on steps'!$B276:$U276,'changes2_based on steps'!$B$1:$U$1,AA$1)</f>
        <v>0</v>
      </c>
      <c r="AB276" s="179">
        <f>SUMIFS('recurring2_based on steps'!$B276:$AY276,'recurring2_based on steps'!$B$1:$AY$1,AB$1)+SUMIFS('changes2_based on steps'!$B276:$U276,'changes2_based on steps'!$B$1:$U$1,AB$1)</f>
        <v>0</v>
      </c>
      <c r="AC276" s="179">
        <f>SUMIFS('recurring2_based on steps'!$B276:$AY276,'recurring2_based on steps'!$B$1:$AY$1,AC$1)+SUMIFS('changes2_based on steps'!$B276:$U276,'changes2_based on steps'!$B$1:$U$1,AC$1)</f>
        <v>0</v>
      </c>
      <c r="AD276" s="179">
        <f>SUMIFS('recurring2_based on steps'!$B276:$AY276,'recurring2_based on steps'!$B$1:$AY$1,AD$1)+SUMIFS('changes2_based on steps'!$B276:$U276,'changes2_based on steps'!$B$1:$U$1,AD$1)</f>
        <v>0</v>
      </c>
      <c r="AE276" s="179">
        <f>SUMIFS('recurring2_based on steps'!$B276:$AY276,'recurring2_based on steps'!$B$1:$AY$1,AE$1)+SUMIFS('changes2_based on steps'!$B276:$U276,'changes2_based on steps'!$B$1:$U$1,AE$1)</f>
        <v>0</v>
      </c>
      <c r="AF276" s="179"/>
      <c r="AG276" s="179"/>
      <c r="AH276" s="179"/>
      <c r="AI276" s="179"/>
      <c r="AJ276" s="179"/>
      <c r="AK276" s="179"/>
      <c r="AL276" s="179"/>
      <c r="AM276" s="179"/>
    </row>
    <row r="277" spans="1:39" x14ac:dyDescent="0.2">
      <c r="A277" s="32">
        <f t="shared" ca="1" si="4"/>
        <v>46026</v>
      </c>
      <c r="B277" s="179">
        <f>SUMIFS('recurring2_based on steps'!$B277:$AY277,'recurring2_based on steps'!$B$1:$AY$1,B$1)+SUMIFS('changes2_based on steps'!$B277:$U277,'changes2_based on steps'!$B$1:$U$1,B$1)</f>
        <v>0</v>
      </c>
      <c r="C277" s="179">
        <f>SUMIFS('recurring2_based on steps'!$B277:$AY277,'recurring2_based on steps'!$B$1:$AY$1,C$1)+SUMIFS('changes2_based on steps'!$B277:$U277,'changes2_based on steps'!$B$1:$U$1,C$1)</f>
        <v>0</v>
      </c>
      <c r="D277" s="179">
        <f>SUMIFS('recurring2_based on steps'!$B277:$AY277,'recurring2_based on steps'!$B$1:$AY$1,D$1)+SUMIFS('changes2_based on steps'!$B277:$U277,'changes2_based on steps'!$B$1:$U$1,D$1)</f>
        <v>0</v>
      </c>
      <c r="E277" s="179">
        <f>SUMIFS('recurring2_based on steps'!$B277:$AY277,'recurring2_based on steps'!$B$1:$AY$1,E$1)+SUMIFS('changes2_based on steps'!$B277:$U277,'changes2_based on steps'!$B$1:$U$1,E$1)</f>
        <v>0</v>
      </c>
      <c r="F277" s="179">
        <f>SUMIFS('recurring2_based on steps'!$B277:$AY277,'recurring2_based on steps'!$B$1:$AY$1,F$1)+SUMIFS('changes2_based on steps'!$B277:$U277,'changes2_based on steps'!$B$1:$U$1,F$1)</f>
        <v>0</v>
      </c>
      <c r="G277" s="179">
        <f>SUMIFS('recurring2_based on steps'!$B277:$AY277,'recurring2_based on steps'!$B$1:$AY$1,G$1)+SUMIFS('changes2_based on steps'!$B277:$U277,'changes2_based on steps'!$B$1:$U$1,G$1)</f>
        <v>0</v>
      </c>
      <c r="H277" s="179">
        <f>SUMIFS('recurring2_based on steps'!$B277:$AY277,'recurring2_based on steps'!$B$1:$AY$1,H$1)+SUMIFS('changes2_based on steps'!$B277:$U277,'changes2_based on steps'!$B$1:$U$1,H$1)</f>
        <v>0</v>
      </c>
      <c r="I277" s="179">
        <f>SUMIFS('recurring2_based on steps'!$B277:$AY277,'recurring2_based on steps'!$B$1:$AY$1,I$1)+SUMIFS('changes2_based on steps'!$B277:$U277,'changes2_based on steps'!$B$1:$U$1,I$1)</f>
        <v>0</v>
      </c>
      <c r="J277" s="179">
        <f>SUMIFS('recurring2_based on steps'!$B277:$AY277,'recurring2_based on steps'!$B$1:$AY$1,J$1)+SUMIFS('changes2_based on steps'!$B277:$U277,'changes2_based on steps'!$B$1:$U$1,J$1)</f>
        <v>0</v>
      </c>
      <c r="K277" s="179">
        <f>SUMIFS('recurring2_based on steps'!$B277:$AY277,'recurring2_based on steps'!$B$1:$AY$1,K$1)+SUMIFS('changes2_based on steps'!$B277:$U277,'changes2_based on steps'!$B$1:$U$1,K$1)</f>
        <v>0</v>
      </c>
      <c r="L277" s="179">
        <f>SUMIFS('recurring2_based on steps'!$B277:$AY277,'recurring2_based on steps'!$B$1:$AY$1,L$1)+SUMIFS('changes2_based on steps'!$B277:$U277,'changes2_based on steps'!$B$1:$U$1,L$1)</f>
        <v>0</v>
      </c>
      <c r="M277" s="179">
        <f>SUMIFS('recurring2_based on steps'!$B277:$AY277,'recurring2_based on steps'!$B$1:$AY$1,M$1)+SUMIFS('changes2_based on steps'!$B277:$U277,'changes2_based on steps'!$B$1:$U$1,M$1)</f>
        <v>0</v>
      </c>
      <c r="N277" s="179">
        <f>SUMIFS('recurring2_based on steps'!$B277:$AY277,'recurring2_based on steps'!$B$1:$AY$1,N$1)+SUMIFS('changes2_based on steps'!$B277:$U277,'changes2_based on steps'!$B$1:$U$1,N$1)</f>
        <v>0</v>
      </c>
      <c r="O277" s="179">
        <f>SUMIFS('recurring2_based on steps'!$B277:$AY277,'recurring2_based on steps'!$B$1:$AY$1,O$1)+SUMIFS('changes2_based on steps'!$B277:$U277,'changes2_based on steps'!$B$1:$U$1,O$1)</f>
        <v>0</v>
      </c>
      <c r="P277" s="179">
        <f>SUMIFS('recurring2_based on steps'!$B277:$AY277,'recurring2_based on steps'!$B$1:$AY$1,P$1)+SUMIFS('changes2_based on steps'!$B277:$U277,'changes2_based on steps'!$B$1:$U$1,P$1)</f>
        <v>0</v>
      </c>
      <c r="Q277" s="179">
        <f>SUMIFS('recurring2_based on steps'!$B277:$AY277,'recurring2_based on steps'!$B$1:$AY$1,Q$1)+SUMIFS('changes2_based on steps'!$B277:$U277,'changes2_based on steps'!$B$1:$U$1,Q$1)</f>
        <v>0</v>
      </c>
      <c r="R277" s="179">
        <f>SUMIFS('recurring2_based on steps'!$B277:$AY277,'recurring2_based on steps'!$B$1:$AY$1,R$1)+SUMIFS('changes2_based on steps'!$B277:$U277,'changes2_based on steps'!$B$1:$U$1,R$1)</f>
        <v>0</v>
      </c>
      <c r="S277" s="179">
        <f>SUMIFS('recurring2_based on steps'!$B277:$AY277,'recurring2_based on steps'!$B$1:$AY$1,S$1)+SUMIFS('changes2_based on steps'!$B277:$U277,'changes2_based on steps'!$B$1:$U$1,S$1)</f>
        <v>0</v>
      </c>
      <c r="T277" s="179">
        <f>SUMIFS('recurring2_based on steps'!$B277:$AY277,'recurring2_based on steps'!$B$1:$AY$1,T$1)+SUMIFS('changes2_based on steps'!$B277:$U277,'changes2_based on steps'!$B$1:$U$1,T$1)</f>
        <v>0</v>
      </c>
      <c r="U277" s="179">
        <f>SUMIFS('recurring2_based on steps'!$B277:$AY277,'recurring2_based on steps'!$B$1:$AY$1,U$1)+SUMIFS('changes2_based on steps'!$B277:$U277,'changes2_based on steps'!$B$1:$U$1,U$1)</f>
        <v>0</v>
      </c>
      <c r="V277" s="179">
        <f>SUMIFS('recurring2_based on steps'!$B277:$AY277,'recurring2_based on steps'!$B$1:$AY$1,V$1)+SUMIFS('changes2_based on steps'!$B277:$U277,'changes2_based on steps'!$B$1:$U$1,V$1)</f>
        <v>0</v>
      </c>
      <c r="W277" s="179">
        <f>SUMIFS('recurring2_based on steps'!$B277:$AY277,'recurring2_based on steps'!$B$1:$AY$1,W$1)+SUMIFS('changes2_based on steps'!$B277:$U277,'changes2_based on steps'!$B$1:$U$1,W$1)</f>
        <v>0</v>
      </c>
      <c r="X277" s="179">
        <f>SUMIFS('recurring2_based on steps'!$B277:$AY277,'recurring2_based on steps'!$B$1:$AY$1,X$1)+SUMIFS('changes2_based on steps'!$B277:$U277,'changes2_based on steps'!$B$1:$U$1,X$1)</f>
        <v>0</v>
      </c>
      <c r="Y277" s="179">
        <f>SUMIFS('recurring2_based on steps'!$B277:$AY277,'recurring2_based on steps'!$B$1:$AY$1,Y$1)+SUMIFS('changes2_based on steps'!$B277:$U277,'changes2_based on steps'!$B$1:$U$1,Y$1)</f>
        <v>0</v>
      </c>
      <c r="Z277" s="179">
        <f>SUMIFS('recurring2_based on steps'!$B277:$AY277,'recurring2_based on steps'!$B$1:$AY$1,Z$1)+SUMIFS('changes2_based on steps'!$B277:$U277,'changes2_based on steps'!$B$1:$U$1,Z$1)</f>
        <v>0</v>
      </c>
      <c r="AA277" s="179">
        <f>SUMIFS('recurring2_based on steps'!$B277:$AY277,'recurring2_based on steps'!$B$1:$AY$1,AA$1)+SUMIFS('changes2_based on steps'!$B277:$U277,'changes2_based on steps'!$B$1:$U$1,AA$1)</f>
        <v>0</v>
      </c>
      <c r="AB277" s="179">
        <f>SUMIFS('recurring2_based on steps'!$B277:$AY277,'recurring2_based on steps'!$B$1:$AY$1,AB$1)+SUMIFS('changes2_based on steps'!$B277:$U277,'changes2_based on steps'!$B$1:$U$1,AB$1)</f>
        <v>0</v>
      </c>
      <c r="AC277" s="179">
        <f>SUMIFS('recurring2_based on steps'!$B277:$AY277,'recurring2_based on steps'!$B$1:$AY$1,AC$1)+SUMIFS('changes2_based on steps'!$B277:$U277,'changes2_based on steps'!$B$1:$U$1,AC$1)</f>
        <v>0</v>
      </c>
      <c r="AD277" s="179">
        <f>SUMIFS('recurring2_based on steps'!$B277:$AY277,'recurring2_based on steps'!$B$1:$AY$1,AD$1)+SUMIFS('changes2_based on steps'!$B277:$U277,'changes2_based on steps'!$B$1:$U$1,AD$1)</f>
        <v>0</v>
      </c>
      <c r="AE277" s="179">
        <f>SUMIFS('recurring2_based on steps'!$B277:$AY277,'recurring2_based on steps'!$B$1:$AY$1,AE$1)+SUMIFS('changes2_based on steps'!$B277:$U277,'changes2_based on steps'!$B$1:$U$1,AE$1)</f>
        <v>0</v>
      </c>
      <c r="AF277" s="179"/>
      <c r="AG277" s="179"/>
      <c r="AH277" s="179"/>
      <c r="AI277" s="179"/>
      <c r="AJ277" s="179"/>
      <c r="AK277" s="179"/>
      <c r="AL277" s="179"/>
      <c r="AM277" s="179"/>
    </row>
    <row r="278" spans="1:39" x14ac:dyDescent="0.2">
      <c r="A278" s="32">
        <f t="shared" ca="1" si="4"/>
        <v>46027</v>
      </c>
      <c r="B278" s="179">
        <f>SUMIFS('recurring2_based on steps'!$B278:$AY278,'recurring2_based on steps'!$B$1:$AY$1,B$1)+SUMIFS('changes2_based on steps'!$B278:$U278,'changes2_based on steps'!$B$1:$U$1,B$1)</f>
        <v>0</v>
      </c>
      <c r="C278" s="179">
        <f>SUMIFS('recurring2_based on steps'!$B278:$AY278,'recurring2_based on steps'!$B$1:$AY$1,C$1)+SUMIFS('changes2_based on steps'!$B278:$U278,'changes2_based on steps'!$B$1:$U$1,C$1)</f>
        <v>0</v>
      </c>
      <c r="D278" s="179">
        <f>SUMIFS('recurring2_based on steps'!$B278:$AY278,'recurring2_based on steps'!$B$1:$AY$1,D$1)+SUMIFS('changes2_based on steps'!$B278:$U278,'changes2_based on steps'!$B$1:$U$1,D$1)</f>
        <v>0</v>
      </c>
      <c r="E278" s="179">
        <f>SUMIFS('recurring2_based on steps'!$B278:$AY278,'recurring2_based on steps'!$B$1:$AY$1,E$1)+SUMIFS('changes2_based on steps'!$B278:$U278,'changes2_based on steps'!$B$1:$U$1,E$1)</f>
        <v>0</v>
      </c>
      <c r="F278" s="179">
        <f>SUMIFS('recurring2_based on steps'!$B278:$AY278,'recurring2_based on steps'!$B$1:$AY$1,F$1)+SUMIFS('changes2_based on steps'!$B278:$U278,'changes2_based on steps'!$B$1:$U$1,F$1)</f>
        <v>0</v>
      </c>
      <c r="G278" s="179">
        <f>SUMIFS('recurring2_based on steps'!$B278:$AY278,'recurring2_based on steps'!$B$1:$AY$1,G$1)+SUMIFS('changes2_based on steps'!$B278:$U278,'changes2_based on steps'!$B$1:$U$1,G$1)</f>
        <v>0</v>
      </c>
      <c r="H278" s="179">
        <f>SUMIFS('recurring2_based on steps'!$B278:$AY278,'recurring2_based on steps'!$B$1:$AY$1,H$1)+SUMIFS('changes2_based on steps'!$B278:$U278,'changes2_based on steps'!$B$1:$U$1,H$1)</f>
        <v>0</v>
      </c>
      <c r="I278" s="179">
        <f>SUMIFS('recurring2_based on steps'!$B278:$AY278,'recurring2_based on steps'!$B$1:$AY$1,I$1)+SUMIFS('changes2_based on steps'!$B278:$U278,'changes2_based on steps'!$B$1:$U$1,I$1)</f>
        <v>0</v>
      </c>
      <c r="J278" s="179">
        <f>SUMIFS('recurring2_based on steps'!$B278:$AY278,'recurring2_based on steps'!$B$1:$AY$1,J$1)+SUMIFS('changes2_based on steps'!$B278:$U278,'changes2_based on steps'!$B$1:$U$1,J$1)</f>
        <v>0</v>
      </c>
      <c r="K278" s="179">
        <f>SUMIFS('recurring2_based on steps'!$B278:$AY278,'recurring2_based on steps'!$B$1:$AY$1,K$1)+SUMIFS('changes2_based on steps'!$B278:$U278,'changes2_based on steps'!$B$1:$U$1,K$1)</f>
        <v>0</v>
      </c>
      <c r="L278" s="179">
        <f>SUMIFS('recurring2_based on steps'!$B278:$AY278,'recurring2_based on steps'!$B$1:$AY$1,L$1)+SUMIFS('changes2_based on steps'!$B278:$U278,'changes2_based on steps'!$B$1:$U$1,L$1)</f>
        <v>0</v>
      </c>
      <c r="M278" s="179">
        <f>SUMIFS('recurring2_based on steps'!$B278:$AY278,'recurring2_based on steps'!$B$1:$AY$1,M$1)+SUMIFS('changes2_based on steps'!$B278:$U278,'changes2_based on steps'!$B$1:$U$1,M$1)</f>
        <v>0</v>
      </c>
      <c r="N278" s="179">
        <f>SUMIFS('recurring2_based on steps'!$B278:$AY278,'recurring2_based on steps'!$B$1:$AY$1,N$1)+SUMIFS('changes2_based on steps'!$B278:$U278,'changes2_based on steps'!$B$1:$U$1,N$1)</f>
        <v>0</v>
      </c>
      <c r="O278" s="179">
        <f>SUMIFS('recurring2_based on steps'!$B278:$AY278,'recurring2_based on steps'!$B$1:$AY$1,O$1)+SUMIFS('changes2_based on steps'!$B278:$U278,'changes2_based on steps'!$B$1:$U$1,O$1)</f>
        <v>0</v>
      </c>
      <c r="P278" s="179">
        <f>SUMIFS('recurring2_based on steps'!$B278:$AY278,'recurring2_based on steps'!$B$1:$AY$1,P$1)+SUMIFS('changes2_based on steps'!$B278:$U278,'changes2_based on steps'!$B$1:$U$1,P$1)</f>
        <v>0</v>
      </c>
      <c r="Q278" s="179">
        <f>SUMIFS('recurring2_based on steps'!$B278:$AY278,'recurring2_based on steps'!$B$1:$AY$1,Q$1)+SUMIFS('changes2_based on steps'!$B278:$U278,'changes2_based on steps'!$B$1:$U$1,Q$1)</f>
        <v>0</v>
      </c>
      <c r="R278" s="179">
        <f>SUMIFS('recurring2_based on steps'!$B278:$AY278,'recurring2_based on steps'!$B$1:$AY$1,R$1)+SUMIFS('changes2_based on steps'!$B278:$U278,'changes2_based on steps'!$B$1:$U$1,R$1)</f>
        <v>0</v>
      </c>
      <c r="S278" s="179">
        <f>SUMIFS('recurring2_based on steps'!$B278:$AY278,'recurring2_based on steps'!$B$1:$AY$1,S$1)+SUMIFS('changes2_based on steps'!$B278:$U278,'changes2_based on steps'!$B$1:$U$1,S$1)</f>
        <v>0</v>
      </c>
      <c r="T278" s="179">
        <f>SUMIFS('recurring2_based on steps'!$B278:$AY278,'recurring2_based on steps'!$B$1:$AY$1,T$1)+SUMIFS('changes2_based on steps'!$B278:$U278,'changes2_based on steps'!$B$1:$U$1,T$1)</f>
        <v>0</v>
      </c>
      <c r="U278" s="179">
        <f>SUMIFS('recurring2_based on steps'!$B278:$AY278,'recurring2_based on steps'!$B$1:$AY$1,U$1)+SUMIFS('changes2_based on steps'!$B278:$U278,'changes2_based on steps'!$B$1:$U$1,U$1)</f>
        <v>0</v>
      </c>
      <c r="V278" s="179">
        <f>SUMIFS('recurring2_based on steps'!$B278:$AY278,'recurring2_based on steps'!$B$1:$AY$1,V$1)+SUMIFS('changes2_based on steps'!$B278:$U278,'changes2_based on steps'!$B$1:$U$1,V$1)</f>
        <v>0</v>
      </c>
      <c r="W278" s="179">
        <f>SUMIFS('recurring2_based on steps'!$B278:$AY278,'recurring2_based on steps'!$B$1:$AY$1,W$1)+SUMIFS('changes2_based on steps'!$B278:$U278,'changes2_based on steps'!$B$1:$U$1,W$1)</f>
        <v>0</v>
      </c>
      <c r="X278" s="179">
        <f>SUMIFS('recurring2_based on steps'!$B278:$AY278,'recurring2_based on steps'!$B$1:$AY$1,X$1)+SUMIFS('changes2_based on steps'!$B278:$U278,'changes2_based on steps'!$B$1:$U$1,X$1)</f>
        <v>0</v>
      </c>
      <c r="Y278" s="179">
        <f>SUMIFS('recurring2_based on steps'!$B278:$AY278,'recurring2_based on steps'!$B$1:$AY$1,Y$1)+SUMIFS('changes2_based on steps'!$B278:$U278,'changes2_based on steps'!$B$1:$U$1,Y$1)</f>
        <v>0</v>
      </c>
      <c r="Z278" s="179">
        <f>SUMIFS('recurring2_based on steps'!$B278:$AY278,'recurring2_based on steps'!$B$1:$AY$1,Z$1)+SUMIFS('changes2_based on steps'!$B278:$U278,'changes2_based on steps'!$B$1:$U$1,Z$1)</f>
        <v>0</v>
      </c>
      <c r="AA278" s="179">
        <f>SUMIFS('recurring2_based on steps'!$B278:$AY278,'recurring2_based on steps'!$B$1:$AY$1,AA$1)+SUMIFS('changes2_based on steps'!$B278:$U278,'changes2_based on steps'!$B$1:$U$1,AA$1)</f>
        <v>0</v>
      </c>
      <c r="AB278" s="179">
        <f>SUMIFS('recurring2_based on steps'!$B278:$AY278,'recurring2_based on steps'!$B$1:$AY$1,AB$1)+SUMIFS('changes2_based on steps'!$B278:$U278,'changes2_based on steps'!$B$1:$U$1,AB$1)</f>
        <v>0</v>
      </c>
      <c r="AC278" s="179">
        <f>SUMIFS('recurring2_based on steps'!$B278:$AY278,'recurring2_based on steps'!$B$1:$AY$1,AC$1)+SUMIFS('changes2_based on steps'!$B278:$U278,'changes2_based on steps'!$B$1:$U$1,AC$1)</f>
        <v>0</v>
      </c>
      <c r="AD278" s="179">
        <f>SUMIFS('recurring2_based on steps'!$B278:$AY278,'recurring2_based on steps'!$B$1:$AY$1,AD$1)+SUMIFS('changes2_based on steps'!$B278:$U278,'changes2_based on steps'!$B$1:$U$1,AD$1)</f>
        <v>0</v>
      </c>
      <c r="AE278" s="179">
        <f>SUMIFS('recurring2_based on steps'!$B278:$AY278,'recurring2_based on steps'!$B$1:$AY$1,AE$1)+SUMIFS('changes2_based on steps'!$B278:$U278,'changes2_based on steps'!$B$1:$U$1,AE$1)</f>
        <v>0</v>
      </c>
      <c r="AF278" s="179"/>
      <c r="AG278" s="179"/>
      <c r="AH278" s="179"/>
      <c r="AI278" s="179"/>
      <c r="AJ278" s="179"/>
      <c r="AK278" s="179"/>
      <c r="AL278" s="179"/>
      <c r="AM278" s="179"/>
    </row>
    <row r="279" spans="1:39" x14ac:dyDescent="0.2">
      <c r="A279" s="32">
        <f t="shared" ca="1" si="4"/>
        <v>46028</v>
      </c>
      <c r="B279" s="179">
        <f>SUMIFS('recurring2_based on steps'!$B279:$AY279,'recurring2_based on steps'!$B$1:$AY$1,B$1)+SUMIFS('changes2_based on steps'!$B279:$U279,'changes2_based on steps'!$B$1:$U$1,B$1)</f>
        <v>0</v>
      </c>
      <c r="C279" s="179">
        <f>SUMIFS('recurring2_based on steps'!$B279:$AY279,'recurring2_based on steps'!$B$1:$AY$1,C$1)+SUMIFS('changes2_based on steps'!$B279:$U279,'changes2_based on steps'!$B$1:$U$1,C$1)</f>
        <v>0</v>
      </c>
      <c r="D279" s="179">
        <f>SUMIFS('recurring2_based on steps'!$B279:$AY279,'recurring2_based on steps'!$B$1:$AY$1,D$1)+SUMIFS('changes2_based on steps'!$B279:$U279,'changes2_based on steps'!$B$1:$U$1,D$1)</f>
        <v>0</v>
      </c>
      <c r="E279" s="179">
        <f>SUMIFS('recurring2_based on steps'!$B279:$AY279,'recurring2_based on steps'!$B$1:$AY$1,E$1)+SUMIFS('changes2_based on steps'!$B279:$U279,'changes2_based on steps'!$B$1:$U$1,E$1)</f>
        <v>0</v>
      </c>
      <c r="F279" s="179">
        <f>SUMIFS('recurring2_based on steps'!$B279:$AY279,'recurring2_based on steps'!$B$1:$AY$1,F$1)+SUMIFS('changes2_based on steps'!$B279:$U279,'changes2_based on steps'!$B$1:$U$1,F$1)</f>
        <v>0</v>
      </c>
      <c r="G279" s="179">
        <f>SUMIFS('recurring2_based on steps'!$B279:$AY279,'recurring2_based on steps'!$B$1:$AY$1,G$1)+SUMIFS('changes2_based on steps'!$B279:$U279,'changes2_based on steps'!$B$1:$U$1,G$1)</f>
        <v>0</v>
      </c>
      <c r="H279" s="179">
        <f>SUMIFS('recurring2_based on steps'!$B279:$AY279,'recurring2_based on steps'!$B$1:$AY$1,H$1)+SUMIFS('changes2_based on steps'!$B279:$U279,'changes2_based on steps'!$B$1:$U$1,H$1)</f>
        <v>0</v>
      </c>
      <c r="I279" s="179">
        <f>SUMIFS('recurring2_based on steps'!$B279:$AY279,'recurring2_based on steps'!$B$1:$AY$1,I$1)+SUMIFS('changes2_based on steps'!$B279:$U279,'changes2_based on steps'!$B$1:$U$1,I$1)</f>
        <v>0</v>
      </c>
      <c r="J279" s="179">
        <f>SUMIFS('recurring2_based on steps'!$B279:$AY279,'recurring2_based on steps'!$B$1:$AY$1,J$1)+SUMIFS('changes2_based on steps'!$B279:$U279,'changes2_based on steps'!$B$1:$U$1,J$1)</f>
        <v>0</v>
      </c>
      <c r="K279" s="179">
        <f>SUMIFS('recurring2_based on steps'!$B279:$AY279,'recurring2_based on steps'!$B$1:$AY$1,K$1)+SUMIFS('changes2_based on steps'!$B279:$U279,'changes2_based on steps'!$B$1:$U$1,K$1)</f>
        <v>0</v>
      </c>
      <c r="L279" s="179">
        <f>SUMIFS('recurring2_based on steps'!$B279:$AY279,'recurring2_based on steps'!$B$1:$AY$1,L$1)+SUMIFS('changes2_based on steps'!$B279:$U279,'changes2_based on steps'!$B$1:$U$1,L$1)</f>
        <v>0</v>
      </c>
      <c r="M279" s="179">
        <f>SUMIFS('recurring2_based on steps'!$B279:$AY279,'recurring2_based on steps'!$B$1:$AY$1,M$1)+SUMIFS('changes2_based on steps'!$B279:$U279,'changes2_based on steps'!$B$1:$U$1,M$1)</f>
        <v>0</v>
      </c>
      <c r="N279" s="179">
        <f>SUMIFS('recurring2_based on steps'!$B279:$AY279,'recurring2_based on steps'!$B$1:$AY$1,N$1)+SUMIFS('changes2_based on steps'!$B279:$U279,'changes2_based on steps'!$B$1:$U$1,N$1)</f>
        <v>0</v>
      </c>
      <c r="O279" s="179">
        <f>SUMIFS('recurring2_based on steps'!$B279:$AY279,'recurring2_based on steps'!$B$1:$AY$1,O$1)+SUMIFS('changes2_based on steps'!$B279:$U279,'changes2_based on steps'!$B$1:$U$1,O$1)</f>
        <v>0</v>
      </c>
      <c r="P279" s="179">
        <f>SUMIFS('recurring2_based on steps'!$B279:$AY279,'recurring2_based on steps'!$B$1:$AY$1,P$1)+SUMIFS('changes2_based on steps'!$B279:$U279,'changes2_based on steps'!$B$1:$U$1,P$1)</f>
        <v>0</v>
      </c>
      <c r="Q279" s="179">
        <f>SUMIFS('recurring2_based on steps'!$B279:$AY279,'recurring2_based on steps'!$B$1:$AY$1,Q$1)+SUMIFS('changes2_based on steps'!$B279:$U279,'changes2_based on steps'!$B$1:$U$1,Q$1)</f>
        <v>0</v>
      </c>
      <c r="R279" s="179">
        <f>SUMIFS('recurring2_based on steps'!$B279:$AY279,'recurring2_based on steps'!$B$1:$AY$1,R$1)+SUMIFS('changes2_based on steps'!$B279:$U279,'changes2_based on steps'!$B$1:$U$1,R$1)</f>
        <v>0</v>
      </c>
      <c r="S279" s="179">
        <f>SUMIFS('recurring2_based on steps'!$B279:$AY279,'recurring2_based on steps'!$B$1:$AY$1,S$1)+SUMIFS('changes2_based on steps'!$B279:$U279,'changes2_based on steps'!$B$1:$U$1,S$1)</f>
        <v>0</v>
      </c>
      <c r="T279" s="179">
        <f>SUMIFS('recurring2_based on steps'!$B279:$AY279,'recurring2_based on steps'!$B$1:$AY$1,T$1)+SUMIFS('changes2_based on steps'!$B279:$U279,'changes2_based on steps'!$B$1:$U$1,T$1)</f>
        <v>0</v>
      </c>
      <c r="U279" s="179">
        <f>SUMIFS('recurring2_based on steps'!$B279:$AY279,'recurring2_based on steps'!$B$1:$AY$1,U$1)+SUMIFS('changes2_based on steps'!$B279:$U279,'changes2_based on steps'!$B$1:$U$1,U$1)</f>
        <v>0</v>
      </c>
      <c r="V279" s="179">
        <f>SUMIFS('recurring2_based on steps'!$B279:$AY279,'recurring2_based on steps'!$B$1:$AY$1,V$1)+SUMIFS('changes2_based on steps'!$B279:$U279,'changes2_based on steps'!$B$1:$U$1,V$1)</f>
        <v>0</v>
      </c>
      <c r="W279" s="179">
        <f>SUMIFS('recurring2_based on steps'!$B279:$AY279,'recurring2_based on steps'!$B$1:$AY$1,W$1)+SUMIFS('changes2_based on steps'!$B279:$U279,'changes2_based on steps'!$B$1:$U$1,W$1)</f>
        <v>0</v>
      </c>
      <c r="X279" s="179">
        <f>SUMIFS('recurring2_based on steps'!$B279:$AY279,'recurring2_based on steps'!$B$1:$AY$1,X$1)+SUMIFS('changes2_based on steps'!$B279:$U279,'changes2_based on steps'!$B$1:$U$1,X$1)</f>
        <v>0</v>
      </c>
      <c r="Y279" s="179">
        <f>SUMIFS('recurring2_based on steps'!$B279:$AY279,'recurring2_based on steps'!$B$1:$AY$1,Y$1)+SUMIFS('changes2_based on steps'!$B279:$U279,'changes2_based on steps'!$B$1:$U$1,Y$1)</f>
        <v>0</v>
      </c>
      <c r="Z279" s="179">
        <f>SUMIFS('recurring2_based on steps'!$B279:$AY279,'recurring2_based on steps'!$B$1:$AY$1,Z$1)+SUMIFS('changes2_based on steps'!$B279:$U279,'changes2_based on steps'!$B$1:$U$1,Z$1)</f>
        <v>0</v>
      </c>
      <c r="AA279" s="179">
        <f>SUMIFS('recurring2_based on steps'!$B279:$AY279,'recurring2_based on steps'!$B$1:$AY$1,AA$1)+SUMIFS('changes2_based on steps'!$B279:$U279,'changes2_based on steps'!$B$1:$U$1,AA$1)</f>
        <v>0</v>
      </c>
      <c r="AB279" s="179">
        <f>SUMIFS('recurring2_based on steps'!$B279:$AY279,'recurring2_based on steps'!$B$1:$AY$1,AB$1)+SUMIFS('changes2_based on steps'!$B279:$U279,'changes2_based on steps'!$B$1:$U$1,AB$1)</f>
        <v>0</v>
      </c>
      <c r="AC279" s="179">
        <f>SUMIFS('recurring2_based on steps'!$B279:$AY279,'recurring2_based on steps'!$B$1:$AY$1,AC$1)+SUMIFS('changes2_based on steps'!$B279:$U279,'changes2_based on steps'!$B$1:$U$1,AC$1)</f>
        <v>0</v>
      </c>
      <c r="AD279" s="179">
        <f>SUMIFS('recurring2_based on steps'!$B279:$AY279,'recurring2_based on steps'!$B$1:$AY$1,AD$1)+SUMIFS('changes2_based on steps'!$B279:$U279,'changes2_based on steps'!$B$1:$U$1,AD$1)</f>
        <v>0</v>
      </c>
      <c r="AE279" s="179">
        <f>SUMIFS('recurring2_based on steps'!$B279:$AY279,'recurring2_based on steps'!$B$1:$AY$1,AE$1)+SUMIFS('changes2_based on steps'!$B279:$U279,'changes2_based on steps'!$B$1:$U$1,AE$1)</f>
        <v>0</v>
      </c>
      <c r="AF279" s="179"/>
      <c r="AG279" s="179"/>
      <c r="AH279" s="179"/>
      <c r="AI279" s="179"/>
      <c r="AJ279" s="179"/>
      <c r="AK279" s="179"/>
      <c r="AL279" s="179"/>
      <c r="AM279" s="179"/>
    </row>
    <row r="280" spans="1:39" x14ac:dyDescent="0.2">
      <c r="A280" s="32">
        <f t="shared" ca="1" si="4"/>
        <v>46029</v>
      </c>
      <c r="B280" s="179">
        <f>SUMIFS('recurring2_based on steps'!$B280:$AY280,'recurring2_based on steps'!$B$1:$AY$1,B$1)+SUMIFS('changes2_based on steps'!$B280:$U280,'changes2_based on steps'!$B$1:$U$1,B$1)</f>
        <v>0</v>
      </c>
      <c r="C280" s="179">
        <f>SUMIFS('recurring2_based on steps'!$B280:$AY280,'recurring2_based on steps'!$B$1:$AY$1,C$1)+SUMIFS('changes2_based on steps'!$B280:$U280,'changes2_based on steps'!$B$1:$U$1,C$1)</f>
        <v>0</v>
      </c>
      <c r="D280" s="179">
        <f>SUMIFS('recurring2_based on steps'!$B280:$AY280,'recurring2_based on steps'!$B$1:$AY$1,D$1)+SUMIFS('changes2_based on steps'!$B280:$U280,'changes2_based on steps'!$B$1:$U$1,D$1)</f>
        <v>0</v>
      </c>
      <c r="E280" s="179">
        <f>SUMIFS('recurring2_based on steps'!$B280:$AY280,'recurring2_based on steps'!$B$1:$AY$1,E$1)+SUMIFS('changes2_based on steps'!$B280:$U280,'changes2_based on steps'!$B$1:$U$1,E$1)</f>
        <v>0</v>
      </c>
      <c r="F280" s="179">
        <f>SUMIFS('recurring2_based on steps'!$B280:$AY280,'recurring2_based on steps'!$B$1:$AY$1,F$1)+SUMIFS('changes2_based on steps'!$B280:$U280,'changes2_based on steps'!$B$1:$U$1,F$1)</f>
        <v>0</v>
      </c>
      <c r="G280" s="179">
        <f>SUMIFS('recurring2_based on steps'!$B280:$AY280,'recurring2_based on steps'!$B$1:$AY$1,G$1)+SUMIFS('changes2_based on steps'!$B280:$U280,'changes2_based on steps'!$B$1:$U$1,G$1)</f>
        <v>0</v>
      </c>
      <c r="H280" s="179">
        <f>SUMIFS('recurring2_based on steps'!$B280:$AY280,'recurring2_based on steps'!$B$1:$AY$1,H$1)+SUMIFS('changes2_based on steps'!$B280:$U280,'changes2_based on steps'!$B$1:$U$1,H$1)</f>
        <v>0</v>
      </c>
      <c r="I280" s="179">
        <f>SUMIFS('recurring2_based on steps'!$B280:$AY280,'recurring2_based on steps'!$B$1:$AY$1,I$1)+SUMIFS('changes2_based on steps'!$B280:$U280,'changes2_based on steps'!$B$1:$U$1,I$1)</f>
        <v>0</v>
      </c>
      <c r="J280" s="179">
        <f>SUMIFS('recurring2_based on steps'!$B280:$AY280,'recurring2_based on steps'!$B$1:$AY$1,J$1)+SUMIFS('changes2_based on steps'!$B280:$U280,'changes2_based on steps'!$B$1:$U$1,J$1)</f>
        <v>0</v>
      </c>
      <c r="K280" s="179">
        <f>SUMIFS('recurring2_based on steps'!$B280:$AY280,'recurring2_based on steps'!$B$1:$AY$1,K$1)+SUMIFS('changes2_based on steps'!$B280:$U280,'changes2_based on steps'!$B$1:$U$1,K$1)</f>
        <v>0</v>
      </c>
      <c r="L280" s="179">
        <f>SUMIFS('recurring2_based on steps'!$B280:$AY280,'recurring2_based on steps'!$B$1:$AY$1,L$1)+SUMIFS('changes2_based on steps'!$B280:$U280,'changes2_based on steps'!$B$1:$U$1,L$1)</f>
        <v>0</v>
      </c>
      <c r="M280" s="179">
        <f>SUMIFS('recurring2_based on steps'!$B280:$AY280,'recurring2_based on steps'!$B$1:$AY$1,M$1)+SUMIFS('changes2_based on steps'!$B280:$U280,'changes2_based on steps'!$B$1:$U$1,M$1)</f>
        <v>0</v>
      </c>
      <c r="N280" s="179">
        <f>SUMIFS('recurring2_based on steps'!$B280:$AY280,'recurring2_based on steps'!$B$1:$AY$1,N$1)+SUMIFS('changes2_based on steps'!$B280:$U280,'changes2_based on steps'!$B$1:$U$1,N$1)</f>
        <v>0</v>
      </c>
      <c r="O280" s="179">
        <f>SUMIFS('recurring2_based on steps'!$B280:$AY280,'recurring2_based on steps'!$B$1:$AY$1,O$1)+SUMIFS('changes2_based on steps'!$B280:$U280,'changes2_based on steps'!$B$1:$U$1,O$1)</f>
        <v>0</v>
      </c>
      <c r="P280" s="179">
        <f>SUMIFS('recurring2_based on steps'!$B280:$AY280,'recurring2_based on steps'!$B$1:$AY$1,P$1)+SUMIFS('changes2_based on steps'!$B280:$U280,'changes2_based on steps'!$B$1:$U$1,P$1)</f>
        <v>0</v>
      </c>
      <c r="Q280" s="179">
        <f>SUMIFS('recurring2_based on steps'!$B280:$AY280,'recurring2_based on steps'!$B$1:$AY$1,Q$1)+SUMIFS('changes2_based on steps'!$B280:$U280,'changes2_based on steps'!$B$1:$U$1,Q$1)</f>
        <v>0</v>
      </c>
      <c r="R280" s="179">
        <f>SUMIFS('recurring2_based on steps'!$B280:$AY280,'recurring2_based on steps'!$B$1:$AY$1,R$1)+SUMIFS('changes2_based on steps'!$B280:$U280,'changes2_based on steps'!$B$1:$U$1,R$1)</f>
        <v>0</v>
      </c>
      <c r="S280" s="179">
        <f>SUMIFS('recurring2_based on steps'!$B280:$AY280,'recurring2_based on steps'!$B$1:$AY$1,S$1)+SUMIFS('changes2_based on steps'!$B280:$U280,'changes2_based on steps'!$B$1:$U$1,S$1)</f>
        <v>0</v>
      </c>
      <c r="T280" s="179">
        <f>SUMIFS('recurring2_based on steps'!$B280:$AY280,'recurring2_based on steps'!$B$1:$AY$1,T$1)+SUMIFS('changes2_based on steps'!$B280:$U280,'changes2_based on steps'!$B$1:$U$1,T$1)</f>
        <v>0</v>
      </c>
      <c r="U280" s="179">
        <f>SUMIFS('recurring2_based on steps'!$B280:$AY280,'recurring2_based on steps'!$B$1:$AY$1,U$1)+SUMIFS('changes2_based on steps'!$B280:$U280,'changes2_based on steps'!$B$1:$U$1,U$1)</f>
        <v>0</v>
      </c>
      <c r="V280" s="179">
        <f>SUMIFS('recurring2_based on steps'!$B280:$AY280,'recurring2_based on steps'!$B$1:$AY$1,V$1)+SUMIFS('changes2_based on steps'!$B280:$U280,'changes2_based on steps'!$B$1:$U$1,V$1)</f>
        <v>0</v>
      </c>
      <c r="W280" s="179">
        <f>SUMIFS('recurring2_based on steps'!$B280:$AY280,'recurring2_based on steps'!$B$1:$AY$1,W$1)+SUMIFS('changes2_based on steps'!$B280:$U280,'changes2_based on steps'!$B$1:$U$1,W$1)</f>
        <v>0</v>
      </c>
      <c r="X280" s="179">
        <f>SUMIFS('recurring2_based on steps'!$B280:$AY280,'recurring2_based on steps'!$B$1:$AY$1,X$1)+SUMIFS('changes2_based on steps'!$B280:$U280,'changes2_based on steps'!$B$1:$U$1,X$1)</f>
        <v>0</v>
      </c>
      <c r="Y280" s="179">
        <f>SUMIFS('recurring2_based on steps'!$B280:$AY280,'recurring2_based on steps'!$B$1:$AY$1,Y$1)+SUMIFS('changes2_based on steps'!$B280:$U280,'changes2_based on steps'!$B$1:$U$1,Y$1)</f>
        <v>0</v>
      </c>
      <c r="Z280" s="179">
        <f>SUMIFS('recurring2_based on steps'!$B280:$AY280,'recurring2_based on steps'!$B$1:$AY$1,Z$1)+SUMIFS('changes2_based on steps'!$B280:$U280,'changes2_based on steps'!$B$1:$U$1,Z$1)</f>
        <v>0</v>
      </c>
      <c r="AA280" s="179">
        <f>SUMIFS('recurring2_based on steps'!$B280:$AY280,'recurring2_based on steps'!$B$1:$AY$1,AA$1)+SUMIFS('changes2_based on steps'!$B280:$U280,'changes2_based on steps'!$B$1:$U$1,AA$1)</f>
        <v>0</v>
      </c>
      <c r="AB280" s="179">
        <f>SUMIFS('recurring2_based on steps'!$B280:$AY280,'recurring2_based on steps'!$B$1:$AY$1,AB$1)+SUMIFS('changes2_based on steps'!$B280:$U280,'changes2_based on steps'!$B$1:$U$1,AB$1)</f>
        <v>0</v>
      </c>
      <c r="AC280" s="179">
        <f>SUMIFS('recurring2_based on steps'!$B280:$AY280,'recurring2_based on steps'!$B$1:$AY$1,AC$1)+SUMIFS('changes2_based on steps'!$B280:$U280,'changes2_based on steps'!$B$1:$U$1,AC$1)</f>
        <v>0</v>
      </c>
      <c r="AD280" s="179">
        <f>SUMIFS('recurring2_based on steps'!$B280:$AY280,'recurring2_based on steps'!$B$1:$AY$1,AD$1)+SUMIFS('changes2_based on steps'!$B280:$U280,'changes2_based on steps'!$B$1:$U$1,AD$1)</f>
        <v>0</v>
      </c>
      <c r="AE280" s="179">
        <f>SUMIFS('recurring2_based on steps'!$B280:$AY280,'recurring2_based on steps'!$B$1:$AY$1,AE$1)+SUMIFS('changes2_based on steps'!$B280:$U280,'changes2_based on steps'!$B$1:$U$1,AE$1)</f>
        <v>0</v>
      </c>
      <c r="AF280" s="179"/>
      <c r="AG280" s="179"/>
      <c r="AH280" s="179"/>
      <c r="AI280" s="179"/>
      <c r="AJ280" s="179"/>
      <c r="AK280" s="179"/>
      <c r="AL280" s="179"/>
      <c r="AM280" s="179"/>
    </row>
    <row r="281" spans="1:39" x14ac:dyDescent="0.2">
      <c r="A281" s="32">
        <f t="shared" ca="1" si="4"/>
        <v>46030</v>
      </c>
      <c r="B281" s="179">
        <f>SUMIFS('recurring2_based on steps'!$B281:$AY281,'recurring2_based on steps'!$B$1:$AY$1,B$1)+SUMIFS('changes2_based on steps'!$B281:$U281,'changes2_based on steps'!$B$1:$U$1,B$1)</f>
        <v>0</v>
      </c>
      <c r="C281" s="179">
        <f>SUMIFS('recurring2_based on steps'!$B281:$AY281,'recurring2_based on steps'!$B$1:$AY$1,C$1)+SUMIFS('changes2_based on steps'!$B281:$U281,'changes2_based on steps'!$B$1:$U$1,C$1)</f>
        <v>0</v>
      </c>
      <c r="D281" s="179">
        <f>SUMIFS('recurring2_based on steps'!$B281:$AY281,'recurring2_based on steps'!$B$1:$AY$1,D$1)+SUMIFS('changes2_based on steps'!$B281:$U281,'changes2_based on steps'!$B$1:$U$1,D$1)</f>
        <v>0</v>
      </c>
      <c r="E281" s="179">
        <f>SUMIFS('recurring2_based on steps'!$B281:$AY281,'recurring2_based on steps'!$B$1:$AY$1,E$1)+SUMIFS('changes2_based on steps'!$B281:$U281,'changes2_based on steps'!$B$1:$U$1,E$1)</f>
        <v>0</v>
      </c>
      <c r="F281" s="179">
        <f>SUMIFS('recurring2_based on steps'!$B281:$AY281,'recurring2_based on steps'!$B$1:$AY$1,F$1)+SUMIFS('changes2_based on steps'!$B281:$U281,'changes2_based on steps'!$B$1:$U$1,F$1)</f>
        <v>0</v>
      </c>
      <c r="G281" s="179">
        <f>SUMIFS('recurring2_based on steps'!$B281:$AY281,'recurring2_based on steps'!$B$1:$AY$1,G$1)+SUMIFS('changes2_based on steps'!$B281:$U281,'changes2_based on steps'!$B$1:$U$1,G$1)</f>
        <v>0</v>
      </c>
      <c r="H281" s="179">
        <f>SUMIFS('recurring2_based on steps'!$B281:$AY281,'recurring2_based on steps'!$B$1:$AY$1,H$1)+SUMIFS('changes2_based on steps'!$B281:$U281,'changes2_based on steps'!$B$1:$U$1,H$1)</f>
        <v>0</v>
      </c>
      <c r="I281" s="179">
        <f>SUMIFS('recurring2_based on steps'!$B281:$AY281,'recurring2_based on steps'!$B$1:$AY$1,I$1)+SUMIFS('changes2_based on steps'!$B281:$U281,'changes2_based on steps'!$B$1:$U$1,I$1)</f>
        <v>0</v>
      </c>
      <c r="J281" s="179">
        <f>SUMIFS('recurring2_based on steps'!$B281:$AY281,'recurring2_based on steps'!$B$1:$AY$1,J$1)+SUMIFS('changes2_based on steps'!$B281:$U281,'changes2_based on steps'!$B$1:$U$1,J$1)</f>
        <v>0</v>
      </c>
      <c r="K281" s="179">
        <f>SUMIFS('recurring2_based on steps'!$B281:$AY281,'recurring2_based on steps'!$B$1:$AY$1,K$1)+SUMIFS('changes2_based on steps'!$B281:$U281,'changes2_based on steps'!$B$1:$U$1,K$1)</f>
        <v>0</v>
      </c>
      <c r="L281" s="179">
        <f>SUMIFS('recurring2_based on steps'!$B281:$AY281,'recurring2_based on steps'!$B$1:$AY$1,L$1)+SUMIFS('changes2_based on steps'!$B281:$U281,'changes2_based on steps'!$B$1:$U$1,L$1)</f>
        <v>0</v>
      </c>
      <c r="M281" s="179">
        <f>SUMIFS('recurring2_based on steps'!$B281:$AY281,'recurring2_based on steps'!$B$1:$AY$1,M$1)+SUMIFS('changes2_based on steps'!$B281:$U281,'changes2_based on steps'!$B$1:$U$1,M$1)</f>
        <v>0</v>
      </c>
      <c r="N281" s="179">
        <f>SUMIFS('recurring2_based on steps'!$B281:$AY281,'recurring2_based on steps'!$B$1:$AY$1,N$1)+SUMIFS('changes2_based on steps'!$B281:$U281,'changes2_based on steps'!$B$1:$U$1,N$1)</f>
        <v>0</v>
      </c>
      <c r="O281" s="179">
        <f>SUMIFS('recurring2_based on steps'!$B281:$AY281,'recurring2_based on steps'!$B$1:$AY$1,O$1)+SUMIFS('changes2_based on steps'!$B281:$U281,'changes2_based on steps'!$B$1:$U$1,O$1)</f>
        <v>0</v>
      </c>
      <c r="P281" s="179">
        <f>SUMIFS('recurring2_based on steps'!$B281:$AY281,'recurring2_based on steps'!$B$1:$AY$1,P$1)+SUMIFS('changes2_based on steps'!$B281:$U281,'changes2_based on steps'!$B$1:$U$1,P$1)</f>
        <v>0</v>
      </c>
      <c r="Q281" s="179">
        <f>SUMIFS('recurring2_based on steps'!$B281:$AY281,'recurring2_based on steps'!$B$1:$AY$1,Q$1)+SUMIFS('changes2_based on steps'!$B281:$U281,'changes2_based on steps'!$B$1:$U$1,Q$1)</f>
        <v>0</v>
      </c>
      <c r="R281" s="179">
        <f>SUMIFS('recurring2_based on steps'!$B281:$AY281,'recurring2_based on steps'!$B$1:$AY$1,R$1)+SUMIFS('changes2_based on steps'!$B281:$U281,'changes2_based on steps'!$B$1:$U$1,R$1)</f>
        <v>0</v>
      </c>
      <c r="S281" s="179">
        <f>SUMIFS('recurring2_based on steps'!$B281:$AY281,'recurring2_based on steps'!$B$1:$AY$1,S$1)+SUMIFS('changes2_based on steps'!$B281:$U281,'changes2_based on steps'!$B$1:$U$1,S$1)</f>
        <v>0</v>
      </c>
      <c r="T281" s="179">
        <f>SUMIFS('recurring2_based on steps'!$B281:$AY281,'recurring2_based on steps'!$B$1:$AY$1,T$1)+SUMIFS('changes2_based on steps'!$B281:$U281,'changes2_based on steps'!$B$1:$U$1,T$1)</f>
        <v>0</v>
      </c>
      <c r="U281" s="179">
        <f>SUMIFS('recurring2_based on steps'!$B281:$AY281,'recurring2_based on steps'!$B$1:$AY$1,U$1)+SUMIFS('changes2_based on steps'!$B281:$U281,'changes2_based on steps'!$B$1:$U$1,U$1)</f>
        <v>0</v>
      </c>
      <c r="V281" s="179">
        <f>SUMIFS('recurring2_based on steps'!$B281:$AY281,'recurring2_based on steps'!$B$1:$AY$1,V$1)+SUMIFS('changes2_based on steps'!$B281:$U281,'changes2_based on steps'!$B$1:$U$1,V$1)</f>
        <v>0</v>
      </c>
      <c r="W281" s="179">
        <f>SUMIFS('recurring2_based on steps'!$B281:$AY281,'recurring2_based on steps'!$B$1:$AY$1,W$1)+SUMIFS('changes2_based on steps'!$B281:$U281,'changes2_based on steps'!$B$1:$U$1,W$1)</f>
        <v>0</v>
      </c>
      <c r="X281" s="179">
        <f>SUMIFS('recurring2_based on steps'!$B281:$AY281,'recurring2_based on steps'!$B$1:$AY$1,X$1)+SUMIFS('changes2_based on steps'!$B281:$U281,'changes2_based on steps'!$B$1:$U$1,X$1)</f>
        <v>0</v>
      </c>
      <c r="Y281" s="179">
        <f>SUMIFS('recurring2_based on steps'!$B281:$AY281,'recurring2_based on steps'!$B$1:$AY$1,Y$1)+SUMIFS('changes2_based on steps'!$B281:$U281,'changes2_based on steps'!$B$1:$U$1,Y$1)</f>
        <v>0</v>
      </c>
      <c r="Z281" s="179">
        <f>SUMIFS('recurring2_based on steps'!$B281:$AY281,'recurring2_based on steps'!$B$1:$AY$1,Z$1)+SUMIFS('changes2_based on steps'!$B281:$U281,'changes2_based on steps'!$B$1:$U$1,Z$1)</f>
        <v>0</v>
      </c>
      <c r="AA281" s="179">
        <f>SUMIFS('recurring2_based on steps'!$B281:$AY281,'recurring2_based on steps'!$B$1:$AY$1,AA$1)+SUMIFS('changes2_based on steps'!$B281:$U281,'changes2_based on steps'!$B$1:$U$1,AA$1)</f>
        <v>0</v>
      </c>
      <c r="AB281" s="179">
        <f>SUMIFS('recurring2_based on steps'!$B281:$AY281,'recurring2_based on steps'!$B$1:$AY$1,AB$1)+SUMIFS('changes2_based on steps'!$B281:$U281,'changes2_based on steps'!$B$1:$U$1,AB$1)</f>
        <v>0</v>
      </c>
      <c r="AC281" s="179">
        <f>SUMIFS('recurring2_based on steps'!$B281:$AY281,'recurring2_based on steps'!$B$1:$AY$1,AC$1)+SUMIFS('changes2_based on steps'!$B281:$U281,'changes2_based on steps'!$B$1:$U$1,AC$1)</f>
        <v>0</v>
      </c>
      <c r="AD281" s="179">
        <f>SUMIFS('recurring2_based on steps'!$B281:$AY281,'recurring2_based on steps'!$B$1:$AY$1,AD$1)+SUMIFS('changes2_based on steps'!$B281:$U281,'changes2_based on steps'!$B$1:$U$1,AD$1)</f>
        <v>0</v>
      </c>
      <c r="AE281" s="179">
        <f>SUMIFS('recurring2_based on steps'!$B281:$AY281,'recurring2_based on steps'!$B$1:$AY$1,AE$1)+SUMIFS('changes2_based on steps'!$B281:$U281,'changes2_based on steps'!$B$1:$U$1,AE$1)</f>
        <v>0</v>
      </c>
      <c r="AF281" s="179"/>
      <c r="AG281" s="179"/>
      <c r="AH281" s="179"/>
      <c r="AI281" s="179"/>
      <c r="AJ281" s="179"/>
      <c r="AK281" s="179"/>
      <c r="AL281" s="179"/>
      <c r="AM281" s="179"/>
    </row>
    <row r="282" spans="1:39" x14ac:dyDescent="0.2">
      <c r="A282" s="32">
        <f t="shared" ca="1" si="4"/>
        <v>46031</v>
      </c>
      <c r="B282" s="179">
        <f>SUMIFS('recurring2_based on steps'!$B282:$AY282,'recurring2_based on steps'!$B$1:$AY$1,B$1)+SUMIFS('changes2_based on steps'!$B282:$U282,'changes2_based on steps'!$B$1:$U$1,B$1)</f>
        <v>0</v>
      </c>
      <c r="C282" s="179">
        <f>SUMIFS('recurring2_based on steps'!$B282:$AY282,'recurring2_based on steps'!$B$1:$AY$1,C$1)+SUMIFS('changes2_based on steps'!$B282:$U282,'changes2_based on steps'!$B$1:$U$1,C$1)</f>
        <v>0</v>
      </c>
      <c r="D282" s="179">
        <f>SUMIFS('recurring2_based on steps'!$B282:$AY282,'recurring2_based on steps'!$B$1:$AY$1,D$1)+SUMIFS('changes2_based on steps'!$B282:$U282,'changes2_based on steps'!$B$1:$U$1,D$1)</f>
        <v>0</v>
      </c>
      <c r="E282" s="179">
        <f>SUMIFS('recurring2_based on steps'!$B282:$AY282,'recurring2_based on steps'!$B$1:$AY$1,E$1)+SUMIFS('changes2_based on steps'!$B282:$U282,'changes2_based on steps'!$B$1:$U$1,E$1)</f>
        <v>0</v>
      </c>
      <c r="F282" s="179">
        <f>SUMIFS('recurring2_based on steps'!$B282:$AY282,'recurring2_based on steps'!$B$1:$AY$1,F$1)+SUMIFS('changes2_based on steps'!$B282:$U282,'changes2_based on steps'!$B$1:$U$1,F$1)</f>
        <v>0</v>
      </c>
      <c r="G282" s="179">
        <f>SUMIFS('recurring2_based on steps'!$B282:$AY282,'recurring2_based on steps'!$B$1:$AY$1,G$1)+SUMIFS('changes2_based on steps'!$B282:$U282,'changes2_based on steps'!$B$1:$U$1,G$1)</f>
        <v>0</v>
      </c>
      <c r="H282" s="179">
        <f>SUMIFS('recurring2_based on steps'!$B282:$AY282,'recurring2_based on steps'!$B$1:$AY$1,H$1)+SUMIFS('changes2_based on steps'!$B282:$U282,'changes2_based on steps'!$B$1:$U$1,H$1)</f>
        <v>0</v>
      </c>
      <c r="I282" s="179">
        <f>SUMIFS('recurring2_based on steps'!$B282:$AY282,'recurring2_based on steps'!$B$1:$AY$1,I$1)+SUMIFS('changes2_based on steps'!$B282:$U282,'changes2_based on steps'!$B$1:$U$1,I$1)</f>
        <v>0</v>
      </c>
      <c r="J282" s="179">
        <f>SUMIFS('recurring2_based on steps'!$B282:$AY282,'recurring2_based on steps'!$B$1:$AY$1,J$1)+SUMIFS('changes2_based on steps'!$B282:$U282,'changes2_based on steps'!$B$1:$U$1,J$1)</f>
        <v>0</v>
      </c>
      <c r="K282" s="179">
        <f>SUMIFS('recurring2_based on steps'!$B282:$AY282,'recurring2_based on steps'!$B$1:$AY$1,K$1)+SUMIFS('changes2_based on steps'!$B282:$U282,'changes2_based on steps'!$B$1:$U$1,K$1)</f>
        <v>0</v>
      </c>
      <c r="L282" s="179">
        <f>SUMIFS('recurring2_based on steps'!$B282:$AY282,'recurring2_based on steps'!$B$1:$AY$1,L$1)+SUMIFS('changes2_based on steps'!$B282:$U282,'changes2_based on steps'!$B$1:$U$1,L$1)</f>
        <v>0</v>
      </c>
      <c r="M282" s="179">
        <f>SUMIFS('recurring2_based on steps'!$B282:$AY282,'recurring2_based on steps'!$B$1:$AY$1,M$1)+SUMIFS('changes2_based on steps'!$B282:$U282,'changes2_based on steps'!$B$1:$U$1,M$1)</f>
        <v>0</v>
      </c>
      <c r="N282" s="179">
        <f>SUMIFS('recurring2_based on steps'!$B282:$AY282,'recurring2_based on steps'!$B$1:$AY$1,N$1)+SUMIFS('changes2_based on steps'!$B282:$U282,'changes2_based on steps'!$B$1:$U$1,N$1)</f>
        <v>0</v>
      </c>
      <c r="O282" s="179">
        <f>SUMIFS('recurring2_based on steps'!$B282:$AY282,'recurring2_based on steps'!$B$1:$AY$1,O$1)+SUMIFS('changes2_based on steps'!$B282:$U282,'changes2_based on steps'!$B$1:$U$1,O$1)</f>
        <v>0</v>
      </c>
      <c r="P282" s="179">
        <f>SUMIFS('recurring2_based on steps'!$B282:$AY282,'recurring2_based on steps'!$B$1:$AY$1,P$1)+SUMIFS('changes2_based on steps'!$B282:$U282,'changes2_based on steps'!$B$1:$U$1,P$1)</f>
        <v>0</v>
      </c>
      <c r="Q282" s="179">
        <f>SUMIFS('recurring2_based on steps'!$B282:$AY282,'recurring2_based on steps'!$B$1:$AY$1,Q$1)+SUMIFS('changes2_based on steps'!$B282:$U282,'changes2_based on steps'!$B$1:$U$1,Q$1)</f>
        <v>0</v>
      </c>
      <c r="R282" s="179">
        <f>SUMIFS('recurring2_based on steps'!$B282:$AY282,'recurring2_based on steps'!$B$1:$AY$1,R$1)+SUMIFS('changes2_based on steps'!$B282:$U282,'changes2_based on steps'!$B$1:$U$1,R$1)</f>
        <v>0</v>
      </c>
      <c r="S282" s="179">
        <f>SUMIFS('recurring2_based on steps'!$B282:$AY282,'recurring2_based on steps'!$B$1:$AY$1,S$1)+SUMIFS('changes2_based on steps'!$B282:$U282,'changes2_based on steps'!$B$1:$U$1,S$1)</f>
        <v>0</v>
      </c>
      <c r="T282" s="179">
        <f>SUMIFS('recurring2_based on steps'!$B282:$AY282,'recurring2_based on steps'!$B$1:$AY$1,T$1)+SUMIFS('changes2_based on steps'!$B282:$U282,'changes2_based on steps'!$B$1:$U$1,T$1)</f>
        <v>0</v>
      </c>
      <c r="U282" s="179">
        <f>SUMIFS('recurring2_based on steps'!$B282:$AY282,'recurring2_based on steps'!$B$1:$AY$1,U$1)+SUMIFS('changes2_based on steps'!$B282:$U282,'changes2_based on steps'!$B$1:$U$1,U$1)</f>
        <v>0</v>
      </c>
      <c r="V282" s="179">
        <f>SUMIFS('recurring2_based on steps'!$B282:$AY282,'recurring2_based on steps'!$B$1:$AY$1,V$1)+SUMIFS('changes2_based on steps'!$B282:$U282,'changes2_based on steps'!$B$1:$U$1,V$1)</f>
        <v>0</v>
      </c>
      <c r="W282" s="179">
        <f>SUMIFS('recurring2_based on steps'!$B282:$AY282,'recurring2_based on steps'!$B$1:$AY$1,W$1)+SUMIFS('changes2_based on steps'!$B282:$U282,'changes2_based on steps'!$B$1:$U$1,W$1)</f>
        <v>0</v>
      </c>
      <c r="X282" s="179">
        <f>SUMIFS('recurring2_based on steps'!$B282:$AY282,'recurring2_based on steps'!$B$1:$AY$1,X$1)+SUMIFS('changes2_based on steps'!$B282:$U282,'changes2_based on steps'!$B$1:$U$1,X$1)</f>
        <v>0</v>
      </c>
      <c r="Y282" s="179">
        <f>SUMIFS('recurring2_based on steps'!$B282:$AY282,'recurring2_based on steps'!$B$1:$AY$1,Y$1)+SUMIFS('changes2_based on steps'!$B282:$U282,'changes2_based on steps'!$B$1:$U$1,Y$1)</f>
        <v>0</v>
      </c>
      <c r="Z282" s="179">
        <f>SUMIFS('recurring2_based on steps'!$B282:$AY282,'recurring2_based on steps'!$B$1:$AY$1,Z$1)+SUMIFS('changes2_based on steps'!$B282:$U282,'changes2_based on steps'!$B$1:$U$1,Z$1)</f>
        <v>0</v>
      </c>
      <c r="AA282" s="179">
        <f>SUMIFS('recurring2_based on steps'!$B282:$AY282,'recurring2_based on steps'!$B$1:$AY$1,AA$1)+SUMIFS('changes2_based on steps'!$B282:$U282,'changes2_based on steps'!$B$1:$U$1,AA$1)</f>
        <v>0</v>
      </c>
      <c r="AB282" s="179">
        <f>SUMIFS('recurring2_based on steps'!$B282:$AY282,'recurring2_based on steps'!$B$1:$AY$1,AB$1)+SUMIFS('changes2_based on steps'!$B282:$U282,'changes2_based on steps'!$B$1:$U$1,AB$1)</f>
        <v>0</v>
      </c>
      <c r="AC282" s="179">
        <f>SUMIFS('recurring2_based on steps'!$B282:$AY282,'recurring2_based on steps'!$B$1:$AY$1,AC$1)+SUMIFS('changes2_based on steps'!$B282:$U282,'changes2_based on steps'!$B$1:$U$1,AC$1)</f>
        <v>0</v>
      </c>
      <c r="AD282" s="179">
        <f>SUMIFS('recurring2_based on steps'!$B282:$AY282,'recurring2_based on steps'!$B$1:$AY$1,AD$1)+SUMIFS('changes2_based on steps'!$B282:$U282,'changes2_based on steps'!$B$1:$U$1,AD$1)</f>
        <v>0</v>
      </c>
      <c r="AE282" s="179">
        <f>SUMIFS('recurring2_based on steps'!$B282:$AY282,'recurring2_based on steps'!$B$1:$AY$1,AE$1)+SUMIFS('changes2_based on steps'!$B282:$U282,'changes2_based on steps'!$B$1:$U$1,AE$1)</f>
        <v>0</v>
      </c>
      <c r="AF282" s="179"/>
      <c r="AG282" s="179"/>
      <c r="AH282" s="179"/>
      <c r="AI282" s="179"/>
      <c r="AJ282" s="179"/>
      <c r="AK282" s="179"/>
      <c r="AL282" s="179"/>
      <c r="AM282" s="179"/>
    </row>
    <row r="283" spans="1:39" x14ac:dyDescent="0.2">
      <c r="A283" s="32">
        <f t="shared" ca="1" si="4"/>
        <v>46032</v>
      </c>
      <c r="B283" s="179">
        <f>SUMIFS('recurring2_based on steps'!$B283:$AY283,'recurring2_based on steps'!$B$1:$AY$1,B$1)+SUMIFS('changes2_based on steps'!$B283:$U283,'changes2_based on steps'!$B$1:$U$1,B$1)</f>
        <v>0</v>
      </c>
      <c r="C283" s="179">
        <f>SUMIFS('recurring2_based on steps'!$B283:$AY283,'recurring2_based on steps'!$B$1:$AY$1,C$1)+SUMIFS('changes2_based on steps'!$B283:$U283,'changes2_based on steps'!$B$1:$U$1,C$1)</f>
        <v>0</v>
      </c>
      <c r="D283" s="179">
        <f>SUMIFS('recurring2_based on steps'!$B283:$AY283,'recurring2_based on steps'!$B$1:$AY$1,D$1)+SUMIFS('changes2_based on steps'!$B283:$U283,'changes2_based on steps'!$B$1:$U$1,D$1)</f>
        <v>0</v>
      </c>
      <c r="E283" s="179">
        <f>SUMIFS('recurring2_based on steps'!$B283:$AY283,'recurring2_based on steps'!$B$1:$AY$1,E$1)+SUMIFS('changes2_based on steps'!$B283:$U283,'changes2_based on steps'!$B$1:$U$1,E$1)</f>
        <v>0</v>
      </c>
      <c r="F283" s="179">
        <f>SUMIFS('recurring2_based on steps'!$B283:$AY283,'recurring2_based on steps'!$B$1:$AY$1,F$1)+SUMIFS('changes2_based on steps'!$B283:$U283,'changes2_based on steps'!$B$1:$U$1,F$1)</f>
        <v>0</v>
      </c>
      <c r="G283" s="179">
        <f>SUMIFS('recurring2_based on steps'!$B283:$AY283,'recurring2_based on steps'!$B$1:$AY$1,G$1)+SUMIFS('changes2_based on steps'!$B283:$U283,'changes2_based on steps'!$B$1:$U$1,G$1)</f>
        <v>0</v>
      </c>
      <c r="H283" s="179">
        <f>SUMIFS('recurring2_based on steps'!$B283:$AY283,'recurring2_based on steps'!$B$1:$AY$1,H$1)+SUMIFS('changes2_based on steps'!$B283:$U283,'changes2_based on steps'!$B$1:$U$1,H$1)</f>
        <v>0</v>
      </c>
      <c r="I283" s="179">
        <f>SUMIFS('recurring2_based on steps'!$B283:$AY283,'recurring2_based on steps'!$B$1:$AY$1,I$1)+SUMIFS('changes2_based on steps'!$B283:$U283,'changes2_based on steps'!$B$1:$U$1,I$1)</f>
        <v>0</v>
      </c>
      <c r="J283" s="179">
        <f>SUMIFS('recurring2_based on steps'!$B283:$AY283,'recurring2_based on steps'!$B$1:$AY$1,J$1)+SUMIFS('changes2_based on steps'!$B283:$U283,'changes2_based on steps'!$B$1:$U$1,J$1)</f>
        <v>0</v>
      </c>
      <c r="K283" s="179">
        <f>SUMIFS('recurring2_based on steps'!$B283:$AY283,'recurring2_based on steps'!$B$1:$AY$1,K$1)+SUMIFS('changes2_based on steps'!$B283:$U283,'changes2_based on steps'!$B$1:$U$1,K$1)</f>
        <v>0</v>
      </c>
      <c r="L283" s="179">
        <f>SUMIFS('recurring2_based on steps'!$B283:$AY283,'recurring2_based on steps'!$B$1:$AY$1,L$1)+SUMIFS('changes2_based on steps'!$B283:$U283,'changes2_based on steps'!$B$1:$U$1,L$1)</f>
        <v>0</v>
      </c>
      <c r="M283" s="179">
        <f>SUMIFS('recurring2_based on steps'!$B283:$AY283,'recurring2_based on steps'!$B$1:$AY$1,M$1)+SUMIFS('changes2_based on steps'!$B283:$U283,'changes2_based on steps'!$B$1:$U$1,M$1)</f>
        <v>0</v>
      </c>
      <c r="N283" s="179">
        <f>SUMIFS('recurring2_based on steps'!$B283:$AY283,'recurring2_based on steps'!$B$1:$AY$1,N$1)+SUMIFS('changes2_based on steps'!$B283:$U283,'changes2_based on steps'!$B$1:$U$1,N$1)</f>
        <v>0</v>
      </c>
      <c r="O283" s="179">
        <f>SUMIFS('recurring2_based on steps'!$B283:$AY283,'recurring2_based on steps'!$B$1:$AY$1,O$1)+SUMIFS('changes2_based on steps'!$B283:$U283,'changes2_based on steps'!$B$1:$U$1,O$1)</f>
        <v>0</v>
      </c>
      <c r="P283" s="179">
        <f>SUMIFS('recurring2_based on steps'!$B283:$AY283,'recurring2_based on steps'!$B$1:$AY$1,P$1)+SUMIFS('changes2_based on steps'!$B283:$U283,'changes2_based on steps'!$B$1:$U$1,P$1)</f>
        <v>0</v>
      </c>
      <c r="Q283" s="179">
        <f>SUMIFS('recurring2_based on steps'!$B283:$AY283,'recurring2_based on steps'!$B$1:$AY$1,Q$1)+SUMIFS('changes2_based on steps'!$B283:$U283,'changes2_based on steps'!$B$1:$U$1,Q$1)</f>
        <v>0</v>
      </c>
      <c r="R283" s="179">
        <f>SUMIFS('recurring2_based on steps'!$B283:$AY283,'recurring2_based on steps'!$B$1:$AY$1,R$1)+SUMIFS('changes2_based on steps'!$B283:$U283,'changes2_based on steps'!$B$1:$U$1,R$1)</f>
        <v>0</v>
      </c>
      <c r="S283" s="179">
        <f>SUMIFS('recurring2_based on steps'!$B283:$AY283,'recurring2_based on steps'!$B$1:$AY$1,S$1)+SUMIFS('changes2_based on steps'!$B283:$U283,'changes2_based on steps'!$B$1:$U$1,S$1)</f>
        <v>0</v>
      </c>
      <c r="T283" s="179">
        <f>SUMIFS('recurring2_based on steps'!$B283:$AY283,'recurring2_based on steps'!$B$1:$AY$1,T$1)+SUMIFS('changes2_based on steps'!$B283:$U283,'changes2_based on steps'!$B$1:$U$1,T$1)</f>
        <v>0</v>
      </c>
      <c r="U283" s="179">
        <f>SUMIFS('recurring2_based on steps'!$B283:$AY283,'recurring2_based on steps'!$B$1:$AY$1,U$1)+SUMIFS('changes2_based on steps'!$B283:$U283,'changes2_based on steps'!$B$1:$U$1,U$1)</f>
        <v>0</v>
      </c>
      <c r="V283" s="179">
        <f>SUMIFS('recurring2_based on steps'!$B283:$AY283,'recurring2_based on steps'!$B$1:$AY$1,V$1)+SUMIFS('changes2_based on steps'!$B283:$U283,'changes2_based on steps'!$B$1:$U$1,V$1)</f>
        <v>0</v>
      </c>
      <c r="W283" s="179">
        <f>SUMIFS('recurring2_based on steps'!$B283:$AY283,'recurring2_based on steps'!$B$1:$AY$1,W$1)+SUMIFS('changes2_based on steps'!$B283:$U283,'changes2_based on steps'!$B$1:$U$1,W$1)</f>
        <v>0</v>
      </c>
      <c r="X283" s="179">
        <f>SUMIFS('recurring2_based on steps'!$B283:$AY283,'recurring2_based on steps'!$B$1:$AY$1,X$1)+SUMIFS('changes2_based on steps'!$B283:$U283,'changes2_based on steps'!$B$1:$U$1,X$1)</f>
        <v>0</v>
      </c>
      <c r="Y283" s="179">
        <f>SUMIFS('recurring2_based on steps'!$B283:$AY283,'recurring2_based on steps'!$B$1:$AY$1,Y$1)+SUMIFS('changes2_based on steps'!$B283:$U283,'changes2_based on steps'!$B$1:$U$1,Y$1)</f>
        <v>0</v>
      </c>
      <c r="Z283" s="179">
        <f>SUMIFS('recurring2_based on steps'!$B283:$AY283,'recurring2_based on steps'!$B$1:$AY$1,Z$1)+SUMIFS('changes2_based on steps'!$B283:$U283,'changes2_based on steps'!$B$1:$U$1,Z$1)</f>
        <v>0</v>
      </c>
      <c r="AA283" s="179">
        <f>SUMIFS('recurring2_based on steps'!$B283:$AY283,'recurring2_based on steps'!$B$1:$AY$1,AA$1)+SUMIFS('changes2_based on steps'!$B283:$U283,'changes2_based on steps'!$B$1:$U$1,AA$1)</f>
        <v>0</v>
      </c>
      <c r="AB283" s="179">
        <f>SUMIFS('recurring2_based on steps'!$B283:$AY283,'recurring2_based on steps'!$B$1:$AY$1,AB$1)+SUMIFS('changes2_based on steps'!$B283:$U283,'changes2_based on steps'!$B$1:$U$1,AB$1)</f>
        <v>0</v>
      </c>
      <c r="AC283" s="179">
        <f>SUMIFS('recurring2_based on steps'!$B283:$AY283,'recurring2_based on steps'!$B$1:$AY$1,AC$1)+SUMIFS('changes2_based on steps'!$B283:$U283,'changes2_based on steps'!$B$1:$U$1,AC$1)</f>
        <v>0</v>
      </c>
      <c r="AD283" s="179">
        <f>SUMIFS('recurring2_based on steps'!$B283:$AY283,'recurring2_based on steps'!$B$1:$AY$1,AD$1)+SUMIFS('changes2_based on steps'!$B283:$U283,'changes2_based on steps'!$B$1:$U$1,AD$1)</f>
        <v>0</v>
      </c>
      <c r="AE283" s="179">
        <f>SUMIFS('recurring2_based on steps'!$B283:$AY283,'recurring2_based on steps'!$B$1:$AY$1,AE$1)+SUMIFS('changes2_based on steps'!$B283:$U283,'changes2_based on steps'!$B$1:$U$1,AE$1)</f>
        <v>0</v>
      </c>
      <c r="AF283" s="179"/>
      <c r="AG283" s="179"/>
      <c r="AH283" s="179"/>
      <c r="AI283" s="179"/>
      <c r="AJ283" s="179"/>
      <c r="AK283" s="179"/>
      <c r="AL283" s="179"/>
      <c r="AM283" s="179"/>
    </row>
    <row r="284" spans="1:39" x14ac:dyDescent="0.2">
      <c r="A284" s="32">
        <f t="shared" ca="1" si="4"/>
        <v>46033</v>
      </c>
      <c r="B284" s="179">
        <f>SUMIFS('recurring2_based on steps'!$B284:$AY284,'recurring2_based on steps'!$B$1:$AY$1,B$1)+SUMIFS('changes2_based on steps'!$B284:$U284,'changes2_based on steps'!$B$1:$U$1,B$1)</f>
        <v>0</v>
      </c>
      <c r="C284" s="179">
        <f>SUMIFS('recurring2_based on steps'!$B284:$AY284,'recurring2_based on steps'!$B$1:$AY$1,C$1)+SUMIFS('changes2_based on steps'!$B284:$U284,'changes2_based on steps'!$B$1:$U$1,C$1)</f>
        <v>0</v>
      </c>
      <c r="D284" s="179">
        <f>SUMIFS('recurring2_based on steps'!$B284:$AY284,'recurring2_based on steps'!$B$1:$AY$1,D$1)+SUMIFS('changes2_based on steps'!$B284:$U284,'changes2_based on steps'!$B$1:$U$1,D$1)</f>
        <v>0</v>
      </c>
      <c r="E284" s="179">
        <f>SUMIFS('recurring2_based on steps'!$B284:$AY284,'recurring2_based on steps'!$B$1:$AY$1,E$1)+SUMIFS('changes2_based on steps'!$B284:$U284,'changes2_based on steps'!$B$1:$U$1,E$1)</f>
        <v>0</v>
      </c>
      <c r="F284" s="179">
        <f>SUMIFS('recurring2_based on steps'!$B284:$AY284,'recurring2_based on steps'!$B$1:$AY$1,F$1)+SUMIFS('changes2_based on steps'!$B284:$U284,'changes2_based on steps'!$B$1:$U$1,F$1)</f>
        <v>0</v>
      </c>
      <c r="G284" s="179">
        <f>SUMIFS('recurring2_based on steps'!$B284:$AY284,'recurring2_based on steps'!$B$1:$AY$1,G$1)+SUMIFS('changes2_based on steps'!$B284:$U284,'changes2_based on steps'!$B$1:$U$1,G$1)</f>
        <v>0</v>
      </c>
      <c r="H284" s="179">
        <f>SUMIFS('recurring2_based on steps'!$B284:$AY284,'recurring2_based on steps'!$B$1:$AY$1,H$1)+SUMIFS('changes2_based on steps'!$B284:$U284,'changes2_based on steps'!$B$1:$U$1,H$1)</f>
        <v>0</v>
      </c>
      <c r="I284" s="179">
        <f>SUMIFS('recurring2_based on steps'!$B284:$AY284,'recurring2_based on steps'!$B$1:$AY$1,I$1)+SUMIFS('changes2_based on steps'!$B284:$U284,'changes2_based on steps'!$B$1:$U$1,I$1)</f>
        <v>0</v>
      </c>
      <c r="J284" s="179">
        <f>SUMIFS('recurring2_based on steps'!$B284:$AY284,'recurring2_based on steps'!$B$1:$AY$1,J$1)+SUMIFS('changes2_based on steps'!$B284:$U284,'changes2_based on steps'!$B$1:$U$1,J$1)</f>
        <v>0</v>
      </c>
      <c r="K284" s="179">
        <f>SUMIFS('recurring2_based on steps'!$B284:$AY284,'recurring2_based on steps'!$B$1:$AY$1,K$1)+SUMIFS('changes2_based on steps'!$B284:$U284,'changes2_based on steps'!$B$1:$U$1,K$1)</f>
        <v>0</v>
      </c>
      <c r="L284" s="179">
        <f>SUMIFS('recurring2_based on steps'!$B284:$AY284,'recurring2_based on steps'!$B$1:$AY$1,L$1)+SUMIFS('changes2_based on steps'!$B284:$U284,'changes2_based on steps'!$B$1:$U$1,L$1)</f>
        <v>0</v>
      </c>
      <c r="M284" s="179">
        <f>SUMIFS('recurring2_based on steps'!$B284:$AY284,'recurring2_based on steps'!$B$1:$AY$1,M$1)+SUMIFS('changes2_based on steps'!$B284:$U284,'changes2_based on steps'!$B$1:$U$1,M$1)</f>
        <v>0</v>
      </c>
      <c r="N284" s="179">
        <f>SUMIFS('recurring2_based on steps'!$B284:$AY284,'recurring2_based on steps'!$B$1:$AY$1,N$1)+SUMIFS('changes2_based on steps'!$B284:$U284,'changes2_based on steps'!$B$1:$U$1,N$1)</f>
        <v>0</v>
      </c>
      <c r="O284" s="179">
        <f>SUMIFS('recurring2_based on steps'!$B284:$AY284,'recurring2_based on steps'!$B$1:$AY$1,O$1)+SUMIFS('changes2_based on steps'!$B284:$U284,'changes2_based on steps'!$B$1:$U$1,O$1)</f>
        <v>0</v>
      </c>
      <c r="P284" s="179">
        <f>SUMIFS('recurring2_based on steps'!$B284:$AY284,'recurring2_based on steps'!$B$1:$AY$1,P$1)+SUMIFS('changes2_based on steps'!$B284:$U284,'changes2_based on steps'!$B$1:$U$1,P$1)</f>
        <v>0</v>
      </c>
      <c r="Q284" s="179">
        <f>SUMIFS('recurring2_based on steps'!$B284:$AY284,'recurring2_based on steps'!$B$1:$AY$1,Q$1)+SUMIFS('changes2_based on steps'!$B284:$U284,'changes2_based on steps'!$B$1:$U$1,Q$1)</f>
        <v>0</v>
      </c>
      <c r="R284" s="179">
        <f>SUMIFS('recurring2_based on steps'!$B284:$AY284,'recurring2_based on steps'!$B$1:$AY$1,R$1)+SUMIFS('changes2_based on steps'!$B284:$U284,'changes2_based on steps'!$B$1:$U$1,R$1)</f>
        <v>0</v>
      </c>
      <c r="S284" s="179">
        <f>SUMIFS('recurring2_based on steps'!$B284:$AY284,'recurring2_based on steps'!$B$1:$AY$1,S$1)+SUMIFS('changes2_based on steps'!$B284:$U284,'changes2_based on steps'!$B$1:$U$1,S$1)</f>
        <v>0</v>
      </c>
      <c r="T284" s="179">
        <f>SUMIFS('recurring2_based on steps'!$B284:$AY284,'recurring2_based on steps'!$B$1:$AY$1,T$1)+SUMIFS('changes2_based on steps'!$B284:$U284,'changes2_based on steps'!$B$1:$U$1,T$1)</f>
        <v>0</v>
      </c>
      <c r="U284" s="179">
        <f>SUMIFS('recurring2_based on steps'!$B284:$AY284,'recurring2_based on steps'!$B$1:$AY$1,U$1)+SUMIFS('changes2_based on steps'!$B284:$U284,'changes2_based on steps'!$B$1:$U$1,U$1)</f>
        <v>0</v>
      </c>
      <c r="V284" s="179">
        <f>SUMIFS('recurring2_based on steps'!$B284:$AY284,'recurring2_based on steps'!$B$1:$AY$1,V$1)+SUMIFS('changes2_based on steps'!$B284:$U284,'changes2_based on steps'!$B$1:$U$1,V$1)</f>
        <v>0</v>
      </c>
      <c r="W284" s="179">
        <f>SUMIFS('recurring2_based on steps'!$B284:$AY284,'recurring2_based on steps'!$B$1:$AY$1,W$1)+SUMIFS('changes2_based on steps'!$B284:$U284,'changes2_based on steps'!$B$1:$U$1,W$1)</f>
        <v>0</v>
      </c>
      <c r="X284" s="179">
        <f>SUMIFS('recurring2_based on steps'!$B284:$AY284,'recurring2_based on steps'!$B$1:$AY$1,X$1)+SUMIFS('changes2_based on steps'!$B284:$U284,'changes2_based on steps'!$B$1:$U$1,X$1)</f>
        <v>0</v>
      </c>
      <c r="Y284" s="179">
        <f>SUMIFS('recurring2_based on steps'!$B284:$AY284,'recurring2_based on steps'!$B$1:$AY$1,Y$1)+SUMIFS('changes2_based on steps'!$B284:$U284,'changes2_based on steps'!$B$1:$U$1,Y$1)</f>
        <v>0</v>
      </c>
      <c r="Z284" s="179">
        <f>SUMIFS('recurring2_based on steps'!$B284:$AY284,'recurring2_based on steps'!$B$1:$AY$1,Z$1)+SUMIFS('changes2_based on steps'!$B284:$U284,'changes2_based on steps'!$B$1:$U$1,Z$1)</f>
        <v>0</v>
      </c>
      <c r="AA284" s="179">
        <f>SUMIFS('recurring2_based on steps'!$B284:$AY284,'recurring2_based on steps'!$B$1:$AY$1,AA$1)+SUMIFS('changes2_based on steps'!$B284:$U284,'changes2_based on steps'!$B$1:$U$1,AA$1)</f>
        <v>0</v>
      </c>
      <c r="AB284" s="179">
        <f>SUMIFS('recurring2_based on steps'!$B284:$AY284,'recurring2_based on steps'!$B$1:$AY$1,AB$1)+SUMIFS('changes2_based on steps'!$B284:$U284,'changes2_based on steps'!$B$1:$U$1,AB$1)</f>
        <v>0</v>
      </c>
      <c r="AC284" s="179">
        <f>SUMIFS('recurring2_based on steps'!$B284:$AY284,'recurring2_based on steps'!$B$1:$AY$1,AC$1)+SUMIFS('changes2_based on steps'!$B284:$U284,'changes2_based on steps'!$B$1:$U$1,AC$1)</f>
        <v>0</v>
      </c>
      <c r="AD284" s="179">
        <f>SUMIFS('recurring2_based on steps'!$B284:$AY284,'recurring2_based on steps'!$B$1:$AY$1,AD$1)+SUMIFS('changes2_based on steps'!$B284:$U284,'changes2_based on steps'!$B$1:$U$1,AD$1)</f>
        <v>0</v>
      </c>
      <c r="AE284" s="179">
        <f>SUMIFS('recurring2_based on steps'!$B284:$AY284,'recurring2_based on steps'!$B$1:$AY$1,AE$1)+SUMIFS('changes2_based on steps'!$B284:$U284,'changes2_based on steps'!$B$1:$U$1,AE$1)</f>
        <v>0</v>
      </c>
      <c r="AF284" s="179"/>
      <c r="AG284" s="179"/>
      <c r="AH284" s="179"/>
      <c r="AI284" s="179"/>
      <c r="AJ284" s="179"/>
      <c r="AK284" s="179"/>
      <c r="AL284" s="179"/>
      <c r="AM284" s="179"/>
    </row>
    <row r="285" spans="1:39" x14ac:dyDescent="0.2">
      <c r="A285" s="32">
        <f t="shared" ca="1" si="4"/>
        <v>46034</v>
      </c>
      <c r="B285" s="179">
        <f>SUMIFS('recurring2_based on steps'!$B285:$AY285,'recurring2_based on steps'!$B$1:$AY$1,B$1)+SUMIFS('changes2_based on steps'!$B285:$U285,'changes2_based on steps'!$B$1:$U$1,B$1)</f>
        <v>0</v>
      </c>
      <c r="C285" s="179">
        <f>SUMIFS('recurring2_based on steps'!$B285:$AY285,'recurring2_based on steps'!$B$1:$AY$1,C$1)+SUMIFS('changes2_based on steps'!$B285:$U285,'changes2_based on steps'!$B$1:$U$1,C$1)</f>
        <v>0</v>
      </c>
      <c r="D285" s="179">
        <f>SUMIFS('recurring2_based on steps'!$B285:$AY285,'recurring2_based on steps'!$B$1:$AY$1,D$1)+SUMIFS('changes2_based on steps'!$B285:$U285,'changes2_based on steps'!$B$1:$U$1,D$1)</f>
        <v>0</v>
      </c>
      <c r="E285" s="179">
        <f>SUMIFS('recurring2_based on steps'!$B285:$AY285,'recurring2_based on steps'!$B$1:$AY$1,E$1)+SUMIFS('changes2_based on steps'!$B285:$U285,'changes2_based on steps'!$B$1:$U$1,E$1)</f>
        <v>0</v>
      </c>
      <c r="F285" s="179">
        <f>SUMIFS('recurring2_based on steps'!$B285:$AY285,'recurring2_based on steps'!$B$1:$AY$1,F$1)+SUMIFS('changes2_based on steps'!$B285:$U285,'changes2_based on steps'!$B$1:$U$1,F$1)</f>
        <v>0</v>
      </c>
      <c r="G285" s="179">
        <f>SUMIFS('recurring2_based on steps'!$B285:$AY285,'recurring2_based on steps'!$B$1:$AY$1,G$1)+SUMIFS('changes2_based on steps'!$B285:$U285,'changes2_based on steps'!$B$1:$U$1,G$1)</f>
        <v>0</v>
      </c>
      <c r="H285" s="179">
        <f>SUMIFS('recurring2_based on steps'!$B285:$AY285,'recurring2_based on steps'!$B$1:$AY$1,H$1)+SUMIFS('changes2_based on steps'!$B285:$U285,'changes2_based on steps'!$B$1:$U$1,H$1)</f>
        <v>0</v>
      </c>
      <c r="I285" s="179">
        <f>SUMIFS('recurring2_based on steps'!$B285:$AY285,'recurring2_based on steps'!$B$1:$AY$1,I$1)+SUMIFS('changes2_based on steps'!$B285:$U285,'changes2_based on steps'!$B$1:$U$1,I$1)</f>
        <v>0</v>
      </c>
      <c r="J285" s="179">
        <f>SUMIFS('recurring2_based on steps'!$B285:$AY285,'recurring2_based on steps'!$B$1:$AY$1,J$1)+SUMIFS('changes2_based on steps'!$B285:$U285,'changes2_based on steps'!$B$1:$U$1,J$1)</f>
        <v>0</v>
      </c>
      <c r="K285" s="179">
        <f>SUMIFS('recurring2_based on steps'!$B285:$AY285,'recurring2_based on steps'!$B$1:$AY$1,K$1)+SUMIFS('changes2_based on steps'!$B285:$U285,'changes2_based on steps'!$B$1:$U$1,K$1)</f>
        <v>0</v>
      </c>
      <c r="L285" s="179">
        <f>SUMIFS('recurring2_based on steps'!$B285:$AY285,'recurring2_based on steps'!$B$1:$AY$1,L$1)+SUMIFS('changes2_based on steps'!$B285:$U285,'changes2_based on steps'!$B$1:$U$1,L$1)</f>
        <v>0</v>
      </c>
      <c r="M285" s="179">
        <f>SUMIFS('recurring2_based on steps'!$B285:$AY285,'recurring2_based on steps'!$B$1:$AY$1,M$1)+SUMIFS('changes2_based on steps'!$B285:$U285,'changes2_based on steps'!$B$1:$U$1,M$1)</f>
        <v>0</v>
      </c>
      <c r="N285" s="179">
        <f>SUMIFS('recurring2_based on steps'!$B285:$AY285,'recurring2_based on steps'!$B$1:$AY$1,N$1)+SUMIFS('changes2_based on steps'!$B285:$U285,'changes2_based on steps'!$B$1:$U$1,N$1)</f>
        <v>0</v>
      </c>
      <c r="O285" s="179">
        <f>SUMIFS('recurring2_based on steps'!$B285:$AY285,'recurring2_based on steps'!$B$1:$AY$1,O$1)+SUMIFS('changes2_based on steps'!$B285:$U285,'changes2_based on steps'!$B$1:$U$1,O$1)</f>
        <v>0</v>
      </c>
      <c r="P285" s="179">
        <f>SUMIFS('recurring2_based on steps'!$B285:$AY285,'recurring2_based on steps'!$B$1:$AY$1,P$1)+SUMIFS('changes2_based on steps'!$B285:$U285,'changes2_based on steps'!$B$1:$U$1,P$1)</f>
        <v>0</v>
      </c>
      <c r="Q285" s="179">
        <f>SUMIFS('recurring2_based on steps'!$B285:$AY285,'recurring2_based on steps'!$B$1:$AY$1,Q$1)+SUMIFS('changes2_based on steps'!$B285:$U285,'changes2_based on steps'!$B$1:$U$1,Q$1)</f>
        <v>0</v>
      </c>
      <c r="R285" s="179">
        <f>SUMIFS('recurring2_based on steps'!$B285:$AY285,'recurring2_based on steps'!$B$1:$AY$1,R$1)+SUMIFS('changes2_based on steps'!$B285:$U285,'changes2_based on steps'!$B$1:$U$1,R$1)</f>
        <v>0</v>
      </c>
      <c r="S285" s="179">
        <f>SUMIFS('recurring2_based on steps'!$B285:$AY285,'recurring2_based on steps'!$B$1:$AY$1,S$1)+SUMIFS('changes2_based on steps'!$B285:$U285,'changes2_based on steps'!$B$1:$U$1,S$1)</f>
        <v>0</v>
      </c>
      <c r="T285" s="179">
        <f>SUMIFS('recurring2_based on steps'!$B285:$AY285,'recurring2_based on steps'!$B$1:$AY$1,T$1)+SUMIFS('changes2_based on steps'!$B285:$U285,'changes2_based on steps'!$B$1:$U$1,T$1)</f>
        <v>0</v>
      </c>
      <c r="U285" s="179">
        <f>SUMIFS('recurring2_based on steps'!$B285:$AY285,'recurring2_based on steps'!$B$1:$AY$1,U$1)+SUMIFS('changes2_based on steps'!$B285:$U285,'changes2_based on steps'!$B$1:$U$1,U$1)</f>
        <v>0</v>
      </c>
      <c r="V285" s="179">
        <f>SUMIFS('recurring2_based on steps'!$B285:$AY285,'recurring2_based on steps'!$B$1:$AY$1,V$1)+SUMIFS('changes2_based on steps'!$B285:$U285,'changes2_based on steps'!$B$1:$U$1,V$1)</f>
        <v>0</v>
      </c>
      <c r="W285" s="179">
        <f>SUMIFS('recurring2_based on steps'!$B285:$AY285,'recurring2_based on steps'!$B$1:$AY$1,W$1)+SUMIFS('changes2_based on steps'!$B285:$U285,'changes2_based on steps'!$B$1:$U$1,W$1)</f>
        <v>0</v>
      </c>
      <c r="X285" s="179">
        <f>SUMIFS('recurring2_based on steps'!$B285:$AY285,'recurring2_based on steps'!$B$1:$AY$1,X$1)+SUMIFS('changes2_based on steps'!$B285:$U285,'changes2_based on steps'!$B$1:$U$1,X$1)</f>
        <v>0</v>
      </c>
      <c r="Y285" s="179">
        <f>SUMIFS('recurring2_based on steps'!$B285:$AY285,'recurring2_based on steps'!$B$1:$AY$1,Y$1)+SUMIFS('changes2_based on steps'!$B285:$U285,'changes2_based on steps'!$B$1:$U$1,Y$1)</f>
        <v>0</v>
      </c>
      <c r="Z285" s="179">
        <f>SUMIFS('recurring2_based on steps'!$B285:$AY285,'recurring2_based on steps'!$B$1:$AY$1,Z$1)+SUMIFS('changes2_based on steps'!$B285:$U285,'changes2_based on steps'!$B$1:$U$1,Z$1)</f>
        <v>0</v>
      </c>
      <c r="AA285" s="179">
        <f>SUMIFS('recurring2_based on steps'!$B285:$AY285,'recurring2_based on steps'!$B$1:$AY$1,AA$1)+SUMIFS('changes2_based on steps'!$B285:$U285,'changes2_based on steps'!$B$1:$U$1,AA$1)</f>
        <v>0</v>
      </c>
      <c r="AB285" s="179">
        <f>SUMIFS('recurring2_based on steps'!$B285:$AY285,'recurring2_based on steps'!$B$1:$AY$1,AB$1)+SUMIFS('changes2_based on steps'!$B285:$U285,'changes2_based on steps'!$B$1:$U$1,AB$1)</f>
        <v>0</v>
      </c>
      <c r="AC285" s="179">
        <f>SUMIFS('recurring2_based on steps'!$B285:$AY285,'recurring2_based on steps'!$B$1:$AY$1,AC$1)+SUMIFS('changes2_based on steps'!$B285:$U285,'changes2_based on steps'!$B$1:$U$1,AC$1)</f>
        <v>0</v>
      </c>
      <c r="AD285" s="179">
        <f>SUMIFS('recurring2_based on steps'!$B285:$AY285,'recurring2_based on steps'!$B$1:$AY$1,AD$1)+SUMIFS('changes2_based on steps'!$B285:$U285,'changes2_based on steps'!$B$1:$U$1,AD$1)</f>
        <v>0</v>
      </c>
      <c r="AE285" s="179">
        <f>SUMIFS('recurring2_based on steps'!$B285:$AY285,'recurring2_based on steps'!$B$1:$AY$1,AE$1)+SUMIFS('changes2_based on steps'!$B285:$U285,'changes2_based on steps'!$B$1:$U$1,AE$1)</f>
        <v>0</v>
      </c>
      <c r="AF285" s="179"/>
      <c r="AG285" s="179"/>
      <c r="AH285" s="179"/>
      <c r="AI285" s="179"/>
      <c r="AJ285" s="179"/>
      <c r="AK285" s="179"/>
      <c r="AL285" s="179"/>
      <c r="AM285" s="179"/>
    </row>
    <row r="286" spans="1:39" x14ac:dyDescent="0.2">
      <c r="A286" s="32">
        <f t="shared" ca="1" si="4"/>
        <v>46035</v>
      </c>
      <c r="B286" s="179">
        <f>SUMIFS('recurring2_based on steps'!$B286:$AY286,'recurring2_based on steps'!$B$1:$AY$1,B$1)+SUMIFS('changes2_based on steps'!$B286:$U286,'changes2_based on steps'!$B$1:$U$1,B$1)</f>
        <v>0</v>
      </c>
      <c r="C286" s="179">
        <f>SUMIFS('recurring2_based on steps'!$B286:$AY286,'recurring2_based on steps'!$B$1:$AY$1,C$1)+SUMIFS('changes2_based on steps'!$B286:$U286,'changes2_based on steps'!$B$1:$U$1,C$1)</f>
        <v>0</v>
      </c>
      <c r="D286" s="179">
        <f>SUMIFS('recurring2_based on steps'!$B286:$AY286,'recurring2_based on steps'!$B$1:$AY$1,D$1)+SUMIFS('changes2_based on steps'!$B286:$U286,'changes2_based on steps'!$B$1:$U$1,D$1)</f>
        <v>0</v>
      </c>
      <c r="E286" s="179">
        <f>SUMIFS('recurring2_based on steps'!$B286:$AY286,'recurring2_based on steps'!$B$1:$AY$1,E$1)+SUMIFS('changes2_based on steps'!$B286:$U286,'changes2_based on steps'!$B$1:$U$1,E$1)</f>
        <v>0</v>
      </c>
      <c r="F286" s="179">
        <f>SUMIFS('recurring2_based on steps'!$B286:$AY286,'recurring2_based on steps'!$B$1:$AY$1,F$1)+SUMIFS('changes2_based on steps'!$B286:$U286,'changes2_based on steps'!$B$1:$U$1,F$1)</f>
        <v>0</v>
      </c>
      <c r="G286" s="179">
        <f>SUMIFS('recurring2_based on steps'!$B286:$AY286,'recurring2_based on steps'!$B$1:$AY$1,G$1)+SUMIFS('changes2_based on steps'!$B286:$U286,'changes2_based on steps'!$B$1:$U$1,G$1)</f>
        <v>0</v>
      </c>
      <c r="H286" s="179">
        <f>SUMIFS('recurring2_based on steps'!$B286:$AY286,'recurring2_based on steps'!$B$1:$AY$1,H$1)+SUMIFS('changes2_based on steps'!$B286:$U286,'changes2_based on steps'!$B$1:$U$1,H$1)</f>
        <v>0</v>
      </c>
      <c r="I286" s="179">
        <f>SUMIFS('recurring2_based on steps'!$B286:$AY286,'recurring2_based on steps'!$B$1:$AY$1,I$1)+SUMIFS('changes2_based on steps'!$B286:$U286,'changes2_based on steps'!$B$1:$U$1,I$1)</f>
        <v>0</v>
      </c>
      <c r="J286" s="179">
        <f>SUMIFS('recurring2_based on steps'!$B286:$AY286,'recurring2_based on steps'!$B$1:$AY$1,J$1)+SUMIFS('changes2_based on steps'!$B286:$U286,'changes2_based on steps'!$B$1:$U$1,J$1)</f>
        <v>0</v>
      </c>
      <c r="K286" s="179">
        <f>SUMIFS('recurring2_based on steps'!$B286:$AY286,'recurring2_based on steps'!$B$1:$AY$1,K$1)+SUMIFS('changes2_based on steps'!$B286:$U286,'changes2_based on steps'!$B$1:$U$1,K$1)</f>
        <v>0</v>
      </c>
      <c r="L286" s="179">
        <f>SUMIFS('recurring2_based on steps'!$B286:$AY286,'recurring2_based on steps'!$B$1:$AY$1,L$1)+SUMIFS('changes2_based on steps'!$B286:$U286,'changes2_based on steps'!$B$1:$U$1,L$1)</f>
        <v>0</v>
      </c>
      <c r="M286" s="179">
        <f>SUMIFS('recurring2_based on steps'!$B286:$AY286,'recurring2_based on steps'!$B$1:$AY$1,M$1)+SUMIFS('changes2_based on steps'!$B286:$U286,'changes2_based on steps'!$B$1:$U$1,M$1)</f>
        <v>0</v>
      </c>
      <c r="N286" s="179">
        <f>SUMIFS('recurring2_based on steps'!$B286:$AY286,'recurring2_based on steps'!$B$1:$AY$1,N$1)+SUMIFS('changes2_based on steps'!$B286:$U286,'changes2_based on steps'!$B$1:$U$1,N$1)</f>
        <v>0</v>
      </c>
      <c r="O286" s="179">
        <f>SUMIFS('recurring2_based on steps'!$B286:$AY286,'recurring2_based on steps'!$B$1:$AY$1,O$1)+SUMIFS('changes2_based on steps'!$B286:$U286,'changes2_based on steps'!$B$1:$U$1,O$1)</f>
        <v>0</v>
      </c>
      <c r="P286" s="179">
        <f>SUMIFS('recurring2_based on steps'!$B286:$AY286,'recurring2_based on steps'!$B$1:$AY$1,P$1)+SUMIFS('changes2_based on steps'!$B286:$U286,'changes2_based on steps'!$B$1:$U$1,P$1)</f>
        <v>0</v>
      </c>
      <c r="Q286" s="179">
        <f>SUMIFS('recurring2_based on steps'!$B286:$AY286,'recurring2_based on steps'!$B$1:$AY$1,Q$1)+SUMIFS('changes2_based on steps'!$B286:$U286,'changes2_based on steps'!$B$1:$U$1,Q$1)</f>
        <v>0</v>
      </c>
      <c r="R286" s="179">
        <f>SUMIFS('recurring2_based on steps'!$B286:$AY286,'recurring2_based on steps'!$B$1:$AY$1,R$1)+SUMIFS('changes2_based on steps'!$B286:$U286,'changes2_based on steps'!$B$1:$U$1,R$1)</f>
        <v>0</v>
      </c>
      <c r="S286" s="179">
        <f>SUMIFS('recurring2_based on steps'!$B286:$AY286,'recurring2_based on steps'!$B$1:$AY$1,S$1)+SUMIFS('changes2_based on steps'!$B286:$U286,'changes2_based on steps'!$B$1:$U$1,S$1)</f>
        <v>0</v>
      </c>
      <c r="T286" s="179">
        <f>SUMIFS('recurring2_based on steps'!$B286:$AY286,'recurring2_based on steps'!$B$1:$AY$1,T$1)+SUMIFS('changes2_based on steps'!$B286:$U286,'changes2_based on steps'!$B$1:$U$1,T$1)</f>
        <v>0</v>
      </c>
      <c r="U286" s="179">
        <f>SUMIFS('recurring2_based on steps'!$B286:$AY286,'recurring2_based on steps'!$B$1:$AY$1,U$1)+SUMIFS('changes2_based on steps'!$B286:$U286,'changes2_based on steps'!$B$1:$U$1,U$1)</f>
        <v>0</v>
      </c>
      <c r="V286" s="179">
        <f>SUMIFS('recurring2_based on steps'!$B286:$AY286,'recurring2_based on steps'!$B$1:$AY$1,V$1)+SUMIFS('changes2_based on steps'!$B286:$U286,'changes2_based on steps'!$B$1:$U$1,V$1)</f>
        <v>0</v>
      </c>
      <c r="W286" s="179">
        <f>SUMIFS('recurring2_based on steps'!$B286:$AY286,'recurring2_based on steps'!$B$1:$AY$1,W$1)+SUMIFS('changes2_based on steps'!$B286:$U286,'changes2_based on steps'!$B$1:$U$1,W$1)</f>
        <v>0</v>
      </c>
      <c r="X286" s="179">
        <f>SUMIFS('recurring2_based on steps'!$B286:$AY286,'recurring2_based on steps'!$B$1:$AY$1,X$1)+SUMIFS('changes2_based on steps'!$B286:$U286,'changes2_based on steps'!$B$1:$U$1,X$1)</f>
        <v>0</v>
      </c>
      <c r="Y286" s="179">
        <f>SUMIFS('recurring2_based on steps'!$B286:$AY286,'recurring2_based on steps'!$B$1:$AY$1,Y$1)+SUMIFS('changes2_based on steps'!$B286:$U286,'changes2_based on steps'!$B$1:$U$1,Y$1)</f>
        <v>0</v>
      </c>
      <c r="Z286" s="179">
        <f>SUMIFS('recurring2_based on steps'!$B286:$AY286,'recurring2_based on steps'!$B$1:$AY$1,Z$1)+SUMIFS('changes2_based on steps'!$B286:$U286,'changes2_based on steps'!$B$1:$U$1,Z$1)</f>
        <v>0</v>
      </c>
      <c r="AA286" s="179">
        <f>SUMIFS('recurring2_based on steps'!$B286:$AY286,'recurring2_based on steps'!$B$1:$AY$1,AA$1)+SUMIFS('changes2_based on steps'!$B286:$U286,'changes2_based on steps'!$B$1:$U$1,AA$1)</f>
        <v>0</v>
      </c>
      <c r="AB286" s="179">
        <f>SUMIFS('recurring2_based on steps'!$B286:$AY286,'recurring2_based on steps'!$B$1:$AY$1,AB$1)+SUMIFS('changes2_based on steps'!$B286:$U286,'changes2_based on steps'!$B$1:$U$1,AB$1)</f>
        <v>0</v>
      </c>
      <c r="AC286" s="179">
        <f>SUMIFS('recurring2_based on steps'!$B286:$AY286,'recurring2_based on steps'!$B$1:$AY$1,AC$1)+SUMIFS('changes2_based on steps'!$B286:$U286,'changes2_based on steps'!$B$1:$U$1,AC$1)</f>
        <v>0</v>
      </c>
      <c r="AD286" s="179">
        <f>SUMIFS('recurring2_based on steps'!$B286:$AY286,'recurring2_based on steps'!$B$1:$AY$1,AD$1)+SUMIFS('changes2_based on steps'!$B286:$U286,'changes2_based on steps'!$B$1:$U$1,AD$1)</f>
        <v>0</v>
      </c>
      <c r="AE286" s="179">
        <f>SUMIFS('recurring2_based on steps'!$B286:$AY286,'recurring2_based on steps'!$B$1:$AY$1,AE$1)+SUMIFS('changes2_based on steps'!$B286:$U286,'changes2_based on steps'!$B$1:$U$1,AE$1)</f>
        <v>0</v>
      </c>
      <c r="AF286" s="179"/>
      <c r="AG286" s="179"/>
      <c r="AH286" s="179"/>
      <c r="AI286" s="179"/>
      <c r="AJ286" s="179"/>
      <c r="AK286" s="179"/>
      <c r="AL286" s="179"/>
      <c r="AM286" s="179"/>
    </row>
    <row r="287" spans="1:39" x14ac:dyDescent="0.2">
      <c r="A287" s="32">
        <f t="shared" ca="1" si="4"/>
        <v>46036</v>
      </c>
      <c r="B287" s="179">
        <f>SUMIFS('recurring2_based on steps'!$B287:$AY287,'recurring2_based on steps'!$B$1:$AY$1,B$1)+SUMIFS('changes2_based on steps'!$B287:$U287,'changes2_based on steps'!$B$1:$U$1,B$1)</f>
        <v>0</v>
      </c>
      <c r="C287" s="179">
        <f>SUMIFS('recurring2_based on steps'!$B287:$AY287,'recurring2_based on steps'!$B$1:$AY$1,C$1)+SUMIFS('changes2_based on steps'!$B287:$U287,'changes2_based on steps'!$B$1:$U$1,C$1)</f>
        <v>0</v>
      </c>
      <c r="D287" s="179">
        <f>SUMIFS('recurring2_based on steps'!$B287:$AY287,'recurring2_based on steps'!$B$1:$AY$1,D$1)+SUMIFS('changes2_based on steps'!$B287:$U287,'changes2_based on steps'!$B$1:$U$1,D$1)</f>
        <v>0</v>
      </c>
      <c r="E287" s="179">
        <f>SUMIFS('recurring2_based on steps'!$B287:$AY287,'recurring2_based on steps'!$B$1:$AY$1,E$1)+SUMIFS('changes2_based on steps'!$B287:$U287,'changes2_based on steps'!$B$1:$U$1,E$1)</f>
        <v>0</v>
      </c>
      <c r="F287" s="179">
        <f>SUMIFS('recurring2_based on steps'!$B287:$AY287,'recurring2_based on steps'!$B$1:$AY$1,F$1)+SUMIFS('changes2_based on steps'!$B287:$U287,'changes2_based on steps'!$B$1:$U$1,F$1)</f>
        <v>0</v>
      </c>
      <c r="G287" s="179">
        <f>SUMIFS('recurring2_based on steps'!$B287:$AY287,'recurring2_based on steps'!$B$1:$AY$1,G$1)+SUMIFS('changes2_based on steps'!$B287:$U287,'changes2_based on steps'!$B$1:$U$1,G$1)</f>
        <v>0</v>
      </c>
      <c r="H287" s="179">
        <f>SUMIFS('recurring2_based on steps'!$B287:$AY287,'recurring2_based on steps'!$B$1:$AY$1,H$1)+SUMIFS('changes2_based on steps'!$B287:$U287,'changes2_based on steps'!$B$1:$U$1,H$1)</f>
        <v>0</v>
      </c>
      <c r="I287" s="179">
        <f>SUMIFS('recurring2_based on steps'!$B287:$AY287,'recurring2_based on steps'!$B$1:$AY$1,I$1)+SUMIFS('changes2_based on steps'!$B287:$U287,'changes2_based on steps'!$B$1:$U$1,I$1)</f>
        <v>0</v>
      </c>
      <c r="J287" s="179">
        <f>SUMIFS('recurring2_based on steps'!$B287:$AY287,'recurring2_based on steps'!$B$1:$AY$1,J$1)+SUMIFS('changes2_based on steps'!$B287:$U287,'changes2_based on steps'!$B$1:$U$1,J$1)</f>
        <v>0</v>
      </c>
      <c r="K287" s="179">
        <f>SUMIFS('recurring2_based on steps'!$B287:$AY287,'recurring2_based on steps'!$B$1:$AY$1,K$1)+SUMIFS('changes2_based on steps'!$B287:$U287,'changes2_based on steps'!$B$1:$U$1,K$1)</f>
        <v>0</v>
      </c>
      <c r="L287" s="179">
        <f>SUMIFS('recurring2_based on steps'!$B287:$AY287,'recurring2_based on steps'!$B$1:$AY$1,L$1)+SUMIFS('changes2_based on steps'!$B287:$U287,'changes2_based on steps'!$B$1:$U$1,L$1)</f>
        <v>0</v>
      </c>
      <c r="M287" s="179">
        <f>SUMIFS('recurring2_based on steps'!$B287:$AY287,'recurring2_based on steps'!$B$1:$AY$1,M$1)+SUMIFS('changes2_based on steps'!$B287:$U287,'changes2_based on steps'!$B$1:$U$1,M$1)</f>
        <v>0</v>
      </c>
      <c r="N287" s="179">
        <f>SUMIFS('recurring2_based on steps'!$B287:$AY287,'recurring2_based on steps'!$B$1:$AY$1,N$1)+SUMIFS('changes2_based on steps'!$B287:$U287,'changes2_based on steps'!$B$1:$U$1,N$1)</f>
        <v>0</v>
      </c>
      <c r="O287" s="179">
        <f>SUMIFS('recurring2_based on steps'!$B287:$AY287,'recurring2_based on steps'!$B$1:$AY$1,O$1)+SUMIFS('changes2_based on steps'!$B287:$U287,'changes2_based on steps'!$B$1:$U$1,O$1)</f>
        <v>0</v>
      </c>
      <c r="P287" s="179">
        <f>SUMIFS('recurring2_based on steps'!$B287:$AY287,'recurring2_based on steps'!$B$1:$AY$1,P$1)+SUMIFS('changes2_based on steps'!$B287:$U287,'changes2_based on steps'!$B$1:$U$1,P$1)</f>
        <v>0</v>
      </c>
      <c r="Q287" s="179">
        <f>SUMIFS('recurring2_based on steps'!$B287:$AY287,'recurring2_based on steps'!$B$1:$AY$1,Q$1)+SUMIFS('changes2_based on steps'!$B287:$U287,'changes2_based on steps'!$B$1:$U$1,Q$1)</f>
        <v>0</v>
      </c>
      <c r="R287" s="179">
        <f>SUMIFS('recurring2_based on steps'!$B287:$AY287,'recurring2_based on steps'!$B$1:$AY$1,R$1)+SUMIFS('changes2_based on steps'!$B287:$U287,'changes2_based on steps'!$B$1:$U$1,R$1)</f>
        <v>0</v>
      </c>
      <c r="S287" s="179">
        <f>SUMIFS('recurring2_based on steps'!$B287:$AY287,'recurring2_based on steps'!$B$1:$AY$1,S$1)+SUMIFS('changes2_based on steps'!$B287:$U287,'changes2_based on steps'!$B$1:$U$1,S$1)</f>
        <v>0</v>
      </c>
      <c r="T287" s="179">
        <f>SUMIFS('recurring2_based on steps'!$B287:$AY287,'recurring2_based on steps'!$B$1:$AY$1,T$1)+SUMIFS('changes2_based on steps'!$B287:$U287,'changes2_based on steps'!$B$1:$U$1,T$1)</f>
        <v>0</v>
      </c>
      <c r="U287" s="179">
        <f>SUMIFS('recurring2_based on steps'!$B287:$AY287,'recurring2_based on steps'!$B$1:$AY$1,U$1)+SUMIFS('changes2_based on steps'!$B287:$U287,'changes2_based on steps'!$B$1:$U$1,U$1)</f>
        <v>0</v>
      </c>
      <c r="V287" s="179">
        <f>SUMIFS('recurring2_based on steps'!$B287:$AY287,'recurring2_based on steps'!$B$1:$AY$1,V$1)+SUMIFS('changes2_based on steps'!$B287:$U287,'changes2_based on steps'!$B$1:$U$1,V$1)</f>
        <v>0</v>
      </c>
      <c r="W287" s="179">
        <f>SUMIFS('recurring2_based on steps'!$B287:$AY287,'recurring2_based on steps'!$B$1:$AY$1,W$1)+SUMIFS('changes2_based on steps'!$B287:$U287,'changes2_based on steps'!$B$1:$U$1,W$1)</f>
        <v>0</v>
      </c>
      <c r="X287" s="179">
        <f>SUMIFS('recurring2_based on steps'!$B287:$AY287,'recurring2_based on steps'!$B$1:$AY$1,X$1)+SUMIFS('changes2_based on steps'!$B287:$U287,'changes2_based on steps'!$B$1:$U$1,X$1)</f>
        <v>0</v>
      </c>
      <c r="Y287" s="179">
        <f>SUMIFS('recurring2_based on steps'!$B287:$AY287,'recurring2_based on steps'!$B$1:$AY$1,Y$1)+SUMIFS('changes2_based on steps'!$B287:$U287,'changes2_based on steps'!$B$1:$U$1,Y$1)</f>
        <v>0</v>
      </c>
      <c r="Z287" s="179">
        <f>SUMIFS('recurring2_based on steps'!$B287:$AY287,'recurring2_based on steps'!$B$1:$AY$1,Z$1)+SUMIFS('changes2_based on steps'!$B287:$U287,'changes2_based on steps'!$B$1:$U$1,Z$1)</f>
        <v>0</v>
      </c>
      <c r="AA287" s="179">
        <f>SUMIFS('recurring2_based on steps'!$B287:$AY287,'recurring2_based on steps'!$B$1:$AY$1,AA$1)+SUMIFS('changes2_based on steps'!$B287:$U287,'changes2_based on steps'!$B$1:$U$1,AA$1)</f>
        <v>0</v>
      </c>
      <c r="AB287" s="179">
        <f>SUMIFS('recurring2_based on steps'!$B287:$AY287,'recurring2_based on steps'!$B$1:$AY$1,AB$1)+SUMIFS('changes2_based on steps'!$B287:$U287,'changes2_based on steps'!$B$1:$U$1,AB$1)</f>
        <v>0</v>
      </c>
      <c r="AC287" s="179">
        <f>SUMIFS('recurring2_based on steps'!$B287:$AY287,'recurring2_based on steps'!$B$1:$AY$1,AC$1)+SUMIFS('changes2_based on steps'!$B287:$U287,'changes2_based on steps'!$B$1:$U$1,AC$1)</f>
        <v>0</v>
      </c>
      <c r="AD287" s="179">
        <f>SUMIFS('recurring2_based on steps'!$B287:$AY287,'recurring2_based on steps'!$B$1:$AY$1,AD$1)+SUMIFS('changes2_based on steps'!$B287:$U287,'changes2_based on steps'!$B$1:$U$1,AD$1)</f>
        <v>0</v>
      </c>
      <c r="AE287" s="179">
        <f>SUMIFS('recurring2_based on steps'!$B287:$AY287,'recurring2_based on steps'!$B$1:$AY$1,AE$1)+SUMIFS('changes2_based on steps'!$B287:$U287,'changes2_based on steps'!$B$1:$U$1,AE$1)</f>
        <v>0</v>
      </c>
      <c r="AF287" s="179"/>
      <c r="AG287" s="179"/>
      <c r="AH287" s="179"/>
      <c r="AI287" s="179"/>
      <c r="AJ287" s="179"/>
      <c r="AK287" s="179"/>
      <c r="AL287" s="179"/>
      <c r="AM287" s="179"/>
    </row>
    <row r="288" spans="1:39" x14ac:dyDescent="0.2">
      <c r="A288" s="32">
        <f t="shared" ca="1" si="4"/>
        <v>46037</v>
      </c>
      <c r="B288" s="179">
        <f>SUMIFS('recurring2_based on steps'!$B288:$AY288,'recurring2_based on steps'!$B$1:$AY$1,B$1)+SUMIFS('changes2_based on steps'!$B288:$U288,'changes2_based on steps'!$B$1:$U$1,B$1)</f>
        <v>0</v>
      </c>
      <c r="C288" s="179">
        <f>SUMIFS('recurring2_based on steps'!$B288:$AY288,'recurring2_based on steps'!$B$1:$AY$1,C$1)+SUMIFS('changes2_based on steps'!$B288:$U288,'changes2_based on steps'!$B$1:$U$1,C$1)</f>
        <v>0</v>
      </c>
      <c r="D288" s="179">
        <f>SUMIFS('recurring2_based on steps'!$B288:$AY288,'recurring2_based on steps'!$B$1:$AY$1,D$1)+SUMIFS('changes2_based on steps'!$B288:$U288,'changes2_based on steps'!$B$1:$U$1,D$1)</f>
        <v>0</v>
      </c>
      <c r="E288" s="179">
        <f>SUMIFS('recurring2_based on steps'!$B288:$AY288,'recurring2_based on steps'!$B$1:$AY$1,E$1)+SUMIFS('changes2_based on steps'!$B288:$U288,'changes2_based on steps'!$B$1:$U$1,E$1)</f>
        <v>0</v>
      </c>
      <c r="F288" s="179">
        <f>SUMIFS('recurring2_based on steps'!$B288:$AY288,'recurring2_based on steps'!$B$1:$AY$1,F$1)+SUMIFS('changes2_based on steps'!$B288:$U288,'changes2_based on steps'!$B$1:$U$1,F$1)</f>
        <v>0</v>
      </c>
      <c r="G288" s="179">
        <f>SUMIFS('recurring2_based on steps'!$B288:$AY288,'recurring2_based on steps'!$B$1:$AY$1,G$1)+SUMIFS('changes2_based on steps'!$B288:$U288,'changes2_based on steps'!$B$1:$U$1,G$1)</f>
        <v>0</v>
      </c>
      <c r="H288" s="179">
        <f>SUMIFS('recurring2_based on steps'!$B288:$AY288,'recurring2_based on steps'!$B$1:$AY$1,H$1)+SUMIFS('changes2_based on steps'!$B288:$U288,'changes2_based on steps'!$B$1:$U$1,H$1)</f>
        <v>0</v>
      </c>
      <c r="I288" s="179">
        <f>SUMIFS('recurring2_based on steps'!$B288:$AY288,'recurring2_based on steps'!$B$1:$AY$1,I$1)+SUMIFS('changes2_based on steps'!$B288:$U288,'changes2_based on steps'!$B$1:$U$1,I$1)</f>
        <v>0</v>
      </c>
      <c r="J288" s="179">
        <f>SUMIFS('recurring2_based on steps'!$B288:$AY288,'recurring2_based on steps'!$B$1:$AY$1,J$1)+SUMIFS('changes2_based on steps'!$B288:$U288,'changes2_based on steps'!$B$1:$U$1,J$1)</f>
        <v>0</v>
      </c>
      <c r="K288" s="179">
        <f>SUMIFS('recurring2_based on steps'!$B288:$AY288,'recurring2_based on steps'!$B$1:$AY$1,K$1)+SUMIFS('changes2_based on steps'!$B288:$U288,'changes2_based on steps'!$B$1:$U$1,K$1)</f>
        <v>0</v>
      </c>
      <c r="L288" s="179">
        <f>SUMIFS('recurring2_based on steps'!$B288:$AY288,'recurring2_based on steps'!$B$1:$AY$1,L$1)+SUMIFS('changes2_based on steps'!$B288:$U288,'changes2_based on steps'!$B$1:$U$1,L$1)</f>
        <v>0</v>
      </c>
      <c r="M288" s="179">
        <f>SUMIFS('recurring2_based on steps'!$B288:$AY288,'recurring2_based on steps'!$B$1:$AY$1,M$1)+SUMIFS('changes2_based on steps'!$B288:$U288,'changes2_based on steps'!$B$1:$U$1,M$1)</f>
        <v>0</v>
      </c>
      <c r="N288" s="179">
        <f>SUMIFS('recurring2_based on steps'!$B288:$AY288,'recurring2_based on steps'!$B$1:$AY$1,N$1)+SUMIFS('changes2_based on steps'!$B288:$U288,'changes2_based on steps'!$B$1:$U$1,N$1)</f>
        <v>0</v>
      </c>
      <c r="O288" s="179">
        <f>SUMIFS('recurring2_based on steps'!$B288:$AY288,'recurring2_based on steps'!$B$1:$AY$1,O$1)+SUMIFS('changes2_based on steps'!$B288:$U288,'changes2_based on steps'!$B$1:$U$1,O$1)</f>
        <v>0</v>
      </c>
      <c r="P288" s="179">
        <f>SUMIFS('recurring2_based on steps'!$B288:$AY288,'recurring2_based on steps'!$B$1:$AY$1,P$1)+SUMIFS('changes2_based on steps'!$B288:$U288,'changes2_based on steps'!$B$1:$U$1,P$1)</f>
        <v>0</v>
      </c>
      <c r="Q288" s="179">
        <f>SUMIFS('recurring2_based on steps'!$B288:$AY288,'recurring2_based on steps'!$B$1:$AY$1,Q$1)+SUMIFS('changes2_based on steps'!$B288:$U288,'changes2_based on steps'!$B$1:$U$1,Q$1)</f>
        <v>0</v>
      </c>
      <c r="R288" s="179">
        <f>SUMIFS('recurring2_based on steps'!$B288:$AY288,'recurring2_based on steps'!$B$1:$AY$1,R$1)+SUMIFS('changes2_based on steps'!$B288:$U288,'changes2_based on steps'!$B$1:$U$1,R$1)</f>
        <v>0</v>
      </c>
      <c r="S288" s="179">
        <f>SUMIFS('recurring2_based on steps'!$B288:$AY288,'recurring2_based on steps'!$B$1:$AY$1,S$1)+SUMIFS('changes2_based on steps'!$B288:$U288,'changes2_based on steps'!$B$1:$U$1,S$1)</f>
        <v>0</v>
      </c>
      <c r="T288" s="179">
        <f>SUMIFS('recurring2_based on steps'!$B288:$AY288,'recurring2_based on steps'!$B$1:$AY$1,T$1)+SUMIFS('changes2_based on steps'!$B288:$U288,'changes2_based on steps'!$B$1:$U$1,T$1)</f>
        <v>0</v>
      </c>
      <c r="U288" s="179">
        <f>SUMIFS('recurring2_based on steps'!$B288:$AY288,'recurring2_based on steps'!$B$1:$AY$1,U$1)+SUMIFS('changes2_based on steps'!$B288:$U288,'changes2_based on steps'!$B$1:$U$1,U$1)</f>
        <v>0</v>
      </c>
      <c r="V288" s="179">
        <f>SUMIFS('recurring2_based on steps'!$B288:$AY288,'recurring2_based on steps'!$B$1:$AY$1,V$1)+SUMIFS('changes2_based on steps'!$B288:$U288,'changes2_based on steps'!$B$1:$U$1,V$1)</f>
        <v>0</v>
      </c>
      <c r="W288" s="179">
        <f>SUMIFS('recurring2_based on steps'!$B288:$AY288,'recurring2_based on steps'!$B$1:$AY$1,W$1)+SUMIFS('changes2_based on steps'!$B288:$U288,'changes2_based on steps'!$B$1:$U$1,W$1)</f>
        <v>0</v>
      </c>
      <c r="X288" s="179">
        <f>SUMIFS('recurring2_based on steps'!$B288:$AY288,'recurring2_based on steps'!$B$1:$AY$1,X$1)+SUMIFS('changes2_based on steps'!$B288:$U288,'changes2_based on steps'!$B$1:$U$1,X$1)</f>
        <v>0</v>
      </c>
      <c r="Y288" s="179">
        <f>SUMIFS('recurring2_based on steps'!$B288:$AY288,'recurring2_based on steps'!$B$1:$AY$1,Y$1)+SUMIFS('changes2_based on steps'!$B288:$U288,'changes2_based on steps'!$B$1:$U$1,Y$1)</f>
        <v>0</v>
      </c>
      <c r="Z288" s="179">
        <f>SUMIFS('recurring2_based on steps'!$B288:$AY288,'recurring2_based on steps'!$B$1:$AY$1,Z$1)+SUMIFS('changes2_based on steps'!$B288:$U288,'changes2_based on steps'!$B$1:$U$1,Z$1)</f>
        <v>0</v>
      </c>
      <c r="AA288" s="179">
        <f>SUMIFS('recurring2_based on steps'!$B288:$AY288,'recurring2_based on steps'!$B$1:$AY$1,AA$1)+SUMIFS('changes2_based on steps'!$B288:$U288,'changes2_based on steps'!$B$1:$U$1,AA$1)</f>
        <v>0</v>
      </c>
      <c r="AB288" s="179">
        <f>SUMIFS('recurring2_based on steps'!$B288:$AY288,'recurring2_based on steps'!$B$1:$AY$1,AB$1)+SUMIFS('changes2_based on steps'!$B288:$U288,'changes2_based on steps'!$B$1:$U$1,AB$1)</f>
        <v>0</v>
      </c>
      <c r="AC288" s="179">
        <f>SUMIFS('recurring2_based on steps'!$B288:$AY288,'recurring2_based on steps'!$B$1:$AY$1,AC$1)+SUMIFS('changes2_based on steps'!$B288:$U288,'changes2_based on steps'!$B$1:$U$1,AC$1)</f>
        <v>0</v>
      </c>
      <c r="AD288" s="179">
        <f>SUMIFS('recurring2_based on steps'!$B288:$AY288,'recurring2_based on steps'!$B$1:$AY$1,AD$1)+SUMIFS('changes2_based on steps'!$B288:$U288,'changes2_based on steps'!$B$1:$U$1,AD$1)</f>
        <v>0</v>
      </c>
      <c r="AE288" s="179">
        <f>SUMIFS('recurring2_based on steps'!$B288:$AY288,'recurring2_based on steps'!$B$1:$AY$1,AE$1)+SUMIFS('changes2_based on steps'!$B288:$U288,'changes2_based on steps'!$B$1:$U$1,AE$1)</f>
        <v>0</v>
      </c>
      <c r="AF288" s="179"/>
      <c r="AG288" s="179"/>
      <c r="AH288" s="179"/>
      <c r="AI288" s="179"/>
      <c r="AJ288" s="179"/>
      <c r="AK288" s="179"/>
      <c r="AL288" s="179"/>
      <c r="AM288" s="179"/>
    </row>
    <row r="289" spans="1:39" x14ac:dyDescent="0.2">
      <c r="A289" s="32">
        <f t="shared" ca="1" si="4"/>
        <v>46038</v>
      </c>
      <c r="B289" s="179">
        <f>SUMIFS('recurring2_based on steps'!$B289:$AY289,'recurring2_based on steps'!$B$1:$AY$1,B$1)+SUMIFS('changes2_based on steps'!$B289:$U289,'changes2_based on steps'!$B$1:$U$1,B$1)</f>
        <v>0</v>
      </c>
      <c r="C289" s="179">
        <f>SUMIFS('recurring2_based on steps'!$B289:$AY289,'recurring2_based on steps'!$B$1:$AY$1,C$1)+SUMIFS('changes2_based on steps'!$B289:$U289,'changes2_based on steps'!$B$1:$U$1,C$1)</f>
        <v>0</v>
      </c>
      <c r="D289" s="179">
        <f>SUMIFS('recurring2_based on steps'!$B289:$AY289,'recurring2_based on steps'!$B$1:$AY$1,D$1)+SUMIFS('changes2_based on steps'!$B289:$U289,'changes2_based on steps'!$B$1:$U$1,D$1)</f>
        <v>0</v>
      </c>
      <c r="E289" s="179">
        <f>SUMIFS('recurring2_based on steps'!$B289:$AY289,'recurring2_based on steps'!$B$1:$AY$1,E$1)+SUMIFS('changes2_based on steps'!$B289:$U289,'changes2_based on steps'!$B$1:$U$1,E$1)</f>
        <v>0</v>
      </c>
      <c r="F289" s="179">
        <f>SUMIFS('recurring2_based on steps'!$B289:$AY289,'recurring2_based on steps'!$B$1:$AY$1,F$1)+SUMIFS('changes2_based on steps'!$B289:$U289,'changes2_based on steps'!$B$1:$U$1,F$1)</f>
        <v>0</v>
      </c>
      <c r="G289" s="179">
        <f>SUMIFS('recurring2_based on steps'!$B289:$AY289,'recurring2_based on steps'!$B$1:$AY$1,G$1)+SUMIFS('changes2_based on steps'!$B289:$U289,'changes2_based on steps'!$B$1:$U$1,G$1)</f>
        <v>0</v>
      </c>
      <c r="H289" s="179">
        <f>SUMIFS('recurring2_based on steps'!$B289:$AY289,'recurring2_based on steps'!$B$1:$AY$1,H$1)+SUMIFS('changes2_based on steps'!$B289:$U289,'changes2_based on steps'!$B$1:$U$1,H$1)</f>
        <v>0</v>
      </c>
      <c r="I289" s="179">
        <f>SUMIFS('recurring2_based on steps'!$B289:$AY289,'recurring2_based on steps'!$B$1:$AY$1,I$1)+SUMIFS('changes2_based on steps'!$B289:$U289,'changes2_based on steps'!$B$1:$U$1,I$1)</f>
        <v>0</v>
      </c>
      <c r="J289" s="179">
        <f>SUMIFS('recurring2_based on steps'!$B289:$AY289,'recurring2_based on steps'!$B$1:$AY$1,J$1)+SUMIFS('changes2_based on steps'!$B289:$U289,'changes2_based on steps'!$B$1:$U$1,J$1)</f>
        <v>0</v>
      </c>
      <c r="K289" s="179">
        <f>SUMIFS('recurring2_based on steps'!$B289:$AY289,'recurring2_based on steps'!$B$1:$AY$1,K$1)+SUMIFS('changes2_based on steps'!$B289:$U289,'changes2_based on steps'!$B$1:$U$1,K$1)</f>
        <v>0</v>
      </c>
      <c r="L289" s="179">
        <f>SUMIFS('recurring2_based on steps'!$B289:$AY289,'recurring2_based on steps'!$B$1:$AY$1,L$1)+SUMIFS('changes2_based on steps'!$B289:$U289,'changes2_based on steps'!$B$1:$U$1,L$1)</f>
        <v>0</v>
      </c>
      <c r="M289" s="179">
        <f>SUMIFS('recurring2_based on steps'!$B289:$AY289,'recurring2_based on steps'!$B$1:$AY$1,M$1)+SUMIFS('changes2_based on steps'!$B289:$U289,'changes2_based on steps'!$B$1:$U$1,M$1)</f>
        <v>0</v>
      </c>
      <c r="N289" s="179">
        <f>SUMIFS('recurring2_based on steps'!$B289:$AY289,'recurring2_based on steps'!$B$1:$AY$1,N$1)+SUMIFS('changes2_based on steps'!$B289:$U289,'changes2_based on steps'!$B$1:$U$1,N$1)</f>
        <v>0</v>
      </c>
      <c r="O289" s="179">
        <f>SUMIFS('recurring2_based on steps'!$B289:$AY289,'recurring2_based on steps'!$B$1:$AY$1,O$1)+SUMIFS('changes2_based on steps'!$B289:$U289,'changes2_based on steps'!$B$1:$U$1,O$1)</f>
        <v>0</v>
      </c>
      <c r="P289" s="179">
        <f>SUMIFS('recurring2_based on steps'!$B289:$AY289,'recurring2_based on steps'!$B$1:$AY$1,P$1)+SUMIFS('changes2_based on steps'!$B289:$U289,'changes2_based on steps'!$B$1:$U$1,P$1)</f>
        <v>0</v>
      </c>
      <c r="Q289" s="179">
        <f>SUMIFS('recurring2_based on steps'!$B289:$AY289,'recurring2_based on steps'!$B$1:$AY$1,Q$1)+SUMIFS('changes2_based on steps'!$B289:$U289,'changes2_based on steps'!$B$1:$U$1,Q$1)</f>
        <v>0</v>
      </c>
      <c r="R289" s="179">
        <f>SUMIFS('recurring2_based on steps'!$B289:$AY289,'recurring2_based on steps'!$B$1:$AY$1,R$1)+SUMIFS('changes2_based on steps'!$B289:$U289,'changes2_based on steps'!$B$1:$U$1,R$1)</f>
        <v>0</v>
      </c>
      <c r="S289" s="179">
        <f>SUMIFS('recurring2_based on steps'!$B289:$AY289,'recurring2_based on steps'!$B$1:$AY$1,S$1)+SUMIFS('changes2_based on steps'!$B289:$U289,'changes2_based on steps'!$B$1:$U$1,S$1)</f>
        <v>0</v>
      </c>
      <c r="T289" s="179">
        <f>SUMIFS('recurring2_based on steps'!$B289:$AY289,'recurring2_based on steps'!$B$1:$AY$1,T$1)+SUMIFS('changes2_based on steps'!$B289:$U289,'changes2_based on steps'!$B$1:$U$1,T$1)</f>
        <v>0</v>
      </c>
      <c r="U289" s="179">
        <f>SUMIFS('recurring2_based on steps'!$B289:$AY289,'recurring2_based on steps'!$B$1:$AY$1,U$1)+SUMIFS('changes2_based on steps'!$B289:$U289,'changes2_based on steps'!$B$1:$U$1,U$1)</f>
        <v>0</v>
      </c>
      <c r="V289" s="179">
        <f>SUMIFS('recurring2_based on steps'!$B289:$AY289,'recurring2_based on steps'!$B$1:$AY$1,V$1)+SUMIFS('changes2_based on steps'!$B289:$U289,'changes2_based on steps'!$B$1:$U$1,V$1)</f>
        <v>0</v>
      </c>
      <c r="W289" s="179">
        <f>SUMIFS('recurring2_based on steps'!$B289:$AY289,'recurring2_based on steps'!$B$1:$AY$1,W$1)+SUMIFS('changes2_based on steps'!$B289:$U289,'changes2_based on steps'!$B$1:$U$1,W$1)</f>
        <v>0</v>
      </c>
      <c r="X289" s="179">
        <f>SUMIFS('recurring2_based on steps'!$B289:$AY289,'recurring2_based on steps'!$B$1:$AY$1,X$1)+SUMIFS('changes2_based on steps'!$B289:$U289,'changes2_based on steps'!$B$1:$U$1,X$1)</f>
        <v>0</v>
      </c>
      <c r="Y289" s="179">
        <f>SUMIFS('recurring2_based on steps'!$B289:$AY289,'recurring2_based on steps'!$B$1:$AY$1,Y$1)+SUMIFS('changes2_based on steps'!$B289:$U289,'changes2_based on steps'!$B$1:$U$1,Y$1)</f>
        <v>0</v>
      </c>
      <c r="Z289" s="179">
        <f>SUMIFS('recurring2_based on steps'!$B289:$AY289,'recurring2_based on steps'!$B$1:$AY$1,Z$1)+SUMIFS('changes2_based on steps'!$B289:$U289,'changes2_based on steps'!$B$1:$U$1,Z$1)</f>
        <v>0</v>
      </c>
      <c r="AA289" s="179">
        <f>SUMIFS('recurring2_based on steps'!$B289:$AY289,'recurring2_based on steps'!$B$1:$AY$1,AA$1)+SUMIFS('changes2_based on steps'!$B289:$U289,'changes2_based on steps'!$B$1:$U$1,AA$1)</f>
        <v>0</v>
      </c>
      <c r="AB289" s="179">
        <f>SUMIFS('recurring2_based on steps'!$B289:$AY289,'recurring2_based on steps'!$B$1:$AY$1,AB$1)+SUMIFS('changes2_based on steps'!$B289:$U289,'changes2_based on steps'!$B$1:$U$1,AB$1)</f>
        <v>0</v>
      </c>
      <c r="AC289" s="179">
        <f>SUMIFS('recurring2_based on steps'!$B289:$AY289,'recurring2_based on steps'!$B$1:$AY$1,AC$1)+SUMIFS('changes2_based on steps'!$B289:$U289,'changes2_based on steps'!$B$1:$U$1,AC$1)</f>
        <v>0</v>
      </c>
      <c r="AD289" s="179">
        <f>SUMIFS('recurring2_based on steps'!$B289:$AY289,'recurring2_based on steps'!$B$1:$AY$1,AD$1)+SUMIFS('changes2_based on steps'!$B289:$U289,'changes2_based on steps'!$B$1:$U$1,AD$1)</f>
        <v>0</v>
      </c>
      <c r="AE289" s="179">
        <f>SUMIFS('recurring2_based on steps'!$B289:$AY289,'recurring2_based on steps'!$B$1:$AY$1,AE$1)+SUMIFS('changes2_based on steps'!$B289:$U289,'changes2_based on steps'!$B$1:$U$1,AE$1)</f>
        <v>0</v>
      </c>
      <c r="AF289" s="179"/>
      <c r="AG289" s="179"/>
      <c r="AH289" s="179"/>
      <c r="AI289" s="179"/>
      <c r="AJ289" s="179"/>
      <c r="AK289" s="179"/>
      <c r="AL289" s="179"/>
      <c r="AM289" s="179"/>
    </row>
    <row r="290" spans="1:39" x14ac:dyDescent="0.2">
      <c r="A290" s="32">
        <f t="shared" ca="1" si="4"/>
        <v>46039</v>
      </c>
      <c r="B290" s="179">
        <f>SUMIFS('recurring2_based on steps'!$B290:$AY290,'recurring2_based on steps'!$B$1:$AY$1,B$1)+SUMIFS('changes2_based on steps'!$B290:$U290,'changes2_based on steps'!$B$1:$U$1,B$1)</f>
        <v>0</v>
      </c>
      <c r="C290" s="179">
        <f>SUMIFS('recurring2_based on steps'!$B290:$AY290,'recurring2_based on steps'!$B$1:$AY$1,C$1)+SUMIFS('changes2_based on steps'!$B290:$U290,'changes2_based on steps'!$B$1:$U$1,C$1)</f>
        <v>0</v>
      </c>
      <c r="D290" s="179">
        <f>SUMIFS('recurring2_based on steps'!$B290:$AY290,'recurring2_based on steps'!$B$1:$AY$1,D$1)+SUMIFS('changes2_based on steps'!$B290:$U290,'changes2_based on steps'!$B$1:$U$1,D$1)</f>
        <v>0</v>
      </c>
      <c r="E290" s="179">
        <f>SUMIFS('recurring2_based on steps'!$B290:$AY290,'recurring2_based on steps'!$B$1:$AY$1,E$1)+SUMIFS('changes2_based on steps'!$B290:$U290,'changes2_based on steps'!$B$1:$U$1,E$1)</f>
        <v>0</v>
      </c>
      <c r="F290" s="179">
        <f>SUMIFS('recurring2_based on steps'!$B290:$AY290,'recurring2_based on steps'!$B$1:$AY$1,F$1)+SUMIFS('changes2_based on steps'!$B290:$U290,'changes2_based on steps'!$B$1:$U$1,F$1)</f>
        <v>0</v>
      </c>
      <c r="G290" s="179">
        <f>SUMIFS('recurring2_based on steps'!$B290:$AY290,'recurring2_based on steps'!$B$1:$AY$1,G$1)+SUMIFS('changes2_based on steps'!$B290:$U290,'changes2_based on steps'!$B$1:$U$1,G$1)</f>
        <v>0</v>
      </c>
      <c r="H290" s="179">
        <f>SUMIFS('recurring2_based on steps'!$B290:$AY290,'recurring2_based on steps'!$B$1:$AY$1,H$1)+SUMIFS('changes2_based on steps'!$B290:$U290,'changes2_based on steps'!$B$1:$U$1,H$1)</f>
        <v>0</v>
      </c>
      <c r="I290" s="179">
        <f>SUMIFS('recurring2_based on steps'!$B290:$AY290,'recurring2_based on steps'!$B$1:$AY$1,I$1)+SUMIFS('changes2_based on steps'!$B290:$U290,'changes2_based on steps'!$B$1:$U$1,I$1)</f>
        <v>0</v>
      </c>
      <c r="J290" s="179">
        <f>SUMIFS('recurring2_based on steps'!$B290:$AY290,'recurring2_based on steps'!$B$1:$AY$1,J$1)+SUMIFS('changes2_based on steps'!$B290:$U290,'changes2_based on steps'!$B$1:$U$1,J$1)</f>
        <v>0</v>
      </c>
      <c r="K290" s="179">
        <f>SUMIFS('recurring2_based on steps'!$B290:$AY290,'recurring2_based on steps'!$B$1:$AY$1,K$1)+SUMIFS('changes2_based on steps'!$B290:$U290,'changes2_based on steps'!$B$1:$U$1,K$1)</f>
        <v>0</v>
      </c>
      <c r="L290" s="179">
        <f>SUMIFS('recurring2_based on steps'!$B290:$AY290,'recurring2_based on steps'!$B$1:$AY$1,L$1)+SUMIFS('changes2_based on steps'!$B290:$U290,'changes2_based on steps'!$B$1:$U$1,L$1)</f>
        <v>0</v>
      </c>
      <c r="M290" s="179">
        <f>SUMIFS('recurring2_based on steps'!$B290:$AY290,'recurring2_based on steps'!$B$1:$AY$1,M$1)+SUMIFS('changes2_based on steps'!$B290:$U290,'changes2_based on steps'!$B$1:$U$1,M$1)</f>
        <v>0</v>
      </c>
      <c r="N290" s="179">
        <f>SUMIFS('recurring2_based on steps'!$B290:$AY290,'recurring2_based on steps'!$B$1:$AY$1,N$1)+SUMIFS('changes2_based on steps'!$B290:$U290,'changes2_based on steps'!$B$1:$U$1,N$1)</f>
        <v>0</v>
      </c>
      <c r="O290" s="179">
        <f>SUMIFS('recurring2_based on steps'!$B290:$AY290,'recurring2_based on steps'!$B$1:$AY$1,O$1)+SUMIFS('changes2_based on steps'!$B290:$U290,'changes2_based on steps'!$B$1:$U$1,O$1)</f>
        <v>0</v>
      </c>
      <c r="P290" s="179">
        <f>SUMIFS('recurring2_based on steps'!$B290:$AY290,'recurring2_based on steps'!$B$1:$AY$1,P$1)+SUMIFS('changes2_based on steps'!$B290:$U290,'changes2_based on steps'!$B$1:$U$1,P$1)</f>
        <v>0</v>
      </c>
      <c r="Q290" s="179">
        <f>SUMIFS('recurring2_based on steps'!$B290:$AY290,'recurring2_based on steps'!$B$1:$AY$1,Q$1)+SUMIFS('changes2_based on steps'!$B290:$U290,'changes2_based on steps'!$B$1:$U$1,Q$1)</f>
        <v>0</v>
      </c>
      <c r="R290" s="179">
        <f>SUMIFS('recurring2_based on steps'!$B290:$AY290,'recurring2_based on steps'!$B$1:$AY$1,R$1)+SUMIFS('changes2_based on steps'!$B290:$U290,'changes2_based on steps'!$B$1:$U$1,R$1)</f>
        <v>0</v>
      </c>
      <c r="S290" s="179">
        <f>SUMIFS('recurring2_based on steps'!$B290:$AY290,'recurring2_based on steps'!$B$1:$AY$1,S$1)+SUMIFS('changes2_based on steps'!$B290:$U290,'changes2_based on steps'!$B$1:$U$1,S$1)</f>
        <v>0</v>
      </c>
      <c r="T290" s="179">
        <f>SUMIFS('recurring2_based on steps'!$B290:$AY290,'recurring2_based on steps'!$B$1:$AY$1,T$1)+SUMIFS('changes2_based on steps'!$B290:$U290,'changes2_based on steps'!$B$1:$U$1,T$1)</f>
        <v>0</v>
      </c>
      <c r="U290" s="179">
        <f>SUMIFS('recurring2_based on steps'!$B290:$AY290,'recurring2_based on steps'!$B$1:$AY$1,U$1)+SUMIFS('changes2_based on steps'!$B290:$U290,'changes2_based on steps'!$B$1:$U$1,U$1)</f>
        <v>0</v>
      </c>
      <c r="V290" s="179">
        <f>SUMIFS('recurring2_based on steps'!$B290:$AY290,'recurring2_based on steps'!$B$1:$AY$1,V$1)+SUMIFS('changes2_based on steps'!$B290:$U290,'changes2_based on steps'!$B$1:$U$1,V$1)</f>
        <v>0</v>
      </c>
      <c r="W290" s="179">
        <f>SUMIFS('recurring2_based on steps'!$B290:$AY290,'recurring2_based on steps'!$B$1:$AY$1,W$1)+SUMIFS('changes2_based on steps'!$B290:$U290,'changes2_based on steps'!$B$1:$U$1,W$1)</f>
        <v>0</v>
      </c>
      <c r="X290" s="179">
        <f>SUMIFS('recurring2_based on steps'!$B290:$AY290,'recurring2_based on steps'!$B$1:$AY$1,X$1)+SUMIFS('changes2_based on steps'!$B290:$U290,'changes2_based on steps'!$B$1:$U$1,X$1)</f>
        <v>0</v>
      </c>
      <c r="Y290" s="179">
        <f>SUMIFS('recurring2_based on steps'!$B290:$AY290,'recurring2_based on steps'!$B$1:$AY$1,Y$1)+SUMIFS('changes2_based on steps'!$B290:$U290,'changes2_based on steps'!$B$1:$U$1,Y$1)</f>
        <v>0</v>
      </c>
      <c r="Z290" s="179">
        <f>SUMIFS('recurring2_based on steps'!$B290:$AY290,'recurring2_based on steps'!$B$1:$AY$1,Z$1)+SUMIFS('changes2_based on steps'!$B290:$U290,'changes2_based on steps'!$B$1:$U$1,Z$1)</f>
        <v>0</v>
      </c>
      <c r="AA290" s="179">
        <f>SUMIFS('recurring2_based on steps'!$B290:$AY290,'recurring2_based on steps'!$B$1:$AY$1,AA$1)+SUMIFS('changes2_based on steps'!$B290:$U290,'changes2_based on steps'!$B$1:$U$1,AA$1)</f>
        <v>0</v>
      </c>
      <c r="AB290" s="179">
        <f>SUMIFS('recurring2_based on steps'!$B290:$AY290,'recurring2_based on steps'!$B$1:$AY$1,AB$1)+SUMIFS('changes2_based on steps'!$B290:$U290,'changes2_based on steps'!$B$1:$U$1,AB$1)</f>
        <v>0</v>
      </c>
      <c r="AC290" s="179">
        <f>SUMIFS('recurring2_based on steps'!$B290:$AY290,'recurring2_based on steps'!$B$1:$AY$1,AC$1)+SUMIFS('changes2_based on steps'!$B290:$U290,'changes2_based on steps'!$B$1:$U$1,AC$1)</f>
        <v>0</v>
      </c>
      <c r="AD290" s="179">
        <f>SUMIFS('recurring2_based on steps'!$B290:$AY290,'recurring2_based on steps'!$B$1:$AY$1,AD$1)+SUMIFS('changes2_based on steps'!$B290:$U290,'changes2_based on steps'!$B$1:$U$1,AD$1)</f>
        <v>0</v>
      </c>
      <c r="AE290" s="179">
        <f>SUMIFS('recurring2_based on steps'!$B290:$AY290,'recurring2_based on steps'!$B$1:$AY$1,AE$1)+SUMIFS('changes2_based on steps'!$B290:$U290,'changes2_based on steps'!$B$1:$U$1,AE$1)</f>
        <v>0</v>
      </c>
      <c r="AF290" s="179"/>
      <c r="AG290" s="179"/>
      <c r="AH290" s="179"/>
      <c r="AI290" s="179"/>
      <c r="AJ290" s="179"/>
      <c r="AK290" s="179"/>
      <c r="AL290" s="179"/>
      <c r="AM290" s="179"/>
    </row>
    <row r="291" spans="1:39" x14ac:dyDescent="0.2">
      <c r="A291" s="32">
        <f t="shared" ca="1" si="4"/>
        <v>46040</v>
      </c>
      <c r="B291" s="179">
        <f>SUMIFS('recurring2_based on steps'!$B291:$AY291,'recurring2_based on steps'!$B$1:$AY$1,B$1)+SUMIFS('changes2_based on steps'!$B291:$U291,'changes2_based on steps'!$B$1:$U$1,B$1)</f>
        <v>0</v>
      </c>
      <c r="C291" s="179">
        <f>SUMIFS('recurring2_based on steps'!$B291:$AY291,'recurring2_based on steps'!$B$1:$AY$1,C$1)+SUMIFS('changes2_based on steps'!$B291:$U291,'changes2_based on steps'!$B$1:$U$1,C$1)</f>
        <v>0</v>
      </c>
      <c r="D291" s="179">
        <f>SUMIFS('recurring2_based on steps'!$B291:$AY291,'recurring2_based on steps'!$B$1:$AY$1,D$1)+SUMIFS('changes2_based on steps'!$B291:$U291,'changes2_based on steps'!$B$1:$U$1,D$1)</f>
        <v>0</v>
      </c>
      <c r="E291" s="179">
        <f>SUMIFS('recurring2_based on steps'!$B291:$AY291,'recurring2_based on steps'!$B$1:$AY$1,E$1)+SUMIFS('changes2_based on steps'!$B291:$U291,'changes2_based on steps'!$B$1:$U$1,E$1)</f>
        <v>0</v>
      </c>
      <c r="F291" s="179">
        <f>SUMIFS('recurring2_based on steps'!$B291:$AY291,'recurring2_based on steps'!$B$1:$AY$1,F$1)+SUMIFS('changes2_based on steps'!$B291:$U291,'changes2_based on steps'!$B$1:$U$1,F$1)</f>
        <v>0</v>
      </c>
      <c r="G291" s="179">
        <f>SUMIFS('recurring2_based on steps'!$B291:$AY291,'recurring2_based on steps'!$B$1:$AY$1,G$1)+SUMIFS('changes2_based on steps'!$B291:$U291,'changes2_based on steps'!$B$1:$U$1,G$1)</f>
        <v>0</v>
      </c>
      <c r="H291" s="179">
        <f>SUMIFS('recurring2_based on steps'!$B291:$AY291,'recurring2_based on steps'!$B$1:$AY$1,H$1)+SUMIFS('changes2_based on steps'!$B291:$U291,'changes2_based on steps'!$B$1:$U$1,H$1)</f>
        <v>0</v>
      </c>
      <c r="I291" s="179">
        <f>SUMIFS('recurring2_based on steps'!$B291:$AY291,'recurring2_based on steps'!$B$1:$AY$1,I$1)+SUMIFS('changes2_based on steps'!$B291:$U291,'changes2_based on steps'!$B$1:$U$1,I$1)</f>
        <v>0</v>
      </c>
      <c r="J291" s="179">
        <f>SUMIFS('recurring2_based on steps'!$B291:$AY291,'recurring2_based on steps'!$B$1:$AY$1,J$1)+SUMIFS('changes2_based on steps'!$B291:$U291,'changes2_based on steps'!$B$1:$U$1,J$1)</f>
        <v>0</v>
      </c>
      <c r="K291" s="179">
        <f>SUMIFS('recurring2_based on steps'!$B291:$AY291,'recurring2_based on steps'!$B$1:$AY$1,K$1)+SUMIFS('changes2_based on steps'!$B291:$U291,'changes2_based on steps'!$B$1:$U$1,K$1)</f>
        <v>0</v>
      </c>
      <c r="L291" s="179">
        <f>SUMIFS('recurring2_based on steps'!$B291:$AY291,'recurring2_based on steps'!$B$1:$AY$1,L$1)+SUMIFS('changes2_based on steps'!$B291:$U291,'changes2_based on steps'!$B$1:$U$1,L$1)</f>
        <v>0</v>
      </c>
      <c r="M291" s="179">
        <f>SUMIFS('recurring2_based on steps'!$B291:$AY291,'recurring2_based on steps'!$B$1:$AY$1,M$1)+SUMIFS('changes2_based on steps'!$B291:$U291,'changes2_based on steps'!$B$1:$U$1,M$1)</f>
        <v>0</v>
      </c>
      <c r="N291" s="179">
        <f>SUMIFS('recurring2_based on steps'!$B291:$AY291,'recurring2_based on steps'!$B$1:$AY$1,N$1)+SUMIFS('changes2_based on steps'!$B291:$U291,'changes2_based on steps'!$B$1:$U$1,N$1)</f>
        <v>0</v>
      </c>
      <c r="O291" s="179">
        <f>SUMIFS('recurring2_based on steps'!$B291:$AY291,'recurring2_based on steps'!$B$1:$AY$1,O$1)+SUMIFS('changes2_based on steps'!$B291:$U291,'changes2_based on steps'!$B$1:$U$1,O$1)</f>
        <v>0</v>
      </c>
      <c r="P291" s="179">
        <f>SUMIFS('recurring2_based on steps'!$B291:$AY291,'recurring2_based on steps'!$B$1:$AY$1,P$1)+SUMIFS('changes2_based on steps'!$B291:$U291,'changes2_based on steps'!$B$1:$U$1,P$1)</f>
        <v>0</v>
      </c>
      <c r="Q291" s="179">
        <f>SUMIFS('recurring2_based on steps'!$B291:$AY291,'recurring2_based on steps'!$B$1:$AY$1,Q$1)+SUMIFS('changes2_based on steps'!$B291:$U291,'changes2_based on steps'!$B$1:$U$1,Q$1)</f>
        <v>0</v>
      </c>
      <c r="R291" s="179">
        <f>SUMIFS('recurring2_based on steps'!$B291:$AY291,'recurring2_based on steps'!$B$1:$AY$1,R$1)+SUMIFS('changes2_based on steps'!$B291:$U291,'changes2_based on steps'!$B$1:$U$1,R$1)</f>
        <v>0</v>
      </c>
      <c r="S291" s="179">
        <f>SUMIFS('recurring2_based on steps'!$B291:$AY291,'recurring2_based on steps'!$B$1:$AY$1,S$1)+SUMIFS('changes2_based on steps'!$B291:$U291,'changes2_based on steps'!$B$1:$U$1,S$1)</f>
        <v>0</v>
      </c>
      <c r="T291" s="179">
        <f>SUMIFS('recurring2_based on steps'!$B291:$AY291,'recurring2_based on steps'!$B$1:$AY$1,T$1)+SUMIFS('changes2_based on steps'!$B291:$U291,'changes2_based on steps'!$B$1:$U$1,T$1)</f>
        <v>0</v>
      </c>
      <c r="U291" s="179">
        <f>SUMIFS('recurring2_based on steps'!$B291:$AY291,'recurring2_based on steps'!$B$1:$AY$1,U$1)+SUMIFS('changes2_based on steps'!$B291:$U291,'changes2_based on steps'!$B$1:$U$1,U$1)</f>
        <v>0</v>
      </c>
      <c r="V291" s="179">
        <f>SUMIFS('recurring2_based on steps'!$B291:$AY291,'recurring2_based on steps'!$B$1:$AY$1,V$1)+SUMIFS('changes2_based on steps'!$B291:$U291,'changes2_based on steps'!$B$1:$U$1,V$1)</f>
        <v>0</v>
      </c>
      <c r="W291" s="179">
        <f>SUMIFS('recurring2_based on steps'!$B291:$AY291,'recurring2_based on steps'!$B$1:$AY$1,W$1)+SUMIFS('changes2_based on steps'!$B291:$U291,'changes2_based on steps'!$B$1:$U$1,W$1)</f>
        <v>0</v>
      </c>
      <c r="X291" s="179">
        <f>SUMIFS('recurring2_based on steps'!$B291:$AY291,'recurring2_based on steps'!$B$1:$AY$1,X$1)+SUMIFS('changes2_based on steps'!$B291:$U291,'changes2_based on steps'!$B$1:$U$1,X$1)</f>
        <v>0</v>
      </c>
      <c r="Y291" s="179">
        <f>SUMIFS('recurring2_based on steps'!$B291:$AY291,'recurring2_based on steps'!$B$1:$AY$1,Y$1)+SUMIFS('changes2_based on steps'!$B291:$U291,'changes2_based on steps'!$B$1:$U$1,Y$1)</f>
        <v>0</v>
      </c>
      <c r="Z291" s="179">
        <f>SUMIFS('recurring2_based on steps'!$B291:$AY291,'recurring2_based on steps'!$B$1:$AY$1,Z$1)+SUMIFS('changes2_based on steps'!$B291:$U291,'changes2_based on steps'!$B$1:$U$1,Z$1)</f>
        <v>0</v>
      </c>
      <c r="AA291" s="179">
        <f>SUMIFS('recurring2_based on steps'!$B291:$AY291,'recurring2_based on steps'!$B$1:$AY$1,AA$1)+SUMIFS('changes2_based on steps'!$B291:$U291,'changes2_based on steps'!$B$1:$U$1,AA$1)</f>
        <v>0</v>
      </c>
      <c r="AB291" s="179">
        <f>SUMIFS('recurring2_based on steps'!$B291:$AY291,'recurring2_based on steps'!$B$1:$AY$1,AB$1)+SUMIFS('changes2_based on steps'!$B291:$U291,'changes2_based on steps'!$B$1:$U$1,AB$1)</f>
        <v>0</v>
      </c>
      <c r="AC291" s="179">
        <f>SUMIFS('recurring2_based on steps'!$B291:$AY291,'recurring2_based on steps'!$B$1:$AY$1,AC$1)+SUMIFS('changes2_based on steps'!$B291:$U291,'changes2_based on steps'!$B$1:$U$1,AC$1)</f>
        <v>0</v>
      </c>
      <c r="AD291" s="179">
        <f>SUMIFS('recurring2_based on steps'!$B291:$AY291,'recurring2_based on steps'!$B$1:$AY$1,AD$1)+SUMIFS('changes2_based on steps'!$B291:$U291,'changes2_based on steps'!$B$1:$U$1,AD$1)</f>
        <v>0</v>
      </c>
      <c r="AE291" s="179">
        <f>SUMIFS('recurring2_based on steps'!$B291:$AY291,'recurring2_based on steps'!$B$1:$AY$1,AE$1)+SUMIFS('changes2_based on steps'!$B291:$U291,'changes2_based on steps'!$B$1:$U$1,AE$1)</f>
        <v>0</v>
      </c>
      <c r="AF291" s="179"/>
      <c r="AG291" s="179"/>
      <c r="AH291" s="179"/>
      <c r="AI291" s="179"/>
      <c r="AJ291" s="179"/>
      <c r="AK291" s="179"/>
      <c r="AL291" s="179"/>
      <c r="AM291" s="179"/>
    </row>
    <row r="292" spans="1:39" x14ac:dyDescent="0.2">
      <c r="A292" s="32">
        <f t="shared" ca="1" si="4"/>
        <v>46041</v>
      </c>
      <c r="B292" s="179">
        <f>SUMIFS('recurring2_based on steps'!$B292:$AY292,'recurring2_based on steps'!$B$1:$AY$1,B$1)+SUMIFS('changes2_based on steps'!$B292:$U292,'changes2_based on steps'!$B$1:$U$1,B$1)</f>
        <v>0</v>
      </c>
      <c r="C292" s="179">
        <f>SUMIFS('recurring2_based on steps'!$B292:$AY292,'recurring2_based on steps'!$B$1:$AY$1,C$1)+SUMIFS('changes2_based on steps'!$B292:$U292,'changes2_based on steps'!$B$1:$U$1,C$1)</f>
        <v>0</v>
      </c>
      <c r="D292" s="179">
        <f>SUMIFS('recurring2_based on steps'!$B292:$AY292,'recurring2_based on steps'!$B$1:$AY$1,D$1)+SUMIFS('changes2_based on steps'!$B292:$U292,'changes2_based on steps'!$B$1:$U$1,D$1)</f>
        <v>0</v>
      </c>
      <c r="E292" s="179">
        <f>SUMIFS('recurring2_based on steps'!$B292:$AY292,'recurring2_based on steps'!$B$1:$AY$1,E$1)+SUMIFS('changes2_based on steps'!$B292:$U292,'changes2_based on steps'!$B$1:$U$1,E$1)</f>
        <v>0</v>
      </c>
      <c r="F292" s="179">
        <f>SUMIFS('recurring2_based on steps'!$B292:$AY292,'recurring2_based on steps'!$B$1:$AY$1,F$1)+SUMIFS('changes2_based on steps'!$B292:$U292,'changes2_based on steps'!$B$1:$U$1,F$1)</f>
        <v>0</v>
      </c>
      <c r="G292" s="179">
        <f>SUMIFS('recurring2_based on steps'!$B292:$AY292,'recurring2_based on steps'!$B$1:$AY$1,G$1)+SUMIFS('changes2_based on steps'!$B292:$U292,'changes2_based on steps'!$B$1:$U$1,G$1)</f>
        <v>0</v>
      </c>
      <c r="H292" s="179">
        <f>SUMIFS('recurring2_based on steps'!$B292:$AY292,'recurring2_based on steps'!$B$1:$AY$1,H$1)+SUMIFS('changes2_based on steps'!$B292:$U292,'changes2_based on steps'!$B$1:$U$1,H$1)</f>
        <v>0</v>
      </c>
      <c r="I292" s="179">
        <f>SUMIFS('recurring2_based on steps'!$B292:$AY292,'recurring2_based on steps'!$B$1:$AY$1,I$1)+SUMIFS('changes2_based on steps'!$B292:$U292,'changes2_based on steps'!$B$1:$U$1,I$1)</f>
        <v>0</v>
      </c>
      <c r="J292" s="179">
        <f>SUMIFS('recurring2_based on steps'!$B292:$AY292,'recurring2_based on steps'!$B$1:$AY$1,J$1)+SUMIFS('changes2_based on steps'!$B292:$U292,'changes2_based on steps'!$B$1:$U$1,J$1)</f>
        <v>0</v>
      </c>
      <c r="K292" s="179">
        <f>SUMIFS('recurring2_based on steps'!$B292:$AY292,'recurring2_based on steps'!$B$1:$AY$1,K$1)+SUMIFS('changes2_based on steps'!$B292:$U292,'changes2_based on steps'!$B$1:$U$1,K$1)</f>
        <v>0</v>
      </c>
      <c r="L292" s="179">
        <f>SUMIFS('recurring2_based on steps'!$B292:$AY292,'recurring2_based on steps'!$B$1:$AY$1,L$1)+SUMIFS('changes2_based on steps'!$B292:$U292,'changes2_based on steps'!$B$1:$U$1,L$1)</f>
        <v>0</v>
      </c>
      <c r="M292" s="179">
        <f>SUMIFS('recurring2_based on steps'!$B292:$AY292,'recurring2_based on steps'!$B$1:$AY$1,M$1)+SUMIFS('changes2_based on steps'!$B292:$U292,'changes2_based on steps'!$B$1:$U$1,M$1)</f>
        <v>0</v>
      </c>
      <c r="N292" s="179">
        <f>SUMIFS('recurring2_based on steps'!$B292:$AY292,'recurring2_based on steps'!$B$1:$AY$1,N$1)+SUMIFS('changes2_based on steps'!$B292:$U292,'changes2_based on steps'!$B$1:$U$1,N$1)</f>
        <v>0</v>
      </c>
      <c r="O292" s="179">
        <f>SUMIFS('recurring2_based on steps'!$B292:$AY292,'recurring2_based on steps'!$B$1:$AY$1,O$1)+SUMIFS('changes2_based on steps'!$B292:$U292,'changes2_based on steps'!$B$1:$U$1,O$1)</f>
        <v>0</v>
      </c>
      <c r="P292" s="179">
        <f>SUMIFS('recurring2_based on steps'!$B292:$AY292,'recurring2_based on steps'!$B$1:$AY$1,P$1)+SUMIFS('changes2_based on steps'!$B292:$U292,'changes2_based on steps'!$B$1:$U$1,P$1)</f>
        <v>0</v>
      </c>
      <c r="Q292" s="179">
        <f>SUMIFS('recurring2_based on steps'!$B292:$AY292,'recurring2_based on steps'!$B$1:$AY$1,Q$1)+SUMIFS('changes2_based on steps'!$B292:$U292,'changes2_based on steps'!$B$1:$U$1,Q$1)</f>
        <v>0</v>
      </c>
      <c r="R292" s="179">
        <f>SUMIFS('recurring2_based on steps'!$B292:$AY292,'recurring2_based on steps'!$B$1:$AY$1,R$1)+SUMIFS('changes2_based on steps'!$B292:$U292,'changes2_based on steps'!$B$1:$U$1,R$1)</f>
        <v>0</v>
      </c>
      <c r="S292" s="179">
        <f>SUMIFS('recurring2_based on steps'!$B292:$AY292,'recurring2_based on steps'!$B$1:$AY$1,S$1)+SUMIFS('changes2_based on steps'!$B292:$U292,'changes2_based on steps'!$B$1:$U$1,S$1)</f>
        <v>0</v>
      </c>
      <c r="T292" s="179">
        <f>SUMIFS('recurring2_based on steps'!$B292:$AY292,'recurring2_based on steps'!$B$1:$AY$1,T$1)+SUMIFS('changes2_based on steps'!$B292:$U292,'changes2_based on steps'!$B$1:$U$1,T$1)</f>
        <v>0</v>
      </c>
      <c r="U292" s="179">
        <f>SUMIFS('recurring2_based on steps'!$B292:$AY292,'recurring2_based on steps'!$B$1:$AY$1,U$1)+SUMIFS('changes2_based on steps'!$B292:$U292,'changes2_based on steps'!$B$1:$U$1,U$1)</f>
        <v>0</v>
      </c>
      <c r="V292" s="179">
        <f>SUMIFS('recurring2_based on steps'!$B292:$AY292,'recurring2_based on steps'!$B$1:$AY$1,V$1)+SUMIFS('changes2_based on steps'!$B292:$U292,'changes2_based on steps'!$B$1:$U$1,V$1)</f>
        <v>0</v>
      </c>
      <c r="W292" s="179">
        <f>SUMIFS('recurring2_based on steps'!$B292:$AY292,'recurring2_based on steps'!$B$1:$AY$1,W$1)+SUMIFS('changes2_based on steps'!$B292:$U292,'changes2_based on steps'!$B$1:$U$1,W$1)</f>
        <v>0</v>
      </c>
      <c r="X292" s="179">
        <f>SUMIFS('recurring2_based on steps'!$B292:$AY292,'recurring2_based on steps'!$B$1:$AY$1,X$1)+SUMIFS('changes2_based on steps'!$B292:$U292,'changes2_based on steps'!$B$1:$U$1,X$1)</f>
        <v>0</v>
      </c>
      <c r="Y292" s="179">
        <f>SUMIFS('recurring2_based on steps'!$B292:$AY292,'recurring2_based on steps'!$B$1:$AY$1,Y$1)+SUMIFS('changes2_based on steps'!$B292:$U292,'changes2_based on steps'!$B$1:$U$1,Y$1)</f>
        <v>0</v>
      </c>
      <c r="Z292" s="179">
        <f>SUMIFS('recurring2_based on steps'!$B292:$AY292,'recurring2_based on steps'!$B$1:$AY$1,Z$1)+SUMIFS('changes2_based on steps'!$B292:$U292,'changes2_based on steps'!$B$1:$U$1,Z$1)</f>
        <v>0</v>
      </c>
      <c r="AA292" s="179">
        <f>SUMIFS('recurring2_based on steps'!$B292:$AY292,'recurring2_based on steps'!$B$1:$AY$1,AA$1)+SUMIFS('changes2_based on steps'!$B292:$U292,'changes2_based on steps'!$B$1:$U$1,AA$1)</f>
        <v>0</v>
      </c>
      <c r="AB292" s="179">
        <f>SUMIFS('recurring2_based on steps'!$B292:$AY292,'recurring2_based on steps'!$B$1:$AY$1,AB$1)+SUMIFS('changes2_based on steps'!$B292:$U292,'changes2_based on steps'!$B$1:$U$1,AB$1)</f>
        <v>0</v>
      </c>
      <c r="AC292" s="179">
        <f>SUMIFS('recurring2_based on steps'!$B292:$AY292,'recurring2_based on steps'!$B$1:$AY$1,AC$1)+SUMIFS('changes2_based on steps'!$B292:$U292,'changes2_based on steps'!$B$1:$U$1,AC$1)</f>
        <v>0</v>
      </c>
      <c r="AD292" s="179">
        <f>SUMIFS('recurring2_based on steps'!$B292:$AY292,'recurring2_based on steps'!$B$1:$AY$1,AD$1)+SUMIFS('changes2_based on steps'!$B292:$U292,'changes2_based on steps'!$B$1:$U$1,AD$1)</f>
        <v>0</v>
      </c>
      <c r="AE292" s="179">
        <f>SUMIFS('recurring2_based on steps'!$B292:$AY292,'recurring2_based on steps'!$B$1:$AY$1,AE$1)+SUMIFS('changes2_based on steps'!$B292:$U292,'changes2_based on steps'!$B$1:$U$1,AE$1)</f>
        <v>0</v>
      </c>
      <c r="AF292" s="179"/>
      <c r="AG292" s="179"/>
      <c r="AH292" s="179"/>
      <c r="AI292" s="179"/>
      <c r="AJ292" s="179"/>
      <c r="AK292" s="179"/>
      <c r="AL292" s="179"/>
      <c r="AM292" s="179"/>
    </row>
    <row r="293" spans="1:39" x14ac:dyDescent="0.2">
      <c r="A293" s="32">
        <f t="shared" ca="1" si="4"/>
        <v>46042</v>
      </c>
      <c r="B293" s="179">
        <f>SUMIFS('recurring2_based on steps'!$B293:$AY293,'recurring2_based on steps'!$B$1:$AY$1,B$1)+SUMIFS('changes2_based on steps'!$B293:$U293,'changes2_based on steps'!$B$1:$U$1,B$1)</f>
        <v>0</v>
      </c>
      <c r="C293" s="179">
        <f>SUMIFS('recurring2_based on steps'!$B293:$AY293,'recurring2_based on steps'!$B$1:$AY$1,C$1)+SUMIFS('changes2_based on steps'!$B293:$U293,'changes2_based on steps'!$B$1:$U$1,C$1)</f>
        <v>0</v>
      </c>
      <c r="D293" s="179">
        <f>SUMIFS('recurring2_based on steps'!$B293:$AY293,'recurring2_based on steps'!$B$1:$AY$1,D$1)+SUMIFS('changes2_based on steps'!$B293:$U293,'changes2_based on steps'!$B$1:$U$1,D$1)</f>
        <v>0</v>
      </c>
      <c r="E293" s="179">
        <f>SUMIFS('recurring2_based on steps'!$B293:$AY293,'recurring2_based on steps'!$B$1:$AY$1,E$1)+SUMIFS('changes2_based on steps'!$B293:$U293,'changes2_based on steps'!$B$1:$U$1,E$1)</f>
        <v>0</v>
      </c>
      <c r="F293" s="179">
        <f>SUMIFS('recurring2_based on steps'!$B293:$AY293,'recurring2_based on steps'!$B$1:$AY$1,F$1)+SUMIFS('changes2_based on steps'!$B293:$U293,'changes2_based on steps'!$B$1:$U$1,F$1)</f>
        <v>0</v>
      </c>
      <c r="G293" s="179">
        <f>SUMIFS('recurring2_based on steps'!$B293:$AY293,'recurring2_based on steps'!$B$1:$AY$1,G$1)+SUMIFS('changes2_based on steps'!$B293:$U293,'changes2_based on steps'!$B$1:$U$1,G$1)</f>
        <v>0</v>
      </c>
      <c r="H293" s="179">
        <f>SUMIFS('recurring2_based on steps'!$B293:$AY293,'recurring2_based on steps'!$B$1:$AY$1,H$1)+SUMIFS('changes2_based on steps'!$B293:$U293,'changes2_based on steps'!$B$1:$U$1,H$1)</f>
        <v>0</v>
      </c>
      <c r="I293" s="179">
        <f>SUMIFS('recurring2_based on steps'!$B293:$AY293,'recurring2_based on steps'!$B$1:$AY$1,I$1)+SUMIFS('changes2_based on steps'!$B293:$U293,'changes2_based on steps'!$B$1:$U$1,I$1)</f>
        <v>0</v>
      </c>
      <c r="J293" s="179">
        <f>SUMIFS('recurring2_based on steps'!$B293:$AY293,'recurring2_based on steps'!$B$1:$AY$1,J$1)+SUMIFS('changes2_based on steps'!$B293:$U293,'changes2_based on steps'!$B$1:$U$1,J$1)</f>
        <v>0</v>
      </c>
      <c r="K293" s="179">
        <f>SUMIFS('recurring2_based on steps'!$B293:$AY293,'recurring2_based on steps'!$B$1:$AY$1,K$1)+SUMIFS('changes2_based on steps'!$B293:$U293,'changes2_based on steps'!$B$1:$U$1,K$1)</f>
        <v>0</v>
      </c>
      <c r="L293" s="179">
        <f>SUMIFS('recurring2_based on steps'!$B293:$AY293,'recurring2_based on steps'!$B$1:$AY$1,L$1)+SUMIFS('changes2_based on steps'!$B293:$U293,'changes2_based on steps'!$B$1:$U$1,L$1)</f>
        <v>0</v>
      </c>
      <c r="M293" s="179">
        <f>SUMIFS('recurring2_based on steps'!$B293:$AY293,'recurring2_based on steps'!$B$1:$AY$1,M$1)+SUMIFS('changes2_based on steps'!$B293:$U293,'changes2_based on steps'!$B$1:$U$1,M$1)</f>
        <v>0</v>
      </c>
      <c r="N293" s="179">
        <f>SUMIFS('recurring2_based on steps'!$B293:$AY293,'recurring2_based on steps'!$B$1:$AY$1,N$1)+SUMIFS('changes2_based on steps'!$B293:$U293,'changes2_based on steps'!$B$1:$U$1,N$1)</f>
        <v>0</v>
      </c>
      <c r="O293" s="179">
        <f>SUMIFS('recurring2_based on steps'!$B293:$AY293,'recurring2_based on steps'!$B$1:$AY$1,O$1)+SUMIFS('changes2_based on steps'!$B293:$U293,'changes2_based on steps'!$B$1:$U$1,O$1)</f>
        <v>0</v>
      </c>
      <c r="P293" s="179">
        <f>SUMIFS('recurring2_based on steps'!$B293:$AY293,'recurring2_based on steps'!$B$1:$AY$1,P$1)+SUMIFS('changes2_based on steps'!$B293:$U293,'changes2_based on steps'!$B$1:$U$1,P$1)</f>
        <v>0</v>
      </c>
      <c r="Q293" s="179">
        <f>SUMIFS('recurring2_based on steps'!$B293:$AY293,'recurring2_based on steps'!$B$1:$AY$1,Q$1)+SUMIFS('changes2_based on steps'!$B293:$U293,'changes2_based on steps'!$B$1:$U$1,Q$1)</f>
        <v>0</v>
      </c>
      <c r="R293" s="179">
        <f>SUMIFS('recurring2_based on steps'!$B293:$AY293,'recurring2_based on steps'!$B$1:$AY$1,R$1)+SUMIFS('changes2_based on steps'!$B293:$U293,'changes2_based on steps'!$B$1:$U$1,R$1)</f>
        <v>0</v>
      </c>
      <c r="S293" s="179">
        <f>SUMIFS('recurring2_based on steps'!$B293:$AY293,'recurring2_based on steps'!$B$1:$AY$1,S$1)+SUMIFS('changes2_based on steps'!$B293:$U293,'changes2_based on steps'!$B$1:$U$1,S$1)</f>
        <v>0</v>
      </c>
      <c r="T293" s="179">
        <f>SUMIFS('recurring2_based on steps'!$B293:$AY293,'recurring2_based on steps'!$B$1:$AY$1,T$1)+SUMIFS('changes2_based on steps'!$B293:$U293,'changes2_based on steps'!$B$1:$U$1,T$1)</f>
        <v>0</v>
      </c>
      <c r="U293" s="179">
        <f>SUMIFS('recurring2_based on steps'!$B293:$AY293,'recurring2_based on steps'!$B$1:$AY$1,U$1)+SUMIFS('changes2_based on steps'!$B293:$U293,'changes2_based on steps'!$B$1:$U$1,U$1)</f>
        <v>0</v>
      </c>
      <c r="V293" s="179">
        <f>SUMIFS('recurring2_based on steps'!$B293:$AY293,'recurring2_based on steps'!$B$1:$AY$1,V$1)+SUMIFS('changes2_based on steps'!$B293:$U293,'changes2_based on steps'!$B$1:$U$1,V$1)</f>
        <v>0</v>
      </c>
      <c r="W293" s="179">
        <f>SUMIFS('recurring2_based on steps'!$B293:$AY293,'recurring2_based on steps'!$B$1:$AY$1,W$1)+SUMIFS('changes2_based on steps'!$B293:$U293,'changes2_based on steps'!$B$1:$U$1,W$1)</f>
        <v>0</v>
      </c>
      <c r="X293" s="179">
        <f>SUMIFS('recurring2_based on steps'!$B293:$AY293,'recurring2_based on steps'!$B$1:$AY$1,X$1)+SUMIFS('changes2_based on steps'!$B293:$U293,'changes2_based on steps'!$B$1:$U$1,X$1)</f>
        <v>0</v>
      </c>
      <c r="Y293" s="179">
        <f>SUMIFS('recurring2_based on steps'!$B293:$AY293,'recurring2_based on steps'!$B$1:$AY$1,Y$1)+SUMIFS('changes2_based on steps'!$B293:$U293,'changes2_based on steps'!$B$1:$U$1,Y$1)</f>
        <v>0</v>
      </c>
      <c r="Z293" s="179">
        <f>SUMIFS('recurring2_based on steps'!$B293:$AY293,'recurring2_based on steps'!$B$1:$AY$1,Z$1)+SUMIFS('changes2_based on steps'!$B293:$U293,'changes2_based on steps'!$B$1:$U$1,Z$1)</f>
        <v>0</v>
      </c>
      <c r="AA293" s="179">
        <f>SUMIFS('recurring2_based on steps'!$B293:$AY293,'recurring2_based on steps'!$B$1:$AY$1,AA$1)+SUMIFS('changes2_based on steps'!$B293:$U293,'changes2_based on steps'!$B$1:$U$1,AA$1)</f>
        <v>0</v>
      </c>
      <c r="AB293" s="179">
        <f>SUMIFS('recurring2_based on steps'!$B293:$AY293,'recurring2_based on steps'!$B$1:$AY$1,AB$1)+SUMIFS('changes2_based on steps'!$B293:$U293,'changes2_based on steps'!$B$1:$U$1,AB$1)</f>
        <v>0</v>
      </c>
      <c r="AC293" s="179">
        <f>SUMIFS('recurring2_based on steps'!$B293:$AY293,'recurring2_based on steps'!$B$1:$AY$1,AC$1)+SUMIFS('changes2_based on steps'!$B293:$U293,'changes2_based on steps'!$B$1:$U$1,AC$1)</f>
        <v>0</v>
      </c>
      <c r="AD293" s="179">
        <f>SUMIFS('recurring2_based on steps'!$B293:$AY293,'recurring2_based on steps'!$B$1:$AY$1,AD$1)+SUMIFS('changes2_based on steps'!$B293:$U293,'changes2_based on steps'!$B$1:$U$1,AD$1)</f>
        <v>0</v>
      </c>
      <c r="AE293" s="179">
        <f>SUMIFS('recurring2_based on steps'!$B293:$AY293,'recurring2_based on steps'!$B$1:$AY$1,AE$1)+SUMIFS('changes2_based on steps'!$B293:$U293,'changes2_based on steps'!$B$1:$U$1,AE$1)</f>
        <v>0</v>
      </c>
      <c r="AF293" s="179"/>
      <c r="AG293" s="179"/>
      <c r="AH293" s="179"/>
      <c r="AI293" s="179"/>
      <c r="AJ293" s="179"/>
      <c r="AK293" s="179"/>
      <c r="AL293" s="179"/>
      <c r="AM293" s="179"/>
    </row>
    <row r="294" spans="1:39" x14ac:dyDescent="0.2">
      <c r="A294" s="32">
        <f t="shared" ca="1" si="4"/>
        <v>46043</v>
      </c>
      <c r="B294" s="179">
        <f>SUMIFS('recurring2_based on steps'!$B294:$AY294,'recurring2_based on steps'!$B$1:$AY$1,B$1)+SUMIFS('changes2_based on steps'!$B294:$U294,'changes2_based on steps'!$B$1:$U$1,B$1)</f>
        <v>0</v>
      </c>
      <c r="C294" s="179">
        <f>SUMIFS('recurring2_based on steps'!$B294:$AY294,'recurring2_based on steps'!$B$1:$AY$1,C$1)+SUMIFS('changes2_based on steps'!$B294:$U294,'changes2_based on steps'!$B$1:$U$1,C$1)</f>
        <v>0</v>
      </c>
      <c r="D294" s="179">
        <f>SUMIFS('recurring2_based on steps'!$B294:$AY294,'recurring2_based on steps'!$B$1:$AY$1,D$1)+SUMIFS('changes2_based on steps'!$B294:$U294,'changes2_based on steps'!$B$1:$U$1,D$1)</f>
        <v>0</v>
      </c>
      <c r="E294" s="179">
        <f>SUMIFS('recurring2_based on steps'!$B294:$AY294,'recurring2_based on steps'!$B$1:$AY$1,E$1)+SUMIFS('changes2_based on steps'!$B294:$U294,'changes2_based on steps'!$B$1:$U$1,E$1)</f>
        <v>0</v>
      </c>
      <c r="F294" s="179">
        <f>SUMIFS('recurring2_based on steps'!$B294:$AY294,'recurring2_based on steps'!$B$1:$AY$1,F$1)+SUMIFS('changes2_based on steps'!$B294:$U294,'changes2_based on steps'!$B$1:$U$1,F$1)</f>
        <v>0</v>
      </c>
      <c r="G294" s="179">
        <f>SUMIFS('recurring2_based on steps'!$B294:$AY294,'recurring2_based on steps'!$B$1:$AY$1,G$1)+SUMIFS('changes2_based on steps'!$B294:$U294,'changes2_based on steps'!$B$1:$U$1,G$1)</f>
        <v>0</v>
      </c>
      <c r="H294" s="179">
        <f>SUMIFS('recurring2_based on steps'!$B294:$AY294,'recurring2_based on steps'!$B$1:$AY$1,H$1)+SUMIFS('changes2_based on steps'!$B294:$U294,'changes2_based on steps'!$B$1:$U$1,H$1)</f>
        <v>0</v>
      </c>
      <c r="I294" s="179">
        <f>SUMIFS('recurring2_based on steps'!$B294:$AY294,'recurring2_based on steps'!$B$1:$AY$1,I$1)+SUMIFS('changes2_based on steps'!$B294:$U294,'changes2_based on steps'!$B$1:$U$1,I$1)</f>
        <v>0</v>
      </c>
      <c r="J294" s="179">
        <f>SUMIFS('recurring2_based on steps'!$B294:$AY294,'recurring2_based on steps'!$B$1:$AY$1,J$1)+SUMIFS('changes2_based on steps'!$B294:$U294,'changes2_based on steps'!$B$1:$U$1,J$1)</f>
        <v>0</v>
      </c>
      <c r="K294" s="179">
        <f>SUMIFS('recurring2_based on steps'!$B294:$AY294,'recurring2_based on steps'!$B$1:$AY$1,K$1)+SUMIFS('changes2_based on steps'!$B294:$U294,'changes2_based on steps'!$B$1:$U$1,K$1)</f>
        <v>0</v>
      </c>
      <c r="L294" s="179">
        <f>SUMIFS('recurring2_based on steps'!$B294:$AY294,'recurring2_based on steps'!$B$1:$AY$1,L$1)+SUMIFS('changes2_based on steps'!$B294:$U294,'changes2_based on steps'!$B$1:$U$1,L$1)</f>
        <v>0</v>
      </c>
      <c r="M294" s="179">
        <f>SUMIFS('recurring2_based on steps'!$B294:$AY294,'recurring2_based on steps'!$B$1:$AY$1,M$1)+SUMIFS('changes2_based on steps'!$B294:$U294,'changes2_based on steps'!$B$1:$U$1,M$1)</f>
        <v>0</v>
      </c>
      <c r="N294" s="179">
        <f>SUMIFS('recurring2_based on steps'!$B294:$AY294,'recurring2_based on steps'!$B$1:$AY$1,N$1)+SUMIFS('changes2_based on steps'!$B294:$U294,'changes2_based on steps'!$B$1:$U$1,N$1)</f>
        <v>0</v>
      </c>
      <c r="O294" s="179">
        <f>SUMIFS('recurring2_based on steps'!$B294:$AY294,'recurring2_based on steps'!$B$1:$AY$1,O$1)+SUMIFS('changes2_based on steps'!$B294:$U294,'changes2_based on steps'!$B$1:$U$1,O$1)</f>
        <v>0</v>
      </c>
      <c r="P294" s="179">
        <f>SUMIFS('recurring2_based on steps'!$B294:$AY294,'recurring2_based on steps'!$B$1:$AY$1,P$1)+SUMIFS('changes2_based on steps'!$B294:$U294,'changes2_based on steps'!$B$1:$U$1,P$1)</f>
        <v>0</v>
      </c>
      <c r="Q294" s="179">
        <f>SUMIFS('recurring2_based on steps'!$B294:$AY294,'recurring2_based on steps'!$B$1:$AY$1,Q$1)+SUMIFS('changes2_based on steps'!$B294:$U294,'changes2_based on steps'!$B$1:$U$1,Q$1)</f>
        <v>0</v>
      </c>
      <c r="R294" s="179">
        <f>SUMIFS('recurring2_based on steps'!$B294:$AY294,'recurring2_based on steps'!$B$1:$AY$1,R$1)+SUMIFS('changes2_based on steps'!$B294:$U294,'changes2_based on steps'!$B$1:$U$1,R$1)</f>
        <v>0</v>
      </c>
      <c r="S294" s="179">
        <f>SUMIFS('recurring2_based on steps'!$B294:$AY294,'recurring2_based on steps'!$B$1:$AY$1,S$1)+SUMIFS('changes2_based on steps'!$B294:$U294,'changes2_based on steps'!$B$1:$U$1,S$1)</f>
        <v>0</v>
      </c>
      <c r="T294" s="179">
        <f>SUMIFS('recurring2_based on steps'!$B294:$AY294,'recurring2_based on steps'!$B$1:$AY$1,T$1)+SUMIFS('changes2_based on steps'!$B294:$U294,'changes2_based on steps'!$B$1:$U$1,T$1)</f>
        <v>0</v>
      </c>
      <c r="U294" s="179">
        <f>SUMIFS('recurring2_based on steps'!$B294:$AY294,'recurring2_based on steps'!$B$1:$AY$1,U$1)+SUMIFS('changes2_based on steps'!$B294:$U294,'changes2_based on steps'!$B$1:$U$1,U$1)</f>
        <v>0</v>
      </c>
      <c r="V294" s="179">
        <f>SUMIFS('recurring2_based on steps'!$B294:$AY294,'recurring2_based on steps'!$B$1:$AY$1,V$1)+SUMIFS('changes2_based on steps'!$B294:$U294,'changes2_based on steps'!$B$1:$U$1,V$1)</f>
        <v>0</v>
      </c>
      <c r="W294" s="179">
        <f>SUMIFS('recurring2_based on steps'!$B294:$AY294,'recurring2_based on steps'!$B$1:$AY$1,W$1)+SUMIFS('changes2_based on steps'!$B294:$U294,'changes2_based on steps'!$B$1:$U$1,W$1)</f>
        <v>0</v>
      </c>
      <c r="X294" s="179">
        <f>SUMIFS('recurring2_based on steps'!$B294:$AY294,'recurring2_based on steps'!$B$1:$AY$1,X$1)+SUMIFS('changes2_based on steps'!$B294:$U294,'changes2_based on steps'!$B$1:$U$1,X$1)</f>
        <v>0</v>
      </c>
      <c r="Y294" s="179">
        <f>SUMIFS('recurring2_based on steps'!$B294:$AY294,'recurring2_based on steps'!$B$1:$AY$1,Y$1)+SUMIFS('changes2_based on steps'!$B294:$U294,'changes2_based on steps'!$B$1:$U$1,Y$1)</f>
        <v>0</v>
      </c>
      <c r="Z294" s="179">
        <f>SUMIFS('recurring2_based on steps'!$B294:$AY294,'recurring2_based on steps'!$B$1:$AY$1,Z$1)+SUMIFS('changes2_based on steps'!$B294:$U294,'changes2_based on steps'!$B$1:$U$1,Z$1)</f>
        <v>0</v>
      </c>
      <c r="AA294" s="179">
        <f>SUMIFS('recurring2_based on steps'!$B294:$AY294,'recurring2_based on steps'!$B$1:$AY$1,AA$1)+SUMIFS('changes2_based on steps'!$B294:$U294,'changes2_based on steps'!$B$1:$U$1,AA$1)</f>
        <v>0</v>
      </c>
      <c r="AB294" s="179">
        <f>SUMIFS('recurring2_based on steps'!$B294:$AY294,'recurring2_based on steps'!$B$1:$AY$1,AB$1)+SUMIFS('changes2_based on steps'!$B294:$U294,'changes2_based on steps'!$B$1:$U$1,AB$1)</f>
        <v>0</v>
      </c>
      <c r="AC294" s="179">
        <f>SUMIFS('recurring2_based on steps'!$B294:$AY294,'recurring2_based on steps'!$B$1:$AY$1,AC$1)+SUMIFS('changes2_based on steps'!$B294:$U294,'changes2_based on steps'!$B$1:$U$1,AC$1)</f>
        <v>0</v>
      </c>
      <c r="AD294" s="179">
        <f>SUMIFS('recurring2_based on steps'!$B294:$AY294,'recurring2_based on steps'!$B$1:$AY$1,AD$1)+SUMIFS('changes2_based on steps'!$B294:$U294,'changes2_based on steps'!$B$1:$U$1,AD$1)</f>
        <v>0</v>
      </c>
      <c r="AE294" s="179">
        <f>SUMIFS('recurring2_based on steps'!$B294:$AY294,'recurring2_based on steps'!$B$1:$AY$1,AE$1)+SUMIFS('changes2_based on steps'!$B294:$U294,'changes2_based on steps'!$B$1:$U$1,AE$1)</f>
        <v>0</v>
      </c>
      <c r="AF294" s="179"/>
      <c r="AG294" s="179"/>
      <c r="AH294" s="179"/>
      <c r="AI294" s="179"/>
      <c r="AJ294" s="179"/>
      <c r="AK294" s="179"/>
      <c r="AL294" s="179"/>
      <c r="AM294" s="179"/>
    </row>
    <row r="295" spans="1:39" x14ac:dyDescent="0.2">
      <c r="A295" s="32">
        <f t="shared" ca="1" si="4"/>
        <v>46044</v>
      </c>
      <c r="B295" s="179">
        <f>SUMIFS('recurring2_based on steps'!$B295:$AY295,'recurring2_based on steps'!$B$1:$AY$1,B$1)+SUMIFS('changes2_based on steps'!$B295:$U295,'changes2_based on steps'!$B$1:$U$1,B$1)</f>
        <v>0</v>
      </c>
      <c r="C295" s="179">
        <f>SUMIFS('recurring2_based on steps'!$B295:$AY295,'recurring2_based on steps'!$B$1:$AY$1,C$1)+SUMIFS('changes2_based on steps'!$B295:$U295,'changes2_based on steps'!$B$1:$U$1,C$1)</f>
        <v>0</v>
      </c>
      <c r="D295" s="179">
        <f>SUMIFS('recurring2_based on steps'!$B295:$AY295,'recurring2_based on steps'!$B$1:$AY$1,D$1)+SUMIFS('changes2_based on steps'!$B295:$U295,'changes2_based on steps'!$B$1:$U$1,D$1)</f>
        <v>0</v>
      </c>
      <c r="E295" s="179">
        <f>SUMIFS('recurring2_based on steps'!$B295:$AY295,'recurring2_based on steps'!$B$1:$AY$1,E$1)+SUMIFS('changes2_based on steps'!$B295:$U295,'changes2_based on steps'!$B$1:$U$1,E$1)</f>
        <v>0</v>
      </c>
      <c r="F295" s="179">
        <f>SUMIFS('recurring2_based on steps'!$B295:$AY295,'recurring2_based on steps'!$B$1:$AY$1,F$1)+SUMIFS('changes2_based on steps'!$B295:$U295,'changes2_based on steps'!$B$1:$U$1,F$1)</f>
        <v>0</v>
      </c>
      <c r="G295" s="179">
        <f>SUMIFS('recurring2_based on steps'!$B295:$AY295,'recurring2_based on steps'!$B$1:$AY$1,G$1)+SUMIFS('changes2_based on steps'!$B295:$U295,'changes2_based on steps'!$B$1:$U$1,G$1)</f>
        <v>0</v>
      </c>
      <c r="H295" s="179">
        <f>SUMIFS('recurring2_based on steps'!$B295:$AY295,'recurring2_based on steps'!$B$1:$AY$1,H$1)+SUMIFS('changes2_based on steps'!$B295:$U295,'changes2_based on steps'!$B$1:$U$1,H$1)</f>
        <v>0</v>
      </c>
      <c r="I295" s="179">
        <f>SUMIFS('recurring2_based on steps'!$B295:$AY295,'recurring2_based on steps'!$B$1:$AY$1,I$1)+SUMIFS('changes2_based on steps'!$B295:$U295,'changes2_based on steps'!$B$1:$U$1,I$1)</f>
        <v>0</v>
      </c>
      <c r="J295" s="179">
        <f>SUMIFS('recurring2_based on steps'!$B295:$AY295,'recurring2_based on steps'!$B$1:$AY$1,J$1)+SUMIFS('changes2_based on steps'!$B295:$U295,'changes2_based on steps'!$B$1:$U$1,J$1)</f>
        <v>0</v>
      </c>
      <c r="K295" s="179">
        <f>SUMIFS('recurring2_based on steps'!$B295:$AY295,'recurring2_based on steps'!$B$1:$AY$1,K$1)+SUMIFS('changes2_based on steps'!$B295:$U295,'changes2_based on steps'!$B$1:$U$1,K$1)</f>
        <v>0</v>
      </c>
      <c r="L295" s="179">
        <f>SUMIFS('recurring2_based on steps'!$B295:$AY295,'recurring2_based on steps'!$B$1:$AY$1,L$1)+SUMIFS('changes2_based on steps'!$B295:$U295,'changes2_based on steps'!$B$1:$U$1,L$1)</f>
        <v>0</v>
      </c>
      <c r="M295" s="179">
        <f>SUMIFS('recurring2_based on steps'!$B295:$AY295,'recurring2_based on steps'!$B$1:$AY$1,M$1)+SUMIFS('changes2_based on steps'!$B295:$U295,'changes2_based on steps'!$B$1:$U$1,M$1)</f>
        <v>0</v>
      </c>
      <c r="N295" s="179">
        <f>SUMIFS('recurring2_based on steps'!$B295:$AY295,'recurring2_based on steps'!$B$1:$AY$1,N$1)+SUMIFS('changes2_based on steps'!$B295:$U295,'changes2_based on steps'!$B$1:$U$1,N$1)</f>
        <v>0</v>
      </c>
      <c r="O295" s="179">
        <f>SUMIFS('recurring2_based on steps'!$B295:$AY295,'recurring2_based on steps'!$B$1:$AY$1,O$1)+SUMIFS('changes2_based on steps'!$B295:$U295,'changes2_based on steps'!$B$1:$U$1,O$1)</f>
        <v>0</v>
      </c>
      <c r="P295" s="179">
        <f>SUMIFS('recurring2_based on steps'!$B295:$AY295,'recurring2_based on steps'!$B$1:$AY$1,P$1)+SUMIFS('changes2_based on steps'!$B295:$U295,'changes2_based on steps'!$B$1:$U$1,P$1)</f>
        <v>0</v>
      </c>
      <c r="Q295" s="179">
        <f>SUMIFS('recurring2_based on steps'!$B295:$AY295,'recurring2_based on steps'!$B$1:$AY$1,Q$1)+SUMIFS('changes2_based on steps'!$B295:$U295,'changes2_based on steps'!$B$1:$U$1,Q$1)</f>
        <v>0</v>
      </c>
      <c r="R295" s="179">
        <f>SUMIFS('recurring2_based on steps'!$B295:$AY295,'recurring2_based on steps'!$B$1:$AY$1,R$1)+SUMIFS('changes2_based on steps'!$B295:$U295,'changes2_based on steps'!$B$1:$U$1,R$1)</f>
        <v>0</v>
      </c>
      <c r="S295" s="179">
        <f>SUMIFS('recurring2_based on steps'!$B295:$AY295,'recurring2_based on steps'!$B$1:$AY$1,S$1)+SUMIFS('changes2_based on steps'!$B295:$U295,'changes2_based on steps'!$B$1:$U$1,S$1)</f>
        <v>0</v>
      </c>
      <c r="T295" s="179">
        <f>SUMIFS('recurring2_based on steps'!$B295:$AY295,'recurring2_based on steps'!$B$1:$AY$1,T$1)+SUMIFS('changes2_based on steps'!$B295:$U295,'changes2_based on steps'!$B$1:$U$1,T$1)</f>
        <v>0</v>
      </c>
      <c r="U295" s="179">
        <f>SUMIFS('recurring2_based on steps'!$B295:$AY295,'recurring2_based on steps'!$B$1:$AY$1,U$1)+SUMIFS('changes2_based on steps'!$B295:$U295,'changes2_based on steps'!$B$1:$U$1,U$1)</f>
        <v>0</v>
      </c>
      <c r="V295" s="179">
        <f>SUMIFS('recurring2_based on steps'!$B295:$AY295,'recurring2_based on steps'!$B$1:$AY$1,V$1)+SUMIFS('changes2_based on steps'!$B295:$U295,'changes2_based on steps'!$B$1:$U$1,V$1)</f>
        <v>0</v>
      </c>
      <c r="W295" s="179">
        <f>SUMIFS('recurring2_based on steps'!$B295:$AY295,'recurring2_based on steps'!$B$1:$AY$1,W$1)+SUMIFS('changes2_based on steps'!$B295:$U295,'changes2_based on steps'!$B$1:$U$1,W$1)</f>
        <v>0</v>
      </c>
      <c r="X295" s="179">
        <f>SUMIFS('recurring2_based on steps'!$B295:$AY295,'recurring2_based on steps'!$B$1:$AY$1,X$1)+SUMIFS('changes2_based on steps'!$B295:$U295,'changes2_based on steps'!$B$1:$U$1,X$1)</f>
        <v>0</v>
      </c>
      <c r="Y295" s="179">
        <f>SUMIFS('recurring2_based on steps'!$B295:$AY295,'recurring2_based on steps'!$B$1:$AY$1,Y$1)+SUMIFS('changes2_based on steps'!$B295:$U295,'changes2_based on steps'!$B$1:$U$1,Y$1)</f>
        <v>0</v>
      </c>
      <c r="Z295" s="179">
        <f>SUMIFS('recurring2_based on steps'!$B295:$AY295,'recurring2_based on steps'!$B$1:$AY$1,Z$1)+SUMIFS('changes2_based on steps'!$B295:$U295,'changes2_based on steps'!$B$1:$U$1,Z$1)</f>
        <v>0</v>
      </c>
      <c r="AA295" s="179">
        <f>SUMIFS('recurring2_based on steps'!$B295:$AY295,'recurring2_based on steps'!$B$1:$AY$1,AA$1)+SUMIFS('changes2_based on steps'!$B295:$U295,'changes2_based on steps'!$B$1:$U$1,AA$1)</f>
        <v>0</v>
      </c>
      <c r="AB295" s="179">
        <f>SUMIFS('recurring2_based on steps'!$B295:$AY295,'recurring2_based on steps'!$B$1:$AY$1,AB$1)+SUMIFS('changes2_based on steps'!$B295:$U295,'changes2_based on steps'!$B$1:$U$1,AB$1)</f>
        <v>0</v>
      </c>
      <c r="AC295" s="179">
        <f>SUMIFS('recurring2_based on steps'!$B295:$AY295,'recurring2_based on steps'!$B$1:$AY$1,AC$1)+SUMIFS('changes2_based on steps'!$B295:$U295,'changes2_based on steps'!$B$1:$U$1,AC$1)</f>
        <v>0</v>
      </c>
      <c r="AD295" s="179">
        <f>SUMIFS('recurring2_based on steps'!$B295:$AY295,'recurring2_based on steps'!$B$1:$AY$1,AD$1)+SUMIFS('changes2_based on steps'!$B295:$U295,'changes2_based on steps'!$B$1:$U$1,AD$1)</f>
        <v>0</v>
      </c>
      <c r="AE295" s="179">
        <f>SUMIFS('recurring2_based on steps'!$B295:$AY295,'recurring2_based on steps'!$B$1:$AY$1,AE$1)+SUMIFS('changes2_based on steps'!$B295:$U295,'changes2_based on steps'!$B$1:$U$1,AE$1)</f>
        <v>0</v>
      </c>
      <c r="AF295" s="179"/>
      <c r="AG295" s="179"/>
      <c r="AH295" s="179"/>
      <c r="AI295" s="179"/>
      <c r="AJ295" s="179"/>
      <c r="AK295" s="179"/>
      <c r="AL295" s="179"/>
      <c r="AM295" s="179"/>
    </row>
    <row r="296" spans="1:39" x14ac:dyDescent="0.2">
      <c r="A296" s="32">
        <f t="shared" ca="1" si="4"/>
        <v>46045</v>
      </c>
      <c r="B296" s="179">
        <f>SUMIFS('recurring2_based on steps'!$B296:$AY296,'recurring2_based on steps'!$B$1:$AY$1,B$1)+SUMIFS('changes2_based on steps'!$B296:$U296,'changes2_based on steps'!$B$1:$U$1,B$1)</f>
        <v>0</v>
      </c>
      <c r="C296" s="179">
        <f>SUMIFS('recurring2_based on steps'!$B296:$AY296,'recurring2_based on steps'!$B$1:$AY$1,C$1)+SUMIFS('changes2_based on steps'!$B296:$U296,'changes2_based on steps'!$B$1:$U$1,C$1)</f>
        <v>0</v>
      </c>
      <c r="D296" s="179">
        <f>SUMIFS('recurring2_based on steps'!$B296:$AY296,'recurring2_based on steps'!$B$1:$AY$1,D$1)+SUMIFS('changes2_based on steps'!$B296:$U296,'changes2_based on steps'!$B$1:$U$1,D$1)</f>
        <v>0</v>
      </c>
      <c r="E296" s="179">
        <f>SUMIFS('recurring2_based on steps'!$B296:$AY296,'recurring2_based on steps'!$B$1:$AY$1,E$1)+SUMIFS('changes2_based on steps'!$B296:$U296,'changes2_based on steps'!$B$1:$U$1,E$1)</f>
        <v>0</v>
      </c>
      <c r="F296" s="179">
        <f>SUMIFS('recurring2_based on steps'!$B296:$AY296,'recurring2_based on steps'!$B$1:$AY$1,F$1)+SUMIFS('changes2_based on steps'!$B296:$U296,'changes2_based on steps'!$B$1:$U$1,F$1)</f>
        <v>0</v>
      </c>
      <c r="G296" s="179">
        <f>SUMIFS('recurring2_based on steps'!$B296:$AY296,'recurring2_based on steps'!$B$1:$AY$1,G$1)+SUMIFS('changes2_based on steps'!$B296:$U296,'changes2_based on steps'!$B$1:$U$1,G$1)</f>
        <v>0</v>
      </c>
      <c r="H296" s="179">
        <f>SUMIFS('recurring2_based on steps'!$B296:$AY296,'recurring2_based on steps'!$B$1:$AY$1,H$1)+SUMIFS('changes2_based on steps'!$B296:$U296,'changes2_based on steps'!$B$1:$U$1,H$1)</f>
        <v>0</v>
      </c>
      <c r="I296" s="179">
        <f>SUMIFS('recurring2_based on steps'!$B296:$AY296,'recurring2_based on steps'!$B$1:$AY$1,I$1)+SUMIFS('changes2_based on steps'!$B296:$U296,'changes2_based on steps'!$B$1:$U$1,I$1)</f>
        <v>0</v>
      </c>
      <c r="J296" s="179">
        <f>SUMIFS('recurring2_based on steps'!$B296:$AY296,'recurring2_based on steps'!$B$1:$AY$1,J$1)+SUMIFS('changes2_based on steps'!$B296:$U296,'changes2_based on steps'!$B$1:$U$1,J$1)</f>
        <v>0</v>
      </c>
      <c r="K296" s="179">
        <f>SUMIFS('recurring2_based on steps'!$B296:$AY296,'recurring2_based on steps'!$B$1:$AY$1,K$1)+SUMIFS('changes2_based on steps'!$B296:$U296,'changes2_based on steps'!$B$1:$U$1,K$1)</f>
        <v>0</v>
      </c>
      <c r="L296" s="179">
        <f>SUMIFS('recurring2_based on steps'!$B296:$AY296,'recurring2_based on steps'!$B$1:$AY$1,L$1)+SUMIFS('changes2_based on steps'!$B296:$U296,'changes2_based on steps'!$B$1:$U$1,L$1)</f>
        <v>0</v>
      </c>
      <c r="M296" s="179">
        <f>SUMIFS('recurring2_based on steps'!$B296:$AY296,'recurring2_based on steps'!$B$1:$AY$1,M$1)+SUMIFS('changes2_based on steps'!$B296:$U296,'changes2_based on steps'!$B$1:$U$1,M$1)</f>
        <v>0</v>
      </c>
      <c r="N296" s="179">
        <f>SUMIFS('recurring2_based on steps'!$B296:$AY296,'recurring2_based on steps'!$B$1:$AY$1,N$1)+SUMIFS('changes2_based on steps'!$B296:$U296,'changes2_based on steps'!$B$1:$U$1,N$1)</f>
        <v>0</v>
      </c>
      <c r="O296" s="179">
        <f>SUMIFS('recurring2_based on steps'!$B296:$AY296,'recurring2_based on steps'!$B$1:$AY$1,O$1)+SUMIFS('changes2_based on steps'!$B296:$U296,'changes2_based on steps'!$B$1:$U$1,O$1)</f>
        <v>0</v>
      </c>
      <c r="P296" s="179">
        <f>SUMIFS('recurring2_based on steps'!$B296:$AY296,'recurring2_based on steps'!$B$1:$AY$1,P$1)+SUMIFS('changes2_based on steps'!$B296:$U296,'changes2_based on steps'!$B$1:$U$1,P$1)</f>
        <v>0</v>
      </c>
      <c r="Q296" s="179">
        <f>SUMIFS('recurring2_based on steps'!$B296:$AY296,'recurring2_based on steps'!$B$1:$AY$1,Q$1)+SUMIFS('changes2_based on steps'!$B296:$U296,'changes2_based on steps'!$B$1:$U$1,Q$1)</f>
        <v>0</v>
      </c>
      <c r="R296" s="179">
        <f>SUMIFS('recurring2_based on steps'!$B296:$AY296,'recurring2_based on steps'!$B$1:$AY$1,R$1)+SUMIFS('changes2_based on steps'!$B296:$U296,'changes2_based on steps'!$B$1:$U$1,R$1)</f>
        <v>0</v>
      </c>
      <c r="S296" s="179">
        <f>SUMIFS('recurring2_based on steps'!$B296:$AY296,'recurring2_based on steps'!$B$1:$AY$1,S$1)+SUMIFS('changes2_based on steps'!$B296:$U296,'changes2_based on steps'!$B$1:$U$1,S$1)</f>
        <v>0</v>
      </c>
      <c r="T296" s="179">
        <f>SUMIFS('recurring2_based on steps'!$B296:$AY296,'recurring2_based on steps'!$B$1:$AY$1,T$1)+SUMIFS('changes2_based on steps'!$B296:$U296,'changes2_based on steps'!$B$1:$U$1,T$1)</f>
        <v>0</v>
      </c>
      <c r="U296" s="179">
        <f>SUMIFS('recurring2_based on steps'!$B296:$AY296,'recurring2_based on steps'!$B$1:$AY$1,U$1)+SUMIFS('changes2_based on steps'!$B296:$U296,'changes2_based on steps'!$B$1:$U$1,U$1)</f>
        <v>0</v>
      </c>
      <c r="V296" s="179">
        <f>SUMIFS('recurring2_based on steps'!$B296:$AY296,'recurring2_based on steps'!$B$1:$AY$1,V$1)+SUMIFS('changes2_based on steps'!$B296:$U296,'changes2_based on steps'!$B$1:$U$1,V$1)</f>
        <v>0</v>
      </c>
      <c r="W296" s="179">
        <f>SUMIFS('recurring2_based on steps'!$B296:$AY296,'recurring2_based on steps'!$B$1:$AY$1,W$1)+SUMIFS('changes2_based on steps'!$B296:$U296,'changes2_based on steps'!$B$1:$U$1,W$1)</f>
        <v>0</v>
      </c>
      <c r="X296" s="179">
        <f>SUMIFS('recurring2_based on steps'!$B296:$AY296,'recurring2_based on steps'!$B$1:$AY$1,X$1)+SUMIFS('changes2_based on steps'!$B296:$U296,'changes2_based on steps'!$B$1:$U$1,X$1)</f>
        <v>0</v>
      </c>
      <c r="Y296" s="179">
        <f>SUMIFS('recurring2_based on steps'!$B296:$AY296,'recurring2_based on steps'!$B$1:$AY$1,Y$1)+SUMIFS('changes2_based on steps'!$B296:$U296,'changes2_based on steps'!$B$1:$U$1,Y$1)</f>
        <v>0</v>
      </c>
      <c r="Z296" s="179">
        <f>SUMIFS('recurring2_based on steps'!$B296:$AY296,'recurring2_based on steps'!$B$1:$AY$1,Z$1)+SUMIFS('changes2_based on steps'!$B296:$U296,'changes2_based on steps'!$B$1:$U$1,Z$1)</f>
        <v>0</v>
      </c>
      <c r="AA296" s="179">
        <f>SUMIFS('recurring2_based on steps'!$B296:$AY296,'recurring2_based on steps'!$B$1:$AY$1,AA$1)+SUMIFS('changes2_based on steps'!$B296:$U296,'changes2_based on steps'!$B$1:$U$1,AA$1)</f>
        <v>0</v>
      </c>
      <c r="AB296" s="179">
        <f>SUMIFS('recurring2_based on steps'!$B296:$AY296,'recurring2_based on steps'!$B$1:$AY$1,AB$1)+SUMIFS('changes2_based on steps'!$B296:$U296,'changes2_based on steps'!$B$1:$U$1,AB$1)</f>
        <v>0</v>
      </c>
      <c r="AC296" s="179">
        <f>SUMIFS('recurring2_based on steps'!$B296:$AY296,'recurring2_based on steps'!$B$1:$AY$1,AC$1)+SUMIFS('changes2_based on steps'!$B296:$U296,'changes2_based on steps'!$B$1:$U$1,AC$1)</f>
        <v>0</v>
      </c>
      <c r="AD296" s="179">
        <f>SUMIFS('recurring2_based on steps'!$B296:$AY296,'recurring2_based on steps'!$B$1:$AY$1,AD$1)+SUMIFS('changes2_based on steps'!$B296:$U296,'changes2_based on steps'!$B$1:$U$1,AD$1)</f>
        <v>0</v>
      </c>
      <c r="AE296" s="179">
        <f>SUMIFS('recurring2_based on steps'!$B296:$AY296,'recurring2_based on steps'!$B$1:$AY$1,AE$1)+SUMIFS('changes2_based on steps'!$B296:$U296,'changes2_based on steps'!$B$1:$U$1,AE$1)</f>
        <v>0</v>
      </c>
      <c r="AF296" s="179"/>
      <c r="AG296" s="179"/>
      <c r="AH296" s="179"/>
      <c r="AI296" s="179"/>
      <c r="AJ296" s="179"/>
      <c r="AK296" s="179"/>
      <c r="AL296" s="179"/>
      <c r="AM296" s="179"/>
    </row>
    <row r="297" spans="1:39" x14ac:dyDescent="0.2">
      <c r="A297" s="32">
        <f t="shared" ca="1" si="4"/>
        <v>46046</v>
      </c>
      <c r="B297" s="179">
        <f>SUMIFS('recurring2_based on steps'!$B297:$AY297,'recurring2_based on steps'!$B$1:$AY$1,B$1)+SUMIFS('changes2_based on steps'!$B297:$U297,'changes2_based on steps'!$B$1:$U$1,B$1)</f>
        <v>0</v>
      </c>
      <c r="C297" s="179">
        <f>SUMIFS('recurring2_based on steps'!$B297:$AY297,'recurring2_based on steps'!$B$1:$AY$1,C$1)+SUMIFS('changes2_based on steps'!$B297:$U297,'changes2_based on steps'!$B$1:$U$1,C$1)</f>
        <v>0</v>
      </c>
      <c r="D297" s="179">
        <f>SUMIFS('recurring2_based on steps'!$B297:$AY297,'recurring2_based on steps'!$B$1:$AY$1,D$1)+SUMIFS('changes2_based on steps'!$B297:$U297,'changes2_based on steps'!$B$1:$U$1,D$1)</f>
        <v>0</v>
      </c>
      <c r="E297" s="179">
        <f>SUMIFS('recurring2_based on steps'!$B297:$AY297,'recurring2_based on steps'!$B$1:$AY$1,E$1)+SUMIFS('changes2_based on steps'!$B297:$U297,'changes2_based on steps'!$B$1:$U$1,E$1)</f>
        <v>0</v>
      </c>
      <c r="F297" s="179">
        <f>SUMIFS('recurring2_based on steps'!$B297:$AY297,'recurring2_based on steps'!$B$1:$AY$1,F$1)+SUMIFS('changes2_based on steps'!$B297:$U297,'changes2_based on steps'!$B$1:$U$1,F$1)</f>
        <v>0</v>
      </c>
      <c r="G297" s="179">
        <f>SUMIFS('recurring2_based on steps'!$B297:$AY297,'recurring2_based on steps'!$B$1:$AY$1,G$1)+SUMIFS('changes2_based on steps'!$B297:$U297,'changes2_based on steps'!$B$1:$U$1,G$1)</f>
        <v>0</v>
      </c>
      <c r="H297" s="179">
        <f>SUMIFS('recurring2_based on steps'!$B297:$AY297,'recurring2_based on steps'!$B$1:$AY$1,H$1)+SUMIFS('changes2_based on steps'!$B297:$U297,'changes2_based on steps'!$B$1:$U$1,H$1)</f>
        <v>0</v>
      </c>
      <c r="I297" s="179">
        <f>SUMIFS('recurring2_based on steps'!$B297:$AY297,'recurring2_based on steps'!$B$1:$AY$1,I$1)+SUMIFS('changes2_based on steps'!$B297:$U297,'changes2_based on steps'!$B$1:$U$1,I$1)</f>
        <v>0</v>
      </c>
      <c r="J297" s="179">
        <f>SUMIFS('recurring2_based on steps'!$B297:$AY297,'recurring2_based on steps'!$B$1:$AY$1,J$1)+SUMIFS('changes2_based on steps'!$B297:$U297,'changes2_based on steps'!$B$1:$U$1,J$1)</f>
        <v>0</v>
      </c>
      <c r="K297" s="179">
        <f>SUMIFS('recurring2_based on steps'!$B297:$AY297,'recurring2_based on steps'!$B$1:$AY$1,K$1)+SUMIFS('changes2_based on steps'!$B297:$U297,'changes2_based on steps'!$B$1:$U$1,K$1)</f>
        <v>0</v>
      </c>
      <c r="L297" s="179">
        <f>SUMIFS('recurring2_based on steps'!$B297:$AY297,'recurring2_based on steps'!$B$1:$AY$1,L$1)+SUMIFS('changes2_based on steps'!$B297:$U297,'changes2_based on steps'!$B$1:$U$1,L$1)</f>
        <v>0</v>
      </c>
      <c r="M297" s="179">
        <f>SUMIFS('recurring2_based on steps'!$B297:$AY297,'recurring2_based on steps'!$B$1:$AY$1,M$1)+SUMIFS('changes2_based on steps'!$B297:$U297,'changes2_based on steps'!$B$1:$U$1,M$1)</f>
        <v>0</v>
      </c>
      <c r="N297" s="179">
        <f>SUMIFS('recurring2_based on steps'!$B297:$AY297,'recurring2_based on steps'!$B$1:$AY$1,N$1)+SUMIFS('changes2_based on steps'!$B297:$U297,'changes2_based on steps'!$B$1:$U$1,N$1)</f>
        <v>0</v>
      </c>
      <c r="O297" s="179">
        <f>SUMIFS('recurring2_based on steps'!$B297:$AY297,'recurring2_based on steps'!$B$1:$AY$1,O$1)+SUMIFS('changes2_based on steps'!$B297:$U297,'changes2_based on steps'!$B$1:$U$1,O$1)</f>
        <v>0</v>
      </c>
      <c r="P297" s="179">
        <f>SUMIFS('recurring2_based on steps'!$B297:$AY297,'recurring2_based on steps'!$B$1:$AY$1,P$1)+SUMIFS('changes2_based on steps'!$B297:$U297,'changes2_based on steps'!$B$1:$U$1,P$1)</f>
        <v>0</v>
      </c>
      <c r="Q297" s="179">
        <f>SUMIFS('recurring2_based on steps'!$B297:$AY297,'recurring2_based on steps'!$B$1:$AY$1,Q$1)+SUMIFS('changes2_based on steps'!$B297:$U297,'changes2_based on steps'!$B$1:$U$1,Q$1)</f>
        <v>0</v>
      </c>
      <c r="R297" s="179">
        <f>SUMIFS('recurring2_based on steps'!$B297:$AY297,'recurring2_based on steps'!$B$1:$AY$1,R$1)+SUMIFS('changes2_based on steps'!$B297:$U297,'changes2_based on steps'!$B$1:$U$1,R$1)</f>
        <v>0</v>
      </c>
      <c r="S297" s="179">
        <f>SUMIFS('recurring2_based on steps'!$B297:$AY297,'recurring2_based on steps'!$B$1:$AY$1,S$1)+SUMIFS('changes2_based on steps'!$B297:$U297,'changes2_based on steps'!$B$1:$U$1,S$1)</f>
        <v>0</v>
      </c>
      <c r="T297" s="179">
        <f>SUMIFS('recurring2_based on steps'!$B297:$AY297,'recurring2_based on steps'!$B$1:$AY$1,T$1)+SUMIFS('changes2_based on steps'!$B297:$U297,'changes2_based on steps'!$B$1:$U$1,T$1)</f>
        <v>0</v>
      </c>
      <c r="U297" s="179">
        <f>SUMIFS('recurring2_based on steps'!$B297:$AY297,'recurring2_based on steps'!$B$1:$AY$1,U$1)+SUMIFS('changes2_based on steps'!$B297:$U297,'changes2_based on steps'!$B$1:$U$1,U$1)</f>
        <v>0</v>
      </c>
      <c r="V297" s="179">
        <f>SUMIFS('recurring2_based on steps'!$B297:$AY297,'recurring2_based on steps'!$B$1:$AY$1,V$1)+SUMIFS('changes2_based on steps'!$B297:$U297,'changes2_based on steps'!$B$1:$U$1,V$1)</f>
        <v>0</v>
      </c>
      <c r="W297" s="179">
        <f>SUMIFS('recurring2_based on steps'!$B297:$AY297,'recurring2_based on steps'!$B$1:$AY$1,W$1)+SUMIFS('changes2_based on steps'!$B297:$U297,'changes2_based on steps'!$B$1:$U$1,W$1)</f>
        <v>0</v>
      </c>
      <c r="X297" s="179">
        <f>SUMIFS('recurring2_based on steps'!$B297:$AY297,'recurring2_based on steps'!$B$1:$AY$1,X$1)+SUMIFS('changes2_based on steps'!$B297:$U297,'changes2_based on steps'!$B$1:$U$1,X$1)</f>
        <v>0</v>
      </c>
      <c r="Y297" s="179">
        <f>SUMIFS('recurring2_based on steps'!$B297:$AY297,'recurring2_based on steps'!$B$1:$AY$1,Y$1)+SUMIFS('changes2_based on steps'!$B297:$U297,'changes2_based on steps'!$B$1:$U$1,Y$1)</f>
        <v>0</v>
      </c>
      <c r="Z297" s="179">
        <f>SUMIFS('recurring2_based on steps'!$B297:$AY297,'recurring2_based on steps'!$B$1:$AY$1,Z$1)+SUMIFS('changes2_based on steps'!$B297:$U297,'changes2_based on steps'!$B$1:$U$1,Z$1)</f>
        <v>0</v>
      </c>
      <c r="AA297" s="179">
        <f>SUMIFS('recurring2_based on steps'!$B297:$AY297,'recurring2_based on steps'!$B$1:$AY$1,AA$1)+SUMIFS('changes2_based on steps'!$B297:$U297,'changes2_based on steps'!$B$1:$U$1,AA$1)</f>
        <v>0</v>
      </c>
      <c r="AB297" s="179">
        <f>SUMIFS('recurring2_based on steps'!$B297:$AY297,'recurring2_based on steps'!$B$1:$AY$1,AB$1)+SUMIFS('changes2_based on steps'!$B297:$U297,'changes2_based on steps'!$B$1:$U$1,AB$1)</f>
        <v>0</v>
      </c>
      <c r="AC297" s="179">
        <f>SUMIFS('recurring2_based on steps'!$B297:$AY297,'recurring2_based on steps'!$B$1:$AY$1,AC$1)+SUMIFS('changes2_based on steps'!$B297:$U297,'changes2_based on steps'!$B$1:$U$1,AC$1)</f>
        <v>0</v>
      </c>
      <c r="AD297" s="179">
        <f>SUMIFS('recurring2_based on steps'!$B297:$AY297,'recurring2_based on steps'!$B$1:$AY$1,AD$1)+SUMIFS('changes2_based on steps'!$B297:$U297,'changes2_based on steps'!$B$1:$U$1,AD$1)</f>
        <v>0</v>
      </c>
      <c r="AE297" s="179">
        <f>SUMIFS('recurring2_based on steps'!$B297:$AY297,'recurring2_based on steps'!$B$1:$AY$1,AE$1)+SUMIFS('changes2_based on steps'!$B297:$U297,'changes2_based on steps'!$B$1:$U$1,AE$1)</f>
        <v>0</v>
      </c>
      <c r="AF297" s="179"/>
      <c r="AG297" s="179"/>
      <c r="AH297" s="179"/>
      <c r="AI297" s="179"/>
      <c r="AJ297" s="179"/>
      <c r="AK297" s="179"/>
      <c r="AL297" s="179"/>
      <c r="AM297" s="179"/>
    </row>
    <row r="298" spans="1:39" x14ac:dyDescent="0.2">
      <c r="A298" s="32">
        <f t="shared" ca="1" si="4"/>
        <v>46047</v>
      </c>
      <c r="B298" s="179">
        <f>SUMIFS('recurring2_based on steps'!$B298:$AY298,'recurring2_based on steps'!$B$1:$AY$1,B$1)+SUMIFS('changes2_based on steps'!$B298:$U298,'changes2_based on steps'!$B$1:$U$1,B$1)</f>
        <v>0</v>
      </c>
      <c r="C298" s="179">
        <f>SUMIFS('recurring2_based on steps'!$B298:$AY298,'recurring2_based on steps'!$B$1:$AY$1,C$1)+SUMIFS('changes2_based on steps'!$B298:$U298,'changes2_based on steps'!$B$1:$U$1,C$1)</f>
        <v>0</v>
      </c>
      <c r="D298" s="179">
        <f>SUMIFS('recurring2_based on steps'!$B298:$AY298,'recurring2_based on steps'!$B$1:$AY$1,D$1)+SUMIFS('changes2_based on steps'!$B298:$U298,'changes2_based on steps'!$B$1:$U$1,D$1)</f>
        <v>0</v>
      </c>
      <c r="E298" s="179">
        <f>SUMIFS('recurring2_based on steps'!$B298:$AY298,'recurring2_based on steps'!$B$1:$AY$1,E$1)+SUMIFS('changes2_based on steps'!$B298:$U298,'changes2_based on steps'!$B$1:$U$1,E$1)</f>
        <v>0</v>
      </c>
      <c r="F298" s="179">
        <f>SUMIFS('recurring2_based on steps'!$B298:$AY298,'recurring2_based on steps'!$B$1:$AY$1,F$1)+SUMIFS('changes2_based on steps'!$B298:$U298,'changes2_based on steps'!$B$1:$U$1,F$1)</f>
        <v>0</v>
      </c>
      <c r="G298" s="179">
        <f>SUMIFS('recurring2_based on steps'!$B298:$AY298,'recurring2_based on steps'!$B$1:$AY$1,G$1)+SUMIFS('changes2_based on steps'!$B298:$U298,'changes2_based on steps'!$B$1:$U$1,G$1)</f>
        <v>0</v>
      </c>
      <c r="H298" s="179">
        <f>SUMIFS('recurring2_based on steps'!$B298:$AY298,'recurring2_based on steps'!$B$1:$AY$1,H$1)+SUMIFS('changes2_based on steps'!$B298:$U298,'changes2_based on steps'!$B$1:$U$1,H$1)</f>
        <v>0</v>
      </c>
      <c r="I298" s="179">
        <f>SUMIFS('recurring2_based on steps'!$B298:$AY298,'recurring2_based on steps'!$B$1:$AY$1,I$1)+SUMIFS('changes2_based on steps'!$B298:$U298,'changes2_based on steps'!$B$1:$U$1,I$1)</f>
        <v>0</v>
      </c>
      <c r="J298" s="179">
        <f>SUMIFS('recurring2_based on steps'!$B298:$AY298,'recurring2_based on steps'!$B$1:$AY$1,J$1)+SUMIFS('changes2_based on steps'!$B298:$U298,'changes2_based on steps'!$B$1:$U$1,J$1)</f>
        <v>0</v>
      </c>
      <c r="K298" s="179">
        <f>SUMIFS('recurring2_based on steps'!$B298:$AY298,'recurring2_based on steps'!$B$1:$AY$1,K$1)+SUMIFS('changes2_based on steps'!$B298:$U298,'changes2_based on steps'!$B$1:$U$1,K$1)</f>
        <v>0</v>
      </c>
      <c r="L298" s="179">
        <f>SUMIFS('recurring2_based on steps'!$B298:$AY298,'recurring2_based on steps'!$B$1:$AY$1,L$1)+SUMIFS('changes2_based on steps'!$B298:$U298,'changes2_based on steps'!$B$1:$U$1,L$1)</f>
        <v>0</v>
      </c>
      <c r="M298" s="179">
        <f>SUMIFS('recurring2_based on steps'!$B298:$AY298,'recurring2_based on steps'!$B$1:$AY$1,M$1)+SUMIFS('changes2_based on steps'!$B298:$U298,'changes2_based on steps'!$B$1:$U$1,M$1)</f>
        <v>0</v>
      </c>
      <c r="N298" s="179">
        <f>SUMIFS('recurring2_based on steps'!$B298:$AY298,'recurring2_based on steps'!$B$1:$AY$1,N$1)+SUMIFS('changes2_based on steps'!$B298:$U298,'changes2_based on steps'!$B$1:$U$1,N$1)</f>
        <v>0</v>
      </c>
      <c r="O298" s="179">
        <f>SUMIFS('recurring2_based on steps'!$B298:$AY298,'recurring2_based on steps'!$B$1:$AY$1,O$1)+SUMIFS('changes2_based on steps'!$B298:$U298,'changes2_based on steps'!$B$1:$U$1,O$1)</f>
        <v>0</v>
      </c>
      <c r="P298" s="179">
        <f>SUMIFS('recurring2_based on steps'!$B298:$AY298,'recurring2_based on steps'!$B$1:$AY$1,P$1)+SUMIFS('changes2_based on steps'!$B298:$U298,'changes2_based on steps'!$B$1:$U$1,P$1)</f>
        <v>0</v>
      </c>
      <c r="Q298" s="179">
        <f>SUMIFS('recurring2_based on steps'!$B298:$AY298,'recurring2_based on steps'!$B$1:$AY$1,Q$1)+SUMIFS('changes2_based on steps'!$B298:$U298,'changes2_based on steps'!$B$1:$U$1,Q$1)</f>
        <v>0</v>
      </c>
      <c r="R298" s="179">
        <f>SUMIFS('recurring2_based on steps'!$B298:$AY298,'recurring2_based on steps'!$B$1:$AY$1,R$1)+SUMIFS('changes2_based on steps'!$B298:$U298,'changes2_based on steps'!$B$1:$U$1,R$1)</f>
        <v>0</v>
      </c>
      <c r="S298" s="179">
        <f>SUMIFS('recurring2_based on steps'!$B298:$AY298,'recurring2_based on steps'!$B$1:$AY$1,S$1)+SUMIFS('changes2_based on steps'!$B298:$U298,'changes2_based on steps'!$B$1:$U$1,S$1)</f>
        <v>0</v>
      </c>
      <c r="T298" s="179">
        <f>SUMIFS('recurring2_based on steps'!$B298:$AY298,'recurring2_based on steps'!$B$1:$AY$1,T$1)+SUMIFS('changes2_based on steps'!$B298:$U298,'changes2_based on steps'!$B$1:$U$1,T$1)</f>
        <v>0</v>
      </c>
      <c r="U298" s="179">
        <f>SUMIFS('recurring2_based on steps'!$B298:$AY298,'recurring2_based on steps'!$B$1:$AY$1,U$1)+SUMIFS('changes2_based on steps'!$B298:$U298,'changes2_based on steps'!$B$1:$U$1,U$1)</f>
        <v>0</v>
      </c>
      <c r="V298" s="179">
        <f>SUMIFS('recurring2_based on steps'!$B298:$AY298,'recurring2_based on steps'!$B$1:$AY$1,V$1)+SUMIFS('changes2_based on steps'!$B298:$U298,'changes2_based on steps'!$B$1:$U$1,V$1)</f>
        <v>0</v>
      </c>
      <c r="W298" s="179">
        <f>SUMIFS('recurring2_based on steps'!$B298:$AY298,'recurring2_based on steps'!$B$1:$AY$1,W$1)+SUMIFS('changes2_based on steps'!$B298:$U298,'changes2_based on steps'!$B$1:$U$1,W$1)</f>
        <v>0</v>
      </c>
      <c r="X298" s="179">
        <f>SUMIFS('recurring2_based on steps'!$B298:$AY298,'recurring2_based on steps'!$B$1:$AY$1,X$1)+SUMIFS('changes2_based on steps'!$B298:$U298,'changes2_based on steps'!$B$1:$U$1,X$1)</f>
        <v>0</v>
      </c>
      <c r="Y298" s="179">
        <f>SUMIFS('recurring2_based on steps'!$B298:$AY298,'recurring2_based on steps'!$B$1:$AY$1,Y$1)+SUMIFS('changes2_based on steps'!$B298:$U298,'changes2_based on steps'!$B$1:$U$1,Y$1)</f>
        <v>0</v>
      </c>
      <c r="Z298" s="179">
        <f>SUMIFS('recurring2_based on steps'!$B298:$AY298,'recurring2_based on steps'!$B$1:$AY$1,Z$1)+SUMIFS('changes2_based on steps'!$B298:$U298,'changes2_based on steps'!$B$1:$U$1,Z$1)</f>
        <v>0</v>
      </c>
      <c r="AA298" s="179">
        <f>SUMIFS('recurring2_based on steps'!$B298:$AY298,'recurring2_based on steps'!$B$1:$AY$1,AA$1)+SUMIFS('changes2_based on steps'!$B298:$U298,'changes2_based on steps'!$B$1:$U$1,AA$1)</f>
        <v>0</v>
      </c>
      <c r="AB298" s="179">
        <f>SUMIFS('recurring2_based on steps'!$B298:$AY298,'recurring2_based on steps'!$B$1:$AY$1,AB$1)+SUMIFS('changes2_based on steps'!$B298:$U298,'changes2_based on steps'!$B$1:$U$1,AB$1)</f>
        <v>0</v>
      </c>
      <c r="AC298" s="179">
        <f>SUMIFS('recurring2_based on steps'!$B298:$AY298,'recurring2_based on steps'!$B$1:$AY$1,AC$1)+SUMIFS('changes2_based on steps'!$B298:$U298,'changes2_based on steps'!$B$1:$U$1,AC$1)</f>
        <v>0</v>
      </c>
      <c r="AD298" s="179">
        <f>SUMIFS('recurring2_based on steps'!$B298:$AY298,'recurring2_based on steps'!$B$1:$AY$1,AD$1)+SUMIFS('changes2_based on steps'!$B298:$U298,'changes2_based on steps'!$B$1:$U$1,AD$1)</f>
        <v>0</v>
      </c>
      <c r="AE298" s="179">
        <f>SUMIFS('recurring2_based on steps'!$B298:$AY298,'recurring2_based on steps'!$B$1:$AY$1,AE$1)+SUMIFS('changes2_based on steps'!$B298:$U298,'changes2_based on steps'!$B$1:$U$1,AE$1)</f>
        <v>0</v>
      </c>
      <c r="AF298" s="179"/>
      <c r="AG298" s="179"/>
      <c r="AH298" s="179"/>
      <c r="AI298" s="179"/>
      <c r="AJ298" s="179"/>
      <c r="AK298" s="179"/>
      <c r="AL298" s="179"/>
      <c r="AM298" s="179"/>
    </row>
    <row r="299" spans="1:39" x14ac:dyDescent="0.2">
      <c r="A299" s="32">
        <f t="shared" ca="1" si="4"/>
        <v>46048</v>
      </c>
      <c r="B299" s="179">
        <f>SUMIFS('recurring2_based on steps'!$B299:$AY299,'recurring2_based on steps'!$B$1:$AY$1,B$1)+SUMIFS('changes2_based on steps'!$B299:$U299,'changes2_based on steps'!$B$1:$U$1,B$1)</f>
        <v>0</v>
      </c>
      <c r="C299" s="179">
        <f>SUMIFS('recurring2_based on steps'!$B299:$AY299,'recurring2_based on steps'!$B$1:$AY$1,C$1)+SUMIFS('changes2_based on steps'!$B299:$U299,'changes2_based on steps'!$B$1:$U$1,C$1)</f>
        <v>0</v>
      </c>
      <c r="D299" s="179">
        <f>SUMIFS('recurring2_based on steps'!$B299:$AY299,'recurring2_based on steps'!$B$1:$AY$1,D$1)+SUMIFS('changes2_based on steps'!$B299:$U299,'changes2_based on steps'!$B$1:$U$1,D$1)</f>
        <v>0</v>
      </c>
      <c r="E299" s="179">
        <f>SUMIFS('recurring2_based on steps'!$B299:$AY299,'recurring2_based on steps'!$B$1:$AY$1,E$1)+SUMIFS('changes2_based on steps'!$B299:$U299,'changes2_based on steps'!$B$1:$U$1,E$1)</f>
        <v>0</v>
      </c>
      <c r="F299" s="179">
        <f>SUMIFS('recurring2_based on steps'!$B299:$AY299,'recurring2_based on steps'!$B$1:$AY$1,F$1)+SUMIFS('changes2_based on steps'!$B299:$U299,'changes2_based on steps'!$B$1:$U$1,F$1)</f>
        <v>0</v>
      </c>
      <c r="G299" s="179">
        <f>SUMIFS('recurring2_based on steps'!$B299:$AY299,'recurring2_based on steps'!$B$1:$AY$1,G$1)+SUMIFS('changes2_based on steps'!$B299:$U299,'changes2_based on steps'!$B$1:$U$1,G$1)</f>
        <v>0</v>
      </c>
      <c r="H299" s="179">
        <f>SUMIFS('recurring2_based on steps'!$B299:$AY299,'recurring2_based on steps'!$B$1:$AY$1,H$1)+SUMIFS('changes2_based on steps'!$B299:$U299,'changes2_based on steps'!$B$1:$U$1,H$1)</f>
        <v>0</v>
      </c>
      <c r="I299" s="179">
        <f>SUMIFS('recurring2_based on steps'!$B299:$AY299,'recurring2_based on steps'!$B$1:$AY$1,I$1)+SUMIFS('changes2_based on steps'!$B299:$U299,'changes2_based on steps'!$B$1:$U$1,I$1)</f>
        <v>0</v>
      </c>
      <c r="J299" s="179">
        <f>SUMIFS('recurring2_based on steps'!$B299:$AY299,'recurring2_based on steps'!$B$1:$AY$1,J$1)+SUMIFS('changes2_based on steps'!$B299:$U299,'changes2_based on steps'!$B$1:$U$1,J$1)</f>
        <v>0</v>
      </c>
      <c r="K299" s="179">
        <f>SUMIFS('recurring2_based on steps'!$B299:$AY299,'recurring2_based on steps'!$B$1:$AY$1,K$1)+SUMIFS('changes2_based on steps'!$B299:$U299,'changes2_based on steps'!$B$1:$U$1,K$1)</f>
        <v>0</v>
      </c>
      <c r="L299" s="179">
        <f>SUMIFS('recurring2_based on steps'!$B299:$AY299,'recurring2_based on steps'!$B$1:$AY$1,L$1)+SUMIFS('changes2_based on steps'!$B299:$U299,'changes2_based on steps'!$B$1:$U$1,L$1)</f>
        <v>0</v>
      </c>
      <c r="M299" s="179">
        <f>SUMIFS('recurring2_based on steps'!$B299:$AY299,'recurring2_based on steps'!$B$1:$AY$1,M$1)+SUMIFS('changes2_based on steps'!$B299:$U299,'changes2_based on steps'!$B$1:$U$1,M$1)</f>
        <v>0</v>
      </c>
      <c r="N299" s="179">
        <f>SUMIFS('recurring2_based on steps'!$B299:$AY299,'recurring2_based on steps'!$B$1:$AY$1,N$1)+SUMIFS('changes2_based on steps'!$B299:$U299,'changes2_based on steps'!$B$1:$U$1,N$1)</f>
        <v>0</v>
      </c>
      <c r="O299" s="179">
        <f>SUMIFS('recurring2_based on steps'!$B299:$AY299,'recurring2_based on steps'!$B$1:$AY$1,O$1)+SUMIFS('changes2_based on steps'!$B299:$U299,'changes2_based on steps'!$B$1:$U$1,O$1)</f>
        <v>0</v>
      </c>
      <c r="P299" s="179">
        <f>SUMIFS('recurring2_based on steps'!$B299:$AY299,'recurring2_based on steps'!$B$1:$AY$1,P$1)+SUMIFS('changes2_based on steps'!$B299:$U299,'changes2_based on steps'!$B$1:$U$1,P$1)</f>
        <v>0</v>
      </c>
      <c r="Q299" s="179">
        <f>SUMIFS('recurring2_based on steps'!$B299:$AY299,'recurring2_based on steps'!$B$1:$AY$1,Q$1)+SUMIFS('changes2_based on steps'!$B299:$U299,'changes2_based on steps'!$B$1:$U$1,Q$1)</f>
        <v>0</v>
      </c>
      <c r="R299" s="179">
        <f>SUMIFS('recurring2_based on steps'!$B299:$AY299,'recurring2_based on steps'!$B$1:$AY$1,R$1)+SUMIFS('changes2_based on steps'!$B299:$U299,'changes2_based on steps'!$B$1:$U$1,R$1)</f>
        <v>0</v>
      </c>
      <c r="S299" s="179">
        <f>SUMIFS('recurring2_based on steps'!$B299:$AY299,'recurring2_based on steps'!$B$1:$AY$1,S$1)+SUMIFS('changes2_based on steps'!$B299:$U299,'changes2_based on steps'!$B$1:$U$1,S$1)</f>
        <v>0</v>
      </c>
      <c r="T299" s="179">
        <f>SUMIFS('recurring2_based on steps'!$B299:$AY299,'recurring2_based on steps'!$B$1:$AY$1,T$1)+SUMIFS('changes2_based on steps'!$B299:$U299,'changes2_based on steps'!$B$1:$U$1,T$1)</f>
        <v>0</v>
      </c>
      <c r="U299" s="179">
        <f>SUMIFS('recurring2_based on steps'!$B299:$AY299,'recurring2_based on steps'!$B$1:$AY$1,U$1)+SUMIFS('changes2_based on steps'!$B299:$U299,'changes2_based on steps'!$B$1:$U$1,U$1)</f>
        <v>0</v>
      </c>
      <c r="V299" s="179">
        <f>SUMIFS('recurring2_based on steps'!$B299:$AY299,'recurring2_based on steps'!$B$1:$AY$1,V$1)+SUMIFS('changes2_based on steps'!$B299:$U299,'changes2_based on steps'!$B$1:$U$1,V$1)</f>
        <v>0</v>
      </c>
      <c r="W299" s="179">
        <f>SUMIFS('recurring2_based on steps'!$B299:$AY299,'recurring2_based on steps'!$B$1:$AY$1,W$1)+SUMIFS('changes2_based on steps'!$B299:$U299,'changes2_based on steps'!$B$1:$U$1,W$1)</f>
        <v>0</v>
      </c>
      <c r="X299" s="179">
        <f>SUMIFS('recurring2_based on steps'!$B299:$AY299,'recurring2_based on steps'!$B$1:$AY$1,X$1)+SUMIFS('changes2_based on steps'!$B299:$U299,'changes2_based on steps'!$B$1:$U$1,X$1)</f>
        <v>0</v>
      </c>
      <c r="Y299" s="179">
        <f>SUMIFS('recurring2_based on steps'!$B299:$AY299,'recurring2_based on steps'!$B$1:$AY$1,Y$1)+SUMIFS('changes2_based on steps'!$B299:$U299,'changes2_based on steps'!$B$1:$U$1,Y$1)</f>
        <v>0</v>
      </c>
      <c r="Z299" s="179">
        <f>SUMIFS('recurring2_based on steps'!$B299:$AY299,'recurring2_based on steps'!$B$1:$AY$1,Z$1)+SUMIFS('changes2_based on steps'!$B299:$U299,'changes2_based on steps'!$B$1:$U$1,Z$1)</f>
        <v>0</v>
      </c>
      <c r="AA299" s="179">
        <f>SUMIFS('recurring2_based on steps'!$B299:$AY299,'recurring2_based on steps'!$B$1:$AY$1,AA$1)+SUMIFS('changes2_based on steps'!$B299:$U299,'changes2_based on steps'!$B$1:$U$1,AA$1)</f>
        <v>0</v>
      </c>
      <c r="AB299" s="179">
        <f>SUMIFS('recurring2_based on steps'!$B299:$AY299,'recurring2_based on steps'!$B$1:$AY$1,AB$1)+SUMIFS('changes2_based on steps'!$B299:$U299,'changes2_based on steps'!$B$1:$U$1,AB$1)</f>
        <v>0</v>
      </c>
      <c r="AC299" s="179">
        <f>SUMIFS('recurring2_based on steps'!$B299:$AY299,'recurring2_based on steps'!$B$1:$AY$1,AC$1)+SUMIFS('changes2_based on steps'!$B299:$U299,'changes2_based on steps'!$B$1:$U$1,AC$1)</f>
        <v>0</v>
      </c>
      <c r="AD299" s="179">
        <f>SUMIFS('recurring2_based on steps'!$B299:$AY299,'recurring2_based on steps'!$B$1:$AY$1,AD$1)+SUMIFS('changes2_based on steps'!$B299:$U299,'changes2_based on steps'!$B$1:$U$1,AD$1)</f>
        <v>0</v>
      </c>
      <c r="AE299" s="179">
        <f>SUMIFS('recurring2_based on steps'!$B299:$AY299,'recurring2_based on steps'!$B$1:$AY$1,AE$1)+SUMIFS('changes2_based on steps'!$B299:$U299,'changes2_based on steps'!$B$1:$U$1,AE$1)</f>
        <v>0</v>
      </c>
      <c r="AF299" s="179"/>
      <c r="AG299" s="179"/>
      <c r="AH299" s="179"/>
      <c r="AI299" s="179"/>
      <c r="AJ299" s="179"/>
      <c r="AK299" s="179"/>
      <c r="AL299" s="179"/>
      <c r="AM299" s="179"/>
    </row>
    <row r="300" spans="1:39" x14ac:dyDescent="0.2">
      <c r="A300" s="32">
        <f t="shared" ca="1" si="4"/>
        <v>46049</v>
      </c>
      <c r="B300" s="179">
        <f>SUMIFS('recurring2_based on steps'!$B300:$AY300,'recurring2_based on steps'!$B$1:$AY$1,B$1)+SUMIFS('changes2_based on steps'!$B300:$U300,'changes2_based on steps'!$B$1:$U$1,B$1)</f>
        <v>0</v>
      </c>
      <c r="C300" s="179">
        <f>SUMIFS('recurring2_based on steps'!$B300:$AY300,'recurring2_based on steps'!$B$1:$AY$1,C$1)+SUMIFS('changes2_based on steps'!$B300:$U300,'changes2_based on steps'!$B$1:$U$1,C$1)</f>
        <v>0</v>
      </c>
      <c r="D300" s="179">
        <f>SUMIFS('recurring2_based on steps'!$B300:$AY300,'recurring2_based on steps'!$B$1:$AY$1,D$1)+SUMIFS('changes2_based on steps'!$B300:$U300,'changes2_based on steps'!$B$1:$U$1,D$1)</f>
        <v>0</v>
      </c>
      <c r="E300" s="179">
        <f>SUMIFS('recurring2_based on steps'!$B300:$AY300,'recurring2_based on steps'!$B$1:$AY$1,E$1)+SUMIFS('changes2_based on steps'!$B300:$U300,'changes2_based on steps'!$B$1:$U$1,E$1)</f>
        <v>0</v>
      </c>
      <c r="F300" s="179">
        <f>SUMIFS('recurring2_based on steps'!$B300:$AY300,'recurring2_based on steps'!$B$1:$AY$1,F$1)+SUMIFS('changes2_based on steps'!$B300:$U300,'changes2_based on steps'!$B$1:$U$1,F$1)</f>
        <v>0</v>
      </c>
      <c r="G300" s="179">
        <f>SUMIFS('recurring2_based on steps'!$B300:$AY300,'recurring2_based on steps'!$B$1:$AY$1,G$1)+SUMIFS('changes2_based on steps'!$B300:$U300,'changes2_based on steps'!$B$1:$U$1,G$1)</f>
        <v>0</v>
      </c>
      <c r="H300" s="179">
        <f>SUMIFS('recurring2_based on steps'!$B300:$AY300,'recurring2_based on steps'!$B$1:$AY$1,H$1)+SUMIFS('changes2_based on steps'!$B300:$U300,'changes2_based on steps'!$B$1:$U$1,H$1)</f>
        <v>0</v>
      </c>
      <c r="I300" s="179">
        <f>SUMIFS('recurring2_based on steps'!$B300:$AY300,'recurring2_based on steps'!$B$1:$AY$1,I$1)+SUMIFS('changes2_based on steps'!$B300:$U300,'changes2_based on steps'!$B$1:$U$1,I$1)</f>
        <v>0</v>
      </c>
      <c r="J300" s="179">
        <f>SUMIFS('recurring2_based on steps'!$B300:$AY300,'recurring2_based on steps'!$B$1:$AY$1,J$1)+SUMIFS('changes2_based on steps'!$B300:$U300,'changes2_based on steps'!$B$1:$U$1,J$1)</f>
        <v>0</v>
      </c>
      <c r="K300" s="179">
        <f>SUMIFS('recurring2_based on steps'!$B300:$AY300,'recurring2_based on steps'!$B$1:$AY$1,K$1)+SUMIFS('changes2_based on steps'!$B300:$U300,'changes2_based on steps'!$B$1:$U$1,K$1)</f>
        <v>0</v>
      </c>
      <c r="L300" s="179">
        <f>SUMIFS('recurring2_based on steps'!$B300:$AY300,'recurring2_based on steps'!$B$1:$AY$1,L$1)+SUMIFS('changes2_based on steps'!$B300:$U300,'changes2_based on steps'!$B$1:$U$1,L$1)</f>
        <v>0</v>
      </c>
      <c r="M300" s="179">
        <f>SUMIFS('recurring2_based on steps'!$B300:$AY300,'recurring2_based on steps'!$B$1:$AY$1,M$1)+SUMIFS('changes2_based on steps'!$B300:$U300,'changes2_based on steps'!$B$1:$U$1,M$1)</f>
        <v>0</v>
      </c>
      <c r="N300" s="179">
        <f>SUMIFS('recurring2_based on steps'!$B300:$AY300,'recurring2_based on steps'!$B$1:$AY$1,N$1)+SUMIFS('changes2_based on steps'!$B300:$U300,'changes2_based on steps'!$B$1:$U$1,N$1)</f>
        <v>0</v>
      </c>
      <c r="O300" s="179">
        <f>SUMIFS('recurring2_based on steps'!$B300:$AY300,'recurring2_based on steps'!$B$1:$AY$1,O$1)+SUMIFS('changes2_based on steps'!$B300:$U300,'changes2_based on steps'!$B$1:$U$1,O$1)</f>
        <v>0</v>
      </c>
      <c r="P300" s="179">
        <f>SUMIFS('recurring2_based on steps'!$B300:$AY300,'recurring2_based on steps'!$B$1:$AY$1,P$1)+SUMIFS('changes2_based on steps'!$B300:$U300,'changes2_based on steps'!$B$1:$U$1,P$1)</f>
        <v>0</v>
      </c>
      <c r="Q300" s="179">
        <f>SUMIFS('recurring2_based on steps'!$B300:$AY300,'recurring2_based on steps'!$B$1:$AY$1,Q$1)+SUMIFS('changes2_based on steps'!$B300:$U300,'changes2_based on steps'!$B$1:$U$1,Q$1)</f>
        <v>0</v>
      </c>
      <c r="R300" s="179">
        <f>SUMIFS('recurring2_based on steps'!$B300:$AY300,'recurring2_based on steps'!$B$1:$AY$1,R$1)+SUMIFS('changes2_based on steps'!$B300:$U300,'changes2_based on steps'!$B$1:$U$1,R$1)</f>
        <v>0</v>
      </c>
      <c r="S300" s="179">
        <f>SUMIFS('recurring2_based on steps'!$B300:$AY300,'recurring2_based on steps'!$B$1:$AY$1,S$1)+SUMIFS('changes2_based on steps'!$B300:$U300,'changes2_based on steps'!$B$1:$U$1,S$1)</f>
        <v>0</v>
      </c>
      <c r="T300" s="179">
        <f>SUMIFS('recurring2_based on steps'!$B300:$AY300,'recurring2_based on steps'!$B$1:$AY$1,T$1)+SUMIFS('changes2_based on steps'!$B300:$U300,'changes2_based on steps'!$B$1:$U$1,T$1)</f>
        <v>0</v>
      </c>
      <c r="U300" s="179">
        <f>SUMIFS('recurring2_based on steps'!$B300:$AY300,'recurring2_based on steps'!$B$1:$AY$1,U$1)+SUMIFS('changes2_based on steps'!$B300:$U300,'changes2_based on steps'!$B$1:$U$1,U$1)</f>
        <v>0</v>
      </c>
      <c r="V300" s="179">
        <f>SUMIFS('recurring2_based on steps'!$B300:$AY300,'recurring2_based on steps'!$B$1:$AY$1,V$1)+SUMIFS('changes2_based on steps'!$B300:$U300,'changes2_based on steps'!$B$1:$U$1,V$1)</f>
        <v>0</v>
      </c>
      <c r="W300" s="179">
        <f>SUMIFS('recurring2_based on steps'!$B300:$AY300,'recurring2_based on steps'!$B$1:$AY$1,W$1)+SUMIFS('changes2_based on steps'!$B300:$U300,'changes2_based on steps'!$B$1:$U$1,W$1)</f>
        <v>0</v>
      </c>
      <c r="X300" s="179">
        <f>SUMIFS('recurring2_based on steps'!$B300:$AY300,'recurring2_based on steps'!$B$1:$AY$1,X$1)+SUMIFS('changes2_based on steps'!$B300:$U300,'changes2_based on steps'!$B$1:$U$1,X$1)</f>
        <v>0</v>
      </c>
      <c r="Y300" s="179">
        <f>SUMIFS('recurring2_based on steps'!$B300:$AY300,'recurring2_based on steps'!$B$1:$AY$1,Y$1)+SUMIFS('changes2_based on steps'!$B300:$U300,'changes2_based on steps'!$B$1:$U$1,Y$1)</f>
        <v>0</v>
      </c>
      <c r="Z300" s="179">
        <f>SUMIFS('recurring2_based on steps'!$B300:$AY300,'recurring2_based on steps'!$B$1:$AY$1,Z$1)+SUMIFS('changes2_based on steps'!$B300:$U300,'changes2_based on steps'!$B$1:$U$1,Z$1)</f>
        <v>0</v>
      </c>
      <c r="AA300" s="179">
        <f>SUMIFS('recurring2_based on steps'!$B300:$AY300,'recurring2_based on steps'!$B$1:$AY$1,AA$1)+SUMIFS('changes2_based on steps'!$B300:$U300,'changes2_based on steps'!$B$1:$U$1,AA$1)</f>
        <v>0</v>
      </c>
      <c r="AB300" s="179">
        <f>SUMIFS('recurring2_based on steps'!$B300:$AY300,'recurring2_based on steps'!$B$1:$AY$1,AB$1)+SUMIFS('changes2_based on steps'!$B300:$U300,'changes2_based on steps'!$B$1:$U$1,AB$1)</f>
        <v>0</v>
      </c>
      <c r="AC300" s="179">
        <f>SUMIFS('recurring2_based on steps'!$B300:$AY300,'recurring2_based on steps'!$B$1:$AY$1,AC$1)+SUMIFS('changes2_based on steps'!$B300:$U300,'changes2_based on steps'!$B$1:$U$1,AC$1)</f>
        <v>0</v>
      </c>
      <c r="AD300" s="179">
        <f>SUMIFS('recurring2_based on steps'!$B300:$AY300,'recurring2_based on steps'!$B$1:$AY$1,AD$1)+SUMIFS('changes2_based on steps'!$B300:$U300,'changes2_based on steps'!$B$1:$U$1,AD$1)</f>
        <v>0</v>
      </c>
      <c r="AE300" s="179">
        <f>SUMIFS('recurring2_based on steps'!$B300:$AY300,'recurring2_based on steps'!$B$1:$AY$1,AE$1)+SUMIFS('changes2_based on steps'!$B300:$U300,'changes2_based on steps'!$B$1:$U$1,AE$1)</f>
        <v>0</v>
      </c>
      <c r="AF300" s="179"/>
      <c r="AG300" s="179"/>
      <c r="AH300" s="179"/>
      <c r="AI300" s="179"/>
      <c r="AJ300" s="179"/>
      <c r="AK300" s="179"/>
      <c r="AL300" s="179"/>
      <c r="AM300" s="179"/>
    </row>
    <row r="301" spans="1:39" x14ac:dyDescent="0.2">
      <c r="A301" s="32">
        <f t="shared" ca="1" si="4"/>
        <v>46050</v>
      </c>
      <c r="B301" s="179">
        <f>SUMIFS('recurring2_based on steps'!$B301:$AY301,'recurring2_based on steps'!$B$1:$AY$1,B$1)+SUMIFS('changes2_based on steps'!$B301:$U301,'changes2_based on steps'!$B$1:$U$1,B$1)</f>
        <v>0</v>
      </c>
      <c r="C301" s="179">
        <f>SUMIFS('recurring2_based on steps'!$B301:$AY301,'recurring2_based on steps'!$B$1:$AY$1,C$1)+SUMIFS('changes2_based on steps'!$B301:$U301,'changes2_based on steps'!$B$1:$U$1,C$1)</f>
        <v>0</v>
      </c>
      <c r="D301" s="179">
        <f>SUMIFS('recurring2_based on steps'!$B301:$AY301,'recurring2_based on steps'!$B$1:$AY$1,D$1)+SUMIFS('changes2_based on steps'!$B301:$U301,'changes2_based on steps'!$B$1:$U$1,D$1)</f>
        <v>0</v>
      </c>
      <c r="E301" s="179">
        <f>SUMIFS('recurring2_based on steps'!$B301:$AY301,'recurring2_based on steps'!$B$1:$AY$1,E$1)+SUMIFS('changes2_based on steps'!$B301:$U301,'changes2_based on steps'!$B$1:$U$1,E$1)</f>
        <v>0</v>
      </c>
      <c r="F301" s="179">
        <f>SUMIFS('recurring2_based on steps'!$B301:$AY301,'recurring2_based on steps'!$B$1:$AY$1,F$1)+SUMIFS('changes2_based on steps'!$B301:$U301,'changes2_based on steps'!$B$1:$U$1,F$1)</f>
        <v>0</v>
      </c>
      <c r="G301" s="179">
        <f>SUMIFS('recurring2_based on steps'!$B301:$AY301,'recurring2_based on steps'!$B$1:$AY$1,G$1)+SUMIFS('changes2_based on steps'!$B301:$U301,'changes2_based on steps'!$B$1:$U$1,G$1)</f>
        <v>0</v>
      </c>
      <c r="H301" s="179">
        <f>SUMIFS('recurring2_based on steps'!$B301:$AY301,'recurring2_based on steps'!$B$1:$AY$1,H$1)+SUMIFS('changes2_based on steps'!$B301:$U301,'changes2_based on steps'!$B$1:$U$1,H$1)</f>
        <v>0</v>
      </c>
      <c r="I301" s="179">
        <f>SUMIFS('recurring2_based on steps'!$B301:$AY301,'recurring2_based on steps'!$B$1:$AY$1,I$1)+SUMIFS('changes2_based on steps'!$B301:$U301,'changes2_based on steps'!$B$1:$U$1,I$1)</f>
        <v>0</v>
      </c>
      <c r="J301" s="179">
        <f>SUMIFS('recurring2_based on steps'!$B301:$AY301,'recurring2_based on steps'!$B$1:$AY$1,J$1)+SUMIFS('changes2_based on steps'!$B301:$U301,'changes2_based on steps'!$B$1:$U$1,J$1)</f>
        <v>0</v>
      </c>
      <c r="K301" s="179">
        <f>SUMIFS('recurring2_based on steps'!$B301:$AY301,'recurring2_based on steps'!$B$1:$AY$1,K$1)+SUMIFS('changes2_based on steps'!$B301:$U301,'changes2_based on steps'!$B$1:$U$1,K$1)</f>
        <v>0</v>
      </c>
      <c r="L301" s="179">
        <f>SUMIFS('recurring2_based on steps'!$B301:$AY301,'recurring2_based on steps'!$B$1:$AY$1,L$1)+SUMIFS('changes2_based on steps'!$B301:$U301,'changes2_based on steps'!$B$1:$U$1,L$1)</f>
        <v>0</v>
      </c>
      <c r="M301" s="179">
        <f>SUMIFS('recurring2_based on steps'!$B301:$AY301,'recurring2_based on steps'!$B$1:$AY$1,M$1)+SUMIFS('changes2_based on steps'!$B301:$U301,'changes2_based on steps'!$B$1:$U$1,M$1)</f>
        <v>0</v>
      </c>
      <c r="N301" s="179">
        <f>SUMIFS('recurring2_based on steps'!$B301:$AY301,'recurring2_based on steps'!$B$1:$AY$1,N$1)+SUMIFS('changes2_based on steps'!$B301:$U301,'changes2_based on steps'!$B$1:$U$1,N$1)</f>
        <v>0</v>
      </c>
      <c r="O301" s="179">
        <f>SUMIFS('recurring2_based on steps'!$B301:$AY301,'recurring2_based on steps'!$B$1:$AY$1,O$1)+SUMIFS('changes2_based on steps'!$B301:$U301,'changes2_based on steps'!$B$1:$U$1,O$1)</f>
        <v>0</v>
      </c>
      <c r="P301" s="179">
        <f>SUMIFS('recurring2_based on steps'!$B301:$AY301,'recurring2_based on steps'!$B$1:$AY$1,P$1)+SUMIFS('changes2_based on steps'!$B301:$U301,'changes2_based on steps'!$B$1:$U$1,P$1)</f>
        <v>0</v>
      </c>
      <c r="Q301" s="179">
        <f>SUMIFS('recurring2_based on steps'!$B301:$AY301,'recurring2_based on steps'!$B$1:$AY$1,Q$1)+SUMIFS('changes2_based on steps'!$B301:$U301,'changes2_based on steps'!$B$1:$U$1,Q$1)</f>
        <v>0</v>
      </c>
      <c r="R301" s="179">
        <f>SUMIFS('recurring2_based on steps'!$B301:$AY301,'recurring2_based on steps'!$B$1:$AY$1,R$1)+SUMIFS('changes2_based on steps'!$B301:$U301,'changes2_based on steps'!$B$1:$U$1,R$1)</f>
        <v>0</v>
      </c>
      <c r="S301" s="179">
        <f>SUMIFS('recurring2_based on steps'!$B301:$AY301,'recurring2_based on steps'!$B$1:$AY$1,S$1)+SUMIFS('changes2_based on steps'!$B301:$U301,'changes2_based on steps'!$B$1:$U$1,S$1)</f>
        <v>0</v>
      </c>
      <c r="T301" s="179">
        <f>SUMIFS('recurring2_based on steps'!$B301:$AY301,'recurring2_based on steps'!$B$1:$AY$1,T$1)+SUMIFS('changes2_based on steps'!$B301:$U301,'changes2_based on steps'!$B$1:$U$1,T$1)</f>
        <v>0</v>
      </c>
      <c r="U301" s="179">
        <f>SUMIFS('recurring2_based on steps'!$B301:$AY301,'recurring2_based on steps'!$B$1:$AY$1,U$1)+SUMIFS('changes2_based on steps'!$B301:$U301,'changes2_based on steps'!$B$1:$U$1,U$1)</f>
        <v>0</v>
      </c>
      <c r="V301" s="179">
        <f>SUMIFS('recurring2_based on steps'!$B301:$AY301,'recurring2_based on steps'!$B$1:$AY$1,V$1)+SUMIFS('changes2_based on steps'!$B301:$U301,'changes2_based on steps'!$B$1:$U$1,V$1)</f>
        <v>0</v>
      </c>
      <c r="W301" s="179">
        <f>SUMIFS('recurring2_based on steps'!$B301:$AY301,'recurring2_based on steps'!$B$1:$AY$1,W$1)+SUMIFS('changes2_based on steps'!$B301:$U301,'changes2_based on steps'!$B$1:$U$1,W$1)</f>
        <v>0</v>
      </c>
      <c r="X301" s="179">
        <f>SUMIFS('recurring2_based on steps'!$B301:$AY301,'recurring2_based on steps'!$B$1:$AY$1,X$1)+SUMIFS('changes2_based on steps'!$B301:$U301,'changes2_based on steps'!$B$1:$U$1,X$1)</f>
        <v>0</v>
      </c>
      <c r="Y301" s="179">
        <f>SUMIFS('recurring2_based on steps'!$B301:$AY301,'recurring2_based on steps'!$B$1:$AY$1,Y$1)+SUMIFS('changes2_based on steps'!$B301:$U301,'changes2_based on steps'!$B$1:$U$1,Y$1)</f>
        <v>0</v>
      </c>
      <c r="Z301" s="179">
        <f>SUMIFS('recurring2_based on steps'!$B301:$AY301,'recurring2_based on steps'!$B$1:$AY$1,Z$1)+SUMIFS('changes2_based on steps'!$B301:$U301,'changes2_based on steps'!$B$1:$U$1,Z$1)</f>
        <v>0</v>
      </c>
      <c r="AA301" s="179">
        <f>SUMIFS('recurring2_based on steps'!$B301:$AY301,'recurring2_based on steps'!$B$1:$AY$1,AA$1)+SUMIFS('changes2_based on steps'!$B301:$U301,'changes2_based on steps'!$B$1:$U$1,AA$1)</f>
        <v>0</v>
      </c>
      <c r="AB301" s="179">
        <f>SUMIFS('recurring2_based on steps'!$B301:$AY301,'recurring2_based on steps'!$B$1:$AY$1,AB$1)+SUMIFS('changes2_based on steps'!$B301:$U301,'changes2_based on steps'!$B$1:$U$1,AB$1)</f>
        <v>0</v>
      </c>
      <c r="AC301" s="179">
        <f>SUMIFS('recurring2_based on steps'!$B301:$AY301,'recurring2_based on steps'!$B$1:$AY$1,AC$1)+SUMIFS('changes2_based on steps'!$B301:$U301,'changes2_based on steps'!$B$1:$U$1,AC$1)</f>
        <v>0</v>
      </c>
      <c r="AD301" s="179">
        <f>SUMIFS('recurring2_based on steps'!$B301:$AY301,'recurring2_based on steps'!$B$1:$AY$1,AD$1)+SUMIFS('changes2_based on steps'!$B301:$U301,'changes2_based on steps'!$B$1:$U$1,AD$1)</f>
        <v>0</v>
      </c>
      <c r="AE301" s="179">
        <f>SUMIFS('recurring2_based on steps'!$B301:$AY301,'recurring2_based on steps'!$B$1:$AY$1,AE$1)+SUMIFS('changes2_based on steps'!$B301:$U301,'changes2_based on steps'!$B$1:$U$1,AE$1)</f>
        <v>0</v>
      </c>
      <c r="AF301" s="179"/>
      <c r="AG301" s="179"/>
      <c r="AH301" s="179"/>
      <c r="AI301" s="179"/>
      <c r="AJ301" s="179"/>
      <c r="AK301" s="179"/>
      <c r="AL301" s="179"/>
      <c r="AM301" s="179"/>
    </row>
    <row r="302" spans="1:39" x14ac:dyDescent="0.2">
      <c r="A302" s="32">
        <f t="shared" ca="1" si="4"/>
        <v>46051</v>
      </c>
      <c r="B302" s="179">
        <f>SUMIFS('recurring2_based on steps'!$B302:$AY302,'recurring2_based on steps'!$B$1:$AY$1,B$1)+SUMIFS('changes2_based on steps'!$B302:$U302,'changes2_based on steps'!$B$1:$U$1,B$1)</f>
        <v>0</v>
      </c>
      <c r="C302" s="179">
        <f>SUMIFS('recurring2_based on steps'!$B302:$AY302,'recurring2_based on steps'!$B$1:$AY$1,C$1)+SUMIFS('changes2_based on steps'!$B302:$U302,'changes2_based on steps'!$B$1:$U$1,C$1)</f>
        <v>0</v>
      </c>
      <c r="D302" s="179">
        <f>SUMIFS('recurring2_based on steps'!$B302:$AY302,'recurring2_based on steps'!$B$1:$AY$1,D$1)+SUMIFS('changes2_based on steps'!$B302:$U302,'changes2_based on steps'!$B$1:$U$1,D$1)</f>
        <v>0</v>
      </c>
      <c r="E302" s="179">
        <f>SUMIFS('recurring2_based on steps'!$B302:$AY302,'recurring2_based on steps'!$B$1:$AY$1,E$1)+SUMIFS('changes2_based on steps'!$B302:$U302,'changes2_based on steps'!$B$1:$U$1,E$1)</f>
        <v>0</v>
      </c>
      <c r="F302" s="179">
        <f>SUMIFS('recurring2_based on steps'!$B302:$AY302,'recurring2_based on steps'!$B$1:$AY$1,F$1)+SUMIFS('changes2_based on steps'!$B302:$U302,'changes2_based on steps'!$B$1:$U$1,F$1)</f>
        <v>0</v>
      </c>
      <c r="G302" s="179">
        <f>SUMIFS('recurring2_based on steps'!$B302:$AY302,'recurring2_based on steps'!$B$1:$AY$1,G$1)+SUMIFS('changes2_based on steps'!$B302:$U302,'changes2_based on steps'!$B$1:$U$1,G$1)</f>
        <v>0</v>
      </c>
      <c r="H302" s="179">
        <f>SUMIFS('recurring2_based on steps'!$B302:$AY302,'recurring2_based on steps'!$B$1:$AY$1,H$1)+SUMIFS('changes2_based on steps'!$B302:$U302,'changes2_based on steps'!$B$1:$U$1,H$1)</f>
        <v>0</v>
      </c>
      <c r="I302" s="179">
        <f>SUMIFS('recurring2_based on steps'!$B302:$AY302,'recurring2_based on steps'!$B$1:$AY$1,I$1)+SUMIFS('changes2_based on steps'!$B302:$U302,'changes2_based on steps'!$B$1:$U$1,I$1)</f>
        <v>0</v>
      </c>
      <c r="J302" s="179">
        <f>SUMIFS('recurring2_based on steps'!$B302:$AY302,'recurring2_based on steps'!$B$1:$AY$1,J$1)+SUMIFS('changes2_based on steps'!$B302:$U302,'changes2_based on steps'!$B$1:$U$1,J$1)</f>
        <v>0</v>
      </c>
      <c r="K302" s="179">
        <f>SUMIFS('recurring2_based on steps'!$B302:$AY302,'recurring2_based on steps'!$B$1:$AY$1,K$1)+SUMIFS('changes2_based on steps'!$B302:$U302,'changes2_based on steps'!$B$1:$U$1,K$1)</f>
        <v>0</v>
      </c>
      <c r="L302" s="179">
        <f>SUMIFS('recurring2_based on steps'!$B302:$AY302,'recurring2_based on steps'!$B$1:$AY$1,L$1)+SUMIFS('changes2_based on steps'!$B302:$U302,'changes2_based on steps'!$B$1:$U$1,L$1)</f>
        <v>0</v>
      </c>
      <c r="M302" s="179">
        <f>SUMIFS('recurring2_based on steps'!$B302:$AY302,'recurring2_based on steps'!$B$1:$AY$1,M$1)+SUMIFS('changes2_based on steps'!$B302:$U302,'changes2_based on steps'!$B$1:$U$1,M$1)</f>
        <v>0</v>
      </c>
      <c r="N302" s="179">
        <f>SUMIFS('recurring2_based on steps'!$B302:$AY302,'recurring2_based on steps'!$B$1:$AY$1,N$1)+SUMIFS('changes2_based on steps'!$B302:$U302,'changes2_based on steps'!$B$1:$U$1,N$1)</f>
        <v>0</v>
      </c>
      <c r="O302" s="179">
        <f>SUMIFS('recurring2_based on steps'!$B302:$AY302,'recurring2_based on steps'!$B$1:$AY$1,O$1)+SUMIFS('changes2_based on steps'!$B302:$U302,'changes2_based on steps'!$B$1:$U$1,O$1)</f>
        <v>0</v>
      </c>
      <c r="P302" s="179">
        <f>SUMIFS('recurring2_based on steps'!$B302:$AY302,'recurring2_based on steps'!$B$1:$AY$1,P$1)+SUMIFS('changes2_based on steps'!$B302:$U302,'changes2_based on steps'!$B$1:$U$1,P$1)</f>
        <v>0</v>
      </c>
      <c r="Q302" s="179">
        <f>SUMIFS('recurring2_based on steps'!$B302:$AY302,'recurring2_based on steps'!$B$1:$AY$1,Q$1)+SUMIFS('changes2_based on steps'!$B302:$U302,'changes2_based on steps'!$B$1:$U$1,Q$1)</f>
        <v>0</v>
      </c>
      <c r="R302" s="179">
        <f>SUMIFS('recurring2_based on steps'!$B302:$AY302,'recurring2_based on steps'!$B$1:$AY$1,R$1)+SUMIFS('changes2_based on steps'!$B302:$U302,'changes2_based on steps'!$B$1:$U$1,R$1)</f>
        <v>0</v>
      </c>
      <c r="S302" s="179">
        <f>SUMIFS('recurring2_based on steps'!$B302:$AY302,'recurring2_based on steps'!$B$1:$AY$1,S$1)+SUMIFS('changes2_based on steps'!$B302:$U302,'changes2_based on steps'!$B$1:$U$1,S$1)</f>
        <v>0</v>
      </c>
      <c r="T302" s="179">
        <f>SUMIFS('recurring2_based on steps'!$B302:$AY302,'recurring2_based on steps'!$B$1:$AY$1,T$1)+SUMIFS('changes2_based on steps'!$B302:$U302,'changes2_based on steps'!$B$1:$U$1,T$1)</f>
        <v>0</v>
      </c>
      <c r="U302" s="179">
        <f>SUMIFS('recurring2_based on steps'!$B302:$AY302,'recurring2_based on steps'!$B$1:$AY$1,U$1)+SUMIFS('changes2_based on steps'!$B302:$U302,'changes2_based on steps'!$B$1:$U$1,U$1)</f>
        <v>0</v>
      </c>
      <c r="V302" s="179">
        <f>SUMIFS('recurring2_based on steps'!$B302:$AY302,'recurring2_based on steps'!$B$1:$AY$1,V$1)+SUMIFS('changes2_based on steps'!$B302:$U302,'changes2_based on steps'!$B$1:$U$1,V$1)</f>
        <v>0</v>
      </c>
      <c r="W302" s="179">
        <f>SUMIFS('recurring2_based on steps'!$B302:$AY302,'recurring2_based on steps'!$B$1:$AY$1,W$1)+SUMIFS('changes2_based on steps'!$B302:$U302,'changes2_based on steps'!$B$1:$U$1,W$1)</f>
        <v>0</v>
      </c>
      <c r="X302" s="179">
        <f>SUMIFS('recurring2_based on steps'!$B302:$AY302,'recurring2_based on steps'!$B$1:$AY$1,X$1)+SUMIFS('changes2_based on steps'!$B302:$U302,'changes2_based on steps'!$B$1:$U$1,X$1)</f>
        <v>0</v>
      </c>
      <c r="Y302" s="179">
        <f>SUMIFS('recurring2_based on steps'!$B302:$AY302,'recurring2_based on steps'!$B$1:$AY$1,Y$1)+SUMIFS('changes2_based on steps'!$B302:$U302,'changes2_based on steps'!$B$1:$U$1,Y$1)</f>
        <v>0</v>
      </c>
      <c r="Z302" s="179">
        <f>SUMIFS('recurring2_based on steps'!$B302:$AY302,'recurring2_based on steps'!$B$1:$AY$1,Z$1)+SUMIFS('changes2_based on steps'!$B302:$U302,'changes2_based on steps'!$B$1:$U$1,Z$1)</f>
        <v>0</v>
      </c>
      <c r="AA302" s="179">
        <f>SUMIFS('recurring2_based on steps'!$B302:$AY302,'recurring2_based on steps'!$B$1:$AY$1,AA$1)+SUMIFS('changes2_based on steps'!$B302:$U302,'changes2_based on steps'!$B$1:$U$1,AA$1)</f>
        <v>0</v>
      </c>
      <c r="AB302" s="179">
        <f>SUMIFS('recurring2_based on steps'!$B302:$AY302,'recurring2_based on steps'!$B$1:$AY$1,AB$1)+SUMIFS('changes2_based on steps'!$B302:$U302,'changes2_based on steps'!$B$1:$U$1,AB$1)</f>
        <v>0</v>
      </c>
      <c r="AC302" s="179">
        <f>SUMIFS('recurring2_based on steps'!$B302:$AY302,'recurring2_based on steps'!$B$1:$AY$1,AC$1)+SUMIFS('changes2_based on steps'!$B302:$U302,'changes2_based on steps'!$B$1:$U$1,AC$1)</f>
        <v>0</v>
      </c>
      <c r="AD302" s="179">
        <f>SUMIFS('recurring2_based on steps'!$B302:$AY302,'recurring2_based on steps'!$B$1:$AY$1,AD$1)+SUMIFS('changes2_based on steps'!$B302:$U302,'changes2_based on steps'!$B$1:$U$1,AD$1)</f>
        <v>0</v>
      </c>
      <c r="AE302" s="179">
        <f>SUMIFS('recurring2_based on steps'!$B302:$AY302,'recurring2_based on steps'!$B$1:$AY$1,AE$1)+SUMIFS('changes2_based on steps'!$B302:$U302,'changes2_based on steps'!$B$1:$U$1,AE$1)</f>
        <v>0</v>
      </c>
      <c r="AF302" s="179"/>
      <c r="AG302" s="179"/>
      <c r="AH302" s="179"/>
      <c r="AI302" s="179"/>
      <c r="AJ302" s="179"/>
      <c r="AK302" s="179"/>
      <c r="AL302" s="179"/>
      <c r="AM302" s="179"/>
    </row>
    <row r="303" spans="1:39" x14ac:dyDescent="0.2">
      <c r="A303" s="32">
        <f t="shared" ca="1" si="4"/>
        <v>46052</v>
      </c>
      <c r="B303" s="179">
        <f>SUMIFS('recurring2_based on steps'!$B303:$AY303,'recurring2_based on steps'!$B$1:$AY$1,B$1)+SUMIFS('changes2_based on steps'!$B303:$U303,'changes2_based on steps'!$B$1:$U$1,B$1)</f>
        <v>0</v>
      </c>
      <c r="C303" s="179">
        <f>SUMIFS('recurring2_based on steps'!$B303:$AY303,'recurring2_based on steps'!$B$1:$AY$1,C$1)+SUMIFS('changes2_based on steps'!$B303:$U303,'changes2_based on steps'!$B$1:$U$1,C$1)</f>
        <v>0</v>
      </c>
      <c r="D303" s="179">
        <f>SUMIFS('recurring2_based on steps'!$B303:$AY303,'recurring2_based on steps'!$B$1:$AY$1,D$1)+SUMIFS('changes2_based on steps'!$B303:$U303,'changes2_based on steps'!$B$1:$U$1,D$1)</f>
        <v>0</v>
      </c>
      <c r="E303" s="179">
        <f>SUMIFS('recurring2_based on steps'!$B303:$AY303,'recurring2_based on steps'!$B$1:$AY$1,E$1)+SUMIFS('changes2_based on steps'!$B303:$U303,'changes2_based on steps'!$B$1:$U$1,E$1)</f>
        <v>0</v>
      </c>
      <c r="F303" s="179">
        <f>SUMIFS('recurring2_based on steps'!$B303:$AY303,'recurring2_based on steps'!$B$1:$AY$1,F$1)+SUMIFS('changes2_based on steps'!$B303:$U303,'changes2_based on steps'!$B$1:$U$1,F$1)</f>
        <v>0</v>
      </c>
      <c r="G303" s="179">
        <f>SUMIFS('recurring2_based on steps'!$B303:$AY303,'recurring2_based on steps'!$B$1:$AY$1,G$1)+SUMIFS('changes2_based on steps'!$B303:$U303,'changes2_based on steps'!$B$1:$U$1,G$1)</f>
        <v>0</v>
      </c>
      <c r="H303" s="179">
        <f>SUMIFS('recurring2_based on steps'!$B303:$AY303,'recurring2_based on steps'!$B$1:$AY$1,H$1)+SUMIFS('changes2_based on steps'!$B303:$U303,'changes2_based on steps'!$B$1:$U$1,H$1)</f>
        <v>0</v>
      </c>
      <c r="I303" s="179">
        <f>SUMIFS('recurring2_based on steps'!$B303:$AY303,'recurring2_based on steps'!$B$1:$AY$1,I$1)+SUMIFS('changes2_based on steps'!$B303:$U303,'changes2_based on steps'!$B$1:$U$1,I$1)</f>
        <v>0</v>
      </c>
      <c r="J303" s="179">
        <f>SUMIFS('recurring2_based on steps'!$B303:$AY303,'recurring2_based on steps'!$B$1:$AY$1,J$1)+SUMIFS('changes2_based on steps'!$B303:$U303,'changes2_based on steps'!$B$1:$U$1,J$1)</f>
        <v>0</v>
      </c>
      <c r="K303" s="179">
        <f>SUMIFS('recurring2_based on steps'!$B303:$AY303,'recurring2_based on steps'!$B$1:$AY$1,K$1)+SUMIFS('changes2_based on steps'!$B303:$U303,'changes2_based on steps'!$B$1:$U$1,K$1)</f>
        <v>0</v>
      </c>
      <c r="L303" s="179">
        <f>SUMIFS('recurring2_based on steps'!$B303:$AY303,'recurring2_based on steps'!$B$1:$AY$1,L$1)+SUMIFS('changes2_based on steps'!$B303:$U303,'changes2_based on steps'!$B$1:$U$1,L$1)</f>
        <v>0</v>
      </c>
      <c r="M303" s="179">
        <f>SUMIFS('recurring2_based on steps'!$B303:$AY303,'recurring2_based on steps'!$B$1:$AY$1,M$1)+SUMIFS('changes2_based on steps'!$B303:$U303,'changes2_based on steps'!$B$1:$U$1,M$1)</f>
        <v>0</v>
      </c>
      <c r="N303" s="179">
        <f>SUMIFS('recurring2_based on steps'!$B303:$AY303,'recurring2_based on steps'!$B$1:$AY$1,N$1)+SUMIFS('changes2_based on steps'!$B303:$U303,'changes2_based on steps'!$B$1:$U$1,N$1)</f>
        <v>0</v>
      </c>
      <c r="O303" s="179">
        <f>SUMIFS('recurring2_based on steps'!$B303:$AY303,'recurring2_based on steps'!$B$1:$AY$1,O$1)+SUMIFS('changes2_based on steps'!$B303:$U303,'changes2_based on steps'!$B$1:$U$1,O$1)</f>
        <v>0</v>
      </c>
      <c r="P303" s="179">
        <f>SUMIFS('recurring2_based on steps'!$B303:$AY303,'recurring2_based on steps'!$B$1:$AY$1,P$1)+SUMIFS('changes2_based on steps'!$B303:$U303,'changes2_based on steps'!$B$1:$U$1,P$1)</f>
        <v>0</v>
      </c>
      <c r="Q303" s="179">
        <f>SUMIFS('recurring2_based on steps'!$B303:$AY303,'recurring2_based on steps'!$B$1:$AY$1,Q$1)+SUMIFS('changes2_based on steps'!$B303:$U303,'changes2_based on steps'!$B$1:$U$1,Q$1)</f>
        <v>0</v>
      </c>
      <c r="R303" s="179">
        <f>SUMIFS('recurring2_based on steps'!$B303:$AY303,'recurring2_based on steps'!$B$1:$AY$1,R$1)+SUMIFS('changes2_based on steps'!$B303:$U303,'changes2_based on steps'!$B$1:$U$1,R$1)</f>
        <v>0</v>
      </c>
      <c r="S303" s="179">
        <f>SUMIFS('recurring2_based on steps'!$B303:$AY303,'recurring2_based on steps'!$B$1:$AY$1,S$1)+SUMIFS('changes2_based on steps'!$B303:$U303,'changes2_based on steps'!$B$1:$U$1,S$1)</f>
        <v>0</v>
      </c>
      <c r="T303" s="179">
        <f>SUMIFS('recurring2_based on steps'!$B303:$AY303,'recurring2_based on steps'!$B$1:$AY$1,T$1)+SUMIFS('changes2_based on steps'!$B303:$U303,'changes2_based on steps'!$B$1:$U$1,T$1)</f>
        <v>0</v>
      </c>
      <c r="U303" s="179">
        <f>SUMIFS('recurring2_based on steps'!$B303:$AY303,'recurring2_based on steps'!$B$1:$AY$1,U$1)+SUMIFS('changes2_based on steps'!$B303:$U303,'changes2_based on steps'!$B$1:$U$1,U$1)</f>
        <v>0</v>
      </c>
      <c r="V303" s="179">
        <f>SUMIFS('recurring2_based on steps'!$B303:$AY303,'recurring2_based on steps'!$B$1:$AY$1,V$1)+SUMIFS('changes2_based on steps'!$B303:$U303,'changes2_based on steps'!$B$1:$U$1,V$1)</f>
        <v>0</v>
      </c>
      <c r="W303" s="179">
        <f>SUMIFS('recurring2_based on steps'!$B303:$AY303,'recurring2_based on steps'!$B$1:$AY$1,W$1)+SUMIFS('changes2_based on steps'!$B303:$U303,'changes2_based on steps'!$B$1:$U$1,W$1)</f>
        <v>0</v>
      </c>
      <c r="X303" s="179">
        <f>SUMIFS('recurring2_based on steps'!$B303:$AY303,'recurring2_based on steps'!$B$1:$AY$1,X$1)+SUMIFS('changes2_based on steps'!$B303:$U303,'changes2_based on steps'!$B$1:$U$1,X$1)</f>
        <v>0</v>
      </c>
      <c r="Y303" s="179">
        <f>SUMIFS('recurring2_based on steps'!$B303:$AY303,'recurring2_based on steps'!$B$1:$AY$1,Y$1)+SUMIFS('changes2_based on steps'!$B303:$U303,'changes2_based on steps'!$B$1:$U$1,Y$1)</f>
        <v>0</v>
      </c>
      <c r="Z303" s="179">
        <f>SUMIFS('recurring2_based on steps'!$B303:$AY303,'recurring2_based on steps'!$B$1:$AY$1,Z$1)+SUMIFS('changes2_based on steps'!$B303:$U303,'changes2_based on steps'!$B$1:$U$1,Z$1)</f>
        <v>0</v>
      </c>
      <c r="AA303" s="179">
        <f>SUMIFS('recurring2_based on steps'!$B303:$AY303,'recurring2_based on steps'!$B$1:$AY$1,AA$1)+SUMIFS('changes2_based on steps'!$B303:$U303,'changes2_based on steps'!$B$1:$U$1,AA$1)</f>
        <v>0</v>
      </c>
      <c r="AB303" s="179">
        <f>SUMIFS('recurring2_based on steps'!$B303:$AY303,'recurring2_based on steps'!$B$1:$AY$1,AB$1)+SUMIFS('changes2_based on steps'!$B303:$U303,'changes2_based on steps'!$B$1:$U$1,AB$1)</f>
        <v>0</v>
      </c>
      <c r="AC303" s="179">
        <f>SUMIFS('recurring2_based on steps'!$B303:$AY303,'recurring2_based on steps'!$B$1:$AY$1,AC$1)+SUMIFS('changes2_based on steps'!$B303:$U303,'changes2_based on steps'!$B$1:$U$1,AC$1)</f>
        <v>0</v>
      </c>
      <c r="AD303" s="179">
        <f>SUMIFS('recurring2_based on steps'!$B303:$AY303,'recurring2_based on steps'!$B$1:$AY$1,AD$1)+SUMIFS('changes2_based on steps'!$B303:$U303,'changes2_based on steps'!$B$1:$U$1,AD$1)</f>
        <v>0</v>
      </c>
      <c r="AE303" s="179">
        <f>SUMIFS('recurring2_based on steps'!$B303:$AY303,'recurring2_based on steps'!$B$1:$AY$1,AE$1)+SUMIFS('changes2_based on steps'!$B303:$U303,'changes2_based on steps'!$B$1:$U$1,AE$1)</f>
        <v>0</v>
      </c>
      <c r="AF303" s="179"/>
      <c r="AG303" s="179"/>
      <c r="AH303" s="179"/>
      <c r="AI303" s="179"/>
      <c r="AJ303" s="179"/>
      <c r="AK303" s="179"/>
      <c r="AL303" s="179"/>
      <c r="AM303" s="179"/>
    </row>
    <row r="304" spans="1:39" x14ac:dyDescent="0.2">
      <c r="A304" s="32">
        <f t="shared" ca="1" si="4"/>
        <v>46053</v>
      </c>
      <c r="B304" s="179">
        <f>SUMIFS('recurring2_based on steps'!$B304:$AY304,'recurring2_based on steps'!$B$1:$AY$1,B$1)+SUMIFS('changes2_based on steps'!$B304:$U304,'changes2_based on steps'!$B$1:$U$1,B$1)</f>
        <v>0</v>
      </c>
      <c r="C304" s="179">
        <f>SUMIFS('recurring2_based on steps'!$B304:$AY304,'recurring2_based on steps'!$B$1:$AY$1,C$1)+SUMIFS('changes2_based on steps'!$B304:$U304,'changes2_based on steps'!$B$1:$U$1,C$1)</f>
        <v>0</v>
      </c>
      <c r="D304" s="179">
        <f>SUMIFS('recurring2_based on steps'!$B304:$AY304,'recurring2_based on steps'!$B$1:$AY$1,D$1)+SUMIFS('changes2_based on steps'!$B304:$U304,'changes2_based on steps'!$B$1:$U$1,D$1)</f>
        <v>0</v>
      </c>
      <c r="E304" s="179">
        <f>SUMIFS('recurring2_based on steps'!$B304:$AY304,'recurring2_based on steps'!$B$1:$AY$1,E$1)+SUMIFS('changes2_based on steps'!$B304:$U304,'changes2_based on steps'!$B$1:$U$1,E$1)</f>
        <v>0</v>
      </c>
      <c r="F304" s="179">
        <f>SUMIFS('recurring2_based on steps'!$B304:$AY304,'recurring2_based on steps'!$B$1:$AY$1,F$1)+SUMIFS('changes2_based on steps'!$B304:$U304,'changes2_based on steps'!$B$1:$U$1,F$1)</f>
        <v>0</v>
      </c>
      <c r="G304" s="179">
        <f>SUMIFS('recurring2_based on steps'!$B304:$AY304,'recurring2_based on steps'!$B$1:$AY$1,G$1)+SUMIFS('changes2_based on steps'!$B304:$U304,'changes2_based on steps'!$B$1:$U$1,G$1)</f>
        <v>0</v>
      </c>
      <c r="H304" s="179">
        <f>SUMIFS('recurring2_based on steps'!$B304:$AY304,'recurring2_based on steps'!$B$1:$AY$1,H$1)+SUMIFS('changes2_based on steps'!$B304:$U304,'changes2_based on steps'!$B$1:$U$1,H$1)</f>
        <v>0</v>
      </c>
      <c r="I304" s="179">
        <f>SUMIFS('recurring2_based on steps'!$B304:$AY304,'recurring2_based on steps'!$B$1:$AY$1,I$1)+SUMIFS('changes2_based on steps'!$B304:$U304,'changes2_based on steps'!$B$1:$U$1,I$1)</f>
        <v>0</v>
      </c>
      <c r="J304" s="179">
        <f>SUMIFS('recurring2_based on steps'!$B304:$AY304,'recurring2_based on steps'!$B$1:$AY$1,J$1)+SUMIFS('changes2_based on steps'!$B304:$U304,'changes2_based on steps'!$B$1:$U$1,J$1)</f>
        <v>0</v>
      </c>
      <c r="K304" s="179">
        <f>SUMIFS('recurring2_based on steps'!$B304:$AY304,'recurring2_based on steps'!$B$1:$AY$1,K$1)+SUMIFS('changes2_based on steps'!$B304:$U304,'changes2_based on steps'!$B$1:$U$1,K$1)</f>
        <v>0</v>
      </c>
      <c r="L304" s="179">
        <f>SUMIFS('recurring2_based on steps'!$B304:$AY304,'recurring2_based on steps'!$B$1:$AY$1,L$1)+SUMIFS('changes2_based on steps'!$B304:$U304,'changes2_based on steps'!$B$1:$U$1,L$1)</f>
        <v>0</v>
      </c>
      <c r="M304" s="179">
        <f>SUMIFS('recurring2_based on steps'!$B304:$AY304,'recurring2_based on steps'!$B$1:$AY$1,M$1)+SUMIFS('changes2_based on steps'!$B304:$U304,'changes2_based on steps'!$B$1:$U$1,M$1)</f>
        <v>0</v>
      </c>
      <c r="N304" s="179">
        <f>SUMIFS('recurring2_based on steps'!$B304:$AY304,'recurring2_based on steps'!$B$1:$AY$1,N$1)+SUMIFS('changes2_based on steps'!$B304:$U304,'changes2_based on steps'!$B$1:$U$1,N$1)</f>
        <v>0</v>
      </c>
      <c r="O304" s="179">
        <f>SUMIFS('recurring2_based on steps'!$B304:$AY304,'recurring2_based on steps'!$B$1:$AY$1,O$1)+SUMIFS('changes2_based on steps'!$B304:$U304,'changes2_based on steps'!$B$1:$U$1,O$1)</f>
        <v>0</v>
      </c>
      <c r="P304" s="179">
        <f>SUMIFS('recurring2_based on steps'!$B304:$AY304,'recurring2_based on steps'!$B$1:$AY$1,P$1)+SUMIFS('changes2_based on steps'!$B304:$U304,'changes2_based on steps'!$B$1:$U$1,P$1)</f>
        <v>0</v>
      </c>
      <c r="Q304" s="179">
        <f>SUMIFS('recurring2_based on steps'!$B304:$AY304,'recurring2_based on steps'!$B$1:$AY$1,Q$1)+SUMIFS('changes2_based on steps'!$B304:$U304,'changes2_based on steps'!$B$1:$U$1,Q$1)</f>
        <v>0</v>
      </c>
      <c r="R304" s="179">
        <f>SUMIFS('recurring2_based on steps'!$B304:$AY304,'recurring2_based on steps'!$B$1:$AY$1,R$1)+SUMIFS('changes2_based on steps'!$B304:$U304,'changes2_based on steps'!$B$1:$U$1,R$1)</f>
        <v>0</v>
      </c>
      <c r="S304" s="179">
        <f>SUMIFS('recurring2_based on steps'!$B304:$AY304,'recurring2_based on steps'!$B$1:$AY$1,S$1)+SUMIFS('changes2_based on steps'!$B304:$U304,'changes2_based on steps'!$B$1:$U$1,S$1)</f>
        <v>0</v>
      </c>
      <c r="T304" s="179">
        <f>SUMIFS('recurring2_based on steps'!$B304:$AY304,'recurring2_based on steps'!$B$1:$AY$1,T$1)+SUMIFS('changes2_based on steps'!$B304:$U304,'changes2_based on steps'!$B$1:$U$1,T$1)</f>
        <v>0</v>
      </c>
      <c r="U304" s="179">
        <f>SUMIFS('recurring2_based on steps'!$B304:$AY304,'recurring2_based on steps'!$B$1:$AY$1,U$1)+SUMIFS('changes2_based on steps'!$B304:$U304,'changes2_based on steps'!$B$1:$U$1,U$1)</f>
        <v>0</v>
      </c>
      <c r="V304" s="179">
        <f>SUMIFS('recurring2_based on steps'!$B304:$AY304,'recurring2_based on steps'!$B$1:$AY$1,V$1)+SUMIFS('changes2_based on steps'!$B304:$U304,'changes2_based on steps'!$B$1:$U$1,V$1)</f>
        <v>0</v>
      </c>
      <c r="W304" s="179">
        <f>SUMIFS('recurring2_based on steps'!$B304:$AY304,'recurring2_based on steps'!$B$1:$AY$1,W$1)+SUMIFS('changes2_based on steps'!$B304:$U304,'changes2_based on steps'!$B$1:$U$1,W$1)</f>
        <v>0</v>
      </c>
      <c r="X304" s="179">
        <f>SUMIFS('recurring2_based on steps'!$B304:$AY304,'recurring2_based on steps'!$B$1:$AY$1,X$1)+SUMIFS('changes2_based on steps'!$B304:$U304,'changes2_based on steps'!$B$1:$U$1,X$1)</f>
        <v>0</v>
      </c>
      <c r="Y304" s="179">
        <f>SUMIFS('recurring2_based on steps'!$B304:$AY304,'recurring2_based on steps'!$B$1:$AY$1,Y$1)+SUMIFS('changes2_based on steps'!$B304:$U304,'changes2_based on steps'!$B$1:$U$1,Y$1)</f>
        <v>0</v>
      </c>
      <c r="Z304" s="179">
        <f>SUMIFS('recurring2_based on steps'!$B304:$AY304,'recurring2_based on steps'!$B$1:$AY$1,Z$1)+SUMIFS('changes2_based on steps'!$B304:$U304,'changes2_based on steps'!$B$1:$U$1,Z$1)</f>
        <v>0</v>
      </c>
      <c r="AA304" s="179">
        <f>SUMIFS('recurring2_based on steps'!$B304:$AY304,'recurring2_based on steps'!$B$1:$AY$1,AA$1)+SUMIFS('changes2_based on steps'!$B304:$U304,'changes2_based on steps'!$B$1:$U$1,AA$1)</f>
        <v>0</v>
      </c>
      <c r="AB304" s="179">
        <f>SUMIFS('recurring2_based on steps'!$B304:$AY304,'recurring2_based on steps'!$B$1:$AY$1,AB$1)+SUMIFS('changes2_based on steps'!$B304:$U304,'changes2_based on steps'!$B$1:$U$1,AB$1)</f>
        <v>0</v>
      </c>
      <c r="AC304" s="179">
        <f>SUMIFS('recurring2_based on steps'!$B304:$AY304,'recurring2_based on steps'!$B$1:$AY$1,AC$1)+SUMIFS('changes2_based on steps'!$B304:$U304,'changes2_based on steps'!$B$1:$U$1,AC$1)</f>
        <v>0</v>
      </c>
      <c r="AD304" s="179">
        <f>SUMIFS('recurring2_based on steps'!$B304:$AY304,'recurring2_based on steps'!$B$1:$AY$1,AD$1)+SUMIFS('changes2_based on steps'!$B304:$U304,'changes2_based on steps'!$B$1:$U$1,AD$1)</f>
        <v>0</v>
      </c>
      <c r="AE304" s="179">
        <f>SUMIFS('recurring2_based on steps'!$B304:$AY304,'recurring2_based on steps'!$B$1:$AY$1,AE$1)+SUMIFS('changes2_based on steps'!$B304:$U304,'changes2_based on steps'!$B$1:$U$1,AE$1)</f>
        <v>0</v>
      </c>
      <c r="AF304" s="179"/>
      <c r="AG304" s="179"/>
      <c r="AH304" s="179"/>
      <c r="AI304" s="179"/>
      <c r="AJ304" s="179"/>
      <c r="AK304" s="179"/>
      <c r="AL304" s="179"/>
      <c r="AM304" s="179"/>
    </row>
    <row r="305" spans="1:39" x14ac:dyDescent="0.2">
      <c r="A305" s="32">
        <f t="shared" ca="1" si="4"/>
        <v>46054</v>
      </c>
      <c r="B305" s="179">
        <f>SUMIFS('recurring2_based on steps'!$B305:$AY305,'recurring2_based on steps'!$B$1:$AY$1,B$1)+SUMIFS('changes2_based on steps'!$B305:$U305,'changes2_based on steps'!$B$1:$U$1,B$1)</f>
        <v>0</v>
      </c>
      <c r="C305" s="179">
        <f>SUMIFS('recurring2_based on steps'!$B305:$AY305,'recurring2_based on steps'!$B$1:$AY$1,C$1)+SUMIFS('changes2_based on steps'!$B305:$U305,'changes2_based on steps'!$B$1:$U$1,C$1)</f>
        <v>0</v>
      </c>
      <c r="D305" s="179">
        <f>SUMIFS('recurring2_based on steps'!$B305:$AY305,'recurring2_based on steps'!$B$1:$AY$1,D$1)+SUMIFS('changes2_based on steps'!$B305:$U305,'changes2_based on steps'!$B$1:$U$1,D$1)</f>
        <v>0</v>
      </c>
      <c r="E305" s="179">
        <f>SUMIFS('recurring2_based on steps'!$B305:$AY305,'recurring2_based on steps'!$B$1:$AY$1,E$1)+SUMIFS('changes2_based on steps'!$B305:$U305,'changes2_based on steps'!$B$1:$U$1,E$1)</f>
        <v>0</v>
      </c>
      <c r="F305" s="179">
        <f>SUMIFS('recurring2_based on steps'!$B305:$AY305,'recurring2_based on steps'!$B$1:$AY$1,F$1)+SUMIFS('changes2_based on steps'!$B305:$U305,'changes2_based on steps'!$B$1:$U$1,F$1)</f>
        <v>0</v>
      </c>
      <c r="G305" s="179">
        <f>SUMIFS('recurring2_based on steps'!$B305:$AY305,'recurring2_based on steps'!$B$1:$AY$1,G$1)+SUMIFS('changes2_based on steps'!$B305:$U305,'changes2_based on steps'!$B$1:$U$1,G$1)</f>
        <v>0</v>
      </c>
      <c r="H305" s="179">
        <f>SUMIFS('recurring2_based on steps'!$B305:$AY305,'recurring2_based on steps'!$B$1:$AY$1,H$1)+SUMIFS('changes2_based on steps'!$B305:$U305,'changes2_based on steps'!$B$1:$U$1,H$1)</f>
        <v>0</v>
      </c>
      <c r="I305" s="179">
        <f>SUMIFS('recurring2_based on steps'!$B305:$AY305,'recurring2_based on steps'!$B$1:$AY$1,I$1)+SUMIFS('changes2_based on steps'!$B305:$U305,'changes2_based on steps'!$B$1:$U$1,I$1)</f>
        <v>0</v>
      </c>
      <c r="J305" s="179">
        <f>SUMIFS('recurring2_based on steps'!$B305:$AY305,'recurring2_based on steps'!$B$1:$AY$1,J$1)+SUMIFS('changes2_based on steps'!$B305:$U305,'changes2_based on steps'!$B$1:$U$1,J$1)</f>
        <v>0</v>
      </c>
      <c r="K305" s="179">
        <f>SUMIFS('recurring2_based on steps'!$B305:$AY305,'recurring2_based on steps'!$B$1:$AY$1,K$1)+SUMIFS('changes2_based on steps'!$B305:$U305,'changes2_based on steps'!$B$1:$U$1,K$1)</f>
        <v>0</v>
      </c>
      <c r="L305" s="179">
        <f>SUMIFS('recurring2_based on steps'!$B305:$AY305,'recurring2_based on steps'!$B$1:$AY$1,L$1)+SUMIFS('changes2_based on steps'!$B305:$U305,'changes2_based on steps'!$B$1:$U$1,L$1)</f>
        <v>0</v>
      </c>
      <c r="M305" s="179">
        <f>SUMIFS('recurring2_based on steps'!$B305:$AY305,'recurring2_based on steps'!$B$1:$AY$1,M$1)+SUMIFS('changes2_based on steps'!$B305:$U305,'changes2_based on steps'!$B$1:$U$1,M$1)</f>
        <v>0</v>
      </c>
      <c r="N305" s="179">
        <f>SUMIFS('recurring2_based on steps'!$B305:$AY305,'recurring2_based on steps'!$B$1:$AY$1,N$1)+SUMIFS('changes2_based on steps'!$B305:$U305,'changes2_based on steps'!$B$1:$U$1,N$1)</f>
        <v>0</v>
      </c>
      <c r="O305" s="179">
        <f>SUMIFS('recurring2_based on steps'!$B305:$AY305,'recurring2_based on steps'!$B$1:$AY$1,O$1)+SUMIFS('changes2_based on steps'!$B305:$U305,'changes2_based on steps'!$B$1:$U$1,O$1)</f>
        <v>0</v>
      </c>
      <c r="P305" s="179">
        <f>SUMIFS('recurring2_based on steps'!$B305:$AY305,'recurring2_based on steps'!$B$1:$AY$1,P$1)+SUMIFS('changes2_based on steps'!$B305:$U305,'changes2_based on steps'!$B$1:$U$1,P$1)</f>
        <v>0</v>
      </c>
      <c r="Q305" s="179">
        <f>SUMIFS('recurring2_based on steps'!$B305:$AY305,'recurring2_based on steps'!$B$1:$AY$1,Q$1)+SUMIFS('changes2_based on steps'!$B305:$U305,'changes2_based on steps'!$B$1:$U$1,Q$1)</f>
        <v>0</v>
      </c>
      <c r="R305" s="179">
        <f>SUMIFS('recurring2_based on steps'!$B305:$AY305,'recurring2_based on steps'!$B$1:$AY$1,R$1)+SUMIFS('changes2_based on steps'!$B305:$U305,'changes2_based on steps'!$B$1:$U$1,R$1)</f>
        <v>0</v>
      </c>
      <c r="S305" s="179">
        <f>SUMIFS('recurring2_based on steps'!$B305:$AY305,'recurring2_based on steps'!$B$1:$AY$1,S$1)+SUMIFS('changes2_based on steps'!$B305:$U305,'changes2_based on steps'!$B$1:$U$1,S$1)</f>
        <v>0</v>
      </c>
      <c r="T305" s="179">
        <f>SUMIFS('recurring2_based on steps'!$B305:$AY305,'recurring2_based on steps'!$B$1:$AY$1,T$1)+SUMIFS('changes2_based on steps'!$B305:$U305,'changes2_based on steps'!$B$1:$U$1,T$1)</f>
        <v>0</v>
      </c>
      <c r="U305" s="179">
        <f>SUMIFS('recurring2_based on steps'!$B305:$AY305,'recurring2_based on steps'!$B$1:$AY$1,U$1)+SUMIFS('changes2_based on steps'!$B305:$U305,'changes2_based on steps'!$B$1:$U$1,U$1)</f>
        <v>0</v>
      </c>
      <c r="V305" s="179">
        <f>SUMIFS('recurring2_based on steps'!$B305:$AY305,'recurring2_based on steps'!$B$1:$AY$1,V$1)+SUMIFS('changes2_based on steps'!$B305:$U305,'changes2_based on steps'!$B$1:$U$1,V$1)</f>
        <v>0</v>
      </c>
      <c r="W305" s="179">
        <f>SUMIFS('recurring2_based on steps'!$B305:$AY305,'recurring2_based on steps'!$B$1:$AY$1,W$1)+SUMIFS('changes2_based on steps'!$B305:$U305,'changes2_based on steps'!$B$1:$U$1,W$1)</f>
        <v>0</v>
      </c>
      <c r="X305" s="179">
        <f>SUMIFS('recurring2_based on steps'!$B305:$AY305,'recurring2_based on steps'!$B$1:$AY$1,X$1)+SUMIFS('changes2_based on steps'!$B305:$U305,'changes2_based on steps'!$B$1:$U$1,X$1)</f>
        <v>0</v>
      </c>
      <c r="Y305" s="179">
        <f>SUMIFS('recurring2_based on steps'!$B305:$AY305,'recurring2_based on steps'!$B$1:$AY$1,Y$1)+SUMIFS('changes2_based on steps'!$B305:$U305,'changes2_based on steps'!$B$1:$U$1,Y$1)</f>
        <v>0</v>
      </c>
      <c r="Z305" s="179">
        <f>SUMIFS('recurring2_based on steps'!$B305:$AY305,'recurring2_based on steps'!$B$1:$AY$1,Z$1)+SUMIFS('changes2_based on steps'!$B305:$U305,'changes2_based on steps'!$B$1:$U$1,Z$1)</f>
        <v>0</v>
      </c>
      <c r="AA305" s="179">
        <f>SUMIFS('recurring2_based on steps'!$B305:$AY305,'recurring2_based on steps'!$B$1:$AY$1,AA$1)+SUMIFS('changes2_based on steps'!$B305:$U305,'changes2_based on steps'!$B$1:$U$1,AA$1)</f>
        <v>0</v>
      </c>
      <c r="AB305" s="179">
        <f>SUMIFS('recurring2_based on steps'!$B305:$AY305,'recurring2_based on steps'!$B$1:$AY$1,AB$1)+SUMIFS('changes2_based on steps'!$B305:$U305,'changes2_based on steps'!$B$1:$U$1,AB$1)</f>
        <v>0</v>
      </c>
      <c r="AC305" s="179">
        <f>SUMIFS('recurring2_based on steps'!$B305:$AY305,'recurring2_based on steps'!$B$1:$AY$1,AC$1)+SUMIFS('changes2_based on steps'!$B305:$U305,'changes2_based on steps'!$B$1:$U$1,AC$1)</f>
        <v>0</v>
      </c>
      <c r="AD305" s="179">
        <f>SUMIFS('recurring2_based on steps'!$B305:$AY305,'recurring2_based on steps'!$B$1:$AY$1,AD$1)+SUMIFS('changes2_based on steps'!$B305:$U305,'changes2_based on steps'!$B$1:$U$1,AD$1)</f>
        <v>0</v>
      </c>
      <c r="AE305" s="179">
        <f>SUMIFS('recurring2_based on steps'!$B305:$AY305,'recurring2_based on steps'!$B$1:$AY$1,AE$1)+SUMIFS('changes2_based on steps'!$B305:$U305,'changes2_based on steps'!$B$1:$U$1,AE$1)</f>
        <v>0</v>
      </c>
      <c r="AF305" s="179"/>
      <c r="AG305" s="179"/>
      <c r="AH305" s="179"/>
      <c r="AI305" s="179"/>
      <c r="AJ305" s="179"/>
      <c r="AK305" s="179"/>
      <c r="AL305" s="179"/>
      <c r="AM305" s="179"/>
    </row>
    <row r="306" spans="1:39" x14ac:dyDescent="0.2">
      <c r="A306" s="32">
        <f t="shared" ca="1" si="4"/>
        <v>46055</v>
      </c>
      <c r="B306" s="179">
        <f>SUMIFS('recurring2_based on steps'!$B306:$AY306,'recurring2_based on steps'!$B$1:$AY$1,B$1)+SUMIFS('changes2_based on steps'!$B306:$U306,'changes2_based on steps'!$B$1:$U$1,B$1)</f>
        <v>0</v>
      </c>
      <c r="C306" s="179">
        <f>SUMIFS('recurring2_based on steps'!$B306:$AY306,'recurring2_based on steps'!$B$1:$AY$1,C$1)+SUMIFS('changes2_based on steps'!$B306:$U306,'changes2_based on steps'!$B$1:$U$1,C$1)</f>
        <v>0</v>
      </c>
      <c r="D306" s="179">
        <f>SUMIFS('recurring2_based on steps'!$B306:$AY306,'recurring2_based on steps'!$B$1:$AY$1,D$1)+SUMIFS('changes2_based on steps'!$B306:$U306,'changes2_based on steps'!$B$1:$U$1,D$1)</f>
        <v>0</v>
      </c>
      <c r="E306" s="179">
        <f>SUMIFS('recurring2_based on steps'!$B306:$AY306,'recurring2_based on steps'!$B$1:$AY$1,E$1)+SUMIFS('changes2_based on steps'!$B306:$U306,'changes2_based on steps'!$B$1:$U$1,E$1)</f>
        <v>0</v>
      </c>
      <c r="F306" s="179">
        <f>SUMIFS('recurring2_based on steps'!$B306:$AY306,'recurring2_based on steps'!$B$1:$AY$1,F$1)+SUMIFS('changes2_based on steps'!$B306:$U306,'changes2_based on steps'!$B$1:$U$1,F$1)</f>
        <v>0</v>
      </c>
      <c r="G306" s="179">
        <f>SUMIFS('recurring2_based on steps'!$B306:$AY306,'recurring2_based on steps'!$B$1:$AY$1,G$1)+SUMIFS('changes2_based on steps'!$B306:$U306,'changes2_based on steps'!$B$1:$U$1,G$1)</f>
        <v>0</v>
      </c>
      <c r="H306" s="179">
        <f>SUMIFS('recurring2_based on steps'!$B306:$AY306,'recurring2_based on steps'!$B$1:$AY$1,H$1)+SUMIFS('changes2_based on steps'!$B306:$U306,'changes2_based on steps'!$B$1:$U$1,H$1)</f>
        <v>0</v>
      </c>
      <c r="I306" s="179">
        <f>SUMIFS('recurring2_based on steps'!$B306:$AY306,'recurring2_based on steps'!$B$1:$AY$1,I$1)+SUMIFS('changes2_based on steps'!$B306:$U306,'changes2_based on steps'!$B$1:$U$1,I$1)</f>
        <v>0</v>
      </c>
      <c r="J306" s="179">
        <f>SUMIFS('recurring2_based on steps'!$B306:$AY306,'recurring2_based on steps'!$B$1:$AY$1,J$1)+SUMIFS('changes2_based on steps'!$B306:$U306,'changes2_based on steps'!$B$1:$U$1,J$1)</f>
        <v>0</v>
      </c>
      <c r="K306" s="179">
        <f>SUMIFS('recurring2_based on steps'!$B306:$AY306,'recurring2_based on steps'!$B$1:$AY$1,K$1)+SUMIFS('changes2_based on steps'!$B306:$U306,'changes2_based on steps'!$B$1:$U$1,K$1)</f>
        <v>0</v>
      </c>
      <c r="L306" s="179">
        <f>SUMIFS('recurring2_based on steps'!$B306:$AY306,'recurring2_based on steps'!$B$1:$AY$1,L$1)+SUMIFS('changes2_based on steps'!$B306:$U306,'changes2_based on steps'!$B$1:$U$1,L$1)</f>
        <v>0</v>
      </c>
      <c r="M306" s="179">
        <f>SUMIFS('recurring2_based on steps'!$B306:$AY306,'recurring2_based on steps'!$B$1:$AY$1,M$1)+SUMIFS('changes2_based on steps'!$B306:$U306,'changes2_based on steps'!$B$1:$U$1,M$1)</f>
        <v>0</v>
      </c>
      <c r="N306" s="179">
        <f>SUMIFS('recurring2_based on steps'!$B306:$AY306,'recurring2_based on steps'!$B$1:$AY$1,N$1)+SUMIFS('changes2_based on steps'!$B306:$U306,'changes2_based on steps'!$B$1:$U$1,N$1)</f>
        <v>0</v>
      </c>
      <c r="O306" s="179">
        <f>SUMIFS('recurring2_based on steps'!$B306:$AY306,'recurring2_based on steps'!$B$1:$AY$1,O$1)+SUMIFS('changes2_based on steps'!$B306:$U306,'changes2_based on steps'!$B$1:$U$1,O$1)</f>
        <v>0</v>
      </c>
      <c r="P306" s="179">
        <f>SUMIFS('recurring2_based on steps'!$B306:$AY306,'recurring2_based on steps'!$B$1:$AY$1,P$1)+SUMIFS('changes2_based on steps'!$B306:$U306,'changes2_based on steps'!$B$1:$U$1,P$1)</f>
        <v>0</v>
      </c>
      <c r="Q306" s="179">
        <f>SUMIFS('recurring2_based on steps'!$B306:$AY306,'recurring2_based on steps'!$B$1:$AY$1,Q$1)+SUMIFS('changes2_based on steps'!$B306:$U306,'changes2_based on steps'!$B$1:$U$1,Q$1)</f>
        <v>0</v>
      </c>
      <c r="R306" s="179">
        <f>SUMIFS('recurring2_based on steps'!$B306:$AY306,'recurring2_based on steps'!$B$1:$AY$1,R$1)+SUMIFS('changes2_based on steps'!$B306:$U306,'changes2_based on steps'!$B$1:$U$1,R$1)</f>
        <v>0</v>
      </c>
      <c r="S306" s="179">
        <f>SUMIFS('recurring2_based on steps'!$B306:$AY306,'recurring2_based on steps'!$B$1:$AY$1,S$1)+SUMIFS('changes2_based on steps'!$B306:$U306,'changes2_based on steps'!$B$1:$U$1,S$1)</f>
        <v>0</v>
      </c>
      <c r="T306" s="179">
        <f>SUMIFS('recurring2_based on steps'!$B306:$AY306,'recurring2_based on steps'!$B$1:$AY$1,T$1)+SUMIFS('changes2_based on steps'!$B306:$U306,'changes2_based on steps'!$B$1:$U$1,T$1)</f>
        <v>0</v>
      </c>
      <c r="U306" s="179">
        <f>SUMIFS('recurring2_based on steps'!$B306:$AY306,'recurring2_based on steps'!$B$1:$AY$1,U$1)+SUMIFS('changes2_based on steps'!$B306:$U306,'changes2_based on steps'!$B$1:$U$1,U$1)</f>
        <v>0</v>
      </c>
      <c r="V306" s="179">
        <f>SUMIFS('recurring2_based on steps'!$B306:$AY306,'recurring2_based on steps'!$B$1:$AY$1,V$1)+SUMIFS('changes2_based on steps'!$B306:$U306,'changes2_based on steps'!$B$1:$U$1,V$1)</f>
        <v>0</v>
      </c>
      <c r="W306" s="179">
        <f>SUMIFS('recurring2_based on steps'!$B306:$AY306,'recurring2_based on steps'!$B$1:$AY$1,W$1)+SUMIFS('changes2_based on steps'!$B306:$U306,'changes2_based on steps'!$B$1:$U$1,W$1)</f>
        <v>0</v>
      </c>
      <c r="X306" s="179">
        <f>SUMIFS('recurring2_based on steps'!$B306:$AY306,'recurring2_based on steps'!$B$1:$AY$1,X$1)+SUMIFS('changes2_based on steps'!$B306:$U306,'changes2_based on steps'!$B$1:$U$1,X$1)</f>
        <v>0</v>
      </c>
      <c r="Y306" s="179">
        <f>SUMIFS('recurring2_based on steps'!$B306:$AY306,'recurring2_based on steps'!$B$1:$AY$1,Y$1)+SUMIFS('changes2_based on steps'!$B306:$U306,'changes2_based on steps'!$B$1:$U$1,Y$1)</f>
        <v>0</v>
      </c>
      <c r="Z306" s="179">
        <f>SUMIFS('recurring2_based on steps'!$B306:$AY306,'recurring2_based on steps'!$B$1:$AY$1,Z$1)+SUMIFS('changes2_based on steps'!$B306:$U306,'changes2_based on steps'!$B$1:$U$1,Z$1)</f>
        <v>0</v>
      </c>
      <c r="AA306" s="179">
        <f>SUMIFS('recurring2_based on steps'!$B306:$AY306,'recurring2_based on steps'!$B$1:$AY$1,AA$1)+SUMIFS('changes2_based on steps'!$B306:$U306,'changes2_based on steps'!$B$1:$U$1,AA$1)</f>
        <v>0</v>
      </c>
      <c r="AB306" s="179">
        <f>SUMIFS('recurring2_based on steps'!$B306:$AY306,'recurring2_based on steps'!$B$1:$AY$1,AB$1)+SUMIFS('changes2_based on steps'!$B306:$U306,'changes2_based on steps'!$B$1:$U$1,AB$1)</f>
        <v>0</v>
      </c>
      <c r="AC306" s="179">
        <f>SUMIFS('recurring2_based on steps'!$B306:$AY306,'recurring2_based on steps'!$B$1:$AY$1,AC$1)+SUMIFS('changes2_based on steps'!$B306:$U306,'changes2_based on steps'!$B$1:$U$1,AC$1)</f>
        <v>0</v>
      </c>
      <c r="AD306" s="179">
        <f>SUMIFS('recurring2_based on steps'!$B306:$AY306,'recurring2_based on steps'!$B$1:$AY$1,AD$1)+SUMIFS('changes2_based on steps'!$B306:$U306,'changes2_based on steps'!$B$1:$U$1,AD$1)</f>
        <v>0</v>
      </c>
      <c r="AE306" s="179">
        <f>SUMIFS('recurring2_based on steps'!$B306:$AY306,'recurring2_based on steps'!$B$1:$AY$1,AE$1)+SUMIFS('changes2_based on steps'!$B306:$U306,'changes2_based on steps'!$B$1:$U$1,AE$1)</f>
        <v>0</v>
      </c>
      <c r="AF306" s="179"/>
      <c r="AG306" s="179"/>
      <c r="AH306" s="179"/>
      <c r="AI306" s="179"/>
      <c r="AJ306" s="179"/>
      <c r="AK306" s="179"/>
      <c r="AL306" s="179"/>
      <c r="AM306" s="179"/>
    </row>
    <row r="307" spans="1:39" x14ac:dyDescent="0.2">
      <c r="A307" s="32">
        <f t="shared" ca="1" si="4"/>
        <v>46056</v>
      </c>
      <c r="B307" s="179">
        <f>SUMIFS('recurring2_based on steps'!$B307:$AY307,'recurring2_based on steps'!$B$1:$AY$1,B$1)+SUMIFS('changes2_based on steps'!$B307:$U307,'changes2_based on steps'!$B$1:$U$1,B$1)</f>
        <v>0</v>
      </c>
      <c r="C307" s="179">
        <f>SUMIFS('recurring2_based on steps'!$B307:$AY307,'recurring2_based on steps'!$B$1:$AY$1,C$1)+SUMIFS('changes2_based on steps'!$B307:$U307,'changes2_based on steps'!$B$1:$U$1,C$1)</f>
        <v>0</v>
      </c>
      <c r="D307" s="179">
        <f>SUMIFS('recurring2_based on steps'!$B307:$AY307,'recurring2_based on steps'!$B$1:$AY$1,D$1)+SUMIFS('changes2_based on steps'!$B307:$U307,'changes2_based on steps'!$B$1:$U$1,D$1)</f>
        <v>0</v>
      </c>
      <c r="E307" s="179">
        <f>SUMIFS('recurring2_based on steps'!$B307:$AY307,'recurring2_based on steps'!$B$1:$AY$1,E$1)+SUMIFS('changes2_based on steps'!$B307:$U307,'changes2_based on steps'!$B$1:$U$1,E$1)</f>
        <v>0</v>
      </c>
      <c r="F307" s="179">
        <f>SUMIFS('recurring2_based on steps'!$B307:$AY307,'recurring2_based on steps'!$B$1:$AY$1,F$1)+SUMIFS('changes2_based on steps'!$B307:$U307,'changes2_based on steps'!$B$1:$U$1,F$1)</f>
        <v>0</v>
      </c>
      <c r="G307" s="179">
        <f>SUMIFS('recurring2_based on steps'!$B307:$AY307,'recurring2_based on steps'!$B$1:$AY$1,G$1)+SUMIFS('changes2_based on steps'!$B307:$U307,'changes2_based on steps'!$B$1:$U$1,G$1)</f>
        <v>0</v>
      </c>
      <c r="H307" s="179">
        <f>SUMIFS('recurring2_based on steps'!$B307:$AY307,'recurring2_based on steps'!$B$1:$AY$1,H$1)+SUMIFS('changes2_based on steps'!$B307:$U307,'changes2_based on steps'!$B$1:$U$1,H$1)</f>
        <v>0</v>
      </c>
      <c r="I307" s="179">
        <f>SUMIFS('recurring2_based on steps'!$B307:$AY307,'recurring2_based on steps'!$B$1:$AY$1,I$1)+SUMIFS('changes2_based on steps'!$B307:$U307,'changes2_based on steps'!$B$1:$U$1,I$1)</f>
        <v>0</v>
      </c>
      <c r="J307" s="179">
        <f>SUMIFS('recurring2_based on steps'!$B307:$AY307,'recurring2_based on steps'!$B$1:$AY$1,J$1)+SUMIFS('changes2_based on steps'!$B307:$U307,'changes2_based on steps'!$B$1:$U$1,J$1)</f>
        <v>0</v>
      </c>
      <c r="K307" s="179">
        <f>SUMIFS('recurring2_based on steps'!$B307:$AY307,'recurring2_based on steps'!$B$1:$AY$1,K$1)+SUMIFS('changes2_based on steps'!$B307:$U307,'changes2_based on steps'!$B$1:$U$1,K$1)</f>
        <v>0</v>
      </c>
      <c r="L307" s="179">
        <f>SUMIFS('recurring2_based on steps'!$B307:$AY307,'recurring2_based on steps'!$B$1:$AY$1,L$1)+SUMIFS('changes2_based on steps'!$B307:$U307,'changes2_based on steps'!$B$1:$U$1,L$1)</f>
        <v>0</v>
      </c>
      <c r="M307" s="179">
        <f>SUMIFS('recurring2_based on steps'!$B307:$AY307,'recurring2_based on steps'!$B$1:$AY$1,M$1)+SUMIFS('changes2_based on steps'!$B307:$U307,'changes2_based on steps'!$B$1:$U$1,M$1)</f>
        <v>0</v>
      </c>
      <c r="N307" s="179">
        <f>SUMIFS('recurring2_based on steps'!$B307:$AY307,'recurring2_based on steps'!$B$1:$AY$1,N$1)+SUMIFS('changes2_based on steps'!$B307:$U307,'changes2_based on steps'!$B$1:$U$1,N$1)</f>
        <v>0</v>
      </c>
      <c r="O307" s="179">
        <f>SUMIFS('recurring2_based on steps'!$B307:$AY307,'recurring2_based on steps'!$B$1:$AY$1,O$1)+SUMIFS('changes2_based on steps'!$B307:$U307,'changes2_based on steps'!$B$1:$U$1,O$1)</f>
        <v>0</v>
      </c>
      <c r="P307" s="179">
        <f>SUMIFS('recurring2_based on steps'!$B307:$AY307,'recurring2_based on steps'!$B$1:$AY$1,P$1)+SUMIFS('changes2_based on steps'!$B307:$U307,'changes2_based on steps'!$B$1:$U$1,P$1)</f>
        <v>0</v>
      </c>
      <c r="Q307" s="179">
        <f>SUMIFS('recurring2_based on steps'!$B307:$AY307,'recurring2_based on steps'!$B$1:$AY$1,Q$1)+SUMIFS('changes2_based on steps'!$B307:$U307,'changes2_based on steps'!$B$1:$U$1,Q$1)</f>
        <v>0</v>
      </c>
      <c r="R307" s="179">
        <f>SUMIFS('recurring2_based on steps'!$B307:$AY307,'recurring2_based on steps'!$B$1:$AY$1,R$1)+SUMIFS('changes2_based on steps'!$B307:$U307,'changes2_based on steps'!$B$1:$U$1,R$1)</f>
        <v>0</v>
      </c>
      <c r="S307" s="179">
        <f>SUMIFS('recurring2_based on steps'!$B307:$AY307,'recurring2_based on steps'!$B$1:$AY$1,S$1)+SUMIFS('changes2_based on steps'!$B307:$U307,'changes2_based on steps'!$B$1:$U$1,S$1)</f>
        <v>0</v>
      </c>
      <c r="T307" s="179">
        <f>SUMIFS('recurring2_based on steps'!$B307:$AY307,'recurring2_based on steps'!$B$1:$AY$1,T$1)+SUMIFS('changes2_based on steps'!$B307:$U307,'changes2_based on steps'!$B$1:$U$1,T$1)</f>
        <v>0</v>
      </c>
      <c r="U307" s="179">
        <f>SUMIFS('recurring2_based on steps'!$B307:$AY307,'recurring2_based on steps'!$B$1:$AY$1,U$1)+SUMIFS('changes2_based on steps'!$B307:$U307,'changes2_based on steps'!$B$1:$U$1,U$1)</f>
        <v>0</v>
      </c>
      <c r="V307" s="179">
        <f>SUMIFS('recurring2_based on steps'!$B307:$AY307,'recurring2_based on steps'!$B$1:$AY$1,V$1)+SUMIFS('changes2_based on steps'!$B307:$U307,'changes2_based on steps'!$B$1:$U$1,V$1)</f>
        <v>0</v>
      </c>
      <c r="W307" s="179">
        <f>SUMIFS('recurring2_based on steps'!$B307:$AY307,'recurring2_based on steps'!$B$1:$AY$1,W$1)+SUMIFS('changes2_based on steps'!$B307:$U307,'changes2_based on steps'!$B$1:$U$1,W$1)</f>
        <v>0</v>
      </c>
      <c r="X307" s="179">
        <f>SUMIFS('recurring2_based on steps'!$B307:$AY307,'recurring2_based on steps'!$B$1:$AY$1,X$1)+SUMIFS('changes2_based on steps'!$B307:$U307,'changes2_based on steps'!$B$1:$U$1,X$1)</f>
        <v>0</v>
      </c>
      <c r="Y307" s="179">
        <f>SUMIFS('recurring2_based on steps'!$B307:$AY307,'recurring2_based on steps'!$B$1:$AY$1,Y$1)+SUMIFS('changes2_based on steps'!$B307:$U307,'changes2_based on steps'!$B$1:$U$1,Y$1)</f>
        <v>0</v>
      </c>
      <c r="Z307" s="179">
        <f>SUMIFS('recurring2_based on steps'!$B307:$AY307,'recurring2_based on steps'!$B$1:$AY$1,Z$1)+SUMIFS('changes2_based on steps'!$B307:$U307,'changes2_based on steps'!$B$1:$U$1,Z$1)</f>
        <v>0</v>
      </c>
      <c r="AA307" s="179">
        <f>SUMIFS('recurring2_based on steps'!$B307:$AY307,'recurring2_based on steps'!$B$1:$AY$1,AA$1)+SUMIFS('changes2_based on steps'!$B307:$U307,'changes2_based on steps'!$B$1:$U$1,AA$1)</f>
        <v>0</v>
      </c>
      <c r="AB307" s="179">
        <f>SUMIFS('recurring2_based on steps'!$B307:$AY307,'recurring2_based on steps'!$B$1:$AY$1,AB$1)+SUMIFS('changes2_based on steps'!$B307:$U307,'changes2_based on steps'!$B$1:$U$1,AB$1)</f>
        <v>0</v>
      </c>
      <c r="AC307" s="179">
        <f>SUMIFS('recurring2_based on steps'!$B307:$AY307,'recurring2_based on steps'!$B$1:$AY$1,AC$1)+SUMIFS('changes2_based on steps'!$B307:$U307,'changes2_based on steps'!$B$1:$U$1,AC$1)</f>
        <v>0</v>
      </c>
      <c r="AD307" s="179">
        <f>SUMIFS('recurring2_based on steps'!$B307:$AY307,'recurring2_based on steps'!$B$1:$AY$1,AD$1)+SUMIFS('changes2_based on steps'!$B307:$U307,'changes2_based on steps'!$B$1:$U$1,AD$1)</f>
        <v>0</v>
      </c>
      <c r="AE307" s="179">
        <f>SUMIFS('recurring2_based on steps'!$B307:$AY307,'recurring2_based on steps'!$B$1:$AY$1,AE$1)+SUMIFS('changes2_based on steps'!$B307:$U307,'changes2_based on steps'!$B$1:$U$1,AE$1)</f>
        <v>0</v>
      </c>
      <c r="AF307" s="179"/>
      <c r="AG307" s="179"/>
      <c r="AH307" s="179"/>
      <c r="AI307" s="179"/>
      <c r="AJ307" s="179"/>
      <c r="AK307" s="179"/>
      <c r="AL307" s="179"/>
      <c r="AM307" s="179"/>
    </row>
    <row r="308" spans="1:39" x14ac:dyDescent="0.2">
      <c r="A308" s="32">
        <f t="shared" ca="1" si="4"/>
        <v>46057</v>
      </c>
      <c r="B308" s="179">
        <f>SUMIFS('recurring2_based on steps'!$B308:$AY308,'recurring2_based on steps'!$B$1:$AY$1,B$1)+SUMIFS('changes2_based on steps'!$B308:$U308,'changes2_based on steps'!$B$1:$U$1,B$1)</f>
        <v>0</v>
      </c>
      <c r="C308" s="179">
        <f>SUMIFS('recurring2_based on steps'!$B308:$AY308,'recurring2_based on steps'!$B$1:$AY$1,C$1)+SUMIFS('changes2_based on steps'!$B308:$U308,'changes2_based on steps'!$B$1:$U$1,C$1)</f>
        <v>0</v>
      </c>
      <c r="D308" s="179">
        <f>SUMIFS('recurring2_based on steps'!$B308:$AY308,'recurring2_based on steps'!$B$1:$AY$1,D$1)+SUMIFS('changes2_based on steps'!$B308:$U308,'changes2_based on steps'!$B$1:$U$1,D$1)</f>
        <v>0</v>
      </c>
      <c r="E308" s="179">
        <f>SUMIFS('recurring2_based on steps'!$B308:$AY308,'recurring2_based on steps'!$B$1:$AY$1,E$1)+SUMIFS('changes2_based on steps'!$B308:$U308,'changes2_based on steps'!$B$1:$U$1,E$1)</f>
        <v>0</v>
      </c>
      <c r="F308" s="179">
        <f>SUMIFS('recurring2_based on steps'!$B308:$AY308,'recurring2_based on steps'!$B$1:$AY$1,F$1)+SUMIFS('changes2_based on steps'!$B308:$U308,'changes2_based on steps'!$B$1:$U$1,F$1)</f>
        <v>0</v>
      </c>
      <c r="G308" s="179">
        <f>SUMIFS('recurring2_based on steps'!$B308:$AY308,'recurring2_based on steps'!$B$1:$AY$1,G$1)+SUMIFS('changes2_based on steps'!$B308:$U308,'changes2_based on steps'!$B$1:$U$1,G$1)</f>
        <v>0</v>
      </c>
      <c r="H308" s="179">
        <f>SUMIFS('recurring2_based on steps'!$B308:$AY308,'recurring2_based on steps'!$B$1:$AY$1,H$1)+SUMIFS('changes2_based on steps'!$B308:$U308,'changes2_based on steps'!$B$1:$U$1,H$1)</f>
        <v>0</v>
      </c>
      <c r="I308" s="179">
        <f>SUMIFS('recurring2_based on steps'!$B308:$AY308,'recurring2_based on steps'!$B$1:$AY$1,I$1)+SUMIFS('changes2_based on steps'!$B308:$U308,'changes2_based on steps'!$B$1:$U$1,I$1)</f>
        <v>0</v>
      </c>
      <c r="J308" s="179">
        <f>SUMIFS('recurring2_based on steps'!$B308:$AY308,'recurring2_based on steps'!$B$1:$AY$1,J$1)+SUMIFS('changes2_based on steps'!$B308:$U308,'changes2_based on steps'!$B$1:$U$1,J$1)</f>
        <v>0</v>
      </c>
      <c r="K308" s="179">
        <f>SUMIFS('recurring2_based on steps'!$B308:$AY308,'recurring2_based on steps'!$B$1:$AY$1,K$1)+SUMIFS('changes2_based on steps'!$B308:$U308,'changes2_based on steps'!$B$1:$U$1,K$1)</f>
        <v>0</v>
      </c>
      <c r="L308" s="179">
        <f>SUMIFS('recurring2_based on steps'!$B308:$AY308,'recurring2_based on steps'!$B$1:$AY$1,L$1)+SUMIFS('changes2_based on steps'!$B308:$U308,'changes2_based on steps'!$B$1:$U$1,L$1)</f>
        <v>0</v>
      </c>
      <c r="M308" s="179">
        <f>SUMIFS('recurring2_based on steps'!$B308:$AY308,'recurring2_based on steps'!$B$1:$AY$1,M$1)+SUMIFS('changes2_based on steps'!$B308:$U308,'changes2_based on steps'!$B$1:$U$1,M$1)</f>
        <v>0</v>
      </c>
      <c r="N308" s="179">
        <f>SUMIFS('recurring2_based on steps'!$B308:$AY308,'recurring2_based on steps'!$B$1:$AY$1,N$1)+SUMIFS('changes2_based on steps'!$B308:$U308,'changes2_based on steps'!$B$1:$U$1,N$1)</f>
        <v>0</v>
      </c>
      <c r="O308" s="179">
        <f>SUMIFS('recurring2_based on steps'!$B308:$AY308,'recurring2_based on steps'!$B$1:$AY$1,O$1)+SUMIFS('changes2_based on steps'!$B308:$U308,'changes2_based on steps'!$B$1:$U$1,O$1)</f>
        <v>0</v>
      </c>
      <c r="P308" s="179">
        <f>SUMIFS('recurring2_based on steps'!$B308:$AY308,'recurring2_based on steps'!$B$1:$AY$1,P$1)+SUMIFS('changes2_based on steps'!$B308:$U308,'changes2_based on steps'!$B$1:$U$1,P$1)</f>
        <v>0</v>
      </c>
      <c r="Q308" s="179">
        <f>SUMIFS('recurring2_based on steps'!$B308:$AY308,'recurring2_based on steps'!$B$1:$AY$1,Q$1)+SUMIFS('changes2_based on steps'!$B308:$U308,'changes2_based on steps'!$B$1:$U$1,Q$1)</f>
        <v>0</v>
      </c>
      <c r="R308" s="179">
        <f>SUMIFS('recurring2_based on steps'!$B308:$AY308,'recurring2_based on steps'!$B$1:$AY$1,R$1)+SUMIFS('changes2_based on steps'!$B308:$U308,'changes2_based on steps'!$B$1:$U$1,R$1)</f>
        <v>0</v>
      </c>
      <c r="S308" s="179">
        <f>SUMIFS('recurring2_based on steps'!$B308:$AY308,'recurring2_based on steps'!$B$1:$AY$1,S$1)+SUMIFS('changes2_based on steps'!$B308:$U308,'changes2_based on steps'!$B$1:$U$1,S$1)</f>
        <v>0</v>
      </c>
      <c r="T308" s="179">
        <f>SUMIFS('recurring2_based on steps'!$B308:$AY308,'recurring2_based on steps'!$B$1:$AY$1,T$1)+SUMIFS('changes2_based on steps'!$B308:$U308,'changes2_based on steps'!$B$1:$U$1,T$1)</f>
        <v>0</v>
      </c>
      <c r="U308" s="179">
        <f>SUMIFS('recurring2_based on steps'!$B308:$AY308,'recurring2_based on steps'!$B$1:$AY$1,U$1)+SUMIFS('changes2_based on steps'!$B308:$U308,'changes2_based on steps'!$B$1:$U$1,U$1)</f>
        <v>0</v>
      </c>
      <c r="V308" s="179">
        <f>SUMIFS('recurring2_based on steps'!$B308:$AY308,'recurring2_based on steps'!$B$1:$AY$1,V$1)+SUMIFS('changes2_based on steps'!$B308:$U308,'changes2_based on steps'!$B$1:$U$1,V$1)</f>
        <v>0</v>
      </c>
      <c r="W308" s="179">
        <f>SUMIFS('recurring2_based on steps'!$B308:$AY308,'recurring2_based on steps'!$B$1:$AY$1,W$1)+SUMIFS('changes2_based on steps'!$B308:$U308,'changes2_based on steps'!$B$1:$U$1,W$1)</f>
        <v>0</v>
      </c>
      <c r="X308" s="179">
        <f>SUMIFS('recurring2_based on steps'!$B308:$AY308,'recurring2_based on steps'!$B$1:$AY$1,X$1)+SUMIFS('changes2_based on steps'!$B308:$U308,'changes2_based on steps'!$B$1:$U$1,X$1)</f>
        <v>0</v>
      </c>
      <c r="Y308" s="179">
        <f>SUMIFS('recurring2_based on steps'!$B308:$AY308,'recurring2_based on steps'!$B$1:$AY$1,Y$1)+SUMIFS('changes2_based on steps'!$B308:$U308,'changes2_based on steps'!$B$1:$U$1,Y$1)</f>
        <v>0</v>
      </c>
      <c r="Z308" s="179">
        <f>SUMIFS('recurring2_based on steps'!$B308:$AY308,'recurring2_based on steps'!$B$1:$AY$1,Z$1)+SUMIFS('changes2_based on steps'!$B308:$U308,'changes2_based on steps'!$B$1:$U$1,Z$1)</f>
        <v>0</v>
      </c>
      <c r="AA308" s="179">
        <f>SUMIFS('recurring2_based on steps'!$B308:$AY308,'recurring2_based on steps'!$B$1:$AY$1,AA$1)+SUMIFS('changes2_based on steps'!$B308:$U308,'changes2_based on steps'!$B$1:$U$1,AA$1)</f>
        <v>0</v>
      </c>
      <c r="AB308" s="179">
        <f>SUMIFS('recurring2_based on steps'!$B308:$AY308,'recurring2_based on steps'!$B$1:$AY$1,AB$1)+SUMIFS('changes2_based on steps'!$B308:$U308,'changes2_based on steps'!$B$1:$U$1,AB$1)</f>
        <v>0</v>
      </c>
      <c r="AC308" s="179">
        <f>SUMIFS('recurring2_based on steps'!$B308:$AY308,'recurring2_based on steps'!$B$1:$AY$1,AC$1)+SUMIFS('changes2_based on steps'!$B308:$U308,'changes2_based on steps'!$B$1:$U$1,AC$1)</f>
        <v>0</v>
      </c>
      <c r="AD308" s="179">
        <f>SUMIFS('recurring2_based on steps'!$B308:$AY308,'recurring2_based on steps'!$B$1:$AY$1,AD$1)+SUMIFS('changes2_based on steps'!$B308:$U308,'changes2_based on steps'!$B$1:$U$1,AD$1)</f>
        <v>0</v>
      </c>
      <c r="AE308" s="179">
        <f>SUMIFS('recurring2_based on steps'!$B308:$AY308,'recurring2_based on steps'!$B$1:$AY$1,AE$1)+SUMIFS('changes2_based on steps'!$B308:$U308,'changes2_based on steps'!$B$1:$U$1,AE$1)</f>
        <v>0</v>
      </c>
      <c r="AF308" s="179"/>
      <c r="AG308" s="179"/>
      <c r="AH308" s="179"/>
      <c r="AI308" s="179"/>
      <c r="AJ308" s="179"/>
      <c r="AK308" s="179"/>
      <c r="AL308" s="179"/>
      <c r="AM308" s="179"/>
    </row>
    <row r="309" spans="1:39" x14ac:dyDescent="0.2">
      <c r="A309" s="32">
        <f t="shared" ca="1" si="4"/>
        <v>46058</v>
      </c>
      <c r="B309" s="179">
        <f>SUMIFS('recurring2_based on steps'!$B309:$AY309,'recurring2_based on steps'!$B$1:$AY$1,B$1)+SUMIFS('changes2_based on steps'!$B309:$U309,'changes2_based on steps'!$B$1:$U$1,B$1)</f>
        <v>0</v>
      </c>
      <c r="C309" s="179">
        <f>SUMIFS('recurring2_based on steps'!$B309:$AY309,'recurring2_based on steps'!$B$1:$AY$1,C$1)+SUMIFS('changes2_based on steps'!$B309:$U309,'changes2_based on steps'!$B$1:$U$1,C$1)</f>
        <v>0</v>
      </c>
      <c r="D309" s="179">
        <f>SUMIFS('recurring2_based on steps'!$B309:$AY309,'recurring2_based on steps'!$B$1:$AY$1,D$1)+SUMIFS('changes2_based on steps'!$B309:$U309,'changes2_based on steps'!$B$1:$U$1,D$1)</f>
        <v>0</v>
      </c>
      <c r="E309" s="179">
        <f>SUMIFS('recurring2_based on steps'!$B309:$AY309,'recurring2_based on steps'!$B$1:$AY$1,E$1)+SUMIFS('changes2_based on steps'!$B309:$U309,'changes2_based on steps'!$B$1:$U$1,E$1)</f>
        <v>0</v>
      </c>
      <c r="F309" s="179">
        <f>SUMIFS('recurring2_based on steps'!$B309:$AY309,'recurring2_based on steps'!$B$1:$AY$1,F$1)+SUMIFS('changes2_based on steps'!$B309:$U309,'changes2_based on steps'!$B$1:$U$1,F$1)</f>
        <v>0</v>
      </c>
      <c r="G309" s="179">
        <f>SUMIFS('recurring2_based on steps'!$B309:$AY309,'recurring2_based on steps'!$B$1:$AY$1,G$1)+SUMIFS('changes2_based on steps'!$B309:$U309,'changes2_based on steps'!$B$1:$U$1,G$1)</f>
        <v>0</v>
      </c>
      <c r="H309" s="179">
        <f>SUMIFS('recurring2_based on steps'!$B309:$AY309,'recurring2_based on steps'!$B$1:$AY$1,H$1)+SUMIFS('changes2_based on steps'!$B309:$U309,'changes2_based on steps'!$B$1:$U$1,H$1)</f>
        <v>0</v>
      </c>
      <c r="I309" s="179">
        <f>SUMIFS('recurring2_based on steps'!$B309:$AY309,'recurring2_based on steps'!$B$1:$AY$1,I$1)+SUMIFS('changes2_based on steps'!$B309:$U309,'changes2_based on steps'!$B$1:$U$1,I$1)</f>
        <v>0</v>
      </c>
      <c r="J309" s="179">
        <f>SUMIFS('recurring2_based on steps'!$B309:$AY309,'recurring2_based on steps'!$B$1:$AY$1,J$1)+SUMIFS('changes2_based on steps'!$B309:$U309,'changes2_based on steps'!$B$1:$U$1,J$1)</f>
        <v>0</v>
      </c>
      <c r="K309" s="179">
        <f>SUMIFS('recurring2_based on steps'!$B309:$AY309,'recurring2_based on steps'!$B$1:$AY$1,K$1)+SUMIFS('changes2_based on steps'!$B309:$U309,'changes2_based on steps'!$B$1:$U$1,K$1)</f>
        <v>0</v>
      </c>
      <c r="L309" s="179">
        <f>SUMIFS('recurring2_based on steps'!$B309:$AY309,'recurring2_based on steps'!$B$1:$AY$1,L$1)+SUMIFS('changes2_based on steps'!$B309:$U309,'changes2_based on steps'!$B$1:$U$1,L$1)</f>
        <v>0</v>
      </c>
      <c r="M309" s="179">
        <f>SUMIFS('recurring2_based on steps'!$B309:$AY309,'recurring2_based on steps'!$B$1:$AY$1,M$1)+SUMIFS('changes2_based on steps'!$B309:$U309,'changes2_based on steps'!$B$1:$U$1,M$1)</f>
        <v>0</v>
      </c>
      <c r="N309" s="179">
        <f>SUMIFS('recurring2_based on steps'!$B309:$AY309,'recurring2_based on steps'!$B$1:$AY$1,N$1)+SUMIFS('changes2_based on steps'!$B309:$U309,'changes2_based on steps'!$B$1:$U$1,N$1)</f>
        <v>0</v>
      </c>
      <c r="O309" s="179">
        <f>SUMIFS('recurring2_based on steps'!$B309:$AY309,'recurring2_based on steps'!$B$1:$AY$1,O$1)+SUMIFS('changes2_based on steps'!$B309:$U309,'changes2_based on steps'!$B$1:$U$1,O$1)</f>
        <v>0</v>
      </c>
      <c r="P309" s="179">
        <f>SUMIFS('recurring2_based on steps'!$B309:$AY309,'recurring2_based on steps'!$B$1:$AY$1,P$1)+SUMIFS('changes2_based on steps'!$B309:$U309,'changes2_based on steps'!$B$1:$U$1,P$1)</f>
        <v>0</v>
      </c>
      <c r="Q309" s="179">
        <f>SUMIFS('recurring2_based on steps'!$B309:$AY309,'recurring2_based on steps'!$B$1:$AY$1,Q$1)+SUMIFS('changes2_based on steps'!$B309:$U309,'changes2_based on steps'!$B$1:$U$1,Q$1)</f>
        <v>0</v>
      </c>
      <c r="R309" s="179">
        <f>SUMIFS('recurring2_based on steps'!$B309:$AY309,'recurring2_based on steps'!$B$1:$AY$1,R$1)+SUMIFS('changes2_based on steps'!$B309:$U309,'changes2_based on steps'!$B$1:$U$1,R$1)</f>
        <v>0</v>
      </c>
      <c r="S309" s="179">
        <f>SUMIFS('recurring2_based on steps'!$B309:$AY309,'recurring2_based on steps'!$B$1:$AY$1,S$1)+SUMIFS('changes2_based on steps'!$B309:$U309,'changes2_based on steps'!$B$1:$U$1,S$1)</f>
        <v>0</v>
      </c>
      <c r="T309" s="179">
        <f>SUMIFS('recurring2_based on steps'!$B309:$AY309,'recurring2_based on steps'!$B$1:$AY$1,T$1)+SUMIFS('changes2_based on steps'!$B309:$U309,'changes2_based on steps'!$B$1:$U$1,T$1)</f>
        <v>0</v>
      </c>
      <c r="U309" s="179">
        <f>SUMIFS('recurring2_based on steps'!$B309:$AY309,'recurring2_based on steps'!$B$1:$AY$1,U$1)+SUMIFS('changes2_based on steps'!$B309:$U309,'changes2_based on steps'!$B$1:$U$1,U$1)</f>
        <v>0</v>
      </c>
      <c r="V309" s="179">
        <f>SUMIFS('recurring2_based on steps'!$B309:$AY309,'recurring2_based on steps'!$B$1:$AY$1,V$1)+SUMIFS('changes2_based on steps'!$B309:$U309,'changes2_based on steps'!$B$1:$U$1,V$1)</f>
        <v>0</v>
      </c>
      <c r="W309" s="179">
        <f>SUMIFS('recurring2_based on steps'!$B309:$AY309,'recurring2_based on steps'!$B$1:$AY$1,W$1)+SUMIFS('changes2_based on steps'!$B309:$U309,'changes2_based on steps'!$B$1:$U$1,W$1)</f>
        <v>0</v>
      </c>
      <c r="X309" s="179">
        <f>SUMIFS('recurring2_based on steps'!$B309:$AY309,'recurring2_based on steps'!$B$1:$AY$1,X$1)+SUMIFS('changes2_based on steps'!$B309:$U309,'changes2_based on steps'!$B$1:$U$1,X$1)</f>
        <v>0</v>
      </c>
      <c r="Y309" s="179">
        <f>SUMIFS('recurring2_based on steps'!$B309:$AY309,'recurring2_based on steps'!$B$1:$AY$1,Y$1)+SUMIFS('changes2_based on steps'!$B309:$U309,'changes2_based on steps'!$B$1:$U$1,Y$1)</f>
        <v>0</v>
      </c>
      <c r="Z309" s="179">
        <f>SUMIFS('recurring2_based on steps'!$B309:$AY309,'recurring2_based on steps'!$B$1:$AY$1,Z$1)+SUMIFS('changes2_based on steps'!$B309:$U309,'changes2_based on steps'!$B$1:$U$1,Z$1)</f>
        <v>0</v>
      </c>
      <c r="AA309" s="179">
        <f>SUMIFS('recurring2_based on steps'!$B309:$AY309,'recurring2_based on steps'!$B$1:$AY$1,AA$1)+SUMIFS('changes2_based on steps'!$B309:$U309,'changes2_based on steps'!$B$1:$U$1,AA$1)</f>
        <v>0</v>
      </c>
      <c r="AB309" s="179">
        <f>SUMIFS('recurring2_based on steps'!$B309:$AY309,'recurring2_based on steps'!$B$1:$AY$1,AB$1)+SUMIFS('changes2_based on steps'!$B309:$U309,'changes2_based on steps'!$B$1:$U$1,AB$1)</f>
        <v>0</v>
      </c>
      <c r="AC309" s="179">
        <f>SUMIFS('recurring2_based on steps'!$B309:$AY309,'recurring2_based on steps'!$B$1:$AY$1,AC$1)+SUMIFS('changes2_based on steps'!$B309:$U309,'changes2_based on steps'!$B$1:$U$1,AC$1)</f>
        <v>0</v>
      </c>
      <c r="AD309" s="179">
        <f>SUMIFS('recurring2_based on steps'!$B309:$AY309,'recurring2_based on steps'!$B$1:$AY$1,AD$1)+SUMIFS('changes2_based on steps'!$B309:$U309,'changes2_based on steps'!$B$1:$U$1,AD$1)</f>
        <v>0</v>
      </c>
      <c r="AE309" s="179">
        <f>SUMIFS('recurring2_based on steps'!$B309:$AY309,'recurring2_based on steps'!$B$1:$AY$1,AE$1)+SUMIFS('changes2_based on steps'!$B309:$U309,'changes2_based on steps'!$B$1:$U$1,AE$1)</f>
        <v>0</v>
      </c>
      <c r="AF309" s="179"/>
      <c r="AG309" s="179"/>
      <c r="AH309" s="179"/>
      <c r="AI309" s="179"/>
      <c r="AJ309" s="179"/>
      <c r="AK309" s="179"/>
      <c r="AL309" s="179"/>
      <c r="AM309" s="179"/>
    </row>
    <row r="310" spans="1:39" x14ac:dyDescent="0.2">
      <c r="A310" s="32">
        <f t="shared" ca="1" si="4"/>
        <v>46059</v>
      </c>
      <c r="B310" s="179">
        <f>SUMIFS('recurring2_based on steps'!$B310:$AY310,'recurring2_based on steps'!$B$1:$AY$1,B$1)+SUMIFS('changes2_based on steps'!$B310:$U310,'changes2_based on steps'!$B$1:$U$1,B$1)</f>
        <v>0</v>
      </c>
      <c r="C310" s="179">
        <f>SUMIFS('recurring2_based on steps'!$B310:$AY310,'recurring2_based on steps'!$B$1:$AY$1,C$1)+SUMIFS('changes2_based on steps'!$B310:$U310,'changes2_based on steps'!$B$1:$U$1,C$1)</f>
        <v>0</v>
      </c>
      <c r="D310" s="179">
        <f>SUMIFS('recurring2_based on steps'!$B310:$AY310,'recurring2_based on steps'!$B$1:$AY$1,D$1)+SUMIFS('changes2_based on steps'!$B310:$U310,'changes2_based on steps'!$B$1:$U$1,D$1)</f>
        <v>0</v>
      </c>
      <c r="E310" s="179">
        <f>SUMIFS('recurring2_based on steps'!$B310:$AY310,'recurring2_based on steps'!$B$1:$AY$1,E$1)+SUMIFS('changes2_based on steps'!$B310:$U310,'changes2_based on steps'!$B$1:$U$1,E$1)</f>
        <v>0</v>
      </c>
      <c r="F310" s="179">
        <f>SUMIFS('recurring2_based on steps'!$B310:$AY310,'recurring2_based on steps'!$B$1:$AY$1,F$1)+SUMIFS('changes2_based on steps'!$B310:$U310,'changes2_based on steps'!$B$1:$U$1,F$1)</f>
        <v>0</v>
      </c>
      <c r="G310" s="179">
        <f>SUMIFS('recurring2_based on steps'!$B310:$AY310,'recurring2_based on steps'!$B$1:$AY$1,G$1)+SUMIFS('changes2_based on steps'!$B310:$U310,'changes2_based on steps'!$B$1:$U$1,G$1)</f>
        <v>0</v>
      </c>
      <c r="H310" s="179">
        <f>SUMIFS('recurring2_based on steps'!$B310:$AY310,'recurring2_based on steps'!$B$1:$AY$1,H$1)+SUMIFS('changes2_based on steps'!$B310:$U310,'changes2_based on steps'!$B$1:$U$1,H$1)</f>
        <v>0</v>
      </c>
      <c r="I310" s="179">
        <f>SUMIFS('recurring2_based on steps'!$B310:$AY310,'recurring2_based on steps'!$B$1:$AY$1,I$1)+SUMIFS('changes2_based on steps'!$B310:$U310,'changes2_based on steps'!$B$1:$U$1,I$1)</f>
        <v>0</v>
      </c>
      <c r="J310" s="179">
        <f>SUMIFS('recurring2_based on steps'!$B310:$AY310,'recurring2_based on steps'!$B$1:$AY$1,J$1)+SUMIFS('changes2_based on steps'!$B310:$U310,'changes2_based on steps'!$B$1:$U$1,J$1)</f>
        <v>0</v>
      </c>
      <c r="K310" s="179">
        <f>SUMIFS('recurring2_based on steps'!$B310:$AY310,'recurring2_based on steps'!$B$1:$AY$1,K$1)+SUMIFS('changes2_based on steps'!$B310:$U310,'changes2_based on steps'!$B$1:$U$1,K$1)</f>
        <v>0</v>
      </c>
      <c r="L310" s="179">
        <f>SUMIFS('recurring2_based on steps'!$B310:$AY310,'recurring2_based on steps'!$B$1:$AY$1,L$1)+SUMIFS('changes2_based on steps'!$B310:$U310,'changes2_based on steps'!$B$1:$U$1,L$1)</f>
        <v>0</v>
      </c>
      <c r="M310" s="179">
        <f>SUMIFS('recurring2_based on steps'!$B310:$AY310,'recurring2_based on steps'!$B$1:$AY$1,M$1)+SUMIFS('changes2_based on steps'!$B310:$U310,'changes2_based on steps'!$B$1:$U$1,M$1)</f>
        <v>0</v>
      </c>
      <c r="N310" s="179">
        <f>SUMIFS('recurring2_based on steps'!$B310:$AY310,'recurring2_based on steps'!$B$1:$AY$1,N$1)+SUMIFS('changes2_based on steps'!$B310:$U310,'changes2_based on steps'!$B$1:$U$1,N$1)</f>
        <v>0</v>
      </c>
      <c r="O310" s="179">
        <f>SUMIFS('recurring2_based on steps'!$B310:$AY310,'recurring2_based on steps'!$B$1:$AY$1,O$1)+SUMIFS('changes2_based on steps'!$B310:$U310,'changes2_based on steps'!$B$1:$U$1,O$1)</f>
        <v>0</v>
      </c>
      <c r="P310" s="179">
        <f>SUMIFS('recurring2_based on steps'!$B310:$AY310,'recurring2_based on steps'!$B$1:$AY$1,P$1)+SUMIFS('changes2_based on steps'!$B310:$U310,'changes2_based on steps'!$B$1:$U$1,P$1)</f>
        <v>0</v>
      </c>
      <c r="Q310" s="179">
        <f>SUMIFS('recurring2_based on steps'!$B310:$AY310,'recurring2_based on steps'!$B$1:$AY$1,Q$1)+SUMIFS('changes2_based on steps'!$B310:$U310,'changes2_based on steps'!$B$1:$U$1,Q$1)</f>
        <v>0</v>
      </c>
      <c r="R310" s="179">
        <f>SUMIFS('recurring2_based on steps'!$B310:$AY310,'recurring2_based on steps'!$B$1:$AY$1,R$1)+SUMIFS('changes2_based on steps'!$B310:$U310,'changes2_based on steps'!$B$1:$U$1,R$1)</f>
        <v>0</v>
      </c>
      <c r="S310" s="179">
        <f>SUMIFS('recurring2_based on steps'!$B310:$AY310,'recurring2_based on steps'!$B$1:$AY$1,S$1)+SUMIFS('changes2_based on steps'!$B310:$U310,'changes2_based on steps'!$B$1:$U$1,S$1)</f>
        <v>0</v>
      </c>
      <c r="T310" s="179">
        <f>SUMIFS('recurring2_based on steps'!$B310:$AY310,'recurring2_based on steps'!$B$1:$AY$1,T$1)+SUMIFS('changes2_based on steps'!$B310:$U310,'changes2_based on steps'!$B$1:$U$1,T$1)</f>
        <v>0</v>
      </c>
      <c r="U310" s="179">
        <f>SUMIFS('recurring2_based on steps'!$B310:$AY310,'recurring2_based on steps'!$B$1:$AY$1,U$1)+SUMIFS('changes2_based on steps'!$B310:$U310,'changes2_based on steps'!$B$1:$U$1,U$1)</f>
        <v>0</v>
      </c>
      <c r="V310" s="179">
        <f>SUMIFS('recurring2_based on steps'!$B310:$AY310,'recurring2_based on steps'!$B$1:$AY$1,V$1)+SUMIFS('changes2_based on steps'!$B310:$U310,'changes2_based on steps'!$B$1:$U$1,V$1)</f>
        <v>0</v>
      </c>
      <c r="W310" s="179">
        <f>SUMIFS('recurring2_based on steps'!$B310:$AY310,'recurring2_based on steps'!$B$1:$AY$1,W$1)+SUMIFS('changes2_based on steps'!$B310:$U310,'changes2_based on steps'!$B$1:$U$1,W$1)</f>
        <v>0</v>
      </c>
      <c r="X310" s="179">
        <f>SUMIFS('recurring2_based on steps'!$B310:$AY310,'recurring2_based on steps'!$B$1:$AY$1,X$1)+SUMIFS('changes2_based on steps'!$B310:$U310,'changes2_based on steps'!$B$1:$U$1,X$1)</f>
        <v>0</v>
      </c>
      <c r="Y310" s="179">
        <f>SUMIFS('recurring2_based on steps'!$B310:$AY310,'recurring2_based on steps'!$B$1:$AY$1,Y$1)+SUMIFS('changes2_based on steps'!$B310:$U310,'changes2_based on steps'!$B$1:$U$1,Y$1)</f>
        <v>0</v>
      </c>
      <c r="Z310" s="179">
        <f>SUMIFS('recurring2_based on steps'!$B310:$AY310,'recurring2_based on steps'!$B$1:$AY$1,Z$1)+SUMIFS('changes2_based on steps'!$B310:$U310,'changes2_based on steps'!$B$1:$U$1,Z$1)</f>
        <v>0</v>
      </c>
      <c r="AA310" s="179">
        <f>SUMIFS('recurring2_based on steps'!$B310:$AY310,'recurring2_based on steps'!$B$1:$AY$1,AA$1)+SUMIFS('changes2_based on steps'!$B310:$U310,'changes2_based on steps'!$B$1:$U$1,AA$1)</f>
        <v>0</v>
      </c>
      <c r="AB310" s="179">
        <f>SUMIFS('recurring2_based on steps'!$B310:$AY310,'recurring2_based on steps'!$B$1:$AY$1,AB$1)+SUMIFS('changes2_based on steps'!$B310:$U310,'changes2_based on steps'!$B$1:$U$1,AB$1)</f>
        <v>0</v>
      </c>
      <c r="AC310" s="179">
        <f>SUMIFS('recurring2_based on steps'!$B310:$AY310,'recurring2_based on steps'!$B$1:$AY$1,AC$1)+SUMIFS('changes2_based on steps'!$B310:$U310,'changes2_based on steps'!$B$1:$U$1,AC$1)</f>
        <v>0</v>
      </c>
      <c r="AD310" s="179">
        <f>SUMIFS('recurring2_based on steps'!$B310:$AY310,'recurring2_based on steps'!$B$1:$AY$1,AD$1)+SUMIFS('changes2_based on steps'!$B310:$U310,'changes2_based on steps'!$B$1:$U$1,AD$1)</f>
        <v>0</v>
      </c>
      <c r="AE310" s="179">
        <f>SUMIFS('recurring2_based on steps'!$B310:$AY310,'recurring2_based on steps'!$B$1:$AY$1,AE$1)+SUMIFS('changes2_based on steps'!$B310:$U310,'changes2_based on steps'!$B$1:$U$1,AE$1)</f>
        <v>0</v>
      </c>
      <c r="AF310" s="179"/>
      <c r="AG310" s="179"/>
      <c r="AH310" s="179"/>
      <c r="AI310" s="179"/>
      <c r="AJ310" s="179"/>
      <c r="AK310" s="179"/>
      <c r="AL310" s="179"/>
      <c r="AM310" s="179"/>
    </row>
    <row r="311" spans="1:39" x14ac:dyDescent="0.2">
      <c r="A311" s="32">
        <f t="shared" ca="1" si="4"/>
        <v>46060</v>
      </c>
      <c r="B311" s="179">
        <f>SUMIFS('recurring2_based on steps'!$B311:$AY311,'recurring2_based on steps'!$B$1:$AY$1,B$1)+SUMIFS('changes2_based on steps'!$B311:$U311,'changes2_based on steps'!$B$1:$U$1,B$1)</f>
        <v>0</v>
      </c>
      <c r="C311" s="179">
        <f>SUMIFS('recurring2_based on steps'!$B311:$AY311,'recurring2_based on steps'!$B$1:$AY$1,C$1)+SUMIFS('changes2_based on steps'!$B311:$U311,'changes2_based on steps'!$B$1:$U$1,C$1)</f>
        <v>0</v>
      </c>
      <c r="D311" s="179">
        <f>SUMIFS('recurring2_based on steps'!$B311:$AY311,'recurring2_based on steps'!$B$1:$AY$1,D$1)+SUMIFS('changes2_based on steps'!$B311:$U311,'changes2_based on steps'!$B$1:$U$1,D$1)</f>
        <v>0</v>
      </c>
      <c r="E311" s="179">
        <f>SUMIFS('recurring2_based on steps'!$B311:$AY311,'recurring2_based on steps'!$B$1:$AY$1,E$1)+SUMIFS('changes2_based on steps'!$B311:$U311,'changes2_based on steps'!$B$1:$U$1,E$1)</f>
        <v>0</v>
      </c>
      <c r="F311" s="179">
        <f>SUMIFS('recurring2_based on steps'!$B311:$AY311,'recurring2_based on steps'!$B$1:$AY$1,F$1)+SUMIFS('changes2_based on steps'!$B311:$U311,'changes2_based on steps'!$B$1:$U$1,F$1)</f>
        <v>0</v>
      </c>
      <c r="G311" s="179">
        <f>SUMIFS('recurring2_based on steps'!$B311:$AY311,'recurring2_based on steps'!$B$1:$AY$1,G$1)+SUMIFS('changes2_based on steps'!$B311:$U311,'changes2_based on steps'!$B$1:$U$1,G$1)</f>
        <v>0</v>
      </c>
      <c r="H311" s="179">
        <f>SUMIFS('recurring2_based on steps'!$B311:$AY311,'recurring2_based on steps'!$B$1:$AY$1,H$1)+SUMIFS('changes2_based on steps'!$B311:$U311,'changes2_based on steps'!$B$1:$U$1,H$1)</f>
        <v>0</v>
      </c>
      <c r="I311" s="179">
        <f>SUMIFS('recurring2_based on steps'!$B311:$AY311,'recurring2_based on steps'!$B$1:$AY$1,I$1)+SUMIFS('changes2_based on steps'!$B311:$U311,'changes2_based on steps'!$B$1:$U$1,I$1)</f>
        <v>0</v>
      </c>
      <c r="J311" s="179">
        <f>SUMIFS('recurring2_based on steps'!$B311:$AY311,'recurring2_based on steps'!$B$1:$AY$1,J$1)+SUMIFS('changes2_based on steps'!$B311:$U311,'changes2_based on steps'!$B$1:$U$1,J$1)</f>
        <v>0</v>
      </c>
      <c r="K311" s="179">
        <f>SUMIFS('recurring2_based on steps'!$B311:$AY311,'recurring2_based on steps'!$B$1:$AY$1,K$1)+SUMIFS('changes2_based on steps'!$B311:$U311,'changes2_based on steps'!$B$1:$U$1,K$1)</f>
        <v>0</v>
      </c>
      <c r="L311" s="179">
        <f>SUMIFS('recurring2_based on steps'!$B311:$AY311,'recurring2_based on steps'!$B$1:$AY$1,L$1)+SUMIFS('changes2_based on steps'!$B311:$U311,'changes2_based on steps'!$B$1:$U$1,L$1)</f>
        <v>0</v>
      </c>
      <c r="M311" s="179">
        <f>SUMIFS('recurring2_based on steps'!$B311:$AY311,'recurring2_based on steps'!$B$1:$AY$1,M$1)+SUMIFS('changes2_based on steps'!$B311:$U311,'changes2_based on steps'!$B$1:$U$1,M$1)</f>
        <v>0</v>
      </c>
      <c r="N311" s="179">
        <f>SUMIFS('recurring2_based on steps'!$B311:$AY311,'recurring2_based on steps'!$B$1:$AY$1,N$1)+SUMIFS('changes2_based on steps'!$B311:$U311,'changes2_based on steps'!$B$1:$U$1,N$1)</f>
        <v>0</v>
      </c>
      <c r="O311" s="179">
        <f>SUMIFS('recurring2_based on steps'!$B311:$AY311,'recurring2_based on steps'!$B$1:$AY$1,O$1)+SUMIFS('changes2_based on steps'!$B311:$U311,'changes2_based on steps'!$B$1:$U$1,O$1)</f>
        <v>0</v>
      </c>
      <c r="P311" s="179">
        <f>SUMIFS('recurring2_based on steps'!$B311:$AY311,'recurring2_based on steps'!$B$1:$AY$1,P$1)+SUMIFS('changes2_based on steps'!$B311:$U311,'changes2_based on steps'!$B$1:$U$1,P$1)</f>
        <v>0</v>
      </c>
      <c r="Q311" s="179">
        <f>SUMIFS('recurring2_based on steps'!$B311:$AY311,'recurring2_based on steps'!$B$1:$AY$1,Q$1)+SUMIFS('changes2_based on steps'!$B311:$U311,'changes2_based on steps'!$B$1:$U$1,Q$1)</f>
        <v>0</v>
      </c>
      <c r="R311" s="179">
        <f>SUMIFS('recurring2_based on steps'!$B311:$AY311,'recurring2_based on steps'!$B$1:$AY$1,R$1)+SUMIFS('changes2_based on steps'!$B311:$U311,'changes2_based on steps'!$B$1:$U$1,R$1)</f>
        <v>0</v>
      </c>
      <c r="S311" s="179">
        <f>SUMIFS('recurring2_based on steps'!$B311:$AY311,'recurring2_based on steps'!$B$1:$AY$1,S$1)+SUMIFS('changes2_based on steps'!$B311:$U311,'changes2_based on steps'!$B$1:$U$1,S$1)</f>
        <v>0</v>
      </c>
      <c r="T311" s="179">
        <f>SUMIFS('recurring2_based on steps'!$B311:$AY311,'recurring2_based on steps'!$B$1:$AY$1,T$1)+SUMIFS('changes2_based on steps'!$B311:$U311,'changes2_based on steps'!$B$1:$U$1,T$1)</f>
        <v>0</v>
      </c>
      <c r="U311" s="179">
        <f>SUMIFS('recurring2_based on steps'!$B311:$AY311,'recurring2_based on steps'!$B$1:$AY$1,U$1)+SUMIFS('changes2_based on steps'!$B311:$U311,'changes2_based on steps'!$B$1:$U$1,U$1)</f>
        <v>0</v>
      </c>
      <c r="V311" s="179">
        <f>SUMIFS('recurring2_based on steps'!$B311:$AY311,'recurring2_based on steps'!$B$1:$AY$1,V$1)+SUMIFS('changes2_based on steps'!$B311:$U311,'changes2_based on steps'!$B$1:$U$1,V$1)</f>
        <v>0</v>
      </c>
      <c r="W311" s="179">
        <f>SUMIFS('recurring2_based on steps'!$B311:$AY311,'recurring2_based on steps'!$B$1:$AY$1,W$1)+SUMIFS('changes2_based on steps'!$B311:$U311,'changes2_based on steps'!$B$1:$U$1,W$1)</f>
        <v>0</v>
      </c>
      <c r="X311" s="179">
        <f>SUMIFS('recurring2_based on steps'!$B311:$AY311,'recurring2_based on steps'!$B$1:$AY$1,X$1)+SUMIFS('changes2_based on steps'!$B311:$U311,'changes2_based on steps'!$B$1:$U$1,X$1)</f>
        <v>0</v>
      </c>
      <c r="Y311" s="179">
        <f>SUMIFS('recurring2_based on steps'!$B311:$AY311,'recurring2_based on steps'!$B$1:$AY$1,Y$1)+SUMIFS('changes2_based on steps'!$B311:$U311,'changes2_based on steps'!$B$1:$U$1,Y$1)</f>
        <v>0</v>
      </c>
      <c r="Z311" s="179">
        <f>SUMIFS('recurring2_based on steps'!$B311:$AY311,'recurring2_based on steps'!$B$1:$AY$1,Z$1)+SUMIFS('changes2_based on steps'!$B311:$U311,'changes2_based on steps'!$B$1:$U$1,Z$1)</f>
        <v>0</v>
      </c>
      <c r="AA311" s="179">
        <f>SUMIFS('recurring2_based on steps'!$B311:$AY311,'recurring2_based on steps'!$B$1:$AY$1,AA$1)+SUMIFS('changes2_based on steps'!$B311:$U311,'changes2_based on steps'!$B$1:$U$1,AA$1)</f>
        <v>0</v>
      </c>
      <c r="AB311" s="179">
        <f>SUMIFS('recurring2_based on steps'!$B311:$AY311,'recurring2_based on steps'!$B$1:$AY$1,AB$1)+SUMIFS('changes2_based on steps'!$B311:$U311,'changes2_based on steps'!$B$1:$U$1,AB$1)</f>
        <v>0</v>
      </c>
      <c r="AC311" s="179">
        <f>SUMIFS('recurring2_based on steps'!$B311:$AY311,'recurring2_based on steps'!$B$1:$AY$1,AC$1)+SUMIFS('changes2_based on steps'!$B311:$U311,'changes2_based on steps'!$B$1:$U$1,AC$1)</f>
        <v>0</v>
      </c>
      <c r="AD311" s="179">
        <f>SUMIFS('recurring2_based on steps'!$B311:$AY311,'recurring2_based on steps'!$B$1:$AY$1,AD$1)+SUMIFS('changes2_based on steps'!$B311:$U311,'changes2_based on steps'!$B$1:$U$1,AD$1)</f>
        <v>0</v>
      </c>
      <c r="AE311" s="179">
        <f>SUMIFS('recurring2_based on steps'!$B311:$AY311,'recurring2_based on steps'!$B$1:$AY$1,AE$1)+SUMIFS('changes2_based on steps'!$B311:$U311,'changes2_based on steps'!$B$1:$U$1,AE$1)</f>
        <v>0</v>
      </c>
      <c r="AF311" s="179"/>
      <c r="AG311" s="179"/>
      <c r="AH311" s="179"/>
      <c r="AI311" s="179"/>
      <c r="AJ311" s="179"/>
      <c r="AK311" s="179"/>
      <c r="AL311" s="179"/>
      <c r="AM311" s="179"/>
    </row>
    <row r="312" spans="1:39" x14ac:dyDescent="0.2">
      <c r="A312" s="32">
        <f t="shared" ca="1" si="4"/>
        <v>46061</v>
      </c>
      <c r="B312" s="179">
        <f>SUMIFS('recurring2_based on steps'!$B312:$AY312,'recurring2_based on steps'!$B$1:$AY$1,B$1)+SUMIFS('changes2_based on steps'!$B312:$U312,'changes2_based on steps'!$B$1:$U$1,B$1)</f>
        <v>0</v>
      </c>
      <c r="C312" s="179">
        <f>SUMIFS('recurring2_based on steps'!$B312:$AY312,'recurring2_based on steps'!$B$1:$AY$1,C$1)+SUMIFS('changes2_based on steps'!$B312:$U312,'changes2_based on steps'!$B$1:$U$1,C$1)</f>
        <v>0</v>
      </c>
      <c r="D312" s="179">
        <f>SUMIFS('recurring2_based on steps'!$B312:$AY312,'recurring2_based on steps'!$B$1:$AY$1,D$1)+SUMIFS('changes2_based on steps'!$B312:$U312,'changes2_based on steps'!$B$1:$U$1,D$1)</f>
        <v>0</v>
      </c>
      <c r="E312" s="179">
        <f>SUMIFS('recurring2_based on steps'!$B312:$AY312,'recurring2_based on steps'!$B$1:$AY$1,E$1)+SUMIFS('changes2_based on steps'!$B312:$U312,'changes2_based on steps'!$B$1:$U$1,E$1)</f>
        <v>0</v>
      </c>
      <c r="F312" s="179">
        <f>SUMIFS('recurring2_based on steps'!$B312:$AY312,'recurring2_based on steps'!$B$1:$AY$1,F$1)+SUMIFS('changes2_based on steps'!$B312:$U312,'changes2_based on steps'!$B$1:$U$1,F$1)</f>
        <v>0</v>
      </c>
      <c r="G312" s="179">
        <f>SUMIFS('recurring2_based on steps'!$B312:$AY312,'recurring2_based on steps'!$B$1:$AY$1,G$1)+SUMIFS('changes2_based on steps'!$B312:$U312,'changes2_based on steps'!$B$1:$U$1,G$1)</f>
        <v>0</v>
      </c>
      <c r="H312" s="179">
        <f>SUMIFS('recurring2_based on steps'!$B312:$AY312,'recurring2_based on steps'!$B$1:$AY$1,H$1)+SUMIFS('changes2_based on steps'!$B312:$U312,'changes2_based on steps'!$B$1:$U$1,H$1)</f>
        <v>0</v>
      </c>
      <c r="I312" s="179">
        <f>SUMIFS('recurring2_based on steps'!$B312:$AY312,'recurring2_based on steps'!$B$1:$AY$1,I$1)+SUMIFS('changes2_based on steps'!$B312:$U312,'changes2_based on steps'!$B$1:$U$1,I$1)</f>
        <v>0</v>
      </c>
      <c r="J312" s="179">
        <f>SUMIFS('recurring2_based on steps'!$B312:$AY312,'recurring2_based on steps'!$B$1:$AY$1,J$1)+SUMIFS('changes2_based on steps'!$B312:$U312,'changes2_based on steps'!$B$1:$U$1,J$1)</f>
        <v>0</v>
      </c>
      <c r="K312" s="179">
        <f>SUMIFS('recurring2_based on steps'!$B312:$AY312,'recurring2_based on steps'!$B$1:$AY$1,K$1)+SUMIFS('changes2_based on steps'!$B312:$U312,'changes2_based on steps'!$B$1:$U$1,K$1)</f>
        <v>0</v>
      </c>
      <c r="L312" s="179">
        <f>SUMIFS('recurring2_based on steps'!$B312:$AY312,'recurring2_based on steps'!$B$1:$AY$1,L$1)+SUMIFS('changes2_based on steps'!$B312:$U312,'changes2_based on steps'!$B$1:$U$1,L$1)</f>
        <v>0</v>
      </c>
      <c r="M312" s="179">
        <f>SUMIFS('recurring2_based on steps'!$B312:$AY312,'recurring2_based on steps'!$B$1:$AY$1,M$1)+SUMIFS('changes2_based on steps'!$B312:$U312,'changes2_based on steps'!$B$1:$U$1,M$1)</f>
        <v>0</v>
      </c>
      <c r="N312" s="179">
        <f>SUMIFS('recurring2_based on steps'!$B312:$AY312,'recurring2_based on steps'!$B$1:$AY$1,N$1)+SUMIFS('changes2_based on steps'!$B312:$U312,'changes2_based on steps'!$B$1:$U$1,N$1)</f>
        <v>0</v>
      </c>
      <c r="O312" s="179">
        <f>SUMIFS('recurring2_based on steps'!$B312:$AY312,'recurring2_based on steps'!$B$1:$AY$1,O$1)+SUMIFS('changes2_based on steps'!$B312:$U312,'changes2_based on steps'!$B$1:$U$1,O$1)</f>
        <v>0</v>
      </c>
      <c r="P312" s="179">
        <f>SUMIFS('recurring2_based on steps'!$B312:$AY312,'recurring2_based on steps'!$B$1:$AY$1,P$1)+SUMIFS('changes2_based on steps'!$B312:$U312,'changes2_based on steps'!$B$1:$U$1,P$1)</f>
        <v>0</v>
      </c>
      <c r="Q312" s="179">
        <f>SUMIFS('recurring2_based on steps'!$B312:$AY312,'recurring2_based on steps'!$B$1:$AY$1,Q$1)+SUMIFS('changes2_based on steps'!$B312:$U312,'changes2_based on steps'!$B$1:$U$1,Q$1)</f>
        <v>0</v>
      </c>
      <c r="R312" s="179">
        <f>SUMIFS('recurring2_based on steps'!$B312:$AY312,'recurring2_based on steps'!$B$1:$AY$1,R$1)+SUMIFS('changes2_based on steps'!$B312:$U312,'changes2_based on steps'!$B$1:$U$1,R$1)</f>
        <v>0</v>
      </c>
      <c r="S312" s="179">
        <f>SUMIFS('recurring2_based on steps'!$B312:$AY312,'recurring2_based on steps'!$B$1:$AY$1,S$1)+SUMIFS('changes2_based on steps'!$B312:$U312,'changes2_based on steps'!$B$1:$U$1,S$1)</f>
        <v>0</v>
      </c>
      <c r="T312" s="179">
        <f>SUMIFS('recurring2_based on steps'!$B312:$AY312,'recurring2_based on steps'!$B$1:$AY$1,T$1)+SUMIFS('changes2_based on steps'!$B312:$U312,'changes2_based on steps'!$B$1:$U$1,T$1)</f>
        <v>0</v>
      </c>
      <c r="U312" s="179">
        <f>SUMIFS('recurring2_based on steps'!$B312:$AY312,'recurring2_based on steps'!$B$1:$AY$1,U$1)+SUMIFS('changes2_based on steps'!$B312:$U312,'changes2_based on steps'!$B$1:$U$1,U$1)</f>
        <v>0</v>
      </c>
      <c r="V312" s="179">
        <f>SUMIFS('recurring2_based on steps'!$B312:$AY312,'recurring2_based on steps'!$B$1:$AY$1,V$1)+SUMIFS('changes2_based on steps'!$B312:$U312,'changes2_based on steps'!$B$1:$U$1,V$1)</f>
        <v>0</v>
      </c>
      <c r="W312" s="179">
        <f>SUMIFS('recurring2_based on steps'!$B312:$AY312,'recurring2_based on steps'!$B$1:$AY$1,W$1)+SUMIFS('changes2_based on steps'!$B312:$U312,'changes2_based on steps'!$B$1:$U$1,W$1)</f>
        <v>0</v>
      </c>
      <c r="X312" s="179">
        <f>SUMIFS('recurring2_based on steps'!$B312:$AY312,'recurring2_based on steps'!$B$1:$AY$1,X$1)+SUMIFS('changes2_based on steps'!$B312:$U312,'changes2_based on steps'!$B$1:$U$1,X$1)</f>
        <v>0</v>
      </c>
      <c r="Y312" s="179">
        <f>SUMIFS('recurring2_based on steps'!$B312:$AY312,'recurring2_based on steps'!$B$1:$AY$1,Y$1)+SUMIFS('changes2_based on steps'!$B312:$U312,'changes2_based on steps'!$B$1:$U$1,Y$1)</f>
        <v>0</v>
      </c>
      <c r="Z312" s="179">
        <f>SUMIFS('recurring2_based on steps'!$B312:$AY312,'recurring2_based on steps'!$B$1:$AY$1,Z$1)+SUMIFS('changes2_based on steps'!$B312:$U312,'changes2_based on steps'!$B$1:$U$1,Z$1)</f>
        <v>0</v>
      </c>
      <c r="AA312" s="179">
        <f>SUMIFS('recurring2_based on steps'!$B312:$AY312,'recurring2_based on steps'!$B$1:$AY$1,AA$1)+SUMIFS('changes2_based on steps'!$B312:$U312,'changes2_based on steps'!$B$1:$U$1,AA$1)</f>
        <v>0</v>
      </c>
      <c r="AB312" s="179">
        <f>SUMIFS('recurring2_based on steps'!$B312:$AY312,'recurring2_based on steps'!$B$1:$AY$1,AB$1)+SUMIFS('changes2_based on steps'!$B312:$U312,'changes2_based on steps'!$B$1:$U$1,AB$1)</f>
        <v>0</v>
      </c>
      <c r="AC312" s="179">
        <f>SUMIFS('recurring2_based on steps'!$B312:$AY312,'recurring2_based on steps'!$B$1:$AY$1,AC$1)+SUMIFS('changes2_based on steps'!$B312:$U312,'changes2_based on steps'!$B$1:$U$1,AC$1)</f>
        <v>0</v>
      </c>
      <c r="AD312" s="179">
        <f>SUMIFS('recurring2_based on steps'!$B312:$AY312,'recurring2_based on steps'!$B$1:$AY$1,AD$1)+SUMIFS('changes2_based on steps'!$B312:$U312,'changes2_based on steps'!$B$1:$U$1,AD$1)</f>
        <v>0</v>
      </c>
      <c r="AE312" s="179">
        <f>SUMIFS('recurring2_based on steps'!$B312:$AY312,'recurring2_based on steps'!$B$1:$AY$1,AE$1)+SUMIFS('changes2_based on steps'!$B312:$U312,'changes2_based on steps'!$B$1:$U$1,AE$1)</f>
        <v>0</v>
      </c>
      <c r="AF312" s="179"/>
      <c r="AG312" s="179"/>
      <c r="AH312" s="179"/>
      <c r="AI312" s="179"/>
      <c r="AJ312" s="179"/>
      <c r="AK312" s="179"/>
      <c r="AL312" s="179"/>
      <c r="AM312" s="179"/>
    </row>
    <row r="313" spans="1:39" x14ac:dyDescent="0.2">
      <c r="A313" s="32">
        <f t="shared" ca="1" si="4"/>
        <v>46062</v>
      </c>
      <c r="B313" s="179">
        <f>SUMIFS('recurring2_based on steps'!$B313:$AY313,'recurring2_based on steps'!$B$1:$AY$1,B$1)+SUMIFS('changes2_based on steps'!$B313:$U313,'changes2_based on steps'!$B$1:$U$1,B$1)</f>
        <v>0</v>
      </c>
      <c r="C313" s="179">
        <f>SUMIFS('recurring2_based on steps'!$B313:$AY313,'recurring2_based on steps'!$B$1:$AY$1,C$1)+SUMIFS('changes2_based on steps'!$B313:$U313,'changes2_based on steps'!$B$1:$U$1,C$1)</f>
        <v>0</v>
      </c>
      <c r="D313" s="179">
        <f>SUMIFS('recurring2_based on steps'!$B313:$AY313,'recurring2_based on steps'!$B$1:$AY$1,D$1)+SUMIFS('changes2_based on steps'!$B313:$U313,'changes2_based on steps'!$B$1:$U$1,D$1)</f>
        <v>0</v>
      </c>
      <c r="E313" s="179">
        <f>SUMIFS('recurring2_based on steps'!$B313:$AY313,'recurring2_based on steps'!$B$1:$AY$1,E$1)+SUMIFS('changes2_based on steps'!$B313:$U313,'changes2_based on steps'!$B$1:$U$1,E$1)</f>
        <v>0</v>
      </c>
      <c r="F313" s="179">
        <f>SUMIFS('recurring2_based on steps'!$B313:$AY313,'recurring2_based on steps'!$B$1:$AY$1,F$1)+SUMIFS('changes2_based on steps'!$B313:$U313,'changes2_based on steps'!$B$1:$U$1,F$1)</f>
        <v>0</v>
      </c>
      <c r="G313" s="179">
        <f>SUMIFS('recurring2_based on steps'!$B313:$AY313,'recurring2_based on steps'!$B$1:$AY$1,G$1)+SUMIFS('changes2_based on steps'!$B313:$U313,'changes2_based on steps'!$B$1:$U$1,G$1)</f>
        <v>0</v>
      </c>
      <c r="H313" s="179">
        <f>SUMIFS('recurring2_based on steps'!$B313:$AY313,'recurring2_based on steps'!$B$1:$AY$1,H$1)+SUMIFS('changes2_based on steps'!$B313:$U313,'changes2_based on steps'!$B$1:$U$1,H$1)</f>
        <v>0</v>
      </c>
      <c r="I313" s="179">
        <f>SUMIFS('recurring2_based on steps'!$B313:$AY313,'recurring2_based on steps'!$B$1:$AY$1,I$1)+SUMIFS('changes2_based on steps'!$B313:$U313,'changes2_based on steps'!$B$1:$U$1,I$1)</f>
        <v>0</v>
      </c>
      <c r="J313" s="179">
        <f>SUMIFS('recurring2_based on steps'!$B313:$AY313,'recurring2_based on steps'!$B$1:$AY$1,J$1)+SUMIFS('changes2_based on steps'!$B313:$U313,'changes2_based on steps'!$B$1:$U$1,J$1)</f>
        <v>0</v>
      </c>
      <c r="K313" s="179">
        <f>SUMIFS('recurring2_based on steps'!$B313:$AY313,'recurring2_based on steps'!$B$1:$AY$1,K$1)+SUMIFS('changes2_based on steps'!$B313:$U313,'changes2_based on steps'!$B$1:$U$1,K$1)</f>
        <v>0</v>
      </c>
      <c r="L313" s="179">
        <f>SUMIFS('recurring2_based on steps'!$B313:$AY313,'recurring2_based on steps'!$B$1:$AY$1,L$1)+SUMIFS('changes2_based on steps'!$B313:$U313,'changes2_based on steps'!$B$1:$U$1,L$1)</f>
        <v>0</v>
      </c>
      <c r="M313" s="179">
        <f>SUMIFS('recurring2_based on steps'!$B313:$AY313,'recurring2_based on steps'!$B$1:$AY$1,M$1)+SUMIFS('changes2_based on steps'!$B313:$U313,'changes2_based on steps'!$B$1:$U$1,M$1)</f>
        <v>0</v>
      </c>
      <c r="N313" s="179">
        <f>SUMIFS('recurring2_based on steps'!$B313:$AY313,'recurring2_based on steps'!$B$1:$AY$1,N$1)+SUMIFS('changes2_based on steps'!$B313:$U313,'changes2_based on steps'!$B$1:$U$1,N$1)</f>
        <v>0</v>
      </c>
      <c r="O313" s="179">
        <f>SUMIFS('recurring2_based on steps'!$B313:$AY313,'recurring2_based on steps'!$B$1:$AY$1,O$1)+SUMIFS('changes2_based on steps'!$B313:$U313,'changes2_based on steps'!$B$1:$U$1,O$1)</f>
        <v>0</v>
      </c>
      <c r="P313" s="179">
        <f>SUMIFS('recurring2_based on steps'!$B313:$AY313,'recurring2_based on steps'!$B$1:$AY$1,P$1)+SUMIFS('changes2_based on steps'!$B313:$U313,'changes2_based on steps'!$B$1:$U$1,P$1)</f>
        <v>0</v>
      </c>
      <c r="Q313" s="179">
        <f>SUMIFS('recurring2_based on steps'!$B313:$AY313,'recurring2_based on steps'!$B$1:$AY$1,Q$1)+SUMIFS('changes2_based on steps'!$B313:$U313,'changes2_based on steps'!$B$1:$U$1,Q$1)</f>
        <v>0</v>
      </c>
      <c r="R313" s="179">
        <f>SUMIFS('recurring2_based on steps'!$B313:$AY313,'recurring2_based on steps'!$B$1:$AY$1,R$1)+SUMIFS('changes2_based on steps'!$B313:$U313,'changes2_based on steps'!$B$1:$U$1,R$1)</f>
        <v>0</v>
      </c>
      <c r="S313" s="179">
        <f>SUMIFS('recurring2_based on steps'!$B313:$AY313,'recurring2_based on steps'!$B$1:$AY$1,S$1)+SUMIFS('changes2_based on steps'!$B313:$U313,'changes2_based on steps'!$B$1:$U$1,S$1)</f>
        <v>0</v>
      </c>
      <c r="T313" s="179">
        <f>SUMIFS('recurring2_based on steps'!$B313:$AY313,'recurring2_based on steps'!$B$1:$AY$1,T$1)+SUMIFS('changes2_based on steps'!$B313:$U313,'changes2_based on steps'!$B$1:$U$1,T$1)</f>
        <v>0</v>
      </c>
      <c r="U313" s="179">
        <f>SUMIFS('recurring2_based on steps'!$B313:$AY313,'recurring2_based on steps'!$B$1:$AY$1,U$1)+SUMIFS('changes2_based on steps'!$B313:$U313,'changes2_based on steps'!$B$1:$U$1,U$1)</f>
        <v>0</v>
      </c>
      <c r="V313" s="179">
        <f>SUMIFS('recurring2_based on steps'!$B313:$AY313,'recurring2_based on steps'!$B$1:$AY$1,V$1)+SUMIFS('changes2_based on steps'!$B313:$U313,'changes2_based on steps'!$B$1:$U$1,V$1)</f>
        <v>0</v>
      </c>
      <c r="W313" s="179">
        <f>SUMIFS('recurring2_based on steps'!$B313:$AY313,'recurring2_based on steps'!$B$1:$AY$1,W$1)+SUMIFS('changes2_based on steps'!$B313:$U313,'changes2_based on steps'!$B$1:$U$1,W$1)</f>
        <v>0</v>
      </c>
      <c r="X313" s="179">
        <f>SUMIFS('recurring2_based on steps'!$B313:$AY313,'recurring2_based on steps'!$B$1:$AY$1,X$1)+SUMIFS('changes2_based on steps'!$B313:$U313,'changes2_based on steps'!$B$1:$U$1,X$1)</f>
        <v>0</v>
      </c>
      <c r="Y313" s="179">
        <f>SUMIFS('recurring2_based on steps'!$B313:$AY313,'recurring2_based on steps'!$B$1:$AY$1,Y$1)+SUMIFS('changes2_based on steps'!$B313:$U313,'changes2_based on steps'!$B$1:$U$1,Y$1)</f>
        <v>0</v>
      </c>
      <c r="Z313" s="179">
        <f>SUMIFS('recurring2_based on steps'!$B313:$AY313,'recurring2_based on steps'!$B$1:$AY$1,Z$1)+SUMIFS('changes2_based on steps'!$B313:$U313,'changes2_based on steps'!$B$1:$U$1,Z$1)</f>
        <v>0</v>
      </c>
      <c r="AA313" s="179">
        <f>SUMIFS('recurring2_based on steps'!$B313:$AY313,'recurring2_based on steps'!$B$1:$AY$1,AA$1)+SUMIFS('changes2_based on steps'!$B313:$U313,'changes2_based on steps'!$B$1:$U$1,AA$1)</f>
        <v>0</v>
      </c>
      <c r="AB313" s="179">
        <f>SUMIFS('recurring2_based on steps'!$B313:$AY313,'recurring2_based on steps'!$B$1:$AY$1,AB$1)+SUMIFS('changes2_based on steps'!$B313:$U313,'changes2_based on steps'!$B$1:$U$1,AB$1)</f>
        <v>0</v>
      </c>
      <c r="AC313" s="179">
        <f>SUMIFS('recurring2_based on steps'!$B313:$AY313,'recurring2_based on steps'!$B$1:$AY$1,AC$1)+SUMIFS('changes2_based on steps'!$B313:$U313,'changes2_based on steps'!$B$1:$U$1,AC$1)</f>
        <v>0</v>
      </c>
      <c r="AD313" s="179">
        <f>SUMIFS('recurring2_based on steps'!$B313:$AY313,'recurring2_based on steps'!$B$1:$AY$1,AD$1)+SUMIFS('changes2_based on steps'!$B313:$U313,'changes2_based on steps'!$B$1:$U$1,AD$1)</f>
        <v>0</v>
      </c>
      <c r="AE313" s="179">
        <f>SUMIFS('recurring2_based on steps'!$B313:$AY313,'recurring2_based on steps'!$B$1:$AY$1,AE$1)+SUMIFS('changes2_based on steps'!$B313:$U313,'changes2_based on steps'!$B$1:$U$1,AE$1)</f>
        <v>0</v>
      </c>
      <c r="AF313" s="179"/>
      <c r="AG313" s="179"/>
      <c r="AH313" s="179"/>
      <c r="AI313" s="179"/>
      <c r="AJ313" s="179"/>
      <c r="AK313" s="179"/>
      <c r="AL313" s="179"/>
      <c r="AM313" s="179"/>
    </row>
    <row r="314" spans="1:39" x14ac:dyDescent="0.2">
      <c r="A314" s="32">
        <f t="shared" ca="1" si="4"/>
        <v>46063</v>
      </c>
      <c r="B314" s="179">
        <f>SUMIFS('recurring2_based on steps'!$B314:$AY314,'recurring2_based on steps'!$B$1:$AY$1,B$1)+SUMIFS('changes2_based on steps'!$B314:$U314,'changes2_based on steps'!$B$1:$U$1,B$1)</f>
        <v>0</v>
      </c>
      <c r="C314" s="179">
        <f>SUMIFS('recurring2_based on steps'!$B314:$AY314,'recurring2_based on steps'!$B$1:$AY$1,C$1)+SUMIFS('changes2_based on steps'!$B314:$U314,'changes2_based on steps'!$B$1:$U$1,C$1)</f>
        <v>0</v>
      </c>
      <c r="D314" s="179">
        <f>SUMIFS('recurring2_based on steps'!$B314:$AY314,'recurring2_based on steps'!$B$1:$AY$1,D$1)+SUMIFS('changes2_based on steps'!$B314:$U314,'changes2_based on steps'!$B$1:$U$1,D$1)</f>
        <v>0</v>
      </c>
      <c r="E314" s="179">
        <f>SUMIFS('recurring2_based on steps'!$B314:$AY314,'recurring2_based on steps'!$B$1:$AY$1,E$1)+SUMIFS('changes2_based on steps'!$B314:$U314,'changes2_based on steps'!$B$1:$U$1,E$1)</f>
        <v>0</v>
      </c>
      <c r="F314" s="179">
        <f>SUMIFS('recurring2_based on steps'!$B314:$AY314,'recurring2_based on steps'!$B$1:$AY$1,F$1)+SUMIFS('changes2_based on steps'!$B314:$U314,'changes2_based on steps'!$B$1:$U$1,F$1)</f>
        <v>0</v>
      </c>
      <c r="G314" s="179">
        <f>SUMIFS('recurring2_based on steps'!$B314:$AY314,'recurring2_based on steps'!$B$1:$AY$1,G$1)+SUMIFS('changes2_based on steps'!$B314:$U314,'changes2_based on steps'!$B$1:$U$1,G$1)</f>
        <v>0</v>
      </c>
      <c r="H314" s="179">
        <f>SUMIFS('recurring2_based on steps'!$B314:$AY314,'recurring2_based on steps'!$B$1:$AY$1,H$1)+SUMIFS('changes2_based on steps'!$B314:$U314,'changes2_based on steps'!$B$1:$U$1,H$1)</f>
        <v>0</v>
      </c>
      <c r="I314" s="179">
        <f>SUMIFS('recurring2_based on steps'!$B314:$AY314,'recurring2_based on steps'!$B$1:$AY$1,I$1)+SUMIFS('changes2_based on steps'!$B314:$U314,'changes2_based on steps'!$B$1:$U$1,I$1)</f>
        <v>0</v>
      </c>
      <c r="J314" s="179">
        <f>SUMIFS('recurring2_based on steps'!$B314:$AY314,'recurring2_based on steps'!$B$1:$AY$1,J$1)+SUMIFS('changes2_based on steps'!$B314:$U314,'changes2_based on steps'!$B$1:$U$1,J$1)</f>
        <v>0</v>
      </c>
      <c r="K314" s="179">
        <f>SUMIFS('recurring2_based on steps'!$B314:$AY314,'recurring2_based on steps'!$B$1:$AY$1,K$1)+SUMIFS('changes2_based on steps'!$B314:$U314,'changes2_based on steps'!$B$1:$U$1,K$1)</f>
        <v>0</v>
      </c>
      <c r="L314" s="179">
        <f>SUMIFS('recurring2_based on steps'!$B314:$AY314,'recurring2_based on steps'!$B$1:$AY$1,L$1)+SUMIFS('changes2_based on steps'!$B314:$U314,'changes2_based on steps'!$B$1:$U$1,L$1)</f>
        <v>0</v>
      </c>
      <c r="M314" s="179">
        <f>SUMIFS('recurring2_based on steps'!$B314:$AY314,'recurring2_based on steps'!$B$1:$AY$1,M$1)+SUMIFS('changes2_based on steps'!$B314:$U314,'changes2_based on steps'!$B$1:$U$1,M$1)</f>
        <v>0</v>
      </c>
      <c r="N314" s="179">
        <f>SUMIFS('recurring2_based on steps'!$B314:$AY314,'recurring2_based on steps'!$B$1:$AY$1,N$1)+SUMIFS('changes2_based on steps'!$B314:$U314,'changes2_based on steps'!$B$1:$U$1,N$1)</f>
        <v>0</v>
      </c>
      <c r="O314" s="179">
        <f>SUMIFS('recurring2_based on steps'!$B314:$AY314,'recurring2_based on steps'!$B$1:$AY$1,O$1)+SUMIFS('changes2_based on steps'!$B314:$U314,'changes2_based on steps'!$B$1:$U$1,O$1)</f>
        <v>0</v>
      </c>
      <c r="P314" s="179">
        <f>SUMIFS('recurring2_based on steps'!$B314:$AY314,'recurring2_based on steps'!$B$1:$AY$1,P$1)+SUMIFS('changes2_based on steps'!$B314:$U314,'changes2_based on steps'!$B$1:$U$1,P$1)</f>
        <v>0</v>
      </c>
      <c r="Q314" s="179">
        <f>SUMIFS('recurring2_based on steps'!$B314:$AY314,'recurring2_based on steps'!$B$1:$AY$1,Q$1)+SUMIFS('changes2_based on steps'!$B314:$U314,'changes2_based on steps'!$B$1:$U$1,Q$1)</f>
        <v>0</v>
      </c>
      <c r="R314" s="179">
        <f>SUMIFS('recurring2_based on steps'!$B314:$AY314,'recurring2_based on steps'!$B$1:$AY$1,R$1)+SUMIFS('changes2_based on steps'!$B314:$U314,'changes2_based on steps'!$B$1:$U$1,R$1)</f>
        <v>0</v>
      </c>
      <c r="S314" s="179">
        <f>SUMIFS('recurring2_based on steps'!$B314:$AY314,'recurring2_based on steps'!$B$1:$AY$1,S$1)+SUMIFS('changes2_based on steps'!$B314:$U314,'changes2_based on steps'!$B$1:$U$1,S$1)</f>
        <v>0</v>
      </c>
      <c r="T314" s="179">
        <f>SUMIFS('recurring2_based on steps'!$B314:$AY314,'recurring2_based on steps'!$B$1:$AY$1,T$1)+SUMIFS('changes2_based on steps'!$B314:$U314,'changes2_based on steps'!$B$1:$U$1,T$1)</f>
        <v>0</v>
      </c>
      <c r="U314" s="179">
        <f>SUMIFS('recurring2_based on steps'!$B314:$AY314,'recurring2_based on steps'!$B$1:$AY$1,U$1)+SUMIFS('changes2_based on steps'!$B314:$U314,'changes2_based on steps'!$B$1:$U$1,U$1)</f>
        <v>0</v>
      </c>
      <c r="V314" s="179">
        <f>SUMIFS('recurring2_based on steps'!$B314:$AY314,'recurring2_based on steps'!$B$1:$AY$1,V$1)+SUMIFS('changes2_based on steps'!$B314:$U314,'changes2_based on steps'!$B$1:$U$1,V$1)</f>
        <v>0</v>
      </c>
      <c r="W314" s="179">
        <f>SUMIFS('recurring2_based on steps'!$B314:$AY314,'recurring2_based on steps'!$B$1:$AY$1,W$1)+SUMIFS('changes2_based on steps'!$B314:$U314,'changes2_based on steps'!$B$1:$U$1,W$1)</f>
        <v>0</v>
      </c>
      <c r="X314" s="179">
        <f>SUMIFS('recurring2_based on steps'!$B314:$AY314,'recurring2_based on steps'!$B$1:$AY$1,X$1)+SUMIFS('changes2_based on steps'!$B314:$U314,'changes2_based on steps'!$B$1:$U$1,X$1)</f>
        <v>0</v>
      </c>
      <c r="Y314" s="179">
        <f>SUMIFS('recurring2_based on steps'!$B314:$AY314,'recurring2_based on steps'!$B$1:$AY$1,Y$1)+SUMIFS('changes2_based on steps'!$B314:$U314,'changes2_based on steps'!$B$1:$U$1,Y$1)</f>
        <v>0</v>
      </c>
      <c r="Z314" s="179">
        <f>SUMIFS('recurring2_based on steps'!$B314:$AY314,'recurring2_based on steps'!$B$1:$AY$1,Z$1)+SUMIFS('changes2_based on steps'!$B314:$U314,'changes2_based on steps'!$B$1:$U$1,Z$1)</f>
        <v>0</v>
      </c>
      <c r="AA314" s="179">
        <f>SUMIFS('recurring2_based on steps'!$B314:$AY314,'recurring2_based on steps'!$B$1:$AY$1,AA$1)+SUMIFS('changes2_based on steps'!$B314:$U314,'changes2_based on steps'!$B$1:$U$1,AA$1)</f>
        <v>0</v>
      </c>
      <c r="AB314" s="179">
        <f>SUMIFS('recurring2_based on steps'!$B314:$AY314,'recurring2_based on steps'!$B$1:$AY$1,AB$1)+SUMIFS('changes2_based on steps'!$B314:$U314,'changes2_based on steps'!$B$1:$U$1,AB$1)</f>
        <v>0</v>
      </c>
      <c r="AC314" s="179">
        <f>SUMIFS('recurring2_based on steps'!$B314:$AY314,'recurring2_based on steps'!$B$1:$AY$1,AC$1)+SUMIFS('changes2_based on steps'!$B314:$U314,'changes2_based on steps'!$B$1:$U$1,AC$1)</f>
        <v>0</v>
      </c>
      <c r="AD314" s="179">
        <f>SUMIFS('recurring2_based on steps'!$B314:$AY314,'recurring2_based on steps'!$B$1:$AY$1,AD$1)+SUMIFS('changes2_based on steps'!$B314:$U314,'changes2_based on steps'!$B$1:$U$1,AD$1)</f>
        <v>0</v>
      </c>
      <c r="AE314" s="179">
        <f>SUMIFS('recurring2_based on steps'!$B314:$AY314,'recurring2_based on steps'!$B$1:$AY$1,AE$1)+SUMIFS('changes2_based on steps'!$B314:$U314,'changes2_based on steps'!$B$1:$U$1,AE$1)</f>
        <v>0</v>
      </c>
      <c r="AF314" s="179"/>
      <c r="AG314" s="179"/>
      <c r="AH314" s="179"/>
      <c r="AI314" s="179"/>
      <c r="AJ314" s="179"/>
      <c r="AK314" s="179"/>
      <c r="AL314" s="179"/>
      <c r="AM314" s="179"/>
    </row>
    <row r="315" spans="1:39" x14ac:dyDescent="0.2">
      <c r="A315" s="32">
        <f t="shared" ca="1" si="4"/>
        <v>46064</v>
      </c>
      <c r="B315" s="179">
        <f>SUMIFS('recurring2_based on steps'!$B315:$AY315,'recurring2_based on steps'!$B$1:$AY$1,B$1)+SUMIFS('changes2_based on steps'!$B315:$U315,'changes2_based on steps'!$B$1:$U$1,B$1)</f>
        <v>0</v>
      </c>
      <c r="C315" s="179">
        <f>SUMIFS('recurring2_based on steps'!$B315:$AY315,'recurring2_based on steps'!$B$1:$AY$1,C$1)+SUMIFS('changes2_based on steps'!$B315:$U315,'changes2_based on steps'!$B$1:$U$1,C$1)</f>
        <v>0</v>
      </c>
      <c r="D315" s="179">
        <f>SUMIFS('recurring2_based on steps'!$B315:$AY315,'recurring2_based on steps'!$B$1:$AY$1,D$1)+SUMIFS('changes2_based on steps'!$B315:$U315,'changes2_based on steps'!$B$1:$U$1,D$1)</f>
        <v>0</v>
      </c>
      <c r="E315" s="179">
        <f>SUMIFS('recurring2_based on steps'!$B315:$AY315,'recurring2_based on steps'!$B$1:$AY$1,E$1)+SUMIFS('changes2_based on steps'!$B315:$U315,'changes2_based on steps'!$B$1:$U$1,E$1)</f>
        <v>0</v>
      </c>
      <c r="F315" s="179">
        <f>SUMIFS('recurring2_based on steps'!$B315:$AY315,'recurring2_based on steps'!$B$1:$AY$1,F$1)+SUMIFS('changes2_based on steps'!$B315:$U315,'changes2_based on steps'!$B$1:$U$1,F$1)</f>
        <v>0</v>
      </c>
      <c r="G315" s="179">
        <f>SUMIFS('recurring2_based on steps'!$B315:$AY315,'recurring2_based on steps'!$B$1:$AY$1,G$1)+SUMIFS('changes2_based on steps'!$B315:$U315,'changes2_based on steps'!$B$1:$U$1,G$1)</f>
        <v>0</v>
      </c>
      <c r="H315" s="179">
        <f>SUMIFS('recurring2_based on steps'!$B315:$AY315,'recurring2_based on steps'!$B$1:$AY$1,H$1)+SUMIFS('changes2_based on steps'!$B315:$U315,'changes2_based on steps'!$B$1:$U$1,H$1)</f>
        <v>0</v>
      </c>
      <c r="I315" s="179">
        <f>SUMIFS('recurring2_based on steps'!$B315:$AY315,'recurring2_based on steps'!$B$1:$AY$1,I$1)+SUMIFS('changes2_based on steps'!$B315:$U315,'changes2_based on steps'!$B$1:$U$1,I$1)</f>
        <v>0</v>
      </c>
      <c r="J315" s="179">
        <f>SUMIFS('recurring2_based on steps'!$B315:$AY315,'recurring2_based on steps'!$B$1:$AY$1,J$1)+SUMIFS('changes2_based on steps'!$B315:$U315,'changes2_based on steps'!$B$1:$U$1,J$1)</f>
        <v>0</v>
      </c>
      <c r="K315" s="179">
        <f>SUMIFS('recurring2_based on steps'!$B315:$AY315,'recurring2_based on steps'!$B$1:$AY$1,K$1)+SUMIFS('changes2_based on steps'!$B315:$U315,'changes2_based on steps'!$B$1:$U$1,K$1)</f>
        <v>0</v>
      </c>
      <c r="L315" s="179">
        <f>SUMIFS('recurring2_based on steps'!$B315:$AY315,'recurring2_based on steps'!$B$1:$AY$1,L$1)+SUMIFS('changes2_based on steps'!$B315:$U315,'changes2_based on steps'!$B$1:$U$1,L$1)</f>
        <v>0</v>
      </c>
      <c r="M315" s="179">
        <f>SUMIFS('recurring2_based on steps'!$B315:$AY315,'recurring2_based on steps'!$B$1:$AY$1,M$1)+SUMIFS('changes2_based on steps'!$B315:$U315,'changes2_based on steps'!$B$1:$U$1,M$1)</f>
        <v>0</v>
      </c>
      <c r="N315" s="179">
        <f>SUMIFS('recurring2_based on steps'!$B315:$AY315,'recurring2_based on steps'!$B$1:$AY$1,N$1)+SUMIFS('changes2_based on steps'!$B315:$U315,'changes2_based on steps'!$B$1:$U$1,N$1)</f>
        <v>0</v>
      </c>
      <c r="O315" s="179">
        <f>SUMIFS('recurring2_based on steps'!$B315:$AY315,'recurring2_based on steps'!$B$1:$AY$1,O$1)+SUMIFS('changes2_based on steps'!$B315:$U315,'changes2_based on steps'!$B$1:$U$1,O$1)</f>
        <v>0</v>
      </c>
      <c r="P315" s="179">
        <f>SUMIFS('recurring2_based on steps'!$B315:$AY315,'recurring2_based on steps'!$B$1:$AY$1,P$1)+SUMIFS('changes2_based on steps'!$B315:$U315,'changes2_based on steps'!$B$1:$U$1,P$1)</f>
        <v>0</v>
      </c>
      <c r="Q315" s="179">
        <f>SUMIFS('recurring2_based on steps'!$B315:$AY315,'recurring2_based on steps'!$B$1:$AY$1,Q$1)+SUMIFS('changes2_based on steps'!$B315:$U315,'changes2_based on steps'!$B$1:$U$1,Q$1)</f>
        <v>0</v>
      </c>
      <c r="R315" s="179">
        <f>SUMIFS('recurring2_based on steps'!$B315:$AY315,'recurring2_based on steps'!$B$1:$AY$1,R$1)+SUMIFS('changes2_based on steps'!$B315:$U315,'changes2_based on steps'!$B$1:$U$1,R$1)</f>
        <v>0</v>
      </c>
      <c r="S315" s="179">
        <f>SUMIFS('recurring2_based on steps'!$B315:$AY315,'recurring2_based on steps'!$B$1:$AY$1,S$1)+SUMIFS('changes2_based on steps'!$B315:$U315,'changes2_based on steps'!$B$1:$U$1,S$1)</f>
        <v>0</v>
      </c>
      <c r="T315" s="179">
        <f>SUMIFS('recurring2_based on steps'!$B315:$AY315,'recurring2_based on steps'!$B$1:$AY$1,T$1)+SUMIFS('changes2_based on steps'!$B315:$U315,'changes2_based on steps'!$B$1:$U$1,T$1)</f>
        <v>0</v>
      </c>
      <c r="U315" s="179">
        <f>SUMIFS('recurring2_based on steps'!$B315:$AY315,'recurring2_based on steps'!$B$1:$AY$1,U$1)+SUMIFS('changes2_based on steps'!$B315:$U315,'changes2_based on steps'!$B$1:$U$1,U$1)</f>
        <v>0</v>
      </c>
      <c r="V315" s="179">
        <f>SUMIFS('recurring2_based on steps'!$B315:$AY315,'recurring2_based on steps'!$B$1:$AY$1,V$1)+SUMIFS('changes2_based on steps'!$B315:$U315,'changes2_based on steps'!$B$1:$U$1,V$1)</f>
        <v>0</v>
      </c>
      <c r="W315" s="179">
        <f>SUMIFS('recurring2_based on steps'!$B315:$AY315,'recurring2_based on steps'!$B$1:$AY$1,W$1)+SUMIFS('changes2_based on steps'!$B315:$U315,'changes2_based on steps'!$B$1:$U$1,W$1)</f>
        <v>0</v>
      </c>
      <c r="X315" s="179">
        <f>SUMIFS('recurring2_based on steps'!$B315:$AY315,'recurring2_based on steps'!$B$1:$AY$1,X$1)+SUMIFS('changes2_based on steps'!$B315:$U315,'changes2_based on steps'!$B$1:$U$1,X$1)</f>
        <v>0</v>
      </c>
      <c r="Y315" s="179">
        <f>SUMIFS('recurring2_based on steps'!$B315:$AY315,'recurring2_based on steps'!$B$1:$AY$1,Y$1)+SUMIFS('changes2_based on steps'!$B315:$U315,'changes2_based on steps'!$B$1:$U$1,Y$1)</f>
        <v>0</v>
      </c>
      <c r="Z315" s="179">
        <f>SUMIFS('recurring2_based on steps'!$B315:$AY315,'recurring2_based on steps'!$B$1:$AY$1,Z$1)+SUMIFS('changes2_based on steps'!$B315:$U315,'changes2_based on steps'!$B$1:$U$1,Z$1)</f>
        <v>0</v>
      </c>
      <c r="AA315" s="179">
        <f>SUMIFS('recurring2_based on steps'!$B315:$AY315,'recurring2_based on steps'!$B$1:$AY$1,AA$1)+SUMIFS('changes2_based on steps'!$B315:$U315,'changes2_based on steps'!$B$1:$U$1,AA$1)</f>
        <v>0</v>
      </c>
      <c r="AB315" s="179">
        <f>SUMIFS('recurring2_based on steps'!$B315:$AY315,'recurring2_based on steps'!$B$1:$AY$1,AB$1)+SUMIFS('changes2_based on steps'!$B315:$U315,'changes2_based on steps'!$B$1:$U$1,AB$1)</f>
        <v>0</v>
      </c>
      <c r="AC315" s="179">
        <f>SUMIFS('recurring2_based on steps'!$B315:$AY315,'recurring2_based on steps'!$B$1:$AY$1,AC$1)+SUMIFS('changes2_based on steps'!$B315:$U315,'changes2_based on steps'!$B$1:$U$1,AC$1)</f>
        <v>0</v>
      </c>
      <c r="AD315" s="179">
        <f>SUMIFS('recurring2_based on steps'!$B315:$AY315,'recurring2_based on steps'!$B$1:$AY$1,AD$1)+SUMIFS('changes2_based on steps'!$B315:$U315,'changes2_based on steps'!$B$1:$U$1,AD$1)</f>
        <v>0</v>
      </c>
      <c r="AE315" s="179">
        <f>SUMIFS('recurring2_based on steps'!$B315:$AY315,'recurring2_based on steps'!$B$1:$AY$1,AE$1)+SUMIFS('changes2_based on steps'!$B315:$U315,'changes2_based on steps'!$B$1:$U$1,AE$1)</f>
        <v>0</v>
      </c>
      <c r="AF315" s="179"/>
      <c r="AG315" s="179"/>
      <c r="AH315" s="179"/>
      <c r="AI315" s="179"/>
      <c r="AJ315" s="179"/>
      <c r="AK315" s="179"/>
      <c r="AL315" s="179"/>
      <c r="AM315" s="179"/>
    </row>
    <row r="316" spans="1:39" x14ac:dyDescent="0.2">
      <c r="A316" s="32">
        <f t="shared" ca="1" si="4"/>
        <v>46065</v>
      </c>
      <c r="B316" s="179">
        <f>SUMIFS('recurring2_based on steps'!$B316:$AY316,'recurring2_based on steps'!$B$1:$AY$1,B$1)+SUMIFS('changes2_based on steps'!$B316:$U316,'changes2_based on steps'!$B$1:$U$1,B$1)</f>
        <v>0</v>
      </c>
      <c r="C316" s="179">
        <f>SUMIFS('recurring2_based on steps'!$B316:$AY316,'recurring2_based on steps'!$B$1:$AY$1,C$1)+SUMIFS('changes2_based on steps'!$B316:$U316,'changes2_based on steps'!$B$1:$U$1,C$1)</f>
        <v>0</v>
      </c>
      <c r="D316" s="179">
        <f>SUMIFS('recurring2_based on steps'!$B316:$AY316,'recurring2_based on steps'!$B$1:$AY$1,D$1)+SUMIFS('changes2_based on steps'!$B316:$U316,'changes2_based on steps'!$B$1:$U$1,D$1)</f>
        <v>0</v>
      </c>
      <c r="E316" s="179">
        <f>SUMIFS('recurring2_based on steps'!$B316:$AY316,'recurring2_based on steps'!$B$1:$AY$1,E$1)+SUMIFS('changes2_based on steps'!$B316:$U316,'changes2_based on steps'!$B$1:$U$1,E$1)</f>
        <v>0</v>
      </c>
      <c r="F316" s="179">
        <f>SUMIFS('recurring2_based on steps'!$B316:$AY316,'recurring2_based on steps'!$B$1:$AY$1,F$1)+SUMIFS('changes2_based on steps'!$B316:$U316,'changes2_based on steps'!$B$1:$U$1,F$1)</f>
        <v>0</v>
      </c>
      <c r="G316" s="179">
        <f>SUMIFS('recurring2_based on steps'!$B316:$AY316,'recurring2_based on steps'!$B$1:$AY$1,G$1)+SUMIFS('changes2_based on steps'!$B316:$U316,'changes2_based on steps'!$B$1:$U$1,G$1)</f>
        <v>0</v>
      </c>
      <c r="H316" s="179">
        <f>SUMIFS('recurring2_based on steps'!$B316:$AY316,'recurring2_based on steps'!$B$1:$AY$1,H$1)+SUMIFS('changes2_based on steps'!$B316:$U316,'changes2_based on steps'!$B$1:$U$1,H$1)</f>
        <v>0</v>
      </c>
      <c r="I316" s="179">
        <f>SUMIFS('recurring2_based on steps'!$B316:$AY316,'recurring2_based on steps'!$B$1:$AY$1,I$1)+SUMIFS('changes2_based on steps'!$B316:$U316,'changes2_based on steps'!$B$1:$U$1,I$1)</f>
        <v>0</v>
      </c>
      <c r="J316" s="179">
        <f>SUMIFS('recurring2_based on steps'!$B316:$AY316,'recurring2_based on steps'!$B$1:$AY$1,J$1)+SUMIFS('changes2_based on steps'!$B316:$U316,'changes2_based on steps'!$B$1:$U$1,J$1)</f>
        <v>0</v>
      </c>
      <c r="K316" s="179">
        <f>SUMIFS('recurring2_based on steps'!$B316:$AY316,'recurring2_based on steps'!$B$1:$AY$1,K$1)+SUMIFS('changes2_based on steps'!$B316:$U316,'changes2_based on steps'!$B$1:$U$1,K$1)</f>
        <v>0</v>
      </c>
      <c r="L316" s="179">
        <f>SUMIFS('recurring2_based on steps'!$B316:$AY316,'recurring2_based on steps'!$B$1:$AY$1,L$1)+SUMIFS('changes2_based on steps'!$B316:$U316,'changes2_based on steps'!$B$1:$U$1,L$1)</f>
        <v>0</v>
      </c>
      <c r="M316" s="179">
        <f>SUMIFS('recurring2_based on steps'!$B316:$AY316,'recurring2_based on steps'!$B$1:$AY$1,M$1)+SUMIFS('changes2_based on steps'!$B316:$U316,'changes2_based on steps'!$B$1:$U$1,M$1)</f>
        <v>0</v>
      </c>
      <c r="N316" s="179">
        <f>SUMIFS('recurring2_based on steps'!$B316:$AY316,'recurring2_based on steps'!$B$1:$AY$1,N$1)+SUMIFS('changes2_based on steps'!$B316:$U316,'changes2_based on steps'!$B$1:$U$1,N$1)</f>
        <v>0</v>
      </c>
      <c r="O316" s="179">
        <f>SUMIFS('recurring2_based on steps'!$B316:$AY316,'recurring2_based on steps'!$B$1:$AY$1,O$1)+SUMIFS('changes2_based on steps'!$B316:$U316,'changes2_based on steps'!$B$1:$U$1,O$1)</f>
        <v>0</v>
      </c>
      <c r="P316" s="179">
        <f>SUMIFS('recurring2_based on steps'!$B316:$AY316,'recurring2_based on steps'!$B$1:$AY$1,P$1)+SUMIFS('changes2_based on steps'!$B316:$U316,'changes2_based on steps'!$B$1:$U$1,P$1)</f>
        <v>0</v>
      </c>
      <c r="Q316" s="179">
        <f>SUMIFS('recurring2_based on steps'!$B316:$AY316,'recurring2_based on steps'!$B$1:$AY$1,Q$1)+SUMIFS('changes2_based on steps'!$B316:$U316,'changes2_based on steps'!$B$1:$U$1,Q$1)</f>
        <v>0</v>
      </c>
      <c r="R316" s="179">
        <f>SUMIFS('recurring2_based on steps'!$B316:$AY316,'recurring2_based on steps'!$B$1:$AY$1,R$1)+SUMIFS('changes2_based on steps'!$B316:$U316,'changes2_based on steps'!$B$1:$U$1,R$1)</f>
        <v>0</v>
      </c>
      <c r="S316" s="179">
        <f>SUMIFS('recurring2_based on steps'!$B316:$AY316,'recurring2_based on steps'!$B$1:$AY$1,S$1)+SUMIFS('changes2_based on steps'!$B316:$U316,'changes2_based on steps'!$B$1:$U$1,S$1)</f>
        <v>0</v>
      </c>
      <c r="T316" s="179">
        <f>SUMIFS('recurring2_based on steps'!$B316:$AY316,'recurring2_based on steps'!$B$1:$AY$1,T$1)+SUMIFS('changes2_based on steps'!$B316:$U316,'changes2_based on steps'!$B$1:$U$1,T$1)</f>
        <v>0</v>
      </c>
      <c r="U316" s="179">
        <f>SUMIFS('recurring2_based on steps'!$B316:$AY316,'recurring2_based on steps'!$B$1:$AY$1,U$1)+SUMIFS('changes2_based on steps'!$B316:$U316,'changes2_based on steps'!$B$1:$U$1,U$1)</f>
        <v>0</v>
      </c>
      <c r="V316" s="179">
        <f>SUMIFS('recurring2_based on steps'!$B316:$AY316,'recurring2_based on steps'!$B$1:$AY$1,V$1)+SUMIFS('changes2_based on steps'!$B316:$U316,'changes2_based on steps'!$B$1:$U$1,V$1)</f>
        <v>0</v>
      </c>
      <c r="W316" s="179">
        <f>SUMIFS('recurring2_based on steps'!$B316:$AY316,'recurring2_based on steps'!$B$1:$AY$1,W$1)+SUMIFS('changes2_based on steps'!$B316:$U316,'changes2_based on steps'!$B$1:$U$1,W$1)</f>
        <v>0</v>
      </c>
      <c r="X316" s="179">
        <f>SUMIFS('recurring2_based on steps'!$B316:$AY316,'recurring2_based on steps'!$B$1:$AY$1,X$1)+SUMIFS('changes2_based on steps'!$B316:$U316,'changes2_based on steps'!$B$1:$U$1,X$1)</f>
        <v>0</v>
      </c>
      <c r="Y316" s="179">
        <f>SUMIFS('recurring2_based on steps'!$B316:$AY316,'recurring2_based on steps'!$B$1:$AY$1,Y$1)+SUMIFS('changes2_based on steps'!$B316:$U316,'changes2_based on steps'!$B$1:$U$1,Y$1)</f>
        <v>0</v>
      </c>
      <c r="Z316" s="179">
        <f>SUMIFS('recurring2_based on steps'!$B316:$AY316,'recurring2_based on steps'!$B$1:$AY$1,Z$1)+SUMIFS('changes2_based on steps'!$B316:$U316,'changes2_based on steps'!$B$1:$U$1,Z$1)</f>
        <v>0</v>
      </c>
      <c r="AA316" s="179">
        <f>SUMIFS('recurring2_based on steps'!$B316:$AY316,'recurring2_based on steps'!$B$1:$AY$1,AA$1)+SUMIFS('changes2_based on steps'!$B316:$U316,'changes2_based on steps'!$B$1:$U$1,AA$1)</f>
        <v>0</v>
      </c>
      <c r="AB316" s="179">
        <f>SUMIFS('recurring2_based on steps'!$B316:$AY316,'recurring2_based on steps'!$B$1:$AY$1,AB$1)+SUMIFS('changes2_based on steps'!$B316:$U316,'changes2_based on steps'!$B$1:$U$1,AB$1)</f>
        <v>0</v>
      </c>
      <c r="AC316" s="179">
        <f>SUMIFS('recurring2_based on steps'!$B316:$AY316,'recurring2_based on steps'!$B$1:$AY$1,AC$1)+SUMIFS('changes2_based on steps'!$B316:$U316,'changes2_based on steps'!$B$1:$U$1,AC$1)</f>
        <v>0</v>
      </c>
      <c r="AD316" s="179">
        <f>SUMIFS('recurring2_based on steps'!$B316:$AY316,'recurring2_based on steps'!$B$1:$AY$1,AD$1)+SUMIFS('changes2_based on steps'!$B316:$U316,'changes2_based on steps'!$B$1:$U$1,AD$1)</f>
        <v>0</v>
      </c>
      <c r="AE316" s="179">
        <f>SUMIFS('recurring2_based on steps'!$B316:$AY316,'recurring2_based on steps'!$B$1:$AY$1,AE$1)+SUMIFS('changes2_based on steps'!$B316:$U316,'changes2_based on steps'!$B$1:$U$1,AE$1)</f>
        <v>0</v>
      </c>
      <c r="AF316" s="179"/>
      <c r="AG316" s="179"/>
      <c r="AH316" s="179"/>
      <c r="AI316" s="179"/>
      <c r="AJ316" s="179"/>
      <c r="AK316" s="179"/>
      <c r="AL316" s="179"/>
      <c r="AM316" s="179"/>
    </row>
    <row r="317" spans="1:39" x14ac:dyDescent="0.2">
      <c r="A317" s="32">
        <f t="shared" ca="1" si="4"/>
        <v>46066</v>
      </c>
      <c r="B317" s="179">
        <f>SUMIFS('recurring2_based on steps'!$B317:$AY317,'recurring2_based on steps'!$B$1:$AY$1,B$1)+SUMIFS('changes2_based on steps'!$B317:$U317,'changes2_based on steps'!$B$1:$U$1,B$1)</f>
        <v>0</v>
      </c>
      <c r="C317" s="179">
        <f>SUMIFS('recurring2_based on steps'!$B317:$AY317,'recurring2_based on steps'!$B$1:$AY$1,C$1)+SUMIFS('changes2_based on steps'!$B317:$U317,'changes2_based on steps'!$B$1:$U$1,C$1)</f>
        <v>0</v>
      </c>
      <c r="D317" s="179">
        <f>SUMIFS('recurring2_based on steps'!$B317:$AY317,'recurring2_based on steps'!$B$1:$AY$1,D$1)+SUMIFS('changes2_based on steps'!$B317:$U317,'changes2_based on steps'!$B$1:$U$1,D$1)</f>
        <v>0</v>
      </c>
      <c r="E317" s="179">
        <f>SUMIFS('recurring2_based on steps'!$B317:$AY317,'recurring2_based on steps'!$B$1:$AY$1,E$1)+SUMIFS('changes2_based on steps'!$B317:$U317,'changes2_based on steps'!$B$1:$U$1,E$1)</f>
        <v>0</v>
      </c>
      <c r="F317" s="179">
        <f>SUMIFS('recurring2_based on steps'!$B317:$AY317,'recurring2_based on steps'!$B$1:$AY$1,F$1)+SUMIFS('changes2_based on steps'!$B317:$U317,'changes2_based on steps'!$B$1:$U$1,F$1)</f>
        <v>0</v>
      </c>
      <c r="G317" s="179">
        <f>SUMIFS('recurring2_based on steps'!$B317:$AY317,'recurring2_based on steps'!$B$1:$AY$1,G$1)+SUMIFS('changes2_based on steps'!$B317:$U317,'changes2_based on steps'!$B$1:$U$1,G$1)</f>
        <v>0</v>
      </c>
      <c r="H317" s="179">
        <f>SUMIFS('recurring2_based on steps'!$B317:$AY317,'recurring2_based on steps'!$B$1:$AY$1,H$1)+SUMIFS('changes2_based on steps'!$B317:$U317,'changes2_based on steps'!$B$1:$U$1,H$1)</f>
        <v>0</v>
      </c>
      <c r="I317" s="179">
        <f>SUMIFS('recurring2_based on steps'!$B317:$AY317,'recurring2_based on steps'!$B$1:$AY$1,I$1)+SUMIFS('changes2_based on steps'!$B317:$U317,'changes2_based on steps'!$B$1:$U$1,I$1)</f>
        <v>0</v>
      </c>
      <c r="J317" s="179">
        <f>SUMIFS('recurring2_based on steps'!$B317:$AY317,'recurring2_based on steps'!$B$1:$AY$1,J$1)+SUMIFS('changes2_based on steps'!$B317:$U317,'changes2_based on steps'!$B$1:$U$1,J$1)</f>
        <v>0</v>
      </c>
      <c r="K317" s="179">
        <f>SUMIFS('recurring2_based on steps'!$B317:$AY317,'recurring2_based on steps'!$B$1:$AY$1,K$1)+SUMIFS('changes2_based on steps'!$B317:$U317,'changes2_based on steps'!$B$1:$U$1,K$1)</f>
        <v>0</v>
      </c>
      <c r="L317" s="179">
        <f>SUMIFS('recurring2_based on steps'!$B317:$AY317,'recurring2_based on steps'!$B$1:$AY$1,L$1)+SUMIFS('changes2_based on steps'!$B317:$U317,'changes2_based on steps'!$B$1:$U$1,L$1)</f>
        <v>0</v>
      </c>
      <c r="M317" s="179">
        <f>SUMIFS('recurring2_based on steps'!$B317:$AY317,'recurring2_based on steps'!$B$1:$AY$1,M$1)+SUMIFS('changes2_based on steps'!$B317:$U317,'changes2_based on steps'!$B$1:$U$1,M$1)</f>
        <v>0</v>
      </c>
      <c r="N317" s="179">
        <f>SUMIFS('recurring2_based on steps'!$B317:$AY317,'recurring2_based on steps'!$B$1:$AY$1,N$1)+SUMIFS('changes2_based on steps'!$B317:$U317,'changes2_based on steps'!$B$1:$U$1,N$1)</f>
        <v>0</v>
      </c>
      <c r="O317" s="179">
        <f>SUMIFS('recurring2_based on steps'!$B317:$AY317,'recurring2_based on steps'!$B$1:$AY$1,O$1)+SUMIFS('changes2_based on steps'!$B317:$U317,'changes2_based on steps'!$B$1:$U$1,O$1)</f>
        <v>0</v>
      </c>
      <c r="P317" s="179">
        <f>SUMIFS('recurring2_based on steps'!$B317:$AY317,'recurring2_based on steps'!$B$1:$AY$1,P$1)+SUMIFS('changes2_based on steps'!$B317:$U317,'changes2_based on steps'!$B$1:$U$1,P$1)</f>
        <v>0</v>
      </c>
      <c r="Q317" s="179">
        <f>SUMIFS('recurring2_based on steps'!$B317:$AY317,'recurring2_based on steps'!$B$1:$AY$1,Q$1)+SUMIFS('changes2_based on steps'!$B317:$U317,'changes2_based on steps'!$B$1:$U$1,Q$1)</f>
        <v>0</v>
      </c>
      <c r="R317" s="179">
        <f>SUMIFS('recurring2_based on steps'!$B317:$AY317,'recurring2_based on steps'!$B$1:$AY$1,R$1)+SUMIFS('changes2_based on steps'!$B317:$U317,'changes2_based on steps'!$B$1:$U$1,R$1)</f>
        <v>0</v>
      </c>
      <c r="S317" s="179">
        <f>SUMIFS('recurring2_based on steps'!$B317:$AY317,'recurring2_based on steps'!$B$1:$AY$1,S$1)+SUMIFS('changes2_based on steps'!$B317:$U317,'changes2_based on steps'!$B$1:$U$1,S$1)</f>
        <v>0</v>
      </c>
      <c r="T317" s="179">
        <f>SUMIFS('recurring2_based on steps'!$B317:$AY317,'recurring2_based on steps'!$B$1:$AY$1,T$1)+SUMIFS('changes2_based on steps'!$B317:$U317,'changes2_based on steps'!$B$1:$U$1,T$1)</f>
        <v>0</v>
      </c>
      <c r="U317" s="179">
        <f>SUMIFS('recurring2_based on steps'!$B317:$AY317,'recurring2_based on steps'!$B$1:$AY$1,U$1)+SUMIFS('changes2_based on steps'!$B317:$U317,'changes2_based on steps'!$B$1:$U$1,U$1)</f>
        <v>0</v>
      </c>
      <c r="V317" s="179">
        <f>SUMIFS('recurring2_based on steps'!$B317:$AY317,'recurring2_based on steps'!$B$1:$AY$1,V$1)+SUMIFS('changes2_based on steps'!$B317:$U317,'changes2_based on steps'!$B$1:$U$1,V$1)</f>
        <v>0</v>
      </c>
      <c r="W317" s="179">
        <f>SUMIFS('recurring2_based on steps'!$B317:$AY317,'recurring2_based on steps'!$B$1:$AY$1,W$1)+SUMIFS('changes2_based on steps'!$B317:$U317,'changes2_based on steps'!$B$1:$U$1,W$1)</f>
        <v>0</v>
      </c>
      <c r="X317" s="179">
        <f>SUMIFS('recurring2_based on steps'!$B317:$AY317,'recurring2_based on steps'!$B$1:$AY$1,X$1)+SUMIFS('changes2_based on steps'!$B317:$U317,'changes2_based on steps'!$B$1:$U$1,X$1)</f>
        <v>0</v>
      </c>
      <c r="Y317" s="179">
        <f>SUMIFS('recurring2_based on steps'!$B317:$AY317,'recurring2_based on steps'!$B$1:$AY$1,Y$1)+SUMIFS('changes2_based on steps'!$B317:$U317,'changes2_based on steps'!$B$1:$U$1,Y$1)</f>
        <v>0</v>
      </c>
      <c r="Z317" s="179">
        <f>SUMIFS('recurring2_based on steps'!$B317:$AY317,'recurring2_based on steps'!$B$1:$AY$1,Z$1)+SUMIFS('changes2_based on steps'!$B317:$U317,'changes2_based on steps'!$B$1:$U$1,Z$1)</f>
        <v>0</v>
      </c>
      <c r="AA317" s="179">
        <f>SUMIFS('recurring2_based on steps'!$B317:$AY317,'recurring2_based on steps'!$B$1:$AY$1,AA$1)+SUMIFS('changes2_based on steps'!$B317:$U317,'changes2_based on steps'!$B$1:$U$1,AA$1)</f>
        <v>0</v>
      </c>
      <c r="AB317" s="179">
        <f>SUMIFS('recurring2_based on steps'!$B317:$AY317,'recurring2_based on steps'!$B$1:$AY$1,AB$1)+SUMIFS('changes2_based on steps'!$B317:$U317,'changes2_based on steps'!$B$1:$U$1,AB$1)</f>
        <v>0</v>
      </c>
      <c r="AC317" s="179">
        <f>SUMIFS('recurring2_based on steps'!$B317:$AY317,'recurring2_based on steps'!$B$1:$AY$1,AC$1)+SUMIFS('changes2_based on steps'!$B317:$U317,'changes2_based on steps'!$B$1:$U$1,AC$1)</f>
        <v>0</v>
      </c>
      <c r="AD317" s="179">
        <f>SUMIFS('recurring2_based on steps'!$B317:$AY317,'recurring2_based on steps'!$B$1:$AY$1,AD$1)+SUMIFS('changes2_based on steps'!$B317:$U317,'changes2_based on steps'!$B$1:$U$1,AD$1)</f>
        <v>0</v>
      </c>
      <c r="AE317" s="179">
        <f>SUMIFS('recurring2_based on steps'!$B317:$AY317,'recurring2_based on steps'!$B$1:$AY$1,AE$1)+SUMIFS('changes2_based on steps'!$B317:$U317,'changes2_based on steps'!$B$1:$U$1,AE$1)</f>
        <v>0</v>
      </c>
      <c r="AF317" s="179"/>
      <c r="AG317" s="179"/>
      <c r="AH317" s="179"/>
      <c r="AI317" s="179"/>
      <c r="AJ317" s="179"/>
      <c r="AK317" s="179"/>
      <c r="AL317" s="179"/>
      <c r="AM317" s="179"/>
    </row>
    <row r="318" spans="1:39" x14ac:dyDescent="0.2">
      <c r="A318" s="32">
        <f t="shared" ca="1" si="4"/>
        <v>46067</v>
      </c>
      <c r="B318" s="179">
        <f>SUMIFS('recurring2_based on steps'!$B318:$AY318,'recurring2_based on steps'!$B$1:$AY$1,B$1)+SUMIFS('changes2_based on steps'!$B318:$U318,'changes2_based on steps'!$B$1:$U$1,B$1)</f>
        <v>0</v>
      </c>
      <c r="C318" s="179">
        <f>SUMIFS('recurring2_based on steps'!$B318:$AY318,'recurring2_based on steps'!$B$1:$AY$1,C$1)+SUMIFS('changes2_based on steps'!$B318:$U318,'changes2_based on steps'!$B$1:$U$1,C$1)</f>
        <v>0</v>
      </c>
      <c r="D318" s="179">
        <f>SUMIFS('recurring2_based on steps'!$B318:$AY318,'recurring2_based on steps'!$B$1:$AY$1,D$1)+SUMIFS('changes2_based on steps'!$B318:$U318,'changes2_based on steps'!$B$1:$U$1,D$1)</f>
        <v>0</v>
      </c>
      <c r="E318" s="179">
        <f>SUMIFS('recurring2_based on steps'!$B318:$AY318,'recurring2_based on steps'!$B$1:$AY$1,E$1)+SUMIFS('changes2_based on steps'!$B318:$U318,'changes2_based on steps'!$B$1:$U$1,E$1)</f>
        <v>0</v>
      </c>
      <c r="F318" s="179">
        <f>SUMIFS('recurring2_based on steps'!$B318:$AY318,'recurring2_based on steps'!$B$1:$AY$1,F$1)+SUMIFS('changes2_based on steps'!$B318:$U318,'changes2_based on steps'!$B$1:$U$1,F$1)</f>
        <v>0</v>
      </c>
      <c r="G318" s="179">
        <f>SUMIFS('recurring2_based on steps'!$B318:$AY318,'recurring2_based on steps'!$B$1:$AY$1,G$1)+SUMIFS('changes2_based on steps'!$B318:$U318,'changes2_based on steps'!$B$1:$U$1,G$1)</f>
        <v>0</v>
      </c>
      <c r="H318" s="179">
        <f>SUMIFS('recurring2_based on steps'!$B318:$AY318,'recurring2_based on steps'!$B$1:$AY$1,H$1)+SUMIFS('changes2_based on steps'!$B318:$U318,'changes2_based on steps'!$B$1:$U$1,H$1)</f>
        <v>0</v>
      </c>
      <c r="I318" s="179">
        <f>SUMIFS('recurring2_based on steps'!$B318:$AY318,'recurring2_based on steps'!$B$1:$AY$1,I$1)+SUMIFS('changes2_based on steps'!$B318:$U318,'changes2_based on steps'!$B$1:$U$1,I$1)</f>
        <v>0</v>
      </c>
      <c r="J318" s="179">
        <f>SUMIFS('recurring2_based on steps'!$B318:$AY318,'recurring2_based on steps'!$B$1:$AY$1,J$1)+SUMIFS('changes2_based on steps'!$B318:$U318,'changes2_based on steps'!$B$1:$U$1,J$1)</f>
        <v>0</v>
      </c>
      <c r="K318" s="179">
        <f>SUMIFS('recurring2_based on steps'!$B318:$AY318,'recurring2_based on steps'!$B$1:$AY$1,K$1)+SUMIFS('changes2_based on steps'!$B318:$U318,'changes2_based on steps'!$B$1:$U$1,K$1)</f>
        <v>0</v>
      </c>
      <c r="L318" s="179">
        <f>SUMIFS('recurring2_based on steps'!$B318:$AY318,'recurring2_based on steps'!$B$1:$AY$1,L$1)+SUMIFS('changes2_based on steps'!$B318:$U318,'changes2_based on steps'!$B$1:$U$1,L$1)</f>
        <v>0</v>
      </c>
      <c r="M318" s="179">
        <f>SUMIFS('recurring2_based on steps'!$B318:$AY318,'recurring2_based on steps'!$B$1:$AY$1,M$1)+SUMIFS('changes2_based on steps'!$B318:$U318,'changes2_based on steps'!$B$1:$U$1,M$1)</f>
        <v>0</v>
      </c>
      <c r="N318" s="179">
        <f>SUMIFS('recurring2_based on steps'!$B318:$AY318,'recurring2_based on steps'!$B$1:$AY$1,N$1)+SUMIFS('changes2_based on steps'!$B318:$U318,'changes2_based on steps'!$B$1:$U$1,N$1)</f>
        <v>0</v>
      </c>
      <c r="O318" s="179">
        <f>SUMIFS('recurring2_based on steps'!$B318:$AY318,'recurring2_based on steps'!$B$1:$AY$1,O$1)+SUMIFS('changes2_based on steps'!$B318:$U318,'changes2_based on steps'!$B$1:$U$1,O$1)</f>
        <v>0</v>
      </c>
      <c r="P318" s="179">
        <f>SUMIFS('recurring2_based on steps'!$B318:$AY318,'recurring2_based on steps'!$B$1:$AY$1,P$1)+SUMIFS('changes2_based on steps'!$B318:$U318,'changes2_based on steps'!$B$1:$U$1,P$1)</f>
        <v>0</v>
      </c>
      <c r="Q318" s="179">
        <f>SUMIFS('recurring2_based on steps'!$B318:$AY318,'recurring2_based on steps'!$B$1:$AY$1,Q$1)+SUMIFS('changes2_based on steps'!$B318:$U318,'changes2_based on steps'!$B$1:$U$1,Q$1)</f>
        <v>0</v>
      </c>
      <c r="R318" s="179">
        <f>SUMIFS('recurring2_based on steps'!$B318:$AY318,'recurring2_based on steps'!$B$1:$AY$1,R$1)+SUMIFS('changes2_based on steps'!$B318:$U318,'changes2_based on steps'!$B$1:$U$1,R$1)</f>
        <v>0</v>
      </c>
      <c r="S318" s="179">
        <f>SUMIFS('recurring2_based on steps'!$B318:$AY318,'recurring2_based on steps'!$B$1:$AY$1,S$1)+SUMIFS('changes2_based on steps'!$B318:$U318,'changes2_based on steps'!$B$1:$U$1,S$1)</f>
        <v>0</v>
      </c>
      <c r="T318" s="179">
        <f>SUMIFS('recurring2_based on steps'!$B318:$AY318,'recurring2_based on steps'!$B$1:$AY$1,T$1)+SUMIFS('changes2_based on steps'!$B318:$U318,'changes2_based on steps'!$B$1:$U$1,T$1)</f>
        <v>0</v>
      </c>
      <c r="U318" s="179">
        <f>SUMIFS('recurring2_based on steps'!$B318:$AY318,'recurring2_based on steps'!$B$1:$AY$1,U$1)+SUMIFS('changes2_based on steps'!$B318:$U318,'changes2_based on steps'!$B$1:$U$1,U$1)</f>
        <v>0</v>
      </c>
      <c r="V318" s="179">
        <f>SUMIFS('recurring2_based on steps'!$B318:$AY318,'recurring2_based on steps'!$B$1:$AY$1,V$1)+SUMIFS('changes2_based on steps'!$B318:$U318,'changes2_based on steps'!$B$1:$U$1,V$1)</f>
        <v>0</v>
      </c>
      <c r="W318" s="179">
        <f>SUMIFS('recurring2_based on steps'!$B318:$AY318,'recurring2_based on steps'!$B$1:$AY$1,W$1)+SUMIFS('changes2_based on steps'!$B318:$U318,'changes2_based on steps'!$B$1:$U$1,W$1)</f>
        <v>0</v>
      </c>
      <c r="X318" s="179">
        <f>SUMIFS('recurring2_based on steps'!$B318:$AY318,'recurring2_based on steps'!$B$1:$AY$1,X$1)+SUMIFS('changes2_based on steps'!$B318:$U318,'changes2_based on steps'!$B$1:$U$1,X$1)</f>
        <v>0</v>
      </c>
      <c r="Y318" s="179">
        <f>SUMIFS('recurring2_based on steps'!$B318:$AY318,'recurring2_based on steps'!$B$1:$AY$1,Y$1)+SUMIFS('changes2_based on steps'!$B318:$U318,'changes2_based on steps'!$B$1:$U$1,Y$1)</f>
        <v>0</v>
      </c>
      <c r="Z318" s="179">
        <f>SUMIFS('recurring2_based on steps'!$B318:$AY318,'recurring2_based on steps'!$B$1:$AY$1,Z$1)+SUMIFS('changes2_based on steps'!$B318:$U318,'changes2_based on steps'!$B$1:$U$1,Z$1)</f>
        <v>0</v>
      </c>
      <c r="AA318" s="179">
        <f>SUMIFS('recurring2_based on steps'!$B318:$AY318,'recurring2_based on steps'!$B$1:$AY$1,AA$1)+SUMIFS('changes2_based on steps'!$B318:$U318,'changes2_based on steps'!$B$1:$U$1,AA$1)</f>
        <v>0</v>
      </c>
      <c r="AB318" s="179">
        <f>SUMIFS('recurring2_based on steps'!$B318:$AY318,'recurring2_based on steps'!$B$1:$AY$1,AB$1)+SUMIFS('changes2_based on steps'!$B318:$U318,'changes2_based on steps'!$B$1:$U$1,AB$1)</f>
        <v>0</v>
      </c>
      <c r="AC318" s="179">
        <f>SUMIFS('recurring2_based on steps'!$B318:$AY318,'recurring2_based on steps'!$B$1:$AY$1,AC$1)+SUMIFS('changes2_based on steps'!$B318:$U318,'changes2_based on steps'!$B$1:$U$1,AC$1)</f>
        <v>0</v>
      </c>
      <c r="AD318" s="179">
        <f>SUMIFS('recurring2_based on steps'!$B318:$AY318,'recurring2_based on steps'!$B$1:$AY$1,AD$1)+SUMIFS('changes2_based on steps'!$B318:$U318,'changes2_based on steps'!$B$1:$U$1,AD$1)</f>
        <v>0</v>
      </c>
      <c r="AE318" s="179">
        <f>SUMIFS('recurring2_based on steps'!$B318:$AY318,'recurring2_based on steps'!$B$1:$AY$1,AE$1)+SUMIFS('changes2_based on steps'!$B318:$U318,'changes2_based on steps'!$B$1:$U$1,AE$1)</f>
        <v>0</v>
      </c>
      <c r="AF318" s="179"/>
      <c r="AG318" s="179"/>
      <c r="AH318" s="179"/>
      <c r="AI318" s="179"/>
      <c r="AJ318" s="179"/>
      <c r="AK318" s="179"/>
      <c r="AL318" s="179"/>
      <c r="AM318" s="179"/>
    </row>
    <row r="319" spans="1:39" x14ac:dyDescent="0.2">
      <c r="A319" s="32">
        <f t="shared" ca="1" si="4"/>
        <v>46068</v>
      </c>
      <c r="B319" s="179">
        <f>SUMIFS('recurring2_based on steps'!$B319:$AY319,'recurring2_based on steps'!$B$1:$AY$1,B$1)+SUMIFS('changes2_based on steps'!$B319:$U319,'changes2_based on steps'!$B$1:$U$1,B$1)</f>
        <v>0</v>
      </c>
      <c r="C319" s="179">
        <f>SUMIFS('recurring2_based on steps'!$B319:$AY319,'recurring2_based on steps'!$B$1:$AY$1,C$1)+SUMIFS('changes2_based on steps'!$B319:$U319,'changes2_based on steps'!$B$1:$U$1,C$1)</f>
        <v>0</v>
      </c>
      <c r="D319" s="179">
        <f>SUMIFS('recurring2_based on steps'!$B319:$AY319,'recurring2_based on steps'!$B$1:$AY$1,D$1)+SUMIFS('changes2_based on steps'!$B319:$U319,'changes2_based on steps'!$B$1:$U$1,D$1)</f>
        <v>0</v>
      </c>
      <c r="E319" s="179">
        <f>SUMIFS('recurring2_based on steps'!$B319:$AY319,'recurring2_based on steps'!$B$1:$AY$1,E$1)+SUMIFS('changes2_based on steps'!$B319:$U319,'changes2_based on steps'!$B$1:$U$1,E$1)</f>
        <v>0</v>
      </c>
      <c r="F319" s="179">
        <f>SUMIFS('recurring2_based on steps'!$B319:$AY319,'recurring2_based on steps'!$B$1:$AY$1,F$1)+SUMIFS('changes2_based on steps'!$B319:$U319,'changes2_based on steps'!$B$1:$U$1,F$1)</f>
        <v>0</v>
      </c>
      <c r="G319" s="179">
        <f>SUMIFS('recurring2_based on steps'!$B319:$AY319,'recurring2_based on steps'!$B$1:$AY$1,G$1)+SUMIFS('changes2_based on steps'!$B319:$U319,'changes2_based on steps'!$B$1:$U$1,G$1)</f>
        <v>0</v>
      </c>
      <c r="H319" s="179">
        <f>SUMIFS('recurring2_based on steps'!$B319:$AY319,'recurring2_based on steps'!$B$1:$AY$1,H$1)+SUMIFS('changes2_based on steps'!$B319:$U319,'changes2_based on steps'!$B$1:$U$1,H$1)</f>
        <v>0</v>
      </c>
      <c r="I319" s="179">
        <f>SUMIFS('recurring2_based on steps'!$B319:$AY319,'recurring2_based on steps'!$B$1:$AY$1,I$1)+SUMIFS('changes2_based on steps'!$B319:$U319,'changes2_based on steps'!$B$1:$U$1,I$1)</f>
        <v>0</v>
      </c>
      <c r="J319" s="179">
        <f>SUMIFS('recurring2_based on steps'!$B319:$AY319,'recurring2_based on steps'!$B$1:$AY$1,J$1)+SUMIFS('changes2_based on steps'!$B319:$U319,'changes2_based on steps'!$B$1:$U$1,J$1)</f>
        <v>0</v>
      </c>
      <c r="K319" s="179">
        <f>SUMIFS('recurring2_based on steps'!$B319:$AY319,'recurring2_based on steps'!$B$1:$AY$1,K$1)+SUMIFS('changes2_based on steps'!$B319:$U319,'changes2_based on steps'!$B$1:$U$1,K$1)</f>
        <v>0</v>
      </c>
      <c r="L319" s="179">
        <f>SUMIFS('recurring2_based on steps'!$B319:$AY319,'recurring2_based on steps'!$B$1:$AY$1,L$1)+SUMIFS('changes2_based on steps'!$B319:$U319,'changes2_based on steps'!$B$1:$U$1,L$1)</f>
        <v>0</v>
      </c>
      <c r="M319" s="179">
        <f>SUMIFS('recurring2_based on steps'!$B319:$AY319,'recurring2_based on steps'!$B$1:$AY$1,M$1)+SUMIFS('changes2_based on steps'!$B319:$U319,'changes2_based on steps'!$B$1:$U$1,M$1)</f>
        <v>0</v>
      </c>
      <c r="N319" s="179">
        <f>SUMIFS('recurring2_based on steps'!$B319:$AY319,'recurring2_based on steps'!$B$1:$AY$1,N$1)+SUMIFS('changes2_based on steps'!$B319:$U319,'changes2_based on steps'!$B$1:$U$1,N$1)</f>
        <v>0</v>
      </c>
      <c r="O319" s="179">
        <f>SUMIFS('recurring2_based on steps'!$B319:$AY319,'recurring2_based on steps'!$B$1:$AY$1,O$1)+SUMIFS('changes2_based on steps'!$B319:$U319,'changes2_based on steps'!$B$1:$U$1,O$1)</f>
        <v>0</v>
      </c>
      <c r="P319" s="179">
        <f>SUMIFS('recurring2_based on steps'!$B319:$AY319,'recurring2_based on steps'!$B$1:$AY$1,P$1)+SUMIFS('changes2_based on steps'!$B319:$U319,'changes2_based on steps'!$B$1:$U$1,P$1)</f>
        <v>0</v>
      </c>
      <c r="Q319" s="179">
        <f>SUMIFS('recurring2_based on steps'!$B319:$AY319,'recurring2_based on steps'!$B$1:$AY$1,Q$1)+SUMIFS('changes2_based on steps'!$B319:$U319,'changes2_based on steps'!$B$1:$U$1,Q$1)</f>
        <v>0</v>
      </c>
      <c r="R319" s="179">
        <f>SUMIFS('recurring2_based on steps'!$B319:$AY319,'recurring2_based on steps'!$B$1:$AY$1,R$1)+SUMIFS('changes2_based on steps'!$B319:$U319,'changes2_based on steps'!$B$1:$U$1,R$1)</f>
        <v>0</v>
      </c>
      <c r="S319" s="179">
        <f>SUMIFS('recurring2_based on steps'!$B319:$AY319,'recurring2_based on steps'!$B$1:$AY$1,S$1)+SUMIFS('changes2_based on steps'!$B319:$U319,'changes2_based on steps'!$B$1:$U$1,S$1)</f>
        <v>0</v>
      </c>
      <c r="T319" s="179">
        <f>SUMIFS('recurring2_based on steps'!$B319:$AY319,'recurring2_based on steps'!$B$1:$AY$1,T$1)+SUMIFS('changes2_based on steps'!$B319:$U319,'changes2_based on steps'!$B$1:$U$1,T$1)</f>
        <v>0</v>
      </c>
      <c r="U319" s="179">
        <f>SUMIFS('recurring2_based on steps'!$B319:$AY319,'recurring2_based on steps'!$B$1:$AY$1,U$1)+SUMIFS('changes2_based on steps'!$B319:$U319,'changes2_based on steps'!$B$1:$U$1,U$1)</f>
        <v>0</v>
      </c>
      <c r="V319" s="179">
        <f>SUMIFS('recurring2_based on steps'!$B319:$AY319,'recurring2_based on steps'!$B$1:$AY$1,V$1)+SUMIFS('changes2_based on steps'!$B319:$U319,'changes2_based on steps'!$B$1:$U$1,V$1)</f>
        <v>0</v>
      </c>
      <c r="W319" s="179">
        <f>SUMIFS('recurring2_based on steps'!$B319:$AY319,'recurring2_based on steps'!$B$1:$AY$1,W$1)+SUMIFS('changes2_based on steps'!$B319:$U319,'changes2_based on steps'!$B$1:$U$1,W$1)</f>
        <v>0</v>
      </c>
      <c r="X319" s="179">
        <f>SUMIFS('recurring2_based on steps'!$B319:$AY319,'recurring2_based on steps'!$B$1:$AY$1,X$1)+SUMIFS('changes2_based on steps'!$B319:$U319,'changes2_based on steps'!$B$1:$U$1,X$1)</f>
        <v>0</v>
      </c>
      <c r="Y319" s="179">
        <f>SUMIFS('recurring2_based on steps'!$B319:$AY319,'recurring2_based on steps'!$B$1:$AY$1,Y$1)+SUMIFS('changes2_based on steps'!$B319:$U319,'changes2_based on steps'!$B$1:$U$1,Y$1)</f>
        <v>0</v>
      </c>
      <c r="Z319" s="179">
        <f>SUMIFS('recurring2_based on steps'!$B319:$AY319,'recurring2_based on steps'!$B$1:$AY$1,Z$1)+SUMIFS('changes2_based on steps'!$B319:$U319,'changes2_based on steps'!$B$1:$U$1,Z$1)</f>
        <v>0</v>
      </c>
      <c r="AA319" s="179">
        <f>SUMIFS('recurring2_based on steps'!$B319:$AY319,'recurring2_based on steps'!$B$1:$AY$1,AA$1)+SUMIFS('changes2_based on steps'!$B319:$U319,'changes2_based on steps'!$B$1:$U$1,AA$1)</f>
        <v>0</v>
      </c>
      <c r="AB319" s="179">
        <f>SUMIFS('recurring2_based on steps'!$B319:$AY319,'recurring2_based on steps'!$B$1:$AY$1,AB$1)+SUMIFS('changes2_based on steps'!$B319:$U319,'changes2_based on steps'!$B$1:$U$1,AB$1)</f>
        <v>0</v>
      </c>
      <c r="AC319" s="179">
        <f>SUMIFS('recurring2_based on steps'!$B319:$AY319,'recurring2_based on steps'!$B$1:$AY$1,AC$1)+SUMIFS('changes2_based on steps'!$B319:$U319,'changes2_based on steps'!$B$1:$U$1,AC$1)</f>
        <v>0</v>
      </c>
      <c r="AD319" s="179">
        <f>SUMIFS('recurring2_based on steps'!$B319:$AY319,'recurring2_based on steps'!$B$1:$AY$1,AD$1)+SUMIFS('changes2_based on steps'!$B319:$U319,'changes2_based on steps'!$B$1:$U$1,AD$1)</f>
        <v>0</v>
      </c>
      <c r="AE319" s="179">
        <f>SUMIFS('recurring2_based on steps'!$B319:$AY319,'recurring2_based on steps'!$B$1:$AY$1,AE$1)+SUMIFS('changes2_based on steps'!$B319:$U319,'changes2_based on steps'!$B$1:$U$1,AE$1)</f>
        <v>0</v>
      </c>
      <c r="AF319" s="179"/>
      <c r="AG319" s="179"/>
      <c r="AH319" s="179"/>
      <c r="AI319" s="179"/>
      <c r="AJ319" s="179"/>
      <c r="AK319" s="179"/>
      <c r="AL319" s="179"/>
      <c r="AM319" s="179"/>
    </row>
    <row r="320" spans="1:39" x14ac:dyDescent="0.2">
      <c r="A320" s="32">
        <f t="shared" ca="1" si="4"/>
        <v>46069</v>
      </c>
      <c r="B320" s="179">
        <f>SUMIFS('recurring2_based on steps'!$B320:$AY320,'recurring2_based on steps'!$B$1:$AY$1,B$1)+SUMIFS('changes2_based on steps'!$B320:$U320,'changes2_based on steps'!$B$1:$U$1,B$1)</f>
        <v>0</v>
      </c>
      <c r="C320" s="179">
        <f>SUMIFS('recurring2_based on steps'!$B320:$AY320,'recurring2_based on steps'!$B$1:$AY$1,C$1)+SUMIFS('changes2_based on steps'!$B320:$U320,'changes2_based on steps'!$B$1:$U$1,C$1)</f>
        <v>0</v>
      </c>
      <c r="D320" s="179">
        <f>SUMIFS('recurring2_based on steps'!$B320:$AY320,'recurring2_based on steps'!$B$1:$AY$1,D$1)+SUMIFS('changes2_based on steps'!$B320:$U320,'changes2_based on steps'!$B$1:$U$1,D$1)</f>
        <v>0</v>
      </c>
      <c r="E320" s="179">
        <f>SUMIFS('recurring2_based on steps'!$B320:$AY320,'recurring2_based on steps'!$B$1:$AY$1,E$1)+SUMIFS('changes2_based on steps'!$B320:$U320,'changes2_based on steps'!$B$1:$U$1,E$1)</f>
        <v>0</v>
      </c>
      <c r="F320" s="179">
        <f>SUMIFS('recurring2_based on steps'!$B320:$AY320,'recurring2_based on steps'!$B$1:$AY$1,F$1)+SUMIFS('changes2_based on steps'!$B320:$U320,'changes2_based on steps'!$B$1:$U$1,F$1)</f>
        <v>0</v>
      </c>
      <c r="G320" s="179">
        <f>SUMIFS('recurring2_based on steps'!$B320:$AY320,'recurring2_based on steps'!$B$1:$AY$1,G$1)+SUMIFS('changes2_based on steps'!$B320:$U320,'changes2_based on steps'!$B$1:$U$1,G$1)</f>
        <v>0</v>
      </c>
      <c r="H320" s="179">
        <f>SUMIFS('recurring2_based on steps'!$B320:$AY320,'recurring2_based on steps'!$B$1:$AY$1,H$1)+SUMIFS('changes2_based on steps'!$B320:$U320,'changes2_based on steps'!$B$1:$U$1,H$1)</f>
        <v>0</v>
      </c>
      <c r="I320" s="179">
        <f>SUMIFS('recurring2_based on steps'!$B320:$AY320,'recurring2_based on steps'!$B$1:$AY$1,I$1)+SUMIFS('changes2_based on steps'!$B320:$U320,'changes2_based on steps'!$B$1:$U$1,I$1)</f>
        <v>0</v>
      </c>
      <c r="J320" s="179">
        <f>SUMIFS('recurring2_based on steps'!$B320:$AY320,'recurring2_based on steps'!$B$1:$AY$1,J$1)+SUMIFS('changes2_based on steps'!$B320:$U320,'changes2_based on steps'!$B$1:$U$1,J$1)</f>
        <v>0</v>
      </c>
      <c r="K320" s="179">
        <f>SUMIFS('recurring2_based on steps'!$B320:$AY320,'recurring2_based on steps'!$B$1:$AY$1,K$1)+SUMIFS('changes2_based on steps'!$B320:$U320,'changes2_based on steps'!$B$1:$U$1,K$1)</f>
        <v>0</v>
      </c>
      <c r="L320" s="179">
        <f>SUMIFS('recurring2_based on steps'!$B320:$AY320,'recurring2_based on steps'!$B$1:$AY$1,L$1)+SUMIFS('changes2_based on steps'!$B320:$U320,'changes2_based on steps'!$B$1:$U$1,L$1)</f>
        <v>0</v>
      </c>
      <c r="M320" s="179">
        <f>SUMIFS('recurring2_based on steps'!$B320:$AY320,'recurring2_based on steps'!$B$1:$AY$1,M$1)+SUMIFS('changes2_based on steps'!$B320:$U320,'changes2_based on steps'!$B$1:$U$1,M$1)</f>
        <v>0</v>
      </c>
      <c r="N320" s="179">
        <f>SUMIFS('recurring2_based on steps'!$B320:$AY320,'recurring2_based on steps'!$B$1:$AY$1,N$1)+SUMIFS('changes2_based on steps'!$B320:$U320,'changes2_based on steps'!$B$1:$U$1,N$1)</f>
        <v>0</v>
      </c>
      <c r="O320" s="179">
        <f>SUMIFS('recurring2_based on steps'!$B320:$AY320,'recurring2_based on steps'!$B$1:$AY$1,O$1)+SUMIFS('changes2_based on steps'!$B320:$U320,'changes2_based on steps'!$B$1:$U$1,O$1)</f>
        <v>0</v>
      </c>
      <c r="P320" s="179">
        <f>SUMIFS('recurring2_based on steps'!$B320:$AY320,'recurring2_based on steps'!$B$1:$AY$1,P$1)+SUMIFS('changes2_based on steps'!$B320:$U320,'changes2_based on steps'!$B$1:$U$1,P$1)</f>
        <v>0</v>
      </c>
      <c r="Q320" s="179">
        <f>SUMIFS('recurring2_based on steps'!$B320:$AY320,'recurring2_based on steps'!$B$1:$AY$1,Q$1)+SUMIFS('changes2_based on steps'!$B320:$U320,'changes2_based on steps'!$B$1:$U$1,Q$1)</f>
        <v>0</v>
      </c>
      <c r="R320" s="179">
        <f>SUMIFS('recurring2_based on steps'!$B320:$AY320,'recurring2_based on steps'!$B$1:$AY$1,R$1)+SUMIFS('changes2_based on steps'!$B320:$U320,'changes2_based on steps'!$B$1:$U$1,R$1)</f>
        <v>0</v>
      </c>
      <c r="S320" s="179">
        <f>SUMIFS('recurring2_based on steps'!$B320:$AY320,'recurring2_based on steps'!$B$1:$AY$1,S$1)+SUMIFS('changes2_based on steps'!$B320:$U320,'changes2_based on steps'!$B$1:$U$1,S$1)</f>
        <v>0</v>
      </c>
      <c r="T320" s="179">
        <f>SUMIFS('recurring2_based on steps'!$B320:$AY320,'recurring2_based on steps'!$B$1:$AY$1,T$1)+SUMIFS('changes2_based on steps'!$B320:$U320,'changes2_based on steps'!$B$1:$U$1,T$1)</f>
        <v>0</v>
      </c>
      <c r="U320" s="179">
        <f>SUMIFS('recurring2_based on steps'!$B320:$AY320,'recurring2_based on steps'!$B$1:$AY$1,U$1)+SUMIFS('changes2_based on steps'!$B320:$U320,'changes2_based on steps'!$B$1:$U$1,U$1)</f>
        <v>0</v>
      </c>
      <c r="V320" s="179">
        <f>SUMIFS('recurring2_based on steps'!$B320:$AY320,'recurring2_based on steps'!$B$1:$AY$1,V$1)+SUMIFS('changes2_based on steps'!$B320:$U320,'changes2_based on steps'!$B$1:$U$1,V$1)</f>
        <v>0</v>
      </c>
      <c r="W320" s="179">
        <f>SUMIFS('recurring2_based on steps'!$B320:$AY320,'recurring2_based on steps'!$B$1:$AY$1,W$1)+SUMIFS('changes2_based on steps'!$B320:$U320,'changes2_based on steps'!$B$1:$U$1,W$1)</f>
        <v>0</v>
      </c>
      <c r="X320" s="179">
        <f>SUMIFS('recurring2_based on steps'!$B320:$AY320,'recurring2_based on steps'!$B$1:$AY$1,X$1)+SUMIFS('changes2_based on steps'!$B320:$U320,'changes2_based on steps'!$B$1:$U$1,X$1)</f>
        <v>0</v>
      </c>
      <c r="Y320" s="179">
        <f>SUMIFS('recurring2_based on steps'!$B320:$AY320,'recurring2_based on steps'!$B$1:$AY$1,Y$1)+SUMIFS('changes2_based on steps'!$B320:$U320,'changes2_based on steps'!$B$1:$U$1,Y$1)</f>
        <v>0</v>
      </c>
      <c r="Z320" s="179">
        <f>SUMIFS('recurring2_based on steps'!$B320:$AY320,'recurring2_based on steps'!$B$1:$AY$1,Z$1)+SUMIFS('changes2_based on steps'!$B320:$U320,'changes2_based on steps'!$B$1:$U$1,Z$1)</f>
        <v>0</v>
      </c>
      <c r="AA320" s="179">
        <f>SUMIFS('recurring2_based on steps'!$B320:$AY320,'recurring2_based on steps'!$B$1:$AY$1,AA$1)+SUMIFS('changes2_based on steps'!$B320:$U320,'changes2_based on steps'!$B$1:$U$1,AA$1)</f>
        <v>0</v>
      </c>
      <c r="AB320" s="179">
        <f>SUMIFS('recurring2_based on steps'!$B320:$AY320,'recurring2_based on steps'!$B$1:$AY$1,AB$1)+SUMIFS('changes2_based on steps'!$B320:$U320,'changes2_based on steps'!$B$1:$U$1,AB$1)</f>
        <v>0</v>
      </c>
      <c r="AC320" s="179">
        <f>SUMIFS('recurring2_based on steps'!$B320:$AY320,'recurring2_based on steps'!$B$1:$AY$1,AC$1)+SUMIFS('changes2_based on steps'!$B320:$U320,'changes2_based on steps'!$B$1:$U$1,AC$1)</f>
        <v>0</v>
      </c>
      <c r="AD320" s="179">
        <f>SUMIFS('recurring2_based on steps'!$B320:$AY320,'recurring2_based on steps'!$B$1:$AY$1,AD$1)+SUMIFS('changes2_based on steps'!$B320:$U320,'changes2_based on steps'!$B$1:$U$1,AD$1)</f>
        <v>0</v>
      </c>
      <c r="AE320" s="179">
        <f>SUMIFS('recurring2_based on steps'!$B320:$AY320,'recurring2_based on steps'!$B$1:$AY$1,AE$1)+SUMIFS('changes2_based on steps'!$B320:$U320,'changes2_based on steps'!$B$1:$U$1,AE$1)</f>
        <v>0</v>
      </c>
      <c r="AF320" s="179"/>
      <c r="AG320" s="179"/>
      <c r="AH320" s="179"/>
      <c r="AI320" s="179"/>
      <c r="AJ320" s="179"/>
      <c r="AK320" s="179"/>
      <c r="AL320" s="179"/>
      <c r="AM320" s="179"/>
    </row>
    <row r="321" spans="1:39" x14ac:dyDescent="0.2">
      <c r="A321" s="32">
        <f t="shared" ca="1" si="4"/>
        <v>46070</v>
      </c>
      <c r="B321" s="179">
        <f>SUMIFS('recurring2_based on steps'!$B321:$AY321,'recurring2_based on steps'!$B$1:$AY$1,B$1)+SUMIFS('changes2_based on steps'!$B321:$U321,'changes2_based on steps'!$B$1:$U$1,B$1)</f>
        <v>0</v>
      </c>
      <c r="C321" s="179">
        <f>SUMIFS('recurring2_based on steps'!$B321:$AY321,'recurring2_based on steps'!$B$1:$AY$1,C$1)+SUMIFS('changes2_based on steps'!$B321:$U321,'changes2_based on steps'!$B$1:$U$1,C$1)</f>
        <v>0</v>
      </c>
      <c r="D321" s="179">
        <f>SUMIFS('recurring2_based on steps'!$B321:$AY321,'recurring2_based on steps'!$B$1:$AY$1,D$1)+SUMIFS('changes2_based on steps'!$B321:$U321,'changes2_based on steps'!$B$1:$U$1,D$1)</f>
        <v>0</v>
      </c>
      <c r="E321" s="179">
        <f>SUMIFS('recurring2_based on steps'!$B321:$AY321,'recurring2_based on steps'!$B$1:$AY$1,E$1)+SUMIFS('changes2_based on steps'!$B321:$U321,'changes2_based on steps'!$B$1:$U$1,E$1)</f>
        <v>0</v>
      </c>
      <c r="F321" s="179">
        <f>SUMIFS('recurring2_based on steps'!$B321:$AY321,'recurring2_based on steps'!$B$1:$AY$1,F$1)+SUMIFS('changes2_based on steps'!$B321:$U321,'changes2_based on steps'!$B$1:$U$1,F$1)</f>
        <v>0</v>
      </c>
      <c r="G321" s="179">
        <f>SUMIFS('recurring2_based on steps'!$B321:$AY321,'recurring2_based on steps'!$B$1:$AY$1,G$1)+SUMIFS('changes2_based on steps'!$B321:$U321,'changes2_based on steps'!$B$1:$U$1,G$1)</f>
        <v>0</v>
      </c>
      <c r="H321" s="179">
        <f>SUMIFS('recurring2_based on steps'!$B321:$AY321,'recurring2_based on steps'!$B$1:$AY$1,H$1)+SUMIFS('changes2_based on steps'!$B321:$U321,'changes2_based on steps'!$B$1:$U$1,H$1)</f>
        <v>0</v>
      </c>
      <c r="I321" s="179">
        <f>SUMIFS('recurring2_based on steps'!$B321:$AY321,'recurring2_based on steps'!$B$1:$AY$1,I$1)+SUMIFS('changes2_based on steps'!$B321:$U321,'changes2_based on steps'!$B$1:$U$1,I$1)</f>
        <v>0</v>
      </c>
      <c r="J321" s="179">
        <f>SUMIFS('recurring2_based on steps'!$B321:$AY321,'recurring2_based on steps'!$B$1:$AY$1,J$1)+SUMIFS('changes2_based on steps'!$B321:$U321,'changes2_based on steps'!$B$1:$U$1,J$1)</f>
        <v>0</v>
      </c>
      <c r="K321" s="179">
        <f>SUMIFS('recurring2_based on steps'!$B321:$AY321,'recurring2_based on steps'!$B$1:$AY$1,K$1)+SUMIFS('changes2_based on steps'!$B321:$U321,'changes2_based on steps'!$B$1:$U$1,K$1)</f>
        <v>0</v>
      </c>
      <c r="L321" s="179">
        <f>SUMIFS('recurring2_based on steps'!$B321:$AY321,'recurring2_based on steps'!$B$1:$AY$1,L$1)+SUMIFS('changes2_based on steps'!$B321:$U321,'changes2_based on steps'!$B$1:$U$1,L$1)</f>
        <v>0</v>
      </c>
      <c r="M321" s="179">
        <f>SUMIFS('recurring2_based on steps'!$B321:$AY321,'recurring2_based on steps'!$B$1:$AY$1,M$1)+SUMIFS('changes2_based on steps'!$B321:$U321,'changes2_based on steps'!$B$1:$U$1,M$1)</f>
        <v>0</v>
      </c>
      <c r="N321" s="179">
        <f>SUMIFS('recurring2_based on steps'!$B321:$AY321,'recurring2_based on steps'!$B$1:$AY$1,N$1)+SUMIFS('changes2_based on steps'!$B321:$U321,'changes2_based on steps'!$B$1:$U$1,N$1)</f>
        <v>0</v>
      </c>
      <c r="O321" s="179">
        <f>SUMIFS('recurring2_based on steps'!$B321:$AY321,'recurring2_based on steps'!$B$1:$AY$1,O$1)+SUMIFS('changes2_based on steps'!$B321:$U321,'changes2_based on steps'!$B$1:$U$1,O$1)</f>
        <v>0</v>
      </c>
      <c r="P321" s="179">
        <f>SUMIFS('recurring2_based on steps'!$B321:$AY321,'recurring2_based on steps'!$B$1:$AY$1,P$1)+SUMIFS('changes2_based on steps'!$B321:$U321,'changes2_based on steps'!$B$1:$U$1,P$1)</f>
        <v>0</v>
      </c>
      <c r="Q321" s="179">
        <f>SUMIFS('recurring2_based on steps'!$B321:$AY321,'recurring2_based on steps'!$B$1:$AY$1,Q$1)+SUMIFS('changes2_based on steps'!$B321:$U321,'changes2_based on steps'!$B$1:$U$1,Q$1)</f>
        <v>0</v>
      </c>
      <c r="R321" s="179">
        <f>SUMIFS('recurring2_based on steps'!$B321:$AY321,'recurring2_based on steps'!$B$1:$AY$1,R$1)+SUMIFS('changes2_based on steps'!$B321:$U321,'changes2_based on steps'!$B$1:$U$1,R$1)</f>
        <v>0</v>
      </c>
      <c r="S321" s="179">
        <f>SUMIFS('recurring2_based on steps'!$B321:$AY321,'recurring2_based on steps'!$B$1:$AY$1,S$1)+SUMIFS('changes2_based on steps'!$B321:$U321,'changes2_based on steps'!$B$1:$U$1,S$1)</f>
        <v>0</v>
      </c>
      <c r="T321" s="179">
        <f>SUMIFS('recurring2_based on steps'!$B321:$AY321,'recurring2_based on steps'!$B$1:$AY$1,T$1)+SUMIFS('changes2_based on steps'!$B321:$U321,'changes2_based on steps'!$B$1:$U$1,T$1)</f>
        <v>0</v>
      </c>
      <c r="U321" s="179">
        <f>SUMIFS('recurring2_based on steps'!$B321:$AY321,'recurring2_based on steps'!$B$1:$AY$1,U$1)+SUMIFS('changes2_based on steps'!$B321:$U321,'changes2_based on steps'!$B$1:$U$1,U$1)</f>
        <v>0</v>
      </c>
      <c r="V321" s="179">
        <f>SUMIFS('recurring2_based on steps'!$B321:$AY321,'recurring2_based on steps'!$B$1:$AY$1,V$1)+SUMIFS('changes2_based on steps'!$B321:$U321,'changes2_based on steps'!$B$1:$U$1,V$1)</f>
        <v>0</v>
      </c>
      <c r="W321" s="179">
        <f>SUMIFS('recurring2_based on steps'!$B321:$AY321,'recurring2_based on steps'!$B$1:$AY$1,W$1)+SUMIFS('changes2_based on steps'!$B321:$U321,'changes2_based on steps'!$B$1:$U$1,W$1)</f>
        <v>0</v>
      </c>
      <c r="X321" s="179">
        <f>SUMIFS('recurring2_based on steps'!$B321:$AY321,'recurring2_based on steps'!$B$1:$AY$1,X$1)+SUMIFS('changes2_based on steps'!$B321:$U321,'changes2_based on steps'!$B$1:$U$1,X$1)</f>
        <v>0</v>
      </c>
      <c r="Y321" s="179">
        <f>SUMIFS('recurring2_based on steps'!$B321:$AY321,'recurring2_based on steps'!$B$1:$AY$1,Y$1)+SUMIFS('changes2_based on steps'!$B321:$U321,'changes2_based on steps'!$B$1:$U$1,Y$1)</f>
        <v>0</v>
      </c>
      <c r="Z321" s="179">
        <f>SUMIFS('recurring2_based on steps'!$B321:$AY321,'recurring2_based on steps'!$B$1:$AY$1,Z$1)+SUMIFS('changes2_based on steps'!$B321:$U321,'changes2_based on steps'!$B$1:$U$1,Z$1)</f>
        <v>0</v>
      </c>
      <c r="AA321" s="179">
        <f>SUMIFS('recurring2_based on steps'!$B321:$AY321,'recurring2_based on steps'!$B$1:$AY$1,AA$1)+SUMIFS('changes2_based on steps'!$B321:$U321,'changes2_based on steps'!$B$1:$U$1,AA$1)</f>
        <v>0</v>
      </c>
      <c r="AB321" s="179">
        <f>SUMIFS('recurring2_based on steps'!$B321:$AY321,'recurring2_based on steps'!$B$1:$AY$1,AB$1)+SUMIFS('changes2_based on steps'!$B321:$U321,'changes2_based on steps'!$B$1:$U$1,AB$1)</f>
        <v>0</v>
      </c>
      <c r="AC321" s="179">
        <f>SUMIFS('recurring2_based on steps'!$B321:$AY321,'recurring2_based on steps'!$B$1:$AY$1,AC$1)+SUMIFS('changes2_based on steps'!$B321:$U321,'changes2_based on steps'!$B$1:$U$1,AC$1)</f>
        <v>0</v>
      </c>
      <c r="AD321" s="179">
        <f>SUMIFS('recurring2_based on steps'!$B321:$AY321,'recurring2_based on steps'!$B$1:$AY$1,AD$1)+SUMIFS('changes2_based on steps'!$B321:$U321,'changes2_based on steps'!$B$1:$U$1,AD$1)</f>
        <v>0</v>
      </c>
      <c r="AE321" s="179">
        <f>SUMIFS('recurring2_based on steps'!$B321:$AY321,'recurring2_based on steps'!$B$1:$AY$1,AE$1)+SUMIFS('changes2_based on steps'!$B321:$U321,'changes2_based on steps'!$B$1:$U$1,AE$1)</f>
        <v>0</v>
      </c>
      <c r="AF321" s="179"/>
      <c r="AG321" s="179"/>
      <c r="AH321" s="179"/>
      <c r="AI321" s="179"/>
      <c r="AJ321" s="179"/>
      <c r="AK321" s="179"/>
      <c r="AL321" s="179"/>
      <c r="AM321" s="179"/>
    </row>
    <row r="322" spans="1:39" x14ac:dyDescent="0.2">
      <c r="A322" s="32">
        <f t="shared" ca="1" si="4"/>
        <v>46071</v>
      </c>
      <c r="B322" s="179">
        <f>SUMIFS('recurring2_based on steps'!$B322:$AY322,'recurring2_based on steps'!$B$1:$AY$1,B$1)+SUMIFS('changes2_based on steps'!$B322:$U322,'changes2_based on steps'!$B$1:$U$1,B$1)</f>
        <v>0</v>
      </c>
      <c r="C322" s="179">
        <f>SUMIFS('recurring2_based on steps'!$B322:$AY322,'recurring2_based on steps'!$B$1:$AY$1,C$1)+SUMIFS('changes2_based on steps'!$B322:$U322,'changes2_based on steps'!$B$1:$U$1,C$1)</f>
        <v>0</v>
      </c>
      <c r="D322" s="179">
        <f>SUMIFS('recurring2_based on steps'!$B322:$AY322,'recurring2_based on steps'!$B$1:$AY$1,D$1)+SUMIFS('changes2_based on steps'!$B322:$U322,'changes2_based on steps'!$B$1:$U$1,D$1)</f>
        <v>0</v>
      </c>
      <c r="E322" s="179">
        <f>SUMIFS('recurring2_based on steps'!$B322:$AY322,'recurring2_based on steps'!$B$1:$AY$1,E$1)+SUMIFS('changes2_based on steps'!$B322:$U322,'changes2_based on steps'!$B$1:$U$1,E$1)</f>
        <v>0</v>
      </c>
      <c r="F322" s="179">
        <f>SUMIFS('recurring2_based on steps'!$B322:$AY322,'recurring2_based on steps'!$B$1:$AY$1,F$1)+SUMIFS('changes2_based on steps'!$B322:$U322,'changes2_based on steps'!$B$1:$U$1,F$1)</f>
        <v>0</v>
      </c>
      <c r="G322" s="179">
        <f>SUMIFS('recurring2_based on steps'!$B322:$AY322,'recurring2_based on steps'!$B$1:$AY$1,G$1)+SUMIFS('changes2_based on steps'!$B322:$U322,'changes2_based on steps'!$B$1:$U$1,G$1)</f>
        <v>0</v>
      </c>
      <c r="H322" s="179">
        <f>SUMIFS('recurring2_based on steps'!$B322:$AY322,'recurring2_based on steps'!$B$1:$AY$1,H$1)+SUMIFS('changes2_based on steps'!$B322:$U322,'changes2_based on steps'!$B$1:$U$1,H$1)</f>
        <v>0</v>
      </c>
      <c r="I322" s="179">
        <f>SUMIFS('recurring2_based on steps'!$B322:$AY322,'recurring2_based on steps'!$B$1:$AY$1,I$1)+SUMIFS('changes2_based on steps'!$B322:$U322,'changes2_based on steps'!$B$1:$U$1,I$1)</f>
        <v>0</v>
      </c>
      <c r="J322" s="179">
        <f>SUMIFS('recurring2_based on steps'!$B322:$AY322,'recurring2_based on steps'!$B$1:$AY$1,J$1)+SUMIFS('changes2_based on steps'!$B322:$U322,'changes2_based on steps'!$B$1:$U$1,J$1)</f>
        <v>0</v>
      </c>
      <c r="K322" s="179">
        <f>SUMIFS('recurring2_based on steps'!$B322:$AY322,'recurring2_based on steps'!$B$1:$AY$1,K$1)+SUMIFS('changes2_based on steps'!$B322:$U322,'changes2_based on steps'!$B$1:$U$1,K$1)</f>
        <v>0</v>
      </c>
      <c r="L322" s="179">
        <f>SUMIFS('recurring2_based on steps'!$B322:$AY322,'recurring2_based on steps'!$B$1:$AY$1,L$1)+SUMIFS('changes2_based on steps'!$B322:$U322,'changes2_based on steps'!$B$1:$U$1,L$1)</f>
        <v>0</v>
      </c>
      <c r="M322" s="179">
        <f>SUMIFS('recurring2_based on steps'!$B322:$AY322,'recurring2_based on steps'!$B$1:$AY$1,M$1)+SUMIFS('changes2_based on steps'!$B322:$U322,'changes2_based on steps'!$B$1:$U$1,M$1)</f>
        <v>0</v>
      </c>
      <c r="N322" s="179">
        <f>SUMIFS('recurring2_based on steps'!$B322:$AY322,'recurring2_based on steps'!$B$1:$AY$1,N$1)+SUMIFS('changes2_based on steps'!$B322:$U322,'changes2_based on steps'!$B$1:$U$1,N$1)</f>
        <v>0</v>
      </c>
      <c r="O322" s="179">
        <f>SUMIFS('recurring2_based on steps'!$B322:$AY322,'recurring2_based on steps'!$B$1:$AY$1,O$1)+SUMIFS('changes2_based on steps'!$B322:$U322,'changes2_based on steps'!$B$1:$U$1,O$1)</f>
        <v>0</v>
      </c>
      <c r="P322" s="179">
        <f>SUMIFS('recurring2_based on steps'!$B322:$AY322,'recurring2_based on steps'!$B$1:$AY$1,P$1)+SUMIFS('changes2_based on steps'!$B322:$U322,'changes2_based on steps'!$B$1:$U$1,P$1)</f>
        <v>0</v>
      </c>
      <c r="Q322" s="179">
        <f>SUMIFS('recurring2_based on steps'!$B322:$AY322,'recurring2_based on steps'!$B$1:$AY$1,Q$1)+SUMIFS('changes2_based on steps'!$B322:$U322,'changes2_based on steps'!$B$1:$U$1,Q$1)</f>
        <v>0</v>
      </c>
      <c r="R322" s="179">
        <f>SUMIFS('recurring2_based on steps'!$B322:$AY322,'recurring2_based on steps'!$B$1:$AY$1,R$1)+SUMIFS('changes2_based on steps'!$B322:$U322,'changes2_based on steps'!$B$1:$U$1,R$1)</f>
        <v>0</v>
      </c>
      <c r="S322" s="179">
        <f>SUMIFS('recurring2_based on steps'!$B322:$AY322,'recurring2_based on steps'!$B$1:$AY$1,S$1)+SUMIFS('changes2_based on steps'!$B322:$U322,'changes2_based on steps'!$B$1:$U$1,S$1)</f>
        <v>0</v>
      </c>
      <c r="T322" s="179">
        <f>SUMIFS('recurring2_based on steps'!$B322:$AY322,'recurring2_based on steps'!$B$1:$AY$1,T$1)+SUMIFS('changes2_based on steps'!$B322:$U322,'changes2_based on steps'!$B$1:$U$1,T$1)</f>
        <v>0</v>
      </c>
      <c r="U322" s="179">
        <f>SUMIFS('recurring2_based on steps'!$B322:$AY322,'recurring2_based on steps'!$B$1:$AY$1,U$1)+SUMIFS('changes2_based on steps'!$B322:$U322,'changes2_based on steps'!$B$1:$U$1,U$1)</f>
        <v>0</v>
      </c>
      <c r="V322" s="179">
        <f>SUMIFS('recurring2_based on steps'!$B322:$AY322,'recurring2_based on steps'!$B$1:$AY$1,V$1)+SUMIFS('changes2_based on steps'!$B322:$U322,'changes2_based on steps'!$B$1:$U$1,V$1)</f>
        <v>0</v>
      </c>
      <c r="W322" s="179">
        <f>SUMIFS('recurring2_based on steps'!$B322:$AY322,'recurring2_based on steps'!$B$1:$AY$1,W$1)+SUMIFS('changes2_based on steps'!$B322:$U322,'changes2_based on steps'!$B$1:$U$1,W$1)</f>
        <v>0</v>
      </c>
      <c r="X322" s="179">
        <f>SUMIFS('recurring2_based on steps'!$B322:$AY322,'recurring2_based on steps'!$B$1:$AY$1,X$1)+SUMIFS('changes2_based on steps'!$B322:$U322,'changes2_based on steps'!$B$1:$U$1,X$1)</f>
        <v>0</v>
      </c>
      <c r="Y322" s="179">
        <f>SUMIFS('recurring2_based on steps'!$B322:$AY322,'recurring2_based on steps'!$B$1:$AY$1,Y$1)+SUMIFS('changes2_based on steps'!$B322:$U322,'changes2_based on steps'!$B$1:$U$1,Y$1)</f>
        <v>0</v>
      </c>
      <c r="Z322" s="179">
        <f>SUMIFS('recurring2_based on steps'!$B322:$AY322,'recurring2_based on steps'!$B$1:$AY$1,Z$1)+SUMIFS('changes2_based on steps'!$B322:$U322,'changes2_based on steps'!$B$1:$U$1,Z$1)</f>
        <v>0</v>
      </c>
      <c r="AA322" s="179">
        <f>SUMIFS('recurring2_based on steps'!$B322:$AY322,'recurring2_based on steps'!$B$1:$AY$1,AA$1)+SUMIFS('changes2_based on steps'!$B322:$U322,'changes2_based on steps'!$B$1:$U$1,AA$1)</f>
        <v>0</v>
      </c>
      <c r="AB322" s="179">
        <f>SUMIFS('recurring2_based on steps'!$B322:$AY322,'recurring2_based on steps'!$B$1:$AY$1,AB$1)+SUMIFS('changes2_based on steps'!$B322:$U322,'changes2_based on steps'!$B$1:$U$1,AB$1)</f>
        <v>0</v>
      </c>
      <c r="AC322" s="179">
        <f>SUMIFS('recurring2_based on steps'!$B322:$AY322,'recurring2_based on steps'!$B$1:$AY$1,AC$1)+SUMIFS('changes2_based on steps'!$B322:$U322,'changes2_based on steps'!$B$1:$U$1,AC$1)</f>
        <v>0</v>
      </c>
      <c r="AD322" s="179">
        <f>SUMIFS('recurring2_based on steps'!$B322:$AY322,'recurring2_based on steps'!$B$1:$AY$1,AD$1)+SUMIFS('changes2_based on steps'!$B322:$U322,'changes2_based on steps'!$B$1:$U$1,AD$1)</f>
        <v>0</v>
      </c>
      <c r="AE322" s="179">
        <f>SUMIFS('recurring2_based on steps'!$B322:$AY322,'recurring2_based on steps'!$B$1:$AY$1,AE$1)+SUMIFS('changes2_based on steps'!$B322:$U322,'changes2_based on steps'!$B$1:$U$1,AE$1)</f>
        <v>0</v>
      </c>
      <c r="AF322" s="179"/>
      <c r="AG322" s="179"/>
      <c r="AH322" s="179"/>
      <c r="AI322" s="179"/>
      <c r="AJ322" s="179"/>
      <c r="AK322" s="179"/>
      <c r="AL322" s="179"/>
      <c r="AM322" s="179"/>
    </row>
    <row r="323" spans="1:39" x14ac:dyDescent="0.2">
      <c r="A323" s="32">
        <f t="shared" ca="1" si="4"/>
        <v>46072</v>
      </c>
      <c r="B323" s="179">
        <f>SUMIFS('recurring2_based on steps'!$B323:$AY323,'recurring2_based on steps'!$B$1:$AY$1,B$1)+SUMIFS('changes2_based on steps'!$B323:$U323,'changes2_based on steps'!$B$1:$U$1,B$1)</f>
        <v>0</v>
      </c>
      <c r="C323" s="179">
        <f>SUMIFS('recurring2_based on steps'!$B323:$AY323,'recurring2_based on steps'!$B$1:$AY$1,C$1)+SUMIFS('changes2_based on steps'!$B323:$U323,'changes2_based on steps'!$B$1:$U$1,C$1)</f>
        <v>0</v>
      </c>
      <c r="D323" s="179">
        <f>SUMIFS('recurring2_based on steps'!$B323:$AY323,'recurring2_based on steps'!$B$1:$AY$1,D$1)+SUMIFS('changes2_based on steps'!$B323:$U323,'changes2_based on steps'!$B$1:$U$1,D$1)</f>
        <v>0</v>
      </c>
      <c r="E323" s="179">
        <f>SUMIFS('recurring2_based on steps'!$B323:$AY323,'recurring2_based on steps'!$B$1:$AY$1,E$1)+SUMIFS('changes2_based on steps'!$B323:$U323,'changes2_based on steps'!$B$1:$U$1,E$1)</f>
        <v>0</v>
      </c>
      <c r="F323" s="179">
        <f>SUMIFS('recurring2_based on steps'!$B323:$AY323,'recurring2_based on steps'!$B$1:$AY$1,F$1)+SUMIFS('changes2_based on steps'!$B323:$U323,'changes2_based on steps'!$B$1:$U$1,F$1)</f>
        <v>0</v>
      </c>
      <c r="G323" s="179">
        <f>SUMIFS('recurring2_based on steps'!$B323:$AY323,'recurring2_based on steps'!$B$1:$AY$1,G$1)+SUMIFS('changes2_based on steps'!$B323:$U323,'changes2_based on steps'!$B$1:$U$1,G$1)</f>
        <v>0</v>
      </c>
      <c r="H323" s="179">
        <f>SUMIFS('recurring2_based on steps'!$B323:$AY323,'recurring2_based on steps'!$B$1:$AY$1,H$1)+SUMIFS('changes2_based on steps'!$B323:$U323,'changes2_based on steps'!$B$1:$U$1,H$1)</f>
        <v>0</v>
      </c>
      <c r="I323" s="179">
        <f>SUMIFS('recurring2_based on steps'!$B323:$AY323,'recurring2_based on steps'!$B$1:$AY$1,I$1)+SUMIFS('changes2_based on steps'!$B323:$U323,'changes2_based on steps'!$B$1:$U$1,I$1)</f>
        <v>0</v>
      </c>
      <c r="J323" s="179">
        <f>SUMIFS('recurring2_based on steps'!$B323:$AY323,'recurring2_based on steps'!$B$1:$AY$1,J$1)+SUMIFS('changes2_based on steps'!$B323:$U323,'changes2_based on steps'!$B$1:$U$1,J$1)</f>
        <v>0</v>
      </c>
      <c r="K323" s="179">
        <f>SUMIFS('recurring2_based on steps'!$B323:$AY323,'recurring2_based on steps'!$B$1:$AY$1,K$1)+SUMIFS('changes2_based on steps'!$B323:$U323,'changes2_based on steps'!$B$1:$U$1,K$1)</f>
        <v>0</v>
      </c>
      <c r="L323" s="179">
        <f>SUMIFS('recurring2_based on steps'!$B323:$AY323,'recurring2_based on steps'!$B$1:$AY$1,L$1)+SUMIFS('changes2_based on steps'!$B323:$U323,'changes2_based on steps'!$B$1:$U$1,L$1)</f>
        <v>0</v>
      </c>
      <c r="M323" s="179">
        <f>SUMIFS('recurring2_based on steps'!$B323:$AY323,'recurring2_based on steps'!$B$1:$AY$1,M$1)+SUMIFS('changes2_based on steps'!$B323:$U323,'changes2_based on steps'!$B$1:$U$1,M$1)</f>
        <v>0</v>
      </c>
      <c r="N323" s="179">
        <f>SUMIFS('recurring2_based on steps'!$B323:$AY323,'recurring2_based on steps'!$B$1:$AY$1,N$1)+SUMIFS('changes2_based on steps'!$B323:$U323,'changes2_based on steps'!$B$1:$U$1,N$1)</f>
        <v>0</v>
      </c>
      <c r="O323" s="179">
        <f>SUMIFS('recurring2_based on steps'!$B323:$AY323,'recurring2_based on steps'!$B$1:$AY$1,O$1)+SUMIFS('changes2_based on steps'!$B323:$U323,'changes2_based on steps'!$B$1:$U$1,O$1)</f>
        <v>0</v>
      </c>
      <c r="P323" s="179">
        <f>SUMIFS('recurring2_based on steps'!$B323:$AY323,'recurring2_based on steps'!$B$1:$AY$1,P$1)+SUMIFS('changes2_based on steps'!$B323:$U323,'changes2_based on steps'!$B$1:$U$1,P$1)</f>
        <v>0</v>
      </c>
      <c r="Q323" s="179">
        <f>SUMIFS('recurring2_based on steps'!$B323:$AY323,'recurring2_based on steps'!$B$1:$AY$1,Q$1)+SUMIFS('changes2_based on steps'!$B323:$U323,'changes2_based on steps'!$B$1:$U$1,Q$1)</f>
        <v>0</v>
      </c>
      <c r="R323" s="179">
        <f>SUMIFS('recurring2_based on steps'!$B323:$AY323,'recurring2_based on steps'!$B$1:$AY$1,R$1)+SUMIFS('changes2_based on steps'!$B323:$U323,'changes2_based on steps'!$B$1:$U$1,R$1)</f>
        <v>0</v>
      </c>
      <c r="S323" s="179">
        <f>SUMIFS('recurring2_based on steps'!$B323:$AY323,'recurring2_based on steps'!$B$1:$AY$1,S$1)+SUMIFS('changes2_based on steps'!$B323:$U323,'changes2_based on steps'!$B$1:$U$1,S$1)</f>
        <v>0</v>
      </c>
      <c r="T323" s="179">
        <f>SUMIFS('recurring2_based on steps'!$B323:$AY323,'recurring2_based on steps'!$B$1:$AY$1,T$1)+SUMIFS('changes2_based on steps'!$B323:$U323,'changes2_based on steps'!$B$1:$U$1,T$1)</f>
        <v>0</v>
      </c>
      <c r="U323" s="179">
        <f>SUMIFS('recurring2_based on steps'!$B323:$AY323,'recurring2_based on steps'!$B$1:$AY$1,U$1)+SUMIFS('changes2_based on steps'!$B323:$U323,'changes2_based on steps'!$B$1:$U$1,U$1)</f>
        <v>0</v>
      </c>
      <c r="V323" s="179">
        <f>SUMIFS('recurring2_based on steps'!$B323:$AY323,'recurring2_based on steps'!$B$1:$AY$1,V$1)+SUMIFS('changes2_based on steps'!$B323:$U323,'changes2_based on steps'!$B$1:$U$1,V$1)</f>
        <v>0</v>
      </c>
      <c r="W323" s="179">
        <f>SUMIFS('recurring2_based on steps'!$B323:$AY323,'recurring2_based on steps'!$B$1:$AY$1,W$1)+SUMIFS('changes2_based on steps'!$B323:$U323,'changes2_based on steps'!$B$1:$U$1,W$1)</f>
        <v>0</v>
      </c>
      <c r="X323" s="179">
        <f>SUMIFS('recurring2_based on steps'!$B323:$AY323,'recurring2_based on steps'!$B$1:$AY$1,X$1)+SUMIFS('changes2_based on steps'!$B323:$U323,'changes2_based on steps'!$B$1:$U$1,X$1)</f>
        <v>0</v>
      </c>
      <c r="Y323" s="179">
        <f>SUMIFS('recurring2_based on steps'!$B323:$AY323,'recurring2_based on steps'!$B$1:$AY$1,Y$1)+SUMIFS('changes2_based on steps'!$B323:$U323,'changes2_based on steps'!$B$1:$U$1,Y$1)</f>
        <v>0</v>
      </c>
      <c r="Z323" s="179">
        <f>SUMIFS('recurring2_based on steps'!$B323:$AY323,'recurring2_based on steps'!$B$1:$AY$1,Z$1)+SUMIFS('changes2_based on steps'!$B323:$U323,'changes2_based on steps'!$B$1:$U$1,Z$1)</f>
        <v>0</v>
      </c>
      <c r="AA323" s="179">
        <f>SUMIFS('recurring2_based on steps'!$B323:$AY323,'recurring2_based on steps'!$B$1:$AY$1,AA$1)+SUMIFS('changes2_based on steps'!$B323:$U323,'changes2_based on steps'!$B$1:$U$1,AA$1)</f>
        <v>0</v>
      </c>
      <c r="AB323" s="179">
        <f>SUMIFS('recurring2_based on steps'!$B323:$AY323,'recurring2_based on steps'!$B$1:$AY$1,AB$1)+SUMIFS('changes2_based on steps'!$B323:$U323,'changes2_based on steps'!$B$1:$U$1,AB$1)</f>
        <v>0</v>
      </c>
      <c r="AC323" s="179">
        <f>SUMIFS('recurring2_based on steps'!$B323:$AY323,'recurring2_based on steps'!$B$1:$AY$1,AC$1)+SUMIFS('changes2_based on steps'!$B323:$U323,'changes2_based on steps'!$B$1:$U$1,AC$1)</f>
        <v>0</v>
      </c>
      <c r="AD323" s="179">
        <f>SUMIFS('recurring2_based on steps'!$B323:$AY323,'recurring2_based on steps'!$B$1:$AY$1,AD$1)+SUMIFS('changes2_based on steps'!$B323:$U323,'changes2_based on steps'!$B$1:$U$1,AD$1)</f>
        <v>0</v>
      </c>
      <c r="AE323" s="179">
        <f>SUMIFS('recurring2_based on steps'!$B323:$AY323,'recurring2_based on steps'!$B$1:$AY$1,AE$1)+SUMIFS('changes2_based on steps'!$B323:$U323,'changes2_based on steps'!$B$1:$U$1,AE$1)</f>
        <v>0</v>
      </c>
      <c r="AF323" s="179"/>
      <c r="AG323" s="179"/>
      <c r="AH323" s="179"/>
      <c r="AI323" s="179"/>
      <c r="AJ323" s="179"/>
      <c r="AK323" s="179"/>
      <c r="AL323" s="179"/>
      <c r="AM323" s="179"/>
    </row>
    <row r="324" spans="1:39" x14ac:dyDescent="0.2">
      <c r="A324" s="32">
        <f t="shared" ca="1" si="4"/>
        <v>46073</v>
      </c>
      <c r="B324" s="179">
        <f>SUMIFS('recurring2_based on steps'!$B324:$AY324,'recurring2_based on steps'!$B$1:$AY$1,B$1)+SUMIFS('changes2_based on steps'!$B324:$U324,'changes2_based on steps'!$B$1:$U$1,B$1)</f>
        <v>0</v>
      </c>
      <c r="C324" s="179">
        <f>SUMIFS('recurring2_based on steps'!$B324:$AY324,'recurring2_based on steps'!$B$1:$AY$1,C$1)+SUMIFS('changes2_based on steps'!$B324:$U324,'changes2_based on steps'!$B$1:$U$1,C$1)</f>
        <v>0</v>
      </c>
      <c r="D324" s="179">
        <f>SUMIFS('recurring2_based on steps'!$B324:$AY324,'recurring2_based on steps'!$B$1:$AY$1,D$1)+SUMIFS('changes2_based on steps'!$B324:$U324,'changes2_based on steps'!$B$1:$U$1,D$1)</f>
        <v>0</v>
      </c>
      <c r="E324" s="179">
        <f>SUMIFS('recurring2_based on steps'!$B324:$AY324,'recurring2_based on steps'!$B$1:$AY$1,E$1)+SUMIFS('changes2_based on steps'!$B324:$U324,'changes2_based on steps'!$B$1:$U$1,E$1)</f>
        <v>0</v>
      </c>
      <c r="F324" s="179">
        <f>SUMIFS('recurring2_based on steps'!$B324:$AY324,'recurring2_based on steps'!$B$1:$AY$1,F$1)+SUMIFS('changes2_based on steps'!$B324:$U324,'changes2_based on steps'!$B$1:$U$1,F$1)</f>
        <v>0</v>
      </c>
      <c r="G324" s="179">
        <f>SUMIFS('recurring2_based on steps'!$B324:$AY324,'recurring2_based on steps'!$B$1:$AY$1,G$1)+SUMIFS('changes2_based on steps'!$B324:$U324,'changes2_based on steps'!$B$1:$U$1,G$1)</f>
        <v>0</v>
      </c>
      <c r="H324" s="179">
        <f>SUMIFS('recurring2_based on steps'!$B324:$AY324,'recurring2_based on steps'!$B$1:$AY$1,H$1)+SUMIFS('changes2_based on steps'!$B324:$U324,'changes2_based on steps'!$B$1:$U$1,H$1)</f>
        <v>0</v>
      </c>
      <c r="I324" s="179">
        <f>SUMIFS('recurring2_based on steps'!$B324:$AY324,'recurring2_based on steps'!$B$1:$AY$1,I$1)+SUMIFS('changes2_based on steps'!$B324:$U324,'changes2_based on steps'!$B$1:$U$1,I$1)</f>
        <v>0</v>
      </c>
      <c r="J324" s="179">
        <f>SUMIFS('recurring2_based on steps'!$B324:$AY324,'recurring2_based on steps'!$B$1:$AY$1,J$1)+SUMIFS('changes2_based on steps'!$B324:$U324,'changes2_based on steps'!$B$1:$U$1,J$1)</f>
        <v>0</v>
      </c>
      <c r="K324" s="179">
        <f>SUMIFS('recurring2_based on steps'!$B324:$AY324,'recurring2_based on steps'!$B$1:$AY$1,K$1)+SUMIFS('changes2_based on steps'!$B324:$U324,'changes2_based on steps'!$B$1:$U$1,K$1)</f>
        <v>0</v>
      </c>
      <c r="L324" s="179">
        <f>SUMIFS('recurring2_based on steps'!$B324:$AY324,'recurring2_based on steps'!$B$1:$AY$1,L$1)+SUMIFS('changes2_based on steps'!$B324:$U324,'changes2_based on steps'!$B$1:$U$1,L$1)</f>
        <v>0</v>
      </c>
      <c r="M324" s="179">
        <f>SUMIFS('recurring2_based on steps'!$B324:$AY324,'recurring2_based on steps'!$B$1:$AY$1,M$1)+SUMIFS('changes2_based on steps'!$B324:$U324,'changes2_based on steps'!$B$1:$U$1,M$1)</f>
        <v>0</v>
      </c>
      <c r="N324" s="179">
        <f>SUMIFS('recurring2_based on steps'!$B324:$AY324,'recurring2_based on steps'!$B$1:$AY$1,N$1)+SUMIFS('changes2_based on steps'!$B324:$U324,'changes2_based on steps'!$B$1:$U$1,N$1)</f>
        <v>0</v>
      </c>
      <c r="O324" s="179">
        <f>SUMIFS('recurring2_based on steps'!$B324:$AY324,'recurring2_based on steps'!$B$1:$AY$1,O$1)+SUMIFS('changes2_based on steps'!$B324:$U324,'changes2_based on steps'!$B$1:$U$1,O$1)</f>
        <v>0</v>
      </c>
      <c r="P324" s="179">
        <f>SUMIFS('recurring2_based on steps'!$B324:$AY324,'recurring2_based on steps'!$B$1:$AY$1,P$1)+SUMIFS('changes2_based on steps'!$B324:$U324,'changes2_based on steps'!$B$1:$U$1,P$1)</f>
        <v>0</v>
      </c>
      <c r="Q324" s="179">
        <f>SUMIFS('recurring2_based on steps'!$B324:$AY324,'recurring2_based on steps'!$B$1:$AY$1,Q$1)+SUMIFS('changes2_based on steps'!$B324:$U324,'changes2_based on steps'!$B$1:$U$1,Q$1)</f>
        <v>0</v>
      </c>
      <c r="R324" s="179">
        <f>SUMIFS('recurring2_based on steps'!$B324:$AY324,'recurring2_based on steps'!$B$1:$AY$1,R$1)+SUMIFS('changes2_based on steps'!$B324:$U324,'changes2_based on steps'!$B$1:$U$1,R$1)</f>
        <v>0</v>
      </c>
      <c r="S324" s="179">
        <f>SUMIFS('recurring2_based on steps'!$B324:$AY324,'recurring2_based on steps'!$B$1:$AY$1,S$1)+SUMIFS('changes2_based on steps'!$B324:$U324,'changes2_based on steps'!$B$1:$U$1,S$1)</f>
        <v>0</v>
      </c>
      <c r="T324" s="179">
        <f>SUMIFS('recurring2_based on steps'!$B324:$AY324,'recurring2_based on steps'!$B$1:$AY$1,T$1)+SUMIFS('changes2_based on steps'!$B324:$U324,'changes2_based on steps'!$B$1:$U$1,T$1)</f>
        <v>0</v>
      </c>
      <c r="U324" s="179">
        <f>SUMIFS('recurring2_based on steps'!$B324:$AY324,'recurring2_based on steps'!$B$1:$AY$1,U$1)+SUMIFS('changes2_based on steps'!$B324:$U324,'changes2_based on steps'!$B$1:$U$1,U$1)</f>
        <v>0</v>
      </c>
      <c r="V324" s="179">
        <f>SUMIFS('recurring2_based on steps'!$B324:$AY324,'recurring2_based on steps'!$B$1:$AY$1,V$1)+SUMIFS('changes2_based on steps'!$B324:$U324,'changes2_based on steps'!$B$1:$U$1,V$1)</f>
        <v>0</v>
      </c>
      <c r="W324" s="179">
        <f>SUMIFS('recurring2_based on steps'!$B324:$AY324,'recurring2_based on steps'!$B$1:$AY$1,W$1)+SUMIFS('changes2_based on steps'!$B324:$U324,'changes2_based on steps'!$B$1:$U$1,W$1)</f>
        <v>0</v>
      </c>
      <c r="X324" s="179">
        <f>SUMIFS('recurring2_based on steps'!$B324:$AY324,'recurring2_based on steps'!$B$1:$AY$1,X$1)+SUMIFS('changes2_based on steps'!$B324:$U324,'changes2_based on steps'!$B$1:$U$1,X$1)</f>
        <v>0</v>
      </c>
      <c r="Y324" s="179">
        <f>SUMIFS('recurring2_based on steps'!$B324:$AY324,'recurring2_based on steps'!$B$1:$AY$1,Y$1)+SUMIFS('changes2_based on steps'!$B324:$U324,'changes2_based on steps'!$B$1:$U$1,Y$1)</f>
        <v>0</v>
      </c>
      <c r="Z324" s="179">
        <f>SUMIFS('recurring2_based on steps'!$B324:$AY324,'recurring2_based on steps'!$B$1:$AY$1,Z$1)+SUMIFS('changes2_based on steps'!$B324:$U324,'changes2_based on steps'!$B$1:$U$1,Z$1)</f>
        <v>0</v>
      </c>
      <c r="AA324" s="179">
        <f>SUMIFS('recurring2_based on steps'!$B324:$AY324,'recurring2_based on steps'!$B$1:$AY$1,AA$1)+SUMIFS('changes2_based on steps'!$B324:$U324,'changes2_based on steps'!$B$1:$U$1,AA$1)</f>
        <v>0</v>
      </c>
      <c r="AB324" s="179">
        <f>SUMIFS('recurring2_based on steps'!$B324:$AY324,'recurring2_based on steps'!$B$1:$AY$1,AB$1)+SUMIFS('changes2_based on steps'!$B324:$U324,'changes2_based on steps'!$B$1:$U$1,AB$1)</f>
        <v>0</v>
      </c>
      <c r="AC324" s="179">
        <f>SUMIFS('recurring2_based on steps'!$B324:$AY324,'recurring2_based on steps'!$B$1:$AY$1,AC$1)+SUMIFS('changes2_based on steps'!$B324:$U324,'changes2_based on steps'!$B$1:$U$1,AC$1)</f>
        <v>0</v>
      </c>
      <c r="AD324" s="179">
        <f>SUMIFS('recurring2_based on steps'!$B324:$AY324,'recurring2_based on steps'!$B$1:$AY$1,AD$1)+SUMIFS('changes2_based on steps'!$B324:$U324,'changes2_based on steps'!$B$1:$U$1,AD$1)</f>
        <v>0</v>
      </c>
      <c r="AE324" s="179">
        <f>SUMIFS('recurring2_based on steps'!$B324:$AY324,'recurring2_based on steps'!$B$1:$AY$1,AE$1)+SUMIFS('changes2_based on steps'!$B324:$U324,'changes2_based on steps'!$B$1:$U$1,AE$1)</f>
        <v>0</v>
      </c>
      <c r="AF324" s="179"/>
      <c r="AG324" s="179"/>
      <c r="AH324" s="179"/>
      <c r="AI324" s="179"/>
      <c r="AJ324" s="179"/>
      <c r="AK324" s="179"/>
      <c r="AL324" s="179"/>
      <c r="AM324" s="179"/>
    </row>
    <row r="325" spans="1:39" x14ac:dyDescent="0.2">
      <c r="A325" s="32">
        <f t="shared" ref="A325:A369" ca="1" si="5">A324+1</f>
        <v>46074</v>
      </c>
      <c r="B325" s="179">
        <f>SUMIFS('recurring2_based on steps'!$B325:$AY325,'recurring2_based on steps'!$B$1:$AY$1,B$1)+SUMIFS('changes2_based on steps'!$B325:$U325,'changes2_based on steps'!$B$1:$U$1,B$1)</f>
        <v>0</v>
      </c>
      <c r="C325" s="179">
        <f>SUMIFS('recurring2_based on steps'!$B325:$AY325,'recurring2_based on steps'!$B$1:$AY$1,C$1)+SUMIFS('changes2_based on steps'!$B325:$U325,'changes2_based on steps'!$B$1:$U$1,C$1)</f>
        <v>0</v>
      </c>
      <c r="D325" s="179">
        <f>SUMIFS('recurring2_based on steps'!$B325:$AY325,'recurring2_based on steps'!$B$1:$AY$1,D$1)+SUMIFS('changes2_based on steps'!$B325:$U325,'changes2_based on steps'!$B$1:$U$1,D$1)</f>
        <v>0</v>
      </c>
      <c r="E325" s="179">
        <f>SUMIFS('recurring2_based on steps'!$B325:$AY325,'recurring2_based on steps'!$B$1:$AY$1,E$1)+SUMIFS('changes2_based on steps'!$B325:$U325,'changes2_based on steps'!$B$1:$U$1,E$1)</f>
        <v>0</v>
      </c>
      <c r="F325" s="179">
        <f>SUMIFS('recurring2_based on steps'!$B325:$AY325,'recurring2_based on steps'!$B$1:$AY$1,F$1)+SUMIFS('changes2_based on steps'!$B325:$U325,'changes2_based on steps'!$B$1:$U$1,F$1)</f>
        <v>0</v>
      </c>
      <c r="G325" s="179">
        <f>SUMIFS('recurring2_based on steps'!$B325:$AY325,'recurring2_based on steps'!$B$1:$AY$1,G$1)+SUMIFS('changes2_based on steps'!$B325:$U325,'changes2_based on steps'!$B$1:$U$1,G$1)</f>
        <v>0</v>
      </c>
      <c r="H325" s="179">
        <f>SUMIFS('recurring2_based on steps'!$B325:$AY325,'recurring2_based on steps'!$B$1:$AY$1,H$1)+SUMIFS('changes2_based on steps'!$B325:$U325,'changes2_based on steps'!$B$1:$U$1,H$1)</f>
        <v>0</v>
      </c>
      <c r="I325" s="179">
        <f>SUMIFS('recurring2_based on steps'!$B325:$AY325,'recurring2_based on steps'!$B$1:$AY$1,I$1)+SUMIFS('changes2_based on steps'!$B325:$U325,'changes2_based on steps'!$B$1:$U$1,I$1)</f>
        <v>0</v>
      </c>
      <c r="J325" s="179">
        <f>SUMIFS('recurring2_based on steps'!$B325:$AY325,'recurring2_based on steps'!$B$1:$AY$1,J$1)+SUMIFS('changes2_based on steps'!$B325:$U325,'changes2_based on steps'!$B$1:$U$1,J$1)</f>
        <v>0</v>
      </c>
      <c r="K325" s="179">
        <f>SUMIFS('recurring2_based on steps'!$B325:$AY325,'recurring2_based on steps'!$B$1:$AY$1,K$1)+SUMIFS('changes2_based on steps'!$B325:$U325,'changes2_based on steps'!$B$1:$U$1,K$1)</f>
        <v>0</v>
      </c>
      <c r="L325" s="179">
        <f>SUMIFS('recurring2_based on steps'!$B325:$AY325,'recurring2_based on steps'!$B$1:$AY$1,L$1)+SUMIFS('changes2_based on steps'!$B325:$U325,'changes2_based on steps'!$B$1:$U$1,L$1)</f>
        <v>0</v>
      </c>
      <c r="M325" s="179">
        <f>SUMIFS('recurring2_based on steps'!$B325:$AY325,'recurring2_based on steps'!$B$1:$AY$1,M$1)+SUMIFS('changes2_based on steps'!$B325:$U325,'changes2_based on steps'!$B$1:$U$1,M$1)</f>
        <v>0</v>
      </c>
      <c r="N325" s="179">
        <f>SUMIFS('recurring2_based on steps'!$B325:$AY325,'recurring2_based on steps'!$B$1:$AY$1,N$1)+SUMIFS('changes2_based on steps'!$B325:$U325,'changes2_based on steps'!$B$1:$U$1,N$1)</f>
        <v>0</v>
      </c>
      <c r="O325" s="179">
        <f>SUMIFS('recurring2_based on steps'!$B325:$AY325,'recurring2_based on steps'!$B$1:$AY$1,O$1)+SUMIFS('changes2_based on steps'!$B325:$U325,'changes2_based on steps'!$B$1:$U$1,O$1)</f>
        <v>0</v>
      </c>
      <c r="P325" s="179">
        <f>SUMIFS('recurring2_based on steps'!$B325:$AY325,'recurring2_based on steps'!$B$1:$AY$1,P$1)+SUMIFS('changes2_based on steps'!$B325:$U325,'changes2_based on steps'!$B$1:$U$1,P$1)</f>
        <v>0</v>
      </c>
      <c r="Q325" s="179">
        <f>SUMIFS('recurring2_based on steps'!$B325:$AY325,'recurring2_based on steps'!$B$1:$AY$1,Q$1)+SUMIFS('changes2_based on steps'!$B325:$U325,'changes2_based on steps'!$B$1:$U$1,Q$1)</f>
        <v>0</v>
      </c>
      <c r="R325" s="179">
        <f>SUMIFS('recurring2_based on steps'!$B325:$AY325,'recurring2_based on steps'!$B$1:$AY$1,R$1)+SUMIFS('changes2_based on steps'!$B325:$U325,'changes2_based on steps'!$B$1:$U$1,R$1)</f>
        <v>0</v>
      </c>
      <c r="S325" s="179">
        <f>SUMIFS('recurring2_based on steps'!$B325:$AY325,'recurring2_based on steps'!$B$1:$AY$1,S$1)+SUMIFS('changes2_based on steps'!$B325:$U325,'changes2_based on steps'!$B$1:$U$1,S$1)</f>
        <v>0</v>
      </c>
      <c r="T325" s="179">
        <f>SUMIFS('recurring2_based on steps'!$B325:$AY325,'recurring2_based on steps'!$B$1:$AY$1,T$1)+SUMIFS('changes2_based on steps'!$B325:$U325,'changes2_based on steps'!$B$1:$U$1,T$1)</f>
        <v>0</v>
      </c>
      <c r="U325" s="179">
        <f>SUMIFS('recurring2_based on steps'!$B325:$AY325,'recurring2_based on steps'!$B$1:$AY$1,U$1)+SUMIFS('changes2_based on steps'!$B325:$U325,'changes2_based on steps'!$B$1:$U$1,U$1)</f>
        <v>0</v>
      </c>
      <c r="V325" s="179">
        <f>SUMIFS('recurring2_based on steps'!$B325:$AY325,'recurring2_based on steps'!$B$1:$AY$1,V$1)+SUMIFS('changes2_based on steps'!$B325:$U325,'changes2_based on steps'!$B$1:$U$1,V$1)</f>
        <v>0</v>
      </c>
      <c r="W325" s="179">
        <f>SUMIFS('recurring2_based on steps'!$B325:$AY325,'recurring2_based on steps'!$B$1:$AY$1,W$1)+SUMIFS('changes2_based on steps'!$B325:$U325,'changes2_based on steps'!$B$1:$U$1,W$1)</f>
        <v>0</v>
      </c>
      <c r="X325" s="179">
        <f>SUMIFS('recurring2_based on steps'!$B325:$AY325,'recurring2_based on steps'!$B$1:$AY$1,X$1)+SUMIFS('changes2_based on steps'!$B325:$U325,'changes2_based on steps'!$B$1:$U$1,X$1)</f>
        <v>0</v>
      </c>
      <c r="Y325" s="179">
        <f>SUMIFS('recurring2_based on steps'!$B325:$AY325,'recurring2_based on steps'!$B$1:$AY$1,Y$1)+SUMIFS('changes2_based on steps'!$B325:$U325,'changes2_based on steps'!$B$1:$U$1,Y$1)</f>
        <v>0</v>
      </c>
      <c r="Z325" s="179">
        <f>SUMIFS('recurring2_based on steps'!$B325:$AY325,'recurring2_based on steps'!$B$1:$AY$1,Z$1)+SUMIFS('changes2_based on steps'!$B325:$U325,'changes2_based on steps'!$B$1:$U$1,Z$1)</f>
        <v>0</v>
      </c>
      <c r="AA325" s="179">
        <f>SUMIFS('recurring2_based on steps'!$B325:$AY325,'recurring2_based on steps'!$B$1:$AY$1,AA$1)+SUMIFS('changes2_based on steps'!$B325:$U325,'changes2_based on steps'!$B$1:$U$1,AA$1)</f>
        <v>0</v>
      </c>
      <c r="AB325" s="179">
        <f>SUMIFS('recurring2_based on steps'!$B325:$AY325,'recurring2_based on steps'!$B$1:$AY$1,AB$1)+SUMIFS('changes2_based on steps'!$B325:$U325,'changes2_based on steps'!$B$1:$U$1,AB$1)</f>
        <v>0</v>
      </c>
      <c r="AC325" s="179">
        <f>SUMIFS('recurring2_based on steps'!$B325:$AY325,'recurring2_based on steps'!$B$1:$AY$1,AC$1)+SUMIFS('changes2_based on steps'!$B325:$U325,'changes2_based on steps'!$B$1:$U$1,AC$1)</f>
        <v>0</v>
      </c>
      <c r="AD325" s="179">
        <f>SUMIFS('recurring2_based on steps'!$B325:$AY325,'recurring2_based on steps'!$B$1:$AY$1,AD$1)+SUMIFS('changes2_based on steps'!$B325:$U325,'changes2_based on steps'!$B$1:$U$1,AD$1)</f>
        <v>0</v>
      </c>
      <c r="AE325" s="179">
        <f>SUMIFS('recurring2_based on steps'!$B325:$AY325,'recurring2_based on steps'!$B$1:$AY$1,AE$1)+SUMIFS('changes2_based on steps'!$B325:$U325,'changes2_based on steps'!$B$1:$U$1,AE$1)</f>
        <v>0</v>
      </c>
      <c r="AF325" s="179"/>
      <c r="AG325" s="179"/>
      <c r="AH325" s="179"/>
      <c r="AI325" s="179"/>
      <c r="AJ325" s="179"/>
      <c r="AK325" s="179"/>
      <c r="AL325" s="179"/>
      <c r="AM325" s="179"/>
    </row>
    <row r="326" spans="1:39" x14ac:dyDescent="0.2">
      <c r="A326" s="32">
        <f t="shared" ca="1" si="5"/>
        <v>46075</v>
      </c>
      <c r="B326" s="179">
        <f>SUMIFS('recurring2_based on steps'!$B326:$AY326,'recurring2_based on steps'!$B$1:$AY$1,B$1)+SUMIFS('changes2_based on steps'!$B326:$U326,'changes2_based on steps'!$B$1:$U$1,B$1)</f>
        <v>0</v>
      </c>
      <c r="C326" s="179">
        <f>SUMIFS('recurring2_based on steps'!$B326:$AY326,'recurring2_based on steps'!$B$1:$AY$1,C$1)+SUMIFS('changes2_based on steps'!$B326:$U326,'changes2_based on steps'!$B$1:$U$1,C$1)</f>
        <v>0</v>
      </c>
      <c r="D326" s="179">
        <f>SUMIFS('recurring2_based on steps'!$B326:$AY326,'recurring2_based on steps'!$B$1:$AY$1,D$1)+SUMIFS('changes2_based on steps'!$B326:$U326,'changes2_based on steps'!$B$1:$U$1,D$1)</f>
        <v>0</v>
      </c>
      <c r="E326" s="179">
        <f>SUMIFS('recurring2_based on steps'!$B326:$AY326,'recurring2_based on steps'!$B$1:$AY$1,E$1)+SUMIFS('changes2_based on steps'!$B326:$U326,'changes2_based on steps'!$B$1:$U$1,E$1)</f>
        <v>0</v>
      </c>
      <c r="F326" s="179">
        <f>SUMIFS('recurring2_based on steps'!$B326:$AY326,'recurring2_based on steps'!$B$1:$AY$1,F$1)+SUMIFS('changes2_based on steps'!$B326:$U326,'changes2_based on steps'!$B$1:$U$1,F$1)</f>
        <v>0</v>
      </c>
      <c r="G326" s="179">
        <f>SUMIFS('recurring2_based on steps'!$B326:$AY326,'recurring2_based on steps'!$B$1:$AY$1,G$1)+SUMIFS('changes2_based on steps'!$B326:$U326,'changes2_based on steps'!$B$1:$U$1,G$1)</f>
        <v>0</v>
      </c>
      <c r="H326" s="179">
        <f>SUMIFS('recurring2_based on steps'!$B326:$AY326,'recurring2_based on steps'!$B$1:$AY$1,H$1)+SUMIFS('changes2_based on steps'!$B326:$U326,'changes2_based on steps'!$B$1:$U$1,H$1)</f>
        <v>0</v>
      </c>
      <c r="I326" s="179">
        <f>SUMIFS('recurring2_based on steps'!$B326:$AY326,'recurring2_based on steps'!$B$1:$AY$1,I$1)+SUMIFS('changes2_based on steps'!$B326:$U326,'changes2_based on steps'!$B$1:$U$1,I$1)</f>
        <v>0</v>
      </c>
      <c r="J326" s="179">
        <f>SUMIFS('recurring2_based on steps'!$B326:$AY326,'recurring2_based on steps'!$B$1:$AY$1,J$1)+SUMIFS('changes2_based on steps'!$B326:$U326,'changes2_based on steps'!$B$1:$U$1,J$1)</f>
        <v>0</v>
      </c>
      <c r="K326" s="179">
        <f>SUMIFS('recurring2_based on steps'!$B326:$AY326,'recurring2_based on steps'!$B$1:$AY$1,K$1)+SUMIFS('changes2_based on steps'!$B326:$U326,'changes2_based on steps'!$B$1:$U$1,K$1)</f>
        <v>0</v>
      </c>
      <c r="L326" s="179">
        <f>SUMIFS('recurring2_based on steps'!$B326:$AY326,'recurring2_based on steps'!$B$1:$AY$1,L$1)+SUMIFS('changes2_based on steps'!$B326:$U326,'changes2_based on steps'!$B$1:$U$1,L$1)</f>
        <v>0</v>
      </c>
      <c r="M326" s="179">
        <f>SUMIFS('recurring2_based on steps'!$B326:$AY326,'recurring2_based on steps'!$B$1:$AY$1,M$1)+SUMIFS('changes2_based on steps'!$B326:$U326,'changes2_based on steps'!$B$1:$U$1,M$1)</f>
        <v>0</v>
      </c>
      <c r="N326" s="179">
        <f>SUMIFS('recurring2_based on steps'!$B326:$AY326,'recurring2_based on steps'!$B$1:$AY$1,N$1)+SUMIFS('changes2_based on steps'!$B326:$U326,'changes2_based on steps'!$B$1:$U$1,N$1)</f>
        <v>0</v>
      </c>
      <c r="O326" s="179">
        <f>SUMIFS('recurring2_based on steps'!$B326:$AY326,'recurring2_based on steps'!$B$1:$AY$1,O$1)+SUMIFS('changes2_based on steps'!$B326:$U326,'changes2_based on steps'!$B$1:$U$1,O$1)</f>
        <v>0</v>
      </c>
      <c r="P326" s="179">
        <f>SUMIFS('recurring2_based on steps'!$B326:$AY326,'recurring2_based on steps'!$B$1:$AY$1,P$1)+SUMIFS('changes2_based on steps'!$B326:$U326,'changes2_based on steps'!$B$1:$U$1,P$1)</f>
        <v>0</v>
      </c>
      <c r="Q326" s="179">
        <f>SUMIFS('recurring2_based on steps'!$B326:$AY326,'recurring2_based on steps'!$B$1:$AY$1,Q$1)+SUMIFS('changes2_based on steps'!$B326:$U326,'changes2_based on steps'!$B$1:$U$1,Q$1)</f>
        <v>0</v>
      </c>
      <c r="R326" s="179">
        <f>SUMIFS('recurring2_based on steps'!$B326:$AY326,'recurring2_based on steps'!$B$1:$AY$1,R$1)+SUMIFS('changes2_based on steps'!$B326:$U326,'changes2_based on steps'!$B$1:$U$1,R$1)</f>
        <v>0</v>
      </c>
      <c r="S326" s="179">
        <f>SUMIFS('recurring2_based on steps'!$B326:$AY326,'recurring2_based on steps'!$B$1:$AY$1,S$1)+SUMIFS('changes2_based on steps'!$B326:$U326,'changes2_based on steps'!$B$1:$U$1,S$1)</f>
        <v>0</v>
      </c>
      <c r="T326" s="179">
        <f>SUMIFS('recurring2_based on steps'!$B326:$AY326,'recurring2_based on steps'!$B$1:$AY$1,T$1)+SUMIFS('changes2_based on steps'!$B326:$U326,'changes2_based on steps'!$B$1:$U$1,T$1)</f>
        <v>0</v>
      </c>
      <c r="U326" s="179">
        <f>SUMIFS('recurring2_based on steps'!$B326:$AY326,'recurring2_based on steps'!$B$1:$AY$1,U$1)+SUMIFS('changes2_based on steps'!$B326:$U326,'changes2_based on steps'!$B$1:$U$1,U$1)</f>
        <v>0</v>
      </c>
      <c r="V326" s="179">
        <f>SUMIFS('recurring2_based on steps'!$B326:$AY326,'recurring2_based on steps'!$B$1:$AY$1,V$1)+SUMIFS('changes2_based on steps'!$B326:$U326,'changes2_based on steps'!$B$1:$U$1,V$1)</f>
        <v>0</v>
      </c>
      <c r="W326" s="179">
        <f>SUMIFS('recurring2_based on steps'!$B326:$AY326,'recurring2_based on steps'!$B$1:$AY$1,W$1)+SUMIFS('changes2_based on steps'!$B326:$U326,'changes2_based on steps'!$B$1:$U$1,W$1)</f>
        <v>0</v>
      </c>
      <c r="X326" s="179">
        <f>SUMIFS('recurring2_based on steps'!$B326:$AY326,'recurring2_based on steps'!$B$1:$AY$1,X$1)+SUMIFS('changes2_based on steps'!$B326:$U326,'changes2_based on steps'!$B$1:$U$1,X$1)</f>
        <v>0</v>
      </c>
      <c r="Y326" s="179">
        <f>SUMIFS('recurring2_based on steps'!$B326:$AY326,'recurring2_based on steps'!$B$1:$AY$1,Y$1)+SUMIFS('changes2_based on steps'!$B326:$U326,'changes2_based on steps'!$B$1:$U$1,Y$1)</f>
        <v>0</v>
      </c>
      <c r="Z326" s="179">
        <f>SUMIFS('recurring2_based on steps'!$B326:$AY326,'recurring2_based on steps'!$B$1:$AY$1,Z$1)+SUMIFS('changes2_based on steps'!$B326:$U326,'changes2_based on steps'!$B$1:$U$1,Z$1)</f>
        <v>0</v>
      </c>
      <c r="AA326" s="179">
        <f>SUMIFS('recurring2_based on steps'!$B326:$AY326,'recurring2_based on steps'!$B$1:$AY$1,AA$1)+SUMIFS('changes2_based on steps'!$B326:$U326,'changes2_based on steps'!$B$1:$U$1,AA$1)</f>
        <v>0</v>
      </c>
      <c r="AB326" s="179">
        <f>SUMIFS('recurring2_based on steps'!$B326:$AY326,'recurring2_based on steps'!$B$1:$AY$1,AB$1)+SUMIFS('changes2_based on steps'!$B326:$U326,'changes2_based on steps'!$B$1:$U$1,AB$1)</f>
        <v>0</v>
      </c>
      <c r="AC326" s="179">
        <f>SUMIFS('recurring2_based on steps'!$B326:$AY326,'recurring2_based on steps'!$B$1:$AY$1,AC$1)+SUMIFS('changes2_based on steps'!$B326:$U326,'changes2_based on steps'!$B$1:$U$1,AC$1)</f>
        <v>0</v>
      </c>
      <c r="AD326" s="179">
        <f>SUMIFS('recurring2_based on steps'!$B326:$AY326,'recurring2_based on steps'!$B$1:$AY$1,AD$1)+SUMIFS('changes2_based on steps'!$B326:$U326,'changes2_based on steps'!$B$1:$U$1,AD$1)</f>
        <v>0</v>
      </c>
      <c r="AE326" s="179">
        <f>SUMIFS('recurring2_based on steps'!$B326:$AY326,'recurring2_based on steps'!$B$1:$AY$1,AE$1)+SUMIFS('changes2_based on steps'!$B326:$U326,'changes2_based on steps'!$B$1:$U$1,AE$1)</f>
        <v>0</v>
      </c>
      <c r="AF326" s="179"/>
      <c r="AG326" s="179"/>
      <c r="AH326" s="179"/>
      <c r="AI326" s="179"/>
      <c r="AJ326" s="179"/>
      <c r="AK326" s="179"/>
      <c r="AL326" s="179"/>
      <c r="AM326" s="179"/>
    </row>
    <row r="327" spans="1:39" x14ac:dyDescent="0.2">
      <c r="A327" s="32">
        <f t="shared" ca="1" si="5"/>
        <v>46076</v>
      </c>
      <c r="B327" s="179">
        <f>SUMIFS('recurring2_based on steps'!$B327:$AY327,'recurring2_based on steps'!$B$1:$AY$1,B$1)+SUMIFS('changes2_based on steps'!$B327:$U327,'changes2_based on steps'!$B$1:$U$1,B$1)</f>
        <v>0</v>
      </c>
      <c r="C327" s="179">
        <f>SUMIFS('recurring2_based on steps'!$B327:$AY327,'recurring2_based on steps'!$B$1:$AY$1,C$1)+SUMIFS('changes2_based on steps'!$B327:$U327,'changes2_based on steps'!$B$1:$U$1,C$1)</f>
        <v>0</v>
      </c>
      <c r="D327" s="179">
        <f>SUMIFS('recurring2_based on steps'!$B327:$AY327,'recurring2_based on steps'!$B$1:$AY$1,D$1)+SUMIFS('changes2_based on steps'!$B327:$U327,'changes2_based on steps'!$B$1:$U$1,D$1)</f>
        <v>0</v>
      </c>
      <c r="E327" s="179">
        <f>SUMIFS('recurring2_based on steps'!$B327:$AY327,'recurring2_based on steps'!$B$1:$AY$1,E$1)+SUMIFS('changes2_based on steps'!$B327:$U327,'changes2_based on steps'!$B$1:$U$1,E$1)</f>
        <v>0</v>
      </c>
      <c r="F327" s="179">
        <f>SUMIFS('recurring2_based on steps'!$B327:$AY327,'recurring2_based on steps'!$B$1:$AY$1,F$1)+SUMIFS('changes2_based on steps'!$B327:$U327,'changes2_based on steps'!$B$1:$U$1,F$1)</f>
        <v>0</v>
      </c>
      <c r="G327" s="179">
        <f>SUMIFS('recurring2_based on steps'!$B327:$AY327,'recurring2_based on steps'!$B$1:$AY$1,G$1)+SUMIFS('changes2_based on steps'!$B327:$U327,'changes2_based on steps'!$B$1:$U$1,G$1)</f>
        <v>0</v>
      </c>
      <c r="H327" s="179">
        <f>SUMIFS('recurring2_based on steps'!$B327:$AY327,'recurring2_based on steps'!$B$1:$AY$1,H$1)+SUMIFS('changes2_based on steps'!$B327:$U327,'changes2_based on steps'!$B$1:$U$1,H$1)</f>
        <v>0</v>
      </c>
      <c r="I327" s="179">
        <f>SUMIFS('recurring2_based on steps'!$B327:$AY327,'recurring2_based on steps'!$B$1:$AY$1,I$1)+SUMIFS('changes2_based on steps'!$B327:$U327,'changes2_based on steps'!$B$1:$U$1,I$1)</f>
        <v>0</v>
      </c>
      <c r="J327" s="179">
        <f>SUMIFS('recurring2_based on steps'!$B327:$AY327,'recurring2_based on steps'!$B$1:$AY$1,J$1)+SUMIFS('changes2_based on steps'!$B327:$U327,'changes2_based on steps'!$B$1:$U$1,J$1)</f>
        <v>0</v>
      </c>
      <c r="K327" s="179">
        <f>SUMIFS('recurring2_based on steps'!$B327:$AY327,'recurring2_based on steps'!$B$1:$AY$1,K$1)+SUMIFS('changes2_based on steps'!$B327:$U327,'changes2_based on steps'!$B$1:$U$1,K$1)</f>
        <v>0</v>
      </c>
      <c r="L327" s="179">
        <f>SUMIFS('recurring2_based on steps'!$B327:$AY327,'recurring2_based on steps'!$B$1:$AY$1,L$1)+SUMIFS('changes2_based on steps'!$B327:$U327,'changes2_based on steps'!$B$1:$U$1,L$1)</f>
        <v>0</v>
      </c>
      <c r="M327" s="179">
        <f>SUMIFS('recurring2_based on steps'!$B327:$AY327,'recurring2_based on steps'!$B$1:$AY$1,M$1)+SUMIFS('changes2_based on steps'!$B327:$U327,'changes2_based on steps'!$B$1:$U$1,M$1)</f>
        <v>0</v>
      </c>
      <c r="N327" s="179">
        <f>SUMIFS('recurring2_based on steps'!$B327:$AY327,'recurring2_based on steps'!$B$1:$AY$1,N$1)+SUMIFS('changes2_based on steps'!$B327:$U327,'changes2_based on steps'!$B$1:$U$1,N$1)</f>
        <v>0</v>
      </c>
      <c r="O327" s="179">
        <f>SUMIFS('recurring2_based on steps'!$B327:$AY327,'recurring2_based on steps'!$B$1:$AY$1,O$1)+SUMIFS('changes2_based on steps'!$B327:$U327,'changes2_based on steps'!$B$1:$U$1,O$1)</f>
        <v>0</v>
      </c>
      <c r="P327" s="179">
        <f>SUMIFS('recurring2_based on steps'!$B327:$AY327,'recurring2_based on steps'!$B$1:$AY$1,P$1)+SUMIFS('changes2_based on steps'!$B327:$U327,'changes2_based on steps'!$B$1:$U$1,P$1)</f>
        <v>0</v>
      </c>
      <c r="Q327" s="179">
        <f>SUMIFS('recurring2_based on steps'!$B327:$AY327,'recurring2_based on steps'!$B$1:$AY$1,Q$1)+SUMIFS('changes2_based on steps'!$B327:$U327,'changes2_based on steps'!$B$1:$U$1,Q$1)</f>
        <v>0</v>
      </c>
      <c r="R327" s="179">
        <f>SUMIFS('recurring2_based on steps'!$B327:$AY327,'recurring2_based on steps'!$B$1:$AY$1,R$1)+SUMIFS('changes2_based on steps'!$B327:$U327,'changes2_based on steps'!$B$1:$U$1,R$1)</f>
        <v>0</v>
      </c>
      <c r="S327" s="179">
        <f>SUMIFS('recurring2_based on steps'!$B327:$AY327,'recurring2_based on steps'!$B$1:$AY$1,S$1)+SUMIFS('changes2_based on steps'!$B327:$U327,'changes2_based on steps'!$B$1:$U$1,S$1)</f>
        <v>0</v>
      </c>
      <c r="T327" s="179">
        <f>SUMIFS('recurring2_based on steps'!$B327:$AY327,'recurring2_based on steps'!$B$1:$AY$1,T$1)+SUMIFS('changes2_based on steps'!$B327:$U327,'changes2_based on steps'!$B$1:$U$1,T$1)</f>
        <v>0</v>
      </c>
      <c r="U327" s="179">
        <f>SUMIFS('recurring2_based on steps'!$B327:$AY327,'recurring2_based on steps'!$B$1:$AY$1,U$1)+SUMIFS('changes2_based on steps'!$B327:$U327,'changes2_based on steps'!$B$1:$U$1,U$1)</f>
        <v>0</v>
      </c>
      <c r="V327" s="179">
        <f>SUMIFS('recurring2_based on steps'!$B327:$AY327,'recurring2_based on steps'!$B$1:$AY$1,V$1)+SUMIFS('changes2_based on steps'!$B327:$U327,'changes2_based on steps'!$B$1:$U$1,V$1)</f>
        <v>0</v>
      </c>
      <c r="W327" s="179">
        <f>SUMIFS('recurring2_based on steps'!$B327:$AY327,'recurring2_based on steps'!$B$1:$AY$1,W$1)+SUMIFS('changes2_based on steps'!$B327:$U327,'changes2_based on steps'!$B$1:$U$1,W$1)</f>
        <v>0</v>
      </c>
      <c r="X327" s="179">
        <f>SUMIFS('recurring2_based on steps'!$B327:$AY327,'recurring2_based on steps'!$B$1:$AY$1,X$1)+SUMIFS('changes2_based on steps'!$B327:$U327,'changes2_based on steps'!$B$1:$U$1,X$1)</f>
        <v>0</v>
      </c>
      <c r="Y327" s="179">
        <f>SUMIFS('recurring2_based on steps'!$B327:$AY327,'recurring2_based on steps'!$B$1:$AY$1,Y$1)+SUMIFS('changes2_based on steps'!$B327:$U327,'changes2_based on steps'!$B$1:$U$1,Y$1)</f>
        <v>0</v>
      </c>
      <c r="Z327" s="179">
        <f>SUMIFS('recurring2_based on steps'!$B327:$AY327,'recurring2_based on steps'!$B$1:$AY$1,Z$1)+SUMIFS('changes2_based on steps'!$B327:$U327,'changes2_based on steps'!$B$1:$U$1,Z$1)</f>
        <v>0</v>
      </c>
      <c r="AA327" s="179">
        <f>SUMIFS('recurring2_based on steps'!$B327:$AY327,'recurring2_based on steps'!$B$1:$AY$1,AA$1)+SUMIFS('changes2_based on steps'!$B327:$U327,'changes2_based on steps'!$B$1:$U$1,AA$1)</f>
        <v>0</v>
      </c>
      <c r="AB327" s="179">
        <f>SUMIFS('recurring2_based on steps'!$B327:$AY327,'recurring2_based on steps'!$B$1:$AY$1,AB$1)+SUMIFS('changes2_based on steps'!$B327:$U327,'changes2_based on steps'!$B$1:$U$1,AB$1)</f>
        <v>0</v>
      </c>
      <c r="AC327" s="179">
        <f>SUMIFS('recurring2_based on steps'!$B327:$AY327,'recurring2_based on steps'!$B$1:$AY$1,AC$1)+SUMIFS('changes2_based on steps'!$B327:$U327,'changes2_based on steps'!$B$1:$U$1,AC$1)</f>
        <v>0</v>
      </c>
      <c r="AD327" s="179">
        <f>SUMIFS('recurring2_based on steps'!$B327:$AY327,'recurring2_based on steps'!$B$1:$AY$1,AD$1)+SUMIFS('changes2_based on steps'!$B327:$U327,'changes2_based on steps'!$B$1:$U$1,AD$1)</f>
        <v>0</v>
      </c>
      <c r="AE327" s="179">
        <f>SUMIFS('recurring2_based on steps'!$B327:$AY327,'recurring2_based on steps'!$B$1:$AY$1,AE$1)+SUMIFS('changes2_based on steps'!$B327:$U327,'changes2_based on steps'!$B$1:$U$1,AE$1)</f>
        <v>0</v>
      </c>
      <c r="AF327" s="179"/>
      <c r="AG327" s="179"/>
      <c r="AH327" s="179"/>
      <c r="AI327" s="179"/>
      <c r="AJ327" s="179"/>
      <c r="AK327" s="179"/>
      <c r="AL327" s="179"/>
      <c r="AM327" s="179"/>
    </row>
    <row r="328" spans="1:39" x14ac:dyDescent="0.2">
      <c r="A328" s="32">
        <f t="shared" ca="1" si="5"/>
        <v>46077</v>
      </c>
      <c r="B328" s="179">
        <f>SUMIFS('recurring2_based on steps'!$B328:$AY328,'recurring2_based on steps'!$B$1:$AY$1,B$1)+SUMIFS('changes2_based on steps'!$B328:$U328,'changes2_based on steps'!$B$1:$U$1,B$1)</f>
        <v>0</v>
      </c>
      <c r="C328" s="179">
        <f>SUMIFS('recurring2_based on steps'!$B328:$AY328,'recurring2_based on steps'!$B$1:$AY$1,C$1)+SUMIFS('changes2_based on steps'!$B328:$U328,'changes2_based on steps'!$B$1:$U$1,C$1)</f>
        <v>0</v>
      </c>
      <c r="D328" s="179">
        <f>SUMIFS('recurring2_based on steps'!$B328:$AY328,'recurring2_based on steps'!$B$1:$AY$1,D$1)+SUMIFS('changes2_based on steps'!$B328:$U328,'changes2_based on steps'!$B$1:$U$1,D$1)</f>
        <v>0</v>
      </c>
      <c r="E328" s="179">
        <f>SUMIFS('recurring2_based on steps'!$B328:$AY328,'recurring2_based on steps'!$B$1:$AY$1,E$1)+SUMIFS('changes2_based on steps'!$B328:$U328,'changes2_based on steps'!$B$1:$U$1,E$1)</f>
        <v>0</v>
      </c>
      <c r="F328" s="179">
        <f>SUMIFS('recurring2_based on steps'!$B328:$AY328,'recurring2_based on steps'!$B$1:$AY$1,F$1)+SUMIFS('changes2_based on steps'!$B328:$U328,'changes2_based on steps'!$B$1:$U$1,F$1)</f>
        <v>0</v>
      </c>
      <c r="G328" s="179">
        <f>SUMIFS('recurring2_based on steps'!$B328:$AY328,'recurring2_based on steps'!$B$1:$AY$1,G$1)+SUMIFS('changes2_based on steps'!$B328:$U328,'changes2_based on steps'!$B$1:$U$1,G$1)</f>
        <v>0</v>
      </c>
      <c r="H328" s="179">
        <f>SUMIFS('recurring2_based on steps'!$B328:$AY328,'recurring2_based on steps'!$B$1:$AY$1,H$1)+SUMIFS('changes2_based on steps'!$B328:$U328,'changes2_based on steps'!$B$1:$U$1,H$1)</f>
        <v>0</v>
      </c>
      <c r="I328" s="179">
        <f>SUMIFS('recurring2_based on steps'!$B328:$AY328,'recurring2_based on steps'!$B$1:$AY$1,I$1)+SUMIFS('changes2_based on steps'!$B328:$U328,'changes2_based on steps'!$B$1:$U$1,I$1)</f>
        <v>0</v>
      </c>
      <c r="J328" s="179">
        <f>SUMIFS('recurring2_based on steps'!$B328:$AY328,'recurring2_based on steps'!$B$1:$AY$1,J$1)+SUMIFS('changes2_based on steps'!$B328:$U328,'changes2_based on steps'!$B$1:$U$1,J$1)</f>
        <v>0</v>
      </c>
      <c r="K328" s="179">
        <f>SUMIFS('recurring2_based on steps'!$B328:$AY328,'recurring2_based on steps'!$B$1:$AY$1,K$1)+SUMIFS('changes2_based on steps'!$B328:$U328,'changes2_based on steps'!$B$1:$U$1,K$1)</f>
        <v>0</v>
      </c>
      <c r="L328" s="179">
        <f>SUMIFS('recurring2_based on steps'!$B328:$AY328,'recurring2_based on steps'!$B$1:$AY$1,L$1)+SUMIFS('changes2_based on steps'!$B328:$U328,'changes2_based on steps'!$B$1:$U$1,L$1)</f>
        <v>0</v>
      </c>
      <c r="M328" s="179">
        <f>SUMIFS('recurring2_based on steps'!$B328:$AY328,'recurring2_based on steps'!$B$1:$AY$1,M$1)+SUMIFS('changes2_based on steps'!$B328:$U328,'changes2_based on steps'!$B$1:$U$1,M$1)</f>
        <v>0</v>
      </c>
      <c r="N328" s="179">
        <f>SUMIFS('recurring2_based on steps'!$B328:$AY328,'recurring2_based on steps'!$B$1:$AY$1,N$1)+SUMIFS('changes2_based on steps'!$B328:$U328,'changes2_based on steps'!$B$1:$U$1,N$1)</f>
        <v>0</v>
      </c>
      <c r="O328" s="179">
        <f>SUMIFS('recurring2_based on steps'!$B328:$AY328,'recurring2_based on steps'!$B$1:$AY$1,O$1)+SUMIFS('changes2_based on steps'!$B328:$U328,'changes2_based on steps'!$B$1:$U$1,O$1)</f>
        <v>0</v>
      </c>
      <c r="P328" s="179">
        <f>SUMIFS('recurring2_based on steps'!$B328:$AY328,'recurring2_based on steps'!$B$1:$AY$1,P$1)+SUMIFS('changes2_based on steps'!$B328:$U328,'changes2_based on steps'!$B$1:$U$1,P$1)</f>
        <v>0</v>
      </c>
      <c r="Q328" s="179">
        <f>SUMIFS('recurring2_based on steps'!$B328:$AY328,'recurring2_based on steps'!$B$1:$AY$1,Q$1)+SUMIFS('changes2_based on steps'!$B328:$U328,'changes2_based on steps'!$B$1:$U$1,Q$1)</f>
        <v>0</v>
      </c>
      <c r="R328" s="179">
        <f>SUMIFS('recurring2_based on steps'!$B328:$AY328,'recurring2_based on steps'!$B$1:$AY$1,R$1)+SUMIFS('changes2_based on steps'!$B328:$U328,'changes2_based on steps'!$B$1:$U$1,R$1)</f>
        <v>0</v>
      </c>
      <c r="S328" s="179">
        <f>SUMIFS('recurring2_based on steps'!$B328:$AY328,'recurring2_based on steps'!$B$1:$AY$1,S$1)+SUMIFS('changes2_based on steps'!$B328:$U328,'changes2_based on steps'!$B$1:$U$1,S$1)</f>
        <v>0</v>
      </c>
      <c r="T328" s="179">
        <f>SUMIFS('recurring2_based on steps'!$B328:$AY328,'recurring2_based on steps'!$B$1:$AY$1,T$1)+SUMIFS('changes2_based on steps'!$B328:$U328,'changes2_based on steps'!$B$1:$U$1,T$1)</f>
        <v>0</v>
      </c>
      <c r="U328" s="179">
        <f>SUMIFS('recurring2_based on steps'!$B328:$AY328,'recurring2_based on steps'!$B$1:$AY$1,U$1)+SUMIFS('changes2_based on steps'!$B328:$U328,'changes2_based on steps'!$B$1:$U$1,U$1)</f>
        <v>0</v>
      </c>
      <c r="V328" s="179">
        <f>SUMIFS('recurring2_based on steps'!$B328:$AY328,'recurring2_based on steps'!$B$1:$AY$1,V$1)+SUMIFS('changes2_based on steps'!$B328:$U328,'changes2_based on steps'!$B$1:$U$1,V$1)</f>
        <v>0</v>
      </c>
      <c r="W328" s="179">
        <f>SUMIFS('recurring2_based on steps'!$B328:$AY328,'recurring2_based on steps'!$B$1:$AY$1,W$1)+SUMIFS('changes2_based on steps'!$B328:$U328,'changes2_based on steps'!$B$1:$U$1,W$1)</f>
        <v>0</v>
      </c>
      <c r="X328" s="179">
        <f>SUMIFS('recurring2_based on steps'!$B328:$AY328,'recurring2_based on steps'!$B$1:$AY$1,X$1)+SUMIFS('changes2_based on steps'!$B328:$U328,'changes2_based on steps'!$B$1:$U$1,X$1)</f>
        <v>0</v>
      </c>
      <c r="Y328" s="179">
        <f>SUMIFS('recurring2_based on steps'!$B328:$AY328,'recurring2_based on steps'!$B$1:$AY$1,Y$1)+SUMIFS('changes2_based on steps'!$B328:$U328,'changes2_based on steps'!$B$1:$U$1,Y$1)</f>
        <v>0</v>
      </c>
      <c r="Z328" s="179">
        <f>SUMIFS('recurring2_based on steps'!$B328:$AY328,'recurring2_based on steps'!$B$1:$AY$1,Z$1)+SUMIFS('changes2_based on steps'!$B328:$U328,'changes2_based on steps'!$B$1:$U$1,Z$1)</f>
        <v>0</v>
      </c>
      <c r="AA328" s="179">
        <f>SUMIFS('recurring2_based on steps'!$B328:$AY328,'recurring2_based on steps'!$B$1:$AY$1,AA$1)+SUMIFS('changes2_based on steps'!$B328:$U328,'changes2_based on steps'!$B$1:$U$1,AA$1)</f>
        <v>0</v>
      </c>
      <c r="AB328" s="179">
        <f>SUMIFS('recurring2_based on steps'!$B328:$AY328,'recurring2_based on steps'!$B$1:$AY$1,AB$1)+SUMIFS('changes2_based on steps'!$B328:$U328,'changes2_based on steps'!$B$1:$U$1,AB$1)</f>
        <v>0</v>
      </c>
      <c r="AC328" s="179">
        <f>SUMIFS('recurring2_based on steps'!$B328:$AY328,'recurring2_based on steps'!$B$1:$AY$1,AC$1)+SUMIFS('changes2_based on steps'!$B328:$U328,'changes2_based on steps'!$B$1:$U$1,AC$1)</f>
        <v>0</v>
      </c>
      <c r="AD328" s="179">
        <f>SUMIFS('recurring2_based on steps'!$B328:$AY328,'recurring2_based on steps'!$B$1:$AY$1,AD$1)+SUMIFS('changes2_based on steps'!$B328:$U328,'changes2_based on steps'!$B$1:$U$1,AD$1)</f>
        <v>0</v>
      </c>
      <c r="AE328" s="179">
        <f>SUMIFS('recurring2_based on steps'!$B328:$AY328,'recurring2_based on steps'!$B$1:$AY$1,AE$1)+SUMIFS('changes2_based on steps'!$B328:$U328,'changes2_based on steps'!$B$1:$U$1,AE$1)</f>
        <v>0</v>
      </c>
      <c r="AF328" s="179"/>
      <c r="AG328" s="179"/>
      <c r="AH328" s="179"/>
      <c r="AI328" s="179"/>
      <c r="AJ328" s="179"/>
      <c r="AK328" s="179"/>
      <c r="AL328" s="179"/>
      <c r="AM328" s="179"/>
    </row>
    <row r="329" spans="1:39" x14ac:dyDescent="0.2">
      <c r="A329" s="32">
        <f t="shared" ca="1" si="5"/>
        <v>46078</v>
      </c>
      <c r="B329" s="179">
        <f>SUMIFS('recurring2_based on steps'!$B329:$AY329,'recurring2_based on steps'!$B$1:$AY$1,B$1)+SUMIFS('changes2_based on steps'!$B329:$U329,'changes2_based on steps'!$B$1:$U$1,B$1)</f>
        <v>0</v>
      </c>
      <c r="C329" s="179">
        <f>SUMIFS('recurring2_based on steps'!$B329:$AY329,'recurring2_based on steps'!$B$1:$AY$1,C$1)+SUMIFS('changes2_based on steps'!$B329:$U329,'changes2_based on steps'!$B$1:$U$1,C$1)</f>
        <v>0</v>
      </c>
      <c r="D329" s="179">
        <f>SUMIFS('recurring2_based on steps'!$B329:$AY329,'recurring2_based on steps'!$B$1:$AY$1,D$1)+SUMIFS('changes2_based on steps'!$B329:$U329,'changes2_based on steps'!$B$1:$U$1,D$1)</f>
        <v>0</v>
      </c>
      <c r="E329" s="179">
        <f>SUMIFS('recurring2_based on steps'!$B329:$AY329,'recurring2_based on steps'!$B$1:$AY$1,E$1)+SUMIFS('changes2_based on steps'!$B329:$U329,'changes2_based on steps'!$B$1:$U$1,E$1)</f>
        <v>0</v>
      </c>
      <c r="F329" s="179">
        <f>SUMIFS('recurring2_based on steps'!$B329:$AY329,'recurring2_based on steps'!$B$1:$AY$1,F$1)+SUMIFS('changes2_based on steps'!$B329:$U329,'changes2_based on steps'!$B$1:$U$1,F$1)</f>
        <v>0</v>
      </c>
      <c r="G329" s="179">
        <f>SUMIFS('recurring2_based on steps'!$B329:$AY329,'recurring2_based on steps'!$B$1:$AY$1,G$1)+SUMIFS('changes2_based on steps'!$B329:$U329,'changes2_based on steps'!$B$1:$U$1,G$1)</f>
        <v>0</v>
      </c>
      <c r="H329" s="179">
        <f>SUMIFS('recurring2_based on steps'!$B329:$AY329,'recurring2_based on steps'!$B$1:$AY$1,H$1)+SUMIFS('changes2_based on steps'!$B329:$U329,'changes2_based on steps'!$B$1:$U$1,H$1)</f>
        <v>0</v>
      </c>
      <c r="I329" s="179">
        <f>SUMIFS('recurring2_based on steps'!$B329:$AY329,'recurring2_based on steps'!$B$1:$AY$1,I$1)+SUMIFS('changes2_based on steps'!$B329:$U329,'changes2_based on steps'!$B$1:$U$1,I$1)</f>
        <v>0</v>
      </c>
      <c r="J329" s="179">
        <f>SUMIFS('recurring2_based on steps'!$B329:$AY329,'recurring2_based on steps'!$B$1:$AY$1,J$1)+SUMIFS('changes2_based on steps'!$B329:$U329,'changes2_based on steps'!$B$1:$U$1,J$1)</f>
        <v>0</v>
      </c>
      <c r="K329" s="179">
        <f>SUMIFS('recurring2_based on steps'!$B329:$AY329,'recurring2_based on steps'!$B$1:$AY$1,K$1)+SUMIFS('changes2_based on steps'!$B329:$U329,'changes2_based on steps'!$B$1:$U$1,K$1)</f>
        <v>0</v>
      </c>
      <c r="L329" s="179">
        <f>SUMIFS('recurring2_based on steps'!$B329:$AY329,'recurring2_based on steps'!$B$1:$AY$1,L$1)+SUMIFS('changes2_based on steps'!$B329:$U329,'changes2_based on steps'!$B$1:$U$1,L$1)</f>
        <v>0</v>
      </c>
      <c r="M329" s="179">
        <f>SUMIFS('recurring2_based on steps'!$B329:$AY329,'recurring2_based on steps'!$B$1:$AY$1,M$1)+SUMIFS('changes2_based on steps'!$B329:$U329,'changes2_based on steps'!$B$1:$U$1,M$1)</f>
        <v>0</v>
      </c>
      <c r="N329" s="179">
        <f>SUMIFS('recurring2_based on steps'!$B329:$AY329,'recurring2_based on steps'!$B$1:$AY$1,N$1)+SUMIFS('changes2_based on steps'!$B329:$U329,'changes2_based on steps'!$B$1:$U$1,N$1)</f>
        <v>0</v>
      </c>
      <c r="O329" s="179">
        <f>SUMIFS('recurring2_based on steps'!$B329:$AY329,'recurring2_based on steps'!$B$1:$AY$1,O$1)+SUMIFS('changes2_based on steps'!$B329:$U329,'changes2_based on steps'!$B$1:$U$1,O$1)</f>
        <v>0</v>
      </c>
      <c r="P329" s="179">
        <f>SUMIFS('recurring2_based on steps'!$B329:$AY329,'recurring2_based on steps'!$B$1:$AY$1,P$1)+SUMIFS('changes2_based on steps'!$B329:$U329,'changes2_based on steps'!$B$1:$U$1,P$1)</f>
        <v>0</v>
      </c>
      <c r="Q329" s="179">
        <f>SUMIFS('recurring2_based on steps'!$B329:$AY329,'recurring2_based on steps'!$B$1:$AY$1,Q$1)+SUMIFS('changes2_based on steps'!$B329:$U329,'changes2_based on steps'!$B$1:$U$1,Q$1)</f>
        <v>0</v>
      </c>
      <c r="R329" s="179">
        <f>SUMIFS('recurring2_based on steps'!$B329:$AY329,'recurring2_based on steps'!$B$1:$AY$1,R$1)+SUMIFS('changes2_based on steps'!$B329:$U329,'changes2_based on steps'!$B$1:$U$1,R$1)</f>
        <v>0</v>
      </c>
      <c r="S329" s="179">
        <f>SUMIFS('recurring2_based on steps'!$B329:$AY329,'recurring2_based on steps'!$B$1:$AY$1,S$1)+SUMIFS('changes2_based on steps'!$B329:$U329,'changes2_based on steps'!$B$1:$U$1,S$1)</f>
        <v>0</v>
      </c>
      <c r="T329" s="179">
        <f>SUMIFS('recurring2_based on steps'!$B329:$AY329,'recurring2_based on steps'!$B$1:$AY$1,T$1)+SUMIFS('changes2_based on steps'!$B329:$U329,'changes2_based on steps'!$B$1:$U$1,T$1)</f>
        <v>0</v>
      </c>
      <c r="U329" s="179">
        <f>SUMIFS('recurring2_based on steps'!$B329:$AY329,'recurring2_based on steps'!$B$1:$AY$1,U$1)+SUMIFS('changes2_based on steps'!$B329:$U329,'changes2_based on steps'!$B$1:$U$1,U$1)</f>
        <v>0</v>
      </c>
      <c r="V329" s="179">
        <f>SUMIFS('recurring2_based on steps'!$B329:$AY329,'recurring2_based on steps'!$B$1:$AY$1,V$1)+SUMIFS('changes2_based on steps'!$B329:$U329,'changes2_based on steps'!$B$1:$U$1,V$1)</f>
        <v>0</v>
      </c>
      <c r="W329" s="179">
        <f>SUMIFS('recurring2_based on steps'!$B329:$AY329,'recurring2_based on steps'!$B$1:$AY$1,W$1)+SUMIFS('changes2_based on steps'!$B329:$U329,'changes2_based on steps'!$B$1:$U$1,W$1)</f>
        <v>0</v>
      </c>
      <c r="X329" s="179">
        <f>SUMIFS('recurring2_based on steps'!$B329:$AY329,'recurring2_based on steps'!$B$1:$AY$1,X$1)+SUMIFS('changes2_based on steps'!$B329:$U329,'changes2_based on steps'!$B$1:$U$1,X$1)</f>
        <v>0</v>
      </c>
      <c r="Y329" s="179">
        <f>SUMIFS('recurring2_based on steps'!$B329:$AY329,'recurring2_based on steps'!$B$1:$AY$1,Y$1)+SUMIFS('changes2_based on steps'!$B329:$U329,'changes2_based on steps'!$B$1:$U$1,Y$1)</f>
        <v>0</v>
      </c>
      <c r="Z329" s="179">
        <f>SUMIFS('recurring2_based on steps'!$B329:$AY329,'recurring2_based on steps'!$B$1:$AY$1,Z$1)+SUMIFS('changes2_based on steps'!$B329:$U329,'changes2_based on steps'!$B$1:$U$1,Z$1)</f>
        <v>0</v>
      </c>
      <c r="AA329" s="179">
        <f>SUMIFS('recurring2_based on steps'!$B329:$AY329,'recurring2_based on steps'!$B$1:$AY$1,AA$1)+SUMIFS('changes2_based on steps'!$B329:$U329,'changes2_based on steps'!$B$1:$U$1,AA$1)</f>
        <v>0</v>
      </c>
      <c r="AB329" s="179">
        <f>SUMIFS('recurring2_based on steps'!$B329:$AY329,'recurring2_based on steps'!$B$1:$AY$1,AB$1)+SUMIFS('changes2_based on steps'!$B329:$U329,'changes2_based on steps'!$B$1:$U$1,AB$1)</f>
        <v>0</v>
      </c>
      <c r="AC329" s="179">
        <f>SUMIFS('recurring2_based on steps'!$B329:$AY329,'recurring2_based on steps'!$B$1:$AY$1,AC$1)+SUMIFS('changes2_based on steps'!$B329:$U329,'changes2_based on steps'!$B$1:$U$1,AC$1)</f>
        <v>0</v>
      </c>
      <c r="AD329" s="179">
        <f>SUMIFS('recurring2_based on steps'!$B329:$AY329,'recurring2_based on steps'!$B$1:$AY$1,AD$1)+SUMIFS('changes2_based on steps'!$B329:$U329,'changes2_based on steps'!$B$1:$U$1,AD$1)</f>
        <v>0</v>
      </c>
      <c r="AE329" s="179">
        <f>SUMIFS('recurring2_based on steps'!$B329:$AY329,'recurring2_based on steps'!$B$1:$AY$1,AE$1)+SUMIFS('changes2_based on steps'!$B329:$U329,'changes2_based on steps'!$B$1:$U$1,AE$1)</f>
        <v>0</v>
      </c>
      <c r="AF329" s="179"/>
      <c r="AG329" s="179"/>
      <c r="AH329" s="179"/>
      <c r="AI329" s="179"/>
      <c r="AJ329" s="179"/>
      <c r="AK329" s="179"/>
      <c r="AL329" s="179"/>
      <c r="AM329" s="179"/>
    </row>
    <row r="330" spans="1:39" x14ac:dyDescent="0.2">
      <c r="A330" s="32">
        <f t="shared" ca="1" si="5"/>
        <v>46079</v>
      </c>
      <c r="B330" s="179">
        <f>SUMIFS('recurring2_based on steps'!$B330:$AY330,'recurring2_based on steps'!$B$1:$AY$1,B$1)+SUMIFS('changes2_based on steps'!$B330:$U330,'changes2_based on steps'!$B$1:$U$1,B$1)</f>
        <v>0</v>
      </c>
      <c r="C330" s="179">
        <f>SUMIFS('recurring2_based on steps'!$B330:$AY330,'recurring2_based on steps'!$B$1:$AY$1,C$1)+SUMIFS('changes2_based on steps'!$B330:$U330,'changes2_based on steps'!$B$1:$U$1,C$1)</f>
        <v>0</v>
      </c>
      <c r="D330" s="179">
        <f>SUMIFS('recurring2_based on steps'!$B330:$AY330,'recurring2_based on steps'!$B$1:$AY$1,D$1)+SUMIFS('changes2_based on steps'!$B330:$U330,'changes2_based on steps'!$B$1:$U$1,D$1)</f>
        <v>0</v>
      </c>
      <c r="E330" s="179">
        <f>SUMIFS('recurring2_based on steps'!$B330:$AY330,'recurring2_based on steps'!$B$1:$AY$1,E$1)+SUMIFS('changes2_based on steps'!$B330:$U330,'changes2_based on steps'!$B$1:$U$1,E$1)</f>
        <v>0</v>
      </c>
      <c r="F330" s="179">
        <f>SUMIFS('recurring2_based on steps'!$B330:$AY330,'recurring2_based on steps'!$B$1:$AY$1,F$1)+SUMIFS('changes2_based on steps'!$B330:$U330,'changes2_based on steps'!$B$1:$U$1,F$1)</f>
        <v>0</v>
      </c>
      <c r="G330" s="179">
        <f>SUMIFS('recurring2_based on steps'!$B330:$AY330,'recurring2_based on steps'!$B$1:$AY$1,G$1)+SUMIFS('changes2_based on steps'!$B330:$U330,'changes2_based on steps'!$B$1:$U$1,G$1)</f>
        <v>0</v>
      </c>
      <c r="H330" s="179">
        <f>SUMIFS('recurring2_based on steps'!$B330:$AY330,'recurring2_based on steps'!$B$1:$AY$1,H$1)+SUMIFS('changes2_based on steps'!$B330:$U330,'changes2_based on steps'!$B$1:$U$1,H$1)</f>
        <v>0</v>
      </c>
      <c r="I330" s="179">
        <f>SUMIFS('recurring2_based on steps'!$B330:$AY330,'recurring2_based on steps'!$B$1:$AY$1,I$1)+SUMIFS('changes2_based on steps'!$B330:$U330,'changes2_based on steps'!$B$1:$U$1,I$1)</f>
        <v>0</v>
      </c>
      <c r="J330" s="179">
        <f>SUMIFS('recurring2_based on steps'!$B330:$AY330,'recurring2_based on steps'!$B$1:$AY$1,J$1)+SUMIFS('changes2_based on steps'!$B330:$U330,'changes2_based on steps'!$B$1:$U$1,J$1)</f>
        <v>0</v>
      </c>
      <c r="K330" s="179">
        <f>SUMIFS('recurring2_based on steps'!$B330:$AY330,'recurring2_based on steps'!$B$1:$AY$1,K$1)+SUMIFS('changes2_based on steps'!$B330:$U330,'changes2_based on steps'!$B$1:$U$1,K$1)</f>
        <v>0</v>
      </c>
      <c r="L330" s="179">
        <f>SUMIFS('recurring2_based on steps'!$B330:$AY330,'recurring2_based on steps'!$B$1:$AY$1,L$1)+SUMIFS('changes2_based on steps'!$B330:$U330,'changes2_based on steps'!$B$1:$U$1,L$1)</f>
        <v>0</v>
      </c>
      <c r="M330" s="179">
        <f>SUMIFS('recurring2_based on steps'!$B330:$AY330,'recurring2_based on steps'!$B$1:$AY$1,M$1)+SUMIFS('changes2_based on steps'!$B330:$U330,'changes2_based on steps'!$B$1:$U$1,M$1)</f>
        <v>0</v>
      </c>
      <c r="N330" s="179">
        <f>SUMIFS('recurring2_based on steps'!$B330:$AY330,'recurring2_based on steps'!$B$1:$AY$1,N$1)+SUMIFS('changes2_based on steps'!$B330:$U330,'changes2_based on steps'!$B$1:$U$1,N$1)</f>
        <v>0</v>
      </c>
      <c r="O330" s="179">
        <f>SUMIFS('recurring2_based on steps'!$B330:$AY330,'recurring2_based on steps'!$B$1:$AY$1,O$1)+SUMIFS('changes2_based on steps'!$B330:$U330,'changes2_based on steps'!$B$1:$U$1,O$1)</f>
        <v>0</v>
      </c>
      <c r="P330" s="179">
        <f>SUMIFS('recurring2_based on steps'!$B330:$AY330,'recurring2_based on steps'!$B$1:$AY$1,P$1)+SUMIFS('changes2_based on steps'!$B330:$U330,'changes2_based on steps'!$B$1:$U$1,P$1)</f>
        <v>0</v>
      </c>
      <c r="Q330" s="179">
        <f>SUMIFS('recurring2_based on steps'!$B330:$AY330,'recurring2_based on steps'!$B$1:$AY$1,Q$1)+SUMIFS('changes2_based on steps'!$B330:$U330,'changes2_based on steps'!$B$1:$U$1,Q$1)</f>
        <v>0</v>
      </c>
      <c r="R330" s="179">
        <f>SUMIFS('recurring2_based on steps'!$B330:$AY330,'recurring2_based on steps'!$B$1:$AY$1,R$1)+SUMIFS('changes2_based on steps'!$B330:$U330,'changes2_based on steps'!$B$1:$U$1,R$1)</f>
        <v>0</v>
      </c>
      <c r="S330" s="179">
        <f>SUMIFS('recurring2_based on steps'!$B330:$AY330,'recurring2_based on steps'!$B$1:$AY$1,S$1)+SUMIFS('changes2_based on steps'!$B330:$U330,'changes2_based on steps'!$B$1:$U$1,S$1)</f>
        <v>0</v>
      </c>
      <c r="T330" s="179">
        <f>SUMIFS('recurring2_based on steps'!$B330:$AY330,'recurring2_based on steps'!$B$1:$AY$1,T$1)+SUMIFS('changes2_based on steps'!$B330:$U330,'changes2_based on steps'!$B$1:$U$1,T$1)</f>
        <v>0</v>
      </c>
      <c r="U330" s="179">
        <f>SUMIFS('recurring2_based on steps'!$B330:$AY330,'recurring2_based on steps'!$B$1:$AY$1,U$1)+SUMIFS('changes2_based on steps'!$B330:$U330,'changes2_based on steps'!$B$1:$U$1,U$1)</f>
        <v>0</v>
      </c>
      <c r="V330" s="179">
        <f>SUMIFS('recurring2_based on steps'!$B330:$AY330,'recurring2_based on steps'!$B$1:$AY$1,V$1)+SUMIFS('changes2_based on steps'!$B330:$U330,'changes2_based on steps'!$B$1:$U$1,V$1)</f>
        <v>0</v>
      </c>
      <c r="W330" s="179">
        <f>SUMIFS('recurring2_based on steps'!$B330:$AY330,'recurring2_based on steps'!$B$1:$AY$1,W$1)+SUMIFS('changes2_based on steps'!$B330:$U330,'changes2_based on steps'!$B$1:$U$1,W$1)</f>
        <v>0</v>
      </c>
      <c r="X330" s="179">
        <f>SUMIFS('recurring2_based on steps'!$B330:$AY330,'recurring2_based on steps'!$B$1:$AY$1,X$1)+SUMIFS('changes2_based on steps'!$B330:$U330,'changes2_based on steps'!$B$1:$U$1,X$1)</f>
        <v>0</v>
      </c>
      <c r="Y330" s="179">
        <f>SUMIFS('recurring2_based on steps'!$B330:$AY330,'recurring2_based on steps'!$B$1:$AY$1,Y$1)+SUMIFS('changes2_based on steps'!$B330:$U330,'changes2_based on steps'!$B$1:$U$1,Y$1)</f>
        <v>0</v>
      </c>
      <c r="Z330" s="179">
        <f>SUMIFS('recurring2_based on steps'!$B330:$AY330,'recurring2_based on steps'!$B$1:$AY$1,Z$1)+SUMIFS('changes2_based on steps'!$B330:$U330,'changes2_based on steps'!$B$1:$U$1,Z$1)</f>
        <v>0</v>
      </c>
      <c r="AA330" s="179">
        <f>SUMIFS('recurring2_based on steps'!$B330:$AY330,'recurring2_based on steps'!$B$1:$AY$1,AA$1)+SUMIFS('changes2_based on steps'!$B330:$U330,'changes2_based on steps'!$B$1:$U$1,AA$1)</f>
        <v>0</v>
      </c>
      <c r="AB330" s="179">
        <f>SUMIFS('recurring2_based on steps'!$B330:$AY330,'recurring2_based on steps'!$B$1:$AY$1,AB$1)+SUMIFS('changes2_based on steps'!$B330:$U330,'changes2_based on steps'!$B$1:$U$1,AB$1)</f>
        <v>0</v>
      </c>
      <c r="AC330" s="179">
        <f>SUMIFS('recurring2_based on steps'!$B330:$AY330,'recurring2_based on steps'!$B$1:$AY$1,AC$1)+SUMIFS('changes2_based on steps'!$B330:$U330,'changes2_based on steps'!$B$1:$U$1,AC$1)</f>
        <v>0</v>
      </c>
      <c r="AD330" s="179">
        <f>SUMIFS('recurring2_based on steps'!$B330:$AY330,'recurring2_based on steps'!$B$1:$AY$1,AD$1)+SUMIFS('changes2_based on steps'!$B330:$U330,'changes2_based on steps'!$B$1:$U$1,AD$1)</f>
        <v>0</v>
      </c>
      <c r="AE330" s="179">
        <f>SUMIFS('recurring2_based on steps'!$B330:$AY330,'recurring2_based on steps'!$B$1:$AY$1,AE$1)+SUMIFS('changes2_based on steps'!$B330:$U330,'changes2_based on steps'!$B$1:$U$1,AE$1)</f>
        <v>0</v>
      </c>
      <c r="AF330" s="179"/>
      <c r="AG330" s="179"/>
      <c r="AH330" s="179"/>
      <c r="AI330" s="179"/>
      <c r="AJ330" s="179"/>
      <c r="AK330" s="179"/>
      <c r="AL330" s="179"/>
      <c r="AM330" s="179"/>
    </row>
    <row r="331" spans="1:39" x14ac:dyDescent="0.2">
      <c r="A331" s="32">
        <f t="shared" ca="1" si="5"/>
        <v>46080</v>
      </c>
      <c r="B331" s="179">
        <f>SUMIFS('recurring2_based on steps'!$B331:$AY331,'recurring2_based on steps'!$B$1:$AY$1,B$1)+SUMIFS('changes2_based on steps'!$B331:$U331,'changes2_based on steps'!$B$1:$U$1,B$1)</f>
        <v>0</v>
      </c>
      <c r="C331" s="179">
        <f>SUMIFS('recurring2_based on steps'!$B331:$AY331,'recurring2_based on steps'!$B$1:$AY$1,C$1)+SUMIFS('changes2_based on steps'!$B331:$U331,'changes2_based on steps'!$B$1:$U$1,C$1)</f>
        <v>0</v>
      </c>
      <c r="D331" s="179">
        <f>SUMIFS('recurring2_based on steps'!$B331:$AY331,'recurring2_based on steps'!$B$1:$AY$1,D$1)+SUMIFS('changes2_based on steps'!$B331:$U331,'changes2_based on steps'!$B$1:$U$1,D$1)</f>
        <v>0</v>
      </c>
      <c r="E331" s="179">
        <f>SUMIFS('recurring2_based on steps'!$B331:$AY331,'recurring2_based on steps'!$B$1:$AY$1,E$1)+SUMIFS('changes2_based on steps'!$B331:$U331,'changes2_based on steps'!$B$1:$U$1,E$1)</f>
        <v>0</v>
      </c>
      <c r="F331" s="179">
        <f>SUMIFS('recurring2_based on steps'!$B331:$AY331,'recurring2_based on steps'!$B$1:$AY$1,F$1)+SUMIFS('changes2_based on steps'!$B331:$U331,'changes2_based on steps'!$B$1:$U$1,F$1)</f>
        <v>0</v>
      </c>
      <c r="G331" s="179">
        <f>SUMIFS('recurring2_based on steps'!$B331:$AY331,'recurring2_based on steps'!$B$1:$AY$1,G$1)+SUMIFS('changes2_based on steps'!$B331:$U331,'changes2_based on steps'!$B$1:$U$1,G$1)</f>
        <v>0</v>
      </c>
      <c r="H331" s="179">
        <f>SUMIFS('recurring2_based on steps'!$B331:$AY331,'recurring2_based on steps'!$B$1:$AY$1,H$1)+SUMIFS('changes2_based on steps'!$B331:$U331,'changes2_based on steps'!$B$1:$U$1,H$1)</f>
        <v>0</v>
      </c>
      <c r="I331" s="179">
        <f>SUMIFS('recurring2_based on steps'!$B331:$AY331,'recurring2_based on steps'!$B$1:$AY$1,I$1)+SUMIFS('changes2_based on steps'!$B331:$U331,'changes2_based on steps'!$B$1:$U$1,I$1)</f>
        <v>0</v>
      </c>
      <c r="J331" s="179">
        <f>SUMIFS('recurring2_based on steps'!$B331:$AY331,'recurring2_based on steps'!$B$1:$AY$1,J$1)+SUMIFS('changes2_based on steps'!$B331:$U331,'changes2_based on steps'!$B$1:$U$1,J$1)</f>
        <v>0</v>
      </c>
      <c r="K331" s="179">
        <f>SUMIFS('recurring2_based on steps'!$B331:$AY331,'recurring2_based on steps'!$B$1:$AY$1,K$1)+SUMIFS('changes2_based on steps'!$B331:$U331,'changes2_based on steps'!$B$1:$U$1,K$1)</f>
        <v>0</v>
      </c>
      <c r="L331" s="179">
        <f>SUMIFS('recurring2_based on steps'!$B331:$AY331,'recurring2_based on steps'!$B$1:$AY$1,L$1)+SUMIFS('changes2_based on steps'!$B331:$U331,'changes2_based on steps'!$B$1:$U$1,L$1)</f>
        <v>0</v>
      </c>
      <c r="M331" s="179">
        <f>SUMIFS('recurring2_based on steps'!$B331:$AY331,'recurring2_based on steps'!$B$1:$AY$1,M$1)+SUMIFS('changes2_based on steps'!$B331:$U331,'changes2_based on steps'!$B$1:$U$1,M$1)</f>
        <v>0</v>
      </c>
      <c r="N331" s="179">
        <f>SUMIFS('recurring2_based on steps'!$B331:$AY331,'recurring2_based on steps'!$B$1:$AY$1,N$1)+SUMIFS('changes2_based on steps'!$B331:$U331,'changes2_based on steps'!$B$1:$U$1,N$1)</f>
        <v>0</v>
      </c>
      <c r="O331" s="179">
        <f>SUMIFS('recurring2_based on steps'!$B331:$AY331,'recurring2_based on steps'!$B$1:$AY$1,O$1)+SUMIFS('changes2_based on steps'!$B331:$U331,'changes2_based on steps'!$B$1:$U$1,O$1)</f>
        <v>0</v>
      </c>
      <c r="P331" s="179">
        <f>SUMIFS('recurring2_based on steps'!$B331:$AY331,'recurring2_based on steps'!$B$1:$AY$1,P$1)+SUMIFS('changes2_based on steps'!$B331:$U331,'changes2_based on steps'!$B$1:$U$1,P$1)</f>
        <v>0</v>
      </c>
      <c r="Q331" s="179">
        <f>SUMIFS('recurring2_based on steps'!$B331:$AY331,'recurring2_based on steps'!$B$1:$AY$1,Q$1)+SUMIFS('changes2_based on steps'!$B331:$U331,'changes2_based on steps'!$B$1:$U$1,Q$1)</f>
        <v>0</v>
      </c>
      <c r="R331" s="179">
        <f>SUMIFS('recurring2_based on steps'!$B331:$AY331,'recurring2_based on steps'!$B$1:$AY$1,R$1)+SUMIFS('changes2_based on steps'!$B331:$U331,'changes2_based on steps'!$B$1:$U$1,R$1)</f>
        <v>0</v>
      </c>
      <c r="S331" s="179">
        <f>SUMIFS('recurring2_based on steps'!$B331:$AY331,'recurring2_based on steps'!$B$1:$AY$1,S$1)+SUMIFS('changes2_based on steps'!$B331:$U331,'changes2_based on steps'!$B$1:$U$1,S$1)</f>
        <v>0</v>
      </c>
      <c r="T331" s="179">
        <f>SUMIFS('recurring2_based on steps'!$B331:$AY331,'recurring2_based on steps'!$B$1:$AY$1,T$1)+SUMIFS('changes2_based on steps'!$B331:$U331,'changes2_based on steps'!$B$1:$U$1,T$1)</f>
        <v>0</v>
      </c>
      <c r="U331" s="179">
        <f>SUMIFS('recurring2_based on steps'!$B331:$AY331,'recurring2_based on steps'!$B$1:$AY$1,U$1)+SUMIFS('changes2_based on steps'!$B331:$U331,'changes2_based on steps'!$B$1:$U$1,U$1)</f>
        <v>0</v>
      </c>
      <c r="V331" s="179">
        <f>SUMIFS('recurring2_based on steps'!$B331:$AY331,'recurring2_based on steps'!$B$1:$AY$1,V$1)+SUMIFS('changes2_based on steps'!$B331:$U331,'changes2_based on steps'!$B$1:$U$1,V$1)</f>
        <v>0</v>
      </c>
      <c r="W331" s="179">
        <f>SUMIFS('recurring2_based on steps'!$B331:$AY331,'recurring2_based on steps'!$B$1:$AY$1,W$1)+SUMIFS('changes2_based on steps'!$B331:$U331,'changes2_based on steps'!$B$1:$U$1,W$1)</f>
        <v>0</v>
      </c>
      <c r="X331" s="179">
        <f>SUMIFS('recurring2_based on steps'!$B331:$AY331,'recurring2_based on steps'!$B$1:$AY$1,X$1)+SUMIFS('changes2_based on steps'!$B331:$U331,'changes2_based on steps'!$B$1:$U$1,X$1)</f>
        <v>0</v>
      </c>
      <c r="Y331" s="179">
        <f>SUMIFS('recurring2_based on steps'!$B331:$AY331,'recurring2_based on steps'!$B$1:$AY$1,Y$1)+SUMIFS('changes2_based on steps'!$B331:$U331,'changes2_based on steps'!$B$1:$U$1,Y$1)</f>
        <v>0</v>
      </c>
      <c r="Z331" s="179">
        <f>SUMIFS('recurring2_based on steps'!$B331:$AY331,'recurring2_based on steps'!$B$1:$AY$1,Z$1)+SUMIFS('changes2_based on steps'!$B331:$U331,'changes2_based on steps'!$B$1:$U$1,Z$1)</f>
        <v>0</v>
      </c>
      <c r="AA331" s="179">
        <f>SUMIFS('recurring2_based on steps'!$B331:$AY331,'recurring2_based on steps'!$B$1:$AY$1,AA$1)+SUMIFS('changes2_based on steps'!$B331:$U331,'changes2_based on steps'!$B$1:$U$1,AA$1)</f>
        <v>0</v>
      </c>
      <c r="AB331" s="179">
        <f>SUMIFS('recurring2_based on steps'!$B331:$AY331,'recurring2_based on steps'!$B$1:$AY$1,AB$1)+SUMIFS('changes2_based on steps'!$B331:$U331,'changes2_based on steps'!$B$1:$U$1,AB$1)</f>
        <v>0</v>
      </c>
      <c r="AC331" s="179">
        <f>SUMIFS('recurring2_based on steps'!$B331:$AY331,'recurring2_based on steps'!$B$1:$AY$1,AC$1)+SUMIFS('changes2_based on steps'!$B331:$U331,'changes2_based on steps'!$B$1:$U$1,AC$1)</f>
        <v>0</v>
      </c>
      <c r="AD331" s="179">
        <f>SUMIFS('recurring2_based on steps'!$B331:$AY331,'recurring2_based on steps'!$B$1:$AY$1,AD$1)+SUMIFS('changes2_based on steps'!$B331:$U331,'changes2_based on steps'!$B$1:$U$1,AD$1)</f>
        <v>0</v>
      </c>
      <c r="AE331" s="179">
        <f>SUMIFS('recurring2_based on steps'!$B331:$AY331,'recurring2_based on steps'!$B$1:$AY$1,AE$1)+SUMIFS('changes2_based on steps'!$B331:$U331,'changes2_based on steps'!$B$1:$U$1,AE$1)</f>
        <v>0</v>
      </c>
      <c r="AF331" s="179"/>
      <c r="AG331" s="179"/>
      <c r="AH331" s="179"/>
      <c r="AI331" s="179"/>
      <c r="AJ331" s="179"/>
      <c r="AK331" s="179"/>
      <c r="AL331" s="179"/>
      <c r="AM331" s="179"/>
    </row>
    <row r="332" spans="1:39" x14ac:dyDescent="0.2">
      <c r="A332" s="32">
        <f t="shared" ca="1" si="5"/>
        <v>46081</v>
      </c>
      <c r="B332" s="179">
        <f>SUMIFS('recurring2_based on steps'!$B332:$AY332,'recurring2_based on steps'!$B$1:$AY$1,B$1)+SUMIFS('changes2_based on steps'!$B332:$U332,'changes2_based on steps'!$B$1:$U$1,B$1)</f>
        <v>0</v>
      </c>
      <c r="C332" s="179">
        <f>SUMIFS('recurring2_based on steps'!$B332:$AY332,'recurring2_based on steps'!$B$1:$AY$1,C$1)+SUMIFS('changes2_based on steps'!$B332:$U332,'changes2_based on steps'!$B$1:$U$1,C$1)</f>
        <v>0</v>
      </c>
      <c r="D332" s="179">
        <f>SUMIFS('recurring2_based on steps'!$B332:$AY332,'recurring2_based on steps'!$B$1:$AY$1,D$1)+SUMIFS('changes2_based on steps'!$B332:$U332,'changes2_based on steps'!$B$1:$U$1,D$1)</f>
        <v>0</v>
      </c>
      <c r="E332" s="179">
        <f>SUMIFS('recurring2_based on steps'!$B332:$AY332,'recurring2_based on steps'!$B$1:$AY$1,E$1)+SUMIFS('changes2_based on steps'!$B332:$U332,'changes2_based on steps'!$B$1:$U$1,E$1)</f>
        <v>0</v>
      </c>
      <c r="F332" s="179">
        <f>SUMIFS('recurring2_based on steps'!$B332:$AY332,'recurring2_based on steps'!$B$1:$AY$1,F$1)+SUMIFS('changes2_based on steps'!$B332:$U332,'changes2_based on steps'!$B$1:$U$1,F$1)</f>
        <v>0</v>
      </c>
      <c r="G332" s="179">
        <f>SUMIFS('recurring2_based on steps'!$B332:$AY332,'recurring2_based on steps'!$B$1:$AY$1,G$1)+SUMIFS('changes2_based on steps'!$B332:$U332,'changes2_based on steps'!$B$1:$U$1,G$1)</f>
        <v>0</v>
      </c>
      <c r="H332" s="179">
        <f>SUMIFS('recurring2_based on steps'!$B332:$AY332,'recurring2_based on steps'!$B$1:$AY$1,H$1)+SUMIFS('changes2_based on steps'!$B332:$U332,'changes2_based on steps'!$B$1:$U$1,H$1)</f>
        <v>0</v>
      </c>
      <c r="I332" s="179">
        <f>SUMIFS('recurring2_based on steps'!$B332:$AY332,'recurring2_based on steps'!$B$1:$AY$1,I$1)+SUMIFS('changes2_based on steps'!$B332:$U332,'changes2_based on steps'!$B$1:$U$1,I$1)</f>
        <v>0</v>
      </c>
      <c r="J332" s="179">
        <f>SUMIFS('recurring2_based on steps'!$B332:$AY332,'recurring2_based on steps'!$B$1:$AY$1,J$1)+SUMIFS('changes2_based on steps'!$B332:$U332,'changes2_based on steps'!$B$1:$U$1,J$1)</f>
        <v>0</v>
      </c>
      <c r="K332" s="179">
        <f>SUMIFS('recurring2_based on steps'!$B332:$AY332,'recurring2_based on steps'!$B$1:$AY$1,K$1)+SUMIFS('changes2_based on steps'!$B332:$U332,'changes2_based on steps'!$B$1:$U$1,K$1)</f>
        <v>0</v>
      </c>
      <c r="L332" s="179">
        <f>SUMIFS('recurring2_based on steps'!$B332:$AY332,'recurring2_based on steps'!$B$1:$AY$1,L$1)+SUMIFS('changes2_based on steps'!$B332:$U332,'changes2_based on steps'!$B$1:$U$1,L$1)</f>
        <v>0</v>
      </c>
      <c r="M332" s="179">
        <f>SUMIFS('recurring2_based on steps'!$B332:$AY332,'recurring2_based on steps'!$B$1:$AY$1,M$1)+SUMIFS('changes2_based on steps'!$B332:$U332,'changes2_based on steps'!$B$1:$U$1,M$1)</f>
        <v>0</v>
      </c>
      <c r="N332" s="179">
        <f>SUMIFS('recurring2_based on steps'!$B332:$AY332,'recurring2_based on steps'!$B$1:$AY$1,N$1)+SUMIFS('changes2_based on steps'!$B332:$U332,'changes2_based on steps'!$B$1:$U$1,N$1)</f>
        <v>0</v>
      </c>
      <c r="O332" s="179">
        <f>SUMIFS('recurring2_based on steps'!$B332:$AY332,'recurring2_based on steps'!$B$1:$AY$1,O$1)+SUMIFS('changes2_based on steps'!$B332:$U332,'changes2_based on steps'!$B$1:$U$1,O$1)</f>
        <v>0</v>
      </c>
      <c r="P332" s="179">
        <f>SUMIFS('recurring2_based on steps'!$B332:$AY332,'recurring2_based on steps'!$B$1:$AY$1,P$1)+SUMIFS('changes2_based on steps'!$B332:$U332,'changes2_based on steps'!$B$1:$U$1,P$1)</f>
        <v>0</v>
      </c>
      <c r="Q332" s="179">
        <f>SUMIFS('recurring2_based on steps'!$B332:$AY332,'recurring2_based on steps'!$B$1:$AY$1,Q$1)+SUMIFS('changes2_based on steps'!$B332:$U332,'changes2_based on steps'!$B$1:$U$1,Q$1)</f>
        <v>0</v>
      </c>
      <c r="R332" s="179">
        <f>SUMIFS('recurring2_based on steps'!$B332:$AY332,'recurring2_based on steps'!$B$1:$AY$1,R$1)+SUMIFS('changes2_based on steps'!$B332:$U332,'changes2_based on steps'!$B$1:$U$1,R$1)</f>
        <v>0</v>
      </c>
      <c r="S332" s="179">
        <f>SUMIFS('recurring2_based on steps'!$B332:$AY332,'recurring2_based on steps'!$B$1:$AY$1,S$1)+SUMIFS('changes2_based on steps'!$B332:$U332,'changes2_based on steps'!$B$1:$U$1,S$1)</f>
        <v>0</v>
      </c>
      <c r="T332" s="179">
        <f>SUMIFS('recurring2_based on steps'!$B332:$AY332,'recurring2_based on steps'!$B$1:$AY$1,T$1)+SUMIFS('changes2_based on steps'!$B332:$U332,'changes2_based on steps'!$B$1:$U$1,T$1)</f>
        <v>0</v>
      </c>
      <c r="U332" s="179">
        <f>SUMIFS('recurring2_based on steps'!$B332:$AY332,'recurring2_based on steps'!$B$1:$AY$1,U$1)+SUMIFS('changes2_based on steps'!$B332:$U332,'changes2_based on steps'!$B$1:$U$1,U$1)</f>
        <v>0</v>
      </c>
      <c r="V332" s="179">
        <f>SUMIFS('recurring2_based on steps'!$B332:$AY332,'recurring2_based on steps'!$B$1:$AY$1,V$1)+SUMIFS('changes2_based on steps'!$B332:$U332,'changes2_based on steps'!$B$1:$U$1,V$1)</f>
        <v>0</v>
      </c>
      <c r="W332" s="179">
        <f>SUMIFS('recurring2_based on steps'!$B332:$AY332,'recurring2_based on steps'!$B$1:$AY$1,W$1)+SUMIFS('changes2_based on steps'!$B332:$U332,'changes2_based on steps'!$B$1:$U$1,W$1)</f>
        <v>0</v>
      </c>
      <c r="X332" s="179">
        <f>SUMIFS('recurring2_based on steps'!$B332:$AY332,'recurring2_based on steps'!$B$1:$AY$1,X$1)+SUMIFS('changes2_based on steps'!$B332:$U332,'changes2_based on steps'!$B$1:$U$1,X$1)</f>
        <v>0</v>
      </c>
      <c r="Y332" s="179">
        <f>SUMIFS('recurring2_based on steps'!$B332:$AY332,'recurring2_based on steps'!$B$1:$AY$1,Y$1)+SUMIFS('changes2_based on steps'!$B332:$U332,'changes2_based on steps'!$B$1:$U$1,Y$1)</f>
        <v>0</v>
      </c>
      <c r="Z332" s="179">
        <f>SUMIFS('recurring2_based on steps'!$B332:$AY332,'recurring2_based on steps'!$B$1:$AY$1,Z$1)+SUMIFS('changes2_based on steps'!$B332:$U332,'changes2_based on steps'!$B$1:$U$1,Z$1)</f>
        <v>0</v>
      </c>
      <c r="AA332" s="179">
        <f>SUMIFS('recurring2_based on steps'!$B332:$AY332,'recurring2_based on steps'!$B$1:$AY$1,AA$1)+SUMIFS('changes2_based on steps'!$B332:$U332,'changes2_based on steps'!$B$1:$U$1,AA$1)</f>
        <v>0</v>
      </c>
      <c r="AB332" s="179">
        <f>SUMIFS('recurring2_based on steps'!$B332:$AY332,'recurring2_based on steps'!$B$1:$AY$1,AB$1)+SUMIFS('changes2_based on steps'!$B332:$U332,'changes2_based on steps'!$B$1:$U$1,AB$1)</f>
        <v>0</v>
      </c>
      <c r="AC332" s="179">
        <f>SUMIFS('recurring2_based on steps'!$B332:$AY332,'recurring2_based on steps'!$B$1:$AY$1,AC$1)+SUMIFS('changes2_based on steps'!$B332:$U332,'changes2_based on steps'!$B$1:$U$1,AC$1)</f>
        <v>0</v>
      </c>
      <c r="AD332" s="179">
        <f>SUMIFS('recurring2_based on steps'!$B332:$AY332,'recurring2_based on steps'!$B$1:$AY$1,AD$1)+SUMIFS('changes2_based on steps'!$B332:$U332,'changes2_based on steps'!$B$1:$U$1,AD$1)</f>
        <v>0</v>
      </c>
      <c r="AE332" s="179">
        <f>SUMIFS('recurring2_based on steps'!$B332:$AY332,'recurring2_based on steps'!$B$1:$AY$1,AE$1)+SUMIFS('changes2_based on steps'!$B332:$U332,'changes2_based on steps'!$B$1:$U$1,AE$1)</f>
        <v>0</v>
      </c>
      <c r="AF332" s="179"/>
      <c r="AG332" s="179"/>
      <c r="AH332" s="179"/>
      <c r="AI332" s="179"/>
      <c r="AJ332" s="179"/>
      <c r="AK332" s="179"/>
      <c r="AL332" s="179"/>
      <c r="AM332" s="179"/>
    </row>
    <row r="333" spans="1:39" x14ac:dyDescent="0.2">
      <c r="A333" s="32">
        <f t="shared" ca="1" si="5"/>
        <v>46082</v>
      </c>
      <c r="B333" s="179">
        <f>SUMIFS('recurring2_based on steps'!$B333:$AY333,'recurring2_based on steps'!$B$1:$AY$1,B$1)+SUMIFS('changes2_based on steps'!$B333:$U333,'changes2_based on steps'!$B$1:$U$1,B$1)</f>
        <v>0</v>
      </c>
      <c r="C333" s="179">
        <f>SUMIFS('recurring2_based on steps'!$B333:$AY333,'recurring2_based on steps'!$B$1:$AY$1,C$1)+SUMIFS('changes2_based on steps'!$B333:$U333,'changes2_based on steps'!$B$1:$U$1,C$1)</f>
        <v>0</v>
      </c>
      <c r="D333" s="179">
        <f>SUMIFS('recurring2_based on steps'!$B333:$AY333,'recurring2_based on steps'!$B$1:$AY$1,D$1)+SUMIFS('changes2_based on steps'!$B333:$U333,'changes2_based on steps'!$B$1:$U$1,D$1)</f>
        <v>0</v>
      </c>
      <c r="E333" s="179">
        <f>SUMIFS('recurring2_based on steps'!$B333:$AY333,'recurring2_based on steps'!$B$1:$AY$1,E$1)+SUMIFS('changes2_based on steps'!$B333:$U333,'changes2_based on steps'!$B$1:$U$1,E$1)</f>
        <v>0</v>
      </c>
      <c r="F333" s="179">
        <f>SUMIFS('recurring2_based on steps'!$B333:$AY333,'recurring2_based on steps'!$B$1:$AY$1,F$1)+SUMIFS('changes2_based on steps'!$B333:$U333,'changes2_based on steps'!$B$1:$U$1,F$1)</f>
        <v>0</v>
      </c>
      <c r="G333" s="179">
        <f>SUMIFS('recurring2_based on steps'!$B333:$AY333,'recurring2_based on steps'!$B$1:$AY$1,G$1)+SUMIFS('changes2_based on steps'!$B333:$U333,'changes2_based on steps'!$B$1:$U$1,G$1)</f>
        <v>0</v>
      </c>
      <c r="H333" s="179">
        <f>SUMIFS('recurring2_based on steps'!$B333:$AY333,'recurring2_based on steps'!$B$1:$AY$1,H$1)+SUMIFS('changes2_based on steps'!$B333:$U333,'changes2_based on steps'!$B$1:$U$1,H$1)</f>
        <v>0</v>
      </c>
      <c r="I333" s="179">
        <f>SUMIFS('recurring2_based on steps'!$B333:$AY333,'recurring2_based on steps'!$B$1:$AY$1,I$1)+SUMIFS('changes2_based on steps'!$B333:$U333,'changes2_based on steps'!$B$1:$U$1,I$1)</f>
        <v>0</v>
      </c>
      <c r="J333" s="179">
        <f>SUMIFS('recurring2_based on steps'!$B333:$AY333,'recurring2_based on steps'!$B$1:$AY$1,J$1)+SUMIFS('changes2_based on steps'!$B333:$U333,'changes2_based on steps'!$B$1:$U$1,J$1)</f>
        <v>0</v>
      </c>
      <c r="K333" s="179">
        <f>SUMIFS('recurring2_based on steps'!$B333:$AY333,'recurring2_based on steps'!$B$1:$AY$1,K$1)+SUMIFS('changes2_based on steps'!$B333:$U333,'changes2_based on steps'!$B$1:$U$1,K$1)</f>
        <v>0</v>
      </c>
      <c r="L333" s="179">
        <f>SUMIFS('recurring2_based on steps'!$B333:$AY333,'recurring2_based on steps'!$B$1:$AY$1,L$1)+SUMIFS('changes2_based on steps'!$B333:$U333,'changes2_based on steps'!$B$1:$U$1,L$1)</f>
        <v>0</v>
      </c>
      <c r="M333" s="179">
        <f>SUMIFS('recurring2_based on steps'!$B333:$AY333,'recurring2_based on steps'!$B$1:$AY$1,M$1)+SUMIFS('changes2_based on steps'!$B333:$U333,'changes2_based on steps'!$B$1:$U$1,M$1)</f>
        <v>0</v>
      </c>
      <c r="N333" s="179">
        <f>SUMIFS('recurring2_based on steps'!$B333:$AY333,'recurring2_based on steps'!$B$1:$AY$1,N$1)+SUMIFS('changes2_based on steps'!$B333:$U333,'changes2_based on steps'!$B$1:$U$1,N$1)</f>
        <v>0</v>
      </c>
      <c r="O333" s="179">
        <f>SUMIFS('recurring2_based on steps'!$B333:$AY333,'recurring2_based on steps'!$B$1:$AY$1,O$1)+SUMIFS('changes2_based on steps'!$B333:$U333,'changes2_based on steps'!$B$1:$U$1,O$1)</f>
        <v>0</v>
      </c>
      <c r="P333" s="179">
        <f>SUMIFS('recurring2_based on steps'!$B333:$AY333,'recurring2_based on steps'!$B$1:$AY$1,P$1)+SUMIFS('changes2_based on steps'!$B333:$U333,'changes2_based on steps'!$B$1:$U$1,P$1)</f>
        <v>0</v>
      </c>
      <c r="Q333" s="179">
        <f>SUMIFS('recurring2_based on steps'!$B333:$AY333,'recurring2_based on steps'!$B$1:$AY$1,Q$1)+SUMIFS('changes2_based on steps'!$B333:$U333,'changes2_based on steps'!$B$1:$U$1,Q$1)</f>
        <v>0</v>
      </c>
      <c r="R333" s="179">
        <f>SUMIFS('recurring2_based on steps'!$B333:$AY333,'recurring2_based on steps'!$B$1:$AY$1,R$1)+SUMIFS('changes2_based on steps'!$B333:$U333,'changes2_based on steps'!$B$1:$U$1,R$1)</f>
        <v>0</v>
      </c>
      <c r="S333" s="179">
        <f>SUMIFS('recurring2_based on steps'!$B333:$AY333,'recurring2_based on steps'!$B$1:$AY$1,S$1)+SUMIFS('changes2_based on steps'!$B333:$U333,'changes2_based on steps'!$B$1:$U$1,S$1)</f>
        <v>0</v>
      </c>
      <c r="T333" s="179">
        <f>SUMIFS('recurring2_based on steps'!$B333:$AY333,'recurring2_based on steps'!$B$1:$AY$1,T$1)+SUMIFS('changes2_based on steps'!$B333:$U333,'changes2_based on steps'!$B$1:$U$1,T$1)</f>
        <v>0</v>
      </c>
      <c r="U333" s="179">
        <f>SUMIFS('recurring2_based on steps'!$B333:$AY333,'recurring2_based on steps'!$B$1:$AY$1,U$1)+SUMIFS('changes2_based on steps'!$B333:$U333,'changes2_based on steps'!$B$1:$U$1,U$1)</f>
        <v>0</v>
      </c>
      <c r="V333" s="179">
        <f>SUMIFS('recurring2_based on steps'!$B333:$AY333,'recurring2_based on steps'!$B$1:$AY$1,V$1)+SUMIFS('changes2_based on steps'!$B333:$U333,'changes2_based on steps'!$B$1:$U$1,V$1)</f>
        <v>0</v>
      </c>
      <c r="W333" s="179">
        <f>SUMIFS('recurring2_based on steps'!$B333:$AY333,'recurring2_based on steps'!$B$1:$AY$1,W$1)+SUMIFS('changes2_based on steps'!$B333:$U333,'changes2_based on steps'!$B$1:$U$1,W$1)</f>
        <v>0</v>
      </c>
      <c r="X333" s="179">
        <f>SUMIFS('recurring2_based on steps'!$B333:$AY333,'recurring2_based on steps'!$B$1:$AY$1,X$1)+SUMIFS('changes2_based on steps'!$B333:$U333,'changes2_based on steps'!$B$1:$U$1,X$1)</f>
        <v>0</v>
      </c>
      <c r="Y333" s="179">
        <f>SUMIFS('recurring2_based on steps'!$B333:$AY333,'recurring2_based on steps'!$B$1:$AY$1,Y$1)+SUMIFS('changes2_based on steps'!$B333:$U333,'changes2_based on steps'!$B$1:$U$1,Y$1)</f>
        <v>0</v>
      </c>
      <c r="Z333" s="179">
        <f>SUMIFS('recurring2_based on steps'!$B333:$AY333,'recurring2_based on steps'!$B$1:$AY$1,Z$1)+SUMIFS('changes2_based on steps'!$B333:$U333,'changes2_based on steps'!$B$1:$U$1,Z$1)</f>
        <v>0</v>
      </c>
      <c r="AA333" s="179">
        <f>SUMIFS('recurring2_based on steps'!$B333:$AY333,'recurring2_based on steps'!$B$1:$AY$1,AA$1)+SUMIFS('changes2_based on steps'!$B333:$U333,'changes2_based on steps'!$B$1:$U$1,AA$1)</f>
        <v>0</v>
      </c>
      <c r="AB333" s="179">
        <f>SUMIFS('recurring2_based on steps'!$B333:$AY333,'recurring2_based on steps'!$B$1:$AY$1,AB$1)+SUMIFS('changes2_based on steps'!$B333:$U333,'changes2_based on steps'!$B$1:$U$1,AB$1)</f>
        <v>0</v>
      </c>
      <c r="AC333" s="179">
        <f>SUMIFS('recurring2_based on steps'!$B333:$AY333,'recurring2_based on steps'!$B$1:$AY$1,AC$1)+SUMIFS('changes2_based on steps'!$B333:$U333,'changes2_based on steps'!$B$1:$U$1,AC$1)</f>
        <v>0</v>
      </c>
      <c r="AD333" s="179">
        <f>SUMIFS('recurring2_based on steps'!$B333:$AY333,'recurring2_based on steps'!$B$1:$AY$1,AD$1)+SUMIFS('changes2_based on steps'!$B333:$U333,'changes2_based on steps'!$B$1:$U$1,AD$1)</f>
        <v>0</v>
      </c>
      <c r="AE333" s="179">
        <f>SUMIFS('recurring2_based on steps'!$B333:$AY333,'recurring2_based on steps'!$B$1:$AY$1,AE$1)+SUMIFS('changes2_based on steps'!$B333:$U333,'changes2_based on steps'!$B$1:$U$1,AE$1)</f>
        <v>0</v>
      </c>
      <c r="AF333" s="179"/>
      <c r="AG333" s="179"/>
      <c r="AH333" s="179"/>
      <c r="AI333" s="179"/>
      <c r="AJ333" s="179"/>
      <c r="AK333" s="179"/>
      <c r="AL333" s="179"/>
      <c r="AM333" s="179"/>
    </row>
    <row r="334" spans="1:39" x14ac:dyDescent="0.2">
      <c r="A334" s="32">
        <f t="shared" ca="1" si="5"/>
        <v>46083</v>
      </c>
      <c r="B334" s="179">
        <f>SUMIFS('recurring2_based on steps'!$B334:$AY334,'recurring2_based on steps'!$B$1:$AY$1,B$1)+SUMIFS('changes2_based on steps'!$B334:$U334,'changes2_based on steps'!$B$1:$U$1,B$1)</f>
        <v>0</v>
      </c>
      <c r="C334" s="179">
        <f>SUMIFS('recurring2_based on steps'!$B334:$AY334,'recurring2_based on steps'!$B$1:$AY$1,C$1)+SUMIFS('changes2_based on steps'!$B334:$U334,'changes2_based on steps'!$B$1:$U$1,C$1)</f>
        <v>0</v>
      </c>
      <c r="D334" s="179">
        <f>SUMIFS('recurring2_based on steps'!$B334:$AY334,'recurring2_based on steps'!$B$1:$AY$1,D$1)+SUMIFS('changes2_based on steps'!$B334:$U334,'changes2_based on steps'!$B$1:$U$1,D$1)</f>
        <v>0</v>
      </c>
      <c r="E334" s="179">
        <f>SUMIFS('recurring2_based on steps'!$B334:$AY334,'recurring2_based on steps'!$B$1:$AY$1,E$1)+SUMIFS('changes2_based on steps'!$B334:$U334,'changes2_based on steps'!$B$1:$U$1,E$1)</f>
        <v>0</v>
      </c>
      <c r="F334" s="179">
        <f>SUMIFS('recurring2_based on steps'!$B334:$AY334,'recurring2_based on steps'!$B$1:$AY$1,F$1)+SUMIFS('changes2_based on steps'!$B334:$U334,'changes2_based on steps'!$B$1:$U$1,F$1)</f>
        <v>0</v>
      </c>
      <c r="G334" s="179">
        <f>SUMIFS('recurring2_based on steps'!$B334:$AY334,'recurring2_based on steps'!$B$1:$AY$1,G$1)+SUMIFS('changes2_based on steps'!$B334:$U334,'changes2_based on steps'!$B$1:$U$1,G$1)</f>
        <v>0</v>
      </c>
      <c r="H334" s="179">
        <f>SUMIFS('recurring2_based on steps'!$B334:$AY334,'recurring2_based on steps'!$B$1:$AY$1,H$1)+SUMIFS('changes2_based on steps'!$B334:$U334,'changes2_based on steps'!$B$1:$U$1,H$1)</f>
        <v>0</v>
      </c>
      <c r="I334" s="179">
        <f>SUMIFS('recurring2_based on steps'!$B334:$AY334,'recurring2_based on steps'!$B$1:$AY$1,I$1)+SUMIFS('changes2_based on steps'!$B334:$U334,'changes2_based on steps'!$B$1:$U$1,I$1)</f>
        <v>0</v>
      </c>
      <c r="J334" s="179">
        <f>SUMIFS('recurring2_based on steps'!$B334:$AY334,'recurring2_based on steps'!$B$1:$AY$1,J$1)+SUMIFS('changes2_based on steps'!$B334:$U334,'changes2_based on steps'!$B$1:$U$1,J$1)</f>
        <v>0</v>
      </c>
      <c r="K334" s="179">
        <f>SUMIFS('recurring2_based on steps'!$B334:$AY334,'recurring2_based on steps'!$B$1:$AY$1,K$1)+SUMIFS('changes2_based on steps'!$B334:$U334,'changes2_based on steps'!$B$1:$U$1,K$1)</f>
        <v>0</v>
      </c>
      <c r="L334" s="179">
        <f>SUMIFS('recurring2_based on steps'!$B334:$AY334,'recurring2_based on steps'!$B$1:$AY$1,L$1)+SUMIFS('changes2_based on steps'!$B334:$U334,'changes2_based on steps'!$B$1:$U$1,L$1)</f>
        <v>0</v>
      </c>
      <c r="M334" s="179">
        <f>SUMIFS('recurring2_based on steps'!$B334:$AY334,'recurring2_based on steps'!$B$1:$AY$1,M$1)+SUMIFS('changes2_based on steps'!$B334:$U334,'changes2_based on steps'!$B$1:$U$1,M$1)</f>
        <v>0</v>
      </c>
      <c r="N334" s="179">
        <f>SUMIFS('recurring2_based on steps'!$B334:$AY334,'recurring2_based on steps'!$B$1:$AY$1,N$1)+SUMIFS('changes2_based on steps'!$B334:$U334,'changes2_based on steps'!$B$1:$U$1,N$1)</f>
        <v>0</v>
      </c>
      <c r="O334" s="179">
        <f>SUMIFS('recurring2_based on steps'!$B334:$AY334,'recurring2_based on steps'!$B$1:$AY$1,O$1)+SUMIFS('changes2_based on steps'!$B334:$U334,'changes2_based on steps'!$B$1:$U$1,O$1)</f>
        <v>0</v>
      </c>
      <c r="P334" s="179">
        <f>SUMIFS('recurring2_based on steps'!$B334:$AY334,'recurring2_based on steps'!$B$1:$AY$1,P$1)+SUMIFS('changes2_based on steps'!$B334:$U334,'changes2_based on steps'!$B$1:$U$1,P$1)</f>
        <v>0</v>
      </c>
      <c r="Q334" s="179">
        <f>SUMIFS('recurring2_based on steps'!$B334:$AY334,'recurring2_based on steps'!$B$1:$AY$1,Q$1)+SUMIFS('changes2_based on steps'!$B334:$U334,'changes2_based on steps'!$B$1:$U$1,Q$1)</f>
        <v>0</v>
      </c>
      <c r="R334" s="179">
        <f>SUMIFS('recurring2_based on steps'!$B334:$AY334,'recurring2_based on steps'!$B$1:$AY$1,R$1)+SUMIFS('changes2_based on steps'!$B334:$U334,'changes2_based on steps'!$B$1:$U$1,R$1)</f>
        <v>0</v>
      </c>
      <c r="S334" s="179">
        <f>SUMIFS('recurring2_based on steps'!$B334:$AY334,'recurring2_based on steps'!$B$1:$AY$1,S$1)+SUMIFS('changes2_based on steps'!$B334:$U334,'changes2_based on steps'!$B$1:$U$1,S$1)</f>
        <v>0</v>
      </c>
      <c r="T334" s="179">
        <f>SUMIFS('recurring2_based on steps'!$B334:$AY334,'recurring2_based on steps'!$B$1:$AY$1,T$1)+SUMIFS('changes2_based on steps'!$B334:$U334,'changes2_based on steps'!$B$1:$U$1,T$1)</f>
        <v>0</v>
      </c>
      <c r="U334" s="179">
        <f>SUMIFS('recurring2_based on steps'!$B334:$AY334,'recurring2_based on steps'!$B$1:$AY$1,U$1)+SUMIFS('changes2_based on steps'!$B334:$U334,'changes2_based on steps'!$B$1:$U$1,U$1)</f>
        <v>0</v>
      </c>
      <c r="V334" s="179">
        <f>SUMIFS('recurring2_based on steps'!$B334:$AY334,'recurring2_based on steps'!$B$1:$AY$1,V$1)+SUMIFS('changes2_based on steps'!$B334:$U334,'changes2_based on steps'!$B$1:$U$1,V$1)</f>
        <v>0</v>
      </c>
      <c r="W334" s="179">
        <f>SUMIFS('recurring2_based on steps'!$B334:$AY334,'recurring2_based on steps'!$B$1:$AY$1,W$1)+SUMIFS('changes2_based on steps'!$B334:$U334,'changes2_based on steps'!$B$1:$U$1,W$1)</f>
        <v>0</v>
      </c>
      <c r="X334" s="179">
        <f>SUMIFS('recurring2_based on steps'!$B334:$AY334,'recurring2_based on steps'!$B$1:$AY$1,X$1)+SUMIFS('changes2_based on steps'!$B334:$U334,'changes2_based on steps'!$B$1:$U$1,X$1)</f>
        <v>0</v>
      </c>
      <c r="Y334" s="179">
        <f>SUMIFS('recurring2_based on steps'!$B334:$AY334,'recurring2_based on steps'!$B$1:$AY$1,Y$1)+SUMIFS('changes2_based on steps'!$B334:$U334,'changes2_based on steps'!$B$1:$U$1,Y$1)</f>
        <v>0</v>
      </c>
      <c r="Z334" s="179">
        <f>SUMIFS('recurring2_based on steps'!$B334:$AY334,'recurring2_based on steps'!$B$1:$AY$1,Z$1)+SUMIFS('changes2_based on steps'!$B334:$U334,'changes2_based on steps'!$B$1:$U$1,Z$1)</f>
        <v>0</v>
      </c>
      <c r="AA334" s="179">
        <f>SUMIFS('recurring2_based on steps'!$B334:$AY334,'recurring2_based on steps'!$B$1:$AY$1,AA$1)+SUMIFS('changes2_based on steps'!$B334:$U334,'changes2_based on steps'!$B$1:$U$1,AA$1)</f>
        <v>0</v>
      </c>
      <c r="AB334" s="179">
        <f>SUMIFS('recurring2_based on steps'!$B334:$AY334,'recurring2_based on steps'!$B$1:$AY$1,AB$1)+SUMIFS('changes2_based on steps'!$B334:$U334,'changes2_based on steps'!$B$1:$U$1,AB$1)</f>
        <v>0</v>
      </c>
      <c r="AC334" s="179">
        <f>SUMIFS('recurring2_based on steps'!$B334:$AY334,'recurring2_based on steps'!$B$1:$AY$1,AC$1)+SUMIFS('changes2_based on steps'!$B334:$U334,'changes2_based on steps'!$B$1:$U$1,AC$1)</f>
        <v>0</v>
      </c>
      <c r="AD334" s="179">
        <f>SUMIFS('recurring2_based on steps'!$B334:$AY334,'recurring2_based on steps'!$B$1:$AY$1,AD$1)+SUMIFS('changes2_based on steps'!$B334:$U334,'changes2_based on steps'!$B$1:$U$1,AD$1)</f>
        <v>0</v>
      </c>
      <c r="AE334" s="179">
        <f>SUMIFS('recurring2_based on steps'!$B334:$AY334,'recurring2_based on steps'!$B$1:$AY$1,AE$1)+SUMIFS('changes2_based on steps'!$B334:$U334,'changes2_based on steps'!$B$1:$U$1,AE$1)</f>
        <v>0</v>
      </c>
      <c r="AF334" s="179"/>
      <c r="AG334" s="179"/>
      <c r="AH334" s="179"/>
      <c r="AI334" s="179"/>
      <c r="AJ334" s="179"/>
      <c r="AK334" s="179"/>
      <c r="AL334" s="179"/>
      <c r="AM334" s="179"/>
    </row>
    <row r="335" spans="1:39" x14ac:dyDescent="0.2">
      <c r="A335" s="32">
        <f t="shared" ca="1" si="5"/>
        <v>46084</v>
      </c>
      <c r="B335" s="179">
        <f>SUMIFS('recurring2_based on steps'!$B335:$AY335,'recurring2_based on steps'!$B$1:$AY$1,B$1)+SUMIFS('changes2_based on steps'!$B335:$U335,'changes2_based on steps'!$B$1:$U$1,B$1)</f>
        <v>0</v>
      </c>
      <c r="C335" s="179">
        <f>SUMIFS('recurring2_based on steps'!$B335:$AY335,'recurring2_based on steps'!$B$1:$AY$1,C$1)+SUMIFS('changes2_based on steps'!$B335:$U335,'changes2_based on steps'!$B$1:$U$1,C$1)</f>
        <v>0</v>
      </c>
      <c r="D335" s="179">
        <f>SUMIFS('recurring2_based on steps'!$B335:$AY335,'recurring2_based on steps'!$B$1:$AY$1,D$1)+SUMIFS('changes2_based on steps'!$B335:$U335,'changes2_based on steps'!$B$1:$U$1,D$1)</f>
        <v>0</v>
      </c>
      <c r="E335" s="179">
        <f>SUMIFS('recurring2_based on steps'!$B335:$AY335,'recurring2_based on steps'!$B$1:$AY$1,E$1)+SUMIFS('changes2_based on steps'!$B335:$U335,'changes2_based on steps'!$B$1:$U$1,E$1)</f>
        <v>0</v>
      </c>
      <c r="F335" s="179">
        <f>SUMIFS('recurring2_based on steps'!$B335:$AY335,'recurring2_based on steps'!$B$1:$AY$1,F$1)+SUMIFS('changes2_based on steps'!$B335:$U335,'changes2_based on steps'!$B$1:$U$1,F$1)</f>
        <v>0</v>
      </c>
      <c r="G335" s="179">
        <f>SUMIFS('recurring2_based on steps'!$B335:$AY335,'recurring2_based on steps'!$B$1:$AY$1,G$1)+SUMIFS('changes2_based on steps'!$B335:$U335,'changes2_based on steps'!$B$1:$U$1,G$1)</f>
        <v>0</v>
      </c>
      <c r="H335" s="179">
        <f>SUMIFS('recurring2_based on steps'!$B335:$AY335,'recurring2_based on steps'!$B$1:$AY$1,H$1)+SUMIFS('changes2_based on steps'!$B335:$U335,'changes2_based on steps'!$B$1:$U$1,H$1)</f>
        <v>0</v>
      </c>
      <c r="I335" s="179">
        <f>SUMIFS('recurring2_based on steps'!$B335:$AY335,'recurring2_based on steps'!$B$1:$AY$1,I$1)+SUMIFS('changes2_based on steps'!$B335:$U335,'changes2_based on steps'!$B$1:$U$1,I$1)</f>
        <v>0</v>
      </c>
      <c r="J335" s="179">
        <f>SUMIFS('recurring2_based on steps'!$B335:$AY335,'recurring2_based on steps'!$B$1:$AY$1,J$1)+SUMIFS('changes2_based on steps'!$B335:$U335,'changes2_based on steps'!$B$1:$U$1,J$1)</f>
        <v>0</v>
      </c>
      <c r="K335" s="179">
        <f>SUMIFS('recurring2_based on steps'!$B335:$AY335,'recurring2_based on steps'!$B$1:$AY$1,K$1)+SUMIFS('changes2_based on steps'!$B335:$U335,'changes2_based on steps'!$B$1:$U$1,K$1)</f>
        <v>0</v>
      </c>
      <c r="L335" s="179">
        <f>SUMIFS('recurring2_based on steps'!$B335:$AY335,'recurring2_based on steps'!$B$1:$AY$1,L$1)+SUMIFS('changes2_based on steps'!$B335:$U335,'changes2_based on steps'!$B$1:$U$1,L$1)</f>
        <v>0</v>
      </c>
      <c r="M335" s="179">
        <f>SUMIFS('recurring2_based on steps'!$B335:$AY335,'recurring2_based on steps'!$B$1:$AY$1,M$1)+SUMIFS('changes2_based on steps'!$B335:$U335,'changes2_based on steps'!$B$1:$U$1,M$1)</f>
        <v>0</v>
      </c>
      <c r="N335" s="179">
        <f>SUMIFS('recurring2_based on steps'!$B335:$AY335,'recurring2_based on steps'!$B$1:$AY$1,N$1)+SUMIFS('changes2_based on steps'!$B335:$U335,'changes2_based on steps'!$B$1:$U$1,N$1)</f>
        <v>0</v>
      </c>
      <c r="O335" s="179">
        <f>SUMIFS('recurring2_based on steps'!$B335:$AY335,'recurring2_based on steps'!$B$1:$AY$1,O$1)+SUMIFS('changes2_based on steps'!$B335:$U335,'changes2_based on steps'!$B$1:$U$1,O$1)</f>
        <v>0</v>
      </c>
      <c r="P335" s="179">
        <f>SUMIFS('recurring2_based on steps'!$B335:$AY335,'recurring2_based on steps'!$B$1:$AY$1,P$1)+SUMIFS('changes2_based on steps'!$B335:$U335,'changes2_based on steps'!$B$1:$U$1,P$1)</f>
        <v>0</v>
      </c>
      <c r="Q335" s="179">
        <f>SUMIFS('recurring2_based on steps'!$B335:$AY335,'recurring2_based on steps'!$B$1:$AY$1,Q$1)+SUMIFS('changes2_based on steps'!$B335:$U335,'changes2_based on steps'!$B$1:$U$1,Q$1)</f>
        <v>0</v>
      </c>
      <c r="R335" s="179">
        <f>SUMIFS('recurring2_based on steps'!$B335:$AY335,'recurring2_based on steps'!$B$1:$AY$1,R$1)+SUMIFS('changes2_based on steps'!$B335:$U335,'changes2_based on steps'!$B$1:$U$1,R$1)</f>
        <v>0</v>
      </c>
      <c r="S335" s="179">
        <f>SUMIFS('recurring2_based on steps'!$B335:$AY335,'recurring2_based on steps'!$B$1:$AY$1,S$1)+SUMIFS('changes2_based on steps'!$B335:$U335,'changes2_based on steps'!$B$1:$U$1,S$1)</f>
        <v>0</v>
      </c>
      <c r="T335" s="179">
        <f>SUMIFS('recurring2_based on steps'!$B335:$AY335,'recurring2_based on steps'!$B$1:$AY$1,T$1)+SUMIFS('changes2_based on steps'!$B335:$U335,'changes2_based on steps'!$B$1:$U$1,T$1)</f>
        <v>0</v>
      </c>
      <c r="U335" s="179">
        <f>SUMIFS('recurring2_based on steps'!$B335:$AY335,'recurring2_based on steps'!$B$1:$AY$1,U$1)+SUMIFS('changes2_based on steps'!$B335:$U335,'changes2_based on steps'!$B$1:$U$1,U$1)</f>
        <v>0</v>
      </c>
      <c r="V335" s="179">
        <f>SUMIFS('recurring2_based on steps'!$B335:$AY335,'recurring2_based on steps'!$B$1:$AY$1,V$1)+SUMIFS('changes2_based on steps'!$B335:$U335,'changes2_based on steps'!$B$1:$U$1,V$1)</f>
        <v>0</v>
      </c>
      <c r="W335" s="179">
        <f>SUMIFS('recurring2_based on steps'!$B335:$AY335,'recurring2_based on steps'!$B$1:$AY$1,W$1)+SUMIFS('changes2_based on steps'!$B335:$U335,'changes2_based on steps'!$B$1:$U$1,W$1)</f>
        <v>0</v>
      </c>
      <c r="X335" s="179">
        <f>SUMIFS('recurring2_based on steps'!$B335:$AY335,'recurring2_based on steps'!$B$1:$AY$1,X$1)+SUMIFS('changes2_based on steps'!$B335:$U335,'changes2_based on steps'!$B$1:$U$1,X$1)</f>
        <v>0</v>
      </c>
      <c r="Y335" s="179">
        <f>SUMIFS('recurring2_based on steps'!$B335:$AY335,'recurring2_based on steps'!$B$1:$AY$1,Y$1)+SUMIFS('changes2_based on steps'!$B335:$U335,'changes2_based on steps'!$B$1:$U$1,Y$1)</f>
        <v>0</v>
      </c>
      <c r="Z335" s="179">
        <f>SUMIFS('recurring2_based on steps'!$B335:$AY335,'recurring2_based on steps'!$B$1:$AY$1,Z$1)+SUMIFS('changes2_based on steps'!$B335:$U335,'changes2_based on steps'!$B$1:$U$1,Z$1)</f>
        <v>0</v>
      </c>
      <c r="AA335" s="179">
        <f>SUMIFS('recurring2_based on steps'!$B335:$AY335,'recurring2_based on steps'!$B$1:$AY$1,AA$1)+SUMIFS('changes2_based on steps'!$B335:$U335,'changes2_based on steps'!$B$1:$U$1,AA$1)</f>
        <v>0</v>
      </c>
      <c r="AB335" s="179">
        <f>SUMIFS('recurring2_based on steps'!$B335:$AY335,'recurring2_based on steps'!$B$1:$AY$1,AB$1)+SUMIFS('changes2_based on steps'!$B335:$U335,'changes2_based on steps'!$B$1:$U$1,AB$1)</f>
        <v>0</v>
      </c>
      <c r="AC335" s="179">
        <f>SUMIFS('recurring2_based on steps'!$B335:$AY335,'recurring2_based on steps'!$B$1:$AY$1,AC$1)+SUMIFS('changes2_based on steps'!$B335:$U335,'changes2_based on steps'!$B$1:$U$1,AC$1)</f>
        <v>0</v>
      </c>
      <c r="AD335" s="179">
        <f>SUMIFS('recurring2_based on steps'!$B335:$AY335,'recurring2_based on steps'!$B$1:$AY$1,AD$1)+SUMIFS('changes2_based on steps'!$B335:$U335,'changes2_based on steps'!$B$1:$U$1,AD$1)</f>
        <v>0</v>
      </c>
      <c r="AE335" s="179">
        <f>SUMIFS('recurring2_based on steps'!$B335:$AY335,'recurring2_based on steps'!$B$1:$AY$1,AE$1)+SUMIFS('changes2_based on steps'!$B335:$U335,'changes2_based on steps'!$B$1:$U$1,AE$1)</f>
        <v>0</v>
      </c>
      <c r="AF335" s="179"/>
      <c r="AG335" s="179"/>
      <c r="AH335" s="179"/>
      <c r="AI335" s="179"/>
      <c r="AJ335" s="179"/>
      <c r="AK335" s="179"/>
      <c r="AL335" s="179"/>
      <c r="AM335" s="179"/>
    </row>
    <row r="336" spans="1:39" x14ac:dyDescent="0.2">
      <c r="A336" s="32">
        <f t="shared" ca="1" si="5"/>
        <v>46085</v>
      </c>
      <c r="B336" s="179">
        <f>SUMIFS('recurring2_based on steps'!$B336:$AY336,'recurring2_based on steps'!$B$1:$AY$1,B$1)+SUMIFS('changes2_based on steps'!$B336:$U336,'changes2_based on steps'!$B$1:$U$1,B$1)</f>
        <v>0</v>
      </c>
      <c r="C336" s="179">
        <f>SUMIFS('recurring2_based on steps'!$B336:$AY336,'recurring2_based on steps'!$B$1:$AY$1,C$1)+SUMIFS('changes2_based on steps'!$B336:$U336,'changes2_based on steps'!$B$1:$U$1,C$1)</f>
        <v>0</v>
      </c>
      <c r="D336" s="179">
        <f>SUMIFS('recurring2_based on steps'!$B336:$AY336,'recurring2_based on steps'!$B$1:$AY$1,D$1)+SUMIFS('changes2_based on steps'!$B336:$U336,'changes2_based on steps'!$B$1:$U$1,D$1)</f>
        <v>0</v>
      </c>
      <c r="E336" s="179">
        <f>SUMIFS('recurring2_based on steps'!$B336:$AY336,'recurring2_based on steps'!$B$1:$AY$1,E$1)+SUMIFS('changes2_based on steps'!$B336:$U336,'changes2_based on steps'!$B$1:$U$1,E$1)</f>
        <v>0</v>
      </c>
      <c r="F336" s="179">
        <f>SUMIFS('recurring2_based on steps'!$B336:$AY336,'recurring2_based on steps'!$B$1:$AY$1,F$1)+SUMIFS('changes2_based on steps'!$B336:$U336,'changes2_based on steps'!$B$1:$U$1,F$1)</f>
        <v>0</v>
      </c>
      <c r="G336" s="179">
        <f>SUMIFS('recurring2_based on steps'!$B336:$AY336,'recurring2_based on steps'!$B$1:$AY$1,G$1)+SUMIFS('changes2_based on steps'!$B336:$U336,'changes2_based on steps'!$B$1:$U$1,G$1)</f>
        <v>0</v>
      </c>
      <c r="H336" s="179">
        <f>SUMIFS('recurring2_based on steps'!$B336:$AY336,'recurring2_based on steps'!$B$1:$AY$1,H$1)+SUMIFS('changes2_based on steps'!$B336:$U336,'changes2_based on steps'!$B$1:$U$1,H$1)</f>
        <v>0</v>
      </c>
      <c r="I336" s="179">
        <f>SUMIFS('recurring2_based on steps'!$B336:$AY336,'recurring2_based on steps'!$B$1:$AY$1,I$1)+SUMIFS('changes2_based on steps'!$B336:$U336,'changes2_based on steps'!$B$1:$U$1,I$1)</f>
        <v>0</v>
      </c>
      <c r="J336" s="179">
        <f>SUMIFS('recurring2_based on steps'!$B336:$AY336,'recurring2_based on steps'!$B$1:$AY$1,J$1)+SUMIFS('changes2_based on steps'!$B336:$U336,'changes2_based on steps'!$B$1:$U$1,J$1)</f>
        <v>0</v>
      </c>
      <c r="K336" s="179">
        <f>SUMIFS('recurring2_based on steps'!$B336:$AY336,'recurring2_based on steps'!$B$1:$AY$1,K$1)+SUMIFS('changes2_based on steps'!$B336:$U336,'changes2_based on steps'!$B$1:$U$1,K$1)</f>
        <v>0</v>
      </c>
      <c r="L336" s="179">
        <f>SUMIFS('recurring2_based on steps'!$B336:$AY336,'recurring2_based on steps'!$B$1:$AY$1,L$1)+SUMIFS('changes2_based on steps'!$B336:$U336,'changes2_based on steps'!$B$1:$U$1,L$1)</f>
        <v>0</v>
      </c>
      <c r="M336" s="179">
        <f>SUMIFS('recurring2_based on steps'!$B336:$AY336,'recurring2_based on steps'!$B$1:$AY$1,M$1)+SUMIFS('changes2_based on steps'!$B336:$U336,'changes2_based on steps'!$B$1:$U$1,M$1)</f>
        <v>0</v>
      </c>
      <c r="N336" s="179">
        <f>SUMIFS('recurring2_based on steps'!$B336:$AY336,'recurring2_based on steps'!$B$1:$AY$1,N$1)+SUMIFS('changes2_based on steps'!$B336:$U336,'changes2_based on steps'!$B$1:$U$1,N$1)</f>
        <v>0</v>
      </c>
      <c r="O336" s="179">
        <f>SUMIFS('recurring2_based on steps'!$B336:$AY336,'recurring2_based on steps'!$B$1:$AY$1,O$1)+SUMIFS('changes2_based on steps'!$B336:$U336,'changes2_based on steps'!$B$1:$U$1,O$1)</f>
        <v>0</v>
      </c>
      <c r="P336" s="179">
        <f>SUMIFS('recurring2_based on steps'!$B336:$AY336,'recurring2_based on steps'!$B$1:$AY$1,P$1)+SUMIFS('changes2_based on steps'!$B336:$U336,'changes2_based on steps'!$B$1:$U$1,P$1)</f>
        <v>0</v>
      </c>
      <c r="Q336" s="179">
        <f>SUMIFS('recurring2_based on steps'!$B336:$AY336,'recurring2_based on steps'!$B$1:$AY$1,Q$1)+SUMIFS('changes2_based on steps'!$B336:$U336,'changes2_based on steps'!$B$1:$U$1,Q$1)</f>
        <v>0</v>
      </c>
      <c r="R336" s="179">
        <f>SUMIFS('recurring2_based on steps'!$B336:$AY336,'recurring2_based on steps'!$B$1:$AY$1,R$1)+SUMIFS('changes2_based on steps'!$B336:$U336,'changes2_based on steps'!$B$1:$U$1,R$1)</f>
        <v>0</v>
      </c>
      <c r="S336" s="179">
        <f>SUMIFS('recurring2_based on steps'!$B336:$AY336,'recurring2_based on steps'!$B$1:$AY$1,S$1)+SUMIFS('changes2_based on steps'!$B336:$U336,'changes2_based on steps'!$B$1:$U$1,S$1)</f>
        <v>0</v>
      </c>
      <c r="T336" s="179">
        <f>SUMIFS('recurring2_based on steps'!$B336:$AY336,'recurring2_based on steps'!$B$1:$AY$1,T$1)+SUMIFS('changes2_based on steps'!$B336:$U336,'changes2_based on steps'!$B$1:$U$1,T$1)</f>
        <v>0</v>
      </c>
      <c r="U336" s="179">
        <f>SUMIFS('recurring2_based on steps'!$B336:$AY336,'recurring2_based on steps'!$B$1:$AY$1,U$1)+SUMIFS('changes2_based on steps'!$B336:$U336,'changes2_based on steps'!$B$1:$U$1,U$1)</f>
        <v>0</v>
      </c>
      <c r="V336" s="179">
        <f>SUMIFS('recurring2_based on steps'!$B336:$AY336,'recurring2_based on steps'!$B$1:$AY$1,V$1)+SUMIFS('changes2_based on steps'!$B336:$U336,'changes2_based on steps'!$B$1:$U$1,V$1)</f>
        <v>0</v>
      </c>
      <c r="W336" s="179">
        <f>SUMIFS('recurring2_based on steps'!$B336:$AY336,'recurring2_based on steps'!$B$1:$AY$1,W$1)+SUMIFS('changes2_based on steps'!$B336:$U336,'changes2_based on steps'!$B$1:$U$1,W$1)</f>
        <v>0</v>
      </c>
      <c r="X336" s="179">
        <f>SUMIFS('recurring2_based on steps'!$B336:$AY336,'recurring2_based on steps'!$B$1:$AY$1,X$1)+SUMIFS('changes2_based on steps'!$B336:$U336,'changes2_based on steps'!$B$1:$U$1,X$1)</f>
        <v>0</v>
      </c>
      <c r="Y336" s="179">
        <f>SUMIFS('recurring2_based on steps'!$B336:$AY336,'recurring2_based on steps'!$B$1:$AY$1,Y$1)+SUMIFS('changes2_based on steps'!$B336:$U336,'changes2_based on steps'!$B$1:$U$1,Y$1)</f>
        <v>0</v>
      </c>
      <c r="Z336" s="179">
        <f>SUMIFS('recurring2_based on steps'!$B336:$AY336,'recurring2_based on steps'!$B$1:$AY$1,Z$1)+SUMIFS('changes2_based on steps'!$B336:$U336,'changes2_based on steps'!$B$1:$U$1,Z$1)</f>
        <v>0</v>
      </c>
      <c r="AA336" s="179">
        <f>SUMIFS('recurring2_based on steps'!$B336:$AY336,'recurring2_based on steps'!$B$1:$AY$1,AA$1)+SUMIFS('changes2_based on steps'!$B336:$U336,'changes2_based on steps'!$B$1:$U$1,AA$1)</f>
        <v>0</v>
      </c>
      <c r="AB336" s="179">
        <f>SUMIFS('recurring2_based on steps'!$B336:$AY336,'recurring2_based on steps'!$B$1:$AY$1,AB$1)+SUMIFS('changes2_based on steps'!$B336:$U336,'changes2_based on steps'!$B$1:$U$1,AB$1)</f>
        <v>0</v>
      </c>
      <c r="AC336" s="179">
        <f>SUMIFS('recurring2_based on steps'!$B336:$AY336,'recurring2_based on steps'!$B$1:$AY$1,AC$1)+SUMIFS('changes2_based on steps'!$B336:$U336,'changes2_based on steps'!$B$1:$U$1,AC$1)</f>
        <v>0</v>
      </c>
      <c r="AD336" s="179">
        <f>SUMIFS('recurring2_based on steps'!$B336:$AY336,'recurring2_based on steps'!$B$1:$AY$1,AD$1)+SUMIFS('changes2_based on steps'!$B336:$U336,'changes2_based on steps'!$B$1:$U$1,AD$1)</f>
        <v>0</v>
      </c>
      <c r="AE336" s="179">
        <f>SUMIFS('recurring2_based on steps'!$B336:$AY336,'recurring2_based on steps'!$B$1:$AY$1,AE$1)+SUMIFS('changes2_based on steps'!$B336:$U336,'changes2_based on steps'!$B$1:$U$1,AE$1)</f>
        <v>0</v>
      </c>
      <c r="AF336" s="179"/>
      <c r="AG336" s="179"/>
      <c r="AH336" s="179"/>
      <c r="AI336" s="179"/>
      <c r="AJ336" s="179"/>
      <c r="AK336" s="179"/>
      <c r="AL336" s="179"/>
      <c r="AM336" s="179"/>
    </row>
    <row r="337" spans="1:39" x14ac:dyDescent="0.2">
      <c r="A337" s="32">
        <f t="shared" ca="1" si="5"/>
        <v>46086</v>
      </c>
      <c r="B337" s="179">
        <f>SUMIFS('recurring2_based on steps'!$B337:$AY337,'recurring2_based on steps'!$B$1:$AY$1,B$1)+SUMIFS('changes2_based on steps'!$B337:$U337,'changes2_based on steps'!$B$1:$U$1,B$1)</f>
        <v>0</v>
      </c>
      <c r="C337" s="179">
        <f>SUMIFS('recurring2_based on steps'!$B337:$AY337,'recurring2_based on steps'!$B$1:$AY$1,C$1)+SUMIFS('changes2_based on steps'!$B337:$U337,'changes2_based on steps'!$B$1:$U$1,C$1)</f>
        <v>0</v>
      </c>
      <c r="D337" s="179">
        <f>SUMIFS('recurring2_based on steps'!$B337:$AY337,'recurring2_based on steps'!$B$1:$AY$1,D$1)+SUMIFS('changes2_based on steps'!$B337:$U337,'changes2_based on steps'!$B$1:$U$1,D$1)</f>
        <v>0</v>
      </c>
      <c r="E337" s="179">
        <f>SUMIFS('recurring2_based on steps'!$B337:$AY337,'recurring2_based on steps'!$B$1:$AY$1,E$1)+SUMIFS('changes2_based on steps'!$B337:$U337,'changes2_based on steps'!$B$1:$U$1,E$1)</f>
        <v>0</v>
      </c>
      <c r="F337" s="179">
        <f>SUMIFS('recurring2_based on steps'!$B337:$AY337,'recurring2_based on steps'!$B$1:$AY$1,F$1)+SUMIFS('changes2_based on steps'!$B337:$U337,'changes2_based on steps'!$B$1:$U$1,F$1)</f>
        <v>0</v>
      </c>
      <c r="G337" s="179">
        <f>SUMIFS('recurring2_based on steps'!$B337:$AY337,'recurring2_based on steps'!$B$1:$AY$1,G$1)+SUMIFS('changes2_based on steps'!$B337:$U337,'changes2_based on steps'!$B$1:$U$1,G$1)</f>
        <v>0</v>
      </c>
      <c r="H337" s="179">
        <f>SUMIFS('recurring2_based on steps'!$B337:$AY337,'recurring2_based on steps'!$B$1:$AY$1,H$1)+SUMIFS('changes2_based on steps'!$B337:$U337,'changes2_based on steps'!$B$1:$U$1,H$1)</f>
        <v>0</v>
      </c>
      <c r="I337" s="179">
        <f>SUMIFS('recurring2_based on steps'!$B337:$AY337,'recurring2_based on steps'!$B$1:$AY$1,I$1)+SUMIFS('changes2_based on steps'!$B337:$U337,'changes2_based on steps'!$B$1:$U$1,I$1)</f>
        <v>0</v>
      </c>
      <c r="J337" s="179">
        <f>SUMIFS('recurring2_based on steps'!$B337:$AY337,'recurring2_based on steps'!$B$1:$AY$1,J$1)+SUMIFS('changes2_based on steps'!$B337:$U337,'changes2_based on steps'!$B$1:$U$1,J$1)</f>
        <v>0</v>
      </c>
      <c r="K337" s="179">
        <f>SUMIFS('recurring2_based on steps'!$B337:$AY337,'recurring2_based on steps'!$B$1:$AY$1,K$1)+SUMIFS('changes2_based on steps'!$B337:$U337,'changes2_based on steps'!$B$1:$U$1,K$1)</f>
        <v>0</v>
      </c>
      <c r="L337" s="179">
        <f>SUMIFS('recurring2_based on steps'!$B337:$AY337,'recurring2_based on steps'!$B$1:$AY$1,L$1)+SUMIFS('changes2_based on steps'!$B337:$U337,'changes2_based on steps'!$B$1:$U$1,L$1)</f>
        <v>0</v>
      </c>
      <c r="M337" s="179">
        <f>SUMIFS('recurring2_based on steps'!$B337:$AY337,'recurring2_based on steps'!$B$1:$AY$1,M$1)+SUMIFS('changes2_based on steps'!$B337:$U337,'changes2_based on steps'!$B$1:$U$1,M$1)</f>
        <v>0</v>
      </c>
      <c r="N337" s="179">
        <f>SUMIFS('recurring2_based on steps'!$B337:$AY337,'recurring2_based on steps'!$B$1:$AY$1,N$1)+SUMIFS('changes2_based on steps'!$B337:$U337,'changes2_based on steps'!$B$1:$U$1,N$1)</f>
        <v>0</v>
      </c>
      <c r="O337" s="179">
        <f>SUMIFS('recurring2_based on steps'!$B337:$AY337,'recurring2_based on steps'!$B$1:$AY$1,O$1)+SUMIFS('changes2_based on steps'!$B337:$U337,'changes2_based on steps'!$B$1:$U$1,O$1)</f>
        <v>0</v>
      </c>
      <c r="P337" s="179">
        <f>SUMIFS('recurring2_based on steps'!$B337:$AY337,'recurring2_based on steps'!$B$1:$AY$1,P$1)+SUMIFS('changes2_based on steps'!$B337:$U337,'changes2_based on steps'!$B$1:$U$1,P$1)</f>
        <v>0</v>
      </c>
      <c r="Q337" s="179">
        <f>SUMIFS('recurring2_based on steps'!$B337:$AY337,'recurring2_based on steps'!$B$1:$AY$1,Q$1)+SUMIFS('changes2_based on steps'!$B337:$U337,'changes2_based on steps'!$B$1:$U$1,Q$1)</f>
        <v>0</v>
      </c>
      <c r="R337" s="179">
        <f>SUMIFS('recurring2_based on steps'!$B337:$AY337,'recurring2_based on steps'!$B$1:$AY$1,R$1)+SUMIFS('changes2_based on steps'!$B337:$U337,'changes2_based on steps'!$B$1:$U$1,R$1)</f>
        <v>0</v>
      </c>
      <c r="S337" s="179">
        <f>SUMIFS('recurring2_based on steps'!$B337:$AY337,'recurring2_based on steps'!$B$1:$AY$1,S$1)+SUMIFS('changes2_based on steps'!$B337:$U337,'changes2_based on steps'!$B$1:$U$1,S$1)</f>
        <v>0</v>
      </c>
      <c r="T337" s="179">
        <f>SUMIFS('recurring2_based on steps'!$B337:$AY337,'recurring2_based on steps'!$B$1:$AY$1,T$1)+SUMIFS('changes2_based on steps'!$B337:$U337,'changes2_based on steps'!$B$1:$U$1,T$1)</f>
        <v>0</v>
      </c>
      <c r="U337" s="179">
        <f>SUMIFS('recurring2_based on steps'!$B337:$AY337,'recurring2_based on steps'!$B$1:$AY$1,U$1)+SUMIFS('changes2_based on steps'!$B337:$U337,'changes2_based on steps'!$B$1:$U$1,U$1)</f>
        <v>0</v>
      </c>
      <c r="V337" s="179">
        <f>SUMIFS('recurring2_based on steps'!$B337:$AY337,'recurring2_based on steps'!$B$1:$AY$1,V$1)+SUMIFS('changes2_based on steps'!$B337:$U337,'changes2_based on steps'!$B$1:$U$1,V$1)</f>
        <v>0</v>
      </c>
      <c r="W337" s="179">
        <f>SUMIFS('recurring2_based on steps'!$B337:$AY337,'recurring2_based on steps'!$B$1:$AY$1,W$1)+SUMIFS('changes2_based on steps'!$B337:$U337,'changes2_based on steps'!$B$1:$U$1,W$1)</f>
        <v>0</v>
      </c>
      <c r="X337" s="179">
        <f>SUMIFS('recurring2_based on steps'!$B337:$AY337,'recurring2_based on steps'!$B$1:$AY$1,X$1)+SUMIFS('changes2_based on steps'!$B337:$U337,'changes2_based on steps'!$B$1:$U$1,X$1)</f>
        <v>0</v>
      </c>
      <c r="Y337" s="179">
        <f>SUMIFS('recurring2_based on steps'!$B337:$AY337,'recurring2_based on steps'!$B$1:$AY$1,Y$1)+SUMIFS('changes2_based on steps'!$B337:$U337,'changes2_based on steps'!$B$1:$U$1,Y$1)</f>
        <v>0</v>
      </c>
      <c r="Z337" s="179">
        <f>SUMIFS('recurring2_based on steps'!$B337:$AY337,'recurring2_based on steps'!$B$1:$AY$1,Z$1)+SUMIFS('changes2_based on steps'!$B337:$U337,'changes2_based on steps'!$B$1:$U$1,Z$1)</f>
        <v>0</v>
      </c>
      <c r="AA337" s="179">
        <f>SUMIFS('recurring2_based on steps'!$B337:$AY337,'recurring2_based on steps'!$B$1:$AY$1,AA$1)+SUMIFS('changes2_based on steps'!$B337:$U337,'changes2_based on steps'!$B$1:$U$1,AA$1)</f>
        <v>0</v>
      </c>
      <c r="AB337" s="179">
        <f>SUMIFS('recurring2_based on steps'!$B337:$AY337,'recurring2_based on steps'!$B$1:$AY$1,AB$1)+SUMIFS('changes2_based on steps'!$B337:$U337,'changes2_based on steps'!$B$1:$U$1,AB$1)</f>
        <v>0</v>
      </c>
      <c r="AC337" s="179">
        <f>SUMIFS('recurring2_based on steps'!$B337:$AY337,'recurring2_based on steps'!$B$1:$AY$1,AC$1)+SUMIFS('changes2_based on steps'!$B337:$U337,'changes2_based on steps'!$B$1:$U$1,AC$1)</f>
        <v>0</v>
      </c>
      <c r="AD337" s="179">
        <f>SUMIFS('recurring2_based on steps'!$B337:$AY337,'recurring2_based on steps'!$B$1:$AY$1,AD$1)+SUMIFS('changes2_based on steps'!$B337:$U337,'changes2_based on steps'!$B$1:$U$1,AD$1)</f>
        <v>0</v>
      </c>
      <c r="AE337" s="179">
        <f>SUMIFS('recurring2_based on steps'!$B337:$AY337,'recurring2_based on steps'!$B$1:$AY$1,AE$1)+SUMIFS('changes2_based on steps'!$B337:$U337,'changes2_based on steps'!$B$1:$U$1,AE$1)</f>
        <v>0</v>
      </c>
      <c r="AF337" s="179"/>
      <c r="AG337" s="179"/>
      <c r="AH337" s="179"/>
      <c r="AI337" s="179"/>
      <c r="AJ337" s="179"/>
      <c r="AK337" s="179"/>
      <c r="AL337" s="179"/>
      <c r="AM337" s="179"/>
    </row>
    <row r="338" spans="1:39" x14ac:dyDescent="0.2">
      <c r="A338" s="32">
        <f t="shared" ca="1" si="5"/>
        <v>46087</v>
      </c>
      <c r="B338" s="179">
        <f>SUMIFS('recurring2_based on steps'!$B338:$AY338,'recurring2_based on steps'!$B$1:$AY$1,B$1)+SUMIFS('changes2_based on steps'!$B338:$U338,'changes2_based on steps'!$B$1:$U$1,B$1)</f>
        <v>0</v>
      </c>
      <c r="C338" s="179">
        <f>SUMIFS('recurring2_based on steps'!$B338:$AY338,'recurring2_based on steps'!$B$1:$AY$1,C$1)+SUMIFS('changes2_based on steps'!$B338:$U338,'changes2_based on steps'!$B$1:$U$1,C$1)</f>
        <v>0</v>
      </c>
      <c r="D338" s="179">
        <f>SUMIFS('recurring2_based on steps'!$B338:$AY338,'recurring2_based on steps'!$B$1:$AY$1,D$1)+SUMIFS('changes2_based on steps'!$B338:$U338,'changes2_based on steps'!$B$1:$U$1,D$1)</f>
        <v>0</v>
      </c>
      <c r="E338" s="179">
        <f>SUMIFS('recurring2_based on steps'!$B338:$AY338,'recurring2_based on steps'!$B$1:$AY$1,E$1)+SUMIFS('changes2_based on steps'!$B338:$U338,'changes2_based on steps'!$B$1:$U$1,E$1)</f>
        <v>0</v>
      </c>
      <c r="F338" s="179">
        <f>SUMIFS('recurring2_based on steps'!$B338:$AY338,'recurring2_based on steps'!$B$1:$AY$1,F$1)+SUMIFS('changes2_based on steps'!$B338:$U338,'changes2_based on steps'!$B$1:$U$1,F$1)</f>
        <v>0</v>
      </c>
      <c r="G338" s="179">
        <f>SUMIFS('recurring2_based on steps'!$B338:$AY338,'recurring2_based on steps'!$B$1:$AY$1,G$1)+SUMIFS('changes2_based on steps'!$B338:$U338,'changes2_based on steps'!$B$1:$U$1,G$1)</f>
        <v>0</v>
      </c>
      <c r="H338" s="179">
        <f>SUMIFS('recurring2_based on steps'!$B338:$AY338,'recurring2_based on steps'!$B$1:$AY$1,H$1)+SUMIFS('changes2_based on steps'!$B338:$U338,'changes2_based on steps'!$B$1:$U$1,H$1)</f>
        <v>0</v>
      </c>
      <c r="I338" s="179">
        <f>SUMIFS('recurring2_based on steps'!$B338:$AY338,'recurring2_based on steps'!$B$1:$AY$1,I$1)+SUMIFS('changes2_based on steps'!$B338:$U338,'changes2_based on steps'!$B$1:$U$1,I$1)</f>
        <v>0</v>
      </c>
      <c r="J338" s="179">
        <f>SUMIFS('recurring2_based on steps'!$B338:$AY338,'recurring2_based on steps'!$B$1:$AY$1,J$1)+SUMIFS('changes2_based on steps'!$B338:$U338,'changes2_based on steps'!$B$1:$U$1,J$1)</f>
        <v>0</v>
      </c>
      <c r="K338" s="179">
        <f>SUMIFS('recurring2_based on steps'!$B338:$AY338,'recurring2_based on steps'!$B$1:$AY$1,K$1)+SUMIFS('changes2_based on steps'!$B338:$U338,'changes2_based on steps'!$B$1:$U$1,K$1)</f>
        <v>0</v>
      </c>
      <c r="L338" s="179">
        <f>SUMIFS('recurring2_based on steps'!$B338:$AY338,'recurring2_based on steps'!$B$1:$AY$1,L$1)+SUMIFS('changes2_based on steps'!$B338:$U338,'changes2_based on steps'!$B$1:$U$1,L$1)</f>
        <v>0</v>
      </c>
      <c r="M338" s="179">
        <f>SUMIFS('recurring2_based on steps'!$B338:$AY338,'recurring2_based on steps'!$B$1:$AY$1,M$1)+SUMIFS('changes2_based on steps'!$B338:$U338,'changes2_based on steps'!$B$1:$U$1,M$1)</f>
        <v>0</v>
      </c>
      <c r="N338" s="179">
        <f>SUMIFS('recurring2_based on steps'!$B338:$AY338,'recurring2_based on steps'!$B$1:$AY$1,N$1)+SUMIFS('changes2_based on steps'!$B338:$U338,'changes2_based on steps'!$B$1:$U$1,N$1)</f>
        <v>0</v>
      </c>
      <c r="O338" s="179">
        <f>SUMIFS('recurring2_based on steps'!$B338:$AY338,'recurring2_based on steps'!$B$1:$AY$1,O$1)+SUMIFS('changes2_based on steps'!$B338:$U338,'changes2_based on steps'!$B$1:$U$1,O$1)</f>
        <v>0</v>
      </c>
      <c r="P338" s="179">
        <f>SUMIFS('recurring2_based on steps'!$B338:$AY338,'recurring2_based on steps'!$B$1:$AY$1,P$1)+SUMIFS('changes2_based on steps'!$B338:$U338,'changes2_based on steps'!$B$1:$U$1,P$1)</f>
        <v>0</v>
      </c>
      <c r="Q338" s="179">
        <f>SUMIFS('recurring2_based on steps'!$B338:$AY338,'recurring2_based on steps'!$B$1:$AY$1,Q$1)+SUMIFS('changes2_based on steps'!$B338:$U338,'changes2_based on steps'!$B$1:$U$1,Q$1)</f>
        <v>0</v>
      </c>
      <c r="R338" s="179">
        <f>SUMIFS('recurring2_based on steps'!$B338:$AY338,'recurring2_based on steps'!$B$1:$AY$1,R$1)+SUMIFS('changes2_based on steps'!$B338:$U338,'changes2_based on steps'!$B$1:$U$1,R$1)</f>
        <v>0</v>
      </c>
      <c r="S338" s="179">
        <f>SUMIFS('recurring2_based on steps'!$B338:$AY338,'recurring2_based on steps'!$B$1:$AY$1,S$1)+SUMIFS('changes2_based on steps'!$B338:$U338,'changes2_based on steps'!$B$1:$U$1,S$1)</f>
        <v>0</v>
      </c>
      <c r="T338" s="179">
        <f>SUMIFS('recurring2_based on steps'!$B338:$AY338,'recurring2_based on steps'!$B$1:$AY$1,T$1)+SUMIFS('changes2_based on steps'!$B338:$U338,'changes2_based on steps'!$B$1:$U$1,T$1)</f>
        <v>0</v>
      </c>
      <c r="U338" s="179">
        <f>SUMIFS('recurring2_based on steps'!$B338:$AY338,'recurring2_based on steps'!$B$1:$AY$1,U$1)+SUMIFS('changes2_based on steps'!$B338:$U338,'changes2_based on steps'!$B$1:$U$1,U$1)</f>
        <v>0</v>
      </c>
      <c r="V338" s="179">
        <f>SUMIFS('recurring2_based on steps'!$B338:$AY338,'recurring2_based on steps'!$B$1:$AY$1,V$1)+SUMIFS('changes2_based on steps'!$B338:$U338,'changes2_based on steps'!$B$1:$U$1,V$1)</f>
        <v>0</v>
      </c>
      <c r="W338" s="179">
        <f>SUMIFS('recurring2_based on steps'!$B338:$AY338,'recurring2_based on steps'!$B$1:$AY$1,W$1)+SUMIFS('changes2_based on steps'!$B338:$U338,'changes2_based on steps'!$B$1:$U$1,W$1)</f>
        <v>0</v>
      </c>
      <c r="X338" s="179">
        <f>SUMIFS('recurring2_based on steps'!$B338:$AY338,'recurring2_based on steps'!$B$1:$AY$1,X$1)+SUMIFS('changes2_based on steps'!$B338:$U338,'changes2_based on steps'!$B$1:$U$1,X$1)</f>
        <v>0</v>
      </c>
      <c r="Y338" s="179">
        <f>SUMIFS('recurring2_based on steps'!$B338:$AY338,'recurring2_based on steps'!$B$1:$AY$1,Y$1)+SUMIFS('changes2_based on steps'!$B338:$U338,'changes2_based on steps'!$B$1:$U$1,Y$1)</f>
        <v>0</v>
      </c>
      <c r="Z338" s="179">
        <f>SUMIFS('recurring2_based on steps'!$B338:$AY338,'recurring2_based on steps'!$B$1:$AY$1,Z$1)+SUMIFS('changes2_based on steps'!$B338:$U338,'changes2_based on steps'!$B$1:$U$1,Z$1)</f>
        <v>0</v>
      </c>
      <c r="AA338" s="179">
        <f>SUMIFS('recurring2_based on steps'!$B338:$AY338,'recurring2_based on steps'!$B$1:$AY$1,AA$1)+SUMIFS('changes2_based on steps'!$B338:$U338,'changes2_based on steps'!$B$1:$U$1,AA$1)</f>
        <v>0</v>
      </c>
      <c r="AB338" s="179">
        <f>SUMIFS('recurring2_based on steps'!$B338:$AY338,'recurring2_based on steps'!$B$1:$AY$1,AB$1)+SUMIFS('changes2_based on steps'!$B338:$U338,'changes2_based on steps'!$B$1:$U$1,AB$1)</f>
        <v>0</v>
      </c>
      <c r="AC338" s="179">
        <f>SUMIFS('recurring2_based on steps'!$B338:$AY338,'recurring2_based on steps'!$B$1:$AY$1,AC$1)+SUMIFS('changes2_based on steps'!$B338:$U338,'changes2_based on steps'!$B$1:$U$1,AC$1)</f>
        <v>0</v>
      </c>
      <c r="AD338" s="179">
        <f>SUMIFS('recurring2_based on steps'!$B338:$AY338,'recurring2_based on steps'!$B$1:$AY$1,AD$1)+SUMIFS('changes2_based on steps'!$B338:$U338,'changes2_based on steps'!$B$1:$U$1,AD$1)</f>
        <v>0</v>
      </c>
      <c r="AE338" s="179">
        <f>SUMIFS('recurring2_based on steps'!$B338:$AY338,'recurring2_based on steps'!$B$1:$AY$1,AE$1)+SUMIFS('changes2_based on steps'!$B338:$U338,'changes2_based on steps'!$B$1:$U$1,AE$1)</f>
        <v>0</v>
      </c>
      <c r="AF338" s="179"/>
      <c r="AG338" s="179"/>
      <c r="AH338" s="179"/>
      <c r="AI338" s="179"/>
      <c r="AJ338" s="179"/>
      <c r="AK338" s="179"/>
      <c r="AL338" s="179"/>
      <c r="AM338" s="179"/>
    </row>
    <row r="339" spans="1:39" x14ac:dyDescent="0.2">
      <c r="A339" s="32">
        <f t="shared" ca="1" si="5"/>
        <v>46088</v>
      </c>
      <c r="B339" s="179">
        <f>SUMIFS('recurring2_based on steps'!$B339:$AY339,'recurring2_based on steps'!$B$1:$AY$1,B$1)+SUMIFS('changes2_based on steps'!$B339:$U339,'changes2_based on steps'!$B$1:$U$1,B$1)</f>
        <v>0</v>
      </c>
      <c r="C339" s="179">
        <f>SUMIFS('recurring2_based on steps'!$B339:$AY339,'recurring2_based on steps'!$B$1:$AY$1,C$1)+SUMIFS('changes2_based on steps'!$B339:$U339,'changes2_based on steps'!$B$1:$U$1,C$1)</f>
        <v>0</v>
      </c>
      <c r="D339" s="179">
        <f>SUMIFS('recurring2_based on steps'!$B339:$AY339,'recurring2_based on steps'!$B$1:$AY$1,D$1)+SUMIFS('changes2_based on steps'!$B339:$U339,'changes2_based on steps'!$B$1:$U$1,D$1)</f>
        <v>0</v>
      </c>
      <c r="E339" s="179">
        <f>SUMIFS('recurring2_based on steps'!$B339:$AY339,'recurring2_based on steps'!$B$1:$AY$1,E$1)+SUMIFS('changes2_based on steps'!$B339:$U339,'changes2_based on steps'!$B$1:$U$1,E$1)</f>
        <v>0</v>
      </c>
      <c r="F339" s="179">
        <f>SUMIFS('recurring2_based on steps'!$B339:$AY339,'recurring2_based on steps'!$B$1:$AY$1,F$1)+SUMIFS('changes2_based on steps'!$B339:$U339,'changes2_based on steps'!$B$1:$U$1,F$1)</f>
        <v>0</v>
      </c>
      <c r="G339" s="179">
        <f>SUMIFS('recurring2_based on steps'!$B339:$AY339,'recurring2_based on steps'!$B$1:$AY$1,G$1)+SUMIFS('changes2_based on steps'!$B339:$U339,'changes2_based on steps'!$B$1:$U$1,G$1)</f>
        <v>0</v>
      </c>
      <c r="H339" s="179">
        <f>SUMIFS('recurring2_based on steps'!$B339:$AY339,'recurring2_based on steps'!$B$1:$AY$1,H$1)+SUMIFS('changes2_based on steps'!$B339:$U339,'changes2_based on steps'!$B$1:$U$1,H$1)</f>
        <v>0</v>
      </c>
      <c r="I339" s="179">
        <f>SUMIFS('recurring2_based on steps'!$B339:$AY339,'recurring2_based on steps'!$B$1:$AY$1,I$1)+SUMIFS('changes2_based on steps'!$B339:$U339,'changes2_based on steps'!$B$1:$U$1,I$1)</f>
        <v>0</v>
      </c>
      <c r="J339" s="179">
        <f>SUMIFS('recurring2_based on steps'!$B339:$AY339,'recurring2_based on steps'!$B$1:$AY$1,J$1)+SUMIFS('changes2_based on steps'!$B339:$U339,'changes2_based on steps'!$B$1:$U$1,J$1)</f>
        <v>0</v>
      </c>
      <c r="K339" s="179">
        <f>SUMIFS('recurring2_based on steps'!$B339:$AY339,'recurring2_based on steps'!$B$1:$AY$1,K$1)+SUMIFS('changes2_based on steps'!$B339:$U339,'changes2_based on steps'!$B$1:$U$1,K$1)</f>
        <v>0</v>
      </c>
      <c r="L339" s="179">
        <f>SUMIFS('recurring2_based on steps'!$B339:$AY339,'recurring2_based on steps'!$B$1:$AY$1,L$1)+SUMIFS('changes2_based on steps'!$B339:$U339,'changes2_based on steps'!$B$1:$U$1,L$1)</f>
        <v>0</v>
      </c>
      <c r="M339" s="179">
        <f>SUMIFS('recurring2_based on steps'!$B339:$AY339,'recurring2_based on steps'!$B$1:$AY$1,M$1)+SUMIFS('changes2_based on steps'!$B339:$U339,'changes2_based on steps'!$B$1:$U$1,M$1)</f>
        <v>0</v>
      </c>
      <c r="N339" s="179">
        <f>SUMIFS('recurring2_based on steps'!$B339:$AY339,'recurring2_based on steps'!$B$1:$AY$1,N$1)+SUMIFS('changes2_based on steps'!$B339:$U339,'changes2_based on steps'!$B$1:$U$1,N$1)</f>
        <v>0</v>
      </c>
      <c r="O339" s="179">
        <f>SUMIFS('recurring2_based on steps'!$B339:$AY339,'recurring2_based on steps'!$B$1:$AY$1,O$1)+SUMIFS('changes2_based on steps'!$B339:$U339,'changes2_based on steps'!$B$1:$U$1,O$1)</f>
        <v>0</v>
      </c>
      <c r="P339" s="179">
        <f>SUMIFS('recurring2_based on steps'!$B339:$AY339,'recurring2_based on steps'!$B$1:$AY$1,P$1)+SUMIFS('changes2_based on steps'!$B339:$U339,'changes2_based on steps'!$B$1:$U$1,P$1)</f>
        <v>0</v>
      </c>
      <c r="Q339" s="179">
        <f>SUMIFS('recurring2_based on steps'!$B339:$AY339,'recurring2_based on steps'!$B$1:$AY$1,Q$1)+SUMIFS('changes2_based on steps'!$B339:$U339,'changes2_based on steps'!$B$1:$U$1,Q$1)</f>
        <v>0</v>
      </c>
      <c r="R339" s="179">
        <f>SUMIFS('recurring2_based on steps'!$B339:$AY339,'recurring2_based on steps'!$B$1:$AY$1,R$1)+SUMIFS('changes2_based on steps'!$B339:$U339,'changes2_based on steps'!$B$1:$U$1,R$1)</f>
        <v>0</v>
      </c>
      <c r="S339" s="179">
        <f>SUMIFS('recurring2_based on steps'!$B339:$AY339,'recurring2_based on steps'!$B$1:$AY$1,S$1)+SUMIFS('changes2_based on steps'!$B339:$U339,'changes2_based on steps'!$B$1:$U$1,S$1)</f>
        <v>0</v>
      </c>
      <c r="T339" s="179">
        <f>SUMIFS('recurring2_based on steps'!$B339:$AY339,'recurring2_based on steps'!$B$1:$AY$1,T$1)+SUMIFS('changes2_based on steps'!$B339:$U339,'changes2_based on steps'!$B$1:$U$1,T$1)</f>
        <v>0</v>
      </c>
      <c r="U339" s="179">
        <f>SUMIFS('recurring2_based on steps'!$B339:$AY339,'recurring2_based on steps'!$B$1:$AY$1,U$1)+SUMIFS('changes2_based on steps'!$B339:$U339,'changes2_based on steps'!$B$1:$U$1,U$1)</f>
        <v>0</v>
      </c>
      <c r="V339" s="179">
        <f>SUMIFS('recurring2_based on steps'!$B339:$AY339,'recurring2_based on steps'!$B$1:$AY$1,V$1)+SUMIFS('changes2_based on steps'!$B339:$U339,'changes2_based on steps'!$B$1:$U$1,V$1)</f>
        <v>0</v>
      </c>
      <c r="W339" s="179">
        <f>SUMIFS('recurring2_based on steps'!$B339:$AY339,'recurring2_based on steps'!$B$1:$AY$1,W$1)+SUMIFS('changes2_based on steps'!$B339:$U339,'changes2_based on steps'!$B$1:$U$1,W$1)</f>
        <v>0</v>
      </c>
      <c r="X339" s="179">
        <f>SUMIFS('recurring2_based on steps'!$B339:$AY339,'recurring2_based on steps'!$B$1:$AY$1,X$1)+SUMIFS('changes2_based on steps'!$B339:$U339,'changes2_based on steps'!$B$1:$U$1,X$1)</f>
        <v>0</v>
      </c>
      <c r="Y339" s="179">
        <f>SUMIFS('recurring2_based on steps'!$B339:$AY339,'recurring2_based on steps'!$B$1:$AY$1,Y$1)+SUMIFS('changes2_based on steps'!$B339:$U339,'changes2_based on steps'!$B$1:$U$1,Y$1)</f>
        <v>0</v>
      </c>
      <c r="Z339" s="179">
        <f>SUMIFS('recurring2_based on steps'!$B339:$AY339,'recurring2_based on steps'!$B$1:$AY$1,Z$1)+SUMIFS('changes2_based on steps'!$B339:$U339,'changes2_based on steps'!$B$1:$U$1,Z$1)</f>
        <v>0</v>
      </c>
      <c r="AA339" s="179">
        <f>SUMIFS('recurring2_based on steps'!$B339:$AY339,'recurring2_based on steps'!$B$1:$AY$1,AA$1)+SUMIFS('changes2_based on steps'!$B339:$U339,'changes2_based on steps'!$B$1:$U$1,AA$1)</f>
        <v>0</v>
      </c>
      <c r="AB339" s="179">
        <f>SUMIFS('recurring2_based on steps'!$B339:$AY339,'recurring2_based on steps'!$B$1:$AY$1,AB$1)+SUMIFS('changes2_based on steps'!$B339:$U339,'changes2_based on steps'!$B$1:$U$1,AB$1)</f>
        <v>0</v>
      </c>
      <c r="AC339" s="179">
        <f>SUMIFS('recurring2_based on steps'!$B339:$AY339,'recurring2_based on steps'!$B$1:$AY$1,AC$1)+SUMIFS('changes2_based on steps'!$B339:$U339,'changes2_based on steps'!$B$1:$U$1,AC$1)</f>
        <v>0</v>
      </c>
      <c r="AD339" s="179">
        <f>SUMIFS('recurring2_based on steps'!$B339:$AY339,'recurring2_based on steps'!$B$1:$AY$1,AD$1)+SUMIFS('changes2_based on steps'!$B339:$U339,'changes2_based on steps'!$B$1:$U$1,AD$1)</f>
        <v>0</v>
      </c>
      <c r="AE339" s="179">
        <f>SUMIFS('recurring2_based on steps'!$B339:$AY339,'recurring2_based on steps'!$B$1:$AY$1,AE$1)+SUMIFS('changes2_based on steps'!$B339:$U339,'changes2_based on steps'!$B$1:$U$1,AE$1)</f>
        <v>0</v>
      </c>
      <c r="AF339" s="179"/>
      <c r="AG339" s="179"/>
      <c r="AH339" s="179"/>
      <c r="AI339" s="179"/>
      <c r="AJ339" s="179"/>
      <c r="AK339" s="179"/>
      <c r="AL339" s="179"/>
      <c r="AM339" s="179"/>
    </row>
    <row r="340" spans="1:39" x14ac:dyDescent="0.2">
      <c r="A340" s="32">
        <f t="shared" ca="1" si="5"/>
        <v>46089</v>
      </c>
      <c r="B340" s="179">
        <f>SUMIFS('recurring2_based on steps'!$B340:$AY340,'recurring2_based on steps'!$B$1:$AY$1,B$1)+SUMIFS('changes2_based on steps'!$B340:$U340,'changes2_based on steps'!$B$1:$U$1,B$1)</f>
        <v>0</v>
      </c>
      <c r="C340" s="179">
        <f>SUMIFS('recurring2_based on steps'!$B340:$AY340,'recurring2_based on steps'!$B$1:$AY$1,C$1)+SUMIFS('changes2_based on steps'!$B340:$U340,'changes2_based on steps'!$B$1:$U$1,C$1)</f>
        <v>0</v>
      </c>
      <c r="D340" s="179">
        <f>SUMIFS('recurring2_based on steps'!$B340:$AY340,'recurring2_based on steps'!$B$1:$AY$1,D$1)+SUMIFS('changes2_based on steps'!$B340:$U340,'changes2_based on steps'!$B$1:$U$1,D$1)</f>
        <v>0</v>
      </c>
      <c r="E340" s="179">
        <f>SUMIFS('recurring2_based on steps'!$B340:$AY340,'recurring2_based on steps'!$B$1:$AY$1,E$1)+SUMIFS('changes2_based on steps'!$B340:$U340,'changes2_based on steps'!$B$1:$U$1,E$1)</f>
        <v>0</v>
      </c>
      <c r="F340" s="179">
        <f>SUMIFS('recurring2_based on steps'!$B340:$AY340,'recurring2_based on steps'!$B$1:$AY$1,F$1)+SUMIFS('changes2_based on steps'!$B340:$U340,'changes2_based on steps'!$B$1:$U$1,F$1)</f>
        <v>0</v>
      </c>
      <c r="G340" s="179">
        <f>SUMIFS('recurring2_based on steps'!$B340:$AY340,'recurring2_based on steps'!$B$1:$AY$1,G$1)+SUMIFS('changes2_based on steps'!$B340:$U340,'changes2_based on steps'!$B$1:$U$1,G$1)</f>
        <v>0</v>
      </c>
      <c r="H340" s="179">
        <f>SUMIFS('recurring2_based on steps'!$B340:$AY340,'recurring2_based on steps'!$B$1:$AY$1,H$1)+SUMIFS('changes2_based on steps'!$B340:$U340,'changes2_based on steps'!$B$1:$U$1,H$1)</f>
        <v>0</v>
      </c>
      <c r="I340" s="179">
        <f>SUMIFS('recurring2_based on steps'!$B340:$AY340,'recurring2_based on steps'!$B$1:$AY$1,I$1)+SUMIFS('changes2_based on steps'!$B340:$U340,'changes2_based on steps'!$B$1:$U$1,I$1)</f>
        <v>0</v>
      </c>
      <c r="J340" s="179">
        <f>SUMIFS('recurring2_based on steps'!$B340:$AY340,'recurring2_based on steps'!$B$1:$AY$1,J$1)+SUMIFS('changes2_based on steps'!$B340:$U340,'changes2_based on steps'!$B$1:$U$1,J$1)</f>
        <v>0</v>
      </c>
      <c r="K340" s="179">
        <f>SUMIFS('recurring2_based on steps'!$B340:$AY340,'recurring2_based on steps'!$B$1:$AY$1,K$1)+SUMIFS('changes2_based on steps'!$B340:$U340,'changes2_based on steps'!$B$1:$U$1,K$1)</f>
        <v>0</v>
      </c>
      <c r="L340" s="179">
        <f>SUMIFS('recurring2_based on steps'!$B340:$AY340,'recurring2_based on steps'!$B$1:$AY$1,L$1)+SUMIFS('changes2_based on steps'!$B340:$U340,'changes2_based on steps'!$B$1:$U$1,L$1)</f>
        <v>0</v>
      </c>
      <c r="M340" s="179">
        <f>SUMIFS('recurring2_based on steps'!$B340:$AY340,'recurring2_based on steps'!$B$1:$AY$1,M$1)+SUMIFS('changes2_based on steps'!$B340:$U340,'changes2_based on steps'!$B$1:$U$1,M$1)</f>
        <v>0</v>
      </c>
      <c r="N340" s="179">
        <f>SUMIFS('recurring2_based on steps'!$B340:$AY340,'recurring2_based on steps'!$B$1:$AY$1,N$1)+SUMIFS('changes2_based on steps'!$B340:$U340,'changes2_based on steps'!$B$1:$U$1,N$1)</f>
        <v>0</v>
      </c>
      <c r="O340" s="179">
        <f>SUMIFS('recurring2_based on steps'!$B340:$AY340,'recurring2_based on steps'!$B$1:$AY$1,O$1)+SUMIFS('changes2_based on steps'!$B340:$U340,'changes2_based on steps'!$B$1:$U$1,O$1)</f>
        <v>0</v>
      </c>
      <c r="P340" s="179">
        <f>SUMIFS('recurring2_based on steps'!$B340:$AY340,'recurring2_based on steps'!$B$1:$AY$1,P$1)+SUMIFS('changes2_based on steps'!$B340:$U340,'changes2_based on steps'!$B$1:$U$1,P$1)</f>
        <v>0</v>
      </c>
      <c r="Q340" s="179">
        <f>SUMIFS('recurring2_based on steps'!$B340:$AY340,'recurring2_based on steps'!$B$1:$AY$1,Q$1)+SUMIFS('changes2_based on steps'!$B340:$U340,'changes2_based on steps'!$B$1:$U$1,Q$1)</f>
        <v>0</v>
      </c>
      <c r="R340" s="179">
        <f>SUMIFS('recurring2_based on steps'!$B340:$AY340,'recurring2_based on steps'!$B$1:$AY$1,R$1)+SUMIFS('changes2_based on steps'!$B340:$U340,'changes2_based on steps'!$B$1:$U$1,R$1)</f>
        <v>0</v>
      </c>
      <c r="S340" s="179">
        <f>SUMIFS('recurring2_based on steps'!$B340:$AY340,'recurring2_based on steps'!$B$1:$AY$1,S$1)+SUMIFS('changes2_based on steps'!$B340:$U340,'changes2_based on steps'!$B$1:$U$1,S$1)</f>
        <v>0</v>
      </c>
      <c r="T340" s="179">
        <f>SUMIFS('recurring2_based on steps'!$B340:$AY340,'recurring2_based on steps'!$B$1:$AY$1,T$1)+SUMIFS('changes2_based on steps'!$B340:$U340,'changes2_based on steps'!$B$1:$U$1,T$1)</f>
        <v>0</v>
      </c>
      <c r="U340" s="179">
        <f>SUMIFS('recurring2_based on steps'!$B340:$AY340,'recurring2_based on steps'!$B$1:$AY$1,U$1)+SUMIFS('changes2_based on steps'!$B340:$U340,'changes2_based on steps'!$B$1:$U$1,U$1)</f>
        <v>0</v>
      </c>
      <c r="V340" s="179">
        <f>SUMIFS('recurring2_based on steps'!$B340:$AY340,'recurring2_based on steps'!$B$1:$AY$1,V$1)+SUMIFS('changes2_based on steps'!$B340:$U340,'changes2_based on steps'!$B$1:$U$1,V$1)</f>
        <v>0</v>
      </c>
      <c r="W340" s="179">
        <f>SUMIFS('recurring2_based on steps'!$B340:$AY340,'recurring2_based on steps'!$B$1:$AY$1,W$1)+SUMIFS('changes2_based on steps'!$B340:$U340,'changes2_based on steps'!$B$1:$U$1,W$1)</f>
        <v>0</v>
      </c>
      <c r="X340" s="179">
        <f>SUMIFS('recurring2_based on steps'!$B340:$AY340,'recurring2_based on steps'!$B$1:$AY$1,X$1)+SUMIFS('changes2_based on steps'!$B340:$U340,'changes2_based on steps'!$B$1:$U$1,X$1)</f>
        <v>0</v>
      </c>
      <c r="Y340" s="179">
        <f>SUMIFS('recurring2_based on steps'!$B340:$AY340,'recurring2_based on steps'!$B$1:$AY$1,Y$1)+SUMIFS('changes2_based on steps'!$B340:$U340,'changes2_based on steps'!$B$1:$U$1,Y$1)</f>
        <v>0</v>
      </c>
      <c r="Z340" s="179">
        <f>SUMIFS('recurring2_based on steps'!$B340:$AY340,'recurring2_based on steps'!$B$1:$AY$1,Z$1)+SUMIFS('changes2_based on steps'!$B340:$U340,'changes2_based on steps'!$B$1:$U$1,Z$1)</f>
        <v>0</v>
      </c>
      <c r="AA340" s="179">
        <f>SUMIFS('recurring2_based on steps'!$B340:$AY340,'recurring2_based on steps'!$B$1:$AY$1,AA$1)+SUMIFS('changes2_based on steps'!$B340:$U340,'changes2_based on steps'!$B$1:$U$1,AA$1)</f>
        <v>0</v>
      </c>
      <c r="AB340" s="179">
        <f>SUMIFS('recurring2_based on steps'!$B340:$AY340,'recurring2_based on steps'!$B$1:$AY$1,AB$1)+SUMIFS('changes2_based on steps'!$B340:$U340,'changes2_based on steps'!$B$1:$U$1,AB$1)</f>
        <v>0</v>
      </c>
      <c r="AC340" s="179">
        <f>SUMIFS('recurring2_based on steps'!$B340:$AY340,'recurring2_based on steps'!$B$1:$AY$1,AC$1)+SUMIFS('changes2_based on steps'!$B340:$U340,'changes2_based on steps'!$B$1:$U$1,AC$1)</f>
        <v>0</v>
      </c>
      <c r="AD340" s="179">
        <f>SUMIFS('recurring2_based on steps'!$B340:$AY340,'recurring2_based on steps'!$B$1:$AY$1,AD$1)+SUMIFS('changes2_based on steps'!$B340:$U340,'changes2_based on steps'!$B$1:$U$1,AD$1)</f>
        <v>0</v>
      </c>
      <c r="AE340" s="179">
        <f>SUMIFS('recurring2_based on steps'!$B340:$AY340,'recurring2_based on steps'!$B$1:$AY$1,AE$1)+SUMIFS('changes2_based on steps'!$B340:$U340,'changes2_based on steps'!$B$1:$U$1,AE$1)</f>
        <v>0</v>
      </c>
      <c r="AF340" s="179"/>
      <c r="AG340" s="179"/>
      <c r="AH340" s="179"/>
      <c r="AI340" s="179"/>
      <c r="AJ340" s="179"/>
      <c r="AK340" s="179"/>
      <c r="AL340" s="179"/>
      <c r="AM340" s="179"/>
    </row>
    <row r="341" spans="1:39" x14ac:dyDescent="0.2">
      <c r="A341" s="32">
        <f t="shared" ca="1" si="5"/>
        <v>46090</v>
      </c>
      <c r="B341" s="179">
        <f>SUMIFS('recurring2_based on steps'!$B341:$AY341,'recurring2_based on steps'!$B$1:$AY$1,B$1)+SUMIFS('changes2_based on steps'!$B341:$U341,'changes2_based on steps'!$B$1:$U$1,B$1)</f>
        <v>0</v>
      </c>
      <c r="C341" s="179">
        <f>SUMIFS('recurring2_based on steps'!$B341:$AY341,'recurring2_based on steps'!$B$1:$AY$1,C$1)+SUMIFS('changes2_based on steps'!$B341:$U341,'changes2_based on steps'!$B$1:$U$1,C$1)</f>
        <v>0</v>
      </c>
      <c r="D341" s="179">
        <f>SUMIFS('recurring2_based on steps'!$B341:$AY341,'recurring2_based on steps'!$B$1:$AY$1,D$1)+SUMIFS('changes2_based on steps'!$B341:$U341,'changes2_based on steps'!$B$1:$U$1,D$1)</f>
        <v>0</v>
      </c>
      <c r="E341" s="179">
        <f>SUMIFS('recurring2_based on steps'!$B341:$AY341,'recurring2_based on steps'!$B$1:$AY$1,E$1)+SUMIFS('changes2_based on steps'!$B341:$U341,'changes2_based on steps'!$B$1:$U$1,E$1)</f>
        <v>0</v>
      </c>
      <c r="F341" s="179">
        <f>SUMIFS('recurring2_based on steps'!$B341:$AY341,'recurring2_based on steps'!$B$1:$AY$1,F$1)+SUMIFS('changes2_based on steps'!$B341:$U341,'changes2_based on steps'!$B$1:$U$1,F$1)</f>
        <v>0</v>
      </c>
      <c r="G341" s="179">
        <f>SUMIFS('recurring2_based on steps'!$B341:$AY341,'recurring2_based on steps'!$B$1:$AY$1,G$1)+SUMIFS('changes2_based on steps'!$B341:$U341,'changes2_based on steps'!$B$1:$U$1,G$1)</f>
        <v>0</v>
      </c>
      <c r="H341" s="179">
        <f>SUMIFS('recurring2_based on steps'!$B341:$AY341,'recurring2_based on steps'!$B$1:$AY$1,H$1)+SUMIFS('changes2_based on steps'!$B341:$U341,'changes2_based on steps'!$B$1:$U$1,H$1)</f>
        <v>0</v>
      </c>
      <c r="I341" s="179">
        <f>SUMIFS('recurring2_based on steps'!$B341:$AY341,'recurring2_based on steps'!$B$1:$AY$1,I$1)+SUMIFS('changes2_based on steps'!$B341:$U341,'changes2_based on steps'!$B$1:$U$1,I$1)</f>
        <v>0</v>
      </c>
      <c r="J341" s="179">
        <f>SUMIFS('recurring2_based on steps'!$B341:$AY341,'recurring2_based on steps'!$B$1:$AY$1,J$1)+SUMIFS('changes2_based on steps'!$B341:$U341,'changes2_based on steps'!$B$1:$U$1,J$1)</f>
        <v>0</v>
      </c>
      <c r="K341" s="179">
        <f>SUMIFS('recurring2_based on steps'!$B341:$AY341,'recurring2_based on steps'!$B$1:$AY$1,K$1)+SUMIFS('changes2_based on steps'!$B341:$U341,'changes2_based on steps'!$B$1:$U$1,K$1)</f>
        <v>0</v>
      </c>
      <c r="L341" s="179">
        <f>SUMIFS('recurring2_based on steps'!$B341:$AY341,'recurring2_based on steps'!$B$1:$AY$1,L$1)+SUMIFS('changes2_based on steps'!$B341:$U341,'changes2_based on steps'!$B$1:$U$1,L$1)</f>
        <v>0</v>
      </c>
      <c r="M341" s="179">
        <f>SUMIFS('recurring2_based on steps'!$B341:$AY341,'recurring2_based on steps'!$B$1:$AY$1,M$1)+SUMIFS('changes2_based on steps'!$B341:$U341,'changes2_based on steps'!$B$1:$U$1,M$1)</f>
        <v>0</v>
      </c>
      <c r="N341" s="179">
        <f>SUMIFS('recurring2_based on steps'!$B341:$AY341,'recurring2_based on steps'!$B$1:$AY$1,N$1)+SUMIFS('changes2_based on steps'!$B341:$U341,'changes2_based on steps'!$B$1:$U$1,N$1)</f>
        <v>0</v>
      </c>
      <c r="O341" s="179">
        <f>SUMIFS('recurring2_based on steps'!$B341:$AY341,'recurring2_based on steps'!$B$1:$AY$1,O$1)+SUMIFS('changes2_based on steps'!$B341:$U341,'changes2_based on steps'!$B$1:$U$1,O$1)</f>
        <v>0</v>
      </c>
      <c r="P341" s="179">
        <f>SUMIFS('recurring2_based on steps'!$B341:$AY341,'recurring2_based on steps'!$B$1:$AY$1,P$1)+SUMIFS('changes2_based on steps'!$B341:$U341,'changes2_based on steps'!$B$1:$U$1,P$1)</f>
        <v>0</v>
      </c>
      <c r="Q341" s="179">
        <f>SUMIFS('recurring2_based on steps'!$B341:$AY341,'recurring2_based on steps'!$B$1:$AY$1,Q$1)+SUMIFS('changes2_based on steps'!$B341:$U341,'changes2_based on steps'!$B$1:$U$1,Q$1)</f>
        <v>0</v>
      </c>
      <c r="R341" s="179">
        <f>SUMIFS('recurring2_based on steps'!$B341:$AY341,'recurring2_based on steps'!$B$1:$AY$1,R$1)+SUMIFS('changes2_based on steps'!$B341:$U341,'changes2_based on steps'!$B$1:$U$1,R$1)</f>
        <v>0</v>
      </c>
      <c r="S341" s="179">
        <f>SUMIFS('recurring2_based on steps'!$B341:$AY341,'recurring2_based on steps'!$B$1:$AY$1,S$1)+SUMIFS('changes2_based on steps'!$B341:$U341,'changes2_based on steps'!$B$1:$U$1,S$1)</f>
        <v>0</v>
      </c>
      <c r="T341" s="179">
        <f>SUMIFS('recurring2_based on steps'!$B341:$AY341,'recurring2_based on steps'!$B$1:$AY$1,T$1)+SUMIFS('changes2_based on steps'!$B341:$U341,'changes2_based on steps'!$B$1:$U$1,T$1)</f>
        <v>0</v>
      </c>
      <c r="U341" s="179">
        <f>SUMIFS('recurring2_based on steps'!$B341:$AY341,'recurring2_based on steps'!$B$1:$AY$1,U$1)+SUMIFS('changes2_based on steps'!$B341:$U341,'changes2_based on steps'!$B$1:$U$1,U$1)</f>
        <v>0</v>
      </c>
      <c r="V341" s="179">
        <f>SUMIFS('recurring2_based on steps'!$B341:$AY341,'recurring2_based on steps'!$B$1:$AY$1,V$1)+SUMIFS('changes2_based on steps'!$B341:$U341,'changes2_based on steps'!$B$1:$U$1,V$1)</f>
        <v>0</v>
      </c>
      <c r="W341" s="179">
        <f>SUMIFS('recurring2_based on steps'!$B341:$AY341,'recurring2_based on steps'!$B$1:$AY$1,W$1)+SUMIFS('changes2_based on steps'!$B341:$U341,'changes2_based on steps'!$B$1:$U$1,W$1)</f>
        <v>0</v>
      </c>
      <c r="X341" s="179">
        <f>SUMIFS('recurring2_based on steps'!$B341:$AY341,'recurring2_based on steps'!$B$1:$AY$1,X$1)+SUMIFS('changes2_based on steps'!$B341:$U341,'changes2_based on steps'!$B$1:$U$1,X$1)</f>
        <v>0</v>
      </c>
      <c r="Y341" s="179">
        <f>SUMIFS('recurring2_based on steps'!$B341:$AY341,'recurring2_based on steps'!$B$1:$AY$1,Y$1)+SUMIFS('changes2_based on steps'!$B341:$U341,'changes2_based on steps'!$B$1:$U$1,Y$1)</f>
        <v>0</v>
      </c>
      <c r="Z341" s="179">
        <f>SUMIFS('recurring2_based on steps'!$B341:$AY341,'recurring2_based on steps'!$B$1:$AY$1,Z$1)+SUMIFS('changes2_based on steps'!$B341:$U341,'changes2_based on steps'!$B$1:$U$1,Z$1)</f>
        <v>0</v>
      </c>
      <c r="AA341" s="179">
        <f>SUMIFS('recurring2_based on steps'!$B341:$AY341,'recurring2_based on steps'!$B$1:$AY$1,AA$1)+SUMIFS('changes2_based on steps'!$B341:$U341,'changes2_based on steps'!$B$1:$U$1,AA$1)</f>
        <v>0</v>
      </c>
      <c r="AB341" s="179">
        <f>SUMIFS('recurring2_based on steps'!$B341:$AY341,'recurring2_based on steps'!$B$1:$AY$1,AB$1)+SUMIFS('changes2_based on steps'!$B341:$U341,'changes2_based on steps'!$B$1:$U$1,AB$1)</f>
        <v>0</v>
      </c>
      <c r="AC341" s="179">
        <f>SUMIFS('recurring2_based on steps'!$B341:$AY341,'recurring2_based on steps'!$B$1:$AY$1,AC$1)+SUMIFS('changes2_based on steps'!$B341:$U341,'changes2_based on steps'!$B$1:$U$1,AC$1)</f>
        <v>0</v>
      </c>
      <c r="AD341" s="179">
        <f>SUMIFS('recurring2_based on steps'!$B341:$AY341,'recurring2_based on steps'!$B$1:$AY$1,AD$1)+SUMIFS('changes2_based on steps'!$B341:$U341,'changes2_based on steps'!$B$1:$U$1,AD$1)</f>
        <v>0</v>
      </c>
      <c r="AE341" s="179">
        <f>SUMIFS('recurring2_based on steps'!$B341:$AY341,'recurring2_based on steps'!$B$1:$AY$1,AE$1)+SUMIFS('changes2_based on steps'!$B341:$U341,'changes2_based on steps'!$B$1:$U$1,AE$1)</f>
        <v>0</v>
      </c>
      <c r="AF341" s="179"/>
      <c r="AG341" s="179"/>
      <c r="AH341" s="179"/>
      <c r="AI341" s="179"/>
      <c r="AJ341" s="179"/>
      <c r="AK341" s="179"/>
      <c r="AL341" s="179"/>
      <c r="AM341" s="179"/>
    </row>
    <row r="342" spans="1:39" x14ac:dyDescent="0.2">
      <c r="A342" s="32">
        <f t="shared" ca="1" si="5"/>
        <v>46091</v>
      </c>
      <c r="B342" s="179">
        <f>SUMIFS('recurring2_based on steps'!$B342:$AY342,'recurring2_based on steps'!$B$1:$AY$1,B$1)+SUMIFS('changes2_based on steps'!$B342:$U342,'changes2_based on steps'!$B$1:$U$1,B$1)</f>
        <v>0</v>
      </c>
      <c r="C342" s="179">
        <f>SUMIFS('recurring2_based on steps'!$B342:$AY342,'recurring2_based on steps'!$B$1:$AY$1,C$1)+SUMIFS('changes2_based on steps'!$B342:$U342,'changes2_based on steps'!$B$1:$U$1,C$1)</f>
        <v>0</v>
      </c>
      <c r="D342" s="179">
        <f>SUMIFS('recurring2_based on steps'!$B342:$AY342,'recurring2_based on steps'!$B$1:$AY$1,D$1)+SUMIFS('changes2_based on steps'!$B342:$U342,'changes2_based on steps'!$B$1:$U$1,D$1)</f>
        <v>0</v>
      </c>
      <c r="E342" s="179">
        <f>SUMIFS('recurring2_based on steps'!$B342:$AY342,'recurring2_based on steps'!$B$1:$AY$1,E$1)+SUMIFS('changes2_based on steps'!$B342:$U342,'changes2_based on steps'!$B$1:$U$1,E$1)</f>
        <v>0</v>
      </c>
      <c r="F342" s="179">
        <f>SUMIFS('recurring2_based on steps'!$B342:$AY342,'recurring2_based on steps'!$B$1:$AY$1,F$1)+SUMIFS('changes2_based on steps'!$B342:$U342,'changes2_based on steps'!$B$1:$U$1,F$1)</f>
        <v>0</v>
      </c>
      <c r="G342" s="179">
        <f>SUMIFS('recurring2_based on steps'!$B342:$AY342,'recurring2_based on steps'!$B$1:$AY$1,G$1)+SUMIFS('changes2_based on steps'!$B342:$U342,'changes2_based on steps'!$B$1:$U$1,G$1)</f>
        <v>0</v>
      </c>
      <c r="H342" s="179">
        <f>SUMIFS('recurring2_based on steps'!$B342:$AY342,'recurring2_based on steps'!$B$1:$AY$1,H$1)+SUMIFS('changes2_based on steps'!$B342:$U342,'changes2_based on steps'!$B$1:$U$1,H$1)</f>
        <v>0</v>
      </c>
      <c r="I342" s="179">
        <f>SUMIFS('recurring2_based on steps'!$B342:$AY342,'recurring2_based on steps'!$B$1:$AY$1,I$1)+SUMIFS('changes2_based on steps'!$B342:$U342,'changes2_based on steps'!$B$1:$U$1,I$1)</f>
        <v>0</v>
      </c>
      <c r="J342" s="179">
        <f>SUMIFS('recurring2_based on steps'!$B342:$AY342,'recurring2_based on steps'!$B$1:$AY$1,J$1)+SUMIFS('changes2_based on steps'!$B342:$U342,'changes2_based on steps'!$B$1:$U$1,J$1)</f>
        <v>0</v>
      </c>
      <c r="K342" s="179">
        <f>SUMIFS('recurring2_based on steps'!$B342:$AY342,'recurring2_based on steps'!$B$1:$AY$1,K$1)+SUMIFS('changes2_based on steps'!$B342:$U342,'changes2_based on steps'!$B$1:$U$1,K$1)</f>
        <v>0</v>
      </c>
      <c r="L342" s="179">
        <f>SUMIFS('recurring2_based on steps'!$B342:$AY342,'recurring2_based on steps'!$B$1:$AY$1,L$1)+SUMIFS('changes2_based on steps'!$B342:$U342,'changes2_based on steps'!$B$1:$U$1,L$1)</f>
        <v>0</v>
      </c>
      <c r="M342" s="179">
        <f>SUMIFS('recurring2_based on steps'!$B342:$AY342,'recurring2_based on steps'!$B$1:$AY$1,M$1)+SUMIFS('changes2_based on steps'!$B342:$U342,'changes2_based on steps'!$B$1:$U$1,M$1)</f>
        <v>0</v>
      </c>
      <c r="N342" s="179">
        <f>SUMIFS('recurring2_based on steps'!$B342:$AY342,'recurring2_based on steps'!$B$1:$AY$1,N$1)+SUMIFS('changes2_based on steps'!$B342:$U342,'changes2_based on steps'!$B$1:$U$1,N$1)</f>
        <v>0</v>
      </c>
      <c r="O342" s="179">
        <f>SUMIFS('recurring2_based on steps'!$B342:$AY342,'recurring2_based on steps'!$B$1:$AY$1,O$1)+SUMIFS('changes2_based on steps'!$B342:$U342,'changes2_based on steps'!$B$1:$U$1,O$1)</f>
        <v>0</v>
      </c>
      <c r="P342" s="179">
        <f>SUMIFS('recurring2_based on steps'!$B342:$AY342,'recurring2_based on steps'!$B$1:$AY$1,P$1)+SUMIFS('changes2_based on steps'!$B342:$U342,'changes2_based on steps'!$B$1:$U$1,P$1)</f>
        <v>0</v>
      </c>
      <c r="Q342" s="179">
        <f>SUMIFS('recurring2_based on steps'!$B342:$AY342,'recurring2_based on steps'!$B$1:$AY$1,Q$1)+SUMIFS('changes2_based on steps'!$B342:$U342,'changes2_based on steps'!$B$1:$U$1,Q$1)</f>
        <v>0</v>
      </c>
      <c r="R342" s="179">
        <f>SUMIFS('recurring2_based on steps'!$B342:$AY342,'recurring2_based on steps'!$B$1:$AY$1,R$1)+SUMIFS('changes2_based on steps'!$B342:$U342,'changes2_based on steps'!$B$1:$U$1,R$1)</f>
        <v>0</v>
      </c>
      <c r="S342" s="179">
        <f>SUMIFS('recurring2_based on steps'!$B342:$AY342,'recurring2_based on steps'!$B$1:$AY$1,S$1)+SUMIFS('changes2_based on steps'!$B342:$U342,'changes2_based on steps'!$B$1:$U$1,S$1)</f>
        <v>0</v>
      </c>
      <c r="T342" s="179">
        <f>SUMIFS('recurring2_based on steps'!$B342:$AY342,'recurring2_based on steps'!$B$1:$AY$1,T$1)+SUMIFS('changes2_based on steps'!$B342:$U342,'changes2_based on steps'!$B$1:$U$1,T$1)</f>
        <v>0</v>
      </c>
      <c r="U342" s="179">
        <f>SUMIFS('recurring2_based on steps'!$B342:$AY342,'recurring2_based on steps'!$B$1:$AY$1,U$1)+SUMIFS('changes2_based on steps'!$B342:$U342,'changes2_based on steps'!$B$1:$U$1,U$1)</f>
        <v>0</v>
      </c>
      <c r="V342" s="179">
        <f>SUMIFS('recurring2_based on steps'!$B342:$AY342,'recurring2_based on steps'!$B$1:$AY$1,V$1)+SUMIFS('changes2_based on steps'!$B342:$U342,'changes2_based on steps'!$B$1:$U$1,V$1)</f>
        <v>0</v>
      </c>
      <c r="W342" s="179">
        <f>SUMIFS('recurring2_based on steps'!$B342:$AY342,'recurring2_based on steps'!$B$1:$AY$1,W$1)+SUMIFS('changes2_based on steps'!$B342:$U342,'changes2_based on steps'!$B$1:$U$1,W$1)</f>
        <v>0</v>
      </c>
      <c r="X342" s="179">
        <f>SUMIFS('recurring2_based on steps'!$B342:$AY342,'recurring2_based on steps'!$B$1:$AY$1,X$1)+SUMIFS('changes2_based on steps'!$B342:$U342,'changes2_based on steps'!$B$1:$U$1,X$1)</f>
        <v>0</v>
      </c>
      <c r="Y342" s="179">
        <f>SUMIFS('recurring2_based on steps'!$B342:$AY342,'recurring2_based on steps'!$B$1:$AY$1,Y$1)+SUMIFS('changes2_based on steps'!$B342:$U342,'changes2_based on steps'!$B$1:$U$1,Y$1)</f>
        <v>0</v>
      </c>
      <c r="Z342" s="179">
        <f>SUMIFS('recurring2_based on steps'!$B342:$AY342,'recurring2_based on steps'!$B$1:$AY$1,Z$1)+SUMIFS('changes2_based on steps'!$B342:$U342,'changes2_based on steps'!$B$1:$U$1,Z$1)</f>
        <v>0</v>
      </c>
      <c r="AA342" s="179">
        <f>SUMIFS('recurring2_based on steps'!$B342:$AY342,'recurring2_based on steps'!$B$1:$AY$1,AA$1)+SUMIFS('changes2_based on steps'!$B342:$U342,'changes2_based on steps'!$B$1:$U$1,AA$1)</f>
        <v>0</v>
      </c>
      <c r="AB342" s="179">
        <f>SUMIFS('recurring2_based on steps'!$B342:$AY342,'recurring2_based on steps'!$B$1:$AY$1,AB$1)+SUMIFS('changes2_based on steps'!$B342:$U342,'changes2_based on steps'!$B$1:$U$1,AB$1)</f>
        <v>0</v>
      </c>
      <c r="AC342" s="179">
        <f>SUMIFS('recurring2_based on steps'!$B342:$AY342,'recurring2_based on steps'!$B$1:$AY$1,AC$1)+SUMIFS('changes2_based on steps'!$B342:$U342,'changes2_based on steps'!$B$1:$U$1,AC$1)</f>
        <v>0</v>
      </c>
      <c r="AD342" s="179">
        <f>SUMIFS('recurring2_based on steps'!$B342:$AY342,'recurring2_based on steps'!$B$1:$AY$1,AD$1)+SUMIFS('changes2_based on steps'!$B342:$U342,'changes2_based on steps'!$B$1:$U$1,AD$1)</f>
        <v>0</v>
      </c>
      <c r="AE342" s="179">
        <f>SUMIFS('recurring2_based on steps'!$B342:$AY342,'recurring2_based on steps'!$B$1:$AY$1,AE$1)+SUMIFS('changes2_based on steps'!$B342:$U342,'changes2_based on steps'!$B$1:$U$1,AE$1)</f>
        <v>0</v>
      </c>
      <c r="AF342" s="179"/>
      <c r="AG342" s="179"/>
      <c r="AH342" s="179"/>
      <c r="AI342" s="179"/>
      <c r="AJ342" s="179"/>
      <c r="AK342" s="179"/>
      <c r="AL342" s="179"/>
      <c r="AM342" s="179"/>
    </row>
    <row r="343" spans="1:39" x14ac:dyDescent="0.2">
      <c r="A343" s="32">
        <f t="shared" ca="1" si="5"/>
        <v>46092</v>
      </c>
      <c r="B343" s="179">
        <f>SUMIFS('recurring2_based on steps'!$B343:$AY343,'recurring2_based on steps'!$B$1:$AY$1,B$1)+SUMIFS('changes2_based on steps'!$B343:$U343,'changes2_based on steps'!$B$1:$U$1,B$1)</f>
        <v>0</v>
      </c>
      <c r="C343" s="179">
        <f>SUMIFS('recurring2_based on steps'!$B343:$AY343,'recurring2_based on steps'!$B$1:$AY$1,C$1)+SUMIFS('changes2_based on steps'!$B343:$U343,'changes2_based on steps'!$B$1:$U$1,C$1)</f>
        <v>0</v>
      </c>
      <c r="D343" s="179">
        <f>SUMIFS('recurring2_based on steps'!$B343:$AY343,'recurring2_based on steps'!$B$1:$AY$1,D$1)+SUMIFS('changes2_based on steps'!$B343:$U343,'changes2_based on steps'!$B$1:$U$1,D$1)</f>
        <v>0</v>
      </c>
      <c r="E343" s="179">
        <f>SUMIFS('recurring2_based on steps'!$B343:$AY343,'recurring2_based on steps'!$B$1:$AY$1,E$1)+SUMIFS('changes2_based on steps'!$B343:$U343,'changes2_based on steps'!$B$1:$U$1,E$1)</f>
        <v>0</v>
      </c>
      <c r="F343" s="179">
        <f>SUMIFS('recurring2_based on steps'!$B343:$AY343,'recurring2_based on steps'!$B$1:$AY$1,F$1)+SUMIFS('changes2_based on steps'!$B343:$U343,'changes2_based on steps'!$B$1:$U$1,F$1)</f>
        <v>0</v>
      </c>
      <c r="G343" s="179">
        <f>SUMIFS('recurring2_based on steps'!$B343:$AY343,'recurring2_based on steps'!$B$1:$AY$1,G$1)+SUMIFS('changes2_based on steps'!$B343:$U343,'changes2_based on steps'!$B$1:$U$1,G$1)</f>
        <v>0</v>
      </c>
      <c r="H343" s="179">
        <f>SUMIFS('recurring2_based on steps'!$B343:$AY343,'recurring2_based on steps'!$B$1:$AY$1,H$1)+SUMIFS('changes2_based on steps'!$B343:$U343,'changes2_based on steps'!$B$1:$U$1,H$1)</f>
        <v>0</v>
      </c>
      <c r="I343" s="179">
        <f>SUMIFS('recurring2_based on steps'!$B343:$AY343,'recurring2_based on steps'!$B$1:$AY$1,I$1)+SUMIFS('changes2_based on steps'!$B343:$U343,'changes2_based on steps'!$B$1:$U$1,I$1)</f>
        <v>0</v>
      </c>
      <c r="J343" s="179">
        <f>SUMIFS('recurring2_based on steps'!$B343:$AY343,'recurring2_based on steps'!$B$1:$AY$1,J$1)+SUMIFS('changes2_based on steps'!$B343:$U343,'changes2_based on steps'!$B$1:$U$1,J$1)</f>
        <v>0</v>
      </c>
      <c r="K343" s="179">
        <f>SUMIFS('recurring2_based on steps'!$B343:$AY343,'recurring2_based on steps'!$B$1:$AY$1,K$1)+SUMIFS('changes2_based on steps'!$B343:$U343,'changes2_based on steps'!$B$1:$U$1,K$1)</f>
        <v>0</v>
      </c>
      <c r="L343" s="179">
        <f>SUMIFS('recurring2_based on steps'!$B343:$AY343,'recurring2_based on steps'!$B$1:$AY$1,L$1)+SUMIFS('changes2_based on steps'!$B343:$U343,'changes2_based on steps'!$B$1:$U$1,L$1)</f>
        <v>0</v>
      </c>
      <c r="M343" s="179">
        <f>SUMIFS('recurring2_based on steps'!$B343:$AY343,'recurring2_based on steps'!$B$1:$AY$1,M$1)+SUMIFS('changes2_based on steps'!$B343:$U343,'changes2_based on steps'!$B$1:$U$1,M$1)</f>
        <v>0</v>
      </c>
      <c r="N343" s="179">
        <f>SUMIFS('recurring2_based on steps'!$B343:$AY343,'recurring2_based on steps'!$B$1:$AY$1,N$1)+SUMIFS('changes2_based on steps'!$B343:$U343,'changes2_based on steps'!$B$1:$U$1,N$1)</f>
        <v>0</v>
      </c>
      <c r="O343" s="179">
        <f>SUMIFS('recurring2_based on steps'!$B343:$AY343,'recurring2_based on steps'!$B$1:$AY$1,O$1)+SUMIFS('changes2_based on steps'!$B343:$U343,'changes2_based on steps'!$B$1:$U$1,O$1)</f>
        <v>0</v>
      </c>
      <c r="P343" s="179">
        <f>SUMIFS('recurring2_based on steps'!$B343:$AY343,'recurring2_based on steps'!$B$1:$AY$1,P$1)+SUMIFS('changes2_based on steps'!$B343:$U343,'changes2_based on steps'!$B$1:$U$1,P$1)</f>
        <v>0</v>
      </c>
      <c r="Q343" s="179">
        <f>SUMIFS('recurring2_based on steps'!$B343:$AY343,'recurring2_based on steps'!$B$1:$AY$1,Q$1)+SUMIFS('changes2_based on steps'!$B343:$U343,'changes2_based on steps'!$B$1:$U$1,Q$1)</f>
        <v>0</v>
      </c>
      <c r="R343" s="179">
        <f>SUMIFS('recurring2_based on steps'!$B343:$AY343,'recurring2_based on steps'!$B$1:$AY$1,R$1)+SUMIFS('changes2_based on steps'!$B343:$U343,'changes2_based on steps'!$B$1:$U$1,R$1)</f>
        <v>0</v>
      </c>
      <c r="S343" s="179">
        <f>SUMIFS('recurring2_based on steps'!$B343:$AY343,'recurring2_based on steps'!$B$1:$AY$1,S$1)+SUMIFS('changes2_based on steps'!$B343:$U343,'changes2_based on steps'!$B$1:$U$1,S$1)</f>
        <v>0</v>
      </c>
      <c r="T343" s="179">
        <f>SUMIFS('recurring2_based on steps'!$B343:$AY343,'recurring2_based on steps'!$B$1:$AY$1,T$1)+SUMIFS('changes2_based on steps'!$B343:$U343,'changes2_based on steps'!$B$1:$U$1,T$1)</f>
        <v>0</v>
      </c>
      <c r="U343" s="179">
        <f>SUMIFS('recurring2_based on steps'!$B343:$AY343,'recurring2_based on steps'!$B$1:$AY$1,U$1)+SUMIFS('changes2_based on steps'!$B343:$U343,'changes2_based on steps'!$B$1:$U$1,U$1)</f>
        <v>0</v>
      </c>
      <c r="V343" s="179">
        <f>SUMIFS('recurring2_based on steps'!$B343:$AY343,'recurring2_based on steps'!$B$1:$AY$1,V$1)+SUMIFS('changes2_based on steps'!$B343:$U343,'changes2_based on steps'!$B$1:$U$1,V$1)</f>
        <v>0</v>
      </c>
      <c r="W343" s="179">
        <f>SUMIFS('recurring2_based on steps'!$B343:$AY343,'recurring2_based on steps'!$B$1:$AY$1,W$1)+SUMIFS('changes2_based on steps'!$B343:$U343,'changes2_based on steps'!$B$1:$U$1,W$1)</f>
        <v>0</v>
      </c>
      <c r="X343" s="179">
        <f>SUMIFS('recurring2_based on steps'!$B343:$AY343,'recurring2_based on steps'!$B$1:$AY$1,X$1)+SUMIFS('changes2_based on steps'!$B343:$U343,'changes2_based on steps'!$B$1:$U$1,X$1)</f>
        <v>0</v>
      </c>
      <c r="Y343" s="179">
        <f>SUMIFS('recurring2_based on steps'!$B343:$AY343,'recurring2_based on steps'!$B$1:$AY$1,Y$1)+SUMIFS('changes2_based on steps'!$B343:$U343,'changes2_based on steps'!$B$1:$U$1,Y$1)</f>
        <v>0</v>
      </c>
      <c r="Z343" s="179">
        <f>SUMIFS('recurring2_based on steps'!$B343:$AY343,'recurring2_based on steps'!$B$1:$AY$1,Z$1)+SUMIFS('changes2_based on steps'!$B343:$U343,'changes2_based on steps'!$B$1:$U$1,Z$1)</f>
        <v>0</v>
      </c>
      <c r="AA343" s="179">
        <f>SUMIFS('recurring2_based on steps'!$B343:$AY343,'recurring2_based on steps'!$B$1:$AY$1,AA$1)+SUMIFS('changes2_based on steps'!$B343:$U343,'changes2_based on steps'!$B$1:$U$1,AA$1)</f>
        <v>0</v>
      </c>
      <c r="AB343" s="179">
        <f>SUMIFS('recurring2_based on steps'!$B343:$AY343,'recurring2_based on steps'!$B$1:$AY$1,AB$1)+SUMIFS('changes2_based on steps'!$B343:$U343,'changes2_based on steps'!$B$1:$U$1,AB$1)</f>
        <v>0</v>
      </c>
      <c r="AC343" s="179">
        <f>SUMIFS('recurring2_based on steps'!$B343:$AY343,'recurring2_based on steps'!$B$1:$AY$1,AC$1)+SUMIFS('changes2_based on steps'!$B343:$U343,'changes2_based on steps'!$B$1:$U$1,AC$1)</f>
        <v>0</v>
      </c>
      <c r="AD343" s="179">
        <f>SUMIFS('recurring2_based on steps'!$B343:$AY343,'recurring2_based on steps'!$B$1:$AY$1,AD$1)+SUMIFS('changes2_based on steps'!$B343:$U343,'changes2_based on steps'!$B$1:$U$1,AD$1)</f>
        <v>0</v>
      </c>
      <c r="AE343" s="179">
        <f>SUMIFS('recurring2_based on steps'!$B343:$AY343,'recurring2_based on steps'!$B$1:$AY$1,AE$1)+SUMIFS('changes2_based on steps'!$B343:$U343,'changes2_based on steps'!$B$1:$U$1,AE$1)</f>
        <v>0</v>
      </c>
      <c r="AF343" s="179"/>
      <c r="AG343" s="179"/>
      <c r="AH343" s="179"/>
      <c r="AI343" s="179"/>
      <c r="AJ343" s="179"/>
      <c r="AK343" s="179"/>
      <c r="AL343" s="179"/>
      <c r="AM343" s="179"/>
    </row>
    <row r="344" spans="1:39" x14ac:dyDescent="0.2">
      <c r="A344" s="32">
        <f t="shared" ca="1" si="5"/>
        <v>46093</v>
      </c>
      <c r="B344" s="179">
        <f>SUMIFS('recurring2_based on steps'!$B344:$AY344,'recurring2_based on steps'!$B$1:$AY$1,B$1)+SUMIFS('changes2_based on steps'!$B344:$U344,'changes2_based on steps'!$B$1:$U$1,B$1)</f>
        <v>0</v>
      </c>
      <c r="C344" s="179">
        <f>SUMIFS('recurring2_based on steps'!$B344:$AY344,'recurring2_based on steps'!$B$1:$AY$1,C$1)+SUMIFS('changes2_based on steps'!$B344:$U344,'changes2_based on steps'!$B$1:$U$1,C$1)</f>
        <v>0</v>
      </c>
      <c r="D344" s="179">
        <f>SUMIFS('recurring2_based on steps'!$B344:$AY344,'recurring2_based on steps'!$B$1:$AY$1,D$1)+SUMIFS('changes2_based on steps'!$B344:$U344,'changes2_based on steps'!$B$1:$U$1,D$1)</f>
        <v>0</v>
      </c>
      <c r="E344" s="179">
        <f>SUMIFS('recurring2_based on steps'!$B344:$AY344,'recurring2_based on steps'!$B$1:$AY$1,E$1)+SUMIFS('changes2_based on steps'!$B344:$U344,'changes2_based on steps'!$B$1:$U$1,E$1)</f>
        <v>0</v>
      </c>
      <c r="F344" s="179">
        <f>SUMIFS('recurring2_based on steps'!$B344:$AY344,'recurring2_based on steps'!$B$1:$AY$1,F$1)+SUMIFS('changes2_based on steps'!$B344:$U344,'changes2_based on steps'!$B$1:$U$1,F$1)</f>
        <v>0</v>
      </c>
      <c r="G344" s="179">
        <f>SUMIFS('recurring2_based on steps'!$B344:$AY344,'recurring2_based on steps'!$B$1:$AY$1,G$1)+SUMIFS('changes2_based on steps'!$B344:$U344,'changes2_based on steps'!$B$1:$U$1,G$1)</f>
        <v>0</v>
      </c>
      <c r="H344" s="179">
        <f>SUMIFS('recurring2_based on steps'!$B344:$AY344,'recurring2_based on steps'!$B$1:$AY$1,H$1)+SUMIFS('changes2_based on steps'!$B344:$U344,'changes2_based on steps'!$B$1:$U$1,H$1)</f>
        <v>0</v>
      </c>
      <c r="I344" s="179">
        <f>SUMIFS('recurring2_based on steps'!$B344:$AY344,'recurring2_based on steps'!$B$1:$AY$1,I$1)+SUMIFS('changes2_based on steps'!$B344:$U344,'changes2_based on steps'!$B$1:$U$1,I$1)</f>
        <v>0</v>
      </c>
      <c r="J344" s="179">
        <f>SUMIFS('recurring2_based on steps'!$B344:$AY344,'recurring2_based on steps'!$B$1:$AY$1,J$1)+SUMIFS('changes2_based on steps'!$B344:$U344,'changes2_based on steps'!$B$1:$U$1,J$1)</f>
        <v>0</v>
      </c>
      <c r="K344" s="179">
        <f>SUMIFS('recurring2_based on steps'!$B344:$AY344,'recurring2_based on steps'!$B$1:$AY$1,K$1)+SUMIFS('changes2_based on steps'!$B344:$U344,'changes2_based on steps'!$B$1:$U$1,K$1)</f>
        <v>0</v>
      </c>
      <c r="L344" s="179">
        <f>SUMIFS('recurring2_based on steps'!$B344:$AY344,'recurring2_based on steps'!$B$1:$AY$1,L$1)+SUMIFS('changes2_based on steps'!$B344:$U344,'changes2_based on steps'!$B$1:$U$1,L$1)</f>
        <v>0</v>
      </c>
      <c r="M344" s="179">
        <f>SUMIFS('recurring2_based on steps'!$B344:$AY344,'recurring2_based on steps'!$B$1:$AY$1,M$1)+SUMIFS('changes2_based on steps'!$B344:$U344,'changes2_based on steps'!$B$1:$U$1,M$1)</f>
        <v>0</v>
      </c>
      <c r="N344" s="179">
        <f>SUMIFS('recurring2_based on steps'!$B344:$AY344,'recurring2_based on steps'!$B$1:$AY$1,N$1)+SUMIFS('changes2_based on steps'!$B344:$U344,'changes2_based on steps'!$B$1:$U$1,N$1)</f>
        <v>0</v>
      </c>
      <c r="O344" s="179">
        <f>SUMIFS('recurring2_based on steps'!$B344:$AY344,'recurring2_based on steps'!$B$1:$AY$1,O$1)+SUMIFS('changes2_based on steps'!$B344:$U344,'changes2_based on steps'!$B$1:$U$1,O$1)</f>
        <v>0</v>
      </c>
      <c r="P344" s="179">
        <f>SUMIFS('recurring2_based on steps'!$B344:$AY344,'recurring2_based on steps'!$B$1:$AY$1,P$1)+SUMIFS('changes2_based on steps'!$B344:$U344,'changes2_based on steps'!$B$1:$U$1,P$1)</f>
        <v>0</v>
      </c>
      <c r="Q344" s="179">
        <f>SUMIFS('recurring2_based on steps'!$B344:$AY344,'recurring2_based on steps'!$B$1:$AY$1,Q$1)+SUMIFS('changes2_based on steps'!$B344:$U344,'changes2_based on steps'!$B$1:$U$1,Q$1)</f>
        <v>0</v>
      </c>
      <c r="R344" s="179">
        <f>SUMIFS('recurring2_based on steps'!$B344:$AY344,'recurring2_based on steps'!$B$1:$AY$1,R$1)+SUMIFS('changes2_based on steps'!$B344:$U344,'changes2_based on steps'!$B$1:$U$1,R$1)</f>
        <v>0</v>
      </c>
      <c r="S344" s="179">
        <f>SUMIFS('recurring2_based on steps'!$B344:$AY344,'recurring2_based on steps'!$B$1:$AY$1,S$1)+SUMIFS('changes2_based on steps'!$B344:$U344,'changes2_based on steps'!$B$1:$U$1,S$1)</f>
        <v>0</v>
      </c>
      <c r="T344" s="179">
        <f>SUMIFS('recurring2_based on steps'!$B344:$AY344,'recurring2_based on steps'!$B$1:$AY$1,T$1)+SUMIFS('changes2_based on steps'!$B344:$U344,'changes2_based on steps'!$B$1:$U$1,T$1)</f>
        <v>0</v>
      </c>
      <c r="U344" s="179">
        <f>SUMIFS('recurring2_based on steps'!$B344:$AY344,'recurring2_based on steps'!$B$1:$AY$1,U$1)+SUMIFS('changes2_based on steps'!$B344:$U344,'changes2_based on steps'!$B$1:$U$1,U$1)</f>
        <v>0</v>
      </c>
      <c r="V344" s="179">
        <f>SUMIFS('recurring2_based on steps'!$B344:$AY344,'recurring2_based on steps'!$B$1:$AY$1,V$1)+SUMIFS('changes2_based on steps'!$B344:$U344,'changes2_based on steps'!$B$1:$U$1,V$1)</f>
        <v>0</v>
      </c>
      <c r="W344" s="179">
        <f>SUMIFS('recurring2_based on steps'!$B344:$AY344,'recurring2_based on steps'!$B$1:$AY$1,W$1)+SUMIFS('changes2_based on steps'!$B344:$U344,'changes2_based on steps'!$B$1:$U$1,W$1)</f>
        <v>0</v>
      </c>
      <c r="X344" s="179">
        <f>SUMIFS('recurring2_based on steps'!$B344:$AY344,'recurring2_based on steps'!$B$1:$AY$1,X$1)+SUMIFS('changes2_based on steps'!$B344:$U344,'changes2_based on steps'!$B$1:$U$1,X$1)</f>
        <v>0</v>
      </c>
      <c r="Y344" s="179">
        <f>SUMIFS('recurring2_based on steps'!$B344:$AY344,'recurring2_based on steps'!$B$1:$AY$1,Y$1)+SUMIFS('changes2_based on steps'!$B344:$U344,'changes2_based on steps'!$B$1:$U$1,Y$1)</f>
        <v>0</v>
      </c>
      <c r="Z344" s="179">
        <f>SUMIFS('recurring2_based on steps'!$B344:$AY344,'recurring2_based on steps'!$B$1:$AY$1,Z$1)+SUMIFS('changes2_based on steps'!$B344:$U344,'changes2_based on steps'!$B$1:$U$1,Z$1)</f>
        <v>0</v>
      </c>
      <c r="AA344" s="179">
        <f>SUMIFS('recurring2_based on steps'!$B344:$AY344,'recurring2_based on steps'!$B$1:$AY$1,AA$1)+SUMIFS('changes2_based on steps'!$B344:$U344,'changes2_based on steps'!$B$1:$U$1,AA$1)</f>
        <v>0</v>
      </c>
      <c r="AB344" s="179">
        <f>SUMIFS('recurring2_based on steps'!$B344:$AY344,'recurring2_based on steps'!$B$1:$AY$1,AB$1)+SUMIFS('changes2_based on steps'!$B344:$U344,'changes2_based on steps'!$B$1:$U$1,AB$1)</f>
        <v>0</v>
      </c>
      <c r="AC344" s="179">
        <f>SUMIFS('recurring2_based on steps'!$B344:$AY344,'recurring2_based on steps'!$B$1:$AY$1,AC$1)+SUMIFS('changes2_based on steps'!$B344:$U344,'changes2_based on steps'!$B$1:$U$1,AC$1)</f>
        <v>0</v>
      </c>
      <c r="AD344" s="179">
        <f>SUMIFS('recurring2_based on steps'!$B344:$AY344,'recurring2_based on steps'!$B$1:$AY$1,AD$1)+SUMIFS('changes2_based on steps'!$B344:$U344,'changes2_based on steps'!$B$1:$U$1,AD$1)</f>
        <v>0</v>
      </c>
      <c r="AE344" s="179">
        <f>SUMIFS('recurring2_based on steps'!$B344:$AY344,'recurring2_based on steps'!$B$1:$AY$1,AE$1)+SUMIFS('changes2_based on steps'!$B344:$U344,'changes2_based on steps'!$B$1:$U$1,AE$1)</f>
        <v>0</v>
      </c>
      <c r="AF344" s="179"/>
      <c r="AG344" s="179"/>
      <c r="AH344" s="179"/>
      <c r="AI344" s="179"/>
      <c r="AJ344" s="179"/>
      <c r="AK344" s="179"/>
      <c r="AL344" s="179"/>
      <c r="AM344" s="179"/>
    </row>
    <row r="345" spans="1:39" x14ac:dyDescent="0.2">
      <c r="A345" s="32">
        <f t="shared" ca="1" si="5"/>
        <v>46094</v>
      </c>
      <c r="B345" s="179">
        <f>SUMIFS('recurring2_based on steps'!$B345:$AY345,'recurring2_based on steps'!$B$1:$AY$1,B$1)+SUMIFS('changes2_based on steps'!$B345:$U345,'changes2_based on steps'!$B$1:$U$1,B$1)</f>
        <v>0</v>
      </c>
      <c r="C345" s="179">
        <f>SUMIFS('recurring2_based on steps'!$B345:$AY345,'recurring2_based on steps'!$B$1:$AY$1,C$1)+SUMIFS('changes2_based on steps'!$B345:$U345,'changes2_based on steps'!$B$1:$U$1,C$1)</f>
        <v>0</v>
      </c>
      <c r="D345" s="179">
        <f>SUMIFS('recurring2_based on steps'!$B345:$AY345,'recurring2_based on steps'!$B$1:$AY$1,D$1)+SUMIFS('changes2_based on steps'!$B345:$U345,'changes2_based on steps'!$B$1:$U$1,D$1)</f>
        <v>0</v>
      </c>
      <c r="E345" s="179">
        <f>SUMIFS('recurring2_based on steps'!$B345:$AY345,'recurring2_based on steps'!$B$1:$AY$1,E$1)+SUMIFS('changes2_based on steps'!$B345:$U345,'changes2_based on steps'!$B$1:$U$1,E$1)</f>
        <v>0</v>
      </c>
      <c r="F345" s="179">
        <f>SUMIFS('recurring2_based on steps'!$B345:$AY345,'recurring2_based on steps'!$B$1:$AY$1,F$1)+SUMIFS('changes2_based on steps'!$B345:$U345,'changes2_based on steps'!$B$1:$U$1,F$1)</f>
        <v>0</v>
      </c>
      <c r="G345" s="179">
        <f>SUMIFS('recurring2_based on steps'!$B345:$AY345,'recurring2_based on steps'!$B$1:$AY$1,G$1)+SUMIFS('changes2_based on steps'!$B345:$U345,'changes2_based on steps'!$B$1:$U$1,G$1)</f>
        <v>0</v>
      </c>
      <c r="H345" s="179">
        <f>SUMIFS('recurring2_based on steps'!$B345:$AY345,'recurring2_based on steps'!$B$1:$AY$1,H$1)+SUMIFS('changes2_based on steps'!$B345:$U345,'changes2_based on steps'!$B$1:$U$1,H$1)</f>
        <v>0</v>
      </c>
      <c r="I345" s="179">
        <f>SUMIFS('recurring2_based on steps'!$B345:$AY345,'recurring2_based on steps'!$B$1:$AY$1,I$1)+SUMIFS('changes2_based on steps'!$B345:$U345,'changes2_based on steps'!$B$1:$U$1,I$1)</f>
        <v>0</v>
      </c>
      <c r="J345" s="179">
        <f>SUMIFS('recurring2_based on steps'!$B345:$AY345,'recurring2_based on steps'!$B$1:$AY$1,J$1)+SUMIFS('changes2_based on steps'!$B345:$U345,'changes2_based on steps'!$B$1:$U$1,J$1)</f>
        <v>0</v>
      </c>
      <c r="K345" s="179">
        <f>SUMIFS('recurring2_based on steps'!$B345:$AY345,'recurring2_based on steps'!$B$1:$AY$1,K$1)+SUMIFS('changes2_based on steps'!$B345:$U345,'changes2_based on steps'!$B$1:$U$1,K$1)</f>
        <v>0</v>
      </c>
      <c r="L345" s="179">
        <f>SUMIFS('recurring2_based on steps'!$B345:$AY345,'recurring2_based on steps'!$B$1:$AY$1,L$1)+SUMIFS('changes2_based on steps'!$B345:$U345,'changes2_based on steps'!$B$1:$U$1,L$1)</f>
        <v>0</v>
      </c>
      <c r="M345" s="179">
        <f>SUMIFS('recurring2_based on steps'!$B345:$AY345,'recurring2_based on steps'!$B$1:$AY$1,M$1)+SUMIFS('changes2_based on steps'!$B345:$U345,'changes2_based on steps'!$B$1:$U$1,M$1)</f>
        <v>0</v>
      </c>
      <c r="N345" s="179">
        <f>SUMIFS('recurring2_based on steps'!$B345:$AY345,'recurring2_based on steps'!$B$1:$AY$1,N$1)+SUMIFS('changes2_based on steps'!$B345:$U345,'changes2_based on steps'!$B$1:$U$1,N$1)</f>
        <v>0</v>
      </c>
      <c r="O345" s="179">
        <f>SUMIFS('recurring2_based on steps'!$B345:$AY345,'recurring2_based on steps'!$B$1:$AY$1,O$1)+SUMIFS('changes2_based on steps'!$B345:$U345,'changes2_based on steps'!$B$1:$U$1,O$1)</f>
        <v>0</v>
      </c>
      <c r="P345" s="179">
        <f>SUMIFS('recurring2_based on steps'!$B345:$AY345,'recurring2_based on steps'!$B$1:$AY$1,P$1)+SUMIFS('changes2_based on steps'!$B345:$U345,'changes2_based on steps'!$B$1:$U$1,P$1)</f>
        <v>0</v>
      </c>
      <c r="Q345" s="179">
        <f>SUMIFS('recurring2_based on steps'!$B345:$AY345,'recurring2_based on steps'!$B$1:$AY$1,Q$1)+SUMIFS('changes2_based on steps'!$B345:$U345,'changes2_based on steps'!$B$1:$U$1,Q$1)</f>
        <v>0</v>
      </c>
      <c r="R345" s="179">
        <f>SUMIFS('recurring2_based on steps'!$B345:$AY345,'recurring2_based on steps'!$B$1:$AY$1,R$1)+SUMIFS('changes2_based on steps'!$B345:$U345,'changes2_based on steps'!$B$1:$U$1,R$1)</f>
        <v>0</v>
      </c>
      <c r="S345" s="179">
        <f>SUMIFS('recurring2_based on steps'!$B345:$AY345,'recurring2_based on steps'!$B$1:$AY$1,S$1)+SUMIFS('changes2_based on steps'!$B345:$U345,'changes2_based on steps'!$B$1:$U$1,S$1)</f>
        <v>0</v>
      </c>
      <c r="T345" s="179">
        <f>SUMIFS('recurring2_based on steps'!$B345:$AY345,'recurring2_based on steps'!$B$1:$AY$1,T$1)+SUMIFS('changes2_based on steps'!$B345:$U345,'changes2_based on steps'!$B$1:$U$1,T$1)</f>
        <v>0</v>
      </c>
      <c r="U345" s="179">
        <f>SUMIFS('recurring2_based on steps'!$B345:$AY345,'recurring2_based on steps'!$B$1:$AY$1,U$1)+SUMIFS('changes2_based on steps'!$B345:$U345,'changes2_based on steps'!$B$1:$U$1,U$1)</f>
        <v>0</v>
      </c>
      <c r="V345" s="179">
        <f>SUMIFS('recurring2_based on steps'!$B345:$AY345,'recurring2_based on steps'!$B$1:$AY$1,V$1)+SUMIFS('changes2_based on steps'!$B345:$U345,'changes2_based on steps'!$B$1:$U$1,V$1)</f>
        <v>0</v>
      </c>
      <c r="W345" s="179">
        <f>SUMIFS('recurring2_based on steps'!$B345:$AY345,'recurring2_based on steps'!$B$1:$AY$1,W$1)+SUMIFS('changes2_based on steps'!$B345:$U345,'changes2_based on steps'!$B$1:$U$1,W$1)</f>
        <v>0</v>
      </c>
      <c r="X345" s="179">
        <f>SUMIFS('recurring2_based on steps'!$B345:$AY345,'recurring2_based on steps'!$B$1:$AY$1,X$1)+SUMIFS('changes2_based on steps'!$B345:$U345,'changes2_based on steps'!$B$1:$U$1,X$1)</f>
        <v>0</v>
      </c>
      <c r="Y345" s="179">
        <f>SUMIFS('recurring2_based on steps'!$B345:$AY345,'recurring2_based on steps'!$B$1:$AY$1,Y$1)+SUMIFS('changes2_based on steps'!$B345:$U345,'changes2_based on steps'!$B$1:$U$1,Y$1)</f>
        <v>0</v>
      </c>
      <c r="Z345" s="179">
        <f>SUMIFS('recurring2_based on steps'!$B345:$AY345,'recurring2_based on steps'!$B$1:$AY$1,Z$1)+SUMIFS('changes2_based on steps'!$B345:$U345,'changes2_based on steps'!$B$1:$U$1,Z$1)</f>
        <v>0</v>
      </c>
      <c r="AA345" s="179">
        <f>SUMIFS('recurring2_based on steps'!$B345:$AY345,'recurring2_based on steps'!$B$1:$AY$1,AA$1)+SUMIFS('changes2_based on steps'!$B345:$U345,'changes2_based on steps'!$B$1:$U$1,AA$1)</f>
        <v>0</v>
      </c>
      <c r="AB345" s="179">
        <f>SUMIFS('recurring2_based on steps'!$B345:$AY345,'recurring2_based on steps'!$B$1:$AY$1,AB$1)+SUMIFS('changes2_based on steps'!$B345:$U345,'changes2_based on steps'!$B$1:$U$1,AB$1)</f>
        <v>0</v>
      </c>
      <c r="AC345" s="179">
        <f>SUMIFS('recurring2_based on steps'!$B345:$AY345,'recurring2_based on steps'!$B$1:$AY$1,AC$1)+SUMIFS('changes2_based on steps'!$B345:$U345,'changes2_based on steps'!$B$1:$U$1,AC$1)</f>
        <v>0</v>
      </c>
      <c r="AD345" s="179">
        <f>SUMIFS('recurring2_based on steps'!$B345:$AY345,'recurring2_based on steps'!$B$1:$AY$1,AD$1)+SUMIFS('changes2_based on steps'!$B345:$U345,'changes2_based on steps'!$B$1:$U$1,AD$1)</f>
        <v>0</v>
      </c>
      <c r="AE345" s="179">
        <f>SUMIFS('recurring2_based on steps'!$B345:$AY345,'recurring2_based on steps'!$B$1:$AY$1,AE$1)+SUMIFS('changes2_based on steps'!$B345:$U345,'changes2_based on steps'!$B$1:$U$1,AE$1)</f>
        <v>0</v>
      </c>
      <c r="AF345" s="179"/>
      <c r="AG345" s="179"/>
      <c r="AH345" s="179"/>
      <c r="AI345" s="179"/>
      <c r="AJ345" s="179"/>
      <c r="AK345" s="179"/>
      <c r="AL345" s="179"/>
      <c r="AM345" s="179"/>
    </row>
    <row r="346" spans="1:39" x14ac:dyDescent="0.2">
      <c r="A346" s="32">
        <f t="shared" ca="1" si="5"/>
        <v>46095</v>
      </c>
      <c r="B346" s="179">
        <f>SUMIFS('recurring2_based on steps'!$B346:$AY346,'recurring2_based on steps'!$B$1:$AY$1,B$1)+SUMIFS('changes2_based on steps'!$B346:$U346,'changes2_based on steps'!$B$1:$U$1,B$1)</f>
        <v>0</v>
      </c>
      <c r="C346" s="179">
        <f>SUMIFS('recurring2_based on steps'!$B346:$AY346,'recurring2_based on steps'!$B$1:$AY$1,C$1)+SUMIFS('changes2_based on steps'!$B346:$U346,'changes2_based on steps'!$B$1:$U$1,C$1)</f>
        <v>0</v>
      </c>
      <c r="D346" s="179">
        <f>SUMIFS('recurring2_based on steps'!$B346:$AY346,'recurring2_based on steps'!$B$1:$AY$1,D$1)+SUMIFS('changes2_based on steps'!$B346:$U346,'changes2_based on steps'!$B$1:$U$1,D$1)</f>
        <v>0</v>
      </c>
      <c r="E346" s="179">
        <f>SUMIFS('recurring2_based on steps'!$B346:$AY346,'recurring2_based on steps'!$B$1:$AY$1,E$1)+SUMIFS('changes2_based on steps'!$B346:$U346,'changes2_based on steps'!$B$1:$U$1,E$1)</f>
        <v>0</v>
      </c>
      <c r="F346" s="179">
        <f>SUMIFS('recurring2_based on steps'!$B346:$AY346,'recurring2_based on steps'!$B$1:$AY$1,F$1)+SUMIFS('changes2_based on steps'!$B346:$U346,'changes2_based on steps'!$B$1:$U$1,F$1)</f>
        <v>0</v>
      </c>
      <c r="G346" s="179">
        <f>SUMIFS('recurring2_based on steps'!$B346:$AY346,'recurring2_based on steps'!$B$1:$AY$1,G$1)+SUMIFS('changes2_based on steps'!$B346:$U346,'changes2_based on steps'!$B$1:$U$1,G$1)</f>
        <v>0</v>
      </c>
      <c r="H346" s="179">
        <f>SUMIFS('recurring2_based on steps'!$B346:$AY346,'recurring2_based on steps'!$B$1:$AY$1,H$1)+SUMIFS('changes2_based on steps'!$B346:$U346,'changes2_based on steps'!$B$1:$U$1,H$1)</f>
        <v>0</v>
      </c>
      <c r="I346" s="179">
        <f>SUMIFS('recurring2_based on steps'!$B346:$AY346,'recurring2_based on steps'!$B$1:$AY$1,I$1)+SUMIFS('changes2_based on steps'!$B346:$U346,'changes2_based on steps'!$B$1:$U$1,I$1)</f>
        <v>0</v>
      </c>
      <c r="J346" s="179">
        <f>SUMIFS('recurring2_based on steps'!$B346:$AY346,'recurring2_based on steps'!$B$1:$AY$1,J$1)+SUMIFS('changes2_based on steps'!$B346:$U346,'changes2_based on steps'!$B$1:$U$1,J$1)</f>
        <v>0</v>
      </c>
      <c r="K346" s="179">
        <f>SUMIFS('recurring2_based on steps'!$B346:$AY346,'recurring2_based on steps'!$B$1:$AY$1,K$1)+SUMIFS('changes2_based on steps'!$B346:$U346,'changes2_based on steps'!$B$1:$U$1,K$1)</f>
        <v>0</v>
      </c>
      <c r="L346" s="179">
        <f>SUMIFS('recurring2_based on steps'!$B346:$AY346,'recurring2_based on steps'!$B$1:$AY$1,L$1)+SUMIFS('changes2_based on steps'!$B346:$U346,'changes2_based on steps'!$B$1:$U$1,L$1)</f>
        <v>0</v>
      </c>
      <c r="M346" s="179">
        <f>SUMIFS('recurring2_based on steps'!$B346:$AY346,'recurring2_based on steps'!$B$1:$AY$1,M$1)+SUMIFS('changes2_based on steps'!$B346:$U346,'changes2_based on steps'!$B$1:$U$1,M$1)</f>
        <v>0</v>
      </c>
      <c r="N346" s="179">
        <f>SUMIFS('recurring2_based on steps'!$B346:$AY346,'recurring2_based on steps'!$B$1:$AY$1,N$1)+SUMIFS('changes2_based on steps'!$B346:$U346,'changes2_based on steps'!$B$1:$U$1,N$1)</f>
        <v>0</v>
      </c>
      <c r="O346" s="179">
        <f>SUMIFS('recurring2_based on steps'!$B346:$AY346,'recurring2_based on steps'!$B$1:$AY$1,O$1)+SUMIFS('changes2_based on steps'!$B346:$U346,'changes2_based on steps'!$B$1:$U$1,O$1)</f>
        <v>0</v>
      </c>
      <c r="P346" s="179">
        <f>SUMIFS('recurring2_based on steps'!$B346:$AY346,'recurring2_based on steps'!$B$1:$AY$1,P$1)+SUMIFS('changes2_based on steps'!$B346:$U346,'changes2_based on steps'!$B$1:$U$1,P$1)</f>
        <v>0</v>
      </c>
      <c r="Q346" s="179">
        <f>SUMIFS('recurring2_based on steps'!$B346:$AY346,'recurring2_based on steps'!$B$1:$AY$1,Q$1)+SUMIFS('changes2_based on steps'!$B346:$U346,'changes2_based on steps'!$B$1:$U$1,Q$1)</f>
        <v>0</v>
      </c>
      <c r="R346" s="179">
        <f>SUMIFS('recurring2_based on steps'!$B346:$AY346,'recurring2_based on steps'!$B$1:$AY$1,R$1)+SUMIFS('changes2_based on steps'!$B346:$U346,'changes2_based on steps'!$B$1:$U$1,R$1)</f>
        <v>0</v>
      </c>
      <c r="S346" s="179">
        <f>SUMIFS('recurring2_based on steps'!$B346:$AY346,'recurring2_based on steps'!$B$1:$AY$1,S$1)+SUMIFS('changes2_based on steps'!$B346:$U346,'changes2_based on steps'!$B$1:$U$1,S$1)</f>
        <v>0</v>
      </c>
      <c r="T346" s="179">
        <f>SUMIFS('recurring2_based on steps'!$B346:$AY346,'recurring2_based on steps'!$B$1:$AY$1,T$1)+SUMIFS('changes2_based on steps'!$B346:$U346,'changes2_based on steps'!$B$1:$U$1,T$1)</f>
        <v>0</v>
      </c>
      <c r="U346" s="179">
        <f>SUMIFS('recurring2_based on steps'!$B346:$AY346,'recurring2_based on steps'!$B$1:$AY$1,U$1)+SUMIFS('changes2_based on steps'!$B346:$U346,'changes2_based on steps'!$B$1:$U$1,U$1)</f>
        <v>0</v>
      </c>
      <c r="V346" s="179">
        <f>SUMIFS('recurring2_based on steps'!$B346:$AY346,'recurring2_based on steps'!$B$1:$AY$1,V$1)+SUMIFS('changes2_based on steps'!$B346:$U346,'changes2_based on steps'!$B$1:$U$1,V$1)</f>
        <v>0</v>
      </c>
      <c r="W346" s="179">
        <f>SUMIFS('recurring2_based on steps'!$B346:$AY346,'recurring2_based on steps'!$B$1:$AY$1,W$1)+SUMIFS('changes2_based on steps'!$B346:$U346,'changes2_based on steps'!$B$1:$U$1,W$1)</f>
        <v>0</v>
      </c>
      <c r="X346" s="179">
        <f>SUMIFS('recurring2_based on steps'!$B346:$AY346,'recurring2_based on steps'!$B$1:$AY$1,X$1)+SUMIFS('changes2_based on steps'!$B346:$U346,'changes2_based on steps'!$B$1:$U$1,X$1)</f>
        <v>0</v>
      </c>
      <c r="Y346" s="179">
        <f>SUMIFS('recurring2_based on steps'!$B346:$AY346,'recurring2_based on steps'!$B$1:$AY$1,Y$1)+SUMIFS('changes2_based on steps'!$B346:$U346,'changes2_based on steps'!$B$1:$U$1,Y$1)</f>
        <v>0</v>
      </c>
      <c r="Z346" s="179">
        <f>SUMIFS('recurring2_based on steps'!$B346:$AY346,'recurring2_based on steps'!$B$1:$AY$1,Z$1)+SUMIFS('changes2_based on steps'!$B346:$U346,'changes2_based on steps'!$B$1:$U$1,Z$1)</f>
        <v>0</v>
      </c>
      <c r="AA346" s="179">
        <f>SUMIFS('recurring2_based on steps'!$B346:$AY346,'recurring2_based on steps'!$B$1:$AY$1,AA$1)+SUMIFS('changes2_based on steps'!$B346:$U346,'changes2_based on steps'!$B$1:$U$1,AA$1)</f>
        <v>0</v>
      </c>
      <c r="AB346" s="179">
        <f>SUMIFS('recurring2_based on steps'!$B346:$AY346,'recurring2_based on steps'!$B$1:$AY$1,AB$1)+SUMIFS('changes2_based on steps'!$B346:$U346,'changes2_based on steps'!$B$1:$U$1,AB$1)</f>
        <v>0</v>
      </c>
      <c r="AC346" s="179">
        <f>SUMIFS('recurring2_based on steps'!$B346:$AY346,'recurring2_based on steps'!$B$1:$AY$1,AC$1)+SUMIFS('changes2_based on steps'!$B346:$U346,'changes2_based on steps'!$B$1:$U$1,AC$1)</f>
        <v>0</v>
      </c>
      <c r="AD346" s="179">
        <f>SUMIFS('recurring2_based on steps'!$B346:$AY346,'recurring2_based on steps'!$B$1:$AY$1,AD$1)+SUMIFS('changes2_based on steps'!$B346:$U346,'changes2_based on steps'!$B$1:$U$1,AD$1)</f>
        <v>0</v>
      </c>
      <c r="AE346" s="179">
        <f>SUMIFS('recurring2_based on steps'!$B346:$AY346,'recurring2_based on steps'!$B$1:$AY$1,AE$1)+SUMIFS('changes2_based on steps'!$B346:$U346,'changes2_based on steps'!$B$1:$U$1,AE$1)</f>
        <v>0</v>
      </c>
      <c r="AF346" s="179"/>
      <c r="AG346" s="179"/>
      <c r="AH346" s="179"/>
      <c r="AI346" s="179"/>
      <c r="AJ346" s="179"/>
      <c r="AK346" s="179"/>
      <c r="AL346" s="179"/>
      <c r="AM346" s="179"/>
    </row>
    <row r="347" spans="1:39" x14ac:dyDescent="0.2">
      <c r="A347" s="32">
        <f t="shared" ca="1" si="5"/>
        <v>46096</v>
      </c>
      <c r="B347" s="179">
        <f>SUMIFS('recurring2_based on steps'!$B347:$AY347,'recurring2_based on steps'!$B$1:$AY$1,B$1)+SUMIFS('changes2_based on steps'!$B347:$U347,'changes2_based on steps'!$B$1:$U$1,B$1)</f>
        <v>0</v>
      </c>
      <c r="C347" s="179">
        <f>SUMIFS('recurring2_based on steps'!$B347:$AY347,'recurring2_based on steps'!$B$1:$AY$1,C$1)+SUMIFS('changes2_based on steps'!$B347:$U347,'changes2_based on steps'!$B$1:$U$1,C$1)</f>
        <v>0</v>
      </c>
      <c r="D347" s="179">
        <f>SUMIFS('recurring2_based on steps'!$B347:$AY347,'recurring2_based on steps'!$B$1:$AY$1,D$1)+SUMIFS('changes2_based on steps'!$B347:$U347,'changes2_based on steps'!$B$1:$U$1,D$1)</f>
        <v>0</v>
      </c>
      <c r="E347" s="179">
        <f>SUMIFS('recurring2_based on steps'!$B347:$AY347,'recurring2_based on steps'!$B$1:$AY$1,E$1)+SUMIFS('changes2_based on steps'!$B347:$U347,'changes2_based on steps'!$B$1:$U$1,E$1)</f>
        <v>0</v>
      </c>
      <c r="F347" s="179">
        <f>SUMIFS('recurring2_based on steps'!$B347:$AY347,'recurring2_based on steps'!$B$1:$AY$1,F$1)+SUMIFS('changes2_based on steps'!$B347:$U347,'changes2_based on steps'!$B$1:$U$1,F$1)</f>
        <v>0</v>
      </c>
      <c r="G347" s="179">
        <f>SUMIFS('recurring2_based on steps'!$B347:$AY347,'recurring2_based on steps'!$B$1:$AY$1,G$1)+SUMIFS('changes2_based on steps'!$B347:$U347,'changes2_based on steps'!$B$1:$U$1,G$1)</f>
        <v>0</v>
      </c>
      <c r="H347" s="179">
        <f>SUMIFS('recurring2_based on steps'!$B347:$AY347,'recurring2_based on steps'!$B$1:$AY$1,H$1)+SUMIFS('changes2_based on steps'!$B347:$U347,'changes2_based on steps'!$B$1:$U$1,H$1)</f>
        <v>0</v>
      </c>
      <c r="I347" s="179">
        <f>SUMIFS('recurring2_based on steps'!$B347:$AY347,'recurring2_based on steps'!$B$1:$AY$1,I$1)+SUMIFS('changes2_based on steps'!$B347:$U347,'changes2_based on steps'!$B$1:$U$1,I$1)</f>
        <v>0</v>
      </c>
      <c r="J347" s="179">
        <f>SUMIFS('recurring2_based on steps'!$B347:$AY347,'recurring2_based on steps'!$B$1:$AY$1,J$1)+SUMIFS('changes2_based on steps'!$B347:$U347,'changes2_based on steps'!$B$1:$U$1,J$1)</f>
        <v>0</v>
      </c>
      <c r="K347" s="179">
        <f>SUMIFS('recurring2_based on steps'!$B347:$AY347,'recurring2_based on steps'!$B$1:$AY$1,K$1)+SUMIFS('changes2_based on steps'!$B347:$U347,'changes2_based on steps'!$B$1:$U$1,K$1)</f>
        <v>0</v>
      </c>
      <c r="L347" s="179">
        <f>SUMIFS('recurring2_based on steps'!$B347:$AY347,'recurring2_based on steps'!$B$1:$AY$1,L$1)+SUMIFS('changes2_based on steps'!$B347:$U347,'changes2_based on steps'!$B$1:$U$1,L$1)</f>
        <v>0</v>
      </c>
      <c r="M347" s="179">
        <f>SUMIFS('recurring2_based on steps'!$B347:$AY347,'recurring2_based on steps'!$B$1:$AY$1,M$1)+SUMIFS('changes2_based on steps'!$B347:$U347,'changes2_based on steps'!$B$1:$U$1,M$1)</f>
        <v>0</v>
      </c>
      <c r="N347" s="179">
        <f>SUMIFS('recurring2_based on steps'!$B347:$AY347,'recurring2_based on steps'!$B$1:$AY$1,N$1)+SUMIFS('changes2_based on steps'!$B347:$U347,'changes2_based on steps'!$B$1:$U$1,N$1)</f>
        <v>0</v>
      </c>
      <c r="O347" s="179">
        <f>SUMIFS('recurring2_based on steps'!$B347:$AY347,'recurring2_based on steps'!$B$1:$AY$1,O$1)+SUMIFS('changes2_based on steps'!$B347:$U347,'changes2_based on steps'!$B$1:$U$1,O$1)</f>
        <v>0</v>
      </c>
      <c r="P347" s="179">
        <f>SUMIFS('recurring2_based on steps'!$B347:$AY347,'recurring2_based on steps'!$B$1:$AY$1,P$1)+SUMIFS('changes2_based on steps'!$B347:$U347,'changes2_based on steps'!$B$1:$U$1,P$1)</f>
        <v>0</v>
      </c>
      <c r="Q347" s="179">
        <f>SUMIFS('recurring2_based on steps'!$B347:$AY347,'recurring2_based on steps'!$B$1:$AY$1,Q$1)+SUMIFS('changes2_based on steps'!$B347:$U347,'changes2_based on steps'!$B$1:$U$1,Q$1)</f>
        <v>0</v>
      </c>
      <c r="R347" s="179">
        <f>SUMIFS('recurring2_based on steps'!$B347:$AY347,'recurring2_based on steps'!$B$1:$AY$1,R$1)+SUMIFS('changes2_based on steps'!$B347:$U347,'changes2_based on steps'!$B$1:$U$1,R$1)</f>
        <v>0</v>
      </c>
      <c r="S347" s="179">
        <f>SUMIFS('recurring2_based on steps'!$B347:$AY347,'recurring2_based on steps'!$B$1:$AY$1,S$1)+SUMIFS('changes2_based on steps'!$B347:$U347,'changes2_based on steps'!$B$1:$U$1,S$1)</f>
        <v>0</v>
      </c>
      <c r="T347" s="179">
        <f>SUMIFS('recurring2_based on steps'!$B347:$AY347,'recurring2_based on steps'!$B$1:$AY$1,T$1)+SUMIFS('changes2_based on steps'!$B347:$U347,'changes2_based on steps'!$B$1:$U$1,T$1)</f>
        <v>0</v>
      </c>
      <c r="U347" s="179">
        <f>SUMIFS('recurring2_based on steps'!$B347:$AY347,'recurring2_based on steps'!$B$1:$AY$1,U$1)+SUMIFS('changes2_based on steps'!$B347:$U347,'changes2_based on steps'!$B$1:$U$1,U$1)</f>
        <v>0</v>
      </c>
      <c r="V347" s="179">
        <f>SUMIFS('recurring2_based on steps'!$B347:$AY347,'recurring2_based on steps'!$B$1:$AY$1,V$1)+SUMIFS('changes2_based on steps'!$B347:$U347,'changes2_based on steps'!$B$1:$U$1,V$1)</f>
        <v>0</v>
      </c>
      <c r="W347" s="179">
        <f>SUMIFS('recurring2_based on steps'!$B347:$AY347,'recurring2_based on steps'!$B$1:$AY$1,W$1)+SUMIFS('changes2_based on steps'!$B347:$U347,'changes2_based on steps'!$B$1:$U$1,W$1)</f>
        <v>0</v>
      </c>
      <c r="X347" s="179">
        <f>SUMIFS('recurring2_based on steps'!$B347:$AY347,'recurring2_based on steps'!$B$1:$AY$1,X$1)+SUMIFS('changes2_based on steps'!$B347:$U347,'changes2_based on steps'!$B$1:$U$1,X$1)</f>
        <v>0</v>
      </c>
      <c r="Y347" s="179">
        <f>SUMIFS('recurring2_based on steps'!$B347:$AY347,'recurring2_based on steps'!$B$1:$AY$1,Y$1)+SUMIFS('changes2_based on steps'!$B347:$U347,'changes2_based on steps'!$B$1:$U$1,Y$1)</f>
        <v>0</v>
      </c>
      <c r="Z347" s="179">
        <f>SUMIFS('recurring2_based on steps'!$B347:$AY347,'recurring2_based on steps'!$B$1:$AY$1,Z$1)+SUMIFS('changes2_based on steps'!$B347:$U347,'changes2_based on steps'!$B$1:$U$1,Z$1)</f>
        <v>0</v>
      </c>
      <c r="AA347" s="179">
        <f>SUMIFS('recurring2_based on steps'!$B347:$AY347,'recurring2_based on steps'!$B$1:$AY$1,AA$1)+SUMIFS('changes2_based on steps'!$B347:$U347,'changes2_based on steps'!$B$1:$U$1,AA$1)</f>
        <v>0</v>
      </c>
      <c r="AB347" s="179">
        <f>SUMIFS('recurring2_based on steps'!$B347:$AY347,'recurring2_based on steps'!$B$1:$AY$1,AB$1)+SUMIFS('changes2_based on steps'!$B347:$U347,'changes2_based on steps'!$B$1:$U$1,AB$1)</f>
        <v>0</v>
      </c>
      <c r="AC347" s="179">
        <f>SUMIFS('recurring2_based on steps'!$B347:$AY347,'recurring2_based on steps'!$B$1:$AY$1,AC$1)+SUMIFS('changes2_based on steps'!$B347:$U347,'changes2_based on steps'!$B$1:$U$1,AC$1)</f>
        <v>0</v>
      </c>
      <c r="AD347" s="179">
        <f>SUMIFS('recurring2_based on steps'!$B347:$AY347,'recurring2_based on steps'!$B$1:$AY$1,AD$1)+SUMIFS('changes2_based on steps'!$B347:$U347,'changes2_based on steps'!$B$1:$U$1,AD$1)</f>
        <v>0</v>
      </c>
      <c r="AE347" s="179">
        <f>SUMIFS('recurring2_based on steps'!$B347:$AY347,'recurring2_based on steps'!$B$1:$AY$1,AE$1)+SUMIFS('changes2_based on steps'!$B347:$U347,'changes2_based on steps'!$B$1:$U$1,AE$1)</f>
        <v>0</v>
      </c>
      <c r="AF347" s="179"/>
      <c r="AG347" s="179"/>
      <c r="AH347" s="179"/>
      <c r="AI347" s="179"/>
      <c r="AJ347" s="179"/>
      <c r="AK347" s="179"/>
      <c r="AL347" s="179"/>
      <c r="AM347" s="179"/>
    </row>
    <row r="348" spans="1:39" x14ac:dyDescent="0.2">
      <c r="A348" s="32">
        <f t="shared" ca="1" si="5"/>
        <v>46097</v>
      </c>
      <c r="B348" s="179">
        <f>SUMIFS('recurring2_based on steps'!$B348:$AY348,'recurring2_based on steps'!$B$1:$AY$1,B$1)+SUMIFS('changes2_based on steps'!$B348:$U348,'changes2_based on steps'!$B$1:$U$1,B$1)</f>
        <v>0</v>
      </c>
      <c r="C348" s="179">
        <f>SUMIFS('recurring2_based on steps'!$B348:$AY348,'recurring2_based on steps'!$B$1:$AY$1,C$1)+SUMIFS('changes2_based on steps'!$B348:$U348,'changes2_based on steps'!$B$1:$U$1,C$1)</f>
        <v>0</v>
      </c>
      <c r="D348" s="179">
        <f>SUMIFS('recurring2_based on steps'!$B348:$AY348,'recurring2_based on steps'!$B$1:$AY$1,D$1)+SUMIFS('changes2_based on steps'!$B348:$U348,'changes2_based on steps'!$B$1:$U$1,D$1)</f>
        <v>0</v>
      </c>
      <c r="E348" s="179">
        <f>SUMIFS('recurring2_based on steps'!$B348:$AY348,'recurring2_based on steps'!$B$1:$AY$1,E$1)+SUMIFS('changes2_based on steps'!$B348:$U348,'changes2_based on steps'!$B$1:$U$1,E$1)</f>
        <v>0</v>
      </c>
      <c r="F348" s="179">
        <f>SUMIFS('recurring2_based on steps'!$B348:$AY348,'recurring2_based on steps'!$B$1:$AY$1,F$1)+SUMIFS('changes2_based on steps'!$B348:$U348,'changes2_based on steps'!$B$1:$U$1,F$1)</f>
        <v>0</v>
      </c>
      <c r="G348" s="179">
        <f>SUMIFS('recurring2_based on steps'!$B348:$AY348,'recurring2_based on steps'!$B$1:$AY$1,G$1)+SUMIFS('changes2_based on steps'!$B348:$U348,'changes2_based on steps'!$B$1:$U$1,G$1)</f>
        <v>0</v>
      </c>
      <c r="H348" s="179">
        <f>SUMIFS('recurring2_based on steps'!$B348:$AY348,'recurring2_based on steps'!$B$1:$AY$1,H$1)+SUMIFS('changes2_based on steps'!$B348:$U348,'changes2_based on steps'!$B$1:$U$1,H$1)</f>
        <v>0</v>
      </c>
      <c r="I348" s="179">
        <f>SUMIFS('recurring2_based on steps'!$B348:$AY348,'recurring2_based on steps'!$B$1:$AY$1,I$1)+SUMIFS('changes2_based on steps'!$B348:$U348,'changes2_based on steps'!$B$1:$U$1,I$1)</f>
        <v>0</v>
      </c>
      <c r="J348" s="179">
        <f>SUMIFS('recurring2_based on steps'!$B348:$AY348,'recurring2_based on steps'!$B$1:$AY$1,J$1)+SUMIFS('changes2_based on steps'!$B348:$U348,'changes2_based on steps'!$B$1:$U$1,J$1)</f>
        <v>0</v>
      </c>
      <c r="K348" s="179">
        <f>SUMIFS('recurring2_based on steps'!$B348:$AY348,'recurring2_based on steps'!$B$1:$AY$1,K$1)+SUMIFS('changes2_based on steps'!$B348:$U348,'changes2_based on steps'!$B$1:$U$1,K$1)</f>
        <v>0</v>
      </c>
      <c r="L348" s="179">
        <f>SUMIFS('recurring2_based on steps'!$B348:$AY348,'recurring2_based on steps'!$B$1:$AY$1,L$1)+SUMIFS('changes2_based on steps'!$B348:$U348,'changes2_based on steps'!$B$1:$U$1,L$1)</f>
        <v>0</v>
      </c>
      <c r="M348" s="179">
        <f>SUMIFS('recurring2_based on steps'!$B348:$AY348,'recurring2_based on steps'!$B$1:$AY$1,M$1)+SUMIFS('changes2_based on steps'!$B348:$U348,'changes2_based on steps'!$B$1:$U$1,M$1)</f>
        <v>0</v>
      </c>
      <c r="N348" s="179">
        <f>SUMIFS('recurring2_based on steps'!$B348:$AY348,'recurring2_based on steps'!$B$1:$AY$1,N$1)+SUMIFS('changes2_based on steps'!$B348:$U348,'changes2_based on steps'!$B$1:$U$1,N$1)</f>
        <v>0</v>
      </c>
      <c r="O348" s="179">
        <f>SUMIFS('recurring2_based on steps'!$B348:$AY348,'recurring2_based on steps'!$B$1:$AY$1,O$1)+SUMIFS('changes2_based on steps'!$B348:$U348,'changes2_based on steps'!$B$1:$U$1,O$1)</f>
        <v>0</v>
      </c>
      <c r="P348" s="179">
        <f>SUMIFS('recurring2_based on steps'!$B348:$AY348,'recurring2_based on steps'!$B$1:$AY$1,P$1)+SUMIFS('changes2_based on steps'!$B348:$U348,'changes2_based on steps'!$B$1:$U$1,P$1)</f>
        <v>0</v>
      </c>
      <c r="Q348" s="179">
        <f>SUMIFS('recurring2_based on steps'!$B348:$AY348,'recurring2_based on steps'!$B$1:$AY$1,Q$1)+SUMIFS('changes2_based on steps'!$B348:$U348,'changes2_based on steps'!$B$1:$U$1,Q$1)</f>
        <v>0</v>
      </c>
      <c r="R348" s="179">
        <f>SUMIFS('recurring2_based on steps'!$B348:$AY348,'recurring2_based on steps'!$B$1:$AY$1,R$1)+SUMIFS('changes2_based on steps'!$B348:$U348,'changes2_based on steps'!$B$1:$U$1,R$1)</f>
        <v>0</v>
      </c>
      <c r="S348" s="179">
        <f>SUMIFS('recurring2_based on steps'!$B348:$AY348,'recurring2_based on steps'!$B$1:$AY$1,S$1)+SUMIFS('changes2_based on steps'!$B348:$U348,'changes2_based on steps'!$B$1:$U$1,S$1)</f>
        <v>0</v>
      </c>
      <c r="T348" s="179">
        <f>SUMIFS('recurring2_based on steps'!$B348:$AY348,'recurring2_based on steps'!$B$1:$AY$1,T$1)+SUMIFS('changes2_based on steps'!$B348:$U348,'changes2_based on steps'!$B$1:$U$1,T$1)</f>
        <v>0</v>
      </c>
      <c r="U348" s="179">
        <f>SUMIFS('recurring2_based on steps'!$B348:$AY348,'recurring2_based on steps'!$B$1:$AY$1,U$1)+SUMIFS('changes2_based on steps'!$B348:$U348,'changes2_based on steps'!$B$1:$U$1,U$1)</f>
        <v>0</v>
      </c>
      <c r="V348" s="179">
        <f>SUMIFS('recurring2_based on steps'!$B348:$AY348,'recurring2_based on steps'!$B$1:$AY$1,V$1)+SUMIFS('changes2_based on steps'!$B348:$U348,'changes2_based on steps'!$B$1:$U$1,V$1)</f>
        <v>0</v>
      </c>
      <c r="W348" s="179">
        <f>SUMIFS('recurring2_based on steps'!$B348:$AY348,'recurring2_based on steps'!$B$1:$AY$1,W$1)+SUMIFS('changes2_based on steps'!$B348:$U348,'changes2_based on steps'!$B$1:$U$1,W$1)</f>
        <v>0</v>
      </c>
      <c r="X348" s="179">
        <f>SUMIFS('recurring2_based on steps'!$B348:$AY348,'recurring2_based on steps'!$B$1:$AY$1,X$1)+SUMIFS('changes2_based on steps'!$B348:$U348,'changes2_based on steps'!$B$1:$U$1,X$1)</f>
        <v>0</v>
      </c>
      <c r="Y348" s="179">
        <f>SUMIFS('recurring2_based on steps'!$B348:$AY348,'recurring2_based on steps'!$B$1:$AY$1,Y$1)+SUMIFS('changes2_based on steps'!$B348:$U348,'changes2_based on steps'!$B$1:$U$1,Y$1)</f>
        <v>0</v>
      </c>
      <c r="Z348" s="179">
        <f>SUMIFS('recurring2_based on steps'!$B348:$AY348,'recurring2_based on steps'!$B$1:$AY$1,Z$1)+SUMIFS('changes2_based on steps'!$B348:$U348,'changes2_based on steps'!$B$1:$U$1,Z$1)</f>
        <v>0</v>
      </c>
      <c r="AA348" s="179">
        <f>SUMIFS('recurring2_based on steps'!$B348:$AY348,'recurring2_based on steps'!$B$1:$AY$1,AA$1)+SUMIFS('changes2_based on steps'!$B348:$U348,'changes2_based on steps'!$B$1:$U$1,AA$1)</f>
        <v>0</v>
      </c>
      <c r="AB348" s="179">
        <f>SUMIFS('recurring2_based on steps'!$B348:$AY348,'recurring2_based on steps'!$B$1:$AY$1,AB$1)+SUMIFS('changes2_based on steps'!$B348:$U348,'changes2_based on steps'!$B$1:$U$1,AB$1)</f>
        <v>0</v>
      </c>
      <c r="AC348" s="179">
        <f>SUMIFS('recurring2_based on steps'!$B348:$AY348,'recurring2_based on steps'!$B$1:$AY$1,AC$1)+SUMIFS('changes2_based on steps'!$B348:$U348,'changes2_based on steps'!$B$1:$U$1,AC$1)</f>
        <v>0</v>
      </c>
      <c r="AD348" s="179">
        <f>SUMIFS('recurring2_based on steps'!$B348:$AY348,'recurring2_based on steps'!$B$1:$AY$1,AD$1)+SUMIFS('changes2_based on steps'!$B348:$U348,'changes2_based on steps'!$B$1:$U$1,AD$1)</f>
        <v>0</v>
      </c>
      <c r="AE348" s="179">
        <f>SUMIFS('recurring2_based on steps'!$B348:$AY348,'recurring2_based on steps'!$B$1:$AY$1,AE$1)+SUMIFS('changes2_based on steps'!$B348:$U348,'changes2_based on steps'!$B$1:$U$1,AE$1)</f>
        <v>0</v>
      </c>
      <c r="AF348" s="179"/>
      <c r="AG348" s="179"/>
      <c r="AH348" s="179"/>
      <c r="AI348" s="179"/>
      <c r="AJ348" s="179"/>
      <c r="AK348" s="179"/>
      <c r="AL348" s="179"/>
      <c r="AM348" s="179"/>
    </row>
    <row r="349" spans="1:39" x14ac:dyDescent="0.2">
      <c r="A349" s="32">
        <f t="shared" ca="1" si="5"/>
        <v>46098</v>
      </c>
      <c r="B349" s="179">
        <f>SUMIFS('recurring2_based on steps'!$B349:$AY349,'recurring2_based on steps'!$B$1:$AY$1,B$1)+SUMIFS('changes2_based on steps'!$B349:$U349,'changes2_based on steps'!$B$1:$U$1,B$1)</f>
        <v>0</v>
      </c>
      <c r="C349" s="179">
        <f>SUMIFS('recurring2_based on steps'!$B349:$AY349,'recurring2_based on steps'!$B$1:$AY$1,C$1)+SUMIFS('changes2_based on steps'!$B349:$U349,'changes2_based on steps'!$B$1:$U$1,C$1)</f>
        <v>0</v>
      </c>
      <c r="D349" s="179">
        <f>SUMIFS('recurring2_based on steps'!$B349:$AY349,'recurring2_based on steps'!$B$1:$AY$1,D$1)+SUMIFS('changes2_based on steps'!$B349:$U349,'changes2_based on steps'!$B$1:$U$1,D$1)</f>
        <v>0</v>
      </c>
      <c r="E349" s="179">
        <f>SUMIFS('recurring2_based on steps'!$B349:$AY349,'recurring2_based on steps'!$B$1:$AY$1,E$1)+SUMIFS('changes2_based on steps'!$B349:$U349,'changes2_based on steps'!$B$1:$U$1,E$1)</f>
        <v>0</v>
      </c>
      <c r="F349" s="179">
        <f>SUMIFS('recurring2_based on steps'!$B349:$AY349,'recurring2_based on steps'!$B$1:$AY$1,F$1)+SUMIFS('changes2_based on steps'!$B349:$U349,'changes2_based on steps'!$B$1:$U$1,F$1)</f>
        <v>0</v>
      </c>
      <c r="G349" s="179">
        <f>SUMIFS('recurring2_based on steps'!$B349:$AY349,'recurring2_based on steps'!$B$1:$AY$1,G$1)+SUMIFS('changes2_based on steps'!$B349:$U349,'changes2_based on steps'!$B$1:$U$1,G$1)</f>
        <v>0</v>
      </c>
      <c r="H349" s="179">
        <f>SUMIFS('recurring2_based on steps'!$B349:$AY349,'recurring2_based on steps'!$B$1:$AY$1,H$1)+SUMIFS('changes2_based on steps'!$B349:$U349,'changes2_based on steps'!$B$1:$U$1,H$1)</f>
        <v>0</v>
      </c>
      <c r="I349" s="179">
        <f>SUMIFS('recurring2_based on steps'!$B349:$AY349,'recurring2_based on steps'!$B$1:$AY$1,I$1)+SUMIFS('changes2_based on steps'!$B349:$U349,'changes2_based on steps'!$B$1:$U$1,I$1)</f>
        <v>0</v>
      </c>
      <c r="J349" s="179">
        <f>SUMIFS('recurring2_based on steps'!$B349:$AY349,'recurring2_based on steps'!$B$1:$AY$1,J$1)+SUMIFS('changes2_based on steps'!$B349:$U349,'changes2_based on steps'!$B$1:$U$1,J$1)</f>
        <v>0</v>
      </c>
      <c r="K349" s="179">
        <f>SUMIFS('recurring2_based on steps'!$B349:$AY349,'recurring2_based on steps'!$B$1:$AY$1,K$1)+SUMIFS('changes2_based on steps'!$B349:$U349,'changes2_based on steps'!$B$1:$U$1,K$1)</f>
        <v>0</v>
      </c>
      <c r="L349" s="179">
        <f>SUMIFS('recurring2_based on steps'!$B349:$AY349,'recurring2_based on steps'!$B$1:$AY$1,L$1)+SUMIFS('changes2_based on steps'!$B349:$U349,'changes2_based on steps'!$B$1:$U$1,L$1)</f>
        <v>0</v>
      </c>
      <c r="M349" s="179">
        <f>SUMIFS('recurring2_based on steps'!$B349:$AY349,'recurring2_based on steps'!$B$1:$AY$1,M$1)+SUMIFS('changes2_based on steps'!$B349:$U349,'changes2_based on steps'!$B$1:$U$1,M$1)</f>
        <v>0</v>
      </c>
      <c r="N349" s="179">
        <f>SUMIFS('recurring2_based on steps'!$B349:$AY349,'recurring2_based on steps'!$B$1:$AY$1,N$1)+SUMIFS('changes2_based on steps'!$B349:$U349,'changes2_based on steps'!$B$1:$U$1,N$1)</f>
        <v>0</v>
      </c>
      <c r="O349" s="179">
        <f>SUMIFS('recurring2_based on steps'!$B349:$AY349,'recurring2_based on steps'!$B$1:$AY$1,O$1)+SUMIFS('changes2_based on steps'!$B349:$U349,'changes2_based on steps'!$B$1:$U$1,O$1)</f>
        <v>0</v>
      </c>
      <c r="P349" s="179">
        <f>SUMIFS('recurring2_based on steps'!$B349:$AY349,'recurring2_based on steps'!$B$1:$AY$1,P$1)+SUMIFS('changes2_based on steps'!$B349:$U349,'changes2_based on steps'!$B$1:$U$1,P$1)</f>
        <v>0</v>
      </c>
      <c r="Q349" s="179">
        <f>SUMIFS('recurring2_based on steps'!$B349:$AY349,'recurring2_based on steps'!$B$1:$AY$1,Q$1)+SUMIFS('changes2_based on steps'!$B349:$U349,'changes2_based on steps'!$B$1:$U$1,Q$1)</f>
        <v>0</v>
      </c>
      <c r="R349" s="179">
        <f>SUMIFS('recurring2_based on steps'!$B349:$AY349,'recurring2_based on steps'!$B$1:$AY$1,R$1)+SUMIFS('changes2_based on steps'!$B349:$U349,'changes2_based on steps'!$B$1:$U$1,R$1)</f>
        <v>0</v>
      </c>
      <c r="S349" s="179">
        <f>SUMIFS('recurring2_based on steps'!$B349:$AY349,'recurring2_based on steps'!$B$1:$AY$1,S$1)+SUMIFS('changes2_based on steps'!$B349:$U349,'changes2_based on steps'!$B$1:$U$1,S$1)</f>
        <v>0</v>
      </c>
      <c r="T349" s="179">
        <f>SUMIFS('recurring2_based on steps'!$B349:$AY349,'recurring2_based on steps'!$B$1:$AY$1,T$1)+SUMIFS('changes2_based on steps'!$B349:$U349,'changes2_based on steps'!$B$1:$U$1,T$1)</f>
        <v>0</v>
      </c>
      <c r="U349" s="179">
        <f>SUMIFS('recurring2_based on steps'!$B349:$AY349,'recurring2_based on steps'!$B$1:$AY$1,U$1)+SUMIFS('changes2_based on steps'!$B349:$U349,'changes2_based on steps'!$B$1:$U$1,U$1)</f>
        <v>0</v>
      </c>
      <c r="V349" s="179">
        <f>SUMIFS('recurring2_based on steps'!$B349:$AY349,'recurring2_based on steps'!$B$1:$AY$1,V$1)+SUMIFS('changes2_based on steps'!$B349:$U349,'changes2_based on steps'!$B$1:$U$1,V$1)</f>
        <v>0</v>
      </c>
      <c r="W349" s="179">
        <f>SUMIFS('recurring2_based on steps'!$B349:$AY349,'recurring2_based on steps'!$B$1:$AY$1,W$1)+SUMIFS('changes2_based on steps'!$B349:$U349,'changes2_based on steps'!$B$1:$U$1,W$1)</f>
        <v>0</v>
      </c>
      <c r="X349" s="179">
        <f>SUMIFS('recurring2_based on steps'!$B349:$AY349,'recurring2_based on steps'!$B$1:$AY$1,X$1)+SUMIFS('changes2_based on steps'!$B349:$U349,'changes2_based on steps'!$B$1:$U$1,X$1)</f>
        <v>0</v>
      </c>
      <c r="Y349" s="179">
        <f>SUMIFS('recurring2_based on steps'!$B349:$AY349,'recurring2_based on steps'!$B$1:$AY$1,Y$1)+SUMIFS('changes2_based on steps'!$B349:$U349,'changes2_based on steps'!$B$1:$U$1,Y$1)</f>
        <v>0</v>
      </c>
      <c r="Z349" s="179">
        <f>SUMIFS('recurring2_based on steps'!$B349:$AY349,'recurring2_based on steps'!$B$1:$AY$1,Z$1)+SUMIFS('changes2_based on steps'!$B349:$U349,'changes2_based on steps'!$B$1:$U$1,Z$1)</f>
        <v>0</v>
      </c>
      <c r="AA349" s="179">
        <f>SUMIFS('recurring2_based on steps'!$B349:$AY349,'recurring2_based on steps'!$B$1:$AY$1,AA$1)+SUMIFS('changes2_based on steps'!$B349:$U349,'changes2_based on steps'!$B$1:$U$1,AA$1)</f>
        <v>0</v>
      </c>
      <c r="AB349" s="179">
        <f>SUMIFS('recurring2_based on steps'!$B349:$AY349,'recurring2_based on steps'!$B$1:$AY$1,AB$1)+SUMIFS('changes2_based on steps'!$B349:$U349,'changes2_based on steps'!$B$1:$U$1,AB$1)</f>
        <v>0</v>
      </c>
      <c r="AC349" s="179">
        <f>SUMIFS('recurring2_based on steps'!$B349:$AY349,'recurring2_based on steps'!$B$1:$AY$1,AC$1)+SUMIFS('changes2_based on steps'!$B349:$U349,'changes2_based on steps'!$B$1:$U$1,AC$1)</f>
        <v>0</v>
      </c>
      <c r="AD349" s="179">
        <f>SUMIFS('recurring2_based on steps'!$B349:$AY349,'recurring2_based on steps'!$B$1:$AY$1,AD$1)+SUMIFS('changes2_based on steps'!$B349:$U349,'changes2_based on steps'!$B$1:$U$1,AD$1)</f>
        <v>0</v>
      </c>
      <c r="AE349" s="179">
        <f>SUMIFS('recurring2_based on steps'!$B349:$AY349,'recurring2_based on steps'!$B$1:$AY$1,AE$1)+SUMIFS('changes2_based on steps'!$B349:$U349,'changes2_based on steps'!$B$1:$U$1,AE$1)</f>
        <v>0</v>
      </c>
      <c r="AF349" s="179"/>
      <c r="AG349" s="179"/>
      <c r="AH349" s="179"/>
      <c r="AI349" s="179"/>
      <c r="AJ349" s="179"/>
      <c r="AK349" s="179"/>
      <c r="AL349" s="179"/>
      <c r="AM349" s="179"/>
    </row>
    <row r="350" spans="1:39" x14ac:dyDescent="0.2">
      <c r="A350" s="32">
        <f t="shared" ca="1" si="5"/>
        <v>46099</v>
      </c>
      <c r="B350" s="179">
        <f>SUMIFS('recurring2_based on steps'!$B350:$AY350,'recurring2_based on steps'!$B$1:$AY$1,B$1)+SUMIFS('changes2_based on steps'!$B350:$U350,'changes2_based on steps'!$B$1:$U$1,B$1)</f>
        <v>0</v>
      </c>
      <c r="C350" s="179">
        <f>SUMIFS('recurring2_based on steps'!$B350:$AY350,'recurring2_based on steps'!$B$1:$AY$1,C$1)+SUMIFS('changes2_based on steps'!$B350:$U350,'changes2_based on steps'!$B$1:$U$1,C$1)</f>
        <v>0</v>
      </c>
      <c r="D350" s="179">
        <f>SUMIFS('recurring2_based on steps'!$B350:$AY350,'recurring2_based on steps'!$B$1:$AY$1,D$1)+SUMIFS('changes2_based on steps'!$B350:$U350,'changes2_based on steps'!$B$1:$U$1,D$1)</f>
        <v>0</v>
      </c>
      <c r="E350" s="179">
        <f>SUMIFS('recurring2_based on steps'!$B350:$AY350,'recurring2_based on steps'!$B$1:$AY$1,E$1)+SUMIFS('changes2_based on steps'!$B350:$U350,'changes2_based on steps'!$B$1:$U$1,E$1)</f>
        <v>0</v>
      </c>
      <c r="F350" s="179">
        <f>SUMIFS('recurring2_based on steps'!$B350:$AY350,'recurring2_based on steps'!$B$1:$AY$1,F$1)+SUMIFS('changes2_based on steps'!$B350:$U350,'changes2_based on steps'!$B$1:$U$1,F$1)</f>
        <v>0</v>
      </c>
      <c r="G350" s="179">
        <f>SUMIFS('recurring2_based on steps'!$B350:$AY350,'recurring2_based on steps'!$B$1:$AY$1,G$1)+SUMIFS('changes2_based on steps'!$B350:$U350,'changes2_based on steps'!$B$1:$U$1,G$1)</f>
        <v>0</v>
      </c>
      <c r="H350" s="179">
        <f>SUMIFS('recurring2_based on steps'!$B350:$AY350,'recurring2_based on steps'!$B$1:$AY$1,H$1)+SUMIFS('changes2_based on steps'!$B350:$U350,'changes2_based on steps'!$B$1:$U$1,H$1)</f>
        <v>0</v>
      </c>
      <c r="I350" s="179">
        <f>SUMIFS('recurring2_based on steps'!$B350:$AY350,'recurring2_based on steps'!$B$1:$AY$1,I$1)+SUMIFS('changes2_based on steps'!$B350:$U350,'changes2_based on steps'!$B$1:$U$1,I$1)</f>
        <v>0</v>
      </c>
      <c r="J350" s="179">
        <f>SUMIFS('recurring2_based on steps'!$B350:$AY350,'recurring2_based on steps'!$B$1:$AY$1,J$1)+SUMIFS('changes2_based on steps'!$B350:$U350,'changes2_based on steps'!$B$1:$U$1,J$1)</f>
        <v>0</v>
      </c>
      <c r="K350" s="179">
        <f>SUMIFS('recurring2_based on steps'!$B350:$AY350,'recurring2_based on steps'!$B$1:$AY$1,K$1)+SUMIFS('changes2_based on steps'!$B350:$U350,'changes2_based on steps'!$B$1:$U$1,K$1)</f>
        <v>0</v>
      </c>
      <c r="L350" s="179">
        <f>SUMIFS('recurring2_based on steps'!$B350:$AY350,'recurring2_based on steps'!$B$1:$AY$1,L$1)+SUMIFS('changes2_based on steps'!$B350:$U350,'changes2_based on steps'!$B$1:$U$1,L$1)</f>
        <v>0</v>
      </c>
      <c r="M350" s="179">
        <f>SUMIFS('recurring2_based on steps'!$B350:$AY350,'recurring2_based on steps'!$B$1:$AY$1,M$1)+SUMIFS('changes2_based on steps'!$B350:$U350,'changes2_based on steps'!$B$1:$U$1,M$1)</f>
        <v>0</v>
      </c>
      <c r="N350" s="179">
        <f>SUMIFS('recurring2_based on steps'!$B350:$AY350,'recurring2_based on steps'!$B$1:$AY$1,N$1)+SUMIFS('changes2_based on steps'!$B350:$U350,'changes2_based on steps'!$B$1:$U$1,N$1)</f>
        <v>0</v>
      </c>
      <c r="O350" s="179">
        <f>SUMIFS('recurring2_based on steps'!$B350:$AY350,'recurring2_based on steps'!$B$1:$AY$1,O$1)+SUMIFS('changes2_based on steps'!$B350:$U350,'changes2_based on steps'!$B$1:$U$1,O$1)</f>
        <v>0</v>
      </c>
      <c r="P350" s="179">
        <f>SUMIFS('recurring2_based on steps'!$B350:$AY350,'recurring2_based on steps'!$B$1:$AY$1,P$1)+SUMIFS('changes2_based on steps'!$B350:$U350,'changes2_based on steps'!$B$1:$U$1,P$1)</f>
        <v>0</v>
      </c>
      <c r="Q350" s="179">
        <f>SUMIFS('recurring2_based on steps'!$B350:$AY350,'recurring2_based on steps'!$B$1:$AY$1,Q$1)+SUMIFS('changes2_based on steps'!$B350:$U350,'changes2_based on steps'!$B$1:$U$1,Q$1)</f>
        <v>0</v>
      </c>
      <c r="R350" s="179">
        <f>SUMIFS('recurring2_based on steps'!$B350:$AY350,'recurring2_based on steps'!$B$1:$AY$1,R$1)+SUMIFS('changes2_based on steps'!$B350:$U350,'changes2_based on steps'!$B$1:$U$1,R$1)</f>
        <v>0</v>
      </c>
      <c r="S350" s="179">
        <f>SUMIFS('recurring2_based on steps'!$B350:$AY350,'recurring2_based on steps'!$B$1:$AY$1,S$1)+SUMIFS('changes2_based on steps'!$B350:$U350,'changes2_based on steps'!$B$1:$U$1,S$1)</f>
        <v>0</v>
      </c>
      <c r="T350" s="179">
        <f>SUMIFS('recurring2_based on steps'!$B350:$AY350,'recurring2_based on steps'!$B$1:$AY$1,T$1)+SUMIFS('changes2_based on steps'!$B350:$U350,'changes2_based on steps'!$B$1:$U$1,T$1)</f>
        <v>0</v>
      </c>
      <c r="U350" s="179">
        <f>SUMIFS('recurring2_based on steps'!$B350:$AY350,'recurring2_based on steps'!$B$1:$AY$1,U$1)+SUMIFS('changes2_based on steps'!$B350:$U350,'changes2_based on steps'!$B$1:$U$1,U$1)</f>
        <v>0</v>
      </c>
      <c r="V350" s="179">
        <f>SUMIFS('recurring2_based on steps'!$B350:$AY350,'recurring2_based on steps'!$B$1:$AY$1,V$1)+SUMIFS('changes2_based on steps'!$B350:$U350,'changes2_based on steps'!$B$1:$U$1,V$1)</f>
        <v>0</v>
      </c>
      <c r="W350" s="179">
        <f>SUMIFS('recurring2_based on steps'!$B350:$AY350,'recurring2_based on steps'!$B$1:$AY$1,W$1)+SUMIFS('changes2_based on steps'!$B350:$U350,'changes2_based on steps'!$B$1:$U$1,W$1)</f>
        <v>0</v>
      </c>
      <c r="X350" s="179">
        <f>SUMIFS('recurring2_based on steps'!$B350:$AY350,'recurring2_based on steps'!$B$1:$AY$1,X$1)+SUMIFS('changes2_based on steps'!$B350:$U350,'changes2_based on steps'!$B$1:$U$1,X$1)</f>
        <v>0</v>
      </c>
      <c r="Y350" s="179">
        <f>SUMIFS('recurring2_based on steps'!$B350:$AY350,'recurring2_based on steps'!$B$1:$AY$1,Y$1)+SUMIFS('changes2_based on steps'!$B350:$U350,'changes2_based on steps'!$B$1:$U$1,Y$1)</f>
        <v>0</v>
      </c>
      <c r="Z350" s="179">
        <f>SUMIFS('recurring2_based on steps'!$B350:$AY350,'recurring2_based on steps'!$B$1:$AY$1,Z$1)+SUMIFS('changes2_based on steps'!$B350:$U350,'changes2_based on steps'!$B$1:$U$1,Z$1)</f>
        <v>0</v>
      </c>
      <c r="AA350" s="179">
        <f>SUMIFS('recurring2_based on steps'!$B350:$AY350,'recurring2_based on steps'!$B$1:$AY$1,AA$1)+SUMIFS('changes2_based on steps'!$B350:$U350,'changes2_based on steps'!$B$1:$U$1,AA$1)</f>
        <v>0</v>
      </c>
      <c r="AB350" s="179">
        <f>SUMIFS('recurring2_based on steps'!$B350:$AY350,'recurring2_based on steps'!$B$1:$AY$1,AB$1)+SUMIFS('changes2_based on steps'!$B350:$U350,'changes2_based on steps'!$B$1:$U$1,AB$1)</f>
        <v>0</v>
      </c>
      <c r="AC350" s="179">
        <f>SUMIFS('recurring2_based on steps'!$B350:$AY350,'recurring2_based on steps'!$B$1:$AY$1,AC$1)+SUMIFS('changes2_based on steps'!$B350:$U350,'changes2_based on steps'!$B$1:$U$1,AC$1)</f>
        <v>0</v>
      </c>
      <c r="AD350" s="179">
        <f>SUMIFS('recurring2_based on steps'!$B350:$AY350,'recurring2_based on steps'!$B$1:$AY$1,AD$1)+SUMIFS('changes2_based on steps'!$B350:$U350,'changes2_based on steps'!$B$1:$U$1,AD$1)</f>
        <v>0</v>
      </c>
      <c r="AE350" s="179">
        <f>SUMIFS('recurring2_based on steps'!$B350:$AY350,'recurring2_based on steps'!$B$1:$AY$1,AE$1)+SUMIFS('changes2_based on steps'!$B350:$U350,'changes2_based on steps'!$B$1:$U$1,AE$1)</f>
        <v>0</v>
      </c>
      <c r="AF350" s="179"/>
      <c r="AG350" s="179"/>
      <c r="AH350" s="179"/>
      <c r="AI350" s="179"/>
      <c r="AJ350" s="179"/>
      <c r="AK350" s="179"/>
      <c r="AL350" s="179"/>
      <c r="AM350" s="179"/>
    </row>
    <row r="351" spans="1:39" x14ac:dyDescent="0.2">
      <c r="A351" s="32">
        <f t="shared" ca="1" si="5"/>
        <v>46100</v>
      </c>
      <c r="B351" s="179">
        <f>SUMIFS('recurring2_based on steps'!$B351:$AY351,'recurring2_based on steps'!$B$1:$AY$1,B$1)+SUMIFS('changes2_based on steps'!$B351:$U351,'changes2_based on steps'!$B$1:$U$1,B$1)</f>
        <v>0</v>
      </c>
      <c r="C351" s="179">
        <f>SUMIFS('recurring2_based on steps'!$B351:$AY351,'recurring2_based on steps'!$B$1:$AY$1,C$1)+SUMIFS('changes2_based on steps'!$B351:$U351,'changes2_based on steps'!$B$1:$U$1,C$1)</f>
        <v>0</v>
      </c>
      <c r="D351" s="179">
        <f>SUMIFS('recurring2_based on steps'!$B351:$AY351,'recurring2_based on steps'!$B$1:$AY$1,D$1)+SUMIFS('changes2_based on steps'!$B351:$U351,'changes2_based on steps'!$B$1:$U$1,D$1)</f>
        <v>0</v>
      </c>
      <c r="E351" s="179">
        <f>SUMIFS('recurring2_based on steps'!$B351:$AY351,'recurring2_based on steps'!$B$1:$AY$1,E$1)+SUMIFS('changes2_based on steps'!$B351:$U351,'changes2_based on steps'!$B$1:$U$1,E$1)</f>
        <v>0</v>
      </c>
      <c r="F351" s="179">
        <f>SUMIFS('recurring2_based on steps'!$B351:$AY351,'recurring2_based on steps'!$B$1:$AY$1,F$1)+SUMIFS('changes2_based on steps'!$B351:$U351,'changes2_based on steps'!$B$1:$U$1,F$1)</f>
        <v>0</v>
      </c>
      <c r="G351" s="179">
        <f>SUMIFS('recurring2_based on steps'!$B351:$AY351,'recurring2_based on steps'!$B$1:$AY$1,G$1)+SUMIFS('changes2_based on steps'!$B351:$U351,'changes2_based on steps'!$B$1:$U$1,G$1)</f>
        <v>0</v>
      </c>
      <c r="H351" s="179">
        <f>SUMIFS('recurring2_based on steps'!$B351:$AY351,'recurring2_based on steps'!$B$1:$AY$1,H$1)+SUMIFS('changes2_based on steps'!$B351:$U351,'changes2_based on steps'!$B$1:$U$1,H$1)</f>
        <v>0</v>
      </c>
      <c r="I351" s="179">
        <f>SUMIFS('recurring2_based on steps'!$B351:$AY351,'recurring2_based on steps'!$B$1:$AY$1,I$1)+SUMIFS('changes2_based on steps'!$B351:$U351,'changes2_based on steps'!$B$1:$U$1,I$1)</f>
        <v>0</v>
      </c>
      <c r="J351" s="179">
        <f>SUMIFS('recurring2_based on steps'!$B351:$AY351,'recurring2_based on steps'!$B$1:$AY$1,J$1)+SUMIFS('changes2_based on steps'!$B351:$U351,'changes2_based on steps'!$B$1:$U$1,J$1)</f>
        <v>0</v>
      </c>
      <c r="K351" s="179">
        <f>SUMIFS('recurring2_based on steps'!$B351:$AY351,'recurring2_based on steps'!$B$1:$AY$1,K$1)+SUMIFS('changes2_based on steps'!$B351:$U351,'changes2_based on steps'!$B$1:$U$1,K$1)</f>
        <v>0</v>
      </c>
      <c r="L351" s="179">
        <f>SUMIFS('recurring2_based on steps'!$B351:$AY351,'recurring2_based on steps'!$B$1:$AY$1,L$1)+SUMIFS('changes2_based on steps'!$B351:$U351,'changes2_based on steps'!$B$1:$U$1,L$1)</f>
        <v>0</v>
      </c>
      <c r="M351" s="179">
        <f>SUMIFS('recurring2_based on steps'!$B351:$AY351,'recurring2_based on steps'!$B$1:$AY$1,M$1)+SUMIFS('changes2_based on steps'!$B351:$U351,'changes2_based on steps'!$B$1:$U$1,M$1)</f>
        <v>0</v>
      </c>
      <c r="N351" s="179">
        <f>SUMIFS('recurring2_based on steps'!$B351:$AY351,'recurring2_based on steps'!$B$1:$AY$1,N$1)+SUMIFS('changes2_based on steps'!$B351:$U351,'changes2_based on steps'!$B$1:$U$1,N$1)</f>
        <v>0</v>
      </c>
      <c r="O351" s="179">
        <f>SUMIFS('recurring2_based on steps'!$B351:$AY351,'recurring2_based on steps'!$B$1:$AY$1,O$1)+SUMIFS('changes2_based on steps'!$B351:$U351,'changes2_based on steps'!$B$1:$U$1,O$1)</f>
        <v>0</v>
      </c>
      <c r="P351" s="179">
        <f>SUMIFS('recurring2_based on steps'!$B351:$AY351,'recurring2_based on steps'!$B$1:$AY$1,P$1)+SUMIFS('changes2_based on steps'!$B351:$U351,'changes2_based on steps'!$B$1:$U$1,P$1)</f>
        <v>0</v>
      </c>
      <c r="Q351" s="179">
        <f>SUMIFS('recurring2_based on steps'!$B351:$AY351,'recurring2_based on steps'!$B$1:$AY$1,Q$1)+SUMIFS('changes2_based on steps'!$B351:$U351,'changes2_based on steps'!$B$1:$U$1,Q$1)</f>
        <v>0</v>
      </c>
      <c r="R351" s="179">
        <f>SUMIFS('recurring2_based on steps'!$B351:$AY351,'recurring2_based on steps'!$B$1:$AY$1,R$1)+SUMIFS('changes2_based on steps'!$B351:$U351,'changes2_based on steps'!$B$1:$U$1,R$1)</f>
        <v>0</v>
      </c>
      <c r="S351" s="179">
        <f>SUMIFS('recurring2_based on steps'!$B351:$AY351,'recurring2_based on steps'!$B$1:$AY$1,S$1)+SUMIFS('changes2_based on steps'!$B351:$U351,'changes2_based on steps'!$B$1:$U$1,S$1)</f>
        <v>0</v>
      </c>
      <c r="T351" s="179">
        <f>SUMIFS('recurring2_based on steps'!$B351:$AY351,'recurring2_based on steps'!$B$1:$AY$1,T$1)+SUMIFS('changes2_based on steps'!$B351:$U351,'changes2_based on steps'!$B$1:$U$1,T$1)</f>
        <v>0</v>
      </c>
      <c r="U351" s="179">
        <f>SUMIFS('recurring2_based on steps'!$B351:$AY351,'recurring2_based on steps'!$B$1:$AY$1,U$1)+SUMIFS('changes2_based on steps'!$B351:$U351,'changes2_based on steps'!$B$1:$U$1,U$1)</f>
        <v>0</v>
      </c>
      <c r="V351" s="179">
        <f>SUMIFS('recurring2_based on steps'!$B351:$AY351,'recurring2_based on steps'!$B$1:$AY$1,V$1)+SUMIFS('changes2_based on steps'!$B351:$U351,'changes2_based on steps'!$B$1:$U$1,V$1)</f>
        <v>0</v>
      </c>
      <c r="W351" s="179">
        <f>SUMIFS('recurring2_based on steps'!$B351:$AY351,'recurring2_based on steps'!$B$1:$AY$1,W$1)+SUMIFS('changes2_based on steps'!$B351:$U351,'changes2_based on steps'!$B$1:$U$1,W$1)</f>
        <v>0</v>
      </c>
      <c r="X351" s="179">
        <f>SUMIFS('recurring2_based on steps'!$B351:$AY351,'recurring2_based on steps'!$B$1:$AY$1,X$1)+SUMIFS('changes2_based on steps'!$B351:$U351,'changes2_based on steps'!$B$1:$U$1,X$1)</f>
        <v>0</v>
      </c>
      <c r="Y351" s="179">
        <f>SUMIFS('recurring2_based on steps'!$B351:$AY351,'recurring2_based on steps'!$B$1:$AY$1,Y$1)+SUMIFS('changes2_based on steps'!$B351:$U351,'changes2_based on steps'!$B$1:$U$1,Y$1)</f>
        <v>0</v>
      </c>
      <c r="Z351" s="179">
        <f>SUMIFS('recurring2_based on steps'!$B351:$AY351,'recurring2_based on steps'!$B$1:$AY$1,Z$1)+SUMIFS('changes2_based on steps'!$B351:$U351,'changes2_based on steps'!$B$1:$U$1,Z$1)</f>
        <v>0</v>
      </c>
      <c r="AA351" s="179">
        <f>SUMIFS('recurring2_based on steps'!$B351:$AY351,'recurring2_based on steps'!$B$1:$AY$1,AA$1)+SUMIFS('changes2_based on steps'!$B351:$U351,'changes2_based on steps'!$B$1:$U$1,AA$1)</f>
        <v>0</v>
      </c>
      <c r="AB351" s="179">
        <f>SUMIFS('recurring2_based on steps'!$B351:$AY351,'recurring2_based on steps'!$B$1:$AY$1,AB$1)+SUMIFS('changes2_based on steps'!$B351:$U351,'changes2_based on steps'!$B$1:$U$1,AB$1)</f>
        <v>0</v>
      </c>
      <c r="AC351" s="179">
        <f>SUMIFS('recurring2_based on steps'!$B351:$AY351,'recurring2_based on steps'!$B$1:$AY$1,AC$1)+SUMIFS('changes2_based on steps'!$B351:$U351,'changes2_based on steps'!$B$1:$U$1,AC$1)</f>
        <v>0</v>
      </c>
      <c r="AD351" s="179">
        <f>SUMIFS('recurring2_based on steps'!$B351:$AY351,'recurring2_based on steps'!$B$1:$AY$1,AD$1)+SUMIFS('changes2_based on steps'!$B351:$U351,'changes2_based on steps'!$B$1:$U$1,AD$1)</f>
        <v>0</v>
      </c>
      <c r="AE351" s="179">
        <f>SUMIFS('recurring2_based on steps'!$B351:$AY351,'recurring2_based on steps'!$B$1:$AY$1,AE$1)+SUMIFS('changes2_based on steps'!$B351:$U351,'changes2_based on steps'!$B$1:$U$1,AE$1)</f>
        <v>0</v>
      </c>
      <c r="AF351" s="179"/>
      <c r="AG351" s="179"/>
      <c r="AH351" s="179"/>
      <c r="AI351" s="179"/>
      <c r="AJ351" s="179"/>
      <c r="AK351" s="179"/>
      <c r="AL351" s="179"/>
      <c r="AM351" s="179"/>
    </row>
    <row r="352" spans="1:39" x14ac:dyDescent="0.2">
      <c r="A352" s="32">
        <f t="shared" ca="1" si="5"/>
        <v>46101</v>
      </c>
      <c r="B352" s="179">
        <f>SUMIFS('recurring2_based on steps'!$B352:$AY352,'recurring2_based on steps'!$B$1:$AY$1,B$1)+SUMIFS('changes2_based on steps'!$B352:$U352,'changes2_based on steps'!$B$1:$U$1,B$1)</f>
        <v>0</v>
      </c>
      <c r="C352" s="179">
        <f>SUMIFS('recurring2_based on steps'!$B352:$AY352,'recurring2_based on steps'!$B$1:$AY$1,C$1)+SUMIFS('changes2_based on steps'!$B352:$U352,'changes2_based on steps'!$B$1:$U$1,C$1)</f>
        <v>0</v>
      </c>
      <c r="D352" s="179">
        <f>SUMIFS('recurring2_based on steps'!$B352:$AY352,'recurring2_based on steps'!$B$1:$AY$1,D$1)+SUMIFS('changes2_based on steps'!$B352:$U352,'changes2_based on steps'!$B$1:$U$1,D$1)</f>
        <v>0</v>
      </c>
      <c r="E352" s="179">
        <f>SUMIFS('recurring2_based on steps'!$B352:$AY352,'recurring2_based on steps'!$B$1:$AY$1,E$1)+SUMIFS('changes2_based on steps'!$B352:$U352,'changes2_based on steps'!$B$1:$U$1,E$1)</f>
        <v>0</v>
      </c>
      <c r="F352" s="179">
        <f>SUMIFS('recurring2_based on steps'!$B352:$AY352,'recurring2_based on steps'!$B$1:$AY$1,F$1)+SUMIFS('changes2_based on steps'!$B352:$U352,'changes2_based on steps'!$B$1:$U$1,F$1)</f>
        <v>0</v>
      </c>
      <c r="G352" s="179">
        <f>SUMIFS('recurring2_based on steps'!$B352:$AY352,'recurring2_based on steps'!$B$1:$AY$1,G$1)+SUMIFS('changes2_based on steps'!$B352:$U352,'changes2_based on steps'!$B$1:$U$1,G$1)</f>
        <v>0</v>
      </c>
      <c r="H352" s="179">
        <f>SUMIFS('recurring2_based on steps'!$B352:$AY352,'recurring2_based on steps'!$B$1:$AY$1,H$1)+SUMIFS('changes2_based on steps'!$B352:$U352,'changes2_based on steps'!$B$1:$U$1,H$1)</f>
        <v>0</v>
      </c>
      <c r="I352" s="179">
        <f>SUMIFS('recurring2_based on steps'!$B352:$AY352,'recurring2_based on steps'!$B$1:$AY$1,I$1)+SUMIFS('changes2_based on steps'!$B352:$U352,'changes2_based on steps'!$B$1:$U$1,I$1)</f>
        <v>0</v>
      </c>
      <c r="J352" s="179">
        <f>SUMIFS('recurring2_based on steps'!$B352:$AY352,'recurring2_based on steps'!$B$1:$AY$1,J$1)+SUMIFS('changes2_based on steps'!$B352:$U352,'changes2_based on steps'!$B$1:$U$1,J$1)</f>
        <v>0</v>
      </c>
      <c r="K352" s="179">
        <f>SUMIFS('recurring2_based on steps'!$B352:$AY352,'recurring2_based on steps'!$B$1:$AY$1,K$1)+SUMIFS('changes2_based on steps'!$B352:$U352,'changes2_based on steps'!$B$1:$U$1,K$1)</f>
        <v>0</v>
      </c>
      <c r="L352" s="179">
        <f>SUMIFS('recurring2_based on steps'!$B352:$AY352,'recurring2_based on steps'!$B$1:$AY$1,L$1)+SUMIFS('changes2_based on steps'!$B352:$U352,'changes2_based on steps'!$B$1:$U$1,L$1)</f>
        <v>0</v>
      </c>
      <c r="M352" s="179">
        <f>SUMIFS('recurring2_based on steps'!$B352:$AY352,'recurring2_based on steps'!$B$1:$AY$1,M$1)+SUMIFS('changes2_based on steps'!$B352:$U352,'changes2_based on steps'!$B$1:$U$1,M$1)</f>
        <v>0</v>
      </c>
      <c r="N352" s="179">
        <f>SUMIFS('recurring2_based on steps'!$B352:$AY352,'recurring2_based on steps'!$B$1:$AY$1,N$1)+SUMIFS('changes2_based on steps'!$B352:$U352,'changes2_based on steps'!$B$1:$U$1,N$1)</f>
        <v>0</v>
      </c>
      <c r="O352" s="179">
        <f>SUMIFS('recurring2_based on steps'!$B352:$AY352,'recurring2_based on steps'!$B$1:$AY$1,O$1)+SUMIFS('changes2_based on steps'!$B352:$U352,'changes2_based on steps'!$B$1:$U$1,O$1)</f>
        <v>0</v>
      </c>
      <c r="P352" s="179">
        <f>SUMIFS('recurring2_based on steps'!$B352:$AY352,'recurring2_based on steps'!$B$1:$AY$1,P$1)+SUMIFS('changes2_based on steps'!$B352:$U352,'changes2_based on steps'!$B$1:$U$1,P$1)</f>
        <v>0</v>
      </c>
      <c r="Q352" s="179">
        <f>SUMIFS('recurring2_based on steps'!$B352:$AY352,'recurring2_based on steps'!$B$1:$AY$1,Q$1)+SUMIFS('changes2_based on steps'!$B352:$U352,'changes2_based on steps'!$B$1:$U$1,Q$1)</f>
        <v>0</v>
      </c>
      <c r="R352" s="179">
        <f>SUMIFS('recurring2_based on steps'!$B352:$AY352,'recurring2_based on steps'!$B$1:$AY$1,R$1)+SUMIFS('changes2_based on steps'!$B352:$U352,'changes2_based on steps'!$B$1:$U$1,R$1)</f>
        <v>0</v>
      </c>
      <c r="S352" s="179">
        <f>SUMIFS('recurring2_based on steps'!$B352:$AY352,'recurring2_based on steps'!$B$1:$AY$1,S$1)+SUMIFS('changes2_based on steps'!$B352:$U352,'changes2_based on steps'!$B$1:$U$1,S$1)</f>
        <v>0</v>
      </c>
      <c r="T352" s="179">
        <f>SUMIFS('recurring2_based on steps'!$B352:$AY352,'recurring2_based on steps'!$B$1:$AY$1,T$1)+SUMIFS('changes2_based on steps'!$B352:$U352,'changes2_based on steps'!$B$1:$U$1,T$1)</f>
        <v>0</v>
      </c>
      <c r="U352" s="179">
        <f>SUMIFS('recurring2_based on steps'!$B352:$AY352,'recurring2_based on steps'!$B$1:$AY$1,U$1)+SUMIFS('changes2_based on steps'!$B352:$U352,'changes2_based on steps'!$B$1:$U$1,U$1)</f>
        <v>0</v>
      </c>
      <c r="V352" s="179">
        <f>SUMIFS('recurring2_based on steps'!$B352:$AY352,'recurring2_based on steps'!$B$1:$AY$1,V$1)+SUMIFS('changes2_based on steps'!$B352:$U352,'changes2_based on steps'!$B$1:$U$1,V$1)</f>
        <v>0</v>
      </c>
      <c r="W352" s="179">
        <f>SUMIFS('recurring2_based on steps'!$B352:$AY352,'recurring2_based on steps'!$B$1:$AY$1,W$1)+SUMIFS('changes2_based on steps'!$B352:$U352,'changes2_based on steps'!$B$1:$U$1,W$1)</f>
        <v>0</v>
      </c>
      <c r="X352" s="179">
        <f>SUMIFS('recurring2_based on steps'!$B352:$AY352,'recurring2_based on steps'!$B$1:$AY$1,X$1)+SUMIFS('changes2_based on steps'!$B352:$U352,'changes2_based on steps'!$B$1:$U$1,X$1)</f>
        <v>0</v>
      </c>
      <c r="Y352" s="179">
        <f>SUMIFS('recurring2_based on steps'!$B352:$AY352,'recurring2_based on steps'!$B$1:$AY$1,Y$1)+SUMIFS('changes2_based on steps'!$B352:$U352,'changes2_based on steps'!$B$1:$U$1,Y$1)</f>
        <v>0</v>
      </c>
      <c r="Z352" s="179">
        <f>SUMIFS('recurring2_based on steps'!$B352:$AY352,'recurring2_based on steps'!$B$1:$AY$1,Z$1)+SUMIFS('changes2_based on steps'!$B352:$U352,'changes2_based on steps'!$B$1:$U$1,Z$1)</f>
        <v>0</v>
      </c>
      <c r="AA352" s="179">
        <f>SUMIFS('recurring2_based on steps'!$B352:$AY352,'recurring2_based on steps'!$B$1:$AY$1,AA$1)+SUMIFS('changes2_based on steps'!$B352:$U352,'changes2_based on steps'!$B$1:$U$1,AA$1)</f>
        <v>0</v>
      </c>
      <c r="AB352" s="179">
        <f>SUMIFS('recurring2_based on steps'!$B352:$AY352,'recurring2_based on steps'!$B$1:$AY$1,AB$1)+SUMIFS('changes2_based on steps'!$B352:$U352,'changes2_based on steps'!$B$1:$U$1,AB$1)</f>
        <v>0</v>
      </c>
      <c r="AC352" s="179">
        <f>SUMIFS('recurring2_based on steps'!$B352:$AY352,'recurring2_based on steps'!$B$1:$AY$1,AC$1)+SUMIFS('changes2_based on steps'!$B352:$U352,'changes2_based on steps'!$B$1:$U$1,AC$1)</f>
        <v>0</v>
      </c>
      <c r="AD352" s="179">
        <f>SUMIFS('recurring2_based on steps'!$B352:$AY352,'recurring2_based on steps'!$B$1:$AY$1,AD$1)+SUMIFS('changes2_based on steps'!$B352:$U352,'changes2_based on steps'!$B$1:$U$1,AD$1)</f>
        <v>0</v>
      </c>
      <c r="AE352" s="179">
        <f>SUMIFS('recurring2_based on steps'!$B352:$AY352,'recurring2_based on steps'!$B$1:$AY$1,AE$1)+SUMIFS('changes2_based on steps'!$B352:$U352,'changes2_based on steps'!$B$1:$U$1,AE$1)</f>
        <v>0</v>
      </c>
      <c r="AF352" s="179"/>
      <c r="AG352" s="179"/>
      <c r="AH352" s="179"/>
      <c r="AI352" s="179"/>
      <c r="AJ352" s="179"/>
      <c r="AK352" s="179"/>
      <c r="AL352" s="179"/>
      <c r="AM352" s="179"/>
    </row>
    <row r="353" spans="1:39" x14ac:dyDescent="0.2">
      <c r="A353" s="32">
        <f t="shared" ca="1" si="5"/>
        <v>46102</v>
      </c>
      <c r="B353" s="179">
        <f>SUMIFS('recurring2_based on steps'!$B353:$AY353,'recurring2_based on steps'!$B$1:$AY$1,B$1)+SUMIFS('changes2_based on steps'!$B353:$U353,'changes2_based on steps'!$B$1:$U$1,B$1)</f>
        <v>0</v>
      </c>
      <c r="C353" s="179">
        <f>SUMIFS('recurring2_based on steps'!$B353:$AY353,'recurring2_based on steps'!$B$1:$AY$1,C$1)+SUMIFS('changes2_based on steps'!$B353:$U353,'changes2_based on steps'!$B$1:$U$1,C$1)</f>
        <v>0</v>
      </c>
      <c r="D353" s="179">
        <f>SUMIFS('recurring2_based on steps'!$B353:$AY353,'recurring2_based on steps'!$B$1:$AY$1,D$1)+SUMIFS('changes2_based on steps'!$B353:$U353,'changes2_based on steps'!$B$1:$U$1,D$1)</f>
        <v>0</v>
      </c>
      <c r="E353" s="179">
        <f>SUMIFS('recurring2_based on steps'!$B353:$AY353,'recurring2_based on steps'!$B$1:$AY$1,E$1)+SUMIFS('changes2_based on steps'!$B353:$U353,'changes2_based on steps'!$B$1:$U$1,E$1)</f>
        <v>0</v>
      </c>
      <c r="F353" s="179">
        <f>SUMIFS('recurring2_based on steps'!$B353:$AY353,'recurring2_based on steps'!$B$1:$AY$1,F$1)+SUMIFS('changes2_based on steps'!$B353:$U353,'changes2_based on steps'!$B$1:$U$1,F$1)</f>
        <v>0</v>
      </c>
      <c r="G353" s="179">
        <f>SUMIFS('recurring2_based on steps'!$B353:$AY353,'recurring2_based on steps'!$B$1:$AY$1,G$1)+SUMIFS('changes2_based on steps'!$B353:$U353,'changes2_based on steps'!$B$1:$U$1,G$1)</f>
        <v>0</v>
      </c>
      <c r="H353" s="179">
        <f>SUMIFS('recurring2_based on steps'!$B353:$AY353,'recurring2_based on steps'!$B$1:$AY$1,H$1)+SUMIFS('changes2_based on steps'!$B353:$U353,'changes2_based on steps'!$B$1:$U$1,H$1)</f>
        <v>0</v>
      </c>
      <c r="I353" s="179">
        <f>SUMIFS('recurring2_based on steps'!$B353:$AY353,'recurring2_based on steps'!$B$1:$AY$1,I$1)+SUMIFS('changes2_based on steps'!$B353:$U353,'changes2_based on steps'!$B$1:$U$1,I$1)</f>
        <v>0</v>
      </c>
      <c r="J353" s="179">
        <f>SUMIFS('recurring2_based on steps'!$B353:$AY353,'recurring2_based on steps'!$B$1:$AY$1,J$1)+SUMIFS('changes2_based on steps'!$B353:$U353,'changes2_based on steps'!$B$1:$U$1,J$1)</f>
        <v>0</v>
      </c>
      <c r="K353" s="179">
        <f>SUMIFS('recurring2_based on steps'!$B353:$AY353,'recurring2_based on steps'!$B$1:$AY$1,K$1)+SUMIFS('changes2_based on steps'!$B353:$U353,'changes2_based on steps'!$B$1:$U$1,K$1)</f>
        <v>0</v>
      </c>
      <c r="L353" s="179">
        <f>SUMIFS('recurring2_based on steps'!$B353:$AY353,'recurring2_based on steps'!$B$1:$AY$1,L$1)+SUMIFS('changes2_based on steps'!$B353:$U353,'changes2_based on steps'!$B$1:$U$1,L$1)</f>
        <v>0</v>
      </c>
      <c r="M353" s="179">
        <f>SUMIFS('recurring2_based on steps'!$B353:$AY353,'recurring2_based on steps'!$B$1:$AY$1,M$1)+SUMIFS('changes2_based on steps'!$B353:$U353,'changes2_based on steps'!$B$1:$U$1,M$1)</f>
        <v>0</v>
      </c>
      <c r="N353" s="179">
        <f>SUMIFS('recurring2_based on steps'!$B353:$AY353,'recurring2_based on steps'!$B$1:$AY$1,N$1)+SUMIFS('changes2_based on steps'!$B353:$U353,'changes2_based on steps'!$B$1:$U$1,N$1)</f>
        <v>0</v>
      </c>
      <c r="O353" s="179">
        <f>SUMIFS('recurring2_based on steps'!$B353:$AY353,'recurring2_based on steps'!$B$1:$AY$1,O$1)+SUMIFS('changes2_based on steps'!$B353:$U353,'changes2_based on steps'!$B$1:$U$1,O$1)</f>
        <v>0</v>
      </c>
      <c r="P353" s="179">
        <f>SUMIFS('recurring2_based on steps'!$B353:$AY353,'recurring2_based on steps'!$B$1:$AY$1,P$1)+SUMIFS('changes2_based on steps'!$B353:$U353,'changes2_based on steps'!$B$1:$U$1,P$1)</f>
        <v>0</v>
      </c>
      <c r="Q353" s="179">
        <f>SUMIFS('recurring2_based on steps'!$B353:$AY353,'recurring2_based on steps'!$B$1:$AY$1,Q$1)+SUMIFS('changes2_based on steps'!$B353:$U353,'changes2_based on steps'!$B$1:$U$1,Q$1)</f>
        <v>0</v>
      </c>
      <c r="R353" s="179">
        <f>SUMIFS('recurring2_based on steps'!$B353:$AY353,'recurring2_based on steps'!$B$1:$AY$1,R$1)+SUMIFS('changes2_based on steps'!$B353:$U353,'changes2_based on steps'!$B$1:$U$1,R$1)</f>
        <v>0</v>
      </c>
      <c r="S353" s="179">
        <f>SUMIFS('recurring2_based on steps'!$B353:$AY353,'recurring2_based on steps'!$B$1:$AY$1,S$1)+SUMIFS('changes2_based on steps'!$B353:$U353,'changes2_based on steps'!$B$1:$U$1,S$1)</f>
        <v>0</v>
      </c>
      <c r="T353" s="179">
        <f>SUMIFS('recurring2_based on steps'!$B353:$AY353,'recurring2_based on steps'!$B$1:$AY$1,T$1)+SUMIFS('changes2_based on steps'!$B353:$U353,'changes2_based on steps'!$B$1:$U$1,T$1)</f>
        <v>0</v>
      </c>
      <c r="U353" s="179">
        <f>SUMIFS('recurring2_based on steps'!$B353:$AY353,'recurring2_based on steps'!$B$1:$AY$1,U$1)+SUMIFS('changes2_based on steps'!$B353:$U353,'changes2_based on steps'!$B$1:$U$1,U$1)</f>
        <v>0</v>
      </c>
      <c r="V353" s="179">
        <f>SUMIFS('recurring2_based on steps'!$B353:$AY353,'recurring2_based on steps'!$B$1:$AY$1,V$1)+SUMIFS('changes2_based on steps'!$B353:$U353,'changes2_based on steps'!$B$1:$U$1,V$1)</f>
        <v>0</v>
      </c>
      <c r="W353" s="179">
        <f>SUMIFS('recurring2_based on steps'!$B353:$AY353,'recurring2_based on steps'!$B$1:$AY$1,W$1)+SUMIFS('changes2_based on steps'!$B353:$U353,'changes2_based on steps'!$B$1:$U$1,W$1)</f>
        <v>0</v>
      </c>
      <c r="X353" s="179">
        <f>SUMIFS('recurring2_based on steps'!$B353:$AY353,'recurring2_based on steps'!$B$1:$AY$1,X$1)+SUMIFS('changes2_based on steps'!$B353:$U353,'changes2_based on steps'!$B$1:$U$1,X$1)</f>
        <v>0</v>
      </c>
      <c r="Y353" s="179">
        <f>SUMIFS('recurring2_based on steps'!$B353:$AY353,'recurring2_based on steps'!$B$1:$AY$1,Y$1)+SUMIFS('changes2_based on steps'!$B353:$U353,'changes2_based on steps'!$B$1:$U$1,Y$1)</f>
        <v>0</v>
      </c>
      <c r="Z353" s="179">
        <f>SUMIFS('recurring2_based on steps'!$B353:$AY353,'recurring2_based on steps'!$B$1:$AY$1,Z$1)+SUMIFS('changes2_based on steps'!$B353:$U353,'changes2_based on steps'!$B$1:$U$1,Z$1)</f>
        <v>0</v>
      </c>
      <c r="AA353" s="179">
        <f>SUMIFS('recurring2_based on steps'!$B353:$AY353,'recurring2_based on steps'!$B$1:$AY$1,AA$1)+SUMIFS('changes2_based on steps'!$B353:$U353,'changes2_based on steps'!$B$1:$U$1,AA$1)</f>
        <v>0</v>
      </c>
      <c r="AB353" s="179">
        <f>SUMIFS('recurring2_based on steps'!$B353:$AY353,'recurring2_based on steps'!$B$1:$AY$1,AB$1)+SUMIFS('changes2_based on steps'!$B353:$U353,'changes2_based on steps'!$B$1:$U$1,AB$1)</f>
        <v>0</v>
      </c>
      <c r="AC353" s="179">
        <f>SUMIFS('recurring2_based on steps'!$B353:$AY353,'recurring2_based on steps'!$B$1:$AY$1,AC$1)+SUMIFS('changes2_based on steps'!$B353:$U353,'changes2_based on steps'!$B$1:$U$1,AC$1)</f>
        <v>0</v>
      </c>
      <c r="AD353" s="179">
        <f>SUMIFS('recurring2_based on steps'!$B353:$AY353,'recurring2_based on steps'!$B$1:$AY$1,AD$1)+SUMIFS('changes2_based on steps'!$B353:$U353,'changes2_based on steps'!$B$1:$U$1,AD$1)</f>
        <v>0</v>
      </c>
      <c r="AE353" s="179">
        <f>SUMIFS('recurring2_based on steps'!$B353:$AY353,'recurring2_based on steps'!$B$1:$AY$1,AE$1)+SUMIFS('changes2_based on steps'!$B353:$U353,'changes2_based on steps'!$B$1:$U$1,AE$1)</f>
        <v>0</v>
      </c>
      <c r="AF353" s="179"/>
      <c r="AG353" s="179"/>
      <c r="AH353" s="179"/>
      <c r="AI353" s="179"/>
      <c r="AJ353" s="179"/>
      <c r="AK353" s="179"/>
      <c r="AL353" s="179"/>
      <c r="AM353" s="179"/>
    </row>
    <row r="354" spans="1:39" x14ac:dyDescent="0.2">
      <c r="A354" s="32">
        <f t="shared" ca="1" si="5"/>
        <v>46103</v>
      </c>
      <c r="B354" s="179">
        <f>SUMIFS('recurring2_based on steps'!$B354:$AY354,'recurring2_based on steps'!$B$1:$AY$1,B$1)+SUMIFS('changes2_based on steps'!$B354:$U354,'changes2_based on steps'!$B$1:$U$1,B$1)</f>
        <v>0</v>
      </c>
      <c r="C354" s="179">
        <f>SUMIFS('recurring2_based on steps'!$B354:$AY354,'recurring2_based on steps'!$B$1:$AY$1,C$1)+SUMIFS('changes2_based on steps'!$B354:$U354,'changes2_based on steps'!$B$1:$U$1,C$1)</f>
        <v>0</v>
      </c>
      <c r="D354" s="179">
        <f>SUMIFS('recurring2_based on steps'!$B354:$AY354,'recurring2_based on steps'!$B$1:$AY$1,D$1)+SUMIFS('changes2_based on steps'!$B354:$U354,'changes2_based on steps'!$B$1:$U$1,D$1)</f>
        <v>0</v>
      </c>
      <c r="E354" s="179">
        <f>SUMIFS('recurring2_based on steps'!$B354:$AY354,'recurring2_based on steps'!$B$1:$AY$1,E$1)+SUMIFS('changes2_based on steps'!$B354:$U354,'changes2_based on steps'!$B$1:$U$1,E$1)</f>
        <v>0</v>
      </c>
      <c r="F354" s="179">
        <f>SUMIFS('recurring2_based on steps'!$B354:$AY354,'recurring2_based on steps'!$B$1:$AY$1,F$1)+SUMIFS('changes2_based on steps'!$B354:$U354,'changes2_based on steps'!$B$1:$U$1,F$1)</f>
        <v>0</v>
      </c>
      <c r="G354" s="179">
        <f>SUMIFS('recurring2_based on steps'!$B354:$AY354,'recurring2_based on steps'!$B$1:$AY$1,G$1)+SUMIFS('changes2_based on steps'!$B354:$U354,'changes2_based on steps'!$B$1:$U$1,G$1)</f>
        <v>0</v>
      </c>
      <c r="H354" s="179">
        <f>SUMIFS('recurring2_based on steps'!$B354:$AY354,'recurring2_based on steps'!$B$1:$AY$1,H$1)+SUMIFS('changes2_based on steps'!$B354:$U354,'changes2_based on steps'!$B$1:$U$1,H$1)</f>
        <v>0</v>
      </c>
      <c r="I354" s="179">
        <f>SUMIFS('recurring2_based on steps'!$B354:$AY354,'recurring2_based on steps'!$B$1:$AY$1,I$1)+SUMIFS('changes2_based on steps'!$B354:$U354,'changes2_based on steps'!$B$1:$U$1,I$1)</f>
        <v>0</v>
      </c>
      <c r="J354" s="179">
        <f>SUMIFS('recurring2_based on steps'!$B354:$AY354,'recurring2_based on steps'!$B$1:$AY$1,J$1)+SUMIFS('changes2_based on steps'!$B354:$U354,'changes2_based on steps'!$B$1:$U$1,J$1)</f>
        <v>0</v>
      </c>
      <c r="K354" s="179">
        <f>SUMIFS('recurring2_based on steps'!$B354:$AY354,'recurring2_based on steps'!$B$1:$AY$1,K$1)+SUMIFS('changes2_based on steps'!$B354:$U354,'changes2_based on steps'!$B$1:$U$1,K$1)</f>
        <v>0</v>
      </c>
      <c r="L354" s="179">
        <f>SUMIFS('recurring2_based on steps'!$B354:$AY354,'recurring2_based on steps'!$B$1:$AY$1,L$1)+SUMIFS('changes2_based on steps'!$B354:$U354,'changes2_based on steps'!$B$1:$U$1,L$1)</f>
        <v>0</v>
      </c>
      <c r="M354" s="179">
        <f>SUMIFS('recurring2_based on steps'!$B354:$AY354,'recurring2_based on steps'!$B$1:$AY$1,M$1)+SUMIFS('changes2_based on steps'!$B354:$U354,'changes2_based on steps'!$B$1:$U$1,M$1)</f>
        <v>0</v>
      </c>
      <c r="N354" s="179">
        <f>SUMIFS('recurring2_based on steps'!$B354:$AY354,'recurring2_based on steps'!$B$1:$AY$1,N$1)+SUMIFS('changes2_based on steps'!$B354:$U354,'changes2_based on steps'!$B$1:$U$1,N$1)</f>
        <v>0</v>
      </c>
      <c r="O354" s="179">
        <f>SUMIFS('recurring2_based on steps'!$B354:$AY354,'recurring2_based on steps'!$B$1:$AY$1,O$1)+SUMIFS('changes2_based on steps'!$B354:$U354,'changes2_based on steps'!$B$1:$U$1,O$1)</f>
        <v>0</v>
      </c>
      <c r="P354" s="179">
        <f>SUMIFS('recurring2_based on steps'!$B354:$AY354,'recurring2_based on steps'!$B$1:$AY$1,P$1)+SUMIFS('changes2_based on steps'!$B354:$U354,'changes2_based on steps'!$B$1:$U$1,P$1)</f>
        <v>0</v>
      </c>
      <c r="Q354" s="179">
        <f>SUMIFS('recurring2_based on steps'!$B354:$AY354,'recurring2_based on steps'!$B$1:$AY$1,Q$1)+SUMIFS('changes2_based on steps'!$B354:$U354,'changes2_based on steps'!$B$1:$U$1,Q$1)</f>
        <v>0</v>
      </c>
      <c r="R354" s="179">
        <f>SUMIFS('recurring2_based on steps'!$B354:$AY354,'recurring2_based on steps'!$B$1:$AY$1,R$1)+SUMIFS('changes2_based on steps'!$B354:$U354,'changes2_based on steps'!$B$1:$U$1,R$1)</f>
        <v>0</v>
      </c>
      <c r="S354" s="179">
        <f>SUMIFS('recurring2_based on steps'!$B354:$AY354,'recurring2_based on steps'!$B$1:$AY$1,S$1)+SUMIFS('changes2_based on steps'!$B354:$U354,'changes2_based on steps'!$B$1:$U$1,S$1)</f>
        <v>0</v>
      </c>
      <c r="T354" s="179">
        <f>SUMIFS('recurring2_based on steps'!$B354:$AY354,'recurring2_based on steps'!$B$1:$AY$1,T$1)+SUMIFS('changes2_based on steps'!$B354:$U354,'changes2_based on steps'!$B$1:$U$1,T$1)</f>
        <v>0</v>
      </c>
      <c r="U354" s="179">
        <f>SUMIFS('recurring2_based on steps'!$B354:$AY354,'recurring2_based on steps'!$B$1:$AY$1,U$1)+SUMIFS('changes2_based on steps'!$B354:$U354,'changes2_based on steps'!$B$1:$U$1,U$1)</f>
        <v>0</v>
      </c>
      <c r="V354" s="179">
        <f>SUMIFS('recurring2_based on steps'!$B354:$AY354,'recurring2_based on steps'!$B$1:$AY$1,V$1)+SUMIFS('changes2_based on steps'!$B354:$U354,'changes2_based on steps'!$B$1:$U$1,V$1)</f>
        <v>0</v>
      </c>
      <c r="W354" s="179">
        <f>SUMIFS('recurring2_based on steps'!$B354:$AY354,'recurring2_based on steps'!$B$1:$AY$1,W$1)+SUMIFS('changes2_based on steps'!$B354:$U354,'changes2_based on steps'!$B$1:$U$1,W$1)</f>
        <v>0</v>
      </c>
      <c r="X354" s="179">
        <f>SUMIFS('recurring2_based on steps'!$B354:$AY354,'recurring2_based on steps'!$B$1:$AY$1,X$1)+SUMIFS('changes2_based on steps'!$B354:$U354,'changes2_based on steps'!$B$1:$U$1,X$1)</f>
        <v>0</v>
      </c>
      <c r="Y354" s="179">
        <f>SUMIFS('recurring2_based on steps'!$B354:$AY354,'recurring2_based on steps'!$B$1:$AY$1,Y$1)+SUMIFS('changes2_based on steps'!$B354:$U354,'changes2_based on steps'!$B$1:$U$1,Y$1)</f>
        <v>0</v>
      </c>
      <c r="Z354" s="179">
        <f>SUMIFS('recurring2_based on steps'!$B354:$AY354,'recurring2_based on steps'!$B$1:$AY$1,Z$1)+SUMIFS('changes2_based on steps'!$B354:$U354,'changes2_based on steps'!$B$1:$U$1,Z$1)</f>
        <v>0</v>
      </c>
      <c r="AA354" s="179">
        <f>SUMIFS('recurring2_based on steps'!$B354:$AY354,'recurring2_based on steps'!$B$1:$AY$1,AA$1)+SUMIFS('changes2_based on steps'!$B354:$U354,'changes2_based on steps'!$B$1:$U$1,AA$1)</f>
        <v>0</v>
      </c>
      <c r="AB354" s="179">
        <f>SUMIFS('recurring2_based on steps'!$B354:$AY354,'recurring2_based on steps'!$B$1:$AY$1,AB$1)+SUMIFS('changes2_based on steps'!$B354:$U354,'changes2_based on steps'!$B$1:$U$1,AB$1)</f>
        <v>0</v>
      </c>
      <c r="AC354" s="179">
        <f>SUMIFS('recurring2_based on steps'!$B354:$AY354,'recurring2_based on steps'!$B$1:$AY$1,AC$1)+SUMIFS('changes2_based on steps'!$B354:$U354,'changes2_based on steps'!$B$1:$U$1,AC$1)</f>
        <v>0</v>
      </c>
      <c r="AD354" s="179">
        <f>SUMIFS('recurring2_based on steps'!$B354:$AY354,'recurring2_based on steps'!$B$1:$AY$1,AD$1)+SUMIFS('changes2_based on steps'!$B354:$U354,'changes2_based on steps'!$B$1:$U$1,AD$1)</f>
        <v>0</v>
      </c>
      <c r="AE354" s="179">
        <f>SUMIFS('recurring2_based on steps'!$B354:$AY354,'recurring2_based on steps'!$B$1:$AY$1,AE$1)+SUMIFS('changes2_based on steps'!$B354:$U354,'changes2_based on steps'!$B$1:$U$1,AE$1)</f>
        <v>0</v>
      </c>
      <c r="AF354" s="179"/>
      <c r="AG354" s="179"/>
      <c r="AH354" s="179"/>
      <c r="AI354" s="179"/>
      <c r="AJ354" s="179"/>
      <c r="AK354" s="179"/>
      <c r="AL354" s="179"/>
      <c r="AM354" s="179"/>
    </row>
    <row r="355" spans="1:39" x14ac:dyDescent="0.2">
      <c r="A355" s="32">
        <f t="shared" ca="1" si="5"/>
        <v>46104</v>
      </c>
      <c r="B355" s="179">
        <f>SUMIFS('recurring2_based on steps'!$B355:$AY355,'recurring2_based on steps'!$B$1:$AY$1,B$1)+SUMIFS('changes2_based on steps'!$B355:$U355,'changes2_based on steps'!$B$1:$U$1,B$1)</f>
        <v>0</v>
      </c>
      <c r="C355" s="179">
        <f>SUMIFS('recurring2_based on steps'!$B355:$AY355,'recurring2_based on steps'!$B$1:$AY$1,C$1)+SUMIFS('changes2_based on steps'!$B355:$U355,'changes2_based on steps'!$B$1:$U$1,C$1)</f>
        <v>0</v>
      </c>
      <c r="D355" s="179">
        <f>SUMIFS('recurring2_based on steps'!$B355:$AY355,'recurring2_based on steps'!$B$1:$AY$1,D$1)+SUMIFS('changes2_based on steps'!$B355:$U355,'changes2_based on steps'!$B$1:$U$1,D$1)</f>
        <v>0</v>
      </c>
      <c r="E355" s="179">
        <f>SUMIFS('recurring2_based on steps'!$B355:$AY355,'recurring2_based on steps'!$B$1:$AY$1,E$1)+SUMIFS('changes2_based on steps'!$B355:$U355,'changes2_based on steps'!$B$1:$U$1,E$1)</f>
        <v>0</v>
      </c>
      <c r="F355" s="179">
        <f>SUMIFS('recurring2_based on steps'!$B355:$AY355,'recurring2_based on steps'!$B$1:$AY$1,F$1)+SUMIFS('changes2_based on steps'!$B355:$U355,'changes2_based on steps'!$B$1:$U$1,F$1)</f>
        <v>0</v>
      </c>
      <c r="G355" s="179">
        <f>SUMIFS('recurring2_based on steps'!$B355:$AY355,'recurring2_based on steps'!$B$1:$AY$1,G$1)+SUMIFS('changes2_based on steps'!$B355:$U355,'changes2_based on steps'!$B$1:$U$1,G$1)</f>
        <v>0</v>
      </c>
      <c r="H355" s="179">
        <f>SUMIFS('recurring2_based on steps'!$B355:$AY355,'recurring2_based on steps'!$B$1:$AY$1,H$1)+SUMIFS('changes2_based on steps'!$B355:$U355,'changes2_based on steps'!$B$1:$U$1,H$1)</f>
        <v>0</v>
      </c>
      <c r="I355" s="179">
        <f>SUMIFS('recurring2_based on steps'!$B355:$AY355,'recurring2_based on steps'!$B$1:$AY$1,I$1)+SUMIFS('changes2_based on steps'!$B355:$U355,'changes2_based on steps'!$B$1:$U$1,I$1)</f>
        <v>0</v>
      </c>
      <c r="J355" s="179">
        <f>SUMIFS('recurring2_based on steps'!$B355:$AY355,'recurring2_based on steps'!$B$1:$AY$1,J$1)+SUMIFS('changes2_based on steps'!$B355:$U355,'changes2_based on steps'!$B$1:$U$1,J$1)</f>
        <v>0</v>
      </c>
      <c r="K355" s="179">
        <f>SUMIFS('recurring2_based on steps'!$B355:$AY355,'recurring2_based on steps'!$B$1:$AY$1,K$1)+SUMIFS('changes2_based on steps'!$B355:$U355,'changes2_based on steps'!$B$1:$U$1,K$1)</f>
        <v>0</v>
      </c>
      <c r="L355" s="179">
        <f>SUMIFS('recurring2_based on steps'!$B355:$AY355,'recurring2_based on steps'!$B$1:$AY$1,L$1)+SUMIFS('changes2_based on steps'!$B355:$U355,'changes2_based on steps'!$B$1:$U$1,L$1)</f>
        <v>0</v>
      </c>
      <c r="M355" s="179">
        <f>SUMIFS('recurring2_based on steps'!$B355:$AY355,'recurring2_based on steps'!$B$1:$AY$1,M$1)+SUMIFS('changes2_based on steps'!$B355:$U355,'changes2_based on steps'!$B$1:$U$1,M$1)</f>
        <v>0</v>
      </c>
      <c r="N355" s="179">
        <f>SUMIFS('recurring2_based on steps'!$B355:$AY355,'recurring2_based on steps'!$B$1:$AY$1,N$1)+SUMIFS('changes2_based on steps'!$B355:$U355,'changes2_based on steps'!$B$1:$U$1,N$1)</f>
        <v>0</v>
      </c>
      <c r="O355" s="179">
        <f>SUMIFS('recurring2_based on steps'!$B355:$AY355,'recurring2_based on steps'!$B$1:$AY$1,O$1)+SUMIFS('changes2_based on steps'!$B355:$U355,'changes2_based on steps'!$B$1:$U$1,O$1)</f>
        <v>0</v>
      </c>
      <c r="P355" s="179">
        <f>SUMIFS('recurring2_based on steps'!$B355:$AY355,'recurring2_based on steps'!$B$1:$AY$1,P$1)+SUMIFS('changes2_based on steps'!$B355:$U355,'changes2_based on steps'!$B$1:$U$1,P$1)</f>
        <v>0</v>
      </c>
      <c r="Q355" s="179">
        <f>SUMIFS('recurring2_based on steps'!$B355:$AY355,'recurring2_based on steps'!$B$1:$AY$1,Q$1)+SUMIFS('changes2_based on steps'!$B355:$U355,'changes2_based on steps'!$B$1:$U$1,Q$1)</f>
        <v>0</v>
      </c>
      <c r="R355" s="179">
        <f>SUMIFS('recurring2_based on steps'!$B355:$AY355,'recurring2_based on steps'!$B$1:$AY$1,R$1)+SUMIFS('changes2_based on steps'!$B355:$U355,'changes2_based on steps'!$B$1:$U$1,R$1)</f>
        <v>0</v>
      </c>
      <c r="S355" s="179">
        <f>SUMIFS('recurring2_based on steps'!$B355:$AY355,'recurring2_based on steps'!$B$1:$AY$1,S$1)+SUMIFS('changes2_based on steps'!$B355:$U355,'changes2_based on steps'!$B$1:$U$1,S$1)</f>
        <v>0</v>
      </c>
      <c r="T355" s="179">
        <f>SUMIFS('recurring2_based on steps'!$B355:$AY355,'recurring2_based on steps'!$B$1:$AY$1,T$1)+SUMIFS('changes2_based on steps'!$B355:$U355,'changes2_based on steps'!$B$1:$U$1,T$1)</f>
        <v>0</v>
      </c>
      <c r="U355" s="179">
        <f>SUMIFS('recurring2_based on steps'!$B355:$AY355,'recurring2_based on steps'!$B$1:$AY$1,U$1)+SUMIFS('changes2_based on steps'!$B355:$U355,'changes2_based on steps'!$B$1:$U$1,U$1)</f>
        <v>0</v>
      </c>
      <c r="V355" s="179">
        <f>SUMIFS('recurring2_based on steps'!$B355:$AY355,'recurring2_based on steps'!$B$1:$AY$1,V$1)+SUMIFS('changes2_based on steps'!$B355:$U355,'changes2_based on steps'!$B$1:$U$1,V$1)</f>
        <v>0</v>
      </c>
      <c r="W355" s="179">
        <f>SUMIFS('recurring2_based on steps'!$B355:$AY355,'recurring2_based on steps'!$B$1:$AY$1,W$1)+SUMIFS('changes2_based on steps'!$B355:$U355,'changes2_based on steps'!$B$1:$U$1,W$1)</f>
        <v>0</v>
      </c>
      <c r="X355" s="179">
        <f>SUMIFS('recurring2_based on steps'!$B355:$AY355,'recurring2_based on steps'!$B$1:$AY$1,X$1)+SUMIFS('changes2_based on steps'!$B355:$U355,'changes2_based on steps'!$B$1:$U$1,X$1)</f>
        <v>0</v>
      </c>
      <c r="Y355" s="179">
        <f>SUMIFS('recurring2_based on steps'!$B355:$AY355,'recurring2_based on steps'!$B$1:$AY$1,Y$1)+SUMIFS('changes2_based on steps'!$B355:$U355,'changes2_based on steps'!$B$1:$U$1,Y$1)</f>
        <v>0</v>
      </c>
      <c r="Z355" s="179">
        <f>SUMIFS('recurring2_based on steps'!$B355:$AY355,'recurring2_based on steps'!$B$1:$AY$1,Z$1)+SUMIFS('changes2_based on steps'!$B355:$U355,'changes2_based on steps'!$B$1:$U$1,Z$1)</f>
        <v>0</v>
      </c>
      <c r="AA355" s="179">
        <f>SUMIFS('recurring2_based on steps'!$B355:$AY355,'recurring2_based on steps'!$B$1:$AY$1,AA$1)+SUMIFS('changes2_based on steps'!$B355:$U355,'changes2_based on steps'!$B$1:$U$1,AA$1)</f>
        <v>0</v>
      </c>
      <c r="AB355" s="179">
        <f>SUMIFS('recurring2_based on steps'!$B355:$AY355,'recurring2_based on steps'!$B$1:$AY$1,AB$1)+SUMIFS('changes2_based on steps'!$B355:$U355,'changes2_based on steps'!$B$1:$U$1,AB$1)</f>
        <v>0</v>
      </c>
      <c r="AC355" s="179">
        <f>SUMIFS('recurring2_based on steps'!$B355:$AY355,'recurring2_based on steps'!$B$1:$AY$1,AC$1)+SUMIFS('changes2_based on steps'!$B355:$U355,'changes2_based on steps'!$B$1:$U$1,AC$1)</f>
        <v>0</v>
      </c>
      <c r="AD355" s="179">
        <f>SUMIFS('recurring2_based on steps'!$B355:$AY355,'recurring2_based on steps'!$B$1:$AY$1,AD$1)+SUMIFS('changes2_based on steps'!$B355:$U355,'changes2_based on steps'!$B$1:$U$1,AD$1)</f>
        <v>0</v>
      </c>
      <c r="AE355" s="179">
        <f>SUMIFS('recurring2_based on steps'!$B355:$AY355,'recurring2_based on steps'!$B$1:$AY$1,AE$1)+SUMIFS('changes2_based on steps'!$B355:$U355,'changes2_based on steps'!$B$1:$U$1,AE$1)</f>
        <v>0</v>
      </c>
      <c r="AF355" s="179"/>
      <c r="AG355" s="179"/>
      <c r="AH355" s="179"/>
      <c r="AI355" s="179"/>
      <c r="AJ355" s="179"/>
      <c r="AK355" s="179"/>
      <c r="AL355" s="179"/>
      <c r="AM355" s="179"/>
    </row>
    <row r="356" spans="1:39" x14ac:dyDescent="0.2">
      <c r="A356" s="32">
        <f t="shared" ca="1" si="5"/>
        <v>46105</v>
      </c>
      <c r="B356" s="179">
        <f>SUMIFS('recurring2_based on steps'!$B356:$AY356,'recurring2_based on steps'!$B$1:$AY$1,B$1)+SUMIFS('changes2_based on steps'!$B356:$U356,'changes2_based on steps'!$B$1:$U$1,B$1)</f>
        <v>0</v>
      </c>
      <c r="C356" s="179">
        <f>SUMIFS('recurring2_based on steps'!$B356:$AY356,'recurring2_based on steps'!$B$1:$AY$1,C$1)+SUMIFS('changes2_based on steps'!$B356:$U356,'changes2_based on steps'!$B$1:$U$1,C$1)</f>
        <v>0</v>
      </c>
      <c r="D356" s="179">
        <f>SUMIFS('recurring2_based on steps'!$B356:$AY356,'recurring2_based on steps'!$B$1:$AY$1,D$1)+SUMIFS('changes2_based on steps'!$B356:$U356,'changes2_based on steps'!$B$1:$U$1,D$1)</f>
        <v>0</v>
      </c>
      <c r="E356" s="179">
        <f>SUMIFS('recurring2_based on steps'!$B356:$AY356,'recurring2_based on steps'!$B$1:$AY$1,E$1)+SUMIFS('changes2_based on steps'!$B356:$U356,'changes2_based on steps'!$B$1:$U$1,E$1)</f>
        <v>0</v>
      </c>
      <c r="F356" s="179">
        <f>SUMIFS('recurring2_based on steps'!$B356:$AY356,'recurring2_based on steps'!$B$1:$AY$1,F$1)+SUMIFS('changes2_based on steps'!$B356:$U356,'changes2_based on steps'!$B$1:$U$1,F$1)</f>
        <v>0</v>
      </c>
      <c r="G356" s="179">
        <f>SUMIFS('recurring2_based on steps'!$B356:$AY356,'recurring2_based on steps'!$B$1:$AY$1,G$1)+SUMIFS('changes2_based on steps'!$B356:$U356,'changes2_based on steps'!$B$1:$U$1,G$1)</f>
        <v>0</v>
      </c>
      <c r="H356" s="179">
        <f>SUMIFS('recurring2_based on steps'!$B356:$AY356,'recurring2_based on steps'!$B$1:$AY$1,H$1)+SUMIFS('changes2_based on steps'!$B356:$U356,'changes2_based on steps'!$B$1:$U$1,H$1)</f>
        <v>0</v>
      </c>
      <c r="I356" s="179">
        <f>SUMIFS('recurring2_based on steps'!$B356:$AY356,'recurring2_based on steps'!$B$1:$AY$1,I$1)+SUMIFS('changes2_based on steps'!$B356:$U356,'changes2_based on steps'!$B$1:$U$1,I$1)</f>
        <v>0</v>
      </c>
      <c r="J356" s="179">
        <f>SUMIFS('recurring2_based on steps'!$B356:$AY356,'recurring2_based on steps'!$B$1:$AY$1,J$1)+SUMIFS('changes2_based on steps'!$B356:$U356,'changes2_based on steps'!$B$1:$U$1,J$1)</f>
        <v>0</v>
      </c>
      <c r="K356" s="179">
        <f>SUMIFS('recurring2_based on steps'!$B356:$AY356,'recurring2_based on steps'!$B$1:$AY$1,K$1)+SUMIFS('changes2_based on steps'!$B356:$U356,'changes2_based on steps'!$B$1:$U$1,K$1)</f>
        <v>0</v>
      </c>
      <c r="L356" s="179">
        <f>SUMIFS('recurring2_based on steps'!$B356:$AY356,'recurring2_based on steps'!$B$1:$AY$1,L$1)+SUMIFS('changes2_based on steps'!$B356:$U356,'changes2_based on steps'!$B$1:$U$1,L$1)</f>
        <v>0</v>
      </c>
      <c r="M356" s="179">
        <f>SUMIFS('recurring2_based on steps'!$B356:$AY356,'recurring2_based on steps'!$B$1:$AY$1,M$1)+SUMIFS('changes2_based on steps'!$B356:$U356,'changes2_based on steps'!$B$1:$U$1,M$1)</f>
        <v>0</v>
      </c>
      <c r="N356" s="179">
        <f>SUMIFS('recurring2_based on steps'!$B356:$AY356,'recurring2_based on steps'!$B$1:$AY$1,N$1)+SUMIFS('changes2_based on steps'!$B356:$U356,'changes2_based on steps'!$B$1:$U$1,N$1)</f>
        <v>0</v>
      </c>
      <c r="O356" s="179">
        <f>SUMIFS('recurring2_based on steps'!$B356:$AY356,'recurring2_based on steps'!$B$1:$AY$1,O$1)+SUMIFS('changes2_based on steps'!$B356:$U356,'changes2_based on steps'!$B$1:$U$1,O$1)</f>
        <v>0</v>
      </c>
      <c r="P356" s="179">
        <f>SUMIFS('recurring2_based on steps'!$B356:$AY356,'recurring2_based on steps'!$B$1:$AY$1,P$1)+SUMIFS('changes2_based on steps'!$B356:$U356,'changes2_based on steps'!$B$1:$U$1,P$1)</f>
        <v>0</v>
      </c>
      <c r="Q356" s="179">
        <f>SUMIFS('recurring2_based on steps'!$B356:$AY356,'recurring2_based on steps'!$B$1:$AY$1,Q$1)+SUMIFS('changes2_based on steps'!$B356:$U356,'changes2_based on steps'!$B$1:$U$1,Q$1)</f>
        <v>0</v>
      </c>
      <c r="R356" s="179">
        <f>SUMIFS('recurring2_based on steps'!$B356:$AY356,'recurring2_based on steps'!$B$1:$AY$1,R$1)+SUMIFS('changes2_based on steps'!$B356:$U356,'changes2_based on steps'!$B$1:$U$1,R$1)</f>
        <v>0</v>
      </c>
      <c r="S356" s="179">
        <f>SUMIFS('recurring2_based on steps'!$B356:$AY356,'recurring2_based on steps'!$B$1:$AY$1,S$1)+SUMIFS('changes2_based on steps'!$B356:$U356,'changes2_based on steps'!$B$1:$U$1,S$1)</f>
        <v>0</v>
      </c>
      <c r="T356" s="179">
        <f>SUMIFS('recurring2_based on steps'!$B356:$AY356,'recurring2_based on steps'!$B$1:$AY$1,T$1)+SUMIFS('changes2_based on steps'!$B356:$U356,'changes2_based on steps'!$B$1:$U$1,T$1)</f>
        <v>0</v>
      </c>
      <c r="U356" s="179">
        <f>SUMIFS('recurring2_based on steps'!$B356:$AY356,'recurring2_based on steps'!$B$1:$AY$1,U$1)+SUMIFS('changes2_based on steps'!$B356:$U356,'changes2_based on steps'!$B$1:$U$1,U$1)</f>
        <v>0</v>
      </c>
      <c r="V356" s="179">
        <f>SUMIFS('recurring2_based on steps'!$B356:$AY356,'recurring2_based on steps'!$B$1:$AY$1,V$1)+SUMIFS('changes2_based on steps'!$B356:$U356,'changes2_based on steps'!$B$1:$U$1,V$1)</f>
        <v>0</v>
      </c>
      <c r="W356" s="179">
        <f>SUMIFS('recurring2_based on steps'!$B356:$AY356,'recurring2_based on steps'!$B$1:$AY$1,W$1)+SUMIFS('changes2_based on steps'!$B356:$U356,'changes2_based on steps'!$B$1:$U$1,W$1)</f>
        <v>0</v>
      </c>
      <c r="X356" s="179">
        <f>SUMIFS('recurring2_based on steps'!$B356:$AY356,'recurring2_based on steps'!$B$1:$AY$1,X$1)+SUMIFS('changes2_based on steps'!$B356:$U356,'changes2_based on steps'!$B$1:$U$1,X$1)</f>
        <v>0</v>
      </c>
      <c r="Y356" s="179">
        <f>SUMIFS('recurring2_based on steps'!$B356:$AY356,'recurring2_based on steps'!$B$1:$AY$1,Y$1)+SUMIFS('changes2_based on steps'!$B356:$U356,'changes2_based on steps'!$B$1:$U$1,Y$1)</f>
        <v>0</v>
      </c>
      <c r="Z356" s="179">
        <f>SUMIFS('recurring2_based on steps'!$B356:$AY356,'recurring2_based on steps'!$B$1:$AY$1,Z$1)+SUMIFS('changes2_based on steps'!$B356:$U356,'changes2_based on steps'!$B$1:$U$1,Z$1)</f>
        <v>0</v>
      </c>
      <c r="AA356" s="179">
        <f>SUMIFS('recurring2_based on steps'!$B356:$AY356,'recurring2_based on steps'!$B$1:$AY$1,AA$1)+SUMIFS('changes2_based on steps'!$B356:$U356,'changes2_based on steps'!$B$1:$U$1,AA$1)</f>
        <v>0</v>
      </c>
      <c r="AB356" s="179">
        <f>SUMIFS('recurring2_based on steps'!$B356:$AY356,'recurring2_based on steps'!$B$1:$AY$1,AB$1)+SUMIFS('changes2_based on steps'!$B356:$U356,'changes2_based on steps'!$B$1:$U$1,AB$1)</f>
        <v>0</v>
      </c>
      <c r="AC356" s="179">
        <f>SUMIFS('recurring2_based on steps'!$B356:$AY356,'recurring2_based on steps'!$B$1:$AY$1,AC$1)+SUMIFS('changes2_based on steps'!$B356:$U356,'changes2_based on steps'!$B$1:$U$1,AC$1)</f>
        <v>0</v>
      </c>
      <c r="AD356" s="179">
        <f>SUMIFS('recurring2_based on steps'!$B356:$AY356,'recurring2_based on steps'!$B$1:$AY$1,AD$1)+SUMIFS('changes2_based on steps'!$B356:$U356,'changes2_based on steps'!$B$1:$U$1,AD$1)</f>
        <v>0</v>
      </c>
      <c r="AE356" s="179">
        <f>SUMIFS('recurring2_based on steps'!$B356:$AY356,'recurring2_based on steps'!$B$1:$AY$1,AE$1)+SUMIFS('changes2_based on steps'!$B356:$U356,'changes2_based on steps'!$B$1:$U$1,AE$1)</f>
        <v>0</v>
      </c>
      <c r="AF356" s="179"/>
      <c r="AG356" s="179"/>
      <c r="AH356" s="179"/>
      <c r="AI356" s="179"/>
      <c r="AJ356" s="179"/>
      <c r="AK356" s="179"/>
      <c r="AL356" s="179"/>
      <c r="AM356" s="179"/>
    </row>
    <row r="357" spans="1:39" x14ac:dyDescent="0.2">
      <c r="A357" s="32">
        <f t="shared" ca="1" si="5"/>
        <v>46106</v>
      </c>
      <c r="B357" s="179">
        <f>SUMIFS('recurring2_based on steps'!$B357:$AY357,'recurring2_based on steps'!$B$1:$AY$1,B$1)+SUMIFS('changes2_based on steps'!$B357:$U357,'changes2_based on steps'!$B$1:$U$1,B$1)</f>
        <v>0</v>
      </c>
      <c r="C357" s="179">
        <f>SUMIFS('recurring2_based on steps'!$B357:$AY357,'recurring2_based on steps'!$B$1:$AY$1,C$1)+SUMIFS('changes2_based on steps'!$B357:$U357,'changes2_based on steps'!$B$1:$U$1,C$1)</f>
        <v>0</v>
      </c>
      <c r="D357" s="179">
        <f>SUMIFS('recurring2_based on steps'!$B357:$AY357,'recurring2_based on steps'!$B$1:$AY$1,D$1)+SUMIFS('changes2_based on steps'!$B357:$U357,'changes2_based on steps'!$B$1:$U$1,D$1)</f>
        <v>0</v>
      </c>
      <c r="E357" s="179">
        <f>SUMIFS('recurring2_based on steps'!$B357:$AY357,'recurring2_based on steps'!$B$1:$AY$1,E$1)+SUMIFS('changes2_based on steps'!$B357:$U357,'changes2_based on steps'!$B$1:$U$1,E$1)</f>
        <v>0</v>
      </c>
      <c r="F357" s="179">
        <f>SUMIFS('recurring2_based on steps'!$B357:$AY357,'recurring2_based on steps'!$B$1:$AY$1,F$1)+SUMIFS('changes2_based on steps'!$B357:$U357,'changes2_based on steps'!$B$1:$U$1,F$1)</f>
        <v>0</v>
      </c>
      <c r="G357" s="179">
        <f>SUMIFS('recurring2_based on steps'!$B357:$AY357,'recurring2_based on steps'!$B$1:$AY$1,G$1)+SUMIFS('changes2_based on steps'!$B357:$U357,'changes2_based on steps'!$B$1:$U$1,G$1)</f>
        <v>0</v>
      </c>
      <c r="H357" s="179">
        <f>SUMIFS('recurring2_based on steps'!$B357:$AY357,'recurring2_based on steps'!$B$1:$AY$1,H$1)+SUMIFS('changes2_based on steps'!$B357:$U357,'changes2_based on steps'!$B$1:$U$1,H$1)</f>
        <v>0</v>
      </c>
      <c r="I357" s="179">
        <f>SUMIFS('recurring2_based on steps'!$B357:$AY357,'recurring2_based on steps'!$B$1:$AY$1,I$1)+SUMIFS('changes2_based on steps'!$B357:$U357,'changes2_based on steps'!$B$1:$U$1,I$1)</f>
        <v>0</v>
      </c>
      <c r="J357" s="179">
        <f>SUMIFS('recurring2_based on steps'!$B357:$AY357,'recurring2_based on steps'!$B$1:$AY$1,J$1)+SUMIFS('changes2_based on steps'!$B357:$U357,'changes2_based on steps'!$B$1:$U$1,J$1)</f>
        <v>0</v>
      </c>
      <c r="K357" s="179">
        <f>SUMIFS('recurring2_based on steps'!$B357:$AY357,'recurring2_based on steps'!$B$1:$AY$1,K$1)+SUMIFS('changes2_based on steps'!$B357:$U357,'changes2_based on steps'!$B$1:$U$1,K$1)</f>
        <v>0</v>
      </c>
      <c r="L357" s="179">
        <f>SUMIFS('recurring2_based on steps'!$B357:$AY357,'recurring2_based on steps'!$B$1:$AY$1,L$1)+SUMIFS('changes2_based on steps'!$B357:$U357,'changes2_based on steps'!$B$1:$U$1,L$1)</f>
        <v>0</v>
      </c>
      <c r="M357" s="179">
        <f>SUMIFS('recurring2_based on steps'!$B357:$AY357,'recurring2_based on steps'!$B$1:$AY$1,M$1)+SUMIFS('changes2_based on steps'!$B357:$U357,'changes2_based on steps'!$B$1:$U$1,M$1)</f>
        <v>0</v>
      </c>
      <c r="N357" s="179">
        <f>SUMIFS('recurring2_based on steps'!$B357:$AY357,'recurring2_based on steps'!$B$1:$AY$1,N$1)+SUMIFS('changes2_based on steps'!$B357:$U357,'changes2_based on steps'!$B$1:$U$1,N$1)</f>
        <v>0</v>
      </c>
      <c r="O357" s="179">
        <f>SUMIFS('recurring2_based on steps'!$B357:$AY357,'recurring2_based on steps'!$B$1:$AY$1,O$1)+SUMIFS('changes2_based on steps'!$B357:$U357,'changes2_based on steps'!$B$1:$U$1,O$1)</f>
        <v>0</v>
      </c>
      <c r="P357" s="179">
        <f>SUMIFS('recurring2_based on steps'!$B357:$AY357,'recurring2_based on steps'!$B$1:$AY$1,P$1)+SUMIFS('changes2_based on steps'!$B357:$U357,'changes2_based on steps'!$B$1:$U$1,P$1)</f>
        <v>0</v>
      </c>
      <c r="Q357" s="179">
        <f>SUMIFS('recurring2_based on steps'!$B357:$AY357,'recurring2_based on steps'!$B$1:$AY$1,Q$1)+SUMIFS('changes2_based on steps'!$B357:$U357,'changes2_based on steps'!$B$1:$U$1,Q$1)</f>
        <v>0</v>
      </c>
      <c r="R357" s="179">
        <f>SUMIFS('recurring2_based on steps'!$B357:$AY357,'recurring2_based on steps'!$B$1:$AY$1,R$1)+SUMIFS('changes2_based on steps'!$B357:$U357,'changes2_based on steps'!$B$1:$U$1,R$1)</f>
        <v>0</v>
      </c>
      <c r="S357" s="179">
        <f>SUMIFS('recurring2_based on steps'!$B357:$AY357,'recurring2_based on steps'!$B$1:$AY$1,S$1)+SUMIFS('changes2_based on steps'!$B357:$U357,'changes2_based on steps'!$B$1:$U$1,S$1)</f>
        <v>0</v>
      </c>
      <c r="T357" s="179">
        <f>SUMIFS('recurring2_based on steps'!$B357:$AY357,'recurring2_based on steps'!$B$1:$AY$1,T$1)+SUMIFS('changes2_based on steps'!$B357:$U357,'changes2_based on steps'!$B$1:$U$1,T$1)</f>
        <v>0</v>
      </c>
      <c r="U357" s="179">
        <f>SUMIFS('recurring2_based on steps'!$B357:$AY357,'recurring2_based on steps'!$B$1:$AY$1,U$1)+SUMIFS('changes2_based on steps'!$B357:$U357,'changes2_based on steps'!$B$1:$U$1,U$1)</f>
        <v>0</v>
      </c>
      <c r="V357" s="179">
        <f>SUMIFS('recurring2_based on steps'!$B357:$AY357,'recurring2_based on steps'!$B$1:$AY$1,V$1)+SUMIFS('changes2_based on steps'!$B357:$U357,'changes2_based on steps'!$B$1:$U$1,V$1)</f>
        <v>0</v>
      </c>
      <c r="W357" s="179">
        <f>SUMIFS('recurring2_based on steps'!$B357:$AY357,'recurring2_based on steps'!$B$1:$AY$1,W$1)+SUMIFS('changes2_based on steps'!$B357:$U357,'changes2_based on steps'!$B$1:$U$1,W$1)</f>
        <v>0</v>
      </c>
      <c r="X357" s="179">
        <f>SUMIFS('recurring2_based on steps'!$B357:$AY357,'recurring2_based on steps'!$B$1:$AY$1,X$1)+SUMIFS('changes2_based on steps'!$B357:$U357,'changes2_based on steps'!$B$1:$U$1,X$1)</f>
        <v>0</v>
      </c>
      <c r="Y357" s="179">
        <f>SUMIFS('recurring2_based on steps'!$B357:$AY357,'recurring2_based on steps'!$B$1:$AY$1,Y$1)+SUMIFS('changes2_based on steps'!$B357:$U357,'changes2_based on steps'!$B$1:$U$1,Y$1)</f>
        <v>0</v>
      </c>
      <c r="Z357" s="179">
        <f>SUMIFS('recurring2_based on steps'!$B357:$AY357,'recurring2_based on steps'!$B$1:$AY$1,Z$1)+SUMIFS('changes2_based on steps'!$B357:$U357,'changes2_based on steps'!$B$1:$U$1,Z$1)</f>
        <v>0</v>
      </c>
      <c r="AA357" s="179">
        <f>SUMIFS('recurring2_based on steps'!$B357:$AY357,'recurring2_based on steps'!$B$1:$AY$1,AA$1)+SUMIFS('changes2_based on steps'!$B357:$U357,'changes2_based on steps'!$B$1:$U$1,AA$1)</f>
        <v>0</v>
      </c>
      <c r="AB357" s="179">
        <f>SUMIFS('recurring2_based on steps'!$B357:$AY357,'recurring2_based on steps'!$B$1:$AY$1,AB$1)+SUMIFS('changes2_based on steps'!$B357:$U357,'changes2_based on steps'!$B$1:$U$1,AB$1)</f>
        <v>0</v>
      </c>
      <c r="AC357" s="179">
        <f>SUMIFS('recurring2_based on steps'!$B357:$AY357,'recurring2_based on steps'!$B$1:$AY$1,AC$1)+SUMIFS('changes2_based on steps'!$B357:$U357,'changes2_based on steps'!$B$1:$U$1,AC$1)</f>
        <v>0</v>
      </c>
      <c r="AD357" s="179">
        <f>SUMIFS('recurring2_based on steps'!$B357:$AY357,'recurring2_based on steps'!$B$1:$AY$1,AD$1)+SUMIFS('changes2_based on steps'!$B357:$U357,'changes2_based on steps'!$B$1:$U$1,AD$1)</f>
        <v>0</v>
      </c>
      <c r="AE357" s="179">
        <f>SUMIFS('recurring2_based on steps'!$B357:$AY357,'recurring2_based on steps'!$B$1:$AY$1,AE$1)+SUMIFS('changes2_based on steps'!$B357:$U357,'changes2_based on steps'!$B$1:$U$1,AE$1)</f>
        <v>0</v>
      </c>
      <c r="AF357" s="179"/>
      <c r="AG357" s="179"/>
      <c r="AH357" s="179"/>
      <c r="AI357" s="179"/>
      <c r="AJ357" s="179"/>
      <c r="AK357" s="179"/>
      <c r="AL357" s="179"/>
      <c r="AM357" s="179"/>
    </row>
    <row r="358" spans="1:39" x14ac:dyDescent="0.2">
      <c r="A358" s="32">
        <f t="shared" ca="1" si="5"/>
        <v>46107</v>
      </c>
      <c r="B358" s="179">
        <f>SUMIFS('recurring2_based on steps'!$B358:$AY358,'recurring2_based on steps'!$B$1:$AY$1,B$1)+SUMIFS('changes2_based on steps'!$B358:$U358,'changes2_based on steps'!$B$1:$U$1,B$1)</f>
        <v>0</v>
      </c>
      <c r="C358" s="179">
        <f>SUMIFS('recurring2_based on steps'!$B358:$AY358,'recurring2_based on steps'!$B$1:$AY$1,C$1)+SUMIFS('changes2_based on steps'!$B358:$U358,'changes2_based on steps'!$B$1:$U$1,C$1)</f>
        <v>0</v>
      </c>
      <c r="D358" s="179">
        <f>SUMIFS('recurring2_based on steps'!$B358:$AY358,'recurring2_based on steps'!$B$1:$AY$1,D$1)+SUMIFS('changes2_based on steps'!$B358:$U358,'changes2_based on steps'!$B$1:$U$1,D$1)</f>
        <v>0</v>
      </c>
      <c r="E358" s="179">
        <f>SUMIFS('recurring2_based on steps'!$B358:$AY358,'recurring2_based on steps'!$B$1:$AY$1,E$1)+SUMIFS('changes2_based on steps'!$B358:$U358,'changes2_based on steps'!$B$1:$U$1,E$1)</f>
        <v>0</v>
      </c>
      <c r="F358" s="179">
        <f>SUMIFS('recurring2_based on steps'!$B358:$AY358,'recurring2_based on steps'!$B$1:$AY$1,F$1)+SUMIFS('changes2_based on steps'!$B358:$U358,'changes2_based on steps'!$B$1:$U$1,F$1)</f>
        <v>0</v>
      </c>
      <c r="G358" s="179">
        <f>SUMIFS('recurring2_based on steps'!$B358:$AY358,'recurring2_based on steps'!$B$1:$AY$1,G$1)+SUMIFS('changes2_based on steps'!$B358:$U358,'changes2_based on steps'!$B$1:$U$1,G$1)</f>
        <v>0</v>
      </c>
      <c r="H358" s="179">
        <f>SUMIFS('recurring2_based on steps'!$B358:$AY358,'recurring2_based on steps'!$B$1:$AY$1,H$1)+SUMIFS('changes2_based on steps'!$B358:$U358,'changes2_based on steps'!$B$1:$U$1,H$1)</f>
        <v>0</v>
      </c>
      <c r="I358" s="179">
        <f>SUMIFS('recurring2_based on steps'!$B358:$AY358,'recurring2_based on steps'!$B$1:$AY$1,I$1)+SUMIFS('changes2_based on steps'!$B358:$U358,'changes2_based on steps'!$B$1:$U$1,I$1)</f>
        <v>0</v>
      </c>
      <c r="J358" s="179">
        <f>SUMIFS('recurring2_based on steps'!$B358:$AY358,'recurring2_based on steps'!$B$1:$AY$1,J$1)+SUMIFS('changes2_based on steps'!$B358:$U358,'changes2_based on steps'!$B$1:$U$1,J$1)</f>
        <v>0</v>
      </c>
      <c r="K358" s="179">
        <f>SUMIFS('recurring2_based on steps'!$B358:$AY358,'recurring2_based on steps'!$B$1:$AY$1,K$1)+SUMIFS('changes2_based on steps'!$B358:$U358,'changes2_based on steps'!$B$1:$U$1,K$1)</f>
        <v>0</v>
      </c>
      <c r="L358" s="179">
        <f>SUMIFS('recurring2_based on steps'!$B358:$AY358,'recurring2_based on steps'!$B$1:$AY$1,L$1)+SUMIFS('changes2_based on steps'!$B358:$U358,'changes2_based on steps'!$B$1:$U$1,L$1)</f>
        <v>0</v>
      </c>
      <c r="M358" s="179">
        <f>SUMIFS('recurring2_based on steps'!$B358:$AY358,'recurring2_based on steps'!$B$1:$AY$1,M$1)+SUMIFS('changes2_based on steps'!$B358:$U358,'changes2_based on steps'!$B$1:$U$1,M$1)</f>
        <v>0</v>
      </c>
      <c r="N358" s="179">
        <f>SUMIFS('recurring2_based on steps'!$B358:$AY358,'recurring2_based on steps'!$B$1:$AY$1,N$1)+SUMIFS('changes2_based on steps'!$B358:$U358,'changes2_based on steps'!$B$1:$U$1,N$1)</f>
        <v>0</v>
      </c>
      <c r="O358" s="179">
        <f>SUMIFS('recurring2_based on steps'!$B358:$AY358,'recurring2_based on steps'!$B$1:$AY$1,O$1)+SUMIFS('changes2_based on steps'!$B358:$U358,'changes2_based on steps'!$B$1:$U$1,O$1)</f>
        <v>0</v>
      </c>
      <c r="P358" s="179">
        <f>SUMIFS('recurring2_based on steps'!$B358:$AY358,'recurring2_based on steps'!$B$1:$AY$1,P$1)+SUMIFS('changes2_based on steps'!$B358:$U358,'changes2_based on steps'!$B$1:$U$1,P$1)</f>
        <v>0</v>
      </c>
      <c r="Q358" s="179">
        <f>SUMIFS('recurring2_based on steps'!$B358:$AY358,'recurring2_based on steps'!$B$1:$AY$1,Q$1)+SUMIFS('changes2_based on steps'!$B358:$U358,'changes2_based on steps'!$B$1:$U$1,Q$1)</f>
        <v>0</v>
      </c>
      <c r="R358" s="179">
        <f>SUMIFS('recurring2_based on steps'!$B358:$AY358,'recurring2_based on steps'!$B$1:$AY$1,R$1)+SUMIFS('changes2_based on steps'!$B358:$U358,'changes2_based on steps'!$B$1:$U$1,R$1)</f>
        <v>0</v>
      </c>
      <c r="S358" s="179">
        <f>SUMIFS('recurring2_based on steps'!$B358:$AY358,'recurring2_based on steps'!$B$1:$AY$1,S$1)+SUMIFS('changes2_based on steps'!$B358:$U358,'changes2_based on steps'!$B$1:$U$1,S$1)</f>
        <v>0</v>
      </c>
      <c r="T358" s="179">
        <f>SUMIFS('recurring2_based on steps'!$B358:$AY358,'recurring2_based on steps'!$B$1:$AY$1,T$1)+SUMIFS('changes2_based on steps'!$B358:$U358,'changes2_based on steps'!$B$1:$U$1,T$1)</f>
        <v>0</v>
      </c>
      <c r="U358" s="179">
        <f>SUMIFS('recurring2_based on steps'!$B358:$AY358,'recurring2_based on steps'!$B$1:$AY$1,U$1)+SUMIFS('changes2_based on steps'!$B358:$U358,'changes2_based on steps'!$B$1:$U$1,U$1)</f>
        <v>0</v>
      </c>
      <c r="V358" s="179">
        <f>SUMIFS('recurring2_based on steps'!$B358:$AY358,'recurring2_based on steps'!$B$1:$AY$1,V$1)+SUMIFS('changes2_based on steps'!$B358:$U358,'changes2_based on steps'!$B$1:$U$1,V$1)</f>
        <v>0</v>
      </c>
      <c r="W358" s="179">
        <f>SUMIFS('recurring2_based on steps'!$B358:$AY358,'recurring2_based on steps'!$B$1:$AY$1,W$1)+SUMIFS('changes2_based on steps'!$B358:$U358,'changes2_based on steps'!$B$1:$U$1,W$1)</f>
        <v>0</v>
      </c>
      <c r="X358" s="179">
        <f>SUMIFS('recurring2_based on steps'!$B358:$AY358,'recurring2_based on steps'!$B$1:$AY$1,X$1)+SUMIFS('changes2_based on steps'!$B358:$U358,'changes2_based on steps'!$B$1:$U$1,X$1)</f>
        <v>0</v>
      </c>
      <c r="Y358" s="179">
        <f>SUMIFS('recurring2_based on steps'!$B358:$AY358,'recurring2_based on steps'!$B$1:$AY$1,Y$1)+SUMIFS('changes2_based on steps'!$B358:$U358,'changes2_based on steps'!$B$1:$U$1,Y$1)</f>
        <v>0</v>
      </c>
      <c r="Z358" s="179">
        <f>SUMIFS('recurring2_based on steps'!$B358:$AY358,'recurring2_based on steps'!$B$1:$AY$1,Z$1)+SUMIFS('changes2_based on steps'!$B358:$U358,'changes2_based on steps'!$B$1:$U$1,Z$1)</f>
        <v>0</v>
      </c>
      <c r="AA358" s="179">
        <f>SUMIFS('recurring2_based on steps'!$B358:$AY358,'recurring2_based on steps'!$B$1:$AY$1,AA$1)+SUMIFS('changes2_based on steps'!$B358:$U358,'changes2_based on steps'!$B$1:$U$1,AA$1)</f>
        <v>0</v>
      </c>
      <c r="AB358" s="179">
        <f>SUMIFS('recurring2_based on steps'!$B358:$AY358,'recurring2_based on steps'!$B$1:$AY$1,AB$1)+SUMIFS('changes2_based on steps'!$B358:$U358,'changes2_based on steps'!$B$1:$U$1,AB$1)</f>
        <v>0</v>
      </c>
      <c r="AC358" s="179">
        <f>SUMIFS('recurring2_based on steps'!$B358:$AY358,'recurring2_based on steps'!$B$1:$AY$1,AC$1)+SUMIFS('changes2_based on steps'!$B358:$U358,'changes2_based on steps'!$B$1:$U$1,AC$1)</f>
        <v>0</v>
      </c>
      <c r="AD358" s="179">
        <f>SUMIFS('recurring2_based on steps'!$B358:$AY358,'recurring2_based on steps'!$B$1:$AY$1,AD$1)+SUMIFS('changes2_based on steps'!$B358:$U358,'changes2_based on steps'!$B$1:$U$1,AD$1)</f>
        <v>0</v>
      </c>
      <c r="AE358" s="179">
        <f>SUMIFS('recurring2_based on steps'!$B358:$AY358,'recurring2_based on steps'!$B$1:$AY$1,AE$1)+SUMIFS('changes2_based on steps'!$B358:$U358,'changes2_based on steps'!$B$1:$U$1,AE$1)</f>
        <v>0</v>
      </c>
      <c r="AF358" s="179"/>
      <c r="AG358" s="179"/>
      <c r="AH358" s="179"/>
      <c r="AI358" s="179"/>
      <c r="AJ358" s="179"/>
      <c r="AK358" s="179"/>
      <c r="AL358" s="179"/>
      <c r="AM358" s="179"/>
    </row>
    <row r="359" spans="1:39" x14ac:dyDescent="0.2">
      <c r="A359" s="32">
        <f t="shared" ca="1" si="5"/>
        <v>46108</v>
      </c>
      <c r="B359" s="179">
        <f>SUMIFS('recurring2_based on steps'!$B359:$AY359,'recurring2_based on steps'!$B$1:$AY$1,B$1)+SUMIFS('changes2_based on steps'!$B359:$U359,'changes2_based on steps'!$B$1:$U$1,B$1)</f>
        <v>0</v>
      </c>
      <c r="C359" s="179">
        <f>SUMIFS('recurring2_based on steps'!$B359:$AY359,'recurring2_based on steps'!$B$1:$AY$1,C$1)+SUMIFS('changes2_based on steps'!$B359:$U359,'changes2_based on steps'!$B$1:$U$1,C$1)</f>
        <v>0</v>
      </c>
      <c r="D359" s="179">
        <f>SUMIFS('recurring2_based on steps'!$B359:$AY359,'recurring2_based on steps'!$B$1:$AY$1,D$1)+SUMIFS('changes2_based on steps'!$B359:$U359,'changes2_based on steps'!$B$1:$U$1,D$1)</f>
        <v>0</v>
      </c>
      <c r="E359" s="179">
        <f>SUMIFS('recurring2_based on steps'!$B359:$AY359,'recurring2_based on steps'!$B$1:$AY$1,E$1)+SUMIFS('changes2_based on steps'!$B359:$U359,'changes2_based on steps'!$B$1:$U$1,E$1)</f>
        <v>0</v>
      </c>
      <c r="F359" s="179">
        <f>SUMIFS('recurring2_based on steps'!$B359:$AY359,'recurring2_based on steps'!$B$1:$AY$1,F$1)+SUMIFS('changes2_based on steps'!$B359:$U359,'changes2_based on steps'!$B$1:$U$1,F$1)</f>
        <v>0</v>
      </c>
      <c r="G359" s="179">
        <f>SUMIFS('recurring2_based on steps'!$B359:$AY359,'recurring2_based on steps'!$B$1:$AY$1,G$1)+SUMIFS('changes2_based on steps'!$B359:$U359,'changes2_based on steps'!$B$1:$U$1,G$1)</f>
        <v>0</v>
      </c>
      <c r="H359" s="179">
        <f>SUMIFS('recurring2_based on steps'!$B359:$AY359,'recurring2_based on steps'!$B$1:$AY$1,H$1)+SUMIFS('changes2_based on steps'!$B359:$U359,'changes2_based on steps'!$B$1:$U$1,H$1)</f>
        <v>0</v>
      </c>
      <c r="I359" s="179">
        <f>SUMIFS('recurring2_based on steps'!$B359:$AY359,'recurring2_based on steps'!$B$1:$AY$1,I$1)+SUMIFS('changes2_based on steps'!$B359:$U359,'changes2_based on steps'!$B$1:$U$1,I$1)</f>
        <v>0</v>
      </c>
      <c r="J359" s="179">
        <f>SUMIFS('recurring2_based on steps'!$B359:$AY359,'recurring2_based on steps'!$B$1:$AY$1,J$1)+SUMIFS('changes2_based on steps'!$B359:$U359,'changes2_based on steps'!$B$1:$U$1,J$1)</f>
        <v>0</v>
      </c>
      <c r="K359" s="179">
        <f>SUMIFS('recurring2_based on steps'!$B359:$AY359,'recurring2_based on steps'!$B$1:$AY$1,K$1)+SUMIFS('changes2_based on steps'!$B359:$U359,'changes2_based on steps'!$B$1:$U$1,K$1)</f>
        <v>0</v>
      </c>
      <c r="L359" s="179">
        <f>SUMIFS('recurring2_based on steps'!$B359:$AY359,'recurring2_based on steps'!$B$1:$AY$1,L$1)+SUMIFS('changes2_based on steps'!$B359:$U359,'changes2_based on steps'!$B$1:$U$1,L$1)</f>
        <v>0</v>
      </c>
      <c r="M359" s="179">
        <f>SUMIFS('recurring2_based on steps'!$B359:$AY359,'recurring2_based on steps'!$B$1:$AY$1,M$1)+SUMIFS('changes2_based on steps'!$B359:$U359,'changes2_based on steps'!$B$1:$U$1,M$1)</f>
        <v>0</v>
      </c>
      <c r="N359" s="179">
        <f>SUMIFS('recurring2_based on steps'!$B359:$AY359,'recurring2_based on steps'!$B$1:$AY$1,N$1)+SUMIFS('changes2_based on steps'!$B359:$U359,'changes2_based on steps'!$B$1:$U$1,N$1)</f>
        <v>0</v>
      </c>
      <c r="O359" s="179">
        <f>SUMIFS('recurring2_based on steps'!$B359:$AY359,'recurring2_based on steps'!$B$1:$AY$1,O$1)+SUMIFS('changes2_based on steps'!$B359:$U359,'changes2_based on steps'!$B$1:$U$1,O$1)</f>
        <v>0</v>
      </c>
      <c r="P359" s="179">
        <f>SUMIFS('recurring2_based on steps'!$B359:$AY359,'recurring2_based on steps'!$B$1:$AY$1,P$1)+SUMIFS('changes2_based on steps'!$B359:$U359,'changes2_based on steps'!$B$1:$U$1,P$1)</f>
        <v>0</v>
      </c>
      <c r="Q359" s="179">
        <f>SUMIFS('recurring2_based on steps'!$B359:$AY359,'recurring2_based on steps'!$B$1:$AY$1,Q$1)+SUMIFS('changes2_based on steps'!$B359:$U359,'changes2_based on steps'!$B$1:$U$1,Q$1)</f>
        <v>0</v>
      </c>
      <c r="R359" s="179">
        <f>SUMIFS('recurring2_based on steps'!$B359:$AY359,'recurring2_based on steps'!$B$1:$AY$1,R$1)+SUMIFS('changes2_based on steps'!$B359:$U359,'changes2_based on steps'!$B$1:$U$1,R$1)</f>
        <v>0</v>
      </c>
      <c r="S359" s="179">
        <f>SUMIFS('recurring2_based on steps'!$B359:$AY359,'recurring2_based on steps'!$B$1:$AY$1,S$1)+SUMIFS('changes2_based on steps'!$B359:$U359,'changes2_based on steps'!$B$1:$U$1,S$1)</f>
        <v>0</v>
      </c>
      <c r="T359" s="179">
        <f>SUMIFS('recurring2_based on steps'!$B359:$AY359,'recurring2_based on steps'!$B$1:$AY$1,T$1)+SUMIFS('changes2_based on steps'!$B359:$U359,'changes2_based on steps'!$B$1:$U$1,T$1)</f>
        <v>0</v>
      </c>
      <c r="U359" s="179">
        <f>SUMIFS('recurring2_based on steps'!$B359:$AY359,'recurring2_based on steps'!$B$1:$AY$1,U$1)+SUMIFS('changes2_based on steps'!$B359:$U359,'changes2_based on steps'!$B$1:$U$1,U$1)</f>
        <v>0</v>
      </c>
      <c r="V359" s="179">
        <f>SUMIFS('recurring2_based on steps'!$B359:$AY359,'recurring2_based on steps'!$B$1:$AY$1,V$1)+SUMIFS('changes2_based on steps'!$B359:$U359,'changes2_based on steps'!$B$1:$U$1,V$1)</f>
        <v>0</v>
      </c>
      <c r="W359" s="179">
        <f>SUMIFS('recurring2_based on steps'!$B359:$AY359,'recurring2_based on steps'!$B$1:$AY$1,W$1)+SUMIFS('changes2_based on steps'!$B359:$U359,'changes2_based on steps'!$B$1:$U$1,W$1)</f>
        <v>0</v>
      </c>
      <c r="X359" s="179">
        <f>SUMIFS('recurring2_based on steps'!$B359:$AY359,'recurring2_based on steps'!$B$1:$AY$1,X$1)+SUMIFS('changes2_based on steps'!$B359:$U359,'changes2_based on steps'!$B$1:$U$1,X$1)</f>
        <v>0</v>
      </c>
      <c r="Y359" s="179">
        <f>SUMIFS('recurring2_based on steps'!$B359:$AY359,'recurring2_based on steps'!$B$1:$AY$1,Y$1)+SUMIFS('changes2_based on steps'!$B359:$U359,'changes2_based on steps'!$B$1:$U$1,Y$1)</f>
        <v>0</v>
      </c>
      <c r="Z359" s="179">
        <f>SUMIFS('recurring2_based on steps'!$B359:$AY359,'recurring2_based on steps'!$B$1:$AY$1,Z$1)+SUMIFS('changes2_based on steps'!$B359:$U359,'changes2_based on steps'!$B$1:$U$1,Z$1)</f>
        <v>0</v>
      </c>
      <c r="AA359" s="179">
        <f>SUMIFS('recurring2_based on steps'!$B359:$AY359,'recurring2_based on steps'!$B$1:$AY$1,AA$1)+SUMIFS('changes2_based on steps'!$B359:$U359,'changes2_based on steps'!$B$1:$U$1,AA$1)</f>
        <v>0</v>
      </c>
      <c r="AB359" s="179">
        <f>SUMIFS('recurring2_based on steps'!$B359:$AY359,'recurring2_based on steps'!$B$1:$AY$1,AB$1)+SUMIFS('changes2_based on steps'!$B359:$U359,'changes2_based on steps'!$B$1:$U$1,AB$1)</f>
        <v>0</v>
      </c>
      <c r="AC359" s="179">
        <f>SUMIFS('recurring2_based on steps'!$B359:$AY359,'recurring2_based on steps'!$B$1:$AY$1,AC$1)+SUMIFS('changes2_based on steps'!$B359:$U359,'changes2_based on steps'!$B$1:$U$1,AC$1)</f>
        <v>0</v>
      </c>
      <c r="AD359" s="179">
        <f>SUMIFS('recurring2_based on steps'!$B359:$AY359,'recurring2_based on steps'!$B$1:$AY$1,AD$1)+SUMIFS('changes2_based on steps'!$B359:$U359,'changes2_based on steps'!$B$1:$U$1,AD$1)</f>
        <v>0</v>
      </c>
      <c r="AE359" s="179">
        <f>SUMIFS('recurring2_based on steps'!$B359:$AY359,'recurring2_based on steps'!$B$1:$AY$1,AE$1)+SUMIFS('changes2_based on steps'!$B359:$U359,'changes2_based on steps'!$B$1:$U$1,AE$1)</f>
        <v>0</v>
      </c>
      <c r="AF359" s="179"/>
      <c r="AG359" s="179"/>
      <c r="AH359" s="179"/>
      <c r="AI359" s="179"/>
      <c r="AJ359" s="179"/>
      <c r="AK359" s="179"/>
      <c r="AL359" s="179"/>
      <c r="AM359" s="179"/>
    </row>
    <row r="360" spans="1:39" x14ac:dyDescent="0.2">
      <c r="A360" s="32">
        <f t="shared" ca="1" si="5"/>
        <v>46109</v>
      </c>
      <c r="B360" s="179">
        <f>SUMIFS('recurring2_based on steps'!$B360:$AY360,'recurring2_based on steps'!$B$1:$AY$1,B$1)+SUMIFS('changes2_based on steps'!$B360:$U360,'changes2_based on steps'!$B$1:$U$1,B$1)</f>
        <v>0</v>
      </c>
      <c r="C360" s="179">
        <f>SUMIFS('recurring2_based on steps'!$B360:$AY360,'recurring2_based on steps'!$B$1:$AY$1,C$1)+SUMIFS('changes2_based on steps'!$B360:$U360,'changes2_based on steps'!$B$1:$U$1,C$1)</f>
        <v>0</v>
      </c>
      <c r="D360" s="179">
        <f>SUMIFS('recurring2_based on steps'!$B360:$AY360,'recurring2_based on steps'!$B$1:$AY$1,D$1)+SUMIFS('changes2_based on steps'!$B360:$U360,'changes2_based on steps'!$B$1:$U$1,D$1)</f>
        <v>0</v>
      </c>
      <c r="E360" s="179">
        <f>SUMIFS('recurring2_based on steps'!$B360:$AY360,'recurring2_based on steps'!$B$1:$AY$1,E$1)+SUMIFS('changes2_based on steps'!$B360:$U360,'changes2_based on steps'!$B$1:$U$1,E$1)</f>
        <v>0</v>
      </c>
      <c r="F360" s="179">
        <f>SUMIFS('recurring2_based on steps'!$B360:$AY360,'recurring2_based on steps'!$B$1:$AY$1,F$1)+SUMIFS('changes2_based on steps'!$B360:$U360,'changes2_based on steps'!$B$1:$U$1,F$1)</f>
        <v>0</v>
      </c>
      <c r="G360" s="179">
        <f>SUMIFS('recurring2_based on steps'!$B360:$AY360,'recurring2_based on steps'!$B$1:$AY$1,G$1)+SUMIFS('changes2_based on steps'!$B360:$U360,'changes2_based on steps'!$B$1:$U$1,G$1)</f>
        <v>0</v>
      </c>
      <c r="H360" s="179">
        <f>SUMIFS('recurring2_based on steps'!$B360:$AY360,'recurring2_based on steps'!$B$1:$AY$1,H$1)+SUMIFS('changes2_based on steps'!$B360:$U360,'changes2_based on steps'!$B$1:$U$1,H$1)</f>
        <v>0</v>
      </c>
      <c r="I360" s="179">
        <f>SUMIFS('recurring2_based on steps'!$B360:$AY360,'recurring2_based on steps'!$B$1:$AY$1,I$1)+SUMIFS('changes2_based on steps'!$B360:$U360,'changes2_based on steps'!$B$1:$U$1,I$1)</f>
        <v>0</v>
      </c>
      <c r="J360" s="179">
        <f>SUMIFS('recurring2_based on steps'!$B360:$AY360,'recurring2_based on steps'!$B$1:$AY$1,J$1)+SUMIFS('changes2_based on steps'!$B360:$U360,'changes2_based on steps'!$B$1:$U$1,J$1)</f>
        <v>0</v>
      </c>
      <c r="K360" s="179">
        <f>SUMIFS('recurring2_based on steps'!$B360:$AY360,'recurring2_based on steps'!$B$1:$AY$1,K$1)+SUMIFS('changes2_based on steps'!$B360:$U360,'changes2_based on steps'!$B$1:$U$1,K$1)</f>
        <v>0</v>
      </c>
      <c r="L360" s="179">
        <f>SUMIFS('recurring2_based on steps'!$B360:$AY360,'recurring2_based on steps'!$B$1:$AY$1,L$1)+SUMIFS('changes2_based on steps'!$B360:$U360,'changes2_based on steps'!$B$1:$U$1,L$1)</f>
        <v>0</v>
      </c>
      <c r="M360" s="179">
        <f>SUMIFS('recurring2_based on steps'!$B360:$AY360,'recurring2_based on steps'!$B$1:$AY$1,M$1)+SUMIFS('changes2_based on steps'!$B360:$U360,'changes2_based on steps'!$B$1:$U$1,M$1)</f>
        <v>0</v>
      </c>
      <c r="N360" s="179">
        <f>SUMIFS('recurring2_based on steps'!$B360:$AY360,'recurring2_based on steps'!$B$1:$AY$1,N$1)+SUMIFS('changes2_based on steps'!$B360:$U360,'changes2_based on steps'!$B$1:$U$1,N$1)</f>
        <v>0</v>
      </c>
      <c r="O360" s="179">
        <f>SUMIFS('recurring2_based on steps'!$B360:$AY360,'recurring2_based on steps'!$B$1:$AY$1,O$1)+SUMIFS('changes2_based on steps'!$B360:$U360,'changes2_based on steps'!$B$1:$U$1,O$1)</f>
        <v>0</v>
      </c>
      <c r="P360" s="179">
        <f>SUMIFS('recurring2_based on steps'!$B360:$AY360,'recurring2_based on steps'!$B$1:$AY$1,P$1)+SUMIFS('changes2_based on steps'!$B360:$U360,'changes2_based on steps'!$B$1:$U$1,P$1)</f>
        <v>0</v>
      </c>
      <c r="Q360" s="179">
        <f>SUMIFS('recurring2_based on steps'!$B360:$AY360,'recurring2_based on steps'!$B$1:$AY$1,Q$1)+SUMIFS('changes2_based on steps'!$B360:$U360,'changes2_based on steps'!$B$1:$U$1,Q$1)</f>
        <v>0</v>
      </c>
      <c r="R360" s="179">
        <f>SUMIFS('recurring2_based on steps'!$B360:$AY360,'recurring2_based on steps'!$B$1:$AY$1,R$1)+SUMIFS('changes2_based on steps'!$B360:$U360,'changes2_based on steps'!$B$1:$U$1,R$1)</f>
        <v>0</v>
      </c>
      <c r="S360" s="179">
        <f>SUMIFS('recurring2_based on steps'!$B360:$AY360,'recurring2_based on steps'!$B$1:$AY$1,S$1)+SUMIFS('changes2_based on steps'!$B360:$U360,'changes2_based on steps'!$B$1:$U$1,S$1)</f>
        <v>0</v>
      </c>
      <c r="T360" s="179">
        <f>SUMIFS('recurring2_based on steps'!$B360:$AY360,'recurring2_based on steps'!$B$1:$AY$1,T$1)+SUMIFS('changes2_based on steps'!$B360:$U360,'changes2_based on steps'!$B$1:$U$1,T$1)</f>
        <v>0</v>
      </c>
      <c r="U360" s="179">
        <f>SUMIFS('recurring2_based on steps'!$B360:$AY360,'recurring2_based on steps'!$B$1:$AY$1,U$1)+SUMIFS('changes2_based on steps'!$B360:$U360,'changes2_based on steps'!$B$1:$U$1,U$1)</f>
        <v>0</v>
      </c>
      <c r="V360" s="179">
        <f>SUMIFS('recurring2_based on steps'!$B360:$AY360,'recurring2_based on steps'!$B$1:$AY$1,V$1)+SUMIFS('changes2_based on steps'!$B360:$U360,'changes2_based on steps'!$B$1:$U$1,V$1)</f>
        <v>0</v>
      </c>
      <c r="W360" s="179">
        <f>SUMIFS('recurring2_based on steps'!$B360:$AY360,'recurring2_based on steps'!$B$1:$AY$1,W$1)+SUMIFS('changes2_based on steps'!$B360:$U360,'changes2_based on steps'!$B$1:$U$1,W$1)</f>
        <v>0</v>
      </c>
      <c r="X360" s="179">
        <f>SUMIFS('recurring2_based on steps'!$B360:$AY360,'recurring2_based on steps'!$B$1:$AY$1,X$1)+SUMIFS('changes2_based on steps'!$B360:$U360,'changes2_based on steps'!$B$1:$U$1,X$1)</f>
        <v>0</v>
      </c>
      <c r="Y360" s="179">
        <f>SUMIFS('recurring2_based on steps'!$B360:$AY360,'recurring2_based on steps'!$B$1:$AY$1,Y$1)+SUMIFS('changes2_based on steps'!$B360:$U360,'changes2_based on steps'!$B$1:$U$1,Y$1)</f>
        <v>0</v>
      </c>
      <c r="Z360" s="179">
        <f>SUMIFS('recurring2_based on steps'!$B360:$AY360,'recurring2_based on steps'!$B$1:$AY$1,Z$1)+SUMIFS('changes2_based on steps'!$B360:$U360,'changes2_based on steps'!$B$1:$U$1,Z$1)</f>
        <v>0</v>
      </c>
      <c r="AA360" s="179">
        <f>SUMIFS('recurring2_based on steps'!$B360:$AY360,'recurring2_based on steps'!$B$1:$AY$1,AA$1)+SUMIFS('changes2_based on steps'!$B360:$U360,'changes2_based on steps'!$B$1:$U$1,AA$1)</f>
        <v>0</v>
      </c>
      <c r="AB360" s="179">
        <f>SUMIFS('recurring2_based on steps'!$B360:$AY360,'recurring2_based on steps'!$B$1:$AY$1,AB$1)+SUMIFS('changes2_based on steps'!$B360:$U360,'changes2_based on steps'!$B$1:$U$1,AB$1)</f>
        <v>0</v>
      </c>
      <c r="AC360" s="179">
        <f>SUMIFS('recurring2_based on steps'!$B360:$AY360,'recurring2_based on steps'!$B$1:$AY$1,AC$1)+SUMIFS('changes2_based on steps'!$B360:$U360,'changes2_based on steps'!$B$1:$U$1,AC$1)</f>
        <v>0</v>
      </c>
      <c r="AD360" s="179">
        <f>SUMIFS('recurring2_based on steps'!$B360:$AY360,'recurring2_based on steps'!$B$1:$AY$1,AD$1)+SUMIFS('changes2_based on steps'!$B360:$U360,'changes2_based on steps'!$B$1:$U$1,AD$1)</f>
        <v>0</v>
      </c>
      <c r="AE360" s="179">
        <f>SUMIFS('recurring2_based on steps'!$B360:$AY360,'recurring2_based on steps'!$B$1:$AY$1,AE$1)+SUMIFS('changes2_based on steps'!$B360:$U360,'changes2_based on steps'!$B$1:$U$1,AE$1)</f>
        <v>0</v>
      </c>
      <c r="AF360" s="179"/>
      <c r="AG360" s="179"/>
      <c r="AH360" s="179"/>
      <c r="AI360" s="179"/>
      <c r="AJ360" s="179"/>
      <c r="AK360" s="179"/>
      <c r="AL360" s="179"/>
      <c r="AM360" s="179"/>
    </row>
    <row r="361" spans="1:39" x14ac:dyDescent="0.2">
      <c r="A361" s="32">
        <f t="shared" ca="1" si="5"/>
        <v>46110</v>
      </c>
      <c r="B361" s="179">
        <f>SUMIFS('recurring2_based on steps'!$B361:$AY361,'recurring2_based on steps'!$B$1:$AY$1,B$1)+SUMIFS('changes2_based on steps'!$B361:$U361,'changes2_based on steps'!$B$1:$U$1,B$1)</f>
        <v>0</v>
      </c>
      <c r="C361" s="179">
        <f>SUMIFS('recurring2_based on steps'!$B361:$AY361,'recurring2_based on steps'!$B$1:$AY$1,C$1)+SUMIFS('changes2_based on steps'!$B361:$U361,'changes2_based on steps'!$B$1:$U$1,C$1)</f>
        <v>0</v>
      </c>
      <c r="D361" s="179">
        <f>SUMIFS('recurring2_based on steps'!$B361:$AY361,'recurring2_based on steps'!$B$1:$AY$1,D$1)+SUMIFS('changes2_based on steps'!$B361:$U361,'changes2_based on steps'!$B$1:$U$1,D$1)</f>
        <v>0</v>
      </c>
      <c r="E361" s="179">
        <f>SUMIFS('recurring2_based on steps'!$B361:$AY361,'recurring2_based on steps'!$B$1:$AY$1,E$1)+SUMIFS('changes2_based on steps'!$B361:$U361,'changes2_based on steps'!$B$1:$U$1,E$1)</f>
        <v>0</v>
      </c>
      <c r="F361" s="179">
        <f>SUMIFS('recurring2_based on steps'!$B361:$AY361,'recurring2_based on steps'!$B$1:$AY$1,F$1)+SUMIFS('changes2_based on steps'!$B361:$U361,'changes2_based on steps'!$B$1:$U$1,F$1)</f>
        <v>0</v>
      </c>
      <c r="G361" s="179">
        <f>SUMIFS('recurring2_based on steps'!$B361:$AY361,'recurring2_based on steps'!$B$1:$AY$1,G$1)+SUMIFS('changes2_based on steps'!$B361:$U361,'changes2_based on steps'!$B$1:$U$1,G$1)</f>
        <v>0</v>
      </c>
      <c r="H361" s="179">
        <f>SUMIFS('recurring2_based on steps'!$B361:$AY361,'recurring2_based on steps'!$B$1:$AY$1,H$1)+SUMIFS('changes2_based on steps'!$B361:$U361,'changes2_based on steps'!$B$1:$U$1,H$1)</f>
        <v>0</v>
      </c>
      <c r="I361" s="179">
        <f>SUMIFS('recurring2_based on steps'!$B361:$AY361,'recurring2_based on steps'!$B$1:$AY$1,I$1)+SUMIFS('changes2_based on steps'!$B361:$U361,'changes2_based on steps'!$B$1:$U$1,I$1)</f>
        <v>0</v>
      </c>
      <c r="J361" s="179">
        <f>SUMIFS('recurring2_based on steps'!$B361:$AY361,'recurring2_based on steps'!$B$1:$AY$1,J$1)+SUMIFS('changes2_based on steps'!$B361:$U361,'changes2_based on steps'!$B$1:$U$1,J$1)</f>
        <v>0</v>
      </c>
      <c r="K361" s="179">
        <f>SUMIFS('recurring2_based on steps'!$B361:$AY361,'recurring2_based on steps'!$B$1:$AY$1,K$1)+SUMIFS('changes2_based on steps'!$B361:$U361,'changes2_based on steps'!$B$1:$U$1,K$1)</f>
        <v>0</v>
      </c>
      <c r="L361" s="179">
        <f>SUMIFS('recurring2_based on steps'!$B361:$AY361,'recurring2_based on steps'!$B$1:$AY$1,L$1)+SUMIFS('changes2_based on steps'!$B361:$U361,'changes2_based on steps'!$B$1:$U$1,L$1)</f>
        <v>0</v>
      </c>
      <c r="M361" s="179">
        <f>SUMIFS('recurring2_based on steps'!$B361:$AY361,'recurring2_based on steps'!$B$1:$AY$1,M$1)+SUMIFS('changes2_based on steps'!$B361:$U361,'changes2_based on steps'!$B$1:$U$1,M$1)</f>
        <v>0</v>
      </c>
      <c r="N361" s="179">
        <f>SUMIFS('recurring2_based on steps'!$B361:$AY361,'recurring2_based on steps'!$B$1:$AY$1,N$1)+SUMIFS('changes2_based on steps'!$B361:$U361,'changes2_based on steps'!$B$1:$U$1,N$1)</f>
        <v>0</v>
      </c>
      <c r="O361" s="179">
        <f>SUMIFS('recurring2_based on steps'!$B361:$AY361,'recurring2_based on steps'!$B$1:$AY$1,O$1)+SUMIFS('changes2_based on steps'!$B361:$U361,'changes2_based on steps'!$B$1:$U$1,O$1)</f>
        <v>0</v>
      </c>
      <c r="P361" s="179">
        <f>SUMIFS('recurring2_based on steps'!$B361:$AY361,'recurring2_based on steps'!$B$1:$AY$1,P$1)+SUMIFS('changes2_based on steps'!$B361:$U361,'changes2_based on steps'!$B$1:$U$1,P$1)</f>
        <v>0</v>
      </c>
      <c r="Q361" s="179">
        <f>SUMIFS('recurring2_based on steps'!$B361:$AY361,'recurring2_based on steps'!$B$1:$AY$1,Q$1)+SUMIFS('changes2_based on steps'!$B361:$U361,'changes2_based on steps'!$B$1:$U$1,Q$1)</f>
        <v>0</v>
      </c>
      <c r="R361" s="179">
        <f>SUMIFS('recurring2_based on steps'!$B361:$AY361,'recurring2_based on steps'!$B$1:$AY$1,R$1)+SUMIFS('changes2_based on steps'!$B361:$U361,'changes2_based on steps'!$B$1:$U$1,R$1)</f>
        <v>0</v>
      </c>
      <c r="S361" s="179">
        <f>SUMIFS('recurring2_based on steps'!$B361:$AY361,'recurring2_based on steps'!$B$1:$AY$1,S$1)+SUMIFS('changes2_based on steps'!$B361:$U361,'changes2_based on steps'!$B$1:$U$1,S$1)</f>
        <v>0</v>
      </c>
      <c r="T361" s="179">
        <f>SUMIFS('recurring2_based on steps'!$B361:$AY361,'recurring2_based on steps'!$B$1:$AY$1,T$1)+SUMIFS('changes2_based on steps'!$B361:$U361,'changes2_based on steps'!$B$1:$U$1,T$1)</f>
        <v>0</v>
      </c>
      <c r="U361" s="179">
        <f>SUMIFS('recurring2_based on steps'!$B361:$AY361,'recurring2_based on steps'!$B$1:$AY$1,U$1)+SUMIFS('changes2_based on steps'!$B361:$U361,'changes2_based on steps'!$B$1:$U$1,U$1)</f>
        <v>0</v>
      </c>
      <c r="V361" s="179">
        <f>SUMIFS('recurring2_based on steps'!$B361:$AY361,'recurring2_based on steps'!$B$1:$AY$1,V$1)+SUMIFS('changes2_based on steps'!$B361:$U361,'changes2_based on steps'!$B$1:$U$1,V$1)</f>
        <v>0</v>
      </c>
      <c r="W361" s="179">
        <f>SUMIFS('recurring2_based on steps'!$B361:$AY361,'recurring2_based on steps'!$B$1:$AY$1,W$1)+SUMIFS('changes2_based on steps'!$B361:$U361,'changes2_based on steps'!$B$1:$U$1,W$1)</f>
        <v>0</v>
      </c>
      <c r="X361" s="179">
        <f>SUMIFS('recurring2_based on steps'!$B361:$AY361,'recurring2_based on steps'!$B$1:$AY$1,X$1)+SUMIFS('changes2_based on steps'!$B361:$U361,'changes2_based on steps'!$B$1:$U$1,X$1)</f>
        <v>0</v>
      </c>
      <c r="Y361" s="179">
        <f>SUMIFS('recurring2_based on steps'!$B361:$AY361,'recurring2_based on steps'!$B$1:$AY$1,Y$1)+SUMIFS('changes2_based on steps'!$B361:$U361,'changes2_based on steps'!$B$1:$U$1,Y$1)</f>
        <v>0</v>
      </c>
      <c r="Z361" s="179">
        <f>SUMIFS('recurring2_based on steps'!$B361:$AY361,'recurring2_based on steps'!$B$1:$AY$1,Z$1)+SUMIFS('changes2_based on steps'!$B361:$U361,'changes2_based on steps'!$B$1:$U$1,Z$1)</f>
        <v>0</v>
      </c>
      <c r="AA361" s="179">
        <f>SUMIFS('recurring2_based on steps'!$B361:$AY361,'recurring2_based on steps'!$B$1:$AY$1,AA$1)+SUMIFS('changes2_based on steps'!$B361:$U361,'changes2_based on steps'!$B$1:$U$1,AA$1)</f>
        <v>0</v>
      </c>
      <c r="AB361" s="179">
        <f>SUMIFS('recurring2_based on steps'!$B361:$AY361,'recurring2_based on steps'!$B$1:$AY$1,AB$1)+SUMIFS('changes2_based on steps'!$B361:$U361,'changes2_based on steps'!$B$1:$U$1,AB$1)</f>
        <v>0</v>
      </c>
      <c r="AC361" s="179">
        <f>SUMIFS('recurring2_based on steps'!$B361:$AY361,'recurring2_based on steps'!$B$1:$AY$1,AC$1)+SUMIFS('changes2_based on steps'!$B361:$U361,'changes2_based on steps'!$B$1:$U$1,AC$1)</f>
        <v>0</v>
      </c>
      <c r="AD361" s="179">
        <f>SUMIFS('recurring2_based on steps'!$B361:$AY361,'recurring2_based on steps'!$B$1:$AY$1,AD$1)+SUMIFS('changes2_based on steps'!$B361:$U361,'changes2_based on steps'!$B$1:$U$1,AD$1)</f>
        <v>0</v>
      </c>
      <c r="AE361" s="179">
        <f>SUMIFS('recurring2_based on steps'!$B361:$AY361,'recurring2_based on steps'!$B$1:$AY$1,AE$1)+SUMIFS('changes2_based on steps'!$B361:$U361,'changes2_based on steps'!$B$1:$U$1,AE$1)</f>
        <v>0</v>
      </c>
      <c r="AF361" s="179"/>
      <c r="AG361" s="179"/>
      <c r="AH361" s="179"/>
      <c r="AI361" s="179"/>
      <c r="AJ361" s="179"/>
      <c r="AK361" s="179"/>
      <c r="AL361" s="179"/>
      <c r="AM361" s="179"/>
    </row>
    <row r="362" spans="1:39" x14ac:dyDescent="0.2">
      <c r="A362" s="32">
        <f t="shared" ca="1" si="5"/>
        <v>46111</v>
      </c>
      <c r="B362" s="179">
        <f>SUMIFS('recurring2_based on steps'!$B362:$AY362,'recurring2_based on steps'!$B$1:$AY$1,B$1)+SUMIFS('changes2_based on steps'!$B362:$U362,'changes2_based on steps'!$B$1:$U$1,B$1)</f>
        <v>0</v>
      </c>
      <c r="C362" s="179">
        <f>SUMIFS('recurring2_based on steps'!$B362:$AY362,'recurring2_based on steps'!$B$1:$AY$1,C$1)+SUMIFS('changes2_based on steps'!$B362:$U362,'changes2_based on steps'!$B$1:$U$1,C$1)</f>
        <v>0</v>
      </c>
      <c r="D362" s="179">
        <f>SUMIFS('recurring2_based on steps'!$B362:$AY362,'recurring2_based on steps'!$B$1:$AY$1,D$1)+SUMIFS('changes2_based on steps'!$B362:$U362,'changes2_based on steps'!$B$1:$U$1,D$1)</f>
        <v>0</v>
      </c>
      <c r="E362" s="179">
        <f>SUMIFS('recurring2_based on steps'!$B362:$AY362,'recurring2_based on steps'!$B$1:$AY$1,E$1)+SUMIFS('changes2_based on steps'!$B362:$U362,'changes2_based on steps'!$B$1:$U$1,E$1)</f>
        <v>0</v>
      </c>
      <c r="F362" s="179">
        <f>SUMIFS('recurring2_based on steps'!$B362:$AY362,'recurring2_based on steps'!$B$1:$AY$1,F$1)+SUMIFS('changes2_based on steps'!$B362:$U362,'changes2_based on steps'!$B$1:$U$1,F$1)</f>
        <v>0</v>
      </c>
      <c r="G362" s="179">
        <f>SUMIFS('recurring2_based on steps'!$B362:$AY362,'recurring2_based on steps'!$B$1:$AY$1,G$1)+SUMIFS('changes2_based on steps'!$B362:$U362,'changes2_based on steps'!$B$1:$U$1,G$1)</f>
        <v>0</v>
      </c>
      <c r="H362" s="179">
        <f>SUMIFS('recurring2_based on steps'!$B362:$AY362,'recurring2_based on steps'!$B$1:$AY$1,H$1)+SUMIFS('changes2_based on steps'!$B362:$U362,'changes2_based on steps'!$B$1:$U$1,H$1)</f>
        <v>0</v>
      </c>
      <c r="I362" s="179">
        <f>SUMIFS('recurring2_based on steps'!$B362:$AY362,'recurring2_based on steps'!$B$1:$AY$1,I$1)+SUMIFS('changes2_based on steps'!$B362:$U362,'changes2_based on steps'!$B$1:$U$1,I$1)</f>
        <v>0</v>
      </c>
      <c r="J362" s="179">
        <f>SUMIFS('recurring2_based on steps'!$B362:$AY362,'recurring2_based on steps'!$B$1:$AY$1,J$1)+SUMIFS('changes2_based on steps'!$B362:$U362,'changes2_based on steps'!$B$1:$U$1,J$1)</f>
        <v>0</v>
      </c>
      <c r="K362" s="179">
        <f>SUMIFS('recurring2_based on steps'!$B362:$AY362,'recurring2_based on steps'!$B$1:$AY$1,K$1)+SUMIFS('changes2_based on steps'!$B362:$U362,'changes2_based on steps'!$B$1:$U$1,K$1)</f>
        <v>0</v>
      </c>
      <c r="L362" s="179">
        <f>SUMIFS('recurring2_based on steps'!$B362:$AY362,'recurring2_based on steps'!$B$1:$AY$1,L$1)+SUMIFS('changes2_based on steps'!$B362:$U362,'changes2_based on steps'!$B$1:$U$1,L$1)</f>
        <v>0</v>
      </c>
      <c r="M362" s="179">
        <f>SUMIFS('recurring2_based on steps'!$B362:$AY362,'recurring2_based on steps'!$B$1:$AY$1,M$1)+SUMIFS('changes2_based on steps'!$B362:$U362,'changes2_based on steps'!$B$1:$U$1,M$1)</f>
        <v>0</v>
      </c>
      <c r="N362" s="179">
        <f>SUMIFS('recurring2_based on steps'!$B362:$AY362,'recurring2_based on steps'!$B$1:$AY$1,N$1)+SUMIFS('changes2_based on steps'!$B362:$U362,'changes2_based on steps'!$B$1:$U$1,N$1)</f>
        <v>0</v>
      </c>
      <c r="O362" s="179">
        <f>SUMIFS('recurring2_based on steps'!$B362:$AY362,'recurring2_based on steps'!$B$1:$AY$1,O$1)+SUMIFS('changes2_based on steps'!$B362:$U362,'changes2_based on steps'!$B$1:$U$1,O$1)</f>
        <v>0</v>
      </c>
      <c r="P362" s="179">
        <f>SUMIFS('recurring2_based on steps'!$B362:$AY362,'recurring2_based on steps'!$B$1:$AY$1,P$1)+SUMIFS('changes2_based on steps'!$B362:$U362,'changes2_based on steps'!$B$1:$U$1,P$1)</f>
        <v>0</v>
      </c>
      <c r="Q362" s="179">
        <f>SUMIFS('recurring2_based on steps'!$B362:$AY362,'recurring2_based on steps'!$B$1:$AY$1,Q$1)+SUMIFS('changes2_based on steps'!$B362:$U362,'changes2_based on steps'!$B$1:$U$1,Q$1)</f>
        <v>0</v>
      </c>
      <c r="R362" s="179">
        <f>SUMIFS('recurring2_based on steps'!$B362:$AY362,'recurring2_based on steps'!$B$1:$AY$1,R$1)+SUMIFS('changes2_based on steps'!$B362:$U362,'changes2_based on steps'!$B$1:$U$1,R$1)</f>
        <v>0</v>
      </c>
      <c r="S362" s="179">
        <f>SUMIFS('recurring2_based on steps'!$B362:$AY362,'recurring2_based on steps'!$B$1:$AY$1,S$1)+SUMIFS('changes2_based on steps'!$B362:$U362,'changes2_based on steps'!$B$1:$U$1,S$1)</f>
        <v>0</v>
      </c>
      <c r="T362" s="179">
        <f>SUMIFS('recurring2_based on steps'!$B362:$AY362,'recurring2_based on steps'!$B$1:$AY$1,T$1)+SUMIFS('changes2_based on steps'!$B362:$U362,'changes2_based on steps'!$B$1:$U$1,T$1)</f>
        <v>0</v>
      </c>
      <c r="U362" s="179">
        <f>SUMIFS('recurring2_based on steps'!$B362:$AY362,'recurring2_based on steps'!$B$1:$AY$1,U$1)+SUMIFS('changes2_based on steps'!$B362:$U362,'changes2_based on steps'!$B$1:$U$1,U$1)</f>
        <v>0</v>
      </c>
      <c r="V362" s="179">
        <f>SUMIFS('recurring2_based on steps'!$B362:$AY362,'recurring2_based on steps'!$B$1:$AY$1,V$1)+SUMIFS('changes2_based on steps'!$B362:$U362,'changes2_based on steps'!$B$1:$U$1,V$1)</f>
        <v>0</v>
      </c>
      <c r="W362" s="179">
        <f>SUMIFS('recurring2_based on steps'!$B362:$AY362,'recurring2_based on steps'!$B$1:$AY$1,W$1)+SUMIFS('changes2_based on steps'!$B362:$U362,'changes2_based on steps'!$B$1:$U$1,W$1)</f>
        <v>0</v>
      </c>
      <c r="X362" s="179">
        <f>SUMIFS('recurring2_based on steps'!$B362:$AY362,'recurring2_based on steps'!$B$1:$AY$1,X$1)+SUMIFS('changes2_based on steps'!$B362:$U362,'changes2_based on steps'!$B$1:$U$1,X$1)</f>
        <v>0</v>
      </c>
      <c r="Y362" s="179">
        <f>SUMIFS('recurring2_based on steps'!$B362:$AY362,'recurring2_based on steps'!$B$1:$AY$1,Y$1)+SUMIFS('changes2_based on steps'!$B362:$U362,'changes2_based on steps'!$B$1:$U$1,Y$1)</f>
        <v>0</v>
      </c>
      <c r="Z362" s="179">
        <f>SUMIFS('recurring2_based on steps'!$B362:$AY362,'recurring2_based on steps'!$B$1:$AY$1,Z$1)+SUMIFS('changes2_based on steps'!$B362:$U362,'changes2_based on steps'!$B$1:$U$1,Z$1)</f>
        <v>0</v>
      </c>
      <c r="AA362" s="179">
        <f>SUMIFS('recurring2_based on steps'!$B362:$AY362,'recurring2_based on steps'!$B$1:$AY$1,AA$1)+SUMIFS('changes2_based on steps'!$B362:$U362,'changes2_based on steps'!$B$1:$U$1,AA$1)</f>
        <v>0</v>
      </c>
      <c r="AB362" s="179">
        <f>SUMIFS('recurring2_based on steps'!$B362:$AY362,'recurring2_based on steps'!$B$1:$AY$1,AB$1)+SUMIFS('changes2_based on steps'!$B362:$U362,'changes2_based on steps'!$B$1:$U$1,AB$1)</f>
        <v>0</v>
      </c>
      <c r="AC362" s="179">
        <f>SUMIFS('recurring2_based on steps'!$B362:$AY362,'recurring2_based on steps'!$B$1:$AY$1,AC$1)+SUMIFS('changes2_based on steps'!$B362:$U362,'changes2_based on steps'!$B$1:$U$1,AC$1)</f>
        <v>0</v>
      </c>
      <c r="AD362" s="179">
        <f>SUMIFS('recurring2_based on steps'!$B362:$AY362,'recurring2_based on steps'!$B$1:$AY$1,AD$1)+SUMIFS('changes2_based on steps'!$B362:$U362,'changes2_based on steps'!$B$1:$U$1,AD$1)</f>
        <v>0</v>
      </c>
      <c r="AE362" s="179">
        <f>SUMIFS('recurring2_based on steps'!$B362:$AY362,'recurring2_based on steps'!$B$1:$AY$1,AE$1)+SUMIFS('changes2_based on steps'!$B362:$U362,'changes2_based on steps'!$B$1:$U$1,AE$1)</f>
        <v>0</v>
      </c>
      <c r="AF362" s="179"/>
      <c r="AG362" s="179"/>
      <c r="AH362" s="179"/>
      <c r="AI362" s="179"/>
      <c r="AJ362" s="179"/>
      <c r="AK362" s="179"/>
      <c r="AL362" s="179"/>
      <c r="AM362" s="179"/>
    </row>
    <row r="363" spans="1:39" x14ac:dyDescent="0.2">
      <c r="A363" s="32">
        <f t="shared" ca="1" si="5"/>
        <v>46112</v>
      </c>
      <c r="B363" s="179">
        <f>SUMIFS('recurring2_based on steps'!$B363:$AY363,'recurring2_based on steps'!$B$1:$AY$1,B$1)+SUMIFS('changes2_based on steps'!$B363:$U363,'changes2_based on steps'!$B$1:$U$1,B$1)</f>
        <v>0</v>
      </c>
      <c r="C363" s="179">
        <f>SUMIFS('recurring2_based on steps'!$B363:$AY363,'recurring2_based on steps'!$B$1:$AY$1,C$1)+SUMIFS('changes2_based on steps'!$B363:$U363,'changes2_based on steps'!$B$1:$U$1,C$1)</f>
        <v>0</v>
      </c>
      <c r="D363" s="179">
        <f>SUMIFS('recurring2_based on steps'!$B363:$AY363,'recurring2_based on steps'!$B$1:$AY$1,D$1)+SUMIFS('changes2_based on steps'!$B363:$U363,'changes2_based on steps'!$B$1:$U$1,D$1)</f>
        <v>0</v>
      </c>
      <c r="E363" s="179">
        <f>SUMIFS('recurring2_based on steps'!$B363:$AY363,'recurring2_based on steps'!$B$1:$AY$1,E$1)+SUMIFS('changes2_based on steps'!$B363:$U363,'changes2_based on steps'!$B$1:$U$1,E$1)</f>
        <v>0</v>
      </c>
      <c r="F363" s="179">
        <f>SUMIFS('recurring2_based on steps'!$B363:$AY363,'recurring2_based on steps'!$B$1:$AY$1,F$1)+SUMIFS('changes2_based on steps'!$B363:$U363,'changes2_based on steps'!$B$1:$U$1,F$1)</f>
        <v>0</v>
      </c>
      <c r="G363" s="179">
        <f>SUMIFS('recurring2_based on steps'!$B363:$AY363,'recurring2_based on steps'!$B$1:$AY$1,G$1)+SUMIFS('changes2_based on steps'!$B363:$U363,'changes2_based on steps'!$B$1:$U$1,G$1)</f>
        <v>0</v>
      </c>
      <c r="H363" s="179">
        <f>SUMIFS('recurring2_based on steps'!$B363:$AY363,'recurring2_based on steps'!$B$1:$AY$1,H$1)+SUMIFS('changes2_based on steps'!$B363:$U363,'changes2_based on steps'!$B$1:$U$1,H$1)</f>
        <v>0</v>
      </c>
      <c r="I363" s="179">
        <f>SUMIFS('recurring2_based on steps'!$B363:$AY363,'recurring2_based on steps'!$B$1:$AY$1,I$1)+SUMIFS('changes2_based on steps'!$B363:$U363,'changes2_based on steps'!$B$1:$U$1,I$1)</f>
        <v>0</v>
      </c>
      <c r="J363" s="179">
        <f>SUMIFS('recurring2_based on steps'!$B363:$AY363,'recurring2_based on steps'!$B$1:$AY$1,J$1)+SUMIFS('changes2_based on steps'!$B363:$U363,'changes2_based on steps'!$B$1:$U$1,J$1)</f>
        <v>0</v>
      </c>
      <c r="K363" s="179">
        <f>SUMIFS('recurring2_based on steps'!$B363:$AY363,'recurring2_based on steps'!$B$1:$AY$1,K$1)+SUMIFS('changes2_based on steps'!$B363:$U363,'changes2_based on steps'!$B$1:$U$1,K$1)</f>
        <v>0</v>
      </c>
      <c r="L363" s="179">
        <f>SUMIFS('recurring2_based on steps'!$B363:$AY363,'recurring2_based on steps'!$B$1:$AY$1,L$1)+SUMIFS('changes2_based on steps'!$B363:$U363,'changes2_based on steps'!$B$1:$U$1,L$1)</f>
        <v>0</v>
      </c>
      <c r="M363" s="179">
        <f>SUMIFS('recurring2_based on steps'!$B363:$AY363,'recurring2_based on steps'!$B$1:$AY$1,M$1)+SUMIFS('changes2_based on steps'!$B363:$U363,'changes2_based on steps'!$B$1:$U$1,M$1)</f>
        <v>0</v>
      </c>
      <c r="N363" s="179">
        <f>SUMIFS('recurring2_based on steps'!$B363:$AY363,'recurring2_based on steps'!$B$1:$AY$1,N$1)+SUMIFS('changes2_based on steps'!$B363:$U363,'changes2_based on steps'!$B$1:$U$1,N$1)</f>
        <v>0</v>
      </c>
      <c r="O363" s="179">
        <f>SUMIFS('recurring2_based on steps'!$B363:$AY363,'recurring2_based on steps'!$B$1:$AY$1,O$1)+SUMIFS('changes2_based on steps'!$B363:$U363,'changes2_based on steps'!$B$1:$U$1,O$1)</f>
        <v>0</v>
      </c>
      <c r="P363" s="179">
        <f>SUMIFS('recurring2_based on steps'!$B363:$AY363,'recurring2_based on steps'!$B$1:$AY$1,P$1)+SUMIFS('changes2_based on steps'!$B363:$U363,'changes2_based on steps'!$B$1:$U$1,P$1)</f>
        <v>0</v>
      </c>
      <c r="Q363" s="179">
        <f>SUMIFS('recurring2_based on steps'!$B363:$AY363,'recurring2_based on steps'!$B$1:$AY$1,Q$1)+SUMIFS('changes2_based on steps'!$B363:$U363,'changes2_based on steps'!$B$1:$U$1,Q$1)</f>
        <v>0</v>
      </c>
      <c r="R363" s="179">
        <f>SUMIFS('recurring2_based on steps'!$B363:$AY363,'recurring2_based on steps'!$B$1:$AY$1,R$1)+SUMIFS('changes2_based on steps'!$B363:$U363,'changes2_based on steps'!$B$1:$U$1,R$1)</f>
        <v>0</v>
      </c>
      <c r="S363" s="179">
        <f>SUMIFS('recurring2_based on steps'!$B363:$AY363,'recurring2_based on steps'!$B$1:$AY$1,S$1)+SUMIFS('changes2_based on steps'!$B363:$U363,'changes2_based on steps'!$B$1:$U$1,S$1)</f>
        <v>0</v>
      </c>
      <c r="T363" s="179">
        <f>SUMIFS('recurring2_based on steps'!$B363:$AY363,'recurring2_based on steps'!$B$1:$AY$1,T$1)+SUMIFS('changes2_based on steps'!$B363:$U363,'changes2_based on steps'!$B$1:$U$1,T$1)</f>
        <v>0</v>
      </c>
      <c r="U363" s="179">
        <f>SUMIFS('recurring2_based on steps'!$B363:$AY363,'recurring2_based on steps'!$B$1:$AY$1,U$1)+SUMIFS('changes2_based on steps'!$B363:$U363,'changes2_based on steps'!$B$1:$U$1,U$1)</f>
        <v>0</v>
      </c>
      <c r="V363" s="179">
        <f>SUMIFS('recurring2_based on steps'!$B363:$AY363,'recurring2_based on steps'!$B$1:$AY$1,V$1)+SUMIFS('changes2_based on steps'!$B363:$U363,'changes2_based on steps'!$B$1:$U$1,V$1)</f>
        <v>0</v>
      </c>
      <c r="W363" s="179">
        <f>SUMIFS('recurring2_based on steps'!$B363:$AY363,'recurring2_based on steps'!$B$1:$AY$1,W$1)+SUMIFS('changes2_based on steps'!$B363:$U363,'changes2_based on steps'!$B$1:$U$1,W$1)</f>
        <v>0</v>
      </c>
      <c r="X363" s="179">
        <f>SUMIFS('recurring2_based on steps'!$B363:$AY363,'recurring2_based on steps'!$B$1:$AY$1,X$1)+SUMIFS('changes2_based on steps'!$B363:$U363,'changes2_based on steps'!$B$1:$U$1,X$1)</f>
        <v>0</v>
      </c>
      <c r="Y363" s="179">
        <f>SUMIFS('recurring2_based on steps'!$B363:$AY363,'recurring2_based on steps'!$B$1:$AY$1,Y$1)+SUMIFS('changes2_based on steps'!$B363:$U363,'changes2_based on steps'!$B$1:$U$1,Y$1)</f>
        <v>0</v>
      </c>
      <c r="Z363" s="179">
        <f>SUMIFS('recurring2_based on steps'!$B363:$AY363,'recurring2_based on steps'!$B$1:$AY$1,Z$1)+SUMIFS('changes2_based on steps'!$B363:$U363,'changes2_based on steps'!$B$1:$U$1,Z$1)</f>
        <v>0</v>
      </c>
      <c r="AA363" s="179">
        <f>SUMIFS('recurring2_based on steps'!$B363:$AY363,'recurring2_based on steps'!$B$1:$AY$1,AA$1)+SUMIFS('changes2_based on steps'!$B363:$U363,'changes2_based on steps'!$B$1:$U$1,AA$1)</f>
        <v>0</v>
      </c>
      <c r="AB363" s="179">
        <f>SUMIFS('recurring2_based on steps'!$B363:$AY363,'recurring2_based on steps'!$B$1:$AY$1,AB$1)+SUMIFS('changes2_based on steps'!$B363:$U363,'changes2_based on steps'!$B$1:$U$1,AB$1)</f>
        <v>0</v>
      </c>
      <c r="AC363" s="179">
        <f>SUMIFS('recurring2_based on steps'!$B363:$AY363,'recurring2_based on steps'!$B$1:$AY$1,AC$1)+SUMIFS('changes2_based on steps'!$B363:$U363,'changes2_based on steps'!$B$1:$U$1,AC$1)</f>
        <v>0</v>
      </c>
      <c r="AD363" s="179">
        <f>SUMIFS('recurring2_based on steps'!$B363:$AY363,'recurring2_based on steps'!$B$1:$AY$1,AD$1)+SUMIFS('changes2_based on steps'!$B363:$U363,'changes2_based on steps'!$B$1:$U$1,AD$1)</f>
        <v>0</v>
      </c>
      <c r="AE363" s="179">
        <f>SUMIFS('recurring2_based on steps'!$B363:$AY363,'recurring2_based on steps'!$B$1:$AY$1,AE$1)+SUMIFS('changes2_based on steps'!$B363:$U363,'changes2_based on steps'!$B$1:$U$1,AE$1)</f>
        <v>0</v>
      </c>
      <c r="AF363" s="179"/>
      <c r="AG363" s="179"/>
      <c r="AH363" s="179"/>
      <c r="AI363" s="179"/>
      <c r="AJ363" s="179"/>
      <c r="AK363" s="179"/>
      <c r="AL363" s="179"/>
      <c r="AM363" s="179"/>
    </row>
    <row r="364" spans="1:39" x14ac:dyDescent="0.2">
      <c r="A364" s="32">
        <f t="shared" ca="1" si="5"/>
        <v>46113</v>
      </c>
      <c r="B364" s="179">
        <f>SUMIFS('recurring2_based on steps'!$B364:$AY364,'recurring2_based on steps'!$B$1:$AY$1,B$1)+SUMIFS('changes2_based on steps'!$B364:$U364,'changes2_based on steps'!$B$1:$U$1,B$1)</f>
        <v>0</v>
      </c>
      <c r="C364" s="179">
        <f>SUMIFS('recurring2_based on steps'!$B364:$AY364,'recurring2_based on steps'!$B$1:$AY$1,C$1)+SUMIFS('changes2_based on steps'!$B364:$U364,'changes2_based on steps'!$B$1:$U$1,C$1)</f>
        <v>0</v>
      </c>
      <c r="D364" s="179">
        <f>SUMIFS('recurring2_based on steps'!$B364:$AY364,'recurring2_based on steps'!$B$1:$AY$1,D$1)+SUMIFS('changes2_based on steps'!$B364:$U364,'changes2_based on steps'!$B$1:$U$1,D$1)</f>
        <v>0</v>
      </c>
      <c r="E364" s="179">
        <f>SUMIFS('recurring2_based on steps'!$B364:$AY364,'recurring2_based on steps'!$B$1:$AY$1,E$1)+SUMIFS('changes2_based on steps'!$B364:$U364,'changes2_based on steps'!$B$1:$U$1,E$1)</f>
        <v>0</v>
      </c>
      <c r="F364" s="179">
        <f>SUMIFS('recurring2_based on steps'!$B364:$AY364,'recurring2_based on steps'!$B$1:$AY$1,F$1)+SUMIFS('changes2_based on steps'!$B364:$U364,'changes2_based on steps'!$B$1:$U$1,F$1)</f>
        <v>0</v>
      </c>
      <c r="G364" s="179">
        <f>SUMIFS('recurring2_based on steps'!$B364:$AY364,'recurring2_based on steps'!$B$1:$AY$1,G$1)+SUMIFS('changes2_based on steps'!$B364:$U364,'changes2_based on steps'!$B$1:$U$1,G$1)</f>
        <v>0</v>
      </c>
      <c r="H364" s="179">
        <f>SUMIFS('recurring2_based on steps'!$B364:$AY364,'recurring2_based on steps'!$B$1:$AY$1,H$1)+SUMIFS('changes2_based on steps'!$B364:$U364,'changes2_based on steps'!$B$1:$U$1,H$1)</f>
        <v>0</v>
      </c>
      <c r="I364" s="179">
        <f>SUMIFS('recurring2_based on steps'!$B364:$AY364,'recurring2_based on steps'!$B$1:$AY$1,I$1)+SUMIFS('changes2_based on steps'!$B364:$U364,'changes2_based on steps'!$B$1:$U$1,I$1)</f>
        <v>0</v>
      </c>
      <c r="J364" s="179">
        <f>SUMIFS('recurring2_based on steps'!$B364:$AY364,'recurring2_based on steps'!$B$1:$AY$1,J$1)+SUMIFS('changes2_based on steps'!$B364:$U364,'changes2_based on steps'!$B$1:$U$1,J$1)</f>
        <v>0</v>
      </c>
      <c r="K364" s="179">
        <f>SUMIFS('recurring2_based on steps'!$B364:$AY364,'recurring2_based on steps'!$B$1:$AY$1,K$1)+SUMIFS('changes2_based on steps'!$B364:$U364,'changes2_based on steps'!$B$1:$U$1,K$1)</f>
        <v>0</v>
      </c>
      <c r="L364" s="179">
        <f>SUMIFS('recurring2_based on steps'!$B364:$AY364,'recurring2_based on steps'!$B$1:$AY$1,L$1)+SUMIFS('changes2_based on steps'!$B364:$U364,'changes2_based on steps'!$B$1:$U$1,L$1)</f>
        <v>0</v>
      </c>
      <c r="M364" s="179">
        <f>SUMIFS('recurring2_based on steps'!$B364:$AY364,'recurring2_based on steps'!$B$1:$AY$1,M$1)+SUMIFS('changes2_based on steps'!$B364:$U364,'changes2_based on steps'!$B$1:$U$1,M$1)</f>
        <v>0</v>
      </c>
      <c r="N364" s="179">
        <f>SUMIFS('recurring2_based on steps'!$B364:$AY364,'recurring2_based on steps'!$B$1:$AY$1,N$1)+SUMIFS('changes2_based on steps'!$B364:$U364,'changes2_based on steps'!$B$1:$U$1,N$1)</f>
        <v>0</v>
      </c>
      <c r="O364" s="179">
        <f>SUMIFS('recurring2_based on steps'!$B364:$AY364,'recurring2_based on steps'!$B$1:$AY$1,O$1)+SUMIFS('changes2_based on steps'!$B364:$U364,'changes2_based on steps'!$B$1:$U$1,O$1)</f>
        <v>0</v>
      </c>
      <c r="P364" s="179">
        <f>SUMIFS('recurring2_based on steps'!$B364:$AY364,'recurring2_based on steps'!$B$1:$AY$1,P$1)+SUMIFS('changes2_based on steps'!$B364:$U364,'changes2_based on steps'!$B$1:$U$1,P$1)</f>
        <v>0</v>
      </c>
      <c r="Q364" s="179">
        <f>SUMIFS('recurring2_based on steps'!$B364:$AY364,'recurring2_based on steps'!$B$1:$AY$1,Q$1)+SUMIFS('changes2_based on steps'!$B364:$U364,'changes2_based on steps'!$B$1:$U$1,Q$1)</f>
        <v>0</v>
      </c>
      <c r="R364" s="179">
        <f>SUMIFS('recurring2_based on steps'!$B364:$AY364,'recurring2_based on steps'!$B$1:$AY$1,R$1)+SUMIFS('changes2_based on steps'!$B364:$U364,'changes2_based on steps'!$B$1:$U$1,R$1)</f>
        <v>0</v>
      </c>
      <c r="S364" s="179">
        <f>SUMIFS('recurring2_based on steps'!$B364:$AY364,'recurring2_based on steps'!$B$1:$AY$1,S$1)+SUMIFS('changes2_based on steps'!$B364:$U364,'changes2_based on steps'!$B$1:$U$1,S$1)</f>
        <v>0</v>
      </c>
      <c r="T364" s="179">
        <f>SUMIFS('recurring2_based on steps'!$B364:$AY364,'recurring2_based on steps'!$B$1:$AY$1,T$1)+SUMIFS('changes2_based on steps'!$B364:$U364,'changes2_based on steps'!$B$1:$U$1,T$1)</f>
        <v>0</v>
      </c>
      <c r="U364" s="179">
        <f>SUMIFS('recurring2_based on steps'!$B364:$AY364,'recurring2_based on steps'!$B$1:$AY$1,U$1)+SUMIFS('changes2_based on steps'!$B364:$U364,'changes2_based on steps'!$B$1:$U$1,U$1)</f>
        <v>0</v>
      </c>
      <c r="V364" s="179">
        <f>SUMIFS('recurring2_based on steps'!$B364:$AY364,'recurring2_based on steps'!$B$1:$AY$1,V$1)+SUMIFS('changes2_based on steps'!$B364:$U364,'changes2_based on steps'!$B$1:$U$1,V$1)</f>
        <v>0</v>
      </c>
      <c r="W364" s="179">
        <f>SUMIFS('recurring2_based on steps'!$B364:$AY364,'recurring2_based on steps'!$B$1:$AY$1,W$1)+SUMIFS('changes2_based on steps'!$B364:$U364,'changes2_based on steps'!$B$1:$U$1,W$1)</f>
        <v>0</v>
      </c>
      <c r="X364" s="179">
        <f>SUMIFS('recurring2_based on steps'!$B364:$AY364,'recurring2_based on steps'!$B$1:$AY$1,X$1)+SUMIFS('changes2_based on steps'!$B364:$U364,'changes2_based on steps'!$B$1:$U$1,X$1)</f>
        <v>0</v>
      </c>
      <c r="Y364" s="179">
        <f>SUMIFS('recurring2_based on steps'!$B364:$AY364,'recurring2_based on steps'!$B$1:$AY$1,Y$1)+SUMIFS('changes2_based on steps'!$B364:$U364,'changes2_based on steps'!$B$1:$U$1,Y$1)</f>
        <v>0</v>
      </c>
      <c r="Z364" s="179">
        <f>SUMIFS('recurring2_based on steps'!$B364:$AY364,'recurring2_based on steps'!$B$1:$AY$1,Z$1)+SUMIFS('changes2_based on steps'!$B364:$U364,'changes2_based on steps'!$B$1:$U$1,Z$1)</f>
        <v>0</v>
      </c>
      <c r="AA364" s="179">
        <f>SUMIFS('recurring2_based on steps'!$B364:$AY364,'recurring2_based on steps'!$B$1:$AY$1,AA$1)+SUMIFS('changes2_based on steps'!$B364:$U364,'changes2_based on steps'!$B$1:$U$1,AA$1)</f>
        <v>0</v>
      </c>
      <c r="AB364" s="179">
        <f>SUMIFS('recurring2_based on steps'!$B364:$AY364,'recurring2_based on steps'!$B$1:$AY$1,AB$1)+SUMIFS('changes2_based on steps'!$B364:$U364,'changes2_based on steps'!$B$1:$U$1,AB$1)</f>
        <v>0</v>
      </c>
      <c r="AC364" s="179">
        <f>SUMIFS('recurring2_based on steps'!$B364:$AY364,'recurring2_based on steps'!$B$1:$AY$1,AC$1)+SUMIFS('changes2_based on steps'!$B364:$U364,'changes2_based on steps'!$B$1:$U$1,AC$1)</f>
        <v>0</v>
      </c>
      <c r="AD364" s="179">
        <f>SUMIFS('recurring2_based on steps'!$B364:$AY364,'recurring2_based on steps'!$B$1:$AY$1,AD$1)+SUMIFS('changes2_based on steps'!$B364:$U364,'changes2_based on steps'!$B$1:$U$1,AD$1)</f>
        <v>0</v>
      </c>
      <c r="AE364" s="179">
        <f>SUMIFS('recurring2_based on steps'!$B364:$AY364,'recurring2_based on steps'!$B$1:$AY$1,AE$1)+SUMIFS('changes2_based on steps'!$B364:$U364,'changes2_based on steps'!$B$1:$U$1,AE$1)</f>
        <v>0</v>
      </c>
      <c r="AF364" s="179"/>
      <c r="AG364" s="179"/>
      <c r="AH364" s="179"/>
      <c r="AI364" s="179"/>
      <c r="AJ364" s="179"/>
      <c r="AK364" s="179"/>
      <c r="AL364" s="179"/>
      <c r="AM364" s="179"/>
    </row>
    <row r="365" spans="1:39" x14ac:dyDescent="0.2">
      <c r="A365" s="32">
        <f t="shared" ca="1" si="5"/>
        <v>46114</v>
      </c>
      <c r="B365" s="179">
        <f>SUMIFS('recurring2_based on steps'!$B365:$AY365,'recurring2_based on steps'!$B$1:$AY$1,B$1)+SUMIFS('changes2_based on steps'!$B365:$U365,'changes2_based on steps'!$B$1:$U$1,B$1)</f>
        <v>0</v>
      </c>
      <c r="C365" s="179">
        <f>SUMIFS('recurring2_based on steps'!$B365:$AY365,'recurring2_based on steps'!$B$1:$AY$1,C$1)+SUMIFS('changes2_based on steps'!$B365:$U365,'changes2_based on steps'!$B$1:$U$1,C$1)</f>
        <v>0</v>
      </c>
      <c r="D365" s="179">
        <f>SUMIFS('recurring2_based on steps'!$B365:$AY365,'recurring2_based on steps'!$B$1:$AY$1,D$1)+SUMIFS('changes2_based on steps'!$B365:$U365,'changes2_based on steps'!$B$1:$U$1,D$1)</f>
        <v>0</v>
      </c>
      <c r="E365" s="179">
        <f>SUMIFS('recurring2_based on steps'!$B365:$AY365,'recurring2_based on steps'!$B$1:$AY$1,E$1)+SUMIFS('changes2_based on steps'!$B365:$U365,'changes2_based on steps'!$B$1:$U$1,E$1)</f>
        <v>0</v>
      </c>
      <c r="F365" s="179">
        <f>SUMIFS('recurring2_based on steps'!$B365:$AY365,'recurring2_based on steps'!$B$1:$AY$1,F$1)+SUMIFS('changes2_based on steps'!$B365:$U365,'changes2_based on steps'!$B$1:$U$1,F$1)</f>
        <v>0</v>
      </c>
      <c r="G365" s="179">
        <f>SUMIFS('recurring2_based on steps'!$B365:$AY365,'recurring2_based on steps'!$B$1:$AY$1,G$1)+SUMIFS('changes2_based on steps'!$B365:$U365,'changes2_based on steps'!$B$1:$U$1,G$1)</f>
        <v>0</v>
      </c>
      <c r="H365" s="179">
        <f>SUMIFS('recurring2_based on steps'!$B365:$AY365,'recurring2_based on steps'!$B$1:$AY$1,H$1)+SUMIFS('changes2_based on steps'!$B365:$U365,'changes2_based on steps'!$B$1:$U$1,H$1)</f>
        <v>0</v>
      </c>
      <c r="I365" s="179">
        <f>SUMIFS('recurring2_based on steps'!$B365:$AY365,'recurring2_based on steps'!$B$1:$AY$1,I$1)+SUMIFS('changes2_based on steps'!$B365:$U365,'changes2_based on steps'!$B$1:$U$1,I$1)</f>
        <v>0</v>
      </c>
      <c r="J365" s="179">
        <f>SUMIFS('recurring2_based on steps'!$B365:$AY365,'recurring2_based on steps'!$B$1:$AY$1,J$1)+SUMIFS('changes2_based on steps'!$B365:$U365,'changes2_based on steps'!$B$1:$U$1,J$1)</f>
        <v>0</v>
      </c>
      <c r="K365" s="179">
        <f>SUMIFS('recurring2_based on steps'!$B365:$AY365,'recurring2_based on steps'!$B$1:$AY$1,K$1)+SUMIFS('changes2_based on steps'!$B365:$U365,'changes2_based on steps'!$B$1:$U$1,K$1)</f>
        <v>0</v>
      </c>
      <c r="L365" s="179">
        <f>SUMIFS('recurring2_based on steps'!$B365:$AY365,'recurring2_based on steps'!$B$1:$AY$1,L$1)+SUMIFS('changes2_based on steps'!$B365:$U365,'changes2_based on steps'!$B$1:$U$1,L$1)</f>
        <v>0</v>
      </c>
      <c r="M365" s="179">
        <f>SUMIFS('recurring2_based on steps'!$B365:$AY365,'recurring2_based on steps'!$B$1:$AY$1,M$1)+SUMIFS('changes2_based on steps'!$B365:$U365,'changes2_based on steps'!$B$1:$U$1,M$1)</f>
        <v>0</v>
      </c>
      <c r="N365" s="179">
        <f>SUMIFS('recurring2_based on steps'!$B365:$AY365,'recurring2_based on steps'!$B$1:$AY$1,N$1)+SUMIFS('changes2_based on steps'!$B365:$U365,'changes2_based on steps'!$B$1:$U$1,N$1)</f>
        <v>0</v>
      </c>
      <c r="O365" s="179">
        <f>SUMIFS('recurring2_based on steps'!$B365:$AY365,'recurring2_based on steps'!$B$1:$AY$1,O$1)+SUMIFS('changes2_based on steps'!$B365:$U365,'changes2_based on steps'!$B$1:$U$1,O$1)</f>
        <v>0</v>
      </c>
      <c r="P365" s="179">
        <f>SUMIFS('recurring2_based on steps'!$B365:$AY365,'recurring2_based on steps'!$B$1:$AY$1,P$1)+SUMIFS('changes2_based on steps'!$B365:$U365,'changes2_based on steps'!$B$1:$U$1,P$1)</f>
        <v>0</v>
      </c>
      <c r="Q365" s="179">
        <f>SUMIFS('recurring2_based on steps'!$B365:$AY365,'recurring2_based on steps'!$B$1:$AY$1,Q$1)+SUMIFS('changes2_based on steps'!$B365:$U365,'changes2_based on steps'!$B$1:$U$1,Q$1)</f>
        <v>0</v>
      </c>
      <c r="R365" s="179">
        <f>SUMIFS('recurring2_based on steps'!$B365:$AY365,'recurring2_based on steps'!$B$1:$AY$1,R$1)+SUMIFS('changes2_based on steps'!$B365:$U365,'changes2_based on steps'!$B$1:$U$1,R$1)</f>
        <v>0</v>
      </c>
      <c r="S365" s="179">
        <f>SUMIFS('recurring2_based on steps'!$B365:$AY365,'recurring2_based on steps'!$B$1:$AY$1,S$1)+SUMIFS('changes2_based on steps'!$B365:$U365,'changes2_based on steps'!$B$1:$U$1,S$1)</f>
        <v>0</v>
      </c>
      <c r="T365" s="179">
        <f>SUMIFS('recurring2_based on steps'!$B365:$AY365,'recurring2_based on steps'!$B$1:$AY$1,T$1)+SUMIFS('changes2_based on steps'!$B365:$U365,'changes2_based on steps'!$B$1:$U$1,T$1)</f>
        <v>0</v>
      </c>
      <c r="U365" s="179">
        <f>SUMIFS('recurring2_based on steps'!$B365:$AY365,'recurring2_based on steps'!$B$1:$AY$1,U$1)+SUMIFS('changes2_based on steps'!$B365:$U365,'changes2_based on steps'!$B$1:$U$1,U$1)</f>
        <v>0</v>
      </c>
      <c r="V365" s="179">
        <f>SUMIFS('recurring2_based on steps'!$B365:$AY365,'recurring2_based on steps'!$B$1:$AY$1,V$1)+SUMIFS('changes2_based on steps'!$B365:$U365,'changes2_based on steps'!$B$1:$U$1,V$1)</f>
        <v>0</v>
      </c>
      <c r="W365" s="179">
        <f>SUMIFS('recurring2_based on steps'!$B365:$AY365,'recurring2_based on steps'!$B$1:$AY$1,W$1)+SUMIFS('changes2_based on steps'!$B365:$U365,'changes2_based on steps'!$B$1:$U$1,W$1)</f>
        <v>0</v>
      </c>
      <c r="X365" s="179">
        <f>SUMIFS('recurring2_based on steps'!$B365:$AY365,'recurring2_based on steps'!$B$1:$AY$1,X$1)+SUMIFS('changes2_based on steps'!$B365:$U365,'changes2_based on steps'!$B$1:$U$1,X$1)</f>
        <v>0</v>
      </c>
      <c r="Y365" s="179">
        <f>SUMIFS('recurring2_based on steps'!$B365:$AY365,'recurring2_based on steps'!$B$1:$AY$1,Y$1)+SUMIFS('changes2_based on steps'!$B365:$U365,'changes2_based on steps'!$B$1:$U$1,Y$1)</f>
        <v>0</v>
      </c>
      <c r="Z365" s="179">
        <f>SUMIFS('recurring2_based on steps'!$B365:$AY365,'recurring2_based on steps'!$B$1:$AY$1,Z$1)+SUMIFS('changes2_based on steps'!$B365:$U365,'changes2_based on steps'!$B$1:$U$1,Z$1)</f>
        <v>0</v>
      </c>
      <c r="AA365" s="179">
        <f>SUMIFS('recurring2_based on steps'!$B365:$AY365,'recurring2_based on steps'!$B$1:$AY$1,AA$1)+SUMIFS('changes2_based on steps'!$B365:$U365,'changes2_based on steps'!$B$1:$U$1,AA$1)</f>
        <v>0</v>
      </c>
      <c r="AB365" s="179">
        <f>SUMIFS('recurring2_based on steps'!$B365:$AY365,'recurring2_based on steps'!$B$1:$AY$1,AB$1)+SUMIFS('changes2_based on steps'!$B365:$U365,'changes2_based on steps'!$B$1:$U$1,AB$1)</f>
        <v>0</v>
      </c>
      <c r="AC365" s="179">
        <f>SUMIFS('recurring2_based on steps'!$B365:$AY365,'recurring2_based on steps'!$B$1:$AY$1,AC$1)+SUMIFS('changes2_based on steps'!$B365:$U365,'changes2_based on steps'!$B$1:$U$1,AC$1)</f>
        <v>0</v>
      </c>
      <c r="AD365" s="179">
        <f>SUMIFS('recurring2_based on steps'!$B365:$AY365,'recurring2_based on steps'!$B$1:$AY$1,AD$1)+SUMIFS('changes2_based on steps'!$B365:$U365,'changes2_based on steps'!$B$1:$U$1,AD$1)</f>
        <v>0</v>
      </c>
      <c r="AE365" s="179">
        <f>SUMIFS('recurring2_based on steps'!$B365:$AY365,'recurring2_based on steps'!$B$1:$AY$1,AE$1)+SUMIFS('changes2_based on steps'!$B365:$U365,'changes2_based on steps'!$B$1:$U$1,AE$1)</f>
        <v>0</v>
      </c>
      <c r="AF365" s="179"/>
      <c r="AG365" s="179"/>
      <c r="AH365" s="179"/>
      <c r="AI365" s="179"/>
      <c r="AJ365" s="179"/>
      <c r="AK365" s="179"/>
      <c r="AL365" s="179"/>
      <c r="AM365" s="179"/>
    </row>
    <row r="366" spans="1:39" x14ac:dyDescent="0.2">
      <c r="A366" s="32">
        <f t="shared" ca="1" si="5"/>
        <v>46115</v>
      </c>
      <c r="B366" s="179">
        <f>SUMIFS('recurring2_based on steps'!$B366:$AY366,'recurring2_based on steps'!$B$1:$AY$1,B$1)+SUMIFS('changes2_based on steps'!$B366:$U366,'changes2_based on steps'!$B$1:$U$1,B$1)</f>
        <v>0</v>
      </c>
      <c r="C366" s="179">
        <f>SUMIFS('recurring2_based on steps'!$B366:$AY366,'recurring2_based on steps'!$B$1:$AY$1,C$1)+SUMIFS('changes2_based on steps'!$B366:$U366,'changes2_based on steps'!$B$1:$U$1,C$1)</f>
        <v>0</v>
      </c>
      <c r="D366" s="179">
        <f>SUMIFS('recurring2_based on steps'!$B366:$AY366,'recurring2_based on steps'!$B$1:$AY$1,D$1)+SUMIFS('changes2_based on steps'!$B366:$U366,'changes2_based on steps'!$B$1:$U$1,D$1)</f>
        <v>0</v>
      </c>
      <c r="E366" s="179">
        <f>SUMIFS('recurring2_based on steps'!$B366:$AY366,'recurring2_based on steps'!$B$1:$AY$1,E$1)+SUMIFS('changes2_based on steps'!$B366:$U366,'changes2_based on steps'!$B$1:$U$1,E$1)</f>
        <v>0</v>
      </c>
      <c r="F366" s="179">
        <f>SUMIFS('recurring2_based on steps'!$B366:$AY366,'recurring2_based on steps'!$B$1:$AY$1,F$1)+SUMIFS('changes2_based on steps'!$B366:$U366,'changes2_based on steps'!$B$1:$U$1,F$1)</f>
        <v>0</v>
      </c>
      <c r="G366" s="179">
        <f>SUMIFS('recurring2_based on steps'!$B366:$AY366,'recurring2_based on steps'!$B$1:$AY$1,G$1)+SUMIFS('changes2_based on steps'!$B366:$U366,'changes2_based on steps'!$B$1:$U$1,G$1)</f>
        <v>0</v>
      </c>
      <c r="H366" s="179">
        <f>SUMIFS('recurring2_based on steps'!$B366:$AY366,'recurring2_based on steps'!$B$1:$AY$1,H$1)+SUMIFS('changes2_based on steps'!$B366:$U366,'changes2_based on steps'!$B$1:$U$1,H$1)</f>
        <v>0</v>
      </c>
      <c r="I366" s="179">
        <f>SUMIFS('recurring2_based on steps'!$B366:$AY366,'recurring2_based on steps'!$B$1:$AY$1,I$1)+SUMIFS('changes2_based on steps'!$B366:$U366,'changes2_based on steps'!$B$1:$U$1,I$1)</f>
        <v>0</v>
      </c>
      <c r="J366" s="179">
        <f>SUMIFS('recurring2_based on steps'!$B366:$AY366,'recurring2_based on steps'!$B$1:$AY$1,J$1)+SUMIFS('changes2_based on steps'!$B366:$U366,'changes2_based on steps'!$B$1:$U$1,J$1)</f>
        <v>0</v>
      </c>
      <c r="K366" s="179">
        <f>SUMIFS('recurring2_based on steps'!$B366:$AY366,'recurring2_based on steps'!$B$1:$AY$1,K$1)+SUMIFS('changes2_based on steps'!$B366:$U366,'changes2_based on steps'!$B$1:$U$1,K$1)</f>
        <v>0</v>
      </c>
      <c r="L366" s="179">
        <f>SUMIFS('recurring2_based on steps'!$B366:$AY366,'recurring2_based on steps'!$B$1:$AY$1,L$1)+SUMIFS('changes2_based on steps'!$B366:$U366,'changes2_based on steps'!$B$1:$U$1,L$1)</f>
        <v>0</v>
      </c>
      <c r="M366" s="179">
        <f>SUMIFS('recurring2_based on steps'!$B366:$AY366,'recurring2_based on steps'!$B$1:$AY$1,M$1)+SUMIFS('changes2_based on steps'!$B366:$U366,'changes2_based on steps'!$B$1:$U$1,M$1)</f>
        <v>0</v>
      </c>
      <c r="N366" s="179">
        <f>SUMIFS('recurring2_based on steps'!$B366:$AY366,'recurring2_based on steps'!$B$1:$AY$1,N$1)+SUMIFS('changes2_based on steps'!$B366:$U366,'changes2_based on steps'!$B$1:$U$1,N$1)</f>
        <v>0</v>
      </c>
      <c r="O366" s="179">
        <f>SUMIFS('recurring2_based on steps'!$B366:$AY366,'recurring2_based on steps'!$B$1:$AY$1,O$1)+SUMIFS('changes2_based on steps'!$B366:$U366,'changes2_based on steps'!$B$1:$U$1,O$1)</f>
        <v>0</v>
      </c>
      <c r="P366" s="179">
        <f>SUMIFS('recurring2_based on steps'!$B366:$AY366,'recurring2_based on steps'!$B$1:$AY$1,P$1)+SUMIFS('changes2_based on steps'!$B366:$U366,'changes2_based on steps'!$B$1:$U$1,P$1)</f>
        <v>0</v>
      </c>
      <c r="Q366" s="179">
        <f>SUMIFS('recurring2_based on steps'!$B366:$AY366,'recurring2_based on steps'!$B$1:$AY$1,Q$1)+SUMIFS('changes2_based on steps'!$B366:$U366,'changes2_based on steps'!$B$1:$U$1,Q$1)</f>
        <v>0</v>
      </c>
      <c r="R366" s="179">
        <f>SUMIFS('recurring2_based on steps'!$B366:$AY366,'recurring2_based on steps'!$B$1:$AY$1,R$1)+SUMIFS('changes2_based on steps'!$B366:$U366,'changes2_based on steps'!$B$1:$U$1,R$1)</f>
        <v>0</v>
      </c>
      <c r="S366" s="179">
        <f>SUMIFS('recurring2_based on steps'!$B366:$AY366,'recurring2_based on steps'!$B$1:$AY$1,S$1)+SUMIFS('changes2_based on steps'!$B366:$U366,'changes2_based on steps'!$B$1:$U$1,S$1)</f>
        <v>0</v>
      </c>
      <c r="T366" s="179">
        <f>SUMIFS('recurring2_based on steps'!$B366:$AY366,'recurring2_based on steps'!$B$1:$AY$1,T$1)+SUMIFS('changes2_based on steps'!$B366:$U366,'changes2_based on steps'!$B$1:$U$1,T$1)</f>
        <v>0</v>
      </c>
      <c r="U366" s="179">
        <f>SUMIFS('recurring2_based on steps'!$B366:$AY366,'recurring2_based on steps'!$B$1:$AY$1,U$1)+SUMIFS('changes2_based on steps'!$B366:$U366,'changes2_based on steps'!$B$1:$U$1,U$1)</f>
        <v>0</v>
      </c>
      <c r="V366" s="179">
        <f>SUMIFS('recurring2_based on steps'!$B366:$AY366,'recurring2_based on steps'!$B$1:$AY$1,V$1)+SUMIFS('changes2_based on steps'!$B366:$U366,'changes2_based on steps'!$B$1:$U$1,V$1)</f>
        <v>0</v>
      </c>
      <c r="W366" s="179">
        <f>SUMIFS('recurring2_based on steps'!$B366:$AY366,'recurring2_based on steps'!$B$1:$AY$1,W$1)+SUMIFS('changes2_based on steps'!$B366:$U366,'changes2_based on steps'!$B$1:$U$1,W$1)</f>
        <v>0</v>
      </c>
      <c r="X366" s="179">
        <f>SUMIFS('recurring2_based on steps'!$B366:$AY366,'recurring2_based on steps'!$B$1:$AY$1,X$1)+SUMIFS('changes2_based on steps'!$B366:$U366,'changes2_based on steps'!$B$1:$U$1,X$1)</f>
        <v>0</v>
      </c>
      <c r="Y366" s="179">
        <f>SUMIFS('recurring2_based on steps'!$B366:$AY366,'recurring2_based on steps'!$B$1:$AY$1,Y$1)+SUMIFS('changes2_based on steps'!$B366:$U366,'changes2_based on steps'!$B$1:$U$1,Y$1)</f>
        <v>0</v>
      </c>
      <c r="Z366" s="179">
        <f>SUMIFS('recurring2_based on steps'!$B366:$AY366,'recurring2_based on steps'!$B$1:$AY$1,Z$1)+SUMIFS('changes2_based on steps'!$B366:$U366,'changes2_based on steps'!$B$1:$U$1,Z$1)</f>
        <v>0</v>
      </c>
      <c r="AA366" s="179">
        <f>SUMIFS('recurring2_based on steps'!$B366:$AY366,'recurring2_based on steps'!$B$1:$AY$1,AA$1)+SUMIFS('changes2_based on steps'!$B366:$U366,'changes2_based on steps'!$B$1:$U$1,AA$1)</f>
        <v>0</v>
      </c>
      <c r="AB366" s="179">
        <f>SUMIFS('recurring2_based on steps'!$B366:$AY366,'recurring2_based on steps'!$B$1:$AY$1,AB$1)+SUMIFS('changes2_based on steps'!$B366:$U366,'changes2_based on steps'!$B$1:$U$1,AB$1)</f>
        <v>0</v>
      </c>
      <c r="AC366" s="179">
        <f>SUMIFS('recurring2_based on steps'!$B366:$AY366,'recurring2_based on steps'!$B$1:$AY$1,AC$1)+SUMIFS('changes2_based on steps'!$B366:$U366,'changes2_based on steps'!$B$1:$U$1,AC$1)</f>
        <v>0</v>
      </c>
      <c r="AD366" s="179">
        <f>SUMIFS('recurring2_based on steps'!$B366:$AY366,'recurring2_based on steps'!$B$1:$AY$1,AD$1)+SUMIFS('changes2_based on steps'!$B366:$U366,'changes2_based on steps'!$B$1:$U$1,AD$1)</f>
        <v>0</v>
      </c>
      <c r="AE366" s="179">
        <f>SUMIFS('recurring2_based on steps'!$B366:$AY366,'recurring2_based on steps'!$B$1:$AY$1,AE$1)+SUMIFS('changes2_based on steps'!$B366:$U366,'changes2_based on steps'!$B$1:$U$1,AE$1)</f>
        <v>0</v>
      </c>
      <c r="AF366" s="179"/>
      <c r="AG366" s="179"/>
      <c r="AH366" s="179"/>
      <c r="AI366" s="179"/>
      <c r="AJ366" s="179"/>
      <c r="AK366" s="179"/>
      <c r="AL366" s="179"/>
      <c r="AM366" s="179"/>
    </row>
    <row r="367" spans="1:39" x14ac:dyDescent="0.2">
      <c r="A367" s="32">
        <f t="shared" ca="1" si="5"/>
        <v>46116</v>
      </c>
      <c r="B367" s="179">
        <f>SUMIFS('recurring2_based on steps'!$B367:$AY367,'recurring2_based on steps'!$B$1:$AY$1,B$1)+SUMIFS('changes2_based on steps'!$B367:$U367,'changes2_based on steps'!$B$1:$U$1,B$1)</f>
        <v>0</v>
      </c>
      <c r="C367" s="179">
        <f>SUMIFS('recurring2_based on steps'!$B367:$AY367,'recurring2_based on steps'!$B$1:$AY$1,C$1)+SUMIFS('changes2_based on steps'!$B367:$U367,'changes2_based on steps'!$B$1:$U$1,C$1)</f>
        <v>0</v>
      </c>
      <c r="D367" s="179">
        <f>SUMIFS('recurring2_based on steps'!$B367:$AY367,'recurring2_based on steps'!$B$1:$AY$1,D$1)+SUMIFS('changes2_based on steps'!$B367:$U367,'changes2_based on steps'!$B$1:$U$1,D$1)</f>
        <v>0</v>
      </c>
      <c r="E367" s="179">
        <f>SUMIFS('recurring2_based on steps'!$B367:$AY367,'recurring2_based on steps'!$B$1:$AY$1,E$1)+SUMIFS('changes2_based on steps'!$B367:$U367,'changes2_based on steps'!$B$1:$U$1,E$1)</f>
        <v>0</v>
      </c>
      <c r="F367" s="179">
        <f>SUMIFS('recurring2_based on steps'!$B367:$AY367,'recurring2_based on steps'!$B$1:$AY$1,F$1)+SUMIFS('changes2_based on steps'!$B367:$U367,'changes2_based on steps'!$B$1:$U$1,F$1)</f>
        <v>0</v>
      </c>
      <c r="G367" s="179">
        <f>SUMIFS('recurring2_based on steps'!$B367:$AY367,'recurring2_based on steps'!$B$1:$AY$1,G$1)+SUMIFS('changes2_based on steps'!$B367:$U367,'changes2_based on steps'!$B$1:$U$1,G$1)</f>
        <v>0</v>
      </c>
      <c r="H367" s="179">
        <f>SUMIFS('recurring2_based on steps'!$B367:$AY367,'recurring2_based on steps'!$B$1:$AY$1,H$1)+SUMIFS('changes2_based on steps'!$B367:$U367,'changes2_based on steps'!$B$1:$U$1,H$1)</f>
        <v>0</v>
      </c>
      <c r="I367" s="179">
        <f>SUMIFS('recurring2_based on steps'!$B367:$AY367,'recurring2_based on steps'!$B$1:$AY$1,I$1)+SUMIFS('changes2_based on steps'!$B367:$U367,'changes2_based on steps'!$B$1:$U$1,I$1)</f>
        <v>0</v>
      </c>
      <c r="J367" s="179">
        <f>SUMIFS('recurring2_based on steps'!$B367:$AY367,'recurring2_based on steps'!$B$1:$AY$1,J$1)+SUMIFS('changes2_based on steps'!$B367:$U367,'changes2_based on steps'!$B$1:$U$1,J$1)</f>
        <v>0</v>
      </c>
      <c r="K367" s="179">
        <f>SUMIFS('recurring2_based on steps'!$B367:$AY367,'recurring2_based on steps'!$B$1:$AY$1,K$1)+SUMIFS('changes2_based on steps'!$B367:$U367,'changes2_based on steps'!$B$1:$U$1,K$1)</f>
        <v>0</v>
      </c>
      <c r="L367" s="179">
        <f>SUMIFS('recurring2_based on steps'!$B367:$AY367,'recurring2_based on steps'!$B$1:$AY$1,L$1)+SUMIFS('changes2_based on steps'!$B367:$U367,'changes2_based on steps'!$B$1:$U$1,L$1)</f>
        <v>0</v>
      </c>
      <c r="M367" s="179">
        <f>SUMIFS('recurring2_based on steps'!$B367:$AY367,'recurring2_based on steps'!$B$1:$AY$1,M$1)+SUMIFS('changes2_based on steps'!$B367:$U367,'changes2_based on steps'!$B$1:$U$1,M$1)</f>
        <v>0</v>
      </c>
      <c r="N367" s="179">
        <f>SUMIFS('recurring2_based on steps'!$B367:$AY367,'recurring2_based on steps'!$B$1:$AY$1,N$1)+SUMIFS('changes2_based on steps'!$B367:$U367,'changes2_based on steps'!$B$1:$U$1,N$1)</f>
        <v>0</v>
      </c>
      <c r="O367" s="179">
        <f>SUMIFS('recurring2_based on steps'!$B367:$AY367,'recurring2_based on steps'!$B$1:$AY$1,O$1)+SUMIFS('changes2_based on steps'!$B367:$U367,'changes2_based on steps'!$B$1:$U$1,O$1)</f>
        <v>0</v>
      </c>
      <c r="P367" s="179">
        <f>SUMIFS('recurring2_based on steps'!$B367:$AY367,'recurring2_based on steps'!$B$1:$AY$1,P$1)+SUMIFS('changes2_based on steps'!$B367:$U367,'changes2_based on steps'!$B$1:$U$1,P$1)</f>
        <v>0</v>
      </c>
      <c r="Q367" s="179">
        <f>SUMIFS('recurring2_based on steps'!$B367:$AY367,'recurring2_based on steps'!$B$1:$AY$1,Q$1)+SUMIFS('changes2_based on steps'!$B367:$U367,'changes2_based on steps'!$B$1:$U$1,Q$1)</f>
        <v>0</v>
      </c>
      <c r="R367" s="179">
        <f>SUMIFS('recurring2_based on steps'!$B367:$AY367,'recurring2_based on steps'!$B$1:$AY$1,R$1)+SUMIFS('changes2_based on steps'!$B367:$U367,'changes2_based on steps'!$B$1:$U$1,R$1)</f>
        <v>0</v>
      </c>
      <c r="S367" s="179">
        <f>SUMIFS('recurring2_based on steps'!$B367:$AY367,'recurring2_based on steps'!$B$1:$AY$1,S$1)+SUMIFS('changes2_based on steps'!$B367:$U367,'changes2_based on steps'!$B$1:$U$1,S$1)</f>
        <v>0</v>
      </c>
      <c r="T367" s="179">
        <f>SUMIFS('recurring2_based on steps'!$B367:$AY367,'recurring2_based on steps'!$B$1:$AY$1,T$1)+SUMIFS('changes2_based on steps'!$B367:$U367,'changes2_based on steps'!$B$1:$U$1,T$1)</f>
        <v>0</v>
      </c>
      <c r="U367" s="179">
        <f>SUMIFS('recurring2_based on steps'!$B367:$AY367,'recurring2_based on steps'!$B$1:$AY$1,U$1)+SUMIFS('changes2_based on steps'!$B367:$U367,'changes2_based on steps'!$B$1:$U$1,U$1)</f>
        <v>0</v>
      </c>
      <c r="V367" s="179">
        <f>SUMIFS('recurring2_based on steps'!$B367:$AY367,'recurring2_based on steps'!$B$1:$AY$1,V$1)+SUMIFS('changes2_based on steps'!$B367:$U367,'changes2_based on steps'!$B$1:$U$1,V$1)</f>
        <v>0</v>
      </c>
      <c r="W367" s="179">
        <f>SUMIFS('recurring2_based on steps'!$B367:$AY367,'recurring2_based on steps'!$B$1:$AY$1,W$1)+SUMIFS('changes2_based on steps'!$B367:$U367,'changes2_based on steps'!$B$1:$U$1,W$1)</f>
        <v>0</v>
      </c>
      <c r="X367" s="179">
        <f>SUMIFS('recurring2_based on steps'!$B367:$AY367,'recurring2_based on steps'!$B$1:$AY$1,X$1)+SUMIFS('changes2_based on steps'!$B367:$U367,'changes2_based on steps'!$B$1:$U$1,X$1)</f>
        <v>0</v>
      </c>
      <c r="Y367" s="179">
        <f>SUMIFS('recurring2_based on steps'!$B367:$AY367,'recurring2_based on steps'!$B$1:$AY$1,Y$1)+SUMIFS('changes2_based on steps'!$B367:$U367,'changes2_based on steps'!$B$1:$U$1,Y$1)</f>
        <v>0</v>
      </c>
      <c r="Z367" s="179">
        <f>SUMIFS('recurring2_based on steps'!$B367:$AY367,'recurring2_based on steps'!$B$1:$AY$1,Z$1)+SUMIFS('changes2_based on steps'!$B367:$U367,'changes2_based on steps'!$B$1:$U$1,Z$1)</f>
        <v>0</v>
      </c>
      <c r="AA367" s="179">
        <f>SUMIFS('recurring2_based on steps'!$B367:$AY367,'recurring2_based on steps'!$B$1:$AY$1,AA$1)+SUMIFS('changes2_based on steps'!$B367:$U367,'changes2_based on steps'!$B$1:$U$1,AA$1)</f>
        <v>0</v>
      </c>
      <c r="AB367" s="179">
        <f>SUMIFS('recurring2_based on steps'!$B367:$AY367,'recurring2_based on steps'!$B$1:$AY$1,AB$1)+SUMIFS('changes2_based on steps'!$B367:$U367,'changes2_based on steps'!$B$1:$U$1,AB$1)</f>
        <v>0</v>
      </c>
      <c r="AC367" s="179">
        <f>SUMIFS('recurring2_based on steps'!$B367:$AY367,'recurring2_based on steps'!$B$1:$AY$1,AC$1)+SUMIFS('changes2_based on steps'!$B367:$U367,'changes2_based on steps'!$B$1:$U$1,AC$1)</f>
        <v>0</v>
      </c>
      <c r="AD367" s="179">
        <f>SUMIFS('recurring2_based on steps'!$B367:$AY367,'recurring2_based on steps'!$B$1:$AY$1,AD$1)+SUMIFS('changes2_based on steps'!$B367:$U367,'changes2_based on steps'!$B$1:$U$1,AD$1)</f>
        <v>0</v>
      </c>
      <c r="AE367" s="179">
        <f>SUMIFS('recurring2_based on steps'!$B367:$AY367,'recurring2_based on steps'!$B$1:$AY$1,AE$1)+SUMIFS('changes2_based on steps'!$B367:$U367,'changes2_based on steps'!$B$1:$U$1,AE$1)</f>
        <v>0</v>
      </c>
      <c r="AF367" s="179"/>
      <c r="AG367" s="179"/>
      <c r="AH367" s="179"/>
      <c r="AI367" s="179"/>
      <c r="AJ367" s="179"/>
      <c r="AK367" s="179"/>
      <c r="AL367" s="179"/>
      <c r="AM367" s="179"/>
    </row>
    <row r="368" spans="1:39" x14ac:dyDescent="0.2">
      <c r="A368" s="32">
        <f t="shared" ca="1" si="5"/>
        <v>46117</v>
      </c>
      <c r="B368" s="179">
        <f>SUMIFS('recurring2_based on steps'!$B368:$AY368,'recurring2_based on steps'!$B$1:$AY$1,B$1)+SUMIFS('changes2_based on steps'!$B368:$U368,'changes2_based on steps'!$B$1:$U$1,B$1)</f>
        <v>0</v>
      </c>
      <c r="C368" s="179">
        <f>SUMIFS('recurring2_based on steps'!$B368:$AY368,'recurring2_based on steps'!$B$1:$AY$1,C$1)+SUMIFS('changes2_based on steps'!$B368:$U368,'changes2_based on steps'!$B$1:$U$1,C$1)</f>
        <v>0</v>
      </c>
      <c r="D368" s="179">
        <f>SUMIFS('recurring2_based on steps'!$B368:$AY368,'recurring2_based on steps'!$B$1:$AY$1,D$1)+SUMIFS('changes2_based on steps'!$B368:$U368,'changes2_based on steps'!$B$1:$U$1,D$1)</f>
        <v>0</v>
      </c>
      <c r="E368" s="179">
        <f>SUMIFS('recurring2_based on steps'!$B368:$AY368,'recurring2_based on steps'!$B$1:$AY$1,E$1)+SUMIFS('changes2_based on steps'!$B368:$U368,'changes2_based on steps'!$B$1:$U$1,E$1)</f>
        <v>0</v>
      </c>
      <c r="F368" s="179">
        <f>SUMIFS('recurring2_based on steps'!$B368:$AY368,'recurring2_based on steps'!$B$1:$AY$1,F$1)+SUMIFS('changes2_based on steps'!$B368:$U368,'changes2_based on steps'!$B$1:$U$1,F$1)</f>
        <v>0</v>
      </c>
      <c r="G368" s="179">
        <f>SUMIFS('recurring2_based on steps'!$B368:$AY368,'recurring2_based on steps'!$B$1:$AY$1,G$1)+SUMIFS('changes2_based on steps'!$B368:$U368,'changes2_based on steps'!$B$1:$U$1,G$1)</f>
        <v>0</v>
      </c>
      <c r="H368" s="179">
        <f>SUMIFS('recurring2_based on steps'!$B368:$AY368,'recurring2_based on steps'!$B$1:$AY$1,H$1)+SUMIFS('changes2_based on steps'!$B368:$U368,'changes2_based on steps'!$B$1:$U$1,H$1)</f>
        <v>0</v>
      </c>
      <c r="I368" s="179">
        <f>SUMIFS('recurring2_based on steps'!$B368:$AY368,'recurring2_based on steps'!$B$1:$AY$1,I$1)+SUMIFS('changes2_based on steps'!$B368:$U368,'changes2_based on steps'!$B$1:$U$1,I$1)</f>
        <v>0</v>
      </c>
      <c r="J368" s="179">
        <f>SUMIFS('recurring2_based on steps'!$B368:$AY368,'recurring2_based on steps'!$B$1:$AY$1,J$1)+SUMIFS('changes2_based on steps'!$B368:$U368,'changes2_based on steps'!$B$1:$U$1,J$1)</f>
        <v>0</v>
      </c>
      <c r="K368" s="179">
        <f>SUMIFS('recurring2_based on steps'!$B368:$AY368,'recurring2_based on steps'!$B$1:$AY$1,K$1)+SUMIFS('changes2_based on steps'!$B368:$U368,'changes2_based on steps'!$B$1:$U$1,K$1)</f>
        <v>0</v>
      </c>
      <c r="L368" s="179">
        <f>SUMIFS('recurring2_based on steps'!$B368:$AY368,'recurring2_based on steps'!$B$1:$AY$1,L$1)+SUMIFS('changes2_based on steps'!$B368:$U368,'changes2_based on steps'!$B$1:$U$1,L$1)</f>
        <v>0</v>
      </c>
      <c r="M368" s="179">
        <f>SUMIFS('recurring2_based on steps'!$B368:$AY368,'recurring2_based on steps'!$B$1:$AY$1,M$1)+SUMIFS('changes2_based on steps'!$B368:$U368,'changes2_based on steps'!$B$1:$U$1,M$1)</f>
        <v>0</v>
      </c>
      <c r="N368" s="179">
        <f>SUMIFS('recurring2_based on steps'!$B368:$AY368,'recurring2_based on steps'!$B$1:$AY$1,N$1)+SUMIFS('changes2_based on steps'!$B368:$U368,'changes2_based on steps'!$B$1:$U$1,N$1)</f>
        <v>0</v>
      </c>
      <c r="O368" s="179">
        <f>SUMIFS('recurring2_based on steps'!$B368:$AY368,'recurring2_based on steps'!$B$1:$AY$1,O$1)+SUMIFS('changes2_based on steps'!$B368:$U368,'changes2_based on steps'!$B$1:$U$1,O$1)</f>
        <v>0</v>
      </c>
      <c r="P368" s="179">
        <f>SUMIFS('recurring2_based on steps'!$B368:$AY368,'recurring2_based on steps'!$B$1:$AY$1,P$1)+SUMIFS('changes2_based on steps'!$B368:$U368,'changes2_based on steps'!$B$1:$U$1,P$1)</f>
        <v>0</v>
      </c>
      <c r="Q368" s="179">
        <f>SUMIFS('recurring2_based on steps'!$B368:$AY368,'recurring2_based on steps'!$B$1:$AY$1,Q$1)+SUMIFS('changes2_based on steps'!$B368:$U368,'changes2_based on steps'!$B$1:$U$1,Q$1)</f>
        <v>0</v>
      </c>
      <c r="R368" s="179">
        <f>SUMIFS('recurring2_based on steps'!$B368:$AY368,'recurring2_based on steps'!$B$1:$AY$1,R$1)+SUMIFS('changes2_based on steps'!$B368:$U368,'changes2_based on steps'!$B$1:$U$1,R$1)</f>
        <v>0</v>
      </c>
      <c r="S368" s="179">
        <f>SUMIFS('recurring2_based on steps'!$B368:$AY368,'recurring2_based on steps'!$B$1:$AY$1,S$1)+SUMIFS('changes2_based on steps'!$B368:$U368,'changes2_based on steps'!$B$1:$U$1,S$1)</f>
        <v>0</v>
      </c>
      <c r="T368" s="179">
        <f>SUMIFS('recurring2_based on steps'!$B368:$AY368,'recurring2_based on steps'!$B$1:$AY$1,T$1)+SUMIFS('changes2_based on steps'!$B368:$U368,'changes2_based on steps'!$B$1:$U$1,T$1)</f>
        <v>0</v>
      </c>
      <c r="U368" s="179">
        <f>SUMIFS('recurring2_based on steps'!$B368:$AY368,'recurring2_based on steps'!$B$1:$AY$1,U$1)+SUMIFS('changes2_based on steps'!$B368:$U368,'changes2_based on steps'!$B$1:$U$1,U$1)</f>
        <v>0</v>
      </c>
      <c r="V368" s="179">
        <f>SUMIFS('recurring2_based on steps'!$B368:$AY368,'recurring2_based on steps'!$B$1:$AY$1,V$1)+SUMIFS('changes2_based on steps'!$B368:$U368,'changes2_based on steps'!$B$1:$U$1,V$1)</f>
        <v>0</v>
      </c>
      <c r="W368" s="179">
        <f>SUMIFS('recurring2_based on steps'!$B368:$AY368,'recurring2_based on steps'!$B$1:$AY$1,W$1)+SUMIFS('changes2_based on steps'!$B368:$U368,'changes2_based on steps'!$B$1:$U$1,W$1)</f>
        <v>0</v>
      </c>
      <c r="X368" s="179">
        <f>SUMIFS('recurring2_based on steps'!$B368:$AY368,'recurring2_based on steps'!$B$1:$AY$1,X$1)+SUMIFS('changes2_based on steps'!$B368:$U368,'changes2_based on steps'!$B$1:$U$1,X$1)</f>
        <v>0</v>
      </c>
      <c r="Y368" s="179">
        <f>SUMIFS('recurring2_based on steps'!$B368:$AY368,'recurring2_based on steps'!$B$1:$AY$1,Y$1)+SUMIFS('changes2_based on steps'!$B368:$U368,'changes2_based on steps'!$B$1:$U$1,Y$1)</f>
        <v>0</v>
      </c>
      <c r="Z368" s="179">
        <f>SUMIFS('recurring2_based on steps'!$B368:$AY368,'recurring2_based on steps'!$B$1:$AY$1,Z$1)+SUMIFS('changes2_based on steps'!$B368:$U368,'changes2_based on steps'!$B$1:$U$1,Z$1)</f>
        <v>0</v>
      </c>
      <c r="AA368" s="179">
        <f>SUMIFS('recurring2_based on steps'!$B368:$AY368,'recurring2_based on steps'!$B$1:$AY$1,AA$1)+SUMIFS('changes2_based on steps'!$B368:$U368,'changes2_based on steps'!$B$1:$U$1,AA$1)</f>
        <v>0</v>
      </c>
      <c r="AB368" s="179">
        <f>SUMIFS('recurring2_based on steps'!$B368:$AY368,'recurring2_based on steps'!$B$1:$AY$1,AB$1)+SUMIFS('changes2_based on steps'!$B368:$U368,'changes2_based on steps'!$B$1:$U$1,AB$1)</f>
        <v>0</v>
      </c>
      <c r="AC368" s="179">
        <f>SUMIFS('recurring2_based on steps'!$B368:$AY368,'recurring2_based on steps'!$B$1:$AY$1,AC$1)+SUMIFS('changes2_based on steps'!$B368:$U368,'changes2_based on steps'!$B$1:$U$1,AC$1)</f>
        <v>0</v>
      </c>
      <c r="AD368" s="179">
        <f>SUMIFS('recurring2_based on steps'!$B368:$AY368,'recurring2_based on steps'!$B$1:$AY$1,AD$1)+SUMIFS('changes2_based on steps'!$B368:$U368,'changes2_based on steps'!$B$1:$U$1,AD$1)</f>
        <v>0</v>
      </c>
      <c r="AE368" s="179">
        <f>SUMIFS('recurring2_based on steps'!$B368:$AY368,'recurring2_based on steps'!$B$1:$AY$1,AE$1)+SUMIFS('changes2_based on steps'!$B368:$U368,'changes2_based on steps'!$B$1:$U$1,AE$1)</f>
        <v>0</v>
      </c>
      <c r="AF368" s="179"/>
      <c r="AG368" s="179"/>
      <c r="AH368" s="179"/>
      <c r="AI368" s="179"/>
      <c r="AJ368" s="179"/>
      <c r="AK368" s="179"/>
      <c r="AL368" s="179"/>
      <c r="AM368" s="179"/>
    </row>
    <row r="369" spans="1:39" x14ac:dyDescent="0.2">
      <c r="A369" s="32">
        <f t="shared" ca="1" si="5"/>
        <v>46118</v>
      </c>
      <c r="B369" s="179">
        <f>SUMIFS('recurring2_based on steps'!$B369:$AY369,'recurring2_based on steps'!$B$1:$AY$1,B$1)+SUMIFS('changes2_based on steps'!$B369:$U369,'changes2_based on steps'!$B$1:$U$1,B$1)</f>
        <v>0</v>
      </c>
      <c r="C369" s="179">
        <f>SUMIFS('recurring2_based on steps'!$B369:$AY369,'recurring2_based on steps'!$B$1:$AY$1,C$1)+SUMIFS('changes2_based on steps'!$B369:$U369,'changes2_based on steps'!$B$1:$U$1,C$1)</f>
        <v>0</v>
      </c>
      <c r="D369" s="179">
        <f>SUMIFS('recurring2_based on steps'!$B369:$AY369,'recurring2_based on steps'!$B$1:$AY$1,D$1)+SUMIFS('changes2_based on steps'!$B369:$U369,'changes2_based on steps'!$B$1:$U$1,D$1)</f>
        <v>0</v>
      </c>
      <c r="E369" s="179">
        <f>SUMIFS('recurring2_based on steps'!$B369:$AY369,'recurring2_based on steps'!$B$1:$AY$1,E$1)+SUMIFS('changes2_based on steps'!$B369:$U369,'changes2_based on steps'!$B$1:$U$1,E$1)</f>
        <v>0</v>
      </c>
      <c r="F369" s="179">
        <f>SUMIFS('recurring2_based on steps'!$B369:$AY369,'recurring2_based on steps'!$B$1:$AY$1,F$1)+SUMIFS('changes2_based on steps'!$B369:$U369,'changes2_based on steps'!$B$1:$U$1,F$1)</f>
        <v>0</v>
      </c>
      <c r="G369" s="179">
        <f>SUMIFS('recurring2_based on steps'!$B369:$AY369,'recurring2_based on steps'!$B$1:$AY$1,G$1)+SUMIFS('changes2_based on steps'!$B369:$U369,'changes2_based on steps'!$B$1:$U$1,G$1)</f>
        <v>0</v>
      </c>
      <c r="H369" s="179">
        <f>SUMIFS('recurring2_based on steps'!$B369:$AY369,'recurring2_based on steps'!$B$1:$AY$1,H$1)+SUMIFS('changes2_based on steps'!$B369:$U369,'changes2_based on steps'!$B$1:$U$1,H$1)</f>
        <v>0</v>
      </c>
      <c r="I369" s="179">
        <f>SUMIFS('recurring2_based on steps'!$B369:$AY369,'recurring2_based on steps'!$B$1:$AY$1,I$1)+SUMIFS('changes2_based on steps'!$B369:$U369,'changes2_based on steps'!$B$1:$U$1,I$1)</f>
        <v>0</v>
      </c>
      <c r="J369" s="179">
        <f>SUMIFS('recurring2_based on steps'!$B369:$AY369,'recurring2_based on steps'!$B$1:$AY$1,J$1)+SUMIFS('changes2_based on steps'!$B369:$U369,'changes2_based on steps'!$B$1:$U$1,J$1)</f>
        <v>0</v>
      </c>
      <c r="K369" s="179">
        <f>SUMIFS('recurring2_based on steps'!$B369:$AY369,'recurring2_based on steps'!$B$1:$AY$1,K$1)+SUMIFS('changes2_based on steps'!$B369:$U369,'changes2_based on steps'!$B$1:$U$1,K$1)</f>
        <v>0</v>
      </c>
      <c r="L369" s="179">
        <f>SUMIFS('recurring2_based on steps'!$B369:$AY369,'recurring2_based on steps'!$B$1:$AY$1,L$1)+SUMIFS('changes2_based on steps'!$B369:$U369,'changes2_based on steps'!$B$1:$U$1,L$1)</f>
        <v>0</v>
      </c>
      <c r="M369" s="179">
        <f>SUMIFS('recurring2_based on steps'!$B369:$AY369,'recurring2_based on steps'!$B$1:$AY$1,M$1)+SUMIFS('changes2_based on steps'!$B369:$U369,'changes2_based on steps'!$B$1:$U$1,M$1)</f>
        <v>0</v>
      </c>
      <c r="N369" s="179">
        <f>SUMIFS('recurring2_based on steps'!$B369:$AY369,'recurring2_based on steps'!$B$1:$AY$1,N$1)+SUMIFS('changes2_based on steps'!$B369:$U369,'changes2_based on steps'!$B$1:$U$1,N$1)</f>
        <v>0</v>
      </c>
      <c r="O369" s="179">
        <f>SUMIFS('recurring2_based on steps'!$B369:$AY369,'recurring2_based on steps'!$B$1:$AY$1,O$1)+SUMIFS('changes2_based on steps'!$B369:$U369,'changes2_based on steps'!$B$1:$U$1,O$1)</f>
        <v>0</v>
      </c>
      <c r="P369" s="179">
        <f>SUMIFS('recurring2_based on steps'!$B369:$AY369,'recurring2_based on steps'!$B$1:$AY$1,P$1)+SUMIFS('changes2_based on steps'!$B369:$U369,'changes2_based on steps'!$B$1:$U$1,P$1)</f>
        <v>0</v>
      </c>
      <c r="Q369" s="179">
        <f>SUMIFS('recurring2_based on steps'!$B369:$AY369,'recurring2_based on steps'!$B$1:$AY$1,Q$1)+SUMIFS('changes2_based on steps'!$B369:$U369,'changes2_based on steps'!$B$1:$U$1,Q$1)</f>
        <v>0</v>
      </c>
      <c r="R369" s="179">
        <f>SUMIFS('recurring2_based on steps'!$B369:$AY369,'recurring2_based on steps'!$B$1:$AY$1,R$1)+SUMIFS('changes2_based on steps'!$B369:$U369,'changes2_based on steps'!$B$1:$U$1,R$1)</f>
        <v>0</v>
      </c>
      <c r="S369" s="179">
        <f>SUMIFS('recurring2_based on steps'!$B369:$AY369,'recurring2_based on steps'!$B$1:$AY$1,S$1)+SUMIFS('changes2_based on steps'!$B369:$U369,'changes2_based on steps'!$B$1:$U$1,S$1)</f>
        <v>0</v>
      </c>
      <c r="T369" s="179">
        <f>SUMIFS('recurring2_based on steps'!$B369:$AY369,'recurring2_based on steps'!$B$1:$AY$1,T$1)+SUMIFS('changes2_based on steps'!$B369:$U369,'changes2_based on steps'!$B$1:$U$1,T$1)</f>
        <v>0</v>
      </c>
      <c r="U369" s="179">
        <f>SUMIFS('recurring2_based on steps'!$B369:$AY369,'recurring2_based on steps'!$B$1:$AY$1,U$1)+SUMIFS('changes2_based on steps'!$B369:$U369,'changes2_based on steps'!$B$1:$U$1,U$1)</f>
        <v>0</v>
      </c>
      <c r="V369" s="179">
        <f>SUMIFS('recurring2_based on steps'!$B369:$AY369,'recurring2_based on steps'!$B$1:$AY$1,V$1)+SUMIFS('changes2_based on steps'!$B369:$U369,'changes2_based on steps'!$B$1:$U$1,V$1)</f>
        <v>0</v>
      </c>
      <c r="W369" s="179">
        <f>SUMIFS('recurring2_based on steps'!$B369:$AY369,'recurring2_based on steps'!$B$1:$AY$1,W$1)+SUMIFS('changes2_based on steps'!$B369:$U369,'changes2_based on steps'!$B$1:$U$1,W$1)</f>
        <v>0</v>
      </c>
      <c r="X369" s="179">
        <f>SUMIFS('recurring2_based on steps'!$B369:$AY369,'recurring2_based on steps'!$B$1:$AY$1,X$1)+SUMIFS('changes2_based on steps'!$B369:$U369,'changes2_based on steps'!$B$1:$U$1,X$1)</f>
        <v>0</v>
      </c>
      <c r="Y369" s="179">
        <f>SUMIFS('recurring2_based on steps'!$B369:$AY369,'recurring2_based on steps'!$B$1:$AY$1,Y$1)+SUMIFS('changes2_based on steps'!$B369:$U369,'changes2_based on steps'!$B$1:$U$1,Y$1)</f>
        <v>0</v>
      </c>
      <c r="Z369" s="179">
        <f>SUMIFS('recurring2_based on steps'!$B369:$AY369,'recurring2_based on steps'!$B$1:$AY$1,Z$1)+SUMIFS('changes2_based on steps'!$B369:$U369,'changes2_based on steps'!$B$1:$U$1,Z$1)</f>
        <v>0</v>
      </c>
      <c r="AA369" s="179">
        <f>SUMIFS('recurring2_based on steps'!$B369:$AY369,'recurring2_based on steps'!$B$1:$AY$1,AA$1)+SUMIFS('changes2_based on steps'!$B369:$U369,'changes2_based on steps'!$B$1:$U$1,AA$1)</f>
        <v>0</v>
      </c>
      <c r="AB369" s="179">
        <f>SUMIFS('recurring2_based on steps'!$B369:$AY369,'recurring2_based on steps'!$B$1:$AY$1,AB$1)+SUMIFS('changes2_based on steps'!$B369:$U369,'changes2_based on steps'!$B$1:$U$1,AB$1)</f>
        <v>0</v>
      </c>
      <c r="AC369" s="179">
        <f>SUMIFS('recurring2_based on steps'!$B369:$AY369,'recurring2_based on steps'!$B$1:$AY$1,AC$1)+SUMIFS('changes2_based on steps'!$B369:$U369,'changes2_based on steps'!$B$1:$U$1,AC$1)</f>
        <v>0</v>
      </c>
      <c r="AD369" s="179">
        <f>SUMIFS('recurring2_based on steps'!$B369:$AY369,'recurring2_based on steps'!$B$1:$AY$1,AD$1)+SUMIFS('changes2_based on steps'!$B369:$U369,'changes2_based on steps'!$B$1:$U$1,AD$1)</f>
        <v>0</v>
      </c>
      <c r="AE369" s="179">
        <f>SUMIFS('recurring2_based on steps'!$B369:$AY369,'recurring2_based on steps'!$B$1:$AY$1,AE$1)+SUMIFS('changes2_based on steps'!$B369:$U369,'changes2_based on steps'!$B$1:$U$1,AE$1)</f>
        <v>0</v>
      </c>
      <c r="AF369" s="179"/>
      <c r="AG369" s="179"/>
      <c r="AH369" s="179"/>
      <c r="AI369" s="179"/>
      <c r="AJ369" s="179"/>
      <c r="AK369" s="179"/>
      <c r="AL369" s="179"/>
      <c r="AM369" s="179"/>
    </row>
    <row r="370" spans="1:39" x14ac:dyDescent="0.2">
      <c r="A370" s="32"/>
      <c r="B370" s="32"/>
      <c r="C370" s="32"/>
      <c r="D370" s="32"/>
      <c r="E370" s="32"/>
      <c r="F370" s="32"/>
      <c r="G370" s="32"/>
      <c r="H370" s="32"/>
      <c r="I370" s="32"/>
      <c r="J370" s="32"/>
      <c r="K370" s="32"/>
      <c r="L370" s="32"/>
      <c r="M370" s="32"/>
      <c r="N370" s="32"/>
      <c r="O370" s="32"/>
      <c r="P370" s="32"/>
      <c r="Q370" s="32"/>
      <c r="R370" s="32"/>
      <c r="S370" s="32"/>
      <c r="T370" s="32"/>
      <c r="U370" s="32"/>
      <c r="V370" s="32"/>
      <c r="W370" s="32"/>
      <c r="X370" s="32"/>
      <c r="Y370" s="32"/>
      <c r="Z370" s="32"/>
      <c r="AA370" s="32"/>
      <c r="AB370" s="32"/>
      <c r="AC370" s="32"/>
      <c r="AD370" s="32"/>
      <c r="AE370" s="32"/>
      <c r="AF370" s="32"/>
      <c r="AG370" s="32"/>
      <c r="AH370" s="32"/>
      <c r="AI370" s="32"/>
      <c r="AJ370" s="32"/>
      <c r="AK370" s="32"/>
      <c r="AL370" s="32"/>
    </row>
    <row r="371" spans="1:39" x14ac:dyDescent="0.2">
      <c r="A371" s="32"/>
      <c r="B371" s="32"/>
      <c r="C371" s="32"/>
      <c r="D371" s="32"/>
      <c r="E371" s="32"/>
      <c r="F371" s="32"/>
      <c r="G371" s="32"/>
      <c r="H371" s="32"/>
      <c r="I371" s="32"/>
      <c r="J371" s="32"/>
      <c r="K371" s="32"/>
      <c r="L371" s="32"/>
      <c r="M371" s="32"/>
      <c r="N371" s="32"/>
      <c r="O371" s="32"/>
      <c r="P371" s="32"/>
      <c r="Q371" s="32"/>
      <c r="R371" s="32"/>
      <c r="S371" s="32"/>
      <c r="T371" s="32"/>
      <c r="U371" s="32"/>
      <c r="V371" s="32"/>
      <c r="W371" s="32"/>
      <c r="X371" s="32"/>
      <c r="Y371" s="32"/>
      <c r="Z371" s="32"/>
      <c r="AA371" s="32"/>
      <c r="AB371" s="32"/>
      <c r="AC371" s="32"/>
      <c r="AD371" s="32"/>
      <c r="AE371" s="32"/>
      <c r="AF371" s="32"/>
      <c r="AG371" s="32"/>
      <c r="AH371" s="32"/>
      <c r="AI371" s="32"/>
      <c r="AJ371" s="32"/>
      <c r="AK371" s="32"/>
      <c r="AL371" s="32"/>
    </row>
    <row r="372" spans="1:39" x14ac:dyDescent="0.2">
      <c r="A372" s="32"/>
      <c r="B372" s="32"/>
      <c r="C372" s="32"/>
      <c r="D372" s="32"/>
      <c r="E372" s="32"/>
      <c r="F372" s="32"/>
      <c r="G372" s="32"/>
      <c r="H372" s="32"/>
      <c r="I372" s="32"/>
      <c r="J372" s="32"/>
      <c r="K372" s="32"/>
      <c r="L372" s="32"/>
      <c r="M372" s="32"/>
      <c r="N372" s="32"/>
      <c r="O372" s="32"/>
      <c r="P372" s="32"/>
      <c r="Q372" s="32"/>
      <c r="R372" s="32"/>
      <c r="S372" s="32"/>
      <c r="T372" s="32"/>
      <c r="U372" s="32"/>
      <c r="V372" s="32"/>
      <c r="W372" s="32"/>
      <c r="X372" s="32"/>
      <c r="Y372" s="32"/>
      <c r="Z372" s="32"/>
      <c r="AA372" s="32"/>
      <c r="AB372" s="32"/>
      <c r="AC372" s="32"/>
      <c r="AD372" s="32"/>
      <c r="AE372" s="32"/>
      <c r="AF372" s="32"/>
      <c r="AG372" s="32"/>
      <c r="AH372" s="32"/>
      <c r="AI372" s="32"/>
      <c r="AJ372" s="32"/>
      <c r="AK372" s="32"/>
      <c r="AL372" s="32"/>
    </row>
    <row r="373" spans="1:39" x14ac:dyDescent="0.2">
      <c r="A373" s="32"/>
      <c r="B373" s="32"/>
      <c r="C373" s="32"/>
      <c r="D373" s="32"/>
      <c r="E373" s="32"/>
      <c r="F373" s="32"/>
      <c r="G373" s="32"/>
      <c r="H373" s="32"/>
      <c r="I373" s="32"/>
      <c r="J373" s="32"/>
      <c r="K373" s="32"/>
      <c r="L373" s="32"/>
      <c r="M373" s="32"/>
      <c r="N373" s="32"/>
      <c r="O373" s="32"/>
      <c r="P373" s="32"/>
      <c r="Q373" s="32"/>
      <c r="R373" s="32"/>
      <c r="S373" s="32"/>
      <c r="T373" s="32"/>
      <c r="U373" s="32"/>
      <c r="V373" s="32"/>
      <c r="W373" s="32"/>
      <c r="X373" s="32"/>
      <c r="Y373" s="32"/>
      <c r="Z373" s="32"/>
      <c r="AA373" s="32"/>
      <c r="AB373" s="32"/>
      <c r="AC373" s="32"/>
      <c r="AD373" s="32"/>
      <c r="AE373" s="32"/>
      <c r="AF373" s="32"/>
      <c r="AG373" s="32"/>
      <c r="AH373" s="32"/>
      <c r="AI373" s="32"/>
      <c r="AJ373" s="32"/>
      <c r="AK373" s="32"/>
      <c r="AL373" s="32"/>
    </row>
    <row r="374" spans="1:39" x14ac:dyDescent="0.2">
      <c r="A374" s="32"/>
      <c r="B374" s="32"/>
      <c r="C374" s="32"/>
      <c r="D374" s="32"/>
      <c r="E374" s="32"/>
      <c r="F374" s="32"/>
      <c r="G374" s="32"/>
      <c r="H374" s="32"/>
      <c r="I374" s="32"/>
      <c r="J374" s="32"/>
      <c r="K374" s="32"/>
      <c r="L374" s="32"/>
      <c r="M374" s="32"/>
      <c r="N374" s="32"/>
      <c r="O374" s="32"/>
      <c r="P374" s="32"/>
      <c r="Q374" s="32"/>
      <c r="R374" s="32"/>
      <c r="S374" s="32"/>
      <c r="T374" s="32"/>
      <c r="U374" s="32"/>
      <c r="V374" s="32"/>
      <c r="W374" s="32"/>
      <c r="X374" s="32"/>
      <c r="Y374" s="32"/>
      <c r="Z374" s="32"/>
      <c r="AA374" s="32"/>
      <c r="AB374" s="32"/>
      <c r="AC374" s="32"/>
      <c r="AD374" s="32"/>
      <c r="AE374" s="32"/>
      <c r="AF374" s="32"/>
      <c r="AG374" s="32"/>
      <c r="AH374" s="32"/>
      <c r="AI374" s="32"/>
      <c r="AJ374" s="32"/>
      <c r="AK374" s="32"/>
      <c r="AL374" s="32"/>
    </row>
    <row r="375" spans="1:39" x14ac:dyDescent="0.2">
      <c r="A375" s="32"/>
      <c r="B375" s="32"/>
      <c r="C375" s="32"/>
      <c r="D375" s="32"/>
      <c r="E375" s="32"/>
      <c r="F375" s="32"/>
      <c r="G375" s="32"/>
      <c r="H375" s="32"/>
      <c r="I375" s="32"/>
      <c r="J375" s="32"/>
      <c r="K375" s="32"/>
      <c r="L375" s="32"/>
      <c r="M375" s="32"/>
      <c r="N375" s="32"/>
      <c r="O375" s="32"/>
      <c r="P375" s="32"/>
      <c r="Q375" s="32"/>
      <c r="R375" s="32"/>
      <c r="S375" s="32"/>
      <c r="T375" s="32"/>
      <c r="U375" s="32"/>
      <c r="V375" s="32"/>
      <c r="W375" s="32"/>
      <c r="X375" s="32"/>
      <c r="Y375" s="32"/>
      <c r="Z375" s="32"/>
      <c r="AA375" s="32"/>
      <c r="AB375" s="32"/>
      <c r="AC375" s="32"/>
      <c r="AD375" s="32"/>
      <c r="AE375" s="32"/>
      <c r="AF375" s="32"/>
      <c r="AG375" s="32"/>
      <c r="AH375" s="32"/>
      <c r="AI375" s="32"/>
      <c r="AJ375" s="32"/>
      <c r="AK375" s="32"/>
      <c r="AL375" s="32"/>
    </row>
    <row r="376" spans="1:39" x14ac:dyDescent="0.2">
      <c r="A376" s="32"/>
      <c r="B376" s="32"/>
      <c r="C376" s="32"/>
      <c r="D376" s="32"/>
      <c r="E376" s="32"/>
      <c r="F376" s="32"/>
      <c r="G376" s="32"/>
      <c r="H376" s="32"/>
      <c r="I376" s="32"/>
      <c r="J376" s="32"/>
      <c r="K376" s="32"/>
      <c r="L376" s="32"/>
      <c r="M376" s="32"/>
      <c r="N376" s="32"/>
      <c r="O376" s="32"/>
      <c r="P376" s="32"/>
      <c r="Q376" s="32"/>
      <c r="R376" s="32"/>
      <c r="S376" s="32"/>
      <c r="T376" s="32"/>
      <c r="U376" s="32"/>
      <c r="V376" s="32"/>
      <c r="W376" s="32"/>
      <c r="X376" s="32"/>
      <c r="Y376" s="32"/>
      <c r="Z376" s="32"/>
      <c r="AA376" s="32"/>
      <c r="AB376" s="32"/>
      <c r="AC376" s="32"/>
      <c r="AD376" s="32"/>
      <c r="AE376" s="32"/>
      <c r="AF376" s="32"/>
      <c r="AG376" s="32"/>
      <c r="AH376" s="32"/>
      <c r="AI376" s="32"/>
      <c r="AJ376" s="32"/>
      <c r="AK376" s="32"/>
      <c r="AL376" s="32"/>
    </row>
    <row r="377" spans="1:39" x14ac:dyDescent="0.2">
      <c r="A377" s="32"/>
      <c r="B377" s="32"/>
      <c r="C377" s="32"/>
      <c r="D377" s="32"/>
      <c r="E377" s="32"/>
      <c r="F377" s="32"/>
      <c r="G377" s="32"/>
      <c r="H377" s="32"/>
      <c r="I377" s="32"/>
      <c r="J377" s="32"/>
      <c r="K377" s="32"/>
      <c r="L377" s="32"/>
      <c r="M377" s="32"/>
      <c r="N377" s="32"/>
      <c r="O377" s="32"/>
      <c r="P377" s="32"/>
      <c r="Q377" s="32"/>
      <c r="R377" s="32"/>
      <c r="S377" s="32"/>
      <c r="T377" s="32"/>
      <c r="U377" s="32"/>
      <c r="V377" s="32"/>
      <c r="W377" s="32"/>
      <c r="X377" s="32"/>
      <c r="Y377" s="32"/>
      <c r="Z377" s="32"/>
      <c r="AA377" s="32"/>
      <c r="AB377" s="32"/>
      <c r="AC377" s="32"/>
      <c r="AD377" s="32"/>
      <c r="AE377" s="32"/>
      <c r="AF377" s="32"/>
      <c r="AG377" s="32"/>
      <c r="AH377" s="32"/>
      <c r="AI377" s="32"/>
      <c r="AJ377" s="32"/>
      <c r="AK377" s="32"/>
      <c r="AL377" s="32"/>
    </row>
    <row r="378" spans="1:39" x14ac:dyDescent="0.2">
      <c r="A378" s="32"/>
      <c r="B378" s="32"/>
      <c r="C378" s="32"/>
      <c r="D378" s="32"/>
      <c r="E378" s="32"/>
      <c r="F378" s="32"/>
      <c r="G378" s="32"/>
      <c r="H378" s="32"/>
      <c r="I378" s="32"/>
      <c r="J378" s="32"/>
      <c r="K378" s="32"/>
      <c r="L378" s="32"/>
      <c r="M378" s="32"/>
      <c r="N378" s="32"/>
      <c r="O378" s="32"/>
      <c r="P378" s="32"/>
      <c r="Q378" s="32"/>
      <c r="R378" s="32"/>
      <c r="S378" s="32"/>
      <c r="T378" s="32"/>
      <c r="U378" s="32"/>
      <c r="V378" s="32"/>
      <c r="W378" s="32"/>
      <c r="X378" s="32"/>
      <c r="Y378" s="32"/>
      <c r="Z378" s="32"/>
      <c r="AA378" s="32"/>
      <c r="AB378" s="32"/>
      <c r="AC378" s="32"/>
      <c r="AD378" s="32"/>
      <c r="AE378" s="32"/>
      <c r="AF378" s="32"/>
      <c r="AG378" s="32"/>
      <c r="AH378" s="32"/>
      <c r="AI378" s="32"/>
      <c r="AJ378" s="32"/>
      <c r="AK378" s="32"/>
      <c r="AL378" s="32"/>
    </row>
    <row r="379" spans="1:39" x14ac:dyDescent="0.2">
      <c r="A379" s="32"/>
      <c r="B379" s="32"/>
      <c r="C379" s="32"/>
      <c r="D379" s="32"/>
      <c r="E379" s="32"/>
      <c r="F379" s="32"/>
      <c r="G379" s="32"/>
      <c r="H379" s="32"/>
      <c r="I379" s="32"/>
      <c r="J379" s="32"/>
      <c r="K379" s="32"/>
      <c r="L379" s="32"/>
      <c r="M379" s="32"/>
      <c r="N379" s="32"/>
      <c r="O379" s="32"/>
      <c r="P379" s="32"/>
      <c r="Q379" s="32"/>
      <c r="R379" s="32"/>
      <c r="S379" s="32"/>
      <c r="T379" s="32"/>
      <c r="U379" s="32"/>
      <c r="V379" s="32"/>
      <c r="W379" s="32"/>
      <c r="X379" s="32"/>
      <c r="Y379" s="32"/>
      <c r="Z379" s="32"/>
      <c r="AA379" s="32"/>
      <c r="AB379" s="32"/>
      <c r="AC379" s="32"/>
      <c r="AD379" s="32"/>
      <c r="AE379" s="32"/>
      <c r="AF379" s="32"/>
      <c r="AG379" s="32"/>
      <c r="AH379" s="32"/>
      <c r="AI379" s="32"/>
      <c r="AJ379" s="32"/>
      <c r="AK379" s="32"/>
      <c r="AL379" s="32"/>
    </row>
    <row r="380" spans="1:39" x14ac:dyDescent="0.2">
      <c r="A380" s="32"/>
      <c r="B380" s="32"/>
      <c r="C380" s="32"/>
      <c r="D380" s="32"/>
      <c r="E380" s="32"/>
      <c r="F380" s="32"/>
      <c r="G380" s="32"/>
      <c r="H380" s="32"/>
      <c r="I380" s="32"/>
      <c r="J380" s="32"/>
      <c r="K380" s="32"/>
      <c r="L380" s="32"/>
      <c r="M380" s="32"/>
      <c r="N380" s="32"/>
      <c r="O380" s="32"/>
      <c r="P380" s="32"/>
      <c r="Q380" s="32"/>
      <c r="R380" s="32"/>
      <c r="S380" s="32"/>
      <c r="T380" s="32"/>
      <c r="U380" s="32"/>
      <c r="V380" s="32"/>
      <c r="W380" s="32"/>
      <c r="X380" s="32"/>
      <c r="Y380" s="32"/>
      <c r="Z380" s="32"/>
      <c r="AA380" s="32"/>
      <c r="AB380" s="32"/>
      <c r="AC380" s="32"/>
      <c r="AD380" s="32"/>
      <c r="AE380" s="32"/>
      <c r="AF380" s="32"/>
      <c r="AG380" s="32"/>
      <c r="AH380" s="32"/>
      <c r="AI380" s="32"/>
      <c r="AJ380" s="32"/>
      <c r="AK380" s="32"/>
      <c r="AL380" s="32"/>
    </row>
    <row r="381" spans="1:39" x14ac:dyDescent="0.2">
      <c r="A381" s="32"/>
      <c r="B381" s="32"/>
      <c r="C381" s="32"/>
      <c r="D381" s="32"/>
      <c r="E381" s="32"/>
      <c r="F381" s="32"/>
      <c r="G381" s="32"/>
      <c r="H381" s="32"/>
      <c r="I381" s="32"/>
      <c r="J381" s="32"/>
      <c r="K381" s="32"/>
      <c r="L381" s="32"/>
      <c r="M381" s="32"/>
      <c r="N381" s="32"/>
      <c r="O381" s="32"/>
      <c r="P381" s="32"/>
      <c r="Q381" s="32"/>
      <c r="R381" s="32"/>
      <c r="S381" s="32"/>
      <c r="T381" s="32"/>
      <c r="U381" s="32"/>
      <c r="V381" s="32"/>
      <c r="W381" s="32"/>
      <c r="X381" s="32"/>
      <c r="Y381" s="32"/>
      <c r="Z381" s="32"/>
      <c r="AA381" s="32"/>
      <c r="AB381" s="32"/>
      <c r="AC381" s="32"/>
      <c r="AD381" s="32"/>
      <c r="AE381" s="32"/>
      <c r="AF381" s="32"/>
      <c r="AG381" s="32"/>
      <c r="AH381" s="32"/>
      <c r="AI381" s="32"/>
      <c r="AJ381" s="32"/>
      <c r="AK381" s="32"/>
      <c r="AL381" s="32"/>
    </row>
    <row r="382" spans="1:39" x14ac:dyDescent="0.2">
      <c r="A382" s="32"/>
      <c r="B382" s="32"/>
      <c r="C382" s="32"/>
      <c r="D382" s="32"/>
      <c r="E382" s="32"/>
      <c r="F382" s="32"/>
      <c r="G382" s="32"/>
      <c r="H382" s="32"/>
      <c r="I382" s="32"/>
      <c r="J382" s="32"/>
      <c r="K382" s="32"/>
      <c r="L382" s="32"/>
      <c r="M382" s="32"/>
      <c r="N382" s="32"/>
      <c r="O382" s="32"/>
      <c r="P382" s="32"/>
      <c r="Q382" s="32"/>
      <c r="R382" s="32"/>
      <c r="S382" s="32"/>
      <c r="T382" s="32"/>
      <c r="U382" s="32"/>
      <c r="V382" s="32"/>
      <c r="W382" s="32"/>
      <c r="X382" s="32"/>
      <c r="Y382" s="32"/>
      <c r="Z382" s="32"/>
      <c r="AA382" s="32"/>
      <c r="AB382" s="32"/>
      <c r="AC382" s="32"/>
      <c r="AD382" s="32"/>
      <c r="AE382" s="32"/>
      <c r="AF382" s="32"/>
      <c r="AG382" s="32"/>
      <c r="AH382" s="32"/>
      <c r="AI382" s="32"/>
      <c r="AJ382" s="32"/>
      <c r="AK382" s="32"/>
      <c r="AL382" s="32"/>
    </row>
    <row r="383" spans="1:39" x14ac:dyDescent="0.2">
      <c r="A383" s="32"/>
      <c r="B383" s="32"/>
      <c r="C383" s="32"/>
      <c r="D383" s="32"/>
      <c r="E383" s="32"/>
      <c r="F383" s="32"/>
      <c r="G383" s="32"/>
      <c r="H383" s="32"/>
      <c r="I383" s="32"/>
      <c r="J383" s="32"/>
      <c r="K383" s="32"/>
      <c r="L383" s="32"/>
      <c r="M383" s="32"/>
      <c r="N383" s="32"/>
      <c r="O383" s="32"/>
      <c r="P383" s="32"/>
      <c r="Q383" s="32"/>
      <c r="R383" s="32"/>
      <c r="S383" s="32"/>
      <c r="T383" s="32"/>
      <c r="U383" s="32"/>
      <c r="V383" s="32"/>
      <c r="W383" s="32"/>
      <c r="X383" s="32"/>
      <c r="Y383" s="32"/>
      <c r="Z383" s="32"/>
      <c r="AA383" s="32"/>
      <c r="AB383" s="32"/>
      <c r="AC383" s="32"/>
      <c r="AD383" s="32"/>
      <c r="AE383" s="32"/>
      <c r="AF383" s="32"/>
      <c r="AG383" s="32"/>
      <c r="AH383" s="32"/>
      <c r="AI383" s="32"/>
      <c r="AJ383" s="32"/>
      <c r="AK383" s="32"/>
      <c r="AL383" s="32"/>
    </row>
    <row r="384" spans="1:39" x14ac:dyDescent="0.2">
      <c r="A384" s="32"/>
      <c r="B384" s="32"/>
      <c r="C384" s="32"/>
      <c r="D384" s="32"/>
      <c r="E384" s="32"/>
      <c r="F384" s="32"/>
      <c r="G384" s="32"/>
      <c r="H384" s="32"/>
      <c r="I384" s="32"/>
      <c r="J384" s="32"/>
      <c r="K384" s="32"/>
      <c r="L384" s="32"/>
      <c r="M384" s="32"/>
      <c r="N384" s="32"/>
      <c r="O384" s="32"/>
      <c r="P384" s="32"/>
      <c r="Q384" s="32"/>
      <c r="R384" s="32"/>
      <c r="S384" s="32"/>
      <c r="T384" s="32"/>
      <c r="U384" s="32"/>
      <c r="V384" s="32"/>
      <c r="W384" s="32"/>
      <c r="X384" s="32"/>
      <c r="Y384" s="32"/>
      <c r="Z384" s="32"/>
      <c r="AA384" s="32"/>
      <c r="AB384" s="32"/>
      <c r="AC384" s="32"/>
      <c r="AD384" s="32"/>
      <c r="AE384" s="32"/>
      <c r="AF384" s="32"/>
      <c r="AG384" s="32"/>
      <c r="AH384" s="32"/>
      <c r="AI384" s="32"/>
      <c r="AJ384" s="32"/>
      <c r="AK384" s="32"/>
      <c r="AL384" s="32"/>
    </row>
    <row r="385" spans="2:38" x14ac:dyDescent="0.2">
      <c r="B385" s="32"/>
      <c r="C385" s="32"/>
      <c r="D385" s="32"/>
      <c r="E385" s="32"/>
      <c r="F385" s="32"/>
      <c r="G385" s="32"/>
      <c r="H385" s="32"/>
      <c r="I385" s="32"/>
      <c r="J385" s="32"/>
      <c r="K385" s="32"/>
      <c r="L385" s="32"/>
      <c r="M385" s="32"/>
      <c r="N385" s="32"/>
      <c r="O385" s="32"/>
      <c r="P385" s="32"/>
      <c r="Q385" s="32"/>
      <c r="R385" s="32"/>
      <c r="S385" s="32"/>
      <c r="T385" s="32"/>
      <c r="U385" s="32"/>
      <c r="V385" s="32"/>
      <c r="W385" s="32"/>
      <c r="X385" s="32"/>
      <c r="Y385" s="32"/>
      <c r="Z385" s="32"/>
      <c r="AA385" s="32"/>
      <c r="AB385" s="32"/>
      <c r="AC385" s="32"/>
      <c r="AD385" s="32"/>
      <c r="AE385" s="32"/>
      <c r="AF385" s="32"/>
      <c r="AG385" s="32"/>
      <c r="AH385" s="32"/>
      <c r="AI385" s="32"/>
      <c r="AJ385" s="32"/>
      <c r="AK385" s="32"/>
      <c r="AL385" s="32"/>
    </row>
    <row r="386" spans="2:38" x14ac:dyDescent="0.2">
      <c r="B386" s="32"/>
      <c r="C386" s="32"/>
      <c r="D386" s="32"/>
      <c r="E386" s="32"/>
      <c r="F386" s="32"/>
      <c r="G386" s="32"/>
      <c r="H386" s="32"/>
      <c r="I386" s="32"/>
      <c r="J386" s="32"/>
      <c r="K386" s="32"/>
      <c r="L386" s="32"/>
      <c r="M386" s="32"/>
      <c r="N386" s="32"/>
      <c r="O386" s="32"/>
      <c r="P386" s="32"/>
      <c r="Q386" s="32"/>
      <c r="R386" s="32"/>
      <c r="S386" s="32"/>
      <c r="T386" s="32"/>
      <c r="U386" s="32"/>
      <c r="V386" s="32"/>
      <c r="W386" s="32"/>
      <c r="X386" s="32"/>
      <c r="Y386" s="32"/>
      <c r="Z386" s="32"/>
      <c r="AA386" s="32"/>
      <c r="AB386" s="32"/>
      <c r="AC386" s="32"/>
      <c r="AD386" s="32"/>
      <c r="AE386" s="32"/>
      <c r="AF386" s="32"/>
      <c r="AG386" s="32"/>
      <c r="AH386" s="32"/>
      <c r="AI386" s="32"/>
      <c r="AJ386" s="32"/>
      <c r="AK386" s="32"/>
      <c r="AL386" s="32"/>
    </row>
    <row r="387" spans="2:38" x14ac:dyDescent="0.2">
      <c r="B387" s="32"/>
      <c r="C387" s="32"/>
      <c r="D387" s="32"/>
      <c r="E387" s="32"/>
      <c r="F387" s="32"/>
      <c r="G387" s="32"/>
      <c r="H387" s="32"/>
      <c r="I387" s="32"/>
      <c r="J387" s="32"/>
      <c r="K387" s="32"/>
      <c r="L387" s="32"/>
      <c r="M387" s="32"/>
      <c r="N387" s="32"/>
      <c r="O387" s="32"/>
      <c r="P387" s="32"/>
      <c r="Q387" s="32"/>
      <c r="R387" s="32"/>
      <c r="S387" s="32"/>
      <c r="T387" s="32"/>
      <c r="U387" s="32"/>
      <c r="V387" s="32"/>
      <c r="W387" s="32"/>
      <c r="X387" s="32"/>
      <c r="Y387" s="32"/>
      <c r="Z387" s="32"/>
      <c r="AA387" s="32"/>
      <c r="AB387" s="32"/>
      <c r="AC387" s="32"/>
      <c r="AD387" s="32"/>
      <c r="AE387" s="32"/>
      <c r="AF387" s="32"/>
      <c r="AG387" s="32"/>
      <c r="AH387" s="32"/>
      <c r="AI387" s="32"/>
      <c r="AJ387" s="32"/>
      <c r="AK387" s="32"/>
      <c r="AL387" s="32"/>
    </row>
    <row r="388" spans="2:38" x14ac:dyDescent="0.2">
      <c r="B388" s="32"/>
      <c r="C388" s="32"/>
      <c r="D388" s="32"/>
      <c r="E388" s="32"/>
      <c r="F388" s="32"/>
      <c r="G388" s="32"/>
      <c r="H388" s="32"/>
      <c r="I388" s="32"/>
      <c r="J388" s="32"/>
      <c r="K388" s="32"/>
      <c r="L388" s="32"/>
      <c r="M388" s="32"/>
      <c r="N388" s="32"/>
      <c r="O388" s="32"/>
      <c r="P388" s="32"/>
      <c r="Q388" s="32"/>
      <c r="R388" s="32"/>
      <c r="S388" s="32"/>
      <c r="T388" s="32"/>
      <c r="U388" s="32"/>
      <c r="V388" s="32"/>
      <c r="W388" s="32"/>
      <c r="X388" s="32"/>
      <c r="Y388" s="32"/>
      <c r="Z388" s="32"/>
      <c r="AA388" s="32"/>
      <c r="AB388" s="32"/>
      <c r="AC388" s="32"/>
      <c r="AD388" s="32"/>
      <c r="AE388" s="32"/>
      <c r="AF388" s="32"/>
      <c r="AG388" s="32"/>
      <c r="AH388" s="32"/>
      <c r="AI388" s="32"/>
      <c r="AJ388" s="32"/>
      <c r="AK388" s="32"/>
      <c r="AL388" s="32"/>
    </row>
    <row r="389" spans="2:38" x14ac:dyDescent="0.2">
      <c r="B389" s="32"/>
      <c r="C389" s="32"/>
      <c r="D389" s="32"/>
      <c r="E389" s="32"/>
      <c r="F389" s="32"/>
      <c r="G389" s="32"/>
      <c r="H389" s="32"/>
      <c r="I389" s="32"/>
      <c r="J389" s="32"/>
      <c r="K389" s="32"/>
      <c r="L389" s="32"/>
      <c r="M389" s="32"/>
      <c r="N389" s="32"/>
      <c r="O389" s="32"/>
      <c r="P389" s="32"/>
      <c r="Q389" s="32"/>
      <c r="R389" s="32"/>
      <c r="S389" s="32"/>
      <c r="T389" s="32"/>
      <c r="U389" s="32"/>
      <c r="V389" s="32"/>
      <c r="W389" s="32"/>
      <c r="X389" s="32"/>
      <c r="Y389" s="32"/>
      <c r="Z389" s="32"/>
      <c r="AA389" s="32"/>
      <c r="AB389" s="32"/>
      <c r="AC389" s="32"/>
      <c r="AD389" s="32"/>
      <c r="AE389" s="32"/>
      <c r="AF389" s="32"/>
      <c r="AG389" s="32"/>
      <c r="AH389" s="32"/>
      <c r="AI389" s="32"/>
      <c r="AJ389" s="32"/>
      <c r="AK389" s="32"/>
      <c r="AL389" s="32"/>
    </row>
    <row r="390" spans="2:38" x14ac:dyDescent="0.2">
      <c r="B390" s="32"/>
      <c r="C390" s="32"/>
      <c r="D390" s="32"/>
      <c r="E390" s="32"/>
      <c r="F390" s="32"/>
      <c r="G390" s="32"/>
      <c r="H390" s="32"/>
      <c r="I390" s="32"/>
      <c r="J390" s="32"/>
      <c r="K390" s="32"/>
      <c r="L390" s="32"/>
      <c r="M390" s="32"/>
      <c r="N390" s="32"/>
      <c r="O390" s="32"/>
      <c r="P390" s="32"/>
      <c r="Q390" s="32"/>
      <c r="R390" s="32"/>
      <c r="S390" s="32"/>
      <c r="T390" s="32"/>
      <c r="U390" s="32"/>
      <c r="V390" s="32"/>
      <c r="W390" s="32"/>
      <c r="X390" s="32"/>
      <c r="Y390" s="32"/>
      <c r="Z390" s="32"/>
      <c r="AA390" s="32"/>
      <c r="AB390" s="32"/>
      <c r="AC390" s="32"/>
      <c r="AD390" s="32"/>
      <c r="AE390" s="32"/>
      <c r="AF390" s="32"/>
      <c r="AG390" s="32"/>
      <c r="AH390" s="32"/>
      <c r="AI390" s="32"/>
      <c r="AJ390" s="32"/>
      <c r="AK390" s="32"/>
      <c r="AL390" s="32"/>
    </row>
    <row r="391" spans="2:38" x14ac:dyDescent="0.2">
      <c r="B391" s="32"/>
      <c r="C391" s="32"/>
      <c r="D391" s="32"/>
      <c r="E391" s="32"/>
      <c r="F391" s="32"/>
      <c r="G391" s="32"/>
      <c r="H391" s="32"/>
      <c r="I391" s="32"/>
      <c r="J391" s="32"/>
      <c r="K391" s="32"/>
      <c r="L391" s="32"/>
      <c r="M391" s="32"/>
      <c r="N391" s="32"/>
      <c r="O391" s="32"/>
      <c r="P391" s="32"/>
      <c r="Q391" s="32"/>
      <c r="R391" s="32"/>
      <c r="S391" s="32"/>
      <c r="T391" s="32"/>
      <c r="U391" s="32"/>
      <c r="V391" s="32"/>
      <c r="W391" s="32"/>
      <c r="X391" s="32"/>
      <c r="Y391" s="32"/>
      <c r="Z391" s="32"/>
      <c r="AA391" s="32"/>
      <c r="AB391" s="32"/>
      <c r="AC391" s="32"/>
      <c r="AD391" s="32"/>
      <c r="AE391" s="32"/>
      <c r="AF391" s="32"/>
      <c r="AG391" s="32"/>
      <c r="AH391" s="32"/>
      <c r="AI391" s="32"/>
      <c r="AJ391" s="32"/>
      <c r="AK391" s="32"/>
      <c r="AL391" s="32"/>
    </row>
    <row r="392" spans="2:38" x14ac:dyDescent="0.2">
      <c r="B392" s="32"/>
      <c r="C392" s="32"/>
      <c r="D392" s="32"/>
      <c r="E392" s="32"/>
      <c r="F392" s="32"/>
      <c r="G392" s="32"/>
      <c r="H392" s="32"/>
      <c r="I392" s="32"/>
      <c r="J392" s="32"/>
      <c r="K392" s="32"/>
      <c r="L392" s="32"/>
      <c r="M392" s="32"/>
      <c r="N392" s="32"/>
      <c r="O392" s="32"/>
      <c r="P392" s="32"/>
      <c r="Q392" s="32"/>
      <c r="R392" s="32"/>
      <c r="S392" s="32"/>
      <c r="T392" s="32"/>
      <c r="U392" s="32"/>
      <c r="V392" s="32"/>
      <c r="W392" s="32"/>
      <c r="X392" s="32"/>
      <c r="Y392" s="32"/>
      <c r="Z392" s="32"/>
      <c r="AA392" s="32"/>
      <c r="AB392" s="32"/>
      <c r="AC392" s="32"/>
      <c r="AD392" s="32"/>
      <c r="AE392" s="32"/>
      <c r="AF392" s="32"/>
      <c r="AG392" s="32"/>
      <c r="AH392" s="32"/>
      <c r="AI392" s="32"/>
      <c r="AJ392" s="32"/>
      <c r="AK392" s="32"/>
      <c r="AL392" s="32"/>
    </row>
    <row r="393" spans="2:38" x14ac:dyDescent="0.2">
      <c r="B393" s="32"/>
      <c r="C393" s="32"/>
      <c r="D393" s="32"/>
      <c r="E393" s="32"/>
      <c r="F393" s="32"/>
      <c r="G393" s="32"/>
      <c r="H393" s="32"/>
      <c r="I393" s="32"/>
      <c r="J393" s="32"/>
      <c r="K393" s="32"/>
      <c r="L393" s="32"/>
      <c r="M393" s="32"/>
      <c r="N393" s="32"/>
      <c r="O393" s="32"/>
      <c r="P393" s="32"/>
      <c r="Q393" s="32"/>
      <c r="R393" s="32"/>
      <c r="S393" s="32"/>
      <c r="T393" s="32"/>
      <c r="U393" s="32"/>
      <c r="V393" s="32"/>
      <c r="W393" s="32"/>
      <c r="X393" s="32"/>
      <c r="Y393" s="32"/>
      <c r="Z393" s="32"/>
      <c r="AA393" s="32"/>
      <c r="AB393" s="32"/>
      <c r="AC393" s="32"/>
      <c r="AD393" s="32"/>
      <c r="AE393" s="32"/>
      <c r="AF393" s="32"/>
      <c r="AG393" s="32"/>
      <c r="AH393" s="32"/>
      <c r="AI393" s="32"/>
      <c r="AJ393" s="32"/>
      <c r="AK393" s="32"/>
      <c r="AL393" s="32"/>
    </row>
    <row r="394" spans="2:38" x14ac:dyDescent="0.2">
      <c r="B394" s="32"/>
      <c r="C394" s="32"/>
      <c r="D394" s="32"/>
      <c r="E394" s="32"/>
      <c r="F394" s="32"/>
      <c r="G394" s="32"/>
      <c r="H394" s="32"/>
      <c r="I394" s="32"/>
      <c r="J394" s="32"/>
      <c r="K394" s="32"/>
      <c r="L394" s="32"/>
      <c r="M394" s="32"/>
      <c r="N394" s="32"/>
      <c r="O394" s="32"/>
      <c r="P394" s="32"/>
      <c r="Q394" s="32"/>
      <c r="R394" s="32"/>
      <c r="S394" s="32"/>
      <c r="T394" s="32"/>
      <c r="U394" s="32"/>
      <c r="V394" s="32"/>
      <c r="W394" s="32"/>
      <c r="X394" s="32"/>
      <c r="Y394" s="32"/>
      <c r="Z394" s="32"/>
      <c r="AA394" s="32"/>
      <c r="AB394" s="32"/>
      <c r="AC394" s="32"/>
      <c r="AD394" s="32"/>
      <c r="AE394" s="32"/>
      <c r="AF394" s="32"/>
      <c r="AG394" s="32"/>
      <c r="AH394" s="32"/>
      <c r="AI394" s="32"/>
      <c r="AJ394" s="32"/>
      <c r="AK394" s="32"/>
      <c r="AL394" s="32"/>
    </row>
    <row r="395" spans="2:38" x14ac:dyDescent="0.2">
      <c r="B395" s="32"/>
      <c r="C395" s="32"/>
      <c r="D395" s="32"/>
      <c r="E395" s="32"/>
      <c r="F395" s="32"/>
      <c r="G395" s="32"/>
      <c r="H395" s="32"/>
      <c r="I395" s="32"/>
      <c r="J395" s="32"/>
      <c r="K395" s="32"/>
      <c r="L395" s="32"/>
      <c r="M395" s="32"/>
      <c r="N395" s="32"/>
      <c r="O395" s="32"/>
      <c r="P395" s="32"/>
      <c r="Q395" s="32"/>
      <c r="R395" s="32"/>
      <c r="S395" s="32"/>
      <c r="T395" s="32"/>
      <c r="U395" s="32"/>
      <c r="V395" s="32"/>
      <c r="W395" s="32"/>
      <c r="X395" s="32"/>
      <c r="Y395" s="32"/>
      <c r="Z395" s="32"/>
      <c r="AA395" s="32"/>
      <c r="AB395" s="32"/>
      <c r="AC395" s="32"/>
      <c r="AD395" s="32"/>
      <c r="AE395" s="32"/>
      <c r="AF395" s="32"/>
      <c r="AG395" s="32"/>
      <c r="AH395" s="32"/>
      <c r="AI395" s="32"/>
      <c r="AJ395" s="32"/>
      <c r="AK395" s="32"/>
      <c r="AL395" s="32"/>
    </row>
    <row r="396" spans="2:38" x14ac:dyDescent="0.2">
      <c r="B396" s="32"/>
      <c r="C396" s="32"/>
      <c r="D396" s="32"/>
      <c r="E396" s="32"/>
      <c r="F396" s="32"/>
      <c r="G396" s="32"/>
      <c r="H396" s="32"/>
      <c r="I396" s="32"/>
      <c r="J396" s="32"/>
      <c r="K396" s="32"/>
      <c r="L396" s="32"/>
      <c r="M396" s="32"/>
      <c r="N396" s="32"/>
      <c r="O396" s="32"/>
      <c r="P396" s="32"/>
      <c r="Q396" s="32"/>
      <c r="R396" s="32"/>
      <c r="S396" s="32"/>
      <c r="T396" s="32"/>
      <c r="U396" s="32"/>
      <c r="V396" s="32"/>
      <c r="W396" s="32"/>
      <c r="X396" s="32"/>
      <c r="Y396" s="32"/>
      <c r="Z396" s="32"/>
      <c r="AA396" s="32"/>
      <c r="AB396" s="32"/>
      <c r="AC396" s="32"/>
      <c r="AD396" s="32"/>
      <c r="AE396" s="32"/>
      <c r="AF396" s="32"/>
      <c r="AG396" s="32"/>
      <c r="AH396" s="32"/>
      <c r="AI396" s="32"/>
      <c r="AJ396" s="32"/>
      <c r="AK396" s="32"/>
      <c r="AL396" s="32"/>
    </row>
    <row r="397" spans="2:38" x14ac:dyDescent="0.2">
      <c r="B397" s="32"/>
      <c r="C397" s="32"/>
      <c r="D397" s="32"/>
      <c r="E397" s="32"/>
      <c r="F397" s="32"/>
      <c r="G397" s="32"/>
      <c r="H397" s="32"/>
      <c r="I397" s="32"/>
      <c r="J397" s="32"/>
      <c r="K397" s="32"/>
      <c r="L397" s="32"/>
      <c r="M397" s="32"/>
      <c r="N397" s="32"/>
      <c r="O397" s="32"/>
      <c r="P397" s="32"/>
      <c r="Q397" s="32"/>
      <c r="R397" s="32"/>
      <c r="S397" s="32"/>
      <c r="T397" s="32"/>
      <c r="U397" s="32"/>
      <c r="V397" s="32"/>
      <c r="W397" s="32"/>
      <c r="X397" s="32"/>
      <c r="Y397" s="32"/>
      <c r="Z397" s="32"/>
      <c r="AA397" s="32"/>
      <c r="AB397" s="32"/>
      <c r="AC397" s="32"/>
      <c r="AD397" s="32"/>
      <c r="AE397" s="32"/>
      <c r="AF397" s="32"/>
      <c r="AG397" s="32"/>
      <c r="AH397" s="32"/>
      <c r="AI397" s="32"/>
      <c r="AJ397" s="32"/>
      <c r="AK397" s="32"/>
      <c r="AL397" s="32"/>
    </row>
    <row r="398" spans="2:38" x14ac:dyDescent="0.2">
      <c r="B398" s="32"/>
      <c r="C398" s="32"/>
      <c r="D398" s="32"/>
      <c r="E398" s="32"/>
      <c r="F398" s="32"/>
      <c r="G398" s="32"/>
      <c r="H398" s="32"/>
      <c r="I398" s="32"/>
      <c r="J398" s="32"/>
      <c r="K398" s="32"/>
      <c r="L398" s="32"/>
      <c r="M398" s="32"/>
      <c r="N398" s="32"/>
      <c r="O398" s="32"/>
      <c r="P398" s="32"/>
      <c r="Q398" s="32"/>
      <c r="R398" s="32"/>
      <c r="S398" s="32"/>
      <c r="T398" s="32"/>
      <c r="U398" s="32"/>
      <c r="V398" s="32"/>
      <c r="W398" s="32"/>
      <c r="X398" s="32"/>
      <c r="Y398" s="32"/>
      <c r="Z398" s="32"/>
      <c r="AA398" s="32"/>
      <c r="AB398" s="32"/>
      <c r="AC398" s="32"/>
      <c r="AD398" s="32"/>
      <c r="AE398" s="32"/>
      <c r="AF398" s="32"/>
      <c r="AG398" s="32"/>
      <c r="AH398" s="32"/>
      <c r="AI398" s="32"/>
      <c r="AJ398" s="32"/>
      <c r="AK398" s="32"/>
      <c r="AL398" s="32"/>
    </row>
    <row r="399" spans="2:38" x14ac:dyDescent="0.2">
      <c r="B399" s="32"/>
      <c r="C399" s="32"/>
      <c r="D399" s="32"/>
      <c r="E399" s="32"/>
      <c r="F399" s="32"/>
      <c r="G399" s="32"/>
      <c r="H399" s="32"/>
      <c r="I399" s="32"/>
      <c r="J399" s="32"/>
      <c r="K399" s="32"/>
      <c r="L399" s="32"/>
      <c r="M399" s="32"/>
      <c r="N399" s="32"/>
      <c r="O399" s="32"/>
      <c r="P399" s="32"/>
      <c r="Q399" s="32"/>
      <c r="R399" s="32"/>
      <c r="S399" s="32"/>
      <c r="T399" s="32"/>
      <c r="U399" s="32"/>
      <c r="V399" s="32"/>
      <c r="W399" s="32"/>
      <c r="X399" s="32"/>
      <c r="Y399" s="32"/>
      <c r="Z399" s="32"/>
      <c r="AA399" s="32"/>
      <c r="AB399" s="32"/>
      <c r="AC399" s="32"/>
      <c r="AD399" s="32"/>
      <c r="AE399" s="32"/>
      <c r="AF399" s="32"/>
      <c r="AG399" s="32"/>
      <c r="AH399" s="32"/>
      <c r="AI399" s="32"/>
      <c r="AJ399" s="32"/>
      <c r="AK399" s="32"/>
      <c r="AL399" s="32"/>
    </row>
    <row r="400" spans="2:38" x14ac:dyDescent="0.2">
      <c r="B400" s="32"/>
      <c r="C400" s="32"/>
      <c r="D400" s="32"/>
      <c r="E400" s="32"/>
      <c r="F400" s="32"/>
      <c r="G400" s="32"/>
      <c r="H400" s="32"/>
      <c r="I400" s="32"/>
      <c r="J400" s="32"/>
      <c r="K400" s="32"/>
      <c r="L400" s="32"/>
      <c r="M400" s="32"/>
      <c r="N400" s="32"/>
      <c r="O400" s="32"/>
      <c r="P400" s="32"/>
      <c r="Q400" s="32"/>
      <c r="R400" s="32"/>
      <c r="S400" s="32"/>
      <c r="T400" s="32"/>
      <c r="U400" s="32"/>
      <c r="V400" s="32"/>
      <c r="W400" s="32"/>
      <c r="X400" s="32"/>
      <c r="Y400" s="32"/>
      <c r="Z400" s="32"/>
      <c r="AA400" s="32"/>
      <c r="AB400" s="32"/>
      <c r="AC400" s="32"/>
      <c r="AD400" s="32"/>
      <c r="AE400" s="32"/>
      <c r="AF400" s="32"/>
      <c r="AG400" s="32"/>
      <c r="AH400" s="32"/>
      <c r="AI400" s="32"/>
      <c r="AJ400" s="32"/>
      <c r="AK400" s="32"/>
      <c r="AL400" s="32"/>
    </row>
    <row r="401" spans="2:38" x14ac:dyDescent="0.2">
      <c r="B401" s="32"/>
      <c r="C401" s="32"/>
      <c r="D401" s="32"/>
      <c r="E401" s="32"/>
      <c r="F401" s="32"/>
      <c r="G401" s="32"/>
      <c r="H401" s="32"/>
      <c r="I401" s="32"/>
      <c r="J401" s="32"/>
      <c r="K401" s="32"/>
      <c r="L401" s="32"/>
      <c r="M401" s="32"/>
      <c r="N401" s="32"/>
      <c r="O401" s="32"/>
      <c r="P401" s="32"/>
      <c r="Q401" s="32"/>
      <c r="R401" s="32"/>
      <c r="S401" s="32"/>
      <c r="T401" s="32"/>
      <c r="U401" s="32"/>
      <c r="V401" s="32"/>
      <c r="W401" s="32"/>
      <c r="X401" s="32"/>
      <c r="Y401" s="32"/>
      <c r="Z401" s="32"/>
      <c r="AA401" s="32"/>
      <c r="AB401" s="32"/>
      <c r="AC401" s="32"/>
      <c r="AD401" s="32"/>
      <c r="AE401" s="32"/>
      <c r="AF401" s="32"/>
      <c r="AG401" s="32"/>
      <c r="AH401" s="32"/>
      <c r="AI401" s="32"/>
      <c r="AJ401" s="32"/>
      <c r="AK401" s="32"/>
      <c r="AL401" s="32"/>
    </row>
    <row r="402" spans="2:38" x14ac:dyDescent="0.2">
      <c r="B402" s="32"/>
      <c r="C402" s="32"/>
      <c r="D402" s="32"/>
      <c r="E402" s="32"/>
      <c r="F402" s="32"/>
      <c r="G402" s="32"/>
      <c r="H402" s="32"/>
      <c r="I402" s="32"/>
      <c r="J402" s="32"/>
      <c r="K402" s="32"/>
      <c r="L402" s="32"/>
      <c r="M402" s="32"/>
      <c r="N402" s="32"/>
      <c r="O402" s="32"/>
      <c r="P402" s="32"/>
      <c r="Q402" s="32"/>
      <c r="R402" s="32"/>
      <c r="S402" s="32"/>
      <c r="T402" s="32"/>
      <c r="U402" s="32"/>
      <c r="V402" s="32"/>
      <c r="W402" s="32"/>
      <c r="X402" s="32"/>
      <c r="Y402" s="32"/>
      <c r="Z402" s="32"/>
      <c r="AA402" s="32"/>
      <c r="AB402" s="32"/>
      <c r="AC402" s="32"/>
      <c r="AD402" s="32"/>
      <c r="AE402" s="32"/>
      <c r="AF402" s="32"/>
      <c r="AG402" s="32"/>
      <c r="AH402" s="32"/>
      <c r="AI402" s="32"/>
      <c r="AJ402" s="32"/>
      <c r="AK402" s="32"/>
      <c r="AL402" s="32"/>
    </row>
    <row r="403" spans="2:38" x14ac:dyDescent="0.2">
      <c r="B403" s="32"/>
      <c r="C403" s="32"/>
      <c r="D403" s="32"/>
      <c r="E403" s="32"/>
      <c r="F403" s="32"/>
      <c r="G403" s="32"/>
      <c r="H403" s="32"/>
      <c r="I403" s="32"/>
      <c r="J403" s="32"/>
      <c r="K403" s="32"/>
      <c r="L403" s="32"/>
      <c r="M403" s="32"/>
      <c r="N403" s="32"/>
      <c r="O403" s="32"/>
      <c r="P403" s="32"/>
      <c r="Q403" s="32"/>
      <c r="R403" s="32"/>
      <c r="S403" s="32"/>
      <c r="T403" s="32"/>
      <c r="U403" s="32"/>
      <c r="V403" s="32"/>
      <c r="W403" s="32"/>
      <c r="X403" s="32"/>
      <c r="Y403" s="32"/>
      <c r="Z403" s="32"/>
      <c r="AA403" s="32"/>
      <c r="AB403" s="32"/>
      <c r="AC403" s="32"/>
      <c r="AD403" s="32"/>
      <c r="AE403" s="32"/>
      <c r="AF403" s="32"/>
      <c r="AG403" s="32"/>
      <c r="AH403" s="32"/>
      <c r="AI403" s="32"/>
      <c r="AJ403" s="32"/>
      <c r="AK403" s="32"/>
      <c r="AL403" s="32"/>
    </row>
    <row r="404" spans="2:38" x14ac:dyDescent="0.2">
      <c r="B404" s="32"/>
      <c r="C404" s="32"/>
      <c r="D404" s="32"/>
      <c r="E404" s="32"/>
      <c r="F404" s="32"/>
      <c r="G404" s="32"/>
      <c r="H404" s="32"/>
      <c r="I404" s="32"/>
      <c r="J404" s="32"/>
      <c r="K404" s="32"/>
      <c r="L404" s="32"/>
      <c r="M404" s="32"/>
      <c r="N404" s="32"/>
      <c r="O404" s="32"/>
      <c r="P404" s="32"/>
      <c r="Q404" s="32"/>
      <c r="R404" s="32"/>
      <c r="S404" s="32"/>
      <c r="T404" s="32"/>
      <c r="U404" s="32"/>
      <c r="V404" s="32"/>
      <c r="W404" s="32"/>
      <c r="X404" s="32"/>
      <c r="Y404" s="32"/>
      <c r="Z404" s="32"/>
      <c r="AA404" s="32"/>
      <c r="AB404" s="32"/>
      <c r="AC404" s="32"/>
      <c r="AD404" s="32"/>
      <c r="AE404" s="32"/>
      <c r="AF404" s="32"/>
      <c r="AG404" s="32"/>
      <c r="AH404" s="32"/>
      <c r="AI404" s="32"/>
      <c r="AJ404" s="32"/>
      <c r="AK404" s="32"/>
      <c r="AL404" s="32"/>
    </row>
    <row r="405" spans="2:38" x14ac:dyDescent="0.2">
      <c r="B405" s="32"/>
      <c r="C405" s="32"/>
      <c r="D405" s="32"/>
      <c r="E405" s="32"/>
      <c r="F405" s="32"/>
      <c r="G405" s="32"/>
      <c r="H405" s="32"/>
      <c r="I405" s="32"/>
      <c r="J405" s="32"/>
      <c r="K405" s="32"/>
      <c r="L405" s="32"/>
      <c r="M405" s="32"/>
      <c r="N405" s="32"/>
      <c r="O405" s="32"/>
      <c r="P405" s="32"/>
      <c r="Q405" s="32"/>
      <c r="R405" s="32"/>
      <c r="S405" s="32"/>
      <c r="T405" s="32"/>
      <c r="U405" s="32"/>
      <c r="V405" s="32"/>
      <c r="W405" s="32"/>
      <c r="X405" s="32"/>
      <c r="Y405" s="32"/>
      <c r="Z405" s="32"/>
      <c r="AA405" s="32"/>
      <c r="AB405" s="32"/>
      <c r="AC405" s="32"/>
      <c r="AD405" s="32"/>
      <c r="AE405" s="32"/>
      <c r="AF405" s="32"/>
      <c r="AG405" s="32"/>
      <c r="AH405" s="32"/>
      <c r="AI405" s="32"/>
      <c r="AJ405" s="32"/>
      <c r="AK405" s="32"/>
      <c r="AL405" s="32"/>
    </row>
    <row r="406" spans="2:38" x14ac:dyDescent="0.2">
      <c r="B406" s="32"/>
      <c r="C406" s="32"/>
      <c r="D406" s="32"/>
      <c r="E406" s="32"/>
      <c r="F406" s="32"/>
      <c r="G406" s="32"/>
      <c r="H406" s="32"/>
      <c r="I406" s="32"/>
      <c r="J406" s="32"/>
      <c r="K406" s="32"/>
      <c r="L406" s="32"/>
      <c r="M406" s="32"/>
      <c r="N406" s="32"/>
      <c r="O406" s="32"/>
      <c r="P406" s="32"/>
      <c r="Q406" s="32"/>
      <c r="R406" s="32"/>
      <c r="S406" s="32"/>
      <c r="T406" s="32"/>
      <c r="U406" s="32"/>
      <c r="V406" s="32"/>
      <c r="W406" s="32"/>
      <c r="X406" s="32"/>
      <c r="Y406" s="32"/>
      <c r="Z406" s="32"/>
      <c r="AA406" s="32"/>
      <c r="AB406" s="32"/>
      <c r="AC406" s="32"/>
      <c r="AD406" s="32"/>
      <c r="AE406" s="32"/>
      <c r="AF406" s="32"/>
      <c r="AG406" s="32"/>
      <c r="AH406" s="32"/>
      <c r="AI406" s="32"/>
      <c r="AJ406" s="32"/>
      <c r="AK406" s="32"/>
      <c r="AL406" s="32"/>
    </row>
    <row r="407" spans="2:38" x14ac:dyDescent="0.2">
      <c r="B407" s="32"/>
      <c r="C407" s="32"/>
      <c r="D407" s="32"/>
      <c r="E407" s="32"/>
      <c r="F407" s="32"/>
      <c r="G407" s="32"/>
      <c r="H407" s="32"/>
      <c r="I407" s="32"/>
      <c r="J407" s="32"/>
      <c r="K407" s="32"/>
      <c r="L407" s="32"/>
      <c r="M407" s="32"/>
      <c r="N407" s="32"/>
      <c r="O407" s="32"/>
      <c r="P407" s="32"/>
      <c r="Q407" s="32"/>
      <c r="R407" s="32"/>
      <c r="S407" s="32"/>
      <c r="T407" s="32"/>
      <c r="U407" s="32"/>
      <c r="V407" s="32"/>
      <c r="W407" s="32"/>
      <c r="X407" s="32"/>
      <c r="Y407" s="32"/>
      <c r="Z407" s="32"/>
      <c r="AA407" s="32"/>
      <c r="AB407" s="32"/>
      <c r="AC407" s="32"/>
      <c r="AD407" s="32"/>
      <c r="AE407" s="32"/>
      <c r="AF407" s="32"/>
      <c r="AG407" s="32"/>
      <c r="AH407" s="32"/>
      <c r="AI407" s="32"/>
      <c r="AJ407" s="32"/>
      <c r="AK407" s="32"/>
      <c r="AL407" s="32"/>
    </row>
    <row r="408" spans="2:38" x14ac:dyDescent="0.2">
      <c r="B408" s="32"/>
      <c r="C408" s="32"/>
      <c r="D408" s="32"/>
      <c r="E408" s="32"/>
      <c r="F408" s="32"/>
      <c r="G408" s="32"/>
      <c r="H408" s="32"/>
      <c r="I408" s="32"/>
      <c r="J408" s="32"/>
      <c r="K408" s="32"/>
      <c r="L408" s="32"/>
      <c r="M408" s="32"/>
      <c r="N408" s="32"/>
      <c r="O408" s="32"/>
      <c r="P408" s="32"/>
      <c r="Q408" s="32"/>
      <c r="R408" s="32"/>
      <c r="S408" s="32"/>
      <c r="T408" s="32"/>
      <c r="U408" s="32"/>
      <c r="V408" s="32"/>
      <c r="W408" s="32"/>
      <c r="X408" s="32"/>
      <c r="Y408" s="32"/>
      <c r="Z408" s="32"/>
      <c r="AA408" s="32"/>
      <c r="AB408" s="32"/>
      <c r="AC408" s="32"/>
      <c r="AD408" s="32"/>
      <c r="AE408" s="32"/>
      <c r="AF408" s="32"/>
      <c r="AG408" s="32"/>
      <c r="AH408" s="32"/>
      <c r="AI408" s="32"/>
      <c r="AJ408" s="32"/>
      <c r="AK408" s="32"/>
      <c r="AL408" s="32"/>
    </row>
    <row r="409" spans="2:38" x14ac:dyDescent="0.2">
      <c r="B409" s="32"/>
      <c r="C409" s="32"/>
      <c r="D409" s="32"/>
      <c r="E409" s="32"/>
      <c r="F409" s="32"/>
      <c r="G409" s="32"/>
      <c r="H409" s="32"/>
      <c r="I409" s="32"/>
      <c r="J409" s="32"/>
      <c r="K409" s="32"/>
      <c r="L409" s="32"/>
      <c r="M409" s="32"/>
      <c r="N409" s="32"/>
      <c r="O409" s="32"/>
      <c r="P409" s="32"/>
      <c r="Q409" s="32"/>
      <c r="R409" s="32"/>
      <c r="S409" s="32"/>
      <c r="T409" s="32"/>
      <c r="U409" s="32"/>
      <c r="V409" s="32"/>
      <c r="W409" s="32"/>
      <c r="X409" s="32"/>
      <c r="Y409" s="32"/>
      <c r="Z409" s="32"/>
      <c r="AA409" s="32"/>
      <c r="AB409" s="32"/>
      <c r="AC409" s="32"/>
      <c r="AD409" s="32"/>
      <c r="AE409" s="32"/>
      <c r="AF409" s="32"/>
      <c r="AG409" s="32"/>
      <c r="AH409" s="32"/>
      <c r="AI409" s="32"/>
      <c r="AJ409" s="32"/>
      <c r="AK409" s="32"/>
      <c r="AL409" s="32"/>
    </row>
    <row r="410" spans="2:38" x14ac:dyDescent="0.2">
      <c r="B410" s="32"/>
      <c r="C410" s="32"/>
      <c r="D410" s="32"/>
      <c r="E410" s="32"/>
      <c r="F410" s="32"/>
      <c r="G410" s="32"/>
      <c r="H410" s="32"/>
      <c r="I410" s="32"/>
      <c r="J410" s="32"/>
      <c r="K410" s="32"/>
      <c r="L410" s="32"/>
      <c r="M410" s="32"/>
      <c r="N410" s="32"/>
      <c r="O410" s="32"/>
      <c r="P410" s="32"/>
      <c r="Q410" s="32"/>
      <c r="R410" s="32"/>
      <c r="S410" s="32"/>
      <c r="T410" s="32"/>
      <c r="U410" s="32"/>
      <c r="V410" s="32"/>
      <c r="W410" s="32"/>
      <c r="X410" s="32"/>
      <c r="Y410" s="32"/>
      <c r="Z410" s="32"/>
      <c r="AA410" s="32"/>
      <c r="AB410" s="32"/>
      <c r="AC410" s="32"/>
      <c r="AD410" s="32"/>
      <c r="AE410" s="32"/>
      <c r="AF410" s="32"/>
      <c r="AG410" s="32"/>
      <c r="AH410" s="32"/>
      <c r="AI410" s="32"/>
      <c r="AJ410" s="32"/>
      <c r="AK410" s="32"/>
      <c r="AL410" s="32"/>
    </row>
    <row r="411" spans="2:38" x14ac:dyDescent="0.2">
      <c r="B411" s="32"/>
      <c r="C411" s="32"/>
      <c r="D411" s="32"/>
      <c r="E411" s="32"/>
      <c r="F411" s="32"/>
      <c r="G411" s="32"/>
      <c r="H411" s="32"/>
      <c r="I411" s="32"/>
      <c r="J411" s="32"/>
      <c r="K411" s="32"/>
      <c r="L411" s="32"/>
      <c r="M411" s="32"/>
      <c r="N411" s="32"/>
      <c r="O411" s="32"/>
      <c r="P411" s="32"/>
      <c r="Q411" s="32"/>
      <c r="R411" s="32"/>
      <c r="S411" s="32"/>
      <c r="T411" s="32"/>
      <c r="U411" s="32"/>
      <c r="V411" s="32"/>
      <c r="W411" s="32"/>
      <c r="X411" s="32"/>
      <c r="Y411" s="32"/>
      <c r="Z411" s="32"/>
      <c r="AA411" s="32"/>
      <c r="AB411" s="32"/>
      <c r="AC411" s="32"/>
      <c r="AD411" s="32"/>
      <c r="AE411" s="32"/>
      <c r="AF411" s="32"/>
      <c r="AG411" s="32"/>
      <c r="AH411" s="32"/>
      <c r="AI411" s="32"/>
      <c r="AJ411" s="32"/>
      <c r="AK411" s="32"/>
      <c r="AL411" s="32"/>
    </row>
    <row r="412" spans="2:38" x14ac:dyDescent="0.2">
      <c r="B412" s="32"/>
      <c r="C412" s="32"/>
      <c r="D412" s="32"/>
      <c r="E412" s="32"/>
      <c r="F412" s="32"/>
      <c r="G412" s="32"/>
      <c r="H412" s="32"/>
      <c r="I412" s="32"/>
      <c r="J412" s="32"/>
      <c r="K412" s="32"/>
      <c r="L412" s="32"/>
      <c r="M412" s="32"/>
      <c r="N412" s="32"/>
      <c r="O412" s="32"/>
      <c r="P412" s="32"/>
      <c r="Q412" s="32"/>
      <c r="R412" s="32"/>
      <c r="S412" s="32"/>
      <c r="T412" s="32"/>
      <c r="U412" s="32"/>
      <c r="V412" s="32"/>
      <c r="W412" s="32"/>
      <c r="X412" s="32"/>
      <c r="Y412" s="32"/>
      <c r="Z412" s="32"/>
      <c r="AA412" s="32"/>
      <c r="AB412" s="32"/>
      <c r="AC412" s="32"/>
      <c r="AD412" s="32"/>
      <c r="AE412" s="32"/>
      <c r="AF412" s="32"/>
      <c r="AG412" s="32"/>
      <c r="AH412" s="32"/>
      <c r="AI412" s="32"/>
      <c r="AJ412" s="32"/>
      <c r="AK412" s="32"/>
      <c r="AL412" s="32"/>
    </row>
    <row r="413" spans="2:38" x14ac:dyDescent="0.2">
      <c r="B413" s="32"/>
      <c r="C413" s="32"/>
      <c r="D413" s="32"/>
      <c r="E413" s="32"/>
      <c r="F413" s="32"/>
      <c r="G413" s="32"/>
      <c r="H413" s="32"/>
      <c r="I413" s="32"/>
      <c r="J413" s="32"/>
      <c r="K413" s="32"/>
      <c r="L413" s="32"/>
      <c r="M413" s="32"/>
      <c r="N413" s="32"/>
      <c r="O413" s="32"/>
      <c r="P413" s="32"/>
      <c r="Q413" s="32"/>
      <c r="R413" s="32"/>
      <c r="S413" s="32"/>
      <c r="T413" s="32"/>
      <c r="U413" s="32"/>
      <c r="V413" s="32"/>
      <c r="W413" s="32"/>
      <c r="X413" s="32"/>
      <c r="Y413" s="32"/>
      <c r="Z413" s="32"/>
      <c r="AA413" s="32"/>
      <c r="AB413" s="32"/>
      <c r="AC413" s="32"/>
      <c r="AD413" s="32"/>
      <c r="AE413" s="32"/>
      <c r="AF413" s="32"/>
      <c r="AG413" s="32"/>
      <c r="AH413" s="32"/>
      <c r="AI413" s="32"/>
      <c r="AJ413" s="32"/>
      <c r="AK413" s="32"/>
      <c r="AL413" s="32"/>
    </row>
    <row r="414" spans="2:38" x14ac:dyDescent="0.2">
      <c r="B414" s="32"/>
      <c r="C414" s="32"/>
      <c r="D414" s="32"/>
      <c r="E414" s="32"/>
      <c r="F414" s="32"/>
      <c r="G414" s="32"/>
      <c r="H414" s="32"/>
      <c r="I414" s="32"/>
      <c r="J414" s="32"/>
      <c r="K414" s="32"/>
      <c r="L414" s="32"/>
      <c r="M414" s="32"/>
      <c r="N414" s="32"/>
      <c r="O414" s="32"/>
      <c r="P414" s="32"/>
      <c r="Q414" s="32"/>
      <c r="R414" s="32"/>
      <c r="S414" s="32"/>
      <c r="T414" s="32"/>
      <c r="U414" s="32"/>
      <c r="V414" s="32"/>
      <c r="W414" s="32"/>
      <c r="X414" s="32"/>
      <c r="Y414" s="32"/>
      <c r="Z414" s="32"/>
      <c r="AA414" s="32"/>
      <c r="AB414" s="32"/>
      <c r="AC414" s="32"/>
      <c r="AD414" s="32"/>
      <c r="AE414" s="32"/>
      <c r="AF414" s="32"/>
      <c r="AG414" s="32"/>
      <c r="AH414" s="32"/>
      <c r="AI414" s="32"/>
      <c r="AJ414" s="32"/>
      <c r="AK414" s="32"/>
      <c r="AL414" s="32"/>
    </row>
    <row r="415" spans="2:38" x14ac:dyDescent="0.2">
      <c r="B415" s="32"/>
      <c r="C415" s="32"/>
      <c r="D415" s="32"/>
      <c r="E415" s="32"/>
      <c r="F415" s="32"/>
      <c r="G415" s="32"/>
      <c r="H415" s="32"/>
      <c r="I415" s="32"/>
      <c r="J415" s="32"/>
      <c r="K415" s="32"/>
      <c r="L415" s="32"/>
      <c r="M415" s="32"/>
      <c r="N415" s="32"/>
      <c r="O415" s="32"/>
      <c r="P415" s="32"/>
      <c r="Q415" s="32"/>
      <c r="R415" s="32"/>
      <c r="S415" s="32"/>
      <c r="T415" s="32"/>
      <c r="U415" s="32"/>
      <c r="V415" s="32"/>
      <c r="W415" s="32"/>
      <c r="X415" s="32"/>
      <c r="Y415" s="32"/>
      <c r="Z415" s="32"/>
      <c r="AA415" s="32"/>
      <c r="AB415" s="32"/>
      <c r="AC415" s="32"/>
      <c r="AD415" s="32"/>
      <c r="AE415" s="32"/>
      <c r="AF415" s="32"/>
      <c r="AG415" s="32"/>
      <c r="AH415" s="32"/>
      <c r="AI415" s="32"/>
      <c r="AJ415" s="32"/>
      <c r="AK415" s="32"/>
      <c r="AL415" s="32"/>
    </row>
    <row r="416" spans="2:38" x14ac:dyDescent="0.2">
      <c r="B416" s="32"/>
      <c r="C416" s="32"/>
      <c r="D416" s="32"/>
      <c r="E416" s="32"/>
      <c r="F416" s="32"/>
      <c r="G416" s="32"/>
      <c r="H416" s="32"/>
      <c r="I416" s="32"/>
      <c r="J416" s="32"/>
      <c r="K416" s="32"/>
      <c r="L416" s="32"/>
      <c r="M416" s="32"/>
      <c r="N416" s="32"/>
      <c r="O416" s="32"/>
      <c r="P416" s="32"/>
      <c r="Q416" s="32"/>
      <c r="R416" s="32"/>
      <c r="S416" s="32"/>
      <c r="T416" s="32"/>
      <c r="U416" s="32"/>
      <c r="V416" s="32"/>
      <c r="W416" s="32"/>
      <c r="X416" s="32"/>
      <c r="Y416" s="32"/>
      <c r="Z416" s="32"/>
      <c r="AA416" s="32"/>
      <c r="AB416" s="32"/>
      <c r="AC416" s="32"/>
      <c r="AD416" s="32"/>
      <c r="AE416" s="32"/>
      <c r="AF416" s="32"/>
      <c r="AG416" s="32"/>
      <c r="AH416" s="32"/>
      <c r="AI416" s="32"/>
      <c r="AJ416" s="32"/>
      <c r="AK416" s="32"/>
      <c r="AL416" s="32"/>
    </row>
    <row r="417" spans="2:38" x14ac:dyDescent="0.2">
      <c r="B417" s="32"/>
      <c r="C417" s="32"/>
      <c r="D417" s="32"/>
      <c r="E417" s="32"/>
      <c r="F417" s="32"/>
      <c r="G417" s="32"/>
      <c r="H417" s="32"/>
      <c r="I417" s="32"/>
      <c r="J417" s="32"/>
      <c r="K417" s="32"/>
      <c r="L417" s="32"/>
      <c r="M417" s="32"/>
      <c r="N417" s="32"/>
      <c r="O417" s="32"/>
      <c r="P417" s="32"/>
      <c r="Q417" s="32"/>
      <c r="R417" s="32"/>
      <c r="S417" s="32"/>
      <c r="T417" s="32"/>
      <c r="U417" s="32"/>
      <c r="V417" s="32"/>
      <c r="W417" s="32"/>
      <c r="X417" s="32"/>
      <c r="Y417" s="32"/>
      <c r="Z417" s="32"/>
      <c r="AA417" s="32"/>
      <c r="AB417" s="32"/>
      <c r="AC417" s="32"/>
      <c r="AD417" s="32"/>
      <c r="AE417" s="32"/>
      <c r="AF417" s="32"/>
      <c r="AG417" s="32"/>
      <c r="AH417" s="32"/>
      <c r="AI417" s="32"/>
      <c r="AJ417" s="32"/>
      <c r="AK417" s="32"/>
      <c r="AL417" s="32"/>
    </row>
    <row r="418" spans="2:38" x14ac:dyDescent="0.2">
      <c r="B418" s="32"/>
      <c r="C418" s="32"/>
      <c r="D418" s="32"/>
      <c r="E418" s="32"/>
      <c r="F418" s="32"/>
      <c r="G418" s="32"/>
      <c r="H418" s="32"/>
      <c r="I418" s="32"/>
      <c r="J418" s="32"/>
      <c r="K418" s="32"/>
      <c r="L418" s="32"/>
      <c r="M418" s="32"/>
      <c r="N418" s="32"/>
      <c r="O418" s="32"/>
      <c r="P418" s="32"/>
      <c r="Q418" s="32"/>
      <c r="R418" s="32"/>
      <c r="S418" s="32"/>
      <c r="T418" s="32"/>
      <c r="U418" s="32"/>
      <c r="V418" s="32"/>
      <c r="W418" s="32"/>
      <c r="X418" s="32"/>
      <c r="Y418" s="32"/>
      <c r="Z418" s="32"/>
      <c r="AA418" s="32"/>
      <c r="AB418" s="32"/>
      <c r="AC418" s="32"/>
      <c r="AD418" s="32"/>
      <c r="AE418" s="32"/>
      <c r="AF418" s="32"/>
      <c r="AG418" s="32"/>
      <c r="AH418" s="32"/>
      <c r="AI418" s="32"/>
      <c r="AJ418" s="32"/>
      <c r="AK418" s="32"/>
      <c r="AL418" s="32"/>
    </row>
    <row r="419" spans="2:38" x14ac:dyDescent="0.2">
      <c r="B419" s="32"/>
      <c r="C419" s="32"/>
      <c r="D419" s="32"/>
      <c r="E419" s="32"/>
      <c r="F419" s="32"/>
      <c r="G419" s="32"/>
      <c r="H419" s="32"/>
      <c r="I419" s="32"/>
      <c r="J419" s="32"/>
      <c r="K419" s="32"/>
      <c r="L419" s="32"/>
      <c r="M419" s="32"/>
      <c r="N419" s="32"/>
      <c r="O419" s="32"/>
      <c r="P419" s="32"/>
      <c r="Q419" s="32"/>
      <c r="R419" s="32"/>
      <c r="S419" s="32"/>
      <c r="T419" s="32"/>
      <c r="U419" s="32"/>
      <c r="V419" s="32"/>
      <c r="W419" s="32"/>
      <c r="X419" s="32"/>
      <c r="Y419" s="32"/>
      <c r="Z419" s="32"/>
      <c r="AA419" s="32"/>
      <c r="AB419" s="32"/>
      <c r="AC419" s="32"/>
      <c r="AD419" s="32"/>
      <c r="AE419" s="32"/>
      <c r="AF419" s="32"/>
      <c r="AG419" s="32"/>
      <c r="AH419" s="32"/>
      <c r="AI419" s="32"/>
      <c r="AJ419" s="32"/>
      <c r="AK419" s="32"/>
      <c r="AL419" s="32"/>
    </row>
    <row r="420" spans="2:38" x14ac:dyDescent="0.2">
      <c r="B420" s="32"/>
      <c r="C420" s="32"/>
      <c r="D420" s="32"/>
      <c r="E420" s="32"/>
      <c r="F420" s="32"/>
      <c r="G420" s="32"/>
      <c r="H420" s="32"/>
      <c r="I420" s="32"/>
      <c r="J420" s="32"/>
      <c r="K420" s="32"/>
      <c r="L420" s="32"/>
      <c r="M420" s="32"/>
      <c r="N420" s="32"/>
      <c r="O420" s="32"/>
      <c r="P420" s="32"/>
      <c r="Q420" s="32"/>
      <c r="R420" s="32"/>
      <c r="S420" s="32"/>
      <c r="T420" s="32"/>
      <c r="U420" s="32"/>
      <c r="V420" s="32"/>
      <c r="W420" s="32"/>
      <c r="X420" s="32"/>
      <c r="Y420" s="32"/>
      <c r="Z420" s="32"/>
      <c r="AA420" s="32"/>
      <c r="AB420" s="32"/>
      <c r="AC420" s="32"/>
      <c r="AD420" s="32"/>
      <c r="AE420" s="32"/>
      <c r="AF420" s="32"/>
      <c r="AG420" s="32"/>
      <c r="AH420" s="32"/>
      <c r="AI420" s="32"/>
      <c r="AJ420" s="32"/>
      <c r="AK420" s="32"/>
      <c r="AL420" s="32"/>
    </row>
    <row r="421" spans="2:38" x14ac:dyDescent="0.2">
      <c r="B421" s="32"/>
      <c r="C421" s="32"/>
      <c r="D421" s="32"/>
      <c r="E421" s="32"/>
      <c r="F421" s="32"/>
      <c r="G421" s="32"/>
      <c r="H421" s="32"/>
      <c r="I421" s="32"/>
      <c r="J421" s="32"/>
      <c r="K421" s="32"/>
      <c r="L421" s="32"/>
      <c r="M421" s="32"/>
      <c r="N421" s="32"/>
      <c r="O421" s="32"/>
      <c r="P421" s="32"/>
      <c r="Q421" s="32"/>
      <c r="R421" s="32"/>
      <c r="S421" s="32"/>
      <c r="T421" s="32"/>
      <c r="U421" s="32"/>
      <c r="V421" s="32"/>
      <c r="W421" s="32"/>
      <c r="X421" s="32"/>
      <c r="Y421" s="32"/>
      <c r="Z421" s="32"/>
      <c r="AA421" s="32"/>
      <c r="AB421" s="32"/>
      <c r="AC421" s="32"/>
      <c r="AD421" s="32"/>
      <c r="AE421" s="32"/>
      <c r="AF421" s="32"/>
      <c r="AG421" s="32"/>
      <c r="AH421" s="32"/>
      <c r="AI421" s="32"/>
      <c r="AJ421" s="32"/>
      <c r="AK421" s="32"/>
      <c r="AL421" s="32"/>
    </row>
    <row r="422" spans="2:38" x14ac:dyDescent="0.2">
      <c r="B422" s="32"/>
      <c r="C422" s="32"/>
      <c r="D422" s="32"/>
      <c r="E422" s="32"/>
      <c r="F422" s="32"/>
      <c r="G422" s="32"/>
      <c r="H422" s="32"/>
      <c r="I422" s="32"/>
      <c r="J422" s="32"/>
      <c r="K422" s="32"/>
      <c r="L422" s="32"/>
      <c r="M422" s="32"/>
      <c r="N422" s="32"/>
      <c r="O422" s="32"/>
      <c r="P422" s="32"/>
      <c r="Q422" s="32"/>
      <c r="R422" s="32"/>
      <c r="S422" s="32"/>
      <c r="T422" s="32"/>
      <c r="U422" s="32"/>
      <c r="V422" s="32"/>
      <c r="W422" s="32"/>
      <c r="X422" s="32"/>
      <c r="Y422" s="32"/>
      <c r="Z422" s="32"/>
      <c r="AA422" s="32"/>
      <c r="AB422" s="32"/>
      <c r="AC422" s="32"/>
      <c r="AD422" s="32"/>
      <c r="AE422" s="32"/>
      <c r="AF422" s="32"/>
      <c r="AG422" s="32"/>
      <c r="AH422" s="32"/>
      <c r="AI422" s="32"/>
      <c r="AJ422" s="32"/>
      <c r="AK422" s="32"/>
      <c r="AL422" s="32"/>
    </row>
    <row r="423" spans="2:38" x14ac:dyDescent="0.2">
      <c r="B423" s="32"/>
      <c r="C423" s="32"/>
      <c r="D423" s="32"/>
      <c r="E423" s="32"/>
      <c r="F423" s="32"/>
      <c r="G423" s="32"/>
      <c r="H423" s="32"/>
      <c r="I423" s="32"/>
      <c r="J423" s="32"/>
      <c r="K423" s="32"/>
      <c r="L423" s="32"/>
      <c r="M423" s="32"/>
      <c r="N423" s="32"/>
      <c r="O423" s="32"/>
      <c r="P423" s="32"/>
      <c r="Q423" s="32"/>
      <c r="R423" s="32"/>
      <c r="S423" s="32"/>
      <c r="T423" s="32"/>
      <c r="U423" s="32"/>
      <c r="V423" s="32"/>
      <c r="W423" s="32"/>
      <c r="X423" s="32"/>
      <c r="Y423" s="32"/>
      <c r="Z423" s="32"/>
      <c r="AA423" s="32"/>
      <c r="AB423" s="32"/>
      <c r="AC423" s="32"/>
      <c r="AD423" s="32"/>
      <c r="AE423" s="32"/>
      <c r="AF423" s="32"/>
      <c r="AG423" s="32"/>
      <c r="AH423" s="32"/>
      <c r="AI423" s="32"/>
      <c r="AJ423" s="32"/>
      <c r="AK423" s="32"/>
      <c r="AL423" s="32"/>
    </row>
    <row r="424" spans="2:38" x14ac:dyDescent="0.2">
      <c r="B424" s="32"/>
      <c r="C424" s="32"/>
      <c r="D424" s="32"/>
      <c r="E424" s="32"/>
      <c r="F424" s="32"/>
      <c r="G424" s="32"/>
      <c r="H424" s="32"/>
      <c r="I424" s="32"/>
      <c r="J424" s="32"/>
      <c r="K424" s="32"/>
      <c r="L424" s="32"/>
      <c r="M424" s="32"/>
      <c r="N424" s="32"/>
      <c r="O424" s="32"/>
      <c r="P424" s="32"/>
      <c r="Q424" s="32"/>
      <c r="R424" s="32"/>
      <c r="S424" s="32"/>
      <c r="T424" s="32"/>
      <c r="U424" s="32"/>
      <c r="V424" s="32"/>
      <c r="W424" s="32"/>
      <c r="X424" s="32"/>
      <c r="Y424" s="32"/>
      <c r="Z424" s="32"/>
      <c r="AA424" s="32"/>
      <c r="AB424" s="32"/>
      <c r="AC424" s="32"/>
      <c r="AD424" s="32"/>
      <c r="AE424" s="32"/>
      <c r="AF424" s="32"/>
      <c r="AG424" s="32"/>
      <c r="AH424" s="32"/>
      <c r="AI424" s="32"/>
      <c r="AJ424" s="32"/>
      <c r="AK424" s="32"/>
      <c r="AL424" s="32"/>
    </row>
    <row r="425" spans="2:38" x14ac:dyDescent="0.2">
      <c r="B425" s="32"/>
      <c r="C425" s="32"/>
      <c r="D425" s="32"/>
      <c r="E425" s="32"/>
      <c r="F425" s="32"/>
      <c r="G425" s="32"/>
      <c r="H425" s="32"/>
      <c r="I425" s="32"/>
      <c r="J425" s="32"/>
      <c r="K425" s="32"/>
      <c r="L425" s="32"/>
      <c r="M425" s="32"/>
      <c r="N425" s="32"/>
      <c r="O425" s="32"/>
      <c r="P425" s="32"/>
      <c r="Q425" s="32"/>
      <c r="R425" s="32"/>
      <c r="S425" s="32"/>
      <c r="T425" s="32"/>
      <c r="U425" s="32"/>
      <c r="V425" s="32"/>
      <c r="W425" s="32"/>
      <c r="X425" s="32"/>
      <c r="Y425" s="32"/>
      <c r="Z425" s="32"/>
      <c r="AA425" s="32"/>
      <c r="AB425" s="32"/>
      <c r="AC425" s="32"/>
      <c r="AD425" s="32"/>
      <c r="AE425" s="32"/>
      <c r="AF425" s="32"/>
      <c r="AG425" s="32"/>
      <c r="AH425" s="32"/>
      <c r="AI425" s="32"/>
      <c r="AJ425" s="32"/>
      <c r="AK425" s="32"/>
      <c r="AL425" s="32"/>
    </row>
    <row r="426" spans="2:38" x14ac:dyDescent="0.2">
      <c r="B426" s="32"/>
      <c r="C426" s="32"/>
      <c r="D426" s="32"/>
      <c r="E426" s="32"/>
      <c r="F426" s="32"/>
      <c r="G426" s="32"/>
      <c r="H426" s="32"/>
      <c r="I426" s="32"/>
      <c r="J426" s="32"/>
      <c r="K426" s="32"/>
      <c r="L426" s="32"/>
      <c r="M426" s="32"/>
      <c r="N426" s="32"/>
      <c r="O426" s="32"/>
      <c r="P426" s="32"/>
      <c r="Q426" s="32"/>
      <c r="R426" s="32"/>
      <c r="S426" s="32"/>
      <c r="T426" s="32"/>
      <c r="U426" s="32"/>
      <c r="V426" s="32"/>
      <c r="W426" s="32"/>
      <c r="X426" s="32"/>
      <c r="Y426" s="32"/>
      <c r="Z426" s="32"/>
      <c r="AA426" s="32"/>
      <c r="AB426" s="32"/>
      <c r="AC426" s="32"/>
      <c r="AD426" s="32"/>
      <c r="AE426" s="32"/>
      <c r="AF426" s="32"/>
      <c r="AG426" s="32"/>
      <c r="AH426" s="32"/>
      <c r="AI426" s="32"/>
      <c r="AJ426" s="32"/>
      <c r="AK426" s="32"/>
      <c r="AL426" s="32"/>
    </row>
    <row r="427" spans="2:38" x14ac:dyDescent="0.2">
      <c r="B427" s="32"/>
      <c r="C427" s="32"/>
      <c r="D427" s="32"/>
      <c r="E427" s="32"/>
      <c r="F427" s="32"/>
      <c r="G427" s="32"/>
      <c r="H427" s="32"/>
      <c r="I427" s="32"/>
      <c r="J427" s="32"/>
      <c r="K427" s="32"/>
      <c r="L427" s="32"/>
      <c r="M427" s="32"/>
      <c r="N427" s="32"/>
      <c r="O427" s="32"/>
      <c r="P427" s="32"/>
      <c r="Q427" s="32"/>
      <c r="R427" s="32"/>
      <c r="S427" s="32"/>
      <c r="T427" s="32"/>
      <c r="U427" s="32"/>
      <c r="V427" s="32"/>
      <c r="W427" s="32"/>
      <c r="X427" s="32"/>
      <c r="Y427" s="32"/>
      <c r="Z427" s="32"/>
      <c r="AA427" s="32"/>
      <c r="AB427" s="32"/>
      <c r="AC427" s="32"/>
      <c r="AD427" s="32"/>
      <c r="AE427" s="32"/>
      <c r="AF427" s="32"/>
      <c r="AG427" s="32"/>
      <c r="AH427" s="32"/>
      <c r="AI427" s="32"/>
      <c r="AJ427" s="32"/>
      <c r="AK427" s="32"/>
      <c r="AL427" s="32"/>
    </row>
    <row r="428" spans="2:38" x14ac:dyDescent="0.2">
      <c r="B428" s="32"/>
      <c r="C428" s="32"/>
      <c r="D428" s="32"/>
      <c r="E428" s="32"/>
      <c r="F428" s="32"/>
      <c r="G428" s="32"/>
      <c r="H428" s="32"/>
      <c r="I428" s="32"/>
      <c r="J428" s="32"/>
      <c r="K428" s="32"/>
      <c r="L428" s="32"/>
      <c r="M428" s="32"/>
      <c r="N428" s="32"/>
      <c r="O428" s="32"/>
      <c r="P428" s="32"/>
      <c r="Q428" s="32"/>
      <c r="R428" s="32"/>
      <c r="S428" s="32"/>
      <c r="T428" s="32"/>
      <c r="U428" s="32"/>
      <c r="V428" s="32"/>
      <c r="W428" s="32"/>
      <c r="X428" s="32"/>
      <c r="Y428" s="32"/>
      <c r="Z428" s="32"/>
      <c r="AA428" s="32"/>
      <c r="AB428" s="32"/>
      <c r="AC428" s="32"/>
      <c r="AD428" s="32"/>
      <c r="AE428" s="32"/>
      <c r="AF428" s="32"/>
      <c r="AG428" s="32"/>
      <c r="AH428" s="32"/>
      <c r="AI428" s="32"/>
      <c r="AJ428" s="32"/>
      <c r="AK428" s="32"/>
      <c r="AL428" s="32"/>
    </row>
    <row r="429" spans="2:38" x14ac:dyDescent="0.2">
      <c r="B429" s="32"/>
      <c r="C429" s="32"/>
      <c r="D429" s="32"/>
      <c r="E429" s="32"/>
      <c r="F429" s="32"/>
      <c r="G429" s="32"/>
      <c r="H429" s="32"/>
      <c r="I429" s="32"/>
      <c r="J429" s="32"/>
      <c r="K429" s="32"/>
      <c r="L429" s="32"/>
      <c r="M429" s="32"/>
      <c r="N429" s="32"/>
      <c r="O429" s="32"/>
      <c r="P429" s="32"/>
      <c r="Q429" s="32"/>
      <c r="R429" s="32"/>
      <c r="S429" s="32"/>
      <c r="T429" s="32"/>
      <c r="U429" s="32"/>
      <c r="V429" s="32"/>
      <c r="W429" s="32"/>
      <c r="X429" s="32"/>
      <c r="Y429" s="32"/>
      <c r="Z429" s="32"/>
      <c r="AA429" s="32"/>
      <c r="AB429" s="32"/>
      <c r="AC429" s="32"/>
      <c r="AD429" s="32"/>
      <c r="AE429" s="32"/>
      <c r="AF429" s="32"/>
      <c r="AG429" s="32"/>
      <c r="AH429" s="32"/>
      <c r="AI429" s="32"/>
      <c r="AJ429" s="32"/>
      <c r="AK429" s="32"/>
      <c r="AL429" s="32"/>
    </row>
    <row r="430" spans="2:38" x14ac:dyDescent="0.2">
      <c r="B430" s="32"/>
      <c r="C430" s="32"/>
      <c r="D430" s="32"/>
      <c r="E430" s="32"/>
      <c r="F430" s="32"/>
      <c r="G430" s="32"/>
      <c r="H430" s="32"/>
      <c r="I430" s="32"/>
      <c r="J430" s="32"/>
      <c r="K430" s="32"/>
      <c r="L430" s="32"/>
      <c r="M430" s="32"/>
      <c r="N430" s="32"/>
      <c r="O430" s="32"/>
      <c r="P430" s="32"/>
      <c r="Q430" s="32"/>
      <c r="R430" s="32"/>
      <c r="S430" s="32"/>
      <c r="T430" s="32"/>
      <c r="U430" s="32"/>
      <c r="V430" s="32"/>
      <c r="W430" s="32"/>
      <c r="X430" s="32"/>
      <c r="Y430" s="32"/>
      <c r="Z430" s="32"/>
      <c r="AA430" s="32"/>
      <c r="AB430" s="32"/>
      <c r="AC430" s="32"/>
      <c r="AD430" s="32"/>
      <c r="AE430" s="32"/>
      <c r="AF430" s="32"/>
      <c r="AG430" s="32"/>
      <c r="AH430" s="32"/>
      <c r="AI430" s="32"/>
      <c r="AJ430" s="32"/>
      <c r="AK430" s="32"/>
      <c r="AL430" s="32"/>
    </row>
    <row r="431" spans="2:38" x14ac:dyDescent="0.2">
      <c r="B431" s="32"/>
      <c r="C431" s="32"/>
      <c r="D431" s="32"/>
      <c r="E431" s="32"/>
      <c r="F431" s="32"/>
      <c r="G431" s="32"/>
      <c r="H431" s="32"/>
      <c r="I431" s="32"/>
      <c r="J431" s="32"/>
      <c r="K431" s="32"/>
      <c r="L431" s="32"/>
      <c r="M431" s="32"/>
      <c r="N431" s="32"/>
      <c r="O431" s="32"/>
      <c r="P431" s="32"/>
      <c r="Q431" s="32"/>
      <c r="R431" s="32"/>
      <c r="S431" s="32"/>
      <c r="T431" s="32"/>
      <c r="U431" s="32"/>
      <c r="V431" s="32"/>
      <c r="W431" s="32"/>
      <c r="X431" s="32"/>
      <c r="Y431" s="32"/>
      <c r="Z431" s="32"/>
      <c r="AA431" s="32"/>
      <c r="AB431" s="32"/>
      <c r="AC431" s="32"/>
      <c r="AD431" s="32"/>
      <c r="AE431" s="32"/>
      <c r="AF431" s="32"/>
      <c r="AG431" s="32"/>
      <c r="AH431" s="32"/>
      <c r="AI431" s="32"/>
      <c r="AJ431" s="32"/>
      <c r="AK431" s="32"/>
      <c r="AL431" s="32"/>
    </row>
    <row r="432" spans="2:38" x14ac:dyDescent="0.2">
      <c r="B432" s="32"/>
      <c r="C432" s="32"/>
      <c r="D432" s="32"/>
      <c r="E432" s="32"/>
      <c r="F432" s="32"/>
      <c r="G432" s="32"/>
      <c r="H432" s="32"/>
      <c r="I432" s="32"/>
      <c r="J432" s="32"/>
      <c r="K432" s="32"/>
      <c r="L432" s="32"/>
      <c r="M432" s="32"/>
      <c r="N432" s="32"/>
      <c r="O432" s="32"/>
      <c r="P432" s="32"/>
      <c r="Q432" s="32"/>
      <c r="R432" s="32"/>
      <c r="S432" s="32"/>
      <c r="T432" s="32"/>
      <c r="U432" s="32"/>
      <c r="V432" s="32"/>
      <c r="W432" s="32"/>
      <c r="X432" s="32"/>
      <c r="Y432" s="32"/>
      <c r="Z432" s="32"/>
      <c r="AA432" s="32"/>
      <c r="AB432" s="32"/>
      <c r="AC432" s="32"/>
      <c r="AD432" s="32"/>
      <c r="AE432" s="32"/>
      <c r="AF432" s="32"/>
      <c r="AG432" s="32"/>
      <c r="AH432" s="32"/>
      <c r="AI432" s="32"/>
      <c r="AJ432" s="32"/>
      <c r="AK432" s="32"/>
      <c r="AL432" s="32"/>
    </row>
    <row r="433" spans="2:38" x14ac:dyDescent="0.2">
      <c r="B433" s="32"/>
      <c r="C433" s="32"/>
      <c r="D433" s="32"/>
      <c r="E433" s="32"/>
      <c r="F433" s="32"/>
      <c r="G433" s="32"/>
      <c r="H433" s="32"/>
      <c r="I433" s="32"/>
      <c r="J433" s="32"/>
      <c r="K433" s="32"/>
      <c r="L433" s="32"/>
      <c r="M433" s="32"/>
      <c r="N433" s="32"/>
      <c r="O433" s="32"/>
      <c r="P433" s="32"/>
      <c r="Q433" s="32"/>
      <c r="R433" s="32"/>
      <c r="S433" s="32"/>
      <c r="T433" s="32"/>
      <c r="U433" s="32"/>
      <c r="V433" s="32"/>
      <c r="W433" s="32"/>
      <c r="X433" s="32"/>
      <c r="Y433" s="32"/>
      <c r="Z433" s="32"/>
      <c r="AA433" s="32"/>
      <c r="AB433" s="32"/>
      <c r="AC433" s="32"/>
      <c r="AD433" s="32"/>
      <c r="AE433" s="32"/>
      <c r="AF433" s="32"/>
      <c r="AG433" s="32"/>
      <c r="AH433" s="32"/>
      <c r="AI433" s="32"/>
      <c r="AJ433" s="32"/>
      <c r="AK433" s="32"/>
      <c r="AL433" s="32"/>
    </row>
    <row r="434" spans="2:38" x14ac:dyDescent="0.2">
      <c r="B434" s="32"/>
      <c r="C434" s="32"/>
      <c r="D434" s="32"/>
      <c r="E434" s="32"/>
      <c r="F434" s="32"/>
      <c r="G434" s="32"/>
      <c r="H434" s="32"/>
      <c r="I434" s="32"/>
      <c r="J434" s="32"/>
      <c r="K434" s="32"/>
      <c r="L434" s="32"/>
      <c r="M434" s="32"/>
      <c r="N434" s="32"/>
      <c r="O434" s="32"/>
      <c r="P434" s="32"/>
      <c r="Q434" s="32"/>
      <c r="R434" s="32"/>
      <c r="S434" s="32"/>
      <c r="T434" s="32"/>
      <c r="U434" s="32"/>
      <c r="V434" s="32"/>
      <c r="W434" s="32"/>
      <c r="X434" s="32"/>
      <c r="Y434" s="32"/>
      <c r="Z434" s="32"/>
      <c r="AA434" s="32"/>
      <c r="AB434" s="32"/>
      <c r="AC434" s="32"/>
      <c r="AD434" s="32"/>
      <c r="AE434" s="32"/>
      <c r="AF434" s="32"/>
      <c r="AG434" s="32"/>
      <c r="AH434" s="32"/>
      <c r="AI434" s="32"/>
      <c r="AJ434" s="32"/>
      <c r="AK434" s="32"/>
      <c r="AL434" s="32"/>
    </row>
    <row r="435" spans="2:38" x14ac:dyDescent="0.2">
      <c r="B435" s="32"/>
      <c r="C435" s="32"/>
      <c r="D435" s="32"/>
      <c r="E435" s="32"/>
      <c r="F435" s="32"/>
      <c r="G435" s="32"/>
      <c r="H435" s="32"/>
      <c r="I435" s="32"/>
      <c r="J435" s="32"/>
      <c r="K435" s="32"/>
      <c r="L435" s="32"/>
      <c r="M435" s="32"/>
      <c r="N435" s="32"/>
      <c r="O435" s="32"/>
      <c r="P435" s="32"/>
      <c r="Q435" s="32"/>
      <c r="R435" s="32"/>
      <c r="S435" s="32"/>
      <c r="T435" s="32"/>
      <c r="U435" s="32"/>
      <c r="V435" s="32"/>
      <c r="W435" s="32"/>
      <c r="X435" s="32"/>
      <c r="Y435" s="32"/>
      <c r="Z435" s="32"/>
      <c r="AA435" s="32"/>
      <c r="AB435" s="32"/>
      <c r="AC435" s="32"/>
      <c r="AD435" s="32"/>
      <c r="AE435" s="32"/>
      <c r="AF435" s="32"/>
      <c r="AG435" s="32"/>
      <c r="AH435" s="32"/>
      <c r="AI435" s="32"/>
      <c r="AJ435" s="32"/>
      <c r="AK435" s="32"/>
      <c r="AL435" s="32"/>
    </row>
    <row r="436" spans="2:38" x14ac:dyDescent="0.2">
      <c r="B436" s="32"/>
      <c r="C436" s="32"/>
      <c r="D436" s="32"/>
      <c r="E436" s="32"/>
      <c r="F436" s="32"/>
      <c r="G436" s="32"/>
      <c r="H436" s="32"/>
      <c r="I436" s="32"/>
      <c r="J436" s="32"/>
      <c r="K436" s="32"/>
      <c r="L436" s="32"/>
      <c r="M436" s="32"/>
      <c r="N436" s="32"/>
      <c r="O436" s="32"/>
      <c r="P436" s="32"/>
      <c r="Q436" s="32"/>
      <c r="R436" s="32"/>
      <c r="S436" s="32"/>
      <c r="T436" s="32"/>
      <c r="U436" s="32"/>
      <c r="V436" s="32"/>
      <c r="W436" s="32"/>
      <c r="X436" s="32"/>
      <c r="Y436" s="32"/>
      <c r="Z436" s="32"/>
      <c r="AA436" s="32"/>
      <c r="AB436" s="32"/>
      <c r="AC436" s="32"/>
      <c r="AD436" s="32"/>
      <c r="AE436" s="32"/>
      <c r="AF436" s="32"/>
      <c r="AG436" s="32"/>
      <c r="AH436" s="32"/>
      <c r="AI436" s="32"/>
      <c r="AJ436" s="32"/>
      <c r="AK436" s="32"/>
      <c r="AL436" s="32"/>
    </row>
    <row r="437" spans="2:38" x14ac:dyDescent="0.2">
      <c r="B437" s="32"/>
      <c r="C437" s="32"/>
      <c r="D437" s="32"/>
      <c r="E437" s="32"/>
      <c r="F437" s="32"/>
      <c r="G437" s="32"/>
      <c r="H437" s="32"/>
      <c r="I437" s="32"/>
      <c r="J437" s="32"/>
      <c r="K437" s="32"/>
      <c r="L437" s="32"/>
      <c r="M437" s="32"/>
      <c r="N437" s="32"/>
      <c r="O437" s="32"/>
      <c r="P437" s="32"/>
      <c r="Q437" s="32"/>
      <c r="R437" s="32"/>
      <c r="S437" s="32"/>
      <c r="T437" s="32"/>
      <c r="U437" s="32"/>
      <c r="V437" s="32"/>
      <c r="W437" s="32"/>
      <c r="X437" s="32"/>
      <c r="Y437" s="32"/>
      <c r="Z437" s="32"/>
      <c r="AA437" s="32"/>
      <c r="AB437" s="32"/>
      <c r="AC437" s="32"/>
      <c r="AD437" s="32"/>
      <c r="AE437" s="32"/>
      <c r="AF437" s="32"/>
      <c r="AG437" s="32"/>
      <c r="AH437" s="32"/>
      <c r="AI437" s="32"/>
      <c r="AJ437" s="32"/>
      <c r="AK437" s="32"/>
      <c r="AL437" s="32"/>
    </row>
    <row r="438" spans="2:38" x14ac:dyDescent="0.2">
      <c r="B438" s="32"/>
      <c r="C438" s="32"/>
      <c r="D438" s="32"/>
      <c r="E438" s="32"/>
      <c r="F438" s="32"/>
      <c r="G438" s="32"/>
      <c r="H438" s="32"/>
      <c r="I438" s="32"/>
      <c r="J438" s="32"/>
      <c r="K438" s="32"/>
      <c r="L438" s="32"/>
      <c r="M438" s="32"/>
      <c r="N438" s="32"/>
      <c r="O438" s="32"/>
      <c r="P438" s="32"/>
      <c r="Q438" s="32"/>
      <c r="R438" s="32"/>
      <c r="S438" s="32"/>
      <c r="T438" s="32"/>
      <c r="U438" s="32"/>
      <c r="V438" s="32"/>
      <c r="W438" s="32"/>
      <c r="X438" s="32"/>
      <c r="Y438" s="32"/>
      <c r="Z438" s="32"/>
      <c r="AA438" s="32"/>
      <c r="AB438" s="32"/>
      <c r="AC438" s="32"/>
      <c r="AD438" s="32"/>
      <c r="AE438" s="32"/>
      <c r="AF438" s="32"/>
      <c r="AG438" s="32"/>
      <c r="AH438" s="32"/>
      <c r="AI438" s="32"/>
      <c r="AJ438" s="32"/>
      <c r="AK438" s="32"/>
      <c r="AL438" s="32"/>
    </row>
    <row r="439" spans="2:38" x14ac:dyDescent="0.2">
      <c r="B439" s="32"/>
      <c r="C439" s="32"/>
      <c r="D439" s="32"/>
      <c r="E439" s="32"/>
      <c r="F439" s="32"/>
      <c r="G439" s="32"/>
      <c r="H439" s="32"/>
      <c r="I439" s="32"/>
      <c r="J439" s="32"/>
      <c r="K439" s="32"/>
      <c r="L439" s="32"/>
      <c r="M439" s="32"/>
      <c r="N439" s="32"/>
      <c r="O439" s="32"/>
      <c r="P439" s="32"/>
      <c r="Q439" s="32"/>
      <c r="R439" s="32"/>
      <c r="S439" s="32"/>
      <c r="T439" s="32"/>
      <c r="U439" s="32"/>
      <c r="V439" s="32"/>
      <c r="W439" s="32"/>
      <c r="X439" s="32"/>
      <c r="Y439" s="32"/>
      <c r="Z439" s="32"/>
      <c r="AA439" s="32"/>
      <c r="AB439" s="32"/>
      <c r="AC439" s="32"/>
      <c r="AD439" s="32"/>
      <c r="AE439" s="32"/>
      <c r="AF439" s="32"/>
      <c r="AG439" s="32"/>
      <c r="AH439" s="32"/>
      <c r="AI439" s="32"/>
      <c r="AJ439" s="32"/>
      <c r="AK439" s="32"/>
      <c r="AL439" s="32"/>
    </row>
    <row r="440" spans="2:38" x14ac:dyDescent="0.2">
      <c r="B440" s="32"/>
      <c r="C440" s="32"/>
      <c r="D440" s="32"/>
      <c r="E440" s="32"/>
      <c r="F440" s="32"/>
      <c r="G440" s="32"/>
      <c r="H440" s="32"/>
      <c r="I440" s="32"/>
      <c r="J440" s="32"/>
      <c r="K440" s="32"/>
      <c r="L440" s="32"/>
      <c r="M440" s="32"/>
      <c r="N440" s="32"/>
      <c r="O440" s="32"/>
      <c r="P440" s="32"/>
      <c r="Q440" s="32"/>
      <c r="R440" s="32"/>
      <c r="S440" s="32"/>
      <c r="T440" s="32"/>
      <c r="U440" s="32"/>
      <c r="V440" s="32"/>
      <c r="W440" s="32"/>
      <c r="X440" s="32"/>
      <c r="Y440" s="32"/>
      <c r="Z440" s="32"/>
      <c r="AA440" s="32"/>
      <c r="AB440" s="32"/>
      <c r="AC440" s="32"/>
      <c r="AD440" s="32"/>
      <c r="AE440" s="32"/>
      <c r="AF440" s="32"/>
      <c r="AG440" s="32"/>
      <c r="AH440" s="32"/>
      <c r="AI440" s="32"/>
      <c r="AJ440" s="32"/>
      <c r="AK440" s="32"/>
      <c r="AL440" s="32"/>
    </row>
    <row r="441" spans="2:38" x14ac:dyDescent="0.2">
      <c r="B441" s="32"/>
      <c r="C441" s="32"/>
      <c r="D441" s="32"/>
      <c r="E441" s="32"/>
      <c r="F441" s="32"/>
      <c r="G441" s="32"/>
      <c r="H441" s="32"/>
      <c r="I441" s="32"/>
      <c r="J441" s="32"/>
      <c r="K441" s="32"/>
      <c r="L441" s="32"/>
      <c r="M441" s="32"/>
      <c r="N441" s="32"/>
      <c r="O441" s="32"/>
      <c r="P441" s="32"/>
      <c r="Q441" s="32"/>
      <c r="R441" s="32"/>
      <c r="S441" s="32"/>
      <c r="T441" s="32"/>
      <c r="U441" s="32"/>
      <c r="V441" s="32"/>
      <c r="W441" s="32"/>
      <c r="X441" s="32"/>
      <c r="Y441" s="32"/>
      <c r="Z441" s="32"/>
      <c r="AA441" s="32"/>
      <c r="AB441" s="32"/>
      <c r="AC441" s="32"/>
      <c r="AD441" s="32"/>
      <c r="AE441" s="32"/>
      <c r="AF441" s="32"/>
      <c r="AG441" s="32"/>
      <c r="AH441" s="32"/>
      <c r="AI441" s="32"/>
      <c r="AJ441" s="32"/>
      <c r="AK441" s="32"/>
      <c r="AL441" s="32"/>
    </row>
    <row r="442" spans="2:38" x14ac:dyDescent="0.2">
      <c r="B442" s="32"/>
      <c r="C442" s="32"/>
      <c r="D442" s="32"/>
      <c r="E442" s="32"/>
      <c r="F442" s="32"/>
      <c r="G442" s="32"/>
      <c r="H442" s="32"/>
      <c r="I442" s="32"/>
      <c r="J442" s="32"/>
      <c r="K442" s="32"/>
      <c r="L442" s="32"/>
      <c r="M442" s="32"/>
      <c r="N442" s="32"/>
      <c r="O442" s="32"/>
      <c r="P442" s="32"/>
      <c r="Q442" s="32"/>
      <c r="R442" s="32"/>
      <c r="S442" s="32"/>
      <c r="T442" s="32"/>
      <c r="U442" s="32"/>
      <c r="V442" s="32"/>
      <c r="W442" s="32"/>
      <c r="X442" s="32"/>
      <c r="Y442" s="32"/>
      <c r="Z442" s="32"/>
      <c r="AA442" s="32"/>
      <c r="AB442" s="32"/>
      <c r="AC442" s="32"/>
      <c r="AD442" s="32"/>
      <c r="AE442" s="32"/>
      <c r="AF442" s="32"/>
      <c r="AG442" s="32"/>
      <c r="AH442" s="32"/>
      <c r="AI442" s="32"/>
      <c r="AJ442" s="32"/>
      <c r="AK442" s="32"/>
      <c r="AL442" s="32"/>
    </row>
    <row r="443" spans="2:38" x14ac:dyDescent="0.2">
      <c r="B443" s="32"/>
      <c r="C443" s="32"/>
      <c r="D443" s="32"/>
      <c r="E443" s="32"/>
      <c r="F443" s="32"/>
      <c r="G443" s="32"/>
      <c r="H443" s="32"/>
      <c r="I443" s="32"/>
      <c r="J443" s="32"/>
      <c r="K443" s="32"/>
      <c r="L443" s="32"/>
      <c r="M443" s="32"/>
      <c r="N443" s="32"/>
      <c r="O443" s="32"/>
      <c r="P443" s="32"/>
      <c r="Q443" s="32"/>
      <c r="R443" s="32"/>
      <c r="S443" s="32"/>
      <c r="T443" s="32"/>
      <c r="U443" s="32"/>
      <c r="V443" s="32"/>
      <c r="W443" s="32"/>
      <c r="X443" s="32"/>
      <c r="Y443" s="32"/>
      <c r="Z443" s="32"/>
      <c r="AA443" s="32"/>
      <c r="AB443" s="32"/>
      <c r="AC443" s="32"/>
      <c r="AD443" s="32"/>
      <c r="AE443" s="32"/>
      <c r="AF443" s="32"/>
      <c r="AG443" s="32"/>
      <c r="AH443" s="32"/>
      <c r="AI443" s="32"/>
      <c r="AJ443" s="32"/>
      <c r="AK443" s="32"/>
      <c r="AL443" s="32"/>
    </row>
    <row r="444" spans="2:38" x14ac:dyDescent="0.2">
      <c r="B444" s="32"/>
      <c r="C444" s="32"/>
      <c r="D444" s="32"/>
      <c r="E444" s="32"/>
      <c r="F444" s="32"/>
      <c r="G444" s="32"/>
      <c r="H444" s="32"/>
      <c r="I444" s="32"/>
      <c r="J444" s="32"/>
      <c r="K444" s="32"/>
      <c r="L444" s="32"/>
      <c r="M444" s="32"/>
      <c r="N444" s="32"/>
      <c r="O444" s="32"/>
      <c r="P444" s="32"/>
      <c r="Q444" s="32"/>
      <c r="R444" s="32"/>
      <c r="S444" s="32"/>
      <c r="T444" s="32"/>
      <c r="U444" s="32"/>
      <c r="V444" s="32"/>
      <c r="W444" s="32"/>
      <c r="X444" s="32"/>
      <c r="Y444" s="32"/>
      <c r="Z444" s="32"/>
      <c r="AA444" s="32"/>
      <c r="AB444" s="32"/>
      <c r="AC444" s="32"/>
      <c r="AD444" s="32"/>
      <c r="AE444" s="32"/>
      <c r="AF444" s="32"/>
      <c r="AG444" s="32"/>
      <c r="AH444" s="32"/>
      <c r="AI444" s="32"/>
      <c r="AJ444" s="32"/>
      <c r="AK444" s="32"/>
      <c r="AL444" s="32"/>
    </row>
    <row r="445" spans="2:38" x14ac:dyDescent="0.2">
      <c r="B445" s="32"/>
      <c r="C445" s="32"/>
      <c r="D445" s="32"/>
      <c r="E445" s="32"/>
      <c r="F445" s="32"/>
      <c r="G445" s="32"/>
      <c r="H445" s="32"/>
      <c r="I445" s="32"/>
      <c r="J445" s="32"/>
      <c r="K445" s="32"/>
      <c r="L445" s="32"/>
      <c r="M445" s="32"/>
      <c r="N445" s="32"/>
      <c r="O445" s="32"/>
      <c r="P445" s="32"/>
      <c r="Q445" s="32"/>
      <c r="R445" s="32"/>
      <c r="S445" s="32"/>
      <c r="T445" s="32"/>
      <c r="U445" s="32"/>
      <c r="V445" s="32"/>
      <c r="W445" s="32"/>
      <c r="X445" s="32"/>
      <c r="Y445" s="32"/>
      <c r="Z445" s="32"/>
      <c r="AA445" s="32"/>
      <c r="AB445" s="32"/>
      <c r="AC445" s="32"/>
      <c r="AD445" s="32"/>
      <c r="AE445" s="32"/>
      <c r="AF445" s="32"/>
      <c r="AG445" s="32"/>
      <c r="AH445" s="32"/>
      <c r="AI445" s="32"/>
      <c r="AJ445" s="32"/>
      <c r="AK445" s="32"/>
      <c r="AL445" s="32"/>
    </row>
    <row r="446" spans="2:38" x14ac:dyDescent="0.2">
      <c r="B446" s="32"/>
      <c r="C446" s="32"/>
      <c r="D446" s="32"/>
      <c r="E446" s="32"/>
      <c r="F446" s="32"/>
      <c r="G446" s="32"/>
      <c r="H446" s="32"/>
      <c r="I446" s="32"/>
      <c r="J446" s="32"/>
      <c r="K446" s="32"/>
      <c r="L446" s="32"/>
      <c r="M446" s="32"/>
      <c r="N446" s="32"/>
      <c r="O446" s="32"/>
      <c r="P446" s="32"/>
      <c r="Q446" s="32"/>
      <c r="R446" s="32"/>
      <c r="S446" s="32"/>
      <c r="T446" s="32"/>
      <c r="U446" s="32"/>
      <c r="V446" s="32"/>
      <c r="W446" s="32"/>
      <c r="X446" s="32"/>
      <c r="Y446" s="32"/>
      <c r="Z446" s="32"/>
      <c r="AA446" s="32"/>
      <c r="AB446" s="32"/>
      <c r="AC446" s="32"/>
      <c r="AD446" s="32"/>
      <c r="AE446" s="32"/>
      <c r="AF446" s="32"/>
      <c r="AG446" s="32"/>
      <c r="AH446" s="32"/>
      <c r="AI446" s="32"/>
      <c r="AJ446" s="32"/>
      <c r="AK446" s="32"/>
      <c r="AL446" s="32"/>
    </row>
    <row r="447" spans="2:38" x14ac:dyDescent="0.2">
      <c r="B447" s="32"/>
      <c r="C447" s="32"/>
      <c r="D447" s="32"/>
      <c r="E447" s="32"/>
      <c r="F447" s="32"/>
      <c r="G447" s="32"/>
      <c r="H447" s="32"/>
      <c r="I447" s="32"/>
      <c r="J447" s="32"/>
      <c r="K447" s="32"/>
      <c r="L447" s="32"/>
      <c r="M447" s="32"/>
      <c r="N447" s="32"/>
      <c r="O447" s="32"/>
      <c r="P447" s="32"/>
      <c r="Q447" s="32"/>
      <c r="R447" s="32"/>
      <c r="S447" s="32"/>
      <c r="T447" s="32"/>
      <c r="U447" s="32"/>
      <c r="V447" s="32"/>
      <c r="W447" s="32"/>
      <c r="X447" s="32"/>
      <c r="Y447" s="32"/>
      <c r="Z447" s="32"/>
      <c r="AA447" s="32"/>
      <c r="AB447" s="32"/>
      <c r="AC447" s="32"/>
      <c r="AD447" s="32"/>
      <c r="AE447" s="32"/>
      <c r="AF447" s="32"/>
      <c r="AG447" s="32"/>
      <c r="AH447" s="32"/>
      <c r="AI447" s="32"/>
      <c r="AJ447" s="32"/>
      <c r="AK447" s="32"/>
      <c r="AL447" s="32"/>
    </row>
    <row r="448" spans="2:38" x14ac:dyDescent="0.2">
      <c r="B448" s="32"/>
      <c r="C448" s="32"/>
      <c r="D448" s="32"/>
      <c r="E448" s="32"/>
      <c r="F448" s="32"/>
      <c r="G448" s="32"/>
      <c r="H448" s="32"/>
      <c r="I448" s="32"/>
      <c r="J448" s="32"/>
      <c r="K448" s="32"/>
      <c r="L448" s="32"/>
      <c r="M448" s="32"/>
      <c r="N448" s="32"/>
      <c r="O448" s="32"/>
      <c r="P448" s="32"/>
      <c r="Q448" s="32"/>
      <c r="R448" s="32"/>
      <c r="S448" s="32"/>
      <c r="T448" s="32"/>
      <c r="U448" s="32"/>
      <c r="V448" s="32"/>
      <c r="W448" s="32"/>
      <c r="X448" s="32"/>
      <c r="Y448" s="32"/>
      <c r="Z448" s="32"/>
      <c r="AA448" s="32"/>
      <c r="AB448" s="32"/>
      <c r="AC448" s="32"/>
      <c r="AD448" s="32"/>
      <c r="AE448" s="32"/>
      <c r="AF448" s="32"/>
      <c r="AG448" s="32"/>
      <c r="AH448" s="32"/>
      <c r="AI448" s="32"/>
      <c r="AJ448" s="32"/>
      <c r="AK448" s="32"/>
      <c r="AL448" s="32"/>
    </row>
    <row r="449" spans="2:38" x14ac:dyDescent="0.2">
      <c r="B449" s="32"/>
      <c r="C449" s="32"/>
      <c r="D449" s="32"/>
      <c r="E449" s="32"/>
      <c r="F449" s="32"/>
      <c r="G449" s="32"/>
      <c r="H449" s="32"/>
      <c r="I449" s="32"/>
      <c r="J449" s="32"/>
      <c r="K449" s="32"/>
      <c r="L449" s="32"/>
      <c r="M449" s="32"/>
      <c r="N449" s="32"/>
      <c r="O449" s="32"/>
      <c r="P449" s="32"/>
      <c r="Q449" s="32"/>
      <c r="R449" s="32"/>
      <c r="S449" s="32"/>
      <c r="T449" s="32"/>
      <c r="U449" s="32"/>
      <c r="V449" s="32"/>
      <c r="W449" s="32"/>
      <c r="X449" s="32"/>
      <c r="Y449" s="32"/>
      <c r="Z449" s="32"/>
      <c r="AA449" s="32"/>
      <c r="AB449" s="32"/>
      <c r="AC449" s="32"/>
      <c r="AD449" s="32"/>
      <c r="AE449" s="32"/>
      <c r="AF449" s="32"/>
      <c r="AG449" s="32"/>
      <c r="AH449" s="32"/>
      <c r="AI449" s="32"/>
      <c r="AJ449" s="32"/>
      <c r="AK449" s="32"/>
      <c r="AL449" s="32"/>
    </row>
    <row r="450" spans="2:38" x14ac:dyDescent="0.2">
      <c r="B450" s="32"/>
      <c r="C450" s="32"/>
      <c r="D450" s="32"/>
      <c r="E450" s="32"/>
      <c r="F450" s="32"/>
      <c r="G450" s="32"/>
      <c r="H450" s="32"/>
      <c r="I450" s="32"/>
      <c r="J450" s="32"/>
      <c r="K450" s="32"/>
      <c r="L450" s="32"/>
      <c r="M450" s="32"/>
      <c r="N450" s="32"/>
      <c r="O450" s="32"/>
      <c r="P450" s="32"/>
      <c r="Q450" s="32"/>
      <c r="R450" s="32"/>
      <c r="S450" s="32"/>
      <c r="T450" s="32"/>
      <c r="U450" s="32"/>
      <c r="V450" s="32"/>
      <c r="W450" s="32"/>
      <c r="X450" s="32"/>
      <c r="Y450" s="32"/>
      <c r="Z450" s="32"/>
      <c r="AA450" s="32"/>
      <c r="AB450" s="32"/>
      <c r="AC450" s="32"/>
      <c r="AD450" s="32"/>
      <c r="AE450" s="32"/>
      <c r="AF450" s="32"/>
      <c r="AG450" s="32"/>
      <c r="AH450" s="32"/>
      <c r="AI450" s="32"/>
      <c r="AJ450" s="32"/>
      <c r="AK450" s="32"/>
      <c r="AL450" s="32"/>
    </row>
    <row r="451" spans="2:38" x14ac:dyDescent="0.2">
      <c r="B451" s="32"/>
      <c r="C451" s="32"/>
      <c r="D451" s="32"/>
      <c r="E451" s="32"/>
      <c r="F451" s="32"/>
      <c r="G451" s="32"/>
      <c r="H451" s="32"/>
      <c r="I451" s="32"/>
      <c r="J451" s="32"/>
      <c r="K451" s="32"/>
      <c r="L451" s="32"/>
      <c r="M451" s="32"/>
      <c r="N451" s="32"/>
      <c r="O451" s="32"/>
      <c r="P451" s="32"/>
      <c r="Q451" s="32"/>
      <c r="R451" s="32"/>
      <c r="S451" s="32"/>
      <c r="T451" s="32"/>
      <c r="U451" s="32"/>
      <c r="V451" s="32"/>
      <c r="W451" s="32"/>
      <c r="X451" s="32"/>
      <c r="Y451" s="32"/>
      <c r="Z451" s="32"/>
      <c r="AA451" s="32"/>
      <c r="AB451" s="32"/>
      <c r="AC451" s="32"/>
      <c r="AD451" s="32"/>
      <c r="AE451" s="32"/>
      <c r="AF451" s="32"/>
      <c r="AG451" s="32"/>
      <c r="AH451" s="32"/>
      <c r="AI451" s="32"/>
      <c r="AJ451" s="32"/>
      <c r="AK451" s="32"/>
      <c r="AL451" s="32"/>
    </row>
    <row r="452" spans="2:38" x14ac:dyDescent="0.2">
      <c r="B452" s="32"/>
      <c r="C452" s="32"/>
      <c r="D452" s="32"/>
      <c r="E452" s="32"/>
      <c r="F452" s="32"/>
      <c r="G452" s="32"/>
      <c r="H452" s="32"/>
      <c r="I452" s="32"/>
      <c r="J452" s="32"/>
      <c r="K452" s="32"/>
      <c r="L452" s="32"/>
      <c r="M452" s="32"/>
      <c r="N452" s="32"/>
      <c r="O452" s="32"/>
      <c r="P452" s="32"/>
      <c r="Q452" s="32"/>
      <c r="R452" s="32"/>
      <c r="S452" s="32"/>
      <c r="T452" s="32"/>
      <c r="U452" s="32"/>
      <c r="V452" s="32"/>
      <c r="W452" s="32"/>
      <c r="X452" s="32"/>
      <c r="Y452" s="32"/>
      <c r="Z452" s="32"/>
      <c r="AA452" s="32"/>
      <c r="AB452" s="32"/>
      <c r="AC452" s="32"/>
      <c r="AD452" s="32"/>
      <c r="AE452" s="32"/>
      <c r="AF452" s="32"/>
      <c r="AG452" s="32"/>
      <c r="AH452" s="32"/>
      <c r="AI452" s="32"/>
      <c r="AJ452" s="32"/>
      <c r="AK452" s="32"/>
      <c r="AL452" s="32"/>
    </row>
    <row r="453" spans="2:38" x14ac:dyDescent="0.2">
      <c r="B453" s="32"/>
      <c r="C453" s="32"/>
      <c r="D453" s="32"/>
      <c r="E453" s="32"/>
      <c r="F453" s="32"/>
      <c r="G453" s="32"/>
      <c r="H453" s="32"/>
      <c r="I453" s="32"/>
      <c r="J453" s="32"/>
      <c r="K453" s="32"/>
      <c r="L453" s="32"/>
      <c r="M453" s="32"/>
      <c r="N453" s="32"/>
      <c r="O453" s="32"/>
      <c r="P453" s="32"/>
      <c r="Q453" s="32"/>
      <c r="R453" s="32"/>
      <c r="S453" s="32"/>
      <c r="T453" s="32"/>
      <c r="U453" s="32"/>
      <c r="V453" s="32"/>
      <c r="W453" s="32"/>
      <c r="X453" s="32"/>
      <c r="Y453" s="32"/>
      <c r="Z453" s="32"/>
      <c r="AA453" s="32"/>
      <c r="AB453" s="32"/>
      <c r="AC453" s="32"/>
      <c r="AD453" s="32"/>
      <c r="AE453" s="32"/>
      <c r="AF453" s="32"/>
      <c r="AG453" s="32"/>
      <c r="AH453" s="32"/>
      <c r="AI453" s="32"/>
      <c r="AJ453" s="32"/>
      <c r="AK453" s="32"/>
      <c r="AL453" s="32"/>
    </row>
    <row r="454" spans="2:38" x14ac:dyDescent="0.2">
      <c r="B454" s="32"/>
      <c r="C454" s="32"/>
      <c r="D454" s="32"/>
      <c r="E454" s="32"/>
      <c r="F454" s="32"/>
      <c r="G454" s="32"/>
      <c r="H454" s="32"/>
      <c r="I454" s="32"/>
      <c r="J454" s="32"/>
      <c r="K454" s="32"/>
      <c r="L454" s="32"/>
      <c r="M454" s="32"/>
      <c r="N454" s="32"/>
      <c r="O454" s="32"/>
      <c r="P454" s="32"/>
      <c r="Q454" s="32"/>
      <c r="R454" s="32"/>
      <c r="S454" s="32"/>
      <c r="T454" s="32"/>
      <c r="U454" s="32"/>
      <c r="V454" s="32"/>
      <c r="W454" s="32"/>
      <c r="X454" s="32"/>
      <c r="Y454" s="32"/>
      <c r="Z454" s="32"/>
      <c r="AA454" s="32"/>
      <c r="AB454" s="32"/>
      <c r="AC454" s="32"/>
      <c r="AD454" s="32"/>
      <c r="AE454" s="32"/>
      <c r="AF454" s="32"/>
      <c r="AG454" s="32"/>
      <c r="AH454" s="32"/>
      <c r="AI454" s="32"/>
      <c r="AJ454" s="32"/>
      <c r="AK454" s="32"/>
      <c r="AL454" s="32"/>
    </row>
    <row r="455" spans="2:38" x14ac:dyDescent="0.2">
      <c r="B455" s="32"/>
      <c r="C455" s="32"/>
      <c r="D455" s="32"/>
      <c r="E455" s="32"/>
      <c r="F455" s="32"/>
      <c r="G455" s="32"/>
      <c r="H455" s="32"/>
      <c r="I455" s="32"/>
      <c r="J455" s="32"/>
      <c r="K455" s="32"/>
      <c r="L455" s="32"/>
      <c r="M455" s="32"/>
      <c r="N455" s="32"/>
      <c r="O455" s="32"/>
      <c r="P455" s="32"/>
      <c r="Q455" s="32"/>
      <c r="R455" s="32"/>
      <c r="S455" s="32"/>
      <c r="T455" s="32"/>
      <c r="U455" s="32"/>
      <c r="V455" s="32"/>
      <c r="W455" s="32"/>
      <c r="X455" s="32"/>
      <c r="Y455" s="32"/>
      <c r="Z455" s="32"/>
      <c r="AA455" s="32"/>
      <c r="AB455" s="32"/>
      <c r="AC455" s="32"/>
      <c r="AD455" s="32"/>
      <c r="AE455" s="32"/>
      <c r="AF455" s="32"/>
      <c r="AG455" s="32"/>
      <c r="AH455" s="32"/>
      <c r="AI455" s="32"/>
      <c r="AJ455" s="32"/>
      <c r="AK455" s="32"/>
      <c r="AL455" s="32"/>
    </row>
    <row r="456" spans="2:38" x14ac:dyDescent="0.2">
      <c r="B456" s="32"/>
      <c r="C456" s="32"/>
      <c r="D456" s="32"/>
      <c r="E456" s="32"/>
      <c r="F456" s="32"/>
      <c r="G456" s="32"/>
      <c r="H456" s="32"/>
      <c r="I456" s="32"/>
      <c r="J456" s="32"/>
      <c r="K456" s="32"/>
      <c r="L456" s="32"/>
      <c r="M456" s="32"/>
      <c r="N456" s="32"/>
      <c r="O456" s="32"/>
      <c r="P456" s="32"/>
      <c r="Q456" s="32"/>
      <c r="R456" s="32"/>
      <c r="S456" s="32"/>
      <c r="T456" s="32"/>
      <c r="U456" s="32"/>
      <c r="V456" s="32"/>
      <c r="W456" s="32"/>
      <c r="X456" s="32"/>
      <c r="Y456" s="32"/>
      <c r="Z456" s="32"/>
      <c r="AA456" s="32"/>
      <c r="AB456" s="32"/>
      <c r="AC456" s="32"/>
      <c r="AD456" s="32"/>
      <c r="AE456" s="32"/>
      <c r="AF456" s="32"/>
      <c r="AG456" s="32"/>
      <c r="AH456" s="32"/>
      <c r="AI456" s="32"/>
      <c r="AJ456" s="32"/>
      <c r="AK456" s="32"/>
      <c r="AL456" s="32"/>
    </row>
    <row r="457" spans="2:38" x14ac:dyDescent="0.2">
      <c r="B457" s="32"/>
      <c r="C457" s="32"/>
      <c r="D457" s="32"/>
      <c r="E457" s="32"/>
      <c r="F457" s="32"/>
      <c r="G457" s="32"/>
      <c r="H457" s="32"/>
      <c r="I457" s="32"/>
      <c r="J457" s="32"/>
      <c r="K457" s="32"/>
      <c r="L457" s="32"/>
      <c r="M457" s="32"/>
      <c r="N457" s="32"/>
      <c r="O457" s="32"/>
      <c r="P457" s="32"/>
      <c r="Q457" s="32"/>
      <c r="R457" s="32"/>
      <c r="S457" s="32"/>
      <c r="T457" s="32"/>
      <c r="U457" s="32"/>
      <c r="V457" s="32"/>
      <c r="W457" s="32"/>
      <c r="X457" s="32"/>
      <c r="Y457" s="32"/>
      <c r="Z457" s="32"/>
      <c r="AA457" s="32"/>
      <c r="AB457" s="32"/>
      <c r="AC457" s="32"/>
      <c r="AD457" s="32"/>
      <c r="AE457" s="32"/>
      <c r="AF457" s="32"/>
      <c r="AG457" s="32"/>
      <c r="AH457" s="32"/>
      <c r="AI457" s="32"/>
      <c r="AJ457" s="32"/>
      <c r="AK457" s="32"/>
      <c r="AL457" s="32"/>
    </row>
    <row r="458" spans="2:38" x14ac:dyDescent="0.2">
      <c r="B458" s="32"/>
      <c r="C458" s="32"/>
      <c r="D458" s="32"/>
      <c r="E458" s="32"/>
      <c r="F458" s="32"/>
      <c r="G458" s="32"/>
      <c r="H458" s="32"/>
      <c r="I458" s="32"/>
      <c r="J458" s="32"/>
      <c r="K458" s="32"/>
      <c r="L458" s="32"/>
      <c r="M458" s="32"/>
      <c r="N458" s="32"/>
      <c r="O458" s="32"/>
      <c r="P458" s="32"/>
      <c r="Q458" s="32"/>
      <c r="R458" s="32"/>
      <c r="S458" s="32"/>
      <c r="T458" s="32"/>
      <c r="U458" s="32"/>
      <c r="V458" s="32"/>
      <c r="W458" s="32"/>
      <c r="X458" s="32"/>
      <c r="Y458" s="32"/>
      <c r="Z458" s="32"/>
      <c r="AA458" s="32"/>
      <c r="AB458" s="32"/>
      <c r="AC458" s="32"/>
      <c r="AD458" s="32"/>
      <c r="AE458" s="32"/>
      <c r="AF458" s="32"/>
      <c r="AG458" s="32"/>
      <c r="AH458" s="32"/>
      <c r="AI458" s="32"/>
      <c r="AJ458" s="32"/>
      <c r="AK458" s="32"/>
      <c r="AL458" s="32"/>
    </row>
    <row r="459" spans="2:38" x14ac:dyDescent="0.2">
      <c r="B459" s="32"/>
      <c r="C459" s="32"/>
      <c r="D459" s="32"/>
      <c r="E459" s="32"/>
      <c r="F459" s="32"/>
      <c r="G459" s="32"/>
      <c r="H459" s="32"/>
      <c r="I459" s="32"/>
      <c r="J459" s="32"/>
      <c r="K459" s="32"/>
      <c r="L459" s="32"/>
      <c r="M459" s="32"/>
      <c r="N459" s="32"/>
      <c r="O459" s="32"/>
      <c r="P459" s="32"/>
      <c r="Q459" s="32"/>
      <c r="R459" s="32"/>
      <c r="S459" s="32"/>
      <c r="T459" s="32"/>
      <c r="U459" s="32"/>
      <c r="V459" s="32"/>
      <c r="W459" s="32"/>
      <c r="X459" s="32"/>
      <c r="Y459" s="32"/>
      <c r="Z459" s="32"/>
      <c r="AA459" s="32"/>
      <c r="AB459" s="32"/>
      <c r="AC459" s="32"/>
      <c r="AD459" s="32"/>
      <c r="AE459" s="32"/>
      <c r="AF459" s="32"/>
      <c r="AG459" s="32"/>
      <c r="AH459" s="32"/>
      <c r="AI459" s="32"/>
      <c r="AJ459" s="32"/>
      <c r="AK459" s="32"/>
      <c r="AL459" s="32"/>
    </row>
    <row r="460" spans="2:38" x14ac:dyDescent="0.2">
      <c r="B460" s="32"/>
      <c r="C460" s="32"/>
      <c r="D460" s="32"/>
      <c r="E460" s="32"/>
      <c r="F460" s="32"/>
      <c r="G460" s="32"/>
      <c r="H460" s="32"/>
      <c r="I460" s="32"/>
      <c r="J460" s="32"/>
      <c r="K460" s="32"/>
      <c r="L460" s="32"/>
      <c r="M460" s="32"/>
      <c r="N460" s="32"/>
      <c r="O460" s="32"/>
      <c r="P460" s="32"/>
      <c r="Q460" s="32"/>
      <c r="R460" s="32"/>
      <c r="S460" s="32"/>
      <c r="T460" s="32"/>
      <c r="U460" s="32"/>
      <c r="V460" s="32"/>
      <c r="W460" s="32"/>
      <c r="X460" s="32"/>
      <c r="Y460" s="32"/>
      <c r="Z460" s="32"/>
      <c r="AA460" s="32"/>
      <c r="AB460" s="32"/>
      <c r="AC460" s="32"/>
      <c r="AD460" s="32"/>
      <c r="AE460" s="32"/>
      <c r="AF460" s="32"/>
      <c r="AG460" s="32"/>
      <c r="AH460" s="32"/>
      <c r="AI460" s="32"/>
      <c r="AJ460" s="32"/>
      <c r="AK460" s="32"/>
      <c r="AL460" s="32"/>
    </row>
    <row r="461" spans="2:38" x14ac:dyDescent="0.2">
      <c r="B461" s="32"/>
      <c r="C461" s="32"/>
      <c r="D461" s="32"/>
      <c r="E461" s="32"/>
      <c r="F461" s="32"/>
      <c r="G461" s="32"/>
      <c r="H461" s="32"/>
      <c r="I461" s="32"/>
      <c r="J461" s="32"/>
      <c r="K461" s="32"/>
      <c r="L461" s="32"/>
      <c r="M461" s="32"/>
      <c r="N461" s="32"/>
      <c r="O461" s="32"/>
      <c r="P461" s="32"/>
      <c r="Q461" s="32"/>
      <c r="R461" s="32"/>
      <c r="S461" s="32"/>
      <c r="T461" s="32"/>
      <c r="U461" s="32"/>
      <c r="V461" s="32"/>
      <c r="W461" s="32"/>
      <c r="X461" s="32"/>
      <c r="Y461" s="32"/>
      <c r="Z461" s="32"/>
      <c r="AA461" s="32"/>
      <c r="AB461" s="32"/>
      <c r="AC461" s="32"/>
      <c r="AD461" s="32"/>
      <c r="AE461" s="32"/>
      <c r="AF461" s="32"/>
      <c r="AG461" s="32"/>
      <c r="AH461" s="32"/>
      <c r="AI461" s="32"/>
      <c r="AJ461" s="32"/>
      <c r="AK461" s="32"/>
      <c r="AL461" s="32"/>
    </row>
    <row r="462" spans="2:38" x14ac:dyDescent="0.2">
      <c r="B462" s="32"/>
      <c r="C462" s="32"/>
      <c r="D462" s="32"/>
      <c r="E462" s="32"/>
      <c r="F462" s="32"/>
      <c r="G462" s="32"/>
      <c r="H462" s="32"/>
      <c r="I462" s="32"/>
      <c r="J462" s="32"/>
      <c r="K462" s="32"/>
      <c r="L462" s="32"/>
      <c r="M462" s="32"/>
      <c r="N462" s="32"/>
      <c r="O462" s="32"/>
      <c r="P462" s="32"/>
      <c r="Q462" s="32"/>
      <c r="R462" s="32"/>
      <c r="S462" s="32"/>
      <c r="T462" s="32"/>
      <c r="U462" s="32"/>
      <c r="V462" s="32"/>
      <c r="W462" s="32"/>
      <c r="X462" s="32"/>
      <c r="Y462" s="32"/>
      <c r="Z462" s="32"/>
      <c r="AA462" s="32"/>
      <c r="AB462" s="32"/>
      <c r="AC462" s="32"/>
      <c r="AD462" s="32"/>
      <c r="AE462" s="32"/>
      <c r="AF462" s="32"/>
      <c r="AG462" s="32"/>
      <c r="AH462" s="32"/>
      <c r="AI462" s="32"/>
      <c r="AJ462" s="32"/>
      <c r="AK462" s="32"/>
      <c r="AL462" s="32"/>
    </row>
    <row r="463" spans="2:38" x14ac:dyDescent="0.2">
      <c r="B463" s="32"/>
      <c r="C463" s="32"/>
      <c r="D463" s="32"/>
      <c r="E463" s="32"/>
      <c r="F463" s="32"/>
      <c r="G463" s="32"/>
      <c r="H463" s="32"/>
      <c r="I463" s="32"/>
      <c r="J463" s="32"/>
      <c r="K463" s="32"/>
      <c r="L463" s="32"/>
      <c r="M463" s="32"/>
      <c r="N463" s="32"/>
      <c r="O463" s="32"/>
      <c r="P463" s="32"/>
      <c r="Q463" s="32"/>
      <c r="R463" s="32"/>
      <c r="S463" s="32"/>
      <c r="T463" s="32"/>
      <c r="U463" s="32"/>
      <c r="V463" s="32"/>
      <c r="W463" s="32"/>
      <c r="X463" s="32"/>
      <c r="Y463" s="32"/>
      <c r="Z463" s="32"/>
      <c r="AA463" s="32"/>
      <c r="AB463" s="32"/>
      <c r="AC463" s="32"/>
      <c r="AD463" s="32"/>
      <c r="AE463" s="32"/>
      <c r="AF463" s="32"/>
      <c r="AG463" s="32"/>
      <c r="AH463" s="32"/>
      <c r="AI463" s="32"/>
      <c r="AJ463" s="32"/>
      <c r="AK463" s="32"/>
      <c r="AL463" s="32"/>
    </row>
    <row r="464" spans="2:38" x14ac:dyDescent="0.2">
      <c r="B464" s="32"/>
      <c r="C464" s="32"/>
      <c r="D464" s="32"/>
      <c r="E464" s="32"/>
      <c r="F464" s="32"/>
      <c r="G464" s="32"/>
      <c r="H464" s="32"/>
      <c r="I464" s="32"/>
      <c r="J464" s="32"/>
      <c r="K464" s="32"/>
      <c r="L464" s="32"/>
      <c r="M464" s="32"/>
      <c r="N464" s="32"/>
      <c r="O464" s="32"/>
      <c r="P464" s="32"/>
      <c r="Q464" s="32"/>
      <c r="R464" s="32"/>
      <c r="S464" s="32"/>
      <c r="T464" s="32"/>
      <c r="U464" s="32"/>
      <c r="V464" s="32"/>
      <c r="W464" s="32"/>
      <c r="X464" s="32"/>
      <c r="Y464" s="32"/>
      <c r="Z464" s="32"/>
      <c r="AA464" s="32"/>
      <c r="AB464" s="32"/>
      <c r="AC464" s="32"/>
      <c r="AD464" s="32"/>
      <c r="AE464" s="32"/>
      <c r="AF464" s="32"/>
      <c r="AG464" s="32"/>
      <c r="AH464" s="32"/>
      <c r="AI464" s="32"/>
      <c r="AJ464" s="32"/>
      <c r="AK464" s="32"/>
      <c r="AL464" s="32"/>
    </row>
    <row r="465" spans="2:38" x14ac:dyDescent="0.2">
      <c r="B465" s="32"/>
      <c r="C465" s="32"/>
      <c r="D465" s="32"/>
      <c r="E465" s="32"/>
      <c r="F465" s="32"/>
      <c r="G465" s="32"/>
      <c r="H465" s="32"/>
      <c r="I465" s="32"/>
      <c r="J465" s="32"/>
      <c r="K465" s="32"/>
      <c r="L465" s="32"/>
      <c r="M465" s="32"/>
      <c r="N465" s="32"/>
      <c r="O465" s="32"/>
      <c r="P465" s="32"/>
      <c r="Q465" s="32"/>
      <c r="R465" s="32"/>
      <c r="S465" s="32"/>
      <c r="T465" s="32"/>
      <c r="U465" s="32"/>
      <c r="V465" s="32"/>
      <c r="W465" s="32"/>
      <c r="X465" s="32"/>
      <c r="Y465" s="32"/>
      <c r="Z465" s="32"/>
      <c r="AA465" s="32"/>
      <c r="AB465" s="32"/>
      <c r="AC465" s="32"/>
      <c r="AD465" s="32"/>
      <c r="AE465" s="32"/>
      <c r="AF465" s="32"/>
      <c r="AG465" s="32"/>
      <c r="AH465" s="32"/>
      <c r="AI465" s="32"/>
      <c r="AJ465" s="32"/>
      <c r="AK465" s="32"/>
      <c r="AL465" s="32"/>
    </row>
    <row r="466" spans="2:38" x14ac:dyDescent="0.2">
      <c r="B466" s="32"/>
      <c r="C466" s="32"/>
      <c r="D466" s="32"/>
      <c r="E466" s="32"/>
      <c r="F466" s="32"/>
      <c r="G466" s="32"/>
      <c r="H466" s="32"/>
      <c r="I466" s="32"/>
      <c r="J466" s="32"/>
      <c r="K466" s="32"/>
      <c r="L466" s="32"/>
      <c r="M466" s="32"/>
      <c r="N466" s="32"/>
      <c r="O466" s="32"/>
      <c r="P466" s="32"/>
      <c r="Q466" s="32"/>
      <c r="R466" s="32"/>
      <c r="S466" s="32"/>
      <c r="T466" s="32"/>
      <c r="U466" s="32"/>
      <c r="V466" s="32"/>
      <c r="W466" s="32"/>
      <c r="X466" s="32"/>
      <c r="Y466" s="32"/>
      <c r="Z466" s="32"/>
      <c r="AA466" s="32"/>
      <c r="AB466" s="32"/>
      <c r="AC466" s="32"/>
      <c r="AD466" s="32"/>
      <c r="AE466" s="32"/>
      <c r="AF466" s="32"/>
      <c r="AG466" s="32"/>
      <c r="AH466" s="32"/>
      <c r="AI466" s="32"/>
      <c r="AJ466" s="32"/>
      <c r="AK466" s="32"/>
      <c r="AL466" s="32"/>
    </row>
    <row r="467" spans="2:38" x14ac:dyDescent="0.2">
      <c r="B467" s="32"/>
      <c r="C467" s="32"/>
      <c r="D467" s="32"/>
      <c r="E467" s="32"/>
      <c r="F467" s="32"/>
      <c r="G467" s="32"/>
      <c r="H467" s="32"/>
      <c r="I467" s="32"/>
      <c r="J467" s="32"/>
      <c r="K467" s="32"/>
      <c r="L467" s="32"/>
      <c r="M467" s="32"/>
      <c r="N467" s="32"/>
      <c r="O467" s="32"/>
      <c r="P467" s="32"/>
      <c r="Q467" s="32"/>
      <c r="R467" s="32"/>
      <c r="S467" s="32"/>
      <c r="T467" s="32"/>
      <c r="U467" s="32"/>
      <c r="V467" s="32"/>
      <c r="W467" s="32"/>
      <c r="X467" s="32"/>
      <c r="Y467" s="32"/>
      <c r="Z467" s="32"/>
      <c r="AA467" s="32"/>
      <c r="AB467" s="32"/>
      <c r="AC467" s="32"/>
      <c r="AD467" s="32"/>
      <c r="AE467" s="32"/>
      <c r="AF467" s="32"/>
      <c r="AG467" s="32"/>
      <c r="AH467" s="32"/>
      <c r="AI467" s="32"/>
      <c r="AJ467" s="32"/>
      <c r="AK467" s="32"/>
      <c r="AL467" s="32"/>
    </row>
    <row r="468" spans="2:38" x14ac:dyDescent="0.2">
      <c r="B468" s="32"/>
      <c r="C468" s="32"/>
      <c r="D468" s="32"/>
      <c r="E468" s="32"/>
      <c r="F468" s="32"/>
      <c r="G468" s="32"/>
      <c r="H468" s="32"/>
      <c r="I468" s="32"/>
      <c r="J468" s="32"/>
      <c r="K468" s="32"/>
      <c r="L468" s="32"/>
      <c r="M468" s="32"/>
      <c r="N468" s="32"/>
      <c r="O468" s="32"/>
      <c r="P468" s="32"/>
      <c r="Q468" s="32"/>
      <c r="R468" s="32"/>
      <c r="S468" s="32"/>
      <c r="T468" s="32"/>
      <c r="U468" s="32"/>
      <c r="V468" s="32"/>
      <c r="W468" s="32"/>
      <c r="X468" s="32"/>
      <c r="Y468" s="32"/>
      <c r="Z468" s="32"/>
      <c r="AA468" s="32"/>
      <c r="AB468" s="32"/>
      <c r="AC468" s="32"/>
      <c r="AD468" s="32"/>
      <c r="AE468" s="32"/>
      <c r="AF468" s="32"/>
      <c r="AG468" s="32"/>
      <c r="AH468" s="32"/>
      <c r="AI468" s="32"/>
      <c r="AJ468" s="32"/>
      <c r="AK468" s="32"/>
      <c r="AL468" s="32"/>
    </row>
    <row r="469" spans="2:38" x14ac:dyDescent="0.2">
      <c r="B469" s="32"/>
      <c r="C469" s="32"/>
      <c r="D469" s="32"/>
      <c r="E469" s="32"/>
      <c r="F469" s="32"/>
      <c r="G469" s="32"/>
      <c r="H469" s="32"/>
      <c r="I469" s="32"/>
      <c r="J469" s="32"/>
      <c r="K469" s="32"/>
      <c r="L469" s="32"/>
      <c r="M469" s="32"/>
      <c r="N469" s="32"/>
      <c r="O469" s="32"/>
      <c r="P469" s="32"/>
      <c r="Q469" s="32"/>
      <c r="R469" s="32"/>
      <c r="S469" s="32"/>
      <c r="T469" s="32"/>
      <c r="U469" s="32"/>
      <c r="V469" s="32"/>
      <c r="W469" s="32"/>
      <c r="X469" s="32"/>
      <c r="Y469" s="32"/>
      <c r="Z469" s="32"/>
      <c r="AA469" s="32"/>
      <c r="AB469" s="32"/>
      <c r="AC469" s="32"/>
      <c r="AD469" s="32"/>
      <c r="AE469" s="32"/>
      <c r="AF469" s="32"/>
      <c r="AG469" s="32"/>
      <c r="AH469" s="32"/>
      <c r="AI469" s="32"/>
      <c r="AJ469" s="32"/>
      <c r="AK469" s="32"/>
      <c r="AL469" s="32"/>
    </row>
    <row r="470" spans="2:38" x14ac:dyDescent="0.2">
      <c r="B470" s="32"/>
      <c r="C470" s="32"/>
      <c r="D470" s="32"/>
      <c r="E470" s="32"/>
      <c r="F470" s="32"/>
      <c r="G470" s="32"/>
      <c r="H470" s="32"/>
      <c r="I470" s="32"/>
      <c r="J470" s="32"/>
      <c r="K470" s="32"/>
      <c r="L470" s="32"/>
      <c r="M470" s="32"/>
      <c r="N470" s="32"/>
      <c r="O470" s="32"/>
      <c r="P470" s="32"/>
      <c r="Q470" s="32"/>
      <c r="R470" s="32"/>
      <c r="S470" s="32"/>
      <c r="T470" s="32"/>
      <c r="U470" s="32"/>
      <c r="V470" s="32"/>
      <c r="W470" s="32"/>
      <c r="X470" s="32"/>
      <c r="Y470" s="32"/>
      <c r="Z470" s="32"/>
      <c r="AA470" s="32"/>
      <c r="AB470" s="32"/>
      <c r="AC470" s="32"/>
      <c r="AD470" s="32"/>
      <c r="AE470" s="32"/>
      <c r="AF470" s="32"/>
      <c r="AG470" s="32"/>
      <c r="AH470" s="32"/>
      <c r="AI470" s="32"/>
      <c r="AJ470" s="32"/>
      <c r="AK470" s="32"/>
      <c r="AL470" s="32"/>
    </row>
    <row r="471" spans="2:38" x14ac:dyDescent="0.2">
      <c r="B471" s="32"/>
      <c r="C471" s="32"/>
      <c r="D471" s="32"/>
      <c r="E471" s="32"/>
      <c r="F471" s="32"/>
      <c r="G471" s="32"/>
      <c r="H471" s="32"/>
      <c r="I471" s="32"/>
      <c r="J471" s="32"/>
      <c r="K471" s="32"/>
      <c r="L471" s="32"/>
      <c r="M471" s="32"/>
      <c r="N471" s="32"/>
      <c r="O471" s="32"/>
      <c r="P471" s="32"/>
      <c r="Q471" s="32"/>
      <c r="R471" s="32"/>
      <c r="S471" s="32"/>
      <c r="T471" s="32"/>
      <c r="U471" s="32"/>
      <c r="V471" s="32"/>
      <c r="W471" s="32"/>
      <c r="X471" s="32"/>
      <c r="Y471" s="32"/>
      <c r="Z471" s="32"/>
      <c r="AA471" s="32"/>
      <c r="AB471" s="32"/>
      <c r="AC471" s="32"/>
      <c r="AD471" s="32"/>
      <c r="AE471" s="32"/>
      <c r="AF471" s="32"/>
      <c r="AG471" s="32"/>
      <c r="AH471" s="32"/>
      <c r="AI471" s="32"/>
      <c r="AJ471" s="32"/>
      <c r="AK471" s="32"/>
      <c r="AL471" s="32"/>
    </row>
    <row r="472" spans="2:38" x14ac:dyDescent="0.2">
      <c r="B472" s="32"/>
      <c r="C472" s="32"/>
      <c r="D472" s="32"/>
      <c r="E472" s="32"/>
      <c r="F472" s="32"/>
      <c r="G472" s="32"/>
      <c r="H472" s="32"/>
      <c r="I472" s="32"/>
      <c r="J472" s="32"/>
      <c r="K472" s="32"/>
      <c r="L472" s="32"/>
      <c r="M472" s="32"/>
      <c r="N472" s="32"/>
      <c r="O472" s="32"/>
      <c r="P472" s="32"/>
      <c r="Q472" s="32"/>
      <c r="R472" s="32"/>
      <c r="S472" s="32"/>
      <c r="T472" s="32"/>
      <c r="U472" s="32"/>
      <c r="V472" s="32"/>
      <c r="W472" s="32"/>
      <c r="X472" s="32"/>
      <c r="Y472" s="32"/>
      <c r="Z472" s="32"/>
      <c r="AA472" s="32"/>
      <c r="AB472" s="32"/>
      <c r="AC472" s="32"/>
      <c r="AD472" s="32"/>
      <c r="AE472" s="32"/>
      <c r="AF472" s="32"/>
      <c r="AG472" s="32"/>
      <c r="AH472" s="32"/>
      <c r="AI472" s="32"/>
      <c r="AJ472" s="32"/>
      <c r="AK472" s="32"/>
      <c r="AL472" s="32"/>
    </row>
    <row r="473" spans="2:38" x14ac:dyDescent="0.2">
      <c r="B473" s="32"/>
      <c r="C473" s="32"/>
      <c r="D473" s="32"/>
      <c r="E473" s="32"/>
      <c r="F473" s="32"/>
      <c r="G473" s="32"/>
      <c r="H473" s="32"/>
      <c r="I473" s="32"/>
      <c r="J473" s="32"/>
      <c r="K473" s="32"/>
      <c r="L473" s="32"/>
      <c r="M473" s="32"/>
      <c r="N473" s="32"/>
      <c r="O473" s="32"/>
      <c r="P473" s="32"/>
      <c r="Q473" s="32"/>
      <c r="R473" s="32"/>
      <c r="S473" s="32"/>
      <c r="T473" s="32"/>
      <c r="U473" s="32"/>
      <c r="V473" s="32"/>
      <c r="W473" s="32"/>
      <c r="X473" s="32"/>
      <c r="Y473" s="32"/>
      <c r="Z473" s="32"/>
      <c r="AA473" s="32"/>
      <c r="AB473" s="32"/>
      <c r="AC473" s="32"/>
      <c r="AD473" s="32"/>
      <c r="AE473" s="32"/>
      <c r="AF473" s="32"/>
      <c r="AG473" s="32"/>
      <c r="AH473" s="32"/>
      <c r="AI473" s="32"/>
      <c r="AJ473" s="32"/>
      <c r="AK473" s="32"/>
      <c r="AL473" s="32"/>
    </row>
    <row r="474" spans="2:38" x14ac:dyDescent="0.2">
      <c r="B474" s="32"/>
      <c r="C474" s="32"/>
      <c r="D474" s="32"/>
      <c r="E474" s="32"/>
      <c r="F474" s="32"/>
      <c r="G474" s="32"/>
      <c r="H474" s="32"/>
      <c r="I474" s="32"/>
      <c r="J474" s="32"/>
      <c r="K474" s="32"/>
      <c r="L474" s="32"/>
      <c r="M474" s="32"/>
      <c r="N474" s="32"/>
      <c r="O474" s="32"/>
      <c r="P474" s="32"/>
      <c r="Q474" s="32"/>
      <c r="R474" s="32"/>
      <c r="S474" s="32"/>
      <c r="T474" s="32"/>
      <c r="U474" s="32"/>
      <c r="V474" s="32"/>
      <c r="W474" s="32"/>
      <c r="X474" s="32"/>
      <c r="Y474" s="32"/>
      <c r="Z474" s="32"/>
      <c r="AA474" s="32"/>
      <c r="AB474" s="32"/>
      <c r="AC474" s="32"/>
      <c r="AD474" s="32"/>
      <c r="AE474" s="32"/>
      <c r="AF474" s="32"/>
      <c r="AG474" s="32"/>
      <c r="AH474" s="32"/>
      <c r="AI474" s="32"/>
      <c r="AJ474" s="32"/>
      <c r="AK474" s="32"/>
      <c r="AL474" s="32"/>
    </row>
    <row r="475" spans="2:38" x14ac:dyDescent="0.2">
      <c r="B475" s="32"/>
      <c r="C475" s="32"/>
      <c r="D475" s="32"/>
      <c r="E475" s="32"/>
      <c r="F475" s="32"/>
      <c r="G475" s="32"/>
      <c r="H475" s="32"/>
      <c r="I475" s="32"/>
      <c r="J475" s="32"/>
      <c r="K475" s="32"/>
      <c r="L475" s="32"/>
      <c r="M475" s="32"/>
      <c r="N475" s="32"/>
      <c r="O475" s="32"/>
      <c r="P475" s="32"/>
      <c r="Q475" s="32"/>
      <c r="R475" s="32"/>
      <c r="S475" s="32"/>
      <c r="T475" s="32"/>
      <c r="U475" s="32"/>
      <c r="V475" s="32"/>
      <c r="W475" s="32"/>
      <c r="X475" s="32"/>
      <c r="Y475" s="32"/>
      <c r="Z475" s="32"/>
      <c r="AA475" s="32"/>
      <c r="AB475" s="32"/>
      <c r="AC475" s="32"/>
      <c r="AD475" s="32"/>
      <c r="AE475" s="32"/>
      <c r="AF475" s="32"/>
      <c r="AG475" s="32"/>
      <c r="AH475" s="32"/>
      <c r="AI475" s="32"/>
      <c r="AJ475" s="32"/>
      <c r="AK475" s="32"/>
      <c r="AL475" s="32"/>
    </row>
    <row r="476" spans="2:38" x14ac:dyDescent="0.2">
      <c r="B476" s="32"/>
      <c r="C476" s="32"/>
      <c r="D476" s="32"/>
      <c r="E476" s="32"/>
      <c r="F476" s="32"/>
      <c r="G476" s="32"/>
      <c r="H476" s="32"/>
      <c r="I476" s="32"/>
      <c r="J476" s="32"/>
      <c r="K476" s="32"/>
      <c r="L476" s="32"/>
      <c r="M476" s="32"/>
      <c r="N476" s="32"/>
      <c r="O476" s="32"/>
      <c r="P476" s="32"/>
      <c r="Q476" s="32"/>
      <c r="R476" s="32"/>
      <c r="S476" s="32"/>
      <c r="T476" s="32"/>
      <c r="U476" s="32"/>
      <c r="V476" s="32"/>
      <c r="W476" s="32"/>
      <c r="X476" s="32"/>
      <c r="Y476" s="32"/>
      <c r="Z476" s="32"/>
      <c r="AA476" s="32"/>
      <c r="AB476" s="32"/>
      <c r="AC476" s="32"/>
      <c r="AD476" s="32"/>
      <c r="AE476" s="32"/>
      <c r="AF476" s="32"/>
      <c r="AG476" s="32"/>
      <c r="AH476" s="32"/>
      <c r="AI476" s="32"/>
      <c r="AJ476" s="32"/>
      <c r="AK476" s="32"/>
      <c r="AL476" s="32"/>
    </row>
    <row r="477" spans="2:38" x14ac:dyDescent="0.2">
      <c r="B477" s="32"/>
      <c r="C477" s="32"/>
      <c r="D477" s="32"/>
      <c r="E477" s="32"/>
      <c r="F477" s="32"/>
      <c r="G477" s="32"/>
      <c r="H477" s="32"/>
      <c r="I477" s="32"/>
      <c r="J477" s="32"/>
      <c r="K477" s="32"/>
      <c r="L477" s="32"/>
      <c r="M477" s="32"/>
      <c r="N477" s="32"/>
      <c r="O477" s="32"/>
      <c r="P477" s="32"/>
      <c r="Q477" s="32"/>
      <c r="R477" s="32"/>
      <c r="S477" s="32"/>
      <c r="T477" s="32"/>
      <c r="U477" s="32"/>
      <c r="V477" s="32"/>
      <c r="W477" s="32"/>
      <c r="X477" s="32"/>
      <c r="Y477" s="32"/>
      <c r="Z477" s="32"/>
      <c r="AA477" s="32"/>
      <c r="AB477" s="32"/>
      <c r="AC477" s="32"/>
      <c r="AD477" s="32"/>
      <c r="AE477" s="32"/>
      <c r="AF477" s="32"/>
      <c r="AG477" s="32"/>
      <c r="AH477" s="32"/>
      <c r="AI477" s="32"/>
      <c r="AJ477" s="32"/>
      <c r="AK477" s="32"/>
      <c r="AL477" s="32"/>
    </row>
    <row r="478" spans="2:38" x14ac:dyDescent="0.2">
      <c r="B478" s="32"/>
      <c r="C478" s="32"/>
      <c r="D478" s="32"/>
      <c r="E478" s="32"/>
      <c r="F478" s="32"/>
      <c r="G478" s="32"/>
      <c r="H478" s="32"/>
      <c r="I478" s="32"/>
      <c r="J478" s="32"/>
      <c r="K478" s="32"/>
      <c r="L478" s="32"/>
      <c r="M478" s="32"/>
      <c r="N478" s="32"/>
      <c r="O478" s="32"/>
      <c r="P478" s="32"/>
      <c r="Q478" s="32"/>
      <c r="R478" s="32"/>
      <c r="S478" s="32"/>
      <c r="T478" s="32"/>
      <c r="U478" s="32"/>
      <c r="V478" s="32"/>
      <c r="W478" s="32"/>
      <c r="X478" s="32"/>
      <c r="Y478" s="32"/>
      <c r="Z478" s="32"/>
      <c r="AA478" s="32"/>
      <c r="AB478" s="32"/>
      <c r="AC478" s="32"/>
      <c r="AD478" s="32"/>
      <c r="AE478" s="32"/>
      <c r="AF478" s="32"/>
      <c r="AG478" s="32"/>
      <c r="AH478" s="32"/>
      <c r="AI478" s="32"/>
      <c r="AJ478" s="32"/>
      <c r="AK478" s="32"/>
      <c r="AL478" s="32"/>
    </row>
    <row r="479" spans="2:38" x14ac:dyDescent="0.2">
      <c r="B479" s="32"/>
      <c r="C479" s="32"/>
      <c r="D479" s="32"/>
      <c r="E479" s="32"/>
      <c r="F479" s="32"/>
      <c r="G479" s="32"/>
      <c r="H479" s="32"/>
      <c r="I479" s="32"/>
      <c r="J479" s="32"/>
      <c r="K479" s="32"/>
      <c r="L479" s="32"/>
      <c r="M479" s="32"/>
      <c r="N479" s="32"/>
      <c r="O479" s="32"/>
      <c r="P479" s="32"/>
      <c r="Q479" s="32"/>
      <c r="R479" s="32"/>
      <c r="S479" s="32"/>
      <c r="T479" s="32"/>
      <c r="U479" s="32"/>
      <c r="V479" s="32"/>
      <c r="W479" s="32"/>
      <c r="X479" s="32"/>
      <c r="Y479" s="32"/>
      <c r="Z479" s="32"/>
      <c r="AA479" s="32"/>
      <c r="AB479" s="32"/>
      <c r="AC479" s="32"/>
      <c r="AD479" s="32"/>
      <c r="AE479" s="32"/>
      <c r="AF479" s="32"/>
      <c r="AG479" s="32"/>
      <c r="AH479" s="32"/>
      <c r="AI479" s="32"/>
      <c r="AJ479" s="32"/>
      <c r="AK479" s="32"/>
      <c r="AL479" s="32"/>
    </row>
    <row r="480" spans="2:38" x14ac:dyDescent="0.2">
      <c r="B480" s="32"/>
      <c r="C480" s="32"/>
      <c r="D480" s="32"/>
      <c r="E480" s="32"/>
      <c r="F480" s="32"/>
      <c r="G480" s="32"/>
      <c r="H480" s="32"/>
      <c r="I480" s="32"/>
      <c r="J480" s="32"/>
      <c r="K480" s="32"/>
      <c r="L480" s="32"/>
      <c r="M480" s="32"/>
      <c r="N480" s="32"/>
      <c r="O480" s="32"/>
      <c r="P480" s="32"/>
      <c r="Q480" s="32"/>
      <c r="R480" s="32"/>
      <c r="S480" s="32"/>
      <c r="T480" s="32"/>
      <c r="U480" s="32"/>
      <c r="V480" s="32"/>
      <c r="W480" s="32"/>
      <c r="X480" s="32"/>
      <c r="Y480" s="32"/>
      <c r="Z480" s="32"/>
      <c r="AA480" s="32"/>
      <c r="AB480" s="32"/>
      <c r="AC480" s="32"/>
      <c r="AD480" s="32"/>
      <c r="AE480" s="32"/>
      <c r="AF480" s="32"/>
      <c r="AG480" s="32"/>
      <c r="AH480" s="32"/>
      <c r="AI480" s="32"/>
      <c r="AJ480" s="32"/>
      <c r="AK480" s="32"/>
      <c r="AL480" s="32"/>
    </row>
    <row r="481" spans="2:38" x14ac:dyDescent="0.2">
      <c r="B481" s="32"/>
      <c r="C481" s="32"/>
      <c r="D481" s="32"/>
      <c r="E481" s="32"/>
      <c r="F481" s="32"/>
      <c r="G481" s="32"/>
      <c r="H481" s="32"/>
      <c r="I481" s="32"/>
      <c r="J481" s="32"/>
      <c r="K481" s="32"/>
      <c r="L481" s="32"/>
      <c r="M481" s="32"/>
      <c r="N481" s="32"/>
      <c r="O481" s="32"/>
      <c r="P481" s="32"/>
      <c r="Q481" s="32"/>
      <c r="R481" s="32"/>
      <c r="S481" s="32"/>
      <c r="T481" s="32"/>
      <c r="U481" s="32"/>
      <c r="V481" s="32"/>
      <c r="W481" s="32"/>
      <c r="X481" s="32"/>
      <c r="Y481" s="32"/>
      <c r="Z481" s="32"/>
      <c r="AA481" s="32"/>
      <c r="AB481" s="32"/>
      <c r="AC481" s="32"/>
      <c r="AD481" s="32"/>
      <c r="AE481" s="32"/>
      <c r="AF481" s="32"/>
      <c r="AG481" s="32"/>
      <c r="AH481" s="32"/>
      <c r="AI481" s="32"/>
      <c r="AJ481" s="32"/>
      <c r="AK481" s="32"/>
      <c r="AL481" s="32"/>
    </row>
    <row r="482" spans="2:38" x14ac:dyDescent="0.2">
      <c r="B482" s="32"/>
      <c r="C482" s="32"/>
      <c r="D482" s="32"/>
      <c r="E482" s="32"/>
      <c r="F482" s="32"/>
      <c r="G482" s="32"/>
      <c r="H482" s="32"/>
      <c r="I482" s="32"/>
      <c r="J482" s="32"/>
      <c r="K482" s="32"/>
      <c r="L482" s="32"/>
      <c r="M482" s="32"/>
      <c r="N482" s="32"/>
      <c r="O482" s="32"/>
      <c r="P482" s="32"/>
      <c r="Q482" s="32"/>
      <c r="R482" s="32"/>
      <c r="S482" s="32"/>
      <c r="T482" s="32"/>
      <c r="U482" s="32"/>
      <c r="V482" s="32"/>
      <c r="W482" s="32"/>
      <c r="X482" s="32"/>
      <c r="Y482" s="32"/>
      <c r="Z482" s="32"/>
      <c r="AA482" s="32"/>
      <c r="AB482" s="32"/>
      <c r="AC482" s="32"/>
      <c r="AD482" s="32"/>
      <c r="AE482" s="32"/>
      <c r="AF482" s="32"/>
      <c r="AG482" s="32"/>
      <c r="AH482" s="32"/>
      <c r="AI482" s="32"/>
      <c r="AJ482" s="32"/>
      <c r="AK482" s="32"/>
      <c r="AL482" s="32"/>
    </row>
    <row r="483" spans="2:38" x14ac:dyDescent="0.2">
      <c r="B483" s="32"/>
      <c r="C483" s="32"/>
      <c r="D483" s="32"/>
      <c r="E483" s="32"/>
      <c r="F483" s="32"/>
      <c r="G483" s="32"/>
      <c r="H483" s="32"/>
      <c r="I483" s="32"/>
      <c r="J483" s="32"/>
      <c r="K483" s="32"/>
      <c r="L483" s="32"/>
      <c r="M483" s="32"/>
      <c r="N483" s="32"/>
      <c r="O483" s="32"/>
      <c r="P483" s="32"/>
      <c r="Q483" s="32"/>
      <c r="R483" s="32"/>
      <c r="S483" s="32"/>
      <c r="T483" s="32"/>
      <c r="U483" s="32"/>
      <c r="V483" s="32"/>
      <c r="W483" s="32"/>
      <c r="X483" s="32"/>
      <c r="Y483" s="32"/>
      <c r="Z483" s="32"/>
      <c r="AA483" s="32"/>
      <c r="AB483" s="32"/>
      <c r="AC483" s="32"/>
      <c r="AD483" s="32"/>
      <c r="AE483" s="32"/>
      <c r="AF483" s="32"/>
      <c r="AG483" s="32"/>
      <c r="AH483" s="32"/>
      <c r="AI483" s="32"/>
      <c r="AJ483" s="32"/>
      <c r="AK483" s="32"/>
      <c r="AL483" s="32"/>
    </row>
    <row r="484" spans="2:38" x14ac:dyDescent="0.2">
      <c r="B484" s="32"/>
      <c r="C484" s="32"/>
      <c r="D484" s="32"/>
      <c r="E484" s="32"/>
      <c r="F484" s="32"/>
      <c r="G484" s="32"/>
      <c r="H484" s="32"/>
      <c r="I484" s="32"/>
      <c r="J484" s="32"/>
      <c r="K484" s="32"/>
      <c r="L484" s="32"/>
      <c r="M484" s="32"/>
      <c r="N484" s="32"/>
      <c r="O484" s="32"/>
      <c r="P484" s="32"/>
      <c r="Q484" s="32"/>
      <c r="R484" s="32"/>
      <c r="S484" s="32"/>
      <c r="T484" s="32"/>
      <c r="U484" s="32"/>
      <c r="V484" s="32"/>
      <c r="W484" s="32"/>
      <c r="X484" s="32"/>
      <c r="Y484" s="32"/>
      <c r="Z484" s="32"/>
      <c r="AA484" s="32"/>
      <c r="AB484" s="32"/>
      <c r="AC484" s="32"/>
      <c r="AD484" s="32"/>
      <c r="AE484" s="32"/>
      <c r="AF484" s="32"/>
      <c r="AG484" s="32"/>
      <c r="AH484" s="32"/>
      <c r="AI484" s="32"/>
      <c r="AJ484" s="32"/>
      <c r="AK484" s="32"/>
      <c r="AL484" s="32"/>
    </row>
    <row r="485" spans="2:38" x14ac:dyDescent="0.2">
      <c r="B485" s="32"/>
      <c r="C485" s="32"/>
      <c r="D485" s="32"/>
      <c r="E485" s="32"/>
      <c r="F485" s="32"/>
      <c r="G485" s="32"/>
      <c r="H485" s="32"/>
      <c r="I485" s="32"/>
      <c r="J485" s="32"/>
      <c r="K485" s="32"/>
      <c r="L485" s="32"/>
      <c r="M485" s="32"/>
      <c r="N485" s="32"/>
      <c r="O485" s="32"/>
      <c r="P485" s="32"/>
      <c r="Q485" s="32"/>
      <c r="R485" s="32"/>
      <c r="S485" s="32"/>
      <c r="T485" s="32"/>
      <c r="U485" s="32"/>
      <c r="V485" s="32"/>
      <c r="W485" s="32"/>
      <c r="X485" s="32"/>
      <c r="Y485" s="32"/>
      <c r="Z485" s="32"/>
      <c r="AA485" s="32"/>
      <c r="AB485" s="32"/>
      <c r="AC485" s="32"/>
      <c r="AD485" s="32"/>
      <c r="AE485" s="32"/>
      <c r="AF485" s="32"/>
      <c r="AG485" s="32"/>
      <c r="AH485" s="32"/>
      <c r="AI485" s="32"/>
      <c r="AJ485" s="32"/>
      <c r="AK485" s="32"/>
      <c r="AL485" s="32"/>
    </row>
    <row r="486" spans="2:38" x14ac:dyDescent="0.2">
      <c r="B486" s="32"/>
      <c r="C486" s="32"/>
      <c r="D486" s="32"/>
      <c r="E486" s="32"/>
      <c r="F486" s="32"/>
      <c r="G486" s="32"/>
      <c r="H486" s="32"/>
      <c r="I486" s="32"/>
      <c r="J486" s="32"/>
      <c r="K486" s="32"/>
      <c r="L486" s="32"/>
      <c r="M486" s="32"/>
      <c r="N486" s="32"/>
      <c r="O486" s="32"/>
      <c r="P486" s="32"/>
      <c r="Q486" s="32"/>
      <c r="R486" s="32"/>
      <c r="S486" s="32"/>
      <c r="T486" s="32"/>
      <c r="U486" s="32"/>
      <c r="V486" s="32"/>
      <c r="W486" s="32"/>
      <c r="X486" s="32"/>
      <c r="Y486" s="32"/>
      <c r="Z486" s="32"/>
      <c r="AA486" s="32"/>
      <c r="AB486" s="32"/>
      <c r="AC486" s="32"/>
      <c r="AD486" s="32"/>
      <c r="AE486" s="32"/>
      <c r="AF486" s="32"/>
      <c r="AG486" s="32"/>
      <c r="AH486" s="32"/>
      <c r="AI486" s="32"/>
      <c r="AJ486" s="32"/>
      <c r="AK486" s="32"/>
      <c r="AL486" s="32"/>
    </row>
    <row r="487" spans="2:38" x14ac:dyDescent="0.2">
      <c r="B487" s="32"/>
      <c r="C487" s="32"/>
      <c r="D487" s="32"/>
      <c r="E487" s="32"/>
      <c r="F487" s="32"/>
      <c r="G487" s="32"/>
      <c r="H487" s="32"/>
      <c r="I487" s="32"/>
      <c r="J487" s="32"/>
      <c r="K487" s="32"/>
      <c r="L487" s="32"/>
      <c r="M487" s="32"/>
      <c r="N487" s="32"/>
      <c r="O487" s="32"/>
      <c r="P487" s="32"/>
      <c r="Q487" s="32"/>
      <c r="R487" s="32"/>
      <c r="S487" s="32"/>
      <c r="T487" s="32"/>
      <c r="U487" s="32"/>
      <c r="V487" s="32"/>
      <c r="W487" s="32"/>
      <c r="X487" s="32"/>
      <c r="Y487" s="32"/>
      <c r="Z487" s="32"/>
      <c r="AA487" s="32"/>
      <c r="AB487" s="32"/>
      <c r="AC487" s="32"/>
      <c r="AD487" s="32"/>
      <c r="AE487" s="32"/>
      <c r="AF487" s="32"/>
      <c r="AG487" s="32"/>
      <c r="AH487" s="32"/>
      <c r="AI487" s="32"/>
      <c r="AJ487" s="32"/>
      <c r="AK487" s="32"/>
      <c r="AL487" s="32"/>
    </row>
    <row r="488" spans="2:38" x14ac:dyDescent="0.2">
      <c r="B488" s="32"/>
      <c r="C488" s="32"/>
      <c r="D488" s="32"/>
      <c r="E488" s="32"/>
      <c r="F488" s="32"/>
      <c r="G488" s="32"/>
      <c r="H488" s="32"/>
      <c r="I488" s="32"/>
      <c r="J488" s="32"/>
      <c r="K488" s="32"/>
      <c r="L488" s="32"/>
      <c r="M488" s="32"/>
      <c r="N488" s="32"/>
      <c r="O488" s="32"/>
      <c r="P488" s="32"/>
      <c r="Q488" s="32"/>
      <c r="R488" s="32"/>
      <c r="S488" s="32"/>
      <c r="T488" s="32"/>
      <c r="U488" s="32"/>
      <c r="V488" s="32"/>
      <c r="W488" s="32"/>
      <c r="X488" s="32"/>
      <c r="Y488" s="32"/>
      <c r="Z488" s="32"/>
      <c r="AA488" s="32"/>
      <c r="AB488" s="32"/>
      <c r="AC488" s="32"/>
      <c r="AD488" s="32"/>
      <c r="AE488" s="32"/>
      <c r="AF488" s="32"/>
      <c r="AG488" s="32"/>
      <c r="AH488" s="32"/>
      <c r="AI488" s="32"/>
      <c r="AJ488" s="32"/>
      <c r="AK488" s="32"/>
      <c r="AL488" s="32"/>
    </row>
    <row r="489" spans="2:38" x14ac:dyDescent="0.2">
      <c r="B489" s="32"/>
      <c r="C489" s="32"/>
      <c r="D489" s="32"/>
      <c r="E489" s="32"/>
      <c r="F489" s="32"/>
      <c r="G489" s="32"/>
      <c r="H489" s="32"/>
      <c r="I489" s="32"/>
      <c r="J489" s="32"/>
      <c r="K489" s="32"/>
      <c r="L489" s="32"/>
      <c r="M489" s="32"/>
      <c r="N489" s="32"/>
      <c r="O489" s="32"/>
      <c r="P489" s="32"/>
      <c r="Q489" s="32"/>
      <c r="R489" s="32"/>
      <c r="S489" s="32"/>
      <c r="T489" s="32"/>
      <c r="U489" s="32"/>
      <c r="V489" s="32"/>
      <c r="W489" s="32"/>
      <c r="X489" s="32"/>
      <c r="Y489" s="32"/>
      <c r="Z489" s="32"/>
      <c r="AA489" s="32"/>
      <c r="AB489" s="32"/>
      <c r="AC489" s="32"/>
      <c r="AD489" s="32"/>
      <c r="AE489" s="32"/>
      <c r="AF489" s="32"/>
      <c r="AG489" s="32"/>
      <c r="AH489" s="32"/>
      <c r="AI489" s="32"/>
      <c r="AJ489" s="32"/>
      <c r="AK489" s="32"/>
      <c r="AL489" s="32"/>
    </row>
    <row r="490" spans="2:38" x14ac:dyDescent="0.2">
      <c r="B490" s="32"/>
      <c r="C490" s="32"/>
      <c r="D490" s="32"/>
      <c r="E490" s="32"/>
      <c r="F490" s="32"/>
      <c r="G490" s="32"/>
      <c r="H490" s="32"/>
      <c r="I490" s="32"/>
      <c r="J490" s="32"/>
      <c r="K490" s="32"/>
      <c r="L490" s="32"/>
      <c r="M490" s="32"/>
      <c r="N490" s="32"/>
      <c r="O490" s="32"/>
      <c r="P490" s="32"/>
      <c r="Q490" s="32"/>
      <c r="R490" s="32"/>
      <c r="S490" s="32"/>
      <c r="T490" s="32"/>
      <c r="U490" s="32"/>
      <c r="V490" s="32"/>
      <c r="W490" s="32"/>
      <c r="X490" s="32"/>
      <c r="Y490" s="32"/>
      <c r="Z490" s="32"/>
      <c r="AA490" s="32"/>
      <c r="AB490" s="32"/>
      <c r="AC490" s="32"/>
      <c r="AD490" s="32"/>
      <c r="AE490" s="32"/>
      <c r="AF490" s="32"/>
      <c r="AG490" s="32"/>
      <c r="AH490" s="32"/>
      <c r="AI490" s="32"/>
      <c r="AJ490" s="32"/>
      <c r="AK490" s="32"/>
      <c r="AL490" s="32"/>
    </row>
    <row r="491" spans="2:38" x14ac:dyDescent="0.2">
      <c r="B491" s="32"/>
      <c r="C491" s="32"/>
      <c r="D491" s="32"/>
      <c r="E491" s="32"/>
      <c r="F491" s="32"/>
      <c r="G491" s="32"/>
      <c r="H491" s="32"/>
      <c r="I491" s="32"/>
      <c r="J491" s="32"/>
      <c r="K491" s="32"/>
      <c r="L491" s="32"/>
      <c r="M491" s="32"/>
      <c r="N491" s="32"/>
      <c r="O491" s="32"/>
      <c r="P491" s="32"/>
      <c r="Q491" s="32"/>
      <c r="R491" s="32"/>
      <c r="S491" s="32"/>
      <c r="T491" s="32"/>
      <c r="U491" s="32"/>
      <c r="V491" s="32"/>
      <c r="W491" s="32"/>
      <c r="X491" s="32"/>
      <c r="Y491" s="32"/>
      <c r="Z491" s="32"/>
      <c r="AA491" s="32"/>
      <c r="AB491" s="32"/>
      <c r="AC491" s="32"/>
      <c r="AD491" s="32"/>
      <c r="AE491" s="32"/>
      <c r="AF491" s="32"/>
      <c r="AG491" s="32"/>
      <c r="AH491" s="32"/>
      <c r="AI491" s="32"/>
      <c r="AJ491" s="32"/>
      <c r="AK491" s="32"/>
      <c r="AL491" s="32"/>
    </row>
    <row r="492" spans="2:38" x14ac:dyDescent="0.2">
      <c r="B492" s="32"/>
      <c r="C492" s="32"/>
      <c r="D492" s="32"/>
      <c r="E492" s="32"/>
      <c r="F492" s="32"/>
      <c r="G492" s="32"/>
      <c r="H492" s="32"/>
      <c r="I492" s="32"/>
      <c r="J492" s="32"/>
      <c r="K492" s="32"/>
      <c r="L492" s="32"/>
      <c r="M492" s="32"/>
      <c r="N492" s="32"/>
      <c r="O492" s="32"/>
      <c r="P492" s="32"/>
      <c r="Q492" s="32"/>
      <c r="R492" s="32"/>
      <c r="S492" s="32"/>
      <c r="T492" s="32"/>
      <c r="U492" s="32"/>
      <c r="V492" s="32"/>
      <c r="W492" s="32"/>
      <c r="X492" s="32"/>
      <c r="Y492" s="32"/>
      <c r="Z492" s="32"/>
      <c r="AA492" s="32"/>
      <c r="AB492" s="32"/>
      <c r="AC492" s="32"/>
      <c r="AD492" s="32"/>
      <c r="AE492" s="32"/>
      <c r="AF492" s="32"/>
      <c r="AG492" s="32"/>
      <c r="AH492" s="32"/>
      <c r="AI492" s="32"/>
      <c r="AJ492" s="32"/>
      <c r="AK492" s="32"/>
      <c r="AL492" s="32"/>
    </row>
    <row r="493" spans="2:38" x14ac:dyDescent="0.2">
      <c r="B493" s="32"/>
      <c r="C493" s="32"/>
      <c r="D493" s="32"/>
      <c r="E493" s="32"/>
      <c r="F493" s="32"/>
      <c r="G493" s="32"/>
      <c r="H493" s="32"/>
      <c r="I493" s="32"/>
      <c r="J493" s="32"/>
      <c r="K493" s="32"/>
      <c r="L493" s="32"/>
      <c r="M493" s="32"/>
      <c r="N493" s="32"/>
      <c r="O493" s="32"/>
      <c r="P493" s="32"/>
      <c r="Q493" s="32"/>
      <c r="R493" s="32"/>
      <c r="S493" s="32"/>
      <c r="T493" s="32"/>
      <c r="U493" s="32"/>
      <c r="V493" s="32"/>
      <c r="W493" s="32"/>
      <c r="X493" s="32"/>
      <c r="Y493" s="32"/>
      <c r="Z493" s="32"/>
      <c r="AA493" s="32"/>
      <c r="AB493" s="32"/>
      <c r="AC493" s="32"/>
      <c r="AD493" s="32"/>
      <c r="AE493" s="32"/>
      <c r="AF493" s="32"/>
      <c r="AG493" s="32"/>
      <c r="AH493" s="32"/>
      <c r="AI493" s="32"/>
      <c r="AJ493" s="32"/>
      <c r="AK493" s="32"/>
      <c r="AL493" s="32"/>
    </row>
    <row r="494" spans="2:38" x14ac:dyDescent="0.2">
      <c r="B494" s="32"/>
      <c r="C494" s="32"/>
      <c r="D494" s="32"/>
      <c r="E494" s="32"/>
      <c r="F494" s="32"/>
      <c r="G494" s="32"/>
      <c r="H494" s="32"/>
      <c r="I494" s="32"/>
      <c r="J494" s="32"/>
      <c r="K494" s="32"/>
      <c r="L494" s="32"/>
      <c r="M494" s="32"/>
      <c r="N494" s="32"/>
      <c r="O494" s="32"/>
      <c r="P494" s="32"/>
      <c r="Q494" s="32"/>
      <c r="R494" s="32"/>
      <c r="S494" s="32"/>
      <c r="T494" s="32"/>
      <c r="U494" s="32"/>
      <c r="V494" s="32"/>
      <c r="W494" s="32"/>
      <c r="X494" s="32"/>
      <c r="Y494" s="32"/>
      <c r="Z494" s="32"/>
      <c r="AA494" s="32"/>
      <c r="AB494" s="32"/>
      <c r="AC494" s="32"/>
      <c r="AD494" s="32"/>
      <c r="AE494" s="32"/>
      <c r="AF494" s="32"/>
      <c r="AG494" s="32"/>
      <c r="AH494" s="32"/>
      <c r="AI494" s="32"/>
      <c r="AJ494" s="32"/>
      <c r="AK494" s="32"/>
      <c r="AL494" s="32"/>
    </row>
    <row r="495" spans="2:38" x14ac:dyDescent="0.2">
      <c r="B495" s="32"/>
      <c r="C495" s="32"/>
      <c r="D495" s="32"/>
      <c r="E495" s="32"/>
      <c r="F495" s="32"/>
      <c r="G495" s="32"/>
      <c r="H495" s="32"/>
      <c r="I495" s="32"/>
      <c r="J495" s="32"/>
      <c r="K495" s="32"/>
      <c r="L495" s="32"/>
      <c r="M495" s="32"/>
      <c r="N495" s="32"/>
      <c r="O495" s="32"/>
      <c r="P495" s="32"/>
      <c r="Q495" s="32"/>
      <c r="R495" s="32"/>
      <c r="S495" s="32"/>
      <c r="T495" s="32"/>
      <c r="U495" s="32"/>
      <c r="V495" s="32"/>
      <c r="W495" s="32"/>
      <c r="X495" s="32"/>
      <c r="Y495" s="32"/>
      <c r="Z495" s="32"/>
      <c r="AA495" s="32"/>
      <c r="AB495" s="32"/>
      <c r="AC495" s="32"/>
      <c r="AD495" s="32"/>
      <c r="AE495" s="32"/>
      <c r="AF495" s="32"/>
      <c r="AG495" s="32"/>
      <c r="AH495" s="32"/>
      <c r="AI495" s="32"/>
      <c r="AJ495" s="32"/>
      <c r="AK495" s="32"/>
      <c r="AL495" s="32"/>
    </row>
    <row r="496" spans="2:38" x14ac:dyDescent="0.2">
      <c r="B496" s="32"/>
      <c r="C496" s="32"/>
      <c r="D496" s="32"/>
      <c r="E496" s="32"/>
      <c r="F496" s="32"/>
      <c r="G496" s="32"/>
      <c r="H496" s="32"/>
      <c r="I496" s="32"/>
      <c r="J496" s="32"/>
      <c r="K496" s="32"/>
      <c r="L496" s="32"/>
      <c r="M496" s="32"/>
      <c r="N496" s="32"/>
      <c r="O496" s="32"/>
      <c r="P496" s="32"/>
      <c r="Q496" s="32"/>
      <c r="R496" s="32"/>
      <c r="S496" s="32"/>
      <c r="T496" s="32"/>
      <c r="U496" s="32"/>
      <c r="V496" s="32"/>
      <c r="W496" s="32"/>
      <c r="X496" s="32"/>
      <c r="Y496" s="32"/>
      <c r="Z496" s="32"/>
      <c r="AA496" s="32"/>
      <c r="AB496" s="32"/>
      <c r="AC496" s="32"/>
      <c r="AD496" s="32"/>
      <c r="AE496" s="32"/>
      <c r="AF496" s="32"/>
      <c r="AG496" s="32"/>
      <c r="AH496" s="32"/>
      <c r="AI496" s="32"/>
      <c r="AJ496" s="32"/>
      <c r="AK496" s="32"/>
      <c r="AL496" s="32"/>
    </row>
    <row r="497" spans="2:38" x14ac:dyDescent="0.2">
      <c r="B497" s="32"/>
      <c r="C497" s="32"/>
      <c r="D497" s="32"/>
      <c r="E497" s="32"/>
      <c r="F497" s="32"/>
      <c r="G497" s="32"/>
      <c r="H497" s="32"/>
      <c r="I497" s="32"/>
      <c r="J497" s="32"/>
      <c r="K497" s="32"/>
      <c r="L497" s="32"/>
      <c r="M497" s="32"/>
      <c r="N497" s="32"/>
      <c r="O497" s="32"/>
      <c r="P497" s="32"/>
      <c r="Q497" s="32"/>
      <c r="R497" s="32"/>
      <c r="S497" s="32"/>
      <c r="T497" s="32"/>
      <c r="U497" s="32"/>
      <c r="V497" s="32"/>
      <c r="W497" s="32"/>
      <c r="X497" s="32"/>
      <c r="Y497" s="32"/>
      <c r="Z497" s="32"/>
      <c r="AA497" s="32"/>
      <c r="AB497" s="32"/>
      <c r="AC497" s="32"/>
      <c r="AD497" s="32"/>
      <c r="AE497" s="32"/>
      <c r="AF497" s="32"/>
      <c r="AG497" s="32"/>
      <c r="AH497" s="32"/>
      <c r="AI497" s="32"/>
      <c r="AJ497" s="32"/>
      <c r="AK497" s="32"/>
      <c r="AL497" s="32"/>
    </row>
    <row r="498" spans="2:38" x14ac:dyDescent="0.2">
      <c r="B498" s="32"/>
      <c r="C498" s="32"/>
      <c r="D498" s="32"/>
      <c r="E498" s="32"/>
      <c r="F498" s="32"/>
      <c r="G498" s="32"/>
      <c r="H498" s="32"/>
      <c r="I498" s="32"/>
      <c r="J498" s="32"/>
      <c r="K498" s="32"/>
      <c r="L498" s="32"/>
      <c r="M498" s="32"/>
      <c r="N498" s="32"/>
      <c r="O498" s="32"/>
      <c r="P498" s="32"/>
      <c r="Q498" s="32"/>
      <c r="R498" s="32"/>
      <c r="S498" s="32"/>
      <c r="T498" s="32"/>
      <c r="U498" s="32"/>
      <c r="V498" s="32"/>
      <c r="W498" s="32"/>
      <c r="X498" s="32"/>
      <c r="Y498" s="32"/>
      <c r="Z498" s="32"/>
      <c r="AA498" s="32"/>
      <c r="AB498" s="32"/>
      <c r="AC498" s="32"/>
      <c r="AD498" s="32"/>
      <c r="AE498" s="32"/>
      <c r="AF498" s="32"/>
      <c r="AG498" s="32"/>
      <c r="AH498" s="32"/>
      <c r="AI498" s="32"/>
      <c r="AJ498" s="32"/>
      <c r="AK498" s="32"/>
      <c r="AL498" s="32"/>
    </row>
    <row r="499" spans="2:38" x14ac:dyDescent="0.2">
      <c r="B499" s="32"/>
      <c r="C499" s="32"/>
      <c r="D499" s="32"/>
      <c r="E499" s="32"/>
      <c r="F499" s="32"/>
      <c r="G499" s="32"/>
      <c r="H499" s="32"/>
      <c r="I499" s="32"/>
      <c r="J499" s="32"/>
      <c r="K499" s="32"/>
      <c r="L499" s="32"/>
      <c r="M499" s="32"/>
      <c r="N499" s="32"/>
      <c r="O499" s="32"/>
      <c r="P499" s="32"/>
      <c r="Q499" s="32"/>
      <c r="R499" s="32"/>
      <c r="S499" s="32"/>
      <c r="T499" s="32"/>
      <c r="U499" s="32"/>
      <c r="V499" s="32"/>
      <c r="W499" s="32"/>
      <c r="X499" s="32"/>
      <c r="Y499" s="32"/>
      <c r="Z499" s="32"/>
      <c r="AA499" s="32"/>
      <c r="AB499" s="32"/>
      <c r="AC499" s="32"/>
      <c r="AD499" s="32"/>
      <c r="AE499" s="32"/>
      <c r="AF499" s="32"/>
      <c r="AG499" s="32"/>
      <c r="AH499" s="32"/>
      <c r="AI499" s="32"/>
      <c r="AJ499" s="32"/>
      <c r="AK499" s="32"/>
      <c r="AL499" s="32"/>
    </row>
    <row r="500" spans="2:38" x14ac:dyDescent="0.2">
      <c r="B500" s="32"/>
      <c r="C500" s="32"/>
      <c r="D500" s="32"/>
      <c r="E500" s="32"/>
      <c r="F500" s="32"/>
      <c r="G500" s="32"/>
      <c r="H500" s="32"/>
      <c r="I500" s="32"/>
      <c r="J500" s="32"/>
      <c r="K500" s="32"/>
      <c r="L500" s="32"/>
      <c r="M500" s="32"/>
      <c r="N500" s="32"/>
      <c r="O500" s="32"/>
      <c r="P500" s="32"/>
      <c r="Q500" s="32"/>
      <c r="R500" s="32"/>
      <c r="S500" s="32"/>
      <c r="T500" s="32"/>
      <c r="U500" s="32"/>
      <c r="V500" s="32"/>
      <c r="W500" s="32"/>
      <c r="X500" s="32"/>
      <c r="Y500" s="32"/>
      <c r="Z500" s="32"/>
      <c r="AA500" s="32"/>
      <c r="AB500" s="32"/>
      <c r="AC500" s="32"/>
      <c r="AD500" s="32"/>
      <c r="AE500" s="32"/>
      <c r="AF500" s="32"/>
      <c r="AG500" s="32"/>
      <c r="AH500" s="32"/>
      <c r="AI500" s="32"/>
      <c r="AJ500" s="32"/>
      <c r="AK500" s="32"/>
      <c r="AL500" s="32"/>
    </row>
    <row r="501" spans="2:38" x14ac:dyDescent="0.2">
      <c r="B501" s="32"/>
      <c r="C501" s="32"/>
      <c r="D501" s="32"/>
      <c r="E501" s="32"/>
      <c r="F501" s="32"/>
      <c r="G501" s="32"/>
      <c r="H501" s="32"/>
      <c r="I501" s="32"/>
      <c r="J501" s="32"/>
      <c r="K501" s="32"/>
      <c r="L501" s="32"/>
      <c r="M501" s="32"/>
      <c r="N501" s="32"/>
      <c r="O501" s="32"/>
      <c r="P501" s="32"/>
      <c r="Q501" s="32"/>
      <c r="R501" s="32"/>
      <c r="S501" s="32"/>
      <c r="T501" s="32"/>
      <c r="U501" s="32"/>
      <c r="V501" s="32"/>
      <c r="W501" s="32"/>
      <c r="X501" s="32"/>
      <c r="Y501" s="32"/>
      <c r="Z501" s="32"/>
      <c r="AA501" s="32"/>
      <c r="AB501" s="32"/>
      <c r="AC501" s="32"/>
      <c r="AD501" s="32"/>
      <c r="AE501" s="32"/>
      <c r="AF501" s="32"/>
      <c r="AG501" s="32"/>
      <c r="AH501" s="32"/>
      <c r="AI501" s="32"/>
      <c r="AJ501" s="32"/>
      <c r="AK501" s="32"/>
      <c r="AL501" s="32"/>
    </row>
    <row r="502" spans="2:38" x14ac:dyDescent="0.2">
      <c r="B502" s="32"/>
      <c r="C502" s="32"/>
      <c r="D502" s="32"/>
      <c r="E502" s="32"/>
      <c r="F502" s="32"/>
      <c r="G502" s="32"/>
      <c r="H502" s="32"/>
      <c r="I502" s="32"/>
      <c r="J502" s="32"/>
      <c r="K502" s="32"/>
      <c r="L502" s="32"/>
      <c r="M502" s="32"/>
      <c r="N502" s="32"/>
      <c r="O502" s="32"/>
      <c r="P502" s="32"/>
      <c r="Q502" s="32"/>
      <c r="R502" s="32"/>
      <c r="S502" s="32"/>
      <c r="T502" s="32"/>
      <c r="U502" s="32"/>
      <c r="V502" s="32"/>
      <c r="W502" s="32"/>
      <c r="X502" s="32"/>
      <c r="Y502" s="32"/>
      <c r="Z502" s="32"/>
      <c r="AA502" s="32"/>
      <c r="AB502" s="32"/>
      <c r="AC502" s="32"/>
      <c r="AD502" s="32"/>
      <c r="AE502" s="32"/>
      <c r="AF502" s="32"/>
      <c r="AG502" s="32"/>
      <c r="AH502" s="32"/>
      <c r="AI502" s="32"/>
      <c r="AJ502" s="32"/>
      <c r="AK502" s="32"/>
      <c r="AL502" s="32"/>
    </row>
    <row r="503" spans="2:38" x14ac:dyDescent="0.2">
      <c r="B503" s="32"/>
      <c r="C503" s="32"/>
      <c r="D503" s="32"/>
      <c r="E503" s="32"/>
      <c r="F503" s="32"/>
      <c r="G503" s="32"/>
      <c r="H503" s="32"/>
      <c r="I503" s="32"/>
      <c r="J503" s="32"/>
      <c r="K503" s="32"/>
      <c r="L503" s="32"/>
      <c r="M503" s="32"/>
      <c r="N503" s="32"/>
      <c r="O503" s="32"/>
      <c r="P503" s="32"/>
      <c r="Q503" s="32"/>
      <c r="R503" s="32"/>
      <c r="S503" s="32"/>
      <c r="T503" s="32"/>
      <c r="U503" s="32"/>
      <c r="V503" s="32"/>
      <c r="W503" s="32"/>
      <c r="X503" s="32"/>
      <c r="Y503" s="32"/>
      <c r="Z503" s="32"/>
      <c r="AA503" s="32"/>
      <c r="AB503" s="32"/>
      <c r="AC503" s="32"/>
      <c r="AD503" s="32"/>
      <c r="AE503" s="32"/>
      <c r="AF503" s="32"/>
      <c r="AG503" s="32"/>
      <c r="AH503" s="32"/>
      <c r="AI503" s="32"/>
      <c r="AJ503" s="32"/>
      <c r="AK503" s="32"/>
      <c r="AL503" s="32"/>
    </row>
    <row r="504" spans="2:38" x14ac:dyDescent="0.2">
      <c r="B504" s="32"/>
      <c r="C504" s="32"/>
      <c r="D504" s="32"/>
      <c r="E504" s="32"/>
      <c r="F504" s="32"/>
      <c r="G504" s="32"/>
      <c r="H504" s="32"/>
      <c r="I504" s="32"/>
      <c r="J504" s="32"/>
      <c r="K504" s="32"/>
      <c r="L504" s="32"/>
      <c r="M504" s="32"/>
      <c r="N504" s="32"/>
      <c r="O504" s="32"/>
      <c r="P504" s="32"/>
      <c r="Q504" s="32"/>
      <c r="R504" s="32"/>
      <c r="S504" s="32"/>
      <c r="T504" s="32"/>
      <c r="U504" s="32"/>
      <c r="V504" s="32"/>
      <c r="W504" s="32"/>
      <c r="X504" s="32"/>
      <c r="Y504" s="32"/>
      <c r="Z504" s="32"/>
      <c r="AA504" s="32"/>
      <c r="AB504" s="32"/>
      <c r="AC504" s="32"/>
      <c r="AD504" s="32"/>
      <c r="AE504" s="32"/>
      <c r="AF504" s="32"/>
      <c r="AG504" s="32"/>
      <c r="AH504" s="32"/>
      <c r="AI504" s="32"/>
      <c r="AJ504" s="32"/>
      <c r="AK504" s="32"/>
      <c r="AL504" s="32"/>
    </row>
    <row r="505" spans="2:38" x14ac:dyDescent="0.2">
      <c r="B505" s="32"/>
      <c r="C505" s="32"/>
      <c r="D505" s="32"/>
      <c r="E505" s="32"/>
      <c r="F505" s="32"/>
      <c r="G505" s="32"/>
      <c r="H505" s="32"/>
      <c r="I505" s="32"/>
      <c r="J505" s="32"/>
      <c r="K505" s="32"/>
      <c r="L505" s="32"/>
      <c r="M505" s="32"/>
      <c r="N505" s="32"/>
      <c r="O505" s="32"/>
      <c r="P505" s="32"/>
      <c r="Q505" s="32"/>
      <c r="R505" s="32"/>
      <c r="S505" s="32"/>
      <c r="T505" s="32"/>
      <c r="U505" s="32"/>
      <c r="V505" s="32"/>
      <c r="W505" s="32"/>
      <c r="X505" s="32"/>
      <c r="Y505" s="32"/>
      <c r="Z505" s="32"/>
      <c r="AA505" s="32"/>
      <c r="AB505" s="32"/>
      <c r="AC505" s="32"/>
      <c r="AD505" s="32"/>
      <c r="AE505" s="32"/>
      <c r="AF505" s="32"/>
      <c r="AG505" s="32"/>
      <c r="AH505" s="32"/>
      <c r="AI505" s="32"/>
      <c r="AJ505" s="32"/>
      <c r="AK505" s="32"/>
      <c r="AL505" s="32"/>
    </row>
    <row r="506" spans="2:38" x14ac:dyDescent="0.2">
      <c r="B506" s="32"/>
      <c r="C506" s="32"/>
      <c r="D506" s="32"/>
      <c r="E506" s="32"/>
      <c r="F506" s="32"/>
      <c r="G506" s="32"/>
      <c r="H506" s="32"/>
      <c r="I506" s="32"/>
      <c r="J506" s="32"/>
      <c r="K506" s="32"/>
      <c r="L506" s="32"/>
      <c r="M506" s="32"/>
      <c r="N506" s="32"/>
      <c r="O506" s="32"/>
      <c r="P506" s="32"/>
      <c r="Q506" s="32"/>
      <c r="R506" s="32"/>
      <c r="S506" s="32"/>
      <c r="T506" s="32"/>
      <c r="U506" s="32"/>
      <c r="V506" s="32"/>
      <c r="W506" s="32"/>
      <c r="X506" s="32"/>
      <c r="Y506" s="32"/>
      <c r="Z506" s="32"/>
      <c r="AA506" s="32"/>
      <c r="AB506" s="32"/>
      <c r="AC506" s="32"/>
      <c r="AD506" s="32"/>
      <c r="AE506" s="32"/>
      <c r="AF506" s="32"/>
      <c r="AG506" s="32"/>
      <c r="AH506" s="32"/>
      <c r="AI506" s="32"/>
      <c r="AJ506" s="32"/>
      <c r="AK506" s="32"/>
      <c r="AL506" s="32"/>
    </row>
    <row r="507" spans="2:38" x14ac:dyDescent="0.2">
      <c r="B507" s="32"/>
      <c r="C507" s="32"/>
      <c r="D507" s="32"/>
      <c r="E507" s="32"/>
      <c r="F507" s="32"/>
      <c r="G507" s="32"/>
      <c r="H507" s="32"/>
      <c r="I507" s="32"/>
      <c r="J507" s="32"/>
      <c r="K507" s="32"/>
      <c r="L507" s="32"/>
      <c r="M507" s="32"/>
      <c r="N507" s="32"/>
      <c r="O507" s="32"/>
      <c r="P507" s="32"/>
      <c r="Q507" s="32"/>
      <c r="R507" s="32"/>
      <c r="S507" s="32"/>
      <c r="T507" s="32"/>
      <c r="U507" s="32"/>
      <c r="V507" s="32"/>
      <c r="W507" s="32"/>
      <c r="X507" s="32"/>
      <c r="Y507" s="32"/>
      <c r="Z507" s="32"/>
      <c r="AA507" s="32"/>
      <c r="AB507" s="32"/>
      <c r="AC507" s="32"/>
      <c r="AD507" s="32"/>
      <c r="AE507" s="32"/>
      <c r="AF507" s="32"/>
      <c r="AG507" s="32"/>
      <c r="AH507" s="32"/>
      <c r="AI507" s="32"/>
      <c r="AJ507" s="32"/>
      <c r="AK507" s="32"/>
      <c r="AL507" s="32"/>
    </row>
    <row r="508" spans="2:38" x14ac:dyDescent="0.2">
      <c r="B508" s="32"/>
      <c r="C508" s="32"/>
      <c r="D508" s="32"/>
      <c r="E508" s="32"/>
      <c r="F508" s="32"/>
      <c r="G508" s="32"/>
      <c r="H508" s="32"/>
      <c r="I508" s="32"/>
      <c r="J508" s="32"/>
      <c r="K508" s="32"/>
      <c r="L508" s="32"/>
      <c r="M508" s="32"/>
      <c r="N508" s="32"/>
      <c r="O508" s="32"/>
      <c r="P508" s="32"/>
      <c r="Q508" s="32"/>
      <c r="R508" s="32"/>
      <c r="S508" s="32"/>
      <c r="T508" s="32"/>
      <c r="U508" s="32"/>
      <c r="V508" s="32"/>
      <c r="W508" s="32"/>
      <c r="X508" s="32"/>
      <c r="Y508" s="32"/>
      <c r="Z508" s="32"/>
      <c r="AA508" s="32"/>
      <c r="AB508" s="32"/>
      <c r="AC508" s="32"/>
      <c r="AD508" s="32"/>
      <c r="AE508" s="32"/>
      <c r="AF508" s="32"/>
      <c r="AG508" s="32"/>
      <c r="AH508" s="32"/>
      <c r="AI508" s="32"/>
      <c r="AJ508" s="32"/>
      <c r="AK508" s="32"/>
      <c r="AL508" s="32"/>
    </row>
    <row r="509" spans="2:38" x14ac:dyDescent="0.2">
      <c r="B509" s="32"/>
      <c r="C509" s="32"/>
      <c r="D509" s="32"/>
      <c r="E509" s="32"/>
      <c r="F509" s="32"/>
      <c r="G509" s="32"/>
      <c r="H509" s="32"/>
      <c r="I509" s="32"/>
      <c r="J509" s="32"/>
      <c r="K509" s="32"/>
      <c r="L509" s="32"/>
      <c r="M509" s="32"/>
      <c r="N509" s="32"/>
      <c r="O509" s="32"/>
      <c r="P509" s="32"/>
      <c r="Q509" s="32"/>
      <c r="R509" s="32"/>
      <c r="S509" s="32"/>
      <c r="T509" s="32"/>
      <c r="U509" s="32"/>
      <c r="V509" s="32"/>
      <c r="W509" s="32"/>
      <c r="X509" s="32"/>
      <c r="Y509" s="32"/>
      <c r="Z509" s="32"/>
      <c r="AA509" s="32"/>
      <c r="AB509" s="32"/>
      <c r="AC509" s="32"/>
      <c r="AD509" s="32"/>
      <c r="AE509" s="32"/>
      <c r="AF509" s="32"/>
      <c r="AG509" s="32"/>
      <c r="AH509" s="32"/>
      <c r="AI509" s="32"/>
      <c r="AJ509" s="32"/>
      <c r="AK509" s="32"/>
      <c r="AL509" s="32"/>
    </row>
    <row r="510" spans="2:38" x14ac:dyDescent="0.2">
      <c r="B510" s="32"/>
      <c r="C510" s="32"/>
      <c r="D510" s="32"/>
      <c r="E510" s="32"/>
      <c r="F510" s="32"/>
      <c r="G510" s="32"/>
      <c r="H510" s="32"/>
      <c r="I510" s="32"/>
      <c r="J510" s="32"/>
      <c r="K510" s="32"/>
      <c r="L510" s="32"/>
      <c r="M510" s="32"/>
      <c r="N510" s="32"/>
      <c r="O510" s="32"/>
      <c r="P510" s="32"/>
      <c r="Q510" s="32"/>
      <c r="R510" s="32"/>
      <c r="S510" s="32"/>
      <c r="T510" s="32"/>
      <c r="U510" s="32"/>
      <c r="V510" s="32"/>
      <c r="W510" s="32"/>
      <c r="X510" s="32"/>
      <c r="Y510" s="32"/>
      <c r="Z510" s="32"/>
      <c r="AA510" s="32"/>
      <c r="AB510" s="32"/>
      <c r="AC510" s="32"/>
      <c r="AD510" s="32"/>
      <c r="AE510" s="32"/>
      <c r="AF510" s="32"/>
      <c r="AG510" s="32"/>
      <c r="AH510" s="32"/>
      <c r="AI510" s="32"/>
      <c r="AJ510" s="32"/>
      <c r="AK510" s="32"/>
      <c r="AL510" s="32"/>
    </row>
    <row r="511" spans="2:38" x14ac:dyDescent="0.2">
      <c r="B511" s="32"/>
      <c r="C511" s="32"/>
      <c r="D511" s="32"/>
      <c r="E511" s="32"/>
      <c r="F511" s="32"/>
      <c r="G511" s="32"/>
      <c r="H511" s="32"/>
      <c r="I511" s="32"/>
      <c r="J511" s="32"/>
      <c r="K511" s="32"/>
      <c r="L511" s="32"/>
      <c r="M511" s="32"/>
      <c r="N511" s="32"/>
      <c r="O511" s="32"/>
      <c r="P511" s="32"/>
      <c r="Q511" s="32"/>
      <c r="R511" s="32"/>
      <c r="S511" s="32"/>
      <c r="T511" s="32"/>
      <c r="U511" s="32"/>
      <c r="V511" s="32"/>
      <c r="W511" s="32"/>
      <c r="X511" s="32"/>
      <c r="Y511" s="32"/>
      <c r="Z511" s="32"/>
      <c r="AA511" s="32"/>
      <c r="AB511" s="32"/>
      <c r="AC511" s="32"/>
      <c r="AD511" s="32"/>
      <c r="AE511" s="32"/>
      <c r="AF511" s="32"/>
      <c r="AG511" s="32"/>
      <c r="AH511" s="32"/>
      <c r="AI511" s="32"/>
      <c r="AJ511" s="32"/>
      <c r="AK511" s="32"/>
      <c r="AL511" s="32"/>
    </row>
    <row r="512" spans="2:38" x14ac:dyDescent="0.2">
      <c r="B512" s="32"/>
      <c r="C512" s="32"/>
      <c r="D512" s="32"/>
      <c r="E512" s="32"/>
      <c r="F512" s="32"/>
      <c r="G512" s="32"/>
      <c r="H512" s="32"/>
      <c r="I512" s="32"/>
      <c r="J512" s="32"/>
      <c r="K512" s="32"/>
      <c r="L512" s="32"/>
      <c r="M512" s="32"/>
      <c r="N512" s="32"/>
      <c r="O512" s="32"/>
      <c r="P512" s="32"/>
      <c r="Q512" s="32"/>
      <c r="R512" s="32"/>
      <c r="S512" s="32"/>
      <c r="T512" s="32"/>
      <c r="U512" s="32"/>
      <c r="V512" s="32"/>
      <c r="W512" s="32"/>
      <c r="X512" s="32"/>
      <c r="Y512" s="32"/>
      <c r="Z512" s="32"/>
      <c r="AA512" s="32"/>
      <c r="AB512" s="32"/>
      <c r="AC512" s="32"/>
      <c r="AD512" s="32"/>
      <c r="AE512" s="32"/>
      <c r="AF512" s="32"/>
      <c r="AG512" s="32"/>
      <c r="AH512" s="32"/>
      <c r="AI512" s="32"/>
      <c r="AJ512" s="32"/>
      <c r="AK512" s="32"/>
      <c r="AL512" s="32"/>
    </row>
    <row r="513" spans="2:38" x14ac:dyDescent="0.2">
      <c r="B513" s="32"/>
      <c r="C513" s="32"/>
      <c r="D513" s="32"/>
      <c r="E513" s="32"/>
      <c r="F513" s="32"/>
      <c r="G513" s="32"/>
      <c r="H513" s="32"/>
      <c r="I513" s="32"/>
      <c r="J513" s="32"/>
      <c r="K513" s="32"/>
      <c r="L513" s="32"/>
      <c r="M513" s="32"/>
      <c r="N513" s="32"/>
      <c r="O513" s="32"/>
      <c r="P513" s="32"/>
      <c r="Q513" s="32"/>
      <c r="R513" s="32"/>
      <c r="S513" s="32"/>
      <c r="T513" s="32"/>
      <c r="U513" s="32"/>
      <c r="V513" s="32"/>
      <c r="W513" s="32"/>
      <c r="X513" s="32"/>
      <c r="Y513" s="32"/>
      <c r="Z513" s="32"/>
      <c r="AA513" s="32"/>
      <c r="AB513" s="32"/>
      <c r="AC513" s="32"/>
      <c r="AD513" s="32"/>
      <c r="AE513" s="32"/>
      <c r="AF513" s="32"/>
      <c r="AG513" s="32"/>
      <c r="AH513" s="32"/>
      <c r="AI513" s="32"/>
      <c r="AJ513" s="32"/>
      <c r="AK513" s="32"/>
      <c r="AL513" s="32"/>
    </row>
    <row r="514" spans="2:38" x14ac:dyDescent="0.2">
      <c r="B514" s="32"/>
      <c r="C514" s="32"/>
      <c r="D514" s="32"/>
      <c r="E514" s="32"/>
      <c r="F514" s="32"/>
      <c r="G514" s="32"/>
      <c r="H514" s="32"/>
      <c r="I514" s="32"/>
      <c r="J514" s="32"/>
      <c r="K514" s="32"/>
      <c r="L514" s="32"/>
      <c r="M514" s="32"/>
      <c r="N514" s="32"/>
      <c r="O514" s="32"/>
      <c r="P514" s="32"/>
      <c r="Q514" s="32"/>
      <c r="R514" s="32"/>
      <c r="S514" s="32"/>
      <c r="T514" s="32"/>
      <c r="U514" s="32"/>
      <c r="V514" s="32"/>
      <c r="W514" s="32"/>
      <c r="X514" s="32"/>
      <c r="Y514" s="32"/>
      <c r="Z514" s="32"/>
      <c r="AA514" s="32"/>
      <c r="AB514" s="32"/>
      <c r="AC514" s="32"/>
      <c r="AD514" s="32"/>
      <c r="AE514" s="32"/>
      <c r="AF514" s="32"/>
      <c r="AG514" s="32"/>
      <c r="AH514" s="32"/>
      <c r="AI514" s="32"/>
      <c r="AJ514" s="32"/>
      <c r="AK514" s="32"/>
      <c r="AL514" s="32"/>
    </row>
    <row r="515" spans="2:38" x14ac:dyDescent="0.2">
      <c r="B515" s="32"/>
      <c r="C515" s="32"/>
      <c r="D515" s="32"/>
      <c r="E515" s="32"/>
      <c r="F515" s="32"/>
      <c r="G515" s="32"/>
      <c r="H515" s="32"/>
      <c r="I515" s="32"/>
      <c r="J515" s="32"/>
      <c r="K515" s="32"/>
      <c r="L515" s="32"/>
      <c r="M515" s="32"/>
      <c r="N515" s="32"/>
      <c r="O515" s="32"/>
      <c r="P515" s="32"/>
      <c r="Q515" s="32"/>
      <c r="R515" s="32"/>
      <c r="S515" s="32"/>
      <c r="T515" s="32"/>
      <c r="U515" s="32"/>
      <c r="V515" s="32"/>
      <c r="W515" s="32"/>
      <c r="X515" s="32"/>
      <c r="Y515" s="32"/>
      <c r="Z515" s="32"/>
      <c r="AA515" s="32"/>
      <c r="AB515" s="32"/>
      <c r="AC515" s="32"/>
      <c r="AD515" s="32"/>
      <c r="AE515" s="32"/>
      <c r="AF515" s="32"/>
      <c r="AG515" s="32"/>
      <c r="AH515" s="32"/>
      <c r="AI515" s="32"/>
      <c r="AJ515" s="32"/>
      <c r="AK515" s="32"/>
      <c r="AL515" s="32"/>
    </row>
    <row r="516" spans="2:38" x14ac:dyDescent="0.2">
      <c r="B516" s="32"/>
      <c r="C516" s="32"/>
      <c r="D516" s="32"/>
      <c r="E516" s="32"/>
      <c r="F516" s="32"/>
      <c r="G516" s="32"/>
      <c r="H516" s="32"/>
      <c r="I516" s="32"/>
      <c r="J516" s="32"/>
      <c r="K516" s="32"/>
      <c r="L516" s="32"/>
      <c r="M516" s="32"/>
      <c r="N516" s="32"/>
      <c r="O516" s="32"/>
      <c r="P516" s="32"/>
      <c r="Q516" s="32"/>
      <c r="R516" s="32"/>
      <c r="S516" s="32"/>
      <c r="T516" s="32"/>
      <c r="U516" s="32"/>
      <c r="V516" s="32"/>
      <c r="W516" s="32"/>
      <c r="X516" s="32"/>
      <c r="Y516" s="32"/>
      <c r="Z516" s="32"/>
      <c r="AA516" s="32"/>
      <c r="AB516" s="32"/>
      <c r="AC516" s="32"/>
      <c r="AD516" s="32"/>
      <c r="AE516" s="32"/>
      <c r="AF516" s="32"/>
      <c r="AG516" s="32"/>
      <c r="AH516" s="32"/>
      <c r="AI516" s="32"/>
      <c r="AJ516" s="32"/>
      <c r="AK516" s="32"/>
      <c r="AL516" s="32"/>
    </row>
    <row r="517" spans="2:38" x14ac:dyDescent="0.2">
      <c r="B517" s="32"/>
      <c r="C517" s="32"/>
      <c r="D517" s="32"/>
      <c r="E517" s="32"/>
      <c r="F517" s="32"/>
      <c r="G517" s="32"/>
      <c r="H517" s="32"/>
      <c r="I517" s="32"/>
      <c r="J517" s="32"/>
      <c r="K517" s="32"/>
      <c r="L517" s="32"/>
      <c r="M517" s="32"/>
      <c r="N517" s="32"/>
      <c r="O517" s="32"/>
      <c r="P517" s="32"/>
      <c r="Q517" s="32"/>
      <c r="R517" s="32"/>
      <c r="S517" s="32"/>
      <c r="T517" s="32"/>
      <c r="U517" s="32"/>
      <c r="V517" s="32"/>
      <c r="W517" s="32"/>
      <c r="X517" s="32"/>
      <c r="Y517" s="32"/>
      <c r="Z517" s="32"/>
      <c r="AA517" s="32"/>
      <c r="AB517" s="32"/>
      <c r="AC517" s="32"/>
      <c r="AD517" s="32"/>
      <c r="AE517" s="32"/>
      <c r="AF517" s="32"/>
      <c r="AG517" s="32"/>
      <c r="AH517" s="32"/>
      <c r="AI517" s="32"/>
      <c r="AJ517" s="32"/>
      <c r="AK517" s="32"/>
      <c r="AL517" s="32"/>
    </row>
    <row r="518" spans="2:38" x14ac:dyDescent="0.2">
      <c r="B518" s="32"/>
      <c r="C518" s="32"/>
      <c r="D518" s="32"/>
      <c r="E518" s="32"/>
      <c r="F518" s="32"/>
      <c r="G518" s="32"/>
      <c r="H518" s="32"/>
      <c r="I518" s="32"/>
      <c r="J518" s="32"/>
      <c r="K518" s="32"/>
      <c r="L518" s="32"/>
      <c r="M518" s="32"/>
      <c r="N518" s="32"/>
      <c r="O518" s="32"/>
      <c r="P518" s="32"/>
      <c r="Q518" s="32"/>
      <c r="R518" s="32"/>
      <c r="S518" s="32"/>
      <c r="T518" s="32"/>
      <c r="U518" s="32"/>
      <c r="V518" s="32"/>
      <c r="W518" s="32"/>
      <c r="X518" s="32"/>
      <c r="Y518" s="32"/>
      <c r="Z518" s="32"/>
      <c r="AA518" s="32"/>
      <c r="AB518" s="32"/>
      <c r="AC518" s="32"/>
      <c r="AD518" s="32"/>
      <c r="AE518" s="32"/>
      <c r="AF518" s="32"/>
      <c r="AG518" s="32"/>
      <c r="AH518" s="32"/>
      <c r="AI518" s="32"/>
      <c r="AJ518" s="32"/>
      <c r="AK518" s="32"/>
      <c r="AL518" s="32"/>
    </row>
    <row r="519" spans="2:38" x14ac:dyDescent="0.2">
      <c r="B519" s="32"/>
      <c r="C519" s="32"/>
      <c r="D519" s="32"/>
      <c r="E519" s="32"/>
      <c r="F519" s="32"/>
      <c r="G519" s="32"/>
      <c r="H519" s="32"/>
      <c r="I519" s="32"/>
      <c r="J519" s="32"/>
      <c r="K519" s="32"/>
      <c r="L519" s="32"/>
      <c r="M519" s="32"/>
      <c r="N519" s="32"/>
      <c r="O519" s="32"/>
      <c r="P519" s="32"/>
      <c r="Q519" s="32"/>
      <c r="R519" s="32"/>
      <c r="S519" s="32"/>
      <c r="T519" s="32"/>
      <c r="U519" s="32"/>
      <c r="V519" s="32"/>
      <c r="W519" s="32"/>
      <c r="X519" s="32"/>
      <c r="Y519" s="32"/>
      <c r="Z519" s="32"/>
      <c r="AA519" s="32"/>
      <c r="AB519" s="32"/>
      <c r="AC519" s="32"/>
      <c r="AD519" s="32"/>
      <c r="AE519" s="32"/>
      <c r="AF519" s="32"/>
      <c r="AG519" s="32"/>
      <c r="AH519" s="32"/>
      <c r="AI519" s="32"/>
      <c r="AJ519" s="32"/>
      <c r="AK519" s="32"/>
      <c r="AL519" s="32"/>
    </row>
    <row r="520" spans="2:38" x14ac:dyDescent="0.2">
      <c r="B520" s="32"/>
      <c r="C520" s="32"/>
      <c r="D520" s="32"/>
      <c r="E520" s="32"/>
      <c r="F520" s="32"/>
      <c r="G520" s="32"/>
      <c r="H520" s="32"/>
      <c r="I520" s="32"/>
      <c r="J520" s="32"/>
      <c r="K520" s="32"/>
      <c r="L520" s="32"/>
      <c r="M520" s="32"/>
      <c r="N520" s="32"/>
      <c r="O520" s="32"/>
      <c r="P520" s="32"/>
      <c r="Q520" s="32"/>
      <c r="R520" s="32"/>
      <c r="S520" s="32"/>
      <c r="T520" s="32"/>
      <c r="U520" s="32"/>
      <c r="V520" s="32"/>
      <c r="W520" s="32"/>
      <c r="X520" s="32"/>
      <c r="Y520" s="32"/>
      <c r="Z520" s="32"/>
      <c r="AA520" s="32"/>
      <c r="AB520" s="32"/>
      <c r="AC520" s="32"/>
      <c r="AD520" s="32"/>
      <c r="AE520" s="32"/>
      <c r="AF520" s="32"/>
      <c r="AG520" s="32"/>
      <c r="AH520" s="32"/>
      <c r="AI520" s="32"/>
      <c r="AJ520" s="32"/>
      <c r="AK520" s="32"/>
      <c r="AL520" s="32"/>
    </row>
    <row r="521" spans="2:38" x14ac:dyDescent="0.2">
      <c r="B521" s="32"/>
      <c r="C521" s="32"/>
      <c r="D521" s="32"/>
      <c r="E521" s="32"/>
      <c r="F521" s="32"/>
      <c r="G521" s="32"/>
      <c r="H521" s="32"/>
      <c r="I521" s="32"/>
      <c r="J521" s="32"/>
      <c r="K521" s="32"/>
      <c r="L521" s="32"/>
      <c r="M521" s="32"/>
      <c r="N521" s="32"/>
      <c r="O521" s="32"/>
      <c r="P521" s="32"/>
      <c r="Q521" s="32"/>
      <c r="R521" s="32"/>
      <c r="S521" s="32"/>
      <c r="T521" s="32"/>
      <c r="U521" s="32"/>
      <c r="V521" s="32"/>
      <c r="W521" s="32"/>
      <c r="X521" s="32"/>
      <c r="Y521" s="32"/>
      <c r="Z521" s="32"/>
      <c r="AA521" s="32"/>
      <c r="AB521" s="32"/>
      <c r="AC521" s="32"/>
      <c r="AD521" s="32"/>
      <c r="AE521" s="32"/>
      <c r="AF521" s="32"/>
      <c r="AG521" s="32"/>
      <c r="AH521" s="32"/>
      <c r="AI521" s="32"/>
      <c r="AJ521" s="32"/>
      <c r="AK521" s="32"/>
      <c r="AL521" s="32"/>
    </row>
    <row r="522" spans="2:38" x14ac:dyDescent="0.2">
      <c r="B522" s="32"/>
      <c r="C522" s="32"/>
      <c r="D522" s="32"/>
      <c r="E522" s="32"/>
      <c r="F522" s="32"/>
      <c r="G522" s="32"/>
      <c r="H522" s="32"/>
      <c r="I522" s="32"/>
      <c r="J522" s="32"/>
      <c r="K522" s="32"/>
      <c r="L522" s="32"/>
      <c r="M522" s="32"/>
      <c r="N522" s="32"/>
      <c r="O522" s="32"/>
      <c r="P522" s="32"/>
      <c r="Q522" s="32"/>
      <c r="R522" s="32"/>
      <c r="S522" s="32"/>
      <c r="T522" s="32"/>
      <c r="U522" s="32"/>
      <c r="V522" s="32"/>
      <c r="W522" s="32"/>
      <c r="X522" s="32"/>
      <c r="Y522" s="32"/>
      <c r="Z522" s="32"/>
      <c r="AA522" s="32"/>
      <c r="AB522" s="32"/>
      <c r="AC522" s="32"/>
      <c r="AD522" s="32"/>
      <c r="AE522" s="32"/>
      <c r="AF522" s="32"/>
      <c r="AG522" s="32"/>
      <c r="AH522" s="32"/>
      <c r="AI522" s="32"/>
      <c r="AJ522" s="32"/>
      <c r="AK522" s="32"/>
      <c r="AL522" s="32"/>
    </row>
    <row r="523" spans="2:38" x14ac:dyDescent="0.2">
      <c r="B523" s="32"/>
      <c r="C523" s="32"/>
      <c r="D523" s="32"/>
      <c r="E523" s="32"/>
      <c r="F523" s="32"/>
      <c r="G523" s="32"/>
      <c r="H523" s="32"/>
      <c r="I523" s="32"/>
      <c r="J523" s="32"/>
      <c r="K523" s="32"/>
      <c r="L523" s="32"/>
      <c r="M523" s="32"/>
      <c r="N523" s="32"/>
      <c r="O523" s="32"/>
      <c r="P523" s="32"/>
      <c r="Q523" s="32"/>
      <c r="R523" s="32"/>
      <c r="S523" s="32"/>
      <c r="T523" s="32"/>
      <c r="U523" s="32"/>
      <c r="V523" s="32"/>
      <c r="W523" s="32"/>
      <c r="X523" s="32"/>
      <c r="Y523" s="32"/>
      <c r="Z523" s="32"/>
      <c r="AA523" s="32"/>
      <c r="AB523" s="32"/>
      <c r="AC523" s="32"/>
      <c r="AD523" s="32"/>
      <c r="AE523" s="32"/>
      <c r="AF523" s="32"/>
      <c r="AG523" s="32"/>
      <c r="AH523" s="32"/>
      <c r="AI523" s="32"/>
      <c r="AJ523" s="32"/>
      <c r="AK523" s="32"/>
      <c r="AL523" s="32"/>
    </row>
    <row r="524" spans="2:38" x14ac:dyDescent="0.2">
      <c r="B524" s="32"/>
      <c r="C524" s="32"/>
      <c r="D524" s="32"/>
      <c r="E524" s="32"/>
      <c r="F524" s="32"/>
      <c r="G524" s="32"/>
      <c r="H524" s="32"/>
      <c r="I524" s="32"/>
      <c r="J524" s="32"/>
      <c r="K524" s="32"/>
      <c r="L524" s="32"/>
      <c r="M524" s="32"/>
      <c r="N524" s="32"/>
      <c r="O524" s="32"/>
      <c r="P524" s="32"/>
      <c r="Q524" s="32"/>
      <c r="R524" s="32"/>
      <c r="S524" s="32"/>
      <c r="T524" s="32"/>
      <c r="U524" s="32"/>
      <c r="V524" s="32"/>
      <c r="W524" s="32"/>
      <c r="X524" s="32"/>
      <c r="Y524" s="32"/>
      <c r="Z524" s="32"/>
      <c r="AA524" s="32"/>
      <c r="AB524" s="32"/>
      <c r="AC524" s="32"/>
      <c r="AD524" s="32"/>
      <c r="AE524" s="32"/>
      <c r="AF524" s="32"/>
      <c r="AG524" s="32"/>
      <c r="AH524" s="32"/>
      <c r="AI524" s="32"/>
      <c r="AJ524" s="32"/>
      <c r="AK524" s="32"/>
      <c r="AL524" s="32"/>
    </row>
    <row r="525" spans="2:38" x14ac:dyDescent="0.2">
      <c r="B525" s="32"/>
      <c r="C525" s="32"/>
      <c r="D525" s="32"/>
      <c r="E525" s="32"/>
      <c r="F525" s="32"/>
      <c r="G525" s="32"/>
      <c r="H525" s="32"/>
      <c r="I525" s="32"/>
      <c r="J525" s="32"/>
      <c r="K525" s="32"/>
      <c r="L525" s="32"/>
      <c r="M525" s="32"/>
      <c r="N525" s="32"/>
      <c r="O525" s="32"/>
      <c r="P525" s="32"/>
      <c r="Q525" s="32"/>
      <c r="R525" s="32"/>
      <c r="S525" s="32"/>
      <c r="T525" s="32"/>
      <c r="U525" s="32"/>
      <c r="V525" s="32"/>
      <c r="W525" s="32"/>
      <c r="X525" s="32"/>
      <c r="Y525" s="32"/>
      <c r="Z525" s="32"/>
      <c r="AA525" s="32"/>
      <c r="AB525" s="32"/>
      <c r="AC525" s="32"/>
      <c r="AD525" s="32"/>
      <c r="AE525" s="32"/>
      <c r="AF525" s="32"/>
      <c r="AG525" s="32"/>
      <c r="AH525" s="32"/>
      <c r="AI525" s="32"/>
      <c r="AJ525" s="32"/>
      <c r="AK525" s="32"/>
      <c r="AL525" s="32"/>
    </row>
    <row r="526" spans="2:38" x14ac:dyDescent="0.2">
      <c r="B526" s="32"/>
      <c r="C526" s="32"/>
      <c r="D526" s="32"/>
      <c r="E526" s="32"/>
      <c r="F526" s="32"/>
      <c r="G526" s="32"/>
      <c r="H526" s="32"/>
      <c r="I526" s="32"/>
      <c r="J526" s="32"/>
      <c r="K526" s="32"/>
      <c r="L526" s="32"/>
      <c r="M526" s="32"/>
      <c r="N526" s="32"/>
      <c r="O526" s="32"/>
      <c r="P526" s="32"/>
      <c r="Q526" s="32"/>
      <c r="R526" s="32"/>
      <c r="S526" s="32"/>
      <c r="T526" s="32"/>
      <c r="U526" s="32"/>
      <c r="V526" s="32"/>
      <c r="W526" s="32"/>
      <c r="X526" s="32"/>
      <c r="Y526" s="32"/>
      <c r="Z526" s="32"/>
      <c r="AA526" s="32"/>
      <c r="AB526" s="32"/>
      <c r="AC526" s="32"/>
      <c r="AD526" s="32"/>
      <c r="AE526" s="32"/>
      <c r="AF526" s="32"/>
      <c r="AG526" s="32"/>
      <c r="AH526" s="32"/>
      <c r="AI526" s="32"/>
      <c r="AJ526" s="32"/>
      <c r="AK526" s="32"/>
      <c r="AL526" s="32"/>
    </row>
    <row r="527" spans="2:38" x14ac:dyDescent="0.2">
      <c r="B527" s="32"/>
      <c r="C527" s="32"/>
      <c r="D527" s="32"/>
      <c r="E527" s="32"/>
      <c r="F527" s="32"/>
      <c r="G527" s="32"/>
      <c r="H527" s="32"/>
      <c r="I527" s="32"/>
      <c r="J527" s="32"/>
      <c r="K527" s="32"/>
      <c r="L527" s="32"/>
      <c r="M527" s="32"/>
      <c r="N527" s="32"/>
      <c r="O527" s="32"/>
      <c r="P527" s="32"/>
      <c r="Q527" s="32"/>
      <c r="R527" s="32"/>
      <c r="S527" s="32"/>
      <c r="T527" s="32"/>
      <c r="U527" s="32"/>
      <c r="V527" s="32"/>
      <c r="W527" s="32"/>
      <c r="X527" s="32"/>
      <c r="Y527" s="32"/>
      <c r="Z527" s="32"/>
      <c r="AA527" s="32"/>
      <c r="AB527" s="32"/>
      <c r="AC527" s="32"/>
      <c r="AD527" s="32"/>
      <c r="AE527" s="32"/>
      <c r="AF527" s="32"/>
      <c r="AG527" s="32"/>
      <c r="AH527" s="32"/>
      <c r="AI527" s="32"/>
      <c r="AJ527" s="32"/>
      <c r="AK527" s="32"/>
      <c r="AL527" s="32"/>
    </row>
    <row r="528" spans="2:38" x14ac:dyDescent="0.2">
      <c r="B528" s="32"/>
      <c r="C528" s="32"/>
      <c r="D528" s="32"/>
      <c r="E528" s="32"/>
      <c r="F528" s="32"/>
      <c r="G528" s="32"/>
      <c r="H528" s="32"/>
      <c r="I528" s="32"/>
      <c r="J528" s="32"/>
      <c r="K528" s="32"/>
      <c r="L528" s="32"/>
      <c r="M528" s="32"/>
      <c r="N528" s="32"/>
      <c r="O528" s="32"/>
      <c r="P528" s="32"/>
      <c r="Q528" s="32"/>
      <c r="R528" s="32"/>
      <c r="S528" s="32"/>
      <c r="T528" s="32"/>
      <c r="U528" s="32"/>
      <c r="V528" s="32"/>
      <c r="W528" s="32"/>
      <c r="X528" s="32"/>
      <c r="Y528" s="32"/>
      <c r="Z528" s="32"/>
      <c r="AA528" s="32"/>
      <c r="AB528" s="32"/>
      <c r="AC528" s="32"/>
      <c r="AD528" s="32"/>
      <c r="AE528" s="32"/>
      <c r="AF528" s="32"/>
      <c r="AG528" s="32"/>
      <c r="AH528" s="32"/>
      <c r="AI528" s="32"/>
      <c r="AJ528" s="32"/>
      <c r="AK528" s="32"/>
      <c r="AL528" s="32"/>
    </row>
    <row r="529" spans="2:38" x14ac:dyDescent="0.2">
      <c r="B529" s="32"/>
      <c r="C529" s="32"/>
      <c r="D529" s="32"/>
      <c r="E529" s="32"/>
      <c r="F529" s="32"/>
      <c r="G529" s="32"/>
      <c r="H529" s="32"/>
      <c r="I529" s="32"/>
      <c r="J529" s="32"/>
      <c r="K529" s="32"/>
      <c r="L529" s="32"/>
      <c r="M529" s="32"/>
      <c r="N529" s="32"/>
      <c r="O529" s="32"/>
      <c r="P529" s="32"/>
      <c r="Q529" s="32"/>
      <c r="R529" s="32"/>
      <c r="S529" s="32"/>
      <c r="T529" s="32"/>
      <c r="U529" s="32"/>
      <c r="V529" s="32"/>
      <c r="W529" s="32"/>
      <c r="X529" s="32"/>
      <c r="Y529" s="32"/>
      <c r="Z529" s="32"/>
      <c r="AA529" s="32"/>
      <c r="AB529" s="32"/>
      <c r="AC529" s="32"/>
      <c r="AD529" s="32"/>
      <c r="AE529" s="32"/>
      <c r="AF529" s="32"/>
      <c r="AG529" s="32"/>
      <c r="AH529" s="32"/>
      <c r="AI529" s="32"/>
      <c r="AJ529" s="32"/>
      <c r="AK529" s="32"/>
      <c r="AL529" s="32"/>
    </row>
    <row r="530" spans="2:38" x14ac:dyDescent="0.2">
      <c r="B530" s="32"/>
      <c r="C530" s="32"/>
      <c r="D530" s="32"/>
      <c r="E530" s="32"/>
      <c r="F530" s="32"/>
      <c r="G530" s="32"/>
      <c r="H530" s="32"/>
      <c r="I530" s="32"/>
      <c r="J530" s="32"/>
      <c r="K530" s="32"/>
      <c r="L530" s="32"/>
      <c r="M530" s="32"/>
      <c r="N530" s="32"/>
      <c r="O530" s="32"/>
      <c r="P530" s="32"/>
      <c r="Q530" s="32"/>
      <c r="R530" s="32"/>
      <c r="S530" s="32"/>
      <c r="T530" s="32"/>
      <c r="U530" s="32"/>
      <c r="V530" s="32"/>
      <c r="W530" s="32"/>
      <c r="X530" s="32"/>
      <c r="Y530" s="32"/>
      <c r="Z530" s="32"/>
      <c r="AA530" s="32"/>
      <c r="AB530" s="32"/>
      <c r="AC530" s="32"/>
      <c r="AD530" s="32"/>
      <c r="AE530" s="32"/>
      <c r="AF530" s="32"/>
      <c r="AG530" s="32"/>
      <c r="AH530" s="32"/>
      <c r="AI530" s="32"/>
      <c r="AJ530" s="32"/>
      <c r="AK530" s="32"/>
      <c r="AL530" s="32"/>
    </row>
    <row r="531" spans="2:38" x14ac:dyDescent="0.2">
      <c r="B531" s="32"/>
      <c r="C531" s="32"/>
      <c r="D531" s="32"/>
      <c r="E531" s="32"/>
      <c r="F531" s="32"/>
      <c r="G531" s="32"/>
      <c r="H531" s="32"/>
      <c r="I531" s="32"/>
      <c r="J531" s="32"/>
      <c r="K531" s="32"/>
      <c r="L531" s="32"/>
      <c r="M531" s="32"/>
      <c r="N531" s="32"/>
      <c r="O531" s="32"/>
      <c r="P531" s="32"/>
      <c r="Q531" s="32"/>
      <c r="R531" s="32"/>
      <c r="S531" s="32"/>
      <c r="T531" s="32"/>
      <c r="U531" s="32"/>
      <c r="V531" s="32"/>
      <c r="W531" s="32"/>
      <c r="X531" s="32"/>
      <c r="Y531" s="32"/>
      <c r="Z531" s="32"/>
      <c r="AA531" s="32"/>
      <c r="AB531" s="32"/>
      <c r="AC531" s="32"/>
      <c r="AD531" s="32"/>
      <c r="AE531" s="32"/>
      <c r="AF531" s="32"/>
      <c r="AG531" s="32"/>
      <c r="AH531" s="32"/>
      <c r="AI531" s="32"/>
      <c r="AJ531" s="32"/>
      <c r="AK531" s="32"/>
      <c r="AL531" s="32"/>
    </row>
    <row r="532" spans="2:38" x14ac:dyDescent="0.2">
      <c r="B532" s="32"/>
      <c r="C532" s="32"/>
      <c r="D532" s="32"/>
      <c r="E532" s="32"/>
      <c r="F532" s="32"/>
      <c r="G532" s="32"/>
      <c r="H532" s="32"/>
      <c r="I532" s="32"/>
      <c r="J532" s="32"/>
      <c r="K532" s="32"/>
      <c r="L532" s="32"/>
      <c r="M532" s="32"/>
      <c r="N532" s="32"/>
      <c r="O532" s="32"/>
      <c r="P532" s="32"/>
      <c r="Q532" s="32"/>
      <c r="R532" s="32"/>
      <c r="S532" s="32"/>
      <c r="T532" s="32"/>
      <c r="U532" s="32"/>
      <c r="V532" s="32"/>
      <c r="W532" s="32"/>
      <c r="X532" s="32"/>
      <c r="Y532" s="32"/>
      <c r="Z532" s="32"/>
      <c r="AA532" s="32"/>
      <c r="AB532" s="32"/>
      <c r="AC532" s="32"/>
      <c r="AD532" s="32"/>
      <c r="AE532" s="32"/>
      <c r="AF532" s="32"/>
      <c r="AG532" s="32"/>
      <c r="AH532" s="32"/>
      <c r="AI532" s="32"/>
      <c r="AJ532" s="32"/>
      <c r="AK532" s="32"/>
      <c r="AL532" s="32"/>
    </row>
    <row r="533" spans="2:38" x14ac:dyDescent="0.2">
      <c r="B533" s="32"/>
      <c r="C533" s="32"/>
      <c r="D533" s="32"/>
      <c r="E533" s="32"/>
      <c r="F533" s="32"/>
      <c r="G533" s="32"/>
      <c r="H533" s="32"/>
      <c r="I533" s="32"/>
      <c r="J533" s="32"/>
      <c r="K533" s="32"/>
      <c r="L533" s="32"/>
      <c r="M533" s="32"/>
      <c r="N533" s="32"/>
      <c r="O533" s="32"/>
      <c r="P533" s="32"/>
      <c r="Q533" s="32"/>
      <c r="R533" s="32"/>
      <c r="S533" s="32"/>
      <c r="T533" s="32"/>
      <c r="U533" s="32"/>
      <c r="V533" s="32"/>
      <c r="W533" s="32"/>
      <c r="X533" s="32"/>
      <c r="Y533" s="32"/>
      <c r="Z533" s="32"/>
      <c r="AA533" s="32"/>
      <c r="AB533" s="32"/>
      <c r="AC533" s="32"/>
      <c r="AD533" s="32"/>
      <c r="AE533" s="32"/>
      <c r="AF533" s="32"/>
      <c r="AG533" s="32"/>
      <c r="AH533" s="32"/>
      <c r="AI533" s="32"/>
      <c r="AJ533" s="32"/>
      <c r="AK533" s="32"/>
      <c r="AL533" s="32"/>
    </row>
    <row r="534" spans="2:38" x14ac:dyDescent="0.2">
      <c r="B534" s="32"/>
      <c r="C534" s="32"/>
      <c r="D534" s="32"/>
      <c r="E534" s="32"/>
      <c r="F534" s="32"/>
      <c r="G534" s="32"/>
      <c r="H534" s="32"/>
      <c r="I534" s="32"/>
      <c r="J534" s="32"/>
      <c r="K534" s="32"/>
      <c r="L534" s="32"/>
      <c r="M534" s="32"/>
      <c r="N534" s="32"/>
      <c r="O534" s="32"/>
      <c r="P534" s="32"/>
      <c r="Q534" s="32"/>
      <c r="R534" s="32"/>
      <c r="S534" s="32"/>
      <c r="T534" s="32"/>
      <c r="U534" s="32"/>
      <c r="V534" s="32"/>
      <c r="W534" s="32"/>
      <c r="X534" s="32"/>
      <c r="Y534" s="32"/>
      <c r="Z534" s="32"/>
      <c r="AA534" s="32"/>
      <c r="AB534" s="32"/>
      <c r="AC534" s="32"/>
      <c r="AD534" s="32"/>
      <c r="AE534" s="32"/>
      <c r="AF534" s="32"/>
      <c r="AG534" s="32"/>
      <c r="AH534" s="32"/>
      <c r="AI534" s="32"/>
      <c r="AJ534" s="32"/>
      <c r="AK534" s="32"/>
      <c r="AL534" s="32"/>
    </row>
    <row r="535" spans="2:38" x14ac:dyDescent="0.2">
      <c r="B535" s="32"/>
      <c r="C535" s="32"/>
      <c r="D535" s="32"/>
      <c r="E535" s="32"/>
      <c r="F535" s="32"/>
      <c r="G535" s="32"/>
      <c r="H535" s="32"/>
      <c r="I535" s="32"/>
      <c r="J535" s="32"/>
      <c r="K535" s="32"/>
      <c r="L535" s="32"/>
      <c r="M535" s="32"/>
      <c r="N535" s="32"/>
      <c r="O535" s="32"/>
      <c r="P535" s="32"/>
      <c r="Q535" s="32"/>
      <c r="R535" s="32"/>
      <c r="S535" s="32"/>
      <c r="T535" s="32"/>
      <c r="U535" s="32"/>
      <c r="V535" s="32"/>
      <c r="W535" s="32"/>
      <c r="X535" s="32"/>
      <c r="Y535" s="32"/>
      <c r="Z535" s="32"/>
      <c r="AA535" s="32"/>
      <c r="AB535" s="32"/>
      <c r="AC535" s="32"/>
      <c r="AD535" s="32"/>
      <c r="AE535" s="32"/>
      <c r="AF535" s="32"/>
      <c r="AG535" s="32"/>
      <c r="AH535" s="32"/>
      <c r="AI535" s="32"/>
      <c r="AJ535" s="32"/>
      <c r="AK535" s="32"/>
      <c r="AL535" s="32"/>
    </row>
    <row r="536" spans="2:38" x14ac:dyDescent="0.2">
      <c r="B536" s="32"/>
      <c r="C536" s="32"/>
      <c r="D536" s="32"/>
      <c r="E536" s="32"/>
      <c r="F536" s="32"/>
      <c r="G536" s="32"/>
      <c r="H536" s="32"/>
      <c r="I536" s="32"/>
      <c r="J536" s="32"/>
      <c r="K536" s="32"/>
      <c r="L536" s="32"/>
      <c r="M536" s="32"/>
      <c r="N536" s="32"/>
      <c r="O536" s="32"/>
      <c r="P536" s="32"/>
      <c r="Q536" s="32"/>
      <c r="R536" s="32"/>
      <c r="S536" s="32"/>
      <c r="T536" s="32"/>
      <c r="U536" s="32"/>
      <c r="V536" s="32"/>
      <c r="W536" s="32"/>
      <c r="X536" s="32"/>
      <c r="Y536" s="32"/>
      <c r="Z536" s="32"/>
      <c r="AA536" s="32"/>
      <c r="AB536" s="32"/>
      <c r="AC536" s="32"/>
      <c r="AD536" s="32"/>
      <c r="AE536" s="32"/>
      <c r="AF536" s="32"/>
      <c r="AG536" s="32"/>
      <c r="AH536" s="32"/>
      <c r="AI536" s="32"/>
      <c r="AJ536" s="32"/>
      <c r="AK536" s="32"/>
      <c r="AL536" s="32"/>
    </row>
    <row r="537" spans="2:38" x14ac:dyDescent="0.2">
      <c r="B537" s="32"/>
      <c r="C537" s="32"/>
      <c r="D537" s="32"/>
      <c r="E537" s="32"/>
      <c r="F537" s="32"/>
      <c r="G537" s="32"/>
      <c r="H537" s="32"/>
      <c r="I537" s="32"/>
      <c r="J537" s="32"/>
      <c r="K537" s="32"/>
      <c r="L537" s="32"/>
      <c r="M537" s="32"/>
      <c r="N537" s="32"/>
      <c r="O537" s="32"/>
      <c r="P537" s="32"/>
      <c r="Q537" s="32"/>
      <c r="R537" s="32"/>
      <c r="S537" s="32"/>
      <c r="T537" s="32"/>
      <c r="U537" s="32"/>
      <c r="V537" s="32"/>
      <c r="W537" s="32"/>
      <c r="X537" s="32"/>
      <c r="Y537" s="32"/>
      <c r="Z537" s="32"/>
      <c r="AA537" s="32"/>
      <c r="AB537" s="32"/>
      <c r="AC537" s="32"/>
      <c r="AD537" s="32"/>
      <c r="AE537" s="32"/>
      <c r="AF537" s="32"/>
      <c r="AG537" s="32"/>
      <c r="AH537" s="32"/>
      <c r="AI537" s="32"/>
      <c r="AJ537" s="32"/>
      <c r="AK537" s="32"/>
      <c r="AL537" s="32"/>
    </row>
    <row r="538" spans="2:38" x14ac:dyDescent="0.2">
      <c r="B538" s="32"/>
      <c r="C538" s="32"/>
      <c r="D538" s="32"/>
      <c r="E538" s="32"/>
      <c r="F538" s="32"/>
      <c r="G538" s="32"/>
      <c r="H538" s="32"/>
      <c r="I538" s="32"/>
      <c r="J538" s="32"/>
      <c r="K538" s="32"/>
      <c r="L538" s="32"/>
      <c r="M538" s="32"/>
      <c r="N538" s="32"/>
      <c r="O538" s="32"/>
      <c r="P538" s="32"/>
      <c r="Q538" s="32"/>
      <c r="R538" s="32"/>
      <c r="S538" s="32"/>
      <c r="T538" s="32"/>
      <c r="U538" s="32"/>
      <c r="V538" s="32"/>
      <c r="W538" s="32"/>
      <c r="X538" s="32"/>
      <c r="Y538" s="32"/>
      <c r="Z538" s="32"/>
      <c r="AA538" s="32"/>
      <c r="AB538" s="32"/>
      <c r="AC538" s="32"/>
      <c r="AD538" s="32"/>
      <c r="AE538" s="32"/>
      <c r="AF538" s="32"/>
      <c r="AG538" s="32"/>
      <c r="AH538" s="32"/>
      <c r="AI538" s="32"/>
      <c r="AJ538" s="32"/>
      <c r="AK538" s="32"/>
      <c r="AL538" s="32"/>
    </row>
    <row r="539" spans="2:38" x14ac:dyDescent="0.2">
      <c r="B539" s="32"/>
      <c r="C539" s="32"/>
      <c r="D539" s="32"/>
      <c r="E539" s="32"/>
      <c r="F539" s="32"/>
      <c r="G539" s="32"/>
      <c r="H539" s="32"/>
      <c r="I539" s="32"/>
      <c r="J539" s="32"/>
      <c r="K539" s="32"/>
      <c r="L539" s="32"/>
      <c r="M539" s="32"/>
      <c r="N539" s="32"/>
      <c r="O539" s="32"/>
      <c r="P539" s="32"/>
      <c r="Q539" s="32"/>
      <c r="R539" s="32"/>
      <c r="S539" s="32"/>
      <c r="T539" s="32"/>
      <c r="U539" s="32"/>
      <c r="V539" s="32"/>
      <c r="W539" s="32"/>
      <c r="X539" s="32"/>
      <c r="Y539" s="32"/>
      <c r="Z539" s="32"/>
      <c r="AA539" s="32"/>
      <c r="AB539" s="32"/>
      <c r="AC539" s="32"/>
      <c r="AD539" s="32"/>
      <c r="AE539" s="32"/>
      <c r="AF539" s="32"/>
      <c r="AG539" s="32"/>
      <c r="AH539" s="32"/>
      <c r="AI539" s="32"/>
      <c r="AJ539" s="32"/>
      <c r="AK539" s="32"/>
      <c r="AL539" s="32"/>
    </row>
    <row r="540" spans="2:38" x14ac:dyDescent="0.2">
      <c r="B540" s="32"/>
      <c r="C540" s="32"/>
      <c r="D540" s="32"/>
      <c r="E540" s="32"/>
      <c r="F540" s="32"/>
      <c r="G540" s="32"/>
      <c r="H540" s="32"/>
      <c r="I540" s="32"/>
      <c r="J540" s="32"/>
      <c r="K540" s="32"/>
      <c r="L540" s="32"/>
      <c r="M540" s="32"/>
      <c r="N540" s="32"/>
      <c r="O540" s="32"/>
      <c r="P540" s="32"/>
      <c r="Q540" s="32"/>
      <c r="R540" s="32"/>
      <c r="S540" s="32"/>
      <c r="T540" s="32"/>
      <c r="U540" s="32"/>
      <c r="V540" s="32"/>
      <c r="W540" s="32"/>
      <c r="X540" s="32"/>
      <c r="Y540" s="32"/>
      <c r="Z540" s="32"/>
      <c r="AA540" s="32"/>
      <c r="AB540" s="32"/>
      <c r="AC540" s="32"/>
      <c r="AD540" s="32"/>
      <c r="AE540" s="32"/>
      <c r="AF540" s="32"/>
      <c r="AG540" s="32"/>
      <c r="AH540" s="32"/>
      <c r="AI540" s="32"/>
      <c r="AJ540" s="32"/>
      <c r="AK540" s="32"/>
      <c r="AL540" s="32"/>
    </row>
    <row r="541" spans="2:38" x14ac:dyDescent="0.2">
      <c r="B541" s="32"/>
      <c r="C541" s="32"/>
      <c r="D541" s="32"/>
      <c r="E541" s="32"/>
      <c r="F541" s="32"/>
      <c r="G541" s="32"/>
      <c r="H541" s="32"/>
      <c r="I541" s="32"/>
      <c r="J541" s="32"/>
      <c r="K541" s="32"/>
      <c r="L541" s="32"/>
      <c r="M541" s="32"/>
      <c r="N541" s="32"/>
      <c r="O541" s="32"/>
      <c r="P541" s="32"/>
      <c r="Q541" s="32"/>
      <c r="R541" s="32"/>
      <c r="S541" s="32"/>
      <c r="T541" s="32"/>
      <c r="U541" s="32"/>
      <c r="V541" s="32"/>
      <c r="W541" s="32"/>
      <c r="X541" s="32"/>
      <c r="Y541" s="32"/>
      <c r="Z541" s="32"/>
      <c r="AA541" s="32"/>
      <c r="AB541" s="32"/>
      <c r="AC541" s="32"/>
      <c r="AD541" s="32"/>
      <c r="AE541" s="32"/>
      <c r="AF541" s="32"/>
      <c r="AG541" s="32"/>
      <c r="AH541" s="32"/>
      <c r="AI541" s="32"/>
      <c r="AJ541" s="32"/>
      <c r="AK541" s="32"/>
      <c r="AL541" s="32"/>
    </row>
    <row r="542" spans="2:38" x14ac:dyDescent="0.2">
      <c r="B542" s="32"/>
      <c r="C542" s="32"/>
      <c r="D542" s="32"/>
      <c r="E542" s="32"/>
      <c r="F542" s="32"/>
      <c r="G542" s="32"/>
      <c r="H542" s="32"/>
      <c r="I542" s="32"/>
      <c r="J542" s="32"/>
      <c r="K542" s="32"/>
      <c r="L542" s="32"/>
      <c r="M542" s="32"/>
      <c r="N542" s="32"/>
      <c r="O542" s="32"/>
      <c r="P542" s="32"/>
      <c r="Q542" s="32"/>
      <c r="R542" s="32"/>
      <c r="S542" s="32"/>
      <c r="T542" s="32"/>
      <c r="U542" s="32"/>
      <c r="V542" s="32"/>
      <c r="W542" s="32"/>
      <c r="X542" s="32"/>
      <c r="Y542" s="32"/>
      <c r="Z542" s="32"/>
      <c r="AA542" s="32"/>
      <c r="AB542" s="32"/>
      <c r="AC542" s="32"/>
      <c r="AD542" s="32"/>
      <c r="AE542" s="32"/>
      <c r="AF542" s="32"/>
      <c r="AG542" s="32"/>
      <c r="AH542" s="32"/>
      <c r="AI542" s="32"/>
      <c r="AJ542" s="32"/>
      <c r="AK542" s="32"/>
      <c r="AL542" s="32"/>
    </row>
    <row r="543" spans="2:38" x14ac:dyDescent="0.2">
      <c r="B543" s="32"/>
      <c r="C543" s="32"/>
      <c r="D543" s="32"/>
      <c r="E543" s="32"/>
      <c r="F543" s="32"/>
      <c r="G543" s="32"/>
      <c r="H543" s="32"/>
      <c r="I543" s="32"/>
      <c r="J543" s="32"/>
      <c r="K543" s="32"/>
      <c r="L543" s="32"/>
      <c r="M543" s="32"/>
      <c r="N543" s="32"/>
      <c r="O543" s="32"/>
      <c r="P543" s="32"/>
      <c r="Q543" s="32"/>
      <c r="R543" s="32"/>
      <c r="S543" s="32"/>
      <c r="T543" s="32"/>
      <c r="U543" s="32"/>
      <c r="V543" s="32"/>
      <c r="W543" s="32"/>
      <c r="X543" s="32"/>
      <c r="Y543" s="32"/>
      <c r="Z543" s="32"/>
      <c r="AA543" s="32"/>
      <c r="AB543" s="32"/>
      <c r="AC543" s="32"/>
      <c r="AD543" s="32"/>
      <c r="AE543" s="32"/>
      <c r="AF543" s="32"/>
      <c r="AG543" s="32"/>
      <c r="AH543" s="32"/>
      <c r="AI543" s="32"/>
      <c r="AJ543" s="32"/>
      <c r="AK543" s="32"/>
      <c r="AL543" s="32"/>
    </row>
    <row r="544" spans="2:38" x14ac:dyDescent="0.2">
      <c r="B544" s="32"/>
      <c r="C544" s="32"/>
      <c r="D544" s="32"/>
      <c r="E544" s="32"/>
      <c r="F544" s="32"/>
      <c r="G544" s="32"/>
      <c r="H544" s="32"/>
      <c r="I544" s="32"/>
      <c r="J544" s="32"/>
      <c r="K544" s="32"/>
      <c r="L544" s="32"/>
      <c r="M544" s="32"/>
      <c r="N544" s="32"/>
      <c r="O544" s="32"/>
      <c r="P544" s="32"/>
      <c r="Q544" s="32"/>
      <c r="R544" s="32"/>
      <c r="S544" s="32"/>
      <c r="T544" s="32"/>
      <c r="U544" s="32"/>
      <c r="V544" s="32"/>
      <c r="W544" s="32"/>
      <c r="X544" s="32"/>
      <c r="Y544" s="32"/>
      <c r="Z544" s="32"/>
      <c r="AA544" s="32"/>
      <c r="AB544" s="32"/>
      <c r="AC544" s="32"/>
      <c r="AD544" s="32"/>
      <c r="AE544" s="32"/>
      <c r="AF544" s="32"/>
      <c r="AG544" s="32"/>
      <c r="AH544" s="32"/>
      <c r="AI544" s="32"/>
      <c r="AJ544" s="32"/>
      <c r="AK544" s="32"/>
      <c r="AL544" s="32"/>
    </row>
    <row r="545" spans="2:38" x14ac:dyDescent="0.2">
      <c r="B545" s="32"/>
      <c r="C545" s="32"/>
      <c r="D545" s="32"/>
      <c r="E545" s="32"/>
      <c r="F545" s="32"/>
      <c r="G545" s="32"/>
      <c r="H545" s="32"/>
      <c r="I545" s="32"/>
      <c r="J545" s="32"/>
      <c r="K545" s="32"/>
      <c r="L545" s="32"/>
      <c r="M545" s="32"/>
      <c r="N545" s="32"/>
      <c r="O545" s="32"/>
      <c r="P545" s="32"/>
      <c r="Q545" s="32"/>
      <c r="R545" s="32"/>
      <c r="S545" s="32"/>
      <c r="T545" s="32"/>
      <c r="U545" s="32"/>
      <c r="V545" s="32"/>
      <c r="W545" s="32"/>
      <c r="X545" s="32"/>
      <c r="Y545" s="32"/>
      <c r="Z545" s="32"/>
      <c r="AA545" s="32"/>
      <c r="AB545" s="32"/>
      <c r="AC545" s="32"/>
      <c r="AD545" s="32"/>
      <c r="AE545" s="32"/>
      <c r="AF545" s="32"/>
      <c r="AG545" s="32"/>
      <c r="AH545" s="32"/>
      <c r="AI545" s="32"/>
      <c r="AJ545" s="32"/>
      <c r="AK545" s="32"/>
      <c r="AL545" s="32"/>
    </row>
    <row r="546" spans="2:38" x14ac:dyDescent="0.2">
      <c r="B546" s="32"/>
      <c r="C546" s="32"/>
      <c r="D546" s="32"/>
      <c r="E546" s="32"/>
      <c r="F546" s="32"/>
      <c r="G546" s="32"/>
      <c r="H546" s="32"/>
      <c r="I546" s="32"/>
      <c r="J546" s="32"/>
      <c r="K546" s="32"/>
      <c r="L546" s="32"/>
      <c r="M546" s="32"/>
      <c r="N546" s="32"/>
      <c r="O546" s="32"/>
      <c r="P546" s="32"/>
      <c r="Q546" s="32"/>
      <c r="R546" s="32"/>
      <c r="S546" s="32"/>
      <c r="T546" s="32"/>
      <c r="U546" s="32"/>
      <c r="V546" s="32"/>
      <c r="W546" s="32"/>
      <c r="X546" s="32"/>
      <c r="Y546" s="32"/>
      <c r="Z546" s="32"/>
      <c r="AA546" s="32"/>
      <c r="AB546" s="32"/>
      <c r="AC546" s="32"/>
      <c r="AD546" s="32"/>
      <c r="AE546" s="32"/>
      <c r="AF546" s="32"/>
      <c r="AG546" s="32"/>
      <c r="AH546" s="32"/>
      <c r="AI546" s="32"/>
      <c r="AJ546" s="32"/>
      <c r="AK546" s="32"/>
      <c r="AL546" s="32"/>
    </row>
    <row r="547" spans="2:38" x14ac:dyDescent="0.2">
      <c r="B547" s="32"/>
      <c r="C547" s="32"/>
      <c r="D547" s="32"/>
      <c r="E547" s="32"/>
      <c r="F547" s="32"/>
      <c r="G547" s="32"/>
      <c r="H547" s="32"/>
      <c r="I547" s="32"/>
      <c r="J547" s="32"/>
      <c r="K547" s="32"/>
      <c r="L547" s="32"/>
      <c r="M547" s="32"/>
      <c r="N547" s="32"/>
      <c r="O547" s="32"/>
      <c r="P547" s="32"/>
      <c r="Q547" s="32"/>
      <c r="R547" s="32"/>
      <c r="S547" s="32"/>
      <c r="T547" s="32"/>
      <c r="U547" s="32"/>
      <c r="V547" s="32"/>
      <c r="W547" s="32"/>
      <c r="X547" s="32"/>
      <c r="Y547" s="32"/>
      <c r="Z547" s="32"/>
      <c r="AA547" s="32"/>
      <c r="AB547" s="32"/>
      <c r="AC547" s="32"/>
      <c r="AD547" s="32"/>
      <c r="AE547" s="32"/>
      <c r="AF547" s="32"/>
      <c r="AG547" s="32"/>
      <c r="AH547" s="32"/>
      <c r="AI547" s="32"/>
      <c r="AJ547" s="32"/>
      <c r="AK547" s="32"/>
      <c r="AL547" s="32"/>
    </row>
    <row r="548" spans="2:38" x14ac:dyDescent="0.2">
      <c r="B548" s="32"/>
      <c r="C548" s="32"/>
      <c r="D548" s="32"/>
      <c r="E548" s="32"/>
      <c r="F548" s="32"/>
      <c r="G548" s="32"/>
      <c r="H548" s="32"/>
      <c r="I548" s="32"/>
      <c r="J548" s="32"/>
      <c r="K548" s="32"/>
      <c r="L548" s="32"/>
      <c r="M548" s="32"/>
      <c r="N548" s="32"/>
      <c r="O548" s="32"/>
      <c r="P548" s="32"/>
      <c r="Q548" s="32"/>
      <c r="R548" s="32"/>
      <c r="S548" s="32"/>
      <c r="T548" s="32"/>
      <c r="U548" s="32"/>
      <c r="V548" s="32"/>
      <c r="W548" s="32"/>
      <c r="X548" s="32"/>
      <c r="Y548" s="32"/>
      <c r="Z548" s="32"/>
      <c r="AA548" s="32"/>
      <c r="AB548" s="32"/>
      <c r="AC548" s="32"/>
      <c r="AD548" s="32"/>
      <c r="AE548" s="32"/>
      <c r="AF548" s="32"/>
      <c r="AG548" s="32"/>
      <c r="AH548" s="32"/>
      <c r="AI548" s="32"/>
      <c r="AJ548" s="32"/>
      <c r="AK548" s="32"/>
      <c r="AL548" s="32"/>
    </row>
    <row r="549" spans="2:38" x14ac:dyDescent="0.2">
      <c r="B549" s="32"/>
      <c r="C549" s="32"/>
      <c r="D549" s="32"/>
      <c r="E549" s="32"/>
      <c r="F549" s="32"/>
      <c r="G549" s="32"/>
      <c r="H549" s="32"/>
      <c r="I549" s="32"/>
      <c r="J549" s="32"/>
      <c r="K549" s="32"/>
      <c r="L549" s="32"/>
      <c r="M549" s="32"/>
      <c r="N549" s="32"/>
      <c r="O549" s="32"/>
      <c r="P549" s="32"/>
      <c r="Q549" s="32"/>
      <c r="R549" s="32"/>
      <c r="S549" s="32"/>
      <c r="T549" s="32"/>
      <c r="U549" s="32"/>
      <c r="V549" s="32"/>
      <c r="W549" s="32"/>
      <c r="X549" s="32"/>
      <c r="Y549" s="32"/>
      <c r="Z549" s="32"/>
      <c r="AA549" s="32"/>
      <c r="AB549" s="32"/>
      <c r="AC549" s="32"/>
      <c r="AD549" s="32"/>
      <c r="AE549" s="32"/>
      <c r="AF549" s="32"/>
      <c r="AG549" s="32"/>
      <c r="AH549" s="32"/>
      <c r="AI549" s="32"/>
      <c r="AJ549" s="32"/>
      <c r="AK549" s="32"/>
      <c r="AL549" s="32"/>
    </row>
    <row r="550" spans="2:38" x14ac:dyDescent="0.2">
      <c r="B550" s="32"/>
      <c r="C550" s="32"/>
      <c r="D550" s="32"/>
      <c r="E550" s="32"/>
      <c r="F550" s="32"/>
      <c r="G550" s="32"/>
      <c r="H550" s="32"/>
      <c r="I550" s="32"/>
      <c r="J550" s="32"/>
      <c r="K550" s="32"/>
      <c r="L550" s="32"/>
      <c r="M550" s="32"/>
      <c r="N550" s="32"/>
      <c r="O550" s="32"/>
      <c r="P550" s="32"/>
      <c r="Q550" s="32"/>
      <c r="R550" s="32"/>
      <c r="S550" s="32"/>
      <c r="T550" s="32"/>
      <c r="U550" s="32"/>
      <c r="V550" s="32"/>
      <c r="W550" s="32"/>
      <c r="X550" s="32"/>
      <c r="Y550" s="32"/>
      <c r="Z550" s="32"/>
      <c r="AA550" s="32"/>
      <c r="AB550" s="32"/>
      <c r="AC550" s="32"/>
      <c r="AD550" s="32"/>
      <c r="AE550" s="32"/>
      <c r="AF550" s="32"/>
      <c r="AG550" s="32"/>
      <c r="AH550" s="32"/>
      <c r="AI550" s="32"/>
      <c r="AJ550" s="32"/>
      <c r="AK550" s="32"/>
      <c r="AL550" s="32"/>
    </row>
    <row r="551" spans="2:38" x14ac:dyDescent="0.2">
      <c r="B551" s="32"/>
      <c r="C551" s="32"/>
      <c r="D551" s="32"/>
      <c r="E551" s="32"/>
      <c r="F551" s="32"/>
      <c r="G551" s="32"/>
      <c r="H551" s="32"/>
      <c r="I551" s="32"/>
      <c r="J551" s="32"/>
      <c r="K551" s="32"/>
      <c r="L551" s="32"/>
      <c r="M551" s="32"/>
      <c r="N551" s="32"/>
      <c r="O551" s="32"/>
      <c r="P551" s="32"/>
      <c r="Q551" s="32"/>
      <c r="R551" s="32"/>
      <c r="S551" s="32"/>
      <c r="T551" s="32"/>
      <c r="U551" s="32"/>
      <c r="V551" s="32"/>
      <c r="W551" s="32"/>
      <c r="X551" s="32"/>
      <c r="Y551" s="32"/>
      <c r="Z551" s="32"/>
      <c r="AA551" s="32"/>
      <c r="AB551" s="32"/>
      <c r="AC551" s="32"/>
      <c r="AD551" s="32"/>
      <c r="AE551" s="32"/>
      <c r="AF551" s="32"/>
      <c r="AG551" s="32"/>
      <c r="AH551" s="32"/>
      <c r="AI551" s="32"/>
      <c r="AJ551" s="32"/>
      <c r="AK551" s="32"/>
      <c r="AL551" s="32"/>
    </row>
    <row r="552" spans="2:38" x14ac:dyDescent="0.2">
      <c r="B552" s="32"/>
      <c r="C552" s="32"/>
      <c r="D552" s="32"/>
      <c r="E552" s="32"/>
      <c r="F552" s="32"/>
      <c r="G552" s="32"/>
      <c r="H552" s="32"/>
      <c r="I552" s="32"/>
      <c r="J552" s="32"/>
      <c r="K552" s="32"/>
      <c r="L552" s="32"/>
      <c r="M552" s="32"/>
      <c r="N552" s="32"/>
      <c r="O552" s="32"/>
      <c r="P552" s="32"/>
      <c r="Q552" s="32"/>
      <c r="R552" s="32"/>
      <c r="S552" s="32"/>
      <c r="T552" s="32"/>
      <c r="U552" s="32"/>
      <c r="V552" s="32"/>
      <c r="W552" s="32"/>
      <c r="X552" s="32"/>
      <c r="Y552" s="32"/>
      <c r="Z552" s="32"/>
      <c r="AA552" s="32"/>
      <c r="AB552" s="32"/>
      <c r="AC552" s="32"/>
      <c r="AD552" s="32"/>
      <c r="AE552" s="32"/>
      <c r="AF552" s="32"/>
      <c r="AG552" s="32"/>
      <c r="AH552" s="32"/>
      <c r="AI552" s="32"/>
      <c r="AJ552" s="32"/>
      <c r="AK552" s="32"/>
      <c r="AL552" s="32"/>
    </row>
    <row r="553" spans="2:38" x14ac:dyDescent="0.2">
      <c r="B553" s="32"/>
      <c r="C553" s="32"/>
      <c r="D553" s="32"/>
      <c r="E553" s="32"/>
      <c r="F553" s="32"/>
      <c r="G553" s="32"/>
      <c r="H553" s="32"/>
      <c r="I553" s="32"/>
      <c r="J553" s="32"/>
      <c r="K553" s="32"/>
      <c r="L553" s="32"/>
      <c r="M553" s="32"/>
      <c r="N553" s="32"/>
      <c r="O553" s="32"/>
      <c r="P553" s="32"/>
      <c r="Q553" s="32"/>
      <c r="R553" s="32"/>
      <c r="S553" s="32"/>
      <c r="T553" s="32"/>
      <c r="U553" s="32"/>
      <c r="V553" s="32"/>
      <c r="W553" s="32"/>
      <c r="X553" s="32"/>
      <c r="Y553" s="32"/>
      <c r="Z553" s="32"/>
      <c r="AA553" s="32"/>
      <c r="AB553" s="32"/>
      <c r="AC553" s="32"/>
      <c r="AD553" s="32"/>
      <c r="AE553" s="32"/>
      <c r="AF553" s="32"/>
      <c r="AG553" s="32"/>
      <c r="AH553" s="32"/>
      <c r="AI553" s="32"/>
      <c r="AJ553" s="32"/>
      <c r="AK553" s="32"/>
      <c r="AL553" s="32"/>
    </row>
    <row r="554" spans="2:38" x14ac:dyDescent="0.2">
      <c r="B554" s="32"/>
      <c r="C554" s="32"/>
      <c r="D554" s="32"/>
      <c r="E554" s="32"/>
      <c r="F554" s="32"/>
      <c r="G554" s="32"/>
      <c r="H554" s="32"/>
      <c r="I554" s="32"/>
      <c r="J554" s="32"/>
      <c r="K554" s="32"/>
      <c r="L554" s="32"/>
      <c r="M554" s="32"/>
      <c r="N554" s="32"/>
      <c r="O554" s="32"/>
      <c r="P554" s="32"/>
      <c r="Q554" s="32"/>
      <c r="R554" s="32"/>
      <c r="S554" s="32"/>
      <c r="T554" s="32"/>
      <c r="U554" s="32"/>
      <c r="V554" s="32"/>
      <c r="W554" s="32"/>
      <c r="X554" s="32"/>
      <c r="Y554" s="32"/>
      <c r="Z554" s="32"/>
      <c r="AA554" s="32"/>
      <c r="AB554" s="32"/>
      <c r="AC554" s="32"/>
      <c r="AD554" s="32"/>
      <c r="AE554" s="32"/>
      <c r="AF554" s="32"/>
      <c r="AG554" s="32"/>
      <c r="AH554" s="32"/>
      <c r="AI554" s="32"/>
      <c r="AJ554" s="32"/>
      <c r="AK554" s="32"/>
      <c r="AL554" s="32"/>
    </row>
    <row r="555" spans="2:38" x14ac:dyDescent="0.2">
      <c r="B555" s="32"/>
      <c r="C555" s="32"/>
      <c r="D555" s="32"/>
      <c r="E555" s="32"/>
      <c r="F555" s="32"/>
      <c r="G555" s="32"/>
      <c r="H555" s="32"/>
      <c r="I555" s="32"/>
      <c r="J555" s="32"/>
      <c r="K555" s="32"/>
      <c r="L555" s="32"/>
      <c r="M555" s="32"/>
      <c r="N555" s="32"/>
      <c r="O555" s="32"/>
      <c r="P555" s="32"/>
      <c r="Q555" s="32"/>
      <c r="R555" s="32"/>
      <c r="S555" s="32"/>
      <c r="T555" s="32"/>
      <c r="U555" s="32"/>
      <c r="V555" s="32"/>
      <c r="W555" s="32"/>
      <c r="X555" s="32"/>
      <c r="Y555" s="32"/>
      <c r="Z555" s="32"/>
      <c r="AA555" s="32"/>
      <c r="AB555" s="32"/>
      <c r="AC555" s="32"/>
      <c r="AD555" s="32"/>
      <c r="AE555" s="32"/>
      <c r="AF555" s="32"/>
      <c r="AG555" s="32"/>
      <c r="AH555" s="32"/>
      <c r="AI555" s="32"/>
      <c r="AJ555" s="32"/>
      <c r="AK555" s="32"/>
      <c r="AL555" s="32"/>
    </row>
    <row r="556" spans="2:38" x14ac:dyDescent="0.2">
      <c r="B556" s="32"/>
      <c r="C556" s="32"/>
      <c r="D556" s="32"/>
      <c r="E556" s="32"/>
      <c r="F556" s="32"/>
      <c r="G556" s="32"/>
      <c r="H556" s="32"/>
      <c r="I556" s="32"/>
      <c r="J556" s="32"/>
      <c r="K556" s="32"/>
      <c r="L556" s="32"/>
      <c r="M556" s="32"/>
      <c r="N556" s="32"/>
      <c r="O556" s="32"/>
      <c r="P556" s="32"/>
      <c r="Q556" s="32"/>
      <c r="R556" s="32"/>
      <c r="S556" s="32"/>
      <c r="T556" s="32"/>
      <c r="U556" s="32"/>
      <c r="V556" s="32"/>
      <c r="W556" s="32"/>
      <c r="X556" s="32"/>
      <c r="Y556" s="32"/>
      <c r="Z556" s="32"/>
      <c r="AA556" s="32"/>
      <c r="AB556" s="32"/>
      <c r="AC556" s="32"/>
      <c r="AD556" s="32"/>
      <c r="AE556" s="32"/>
      <c r="AF556" s="32"/>
      <c r="AG556" s="32"/>
      <c r="AH556" s="32"/>
      <c r="AI556" s="32"/>
      <c r="AJ556" s="32"/>
      <c r="AK556" s="32"/>
      <c r="AL556" s="32"/>
    </row>
    <row r="557" spans="2:38" x14ac:dyDescent="0.2">
      <c r="B557" s="32"/>
      <c r="C557" s="32"/>
      <c r="D557" s="32"/>
      <c r="E557" s="32"/>
      <c r="F557" s="32"/>
      <c r="G557" s="32"/>
      <c r="H557" s="32"/>
      <c r="I557" s="32"/>
      <c r="J557" s="32"/>
      <c r="K557" s="32"/>
      <c r="L557" s="32"/>
      <c r="M557" s="32"/>
      <c r="N557" s="32"/>
      <c r="O557" s="32"/>
      <c r="P557" s="32"/>
      <c r="Q557" s="32"/>
      <c r="R557" s="32"/>
      <c r="S557" s="32"/>
      <c r="T557" s="32"/>
      <c r="U557" s="32"/>
      <c r="V557" s="32"/>
      <c r="W557" s="32"/>
      <c r="X557" s="32"/>
      <c r="Y557" s="32"/>
      <c r="Z557" s="32"/>
      <c r="AA557" s="32"/>
      <c r="AB557" s="32"/>
      <c r="AC557" s="32"/>
      <c r="AD557" s="32"/>
      <c r="AE557" s="32"/>
      <c r="AF557" s="32"/>
      <c r="AG557" s="32"/>
      <c r="AH557" s="32"/>
      <c r="AI557" s="32"/>
      <c r="AJ557" s="32"/>
      <c r="AK557" s="32"/>
      <c r="AL557" s="32"/>
    </row>
    <row r="558" spans="2:38" x14ac:dyDescent="0.2">
      <c r="B558" s="32"/>
      <c r="C558" s="32"/>
      <c r="D558" s="32"/>
      <c r="E558" s="32"/>
      <c r="F558" s="32"/>
      <c r="G558" s="32"/>
      <c r="H558" s="32"/>
      <c r="I558" s="32"/>
      <c r="J558" s="32"/>
      <c r="K558" s="32"/>
      <c r="L558" s="32"/>
      <c r="M558" s="32"/>
      <c r="N558" s="32"/>
      <c r="O558" s="32"/>
      <c r="P558" s="32"/>
      <c r="Q558" s="32"/>
      <c r="R558" s="32"/>
      <c r="S558" s="32"/>
      <c r="T558" s="32"/>
      <c r="U558" s="32"/>
      <c r="V558" s="32"/>
      <c r="W558" s="32"/>
      <c r="X558" s="32"/>
      <c r="Y558" s="32"/>
      <c r="Z558" s="32"/>
      <c r="AA558" s="32"/>
      <c r="AB558" s="32"/>
      <c r="AC558" s="32"/>
      <c r="AD558" s="32"/>
      <c r="AE558" s="32"/>
      <c r="AF558" s="32"/>
      <c r="AG558" s="32"/>
      <c r="AH558" s="32"/>
      <c r="AI558" s="32"/>
      <c r="AJ558" s="32"/>
      <c r="AK558" s="32"/>
      <c r="AL558" s="32"/>
    </row>
    <row r="559" spans="2:38" x14ac:dyDescent="0.2">
      <c r="B559" s="32"/>
      <c r="C559" s="32"/>
      <c r="D559" s="32"/>
      <c r="E559" s="32"/>
      <c r="F559" s="32"/>
      <c r="G559" s="32"/>
      <c r="H559" s="32"/>
      <c r="I559" s="32"/>
      <c r="J559" s="32"/>
      <c r="K559" s="32"/>
      <c r="L559" s="32"/>
      <c r="M559" s="32"/>
      <c r="N559" s="32"/>
      <c r="O559" s="32"/>
      <c r="P559" s="32"/>
      <c r="Q559" s="32"/>
      <c r="R559" s="32"/>
      <c r="S559" s="32"/>
      <c r="T559" s="32"/>
      <c r="U559" s="32"/>
      <c r="V559" s="32"/>
      <c r="W559" s="32"/>
      <c r="X559" s="32"/>
      <c r="Y559" s="32"/>
      <c r="Z559" s="32"/>
      <c r="AA559" s="32"/>
      <c r="AB559" s="32"/>
      <c r="AC559" s="32"/>
      <c r="AD559" s="32"/>
      <c r="AE559" s="32"/>
      <c r="AF559" s="32"/>
      <c r="AG559" s="32"/>
      <c r="AH559" s="32"/>
      <c r="AI559" s="32"/>
      <c r="AJ559" s="32"/>
      <c r="AK559" s="32"/>
      <c r="AL559" s="32"/>
    </row>
    <row r="560" spans="2:38" x14ac:dyDescent="0.2">
      <c r="B560" s="32"/>
      <c r="C560" s="32"/>
      <c r="D560" s="32"/>
      <c r="E560" s="32"/>
      <c r="F560" s="32"/>
      <c r="G560" s="32"/>
      <c r="H560" s="32"/>
      <c r="I560" s="32"/>
      <c r="J560" s="32"/>
      <c r="K560" s="32"/>
      <c r="L560" s="32"/>
      <c r="M560" s="32"/>
      <c r="N560" s="32"/>
      <c r="O560" s="32"/>
      <c r="P560" s="32"/>
      <c r="Q560" s="32"/>
      <c r="R560" s="32"/>
      <c r="S560" s="32"/>
      <c r="T560" s="32"/>
      <c r="U560" s="32"/>
      <c r="V560" s="32"/>
      <c r="W560" s="32"/>
      <c r="X560" s="32"/>
      <c r="Y560" s="32"/>
      <c r="Z560" s="32"/>
      <c r="AA560" s="32"/>
      <c r="AB560" s="32"/>
      <c r="AC560" s="32"/>
      <c r="AD560" s="32"/>
      <c r="AE560" s="32"/>
      <c r="AF560" s="32"/>
      <c r="AG560" s="32"/>
      <c r="AH560" s="32"/>
      <c r="AI560" s="32"/>
      <c r="AJ560" s="32"/>
      <c r="AK560" s="32"/>
      <c r="AL560" s="32"/>
    </row>
    <row r="561" spans="2:38" x14ac:dyDescent="0.2">
      <c r="B561" s="32"/>
      <c r="C561" s="32"/>
      <c r="D561" s="32"/>
      <c r="E561" s="32"/>
      <c r="F561" s="32"/>
      <c r="G561" s="32"/>
      <c r="H561" s="32"/>
      <c r="I561" s="32"/>
      <c r="J561" s="32"/>
      <c r="K561" s="32"/>
      <c r="L561" s="32"/>
      <c r="M561" s="32"/>
      <c r="N561" s="32"/>
      <c r="O561" s="32"/>
      <c r="P561" s="32"/>
      <c r="Q561" s="32"/>
      <c r="R561" s="32"/>
      <c r="S561" s="32"/>
      <c r="T561" s="32"/>
      <c r="U561" s="32"/>
      <c r="V561" s="32"/>
      <c r="W561" s="32"/>
      <c r="X561" s="32"/>
      <c r="Y561" s="32"/>
      <c r="Z561" s="32"/>
      <c r="AA561" s="32"/>
      <c r="AB561" s="32"/>
      <c r="AC561" s="32"/>
      <c r="AD561" s="32"/>
      <c r="AE561" s="32"/>
      <c r="AF561" s="32"/>
      <c r="AG561" s="32"/>
      <c r="AH561" s="32"/>
      <c r="AI561" s="32"/>
      <c r="AJ561" s="32"/>
      <c r="AK561" s="32"/>
      <c r="AL561" s="32"/>
    </row>
    <row r="562" spans="2:38" x14ac:dyDescent="0.2">
      <c r="B562" s="32"/>
      <c r="C562" s="32"/>
      <c r="D562" s="32"/>
      <c r="E562" s="32"/>
      <c r="F562" s="32"/>
      <c r="G562" s="32"/>
      <c r="H562" s="32"/>
      <c r="I562" s="32"/>
      <c r="J562" s="32"/>
      <c r="K562" s="32"/>
      <c r="L562" s="32"/>
      <c r="M562" s="32"/>
      <c r="N562" s="32"/>
      <c r="O562" s="32"/>
      <c r="P562" s="32"/>
      <c r="Q562" s="32"/>
      <c r="R562" s="32"/>
      <c r="S562" s="32"/>
      <c r="T562" s="32"/>
      <c r="U562" s="32"/>
      <c r="V562" s="32"/>
      <c r="W562" s="32"/>
      <c r="X562" s="32"/>
      <c r="Y562" s="32"/>
      <c r="Z562" s="32"/>
      <c r="AA562" s="32"/>
      <c r="AB562" s="32"/>
      <c r="AC562" s="32"/>
      <c r="AD562" s="32"/>
      <c r="AE562" s="32"/>
      <c r="AF562" s="32"/>
      <c r="AG562" s="32"/>
      <c r="AH562" s="32"/>
      <c r="AI562" s="32"/>
      <c r="AJ562" s="32"/>
      <c r="AK562" s="32"/>
      <c r="AL562" s="32"/>
    </row>
    <row r="563" spans="2:38" x14ac:dyDescent="0.2">
      <c r="B563" s="32"/>
      <c r="C563" s="32"/>
      <c r="D563" s="32"/>
      <c r="E563" s="32"/>
      <c r="F563" s="32"/>
      <c r="G563" s="32"/>
      <c r="H563" s="32"/>
      <c r="I563" s="32"/>
      <c r="J563" s="32"/>
      <c r="K563" s="32"/>
      <c r="L563" s="32"/>
      <c r="M563" s="32"/>
      <c r="N563" s="32"/>
      <c r="O563" s="32"/>
      <c r="P563" s="32"/>
      <c r="Q563" s="32"/>
      <c r="R563" s="32"/>
      <c r="S563" s="32"/>
      <c r="T563" s="32"/>
      <c r="U563" s="32"/>
      <c r="V563" s="32"/>
      <c r="W563" s="32"/>
      <c r="X563" s="32"/>
      <c r="Y563" s="32"/>
      <c r="Z563" s="32"/>
      <c r="AA563" s="32"/>
      <c r="AB563" s="32"/>
      <c r="AC563" s="32"/>
      <c r="AD563" s="32"/>
      <c r="AE563" s="32"/>
      <c r="AF563" s="32"/>
      <c r="AG563" s="32"/>
      <c r="AH563" s="32"/>
      <c r="AI563" s="32"/>
      <c r="AJ563" s="32"/>
      <c r="AK563" s="32"/>
      <c r="AL563" s="32"/>
    </row>
    <row r="564" spans="2:38" x14ac:dyDescent="0.2">
      <c r="B564" s="32"/>
      <c r="C564" s="32"/>
      <c r="D564" s="32"/>
      <c r="E564" s="32"/>
      <c r="F564" s="32"/>
      <c r="G564" s="32"/>
      <c r="H564" s="32"/>
      <c r="I564" s="32"/>
      <c r="J564" s="32"/>
      <c r="K564" s="32"/>
      <c r="L564" s="32"/>
      <c r="M564" s="32"/>
      <c r="N564" s="32"/>
      <c r="O564" s="32"/>
      <c r="P564" s="32"/>
      <c r="Q564" s="32"/>
      <c r="R564" s="32"/>
      <c r="S564" s="32"/>
      <c r="T564" s="32"/>
      <c r="U564" s="32"/>
      <c r="V564" s="32"/>
      <c r="W564" s="32"/>
      <c r="X564" s="32"/>
      <c r="Y564" s="32"/>
      <c r="Z564" s="32"/>
      <c r="AA564" s="32"/>
      <c r="AB564" s="32"/>
      <c r="AC564" s="32"/>
      <c r="AD564" s="32"/>
      <c r="AE564" s="32"/>
      <c r="AF564" s="32"/>
      <c r="AG564" s="32"/>
      <c r="AH564" s="32"/>
      <c r="AI564" s="32"/>
      <c r="AJ564" s="32"/>
      <c r="AK564" s="32"/>
      <c r="AL564" s="32"/>
    </row>
    <row r="565" spans="2:38" x14ac:dyDescent="0.2">
      <c r="B565" s="32"/>
      <c r="C565" s="32"/>
      <c r="D565" s="32"/>
      <c r="E565" s="32"/>
      <c r="F565" s="32"/>
      <c r="G565" s="32"/>
      <c r="H565" s="32"/>
      <c r="I565" s="32"/>
      <c r="J565" s="32"/>
      <c r="K565" s="32"/>
      <c r="L565" s="32"/>
      <c r="M565" s="32"/>
      <c r="N565" s="32"/>
      <c r="O565" s="32"/>
      <c r="P565" s="32"/>
      <c r="Q565" s="32"/>
      <c r="R565" s="32"/>
      <c r="S565" s="32"/>
      <c r="T565" s="32"/>
      <c r="U565" s="32"/>
      <c r="V565" s="32"/>
      <c r="W565" s="32"/>
      <c r="X565" s="32"/>
      <c r="Y565" s="32"/>
      <c r="Z565" s="32"/>
      <c r="AA565" s="32"/>
      <c r="AB565" s="32"/>
      <c r="AC565" s="32"/>
      <c r="AD565" s="32"/>
      <c r="AE565" s="32"/>
      <c r="AF565" s="32"/>
      <c r="AG565" s="32"/>
      <c r="AH565" s="32"/>
      <c r="AI565" s="32"/>
      <c r="AJ565" s="32"/>
      <c r="AK565" s="32"/>
      <c r="AL565" s="32"/>
    </row>
    <row r="566" spans="2:38" x14ac:dyDescent="0.2">
      <c r="B566" s="32"/>
      <c r="C566" s="32"/>
      <c r="D566" s="32"/>
      <c r="E566" s="32"/>
      <c r="F566" s="32"/>
      <c r="G566" s="32"/>
      <c r="H566" s="32"/>
      <c r="I566" s="32"/>
      <c r="J566" s="32"/>
      <c r="K566" s="32"/>
      <c r="L566" s="32"/>
      <c r="M566" s="32"/>
      <c r="N566" s="32"/>
      <c r="O566" s="32"/>
      <c r="P566" s="32"/>
      <c r="Q566" s="32"/>
      <c r="R566" s="32"/>
      <c r="S566" s="32"/>
      <c r="T566" s="32"/>
      <c r="U566" s="32"/>
      <c r="V566" s="32"/>
      <c r="W566" s="32"/>
      <c r="X566" s="32"/>
      <c r="Y566" s="32"/>
      <c r="Z566" s="32"/>
      <c r="AA566" s="32"/>
      <c r="AB566" s="32"/>
      <c r="AC566" s="32"/>
      <c r="AD566" s="32"/>
      <c r="AE566" s="32"/>
      <c r="AF566" s="32"/>
      <c r="AG566" s="32"/>
      <c r="AH566" s="32"/>
      <c r="AI566" s="32"/>
      <c r="AJ566" s="32"/>
      <c r="AK566" s="32"/>
      <c r="AL566" s="32"/>
    </row>
    <row r="567" spans="2:38" x14ac:dyDescent="0.2">
      <c r="B567" s="32"/>
      <c r="C567" s="32"/>
      <c r="D567" s="32"/>
      <c r="E567" s="32"/>
      <c r="F567" s="32"/>
      <c r="G567" s="32"/>
      <c r="H567" s="32"/>
      <c r="I567" s="32"/>
      <c r="J567" s="32"/>
      <c r="K567" s="32"/>
      <c r="L567" s="32"/>
      <c r="M567" s="32"/>
      <c r="N567" s="32"/>
      <c r="O567" s="32"/>
      <c r="P567" s="32"/>
      <c r="Q567" s="32"/>
      <c r="R567" s="32"/>
      <c r="S567" s="32"/>
      <c r="T567" s="32"/>
      <c r="U567" s="32"/>
      <c r="V567" s="32"/>
      <c r="W567" s="32"/>
      <c r="X567" s="32"/>
      <c r="Y567" s="32"/>
      <c r="Z567" s="32"/>
      <c r="AA567" s="32"/>
      <c r="AB567" s="32"/>
      <c r="AC567" s="32"/>
      <c r="AD567" s="32"/>
      <c r="AE567" s="32"/>
      <c r="AF567" s="32"/>
      <c r="AG567" s="32"/>
      <c r="AH567" s="32"/>
      <c r="AI567" s="32"/>
      <c r="AJ567" s="32"/>
      <c r="AK567" s="32"/>
      <c r="AL567" s="32"/>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5493A-628C-46C4-96C4-DD140CFAE433}">
  <sheetPr codeName="Sheet8"/>
  <dimension ref="A1"/>
  <sheetViews>
    <sheetView workbookViewId="0"/>
  </sheetViews>
  <sheetFormatPr defaultRowHeight="12.75" x14ac:dyDescent="0.2"/>
  <cols>
    <col min="1" max="16384" width="9.140625" style="27"/>
  </cols>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2965A1-ACD1-4985-8533-6D3D83D236D4}">
  <sheetPr codeName="Sheet30">
    <tabColor theme="9"/>
  </sheetPr>
  <dimension ref="A1:E88"/>
  <sheetViews>
    <sheetView workbookViewId="0"/>
  </sheetViews>
  <sheetFormatPr defaultRowHeight="12.75" x14ac:dyDescent="0.2"/>
  <cols>
    <col min="1" max="1" width="13.28515625" bestFit="1" customWidth="1"/>
    <col min="2" max="2" width="15.140625" bestFit="1" customWidth="1"/>
    <col min="3" max="3" width="11.42578125" bestFit="1" customWidth="1"/>
    <col min="4" max="4" width="30.5703125" bestFit="1" customWidth="1"/>
    <col min="5" max="5" width="28.85546875" bestFit="1" customWidth="1"/>
  </cols>
  <sheetData>
    <row r="1" spans="1:5" s="23" customFormat="1" ht="15" x14ac:dyDescent="0.35">
      <c r="A1" s="23" t="s">
        <v>293</v>
      </c>
      <c r="B1" s="23" t="s">
        <v>294</v>
      </c>
      <c r="C1" s="23" t="s">
        <v>295</v>
      </c>
      <c r="D1" s="23" t="s">
        <v>174</v>
      </c>
      <c r="E1" s="23" t="s">
        <v>292</v>
      </c>
    </row>
    <row r="2" spans="1:5" x14ac:dyDescent="0.2">
      <c r="A2" s="28" t="s">
        <v>213</v>
      </c>
      <c r="B2" t="s">
        <v>151</v>
      </c>
      <c r="C2" s="28" t="s">
        <v>118</v>
      </c>
      <c r="D2" t="s">
        <v>7</v>
      </c>
    </row>
    <row r="3" spans="1:5" x14ac:dyDescent="0.2">
      <c r="A3" s="28" t="s">
        <v>213</v>
      </c>
      <c r="B3" t="s">
        <v>151</v>
      </c>
      <c r="C3" s="28" t="s">
        <v>118</v>
      </c>
      <c r="D3" t="s">
        <v>31</v>
      </c>
    </row>
    <row r="4" spans="1:5" x14ac:dyDescent="0.2">
      <c r="A4" s="28" t="s">
        <v>213</v>
      </c>
      <c r="B4" t="s">
        <v>151</v>
      </c>
      <c r="C4" s="28" t="s">
        <v>118</v>
      </c>
      <c r="D4" t="s">
        <v>30</v>
      </c>
    </row>
    <row r="5" spans="1:5" x14ac:dyDescent="0.2">
      <c r="A5" s="28" t="s">
        <v>213</v>
      </c>
      <c r="B5" t="s">
        <v>151</v>
      </c>
      <c r="C5" s="28" t="s">
        <v>118</v>
      </c>
      <c r="D5" t="s">
        <v>152</v>
      </c>
      <c r="E5" t="s">
        <v>153</v>
      </c>
    </row>
    <row r="6" spans="1:5" x14ac:dyDescent="0.2">
      <c r="A6" s="28" t="s">
        <v>213</v>
      </c>
      <c r="B6" t="s">
        <v>151</v>
      </c>
      <c r="C6" s="28" t="s">
        <v>118</v>
      </c>
      <c r="D6" t="s">
        <v>152</v>
      </c>
      <c r="E6" t="s">
        <v>154</v>
      </c>
    </row>
    <row r="7" spans="1:5" x14ac:dyDescent="0.2">
      <c r="A7" s="28"/>
      <c r="C7" s="28"/>
    </row>
    <row r="8" spans="1:5" x14ac:dyDescent="0.2">
      <c r="A8" s="28" t="s">
        <v>212</v>
      </c>
      <c r="B8" t="s">
        <v>85</v>
      </c>
      <c r="C8" t="s">
        <v>93</v>
      </c>
      <c r="D8" s="28" t="s">
        <v>302</v>
      </c>
      <c r="E8" t="s">
        <v>159</v>
      </c>
    </row>
    <row r="9" spans="1:5" x14ac:dyDescent="0.2">
      <c r="A9" s="28" t="s">
        <v>212</v>
      </c>
      <c r="B9" t="s">
        <v>85</v>
      </c>
      <c r="C9" t="s">
        <v>93</v>
      </c>
      <c r="D9" s="28" t="s">
        <v>302</v>
      </c>
      <c r="E9" t="s">
        <v>82</v>
      </c>
    </row>
    <row r="10" spans="1:5" x14ac:dyDescent="0.2">
      <c r="A10" s="28" t="s">
        <v>212</v>
      </c>
      <c r="B10" t="s">
        <v>85</v>
      </c>
      <c r="C10" t="s">
        <v>93</v>
      </c>
      <c r="D10" s="28" t="s">
        <v>302</v>
      </c>
      <c r="E10" t="s">
        <v>18</v>
      </c>
    </row>
    <row r="11" spans="1:5" x14ac:dyDescent="0.2">
      <c r="A11" s="28" t="s">
        <v>212</v>
      </c>
      <c r="B11" t="s">
        <v>85</v>
      </c>
      <c r="C11" t="s">
        <v>93</v>
      </c>
      <c r="D11" s="28" t="s">
        <v>302</v>
      </c>
      <c r="E11" t="s">
        <v>83</v>
      </c>
    </row>
    <row r="12" spans="1:5" x14ac:dyDescent="0.2">
      <c r="A12" s="28" t="s">
        <v>212</v>
      </c>
      <c r="B12" s="28" t="s">
        <v>85</v>
      </c>
      <c r="C12" s="28" t="s">
        <v>93</v>
      </c>
      <c r="D12" s="28" t="s">
        <v>27</v>
      </c>
    </row>
    <row r="13" spans="1:5" x14ac:dyDescent="0.2">
      <c r="A13" s="28"/>
      <c r="B13" s="28"/>
      <c r="C13" s="28"/>
      <c r="D13" s="28"/>
    </row>
    <row r="14" spans="1:5" x14ac:dyDescent="0.2">
      <c r="A14" s="28" t="s">
        <v>212</v>
      </c>
      <c r="B14" t="s">
        <v>85</v>
      </c>
      <c r="C14" t="s">
        <v>94</v>
      </c>
      <c r="D14" t="s">
        <v>9</v>
      </c>
      <c r="E14" t="s">
        <v>9</v>
      </c>
    </row>
    <row r="15" spans="1:5" x14ac:dyDescent="0.2">
      <c r="A15" s="28" t="s">
        <v>212</v>
      </c>
      <c r="B15" t="s">
        <v>85</v>
      </c>
      <c r="C15" t="s">
        <v>94</v>
      </c>
      <c r="D15" s="28" t="s">
        <v>167</v>
      </c>
      <c r="E15" t="s">
        <v>10</v>
      </c>
    </row>
    <row r="16" spans="1:5" x14ac:dyDescent="0.2">
      <c r="A16" s="28" t="s">
        <v>212</v>
      </c>
      <c r="B16" t="s">
        <v>85</v>
      </c>
      <c r="C16" t="s">
        <v>94</v>
      </c>
      <c r="D16" t="s">
        <v>11</v>
      </c>
      <c r="E16" t="s">
        <v>11</v>
      </c>
    </row>
    <row r="17" spans="1:5" x14ac:dyDescent="0.2">
      <c r="A17" s="28" t="s">
        <v>212</v>
      </c>
      <c r="B17" t="s">
        <v>85</v>
      </c>
      <c r="C17" t="s">
        <v>94</v>
      </c>
      <c r="D17" t="s">
        <v>12</v>
      </c>
      <c r="E17" t="s">
        <v>12</v>
      </c>
    </row>
    <row r="18" spans="1:5" x14ac:dyDescent="0.2">
      <c r="A18" s="28" t="s">
        <v>212</v>
      </c>
      <c r="B18" t="s">
        <v>85</v>
      </c>
      <c r="C18" t="s">
        <v>94</v>
      </c>
      <c r="D18" t="s">
        <v>84</v>
      </c>
      <c r="E18" t="s">
        <v>84</v>
      </c>
    </row>
    <row r="19" spans="1:5" x14ac:dyDescent="0.2">
      <c r="A19" s="28" t="s">
        <v>212</v>
      </c>
      <c r="B19" s="28" t="s">
        <v>85</v>
      </c>
      <c r="C19" t="s">
        <v>94</v>
      </c>
      <c r="D19" s="28" t="s">
        <v>28</v>
      </c>
    </row>
    <row r="20" spans="1:5" x14ac:dyDescent="0.2">
      <c r="A20" s="28"/>
      <c r="B20" s="28"/>
      <c r="D20" s="28"/>
    </row>
    <row r="21" spans="1:5" x14ac:dyDescent="0.2">
      <c r="A21" s="28" t="s">
        <v>212</v>
      </c>
      <c r="B21" s="28" t="s">
        <v>298</v>
      </c>
      <c r="C21" s="28" t="s">
        <v>93</v>
      </c>
      <c r="D21" s="28" t="s">
        <v>6</v>
      </c>
      <c r="E21" s="28" t="s">
        <v>300</v>
      </c>
    </row>
    <row r="22" spans="1:5" x14ac:dyDescent="0.2">
      <c r="A22" s="28" t="s">
        <v>212</v>
      </c>
      <c r="B22" s="28" t="s">
        <v>298</v>
      </c>
      <c r="C22" s="28" t="s">
        <v>94</v>
      </c>
      <c r="D22" s="28" t="s">
        <v>17</v>
      </c>
      <c r="E22" s="28" t="s">
        <v>299</v>
      </c>
    </row>
    <row r="23" spans="1:5" x14ac:dyDescent="0.2">
      <c r="A23" s="28"/>
      <c r="B23" s="28"/>
      <c r="C23" s="28"/>
      <c r="D23" s="28"/>
      <c r="E23" s="28"/>
    </row>
    <row r="24" spans="1:5" x14ac:dyDescent="0.2">
      <c r="A24" s="28" t="s">
        <v>212</v>
      </c>
      <c r="B24" s="28" t="s">
        <v>296</v>
      </c>
      <c r="C24" s="28" t="s">
        <v>240</v>
      </c>
      <c r="D24" s="28" t="s">
        <v>87</v>
      </c>
    </row>
    <row r="25" spans="1:5" x14ac:dyDescent="0.2">
      <c r="A25" s="28"/>
      <c r="B25" s="28"/>
      <c r="C25" s="28"/>
      <c r="D25" s="28"/>
    </row>
    <row r="26" spans="1:5" x14ac:dyDescent="0.2">
      <c r="A26" s="28" t="s">
        <v>212</v>
      </c>
      <c r="B26" s="28" t="s">
        <v>296</v>
      </c>
      <c r="C26" t="s">
        <v>94</v>
      </c>
      <c r="D26" s="28" t="s">
        <v>288</v>
      </c>
      <c r="E26" t="s">
        <v>74</v>
      </c>
    </row>
    <row r="27" spans="1:5" x14ac:dyDescent="0.2">
      <c r="A27" s="28" t="s">
        <v>212</v>
      </c>
      <c r="B27" s="28" t="s">
        <v>296</v>
      </c>
      <c r="C27" t="s">
        <v>94</v>
      </c>
      <c r="D27" s="28" t="s">
        <v>288</v>
      </c>
      <c r="E27" t="s">
        <v>75</v>
      </c>
    </row>
    <row r="28" spans="1:5" x14ac:dyDescent="0.2">
      <c r="A28" s="28" t="s">
        <v>212</v>
      </c>
      <c r="B28" s="28" t="s">
        <v>296</v>
      </c>
      <c r="C28" t="s">
        <v>94</v>
      </c>
      <c r="D28" t="s">
        <v>32</v>
      </c>
      <c r="E28" t="s">
        <v>77</v>
      </c>
    </row>
    <row r="29" spans="1:5" x14ac:dyDescent="0.2">
      <c r="A29" s="28" t="s">
        <v>212</v>
      </c>
      <c r="B29" s="28" t="s">
        <v>296</v>
      </c>
      <c r="C29" t="s">
        <v>94</v>
      </c>
      <c r="D29" s="28" t="s">
        <v>262</v>
      </c>
      <c r="E29" s="28" t="s">
        <v>304</v>
      </c>
    </row>
    <row r="30" spans="1:5" x14ac:dyDescent="0.2">
      <c r="A30" s="28" t="s">
        <v>212</v>
      </c>
      <c r="B30" s="28" t="s">
        <v>296</v>
      </c>
      <c r="C30" t="s">
        <v>94</v>
      </c>
      <c r="D30" s="28" t="s">
        <v>262</v>
      </c>
      <c r="E30" s="28" t="s">
        <v>305</v>
      </c>
    </row>
    <row r="31" spans="1:5" x14ac:dyDescent="0.2">
      <c r="A31" s="28" t="s">
        <v>212</v>
      </c>
      <c r="B31" s="28" t="s">
        <v>296</v>
      </c>
      <c r="C31" t="s">
        <v>94</v>
      </c>
      <c r="D31" s="28" t="s">
        <v>289</v>
      </c>
      <c r="E31" s="28" t="s">
        <v>307</v>
      </c>
    </row>
    <row r="32" spans="1:5" x14ac:dyDescent="0.2">
      <c r="A32" s="28"/>
      <c r="B32" s="28"/>
    </row>
    <row r="33" spans="1:5" x14ac:dyDescent="0.2">
      <c r="A33" s="28" t="s">
        <v>212</v>
      </c>
      <c r="B33" s="28" t="s">
        <v>296</v>
      </c>
      <c r="C33" t="s">
        <v>93</v>
      </c>
      <c r="D33" t="s">
        <v>2</v>
      </c>
      <c r="E33" t="s">
        <v>73</v>
      </c>
    </row>
    <row r="34" spans="1:5" x14ac:dyDescent="0.2">
      <c r="A34" s="28" t="s">
        <v>212</v>
      </c>
      <c r="B34" s="28" t="s">
        <v>296</v>
      </c>
      <c r="C34" t="s">
        <v>93</v>
      </c>
      <c r="D34" s="28" t="s">
        <v>276</v>
      </c>
      <c r="E34" t="s">
        <v>76</v>
      </c>
    </row>
    <row r="35" spans="1:5" x14ac:dyDescent="0.2">
      <c r="A35" s="28" t="s">
        <v>212</v>
      </c>
      <c r="B35" s="28" t="s">
        <v>296</v>
      </c>
      <c r="C35" t="s">
        <v>93</v>
      </c>
      <c r="D35" s="28" t="s">
        <v>276</v>
      </c>
      <c r="E35" t="s">
        <v>78</v>
      </c>
    </row>
    <row r="36" spans="1:5" x14ac:dyDescent="0.2">
      <c r="A36" s="28" t="s">
        <v>212</v>
      </c>
      <c r="B36" s="28" t="s">
        <v>296</v>
      </c>
      <c r="C36" t="s">
        <v>93</v>
      </c>
      <c r="D36" s="28" t="s">
        <v>276</v>
      </c>
      <c r="E36" t="s">
        <v>79</v>
      </c>
    </row>
    <row r="37" spans="1:5" x14ac:dyDescent="0.2">
      <c r="A37" s="28" t="s">
        <v>212</v>
      </c>
      <c r="B37" s="28" t="s">
        <v>296</v>
      </c>
      <c r="C37" t="s">
        <v>93</v>
      </c>
      <c r="D37" s="28" t="s">
        <v>276</v>
      </c>
      <c r="E37" t="s">
        <v>80</v>
      </c>
    </row>
    <row r="38" spans="1:5" x14ac:dyDescent="0.2">
      <c r="A38" s="28" t="s">
        <v>212</v>
      </c>
      <c r="B38" s="28" t="s">
        <v>296</v>
      </c>
      <c r="C38" t="s">
        <v>93</v>
      </c>
      <c r="D38" t="s">
        <v>2</v>
      </c>
      <c r="E38" t="s">
        <v>81</v>
      </c>
    </row>
    <row r="39" spans="1:5" x14ac:dyDescent="0.2">
      <c r="A39" s="28" t="s">
        <v>212</v>
      </c>
      <c r="B39" s="28" t="s">
        <v>296</v>
      </c>
      <c r="C39" t="s">
        <v>93</v>
      </c>
      <c r="D39" s="28" t="s">
        <v>291</v>
      </c>
    </row>
    <row r="40" spans="1:5" x14ac:dyDescent="0.2">
      <c r="A40" s="28" t="s">
        <v>212</v>
      </c>
      <c r="B40" s="28" t="s">
        <v>296</v>
      </c>
      <c r="C40" t="s">
        <v>93</v>
      </c>
      <c r="D40" s="28" t="s">
        <v>289</v>
      </c>
      <c r="E40" s="28" t="s">
        <v>306</v>
      </c>
    </row>
    <row r="41" spans="1:5" x14ac:dyDescent="0.2">
      <c r="A41" s="28"/>
      <c r="B41" s="28"/>
      <c r="C41" s="28"/>
      <c r="D41" s="28"/>
    </row>
    <row r="42" spans="1:5" x14ac:dyDescent="0.2">
      <c r="A42" s="28" t="s">
        <v>212</v>
      </c>
      <c r="B42" t="s">
        <v>16</v>
      </c>
      <c r="C42" t="s">
        <v>93</v>
      </c>
      <c r="D42" t="s">
        <v>88</v>
      </c>
      <c r="E42" s="28" t="s">
        <v>237</v>
      </c>
    </row>
    <row r="43" spans="1:5" x14ac:dyDescent="0.2">
      <c r="A43" s="28" t="s">
        <v>212</v>
      </c>
      <c r="B43" t="s">
        <v>16</v>
      </c>
      <c r="C43" t="s">
        <v>93</v>
      </c>
      <c r="D43" t="s">
        <v>89</v>
      </c>
      <c r="E43" s="28" t="s">
        <v>238</v>
      </c>
    </row>
    <row r="44" spans="1:5" x14ac:dyDescent="0.2">
      <c r="A44" s="28" t="s">
        <v>212</v>
      </c>
      <c r="B44" t="s">
        <v>16</v>
      </c>
      <c r="C44" t="s">
        <v>93</v>
      </c>
      <c r="D44" t="s">
        <v>89</v>
      </c>
      <c r="E44" s="28" t="s">
        <v>239</v>
      </c>
    </row>
    <row r="45" spans="1:5" x14ac:dyDescent="0.2">
      <c r="A45" s="28"/>
      <c r="E45" s="28"/>
    </row>
    <row r="46" spans="1:5" x14ac:dyDescent="0.2">
      <c r="A46" s="28" t="s">
        <v>212</v>
      </c>
      <c r="B46" s="28" t="s">
        <v>301</v>
      </c>
      <c r="C46" s="28" t="s">
        <v>240</v>
      </c>
      <c r="D46" t="s">
        <v>90</v>
      </c>
    </row>
    <row r="47" spans="1:5" x14ac:dyDescent="0.2">
      <c r="A47" s="28"/>
      <c r="B47" s="28"/>
      <c r="C47" s="28"/>
    </row>
    <row r="48" spans="1:5" x14ac:dyDescent="0.2">
      <c r="A48" s="28" t="s">
        <v>212</v>
      </c>
      <c r="B48" s="28" t="s">
        <v>297</v>
      </c>
      <c r="C48" s="28" t="s">
        <v>240</v>
      </c>
      <c r="D48" s="28" t="s">
        <v>23</v>
      </c>
    </row>
    <row r="49" spans="1:5" x14ac:dyDescent="0.2">
      <c r="A49" s="28" t="s">
        <v>212</v>
      </c>
      <c r="B49" s="28" t="s">
        <v>297</v>
      </c>
      <c r="C49" s="28" t="s">
        <v>240</v>
      </c>
      <c r="D49" t="s">
        <v>95</v>
      </c>
      <c r="E49" t="s">
        <v>60</v>
      </c>
    </row>
    <row r="50" spans="1:5" x14ac:dyDescent="0.2">
      <c r="A50" s="28" t="s">
        <v>212</v>
      </c>
      <c r="B50" s="28" t="s">
        <v>297</v>
      </c>
      <c r="C50" s="28" t="s">
        <v>240</v>
      </c>
      <c r="D50" t="s">
        <v>95</v>
      </c>
      <c r="E50" t="s">
        <v>61</v>
      </c>
    </row>
    <row r="51" spans="1:5" x14ac:dyDescent="0.2">
      <c r="A51" s="28" t="s">
        <v>212</v>
      </c>
      <c r="B51" s="28" t="s">
        <v>297</v>
      </c>
      <c r="C51" s="28" t="s">
        <v>240</v>
      </c>
      <c r="D51" t="s">
        <v>95</v>
      </c>
      <c r="E51" t="s">
        <v>62</v>
      </c>
    </row>
    <row r="52" spans="1:5" x14ac:dyDescent="0.2">
      <c r="A52" s="28" t="s">
        <v>212</v>
      </c>
      <c r="B52" s="28" t="s">
        <v>297</v>
      </c>
      <c r="C52" s="28" t="s">
        <v>240</v>
      </c>
      <c r="D52" t="s">
        <v>95</v>
      </c>
      <c r="E52" t="s">
        <v>63</v>
      </c>
    </row>
    <row r="53" spans="1:5" x14ac:dyDescent="0.2">
      <c r="A53" s="28"/>
      <c r="B53" s="28"/>
      <c r="C53" s="28"/>
    </row>
    <row r="54" spans="1:5" x14ac:dyDescent="0.2">
      <c r="A54" s="28" t="s">
        <v>212</v>
      </c>
      <c r="B54" s="28" t="s">
        <v>297</v>
      </c>
      <c r="C54" t="s">
        <v>94</v>
      </c>
      <c r="D54" t="s">
        <v>32</v>
      </c>
      <c r="E54" t="s">
        <v>157</v>
      </c>
    </row>
    <row r="55" spans="1:5" x14ac:dyDescent="0.2">
      <c r="A55" s="28" t="s">
        <v>212</v>
      </c>
      <c r="B55" s="28" t="s">
        <v>297</v>
      </c>
      <c r="C55" t="s">
        <v>94</v>
      </c>
      <c r="D55" t="s">
        <v>20</v>
      </c>
      <c r="E55" t="s">
        <v>158</v>
      </c>
    </row>
    <row r="56" spans="1:5" x14ac:dyDescent="0.2">
      <c r="A56" s="28" t="s">
        <v>212</v>
      </c>
      <c r="B56" s="28" t="s">
        <v>297</v>
      </c>
      <c r="C56" t="s">
        <v>94</v>
      </c>
      <c r="D56" s="28" t="s">
        <v>166</v>
      </c>
    </row>
    <row r="57" spans="1:5" x14ac:dyDescent="0.2">
      <c r="A57" s="28"/>
      <c r="B57" s="28"/>
      <c r="D57" s="28"/>
    </row>
    <row r="58" spans="1:5" x14ac:dyDescent="0.2">
      <c r="A58" s="28" t="s">
        <v>212</v>
      </c>
      <c r="B58" s="28" t="s">
        <v>297</v>
      </c>
      <c r="C58" t="s">
        <v>93</v>
      </c>
      <c r="D58" t="s">
        <v>32</v>
      </c>
      <c r="E58" t="s">
        <v>0</v>
      </c>
    </row>
    <row r="59" spans="1:5" x14ac:dyDescent="0.2">
      <c r="A59" s="28" t="s">
        <v>212</v>
      </c>
      <c r="B59" s="28" t="s">
        <v>297</v>
      </c>
      <c r="C59" t="s">
        <v>93</v>
      </c>
      <c r="D59" t="s">
        <v>32</v>
      </c>
      <c r="E59" t="s">
        <v>48</v>
      </c>
    </row>
    <row r="60" spans="1:5" x14ac:dyDescent="0.2">
      <c r="A60" s="28" t="s">
        <v>212</v>
      </c>
      <c r="B60" s="28" t="s">
        <v>297</v>
      </c>
      <c r="C60" t="s">
        <v>93</v>
      </c>
      <c r="D60" t="s">
        <v>32</v>
      </c>
      <c r="E60" t="s">
        <v>49</v>
      </c>
    </row>
    <row r="61" spans="1:5" x14ac:dyDescent="0.2">
      <c r="A61" s="28" t="s">
        <v>212</v>
      </c>
      <c r="B61" s="28" t="s">
        <v>297</v>
      </c>
      <c r="C61" t="s">
        <v>93</v>
      </c>
      <c r="D61" t="s">
        <v>32</v>
      </c>
      <c r="E61" t="s">
        <v>50</v>
      </c>
    </row>
    <row r="62" spans="1:5" x14ac:dyDescent="0.2">
      <c r="A62" s="28" t="s">
        <v>212</v>
      </c>
      <c r="B62" s="28" t="s">
        <v>297</v>
      </c>
      <c r="C62" t="s">
        <v>93</v>
      </c>
      <c r="D62" t="s">
        <v>32</v>
      </c>
      <c r="E62" t="s">
        <v>51</v>
      </c>
    </row>
    <row r="63" spans="1:5" x14ac:dyDescent="0.2">
      <c r="A63" s="28" t="s">
        <v>212</v>
      </c>
      <c r="B63" s="28" t="s">
        <v>297</v>
      </c>
      <c r="C63" t="s">
        <v>93</v>
      </c>
      <c r="D63" s="28" t="s">
        <v>276</v>
      </c>
      <c r="E63" t="s">
        <v>155</v>
      </c>
    </row>
    <row r="64" spans="1:5" x14ac:dyDescent="0.2">
      <c r="A64" s="28" t="s">
        <v>212</v>
      </c>
      <c r="B64" s="28" t="s">
        <v>297</v>
      </c>
      <c r="C64" t="s">
        <v>93</v>
      </c>
      <c r="D64" s="28" t="s">
        <v>276</v>
      </c>
      <c r="E64" s="28" t="s">
        <v>235</v>
      </c>
    </row>
    <row r="65" spans="1:5" x14ac:dyDescent="0.2">
      <c r="A65" s="28" t="s">
        <v>212</v>
      </c>
      <c r="B65" s="28" t="s">
        <v>297</v>
      </c>
      <c r="C65" t="s">
        <v>93</v>
      </c>
      <c r="D65" s="28" t="s">
        <v>276</v>
      </c>
      <c r="E65" t="s">
        <v>52</v>
      </c>
    </row>
    <row r="66" spans="1:5" x14ac:dyDescent="0.2">
      <c r="A66" s="28" t="s">
        <v>212</v>
      </c>
      <c r="B66" s="28" t="s">
        <v>297</v>
      </c>
      <c r="C66" t="s">
        <v>93</v>
      </c>
      <c r="D66" t="s">
        <v>20</v>
      </c>
      <c r="E66" t="s">
        <v>53</v>
      </c>
    </row>
    <row r="67" spans="1:5" x14ac:dyDescent="0.2">
      <c r="A67" s="28" t="s">
        <v>212</v>
      </c>
      <c r="B67" s="28" t="s">
        <v>297</v>
      </c>
      <c r="C67" t="s">
        <v>93</v>
      </c>
      <c r="D67" t="s">
        <v>20</v>
      </c>
      <c r="E67" t="s">
        <v>156</v>
      </c>
    </row>
    <row r="68" spans="1:5" x14ac:dyDescent="0.2">
      <c r="A68" s="28" t="s">
        <v>212</v>
      </c>
      <c r="B68" s="28" t="s">
        <v>297</v>
      </c>
      <c r="C68" t="s">
        <v>93</v>
      </c>
      <c r="D68" t="s">
        <v>20</v>
      </c>
      <c r="E68" t="s">
        <v>54</v>
      </c>
    </row>
    <row r="69" spans="1:5" x14ac:dyDescent="0.2">
      <c r="A69" s="28" t="s">
        <v>212</v>
      </c>
      <c r="B69" s="28" t="s">
        <v>297</v>
      </c>
      <c r="C69" t="s">
        <v>93</v>
      </c>
      <c r="D69" t="s">
        <v>20</v>
      </c>
      <c r="E69" s="28" t="s">
        <v>236</v>
      </c>
    </row>
    <row r="70" spans="1:5" x14ac:dyDescent="0.2">
      <c r="A70" s="28" t="s">
        <v>212</v>
      </c>
      <c r="B70" s="28" t="s">
        <v>297</v>
      </c>
      <c r="C70" t="s">
        <v>93</v>
      </c>
      <c r="D70" s="28" t="s">
        <v>290</v>
      </c>
      <c r="E70" t="s">
        <v>55</v>
      </c>
    </row>
    <row r="71" spans="1:5" x14ac:dyDescent="0.2">
      <c r="A71" s="28" t="s">
        <v>212</v>
      </c>
      <c r="B71" s="28" t="s">
        <v>297</v>
      </c>
      <c r="C71" t="s">
        <v>93</v>
      </c>
      <c r="D71" s="28" t="s">
        <v>290</v>
      </c>
      <c r="E71" t="s">
        <v>56</v>
      </c>
    </row>
    <row r="72" spans="1:5" x14ac:dyDescent="0.2">
      <c r="A72" s="28" t="s">
        <v>212</v>
      </c>
      <c r="B72" s="28" t="s">
        <v>297</v>
      </c>
      <c r="C72" t="s">
        <v>93</v>
      </c>
      <c r="D72" t="s">
        <v>1</v>
      </c>
      <c r="E72" t="s">
        <v>57</v>
      </c>
    </row>
    <row r="73" spans="1:5" x14ac:dyDescent="0.2">
      <c r="A73" s="28" t="s">
        <v>212</v>
      </c>
      <c r="B73" s="28" t="s">
        <v>297</v>
      </c>
      <c r="C73" t="s">
        <v>93</v>
      </c>
      <c r="D73" t="s">
        <v>1</v>
      </c>
      <c r="E73" t="s">
        <v>58</v>
      </c>
    </row>
    <row r="74" spans="1:5" x14ac:dyDescent="0.2">
      <c r="A74" s="28" t="s">
        <v>212</v>
      </c>
      <c r="B74" s="28" t="s">
        <v>297</v>
      </c>
      <c r="C74" t="s">
        <v>93</v>
      </c>
      <c r="D74" s="28" t="s">
        <v>276</v>
      </c>
      <c r="E74" t="s">
        <v>59</v>
      </c>
    </row>
    <row r="75" spans="1:5" x14ac:dyDescent="0.2">
      <c r="A75" s="28" t="s">
        <v>212</v>
      </c>
      <c r="B75" s="28" t="s">
        <v>297</v>
      </c>
      <c r="C75" t="s">
        <v>93</v>
      </c>
      <c r="D75" s="28" t="s">
        <v>276</v>
      </c>
      <c r="E75" t="s">
        <v>60</v>
      </c>
    </row>
    <row r="76" spans="1:5" x14ac:dyDescent="0.2">
      <c r="A76" s="28" t="s">
        <v>212</v>
      </c>
      <c r="B76" s="28" t="s">
        <v>297</v>
      </c>
      <c r="C76" t="s">
        <v>93</v>
      </c>
      <c r="D76" s="28" t="s">
        <v>276</v>
      </c>
      <c r="E76" t="s">
        <v>61</v>
      </c>
    </row>
    <row r="77" spans="1:5" x14ac:dyDescent="0.2">
      <c r="A77" s="28" t="s">
        <v>212</v>
      </c>
      <c r="B77" s="28" t="s">
        <v>297</v>
      </c>
      <c r="C77" t="s">
        <v>93</v>
      </c>
      <c r="D77" s="28" t="s">
        <v>276</v>
      </c>
      <c r="E77" t="s">
        <v>62</v>
      </c>
    </row>
    <row r="78" spans="1:5" x14ac:dyDescent="0.2">
      <c r="A78" s="28" t="s">
        <v>212</v>
      </c>
      <c r="B78" s="28" t="s">
        <v>297</v>
      </c>
      <c r="C78" t="s">
        <v>93</v>
      </c>
      <c r="D78" s="28" t="s">
        <v>276</v>
      </c>
      <c r="E78" t="s">
        <v>63</v>
      </c>
    </row>
    <row r="79" spans="1:5" x14ac:dyDescent="0.2">
      <c r="A79" s="28" t="s">
        <v>212</v>
      </c>
      <c r="B79" s="28" t="s">
        <v>297</v>
      </c>
      <c r="C79" t="s">
        <v>93</v>
      </c>
      <c r="D79" s="28" t="s">
        <v>290</v>
      </c>
      <c r="E79" t="s">
        <v>64</v>
      </c>
    </row>
    <row r="80" spans="1:5" x14ac:dyDescent="0.2">
      <c r="A80" s="28" t="s">
        <v>212</v>
      </c>
      <c r="B80" s="28" t="s">
        <v>297</v>
      </c>
      <c r="C80" t="s">
        <v>93</v>
      </c>
      <c r="D80" s="28" t="s">
        <v>276</v>
      </c>
      <c r="E80" t="s">
        <v>65</v>
      </c>
    </row>
    <row r="81" spans="1:5" x14ac:dyDescent="0.2">
      <c r="A81" s="28" t="s">
        <v>212</v>
      </c>
      <c r="B81" s="28" t="s">
        <v>297</v>
      </c>
      <c r="C81" t="s">
        <v>93</v>
      </c>
      <c r="D81" s="28" t="s">
        <v>276</v>
      </c>
      <c r="E81" t="s">
        <v>66</v>
      </c>
    </row>
    <row r="82" spans="1:5" x14ac:dyDescent="0.2">
      <c r="A82" s="28" t="s">
        <v>212</v>
      </c>
      <c r="B82" s="28" t="s">
        <v>297</v>
      </c>
      <c r="C82" t="s">
        <v>93</v>
      </c>
      <c r="D82" s="28" t="s">
        <v>276</v>
      </c>
      <c r="E82" t="s">
        <v>67</v>
      </c>
    </row>
    <row r="83" spans="1:5" x14ac:dyDescent="0.2">
      <c r="A83" s="28" t="s">
        <v>212</v>
      </c>
      <c r="B83" s="28" t="s">
        <v>297</v>
      </c>
      <c r="C83" t="s">
        <v>93</v>
      </c>
      <c r="D83" s="28" t="s">
        <v>276</v>
      </c>
      <c r="E83" t="s">
        <v>68</v>
      </c>
    </row>
    <row r="84" spans="1:5" x14ac:dyDescent="0.2">
      <c r="A84" s="28" t="s">
        <v>212</v>
      </c>
      <c r="B84" s="28" t="s">
        <v>297</v>
      </c>
      <c r="C84" t="s">
        <v>93</v>
      </c>
      <c r="D84" s="28" t="s">
        <v>276</v>
      </c>
      <c r="E84" t="s">
        <v>69</v>
      </c>
    </row>
    <row r="85" spans="1:5" x14ac:dyDescent="0.2">
      <c r="A85" s="28" t="s">
        <v>212</v>
      </c>
      <c r="B85" s="28" t="s">
        <v>297</v>
      </c>
      <c r="C85" t="s">
        <v>93</v>
      </c>
      <c r="D85" s="28" t="s">
        <v>276</v>
      </c>
      <c r="E85" t="s">
        <v>70</v>
      </c>
    </row>
    <row r="86" spans="1:5" x14ac:dyDescent="0.2">
      <c r="A86" s="28" t="s">
        <v>212</v>
      </c>
      <c r="B86" s="28" t="s">
        <v>297</v>
      </c>
      <c r="C86" t="s">
        <v>93</v>
      </c>
      <c r="D86" s="28" t="s">
        <v>276</v>
      </c>
      <c r="E86" t="s">
        <v>71</v>
      </c>
    </row>
    <row r="87" spans="1:5" x14ac:dyDescent="0.2">
      <c r="A87" s="28" t="s">
        <v>212</v>
      </c>
      <c r="B87" s="28" t="s">
        <v>297</v>
      </c>
      <c r="C87" s="28" t="s">
        <v>93</v>
      </c>
      <c r="D87" s="28" t="s">
        <v>195</v>
      </c>
    </row>
    <row r="88" spans="1:5" x14ac:dyDescent="0.2">
      <c r="A88" s="28" t="s">
        <v>212</v>
      </c>
      <c r="B88" s="28" t="s">
        <v>297</v>
      </c>
      <c r="C88" s="28" t="s">
        <v>93</v>
      </c>
      <c r="D88" s="28" t="s">
        <v>303</v>
      </c>
    </row>
  </sheetData>
  <autoFilter ref="A1:E87" xr:uid="{6C2965A1-ACD1-4985-8533-6D3D83D236D4}">
    <sortState xmlns:xlrd2="http://schemas.microsoft.com/office/spreadsheetml/2017/richdata2" ref="A2:E87">
      <sortCondition ref="A1:A87"/>
    </sortState>
  </autoFilter>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0DA384-6C29-4B16-B77E-1BC8023952CE}">
  <sheetPr codeName="Sheet3">
    <tabColor theme="9"/>
  </sheetPr>
  <dimension ref="A1:D30"/>
  <sheetViews>
    <sheetView workbookViewId="0">
      <selection activeCell="D16" sqref="D16"/>
    </sheetView>
  </sheetViews>
  <sheetFormatPr defaultRowHeight="12.75" x14ac:dyDescent="0.2"/>
  <cols>
    <col min="1" max="1" width="10.140625" bestFit="1" customWidth="1"/>
    <col min="2" max="2" width="30.5703125" bestFit="1" customWidth="1"/>
    <col min="3" max="3" width="16.5703125" bestFit="1" customWidth="1"/>
    <col min="4" max="4" width="22.85546875" bestFit="1" customWidth="1"/>
  </cols>
  <sheetData>
    <row r="1" spans="1:4" s="23" customFormat="1" ht="15" x14ac:dyDescent="0.35">
      <c r="A1" s="23" t="s">
        <v>194</v>
      </c>
      <c r="B1" s="23" t="s">
        <v>174</v>
      </c>
      <c r="C1" s="169" t="s">
        <v>177</v>
      </c>
      <c r="D1" s="23" t="s">
        <v>329</v>
      </c>
    </row>
    <row r="2" spans="1:4" x14ac:dyDescent="0.2">
      <c r="A2" t="str" cm="1">
        <f t="array" ref="A2:A5">_xlfn.UNIQUE(_xlfn._xlws.FILTER('Categorized Inputs'!$D:$D,'Categorized Inputs'!$B:$B="Asset"))</f>
        <v>Cash</v>
      </c>
      <c r="B2" t="str" cm="1">
        <f t="array" ref="B2:B30">_xlfn.UNIQUE(_xlfn._xlws.FILTER('Categorized Inputs'!$D:$D,'Categorized Inputs'!$A:$A="Cash Flow"))</f>
        <v>Salary &amp; Paychecks</v>
      </c>
      <c r="C2" t="s">
        <v>178</v>
      </c>
      <c r="D2" cm="1">
        <f t="array" ref="D2">_xlfn._xlws.SORT(_xlfn.UNIQUE(_xlfn.VSTACK('Credit Cards'!B4:B24,Loans!B4:B99)),,1)</f>
        <v>0</v>
      </c>
    </row>
    <row r="3" spans="1:4" x14ac:dyDescent="0.2">
      <c r="A3" t="str">
        <v>Brokerage</v>
      </c>
      <c r="B3" t="str">
        <v>Other Earnings</v>
      </c>
      <c r="C3" t="s">
        <v>179</v>
      </c>
    </row>
    <row r="4" spans="1:4" x14ac:dyDescent="0.2">
      <c r="A4" t="str">
        <v>Retirement</v>
      </c>
      <c r="B4" t="str">
        <v>Bonus</v>
      </c>
      <c r="C4" t="s">
        <v>180</v>
      </c>
    </row>
    <row r="5" spans="1:4" x14ac:dyDescent="0.2">
      <c r="A5" t="str">
        <v>Real Asset</v>
      </c>
      <c r="B5" t="str">
        <v>Friend Receivable</v>
      </c>
      <c r="C5" t="s">
        <v>181</v>
      </c>
    </row>
    <row r="6" spans="1:4" x14ac:dyDescent="0.2">
      <c r="B6" t="str">
        <v>Selling &amp; Refunds</v>
      </c>
    </row>
    <row r="7" spans="1:4" x14ac:dyDescent="0.2">
      <c r="B7" t="str">
        <v>Brokerage Cashout</v>
      </c>
    </row>
    <row r="8" spans="1:4" x14ac:dyDescent="0.2">
      <c r="B8" t="str">
        <v>Other</v>
      </c>
    </row>
    <row r="9" spans="1:4" x14ac:dyDescent="0.2">
      <c r="B9" t="str">
        <v>Other Inflows</v>
      </c>
    </row>
    <row r="10" spans="1:4" x14ac:dyDescent="0.2">
      <c r="B10" t="str">
        <v>Loans</v>
      </c>
    </row>
    <row r="11" spans="1:4" x14ac:dyDescent="0.2">
      <c r="B11" t="str">
        <v>Credit Cards</v>
      </c>
    </row>
    <row r="12" spans="1:4" x14ac:dyDescent="0.2">
      <c r="B12" t="str">
        <v>Retirement Deductions</v>
      </c>
    </row>
    <row r="13" spans="1:4" x14ac:dyDescent="0.2">
      <c r="B13" t="str">
        <v>Events &amp; Entertainment</v>
      </c>
    </row>
    <row r="14" spans="1:4" x14ac:dyDescent="0.2">
      <c r="B14" t="str">
        <v>Housing</v>
      </c>
    </row>
    <row r="15" spans="1:4" x14ac:dyDescent="0.2">
      <c r="B15" t="str">
        <v>Travel</v>
      </c>
    </row>
    <row r="16" spans="1:4" x14ac:dyDescent="0.2">
      <c r="B16" t="str">
        <v>Shopping</v>
      </c>
    </row>
    <row r="17" spans="2:2" x14ac:dyDescent="0.2">
      <c r="B17" t="str">
        <v>Food &amp; Drinks</v>
      </c>
    </row>
    <row r="18" spans="2:2" x14ac:dyDescent="0.2">
      <c r="B18" t="str">
        <v>Dues &amp; Subscriptions</v>
      </c>
    </row>
    <row r="19" spans="2:2" x14ac:dyDescent="0.2">
      <c r="B19" t="str">
        <v>Other Flexible Outflows</v>
      </c>
    </row>
    <row r="20" spans="2:2" x14ac:dyDescent="0.2">
      <c r="B20" t="str">
        <v>Brokerage Contributions</v>
      </c>
    </row>
    <row r="21" spans="2:2" x14ac:dyDescent="0.2">
      <c r="B21" t="str">
        <v>Retirement Contributions</v>
      </c>
    </row>
    <row r="22" spans="2:2" x14ac:dyDescent="0.2">
      <c r="B22" t="str">
        <v>Employer Retirement Contributions</v>
      </c>
    </row>
    <row r="23" spans="2:2" x14ac:dyDescent="0.2">
      <c r="B23" t="str">
        <v>Taxes</v>
      </c>
    </row>
    <row r="24" spans="2:2" x14ac:dyDescent="0.2">
      <c r="B24" t="str">
        <v>Other Deductions</v>
      </c>
    </row>
    <row r="25" spans="2:2" x14ac:dyDescent="0.2">
      <c r="B25" t="str">
        <v>Transportation</v>
      </c>
    </row>
    <row r="26" spans="2:2" x14ac:dyDescent="0.2">
      <c r="B26" t="str">
        <v>Friend Payment</v>
      </c>
    </row>
    <row r="27" spans="2:2" x14ac:dyDescent="0.2">
      <c r="B27" t="str">
        <v>Health &amp; Personal Care</v>
      </c>
    </row>
    <row r="28" spans="2:2" x14ac:dyDescent="0.2">
      <c r="B28" t="str">
        <v>Groceries</v>
      </c>
    </row>
    <row r="29" spans="2:2" x14ac:dyDescent="0.2">
      <c r="B29" t="str">
        <v>Medication &amp; Supplements</v>
      </c>
    </row>
    <row r="30" spans="2:2" x14ac:dyDescent="0.2">
      <c r="B30" t="str">
        <v>Other Required Outflows</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A4F9E-4AD2-4FE3-956B-826ED111227A}">
  <sheetPr codeName="Sheet27"/>
  <dimension ref="A1"/>
  <sheetViews>
    <sheetView workbookViewId="0"/>
  </sheetViews>
  <sheetFormatPr defaultRowHeight="12.75" x14ac:dyDescent="0.2"/>
  <cols>
    <col min="1" max="1" width="11.140625" customWidth="1"/>
  </cols>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451D9-0987-4462-BC45-241C646391CC}">
  <sheetPr codeName="Sheet7">
    <tabColor rgb="FFFF0000"/>
  </sheetPr>
  <dimension ref="B5"/>
  <sheetViews>
    <sheetView workbookViewId="0"/>
  </sheetViews>
  <sheetFormatPr defaultRowHeight="12.75" x14ac:dyDescent="0.2"/>
  <cols>
    <col min="1" max="1" width="2.7109375" style="27" customWidth="1"/>
    <col min="2" max="16384" width="9.140625" style="27"/>
  </cols>
  <sheetData>
    <row r="5" spans="2:2" x14ac:dyDescent="0.2">
      <c r="B5" s="16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34</vt:i4>
      </vt:variant>
    </vt:vector>
  </HeadingPairs>
  <TitlesOfParts>
    <vt:vector size="34" baseType="lpstr">
      <vt:lpstr>README</vt:lpstr>
      <vt:lpstr>SUMMARIES→</vt:lpstr>
      <vt:lpstr>NTM</vt:lpstr>
      <vt:lpstr>Balances &amp; Actions</vt:lpstr>
      <vt:lpstr>Visuals</vt:lpstr>
      <vt:lpstr>Archive</vt:lpstr>
      <vt:lpstr>WORKING→</vt:lpstr>
      <vt:lpstr>Assets</vt:lpstr>
      <vt:lpstr>Credit Cards</vt:lpstr>
      <vt:lpstr>Loans</vt:lpstr>
      <vt:lpstr>Loyalty Points &amp; Miles</vt:lpstr>
      <vt:lpstr>Recurring</vt:lpstr>
      <vt:lpstr>Precedents</vt:lpstr>
      <vt:lpstr>Changes</vt:lpstr>
      <vt:lpstr>Planned</vt:lpstr>
      <vt:lpstr>Blanket</vt:lpstr>
      <vt:lpstr>OPTIONAL→</vt:lpstr>
      <vt:lpstr>Ref Data</vt:lpstr>
      <vt:lpstr>Raw</vt:lpstr>
      <vt:lpstr>AD HOC→</vt:lpstr>
      <vt:lpstr>FOOTNOTES→</vt:lpstr>
      <vt:lpstr>Version Change Notes</vt:lpstr>
      <vt:lpstr>DEV STEPS FOR PROD</vt:lpstr>
      <vt:lpstr>INTERMEDIATES→</vt:lpstr>
      <vt:lpstr>recurring1_based on steps</vt:lpstr>
      <vt:lpstr>recurring2_based on steps</vt:lpstr>
      <vt:lpstr>changes1_based on steps</vt:lpstr>
      <vt:lpstr>changes2_based on steps</vt:lpstr>
      <vt:lpstr>recurring_master</vt:lpstr>
      <vt:lpstr>HELPERS→</vt:lpstr>
      <vt:lpstr>Categorized Inputs</vt:lpstr>
      <vt:lpstr>Data Validation</vt:lpstr>
      <vt:lpstr>VBA</vt:lpstr>
      <vt:lpstr>←DEV HIDE ALL FOR PROD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Renner</dc:creator>
  <cp:keywords>v6</cp:keywords>
  <cp:lastModifiedBy>Joe Renner</cp:lastModifiedBy>
  <dcterms:created xsi:type="dcterms:W3CDTF">2024-07-21T15:21:17Z</dcterms:created>
  <dcterms:modified xsi:type="dcterms:W3CDTF">2025-04-05T16:10:55Z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{BD615B06-A48D-4D0C-973D-A2E12A3B67B8}</vt:lpwstr>
  </property>
  <property fmtid="{D5CDD505-2E9C-101B-9397-08002B2CF9AE}" pid="3" name="MSIP_Label_6f394ca5-8759-4293-b832-700b1d8eee0b_Enabled">
    <vt:lpwstr>true</vt:lpwstr>
  </property>
  <property fmtid="{D5CDD505-2E9C-101B-9397-08002B2CF9AE}" pid="4" name="MSIP_Label_6f394ca5-8759-4293-b832-700b1d8eee0b_SetDate">
    <vt:lpwstr>2025-01-06T03:35:24Z</vt:lpwstr>
  </property>
  <property fmtid="{D5CDD505-2E9C-101B-9397-08002B2CF9AE}" pid="5" name="MSIP_Label_6f394ca5-8759-4293-b832-700b1d8eee0b_Method">
    <vt:lpwstr>Standard</vt:lpwstr>
  </property>
  <property fmtid="{D5CDD505-2E9C-101B-9397-08002B2CF9AE}" pid="6" name="MSIP_Label_6f394ca5-8759-4293-b832-700b1d8eee0b_Name">
    <vt:lpwstr>6f394ca5-8759-4293-b832-700b1d8eee0b</vt:lpwstr>
  </property>
  <property fmtid="{D5CDD505-2E9C-101B-9397-08002B2CF9AE}" pid="7" name="MSIP_Label_6f394ca5-8759-4293-b832-700b1d8eee0b_SiteId">
    <vt:lpwstr>5d25c963-07db-4627-9db3-720b2ff89865</vt:lpwstr>
  </property>
  <property fmtid="{D5CDD505-2E9C-101B-9397-08002B2CF9AE}" pid="8" name="MSIP_Label_6f394ca5-8759-4293-b832-700b1d8eee0b_ActionId">
    <vt:lpwstr>edc02eb2-ca68-4a46-a48e-ea2b2125ea69</vt:lpwstr>
  </property>
  <property fmtid="{D5CDD505-2E9C-101B-9397-08002B2CF9AE}" pid="9" name="MSIP_Label_6f394ca5-8759-4293-b832-700b1d8eee0b_ContentBits">
    <vt:lpwstr>0</vt:lpwstr>
  </property>
</Properties>
</file>